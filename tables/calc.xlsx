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alc" sheetId="1" state="visible" r:id="rId3"/>
    <sheet name="code" sheetId="2" state="visible" r:id="rId4"/>
    <sheet name="tbl" sheetId="3" state="visible" r:id="rId5"/>
    <sheet name="albhed_tbl" sheetId="4" state="visible" r:id="rId6"/>
    <sheet name="시트5"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<sst xmlns="http://schemas.openxmlformats.org/spreadsheetml/2006/main" count="8166" uniqueCount="3642">
  <si>
    <t xml:space="preserve">col</t>
  </si>
  <si>
    <t xml:space="preserve">row</t>
  </si>
  <si>
    <t xml:space="preserve">is_odd</t>
  </si>
  <si>
    <t xml:space="preserve">offset</t>
  </si>
  <si>
    <t xml:space="preserve">glyph_offset</t>
  </si>
  <si>
    <t xml:space="preserve">mask</t>
  </si>
  <si>
    <t xml:space="preserve">steps (18)</t>
  </si>
  <si>
    <t xml:space="preserve">2c</t>
  </si>
  <si>
    <t xml:space="preserve">E</t>
  </si>
  <si>
    <t xml:space="preserve">for (i = 0; i &lt; 0x12; i++)</t>
  </si>
  <si>
    <t xml:space="preserve">b = (byte)(offset + glyph_offset + steps[i]);</t>
  </si>
  <si>
    <t xml:space="preserve">D0</t>
  </si>
  <si>
    <t xml:space="preserve">가각간갇갈갉갊감갑값갓갔강갖갗같갚갛개객갠갤갬갭갯갰갱갸갹갼걀걋걍걔걘걜거걱건걷걸걺검겁것겄겅겆겉겊겋게겐겔겜겝겟겠겡겨격겪견겯결겸겹겻겼경곁계곈곌곕곗고곡곤곧골곪곬곯곰곱곳공곶과곽관괄괆괌괍괏광괘괜괠괩괬괭괴괵괸괼굄굅굇굉교굔굘굡굣구국군굳굴굵굶굻굼굽굿궁궂궈궉권궐궜궝궤궷귀귁귄귈귐귑귓규균귤그극근귿글긁금급긋긍긔기긱긴긷길긺김깁깃깅깆깊까깍깎깐깔깖깜깝깟깠깡깥깨깩깬깰깸깹깻깼깽꺄꺅꺌꺼꺽꺾껀껄껌껍껏껐껑께껙껜껨껫껭껴껸껼꼇꼈꼍꼐꼬꼭꼰꼲꼴꼼꼽꼿꽁꽂꽃꽈꽉꽐꽜꽝꽤꽥꽹꾀꾄꾈꾐꾑꾕꾜꾸꾹꾼꿀꿇꿈꿉꿋꿍꿎꿔꿜꿨꿩꿰꿱꿴꿸뀀뀁뀄뀌뀐뀔뀜뀝뀨끄끅끈끊끌끎끓끔끕끗끙끝끼끽낀낄낌낍낏낑나낙낚난낟날낡낢남납낫났낭낮낯낱낳내낵낸낼냄냅냇냈냉냐냑냔냘냠냥너넉넋넌널넒넓넘넙넛넜넝넣네넥넨넬넴넵넷넸넹녀녁년녈념녑녔녕녘녜녠노녹논놀놂놈놉놋농높놓놔놘놜놨뇌뇐뇔뇜뇝뇟뇨뇩뇬뇰뇹뇻뇽누눅눈눋눌눔눕눗눙눠눴눼뉘뉜뉠뉨뉩뉴뉵뉼늄늅늉느늑는늘늙늚늠늡늣능늦늪늬늰늴니닉닌닐닒님닙닛닝닢다닥닦단닫달닭닮닯닳담답닷닸당닺닻닿대댁댄댈댐댑댓댔댕댜더덕덖던덛덜덞덟덤덥덧덩덫덮데덱덴델뎀뎁뎃뎄뎅뎌뎐뎔뎠뎡뎨뎬도독돈돋돌돎돐돔돕돗동돛돝돠돤돨돼됐되된될됨됩됫됴두둑둔둘둠둡둣둥둬뒀뒈뒝뒤뒨뒬뒵뒷뒹듀듄듈듐듕드득든듣들듦듬듭듯등듸디딕딘딛딜딤딥딧딨딩딪따딱딴딸땀땁땃땄땅땋때땍땐땔땜땝땟땠땡떠떡떤떨떪떫떰떱떳떴떵떻떼떽뗀뗄뗌뗍뗏뗐뗑뗘뗬또똑똔똘똥똬똴뙈뙤뙨뚜뚝뚠뚤뚫뚬뚱뛔뛰뛴뛸뜀뜁뜅뜨뜩뜬뜯뜰뜸뜹뜻띄띈띌띔띕띠띤띨띰띱띳띵라락란랄람랍랏랐랑랒랖랗래랙랜랠램랩랫랬랭랴략랸럇량러럭런럴럼럽럿렀렁렇레렉렌렐렘렙렛렝려력련렬렴렵렷렸령례롄롑롓로록론롤롬롭롯롱롸롼뢍뢨뢰뢴뢸룀룁룃룅료룐룔룝룟룡루룩룬룰룸룹룻룽뤄뤘뤠뤼뤽륀륄륌륏륑류륙륜률륨륩륫륭르륵른를름릅릇릉릊릍릎리릭린릴림립릿링마막만많맏말맑맒맘맙맛망맞맡맣매맥맨맬맴맵맷맸맹맺먀먁먈먕머먹먼멀멂멈멉멋멍멎멓메멕멘멜멤멥멧멨멩며멱면멸몃몄명몇몌모목몫몬몰몲몸몹못몽뫄뫈뫘뫙뫼묀묄묍묏묑묘묜묠묩묫무묵묶문묻물묽묾뭄뭅뭇뭉뭍뭏뭐뭔뭘뭡뭣뭬뮈뮌뮐뮤뮨뮬뮴뮷므믄믈믐믓미믹민믿밀밂밈밉밋밌밍및밑바박밖밗반받발밝밞밟밤밥밧방밭배백밴밸뱀뱁뱃뱄뱅뱉뱌뱍뱐뱝버벅번벋벌벎범법벗벙벚베벡벤벧벨벰벱벳벴벵벼벽변별볍볏볐병볕볘볜보복볶본볼봄봅봇봉봐봔봤봬뵀뵈뵉뵌뵐뵘뵙뵤뵨부북분붇불붉붊붐붑붓붕붙붚붜붤붰붸뷔뷕뷘뷜뷩뷰뷴뷸븀븃븅브븍븐블븜븝븟비빅빈빌빎빔빕빗빙빚빛빠빡빤빨빪빰빱빳빴빵빻빼빽뺀뺄뺌뺍뺏뺐뺑뺘뺙뺨뻐뻑뻔뻗뻘뻠뻣뻤뻥뻬뼁뼈뼉뼘뼙뼛뼜뼝뽀뽁뽄뽈뽐뽑뽕뾔뾰뿅뿌뿍뿐뿔뿜뿟뿡쀼쁑쁘쁜쁠쁨쁩삐삑삔삘삠삡삣삥사삭삯산삳살삵삶삼삽삿샀상샅새색샌샐샘샙샛샜생샤샥샨샬샴샵샷샹섀섄섈섐섕서석섞섟선섣설섦섧섬섭섯섰성섶세섹센셀셈셉셋셌셍셔셕션셜셤셥셧셨셩셰셴셸솅소속솎손솔솖솜솝솟송솥솨솩솬솰솽쇄쇈쇌쇔쇗쇘쇠쇤쇨쇰쇱쇳쇼쇽숀숄숌숍숏숑수숙순숟술숨숩숫숭숯숱숲숴쉈쉐쉑쉔쉘쉠쉥쉬쉭쉰쉴쉼쉽쉿슁슈슉슐슘슛슝스슥슨슬슭슴습슷승시식신싣실싫심십싯싱싶싸싹싻싼쌀쌈쌉쌌쌍쌓쌔쌕쌘쌜쌤쌥쌨쌩썅써썩썬썰썲썸썹썼썽쎄쎈쎌쏀쏘쏙쏜쏟쏠쏢쏨쏩쏭쏴쏵쏸쐈쐐쐤쐬쐰쐴쐼쐽쑈쑤쑥쑨쑬쑴쑵쑹쒀쒔쒜쒸쒼쓩쓰쓱쓴쓸쓺쓿씀씁씌씐씔씜씨씩씬씰씸씹씻씽아악안앉않알앍앎앓암압앗았앙앝앞애액앤앨앰앱앳앴앵야약얀얄얇얌얍얏양얕얗얘얜얠얩어억언얹얻얼얽얾엄업없엇었엉엊엌엎에엑엔엘엠엡엣엥여역엮연열엶엷염엽엾엿였영옅옆옇예옌옐옘옙옛옜오옥온올옭옮옰옳옴옵옷옹옻와왁완왈왐왑왓왔왕왜왝왠왬왯왱외왹왼욀욈욉욋욍요욕욘욜욤욥욧용우욱운울욹욺움웁웃웅워웍원월웜웝웠웡웨웩웬웰웸웹웽위윅윈윌윔윕윗윙유육윤율윰윱윳융윷으윽은을읊음읍읏응읒읓읔읕읖읗의읜읠읨읫이익인일읽읾잃임입잇있잉잊잎자작잔잖잗잘잚잠잡잣잤장잦재잭잰잴잼잽잿쟀쟁쟈쟉쟌쟎쟐쟘쟝쟤쟨쟬저적전절젊점접젓정젖제젝젠젤젬젭젯젱져젼졀졈졉졌졍졔조족존졸졺좀좁좃종좆좇좋좌좍좔좝좟좡좨좼좽죄죈죌죔죕죗죙죠죡죤죵주죽준줄줅줆줌줍줏중줘줬줴쥐쥑쥔쥘쥠쥡쥣쥬쥰쥴쥼즈즉즌즐즘즙즛증지직진짇질짊짐집짓징짖짙짚짜짝짠짢짤짧짬짭짯짰짱째짹짼쨀쨈쨉쨋쨌쨍쨔쨘쨩쩌쩍쩐쩔쩜쩝쩟쩠쩡쩨쩽쪄쪘쪼쪽쫀쫄쫌쫍쫏쫑쫓쫘쫙쫠쫬쫴쬈쬐쬔쬘쬠쬡쭁쭈쭉쭌쭐쭘쭙쭝쭤쭸쭹쮜쮸쯔쯤쯧쯩찌찍찐찔찜찝찡찢찧차착찬찮찰참찹찻찼창찾채책챈챌챔챕챗챘챙챠챤챦챨챰챵처척천철첨첩첫첬청체첵첸첼쳄쳅쳇쳉쳐쳔쳤쳬쳰촁초촉촌촐촘촙촛총촤촨촬촹최쵠쵤쵬쵭쵯쵱쵸춈추축춘출춤춥춧충춰췄췌췐취췬췰췸췹췻췽츄츈츌츔츙츠측츤츨츰츱츳층치칙친칟칠칡침칩칫칭카칵칸칼캄캅캇캉캐캑캔캘캠캡캣캤캥캬캭컁커컥컨컫컬컴컵컷컸컹케켁켄켈켐켑켓켕켜켠켤켬켭켯켰켱켸코콕콘콜콤콥콧콩콰콱콴콸쾀쾅쾌쾡쾨쾰쿄쿠쿡쿤쿨쿰쿱쿳쿵쿼퀀퀄퀑퀘퀭퀴퀵퀸퀼큄큅큇큉큐큔큘큠크큭큰클큼큽킁키킥킨킬킴킵킷킹타탁탄탈탉탐탑탓탔탕태택탠탤탬탭탯탰탱탸턍터턱턴털턺텀텁텃텄텅테텍텐텔템텝텟텡텨텬텼톄톈토톡톤톨톰톱톳통톺톼퇀퇘퇴퇸툇툉툐투툭툰툴툼툽툿퉁퉈퉜퉤튀튁튄튈튐튑튕튜튠튤튬튱트특튼튿틀틂틈틉틋틔틘틜틤틥티틱틴틸팀팁팃팅파팍팎판팔팖팜팝팟팠팡팥패팩팬팰팸팹팻팼팽퍄퍅퍼퍽펀펄펌펍펏펐펑페펙펜펠펨펩펫펭펴편펼폄폅폈평폐폘폡폣포폭폰폴폼폽폿퐁퐈퐝푀푄표푠푤푭푯푸푹푼푿풀풂품풉풋풍풔풩퓌퓐퓔퓜퓟퓨퓬퓰퓸퓻퓽프픈플픔픕픗피픽핀필핌핍핏핑하학한할핥함합핫항해핵핸핼햄햅햇했행햐향허헉헌헐헒험헙헛헝헤헥헨헬헴헵헷헹혀혁현혈혐협혓혔형혜혠혤혭호혹혼홀홅홈홉홋홍홑화확환활홧황홰홱홴횃횅회획횐횔횝횟횡효횬횰횹횻후훅훈훌훑훔훗훙훠훤훨훰훵훼훽휀휄휑휘휙휜휠휨휩휫휭휴휵휸휼흄흇흉흐흑흔흖흗흘흙흠흡흣흥흩희흰흴흼흽힁히힉힌힐힘힙힛힝</t>
  </si>
  <si>
    <t xml:space="preserve">idx</t>
  </si>
  <si>
    <t xml:space="preserve">char</t>
  </si>
  <si>
    <t xml:space="preserve">가각간갇갈갉갊감갑값갓갔강갖갗같갚갛개객갠갤갬갭갯갰갱갸갹갼걀걋걍걔걘걜거걱건걷걸걺검겁것겄겅겆겉겊겋게겐겔겜겝겟겠겡겨격겪견겯결겸겹겻겼경곁계곈곌곕곗고곡곤곧골곪곬곯곰곱곳공곶과곽관괄괆괌괍괏광괘괜괠괩괬괭괴괵괸괼굄굅굇굉교굔굘굡굣구국군굳굴굵굶굻굼굽굿궁궂궈궉권궐궜궝궤궷귀귁귄귈귐귑귓규균귤그극근귿글긁금급긋긍긔기긱긴긷길긺김깁깃깅깆깊까깍깎깐깔깖깜깝깟깠깡깥깨깩깬깰깸깹깻깼깽꺄꺅꺌꺼꺽꺾껀껄껌껍껏껐껑께껙껜</t>
  </si>
  <si>
    <t xml:space="preserve">껨껫껭껴껸껼꼇꼈꼍꼐꼬꼭꼰꼲꼴꼼꼽꼿꽁꽂꽃꽈꽉꽐꽜꽝꽤꽥꽹꾀꾄꾈꾐꾑꾕꾜꾸꾹꾼꿀꿇꿈꿉꿋꿍꿎꿔꿜꿨꿩꿰꿱꿴꿸뀀뀁뀄뀌뀐뀔뀜뀝뀨끄끅끈끊끌끎끓끔끕끗끙끝끼끽낀낄낌낍낏낑나낙낚난낟날낡낢남납낫났낭낮낯낱낳내낵낸낼냄냅냇냈냉냐냑냔냘냠냥너넉넋넌널넒넓넘넙넛넜넝넣네넥넨넬넴넵넷넸넹녀녁년녈념녑녔녕녘녜녠노녹논놀놂놈놉놋농높놓놔놘놜놨뇌뇐뇔뇜뇝뇟뇨뇩뇬뇰뇹뇻뇽누눅눈눋눌눔눕눗눙눠눴눼뉘뉜뉠뉨뉩뉴뉵뉼늄늅늉느늑는늘늙늚늠늡늣</t>
  </si>
  <si>
    <t xml:space="preserve">능늦늪늬늰늴니닉닌닐닒님닙닛닝닢다닥닦단닫달닭닮닯닳담답닷닸당닺닻닿대댁댄댈댐댑댓댔댕댜더덕덖던덛덜덞덟덤덥덧덩덫덮데덱덴델뎀뎁뎃뎄뎅뎌뎐뎔뎠뎡뎨뎬도독돈돋돌돎돐돔돕돗동돛돝돠돤돨돼됐되된될됨됩됫됴두둑둔둘둠둡둣둥둬뒀뒈뒝뒤뒨뒬뒵뒷뒹듀듄듈듐듕드득든듣들듦듬듭듯등듸디딕딘딛딜딤딥딧딨딩딪따딱딴딸땀땁땃땄땅땋때땍땐땔땜땝땟땠땡떠떡떤떨떪떫떰떱떳떴떵떻떼떽뗀뗄뗌뗍뗏뗐뗑뗘뗬또똑똔똘똥똬똴뙈뙤뙨뚜뚝뚠뚤뚫뚬뚱뛔뛰뛴뛸뜀</t>
  </si>
  <si>
    <t xml:space="preserve">뜁뜅뜨뜩뜬뜯뜰뜸뜹뜻띄띈띌띔띕띠띤띨띰띱띳띵라락란랄람랍랏랐랑랒랖랗래랙랜랠램랩랫랬랭랴략랸럇량러럭런럴럼럽럿렀렁렇레렉렌렐렘렙렛렝려력련렬렴렵렷렸령례롄롑롓로록론롤롬롭롯롱롸롼뢍뢨뢰뢴뢸룀룁룃룅료룐룔룝룟룡루룩룬룰룸룹룻룽뤄뤘뤠뤼뤽륀륄륌륏륑류륙륜률륨륩륫륭르륵른를름릅릇릉릊릍릎리릭린릴림립릿링마막만많맏말맑맒맘맙맛망맞맡맣매맥맨맬맴맵맷맸맹맺먀먁먈먕머먹먼멀멂멈멉멋멍멎멓메멕멘멜멤멥멧멨멩며멱면멸몃몄명몇몌모</t>
  </si>
  <si>
    <t xml:space="preserve">목몫몬몰몲몸몹못몽뫄뫈뫘뫙뫼묀묄묍묏묑묘묜묠묩묫무묵묶문묻물묽묾뭄뭅뭇뭉뭍뭏뭐뭔뭘뭡뭣뭬뮈뮌뮐뮤뮨뮬뮴뮷므믄믈믐믓미믹민믿밀밂밈밉밋밌밍및밑바박밖밗반받발밝밞밟밤밥밧방밭배백밴밸뱀뱁뱃뱄뱅뱉뱌뱍뱐뱝버벅번벋벌벎범법벗벙벚베벡벤벧벨벰벱벳벴벵벼벽변별볍볏볐병볕볘볜보복볶본볼봄봅봇봉봐봔봤봬뵀뵈뵉뵌뵐뵘뵙뵤뵨부북분붇불붉붊붐붑붓붕붙붚붜붤붰붸뷔뷕뷘뷜뷩뷰뷴뷸븀븃븅브븍븐블븜븝븟비빅빈빌빎빔빕빗빙빚빛빠빡빤빨빪빰빱빳빴</t>
  </si>
  <si>
    <t xml:space="preserve">빵빻빼빽뺀뺄뺌뺍뺏뺐뺑뺘뺙뺨뻐뻑뻔뻗뻘뻠뻣뻤뻥뻬뼁뼈뼉뼘뼙뼛뼜뼝뽀뽁뽄뽈뽐뽑뽕뾔뾰뿅뿌뿍뿐뿔뿜뿟뿡쀼쁑쁘쁜쁠쁨쁩삐삑삔삘삠삡삣삥사삭삯산삳살삵삶삼삽삿샀상샅새색샌샐샘샙샛샜생샤샥샨샬샴샵샷샹섀섄섈섐섕서석섞섟선섣설섦섧섬섭섯섰성섶세섹센셀셈셉셋셌셍셔셕션셜셤셥셧셨셩셰셴셸솅소속솎손솔솖솜솝솟송솥솨솩솬솰솽쇄쇈쇌쇔쇗쇘쇠쇤쇨쇰쇱쇳쇼쇽숀숄숌숍숏숑수숙순숟술숨숩숫숭숯숱숲숴쉈쉐쉑쉔쉘쉠쉥쉬쉭쉰쉴쉼쉽쉿슁슈슉슐슘슛슝스</t>
  </si>
  <si>
    <t xml:space="preserve">슥슨슬슭슴습슷승시식신싣실싫심십싯싱싶싸싹싻싼쌀쌈쌉쌌쌍쌓쌔쌕쌘쌜쌤쌥쌨쌩썅써썩썬썰썲썸썹썼썽쎄쎈쎌쏀쏘쏙쏜쏟쏠쏢쏨쏩쏭쏴쏵쏸쐈쐐쐤쐬쐰쐴쐼쐽쑈쑤쑥쑨쑬쑴쑵쑹쒀쒔쒜쒸쒼쓩쓰쓱쓴쓸쓺쓿씀씁씌씐씔씜씨씩씬씰씸씹씻씽아악안앉않알앍앎앓암압앗았앙앝앞애액앤앨앰앱앳앴앵야약얀얄얇얌얍얏양얕얗얘얜얠얩어억언얹얻얼얽얾엄업없엇었엉엊엌엎에엑엔엘엠엡엣엥여역엮연열엶엷염엽엾엿였영옅옆옇예옌옐옘옙옛옜오옥온올옭옮옰옳옴옵옷옹옻와왁</t>
  </si>
  <si>
    <t xml:space="preserve">완왈왐왑왓왔왕왜왝왠왬왯왱외왹왼욀욈욉욋욍요욕욘욜욤욥욧용우욱운울욹욺움웁웃웅워웍원월웜웝웠웡웨웩웬웰웸웹웽위윅윈윌윔윕윗윙유육윤율윰윱윳융윷으윽은을읊음읍읏응읒읓읔읕읖읗의읜읠읨읫이익인일읽읾잃임입잇있잉잊잎자작잔잖잗잘잚잠잡잣잤장잦재잭잰잴잼잽잿쟀쟁쟈쟉쟌쟎쟐쟘쟝쟤쟨쟬저적전절젊점접젓정젖제젝젠젤젬젭젯젱져젼졀졈졉졌졍졔조족존졸졺좀좁좃종좆좇좋좌좍좔좝좟좡좨좼좽죄죈죌죔죕죗죙죠죡죤죵주죽준줄줅줆줌줍줏중줘줬줴</t>
  </si>
  <si>
    <t xml:space="preserve">ABCDEFGHIJKLMNOPQRSTUVWXYZabcdefghijklmnopqrstuvwxyz쥐쥑쥔쥘쥠쥡쥣쥬쥰쥴쥼즈즉즌즐즘즙즛증지직진짇질짊짐집짓징짖짙짚짜짝짠짢짤짧짬짭짯짰짱째짹짼쨀쨈쨉쨋쨌쨍쨔쨘쨩쩌쩍쩐쩔쩜쩝쩟쩠쩡쩨쩽쪄쪘쪼쪽쫀쫄쫌쫍쫏쫑쫓쫘쫙쫠쫬쫴쬈쬐쬔쬘쬠쬡쭁쭈쭉쭌쭐쭘쭙쭝쭤쭸쭹쮜쮸쯔쯤쯧쯩찌찍찐찔찜찝찡찢찧차착찬찮찰참찹찻찼창찾채책챈챌챔챕챗챘챙챠챤챦챨챰챵처척천철첨첩첫첬청체첵첸첼쳄쳅쳇</t>
  </si>
  <si>
    <t xml:space="preserve">쳉쳐쳔쳤쳬쳰촁초촉촌촐촘촙촛총촤촨촬촹최쵠쵤쵬쵭쵯쵱쵸춈추축춘출춤춥춧충춰췄췌췐취췬췰췸췹췻췽츄츈츌츔츙츠측츤츨츰츱츳층치칙친칟칠칡침칩칫칭카칵칸칼캄캅캇캉캐캑캔캘캠캡캣캤캥캬캭컁커컥컨컫컬컴컵컷컸컹케켁켄켈켐켑켓켕켜켠켤켬켭켯켰켱켸코콕콘콜콤콥콧콩콰콱콴콸쾀쾅쾌쾡쾨쾰쿄쿠쿡쿤쿨쿰쿱쿳쿵쿼퀀퀄퀑퀘퀭퀴퀵퀸퀼큄큅큇큉큐큔큘큠크큭큰클큼큽킁키킥킨킬킴킵킷킹타탁탄탈탉탐탑탓탔탕태택탠탤탬탭탯탰탱탸턍터턱턴털턺텀텁텃텄텅</t>
  </si>
  <si>
    <t xml:space="preserve">테텍텐텔템텝텟텡텨텬텼톄톈토톡톤톨톰톱톳통톺톼퇀퇘퇴퇸툇툉툐투툭툰툴툼툽툿퉁퉈퉜퉤튀튁튄튈튐튑튕튜튠튤튬튱트특튼튿틀틂틈틉틋틔틘틜틤틥티틱틴틸팀팁팃팅파팍팎판팔팖팜팝팟팠팡팥패팩팬팰팸팹팻팼팽퍄퍅퍼퍽펀펄펌펍펏펐펑페펙펜펠펨펩펫펭펴편펼폄폅폈평폐폘폡폣포폭폰폴폼폽폿퐁퐈퐝푀푄표푠푤푭푯푸푹푼푿풀풂품풉풋풍풔풩퓌퓐퓔퓜퓟퓨퓬퓰퓸퓻퓽프픈플픔픕픗피픽핀필핌핍핏핑하학한할핥함합핫항해핵핸핼햄햅햇했행햐향허헉헌헐헒험헙헛</t>
  </si>
  <si>
    <t xml:space="preserve">헝헤〔〕헥헨헬헴헵헷헹혀혁현혈혐협혓혔형혜혠혤혭호혹혼홀홅홈홉홋홍홑화확환활홧황홰홱홴횃횅회획횐횔횝횟횡효횬횰횹횻후훅훈훌훑훔훗훙훠훤훨훰훵훼훽휀휄휑휘휙휜휠휨휩휫휭휴휵휸휼흄흇흉흐흑흔흖흗흘흙흠흡흣흥흩희흰'흴흼흽힁히힉힌힐힘힙힛힝</t>
  </si>
  <si>
    <t xml:space="preserve">0123456789 !ー~…%&amp;×()*+,-./:;【=】?Ⅹ。「」、·『』α"     ぁあぃいぅうぇえぉおかがきぎくぐけげこごさざしじすずせぜそぞただちぢっつづてでとどなにぬねのはばぱひびぴふぶぷへべぺほぼぽまみむめもゃやゅゆょよらりるれろわをんァアィイゥウェエォオカガキギクグケゲコゴサザシジスズセゼソゾタダチヂッツヅテデトドナニヌネノハバパヒビピフブプヘベペホボポマミムメモャヤュユョヨラリルレロワヲンヴ</t>
  </si>
  <si>
    <t xml:space="preserve">ABCDEFGHIJKLMNOPQRSTUVWXYZabcdefghijklmnopqrstuvwxyz</t>
  </si>
  <si>
    <t xml:space="preserve">e</t>
  </si>
  <si>
    <t xml:space="preserve">暗</t>
  </si>
  <si>
    <t xml:space="preserve">闇</t>
  </si>
  <si>
    <t xml:space="preserve">位</t>
  </si>
  <si>
    <t xml:space="preserve">異</t>
  </si>
  <si>
    <t xml:space="preserve">移</t>
  </si>
  <si>
    <t xml:space="preserve">遺</t>
  </si>
  <si>
    <t xml:space="preserve">域</t>
  </si>
  <si>
    <t xml:space="preserve">一</t>
  </si>
  <si>
    <t xml:space="preserve">員</t>
  </si>
  <si>
    <t xml:space="preserve">引</t>
  </si>
  <si>
    <t xml:space="preserve">院</t>
  </si>
  <si>
    <t xml:space="preserve">隠</t>
  </si>
  <si>
    <t xml:space="preserve">右</t>
  </si>
  <si>
    <t xml:space="preserve">運</t>
  </si>
  <si>
    <t xml:space="preserve">雲</t>
  </si>
  <si>
    <t xml:space="preserve">園</t>
  </si>
  <si>
    <t xml:space="preserve">炎</t>
  </si>
  <si>
    <t xml:space="preserve">央</t>
  </si>
  <si>
    <t xml:space="preserve">屋</t>
  </si>
  <si>
    <t xml:space="preserve">憶</t>
  </si>
  <si>
    <t xml:space="preserve">下</t>
  </si>
  <si>
    <t xml:space="preserve">化</t>
  </si>
  <si>
    <t xml:space="preserve">何</t>
  </si>
  <si>
    <t xml:space="preserve">加</t>
  </si>
  <si>
    <t xml:space="preserve">家</t>
  </si>
  <si>
    <t xml:space="preserve">果</t>
  </si>
  <si>
    <t xml:space="preserve">河</t>
  </si>
  <si>
    <t xml:space="preserve">火</t>
  </si>
  <si>
    <t xml:space="preserve">花</t>
  </si>
  <si>
    <t xml:space="preserve">会</t>
  </si>
  <si>
    <t xml:space="preserve">回</t>
  </si>
  <si>
    <t xml:space="preserve">壊</t>
  </si>
  <si>
    <t xml:space="preserve">快</t>
  </si>
  <si>
    <t xml:space="preserve">改</t>
  </si>
  <si>
    <t xml:space="preserve">海</t>
  </si>
  <si>
    <t xml:space="preserve">界</t>
  </si>
  <si>
    <t xml:space="preserve">開</t>
  </si>
  <si>
    <t xml:space="preserve">階</t>
  </si>
  <si>
    <t xml:space="preserve">外</t>
  </si>
  <si>
    <t xml:space="preserve">崖</t>
  </si>
  <si>
    <t xml:space="preserve">街</t>
  </si>
  <si>
    <t xml:space="preserve">確</t>
  </si>
  <si>
    <t xml:space="preserve">覚</t>
  </si>
  <si>
    <t xml:space="preserve">喚</t>
  </si>
  <si>
    <t xml:space="preserve">換</t>
  </si>
  <si>
    <t xml:space="preserve">観</t>
  </si>
  <si>
    <t xml:space="preserve">貫</t>
  </si>
  <si>
    <t xml:space="preserve">間</t>
  </si>
  <si>
    <t xml:space="preserve">岸</t>
  </si>
  <si>
    <t xml:space="preserve">岩</t>
  </si>
  <si>
    <t xml:space="preserve">器</t>
  </si>
  <si>
    <t xml:space="preserve">岐</t>
  </si>
  <si>
    <t xml:space="preserve">期</t>
  </si>
  <si>
    <t xml:space="preserve">機</t>
  </si>
  <si>
    <t xml:space="preserve">気</t>
  </si>
  <si>
    <t xml:space="preserve">祈</t>
  </si>
  <si>
    <t xml:space="preserve">記</t>
  </si>
  <si>
    <t xml:space="preserve">騎</t>
  </si>
  <si>
    <t xml:space="preserve">技</t>
  </si>
  <si>
    <t xml:space="preserve">議</t>
  </si>
  <si>
    <t xml:space="preserve">客</t>
  </si>
  <si>
    <t xml:space="preserve">吸</t>
  </si>
  <si>
    <t xml:space="preserve">宮</t>
  </si>
  <si>
    <t xml:space="preserve">給</t>
  </si>
  <si>
    <t xml:space="preserve">旧</t>
  </si>
  <si>
    <t xml:space="preserve">居</t>
  </si>
  <si>
    <t xml:space="preserve">巨</t>
  </si>
  <si>
    <t xml:space="preserve">橋</t>
  </si>
  <si>
    <t xml:space="preserve">玉</t>
  </si>
  <si>
    <t xml:space="preserve">近</t>
  </si>
  <si>
    <t xml:space="preserve">金</t>
  </si>
  <si>
    <t xml:space="preserve">具</t>
  </si>
  <si>
    <t xml:space="preserve">空</t>
  </si>
  <si>
    <t xml:space="preserve">窟</t>
  </si>
  <si>
    <t xml:space="preserve">型</t>
  </si>
  <si>
    <t xml:space="preserve">景</t>
  </si>
  <si>
    <t xml:space="preserve">撃</t>
  </si>
  <si>
    <t xml:space="preserve">決</t>
  </si>
  <si>
    <t xml:space="preserve">剣</t>
  </si>
  <si>
    <t xml:space="preserve">見</t>
  </si>
  <si>
    <t xml:space="preserve">元</t>
  </si>
  <si>
    <t xml:space="preserve">原</t>
  </si>
  <si>
    <t xml:space="preserve">幻</t>
  </si>
  <si>
    <t xml:space="preserve">減</t>
  </si>
  <si>
    <t xml:space="preserve">現</t>
  </si>
  <si>
    <t xml:space="preserve">個</t>
  </si>
  <si>
    <t xml:space="preserve">古</t>
  </si>
  <si>
    <t xml:space="preserve">庫</t>
  </si>
  <si>
    <t xml:space="preserve">枯</t>
  </si>
  <si>
    <t xml:space="preserve">湖</t>
  </si>
  <si>
    <t xml:space="preserve">後</t>
  </si>
  <si>
    <t xml:space="preserve">御</t>
  </si>
  <si>
    <t xml:space="preserve">護</t>
  </si>
  <si>
    <t xml:space="preserve">交</t>
  </si>
  <si>
    <t xml:space="preserve">光</t>
  </si>
  <si>
    <t xml:space="preserve">公</t>
  </si>
  <si>
    <t xml:space="preserve">効</t>
  </si>
  <si>
    <t xml:space="preserve">口</t>
  </si>
  <si>
    <t xml:space="preserve">幸</t>
  </si>
  <si>
    <t xml:space="preserve">広</t>
  </si>
  <si>
    <t xml:space="preserve">控</t>
  </si>
  <si>
    <t xml:space="preserve">攻</t>
  </si>
  <si>
    <t xml:space="preserve">更</t>
  </si>
  <si>
    <t xml:space="preserve">構</t>
  </si>
  <si>
    <t xml:space="preserve">港</t>
  </si>
  <si>
    <t xml:space="preserve">甲</t>
  </si>
  <si>
    <t xml:space="preserve">行</t>
  </si>
  <si>
    <t xml:space="preserve">降</t>
  </si>
  <si>
    <t xml:space="preserve">高</t>
  </si>
  <si>
    <t xml:space="preserve">号</t>
  </si>
  <si>
    <t xml:space="preserve">合</t>
  </si>
  <si>
    <t xml:space="preserve">告</t>
  </si>
  <si>
    <t xml:space="preserve">黒</t>
  </si>
  <si>
    <t xml:space="preserve">獄</t>
  </si>
  <si>
    <t xml:space="preserve">混</t>
  </si>
  <si>
    <t xml:space="preserve">左</t>
  </si>
  <si>
    <t xml:space="preserve">砂</t>
  </si>
  <si>
    <t xml:space="preserve">再</t>
  </si>
  <si>
    <t xml:space="preserve">砦</t>
  </si>
  <si>
    <t xml:space="preserve">裁</t>
  </si>
  <si>
    <t xml:space="preserve">在</t>
  </si>
  <si>
    <t xml:space="preserve">坂</t>
  </si>
  <si>
    <t xml:space="preserve">殺</t>
  </si>
  <si>
    <t xml:space="preserve">参</t>
  </si>
  <si>
    <t xml:space="preserve">山</t>
  </si>
  <si>
    <t xml:space="preserve">桟</t>
  </si>
  <si>
    <t xml:space="preserve">斬</t>
  </si>
  <si>
    <t xml:space="preserve">残</t>
  </si>
  <si>
    <t xml:space="preserve">使</t>
  </si>
  <si>
    <t xml:space="preserve">司</t>
  </si>
  <si>
    <t xml:space="preserve">士</t>
  </si>
  <si>
    <t xml:space="preserve">始</t>
  </si>
  <si>
    <t xml:space="preserve">子</t>
  </si>
  <si>
    <t xml:space="preserve">師</t>
  </si>
  <si>
    <t xml:space="preserve">思</t>
  </si>
  <si>
    <t xml:space="preserve">指</t>
  </si>
  <si>
    <t xml:space="preserve">施</t>
  </si>
  <si>
    <t xml:space="preserve">止</t>
  </si>
  <si>
    <t xml:space="preserve">死</t>
  </si>
  <si>
    <t xml:space="preserve">試</t>
  </si>
  <si>
    <t xml:space="preserve">字</t>
  </si>
  <si>
    <t xml:space="preserve">寺</t>
  </si>
  <si>
    <t xml:space="preserve">持</t>
  </si>
  <si>
    <t xml:space="preserve">次</t>
  </si>
  <si>
    <t xml:space="preserve">治</t>
  </si>
  <si>
    <t xml:space="preserve">示</t>
  </si>
  <si>
    <t xml:space="preserve">自</t>
  </si>
  <si>
    <t xml:space="preserve">式</t>
  </si>
  <si>
    <t xml:space="preserve">失</t>
  </si>
  <si>
    <t xml:space="preserve">室</t>
  </si>
  <si>
    <t xml:space="preserve">舎</t>
  </si>
  <si>
    <t xml:space="preserve">捨</t>
  </si>
  <si>
    <t xml:space="preserve">弱</t>
  </si>
  <si>
    <t xml:space="preserve">取</t>
  </si>
  <si>
    <t xml:space="preserve">守</t>
  </si>
  <si>
    <t xml:space="preserve">手</t>
  </si>
  <si>
    <t xml:space="preserve">殊</t>
  </si>
  <si>
    <t xml:space="preserve">酒</t>
  </si>
  <si>
    <t xml:space="preserve">受</t>
  </si>
  <si>
    <t xml:space="preserve">収</t>
  </si>
  <si>
    <t xml:space="preserve">周</t>
  </si>
  <si>
    <t xml:space="preserve">終</t>
  </si>
  <si>
    <t xml:space="preserve">集</t>
  </si>
  <si>
    <t xml:space="preserve">住</t>
  </si>
  <si>
    <t xml:space="preserve">獣</t>
  </si>
  <si>
    <t xml:space="preserve">宿</t>
  </si>
  <si>
    <t xml:space="preserve">出</t>
  </si>
  <si>
    <t xml:space="preserve">初</t>
  </si>
  <si>
    <t xml:space="preserve">所</t>
  </si>
  <si>
    <t xml:space="preserve">書</t>
  </si>
  <si>
    <t xml:space="preserve">女</t>
  </si>
  <si>
    <t xml:space="preserve">召</t>
  </si>
  <si>
    <t xml:space="preserve">小</t>
  </si>
  <si>
    <t xml:space="preserve">昇</t>
  </si>
  <si>
    <t xml:space="preserve">消</t>
  </si>
  <si>
    <t xml:space="preserve">上</t>
  </si>
  <si>
    <t xml:space="preserve">乗</t>
  </si>
  <si>
    <t xml:space="preserve">場</t>
  </si>
  <si>
    <t xml:space="preserve">常</t>
  </si>
  <si>
    <t xml:space="preserve">情</t>
  </si>
  <si>
    <t xml:space="preserve">状</t>
  </si>
  <si>
    <t xml:space="preserve">新</t>
  </si>
  <si>
    <t xml:space="preserve">森</t>
  </si>
  <si>
    <t xml:space="preserve">身</t>
  </si>
  <si>
    <t xml:space="preserve">進</t>
  </si>
  <si>
    <t xml:space="preserve">針</t>
  </si>
  <si>
    <t xml:space="preserve">震</t>
  </si>
  <si>
    <t xml:space="preserve">人</t>
  </si>
  <si>
    <t xml:space="preserve">水</t>
  </si>
  <si>
    <t xml:space="preserve">睡</t>
  </si>
  <si>
    <t xml:space="preserve">数</t>
  </si>
  <si>
    <t xml:space="preserve">制</t>
  </si>
  <si>
    <t xml:space="preserve">性</t>
  </si>
  <si>
    <t xml:space="preserve">成</t>
  </si>
  <si>
    <t xml:space="preserve">整</t>
  </si>
  <si>
    <t xml:space="preserve">正</t>
  </si>
  <si>
    <t xml:space="preserve">聖</t>
  </si>
  <si>
    <t xml:space="preserve">声</t>
  </si>
  <si>
    <t xml:space="preserve">青</t>
  </si>
  <si>
    <t xml:space="preserve">席</t>
  </si>
  <si>
    <t xml:space="preserve">石</t>
  </si>
  <si>
    <t xml:space="preserve">跡</t>
  </si>
  <si>
    <t xml:space="preserve">切</t>
  </si>
  <si>
    <t xml:space="preserve">接</t>
  </si>
  <si>
    <t xml:space="preserve">設</t>
  </si>
  <si>
    <t xml:space="preserve">先</t>
  </si>
  <si>
    <t xml:space="preserve">宣</t>
  </si>
  <si>
    <t xml:space="preserve">専</t>
  </si>
  <si>
    <t xml:space="preserve">戦</t>
  </si>
  <si>
    <t xml:space="preserve">泉</t>
  </si>
  <si>
    <t xml:space="preserve">線</t>
  </si>
  <si>
    <t xml:space="preserve">船</t>
  </si>
  <si>
    <t xml:space="preserve">選</t>
  </si>
  <si>
    <t xml:space="preserve">銭</t>
  </si>
  <si>
    <t xml:space="preserve">前</t>
  </si>
  <si>
    <t xml:space="preserve">全</t>
  </si>
  <si>
    <t xml:space="preserve">僧</t>
  </si>
  <si>
    <t xml:space="preserve">倉</t>
  </si>
  <si>
    <t xml:space="preserve">操</t>
  </si>
  <si>
    <t xml:space="preserve">装</t>
  </si>
  <si>
    <t xml:space="preserve">像</t>
  </si>
  <si>
    <t xml:space="preserve">増</t>
  </si>
  <si>
    <t xml:space="preserve">造</t>
  </si>
  <si>
    <t xml:space="preserve">即</t>
  </si>
  <si>
    <t xml:space="preserve">息</t>
  </si>
  <si>
    <t xml:space="preserve">束</t>
  </si>
  <si>
    <t xml:space="preserve">足</t>
  </si>
  <si>
    <t xml:space="preserve">属</t>
  </si>
  <si>
    <t xml:space="preserve">続</t>
  </si>
  <si>
    <t xml:space="preserve">存</t>
  </si>
  <si>
    <t xml:space="preserve">村</t>
  </si>
  <si>
    <t xml:space="preserve">他</t>
  </si>
  <si>
    <t xml:space="preserve">多</t>
  </si>
  <si>
    <t xml:space="preserve">舵</t>
  </si>
  <si>
    <t xml:space="preserve">体</t>
  </si>
  <si>
    <t xml:space="preserve">対</t>
  </si>
  <si>
    <t xml:space="preserve">態</t>
  </si>
  <si>
    <t xml:space="preserve">隊</t>
  </si>
  <si>
    <t xml:space="preserve">代</t>
  </si>
  <si>
    <t xml:space="preserve">台</t>
  </si>
  <si>
    <t xml:space="preserve">大</t>
  </si>
  <si>
    <t xml:space="preserve">第</t>
  </si>
  <si>
    <t xml:space="preserve">滝</t>
  </si>
  <si>
    <t xml:space="preserve">択</t>
  </si>
  <si>
    <t xml:space="preserve">託</t>
  </si>
  <si>
    <t xml:space="preserve">誰</t>
  </si>
  <si>
    <t xml:space="preserve">単</t>
  </si>
  <si>
    <t xml:space="preserve">弾</t>
  </si>
  <si>
    <t xml:space="preserve">断</t>
  </si>
  <si>
    <t xml:space="preserve">段</t>
  </si>
  <si>
    <t xml:space="preserve">男</t>
  </si>
  <si>
    <t xml:space="preserve">知</t>
  </si>
  <si>
    <t xml:space="preserve">地</t>
  </si>
  <si>
    <t xml:space="preserve">置</t>
  </si>
  <si>
    <t xml:space="preserve">着</t>
  </si>
  <si>
    <t xml:space="preserve">中</t>
  </si>
  <si>
    <t xml:space="preserve">仲</t>
  </si>
  <si>
    <t xml:space="preserve">挑</t>
  </si>
  <si>
    <t xml:space="preserve">町</t>
  </si>
  <si>
    <t xml:space="preserve">調</t>
  </si>
  <si>
    <t xml:space="preserve">超</t>
  </si>
  <si>
    <t xml:space="preserve">長</t>
  </si>
  <si>
    <t xml:space="preserve">頂</t>
  </si>
  <si>
    <t xml:space="preserve">直</t>
  </si>
  <si>
    <t xml:space="preserve">沈</t>
  </si>
  <si>
    <t xml:space="preserve">追</t>
  </si>
  <si>
    <t xml:space="preserve">通</t>
  </si>
  <si>
    <t xml:space="preserve">定</t>
  </si>
  <si>
    <t xml:space="preserve">底</t>
  </si>
  <si>
    <t xml:space="preserve">庭</t>
  </si>
  <si>
    <t xml:space="preserve">程</t>
  </si>
  <si>
    <t xml:space="preserve">艇</t>
  </si>
  <si>
    <t xml:space="preserve">敵</t>
  </si>
  <si>
    <t xml:space="preserve">的</t>
  </si>
  <si>
    <t xml:space="preserve">鉄</t>
  </si>
  <si>
    <t xml:space="preserve">点</t>
  </si>
  <si>
    <t xml:space="preserve">電</t>
  </si>
  <si>
    <t xml:space="preserve">渡</t>
  </si>
  <si>
    <t xml:space="preserve">登</t>
  </si>
  <si>
    <t xml:space="preserve">倒</t>
  </si>
  <si>
    <t xml:space="preserve">刀</t>
  </si>
  <si>
    <t xml:space="preserve">塔</t>
  </si>
  <si>
    <t xml:space="preserve">鳥</t>
  </si>
  <si>
    <t xml:space="preserve">投</t>
  </si>
  <si>
    <t xml:space="preserve">盗</t>
  </si>
  <si>
    <t xml:space="preserve">討</t>
  </si>
  <si>
    <t xml:space="preserve">逃</t>
  </si>
  <si>
    <t xml:space="preserve">闘</t>
  </si>
  <si>
    <t xml:space="preserve">動</t>
  </si>
  <si>
    <t xml:space="preserve">堂</t>
  </si>
  <si>
    <t xml:space="preserve">洞</t>
  </si>
  <si>
    <t xml:space="preserve">道</t>
  </si>
  <si>
    <t xml:space="preserve">峠</t>
  </si>
  <si>
    <t xml:space="preserve">特</t>
  </si>
  <si>
    <t xml:space="preserve">毒</t>
  </si>
  <si>
    <t xml:space="preserve">突</t>
  </si>
  <si>
    <t xml:space="preserve">内</t>
  </si>
  <si>
    <t xml:space="preserve">南</t>
  </si>
  <si>
    <t xml:space="preserve">二</t>
  </si>
  <si>
    <t xml:space="preserve">入</t>
  </si>
  <si>
    <t xml:space="preserve">認</t>
  </si>
  <si>
    <t xml:space="preserve">年</t>
  </si>
  <si>
    <t xml:space="preserve">念</t>
  </si>
  <si>
    <t xml:space="preserve">能</t>
  </si>
  <si>
    <t xml:space="preserve">拝</t>
  </si>
  <si>
    <t xml:space="preserve">敗</t>
  </si>
  <si>
    <t xml:space="preserve">背</t>
  </si>
  <si>
    <t xml:space="preserve">倍</t>
  </si>
  <si>
    <t xml:space="preserve">白</t>
  </si>
  <si>
    <t xml:space="preserve">漠</t>
  </si>
  <si>
    <t xml:space="preserve">爆</t>
  </si>
  <si>
    <t xml:space="preserve">発</t>
  </si>
  <si>
    <t xml:space="preserve">伐</t>
  </si>
  <si>
    <t xml:space="preserve">抜</t>
  </si>
  <si>
    <t xml:space="preserve">判</t>
  </si>
  <si>
    <t xml:space="preserve">半</t>
  </si>
  <si>
    <t xml:space="preserve">反</t>
  </si>
  <si>
    <t xml:space="preserve">板</t>
  </si>
  <si>
    <t xml:space="preserve">般</t>
  </si>
  <si>
    <t xml:space="preserve">番</t>
  </si>
  <si>
    <t xml:space="preserve">盤</t>
  </si>
  <si>
    <t xml:space="preserve">費</t>
  </si>
  <si>
    <t xml:space="preserve">避</t>
  </si>
  <si>
    <t xml:space="preserve">非</t>
  </si>
  <si>
    <t xml:space="preserve">飛</t>
  </si>
  <si>
    <t xml:space="preserve">備</t>
  </si>
  <si>
    <t xml:space="preserve">尾</t>
  </si>
  <si>
    <t xml:space="preserve">必</t>
  </si>
  <si>
    <t xml:space="preserve">氷</t>
  </si>
  <si>
    <t xml:space="preserve">漂</t>
  </si>
  <si>
    <t xml:space="preserve">表</t>
  </si>
  <si>
    <t xml:space="preserve">浜</t>
  </si>
  <si>
    <t xml:space="preserve">不</t>
  </si>
  <si>
    <t xml:space="preserve">付</t>
  </si>
  <si>
    <t xml:space="preserve">敷</t>
  </si>
  <si>
    <t xml:space="preserve">武</t>
  </si>
  <si>
    <t xml:space="preserve">部</t>
  </si>
  <si>
    <t xml:space="preserve">復</t>
  </si>
  <si>
    <t xml:space="preserve">物</t>
  </si>
  <si>
    <t xml:space="preserve">分</t>
  </si>
  <si>
    <t xml:space="preserve">兵</t>
  </si>
  <si>
    <t xml:space="preserve">平</t>
  </si>
  <si>
    <t xml:space="preserve">壁</t>
  </si>
  <si>
    <t xml:space="preserve">変</t>
  </si>
  <si>
    <t xml:space="preserve">辺</t>
  </si>
  <si>
    <t xml:space="preserve">歩</t>
  </si>
  <si>
    <t xml:space="preserve">補</t>
  </si>
  <si>
    <t xml:space="preserve">報</t>
  </si>
  <si>
    <t xml:space="preserve">宝</t>
  </si>
  <si>
    <t xml:space="preserve">方</t>
  </si>
  <si>
    <t xml:space="preserve">法</t>
  </si>
  <si>
    <t xml:space="preserve">砲</t>
  </si>
  <si>
    <t xml:space="preserve">防</t>
  </si>
  <si>
    <t xml:space="preserve">北</t>
  </si>
  <si>
    <t xml:space="preserve">堀</t>
  </si>
  <si>
    <t xml:space="preserve">本</t>
  </si>
  <si>
    <t xml:space="preserve">魔</t>
  </si>
  <si>
    <t xml:space="preserve">幕</t>
  </si>
  <si>
    <t xml:space="preserve">万</t>
  </si>
  <si>
    <t xml:space="preserve">満</t>
  </si>
  <si>
    <t xml:space="preserve">味</t>
  </si>
  <si>
    <t xml:space="preserve">未</t>
  </si>
  <si>
    <t xml:space="preserve">民</t>
  </si>
  <si>
    <t xml:space="preserve">眠</t>
  </si>
  <si>
    <t xml:space="preserve">無</t>
  </si>
  <si>
    <t xml:space="preserve">名</t>
  </si>
  <si>
    <t xml:space="preserve">命</t>
  </si>
  <si>
    <t xml:space="preserve">迷</t>
  </si>
  <si>
    <t xml:space="preserve">面</t>
  </si>
  <si>
    <t xml:space="preserve">黙</t>
  </si>
  <si>
    <t xml:space="preserve">目</t>
  </si>
  <si>
    <t xml:space="preserve">戻</t>
  </si>
  <si>
    <t xml:space="preserve">門</t>
  </si>
  <si>
    <t xml:space="preserve">薬</t>
  </si>
  <si>
    <t xml:space="preserve">与</t>
  </si>
  <si>
    <t xml:space="preserve">容</t>
  </si>
  <si>
    <t xml:space="preserve">様</t>
  </si>
  <si>
    <t xml:space="preserve">用</t>
  </si>
  <si>
    <t xml:space="preserve">要</t>
  </si>
  <si>
    <t xml:space="preserve">雷</t>
  </si>
  <si>
    <t xml:space="preserve">絡</t>
  </si>
  <si>
    <t xml:space="preserve">落</t>
  </si>
  <si>
    <t xml:space="preserve">乱</t>
  </si>
  <si>
    <t xml:space="preserve">覧</t>
  </si>
  <si>
    <t xml:space="preserve">理</t>
  </si>
  <si>
    <t xml:space="preserve">離</t>
  </si>
  <si>
    <t xml:space="preserve">陸</t>
  </si>
  <si>
    <t xml:space="preserve">率</t>
  </si>
  <si>
    <t xml:space="preserve">流</t>
  </si>
  <si>
    <t xml:space="preserve">竜</t>
  </si>
  <si>
    <t xml:space="preserve">旅</t>
  </si>
  <si>
    <t xml:space="preserve">了</t>
  </si>
  <si>
    <t xml:space="preserve">量</t>
  </si>
  <si>
    <t xml:space="preserve">力</t>
  </si>
  <si>
    <t xml:space="preserve">令</t>
  </si>
  <si>
    <t xml:space="preserve">冷</t>
  </si>
  <si>
    <t xml:space="preserve">礼</t>
  </si>
  <si>
    <t xml:space="preserve">練</t>
  </si>
  <si>
    <t xml:space="preserve">連</t>
  </si>
  <si>
    <t xml:space="preserve">路</t>
  </si>
  <si>
    <t xml:space="preserve">廊</t>
  </si>
  <si>
    <t xml:space="preserve">牢</t>
  </si>
  <si>
    <t xml:space="preserve">録</t>
  </si>
  <si>
    <t xml:space="preserve">話</t>
  </si>
  <si>
    <t xml:space="preserve">榴</t>
  </si>
  <si>
    <t xml:space="preserve">々</t>
  </si>
  <si>
    <t xml:space="preserve">総</t>
  </si>
  <si>
    <t xml:space="preserve">老</t>
  </si>
  <si>
    <t xml:space="preserve">教</t>
  </si>
  <si>
    <t xml:space="preserve">族</t>
  </si>
  <si>
    <t xml:space="preserve">語</t>
  </si>
  <si>
    <t xml:space="preserve">兄</t>
  </si>
  <si>
    <t xml:space="preserve">貴</t>
  </si>
  <si>
    <t xml:space="preserve">勝</t>
  </si>
  <si>
    <t xml:space="preserve">遠</t>
  </si>
  <si>
    <t xml:space="preserve">衝</t>
  </si>
  <si>
    <t xml:space="preserve">波</t>
  </si>
  <si>
    <t xml:space="preserve">準</t>
  </si>
  <si>
    <t xml:space="preserve">明</t>
  </si>
  <si>
    <t xml:space="preserve">志</t>
  </si>
  <si>
    <t xml:space="preserve">憤</t>
  </si>
  <si>
    <t xml:space="preserve">怒</t>
  </si>
  <si>
    <t xml:space="preserve">苦</t>
  </si>
  <si>
    <t xml:space="preserve">肉</t>
  </si>
  <si>
    <t xml:space="preserve">慈</t>
  </si>
  <si>
    <t xml:space="preserve">愛</t>
  </si>
  <si>
    <t xml:space="preserve">策</t>
  </si>
  <si>
    <t xml:space="preserve">略</t>
  </si>
  <si>
    <t xml:space="preserve">華</t>
  </si>
  <si>
    <t xml:space="preserve">麗</t>
  </si>
  <si>
    <t xml:space="preserve">悲</t>
  </si>
  <si>
    <t xml:space="preserve">哀</t>
  </si>
  <si>
    <t xml:space="preserve">凱</t>
  </si>
  <si>
    <t xml:space="preserve">歌</t>
  </si>
  <si>
    <t xml:space="preserve">英</t>
  </si>
  <si>
    <t xml:space="preserve">雄</t>
  </si>
  <si>
    <t xml:space="preserve">磐</t>
  </si>
  <si>
    <t xml:space="preserve">利</t>
  </si>
  <si>
    <t xml:space="preserve">恥</t>
  </si>
  <si>
    <t xml:space="preserve">辱</t>
  </si>
  <si>
    <t xml:space="preserve">峙</t>
  </si>
  <si>
    <t xml:space="preserve">危</t>
  </si>
  <si>
    <t xml:space="preserve">孤</t>
  </si>
  <si>
    <t xml:space="preserve">窮</t>
  </si>
  <si>
    <t xml:space="preserve">霊</t>
  </si>
  <si>
    <t xml:space="preserve">射</t>
  </si>
  <si>
    <t xml:space="preserve">打</t>
  </si>
  <si>
    <t xml:space="preserve">少</t>
  </si>
  <si>
    <t xml:space="preserve">天</t>
  </si>
  <si>
    <t xml:space="preserve">柄</t>
  </si>
  <si>
    <t xml:space="preserve">脇</t>
  </si>
  <si>
    <t xml:space="preserve">差</t>
  </si>
  <si>
    <t xml:space="preserve">伝</t>
  </si>
  <si>
    <t xml:space="preserve">説</t>
  </si>
  <si>
    <t xml:space="preserve">強</t>
  </si>
  <si>
    <t xml:space="preserve">三</t>
  </si>
  <si>
    <t xml:space="preserve">姉</t>
  </si>
  <si>
    <t xml:space="preserve">妹</t>
  </si>
  <si>
    <t xml:space="preserve">注</t>
  </si>
  <si>
    <t xml:space="preserve">意</t>
  </si>
  <si>
    <t xml:space="preserve">当</t>
  </si>
  <si>
    <t xml:space="preserve">素</t>
  </si>
  <si>
    <t xml:space="preserve">早</t>
  </si>
  <si>
    <t xml:space="preserve">羅</t>
  </si>
  <si>
    <t xml:space="preserve">覆</t>
  </si>
  <si>
    <t xml:space="preserve">有</t>
  </si>
  <si>
    <t xml:space="preserve">堅</t>
  </si>
  <si>
    <t xml:space="preserve">破</t>
  </si>
  <si>
    <t xml:space="preserve">識</t>
  </si>
  <si>
    <t xml:space="preserve">限</t>
  </si>
  <si>
    <t xml:space="preserve">完</t>
  </si>
  <si>
    <t xml:space="preserve">心</t>
  </si>
  <si>
    <t xml:space="preserve">作</t>
  </si>
  <si>
    <t xml:space="preserve">辞</t>
  </si>
  <si>
    <t xml:space="preserve">巻</t>
  </si>
  <si>
    <t xml:space="preserve">撮</t>
  </si>
  <si>
    <t xml:space="preserve">影</t>
  </si>
  <si>
    <t xml:space="preserve">振</t>
  </si>
  <si>
    <t xml:space="preserve">以</t>
  </si>
  <si>
    <t xml:space="preserve">買</t>
  </si>
  <si>
    <t xml:space="preserve">売</t>
  </si>
  <si>
    <t xml:space="preserve">予</t>
  </si>
  <si>
    <t xml:space="preserve">帰</t>
  </si>
  <si>
    <t xml:space="preserve">極</t>
  </si>
  <si>
    <t xml:space="preserve">最</t>
  </si>
  <si>
    <t xml:space="preserve">星</t>
  </si>
  <si>
    <t xml:space="preserve">牙</t>
  </si>
  <si>
    <t xml:space="preserve">龍</t>
  </si>
  <si>
    <t xml:space="preserve">征</t>
  </si>
  <si>
    <t xml:space="preserve">陣</t>
  </si>
  <si>
    <t xml:space="preserve">風</t>
  </si>
  <si>
    <t xml:space="preserve">秘</t>
  </si>
  <si>
    <t xml:space="preserve">基</t>
  </si>
  <si>
    <t xml:space="preserve">可</t>
  </si>
  <si>
    <t xml:space="preserve">放</t>
  </si>
  <si>
    <t xml:space="preserve">解</t>
  </si>
  <si>
    <t xml:space="preserve">時</t>
  </si>
  <si>
    <t xml:space="preserve">封</t>
  </si>
  <si>
    <t xml:space="preserve">鈍</t>
  </si>
  <si>
    <t xml:space="preserve">頭</t>
  </si>
  <si>
    <t xml:space="preserve">怪</t>
  </si>
  <si>
    <t xml:space="preserve">音</t>
  </si>
  <si>
    <t xml:space="preserve">吐</t>
  </si>
  <si>
    <t xml:space="preserve">匹</t>
  </si>
  <si>
    <t xml:space="preserve">悪</t>
  </si>
  <si>
    <t xml:space="preserve">営</t>
  </si>
  <si>
    <t xml:space="preserve">官</t>
  </si>
  <si>
    <t xml:space="preserve">区</t>
  </si>
  <si>
    <t xml:space="preserve">訓</t>
  </si>
  <si>
    <t xml:space="preserve">群</t>
  </si>
  <si>
    <t xml:space="preserve">穴</t>
  </si>
  <si>
    <t xml:space="preserve">罪</t>
  </si>
  <si>
    <t xml:space="preserve">浄</t>
  </si>
  <si>
    <t xml:space="preserve">西</t>
  </si>
  <si>
    <t xml:space="preserve">谷</t>
  </si>
  <si>
    <t xml:space="preserve">端</t>
  </si>
  <si>
    <t xml:space="preserve">都</t>
  </si>
  <si>
    <t xml:space="preserve">東</t>
  </si>
  <si>
    <t xml:space="preserve">没</t>
  </si>
  <si>
    <t xml:space="preserve">夢</t>
  </si>
  <si>
    <t xml:space="preserve">野</t>
  </si>
  <si>
    <t xml:space="preserve">者</t>
  </si>
  <si>
    <t xml:space="preserve">画</t>
  </si>
  <si>
    <t xml:space="preserve">文</t>
  </si>
  <si>
    <t xml:space="preserve">済</t>
  </si>
  <si>
    <t xml:space="preserve">両</t>
  </si>
  <si>
    <t xml:space="preserve">除</t>
  </si>
  <si>
    <t xml:space="preserve">距</t>
  </si>
  <si>
    <t xml:space="preserve">速</t>
  </si>
  <si>
    <t xml:space="preserve">忘</t>
  </si>
  <si>
    <t xml:space="preserve">片</t>
  </si>
  <si>
    <t xml:space="preserve">械</t>
  </si>
  <si>
    <t xml:space="preserve">種</t>
  </si>
  <si>
    <t xml:space="preserve">禁</t>
  </si>
  <si>
    <t xml:space="preserve">修</t>
  </si>
  <si>
    <t xml:space="preserve">包</t>
  </si>
  <si>
    <t xml:space="preserve">実</t>
  </si>
  <si>
    <t xml:space="preserve">損</t>
  </si>
  <si>
    <t xml:space="preserve">丁</t>
  </si>
  <si>
    <t xml:space="preserve">植</t>
  </si>
  <si>
    <t xml:space="preserve">傷</t>
  </si>
  <si>
    <t xml:space="preserve">系</t>
  </si>
  <si>
    <t xml:space="preserve">込</t>
  </si>
  <si>
    <t xml:space="preserve">低</t>
  </si>
  <si>
    <t xml:space="preserve">複</t>
  </si>
  <si>
    <t xml:space="preserve">同</t>
  </si>
  <si>
    <t xml:space="preserve">起</t>
  </si>
  <si>
    <t xml:space="preserve">滅</t>
  </si>
  <si>
    <t xml:space="preserve">業</t>
  </si>
  <si>
    <t xml:space="preserve">測</t>
  </si>
  <si>
    <t xml:space="preserve">相</t>
  </si>
  <si>
    <t xml:space="preserve">重</t>
  </si>
  <si>
    <t xml:space="preserve">係</t>
  </si>
  <si>
    <t xml:space="preserve">関</t>
  </si>
  <si>
    <t xml:space="preserve">得</t>
  </si>
  <si>
    <t xml:space="preserve">助</t>
  </si>
  <si>
    <t xml:space="preserve">柱</t>
  </si>
  <si>
    <t xml:space="preserve">触</t>
  </si>
  <si>
    <t xml:space="preserve">転</t>
  </si>
  <si>
    <t xml:space="preserve">来</t>
  </si>
  <si>
    <t xml:space="preserve">向</t>
  </si>
  <si>
    <t xml:space="preserve">急</t>
  </si>
  <si>
    <t xml:space="preserve">浮</t>
  </si>
  <si>
    <t xml:space="preserve">腕</t>
  </si>
  <si>
    <t xml:space="preserve">液</t>
  </si>
  <si>
    <t xml:space="preserve">順</t>
  </si>
  <si>
    <t xml:space="preserve">今</t>
  </si>
  <si>
    <t xml:space="preserve">砕</t>
  </si>
  <si>
    <t xml:space="preserve">究</t>
  </si>
  <si>
    <t xml:space="preserve">充</t>
  </si>
  <si>
    <t xml:space="preserve">考</t>
  </si>
  <si>
    <t xml:space="preserve">刃</t>
  </si>
  <si>
    <t xml:space="preserve">類</t>
  </si>
  <si>
    <t xml:space="preserve">呪</t>
  </si>
  <si>
    <t xml:space="preserve">〔</t>
  </si>
  <si>
    <t xml:space="preserve">〕</t>
  </si>
  <si>
    <t xml:space="preserve">魂</t>
  </si>
  <si>
    <t xml:space="preserve">魚</t>
  </si>
  <si>
    <t xml:space="preserve">徹</t>
  </si>
  <si>
    <t xml:space="preserve">至</t>
  </si>
  <si>
    <t xml:space="preserve">銀</t>
  </si>
  <si>
    <t xml:space="preserve">計</t>
  </si>
  <si>
    <t xml:space="preserve">羽</t>
  </si>
  <si>
    <t xml:space="preserve">月</t>
  </si>
  <si>
    <t xml:space="preserve">生</t>
  </si>
  <si>
    <t xml:space="preserve">清</t>
  </si>
  <si>
    <t xml:space="preserve">塩</t>
  </si>
  <si>
    <t xml:space="preserve">日</t>
  </si>
  <si>
    <t xml:space="preserve">扉</t>
  </si>
  <si>
    <t xml:space="preserve">翼</t>
  </si>
  <si>
    <t xml:space="preserve">負</t>
  </si>
  <si>
    <t xml:space="preserve">逆</t>
  </si>
  <si>
    <t xml:space="preserve">鏡</t>
  </si>
  <si>
    <t xml:space="preserve">七</t>
  </si>
  <si>
    <t xml:space="preserve">曜</t>
  </si>
  <si>
    <t xml:space="preserve">輪</t>
  </si>
  <si>
    <t xml:space="preserve">印</t>
  </si>
  <si>
    <t xml:space="preserve">土</t>
  </si>
  <si>
    <t xml:space="preserve">木</t>
  </si>
  <si>
    <t xml:space="preserve">亡</t>
  </si>
  <si>
    <t xml:space="preserve">組</t>
  </si>
  <si>
    <t xml:space="preserve">押</t>
  </si>
  <si>
    <t xml:space="preserve">別</t>
  </si>
  <si>
    <t xml:space="preserve">側</t>
  </si>
  <si>
    <t xml:space="preserve">源</t>
  </si>
  <si>
    <t xml:space="preserve">泣</t>
  </si>
  <si>
    <t xml:space="preserve">虫</t>
  </si>
  <si>
    <t xml:space="preserve">父</t>
  </si>
  <si>
    <t xml:space="preserve">言</t>
  </si>
  <si>
    <t xml:space="preserve">宗</t>
  </si>
  <si>
    <t xml:space="preserve">鬼</t>
  </si>
  <si>
    <t xml:space="preserve">太</t>
  </si>
  <si>
    <t xml:space="preserve">導</t>
  </si>
  <si>
    <t xml:space="preserve">杖</t>
  </si>
  <si>
    <t xml:space="preserve">林</t>
  </si>
  <si>
    <t xml:space="preserve">叢</t>
  </si>
  <si>
    <t xml:space="preserve">軍</t>
  </si>
  <si>
    <t xml:space="preserve">世</t>
  </si>
  <si>
    <t xml:space="preserve">氏</t>
  </si>
  <si>
    <t xml:space="preserve">雪</t>
  </si>
  <si>
    <t xml:space="preserve">雨</t>
  </si>
  <si>
    <t xml:space="preserve">妖</t>
  </si>
  <si>
    <t xml:space="preserve">真</t>
  </si>
  <si>
    <t xml:space="preserve">想</t>
  </si>
  <si>
    <t xml:space="preserve">五</t>
  </si>
  <si>
    <t xml:space="preserve">菊</t>
  </si>
  <si>
    <t xml:space="preserve">阿</t>
  </si>
  <si>
    <t xml:space="preserve">虎</t>
  </si>
  <si>
    <t xml:space="preserve">王</t>
  </si>
  <si>
    <t xml:space="preserve">活</t>
  </si>
  <si>
    <t xml:space="preserve">春</t>
  </si>
  <si>
    <t xml:space="preserve">桜</t>
  </si>
  <si>
    <t xml:space="preserve">十</t>
  </si>
  <si>
    <t xml:space="preserve">六</t>
  </si>
  <si>
    <t xml:space="preserve">剛</t>
  </si>
  <si>
    <t xml:space="preserve">縛</t>
  </si>
  <si>
    <t xml:space="preserve">百</t>
  </si>
  <si>
    <t xml:space="preserve">丸</t>
  </si>
  <si>
    <t xml:space="preserve">夜</t>
  </si>
  <si>
    <t xml:space="preserve">陽</t>
  </si>
  <si>
    <t xml:space="preserve">術</t>
  </si>
  <si>
    <t xml:space="preserve">盾</t>
  </si>
  <si>
    <t xml:space="preserve">神</t>
  </si>
  <si>
    <t xml:space="preserve">八</t>
  </si>
  <si>
    <t xml:space="preserve">救</t>
  </si>
  <si>
    <t xml:space="preserve">退</t>
  </si>
  <si>
    <t xml:space="preserve">紅</t>
  </si>
  <si>
    <t xml:space="preserve">屈</t>
  </si>
  <si>
    <t xml:space="preserve">探</t>
  </si>
  <si>
    <t xml:space="preserve">求</t>
  </si>
  <si>
    <t xml:space="preserve">希</t>
  </si>
  <si>
    <t xml:space="preserve">望</t>
  </si>
  <si>
    <t xml:space="preserve">精</t>
  </si>
  <si>
    <t xml:space="preserve">虹</t>
  </si>
  <si>
    <t xml:space="preserve">楽</t>
  </si>
  <si>
    <t xml:space="preserve">邪</t>
  </si>
  <si>
    <t xml:space="preserve">烈</t>
  </si>
  <si>
    <t xml:space="preserve">静</t>
  </si>
  <si>
    <t xml:space="preserve">冥</t>
  </si>
  <si>
    <t xml:space="preserve">安</t>
  </si>
  <si>
    <t xml:space="preserve">熱</t>
  </si>
  <si>
    <t xml:space="preserve">寒</t>
  </si>
  <si>
    <t xml:space="preserve">散</t>
  </si>
  <si>
    <t xml:space="preserve">達</t>
  </si>
  <si>
    <t xml:space="preserve">四</t>
  </si>
  <si>
    <t xml:space="preserve">緑</t>
  </si>
  <si>
    <t xml:space="preserve">栄</t>
  </si>
  <si>
    <t xml:space="preserve">珠</t>
  </si>
  <si>
    <t xml:space="preserve">爪</t>
  </si>
  <si>
    <t xml:space="preserve">視</t>
  </si>
  <si>
    <t xml:space="preserve">険</t>
  </si>
  <si>
    <t xml:space="preserve">固</t>
  </si>
  <si>
    <t xml:space="preserve">舞</t>
  </si>
  <si>
    <t xml:space="preserve">串</t>
  </si>
  <si>
    <t xml:space="preserve">刺</t>
  </si>
  <si>
    <t xml:space="preserve">'</t>
  </si>
  <si>
    <t xml:space="preserve">問</t>
  </si>
  <si>
    <t xml:space="preserve">題</t>
  </si>
  <si>
    <t xml:space="preserve">配</t>
  </si>
  <si>
    <t xml:space="preserve">耳</t>
  </si>
  <si>
    <t xml:space="preserve">仕</t>
  </si>
  <si>
    <t xml:space="preserve">聞</t>
  </si>
  <si>
    <t xml:space="preserve">休</t>
  </si>
  <si>
    <t xml:space="preserve">叫</t>
  </si>
  <si>
    <t xml:space="preserve">俺</t>
  </si>
  <si>
    <t xml:space="preserve">私</t>
  </si>
  <si>
    <t xml:space="preserve">骨</t>
  </si>
  <si>
    <t xml:space="preserve">習</t>
  </si>
  <si>
    <t xml:space="preserve">昔</t>
  </si>
  <si>
    <t xml:space="preserve">信</t>
  </si>
  <si>
    <t xml:space="preserve">興</t>
  </si>
  <si>
    <t xml:space="preserve">奮</t>
  </si>
  <si>
    <t xml:space="preserve">許</t>
  </si>
  <si>
    <t xml:space="preserve">待</t>
  </si>
  <si>
    <t xml:space="preserve">句</t>
  </si>
  <si>
    <t xml:space="preserve">怖</t>
  </si>
  <si>
    <t xml:space="preserve">返</t>
  </si>
  <si>
    <t xml:space="preserve">貸</t>
  </si>
  <si>
    <t xml:space="preserve">凍</t>
  </si>
  <si>
    <t xml:space="preserve">援</t>
  </si>
  <si>
    <t xml:space="preserve">球</t>
  </si>
  <si>
    <t xml:space="preserve">結</t>
  </si>
  <si>
    <t xml:space="preserve">局</t>
  </si>
  <si>
    <t xml:space="preserve">悟</t>
  </si>
  <si>
    <t xml:space="preserve">姿</t>
  </si>
  <si>
    <t xml:space="preserve">件</t>
  </si>
  <si>
    <t xml:space="preserve">首</t>
  </si>
  <si>
    <t xml:space="preserve">感</t>
  </si>
  <si>
    <t xml:space="preserve">油</t>
  </si>
  <si>
    <t xml:space="preserve">紙</t>
  </si>
  <si>
    <t xml:space="preserve">良</t>
  </si>
  <si>
    <t xml:space="preserve">慢</t>
  </si>
  <si>
    <t xml:space="preserve">過</t>
  </si>
  <si>
    <t xml:space="preserve">食</t>
  </si>
  <si>
    <t xml:space="preserve">耐</t>
  </si>
  <si>
    <t xml:space="preserve">激</t>
  </si>
  <si>
    <t xml:space="preserve">謝</t>
  </si>
  <si>
    <t xml:space="preserve">走</t>
  </si>
  <si>
    <t xml:space="preserve">痛</t>
  </si>
  <si>
    <t xml:space="preserve">我</t>
  </si>
  <si>
    <t xml:space="preserve">約</t>
  </si>
  <si>
    <t xml:space="preserve">照</t>
  </si>
  <si>
    <t xml:space="preserve">詠</t>
  </si>
  <si>
    <t xml:space="preserve">唱</t>
  </si>
  <si>
    <t xml:space="preserve">嵐</t>
  </si>
  <si>
    <t xml:space="preserve">燃</t>
  </si>
  <si>
    <t xml:space="preserve">好</t>
  </si>
  <si>
    <t xml:space="preserve">血</t>
  </si>
  <si>
    <t xml:space="preserve">色</t>
  </si>
  <si>
    <t xml:space="preserve">瞬</t>
  </si>
  <si>
    <t xml:space="preserve">誓</t>
  </si>
  <si>
    <t xml:space="preserve">揮</t>
  </si>
  <si>
    <t xml:space="preserve">絶</t>
  </si>
  <si>
    <t xml:space="preserve">嫌</t>
  </si>
  <si>
    <t xml:space="preserve">将</t>
  </si>
  <si>
    <t xml:space="preserve">扱</t>
  </si>
  <si>
    <t xml:space="preserve">從</t>
  </si>
  <si>
    <t xml:space="preserve">원문</t>
  </si>
  <si>
    <t xml:space="preserve">유니코드</t>
  </si>
  <si>
    <t xml:space="preserve">자음</t>
  </si>
  <si>
    <t xml:space="preserve">모음</t>
  </si>
  <si>
    <t xml:space="preserve">받침</t>
  </si>
  <si>
    <t xml:space="preserve">&gt;자음</t>
  </si>
  <si>
    <t xml:space="preserve">&gt;모음</t>
  </si>
  <si>
    <t xml:space="preserve">알베드</t>
  </si>
  <si>
    <t xml:space="preserve">사전 1</t>
  </si>
  <si>
    <t xml:space="preserve">사전 2</t>
  </si>
  <si>
    <t xml:space="preserve">result</t>
  </si>
  <si>
    <t xml:space="preserve">origin</t>
  </si>
  <si>
    <t xml:space="preserve">albhed</t>
  </si>
  <si>
    <t xml:space="preserve">primer</t>
  </si>
  <si>
    <t xml:space="preserve">가</t>
  </si>
  <si>
    <t xml:space="preserve">ㄱ</t>
  </si>
  <si>
    <t xml:space="preserve">ㅏ</t>
  </si>
  <si>
    <t xml:space="preserve">원본</t>
  </si>
  <si>
    <t xml:space="preserve">노</t>
  </si>
  <si>
    <t xml:space="preserve">리</t>
  </si>
  <si>
    <t xml:space="preserve">자</t>
  </si>
  <si>
    <t xml:space="preserve">마</t>
  </si>
  <si>
    <t xml:space="preserve">스</t>
  </si>
  <si>
    <t xml:space="preserve">터</t>
  </si>
  <si>
    <t xml:space="preserve">건</t>
  </si>
  <si>
    <t xml:space="preserve">투</t>
  </si>
  <si>
    <t xml:space="preserve">를</t>
  </si>
  <si>
    <t xml:space="preserve">빌</t>
  </si>
  <si>
    <t xml:space="preserve">며</t>
  </si>
  <si>
    <t xml:space="preserve">빅</t>
  </si>
  <si>
    <t xml:space="preserve">토</t>
  </si>
  <si>
    <t xml:space="preserve">어</t>
  </si>
  <si>
    <t xml:space="preserve">각</t>
  </si>
  <si>
    <t xml:space="preserve">ㄲ</t>
  </si>
  <si>
    <t xml:space="preserve">ㅐ</t>
  </si>
  <si>
    <t xml:space="preserve">간</t>
  </si>
  <si>
    <t xml:space="preserve">ㄴ</t>
  </si>
  <si>
    <t xml:space="preserve">ㅑ</t>
  </si>
  <si>
    <t xml:space="preserve">갇</t>
  </si>
  <si>
    <t xml:space="preserve">ㄷ</t>
  </si>
  <si>
    <t xml:space="preserve">ㅒ</t>
  </si>
  <si>
    <t xml:space="preserve">안</t>
  </si>
  <si>
    <t xml:space="preserve">녕</t>
  </si>
  <si>
    <t xml:space="preserve">하</t>
  </si>
  <si>
    <t xml:space="preserve">세</t>
  </si>
  <si>
    <t xml:space="preserve">요</t>
  </si>
  <si>
    <t xml:space="preserve">테</t>
  </si>
  <si>
    <t xml:space="preserve">트</t>
  </si>
  <si>
    <t xml:space="preserve">있</t>
  </si>
  <si>
    <t xml:space="preserve">습</t>
  </si>
  <si>
    <t xml:space="preserve">니</t>
  </si>
  <si>
    <t xml:space="preserve">다</t>
  </si>
  <si>
    <t xml:space="preserve">없</t>
  </si>
  <si>
    <t xml:space="preserve">나</t>
  </si>
  <si>
    <t xml:space="preserve">와</t>
  </si>
  <si>
    <t xml:space="preserve">왜</t>
  </si>
  <si>
    <t xml:space="preserve">워</t>
  </si>
  <si>
    <t xml:space="preserve">웨</t>
  </si>
  <si>
    <t xml:space="preserve">왔</t>
  </si>
  <si>
    <t xml:space="preserve">이</t>
  </si>
  <si>
    <t xml:space="preserve">의</t>
  </si>
  <si>
    <t xml:space="preserve">갈</t>
  </si>
  <si>
    <t xml:space="preserve">ㄸ</t>
  </si>
  <si>
    <t xml:space="preserve">ㅓ</t>
  </si>
  <si>
    <t xml:space="preserve">갉</t>
  </si>
  <si>
    <t xml:space="preserve">ㄹ</t>
  </si>
  <si>
    <t xml:space="preserve">ㅔ</t>
  </si>
  <si>
    <t xml:space="preserve">갊</t>
  </si>
  <si>
    <t xml:space="preserve">ㅁ</t>
  </si>
  <si>
    <t xml:space="preserve">ㅕ</t>
  </si>
  <si>
    <t xml:space="preserve">감</t>
  </si>
  <si>
    <t xml:space="preserve">ㅂ</t>
  </si>
  <si>
    <t xml:space="preserve">ㅖ</t>
  </si>
  <si>
    <t xml:space="preserve">ㅂㅃ</t>
  </si>
  <si>
    <t xml:space="preserve">ㄱㄲ</t>
  </si>
  <si>
    <t xml:space="preserve">갑</t>
  </si>
  <si>
    <t xml:space="preserve">ㅃ</t>
  </si>
  <si>
    <t xml:space="preserve">ㅗ</t>
  </si>
  <si>
    <t xml:space="preserve">ㅜㅠ</t>
  </si>
  <si>
    <t xml:space="preserve">ㅏㅑ</t>
  </si>
  <si>
    <t xml:space="preserve">값</t>
  </si>
  <si>
    <t xml:space="preserve">ㅅ</t>
  </si>
  <si>
    <t xml:space="preserve">ㅘ</t>
  </si>
  <si>
    <t xml:space="preserve">ㅎ</t>
  </si>
  <si>
    <t xml:space="preserve">갓</t>
  </si>
  <si>
    <t xml:space="preserve">ㅆ</t>
  </si>
  <si>
    <t xml:space="preserve">ㅙ</t>
  </si>
  <si>
    <t xml:space="preserve">ㅗㅛ</t>
  </si>
  <si>
    <t xml:space="preserve">ㅓㅕ</t>
  </si>
  <si>
    <t xml:space="preserve">갔</t>
  </si>
  <si>
    <t xml:space="preserve">ㅇ</t>
  </si>
  <si>
    <t xml:space="preserve">ㅚ</t>
  </si>
  <si>
    <t xml:space="preserve">ㅅㅆ</t>
  </si>
  <si>
    <t xml:space="preserve">ㄷㄸ</t>
  </si>
  <si>
    <t xml:space="preserve">강</t>
  </si>
  <si>
    <t xml:space="preserve">ㅈ</t>
  </si>
  <si>
    <t xml:space="preserve">ㅛ</t>
  </si>
  <si>
    <t xml:space="preserve">갖</t>
  </si>
  <si>
    <t xml:space="preserve">ㅉ</t>
  </si>
  <si>
    <t xml:space="preserve">ㅜ</t>
  </si>
  <si>
    <t xml:space="preserve">ㅊ</t>
  </si>
  <si>
    <t xml:space="preserve">갗</t>
  </si>
  <si>
    <t xml:space="preserve">ㅝ</t>
  </si>
  <si>
    <t xml:space="preserve">같</t>
  </si>
  <si>
    <t xml:space="preserve">ㅋ</t>
  </si>
  <si>
    <t xml:space="preserve">ㅞ</t>
  </si>
  <si>
    <t xml:space="preserve">갚</t>
  </si>
  <si>
    <t xml:space="preserve">ㅌ</t>
  </si>
  <si>
    <t xml:space="preserve">ㅟ</t>
  </si>
  <si>
    <t xml:space="preserve">ㅡ</t>
  </si>
  <si>
    <t xml:space="preserve">ㅔㅐ</t>
  </si>
  <si>
    <t xml:space="preserve">갛</t>
  </si>
  <si>
    <t xml:space="preserve">ㅍ</t>
  </si>
  <si>
    <t xml:space="preserve">ㅠ</t>
  </si>
  <si>
    <t xml:space="preserve">ㅈㅉ</t>
  </si>
  <si>
    <t xml:space="preserve">개</t>
  </si>
  <si>
    <t xml:space="preserve">ㅣ</t>
  </si>
  <si>
    <t xml:space="preserve">ㅘㅙ</t>
  </si>
  <si>
    <t xml:space="preserve">객</t>
  </si>
  <si>
    <t xml:space="preserve">ㅢ</t>
  </si>
  <si>
    <t xml:space="preserve">갠</t>
  </si>
  <si>
    <t xml:space="preserve">ㅖㅒ</t>
  </si>
  <si>
    <t xml:space="preserve">갤</t>
  </si>
  <si>
    <t xml:space="preserve">갬</t>
  </si>
  <si>
    <t xml:space="preserve">외래어</t>
  </si>
  <si>
    <t xml:space="preserve">ㅝㅞ</t>
  </si>
  <si>
    <t xml:space="preserve">갭</t>
  </si>
  <si>
    <t xml:space="preserve">갯</t>
  </si>
  <si>
    <t xml:space="preserve">갰</t>
  </si>
  <si>
    <t xml:space="preserve">갱</t>
  </si>
  <si>
    <t xml:space="preserve">ㄳ</t>
  </si>
  <si>
    <t xml:space="preserve">갸</t>
  </si>
  <si>
    <t xml:space="preserve">갹</t>
  </si>
  <si>
    <t xml:space="preserve">ㄵ</t>
  </si>
  <si>
    <t xml:space="preserve">ㅚㅟ</t>
  </si>
  <si>
    <t xml:space="preserve">갼</t>
  </si>
  <si>
    <t xml:space="preserve">ㄶ</t>
  </si>
  <si>
    <t xml:space="preserve">걀</t>
  </si>
  <si>
    <t xml:space="preserve">걋</t>
  </si>
  <si>
    <t xml:space="preserve">걍</t>
  </si>
  <si>
    <t xml:space="preserve">ㄺ</t>
  </si>
  <si>
    <t xml:space="preserve">걔</t>
  </si>
  <si>
    <t xml:space="preserve">ㄻ</t>
  </si>
  <si>
    <t xml:space="preserve">걘</t>
  </si>
  <si>
    <t xml:space="preserve">ㄼ</t>
  </si>
  <si>
    <t xml:space="preserve">걜</t>
  </si>
  <si>
    <t xml:space="preserve">ㄽ</t>
  </si>
  <si>
    <t xml:space="preserve">거</t>
  </si>
  <si>
    <t xml:space="preserve">ㄾ</t>
  </si>
  <si>
    <t xml:space="preserve">걱</t>
  </si>
  <si>
    <t xml:space="preserve">ㄿ</t>
  </si>
  <si>
    <t xml:space="preserve">ㅀ</t>
  </si>
  <si>
    <t xml:space="preserve">걷</t>
  </si>
  <si>
    <t xml:space="preserve">걸</t>
  </si>
  <si>
    <t xml:space="preserve">걺</t>
  </si>
  <si>
    <t xml:space="preserve">ㅄ</t>
  </si>
  <si>
    <t xml:space="preserve">검</t>
  </si>
  <si>
    <t xml:space="preserve">겁</t>
  </si>
  <si>
    <t xml:space="preserve">것</t>
  </si>
  <si>
    <t xml:space="preserve">겄</t>
  </si>
  <si>
    <t xml:space="preserve">겅</t>
  </si>
  <si>
    <t xml:space="preserve">겆</t>
  </si>
  <si>
    <t xml:space="preserve">겉</t>
  </si>
  <si>
    <t xml:space="preserve">겊</t>
  </si>
  <si>
    <t xml:space="preserve">겋</t>
  </si>
  <si>
    <t xml:space="preserve">게</t>
  </si>
  <si>
    <t xml:space="preserve">겐</t>
  </si>
  <si>
    <t xml:space="preserve">겔</t>
  </si>
  <si>
    <t xml:space="preserve">겜</t>
  </si>
  <si>
    <t xml:space="preserve">겝</t>
  </si>
  <si>
    <t xml:space="preserve">겟</t>
  </si>
  <si>
    <t xml:space="preserve">겠</t>
  </si>
  <si>
    <t xml:space="preserve">겡</t>
  </si>
  <si>
    <t xml:space="preserve">겨</t>
  </si>
  <si>
    <t xml:space="preserve">격</t>
  </si>
  <si>
    <t xml:space="preserve">겪</t>
  </si>
  <si>
    <t xml:space="preserve">견</t>
  </si>
  <si>
    <t xml:space="preserve">겯</t>
  </si>
  <si>
    <t xml:space="preserve">결</t>
  </si>
  <si>
    <t xml:space="preserve">겸</t>
  </si>
  <si>
    <t xml:space="preserve">겹</t>
  </si>
  <si>
    <t xml:space="preserve">겻</t>
  </si>
  <si>
    <t xml:space="preserve">겼</t>
  </si>
  <si>
    <t xml:space="preserve">경</t>
  </si>
  <si>
    <t xml:space="preserve">곁</t>
  </si>
  <si>
    <t xml:space="preserve">계</t>
  </si>
  <si>
    <t xml:space="preserve">곈</t>
  </si>
  <si>
    <t xml:space="preserve">곌</t>
  </si>
  <si>
    <t xml:space="preserve">곕</t>
  </si>
  <si>
    <t xml:space="preserve">곗</t>
  </si>
  <si>
    <t xml:space="preserve">고</t>
  </si>
  <si>
    <t xml:space="preserve">곡</t>
  </si>
  <si>
    <t xml:space="preserve">곤</t>
  </si>
  <si>
    <t xml:space="preserve">곧</t>
  </si>
  <si>
    <t xml:space="preserve">골</t>
  </si>
  <si>
    <t xml:space="preserve">곪</t>
  </si>
  <si>
    <t xml:space="preserve">곬</t>
  </si>
  <si>
    <t xml:space="preserve">곯</t>
  </si>
  <si>
    <t xml:space="preserve">곰</t>
  </si>
  <si>
    <t xml:space="preserve">곱</t>
  </si>
  <si>
    <t xml:space="preserve">곳</t>
  </si>
  <si>
    <t xml:space="preserve">공</t>
  </si>
  <si>
    <t xml:space="preserve">곶</t>
  </si>
  <si>
    <t xml:space="preserve">과</t>
  </si>
  <si>
    <t xml:space="preserve">곽</t>
  </si>
  <si>
    <t xml:space="preserve">관</t>
  </si>
  <si>
    <t xml:space="preserve">괄</t>
  </si>
  <si>
    <t xml:space="preserve">괆</t>
  </si>
  <si>
    <t xml:space="preserve">괌</t>
  </si>
  <si>
    <t xml:space="preserve">괍</t>
  </si>
  <si>
    <t xml:space="preserve">괏</t>
  </si>
  <si>
    <t xml:space="preserve">광</t>
  </si>
  <si>
    <t xml:space="preserve">괘</t>
  </si>
  <si>
    <t xml:space="preserve">괜</t>
  </si>
  <si>
    <t xml:space="preserve">괠</t>
  </si>
  <si>
    <t xml:space="preserve">괩</t>
  </si>
  <si>
    <t xml:space="preserve">괬</t>
  </si>
  <si>
    <t xml:space="preserve">괭</t>
  </si>
  <si>
    <t xml:space="preserve">괴</t>
  </si>
  <si>
    <t xml:space="preserve">괵</t>
  </si>
  <si>
    <t xml:space="preserve">괸</t>
  </si>
  <si>
    <t xml:space="preserve">괼</t>
  </si>
  <si>
    <t xml:space="preserve">굄</t>
  </si>
  <si>
    <t xml:space="preserve">굅</t>
  </si>
  <si>
    <t xml:space="preserve">굇</t>
  </si>
  <si>
    <t xml:space="preserve">굉</t>
  </si>
  <si>
    <t xml:space="preserve">교</t>
  </si>
  <si>
    <t xml:space="preserve">굔</t>
  </si>
  <si>
    <t xml:space="preserve">굘</t>
  </si>
  <si>
    <t xml:space="preserve">굡</t>
  </si>
  <si>
    <t xml:space="preserve">굣</t>
  </si>
  <si>
    <t xml:space="preserve">구</t>
  </si>
  <si>
    <t xml:space="preserve">국</t>
  </si>
  <si>
    <t xml:space="preserve">군</t>
  </si>
  <si>
    <t xml:space="preserve">굳</t>
  </si>
  <si>
    <t xml:space="preserve">굴</t>
  </si>
  <si>
    <t xml:space="preserve">굵</t>
  </si>
  <si>
    <t xml:space="preserve">굶</t>
  </si>
  <si>
    <t xml:space="preserve">굻</t>
  </si>
  <si>
    <t xml:space="preserve">굼</t>
  </si>
  <si>
    <t xml:space="preserve">굽</t>
  </si>
  <si>
    <t xml:space="preserve">굿</t>
  </si>
  <si>
    <t xml:space="preserve">궁</t>
  </si>
  <si>
    <t xml:space="preserve">궂</t>
  </si>
  <si>
    <t xml:space="preserve">궈</t>
  </si>
  <si>
    <t xml:space="preserve">궉</t>
  </si>
  <si>
    <t xml:space="preserve">권</t>
  </si>
  <si>
    <t xml:space="preserve">궐</t>
  </si>
  <si>
    <t xml:space="preserve">궜</t>
  </si>
  <si>
    <t xml:space="preserve">궝</t>
  </si>
  <si>
    <t xml:space="preserve">궤</t>
  </si>
  <si>
    <t xml:space="preserve">궷</t>
  </si>
  <si>
    <t xml:space="preserve">귀</t>
  </si>
  <si>
    <t xml:space="preserve">귁</t>
  </si>
  <si>
    <t xml:space="preserve">귄</t>
  </si>
  <si>
    <t xml:space="preserve">귈</t>
  </si>
  <si>
    <t xml:space="preserve">귐</t>
  </si>
  <si>
    <t xml:space="preserve">귑</t>
  </si>
  <si>
    <t xml:space="preserve">귓</t>
  </si>
  <si>
    <t xml:space="preserve">규</t>
  </si>
  <si>
    <t xml:space="preserve">균</t>
  </si>
  <si>
    <t xml:space="preserve">귤</t>
  </si>
  <si>
    <t xml:space="preserve">그</t>
  </si>
  <si>
    <t xml:space="preserve">극</t>
  </si>
  <si>
    <t xml:space="preserve">근</t>
  </si>
  <si>
    <t xml:space="preserve">귿</t>
  </si>
  <si>
    <t xml:space="preserve">글</t>
  </si>
  <si>
    <t xml:space="preserve">긁</t>
  </si>
  <si>
    <t xml:space="preserve">금</t>
  </si>
  <si>
    <t xml:space="preserve">급</t>
  </si>
  <si>
    <t xml:space="preserve">긋</t>
  </si>
  <si>
    <t xml:space="preserve">긍</t>
  </si>
  <si>
    <t xml:space="preserve">긔</t>
  </si>
  <si>
    <t xml:space="preserve">기</t>
  </si>
  <si>
    <t xml:space="preserve">긱</t>
  </si>
  <si>
    <t xml:space="preserve">긴</t>
  </si>
  <si>
    <t xml:space="preserve">긷</t>
  </si>
  <si>
    <t xml:space="preserve">길</t>
  </si>
  <si>
    <t xml:space="preserve">긺</t>
  </si>
  <si>
    <t xml:space="preserve">김</t>
  </si>
  <si>
    <t xml:space="preserve">깁</t>
  </si>
  <si>
    <t xml:space="preserve">깃</t>
  </si>
  <si>
    <t xml:space="preserve">깅</t>
  </si>
  <si>
    <t xml:space="preserve">깆</t>
  </si>
  <si>
    <t xml:space="preserve">깊</t>
  </si>
  <si>
    <t xml:space="preserve">까</t>
  </si>
  <si>
    <t xml:space="preserve">깍</t>
  </si>
  <si>
    <t xml:space="preserve">깎</t>
  </si>
  <si>
    <t xml:space="preserve">깐</t>
  </si>
  <si>
    <t xml:space="preserve">깔</t>
  </si>
  <si>
    <t xml:space="preserve">깖</t>
  </si>
  <si>
    <t xml:space="preserve">깜</t>
  </si>
  <si>
    <t xml:space="preserve">깝</t>
  </si>
  <si>
    <t xml:space="preserve">깟</t>
  </si>
  <si>
    <t xml:space="preserve">깠</t>
  </si>
  <si>
    <t xml:space="preserve">깡</t>
  </si>
  <si>
    <t xml:space="preserve">깥</t>
  </si>
  <si>
    <t xml:space="preserve">깨</t>
  </si>
  <si>
    <t xml:space="preserve">깩</t>
  </si>
  <si>
    <t xml:space="preserve">깬</t>
  </si>
  <si>
    <t xml:space="preserve">깰</t>
  </si>
  <si>
    <t xml:space="preserve">깸</t>
  </si>
  <si>
    <t xml:space="preserve">깹</t>
  </si>
  <si>
    <t xml:space="preserve">깻</t>
  </si>
  <si>
    <t xml:space="preserve">깼</t>
  </si>
  <si>
    <t xml:space="preserve">깽</t>
  </si>
  <si>
    <t xml:space="preserve">꺄</t>
  </si>
  <si>
    <t xml:space="preserve">꺅</t>
  </si>
  <si>
    <t xml:space="preserve">꺌</t>
  </si>
  <si>
    <t xml:space="preserve">꺼</t>
  </si>
  <si>
    <t xml:space="preserve">꺽</t>
  </si>
  <si>
    <t xml:space="preserve">꺾</t>
  </si>
  <si>
    <t xml:space="preserve">껀</t>
  </si>
  <si>
    <t xml:space="preserve">껄</t>
  </si>
  <si>
    <t xml:space="preserve">껌</t>
  </si>
  <si>
    <t xml:space="preserve">껍</t>
  </si>
  <si>
    <t xml:space="preserve">껏</t>
  </si>
  <si>
    <t xml:space="preserve">껐</t>
  </si>
  <si>
    <t xml:space="preserve">껑</t>
  </si>
  <si>
    <t xml:space="preserve">께</t>
  </si>
  <si>
    <t xml:space="preserve">껙</t>
  </si>
  <si>
    <t xml:space="preserve">껜</t>
  </si>
  <si>
    <t xml:space="preserve">껨</t>
  </si>
  <si>
    <t xml:space="preserve">껫</t>
  </si>
  <si>
    <t xml:space="preserve">껭</t>
  </si>
  <si>
    <t xml:space="preserve">껴</t>
  </si>
  <si>
    <t xml:space="preserve">껸</t>
  </si>
  <si>
    <t xml:space="preserve">껼</t>
  </si>
  <si>
    <t xml:space="preserve">꼇</t>
  </si>
  <si>
    <t xml:space="preserve">꼈</t>
  </si>
  <si>
    <t xml:space="preserve">꼍</t>
  </si>
  <si>
    <t xml:space="preserve">꼐</t>
  </si>
  <si>
    <t xml:space="preserve">꼬</t>
  </si>
  <si>
    <t xml:space="preserve">꼭</t>
  </si>
  <si>
    <t xml:space="preserve">꼰</t>
  </si>
  <si>
    <t xml:space="preserve">꼲</t>
  </si>
  <si>
    <t xml:space="preserve">꼴</t>
  </si>
  <si>
    <t xml:space="preserve">꼼</t>
  </si>
  <si>
    <t xml:space="preserve">꼽</t>
  </si>
  <si>
    <t xml:space="preserve">꼿</t>
  </si>
  <si>
    <t xml:space="preserve">꽁</t>
  </si>
  <si>
    <t xml:space="preserve">꽂</t>
  </si>
  <si>
    <t xml:space="preserve">꽃</t>
  </si>
  <si>
    <t xml:space="preserve">꽈</t>
  </si>
  <si>
    <t xml:space="preserve">꽉</t>
  </si>
  <si>
    <t xml:space="preserve">꽐</t>
  </si>
  <si>
    <t xml:space="preserve">꽜</t>
  </si>
  <si>
    <t xml:space="preserve">꽝</t>
  </si>
  <si>
    <t xml:space="preserve">꽤</t>
  </si>
  <si>
    <t xml:space="preserve">꽥</t>
  </si>
  <si>
    <t xml:space="preserve">꽹</t>
  </si>
  <si>
    <t xml:space="preserve">꾀</t>
  </si>
  <si>
    <t xml:space="preserve">꾄</t>
  </si>
  <si>
    <t xml:space="preserve">꾈</t>
  </si>
  <si>
    <t xml:space="preserve">꾐</t>
  </si>
  <si>
    <t xml:space="preserve">꾑</t>
  </si>
  <si>
    <t xml:space="preserve">꾕</t>
  </si>
  <si>
    <t xml:space="preserve">꾜</t>
  </si>
  <si>
    <t xml:space="preserve">꾸</t>
  </si>
  <si>
    <t xml:space="preserve">꾹</t>
  </si>
  <si>
    <t xml:space="preserve">꾼</t>
  </si>
  <si>
    <t xml:space="preserve">꿀</t>
  </si>
  <si>
    <t xml:space="preserve">꿇</t>
  </si>
  <si>
    <t xml:space="preserve">꿈</t>
  </si>
  <si>
    <t xml:space="preserve">꿉</t>
  </si>
  <si>
    <t xml:space="preserve">꿋</t>
  </si>
  <si>
    <t xml:space="preserve">꿍</t>
  </si>
  <si>
    <t xml:space="preserve">꿎</t>
  </si>
  <si>
    <t xml:space="preserve">꿔</t>
  </si>
  <si>
    <t xml:space="preserve">꿜</t>
  </si>
  <si>
    <t xml:space="preserve">꿨</t>
  </si>
  <si>
    <t xml:space="preserve">꿩</t>
  </si>
  <si>
    <t xml:space="preserve">꿰</t>
  </si>
  <si>
    <t xml:space="preserve">꿱</t>
  </si>
  <si>
    <t xml:space="preserve">꿴</t>
  </si>
  <si>
    <t xml:space="preserve">꿸</t>
  </si>
  <si>
    <t xml:space="preserve">뀀</t>
  </si>
  <si>
    <t xml:space="preserve">뀁</t>
  </si>
  <si>
    <t xml:space="preserve">뀄</t>
  </si>
  <si>
    <t xml:space="preserve">뀌</t>
  </si>
  <si>
    <t xml:space="preserve">뀐</t>
  </si>
  <si>
    <t xml:space="preserve">뀔</t>
  </si>
  <si>
    <t xml:space="preserve">뀜</t>
  </si>
  <si>
    <t xml:space="preserve">뀝</t>
  </si>
  <si>
    <t xml:space="preserve">뀨</t>
  </si>
  <si>
    <t xml:space="preserve">끄</t>
  </si>
  <si>
    <t xml:space="preserve">끅</t>
  </si>
  <si>
    <t xml:space="preserve">끈</t>
  </si>
  <si>
    <t xml:space="preserve">끊</t>
  </si>
  <si>
    <t xml:space="preserve">끌</t>
  </si>
  <si>
    <t xml:space="preserve">끎</t>
  </si>
  <si>
    <t xml:space="preserve">끓</t>
  </si>
  <si>
    <t xml:space="preserve">끔</t>
  </si>
  <si>
    <t xml:space="preserve">끕</t>
  </si>
  <si>
    <t xml:space="preserve">끗</t>
  </si>
  <si>
    <t xml:space="preserve">끙</t>
  </si>
  <si>
    <t xml:space="preserve">끝</t>
  </si>
  <si>
    <t xml:space="preserve">끼</t>
  </si>
  <si>
    <t xml:space="preserve">끽</t>
  </si>
  <si>
    <t xml:space="preserve">낀</t>
  </si>
  <si>
    <t xml:space="preserve">낄</t>
  </si>
  <si>
    <t xml:space="preserve">낌</t>
  </si>
  <si>
    <t xml:space="preserve">낍</t>
  </si>
  <si>
    <t xml:space="preserve">낏</t>
  </si>
  <si>
    <t xml:space="preserve">낑</t>
  </si>
  <si>
    <t xml:space="preserve">낙</t>
  </si>
  <si>
    <t xml:space="preserve">낚</t>
  </si>
  <si>
    <t xml:space="preserve">난</t>
  </si>
  <si>
    <t xml:space="preserve">낟</t>
  </si>
  <si>
    <t xml:space="preserve">날</t>
  </si>
  <si>
    <t xml:space="preserve">낡</t>
  </si>
  <si>
    <t xml:space="preserve">낢</t>
  </si>
  <si>
    <t xml:space="preserve">남</t>
  </si>
  <si>
    <t xml:space="preserve">납</t>
  </si>
  <si>
    <t xml:space="preserve">낫</t>
  </si>
  <si>
    <t xml:space="preserve">났</t>
  </si>
  <si>
    <t xml:space="preserve">낭</t>
  </si>
  <si>
    <t xml:space="preserve">낮</t>
  </si>
  <si>
    <t xml:space="preserve">낯</t>
  </si>
  <si>
    <t xml:space="preserve">낱</t>
  </si>
  <si>
    <t xml:space="preserve">낳</t>
  </si>
  <si>
    <t xml:space="preserve">내</t>
  </si>
  <si>
    <t xml:space="preserve">낵</t>
  </si>
  <si>
    <t xml:space="preserve">낸</t>
  </si>
  <si>
    <t xml:space="preserve">낼</t>
  </si>
  <si>
    <t xml:space="preserve">냄</t>
  </si>
  <si>
    <t xml:space="preserve">냅</t>
  </si>
  <si>
    <t xml:space="preserve">냇</t>
  </si>
  <si>
    <t xml:space="preserve">냈</t>
  </si>
  <si>
    <t xml:space="preserve">냉</t>
  </si>
  <si>
    <t xml:space="preserve">냐</t>
  </si>
  <si>
    <t xml:space="preserve">냑</t>
  </si>
  <si>
    <t xml:space="preserve">냔</t>
  </si>
  <si>
    <t xml:space="preserve">냘</t>
  </si>
  <si>
    <t xml:space="preserve">냠</t>
  </si>
  <si>
    <t xml:space="preserve">냥</t>
  </si>
  <si>
    <t xml:space="preserve">너</t>
  </si>
  <si>
    <t xml:space="preserve">넉</t>
  </si>
  <si>
    <t xml:space="preserve">넋</t>
  </si>
  <si>
    <t xml:space="preserve">넌</t>
  </si>
  <si>
    <t xml:space="preserve">널</t>
  </si>
  <si>
    <t xml:space="preserve">넒</t>
  </si>
  <si>
    <t xml:space="preserve">넓</t>
  </si>
  <si>
    <t xml:space="preserve">넘</t>
  </si>
  <si>
    <t xml:space="preserve">넙</t>
  </si>
  <si>
    <t xml:space="preserve">넛</t>
  </si>
  <si>
    <t xml:space="preserve">넜</t>
  </si>
  <si>
    <t xml:space="preserve">넝</t>
  </si>
  <si>
    <t xml:space="preserve">넣</t>
  </si>
  <si>
    <t xml:space="preserve">네</t>
  </si>
  <si>
    <t xml:space="preserve">넥</t>
  </si>
  <si>
    <t xml:space="preserve">넨</t>
  </si>
  <si>
    <t xml:space="preserve">넬</t>
  </si>
  <si>
    <t xml:space="preserve">넴</t>
  </si>
  <si>
    <t xml:space="preserve">넵</t>
  </si>
  <si>
    <t xml:space="preserve">넷</t>
  </si>
  <si>
    <t xml:space="preserve">넸</t>
  </si>
  <si>
    <t xml:space="preserve">넹</t>
  </si>
  <si>
    <t xml:space="preserve">녀</t>
  </si>
  <si>
    <t xml:space="preserve">녁</t>
  </si>
  <si>
    <t xml:space="preserve">년</t>
  </si>
  <si>
    <t xml:space="preserve">녈</t>
  </si>
  <si>
    <t xml:space="preserve">념</t>
  </si>
  <si>
    <t xml:space="preserve">녑</t>
  </si>
  <si>
    <t xml:space="preserve">녔</t>
  </si>
  <si>
    <t xml:space="preserve">녘</t>
  </si>
  <si>
    <t xml:space="preserve">녜</t>
  </si>
  <si>
    <t xml:space="preserve">녠</t>
  </si>
  <si>
    <t xml:space="preserve">녹</t>
  </si>
  <si>
    <t xml:space="preserve">논</t>
  </si>
  <si>
    <t xml:space="preserve">놀</t>
  </si>
  <si>
    <t xml:space="preserve">놂</t>
  </si>
  <si>
    <t xml:space="preserve">놈</t>
  </si>
  <si>
    <t xml:space="preserve">놉</t>
  </si>
  <si>
    <t xml:space="preserve">놋</t>
  </si>
  <si>
    <t xml:space="preserve">농</t>
  </si>
  <si>
    <t xml:space="preserve">높</t>
  </si>
  <si>
    <t xml:space="preserve">놓</t>
  </si>
  <si>
    <t xml:space="preserve">놔</t>
  </si>
  <si>
    <t xml:space="preserve">놘</t>
  </si>
  <si>
    <t xml:space="preserve">놜</t>
  </si>
  <si>
    <t xml:space="preserve">놨</t>
  </si>
  <si>
    <t xml:space="preserve">뇌</t>
  </si>
  <si>
    <t xml:space="preserve">뇐</t>
  </si>
  <si>
    <t xml:space="preserve">뇔</t>
  </si>
  <si>
    <t xml:space="preserve">뇜</t>
  </si>
  <si>
    <t xml:space="preserve">뇝</t>
  </si>
  <si>
    <t xml:space="preserve">뇟</t>
  </si>
  <si>
    <t xml:space="preserve">뇨</t>
  </si>
  <si>
    <t xml:space="preserve">뇩</t>
  </si>
  <si>
    <t xml:space="preserve">뇬</t>
  </si>
  <si>
    <t xml:space="preserve">뇰</t>
  </si>
  <si>
    <t xml:space="preserve">뇹</t>
  </si>
  <si>
    <t xml:space="preserve">뇻</t>
  </si>
  <si>
    <t xml:space="preserve">뇽</t>
  </si>
  <si>
    <t xml:space="preserve">누</t>
  </si>
  <si>
    <t xml:space="preserve">눅</t>
  </si>
  <si>
    <t xml:space="preserve">눈</t>
  </si>
  <si>
    <t xml:space="preserve">눋</t>
  </si>
  <si>
    <t xml:space="preserve">눌</t>
  </si>
  <si>
    <t xml:space="preserve">눔</t>
  </si>
  <si>
    <t xml:space="preserve">눕</t>
  </si>
  <si>
    <t xml:space="preserve">눗</t>
  </si>
  <si>
    <t xml:space="preserve">눙</t>
  </si>
  <si>
    <t xml:space="preserve">눠</t>
  </si>
  <si>
    <t xml:space="preserve">눴</t>
  </si>
  <si>
    <t xml:space="preserve">눼</t>
  </si>
  <si>
    <t xml:space="preserve">뉘</t>
  </si>
  <si>
    <t xml:space="preserve">뉜</t>
  </si>
  <si>
    <t xml:space="preserve">뉠</t>
  </si>
  <si>
    <t xml:space="preserve">뉨</t>
  </si>
  <si>
    <t xml:space="preserve">뉩</t>
  </si>
  <si>
    <t xml:space="preserve">뉴</t>
  </si>
  <si>
    <t xml:space="preserve">뉵</t>
  </si>
  <si>
    <t xml:space="preserve">뉼</t>
  </si>
  <si>
    <t xml:space="preserve">늄</t>
  </si>
  <si>
    <t xml:space="preserve">늅</t>
  </si>
  <si>
    <t xml:space="preserve">늉</t>
  </si>
  <si>
    <t xml:space="preserve">느</t>
  </si>
  <si>
    <t xml:space="preserve">늑</t>
  </si>
  <si>
    <t xml:space="preserve">는</t>
  </si>
  <si>
    <t xml:space="preserve">늘</t>
  </si>
  <si>
    <t xml:space="preserve">늙</t>
  </si>
  <si>
    <t xml:space="preserve">늚</t>
  </si>
  <si>
    <t xml:space="preserve">늠</t>
  </si>
  <si>
    <t xml:space="preserve">늡</t>
  </si>
  <si>
    <t xml:space="preserve">늣</t>
  </si>
  <si>
    <t xml:space="preserve">능</t>
  </si>
  <si>
    <t xml:space="preserve">늦</t>
  </si>
  <si>
    <t xml:space="preserve">늪</t>
  </si>
  <si>
    <t xml:space="preserve">늬</t>
  </si>
  <si>
    <t xml:space="preserve">늰</t>
  </si>
  <si>
    <t xml:space="preserve">늴</t>
  </si>
  <si>
    <t xml:space="preserve">닉</t>
  </si>
  <si>
    <t xml:space="preserve">닌</t>
  </si>
  <si>
    <t xml:space="preserve">닐</t>
  </si>
  <si>
    <t xml:space="preserve">닒</t>
  </si>
  <si>
    <t xml:space="preserve">님</t>
  </si>
  <si>
    <t xml:space="preserve">닙</t>
  </si>
  <si>
    <t xml:space="preserve">닛</t>
  </si>
  <si>
    <t xml:space="preserve">닝</t>
  </si>
  <si>
    <t xml:space="preserve">닢</t>
  </si>
  <si>
    <t xml:space="preserve">닥</t>
  </si>
  <si>
    <t xml:space="preserve">닦</t>
  </si>
  <si>
    <t xml:space="preserve">단</t>
  </si>
  <si>
    <t xml:space="preserve">닫</t>
  </si>
  <si>
    <t xml:space="preserve">달</t>
  </si>
  <si>
    <t xml:space="preserve">닭</t>
  </si>
  <si>
    <t xml:space="preserve">닮</t>
  </si>
  <si>
    <t xml:space="preserve">닯</t>
  </si>
  <si>
    <t xml:space="preserve">닳</t>
  </si>
  <si>
    <t xml:space="preserve">담</t>
  </si>
  <si>
    <t xml:space="preserve">답</t>
  </si>
  <si>
    <t xml:space="preserve">닷</t>
  </si>
  <si>
    <t xml:space="preserve">닸</t>
  </si>
  <si>
    <t xml:space="preserve">당</t>
  </si>
  <si>
    <t xml:space="preserve">닺</t>
  </si>
  <si>
    <t xml:space="preserve">닻</t>
  </si>
  <si>
    <t xml:space="preserve">닿</t>
  </si>
  <si>
    <t xml:space="preserve">대</t>
  </si>
  <si>
    <t xml:space="preserve">댁</t>
  </si>
  <si>
    <t xml:space="preserve">댄</t>
  </si>
  <si>
    <t xml:space="preserve">댈</t>
  </si>
  <si>
    <t xml:space="preserve">댐</t>
  </si>
  <si>
    <t xml:space="preserve">댑</t>
  </si>
  <si>
    <t xml:space="preserve">댓</t>
  </si>
  <si>
    <t xml:space="preserve">댔</t>
  </si>
  <si>
    <t xml:space="preserve">댕</t>
  </si>
  <si>
    <t xml:space="preserve">댜</t>
  </si>
  <si>
    <t xml:space="preserve">더</t>
  </si>
  <si>
    <t xml:space="preserve">덕</t>
  </si>
  <si>
    <t xml:space="preserve">덖</t>
  </si>
  <si>
    <t xml:space="preserve">던</t>
  </si>
  <si>
    <t xml:space="preserve">덛</t>
  </si>
  <si>
    <t xml:space="preserve">덜</t>
  </si>
  <si>
    <t xml:space="preserve">덞</t>
  </si>
  <si>
    <t xml:space="preserve">덟</t>
  </si>
  <si>
    <t xml:space="preserve">덤</t>
  </si>
  <si>
    <t xml:space="preserve">덥</t>
  </si>
  <si>
    <t xml:space="preserve">덧</t>
  </si>
  <si>
    <t xml:space="preserve">덩</t>
  </si>
  <si>
    <t xml:space="preserve">덫</t>
  </si>
  <si>
    <t xml:space="preserve">덮</t>
  </si>
  <si>
    <t xml:space="preserve">데</t>
  </si>
  <si>
    <t xml:space="preserve">덱</t>
  </si>
  <si>
    <t xml:space="preserve">덴</t>
  </si>
  <si>
    <t xml:space="preserve">델</t>
  </si>
  <si>
    <t xml:space="preserve">뎀</t>
  </si>
  <si>
    <t xml:space="preserve">뎁</t>
  </si>
  <si>
    <t xml:space="preserve">뎃</t>
  </si>
  <si>
    <t xml:space="preserve">뎄</t>
  </si>
  <si>
    <t xml:space="preserve">뎅</t>
  </si>
  <si>
    <t xml:space="preserve">뎌</t>
  </si>
  <si>
    <t xml:space="preserve">뎐</t>
  </si>
  <si>
    <t xml:space="preserve">뎔</t>
  </si>
  <si>
    <t xml:space="preserve">뎠</t>
  </si>
  <si>
    <t xml:space="preserve">뎡</t>
  </si>
  <si>
    <t xml:space="preserve">뎨</t>
  </si>
  <si>
    <t xml:space="preserve">뎬</t>
  </si>
  <si>
    <t xml:space="preserve">도</t>
  </si>
  <si>
    <t xml:space="preserve">독</t>
  </si>
  <si>
    <t xml:space="preserve">돈</t>
  </si>
  <si>
    <t xml:space="preserve">돋</t>
  </si>
  <si>
    <t xml:space="preserve">돌</t>
  </si>
  <si>
    <t xml:space="preserve">돎</t>
  </si>
  <si>
    <t xml:space="preserve">돐</t>
  </si>
  <si>
    <t xml:space="preserve">돔</t>
  </si>
  <si>
    <t xml:space="preserve">돕</t>
  </si>
  <si>
    <t xml:space="preserve">돗</t>
  </si>
  <si>
    <t xml:space="preserve">동</t>
  </si>
  <si>
    <t xml:space="preserve">돛</t>
  </si>
  <si>
    <t xml:space="preserve">돝</t>
  </si>
  <si>
    <t xml:space="preserve">돠</t>
  </si>
  <si>
    <t xml:space="preserve">돤</t>
  </si>
  <si>
    <t xml:space="preserve">돨</t>
  </si>
  <si>
    <t xml:space="preserve">돼</t>
  </si>
  <si>
    <t xml:space="preserve">됐</t>
  </si>
  <si>
    <t xml:space="preserve">되</t>
  </si>
  <si>
    <t xml:space="preserve">된</t>
  </si>
  <si>
    <t xml:space="preserve">될</t>
  </si>
  <si>
    <t xml:space="preserve">됨</t>
  </si>
  <si>
    <t xml:space="preserve">됩</t>
  </si>
  <si>
    <t xml:space="preserve">됫</t>
  </si>
  <si>
    <t xml:space="preserve">됴</t>
  </si>
  <si>
    <t xml:space="preserve">두</t>
  </si>
  <si>
    <t xml:space="preserve">둑</t>
  </si>
  <si>
    <t xml:space="preserve">둔</t>
  </si>
  <si>
    <t xml:space="preserve">둘</t>
  </si>
  <si>
    <t xml:space="preserve">둠</t>
  </si>
  <si>
    <t xml:space="preserve">둡</t>
  </si>
  <si>
    <t xml:space="preserve">둣</t>
  </si>
  <si>
    <t xml:space="preserve">둥</t>
  </si>
  <si>
    <t xml:space="preserve">둬</t>
  </si>
  <si>
    <t xml:space="preserve">뒀</t>
  </si>
  <si>
    <t xml:space="preserve">뒈</t>
  </si>
  <si>
    <t xml:space="preserve">뒝</t>
  </si>
  <si>
    <t xml:space="preserve">뒤</t>
  </si>
  <si>
    <t xml:space="preserve">뒨</t>
  </si>
  <si>
    <t xml:space="preserve">뒬</t>
  </si>
  <si>
    <t xml:space="preserve">뒵</t>
  </si>
  <si>
    <t xml:space="preserve">뒷</t>
  </si>
  <si>
    <t xml:space="preserve">뒹</t>
  </si>
  <si>
    <t xml:space="preserve">듀</t>
  </si>
  <si>
    <t xml:space="preserve">듄</t>
  </si>
  <si>
    <t xml:space="preserve">듈</t>
  </si>
  <si>
    <t xml:space="preserve">듐</t>
  </si>
  <si>
    <t xml:space="preserve">듕</t>
  </si>
  <si>
    <t xml:space="preserve">드</t>
  </si>
  <si>
    <t xml:space="preserve">득</t>
  </si>
  <si>
    <t xml:space="preserve">든</t>
  </si>
  <si>
    <t xml:space="preserve">듣</t>
  </si>
  <si>
    <t xml:space="preserve">들</t>
  </si>
  <si>
    <t xml:space="preserve">듦</t>
  </si>
  <si>
    <t xml:space="preserve">듬</t>
  </si>
  <si>
    <t xml:space="preserve">듭</t>
  </si>
  <si>
    <t xml:space="preserve">듯</t>
  </si>
  <si>
    <t xml:space="preserve">등</t>
  </si>
  <si>
    <t xml:space="preserve">듸</t>
  </si>
  <si>
    <t xml:space="preserve">디</t>
  </si>
  <si>
    <t xml:space="preserve">딕</t>
  </si>
  <si>
    <t xml:space="preserve">딘</t>
  </si>
  <si>
    <t xml:space="preserve">딛</t>
  </si>
  <si>
    <t xml:space="preserve">딜</t>
  </si>
  <si>
    <t xml:space="preserve">딤</t>
  </si>
  <si>
    <t xml:space="preserve">딥</t>
  </si>
  <si>
    <t xml:space="preserve">딧</t>
  </si>
  <si>
    <t xml:space="preserve">딨</t>
  </si>
  <si>
    <t xml:space="preserve">딩</t>
  </si>
  <si>
    <t xml:space="preserve">딪</t>
  </si>
  <si>
    <t xml:space="preserve">따</t>
  </si>
  <si>
    <t xml:space="preserve">딱</t>
  </si>
  <si>
    <t xml:space="preserve">딴</t>
  </si>
  <si>
    <t xml:space="preserve">딸</t>
  </si>
  <si>
    <t xml:space="preserve">땀</t>
  </si>
  <si>
    <t xml:space="preserve">땁</t>
  </si>
  <si>
    <t xml:space="preserve">땃</t>
  </si>
  <si>
    <t xml:space="preserve">땄</t>
  </si>
  <si>
    <t xml:space="preserve">땅</t>
  </si>
  <si>
    <t xml:space="preserve">땋</t>
  </si>
  <si>
    <t xml:space="preserve">때</t>
  </si>
  <si>
    <t xml:space="preserve">땍</t>
  </si>
  <si>
    <t xml:space="preserve">땐</t>
  </si>
  <si>
    <t xml:space="preserve">땔</t>
  </si>
  <si>
    <t xml:space="preserve">땜</t>
  </si>
  <si>
    <t xml:space="preserve">땝</t>
  </si>
  <si>
    <t xml:space="preserve">땟</t>
  </si>
  <si>
    <t xml:space="preserve">땠</t>
  </si>
  <si>
    <t xml:space="preserve">땡</t>
  </si>
  <si>
    <t xml:space="preserve">떠</t>
  </si>
  <si>
    <t xml:space="preserve">떡</t>
  </si>
  <si>
    <t xml:space="preserve">떤</t>
  </si>
  <si>
    <t xml:space="preserve">떨</t>
  </si>
  <si>
    <t xml:space="preserve">떪</t>
  </si>
  <si>
    <t xml:space="preserve">떫</t>
  </si>
  <si>
    <t xml:space="preserve">떰</t>
  </si>
  <si>
    <t xml:space="preserve">떱</t>
  </si>
  <si>
    <t xml:space="preserve">떳</t>
  </si>
  <si>
    <t xml:space="preserve">떴</t>
  </si>
  <si>
    <t xml:space="preserve">떵</t>
  </si>
  <si>
    <t xml:space="preserve">떻</t>
  </si>
  <si>
    <t xml:space="preserve">떼</t>
  </si>
  <si>
    <t xml:space="preserve">떽</t>
  </si>
  <si>
    <t xml:space="preserve">뗀</t>
  </si>
  <si>
    <t xml:space="preserve">뗄</t>
  </si>
  <si>
    <t xml:space="preserve">뗌</t>
  </si>
  <si>
    <t xml:space="preserve">뗍</t>
  </si>
  <si>
    <t xml:space="preserve">뗏</t>
  </si>
  <si>
    <t xml:space="preserve">뗐</t>
  </si>
  <si>
    <t xml:space="preserve">뗑</t>
  </si>
  <si>
    <t xml:space="preserve">뗘</t>
  </si>
  <si>
    <t xml:space="preserve">뗬</t>
  </si>
  <si>
    <t xml:space="preserve">또</t>
  </si>
  <si>
    <t xml:space="preserve">똑</t>
  </si>
  <si>
    <t xml:space="preserve">똔</t>
  </si>
  <si>
    <t xml:space="preserve">똘</t>
  </si>
  <si>
    <t xml:space="preserve">똥</t>
  </si>
  <si>
    <t xml:space="preserve">똬</t>
  </si>
  <si>
    <t xml:space="preserve">똴</t>
  </si>
  <si>
    <t xml:space="preserve">뙈</t>
  </si>
  <si>
    <t xml:space="preserve">뙤</t>
  </si>
  <si>
    <t xml:space="preserve">뙨</t>
  </si>
  <si>
    <t xml:space="preserve">뚜</t>
  </si>
  <si>
    <t xml:space="preserve">뚝</t>
  </si>
  <si>
    <t xml:space="preserve">뚠</t>
  </si>
  <si>
    <t xml:space="preserve">뚤</t>
  </si>
  <si>
    <t xml:space="preserve">뚫</t>
  </si>
  <si>
    <t xml:space="preserve">뚬</t>
  </si>
  <si>
    <t xml:space="preserve">뚱</t>
  </si>
  <si>
    <t xml:space="preserve">뛔</t>
  </si>
  <si>
    <t xml:space="preserve">뛰</t>
  </si>
  <si>
    <t xml:space="preserve">뛴</t>
  </si>
  <si>
    <t xml:space="preserve">뛸</t>
  </si>
  <si>
    <t xml:space="preserve">뜀</t>
  </si>
  <si>
    <t xml:space="preserve">뜁</t>
  </si>
  <si>
    <t xml:space="preserve">뜅</t>
  </si>
  <si>
    <t xml:space="preserve">뜨</t>
  </si>
  <si>
    <t xml:space="preserve">뜩</t>
  </si>
  <si>
    <t xml:space="preserve">뜬</t>
  </si>
  <si>
    <t xml:space="preserve">뜯</t>
  </si>
  <si>
    <t xml:space="preserve">뜰</t>
  </si>
  <si>
    <t xml:space="preserve">뜸</t>
  </si>
  <si>
    <t xml:space="preserve">뜹</t>
  </si>
  <si>
    <t xml:space="preserve">뜻</t>
  </si>
  <si>
    <t xml:space="preserve">띄</t>
  </si>
  <si>
    <t xml:space="preserve">띈</t>
  </si>
  <si>
    <t xml:space="preserve">띌</t>
  </si>
  <si>
    <t xml:space="preserve">띔</t>
  </si>
  <si>
    <t xml:space="preserve">띕</t>
  </si>
  <si>
    <t xml:space="preserve">띠</t>
  </si>
  <si>
    <t xml:space="preserve">띤</t>
  </si>
  <si>
    <t xml:space="preserve">띨</t>
  </si>
  <si>
    <t xml:space="preserve">띰</t>
  </si>
  <si>
    <t xml:space="preserve">띱</t>
  </si>
  <si>
    <t xml:space="preserve">띳</t>
  </si>
  <si>
    <t xml:space="preserve">띵</t>
  </si>
  <si>
    <t xml:space="preserve">라</t>
  </si>
  <si>
    <t xml:space="preserve">락</t>
  </si>
  <si>
    <t xml:space="preserve">란</t>
  </si>
  <si>
    <t xml:space="preserve">랄</t>
  </si>
  <si>
    <t xml:space="preserve">람</t>
  </si>
  <si>
    <t xml:space="preserve">랍</t>
  </si>
  <si>
    <t xml:space="preserve">랏</t>
  </si>
  <si>
    <t xml:space="preserve">랐</t>
  </si>
  <si>
    <t xml:space="preserve">랑</t>
  </si>
  <si>
    <t xml:space="preserve">랒</t>
  </si>
  <si>
    <t xml:space="preserve">랖</t>
  </si>
  <si>
    <t xml:space="preserve">랗</t>
  </si>
  <si>
    <t xml:space="preserve">래</t>
  </si>
  <si>
    <t xml:space="preserve">랙</t>
  </si>
  <si>
    <t xml:space="preserve">랜</t>
  </si>
  <si>
    <t xml:space="preserve">랠</t>
  </si>
  <si>
    <t xml:space="preserve">램</t>
  </si>
  <si>
    <t xml:space="preserve">랩</t>
  </si>
  <si>
    <t xml:space="preserve">랫</t>
  </si>
  <si>
    <t xml:space="preserve">랬</t>
  </si>
  <si>
    <t xml:space="preserve">랭</t>
  </si>
  <si>
    <t xml:space="preserve">랴</t>
  </si>
  <si>
    <t xml:space="preserve">략</t>
  </si>
  <si>
    <t xml:space="preserve">랸</t>
  </si>
  <si>
    <t xml:space="preserve">럇</t>
  </si>
  <si>
    <t xml:space="preserve">량</t>
  </si>
  <si>
    <t xml:space="preserve">러</t>
  </si>
  <si>
    <t xml:space="preserve">럭</t>
  </si>
  <si>
    <t xml:space="preserve">런</t>
  </si>
  <si>
    <t xml:space="preserve">럴</t>
  </si>
  <si>
    <t xml:space="preserve">럼</t>
  </si>
  <si>
    <t xml:space="preserve">럽</t>
  </si>
  <si>
    <t xml:space="preserve">럿</t>
  </si>
  <si>
    <t xml:space="preserve">렀</t>
  </si>
  <si>
    <t xml:space="preserve">렁</t>
  </si>
  <si>
    <t xml:space="preserve">렇</t>
  </si>
  <si>
    <t xml:space="preserve">레</t>
  </si>
  <si>
    <t xml:space="preserve">렉</t>
  </si>
  <si>
    <t xml:space="preserve">렌</t>
  </si>
  <si>
    <t xml:space="preserve">렐</t>
  </si>
  <si>
    <t xml:space="preserve">렘</t>
  </si>
  <si>
    <t xml:space="preserve">렙</t>
  </si>
  <si>
    <t xml:space="preserve">렛</t>
  </si>
  <si>
    <t xml:space="preserve">렝</t>
  </si>
  <si>
    <t xml:space="preserve">려</t>
  </si>
  <si>
    <t xml:space="preserve">력</t>
  </si>
  <si>
    <t xml:space="preserve">련</t>
  </si>
  <si>
    <t xml:space="preserve">렬</t>
  </si>
  <si>
    <t xml:space="preserve">렴</t>
  </si>
  <si>
    <t xml:space="preserve">렵</t>
  </si>
  <si>
    <t xml:space="preserve">렷</t>
  </si>
  <si>
    <t xml:space="preserve">렸</t>
  </si>
  <si>
    <t xml:space="preserve">령</t>
  </si>
  <si>
    <t xml:space="preserve">례</t>
  </si>
  <si>
    <t xml:space="preserve">롄</t>
  </si>
  <si>
    <t xml:space="preserve">롑</t>
  </si>
  <si>
    <t xml:space="preserve">롓</t>
  </si>
  <si>
    <t xml:space="preserve">로</t>
  </si>
  <si>
    <t xml:space="preserve">록</t>
  </si>
  <si>
    <t xml:space="preserve">론</t>
  </si>
  <si>
    <t xml:space="preserve">롤</t>
  </si>
  <si>
    <t xml:space="preserve">롬</t>
  </si>
  <si>
    <t xml:space="preserve">롭</t>
  </si>
  <si>
    <t xml:space="preserve">롯</t>
  </si>
  <si>
    <t xml:space="preserve">롱</t>
  </si>
  <si>
    <t xml:space="preserve">롸</t>
  </si>
  <si>
    <t xml:space="preserve">롼</t>
  </si>
  <si>
    <t xml:space="preserve">뢍</t>
  </si>
  <si>
    <t xml:space="preserve">뢨</t>
  </si>
  <si>
    <t xml:space="preserve">뢰</t>
  </si>
  <si>
    <t xml:space="preserve">뢴</t>
  </si>
  <si>
    <t xml:space="preserve">뢸</t>
  </si>
  <si>
    <t xml:space="preserve">룀</t>
  </si>
  <si>
    <t xml:space="preserve">룁</t>
  </si>
  <si>
    <t xml:space="preserve">룃</t>
  </si>
  <si>
    <t xml:space="preserve">룅</t>
  </si>
  <si>
    <t xml:space="preserve">료</t>
  </si>
  <si>
    <t xml:space="preserve">룐</t>
  </si>
  <si>
    <t xml:space="preserve">룔</t>
  </si>
  <si>
    <t xml:space="preserve">룝</t>
  </si>
  <si>
    <t xml:space="preserve">룟</t>
  </si>
  <si>
    <t xml:space="preserve">룡</t>
  </si>
  <si>
    <t xml:space="preserve">루</t>
  </si>
  <si>
    <t xml:space="preserve">룩</t>
  </si>
  <si>
    <t xml:space="preserve">룬</t>
  </si>
  <si>
    <t xml:space="preserve">룰</t>
  </si>
  <si>
    <t xml:space="preserve">룸</t>
  </si>
  <si>
    <t xml:space="preserve">룹</t>
  </si>
  <si>
    <t xml:space="preserve">룻</t>
  </si>
  <si>
    <t xml:space="preserve">룽</t>
  </si>
  <si>
    <t xml:space="preserve">뤄</t>
  </si>
  <si>
    <t xml:space="preserve">뤘</t>
  </si>
  <si>
    <t xml:space="preserve">뤠</t>
  </si>
  <si>
    <t xml:space="preserve">뤼</t>
  </si>
  <si>
    <t xml:space="preserve">뤽</t>
  </si>
  <si>
    <t xml:space="preserve">륀</t>
  </si>
  <si>
    <t xml:space="preserve">륄</t>
  </si>
  <si>
    <t xml:space="preserve">륌</t>
  </si>
  <si>
    <t xml:space="preserve">륏</t>
  </si>
  <si>
    <t xml:space="preserve">륑</t>
  </si>
  <si>
    <t xml:space="preserve">류</t>
  </si>
  <si>
    <t xml:space="preserve">륙</t>
  </si>
  <si>
    <t xml:space="preserve">륜</t>
  </si>
  <si>
    <t xml:space="preserve">률</t>
  </si>
  <si>
    <t xml:space="preserve">륨</t>
  </si>
  <si>
    <t xml:space="preserve">륩</t>
  </si>
  <si>
    <t xml:space="preserve">륫</t>
  </si>
  <si>
    <t xml:space="preserve">륭</t>
  </si>
  <si>
    <t xml:space="preserve">르</t>
  </si>
  <si>
    <t xml:space="preserve">륵</t>
  </si>
  <si>
    <t xml:space="preserve">른</t>
  </si>
  <si>
    <t xml:space="preserve">름</t>
  </si>
  <si>
    <t xml:space="preserve">릅</t>
  </si>
  <si>
    <t xml:space="preserve">릇</t>
  </si>
  <si>
    <t xml:space="preserve">릉</t>
  </si>
  <si>
    <t xml:space="preserve">릊</t>
  </si>
  <si>
    <t xml:space="preserve">릍</t>
  </si>
  <si>
    <t xml:space="preserve">릎</t>
  </si>
  <si>
    <t xml:space="preserve">릭</t>
  </si>
  <si>
    <t xml:space="preserve">린</t>
  </si>
  <si>
    <t xml:space="preserve">릴</t>
  </si>
  <si>
    <t xml:space="preserve">림</t>
  </si>
  <si>
    <t xml:space="preserve">립</t>
  </si>
  <si>
    <t xml:space="preserve">릿</t>
  </si>
  <si>
    <t xml:space="preserve">링</t>
  </si>
  <si>
    <t xml:space="preserve">막</t>
  </si>
  <si>
    <t xml:space="preserve">만</t>
  </si>
  <si>
    <t xml:space="preserve">많</t>
  </si>
  <si>
    <t xml:space="preserve">맏</t>
  </si>
  <si>
    <t xml:space="preserve">말</t>
  </si>
  <si>
    <t xml:space="preserve">맑</t>
  </si>
  <si>
    <t xml:space="preserve">맒</t>
  </si>
  <si>
    <t xml:space="preserve">맘</t>
  </si>
  <si>
    <t xml:space="preserve">맙</t>
  </si>
  <si>
    <t xml:space="preserve">맛</t>
  </si>
  <si>
    <t xml:space="preserve">망</t>
  </si>
  <si>
    <t xml:space="preserve">맞</t>
  </si>
  <si>
    <t xml:space="preserve">맡</t>
  </si>
  <si>
    <t xml:space="preserve">맣</t>
  </si>
  <si>
    <t xml:space="preserve">매</t>
  </si>
  <si>
    <t xml:space="preserve">맥</t>
  </si>
  <si>
    <t xml:space="preserve">맨</t>
  </si>
  <si>
    <t xml:space="preserve">맬</t>
  </si>
  <si>
    <t xml:space="preserve">맴</t>
  </si>
  <si>
    <t xml:space="preserve">맵</t>
  </si>
  <si>
    <t xml:space="preserve">맷</t>
  </si>
  <si>
    <t xml:space="preserve">맸</t>
  </si>
  <si>
    <t xml:space="preserve">맹</t>
  </si>
  <si>
    <t xml:space="preserve">맺</t>
  </si>
  <si>
    <t xml:space="preserve">먀</t>
  </si>
  <si>
    <t xml:space="preserve">먁</t>
  </si>
  <si>
    <t xml:space="preserve">먈</t>
  </si>
  <si>
    <t xml:space="preserve">먕</t>
  </si>
  <si>
    <t xml:space="preserve">머</t>
  </si>
  <si>
    <t xml:space="preserve">먹</t>
  </si>
  <si>
    <t xml:space="preserve">먼</t>
  </si>
  <si>
    <t xml:space="preserve">멀</t>
  </si>
  <si>
    <t xml:space="preserve">멂</t>
  </si>
  <si>
    <t xml:space="preserve">멈</t>
  </si>
  <si>
    <t xml:space="preserve">멉</t>
  </si>
  <si>
    <t xml:space="preserve">멋</t>
  </si>
  <si>
    <t xml:space="preserve">멍</t>
  </si>
  <si>
    <t xml:space="preserve">멎</t>
  </si>
  <si>
    <t xml:space="preserve">멓</t>
  </si>
  <si>
    <t xml:space="preserve">메</t>
  </si>
  <si>
    <t xml:space="preserve">멕</t>
  </si>
  <si>
    <t xml:space="preserve">멘</t>
  </si>
  <si>
    <t xml:space="preserve">멜</t>
  </si>
  <si>
    <t xml:space="preserve">멤</t>
  </si>
  <si>
    <t xml:space="preserve">멥</t>
  </si>
  <si>
    <t xml:space="preserve">멧</t>
  </si>
  <si>
    <t xml:space="preserve">멨</t>
  </si>
  <si>
    <t xml:space="preserve">멩</t>
  </si>
  <si>
    <t xml:space="preserve">멱</t>
  </si>
  <si>
    <t xml:space="preserve">면</t>
  </si>
  <si>
    <t xml:space="preserve">멸</t>
  </si>
  <si>
    <t xml:space="preserve">몃</t>
  </si>
  <si>
    <t xml:space="preserve">몄</t>
  </si>
  <si>
    <t xml:space="preserve">명</t>
  </si>
  <si>
    <t xml:space="preserve">몇</t>
  </si>
  <si>
    <t xml:space="preserve">몌</t>
  </si>
  <si>
    <t xml:space="preserve">모</t>
  </si>
  <si>
    <t xml:space="preserve">목</t>
  </si>
  <si>
    <t xml:space="preserve">몫</t>
  </si>
  <si>
    <t xml:space="preserve">몬</t>
  </si>
  <si>
    <t xml:space="preserve">몰</t>
  </si>
  <si>
    <t xml:space="preserve">몲</t>
  </si>
  <si>
    <t xml:space="preserve">몸</t>
  </si>
  <si>
    <t xml:space="preserve">몹</t>
  </si>
  <si>
    <t xml:space="preserve">못</t>
  </si>
  <si>
    <t xml:space="preserve">몽</t>
  </si>
  <si>
    <t xml:space="preserve">뫄</t>
  </si>
  <si>
    <t xml:space="preserve">뫈</t>
  </si>
  <si>
    <t xml:space="preserve">뫘</t>
  </si>
  <si>
    <t xml:space="preserve">뫙</t>
  </si>
  <si>
    <t xml:space="preserve">뫼</t>
  </si>
  <si>
    <t xml:space="preserve">묀</t>
  </si>
  <si>
    <t xml:space="preserve">묄</t>
  </si>
  <si>
    <t xml:space="preserve">묍</t>
  </si>
  <si>
    <t xml:space="preserve">묏</t>
  </si>
  <si>
    <t xml:space="preserve">묑</t>
  </si>
  <si>
    <t xml:space="preserve">묘</t>
  </si>
  <si>
    <t xml:space="preserve">묜</t>
  </si>
  <si>
    <t xml:space="preserve">묠</t>
  </si>
  <si>
    <t xml:space="preserve">묩</t>
  </si>
  <si>
    <t xml:space="preserve">묫</t>
  </si>
  <si>
    <t xml:space="preserve">무</t>
  </si>
  <si>
    <t xml:space="preserve">묵</t>
  </si>
  <si>
    <t xml:space="preserve">묶</t>
  </si>
  <si>
    <t xml:space="preserve">문</t>
  </si>
  <si>
    <t xml:space="preserve">묻</t>
  </si>
  <si>
    <t xml:space="preserve">물</t>
  </si>
  <si>
    <t xml:space="preserve">묽</t>
  </si>
  <si>
    <t xml:space="preserve">묾</t>
  </si>
  <si>
    <t xml:space="preserve">뭄</t>
  </si>
  <si>
    <t xml:space="preserve">뭅</t>
  </si>
  <si>
    <t xml:space="preserve">뭇</t>
  </si>
  <si>
    <t xml:space="preserve">뭉</t>
  </si>
  <si>
    <t xml:space="preserve">뭍</t>
  </si>
  <si>
    <t xml:space="preserve">뭏</t>
  </si>
  <si>
    <t xml:space="preserve">뭐</t>
  </si>
  <si>
    <t xml:space="preserve">뭔</t>
  </si>
  <si>
    <t xml:space="preserve">뭘</t>
  </si>
  <si>
    <t xml:space="preserve">뭡</t>
  </si>
  <si>
    <t xml:space="preserve">뭣</t>
  </si>
  <si>
    <t xml:space="preserve">뭬</t>
  </si>
  <si>
    <t xml:space="preserve">뮈</t>
  </si>
  <si>
    <t xml:space="preserve">뮌</t>
  </si>
  <si>
    <t xml:space="preserve">뮐</t>
  </si>
  <si>
    <t xml:space="preserve">뮤</t>
  </si>
  <si>
    <t xml:space="preserve">뮨</t>
  </si>
  <si>
    <t xml:space="preserve">뮬</t>
  </si>
  <si>
    <t xml:space="preserve">뮴</t>
  </si>
  <si>
    <t xml:space="preserve">뮷</t>
  </si>
  <si>
    <t xml:space="preserve">므</t>
  </si>
  <si>
    <t xml:space="preserve">믄</t>
  </si>
  <si>
    <t xml:space="preserve">믈</t>
  </si>
  <si>
    <t xml:space="preserve">믐</t>
  </si>
  <si>
    <t xml:space="preserve">믓</t>
  </si>
  <si>
    <t xml:space="preserve">미</t>
  </si>
  <si>
    <t xml:space="preserve">믹</t>
  </si>
  <si>
    <t xml:space="preserve">민</t>
  </si>
  <si>
    <t xml:space="preserve">믿</t>
  </si>
  <si>
    <t xml:space="preserve">밀</t>
  </si>
  <si>
    <t xml:space="preserve">밂</t>
  </si>
  <si>
    <t xml:space="preserve">밈</t>
  </si>
  <si>
    <t xml:space="preserve">밉</t>
  </si>
  <si>
    <t xml:space="preserve">밋</t>
  </si>
  <si>
    <t xml:space="preserve">밌</t>
  </si>
  <si>
    <t xml:space="preserve">밍</t>
  </si>
  <si>
    <t xml:space="preserve">및</t>
  </si>
  <si>
    <t xml:space="preserve">밑</t>
  </si>
  <si>
    <t xml:space="preserve">바</t>
  </si>
  <si>
    <t xml:space="preserve">박</t>
  </si>
  <si>
    <t xml:space="preserve">밖</t>
  </si>
  <si>
    <t xml:space="preserve">밗</t>
  </si>
  <si>
    <t xml:space="preserve">반</t>
  </si>
  <si>
    <t xml:space="preserve">받</t>
  </si>
  <si>
    <t xml:space="preserve">발</t>
  </si>
  <si>
    <t xml:space="preserve">밝</t>
  </si>
  <si>
    <t xml:space="preserve">밞</t>
  </si>
  <si>
    <t xml:space="preserve">밟</t>
  </si>
  <si>
    <t xml:space="preserve">밤</t>
  </si>
  <si>
    <t xml:space="preserve">밥</t>
  </si>
  <si>
    <t xml:space="preserve">밧</t>
  </si>
  <si>
    <t xml:space="preserve">방</t>
  </si>
  <si>
    <t xml:space="preserve">밭</t>
  </si>
  <si>
    <t xml:space="preserve">배</t>
  </si>
  <si>
    <t xml:space="preserve">백</t>
  </si>
  <si>
    <t xml:space="preserve">밴</t>
  </si>
  <si>
    <t xml:space="preserve">밸</t>
  </si>
  <si>
    <t xml:space="preserve">뱀</t>
  </si>
  <si>
    <t xml:space="preserve">뱁</t>
  </si>
  <si>
    <t xml:space="preserve">뱃</t>
  </si>
  <si>
    <t xml:space="preserve">뱄</t>
  </si>
  <si>
    <t xml:space="preserve">뱅</t>
  </si>
  <si>
    <t xml:space="preserve">뱉</t>
  </si>
  <si>
    <t xml:space="preserve">뱌</t>
  </si>
  <si>
    <t xml:space="preserve">뱍</t>
  </si>
  <si>
    <t xml:space="preserve">뱐</t>
  </si>
  <si>
    <t xml:space="preserve">뱝</t>
  </si>
  <si>
    <t xml:space="preserve">버</t>
  </si>
  <si>
    <t xml:space="preserve">벅</t>
  </si>
  <si>
    <t xml:space="preserve">번</t>
  </si>
  <si>
    <t xml:space="preserve">벋</t>
  </si>
  <si>
    <t xml:space="preserve">벌</t>
  </si>
  <si>
    <t xml:space="preserve">벎</t>
  </si>
  <si>
    <t xml:space="preserve">범</t>
  </si>
  <si>
    <t xml:space="preserve">법</t>
  </si>
  <si>
    <t xml:space="preserve">벗</t>
  </si>
  <si>
    <t xml:space="preserve">벙</t>
  </si>
  <si>
    <t xml:space="preserve">벚</t>
  </si>
  <si>
    <t xml:space="preserve">베</t>
  </si>
  <si>
    <t xml:space="preserve">벡</t>
  </si>
  <si>
    <t xml:space="preserve">벤</t>
  </si>
  <si>
    <t xml:space="preserve">벧</t>
  </si>
  <si>
    <t xml:space="preserve">벨</t>
  </si>
  <si>
    <t xml:space="preserve">벰</t>
  </si>
  <si>
    <t xml:space="preserve">벱</t>
  </si>
  <si>
    <t xml:space="preserve">벳</t>
  </si>
  <si>
    <t xml:space="preserve">벴</t>
  </si>
  <si>
    <t xml:space="preserve">벵</t>
  </si>
  <si>
    <t xml:space="preserve">벼</t>
  </si>
  <si>
    <t xml:space="preserve">벽</t>
  </si>
  <si>
    <t xml:space="preserve">변</t>
  </si>
  <si>
    <t xml:space="preserve">별</t>
  </si>
  <si>
    <t xml:space="preserve">볍</t>
  </si>
  <si>
    <t xml:space="preserve">볏</t>
  </si>
  <si>
    <t xml:space="preserve">볐</t>
  </si>
  <si>
    <t xml:space="preserve">병</t>
  </si>
  <si>
    <t xml:space="preserve">볕</t>
  </si>
  <si>
    <t xml:space="preserve">볘</t>
  </si>
  <si>
    <t xml:space="preserve">볜</t>
  </si>
  <si>
    <t xml:space="preserve">보</t>
  </si>
  <si>
    <t xml:space="preserve">복</t>
  </si>
  <si>
    <t xml:space="preserve">볶</t>
  </si>
  <si>
    <t xml:space="preserve">본</t>
  </si>
  <si>
    <t xml:space="preserve">볼</t>
  </si>
  <si>
    <t xml:space="preserve">봄</t>
  </si>
  <si>
    <t xml:space="preserve">봅</t>
  </si>
  <si>
    <t xml:space="preserve">봇</t>
  </si>
  <si>
    <t xml:space="preserve">봉</t>
  </si>
  <si>
    <t xml:space="preserve">봐</t>
  </si>
  <si>
    <t xml:space="preserve">봔</t>
  </si>
  <si>
    <t xml:space="preserve">봤</t>
  </si>
  <si>
    <t xml:space="preserve">봬</t>
  </si>
  <si>
    <t xml:space="preserve">뵀</t>
  </si>
  <si>
    <t xml:space="preserve">뵈</t>
  </si>
  <si>
    <t xml:space="preserve">뵉</t>
  </si>
  <si>
    <t xml:space="preserve">뵌</t>
  </si>
  <si>
    <t xml:space="preserve">뵐</t>
  </si>
  <si>
    <t xml:space="preserve">뵘</t>
  </si>
  <si>
    <t xml:space="preserve">뵙</t>
  </si>
  <si>
    <t xml:space="preserve">뵤</t>
  </si>
  <si>
    <t xml:space="preserve">뵨</t>
  </si>
  <si>
    <t xml:space="preserve">부</t>
  </si>
  <si>
    <t xml:space="preserve">북</t>
  </si>
  <si>
    <t xml:space="preserve">분</t>
  </si>
  <si>
    <t xml:space="preserve">붇</t>
  </si>
  <si>
    <t xml:space="preserve">불</t>
  </si>
  <si>
    <t xml:space="preserve">붉</t>
  </si>
  <si>
    <t xml:space="preserve">붊</t>
  </si>
  <si>
    <t xml:space="preserve">붐</t>
  </si>
  <si>
    <t xml:space="preserve">붑</t>
  </si>
  <si>
    <t xml:space="preserve">붓</t>
  </si>
  <si>
    <t xml:space="preserve">붕</t>
  </si>
  <si>
    <t xml:space="preserve">붙</t>
  </si>
  <si>
    <t xml:space="preserve">붚</t>
  </si>
  <si>
    <t xml:space="preserve">붜</t>
  </si>
  <si>
    <t xml:space="preserve">붤</t>
  </si>
  <si>
    <t xml:space="preserve">붰</t>
  </si>
  <si>
    <t xml:space="preserve">붸</t>
  </si>
  <si>
    <t xml:space="preserve">뷔</t>
  </si>
  <si>
    <t xml:space="preserve">뷕</t>
  </si>
  <si>
    <t xml:space="preserve">뷘</t>
  </si>
  <si>
    <t xml:space="preserve">뷜</t>
  </si>
  <si>
    <t xml:space="preserve">뷩</t>
  </si>
  <si>
    <t xml:space="preserve">뷰</t>
  </si>
  <si>
    <t xml:space="preserve">뷴</t>
  </si>
  <si>
    <t xml:space="preserve">뷸</t>
  </si>
  <si>
    <t xml:space="preserve">븀</t>
  </si>
  <si>
    <t xml:space="preserve">븃</t>
  </si>
  <si>
    <t xml:space="preserve">븅</t>
  </si>
  <si>
    <t xml:space="preserve">브</t>
  </si>
  <si>
    <t xml:space="preserve">븍</t>
  </si>
  <si>
    <t xml:space="preserve">븐</t>
  </si>
  <si>
    <t xml:space="preserve">블</t>
  </si>
  <si>
    <t xml:space="preserve">븜</t>
  </si>
  <si>
    <t xml:space="preserve">븝</t>
  </si>
  <si>
    <t xml:space="preserve">븟</t>
  </si>
  <si>
    <t xml:space="preserve">비</t>
  </si>
  <si>
    <t xml:space="preserve">빈</t>
  </si>
  <si>
    <t xml:space="preserve">빎</t>
  </si>
  <si>
    <t xml:space="preserve">빔</t>
  </si>
  <si>
    <t xml:space="preserve">빕</t>
  </si>
  <si>
    <t xml:space="preserve">빗</t>
  </si>
  <si>
    <t xml:space="preserve">빙</t>
  </si>
  <si>
    <t xml:space="preserve">빚</t>
  </si>
  <si>
    <t xml:space="preserve">빛</t>
  </si>
  <si>
    <t xml:space="preserve">빠</t>
  </si>
  <si>
    <t xml:space="preserve">빡</t>
  </si>
  <si>
    <t xml:space="preserve">빤</t>
  </si>
  <si>
    <t xml:space="preserve">빨</t>
  </si>
  <si>
    <t xml:space="preserve">빪</t>
  </si>
  <si>
    <t xml:space="preserve">빰</t>
  </si>
  <si>
    <t xml:space="preserve">빱</t>
  </si>
  <si>
    <t xml:space="preserve">빳</t>
  </si>
  <si>
    <t xml:space="preserve">빴</t>
  </si>
  <si>
    <t xml:space="preserve">빵</t>
  </si>
  <si>
    <t xml:space="preserve">빻</t>
  </si>
  <si>
    <t xml:space="preserve">빼</t>
  </si>
  <si>
    <t xml:space="preserve">빽</t>
  </si>
  <si>
    <t xml:space="preserve">뺀</t>
  </si>
  <si>
    <t xml:space="preserve">뺄</t>
  </si>
  <si>
    <t xml:space="preserve">뺌</t>
  </si>
  <si>
    <t xml:space="preserve">뺍</t>
  </si>
  <si>
    <t xml:space="preserve">뺏</t>
  </si>
  <si>
    <t xml:space="preserve">뺐</t>
  </si>
  <si>
    <t xml:space="preserve">뺑</t>
  </si>
  <si>
    <t xml:space="preserve">뺘</t>
  </si>
  <si>
    <t xml:space="preserve">뺙</t>
  </si>
  <si>
    <t xml:space="preserve">뺨</t>
  </si>
  <si>
    <t xml:space="preserve">뻐</t>
  </si>
  <si>
    <t xml:space="preserve">뻑</t>
  </si>
  <si>
    <t xml:space="preserve">뻔</t>
  </si>
  <si>
    <t xml:space="preserve">뻗</t>
  </si>
  <si>
    <t xml:space="preserve">뻘</t>
  </si>
  <si>
    <t xml:space="preserve">뻠</t>
  </si>
  <si>
    <t xml:space="preserve">뻣</t>
  </si>
  <si>
    <t xml:space="preserve">뻤</t>
  </si>
  <si>
    <t xml:space="preserve">뻥</t>
  </si>
  <si>
    <t xml:space="preserve">뻬</t>
  </si>
  <si>
    <t xml:space="preserve">뼁</t>
  </si>
  <si>
    <t xml:space="preserve">뼈</t>
  </si>
  <si>
    <t xml:space="preserve">뼉</t>
  </si>
  <si>
    <t xml:space="preserve">뼘</t>
  </si>
  <si>
    <t xml:space="preserve">뼙</t>
  </si>
  <si>
    <t xml:space="preserve">뼛</t>
  </si>
  <si>
    <t xml:space="preserve">뼜</t>
  </si>
  <si>
    <t xml:space="preserve">뼝</t>
  </si>
  <si>
    <t xml:space="preserve">뽀</t>
  </si>
  <si>
    <t xml:space="preserve">뽁</t>
  </si>
  <si>
    <t xml:space="preserve">뽄</t>
  </si>
  <si>
    <t xml:space="preserve">뽈</t>
  </si>
  <si>
    <t xml:space="preserve">뽐</t>
  </si>
  <si>
    <t xml:space="preserve">뽑</t>
  </si>
  <si>
    <t xml:space="preserve">뽕</t>
  </si>
  <si>
    <t xml:space="preserve">뾔</t>
  </si>
  <si>
    <t xml:space="preserve">뾰</t>
  </si>
  <si>
    <t xml:space="preserve">뿅</t>
  </si>
  <si>
    <t xml:space="preserve">뿌</t>
  </si>
  <si>
    <t xml:space="preserve">뿍</t>
  </si>
  <si>
    <t xml:space="preserve">뿐</t>
  </si>
  <si>
    <t xml:space="preserve">뿔</t>
  </si>
  <si>
    <t xml:space="preserve">뿜</t>
  </si>
  <si>
    <t xml:space="preserve">뿟</t>
  </si>
  <si>
    <t xml:space="preserve">뿡</t>
  </si>
  <si>
    <t xml:space="preserve">쀼</t>
  </si>
  <si>
    <t xml:space="preserve">쁑</t>
  </si>
  <si>
    <t xml:space="preserve">쁘</t>
  </si>
  <si>
    <t xml:space="preserve">쁜</t>
  </si>
  <si>
    <t xml:space="preserve">쁠</t>
  </si>
  <si>
    <t xml:space="preserve">쁨</t>
  </si>
  <si>
    <t xml:space="preserve">쁩</t>
  </si>
  <si>
    <t xml:space="preserve">삐</t>
  </si>
  <si>
    <t xml:space="preserve">삑</t>
  </si>
  <si>
    <t xml:space="preserve">삔</t>
  </si>
  <si>
    <t xml:space="preserve">삘</t>
  </si>
  <si>
    <t xml:space="preserve">삠</t>
  </si>
  <si>
    <t xml:space="preserve">삡</t>
  </si>
  <si>
    <t xml:space="preserve">삣</t>
  </si>
  <si>
    <t xml:space="preserve">삥</t>
  </si>
  <si>
    <t xml:space="preserve">사</t>
  </si>
  <si>
    <t xml:space="preserve">삭</t>
  </si>
  <si>
    <t xml:space="preserve">삯</t>
  </si>
  <si>
    <t xml:space="preserve">산</t>
  </si>
  <si>
    <t xml:space="preserve">삳</t>
  </si>
  <si>
    <t xml:space="preserve">살</t>
  </si>
  <si>
    <t xml:space="preserve">삵</t>
  </si>
  <si>
    <t xml:space="preserve">삶</t>
  </si>
  <si>
    <t xml:space="preserve">삼</t>
  </si>
  <si>
    <t xml:space="preserve">삽</t>
  </si>
  <si>
    <t xml:space="preserve">삿</t>
  </si>
  <si>
    <t xml:space="preserve">샀</t>
  </si>
  <si>
    <t xml:space="preserve">상</t>
  </si>
  <si>
    <t xml:space="preserve">샅</t>
  </si>
  <si>
    <t xml:space="preserve">새</t>
  </si>
  <si>
    <t xml:space="preserve">색</t>
  </si>
  <si>
    <t xml:space="preserve">샌</t>
  </si>
  <si>
    <t xml:space="preserve">샐</t>
  </si>
  <si>
    <t xml:space="preserve">샘</t>
  </si>
  <si>
    <t xml:space="preserve">샙</t>
  </si>
  <si>
    <t xml:space="preserve">샛</t>
  </si>
  <si>
    <t xml:space="preserve">샜</t>
  </si>
  <si>
    <t xml:space="preserve">생</t>
  </si>
  <si>
    <t xml:space="preserve">샤</t>
  </si>
  <si>
    <t xml:space="preserve">샥</t>
  </si>
  <si>
    <t xml:space="preserve">샨</t>
  </si>
  <si>
    <t xml:space="preserve">샬</t>
  </si>
  <si>
    <t xml:space="preserve">샴</t>
  </si>
  <si>
    <t xml:space="preserve">샵</t>
  </si>
  <si>
    <t xml:space="preserve">샷</t>
  </si>
  <si>
    <t xml:space="preserve">샹</t>
  </si>
  <si>
    <t xml:space="preserve">섀</t>
  </si>
  <si>
    <t xml:space="preserve">섄</t>
  </si>
  <si>
    <t xml:space="preserve">섈</t>
  </si>
  <si>
    <t xml:space="preserve">섐</t>
  </si>
  <si>
    <t xml:space="preserve">섕</t>
  </si>
  <si>
    <t xml:space="preserve">서</t>
  </si>
  <si>
    <t xml:space="preserve">석</t>
  </si>
  <si>
    <t xml:space="preserve">섞</t>
  </si>
  <si>
    <t xml:space="preserve">섟</t>
  </si>
  <si>
    <t xml:space="preserve">선</t>
  </si>
  <si>
    <t xml:space="preserve">섣</t>
  </si>
  <si>
    <t xml:space="preserve">설</t>
  </si>
  <si>
    <t xml:space="preserve">섦</t>
  </si>
  <si>
    <t xml:space="preserve">섧</t>
  </si>
  <si>
    <t xml:space="preserve">섬</t>
  </si>
  <si>
    <t xml:space="preserve">섭</t>
  </si>
  <si>
    <t xml:space="preserve">섯</t>
  </si>
  <si>
    <t xml:space="preserve">섰</t>
  </si>
  <si>
    <t xml:space="preserve">성</t>
  </si>
  <si>
    <t xml:space="preserve">섶</t>
  </si>
  <si>
    <t xml:space="preserve">섹</t>
  </si>
  <si>
    <t xml:space="preserve">센</t>
  </si>
  <si>
    <t xml:space="preserve">셀</t>
  </si>
  <si>
    <t xml:space="preserve">셈</t>
  </si>
  <si>
    <t xml:space="preserve">셉</t>
  </si>
  <si>
    <t xml:space="preserve">셋</t>
  </si>
  <si>
    <t xml:space="preserve">셌</t>
  </si>
  <si>
    <t xml:space="preserve">셍</t>
  </si>
  <si>
    <t xml:space="preserve">셔</t>
  </si>
  <si>
    <t xml:space="preserve">셕</t>
  </si>
  <si>
    <t xml:space="preserve">션</t>
  </si>
  <si>
    <t xml:space="preserve">셜</t>
  </si>
  <si>
    <t xml:space="preserve">셤</t>
  </si>
  <si>
    <t xml:space="preserve">셥</t>
  </si>
  <si>
    <t xml:space="preserve">셧</t>
  </si>
  <si>
    <t xml:space="preserve">셨</t>
  </si>
  <si>
    <t xml:space="preserve">셩</t>
  </si>
  <si>
    <t xml:space="preserve">셰</t>
  </si>
  <si>
    <t xml:space="preserve">셴</t>
  </si>
  <si>
    <t xml:space="preserve">셸</t>
  </si>
  <si>
    <t xml:space="preserve">솅</t>
  </si>
  <si>
    <t xml:space="preserve">소</t>
  </si>
  <si>
    <t xml:space="preserve">속</t>
  </si>
  <si>
    <t xml:space="preserve">솎</t>
  </si>
  <si>
    <t xml:space="preserve">손</t>
  </si>
  <si>
    <t xml:space="preserve">솔</t>
  </si>
  <si>
    <t xml:space="preserve">솖</t>
  </si>
  <si>
    <t xml:space="preserve">솜</t>
  </si>
  <si>
    <t xml:space="preserve">솝</t>
  </si>
  <si>
    <t xml:space="preserve">솟</t>
  </si>
  <si>
    <t xml:space="preserve">송</t>
  </si>
  <si>
    <t xml:space="preserve">솥</t>
  </si>
  <si>
    <t xml:space="preserve">솨</t>
  </si>
  <si>
    <t xml:space="preserve">솩</t>
  </si>
  <si>
    <t xml:space="preserve">솬</t>
  </si>
  <si>
    <t xml:space="preserve">솰</t>
  </si>
  <si>
    <t xml:space="preserve">솽</t>
  </si>
  <si>
    <t xml:space="preserve">쇄</t>
  </si>
  <si>
    <t xml:space="preserve">쇈</t>
  </si>
  <si>
    <t xml:space="preserve">쇌</t>
  </si>
  <si>
    <t xml:space="preserve">쇔</t>
  </si>
  <si>
    <t xml:space="preserve">쇗</t>
  </si>
  <si>
    <t xml:space="preserve">쇘</t>
  </si>
  <si>
    <t xml:space="preserve">쇠</t>
  </si>
  <si>
    <t xml:space="preserve">쇤</t>
  </si>
  <si>
    <t xml:space="preserve">쇨</t>
  </si>
  <si>
    <t xml:space="preserve">쇰</t>
  </si>
  <si>
    <t xml:space="preserve">쇱</t>
  </si>
  <si>
    <t xml:space="preserve">쇳</t>
  </si>
  <si>
    <t xml:space="preserve">쇼</t>
  </si>
  <si>
    <t xml:space="preserve">쇽</t>
  </si>
  <si>
    <t xml:space="preserve">숀</t>
  </si>
  <si>
    <t xml:space="preserve">숄</t>
  </si>
  <si>
    <t xml:space="preserve">숌</t>
  </si>
  <si>
    <t xml:space="preserve">숍</t>
  </si>
  <si>
    <t xml:space="preserve">숏</t>
  </si>
  <si>
    <t xml:space="preserve">숑</t>
  </si>
  <si>
    <t xml:space="preserve">수</t>
  </si>
  <si>
    <t xml:space="preserve">숙</t>
  </si>
  <si>
    <t xml:space="preserve">순</t>
  </si>
  <si>
    <t xml:space="preserve">숟</t>
  </si>
  <si>
    <t xml:space="preserve">술</t>
  </si>
  <si>
    <t xml:space="preserve">숨</t>
  </si>
  <si>
    <t xml:space="preserve">숩</t>
  </si>
  <si>
    <t xml:space="preserve">숫</t>
  </si>
  <si>
    <t xml:space="preserve">숭</t>
  </si>
  <si>
    <t xml:space="preserve">숯</t>
  </si>
  <si>
    <t xml:space="preserve">숱</t>
  </si>
  <si>
    <t xml:space="preserve">숲</t>
  </si>
  <si>
    <t xml:space="preserve">숴</t>
  </si>
  <si>
    <t xml:space="preserve">쉈</t>
  </si>
  <si>
    <t xml:space="preserve">쉐</t>
  </si>
  <si>
    <t xml:space="preserve">쉑</t>
  </si>
  <si>
    <t xml:space="preserve">쉔</t>
  </si>
  <si>
    <t xml:space="preserve">쉘</t>
  </si>
  <si>
    <t xml:space="preserve">쉠</t>
  </si>
  <si>
    <t xml:space="preserve">쉥</t>
  </si>
  <si>
    <t xml:space="preserve">쉬</t>
  </si>
  <si>
    <t xml:space="preserve">쉭</t>
  </si>
  <si>
    <t xml:space="preserve">쉰</t>
  </si>
  <si>
    <t xml:space="preserve">쉴</t>
  </si>
  <si>
    <t xml:space="preserve">쉼</t>
  </si>
  <si>
    <t xml:space="preserve">쉽</t>
  </si>
  <si>
    <t xml:space="preserve">쉿</t>
  </si>
  <si>
    <t xml:space="preserve">슁</t>
  </si>
  <si>
    <t xml:space="preserve">슈</t>
  </si>
  <si>
    <t xml:space="preserve">슉</t>
  </si>
  <si>
    <t xml:space="preserve">슐</t>
  </si>
  <si>
    <t xml:space="preserve">슘</t>
  </si>
  <si>
    <t xml:space="preserve">슛</t>
  </si>
  <si>
    <t xml:space="preserve">슝</t>
  </si>
  <si>
    <t xml:space="preserve">슥</t>
  </si>
  <si>
    <t xml:space="preserve">슨</t>
  </si>
  <si>
    <t xml:space="preserve">슬</t>
  </si>
  <si>
    <t xml:space="preserve">슭</t>
  </si>
  <si>
    <t xml:space="preserve">슴</t>
  </si>
  <si>
    <t xml:space="preserve">슷</t>
  </si>
  <si>
    <t xml:space="preserve">승</t>
  </si>
  <si>
    <t xml:space="preserve">시</t>
  </si>
  <si>
    <t xml:space="preserve">식</t>
  </si>
  <si>
    <t xml:space="preserve">신</t>
  </si>
  <si>
    <t xml:space="preserve">싣</t>
  </si>
  <si>
    <t xml:space="preserve">실</t>
  </si>
  <si>
    <t xml:space="preserve">싫</t>
  </si>
  <si>
    <t xml:space="preserve">심</t>
  </si>
  <si>
    <t xml:space="preserve">십</t>
  </si>
  <si>
    <t xml:space="preserve">싯</t>
  </si>
  <si>
    <t xml:space="preserve">싱</t>
  </si>
  <si>
    <t xml:space="preserve">싶</t>
  </si>
  <si>
    <t xml:space="preserve">싸</t>
  </si>
  <si>
    <t xml:space="preserve">싹</t>
  </si>
  <si>
    <t xml:space="preserve">싻</t>
  </si>
  <si>
    <t xml:space="preserve">싼</t>
  </si>
  <si>
    <t xml:space="preserve">쌀</t>
  </si>
  <si>
    <t xml:space="preserve">쌈</t>
  </si>
  <si>
    <t xml:space="preserve">쌉</t>
  </si>
  <si>
    <t xml:space="preserve">쌌</t>
  </si>
  <si>
    <t xml:space="preserve">쌍</t>
  </si>
  <si>
    <t xml:space="preserve">쌓</t>
  </si>
  <si>
    <t xml:space="preserve">쌔</t>
  </si>
  <si>
    <t xml:space="preserve">쌕</t>
  </si>
  <si>
    <t xml:space="preserve">쌘</t>
  </si>
  <si>
    <t xml:space="preserve">쌜</t>
  </si>
  <si>
    <t xml:space="preserve">쌤</t>
  </si>
  <si>
    <t xml:space="preserve">쌥</t>
  </si>
  <si>
    <t xml:space="preserve">쌨</t>
  </si>
  <si>
    <t xml:space="preserve">쌩</t>
  </si>
  <si>
    <t xml:space="preserve">썅</t>
  </si>
  <si>
    <t xml:space="preserve">써</t>
  </si>
  <si>
    <t xml:space="preserve">썩</t>
  </si>
  <si>
    <t xml:space="preserve">썬</t>
  </si>
  <si>
    <t xml:space="preserve">썰</t>
  </si>
  <si>
    <t xml:space="preserve">썲</t>
  </si>
  <si>
    <t xml:space="preserve">썸</t>
  </si>
  <si>
    <t xml:space="preserve">썹</t>
  </si>
  <si>
    <t xml:space="preserve">썼</t>
  </si>
  <si>
    <t xml:space="preserve">썽</t>
  </si>
  <si>
    <t xml:space="preserve">쎄</t>
  </si>
  <si>
    <t xml:space="preserve">쎈</t>
  </si>
  <si>
    <t xml:space="preserve">쎌</t>
  </si>
  <si>
    <t xml:space="preserve">쏀</t>
  </si>
  <si>
    <t xml:space="preserve">쏘</t>
  </si>
  <si>
    <t xml:space="preserve">쏙</t>
  </si>
  <si>
    <t xml:space="preserve">쏜</t>
  </si>
  <si>
    <t xml:space="preserve">쏟</t>
  </si>
  <si>
    <t xml:space="preserve">쏠</t>
  </si>
  <si>
    <t xml:space="preserve">쏢</t>
  </si>
  <si>
    <t xml:space="preserve">쏨</t>
  </si>
  <si>
    <t xml:space="preserve">쏩</t>
  </si>
  <si>
    <t xml:space="preserve">쏭</t>
  </si>
  <si>
    <t xml:space="preserve">쏴</t>
  </si>
  <si>
    <t xml:space="preserve">쏵</t>
  </si>
  <si>
    <t xml:space="preserve">쏸</t>
  </si>
  <si>
    <t xml:space="preserve">쐈</t>
  </si>
  <si>
    <t xml:space="preserve">쐐</t>
  </si>
  <si>
    <t xml:space="preserve">쐤</t>
  </si>
  <si>
    <t xml:space="preserve">쐬</t>
  </si>
  <si>
    <t xml:space="preserve">쐰</t>
  </si>
  <si>
    <t xml:space="preserve">쐴</t>
  </si>
  <si>
    <t xml:space="preserve">쐼</t>
  </si>
  <si>
    <t xml:space="preserve">쐽</t>
  </si>
  <si>
    <t xml:space="preserve">쑈</t>
  </si>
  <si>
    <t xml:space="preserve">쑤</t>
  </si>
  <si>
    <t xml:space="preserve">쑥</t>
  </si>
  <si>
    <t xml:space="preserve">쑨</t>
  </si>
  <si>
    <t xml:space="preserve">쑬</t>
  </si>
  <si>
    <t xml:space="preserve">쑴</t>
  </si>
  <si>
    <t xml:space="preserve">쑵</t>
  </si>
  <si>
    <t xml:space="preserve">쑹</t>
  </si>
  <si>
    <t xml:space="preserve">쒀</t>
  </si>
  <si>
    <t xml:space="preserve">쒔</t>
  </si>
  <si>
    <t xml:space="preserve">쒜</t>
  </si>
  <si>
    <t xml:space="preserve">쒸</t>
  </si>
  <si>
    <t xml:space="preserve">쒼</t>
  </si>
  <si>
    <t xml:space="preserve">쓩</t>
  </si>
  <si>
    <t xml:space="preserve">쓰</t>
  </si>
  <si>
    <t xml:space="preserve">쓱</t>
  </si>
  <si>
    <t xml:space="preserve">쓴</t>
  </si>
  <si>
    <t xml:space="preserve">쓸</t>
  </si>
  <si>
    <t xml:space="preserve">쓺</t>
  </si>
  <si>
    <t xml:space="preserve">쓿</t>
  </si>
  <si>
    <t xml:space="preserve">씀</t>
  </si>
  <si>
    <t xml:space="preserve">씁</t>
  </si>
  <si>
    <t xml:space="preserve">씌</t>
  </si>
  <si>
    <t xml:space="preserve">씐</t>
  </si>
  <si>
    <t xml:space="preserve">씔</t>
  </si>
  <si>
    <t xml:space="preserve">씜</t>
  </si>
  <si>
    <t xml:space="preserve">씨</t>
  </si>
  <si>
    <t xml:space="preserve">씩</t>
  </si>
  <si>
    <t xml:space="preserve">씬</t>
  </si>
  <si>
    <t xml:space="preserve">씰</t>
  </si>
  <si>
    <t xml:space="preserve">씸</t>
  </si>
  <si>
    <t xml:space="preserve">씹</t>
  </si>
  <si>
    <t xml:space="preserve">씻</t>
  </si>
  <si>
    <t xml:space="preserve">씽</t>
  </si>
  <si>
    <t xml:space="preserve">아</t>
  </si>
  <si>
    <t xml:space="preserve">악</t>
  </si>
  <si>
    <t xml:space="preserve">앉</t>
  </si>
  <si>
    <t xml:space="preserve">않</t>
  </si>
  <si>
    <t xml:space="preserve">알</t>
  </si>
  <si>
    <t xml:space="preserve">앍</t>
  </si>
  <si>
    <t xml:space="preserve">앎</t>
  </si>
  <si>
    <t xml:space="preserve">앓</t>
  </si>
  <si>
    <t xml:space="preserve">암</t>
  </si>
  <si>
    <t xml:space="preserve">압</t>
  </si>
  <si>
    <t xml:space="preserve">앗</t>
  </si>
  <si>
    <t xml:space="preserve">았</t>
  </si>
  <si>
    <t xml:space="preserve">앙</t>
  </si>
  <si>
    <t xml:space="preserve">앝</t>
  </si>
  <si>
    <t xml:space="preserve">앞</t>
  </si>
  <si>
    <t xml:space="preserve">애</t>
  </si>
  <si>
    <t xml:space="preserve">액</t>
  </si>
  <si>
    <t xml:space="preserve">앤</t>
  </si>
  <si>
    <t xml:space="preserve">앨</t>
  </si>
  <si>
    <t xml:space="preserve">앰</t>
  </si>
  <si>
    <t xml:space="preserve">앱</t>
  </si>
  <si>
    <t xml:space="preserve">앳</t>
  </si>
  <si>
    <t xml:space="preserve">앴</t>
  </si>
  <si>
    <t xml:space="preserve">앵</t>
  </si>
  <si>
    <t xml:space="preserve">야</t>
  </si>
  <si>
    <t xml:space="preserve">약</t>
  </si>
  <si>
    <t xml:space="preserve">얀</t>
  </si>
  <si>
    <t xml:space="preserve">얄</t>
  </si>
  <si>
    <t xml:space="preserve">얇</t>
  </si>
  <si>
    <t xml:space="preserve">얌</t>
  </si>
  <si>
    <t xml:space="preserve">얍</t>
  </si>
  <si>
    <t xml:space="preserve">얏</t>
  </si>
  <si>
    <t xml:space="preserve">양</t>
  </si>
  <si>
    <t xml:space="preserve">얕</t>
  </si>
  <si>
    <t xml:space="preserve">얗</t>
  </si>
  <si>
    <t xml:space="preserve">얘</t>
  </si>
  <si>
    <t xml:space="preserve">얜</t>
  </si>
  <si>
    <t xml:space="preserve">얠</t>
  </si>
  <si>
    <t xml:space="preserve">얩</t>
  </si>
  <si>
    <t xml:space="preserve">억</t>
  </si>
  <si>
    <t xml:space="preserve">언</t>
  </si>
  <si>
    <t xml:space="preserve">얹</t>
  </si>
  <si>
    <t xml:space="preserve">얻</t>
  </si>
  <si>
    <t xml:space="preserve">얼</t>
  </si>
  <si>
    <t xml:space="preserve">얽</t>
  </si>
  <si>
    <t xml:space="preserve">얾</t>
  </si>
  <si>
    <t xml:space="preserve">엄</t>
  </si>
  <si>
    <t xml:space="preserve">업</t>
  </si>
  <si>
    <t xml:space="preserve">엇</t>
  </si>
  <si>
    <t xml:space="preserve">었</t>
  </si>
  <si>
    <t xml:space="preserve">엉</t>
  </si>
  <si>
    <t xml:space="preserve">엊</t>
  </si>
  <si>
    <t xml:space="preserve">엌</t>
  </si>
  <si>
    <t xml:space="preserve">엎</t>
  </si>
  <si>
    <t xml:space="preserve">에</t>
  </si>
  <si>
    <t xml:space="preserve">엑</t>
  </si>
  <si>
    <t xml:space="preserve">엔</t>
  </si>
  <si>
    <t xml:space="preserve">엘</t>
  </si>
  <si>
    <t xml:space="preserve">엠</t>
  </si>
  <si>
    <t xml:space="preserve">엡</t>
  </si>
  <si>
    <t xml:space="preserve">엣</t>
  </si>
  <si>
    <t xml:space="preserve">엥</t>
  </si>
  <si>
    <t xml:space="preserve">여</t>
  </si>
  <si>
    <t xml:space="preserve">역</t>
  </si>
  <si>
    <t xml:space="preserve">엮</t>
  </si>
  <si>
    <t xml:space="preserve">연</t>
  </si>
  <si>
    <t xml:space="preserve">열</t>
  </si>
  <si>
    <t xml:space="preserve">엶</t>
  </si>
  <si>
    <t xml:space="preserve">엷</t>
  </si>
  <si>
    <t xml:space="preserve">염</t>
  </si>
  <si>
    <t xml:space="preserve">엽</t>
  </si>
  <si>
    <t xml:space="preserve">엾</t>
  </si>
  <si>
    <t xml:space="preserve">엿</t>
  </si>
  <si>
    <t xml:space="preserve">였</t>
  </si>
  <si>
    <t xml:space="preserve">영</t>
  </si>
  <si>
    <t xml:space="preserve">옅</t>
  </si>
  <si>
    <t xml:space="preserve">옆</t>
  </si>
  <si>
    <t xml:space="preserve">옇</t>
  </si>
  <si>
    <t xml:space="preserve">예</t>
  </si>
  <si>
    <t xml:space="preserve">옌</t>
  </si>
  <si>
    <t xml:space="preserve">옐</t>
  </si>
  <si>
    <t xml:space="preserve">옘</t>
  </si>
  <si>
    <t xml:space="preserve">옙</t>
  </si>
  <si>
    <t xml:space="preserve">옛</t>
  </si>
  <si>
    <t xml:space="preserve">옜</t>
  </si>
  <si>
    <t xml:space="preserve">오</t>
  </si>
  <si>
    <t xml:space="preserve">옥</t>
  </si>
  <si>
    <t xml:space="preserve">온</t>
  </si>
  <si>
    <t xml:space="preserve">올</t>
  </si>
  <si>
    <t xml:space="preserve">옭</t>
  </si>
  <si>
    <t xml:space="preserve">옮</t>
  </si>
  <si>
    <t xml:space="preserve">옰</t>
  </si>
  <si>
    <t xml:space="preserve">옳</t>
  </si>
  <si>
    <t xml:space="preserve">옴</t>
  </si>
  <si>
    <t xml:space="preserve">옵</t>
  </si>
  <si>
    <t xml:space="preserve">옷</t>
  </si>
  <si>
    <t xml:space="preserve">옹</t>
  </si>
  <si>
    <t xml:space="preserve">옻</t>
  </si>
  <si>
    <t xml:space="preserve">왁</t>
  </si>
  <si>
    <t xml:space="preserve">완</t>
  </si>
  <si>
    <t xml:space="preserve">왈</t>
  </si>
  <si>
    <t xml:space="preserve">왐</t>
  </si>
  <si>
    <t xml:space="preserve">왑</t>
  </si>
  <si>
    <t xml:space="preserve">왓</t>
  </si>
  <si>
    <t xml:space="preserve">왕</t>
  </si>
  <si>
    <t xml:space="preserve">왝</t>
  </si>
  <si>
    <t xml:space="preserve">왠</t>
  </si>
  <si>
    <t xml:space="preserve">왬</t>
  </si>
  <si>
    <t xml:space="preserve">왯</t>
  </si>
  <si>
    <t xml:space="preserve">왱</t>
  </si>
  <si>
    <t xml:space="preserve">외</t>
  </si>
  <si>
    <t xml:space="preserve">왹</t>
  </si>
  <si>
    <t xml:space="preserve">왼</t>
  </si>
  <si>
    <t xml:space="preserve">욀</t>
  </si>
  <si>
    <t xml:space="preserve">욈</t>
  </si>
  <si>
    <t xml:space="preserve">욉</t>
  </si>
  <si>
    <t xml:space="preserve">욋</t>
  </si>
  <si>
    <t xml:space="preserve">욍</t>
  </si>
  <si>
    <t xml:space="preserve">욕</t>
  </si>
  <si>
    <t xml:space="preserve">욘</t>
  </si>
  <si>
    <t xml:space="preserve">욜</t>
  </si>
  <si>
    <t xml:space="preserve">욤</t>
  </si>
  <si>
    <t xml:space="preserve">욥</t>
  </si>
  <si>
    <t xml:space="preserve">욧</t>
  </si>
  <si>
    <t xml:space="preserve">용</t>
  </si>
  <si>
    <t xml:space="preserve">우</t>
  </si>
  <si>
    <t xml:space="preserve">욱</t>
  </si>
  <si>
    <t xml:space="preserve">운</t>
  </si>
  <si>
    <t xml:space="preserve">울</t>
  </si>
  <si>
    <t xml:space="preserve">욹</t>
  </si>
  <si>
    <t xml:space="preserve">욺</t>
  </si>
  <si>
    <t xml:space="preserve">움</t>
  </si>
  <si>
    <t xml:space="preserve">웁</t>
  </si>
  <si>
    <t xml:space="preserve">웃</t>
  </si>
  <si>
    <t xml:space="preserve">웅</t>
  </si>
  <si>
    <t xml:space="preserve">웍</t>
  </si>
  <si>
    <t xml:space="preserve">원</t>
  </si>
  <si>
    <t xml:space="preserve">월</t>
  </si>
  <si>
    <t xml:space="preserve">웜</t>
  </si>
  <si>
    <t xml:space="preserve">웝</t>
  </si>
  <si>
    <t xml:space="preserve">웠</t>
  </si>
  <si>
    <t xml:space="preserve">웡</t>
  </si>
  <si>
    <t xml:space="preserve">웩</t>
  </si>
  <si>
    <t xml:space="preserve">웬</t>
  </si>
  <si>
    <t xml:space="preserve">웰</t>
  </si>
  <si>
    <t xml:space="preserve">웸</t>
  </si>
  <si>
    <t xml:space="preserve">웹</t>
  </si>
  <si>
    <t xml:space="preserve">웽</t>
  </si>
  <si>
    <t xml:space="preserve">위</t>
  </si>
  <si>
    <t xml:space="preserve">윅</t>
  </si>
  <si>
    <t xml:space="preserve">윈</t>
  </si>
  <si>
    <t xml:space="preserve">윌</t>
  </si>
  <si>
    <t xml:space="preserve">윔</t>
  </si>
  <si>
    <t xml:space="preserve">윕</t>
  </si>
  <si>
    <t xml:space="preserve">윗</t>
  </si>
  <si>
    <t xml:space="preserve">윙</t>
  </si>
  <si>
    <t xml:space="preserve">유</t>
  </si>
  <si>
    <t xml:space="preserve">육</t>
  </si>
  <si>
    <t xml:space="preserve">윤</t>
  </si>
  <si>
    <t xml:space="preserve">율</t>
  </si>
  <si>
    <t xml:space="preserve">윰</t>
  </si>
  <si>
    <t xml:space="preserve">윱</t>
  </si>
  <si>
    <t xml:space="preserve">윳</t>
  </si>
  <si>
    <t xml:space="preserve">융</t>
  </si>
  <si>
    <t xml:space="preserve">윷</t>
  </si>
  <si>
    <t xml:space="preserve">으</t>
  </si>
  <si>
    <t xml:space="preserve">윽</t>
  </si>
  <si>
    <t xml:space="preserve">은</t>
  </si>
  <si>
    <t xml:space="preserve">을</t>
  </si>
  <si>
    <t xml:space="preserve">읊</t>
  </si>
  <si>
    <t xml:space="preserve">음</t>
  </si>
  <si>
    <t xml:space="preserve">읍</t>
  </si>
  <si>
    <t xml:space="preserve">읏</t>
  </si>
  <si>
    <t xml:space="preserve">응</t>
  </si>
  <si>
    <t xml:space="preserve">읒</t>
  </si>
  <si>
    <t xml:space="preserve">읓</t>
  </si>
  <si>
    <t xml:space="preserve">읔</t>
  </si>
  <si>
    <t xml:space="preserve">읕</t>
  </si>
  <si>
    <t xml:space="preserve">읖</t>
  </si>
  <si>
    <t xml:space="preserve">읗</t>
  </si>
  <si>
    <t xml:space="preserve">읜</t>
  </si>
  <si>
    <t xml:space="preserve">읠</t>
  </si>
  <si>
    <t xml:space="preserve">읨</t>
  </si>
  <si>
    <t xml:space="preserve">읫</t>
  </si>
  <si>
    <t xml:space="preserve">익</t>
  </si>
  <si>
    <t xml:space="preserve">인</t>
  </si>
  <si>
    <t xml:space="preserve">일</t>
  </si>
  <si>
    <t xml:space="preserve">읽</t>
  </si>
  <si>
    <t xml:space="preserve">읾</t>
  </si>
  <si>
    <t xml:space="preserve">잃</t>
  </si>
  <si>
    <t xml:space="preserve">임</t>
  </si>
  <si>
    <t xml:space="preserve">입</t>
  </si>
  <si>
    <t xml:space="preserve">잇</t>
  </si>
  <si>
    <t xml:space="preserve">잉</t>
  </si>
  <si>
    <t xml:space="preserve">잊</t>
  </si>
  <si>
    <t xml:space="preserve">잎</t>
  </si>
  <si>
    <t xml:space="preserve">작</t>
  </si>
  <si>
    <t xml:space="preserve">잔</t>
  </si>
  <si>
    <t xml:space="preserve">잖</t>
  </si>
  <si>
    <t xml:space="preserve">잗</t>
  </si>
  <si>
    <t xml:space="preserve">잘</t>
  </si>
  <si>
    <t xml:space="preserve">잚</t>
  </si>
  <si>
    <t xml:space="preserve">잠</t>
  </si>
  <si>
    <t xml:space="preserve">잡</t>
  </si>
  <si>
    <t xml:space="preserve">잣</t>
  </si>
  <si>
    <t xml:space="preserve">잤</t>
  </si>
  <si>
    <t xml:space="preserve">장</t>
  </si>
  <si>
    <t xml:space="preserve">잦</t>
  </si>
  <si>
    <t xml:space="preserve">재</t>
  </si>
  <si>
    <t xml:space="preserve">잭</t>
  </si>
  <si>
    <t xml:space="preserve">잰</t>
  </si>
  <si>
    <t xml:space="preserve">잴</t>
  </si>
  <si>
    <t xml:space="preserve">잼</t>
  </si>
  <si>
    <t xml:space="preserve">잽</t>
  </si>
  <si>
    <t xml:space="preserve">잿</t>
  </si>
  <si>
    <t xml:space="preserve">쟀</t>
  </si>
  <si>
    <t xml:space="preserve">쟁</t>
  </si>
  <si>
    <t xml:space="preserve">쟈</t>
  </si>
  <si>
    <t xml:space="preserve">쟉</t>
  </si>
  <si>
    <t xml:space="preserve">쟌</t>
  </si>
  <si>
    <t xml:space="preserve">쟎</t>
  </si>
  <si>
    <t xml:space="preserve">쟐</t>
  </si>
  <si>
    <t xml:space="preserve">쟘</t>
  </si>
  <si>
    <t xml:space="preserve">쟝</t>
  </si>
  <si>
    <t xml:space="preserve">쟤</t>
  </si>
  <si>
    <t xml:space="preserve">쟨</t>
  </si>
  <si>
    <t xml:space="preserve">쟬</t>
  </si>
  <si>
    <t xml:space="preserve">저</t>
  </si>
  <si>
    <t xml:space="preserve">적</t>
  </si>
  <si>
    <t xml:space="preserve">전</t>
  </si>
  <si>
    <t xml:space="preserve">절</t>
  </si>
  <si>
    <t xml:space="preserve">젊</t>
  </si>
  <si>
    <t xml:space="preserve">점</t>
  </si>
  <si>
    <t xml:space="preserve">접</t>
  </si>
  <si>
    <t xml:space="preserve">젓</t>
  </si>
  <si>
    <t xml:space="preserve">정</t>
  </si>
  <si>
    <t xml:space="preserve">젖</t>
  </si>
  <si>
    <t xml:space="preserve">제</t>
  </si>
  <si>
    <t xml:space="preserve">젝</t>
  </si>
  <si>
    <t xml:space="preserve">젠</t>
  </si>
  <si>
    <t xml:space="preserve">젤</t>
  </si>
  <si>
    <t xml:space="preserve">젬</t>
  </si>
  <si>
    <t xml:space="preserve">젭</t>
  </si>
  <si>
    <t xml:space="preserve">젯</t>
  </si>
  <si>
    <t xml:space="preserve">젱</t>
  </si>
  <si>
    <t xml:space="preserve">져</t>
  </si>
  <si>
    <t xml:space="preserve">젼</t>
  </si>
  <si>
    <t xml:space="preserve">졀</t>
  </si>
  <si>
    <t xml:space="preserve">졈</t>
  </si>
  <si>
    <t xml:space="preserve">졉</t>
  </si>
  <si>
    <t xml:space="preserve">졌</t>
  </si>
  <si>
    <t xml:space="preserve">졍</t>
  </si>
  <si>
    <t xml:space="preserve">졔</t>
  </si>
  <si>
    <t xml:space="preserve">조</t>
  </si>
  <si>
    <t xml:space="preserve">족</t>
  </si>
  <si>
    <t xml:space="preserve">존</t>
  </si>
  <si>
    <t xml:space="preserve">졸</t>
  </si>
  <si>
    <t xml:space="preserve">졺</t>
  </si>
  <si>
    <t xml:space="preserve">좀</t>
  </si>
  <si>
    <t xml:space="preserve">좁</t>
  </si>
  <si>
    <t xml:space="preserve">좃</t>
  </si>
  <si>
    <t xml:space="preserve">종</t>
  </si>
  <si>
    <t xml:space="preserve">좆</t>
  </si>
  <si>
    <t xml:space="preserve">좇</t>
  </si>
  <si>
    <t xml:space="preserve">좋</t>
  </si>
  <si>
    <t xml:space="preserve">좌</t>
  </si>
  <si>
    <t xml:space="preserve">좍</t>
  </si>
  <si>
    <t xml:space="preserve">좔</t>
  </si>
  <si>
    <t xml:space="preserve">좝</t>
  </si>
  <si>
    <t xml:space="preserve">좟</t>
  </si>
  <si>
    <t xml:space="preserve">좡</t>
  </si>
  <si>
    <t xml:space="preserve">좨</t>
  </si>
  <si>
    <t xml:space="preserve">좼</t>
  </si>
  <si>
    <t xml:space="preserve">좽</t>
  </si>
  <si>
    <t xml:space="preserve">죄</t>
  </si>
  <si>
    <t xml:space="preserve">죈</t>
  </si>
  <si>
    <t xml:space="preserve">죌</t>
  </si>
  <si>
    <t xml:space="preserve">죔</t>
  </si>
  <si>
    <t xml:space="preserve">죕</t>
  </si>
  <si>
    <t xml:space="preserve">죗</t>
  </si>
  <si>
    <t xml:space="preserve">죙</t>
  </si>
  <si>
    <t xml:space="preserve">죠</t>
  </si>
  <si>
    <t xml:space="preserve">죡</t>
  </si>
  <si>
    <t xml:space="preserve">죤</t>
  </si>
  <si>
    <t xml:space="preserve">죵</t>
  </si>
  <si>
    <t xml:space="preserve">주</t>
  </si>
  <si>
    <t xml:space="preserve">죽</t>
  </si>
  <si>
    <t xml:space="preserve">준</t>
  </si>
  <si>
    <t xml:space="preserve">줄</t>
  </si>
  <si>
    <t xml:space="preserve">줅</t>
  </si>
  <si>
    <t xml:space="preserve">줆</t>
  </si>
  <si>
    <t xml:space="preserve">줌</t>
  </si>
  <si>
    <t xml:space="preserve">줍</t>
  </si>
  <si>
    <t xml:space="preserve">줏</t>
  </si>
  <si>
    <t xml:space="preserve">중</t>
  </si>
  <si>
    <t xml:space="preserve">줘</t>
  </si>
  <si>
    <t xml:space="preserve">줬</t>
  </si>
  <si>
    <t xml:space="preserve">줴</t>
  </si>
  <si>
    <t xml:space="preserve">A</t>
  </si>
  <si>
    <t xml:space="preserve">B</t>
  </si>
  <si>
    <t xml:space="preserve">C</t>
  </si>
  <si>
    <t xml:space="preserve">D</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</si>
  <si>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</si>
  <si>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</si>
  <si>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</si>
  <si>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</si>
  <si>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</si>
  <si>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</si>
  <si>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</si>
  <si>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</si>
  <si>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</si>
  <si>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</si>
  <si>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</si>
  <si>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</si>
  <si>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</si>
  <si>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</si>
  <si>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</si>
  <si>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</si>
  <si>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</si>
  <si>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</si>
  <si>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</si>
  <si>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</si>
  <si>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</si>
  <si>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a</t>
  </si>
  <si>
    <t xml:space="preserve">b</t>
  </si>
  <si>
    <t xml:space="preserve">c</t>
  </si>
  <si>
    <t xml:space="preserve">d</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</si>
  <si>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</si>
  <si>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</si>
  <si>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</si>
  <si>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</si>
  <si>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</si>
  <si>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</si>
  <si>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</si>
  <si>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</si>
  <si>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</si>
  <si>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</si>
  <si>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</si>
  <si>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</si>
  <si>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</si>
  <si>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</si>
  <si>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</si>
  <si>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</si>
  <si>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</si>
  <si>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</si>
  <si>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</si>
  <si>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</si>
  <si>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</si>
  <si>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쥐</t>
  </si>
  <si>
    <t xml:space="preserve">쥑</t>
  </si>
  <si>
    <t xml:space="preserve">쥔</t>
  </si>
  <si>
    <t xml:space="preserve">쥘</t>
  </si>
  <si>
    <t xml:space="preserve">쥠</t>
  </si>
  <si>
    <t xml:space="preserve">쥡</t>
  </si>
  <si>
    <t xml:space="preserve">쥣</t>
  </si>
  <si>
    <t xml:space="preserve">쥬</t>
  </si>
  <si>
    <t xml:space="preserve">쥰</t>
  </si>
  <si>
    <t xml:space="preserve">쥴</t>
  </si>
  <si>
    <t xml:space="preserve">쥼</t>
  </si>
  <si>
    <t xml:space="preserve">즈</t>
  </si>
  <si>
    <t xml:space="preserve">즉</t>
  </si>
  <si>
    <t xml:space="preserve">즌</t>
  </si>
  <si>
    <t xml:space="preserve">즐</t>
  </si>
  <si>
    <t xml:space="preserve">즘</t>
  </si>
  <si>
    <t xml:space="preserve">즙</t>
  </si>
  <si>
    <t xml:space="preserve">즛</t>
  </si>
  <si>
    <t xml:space="preserve">증</t>
  </si>
  <si>
    <t xml:space="preserve">지</t>
  </si>
  <si>
    <t xml:space="preserve">직</t>
  </si>
  <si>
    <t xml:space="preserve">진</t>
  </si>
  <si>
    <t xml:space="preserve">짇</t>
  </si>
  <si>
    <t xml:space="preserve">질</t>
  </si>
  <si>
    <t xml:space="preserve">짊</t>
  </si>
  <si>
    <t xml:space="preserve">짐</t>
  </si>
  <si>
    <t xml:space="preserve">집</t>
  </si>
  <si>
    <t xml:space="preserve">짓</t>
  </si>
  <si>
    <t xml:space="preserve">징</t>
  </si>
  <si>
    <t xml:space="preserve">짖</t>
  </si>
  <si>
    <t xml:space="preserve">짙</t>
  </si>
  <si>
    <t xml:space="preserve">짚</t>
  </si>
  <si>
    <t xml:space="preserve">짜</t>
  </si>
  <si>
    <t xml:space="preserve">짝</t>
  </si>
  <si>
    <t xml:space="preserve">짠</t>
  </si>
  <si>
    <t xml:space="preserve">짢</t>
  </si>
  <si>
    <t xml:space="preserve">짤</t>
  </si>
  <si>
    <t xml:space="preserve">짧</t>
  </si>
  <si>
    <t xml:space="preserve">짬</t>
  </si>
  <si>
    <t xml:space="preserve">짭</t>
  </si>
  <si>
    <t xml:space="preserve">짯</t>
  </si>
  <si>
    <t xml:space="preserve">짰</t>
  </si>
  <si>
    <t xml:space="preserve">짱</t>
  </si>
  <si>
    <t xml:space="preserve">째</t>
  </si>
  <si>
    <t xml:space="preserve">짹</t>
  </si>
  <si>
    <t xml:space="preserve">짼</t>
  </si>
  <si>
    <t xml:space="preserve">쨀</t>
  </si>
  <si>
    <t xml:space="preserve">쨈</t>
  </si>
  <si>
    <t xml:space="preserve">쨉</t>
  </si>
  <si>
    <t xml:space="preserve">쨋</t>
  </si>
  <si>
    <t xml:space="preserve">쨌</t>
  </si>
  <si>
    <t xml:space="preserve">쨍</t>
  </si>
  <si>
    <t xml:space="preserve">쨔</t>
  </si>
  <si>
    <t xml:space="preserve">쨘</t>
  </si>
  <si>
    <t xml:space="preserve">쨩</t>
  </si>
  <si>
    <t xml:space="preserve">쩌</t>
  </si>
  <si>
    <t xml:space="preserve">쩍</t>
  </si>
  <si>
    <t xml:space="preserve">쩐</t>
  </si>
  <si>
    <t xml:space="preserve">쩔</t>
  </si>
  <si>
    <t xml:space="preserve">쩜</t>
  </si>
  <si>
    <t xml:space="preserve">쩝</t>
  </si>
  <si>
    <t xml:space="preserve">쩟</t>
  </si>
  <si>
    <t xml:space="preserve">쩠</t>
  </si>
  <si>
    <t xml:space="preserve">쩡</t>
  </si>
  <si>
    <t xml:space="preserve">쩨</t>
  </si>
  <si>
    <t xml:space="preserve">쩽</t>
  </si>
  <si>
    <t xml:space="preserve">쪄</t>
  </si>
  <si>
    <t xml:space="preserve">쪘</t>
  </si>
  <si>
    <t xml:space="preserve">쪼</t>
  </si>
  <si>
    <t xml:space="preserve">쪽</t>
  </si>
  <si>
    <t xml:space="preserve">쫀</t>
  </si>
  <si>
    <t xml:space="preserve">쫄</t>
  </si>
  <si>
    <t xml:space="preserve">쫌</t>
  </si>
  <si>
    <t xml:space="preserve">쫍</t>
  </si>
  <si>
    <t xml:space="preserve">쫏</t>
  </si>
  <si>
    <t xml:space="preserve">쫑</t>
  </si>
  <si>
    <t xml:space="preserve">쫓</t>
  </si>
  <si>
    <t xml:space="preserve">쫘</t>
  </si>
  <si>
    <t xml:space="preserve">쫙</t>
  </si>
  <si>
    <t xml:space="preserve">쫠</t>
  </si>
  <si>
    <t xml:space="preserve">쫬</t>
  </si>
  <si>
    <t xml:space="preserve">쫴</t>
  </si>
  <si>
    <t xml:space="preserve">쬈</t>
  </si>
  <si>
    <t xml:space="preserve">쬐</t>
  </si>
  <si>
    <t xml:space="preserve">쬔</t>
  </si>
  <si>
    <t xml:space="preserve">쬘</t>
  </si>
  <si>
    <t xml:space="preserve">쬠</t>
  </si>
  <si>
    <t xml:space="preserve">쬡</t>
  </si>
  <si>
    <t xml:space="preserve">쭁</t>
  </si>
  <si>
    <t xml:space="preserve">쭈</t>
  </si>
  <si>
    <t xml:space="preserve">쭉</t>
  </si>
  <si>
    <t xml:space="preserve">쭌</t>
  </si>
  <si>
    <t xml:space="preserve">쭐</t>
  </si>
  <si>
    <t xml:space="preserve">쭘</t>
  </si>
  <si>
    <t xml:space="preserve">쭙</t>
  </si>
  <si>
    <t xml:space="preserve">쭝</t>
  </si>
  <si>
    <t xml:space="preserve">쭤</t>
  </si>
  <si>
    <t xml:space="preserve">쭸</t>
  </si>
  <si>
    <t xml:space="preserve">쭹</t>
  </si>
  <si>
    <t xml:space="preserve">쮜</t>
  </si>
  <si>
    <t xml:space="preserve">쮸</t>
  </si>
  <si>
    <t xml:space="preserve">쯔</t>
  </si>
  <si>
    <t xml:space="preserve">쯤</t>
  </si>
  <si>
    <t xml:space="preserve">쯧</t>
  </si>
  <si>
    <t xml:space="preserve">쯩</t>
  </si>
  <si>
    <t xml:space="preserve">찌</t>
  </si>
  <si>
    <t xml:space="preserve">찍</t>
  </si>
  <si>
    <t xml:space="preserve">찐</t>
  </si>
  <si>
    <t xml:space="preserve">찔</t>
  </si>
  <si>
    <t xml:space="preserve">찜</t>
  </si>
  <si>
    <t xml:space="preserve">찝</t>
  </si>
  <si>
    <t xml:space="preserve">찡</t>
  </si>
  <si>
    <t xml:space="preserve">찢</t>
  </si>
  <si>
    <t xml:space="preserve">찧</t>
  </si>
  <si>
    <t xml:space="preserve">차</t>
  </si>
  <si>
    <t xml:space="preserve">착</t>
  </si>
  <si>
    <t xml:space="preserve">찬</t>
  </si>
  <si>
    <t xml:space="preserve">찮</t>
  </si>
  <si>
    <t xml:space="preserve">찰</t>
  </si>
  <si>
    <t xml:space="preserve">참</t>
  </si>
  <si>
    <t xml:space="preserve">찹</t>
  </si>
  <si>
    <t xml:space="preserve">찻</t>
  </si>
  <si>
    <t xml:space="preserve">찼</t>
  </si>
  <si>
    <t xml:space="preserve">창</t>
  </si>
  <si>
    <t xml:space="preserve">찾</t>
  </si>
  <si>
    <t xml:space="preserve">채</t>
  </si>
  <si>
    <t xml:space="preserve">책</t>
  </si>
  <si>
    <t xml:space="preserve">챈</t>
  </si>
  <si>
    <t xml:space="preserve">챌</t>
  </si>
  <si>
    <t xml:space="preserve">챔</t>
  </si>
  <si>
    <t xml:space="preserve">챕</t>
  </si>
  <si>
    <t xml:space="preserve">챗</t>
  </si>
  <si>
    <t xml:space="preserve">챘</t>
  </si>
  <si>
    <t xml:space="preserve">챙</t>
  </si>
  <si>
    <t xml:space="preserve">챠</t>
  </si>
  <si>
    <t xml:space="preserve">챤</t>
  </si>
  <si>
    <t xml:space="preserve">챦</t>
  </si>
  <si>
    <t xml:space="preserve">챨</t>
  </si>
  <si>
    <t xml:space="preserve">챰</t>
  </si>
  <si>
    <t xml:space="preserve">챵</t>
  </si>
  <si>
    <t xml:space="preserve">처</t>
  </si>
  <si>
    <t xml:space="preserve">척</t>
  </si>
  <si>
    <t xml:space="preserve">천</t>
  </si>
  <si>
    <t xml:space="preserve">철</t>
  </si>
  <si>
    <t xml:space="preserve">첨</t>
  </si>
  <si>
    <t xml:space="preserve">첩</t>
  </si>
  <si>
    <t xml:space="preserve">첫</t>
  </si>
  <si>
    <t xml:space="preserve">첬</t>
  </si>
  <si>
    <t xml:space="preserve">청</t>
  </si>
  <si>
    <t xml:space="preserve">체</t>
  </si>
  <si>
    <t xml:space="preserve">첵</t>
  </si>
  <si>
    <t xml:space="preserve">첸</t>
  </si>
  <si>
    <t xml:space="preserve">첼</t>
  </si>
  <si>
    <t xml:space="preserve">쳄</t>
  </si>
  <si>
    <t xml:space="preserve">쳅</t>
  </si>
  <si>
    <t xml:space="preserve">쳇</t>
  </si>
  <si>
    <t xml:space="preserve">쳉</t>
  </si>
  <si>
    <t xml:space="preserve">쳐</t>
  </si>
  <si>
    <t xml:space="preserve">쳔</t>
  </si>
  <si>
    <t xml:space="preserve">쳤</t>
  </si>
  <si>
    <t xml:space="preserve">쳬</t>
  </si>
  <si>
    <t xml:space="preserve">쳰</t>
  </si>
  <si>
    <t xml:space="preserve">촁</t>
  </si>
  <si>
    <t xml:space="preserve">초</t>
  </si>
  <si>
    <t xml:space="preserve">촉</t>
  </si>
  <si>
    <t xml:space="preserve">촌</t>
  </si>
  <si>
    <t xml:space="preserve">촐</t>
  </si>
  <si>
    <t xml:space="preserve">촘</t>
  </si>
  <si>
    <t xml:space="preserve">촙</t>
  </si>
  <si>
    <t xml:space="preserve">촛</t>
  </si>
  <si>
    <t xml:space="preserve">총</t>
  </si>
  <si>
    <t xml:space="preserve">촤</t>
  </si>
  <si>
    <t xml:space="preserve">촨</t>
  </si>
  <si>
    <t xml:space="preserve">촬</t>
  </si>
  <si>
    <t xml:space="preserve">촹</t>
  </si>
  <si>
    <t xml:space="preserve">최</t>
  </si>
  <si>
    <t xml:space="preserve">쵠</t>
  </si>
  <si>
    <t xml:space="preserve">쵤</t>
  </si>
  <si>
    <t xml:space="preserve">쵬</t>
  </si>
  <si>
    <t xml:space="preserve">쵭</t>
  </si>
  <si>
    <t xml:space="preserve">쵯</t>
  </si>
  <si>
    <t xml:space="preserve">쵱</t>
  </si>
  <si>
    <t xml:space="preserve">쵸</t>
  </si>
  <si>
    <t xml:space="preserve">춈</t>
  </si>
  <si>
    <t xml:space="preserve">추</t>
  </si>
  <si>
    <t xml:space="preserve">축</t>
  </si>
  <si>
    <t xml:space="preserve">춘</t>
  </si>
  <si>
    <t xml:space="preserve">출</t>
  </si>
  <si>
    <t xml:space="preserve">춤</t>
  </si>
  <si>
    <t xml:space="preserve">춥</t>
  </si>
  <si>
    <t xml:space="preserve">춧</t>
  </si>
  <si>
    <t xml:space="preserve">충</t>
  </si>
  <si>
    <t xml:space="preserve">춰</t>
  </si>
  <si>
    <t xml:space="preserve">췄</t>
  </si>
  <si>
    <t xml:space="preserve">췌</t>
  </si>
  <si>
    <t xml:space="preserve">췐</t>
  </si>
  <si>
    <t xml:space="preserve">취</t>
  </si>
  <si>
    <t xml:space="preserve">췬</t>
  </si>
  <si>
    <t xml:space="preserve">췰</t>
  </si>
  <si>
    <t xml:space="preserve">췸</t>
  </si>
  <si>
    <t xml:space="preserve">췹</t>
  </si>
  <si>
    <t xml:space="preserve">췻</t>
  </si>
  <si>
    <t xml:space="preserve">췽</t>
  </si>
  <si>
    <t xml:space="preserve">츄</t>
  </si>
  <si>
    <t xml:space="preserve">츈</t>
  </si>
  <si>
    <t xml:space="preserve">츌</t>
  </si>
  <si>
    <t xml:space="preserve">츔</t>
  </si>
  <si>
    <t xml:space="preserve">츙</t>
  </si>
  <si>
    <t xml:space="preserve">츠</t>
  </si>
  <si>
    <t xml:space="preserve">측</t>
  </si>
  <si>
    <t xml:space="preserve">츤</t>
  </si>
  <si>
    <t xml:space="preserve">츨</t>
  </si>
  <si>
    <t xml:space="preserve">츰</t>
  </si>
  <si>
    <t xml:space="preserve">츱</t>
  </si>
  <si>
    <t xml:space="preserve">츳</t>
  </si>
  <si>
    <t xml:space="preserve">층</t>
  </si>
  <si>
    <t xml:space="preserve">치</t>
  </si>
  <si>
    <t xml:space="preserve">칙</t>
  </si>
  <si>
    <t xml:space="preserve">친</t>
  </si>
  <si>
    <t xml:space="preserve">칟</t>
  </si>
  <si>
    <t xml:space="preserve">칠</t>
  </si>
  <si>
    <t xml:space="preserve">칡</t>
  </si>
  <si>
    <t xml:space="preserve">침</t>
  </si>
  <si>
    <t xml:space="preserve">칩</t>
  </si>
  <si>
    <t xml:space="preserve">칫</t>
  </si>
  <si>
    <t xml:space="preserve">칭</t>
  </si>
  <si>
    <t xml:space="preserve">카</t>
  </si>
  <si>
    <t xml:space="preserve">칵</t>
  </si>
  <si>
    <t xml:space="preserve">칸</t>
  </si>
  <si>
    <t xml:space="preserve">칼</t>
  </si>
  <si>
    <t xml:space="preserve">캄</t>
  </si>
  <si>
    <t xml:space="preserve">캅</t>
  </si>
  <si>
    <t xml:space="preserve">캇</t>
  </si>
  <si>
    <t xml:space="preserve">캉</t>
  </si>
  <si>
    <t xml:space="preserve">캐</t>
  </si>
  <si>
    <t xml:space="preserve">캑</t>
  </si>
  <si>
    <t xml:space="preserve">캔</t>
  </si>
  <si>
    <t xml:space="preserve">캘</t>
  </si>
  <si>
    <t xml:space="preserve">캠</t>
  </si>
  <si>
    <t xml:space="preserve">캡</t>
  </si>
  <si>
    <t xml:space="preserve">캣</t>
  </si>
  <si>
    <t xml:space="preserve">캤</t>
  </si>
  <si>
    <t xml:space="preserve">캥</t>
  </si>
  <si>
    <t xml:space="preserve">캬</t>
  </si>
  <si>
    <t xml:space="preserve">캭</t>
  </si>
  <si>
    <t xml:space="preserve">컁</t>
  </si>
  <si>
    <t xml:space="preserve">커</t>
  </si>
  <si>
    <t xml:space="preserve">컥</t>
  </si>
  <si>
    <t xml:space="preserve">컨</t>
  </si>
  <si>
    <t xml:space="preserve">컫</t>
  </si>
  <si>
    <t xml:space="preserve">컬</t>
  </si>
  <si>
    <t xml:space="preserve">컴</t>
  </si>
  <si>
    <t xml:space="preserve">컵</t>
  </si>
  <si>
    <t xml:space="preserve">컷</t>
  </si>
  <si>
    <t xml:space="preserve">컸</t>
  </si>
  <si>
    <t xml:space="preserve">컹</t>
  </si>
  <si>
    <t xml:space="preserve">케</t>
  </si>
  <si>
    <t xml:space="preserve">켁</t>
  </si>
  <si>
    <t xml:space="preserve">켄</t>
  </si>
  <si>
    <t xml:space="preserve">켈</t>
  </si>
  <si>
    <t xml:space="preserve">켐</t>
  </si>
  <si>
    <t xml:space="preserve">켑</t>
  </si>
  <si>
    <t xml:space="preserve">켓</t>
  </si>
  <si>
    <t xml:space="preserve">켕</t>
  </si>
  <si>
    <t xml:space="preserve">켜</t>
  </si>
  <si>
    <t xml:space="preserve">켠</t>
  </si>
  <si>
    <t xml:space="preserve">켤</t>
  </si>
  <si>
    <t xml:space="preserve">켬</t>
  </si>
  <si>
    <t xml:space="preserve">켭</t>
  </si>
  <si>
    <t xml:space="preserve">켯</t>
  </si>
  <si>
    <t xml:space="preserve">켰</t>
  </si>
  <si>
    <t xml:space="preserve">켱</t>
  </si>
  <si>
    <t xml:space="preserve">켸</t>
  </si>
  <si>
    <t xml:space="preserve">코</t>
  </si>
  <si>
    <t xml:space="preserve">콕</t>
  </si>
  <si>
    <t xml:space="preserve">콘</t>
  </si>
  <si>
    <t xml:space="preserve">콜</t>
  </si>
  <si>
    <t xml:space="preserve">콤</t>
  </si>
  <si>
    <t xml:space="preserve">콥</t>
  </si>
  <si>
    <t xml:space="preserve">콧</t>
  </si>
  <si>
    <t xml:space="preserve">콩</t>
  </si>
  <si>
    <t xml:space="preserve">콰</t>
  </si>
  <si>
    <t xml:space="preserve">콱</t>
  </si>
  <si>
    <t xml:space="preserve">콴</t>
  </si>
  <si>
    <t xml:space="preserve">콸</t>
  </si>
  <si>
    <t xml:space="preserve">쾀</t>
  </si>
  <si>
    <t xml:space="preserve">쾅</t>
  </si>
  <si>
    <t xml:space="preserve">쾌</t>
  </si>
  <si>
    <t xml:space="preserve">쾡</t>
  </si>
  <si>
    <t xml:space="preserve">쾨</t>
  </si>
  <si>
    <t xml:space="preserve">쾰</t>
  </si>
  <si>
    <t xml:space="preserve">쿄</t>
  </si>
  <si>
    <t xml:space="preserve">쿠</t>
  </si>
  <si>
    <t xml:space="preserve">쿡</t>
  </si>
  <si>
    <t xml:space="preserve">쿤</t>
  </si>
  <si>
    <t xml:space="preserve">쿨</t>
  </si>
  <si>
    <t xml:space="preserve">쿰</t>
  </si>
  <si>
    <t xml:space="preserve">쿱</t>
  </si>
  <si>
    <t xml:space="preserve">쿳</t>
  </si>
  <si>
    <t xml:space="preserve">쿵</t>
  </si>
  <si>
    <t xml:space="preserve">쿼</t>
  </si>
  <si>
    <t xml:space="preserve">퀀</t>
  </si>
  <si>
    <t xml:space="preserve">퀄</t>
  </si>
  <si>
    <t xml:space="preserve">퀑</t>
  </si>
  <si>
    <t xml:space="preserve">퀘</t>
  </si>
  <si>
    <t xml:space="preserve">퀭</t>
  </si>
  <si>
    <t xml:space="preserve">퀴</t>
  </si>
  <si>
    <t xml:space="preserve">퀵</t>
  </si>
  <si>
    <t xml:space="preserve">퀸</t>
  </si>
  <si>
    <t xml:space="preserve">퀼</t>
  </si>
  <si>
    <t xml:space="preserve">큄</t>
  </si>
  <si>
    <t xml:space="preserve">큅</t>
  </si>
  <si>
    <t xml:space="preserve">큇</t>
  </si>
  <si>
    <t xml:space="preserve">큉</t>
  </si>
  <si>
    <t xml:space="preserve">큐</t>
  </si>
  <si>
    <t xml:space="preserve">큔</t>
  </si>
  <si>
    <t xml:space="preserve">큘</t>
  </si>
  <si>
    <t xml:space="preserve">큠</t>
  </si>
  <si>
    <t xml:space="preserve">크</t>
  </si>
  <si>
    <t xml:space="preserve">큭</t>
  </si>
  <si>
    <t xml:space="preserve">큰</t>
  </si>
  <si>
    <t xml:space="preserve">클</t>
  </si>
  <si>
    <t xml:space="preserve">큼</t>
  </si>
  <si>
    <t xml:space="preserve">큽</t>
  </si>
  <si>
    <t xml:space="preserve">킁</t>
  </si>
  <si>
    <t xml:space="preserve">키</t>
  </si>
  <si>
    <t xml:space="preserve">킥</t>
  </si>
  <si>
    <t xml:space="preserve">킨</t>
  </si>
  <si>
    <t xml:space="preserve">킬</t>
  </si>
  <si>
    <t xml:space="preserve">킴</t>
  </si>
  <si>
    <t xml:space="preserve">킵</t>
  </si>
  <si>
    <t xml:space="preserve">킷</t>
  </si>
  <si>
    <t xml:space="preserve">킹</t>
  </si>
  <si>
    <t xml:space="preserve">타</t>
  </si>
  <si>
    <t xml:space="preserve">탁</t>
  </si>
  <si>
    <t xml:space="preserve">탄</t>
  </si>
  <si>
    <t xml:space="preserve">탈</t>
  </si>
  <si>
    <t xml:space="preserve">탉</t>
  </si>
  <si>
    <t xml:space="preserve">탐</t>
  </si>
  <si>
    <t xml:space="preserve">탑</t>
  </si>
  <si>
    <t xml:space="preserve">탓</t>
  </si>
  <si>
    <t xml:space="preserve">탔</t>
  </si>
  <si>
    <t xml:space="preserve">탕</t>
  </si>
  <si>
    <t xml:space="preserve">태</t>
  </si>
  <si>
    <t xml:space="preserve">택</t>
  </si>
  <si>
    <t xml:space="preserve">탠</t>
  </si>
  <si>
    <t xml:space="preserve">탤</t>
  </si>
  <si>
    <t xml:space="preserve">탬</t>
  </si>
  <si>
    <t xml:space="preserve">탭</t>
  </si>
  <si>
    <t xml:space="preserve">탯</t>
  </si>
  <si>
    <t xml:space="preserve">탰</t>
  </si>
  <si>
    <t xml:space="preserve">탱</t>
  </si>
  <si>
    <t xml:space="preserve">탸</t>
  </si>
  <si>
    <t xml:space="preserve">턍</t>
  </si>
  <si>
    <t xml:space="preserve">턱</t>
  </si>
  <si>
    <t xml:space="preserve">턴</t>
  </si>
  <si>
    <t xml:space="preserve">털</t>
  </si>
  <si>
    <t xml:space="preserve">턺</t>
  </si>
  <si>
    <t xml:space="preserve">텀</t>
  </si>
  <si>
    <t xml:space="preserve">텁</t>
  </si>
  <si>
    <t xml:space="preserve">텃</t>
  </si>
  <si>
    <t xml:space="preserve">텄</t>
  </si>
  <si>
    <t xml:space="preserve">텅</t>
  </si>
  <si>
    <t xml:space="preserve">텍</t>
  </si>
  <si>
    <t xml:space="preserve">텐</t>
  </si>
  <si>
    <t xml:space="preserve">텔</t>
  </si>
  <si>
    <t xml:space="preserve">템</t>
  </si>
  <si>
    <t xml:space="preserve">텝</t>
  </si>
  <si>
    <t xml:space="preserve">텟</t>
  </si>
  <si>
    <t xml:space="preserve">텡</t>
  </si>
  <si>
    <t xml:space="preserve">텨</t>
  </si>
  <si>
    <t xml:space="preserve">텬</t>
  </si>
  <si>
    <t xml:space="preserve">텼</t>
  </si>
  <si>
    <t xml:space="preserve">톄</t>
  </si>
  <si>
    <t xml:space="preserve">톈</t>
  </si>
  <si>
    <t xml:space="preserve">톡</t>
  </si>
  <si>
    <t xml:space="preserve">톤</t>
  </si>
  <si>
    <t xml:space="preserve">톨</t>
  </si>
  <si>
    <t xml:space="preserve">톰</t>
  </si>
  <si>
    <t xml:space="preserve">톱</t>
  </si>
  <si>
    <t xml:space="preserve">톳</t>
  </si>
  <si>
    <t xml:space="preserve">통</t>
  </si>
  <si>
    <t xml:space="preserve">톺</t>
  </si>
  <si>
    <t xml:space="preserve">톼</t>
  </si>
  <si>
    <t xml:space="preserve">퇀</t>
  </si>
  <si>
    <t xml:space="preserve">퇘</t>
  </si>
  <si>
    <t xml:space="preserve">퇴</t>
  </si>
  <si>
    <t xml:space="preserve">퇸</t>
  </si>
  <si>
    <t xml:space="preserve">툇</t>
  </si>
  <si>
    <t xml:space="preserve">툉</t>
  </si>
  <si>
    <t xml:space="preserve">툐</t>
  </si>
  <si>
    <t xml:space="preserve">툭</t>
  </si>
  <si>
    <t xml:space="preserve">툰</t>
  </si>
  <si>
    <t xml:space="preserve">툴</t>
  </si>
  <si>
    <t xml:space="preserve">툼</t>
  </si>
  <si>
    <t xml:space="preserve">툽</t>
  </si>
  <si>
    <t xml:space="preserve">툿</t>
  </si>
  <si>
    <t xml:space="preserve">퉁</t>
  </si>
  <si>
    <t xml:space="preserve">퉈</t>
  </si>
  <si>
    <t xml:space="preserve">퉜</t>
  </si>
  <si>
    <t xml:space="preserve">퉤</t>
  </si>
  <si>
    <t xml:space="preserve">튀</t>
  </si>
  <si>
    <t xml:space="preserve">튁</t>
  </si>
  <si>
    <t xml:space="preserve">튄</t>
  </si>
  <si>
    <t xml:space="preserve">튈</t>
  </si>
  <si>
    <t xml:space="preserve">튐</t>
  </si>
  <si>
    <t xml:space="preserve">튑</t>
  </si>
  <si>
    <t xml:space="preserve">튕</t>
  </si>
  <si>
    <t xml:space="preserve">튜</t>
  </si>
  <si>
    <t xml:space="preserve">튠</t>
  </si>
  <si>
    <t xml:space="preserve">튤</t>
  </si>
  <si>
    <t xml:space="preserve">튬</t>
  </si>
  <si>
    <t xml:space="preserve">튱</t>
  </si>
  <si>
    <t xml:space="preserve">특</t>
  </si>
  <si>
    <t xml:space="preserve">튼</t>
  </si>
  <si>
    <t xml:space="preserve">튿</t>
  </si>
  <si>
    <t xml:space="preserve">틀</t>
  </si>
  <si>
    <t xml:space="preserve">틂</t>
  </si>
  <si>
    <t xml:space="preserve">틈</t>
  </si>
  <si>
    <t xml:space="preserve">틉</t>
  </si>
  <si>
    <t xml:space="preserve">틋</t>
  </si>
  <si>
    <t xml:space="preserve">틔</t>
  </si>
  <si>
    <t xml:space="preserve">틘</t>
  </si>
  <si>
    <t xml:space="preserve">틜</t>
  </si>
  <si>
    <t xml:space="preserve">틤</t>
  </si>
  <si>
    <t xml:space="preserve">틥</t>
  </si>
  <si>
    <t xml:space="preserve">티</t>
  </si>
  <si>
    <t xml:space="preserve">틱</t>
  </si>
  <si>
    <t xml:space="preserve">틴</t>
  </si>
  <si>
    <t xml:space="preserve">틸</t>
  </si>
  <si>
    <t xml:space="preserve">팀</t>
  </si>
  <si>
    <t xml:space="preserve">팁</t>
  </si>
  <si>
    <t xml:space="preserve">팃</t>
  </si>
  <si>
    <t xml:space="preserve">팅</t>
  </si>
  <si>
    <t xml:space="preserve">파</t>
  </si>
  <si>
    <t xml:space="preserve">팍</t>
  </si>
  <si>
    <t xml:space="preserve">팎</t>
  </si>
  <si>
    <t xml:space="preserve">판</t>
  </si>
  <si>
    <t xml:space="preserve">팔</t>
  </si>
  <si>
    <t xml:space="preserve">팖</t>
  </si>
  <si>
    <t xml:space="preserve">팜</t>
  </si>
  <si>
    <t xml:space="preserve">팝</t>
  </si>
  <si>
    <t xml:space="preserve">팟</t>
  </si>
  <si>
    <t xml:space="preserve">팠</t>
  </si>
  <si>
    <t xml:space="preserve">팡</t>
  </si>
  <si>
    <t xml:space="preserve">팥</t>
  </si>
  <si>
    <t xml:space="preserve">패</t>
  </si>
  <si>
    <t xml:space="preserve">팩</t>
  </si>
  <si>
    <t xml:space="preserve">팬</t>
  </si>
  <si>
    <t xml:space="preserve">팰</t>
  </si>
  <si>
    <t xml:space="preserve">팸</t>
  </si>
  <si>
    <t xml:space="preserve">팹</t>
  </si>
  <si>
    <t xml:space="preserve">팻</t>
  </si>
  <si>
    <t xml:space="preserve">팼</t>
  </si>
  <si>
    <t xml:space="preserve">팽</t>
  </si>
  <si>
    <t xml:space="preserve">퍄</t>
  </si>
  <si>
    <t xml:space="preserve">퍅</t>
  </si>
  <si>
    <t xml:space="preserve">퍼</t>
  </si>
  <si>
    <t xml:space="preserve">퍽</t>
  </si>
  <si>
    <t xml:space="preserve">펀</t>
  </si>
  <si>
    <t xml:space="preserve">펄</t>
  </si>
  <si>
    <t xml:space="preserve">펌</t>
  </si>
  <si>
    <t xml:space="preserve">펍</t>
  </si>
  <si>
    <t xml:space="preserve">펏</t>
  </si>
  <si>
    <t xml:space="preserve">펐</t>
  </si>
  <si>
    <t xml:space="preserve">펑</t>
  </si>
  <si>
    <t xml:space="preserve">페</t>
  </si>
  <si>
    <t xml:space="preserve">펙</t>
  </si>
  <si>
    <t xml:space="preserve">펜</t>
  </si>
  <si>
    <t xml:space="preserve">펠</t>
  </si>
  <si>
    <t xml:space="preserve">펨</t>
  </si>
  <si>
    <t xml:space="preserve">펩</t>
  </si>
  <si>
    <t xml:space="preserve">펫</t>
  </si>
  <si>
    <t xml:space="preserve">펭</t>
  </si>
  <si>
    <t xml:space="preserve">펴</t>
  </si>
  <si>
    <t xml:space="preserve">편</t>
  </si>
  <si>
    <t xml:space="preserve">펼</t>
  </si>
  <si>
    <t xml:space="preserve">폄</t>
  </si>
  <si>
    <t xml:space="preserve">폅</t>
  </si>
  <si>
    <t xml:space="preserve">폈</t>
  </si>
  <si>
    <t xml:space="preserve">평</t>
  </si>
  <si>
    <t xml:space="preserve">폐</t>
  </si>
  <si>
    <t xml:space="preserve">폘</t>
  </si>
  <si>
    <t xml:space="preserve">폡</t>
  </si>
  <si>
    <t xml:space="preserve">폣</t>
  </si>
  <si>
    <t xml:space="preserve">포</t>
  </si>
  <si>
    <t xml:space="preserve">폭</t>
  </si>
  <si>
    <t xml:space="preserve">폰</t>
  </si>
  <si>
    <t xml:space="preserve">폴</t>
  </si>
  <si>
    <t xml:space="preserve">폼</t>
  </si>
  <si>
    <t xml:space="preserve">폽</t>
  </si>
  <si>
    <t xml:space="preserve">폿</t>
  </si>
  <si>
    <t xml:space="preserve">퐁</t>
  </si>
  <si>
    <t xml:space="preserve">퐈</t>
  </si>
  <si>
    <t xml:space="preserve">퐝</t>
  </si>
  <si>
    <t xml:space="preserve">푀</t>
  </si>
  <si>
    <t xml:space="preserve">푄</t>
  </si>
  <si>
    <t xml:space="preserve">표</t>
  </si>
  <si>
    <t xml:space="preserve">푠</t>
  </si>
  <si>
    <t xml:space="preserve">푤</t>
  </si>
  <si>
    <t xml:space="preserve">푭</t>
  </si>
  <si>
    <t xml:space="preserve">푯</t>
  </si>
  <si>
    <t xml:space="preserve">푸</t>
  </si>
  <si>
    <t xml:space="preserve">푹</t>
  </si>
  <si>
    <t xml:space="preserve">푼</t>
  </si>
  <si>
    <t xml:space="preserve">푿</t>
  </si>
  <si>
    <t xml:space="preserve">풀</t>
  </si>
  <si>
    <t xml:space="preserve">풂</t>
  </si>
  <si>
    <t xml:space="preserve">품</t>
  </si>
  <si>
    <t xml:space="preserve">풉</t>
  </si>
  <si>
    <t xml:space="preserve">풋</t>
  </si>
  <si>
    <t xml:space="preserve">풍</t>
  </si>
  <si>
    <t xml:space="preserve">풔</t>
  </si>
  <si>
    <t xml:space="preserve">풩</t>
  </si>
  <si>
    <t xml:space="preserve">퓌</t>
  </si>
  <si>
    <t xml:space="preserve">퓐</t>
  </si>
  <si>
    <t xml:space="preserve">퓔</t>
  </si>
  <si>
    <t xml:space="preserve">퓜</t>
  </si>
  <si>
    <t xml:space="preserve">퓟</t>
  </si>
  <si>
    <t xml:space="preserve">퓨</t>
  </si>
  <si>
    <t xml:space="preserve">퓬</t>
  </si>
  <si>
    <t xml:space="preserve">퓰</t>
  </si>
  <si>
    <t xml:space="preserve">퓸</t>
  </si>
  <si>
    <t xml:space="preserve">퓻</t>
  </si>
  <si>
    <t xml:space="preserve">퓽</t>
  </si>
  <si>
    <t xml:space="preserve">프</t>
  </si>
  <si>
    <t xml:space="preserve">픈</t>
  </si>
  <si>
    <t xml:space="preserve">플</t>
  </si>
  <si>
    <t xml:space="preserve">픔</t>
  </si>
  <si>
    <t xml:space="preserve">픕</t>
  </si>
  <si>
    <t xml:space="preserve">픗</t>
  </si>
  <si>
    <t xml:space="preserve">피</t>
  </si>
  <si>
    <t xml:space="preserve">픽</t>
  </si>
  <si>
    <t xml:space="preserve">핀</t>
  </si>
  <si>
    <t xml:space="preserve">필</t>
  </si>
  <si>
    <t xml:space="preserve">핌</t>
  </si>
  <si>
    <t xml:space="preserve">핍</t>
  </si>
  <si>
    <t xml:space="preserve">핏</t>
  </si>
  <si>
    <t xml:space="preserve">핑</t>
  </si>
  <si>
    <t xml:space="preserve">학</t>
  </si>
  <si>
    <t xml:space="preserve">한</t>
  </si>
  <si>
    <t xml:space="preserve">할</t>
  </si>
  <si>
    <t xml:space="preserve">핥</t>
  </si>
  <si>
    <t xml:space="preserve">함</t>
  </si>
  <si>
    <t xml:space="preserve">합</t>
  </si>
  <si>
    <t xml:space="preserve">핫</t>
  </si>
  <si>
    <t xml:space="preserve">항</t>
  </si>
  <si>
    <t xml:space="preserve">해</t>
  </si>
  <si>
    <t xml:space="preserve">핵</t>
  </si>
  <si>
    <t xml:space="preserve">핸</t>
  </si>
  <si>
    <t xml:space="preserve">핼</t>
  </si>
  <si>
    <t xml:space="preserve">햄</t>
  </si>
  <si>
    <t xml:space="preserve">햅</t>
  </si>
  <si>
    <t xml:space="preserve">햇</t>
  </si>
  <si>
    <t xml:space="preserve">했</t>
  </si>
  <si>
    <t xml:space="preserve">행</t>
  </si>
  <si>
    <t xml:space="preserve">햐</t>
  </si>
  <si>
    <t xml:space="preserve">향</t>
  </si>
  <si>
    <t xml:space="preserve">허</t>
  </si>
  <si>
    <t xml:space="preserve">헉</t>
  </si>
  <si>
    <t xml:space="preserve">헌</t>
  </si>
  <si>
    <t xml:space="preserve">헐</t>
  </si>
  <si>
    <t xml:space="preserve">헒</t>
  </si>
  <si>
    <t xml:space="preserve">험</t>
  </si>
  <si>
    <t xml:space="preserve">헙</t>
  </si>
  <si>
    <t xml:space="preserve">헛</t>
  </si>
  <si>
    <t xml:space="preserve">헝</t>
  </si>
  <si>
    <t xml:space="preserve">헤</t>
  </si>
  <si>
    <t xml:space="preserve">헥</t>
  </si>
  <si>
    <t xml:space="preserve">헨</t>
  </si>
  <si>
    <t xml:space="preserve">헬</t>
  </si>
  <si>
    <t xml:space="preserve">헴</t>
  </si>
  <si>
    <t xml:space="preserve">헵</t>
  </si>
  <si>
    <t xml:space="preserve">헷</t>
  </si>
  <si>
    <t xml:space="preserve">헹</t>
  </si>
  <si>
    <t xml:space="preserve">혀</t>
  </si>
  <si>
    <t xml:space="preserve">혁</t>
  </si>
  <si>
    <t xml:space="preserve">현</t>
  </si>
  <si>
    <t xml:space="preserve">혈</t>
  </si>
  <si>
    <t xml:space="preserve">혐</t>
  </si>
  <si>
    <t xml:space="preserve">협</t>
  </si>
  <si>
    <t xml:space="preserve">혓</t>
  </si>
  <si>
    <t xml:space="preserve">혔</t>
  </si>
  <si>
    <t xml:space="preserve">형</t>
  </si>
  <si>
    <t xml:space="preserve">혜</t>
  </si>
  <si>
    <t xml:space="preserve">혠</t>
  </si>
  <si>
    <t xml:space="preserve">혤</t>
  </si>
  <si>
    <t xml:space="preserve">혭</t>
  </si>
  <si>
    <t xml:space="preserve">호</t>
  </si>
  <si>
    <t xml:space="preserve">혹</t>
  </si>
  <si>
    <t xml:space="preserve">혼</t>
  </si>
  <si>
    <t xml:space="preserve">홀</t>
  </si>
  <si>
    <t xml:space="preserve">홅</t>
  </si>
  <si>
    <t xml:space="preserve">홈</t>
  </si>
  <si>
    <t xml:space="preserve">홉</t>
  </si>
  <si>
    <t xml:space="preserve">홋</t>
  </si>
  <si>
    <t xml:space="preserve">홍</t>
  </si>
  <si>
    <t xml:space="preserve">홑</t>
  </si>
  <si>
    <t xml:space="preserve">화</t>
  </si>
  <si>
    <t xml:space="preserve">확</t>
  </si>
  <si>
    <t xml:space="preserve">환</t>
  </si>
  <si>
    <t xml:space="preserve">활</t>
  </si>
  <si>
    <t xml:space="preserve">홧</t>
  </si>
  <si>
    <t xml:space="preserve">황</t>
  </si>
  <si>
    <t xml:space="preserve">홰</t>
  </si>
  <si>
    <t xml:space="preserve">홱</t>
  </si>
  <si>
    <t xml:space="preserve">홴</t>
  </si>
  <si>
    <t xml:space="preserve">횃</t>
  </si>
  <si>
    <t xml:space="preserve">횅</t>
  </si>
  <si>
    <t xml:space="preserve">회</t>
  </si>
  <si>
    <t xml:space="preserve">획</t>
  </si>
  <si>
    <t xml:space="preserve">횐</t>
  </si>
  <si>
    <t xml:space="preserve">횔</t>
  </si>
  <si>
    <t xml:space="preserve">횝</t>
  </si>
  <si>
    <t xml:space="preserve">횟</t>
  </si>
  <si>
    <t xml:space="preserve">횡</t>
  </si>
  <si>
    <t xml:space="preserve">효</t>
  </si>
  <si>
    <t xml:space="preserve">횬</t>
  </si>
  <si>
    <t xml:space="preserve">횰</t>
  </si>
  <si>
    <t xml:space="preserve">횹</t>
  </si>
  <si>
    <t xml:space="preserve">횻</t>
  </si>
  <si>
    <t xml:space="preserve">후</t>
  </si>
  <si>
    <t xml:space="preserve">훅</t>
  </si>
  <si>
    <t xml:space="preserve">훈</t>
  </si>
  <si>
    <t xml:space="preserve">훌</t>
  </si>
  <si>
    <t xml:space="preserve">훑</t>
  </si>
  <si>
    <t xml:space="preserve">훔</t>
  </si>
  <si>
    <t xml:space="preserve">훗</t>
  </si>
  <si>
    <t xml:space="preserve">훙</t>
  </si>
  <si>
    <t xml:space="preserve">훠</t>
  </si>
  <si>
    <t xml:space="preserve">훤</t>
  </si>
  <si>
    <t xml:space="preserve">훨</t>
  </si>
  <si>
    <t xml:space="preserve">훰</t>
  </si>
  <si>
    <t xml:space="preserve">훵</t>
  </si>
  <si>
    <t xml:space="preserve">훼</t>
  </si>
  <si>
    <t xml:space="preserve">훽</t>
  </si>
  <si>
    <t xml:space="preserve">휀</t>
  </si>
  <si>
    <t xml:space="preserve">휄</t>
  </si>
  <si>
    <t xml:space="preserve">휑</t>
  </si>
  <si>
    <t xml:space="preserve">휘</t>
  </si>
  <si>
    <t xml:space="preserve">휙</t>
  </si>
  <si>
    <t xml:space="preserve">휜</t>
  </si>
  <si>
    <t xml:space="preserve">휠</t>
  </si>
  <si>
    <t xml:space="preserve">휨</t>
  </si>
  <si>
    <t xml:space="preserve">휩</t>
  </si>
  <si>
    <t xml:space="preserve">휫</t>
  </si>
  <si>
    <t xml:space="preserve">휭</t>
  </si>
  <si>
    <t xml:space="preserve">휴</t>
  </si>
  <si>
    <t xml:space="preserve">휵</t>
  </si>
  <si>
    <t xml:space="preserve">휸</t>
  </si>
  <si>
    <t xml:space="preserve">휼</t>
  </si>
  <si>
    <t xml:space="preserve">흄</t>
  </si>
  <si>
    <t xml:space="preserve">흇</t>
  </si>
  <si>
    <t xml:space="preserve">흉</t>
  </si>
  <si>
    <t xml:space="preserve">흐</t>
  </si>
  <si>
    <t xml:space="preserve">흑</t>
  </si>
  <si>
    <t xml:space="preserve">흔</t>
  </si>
  <si>
    <t xml:space="preserve">흖</t>
  </si>
  <si>
    <t xml:space="preserve">흗</t>
  </si>
  <si>
    <t xml:space="preserve">흘</t>
  </si>
  <si>
    <t xml:space="preserve">흙</t>
  </si>
  <si>
    <t xml:space="preserve">흠</t>
  </si>
  <si>
    <t xml:space="preserve">흡</t>
  </si>
  <si>
    <t xml:space="preserve">흣</t>
  </si>
  <si>
    <t xml:space="preserve">흥</t>
  </si>
  <si>
    <t xml:space="preserve">흩</t>
  </si>
  <si>
    <t xml:space="preserve">희</t>
  </si>
  <si>
    <t xml:space="preserve">흰</t>
  </si>
  <si>
    <t xml:space="preserve">흴</t>
  </si>
  <si>
    <t xml:space="preserve">흼</t>
  </si>
  <si>
    <t xml:space="preserve">흽</t>
  </si>
  <si>
    <t xml:space="preserve">힁</t>
  </si>
  <si>
    <t xml:space="preserve">히</t>
  </si>
  <si>
    <t xml:space="preserve">힉</t>
  </si>
  <si>
    <t xml:space="preserve">힌</t>
  </si>
  <si>
    <t xml:space="preserve">힐</t>
  </si>
  <si>
    <t xml:space="preserve">힘</t>
  </si>
  <si>
    <t xml:space="preserve">힙</t>
  </si>
  <si>
    <t xml:space="preserve">힛</t>
  </si>
  <si>
    <t xml:space="preserve">힝</t>
  </si>
  <si>
    <t xml:space="preserve">뱔</t>
  </si>
  <si>
    <t xml:space="preserve">뱟</t>
  </si>
  <si>
    <t xml:space="preserve">뱡</t>
  </si>
  <si>
    <t xml:space="preserve">뱬</t>
  </si>
  <si>
    <t xml:space="preserve">뱰</t>
  </si>
  <si>
    <t xml:space="preserve">볌</t>
  </si>
  <si>
    <t xml:space="preserve">볠</t>
  </si>
  <si>
    <t xml:space="preserve">볩</t>
  </si>
  <si>
    <t xml:space="preserve">볫</t>
  </si>
  <si>
    <t xml:space="preserve">봑</t>
  </si>
  <si>
    <t xml:space="preserve">봘</t>
  </si>
  <si>
    <t xml:space="preserve">봠</t>
  </si>
  <si>
    <t xml:space="preserve">봡</t>
  </si>
  <si>
    <t xml:space="preserve">봣</t>
  </si>
  <si>
    <t xml:space="preserve">봥</t>
  </si>
  <si>
    <t xml:space="preserve">봰</t>
  </si>
  <si>
    <t xml:space="preserve">봴</t>
  </si>
  <si>
    <t xml:space="preserve">봽</t>
  </si>
  <si>
    <t xml:space="preserve">봿</t>
  </si>
  <si>
    <t xml:space="preserve">뵁</t>
  </si>
  <si>
    <t xml:space="preserve">뵛</t>
  </si>
  <si>
    <t xml:space="preserve">뵝</t>
  </si>
  <si>
    <t xml:space="preserve">뵬</t>
  </si>
  <si>
    <t xml:space="preserve">뵵</t>
  </si>
  <si>
    <t xml:space="preserve">뵷</t>
  </si>
  <si>
    <t xml:space="preserve">붝</t>
  </si>
  <si>
    <t xml:space="preserve">붠</t>
  </si>
  <si>
    <t xml:space="preserve">붯</t>
  </si>
  <si>
    <t xml:space="preserve">붱</t>
  </si>
  <si>
    <t xml:space="preserve">뷋</t>
  </si>
  <si>
    <t xml:space="preserve">뷤</t>
  </si>
  <si>
    <t xml:space="preserve">뷥</t>
  </si>
  <si>
    <t xml:space="preserve">뷧</t>
  </si>
  <si>
    <t xml:space="preserve">븡</t>
  </si>
  <si>
    <t xml:space="preserve">끠</t>
  </si>
  <si>
    <t xml:space="preserve">뺠</t>
  </si>
  <si>
    <t xml:space="preserve">뻡</t>
  </si>
  <si>
    <t xml:space="preserve">뻭</t>
  </si>
  <si>
    <t xml:space="preserve">뻰</t>
  </si>
  <si>
    <t xml:space="preserve">뻼</t>
  </si>
  <si>
    <t xml:space="preserve">뻿</t>
  </si>
  <si>
    <t xml:space="preserve">뼌</t>
  </si>
  <si>
    <t xml:space="preserve">뼐</t>
  </si>
  <si>
    <t xml:space="preserve">뽓</t>
  </si>
  <si>
    <t xml:space="preserve">뽝</t>
  </si>
  <si>
    <t xml:space="preserve">뽤</t>
  </si>
  <si>
    <t xml:space="preserve">뽯</t>
  </si>
  <si>
    <t xml:space="preserve">뽱</t>
  </si>
  <si>
    <t xml:space="preserve">꺠</t>
  </si>
  <si>
    <t xml:space="preserve">뽹</t>
  </si>
  <si>
    <t xml:space="preserve">뾍</t>
  </si>
  <si>
    <t xml:space="preserve">뾘</t>
  </si>
  <si>
    <t xml:space="preserve">뾜</t>
  </si>
  <si>
    <t xml:space="preserve">뾤</t>
  </si>
  <si>
    <t xml:space="preserve">뾥</t>
  </si>
  <si>
    <t xml:space="preserve">뾩</t>
  </si>
  <si>
    <t xml:space="preserve">뿝</t>
  </si>
  <si>
    <t xml:space="preserve">뿰</t>
  </si>
  <si>
    <t xml:space="preserve">뿻</t>
  </si>
  <si>
    <t xml:space="preserve">뿽</t>
  </si>
  <si>
    <t xml:space="preserve">쀅</t>
  </si>
  <si>
    <t xml:space="preserve">쀈</t>
  </si>
  <si>
    <t xml:space="preserve">쀌</t>
  </si>
  <si>
    <t xml:space="preserve">쀔</t>
  </si>
  <si>
    <t xml:space="preserve">쀕</t>
  </si>
  <si>
    <t xml:space="preserve">쀗</t>
  </si>
  <si>
    <t xml:space="preserve">쀤</t>
  </si>
  <si>
    <t xml:space="preserve">쀨</t>
  </si>
  <si>
    <t xml:space="preserve">쀰</t>
  </si>
  <si>
    <t xml:space="preserve">쀱</t>
  </si>
  <si>
    <t xml:space="preserve">쁙</t>
  </si>
  <si>
    <t xml:space="preserve">쁫</t>
  </si>
  <si>
    <t xml:space="preserve">쁭</t>
  </si>
  <si>
    <t xml:space="preserve">햑</t>
  </si>
  <si>
    <t xml:space="preserve">햔</t>
  </si>
  <si>
    <t xml:space="preserve">햘</t>
  </si>
  <si>
    <t xml:space="preserve">햠</t>
  </si>
  <si>
    <t xml:space="preserve">횜</t>
  </si>
  <si>
    <t xml:space="preserve">횩</t>
  </si>
  <si>
    <t xml:space="preserve">횽</t>
  </si>
  <si>
    <t xml:space="preserve">훕</t>
  </si>
  <si>
    <t xml:space="preserve">훳</t>
  </si>
  <si>
    <t xml:space="preserve">놰</t>
  </si>
  <si>
    <t xml:space="preserve">흅</t>
  </si>
  <si>
    <t xml:space="preserve">댸</t>
  </si>
  <si>
    <t xml:space="preserve">쉇</t>
  </si>
  <si>
    <t xml:space="preserve">슌</t>
  </si>
  <si>
    <t xml:space="preserve">쌋</t>
  </si>
  <si>
    <t xml:space="preserve">쌧</t>
  </si>
  <si>
    <t xml:space="preserve">썻</t>
  </si>
  <si>
    <t xml:space="preserve">쎅</t>
  </si>
  <si>
    <t xml:space="preserve">쎔</t>
  </si>
  <si>
    <t xml:space="preserve">쎕</t>
  </si>
  <si>
    <t xml:space="preserve">쎗</t>
  </si>
  <si>
    <t xml:space="preserve">쎙</t>
  </si>
  <si>
    <t xml:space="preserve">뜌</t>
  </si>
  <si>
    <t xml:space="preserve">쎳</t>
  </si>
  <si>
    <t xml:space="preserve">뗴</t>
  </si>
  <si>
    <t xml:space="preserve">쏼</t>
  </si>
  <si>
    <t xml:space="preserve">떄</t>
  </si>
  <si>
    <t xml:space="preserve">뚸</t>
  </si>
  <si>
    <t xml:space="preserve">쓀</t>
  </si>
  <si>
    <t xml:space="preserve">쓈</t>
  </si>
  <si>
    <t xml:space="preserve">쓉</t>
  </si>
  <si>
    <t xml:space="preserve">쓍</t>
  </si>
  <si>
    <t xml:space="preserve">땨</t>
  </si>
  <si>
    <t xml:space="preserve">씃</t>
  </si>
  <si>
    <t xml:space="preserve">씝</t>
  </si>
  <si>
    <t xml:space="preserve">릐</t>
  </si>
  <si>
    <t xml:space="preserve">챡</t>
  </si>
  <si>
    <t xml:space="preserve">챳</t>
  </si>
  <si>
    <t xml:space="preserve">쳑</t>
  </si>
  <si>
    <t xml:space="preserve">쳘</t>
  </si>
  <si>
    <t xml:space="preserve">쳠</t>
  </si>
  <si>
    <t xml:space="preserve">쳡</t>
  </si>
  <si>
    <t xml:space="preserve">쳣</t>
  </si>
  <si>
    <t xml:space="preserve">쳥</t>
  </si>
  <si>
    <t xml:space="preserve">쳽</t>
  </si>
  <si>
    <t xml:space="preserve">쳿</t>
  </si>
  <si>
    <t xml:space="preserve">쵓</t>
  </si>
  <si>
    <t xml:space="preserve">쵼</t>
  </si>
  <si>
    <t xml:space="preserve">춀</t>
  </si>
  <si>
    <t xml:space="preserve">춉</t>
  </si>
  <si>
    <t xml:space="preserve">춋</t>
  </si>
  <si>
    <t xml:space="preserve">춍</t>
  </si>
  <si>
    <t xml:space="preserve">췃</t>
  </si>
  <si>
    <t xml:space="preserve">뢔</t>
  </si>
  <si>
    <t xml:space="preserve">췩</t>
  </si>
  <si>
    <t xml:space="preserve">츅</t>
  </si>
  <si>
    <t xml:space="preserve">츕</t>
  </si>
  <si>
    <t xml:space="preserve">츗</t>
  </si>
  <si>
    <t xml:space="preserve">믜</t>
  </si>
  <si>
    <t xml:space="preserve">웟</t>
  </si>
  <si>
    <t xml:space="preserve">뫠</t>
  </si>
  <si>
    <t xml:space="preserve">븨</t>
  </si>
  <si>
    <t xml:space="preserve">쟙</t>
  </si>
  <si>
    <t xml:space="preserve">젹</t>
  </si>
  <si>
    <t xml:space="preserve">졋</t>
  </si>
  <si>
    <t xml:space="preserve">졘</t>
  </si>
  <si>
    <t xml:space="preserve">좐</t>
  </si>
  <si>
    <t xml:space="preserve">뱨</t>
  </si>
  <si>
    <t xml:space="preserve">좻</t>
  </si>
  <si>
    <t xml:space="preserve">죅</t>
  </si>
  <si>
    <t xml:space="preserve">줠</t>
  </si>
  <si>
    <t xml:space="preserve">줫</t>
  </si>
  <si>
    <t xml:space="preserve">쥥</t>
  </si>
  <si>
    <t xml:space="preserve">쥿</t>
  </si>
  <si>
    <t xml:space="preserve">즁</t>
  </si>
  <si>
    <t xml:space="preserve">쁴</t>
  </si>
  <si>
    <t xml:space="preserve">쨕</t>
  </si>
  <si>
    <t xml:space="preserve">쨤</t>
  </si>
  <si>
    <t xml:space="preserve">쪅</t>
  </si>
  <si>
    <t xml:space="preserve">쪔</t>
  </si>
  <si>
    <t xml:space="preserve">쪕</t>
  </si>
  <si>
    <t xml:space="preserve">쪗</t>
  </si>
  <si>
    <t xml:space="preserve">쪙</t>
  </si>
  <si>
    <t xml:space="preserve">뿨</t>
  </si>
  <si>
    <t xml:space="preserve">쭛</t>
  </si>
  <si>
    <t xml:space="preserve">쯍</t>
  </si>
  <si>
    <t xml:space="preserve">쯘</t>
  </si>
  <si>
    <t xml:space="preserve">쯜</t>
  </si>
  <si>
    <t xml:space="preserve">쯥</t>
  </si>
  <si>
    <t xml:space="preserve">찟</t>
  </si>
  <si>
    <t xml:space="preserve">싀</t>
  </si>
  <si>
    <t xml:space="preserve">걈</t>
  </si>
  <si>
    <t xml:space="preserve">걉</t>
  </si>
  <si>
    <t xml:space="preserve">걤</t>
  </si>
  <si>
    <t xml:space="preserve">걩</t>
  </si>
  <si>
    <t xml:space="preserve">겍</t>
  </si>
  <si>
    <t xml:space="preserve">곙</t>
  </si>
  <si>
    <t xml:space="preserve">괨</t>
  </si>
  <si>
    <t xml:space="preserve">괫</t>
  </si>
  <si>
    <t xml:space="preserve">굑</t>
  </si>
  <si>
    <t xml:space="preserve">굠</t>
  </si>
  <si>
    <t xml:space="preserve">굥</t>
  </si>
  <si>
    <t xml:space="preserve">궛</t>
  </si>
  <si>
    <t xml:space="preserve">궥</t>
  </si>
  <si>
    <t xml:space="preserve">궨</t>
  </si>
  <si>
    <t xml:space="preserve">궬</t>
  </si>
  <si>
    <t xml:space="preserve">궴</t>
  </si>
  <si>
    <t xml:space="preserve">궹</t>
  </si>
  <si>
    <t xml:space="preserve">귕</t>
  </si>
  <si>
    <t xml:space="preserve">귝</t>
  </si>
  <si>
    <t xml:space="preserve">귬</t>
  </si>
  <si>
    <t xml:space="preserve">귯</t>
  </si>
  <si>
    <t xml:space="preserve">귱</t>
  </si>
  <si>
    <t xml:space="preserve">꺙</t>
  </si>
  <si>
    <t xml:space="preserve">껠</t>
  </si>
  <si>
    <t xml:space="preserve">꼔</t>
  </si>
  <si>
    <t xml:space="preserve">쎼</t>
  </si>
  <si>
    <t xml:space="preserve">꽌</t>
  </si>
  <si>
    <t xml:space="preserve">꽛</t>
  </si>
  <si>
    <t xml:space="preserve">썌</t>
  </si>
  <si>
    <t xml:space="preserve">꽷</t>
  </si>
  <si>
    <t xml:space="preserve">쎠</t>
  </si>
  <si>
    <t xml:space="preserve">꿧</t>
  </si>
  <si>
    <t xml:space="preserve">뀽</t>
  </si>
  <si>
    <t xml:space="preserve">쌰</t>
  </si>
  <si>
    <t xml:space="preserve">끤</t>
  </si>
  <si>
    <t xml:space="preserve">끨</t>
  </si>
  <si>
    <t xml:space="preserve">끰</t>
  </si>
  <si>
    <t xml:space="preserve">캰</t>
  </si>
  <si>
    <t xml:space="preserve">캴</t>
  </si>
  <si>
    <t xml:space="preserve">캼</t>
  </si>
  <si>
    <t xml:space="preserve">캽</t>
  </si>
  <si>
    <t xml:space="preserve">캿</t>
  </si>
  <si>
    <t xml:space="preserve">컌</t>
  </si>
  <si>
    <t xml:space="preserve">컐</t>
  </si>
  <si>
    <t xml:space="preserve">컙</t>
  </si>
  <si>
    <t xml:space="preserve">켝</t>
  </si>
  <si>
    <t xml:space="preserve">켼</t>
  </si>
  <si>
    <t xml:space="preserve">콀</t>
  </si>
  <si>
    <t xml:space="preserve">콈</t>
  </si>
  <si>
    <t xml:space="preserve">콉</t>
  </si>
  <si>
    <t xml:space="preserve">콋</t>
  </si>
  <si>
    <t xml:space="preserve">쾁</t>
  </si>
  <si>
    <t xml:space="preserve">쾃</t>
  </si>
  <si>
    <t xml:space="preserve">쾍</t>
  </si>
  <si>
    <t xml:space="preserve">쾐</t>
  </si>
  <si>
    <t xml:space="preserve">쾜</t>
  </si>
  <si>
    <t xml:space="preserve">쾟</t>
  </si>
  <si>
    <t xml:space="preserve">쾩</t>
  </si>
  <si>
    <t xml:space="preserve">쾬</t>
  </si>
  <si>
    <t xml:space="preserve">쾸</t>
  </si>
  <si>
    <t xml:space="preserve">쾹</t>
  </si>
  <si>
    <t xml:space="preserve">쾻</t>
  </si>
  <si>
    <t xml:space="preserve">쾽</t>
  </si>
  <si>
    <t xml:space="preserve">쿅</t>
  </si>
  <si>
    <t xml:space="preserve">쿈</t>
  </si>
  <si>
    <t xml:space="preserve">쿌</t>
  </si>
  <si>
    <t xml:space="preserve">쿔</t>
  </si>
  <si>
    <t xml:space="preserve">쿕</t>
  </si>
  <si>
    <t xml:space="preserve">쿗</t>
  </si>
  <si>
    <t xml:space="preserve">쿙</t>
  </si>
  <si>
    <t xml:space="preserve">쿽</t>
  </si>
  <si>
    <t xml:space="preserve">퀌</t>
  </si>
  <si>
    <t xml:space="preserve">퀍</t>
  </si>
  <si>
    <t xml:space="preserve">퀏</t>
  </si>
  <si>
    <t xml:space="preserve">퀙</t>
  </si>
  <si>
    <t xml:space="preserve">퀜</t>
  </si>
  <si>
    <t xml:space="preserve">퀠</t>
  </si>
  <si>
    <t xml:space="preserve">퀨</t>
  </si>
  <si>
    <t xml:space="preserve">퀩</t>
  </si>
  <si>
    <t xml:space="preserve">큑</t>
  </si>
  <si>
    <t xml:space="preserve">큡</t>
  </si>
  <si>
    <t xml:space="preserve">큣</t>
  </si>
  <si>
    <t xml:space="preserve">큥</t>
  </si>
  <si>
    <t xml:space="preserve">큿</t>
  </si>
  <si>
    <t xml:space="preserve">킌</t>
  </si>
  <si>
    <t xml:space="preserve">킐</t>
  </si>
  <si>
    <t xml:space="preserve">킘</t>
  </si>
  <si>
    <t xml:space="preserve">킛</t>
  </si>
  <si>
    <t xml:space="preserve">즤</t>
  </si>
  <si>
    <t xml:space="preserve">댝</t>
  </si>
  <si>
    <t xml:space="preserve">댠</t>
  </si>
  <si>
    <t xml:space="preserve">댤</t>
  </si>
  <si>
    <t xml:space="preserve">댬</t>
  </si>
  <si>
    <t xml:space="preserve">댱</t>
  </si>
  <si>
    <t xml:space="preserve">댼</t>
  </si>
  <si>
    <t xml:space="preserve">덀</t>
  </si>
  <si>
    <t xml:space="preserve">뎜</t>
  </si>
  <si>
    <t xml:space="preserve">뎝</t>
  </si>
  <si>
    <t xml:space="preserve">뎟</t>
  </si>
  <si>
    <t xml:space="preserve">돡</t>
  </si>
  <si>
    <t xml:space="preserve">돱</t>
  </si>
  <si>
    <t xml:space="preserve">돳</t>
  </si>
  <si>
    <t xml:space="preserve">돵</t>
  </si>
  <si>
    <t xml:space="preserve">됏</t>
  </si>
  <si>
    <t xml:space="preserve">됑</t>
  </si>
  <si>
    <t xml:space="preserve">됭</t>
  </si>
  <si>
    <t xml:space="preserve">됵</t>
  </si>
  <si>
    <t xml:space="preserve">됸</t>
  </si>
  <si>
    <t xml:space="preserve">둉</t>
  </si>
  <si>
    <t xml:space="preserve">둿</t>
  </si>
  <si>
    <t xml:space="preserve">ꦗ</t>
  </si>
  <si>
    <t xml:space="preserve">뒥</t>
  </si>
  <si>
    <t xml:space="preserve">뒴</t>
  </si>
  <si>
    <t xml:space="preserve">쯰</t>
  </si>
  <si>
    <t xml:space="preserve">쬬</t>
  </si>
  <si>
    <t xml:space="preserve">땬</t>
  </si>
  <si>
    <t xml:space="preserve">땽</t>
  </si>
  <si>
    <t xml:space="preserve">뗫</t>
  </si>
  <si>
    <t xml:space="preserve">똠</t>
  </si>
  <si>
    <t xml:space="preserve">똡</t>
  </si>
  <si>
    <t xml:space="preserve">똣</t>
  </si>
  <si>
    <t xml:space="preserve">쪠</t>
  </si>
  <si>
    <t xml:space="preserve">똭</t>
  </si>
  <si>
    <t xml:space="preserve">똿</t>
  </si>
  <si>
    <t xml:space="preserve">쨰</t>
  </si>
  <si>
    <t xml:space="preserve">뙛</t>
  </si>
  <si>
    <t xml:space="preserve">뙬</t>
  </si>
  <si>
    <t xml:space="preserve">뙴</t>
  </si>
  <si>
    <t xml:space="preserve">뙵</t>
  </si>
  <si>
    <t xml:space="preserve">뚕</t>
  </si>
  <si>
    <t xml:space="preserve">뚭</t>
  </si>
  <si>
    <t xml:space="preserve">뛋</t>
  </si>
  <si>
    <t xml:space="preserve">뛍</t>
  </si>
  <si>
    <t xml:space="preserve">쮀</t>
  </si>
  <si>
    <t xml:space="preserve">뜽</t>
  </si>
  <si>
    <t xml:space="preserve">띡</t>
  </si>
  <si>
    <t xml:space="preserve">츼</t>
  </si>
  <si>
    <t xml:space="preserve">퍈</t>
  </si>
  <si>
    <t xml:space="preserve">퍌</t>
  </si>
  <si>
    <t xml:space="preserve">퍔</t>
  </si>
  <si>
    <t xml:space="preserve">퍙</t>
  </si>
  <si>
    <t xml:space="preserve">폇</t>
  </si>
  <si>
    <t xml:space="preserve">폔</t>
  </si>
  <si>
    <t xml:space="preserve">폥</t>
  </si>
  <si>
    <t xml:space="preserve">퐌</t>
  </si>
  <si>
    <t xml:space="preserve">퐐</t>
  </si>
  <si>
    <t xml:space="preserve">푈</t>
  </si>
  <si>
    <t xml:space="preserve">푐</t>
  </si>
  <si>
    <t xml:space="preserve">푑</t>
  </si>
  <si>
    <t xml:space="preserve">푓</t>
  </si>
  <si>
    <t xml:space="preserve">푕</t>
  </si>
  <si>
    <t xml:space="preserve">푬</t>
  </si>
  <si>
    <t xml:space="preserve">풧</t>
  </si>
  <si>
    <t xml:space="preserve">쵀</t>
  </si>
  <si>
    <t xml:space="preserve">풴</t>
  </si>
  <si>
    <t xml:space="preserve">퓝</t>
  </si>
  <si>
    <t xml:space="preserve">퓡</t>
  </si>
  <si>
    <t xml:space="preserve">픅</t>
  </si>
  <si>
    <t xml:space="preserve">픙</t>
  </si>
  <si>
    <t xml:space="preserve">킈</t>
  </si>
  <si>
    <t xml:space="preserve">녓</t>
  </si>
  <si>
    <t xml:space="preserve">놕</t>
  </si>
  <si>
    <t xml:space="preserve">놤</t>
  </si>
  <si>
    <t xml:space="preserve">놩</t>
  </si>
  <si>
    <t xml:space="preserve">컈</t>
  </si>
  <si>
    <t xml:space="preserve">뇅</t>
  </si>
  <si>
    <t xml:space="preserve">눤</t>
  </si>
  <si>
    <t xml:space="preserve">눨</t>
  </si>
  <si>
    <t xml:space="preserve">눵</t>
  </si>
  <si>
    <t xml:space="preserve">뉑</t>
  </si>
  <si>
    <t xml:space="preserve">뉙</t>
  </si>
  <si>
    <t xml:space="preserve">뉫</t>
  </si>
  <si>
    <t xml:space="preserve">뉭</t>
  </si>
  <si>
    <t xml:space="preserve">뉸</t>
  </si>
  <si>
    <t xml:space="preserve">턔</t>
  </si>
  <si>
    <t xml:space="preserve">뤗</t>
  </si>
  <si>
    <t xml:space="preserve">륍</t>
  </si>
  <si>
    <t xml:space="preserve">릔</t>
  </si>
  <si>
    <t xml:space="preserve">릘</t>
  </si>
  <si>
    <t xml:space="preserve">릠</t>
  </si>
  <si>
    <t xml:space="preserve">릡</t>
  </si>
  <si>
    <t xml:space="preserve">픠</t>
  </si>
  <si>
    <t xml:space="preserve">몀</t>
  </si>
  <si>
    <t xml:space="preserve">몁</t>
  </si>
  <si>
    <t xml:space="preserve">몔</t>
  </si>
  <si>
    <t xml:space="preserve">몝</t>
  </si>
  <si>
    <t xml:space="preserve">몟</t>
  </si>
  <si>
    <t xml:space="preserve">뭥</t>
  </si>
  <si>
    <t xml:space="preserve">풰</t>
  </si>
  <si>
    <t xml:space="preserve">뮘</t>
  </si>
  <si>
    <t xml:space="preserve">뮛</t>
  </si>
  <si>
    <t xml:space="preserve">뮹</t>
  </si>
  <si>
    <t xml:space="preserve">믑</t>
  </si>
  <si>
    <t xml:space="preserve">텩</t>
  </si>
  <si>
    <t xml:space="preserve">텰</t>
  </si>
  <si>
    <t xml:space="preserve">텸</t>
  </si>
  <si>
    <t xml:space="preserve">텹</t>
  </si>
  <si>
    <t xml:space="preserve">텻</t>
  </si>
  <si>
    <t xml:space="preserve">텽</t>
  </si>
  <si>
    <t xml:space="preserve">톌</t>
  </si>
  <si>
    <t xml:space="preserve">톕</t>
  </si>
  <si>
    <t xml:space="preserve">톽</t>
  </si>
  <si>
    <t xml:space="preserve">퇄</t>
  </si>
  <si>
    <t xml:space="preserve">퇏</t>
  </si>
  <si>
    <t xml:space="preserve">퇑</t>
  </si>
  <si>
    <t xml:space="preserve">햬</t>
  </si>
  <si>
    <t xml:space="preserve">퇙</t>
  </si>
  <si>
    <t xml:space="preserve">퇜</t>
  </si>
  <si>
    <t xml:space="preserve">퇫</t>
  </si>
  <si>
    <t xml:space="preserve">퇭</t>
  </si>
  <si>
    <t xml:space="preserve">퇵</t>
  </si>
  <si>
    <t xml:space="preserve">퇼</t>
  </si>
  <si>
    <t xml:space="preserve">툅</t>
  </si>
  <si>
    <t xml:space="preserve">툔</t>
  </si>
  <si>
    <t xml:space="preserve">툘</t>
  </si>
  <si>
    <t xml:space="preserve">툡</t>
  </si>
  <si>
    <t xml:space="preserve">툣</t>
  </si>
  <si>
    <t xml:space="preserve">퉌</t>
  </si>
  <si>
    <t xml:space="preserve">퉐</t>
  </si>
  <si>
    <t xml:space="preserve">퉘</t>
  </si>
  <si>
    <t xml:space="preserve">퉝</t>
  </si>
  <si>
    <t xml:space="preserve">퉥</t>
  </si>
  <si>
    <t xml:space="preserve">퉨</t>
  </si>
  <si>
    <t xml:space="preserve">퉬</t>
  </si>
  <si>
    <t xml:space="preserve">퉹</t>
  </si>
  <si>
    <t xml:space="preserve">튓</t>
  </si>
  <si>
    <t xml:space="preserve">튝</t>
  </si>
  <si>
    <t xml:space="preserve">튯</t>
  </si>
  <si>
    <t xml:space="preserve">틍</t>
  </si>
  <si>
    <t xml:space="preserve">틩</t>
  </si>
</sst>
</file>

<file path=xl/styles.xml><?xml version="1.0" encoding="utf-8"?>
<styleSheet xmlns="http://schemas.openxmlformats.org/spreadsheetml/2006/main">
  <numFmts count="2">
    <numFmt numFmtId="164" formatCode="General"/>
    <numFmt numFmtId="165" formatCode="&quot;참&quot;;&quot;참&quot;;&quot;거짓&quot;"/>
  </numFmts>
  <fonts count="11">
    <font>
      <sz val="10"/>
      <name val="맑은 고딕"/>
      <family val="2"/>
      <charset val="129"/>
    </font>
    <font>
      <sz val="10"/>
      <name val="Arial"/>
      <family val="0"/>
      <charset val="129"/>
    </font>
    <font>
      <sz val="10"/>
      <name val="Arial"/>
      <family val="0"/>
      <charset val="129"/>
    </font>
    <font>
      <sz val="10"/>
      <name val="Arial"/>
      <family val="0"/>
      <charset val="129"/>
    </font>
    <font>
      <b val="true"/>
      <sz val="10"/>
      <name val="맑은 고딕"/>
      <family val="2"/>
      <charset val="129"/>
    </font>
    <font>
      <sz val="10"/>
      <name val="MS PGothic"/>
      <family val="2"/>
      <charset val="1"/>
    </font>
    <font>
      <sz val="11"/>
      <name val="돋움체"/>
      <family val="3"/>
      <charset val="1"/>
    </font>
    <font>
      <sz val="11"/>
      <color rgb="FFCCCCCC"/>
      <name val="돋움체"/>
      <family val="3"/>
      <charset val="1"/>
    </font>
    <font>
      <b val="true"/>
      <sz val="11"/>
      <name val="돋움체"/>
      <family val="3"/>
      <charset val="1"/>
    </font>
    <font>
      <sz val="11"/>
      <color rgb="FFB2B2B2"/>
      <name val="돋움체"/>
      <family val="3"/>
      <charset val="1"/>
    </font>
    <font>
      <sz val="10"/>
      <name val="Arial"/>
      <family val="2"/>
      <charset val="129"/>
    </font>
  </fonts>
  <fills count="5">
    <fill>
      <patternFill patternType="none"/>
    </fill>
    <fill>
      <patternFill patternType="gray125"/>
    </fill>
    <fill>
      <patternFill patternType="solid">
        <fgColor rgb="FFE8F2A1"/>
        <bgColor rgb="FFFFFFCC"/>
      </patternFill>
    </fill>
    <fill>
      <patternFill patternType="solid">
        <fgColor rgb="FFFFFF00"/>
        <bgColor rgb="FFFFFF00"/>
      </patternFill>
    </fill>
    <fill>
      <patternFill patternType="solid">
        <fgColor rgb="FFFF4000"/>
        <bgColor rgb="FFFF00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true">
      <alignment horizontal="left" vertical="center" textRotation="0" wrapText="false" indent="0" shrinkToFit="false"/>
      <protection locked="true" hidden="false"/>
    </xf>
    <xf numFmtId="164" fontId="8" fillId="4" borderId="1" xfId="0" applyFont="true" applyBorder="true" applyAlignment="true" applyProtection="true">
      <alignment horizontal="left" vertical="center"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99CC00"/>
      <rgbColor rgb="FFFFCC00"/>
      <rgbColor rgb="FFFF9900"/>
      <rgbColor rgb="FFFF4000"/>
      <rgbColor rgb="FF666699"/>
      <rgbColor rgb="FFB2B2B2"/>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790"/>
  <sheetViews>
    <sheetView showFormulas="false" showGridLines="true" showRowColHeaders="true" showZeros="true" rightToLeft="false" tabSelected="false" showOutlineSymbols="true" defaultGridColor="true" view="normal" topLeftCell="A2635" colorId="64" zoomScale="95" zoomScaleNormal="95" zoomScalePageLayoutView="100" workbookViewId="0">
      <selection pane="topLeft" activeCell="F2720" activeCellId="0" sqref="F2720"/>
    </sheetView>
  </sheetViews>
  <sheetFormatPr defaultColWidth="11.640625" defaultRowHeight="18.65" customHeight="true" zeroHeight="false" outlineLevelRow="0" outlineLevelCol="0"/>
  <cols>
    <col collapsed="false" customWidth="true" hidden="false" outlineLevel="0" max="1" min="1" style="1" width="5.89"/>
    <col collapsed="false" customWidth="true" hidden="false" outlineLevel="0" max="2" min="2" style="1" width="4.11"/>
    <col collapsed="false" customWidth="true" hidden="false" outlineLevel="0" max="3" min="3" style="1" width="4.81"/>
    <col collapsed="false" customWidth="true" hidden="false" outlineLevel="0" max="4" min="4" style="1" width="7.85"/>
    <col collapsed="false" customWidth="true" hidden="false" outlineLevel="0" max="5" min="5" style="1" width="5.79"/>
    <col collapsed="false" customWidth="true" hidden="false" outlineLevel="0" max="6" min="6" style="1" width="6.64"/>
    <col collapsed="false" customWidth="true" hidden="false" outlineLevel="0" max="7" min="7" style="1" width="13.18"/>
    <col collapsed="false" customWidth="true" hidden="false" outlineLevel="0" max="8" min="8" style="1" width="6.17"/>
    <col collapsed="false" customWidth="true" hidden="false" outlineLevel="0" max="9" min="9" style="1" width="4.06"/>
    <col collapsed="false" customWidth="true" hidden="false" outlineLevel="0" max="10" min="10" style="1" width="9.58"/>
    <col collapsed="false" customWidth="true" hidden="false" outlineLevel="0" max="11" min="11" style="1" width="2.38"/>
    <col collapsed="false" customWidth="true" hidden="false" outlineLevel="0" max="12" min="12" style="1" width="3.23"/>
    <col collapsed="false" customWidth="true" hidden="false" outlineLevel="0" max="13" min="13" style="1" width="8.03"/>
    <col collapsed="false" customWidth="true" hidden="false" outlineLevel="0" max="14" min="14" style="1" width="12.53"/>
    <col collapsed="false" customWidth="true" hidden="false" outlineLevel="0" max="15" min="15" style="1" width="3.08"/>
    <col collapsed="false" customWidth="true" hidden="false" outlineLevel="0" max="16" min="16" style="1" width="2.8"/>
    <col collapsed="false" customWidth="true" hidden="false" outlineLevel="0" max="17" min="17" style="1" width="7.01"/>
    <col collapsed="false" customWidth="false" hidden="false" outlineLevel="0" max="16384" min="18" style="1" width="11.64"/>
  </cols>
  <sheetData>
    <row r="1" customFormat="false" ht="18.65" hidden="false" customHeight="true" outlineLevel="0" collapsed="false">
      <c r="A1" s="2"/>
      <c r="B1" s="2" t="s">
        <v>0</v>
      </c>
      <c r="C1" s="2" t="s">
        <v>1</v>
      </c>
      <c r="D1" s="2" t="s">
        <v>2</v>
      </c>
      <c r="F1" s="2" t="s">
        <v>3</v>
      </c>
      <c r="G1" s="2" t="s">
        <v>4</v>
      </c>
      <c r="H1" s="2" t="s">
        <v>5</v>
      </c>
      <c r="J1" s="2" t="s">
        <v>6</v>
      </c>
      <c r="M1" s="1" t="n">
        <v>12</v>
      </c>
      <c r="N1" s="1" t="n">
        <f aca="false">HEX2DEC(M1)</f>
        <v>18</v>
      </c>
      <c r="Q1" s="1" t="s">
        <v>7</v>
      </c>
      <c r="R1" s="1" t="n">
        <f aca="false">HEX2DEC(Q1)</f>
        <v>44</v>
      </c>
    </row>
    <row r="2" customFormat="false" ht="18.65" hidden="false" customHeight="true" outlineLevel="0" collapsed="false">
      <c r="A2" s="1" t="n">
        <f aca="false">ROW()-2</f>
        <v>0</v>
      </c>
      <c r="B2" s="1" t="n">
        <f aca="false">INT(A2/$N$1)</f>
        <v>0</v>
      </c>
      <c r="C2" s="1" t="n">
        <f aca="false">INT(MOD(A2,$N$1) / 2)</f>
        <v>0</v>
      </c>
      <c r="D2" s="1" t="n">
        <f aca="false">_xlfn.BITAND(A2,1)</f>
        <v>0</v>
      </c>
      <c r="F2" s="1" t="str">
        <f aca="false">DEC2HEX(B2*$N$3*18)</f>
        <v>0</v>
      </c>
      <c r="G2" s="1" t="str">
        <f aca="false">DEC2HEX(C2*7)</f>
        <v>0</v>
      </c>
      <c r="H2" s="1" t="n">
        <f aca="false">IF(D2=0, 33, "cc")</f>
        <v>33</v>
      </c>
      <c r="J2" s="1" t="str">
        <f aca="false">DEC2HEX((ROW()-2)*$N$3)</f>
        <v>0</v>
      </c>
      <c r="M2" s="1" t="s">
        <v>8</v>
      </c>
      <c r="N2" s="1" t="n">
        <f aca="false">HEX2DEC(M2)</f>
        <v>14</v>
      </c>
      <c r="Q2" s="1" t="n">
        <v>30</v>
      </c>
      <c r="R2" s="1" t="n">
        <f aca="false">HEX2DEC(Q2)</f>
        <v>48</v>
      </c>
    </row>
    <row r="3" customFormat="false" ht="18.65" hidden="false" customHeight="true" outlineLevel="0" collapsed="false">
      <c r="A3" s="1" t="n">
        <f aca="false">ROW()-2</f>
        <v>1</v>
      </c>
      <c r="B3" s="1" t="n">
        <f aca="false">INT(A3/$N$1)</f>
        <v>0</v>
      </c>
      <c r="C3" s="1" t="n">
        <f aca="false">INT(MOD(A3,$N$1) / 2)</f>
        <v>0</v>
      </c>
      <c r="D3" s="1" t="n">
        <f aca="false">_xlfn.BITAND(A3,1)</f>
        <v>1</v>
      </c>
      <c r="F3" s="1" t="str">
        <f aca="false">DEC2HEX(B3*$N$3*18)</f>
        <v>0</v>
      </c>
      <c r="G3" s="1" t="str">
        <f aca="false">DEC2HEX(C3*7)</f>
        <v>0</v>
      </c>
      <c r="H3" s="1" t="str">
        <f aca="false">IF(D3=0, 33, "cc")</f>
        <v>cc</v>
      </c>
      <c r="J3" s="1" t="str">
        <f aca="false">DEC2HEX((ROW()-2)*$N$3)</f>
        <v>40</v>
      </c>
      <c r="M3" s="1" t="n">
        <v>40</v>
      </c>
      <c r="N3" s="1" t="n">
        <f aca="false">HEX2DEC(M3)</f>
        <v>64</v>
      </c>
      <c r="Q3" s="1" t="n">
        <f aca="false">(($R$1 - HEX2DEC("2b")) * HEX2DEC("d0")) + (R2-HEX2DEC("30"))</f>
        <v>208</v>
      </c>
    </row>
    <row r="4" customFormat="false" ht="18.65" hidden="false" customHeight="true" outlineLevel="0" collapsed="false">
      <c r="A4" s="1" t="n">
        <f aca="false">ROW()-2</f>
        <v>2</v>
      </c>
      <c r="B4" s="1" t="n">
        <f aca="false">INT(A4/$N$1)</f>
        <v>0</v>
      </c>
      <c r="C4" s="1" t="n">
        <f aca="false">INT(MOD(A4,$N$1) / 2)</f>
        <v>1</v>
      </c>
      <c r="D4" s="1" t="n">
        <f aca="false">_xlfn.BITAND(A4,1)</f>
        <v>0</v>
      </c>
      <c r="F4" s="1" t="str">
        <f aca="false">DEC2HEX(B4*$N$3*18)</f>
        <v>0</v>
      </c>
      <c r="G4" s="1" t="str">
        <f aca="false">DEC2HEX(C4*7)</f>
        <v>7</v>
      </c>
      <c r="H4" s="1" t="n">
        <f aca="false">IF(D4=0, 33, "cc")</f>
        <v>33</v>
      </c>
      <c r="J4" s="1" t="str">
        <f aca="false">DEC2HEX((ROW()-2)*$N$3)</f>
        <v>80</v>
      </c>
    </row>
    <row r="5" customFormat="false" ht="18.65" hidden="false" customHeight="true" outlineLevel="0" collapsed="false">
      <c r="A5" s="1" t="n">
        <f aca="false">ROW()-2</f>
        <v>3</v>
      </c>
      <c r="B5" s="1" t="n">
        <f aca="false">INT(A5/$N$1)</f>
        <v>0</v>
      </c>
      <c r="C5" s="1" t="n">
        <f aca="false">INT(MOD(A5,$N$1) / 2)</f>
        <v>1</v>
      </c>
      <c r="D5" s="1" t="n">
        <f aca="false">_xlfn.BITAND(A5,1)</f>
        <v>1</v>
      </c>
      <c r="F5" s="1" t="str">
        <f aca="false">DEC2HEX(B5*$N$3*18)</f>
        <v>0</v>
      </c>
      <c r="G5" s="1" t="str">
        <f aca="false">DEC2HEX(C5*7)</f>
        <v>7</v>
      </c>
      <c r="H5" s="1" t="str">
        <f aca="false">IF(D5=0, 33, "cc")</f>
        <v>cc</v>
      </c>
      <c r="J5" s="1" t="str">
        <f aca="false">DEC2HEX((ROW()-2)*$N$3)</f>
        <v>C0</v>
      </c>
    </row>
    <row r="6" customFormat="false" ht="18.65" hidden="false" customHeight="true" outlineLevel="0" collapsed="false">
      <c r="A6" s="1" t="n">
        <f aca="false">ROW()-2</f>
        <v>4</v>
      </c>
      <c r="B6" s="1" t="n">
        <f aca="false">INT(A6/$N$1)</f>
        <v>0</v>
      </c>
      <c r="C6" s="1" t="n">
        <f aca="false">INT(MOD(A6,$N$1) / 2)</f>
        <v>2</v>
      </c>
      <c r="D6" s="1" t="n">
        <f aca="false">_xlfn.BITAND(A6,1)</f>
        <v>0</v>
      </c>
      <c r="F6" s="1" t="str">
        <f aca="false">DEC2HEX(B6*$N$3*18)</f>
        <v>0</v>
      </c>
      <c r="G6" s="1" t="str">
        <f aca="false">DEC2HEX(C6*7)</f>
        <v>E</v>
      </c>
      <c r="H6" s="1" t="n">
        <f aca="false">IF(D6=0, 33, "cc")</f>
        <v>33</v>
      </c>
      <c r="J6" s="1" t="str">
        <f aca="false">DEC2HEX((ROW()-2)*$N$3)</f>
        <v>100</v>
      </c>
    </row>
    <row r="7" customFormat="false" ht="18.65" hidden="false" customHeight="true" outlineLevel="0" collapsed="false">
      <c r="A7" s="1" t="n">
        <f aca="false">ROW()-2</f>
        <v>5</v>
      </c>
      <c r="B7" s="1" t="n">
        <f aca="false">INT(A7/$N$1)</f>
        <v>0</v>
      </c>
      <c r="C7" s="1" t="n">
        <f aca="false">INT(MOD(A7,$N$1) / 2)</f>
        <v>2</v>
      </c>
      <c r="D7" s="1" t="n">
        <f aca="false">_xlfn.BITAND(A7,1)</f>
        <v>1</v>
      </c>
      <c r="F7" s="1" t="str">
        <f aca="false">DEC2HEX(B7*$N$3*18)</f>
        <v>0</v>
      </c>
      <c r="G7" s="1" t="str">
        <f aca="false">DEC2HEX(C7*7)</f>
        <v>E</v>
      </c>
      <c r="H7" s="1" t="str">
        <f aca="false">IF(D7=0, 33, "cc")</f>
        <v>cc</v>
      </c>
      <c r="J7" s="1" t="str">
        <f aca="false">DEC2HEX((ROW()-2)*$N$3)</f>
        <v>140</v>
      </c>
      <c r="L7" s="1" t="s">
        <v>9</v>
      </c>
    </row>
    <row r="8" customFormat="false" ht="18.65" hidden="false" customHeight="true" outlineLevel="0" collapsed="false">
      <c r="A8" s="1" t="n">
        <f aca="false">ROW()-2</f>
        <v>6</v>
      </c>
      <c r="B8" s="1" t="n">
        <f aca="false">INT(A8/$N$1)</f>
        <v>0</v>
      </c>
      <c r="C8" s="1" t="n">
        <f aca="false">INT(MOD(A8,$N$1) / 2)</f>
        <v>3</v>
      </c>
      <c r="D8" s="1" t="n">
        <f aca="false">_xlfn.BITAND(A8,1)</f>
        <v>0</v>
      </c>
      <c r="F8" s="1" t="str">
        <f aca="false">DEC2HEX(B8*$N$3*18)</f>
        <v>0</v>
      </c>
      <c r="G8" s="1" t="str">
        <f aca="false">DEC2HEX(C8*7)</f>
        <v>15</v>
      </c>
      <c r="H8" s="1" t="n">
        <f aca="false">IF(D8=0, 33, "cc")</f>
        <v>33</v>
      </c>
      <c r="J8" s="1" t="str">
        <f aca="false">DEC2HEX((ROW()-2)*$N$3)</f>
        <v>180</v>
      </c>
      <c r="L8" s="3" t="s">
        <v>10</v>
      </c>
    </row>
    <row r="9" customFormat="false" ht="18.65" hidden="false" customHeight="true" outlineLevel="0" collapsed="false">
      <c r="A9" s="1" t="n">
        <f aca="false">ROW()-2</f>
        <v>7</v>
      </c>
      <c r="B9" s="1" t="n">
        <f aca="false">INT(A9/$N$1)</f>
        <v>0</v>
      </c>
      <c r="C9" s="1" t="n">
        <f aca="false">INT(MOD(A9,$N$1) / 2)</f>
        <v>3</v>
      </c>
      <c r="D9" s="1" t="n">
        <f aca="false">_xlfn.BITAND(A9,1)</f>
        <v>1</v>
      </c>
      <c r="F9" s="1" t="str">
        <f aca="false">DEC2HEX(B9*$N$3*18)</f>
        <v>0</v>
      </c>
      <c r="G9" s="1" t="str">
        <f aca="false">DEC2HEX(C9*7)</f>
        <v>15</v>
      </c>
      <c r="H9" s="1" t="str">
        <f aca="false">IF(D9=0, 33, "cc")</f>
        <v>cc</v>
      </c>
      <c r="J9" s="1" t="str">
        <f aca="false">DEC2HEX((ROW()-2)*$N$3)</f>
        <v>1C0</v>
      </c>
    </row>
    <row r="10" customFormat="false" ht="18.65" hidden="false" customHeight="true" outlineLevel="0" collapsed="false">
      <c r="A10" s="1" t="n">
        <f aca="false">ROW()-2</f>
        <v>8</v>
      </c>
      <c r="B10" s="1" t="n">
        <f aca="false">INT(A10/$N$1)</f>
        <v>0</v>
      </c>
      <c r="C10" s="1" t="n">
        <f aca="false">INT(MOD(A10,$N$1) / 2)</f>
        <v>4</v>
      </c>
      <c r="D10" s="1" t="n">
        <f aca="false">_xlfn.BITAND(A10,1)</f>
        <v>0</v>
      </c>
      <c r="F10" s="1" t="str">
        <f aca="false">DEC2HEX(B10*$N$3*18)</f>
        <v>0</v>
      </c>
      <c r="G10" s="1" t="str">
        <f aca="false">DEC2HEX(C10*7)</f>
        <v>1C</v>
      </c>
      <c r="H10" s="1" t="n">
        <f aca="false">IF(D10=0, 33, "cc")</f>
        <v>33</v>
      </c>
      <c r="J10" s="1" t="str">
        <f aca="false">DEC2HEX((ROW()-2)*$N$3)</f>
        <v>200</v>
      </c>
    </row>
    <row r="11" customFormat="false" ht="18.65" hidden="false" customHeight="true" outlineLevel="0" collapsed="false">
      <c r="A11" s="1" t="n">
        <f aca="false">ROW()-2</f>
        <v>9</v>
      </c>
      <c r="B11" s="1" t="n">
        <f aca="false">INT(A11/$N$1)</f>
        <v>0</v>
      </c>
      <c r="C11" s="1" t="n">
        <f aca="false">INT(MOD(A11,$N$1) / 2)</f>
        <v>4</v>
      </c>
      <c r="D11" s="1" t="n">
        <f aca="false">_xlfn.BITAND(A11,1)</f>
        <v>1</v>
      </c>
      <c r="F11" s="1" t="str">
        <f aca="false">DEC2HEX(B11*$N$3*18)</f>
        <v>0</v>
      </c>
      <c r="G11" s="1" t="str">
        <f aca="false">DEC2HEX(C11*7)</f>
        <v>1C</v>
      </c>
      <c r="H11" s="1" t="str">
        <f aca="false">IF(D11=0, 33, "cc")</f>
        <v>cc</v>
      </c>
      <c r="J11" s="1" t="str">
        <f aca="false">DEC2HEX((ROW()-2)*$N$3)</f>
        <v>240</v>
      </c>
    </row>
    <row r="12" customFormat="false" ht="18.65" hidden="false" customHeight="true" outlineLevel="0" collapsed="false">
      <c r="A12" s="1" t="n">
        <f aca="false">ROW()-2</f>
        <v>10</v>
      </c>
      <c r="B12" s="1" t="n">
        <f aca="false">INT(A12/$N$1)</f>
        <v>0</v>
      </c>
      <c r="C12" s="1" t="n">
        <f aca="false">INT(MOD(A12,$N$1) / 2)</f>
        <v>5</v>
      </c>
      <c r="D12" s="1" t="n">
        <f aca="false">_xlfn.BITAND(A12,1)</f>
        <v>0</v>
      </c>
      <c r="F12" s="1" t="str">
        <f aca="false">DEC2HEX(B12*$N$3*18)</f>
        <v>0</v>
      </c>
      <c r="G12" s="1" t="str">
        <f aca="false">DEC2HEX(C12*7)</f>
        <v>23</v>
      </c>
      <c r="H12" s="1" t="n">
        <f aca="false">IF(D12=0, 33, "cc")</f>
        <v>33</v>
      </c>
      <c r="J12" s="1" t="str">
        <f aca="false">DEC2HEX((ROW()-2)*$N$3)</f>
        <v>280</v>
      </c>
    </row>
    <row r="13" customFormat="false" ht="18.65" hidden="false" customHeight="true" outlineLevel="0" collapsed="false">
      <c r="A13" s="1" t="n">
        <f aca="false">ROW()-2</f>
        <v>11</v>
      </c>
      <c r="B13" s="1" t="n">
        <f aca="false">INT(A13/$N$1)</f>
        <v>0</v>
      </c>
      <c r="C13" s="1" t="n">
        <f aca="false">INT(MOD(A13,$N$1) / 2)</f>
        <v>5</v>
      </c>
      <c r="D13" s="1" t="n">
        <f aca="false">_xlfn.BITAND(A13,1)</f>
        <v>1</v>
      </c>
      <c r="F13" s="1" t="str">
        <f aca="false">DEC2HEX(B13*$N$3*18)</f>
        <v>0</v>
      </c>
      <c r="G13" s="1" t="str">
        <f aca="false">DEC2HEX(C13*7)</f>
        <v>23</v>
      </c>
      <c r="H13" s="1" t="str">
        <f aca="false">IF(D13=0, 33, "cc")</f>
        <v>cc</v>
      </c>
      <c r="J13" s="1" t="str">
        <f aca="false">DEC2HEX((ROW()-2)*$N$3)</f>
        <v>2C0</v>
      </c>
    </row>
    <row r="14" customFormat="false" ht="18.65" hidden="false" customHeight="true" outlineLevel="0" collapsed="false">
      <c r="A14" s="1" t="n">
        <f aca="false">ROW()-2</f>
        <v>12</v>
      </c>
      <c r="B14" s="1" t="n">
        <f aca="false">INT(A14/$N$1)</f>
        <v>0</v>
      </c>
      <c r="C14" s="1" t="n">
        <f aca="false">INT(MOD(A14,$N$1) / 2)</f>
        <v>6</v>
      </c>
      <c r="D14" s="1" t="n">
        <f aca="false">_xlfn.BITAND(A14,1)</f>
        <v>0</v>
      </c>
      <c r="F14" s="1" t="str">
        <f aca="false">DEC2HEX(B14*$N$3*18)</f>
        <v>0</v>
      </c>
      <c r="G14" s="1" t="str">
        <f aca="false">DEC2HEX(C14*7)</f>
        <v>2A</v>
      </c>
      <c r="H14" s="1" t="n">
        <f aca="false">IF(D14=0, 33, "cc")</f>
        <v>33</v>
      </c>
      <c r="J14" s="1" t="str">
        <f aca="false">DEC2HEX((ROW()-2)*$N$3)</f>
        <v>300</v>
      </c>
    </row>
    <row r="15" customFormat="false" ht="18.65" hidden="false" customHeight="true" outlineLevel="0" collapsed="false">
      <c r="A15" s="1" t="n">
        <f aca="false">ROW()-2</f>
        <v>13</v>
      </c>
      <c r="B15" s="1" t="n">
        <f aca="false">INT(A15/$N$1)</f>
        <v>0</v>
      </c>
      <c r="C15" s="1" t="n">
        <f aca="false">INT(MOD(A15,$N$1) / 2)</f>
        <v>6</v>
      </c>
      <c r="D15" s="1" t="n">
        <f aca="false">_xlfn.BITAND(A15,1)</f>
        <v>1</v>
      </c>
      <c r="F15" s="1" t="str">
        <f aca="false">DEC2HEX(B15*$N$3*18)</f>
        <v>0</v>
      </c>
      <c r="G15" s="1" t="str">
        <f aca="false">DEC2HEX(C15*7)</f>
        <v>2A</v>
      </c>
      <c r="H15" s="1" t="str">
        <f aca="false">IF(D15=0, 33, "cc")</f>
        <v>cc</v>
      </c>
      <c r="J15" s="1" t="str">
        <f aca="false">DEC2HEX((ROW()-2)*$N$3)</f>
        <v>340</v>
      </c>
    </row>
    <row r="16" customFormat="false" ht="18.65" hidden="false" customHeight="true" outlineLevel="0" collapsed="false">
      <c r="A16" s="1" t="n">
        <f aca="false">ROW()-2</f>
        <v>14</v>
      </c>
      <c r="B16" s="1" t="n">
        <f aca="false">INT(A16/$N$1)</f>
        <v>0</v>
      </c>
      <c r="C16" s="1" t="n">
        <f aca="false">INT(MOD(A16,$N$1) / 2)</f>
        <v>7</v>
      </c>
      <c r="D16" s="1" t="n">
        <f aca="false">_xlfn.BITAND(A16,1)</f>
        <v>0</v>
      </c>
      <c r="F16" s="1" t="str">
        <f aca="false">DEC2HEX(B16*$N$3*18)</f>
        <v>0</v>
      </c>
      <c r="G16" s="1" t="str">
        <f aca="false">DEC2HEX(C16*7)</f>
        <v>31</v>
      </c>
      <c r="H16" s="1" t="n">
        <f aca="false">IF(D16=0, 33, "cc")</f>
        <v>33</v>
      </c>
      <c r="J16" s="1" t="str">
        <f aca="false">DEC2HEX((ROW()-2)*$N$3)</f>
        <v>380</v>
      </c>
    </row>
    <row r="17" customFormat="false" ht="18.65" hidden="false" customHeight="true" outlineLevel="0" collapsed="false">
      <c r="A17" s="1" t="n">
        <f aca="false">ROW()-2</f>
        <v>15</v>
      </c>
      <c r="B17" s="1" t="n">
        <f aca="false">INT(A17/$N$1)</f>
        <v>0</v>
      </c>
      <c r="C17" s="1" t="n">
        <f aca="false">INT(MOD(A17,$N$1) / 2)</f>
        <v>7</v>
      </c>
      <c r="D17" s="1" t="n">
        <f aca="false">_xlfn.BITAND(A17,1)</f>
        <v>1</v>
      </c>
      <c r="F17" s="1" t="str">
        <f aca="false">DEC2HEX(B17*$N$3*18)</f>
        <v>0</v>
      </c>
      <c r="G17" s="1" t="str">
        <f aca="false">DEC2HEX(C17*7)</f>
        <v>31</v>
      </c>
      <c r="H17" s="1" t="str">
        <f aca="false">IF(D17=0, 33, "cc")</f>
        <v>cc</v>
      </c>
      <c r="J17" s="1" t="str">
        <f aca="false">DEC2HEX((ROW()-2)*$N$3)</f>
        <v>3C0</v>
      </c>
    </row>
    <row r="18" customFormat="false" ht="18.65" hidden="false" customHeight="true" outlineLevel="0" collapsed="false">
      <c r="A18" s="1" t="n">
        <f aca="false">ROW()-2</f>
        <v>16</v>
      </c>
      <c r="B18" s="1" t="n">
        <f aca="false">INT(A18/$N$1)</f>
        <v>0</v>
      </c>
      <c r="C18" s="1" t="n">
        <f aca="false">INT(MOD(A18,$N$1) / 2)</f>
        <v>8</v>
      </c>
      <c r="D18" s="1" t="n">
        <f aca="false">_xlfn.BITAND(A18,1)</f>
        <v>0</v>
      </c>
      <c r="F18" s="1" t="str">
        <f aca="false">DEC2HEX(B18*$N$3*18)</f>
        <v>0</v>
      </c>
      <c r="G18" s="1" t="str">
        <f aca="false">DEC2HEX(C18*7)</f>
        <v>38</v>
      </c>
      <c r="H18" s="1" t="n">
        <f aca="false">IF(D18=0, 33, "cc")</f>
        <v>33</v>
      </c>
      <c r="J18" s="1" t="str">
        <f aca="false">DEC2HEX((ROW()-2)*$N$3)</f>
        <v>400</v>
      </c>
    </row>
    <row r="19" customFormat="false" ht="18.65" hidden="false" customHeight="true" outlineLevel="0" collapsed="false">
      <c r="A19" s="1" t="n">
        <f aca="false">ROW()-2</f>
        <v>17</v>
      </c>
      <c r="B19" s="1" t="n">
        <f aca="false">INT(A19/$N$1)</f>
        <v>0</v>
      </c>
      <c r="C19" s="1" t="n">
        <f aca="false">INT(MOD(A19,$N$1) / 2)</f>
        <v>8</v>
      </c>
      <c r="D19" s="1" t="n">
        <f aca="false">_xlfn.BITAND(A19,1)</f>
        <v>1</v>
      </c>
      <c r="F19" s="1" t="str">
        <f aca="false">DEC2HEX(B19*$N$3*18)</f>
        <v>0</v>
      </c>
      <c r="G19" s="1" t="str">
        <f aca="false">DEC2HEX(C19*7)</f>
        <v>38</v>
      </c>
      <c r="H19" s="1" t="str">
        <f aca="false">IF(D19=0, 33, "cc")</f>
        <v>cc</v>
      </c>
      <c r="J19" s="1" t="str">
        <f aca="false">DEC2HEX((ROW()-2)*$N$3)</f>
        <v>440</v>
      </c>
    </row>
    <row r="20" customFormat="false" ht="18.65" hidden="false" customHeight="true" outlineLevel="0" collapsed="false">
      <c r="A20" s="1" t="n">
        <f aca="false">ROW()-2</f>
        <v>18</v>
      </c>
      <c r="B20" s="1" t="n">
        <f aca="false">INT(A20/$N$1)</f>
        <v>1</v>
      </c>
      <c r="C20" s="1" t="n">
        <f aca="false">INT(MOD(A20,$N$1) / 2)</f>
        <v>0</v>
      </c>
      <c r="D20" s="1" t="n">
        <f aca="false">_xlfn.BITAND(A20,1)</f>
        <v>0</v>
      </c>
      <c r="F20" s="1" t="str">
        <f aca="false">DEC2HEX(B20*$N$3*18)</f>
        <v>480</v>
      </c>
      <c r="G20" s="1" t="str">
        <f aca="false">DEC2HEX(C20*7)</f>
        <v>0</v>
      </c>
      <c r="H20" s="1" t="n">
        <f aca="false">IF(D20=0, 33, "cc")</f>
        <v>33</v>
      </c>
    </row>
    <row r="21" customFormat="false" ht="18.65" hidden="false" customHeight="true" outlineLevel="0" collapsed="false">
      <c r="A21" s="1" t="n">
        <f aca="false">ROW()-2</f>
        <v>19</v>
      </c>
      <c r="B21" s="1" t="n">
        <f aca="false">INT(A21/$N$1)</f>
        <v>1</v>
      </c>
      <c r="C21" s="1" t="n">
        <f aca="false">INT(MOD(A21,$N$1) / 2)</f>
        <v>0</v>
      </c>
      <c r="D21" s="1" t="n">
        <f aca="false">_xlfn.BITAND(A21,1)</f>
        <v>1</v>
      </c>
      <c r="F21" s="1" t="str">
        <f aca="false">DEC2HEX(B21*$N$3*18)</f>
        <v>480</v>
      </c>
      <c r="G21" s="1" t="str">
        <f aca="false">DEC2HEX(C21*7)</f>
        <v>0</v>
      </c>
      <c r="H21" s="1" t="str">
        <f aca="false">IF(D21=0, 33, "cc")</f>
        <v>cc</v>
      </c>
    </row>
    <row r="22" customFormat="false" ht="18.65" hidden="false" customHeight="true" outlineLevel="0" collapsed="false">
      <c r="A22" s="1" t="n">
        <f aca="false">ROW()-2</f>
        <v>20</v>
      </c>
      <c r="B22" s="1" t="n">
        <f aca="false">INT(A22/$N$1)</f>
        <v>1</v>
      </c>
      <c r="C22" s="1" t="n">
        <f aca="false">INT(MOD(A22,$N$1) / 2)</f>
        <v>1</v>
      </c>
      <c r="D22" s="1" t="n">
        <f aca="false">_xlfn.BITAND(A22,1)</f>
        <v>0</v>
      </c>
      <c r="F22" s="1" t="str">
        <f aca="false">DEC2HEX(B22*$N$3*18)</f>
        <v>480</v>
      </c>
      <c r="G22" s="1" t="str">
        <f aca="false">DEC2HEX(C22*7)</f>
        <v>7</v>
      </c>
      <c r="H22" s="1" t="n">
        <f aca="false">IF(D22=0, 33, "cc")</f>
        <v>33</v>
      </c>
    </row>
    <row r="23" customFormat="false" ht="18.65" hidden="false" customHeight="true" outlineLevel="0" collapsed="false">
      <c r="A23" s="1" t="n">
        <f aca="false">ROW()-2</f>
        <v>21</v>
      </c>
      <c r="B23" s="1" t="n">
        <f aca="false">INT(A23/$N$1)</f>
        <v>1</v>
      </c>
      <c r="C23" s="1" t="n">
        <f aca="false">INT(MOD(A23,$N$1) / 2)</f>
        <v>1</v>
      </c>
      <c r="D23" s="1" t="n">
        <f aca="false">_xlfn.BITAND(A23,1)</f>
        <v>1</v>
      </c>
      <c r="F23" s="1" t="str">
        <f aca="false">DEC2HEX(B23*$N$3*18)</f>
        <v>480</v>
      </c>
      <c r="G23" s="1" t="str">
        <f aca="false">DEC2HEX(C23*7)</f>
        <v>7</v>
      </c>
      <c r="H23" s="1" t="str">
        <f aca="false">IF(D23=0, 33, "cc")</f>
        <v>cc</v>
      </c>
    </row>
    <row r="24" customFormat="false" ht="18.65" hidden="false" customHeight="true" outlineLevel="0" collapsed="false">
      <c r="A24" s="1" t="n">
        <f aca="false">ROW()-2</f>
        <v>22</v>
      </c>
      <c r="B24" s="1" t="n">
        <f aca="false">INT(A24/$N$1)</f>
        <v>1</v>
      </c>
      <c r="C24" s="1" t="n">
        <f aca="false">INT(MOD(A24,$N$1) / 2)</f>
        <v>2</v>
      </c>
      <c r="D24" s="1" t="n">
        <f aca="false">_xlfn.BITAND(A24,1)</f>
        <v>0</v>
      </c>
      <c r="F24" s="1" t="str">
        <f aca="false">DEC2HEX(B24*$N$3*18)</f>
        <v>480</v>
      </c>
      <c r="G24" s="1" t="str">
        <f aca="false">DEC2HEX(C24*7)</f>
        <v>E</v>
      </c>
      <c r="H24" s="1" t="n">
        <f aca="false">IF(D24=0, 33, "cc")</f>
        <v>33</v>
      </c>
    </row>
    <row r="25" customFormat="false" ht="18.65" hidden="false" customHeight="true" outlineLevel="0" collapsed="false">
      <c r="A25" s="1" t="n">
        <f aca="false">ROW()-2</f>
        <v>23</v>
      </c>
      <c r="B25" s="1" t="n">
        <f aca="false">INT(A25/$N$1)</f>
        <v>1</v>
      </c>
      <c r="C25" s="1" t="n">
        <f aca="false">INT(MOD(A25,$N$1) / 2)</f>
        <v>2</v>
      </c>
      <c r="D25" s="1" t="n">
        <f aca="false">_xlfn.BITAND(A25,1)</f>
        <v>1</v>
      </c>
      <c r="F25" s="1" t="str">
        <f aca="false">DEC2HEX(B25*$N$3*18)</f>
        <v>480</v>
      </c>
      <c r="G25" s="1" t="str">
        <f aca="false">DEC2HEX(C25*7)</f>
        <v>E</v>
      </c>
      <c r="H25" s="1" t="str">
        <f aca="false">IF(D25=0, 33, "cc")</f>
        <v>cc</v>
      </c>
    </row>
    <row r="26" customFormat="false" ht="18.65" hidden="false" customHeight="true" outlineLevel="0" collapsed="false">
      <c r="A26" s="1" t="n">
        <f aca="false">ROW()-2</f>
        <v>24</v>
      </c>
      <c r="B26" s="1" t="n">
        <f aca="false">INT(A26/$N$1)</f>
        <v>1</v>
      </c>
      <c r="C26" s="1" t="n">
        <f aca="false">INT(MOD(A26,$N$1) / 2)</f>
        <v>3</v>
      </c>
      <c r="D26" s="1" t="n">
        <f aca="false">_xlfn.BITAND(A26,1)</f>
        <v>0</v>
      </c>
      <c r="F26" s="1" t="str">
        <f aca="false">DEC2HEX(B26*$N$3*18)</f>
        <v>480</v>
      </c>
      <c r="G26" s="1" t="str">
        <f aca="false">DEC2HEX(C26*7)</f>
        <v>15</v>
      </c>
      <c r="H26" s="1" t="n">
        <f aca="false">IF(D26=0, 33, "cc")</f>
        <v>33</v>
      </c>
    </row>
    <row r="27" customFormat="false" ht="18.65" hidden="false" customHeight="true" outlineLevel="0" collapsed="false">
      <c r="A27" s="1" t="n">
        <f aca="false">ROW()-2</f>
        <v>25</v>
      </c>
      <c r="B27" s="1" t="n">
        <f aca="false">INT(A27/$N$1)</f>
        <v>1</v>
      </c>
      <c r="C27" s="1" t="n">
        <f aca="false">INT(MOD(A27,$N$1) / 2)</f>
        <v>3</v>
      </c>
      <c r="D27" s="1" t="n">
        <f aca="false">_xlfn.BITAND(A27,1)</f>
        <v>1</v>
      </c>
      <c r="F27" s="1" t="str">
        <f aca="false">DEC2HEX(B27*$N$3*18)</f>
        <v>480</v>
      </c>
      <c r="G27" s="1" t="str">
        <f aca="false">DEC2HEX(C27*7)</f>
        <v>15</v>
      </c>
      <c r="H27" s="1" t="str">
        <f aca="false">IF(D27=0, 33, "cc")</f>
        <v>cc</v>
      </c>
    </row>
    <row r="28" customFormat="false" ht="18.65" hidden="false" customHeight="true" outlineLevel="0" collapsed="false">
      <c r="A28" s="1" t="n">
        <f aca="false">ROW()-2</f>
        <v>26</v>
      </c>
      <c r="B28" s="1" t="n">
        <f aca="false">INT(A28/$N$1)</f>
        <v>1</v>
      </c>
      <c r="C28" s="1" t="n">
        <f aca="false">INT(MOD(A28,$N$1) / 2)</f>
        <v>4</v>
      </c>
      <c r="D28" s="1" t="n">
        <f aca="false">_xlfn.BITAND(A28,1)</f>
        <v>0</v>
      </c>
      <c r="F28" s="1" t="str">
        <f aca="false">DEC2HEX(B28*$N$3*18)</f>
        <v>480</v>
      </c>
      <c r="G28" s="1" t="str">
        <f aca="false">DEC2HEX(C28*7)</f>
        <v>1C</v>
      </c>
      <c r="H28" s="1" t="n">
        <f aca="false">IF(D28=0, 33, "cc")</f>
        <v>33</v>
      </c>
    </row>
    <row r="29" customFormat="false" ht="18.65" hidden="false" customHeight="true" outlineLevel="0" collapsed="false">
      <c r="A29" s="1" t="n">
        <f aca="false">ROW()-2</f>
        <v>27</v>
      </c>
      <c r="B29" s="1" t="n">
        <f aca="false">INT(A29/$N$1)</f>
        <v>1</v>
      </c>
      <c r="C29" s="1" t="n">
        <f aca="false">INT(MOD(A29,$N$1) / 2)</f>
        <v>4</v>
      </c>
      <c r="D29" s="1" t="n">
        <f aca="false">_xlfn.BITAND(A29,1)</f>
        <v>1</v>
      </c>
      <c r="F29" s="1" t="str">
        <f aca="false">DEC2HEX(B29*$N$3*18)</f>
        <v>480</v>
      </c>
      <c r="G29" s="1" t="str">
        <f aca="false">DEC2HEX(C29*7)</f>
        <v>1C</v>
      </c>
      <c r="H29" s="1" t="str">
        <f aca="false">IF(D29=0, 33, "cc")</f>
        <v>cc</v>
      </c>
    </row>
    <row r="30" customFormat="false" ht="18.65" hidden="false" customHeight="true" outlineLevel="0" collapsed="false">
      <c r="A30" s="1" t="n">
        <f aca="false">ROW()-2</f>
        <v>28</v>
      </c>
      <c r="B30" s="1" t="n">
        <f aca="false">INT(A30/$N$1)</f>
        <v>1</v>
      </c>
      <c r="C30" s="1" t="n">
        <f aca="false">INT(MOD(A30,$N$1) / 2)</f>
        <v>5</v>
      </c>
      <c r="D30" s="1" t="n">
        <f aca="false">_xlfn.BITAND(A30,1)</f>
        <v>0</v>
      </c>
      <c r="F30" s="1" t="str">
        <f aca="false">DEC2HEX(B30*$N$3*18)</f>
        <v>480</v>
      </c>
      <c r="G30" s="1" t="str">
        <f aca="false">DEC2HEX(C30*7)</f>
        <v>23</v>
      </c>
      <c r="H30" s="1" t="n">
        <f aca="false">IF(D30=0, 33, "cc")</f>
        <v>33</v>
      </c>
    </row>
    <row r="31" customFormat="false" ht="18.65" hidden="false" customHeight="true" outlineLevel="0" collapsed="false">
      <c r="A31" s="1" t="n">
        <f aca="false">ROW()-2</f>
        <v>29</v>
      </c>
      <c r="B31" s="1" t="n">
        <f aca="false">INT(A31/$N$1)</f>
        <v>1</v>
      </c>
      <c r="C31" s="1" t="n">
        <f aca="false">INT(MOD(A31,$N$1) / 2)</f>
        <v>5</v>
      </c>
      <c r="D31" s="1" t="n">
        <f aca="false">_xlfn.BITAND(A31,1)</f>
        <v>1</v>
      </c>
      <c r="F31" s="1" t="str">
        <f aca="false">DEC2HEX(B31*$N$3*18)</f>
        <v>480</v>
      </c>
      <c r="G31" s="1" t="str">
        <f aca="false">DEC2HEX(C31*7)</f>
        <v>23</v>
      </c>
      <c r="H31" s="1" t="str">
        <f aca="false">IF(D31=0, 33, "cc")</f>
        <v>cc</v>
      </c>
    </row>
    <row r="32" customFormat="false" ht="18.65" hidden="false" customHeight="true" outlineLevel="0" collapsed="false">
      <c r="A32" s="1" t="n">
        <f aca="false">ROW()-2</f>
        <v>30</v>
      </c>
      <c r="B32" s="1" t="n">
        <f aca="false">INT(A32/$N$1)</f>
        <v>1</v>
      </c>
      <c r="C32" s="1" t="n">
        <f aca="false">INT(MOD(A32,$N$1) / 2)</f>
        <v>6</v>
      </c>
      <c r="D32" s="1" t="n">
        <f aca="false">_xlfn.BITAND(A32,1)</f>
        <v>0</v>
      </c>
      <c r="F32" s="1" t="str">
        <f aca="false">DEC2HEX(B32*$N$3*18)</f>
        <v>480</v>
      </c>
      <c r="G32" s="1" t="str">
        <f aca="false">DEC2HEX(C32*7)</f>
        <v>2A</v>
      </c>
      <c r="H32" s="1" t="n">
        <f aca="false">IF(D32=0, 33, "cc")</f>
        <v>33</v>
      </c>
    </row>
    <row r="33" customFormat="false" ht="18.65" hidden="false" customHeight="true" outlineLevel="0" collapsed="false">
      <c r="A33" s="1" t="n">
        <f aca="false">ROW()-2</f>
        <v>31</v>
      </c>
      <c r="B33" s="1" t="n">
        <f aca="false">INT(A33/$N$1)</f>
        <v>1</v>
      </c>
      <c r="C33" s="1" t="n">
        <f aca="false">INT(MOD(A33,$N$1) / 2)</f>
        <v>6</v>
      </c>
      <c r="D33" s="1" t="n">
        <f aca="false">_xlfn.BITAND(A33,1)</f>
        <v>1</v>
      </c>
      <c r="F33" s="1" t="str">
        <f aca="false">DEC2HEX(B33*$N$3*18)</f>
        <v>480</v>
      </c>
      <c r="G33" s="1" t="str">
        <f aca="false">DEC2HEX(C33*7)</f>
        <v>2A</v>
      </c>
      <c r="H33" s="1" t="str">
        <f aca="false">IF(D33=0, 33, "cc")</f>
        <v>cc</v>
      </c>
    </row>
    <row r="34" customFormat="false" ht="18.65" hidden="false" customHeight="true" outlineLevel="0" collapsed="false">
      <c r="A34" s="1" t="n">
        <f aca="false">ROW()-2</f>
        <v>32</v>
      </c>
      <c r="B34" s="1" t="n">
        <f aca="false">INT(A34/$N$1)</f>
        <v>1</v>
      </c>
      <c r="C34" s="1" t="n">
        <f aca="false">INT(MOD(A34,$N$1) / 2)</f>
        <v>7</v>
      </c>
      <c r="D34" s="1" t="n">
        <f aca="false">_xlfn.BITAND(A34,1)</f>
        <v>0</v>
      </c>
      <c r="F34" s="1" t="str">
        <f aca="false">DEC2HEX(B34*$N$3*18)</f>
        <v>480</v>
      </c>
      <c r="G34" s="1" t="str">
        <f aca="false">DEC2HEX(C34*7)</f>
        <v>31</v>
      </c>
      <c r="H34" s="1" t="n">
        <f aca="false">IF(D34=0, 33, "cc")</f>
        <v>33</v>
      </c>
    </row>
    <row r="35" customFormat="false" ht="18.65" hidden="false" customHeight="true" outlineLevel="0" collapsed="false">
      <c r="A35" s="1" t="n">
        <f aca="false">ROW()-2</f>
        <v>33</v>
      </c>
      <c r="B35" s="1" t="n">
        <f aca="false">INT(A35/$N$1)</f>
        <v>1</v>
      </c>
      <c r="C35" s="1" t="n">
        <f aca="false">INT(MOD(A35,$N$1) / 2)</f>
        <v>7</v>
      </c>
      <c r="D35" s="1" t="n">
        <f aca="false">_xlfn.BITAND(A35,1)</f>
        <v>1</v>
      </c>
      <c r="F35" s="1" t="str">
        <f aca="false">DEC2HEX(B35*$N$3*18)</f>
        <v>480</v>
      </c>
      <c r="G35" s="1" t="str">
        <f aca="false">DEC2HEX(C35*7)</f>
        <v>31</v>
      </c>
      <c r="H35" s="1" t="str">
        <f aca="false">IF(D35=0, 33, "cc")</f>
        <v>cc</v>
      </c>
    </row>
    <row r="36" customFormat="false" ht="18.65" hidden="false" customHeight="true" outlineLevel="0" collapsed="false">
      <c r="A36" s="1" t="n">
        <f aca="false">ROW()-2</f>
        <v>34</v>
      </c>
      <c r="B36" s="1" t="n">
        <f aca="false">INT(A36/$N$1)</f>
        <v>1</v>
      </c>
      <c r="C36" s="1" t="n">
        <f aca="false">INT(MOD(A36,$N$1) / 2)</f>
        <v>8</v>
      </c>
      <c r="D36" s="1" t="n">
        <f aca="false">_xlfn.BITAND(A36,1)</f>
        <v>0</v>
      </c>
      <c r="F36" s="1" t="str">
        <f aca="false">DEC2HEX(B36*$N$3*18)</f>
        <v>480</v>
      </c>
      <c r="G36" s="1" t="str">
        <f aca="false">DEC2HEX(C36*7)</f>
        <v>38</v>
      </c>
      <c r="H36" s="1" t="n">
        <f aca="false">IF(D36=0, 33, "cc")</f>
        <v>33</v>
      </c>
    </row>
    <row r="37" customFormat="false" ht="18.65" hidden="false" customHeight="true" outlineLevel="0" collapsed="false">
      <c r="A37" s="1" t="n">
        <f aca="false">ROW()-2</f>
        <v>35</v>
      </c>
      <c r="B37" s="1" t="n">
        <f aca="false">INT(A37/$N$1)</f>
        <v>1</v>
      </c>
      <c r="C37" s="1" t="n">
        <f aca="false">INT(MOD(A37,$N$1) / 2)</f>
        <v>8</v>
      </c>
      <c r="D37" s="1" t="n">
        <f aca="false">_xlfn.BITAND(A37,1)</f>
        <v>1</v>
      </c>
      <c r="F37" s="1" t="str">
        <f aca="false">DEC2HEX(B37*$N$3*18)</f>
        <v>480</v>
      </c>
      <c r="G37" s="1" t="str">
        <f aca="false">DEC2HEX(C37*7)</f>
        <v>38</v>
      </c>
      <c r="H37" s="1" t="str">
        <f aca="false">IF(D37=0, 33, "cc")</f>
        <v>cc</v>
      </c>
    </row>
    <row r="38" customFormat="false" ht="18.65" hidden="false" customHeight="true" outlineLevel="0" collapsed="false">
      <c r="A38" s="1" t="n">
        <f aca="false">ROW()-2</f>
        <v>36</v>
      </c>
      <c r="B38" s="1" t="n">
        <f aca="false">INT(A38/$N$1)</f>
        <v>2</v>
      </c>
      <c r="C38" s="1" t="n">
        <f aca="false">INT(MOD(A38,$N$1) / 2)</f>
        <v>0</v>
      </c>
      <c r="D38" s="1" t="n">
        <f aca="false">_xlfn.BITAND(A38,1)</f>
        <v>0</v>
      </c>
      <c r="F38" s="1" t="str">
        <f aca="false">DEC2HEX(B38*$N$3*18)</f>
        <v>900</v>
      </c>
      <c r="G38" s="1" t="str">
        <f aca="false">DEC2HEX(C38*7)</f>
        <v>0</v>
      </c>
      <c r="H38" s="1" t="n">
        <f aca="false">IF(D38=0, 33, "cc")</f>
        <v>33</v>
      </c>
    </row>
    <row r="39" customFormat="false" ht="18.65" hidden="false" customHeight="true" outlineLevel="0" collapsed="false">
      <c r="A39" s="1" t="n">
        <f aca="false">ROW()-2</f>
        <v>37</v>
      </c>
      <c r="B39" s="1" t="n">
        <f aca="false">INT(A39/$N$1)</f>
        <v>2</v>
      </c>
      <c r="C39" s="1" t="n">
        <f aca="false">INT(MOD(A39,$N$1) / 2)</f>
        <v>0</v>
      </c>
      <c r="D39" s="1" t="n">
        <f aca="false">_xlfn.BITAND(A39,1)</f>
        <v>1</v>
      </c>
      <c r="F39" s="1" t="str">
        <f aca="false">DEC2HEX(B39*$N$3*18)</f>
        <v>900</v>
      </c>
      <c r="G39" s="1" t="str">
        <f aca="false">DEC2HEX(C39*7)</f>
        <v>0</v>
      </c>
      <c r="H39" s="1" t="str">
        <f aca="false">IF(D39=0, 33, "cc")</f>
        <v>cc</v>
      </c>
    </row>
    <row r="40" customFormat="false" ht="18.65" hidden="false" customHeight="true" outlineLevel="0" collapsed="false">
      <c r="A40" s="1" t="n">
        <f aca="false">ROW()-2</f>
        <v>38</v>
      </c>
      <c r="B40" s="1" t="n">
        <f aca="false">INT(A40/$N$1)</f>
        <v>2</v>
      </c>
      <c r="C40" s="1" t="n">
        <f aca="false">INT(MOD(A40,$N$1) / 2)</f>
        <v>1</v>
      </c>
      <c r="D40" s="1" t="n">
        <f aca="false">_xlfn.BITAND(A40,1)</f>
        <v>0</v>
      </c>
      <c r="F40" s="1" t="str">
        <f aca="false">DEC2HEX(B40*$N$3*18)</f>
        <v>900</v>
      </c>
      <c r="G40" s="1" t="str">
        <f aca="false">DEC2HEX(C40*7)</f>
        <v>7</v>
      </c>
      <c r="H40" s="1" t="n">
        <f aca="false">IF(D40=0, 33, "cc")</f>
        <v>33</v>
      </c>
    </row>
    <row r="41" customFormat="false" ht="18.65" hidden="false" customHeight="true" outlineLevel="0" collapsed="false">
      <c r="A41" s="1" t="n">
        <f aca="false">ROW()-2</f>
        <v>39</v>
      </c>
      <c r="B41" s="1" t="n">
        <f aca="false">INT(A41/$N$1)</f>
        <v>2</v>
      </c>
      <c r="C41" s="1" t="n">
        <f aca="false">INT(MOD(A41,$N$1) / 2)</f>
        <v>1</v>
      </c>
      <c r="D41" s="1" t="n">
        <f aca="false">_xlfn.BITAND(A41,1)</f>
        <v>1</v>
      </c>
      <c r="F41" s="1" t="str">
        <f aca="false">DEC2HEX(B41*$N$3*18)</f>
        <v>900</v>
      </c>
      <c r="G41" s="1" t="str">
        <f aca="false">DEC2HEX(C41*7)</f>
        <v>7</v>
      </c>
      <c r="H41" s="1" t="str">
        <f aca="false">IF(D41=0, 33, "cc")</f>
        <v>cc</v>
      </c>
    </row>
    <row r="42" customFormat="false" ht="18.65" hidden="false" customHeight="true" outlineLevel="0" collapsed="false">
      <c r="A42" s="1" t="n">
        <f aca="false">ROW()-2</f>
        <v>40</v>
      </c>
      <c r="B42" s="1" t="n">
        <f aca="false">INT(A42/$N$1)</f>
        <v>2</v>
      </c>
      <c r="C42" s="1" t="n">
        <f aca="false">INT(MOD(A42,$N$1) / 2)</f>
        <v>2</v>
      </c>
      <c r="D42" s="1" t="n">
        <f aca="false">_xlfn.BITAND(A42,1)</f>
        <v>0</v>
      </c>
      <c r="F42" s="1" t="str">
        <f aca="false">DEC2HEX(B42*$N$3*18)</f>
        <v>900</v>
      </c>
      <c r="G42" s="1" t="str">
        <f aca="false">DEC2HEX(C42*7)</f>
        <v>E</v>
      </c>
      <c r="H42" s="1" t="n">
        <f aca="false">IF(D42=0, 33, "cc")</f>
        <v>33</v>
      </c>
    </row>
    <row r="43" customFormat="false" ht="18.65" hidden="false" customHeight="true" outlineLevel="0" collapsed="false">
      <c r="A43" s="1" t="n">
        <f aca="false">ROW()-2</f>
        <v>41</v>
      </c>
      <c r="B43" s="1" t="n">
        <f aca="false">INT(A43/$N$1)</f>
        <v>2</v>
      </c>
      <c r="C43" s="1" t="n">
        <f aca="false">INT(MOD(A43,$N$1) / 2)</f>
        <v>2</v>
      </c>
      <c r="D43" s="1" t="n">
        <f aca="false">_xlfn.BITAND(A43,1)</f>
        <v>1</v>
      </c>
      <c r="F43" s="1" t="str">
        <f aca="false">DEC2HEX(B43*$N$3*18)</f>
        <v>900</v>
      </c>
      <c r="G43" s="1" t="str">
        <f aca="false">DEC2HEX(C43*7)</f>
        <v>E</v>
      </c>
      <c r="H43" s="1" t="str">
        <f aca="false">IF(D43=0, 33, "cc")</f>
        <v>cc</v>
      </c>
    </row>
    <row r="44" customFormat="false" ht="18.65" hidden="false" customHeight="true" outlineLevel="0" collapsed="false">
      <c r="A44" s="1" t="n">
        <f aca="false">ROW()-2</f>
        <v>42</v>
      </c>
      <c r="B44" s="1" t="n">
        <f aca="false">INT(A44/$N$1)</f>
        <v>2</v>
      </c>
      <c r="C44" s="1" t="n">
        <f aca="false">INT(MOD(A44,$N$1) / 2)</f>
        <v>3</v>
      </c>
      <c r="D44" s="1" t="n">
        <f aca="false">_xlfn.BITAND(A44,1)</f>
        <v>0</v>
      </c>
      <c r="F44" s="1" t="str">
        <f aca="false">DEC2HEX(B44*$N$3*18)</f>
        <v>900</v>
      </c>
      <c r="G44" s="1" t="str">
        <f aca="false">DEC2HEX(C44*7)</f>
        <v>15</v>
      </c>
      <c r="H44" s="1" t="n">
        <f aca="false">IF(D44=0, 33, "cc")</f>
        <v>33</v>
      </c>
    </row>
    <row r="45" customFormat="false" ht="18.65" hidden="false" customHeight="true" outlineLevel="0" collapsed="false">
      <c r="A45" s="1" t="n">
        <f aca="false">ROW()-2</f>
        <v>43</v>
      </c>
      <c r="B45" s="1" t="n">
        <f aca="false">INT(A45/$N$1)</f>
        <v>2</v>
      </c>
      <c r="C45" s="1" t="n">
        <f aca="false">INT(MOD(A45,$N$1) / 2)</f>
        <v>3</v>
      </c>
      <c r="D45" s="1" t="n">
        <f aca="false">_xlfn.BITAND(A45,1)</f>
        <v>1</v>
      </c>
      <c r="F45" s="1" t="str">
        <f aca="false">DEC2HEX(B45*$N$3*18)</f>
        <v>900</v>
      </c>
      <c r="G45" s="1" t="str">
        <f aca="false">DEC2HEX(C45*7)</f>
        <v>15</v>
      </c>
      <c r="H45" s="1" t="str">
        <f aca="false">IF(D45=0, 33, "cc")</f>
        <v>cc</v>
      </c>
    </row>
    <row r="46" customFormat="false" ht="18.65" hidden="false" customHeight="true" outlineLevel="0" collapsed="false">
      <c r="A46" s="1" t="n">
        <f aca="false">ROW()-2</f>
        <v>44</v>
      </c>
      <c r="B46" s="1" t="n">
        <f aca="false">INT(A46/$N$1)</f>
        <v>2</v>
      </c>
      <c r="C46" s="1" t="n">
        <f aca="false">INT(MOD(A46,$N$1) / 2)</f>
        <v>4</v>
      </c>
      <c r="D46" s="1" t="n">
        <f aca="false">_xlfn.BITAND(A46,1)</f>
        <v>0</v>
      </c>
      <c r="F46" s="1" t="str">
        <f aca="false">DEC2HEX(B46*$N$3*18)</f>
        <v>900</v>
      </c>
      <c r="G46" s="1" t="str">
        <f aca="false">DEC2HEX(C46*7)</f>
        <v>1C</v>
      </c>
      <c r="H46" s="1" t="n">
        <f aca="false">IF(D46=0, 33, "cc")</f>
        <v>33</v>
      </c>
    </row>
    <row r="47" customFormat="false" ht="18.65" hidden="false" customHeight="true" outlineLevel="0" collapsed="false">
      <c r="A47" s="1" t="n">
        <f aca="false">ROW()-2</f>
        <v>45</v>
      </c>
      <c r="B47" s="1" t="n">
        <f aca="false">INT(A47/$N$1)</f>
        <v>2</v>
      </c>
      <c r="C47" s="1" t="n">
        <f aca="false">INT(MOD(A47,$N$1) / 2)</f>
        <v>4</v>
      </c>
      <c r="D47" s="1" t="n">
        <f aca="false">_xlfn.BITAND(A47,1)</f>
        <v>1</v>
      </c>
      <c r="F47" s="1" t="str">
        <f aca="false">DEC2HEX(B47*$N$3*18)</f>
        <v>900</v>
      </c>
      <c r="G47" s="1" t="str">
        <f aca="false">DEC2HEX(C47*7)</f>
        <v>1C</v>
      </c>
      <c r="H47" s="1" t="str">
        <f aca="false">IF(D47=0, 33, "cc")</f>
        <v>cc</v>
      </c>
    </row>
    <row r="48" customFormat="false" ht="18.65" hidden="false" customHeight="true" outlineLevel="0" collapsed="false">
      <c r="A48" s="1" t="n">
        <f aca="false">ROW()-2</f>
        <v>46</v>
      </c>
      <c r="B48" s="1" t="n">
        <f aca="false">INT(A48/$N$1)</f>
        <v>2</v>
      </c>
      <c r="C48" s="1" t="n">
        <f aca="false">INT(MOD(A48,$N$1) / 2)</f>
        <v>5</v>
      </c>
      <c r="D48" s="1" t="n">
        <f aca="false">_xlfn.BITAND(A48,1)</f>
        <v>0</v>
      </c>
      <c r="F48" s="1" t="str">
        <f aca="false">DEC2HEX(B48*$N$3*18)</f>
        <v>900</v>
      </c>
      <c r="G48" s="1" t="str">
        <f aca="false">DEC2HEX(C48*7)</f>
        <v>23</v>
      </c>
      <c r="H48" s="1" t="n">
        <f aca="false">IF(D48=0, 33, "cc")</f>
        <v>33</v>
      </c>
    </row>
    <row r="49" customFormat="false" ht="18.65" hidden="false" customHeight="true" outlineLevel="0" collapsed="false">
      <c r="A49" s="1" t="n">
        <f aca="false">ROW()-2</f>
        <v>47</v>
      </c>
      <c r="B49" s="1" t="n">
        <f aca="false">INT(A49/$N$1)</f>
        <v>2</v>
      </c>
      <c r="C49" s="1" t="n">
        <f aca="false">INT(MOD(A49,$N$1) / 2)</f>
        <v>5</v>
      </c>
      <c r="D49" s="1" t="n">
        <f aca="false">_xlfn.BITAND(A49,1)</f>
        <v>1</v>
      </c>
      <c r="F49" s="1" t="str">
        <f aca="false">DEC2HEX(B49*$N$3*18)</f>
        <v>900</v>
      </c>
      <c r="G49" s="1" t="str">
        <f aca="false">DEC2HEX(C49*7)</f>
        <v>23</v>
      </c>
      <c r="H49" s="1" t="str">
        <f aca="false">IF(D49=0, 33, "cc")</f>
        <v>cc</v>
      </c>
    </row>
    <row r="50" customFormat="false" ht="18.65" hidden="false" customHeight="true" outlineLevel="0" collapsed="false">
      <c r="A50" s="1" t="n">
        <f aca="false">ROW()-2</f>
        <v>48</v>
      </c>
      <c r="B50" s="1" t="n">
        <f aca="false">INT(A50/$N$1)</f>
        <v>2</v>
      </c>
      <c r="C50" s="1" t="n">
        <f aca="false">INT(MOD(A50,$N$1) / 2)</f>
        <v>6</v>
      </c>
      <c r="D50" s="1" t="n">
        <f aca="false">_xlfn.BITAND(A50,1)</f>
        <v>0</v>
      </c>
      <c r="F50" s="1" t="str">
        <f aca="false">DEC2HEX(B50*$N$3*18)</f>
        <v>900</v>
      </c>
      <c r="G50" s="1" t="str">
        <f aca="false">DEC2HEX(C50*7)</f>
        <v>2A</v>
      </c>
      <c r="H50" s="1" t="n">
        <f aca="false">IF(D50=0, 33, "cc")</f>
        <v>33</v>
      </c>
    </row>
    <row r="51" customFormat="false" ht="18.65" hidden="false" customHeight="true" outlineLevel="0" collapsed="false">
      <c r="A51" s="1" t="n">
        <f aca="false">ROW()-2</f>
        <v>49</v>
      </c>
      <c r="B51" s="1" t="n">
        <f aca="false">INT(A51/$N$1)</f>
        <v>2</v>
      </c>
      <c r="C51" s="1" t="n">
        <f aca="false">INT(MOD(A51,$N$1) / 2)</f>
        <v>6</v>
      </c>
      <c r="D51" s="1" t="n">
        <f aca="false">_xlfn.BITAND(A51,1)</f>
        <v>1</v>
      </c>
      <c r="F51" s="1" t="str">
        <f aca="false">DEC2HEX(B51*$N$3*18)</f>
        <v>900</v>
      </c>
      <c r="G51" s="1" t="str">
        <f aca="false">DEC2HEX(C51*7)</f>
        <v>2A</v>
      </c>
      <c r="H51" s="1" t="str">
        <f aca="false">IF(D51=0, 33, "cc")</f>
        <v>cc</v>
      </c>
    </row>
    <row r="52" customFormat="false" ht="18.65" hidden="false" customHeight="true" outlineLevel="0" collapsed="false">
      <c r="A52" s="1" t="n">
        <f aca="false">ROW()-2</f>
        <v>50</v>
      </c>
      <c r="B52" s="1" t="n">
        <f aca="false">INT(A52/$N$1)</f>
        <v>2</v>
      </c>
      <c r="C52" s="1" t="n">
        <f aca="false">INT(MOD(A52,$N$1) / 2)</f>
        <v>7</v>
      </c>
      <c r="D52" s="1" t="n">
        <f aca="false">_xlfn.BITAND(A52,1)</f>
        <v>0</v>
      </c>
      <c r="F52" s="1" t="str">
        <f aca="false">DEC2HEX(B52*$N$3*18)</f>
        <v>900</v>
      </c>
      <c r="G52" s="1" t="str">
        <f aca="false">DEC2HEX(C52*7)</f>
        <v>31</v>
      </c>
      <c r="H52" s="1" t="n">
        <f aca="false">IF(D52=0, 33, "cc")</f>
        <v>33</v>
      </c>
    </row>
    <row r="53" customFormat="false" ht="18.65" hidden="false" customHeight="true" outlineLevel="0" collapsed="false">
      <c r="A53" s="1" t="n">
        <f aca="false">ROW()-2</f>
        <v>51</v>
      </c>
      <c r="B53" s="1" t="n">
        <f aca="false">INT(A53/$N$1)</f>
        <v>2</v>
      </c>
      <c r="C53" s="1" t="n">
        <f aca="false">INT(MOD(A53,$N$1) / 2)</f>
        <v>7</v>
      </c>
      <c r="D53" s="1" t="n">
        <f aca="false">_xlfn.BITAND(A53,1)</f>
        <v>1</v>
      </c>
      <c r="F53" s="1" t="str">
        <f aca="false">DEC2HEX(B53*$N$3*18)</f>
        <v>900</v>
      </c>
      <c r="G53" s="1" t="str">
        <f aca="false">DEC2HEX(C53*7)</f>
        <v>31</v>
      </c>
      <c r="H53" s="1" t="str">
        <f aca="false">IF(D53=0, 33, "cc")</f>
        <v>cc</v>
      </c>
    </row>
    <row r="54" customFormat="false" ht="18.65" hidden="false" customHeight="true" outlineLevel="0" collapsed="false">
      <c r="A54" s="1" t="n">
        <f aca="false">ROW()-2</f>
        <v>52</v>
      </c>
      <c r="B54" s="1" t="n">
        <f aca="false">INT(A54/$N$1)</f>
        <v>2</v>
      </c>
      <c r="C54" s="1" t="n">
        <f aca="false">INT(MOD(A54,$N$1) / 2)</f>
        <v>8</v>
      </c>
      <c r="D54" s="1" t="n">
        <f aca="false">_xlfn.BITAND(A54,1)</f>
        <v>0</v>
      </c>
      <c r="F54" s="1" t="str">
        <f aca="false">DEC2HEX(B54*$N$3*18)</f>
        <v>900</v>
      </c>
      <c r="G54" s="1" t="str">
        <f aca="false">DEC2HEX(C54*7)</f>
        <v>38</v>
      </c>
      <c r="H54" s="1" t="n">
        <f aca="false">IF(D54=0, 33, "cc")</f>
        <v>33</v>
      </c>
    </row>
    <row r="55" customFormat="false" ht="18.65" hidden="false" customHeight="true" outlineLevel="0" collapsed="false">
      <c r="A55" s="1" t="n">
        <f aca="false">ROW()-2</f>
        <v>53</v>
      </c>
      <c r="B55" s="1" t="n">
        <f aca="false">INT(A55/$N$1)</f>
        <v>2</v>
      </c>
      <c r="C55" s="1" t="n">
        <f aca="false">INT(MOD(A55,$N$1) / 2)</f>
        <v>8</v>
      </c>
      <c r="D55" s="1" t="n">
        <f aca="false">_xlfn.BITAND(A55,1)</f>
        <v>1</v>
      </c>
      <c r="F55" s="1" t="str">
        <f aca="false">DEC2HEX(B55*$N$3*18)</f>
        <v>900</v>
      </c>
      <c r="G55" s="1" t="str">
        <f aca="false">DEC2HEX(C55*7)</f>
        <v>38</v>
      </c>
      <c r="H55" s="1" t="str">
        <f aca="false">IF(D55=0, 33, "cc")</f>
        <v>cc</v>
      </c>
    </row>
    <row r="56" customFormat="false" ht="18.65" hidden="false" customHeight="true" outlineLevel="0" collapsed="false">
      <c r="A56" s="1" t="n">
        <f aca="false">ROW()-2</f>
        <v>54</v>
      </c>
      <c r="B56" s="1" t="n">
        <f aca="false">INT(A56/$N$1)</f>
        <v>3</v>
      </c>
      <c r="C56" s="1" t="n">
        <f aca="false">INT(MOD(A56,$N$1) / 2)</f>
        <v>0</v>
      </c>
      <c r="D56" s="1" t="n">
        <f aca="false">_xlfn.BITAND(A56,1)</f>
        <v>0</v>
      </c>
      <c r="F56" s="1" t="str">
        <f aca="false">DEC2HEX(B56*$N$3*18)</f>
        <v>D80</v>
      </c>
      <c r="G56" s="1" t="str">
        <f aca="false">DEC2HEX(C56*7)</f>
        <v>0</v>
      </c>
      <c r="H56" s="1" t="n">
        <f aca="false">IF(D56=0, 33, "cc")</f>
        <v>33</v>
      </c>
    </row>
    <row r="57" customFormat="false" ht="18.65" hidden="false" customHeight="true" outlineLevel="0" collapsed="false">
      <c r="A57" s="1" t="n">
        <f aca="false">ROW()-2</f>
        <v>55</v>
      </c>
      <c r="B57" s="1" t="n">
        <f aca="false">INT(A57/$N$1)</f>
        <v>3</v>
      </c>
      <c r="C57" s="1" t="n">
        <f aca="false">INT(MOD(A57,$N$1) / 2)</f>
        <v>0</v>
      </c>
      <c r="D57" s="1" t="n">
        <f aca="false">_xlfn.BITAND(A57,1)</f>
        <v>1</v>
      </c>
      <c r="F57" s="1" t="str">
        <f aca="false">DEC2HEX(B57*$N$3*18)</f>
        <v>D80</v>
      </c>
      <c r="G57" s="1" t="str">
        <f aca="false">DEC2HEX(C57*7)</f>
        <v>0</v>
      </c>
      <c r="H57" s="1" t="str">
        <f aca="false">IF(D57=0, 33, "cc")</f>
        <v>cc</v>
      </c>
    </row>
    <row r="58" customFormat="false" ht="18.65" hidden="false" customHeight="true" outlineLevel="0" collapsed="false">
      <c r="A58" s="1" t="n">
        <f aca="false">ROW()-2</f>
        <v>56</v>
      </c>
      <c r="B58" s="1" t="n">
        <f aca="false">INT(A58/$N$1)</f>
        <v>3</v>
      </c>
      <c r="C58" s="1" t="n">
        <f aca="false">INT(MOD(A58,$N$1) / 2)</f>
        <v>1</v>
      </c>
      <c r="D58" s="1" t="n">
        <f aca="false">_xlfn.BITAND(A58,1)</f>
        <v>0</v>
      </c>
      <c r="F58" s="1" t="str">
        <f aca="false">DEC2HEX(B58*$N$3*18)</f>
        <v>D80</v>
      </c>
      <c r="G58" s="1" t="str">
        <f aca="false">DEC2HEX(C58*7)</f>
        <v>7</v>
      </c>
      <c r="H58" s="1" t="n">
        <f aca="false">IF(D58=0, 33, "cc")</f>
        <v>33</v>
      </c>
    </row>
    <row r="59" customFormat="false" ht="18.65" hidden="false" customHeight="true" outlineLevel="0" collapsed="false">
      <c r="A59" s="1" t="n">
        <f aca="false">ROW()-2</f>
        <v>57</v>
      </c>
      <c r="B59" s="1" t="n">
        <f aca="false">INT(A59/$N$1)</f>
        <v>3</v>
      </c>
      <c r="C59" s="1" t="n">
        <f aca="false">INT(MOD(A59,$N$1) / 2)</f>
        <v>1</v>
      </c>
      <c r="D59" s="1" t="n">
        <f aca="false">_xlfn.BITAND(A59,1)</f>
        <v>1</v>
      </c>
      <c r="F59" s="1" t="str">
        <f aca="false">DEC2HEX(B59*$N$3*18)</f>
        <v>D80</v>
      </c>
      <c r="G59" s="1" t="str">
        <f aca="false">DEC2HEX(C59*7)</f>
        <v>7</v>
      </c>
      <c r="H59" s="1" t="str">
        <f aca="false">IF(D59=0, 33, "cc")</f>
        <v>cc</v>
      </c>
    </row>
    <row r="60" customFormat="false" ht="18.65" hidden="false" customHeight="true" outlineLevel="0" collapsed="false">
      <c r="A60" s="1" t="n">
        <f aca="false">ROW()-2</f>
        <v>58</v>
      </c>
      <c r="B60" s="1" t="n">
        <f aca="false">INT(A60/$N$1)</f>
        <v>3</v>
      </c>
      <c r="C60" s="1" t="n">
        <f aca="false">INT(MOD(A60,$N$1) / 2)</f>
        <v>2</v>
      </c>
      <c r="D60" s="1" t="n">
        <f aca="false">_xlfn.BITAND(A60,1)</f>
        <v>0</v>
      </c>
      <c r="F60" s="1" t="str">
        <f aca="false">DEC2HEX(B60*$N$3*18)</f>
        <v>D80</v>
      </c>
      <c r="G60" s="1" t="str">
        <f aca="false">DEC2HEX(C60*7)</f>
        <v>E</v>
      </c>
      <c r="H60" s="1" t="n">
        <f aca="false">IF(D60=0, 33, "cc")</f>
        <v>33</v>
      </c>
    </row>
    <row r="61" customFormat="false" ht="18.65" hidden="false" customHeight="true" outlineLevel="0" collapsed="false">
      <c r="A61" s="1" t="n">
        <f aca="false">ROW()-2</f>
        <v>59</v>
      </c>
      <c r="B61" s="1" t="n">
        <f aca="false">INT(A61/$N$1)</f>
        <v>3</v>
      </c>
      <c r="C61" s="1" t="n">
        <f aca="false">INT(MOD(A61,$N$1) / 2)</f>
        <v>2</v>
      </c>
      <c r="D61" s="1" t="n">
        <f aca="false">_xlfn.BITAND(A61,1)</f>
        <v>1</v>
      </c>
      <c r="F61" s="1" t="str">
        <f aca="false">DEC2HEX(B61*$N$3*18)</f>
        <v>D80</v>
      </c>
      <c r="G61" s="1" t="str">
        <f aca="false">DEC2HEX(C61*7)</f>
        <v>E</v>
      </c>
      <c r="H61" s="1" t="str">
        <f aca="false">IF(D61=0, 33, "cc")</f>
        <v>cc</v>
      </c>
    </row>
    <row r="62" customFormat="false" ht="18.65" hidden="false" customHeight="true" outlineLevel="0" collapsed="false">
      <c r="A62" s="1" t="n">
        <f aca="false">ROW()-2</f>
        <v>60</v>
      </c>
      <c r="B62" s="1" t="n">
        <f aca="false">INT(A62/$N$1)</f>
        <v>3</v>
      </c>
      <c r="C62" s="1" t="n">
        <f aca="false">INT(MOD(A62,$N$1) / 2)</f>
        <v>3</v>
      </c>
      <c r="D62" s="1" t="n">
        <f aca="false">_xlfn.BITAND(A62,1)</f>
        <v>0</v>
      </c>
      <c r="F62" s="1" t="str">
        <f aca="false">DEC2HEX(B62*$N$3*18)</f>
        <v>D80</v>
      </c>
      <c r="G62" s="1" t="str">
        <f aca="false">DEC2HEX(C62*7)</f>
        <v>15</v>
      </c>
      <c r="H62" s="1" t="n">
        <f aca="false">IF(D62=0, 33, "cc")</f>
        <v>33</v>
      </c>
    </row>
    <row r="63" customFormat="false" ht="18.65" hidden="false" customHeight="true" outlineLevel="0" collapsed="false">
      <c r="A63" s="1" t="n">
        <f aca="false">ROW()-2</f>
        <v>61</v>
      </c>
      <c r="B63" s="1" t="n">
        <f aca="false">INT(A63/$N$1)</f>
        <v>3</v>
      </c>
      <c r="C63" s="1" t="n">
        <f aca="false">INT(MOD(A63,$N$1) / 2)</f>
        <v>3</v>
      </c>
      <c r="D63" s="1" t="n">
        <f aca="false">_xlfn.BITAND(A63,1)</f>
        <v>1</v>
      </c>
      <c r="F63" s="1" t="str">
        <f aca="false">DEC2HEX(B63*$N$3*18)</f>
        <v>D80</v>
      </c>
      <c r="G63" s="1" t="str">
        <f aca="false">DEC2HEX(C63*7)</f>
        <v>15</v>
      </c>
      <c r="H63" s="1" t="str">
        <f aca="false">IF(D63=0, 33, "cc")</f>
        <v>cc</v>
      </c>
    </row>
    <row r="64" customFormat="false" ht="18.65" hidden="false" customHeight="true" outlineLevel="0" collapsed="false">
      <c r="A64" s="1" t="n">
        <f aca="false">ROW()-2</f>
        <v>62</v>
      </c>
      <c r="B64" s="1" t="n">
        <f aca="false">INT(A64/$N$1)</f>
        <v>3</v>
      </c>
      <c r="C64" s="1" t="n">
        <f aca="false">INT(MOD(A64,$N$1) / 2)</f>
        <v>4</v>
      </c>
      <c r="D64" s="1" t="n">
        <f aca="false">_xlfn.BITAND(A64,1)</f>
        <v>0</v>
      </c>
      <c r="F64" s="1" t="str">
        <f aca="false">DEC2HEX(B64*$N$3*18)</f>
        <v>D80</v>
      </c>
      <c r="G64" s="1" t="str">
        <f aca="false">DEC2HEX(C64*7)</f>
        <v>1C</v>
      </c>
      <c r="H64" s="1" t="n">
        <f aca="false">IF(D64=0, 33, "cc")</f>
        <v>33</v>
      </c>
    </row>
    <row r="65" customFormat="false" ht="18.65" hidden="false" customHeight="true" outlineLevel="0" collapsed="false">
      <c r="A65" s="1" t="n">
        <f aca="false">ROW()-2</f>
        <v>63</v>
      </c>
      <c r="B65" s="1" t="n">
        <f aca="false">INT(A65/$N$1)</f>
        <v>3</v>
      </c>
      <c r="C65" s="1" t="n">
        <f aca="false">INT(MOD(A65,$N$1) / 2)</f>
        <v>4</v>
      </c>
      <c r="D65" s="1" t="n">
        <f aca="false">_xlfn.BITAND(A65,1)</f>
        <v>1</v>
      </c>
      <c r="F65" s="1" t="str">
        <f aca="false">DEC2HEX(B65*$N$3*18)</f>
        <v>D80</v>
      </c>
      <c r="G65" s="1" t="str">
        <f aca="false">DEC2HEX(C65*7)</f>
        <v>1C</v>
      </c>
      <c r="H65" s="1" t="str">
        <f aca="false">IF(D65=0, 33, "cc")</f>
        <v>cc</v>
      </c>
    </row>
    <row r="66" customFormat="false" ht="18.65" hidden="false" customHeight="true" outlineLevel="0" collapsed="false">
      <c r="A66" s="1" t="n">
        <f aca="false">ROW()-2</f>
        <v>64</v>
      </c>
      <c r="B66" s="1" t="n">
        <f aca="false">INT(A66/$N$1)</f>
        <v>3</v>
      </c>
      <c r="C66" s="1" t="n">
        <f aca="false">INT(MOD(A66,$N$1) / 2)</f>
        <v>5</v>
      </c>
      <c r="D66" s="1" t="n">
        <f aca="false">_xlfn.BITAND(A66,1)</f>
        <v>0</v>
      </c>
      <c r="F66" s="1" t="str">
        <f aca="false">DEC2HEX(B66*$N$3*18)</f>
        <v>D80</v>
      </c>
      <c r="G66" s="1" t="str">
        <f aca="false">DEC2HEX(C66*7)</f>
        <v>23</v>
      </c>
      <c r="H66" s="1" t="n">
        <f aca="false">IF(D66=0, 33, "cc")</f>
        <v>33</v>
      </c>
    </row>
    <row r="67" customFormat="false" ht="18.65" hidden="false" customHeight="true" outlineLevel="0" collapsed="false">
      <c r="A67" s="1" t="n">
        <f aca="false">ROW()-2</f>
        <v>65</v>
      </c>
      <c r="B67" s="1" t="n">
        <f aca="false">INT(A67/$N$1)</f>
        <v>3</v>
      </c>
      <c r="C67" s="1" t="n">
        <f aca="false">INT(MOD(A67,$N$1) / 2)</f>
        <v>5</v>
      </c>
      <c r="D67" s="1" t="n">
        <f aca="false">_xlfn.BITAND(A67,1)</f>
        <v>1</v>
      </c>
      <c r="F67" s="1" t="str">
        <f aca="false">DEC2HEX(B67*$N$3*18)</f>
        <v>D80</v>
      </c>
      <c r="G67" s="1" t="str">
        <f aca="false">DEC2HEX(C67*7)</f>
        <v>23</v>
      </c>
      <c r="H67" s="1" t="str">
        <f aca="false">IF(D67=0, 33, "cc")</f>
        <v>cc</v>
      </c>
    </row>
    <row r="68" customFormat="false" ht="18.65" hidden="false" customHeight="true" outlineLevel="0" collapsed="false">
      <c r="A68" s="1" t="n">
        <f aca="false">ROW()-2</f>
        <v>66</v>
      </c>
      <c r="B68" s="1" t="n">
        <f aca="false">INT(A68/$N$1)</f>
        <v>3</v>
      </c>
      <c r="C68" s="1" t="n">
        <f aca="false">INT(MOD(A68,$N$1) / 2)</f>
        <v>6</v>
      </c>
      <c r="D68" s="1" t="n">
        <f aca="false">_xlfn.BITAND(A68,1)</f>
        <v>0</v>
      </c>
      <c r="F68" s="1" t="str">
        <f aca="false">DEC2HEX(B68*$N$3*18)</f>
        <v>D80</v>
      </c>
      <c r="G68" s="1" t="str">
        <f aca="false">DEC2HEX(C68*7)</f>
        <v>2A</v>
      </c>
      <c r="H68" s="1" t="n">
        <f aca="false">IF(D68=0, 33, "cc")</f>
        <v>33</v>
      </c>
    </row>
    <row r="69" customFormat="false" ht="18.65" hidden="false" customHeight="true" outlineLevel="0" collapsed="false">
      <c r="A69" s="1" t="n">
        <f aca="false">ROW()-2</f>
        <v>67</v>
      </c>
      <c r="B69" s="1" t="n">
        <f aca="false">INT(A69/$N$1)</f>
        <v>3</v>
      </c>
      <c r="C69" s="1" t="n">
        <f aca="false">INT(MOD(A69,$N$1) / 2)</f>
        <v>6</v>
      </c>
      <c r="D69" s="1" t="n">
        <f aca="false">_xlfn.BITAND(A69,1)</f>
        <v>1</v>
      </c>
      <c r="F69" s="1" t="str">
        <f aca="false">DEC2HEX(B69*$N$3*18)</f>
        <v>D80</v>
      </c>
      <c r="G69" s="1" t="str">
        <f aca="false">DEC2HEX(C69*7)</f>
        <v>2A</v>
      </c>
      <c r="H69" s="1" t="str">
        <f aca="false">IF(D69=0, 33, "cc")</f>
        <v>cc</v>
      </c>
    </row>
    <row r="70" customFormat="false" ht="18.65" hidden="false" customHeight="true" outlineLevel="0" collapsed="false">
      <c r="A70" s="1" t="n">
        <f aca="false">ROW()-2</f>
        <v>68</v>
      </c>
      <c r="B70" s="1" t="n">
        <f aca="false">INT(A70/$N$1)</f>
        <v>3</v>
      </c>
      <c r="C70" s="1" t="n">
        <f aca="false">INT(MOD(A70,$N$1) / 2)</f>
        <v>7</v>
      </c>
      <c r="D70" s="1" t="n">
        <f aca="false">_xlfn.BITAND(A70,1)</f>
        <v>0</v>
      </c>
      <c r="F70" s="1" t="str">
        <f aca="false">DEC2HEX(B70*$N$3*18)</f>
        <v>D80</v>
      </c>
      <c r="G70" s="1" t="str">
        <f aca="false">DEC2HEX(C70*7)</f>
        <v>31</v>
      </c>
      <c r="H70" s="1" t="n">
        <f aca="false">IF(D70=0, 33, "cc")</f>
        <v>33</v>
      </c>
    </row>
    <row r="71" customFormat="false" ht="18.65" hidden="false" customHeight="true" outlineLevel="0" collapsed="false">
      <c r="A71" s="1" t="n">
        <f aca="false">ROW()-2</f>
        <v>69</v>
      </c>
      <c r="B71" s="1" t="n">
        <f aca="false">INT(A71/$N$1)</f>
        <v>3</v>
      </c>
      <c r="C71" s="1" t="n">
        <f aca="false">INT(MOD(A71,$N$1) / 2)</f>
        <v>7</v>
      </c>
      <c r="D71" s="1" t="n">
        <f aca="false">_xlfn.BITAND(A71,1)</f>
        <v>1</v>
      </c>
      <c r="F71" s="1" t="str">
        <f aca="false">DEC2HEX(B71*$N$3*18)</f>
        <v>D80</v>
      </c>
      <c r="G71" s="1" t="str">
        <f aca="false">DEC2HEX(C71*7)</f>
        <v>31</v>
      </c>
      <c r="H71" s="1" t="str">
        <f aca="false">IF(D71=0, 33, "cc")</f>
        <v>cc</v>
      </c>
    </row>
    <row r="72" customFormat="false" ht="18.65" hidden="false" customHeight="true" outlineLevel="0" collapsed="false">
      <c r="A72" s="1" t="n">
        <f aca="false">ROW()-2</f>
        <v>70</v>
      </c>
      <c r="B72" s="1" t="n">
        <f aca="false">INT(A72/$N$1)</f>
        <v>3</v>
      </c>
      <c r="C72" s="1" t="n">
        <f aca="false">INT(MOD(A72,$N$1) / 2)</f>
        <v>8</v>
      </c>
      <c r="D72" s="1" t="n">
        <f aca="false">_xlfn.BITAND(A72,1)</f>
        <v>0</v>
      </c>
      <c r="F72" s="1" t="str">
        <f aca="false">DEC2HEX(B72*$N$3*18)</f>
        <v>D80</v>
      </c>
      <c r="G72" s="1" t="str">
        <f aca="false">DEC2HEX(C72*7)</f>
        <v>38</v>
      </c>
      <c r="H72" s="1" t="n">
        <f aca="false">IF(D72=0, 33, "cc")</f>
        <v>33</v>
      </c>
    </row>
    <row r="73" customFormat="false" ht="18.65" hidden="false" customHeight="true" outlineLevel="0" collapsed="false">
      <c r="A73" s="1" t="n">
        <f aca="false">ROW()-2</f>
        <v>71</v>
      </c>
      <c r="B73" s="1" t="n">
        <f aca="false">INT(A73/$N$1)</f>
        <v>3</v>
      </c>
      <c r="C73" s="1" t="n">
        <f aca="false">INT(MOD(A73,$N$1) / 2)</f>
        <v>8</v>
      </c>
      <c r="D73" s="1" t="n">
        <f aca="false">_xlfn.BITAND(A73,1)</f>
        <v>1</v>
      </c>
      <c r="F73" s="1" t="str">
        <f aca="false">DEC2HEX(B73*$N$3*18)</f>
        <v>D80</v>
      </c>
      <c r="G73" s="1" t="str">
        <f aca="false">DEC2HEX(C73*7)</f>
        <v>38</v>
      </c>
      <c r="H73" s="1" t="str">
        <f aca="false">IF(D73=0, 33, "cc")</f>
        <v>cc</v>
      </c>
    </row>
    <row r="74" customFormat="false" ht="18.65" hidden="false" customHeight="true" outlineLevel="0" collapsed="false">
      <c r="A74" s="1" t="n">
        <f aca="false">ROW()-2</f>
        <v>72</v>
      </c>
      <c r="B74" s="1" t="n">
        <f aca="false">INT(A74/$N$1)</f>
        <v>4</v>
      </c>
      <c r="C74" s="1" t="n">
        <f aca="false">INT(MOD(A74,$N$1) / 2)</f>
        <v>0</v>
      </c>
      <c r="D74" s="1" t="n">
        <f aca="false">_xlfn.BITAND(A74,1)</f>
        <v>0</v>
      </c>
      <c r="F74" s="1" t="str">
        <f aca="false">DEC2HEX(B74*$N$3*18)</f>
        <v>1200</v>
      </c>
      <c r="G74" s="1" t="str">
        <f aca="false">DEC2HEX(C74*7)</f>
        <v>0</v>
      </c>
      <c r="H74" s="1" t="n">
        <f aca="false">IF(D74=0, 33, "cc")</f>
        <v>33</v>
      </c>
    </row>
    <row r="75" customFormat="false" ht="18.65" hidden="false" customHeight="true" outlineLevel="0" collapsed="false">
      <c r="A75" s="1" t="n">
        <f aca="false">ROW()-2</f>
        <v>73</v>
      </c>
      <c r="B75" s="1" t="n">
        <f aca="false">INT(A75/$N$1)</f>
        <v>4</v>
      </c>
      <c r="C75" s="1" t="n">
        <f aca="false">INT(MOD(A75,$N$1) / 2)</f>
        <v>0</v>
      </c>
      <c r="D75" s="1" t="n">
        <f aca="false">_xlfn.BITAND(A75,1)</f>
        <v>1</v>
      </c>
      <c r="F75" s="1" t="str">
        <f aca="false">DEC2HEX(B75*$N$3*18)</f>
        <v>1200</v>
      </c>
      <c r="G75" s="1" t="str">
        <f aca="false">DEC2HEX(C75*7)</f>
        <v>0</v>
      </c>
      <c r="H75" s="1" t="str">
        <f aca="false">IF(D75=0, 33, "cc")</f>
        <v>cc</v>
      </c>
    </row>
    <row r="76" customFormat="false" ht="18.65" hidden="false" customHeight="true" outlineLevel="0" collapsed="false">
      <c r="A76" s="1" t="n">
        <f aca="false">ROW()-2</f>
        <v>74</v>
      </c>
      <c r="B76" s="1" t="n">
        <f aca="false">INT(A76/$N$1)</f>
        <v>4</v>
      </c>
      <c r="C76" s="1" t="n">
        <f aca="false">INT(MOD(A76,$N$1) / 2)</f>
        <v>1</v>
      </c>
      <c r="D76" s="1" t="n">
        <f aca="false">_xlfn.BITAND(A76,1)</f>
        <v>0</v>
      </c>
      <c r="F76" s="1" t="str">
        <f aca="false">DEC2HEX(B76*$N$3*18)</f>
        <v>1200</v>
      </c>
      <c r="G76" s="1" t="str">
        <f aca="false">DEC2HEX(C76*7)</f>
        <v>7</v>
      </c>
      <c r="H76" s="1" t="n">
        <f aca="false">IF(D76=0, 33, "cc")</f>
        <v>33</v>
      </c>
    </row>
    <row r="77" customFormat="false" ht="18.65" hidden="false" customHeight="true" outlineLevel="0" collapsed="false">
      <c r="A77" s="1" t="n">
        <f aca="false">ROW()-2</f>
        <v>75</v>
      </c>
      <c r="B77" s="1" t="n">
        <f aca="false">INT(A77/$N$1)</f>
        <v>4</v>
      </c>
      <c r="C77" s="1" t="n">
        <f aca="false">INT(MOD(A77,$N$1) / 2)</f>
        <v>1</v>
      </c>
      <c r="D77" s="1" t="n">
        <f aca="false">_xlfn.BITAND(A77,1)</f>
        <v>1</v>
      </c>
      <c r="F77" s="1" t="str">
        <f aca="false">DEC2HEX(B77*$N$3*18)</f>
        <v>1200</v>
      </c>
      <c r="G77" s="1" t="str">
        <f aca="false">DEC2HEX(C77*7)</f>
        <v>7</v>
      </c>
      <c r="H77" s="1" t="str">
        <f aca="false">IF(D77=0, 33, "cc")</f>
        <v>cc</v>
      </c>
    </row>
    <row r="78" customFormat="false" ht="18.65" hidden="false" customHeight="true" outlineLevel="0" collapsed="false">
      <c r="A78" s="1" t="n">
        <f aca="false">ROW()-2</f>
        <v>76</v>
      </c>
      <c r="B78" s="1" t="n">
        <f aca="false">INT(A78/$N$1)</f>
        <v>4</v>
      </c>
      <c r="C78" s="1" t="n">
        <f aca="false">INT(MOD(A78,$N$1) / 2)</f>
        <v>2</v>
      </c>
      <c r="D78" s="1" t="n">
        <f aca="false">_xlfn.BITAND(A78,1)</f>
        <v>0</v>
      </c>
      <c r="F78" s="1" t="str">
        <f aca="false">DEC2HEX(B78*$N$3*18)</f>
        <v>1200</v>
      </c>
      <c r="G78" s="1" t="str">
        <f aca="false">DEC2HEX(C78*7)</f>
        <v>E</v>
      </c>
      <c r="H78" s="1" t="n">
        <f aca="false">IF(D78=0, 33, "cc")</f>
        <v>33</v>
      </c>
    </row>
    <row r="79" customFormat="false" ht="18.65" hidden="false" customHeight="true" outlineLevel="0" collapsed="false">
      <c r="A79" s="1" t="n">
        <f aca="false">ROW()-2</f>
        <v>77</v>
      </c>
      <c r="B79" s="1" t="n">
        <f aca="false">INT(A79/$N$1)</f>
        <v>4</v>
      </c>
      <c r="C79" s="1" t="n">
        <f aca="false">INT(MOD(A79,$N$1) / 2)</f>
        <v>2</v>
      </c>
      <c r="D79" s="1" t="n">
        <f aca="false">_xlfn.BITAND(A79,1)</f>
        <v>1</v>
      </c>
      <c r="F79" s="1" t="str">
        <f aca="false">DEC2HEX(B79*$N$3*18)</f>
        <v>1200</v>
      </c>
      <c r="G79" s="1" t="str">
        <f aca="false">DEC2HEX(C79*7)</f>
        <v>E</v>
      </c>
      <c r="H79" s="1" t="str">
        <f aca="false">IF(D79=0, 33, "cc")</f>
        <v>cc</v>
      </c>
    </row>
    <row r="80" customFormat="false" ht="18.65" hidden="false" customHeight="true" outlineLevel="0" collapsed="false">
      <c r="A80" s="1" t="n">
        <f aca="false">ROW()-2</f>
        <v>78</v>
      </c>
      <c r="B80" s="1" t="n">
        <f aca="false">INT(A80/$N$1)</f>
        <v>4</v>
      </c>
      <c r="C80" s="1" t="n">
        <f aca="false">INT(MOD(A80,$N$1) / 2)</f>
        <v>3</v>
      </c>
      <c r="D80" s="1" t="n">
        <f aca="false">_xlfn.BITAND(A80,1)</f>
        <v>0</v>
      </c>
      <c r="F80" s="1" t="str">
        <f aca="false">DEC2HEX(B80*$N$3*18)</f>
        <v>1200</v>
      </c>
      <c r="G80" s="1" t="str">
        <f aca="false">DEC2HEX(C80*7)</f>
        <v>15</v>
      </c>
      <c r="H80" s="1" t="n">
        <f aca="false">IF(D80=0, 33, "cc")</f>
        <v>33</v>
      </c>
    </row>
    <row r="81" customFormat="false" ht="18.65" hidden="false" customHeight="true" outlineLevel="0" collapsed="false">
      <c r="A81" s="1" t="n">
        <f aca="false">ROW()-2</f>
        <v>79</v>
      </c>
      <c r="B81" s="1" t="n">
        <f aca="false">INT(A81/$N$1)</f>
        <v>4</v>
      </c>
      <c r="C81" s="1" t="n">
        <f aca="false">INT(MOD(A81,$N$1) / 2)</f>
        <v>3</v>
      </c>
      <c r="D81" s="1" t="n">
        <f aca="false">_xlfn.BITAND(A81,1)</f>
        <v>1</v>
      </c>
      <c r="F81" s="1" t="str">
        <f aca="false">DEC2HEX(B81*$N$3*18)</f>
        <v>1200</v>
      </c>
      <c r="G81" s="1" t="str">
        <f aca="false">DEC2HEX(C81*7)</f>
        <v>15</v>
      </c>
      <c r="H81" s="1" t="str">
        <f aca="false">IF(D81=0, 33, "cc")</f>
        <v>cc</v>
      </c>
    </row>
    <row r="82" customFormat="false" ht="18.65" hidden="false" customHeight="true" outlineLevel="0" collapsed="false">
      <c r="A82" s="1" t="n">
        <f aca="false">ROW()-2</f>
        <v>80</v>
      </c>
      <c r="B82" s="1" t="n">
        <f aca="false">INT(A82/$N$1)</f>
        <v>4</v>
      </c>
      <c r="C82" s="1" t="n">
        <f aca="false">INT(MOD(A82,$N$1) / 2)</f>
        <v>4</v>
      </c>
      <c r="D82" s="1" t="n">
        <f aca="false">_xlfn.BITAND(A82,1)</f>
        <v>0</v>
      </c>
      <c r="F82" s="1" t="str">
        <f aca="false">DEC2HEX(B82*$N$3*18)</f>
        <v>1200</v>
      </c>
      <c r="G82" s="1" t="str">
        <f aca="false">DEC2HEX(C82*7)</f>
        <v>1C</v>
      </c>
      <c r="H82" s="1" t="n">
        <f aca="false">IF(D82=0, 33, "cc")</f>
        <v>33</v>
      </c>
    </row>
    <row r="83" customFormat="false" ht="18.65" hidden="false" customHeight="true" outlineLevel="0" collapsed="false">
      <c r="A83" s="1" t="n">
        <f aca="false">ROW()-2</f>
        <v>81</v>
      </c>
      <c r="B83" s="1" t="n">
        <f aca="false">INT(A83/$N$1)</f>
        <v>4</v>
      </c>
      <c r="C83" s="1" t="n">
        <f aca="false">INT(MOD(A83,$N$1) / 2)</f>
        <v>4</v>
      </c>
      <c r="D83" s="1" t="n">
        <f aca="false">_xlfn.BITAND(A83,1)</f>
        <v>1</v>
      </c>
      <c r="F83" s="1" t="str">
        <f aca="false">DEC2HEX(B83*$N$3*18)</f>
        <v>1200</v>
      </c>
      <c r="G83" s="1" t="str">
        <f aca="false">DEC2HEX(C83*7)</f>
        <v>1C</v>
      </c>
      <c r="H83" s="1" t="str">
        <f aca="false">IF(D83=0, 33, "cc")</f>
        <v>cc</v>
      </c>
    </row>
    <row r="84" customFormat="false" ht="18.65" hidden="false" customHeight="true" outlineLevel="0" collapsed="false">
      <c r="A84" s="1" t="n">
        <f aca="false">ROW()-2</f>
        <v>82</v>
      </c>
      <c r="B84" s="1" t="n">
        <f aca="false">INT(A84/$N$1)</f>
        <v>4</v>
      </c>
      <c r="C84" s="1" t="n">
        <f aca="false">INT(MOD(A84,$N$1) / 2)</f>
        <v>5</v>
      </c>
      <c r="D84" s="1" t="n">
        <f aca="false">_xlfn.BITAND(A84,1)</f>
        <v>0</v>
      </c>
      <c r="F84" s="1" t="str">
        <f aca="false">DEC2HEX(B84*$N$3*18)</f>
        <v>1200</v>
      </c>
      <c r="G84" s="1" t="str">
        <f aca="false">DEC2HEX(C84*7)</f>
        <v>23</v>
      </c>
      <c r="H84" s="1" t="n">
        <f aca="false">IF(D84=0, 33, "cc")</f>
        <v>33</v>
      </c>
    </row>
    <row r="85" customFormat="false" ht="18.65" hidden="false" customHeight="true" outlineLevel="0" collapsed="false">
      <c r="A85" s="1" t="n">
        <f aca="false">ROW()-2</f>
        <v>83</v>
      </c>
      <c r="B85" s="1" t="n">
        <f aca="false">INT(A85/$N$1)</f>
        <v>4</v>
      </c>
      <c r="C85" s="1" t="n">
        <f aca="false">INT(MOD(A85,$N$1) / 2)</f>
        <v>5</v>
      </c>
      <c r="D85" s="1" t="n">
        <f aca="false">_xlfn.BITAND(A85,1)</f>
        <v>1</v>
      </c>
      <c r="F85" s="1" t="str">
        <f aca="false">DEC2HEX(B85*$N$3*18)</f>
        <v>1200</v>
      </c>
      <c r="G85" s="1" t="str">
        <f aca="false">DEC2HEX(C85*7)</f>
        <v>23</v>
      </c>
      <c r="H85" s="1" t="str">
        <f aca="false">IF(D85=0, 33, "cc")</f>
        <v>cc</v>
      </c>
    </row>
    <row r="86" customFormat="false" ht="18.65" hidden="false" customHeight="true" outlineLevel="0" collapsed="false">
      <c r="A86" s="1" t="n">
        <f aca="false">ROW()-2</f>
        <v>84</v>
      </c>
      <c r="B86" s="1" t="n">
        <f aca="false">INT(A86/$N$1)</f>
        <v>4</v>
      </c>
      <c r="C86" s="1" t="n">
        <f aca="false">INT(MOD(A86,$N$1) / 2)</f>
        <v>6</v>
      </c>
      <c r="D86" s="1" t="n">
        <f aca="false">_xlfn.BITAND(A86,1)</f>
        <v>0</v>
      </c>
      <c r="F86" s="1" t="str">
        <f aca="false">DEC2HEX(B86*$N$3*18)</f>
        <v>1200</v>
      </c>
      <c r="G86" s="1" t="str">
        <f aca="false">DEC2HEX(C86*7)</f>
        <v>2A</v>
      </c>
      <c r="H86" s="1" t="n">
        <f aca="false">IF(D86=0, 33, "cc")</f>
        <v>33</v>
      </c>
    </row>
    <row r="87" customFormat="false" ht="18.65" hidden="false" customHeight="true" outlineLevel="0" collapsed="false">
      <c r="A87" s="1" t="n">
        <f aca="false">ROW()-2</f>
        <v>85</v>
      </c>
      <c r="B87" s="1" t="n">
        <f aca="false">INT(A87/$N$1)</f>
        <v>4</v>
      </c>
      <c r="C87" s="1" t="n">
        <f aca="false">INT(MOD(A87,$N$1) / 2)</f>
        <v>6</v>
      </c>
      <c r="D87" s="1" t="n">
        <f aca="false">_xlfn.BITAND(A87,1)</f>
        <v>1</v>
      </c>
      <c r="F87" s="1" t="str">
        <f aca="false">DEC2HEX(B87*$N$3*18)</f>
        <v>1200</v>
      </c>
      <c r="G87" s="1" t="str">
        <f aca="false">DEC2HEX(C87*7)</f>
        <v>2A</v>
      </c>
      <c r="H87" s="1" t="str">
        <f aca="false">IF(D87=0, 33, "cc")</f>
        <v>cc</v>
      </c>
    </row>
    <row r="88" customFormat="false" ht="18.65" hidden="false" customHeight="true" outlineLevel="0" collapsed="false">
      <c r="A88" s="1" t="n">
        <f aca="false">ROW()-2</f>
        <v>86</v>
      </c>
      <c r="B88" s="1" t="n">
        <f aca="false">INT(A88/$N$1)</f>
        <v>4</v>
      </c>
      <c r="C88" s="1" t="n">
        <f aca="false">INT(MOD(A88,$N$1) / 2)</f>
        <v>7</v>
      </c>
      <c r="D88" s="1" t="n">
        <f aca="false">_xlfn.BITAND(A88,1)</f>
        <v>0</v>
      </c>
      <c r="F88" s="1" t="str">
        <f aca="false">DEC2HEX(B88*$N$3*18)</f>
        <v>1200</v>
      </c>
      <c r="G88" s="1" t="str">
        <f aca="false">DEC2HEX(C88*7)</f>
        <v>31</v>
      </c>
      <c r="H88" s="1" t="n">
        <f aca="false">IF(D88=0, 33, "cc")</f>
        <v>33</v>
      </c>
    </row>
    <row r="89" customFormat="false" ht="18.65" hidden="false" customHeight="true" outlineLevel="0" collapsed="false">
      <c r="A89" s="1" t="n">
        <f aca="false">ROW()-2</f>
        <v>87</v>
      </c>
      <c r="B89" s="1" t="n">
        <f aca="false">INT(A89/$N$1)</f>
        <v>4</v>
      </c>
      <c r="C89" s="1" t="n">
        <f aca="false">INT(MOD(A89,$N$1) / 2)</f>
        <v>7</v>
      </c>
      <c r="D89" s="1" t="n">
        <f aca="false">_xlfn.BITAND(A89,1)</f>
        <v>1</v>
      </c>
      <c r="F89" s="1" t="str">
        <f aca="false">DEC2HEX(B89*$N$3*18)</f>
        <v>1200</v>
      </c>
      <c r="G89" s="1" t="str">
        <f aca="false">DEC2HEX(C89*7)</f>
        <v>31</v>
      </c>
      <c r="H89" s="1" t="str">
        <f aca="false">IF(D89=0, 33, "cc")</f>
        <v>cc</v>
      </c>
    </row>
    <row r="90" customFormat="false" ht="18.65" hidden="false" customHeight="true" outlineLevel="0" collapsed="false">
      <c r="A90" s="1" t="n">
        <f aca="false">ROW()-2</f>
        <v>88</v>
      </c>
      <c r="B90" s="1" t="n">
        <f aca="false">INT(A90/$N$1)</f>
        <v>4</v>
      </c>
      <c r="C90" s="1" t="n">
        <f aca="false">INT(MOD(A90,$N$1) / 2)</f>
        <v>8</v>
      </c>
      <c r="D90" s="1" t="n">
        <f aca="false">_xlfn.BITAND(A90,1)</f>
        <v>0</v>
      </c>
      <c r="F90" s="1" t="str">
        <f aca="false">DEC2HEX(B90*$N$3*18)</f>
        <v>1200</v>
      </c>
      <c r="G90" s="1" t="str">
        <f aca="false">DEC2HEX(C90*7)</f>
        <v>38</v>
      </c>
      <c r="H90" s="1" t="n">
        <f aca="false">IF(D90=0, 33, "cc")</f>
        <v>33</v>
      </c>
    </row>
    <row r="91" customFormat="false" ht="18.65" hidden="false" customHeight="true" outlineLevel="0" collapsed="false">
      <c r="A91" s="1" t="n">
        <f aca="false">ROW()-2</f>
        <v>89</v>
      </c>
      <c r="B91" s="1" t="n">
        <f aca="false">INT(A91/$N$1)</f>
        <v>4</v>
      </c>
      <c r="C91" s="1" t="n">
        <f aca="false">INT(MOD(A91,$N$1) / 2)</f>
        <v>8</v>
      </c>
      <c r="D91" s="1" t="n">
        <f aca="false">_xlfn.BITAND(A91,1)</f>
        <v>1</v>
      </c>
      <c r="F91" s="1" t="str">
        <f aca="false">DEC2HEX(B91*$N$3*18)</f>
        <v>1200</v>
      </c>
      <c r="G91" s="1" t="str">
        <f aca="false">DEC2HEX(C91*7)</f>
        <v>38</v>
      </c>
      <c r="H91" s="1" t="str">
        <f aca="false">IF(D91=0, 33, "cc")</f>
        <v>cc</v>
      </c>
    </row>
    <row r="92" customFormat="false" ht="18.65" hidden="false" customHeight="true" outlineLevel="0" collapsed="false">
      <c r="A92" s="1" t="n">
        <f aca="false">ROW()-2</f>
        <v>90</v>
      </c>
      <c r="B92" s="1" t="n">
        <f aca="false">INT(A92/$N$1)</f>
        <v>5</v>
      </c>
      <c r="C92" s="1" t="n">
        <f aca="false">INT(MOD(A92,$N$1) / 2)</f>
        <v>0</v>
      </c>
      <c r="D92" s="1" t="n">
        <f aca="false">_xlfn.BITAND(A92,1)</f>
        <v>0</v>
      </c>
      <c r="F92" s="1" t="str">
        <f aca="false">DEC2HEX(B92*$N$3*18)</f>
        <v>1680</v>
      </c>
      <c r="G92" s="1" t="str">
        <f aca="false">DEC2HEX(C92*7)</f>
        <v>0</v>
      </c>
      <c r="H92" s="1" t="n">
        <f aca="false">IF(D92=0, 33, "cc")</f>
        <v>33</v>
      </c>
    </row>
    <row r="93" customFormat="false" ht="18.65" hidden="false" customHeight="true" outlineLevel="0" collapsed="false">
      <c r="A93" s="1" t="n">
        <f aca="false">ROW()-2</f>
        <v>91</v>
      </c>
      <c r="B93" s="1" t="n">
        <f aca="false">INT(A93/$N$1)</f>
        <v>5</v>
      </c>
      <c r="C93" s="1" t="n">
        <f aca="false">INT(MOD(A93,$N$1) / 2)</f>
        <v>0</v>
      </c>
      <c r="D93" s="1" t="n">
        <f aca="false">_xlfn.BITAND(A93,1)</f>
        <v>1</v>
      </c>
      <c r="F93" s="1" t="str">
        <f aca="false">DEC2HEX(B93*$N$3*18)</f>
        <v>1680</v>
      </c>
      <c r="G93" s="1" t="str">
        <f aca="false">DEC2HEX(C93*7)</f>
        <v>0</v>
      </c>
      <c r="H93" s="1" t="str">
        <f aca="false">IF(D93=0, 33, "cc")</f>
        <v>cc</v>
      </c>
    </row>
    <row r="94" customFormat="false" ht="18.65" hidden="false" customHeight="true" outlineLevel="0" collapsed="false">
      <c r="A94" s="1" t="n">
        <f aca="false">ROW()-2</f>
        <v>92</v>
      </c>
      <c r="B94" s="1" t="n">
        <f aca="false">INT(A94/$N$1)</f>
        <v>5</v>
      </c>
      <c r="C94" s="1" t="n">
        <f aca="false">INT(MOD(A94,$N$1) / 2)</f>
        <v>1</v>
      </c>
      <c r="D94" s="1" t="n">
        <f aca="false">_xlfn.BITAND(A94,1)</f>
        <v>0</v>
      </c>
      <c r="F94" s="1" t="str">
        <f aca="false">DEC2HEX(B94*$N$3*18)</f>
        <v>1680</v>
      </c>
      <c r="G94" s="1" t="str">
        <f aca="false">DEC2HEX(C94*7)</f>
        <v>7</v>
      </c>
      <c r="H94" s="1" t="n">
        <f aca="false">IF(D94=0, 33, "cc")</f>
        <v>33</v>
      </c>
    </row>
    <row r="95" customFormat="false" ht="18.65" hidden="false" customHeight="true" outlineLevel="0" collapsed="false">
      <c r="A95" s="1" t="n">
        <f aca="false">ROW()-2</f>
        <v>93</v>
      </c>
      <c r="B95" s="1" t="n">
        <f aca="false">INT(A95/$N$1)</f>
        <v>5</v>
      </c>
      <c r="C95" s="1" t="n">
        <f aca="false">INT(MOD(A95,$N$1) / 2)</f>
        <v>1</v>
      </c>
      <c r="D95" s="1" t="n">
        <f aca="false">_xlfn.BITAND(A95,1)</f>
        <v>1</v>
      </c>
      <c r="F95" s="1" t="str">
        <f aca="false">DEC2HEX(B95*$N$3*18)</f>
        <v>1680</v>
      </c>
      <c r="G95" s="1" t="str">
        <f aca="false">DEC2HEX(C95*7)</f>
        <v>7</v>
      </c>
      <c r="H95" s="1" t="str">
        <f aca="false">IF(D95=0, 33, "cc")</f>
        <v>cc</v>
      </c>
    </row>
    <row r="96" customFormat="false" ht="18.65" hidden="false" customHeight="true" outlineLevel="0" collapsed="false">
      <c r="A96" s="1" t="n">
        <f aca="false">ROW()-2</f>
        <v>94</v>
      </c>
      <c r="B96" s="1" t="n">
        <f aca="false">INT(A96/$N$1)</f>
        <v>5</v>
      </c>
      <c r="C96" s="1" t="n">
        <f aca="false">INT(MOD(A96,$N$1) / 2)</f>
        <v>2</v>
      </c>
      <c r="D96" s="1" t="n">
        <f aca="false">_xlfn.BITAND(A96,1)</f>
        <v>0</v>
      </c>
      <c r="F96" s="1" t="str">
        <f aca="false">DEC2HEX(B96*$N$3*18)</f>
        <v>1680</v>
      </c>
      <c r="G96" s="1" t="str">
        <f aca="false">DEC2HEX(C96*7)</f>
        <v>E</v>
      </c>
      <c r="H96" s="1" t="n">
        <f aca="false">IF(D96=0, 33, "cc")</f>
        <v>33</v>
      </c>
    </row>
    <row r="97" customFormat="false" ht="18.65" hidden="false" customHeight="true" outlineLevel="0" collapsed="false">
      <c r="A97" s="1" t="n">
        <f aca="false">ROW()-2</f>
        <v>95</v>
      </c>
      <c r="B97" s="1" t="n">
        <f aca="false">INT(A97/$N$1)</f>
        <v>5</v>
      </c>
      <c r="C97" s="1" t="n">
        <f aca="false">INT(MOD(A97,$N$1) / 2)</f>
        <v>2</v>
      </c>
      <c r="D97" s="1" t="n">
        <f aca="false">_xlfn.BITAND(A97,1)</f>
        <v>1</v>
      </c>
      <c r="F97" s="1" t="str">
        <f aca="false">DEC2HEX(B97*$N$3*18)</f>
        <v>1680</v>
      </c>
      <c r="G97" s="1" t="str">
        <f aca="false">DEC2HEX(C97*7)</f>
        <v>E</v>
      </c>
      <c r="H97" s="1" t="str">
        <f aca="false">IF(D97=0, 33, "cc")</f>
        <v>cc</v>
      </c>
    </row>
    <row r="98" customFormat="false" ht="18.65" hidden="false" customHeight="true" outlineLevel="0" collapsed="false">
      <c r="A98" s="1" t="n">
        <f aca="false">ROW()-2</f>
        <v>96</v>
      </c>
      <c r="B98" s="1" t="n">
        <f aca="false">INT(A98/$N$1)</f>
        <v>5</v>
      </c>
      <c r="C98" s="1" t="n">
        <f aca="false">INT(MOD(A98,$N$1) / 2)</f>
        <v>3</v>
      </c>
      <c r="D98" s="1" t="n">
        <f aca="false">_xlfn.BITAND(A98,1)</f>
        <v>0</v>
      </c>
      <c r="F98" s="1" t="str">
        <f aca="false">DEC2HEX(B98*$N$3*18)</f>
        <v>1680</v>
      </c>
      <c r="G98" s="1" t="str">
        <f aca="false">DEC2HEX(C98*7)</f>
        <v>15</v>
      </c>
      <c r="H98" s="1" t="n">
        <f aca="false">IF(D98=0, 33, "cc")</f>
        <v>33</v>
      </c>
    </row>
    <row r="99" customFormat="false" ht="18.65" hidden="false" customHeight="true" outlineLevel="0" collapsed="false">
      <c r="A99" s="1" t="n">
        <f aca="false">ROW()-2</f>
        <v>97</v>
      </c>
      <c r="B99" s="1" t="n">
        <f aca="false">INT(A99/$N$1)</f>
        <v>5</v>
      </c>
      <c r="C99" s="1" t="n">
        <f aca="false">INT(MOD(A99,$N$1) / 2)</f>
        <v>3</v>
      </c>
      <c r="D99" s="1" t="n">
        <f aca="false">_xlfn.BITAND(A99,1)</f>
        <v>1</v>
      </c>
      <c r="F99" s="1" t="str">
        <f aca="false">DEC2HEX(B99*$N$3*18)</f>
        <v>1680</v>
      </c>
      <c r="G99" s="1" t="str">
        <f aca="false">DEC2HEX(C99*7)</f>
        <v>15</v>
      </c>
      <c r="H99" s="1" t="str">
        <f aca="false">IF(D99=0, 33, "cc")</f>
        <v>cc</v>
      </c>
    </row>
    <row r="100" customFormat="false" ht="18.65" hidden="false" customHeight="true" outlineLevel="0" collapsed="false">
      <c r="A100" s="1" t="n">
        <f aca="false">ROW()-2</f>
        <v>98</v>
      </c>
      <c r="B100" s="1" t="n">
        <f aca="false">INT(A100/$N$1)</f>
        <v>5</v>
      </c>
      <c r="C100" s="1" t="n">
        <f aca="false">INT(MOD(A100,$N$1) / 2)</f>
        <v>4</v>
      </c>
      <c r="D100" s="1" t="n">
        <f aca="false">_xlfn.BITAND(A100,1)</f>
        <v>0</v>
      </c>
      <c r="F100" s="1" t="str">
        <f aca="false">DEC2HEX(B100*$N$3*18)</f>
        <v>1680</v>
      </c>
      <c r="G100" s="1" t="str">
        <f aca="false">DEC2HEX(C100*7)</f>
        <v>1C</v>
      </c>
      <c r="H100" s="1" t="n">
        <f aca="false">IF(D100=0, 33, "cc")</f>
        <v>33</v>
      </c>
    </row>
    <row r="101" customFormat="false" ht="18.65" hidden="false" customHeight="true" outlineLevel="0" collapsed="false">
      <c r="A101" s="1" t="n">
        <f aca="false">ROW()-2</f>
        <v>99</v>
      </c>
      <c r="B101" s="1" t="n">
        <f aca="false">INT(A101/$N$1)</f>
        <v>5</v>
      </c>
      <c r="C101" s="1" t="n">
        <f aca="false">INT(MOD(A101,$N$1) / 2)</f>
        <v>4</v>
      </c>
      <c r="D101" s="1" t="n">
        <f aca="false">_xlfn.BITAND(A101,1)</f>
        <v>1</v>
      </c>
      <c r="F101" s="1" t="str">
        <f aca="false">DEC2HEX(B101*$N$3*18)</f>
        <v>1680</v>
      </c>
      <c r="G101" s="1" t="str">
        <f aca="false">DEC2HEX(C101*7)</f>
        <v>1C</v>
      </c>
      <c r="H101" s="1" t="str">
        <f aca="false">IF(D101=0, 33, "cc")</f>
        <v>cc</v>
      </c>
    </row>
    <row r="102" customFormat="false" ht="18.65" hidden="false" customHeight="true" outlineLevel="0" collapsed="false">
      <c r="A102" s="1" t="n">
        <f aca="false">ROW()-2</f>
        <v>100</v>
      </c>
      <c r="B102" s="1" t="n">
        <f aca="false">INT(A102/$N$1)</f>
        <v>5</v>
      </c>
      <c r="C102" s="1" t="n">
        <f aca="false">INT(MOD(A102,$N$1) / 2)</f>
        <v>5</v>
      </c>
      <c r="D102" s="1" t="n">
        <f aca="false">_xlfn.BITAND(A102,1)</f>
        <v>0</v>
      </c>
      <c r="F102" s="1" t="str">
        <f aca="false">DEC2HEX(B102*$N$3*18)</f>
        <v>1680</v>
      </c>
      <c r="G102" s="1" t="str">
        <f aca="false">DEC2HEX(C102*7)</f>
        <v>23</v>
      </c>
      <c r="H102" s="1" t="n">
        <f aca="false">IF(D102=0, 33, "cc")</f>
        <v>33</v>
      </c>
    </row>
    <row r="103" customFormat="false" ht="18.65" hidden="false" customHeight="true" outlineLevel="0" collapsed="false">
      <c r="A103" s="1" t="n">
        <f aca="false">ROW()-2</f>
        <v>101</v>
      </c>
      <c r="B103" s="1" t="n">
        <f aca="false">INT(A103/$N$1)</f>
        <v>5</v>
      </c>
      <c r="C103" s="1" t="n">
        <f aca="false">INT(MOD(A103,$N$1) / 2)</f>
        <v>5</v>
      </c>
      <c r="D103" s="1" t="n">
        <f aca="false">_xlfn.BITAND(A103,1)</f>
        <v>1</v>
      </c>
      <c r="F103" s="1" t="str">
        <f aca="false">DEC2HEX(B103*$N$3*18)</f>
        <v>1680</v>
      </c>
      <c r="G103" s="1" t="str">
        <f aca="false">DEC2HEX(C103*7)</f>
        <v>23</v>
      </c>
      <c r="H103" s="1" t="str">
        <f aca="false">IF(D103=0, 33, "cc")</f>
        <v>cc</v>
      </c>
    </row>
    <row r="104" customFormat="false" ht="18.65" hidden="false" customHeight="true" outlineLevel="0" collapsed="false">
      <c r="A104" s="1" t="n">
        <f aca="false">ROW()-2</f>
        <v>102</v>
      </c>
      <c r="B104" s="1" t="n">
        <f aca="false">INT(A104/$N$1)</f>
        <v>5</v>
      </c>
      <c r="C104" s="1" t="n">
        <f aca="false">INT(MOD(A104,$N$1) / 2)</f>
        <v>6</v>
      </c>
      <c r="D104" s="1" t="n">
        <f aca="false">_xlfn.BITAND(A104,1)</f>
        <v>0</v>
      </c>
      <c r="F104" s="1" t="str">
        <f aca="false">DEC2HEX(B104*$N$3*18)</f>
        <v>1680</v>
      </c>
      <c r="G104" s="1" t="str">
        <f aca="false">DEC2HEX(C104*7)</f>
        <v>2A</v>
      </c>
      <c r="H104" s="1" t="n">
        <f aca="false">IF(D104=0, 33, "cc")</f>
        <v>33</v>
      </c>
    </row>
    <row r="105" customFormat="false" ht="18.65" hidden="false" customHeight="true" outlineLevel="0" collapsed="false">
      <c r="A105" s="1" t="n">
        <f aca="false">ROW()-2</f>
        <v>103</v>
      </c>
      <c r="B105" s="1" t="n">
        <f aca="false">INT(A105/$N$1)</f>
        <v>5</v>
      </c>
      <c r="C105" s="1" t="n">
        <f aca="false">INT(MOD(A105,$N$1) / 2)</f>
        <v>6</v>
      </c>
      <c r="D105" s="1" t="n">
        <f aca="false">_xlfn.BITAND(A105,1)</f>
        <v>1</v>
      </c>
      <c r="F105" s="1" t="str">
        <f aca="false">DEC2HEX(B105*$N$3*18)</f>
        <v>1680</v>
      </c>
      <c r="G105" s="1" t="str">
        <f aca="false">DEC2HEX(C105*7)</f>
        <v>2A</v>
      </c>
      <c r="H105" s="1" t="str">
        <f aca="false">IF(D105=0, 33, "cc")</f>
        <v>cc</v>
      </c>
    </row>
    <row r="106" customFormat="false" ht="18.65" hidden="false" customHeight="true" outlineLevel="0" collapsed="false">
      <c r="A106" s="1" t="n">
        <f aca="false">ROW()-2</f>
        <v>104</v>
      </c>
      <c r="B106" s="1" t="n">
        <f aca="false">INT(A106/$N$1)</f>
        <v>5</v>
      </c>
      <c r="C106" s="1" t="n">
        <f aca="false">INT(MOD(A106,$N$1) / 2)</f>
        <v>7</v>
      </c>
      <c r="D106" s="1" t="n">
        <f aca="false">_xlfn.BITAND(A106,1)</f>
        <v>0</v>
      </c>
      <c r="F106" s="1" t="str">
        <f aca="false">DEC2HEX(B106*$N$3*18)</f>
        <v>1680</v>
      </c>
      <c r="G106" s="1" t="str">
        <f aca="false">DEC2HEX(C106*7)</f>
        <v>31</v>
      </c>
      <c r="H106" s="1" t="n">
        <f aca="false">IF(D106=0, 33, "cc")</f>
        <v>33</v>
      </c>
    </row>
    <row r="107" customFormat="false" ht="18.65" hidden="false" customHeight="true" outlineLevel="0" collapsed="false">
      <c r="A107" s="1" t="n">
        <f aca="false">ROW()-2</f>
        <v>105</v>
      </c>
      <c r="B107" s="1" t="n">
        <f aca="false">INT(A107/$N$1)</f>
        <v>5</v>
      </c>
      <c r="C107" s="1" t="n">
        <f aca="false">INT(MOD(A107,$N$1) / 2)</f>
        <v>7</v>
      </c>
      <c r="D107" s="1" t="n">
        <f aca="false">_xlfn.BITAND(A107,1)</f>
        <v>1</v>
      </c>
      <c r="F107" s="1" t="str">
        <f aca="false">DEC2HEX(B107*$N$3*18)</f>
        <v>1680</v>
      </c>
      <c r="G107" s="1" t="str">
        <f aca="false">DEC2HEX(C107*7)</f>
        <v>31</v>
      </c>
      <c r="H107" s="1" t="str">
        <f aca="false">IF(D107=0, 33, "cc")</f>
        <v>cc</v>
      </c>
    </row>
    <row r="108" customFormat="false" ht="18.65" hidden="false" customHeight="true" outlineLevel="0" collapsed="false">
      <c r="A108" s="1" t="n">
        <f aca="false">ROW()-2</f>
        <v>106</v>
      </c>
      <c r="B108" s="1" t="n">
        <f aca="false">INT(A108/$N$1)</f>
        <v>5</v>
      </c>
      <c r="C108" s="1" t="n">
        <f aca="false">INT(MOD(A108,$N$1) / 2)</f>
        <v>8</v>
      </c>
      <c r="D108" s="1" t="n">
        <f aca="false">_xlfn.BITAND(A108,1)</f>
        <v>0</v>
      </c>
      <c r="F108" s="1" t="str">
        <f aca="false">DEC2HEX(B108*$N$3*18)</f>
        <v>1680</v>
      </c>
      <c r="G108" s="1" t="str">
        <f aca="false">DEC2HEX(C108*7)</f>
        <v>38</v>
      </c>
      <c r="H108" s="1" t="n">
        <f aca="false">IF(D108=0, 33, "cc")</f>
        <v>33</v>
      </c>
    </row>
    <row r="109" customFormat="false" ht="18.65" hidden="false" customHeight="true" outlineLevel="0" collapsed="false">
      <c r="A109" s="1" t="n">
        <f aca="false">ROW()-2</f>
        <v>107</v>
      </c>
      <c r="B109" s="1" t="n">
        <f aca="false">INT(A109/$N$1)</f>
        <v>5</v>
      </c>
      <c r="C109" s="1" t="n">
        <f aca="false">INT(MOD(A109,$N$1) / 2)</f>
        <v>8</v>
      </c>
      <c r="D109" s="1" t="n">
        <f aca="false">_xlfn.BITAND(A109,1)</f>
        <v>1</v>
      </c>
      <c r="F109" s="1" t="str">
        <f aca="false">DEC2HEX(B109*$N$3*18)</f>
        <v>1680</v>
      </c>
      <c r="G109" s="1" t="str">
        <f aca="false">DEC2HEX(C109*7)</f>
        <v>38</v>
      </c>
      <c r="H109" s="1" t="str">
        <f aca="false">IF(D109=0, 33, "cc")</f>
        <v>cc</v>
      </c>
    </row>
    <row r="110" customFormat="false" ht="18.65" hidden="false" customHeight="true" outlineLevel="0" collapsed="false">
      <c r="A110" s="1" t="n">
        <f aca="false">ROW()-2</f>
        <v>108</v>
      </c>
      <c r="B110" s="1" t="n">
        <f aca="false">INT(A110/$N$1)</f>
        <v>6</v>
      </c>
      <c r="C110" s="1" t="n">
        <f aca="false">INT(MOD(A110,$N$1) / 2)</f>
        <v>0</v>
      </c>
      <c r="D110" s="1" t="n">
        <f aca="false">_xlfn.BITAND(A110,1)</f>
        <v>0</v>
      </c>
      <c r="F110" s="1" t="str">
        <f aca="false">DEC2HEX(B110*$N$3*18)</f>
        <v>1B00</v>
      </c>
      <c r="G110" s="1" t="str">
        <f aca="false">DEC2HEX(C110*7)</f>
        <v>0</v>
      </c>
      <c r="H110" s="1" t="n">
        <f aca="false">IF(D110=0, 33, "cc")</f>
        <v>33</v>
      </c>
    </row>
    <row r="111" customFormat="false" ht="18.65" hidden="false" customHeight="true" outlineLevel="0" collapsed="false">
      <c r="A111" s="1" t="n">
        <f aca="false">ROW()-2</f>
        <v>109</v>
      </c>
      <c r="B111" s="1" t="n">
        <f aca="false">INT(A111/$N$1)</f>
        <v>6</v>
      </c>
      <c r="C111" s="1" t="n">
        <f aca="false">INT(MOD(A111,$N$1) / 2)</f>
        <v>0</v>
      </c>
      <c r="D111" s="1" t="n">
        <f aca="false">_xlfn.BITAND(A111,1)</f>
        <v>1</v>
      </c>
      <c r="F111" s="1" t="str">
        <f aca="false">DEC2HEX(B111*$N$3*18)</f>
        <v>1B00</v>
      </c>
      <c r="G111" s="1" t="str">
        <f aca="false">DEC2HEX(C111*7)</f>
        <v>0</v>
      </c>
      <c r="H111" s="1" t="str">
        <f aca="false">IF(D111=0, 33, "cc")</f>
        <v>cc</v>
      </c>
    </row>
    <row r="112" customFormat="false" ht="18.65" hidden="false" customHeight="true" outlineLevel="0" collapsed="false">
      <c r="A112" s="1" t="n">
        <f aca="false">ROW()-2</f>
        <v>110</v>
      </c>
      <c r="B112" s="1" t="n">
        <f aca="false">INT(A112/$N$1)</f>
        <v>6</v>
      </c>
      <c r="C112" s="1" t="n">
        <f aca="false">INT(MOD(A112,$N$1) / 2)</f>
        <v>1</v>
      </c>
      <c r="D112" s="1" t="n">
        <f aca="false">_xlfn.BITAND(A112,1)</f>
        <v>0</v>
      </c>
      <c r="F112" s="1" t="str">
        <f aca="false">DEC2HEX(B112*$N$3*18)</f>
        <v>1B00</v>
      </c>
      <c r="G112" s="1" t="str">
        <f aca="false">DEC2HEX(C112*7)</f>
        <v>7</v>
      </c>
      <c r="H112" s="1" t="n">
        <f aca="false">IF(D112=0, 33, "cc")</f>
        <v>33</v>
      </c>
    </row>
    <row r="113" customFormat="false" ht="18.65" hidden="false" customHeight="true" outlineLevel="0" collapsed="false">
      <c r="A113" s="1" t="n">
        <f aca="false">ROW()-2</f>
        <v>111</v>
      </c>
      <c r="B113" s="1" t="n">
        <f aca="false">INT(A113/$N$1)</f>
        <v>6</v>
      </c>
      <c r="C113" s="1" t="n">
        <f aca="false">INT(MOD(A113,$N$1) / 2)</f>
        <v>1</v>
      </c>
      <c r="D113" s="1" t="n">
        <f aca="false">_xlfn.BITAND(A113,1)</f>
        <v>1</v>
      </c>
      <c r="F113" s="1" t="str">
        <f aca="false">DEC2HEX(B113*$N$3*18)</f>
        <v>1B00</v>
      </c>
      <c r="G113" s="1" t="str">
        <f aca="false">DEC2HEX(C113*7)</f>
        <v>7</v>
      </c>
      <c r="H113" s="1" t="str">
        <f aca="false">IF(D113=0, 33, "cc")</f>
        <v>cc</v>
      </c>
    </row>
    <row r="114" customFormat="false" ht="18.65" hidden="false" customHeight="true" outlineLevel="0" collapsed="false">
      <c r="A114" s="1" t="n">
        <f aca="false">ROW()-2</f>
        <v>112</v>
      </c>
      <c r="B114" s="1" t="n">
        <f aca="false">INT(A114/$N$1)</f>
        <v>6</v>
      </c>
      <c r="C114" s="1" t="n">
        <f aca="false">INT(MOD(A114,$N$1) / 2)</f>
        <v>2</v>
      </c>
      <c r="D114" s="1" t="n">
        <f aca="false">_xlfn.BITAND(A114,1)</f>
        <v>0</v>
      </c>
      <c r="F114" s="1" t="str">
        <f aca="false">DEC2HEX(B114*$N$3*18)</f>
        <v>1B00</v>
      </c>
      <c r="G114" s="1" t="str">
        <f aca="false">DEC2HEX(C114*7)</f>
        <v>E</v>
      </c>
      <c r="H114" s="1" t="n">
        <f aca="false">IF(D114=0, 33, "cc")</f>
        <v>33</v>
      </c>
    </row>
    <row r="115" customFormat="false" ht="18.65" hidden="false" customHeight="true" outlineLevel="0" collapsed="false">
      <c r="A115" s="1" t="n">
        <f aca="false">ROW()-2</f>
        <v>113</v>
      </c>
      <c r="B115" s="1" t="n">
        <f aca="false">INT(A115/$N$1)</f>
        <v>6</v>
      </c>
      <c r="C115" s="1" t="n">
        <f aca="false">INT(MOD(A115,$N$1) / 2)</f>
        <v>2</v>
      </c>
      <c r="D115" s="1" t="n">
        <f aca="false">_xlfn.BITAND(A115,1)</f>
        <v>1</v>
      </c>
      <c r="F115" s="1" t="str">
        <f aca="false">DEC2HEX(B115*$N$3*18)</f>
        <v>1B00</v>
      </c>
      <c r="G115" s="1" t="str">
        <f aca="false">DEC2HEX(C115*7)</f>
        <v>E</v>
      </c>
      <c r="H115" s="1" t="str">
        <f aca="false">IF(D115=0, 33, "cc")</f>
        <v>cc</v>
      </c>
    </row>
    <row r="116" customFormat="false" ht="18.65" hidden="false" customHeight="true" outlineLevel="0" collapsed="false">
      <c r="A116" s="1" t="n">
        <f aca="false">ROW()-2</f>
        <v>114</v>
      </c>
      <c r="B116" s="1" t="n">
        <f aca="false">INT(A116/$N$1)</f>
        <v>6</v>
      </c>
      <c r="C116" s="1" t="n">
        <f aca="false">INT(MOD(A116,$N$1) / 2)</f>
        <v>3</v>
      </c>
      <c r="D116" s="1" t="n">
        <f aca="false">_xlfn.BITAND(A116,1)</f>
        <v>0</v>
      </c>
      <c r="F116" s="1" t="str">
        <f aca="false">DEC2HEX(B116*$N$3*18)</f>
        <v>1B00</v>
      </c>
      <c r="G116" s="1" t="str">
        <f aca="false">DEC2HEX(C116*7)</f>
        <v>15</v>
      </c>
      <c r="H116" s="1" t="n">
        <f aca="false">IF(D116=0, 33, "cc")</f>
        <v>33</v>
      </c>
    </row>
    <row r="117" customFormat="false" ht="18.65" hidden="false" customHeight="true" outlineLevel="0" collapsed="false">
      <c r="A117" s="1" t="n">
        <f aca="false">ROW()-2</f>
        <v>115</v>
      </c>
      <c r="B117" s="1" t="n">
        <f aca="false">INT(A117/$N$1)</f>
        <v>6</v>
      </c>
      <c r="C117" s="1" t="n">
        <f aca="false">INT(MOD(A117,$N$1) / 2)</f>
        <v>3</v>
      </c>
      <c r="D117" s="1" t="n">
        <f aca="false">_xlfn.BITAND(A117,1)</f>
        <v>1</v>
      </c>
      <c r="F117" s="1" t="str">
        <f aca="false">DEC2HEX(B117*$N$3*18)</f>
        <v>1B00</v>
      </c>
      <c r="G117" s="1" t="str">
        <f aca="false">DEC2HEX(C117*7)</f>
        <v>15</v>
      </c>
      <c r="H117" s="1" t="str">
        <f aca="false">IF(D117=0, 33, "cc")</f>
        <v>cc</v>
      </c>
    </row>
    <row r="118" customFormat="false" ht="18.65" hidden="false" customHeight="true" outlineLevel="0" collapsed="false">
      <c r="A118" s="1" t="n">
        <f aca="false">ROW()-2</f>
        <v>116</v>
      </c>
      <c r="B118" s="1" t="n">
        <f aca="false">INT(A118/$N$1)</f>
        <v>6</v>
      </c>
      <c r="C118" s="1" t="n">
        <f aca="false">INT(MOD(A118,$N$1) / 2)</f>
        <v>4</v>
      </c>
      <c r="D118" s="1" t="n">
        <f aca="false">_xlfn.BITAND(A118,1)</f>
        <v>0</v>
      </c>
      <c r="F118" s="1" t="str">
        <f aca="false">DEC2HEX(B118*$N$3*18)</f>
        <v>1B00</v>
      </c>
      <c r="G118" s="1" t="str">
        <f aca="false">DEC2HEX(C118*7)</f>
        <v>1C</v>
      </c>
      <c r="H118" s="1" t="n">
        <f aca="false">IF(D118=0, 33, "cc")</f>
        <v>33</v>
      </c>
    </row>
    <row r="119" customFormat="false" ht="18.65" hidden="false" customHeight="true" outlineLevel="0" collapsed="false">
      <c r="A119" s="1" t="n">
        <f aca="false">ROW()-2</f>
        <v>117</v>
      </c>
      <c r="B119" s="1" t="n">
        <f aca="false">INT(A119/$N$1)</f>
        <v>6</v>
      </c>
      <c r="C119" s="1" t="n">
        <f aca="false">INT(MOD(A119,$N$1) / 2)</f>
        <v>4</v>
      </c>
      <c r="D119" s="1" t="n">
        <f aca="false">_xlfn.BITAND(A119,1)</f>
        <v>1</v>
      </c>
      <c r="F119" s="1" t="str">
        <f aca="false">DEC2HEX(B119*$N$3*18)</f>
        <v>1B00</v>
      </c>
      <c r="G119" s="1" t="str">
        <f aca="false">DEC2HEX(C119*7)</f>
        <v>1C</v>
      </c>
      <c r="H119" s="1" t="str">
        <f aca="false">IF(D119=0, 33, "cc")</f>
        <v>cc</v>
      </c>
    </row>
    <row r="120" customFormat="false" ht="18.65" hidden="false" customHeight="true" outlineLevel="0" collapsed="false">
      <c r="A120" s="1" t="n">
        <f aca="false">ROW()-2</f>
        <v>118</v>
      </c>
      <c r="B120" s="1" t="n">
        <f aca="false">INT(A120/$N$1)</f>
        <v>6</v>
      </c>
      <c r="C120" s="1" t="n">
        <f aca="false">INT(MOD(A120,$N$1) / 2)</f>
        <v>5</v>
      </c>
      <c r="D120" s="1" t="n">
        <f aca="false">_xlfn.BITAND(A120,1)</f>
        <v>0</v>
      </c>
      <c r="F120" s="1" t="str">
        <f aca="false">DEC2HEX(B120*$N$3*18)</f>
        <v>1B00</v>
      </c>
      <c r="G120" s="1" t="str">
        <f aca="false">DEC2HEX(C120*7)</f>
        <v>23</v>
      </c>
      <c r="H120" s="1" t="n">
        <f aca="false">IF(D120=0, 33, "cc")</f>
        <v>33</v>
      </c>
    </row>
    <row r="121" customFormat="false" ht="18.65" hidden="false" customHeight="true" outlineLevel="0" collapsed="false">
      <c r="A121" s="1" t="n">
        <f aca="false">ROW()-2</f>
        <v>119</v>
      </c>
      <c r="B121" s="1" t="n">
        <f aca="false">INT(A121/$N$1)</f>
        <v>6</v>
      </c>
      <c r="C121" s="1" t="n">
        <f aca="false">INT(MOD(A121,$N$1) / 2)</f>
        <v>5</v>
      </c>
      <c r="D121" s="1" t="n">
        <f aca="false">_xlfn.BITAND(A121,1)</f>
        <v>1</v>
      </c>
      <c r="F121" s="1" t="str">
        <f aca="false">DEC2HEX(B121*$N$3*18)</f>
        <v>1B00</v>
      </c>
      <c r="G121" s="1" t="str">
        <f aca="false">DEC2HEX(C121*7)</f>
        <v>23</v>
      </c>
      <c r="H121" s="1" t="str">
        <f aca="false">IF(D121=0, 33, "cc")</f>
        <v>cc</v>
      </c>
    </row>
    <row r="122" customFormat="false" ht="18.65" hidden="false" customHeight="true" outlineLevel="0" collapsed="false">
      <c r="A122" s="1" t="n">
        <f aca="false">ROW()-2</f>
        <v>120</v>
      </c>
      <c r="B122" s="1" t="n">
        <f aca="false">INT(A122/$N$1)</f>
        <v>6</v>
      </c>
      <c r="C122" s="1" t="n">
        <f aca="false">INT(MOD(A122,$N$1) / 2)</f>
        <v>6</v>
      </c>
      <c r="D122" s="1" t="n">
        <f aca="false">_xlfn.BITAND(A122,1)</f>
        <v>0</v>
      </c>
      <c r="F122" s="1" t="str">
        <f aca="false">DEC2HEX(B122*$N$3*18)</f>
        <v>1B00</v>
      </c>
      <c r="G122" s="1" t="str">
        <f aca="false">DEC2HEX(C122*7)</f>
        <v>2A</v>
      </c>
      <c r="H122" s="1" t="n">
        <f aca="false">IF(D122=0, 33, "cc")</f>
        <v>33</v>
      </c>
    </row>
    <row r="123" customFormat="false" ht="18.65" hidden="false" customHeight="true" outlineLevel="0" collapsed="false">
      <c r="A123" s="1" t="n">
        <f aca="false">ROW()-2</f>
        <v>121</v>
      </c>
      <c r="B123" s="1" t="n">
        <f aca="false">INT(A123/$N$1)</f>
        <v>6</v>
      </c>
      <c r="C123" s="1" t="n">
        <f aca="false">INT(MOD(A123,$N$1) / 2)</f>
        <v>6</v>
      </c>
      <c r="D123" s="1" t="n">
        <f aca="false">_xlfn.BITAND(A123,1)</f>
        <v>1</v>
      </c>
      <c r="F123" s="1" t="str">
        <f aca="false">DEC2HEX(B123*$N$3*18)</f>
        <v>1B00</v>
      </c>
      <c r="G123" s="1" t="str">
        <f aca="false">DEC2HEX(C123*7)</f>
        <v>2A</v>
      </c>
      <c r="H123" s="1" t="str">
        <f aca="false">IF(D123=0, 33, "cc")</f>
        <v>cc</v>
      </c>
    </row>
    <row r="124" customFormat="false" ht="18.65" hidden="false" customHeight="true" outlineLevel="0" collapsed="false">
      <c r="A124" s="1" t="n">
        <f aca="false">ROW()-2</f>
        <v>122</v>
      </c>
      <c r="B124" s="1" t="n">
        <f aca="false">INT(A124/$N$1)</f>
        <v>6</v>
      </c>
      <c r="C124" s="1" t="n">
        <f aca="false">INT(MOD(A124,$N$1) / 2)</f>
        <v>7</v>
      </c>
      <c r="D124" s="1" t="n">
        <f aca="false">_xlfn.BITAND(A124,1)</f>
        <v>0</v>
      </c>
      <c r="F124" s="1" t="str">
        <f aca="false">DEC2HEX(B124*$N$3*18)</f>
        <v>1B00</v>
      </c>
      <c r="G124" s="1" t="str">
        <f aca="false">DEC2HEX(C124*7)</f>
        <v>31</v>
      </c>
      <c r="H124" s="1" t="n">
        <f aca="false">IF(D124=0, 33, "cc")</f>
        <v>33</v>
      </c>
    </row>
    <row r="125" customFormat="false" ht="18.65" hidden="false" customHeight="true" outlineLevel="0" collapsed="false">
      <c r="A125" s="1" t="n">
        <f aca="false">ROW()-2</f>
        <v>123</v>
      </c>
      <c r="B125" s="1" t="n">
        <f aca="false">INT(A125/$N$1)</f>
        <v>6</v>
      </c>
      <c r="C125" s="1" t="n">
        <f aca="false">INT(MOD(A125,$N$1) / 2)</f>
        <v>7</v>
      </c>
      <c r="D125" s="1" t="n">
        <f aca="false">_xlfn.BITAND(A125,1)</f>
        <v>1</v>
      </c>
      <c r="F125" s="1" t="str">
        <f aca="false">DEC2HEX(B125*$N$3*18)</f>
        <v>1B00</v>
      </c>
      <c r="G125" s="1" t="str">
        <f aca="false">DEC2HEX(C125*7)</f>
        <v>31</v>
      </c>
      <c r="H125" s="1" t="str">
        <f aca="false">IF(D125=0, 33, "cc")</f>
        <v>cc</v>
      </c>
    </row>
    <row r="126" customFormat="false" ht="18.65" hidden="false" customHeight="true" outlineLevel="0" collapsed="false">
      <c r="A126" s="1" t="n">
        <f aca="false">ROW()-2</f>
        <v>124</v>
      </c>
      <c r="B126" s="1" t="n">
        <f aca="false">INT(A126/$N$1)</f>
        <v>6</v>
      </c>
      <c r="C126" s="1" t="n">
        <f aca="false">INT(MOD(A126,$N$1) / 2)</f>
        <v>8</v>
      </c>
      <c r="D126" s="1" t="n">
        <f aca="false">_xlfn.BITAND(A126,1)</f>
        <v>0</v>
      </c>
      <c r="F126" s="1" t="str">
        <f aca="false">DEC2HEX(B126*$N$3*18)</f>
        <v>1B00</v>
      </c>
      <c r="G126" s="1" t="str">
        <f aca="false">DEC2HEX(C126*7)</f>
        <v>38</v>
      </c>
      <c r="H126" s="1" t="n">
        <f aca="false">IF(D126=0, 33, "cc")</f>
        <v>33</v>
      </c>
    </row>
    <row r="127" customFormat="false" ht="18.65" hidden="false" customHeight="true" outlineLevel="0" collapsed="false">
      <c r="A127" s="1" t="n">
        <f aca="false">ROW()-2</f>
        <v>125</v>
      </c>
      <c r="B127" s="1" t="n">
        <f aca="false">INT(A127/$N$1)</f>
        <v>6</v>
      </c>
      <c r="C127" s="1" t="n">
        <f aca="false">INT(MOD(A127,$N$1) / 2)</f>
        <v>8</v>
      </c>
      <c r="D127" s="1" t="n">
        <f aca="false">_xlfn.BITAND(A127,1)</f>
        <v>1</v>
      </c>
      <c r="F127" s="1" t="str">
        <f aca="false">DEC2HEX(B127*$N$3*18)</f>
        <v>1B00</v>
      </c>
      <c r="G127" s="1" t="str">
        <f aca="false">DEC2HEX(C127*7)</f>
        <v>38</v>
      </c>
      <c r="H127" s="1" t="str">
        <f aca="false">IF(D127=0, 33, "cc")</f>
        <v>cc</v>
      </c>
    </row>
    <row r="128" customFormat="false" ht="18.65" hidden="false" customHeight="true" outlineLevel="0" collapsed="false">
      <c r="A128" s="1" t="n">
        <f aca="false">ROW()-2</f>
        <v>126</v>
      </c>
      <c r="B128" s="1" t="n">
        <f aca="false">INT(A128/$N$1)</f>
        <v>7</v>
      </c>
      <c r="C128" s="1" t="n">
        <f aca="false">INT(MOD(A128,$N$1) / 2)</f>
        <v>0</v>
      </c>
      <c r="D128" s="1" t="n">
        <f aca="false">_xlfn.BITAND(A128,1)</f>
        <v>0</v>
      </c>
      <c r="F128" s="1" t="str">
        <f aca="false">DEC2HEX(B128*$N$3*18)</f>
        <v>1F80</v>
      </c>
      <c r="G128" s="1" t="str">
        <f aca="false">DEC2HEX(C128*7)</f>
        <v>0</v>
      </c>
      <c r="H128" s="1" t="n">
        <f aca="false">IF(D128=0, 33, "cc")</f>
        <v>33</v>
      </c>
    </row>
    <row r="129" customFormat="false" ht="18.65" hidden="false" customHeight="true" outlineLevel="0" collapsed="false">
      <c r="A129" s="1" t="n">
        <f aca="false">ROW()-2</f>
        <v>127</v>
      </c>
      <c r="B129" s="1" t="n">
        <f aca="false">INT(A129/$N$1)</f>
        <v>7</v>
      </c>
      <c r="C129" s="1" t="n">
        <f aca="false">INT(MOD(A129,$N$1) / 2)</f>
        <v>0</v>
      </c>
      <c r="D129" s="1" t="n">
        <f aca="false">_xlfn.BITAND(A129,1)</f>
        <v>1</v>
      </c>
      <c r="F129" s="1" t="str">
        <f aca="false">DEC2HEX(B129*$N$3*18)</f>
        <v>1F80</v>
      </c>
      <c r="G129" s="1" t="str">
        <f aca="false">DEC2HEX(C129*7)</f>
        <v>0</v>
      </c>
      <c r="H129" s="1" t="str">
        <f aca="false">IF(D129=0, 33, "cc")</f>
        <v>cc</v>
      </c>
    </row>
    <row r="130" customFormat="false" ht="18.65" hidden="false" customHeight="true" outlineLevel="0" collapsed="false">
      <c r="A130" s="1" t="n">
        <f aca="false">ROW()-2</f>
        <v>128</v>
      </c>
      <c r="B130" s="1" t="n">
        <f aca="false">INT(A130/$N$1)</f>
        <v>7</v>
      </c>
      <c r="C130" s="1" t="n">
        <f aca="false">INT(MOD(A130,$N$1) / 2)</f>
        <v>1</v>
      </c>
      <c r="D130" s="1" t="n">
        <f aca="false">_xlfn.BITAND(A130,1)</f>
        <v>0</v>
      </c>
      <c r="F130" s="1" t="str">
        <f aca="false">DEC2HEX(B130*$N$3*18)</f>
        <v>1F80</v>
      </c>
      <c r="G130" s="1" t="str">
        <f aca="false">DEC2HEX(C130*7)</f>
        <v>7</v>
      </c>
      <c r="H130" s="1" t="n">
        <f aca="false">IF(D130=0, 33, "cc")</f>
        <v>33</v>
      </c>
    </row>
    <row r="131" customFormat="false" ht="18.65" hidden="false" customHeight="true" outlineLevel="0" collapsed="false">
      <c r="A131" s="1" t="n">
        <f aca="false">ROW()-2</f>
        <v>129</v>
      </c>
      <c r="B131" s="1" t="n">
        <f aca="false">INT(A131/$N$1)</f>
        <v>7</v>
      </c>
      <c r="C131" s="1" t="n">
        <f aca="false">INT(MOD(A131,$N$1) / 2)</f>
        <v>1</v>
      </c>
      <c r="D131" s="1" t="n">
        <f aca="false">_xlfn.BITAND(A131,1)</f>
        <v>1</v>
      </c>
      <c r="F131" s="1" t="str">
        <f aca="false">DEC2HEX(B131*$N$3*18)</f>
        <v>1F80</v>
      </c>
      <c r="G131" s="1" t="str">
        <f aca="false">DEC2HEX(C131*7)</f>
        <v>7</v>
      </c>
      <c r="H131" s="1" t="str">
        <f aca="false">IF(D131=0, 33, "cc")</f>
        <v>cc</v>
      </c>
    </row>
    <row r="132" customFormat="false" ht="18.65" hidden="false" customHeight="true" outlineLevel="0" collapsed="false">
      <c r="A132" s="1" t="n">
        <f aca="false">ROW()-2</f>
        <v>130</v>
      </c>
      <c r="B132" s="1" t="n">
        <f aca="false">INT(A132/$N$1)</f>
        <v>7</v>
      </c>
      <c r="C132" s="1" t="n">
        <f aca="false">INT(MOD(A132,$N$1) / 2)</f>
        <v>2</v>
      </c>
      <c r="D132" s="1" t="n">
        <f aca="false">_xlfn.BITAND(A132,1)</f>
        <v>0</v>
      </c>
      <c r="F132" s="1" t="str">
        <f aca="false">DEC2HEX(B132*$N$3*18)</f>
        <v>1F80</v>
      </c>
      <c r="G132" s="1" t="str">
        <f aca="false">DEC2HEX(C132*7)</f>
        <v>E</v>
      </c>
      <c r="H132" s="1" t="n">
        <f aca="false">IF(D132=0, 33, "cc")</f>
        <v>33</v>
      </c>
    </row>
    <row r="133" customFormat="false" ht="18.65" hidden="false" customHeight="true" outlineLevel="0" collapsed="false">
      <c r="A133" s="1" t="n">
        <f aca="false">ROW()-2</f>
        <v>131</v>
      </c>
      <c r="B133" s="1" t="n">
        <f aca="false">INT(A133/$N$1)</f>
        <v>7</v>
      </c>
      <c r="C133" s="1" t="n">
        <f aca="false">INT(MOD(A133,$N$1) / 2)</f>
        <v>2</v>
      </c>
      <c r="D133" s="1" t="n">
        <f aca="false">_xlfn.BITAND(A133,1)</f>
        <v>1</v>
      </c>
      <c r="F133" s="1" t="str">
        <f aca="false">DEC2HEX(B133*$N$3*18)</f>
        <v>1F80</v>
      </c>
      <c r="G133" s="1" t="str">
        <f aca="false">DEC2HEX(C133*7)</f>
        <v>E</v>
      </c>
      <c r="H133" s="1" t="str">
        <f aca="false">IF(D133=0, 33, "cc")</f>
        <v>cc</v>
      </c>
    </row>
    <row r="134" customFormat="false" ht="18.65" hidden="false" customHeight="true" outlineLevel="0" collapsed="false">
      <c r="A134" s="1" t="n">
        <f aca="false">ROW()-2</f>
        <v>132</v>
      </c>
      <c r="B134" s="1" t="n">
        <f aca="false">INT(A134/$N$1)</f>
        <v>7</v>
      </c>
      <c r="C134" s="1" t="n">
        <f aca="false">INT(MOD(A134,$N$1) / 2)</f>
        <v>3</v>
      </c>
      <c r="D134" s="1" t="n">
        <f aca="false">_xlfn.BITAND(A134,1)</f>
        <v>0</v>
      </c>
      <c r="F134" s="1" t="str">
        <f aca="false">DEC2HEX(B134*$N$3*18)</f>
        <v>1F80</v>
      </c>
      <c r="G134" s="1" t="str">
        <f aca="false">DEC2HEX(C134*7)</f>
        <v>15</v>
      </c>
      <c r="H134" s="1" t="n">
        <f aca="false">IF(D134=0, 33, "cc")</f>
        <v>33</v>
      </c>
    </row>
    <row r="135" customFormat="false" ht="18.65" hidden="false" customHeight="true" outlineLevel="0" collapsed="false">
      <c r="A135" s="1" t="n">
        <f aca="false">ROW()-2</f>
        <v>133</v>
      </c>
      <c r="B135" s="1" t="n">
        <f aca="false">INT(A135/$N$1)</f>
        <v>7</v>
      </c>
      <c r="C135" s="1" t="n">
        <f aca="false">INT(MOD(A135,$N$1) / 2)</f>
        <v>3</v>
      </c>
      <c r="D135" s="1" t="n">
        <f aca="false">_xlfn.BITAND(A135,1)</f>
        <v>1</v>
      </c>
      <c r="F135" s="1" t="str">
        <f aca="false">DEC2HEX(B135*$N$3*18)</f>
        <v>1F80</v>
      </c>
      <c r="G135" s="1" t="str">
        <f aca="false">DEC2HEX(C135*7)</f>
        <v>15</v>
      </c>
      <c r="H135" s="1" t="str">
        <f aca="false">IF(D135=0, 33, "cc")</f>
        <v>cc</v>
      </c>
    </row>
    <row r="136" customFormat="false" ht="18.65" hidden="false" customHeight="true" outlineLevel="0" collapsed="false">
      <c r="A136" s="1" t="n">
        <f aca="false">ROW()-2</f>
        <v>134</v>
      </c>
      <c r="B136" s="1" t="n">
        <f aca="false">INT(A136/$N$1)</f>
        <v>7</v>
      </c>
      <c r="C136" s="1" t="n">
        <f aca="false">INT(MOD(A136,$N$1) / 2)</f>
        <v>4</v>
      </c>
      <c r="D136" s="1" t="n">
        <f aca="false">_xlfn.BITAND(A136,1)</f>
        <v>0</v>
      </c>
      <c r="F136" s="1" t="str">
        <f aca="false">DEC2HEX(B136*$N$3*18)</f>
        <v>1F80</v>
      </c>
      <c r="G136" s="1" t="str">
        <f aca="false">DEC2HEX(C136*7)</f>
        <v>1C</v>
      </c>
      <c r="H136" s="1" t="n">
        <f aca="false">IF(D136=0, 33, "cc")</f>
        <v>33</v>
      </c>
    </row>
    <row r="137" customFormat="false" ht="18.65" hidden="false" customHeight="true" outlineLevel="0" collapsed="false">
      <c r="A137" s="1" t="n">
        <f aca="false">ROW()-2</f>
        <v>135</v>
      </c>
      <c r="B137" s="1" t="n">
        <f aca="false">INT(A137/$N$1)</f>
        <v>7</v>
      </c>
      <c r="C137" s="1" t="n">
        <f aca="false">INT(MOD(A137,$N$1) / 2)</f>
        <v>4</v>
      </c>
      <c r="D137" s="1" t="n">
        <f aca="false">_xlfn.BITAND(A137,1)</f>
        <v>1</v>
      </c>
      <c r="F137" s="1" t="str">
        <f aca="false">DEC2HEX(B137*$N$3*18)</f>
        <v>1F80</v>
      </c>
      <c r="G137" s="1" t="str">
        <f aca="false">DEC2HEX(C137*7)</f>
        <v>1C</v>
      </c>
      <c r="H137" s="1" t="str">
        <f aca="false">IF(D137=0, 33, "cc")</f>
        <v>cc</v>
      </c>
    </row>
    <row r="138" customFormat="false" ht="18.65" hidden="false" customHeight="true" outlineLevel="0" collapsed="false">
      <c r="A138" s="1" t="n">
        <f aca="false">ROW()-2</f>
        <v>136</v>
      </c>
      <c r="B138" s="1" t="n">
        <f aca="false">INT(A138/$N$1)</f>
        <v>7</v>
      </c>
      <c r="C138" s="1" t="n">
        <f aca="false">INT(MOD(A138,$N$1) / 2)</f>
        <v>5</v>
      </c>
      <c r="D138" s="1" t="n">
        <f aca="false">_xlfn.BITAND(A138,1)</f>
        <v>0</v>
      </c>
      <c r="F138" s="1" t="str">
        <f aca="false">DEC2HEX(B138*$N$3*18)</f>
        <v>1F80</v>
      </c>
      <c r="G138" s="1" t="str">
        <f aca="false">DEC2HEX(C138*7)</f>
        <v>23</v>
      </c>
      <c r="H138" s="1" t="n">
        <f aca="false">IF(D138=0, 33, "cc")</f>
        <v>33</v>
      </c>
    </row>
    <row r="139" customFormat="false" ht="18.65" hidden="false" customHeight="true" outlineLevel="0" collapsed="false">
      <c r="A139" s="1" t="n">
        <f aca="false">ROW()-2</f>
        <v>137</v>
      </c>
      <c r="B139" s="1" t="n">
        <f aca="false">INT(A139/$N$1)</f>
        <v>7</v>
      </c>
      <c r="C139" s="1" t="n">
        <f aca="false">INT(MOD(A139,$N$1) / 2)</f>
        <v>5</v>
      </c>
      <c r="D139" s="1" t="n">
        <f aca="false">_xlfn.BITAND(A139,1)</f>
        <v>1</v>
      </c>
      <c r="F139" s="1" t="str">
        <f aca="false">DEC2HEX(B139*$N$3*18)</f>
        <v>1F80</v>
      </c>
      <c r="G139" s="1" t="str">
        <f aca="false">DEC2HEX(C139*7)</f>
        <v>23</v>
      </c>
      <c r="H139" s="1" t="str">
        <f aca="false">IF(D139=0, 33, "cc")</f>
        <v>cc</v>
      </c>
    </row>
    <row r="140" customFormat="false" ht="18.65" hidden="false" customHeight="true" outlineLevel="0" collapsed="false">
      <c r="A140" s="1" t="n">
        <f aca="false">ROW()-2</f>
        <v>138</v>
      </c>
      <c r="B140" s="1" t="n">
        <f aca="false">INT(A140/$N$1)</f>
        <v>7</v>
      </c>
      <c r="C140" s="1" t="n">
        <f aca="false">INT(MOD(A140,$N$1) / 2)</f>
        <v>6</v>
      </c>
      <c r="D140" s="1" t="n">
        <f aca="false">_xlfn.BITAND(A140,1)</f>
        <v>0</v>
      </c>
      <c r="F140" s="1" t="str">
        <f aca="false">DEC2HEX(B140*$N$3*18)</f>
        <v>1F80</v>
      </c>
      <c r="G140" s="1" t="str">
        <f aca="false">DEC2HEX(C140*7)</f>
        <v>2A</v>
      </c>
      <c r="H140" s="1" t="n">
        <f aca="false">IF(D140=0, 33, "cc")</f>
        <v>33</v>
      </c>
    </row>
    <row r="141" customFormat="false" ht="18.65" hidden="false" customHeight="true" outlineLevel="0" collapsed="false">
      <c r="A141" s="1" t="n">
        <f aca="false">ROW()-2</f>
        <v>139</v>
      </c>
      <c r="B141" s="1" t="n">
        <f aca="false">INT(A141/$N$1)</f>
        <v>7</v>
      </c>
      <c r="C141" s="1" t="n">
        <f aca="false">INT(MOD(A141,$N$1) / 2)</f>
        <v>6</v>
      </c>
      <c r="D141" s="1" t="n">
        <f aca="false">_xlfn.BITAND(A141,1)</f>
        <v>1</v>
      </c>
      <c r="F141" s="1" t="str">
        <f aca="false">DEC2HEX(B141*$N$3*18)</f>
        <v>1F80</v>
      </c>
      <c r="G141" s="1" t="str">
        <f aca="false">DEC2HEX(C141*7)</f>
        <v>2A</v>
      </c>
      <c r="H141" s="1" t="str">
        <f aca="false">IF(D141=0, 33, "cc")</f>
        <v>cc</v>
      </c>
    </row>
    <row r="142" customFormat="false" ht="18.65" hidden="false" customHeight="true" outlineLevel="0" collapsed="false">
      <c r="A142" s="1" t="n">
        <f aca="false">ROW()-2</f>
        <v>140</v>
      </c>
      <c r="B142" s="1" t="n">
        <f aca="false">INT(A142/$N$1)</f>
        <v>7</v>
      </c>
      <c r="C142" s="1" t="n">
        <f aca="false">INT(MOD(A142,$N$1) / 2)</f>
        <v>7</v>
      </c>
      <c r="D142" s="1" t="n">
        <f aca="false">_xlfn.BITAND(A142,1)</f>
        <v>0</v>
      </c>
      <c r="F142" s="1" t="str">
        <f aca="false">DEC2HEX(B142*$N$3*18)</f>
        <v>1F80</v>
      </c>
      <c r="G142" s="1" t="str">
        <f aca="false">DEC2HEX(C142*7)</f>
        <v>31</v>
      </c>
      <c r="H142" s="1" t="n">
        <f aca="false">IF(D142=0, 33, "cc")</f>
        <v>33</v>
      </c>
    </row>
    <row r="143" customFormat="false" ht="18.65" hidden="false" customHeight="true" outlineLevel="0" collapsed="false">
      <c r="A143" s="1" t="n">
        <f aca="false">ROW()-2</f>
        <v>141</v>
      </c>
      <c r="B143" s="1" t="n">
        <f aca="false">INT(A143/$N$1)</f>
        <v>7</v>
      </c>
      <c r="C143" s="1" t="n">
        <f aca="false">INT(MOD(A143,$N$1) / 2)</f>
        <v>7</v>
      </c>
      <c r="D143" s="1" t="n">
        <f aca="false">_xlfn.BITAND(A143,1)</f>
        <v>1</v>
      </c>
      <c r="F143" s="1" t="str">
        <f aca="false">DEC2HEX(B143*$N$3*18)</f>
        <v>1F80</v>
      </c>
      <c r="G143" s="1" t="str">
        <f aca="false">DEC2HEX(C143*7)</f>
        <v>31</v>
      </c>
      <c r="H143" s="1" t="str">
        <f aca="false">IF(D143=0, 33, "cc")</f>
        <v>cc</v>
      </c>
    </row>
    <row r="144" customFormat="false" ht="18.65" hidden="false" customHeight="true" outlineLevel="0" collapsed="false">
      <c r="A144" s="1" t="n">
        <f aca="false">ROW()-2</f>
        <v>142</v>
      </c>
      <c r="B144" s="1" t="n">
        <f aca="false">INT(A144/$N$1)</f>
        <v>7</v>
      </c>
      <c r="C144" s="1" t="n">
        <f aca="false">INT(MOD(A144,$N$1) / 2)</f>
        <v>8</v>
      </c>
      <c r="D144" s="1" t="n">
        <f aca="false">_xlfn.BITAND(A144,1)</f>
        <v>0</v>
      </c>
      <c r="F144" s="1" t="str">
        <f aca="false">DEC2HEX(B144*$N$3*18)</f>
        <v>1F80</v>
      </c>
      <c r="G144" s="1" t="str">
        <f aca="false">DEC2HEX(C144*7)</f>
        <v>38</v>
      </c>
      <c r="H144" s="1" t="n">
        <f aca="false">IF(D144=0, 33, "cc")</f>
        <v>33</v>
      </c>
    </row>
    <row r="145" customFormat="false" ht="18.65" hidden="false" customHeight="true" outlineLevel="0" collapsed="false">
      <c r="A145" s="1" t="n">
        <f aca="false">ROW()-2</f>
        <v>143</v>
      </c>
      <c r="B145" s="1" t="n">
        <f aca="false">INT(A145/$N$1)</f>
        <v>7</v>
      </c>
      <c r="C145" s="1" t="n">
        <f aca="false">INT(MOD(A145,$N$1) / 2)</f>
        <v>8</v>
      </c>
      <c r="D145" s="1" t="n">
        <f aca="false">_xlfn.BITAND(A145,1)</f>
        <v>1</v>
      </c>
      <c r="F145" s="1" t="str">
        <f aca="false">DEC2HEX(B145*$N$3*18)</f>
        <v>1F80</v>
      </c>
      <c r="G145" s="1" t="str">
        <f aca="false">DEC2HEX(C145*7)</f>
        <v>38</v>
      </c>
      <c r="H145" s="1" t="str">
        <f aca="false">IF(D145=0, 33, "cc")</f>
        <v>cc</v>
      </c>
    </row>
    <row r="146" customFormat="false" ht="18.65" hidden="false" customHeight="true" outlineLevel="0" collapsed="false">
      <c r="A146" s="1" t="n">
        <f aca="false">ROW()-2</f>
        <v>144</v>
      </c>
      <c r="B146" s="1" t="n">
        <f aca="false">INT(A146/$N$1)</f>
        <v>8</v>
      </c>
      <c r="C146" s="1" t="n">
        <f aca="false">INT(MOD(A146,$N$1) / 2)</f>
        <v>0</v>
      </c>
      <c r="D146" s="1" t="n">
        <f aca="false">_xlfn.BITAND(A146,1)</f>
        <v>0</v>
      </c>
      <c r="F146" s="1" t="str">
        <f aca="false">DEC2HEX(B146*$N$3*18)</f>
        <v>2400</v>
      </c>
      <c r="G146" s="1" t="str">
        <f aca="false">DEC2HEX(C146*7)</f>
        <v>0</v>
      </c>
      <c r="H146" s="1" t="n">
        <f aca="false">IF(D146=0, 33, "cc")</f>
        <v>33</v>
      </c>
    </row>
    <row r="147" customFormat="false" ht="18.65" hidden="false" customHeight="true" outlineLevel="0" collapsed="false">
      <c r="A147" s="1" t="n">
        <f aca="false">ROW()-2</f>
        <v>145</v>
      </c>
      <c r="B147" s="1" t="n">
        <f aca="false">INT(A147/$N$1)</f>
        <v>8</v>
      </c>
      <c r="C147" s="1" t="n">
        <f aca="false">INT(MOD(A147,$N$1) / 2)</f>
        <v>0</v>
      </c>
      <c r="D147" s="1" t="n">
        <f aca="false">_xlfn.BITAND(A147,1)</f>
        <v>1</v>
      </c>
      <c r="F147" s="1" t="str">
        <f aca="false">DEC2HEX(B147*$N$3*18)</f>
        <v>2400</v>
      </c>
      <c r="G147" s="1" t="str">
        <f aca="false">DEC2HEX(C147*7)</f>
        <v>0</v>
      </c>
      <c r="H147" s="1" t="str">
        <f aca="false">IF(D147=0, 33, "cc")</f>
        <v>cc</v>
      </c>
    </row>
    <row r="148" customFormat="false" ht="18.65" hidden="false" customHeight="true" outlineLevel="0" collapsed="false">
      <c r="A148" s="1" t="n">
        <f aca="false">ROW()-2</f>
        <v>146</v>
      </c>
      <c r="B148" s="1" t="n">
        <f aca="false">INT(A148/$N$1)</f>
        <v>8</v>
      </c>
      <c r="C148" s="1" t="n">
        <f aca="false">INT(MOD(A148,$N$1) / 2)</f>
        <v>1</v>
      </c>
      <c r="D148" s="1" t="n">
        <f aca="false">_xlfn.BITAND(A148,1)</f>
        <v>0</v>
      </c>
      <c r="F148" s="1" t="str">
        <f aca="false">DEC2HEX(B148*$N$3*18)</f>
        <v>2400</v>
      </c>
      <c r="G148" s="1" t="str">
        <f aca="false">DEC2HEX(C148*7)</f>
        <v>7</v>
      </c>
      <c r="H148" s="1" t="n">
        <f aca="false">IF(D148=0, 33, "cc")</f>
        <v>33</v>
      </c>
    </row>
    <row r="149" customFormat="false" ht="18.65" hidden="false" customHeight="true" outlineLevel="0" collapsed="false">
      <c r="A149" s="1" t="n">
        <f aca="false">ROW()-2</f>
        <v>147</v>
      </c>
      <c r="B149" s="1" t="n">
        <f aca="false">INT(A149/$N$1)</f>
        <v>8</v>
      </c>
      <c r="C149" s="1" t="n">
        <f aca="false">INT(MOD(A149,$N$1) / 2)</f>
        <v>1</v>
      </c>
      <c r="D149" s="1" t="n">
        <f aca="false">_xlfn.BITAND(A149,1)</f>
        <v>1</v>
      </c>
      <c r="F149" s="1" t="str">
        <f aca="false">DEC2HEX(B149*$N$3*18)</f>
        <v>2400</v>
      </c>
      <c r="G149" s="1" t="str">
        <f aca="false">DEC2HEX(C149*7)</f>
        <v>7</v>
      </c>
      <c r="H149" s="1" t="str">
        <f aca="false">IF(D149=0, 33, "cc")</f>
        <v>cc</v>
      </c>
    </row>
    <row r="150" customFormat="false" ht="18.65" hidden="false" customHeight="true" outlineLevel="0" collapsed="false">
      <c r="A150" s="1" t="n">
        <f aca="false">ROW()-2</f>
        <v>148</v>
      </c>
      <c r="B150" s="1" t="n">
        <f aca="false">INT(A150/$N$1)</f>
        <v>8</v>
      </c>
      <c r="C150" s="1" t="n">
        <f aca="false">INT(MOD(A150,$N$1) / 2)</f>
        <v>2</v>
      </c>
      <c r="D150" s="1" t="n">
        <f aca="false">_xlfn.BITAND(A150,1)</f>
        <v>0</v>
      </c>
      <c r="F150" s="1" t="str">
        <f aca="false">DEC2HEX(B150*$N$3*18)</f>
        <v>2400</v>
      </c>
      <c r="G150" s="1" t="str">
        <f aca="false">DEC2HEX(C150*7)</f>
        <v>E</v>
      </c>
      <c r="H150" s="1" t="n">
        <f aca="false">IF(D150=0, 33, "cc")</f>
        <v>33</v>
      </c>
    </row>
    <row r="151" customFormat="false" ht="18.65" hidden="false" customHeight="true" outlineLevel="0" collapsed="false">
      <c r="A151" s="1" t="n">
        <f aca="false">ROW()-2</f>
        <v>149</v>
      </c>
      <c r="B151" s="1" t="n">
        <f aca="false">INT(A151/$N$1)</f>
        <v>8</v>
      </c>
      <c r="C151" s="1" t="n">
        <f aca="false">INT(MOD(A151,$N$1) / 2)</f>
        <v>2</v>
      </c>
      <c r="D151" s="1" t="n">
        <f aca="false">_xlfn.BITAND(A151,1)</f>
        <v>1</v>
      </c>
      <c r="F151" s="1" t="str">
        <f aca="false">DEC2HEX(B151*$N$3*18)</f>
        <v>2400</v>
      </c>
      <c r="G151" s="1" t="str">
        <f aca="false">DEC2HEX(C151*7)</f>
        <v>E</v>
      </c>
      <c r="H151" s="1" t="str">
        <f aca="false">IF(D151=0, 33, "cc")</f>
        <v>cc</v>
      </c>
    </row>
    <row r="152" customFormat="false" ht="18.65" hidden="false" customHeight="true" outlineLevel="0" collapsed="false">
      <c r="A152" s="1" t="n">
        <f aca="false">ROW()-2</f>
        <v>150</v>
      </c>
      <c r="B152" s="1" t="n">
        <f aca="false">INT(A152/$N$1)</f>
        <v>8</v>
      </c>
      <c r="C152" s="1" t="n">
        <f aca="false">INT(MOD(A152,$N$1) / 2)</f>
        <v>3</v>
      </c>
      <c r="D152" s="1" t="n">
        <f aca="false">_xlfn.BITAND(A152,1)</f>
        <v>0</v>
      </c>
      <c r="F152" s="1" t="str">
        <f aca="false">DEC2HEX(B152*$N$3*18)</f>
        <v>2400</v>
      </c>
      <c r="G152" s="1" t="str">
        <f aca="false">DEC2HEX(C152*7)</f>
        <v>15</v>
      </c>
      <c r="H152" s="1" t="n">
        <f aca="false">IF(D152=0, 33, "cc")</f>
        <v>33</v>
      </c>
    </row>
    <row r="153" customFormat="false" ht="18.65" hidden="false" customHeight="true" outlineLevel="0" collapsed="false">
      <c r="A153" s="1" t="n">
        <f aca="false">ROW()-2</f>
        <v>151</v>
      </c>
      <c r="B153" s="1" t="n">
        <f aca="false">INT(A153/$N$1)</f>
        <v>8</v>
      </c>
      <c r="C153" s="1" t="n">
        <f aca="false">INT(MOD(A153,$N$1) / 2)</f>
        <v>3</v>
      </c>
      <c r="D153" s="1" t="n">
        <f aca="false">_xlfn.BITAND(A153,1)</f>
        <v>1</v>
      </c>
      <c r="F153" s="1" t="str">
        <f aca="false">DEC2HEX(B153*$N$3*18)</f>
        <v>2400</v>
      </c>
      <c r="G153" s="1" t="str">
        <f aca="false">DEC2HEX(C153*7)</f>
        <v>15</v>
      </c>
      <c r="H153" s="1" t="str">
        <f aca="false">IF(D153=0, 33, "cc")</f>
        <v>cc</v>
      </c>
    </row>
    <row r="154" customFormat="false" ht="18.65" hidden="false" customHeight="true" outlineLevel="0" collapsed="false">
      <c r="A154" s="1" t="n">
        <f aca="false">ROW()-2</f>
        <v>152</v>
      </c>
      <c r="B154" s="1" t="n">
        <f aca="false">INT(A154/$N$1)</f>
        <v>8</v>
      </c>
      <c r="C154" s="1" t="n">
        <f aca="false">INT(MOD(A154,$N$1) / 2)</f>
        <v>4</v>
      </c>
      <c r="D154" s="1" t="n">
        <f aca="false">_xlfn.BITAND(A154,1)</f>
        <v>0</v>
      </c>
      <c r="F154" s="1" t="str">
        <f aca="false">DEC2HEX(B154*$N$3*18)</f>
        <v>2400</v>
      </c>
      <c r="G154" s="1" t="str">
        <f aca="false">DEC2HEX(C154*7)</f>
        <v>1C</v>
      </c>
      <c r="H154" s="1" t="n">
        <f aca="false">IF(D154=0, 33, "cc")</f>
        <v>33</v>
      </c>
    </row>
    <row r="155" customFormat="false" ht="18.65" hidden="false" customHeight="true" outlineLevel="0" collapsed="false">
      <c r="A155" s="1" t="n">
        <f aca="false">ROW()-2</f>
        <v>153</v>
      </c>
      <c r="B155" s="1" t="n">
        <f aca="false">INT(A155/$N$1)</f>
        <v>8</v>
      </c>
      <c r="C155" s="1" t="n">
        <f aca="false">INT(MOD(A155,$N$1) / 2)</f>
        <v>4</v>
      </c>
      <c r="D155" s="1" t="n">
        <f aca="false">_xlfn.BITAND(A155,1)</f>
        <v>1</v>
      </c>
      <c r="F155" s="1" t="str">
        <f aca="false">DEC2HEX(B155*$N$3*18)</f>
        <v>2400</v>
      </c>
      <c r="G155" s="1" t="str">
        <f aca="false">DEC2HEX(C155*7)</f>
        <v>1C</v>
      </c>
      <c r="H155" s="1" t="str">
        <f aca="false">IF(D155=0, 33, "cc")</f>
        <v>cc</v>
      </c>
    </row>
    <row r="156" customFormat="false" ht="18.65" hidden="false" customHeight="true" outlineLevel="0" collapsed="false">
      <c r="A156" s="1" t="n">
        <f aca="false">ROW()-2</f>
        <v>154</v>
      </c>
      <c r="B156" s="1" t="n">
        <f aca="false">INT(A156/$N$1)</f>
        <v>8</v>
      </c>
      <c r="C156" s="1" t="n">
        <f aca="false">INT(MOD(A156,$N$1) / 2)</f>
        <v>5</v>
      </c>
      <c r="D156" s="1" t="n">
        <f aca="false">_xlfn.BITAND(A156,1)</f>
        <v>0</v>
      </c>
      <c r="F156" s="1" t="str">
        <f aca="false">DEC2HEX(B156*$N$3*18)</f>
        <v>2400</v>
      </c>
      <c r="G156" s="1" t="str">
        <f aca="false">DEC2HEX(C156*7)</f>
        <v>23</v>
      </c>
      <c r="H156" s="1" t="n">
        <f aca="false">IF(D156=0, 33, "cc")</f>
        <v>33</v>
      </c>
    </row>
    <row r="157" customFormat="false" ht="18.65" hidden="false" customHeight="true" outlineLevel="0" collapsed="false">
      <c r="A157" s="1" t="n">
        <f aca="false">ROW()-2</f>
        <v>155</v>
      </c>
      <c r="B157" s="1" t="n">
        <f aca="false">INT(A157/$N$1)</f>
        <v>8</v>
      </c>
      <c r="C157" s="1" t="n">
        <f aca="false">INT(MOD(A157,$N$1) / 2)</f>
        <v>5</v>
      </c>
      <c r="D157" s="1" t="n">
        <f aca="false">_xlfn.BITAND(A157,1)</f>
        <v>1</v>
      </c>
      <c r="F157" s="1" t="str">
        <f aca="false">DEC2HEX(B157*$N$3*18)</f>
        <v>2400</v>
      </c>
      <c r="G157" s="1" t="str">
        <f aca="false">DEC2HEX(C157*7)</f>
        <v>23</v>
      </c>
      <c r="H157" s="1" t="str">
        <f aca="false">IF(D157=0, 33, "cc")</f>
        <v>cc</v>
      </c>
    </row>
    <row r="158" customFormat="false" ht="18.65" hidden="false" customHeight="true" outlineLevel="0" collapsed="false">
      <c r="A158" s="1" t="n">
        <f aca="false">ROW()-2</f>
        <v>156</v>
      </c>
      <c r="B158" s="1" t="n">
        <f aca="false">INT(A158/$N$1)</f>
        <v>8</v>
      </c>
      <c r="C158" s="1" t="n">
        <f aca="false">INT(MOD(A158,$N$1) / 2)</f>
        <v>6</v>
      </c>
      <c r="D158" s="1" t="n">
        <f aca="false">_xlfn.BITAND(A158,1)</f>
        <v>0</v>
      </c>
      <c r="F158" s="1" t="str">
        <f aca="false">DEC2HEX(B158*$N$3*18)</f>
        <v>2400</v>
      </c>
      <c r="G158" s="1" t="str">
        <f aca="false">DEC2HEX(C158*7)</f>
        <v>2A</v>
      </c>
      <c r="H158" s="1" t="n">
        <f aca="false">IF(D158=0, 33, "cc")</f>
        <v>33</v>
      </c>
    </row>
    <row r="159" customFormat="false" ht="18.65" hidden="false" customHeight="true" outlineLevel="0" collapsed="false">
      <c r="A159" s="1" t="n">
        <f aca="false">ROW()-2</f>
        <v>157</v>
      </c>
      <c r="B159" s="1" t="n">
        <f aca="false">INT(A159/$N$1)</f>
        <v>8</v>
      </c>
      <c r="C159" s="1" t="n">
        <f aca="false">INT(MOD(A159,$N$1) / 2)</f>
        <v>6</v>
      </c>
      <c r="D159" s="1" t="n">
        <f aca="false">_xlfn.BITAND(A159,1)</f>
        <v>1</v>
      </c>
      <c r="F159" s="1" t="str">
        <f aca="false">DEC2HEX(B159*$N$3*18)</f>
        <v>2400</v>
      </c>
      <c r="G159" s="1" t="str">
        <f aca="false">DEC2HEX(C159*7)</f>
        <v>2A</v>
      </c>
      <c r="H159" s="1" t="str">
        <f aca="false">IF(D159=0, 33, "cc")</f>
        <v>cc</v>
      </c>
    </row>
    <row r="160" customFormat="false" ht="18.65" hidden="false" customHeight="true" outlineLevel="0" collapsed="false">
      <c r="A160" s="1" t="n">
        <f aca="false">ROW()-2</f>
        <v>158</v>
      </c>
      <c r="B160" s="1" t="n">
        <f aca="false">INT(A160/$N$1)</f>
        <v>8</v>
      </c>
      <c r="C160" s="1" t="n">
        <f aca="false">INT(MOD(A160,$N$1) / 2)</f>
        <v>7</v>
      </c>
      <c r="D160" s="1" t="n">
        <f aca="false">_xlfn.BITAND(A160,1)</f>
        <v>0</v>
      </c>
      <c r="F160" s="1" t="str">
        <f aca="false">DEC2HEX(B160*$N$3*18)</f>
        <v>2400</v>
      </c>
      <c r="G160" s="1" t="str">
        <f aca="false">DEC2HEX(C160*7)</f>
        <v>31</v>
      </c>
      <c r="H160" s="1" t="n">
        <f aca="false">IF(D160=0, 33, "cc")</f>
        <v>33</v>
      </c>
    </row>
    <row r="161" customFormat="false" ht="18.65" hidden="false" customHeight="true" outlineLevel="0" collapsed="false">
      <c r="A161" s="1" t="n">
        <f aca="false">ROW()-2</f>
        <v>159</v>
      </c>
      <c r="B161" s="1" t="n">
        <f aca="false">INT(A161/$N$1)</f>
        <v>8</v>
      </c>
      <c r="C161" s="1" t="n">
        <f aca="false">INT(MOD(A161,$N$1) / 2)</f>
        <v>7</v>
      </c>
      <c r="D161" s="1" t="n">
        <f aca="false">_xlfn.BITAND(A161,1)</f>
        <v>1</v>
      </c>
      <c r="F161" s="1" t="str">
        <f aca="false">DEC2HEX(B161*$N$3*18)</f>
        <v>2400</v>
      </c>
      <c r="G161" s="1" t="str">
        <f aca="false">DEC2HEX(C161*7)</f>
        <v>31</v>
      </c>
      <c r="H161" s="1" t="str">
        <f aca="false">IF(D161=0, 33, "cc")</f>
        <v>cc</v>
      </c>
    </row>
    <row r="162" customFormat="false" ht="18.65" hidden="false" customHeight="true" outlineLevel="0" collapsed="false">
      <c r="A162" s="1" t="n">
        <f aca="false">ROW()-2</f>
        <v>160</v>
      </c>
      <c r="B162" s="1" t="n">
        <f aca="false">INT(A162/$N$1)</f>
        <v>8</v>
      </c>
      <c r="C162" s="1" t="n">
        <f aca="false">INT(MOD(A162,$N$1) / 2)</f>
        <v>8</v>
      </c>
      <c r="D162" s="1" t="n">
        <f aca="false">_xlfn.BITAND(A162,1)</f>
        <v>0</v>
      </c>
      <c r="F162" s="1" t="str">
        <f aca="false">DEC2HEX(B162*$N$3*18)</f>
        <v>2400</v>
      </c>
      <c r="G162" s="1" t="str">
        <f aca="false">DEC2HEX(C162*7)</f>
        <v>38</v>
      </c>
      <c r="H162" s="1" t="n">
        <f aca="false">IF(D162=0, 33, "cc")</f>
        <v>33</v>
      </c>
    </row>
    <row r="163" customFormat="false" ht="18.65" hidden="false" customHeight="true" outlineLevel="0" collapsed="false">
      <c r="A163" s="1" t="n">
        <f aca="false">ROW()-2</f>
        <v>161</v>
      </c>
      <c r="B163" s="1" t="n">
        <f aca="false">INT(A163/$N$1)</f>
        <v>8</v>
      </c>
      <c r="C163" s="1" t="n">
        <f aca="false">INT(MOD(A163,$N$1) / 2)</f>
        <v>8</v>
      </c>
      <c r="D163" s="1" t="n">
        <f aca="false">_xlfn.BITAND(A163,1)</f>
        <v>1</v>
      </c>
      <c r="F163" s="1" t="str">
        <f aca="false">DEC2HEX(B163*$N$3*18)</f>
        <v>2400</v>
      </c>
      <c r="G163" s="1" t="str">
        <f aca="false">DEC2HEX(C163*7)</f>
        <v>38</v>
      </c>
      <c r="H163" s="1" t="str">
        <f aca="false">IF(D163=0, 33, "cc")</f>
        <v>cc</v>
      </c>
    </row>
    <row r="164" customFormat="false" ht="18.65" hidden="false" customHeight="true" outlineLevel="0" collapsed="false">
      <c r="A164" s="1" t="n">
        <f aca="false">ROW()-2</f>
        <v>162</v>
      </c>
      <c r="B164" s="1" t="n">
        <f aca="false">INT(A164/$N$1)</f>
        <v>9</v>
      </c>
      <c r="C164" s="1" t="n">
        <f aca="false">INT(MOD(A164,$N$1) / 2)</f>
        <v>0</v>
      </c>
      <c r="D164" s="1" t="n">
        <f aca="false">_xlfn.BITAND(A164,1)</f>
        <v>0</v>
      </c>
      <c r="F164" s="1" t="str">
        <f aca="false">DEC2HEX(B164*$N$3*18)</f>
        <v>2880</v>
      </c>
      <c r="G164" s="1" t="str">
        <f aca="false">DEC2HEX(C164*7)</f>
        <v>0</v>
      </c>
      <c r="H164" s="1" t="n">
        <f aca="false">IF(D164=0, 33, "cc")</f>
        <v>33</v>
      </c>
    </row>
    <row r="165" customFormat="false" ht="18.65" hidden="false" customHeight="true" outlineLevel="0" collapsed="false">
      <c r="A165" s="1" t="n">
        <f aca="false">ROW()-2</f>
        <v>163</v>
      </c>
      <c r="B165" s="1" t="n">
        <f aca="false">INT(A165/$N$1)</f>
        <v>9</v>
      </c>
      <c r="C165" s="1" t="n">
        <f aca="false">INT(MOD(A165,$N$1) / 2)</f>
        <v>0</v>
      </c>
      <c r="D165" s="1" t="n">
        <f aca="false">_xlfn.BITAND(A165,1)</f>
        <v>1</v>
      </c>
      <c r="F165" s="1" t="str">
        <f aca="false">DEC2HEX(B165*$N$3*18)</f>
        <v>2880</v>
      </c>
      <c r="G165" s="1" t="str">
        <f aca="false">DEC2HEX(C165*7)</f>
        <v>0</v>
      </c>
      <c r="H165" s="1" t="str">
        <f aca="false">IF(D165=0, 33, "cc")</f>
        <v>cc</v>
      </c>
    </row>
    <row r="166" customFormat="false" ht="18.65" hidden="false" customHeight="true" outlineLevel="0" collapsed="false">
      <c r="A166" s="1" t="n">
        <f aca="false">ROW()-2</f>
        <v>164</v>
      </c>
      <c r="B166" s="1" t="n">
        <f aca="false">INT(A166/$N$1)</f>
        <v>9</v>
      </c>
      <c r="C166" s="1" t="n">
        <f aca="false">INT(MOD(A166,$N$1) / 2)</f>
        <v>1</v>
      </c>
      <c r="D166" s="1" t="n">
        <f aca="false">_xlfn.BITAND(A166,1)</f>
        <v>0</v>
      </c>
      <c r="F166" s="1" t="str">
        <f aca="false">DEC2HEX(B166*$N$3*18)</f>
        <v>2880</v>
      </c>
      <c r="G166" s="1" t="str">
        <f aca="false">DEC2HEX(C166*7)</f>
        <v>7</v>
      </c>
      <c r="H166" s="1" t="n">
        <f aca="false">IF(D166=0, 33, "cc")</f>
        <v>33</v>
      </c>
    </row>
    <row r="167" customFormat="false" ht="18.65" hidden="false" customHeight="true" outlineLevel="0" collapsed="false">
      <c r="A167" s="1" t="n">
        <f aca="false">ROW()-2</f>
        <v>165</v>
      </c>
      <c r="B167" s="1" t="n">
        <f aca="false">INT(A167/$N$1)</f>
        <v>9</v>
      </c>
      <c r="C167" s="1" t="n">
        <f aca="false">INT(MOD(A167,$N$1) / 2)</f>
        <v>1</v>
      </c>
      <c r="D167" s="1" t="n">
        <f aca="false">_xlfn.BITAND(A167,1)</f>
        <v>1</v>
      </c>
      <c r="F167" s="1" t="str">
        <f aca="false">DEC2HEX(B167*$N$3*18)</f>
        <v>2880</v>
      </c>
      <c r="G167" s="1" t="str">
        <f aca="false">DEC2HEX(C167*7)</f>
        <v>7</v>
      </c>
      <c r="H167" s="1" t="str">
        <f aca="false">IF(D167=0, 33, "cc")</f>
        <v>cc</v>
      </c>
    </row>
    <row r="168" customFormat="false" ht="18.65" hidden="false" customHeight="true" outlineLevel="0" collapsed="false">
      <c r="A168" s="1" t="n">
        <f aca="false">ROW()-2</f>
        <v>166</v>
      </c>
      <c r="B168" s="1" t="n">
        <f aca="false">INT(A168/$N$1)</f>
        <v>9</v>
      </c>
      <c r="C168" s="1" t="n">
        <f aca="false">INT(MOD(A168,$N$1) / 2)</f>
        <v>2</v>
      </c>
      <c r="D168" s="1" t="n">
        <f aca="false">_xlfn.BITAND(A168,1)</f>
        <v>0</v>
      </c>
      <c r="F168" s="1" t="str">
        <f aca="false">DEC2HEX(B168*$N$3*18)</f>
        <v>2880</v>
      </c>
      <c r="G168" s="1" t="str">
        <f aca="false">DEC2HEX(C168*7)</f>
        <v>E</v>
      </c>
      <c r="H168" s="1" t="n">
        <f aca="false">IF(D168=0, 33, "cc")</f>
        <v>33</v>
      </c>
    </row>
    <row r="169" customFormat="false" ht="18.65" hidden="false" customHeight="true" outlineLevel="0" collapsed="false">
      <c r="A169" s="1" t="n">
        <f aca="false">ROW()-2</f>
        <v>167</v>
      </c>
      <c r="B169" s="1" t="n">
        <f aca="false">INT(A169/$N$1)</f>
        <v>9</v>
      </c>
      <c r="C169" s="1" t="n">
        <f aca="false">INT(MOD(A169,$N$1) / 2)</f>
        <v>2</v>
      </c>
      <c r="D169" s="1" t="n">
        <f aca="false">_xlfn.BITAND(A169,1)</f>
        <v>1</v>
      </c>
      <c r="F169" s="1" t="str">
        <f aca="false">DEC2HEX(B169*$N$3*18)</f>
        <v>2880</v>
      </c>
      <c r="G169" s="1" t="str">
        <f aca="false">DEC2HEX(C169*7)</f>
        <v>E</v>
      </c>
      <c r="H169" s="1" t="str">
        <f aca="false">IF(D169=0, 33, "cc")</f>
        <v>cc</v>
      </c>
    </row>
    <row r="170" customFormat="false" ht="18.65" hidden="false" customHeight="true" outlineLevel="0" collapsed="false">
      <c r="A170" s="1" t="n">
        <f aca="false">ROW()-2</f>
        <v>168</v>
      </c>
      <c r="B170" s="1" t="n">
        <f aca="false">INT(A170/$N$1)</f>
        <v>9</v>
      </c>
      <c r="C170" s="1" t="n">
        <f aca="false">INT(MOD(A170,$N$1) / 2)</f>
        <v>3</v>
      </c>
      <c r="D170" s="1" t="n">
        <f aca="false">_xlfn.BITAND(A170,1)</f>
        <v>0</v>
      </c>
      <c r="F170" s="1" t="str">
        <f aca="false">DEC2HEX(B170*$N$3*18)</f>
        <v>2880</v>
      </c>
      <c r="G170" s="1" t="str">
        <f aca="false">DEC2HEX(C170*7)</f>
        <v>15</v>
      </c>
      <c r="H170" s="1" t="n">
        <f aca="false">IF(D170=0, 33, "cc")</f>
        <v>33</v>
      </c>
    </row>
    <row r="171" customFormat="false" ht="18.65" hidden="false" customHeight="true" outlineLevel="0" collapsed="false">
      <c r="A171" s="1" t="n">
        <f aca="false">ROW()-2</f>
        <v>169</v>
      </c>
      <c r="B171" s="1" t="n">
        <f aca="false">INT(A171/$N$1)</f>
        <v>9</v>
      </c>
      <c r="C171" s="1" t="n">
        <f aca="false">INT(MOD(A171,$N$1) / 2)</f>
        <v>3</v>
      </c>
      <c r="D171" s="1" t="n">
        <f aca="false">_xlfn.BITAND(A171,1)</f>
        <v>1</v>
      </c>
      <c r="F171" s="1" t="str">
        <f aca="false">DEC2HEX(B171*$N$3*18)</f>
        <v>2880</v>
      </c>
      <c r="G171" s="1" t="str">
        <f aca="false">DEC2HEX(C171*7)</f>
        <v>15</v>
      </c>
      <c r="H171" s="1" t="str">
        <f aca="false">IF(D171=0, 33, "cc")</f>
        <v>cc</v>
      </c>
    </row>
    <row r="172" customFormat="false" ht="18.65" hidden="false" customHeight="true" outlineLevel="0" collapsed="false">
      <c r="A172" s="1" t="n">
        <f aca="false">ROW()-2</f>
        <v>170</v>
      </c>
      <c r="B172" s="1" t="n">
        <f aca="false">INT(A172/$N$1)</f>
        <v>9</v>
      </c>
      <c r="C172" s="1" t="n">
        <f aca="false">INT(MOD(A172,$N$1) / 2)</f>
        <v>4</v>
      </c>
      <c r="D172" s="1" t="n">
        <f aca="false">_xlfn.BITAND(A172,1)</f>
        <v>0</v>
      </c>
      <c r="F172" s="1" t="str">
        <f aca="false">DEC2HEX(B172*$N$3*18)</f>
        <v>2880</v>
      </c>
      <c r="G172" s="1" t="str">
        <f aca="false">DEC2HEX(C172*7)</f>
        <v>1C</v>
      </c>
      <c r="H172" s="1" t="n">
        <f aca="false">IF(D172=0, 33, "cc")</f>
        <v>33</v>
      </c>
    </row>
    <row r="173" customFormat="false" ht="18.65" hidden="false" customHeight="true" outlineLevel="0" collapsed="false">
      <c r="A173" s="1" t="n">
        <f aca="false">ROW()-2</f>
        <v>171</v>
      </c>
      <c r="B173" s="1" t="n">
        <f aca="false">INT(A173/$N$1)</f>
        <v>9</v>
      </c>
      <c r="C173" s="1" t="n">
        <f aca="false">INT(MOD(A173,$N$1) / 2)</f>
        <v>4</v>
      </c>
      <c r="D173" s="1" t="n">
        <f aca="false">_xlfn.BITAND(A173,1)</f>
        <v>1</v>
      </c>
      <c r="F173" s="1" t="str">
        <f aca="false">DEC2HEX(B173*$N$3*18)</f>
        <v>2880</v>
      </c>
      <c r="G173" s="1" t="str">
        <f aca="false">DEC2HEX(C173*7)</f>
        <v>1C</v>
      </c>
      <c r="H173" s="1" t="str">
        <f aca="false">IF(D173=0, 33, "cc")</f>
        <v>cc</v>
      </c>
    </row>
    <row r="174" customFormat="false" ht="18.65" hidden="false" customHeight="true" outlineLevel="0" collapsed="false">
      <c r="A174" s="1" t="n">
        <f aca="false">ROW()-2</f>
        <v>172</v>
      </c>
      <c r="B174" s="1" t="n">
        <f aca="false">INT(A174/$N$1)</f>
        <v>9</v>
      </c>
      <c r="C174" s="1" t="n">
        <f aca="false">INT(MOD(A174,$N$1) / 2)</f>
        <v>5</v>
      </c>
      <c r="D174" s="1" t="n">
        <f aca="false">_xlfn.BITAND(A174,1)</f>
        <v>0</v>
      </c>
      <c r="F174" s="1" t="str">
        <f aca="false">DEC2HEX(B174*$N$3*18)</f>
        <v>2880</v>
      </c>
      <c r="G174" s="1" t="str">
        <f aca="false">DEC2HEX(C174*7)</f>
        <v>23</v>
      </c>
      <c r="H174" s="1" t="n">
        <f aca="false">IF(D174=0, 33, "cc")</f>
        <v>33</v>
      </c>
    </row>
    <row r="175" customFormat="false" ht="18.65" hidden="false" customHeight="true" outlineLevel="0" collapsed="false">
      <c r="A175" s="1" t="n">
        <f aca="false">ROW()-2</f>
        <v>173</v>
      </c>
      <c r="B175" s="1" t="n">
        <f aca="false">INT(A175/$N$1)</f>
        <v>9</v>
      </c>
      <c r="C175" s="1" t="n">
        <f aca="false">INT(MOD(A175,$N$1) / 2)</f>
        <v>5</v>
      </c>
      <c r="D175" s="1" t="n">
        <f aca="false">_xlfn.BITAND(A175,1)</f>
        <v>1</v>
      </c>
      <c r="F175" s="1" t="str">
        <f aca="false">DEC2HEX(B175*$N$3*18)</f>
        <v>2880</v>
      </c>
      <c r="G175" s="1" t="str">
        <f aca="false">DEC2HEX(C175*7)</f>
        <v>23</v>
      </c>
      <c r="H175" s="1" t="str">
        <f aca="false">IF(D175=0, 33, "cc")</f>
        <v>cc</v>
      </c>
    </row>
    <row r="176" customFormat="false" ht="18.65" hidden="false" customHeight="true" outlineLevel="0" collapsed="false">
      <c r="A176" s="1" t="n">
        <f aca="false">ROW()-2</f>
        <v>174</v>
      </c>
      <c r="B176" s="1" t="n">
        <f aca="false">INT(A176/$N$1)</f>
        <v>9</v>
      </c>
      <c r="C176" s="1" t="n">
        <f aca="false">INT(MOD(A176,$N$1) / 2)</f>
        <v>6</v>
      </c>
      <c r="D176" s="1" t="n">
        <f aca="false">_xlfn.BITAND(A176,1)</f>
        <v>0</v>
      </c>
      <c r="F176" s="1" t="str">
        <f aca="false">DEC2HEX(B176*$N$3*18)</f>
        <v>2880</v>
      </c>
      <c r="G176" s="1" t="str">
        <f aca="false">DEC2HEX(C176*7)</f>
        <v>2A</v>
      </c>
      <c r="H176" s="1" t="n">
        <f aca="false">IF(D176=0, 33, "cc")</f>
        <v>33</v>
      </c>
    </row>
    <row r="177" customFormat="false" ht="18.65" hidden="false" customHeight="true" outlineLevel="0" collapsed="false">
      <c r="A177" s="1" t="n">
        <f aca="false">ROW()-2</f>
        <v>175</v>
      </c>
      <c r="B177" s="1" t="n">
        <f aca="false">INT(A177/$N$1)</f>
        <v>9</v>
      </c>
      <c r="C177" s="1" t="n">
        <f aca="false">INT(MOD(A177,$N$1) / 2)</f>
        <v>6</v>
      </c>
      <c r="D177" s="1" t="n">
        <f aca="false">_xlfn.BITAND(A177,1)</f>
        <v>1</v>
      </c>
      <c r="F177" s="1" t="str">
        <f aca="false">DEC2HEX(B177*$N$3*18)</f>
        <v>2880</v>
      </c>
      <c r="G177" s="1" t="str">
        <f aca="false">DEC2HEX(C177*7)</f>
        <v>2A</v>
      </c>
      <c r="H177" s="1" t="str">
        <f aca="false">IF(D177=0, 33, "cc")</f>
        <v>cc</v>
      </c>
    </row>
    <row r="178" customFormat="false" ht="18.65" hidden="false" customHeight="true" outlineLevel="0" collapsed="false">
      <c r="A178" s="1" t="n">
        <f aca="false">ROW()-2</f>
        <v>176</v>
      </c>
      <c r="B178" s="1" t="n">
        <f aca="false">INT(A178/$N$1)</f>
        <v>9</v>
      </c>
      <c r="C178" s="1" t="n">
        <f aca="false">INT(MOD(A178,$N$1) / 2)</f>
        <v>7</v>
      </c>
      <c r="D178" s="1" t="n">
        <f aca="false">_xlfn.BITAND(A178,1)</f>
        <v>0</v>
      </c>
      <c r="F178" s="1" t="str">
        <f aca="false">DEC2HEX(B178*$N$3*18)</f>
        <v>2880</v>
      </c>
      <c r="G178" s="1" t="str">
        <f aca="false">DEC2HEX(C178*7)</f>
        <v>31</v>
      </c>
      <c r="H178" s="1" t="n">
        <f aca="false">IF(D178=0, 33, "cc")</f>
        <v>33</v>
      </c>
    </row>
    <row r="179" customFormat="false" ht="18.65" hidden="false" customHeight="true" outlineLevel="0" collapsed="false">
      <c r="A179" s="1" t="n">
        <f aca="false">ROW()-2</f>
        <v>177</v>
      </c>
      <c r="B179" s="1" t="n">
        <f aca="false">INT(A179/$N$1)</f>
        <v>9</v>
      </c>
      <c r="C179" s="1" t="n">
        <f aca="false">INT(MOD(A179,$N$1) / 2)</f>
        <v>7</v>
      </c>
      <c r="D179" s="1" t="n">
        <f aca="false">_xlfn.BITAND(A179,1)</f>
        <v>1</v>
      </c>
      <c r="F179" s="1" t="str">
        <f aca="false">DEC2HEX(B179*$N$3*18)</f>
        <v>2880</v>
      </c>
      <c r="G179" s="1" t="str">
        <f aca="false">DEC2HEX(C179*7)</f>
        <v>31</v>
      </c>
      <c r="H179" s="1" t="str">
        <f aca="false">IF(D179=0, 33, "cc")</f>
        <v>cc</v>
      </c>
    </row>
    <row r="180" customFormat="false" ht="18.65" hidden="false" customHeight="true" outlineLevel="0" collapsed="false">
      <c r="A180" s="1" t="n">
        <f aca="false">ROW()-2</f>
        <v>178</v>
      </c>
      <c r="B180" s="1" t="n">
        <f aca="false">INT(A180/$N$1)</f>
        <v>9</v>
      </c>
      <c r="C180" s="1" t="n">
        <f aca="false">INT(MOD(A180,$N$1) / 2)</f>
        <v>8</v>
      </c>
      <c r="D180" s="1" t="n">
        <f aca="false">_xlfn.BITAND(A180,1)</f>
        <v>0</v>
      </c>
      <c r="F180" s="1" t="str">
        <f aca="false">DEC2HEX(B180*$N$3*18)</f>
        <v>2880</v>
      </c>
      <c r="G180" s="1" t="str">
        <f aca="false">DEC2HEX(C180*7)</f>
        <v>38</v>
      </c>
      <c r="H180" s="1" t="n">
        <f aca="false">IF(D180=0, 33, "cc")</f>
        <v>33</v>
      </c>
    </row>
    <row r="181" customFormat="false" ht="18.65" hidden="false" customHeight="true" outlineLevel="0" collapsed="false">
      <c r="A181" s="1" t="n">
        <f aca="false">ROW()-2</f>
        <v>179</v>
      </c>
      <c r="B181" s="1" t="n">
        <f aca="false">INT(A181/$N$1)</f>
        <v>9</v>
      </c>
      <c r="C181" s="1" t="n">
        <f aca="false">INT(MOD(A181,$N$1) / 2)</f>
        <v>8</v>
      </c>
      <c r="D181" s="1" t="n">
        <f aca="false">_xlfn.BITAND(A181,1)</f>
        <v>1</v>
      </c>
      <c r="F181" s="1" t="str">
        <f aca="false">DEC2HEX(B181*$N$3*18)</f>
        <v>2880</v>
      </c>
      <c r="G181" s="1" t="str">
        <f aca="false">DEC2HEX(C181*7)</f>
        <v>38</v>
      </c>
      <c r="H181" s="1" t="str">
        <f aca="false">IF(D181=0, 33, "cc")</f>
        <v>cc</v>
      </c>
    </row>
    <row r="182" customFormat="false" ht="18.65" hidden="false" customHeight="true" outlineLevel="0" collapsed="false">
      <c r="A182" s="1" t="n">
        <f aca="false">ROW()-2</f>
        <v>180</v>
      </c>
      <c r="B182" s="1" t="n">
        <f aca="false">INT(A182/$N$1)</f>
        <v>10</v>
      </c>
      <c r="C182" s="1" t="n">
        <f aca="false">INT(MOD(A182,$N$1) / 2)</f>
        <v>0</v>
      </c>
      <c r="D182" s="1" t="n">
        <f aca="false">_xlfn.BITAND(A182,1)</f>
        <v>0</v>
      </c>
      <c r="F182" s="1" t="str">
        <f aca="false">DEC2HEX(B182*$N$3*18)</f>
        <v>2D00</v>
      </c>
      <c r="G182" s="1" t="str">
        <f aca="false">DEC2HEX(C182*7)</f>
        <v>0</v>
      </c>
      <c r="H182" s="1" t="n">
        <f aca="false">IF(D182=0, 33, "cc")</f>
        <v>33</v>
      </c>
    </row>
    <row r="183" customFormat="false" ht="18.65" hidden="false" customHeight="true" outlineLevel="0" collapsed="false">
      <c r="A183" s="1" t="n">
        <f aca="false">ROW()-2</f>
        <v>181</v>
      </c>
      <c r="B183" s="1" t="n">
        <f aca="false">INT(A183/$N$1)</f>
        <v>10</v>
      </c>
      <c r="C183" s="1" t="n">
        <f aca="false">INT(MOD(A183,$N$1) / 2)</f>
        <v>0</v>
      </c>
      <c r="D183" s="1" t="n">
        <f aca="false">_xlfn.BITAND(A183,1)</f>
        <v>1</v>
      </c>
      <c r="F183" s="1" t="str">
        <f aca="false">DEC2HEX(B183*$N$3*18)</f>
        <v>2D00</v>
      </c>
      <c r="G183" s="1" t="str">
        <f aca="false">DEC2HEX(C183*7)</f>
        <v>0</v>
      </c>
      <c r="H183" s="1" t="str">
        <f aca="false">IF(D183=0, 33, "cc")</f>
        <v>cc</v>
      </c>
    </row>
    <row r="184" customFormat="false" ht="18.65" hidden="false" customHeight="true" outlineLevel="0" collapsed="false">
      <c r="A184" s="1" t="n">
        <f aca="false">ROW()-2</f>
        <v>182</v>
      </c>
      <c r="B184" s="1" t="n">
        <f aca="false">INT(A184/$N$1)</f>
        <v>10</v>
      </c>
      <c r="C184" s="1" t="n">
        <f aca="false">INT(MOD(A184,$N$1) / 2)</f>
        <v>1</v>
      </c>
      <c r="D184" s="1" t="n">
        <f aca="false">_xlfn.BITAND(A184,1)</f>
        <v>0</v>
      </c>
      <c r="F184" s="1" t="str">
        <f aca="false">DEC2HEX(B184*$N$3*18)</f>
        <v>2D00</v>
      </c>
      <c r="G184" s="1" t="str">
        <f aca="false">DEC2HEX(C184*7)</f>
        <v>7</v>
      </c>
      <c r="H184" s="1" t="n">
        <f aca="false">IF(D184=0, 33, "cc")</f>
        <v>33</v>
      </c>
    </row>
    <row r="185" customFormat="false" ht="18.65" hidden="false" customHeight="true" outlineLevel="0" collapsed="false">
      <c r="A185" s="1" t="n">
        <f aca="false">ROW()-2</f>
        <v>183</v>
      </c>
      <c r="B185" s="1" t="n">
        <f aca="false">INT(A185/$N$1)</f>
        <v>10</v>
      </c>
      <c r="C185" s="1" t="n">
        <f aca="false">INT(MOD(A185,$N$1) / 2)</f>
        <v>1</v>
      </c>
      <c r="D185" s="1" t="n">
        <f aca="false">_xlfn.BITAND(A185,1)</f>
        <v>1</v>
      </c>
      <c r="F185" s="1" t="str">
        <f aca="false">DEC2HEX(B185*$N$3*18)</f>
        <v>2D00</v>
      </c>
      <c r="G185" s="1" t="str">
        <f aca="false">DEC2HEX(C185*7)</f>
        <v>7</v>
      </c>
      <c r="H185" s="1" t="str">
        <f aca="false">IF(D185=0, 33, "cc")</f>
        <v>cc</v>
      </c>
    </row>
    <row r="186" customFormat="false" ht="18.65" hidden="false" customHeight="true" outlineLevel="0" collapsed="false">
      <c r="A186" s="1" t="n">
        <f aca="false">ROW()-2</f>
        <v>184</v>
      </c>
      <c r="B186" s="1" t="n">
        <f aca="false">INT(A186/$N$1)</f>
        <v>10</v>
      </c>
      <c r="C186" s="1" t="n">
        <f aca="false">INT(MOD(A186,$N$1) / 2)</f>
        <v>2</v>
      </c>
      <c r="D186" s="1" t="n">
        <f aca="false">_xlfn.BITAND(A186,1)</f>
        <v>0</v>
      </c>
      <c r="F186" s="1" t="str">
        <f aca="false">DEC2HEX(B186*$N$3*18)</f>
        <v>2D00</v>
      </c>
      <c r="G186" s="1" t="str">
        <f aca="false">DEC2HEX(C186*7)</f>
        <v>E</v>
      </c>
      <c r="H186" s="1" t="n">
        <f aca="false">IF(D186=0, 33, "cc")</f>
        <v>33</v>
      </c>
    </row>
    <row r="187" customFormat="false" ht="18.65" hidden="false" customHeight="true" outlineLevel="0" collapsed="false">
      <c r="A187" s="1" t="n">
        <f aca="false">ROW()-2</f>
        <v>185</v>
      </c>
      <c r="B187" s="1" t="n">
        <f aca="false">INT(A187/$N$1)</f>
        <v>10</v>
      </c>
      <c r="C187" s="1" t="n">
        <f aca="false">INT(MOD(A187,$N$1) / 2)</f>
        <v>2</v>
      </c>
      <c r="D187" s="1" t="n">
        <f aca="false">_xlfn.BITAND(A187,1)</f>
        <v>1</v>
      </c>
      <c r="F187" s="1" t="str">
        <f aca="false">DEC2HEX(B187*$N$3*18)</f>
        <v>2D00</v>
      </c>
      <c r="G187" s="1" t="str">
        <f aca="false">DEC2HEX(C187*7)</f>
        <v>E</v>
      </c>
      <c r="H187" s="1" t="str">
        <f aca="false">IF(D187=0, 33, "cc")</f>
        <v>cc</v>
      </c>
    </row>
    <row r="188" customFormat="false" ht="18.65" hidden="false" customHeight="true" outlineLevel="0" collapsed="false">
      <c r="A188" s="1" t="n">
        <f aca="false">ROW()-2</f>
        <v>186</v>
      </c>
      <c r="B188" s="1" t="n">
        <f aca="false">INT(A188/$N$1)</f>
        <v>10</v>
      </c>
      <c r="C188" s="1" t="n">
        <f aca="false">INT(MOD(A188,$N$1) / 2)</f>
        <v>3</v>
      </c>
      <c r="D188" s="1" t="n">
        <f aca="false">_xlfn.BITAND(A188,1)</f>
        <v>0</v>
      </c>
      <c r="F188" s="1" t="str">
        <f aca="false">DEC2HEX(B188*$N$3*18)</f>
        <v>2D00</v>
      </c>
      <c r="G188" s="1" t="str">
        <f aca="false">DEC2HEX(C188*7)</f>
        <v>15</v>
      </c>
      <c r="H188" s="1" t="n">
        <f aca="false">IF(D188=0, 33, "cc")</f>
        <v>33</v>
      </c>
    </row>
    <row r="189" customFormat="false" ht="18.65" hidden="false" customHeight="true" outlineLevel="0" collapsed="false">
      <c r="A189" s="1" t="n">
        <f aca="false">ROW()-2</f>
        <v>187</v>
      </c>
      <c r="B189" s="1" t="n">
        <f aca="false">INT(A189/$N$1)</f>
        <v>10</v>
      </c>
      <c r="C189" s="1" t="n">
        <f aca="false">INT(MOD(A189,$N$1) / 2)</f>
        <v>3</v>
      </c>
      <c r="D189" s="1" t="n">
        <f aca="false">_xlfn.BITAND(A189,1)</f>
        <v>1</v>
      </c>
      <c r="F189" s="1" t="str">
        <f aca="false">DEC2HEX(B189*$N$3*18)</f>
        <v>2D00</v>
      </c>
      <c r="G189" s="1" t="str">
        <f aca="false">DEC2HEX(C189*7)</f>
        <v>15</v>
      </c>
      <c r="H189" s="1" t="str">
        <f aca="false">IF(D189=0, 33, "cc")</f>
        <v>cc</v>
      </c>
    </row>
    <row r="190" customFormat="false" ht="18.65" hidden="false" customHeight="true" outlineLevel="0" collapsed="false">
      <c r="A190" s="1" t="n">
        <f aca="false">ROW()-2</f>
        <v>188</v>
      </c>
      <c r="B190" s="1" t="n">
        <f aca="false">INT(A190/$N$1)</f>
        <v>10</v>
      </c>
      <c r="C190" s="1" t="n">
        <f aca="false">INT(MOD(A190,$N$1) / 2)</f>
        <v>4</v>
      </c>
      <c r="D190" s="1" t="n">
        <f aca="false">_xlfn.BITAND(A190,1)</f>
        <v>0</v>
      </c>
      <c r="F190" s="1" t="str">
        <f aca="false">DEC2HEX(B190*$N$3*18)</f>
        <v>2D00</v>
      </c>
      <c r="G190" s="1" t="str">
        <f aca="false">DEC2HEX(C190*7)</f>
        <v>1C</v>
      </c>
      <c r="H190" s="1" t="n">
        <f aca="false">IF(D190=0, 33, "cc")</f>
        <v>33</v>
      </c>
    </row>
    <row r="191" customFormat="false" ht="18.65" hidden="false" customHeight="true" outlineLevel="0" collapsed="false">
      <c r="A191" s="1" t="n">
        <f aca="false">ROW()-2</f>
        <v>189</v>
      </c>
      <c r="B191" s="1" t="n">
        <f aca="false">INT(A191/$N$1)</f>
        <v>10</v>
      </c>
      <c r="C191" s="1" t="n">
        <f aca="false">INT(MOD(A191,$N$1) / 2)</f>
        <v>4</v>
      </c>
      <c r="D191" s="1" t="n">
        <f aca="false">_xlfn.BITAND(A191,1)</f>
        <v>1</v>
      </c>
      <c r="F191" s="1" t="str">
        <f aca="false">DEC2HEX(B191*$N$3*18)</f>
        <v>2D00</v>
      </c>
      <c r="G191" s="1" t="str">
        <f aca="false">DEC2HEX(C191*7)</f>
        <v>1C</v>
      </c>
      <c r="H191" s="1" t="str">
        <f aca="false">IF(D191=0, 33, "cc")</f>
        <v>cc</v>
      </c>
    </row>
    <row r="192" customFormat="false" ht="18.65" hidden="false" customHeight="true" outlineLevel="0" collapsed="false">
      <c r="A192" s="1" t="n">
        <f aca="false">ROW()-2</f>
        <v>190</v>
      </c>
      <c r="B192" s="1" t="n">
        <f aca="false">INT(A192/$N$1)</f>
        <v>10</v>
      </c>
      <c r="C192" s="1" t="n">
        <f aca="false">INT(MOD(A192,$N$1) / 2)</f>
        <v>5</v>
      </c>
      <c r="D192" s="1" t="n">
        <f aca="false">_xlfn.BITAND(A192,1)</f>
        <v>0</v>
      </c>
      <c r="F192" s="1" t="str">
        <f aca="false">DEC2HEX(B192*$N$3*18)</f>
        <v>2D00</v>
      </c>
      <c r="G192" s="1" t="str">
        <f aca="false">DEC2HEX(C192*7)</f>
        <v>23</v>
      </c>
      <c r="H192" s="1" t="n">
        <f aca="false">IF(D192=0, 33, "cc")</f>
        <v>33</v>
      </c>
    </row>
    <row r="193" customFormat="false" ht="18.65" hidden="false" customHeight="true" outlineLevel="0" collapsed="false">
      <c r="A193" s="1" t="n">
        <f aca="false">ROW()-2</f>
        <v>191</v>
      </c>
      <c r="B193" s="1" t="n">
        <f aca="false">INT(A193/$N$1)</f>
        <v>10</v>
      </c>
      <c r="C193" s="1" t="n">
        <f aca="false">INT(MOD(A193,$N$1) / 2)</f>
        <v>5</v>
      </c>
      <c r="D193" s="1" t="n">
        <f aca="false">_xlfn.BITAND(A193,1)</f>
        <v>1</v>
      </c>
      <c r="F193" s="1" t="str">
        <f aca="false">DEC2HEX(B193*$N$3*18)</f>
        <v>2D00</v>
      </c>
      <c r="G193" s="1" t="str">
        <f aca="false">DEC2HEX(C193*7)</f>
        <v>23</v>
      </c>
      <c r="H193" s="1" t="str">
        <f aca="false">IF(D193=0, 33, "cc")</f>
        <v>cc</v>
      </c>
    </row>
    <row r="194" customFormat="false" ht="18.65" hidden="false" customHeight="true" outlineLevel="0" collapsed="false">
      <c r="A194" s="1" t="n">
        <f aca="false">ROW()-2</f>
        <v>192</v>
      </c>
      <c r="B194" s="1" t="n">
        <f aca="false">INT(A194/$N$1)</f>
        <v>10</v>
      </c>
      <c r="C194" s="1" t="n">
        <f aca="false">INT(MOD(A194,$N$1) / 2)</f>
        <v>6</v>
      </c>
      <c r="D194" s="1" t="n">
        <f aca="false">_xlfn.BITAND(A194,1)</f>
        <v>0</v>
      </c>
      <c r="F194" s="1" t="str">
        <f aca="false">DEC2HEX(B194*$N$3*18)</f>
        <v>2D00</v>
      </c>
      <c r="G194" s="1" t="str">
        <f aca="false">DEC2HEX(C194*7)</f>
        <v>2A</v>
      </c>
      <c r="H194" s="1" t="n">
        <f aca="false">IF(D194=0, 33, "cc")</f>
        <v>33</v>
      </c>
    </row>
    <row r="195" customFormat="false" ht="18.65" hidden="false" customHeight="true" outlineLevel="0" collapsed="false">
      <c r="A195" s="1" t="n">
        <f aca="false">ROW()-2</f>
        <v>193</v>
      </c>
      <c r="B195" s="1" t="n">
        <f aca="false">INT(A195/$N$1)</f>
        <v>10</v>
      </c>
      <c r="C195" s="1" t="n">
        <f aca="false">INT(MOD(A195,$N$1) / 2)</f>
        <v>6</v>
      </c>
      <c r="D195" s="1" t="n">
        <f aca="false">_xlfn.BITAND(A195,1)</f>
        <v>1</v>
      </c>
      <c r="F195" s="1" t="str">
        <f aca="false">DEC2HEX(B195*$N$3*18)</f>
        <v>2D00</v>
      </c>
      <c r="G195" s="1" t="str">
        <f aca="false">DEC2HEX(C195*7)</f>
        <v>2A</v>
      </c>
      <c r="H195" s="1" t="str">
        <f aca="false">IF(D195=0, 33, "cc")</f>
        <v>cc</v>
      </c>
    </row>
    <row r="196" customFormat="false" ht="18.65" hidden="false" customHeight="true" outlineLevel="0" collapsed="false">
      <c r="A196" s="1" t="n">
        <f aca="false">ROW()-2</f>
        <v>194</v>
      </c>
      <c r="B196" s="1" t="n">
        <f aca="false">INT(A196/$N$1)</f>
        <v>10</v>
      </c>
      <c r="C196" s="1" t="n">
        <f aca="false">INT(MOD(A196,$N$1) / 2)</f>
        <v>7</v>
      </c>
      <c r="D196" s="1" t="n">
        <f aca="false">_xlfn.BITAND(A196,1)</f>
        <v>0</v>
      </c>
      <c r="F196" s="1" t="str">
        <f aca="false">DEC2HEX(B196*$N$3*18)</f>
        <v>2D00</v>
      </c>
      <c r="G196" s="1" t="str">
        <f aca="false">DEC2HEX(C196*7)</f>
        <v>31</v>
      </c>
      <c r="H196" s="1" t="n">
        <f aca="false">IF(D196=0, 33, "cc")</f>
        <v>33</v>
      </c>
    </row>
    <row r="197" customFormat="false" ht="18.65" hidden="false" customHeight="true" outlineLevel="0" collapsed="false">
      <c r="A197" s="1" t="n">
        <f aca="false">ROW()-2</f>
        <v>195</v>
      </c>
      <c r="B197" s="1" t="n">
        <f aca="false">INT(A197/$N$1)</f>
        <v>10</v>
      </c>
      <c r="C197" s="1" t="n">
        <f aca="false">INT(MOD(A197,$N$1) / 2)</f>
        <v>7</v>
      </c>
      <c r="D197" s="1" t="n">
        <f aca="false">_xlfn.BITAND(A197,1)</f>
        <v>1</v>
      </c>
      <c r="F197" s="1" t="str">
        <f aca="false">DEC2HEX(B197*$N$3*18)</f>
        <v>2D00</v>
      </c>
      <c r="G197" s="1" t="str">
        <f aca="false">DEC2HEX(C197*7)</f>
        <v>31</v>
      </c>
      <c r="H197" s="1" t="str">
        <f aca="false">IF(D197=0, 33, "cc")</f>
        <v>cc</v>
      </c>
    </row>
    <row r="198" customFormat="false" ht="18.65" hidden="false" customHeight="true" outlineLevel="0" collapsed="false">
      <c r="A198" s="1" t="n">
        <f aca="false">ROW()-2</f>
        <v>196</v>
      </c>
      <c r="B198" s="1" t="n">
        <f aca="false">INT(A198/$N$1)</f>
        <v>10</v>
      </c>
      <c r="C198" s="1" t="n">
        <f aca="false">INT(MOD(A198,$N$1) / 2)</f>
        <v>8</v>
      </c>
      <c r="D198" s="1" t="n">
        <f aca="false">_xlfn.BITAND(A198,1)</f>
        <v>0</v>
      </c>
      <c r="F198" s="1" t="str">
        <f aca="false">DEC2HEX(B198*$N$3*18)</f>
        <v>2D00</v>
      </c>
      <c r="G198" s="1" t="str">
        <f aca="false">DEC2HEX(C198*7)</f>
        <v>38</v>
      </c>
      <c r="H198" s="1" t="n">
        <f aca="false">IF(D198=0, 33, "cc")</f>
        <v>33</v>
      </c>
    </row>
    <row r="199" customFormat="false" ht="18.65" hidden="false" customHeight="true" outlineLevel="0" collapsed="false">
      <c r="A199" s="1" t="n">
        <f aca="false">ROW()-2</f>
        <v>197</v>
      </c>
      <c r="B199" s="1" t="n">
        <f aca="false">INT(A199/$N$1)</f>
        <v>10</v>
      </c>
      <c r="C199" s="1" t="n">
        <f aca="false">INT(MOD(A199,$N$1) / 2)</f>
        <v>8</v>
      </c>
      <c r="D199" s="1" t="n">
        <f aca="false">_xlfn.BITAND(A199,1)</f>
        <v>1</v>
      </c>
      <c r="F199" s="1" t="str">
        <f aca="false">DEC2HEX(B199*$N$3*18)</f>
        <v>2D00</v>
      </c>
      <c r="G199" s="1" t="str">
        <f aca="false">DEC2HEX(C199*7)</f>
        <v>38</v>
      </c>
      <c r="H199" s="1" t="str">
        <f aca="false">IF(D199=0, 33, "cc")</f>
        <v>cc</v>
      </c>
    </row>
    <row r="200" customFormat="false" ht="18.65" hidden="false" customHeight="true" outlineLevel="0" collapsed="false">
      <c r="A200" s="1" t="n">
        <f aca="false">ROW()-2</f>
        <v>198</v>
      </c>
      <c r="B200" s="1" t="n">
        <f aca="false">INT(A200/$N$1)</f>
        <v>11</v>
      </c>
      <c r="C200" s="1" t="n">
        <f aca="false">INT(MOD(A200,$N$1) / 2)</f>
        <v>0</v>
      </c>
      <c r="D200" s="1" t="n">
        <f aca="false">_xlfn.BITAND(A200,1)</f>
        <v>0</v>
      </c>
      <c r="F200" s="1" t="str">
        <f aca="false">DEC2HEX(B200*$N$3*18)</f>
        <v>3180</v>
      </c>
      <c r="G200" s="1" t="str">
        <f aca="false">DEC2HEX(C200*7)</f>
        <v>0</v>
      </c>
      <c r="H200" s="1" t="n">
        <f aca="false">IF(D200=0, 33, "cc")</f>
        <v>33</v>
      </c>
    </row>
    <row r="201" customFormat="false" ht="18.65" hidden="false" customHeight="true" outlineLevel="0" collapsed="false">
      <c r="A201" s="1" t="n">
        <f aca="false">ROW()-2</f>
        <v>199</v>
      </c>
      <c r="B201" s="1" t="n">
        <f aca="false">INT(A201/$N$1)</f>
        <v>11</v>
      </c>
      <c r="C201" s="1" t="n">
        <f aca="false">INT(MOD(A201,$N$1) / 2)</f>
        <v>0</v>
      </c>
      <c r="D201" s="1" t="n">
        <f aca="false">_xlfn.BITAND(A201,1)</f>
        <v>1</v>
      </c>
      <c r="F201" s="1" t="str">
        <f aca="false">DEC2HEX(B201*$N$3*18)</f>
        <v>3180</v>
      </c>
      <c r="G201" s="1" t="str">
        <f aca="false">DEC2HEX(C201*7)</f>
        <v>0</v>
      </c>
      <c r="H201" s="1" t="str">
        <f aca="false">IF(D201=0, 33, "cc")</f>
        <v>cc</v>
      </c>
    </row>
    <row r="202" customFormat="false" ht="18.65" hidden="false" customHeight="true" outlineLevel="0" collapsed="false">
      <c r="A202" s="1" t="n">
        <f aca="false">ROW()-2</f>
        <v>200</v>
      </c>
      <c r="B202" s="1" t="n">
        <f aca="false">INT(A202/$N$1)</f>
        <v>11</v>
      </c>
      <c r="C202" s="1" t="n">
        <f aca="false">INT(MOD(A202,$N$1) / 2)</f>
        <v>1</v>
      </c>
      <c r="D202" s="1" t="n">
        <f aca="false">_xlfn.BITAND(A202,1)</f>
        <v>0</v>
      </c>
      <c r="F202" s="1" t="str">
        <f aca="false">DEC2HEX(B202*$N$3*18)</f>
        <v>3180</v>
      </c>
      <c r="G202" s="1" t="str">
        <f aca="false">DEC2HEX(C202*7)</f>
        <v>7</v>
      </c>
      <c r="H202" s="1" t="n">
        <f aca="false">IF(D202=0, 33, "cc")</f>
        <v>33</v>
      </c>
    </row>
    <row r="203" customFormat="false" ht="18.65" hidden="false" customHeight="true" outlineLevel="0" collapsed="false">
      <c r="A203" s="1" t="n">
        <f aca="false">ROW()-2</f>
        <v>201</v>
      </c>
      <c r="B203" s="1" t="n">
        <f aca="false">INT(A203/$N$1)</f>
        <v>11</v>
      </c>
      <c r="C203" s="1" t="n">
        <f aca="false">INT(MOD(A203,$N$1) / 2)</f>
        <v>1</v>
      </c>
      <c r="D203" s="1" t="n">
        <f aca="false">_xlfn.BITAND(A203,1)</f>
        <v>1</v>
      </c>
      <c r="F203" s="1" t="str">
        <f aca="false">DEC2HEX(B203*$N$3*18)</f>
        <v>3180</v>
      </c>
      <c r="G203" s="1" t="str">
        <f aca="false">DEC2HEX(C203*7)</f>
        <v>7</v>
      </c>
      <c r="H203" s="1" t="str">
        <f aca="false">IF(D203=0, 33, "cc")</f>
        <v>cc</v>
      </c>
    </row>
    <row r="204" customFormat="false" ht="18.65" hidden="false" customHeight="true" outlineLevel="0" collapsed="false">
      <c r="A204" s="1" t="n">
        <f aca="false">ROW()-2</f>
        <v>202</v>
      </c>
      <c r="B204" s="1" t="n">
        <f aca="false">INT(A204/$N$1)</f>
        <v>11</v>
      </c>
      <c r="C204" s="1" t="n">
        <f aca="false">INT(MOD(A204,$N$1) / 2)</f>
        <v>2</v>
      </c>
      <c r="D204" s="1" t="n">
        <f aca="false">_xlfn.BITAND(A204,1)</f>
        <v>0</v>
      </c>
      <c r="F204" s="1" t="str">
        <f aca="false">DEC2HEX(B204*$N$3*18)</f>
        <v>3180</v>
      </c>
      <c r="G204" s="1" t="str">
        <f aca="false">DEC2HEX(C204*7)</f>
        <v>E</v>
      </c>
      <c r="H204" s="1" t="n">
        <f aca="false">IF(D204=0, 33, "cc")</f>
        <v>33</v>
      </c>
    </row>
    <row r="205" customFormat="false" ht="18.65" hidden="false" customHeight="true" outlineLevel="0" collapsed="false">
      <c r="A205" s="1" t="n">
        <f aca="false">ROW()-2</f>
        <v>203</v>
      </c>
      <c r="B205" s="1" t="n">
        <f aca="false">INT(A205/$N$1)</f>
        <v>11</v>
      </c>
      <c r="C205" s="1" t="n">
        <f aca="false">INT(MOD(A205,$N$1) / 2)</f>
        <v>2</v>
      </c>
      <c r="D205" s="1" t="n">
        <f aca="false">_xlfn.BITAND(A205,1)</f>
        <v>1</v>
      </c>
      <c r="F205" s="1" t="str">
        <f aca="false">DEC2HEX(B205*$N$3*18)</f>
        <v>3180</v>
      </c>
      <c r="G205" s="1" t="str">
        <f aca="false">DEC2HEX(C205*7)</f>
        <v>E</v>
      </c>
      <c r="H205" s="1" t="str">
        <f aca="false">IF(D205=0, 33, "cc")</f>
        <v>cc</v>
      </c>
    </row>
    <row r="206" customFormat="false" ht="18.65" hidden="false" customHeight="true" outlineLevel="0" collapsed="false">
      <c r="A206" s="1" t="n">
        <f aca="false">ROW()-2</f>
        <v>204</v>
      </c>
      <c r="B206" s="1" t="n">
        <f aca="false">INT(A206/$N$1)</f>
        <v>11</v>
      </c>
      <c r="C206" s="1" t="n">
        <f aca="false">INT(MOD(A206,$N$1) / 2)</f>
        <v>3</v>
      </c>
      <c r="D206" s="1" t="n">
        <f aca="false">_xlfn.BITAND(A206,1)</f>
        <v>0</v>
      </c>
      <c r="F206" s="1" t="str">
        <f aca="false">DEC2HEX(B206*$N$3*18)</f>
        <v>3180</v>
      </c>
      <c r="G206" s="1" t="str">
        <f aca="false">DEC2HEX(C206*7)</f>
        <v>15</v>
      </c>
      <c r="H206" s="1" t="n">
        <f aca="false">IF(D206=0, 33, "cc")</f>
        <v>33</v>
      </c>
    </row>
    <row r="207" customFormat="false" ht="18.65" hidden="false" customHeight="true" outlineLevel="0" collapsed="false">
      <c r="A207" s="1" t="n">
        <f aca="false">ROW()-2</f>
        <v>205</v>
      </c>
      <c r="B207" s="1" t="n">
        <f aca="false">INT(A207/$N$1)</f>
        <v>11</v>
      </c>
      <c r="C207" s="1" t="n">
        <f aca="false">INT(MOD(A207,$N$1) / 2)</f>
        <v>3</v>
      </c>
      <c r="D207" s="1" t="n">
        <f aca="false">_xlfn.BITAND(A207,1)</f>
        <v>1</v>
      </c>
      <c r="F207" s="1" t="str">
        <f aca="false">DEC2HEX(B207*$N$3*18)</f>
        <v>3180</v>
      </c>
      <c r="G207" s="1" t="str">
        <f aca="false">DEC2HEX(C207*7)</f>
        <v>15</v>
      </c>
      <c r="H207" s="1" t="str">
        <f aca="false">IF(D207=0, 33, "cc")</f>
        <v>cc</v>
      </c>
    </row>
    <row r="208" customFormat="false" ht="18.65" hidden="false" customHeight="true" outlineLevel="0" collapsed="false">
      <c r="A208" s="1" t="n">
        <f aca="false">ROW()-2</f>
        <v>206</v>
      </c>
      <c r="B208" s="1" t="n">
        <f aca="false">INT(A208/$N$1)</f>
        <v>11</v>
      </c>
      <c r="C208" s="1" t="n">
        <f aca="false">INT(MOD(A208,$N$1) / 2)</f>
        <v>4</v>
      </c>
      <c r="D208" s="1" t="n">
        <f aca="false">_xlfn.BITAND(A208,1)</f>
        <v>0</v>
      </c>
      <c r="F208" s="1" t="str">
        <f aca="false">DEC2HEX(B208*$N$3*18)</f>
        <v>3180</v>
      </c>
      <c r="G208" s="1" t="str">
        <f aca="false">DEC2HEX(C208*7)</f>
        <v>1C</v>
      </c>
      <c r="H208" s="1" t="n">
        <f aca="false">IF(D208=0, 33, "cc")</f>
        <v>33</v>
      </c>
    </row>
    <row r="209" customFormat="false" ht="18.65" hidden="false" customHeight="true" outlineLevel="0" collapsed="false">
      <c r="A209" s="1" t="n">
        <f aca="false">ROW()-2</f>
        <v>207</v>
      </c>
      <c r="B209" s="1" t="n">
        <f aca="false">INT(A209/$N$1)</f>
        <v>11</v>
      </c>
      <c r="C209" s="1" t="n">
        <f aca="false">INT(MOD(A209,$N$1) / 2)</f>
        <v>4</v>
      </c>
      <c r="D209" s="1" t="n">
        <f aca="false">_xlfn.BITAND(A209,1)</f>
        <v>1</v>
      </c>
      <c r="F209" s="1" t="str">
        <f aca="false">DEC2HEX(B209*$N$3*18)</f>
        <v>3180</v>
      </c>
      <c r="G209" s="1" t="str">
        <f aca="false">DEC2HEX(C209*7)</f>
        <v>1C</v>
      </c>
      <c r="H209" s="1" t="str">
        <f aca="false">IF(D209=0, 33, "cc")</f>
        <v>cc</v>
      </c>
    </row>
    <row r="210" customFormat="false" ht="18.65" hidden="false" customHeight="true" outlineLevel="0" collapsed="false">
      <c r="A210" s="1" t="n">
        <f aca="false">ROW()-2</f>
        <v>208</v>
      </c>
      <c r="B210" s="1" t="n">
        <f aca="false">INT(A210/$N$1)</f>
        <v>11</v>
      </c>
      <c r="C210" s="1" t="n">
        <f aca="false">INT(MOD(A210,$N$1) / 2)</f>
        <v>5</v>
      </c>
      <c r="D210" s="1" t="n">
        <f aca="false">_xlfn.BITAND(A210,1)</f>
        <v>0</v>
      </c>
      <c r="F210" s="1" t="str">
        <f aca="false">DEC2HEX(B210*$N$3*18)</f>
        <v>3180</v>
      </c>
      <c r="G210" s="1" t="str">
        <f aca="false">DEC2HEX(C210*7)</f>
        <v>23</v>
      </c>
      <c r="H210" s="1" t="n">
        <f aca="false">IF(D210=0, 33, "cc")</f>
        <v>33</v>
      </c>
    </row>
    <row r="211" customFormat="false" ht="18.65" hidden="false" customHeight="true" outlineLevel="0" collapsed="false">
      <c r="A211" s="1" t="n">
        <f aca="false">ROW()-2</f>
        <v>209</v>
      </c>
      <c r="B211" s="1" t="n">
        <f aca="false">INT(A211/$N$1)</f>
        <v>11</v>
      </c>
      <c r="C211" s="1" t="n">
        <f aca="false">INT(MOD(A211,$N$1) / 2)</f>
        <v>5</v>
      </c>
      <c r="D211" s="1" t="n">
        <f aca="false">_xlfn.BITAND(A211,1)</f>
        <v>1</v>
      </c>
      <c r="F211" s="1" t="str">
        <f aca="false">DEC2HEX(B211*$N$3*18)</f>
        <v>3180</v>
      </c>
      <c r="G211" s="1" t="str">
        <f aca="false">DEC2HEX(C211*7)</f>
        <v>23</v>
      </c>
      <c r="H211" s="1" t="str">
        <f aca="false">IF(D211=0, 33, "cc")</f>
        <v>cc</v>
      </c>
    </row>
    <row r="212" customFormat="false" ht="18.65" hidden="false" customHeight="true" outlineLevel="0" collapsed="false">
      <c r="A212" s="1" t="n">
        <f aca="false">ROW()-2</f>
        <v>210</v>
      </c>
      <c r="B212" s="1" t="n">
        <f aca="false">INT(A212/$N$1)</f>
        <v>11</v>
      </c>
      <c r="C212" s="1" t="n">
        <f aca="false">INT(MOD(A212,$N$1) / 2)</f>
        <v>6</v>
      </c>
      <c r="D212" s="1" t="n">
        <f aca="false">_xlfn.BITAND(A212,1)</f>
        <v>0</v>
      </c>
      <c r="F212" s="1" t="str">
        <f aca="false">DEC2HEX(B212*$N$3*18)</f>
        <v>3180</v>
      </c>
      <c r="G212" s="1" t="str">
        <f aca="false">DEC2HEX(C212*7)</f>
        <v>2A</v>
      </c>
      <c r="H212" s="1" t="n">
        <f aca="false">IF(D212=0, 33, "cc")</f>
        <v>33</v>
      </c>
    </row>
    <row r="213" customFormat="false" ht="18.65" hidden="false" customHeight="true" outlineLevel="0" collapsed="false">
      <c r="A213" s="1" t="n">
        <f aca="false">ROW()-2</f>
        <v>211</v>
      </c>
      <c r="B213" s="1" t="n">
        <f aca="false">INT(A213/$N$1)</f>
        <v>11</v>
      </c>
      <c r="C213" s="1" t="n">
        <f aca="false">INT(MOD(A213,$N$1) / 2)</f>
        <v>6</v>
      </c>
      <c r="D213" s="1" t="n">
        <f aca="false">_xlfn.BITAND(A213,1)</f>
        <v>1</v>
      </c>
      <c r="F213" s="1" t="str">
        <f aca="false">DEC2HEX(B213*$N$3*18)</f>
        <v>3180</v>
      </c>
      <c r="G213" s="1" t="str">
        <f aca="false">DEC2HEX(C213*7)</f>
        <v>2A</v>
      </c>
      <c r="H213" s="1" t="str">
        <f aca="false">IF(D213=0, 33, "cc")</f>
        <v>cc</v>
      </c>
    </row>
    <row r="214" customFormat="false" ht="18.65" hidden="false" customHeight="true" outlineLevel="0" collapsed="false">
      <c r="A214" s="1" t="n">
        <f aca="false">ROW()-2</f>
        <v>212</v>
      </c>
      <c r="B214" s="1" t="n">
        <f aca="false">INT(A214/$N$1)</f>
        <v>11</v>
      </c>
      <c r="C214" s="1" t="n">
        <f aca="false">INT(MOD(A214,$N$1) / 2)</f>
        <v>7</v>
      </c>
      <c r="D214" s="1" t="n">
        <f aca="false">_xlfn.BITAND(A214,1)</f>
        <v>0</v>
      </c>
      <c r="F214" s="1" t="str">
        <f aca="false">DEC2HEX(B214*$N$3*18)</f>
        <v>3180</v>
      </c>
      <c r="G214" s="1" t="str">
        <f aca="false">DEC2HEX(C214*7)</f>
        <v>31</v>
      </c>
      <c r="H214" s="1" t="n">
        <f aca="false">IF(D214=0, 33, "cc")</f>
        <v>33</v>
      </c>
    </row>
    <row r="215" customFormat="false" ht="18.65" hidden="false" customHeight="true" outlineLevel="0" collapsed="false">
      <c r="A215" s="1" t="n">
        <f aca="false">ROW()-2</f>
        <v>213</v>
      </c>
      <c r="B215" s="1" t="n">
        <f aca="false">INT(A215/$N$1)</f>
        <v>11</v>
      </c>
      <c r="C215" s="1" t="n">
        <f aca="false">INT(MOD(A215,$N$1) / 2)</f>
        <v>7</v>
      </c>
      <c r="D215" s="1" t="n">
        <f aca="false">_xlfn.BITAND(A215,1)</f>
        <v>1</v>
      </c>
      <c r="F215" s="1" t="str">
        <f aca="false">DEC2HEX(B215*$N$3*18)</f>
        <v>3180</v>
      </c>
      <c r="G215" s="1" t="str">
        <f aca="false">DEC2HEX(C215*7)</f>
        <v>31</v>
      </c>
      <c r="H215" s="1" t="str">
        <f aca="false">IF(D215=0, 33, "cc")</f>
        <v>cc</v>
      </c>
    </row>
    <row r="216" customFormat="false" ht="18.65" hidden="false" customHeight="true" outlineLevel="0" collapsed="false">
      <c r="A216" s="1" t="n">
        <f aca="false">ROW()-2</f>
        <v>214</v>
      </c>
      <c r="B216" s="1" t="n">
        <f aca="false">INT(A216/$N$1)</f>
        <v>11</v>
      </c>
      <c r="C216" s="1" t="n">
        <f aca="false">INT(MOD(A216,$N$1) / 2)</f>
        <v>8</v>
      </c>
      <c r="D216" s="1" t="n">
        <f aca="false">_xlfn.BITAND(A216,1)</f>
        <v>0</v>
      </c>
      <c r="F216" s="1" t="str">
        <f aca="false">DEC2HEX(B216*$N$3*18)</f>
        <v>3180</v>
      </c>
      <c r="G216" s="1" t="str">
        <f aca="false">DEC2HEX(C216*7)</f>
        <v>38</v>
      </c>
      <c r="H216" s="1" t="n">
        <f aca="false">IF(D216=0, 33, "cc")</f>
        <v>33</v>
      </c>
    </row>
    <row r="217" customFormat="false" ht="18.65" hidden="false" customHeight="true" outlineLevel="0" collapsed="false">
      <c r="A217" s="1" t="n">
        <f aca="false">ROW()-2</f>
        <v>215</v>
      </c>
      <c r="B217" s="1" t="n">
        <f aca="false">INT(A217/$N$1)</f>
        <v>11</v>
      </c>
      <c r="C217" s="1" t="n">
        <f aca="false">INT(MOD(A217,$N$1) / 2)</f>
        <v>8</v>
      </c>
      <c r="D217" s="1" t="n">
        <f aca="false">_xlfn.BITAND(A217,1)</f>
        <v>1</v>
      </c>
      <c r="F217" s="1" t="str">
        <f aca="false">DEC2HEX(B217*$N$3*18)</f>
        <v>3180</v>
      </c>
      <c r="G217" s="1" t="str">
        <f aca="false">DEC2HEX(C217*7)</f>
        <v>38</v>
      </c>
      <c r="H217" s="1" t="str">
        <f aca="false">IF(D217=0, 33, "cc")</f>
        <v>cc</v>
      </c>
    </row>
    <row r="218" customFormat="false" ht="18.65" hidden="false" customHeight="true" outlineLevel="0" collapsed="false">
      <c r="A218" s="1" t="n">
        <f aca="false">ROW()-2</f>
        <v>216</v>
      </c>
      <c r="B218" s="1" t="n">
        <f aca="false">INT(A218/$N$1)</f>
        <v>12</v>
      </c>
      <c r="C218" s="1" t="n">
        <f aca="false">INT(MOD(A218,$N$1) / 2)</f>
        <v>0</v>
      </c>
      <c r="D218" s="1" t="n">
        <f aca="false">_xlfn.BITAND(A218,1)</f>
        <v>0</v>
      </c>
      <c r="F218" s="1" t="str">
        <f aca="false">DEC2HEX(B218*$N$3*18)</f>
        <v>3600</v>
      </c>
      <c r="G218" s="1" t="str">
        <f aca="false">DEC2HEX(C218*7)</f>
        <v>0</v>
      </c>
      <c r="H218" s="1" t="n">
        <f aca="false">IF(D218=0, 33, "cc")</f>
        <v>33</v>
      </c>
    </row>
    <row r="219" customFormat="false" ht="18.65" hidden="false" customHeight="true" outlineLevel="0" collapsed="false">
      <c r="A219" s="1" t="n">
        <f aca="false">ROW()-2</f>
        <v>217</v>
      </c>
      <c r="B219" s="1" t="n">
        <f aca="false">INT(A219/$N$1)</f>
        <v>12</v>
      </c>
      <c r="C219" s="1" t="n">
        <f aca="false">INT(MOD(A219,$N$1) / 2)</f>
        <v>0</v>
      </c>
      <c r="D219" s="1" t="n">
        <f aca="false">_xlfn.BITAND(A219,1)</f>
        <v>1</v>
      </c>
      <c r="F219" s="1" t="str">
        <f aca="false">DEC2HEX(B219*$N$3*18)</f>
        <v>3600</v>
      </c>
      <c r="G219" s="1" t="str">
        <f aca="false">DEC2HEX(C219*7)</f>
        <v>0</v>
      </c>
      <c r="H219" s="1" t="str">
        <f aca="false">IF(D219=0, 33, "cc")</f>
        <v>cc</v>
      </c>
    </row>
    <row r="220" customFormat="false" ht="18.65" hidden="false" customHeight="true" outlineLevel="0" collapsed="false">
      <c r="A220" s="1" t="n">
        <f aca="false">ROW()-2</f>
        <v>218</v>
      </c>
      <c r="B220" s="1" t="n">
        <f aca="false">INT(A220/$N$1)</f>
        <v>12</v>
      </c>
      <c r="C220" s="1" t="n">
        <f aca="false">INT(MOD(A220,$N$1) / 2)</f>
        <v>1</v>
      </c>
      <c r="D220" s="1" t="n">
        <f aca="false">_xlfn.BITAND(A220,1)</f>
        <v>0</v>
      </c>
      <c r="F220" s="1" t="str">
        <f aca="false">DEC2HEX(B220*$N$3*18)</f>
        <v>3600</v>
      </c>
      <c r="G220" s="1" t="str">
        <f aca="false">DEC2HEX(C220*7)</f>
        <v>7</v>
      </c>
      <c r="H220" s="1" t="n">
        <f aca="false">IF(D220=0, 33, "cc")</f>
        <v>33</v>
      </c>
    </row>
    <row r="221" customFormat="false" ht="18.65" hidden="false" customHeight="true" outlineLevel="0" collapsed="false">
      <c r="A221" s="1" t="n">
        <f aca="false">ROW()-2</f>
        <v>219</v>
      </c>
      <c r="B221" s="1" t="n">
        <f aca="false">INT(A221/$N$1)</f>
        <v>12</v>
      </c>
      <c r="C221" s="1" t="n">
        <f aca="false">INT(MOD(A221,$N$1) / 2)</f>
        <v>1</v>
      </c>
      <c r="D221" s="1" t="n">
        <f aca="false">_xlfn.BITAND(A221,1)</f>
        <v>1</v>
      </c>
      <c r="F221" s="1" t="str">
        <f aca="false">DEC2HEX(B221*$N$3*18)</f>
        <v>3600</v>
      </c>
      <c r="G221" s="1" t="str">
        <f aca="false">DEC2HEX(C221*7)</f>
        <v>7</v>
      </c>
      <c r="H221" s="1" t="str">
        <f aca="false">IF(D221=0, 33, "cc")</f>
        <v>cc</v>
      </c>
    </row>
    <row r="222" customFormat="false" ht="18.65" hidden="false" customHeight="true" outlineLevel="0" collapsed="false">
      <c r="A222" s="1" t="n">
        <f aca="false">ROW()-2</f>
        <v>220</v>
      </c>
      <c r="B222" s="1" t="n">
        <f aca="false">INT(A222/$N$1)</f>
        <v>12</v>
      </c>
      <c r="C222" s="1" t="n">
        <f aca="false">INT(MOD(A222,$N$1) / 2)</f>
        <v>2</v>
      </c>
      <c r="D222" s="1" t="n">
        <f aca="false">_xlfn.BITAND(A222,1)</f>
        <v>0</v>
      </c>
      <c r="F222" s="1" t="str">
        <f aca="false">DEC2HEX(B222*$N$3*18)</f>
        <v>3600</v>
      </c>
      <c r="G222" s="1" t="str">
        <f aca="false">DEC2HEX(C222*7)</f>
        <v>E</v>
      </c>
      <c r="H222" s="1" t="n">
        <f aca="false">IF(D222=0, 33, "cc")</f>
        <v>33</v>
      </c>
    </row>
    <row r="223" customFormat="false" ht="18.65" hidden="false" customHeight="true" outlineLevel="0" collapsed="false">
      <c r="A223" s="1" t="n">
        <f aca="false">ROW()-2</f>
        <v>221</v>
      </c>
      <c r="B223" s="1" t="n">
        <f aca="false">INT(A223/$N$1)</f>
        <v>12</v>
      </c>
      <c r="C223" s="1" t="n">
        <f aca="false">INT(MOD(A223,$N$1) / 2)</f>
        <v>2</v>
      </c>
      <c r="D223" s="1" t="n">
        <f aca="false">_xlfn.BITAND(A223,1)</f>
        <v>1</v>
      </c>
      <c r="F223" s="1" t="str">
        <f aca="false">DEC2HEX(B223*$N$3*18)</f>
        <v>3600</v>
      </c>
      <c r="G223" s="1" t="str">
        <f aca="false">DEC2HEX(C223*7)</f>
        <v>E</v>
      </c>
      <c r="H223" s="1" t="str">
        <f aca="false">IF(D223=0, 33, "cc")</f>
        <v>cc</v>
      </c>
    </row>
    <row r="224" customFormat="false" ht="18.65" hidden="false" customHeight="true" outlineLevel="0" collapsed="false">
      <c r="A224" s="1" t="n">
        <f aca="false">ROW()-2</f>
        <v>222</v>
      </c>
      <c r="B224" s="1" t="n">
        <f aca="false">INT(A224/$N$1)</f>
        <v>12</v>
      </c>
      <c r="C224" s="1" t="n">
        <f aca="false">INT(MOD(A224,$N$1) / 2)</f>
        <v>3</v>
      </c>
      <c r="D224" s="1" t="n">
        <f aca="false">_xlfn.BITAND(A224,1)</f>
        <v>0</v>
      </c>
      <c r="F224" s="1" t="str">
        <f aca="false">DEC2HEX(B224*$N$3*18)</f>
        <v>3600</v>
      </c>
      <c r="G224" s="1" t="str">
        <f aca="false">DEC2HEX(C224*7)</f>
        <v>15</v>
      </c>
      <c r="H224" s="1" t="n">
        <f aca="false">IF(D224=0, 33, "cc")</f>
        <v>33</v>
      </c>
    </row>
    <row r="225" customFormat="false" ht="18.65" hidden="false" customHeight="true" outlineLevel="0" collapsed="false">
      <c r="A225" s="1" t="n">
        <f aca="false">ROW()-2</f>
        <v>223</v>
      </c>
      <c r="B225" s="1" t="n">
        <f aca="false">INT(A225/$N$1)</f>
        <v>12</v>
      </c>
      <c r="C225" s="1" t="n">
        <f aca="false">INT(MOD(A225,$N$1) / 2)</f>
        <v>3</v>
      </c>
      <c r="D225" s="1" t="n">
        <f aca="false">_xlfn.BITAND(A225,1)</f>
        <v>1</v>
      </c>
      <c r="F225" s="1" t="str">
        <f aca="false">DEC2HEX(B225*$N$3*18)</f>
        <v>3600</v>
      </c>
      <c r="G225" s="1" t="str">
        <f aca="false">DEC2HEX(C225*7)</f>
        <v>15</v>
      </c>
      <c r="H225" s="1" t="str">
        <f aca="false">IF(D225=0, 33, "cc")</f>
        <v>cc</v>
      </c>
    </row>
    <row r="226" customFormat="false" ht="18.65" hidden="false" customHeight="true" outlineLevel="0" collapsed="false">
      <c r="A226" s="1" t="n">
        <f aca="false">ROW()-2</f>
        <v>224</v>
      </c>
      <c r="B226" s="1" t="n">
        <f aca="false">INT(A226/$N$1)</f>
        <v>12</v>
      </c>
      <c r="C226" s="1" t="n">
        <f aca="false">INT(MOD(A226,$N$1) / 2)</f>
        <v>4</v>
      </c>
      <c r="D226" s="1" t="n">
        <f aca="false">_xlfn.BITAND(A226,1)</f>
        <v>0</v>
      </c>
      <c r="F226" s="1" t="str">
        <f aca="false">DEC2HEX(B226*$N$3*18)</f>
        <v>3600</v>
      </c>
      <c r="G226" s="1" t="str">
        <f aca="false">DEC2HEX(C226*7)</f>
        <v>1C</v>
      </c>
      <c r="H226" s="1" t="n">
        <f aca="false">IF(D226=0, 33, "cc")</f>
        <v>33</v>
      </c>
    </row>
    <row r="227" customFormat="false" ht="18.65" hidden="false" customHeight="true" outlineLevel="0" collapsed="false">
      <c r="A227" s="1" t="n">
        <f aca="false">ROW()-2</f>
        <v>225</v>
      </c>
      <c r="B227" s="1" t="n">
        <f aca="false">INT(A227/$N$1)</f>
        <v>12</v>
      </c>
      <c r="C227" s="1" t="n">
        <f aca="false">INT(MOD(A227,$N$1) / 2)</f>
        <v>4</v>
      </c>
      <c r="D227" s="1" t="n">
        <f aca="false">_xlfn.BITAND(A227,1)</f>
        <v>1</v>
      </c>
      <c r="F227" s="1" t="str">
        <f aca="false">DEC2HEX(B227*$N$3*18)</f>
        <v>3600</v>
      </c>
      <c r="G227" s="1" t="str">
        <f aca="false">DEC2HEX(C227*7)</f>
        <v>1C</v>
      </c>
      <c r="H227" s="1" t="str">
        <f aca="false">IF(D227=0, 33, "cc")</f>
        <v>cc</v>
      </c>
    </row>
    <row r="228" customFormat="false" ht="18.65" hidden="false" customHeight="true" outlineLevel="0" collapsed="false">
      <c r="A228" s="1" t="n">
        <f aca="false">ROW()-2</f>
        <v>226</v>
      </c>
      <c r="B228" s="1" t="n">
        <f aca="false">INT(A228/$N$1)</f>
        <v>12</v>
      </c>
      <c r="C228" s="1" t="n">
        <f aca="false">INT(MOD(A228,$N$1) / 2)</f>
        <v>5</v>
      </c>
      <c r="D228" s="1" t="n">
        <f aca="false">_xlfn.BITAND(A228,1)</f>
        <v>0</v>
      </c>
      <c r="F228" s="1" t="str">
        <f aca="false">DEC2HEX(B228*$N$3*18)</f>
        <v>3600</v>
      </c>
      <c r="G228" s="1" t="str">
        <f aca="false">DEC2HEX(C228*7)</f>
        <v>23</v>
      </c>
      <c r="H228" s="1" t="n">
        <f aca="false">IF(D228=0, 33, "cc")</f>
        <v>33</v>
      </c>
    </row>
    <row r="229" customFormat="false" ht="18.65" hidden="false" customHeight="true" outlineLevel="0" collapsed="false">
      <c r="A229" s="1" t="n">
        <f aca="false">ROW()-2</f>
        <v>227</v>
      </c>
      <c r="B229" s="1" t="n">
        <f aca="false">INT(A229/$N$1)</f>
        <v>12</v>
      </c>
      <c r="C229" s="1" t="n">
        <f aca="false">INT(MOD(A229,$N$1) / 2)</f>
        <v>5</v>
      </c>
      <c r="D229" s="1" t="n">
        <f aca="false">_xlfn.BITAND(A229,1)</f>
        <v>1</v>
      </c>
      <c r="F229" s="1" t="str">
        <f aca="false">DEC2HEX(B229*$N$3*18)</f>
        <v>3600</v>
      </c>
      <c r="G229" s="1" t="str">
        <f aca="false">DEC2HEX(C229*7)</f>
        <v>23</v>
      </c>
      <c r="H229" s="1" t="str">
        <f aca="false">IF(D229=0, 33, "cc")</f>
        <v>cc</v>
      </c>
    </row>
    <row r="230" customFormat="false" ht="18.65" hidden="false" customHeight="true" outlineLevel="0" collapsed="false">
      <c r="A230" s="1" t="n">
        <f aca="false">ROW()-2</f>
        <v>228</v>
      </c>
      <c r="B230" s="1" t="n">
        <f aca="false">INT(A230/$N$1)</f>
        <v>12</v>
      </c>
      <c r="C230" s="1" t="n">
        <f aca="false">INT(MOD(A230,$N$1) / 2)</f>
        <v>6</v>
      </c>
      <c r="D230" s="1" t="n">
        <f aca="false">_xlfn.BITAND(A230,1)</f>
        <v>0</v>
      </c>
      <c r="F230" s="1" t="str">
        <f aca="false">DEC2HEX(B230*$N$3*18)</f>
        <v>3600</v>
      </c>
      <c r="G230" s="1" t="str">
        <f aca="false">DEC2HEX(C230*7)</f>
        <v>2A</v>
      </c>
      <c r="H230" s="1" t="n">
        <f aca="false">IF(D230=0, 33, "cc")</f>
        <v>33</v>
      </c>
    </row>
    <row r="231" customFormat="false" ht="18.65" hidden="false" customHeight="true" outlineLevel="0" collapsed="false">
      <c r="A231" s="1" t="n">
        <f aca="false">ROW()-2</f>
        <v>229</v>
      </c>
      <c r="B231" s="1" t="n">
        <f aca="false">INT(A231/$N$1)</f>
        <v>12</v>
      </c>
      <c r="C231" s="1" t="n">
        <f aca="false">INT(MOD(A231,$N$1) / 2)</f>
        <v>6</v>
      </c>
      <c r="D231" s="1" t="n">
        <f aca="false">_xlfn.BITAND(A231,1)</f>
        <v>1</v>
      </c>
      <c r="F231" s="1" t="str">
        <f aca="false">DEC2HEX(B231*$N$3*18)</f>
        <v>3600</v>
      </c>
      <c r="G231" s="1" t="str">
        <f aca="false">DEC2HEX(C231*7)</f>
        <v>2A</v>
      </c>
      <c r="H231" s="1" t="str">
        <f aca="false">IF(D231=0, 33, "cc")</f>
        <v>cc</v>
      </c>
    </row>
    <row r="232" customFormat="false" ht="18.65" hidden="false" customHeight="true" outlineLevel="0" collapsed="false">
      <c r="A232" s="1" t="n">
        <f aca="false">ROW()-2</f>
        <v>230</v>
      </c>
      <c r="B232" s="1" t="n">
        <f aca="false">INT(A232/$N$1)</f>
        <v>12</v>
      </c>
      <c r="C232" s="1" t="n">
        <f aca="false">INT(MOD(A232,$N$1) / 2)</f>
        <v>7</v>
      </c>
      <c r="D232" s="1" t="n">
        <f aca="false">_xlfn.BITAND(A232,1)</f>
        <v>0</v>
      </c>
      <c r="F232" s="1" t="str">
        <f aca="false">DEC2HEX(B232*$N$3*18)</f>
        <v>3600</v>
      </c>
      <c r="G232" s="1" t="str">
        <f aca="false">DEC2HEX(C232*7)</f>
        <v>31</v>
      </c>
      <c r="H232" s="1" t="n">
        <f aca="false">IF(D232=0, 33, "cc")</f>
        <v>33</v>
      </c>
    </row>
    <row r="233" customFormat="false" ht="18.65" hidden="false" customHeight="true" outlineLevel="0" collapsed="false">
      <c r="A233" s="1" t="n">
        <f aca="false">ROW()-2</f>
        <v>231</v>
      </c>
      <c r="B233" s="1" t="n">
        <f aca="false">INT(A233/$N$1)</f>
        <v>12</v>
      </c>
      <c r="C233" s="1" t="n">
        <f aca="false">INT(MOD(A233,$N$1) / 2)</f>
        <v>7</v>
      </c>
      <c r="D233" s="1" t="n">
        <f aca="false">_xlfn.BITAND(A233,1)</f>
        <v>1</v>
      </c>
      <c r="F233" s="1" t="str">
        <f aca="false">DEC2HEX(B233*$N$3*18)</f>
        <v>3600</v>
      </c>
      <c r="G233" s="1" t="str">
        <f aca="false">DEC2HEX(C233*7)</f>
        <v>31</v>
      </c>
      <c r="H233" s="1" t="str">
        <f aca="false">IF(D233=0, 33, "cc")</f>
        <v>cc</v>
      </c>
    </row>
    <row r="234" customFormat="false" ht="18.65" hidden="false" customHeight="true" outlineLevel="0" collapsed="false">
      <c r="A234" s="1" t="n">
        <f aca="false">ROW()-2</f>
        <v>232</v>
      </c>
      <c r="B234" s="1" t="n">
        <f aca="false">INT(A234/$N$1)</f>
        <v>12</v>
      </c>
      <c r="C234" s="1" t="n">
        <f aca="false">INT(MOD(A234,$N$1) / 2)</f>
        <v>8</v>
      </c>
      <c r="D234" s="1" t="n">
        <f aca="false">_xlfn.BITAND(A234,1)</f>
        <v>0</v>
      </c>
      <c r="F234" s="1" t="str">
        <f aca="false">DEC2HEX(B234*$N$3*18)</f>
        <v>3600</v>
      </c>
      <c r="G234" s="1" t="str">
        <f aca="false">DEC2HEX(C234*7)</f>
        <v>38</v>
      </c>
      <c r="H234" s="1" t="n">
        <f aca="false">IF(D234=0, 33, "cc")</f>
        <v>33</v>
      </c>
    </row>
    <row r="235" customFormat="false" ht="18.65" hidden="false" customHeight="true" outlineLevel="0" collapsed="false">
      <c r="A235" s="1" t="n">
        <f aca="false">ROW()-2</f>
        <v>233</v>
      </c>
      <c r="B235" s="1" t="n">
        <f aca="false">INT(A235/$N$1)</f>
        <v>12</v>
      </c>
      <c r="C235" s="1" t="n">
        <f aca="false">INT(MOD(A235,$N$1) / 2)</f>
        <v>8</v>
      </c>
      <c r="D235" s="1" t="n">
        <f aca="false">_xlfn.BITAND(A235,1)</f>
        <v>1</v>
      </c>
      <c r="F235" s="1" t="str">
        <f aca="false">DEC2HEX(B235*$N$3*18)</f>
        <v>3600</v>
      </c>
      <c r="G235" s="1" t="str">
        <f aca="false">DEC2HEX(C235*7)</f>
        <v>38</v>
      </c>
      <c r="H235" s="1" t="str">
        <f aca="false">IF(D235=0, 33, "cc")</f>
        <v>cc</v>
      </c>
    </row>
    <row r="236" customFormat="false" ht="18.65" hidden="false" customHeight="true" outlineLevel="0" collapsed="false">
      <c r="A236" s="1" t="n">
        <f aca="false">ROW()-2</f>
        <v>234</v>
      </c>
      <c r="B236" s="1" t="n">
        <f aca="false">INT(A236/$N$1)</f>
        <v>13</v>
      </c>
      <c r="C236" s="1" t="n">
        <f aca="false">INT(MOD(A236,$N$1) / 2)</f>
        <v>0</v>
      </c>
      <c r="D236" s="1" t="n">
        <f aca="false">_xlfn.BITAND(A236,1)</f>
        <v>0</v>
      </c>
      <c r="F236" s="1" t="str">
        <f aca="false">DEC2HEX(B236*$N$3*18)</f>
        <v>3A80</v>
      </c>
      <c r="G236" s="1" t="str">
        <f aca="false">DEC2HEX(C236*7)</f>
        <v>0</v>
      </c>
      <c r="H236" s="1" t="n">
        <f aca="false">IF(D236=0, 33, "cc")</f>
        <v>33</v>
      </c>
    </row>
    <row r="237" customFormat="false" ht="18.65" hidden="false" customHeight="true" outlineLevel="0" collapsed="false">
      <c r="A237" s="1" t="n">
        <f aca="false">ROW()-2</f>
        <v>235</v>
      </c>
      <c r="B237" s="1" t="n">
        <f aca="false">INT(A237/$N$1)</f>
        <v>13</v>
      </c>
      <c r="C237" s="1" t="n">
        <f aca="false">INT(MOD(A237,$N$1) / 2)</f>
        <v>0</v>
      </c>
      <c r="D237" s="1" t="n">
        <f aca="false">_xlfn.BITAND(A237,1)</f>
        <v>1</v>
      </c>
      <c r="F237" s="1" t="str">
        <f aca="false">DEC2HEX(B237*$N$3*18)</f>
        <v>3A80</v>
      </c>
      <c r="G237" s="1" t="str">
        <f aca="false">DEC2HEX(C237*7)</f>
        <v>0</v>
      </c>
      <c r="H237" s="1" t="str">
        <f aca="false">IF(D237=0, 33, "cc")</f>
        <v>cc</v>
      </c>
    </row>
    <row r="238" customFormat="false" ht="18.65" hidden="false" customHeight="true" outlineLevel="0" collapsed="false">
      <c r="A238" s="1" t="n">
        <f aca="false">ROW()-2</f>
        <v>236</v>
      </c>
      <c r="B238" s="1" t="n">
        <f aca="false">INT(A238/$N$1)</f>
        <v>13</v>
      </c>
      <c r="C238" s="1" t="n">
        <f aca="false">INT(MOD(A238,$N$1) / 2)</f>
        <v>1</v>
      </c>
      <c r="D238" s="1" t="n">
        <f aca="false">_xlfn.BITAND(A238,1)</f>
        <v>0</v>
      </c>
      <c r="F238" s="1" t="str">
        <f aca="false">DEC2HEX(B238*$N$3*18)</f>
        <v>3A80</v>
      </c>
      <c r="G238" s="1" t="str">
        <f aca="false">DEC2HEX(C238*7)</f>
        <v>7</v>
      </c>
      <c r="H238" s="1" t="n">
        <f aca="false">IF(D238=0, 33, "cc")</f>
        <v>33</v>
      </c>
    </row>
    <row r="239" customFormat="false" ht="18.65" hidden="false" customHeight="true" outlineLevel="0" collapsed="false">
      <c r="A239" s="1" t="n">
        <f aca="false">ROW()-2</f>
        <v>237</v>
      </c>
      <c r="B239" s="1" t="n">
        <f aca="false">INT(A239/$N$1)</f>
        <v>13</v>
      </c>
      <c r="C239" s="1" t="n">
        <f aca="false">INT(MOD(A239,$N$1) / 2)</f>
        <v>1</v>
      </c>
      <c r="D239" s="1" t="n">
        <f aca="false">_xlfn.BITAND(A239,1)</f>
        <v>1</v>
      </c>
      <c r="F239" s="1" t="str">
        <f aca="false">DEC2HEX(B239*$N$3*18)</f>
        <v>3A80</v>
      </c>
      <c r="G239" s="1" t="str">
        <f aca="false">DEC2HEX(C239*7)</f>
        <v>7</v>
      </c>
      <c r="H239" s="1" t="str">
        <f aca="false">IF(D239=0, 33, "cc")</f>
        <v>cc</v>
      </c>
    </row>
    <row r="240" customFormat="false" ht="18.65" hidden="false" customHeight="true" outlineLevel="0" collapsed="false">
      <c r="A240" s="1" t="n">
        <f aca="false">ROW()-2</f>
        <v>238</v>
      </c>
      <c r="B240" s="1" t="n">
        <f aca="false">INT(A240/$N$1)</f>
        <v>13</v>
      </c>
      <c r="C240" s="1" t="n">
        <f aca="false">INT(MOD(A240,$N$1) / 2)</f>
        <v>2</v>
      </c>
      <c r="D240" s="1" t="n">
        <f aca="false">_xlfn.BITAND(A240,1)</f>
        <v>0</v>
      </c>
      <c r="F240" s="1" t="str">
        <f aca="false">DEC2HEX(B240*$N$3*18)</f>
        <v>3A80</v>
      </c>
      <c r="G240" s="1" t="str">
        <f aca="false">DEC2HEX(C240*7)</f>
        <v>E</v>
      </c>
      <c r="H240" s="1" t="n">
        <f aca="false">IF(D240=0, 33, "cc")</f>
        <v>33</v>
      </c>
    </row>
    <row r="241" customFormat="false" ht="18.65" hidden="false" customHeight="true" outlineLevel="0" collapsed="false">
      <c r="A241" s="1" t="n">
        <f aca="false">ROW()-2</f>
        <v>239</v>
      </c>
      <c r="B241" s="1" t="n">
        <f aca="false">INT(A241/$N$1)</f>
        <v>13</v>
      </c>
      <c r="C241" s="1" t="n">
        <f aca="false">INT(MOD(A241,$N$1) / 2)</f>
        <v>2</v>
      </c>
      <c r="D241" s="1" t="n">
        <f aca="false">_xlfn.BITAND(A241,1)</f>
        <v>1</v>
      </c>
      <c r="F241" s="1" t="str">
        <f aca="false">DEC2HEX(B241*$N$3*18)</f>
        <v>3A80</v>
      </c>
      <c r="G241" s="1" t="str">
        <f aca="false">DEC2HEX(C241*7)</f>
        <v>E</v>
      </c>
      <c r="H241" s="1" t="str">
        <f aca="false">IF(D241=0, 33, "cc")</f>
        <v>cc</v>
      </c>
    </row>
    <row r="242" customFormat="false" ht="18.65" hidden="false" customHeight="true" outlineLevel="0" collapsed="false">
      <c r="A242" s="1" t="n">
        <f aca="false">ROW()-2</f>
        <v>240</v>
      </c>
      <c r="B242" s="1" t="n">
        <f aca="false">INT(A242/$N$1)</f>
        <v>13</v>
      </c>
      <c r="C242" s="1" t="n">
        <f aca="false">INT(MOD(A242,$N$1) / 2)</f>
        <v>3</v>
      </c>
      <c r="D242" s="1" t="n">
        <f aca="false">_xlfn.BITAND(A242,1)</f>
        <v>0</v>
      </c>
      <c r="F242" s="1" t="str">
        <f aca="false">DEC2HEX(B242*$N$3*18)</f>
        <v>3A80</v>
      </c>
      <c r="G242" s="1" t="str">
        <f aca="false">DEC2HEX(C242*7)</f>
        <v>15</v>
      </c>
      <c r="H242" s="1" t="n">
        <f aca="false">IF(D242=0, 33, "cc")</f>
        <v>33</v>
      </c>
    </row>
    <row r="243" customFormat="false" ht="18.65" hidden="false" customHeight="true" outlineLevel="0" collapsed="false">
      <c r="A243" s="1" t="n">
        <f aca="false">ROW()-2</f>
        <v>241</v>
      </c>
      <c r="B243" s="1" t="n">
        <f aca="false">INT(A243/$N$1)</f>
        <v>13</v>
      </c>
      <c r="C243" s="1" t="n">
        <f aca="false">INT(MOD(A243,$N$1) / 2)</f>
        <v>3</v>
      </c>
      <c r="D243" s="1" t="n">
        <f aca="false">_xlfn.BITAND(A243,1)</f>
        <v>1</v>
      </c>
      <c r="F243" s="1" t="str">
        <f aca="false">DEC2HEX(B243*$N$3*18)</f>
        <v>3A80</v>
      </c>
      <c r="G243" s="1" t="str">
        <f aca="false">DEC2HEX(C243*7)</f>
        <v>15</v>
      </c>
      <c r="H243" s="1" t="str">
        <f aca="false">IF(D243=0, 33, "cc")</f>
        <v>cc</v>
      </c>
    </row>
    <row r="244" customFormat="false" ht="18.65" hidden="false" customHeight="true" outlineLevel="0" collapsed="false">
      <c r="A244" s="1" t="n">
        <f aca="false">ROW()-2</f>
        <v>242</v>
      </c>
      <c r="B244" s="1" t="n">
        <f aca="false">INT(A244/$N$1)</f>
        <v>13</v>
      </c>
      <c r="C244" s="1" t="n">
        <f aca="false">INT(MOD(A244,$N$1) / 2)</f>
        <v>4</v>
      </c>
      <c r="D244" s="1" t="n">
        <f aca="false">_xlfn.BITAND(A244,1)</f>
        <v>0</v>
      </c>
      <c r="F244" s="1" t="str">
        <f aca="false">DEC2HEX(B244*$N$3*18)</f>
        <v>3A80</v>
      </c>
      <c r="G244" s="1" t="str">
        <f aca="false">DEC2HEX(C244*7)</f>
        <v>1C</v>
      </c>
      <c r="H244" s="1" t="n">
        <f aca="false">IF(D244=0, 33, "cc")</f>
        <v>33</v>
      </c>
    </row>
    <row r="245" customFormat="false" ht="18.65" hidden="false" customHeight="true" outlineLevel="0" collapsed="false">
      <c r="A245" s="1" t="n">
        <f aca="false">ROW()-2</f>
        <v>243</v>
      </c>
      <c r="B245" s="1" t="n">
        <f aca="false">INT(A245/$N$1)</f>
        <v>13</v>
      </c>
      <c r="C245" s="1" t="n">
        <f aca="false">INT(MOD(A245,$N$1) / 2)</f>
        <v>4</v>
      </c>
      <c r="D245" s="1" t="n">
        <f aca="false">_xlfn.BITAND(A245,1)</f>
        <v>1</v>
      </c>
      <c r="F245" s="1" t="str">
        <f aca="false">DEC2HEX(B245*$N$3*18)</f>
        <v>3A80</v>
      </c>
      <c r="G245" s="1" t="str">
        <f aca="false">DEC2HEX(C245*7)</f>
        <v>1C</v>
      </c>
      <c r="H245" s="1" t="str">
        <f aca="false">IF(D245=0, 33, "cc")</f>
        <v>cc</v>
      </c>
    </row>
    <row r="246" customFormat="false" ht="18.65" hidden="false" customHeight="true" outlineLevel="0" collapsed="false">
      <c r="A246" s="1" t="n">
        <f aca="false">ROW()-2</f>
        <v>244</v>
      </c>
      <c r="B246" s="1" t="n">
        <f aca="false">INT(A246/$N$1)</f>
        <v>13</v>
      </c>
      <c r="C246" s="1" t="n">
        <f aca="false">INT(MOD(A246,$N$1) / 2)</f>
        <v>5</v>
      </c>
      <c r="D246" s="1" t="n">
        <f aca="false">_xlfn.BITAND(A246,1)</f>
        <v>0</v>
      </c>
      <c r="F246" s="1" t="str">
        <f aca="false">DEC2HEX(B246*$N$3*18)</f>
        <v>3A80</v>
      </c>
      <c r="G246" s="1" t="str">
        <f aca="false">DEC2HEX(C246*7)</f>
        <v>23</v>
      </c>
      <c r="H246" s="1" t="n">
        <f aca="false">IF(D246=0, 33, "cc")</f>
        <v>33</v>
      </c>
    </row>
    <row r="247" customFormat="false" ht="18.65" hidden="false" customHeight="true" outlineLevel="0" collapsed="false">
      <c r="A247" s="1" t="n">
        <f aca="false">ROW()-2</f>
        <v>245</v>
      </c>
      <c r="B247" s="1" t="n">
        <f aca="false">INT(A247/$N$1)</f>
        <v>13</v>
      </c>
      <c r="C247" s="1" t="n">
        <f aca="false">INT(MOD(A247,$N$1) / 2)</f>
        <v>5</v>
      </c>
      <c r="D247" s="1" t="n">
        <f aca="false">_xlfn.BITAND(A247,1)</f>
        <v>1</v>
      </c>
      <c r="F247" s="1" t="str">
        <f aca="false">DEC2HEX(B247*$N$3*18)</f>
        <v>3A80</v>
      </c>
      <c r="G247" s="1" t="str">
        <f aca="false">DEC2HEX(C247*7)</f>
        <v>23</v>
      </c>
      <c r="H247" s="1" t="str">
        <f aca="false">IF(D247=0, 33, "cc")</f>
        <v>cc</v>
      </c>
    </row>
    <row r="248" customFormat="false" ht="18.65" hidden="false" customHeight="true" outlineLevel="0" collapsed="false">
      <c r="A248" s="1" t="n">
        <f aca="false">ROW()-2</f>
        <v>246</v>
      </c>
      <c r="B248" s="1" t="n">
        <f aca="false">INT(A248/$N$1)</f>
        <v>13</v>
      </c>
      <c r="C248" s="1" t="n">
        <f aca="false">INT(MOD(A248,$N$1) / 2)</f>
        <v>6</v>
      </c>
      <c r="D248" s="1" t="n">
        <f aca="false">_xlfn.BITAND(A248,1)</f>
        <v>0</v>
      </c>
      <c r="F248" s="1" t="str">
        <f aca="false">DEC2HEX(B248*$N$3*18)</f>
        <v>3A80</v>
      </c>
      <c r="G248" s="1" t="str">
        <f aca="false">DEC2HEX(C248*7)</f>
        <v>2A</v>
      </c>
      <c r="H248" s="1" t="n">
        <f aca="false">IF(D248=0, 33, "cc")</f>
        <v>33</v>
      </c>
    </row>
    <row r="249" customFormat="false" ht="18.65" hidden="false" customHeight="true" outlineLevel="0" collapsed="false">
      <c r="A249" s="1" t="n">
        <f aca="false">ROW()-2</f>
        <v>247</v>
      </c>
      <c r="B249" s="1" t="n">
        <f aca="false">INT(A249/$N$1)</f>
        <v>13</v>
      </c>
      <c r="C249" s="1" t="n">
        <f aca="false">INT(MOD(A249,$N$1) / 2)</f>
        <v>6</v>
      </c>
      <c r="D249" s="1" t="n">
        <f aca="false">_xlfn.BITAND(A249,1)</f>
        <v>1</v>
      </c>
      <c r="F249" s="1" t="str">
        <f aca="false">DEC2HEX(B249*$N$3*18)</f>
        <v>3A80</v>
      </c>
      <c r="G249" s="1" t="str">
        <f aca="false">DEC2HEX(C249*7)</f>
        <v>2A</v>
      </c>
      <c r="H249" s="1" t="str">
        <f aca="false">IF(D249=0, 33, "cc")</f>
        <v>cc</v>
      </c>
    </row>
    <row r="250" customFormat="false" ht="18.65" hidden="false" customHeight="true" outlineLevel="0" collapsed="false">
      <c r="A250" s="1" t="n">
        <f aca="false">ROW()-2</f>
        <v>248</v>
      </c>
      <c r="B250" s="1" t="n">
        <f aca="false">INT(A250/$N$1)</f>
        <v>13</v>
      </c>
      <c r="C250" s="1" t="n">
        <f aca="false">INT(MOD(A250,$N$1) / 2)</f>
        <v>7</v>
      </c>
      <c r="D250" s="1" t="n">
        <f aca="false">_xlfn.BITAND(A250,1)</f>
        <v>0</v>
      </c>
      <c r="F250" s="1" t="str">
        <f aca="false">DEC2HEX(B250*$N$3*18)</f>
        <v>3A80</v>
      </c>
      <c r="G250" s="1" t="str">
        <f aca="false">DEC2HEX(C250*7)</f>
        <v>31</v>
      </c>
      <c r="H250" s="1" t="n">
        <f aca="false">IF(D250=0, 33, "cc")</f>
        <v>33</v>
      </c>
    </row>
    <row r="251" customFormat="false" ht="18.65" hidden="false" customHeight="true" outlineLevel="0" collapsed="false">
      <c r="A251" s="1" t="n">
        <f aca="false">ROW()-2</f>
        <v>249</v>
      </c>
      <c r="B251" s="1" t="n">
        <f aca="false">INT(A251/$N$1)</f>
        <v>13</v>
      </c>
      <c r="C251" s="1" t="n">
        <f aca="false">INT(MOD(A251,$N$1) / 2)</f>
        <v>7</v>
      </c>
      <c r="D251" s="1" t="n">
        <f aca="false">_xlfn.BITAND(A251,1)</f>
        <v>1</v>
      </c>
      <c r="F251" s="1" t="str">
        <f aca="false">DEC2HEX(B251*$N$3*18)</f>
        <v>3A80</v>
      </c>
      <c r="G251" s="1" t="str">
        <f aca="false">DEC2HEX(C251*7)</f>
        <v>31</v>
      </c>
      <c r="H251" s="1" t="str">
        <f aca="false">IF(D251=0, 33, "cc")</f>
        <v>cc</v>
      </c>
    </row>
    <row r="252" customFormat="false" ht="18.65" hidden="false" customHeight="true" outlineLevel="0" collapsed="false">
      <c r="A252" s="1" t="n">
        <f aca="false">ROW()-2</f>
        <v>250</v>
      </c>
      <c r="B252" s="1" t="n">
        <f aca="false">INT(A252/$N$1)</f>
        <v>13</v>
      </c>
      <c r="C252" s="1" t="n">
        <f aca="false">INT(MOD(A252,$N$1) / 2)</f>
        <v>8</v>
      </c>
      <c r="D252" s="1" t="n">
        <f aca="false">_xlfn.BITAND(A252,1)</f>
        <v>0</v>
      </c>
      <c r="F252" s="1" t="str">
        <f aca="false">DEC2HEX(B252*$N$3*18)</f>
        <v>3A80</v>
      </c>
      <c r="G252" s="1" t="str">
        <f aca="false">DEC2HEX(C252*7)</f>
        <v>38</v>
      </c>
      <c r="H252" s="1" t="n">
        <f aca="false">IF(D252=0, 33, "cc")</f>
        <v>33</v>
      </c>
    </row>
    <row r="253" customFormat="false" ht="18.65" hidden="false" customHeight="true" outlineLevel="0" collapsed="false">
      <c r="A253" s="1" t="n">
        <f aca="false">ROW()-2</f>
        <v>251</v>
      </c>
      <c r="B253" s="1" t="n">
        <f aca="false">INT(A253/$N$1)</f>
        <v>13</v>
      </c>
      <c r="C253" s="1" t="n">
        <f aca="false">INT(MOD(A253,$N$1) / 2)</f>
        <v>8</v>
      </c>
      <c r="D253" s="1" t="n">
        <f aca="false">_xlfn.BITAND(A253,1)</f>
        <v>1</v>
      </c>
      <c r="F253" s="1" t="str">
        <f aca="false">DEC2HEX(B253*$N$3*18)</f>
        <v>3A80</v>
      </c>
      <c r="G253" s="1" t="str">
        <f aca="false">DEC2HEX(C253*7)</f>
        <v>38</v>
      </c>
      <c r="H253" s="1" t="str">
        <f aca="false">IF(D253=0, 33, "cc")</f>
        <v>cc</v>
      </c>
    </row>
    <row r="254" customFormat="false" ht="18.65" hidden="false" customHeight="true" outlineLevel="0" collapsed="false">
      <c r="A254" s="1" t="n">
        <f aca="false">ROW()-2</f>
        <v>252</v>
      </c>
      <c r="B254" s="1" t="n">
        <f aca="false">INT(A254/$N$1)</f>
        <v>14</v>
      </c>
      <c r="C254" s="1" t="n">
        <f aca="false">INT(MOD(A254,$N$1) / 2)</f>
        <v>0</v>
      </c>
      <c r="D254" s="1" t="n">
        <f aca="false">_xlfn.BITAND(A254,1)</f>
        <v>0</v>
      </c>
      <c r="F254" s="1" t="str">
        <f aca="false">DEC2HEX(B254*$N$3*18)</f>
        <v>3F00</v>
      </c>
      <c r="G254" s="1" t="str">
        <f aca="false">DEC2HEX(C254*7)</f>
        <v>0</v>
      </c>
      <c r="H254" s="1" t="n">
        <f aca="false">IF(D254=0, 33, "cc")</f>
        <v>33</v>
      </c>
    </row>
    <row r="255" customFormat="false" ht="18.65" hidden="false" customHeight="true" outlineLevel="0" collapsed="false">
      <c r="A255" s="1" t="n">
        <f aca="false">ROW()-2</f>
        <v>253</v>
      </c>
      <c r="B255" s="1" t="n">
        <f aca="false">INT(A255/$N$1)</f>
        <v>14</v>
      </c>
      <c r="C255" s="1" t="n">
        <f aca="false">INT(MOD(A255,$N$1) / 2)</f>
        <v>0</v>
      </c>
      <c r="D255" s="1" t="n">
        <f aca="false">_xlfn.BITAND(A255,1)</f>
        <v>1</v>
      </c>
      <c r="F255" s="1" t="str">
        <f aca="false">DEC2HEX(B255*$N$3*18)</f>
        <v>3F00</v>
      </c>
      <c r="G255" s="1" t="str">
        <f aca="false">DEC2HEX(C255*7)</f>
        <v>0</v>
      </c>
      <c r="H255" s="1" t="str">
        <f aca="false">IF(D255=0, 33, "cc")</f>
        <v>cc</v>
      </c>
    </row>
    <row r="256" customFormat="false" ht="18.65" hidden="false" customHeight="true" outlineLevel="0" collapsed="false">
      <c r="A256" s="1" t="n">
        <f aca="false">ROW()-2</f>
        <v>254</v>
      </c>
      <c r="B256" s="1" t="n">
        <f aca="false">INT(A256/$N$1)</f>
        <v>14</v>
      </c>
      <c r="C256" s="1" t="n">
        <f aca="false">INT(MOD(A256,$N$1) / 2)</f>
        <v>1</v>
      </c>
      <c r="D256" s="1" t="n">
        <f aca="false">_xlfn.BITAND(A256,1)</f>
        <v>0</v>
      </c>
      <c r="F256" s="1" t="str">
        <f aca="false">DEC2HEX(B256*$N$3*18)</f>
        <v>3F00</v>
      </c>
      <c r="G256" s="1" t="str">
        <f aca="false">DEC2HEX(C256*7)</f>
        <v>7</v>
      </c>
      <c r="H256" s="1" t="n">
        <f aca="false">IF(D256=0, 33, "cc")</f>
        <v>33</v>
      </c>
    </row>
    <row r="257" customFormat="false" ht="18.65" hidden="false" customHeight="true" outlineLevel="0" collapsed="false">
      <c r="A257" s="1" t="n">
        <f aca="false">ROW()-2</f>
        <v>255</v>
      </c>
      <c r="B257" s="1" t="n">
        <f aca="false">INT(A257/$N$1)</f>
        <v>14</v>
      </c>
      <c r="C257" s="1" t="n">
        <f aca="false">INT(MOD(A257,$N$1) / 2)</f>
        <v>1</v>
      </c>
      <c r="D257" s="1" t="n">
        <f aca="false">_xlfn.BITAND(A257,1)</f>
        <v>1</v>
      </c>
      <c r="F257" s="1" t="str">
        <f aca="false">DEC2HEX(B257*$N$3*18)</f>
        <v>3F00</v>
      </c>
      <c r="G257" s="1" t="str">
        <f aca="false">DEC2HEX(C257*7)</f>
        <v>7</v>
      </c>
      <c r="H257" s="1" t="str">
        <f aca="false">IF(D257=0, 33, "cc")</f>
        <v>cc</v>
      </c>
    </row>
    <row r="258" customFormat="false" ht="18.65" hidden="false" customHeight="true" outlineLevel="0" collapsed="false">
      <c r="A258" s="1" t="n">
        <f aca="false">ROW()-2</f>
        <v>256</v>
      </c>
      <c r="B258" s="1" t="n">
        <f aca="false">INT(A258/$N$1)</f>
        <v>14</v>
      </c>
      <c r="C258" s="1" t="n">
        <f aca="false">INT(MOD(A258,$N$1) / 2)</f>
        <v>2</v>
      </c>
      <c r="D258" s="1" t="n">
        <f aca="false">_xlfn.BITAND(A258,1)</f>
        <v>0</v>
      </c>
      <c r="F258" s="1" t="str">
        <f aca="false">DEC2HEX(B258*$N$3*18)</f>
        <v>3F00</v>
      </c>
      <c r="G258" s="1" t="str">
        <f aca="false">DEC2HEX(C258*7)</f>
        <v>E</v>
      </c>
      <c r="H258" s="1" t="n">
        <f aca="false">IF(D258=0, 33, "cc")</f>
        <v>33</v>
      </c>
    </row>
    <row r="259" customFormat="false" ht="18.65" hidden="false" customHeight="true" outlineLevel="0" collapsed="false">
      <c r="A259" s="1" t="n">
        <f aca="false">ROW()-2</f>
        <v>257</v>
      </c>
      <c r="B259" s="1" t="n">
        <f aca="false">INT(A259/$N$1)</f>
        <v>14</v>
      </c>
      <c r="C259" s="1" t="n">
        <f aca="false">INT(MOD(A259,$N$1) / 2)</f>
        <v>2</v>
      </c>
      <c r="D259" s="1" t="n">
        <f aca="false">_xlfn.BITAND(A259,1)</f>
        <v>1</v>
      </c>
      <c r="F259" s="1" t="str">
        <f aca="false">DEC2HEX(B259*$N$3*18)</f>
        <v>3F00</v>
      </c>
      <c r="G259" s="1" t="str">
        <f aca="false">DEC2HEX(C259*7)</f>
        <v>E</v>
      </c>
      <c r="H259" s="1" t="str">
        <f aca="false">IF(D259=0, 33, "cc")</f>
        <v>cc</v>
      </c>
    </row>
    <row r="260" customFormat="false" ht="18.65" hidden="false" customHeight="true" outlineLevel="0" collapsed="false">
      <c r="A260" s="1" t="n">
        <f aca="false">ROW()-2</f>
        <v>258</v>
      </c>
      <c r="B260" s="1" t="n">
        <f aca="false">INT(A260/$N$1)</f>
        <v>14</v>
      </c>
      <c r="C260" s="1" t="n">
        <f aca="false">INT(MOD(A260,$N$1) / 2)</f>
        <v>3</v>
      </c>
      <c r="D260" s="1" t="n">
        <f aca="false">_xlfn.BITAND(A260,1)</f>
        <v>0</v>
      </c>
      <c r="F260" s="1" t="str">
        <f aca="false">DEC2HEX(B260*$N$3*18)</f>
        <v>3F00</v>
      </c>
      <c r="G260" s="1" t="str">
        <f aca="false">DEC2HEX(C260*7)</f>
        <v>15</v>
      </c>
      <c r="H260" s="1" t="n">
        <f aca="false">IF(D260=0, 33, "cc")</f>
        <v>33</v>
      </c>
    </row>
    <row r="261" customFormat="false" ht="18.65" hidden="false" customHeight="true" outlineLevel="0" collapsed="false">
      <c r="A261" s="1" t="n">
        <f aca="false">ROW()-2</f>
        <v>259</v>
      </c>
      <c r="B261" s="1" t="n">
        <f aca="false">INT(A261/$N$1)</f>
        <v>14</v>
      </c>
      <c r="C261" s="1" t="n">
        <f aca="false">INT(MOD(A261,$N$1) / 2)</f>
        <v>3</v>
      </c>
      <c r="D261" s="1" t="n">
        <f aca="false">_xlfn.BITAND(A261,1)</f>
        <v>1</v>
      </c>
      <c r="F261" s="1" t="str">
        <f aca="false">DEC2HEX(B261*$N$3*18)</f>
        <v>3F00</v>
      </c>
      <c r="G261" s="1" t="str">
        <f aca="false">DEC2HEX(C261*7)</f>
        <v>15</v>
      </c>
      <c r="H261" s="1" t="str">
        <f aca="false">IF(D261=0, 33, "cc")</f>
        <v>cc</v>
      </c>
    </row>
    <row r="262" customFormat="false" ht="18.65" hidden="false" customHeight="true" outlineLevel="0" collapsed="false">
      <c r="A262" s="1" t="n">
        <f aca="false">ROW()-2</f>
        <v>260</v>
      </c>
      <c r="B262" s="1" t="n">
        <f aca="false">INT(A262/$N$1)</f>
        <v>14</v>
      </c>
      <c r="C262" s="1" t="n">
        <f aca="false">INT(MOD(A262,$N$1) / 2)</f>
        <v>4</v>
      </c>
      <c r="D262" s="1" t="n">
        <f aca="false">_xlfn.BITAND(A262,1)</f>
        <v>0</v>
      </c>
      <c r="F262" s="1" t="str">
        <f aca="false">DEC2HEX(B262*$N$3*18)</f>
        <v>3F00</v>
      </c>
      <c r="G262" s="1" t="str">
        <f aca="false">DEC2HEX(C262*7)</f>
        <v>1C</v>
      </c>
      <c r="H262" s="1" t="n">
        <f aca="false">IF(D262=0, 33, "cc")</f>
        <v>33</v>
      </c>
    </row>
    <row r="263" customFormat="false" ht="18.65" hidden="false" customHeight="true" outlineLevel="0" collapsed="false">
      <c r="A263" s="1" t="n">
        <f aca="false">ROW()-2</f>
        <v>261</v>
      </c>
      <c r="B263" s="1" t="n">
        <f aca="false">INT(A263/$N$1)</f>
        <v>14</v>
      </c>
      <c r="C263" s="1" t="n">
        <f aca="false">INT(MOD(A263,$N$1) / 2)</f>
        <v>4</v>
      </c>
      <c r="D263" s="1" t="n">
        <f aca="false">_xlfn.BITAND(A263,1)</f>
        <v>1</v>
      </c>
      <c r="F263" s="1" t="str">
        <f aca="false">DEC2HEX(B263*$N$3*18)</f>
        <v>3F00</v>
      </c>
      <c r="G263" s="1" t="str">
        <f aca="false">DEC2HEX(C263*7)</f>
        <v>1C</v>
      </c>
      <c r="H263" s="1" t="str">
        <f aca="false">IF(D263=0, 33, "cc")</f>
        <v>cc</v>
      </c>
    </row>
    <row r="264" customFormat="false" ht="18.65" hidden="false" customHeight="true" outlineLevel="0" collapsed="false">
      <c r="A264" s="1" t="n">
        <f aca="false">ROW()-2</f>
        <v>262</v>
      </c>
      <c r="B264" s="1" t="n">
        <f aca="false">INT(A264/$N$1)</f>
        <v>14</v>
      </c>
      <c r="C264" s="1" t="n">
        <f aca="false">INT(MOD(A264,$N$1) / 2)</f>
        <v>5</v>
      </c>
      <c r="D264" s="1" t="n">
        <f aca="false">_xlfn.BITAND(A264,1)</f>
        <v>0</v>
      </c>
      <c r="F264" s="1" t="str">
        <f aca="false">DEC2HEX(B264*$N$3*18)</f>
        <v>3F00</v>
      </c>
      <c r="G264" s="1" t="str">
        <f aca="false">DEC2HEX(C264*7)</f>
        <v>23</v>
      </c>
      <c r="H264" s="1" t="n">
        <f aca="false">IF(D264=0, 33, "cc")</f>
        <v>33</v>
      </c>
    </row>
    <row r="265" customFormat="false" ht="18.65" hidden="false" customHeight="true" outlineLevel="0" collapsed="false">
      <c r="A265" s="1" t="n">
        <f aca="false">ROW()-2</f>
        <v>263</v>
      </c>
      <c r="B265" s="1" t="n">
        <f aca="false">INT(A265/$N$1)</f>
        <v>14</v>
      </c>
      <c r="C265" s="1" t="n">
        <f aca="false">INT(MOD(A265,$N$1) / 2)</f>
        <v>5</v>
      </c>
      <c r="D265" s="1" t="n">
        <f aca="false">_xlfn.BITAND(A265,1)</f>
        <v>1</v>
      </c>
      <c r="F265" s="1" t="str">
        <f aca="false">DEC2HEX(B265*$N$3*18)</f>
        <v>3F00</v>
      </c>
      <c r="G265" s="1" t="str">
        <f aca="false">DEC2HEX(C265*7)</f>
        <v>23</v>
      </c>
      <c r="H265" s="1" t="str">
        <f aca="false">IF(D265=0, 33, "cc")</f>
        <v>cc</v>
      </c>
    </row>
    <row r="266" customFormat="false" ht="18.65" hidden="false" customHeight="true" outlineLevel="0" collapsed="false">
      <c r="A266" s="1" t="n">
        <f aca="false">ROW()-2</f>
        <v>264</v>
      </c>
      <c r="B266" s="1" t="n">
        <f aca="false">INT(A266/$N$1)</f>
        <v>14</v>
      </c>
      <c r="C266" s="1" t="n">
        <f aca="false">INT(MOD(A266,$N$1) / 2)</f>
        <v>6</v>
      </c>
      <c r="D266" s="1" t="n">
        <f aca="false">_xlfn.BITAND(A266,1)</f>
        <v>0</v>
      </c>
      <c r="F266" s="1" t="str">
        <f aca="false">DEC2HEX(B266*$N$3*18)</f>
        <v>3F00</v>
      </c>
      <c r="G266" s="1" t="str">
        <f aca="false">DEC2HEX(C266*7)</f>
        <v>2A</v>
      </c>
      <c r="H266" s="1" t="n">
        <f aca="false">IF(D266=0, 33, "cc")</f>
        <v>33</v>
      </c>
    </row>
    <row r="267" customFormat="false" ht="18.65" hidden="false" customHeight="true" outlineLevel="0" collapsed="false">
      <c r="A267" s="1" t="n">
        <f aca="false">ROW()-2</f>
        <v>265</v>
      </c>
      <c r="B267" s="1" t="n">
        <f aca="false">INT(A267/$N$1)</f>
        <v>14</v>
      </c>
      <c r="C267" s="1" t="n">
        <f aca="false">INT(MOD(A267,$N$1) / 2)</f>
        <v>6</v>
      </c>
      <c r="D267" s="1" t="n">
        <f aca="false">_xlfn.BITAND(A267,1)</f>
        <v>1</v>
      </c>
      <c r="F267" s="1" t="str">
        <f aca="false">DEC2HEX(B267*$N$3*18)</f>
        <v>3F00</v>
      </c>
      <c r="G267" s="1" t="str">
        <f aca="false">DEC2HEX(C267*7)</f>
        <v>2A</v>
      </c>
      <c r="H267" s="1" t="str">
        <f aca="false">IF(D267=0, 33, "cc")</f>
        <v>cc</v>
      </c>
    </row>
    <row r="268" customFormat="false" ht="18.65" hidden="false" customHeight="true" outlineLevel="0" collapsed="false">
      <c r="A268" s="1" t="n">
        <f aca="false">ROW()-2</f>
        <v>266</v>
      </c>
      <c r="B268" s="1" t="n">
        <f aca="false">INT(A268/$N$1)</f>
        <v>14</v>
      </c>
      <c r="C268" s="1" t="n">
        <f aca="false">INT(MOD(A268,$N$1) / 2)</f>
        <v>7</v>
      </c>
      <c r="D268" s="1" t="n">
        <f aca="false">_xlfn.BITAND(A268,1)</f>
        <v>0</v>
      </c>
      <c r="F268" s="1" t="str">
        <f aca="false">DEC2HEX(B268*$N$3*18)</f>
        <v>3F00</v>
      </c>
      <c r="G268" s="1" t="str">
        <f aca="false">DEC2HEX(C268*7)</f>
        <v>31</v>
      </c>
      <c r="H268" s="1" t="n">
        <f aca="false">IF(D268=0, 33, "cc")</f>
        <v>33</v>
      </c>
    </row>
    <row r="269" customFormat="false" ht="18.65" hidden="false" customHeight="true" outlineLevel="0" collapsed="false">
      <c r="A269" s="1" t="n">
        <f aca="false">ROW()-2</f>
        <v>267</v>
      </c>
      <c r="B269" s="1" t="n">
        <f aca="false">INT(A269/$N$1)</f>
        <v>14</v>
      </c>
      <c r="C269" s="1" t="n">
        <f aca="false">INT(MOD(A269,$N$1) / 2)</f>
        <v>7</v>
      </c>
      <c r="D269" s="1" t="n">
        <f aca="false">_xlfn.BITAND(A269,1)</f>
        <v>1</v>
      </c>
      <c r="F269" s="1" t="str">
        <f aca="false">DEC2HEX(B269*$N$3*18)</f>
        <v>3F00</v>
      </c>
      <c r="G269" s="1" t="str">
        <f aca="false">DEC2HEX(C269*7)</f>
        <v>31</v>
      </c>
      <c r="H269" s="1" t="str">
        <f aca="false">IF(D269=0, 33, "cc")</f>
        <v>cc</v>
      </c>
    </row>
    <row r="270" customFormat="false" ht="18.65" hidden="false" customHeight="true" outlineLevel="0" collapsed="false">
      <c r="A270" s="1" t="n">
        <f aca="false">ROW()-2</f>
        <v>268</v>
      </c>
      <c r="B270" s="1" t="n">
        <f aca="false">INT(A270/$N$1)</f>
        <v>14</v>
      </c>
      <c r="C270" s="1" t="n">
        <f aca="false">INT(MOD(A270,$N$1) / 2)</f>
        <v>8</v>
      </c>
      <c r="D270" s="1" t="n">
        <f aca="false">_xlfn.BITAND(A270,1)</f>
        <v>0</v>
      </c>
      <c r="F270" s="1" t="str">
        <f aca="false">DEC2HEX(B270*$N$3*18)</f>
        <v>3F00</v>
      </c>
      <c r="G270" s="1" t="str">
        <f aca="false">DEC2HEX(C270*7)</f>
        <v>38</v>
      </c>
      <c r="H270" s="1" t="n">
        <f aca="false">IF(D270=0, 33, "cc")</f>
        <v>33</v>
      </c>
    </row>
    <row r="271" customFormat="false" ht="18.65" hidden="false" customHeight="true" outlineLevel="0" collapsed="false">
      <c r="A271" s="1" t="n">
        <f aca="false">ROW()-2</f>
        <v>269</v>
      </c>
      <c r="B271" s="1" t="n">
        <f aca="false">INT(A271/$N$1)</f>
        <v>14</v>
      </c>
      <c r="C271" s="1" t="n">
        <f aca="false">INT(MOD(A271,$N$1) / 2)</f>
        <v>8</v>
      </c>
      <c r="D271" s="1" t="n">
        <f aca="false">_xlfn.BITAND(A271,1)</f>
        <v>1</v>
      </c>
      <c r="F271" s="1" t="str">
        <f aca="false">DEC2HEX(B271*$N$3*18)</f>
        <v>3F00</v>
      </c>
      <c r="G271" s="1" t="str">
        <f aca="false">DEC2HEX(C271*7)</f>
        <v>38</v>
      </c>
      <c r="H271" s="1" t="str">
        <f aca="false">IF(D271=0, 33, "cc")</f>
        <v>cc</v>
      </c>
    </row>
    <row r="272" customFormat="false" ht="18.65" hidden="false" customHeight="true" outlineLevel="0" collapsed="false">
      <c r="A272" s="1" t="n">
        <f aca="false">ROW()-2</f>
        <v>270</v>
      </c>
      <c r="B272" s="1" t="n">
        <f aca="false">INT(A272/$N$1)</f>
        <v>15</v>
      </c>
      <c r="C272" s="1" t="n">
        <f aca="false">INT(MOD(A272,$N$1) / 2)</f>
        <v>0</v>
      </c>
      <c r="D272" s="1" t="n">
        <f aca="false">_xlfn.BITAND(A272,1)</f>
        <v>0</v>
      </c>
      <c r="F272" s="1" t="str">
        <f aca="false">DEC2HEX(B272*$N$3*18)</f>
        <v>4380</v>
      </c>
      <c r="G272" s="1" t="str">
        <f aca="false">DEC2HEX(C272*7)</f>
        <v>0</v>
      </c>
      <c r="H272" s="1" t="n">
        <f aca="false">IF(D272=0, 33, "cc")</f>
        <v>33</v>
      </c>
    </row>
    <row r="273" customFormat="false" ht="18.65" hidden="false" customHeight="true" outlineLevel="0" collapsed="false">
      <c r="A273" s="1" t="n">
        <f aca="false">ROW()-2</f>
        <v>271</v>
      </c>
      <c r="B273" s="1" t="n">
        <f aca="false">INT(A273/$N$1)</f>
        <v>15</v>
      </c>
      <c r="C273" s="1" t="n">
        <f aca="false">INT(MOD(A273,$N$1) / 2)</f>
        <v>0</v>
      </c>
      <c r="D273" s="1" t="n">
        <f aca="false">_xlfn.BITAND(A273,1)</f>
        <v>1</v>
      </c>
      <c r="F273" s="1" t="str">
        <f aca="false">DEC2HEX(B273*$N$3*18)</f>
        <v>4380</v>
      </c>
      <c r="G273" s="1" t="str">
        <f aca="false">DEC2HEX(C273*7)</f>
        <v>0</v>
      </c>
      <c r="H273" s="1" t="str">
        <f aca="false">IF(D273=0, 33, "cc")</f>
        <v>cc</v>
      </c>
    </row>
    <row r="274" customFormat="false" ht="18.65" hidden="false" customHeight="true" outlineLevel="0" collapsed="false">
      <c r="A274" s="1" t="n">
        <f aca="false">ROW()-2</f>
        <v>272</v>
      </c>
      <c r="B274" s="1" t="n">
        <f aca="false">INT(A274/$N$1)</f>
        <v>15</v>
      </c>
      <c r="C274" s="1" t="n">
        <f aca="false">INT(MOD(A274,$N$1) / 2)</f>
        <v>1</v>
      </c>
      <c r="D274" s="1" t="n">
        <f aca="false">_xlfn.BITAND(A274,1)</f>
        <v>0</v>
      </c>
      <c r="F274" s="1" t="str">
        <f aca="false">DEC2HEX(B274*$N$3*18)</f>
        <v>4380</v>
      </c>
      <c r="G274" s="1" t="str">
        <f aca="false">DEC2HEX(C274*7)</f>
        <v>7</v>
      </c>
      <c r="H274" s="1" t="n">
        <f aca="false">IF(D274=0, 33, "cc")</f>
        <v>33</v>
      </c>
    </row>
    <row r="275" customFormat="false" ht="18.65" hidden="false" customHeight="true" outlineLevel="0" collapsed="false">
      <c r="A275" s="1" t="n">
        <f aca="false">ROW()-2</f>
        <v>273</v>
      </c>
      <c r="B275" s="1" t="n">
        <f aca="false">INT(A275/$N$1)</f>
        <v>15</v>
      </c>
      <c r="C275" s="1" t="n">
        <f aca="false">INT(MOD(A275,$N$1) / 2)</f>
        <v>1</v>
      </c>
      <c r="D275" s="1" t="n">
        <f aca="false">_xlfn.BITAND(A275,1)</f>
        <v>1</v>
      </c>
      <c r="F275" s="1" t="str">
        <f aca="false">DEC2HEX(B275*$N$3*18)</f>
        <v>4380</v>
      </c>
      <c r="G275" s="1" t="str">
        <f aca="false">DEC2HEX(C275*7)</f>
        <v>7</v>
      </c>
      <c r="H275" s="1" t="str">
        <f aca="false">IF(D275=0, 33, "cc")</f>
        <v>cc</v>
      </c>
    </row>
    <row r="276" customFormat="false" ht="18.65" hidden="false" customHeight="true" outlineLevel="0" collapsed="false">
      <c r="A276" s="1" t="n">
        <f aca="false">ROW()-2</f>
        <v>274</v>
      </c>
      <c r="B276" s="1" t="n">
        <f aca="false">INT(A276/$N$1)</f>
        <v>15</v>
      </c>
      <c r="C276" s="1" t="n">
        <f aca="false">INT(MOD(A276,$N$1) / 2)</f>
        <v>2</v>
      </c>
      <c r="D276" s="1" t="n">
        <f aca="false">_xlfn.BITAND(A276,1)</f>
        <v>0</v>
      </c>
      <c r="F276" s="1" t="str">
        <f aca="false">DEC2HEX(B276*$N$3*18)</f>
        <v>4380</v>
      </c>
      <c r="G276" s="1" t="str">
        <f aca="false">DEC2HEX(C276*7)</f>
        <v>E</v>
      </c>
      <c r="H276" s="1" t="n">
        <f aca="false">IF(D276=0, 33, "cc")</f>
        <v>33</v>
      </c>
    </row>
    <row r="277" customFormat="false" ht="18.65" hidden="false" customHeight="true" outlineLevel="0" collapsed="false">
      <c r="A277" s="1" t="n">
        <f aca="false">ROW()-2</f>
        <v>275</v>
      </c>
      <c r="B277" s="1" t="n">
        <f aca="false">INT(A277/$N$1)</f>
        <v>15</v>
      </c>
      <c r="C277" s="1" t="n">
        <f aca="false">INT(MOD(A277,$N$1) / 2)</f>
        <v>2</v>
      </c>
      <c r="D277" s="1" t="n">
        <f aca="false">_xlfn.BITAND(A277,1)</f>
        <v>1</v>
      </c>
      <c r="F277" s="1" t="str">
        <f aca="false">DEC2HEX(B277*$N$3*18)</f>
        <v>4380</v>
      </c>
      <c r="G277" s="1" t="str">
        <f aca="false">DEC2HEX(C277*7)</f>
        <v>E</v>
      </c>
      <c r="H277" s="1" t="str">
        <f aca="false">IF(D277=0, 33, "cc")</f>
        <v>cc</v>
      </c>
    </row>
    <row r="278" customFormat="false" ht="18.65" hidden="false" customHeight="true" outlineLevel="0" collapsed="false">
      <c r="A278" s="1" t="n">
        <f aca="false">ROW()-2</f>
        <v>276</v>
      </c>
      <c r="B278" s="1" t="n">
        <f aca="false">INT(A278/$N$1)</f>
        <v>15</v>
      </c>
      <c r="C278" s="1" t="n">
        <f aca="false">INT(MOD(A278,$N$1) / 2)</f>
        <v>3</v>
      </c>
      <c r="D278" s="1" t="n">
        <f aca="false">_xlfn.BITAND(A278,1)</f>
        <v>0</v>
      </c>
      <c r="F278" s="1" t="str">
        <f aca="false">DEC2HEX(B278*$N$3*18)</f>
        <v>4380</v>
      </c>
      <c r="G278" s="1" t="str">
        <f aca="false">DEC2HEX(C278*7)</f>
        <v>15</v>
      </c>
      <c r="H278" s="1" t="n">
        <f aca="false">IF(D278=0, 33, "cc")</f>
        <v>33</v>
      </c>
    </row>
    <row r="279" customFormat="false" ht="18.65" hidden="false" customHeight="true" outlineLevel="0" collapsed="false">
      <c r="A279" s="1" t="n">
        <f aca="false">ROW()-2</f>
        <v>277</v>
      </c>
      <c r="B279" s="1" t="n">
        <f aca="false">INT(A279/$N$1)</f>
        <v>15</v>
      </c>
      <c r="C279" s="1" t="n">
        <f aca="false">INT(MOD(A279,$N$1) / 2)</f>
        <v>3</v>
      </c>
      <c r="D279" s="1" t="n">
        <f aca="false">_xlfn.BITAND(A279,1)</f>
        <v>1</v>
      </c>
      <c r="F279" s="1" t="str">
        <f aca="false">DEC2HEX(B279*$N$3*18)</f>
        <v>4380</v>
      </c>
      <c r="G279" s="1" t="str">
        <f aca="false">DEC2HEX(C279*7)</f>
        <v>15</v>
      </c>
      <c r="H279" s="1" t="str">
        <f aca="false">IF(D279=0, 33, "cc")</f>
        <v>cc</v>
      </c>
    </row>
    <row r="280" customFormat="false" ht="18.65" hidden="false" customHeight="true" outlineLevel="0" collapsed="false">
      <c r="A280" s="1" t="n">
        <f aca="false">ROW()-2</f>
        <v>278</v>
      </c>
      <c r="B280" s="1" t="n">
        <f aca="false">INT(A280/$N$1)</f>
        <v>15</v>
      </c>
      <c r="C280" s="1" t="n">
        <f aca="false">INT(MOD(A280,$N$1) / 2)</f>
        <v>4</v>
      </c>
      <c r="D280" s="1" t="n">
        <f aca="false">_xlfn.BITAND(A280,1)</f>
        <v>0</v>
      </c>
      <c r="F280" s="1" t="str">
        <f aca="false">DEC2HEX(B280*$N$3*18)</f>
        <v>4380</v>
      </c>
      <c r="G280" s="1" t="str">
        <f aca="false">DEC2HEX(C280*7)</f>
        <v>1C</v>
      </c>
      <c r="H280" s="1" t="n">
        <f aca="false">IF(D280=0, 33, "cc")</f>
        <v>33</v>
      </c>
    </row>
    <row r="281" customFormat="false" ht="18.65" hidden="false" customHeight="true" outlineLevel="0" collapsed="false">
      <c r="A281" s="1" t="n">
        <f aca="false">ROW()-2</f>
        <v>279</v>
      </c>
      <c r="B281" s="1" t="n">
        <f aca="false">INT(A281/$N$1)</f>
        <v>15</v>
      </c>
      <c r="C281" s="1" t="n">
        <f aca="false">INT(MOD(A281,$N$1) / 2)</f>
        <v>4</v>
      </c>
      <c r="D281" s="1" t="n">
        <f aca="false">_xlfn.BITAND(A281,1)</f>
        <v>1</v>
      </c>
      <c r="F281" s="1" t="str">
        <f aca="false">DEC2HEX(B281*$N$3*18)</f>
        <v>4380</v>
      </c>
      <c r="G281" s="1" t="str">
        <f aca="false">DEC2HEX(C281*7)</f>
        <v>1C</v>
      </c>
      <c r="H281" s="1" t="str">
        <f aca="false">IF(D281=0, 33, "cc")</f>
        <v>cc</v>
      </c>
    </row>
    <row r="282" customFormat="false" ht="18.65" hidden="false" customHeight="true" outlineLevel="0" collapsed="false">
      <c r="A282" s="1" t="n">
        <f aca="false">ROW()-2</f>
        <v>280</v>
      </c>
      <c r="B282" s="1" t="n">
        <f aca="false">INT(A282/$N$1)</f>
        <v>15</v>
      </c>
      <c r="C282" s="1" t="n">
        <f aca="false">INT(MOD(A282,$N$1) / 2)</f>
        <v>5</v>
      </c>
      <c r="D282" s="1" t="n">
        <f aca="false">_xlfn.BITAND(A282,1)</f>
        <v>0</v>
      </c>
      <c r="F282" s="1" t="str">
        <f aca="false">DEC2HEX(B282*$N$3*18)</f>
        <v>4380</v>
      </c>
      <c r="G282" s="1" t="str">
        <f aca="false">DEC2HEX(C282*7)</f>
        <v>23</v>
      </c>
      <c r="H282" s="1" t="n">
        <f aca="false">IF(D282=0, 33, "cc")</f>
        <v>33</v>
      </c>
    </row>
    <row r="283" customFormat="false" ht="18.65" hidden="false" customHeight="true" outlineLevel="0" collapsed="false">
      <c r="A283" s="1" t="n">
        <f aca="false">ROW()-2</f>
        <v>281</v>
      </c>
      <c r="B283" s="1" t="n">
        <f aca="false">INT(A283/$N$1)</f>
        <v>15</v>
      </c>
      <c r="C283" s="1" t="n">
        <f aca="false">INT(MOD(A283,$N$1) / 2)</f>
        <v>5</v>
      </c>
      <c r="D283" s="1" t="n">
        <f aca="false">_xlfn.BITAND(A283,1)</f>
        <v>1</v>
      </c>
      <c r="F283" s="1" t="str">
        <f aca="false">DEC2HEX(B283*$N$3*18)</f>
        <v>4380</v>
      </c>
      <c r="G283" s="1" t="str">
        <f aca="false">DEC2HEX(C283*7)</f>
        <v>23</v>
      </c>
      <c r="H283" s="1" t="str">
        <f aca="false">IF(D283=0, 33, "cc")</f>
        <v>cc</v>
      </c>
    </row>
    <row r="284" customFormat="false" ht="18.65" hidden="false" customHeight="true" outlineLevel="0" collapsed="false">
      <c r="A284" s="1" t="n">
        <f aca="false">ROW()-2</f>
        <v>282</v>
      </c>
      <c r="B284" s="1" t="n">
        <f aca="false">INT(A284/$N$1)</f>
        <v>15</v>
      </c>
      <c r="C284" s="1" t="n">
        <f aca="false">INT(MOD(A284,$N$1) / 2)</f>
        <v>6</v>
      </c>
      <c r="D284" s="1" t="n">
        <f aca="false">_xlfn.BITAND(A284,1)</f>
        <v>0</v>
      </c>
      <c r="F284" s="1" t="str">
        <f aca="false">DEC2HEX(B284*$N$3*18)</f>
        <v>4380</v>
      </c>
      <c r="G284" s="1" t="str">
        <f aca="false">DEC2HEX(C284*7)</f>
        <v>2A</v>
      </c>
      <c r="H284" s="1" t="n">
        <f aca="false">IF(D284=0, 33, "cc")</f>
        <v>33</v>
      </c>
    </row>
    <row r="285" customFormat="false" ht="18.65" hidden="false" customHeight="true" outlineLevel="0" collapsed="false">
      <c r="A285" s="1" t="n">
        <f aca="false">ROW()-2</f>
        <v>283</v>
      </c>
      <c r="B285" s="1" t="n">
        <f aca="false">INT(A285/$N$1)</f>
        <v>15</v>
      </c>
      <c r="C285" s="1" t="n">
        <f aca="false">INT(MOD(A285,$N$1) / 2)</f>
        <v>6</v>
      </c>
      <c r="D285" s="1" t="n">
        <f aca="false">_xlfn.BITAND(A285,1)</f>
        <v>1</v>
      </c>
      <c r="F285" s="1" t="str">
        <f aca="false">DEC2HEX(B285*$N$3*18)</f>
        <v>4380</v>
      </c>
      <c r="G285" s="1" t="str">
        <f aca="false">DEC2HEX(C285*7)</f>
        <v>2A</v>
      </c>
      <c r="H285" s="1" t="str">
        <f aca="false">IF(D285=0, 33, "cc")</f>
        <v>cc</v>
      </c>
    </row>
    <row r="286" customFormat="false" ht="18.65" hidden="false" customHeight="true" outlineLevel="0" collapsed="false">
      <c r="A286" s="1" t="n">
        <f aca="false">ROW()-2</f>
        <v>284</v>
      </c>
      <c r="B286" s="1" t="n">
        <f aca="false">INT(A286/$N$1)</f>
        <v>15</v>
      </c>
      <c r="C286" s="1" t="n">
        <f aca="false">INT(MOD(A286,$N$1) / 2)</f>
        <v>7</v>
      </c>
      <c r="D286" s="1" t="n">
        <f aca="false">_xlfn.BITAND(A286,1)</f>
        <v>0</v>
      </c>
      <c r="F286" s="1" t="str">
        <f aca="false">DEC2HEX(B286*$N$3*18)</f>
        <v>4380</v>
      </c>
      <c r="G286" s="1" t="str">
        <f aca="false">DEC2HEX(C286*7)</f>
        <v>31</v>
      </c>
      <c r="H286" s="1" t="n">
        <f aca="false">IF(D286=0, 33, "cc")</f>
        <v>33</v>
      </c>
    </row>
    <row r="287" customFormat="false" ht="18.65" hidden="false" customHeight="true" outlineLevel="0" collapsed="false">
      <c r="A287" s="1" t="n">
        <f aca="false">ROW()-2</f>
        <v>285</v>
      </c>
      <c r="B287" s="1" t="n">
        <f aca="false">INT(A287/$N$1)</f>
        <v>15</v>
      </c>
      <c r="C287" s="1" t="n">
        <f aca="false">INT(MOD(A287,$N$1) / 2)</f>
        <v>7</v>
      </c>
      <c r="D287" s="1" t="n">
        <f aca="false">_xlfn.BITAND(A287,1)</f>
        <v>1</v>
      </c>
      <c r="F287" s="1" t="str">
        <f aca="false">DEC2HEX(B287*$N$3*18)</f>
        <v>4380</v>
      </c>
      <c r="G287" s="1" t="str">
        <f aca="false">DEC2HEX(C287*7)</f>
        <v>31</v>
      </c>
      <c r="H287" s="1" t="str">
        <f aca="false">IF(D287=0, 33, "cc")</f>
        <v>cc</v>
      </c>
    </row>
    <row r="288" customFormat="false" ht="18.65" hidden="false" customHeight="true" outlineLevel="0" collapsed="false">
      <c r="A288" s="1" t="n">
        <f aca="false">ROW()-2</f>
        <v>286</v>
      </c>
      <c r="B288" s="1" t="n">
        <f aca="false">INT(A288/$N$1)</f>
        <v>15</v>
      </c>
      <c r="C288" s="1" t="n">
        <f aca="false">INT(MOD(A288,$N$1) / 2)</f>
        <v>8</v>
      </c>
      <c r="D288" s="1" t="n">
        <f aca="false">_xlfn.BITAND(A288,1)</f>
        <v>0</v>
      </c>
      <c r="F288" s="1" t="str">
        <f aca="false">DEC2HEX(B288*$N$3*18)</f>
        <v>4380</v>
      </c>
      <c r="G288" s="1" t="str">
        <f aca="false">DEC2HEX(C288*7)</f>
        <v>38</v>
      </c>
      <c r="H288" s="1" t="n">
        <f aca="false">IF(D288=0, 33, "cc")</f>
        <v>33</v>
      </c>
    </row>
    <row r="289" customFormat="false" ht="18.65" hidden="false" customHeight="true" outlineLevel="0" collapsed="false">
      <c r="A289" s="1" t="n">
        <f aca="false">ROW()-2</f>
        <v>287</v>
      </c>
      <c r="B289" s="1" t="n">
        <f aca="false">INT(A289/$N$1)</f>
        <v>15</v>
      </c>
      <c r="C289" s="1" t="n">
        <f aca="false">INT(MOD(A289,$N$1) / 2)</f>
        <v>8</v>
      </c>
      <c r="D289" s="1" t="n">
        <f aca="false">_xlfn.BITAND(A289,1)</f>
        <v>1</v>
      </c>
      <c r="F289" s="1" t="str">
        <f aca="false">DEC2HEX(B289*$N$3*18)</f>
        <v>4380</v>
      </c>
      <c r="G289" s="1" t="str">
        <f aca="false">DEC2HEX(C289*7)</f>
        <v>38</v>
      </c>
      <c r="H289" s="1" t="str">
        <f aca="false">IF(D289=0, 33, "cc")</f>
        <v>cc</v>
      </c>
    </row>
    <row r="290" customFormat="false" ht="18.65" hidden="false" customHeight="true" outlineLevel="0" collapsed="false">
      <c r="A290" s="1" t="n">
        <f aca="false">ROW()-2</f>
        <v>288</v>
      </c>
      <c r="B290" s="1" t="n">
        <f aca="false">INT(A290/$N$1)</f>
        <v>16</v>
      </c>
      <c r="C290" s="1" t="n">
        <f aca="false">INT(MOD(A290,$N$1) / 2)</f>
        <v>0</v>
      </c>
      <c r="D290" s="1" t="n">
        <f aca="false">_xlfn.BITAND(A290,1)</f>
        <v>0</v>
      </c>
      <c r="F290" s="1" t="str">
        <f aca="false">DEC2HEX(B290*$N$3*18)</f>
        <v>4800</v>
      </c>
      <c r="G290" s="1" t="str">
        <f aca="false">DEC2HEX(C290*7)</f>
        <v>0</v>
      </c>
      <c r="H290" s="1" t="n">
        <f aca="false">IF(D290=0, 33, "cc")</f>
        <v>33</v>
      </c>
    </row>
    <row r="291" customFormat="false" ht="18.65" hidden="false" customHeight="true" outlineLevel="0" collapsed="false">
      <c r="A291" s="1" t="n">
        <f aca="false">ROW()-2</f>
        <v>289</v>
      </c>
      <c r="B291" s="1" t="n">
        <f aca="false">INT(A291/$N$1)</f>
        <v>16</v>
      </c>
      <c r="C291" s="1" t="n">
        <f aca="false">INT(MOD(A291,$N$1) / 2)</f>
        <v>0</v>
      </c>
      <c r="D291" s="1" t="n">
        <f aca="false">_xlfn.BITAND(A291,1)</f>
        <v>1</v>
      </c>
      <c r="F291" s="1" t="str">
        <f aca="false">DEC2HEX(B291*$N$3*18)</f>
        <v>4800</v>
      </c>
      <c r="G291" s="1" t="str">
        <f aca="false">DEC2HEX(C291*7)</f>
        <v>0</v>
      </c>
      <c r="H291" s="1" t="str">
        <f aca="false">IF(D291=0, 33, "cc")</f>
        <v>cc</v>
      </c>
    </row>
    <row r="292" customFormat="false" ht="18.65" hidden="false" customHeight="true" outlineLevel="0" collapsed="false">
      <c r="A292" s="1" t="n">
        <f aca="false">ROW()-2</f>
        <v>290</v>
      </c>
      <c r="B292" s="1" t="n">
        <f aca="false">INT(A292/$N$1)</f>
        <v>16</v>
      </c>
      <c r="C292" s="1" t="n">
        <f aca="false">INT(MOD(A292,$N$1) / 2)</f>
        <v>1</v>
      </c>
      <c r="D292" s="1" t="n">
        <f aca="false">_xlfn.BITAND(A292,1)</f>
        <v>0</v>
      </c>
      <c r="F292" s="1" t="str">
        <f aca="false">DEC2HEX(B292*$N$3*18)</f>
        <v>4800</v>
      </c>
      <c r="G292" s="1" t="str">
        <f aca="false">DEC2HEX(C292*7)</f>
        <v>7</v>
      </c>
      <c r="H292" s="1" t="n">
        <f aca="false">IF(D292=0, 33, "cc")</f>
        <v>33</v>
      </c>
    </row>
    <row r="293" customFormat="false" ht="18.65" hidden="false" customHeight="true" outlineLevel="0" collapsed="false">
      <c r="A293" s="1" t="n">
        <f aca="false">ROW()-2</f>
        <v>291</v>
      </c>
      <c r="B293" s="1" t="n">
        <f aca="false">INT(A293/$N$1)</f>
        <v>16</v>
      </c>
      <c r="C293" s="1" t="n">
        <f aca="false">INT(MOD(A293,$N$1) / 2)</f>
        <v>1</v>
      </c>
      <c r="D293" s="1" t="n">
        <f aca="false">_xlfn.BITAND(A293,1)</f>
        <v>1</v>
      </c>
      <c r="F293" s="1" t="str">
        <f aca="false">DEC2HEX(B293*$N$3*18)</f>
        <v>4800</v>
      </c>
      <c r="G293" s="1" t="str">
        <f aca="false">DEC2HEX(C293*7)</f>
        <v>7</v>
      </c>
      <c r="H293" s="1" t="str">
        <f aca="false">IF(D293=0, 33, "cc")</f>
        <v>cc</v>
      </c>
    </row>
    <row r="294" customFormat="false" ht="18.65" hidden="false" customHeight="true" outlineLevel="0" collapsed="false">
      <c r="A294" s="1" t="n">
        <f aca="false">ROW()-2</f>
        <v>292</v>
      </c>
      <c r="B294" s="1" t="n">
        <f aca="false">INT(A294/$N$1)</f>
        <v>16</v>
      </c>
      <c r="C294" s="1" t="n">
        <f aca="false">INT(MOD(A294,$N$1) / 2)</f>
        <v>2</v>
      </c>
      <c r="D294" s="1" t="n">
        <f aca="false">_xlfn.BITAND(A294,1)</f>
        <v>0</v>
      </c>
      <c r="F294" s="1" t="str">
        <f aca="false">DEC2HEX(B294*$N$3*18)</f>
        <v>4800</v>
      </c>
      <c r="G294" s="1" t="str">
        <f aca="false">DEC2HEX(C294*7)</f>
        <v>E</v>
      </c>
      <c r="H294" s="1" t="n">
        <f aca="false">IF(D294=0, 33, "cc")</f>
        <v>33</v>
      </c>
    </row>
    <row r="295" customFormat="false" ht="18.65" hidden="false" customHeight="true" outlineLevel="0" collapsed="false">
      <c r="A295" s="1" t="n">
        <f aca="false">ROW()-2</f>
        <v>293</v>
      </c>
      <c r="B295" s="1" t="n">
        <f aca="false">INT(A295/$N$1)</f>
        <v>16</v>
      </c>
      <c r="C295" s="1" t="n">
        <f aca="false">INT(MOD(A295,$N$1) / 2)</f>
        <v>2</v>
      </c>
      <c r="D295" s="1" t="n">
        <f aca="false">_xlfn.BITAND(A295,1)</f>
        <v>1</v>
      </c>
      <c r="F295" s="1" t="str">
        <f aca="false">DEC2HEX(B295*$N$3*18)</f>
        <v>4800</v>
      </c>
      <c r="G295" s="1" t="str">
        <f aca="false">DEC2HEX(C295*7)</f>
        <v>E</v>
      </c>
      <c r="H295" s="1" t="str">
        <f aca="false">IF(D295=0, 33, "cc")</f>
        <v>cc</v>
      </c>
    </row>
    <row r="296" customFormat="false" ht="18.65" hidden="false" customHeight="true" outlineLevel="0" collapsed="false">
      <c r="A296" s="1" t="n">
        <f aca="false">ROW()-2</f>
        <v>294</v>
      </c>
      <c r="B296" s="1" t="n">
        <f aca="false">INT(A296/$N$1)</f>
        <v>16</v>
      </c>
      <c r="C296" s="1" t="n">
        <f aca="false">INT(MOD(A296,$N$1) / 2)</f>
        <v>3</v>
      </c>
      <c r="D296" s="1" t="n">
        <f aca="false">_xlfn.BITAND(A296,1)</f>
        <v>0</v>
      </c>
      <c r="F296" s="1" t="str">
        <f aca="false">DEC2HEX(B296*$N$3*18)</f>
        <v>4800</v>
      </c>
      <c r="G296" s="1" t="str">
        <f aca="false">DEC2HEX(C296*7)</f>
        <v>15</v>
      </c>
      <c r="H296" s="1" t="n">
        <f aca="false">IF(D296=0, 33, "cc")</f>
        <v>33</v>
      </c>
    </row>
    <row r="297" customFormat="false" ht="18.65" hidden="false" customHeight="true" outlineLevel="0" collapsed="false">
      <c r="A297" s="1" t="n">
        <f aca="false">ROW()-2</f>
        <v>295</v>
      </c>
      <c r="B297" s="1" t="n">
        <f aca="false">INT(A297/$N$1)</f>
        <v>16</v>
      </c>
      <c r="C297" s="1" t="n">
        <f aca="false">INT(MOD(A297,$N$1) / 2)</f>
        <v>3</v>
      </c>
      <c r="D297" s="1" t="n">
        <f aca="false">_xlfn.BITAND(A297,1)</f>
        <v>1</v>
      </c>
      <c r="F297" s="1" t="str">
        <f aca="false">DEC2HEX(B297*$N$3*18)</f>
        <v>4800</v>
      </c>
      <c r="G297" s="1" t="str">
        <f aca="false">DEC2HEX(C297*7)</f>
        <v>15</v>
      </c>
      <c r="H297" s="1" t="str">
        <f aca="false">IF(D297=0, 33, "cc")</f>
        <v>cc</v>
      </c>
    </row>
    <row r="298" customFormat="false" ht="18.65" hidden="false" customHeight="true" outlineLevel="0" collapsed="false">
      <c r="A298" s="1" t="n">
        <f aca="false">ROW()-2</f>
        <v>296</v>
      </c>
      <c r="B298" s="1" t="n">
        <f aca="false">INT(A298/$N$1)</f>
        <v>16</v>
      </c>
      <c r="C298" s="1" t="n">
        <f aca="false">INT(MOD(A298,$N$1) / 2)</f>
        <v>4</v>
      </c>
      <c r="D298" s="1" t="n">
        <f aca="false">_xlfn.BITAND(A298,1)</f>
        <v>0</v>
      </c>
      <c r="F298" s="1" t="str">
        <f aca="false">DEC2HEX(B298*$N$3*18)</f>
        <v>4800</v>
      </c>
      <c r="G298" s="1" t="str">
        <f aca="false">DEC2HEX(C298*7)</f>
        <v>1C</v>
      </c>
      <c r="H298" s="1" t="n">
        <f aca="false">IF(D298=0, 33, "cc")</f>
        <v>33</v>
      </c>
    </row>
    <row r="299" customFormat="false" ht="18.65" hidden="false" customHeight="true" outlineLevel="0" collapsed="false">
      <c r="A299" s="1" t="n">
        <f aca="false">ROW()-2</f>
        <v>297</v>
      </c>
      <c r="B299" s="1" t="n">
        <f aca="false">INT(A299/$N$1)</f>
        <v>16</v>
      </c>
      <c r="C299" s="1" t="n">
        <f aca="false">INT(MOD(A299,$N$1) / 2)</f>
        <v>4</v>
      </c>
      <c r="D299" s="1" t="n">
        <f aca="false">_xlfn.BITAND(A299,1)</f>
        <v>1</v>
      </c>
      <c r="F299" s="1" t="str">
        <f aca="false">DEC2HEX(B299*$N$3*18)</f>
        <v>4800</v>
      </c>
      <c r="G299" s="1" t="str">
        <f aca="false">DEC2HEX(C299*7)</f>
        <v>1C</v>
      </c>
      <c r="H299" s="1" t="str">
        <f aca="false">IF(D299=0, 33, "cc")</f>
        <v>cc</v>
      </c>
    </row>
    <row r="300" customFormat="false" ht="18.65" hidden="false" customHeight="true" outlineLevel="0" collapsed="false">
      <c r="A300" s="1" t="n">
        <f aca="false">ROW()-2</f>
        <v>298</v>
      </c>
      <c r="B300" s="1" t="n">
        <f aca="false">INT(A300/$N$1)</f>
        <v>16</v>
      </c>
      <c r="C300" s="1" t="n">
        <f aca="false">INT(MOD(A300,$N$1) / 2)</f>
        <v>5</v>
      </c>
      <c r="D300" s="1" t="n">
        <f aca="false">_xlfn.BITAND(A300,1)</f>
        <v>0</v>
      </c>
      <c r="F300" s="1" t="str">
        <f aca="false">DEC2HEX(B300*$N$3*18)</f>
        <v>4800</v>
      </c>
      <c r="G300" s="1" t="str">
        <f aca="false">DEC2HEX(C300*7)</f>
        <v>23</v>
      </c>
      <c r="H300" s="1" t="n">
        <f aca="false">IF(D300=0, 33, "cc")</f>
        <v>33</v>
      </c>
    </row>
    <row r="301" customFormat="false" ht="18.65" hidden="false" customHeight="true" outlineLevel="0" collapsed="false">
      <c r="A301" s="1" t="n">
        <f aca="false">ROW()-2</f>
        <v>299</v>
      </c>
      <c r="B301" s="1" t="n">
        <f aca="false">INT(A301/$N$1)</f>
        <v>16</v>
      </c>
      <c r="C301" s="1" t="n">
        <f aca="false">INT(MOD(A301,$N$1) / 2)</f>
        <v>5</v>
      </c>
      <c r="D301" s="1" t="n">
        <f aca="false">_xlfn.BITAND(A301,1)</f>
        <v>1</v>
      </c>
      <c r="F301" s="1" t="str">
        <f aca="false">DEC2HEX(B301*$N$3*18)</f>
        <v>4800</v>
      </c>
      <c r="G301" s="1" t="str">
        <f aca="false">DEC2HEX(C301*7)</f>
        <v>23</v>
      </c>
      <c r="H301" s="1" t="str">
        <f aca="false">IF(D301=0, 33, "cc")</f>
        <v>cc</v>
      </c>
    </row>
    <row r="302" customFormat="false" ht="18.65" hidden="false" customHeight="true" outlineLevel="0" collapsed="false">
      <c r="A302" s="1" t="n">
        <f aca="false">ROW()-2</f>
        <v>300</v>
      </c>
      <c r="B302" s="1" t="n">
        <f aca="false">INT(A302/$N$1)</f>
        <v>16</v>
      </c>
      <c r="C302" s="1" t="n">
        <f aca="false">INT(MOD(A302,$N$1) / 2)</f>
        <v>6</v>
      </c>
      <c r="D302" s="1" t="n">
        <f aca="false">_xlfn.BITAND(A302,1)</f>
        <v>0</v>
      </c>
      <c r="F302" s="1" t="str">
        <f aca="false">DEC2HEX(B302*$N$3*18)</f>
        <v>4800</v>
      </c>
      <c r="G302" s="1" t="str">
        <f aca="false">DEC2HEX(C302*7)</f>
        <v>2A</v>
      </c>
      <c r="H302" s="1" t="n">
        <f aca="false">IF(D302=0, 33, "cc")</f>
        <v>33</v>
      </c>
    </row>
    <row r="303" customFormat="false" ht="18.65" hidden="false" customHeight="true" outlineLevel="0" collapsed="false">
      <c r="A303" s="1" t="n">
        <f aca="false">ROW()-2</f>
        <v>301</v>
      </c>
      <c r="B303" s="1" t="n">
        <f aca="false">INT(A303/$N$1)</f>
        <v>16</v>
      </c>
      <c r="C303" s="1" t="n">
        <f aca="false">INT(MOD(A303,$N$1) / 2)</f>
        <v>6</v>
      </c>
      <c r="D303" s="1" t="n">
        <f aca="false">_xlfn.BITAND(A303,1)</f>
        <v>1</v>
      </c>
      <c r="F303" s="1" t="str">
        <f aca="false">DEC2HEX(B303*$N$3*18)</f>
        <v>4800</v>
      </c>
      <c r="G303" s="1" t="str">
        <f aca="false">DEC2HEX(C303*7)</f>
        <v>2A</v>
      </c>
      <c r="H303" s="1" t="str">
        <f aca="false">IF(D303=0, 33, "cc")</f>
        <v>cc</v>
      </c>
    </row>
    <row r="304" customFormat="false" ht="18.65" hidden="false" customHeight="true" outlineLevel="0" collapsed="false">
      <c r="A304" s="1" t="n">
        <f aca="false">ROW()-2</f>
        <v>302</v>
      </c>
      <c r="B304" s="1" t="n">
        <f aca="false">INT(A304/$N$1)</f>
        <v>16</v>
      </c>
      <c r="C304" s="1" t="n">
        <f aca="false">INT(MOD(A304,$N$1) / 2)</f>
        <v>7</v>
      </c>
      <c r="D304" s="1" t="n">
        <f aca="false">_xlfn.BITAND(A304,1)</f>
        <v>0</v>
      </c>
      <c r="F304" s="1" t="str">
        <f aca="false">DEC2HEX(B304*$N$3*18)</f>
        <v>4800</v>
      </c>
      <c r="G304" s="1" t="str">
        <f aca="false">DEC2HEX(C304*7)</f>
        <v>31</v>
      </c>
      <c r="H304" s="1" t="n">
        <f aca="false">IF(D304=0, 33, "cc")</f>
        <v>33</v>
      </c>
    </row>
    <row r="305" customFormat="false" ht="18.65" hidden="false" customHeight="true" outlineLevel="0" collapsed="false">
      <c r="A305" s="1" t="n">
        <f aca="false">ROW()-2</f>
        <v>303</v>
      </c>
      <c r="B305" s="1" t="n">
        <f aca="false">INT(A305/$N$1)</f>
        <v>16</v>
      </c>
      <c r="C305" s="1" t="n">
        <f aca="false">INT(MOD(A305,$N$1) / 2)</f>
        <v>7</v>
      </c>
      <c r="D305" s="1" t="n">
        <f aca="false">_xlfn.BITAND(A305,1)</f>
        <v>1</v>
      </c>
      <c r="F305" s="1" t="str">
        <f aca="false">DEC2HEX(B305*$N$3*18)</f>
        <v>4800</v>
      </c>
      <c r="G305" s="1" t="str">
        <f aca="false">DEC2HEX(C305*7)</f>
        <v>31</v>
      </c>
      <c r="H305" s="1" t="str">
        <f aca="false">IF(D305=0, 33, "cc")</f>
        <v>cc</v>
      </c>
    </row>
    <row r="306" customFormat="false" ht="18.65" hidden="false" customHeight="true" outlineLevel="0" collapsed="false">
      <c r="A306" s="1" t="n">
        <f aca="false">ROW()-2</f>
        <v>304</v>
      </c>
      <c r="B306" s="1" t="n">
        <f aca="false">INT(A306/$N$1)</f>
        <v>16</v>
      </c>
      <c r="C306" s="1" t="n">
        <f aca="false">INT(MOD(A306,$N$1) / 2)</f>
        <v>8</v>
      </c>
      <c r="D306" s="1" t="n">
        <f aca="false">_xlfn.BITAND(A306,1)</f>
        <v>0</v>
      </c>
      <c r="F306" s="1" t="str">
        <f aca="false">DEC2HEX(B306*$N$3*18)</f>
        <v>4800</v>
      </c>
      <c r="G306" s="1" t="str">
        <f aca="false">DEC2HEX(C306*7)</f>
        <v>38</v>
      </c>
      <c r="H306" s="1" t="n">
        <f aca="false">IF(D306=0, 33, "cc")</f>
        <v>33</v>
      </c>
    </row>
    <row r="307" customFormat="false" ht="18.65" hidden="false" customHeight="true" outlineLevel="0" collapsed="false">
      <c r="A307" s="1" t="n">
        <f aca="false">ROW()-2</f>
        <v>305</v>
      </c>
      <c r="B307" s="1" t="n">
        <f aca="false">INT(A307/$N$1)</f>
        <v>16</v>
      </c>
      <c r="C307" s="1" t="n">
        <f aca="false">INT(MOD(A307,$N$1) / 2)</f>
        <v>8</v>
      </c>
      <c r="D307" s="1" t="n">
        <f aca="false">_xlfn.BITAND(A307,1)</f>
        <v>1</v>
      </c>
      <c r="F307" s="1" t="str">
        <f aca="false">DEC2HEX(B307*$N$3*18)</f>
        <v>4800</v>
      </c>
      <c r="G307" s="1" t="str">
        <f aca="false">DEC2HEX(C307*7)</f>
        <v>38</v>
      </c>
      <c r="H307" s="1" t="str">
        <f aca="false">IF(D307=0, 33, "cc")</f>
        <v>cc</v>
      </c>
    </row>
    <row r="308" customFormat="false" ht="18.65" hidden="false" customHeight="true" outlineLevel="0" collapsed="false">
      <c r="A308" s="1" t="n">
        <f aca="false">ROW()-2</f>
        <v>306</v>
      </c>
      <c r="B308" s="1" t="n">
        <f aca="false">INT(A308/$N$1)</f>
        <v>17</v>
      </c>
      <c r="C308" s="1" t="n">
        <f aca="false">INT(MOD(A308,$N$1) / 2)</f>
        <v>0</v>
      </c>
      <c r="D308" s="1" t="n">
        <f aca="false">_xlfn.BITAND(A308,1)</f>
        <v>0</v>
      </c>
      <c r="F308" s="1" t="str">
        <f aca="false">DEC2HEX(B308*$N$3*18)</f>
        <v>4C80</v>
      </c>
      <c r="G308" s="1" t="str">
        <f aca="false">DEC2HEX(C308*7)</f>
        <v>0</v>
      </c>
      <c r="H308" s="1" t="n">
        <f aca="false">IF(D308=0, 33, "cc")</f>
        <v>33</v>
      </c>
    </row>
    <row r="309" customFormat="false" ht="18.65" hidden="false" customHeight="true" outlineLevel="0" collapsed="false">
      <c r="A309" s="1" t="n">
        <f aca="false">ROW()-2</f>
        <v>307</v>
      </c>
      <c r="B309" s="1" t="n">
        <f aca="false">INT(A309/$N$1)</f>
        <v>17</v>
      </c>
      <c r="C309" s="1" t="n">
        <f aca="false">INT(MOD(A309,$N$1) / 2)</f>
        <v>0</v>
      </c>
      <c r="D309" s="1" t="n">
        <f aca="false">_xlfn.BITAND(A309,1)</f>
        <v>1</v>
      </c>
      <c r="F309" s="1" t="str">
        <f aca="false">DEC2HEX(B309*$N$3*18)</f>
        <v>4C80</v>
      </c>
      <c r="G309" s="1" t="str">
        <f aca="false">DEC2HEX(C309*7)</f>
        <v>0</v>
      </c>
      <c r="H309" s="1" t="str">
        <f aca="false">IF(D309=0, 33, "cc")</f>
        <v>cc</v>
      </c>
    </row>
    <row r="310" customFormat="false" ht="18.65" hidden="false" customHeight="true" outlineLevel="0" collapsed="false">
      <c r="A310" s="1" t="n">
        <f aca="false">ROW()-2</f>
        <v>308</v>
      </c>
      <c r="B310" s="1" t="n">
        <f aca="false">INT(A310/$N$1)</f>
        <v>17</v>
      </c>
      <c r="C310" s="1" t="n">
        <f aca="false">INT(MOD(A310,$N$1) / 2)</f>
        <v>1</v>
      </c>
      <c r="D310" s="1" t="n">
        <f aca="false">_xlfn.BITAND(A310,1)</f>
        <v>0</v>
      </c>
      <c r="F310" s="1" t="str">
        <f aca="false">DEC2HEX(B310*$N$3*18)</f>
        <v>4C80</v>
      </c>
      <c r="G310" s="1" t="str">
        <f aca="false">DEC2HEX(C310*7)</f>
        <v>7</v>
      </c>
      <c r="H310" s="1" t="n">
        <f aca="false">IF(D310=0, 33, "cc")</f>
        <v>33</v>
      </c>
    </row>
    <row r="311" customFormat="false" ht="18.65" hidden="false" customHeight="true" outlineLevel="0" collapsed="false">
      <c r="A311" s="1" t="n">
        <f aca="false">ROW()-2</f>
        <v>309</v>
      </c>
      <c r="B311" s="1" t="n">
        <f aca="false">INT(A311/$N$1)</f>
        <v>17</v>
      </c>
      <c r="C311" s="1" t="n">
        <f aca="false">INT(MOD(A311,$N$1) / 2)</f>
        <v>1</v>
      </c>
      <c r="D311" s="1" t="n">
        <f aca="false">_xlfn.BITAND(A311,1)</f>
        <v>1</v>
      </c>
      <c r="F311" s="1" t="str">
        <f aca="false">DEC2HEX(B311*$N$3*18)</f>
        <v>4C80</v>
      </c>
      <c r="G311" s="1" t="str">
        <f aca="false">DEC2HEX(C311*7)</f>
        <v>7</v>
      </c>
      <c r="H311" s="1" t="str">
        <f aca="false">IF(D311=0, 33, "cc")</f>
        <v>cc</v>
      </c>
    </row>
    <row r="312" customFormat="false" ht="18.65" hidden="false" customHeight="true" outlineLevel="0" collapsed="false">
      <c r="A312" s="1" t="n">
        <f aca="false">ROW()-2</f>
        <v>310</v>
      </c>
      <c r="B312" s="1" t="n">
        <f aca="false">INT(A312/$N$1)</f>
        <v>17</v>
      </c>
      <c r="C312" s="1" t="n">
        <f aca="false">INT(MOD(A312,$N$1) / 2)</f>
        <v>2</v>
      </c>
      <c r="D312" s="1" t="n">
        <f aca="false">_xlfn.BITAND(A312,1)</f>
        <v>0</v>
      </c>
      <c r="F312" s="1" t="str">
        <f aca="false">DEC2HEX(B312*$N$3*18)</f>
        <v>4C80</v>
      </c>
      <c r="G312" s="1" t="str">
        <f aca="false">DEC2HEX(C312*7)</f>
        <v>E</v>
      </c>
      <c r="H312" s="1" t="n">
        <f aca="false">IF(D312=0, 33, "cc")</f>
        <v>33</v>
      </c>
    </row>
    <row r="313" customFormat="false" ht="18.65" hidden="false" customHeight="true" outlineLevel="0" collapsed="false">
      <c r="A313" s="1" t="n">
        <f aca="false">ROW()-2</f>
        <v>311</v>
      </c>
      <c r="B313" s="1" t="n">
        <f aca="false">INT(A313/$N$1)</f>
        <v>17</v>
      </c>
      <c r="C313" s="1" t="n">
        <f aca="false">INT(MOD(A313,$N$1) / 2)</f>
        <v>2</v>
      </c>
      <c r="D313" s="1" t="n">
        <f aca="false">_xlfn.BITAND(A313,1)</f>
        <v>1</v>
      </c>
      <c r="F313" s="1" t="str">
        <f aca="false">DEC2HEX(B313*$N$3*18)</f>
        <v>4C80</v>
      </c>
      <c r="G313" s="1" t="str">
        <f aca="false">DEC2HEX(C313*7)</f>
        <v>E</v>
      </c>
      <c r="H313" s="1" t="str">
        <f aca="false">IF(D313=0, 33, "cc")</f>
        <v>cc</v>
      </c>
    </row>
    <row r="314" customFormat="false" ht="18.65" hidden="false" customHeight="true" outlineLevel="0" collapsed="false">
      <c r="A314" s="1" t="n">
        <f aca="false">ROW()-2</f>
        <v>312</v>
      </c>
      <c r="B314" s="1" t="n">
        <f aca="false">INT(A314/$N$1)</f>
        <v>17</v>
      </c>
      <c r="C314" s="1" t="n">
        <f aca="false">INT(MOD(A314,$N$1) / 2)</f>
        <v>3</v>
      </c>
      <c r="D314" s="1" t="n">
        <f aca="false">_xlfn.BITAND(A314,1)</f>
        <v>0</v>
      </c>
      <c r="F314" s="1" t="str">
        <f aca="false">DEC2HEX(B314*$N$3*18)</f>
        <v>4C80</v>
      </c>
      <c r="G314" s="1" t="str">
        <f aca="false">DEC2HEX(C314*7)</f>
        <v>15</v>
      </c>
      <c r="H314" s="1" t="n">
        <f aca="false">IF(D314=0, 33, "cc")</f>
        <v>33</v>
      </c>
    </row>
    <row r="315" customFormat="false" ht="18.65" hidden="false" customHeight="true" outlineLevel="0" collapsed="false">
      <c r="A315" s="1" t="n">
        <f aca="false">ROW()-2</f>
        <v>313</v>
      </c>
      <c r="B315" s="1" t="n">
        <f aca="false">INT(A315/$N$1)</f>
        <v>17</v>
      </c>
      <c r="C315" s="1" t="n">
        <f aca="false">INT(MOD(A315,$N$1) / 2)</f>
        <v>3</v>
      </c>
      <c r="D315" s="1" t="n">
        <f aca="false">_xlfn.BITAND(A315,1)</f>
        <v>1</v>
      </c>
      <c r="F315" s="1" t="str">
        <f aca="false">DEC2HEX(B315*$N$3*18)</f>
        <v>4C80</v>
      </c>
      <c r="G315" s="1" t="str">
        <f aca="false">DEC2HEX(C315*7)</f>
        <v>15</v>
      </c>
      <c r="H315" s="1" t="str">
        <f aca="false">IF(D315=0, 33, "cc")</f>
        <v>cc</v>
      </c>
    </row>
    <row r="316" customFormat="false" ht="18.65" hidden="false" customHeight="true" outlineLevel="0" collapsed="false">
      <c r="A316" s="1" t="n">
        <f aca="false">ROW()-2</f>
        <v>314</v>
      </c>
      <c r="B316" s="1" t="n">
        <f aca="false">INT(A316/$N$1)</f>
        <v>17</v>
      </c>
      <c r="C316" s="1" t="n">
        <f aca="false">INT(MOD(A316,$N$1) / 2)</f>
        <v>4</v>
      </c>
      <c r="D316" s="1" t="n">
        <f aca="false">_xlfn.BITAND(A316,1)</f>
        <v>0</v>
      </c>
      <c r="F316" s="1" t="str">
        <f aca="false">DEC2HEX(B316*$N$3*18)</f>
        <v>4C80</v>
      </c>
      <c r="G316" s="1" t="str">
        <f aca="false">DEC2HEX(C316*7)</f>
        <v>1C</v>
      </c>
      <c r="H316" s="1" t="n">
        <f aca="false">IF(D316=0, 33, "cc")</f>
        <v>33</v>
      </c>
    </row>
    <row r="317" customFormat="false" ht="18.65" hidden="false" customHeight="true" outlineLevel="0" collapsed="false">
      <c r="A317" s="1" t="n">
        <f aca="false">ROW()-2</f>
        <v>315</v>
      </c>
      <c r="B317" s="1" t="n">
        <f aca="false">INT(A317/$N$1)</f>
        <v>17</v>
      </c>
      <c r="C317" s="1" t="n">
        <f aca="false">INT(MOD(A317,$N$1) / 2)</f>
        <v>4</v>
      </c>
      <c r="D317" s="1" t="n">
        <f aca="false">_xlfn.BITAND(A317,1)</f>
        <v>1</v>
      </c>
      <c r="F317" s="1" t="str">
        <f aca="false">DEC2HEX(B317*$N$3*18)</f>
        <v>4C80</v>
      </c>
      <c r="G317" s="1" t="str">
        <f aca="false">DEC2HEX(C317*7)</f>
        <v>1C</v>
      </c>
      <c r="H317" s="1" t="str">
        <f aca="false">IF(D317=0, 33, "cc")</f>
        <v>cc</v>
      </c>
    </row>
    <row r="318" customFormat="false" ht="18.65" hidden="false" customHeight="true" outlineLevel="0" collapsed="false">
      <c r="A318" s="1" t="n">
        <f aca="false">ROW()-2</f>
        <v>316</v>
      </c>
      <c r="B318" s="1" t="n">
        <f aca="false">INT(A318/$N$1)</f>
        <v>17</v>
      </c>
      <c r="C318" s="1" t="n">
        <f aca="false">INT(MOD(A318,$N$1) / 2)</f>
        <v>5</v>
      </c>
      <c r="D318" s="1" t="n">
        <f aca="false">_xlfn.BITAND(A318,1)</f>
        <v>0</v>
      </c>
      <c r="F318" s="1" t="str">
        <f aca="false">DEC2HEX(B318*$N$3*18)</f>
        <v>4C80</v>
      </c>
      <c r="G318" s="1" t="str">
        <f aca="false">DEC2HEX(C318*7)</f>
        <v>23</v>
      </c>
      <c r="H318" s="1" t="n">
        <f aca="false">IF(D318=0, 33, "cc")</f>
        <v>33</v>
      </c>
    </row>
    <row r="319" customFormat="false" ht="18.65" hidden="false" customHeight="true" outlineLevel="0" collapsed="false">
      <c r="A319" s="1" t="n">
        <f aca="false">ROW()-2</f>
        <v>317</v>
      </c>
      <c r="B319" s="1" t="n">
        <f aca="false">INT(A319/$N$1)</f>
        <v>17</v>
      </c>
      <c r="C319" s="1" t="n">
        <f aca="false">INT(MOD(A319,$N$1) / 2)</f>
        <v>5</v>
      </c>
      <c r="D319" s="1" t="n">
        <f aca="false">_xlfn.BITAND(A319,1)</f>
        <v>1</v>
      </c>
      <c r="F319" s="1" t="str">
        <f aca="false">DEC2HEX(B319*$N$3*18)</f>
        <v>4C80</v>
      </c>
      <c r="G319" s="1" t="str">
        <f aca="false">DEC2HEX(C319*7)</f>
        <v>23</v>
      </c>
      <c r="H319" s="1" t="str">
        <f aca="false">IF(D319=0, 33, "cc")</f>
        <v>cc</v>
      </c>
    </row>
    <row r="320" customFormat="false" ht="18.65" hidden="false" customHeight="true" outlineLevel="0" collapsed="false">
      <c r="A320" s="1" t="n">
        <f aca="false">ROW()-2</f>
        <v>318</v>
      </c>
      <c r="B320" s="1" t="n">
        <f aca="false">INT(A320/$N$1)</f>
        <v>17</v>
      </c>
      <c r="C320" s="1" t="n">
        <f aca="false">INT(MOD(A320,$N$1) / 2)</f>
        <v>6</v>
      </c>
      <c r="D320" s="1" t="n">
        <f aca="false">_xlfn.BITAND(A320,1)</f>
        <v>0</v>
      </c>
      <c r="F320" s="1" t="str">
        <f aca="false">DEC2HEX(B320*$N$3*18)</f>
        <v>4C80</v>
      </c>
      <c r="G320" s="1" t="str">
        <f aca="false">DEC2HEX(C320*7)</f>
        <v>2A</v>
      </c>
      <c r="H320" s="1" t="n">
        <f aca="false">IF(D320=0, 33, "cc")</f>
        <v>33</v>
      </c>
    </row>
    <row r="321" customFormat="false" ht="18.65" hidden="false" customHeight="true" outlineLevel="0" collapsed="false">
      <c r="A321" s="1" t="n">
        <f aca="false">ROW()-2</f>
        <v>319</v>
      </c>
      <c r="B321" s="1" t="n">
        <f aca="false">INT(A321/$N$1)</f>
        <v>17</v>
      </c>
      <c r="C321" s="1" t="n">
        <f aca="false">INT(MOD(A321,$N$1) / 2)</f>
        <v>6</v>
      </c>
      <c r="D321" s="1" t="n">
        <f aca="false">_xlfn.BITAND(A321,1)</f>
        <v>1</v>
      </c>
      <c r="F321" s="1" t="str">
        <f aca="false">DEC2HEX(B321*$N$3*18)</f>
        <v>4C80</v>
      </c>
      <c r="G321" s="1" t="str">
        <f aca="false">DEC2HEX(C321*7)</f>
        <v>2A</v>
      </c>
      <c r="H321" s="1" t="str">
        <f aca="false">IF(D321=0, 33, "cc")</f>
        <v>cc</v>
      </c>
    </row>
    <row r="322" customFormat="false" ht="18.65" hidden="false" customHeight="true" outlineLevel="0" collapsed="false">
      <c r="A322" s="1" t="n">
        <f aca="false">ROW()-2</f>
        <v>320</v>
      </c>
      <c r="B322" s="1" t="n">
        <f aca="false">INT(A322/$N$1)</f>
        <v>17</v>
      </c>
      <c r="C322" s="1" t="n">
        <f aca="false">INT(MOD(A322,$N$1) / 2)</f>
        <v>7</v>
      </c>
      <c r="D322" s="1" t="n">
        <f aca="false">_xlfn.BITAND(A322,1)</f>
        <v>0</v>
      </c>
      <c r="F322" s="1" t="str">
        <f aca="false">DEC2HEX(B322*$N$3*18)</f>
        <v>4C80</v>
      </c>
      <c r="G322" s="1" t="str">
        <f aca="false">DEC2HEX(C322*7)</f>
        <v>31</v>
      </c>
      <c r="H322" s="1" t="n">
        <f aca="false">IF(D322=0, 33, "cc")</f>
        <v>33</v>
      </c>
    </row>
    <row r="323" customFormat="false" ht="18.65" hidden="false" customHeight="true" outlineLevel="0" collapsed="false">
      <c r="A323" s="1" t="n">
        <f aca="false">ROW()-2</f>
        <v>321</v>
      </c>
      <c r="B323" s="1" t="n">
        <f aca="false">INT(A323/$N$1)</f>
        <v>17</v>
      </c>
      <c r="C323" s="1" t="n">
        <f aca="false">INT(MOD(A323,$N$1) / 2)</f>
        <v>7</v>
      </c>
      <c r="D323" s="1" t="n">
        <f aca="false">_xlfn.BITAND(A323,1)</f>
        <v>1</v>
      </c>
      <c r="F323" s="1" t="str">
        <f aca="false">DEC2HEX(B323*$N$3*18)</f>
        <v>4C80</v>
      </c>
      <c r="G323" s="1" t="str">
        <f aca="false">DEC2HEX(C323*7)</f>
        <v>31</v>
      </c>
      <c r="H323" s="1" t="str">
        <f aca="false">IF(D323=0, 33, "cc")</f>
        <v>cc</v>
      </c>
    </row>
    <row r="324" customFormat="false" ht="18.65" hidden="false" customHeight="true" outlineLevel="0" collapsed="false">
      <c r="A324" s="1" t="n">
        <f aca="false">ROW()-2</f>
        <v>322</v>
      </c>
      <c r="B324" s="1" t="n">
        <f aca="false">INT(A324/$N$1)</f>
        <v>17</v>
      </c>
      <c r="C324" s="1" t="n">
        <f aca="false">INT(MOD(A324,$N$1) / 2)</f>
        <v>8</v>
      </c>
      <c r="D324" s="1" t="n">
        <f aca="false">_xlfn.BITAND(A324,1)</f>
        <v>0</v>
      </c>
      <c r="F324" s="1" t="str">
        <f aca="false">DEC2HEX(B324*$N$3*18)</f>
        <v>4C80</v>
      </c>
      <c r="G324" s="1" t="str">
        <f aca="false">DEC2HEX(C324*7)</f>
        <v>38</v>
      </c>
      <c r="H324" s="1" t="n">
        <f aca="false">IF(D324=0, 33, "cc")</f>
        <v>33</v>
      </c>
    </row>
    <row r="325" customFormat="false" ht="18.65" hidden="false" customHeight="true" outlineLevel="0" collapsed="false">
      <c r="A325" s="1" t="n">
        <f aca="false">ROW()-2</f>
        <v>323</v>
      </c>
      <c r="B325" s="1" t="n">
        <f aca="false">INT(A325/$N$1)</f>
        <v>17</v>
      </c>
      <c r="C325" s="1" t="n">
        <f aca="false">INT(MOD(A325,$N$1) / 2)</f>
        <v>8</v>
      </c>
      <c r="D325" s="1" t="n">
        <f aca="false">_xlfn.BITAND(A325,1)</f>
        <v>1</v>
      </c>
      <c r="F325" s="1" t="str">
        <f aca="false">DEC2HEX(B325*$N$3*18)</f>
        <v>4C80</v>
      </c>
      <c r="G325" s="1" t="str">
        <f aca="false">DEC2HEX(C325*7)</f>
        <v>38</v>
      </c>
      <c r="H325" s="1" t="str">
        <f aca="false">IF(D325=0, 33, "cc")</f>
        <v>cc</v>
      </c>
    </row>
    <row r="326" customFormat="false" ht="18.65" hidden="false" customHeight="true" outlineLevel="0" collapsed="false">
      <c r="A326" s="1" t="n">
        <f aca="false">ROW()-2</f>
        <v>324</v>
      </c>
      <c r="B326" s="1" t="n">
        <f aca="false">INT(A326/$N$1)</f>
        <v>18</v>
      </c>
      <c r="C326" s="1" t="n">
        <f aca="false">INT(MOD(A326,$N$1) / 2)</f>
        <v>0</v>
      </c>
      <c r="D326" s="1" t="n">
        <f aca="false">_xlfn.BITAND(A326,1)</f>
        <v>0</v>
      </c>
      <c r="F326" s="1" t="str">
        <f aca="false">DEC2HEX(B326*$N$3*18)</f>
        <v>5100</v>
      </c>
      <c r="G326" s="1" t="str">
        <f aca="false">DEC2HEX(C326*7)</f>
        <v>0</v>
      </c>
      <c r="H326" s="1" t="n">
        <f aca="false">IF(D326=0, 33, "cc")</f>
        <v>33</v>
      </c>
    </row>
    <row r="327" customFormat="false" ht="18.65" hidden="false" customHeight="true" outlineLevel="0" collapsed="false">
      <c r="A327" s="1" t="n">
        <f aca="false">ROW()-2</f>
        <v>325</v>
      </c>
      <c r="B327" s="1" t="n">
        <f aca="false">INT(A327/$N$1)</f>
        <v>18</v>
      </c>
      <c r="C327" s="1" t="n">
        <f aca="false">INT(MOD(A327,$N$1) / 2)</f>
        <v>0</v>
      </c>
      <c r="D327" s="1" t="n">
        <f aca="false">_xlfn.BITAND(A327,1)</f>
        <v>1</v>
      </c>
      <c r="F327" s="1" t="str">
        <f aca="false">DEC2HEX(B327*$N$3*18)</f>
        <v>5100</v>
      </c>
      <c r="G327" s="1" t="str">
        <f aca="false">DEC2HEX(C327*7)</f>
        <v>0</v>
      </c>
      <c r="H327" s="1" t="str">
        <f aca="false">IF(D327=0, 33, "cc")</f>
        <v>cc</v>
      </c>
    </row>
    <row r="328" customFormat="false" ht="18.65" hidden="false" customHeight="true" outlineLevel="0" collapsed="false">
      <c r="A328" s="1" t="n">
        <f aca="false">ROW()-2</f>
        <v>326</v>
      </c>
      <c r="B328" s="1" t="n">
        <f aca="false">INT(A328/$N$1)</f>
        <v>18</v>
      </c>
      <c r="C328" s="1" t="n">
        <f aca="false">INT(MOD(A328,$N$1) / 2)</f>
        <v>1</v>
      </c>
      <c r="D328" s="1" t="n">
        <f aca="false">_xlfn.BITAND(A328,1)</f>
        <v>0</v>
      </c>
      <c r="F328" s="1" t="str">
        <f aca="false">DEC2HEX(B328*$N$3*18)</f>
        <v>5100</v>
      </c>
      <c r="G328" s="1" t="str">
        <f aca="false">DEC2HEX(C328*7)</f>
        <v>7</v>
      </c>
      <c r="H328" s="1" t="n">
        <f aca="false">IF(D328=0, 33, "cc")</f>
        <v>33</v>
      </c>
    </row>
    <row r="329" customFormat="false" ht="18.65" hidden="false" customHeight="true" outlineLevel="0" collapsed="false">
      <c r="A329" s="1" t="n">
        <f aca="false">ROW()-2</f>
        <v>327</v>
      </c>
      <c r="B329" s="1" t="n">
        <f aca="false">INT(A329/$N$1)</f>
        <v>18</v>
      </c>
      <c r="C329" s="1" t="n">
        <f aca="false">INT(MOD(A329,$N$1) / 2)</f>
        <v>1</v>
      </c>
      <c r="D329" s="1" t="n">
        <f aca="false">_xlfn.BITAND(A329,1)</f>
        <v>1</v>
      </c>
      <c r="F329" s="1" t="str">
        <f aca="false">DEC2HEX(B329*$N$3*18)</f>
        <v>5100</v>
      </c>
      <c r="G329" s="1" t="str">
        <f aca="false">DEC2HEX(C329*7)</f>
        <v>7</v>
      </c>
      <c r="H329" s="1" t="str">
        <f aca="false">IF(D329=0, 33, "cc")</f>
        <v>cc</v>
      </c>
    </row>
    <row r="330" customFormat="false" ht="18.65" hidden="false" customHeight="true" outlineLevel="0" collapsed="false">
      <c r="A330" s="1" t="n">
        <f aca="false">ROW()-2</f>
        <v>328</v>
      </c>
      <c r="B330" s="1" t="n">
        <f aca="false">INT(A330/$N$1)</f>
        <v>18</v>
      </c>
      <c r="C330" s="1" t="n">
        <f aca="false">INT(MOD(A330,$N$1) / 2)</f>
        <v>2</v>
      </c>
      <c r="D330" s="1" t="n">
        <f aca="false">_xlfn.BITAND(A330,1)</f>
        <v>0</v>
      </c>
      <c r="F330" s="1" t="str">
        <f aca="false">DEC2HEX(B330*$N$3*18)</f>
        <v>5100</v>
      </c>
      <c r="G330" s="1" t="str">
        <f aca="false">DEC2HEX(C330*7)</f>
        <v>E</v>
      </c>
      <c r="H330" s="1" t="n">
        <f aca="false">IF(D330=0, 33, "cc")</f>
        <v>33</v>
      </c>
    </row>
    <row r="331" customFormat="false" ht="18.65" hidden="false" customHeight="true" outlineLevel="0" collapsed="false">
      <c r="A331" s="1" t="n">
        <f aca="false">ROW()-2</f>
        <v>329</v>
      </c>
      <c r="B331" s="1" t="n">
        <f aca="false">INT(A331/$N$1)</f>
        <v>18</v>
      </c>
      <c r="C331" s="1" t="n">
        <f aca="false">INT(MOD(A331,$N$1) / 2)</f>
        <v>2</v>
      </c>
      <c r="D331" s="1" t="n">
        <f aca="false">_xlfn.BITAND(A331,1)</f>
        <v>1</v>
      </c>
      <c r="F331" s="1" t="str">
        <f aca="false">DEC2HEX(B331*$N$3*18)</f>
        <v>5100</v>
      </c>
      <c r="G331" s="1" t="str">
        <f aca="false">DEC2HEX(C331*7)</f>
        <v>E</v>
      </c>
      <c r="H331" s="1" t="str">
        <f aca="false">IF(D331=0, 33, "cc")</f>
        <v>cc</v>
      </c>
    </row>
    <row r="332" customFormat="false" ht="18.65" hidden="false" customHeight="true" outlineLevel="0" collapsed="false">
      <c r="A332" s="1" t="n">
        <f aca="false">ROW()-2</f>
        <v>330</v>
      </c>
      <c r="B332" s="1" t="n">
        <f aca="false">INT(A332/$N$1)</f>
        <v>18</v>
      </c>
      <c r="C332" s="1" t="n">
        <f aca="false">INT(MOD(A332,$N$1) / 2)</f>
        <v>3</v>
      </c>
      <c r="D332" s="1" t="n">
        <f aca="false">_xlfn.BITAND(A332,1)</f>
        <v>0</v>
      </c>
      <c r="F332" s="1" t="str">
        <f aca="false">DEC2HEX(B332*$N$3*18)</f>
        <v>5100</v>
      </c>
      <c r="G332" s="1" t="str">
        <f aca="false">DEC2HEX(C332*7)</f>
        <v>15</v>
      </c>
      <c r="H332" s="1" t="n">
        <f aca="false">IF(D332=0, 33, "cc")</f>
        <v>33</v>
      </c>
    </row>
    <row r="333" customFormat="false" ht="18.65" hidden="false" customHeight="true" outlineLevel="0" collapsed="false">
      <c r="A333" s="1" t="n">
        <f aca="false">ROW()-2</f>
        <v>331</v>
      </c>
      <c r="B333" s="1" t="n">
        <f aca="false">INT(A333/$N$1)</f>
        <v>18</v>
      </c>
      <c r="C333" s="1" t="n">
        <f aca="false">INT(MOD(A333,$N$1) / 2)</f>
        <v>3</v>
      </c>
      <c r="D333" s="1" t="n">
        <f aca="false">_xlfn.BITAND(A333,1)</f>
        <v>1</v>
      </c>
      <c r="F333" s="1" t="str">
        <f aca="false">DEC2HEX(B333*$N$3*18)</f>
        <v>5100</v>
      </c>
      <c r="G333" s="1" t="str">
        <f aca="false">DEC2HEX(C333*7)</f>
        <v>15</v>
      </c>
      <c r="H333" s="1" t="str">
        <f aca="false">IF(D333=0, 33, "cc")</f>
        <v>cc</v>
      </c>
    </row>
    <row r="334" customFormat="false" ht="18.65" hidden="false" customHeight="true" outlineLevel="0" collapsed="false">
      <c r="A334" s="1" t="n">
        <f aca="false">ROW()-2</f>
        <v>332</v>
      </c>
      <c r="B334" s="1" t="n">
        <f aca="false">INT(A334/$N$1)</f>
        <v>18</v>
      </c>
      <c r="C334" s="1" t="n">
        <f aca="false">INT(MOD(A334,$N$1) / 2)</f>
        <v>4</v>
      </c>
      <c r="D334" s="1" t="n">
        <f aca="false">_xlfn.BITAND(A334,1)</f>
        <v>0</v>
      </c>
      <c r="F334" s="1" t="str">
        <f aca="false">DEC2HEX(B334*$N$3*18)</f>
        <v>5100</v>
      </c>
      <c r="G334" s="1" t="str">
        <f aca="false">DEC2HEX(C334*7)</f>
        <v>1C</v>
      </c>
      <c r="H334" s="1" t="n">
        <f aca="false">IF(D334=0, 33, "cc")</f>
        <v>33</v>
      </c>
    </row>
    <row r="335" customFormat="false" ht="18.65" hidden="false" customHeight="true" outlineLevel="0" collapsed="false">
      <c r="A335" s="1" t="n">
        <f aca="false">ROW()-2</f>
        <v>333</v>
      </c>
      <c r="B335" s="1" t="n">
        <f aca="false">INT(A335/$N$1)</f>
        <v>18</v>
      </c>
      <c r="C335" s="1" t="n">
        <f aca="false">INT(MOD(A335,$N$1) / 2)</f>
        <v>4</v>
      </c>
      <c r="D335" s="1" t="n">
        <f aca="false">_xlfn.BITAND(A335,1)</f>
        <v>1</v>
      </c>
      <c r="F335" s="1" t="str">
        <f aca="false">DEC2HEX(B335*$N$3*18)</f>
        <v>5100</v>
      </c>
      <c r="G335" s="1" t="str">
        <f aca="false">DEC2HEX(C335*7)</f>
        <v>1C</v>
      </c>
      <c r="H335" s="1" t="str">
        <f aca="false">IF(D335=0, 33, "cc")</f>
        <v>cc</v>
      </c>
    </row>
    <row r="336" customFormat="false" ht="18.65" hidden="false" customHeight="true" outlineLevel="0" collapsed="false">
      <c r="A336" s="1" t="n">
        <f aca="false">ROW()-2</f>
        <v>334</v>
      </c>
      <c r="B336" s="1" t="n">
        <f aca="false">INT(A336/$N$1)</f>
        <v>18</v>
      </c>
      <c r="C336" s="1" t="n">
        <f aca="false">INT(MOD(A336,$N$1) / 2)</f>
        <v>5</v>
      </c>
      <c r="D336" s="1" t="n">
        <f aca="false">_xlfn.BITAND(A336,1)</f>
        <v>0</v>
      </c>
      <c r="F336" s="1" t="str">
        <f aca="false">DEC2HEX(B336*$N$3*18)</f>
        <v>5100</v>
      </c>
      <c r="G336" s="1" t="str">
        <f aca="false">DEC2HEX(C336*7)</f>
        <v>23</v>
      </c>
      <c r="H336" s="1" t="n">
        <f aca="false">IF(D336=0, 33, "cc")</f>
        <v>33</v>
      </c>
    </row>
    <row r="337" customFormat="false" ht="18.65" hidden="false" customHeight="true" outlineLevel="0" collapsed="false">
      <c r="A337" s="1" t="n">
        <f aca="false">ROW()-2</f>
        <v>335</v>
      </c>
      <c r="B337" s="1" t="n">
        <f aca="false">INT(A337/$N$1)</f>
        <v>18</v>
      </c>
      <c r="C337" s="1" t="n">
        <f aca="false">INT(MOD(A337,$N$1) / 2)</f>
        <v>5</v>
      </c>
      <c r="D337" s="1" t="n">
        <f aca="false">_xlfn.BITAND(A337,1)</f>
        <v>1</v>
      </c>
      <c r="F337" s="1" t="str">
        <f aca="false">DEC2HEX(B337*$N$3*18)</f>
        <v>5100</v>
      </c>
      <c r="G337" s="1" t="str">
        <f aca="false">DEC2HEX(C337*7)</f>
        <v>23</v>
      </c>
      <c r="H337" s="1" t="str">
        <f aca="false">IF(D337=0, 33, "cc")</f>
        <v>cc</v>
      </c>
    </row>
    <row r="338" customFormat="false" ht="18.65" hidden="false" customHeight="true" outlineLevel="0" collapsed="false">
      <c r="A338" s="1" t="n">
        <f aca="false">ROW()-2</f>
        <v>336</v>
      </c>
      <c r="B338" s="1" t="n">
        <f aca="false">INT(A338/$N$1)</f>
        <v>18</v>
      </c>
      <c r="C338" s="1" t="n">
        <f aca="false">INT(MOD(A338,$N$1) / 2)</f>
        <v>6</v>
      </c>
      <c r="D338" s="1" t="n">
        <f aca="false">_xlfn.BITAND(A338,1)</f>
        <v>0</v>
      </c>
      <c r="F338" s="1" t="str">
        <f aca="false">DEC2HEX(B338*$N$3*18)</f>
        <v>5100</v>
      </c>
      <c r="G338" s="1" t="str">
        <f aca="false">DEC2HEX(C338*7)</f>
        <v>2A</v>
      </c>
      <c r="H338" s="1" t="n">
        <f aca="false">IF(D338=0, 33, "cc")</f>
        <v>33</v>
      </c>
    </row>
    <row r="339" customFormat="false" ht="18.65" hidden="false" customHeight="true" outlineLevel="0" collapsed="false">
      <c r="A339" s="1" t="n">
        <f aca="false">ROW()-2</f>
        <v>337</v>
      </c>
      <c r="B339" s="1" t="n">
        <f aca="false">INT(A339/$N$1)</f>
        <v>18</v>
      </c>
      <c r="C339" s="1" t="n">
        <f aca="false">INT(MOD(A339,$N$1) / 2)</f>
        <v>6</v>
      </c>
      <c r="D339" s="1" t="n">
        <f aca="false">_xlfn.BITAND(A339,1)</f>
        <v>1</v>
      </c>
      <c r="F339" s="1" t="str">
        <f aca="false">DEC2HEX(B339*$N$3*18)</f>
        <v>5100</v>
      </c>
      <c r="G339" s="1" t="str">
        <f aca="false">DEC2HEX(C339*7)</f>
        <v>2A</v>
      </c>
      <c r="H339" s="1" t="str">
        <f aca="false">IF(D339=0, 33, "cc")</f>
        <v>cc</v>
      </c>
    </row>
    <row r="340" customFormat="false" ht="18.65" hidden="false" customHeight="true" outlineLevel="0" collapsed="false">
      <c r="A340" s="1" t="n">
        <f aca="false">ROW()-2</f>
        <v>338</v>
      </c>
      <c r="B340" s="1" t="n">
        <f aca="false">INT(A340/$N$1)</f>
        <v>18</v>
      </c>
      <c r="C340" s="1" t="n">
        <f aca="false">INT(MOD(A340,$N$1) / 2)</f>
        <v>7</v>
      </c>
      <c r="D340" s="1" t="n">
        <f aca="false">_xlfn.BITAND(A340,1)</f>
        <v>0</v>
      </c>
      <c r="F340" s="1" t="str">
        <f aca="false">DEC2HEX(B340*$N$3*18)</f>
        <v>5100</v>
      </c>
      <c r="G340" s="1" t="str">
        <f aca="false">DEC2HEX(C340*7)</f>
        <v>31</v>
      </c>
      <c r="H340" s="1" t="n">
        <f aca="false">IF(D340=0, 33, "cc")</f>
        <v>33</v>
      </c>
    </row>
    <row r="341" customFormat="false" ht="18.65" hidden="false" customHeight="true" outlineLevel="0" collapsed="false">
      <c r="A341" s="1" t="n">
        <f aca="false">ROW()-2</f>
        <v>339</v>
      </c>
      <c r="B341" s="1" t="n">
        <f aca="false">INT(A341/$N$1)</f>
        <v>18</v>
      </c>
      <c r="C341" s="1" t="n">
        <f aca="false">INT(MOD(A341,$N$1) / 2)</f>
        <v>7</v>
      </c>
      <c r="D341" s="1" t="n">
        <f aca="false">_xlfn.BITAND(A341,1)</f>
        <v>1</v>
      </c>
      <c r="F341" s="1" t="str">
        <f aca="false">DEC2HEX(B341*$N$3*18)</f>
        <v>5100</v>
      </c>
      <c r="G341" s="1" t="str">
        <f aca="false">DEC2HEX(C341*7)</f>
        <v>31</v>
      </c>
      <c r="H341" s="1" t="str">
        <f aca="false">IF(D341=0, 33, "cc")</f>
        <v>cc</v>
      </c>
    </row>
    <row r="342" customFormat="false" ht="18.65" hidden="false" customHeight="true" outlineLevel="0" collapsed="false">
      <c r="A342" s="1" t="n">
        <f aca="false">ROW()-2</f>
        <v>340</v>
      </c>
      <c r="B342" s="1" t="n">
        <f aca="false">INT(A342/$N$1)</f>
        <v>18</v>
      </c>
      <c r="C342" s="1" t="n">
        <f aca="false">INT(MOD(A342,$N$1) / 2)</f>
        <v>8</v>
      </c>
      <c r="D342" s="1" t="n">
        <f aca="false">_xlfn.BITAND(A342,1)</f>
        <v>0</v>
      </c>
      <c r="F342" s="1" t="str">
        <f aca="false">DEC2HEX(B342*$N$3*18)</f>
        <v>5100</v>
      </c>
      <c r="G342" s="1" t="str">
        <f aca="false">DEC2HEX(C342*7)</f>
        <v>38</v>
      </c>
      <c r="H342" s="1" t="n">
        <f aca="false">IF(D342=0, 33, "cc")</f>
        <v>33</v>
      </c>
    </row>
    <row r="343" customFormat="false" ht="18.65" hidden="false" customHeight="true" outlineLevel="0" collapsed="false">
      <c r="A343" s="1" t="n">
        <f aca="false">ROW()-2</f>
        <v>341</v>
      </c>
      <c r="B343" s="1" t="n">
        <f aca="false">INT(A343/$N$1)</f>
        <v>18</v>
      </c>
      <c r="C343" s="1" t="n">
        <f aca="false">INT(MOD(A343,$N$1) / 2)</f>
        <v>8</v>
      </c>
      <c r="D343" s="1" t="n">
        <f aca="false">_xlfn.BITAND(A343,1)</f>
        <v>1</v>
      </c>
      <c r="F343" s="1" t="str">
        <f aca="false">DEC2HEX(B343*$N$3*18)</f>
        <v>5100</v>
      </c>
      <c r="G343" s="1" t="str">
        <f aca="false">DEC2HEX(C343*7)</f>
        <v>38</v>
      </c>
      <c r="H343" s="1" t="str">
        <f aca="false">IF(D343=0, 33, "cc")</f>
        <v>cc</v>
      </c>
    </row>
    <row r="344" customFormat="false" ht="18.65" hidden="false" customHeight="true" outlineLevel="0" collapsed="false">
      <c r="A344" s="1" t="n">
        <f aca="false">ROW()-2</f>
        <v>342</v>
      </c>
      <c r="B344" s="1" t="n">
        <f aca="false">INT(A344/$N$1)</f>
        <v>19</v>
      </c>
      <c r="C344" s="1" t="n">
        <f aca="false">INT(MOD(A344,$N$1) / 2)</f>
        <v>0</v>
      </c>
      <c r="D344" s="1" t="n">
        <f aca="false">_xlfn.BITAND(A344,1)</f>
        <v>0</v>
      </c>
      <c r="F344" s="1" t="str">
        <f aca="false">DEC2HEX(B344*$N$3*18)</f>
        <v>5580</v>
      </c>
      <c r="G344" s="1" t="str">
        <f aca="false">DEC2HEX(C344*7)</f>
        <v>0</v>
      </c>
      <c r="H344" s="1" t="n">
        <f aca="false">IF(D344=0, 33, "cc")</f>
        <v>33</v>
      </c>
    </row>
    <row r="345" customFormat="false" ht="18.65" hidden="false" customHeight="true" outlineLevel="0" collapsed="false">
      <c r="A345" s="1" t="n">
        <f aca="false">ROW()-2</f>
        <v>343</v>
      </c>
      <c r="B345" s="1" t="n">
        <f aca="false">INT(A345/$N$1)</f>
        <v>19</v>
      </c>
      <c r="C345" s="1" t="n">
        <f aca="false">INT(MOD(A345,$N$1) / 2)</f>
        <v>0</v>
      </c>
      <c r="D345" s="1" t="n">
        <f aca="false">_xlfn.BITAND(A345,1)</f>
        <v>1</v>
      </c>
      <c r="F345" s="1" t="str">
        <f aca="false">DEC2HEX(B345*$N$3*18)</f>
        <v>5580</v>
      </c>
      <c r="G345" s="1" t="str">
        <f aca="false">DEC2HEX(C345*7)</f>
        <v>0</v>
      </c>
      <c r="H345" s="1" t="str">
        <f aca="false">IF(D345=0, 33, "cc")</f>
        <v>cc</v>
      </c>
    </row>
    <row r="346" customFormat="false" ht="18.65" hidden="false" customHeight="true" outlineLevel="0" collapsed="false">
      <c r="A346" s="1" t="n">
        <f aca="false">ROW()-2</f>
        <v>344</v>
      </c>
      <c r="B346" s="1" t="n">
        <f aca="false">INT(A346/$N$1)</f>
        <v>19</v>
      </c>
      <c r="C346" s="1" t="n">
        <f aca="false">INT(MOD(A346,$N$1) / 2)</f>
        <v>1</v>
      </c>
      <c r="D346" s="1" t="n">
        <f aca="false">_xlfn.BITAND(A346,1)</f>
        <v>0</v>
      </c>
      <c r="F346" s="1" t="str">
        <f aca="false">DEC2HEX(B346*$N$3*18)</f>
        <v>5580</v>
      </c>
      <c r="G346" s="1" t="str">
        <f aca="false">DEC2HEX(C346*7)</f>
        <v>7</v>
      </c>
      <c r="H346" s="1" t="n">
        <f aca="false">IF(D346=0, 33, "cc")</f>
        <v>33</v>
      </c>
    </row>
    <row r="347" customFormat="false" ht="18.65" hidden="false" customHeight="true" outlineLevel="0" collapsed="false">
      <c r="A347" s="1" t="n">
        <f aca="false">ROW()-2</f>
        <v>345</v>
      </c>
      <c r="B347" s="1" t="n">
        <f aca="false">INT(A347/$N$1)</f>
        <v>19</v>
      </c>
      <c r="C347" s="1" t="n">
        <f aca="false">INT(MOD(A347,$N$1) / 2)</f>
        <v>1</v>
      </c>
      <c r="D347" s="1" t="n">
        <f aca="false">_xlfn.BITAND(A347,1)</f>
        <v>1</v>
      </c>
      <c r="F347" s="1" t="str">
        <f aca="false">DEC2HEX(B347*$N$3*18)</f>
        <v>5580</v>
      </c>
      <c r="G347" s="1" t="str">
        <f aca="false">DEC2HEX(C347*7)</f>
        <v>7</v>
      </c>
      <c r="H347" s="1" t="str">
        <f aca="false">IF(D347=0, 33, "cc")</f>
        <v>cc</v>
      </c>
    </row>
    <row r="348" customFormat="false" ht="18.65" hidden="false" customHeight="true" outlineLevel="0" collapsed="false">
      <c r="A348" s="1" t="n">
        <f aca="false">ROW()-2</f>
        <v>346</v>
      </c>
      <c r="B348" s="1" t="n">
        <f aca="false">INT(A348/$N$1)</f>
        <v>19</v>
      </c>
      <c r="C348" s="1" t="n">
        <f aca="false">INT(MOD(A348,$N$1) / 2)</f>
        <v>2</v>
      </c>
      <c r="D348" s="1" t="n">
        <f aca="false">_xlfn.BITAND(A348,1)</f>
        <v>0</v>
      </c>
      <c r="F348" s="1" t="str">
        <f aca="false">DEC2HEX(B348*$N$3*18)</f>
        <v>5580</v>
      </c>
      <c r="G348" s="1" t="str">
        <f aca="false">DEC2HEX(C348*7)</f>
        <v>E</v>
      </c>
      <c r="H348" s="1" t="n">
        <f aca="false">IF(D348=0, 33, "cc")</f>
        <v>33</v>
      </c>
    </row>
    <row r="349" customFormat="false" ht="18.65" hidden="false" customHeight="true" outlineLevel="0" collapsed="false">
      <c r="A349" s="1" t="n">
        <f aca="false">ROW()-2</f>
        <v>347</v>
      </c>
      <c r="B349" s="1" t="n">
        <f aca="false">INT(A349/$N$1)</f>
        <v>19</v>
      </c>
      <c r="C349" s="1" t="n">
        <f aca="false">INT(MOD(A349,$N$1) / 2)</f>
        <v>2</v>
      </c>
      <c r="D349" s="1" t="n">
        <f aca="false">_xlfn.BITAND(A349,1)</f>
        <v>1</v>
      </c>
      <c r="F349" s="1" t="str">
        <f aca="false">DEC2HEX(B349*$N$3*18)</f>
        <v>5580</v>
      </c>
      <c r="G349" s="1" t="str">
        <f aca="false">DEC2HEX(C349*7)</f>
        <v>E</v>
      </c>
      <c r="H349" s="1" t="str">
        <f aca="false">IF(D349=0, 33, "cc")</f>
        <v>cc</v>
      </c>
    </row>
    <row r="350" customFormat="false" ht="18.65" hidden="false" customHeight="true" outlineLevel="0" collapsed="false">
      <c r="A350" s="1" t="n">
        <f aca="false">ROW()-2</f>
        <v>348</v>
      </c>
      <c r="B350" s="1" t="n">
        <f aca="false">INT(A350/$N$1)</f>
        <v>19</v>
      </c>
      <c r="C350" s="1" t="n">
        <f aca="false">INT(MOD(A350,$N$1) / 2)</f>
        <v>3</v>
      </c>
      <c r="D350" s="1" t="n">
        <f aca="false">_xlfn.BITAND(A350,1)</f>
        <v>0</v>
      </c>
      <c r="F350" s="1" t="str">
        <f aca="false">DEC2HEX(B350*$N$3*18)</f>
        <v>5580</v>
      </c>
      <c r="G350" s="1" t="str">
        <f aca="false">DEC2HEX(C350*7)</f>
        <v>15</v>
      </c>
      <c r="H350" s="1" t="n">
        <f aca="false">IF(D350=0, 33, "cc")</f>
        <v>33</v>
      </c>
    </row>
    <row r="351" customFormat="false" ht="18.65" hidden="false" customHeight="true" outlineLevel="0" collapsed="false">
      <c r="A351" s="1" t="n">
        <f aca="false">ROW()-2</f>
        <v>349</v>
      </c>
      <c r="B351" s="1" t="n">
        <f aca="false">INT(A351/$N$1)</f>
        <v>19</v>
      </c>
      <c r="C351" s="1" t="n">
        <f aca="false">INT(MOD(A351,$N$1) / 2)</f>
        <v>3</v>
      </c>
      <c r="D351" s="1" t="n">
        <f aca="false">_xlfn.BITAND(A351,1)</f>
        <v>1</v>
      </c>
      <c r="F351" s="1" t="str">
        <f aca="false">DEC2HEX(B351*$N$3*18)</f>
        <v>5580</v>
      </c>
      <c r="G351" s="1" t="str">
        <f aca="false">DEC2HEX(C351*7)</f>
        <v>15</v>
      </c>
      <c r="H351" s="1" t="str">
        <f aca="false">IF(D351=0, 33, "cc")</f>
        <v>cc</v>
      </c>
    </row>
    <row r="352" customFormat="false" ht="18.65" hidden="false" customHeight="true" outlineLevel="0" collapsed="false">
      <c r="A352" s="1" t="n">
        <f aca="false">ROW()-2</f>
        <v>350</v>
      </c>
      <c r="B352" s="1" t="n">
        <f aca="false">INT(A352/$N$1)</f>
        <v>19</v>
      </c>
      <c r="C352" s="1" t="n">
        <f aca="false">INT(MOD(A352,$N$1) / 2)</f>
        <v>4</v>
      </c>
      <c r="D352" s="1" t="n">
        <f aca="false">_xlfn.BITAND(A352,1)</f>
        <v>0</v>
      </c>
      <c r="F352" s="1" t="str">
        <f aca="false">DEC2HEX(B352*$N$3*18)</f>
        <v>5580</v>
      </c>
      <c r="G352" s="1" t="str">
        <f aca="false">DEC2HEX(C352*7)</f>
        <v>1C</v>
      </c>
      <c r="H352" s="1" t="n">
        <f aca="false">IF(D352=0, 33, "cc")</f>
        <v>33</v>
      </c>
    </row>
    <row r="353" customFormat="false" ht="18.65" hidden="false" customHeight="true" outlineLevel="0" collapsed="false">
      <c r="A353" s="1" t="n">
        <f aca="false">ROW()-2</f>
        <v>351</v>
      </c>
      <c r="B353" s="1" t="n">
        <f aca="false">INT(A353/$N$1)</f>
        <v>19</v>
      </c>
      <c r="C353" s="1" t="n">
        <f aca="false">INT(MOD(A353,$N$1) / 2)</f>
        <v>4</v>
      </c>
      <c r="D353" s="1" t="n">
        <f aca="false">_xlfn.BITAND(A353,1)</f>
        <v>1</v>
      </c>
      <c r="F353" s="1" t="str">
        <f aca="false">DEC2HEX(B353*$N$3*18)</f>
        <v>5580</v>
      </c>
      <c r="G353" s="1" t="str">
        <f aca="false">DEC2HEX(C353*7)</f>
        <v>1C</v>
      </c>
      <c r="H353" s="1" t="str">
        <f aca="false">IF(D353=0, 33, "cc")</f>
        <v>cc</v>
      </c>
    </row>
    <row r="354" customFormat="false" ht="18.65" hidden="false" customHeight="true" outlineLevel="0" collapsed="false">
      <c r="A354" s="1" t="n">
        <f aca="false">ROW()-2</f>
        <v>352</v>
      </c>
      <c r="B354" s="1" t="n">
        <f aca="false">INT(A354/$N$1)</f>
        <v>19</v>
      </c>
      <c r="C354" s="1" t="n">
        <f aca="false">INT(MOD(A354,$N$1) / 2)</f>
        <v>5</v>
      </c>
      <c r="D354" s="1" t="n">
        <f aca="false">_xlfn.BITAND(A354,1)</f>
        <v>0</v>
      </c>
      <c r="F354" s="1" t="str">
        <f aca="false">DEC2HEX(B354*$N$3*18)</f>
        <v>5580</v>
      </c>
      <c r="G354" s="1" t="str">
        <f aca="false">DEC2HEX(C354*7)</f>
        <v>23</v>
      </c>
      <c r="H354" s="1" t="n">
        <f aca="false">IF(D354=0, 33, "cc")</f>
        <v>33</v>
      </c>
    </row>
    <row r="355" customFormat="false" ht="18.65" hidden="false" customHeight="true" outlineLevel="0" collapsed="false">
      <c r="A355" s="1" t="n">
        <f aca="false">ROW()-2</f>
        <v>353</v>
      </c>
      <c r="B355" s="1" t="n">
        <f aca="false">INT(A355/$N$1)</f>
        <v>19</v>
      </c>
      <c r="C355" s="1" t="n">
        <f aca="false">INT(MOD(A355,$N$1) / 2)</f>
        <v>5</v>
      </c>
      <c r="D355" s="1" t="n">
        <f aca="false">_xlfn.BITAND(A355,1)</f>
        <v>1</v>
      </c>
      <c r="F355" s="1" t="str">
        <f aca="false">DEC2HEX(B355*$N$3*18)</f>
        <v>5580</v>
      </c>
      <c r="G355" s="1" t="str">
        <f aca="false">DEC2HEX(C355*7)</f>
        <v>23</v>
      </c>
      <c r="H355" s="1" t="str">
        <f aca="false">IF(D355=0, 33, "cc")</f>
        <v>cc</v>
      </c>
    </row>
    <row r="356" customFormat="false" ht="18.65" hidden="false" customHeight="true" outlineLevel="0" collapsed="false">
      <c r="A356" s="1" t="n">
        <f aca="false">ROW()-2</f>
        <v>354</v>
      </c>
      <c r="B356" s="1" t="n">
        <f aca="false">INT(A356/$N$1)</f>
        <v>19</v>
      </c>
      <c r="C356" s="1" t="n">
        <f aca="false">INT(MOD(A356,$N$1) / 2)</f>
        <v>6</v>
      </c>
      <c r="D356" s="1" t="n">
        <f aca="false">_xlfn.BITAND(A356,1)</f>
        <v>0</v>
      </c>
      <c r="F356" s="1" t="str">
        <f aca="false">DEC2HEX(B356*$N$3*18)</f>
        <v>5580</v>
      </c>
      <c r="G356" s="1" t="str">
        <f aca="false">DEC2HEX(C356*7)</f>
        <v>2A</v>
      </c>
      <c r="H356" s="1" t="n">
        <f aca="false">IF(D356=0, 33, "cc")</f>
        <v>33</v>
      </c>
    </row>
    <row r="357" customFormat="false" ht="18.65" hidden="false" customHeight="true" outlineLevel="0" collapsed="false">
      <c r="A357" s="1" t="n">
        <f aca="false">ROW()-2</f>
        <v>355</v>
      </c>
      <c r="B357" s="1" t="n">
        <f aca="false">INT(A357/$N$1)</f>
        <v>19</v>
      </c>
      <c r="C357" s="1" t="n">
        <f aca="false">INT(MOD(A357,$N$1) / 2)</f>
        <v>6</v>
      </c>
      <c r="D357" s="1" t="n">
        <f aca="false">_xlfn.BITAND(A357,1)</f>
        <v>1</v>
      </c>
      <c r="F357" s="1" t="str">
        <f aca="false">DEC2HEX(B357*$N$3*18)</f>
        <v>5580</v>
      </c>
      <c r="G357" s="1" t="str">
        <f aca="false">DEC2HEX(C357*7)</f>
        <v>2A</v>
      </c>
      <c r="H357" s="1" t="str">
        <f aca="false">IF(D357=0, 33, "cc")</f>
        <v>cc</v>
      </c>
    </row>
    <row r="358" customFormat="false" ht="18.65" hidden="false" customHeight="true" outlineLevel="0" collapsed="false">
      <c r="A358" s="1" t="n">
        <f aca="false">ROW()-2</f>
        <v>356</v>
      </c>
      <c r="B358" s="1" t="n">
        <f aca="false">INT(A358/$N$1)</f>
        <v>19</v>
      </c>
      <c r="C358" s="1" t="n">
        <f aca="false">INT(MOD(A358,$N$1) / 2)</f>
        <v>7</v>
      </c>
      <c r="D358" s="1" t="n">
        <f aca="false">_xlfn.BITAND(A358,1)</f>
        <v>0</v>
      </c>
      <c r="F358" s="1" t="str">
        <f aca="false">DEC2HEX(B358*$N$3*18)</f>
        <v>5580</v>
      </c>
      <c r="G358" s="1" t="str">
        <f aca="false">DEC2HEX(C358*7)</f>
        <v>31</v>
      </c>
      <c r="H358" s="1" t="n">
        <f aca="false">IF(D358=0, 33, "cc")</f>
        <v>33</v>
      </c>
    </row>
    <row r="359" customFormat="false" ht="18.65" hidden="false" customHeight="true" outlineLevel="0" collapsed="false">
      <c r="A359" s="1" t="n">
        <f aca="false">ROW()-2</f>
        <v>357</v>
      </c>
      <c r="B359" s="1" t="n">
        <f aca="false">INT(A359/$N$1)</f>
        <v>19</v>
      </c>
      <c r="C359" s="1" t="n">
        <f aca="false">INT(MOD(A359,$N$1) / 2)</f>
        <v>7</v>
      </c>
      <c r="D359" s="1" t="n">
        <f aca="false">_xlfn.BITAND(A359,1)</f>
        <v>1</v>
      </c>
      <c r="F359" s="1" t="str">
        <f aca="false">DEC2HEX(B359*$N$3*18)</f>
        <v>5580</v>
      </c>
      <c r="G359" s="1" t="str">
        <f aca="false">DEC2HEX(C359*7)</f>
        <v>31</v>
      </c>
      <c r="H359" s="1" t="str">
        <f aca="false">IF(D359=0, 33, "cc")</f>
        <v>cc</v>
      </c>
    </row>
    <row r="360" customFormat="false" ht="18.65" hidden="false" customHeight="true" outlineLevel="0" collapsed="false">
      <c r="A360" s="1" t="n">
        <f aca="false">ROW()-2</f>
        <v>358</v>
      </c>
      <c r="B360" s="1" t="n">
        <f aca="false">INT(A360/$N$1)</f>
        <v>19</v>
      </c>
      <c r="C360" s="1" t="n">
        <f aca="false">INT(MOD(A360,$N$1) / 2)</f>
        <v>8</v>
      </c>
      <c r="D360" s="1" t="n">
        <f aca="false">_xlfn.BITAND(A360,1)</f>
        <v>0</v>
      </c>
      <c r="F360" s="1" t="str">
        <f aca="false">DEC2HEX(B360*$N$3*18)</f>
        <v>5580</v>
      </c>
      <c r="G360" s="1" t="str">
        <f aca="false">DEC2HEX(C360*7)</f>
        <v>38</v>
      </c>
      <c r="H360" s="1" t="n">
        <f aca="false">IF(D360=0, 33, "cc")</f>
        <v>33</v>
      </c>
    </row>
    <row r="361" customFormat="false" ht="18.65" hidden="false" customHeight="true" outlineLevel="0" collapsed="false">
      <c r="A361" s="1" t="n">
        <f aca="false">ROW()-2</f>
        <v>359</v>
      </c>
      <c r="B361" s="1" t="n">
        <f aca="false">INT(A361/$N$1)</f>
        <v>19</v>
      </c>
      <c r="C361" s="1" t="n">
        <f aca="false">INT(MOD(A361,$N$1) / 2)</f>
        <v>8</v>
      </c>
      <c r="D361" s="1" t="n">
        <f aca="false">_xlfn.BITAND(A361,1)</f>
        <v>1</v>
      </c>
      <c r="F361" s="1" t="str">
        <f aca="false">DEC2HEX(B361*$N$3*18)</f>
        <v>5580</v>
      </c>
      <c r="G361" s="1" t="str">
        <f aca="false">DEC2HEX(C361*7)</f>
        <v>38</v>
      </c>
      <c r="H361" s="1" t="str">
        <f aca="false">IF(D361=0, 33, "cc")</f>
        <v>cc</v>
      </c>
    </row>
    <row r="362" customFormat="false" ht="18.65" hidden="false" customHeight="true" outlineLevel="0" collapsed="false">
      <c r="A362" s="1" t="n">
        <f aca="false">ROW()-2</f>
        <v>360</v>
      </c>
      <c r="B362" s="1" t="n">
        <f aca="false">INT(A362/$N$1)</f>
        <v>20</v>
      </c>
      <c r="C362" s="1" t="n">
        <f aca="false">INT(MOD(A362,$N$1) / 2)</f>
        <v>0</v>
      </c>
      <c r="D362" s="1" t="n">
        <f aca="false">_xlfn.BITAND(A362,1)</f>
        <v>0</v>
      </c>
      <c r="F362" s="1" t="str">
        <f aca="false">DEC2HEX(B362*$N$3*18)</f>
        <v>5A00</v>
      </c>
      <c r="G362" s="1" t="str">
        <f aca="false">DEC2HEX(C362*7)</f>
        <v>0</v>
      </c>
      <c r="H362" s="1" t="n">
        <f aca="false">IF(D362=0, 33, "cc")</f>
        <v>33</v>
      </c>
    </row>
    <row r="363" customFormat="false" ht="18.65" hidden="false" customHeight="true" outlineLevel="0" collapsed="false">
      <c r="A363" s="1" t="n">
        <f aca="false">ROW()-2</f>
        <v>361</v>
      </c>
      <c r="B363" s="1" t="n">
        <f aca="false">INT(A363/$N$1)</f>
        <v>20</v>
      </c>
      <c r="C363" s="1" t="n">
        <f aca="false">INT(MOD(A363,$N$1) / 2)</f>
        <v>0</v>
      </c>
      <c r="D363" s="1" t="n">
        <f aca="false">_xlfn.BITAND(A363,1)</f>
        <v>1</v>
      </c>
      <c r="F363" s="1" t="str">
        <f aca="false">DEC2HEX(B363*$N$3*18)</f>
        <v>5A00</v>
      </c>
      <c r="G363" s="1" t="str">
        <f aca="false">DEC2HEX(C363*7)</f>
        <v>0</v>
      </c>
      <c r="H363" s="1" t="str">
        <f aca="false">IF(D363=0, 33, "cc")</f>
        <v>cc</v>
      </c>
    </row>
    <row r="364" customFormat="false" ht="18.65" hidden="false" customHeight="true" outlineLevel="0" collapsed="false">
      <c r="A364" s="1" t="n">
        <f aca="false">ROW()-2</f>
        <v>362</v>
      </c>
      <c r="B364" s="1" t="n">
        <f aca="false">INT(A364/$N$1)</f>
        <v>20</v>
      </c>
      <c r="C364" s="1" t="n">
        <f aca="false">INT(MOD(A364,$N$1) / 2)</f>
        <v>1</v>
      </c>
      <c r="D364" s="1" t="n">
        <f aca="false">_xlfn.BITAND(A364,1)</f>
        <v>0</v>
      </c>
      <c r="F364" s="1" t="str">
        <f aca="false">DEC2HEX(B364*$N$3*18)</f>
        <v>5A00</v>
      </c>
      <c r="G364" s="1" t="str">
        <f aca="false">DEC2HEX(C364*7)</f>
        <v>7</v>
      </c>
      <c r="H364" s="1" t="n">
        <f aca="false">IF(D364=0, 33, "cc")</f>
        <v>33</v>
      </c>
    </row>
    <row r="365" customFormat="false" ht="18.65" hidden="false" customHeight="true" outlineLevel="0" collapsed="false">
      <c r="A365" s="1" t="n">
        <f aca="false">ROW()-2</f>
        <v>363</v>
      </c>
      <c r="B365" s="1" t="n">
        <f aca="false">INT(A365/$N$1)</f>
        <v>20</v>
      </c>
      <c r="C365" s="1" t="n">
        <f aca="false">INT(MOD(A365,$N$1) / 2)</f>
        <v>1</v>
      </c>
      <c r="D365" s="1" t="n">
        <f aca="false">_xlfn.BITAND(A365,1)</f>
        <v>1</v>
      </c>
      <c r="F365" s="1" t="str">
        <f aca="false">DEC2HEX(B365*$N$3*18)</f>
        <v>5A00</v>
      </c>
      <c r="G365" s="1" t="str">
        <f aca="false">DEC2HEX(C365*7)</f>
        <v>7</v>
      </c>
      <c r="H365" s="1" t="str">
        <f aca="false">IF(D365=0, 33, "cc")</f>
        <v>cc</v>
      </c>
    </row>
    <row r="366" customFormat="false" ht="18.65" hidden="false" customHeight="true" outlineLevel="0" collapsed="false">
      <c r="A366" s="1" t="n">
        <f aca="false">ROW()-2</f>
        <v>364</v>
      </c>
      <c r="B366" s="1" t="n">
        <f aca="false">INT(A366/$N$1)</f>
        <v>20</v>
      </c>
      <c r="C366" s="1" t="n">
        <f aca="false">INT(MOD(A366,$N$1) / 2)</f>
        <v>2</v>
      </c>
      <c r="D366" s="1" t="n">
        <f aca="false">_xlfn.BITAND(A366,1)</f>
        <v>0</v>
      </c>
      <c r="F366" s="1" t="str">
        <f aca="false">DEC2HEX(B366*$N$3*18)</f>
        <v>5A00</v>
      </c>
      <c r="G366" s="1" t="str">
        <f aca="false">DEC2HEX(C366*7)</f>
        <v>E</v>
      </c>
      <c r="H366" s="1" t="n">
        <f aca="false">IF(D366=0, 33, "cc")</f>
        <v>33</v>
      </c>
    </row>
    <row r="367" customFormat="false" ht="18.65" hidden="false" customHeight="true" outlineLevel="0" collapsed="false">
      <c r="A367" s="1" t="n">
        <f aca="false">ROW()-2</f>
        <v>365</v>
      </c>
      <c r="B367" s="1" t="n">
        <f aca="false">INT(A367/$N$1)</f>
        <v>20</v>
      </c>
      <c r="C367" s="1" t="n">
        <f aca="false">INT(MOD(A367,$N$1) / 2)</f>
        <v>2</v>
      </c>
      <c r="D367" s="1" t="n">
        <f aca="false">_xlfn.BITAND(A367,1)</f>
        <v>1</v>
      </c>
      <c r="F367" s="1" t="str">
        <f aca="false">DEC2HEX(B367*$N$3*18)</f>
        <v>5A00</v>
      </c>
      <c r="G367" s="1" t="str">
        <f aca="false">DEC2HEX(C367*7)</f>
        <v>E</v>
      </c>
      <c r="H367" s="1" t="str">
        <f aca="false">IF(D367=0, 33, "cc")</f>
        <v>cc</v>
      </c>
    </row>
    <row r="368" customFormat="false" ht="18.65" hidden="false" customHeight="true" outlineLevel="0" collapsed="false">
      <c r="A368" s="1" t="n">
        <f aca="false">ROW()-2</f>
        <v>366</v>
      </c>
      <c r="B368" s="1" t="n">
        <f aca="false">INT(A368/$N$1)</f>
        <v>20</v>
      </c>
      <c r="C368" s="1" t="n">
        <f aca="false">INT(MOD(A368,$N$1) / 2)</f>
        <v>3</v>
      </c>
      <c r="D368" s="1" t="n">
        <f aca="false">_xlfn.BITAND(A368,1)</f>
        <v>0</v>
      </c>
      <c r="F368" s="1" t="str">
        <f aca="false">DEC2HEX(B368*$N$3*18)</f>
        <v>5A00</v>
      </c>
      <c r="G368" s="1" t="str">
        <f aca="false">DEC2HEX(C368*7)</f>
        <v>15</v>
      </c>
      <c r="H368" s="1" t="n">
        <f aca="false">IF(D368=0, 33, "cc")</f>
        <v>33</v>
      </c>
    </row>
    <row r="369" customFormat="false" ht="18.65" hidden="false" customHeight="true" outlineLevel="0" collapsed="false">
      <c r="A369" s="1" t="n">
        <f aca="false">ROW()-2</f>
        <v>367</v>
      </c>
      <c r="B369" s="1" t="n">
        <f aca="false">INT(A369/$N$1)</f>
        <v>20</v>
      </c>
      <c r="C369" s="1" t="n">
        <f aca="false">INT(MOD(A369,$N$1) / 2)</f>
        <v>3</v>
      </c>
      <c r="D369" s="1" t="n">
        <f aca="false">_xlfn.BITAND(A369,1)</f>
        <v>1</v>
      </c>
      <c r="F369" s="1" t="str">
        <f aca="false">DEC2HEX(B369*$N$3*18)</f>
        <v>5A00</v>
      </c>
      <c r="G369" s="1" t="str">
        <f aca="false">DEC2HEX(C369*7)</f>
        <v>15</v>
      </c>
      <c r="H369" s="1" t="str">
        <f aca="false">IF(D369=0, 33, "cc")</f>
        <v>cc</v>
      </c>
    </row>
    <row r="370" customFormat="false" ht="18.65" hidden="false" customHeight="true" outlineLevel="0" collapsed="false">
      <c r="A370" s="1" t="n">
        <f aca="false">ROW()-2</f>
        <v>368</v>
      </c>
      <c r="B370" s="1" t="n">
        <f aca="false">INT(A370/$N$1)</f>
        <v>20</v>
      </c>
      <c r="C370" s="1" t="n">
        <f aca="false">INT(MOD(A370,$N$1) / 2)</f>
        <v>4</v>
      </c>
      <c r="D370" s="1" t="n">
        <f aca="false">_xlfn.BITAND(A370,1)</f>
        <v>0</v>
      </c>
      <c r="F370" s="1" t="str">
        <f aca="false">DEC2HEX(B370*$N$3*18)</f>
        <v>5A00</v>
      </c>
      <c r="G370" s="1" t="str">
        <f aca="false">DEC2HEX(C370*7)</f>
        <v>1C</v>
      </c>
      <c r="H370" s="1" t="n">
        <f aca="false">IF(D370=0, 33, "cc")</f>
        <v>33</v>
      </c>
    </row>
    <row r="371" customFormat="false" ht="18.65" hidden="false" customHeight="true" outlineLevel="0" collapsed="false">
      <c r="A371" s="1" t="n">
        <f aca="false">ROW()-2</f>
        <v>369</v>
      </c>
      <c r="B371" s="1" t="n">
        <f aca="false">INT(A371/$N$1)</f>
        <v>20</v>
      </c>
      <c r="C371" s="1" t="n">
        <f aca="false">INT(MOD(A371,$N$1) / 2)</f>
        <v>4</v>
      </c>
      <c r="D371" s="1" t="n">
        <f aca="false">_xlfn.BITAND(A371,1)</f>
        <v>1</v>
      </c>
      <c r="F371" s="1" t="str">
        <f aca="false">DEC2HEX(B371*$N$3*18)</f>
        <v>5A00</v>
      </c>
      <c r="G371" s="1" t="str">
        <f aca="false">DEC2HEX(C371*7)</f>
        <v>1C</v>
      </c>
      <c r="H371" s="1" t="str">
        <f aca="false">IF(D371=0, 33, "cc")</f>
        <v>cc</v>
      </c>
    </row>
    <row r="372" customFormat="false" ht="18.65" hidden="false" customHeight="true" outlineLevel="0" collapsed="false">
      <c r="A372" s="1" t="n">
        <f aca="false">ROW()-2</f>
        <v>370</v>
      </c>
      <c r="B372" s="1" t="n">
        <f aca="false">INT(A372/$N$1)</f>
        <v>20</v>
      </c>
      <c r="C372" s="1" t="n">
        <f aca="false">INT(MOD(A372,$N$1) / 2)</f>
        <v>5</v>
      </c>
      <c r="D372" s="1" t="n">
        <f aca="false">_xlfn.BITAND(A372,1)</f>
        <v>0</v>
      </c>
      <c r="F372" s="1" t="str">
        <f aca="false">DEC2HEX(B372*$N$3*18)</f>
        <v>5A00</v>
      </c>
      <c r="G372" s="1" t="str">
        <f aca="false">DEC2HEX(C372*7)</f>
        <v>23</v>
      </c>
      <c r="H372" s="1" t="n">
        <f aca="false">IF(D372=0, 33, "cc")</f>
        <v>33</v>
      </c>
    </row>
    <row r="373" customFormat="false" ht="18.65" hidden="false" customHeight="true" outlineLevel="0" collapsed="false">
      <c r="A373" s="1" t="n">
        <f aca="false">ROW()-2</f>
        <v>371</v>
      </c>
      <c r="B373" s="1" t="n">
        <f aca="false">INT(A373/$N$1)</f>
        <v>20</v>
      </c>
      <c r="C373" s="1" t="n">
        <f aca="false">INT(MOD(A373,$N$1) / 2)</f>
        <v>5</v>
      </c>
      <c r="D373" s="1" t="n">
        <f aca="false">_xlfn.BITAND(A373,1)</f>
        <v>1</v>
      </c>
      <c r="F373" s="1" t="str">
        <f aca="false">DEC2HEX(B373*$N$3*18)</f>
        <v>5A00</v>
      </c>
      <c r="G373" s="1" t="str">
        <f aca="false">DEC2HEX(C373*7)</f>
        <v>23</v>
      </c>
      <c r="H373" s="1" t="str">
        <f aca="false">IF(D373=0, 33, "cc")</f>
        <v>cc</v>
      </c>
    </row>
    <row r="374" customFormat="false" ht="18.65" hidden="false" customHeight="true" outlineLevel="0" collapsed="false">
      <c r="A374" s="1" t="n">
        <f aca="false">ROW()-2</f>
        <v>372</v>
      </c>
      <c r="B374" s="1" t="n">
        <f aca="false">INT(A374/$N$1)</f>
        <v>20</v>
      </c>
      <c r="C374" s="1" t="n">
        <f aca="false">INT(MOD(A374,$N$1) / 2)</f>
        <v>6</v>
      </c>
      <c r="D374" s="1" t="n">
        <f aca="false">_xlfn.BITAND(A374,1)</f>
        <v>0</v>
      </c>
      <c r="F374" s="1" t="str">
        <f aca="false">DEC2HEX(B374*$N$3*18)</f>
        <v>5A00</v>
      </c>
      <c r="G374" s="1" t="str">
        <f aca="false">DEC2HEX(C374*7)</f>
        <v>2A</v>
      </c>
      <c r="H374" s="1" t="n">
        <f aca="false">IF(D374=0, 33, "cc")</f>
        <v>33</v>
      </c>
    </row>
    <row r="375" customFormat="false" ht="18.65" hidden="false" customHeight="true" outlineLevel="0" collapsed="false">
      <c r="A375" s="1" t="n">
        <f aca="false">ROW()-2</f>
        <v>373</v>
      </c>
      <c r="B375" s="1" t="n">
        <f aca="false">INT(A375/$N$1)</f>
        <v>20</v>
      </c>
      <c r="C375" s="1" t="n">
        <f aca="false">INT(MOD(A375,$N$1) / 2)</f>
        <v>6</v>
      </c>
      <c r="D375" s="1" t="n">
        <f aca="false">_xlfn.BITAND(A375,1)</f>
        <v>1</v>
      </c>
      <c r="F375" s="1" t="str">
        <f aca="false">DEC2HEX(B375*$N$3*18)</f>
        <v>5A00</v>
      </c>
      <c r="G375" s="1" t="str">
        <f aca="false">DEC2HEX(C375*7)</f>
        <v>2A</v>
      </c>
      <c r="H375" s="1" t="str">
        <f aca="false">IF(D375=0, 33, "cc")</f>
        <v>cc</v>
      </c>
    </row>
    <row r="376" customFormat="false" ht="18.65" hidden="false" customHeight="true" outlineLevel="0" collapsed="false">
      <c r="A376" s="1" t="n">
        <f aca="false">ROW()-2</f>
        <v>374</v>
      </c>
      <c r="B376" s="1" t="n">
        <f aca="false">INT(A376/$N$1)</f>
        <v>20</v>
      </c>
      <c r="C376" s="1" t="n">
        <f aca="false">INT(MOD(A376,$N$1) / 2)</f>
        <v>7</v>
      </c>
      <c r="D376" s="1" t="n">
        <f aca="false">_xlfn.BITAND(A376,1)</f>
        <v>0</v>
      </c>
      <c r="F376" s="1" t="str">
        <f aca="false">DEC2HEX(B376*$N$3*18)</f>
        <v>5A00</v>
      </c>
      <c r="G376" s="1" t="str">
        <f aca="false">DEC2HEX(C376*7)</f>
        <v>31</v>
      </c>
      <c r="H376" s="1" t="n">
        <f aca="false">IF(D376=0, 33, "cc")</f>
        <v>33</v>
      </c>
    </row>
    <row r="377" customFormat="false" ht="18.65" hidden="false" customHeight="true" outlineLevel="0" collapsed="false">
      <c r="A377" s="1" t="n">
        <f aca="false">ROW()-2</f>
        <v>375</v>
      </c>
      <c r="B377" s="1" t="n">
        <f aca="false">INT(A377/$N$1)</f>
        <v>20</v>
      </c>
      <c r="C377" s="1" t="n">
        <f aca="false">INT(MOD(A377,$N$1) / 2)</f>
        <v>7</v>
      </c>
      <c r="D377" s="1" t="n">
        <f aca="false">_xlfn.BITAND(A377,1)</f>
        <v>1</v>
      </c>
      <c r="F377" s="1" t="str">
        <f aca="false">DEC2HEX(B377*$N$3*18)</f>
        <v>5A00</v>
      </c>
      <c r="G377" s="1" t="str">
        <f aca="false">DEC2HEX(C377*7)</f>
        <v>31</v>
      </c>
      <c r="H377" s="1" t="str">
        <f aca="false">IF(D377=0, 33, "cc")</f>
        <v>cc</v>
      </c>
    </row>
    <row r="378" customFormat="false" ht="18.65" hidden="false" customHeight="true" outlineLevel="0" collapsed="false">
      <c r="A378" s="1" t="n">
        <f aca="false">ROW()-2</f>
        <v>376</v>
      </c>
      <c r="B378" s="1" t="n">
        <f aca="false">INT(A378/$N$1)</f>
        <v>20</v>
      </c>
      <c r="C378" s="1" t="n">
        <f aca="false">INT(MOD(A378,$N$1) / 2)</f>
        <v>8</v>
      </c>
      <c r="D378" s="1" t="n">
        <f aca="false">_xlfn.BITAND(A378,1)</f>
        <v>0</v>
      </c>
      <c r="F378" s="1" t="str">
        <f aca="false">DEC2HEX(B378*$N$3*18)</f>
        <v>5A00</v>
      </c>
      <c r="G378" s="1" t="str">
        <f aca="false">DEC2HEX(C378*7)</f>
        <v>38</v>
      </c>
      <c r="H378" s="1" t="n">
        <f aca="false">IF(D378=0, 33, "cc")</f>
        <v>33</v>
      </c>
    </row>
    <row r="379" customFormat="false" ht="18.65" hidden="false" customHeight="true" outlineLevel="0" collapsed="false">
      <c r="A379" s="1" t="n">
        <f aca="false">ROW()-2</f>
        <v>377</v>
      </c>
      <c r="B379" s="1" t="n">
        <f aca="false">INT(A379/$N$1)</f>
        <v>20</v>
      </c>
      <c r="C379" s="1" t="n">
        <f aca="false">INT(MOD(A379,$N$1) / 2)</f>
        <v>8</v>
      </c>
      <c r="D379" s="1" t="n">
        <f aca="false">_xlfn.BITAND(A379,1)</f>
        <v>1</v>
      </c>
      <c r="F379" s="1" t="str">
        <f aca="false">DEC2HEX(B379*$N$3*18)</f>
        <v>5A00</v>
      </c>
      <c r="G379" s="1" t="str">
        <f aca="false">DEC2HEX(C379*7)</f>
        <v>38</v>
      </c>
      <c r="H379" s="1" t="str">
        <f aca="false">IF(D379=0, 33, "cc")</f>
        <v>cc</v>
      </c>
    </row>
    <row r="380" customFormat="false" ht="18.65" hidden="false" customHeight="true" outlineLevel="0" collapsed="false">
      <c r="A380" s="1" t="n">
        <f aca="false">ROW()-2</f>
        <v>378</v>
      </c>
      <c r="B380" s="1" t="n">
        <f aca="false">INT(A380/$N$1)</f>
        <v>21</v>
      </c>
      <c r="C380" s="1" t="n">
        <f aca="false">INT(MOD(A380,$N$1) / 2)</f>
        <v>0</v>
      </c>
      <c r="D380" s="1" t="n">
        <f aca="false">_xlfn.BITAND(A380,1)</f>
        <v>0</v>
      </c>
      <c r="F380" s="1" t="str">
        <f aca="false">DEC2HEX(B380*$N$3*18)</f>
        <v>5E80</v>
      </c>
      <c r="G380" s="1" t="str">
        <f aca="false">DEC2HEX(C380*7)</f>
        <v>0</v>
      </c>
      <c r="H380" s="1" t="n">
        <f aca="false">IF(D380=0, 33, "cc")</f>
        <v>33</v>
      </c>
    </row>
    <row r="381" customFormat="false" ht="18.65" hidden="false" customHeight="true" outlineLevel="0" collapsed="false">
      <c r="A381" s="1" t="n">
        <f aca="false">ROW()-2</f>
        <v>379</v>
      </c>
      <c r="B381" s="1" t="n">
        <f aca="false">INT(A381/$N$1)</f>
        <v>21</v>
      </c>
      <c r="C381" s="1" t="n">
        <f aca="false">INT(MOD(A381,$N$1) / 2)</f>
        <v>0</v>
      </c>
      <c r="D381" s="1" t="n">
        <f aca="false">_xlfn.BITAND(A381,1)</f>
        <v>1</v>
      </c>
      <c r="F381" s="1" t="str">
        <f aca="false">DEC2HEX(B381*$N$3*18)</f>
        <v>5E80</v>
      </c>
      <c r="G381" s="1" t="str">
        <f aca="false">DEC2HEX(C381*7)</f>
        <v>0</v>
      </c>
      <c r="H381" s="1" t="str">
        <f aca="false">IF(D381=0, 33, "cc")</f>
        <v>cc</v>
      </c>
    </row>
    <row r="382" customFormat="false" ht="18.65" hidden="false" customHeight="true" outlineLevel="0" collapsed="false">
      <c r="A382" s="1" t="n">
        <f aca="false">ROW()-2</f>
        <v>380</v>
      </c>
      <c r="B382" s="1" t="n">
        <f aca="false">INT(A382/$N$1)</f>
        <v>21</v>
      </c>
      <c r="C382" s="1" t="n">
        <f aca="false">INT(MOD(A382,$N$1) / 2)</f>
        <v>1</v>
      </c>
      <c r="D382" s="1" t="n">
        <f aca="false">_xlfn.BITAND(A382,1)</f>
        <v>0</v>
      </c>
      <c r="F382" s="1" t="str">
        <f aca="false">DEC2HEX(B382*$N$3*18)</f>
        <v>5E80</v>
      </c>
      <c r="G382" s="1" t="str">
        <f aca="false">DEC2HEX(C382*7)</f>
        <v>7</v>
      </c>
      <c r="H382" s="1" t="n">
        <f aca="false">IF(D382=0, 33, "cc")</f>
        <v>33</v>
      </c>
    </row>
    <row r="383" customFormat="false" ht="18.65" hidden="false" customHeight="true" outlineLevel="0" collapsed="false">
      <c r="A383" s="1" t="n">
        <f aca="false">ROW()-2</f>
        <v>381</v>
      </c>
      <c r="B383" s="1" t="n">
        <f aca="false">INT(A383/$N$1)</f>
        <v>21</v>
      </c>
      <c r="C383" s="1" t="n">
        <f aca="false">INT(MOD(A383,$N$1) / 2)</f>
        <v>1</v>
      </c>
      <c r="D383" s="1" t="n">
        <f aca="false">_xlfn.BITAND(A383,1)</f>
        <v>1</v>
      </c>
      <c r="F383" s="1" t="str">
        <f aca="false">DEC2HEX(B383*$N$3*18)</f>
        <v>5E80</v>
      </c>
      <c r="G383" s="1" t="str">
        <f aca="false">DEC2HEX(C383*7)</f>
        <v>7</v>
      </c>
      <c r="H383" s="1" t="str">
        <f aca="false">IF(D383=0, 33, "cc")</f>
        <v>cc</v>
      </c>
    </row>
    <row r="384" customFormat="false" ht="18.65" hidden="false" customHeight="true" outlineLevel="0" collapsed="false">
      <c r="A384" s="1" t="n">
        <f aca="false">ROW()-2</f>
        <v>382</v>
      </c>
      <c r="B384" s="1" t="n">
        <f aca="false">INT(A384/$N$1)</f>
        <v>21</v>
      </c>
      <c r="C384" s="1" t="n">
        <f aca="false">INT(MOD(A384,$N$1) / 2)</f>
        <v>2</v>
      </c>
      <c r="D384" s="1" t="n">
        <f aca="false">_xlfn.BITAND(A384,1)</f>
        <v>0</v>
      </c>
      <c r="F384" s="1" t="str">
        <f aca="false">DEC2HEX(B384*$N$3*18)</f>
        <v>5E80</v>
      </c>
      <c r="G384" s="1" t="str">
        <f aca="false">DEC2HEX(C384*7)</f>
        <v>E</v>
      </c>
      <c r="H384" s="1" t="n">
        <f aca="false">IF(D384=0, 33, "cc")</f>
        <v>33</v>
      </c>
    </row>
    <row r="385" customFormat="false" ht="18.65" hidden="false" customHeight="true" outlineLevel="0" collapsed="false">
      <c r="A385" s="1" t="n">
        <f aca="false">ROW()-2</f>
        <v>383</v>
      </c>
      <c r="B385" s="1" t="n">
        <f aca="false">INT(A385/$N$1)</f>
        <v>21</v>
      </c>
      <c r="C385" s="1" t="n">
        <f aca="false">INT(MOD(A385,$N$1) / 2)</f>
        <v>2</v>
      </c>
      <c r="D385" s="1" t="n">
        <f aca="false">_xlfn.BITAND(A385,1)</f>
        <v>1</v>
      </c>
      <c r="F385" s="1" t="str">
        <f aca="false">DEC2HEX(B385*$N$3*18)</f>
        <v>5E80</v>
      </c>
      <c r="G385" s="1" t="str">
        <f aca="false">DEC2HEX(C385*7)</f>
        <v>E</v>
      </c>
      <c r="H385" s="1" t="str">
        <f aca="false">IF(D385=0, 33, "cc")</f>
        <v>cc</v>
      </c>
    </row>
    <row r="386" customFormat="false" ht="18.65" hidden="false" customHeight="true" outlineLevel="0" collapsed="false">
      <c r="A386" s="1" t="n">
        <f aca="false">ROW()-2</f>
        <v>384</v>
      </c>
      <c r="B386" s="1" t="n">
        <f aca="false">INT(A386/$N$1)</f>
        <v>21</v>
      </c>
      <c r="C386" s="1" t="n">
        <f aca="false">INT(MOD(A386,$N$1) / 2)</f>
        <v>3</v>
      </c>
      <c r="D386" s="1" t="n">
        <f aca="false">_xlfn.BITAND(A386,1)</f>
        <v>0</v>
      </c>
      <c r="F386" s="1" t="str">
        <f aca="false">DEC2HEX(B386*$N$3*18)</f>
        <v>5E80</v>
      </c>
      <c r="G386" s="1" t="str">
        <f aca="false">DEC2HEX(C386*7)</f>
        <v>15</v>
      </c>
      <c r="H386" s="1" t="n">
        <f aca="false">IF(D386=0, 33, "cc")</f>
        <v>33</v>
      </c>
    </row>
    <row r="387" customFormat="false" ht="18.65" hidden="false" customHeight="true" outlineLevel="0" collapsed="false">
      <c r="A387" s="1" t="n">
        <f aca="false">ROW()-2</f>
        <v>385</v>
      </c>
      <c r="B387" s="1" t="n">
        <f aca="false">INT(A387/$N$1)</f>
        <v>21</v>
      </c>
      <c r="C387" s="1" t="n">
        <f aca="false">INT(MOD(A387,$N$1) / 2)</f>
        <v>3</v>
      </c>
      <c r="D387" s="1" t="n">
        <f aca="false">_xlfn.BITAND(A387,1)</f>
        <v>1</v>
      </c>
      <c r="F387" s="1" t="str">
        <f aca="false">DEC2HEX(B387*$N$3*18)</f>
        <v>5E80</v>
      </c>
      <c r="G387" s="1" t="str">
        <f aca="false">DEC2HEX(C387*7)</f>
        <v>15</v>
      </c>
      <c r="H387" s="1" t="str">
        <f aca="false">IF(D387=0, 33, "cc")</f>
        <v>cc</v>
      </c>
    </row>
    <row r="388" customFormat="false" ht="18.65" hidden="false" customHeight="true" outlineLevel="0" collapsed="false">
      <c r="A388" s="1" t="n">
        <f aca="false">ROW()-2</f>
        <v>386</v>
      </c>
      <c r="B388" s="1" t="n">
        <f aca="false">INT(A388/$N$1)</f>
        <v>21</v>
      </c>
      <c r="C388" s="1" t="n">
        <f aca="false">INT(MOD(A388,$N$1) / 2)</f>
        <v>4</v>
      </c>
      <c r="D388" s="1" t="n">
        <f aca="false">_xlfn.BITAND(A388,1)</f>
        <v>0</v>
      </c>
      <c r="F388" s="1" t="str">
        <f aca="false">DEC2HEX(B388*$N$3*18)</f>
        <v>5E80</v>
      </c>
      <c r="G388" s="1" t="str">
        <f aca="false">DEC2HEX(C388*7)</f>
        <v>1C</v>
      </c>
      <c r="H388" s="1" t="n">
        <f aca="false">IF(D388=0, 33, "cc")</f>
        <v>33</v>
      </c>
    </row>
    <row r="389" customFormat="false" ht="18.65" hidden="false" customHeight="true" outlineLevel="0" collapsed="false">
      <c r="A389" s="1" t="n">
        <f aca="false">ROW()-2</f>
        <v>387</v>
      </c>
      <c r="B389" s="1" t="n">
        <f aca="false">INT(A389/$N$1)</f>
        <v>21</v>
      </c>
      <c r="C389" s="1" t="n">
        <f aca="false">INT(MOD(A389,$N$1) / 2)</f>
        <v>4</v>
      </c>
      <c r="D389" s="1" t="n">
        <f aca="false">_xlfn.BITAND(A389,1)</f>
        <v>1</v>
      </c>
      <c r="F389" s="1" t="str">
        <f aca="false">DEC2HEX(B389*$N$3*18)</f>
        <v>5E80</v>
      </c>
      <c r="G389" s="1" t="str">
        <f aca="false">DEC2HEX(C389*7)</f>
        <v>1C</v>
      </c>
      <c r="H389" s="1" t="str">
        <f aca="false">IF(D389=0, 33, "cc")</f>
        <v>cc</v>
      </c>
    </row>
    <row r="390" customFormat="false" ht="18.65" hidden="false" customHeight="true" outlineLevel="0" collapsed="false">
      <c r="A390" s="1" t="n">
        <f aca="false">ROW()-2</f>
        <v>388</v>
      </c>
      <c r="B390" s="1" t="n">
        <f aca="false">INT(A390/$N$1)</f>
        <v>21</v>
      </c>
      <c r="C390" s="1" t="n">
        <f aca="false">INT(MOD(A390,$N$1) / 2)</f>
        <v>5</v>
      </c>
      <c r="D390" s="1" t="n">
        <f aca="false">_xlfn.BITAND(A390,1)</f>
        <v>0</v>
      </c>
      <c r="F390" s="1" t="str">
        <f aca="false">DEC2HEX(B390*$N$3*18)</f>
        <v>5E80</v>
      </c>
      <c r="G390" s="1" t="str">
        <f aca="false">DEC2HEX(C390*7)</f>
        <v>23</v>
      </c>
      <c r="H390" s="1" t="n">
        <f aca="false">IF(D390=0, 33, "cc")</f>
        <v>33</v>
      </c>
    </row>
    <row r="391" customFormat="false" ht="18.65" hidden="false" customHeight="true" outlineLevel="0" collapsed="false">
      <c r="A391" s="1" t="n">
        <f aca="false">ROW()-2</f>
        <v>389</v>
      </c>
      <c r="B391" s="1" t="n">
        <f aca="false">INT(A391/$N$1)</f>
        <v>21</v>
      </c>
      <c r="C391" s="1" t="n">
        <f aca="false">INT(MOD(A391,$N$1) / 2)</f>
        <v>5</v>
      </c>
      <c r="D391" s="1" t="n">
        <f aca="false">_xlfn.BITAND(A391,1)</f>
        <v>1</v>
      </c>
      <c r="F391" s="1" t="str">
        <f aca="false">DEC2HEX(B391*$N$3*18)</f>
        <v>5E80</v>
      </c>
      <c r="G391" s="1" t="str">
        <f aca="false">DEC2HEX(C391*7)</f>
        <v>23</v>
      </c>
      <c r="H391" s="1" t="str">
        <f aca="false">IF(D391=0, 33, "cc")</f>
        <v>cc</v>
      </c>
    </row>
    <row r="392" customFormat="false" ht="18.65" hidden="false" customHeight="true" outlineLevel="0" collapsed="false">
      <c r="A392" s="1" t="n">
        <f aca="false">ROW()-2</f>
        <v>390</v>
      </c>
      <c r="B392" s="1" t="n">
        <f aca="false">INT(A392/$N$1)</f>
        <v>21</v>
      </c>
      <c r="C392" s="1" t="n">
        <f aca="false">INT(MOD(A392,$N$1) / 2)</f>
        <v>6</v>
      </c>
      <c r="D392" s="1" t="n">
        <f aca="false">_xlfn.BITAND(A392,1)</f>
        <v>0</v>
      </c>
      <c r="F392" s="1" t="str">
        <f aca="false">DEC2HEX(B392*$N$3*18)</f>
        <v>5E80</v>
      </c>
      <c r="G392" s="1" t="str">
        <f aca="false">DEC2HEX(C392*7)</f>
        <v>2A</v>
      </c>
      <c r="H392" s="1" t="n">
        <f aca="false">IF(D392=0, 33, "cc")</f>
        <v>33</v>
      </c>
    </row>
    <row r="393" customFormat="false" ht="18.65" hidden="false" customHeight="true" outlineLevel="0" collapsed="false">
      <c r="A393" s="1" t="n">
        <f aca="false">ROW()-2</f>
        <v>391</v>
      </c>
      <c r="B393" s="1" t="n">
        <f aca="false">INT(A393/$N$1)</f>
        <v>21</v>
      </c>
      <c r="C393" s="1" t="n">
        <f aca="false">INT(MOD(A393,$N$1) / 2)</f>
        <v>6</v>
      </c>
      <c r="D393" s="1" t="n">
        <f aca="false">_xlfn.BITAND(A393,1)</f>
        <v>1</v>
      </c>
      <c r="F393" s="1" t="str">
        <f aca="false">DEC2HEX(B393*$N$3*18)</f>
        <v>5E80</v>
      </c>
      <c r="G393" s="1" t="str">
        <f aca="false">DEC2HEX(C393*7)</f>
        <v>2A</v>
      </c>
      <c r="H393" s="1" t="str">
        <f aca="false">IF(D393=0, 33, "cc")</f>
        <v>cc</v>
      </c>
    </row>
    <row r="394" customFormat="false" ht="18.65" hidden="false" customHeight="true" outlineLevel="0" collapsed="false">
      <c r="A394" s="1" t="n">
        <f aca="false">ROW()-2</f>
        <v>392</v>
      </c>
      <c r="B394" s="1" t="n">
        <f aca="false">INT(A394/$N$1)</f>
        <v>21</v>
      </c>
      <c r="C394" s="1" t="n">
        <f aca="false">INT(MOD(A394,$N$1) / 2)</f>
        <v>7</v>
      </c>
      <c r="D394" s="1" t="n">
        <f aca="false">_xlfn.BITAND(A394,1)</f>
        <v>0</v>
      </c>
      <c r="F394" s="1" t="str">
        <f aca="false">DEC2HEX(B394*$N$3*18)</f>
        <v>5E80</v>
      </c>
      <c r="G394" s="1" t="str">
        <f aca="false">DEC2HEX(C394*7)</f>
        <v>31</v>
      </c>
      <c r="H394" s="1" t="n">
        <f aca="false">IF(D394=0, 33, "cc")</f>
        <v>33</v>
      </c>
    </row>
    <row r="395" customFormat="false" ht="18.65" hidden="false" customHeight="true" outlineLevel="0" collapsed="false">
      <c r="A395" s="1" t="n">
        <f aca="false">ROW()-2</f>
        <v>393</v>
      </c>
      <c r="B395" s="1" t="n">
        <f aca="false">INT(A395/$N$1)</f>
        <v>21</v>
      </c>
      <c r="C395" s="1" t="n">
        <f aca="false">INT(MOD(A395,$N$1) / 2)</f>
        <v>7</v>
      </c>
      <c r="D395" s="1" t="n">
        <f aca="false">_xlfn.BITAND(A395,1)</f>
        <v>1</v>
      </c>
      <c r="F395" s="1" t="str">
        <f aca="false">DEC2HEX(B395*$N$3*18)</f>
        <v>5E80</v>
      </c>
      <c r="G395" s="1" t="str">
        <f aca="false">DEC2HEX(C395*7)</f>
        <v>31</v>
      </c>
      <c r="H395" s="1" t="str">
        <f aca="false">IF(D395=0, 33, "cc")</f>
        <v>cc</v>
      </c>
    </row>
    <row r="396" customFormat="false" ht="18.65" hidden="false" customHeight="true" outlineLevel="0" collapsed="false">
      <c r="A396" s="1" t="n">
        <f aca="false">ROW()-2</f>
        <v>394</v>
      </c>
      <c r="B396" s="1" t="n">
        <f aca="false">INT(A396/$N$1)</f>
        <v>21</v>
      </c>
      <c r="C396" s="1" t="n">
        <f aca="false">INT(MOD(A396,$N$1) / 2)</f>
        <v>8</v>
      </c>
      <c r="D396" s="1" t="n">
        <f aca="false">_xlfn.BITAND(A396,1)</f>
        <v>0</v>
      </c>
      <c r="F396" s="1" t="str">
        <f aca="false">DEC2HEX(B396*$N$3*18)</f>
        <v>5E80</v>
      </c>
      <c r="G396" s="1" t="str">
        <f aca="false">DEC2HEX(C396*7)</f>
        <v>38</v>
      </c>
      <c r="H396" s="1" t="n">
        <f aca="false">IF(D396=0, 33, "cc")</f>
        <v>33</v>
      </c>
    </row>
    <row r="397" customFormat="false" ht="18.65" hidden="false" customHeight="true" outlineLevel="0" collapsed="false">
      <c r="A397" s="1" t="n">
        <f aca="false">ROW()-2</f>
        <v>395</v>
      </c>
      <c r="B397" s="1" t="n">
        <f aca="false">INT(A397/$N$1)</f>
        <v>21</v>
      </c>
      <c r="C397" s="1" t="n">
        <f aca="false">INT(MOD(A397,$N$1) / 2)</f>
        <v>8</v>
      </c>
      <c r="D397" s="1" t="n">
        <f aca="false">_xlfn.BITAND(A397,1)</f>
        <v>1</v>
      </c>
      <c r="F397" s="1" t="str">
        <f aca="false">DEC2HEX(B397*$N$3*18)</f>
        <v>5E80</v>
      </c>
      <c r="G397" s="1" t="str">
        <f aca="false">DEC2HEX(C397*7)</f>
        <v>38</v>
      </c>
      <c r="H397" s="1" t="str">
        <f aca="false">IF(D397=0, 33, "cc")</f>
        <v>cc</v>
      </c>
    </row>
    <row r="398" customFormat="false" ht="18.65" hidden="false" customHeight="true" outlineLevel="0" collapsed="false">
      <c r="A398" s="1" t="n">
        <f aca="false">ROW()-2</f>
        <v>396</v>
      </c>
      <c r="B398" s="1" t="n">
        <f aca="false">INT(A398/$N$1)</f>
        <v>22</v>
      </c>
      <c r="C398" s="1" t="n">
        <f aca="false">INT(MOD(A398,$N$1) / 2)</f>
        <v>0</v>
      </c>
      <c r="D398" s="1" t="n">
        <f aca="false">_xlfn.BITAND(A398,1)</f>
        <v>0</v>
      </c>
      <c r="F398" s="1" t="str">
        <f aca="false">DEC2HEX(B398*$N$3*18)</f>
        <v>6300</v>
      </c>
      <c r="G398" s="1" t="str">
        <f aca="false">DEC2HEX(C398*7)</f>
        <v>0</v>
      </c>
      <c r="H398" s="1" t="n">
        <f aca="false">IF(D398=0, 33, "cc")</f>
        <v>33</v>
      </c>
    </row>
    <row r="399" customFormat="false" ht="18.65" hidden="false" customHeight="true" outlineLevel="0" collapsed="false">
      <c r="A399" s="1" t="n">
        <f aca="false">ROW()-2</f>
        <v>397</v>
      </c>
      <c r="B399" s="1" t="n">
        <f aca="false">INT(A399/$N$1)</f>
        <v>22</v>
      </c>
      <c r="C399" s="1" t="n">
        <f aca="false">INT(MOD(A399,$N$1) / 2)</f>
        <v>0</v>
      </c>
      <c r="D399" s="1" t="n">
        <f aca="false">_xlfn.BITAND(A399,1)</f>
        <v>1</v>
      </c>
      <c r="F399" s="1" t="str">
        <f aca="false">DEC2HEX(B399*$N$3*18)</f>
        <v>6300</v>
      </c>
      <c r="G399" s="1" t="str">
        <f aca="false">DEC2HEX(C399*7)</f>
        <v>0</v>
      </c>
      <c r="H399" s="1" t="str">
        <f aca="false">IF(D399=0, 33, "cc")</f>
        <v>cc</v>
      </c>
    </row>
    <row r="400" customFormat="false" ht="18.65" hidden="false" customHeight="true" outlineLevel="0" collapsed="false">
      <c r="A400" s="1" t="n">
        <f aca="false">ROW()-2</f>
        <v>398</v>
      </c>
      <c r="B400" s="1" t="n">
        <f aca="false">INT(A400/$N$1)</f>
        <v>22</v>
      </c>
      <c r="C400" s="1" t="n">
        <f aca="false">INT(MOD(A400,$N$1) / 2)</f>
        <v>1</v>
      </c>
      <c r="D400" s="1" t="n">
        <f aca="false">_xlfn.BITAND(A400,1)</f>
        <v>0</v>
      </c>
      <c r="F400" s="1" t="str">
        <f aca="false">DEC2HEX(B400*$N$3*18)</f>
        <v>6300</v>
      </c>
      <c r="G400" s="1" t="str">
        <f aca="false">DEC2HEX(C400*7)</f>
        <v>7</v>
      </c>
      <c r="H400" s="1" t="n">
        <f aca="false">IF(D400=0, 33, "cc")</f>
        <v>33</v>
      </c>
    </row>
    <row r="401" customFormat="false" ht="18.65" hidden="false" customHeight="true" outlineLevel="0" collapsed="false">
      <c r="A401" s="1" t="n">
        <f aca="false">ROW()-2</f>
        <v>399</v>
      </c>
      <c r="B401" s="1" t="n">
        <f aca="false">INT(A401/$N$1)</f>
        <v>22</v>
      </c>
      <c r="C401" s="1" t="n">
        <f aca="false">INT(MOD(A401,$N$1) / 2)</f>
        <v>1</v>
      </c>
      <c r="D401" s="1" t="n">
        <f aca="false">_xlfn.BITAND(A401,1)</f>
        <v>1</v>
      </c>
      <c r="F401" s="1" t="str">
        <f aca="false">DEC2HEX(B401*$N$3*18)</f>
        <v>6300</v>
      </c>
      <c r="G401" s="1" t="str">
        <f aca="false">DEC2HEX(C401*7)</f>
        <v>7</v>
      </c>
      <c r="H401" s="1" t="str">
        <f aca="false">IF(D401=0, 33, "cc")</f>
        <v>cc</v>
      </c>
    </row>
    <row r="402" customFormat="false" ht="18.65" hidden="false" customHeight="true" outlineLevel="0" collapsed="false">
      <c r="A402" s="1" t="n">
        <f aca="false">ROW()-2</f>
        <v>400</v>
      </c>
      <c r="B402" s="1" t="n">
        <f aca="false">INT(A402/$N$1)</f>
        <v>22</v>
      </c>
      <c r="C402" s="1" t="n">
        <f aca="false">INT(MOD(A402,$N$1) / 2)</f>
        <v>2</v>
      </c>
      <c r="D402" s="1" t="n">
        <f aca="false">_xlfn.BITAND(A402,1)</f>
        <v>0</v>
      </c>
      <c r="F402" s="1" t="str">
        <f aca="false">DEC2HEX(B402*$N$3*18)</f>
        <v>6300</v>
      </c>
      <c r="G402" s="1" t="str">
        <f aca="false">DEC2HEX(C402*7)</f>
        <v>E</v>
      </c>
      <c r="H402" s="1" t="n">
        <f aca="false">IF(D402=0, 33, "cc")</f>
        <v>33</v>
      </c>
    </row>
    <row r="403" customFormat="false" ht="18.65" hidden="false" customHeight="true" outlineLevel="0" collapsed="false">
      <c r="A403" s="1" t="n">
        <f aca="false">ROW()-2</f>
        <v>401</v>
      </c>
      <c r="B403" s="1" t="n">
        <f aca="false">INT(A403/$N$1)</f>
        <v>22</v>
      </c>
      <c r="C403" s="1" t="n">
        <f aca="false">INT(MOD(A403,$N$1) / 2)</f>
        <v>2</v>
      </c>
      <c r="D403" s="1" t="n">
        <f aca="false">_xlfn.BITAND(A403,1)</f>
        <v>1</v>
      </c>
      <c r="F403" s="1" t="str">
        <f aca="false">DEC2HEX(B403*$N$3*18)</f>
        <v>6300</v>
      </c>
      <c r="G403" s="1" t="str">
        <f aca="false">DEC2HEX(C403*7)</f>
        <v>E</v>
      </c>
      <c r="H403" s="1" t="str">
        <f aca="false">IF(D403=0, 33, "cc")</f>
        <v>cc</v>
      </c>
    </row>
    <row r="404" customFormat="false" ht="18.65" hidden="false" customHeight="true" outlineLevel="0" collapsed="false">
      <c r="A404" s="1" t="n">
        <f aca="false">ROW()-2</f>
        <v>402</v>
      </c>
      <c r="B404" s="1" t="n">
        <f aca="false">INT(A404/$N$1)</f>
        <v>22</v>
      </c>
      <c r="C404" s="1" t="n">
        <f aca="false">INT(MOD(A404,$N$1) / 2)</f>
        <v>3</v>
      </c>
      <c r="D404" s="1" t="n">
        <f aca="false">_xlfn.BITAND(A404,1)</f>
        <v>0</v>
      </c>
      <c r="F404" s="1" t="str">
        <f aca="false">DEC2HEX(B404*$N$3*18)</f>
        <v>6300</v>
      </c>
      <c r="G404" s="1" t="str">
        <f aca="false">DEC2HEX(C404*7)</f>
        <v>15</v>
      </c>
      <c r="H404" s="1" t="n">
        <f aca="false">IF(D404=0, 33, "cc")</f>
        <v>33</v>
      </c>
    </row>
    <row r="405" customFormat="false" ht="18.65" hidden="false" customHeight="true" outlineLevel="0" collapsed="false">
      <c r="A405" s="1" t="n">
        <f aca="false">ROW()-2</f>
        <v>403</v>
      </c>
      <c r="B405" s="1" t="n">
        <f aca="false">INT(A405/$N$1)</f>
        <v>22</v>
      </c>
      <c r="C405" s="1" t="n">
        <f aca="false">INT(MOD(A405,$N$1) / 2)</f>
        <v>3</v>
      </c>
      <c r="D405" s="1" t="n">
        <f aca="false">_xlfn.BITAND(A405,1)</f>
        <v>1</v>
      </c>
      <c r="F405" s="1" t="str">
        <f aca="false">DEC2HEX(B405*$N$3*18)</f>
        <v>6300</v>
      </c>
      <c r="G405" s="1" t="str">
        <f aca="false">DEC2HEX(C405*7)</f>
        <v>15</v>
      </c>
      <c r="H405" s="1" t="str">
        <f aca="false">IF(D405=0, 33, "cc")</f>
        <v>cc</v>
      </c>
    </row>
    <row r="406" customFormat="false" ht="18.65" hidden="false" customHeight="true" outlineLevel="0" collapsed="false">
      <c r="A406" s="1" t="n">
        <f aca="false">ROW()-2</f>
        <v>404</v>
      </c>
      <c r="B406" s="1" t="n">
        <f aca="false">INT(A406/$N$1)</f>
        <v>22</v>
      </c>
      <c r="C406" s="1" t="n">
        <f aca="false">INT(MOD(A406,$N$1) / 2)</f>
        <v>4</v>
      </c>
      <c r="D406" s="1" t="n">
        <f aca="false">_xlfn.BITAND(A406,1)</f>
        <v>0</v>
      </c>
      <c r="F406" s="1" t="str">
        <f aca="false">DEC2HEX(B406*$N$3*18)</f>
        <v>6300</v>
      </c>
      <c r="G406" s="1" t="str">
        <f aca="false">DEC2HEX(C406*7)</f>
        <v>1C</v>
      </c>
      <c r="H406" s="1" t="n">
        <f aca="false">IF(D406=0, 33, "cc")</f>
        <v>33</v>
      </c>
    </row>
    <row r="407" customFormat="false" ht="18.65" hidden="false" customHeight="true" outlineLevel="0" collapsed="false">
      <c r="A407" s="1" t="n">
        <f aca="false">ROW()-2</f>
        <v>405</v>
      </c>
      <c r="B407" s="1" t="n">
        <f aca="false">INT(A407/$N$1)</f>
        <v>22</v>
      </c>
      <c r="C407" s="1" t="n">
        <f aca="false">INT(MOD(A407,$N$1) / 2)</f>
        <v>4</v>
      </c>
      <c r="D407" s="1" t="n">
        <f aca="false">_xlfn.BITAND(A407,1)</f>
        <v>1</v>
      </c>
      <c r="F407" s="1" t="str">
        <f aca="false">DEC2HEX(B407*$N$3*18)</f>
        <v>6300</v>
      </c>
      <c r="G407" s="1" t="str">
        <f aca="false">DEC2HEX(C407*7)</f>
        <v>1C</v>
      </c>
      <c r="H407" s="1" t="str">
        <f aca="false">IF(D407=0, 33, "cc")</f>
        <v>cc</v>
      </c>
    </row>
    <row r="408" customFormat="false" ht="18.65" hidden="false" customHeight="true" outlineLevel="0" collapsed="false">
      <c r="A408" s="1" t="n">
        <f aca="false">ROW()-2</f>
        <v>406</v>
      </c>
      <c r="B408" s="1" t="n">
        <f aca="false">INT(A408/$N$1)</f>
        <v>22</v>
      </c>
      <c r="C408" s="1" t="n">
        <f aca="false">INT(MOD(A408,$N$1) / 2)</f>
        <v>5</v>
      </c>
      <c r="D408" s="1" t="n">
        <f aca="false">_xlfn.BITAND(A408,1)</f>
        <v>0</v>
      </c>
      <c r="F408" s="1" t="str">
        <f aca="false">DEC2HEX(B408*$N$3*18)</f>
        <v>6300</v>
      </c>
      <c r="G408" s="1" t="str">
        <f aca="false">DEC2HEX(C408*7)</f>
        <v>23</v>
      </c>
      <c r="H408" s="1" t="n">
        <f aca="false">IF(D408=0, 33, "cc")</f>
        <v>33</v>
      </c>
    </row>
    <row r="409" customFormat="false" ht="18.65" hidden="false" customHeight="true" outlineLevel="0" collapsed="false">
      <c r="A409" s="1" t="n">
        <f aca="false">ROW()-2</f>
        <v>407</v>
      </c>
      <c r="B409" s="1" t="n">
        <f aca="false">INT(A409/$N$1)</f>
        <v>22</v>
      </c>
      <c r="C409" s="1" t="n">
        <f aca="false">INT(MOD(A409,$N$1) / 2)</f>
        <v>5</v>
      </c>
      <c r="D409" s="1" t="n">
        <f aca="false">_xlfn.BITAND(A409,1)</f>
        <v>1</v>
      </c>
      <c r="F409" s="1" t="str">
        <f aca="false">DEC2HEX(B409*$N$3*18)</f>
        <v>6300</v>
      </c>
      <c r="G409" s="1" t="str">
        <f aca="false">DEC2HEX(C409*7)</f>
        <v>23</v>
      </c>
      <c r="H409" s="1" t="str">
        <f aca="false">IF(D409=0, 33, "cc")</f>
        <v>cc</v>
      </c>
    </row>
    <row r="410" customFormat="false" ht="18.65" hidden="false" customHeight="true" outlineLevel="0" collapsed="false">
      <c r="A410" s="1" t="n">
        <f aca="false">ROW()-2</f>
        <v>408</v>
      </c>
      <c r="B410" s="1" t="n">
        <f aca="false">INT(A410/$N$1)</f>
        <v>22</v>
      </c>
      <c r="C410" s="1" t="n">
        <f aca="false">INT(MOD(A410,$N$1) / 2)</f>
        <v>6</v>
      </c>
      <c r="D410" s="1" t="n">
        <f aca="false">_xlfn.BITAND(A410,1)</f>
        <v>0</v>
      </c>
      <c r="F410" s="1" t="str">
        <f aca="false">DEC2HEX(B410*$N$3*18)</f>
        <v>6300</v>
      </c>
      <c r="G410" s="1" t="str">
        <f aca="false">DEC2HEX(C410*7)</f>
        <v>2A</v>
      </c>
      <c r="H410" s="1" t="n">
        <f aca="false">IF(D410=0, 33, "cc")</f>
        <v>33</v>
      </c>
    </row>
    <row r="411" customFormat="false" ht="18.65" hidden="false" customHeight="true" outlineLevel="0" collapsed="false">
      <c r="A411" s="1" t="n">
        <f aca="false">ROW()-2</f>
        <v>409</v>
      </c>
      <c r="B411" s="1" t="n">
        <f aca="false">INT(A411/$N$1)</f>
        <v>22</v>
      </c>
      <c r="C411" s="1" t="n">
        <f aca="false">INT(MOD(A411,$N$1) / 2)</f>
        <v>6</v>
      </c>
      <c r="D411" s="1" t="n">
        <f aca="false">_xlfn.BITAND(A411,1)</f>
        <v>1</v>
      </c>
      <c r="F411" s="1" t="str">
        <f aca="false">DEC2HEX(B411*$N$3*18)</f>
        <v>6300</v>
      </c>
      <c r="G411" s="1" t="str">
        <f aca="false">DEC2HEX(C411*7)</f>
        <v>2A</v>
      </c>
      <c r="H411" s="1" t="str">
        <f aca="false">IF(D411=0, 33, "cc")</f>
        <v>cc</v>
      </c>
    </row>
    <row r="412" customFormat="false" ht="18.65" hidden="false" customHeight="true" outlineLevel="0" collapsed="false">
      <c r="A412" s="1" t="n">
        <f aca="false">ROW()-2</f>
        <v>410</v>
      </c>
      <c r="B412" s="1" t="n">
        <f aca="false">INT(A412/$N$1)</f>
        <v>22</v>
      </c>
      <c r="C412" s="1" t="n">
        <f aca="false">INT(MOD(A412,$N$1) / 2)</f>
        <v>7</v>
      </c>
      <c r="D412" s="1" t="n">
        <f aca="false">_xlfn.BITAND(A412,1)</f>
        <v>0</v>
      </c>
      <c r="F412" s="1" t="str">
        <f aca="false">DEC2HEX(B412*$N$3*18)</f>
        <v>6300</v>
      </c>
      <c r="G412" s="1" t="str">
        <f aca="false">DEC2HEX(C412*7)</f>
        <v>31</v>
      </c>
      <c r="H412" s="1" t="n">
        <f aca="false">IF(D412=0, 33, "cc")</f>
        <v>33</v>
      </c>
    </row>
    <row r="413" customFormat="false" ht="18.65" hidden="false" customHeight="true" outlineLevel="0" collapsed="false">
      <c r="A413" s="1" t="n">
        <f aca="false">ROW()-2</f>
        <v>411</v>
      </c>
      <c r="B413" s="1" t="n">
        <f aca="false">INT(A413/$N$1)</f>
        <v>22</v>
      </c>
      <c r="C413" s="1" t="n">
        <f aca="false">INT(MOD(A413,$N$1) / 2)</f>
        <v>7</v>
      </c>
      <c r="D413" s="1" t="n">
        <f aca="false">_xlfn.BITAND(A413,1)</f>
        <v>1</v>
      </c>
      <c r="F413" s="1" t="str">
        <f aca="false">DEC2HEX(B413*$N$3*18)</f>
        <v>6300</v>
      </c>
      <c r="G413" s="1" t="str">
        <f aca="false">DEC2HEX(C413*7)</f>
        <v>31</v>
      </c>
      <c r="H413" s="1" t="str">
        <f aca="false">IF(D413=0, 33, "cc")</f>
        <v>cc</v>
      </c>
    </row>
    <row r="414" customFormat="false" ht="18.65" hidden="false" customHeight="true" outlineLevel="0" collapsed="false">
      <c r="A414" s="1" t="n">
        <f aca="false">ROW()-2</f>
        <v>412</v>
      </c>
      <c r="B414" s="1" t="n">
        <f aca="false">INT(A414/$N$1)</f>
        <v>22</v>
      </c>
      <c r="C414" s="1" t="n">
        <f aca="false">INT(MOD(A414,$N$1) / 2)</f>
        <v>8</v>
      </c>
      <c r="D414" s="1" t="n">
        <f aca="false">_xlfn.BITAND(A414,1)</f>
        <v>0</v>
      </c>
      <c r="F414" s="1" t="str">
        <f aca="false">DEC2HEX(B414*$N$3*18)</f>
        <v>6300</v>
      </c>
      <c r="G414" s="1" t="str">
        <f aca="false">DEC2HEX(C414*7)</f>
        <v>38</v>
      </c>
      <c r="H414" s="1" t="n">
        <f aca="false">IF(D414=0, 33, "cc")</f>
        <v>33</v>
      </c>
    </row>
    <row r="415" customFormat="false" ht="18.65" hidden="false" customHeight="true" outlineLevel="0" collapsed="false">
      <c r="A415" s="1" t="n">
        <f aca="false">ROW()-2</f>
        <v>413</v>
      </c>
      <c r="B415" s="1" t="n">
        <f aca="false">INT(A415/$N$1)</f>
        <v>22</v>
      </c>
      <c r="C415" s="1" t="n">
        <f aca="false">INT(MOD(A415,$N$1) / 2)</f>
        <v>8</v>
      </c>
      <c r="D415" s="1" t="n">
        <f aca="false">_xlfn.BITAND(A415,1)</f>
        <v>1</v>
      </c>
      <c r="F415" s="1" t="str">
        <f aca="false">DEC2HEX(B415*$N$3*18)</f>
        <v>6300</v>
      </c>
      <c r="G415" s="1" t="str">
        <f aca="false">DEC2HEX(C415*7)</f>
        <v>38</v>
      </c>
      <c r="H415" s="1" t="str">
        <f aca="false">IF(D415=0, 33, "cc")</f>
        <v>cc</v>
      </c>
    </row>
    <row r="416" customFormat="false" ht="18.65" hidden="false" customHeight="true" outlineLevel="0" collapsed="false">
      <c r="A416" s="1" t="n">
        <f aca="false">ROW()-2</f>
        <v>414</v>
      </c>
      <c r="B416" s="1" t="n">
        <f aca="false">INT(A416/$N$1)</f>
        <v>23</v>
      </c>
      <c r="C416" s="1" t="n">
        <f aca="false">INT(MOD(A416,$N$1) / 2)</f>
        <v>0</v>
      </c>
      <c r="D416" s="1" t="n">
        <f aca="false">_xlfn.BITAND(A416,1)</f>
        <v>0</v>
      </c>
      <c r="F416" s="1" t="str">
        <f aca="false">DEC2HEX(B416*$N$3*18)</f>
        <v>6780</v>
      </c>
      <c r="G416" s="1" t="str">
        <f aca="false">DEC2HEX(C416*7)</f>
        <v>0</v>
      </c>
      <c r="H416" s="1" t="n">
        <f aca="false">IF(D416=0, 33, "cc")</f>
        <v>33</v>
      </c>
    </row>
    <row r="417" customFormat="false" ht="18.65" hidden="false" customHeight="true" outlineLevel="0" collapsed="false">
      <c r="A417" s="1" t="n">
        <f aca="false">ROW()-2</f>
        <v>415</v>
      </c>
      <c r="B417" s="1" t="n">
        <f aca="false">INT(A417/$N$1)</f>
        <v>23</v>
      </c>
      <c r="C417" s="1" t="n">
        <f aca="false">INT(MOD(A417,$N$1) / 2)</f>
        <v>0</v>
      </c>
      <c r="D417" s="1" t="n">
        <f aca="false">_xlfn.BITAND(A417,1)</f>
        <v>1</v>
      </c>
      <c r="F417" s="1" t="str">
        <f aca="false">DEC2HEX(B417*$N$3*18)</f>
        <v>6780</v>
      </c>
      <c r="G417" s="1" t="str">
        <f aca="false">DEC2HEX(C417*7)</f>
        <v>0</v>
      </c>
      <c r="H417" s="1" t="str">
        <f aca="false">IF(D417=0, 33, "cc")</f>
        <v>cc</v>
      </c>
    </row>
    <row r="418" customFormat="false" ht="18.65" hidden="false" customHeight="true" outlineLevel="0" collapsed="false">
      <c r="A418" s="1" t="n">
        <f aca="false">ROW()-2</f>
        <v>416</v>
      </c>
      <c r="B418" s="1" t="n">
        <f aca="false">INT(A418/$N$1)</f>
        <v>23</v>
      </c>
      <c r="C418" s="1" t="n">
        <f aca="false">INT(MOD(A418,$N$1) / 2)</f>
        <v>1</v>
      </c>
      <c r="D418" s="1" t="n">
        <f aca="false">_xlfn.BITAND(A418,1)</f>
        <v>0</v>
      </c>
      <c r="F418" s="1" t="str">
        <f aca="false">DEC2HEX(B418*$N$3*18)</f>
        <v>6780</v>
      </c>
      <c r="G418" s="1" t="str">
        <f aca="false">DEC2HEX(C418*7)</f>
        <v>7</v>
      </c>
      <c r="H418" s="1" t="n">
        <f aca="false">IF(D418=0, 33, "cc")</f>
        <v>33</v>
      </c>
    </row>
    <row r="419" customFormat="false" ht="18.65" hidden="false" customHeight="true" outlineLevel="0" collapsed="false">
      <c r="A419" s="1" t="n">
        <f aca="false">ROW()-2</f>
        <v>417</v>
      </c>
      <c r="B419" s="1" t="n">
        <f aca="false">INT(A419/$N$1)</f>
        <v>23</v>
      </c>
      <c r="C419" s="1" t="n">
        <f aca="false">INT(MOD(A419,$N$1) / 2)</f>
        <v>1</v>
      </c>
      <c r="D419" s="1" t="n">
        <f aca="false">_xlfn.BITAND(A419,1)</f>
        <v>1</v>
      </c>
      <c r="F419" s="1" t="str">
        <f aca="false">DEC2HEX(B419*$N$3*18)</f>
        <v>6780</v>
      </c>
      <c r="G419" s="1" t="str">
        <f aca="false">DEC2HEX(C419*7)</f>
        <v>7</v>
      </c>
      <c r="H419" s="1" t="str">
        <f aca="false">IF(D419=0, 33, "cc")</f>
        <v>cc</v>
      </c>
    </row>
    <row r="420" customFormat="false" ht="18.65" hidden="false" customHeight="true" outlineLevel="0" collapsed="false">
      <c r="A420" s="1" t="n">
        <f aca="false">ROW()-2</f>
        <v>418</v>
      </c>
      <c r="B420" s="1" t="n">
        <f aca="false">INT(A420/$N$1)</f>
        <v>23</v>
      </c>
      <c r="C420" s="1" t="n">
        <f aca="false">INT(MOD(A420,$N$1) / 2)</f>
        <v>2</v>
      </c>
      <c r="D420" s="1" t="n">
        <f aca="false">_xlfn.BITAND(A420,1)</f>
        <v>0</v>
      </c>
      <c r="F420" s="1" t="str">
        <f aca="false">DEC2HEX(B420*$N$3*18)</f>
        <v>6780</v>
      </c>
      <c r="G420" s="1" t="str">
        <f aca="false">DEC2HEX(C420*7)</f>
        <v>E</v>
      </c>
      <c r="H420" s="1" t="n">
        <f aca="false">IF(D420=0, 33, "cc")</f>
        <v>33</v>
      </c>
    </row>
    <row r="421" customFormat="false" ht="18.65" hidden="false" customHeight="true" outlineLevel="0" collapsed="false">
      <c r="A421" s="1" t="n">
        <f aca="false">ROW()-2</f>
        <v>419</v>
      </c>
      <c r="B421" s="1" t="n">
        <f aca="false">INT(A421/$N$1)</f>
        <v>23</v>
      </c>
      <c r="C421" s="1" t="n">
        <f aca="false">INT(MOD(A421,$N$1) / 2)</f>
        <v>2</v>
      </c>
      <c r="D421" s="1" t="n">
        <f aca="false">_xlfn.BITAND(A421,1)</f>
        <v>1</v>
      </c>
      <c r="F421" s="1" t="str">
        <f aca="false">DEC2HEX(B421*$N$3*18)</f>
        <v>6780</v>
      </c>
      <c r="G421" s="1" t="str">
        <f aca="false">DEC2HEX(C421*7)</f>
        <v>E</v>
      </c>
      <c r="H421" s="1" t="str">
        <f aca="false">IF(D421=0, 33, "cc")</f>
        <v>cc</v>
      </c>
    </row>
    <row r="422" customFormat="false" ht="18.65" hidden="false" customHeight="true" outlineLevel="0" collapsed="false">
      <c r="A422" s="1" t="n">
        <f aca="false">ROW()-2</f>
        <v>420</v>
      </c>
      <c r="B422" s="1" t="n">
        <f aca="false">INT(A422/$N$1)</f>
        <v>23</v>
      </c>
      <c r="C422" s="1" t="n">
        <f aca="false">INT(MOD(A422,$N$1) / 2)</f>
        <v>3</v>
      </c>
      <c r="D422" s="1" t="n">
        <f aca="false">_xlfn.BITAND(A422,1)</f>
        <v>0</v>
      </c>
      <c r="F422" s="1" t="str">
        <f aca="false">DEC2HEX(B422*$N$3*18)</f>
        <v>6780</v>
      </c>
      <c r="G422" s="1" t="str">
        <f aca="false">DEC2HEX(C422*7)</f>
        <v>15</v>
      </c>
      <c r="H422" s="1" t="n">
        <f aca="false">IF(D422=0, 33, "cc")</f>
        <v>33</v>
      </c>
    </row>
    <row r="423" customFormat="false" ht="18.65" hidden="false" customHeight="true" outlineLevel="0" collapsed="false">
      <c r="A423" s="1" t="n">
        <f aca="false">ROW()-2</f>
        <v>421</v>
      </c>
      <c r="B423" s="1" t="n">
        <f aca="false">INT(A423/$N$1)</f>
        <v>23</v>
      </c>
      <c r="C423" s="1" t="n">
        <f aca="false">INT(MOD(A423,$N$1) / 2)</f>
        <v>3</v>
      </c>
      <c r="D423" s="1" t="n">
        <f aca="false">_xlfn.BITAND(A423,1)</f>
        <v>1</v>
      </c>
      <c r="F423" s="1" t="str">
        <f aca="false">DEC2HEX(B423*$N$3*18)</f>
        <v>6780</v>
      </c>
      <c r="G423" s="1" t="str">
        <f aca="false">DEC2HEX(C423*7)</f>
        <v>15</v>
      </c>
      <c r="H423" s="1" t="str">
        <f aca="false">IF(D423=0, 33, "cc")</f>
        <v>cc</v>
      </c>
    </row>
    <row r="424" customFormat="false" ht="18.65" hidden="false" customHeight="true" outlineLevel="0" collapsed="false">
      <c r="A424" s="1" t="n">
        <f aca="false">ROW()-2</f>
        <v>422</v>
      </c>
      <c r="B424" s="1" t="n">
        <f aca="false">INT(A424/$N$1)</f>
        <v>23</v>
      </c>
      <c r="C424" s="1" t="n">
        <f aca="false">INT(MOD(A424,$N$1) / 2)</f>
        <v>4</v>
      </c>
      <c r="D424" s="1" t="n">
        <f aca="false">_xlfn.BITAND(A424,1)</f>
        <v>0</v>
      </c>
      <c r="F424" s="1" t="str">
        <f aca="false">DEC2HEX(B424*$N$3*18)</f>
        <v>6780</v>
      </c>
      <c r="G424" s="1" t="str">
        <f aca="false">DEC2HEX(C424*7)</f>
        <v>1C</v>
      </c>
      <c r="H424" s="1" t="n">
        <f aca="false">IF(D424=0, 33, "cc")</f>
        <v>33</v>
      </c>
    </row>
    <row r="425" customFormat="false" ht="18.65" hidden="false" customHeight="true" outlineLevel="0" collapsed="false">
      <c r="A425" s="1" t="n">
        <f aca="false">ROW()-2</f>
        <v>423</v>
      </c>
      <c r="B425" s="1" t="n">
        <f aca="false">INT(A425/$N$1)</f>
        <v>23</v>
      </c>
      <c r="C425" s="1" t="n">
        <f aca="false">INT(MOD(A425,$N$1) / 2)</f>
        <v>4</v>
      </c>
      <c r="D425" s="1" t="n">
        <f aca="false">_xlfn.BITAND(A425,1)</f>
        <v>1</v>
      </c>
      <c r="F425" s="1" t="str">
        <f aca="false">DEC2HEX(B425*$N$3*18)</f>
        <v>6780</v>
      </c>
      <c r="G425" s="1" t="str">
        <f aca="false">DEC2HEX(C425*7)</f>
        <v>1C</v>
      </c>
      <c r="H425" s="1" t="str">
        <f aca="false">IF(D425=0, 33, "cc")</f>
        <v>cc</v>
      </c>
    </row>
    <row r="426" customFormat="false" ht="18.65" hidden="false" customHeight="true" outlineLevel="0" collapsed="false">
      <c r="A426" s="1" t="n">
        <f aca="false">ROW()-2</f>
        <v>424</v>
      </c>
      <c r="B426" s="1" t="n">
        <f aca="false">INT(A426/$N$1)</f>
        <v>23</v>
      </c>
      <c r="C426" s="1" t="n">
        <f aca="false">INT(MOD(A426,$N$1) / 2)</f>
        <v>5</v>
      </c>
      <c r="D426" s="1" t="n">
        <f aca="false">_xlfn.BITAND(A426,1)</f>
        <v>0</v>
      </c>
      <c r="F426" s="1" t="str">
        <f aca="false">DEC2HEX(B426*$N$3*18)</f>
        <v>6780</v>
      </c>
      <c r="G426" s="1" t="str">
        <f aca="false">DEC2HEX(C426*7)</f>
        <v>23</v>
      </c>
      <c r="H426" s="1" t="n">
        <f aca="false">IF(D426=0, 33, "cc")</f>
        <v>33</v>
      </c>
    </row>
    <row r="427" customFormat="false" ht="18.65" hidden="false" customHeight="true" outlineLevel="0" collapsed="false">
      <c r="A427" s="1" t="n">
        <f aca="false">ROW()-2</f>
        <v>425</v>
      </c>
      <c r="B427" s="1" t="n">
        <f aca="false">INT(A427/$N$1)</f>
        <v>23</v>
      </c>
      <c r="C427" s="1" t="n">
        <f aca="false">INT(MOD(A427,$N$1) / 2)</f>
        <v>5</v>
      </c>
      <c r="D427" s="1" t="n">
        <f aca="false">_xlfn.BITAND(A427,1)</f>
        <v>1</v>
      </c>
      <c r="F427" s="1" t="str">
        <f aca="false">DEC2HEX(B427*$N$3*18)</f>
        <v>6780</v>
      </c>
      <c r="G427" s="1" t="str">
        <f aca="false">DEC2HEX(C427*7)</f>
        <v>23</v>
      </c>
      <c r="H427" s="1" t="str">
        <f aca="false">IF(D427=0, 33, "cc")</f>
        <v>cc</v>
      </c>
    </row>
    <row r="428" customFormat="false" ht="18.65" hidden="false" customHeight="true" outlineLevel="0" collapsed="false">
      <c r="A428" s="1" t="n">
        <f aca="false">ROW()-2</f>
        <v>426</v>
      </c>
      <c r="B428" s="1" t="n">
        <f aca="false">INT(A428/$N$1)</f>
        <v>23</v>
      </c>
      <c r="C428" s="1" t="n">
        <f aca="false">INT(MOD(A428,$N$1) / 2)</f>
        <v>6</v>
      </c>
      <c r="D428" s="1" t="n">
        <f aca="false">_xlfn.BITAND(A428,1)</f>
        <v>0</v>
      </c>
      <c r="F428" s="1" t="str">
        <f aca="false">DEC2HEX(B428*$N$3*18)</f>
        <v>6780</v>
      </c>
      <c r="G428" s="1" t="str">
        <f aca="false">DEC2HEX(C428*7)</f>
        <v>2A</v>
      </c>
      <c r="H428" s="1" t="n">
        <f aca="false">IF(D428=0, 33, "cc")</f>
        <v>33</v>
      </c>
    </row>
    <row r="429" customFormat="false" ht="18.65" hidden="false" customHeight="true" outlineLevel="0" collapsed="false">
      <c r="A429" s="1" t="n">
        <f aca="false">ROW()-2</f>
        <v>427</v>
      </c>
      <c r="B429" s="1" t="n">
        <f aca="false">INT(A429/$N$1)</f>
        <v>23</v>
      </c>
      <c r="C429" s="1" t="n">
        <f aca="false">INT(MOD(A429,$N$1) / 2)</f>
        <v>6</v>
      </c>
      <c r="D429" s="1" t="n">
        <f aca="false">_xlfn.BITAND(A429,1)</f>
        <v>1</v>
      </c>
      <c r="F429" s="1" t="str">
        <f aca="false">DEC2HEX(B429*$N$3*18)</f>
        <v>6780</v>
      </c>
      <c r="G429" s="1" t="str">
        <f aca="false">DEC2HEX(C429*7)</f>
        <v>2A</v>
      </c>
      <c r="H429" s="1" t="str">
        <f aca="false">IF(D429=0, 33, "cc")</f>
        <v>cc</v>
      </c>
    </row>
    <row r="430" customFormat="false" ht="18.65" hidden="false" customHeight="true" outlineLevel="0" collapsed="false">
      <c r="A430" s="1" t="n">
        <f aca="false">ROW()-2</f>
        <v>428</v>
      </c>
      <c r="B430" s="1" t="n">
        <f aca="false">INT(A430/$N$1)</f>
        <v>23</v>
      </c>
      <c r="C430" s="1" t="n">
        <f aca="false">INT(MOD(A430,$N$1) / 2)</f>
        <v>7</v>
      </c>
      <c r="D430" s="1" t="n">
        <f aca="false">_xlfn.BITAND(A430,1)</f>
        <v>0</v>
      </c>
      <c r="F430" s="1" t="str">
        <f aca="false">DEC2HEX(B430*$N$3*18)</f>
        <v>6780</v>
      </c>
      <c r="G430" s="1" t="str">
        <f aca="false">DEC2HEX(C430*7)</f>
        <v>31</v>
      </c>
      <c r="H430" s="1" t="n">
        <f aca="false">IF(D430=0, 33, "cc")</f>
        <v>33</v>
      </c>
    </row>
    <row r="431" customFormat="false" ht="18.65" hidden="false" customHeight="true" outlineLevel="0" collapsed="false">
      <c r="A431" s="1" t="n">
        <f aca="false">ROW()-2</f>
        <v>429</v>
      </c>
      <c r="B431" s="1" t="n">
        <f aca="false">INT(A431/$N$1)</f>
        <v>23</v>
      </c>
      <c r="C431" s="1" t="n">
        <f aca="false">INT(MOD(A431,$N$1) / 2)</f>
        <v>7</v>
      </c>
      <c r="D431" s="1" t="n">
        <f aca="false">_xlfn.BITAND(A431,1)</f>
        <v>1</v>
      </c>
      <c r="F431" s="1" t="str">
        <f aca="false">DEC2HEX(B431*$N$3*18)</f>
        <v>6780</v>
      </c>
      <c r="G431" s="1" t="str">
        <f aca="false">DEC2HEX(C431*7)</f>
        <v>31</v>
      </c>
      <c r="H431" s="1" t="str">
        <f aca="false">IF(D431=0, 33, "cc")</f>
        <v>cc</v>
      </c>
    </row>
    <row r="432" customFormat="false" ht="18.65" hidden="false" customHeight="true" outlineLevel="0" collapsed="false">
      <c r="A432" s="1" t="n">
        <f aca="false">ROW()-2</f>
        <v>430</v>
      </c>
      <c r="B432" s="1" t="n">
        <f aca="false">INT(A432/$N$1)</f>
        <v>23</v>
      </c>
      <c r="C432" s="1" t="n">
        <f aca="false">INT(MOD(A432,$N$1) / 2)</f>
        <v>8</v>
      </c>
      <c r="D432" s="1" t="n">
        <f aca="false">_xlfn.BITAND(A432,1)</f>
        <v>0</v>
      </c>
      <c r="F432" s="1" t="str">
        <f aca="false">DEC2HEX(B432*$N$3*18)</f>
        <v>6780</v>
      </c>
      <c r="G432" s="1" t="str">
        <f aca="false">DEC2HEX(C432*7)</f>
        <v>38</v>
      </c>
      <c r="H432" s="1" t="n">
        <f aca="false">IF(D432=0, 33, "cc")</f>
        <v>33</v>
      </c>
    </row>
    <row r="433" customFormat="false" ht="18.65" hidden="false" customHeight="true" outlineLevel="0" collapsed="false">
      <c r="A433" s="1" t="n">
        <f aca="false">ROW()-2</f>
        <v>431</v>
      </c>
      <c r="B433" s="1" t="n">
        <f aca="false">INT(A433/$N$1)</f>
        <v>23</v>
      </c>
      <c r="C433" s="1" t="n">
        <f aca="false">INT(MOD(A433,$N$1) / 2)</f>
        <v>8</v>
      </c>
      <c r="D433" s="1" t="n">
        <f aca="false">_xlfn.BITAND(A433,1)</f>
        <v>1</v>
      </c>
      <c r="F433" s="1" t="str">
        <f aca="false">DEC2HEX(B433*$N$3*18)</f>
        <v>6780</v>
      </c>
      <c r="G433" s="1" t="str">
        <f aca="false">DEC2HEX(C433*7)</f>
        <v>38</v>
      </c>
      <c r="H433" s="1" t="str">
        <f aca="false">IF(D433=0, 33, "cc")</f>
        <v>cc</v>
      </c>
    </row>
    <row r="434" customFormat="false" ht="18.65" hidden="false" customHeight="true" outlineLevel="0" collapsed="false">
      <c r="A434" s="1" t="n">
        <f aca="false">ROW()-2</f>
        <v>432</v>
      </c>
      <c r="B434" s="1" t="n">
        <f aca="false">INT(A434/$N$1)</f>
        <v>24</v>
      </c>
      <c r="C434" s="1" t="n">
        <f aca="false">INT(MOD(A434,$N$1) / 2)</f>
        <v>0</v>
      </c>
      <c r="D434" s="1" t="n">
        <f aca="false">_xlfn.BITAND(A434,1)</f>
        <v>0</v>
      </c>
      <c r="F434" s="1" t="str">
        <f aca="false">DEC2HEX(B434*$N$3*18)</f>
        <v>6C00</v>
      </c>
      <c r="G434" s="1" t="str">
        <f aca="false">DEC2HEX(C434*7)</f>
        <v>0</v>
      </c>
      <c r="H434" s="1" t="n">
        <f aca="false">IF(D434=0, 33, "cc")</f>
        <v>33</v>
      </c>
    </row>
    <row r="435" customFormat="false" ht="18.65" hidden="false" customHeight="true" outlineLevel="0" collapsed="false">
      <c r="A435" s="1" t="n">
        <f aca="false">ROW()-2</f>
        <v>433</v>
      </c>
      <c r="B435" s="1" t="n">
        <f aca="false">INT(A435/$N$1)</f>
        <v>24</v>
      </c>
      <c r="C435" s="1" t="n">
        <f aca="false">INT(MOD(A435,$N$1) / 2)</f>
        <v>0</v>
      </c>
      <c r="D435" s="1" t="n">
        <f aca="false">_xlfn.BITAND(A435,1)</f>
        <v>1</v>
      </c>
      <c r="F435" s="1" t="str">
        <f aca="false">DEC2HEX(B435*$N$3*18)</f>
        <v>6C00</v>
      </c>
      <c r="G435" s="1" t="str">
        <f aca="false">DEC2HEX(C435*7)</f>
        <v>0</v>
      </c>
      <c r="H435" s="1" t="str">
        <f aca="false">IF(D435=0, 33, "cc")</f>
        <v>cc</v>
      </c>
    </row>
    <row r="436" customFormat="false" ht="18.65" hidden="false" customHeight="true" outlineLevel="0" collapsed="false">
      <c r="A436" s="1" t="n">
        <f aca="false">ROW()-2</f>
        <v>434</v>
      </c>
      <c r="B436" s="1" t="n">
        <f aca="false">INT(A436/$N$1)</f>
        <v>24</v>
      </c>
      <c r="C436" s="1" t="n">
        <f aca="false">INT(MOD(A436,$N$1) / 2)</f>
        <v>1</v>
      </c>
      <c r="D436" s="1" t="n">
        <f aca="false">_xlfn.BITAND(A436,1)</f>
        <v>0</v>
      </c>
      <c r="F436" s="1" t="str">
        <f aca="false">DEC2HEX(B436*$N$3*18)</f>
        <v>6C00</v>
      </c>
      <c r="G436" s="1" t="str">
        <f aca="false">DEC2HEX(C436*7)</f>
        <v>7</v>
      </c>
      <c r="H436" s="1" t="n">
        <f aca="false">IF(D436=0, 33, "cc")</f>
        <v>33</v>
      </c>
    </row>
    <row r="437" customFormat="false" ht="18.65" hidden="false" customHeight="true" outlineLevel="0" collapsed="false">
      <c r="A437" s="1" t="n">
        <f aca="false">ROW()-2</f>
        <v>435</v>
      </c>
      <c r="B437" s="1" t="n">
        <f aca="false">INT(A437/$N$1)</f>
        <v>24</v>
      </c>
      <c r="C437" s="1" t="n">
        <f aca="false">INT(MOD(A437,$N$1) / 2)</f>
        <v>1</v>
      </c>
      <c r="D437" s="1" t="n">
        <f aca="false">_xlfn.BITAND(A437,1)</f>
        <v>1</v>
      </c>
      <c r="F437" s="1" t="str">
        <f aca="false">DEC2HEX(B437*$N$3*18)</f>
        <v>6C00</v>
      </c>
      <c r="G437" s="1" t="str">
        <f aca="false">DEC2HEX(C437*7)</f>
        <v>7</v>
      </c>
      <c r="H437" s="1" t="str">
        <f aca="false">IF(D437=0, 33, "cc")</f>
        <v>cc</v>
      </c>
    </row>
    <row r="438" customFormat="false" ht="18.65" hidden="false" customHeight="true" outlineLevel="0" collapsed="false">
      <c r="A438" s="1" t="n">
        <f aca="false">ROW()-2</f>
        <v>436</v>
      </c>
      <c r="B438" s="1" t="n">
        <f aca="false">INT(A438/$N$1)</f>
        <v>24</v>
      </c>
      <c r="C438" s="1" t="n">
        <f aca="false">INT(MOD(A438,$N$1) / 2)</f>
        <v>2</v>
      </c>
      <c r="D438" s="1" t="n">
        <f aca="false">_xlfn.BITAND(A438,1)</f>
        <v>0</v>
      </c>
      <c r="F438" s="1" t="str">
        <f aca="false">DEC2HEX(B438*$N$3*18)</f>
        <v>6C00</v>
      </c>
      <c r="G438" s="1" t="str">
        <f aca="false">DEC2HEX(C438*7)</f>
        <v>E</v>
      </c>
      <c r="H438" s="1" t="n">
        <f aca="false">IF(D438=0, 33, "cc")</f>
        <v>33</v>
      </c>
    </row>
    <row r="439" customFormat="false" ht="18.65" hidden="false" customHeight="true" outlineLevel="0" collapsed="false">
      <c r="A439" s="1" t="n">
        <f aca="false">ROW()-2</f>
        <v>437</v>
      </c>
      <c r="B439" s="1" t="n">
        <f aca="false">INT(A439/$N$1)</f>
        <v>24</v>
      </c>
      <c r="C439" s="1" t="n">
        <f aca="false">INT(MOD(A439,$N$1) / 2)</f>
        <v>2</v>
      </c>
      <c r="D439" s="1" t="n">
        <f aca="false">_xlfn.BITAND(A439,1)</f>
        <v>1</v>
      </c>
      <c r="F439" s="1" t="str">
        <f aca="false">DEC2HEX(B439*$N$3*18)</f>
        <v>6C00</v>
      </c>
      <c r="G439" s="1" t="str">
        <f aca="false">DEC2HEX(C439*7)</f>
        <v>E</v>
      </c>
      <c r="H439" s="1" t="str">
        <f aca="false">IF(D439=0, 33, "cc")</f>
        <v>cc</v>
      </c>
    </row>
    <row r="440" customFormat="false" ht="18.65" hidden="false" customHeight="true" outlineLevel="0" collapsed="false">
      <c r="A440" s="1" t="n">
        <f aca="false">ROW()-2</f>
        <v>438</v>
      </c>
      <c r="B440" s="1" t="n">
        <f aca="false">INT(A440/$N$1)</f>
        <v>24</v>
      </c>
      <c r="C440" s="1" t="n">
        <f aca="false">INT(MOD(A440,$N$1) / 2)</f>
        <v>3</v>
      </c>
      <c r="D440" s="1" t="n">
        <f aca="false">_xlfn.BITAND(A440,1)</f>
        <v>0</v>
      </c>
      <c r="F440" s="1" t="str">
        <f aca="false">DEC2HEX(B440*$N$3*18)</f>
        <v>6C00</v>
      </c>
      <c r="G440" s="1" t="str">
        <f aca="false">DEC2HEX(C440*7)</f>
        <v>15</v>
      </c>
      <c r="H440" s="1" t="n">
        <f aca="false">IF(D440=0, 33, "cc")</f>
        <v>33</v>
      </c>
    </row>
    <row r="441" customFormat="false" ht="18.65" hidden="false" customHeight="true" outlineLevel="0" collapsed="false">
      <c r="A441" s="1" t="n">
        <f aca="false">ROW()-2</f>
        <v>439</v>
      </c>
      <c r="B441" s="1" t="n">
        <f aca="false">INT(A441/$N$1)</f>
        <v>24</v>
      </c>
      <c r="C441" s="1" t="n">
        <f aca="false">INT(MOD(A441,$N$1) / 2)</f>
        <v>3</v>
      </c>
      <c r="D441" s="1" t="n">
        <f aca="false">_xlfn.BITAND(A441,1)</f>
        <v>1</v>
      </c>
      <c r="F441" s="1" t="str">
        <f aca="false">DEC2HEX(B441*$N$3*18)</f>
        <v>6C00</v>
      </c>
      <c r="G441" s="1" t="str">
        <f aca="false">DEC2HEX(C441*7)</f>
        <v>15</v>
      </c>
      <c r="H441" s="1" t="str">
        <f aca="false">IF(D441=0, 33, "cc")</f>
        <v>cc</v>
      </c>
    </row>
    <row r="442" customFormat="false" ht="18.65" hidden="false" customHeight="true" outlineLevel="0" collapsed="false">
      <c r="A442" s="1" t="n">
        <f aca="false">ROW()-2</f>
        <v>440</v>
      </c>
      <c r="B442" s="1" t="n">
        <f aca="false">INT(A442/$N$1)</f>
        <v>24</v>
      </c>
      <c r="C442" s="1" t="n">
        <f aca="false">INT(MOD(A442,$N$1) / 2)</f>
        <v>4</v>
      </c>
      <c r="D442" s="1" t="n">
        <f aca="false">_xlfn.BITAND(A442,1)</f>
        <v>0</v>
      </c>
      <c r="F442" s="1" t="str">
        <f aca="false">DEC2HEX(B442*$N$3*18)</f>
        <v>6C00</v>
      </c>
      <c r="G442" s="1" t="str">
        <f aca="false">DEC2HEX(C442*7)</f>
        <v>1C</v>
      </c>
      <c r="H442" s="1" t="n">
        <f aca="false">IF(D442=0, 33, "cc")</f>
        <v>33</v>
      </c>
    </row>
    <row r="443" customFormat="false" ht="18.65" hidden="false" customHeight="true" outlineLevel="0" collapsed="false">
      <c r="A443" s="1" t="n">
        <f aca="false">ROW()-2</f>
        <v>441</v>
      </c>
      <c r="B443" s="1" t="n">
        <f aca="false">INT(A443/$N$1)</f>
        <v>24</v>
      </c>
      <c r="C443" s="1" t="n">
        <f aca="false">INT(MOD(A443,$N$1) / 2)</f>
        <v>4</v>
      </c>
      <c r="D443" s="1" t="n">
        <f aca="false">_xlfn.BITAND(A443,1)</f>
        <v>1</v>
      </c>
      <c r="F443" s="1" t="str">
        <f aca="false">DEC2HEX(B443*$N$3*18)</f>
        <v>6C00</v>
      </c>
      <c r="G443" s="1" t="str">
        <f aca="false">DEC2HEX(C443*7)</f>
        <v>1C</v>
      </c>
      <c r="H443" s="1" t="str">
        <f aca="false">IF(D443=0, 33, "cc")</f>
        <v>cc</v>
      </c>
    </row>
    <row r="444" customFormat="false" ht="18.65" hidden="false" customHeight="true" outlineLevel="0" collapsed="false">
      <c r="A444" s="1" t="n">
        <f aca="false">ROW()-2</f>
        <v>442</v>
      </c>
      <c r="B444" s="1" t="n">
        <f aca="false">INT(A444/$N$1)</f>
        <v>24</v>
      </c>
      <c r="C444" s="1" t="n">
        <f aca="false">INT(MOD(A444,$N$1) / 2)</f>
        <v>5</v>
      </c>
      <c r="D444" s="1" t="n">
        <f aca="false">_xlfn.BITAND(A444,1)</f>
        <v>0</v>
      </c>
      <c r="F444" s="1" t="str">
        <f aca="false">DEC2HEX(B444*$N$3*18)</f>
        <v>6C00</v>
      </c>
      <c r="G444" s="1" t="str">
        <f aca="false">DEC2HEX(C444*7)</f>
        <v>23</v>
      </c>
      <c r="H444" s="1" t="n">
        <f aca="false">IF(D444=0, 33, "cc")</f>
        <v>33</v>
      </c>
    </row>
    <row r="445" customFormat="false" ht="18.65" hidden="false" customHeight="true" outlineLevel="0" collapsed="false">
      <c r="A445" s="1" t="n">
        <f aca="false">ROW()-2</f>
        <v>443</v>
      </c>
      <c r="B445" s="1" t="n">
        <f aca="false">INT(A445/$N$1)</f>
        <v>24</v>
      </c>
      <c r="C445" s="1" t="n">
        <f aca="false">INT(MOD(A445,$N$1) / 2)</f>
        <v>5</v>
      </c>
      <c r="D445" s="1" t="n">
        <f aca="false">_xlfn.BITAND(A445,1)</f>
        <v>1</v>
      </c>
      <c r="F445" s="1" t="str">
        <f aca="false">DEC2HEX(B445*$N$3*18)</f>
        <v>6C00</v>
      </c>
      <c r="G445" s="1" t="str">
        <f aca="false">DEC2HEX(C445*7)</f>
        <v>23</v>
      </c>
      <c r="H445" s="1" t="str">
        <f aca="false">IF(D445=0, 33, "cc")</f>
        <v>cc</v>
      </c>
    </row>
    <row r="446" customFormat="false" ht="18.65" hidden="false" customHeight="true" outlineLevel="0" collapsed="false">
      <c r="A446" s="1" t="n">
        <f aca="false">ROW()-2</f>
        <v>444</v>
      </c>
      <c r="B446" s="1" t="n">
        <f aca="false">INT(A446/$N$1)</f>
        <v>24</v>
      </c>
      <c r="C446" s="1" t="n">
        <f aca="false">INT(MOD(A446,$N$1) / 2)</f>
        <v>6</v>
      </c>
      <c r="D446" s="1" t="n">
        <f aca="false">_xlfn.BITAND(A446,1)</f>
        <v>0</v>
      </c>
      <c r="F446" s="1" t="str">
        <f aca="false">DEC2HEX(B446*$N$3*18)</f>
        <v>6C00</v>
      </c>
      <c r="G446" s="1" t="str">
        <f aca="false">DEC2HEX(C446*7)</f>
        <v>2A</v>
      </c>
      <c r="H446" s="1" t="n">
        <f aca="false">IF(D446=0, 33, "cc")</f>
        <v>33</v>
      </c>
    </row>
    <row r="447" customFormat="false" ht="18.65" hidden="false" customHeight="true" outlineLevel="0" collapsed="false">
      <c r="A447" s="1" t="n">
        <f aca="false">ROW()-2</f>
        <v>445</v>
      </c>
      <c r="B447" s="1" t="n">
        <f aca="false">INT(A447/$N$1)</f>
        <v>24</v>
      </c>
      <c r="C447" s="1" t="n">
        <f aca="false">INT(MOD(A447,$N$1) / 2)</f>
        <v>6</v>
      </c>
      <c r="D447" s="1" t="n">
        <f aca="false">_xlfn.BITAND(A447,1)</f>
        <v>1</v>
      </c>
      <c r="F447" s="1" t="str">
        <f aca="false">DEC2HEX(B447*$N$3*18)</f>
        <v>6C00</v>
      </c>
      <c r="G447" s="1" t="str">
        <f aca="false">DEC2HEX(C447*7)</f>
        <v>2A</v>
      </c>
      <c r="H447" s="1" t="str">
        <f aca="false">IF(D447=0, 33, "cc")</f>
        <v>cc</v>
      </c>
    </row>
    <row r="448" customFormat="false" ht="18.65" hidden="false" customHeight="true" outlineLevel="0" collapsed="false">
      <c r="A448" s="1" t="n">
        <f aca="false">ROW()-2</f>
        <v>446</v>
      </c>
      <c r="B448" s="1" t="n">
        <f aca="false">INT(A448/$N$1)</f>
        <v>24</v>
      </c>
      <c r="C448" s="1" t="n">
        <f aca="false">INT(MOD(A448,$N$1) / 2)</f>
        <v>7</v>
      </c>
      <c r="D448" s="1" t="n">
        <f aca="false">_xlfn.BITAND(A448,1)</f>
        <v>0</v>
      </c>
      <c r="F448" s="1" t="str">
        <f aca="false">DEC2HEX(B448*$N$3*18)</f>
        <v>6C00</v>
      </c>
      <c r="G448" s="1" t="str">
        <f aca="false">DEC2HEX(C448*7)</f>
        <v>31</v>
      </c>
      <c r="H448" s="1" t="n">
        <f aca="false">IF(D448=0, 33, "cc")</f>
        <v>33</v>
      </c>
    </row>
    <row r="449" customFormat="false" ht="18.65" hidden="false" customHeight="true" outlineLevel="0" collapsed="false">
      <c r="A449" s="1" t="n">
        <f aca="false">ROW()-2</f>
        <v>447</v>
      </c>
      <c r="B449" s="1" t="n">
        <f aca="false">INT(A449/$N$1)</f>
        <v>24</v>
      </c>
      <c r="C449" s="1" t="n">
        <f aca="false">INT(MOD(A449,$N$1) / 2)</f>
        <v>7</v>
      </c>
      <c r="D449" s="1" t="n">
        <f aca="false">_xlfn.BITAND(A449,1)</f>
        <v>1</v>
      </c>
      <c r="F449" s="1" t="str">
        <f aca="false">DEC2HEX(B449*$N$3*18)</f>
        <v>6C00</v>
      </c>
      <c r="G449" s="1" t="str">
        <f aca="false">DEC2HEX(C449*7)</f>
        <v>31</v>
      </c>
      <c r="H449" s="1" t="str">
        <f aca="false">IF(D449=0, 33, "cc")</f>
        <v>cc</v>
      </c>
    </row>
    <row r="450" customFormat="false" ht="18.65" hidden="false" customHeight="true" outlineLevel="0" collapsed="false">
      <c r="A450" s="1" t="n">
        <f aca="false">ROW()-2</f>
        <v>448</v>
      </c>
      <c r="B450" s="1" t="n">
        <f aca="false">INT(A450/$N$1)</f>
        <v>24</v>
      </c>
      <c r="C450" s="1" t="n">
        <f aca="false">INT(MOD(A450,$N$1) / 2)</f>
        <v>8</v>
      </c>
      <c r="D450" s="1" t="n">
        <f aca="false">_xlfn.BITAND(A450,1)</f>
        <v>0</v>
      </c>
      <c r="F450" s="1" t="str">
        <f aca="false">DEC2HEX(B450*$N$3*18)</f>
        <v>6C00</v>
      </c>
      <c r="G450" s="1" t="str">
        <f aca="false">DEC2HEX(C450*7)</f>
        <v>38</v>
      </c>
      <c r="H450" s="1" t="n">
        <f aca="false">IF(D450=0, 33, "cc")</f>
        <v>33</v>
      </c>
    </row>
    <row r="451" customFormat="false" ht="18.65" hidden="false" customHeight="true" outlineLevel="0" collapsed="false">
      <c r="A451" s="1" t="n">
        <f aca="false">ROW()-2</f>
        <v>449</v>
      </c>
      <c r="B451" s="1" t="n">
        <f aca="false">INT(A451/$N$1)</f>
        <v>24</v>
      </c>
      <c r="C451" s="1" t="n">
        <f aca="false">INT(MOD(A451,$N$1) / 2)</f>
        <v>8</v>
      </c>
      <c r="D451" s="1" t="n">
        <f aca="false">_xlfn.BITAND(A451,1)</f>
        <v>1</v>
      </c>
      <c r="F451" s="1" t="str">
        <f aca="false">DEC2HEX(B451*$N$3*18)</f>
        <v>6C00</v>
      </c>
      <c r="G451" s="1" t="str">
        <f aca="false">DEC2HEX(C451*7)</f>
        <v>38</v>
      </c>
      <c r="H451" s="1" t="str">
        <f aca="false">IF(D451=0, 33, "cc")</f>
        <v>cc</v>
      </c>
    </row>
    <row r="452" customFormat="false" ht="18.65" hidden="false" customHeight="true" outlineLevel="0" collapsed="false">
      <c r="A452" s="1" t="n">
        <f aca="false">ROW()-2</f>
        <v>450</v>
      </c>
      <c r="B452" s="1" t="n">
        <f aca="false">INT(A452/$N$1)</f>
        <v>25</v>
      </c>
      <c r="C452" s="1" t="n">
        <f aca="false">INT(MOD(A452,$N$1) / 2)</f>
        <v>0</v>
      </c>
      <c r="D452" s="1" t="n">
        <f aca="false">_xlfn.BITAND(A452,1)</f>
        <v>0</v>
      </c>
      <c r="F452" s="1" t="str">
        <f aca="false">DEC2HEX(B452*$N$3*18)</f>
        <v>7080</v>
      </c>
      <c r="G452" s="1" t="str">
        <f aca="false">DEC2HEX(C452*7)</f>
        <v>0</v>
      </c>
      <c r="H452" s="1" t="n">
        <f aca="false">IF(D452=0, 33, "cc")</f>
        <v>33</v>
      </c>
    </row>
    <row r="453" customFormat="false" ht="18.65" hidden="false" customHeight="true" outlineLevel="0" collapsed="false">
      <c r="A453" s="1" t="n">
        <f aca="false">ROW()-2</f>
        <v>451</v>
      </c>
      <c r="B453" s="1" t="n">
        <f aca="false">INT(A453/$N$1)</f>
        <v>25</v>
      </c>
      <c r="C453" s="1" t="n">
        <f aca="false">INT(MOD(A453,$N$1) / 2)</f>
        <v>0</v>
      </c>
      <c r="D453" s="1" t="n">
        <f aca="false">_xlfn.BITAND(A453,1)</f>
        <v>1</v>
      </c>
      <c r="F453" s="1" t="str">
        <f aca="false">DEC2HEX(B453*$N$3*18)</f>
        <v>7080</v>
      </c>
      <c r="G453" s="1" t="str">
        <f aca="false">DEC2HEX(C453*7)</f>
        <v>0</v>
      </c>
      <c r="H453" s="1" t="str">
        <f aca="false">IF(D453=0, 33, "cc")</f>
        <v>cc</v>
      </c>
    </row>
    <row r="454" customFormat="false" ht="18.65" hidden="false" customHeight="true" outlineLevel="0" collapsed="false">
      <c r="A454" s="1" t="n">
        <f aca="false">ROW()-2</f>
        <v>452</v>
      </c>
      <c r="B454" s="1" t="n">
        <f aca="false">INT(A454/$N$1)</f>
        <v>25</v>
      </c>
      <c r="C454" s="1" t="n">
        <f aca="false">INT(MOD(A454,$N$1) / 2)</f>
        <v>1</v>
      </c>
      <c r="D454" s="1" t="n">
        <f aca="false">_xlfn.BITAND(A454,1)</f>
        <v>0</v>
      </c>
      <c r="F454" s="1" t="str">
        <f aca="false">DEC2HEX(B454*$N$3*18)</f>
        <v>7080</v>
      </c>
      <c r="G454" s="1" t="str">
        <f aca="false">DEC2HEX(C454*7)</f>
        <v>7</v>
      </c>
      <c r="H454" s="1" t="n">
        <f aca="false">IF(D454=0, 33, "cc")</f>
        <v>33</v>
      </c>
    </row>
    <row r="455" customFormat="false" ht="18.65" hidden="false" customHeight="true" outlineLevel="0" collapsed="false">
      <c r="A455" s="1" t="n">
        <f aca="false">ROW()-2</f>
        <v>453</v>
      </c>
      <c r="B455" s="1" t="n">
        <f aca="false">INT(A455/$N$1)</f>
        <v>25</v>
      </c>
      <c r="C455" s="1" t="n">
        <f aca="false">INT(MOD(A455,$N$1) / 2)</f>
        <v>1</v>
      </c>
      <c r="D455" s="1" t="n">
        <f aca="false">_xlfn.BITAND(A455,1)</f>
        <v>1</v>
      </c>
      <c r="F455" s="1" t="str">
        <f aca="false">DEC2HEX(B455*$N$3*18)</f>
        <v>7080</v>
      </c>
      <c r="G455" s="1" t="str">
        <f aca="false">DEC2HEX(C455*7)</f>
        <v>7</v>
      </c>
      <c r="H455" s="1" t="str">
        <f aca="false">IF(D455=0, 33, "cc")</f>
        <v>cc</v>
      </c>
    </row>
    <row r="456" customFormat="false" ht="18.65" hidden="false" customHeight="true" outlineLevel="0" collapsed="false">
      <c r="A456" s="1" t="n">
        <f aca="false">ROW()-2</f>
        <v>454</v>
      </c>
      <c r="B456" s="1" t="n">
        <f aca="false">INT(A456/$N$1)</f>
        <v>25</v>
      </c>
      <c r="C456" s="1" t="n">
        <f aca="false">INT(MOD(A456,$N$1) / 2)</f>
        <v>2</v>
      </c>
      <c r="D456" s="1" t="n">
        <f aca="false">_xlfn.BITAND(A456,1)</f>
        <v>0</v>
      </c>
      <c r="F456" s="1" t="str">
        <f aca="false">DEC2HEX(B456*$N$3*18)</f>
        <v>7080</v>
      </c>
      <c r="G456" s="1" t="str">
        <f aca="false">DEC2HEX(C456*7)</f>
        <v>E</v>
      </c>
      <c r="H456" s="1" t="n">
        <f aca="false">IF(D456=0, 33, "cc")</f>
        <v>33</v>
      </c>
    </row>
    <row r="457" customFormat="false" ht="18.65" hidden="false" customHeight="true" outlineLevel="0" collapsed="false">
      <c r="A457" s="1" t="n">
        <f aca="false">ROW()-2</f>
        <v>455</v>
      </c>
      <c r="B457" s="1" t="n">
        <f aca="false">INT(A457/$N$1)</f>
        <v>25</v>
      </c>
      <c r="C457" s="1" t="n">
        <f aca="false">INT(MOD(A457,$N$1) / 2)</f>
        <v>2</v>
      </c>
      <c r="D457" s="1" t="n">
        <f aca="false">_xlfn.BITAND(A457,1)</f>
        <v>1</v>
      </c>
      <c r="F457" s="1" t="str">
        <f aca="false">DEC2HEX(B457*$N$3*18)</f>
        <v>7080</v>
      </c>
      <c r="G457" s="1" t="str">
        <f aca="false">DEC2HEX(C457*7)</f>
        <v>E</v>
      </c>
      <c r="H457" s="1" t="str">
        <f aca="false">IF(D457=0, 33, "cc")</f>
        <v>cc</v>
      </c>
    </row>
    <row r="458" customFormat="false" ht="18.65" hidden="false" customHeight="true" outlineLevel="0" collapsed="false">
      <c r="A458" s="1" t="n">
        <f aca="false">ROW()-2</f>
        <v>456</v>
      </c>
      <c r="B458" s="1" t="n">
        <f aca="false">INT(A458/$N$1)</f>
        <v>25</v>
      </c>
      <c r="C458" s="1" t="n">
        <f aca="false">INT(MOD(A458,$N$1) / 2)</f>
        <v>3</v>
      </c>
      <c r="D458" s="1" t="n">
        <f aca="false">_xlfn.BITAND(A458,1)</f>
        <v>0</v>
      </c>
      <c r="F458" s="1" t="str">
        <f aca="false">DEC2HEX(B458*$N$3*18)</f>
        <v>7080</v>
      </c>
      <c r="G458" s="1" t="str">
        <f aca="false">DEC2HEX(C458*7)</f>
        <v>15</v>
      </c>
      <c r="H458" s="1" t="n">
        <f aca="false">IF(D458=0, 33, "cc")</f>
        <v>33</v>
      </c>
    </row>
    <row r="459" customFormat="false" ht="18.65" hidden="false" customHeight="true" outlineLevel="0" collapsed="false">
      <c r="A459" s="1" t="n">
        <f aca="false">ROW()-2</f>
        <v>457</v>
      </c>
      <c r="B459" s="1" t="n">
        <f aca="false">INT(A459/$N$1)</f>
        <v>25</v>
      </c>
      <c r="C459" s="1" t="n">
        <f aca="false">INT(MOD(A459,$N$1) / 2)</f>
        <v>3</v>
      </c>
      <c r="D459" s="1" t="n">
        <f aca="false">_xlfn.BITAND(A459,1)</f>
        <v>1</v>
      </c>
      <c r="F459" s="1" t="str">
        <f aca="false">DEC2HEX(B459*$N$3*18)</f>
        <v>7080</v>
      </c>
      <c r="G459" s="1" t="str">
        <f aca="false">DEC2HEX(C459*7)</f>
        <v>15</v>
      </c>
      <c r="H459" s="1" t="str">
        <f aca="false">IF(D459=0, 33, "cc")</f>
        <v>cc</v>
      </c>
    </row>
    <row r="460" customFormat="false" ht="18.65" hidden="false" customHeight="true" outlineLevel="0" collapsed="false">
      <c r="A460" s="1" t="n">
        <f aca="false">ROW()-2</f>
        <v>458</v>
      </c>
      <c r="B460" s="1" t="n">
        <f aca="false">INT(A460/$N$1)</f>
        <v>25</v>
      </c>
      <c r="C460" s="1" t="n">
        <f aca="false">INT(MOD(A460,$N$1) / 2)</f>
        <v>4</v>
      </c>
      <c r="D460" s="1" t="n">
        <f aca="false">_xlfn.BITAND(A460,1)</f>
        <v>0</v>
      </c>
      <c r="F460" s="1" t="str">
        <f aca="false">DEC2HEX(B460*$N$3*18)</f>
        <v>7080</v>
      </c>
      <c r="G460" s="1" t="str">
        <f aca="false">DEC2HEX(C460*7)</f>
        <v>1C</v>
      </c>
      <c r="H460" s="1" t="n">
        <f aca="false">IF(D460=0, 33, "cc")</f>
        <v>33</v>
      </c>
    </row>
    <row r="461" customFormat="false" ht="18.65" hidden="false" customHeight="true" outlineLevel="0" collapsed="false">
      <c r="A461" s="1" t="n">
        <f aca="false">ROW()-2</f>
        <v>459</v>
      </c>
      <c r="B461" s="1" t="n">
        <f aca="false">INT(A461/$N$1)</f>
        <v>25</v>
      </c>
      <c r="C461" s="1" t="n">
        <f aca="false">INT(MOD(A461,$N$1) / 2)</f>
        <v>4</v>
      </c>
      <c r="D461" s="1" t="n">
        <f aca="false">_xlfn.BITAND(A461,1)</f>
        <v>1</v>
      </c>
      <c r="F461" s="1" t="str">
        <f aca="false">DEC2HEX(B461*$N$3*18)</f>
        <v>7080</v>
      </c>
      <c r="G461" s="1" t="str">
        <f aca="false">DEC2HEX(C461*7)</f>
        <v>1C</v>
      </c>
      <c r="H461" s="1" t="str">
        <f aca="false">IF(D461=0, 33, "cc")</f>
        <v>cc</v>
      </c>
    </row>
    <row r="462" customFormat="false" ht="18.65" hidden="false" customHeight="true" outlineLevel="0" collapsed="false">
      <c r="A462" s="1" t="n">
        <f aca="false">ROW()-2</f>
        <v>460</v>
      </c>
      <c r="B462" s="1" t="n">
        <f aca="false">INT(A462/$N$1)</f>
        <v>25</v>
      </c>
      <c r="C462" s="1" t="n">
        <f aca="false">INT(MOD(A462,$N$1) / 2)</f>
        <v>5</v>
      </c>
      <c r="D462" s="1" t="n">
        <f aca="false">_xlfn.BITAND(A462,1)</f>
        <v>0</v>
      </c>
      <c r="F462" s="1" t="str">
        <f aca="false">DEC2HEX(B462*$N$3*18)</f>
        <v>7080</v>
      </c>
      <c r="G462" s="1" t="str">
        <f aca="false">DEC2HEX(C462*7)</f>
        <v>23</v>
      </c>
      <c r="H462" s="1" t="n">
        <f aca="false">IF(D462=0, 33, "cc")</f>
        <v>33</v>
      </c>
    </row>
    <row r="463" customFormat="false" ht="18.65" hidden="false" customHeight="true" outlineLevel="0" collapsed="false">
      <c r="A463" s="1" t="n">
        <f aca="false">ROW()-2</f>
        <v>461</v>
      </c>
      <c r="B463" s="1" t="n">
        <f aca="false">INT(A463/$N$1)</f>
        <v>25</v>
      </c>
      <c r="C463" s="1" t="n">
        <f aca="false">INT(MOD(A463,$N$1) / 2)</f>
        <v>5</v>
      </c>
      <c r="D463" s="1" t="n">
        <f aca="false">_xlfn.BITAND(A463,1)</f>
        <v>1</v>
      </c>
      <c r="F463" s="1" t="str">
        <f aca="false">DEC2HEX(B463*$N$3*18)</f>
        <v>7080</v>
      </c>
      <c r="G463" s="1" t="str">
        <f aca="false">DEC2HEX(C463*7)</f>
        <v>23</v>
      </c>
      <c r="H463" s="1" t="str">
        <f aca="false">IF(D463=0, 33, "cc")</f>
        <v>cc</v>
      </c>
    </row>
    <row r="464" customFormat="false" ht="18.65" hidden="false" customHeight="true" outlineLevel="0" collapsed="false">
      <c r="A464" s="1" t="n">
        <f aca="false">ROW()-2</f>
        <v>462</v>
      </c>
      <c r="B464" s="1" t="n">
        <f aca="false">INT(A464/$N$1)</f>
        <v>25</v>
      </c>
      <c r="C464" s="1" t="n">
        <f aca="false">INT(MOD(A464,$N$1) / 2)</f>
        <v>6</v>
      </c>
      <c r="D464" s="1" t="n">
        <f aca="false">_xlfn.BITAND(A464,1)</f>
        <v>0</v>
      </c>
      <c r="F464" s="1" t="str">
        <f aca="false">DEC2HEX(B464*$N$3*18)</f>
        <v>7080</v>
      </c>
      <c r="G464" s="1" t="str">
        <f aca="false">DEC2HEX(C464*7)</f>
        <v>2A</v>
      </c>
      <c r="H464" s="1" t="n">
        <f aca="false">IF(D464=0, 33, "cc")</f>
        <v>33</v>
      </c>
    </row>
    <row r="465" customFormat="false" ht="18.65" hidden="false" customHeight="true" outlineLevel="0" collapsed="false">
      <c r="A465" s="1" t="n">
        <f aca="false">ROW()-2</f>
        <v>463</v>
      </c>
      <c r="B465" s="1" t="n">
        <f aca="false">INT(A465/$N$1)</f>
        <v>25</v>
      </c>
      <c r="C465" s="1" t="n">
        <f aca="false">INT(MOD(A465,$N$1) / 2)</f>
        <v>6</v>
      </c>
      <c r="D465" s="1" t="n">
        <f aca="false">_xlfn.BITAND(A465,1)</f>
        <v>1</v>
      </c>
      <c r="F465" s="1" t="str">
        <f aca="false">DEC2HEX(B465*$N$3*18)</f>
        <v>7080</v>
      </c>
      <c r="G465" s="1" t="str">
        <f aca="false">DEC2HEX(C465*7)</f>
        <v>2A</v>
      </c>
      <c r="H465" s="1" t="str">
        <f aca="false">IF(D465=0, 33, "cc")</f>
        <v>cc</v>
      </c>
    </row>
    <row r="466" customFormat="false" ht="18.65" hidden="false" customHeight="true" outlineLevel="0" collapsed="false">
      <c r="A466" s="1" t="n">
        <f aca="false">ROW()-2</f>
        <v>464</v>
      </c>
      <c r="B466" s="1" t="n">
        <f aca="false">INT(A466/$N$1)</f>
        <v>25</v>
      </c>
      <c r="C466" s="1" t="n">
        <f aca="false">INT(MOD(A466,$N$1) / 2)</f>
        <v>7</v>
      </c>
      <c r="D466" s="1" t="n">
        <f aca="false">_xlfn.BITAND(A466,1)</f>
        <v>0</v>
      </c>
      <c r="F466" s="1" t="str">
        <f aca="false">DEC2HEX(B466*$N$3*18)</f>
        <v>7080</v>
      </c>
      <c r="G466" s="1" t="str">
        <f aca="false">DEC2HEX(C466*7)</f>
        <v>31</v>
      </c>
      <c r="H466" s="1" t="n">
        <f aca="false">IF(D466=0, 33, "cc")</f>
        <v>33</v>
      </c>
    </row>
    <row r="467" customFormat="false" ht="18.65" hidden="false" customHeight="true" outlineLevel="0" collapsed="false">
      <c r="A467" s="1" t="n">
        <f aca="false">ROW()-2</f>
        <v>465</v>
      </c>
      <c r="B467" s="1" t="n">
        <f aca="false">INT(A467/$N$1)</f>
        <v>25</v>
      </c>
      <c r="C467" s="1" t="n">
        <f aca="false">INT(MOD(A467,$N$1) / 2)</f>
        <v>7</v>
      </c>
      <c r="D467" s="1" t="n">
        <f aca="false">_xlfn.BITAND(A467,1)</f>
        <v>1</v>
      </c>
      <c r="F467" s="1" t="str">
        <f aca="false">DEC2HEX(B467*$N$3*18)</f>
        <v>7080</v>
      </c>
      <c r="G467" s="1" t="str">
        <f aca="false">DEC2HEX(C467*7)</f>
        <v>31</v>
      </c>
      <c r="H467" s="1" t="str">
        <f aca="false">IF(D467=0, 33, "cc")</f>
        <v>cc</v>
      </c>
    </row>
    <row r="468" customFormat="false" ht="18.65" hidden="false" customHeight="true" outlineLevel="0" collapsed="false">
      <c r="A468" s="1" t="n">
        <f aca="false">ROW()-2</f>
        <v>466</v>
      </c>
      <c r="B468" s="1" t="n">
        <f aca="false">INT(A468/$N$1)</f>
        <v>25</v>
      </c>
      <c r="C468" s="1" t="n">
        <f aca="false">INT(MOD(A468,$N$1) / 2)</f>
        <v>8</v>
      </c>
      <c r="D468" s="1" t="n">
        <f aca="false">_xlfn.BITAND(A468,1)</f>
        <v>0</v>
      </c>
      <c r="F468" s="1" t="str">
        <f aca="false">DEC2HEX(B468*$N$3*18)</f>
        <v>7080</v>
      </c>
      <c r="G468" s="1" t="str">
        <f aca="false">DEC2HEX(C468*7)</f>
        <v>38</v>
      </c>
      <c r="H468" s="1" t="n">
        <f aca="false">IF(D468=0, 33, "cc")</f>
        <v>33</v>
      </c>
    </row>
    <row r="469" customFormat="false" ht="18.65" hidden="false" customHeight="true" outlineLevel="0" collapsed="false">
      <c r="A469" s="1" t="n">
        <f aca="false">ROW()-2</f>
        <v>467</v>
      </c>
      <c r="B469" s="1" t="n">
        <f aca="false">INT(A469/$N$1)</f>
        <v>25</v>
      </c>
      <c r="C469" s="1" t="n">
        <f aca="false">INT(MOD(A469,$N$1) / 2)</f>
        <v>8</v>
      </c>
      <c r="D469" s="1" t="n">
        <f aca="false">_xlfn.BITAND(A469,1)</f>
        <v>1</v>
      </c>
      <c r="F469" s="1" t="str">
        <f aca="false">DEC2HEX(B469*$N$3*18)</f>
        <v>7080</v>
      </c>
      <c r="G469" s="1" t="str">
        <f aca="false">DEC2HEX(C469*7)</f>
        <v>38</v>
      </c>
      <c r="H469" s="1" t="str">
        <f aca="false">IF(D469=0, 33, "cc")</f>
        <v>cc</v>
      </c>
    </row>
    <row r="470" customFormat="false" ht="18.65" hidden="false" customHeight="true" outlineLevel="0" collapsed="false">
      <c r="A470" s="1" t="n">
        <f aca="false">ROW()-2</f>
        <v>468</v>
      </c>
      <c r="B470" s="1" t="n">
        <f aca="false">INT(A470/$N$1)</f>
        <v>26</v>
      </c>
      <c r="C470" s="1" t="n">
        <f aca="false">INT(MOD(A470,$N$1) / 2)</f>
        <v>0</v>
      </c>
      <c r="D470" s="1" t="n">
        <f aca="false">_xlfn.BITAND(A470,1)</f>
        <v>0</v>
      </c>
      <c r="F470" s="1" t="str">
        <f aca="false">DEC2HEX(B470*$N$3*18)</f>
        <v>7500</v>
      </c>
      <c r="G470" s="1" t="str">
        <f aca="false">DEC2HEX(C470*7)</f>
        <v>0</v>
      </c>
      <c r="H470" s="1" t="n">
        <f aca="false">IF(D470=0, 33, "cc")</f>
        <v>33</v>
      </c>
    </row>
    <row r="471" customFormat="false" ht="18.65" hidden="false" customHeight="true" outlineLevel="0" collapsed="false">
      <c r="A471" s="1" t="n">
        <f aca="false">ROW()-2</f>
        <v>469</v>
      </c>
      <c r="B471" s="1" t="n">
        <f aca="false">INT(A471/$N$1)</f>
        <v>26</v>
      </c>
      <c r="C471" s="1" t="n">
        <f aca="false">INT(MOD(A471,$N$1) / 2)</f>
        <v>0</v>
      </c>
      <c r="D471" s="1" t="n">
        <f aca="false">_xlfn.BITAND(A471,1)</f>
        <v>1</v>
      </c>
      <c r="F471" s="1" t="str">
        <f aca="false">DEC2HEX(B471*$N$3*18)</f>
        <v>7500</v>
      </c>
      <c r="G471" s="1" t="str">
        <f aca="false">DEC2HEX(C471*7)</f>
        <v>0</v>
      </c>
      <c r="H471" s="1" t="str">
        <f aca="false">IF(D471=0, 33, "cc")</f>
        <v>cc</v>
      </c>
    </row>
    <row r="472" customFormat="false" ht="18.65" hidden="false" customHeight="true" outlineLevel="0" collapsed="false">
      <c r="A472" s="1" t="n">
        <f aca="false">ROW()-2</f>
        <v>470</v>
      </c>
      <c r="B472" s="1" t="n">
        <f aca="false">INT(A472/$N$1)</f>
        <v>26</v>
      </c>
      <c r="C472" s="1" t="n">
        <f aca="false">INT(MOD(A472,$N$1) / 2)</f>
        <v>1</v>
      </c>
      <c r="D472" s="1" t="n">
        <f aca="false">_xlfn.BITAND(A472,1)</f>
        <v>0</v>
      </c>
      <c r="F472" s="1" t="str">
        <f aca="false">DEC2HEX(B472*$N$3*18)</f>
        <v>7500</v>
      </c>
      <c r="G472" s="1" t="str">
        <f aca="false">DEC2HEX(C472*7)</f>
        <v>7</v>
      </c>
      <c r="H472" s="1" t="n">
        <f aca="false">IF(D472=0, 33, "cc")</f>
        <v>33</v>
      </c>
    </row>
    <row r="473" customFormat="false" ht="18.65" hidden="false" customHeight="true" outlineLevel="0" collapsed="false">
      <c r="A473" s="1" t="n">
        <f aca="false">ROW()-2</f>
        <v>471</v>
      </c>
      <c r="B473" s="1" t="n">
        <f aca="false">INT(A473/$N$1)</f>
        <v>26</v>
      </c>
      <c r="C473" s="1" t="n">
        <f aca="false">INT(MOD(A473,$N$1) / 2)</f>
        <v>1</v>
      </c>
      <c r="D473" s="1" t="n">
        <f aca="false">_xlfn.BITAND(A473,1)</f>
        <v>1</v>
      </c>
      <c r="F473" s="1" t="str">
        <f aca="false">DEC2HEX(B473*$N$3*18)</f>
        <v>7500</v>
      </c>
      <c r="G473" s="1" t="str">
        <f aca="false">DEC2HEX(C473*7)</f>
        <v>7</v>
      </c>
      <c r="H473" s="1" t="str">
        <f aca="false">IF(D473=0, 33, "cc")</f>
        <v>cc</v>
      </c>
    </row>
    <row r="474" customFormat="false" ht="18.65" hidden="false" customHeight="true" outlineLevel="0" collapsed="false">
      <c r="A474" s="1" t="n">
        <f aca="false">ROW()-2</f>
        <v>472</v>
      </c>
      <c r="B474" s="1" t="n">
        <f aca="false">INT(A474/$N$1)</f>
        <v>26</v>
      </c>
      <c r="C474" s="1" t="n">
        <f aca="false">INT(MOD(A474,$N$1) / 2)</f>
        <v>2</v>
      </c>
      <c r="D474" s="1" t="n">
        <f aca="false">_xlfn.BITAND(A474,1)</f>
        <v>0</v>
      </c>
      <c r="F474" s="1" t="str">
        <f aca="false">DEC2HEX(B474*$N$3*18)</f>
        <v>7500</v>
      </c>
      <c r="G474" s="1" t="str">
        <f aca="false">DEC2HEX(C474*7)</f>
        <v>E</v>
      </c>
      <c r="H474" s="1" t="n">
        <f aca="false">IF(D474=0, 33, "cc")</f>
        <v>33</v>
      </c>
    </row>
    <row r="475" customFormat="false" ht="18.65" hidden="false" customHeight="true" outlineLevel="0" collapsed="false">
      <c r="A475" s="1" t="n">
        <f aca="false">ROW()-2</f>
        <v>473</v>
      </c>
      <c r="B475" s="1" t="n">
        <f aca="false">INT(A475/$N$1)</f>
        <v>26</v>
      </c>
      <c r="C475" s="1" t="n">
        <f aca="false">INT(MOD(A475,$N$1) / 2)</f>
        <v>2</v>
      </c>
      <c r="D475" s="1" t="n">
        <f aca="false">_xlfn.BITAND(A475,1)</f>
        <v>1</v>
      </c>
      <c r="F475" s="1" t="str">
        <f aca="false">DEC2HEX(B475*$N$3*18)</f>
        <v>7500</v>
      </c>
      <c r="G475" s="1" t="str">
        <f aca="false">DEC2HEX(C475*7)</f>
        <v>E</v>
      </c>
      <c r="H475" s="1" t="str">
        <f aca="false">IF(D475=0, 33, "cc")</f>
        <v>cc</v>
      </c>
    </row>
    <row r="476" customFormat="false" ht="18.65" hidden="false" customHeight="true" outlineLevel="0" collapsed="false">
      <c r="A476" s="1" t="n">
        <f aca="false">ROW()-2</f>
        <v>474</v>
      </c>
      <c r="B476" s="1" t="n">
        <f aca="false">INT(A476/$N$1)</f>
        <v>26</v>
      </c>
      <c r="C476" s="1" t="n">
        <f aca="false">INT(MOD(A476,$N$1) / 2)</f>
        <v>3</v>
      </c>
      <c r="D476" s="1" t="n">
        <f aca="false">_xlfn.BITAND(A476,1)</f>
        <v>0</v>
      </c>
      <c r="F476" s="1" t="str">
        <f aca="false">DEC2HEX(B476*$N$3*18)</f>
        <v>7500</v>
      </c>
      <c r="G476" s="1" t="str">
        <f aca="false">DEC2HEX(C476*7)</f>
        <v>15</v>
      </c>
      <c r="H476" s="1" t="n">
        <f aca="false">IF(D476=0, 33, "cc")</f>
        <v>33</v>
      </c>
    </row>
    <row r="477" customFormat="false" ht="18.65" hidden="false" customHeight="true" outlineLevel="0" collapsed="false">
      <c r="A477" s="1" t="n">
        <f aca="false">ROW()-2</f>
        <v>475</v>
      </c>
      <c r="B477" s="1" t="n">
        <f aca="false">INT(A477/$N$1)</f>
        <v>26</v>
      </c>
      <c r="C477" s="1" t="n">
        <f aca="false">INT(MOD(A477,$N$1) / 2)</f>
        <v>3</v>
      </c>
      <c r="D477" s="1" t="n">
        <f aca="false">_xlfn.BITAND(A477,1)</f>
        <v>1</v>
      </c>
      <c r="F477" s="1" t="str">
        <f aca="false">DEC2HEX(B477*$N$3*18)</f>
        <v>7500</v>
      </c>
      <c r="G477" s="1" t="str">
        <f aca="false">DEC2HEX(C477*7)</f>
        <v>15</v>
      </c>
      <c r="H477" s="1" t="str">
        <f aca="false">IF(D477=0, 33, "cc")</f>
        <v>cc</v>
      </c>
    </row>
    <row r="478" customFormat="false" ht="18.65" hidden="false" customHeight="true" outlineLevel="0" collapsed="false">
      <c r="A478" s="1" t="n">
        <f aca="false">ROW()-2</f>
        <v>476</v>
      </c>
      <c r="B478" s="1" t="n">
        <f aca="false">INT(A478/$N$1)</f>
        <v>26</v>
      </c>
      <c r="C478" s="1" t="n">
        <f aca="false">INT(MOD(A478,$N$1) / 2)</f>
        <v>4</v>
      </c>
      <c r="D478" s="1" t="n">
        <f aca="false">_xlfn.BITAND(A478,1)</f>
        <v>0</v>
      </c>
      <c r="F478" s="1" t="str">
        <f aca="false">DEC2HEX(B478*$N$3*18)</f>
        <v>7500</v>
      </c>
      <c r="G478" s="1" t="str">
        <f aca="false">DEC2HEX(C478*7)</f>
        <v>1C</v>
      </c>
      <c r="H478" s="1" t="n">
        <f aca="false">IF(D478=0, 33, "cc")</f>
        <v>33</v>
      </c>
    </row>
    <row r="479" customFormat="false" ht="18.65" hidden="false" customHeight="true" outlineLevel="0" collapsed="false">
      <c r="A479" s="1" t="n">
        <f aca="false">ROW()-2</f>
        <v>477</v>
      </c>
      <c r="B479" s="1" t="n">
        <f aca="false">INT(A479/$N$1)</f>
        <v>26</v>
      </c>
      <c r="C479" s="1" t="n">
        <f aca="false">INT(MOD(A479,$N$1) / 2)</f>
        <v>4</v>
      </c>
      <c r="D479" s="1" t="n">
        <f aca="false">_xlfn.BITAND(A479,1)</f>
        <v>1</v>
      </c>
      <c r="F479" s="1" t="str">
        <f aca="false">DEC2HEX(B479*$N$3*18)</f>
        <v>7500</v>
      </c>
      <c r="G479" s="1" t="str">
        <f aca="false">DEC2HEX(C479*7)</f>
        <v>1C</v>
      </c>
      <c r="H479" s="1" t="str">
        <f aca="false">IF(D479=0, 33, "cc")</f>
        <v>cc</v>
      </c>
    </row>
    <row r="480" customFormat="false" ht="18.65" hidden="false" customHeight="true" outlineLevel="0" collapsed="false">
      <c r="A480" s="1" t="n">
        <f aca="false">ROW()-2</f>
        <v>478</v>
      </c>
      <c r="B480" s="1" t="n">
        <f aca="false">INT(A480/$N$1)</f>
        <v>26</v>
      </c>
      <c r="C480" s="1" t="n">
        <f aca="false">INT(MOD(A480,$N$1) / 2)</f>
        <v>5</v>
      </c>
      <c r="D480" s="1" t="n">
        <f aca="false">_xlfn.BITAND(A480,1)</f>
        <v>0</v>
      </c>
      <c r="F480" s="1" t="str">
        <f aca="false">DEC2HEX(B480*$N$3*18)</f>
        <v>7500</v>
      </c>
      <c r="G480" s="1" t="str">
        <f aca="false">DEC2HEX(C480*7)</f>
        <v>23</v>
      </c>
      <c r="H480" s="1" t="n">
        <f aca="false">IF(D480=0, 33, "cc")</f>
        <v>33</v>
      </c>
    </row>
    <row r="481" customFormat="false" ht="18.65" hidden="false" customHeight="true" outlineLevel="0" collapsed="false">
      <c r="A481" s="1" t="n">
        <f aca="false">ROW()-2</f>
        <v>479</v>
      </c>
      <c r="B481" s="1" t="n">
        <f aca="false">INT(A481/$N$1)</f>
        <v>26</v>
      </c>
      <c r="C481" s="1" t="n">
        <f aca="false">INT(MOD(A481,$N$1) / 2)</f>
        <v>5</v>
      </c>
      <c r="D481" s="1" t="n">
        <f aca="false">_xlfn.BITAND(A481,1)</f>
        <v>1</v>
      </c>
      <c r="F481" s="1" t="str">
        <f aca="false">DEC2HEX(B481*$N$3*18)</f>
        <v>7500</v>
      </c>
      <c r="G481" s="1" t="str">
        <f aca="false">DEC2HEX(C481*7)</f>
        <v>23</v>
      </c>
      <c r="H481" s="1" t="str">
        <f aca="false">IF(D481=0, 33, "cc")</f>
        <v>cc</v>
      </c>
    </row>
    <row r="482" customFormat="false" ht="18.65" hidden="false" customHeight="true" outlineLevel="0" collapsed="false">
      <c r="A482" s="1" t="n">
        <f aca="false">ROW()-2</f>
        <v>480</v>
      </c>
      <c r="B482" s="1" t="n">
        <f aca="false">INT(A482/$N$1)</f>
        <v>26</v>
      </c>
      <c r="C482" s="1" t="n">
        <f aca="false">INT(MOD(A482,$N$1) / 2)</f>
        <v>6</v>
      </c>
      <c r="D482" s="1" t="n">
        <f aca="false">_xlfn.BITAND(A482,1)</f>
        <v>0</v>
      </c>
      <c r="F482" s="1" t="str">
        <f aca="false">DEC2HEX(B482*$N$3*18)</f>
        <v>7500</v>
      </c>
      <c r="G482" s="1" t="str">
        <f aca="false">DEC2HEX(C482*7)</f>
        <v>2A</v>
      </c>
      <c r="H482" s="1" t="n">
        <f aca="false">IF(D482=0, 33, "cc")</f>
        <v>33</v>
      </c>
    </row>
    <row r="483" customFormat="false" ht="18.65" hidden="false" customHeight="true" outlineLevel="0" collapsed="false">
      <c r="A483" s="1" t="n">
        <f aca="false">ROW()-2</f>
        <v>481</v>
      </c>
      <c r="B483" s="1" t="n">
        <f aca="false">INT(A483/$N$1)</f>
        <v>26</v>
      </c>
      <c r="C483" s="1" t="n">
        <f aca="false">INT(MOD(A483,$N$1) / 2)</f>
        <v>6</v>
      </c>
      <c r="D483" s="1" t="n">
        <f aca="false">_xlfn.BITAND(A483,1)</f>
        <v>1</v>
      </c>
      <c r="F483" s="1" t="str">
        <f aca="false">DEC2HEX(B483*$N$3*18)</f>
        <v>7500</v>
      </c>
      <c r="G483" s="1" t="str">
        <f aca="false">DEC2HEX(C483*7)</f>
        <v>2A</v>
      </c>
      <c r="H483" s="1" t="str">
        <f aca="false">IF(D483=0, 33, "cc")</f>
        <v>cc</v>
      </c>
    </row>
    <row r="484" customFormat="false" ht="18.65" hidden="false" customHeight="true" outlineLevel="0" collapsed="false">
      <c r="A484" s="1" t="n">
        <f aca="false">ROW()-2</f>
        <v>482</v>
      </c>
      <c r="B484" s="1" t="n">
        <f aca="false">INT(A484/$N$1)</f>
        <v>26</v>
      </c>
      <c r="C484" s="1" t="n">
        <f aca="false">INT(MOD(A484,$N$1) / 2)</f>
        <v>7</v>
      </c>
      <c r="D484" s="1" t="n">
        <f aca="false">_xlfn.BITAND(A484,1)</f>
        <v>0</v>
      </c>
      <c r="F484" s="1" t="str">
        <f aca="false">DEC2HEX(B484*$N$3*18)</f>
        <v>7500</v>
      </c>
      <c r="G484" s="1" t="str">
        <f aca="false">DEC2HEX(C484*7)</f>
        <v>31</v>
      </c>
      <c r="H484" s="1" t="n">
        <f aca="false">IF(D484=0, 33, "cc")</f>
        <v>33</v>
      </c>
    </row>
    <row r="485" customFormat="false" ht="18.65" hidden="false" customHeight="true" outlineLevel="0" collapsed="false">
      <c r="A485" s="1" t="n">
        <f aca="false">ROW()-2</f>
        <v>483</v>
      </c>
      <c r="B485" s="1" t="n">
        <f aca="false">INT(A485/$N$1)</f>
        <v>26</v>
      </c>
      <c r="C485" s="1" t="n">
        <f aca="false">INT(MOD(A485,$N$1) / 2)</f>
        <v>7</v>
      </c>
      <c r="D485" s="1" t="n">
        <f aca="false">_xlfn.BITAND(A485,1)</f>
        <v>1</v>
      </c>
      <c r="F485" s="1" t="str">
        <f aca="false">DEC2HEX(B485*$N$3*18)</f>
        <v>7500</v>
      </c>
      <c r="G485" s="1" t="str">
        <f aca="false">DEC2HEX(C485*7)</f>
        <v>31</v>
      </c>
      <c r="H485" s="1" t="str">
        <f aca="false">IF(D485=0, 33, "cc")</f>
        <v>cc</v>
      </c>
    </row>
    <row r="486" customFormat="false" ht="18.65" hidden="false" customHeight="true" outlineLevel="0" collapsed="false">
      <c r="A486" s="1" t="n">
        <f aca="false">ROW()-2</f>
        <v>484</v>
      </c>
      <c r="B486" s="1" t="n">
        <f aca="false">INT(A486/$N$1)</f>
        <v>26</v>
      </c>
      <c r="C486" s="1" t="n">
        <f aca="false">INT(MOD(A486,$N$1) / 2)</f>
        <v>8</v>
      </c>
      <c r="D486" s="1" t="n">
        <f aca="false">_xlfn.BITAND(A486,1)</f>
        <v>0</v>
      </c>
      <c r="F486" s="1" t="str">
        <f aca="false">DEC2HEX(B486*$N$3*18)</f>
        <v>7500</v>
      </c>
      <c r="G486" s="1" t="str">
        <f aca="false">DEC2HEX(C486*7)</f>
        <v>38</v>
      </c>
      <c r="H486" s="1" t="n">
        <f aca="false">IF(D486=0, 33, "cc")</f>
        <v>33</v>
      </c>
    </row>
    <row r="487" customFormat="false" ht="18.65" hidden="false" customHeight="true" outlineLevel="0" collapsed="false">
      <c r="A487" s="1" t="n">
        <f aca="false">ROW()-2</f>
        <v>485</v>
      </c>
      <c r="B487" s="1" t="n">
        <f aca="false">INT(A487/$N$1)</f>
        <v>26</v>
      </c>
      <c r="C487" s="1" t="n">
        <f aca="false">INT(MOD(A487,$N$1) / 2)</f>
        <v>8</v>
      </c>
      <c r="D487" s="1" t="n">
        <f aca="false">_xlfn.BITAND(A487,1)</f>
        <v>1</v>
      </c>
      <c r="F487" s="1" t="str">
        <f aca="false">DEC2HEX(B487*$N$3*18)</f>
        <v>7500</v>
      </c>
      <c r="G487" s="1" t="str">
        <f aca="false">DEC2HEX(C487*7)</f>
        <v>38</v>
      </c>
      <c r="H487" s="1" t="str">
        <f aca="false">IF(D487=0, 33, "cc")</f>
        <v>cc</v>
      </c>
    </row>
    <row r="488" customFormat="false" ht="18.65" hidden="false" customHeight="true" outlineLevel="0" collapsed="false">
      <c r="A488" s="1" t="n">
        <f aca="false">ROW()-2</f>
        <v>486</v>
      </c>
      <c r="B488" s="1" t="n">
        <f aca="false">INT(A488/$N$1)</f>
        <v>27</v>
      </c>
      <c r="C488" s="1" t="n">
        <f aca="false">INT(MOD(A488,$N$1) / 2)</f>
        <v>0</v>
      </c>
      <c r="D488" s="1" t="n">
        <f aca="false">_xlfn.BITAND(A488,1)</f>
        <v>0</v>
      </c>
      <c r="F488" s="1" t="str">
        <f aca="false">DEC2HEX(B488*$N$3*18)</f>
        <v>7980</v>
      </c>
      <c r="G488" s="1" t="str">
        <f aca="false">DEC2HEX(C488*7)</f>
        <v>0</v>
      </c>
      <c r="H488" s="1" t="n">
        <f aca="false">IF(D488=0, 33, "cc")</f>
        <v>33</v>
      </c>
    </row>
    <row r="489" customFormat="false" ht="18.65" hidden="false" customHeight="true" outlineLevel="0" collapsed="false">
      <c r="A489" s="1" t="n">
        <f aca="false">ROW()-2</f>
        <v>487</v>
      </c>
      <c r="B489" s="1" t="n">
        <f aca="false">INT(A489/$N$1)</f>
        <v>27</v>
      </c>
      <c r="C489" s="1" t="n">
        <f aca="false">INT(MOD(A489,$N$1) / 2)</f>
        <v>0</v>
      </c>
      <c r="D489" s="1" t="n">
        <f aca="false">_xlfn.BITAND(A489,1)</f>
        <v>1</v>
      </c>
      <c r="F489" s="1" t="str">
        <f aca="false">DEC2HEX(B489*$N$3*18)</f>
        <v>7980</v>
      </c>
      <c r="G489" s="1" t="str">
        <f aca="false">DEC2HEX(C489*7)</f>
        <v>0</v>
      </c>
      <c r="H489" s="1" t="str">
        <f aca="false">IF(D489=0, 33, "cc")</f>
        <v>cc</v>
      </c>
    </row>
    <row r="490" customFormat="false" ht="18.65" hidden="false" customHeight="true" outlineLevel="0" collapsed="false">
      <c r="A490" s="1" t="n">
        <f aca="false">ROW()-2</f>
        <v>488</v>
      </c>
      <c r="B490" s="1" t="n">
        <f aca="false">INT(A490/$N$1)</f>
        <v>27</v>
      </c>
      <c r="C490" s="1" t="n">
        <f aca="false">INT(MOD(A490,$N$1) / 2)</f>
        <v>1</v>
      </c>
      <c r="D490" s="1" t="n">
        <f aca="false">_xlfn.BITAND(A490,1)</f>
        <v>0</v>
      </c>
      <c r="F490" s="1" t="str">
        <f aca="false">DEC2HEX(B490*$N$3*18)</f>
        <v>7980</v>
      </c>
      <c r="G490" s="1" t="str">
        <f aca="false">DEC2HEX(C490*7)</f>
        <v>7</v>
      </c>
      <c r="H490" s="1" t="n">
        <f aca="false">IF(D490=0, 33, "cc")</f>
        <v>33</v>
      </c>
    </row>
    <row r="491" customFormat="false" ht="18.65" hidden="false" customHeight="true" outlineLevel="0" collapsed="false">
      <c r="A491" s="1" t="n">
        <f aca="false">ROW()-2</f>
        <v>489</v>
      </c>
      <c r="B491" s="1" t="n">
        <f aca="false">INT(A491/$N$1)</f>
        <v>27</v>
      </c>
      <c r="C491" s="1" t="n">
        <f aca="false">INT(MOD(A491,$N$1) / 2)</f>
        <v>1</v>
      </c>
      <c r="D491" s="1" t="n">
        <f aca="false">_xlfn.BITAND(A491,1)</f>
        <v>1</v>
      </c>
      <c r="F491" s="1" t="str">
        <f aca="false">DEC2HEX(B491*$N$3*18)</f>
        <v>7980</v>
      </c>
      <c r="G491" s="1" t="str">
        <f aca="false">DEC2HEX(C491*7)</f>
        <v>7</v>
      </c>
      <c r="H491" s="1" t="str">
        <f aca="false">IF(D491=0, 33, "cc")</f>
        <v>cc</v>
      </c>
    </row>
    <row r="492" customFormat="false" ht="18.65" hidden="false" customHeight="true" outlineLevel="0" collapsed="false">
      <c r="A492" s="1" t="n">
        <f aca="false">ROW()-2</f>
        <v>490</v>
      </c>
      <c r="B492" s="1" t="n">
        <f aca="false">INT(A492/$N$1)</f>
        <v>27</v>
      </c>
      <c r="C492" s="1" t="n">
        <f aca="false">INT(MOD(A492,$N$1) / 2)</f>
        <v>2</v>
      </c>
      <c r="D492" s="1" t="n">
        <f aca="false">_xlfn.BITAND(A492,1)</f>
        <v>0</v>
      </c>
      <c r="F492" s="1" t="str">
        <f aca="false">DEC2HEX(B492*$N$3*18)</f>
        <v>7980</v>
      </c>
      <c r="G492" s="1" t="str">
        <f aca="false">DEC2HEX(C492*7)</f>
        <v>E</v>
      </c>
      <c r="H492" s="1" t="n">
        <f aca="false">IF(D492=0, 33, "cc")</f>
        <v>33</v>
      </c>
    </row>
    <row r="493" customFormat="false" ht="18.65" hidden="false" customHeight="true" outlineLevel="0" collapsed="false">
      <c r="A493" s="1" t="n">
        <f aca="false">ROW()-2</f>
        <v>491</v>
      </c>
      <c r="B493" s="1" t="n">
        <f aca="false">INT(A493/$N$1)</f>
        <v>27</v>
      </c>
      <c r="C493" s="1" t="n">
        <f aca="false">INT(MOD(A493,$N$1) / 2)</f>
        <v>2</v>
      </c>
      <c r="D493" s="1" t="n">
        <f aca="false">_xlfn.BITAND(A493,1)</f>
        <v>1</v>
      </c>
      <c r="F493" s="1" t="str">
        <f aca="false">DEC2HEX(B493*$N$3*18)</f>
        <v>7980</v>
      </c>
      <c r="G493" s="1" t="str">
        <f aca="false">DEC2HEX(C493*7)</f>
        <v>E</v>
      </c>
      <c r="H493" s="1" t="str">
        <f aca="false">IF(D493=0, 33, "cc")</f>
        <v>cc</v>
      </c>
    </row>
    <row r="494" customFormat="false" ht="18.65" hidden="false" customHeight="true" outlineLevel="0" collapsed="false">
      <c r="A494" s="1" t="n">
        <f aca="false">ROW()-2</f>
        <v>492</v>
      </c>
      <c r="B494" s="1" t="n">
        <f aca="false">INT(A494/$N$1)</f>
        <v>27</v>
      </c>
      <c r="C494" s="1" t="n">
        <f aca="false">INT(MOD(A494,$N$1) / 2)</f>
        <v>3</v>
      </c>
      <c r="D494" s="1" t="n">
        <f aca="false">_xlfn.BITAND(A494,1)</f>
        <v>0</v>
      </c>
      <c r="F494" s="1" t="str">
        <f aca="false">DEC2HEX(B494*$N$3*18)</f>
        <v>7980</v>
      </c>
      <c r="G494" s="1" t="str">
        <f aca="false">DEC2HEX(C494*7)</f>
        <v>15</v>
      </c>
      <c r="H494" s="1" t="n">
        <f aca="false">IF(D494=0, 33, "cc")</f>
        <v>33</v>
      </c>
    </row>
    <row r="495" customFormat="false" ht="18.65" hidden="false" customHeight="true" outlineLevel="0" collapsed="false">
      <c r="A495" s="1" t="n">
        <f aca="false">ROW()-2</f>
        <v>493</v>
      </c>
      <c r="B495" s="1" t="n">
        <f aca="false">INT(A495/$N$1)</f>
        <v>27</v>
      </c>
      <c r="C495" s="1" t="n">
        <f aca="false">INT(MOD(A495,$N$1) / 2)</f>
        <v>3</v>
      </c>
      <c r="D495" s="1" t="n">
        <f aca="false">_xlfn.BITAND(A495,1)</f>
        <v>1</v>
      </c>
      <c r="F495" s="1" t="str">
        <f aca="false">DEC2HEX(B495*$N$3*18)</f>
        <v>7980</v>
      </c>
      <c r="G495" s="1" t="str">
        <f aca="false">DEC2HEX(C495*7)</f>
        <v>15</v>
      </c>
      <c r="H495" s="1" t="str">
        <f aca="false">IF(D495=0, 33, "cc")</f>
        <v>cc</v>
      </c>
    </row>
    <row r="496" customFormat="false" ht="18.65" hidden="false" customHeight="true" outlineLevel="0" collapsed="false">
      <c r="A496" s="1" t="n">
        <f aca="false">ROW()-2</f>
        <v>494</v>
      </c>
      <c r="B496" s="1" t="n">
        <f aca="false">INT(A496/$N$1)</f>
        <v>27</v>
      </c>
      <c r="C496" s="1" t="n">
        <f aca="false">INT(MOD(A496,$N$1) / 2)</f>
        <v>4</v>
      </c>
      <c r="D496" s="1" t="n">
        <f aca="false">_xlfn.BITAND(A496,1)</f>
        <v>0</v>
      </c>
      <c r="F496" s="1" t="str">
        <f aca="false">DEC2HEX(B496*$N$3*18)</f>
        <v>7980</v>
      </c>
      <c r="G496" s="1" t="str">
        <f aca="false">DEC2HEX(C496*7)</f>
        <v>1C</v>
      </c>
      <c r="H496" s="1" t="n">
        <f aca="false">IF(D496=0, 33, "cc")</f>
        <v>33</v>
      </c>
    </row>
    <row r="497" customFormat="false" ht="18.65" hidden="false" customHeight="true" outlineLevel="0" collapsed="false">
      <c r="A497" s="1" t="n">
        <f aca="false">ROW()-2</f>
        <v>495</v>
      </c>
      <c r="B497" s="1" t="n">
        <f aca="false">INT(A497/$N$1)</f>
        <v>27</v>
      </c>
      <c r="C497" s="1" t="n">
        <f aca="false">INT(MOD(A497,$N$1) / 2)</f>
        <v>4</v>
      </c>
      <c r="D497" s="1" t="n">
        <f aca="false">_xlfn.BITAND(A497,1)</f>
        <v>1</v>
      </c>
      <c r="F497" s="1" t="str">
        <f aca="false">DEC2HEX(B497*$N$3*18)</f>
        <v>7980</v>
      </c>
      <c r="G497" s="1" t="str">
        <f aca="false">DEC2HEX(C497*7)</f>
        <v>1C</v>
      </c>
      <c r="H497" s="1" t="str">
        <f aca="false">IF(D497=0, 33, "cc")</f>
        <v>cc</v>
      </c>
    </row>
    <row r="498" customFormat="false" ht="18.65" hidden="false" customHeight="true" outlineLevel="0" collapsed="false">
      <c r="A498" s="1" t="n">
        <f aca="false">ROW()-2</f>
        <v>496</v>
      </c>
      <c r="B498" s="1" t="n">
        <f aca="false">INT(A498/$N$1)</f>
        <v>27</v>
      </c>
      <c r="C498" s="1" t="n">
        <f aca="false">INT(MOD(A498,$N$1) / 2)</f>
        <v>5</v>
      </c>
      <c r="D498" s="1" t="n">
        <f aca="false">_xlfn.BITAND(A498,1)</f>
        <v>0</v>
      </c>
      <c r="F498" s="1" t="str">
        <f aca="false">DEC2HEX(B498*$N$3*18)</f>
        <v>7980</v>
      </c>
      <c r="G498" s="1" t="str">
        <f aca="false">DEC2HEX(C498*7)</f>
        <v>23</v>
      </c>
      <c r="H498" s="1" t="n">
        <f aca="false">IF(D498=0, 33, "cc")</f>
        <v>33</v>
      </c>
    </row>
    <row r="499" customFormat="false" ht="18.65" hidden="false" customHeight="true" outlineLevel="0" collapsed="false">
      <c r="A499" s="1" t="n">
        <f aca="false">ROW()-2</f>
        <v>497</v>
      </c>
      <c r="B499" s="1" t="n">
        <f aca="false">INT(A499/$N$1)</f>
        <v>27</v>
      </c>
      <c r="C499" s="1" t="n">
        <f aca="false">INT(MOD(A499,$N$1) / 2)</f>
        <v>5</v>
      </c>
      <c r="D499" s="1" t="n">
        <f aca="false">_xlfn.BITAND(A499,1)</f>
        <v>1</v>
      </c>
      <c r="F499" s="1" t="str">
        <f aca="false">DEC2HEX(B499*$N$3*18)</f>
        <v>7980</v>
      </c>
      <c r="G499" s="1" t="str">
        <f aca="false">DEC2HEX(C499*7)</f>
        <v>23</v>
      </c>
      <c r="H499" s="1" t="str">
        <f aca="false">IF(D499=0, 33, "cc")</f>
        <v>cc</v>
      </c>
    </row>
    <row r="500" customFormat="false" ht="18.65" hidden="false" customHeight="true" outlineLevel="0" collapsed="false">
      <c r="A500" s="1" t="n">
        <f aca="false">ROW()-2</f>
        <v>498</v>
      </c>
      <c r="B500" s="1" t="n">
        <f aca="false">INT(A500/$N$1)</f>
        <v>27</v>
      </c>
      <c r="C500" s="1" t="n">
        <f aca="false">INT(MOD(A500,$N$1) / 2)</f>
        <v>6</v>
      </c>
      <c r="D500" s="1" t="n">
        <f aca="false">_xlfn.BITAND(A500,1)</f>
        <v>0</v>
      </c>
      <c r="F500" s="1" t="str">
        <f aca="false">DEC2HEX(B500*$N$3*18)</f>
        <v>7980</v>
      </c>
      <c r="G500" s="1" t="str">
        <f aca="false">DEC2HEX(C500*7)</f>
        <v>2A</v>
      </c>
      <c r="H500" s="1" t="n">
        <f aca="false">IF(D500=0, 33, "cc")</f>
        <v>33</v>
      </c>
    </row>
    <row r="501" customFormat="false" ht="18.65" hidden="false" customHeight="true" outlineLevel="0" collapsed="false">
      <c r="A501" s="1" t="n">
        <f aca="false">ROW()-2</f>
        <v>499</v>
      </c>
      <c r="B501" s="1" t="n">
        <f aca="false">INT(A501/$N$1)</f>
        <v>27</v>
      </c>
      <c r="C501" s="1" t="n">
        <f aca="false">INT(MOD(A501,$N$1) / 2)</f>
        <v>6</v>
      </c>
      <c r="D501" s="1" t="n">
        <f aca="false">_xlfn.BITAND(A501,1)</f>
        <v>1</v>
      </c>
      <c r="F501" s="1" t="str">
        <f aca="false">DEC2HEX(B501*$N$3*18)</f>
        <v>7980</v>
      </c>
      <c r="G501" s="1" t="str">
        <f aca="false">DEC2HEX(C501*7)</f>
        <v>2A</v>
      </c>
      <c r="H501" s="1" t="str">
        <f aca="false">IF(D501=0, 33, "cc")</f>
        <v>cc</v>
      </c>
    </row>
    <row r="502" customFormat="false" ht="18.65" hidden="false" customHeight="true" outlineLevel="0" collapsed="false">
      <c r="A502" s="1" t="n">
        <f aca="false">ROW()-2</f>
        <v>500</v>
      </c>
      <c r="B502" s="1" t="n">
        <f aca="false">INT(A502/$N$1)</f>
        <v>27</v>
      </c>
      <c r="C502" s="1" t="n">
        <f aca="false">INT(MOD(A502,$N$1) / 2)</f>
        <v>7</v>
      </c>
      <c r="D502" s="1" t="n">
        <f aca="false">_xlfn.BITAND(A502,1)</f>
        <v>0</v>
      </c>
      <c r="F502" s="1" t="str">
        <f aca="false">DEC2HEX(B502*$N$3*18)</f>
        <v>7980</v>
      </c>
      <c r="G502" s="1" t="str">
        <f aca="false">DEC2HEX(C502*7)</f>
        <v>31</v>
      </c>
      <c r="H502" s="1" t="n">
        <f aca="false">IF(D502=0, 33, "cc")</f>
        <v>33</v>
      </c>
    </row>
    <row r="503" customFormat="false" ht="18.65" hidden="false" customHeight="true" outlineLevel="0" collapsed="false">
      <c r="A503" s="1" t="n">
        <f aca="false">ROW()-2</f>
        <v>501</v>
      </c>
      <c r="B503" s="1" t="n">
        <f aca="false">INT(A503/$N$1)</f>
        <v>27</v>
      </c>
      <c r="C503" s="1" t="n">
        <f aca="false">INT(MOD(A503,$N$1) / 2)</f>
        <v>7</v>
      </c>
      <c r="D503" s="1" t="n">
        <f aca="false">_xlfn.BITAND(A503,1)</f>
        <v>1</v>
      </c>
      <c r="F503" s="1" t="str">
        <f aca="false">DEC2HEX(B503*$N$3*18)</f>
        <v>7980</v>
      </c>
      <c r="G503" s="1" t="str">
        <f aca="false">DEC2HEX(C503*7)</f>
        <v>31</v>
      </c>
      <c r="H503" s="1" t="str">
        <f aca="false">IF(D503=0, 33, "cc")</f>
        <v>cc</v>
      </c>
    </row>
    <row r="504" customFormat="false" ht="18.65" hidden="false" customHeight="true" outlineLevel="0" collapsed="false">
      <c r="A504" s="1" t="n">
        <f aca="false">ROW()-2</f>
        <v>502</v>
      </c>
      <c r="B504" s="1" t="n">
        <f aca="false">INT(A504/$N$1)</f>
        <v>27</v>
      </c>
      <c r="C504" s="1" t="n">
        <f aca="false">INT(MOD(A504,$N$1) / 2)</f>
        <v>8</v>
      </c>
      <c r="D504" s="1" t="n">
        <f aca="false">_xlfn.BITAND(A504,1)</f>
        <v>0</v>
      </c>
      <c r="F504" s="1" t="str">
        <f aca="false">DEC2HEX(B504*$N$3*18)</f>
        <v>7980</v>
      </c>
      <c r="G504" s="1" t="str">
        <f aca="false">DEC2HEX(C504*7)</f>
        <v>38</v>
      </c>
      <c r="H504" s="1" t="n">
        <f aca="false">IF(D504=0, 33, "cc")</f>
        <v>33</v>
      </c>
    </row>
    <row r="505" customFormat="false" ht="18.65" hidden="false" customHeight="true" outlineLevel="0" collapsed="false">
      <c r="A505" s="1" t="n">
        <f aca="false">ROW()-2</f>
        <v>503</v>
      </c>
      <c r="B505" s="1" t="n">
        <f aca="false">INT(A505/$N$1)</f>
        <v>27</v>
      </c>
      <c r="C505" s="1" t="n">
        <f aca="false">INT(MOD(A505,$N$1) / 2)</f>
        <v>8</v>
      </c>
      <c r="D505" s="1" t="n">
        <f aca="false">_xlfn.BITAND(A505,1)</f>
        <v>1</v>
      </c>
      <c r="F505" s="1" t="str">
        <f aca="false">DEC2HEX(B505*$N$3*18)</f>
        <v>7980</v>
      </c>
      <c r="G505" s="1" t="str">
        <f aca="false">DEC2HEX(C505*7)</f>
        <v>38</v>
      </c>
      <c r="H505" s="1" t="str">
        <f aca="false">IF(D505=0, 33, "cc")</f>
        <v>cc</v>
      </c>
    </row>
    <row r="506" customFormat="false" ht="18.65" hidden="false" customHeight="true" outlineLevel="0" collapsed="false">
      <c r="A506" s="1" t="n">
        <f aca="false">ROW()-2</f>
        <v>504</v>
      </c>
      <c r="B506" s="1" t="n">
        <f aca="false">INT(A506/$N$1)</f>
        <v>28</v>
      </c>
      <c r="C506" s="1" t="n">
        <f aca="false">INT(MOD(A506,$N$1) / 2)</f>
        <v>0</v>
      </c>
      <c r="D506" s="1" t="n">
        <f aca="false">_xlfn.BITAND(A506,1)</f>
        <v>0</v>
      </c>
      <c r="F506" s="1" t="str">
        <f aca="false">DEC2HEX(B506*$N$3*18)</f>
        <v>7E00</v>
      </c>
      <c r="G506" s="1" t="str">
        <f aca="false">DEC2HEX(C506*7)</f>
        <v>0</v>
      </c>
      <c r="H506" s="1" t="n">
        <f aca="false">IF(D506=0, 33, "cc")</f>
        <v>33</v>
      </c>
    </row>
    <row r="507" customFormat="false" ht="18.65" hidden="false" customHeight="true" outlineLevel="0" collapsed="false">
      <c r="A507" s="1" t="n">
        <f aca="false">ROW()-2</f>
        <v>505</v>
      </c>
      <c r="B507" s="1" t="n">
        <f aca="false">INT(A507/$N$1)</f>
        <v>28</v>
      </c>
      <c r="C507" s="1" t="n">
        <f aca="false">INT(MOD(A507,$N$1) / 2)</f>
        <v>0</v>
      </c>
      <c r="D507" s="1" t="n">
        <f aca="false">_xlfn.BITAND(A507,1)</f>
        <v>1</v>
      </c>
      <c r="F507" s="1" t="str">
        <f aca="false">DEC2HEX(B507*$N$3*18)</f>
        <v>7E00</v>
      </c>
      <c r="G507" s="1" t="str">
        <f aca="false">DEC2HEX(C507*7)</f>
        <v>0</v>
      </c>
      <c r="H507" s="1" t="str">
        <f aca="false">IF(D507=0, 33, "cc")</f>
        <v>cc</v>
      </c>
    </row>
    <row r="508" customFormat="false" ht="18.65" hidden="false" customHeight="true" outlineLevel="0" collapsed="false">
      <c r="A508" s="1" t="n">
        <f aca="false">ROW()-2</f>
        <v>506</v>
      </c>
      <c r="B508" s="1" t="n">
        <f aca="false">INT(A508/$N$1)</f>
        <v>28</v>
      </c>
      <c r="C508" s="1" t="n">
        <f aca="false">INT(MOD(A508,$N$1) / 2)</f>
        <v>1</v>
      </c>
      <c r="D508" s="1" t="n">
        <f aca="false">_xlfn.BITAND(A508,1)</f>
        <v>0</v>
      </c>
      <c r="F508" s="1" t="str">
        <f aca="false">DEC2HEX(B508*$N$3*18)</f>
        <v>7E00</v>
      </c>
      <c r="G508" s="1" t="str">
        <f aca="false">DEC2HEX(C508*7)</f>
        <v>7</v>
      </c>
      <c r="H508" s="1" t="n">
        <f aca="false">IF(D508=0, 33, "cc")</f>
        <v>33</v>
      </c>
    </row>
    <row r="509" customFormat="false" ht="18.65" hidden="false" customHeight="true" outlineLevel="0" collapsed="false">
      <c r="A509" s="1" t="n">
        <f aca="false">ROW()-2</f>
        <v>507</v>
      </c>
      <c r="B509" s="1" t="n">
        <f aca="false">INT(A509/$N$1)</f>
        <v>28</v>
      </c>
      <c r="C509" s="1" t="n">
        <f aca="false">INT(MOD(A509,$N$1) / 2)</f>
        <v>1</v>
      </c>
      <c r="D509" s="1" t="n">
        <f aca="false">_xlfn.BITAND(A509,1)</f>
        <v>1</v>
      </c>
      <c r="F509" s="1" t="str">
        <f aca="false">DEC2HEX(B509*$N$3*18)</f>
        <v>7E00</v>
      </c>
      <c r="G509" s="1" t="str">
        <f aca="false">DEC2HEX(C509*7)</f>
        <v>7</v>
      </c>
      <c r="H509" s="1" t="str">
        <f aca="false">IF(D509=0, 33, "cc")</f>
        <v>cc</v>
      </c>
    </row>
    <row r="510" customFormat="false" ht="18.65" hidden="false" customHeight="true" outlineLevel="0" collapsed="false">
      <c r="A510" s="1" t="n">
        <f aca="false">ROW()-2</f>
        <v>508</v>
      </c>
      <c r="B510" s="1" t="n">
        <f aca="false">INT(A510/$N$1)</f>
        <v>28</v>
      </c>
      <c r="C510" s="1" t="n">
        <f aca="false">INT(MOD(A510,$N$1) / 2)</f>
        <v>2</v>
      </c>
      <c r="D510" s="1" t="n">
        <f aca="false">_xlfn.BITAND(A510,1)</f>
        <v>0</v>
      </c>
      <c r="F510" s="1" t="str">
        <f aca="false">DEC2HEX(B510*$N$3*18)</f>
        <v>7E00</v>
      </c>
      <c r="G510" s="1" t="str">
        <f aca="false">DEC2HEX(C510*7)</f>
        <v>E</v>
      </c>
      <c r="H510" s="1" t="n">
        <f aca="false">IF(D510=0, 33, "cc")</f>
        <v>33</v>
      </c>
    </row>
    <row r="511" customFormat="false" ht="18.65" hidden="false" customHeight="true" outlineLevel="0" collapsed="false">
      <c r="A511" s="1" t="n">
        <f aca="false">ROW()-2</f>
        <v>509</v>
      </c>
      <c r="B511" s="1" t="n">
        <f aca="false">INT(A511/$N$1)</f>
        <v>28</v>
      </c>
      <c r="C511" s="1" t="n">
        <f aca="false">INT(MOD(A511,$N$1) / 2)</f>
        <v>2</v>
      </c>
      <c r="D511" s="1" t="n">
        <f aca="false">_xlfn.BITAND(A511,1)</f>
        <v>1</v>
      </c>
      <c r="F511" s="1" t="str">
        <f aca="false">DEC2HEX(B511*$N$3*18)</f>
        <v>7E00</v>
      </c>
      <c r="G511" s="1" t="str">
        <f aca="false">DEC2HEX(C511*7)</f>
        <v>E</v>
      </c>
      <c r="H511" s="1" t="str">
        <f aca="false">IF(D511=0, 33, "cc")</f>
        <v>cc</v>
      </c>
    </row>
    <row r="512" customFormat="false" ht="18.65" hidden="false" customHeight="true" outlineLevel="0" collapsed="false">
      <c r="A512" s="1" t="n">
        <f aca="false">ROW()-2</f>
        <v>510</v>
      </c>
      <c r="B512" s="1" t="n">
        <f aca="false">INT(A512/$N$1)</f>
        <v>28</v>
      </c>
      <c r="C512" s="1" t="n">
        <f aca="false">INT(MOD(A512,$N$1) / 2)</f>
        <v>3</v>
      </c>
      <c r="D512" s="1" t="n">
        <f aca="false">_xlfn.BITAND(A512,1)</f>
        <v>0</v>
      </c>
      <c r="F512" s="1" t="str">
        <f aca="false">DEC2HEX(B512*$N$3*18)</f>
        <v>7E00</v>
      </c>
      <c r="G512" s="1" t="str">
        <f aca="false">DEC2HEX(C512*7)</f>
        <v>15</v>
      </c>
      <c r="H512" s="1" t="n">
        <f aca="false">IF(D512=0, 33, "cc")</f>
        <v>33</v>
      </c>
    </row>
    <row r="513" customFormat="false" ht="18.65" hidden="false" customHeight="true" outlineLevel="0" collapsed="false">
      <c r="A513" s="1" t="n">
        <f aca="false">ROW()-2</f>
        <v>511</v>
      </c>
      <c r="B513" s="1" t="n">
        <f aca="false">INT(A513/$N$1)</f>
        <v>28</v>
      </c>
      <c r="C513" s="1" t="n">
        <f aca="false">INT(MOD(A513,$N$1) / 2)</f>
        <v>3</v>
      </c>
      <c r="D513" s="1" t="n">
        <f aca="false">_xlfn.BITAND(A513,1)</f>
        <v>1</v>
      </c>
      <c r="F513" s="1" t="str">
        <f aca="false">DEC2HEX(B513*$N$3*18)</f>
        <v>7E00</v>
      </c>
      <c r="G513" s="1" t="str">
        <f aca="false">DEC2HEX(C513*7)</f>
        <v>15</v>
      </c>
      <c r="H513" s="1" t="str">
        <f aca="false">IF(D513=0, 33, "cc")</f>
        <v>cc</v>
      </c>
    </row>
    <row r="514" customFormat="false" ht="18.65" hidden="false" customHeight="true" outlineLevel="0" collapsed="false">
      <c r="A514" s="1" t="n">
        <f aca="false">ROW()-2</f>
        <v>512</v>
      </c>
      <c r="B514" s="1" t="n">
        <f aca="false">INT(A514/$N$1)</f>
        <v>28</v>
      </c>
      <c r="C514" s="1" t="n">
        <f aca="false">INT(MOD(A514,$N$1) / 2)</f>
        <v>4</v>
      </c>
      <c r="D514" s="1" t="n">
        <f aca="false">_xlfn.BITAND(A514,1)</f>
        <v>0</v>
      </c>
      <c r="F514" s="1" t="str">
        <f aca="false">DEC2HEX(B514*$N$3*18)</f>
        <v>7E00</v>
      </c>
      <c r="G514" s="1" t="str">
        <f aca="false">DEC2HEX(C514*7)</f>
        <v>1C</v>
      </c>
      <c r="H514" s="1" t="n">
        <f aca="false">IF(D514=0, 33, "cc")</f>
        <v>33</v>
      </c>
    </row>
    <row r="515" customFormat="false" ht="18.65" hidden="false" customHeight="true" outlineLevel="0" collapsed="false">
      <c r="A515" s="1" t="n">
        <f aca="false">ROW()-2</f>
        <v>513</v>
      </c>
      <c r="B515" s="1" t="n">
        <f aca="false">INT(A515/$N$1)</f>
        <v>28</v>
      </c>
      <c r="C515" s="1" t="n">
        <f aca="false">INT(MOD(A515,$N$1) / 2)</f>
        <v>4</v>
      </c>
      <c r="D515" s="1" t="n">
        <f aca="false">_xlfn.BITAND(A515,1)</f>
        <v>1</v>
      </c>
      <c r="F515" s="1" t="str">
        <f aca="false">DEC2HEX(B515*$N$3*18)</f>
        <v>7E00</v>
      </c>
      <c r="G515" s="1" t="str">
        <f aca="false">DEC2HEX(C515*7)</f>
        <v>1C</v>
      </c>
      <c r="H515" s="1" t="str">
        <f aca="false">IF(D515=0, 33, "cc")</f>
        <v>cc</v>
      </c>
    </row>
    <row r="516" customFormat="false" ht="18.65" hidden="false" customHeight="true" outlineLevel="0" collapsed="false">
      <c r="A516" s="1" t="n">
        <f aca="false">ROW()-2</f>
        <v>514</v>
      </c>
      <c r="B516" s="1" t="n">
        <f aca="false">INT(A516/$N$1)</f>
        <v>28</v>
      </c>
      <c r="C516" s="1" t="n">
        <f aca="false">INT(MOD(A516,$N$1) / 2)</f>
        <v>5</v>
      </c>
      <c r="D516" s="1" t="n">
        <f aca="false">_xlfn.BITAND(A516,1)</f>
        <v>0</v>
      </c>
      <c r="F516" s="1" t="str">
        <f aca="false">DEC2HEX(B516*$N$3*18)</f>
        <v>7E00</v>
      </c>
      <c r="G516" s="1" t="str">
        <f aca="false">DEC2HEX(C516*7)</f>
        <v>23</v>
      </c>
      <c r="H516" s="1" t="n">
        <f aca="false">IF(D516=0, 33, "cc")</f>
        <v>33</v>
      </c>
    </row>
    <row r="517" customFormat="false" ht="18.65" hidden="false" customHeight="true" outlineLevel="0" collapsed="false">
      <c r="A517" s="1" t="n">
        <f aca="false">ROW()-2</f>
        <v>515</v>
      </c>
      <c r="B517" s="1" t="n">
        <f aca="false">INT(A517/$N$1)</f>
        <v>28</v>
      </c>
      <c r="C517" s="1" t="n">
        <f aca="false">INT(MOD(A517,$N$1) / 2)</f>
        <v>5</v>
      </c>
      <c r="D517" s="1" t="n">
        <f aca="false">_xlfn.BITAND(A517,1)</f>
        <v>1</v>
      </c>
      <c r="F517" s="1" t="str">
        <f aca="false">DEC2HEX(B517*$N$3*18)</f>
        <v>7E00</v>
      </c>
      <c r="G517" s="1" t="str">
        <f aca="false">DEC2HEX(C517*7)</f>
        <v>23</v>
      </c>
      <c r="H517" s="1" t="str">
        <f aca="false">IF(D517=0, 33, "cc")</f>
        <v>cc</v>
      </c>
    </row>
    <row r="518" customFormat="false" ht="18.65" hidden="false" customHeight="true" outlineLevel="0" collapsed="false">
      <c r="A518" s="1" t="n">
        <f aca="false">ROW()-2</f>
        <v>516</v>
      </c>
      <c r="B518" s="1" t="n">
        <f aca="false">INT(A518/$N$1)</f>
        <v>28</v>
      </c>
      <c r="C518" s="1" t="n">
        <f aca="false">INT(MOD(A518,$N$1) / 2)</f>
        <v>6</v>
      </c>
      <c r="D518" s="1" t="n">
        <f aca="false">_xlfn.BITAND(A518,1)</f>
        <v>0</v>
      </c>
      <c r="F518" s="1" t="str">
        <f aca="false">DEC2HEX(B518*$N$3*18)</f>
        <v>7E00</v>
      </c>
      <c r="G518" s="1" t="str">
        <f aca="false">DEC2HEX(C518*7)</f>
        <v>2A</v>
      </c>
      <c r="H518" s="1" t="n">
        <f aca="false">IF(D518=0, 33, "cc")</f>
        <v>33</v>
      </c>
    </row>
    <row r="519" customFormat="false" ht="18.65" hidden="false" customHeight="true" outlineLevel="0" collapsed="false">
      <c r="A519" s="1" t="n">
        <f aca="false">ROW()-2</f>
        <v>517</v>
      </c>
      <c r="B519" s="1" t="n">
        <f aca="false">INT(A519/$N$1)</f>
        <v>28</v>
      </c>
      <c r="C519" s="1" t="n">
        <f aca="false">INT(MOD(A519,$N$1) / 2)</f>
        <v>6</v>
      </c>
      <c r="D519" s="1" t="n">
        <f aca="false">_xlfn.BITAND(A519,1)</f>
        <v>1</v>
      </c>
      <c r="F519" s="1" t="str">
        <f aca="false">DEC2HEX(B519*$N$3*18)</f>
        <v>7E00</v>
      </c>
      <c r="G519" s="1" t="str">
        <f aca="false">DEC2HEX(C519*7)</f>
        <v>2A</v>
      </c>
      <c r="H519" s="1" t="str">
        <f aca="false">IF(D519=0, 33, "cc")</f>
        <v>cc</v>
      </c>
    </row>
    <row r="520" customFormat="false" ht="18.65" hidden="false" customHeight="true" outlineLevel="0" collapsed="false">
      <c r="A520" s="1" t="n">
        <f aca="false">ROW()-2</f>
        <v>518</v>
      </c>
      <c r="B520" s="1" t="n">
        <f aca="false">INT(A520/$N$1)</f>
        <v>28</v>
      </c>
      <c r="C520" s="1" t="n">
        <f aca="false">INT(MOD(A520,$N$1) / 2)</f>
        <v>7</v>
      </c>
      <c r="D520" s="1" t="n">
        <f aca="false">_xlfn.BITAND(A520,1)</f>
        <v>0</v>
      </c>
      <c r="F520" s="1" t="str">
        <f aca="false">DEC2HEX(B520*$N$3*18)</f>
        <v>7E00</v>
      </c>
      <c r="G520" s="1" t="str">
        <f aca="false">DEC2HEX(C520*7)</f>
        <v>31</v>
      </c>
      <c r="H520" s="1" t="n">
        <f aca="false">IF(D520=0, 33, "cc")</f>
        <v>33</v>
      </c>
    </row>
    <row r="521" customFormat="false" ht="18.65" hidden="false" customHeight="true" outlineLevel="0" collapsed="false">
      <c r="A521" s="1" t="n">
        <f aca="false">ROW()-2</f>
        <v>519</v>
      </c>
      <c r="B521" s="1" t="n">
        <f aca="false">INT(A521/$N$1)</f>
        <v>28</v>
      </c>
      <c r="C521" s="1" t="n">
        <f aca="false">INT(MOD(A521,$N$1) / 2)</f>
        <v>7</v>
      </c>
      <c r="D521" s="1" t="n">
        <f aca="false">_xlfn.BITAND(A521,1)</f>
        <v>1</v>
      </c>
      <c r="F521" s="1" t="str">
        <f aca="false">DEC2HEX(B521*$N$3*18)</f>
        <v>7E00</v>
      </c>
      <c r="G521" s="1" t="str">
        <f aca="false">DEC2HEX(C521*7)</f>
        <v>31</v>
      </c>
      <c r="H521" s="1" t="str">
        <f aca="false">IF(D521=0, 33, "cc")</f>
        <v>cc</v>
      </c>
    </row>
    <row r="522" customFormat="false" ht="18.65" hidden="false" customHeight="true" outlineLevel="0" collapsed="false">
      <c r="A522" s="1" t="n">
        <f aca="false">ROW()-2</f>
        <v>520</v>
      </c>
      <c r="B522" s="1" t="n">
        <f aca="false">INT(A522/$N$1)</f>
        <v>28</v>
      </c>
      <c r="C522" s="1" t="n">
        <f aca="false">INT(MOD(A522,$N$1) / 2)</f>
        <v>8</v>
      </c>
      <c r="D522" s="1" t="n">
        <f aca="false">_xlfn.BITAND(A522,1)</f>
        <v>0</v>
      </c>
      <c r="F522" s="1" t="str">
        <f aca="false">DEC2HEX(B522*$N$3*18)</f>
        <v>7E00</v>
      </c>
      <c r="G522" s="1" t="str">
        <f aca="false">DEC2HEX(C522*7)</f>
        <v>38</v>
      </c>
      <c r="H522" s="1" t="n">
        <f aca="false">IF(D522=0, 33, "cc")</f>
        <v>33</v>
      </c>
    </row>
    <row r="523" customFormat="false" ht="18.65" hidden="false" customHeight="true" outlineLevel="0" collapsed="false">
      <c r="A523" s="1" t="n">
        <f aca="false">ROW()-2</f>
        <v>521</v>
      </c>
      <c r="B523" s="1" t="n">
        <f aca="false">INT(A523/$N$1)</f>
        <v>28</v>
      </c>
      <c r="C523" s="1" t="n">
        <f aca="false">INT(MOD(A523,$N$1) / 2)</f>
        <v>8</v>
      </c>
      <c r="D523" s="1" t="n">
        <f aca="false">_xlfn.BITAND(A523,1)</f>
        <v>1</v>
      </c>
      <c r="F523" s="1" t="str">
        <f aca="false">DEC2HEX(B523*$N$3*18)</f>
        <v>7E00</v>
      </c>
      <c r="G523" s="1" t="str">
        <f aca="false">DEC2HEX(C523*7)</f>
        <v>38</v>
      </c>
      <c r="H523" s="1" t="str">
        <f aca="false">IF(D523=0, 33, "cc")</f>
        <v>cc</v>
      </c>
    </row>
    <row r="524" customFormat="false" ht="18.65" hidden="false" customHeight="true" outlineLevel="0" collapsed="false">
      <c r="A524" s="1" t="n">
        <f aca="false">ROW()-2</f>
        <v>522</v>
      </c>
      <c r="B524" s="1" t="n">
        <f aca="false">INT(A524/$N$1)</f>
        <v>29</v>
      </c>
      <c r="C524" s="1" t="n">
        <f aca="false">INT(MOD(A524,$N$1) / 2)</f>
        <v>0</v>
      </c>
      <c r="D524" s="1" t="n">
        <f aca="false">_xlfn.BITAND(A524,1)</f>
        <v>0</v>
      </c>
      <c r="F524" s="1" t="str">
        <f aca="false">DEC2HEX(B524*$N$3*18)</f>
        <v>8280</v>
      </c>
      <c r="G524" s="1" t="str">
        <f aca="false">DEC2HEX(C524*7)</f>
        <v>0</v>
      </c>
      <c r="H524" s="1" t="n">
        <f aca="false">IF(D524=0, 33, "cc")</f>
        <v>33</v>
      </c>
    </row>
    <row r="525" customFormat="false" ht="18.65" hidden="false" customHeight="true" outlineLevel="0" collapsed="false">
      <c r="A525" s="1" t="n">
        <f aca="false">ROW()-2</f>
        <v>523</v>
      </c>
      <c r="B525" s="1" t="n">
        <f aca="false">INT(A525/$N$1)</f>
        <v>29</v>
      </c>
      <c r="C525" s="1" t="n">
        <f aca="false">INT(MOD(A525,$N$1) / 2)</f>
        <v>0</v>
      </c>
      <c r="D525" s="1" t="n">
        <f aca="false">_xlfn.BITAND(A525,1)</f>
        <v>1</v>
      </c>
      <c r="F525" s="1" t="str">
        <f aca="false">DEC2HEX(B525*$N$3*18)</f>
        <v>8280</v>
      </c>
      <c r="G525" s="1" t="str">
        <f aca="false">DEC2HEX(C525*7)</f>
        <v>0</v>
      </c>
      <c r="H525" s="1" t="str">
        <f aca="false">IF(D525=0, 33, "cc")</f>
        <v>cc</v>
      </c>
    </row>
    <row r="526" customFormat="false" ht="18.65" hidden="false" customHeight="true" outlineLevel="0" collapsed="false">
      <c r="A526" s="1" t="n">
        <f aca="false">ROW()-2</f>
        <v>524</v>
      </c>
      <c r="B526" s="1" t="n">
        <f aca="false">INT(A526/$N$1)</f>
        <v>29</v>
      </c>
      <c r="C526" s="1" t="n">
        <f aca="false">INT(MOD(A526,$N$1) / 2)</f>
        <v>1</v>
      </c>
      <c r="D526" s="1" t="n">
        <f aca="false">_xlfn.BITAND(A526,1)</f>
        <v>0</v>
      </c>
      <c r="F526" s="1" t="str">
        <f aca="false">DEC2HEX(B526*$N$3*18)</f>
        <v>8280</v>
      </c>
      <c r="G526" s="1" t="str">
        <f aca="false">DEC2HEX(C526*7)</f>
        <v>7</v>
      </c>
      <c r="H526" s="1" t="n">
        <f aca="false">IF(D526=0, 33, "cc")</f>
        <v>33</v>
      </c>
    </row>
    <row r="527" customFormat="false" ht="18.65" hidden="false" customHeight="true" outlineLevel="0" collapsed="false">
      <c r="A527" s="1" t="n">
        <f aca="false">ROW()-2</f>
        <v>525</v>
      </c>
      <c r="B527" s="1" t="n">
        <f aca="false">INT(A527/$N$1)</f>
        <v>29</v>
      </c>
      <c r="C527" s="1" t="n">
        <f aca="false">INT(MOD(A527,$N$1) / 2)</f>
        <v>1</v>
      </c>
      <c r="D527" s="1" t="n">
        <f aca="false">_xlfn.BITAND(A527,1)</f>
        <v>1</v>
      </c>
      <c r="F527" s="1" t="str">
        <f aca="false">DEC2HEX(B527*$N$3*18)</f>
        <v>8280</v>
      </c>
      <c r="G527" s="1" t="str">
        <f aca="false">DEC2HEX(C527*7)</f>
        <v>7</v>
      </c>
      <c r="H527" s="1" t="str">
        <f aca="false">IF(D527=0, 33, "cc")</f>
        <v>cc</v>
      </c>
    </row>
    <row r="528" customFormat="false" ht="18.65" hidden="false" customHeight="true" outlineLevel="0" collapsed="false">
      <c r="A528" s="1" t="n">
        <f aca="false">ROW()-2</f>
        <v>526</v>
      </c>
      <c r="B528" s="1" t="n">
        <f aca="false">INT(A528/$N$1)</f>
        <v>29</v>
      </c>
      <c r="C528" s="1" t="n">
        <f aca="false">INT(MOD(A528,$N$1) / 2)</f>
        <v>2</v>
      </c>
      <c r="D528" s="1" t="n">
        <f aca="false">_xlfn.BITAND(A528,1)</f>
        <v>0</v>
      </c>
      <c r="F528" s="1" t="str">
        <f aca="false">DEC2HEX(B528*$N$3*18)</f>
        <v>8280</v>
      </c>
      <c r="G528" s="1" t="str">
        <f aca="false">DEC2HEX(C528*7)</f>
        <v>E</v>
      </c>
      <c r="H528" s="1" t="n">
        <f aca="false">IF(D528=0, 33, "cc")</f>
        <v>33</v>
      </c>
    </row>
    <row r="529" customFormat="false" ht="18.65" hidden="false" customHeight="true" outlineLevel="0" collapsed="false">
      <c r="A529" s="1" t="n">
        <f aca="false">ROW()-2</f>
        <v>527</v>
      </c>
      <c r="B529" s="1" t="n">
        <f aca="false">INT(A529/$N$1)</f>
        <v>29</v>
      </c>
      <c r="C529" s="1" t="n">
        <f aca="false">INT(MOD(A529,$N$1) / 2)</f>
        <v>2</v>
      </c>
      <c r="D529" s="1" t="n">
        <f aca="false">_xlfn.BITAND(A529,1)</f>
        <v>1</v>
      </c>
      <c r="F529" s="1" t="str">
        <f aca="false">DEC2HEX(B529*$N$3*18)</f>
        <v>8280</v>
      </c>
      <c r="G529" s="1" t="str">
        <f aca="false">DEC2HEX(C529*7)</f>
        <v>E</v>
      </c>
      <c r="H529" s="1" t="str">
        <f aca="false">IF(D529=0, 33, "cc")</f>
        <v>cc</v>
      </c>
    </row>
    <row r="530" customFormat="false" ht="18.65" hidden="false" customHeight="true" outlineLevel="0" collapsed="false">
      <c r="A530" s="1" t="n">
        <f aca="false">ROW()-2</f>
        <v>528</v>
      </c>
      <c r="B530" s="1" t="n">
        <f aca="false">INT(A530/$N$1)</f>
        <v>29</v>
      </c>
      <c r="C530" s="1" t="n">
        <f aca="false">INT(MOD(A530,$N$1) / 2)</f>
        <v>3</v>
      </c>
      <c r="D530" s="1" t="n">
        <f aca="false">_xlfn.BITAND(A530,1)</f>
        <v>0</v>
      </c>
      <c r="F530" s="1" t="str">
        <f aca="false">DEC2HEX(B530*$N$3*18)</f>
        <v>8280</v>
      </c>
      <c r="G530" s="1" t="str">
        <f aca="false">DEC2HEX(C530*7)</f>
        <v>15</v>
      </c>
      <c r="H530" s="1" t="n">
        <f aca="false">IF(D530=0, 33, "cc")</f>
        <v>33</v>
      </c>
    </row>
    <row r="531" customFormat="false" ht="18.65" hidden="false" customHeight="true" outlineLevel="0" collapsed="false">
      <c r="A531" s="1" t="n">
        <f aca="false">ROW()-2</f>
        <v>529</v>
      </c>
      <c r="B531" s="1" t="n">
        <f aca="false">INT(A531/$N$1)</f>
        <v>29</v>
      </c>
      <c r="C531" s="1" t="n">
        <f aca="false">INT(MOD(A531,$N$1) / 2)</f>
        <v>3</v>
      </c>
      <c r="D531" s="1" t="n">
        <f aca="false">_xlfn.BITAND(A531,1)</f>
        <v>1</v>
      </c>
      <c r="F531" s="1" t="str">
        <f aca="false">DEC2HEX(B531*$N$3*18)</f>
        <v>8280</v>
      </c>
      <c r="G531" s="1" t="str">
        <f aca="false">DEC2HEX(C531*7)</f>
        <v>15</v>
      </c>
      <c r="H531" s="1" t="str">
        <f aca="false">IF(D531=0, 33, "cc")</f>
        <v>cc</v>
      </c>
    </row>
    <row r="532" customFormat="false" ht="18.65" hidden="false" customHeight="true" outlineLevel="0" collapsed="false">
      <c r="A532" s="1" t="n">
        <f aca="false">ROW()-2</f>
        <v>530</v>
      </c>
      <c r="B532" s="1" t="n">
        <f aca="false">INT(A532/$N$1)</f>
        <v>29</v>
      </c>
      <c r="C532" s="1" t="n">
        <f aca="false">INT(MOD(A532,$N$1) / 2)</f>
        <v>4</v>
      </c>
      <c r="D532" s="1" t="n">
        <f aca="false">_xlfn.BITAND(A532,1)</f>
        <v>0</v>
      </c>
      <c r="F532" s="1" t="str">
        <f aca="false">DEC2HEX(B532*$N$3*18)</f>
        <v>8280</v>
      </c>
      <c r="G532" s="1" t="str">
        <f aca="false">DEC2HEX(C532*7)</f>
        <v>1C</v>
      </c>
      <c r="H532" s="1" t="n">
        <f aca="false">IF(D532=0, 33, "cc")</f>
        <v>33</v>
      </c>
    </row>
    <row r="533" customFormat="false" ht="18.65" hidden="false" customHeight="true" outlineLevel="0" collapsed="false">
      <c r="A533" s="1" t="n">
        <f aca="false">ROW()-2</f>
        <v>531</v>
      </c>
      <c r="B533" s="1" t="n">
        <f aca="false">INT(A533/$N$1)</f>
        <v>29</v>
      </c>
      <c r="C533" s="1" t="n">
        <f aca="false">INT(MOD(A533,$N$1) / 2)</f>
        <v>4</v>
      </c>
      <c r="D533" s="1" t="n">
        <f aca="false">_xlfn.BITAND(A533,1)</f>
        <v>1</v>
      </c>
      <c r="F533" s="1" t="str">
        <f aca="false">DEC2HEX(B533*$N$3*18)</f>
        <v>8280</v>
      </c>
      <c r="G533" s="1" t="str">
        <f aca="false">DEC2HEX(C533*7)</f>
        <v>1C</v>
      </c>
      <c r="H533" s="1" t="str">
        <f aca="false">IF(D533=0, 33, "cc")</f>
        <v>cc</v>
      </c>
    </row>
    <row r="534" customFormat="false" ht="18.65" hidden="false" customHeight="true" outlineLevel="0" collapsed="false">
      <c r="A534" s="1" t="n">
        <f aca="false">ROW()-2</f>
        <v>532</v>
      </c>
      <c r="B534" s="1" t="n">
        <f aca="false">INT(A534/$N$1)</f>
        <v>29</v>
      </c>
      <c r="C534" s="1" t="n">
        <f aca="false">INT(MOD(A534,$N$1) / 2)</f>
        <v>5</v>
      </c>
      <c r="D534" s="1" t="n">
        <f aca="false">_xlfn.BITAND(A534,1)</f>
        <v>0</v>
      </c>
      <c r="F534" s="1" t="str">
        <f aca="false">DEC2HEX(B534*$N$3*18)</f>
        <v>8280</v>
      </c>
      <c r="G534" s="1" t="str">
        <f aca="false">DEC2HEX(C534*7)</f>
        <v>23</v>
      </c>
      <c r="H534" s="1" t="n">
        <f aca="false">IF(D534=0, 33, "cc")</f>
        <v>33</v>
      </c>
    </row>
    <row r="535" customFormat="false" ht="18.65" hidden="false" customHeight="true" outlineLevel="0" collapsed="false">
      <c r="A535" s="1" t="n">
        <f aca="false">ROW()-2</f>
        <v>533</v>
      </c>
      <c r="B535" s="1" t="n">
        <f aca="false">INT(A535/$N$1)</f>
        <v>29</v>
      </c>
      <c r="C535" s="1" t="n">
        <f aca="false">INT(MOD(A535,$N$1) / 2)</f>
        <v>5</v>
      </c>
      <c r="D535" s="1" t="n">
        <f aca="false">_xlfn.BITAND(A535,1)</f>
        <v>1</v>
      </c>
      <c r="F535" s="1" t="str">
        <f aca="false">DEC2HEX(B535*$N$3*18)</f>
        <v>8280</v>
      </c>
      <c r="G535" s="1" t="str">
        <f aca="false">DEC2HEX(C535*7)</f>
        <v>23</v>
      </c>
      <c r="H535" s="1" t="str">
        <f aca="false">IF(D535=0, 33, "cc")</f>
        <v>cc</v>
      </c>
    </row>
    <row r="536" customFormat="false" ht="18.65" hidden="false" customHeight="true" outlineLevel="0" collapsed="false">
      <c r="A536" s="1" t="n">
        <f aca="false">ROW()-2</f>
        <v>534</v>
      </c>
      <c r="B536" s="1" t="n">
        <f aca="false">INT(A536/$N$1)</f>
        <v>29</v>
      </c>
      <c r="C536" s="1" t="n">
        <f aca="false">INT(MOD(A536,$N$1) / 2)</f>
        <v>6</v>
      </c>
      <c r="D536" s="1" t="n">
        <f aca="false">_xlfn.BITAND(A536,1)</f>
        <v>0</v>
      </c>
      <c r="F536" s="1" t="str">
        <f aca="false">DEC2HEX(B536*$N$3*18)</f>
        <v>8280</v>
      </c>
      <c r="G536" s="1" t="str">
        <f aca="false">DEC2HEX(C536*7)</f>
        <v>2A</v>
      </c>
      <c r="H536" s="1" t="n">
        <f aca="false">IF(D536=0, 33, "cc")</f>
        <v>33</v>
      </c>
    </row>
    <row r="537" customFormat="false" ht="18.65" hidden="false" customHeight="true" outlineLevel="0" collapsed="false">
      <c r="A537" s="1" t="n">
        <f aca="false">ROW()-2</f>
        <v>535</v>
      </c>
      <c r="B537" s="1" t="n">
        <f aca="false">INT(A537/$N$1)</f>
        <v>29</v>
      </c>
      <c r="C537" s="1" t="n">
        <f aca="false">INT(MOD(A537,$N$1) / 2)</f>
        <v>6</v>
      </c>
      <c r="D537" s="1" t="n">
        <f aca="false">_xlfn.BITAND(A537,1)</f>
        <v>1</v>
      </c>
      <c r="F537" s="1" t="str">
        <f aca="false">DEC2HEX(B537*$N$3*18)</f>
        <v>8280</v>
      </c>
      <c r="G537" s="1" t="str">
        <f aca="false">DEC2HEX(C537*7)</f>
        <v>2A</v>
      </c>
      <c r="H537" s="1" t="str">
        <f aca="false">IF(D537=0, 33, "cc")</f>
        <v>cc</v>
      </c>
    </row>
    <row r="538" customFormat="false" ht="18.65" hidden="false" customHeight="true" outlineLevel="0" collapsed="false">
      <c r="A538" s="1" t="n">
        <f aca="false">ROW()-2</f>
        <v>536</v>
      </c>
      <c r="B538" s="1" t="n">
        <f aca="false">INT(A538/$N$1)</f>
        <v>29</v>
      </c>
      <c r="C538" s="1" t="n">
        <f aca="false">INT(MOD(A538,$N$1) / 2)</f>
        <v>7</v>
      </c>
      <c r="D538" s="1" t="n">
        <f aca="false">_xlfn.BITAND(A538,1)</f>
        <v>0</v>
      </c>
      <c r="F538" s="1" t="str">
        <f aca="false">DEC2HEX(B538*$N$3*18)</f>
        <v>8280</v>
      </c>
      <c r="G538" s="1" t="str">
        <f aca="false">DEC2HEX(C538*7)</f>
        <v>31</v>
      </c>
      <c r="H538" s="1" t="n">
        <f aca="false">IF(D538=0, 33, "cc")</f>
        <v>33</v>
      </c>
    </row>
    <row r="539" customFormat="false" ht="18.65" hidden="false" customHeight="true" outlineLevel="0" collapsed="false">
      <c r="A539" s="1" t="n">
        <f aca="false">ROW()-2</f>
        <v>537</v>
      </c>
      <c r="B539" s="1" t="n">
        <f aca="false">INT(A539/$N$1)</f>
        <v>29</v>
      </c>
      <c r="C539" s="1" t="n">
        <f aca="false">INT(MOD(A539,$N$1) / 2)</f>
        <v>7</v>
      </c>
      <c r="D539" s="1" t="n">
        <f aca="false">_xlfn.BITAND(A539,1)</f>
        <v>1</v>
      </c>
      <c r="F539" s="1" t="str">
        <f aca="false">DEC2HEX(B539*$N$3*18)</f>
        <v>8280</v>
      </c>
      <c r="G539" s="1" t="str">
        <f aca="false">DEC2HEX(C539*7)</f>
        <v>31</v>
      </c>
      <c r="H539" s="1" t="str">
        <f aca="false">IF(D539=0, 33, "cc")</f>
        <v>cc</v>
      </c>
    </row>
    <row r="540" customFormat="false" ht="18.65" hidden="false" customHeight="true" outlineLevel="0" collapsed="false">
      <c r="A540" s="1" t="n">
        <f aca="false">ROW()-2</f>
        <v>538</v>
      </c>
      <c r="B540" s="1" t="n">
        <f aca="false">INT(A540/$N$1)</f>
        <v>29</v>
      </c>
      <c r="C540" s="1" t="n">
        <f aca="false">INT(MOD(A540,$N$1) / 2)</f>
        <v>8</v>
      </c>
      <c r="D540" s="1" t="n">
        <f aca="false">_xlfn.BITAND(A540,1)</f>
        <v>0</v>
      </c>
      <c r="F540" s="1" t="str">
        <f aca="false">DEC2HEX(B540*$N$3*18)</f>
        <v>8280</v>
      </c>
      <c r="G540" s="1" t="str">
        <f aca="false">DEC2HEX(C540*7)</f>
        <v>38</v>
      </c>
      <c r="H540" s="1" t="n">
        <f aca="false">IF(D540=0, 33, "cc")</f>
        <v>33</v>
      </c>
    </row>
    <row r="541" customFormat="false" ht="18.65" hidden="false" customHeight="true" outlineLevel="0" collapsed="false">
      <c r="A541" s="1" t="n">
        <f aca="false">ROW()-2</f>
        <v>539</v>
      </c>
      <c r="B541" s="1" t="n">
        <f aca="false">INT(A541/$N$1)</f>
        <v>29</v>
      </c>
      <c r="C541" s="1" t="n">
        <f aca="false">INT(MOD(A541,$N$1) / 2)</f>
        <v>8</v>
      </c>
      <c r="D541" s="1" t="n">
        <f aca="false">_xlfn.BITAND(A541,1)</f>
        <v>1</v>
      </c>
      <c r="F541" s="1" t="str">
        <f aca="false">DEC2HEX(B541*$N$3*18)</f>
        <v>8280</v>
      </c>
      <c r="G541" s="1" t="str">
        <f aca="false">DEC2HEX(C541*7)</f>
        <v>38</v>
      </c>
      <c r="H541" s="1" t="str">
        <f aca="false">IF(D541=0, 33, "cc")</f>
        <v>cc</v>
      </c>
    </row>
    <row r="542" customFormat="false" ht="18.65" hidden="false" customHeight="true" outlineLevel="0" collapsed="false">
      <c r="A542" s="1" t="n">
        <f aca="false">ROW()-2</f>
        <v>540</v>
      </c>
      <c r="B542" s="1" t="n">
        <f aca="false">INT(A542/$N$1)</f>
        <v>30</v>
      </c>
      <c r="C542" s="1" t="n">
        <f aca="false">INT(MOD(A542,$N$1) / 2)</f>
        <v>0</v>
      </c>
      <c r="D542" s="1" t="n">
        <f aca="false">_xlfn.BITAND(A542,1)</f>
        <v>0</v>
      </c>
      <c r="F542" s="1" t="str">
        <f aca="false">DEC2HEX(B542*$N$3*18)</f>
        <v>8700</v>
      </c>
      <c r="G542" s="1" t="str">
        <f aca="false">DEC2HEX(C542*7)</f>
        <v>0</v>
      </c>
      <c r="H542" s="1" t="n">
        <f aca="false">IF(D542=0, 33, "cc")</f>
        <v>33</v>
      </c>
    </row>
    <row r="543" customFormat="false" ht="18.65" hidden="false" customHeight="true" outlineLevel="0" collapsed="false">
      <c r="A543" s="1" t="n">
        <f aca="false">ROW()-2</f>
        <v>541</v>
      </c>
      <c r="B543" s="1" t="n">
        <f aca="false">INT(A543/$N$1)</f>
        <v>30</v>
      </c>
      <c r="C543" s="1" t="n">
        <f aca="false">INT(MOD(A543,$N$1) / 2)</f>
        <v>0</v>
      </c>
      <c r="D543" s="1" t="n">
        <f aca="false">_xlfn.BITAND(A543,1)</f>
        <v>1</v>
      </c>
      <c r="F543" s="1" t="str">
        <f aca="false">DEC2HEX(B543*$N$3*18)</f>
        <v>8700</v>
      </c>
      <c r="G543" s="1" t="str">
        <f aca="false">DEC2HEX(C543*7)</f>
        <v>0</v>
      </c>
      <c r="H543" s="1" t="str">
        <f aca="false">IF(D543=0, 33, "cc")</f>
        <v>cc</v>
      </c>
    </row>
    <row r="544" customFormat="false" ht="18.65" hidden="false" customHeight="true" outlineLevel="0" collapsed="false">
      <c r="A544" s="1" t="n">
        <f aca="false">ROW()-2</f>
        <v>542</v>
      </c>
      <c r="B544" s="1" t="n">
        <f aca="false">INT(A544/$N$1)</f>
        <v>30</v>
      </c>
      <c r="C544" s="1" t="n">
        <f aca="false">INT(MOD(A544,$N$1) / 2)</f>
        <v>1</v>
      </c>
      <c r="D544" s="1" t="n">
        <f aca="false">_xlfn.BITAND(A544,1)</f>
        <v>0</v>
      </c>
      <c r="F544" s="1" t="str">
        <f aca="false">DEC2HEX(B544*$N$3*18)</f>
        <v>8700</v>
      </c>
      <c r="G544" s="1" t="str">
        <f aca="false">DEC2HEX(C544*7)</f>
        <v>7</v>
      </c>
      <c r="H544" s="1" t="n">
        <f aca="false">IF(D544=0, 33, "cc")</f>
        <v>33</v>
      </c>
    </row>
    <row r="545" customFormat="false" ht="18.65" hidden="false" customHeight="true" outlineLevel="0" collapsed="false">
      <c r="A545" s="1" t="n">
        <f aca="false">ROW()-2</f>
        <v>543</v>
      </c>
      <c r="B545" s="1" t="n">
        <f aca="false">INT(A545/$N$1)</f>
        <v>30</v>
      </c>
      <c r="C545" s="1" t="n">
        <f aca="false">INT(MOD(A545,$N$1) / 2)</f>
        <v>1</v>
      </c>
      <c r="D545" s="1" t="n">
        <f aca="false">_xlfn.BITAND(A545,1)</f>
        <v>1</v>
      </c>
      <c r="F545" s="1" t="str">
        <f aca="false">DEC2HEX(B545*$N$3*18)</f>
        <v>8700</v>
      </c>
      <c r="G545" s="1" t="str">
        <f aca="false">DEC2HEX(C545*7)</f>
        <v>7</v>
      </c>
      <c r="H545" s="1" t="str">
        <f aca="false">IF(D545=0, 33, "cc")</f>
        <v>cc</v>
      </c>
    </row>
    <row r="546" customFormat="false" ht="18.65" hidden="false" customHeight="true" outlineLevel="0" collapsed="false">
      <c r="A546" s="1" t="n">
        <f aca="false">ROW()-2</f>
        <v>544</v>
      </c>
      <c r="B546" s="1" t="n">
        <f aca="false">INT(A546/$N$1)</f>
        <v>30</v>
      </c>
      <c r="C546" s="1" t="n">
        <f aca="false">INT(MOD(A546,$N$1) / 2)</f>
        <v>2</v>
      </c>
      <c r="D546" s="1" t="n">
        <f aca="false">_xlfn.BITAND(A546,1)</f>
        <v>0</v>
      </c>
      <c r="F546" s="1" t="str">
        <f aca="false">DEC2HEX(B546*$N$3*18)</f>
        <v>8700</v>
      </c>
      <c r="G546" s="1" t="str">
        <f aca="false">DEC2HEX(C546*7)</f>
        <v>E</v>
      </c>
      <c r="H546" s="1" t="n">
        <f aca="false">IF(D546=0, 33, "cc")</f>
        <v>33</v>
      </c>
    </row>
    <row r="547" customFormat="false" ht="18.65" hidden="false" customHeight="true" outlineLevel="0" collapsed="false">
      <c r="A547" s="1" t="n">
        <f aca="false">ROW()-2</f>
        <v>545</v>
      </c>
      <c r="B547" s="1" t="n">
        <f aca="false">INT(A547/$N$1)</f>
        <v>30</v>
      </c>
      <c r="C547" s="1" t="n">
        <f aca="false">INT(MOD(A547,$N$1) / 2)</f>
        <v>2</v>
      </c>
      <c r="D547" s="1" t="n">
        <f aca="false">_xlfn.BITAND(A547,1)</f>
        <v>1</v>
      </c>
      <c r="F547" s="1" t="str">
        <f aca="false">DEC2HEX(B547*$N$3*18)</f>
        <v>8700</v>
      </c>
      <c r="G547" s="1" t="str">
        <f aca="false">DEC2HEX(C547*7)</f>
        <v>E</v>
      </c>
      <c r="H547" s="1" t="str">
        <f aca="false">IF(D547=0, 33, "cc")</f>
        <v>cc</v>
      </c>
    </row>
    <row r="548" customFormat="false" ht="18.65" hidden="false" customHeight="true" outlineLevel="0" collapsed="false">
      <c r="A548" s="1" t="n">
        <f aca="false">ROW()-2</f>
        <v>546</v>
      </c>
      <c r="B548" s="1" t="n">
        <f aca="false">INT(A548/$N$1)</f>
        <v>30</v>
      </c>
      <c r="C548" s="1" t="n">
        <f aca="false">INT(MOD(A548,$N$1) / 2)</f>
        <v>3</v>
      </c>
      <c r="D548" s="1" t="n">
        <f aca="false">_xlfn.BITAND(A548,1)</f>
        <v>0</v>
      </c>
      <c r="F548" s="1" t="str">
        <f aca="false">DEC2HEX(B548*$N$3*18)</f>
        <v>8700</v>
      </c>
      <c r="G548" s="1" t="str">
        <f aca="false">DEC2HEX(C548*7)</f>
        <v>15</v>
      </c>
      <c r="H548" s="1" t="n">
        <f aca="false">IF(D548=0, 33, "cc")</f>
        <v>33</v>
      </c>
    </row>
    <row r="549" customFormat="false" ht="18.65" hidden="false" customHeight="true" outlineLevel="0" collapsed="false">
      <c r="A549" s="1" t="n">
        <f aca="false">ROW()-2</f>
        <v>547</v>
      </c>
      <c r="B549" s="1" t="n">
        <f aca="false">INT(A549/$N$1)</f>
        <v>30</v>
      </c>
      <c r="C549" s="1" t="n">
        <f aca="false">INT(MOD(A549,$N$1) / 2)</f>
        <v>3</v>
      </c>
      <c r="D549" s="1" t="n">
        <f aca="false">_xlfn.BITAND(A549,1)</f>
        <v>1</v>
      </c>
      <c r="F549" s="1" t="str">
        <f aca="false">DEC2HEX(B549*$N$3*18)</f>
        <v>8700</v>
      </c>
      <c r="G549" s="1" t="str">
        <f aca="false">DEC2HEX(C549*7)</f>
        <v>15</v>
      </c>
      <c r="H549" s="1" t="str">
        <f aca="false">IF(D549=0, 33, "cc")</f>
        <v>cc</v>
      </c>
    </row>
    <row r="550" customFormat="false" ht="18.65" hidden="false" customHeight="true" outlineLevel="0" collapsed="false">
      <c r="A550" s="1" t="n">
        <f aca="false">ROW()-2</f>
        <v>548</v>
      </c>
      <c r="B550" s="1" t="n">
        <f aca="false">INT(A550/$N$1)</f>
        <v>30</v>
      </c>
      <c r="C550" s="1" t="n">
        <f aca="false">INT(MOD(A550,$N$1) / 2)</f>
        <v>4</v>
      </c>
      <c r="D550" s="1" t="n">
        <f aca="false">_xlfn.BITAND(A550,1)</f>
        <v>0</v>
      </c>
      <c r="F550" s="1" t="str">
        <f aca="false">DEC2HEX(B550*$N$3*18)</f>
        <v>8700</v>
      </c>
      <c r="G550" s="1" t="str">
        <f aca="false">DEC2HEX(C550*7)</f>
        <v>1C</v>
      </c>
      <c r="H550" s="1" t="n">
        <f aca="false">IF(D550=0, 33, "cc")</f>
        <v>33</v>
      </c>
    </row>
    <row r="551" customFormat="false" ht="18.65" hidden="false" customHeight="true" outlineLevel="0" collapsed="false">
      <c r="A551" s="1" t="n">
        <f aca="false">ROW()-2</f>
        <v>549</v>
      </c>
      <c r="B551" s="1" t="n">
        <f aca="false">INT(A551/$N$1)</f>
        <v>30</v>
      </c>
      <c r="C551" s="1" t="n">
        <f aca="false">INT(MOD(A551,$N$1) / 2)</f>
        <v>4</v>
      </c>
      <c r="D551" s="1" t="n">
        <f aca="false">_xlfn.BITAND(A551,1)</f>
        <v>1</v>
      </c>
      <c r="F551" s="1" t="str">
        <f aca="false">DEC2HEX(B551*$N$3*18)</f>
        <v>8700</v>
      </c>
      <c r="G551" s="1" t="str">
        <f aca="false">DEC2HEX(C551*7)</f>
        <v>1C</v>
      </c>
      <c r="H551" s="1" t="str">
        <f aca="false">IF(D551=0, 33, "cc")</f>
        <v>cc</v>
      </c>
    </row>
    <row r="552" customFormat="false" ht="18.65" hidden="false" customHeight="true" outlineLevel="0" collapsed="false">
      <c r="A552" s="1" t="n">
        <f aca="false">ROW()-2</f>
        <v>550</v>
      </c>
      <c r="B552" s="1" t="n">
        <f aca="false">INT(A552/$N$1)</f>
        <v>30</v>
      </c>
      <c r="C552" s="1" t="n">
        <f aca="false">INT(MOD(A552,$N$1) / 2)</f>
        <v>5</v>
      </c>
      <c r="D552" s="1" t="n">
        <f aca="false">_xlfn.BITAND(A552,1)</f>
        <v>0</v>
      </c>
      <c r="F552" s="1" t="str">
        <f aca="false">DEC2HEX(B552*$N$3*18)</f>
        <v>8700</v>
      </c>
      <c r="G552" s="1" t="str">
        <f aca="false">DEC2HEX(C552*7)</f>
        <v>23</v>
      </c>
      <c r="H552" s="1" t="n">
        <f aca="false">IF(D552=0, 33, "cc")</f>
        <v>33</v>
      </c>
    </row>
    <row r="553" customFormat="false" ht="18.65" hidden="false" customHeight="true" outlineLevel="0" collapsed="false">
      <c r="A553" s="1" t="n">
        <f aca="false">ROW()-2</f>
        <v>551</v>
      </c>
      <c r="B553" s="1" t="n">
        <f aca="false">INT(A553/$N$1)</f>
        <v>30</v>
      </c>
      <c r="C553" s="1" t="n">
        <f aca="false">INT(MOD(A553,$N$1) / 2)</f>
        <v>5</v>
      </c>
      <c r="D553" s="1" t="n">
        <f aca="false">_xlfn.BITAND(A553,1)</f>
        <v>1</v>
      </c>
      <c r="F553" s="1" t="str">
        <f aca="false">DEC2HEX(B553*$N$3*18)</f>
        <v>8700</v>
      </c>
      <c r="G553" s="1" t="str">
        <f aca="false">DEC2HEX(C553*7)</f>
        <v>23</v>
      </c>
      <c r="H553" s="1" t="str">
        <f aca="false">IF(D553=0, 33, "cc")</f>
        <v>cc</v>
      </c>
    </row>
    <row r="554" customFormat="false" ht="18.65" hidden="false" customHeight="true" outlineLevel="0" collapsed="false">
      <c r="A554" s="1" t="n">
        <f aca="false">ROW()-2</f>
        <v>552</v>
      </c>
      <c r="B554" s="1" t="n">
        <f aca="false">INT(A554/$N$1)</f>
        <v>30</v>
      </c>
      <c r="C554" s="1" t="n">
        <f aca="false">INT(MOD(A554,$N$1) / 2)</f>
        <v>6</v>
      </c>
      <c r="D554" s="1" t="n">
        <f aca="false">_xlfn.BITAND(A554,1)</f>
        <v>0</v>
      </c>
      <c r="F554" s="1" t="str">
        <f aca="false">DEC2HEX(B554*$N$3*18)</f>
        <v>8700</v>
      </c>
      <c r="G554" s="1" t="str">
        <f aca="false">DEC2HEX(C554*7)</f>
        <v>2A</v>
      </c>
      <c r="H554" s="1" t="n">
        <f aca="false">IF(D554=0, 33, "cc")</f>
        <v>33</v>
      </c>
    </row>
    <row r="555" customFormat="false" ht="18.65" hidden="false" customHeight="true" outlineLevel="0" collapsed="false">
      <c r="A555" s="1" t="n">
        <f aca="false">ROW()-2</f>
        <v>553</v>
      </c>
      <c r="B555" s="1" t="n">
        <f aca="false">INT(A555/$N$1)</f>
        <v>30</v>
      </c>
      <c r="C555" s="1" t="n">
        <f aca="false">INT(MOD(A555,$N$1) / 2)</f>
        <v>6</v>
      </c>
      <c r="D555" s="1" t="n">
        <f aca="false">_xlfn.BITAND(A555,1)</f>
        <v>1</v>
      </c>
      <c r="F555" s="1" t="str">
        <f aca="false">DEC2HEX(B555*$N$3*18)</f>
        <v>8700</v>
      </c>
      <c r="G555" s="1" t="str">
        <f aca="false">DEC2HEX(C555*7)</f>
        <v>2A</v>
      </c>
      <c r="H555" s="1" t="str">
        <f aca="false">IF(D555=0, 33, "cc")</f>
        <v>cc</v>
      </c>
    </row>
    <row r="556" customFormat="false" ht="18.65" hidden="false" customHeight="true" outlineLevel="0" collapsed="false">
      <c r="A556" s="1" t="n">
        <f aca="false">ROW()-2</f>
        <v>554</v>
      </c>
      <c r="B556" s="1" t="n">
        <f aca="false">INT(A556/$N$1)</f>
        <v>30</v>
      </c>
      <c r="C556" s="1" t="n">
        <f aca="false">INT(MOD(A556,$N$1) / 2)</f>
        <v>7</v>
      </c>
      <c r="D556" s="1" t="n">
        <f aca="false">_xlfn.BITAND(A556,1)</f>
        <v>0</v>
      </c>
      <c r="F556" s="1" t="str">
        <f aca="false">DEC2HEX(B556*$N$3*18)</f>
        <v>8700</v>
      </c>
      <c r="G556" s="1" t="str">
        <f aca="false">DEC2HEX(C556*7)</f>
        <v>31</v>
      </c>
      <c r="H556" s="1" t="n">
        <f aca="false">IF(D556=0, 33, "cc")</f>
        <v>33</v>
      </c>
    </row>
    <row r="557" customFormat="false" ht="18.65" hidden="false" customHeight="true" outlineLevel="0" collapsed="false">
      <c r="A557" s="1" t="n">
        <f aca="false">ROW()-2</f>
        <v>555</v>
      </c>
      <c r="B557" s="1" t="n">
        <f aca="false">INT(A557/$N$1)</f>
        <v>30</v>
      </c>
      <c r="C557" s="1" t="n">
        <f aca="false">INT(MOD(A557,$N$1) / 2)</f>
        <v>7</v>
      </c>
      <c r="D557" s="1" t="n">
        <f aca="false">_xlfn.BITAND(A557,1)</f>
        <v>1</v>
      </c>
      <c r="F557" s="1" t="str">
        <f aca="false">DEC2HEX(B557*$N$3*18)</f>
        <v>8700</v>
      </c>
      <c r="G557" s="1" t="str">
        <f aca="false">DEC2HEX(C557*7)</f>
        <v>31</v>
      </c>
      <c r="H557" s="1" t="str">
        <f aca="false">IF(D557=0, 33, "cc")</f>
        <v>cc</v>
      </c>
    </row>
    <row r="558" customFormat="false" ht="18.65" hidden="false" customHeight="true" outlineLevel="0" collapsed="false">
      <c r="A558" s="1" t="n">
        <f aca="false">ROW()-2</f>
        <v>556</v>
      </c>
      <c r="B558" s="1" t="n">
        <f aca="false">INT(A558/$N$1)</f>
        <v>30</v>
      </c>
      <c r="C558" s="1" t="n">
        <f aca="false">INT(MOD(A558,$N$1) / 2)</f>
        <v>8</v>
      </c>
      <c r="D558" s="1" t="n">
        <f aca="false">_xlfn.BITAND(A558,1)</f>
        <v>0</v>
      </c>
      <c r="F558" s="1" t="str">
        <f aca="false">DEC2HEX(B558*$N$3*18)</f>
        <v>8700</v>
      </c>
      <c r="G558" s="1" t="str">
        <f aca="false">DEC2HEX(C558*7)</f>
        <v>38</v>
      </c>
      <c r="H558" s="1" t="n">
        <f aca="false">IF(D558=0, 33, "cc")</f>
        <v>33</v>
      </c>
    </row>
    <row r="559" customFormat="false" ht="18.65" hidden="false" customHeight="true" outlineLevel="0" collapsed="false">
      <c r="A559" s="1" t="n">
        <f aca="false">ROW()-2</f>
        <v>557</v>
      </c>
      <c r="B559" s="1" t="n">
        <f aca="false">INT(A559/$N$1)</f>
        <v>30</v>
      </c>
      <c r="C559" s="1" t="n">
        <f aca="false">INT(MOD(A559,$N$1) / 2)</f>
        <v>8</v>
      </c>
      <c r="D559" s="1" t="n">
        <f aca="false">_xlfn.BITAND(A559,1)</f>
        <v>1</v>
      </c>
      <c r="F559" s="1" t="str">
        <f aca="false">DEC2HEX(B559*$N$3*18)</f>
        <v>8700</v>
      </c>
      <c r="G559" s="1" t="str">
        <f aca="false">DEC2HEX(C559*7)</f>
        <v>38</v>
      </c>
      <c r="H559" s="1" t="str">
        <f aca="false">IF(D559=0, 33, "cc")</f>
        <v>cc</v>
      </c>
    </row>
    <row r="560" customFormat="false" ht="18.65" hidden="false" customHeight="true" outlineLevel="0" collapsed="false">
      <c r="A560" s="1" t="n">
        <f aca="false">ROW()-2</f>
        <v>558</v>
      </c>
      <c r="B560" s="1" t="n">
        <f aca="false">INT(A560/$N$1)</f>
        <v>31</v>
      </c>
      <c r="C560" s="1" t="n">
        <f aca="false">INT(MOD(A560,$N$1) / 2)</f>
        <v>0</v>
      </c>
      <c r="D560" s="1" t="n">
        <f aca="false">_xlfn.BITAND(A560,1)</f>
        <v>0</v>
      </c>
      <c r="F560" s="1" t="str">
        <f aca="false">DEC2HEX(B560*$N$3*18)</f>
        <v>8B80</v>
      </c>
      <c r="G560" s="1" t="str">
        <f aca="false">DEC2HEX(C560*7)</f>
        <v>0</v>
      </c>
      <c r="H560" s="1" t="n">
        <f aca="false">IF(D560=0, 33, "cc")</f>
        <v>33</v>
      </c>
    </row>
    <row r="561" customFormat="false" ht="18.65" hidden="false" customHeight="true" outlineLevel="0" collapsed="false">
      <c r="A561" s="1" t="n">
        <f aca="false">ROW()-2</f>
        <v>559</v>
      </c>
      <c r="B561" s="1" t="n">
        <f aca="false">INT(A561/$N$1)</f>
        <v>31</v>
      </c>
      <c r="C561" s="1" t="n">
        <f aca="false">INT(MOD(A561,$N$1) / 2)</f>
        <v>0</v>
      </c>
      <c r="D561" s="1" t="n">
        <f aca="false">_xlfn.BITAND(A561,1)</f>
        <v>1</v>
      </c>
      <c r="F561" s="1" t="str">
        <f aca="false">DEC2HEX(B561*$N$3*18)</f>
        <v>8B80</v>
      </c>
      <c r="G561" s="1" t="str">
        <f aca="false">DEC2HEX(C561*7)</f>
        <v>0</v>
      </c>
      <c r="H561" s="1" t="str">
        <f aca="false">IF(D561=0, 33, "cc")</f>
        <v>cc</v>
      </c>
    </row>
    <row r="562" customFormat="false" ht="18.65" hidden="false" customHeight="true" outlineLevel="0" collapsed="false">
      <c r="A562" s="1" t="n">
        <f aca="false">ROW()-2</f>
        <v>560</v>
      </c>
      <c r="B562" s="1" t="n">
        <f aca="false">INT(A562/$N$1)</f>
        <v>31</v>
      </c>
      <c r="C562" s="1" t="n">
        <f aca="false">INT(MOD(A562,$N$1) / 2)</f>
        <v>1</v>
      </c>
      <c r="D562" s="1" t="n">
        <f aca="false">_xlfn.BITAND(A562,1)</f>
        <v>0</v>
      </c>
      <c r="F562" s="1" t="str">
        <f aca="false">DEC2HEX(B562*$N$3*18)</f>
        <v>8B80</v>
      </c>
      <c r="G562" s="1" t="str">
        <f aca="false">DEC2HEX(C562*7)</f>
        <v>7</v>
      </c>
      <c r="H562" s="1" t="n">
        <f aca="false">IF(D562=0, 33, "cc")</f>
        <v>33</v>
      </c>
    </row>
    <row r="563" customFormat="false" ht="18.65" hidden="false" customHeight="true" outlineLevel="0" collapsed="false">
      <c r="A563" s="1" t="n">
        <f aca="false">ROW()-2</f>
        <v>561</v>
      </c>
      <c r="B563" s="1" t="n">
        <f aca="false">INT(A563/$N$1)</f>
        <v>31</v>
      </c>
      <c r="C563" s="1" t="n">
        <f aca="false">INT(MOD(A563,$N$1) / 2)</f>
        <v>1</v>
      </c>
      <c r="D563" s="1" t="n">
        <f aca="false">_xlfn.BITAND(A563,1)</f>
        <v>1</v>
      </c>
      <c r="F563" s="1" t="str">
        <f aca="false">DEC2HEX(B563*$N$3*18)</f>
        <v>8B80</v>
      </c>
      <c r="G563" s="1" t="str">
        <f aca="false">DEC2HEX(C563*7)</f>
        <v>7</v>
      </c>
      <c r="H563" s="1" t="str">
        <f aca="false">IF(D563=0, 33, "cc")</f>
        <v>cc</v>
      </c>
    </row>
    <row r="564" customFormat="false" ht="18.65" hidden="false" customHeight="true" outlineLevel="0" collapsed="false">
      <c r="A564" s="1" t="n">
        <f aca="false">ROW()-2</f>
        <v>562</v>
      </c>
      <c r="B564" s="1" t="n">
        <f aca="false">INT(A564/$N$1)</f>
        <v>31</v>
      </c>
      <c r="C564" s="1" t="n">
        <f aca="false">INT(MOD(A564,$N$1) / 2)</f>
        <v>2</v>
      </c>
      <c r="D564" s="1" t="n">
        <f aca="false">_xlfn.BITAND(A564,1)</f>
        <v>0</v>
      </c>
      <c r="F564" s="1" t="str">
        <f aca="false">DEC2HEX(B564*$N$3*18)</f>
        <v>8B80</v>
      </c>
      <c r="G564" s="1" t="str">
        <f aca="false">DEC2HEX(C564*7)</f>
        <v>E</v>
      </c>
      <c r="H564" s="1" t="n">
        <f aca="false">IF(D564=0, 33, "cc")</f>
        <v>33</v>
      </c>
    </row>
    <row r="565" customFormat="false" ht="18.65" hidden="false" customHeight="true" outlineLevel="0" collapsed="false">
      <c r="A565" s="1" t="n">
        <f aca="false">ROW()-2</f>
        <v>563</v>
      </c>
      <c r="B565" s="1" t="n">
        <f aca="false">INT(A565/$N$1)</f>
        <v>31</v>
      </c>
      <c r="C565" s="1" t="n">
        <f aca="false">INT(MOD(A565,$N$1) / 2)</f>
        <v>2</v>
      </c>
      <c r="D565" s="1" t="n">
        <f aca="false">_xlfn.BITAND(A565,1)</f>
        <v>1</v>
      </c>
      <c r="F565" s="1" t="str">
        <f aca="false">DEC2HEX(B565*$N$3*18)</f>
        <v>8B80</v>
      </c>
      <c r="G565" s="1" t="str">
        <f aca="false">DEC2HEX(C565*7)</f>
        <v>E</v>
      </c>
      <c r="H565" s="1" t="str">
        <f aca="false">IF(D565=0, 33, "cc")</f>
        <v>cc</v>
      </c>
    </row>
    <row r="566" customFormat="false" ht="18.65" hidden="false" customHeight="true" outlineLevel="0" collapsed="false">
      <c r="A566" s="1" t="n">
        <f aca="false">ROW()-2</f>
        <v>564</v>
      </c>
      <c r="B566" s="1" t="n">
        <f aca="false">INT(A566/$N$1)</f>
        <v>31</v>
      </c>
      <c r="C566" s="1" t="n">
        <f aca="false">INT(MOD(A566,$N$1) / 2)</f>
        <v>3</v>
      </c>
      <c r="D566" s="1" t="n">
        <f aca="false">_xlfn.BITAND(A566,1)</f>
        <v>0</v>
      </c>
      <c r="F566" s="1" t="str">
        <f aca="false">DEC2HEX(B566*$N$3*18)</f>
        <v>8B80</v>
      </c>
      <c r="G566" s="1" t="str">
        <f aca="false">DEC2HEX(C566*7)</f>
        <v>15</v>
      </c>
      <c r="H566" s="1" t="n">
        <f aca="false">IF(D566=0, 33, "cc")</f>
        <v>33</v>
      </c>
    </row>
    <row r="567" customFormat="false" ht="18.65" hidden="false" customHeight="true" outlineLevel="0" collapsed="false">
      <c r="A567" s="1" t="n">
        <f aca="false">ROW()-2</f>
        <v>565</v>
      </c>
      <c r="B567" s="1" t="n">
        <f aca="false">INT(A567/$N$1)</f>
        <v>31</v>
      </c>
      <c r="C567" s="1" t="n">
        <f aca="false">INT(MOD(A567,$N$1) / 2)</f>
        <v>3</v>
      </c>
      <c r="D567" s="1" t="n">
        <f aca="false">_xlfn.BITAND(A567,1)</f>
        <v>1</v>
      </c>
      <c r="F567" s="1" t="str">
        <f aca="false">DEC2HEX(B567*$N$3*18)</f>
        <v>8B80</v>
      </c>
      <c r="G567" s="1" t="str">
        <f aca="false">DEC2HEX(C567*7)</f>
        <v>15</v>
      </c>
      <c r="H567" s="1" t="str">
        <f aca="false">IF(D567=0, 33, "cc")</f>
        <v>cc</v>
      </c>
    </row>
    <row r="568" customFormat="false" ht="18.65" hidden="false" customHeight="true" outlineLevel="0" collapsed="false">
      <c r="A568" s="1" t="n">
        <f aca="false">ROW()-2</f>
        <v>566</v>
      </c>
      <c r="B568" s="1" t="n">
        <f aca="false">INT(A568/$N$1)</f>
        <v>31</v>
      </c>
      <c r="C568" s="1" t="n">
        <f aca="false">INT(MOD(A568,$N$1) / 2)</f>
        <v>4</v>
      </c>
      <c r="D568" s="1" t="n">
        <f aca="false">_xlfn.BITAND(A568,1)</f>
        <v>0</v>
      </c>
      <c r="F568" s="1" t="str">
        <f aca="false">DEC2HEX(B568*$N$3*18)</f>
        <v>8B80</v>
      </c>
      <c r="G568" s="1" t="str">
        <f aca="false">DEC2HEX(C568*7)</f>
        <v>1C</v>
      </c>
      <c r="H568" s="1" t="n">
        <f aca="false">IF(D568=0, 33, "cc")</f>
        <v>33</v>
      </c>
    </row>
    <row r="569" customFormat="false" ht="18.65" hidden="false" customHeight="true" outlineLevel="0" collapsed="false">
      <c r="A569" s="1" t="n">
        <f aca="false">ROW()-2</f>
        <v>567</v>
      </c>
      <c r="B569" s="1" t="n">
        <f aca="false">INT(A569/$N$1)</f>
        <v>31</v>
      </c>
      <c r="C569" s="1" t="n">
        <f aca="false">INT(MOD(A569,$N$1) / 2)</f>
        <v>4</v>
      </c>
      <c r="D569" s="1" t="n">
        <f aca="false">_xlfn.BITAND(A569,1)</f>
        <v>1</v>
      </c>
      <c r="F569" s="1" t="str">
        <f aca="false">DEC2HEX(B569*$N$3*18)</f>
        <v>8B80</v>
      </c>
      <c r="G569" s="1" t="str">
        <f aca="false">DEC2HEX(C569*7)</f>
        <v>1C</v>
      </c>
      <c r="H569" s="1" t="str">
        <f aca="false">IF(D569=0, 33, "cc")</f>
        <v>cc</v>
      </c>
    </row>
    <row r="570" customFormat="false" ht="18.65" hidden="false" customHeight="true" outlineLevel="0" collapsed="false">
      <c r="A570" s="1" t="n">
        <f aca="false">ROW()-2</f>
        <v>568</v>
      </c>
      <c r="B570" s="1" t="n">
        <f aca="false">INT(A570/$N$1)</f>
        <v>31</v>
      </c>
      <c r="C570" s="1" t="n">
        <f aca="false">INT(MOD(A570,$N$1) / 2)</f>
        <v>5</v>
      </c>
      <c r="D570" s="1" t="n">
        <f aca="false">_xlfn.BITAND(A570,1)</f>
        <v>0</v>
      </c>
      <c r="F570" s="1" t="str">
        <f aca="false">DEC2HEX(B570*$N$3*18)</f>
        <v>8B80</v>
      </c>
      <c r="G570" s="1" t="str">
        <f aca="false">DEC2HEX(C570*7)</f>
        <v>23</v>
      </c>
      <c r="H570" s="1" t="n">
        <f aca="false">IF(D570=0, 33, "cc")</f>
        <v>33</v>
      </c>
    </row>
    <row r="571" customFormat="false" ht="18.65" hidden="false" customHeight="true" outlineLevel="0" collapsed="false">
      <c r="A571" s="1" t="n">
        <f aca="false">ROW()-2</f>
        <v>569</v>
      </c>
      <c r="B571" s="1" t="n">
        <f aca="false">INT(A571/$N$1)</f>
        <v>31</v>
      </c>
      <c r="C571" s="1" t="n">
        <f aca="false">INT(MOD(A571,$N$1) / 2)</f>
        <v>5</v>
      </c>
      <c r="D571" s="1" t="n">
        <f aca="false">_xlfn.BITAND(A571,1)</f>
        <v>1</v>
      </c>
      <c r="F571" s="1" t="str">
        <f aca="false">DEC2HEX(B571*$N$3*18)</f>
        <v>8B80</v>
      </c>
      <c r="G571" s="1" t="str">
        <f aca="false">DEC2HEX(C571*7)</f>
        <v>23</v>
      </c>
      <c r="H571" s="1" t="str">
        <f aca="false">IF(D571=0, 33, "cc")</f>
        <v>cc</v>
      </c>
    </row>
    <row r="572" customFormat="false" ht="18.65" hidden="false" customHeight="true" outlineLevel="0" collapsed="false">
      <c r="A572" s="1" t="n">
        <f aca="false">ROW()-2</f>
        <v>570</v>
      </c>
      <c r="B572" s="1" t="n">
        <f aca="false">INT(A572/$N$1)</f>
        <v>31</v>
      </c>
      <c r="C572" s="1" t="n">
        <f aca="false">INT(MOD(A572,$N$1) / 2)</f>
        <v>6</v>
      </c>
      <c r="D572" s="1" t="n">
        <f aca="false">_xlfn.BITAND(A572,1)</f>
        <v>0</v>
      </c>
      <c r="F572" s="1" t="str">
        <f aca="false">DEC2HEX(B572*$N$3*18)</f>
        <v>8B80</v>
      </c>
      <c r="G572" s="1" t="str">
        <f aca="false">DEC2HEX(C572*7)</f>
        <v>2A</v>
      </c>
      <c r="H572" s="1" t="n">
        <f aca="false">IF(D572=0, 33, "cc")</f>
        <v>33</v>
      </c>
    </row>
    <row r="573" customFormat="false" ht="18.65" hidden="false" customHeight="true" outlineLevel="0" collapsed="false">
      <c r="A573" s="1" t="n">
        <f aca="false">ROW()-2</f>
        <v>571</v>
      </c>
      <c r="B573" s="1" t="n">
        <f aca="false">INT(A573/$N$1)</f>
        <v>31</v>
      </c>
      <c r="C573" s="1" t="n">
        <f aca="false">INT(MOD(A573,$N$1) / 2)</f>
        <v>6</v>
      </c>
      <c r="D573" s="1" t="n">
        <f aca="false">_xlfn.BITAND(A573,1)</f>
        <v>1</v>
      </c>
      <c r="F573" s="1" t="str">
        <f aca="false">DEC2HEX(B573*$N$3*18)</f>
        <v>8B80</v>
      </c>
      <c r="G573" s="1" t="str">
        <f aca="false">DEC2HEX(C573*7)</f>
        <v>2A</v>
      </c>
      <c r="H573" s="1" t="str">
        <f aca="false">IF(D573=0, 33, "cc")</f>
        <v>cc</v>
      </c>
    </row>
    <row r="574" customFormat="false" ht="18.65" hidden="false" customHeight="true" outlineLevel="0" collapsed="false">
      <c r="A574" s="1" t="n">
        <f aca="false">ROW()-2</f>
        <v>572</v>
      </c>
      <c r="B574" s="1" t="n">
        <f aca="false">INT(A574/$N$1)</f>
        <v>31</v>
      </c>
      <c r="C574" s="1" t="n">
        <f aca="false">INT(MOD(A574,$N$1) / 2)</f>
        <v>7</v>
      </c>
      <c r="D574" s="1" t="n">
        <f aca="false">_xlfn.BITAND(A574,1)</f>
        <v>0</v>
      </c>
      <c r="F574" s="1" t="str">
        <f aca="false">DEC2HEX(B574*$N$3*18)</f>
        <v>8B80</v>
      </c>
      <c r="G574" s="1" t="str">
        <f aca="false">DEC2HEX(C574*7)</f>
        <v>31</v>
      </c>
      <c r="H574" s="1" t="n">
        <f aca="false">IF(D574=0, 33, "cc")</f>
        <v>33</v>
      </c>
    </row>
    <row r="575" customFormat="false" ht="18.65" hidden="false" customHeight="true" outlineLevel="0" collapsed="false">
      <c r="A575" s="1" t="n">
        <f aca="false">ROW()-2</f>
        <v>573</v>
      </c>
      <c r="B575" s="1" t="n">
        <f aca="false">INT(A575/$N$1)</f>
        <v>31</v>
      </c>
      <c r="C575" s="1" t="n">
        <f aca="false">INT(MOD(A575,$N$1) / 2)</f>
        <v>7</v>
      </c>
      <c r="D575" s="1" t="n">
        <f aca="false">_xlfn.BITAND(A575,1)</f>
        <v>1</v>
      </c>
      <c r="F575" s="1" t="str">
        <f aca="false">DEC2HEX(B575*$N$3*18)</f>
        <v>8B80</v>
      </c>
      <c r="G575" s="1" t="str">
        <f aca="false">DEC2HEX(C575*7)</f>
        <v>31</v>
      </c>
      <c r="H575" s="1" t="str">
        <f aca="false">IF(D575=0, 33, "cc")</f>
        <v>cc</v>
      </c>
    </row>
    <row r="576" customFormat="false" ht="18.65" hidden="false" customHeight="true" outlineLevel="0" collapsed="false">
      <c r="A576" s="1" t="n">
        <f aca="false">ROW()-2</f>
        <v>574</v>
      </c>
      <c r="B576" s="1" t="n">
        <f aca="false">INT(A576/$N$1)</f>
        <v>31</v>
      </c>
      <c r="C576" s="1" t="n">
        <f aca="false">INT(MOD(A576,$N$1) / 2)</f>
        <v>8</v>
      </c>
      <c r="D576" s="1" t="n">
        <f aca="false">_xlfn.BITAND(A576,1)</f>
        <v>0</v>
      </c>
      <c r="F576" s="1" t="str">
        <f aca="false">DEC2HEX(B576*$N$3*18)</f>
        <v>8B80</v>
      </c>
      <c r="G576" s="1" t="str">
        <f aca="false">DEC2HEX(C576*7)</f>
        <v>38</v>
      </c>
      <c r="H576" s="1" t="n">
        <f aca="false">IF(D576=0, 33, "cc")</f>
        <v>33</v>
      </c>
    </row>
    <row r="577" customFormat="false" ht="18.65" hidden="false" customHeight="true" outlineLevel="0" collapsed="false">
      <c r="A577" s="1" t="n">
        <f aca="false">ROW()-2</f>
        <v>575</v>
      </c>
      <c r="B577" s="1" t="n">
        <f aca="false">INT(A577/$N$1)</f>
        <v>31</v>
      </c>
      <c r="C577" s="1" t="n">
        <f aca="false">INT(MOD(A577,$N$1) / 2)</f>
        <v>8</v>
      </c>
      <c r="D577" s="1" t="n">
        <f aca="false">_xlfn.BITAND(A577,1)</f>
        <v>1</v>
      </c>
      <c r="F577" s="1" t="str">
        <f aca="false">DEC2HEX(B577*$N$3*18)</f>
        <v>8B80</v>
      </c>
      <c r="G577" s="1" t="str">
        <f aca="false">DEC2HEX(C577*7)</f>
        <v>38</v>
      </c>
      <c r="H577" s="1" t="str">
        <f aca="false">IF(D577=0, 33, "cc")</f>
        <v>cc</v>
      </c>
    </row>
    <row r="578" customFormat="false" ht="18.65" hidden="false" customHeight="true" outlineLevel="0" collapsed="false">
      <c r="A578" s="1" t="n">
        <f aca="false">ROW()-2</f>
        <v>576</v>
      </c>
      <c r="B578" s="1" t="n">
        <f aca="false">INT(A578/$N$1)</f>
        <v>32</v>
      </c>
      <c r="C578" s="1" t="n">
        <f aca="false">INT(MOD(A578,$N$1) / 2)</f>
        <v>0</v>
      </c>
      <c r="D578" s="1" t="n">
        <f aca="false">_xlfn.BITAND(A578,1)</f>
        <v>0</v>
      </c>
      <c r="F578" s="1" t="str">
        <f aca="false">DEC2HEX(B578*$N$3*18)</f>
        <v>9000</v>
      </c>
      <c r="G578" s="1" t="str">
        <f aca="false">DEC2HEX(C578*7)</f>
        <v>0</v>
      </c>
      <c r="H578" s="1" t="n">
        <f aca="false">IF(D578=0, 33, "cc")</f>
        <v>33</v>
      </c>
    </row>
    <row r="579" customFormat="false" ht="18.65" hidden="false" customHeight="true" outlineLevel="0" collapsed="false">
      <c r="A579" s="1" t="n">
        <f aca="false">ROW()-2</f>
        <v>577</v>
      </c>
      <c r="B579" s="1" t="n">
        <f aca="false">INT(A579/$N$1)</f>
        <v>32</v>
      </c>
      <c r="C579" s="1" t="n">
        <f aca="false">INT(MOD(A579,$N$1) / 2)</f>
        <v>0</v>
      </c>
      <c r="D579" s="1" t="n">
        <f aca="false">_xlfn.BITAND(A579,1)</f>
        <v>1</v>
      </c>
      <c r="F579" s="1" t="str">
        <f aca="false">DEC2HEX(B579*$N$3*18)</f>
        <v>9000</v>
      </c>
      <c r="G579" s="1" t="str">
        <f aca="false">DEC2HEX(C579*7)</f>
        <v>0</v>
      </c>
      <c r="H579" s="1" t="str">
        <f aca="false">IF(D579=0, 33, "cc")</f>
        <v>cc</v>
      </c>
    </row>
    <row r="580" customFormat="false" ht="18.65" hidden="false" customHeight="true" outlineLevel="0" collapsed="false">
      <c r="A580" s="1" t="n">
        <f aca="false">ROW()-2</f>
        <v>578</v>
      </c>
      <c r="B580" s="1" t="n">
        <f aca="false">INT(A580/$N$1)</f>
        <v>32</v>
      </c>
      <c r="C580" s="1" t="n">
        <f aca="false">INT(MOD(A580,$N$1) / 2)</f>
        <v>1</v>
      </c>
      <c r="D580" s="1" t="n">
        <f aca="false">_xlfn.BITAND(A580,1)</f>
        <v>0</v>
      </c>
      <c r="F580" s="1" t="str">
        <f aca="false">DEC2HEX(B580*$N$3*18)</f>
        <v>9000</v>
      </c>
      <c r="G580" s="1" t="str">
        <f aca="false">DEC2HEX(C580*7)</f>
        <v>7</v>
      </c>
      <c r="H580" s="1" t="n">
        <f aca="false">IF(D580=0, 33, "cc")</f>
        <v>33</v>
      </c>
    </row>
    <row r="581" customFormat="false" ht="18.65" hidden="false" customHeight="true" outlineLevel="0" collapsed="false">
      <c r="A581" s="1" t="n">
        <f aca="false">ROW()-2</f>
        <v>579</v>
      </c>
      <c r="B581" s="1" t="n">
        <f aca="false">INT(A581/$N$1)</f>
        <v>32</v>
      </c>
      <c r="C581" s="1" t="n">
        <f aca="false">INT(MOD(A581,$N$1) / 2)</f>
        <v>1</v>
      </c>
      <c r="D581" s="1" t="n">
        <f aca="false">_xlfn.BITAND(A581,1)</f>
        <v>1</v>
      </c>
      <c r="F581" s="1" t="str">
        <f aca="false">DEC2HEX(B581*$N$3*18)</f>
        <v>9000</v>
      </c>
      <c r="G581" s="1" t="str">
        <f aca="false">DEC2HEX(C581*7)</f>
        <v>7</v>
      </c>
      <c r="H581" s="1" t="str">
        <f aca="false">IF(D581=0, 33, "cc")</f>
        <v>cc</v>
      </c>
    </row>
    <row r="582" customFormat="false" ht="18.65" hidden="false" customHeight="true" outlineLevel="0" collapsed="false">
      <c r="A582" s="1" t="n">
        <f aca="false">ROW()-2</f>
        <v>580</v>
      </c>
      <c r="B582" s="1" t="n">
        <f aca="false">INT(A582/$N$1)</f>
        <v>32</v>
      </c>
      <c r="C582" s="1" t="n">
        <f aca="false">INT(MOD(A582,$N$1) / 2)</f>
        <v>2</v>
      </c>
      <c r="D582" s="1" t="n">
        <f aca="false">_xlfn.BITAND(A582,1)</f>
        <v>0</v>
      </c>
      <c r="F582" s="1" t="str">
        <f aca="false">DEC2HEX(B582*$N$3*18)</f>
        <v>9000</v>
      </c>
      <c r="G582" s="1" t="str">
        <f aca="false">DEC2HEX(C582*7)</f>
        <v>E</v>
      </c>
      <c r="H582" s="1" t="n">
        <f aca="false">IF(D582=0, 33, "cc")</f>
        <v>33</v>
      </c>
    </row>
    <row r="583" customFormat="false" ht="18.65" hidden="false" customHeight="true" outlineLevel="0" collapsed="false">
      <c r="A583" s="1" t="n">
        <f aca="false">ROW()-2</f>
        <v>581</v>
      </c>
      <c r="B583" s="1" t="n">
        <f aca="false">INT(A583/$N$1)</f>
        <v>32</v>
      </c>
      <c r="C583" s="1" t="n">
        <f aca="false">INT(MOD(A583,$N$1) / 2)</f>
        <v>2</v>
      </c>
      <c r="D583" s="1" t="n">
        <f aca="false">_xlfn.BITAND(A583,1)</f>
        <v>1</v>
      </c>
      <c r="F583" s="1" t="str">
        <f aca="false">DEC2HEX(B583*$N$3*18)</f>
        <v>9000</v>
      </c>
      <c r="G583" s="1" t="str">
        <f aca="false">DEC2HEX(C583*7)</f>
        <v>E</v>
      </c>
      <c r="H583" s="1" t="str">
        <f aca="false">IF(D583=0, 33, "cc")</f>
        <v>cc</v>
      </c>
    </row>
    <row r="584" customFormat="false" ht="18.65" hidden="false" customHeight="true" outlineLevel="0" collapsed="false">
      <c r="A584" s="1" t="n">
        <f aca="false">ROW()-2</f>
        <v>582</v>
      </c>
      <c r="B584" s="1" t="n">
        <f aca="false">INT(A584/$N$1)</f>
        <v>32</v>
      </c>
      <c r="C584" s="1" t="n">
        <f aca="false">INT(MOD(A584,$N$1) / 2)</f>
        <v>3</v>
      </c>
      <c r="D584" s="1" t="n">
        <f aca="false">_xlfn.BITAND(A584,1)</f>
        <v>0</v>
      </c>
      <c r="F584" s="1" t="str">
        <f aca="false">DEC2HEX(B584*$N$3*18)</f>
        <v>9000</v>
      </c>
      <c r="G584" s="1" t="str">
        <f aca="false">DEC2HEX(C584*7)</f>
        <v>15</v>
      </c>
      <c r="H584" s="1" t="n">
        <f aca="false">IF(D584=0, 33, "cc")</f>
        <v>33</v>
      </c>
    </row>
    <row r="585" customFormat="false" ht="18.65" hidden="false" customHeight="true" outlineLevel="0" collapsed="false">
      <c r="A585" s="1" t="n">
        <f aca="false">ROW()-2</f>
        <v>583</v>
      </c>
      <c r="B585" s="1" t="n">
        <f aca="false">INT(A585/$N$1)</f>
        <v>32</v>
      </c>
      <c r="C585" s="1" t="n">
        <f aca="false">INT(MOD(A585,$N$1) / 2)</f>
        <v>3</v>
      </c>
      <c r="D585" s="1" t="n">
        <f aca="false">_xlfn.BITAND(A585,1)</f>
        <v>1</v>
      </c>
      <c r="F585" s="1" t="str">
        <f aca="false">DEC2HEX(B585*$N$3*18)</f>
        <v>9000</v>
      </c>
      <c r="G585" s="1" t="str">
        <f aca="false">DEC2HEX(C585*7)</f>
        <v>15</v>
      </c>
      <c r="H585" s="1" t="str">
        <f aca="false">IF(D585=0, 33, "cc")</f>
        <v>cc</v>
      </c>
    </row>
    <row r="586" customFormat="false" ht="18.65" hidden="false" customHeight="true" outlineLevel="0" collapsed="false">
      <c r="A586" s="1" t="n">
        <f aca="false">ROW()-2</f>
        <v>584</v>
      </c>
      <c r="B586" s="1" t="n">
        <f aca="false">INT(A586/$N$1)</f>
        <v>32</v>
      </c>
      <c r="C586" s="1" t="n">
        <f aca="false">INT(MOD(A586,$N$1) / 2)</f>
        <v>4</v>
      </c>
      <c r="D586" s="1" t="n">
        <f aca="false">_xlfn.BITAND(A586,1)</f>
        <v>0</v>
      </c>
      <c r="F586" s="1" t="str">
        <f aca="false">DEC2HEX(B586*$N$3*18)</f>
        <v>9000</v>
      </c>
      <c r="G586" s="1" t="str">
        <f aca="false">DEC2HEX(C586*7)</f>
        <v>1C</v>
      </c>
      <c r="H586" s="1" t="n">
        <f aca="false">IF(D586=0, 33, "cc")</f>
        <v>33</v>
      </c>
    </row>
    <row r="587" customFormat="false" ht="18.65" hidden="false" customHeight="true" outlineLevel="0" collapsed="false">
      <c r="A587" s="1" t="n">
        <f aca="false">ROW()-2</f>
        <v>585</v>
      </c>
      <c r="B587" s="1" t="n">
        <f aca="false">INT(A587/$N$1)</f>
        <v>32</v>
      </c>
      <c r="C587" s="1" t="n">
        <f aca="false">INT(MOD(A587,$N$1) / 2)</f>
        <v>4</v>
      </c>
      <c r="D587" s="1" t="n">
        <f aca="false">_xlfn.BITAND(A587,1)</f>
        <v>1</v>
      </c>
      <c r="F587" s="1" t="str">
        <f aca="false">DEC2HEX(B587*$N$3*18)</f>
        <v>9000</v>
      </c>
      <c r="G587" s="1" t="str">
        <f aca="false">DEC2HEX(C587*7)</f>
        <v>1C</v>
      </c>
      <c r="H587" s="1" t="str">
        <f aca="false">IF(D587=0, 33, "cc")</f>
        <v>cc</v>
      </c>
    </row>
    <row r="588" customFormat="false" ht="18.65" hidden="false" customHeight="true" outlineLevel="0" collapsed="false">
      <c r="A588" s="1" t="n">
        <f aca="false">ROW()-2</f>
        <v>586</v>
      </c>
      <c r="B588" s="1" t="n">
        <f aca="false">INT(A588/$N$1)</f>
        <v>32</v>
      </c>
      <c r="C588" s="1" t="n">
        <f aca="false">INT(MOD(A588,$N$1) / 2)</f>
        <v>5</v>
      </c>
      <c r="D588" s="1" t="n">
        <f aca="false">_xlfn.BITAND(A588,1)</f>
        <v>0</v>
      </c>
      <c r="F588" s="1" t="str">
        <f aca="false">DEC2HEX(B588*$N$3*18)</f>
        <v>9000</v>
      </c>
      <c r="G588" s="1" t="str">
        <f aca="false">DEC2HEX(C588*7)</f>
        <v>23</v>
      </c>
      <c r="H588" s="1" t="n">
        <f aca="false">IF(D588=0, 33, "cc")</f>
        <v>33</v>
      </c>
    </row>
    <row r="589" customFormat="false" ht="18.65" hidden="false" customHeight="true" outlineLevel="0" collapsed="false">
      <c r="A589" s="1" t="n">
        <f aca="false">ROW()-2</f>
        <v>587</v>
      </c>
      <c r="B589" s="1" t="n">
        <f aca="false">INT(A589/$N$1)</f>
        <v>32</v>
      </c>
      <c r="C589" s="1" t="n">
        <f aca="false">INT(MOD(A589,$N$1) / 2)</f>
        <v>5</v>
      </c>
      <c r="D589" s="1" t="n">
        <f aca="false">_xlfn.BITAND(A589,1)</f>
        <v>1</v>
      </c>
      <c r="F589" s="1" t="str">
        <f aca="false">DEC2HEX(B589*$N$3*18)</f>
        <v>9000</v>
      </c>
      <c r="G589" s="1" t="str">
        <f aca="false">DEC2HEX(C589*7)</f>
        <v>23</v>
      </c>
      <c r="H589" s="1" t="str">
        <f aca="false">IF(D589=0, 33, "cc")</f>
        <v>cc</v>
      </c>
    </row>
    <row r="590" customFormat="false" ht="18.65" hidden="false" customHeight="true" outlineLevel="0" collapsed="false">
      <c r="A590" s="1" t="n">
        <f aca="false">ROW()-2</f>
        <v>588</v>
      </c>
      <c r="B590" s="1" t="n">
        <f aca="false">INT(A590/$N$1)</f>
        <v>32</v>
      </c>
      <c r="C590" s="1" t="n">
        <f aca="false">INT(MOD(A590,$N$1) / 2)</f>
        <v>6</v>
      </c>
      <c r="D590" s="1" t="n">
        <f aca="false">_xlfn.BITAND(A590,1)</f>
        <v>0</v>
      </c>
      <c r="F590" s="1" t="str">
        <f aca="false">DEC2HEX(B590*$N$3*18)</f>
        <v>9000</v>
      </c>
      <c r="G590" s="1" t="str">
        <f aca="false">DEC2HEX(C590*7)</f>
        <v>2A</v>
      </c>
      <c r="H590" s="1" t="n">
        <f aca="false">IF(D590=0, 33, "cc")</f>
        <v>33</v>
      </c>
    </row>
    <row r="591" customFormat="false" ht="18.65" hidden="false" customHeight="true" outlineLevel="0" collapsed="false">
      <c r="A591" s="1" t="n">
        <f aca="false">ROW()-2</f>
        <v>589</v>
      </c>
      <c r="B591" s="1" t="n">
        <f aca="false">INT(A591/$N$1)</f>
        <v>32</v>
      </c>
      <c r="C591" s="1" t="n">
        <f aca="false">INT(MOD(A591,$N$1) / 2)</f>
        <v>6</v>
      </c>
      <c r="D591" s="1" t="n">
        <f aca="false">_xlfn.BITAND(A591,1)</f>
        <v>1</v>
      </c>
      <c r="F591" s="1" t="str">
        <f aca="false">DEC2HEX(B591*$N$3*18)</f>
        <v>9000</v>
      </c>
      <c r="G591" s="1" t="str">
        <f aca="false">DEC2HEX(C591*7)</f>
        <v>2A</v>
      </c>
      <c r="H591" s="1" t="str">
        <f aca="false">IF(D591=0, 33, "cc")</f>
        <v>cc</v>
      </c>
    </row>
    <row r="592" customFormat="false" ht="18.65" hidden="false" customHeight="true" outlineLevel="0" collapsed="false">
      <c r="A592" s="1" t="n">
        <f aca="false">ROW()-2</f>
        <v>590</v>
      </c>
      <c r="B592" s="1" t="n">
        <f aca="false">INT(A592/$N$1)</f>
        <v>32</v>
      </c>
      <c r="C592" s="1" t="n">
        <f aca="false">INT(MOD(A592,$N$1) / 2)</f>
        <v>7</v>
      </c>
      <c r="D592" s="1" t="n">
        <f aca="false">_xlfn.BITAND(A592,1)</f>
        <v>0</v>
      </c>
      <c r="F592" s="1" t="str">
        <f aca="false">DEC2HEX(B592*$N$3*18)</f>
        <v>9000</v>
      </c>
      <c r="G592" s="1" t="str">
        <f aca="false">DEC2HEX(C592*7)</f>
        <v>31</v>
      </c>
      <c r="H592" s="1" t="n">
        <f aca="false">IF(D592=0, 33, "cc")</f>
        <v>33</v>
      </c>
    </row>
    <row r="593" customFormat="false" ht="18.65" hidden="false" customHeight="true" outlineLevel="0" collapsed="false">
      <c r="A593" s="1" t="n">
        <f aca="false">ROW()-2</f>
        <v>591</v>
      </c>
      <c r="B593" s="1" t="n">
        <f aca="false">INT(A593/$N$1)</f>
        <v>32</v>
      </c>
      <c r="C593" s="1" t="n">
        <f aca="false">INT(MOD(A593,$N$1) / 2)</f>
        <v>7</v>
      </c>
      <c r="D593" s="1" t="n">
        <f aca="false">_xlfn.BITAND(A593,1)</f>
        <v>1</v>
      </c>
      <c r="F593" s="1" t="str">
        <f aca="false">DEC2HEX(B593*$N$3*18)</f>
        <v>9000</v>
      </c>
      <c r="G593" s="1" t="str">
        <f aca="false">DEC2HEX(C593*7)</f>
        <v>31</v>
      </c>
      <c r="H593" s="1" t="str">
        <f aca="false">IF(D593=0, 33, "cc")</f>
        <v>cc</v>
      </c>
    </row>
    <row r="594" customFormat="false" ht="18.65" hidden="false" customHeight="true" outlineLevel="0" collapsed="false">
      <c r="A594" s="1" t="n">
        <f aca="false">ROW()-2</f>
        <v>592</v>
      </c>
      <c r="B594" s="1" t="n">
        <f aca="false">INT(A594/$N$1)</f>
        <v>32</v>
      </c>
      <c r="C594" s="1" t="n">
        <f aca="false">INT(MOD(A594,$N$1) / 2)</f>
        <v>8</v>
      </c>
      <c r="D594" s="1" t="n">
        <f aca="false">_xlfn.BITAND(A594,1)</f>
        <v>0</v>
      </c>
      <c r="F594" s="1" t="str">
        <f aca="false">DEC2HEX(B594*$N$3*18)</f>
        <v>9000</v>
      </c>
      <c r="G594" s="1" t="str">
        <f aca="false">DEC2HEX(C594*7)</f>
        <v>38</v>
      </c>
      <c r="H594" s="1" t="n">
        <f aca="false">IF(D594=0, 33, "cc")</f>
        <v>33</v>
      </c>
    </row>
    <row r="595" customFormat="false" ht="18.65" hidden="false" customHeight="true" outlineLevel="0" collapsed="false">
      <c r="A595" s="1" t="n">
        <f aca="false">ROW()-2</f>
        <v>593</v>
      </c>
      <c r="B595" s="1" t="n">
        <f aca="false">INT(A595/$N$1)</f>
        <v>32</v>
      </c>
      <c r="C595" s="1" t="n">
        <f aca="false">INT(MOD(A595,$N$1) / 2)</f>
        <v>8</v>
      </c>
      <c r="D595" s="1" t="n">
        <f aca="false">_xlfn.BITAND(A595,1)</f>
        <v>1</v>
      </c>
      <c r="F595" s="1" t="str">
        <f aca="false">DEC2HEX(B595*$N$3*18)</f>
        <v>9000</v>
      </c>
      <c r="G595" s="1" t="str">
        <f aca="false">DEC2HEX(C595*7)</f>
        <v>38</v>
      </c>
      <c r="H595" s="1" t="str">
        <f aca="false">IF(D595=0, 33, "cc")</f>
        <v>cc</v>
      </c>
    </row>
    <row r="596" customFormat="false" ht="18.65" hidden="false" customHeight="true" outlineLevel="0" collapsed="false">
      <c r="A596" s="1" t="n">
        <f aca="false">ROW()-2</f>
        <v>594</v>
      </c>
      <c r="B596" s="1" t="n">
        <f aca="false">INT(A596/$N$1)</f>
        <v>33</v>
      </c>
      <c r="C596" s="1" t="n">
        <f aca="false">INT(MOD(A596,$N$1) / 2)</f>
        <v>0</v>
      </c>
      <c r="D596" s="1" t="n">
        <f aca="false">_xlfn.BITAND(A596,1)</f>
        <v>0</v>
      </c>
      <c r="F596" s="1" t="str">
        <f aca="false">DEC2HEX(B596*$N$3*18)</f>
        <v>9480</v>
      </c>
      <c r="G596" s="1" t="str">
        <f aca="false">DEC2HEX(C596*7)</f>
        <v>0</v>
      </c>
      <c r="H596" s="1" t="n">
        <f aca="false">IF(D596=0, 33, "cc")</f>
        <v>33</v>
      </c>
    </row>
    <row r="597" customFormat="false" ht="18.65" hidden="false" customHeight="true" outlineLevel="0" collapsed="false">
      <c r="A597" s="1" t="n">
        <f aca="false">ROW()-2</f>
        <v>595</v>
      </c>
      <c r="B597" s="1" t="n">
        <f aca="false">INT(A597/$N$1)</f>
        <v>33</v>
      </c>
      <c r="C597" s="1" t="n">
        <f aca="false">INT(MOD(A597,$N$1) / 2)</f>
        <v>0</v>
      </c>
      <c r="D597" s="1" t="n">
        <f aca="false">_xlfn.BITAND(A597,1)</f>
        <v>1</v>
      </c>
      <c r="F597" s="1" t="str">
        <f aca="false">DEC2HEX(B597*$N$3*18)</f>
        <v>9480</v>
      </c>
      <c r="G597" s="1" t="str">
        <f aca="false">DEC2HEX(C597*7)</f>
        <v>0</v>
      </c>
      <c r="H597" s="1" t="str">
        <f aca="false">IF(D597=0, 33, "cc")</f>
        <v>cc</v>
      </c>
    </row>
    <row r="598" customFormat="false" ht="18.65" hidden="false" customHeight="true" outlineLevel="0" collapsed="false">
      <c r="A598" s="1" t="n">
        <f aca="false">ROW()-2</f>
        <v>596</v>
      </c>
      <c r="B598" s="1" t="n">
        <f aca="false">INT(A598/$N$1)</f>
        <v>33</v>
      </c>
      <c r="C598" s="1" t="n">
        <f aca="false">INT(MOD(A598,$N$1) / 2)</f>
        <v>1</v>
      </c>
      <c r="D598" s="1" t="n">
        <f aca="false">_xlfn.BITAND(A598,1)</f>
        <v>0</v>
      </c>
      <c r="F598" s="1" t="str">
        <f aca="false">DEC2HEX(B598*$N$3*18)</f>
        <v>9480</v>
      </c>
      <c r="G598" s="1" t="str">
        <f aca="false">DEC2HEX(C598*7)</f>
        <v>7</v>
      </c>
      <c r="H598" s="1" t="n">
        <f aca="false">IF(D598=0, 33, "cc")</f>
        <v>33</v>
      </c>
    </row>
    <row r="599" customFormat="false" ht="18.65" hidden="false" customHeight="true" outlineLevel="0" collapsed="false">
      <c r="A599" s="1" t="n">
        <f aca="false">ROW()-2</f>
        <v>597</v>
      </c>
      <c r="B599" s="1" t="n">
        <f aca="false">INT(A599/$N$1)</f>
        <v>33</v>
      </c>
      <c r="C599" s="1" t="n">
        <f aca="false">INT(MOD(A599,$N$1) / 2)</f>
        <v>1</v>
      </c>
      <c r="D599" s="1" t="n">
        <f aca="false">_xlfn.BITAND(A599,1)</f>
        <v>1</v>
      </c>
      <c r="F599" s="1" t="str">
        <f aca="false">DEC2HEX(B599*$N$3*18)</f>
        <v>9480</v>
      </c>
      <c r="G599" s="1" t="str">
        <f aca="false">DEC2HEX(C599*7)</f>
        <v>7</v>
      </c>
      <c r="H599" s="1" t="str">
        <f aca="false">IF(D599=0, 33, "cc")</f>
        <v>cc</v>
      </c>
    </row>
    <row r="600" customFormat="false" ht="18.65" hidden="false" customHeight="true" outlineLevel="0" collapsed="false">
      <c r="A600" s="1" t="n">
        <f aca="false">ROW()-2</f>
        <v>598</v>
      </c>
      <c r="B600" s="1" t="n">
        <f aca="false">INT(A600/$N$1)</f>
        <v>33</v>
      </c>
      <c r="C600" s="1" t="n">
        <f aca="false">INT(MOD(A600,$N$1) / 2)</f>
        <v>2</v>
      </c>
      <c r="D600" s="1" t="n">
        <f aca="false">_xlfn.BITAND(A600,1)</f>
        <v>0</v>
      </c>
      <c r="F600" s="1" t="str">
        <f aca="false">DEC2HEX(B600*$N$3*18)</f>
        <v>9480</v>
      </c>
      <c r="G600" s="1" t="str">
        <f aca="false">DEC2HEX(C600*7)</f>
        <v>E</v>
      </c>
      <c r="H600" s="1" t="n">
        <f aca="false">IF(D600=0, 33, "cc")</f>
        <v>33</v>
      </c>
    </row>
    <row r="601" customFormat="false" ht="18.65" hidden="false" customHeight="true" outlineLevel="0" collapsed="false">
      <c r="A601" s="1" t="n">
        <f aca="false">ROW()-2</f>
        <v>599</v>
      </c>
      <c r="B601" s="1" t="n">
        <f aca="false">INT(A601/$N$1)</f>
        <v>33</v>
      </c>
      <c r="C601" s="1" t="n">
        <f aca="false">INT(MOD(A601,$N$1) / 2)</f>
        <v>2</v>
      </c>
      <c r="D601" s="1" t="n">
        <f aca="false">_xlfn.BITAND(A601,1)</f>
        <v>1</v>
      </c>
      <c r="F601" s="1" t="str">
        <f aca="false">DEC2HEX(B601*$N$3*18)</f>
        <v>9480</v>
      </c>
      <c r="G601" s="1" t="str">
        <f aca="false">DEC2HEX(C601*7)</f>
        <v>E</v>
      </c>
      <c r="H601" s="1" t="str">
        <f aca="false">IF(D601=0, 33, "cc")</f>
        <v>cc</v>
      </c>
    </row>
    <row r="602" customFormat="false" ht="18.65" hidden="false" customHeight="true" outlineLevel="0" collapsed="false">
      <c r="A602" s="1" t="n">
        <f aca="false">ROW()-2</f>
        <v>600</v>
      </c>
      <c r="B602" s="1" t="n">
        <f aca="false">INT(A602/$N$1)</f>
        <v>33</v>
      </c>
      <c r="C602" s="1" t="n">
        <f aca="false">INT(MOD(A602,$N$1) / 2)</f>
        <v>3</v>
      </c>
      <c r="D602" s="1" t="n">
        <f aca="false">_xlfn.BITAND(A602,1)</f>
        <v>0</v>
      </c>
      <c r="F602" s="1" t="str">
        <f aca="false">DEC2HEX(B602*$N$3*18)</f>
        <v>9480</v>
      </c>
      <c r="G602" s="1" t="str">
        <f aca="false">DEC2HEX(C602*7)</f>
        <v>15</v>
      </c>
      <c r="H602" s="1" t="n">
        <f aca="false">IF(D602=0, 33, "cc")</f>
        <v>33</v>
      </c>
    </row>
    <row r="603" customFormat="false" ht="18.65" hidden="false" customHeight="true" outlineLevel="0" collapsed="false">
      <c r="A603" s="1" t="n">
        <f aca="false">ROW()-2</f>
        <v>601</v>
      </c>
      <c r="B603" s="1" t="n">
        <f aca="false">INT(A603/$N$1)</f>
        <v>33</v>
      </c>
      <c r="C603" s="1" t="n">
        <f aca="false">INT(MOD(A603,$N$1) / 2)</f>
        <v>3</v>
      </c>
      <c r="D603" s="1" t="n">
        <f aca="false">_xlfn.BITAND(A603,1)</f>
        <v>1</v>
      </c>
      <c r="F603" s="1" t="str">
        <f aca="false">DEC2HEX(B603*$N$3*18)</f>
        <v>9480</v>
      </c>
      <c r="G603" s="1" t="str">
        <f aca="false">DEC2HEX(C603*7)</f>
        <v>15</v>
      </c>
      <c r="H603" s="1" t="str">
        <f aca="false">IF(D603=0, 33, "cc")</f>
        <v>cc</v>
      </c>
    </row>
    <row r="604" customFormat="false" ht="18.65" hidden="false" customHeight="true" outlineLevel="0" collapsed="false">
      <c r="A604" s="1" t="n">
        <f aca="false">ROW()-2</f>
        <v>602</v>
      </c>
      <c r="B604" s="1" t="n">
        <f aca="false">INT(A604/$N$1)</f>
        <v>33</v>
      </c>
      <c r="C604" s="1" t="n">
        <f aca="false">INT(MOD(A604,$N$1) / 2)</f>
        <v>4</v>
      </c>
      <c r="D604" s="1" t="n">
        <f aca="false">_xlfn.BITAND(A604,1)</f>
        <v>0</v>
      </c>
      <c r="F604" s="1" t="str">
        <f aca="false">DEC2HEX(B604*$N$3*18)</f>
        <v>9480</v>
      </c>
      <c r="G604" s="1" t="str">
        <f aca="false">DEC2HEX(C604*7)</f>
        <v>1C</v>
      </c>
      <c r="H604" s="1" t="n">
        <f aca="false">IF(D604=0, 33, "cc")</f>
        <v>33</v>
      </c>
    </row>
    <row r="605" customFormat="false" ht="18.65" hidden="false" customHeight="true" outlineLevel="0" collapsed="false">
      <c r="A605" s="1" t="n">
        <f aca="false">ROW()-2</f>
        <v>603</v>
      </c>
      <c r="B605" s="1" t="n">
        <f aca="false">INT(A605/$N$1)</f>
        <v>33</v>
      </c>
      <c r="C605" s="1" t="n">
        <f aca="false">INT(MOD(A605,$N$1) / 2)</f>
        <v>4</v>
      </c>
      <c r="D605" s="1" t="n">
        <f aca="false">_xlfn.BITAND(A605,1)</f>
        <v>1</v>
      </c>
      <c r="F605" s="1" t="str">
        <f aca="false">DEC2HEX(B605*$N$3*18)</f>
        <v>9480</v>
      </c>
      <c r="G605" s="1" t="str">
        <f aca="false">DEC2HEX(C605*7)</f>
        <v>1C</v>
      </c>
      <c r="H605" s="1" t="str">
        <f aca="false">IF(D605=0, 33, "cc")</f>
        <v>cc</v>
      </c>
    </row>
    <row r="606" customFormat="false" ht="18.65" hidden="false" customHeight="true" outlineLevel="0" collapsed="false">
      <c r="A606" s="1" t="n">
        <f aca="false">ROW()-2</f>
        <v>604</v>
      </c>
      <c r="B606" s="1" t="n">
        <f aca="false">INT(A606/$N$1)</f>
        <v>33</v>
      </c>
      <c r="C606" s="1" t="n">
        <f aca="false">INT(MOD(A606,$N$1) / 2)</f>
        <v>5</v>
      </c>
      <c r="D606" s="1" t="n">
        <f aca="false">_xlfn.BITAND(A606,1)</f>
        <v>0</v>
      </c>
      <c r="F606" s="1" t="str">
        <f aca="false">DEC2HEX(B606*$N$3*18)</f>
        <v>9480</v>
      </c>
      <c r="G606" s="1" t="str">
        <f aca="false">DEC2HEX(C606*7)</f>
        <v>23</v>
      </c>
      <c r="H606" s="1" t="n">
        <f aca="false">IF(D606=0, 33, "cc")</f>
        <v>33</v>
      </c>
    </row>
    <row r="607" customFormat="false" ht="18.65" hidden="false" customHeight="true" outlineLevel="0" collapsed="false">
      <c r="A607" s="1" t="n">
        <f aca="false">ROW()-2</f>
        <v>605</v>
      </c>
      <c r="B607" s="1" t="n">
        <f aca="false">INT(A607/$N$1)</f>
        <v>33</v>
      </c>
      <c r="C607" s="1" t="n">
        <f aca="false">INT(MOD(A607,$N$1) / 2)</f>
        <v>5</v>
      </c>
      <c r="D607" s="1" t="n">
        <f aca="false">_xlfn.BITAND(A607,1)</f>
        <v>1</v>
      </c>
      <c r="F607" s="1" t="str">
        <f aca="false">DEC2HEX(B607*$N$3*18)</f>
        <v>9480</v>
      </c>
      <c r="G607" s="1" t="str">
        <f aca="false">DEC2HEX(C607*7)</f>
        <v>23</v>
      </c>
      <c r="H607" s="1" t="str">
        <f aca="false">IF(D607=0, 33, "cc")</f>
        <v>cc</v>
      </c>
    </row>
    <row r="608" customFormat="false" ht="18.65" hidden="false" customHeight="true" outlineLevel="0" collapsed="false">
      <c r="A608" s="1" t="n">
        <f aca="false">ROW()-2</f>
        <v>606</v>
      </c>
      <c r="B608" s="1" t="n">
        <f aca="false">INT(A608/$N$1)</f>
        <v>33</v>
      </c>
      <c r="C608" s="1" t="n">
        <f aca="false">INT(MOD(A608,$N$1) / 2)</f>
        <v>6</v>
      </c>
      <c r="D608" s="1" t="n">
        <f aca="false">_xlfn.BITAND(A608,1)</f>
        <v>0</v>
      </c>
      <c r="F608" s="1" t="str">
        <f aca="false">DEC2HEX(B608*$N$3*18)</f>
        <v>9480</v>
      </c>
      <c r="G608" s="1" t="str">
        <f aca="false">DEC2HEX(C608*7)</f>
        <v>2A</v>
      </c>
      <c r="H608" s="1" t="n">
        <f aca="false">IF(D608=0, 33, "cc")</f>
        <v>33</v>
      </c>
    </row>
    <row r="609" customFormat="false" ht="18.65" hidden="false" customHeight="true" outlineLevel="0" collapsed="false">
      <c r="A609" s="1" t="n">
        <f aca="false">ROW()-2</f>
        <v>607</v>
      </c>
      <c r="B609" s="1" t="n">
        <f aca="false">INT(A609/$N$1)</f>
        <v>33</v>
      </c>
      <c r="C609" s="1" t="n">
        <f aca="false">INT(MOD(A609,$N$1) / 2)</f>
        <v>6</v>
      </c>
      <c r="D609" s="1" t="n">
        <f aca="false">_xlfn.BITAND(A609,1)</f>
        <v>1</v>
      </c>
      <c r="F609" s="1" t="str">
        <f aca="false">DEC2HEX(B609*$N$3*18)</f>
        <v>9480</v>
      </c>
      <c r="G609" s="1" t="str">
        <f aca="false">DEC2HEX(C609*7)</f>
        <v>2A</v>
      </c>
      <c r="H609" s="1" t="str">
        <f aca="false">IF(D609=0, 33, "cc")</f>
        <v>cc</v>
      </c>
    </row>
    <row r="610" customFormat="false" ht="18.65" hidden="false" customHeight="true" outlineLevel="0" collapsed="false">
      <c r="A610" s="1" t="n">
        <f aca="false">ROW()-2</f>
        <v>608</v>
      </c>
      <c r="B610" s="1" t="n">
        <f aca="false">INT(A610/$N$1)</f>
        <v>33</v>
      </c>
      <c r="C610" s="1" t="n">
        <f aca="false">INT(MOD(A610,$N$1) / 2)</f>
        <v>7</v>
      </c>
      <c r="D610" s="1" t="n">
        <f aca="false">_xlfn.BITAND(A610,1)</f>
        <v>0</v>
      </c>
      <c r="F610" s="1" t="str">
        <f aca="false">DEC2HEX(B610*$N$3*18)</f>
        <v>9480</v>
      </c>
      <c r="G610" s="1" t="str">
        <f aca="false">DEC2HEX(C610*7)</f>
        <v>31</v>
      </c>
      <c r="H610" s="1" t="n">
        <f aca="false">IF(D610=0, 33, "cc")</f>
        <v>33</v>
      </c>
    </row>
    <row r="611" customFormat="false" ht="18.65" hidden="false" customHeight="true" outlineLevel="0" collapsed="false">
      <c r="A611" s="1" t="n">
        <f aca="false">ROW()-2</f>
        <v>609</v>
      </c>
      <c r="B611" s="1" t="n">
        <f aca="false">INT(A611/$N$1)</f>
        <v>33</v>
      </c>
      <c r="C611" s="1" t="n">
        <f aca="false">INT(MOD(A611,$N$1) / 2)</f>
        <v>7</v>
      </c>
      <c r="D611" s="1" t="n">
        <f aca="false">_xlfn.BITAND(A611,1)</f>
        <v>1</v>
      </c>
      <c r="F611" s="1" t="str">
        <f aca="false">DEC2HEX(B611*$N$3*18)</f>
        <v>9480</v>
      </c>
      <c r="G611" s="1" t="str">
        <f aca="false">DEC2HEX(C611*7)</f>
        <v>31</v>
      </c>
      <c r="H611" s="1" t="str">
        <f aca="false">IF(D611=0, 33, "cc")</f>
        <v>cc</v>
      </c>
    </row>
    <row r="612" customFormat="false" ht="18.65" hidden="false" customHeight="true" outlineLevel="0" collapsed="false">
      <c r="A612" s="1" t="n">
        <f aca="false">ROW()-2</f>
        <v>610</v>
      </c>
      <c r="B612" s="1" t="n">
        <f aca="false">INT(A612/$N$1)</f>
        <v>33</v>
      </c>
      <c r="C612" s="1" t="n">
        <f aca="false">INT(MOD(A612,$N$1) / 2)</f>
        <v>8</v>
      </c>
      <c r="D612" s="1" t="n">
        <f aca="false">_xlfn.BITAND(A612,1)</f>
        <v>0</v>
      </c>
      <c r="F612" s="1" t="str">
        <f aca="false">DEC2HEX(B612*$N$3*18)</f>
        <v>9480</v>
      </c>
      <c r="G612" s="1" t="str">
        <f aca="false">DEC2HEX(C612*7)</f>
        <v>38</v>
      </c>
      <c r="H612" s="1" t="n">
        <f aca="false">IF(D612=0, 33, "cc")</f>
        <v>33</v>
      </c>
    </row>
    <row r="613" customFormat="false" ht="18.65" hidden="false" customHeight="true" outlineLevel="0" collapsed="false">
      <c r="A613" s="1" t="n">
        <f aca="false">ROW()-2</f>
        <v>611</v>
      </c>
      <c r="B613" s="1" t="n">
        <f aca="false">INT(A613/$N$1)</f>
        <v>33</v>
      </c>
      <c r="C613" s="1" t="n">
        <f aca="false">INT(MOD(A613,$N$1) / 2)</f>
        <v>8</v>
      </c>
      <c r="D613" s="1" t="n">
        <f aca="false">_xlfn.BITAND(A613,1)</f>
        <v>1</v>
      </c>
      <c r="F613" s="1" t="str">
        <f aca="false">DEC2HEX(B613*$N$3*18)</f>
        <v>9480</v>
      </c>
      <c r="G613" s="1" t="str">
        <f aca="false">DEC2HEX(C613*7)</f>
        <v>38</v>
      </c>
      <c r="H613" s="1" t="str">
        <f aca="false">IF(D613=0, 33, "cc")</f>
        <v>cc</v>
      </c>
    </row>
    <row r="614" customFormat="false" ht="18.65" hidden="false" customHeight="true" outlineLevel="0" collapsed="false">
      <c r="A614" s="1" t="n">
        <f aca="false">ROW()-2</f>
        <v>612</v>
      </c>
      <c r="B614" s="1" t="n">
        <f aca="false">INT(A614/$N$1)</f>
        <v>34</v>
      </c>
      <c r="C614" s="1" t="n">
        <f aca="false">INT(MOD(A614,$N$1) / 2)</f>
        <v>0</v>
      </c>
      <c r="D614" s="1" t="n">
        <f aca="false">_xlfn.BITAND(A614,1)</f>
        <v>0</v>
      </c>
      <c r="F614" s="1" t="str">
        <f aca="false">DEC2HEX(B614*$N$3*18)</f>
        <v>9900</v>
      </c>
      <c r="G614" s="1" t="str">
        <f aca="false">DEC2HEX(C614*7)</f>
        <v>0</v>
      </c>
      <c r="H614" s="1" t="n">
        <f aca="false">IF(D614=0, 33, "cc")</f>
        <v>33</v>
      </c>
    </row>
    <row r="615" customFormat="false" ht="18.65" hidden="false" customHeight="true" outlineLevel="0" collapsed="false">
      <c r="A615" s="1" t="n">
        <f aca="false">ROW()-2</f>
        <v>613</v>
      </c>
      <c r="B615" s="1" t="n">
        <f aca="false">INT(A615/$N$1)</f>
        <v>34</v>
      </c>
      <c r="C615" s="1" t="n">
        <f aca="false">INT(MOD(A615,$N$1) / 2)</f>
        <v>0</v>
      </c>
      <c r="D615" s="1" t="n">
        <f aca="false">_xlfn.BITAND(A615,1)</f>
        <v>1</v>
      </c>
      <c r="F615" s="1" t="str">
        <f aca="false">DEC2HEX(B615*$N$3*18)</f>
        <v>9900</v>
      </c>
      <c r="G615" s="1" t="str">
        <f aca="false">DEC2HEX(C615*7)</f>
        <v>0</v>
      </c>
      <c r="H615" s="1" t="str">
        <f aca="false">IF(D615=0, 33, "cc")</f>
        <v>cc</v>
      </c>
    </row>
    <row r="616" customFormat="false" ht="18.65" hidden="false" customHeight="true" outlineLevel="0" collapsed="false">
      <c r="A616" s="1" t="n">
        <f aca="false">ROW()-2</f>
        <v>614</v>
      </c>
      <c r="B616" s="1" t="n">
        <f aca="false">INT(A616/$N$1)</f>
        <v>34</v>
      </c>
      <c r="C616" s="1" t="n">
        <f aca="false">INT(MOD(A616,$N$1) / 2)</f>
        <v>1</v>
      </c>
      <c r="D616" s="1" t="n">
        <f aca="false">_xlfn.BITAND(A616,1)</f>
        <v>0</v>
      </c>
      <c r="F616" s="1" t="str">
        <f aca="false">DEC2HEX(B616*$N$3*18)</f>
        <v>9900</v>
      </c>
      <c r="G616" s="1" t="str">
        <f aca="false">DEC2HEX(C616*7)</f>
        <v>7</v>
      </c>
      <c r="H616" s="1" t="n">
        <f aca="false">IF(D616=0, 33, "cc")</f>
        <v>33</v>
      </c>
    </row>
    <row r="617" customFormat="false" ht="18.65" hidden="false" customHeight="true" outlineLevel="0" collapsed="false">
      <c r="A617" s="1" t="n">
        <f aca="false">ROW()-2</f>
        <v>615</v>
      </c>
      <c r="B617" s="1" t="n">
        <f aca="false">INT(A617/$N$1)</f>
        <v>34</v>
      </c>
      <c r="C617" s="1" t="n">
        <f aca="false">INT(MOD(A617,$N$1) / 2)</f>
        <v>1</v>
      </c>
      <c r="D617" s="1" t="n">
        <f aca="false">_xlfn.BITAND(A617,1)</f>
        <v>1</v>
      </c>
      <c r="F617" s="1" t="str">
        <f aca="false">DEC2HEX(B617*$N$3*18)</f>
        <v>9900</v>
      </c>
      <c r="G617" s="1" t="str">
        <f aca="false">DEC2HEX(C617*7)</f>
        <v>7</v>
      </c>
      <c r="H617" s="1" t="str">
        <f aca="false">IF(D617=0, 33, "cc")</f>
        <v>cc</v>
      </c>
    </row>
    <row r="618" customFormat="false" ht="18.65" hidden="false" customHeight="true" outlineLevel="0" collapsed="false">
      <c r="A618" s="1" t="n">
        <f aca="false">ROW()-2</f>
        <v>616</v>
      </c>
      <c r="B618" s="1" t="n">
        <f aca="false">INT(A618/$N$1)</f>
        <v>34</v>
      </c>
      <c r="C618" s="1" t="n">
        <f aca="false">INT(MOD(A618,$N$1) / 2)</f>
        <v>2</v>
      </c>
      <c r="D618" s="1" t="n">
        <f aca="false">_xlfn.BITAND(A618,1)</f>
        <v>0</v>
      </c>
      <c r="F618" s="1" t="str">
        <f aca="false">DEC2HEX(B618*$N$3*18)</f>
        <v>9900</v>
      </c>
      <c r="G618" s="1" t="str">
        <f aca="false">DEC2HEX(C618*7)</f>
        <v>E</v>
      </c>
      <c r="H618" s="1" t="n">
        <f aca="false">IF(D618=0, 33, "cc")</f>
        <v>33</v>
      </c>
    </row>
    <row r="619" customFormat="false" ht="18.65" hidden="false" customHeight="true" outlineLevel="0" collapsed="false">
      <c r="A619" s="1" t="n">
        <f aca="false">ROW()-2</f>
        <v>617</v>
      </c>
      <c r="B619" s="1" t="n">
        <f aca="false">INT(A619/$N$1)</f>
        <v>34</v>
      </c>
      <c r="C619" s="1" t="n">
        <f aca="false">INT(MOD(A619,$N$1) / 2)</f>
        <v>2</v>
      </c>
      <c r="D619" s="1" t="n">
        <f aca="false">_xlfn.BITAND(A619,1)</f>
        <v>1</v>
      </c>
      <c r="F619" s="1" t="str">
        <f aca="false">DEC2HEX(B619*$N$3*18)</f>
        <v>9900</v>
      </c>
      <c r="G619" s="1" t="str">
        <f aca="false">DEC2HEX(C619*7)</f>
        <v>E</v>
      </c>
      <c r="H619" s="1" t="str">
        <f aca="false">IF(D619=0, 33, "cc")</f>
        <v>cc</v>
      </c>
    </row>
    <row r="620" customFormat="false" ht="18.65" hidden="false" customHeight="true" outlineLevel="0" collapsed="false">
      <c r="A620" s="1" t="n">
        <f aca="false">ROW()-2</f>
        <v>618</v>
      </c>
      <c r="B620" s="1" t="n">
        <f aca="false">INT(A620/$N$1)</f>
        <v>34</v>
      </c>
      <c r="C620" s="1" t="n">
        <f aca="false">INT(MOD(A620,$N$1) / 2)</f>
        <v>3</v>
      </c>
      <c r="D620" s="1" t="n">
        <f aca="false">_xlfn.BITAND(A620,1)</f>
        <v>0</v>
      </c>
      <c r="F620" s="1" t="str">
        <f aca="false">DEC2HEX(B620*$N$3*18)</f>
        <v>9900</v>
      </c>
      <c r="G620" s="1" t="str">
        <f aca="false">DEC2HEX(C620*7)</f>
        <v>15</v>
      </c>
      <c r="H620" s="1" t="n">
        <f aca="false">IF(D620=0, 33, "cc")</f>
        <v>33</v>
      </c>
    </row>
    <row r="621" customFormat="false" ht="18.65" hidden="false" customHeight="true" outlineLevel="0" collapsed="false">
      <c r="A621" s="1" t="n">
        <f aca="false">ROW()-2</f>
        <v>619</v>
      </c>
      <c r="B621" s="1" t="n">
        <f aca="false">INT(A621/$N$1)</f>
        <v>34</v>
      </c>
      <c r="C621" s="1" t="n">
        <f aca="false">INT(MOD(A621,$N$1) / 2)</f>
        <v>3</v>
      </c>
      <c r="D621" s="1" t="n">
        <f aca="false">_xlfn.BITAND(A621,1)</f>
        <v>1</v>
      </c>
      <c r="F621" s="1" t="str">
        <f aca="false">DEC2HEX(B621*$N$3*18)</f>
        <v>9900</v>
      </c>
      <c r="G621" s="1" t="str">
        <f aca="false">DEC2HEX(C621*7)</f>
        <v>15</v>
      </c>
      <c r="H621" s="1" t="str">
        <f aca="false">IF(D621=0, 33, "cc")</f>
        <v>cc</v>
      </c>
    </row>
    <row r="622" customFormat="false" ht="18.65" hidden="false" customHeight="true" outlineLevel="0" collapsed="false">
      <c r="A622" s="1" t="n">
        <f aca="false">ROW()-2</f>
        <v>620</v>
      </c>
      <c r="B622" s="1" t="n">
        <f aca="false">INT(A622/$N$1)</f>
        <v>34</v>
      </c>
      <c r="C622" s="1" t="n">
        <f aca="false">INT(MOD(A622,$N$1) / 2)</f>
        <v>4</v>
      </c>
      <c r="D622" s="1" t="n">
        <f aca="false">_xlfn.BITAND(A622,1)</f>
        <v>0</v>
      </c>
      <c r="F622" s="1" t="str">
        <f aca="false">DEC2HEX(B622*$N$3*18)</f>
        <v>9900</v>
      </c>
      <c r="G622" s="1" t="str">
        <f aca="false">DEC2HEX(C622*7)</f>
        <v>1C</v>
      </c>
      <c r="H622" s="1" t="n">
        <f aca="false">IF(D622=0, 33, "cc")</f>
        <v>33</v>
      </c>
    </row>
    <row r="623" customFormat="false" ht="18.65" hidden="false" customHeight="true" outlineLevel="0" collapsed="false">
      <c r="A623" s="1" t="n">
        <f aca="false">ROW()-2</f>
        <v>621</v>
      </c>
      <c r="B623" s="1" t="n">
        <f aca="false">INT(A623/$N$1)</f>
        <v>34</v>
      </c>
      <c r="C623" s="1" t="n">
        <f aca="false">INT(MOD(A623,$N$1) / 2)</f>
        <v>4</v>
      </c>
      <c r="D623" s="1" t="n">
        <f aca="false">_xlfn.BITAND(A623,1)</f>
        <v>1</v>
      </c>
      <c r="F623" s="1" t="str">
        <f aca="false">DEC2HEX(B623*$N$3*18)</f>
        <v>9900</v>
      </c>
      <c r="G623" s="1" t="str">
        <f aca="false">DEC2HEX(C623*7)</f>
        <v>1C</v>
      </c>
      <c r="H623" s="1" t="str">
        <f aca="false">IF(D623=0, 33, "cc")</f>
        <v>cc</v>
      </c>
    </row>
    <row r="624" customFormat="false" ht="18.65" hidden="false" customHeight="true" outlineLevel="0" collapsed="false">
      <c r="A624" s="1" t="n">
        <f aca="false">ROW()-2</f>
        <v>622</v>
      </c>
      <c r="B624" s="1" t="n">
        <f aca="false">INT(A624/$N$1)</f>
        <v>34</v>
      </c>
      <c r="C624" s="1" t="n">
        <f aca="false">INT(MOD(A624,$N$1) / 2)</f>
        <v>5</v>
      </c>
      <c r="D624" s="1" t="n">
        <f aca="false">_xlfn.BITAND(A624,1)</f>
        <v>0</v>
      </c>
      <c r="F624" s="1" t="str">
        <f aca="false">DEC2HEX(B624*$N$3*18)</f>
        <v>9900</v>
      </c>
      <c r="G624" s="1" t="str">
        <f aca="false">DEC2HEX(C624*7)</f>
        <v>23</v>
      </c>
      <c r="H624" s="1" t="n">
        <f aca="false">IF(D624=0, 33, "cc")</f>
        <v>33</v>
      </c>
    </row>
    <row r="625" customFormat="false" ht="18.65" hidden="false" customHeight="true" outlineLevel="0" collapsed="false">
      <c r="A625" s="1" t="n">
        <f aca="false">ROW()-2</f>
        <v>623</v>
      </c>
      <c r="B625" s="1" t="n">
        <f aca="false">INT(A625/$N$1)</f>
        <v>34</v>
      </c>
      <c r="C625" s="1" t="n">
        <f aca="false">INT(MOD(A625,$N$1) / 2)</f>
        <v>5</v>
      </c>
      <c r="D625" s="1" t="n">
        <f aca="false">_xlfn.BITAND(A625,1)</f>
        <v>1</v>
      </c>
      <c r="F625" s="1" t="str">
        <f aca="false">DEC2HEX(B625*$N$3*18)</f>
        <v>9900</v>
      </c>
      <c r="G625" s="1" t="str">
        <f aca="false">DEC2HEX(C625*7)</f>
        <v>23</v>
      </c>
      <c r="H625" s="1" t="str">
        <f aca="false">IF(D625=0, 33, "cc")</f>
        <v>cc</v>
      </c>
    </row>
    <row r="626" customFormat="false" ht="18.65" hidden="false" customHeight="true" outlineLevel="0" collapsed="false">
      <c r="A626" s="1" t="n">
        <f aca="false">ROW()-2</f>
        <v>624</v>
      </c>
      <c r="B626" s="1" t="n">
        <f aca="false">INT(A626/$N$1)</f>
        <v>34</v>
      </c>
      <c r="C626" s="1" t="n">
        <f aca="false">INT(MOD(A626,$N$1) / 2)</f>
        <v>6</v>
      </c>
      <c r="D626" s="1" t="n">
        <f aca="false">_xlfn.BITAND(A626,1)</f>
        <v>0</v>
      </c>
      <c r="F626" s="1" t="str">
        <f aca="false">DEC2HEX(B626*$N$3*18)</f>
        <v>9900</v>
      </c>
      <c r="G626" s="1" t="str">
        <f aca="false">DEC2HEX(C626*7)</f>
        <v>2A</v>
      </c>
      <c r="H626" s="1" t="n">
        <f aca="false">IF(D626=0, 33, "cc")</f>
        <v>33</v>
      </c>
    </row>
    <row r="627" customFormat="false" ht="18.65" hidden="false" customHeight="true" outlineLevel="0" collapsed="false">
      <c r="A627" s="1" t="n">
        <f aca="false">ROW()-2</f>
        <v>625</v>
      </c>
      <c r="B627" s="1" t="n">
        <f aca="false">INT(A627/$N$1)</f>
        <v>34</v>
      </c>
      <c r="C627" s="1" t="n">
        <f aca="false">INT(MOD(A627,$N$1) / 2)</f>
        <v>6</v>
      </c>
      <c r="D627" s="1" t="n">
        <f aca="false">_xlfn.BITAND(A627,1)</f>
        <v>1</v>
      </c>
      <c r="F627" s="1" t="str">
        <f aca="false">DEC2HEX(B627*$N$3*18)</f>
        <v>9900</v>
      </c>
      <c r="G627" s="1" t="str">
        <f aca="false">DEC2HEX(C627*7)</f>
        <v>2A</v>
      </c>
      <c r="H627" s="1" t="str">
        <f aca="false">IF(D627=0, 33, "cc")</f>
        <v>cc</v>
      </c>
    </row>
    <row r="628" customFormat="false" ht="18.65" hidden="false" customHeight="true" outlineLevel="0" collapsed="false">
      <c r="A628" s="1" t="n">
        <f aca="false">ROW()-2</f>
        <v>626</v>
      </c>
      <c r="B628" s="1" t="n">
        <f aca="false">INT(A628/$N$1)</f>
        <v>34</v>
      </c>
      <c r="C628" s="1" t="n">
        <f aca="false">INT(MOD(A628,$N$1) / 2)</f>
        <v>7</v>
      </c>
      <c r="D628" s="1" t="n">
        <f aca="false">_xlfn.BITAND(A628,1)</f>
        <v>0</v>
      </c>
      <c r="F628" s="1" t="str">
        <f aca="false">DEC2HEX(B628*$N$3*18)</f>
        <v>9900</v>
      </c>
      <c r="G628" s="1" t="str">
        <f aca="false">DEC2HEX(C628*7)</f>
        <v>31</v>
      </c>
      <c r="H628" s="1" t="n">
        <f aca="false">IF(D628=0, 33, "cc")</f>
        <v>33</v>
      </c>
    </row>
    <row r="629" customFormat="false" ht="18.65" hidden="false" customHeight="true" outlineLevel="0" collapsed="false">
      <c r="A629" s="1" t="n">
        <f aca="false">ROW()-2</f>
        <v>627</v>
      </c>
      <c r="B629" s="1" t="n">
        <f aca="false">INT(A629/$N$1)</f>
        <v>34</v>
      </c>
      <c r="C629" s="1" t="n">
        <f aca="false">INT(MOD(A629,$N$1) / 2)</f>
        <v>7</v>
      </c>
      <c r="D629" s="1" t="n">
        <f aca="false">_xlfn.BITAND(A629,1)</f>
        <v>1</v>
      </c>
      <c r="F629" s="1" t="str">
        <f aca="false">DEC2HEX(B629*$N$3*18)</f>
        <v>9900</v>
      </c>
      <c r="G629" s="1" t="str">
        <f aca="false">DEC2HEX(C629*7)</f>
        <v>31</v>
      </c>
      <c r="H629" s="1" t="str">
        <f aca="false">IF(D629=0, 33, "cc")</f>
        <v>cc</v>
      </c>
    </row>
    <row r="630" customFormat="false" ht="18.65" hidden="false" customHeight="true" outlineLevel="0" collapsed="false">
      <c r="A630" s="1" t="n">
        <f aca="false">ROW()-2</f>
        <v>628</v>
      </c>
      <c r="B630" s="1" t="n">
        <f aca="false">INT(A630/$N$1)</f>
        <v>34</v>
      </c>
      <c r="C630" s="1" t="n">
        <f aca="false">INT(MOD(A630,$N$1) / 2)</f>
        <v>8</v>
      </c>
      <c r="D630" s="1" t="n">
        <f aca="false">_xlfn.BITAND(A630,1)</f>
        <v>0</v>
      </c>
      <c r="F630" s="1" t="str">
        <f aca="false">DEC2HEX(B630*$N$3*18)</f>
        <v>9900</v>
      </c>
      <c r="G630" s="1" t="str">
        <f aca="false">DEC2HEX(C630*7)</f>
        <v>38</v>
      </c>
      <c r="H630" s="1" t="n">
        <f aca="false">IF(D630=0, 33, "cc")</f>
        <v>33</v>
      </c>
    </row>
    <row r="631" customFormat="false" ht="18.65" hidden="false" customHeight="true" outlineLevel="0" collapsed="false">
      <c r="A631" s="1" t="n">
        <f aca="false">ROW()-2</f>
        <v>629</v>
      </c>
      <c r="B631" s="1" t="n">
        <f aca="false">INT(A631/$N$1)</f>
        <v>34</v>
      </c>
      <c r="C631" s="1" t="n">
        <f aca="false">INT(MOD(A631,$N$1) / 2)</f>
        <v>8</v>
      </c>
      <c r="D631" s="1" t="n">
        <f aca="false">_xlfn.BITAND(A631,1)</f>
        <v>1</v>
      </c>
      <c r="F631" s="1" t="str">
        <f aca="false">DEC2HEX(B631*$N$3*18)</f>
        <v>9900</v>
      </c>
      <c r="G631" s="1" t="str">
        <f aca="false">DEC2HEX(C631*7)</f>
        <v>38</v>
      </c>
      <c r="H631" s="1" t="str">
        <f aca="false">IF(D631=0, 33, "cc")</f>
        <v>cc</v>
      </c>
    </row>
    <row r="632" customFormat="false" ht="18.65" hidden="false" customHeight="true" outlineLevel="0" collapsed="false">
      <c r="A632" s="1" t="n">
        <f aca="false">ROW()-2</f>
        <v>630</v>
      </c>
      <c r="B632" s="1" t="n">
        <f aca="false">INT(A632/$N$1)</f>
        <v>35</v>
      </c>
      <c r="C632" s="1" t="n">
        <f aca="false">INT(MOD(A632,$N$1) / 2)</f>
        <v>0</v>
      </c>
      <c r="D632" s="1" t="n">
        <f aca="false">_xlfn.BITAND(A632,1)</f>
        <v>0</v>
      </c>
      <c r="F632" s="1" t="str">
        <f aca="false">DEC2HEX(B632*$N$3*18)</f>
        <v>9D80</v>
      </c>
      <c r="G632" s="1" t="str">
        <f aca="false">DEC2HEX(C632*7)</f>
        <v>0</v>
      </c>
      <c r="H632" s="1" t="n">
        <f aca="false">IF(D632=0, 33, "cc")</f>
        <v>33</v>
      </c>
    </row>
    <row r="633" customFormat="false" ht="18.65" hidden="false" customHeight="true" outlineLevel="0" collapsed="false">
      <c r="A633" s="1" t="n">
        <f aca="false">ROW()-2</f>
        <v>631</v>
      </c>
      <c r="B633" s="1" t="n">
        <f aca="false">INT(A633/$N$1)</f>
        <v>35</v>
      </c>
      <c r="C633" s="1" t="n">
        <f aca="false">INT(MOD(A633,$N$1) / 2)</f>
        <v>0</v>
      </c>
      <c r="D633" s="1" t="n">
        <f aca="false">_xlfn.BITAND(A633,1)</f>
        <v>1</v>
      </c>
      <c r="F633" s="1" t="str">
        <f aca="false">DEC2HEX(B633*$N$3*18)</f>
        <v>9D80</v>
      </c>
      <c r="G633" s="1" t="str">
        <f aca="false">DEC2HEX(C633*7)</f>
        <v>0</v>
      </c>
      <c r="H633" s="1" t="str">
        <f aca="false">IF(D633=0, 33, "cc")</f>
        <v>cc</v>
      </c>
    </row>
    <row r="634" customFormat="false" ht="18.65" hidden="false" customHeight="true" outlineLevel="0" collapsed="false">
      <c r="A634" s="1" t="n">
        <f aca="false">ROW()-2</f>
        <v>632</v>
      </c>
      <c r="B634" s="1" t="n">
        <f aca="false">INT(A634/$N$1)</f>
        <v>35</v>
      </c>
      <c r="C634" s="1" t="n">
        <f aca="false">INT(MOD(A634,$N$1) / 2)</f>
        <v>1</v>
      </c>
      <c r="D634" s="1" t="n">
        <f aca="false">_xlfn.BITAND(A634,1)</f>
        <v>0</v>
      </c>
      <c r="F634" s="1" t="str">
        <f aca="false">DEC2HEX(B634*$N$3*18)</f>
        <v>9D80</v>
      </c>
      <c r="G634" s="1" t="str">
        <f aca="false">DEC2HEX(C634*7)</f>
        <v>7</v>
      </c>
      <c r="H634" s="1" t="n">
        <f aca="false">IF(D634=0, 33, "cc")</f>
        <v>33</v>
      </c>
    </row>
    <row r="635" customFormat="false" ht="18.65" hidden="false" customHeight="true" outlineLevel="0" collapsed="false">
      <c r="A635" s="1" t="n">
        <f aca="false">ROW()-2</f>
        <v>633</v>
      </c>
      <c r="B635" s="1" t="n">
        <f aca="false">INT(A635/$N$1)</f>
        <v>35</v>
      </c>
      <c r="C635" s="1" t="n">
        <f aca="false">INT(MOD(A635,$N$1) / 2)</f>
        <v>1</v>
      </c>
      <c r="D635" s="1" t="n">
        <f aca="false">_xlfn.BITAND(A635,1)</f>
        <v>1</v>
      </c>
      <c r="F635" s="1" t="str">
        <f aca="false">DEC2HEX(B635*$N$3*18)</f>
        <v>9D80</v>
      </c>
      <c r="G635" s="1" t="str">
        <f aca="false">DEC2HEX(C635*7)</f>
        <v>7</v>
      </c>
      <c r="H635" s="1" t="str">
        <f aca="false">IF(D635=0, 33, "cc")</f>
        <v>cc</v>
      </c>
    </row>
    <row r="636" customFormat="false" ht="18.65" hidden="false" customHeight="true" outlineLevel="0" collapsed="false">
      <c r="A636" s="1" t="n">
        <f aca="false">ROW()-2</f>
        <v>634</v>
      </c>
      <c r="B636" s="1" t="n">
        <f aca="false">INT(A636/$N$1)</f>
        <v>35</v>
      </c>
      <c r="C636" s="1" t="n">
        <f aca="false">INT(MOD(A636,$N$1) / 2)</f>
        <v>2</v>
      </c>
      <c r="D636" s="1" t="n">
        <f aca="false">_xlfn.BITAND(A636,1)</f>
        <v>0</v>
      </c>
      <c r="F636" s="1" t="str">
        <f aca="false">DEC2HEX(B636*$N$3*18)</f>
        <v>9D80</v>
      </c>
      <c r="G636" s="1" t="str">
        <f aca="false">DEC2HEX(C636*7)</f>
        <v>E</v>
      </c>
      <c r="H636" s="1" t="n">
        <f aca="false">IF(D636=0, 33, "cc")</f>
        <v>33</v>
      </c>
    </row>
    <row r="637" customFormat="false" ht="18.65" hidden="false" customHeight="true" outlineLevel="0" collapsed="false">
      <c r="A637" s="1" t="n">
        <f aca="false">ROW()-2</f>
        <v>635</v>
      </c>
      <c r="B637" s="1" t="n">
        <f aca="false">INT(A637/$N$1)</f>
        <v>35</v>
      </c>
      <c r="C637" s="1" t="n">
        <f aca="false">INT(MOD(A637,$N$1) / 2)</f>
        <v>2</v>
      </c>
      <c r="D637" s="1" t="n">
        <f aca="false">_xlfn.BITAND(A637,1)</f>
        <v>1</v>
      </c>
      <c r="F637" s="1" t="str">
        <f aca="false">DEC2HEX(B637*$N$3*18)</f>
        <v>9D80</v>
      </c>
      <c r="G637" s="1" t="str">
        <f aca="false">DEC2HEX(C637*7)</f>
        <v>E</v>
      </c>
      <c r="H637" s="1" t="str">
        <f aca="false">IF(D637=0, 33, "cc")</f>
        <v>cc</v>
      </c>
    </row>
    <row r="638" customFormat="false" ht="18.65" hidden="false" customHeight="true" outlineLevel="0" collapsed="false">
      <c r="A638" s="1" t="n">
        <f aca="false">ROW()-2</f>
        <v>636</v>
      </c>
      <c r="B638" s="1" t="n">
        <f aca="false">INT(A638/$N$1)</f>
        <v>35</v>
      </c>
      <c r="C638" s="1" t="n">
        <f aca="false">INT(MOD(A638,$N$1) / 2)</f>
        <v>3</v>
      </c>
      <c r="D638" s="1" t="n">
        <f aca="false">_xlfn.BITAND(A638,1)</f>
        <v>0</v>
      </c>
      <c r="F638" s="1" t="str">
        <f aca="false">DEC2HEX(B638*$N$3*18)</f>
        <v>9D80</v>
      </c>
      <c r="G638" s="1" t="str">
        <f aca="false">DEC2HEX(C638*7)</f>
        <v>15</v>
      </c>
      <c r="H638" s="1" t="n">
        <f aca="false">IF(D638=0, 33, "cc")</f>
        <v>33</v>
      </c>
    </row>
    <row r="639" customFormat="false" ht="18.65" hidden="false" customHeight="true" outlineLevel="0" collapsed="false">
      <c r="A639" s="1" t="n">
        <f aca="false">ROW()-2</f>
        <v>637</v>
      </c>
      <c r="B639" s="1" t="n">
        <f aca="false">INT(A639/$N$1)</f>
        <v>35</v>
      </c>
      <c r="C639" s="1" t="n">
        <f aca="false">INT(MOD(A639,$N$1) / 2)</f>
        <v>3</v>
      </c>
      <c r="D639" s="1" t="n">
        <f aca="false">_xlfn.BITAND(A639,1)</f>
        <v>1</v>
      </c>
      <c r="F639" s="1" t="str">
        <f aca="false">DEC2HEX(B639*$N$3*18)</f>
        <v>9D80</v>
      </c>
      <c r="G639" s="1" t="str">
        <f aca="false">DEC2HEX(C639*7)</f>
        <v>15</v>
      </c>
      <c r="H639" s="1" t="str">
        <f aca="false">IF(D639=0, 33, "cc")</f>
        <v>cc</v>
      </c>
    </row>
    <row r="640" customFormat="false" ht="18.65" hidden="false" customHeight="true" outlineLevel="0" collapsed="false">
      <c r="A640" s="1" t="n">
        <f aca="false">ROW()-2</f>
        <v>638</v>
      </c>
      <c r="B640" s="1" t="n">
        <f aca="false">INT(A640/$N$1)</f>
        <v>35</v>
      </c>
      <c r="C640" s="1" t="n">
        <f aca="false">INT(MOD(A640,$N$1) / 2)</f>
        <v>4</v>
      </c>
      <c r="D640" s="1" t="n">
        <f aca="false">_xlfn.BITAND(A640,1)</f>
        <v>0</v>
      </c>
      <c r="F640" s="1" t="str">
        <f aca="false">DEC2HEX(B640*$N$3*18)</f>
        <v>9D80</v>
      </c>
      <c r="G640" s="1" t="str">
        <f aca="false">DEC2HEX(C640*7)</f>
        <v>1C</v>
      </c>
      <c r="H640" s="1" t="n">
        <f aca="false">IF(D640=0, 33, "cc")</f>
        <v>33</v>
      </c>
    </row>
    <row r="641" customFormat="false" ht="18.65" hidden="false" customHeight="true" outlineLevel="0" collapsed="false">
      <c r="A641" s="1" t="n">
        <f aca="false">ROW()-2</f>
        <v>639</v>
      </c>
      <c r="B641" s="1" t="n">
        <f aca="false">INT(A641/$N$1)</f>
        <v>35</v>
      </c>
      <c r="C641" s="1" t="n">
        <f aca="false">INT(MOD(A641,$N$1) / 2)</f>
        <v>4</v>
      </c>
      <c r="D641" s="1" t="n">
        <f aca="false">_xlfn.BITAND(A641,1)</f>
        <v>1</v>
      </c>
      <c r="F641" s="1" t="str">
        <f aca="false">DEC2HEX(B641*$N$3*18)</f>
        <v>9D80</v>
      </c>
      <c r="G641" s="1" t="str">
        <f aca="false">DEC2HEX(C641*7)</f>
        <v>1C</v>
      </c>
      <c r="H641" s="1" t="str">
        <f aca="false">IF(D641=0, 33, "cc")</f>
        <v>cc</v>
      </c>
    </row>
    <row r="642" customFormat="false" ht="18.65" hidden="false" customHeight="true" outlineLevel="0" collapsed="false">
      <c r="A642" s="1" t="n">
        <f aca="false">ROW()-2</f>
        <v>640</v>
      </c>
      <c r="B642" s="1" t="n">
        <f aca="false">INT(A642/$N$1)</f>
        <v>35</v>
      </c>
      <c r="C642" s="1" t="n">
        <f aca="false">INT(MOD(A642,$N$1) / 2)</f>
        <v>5</v>
      </c>
      <c r="D642" s="1" t="n">
        <f aca="false">_xlfn.BITAND(A642,1)</f>
        <v>0</v>
      </c>
      <c r="F642" s="1" t="str">
        <f aca="false">DEC2HEX(B642*$N$3*18)</f>
        <v>9D80</v>
      </c>
      <c r="G642" s="1" t="str">
        <f aca="false">DEC2HEX(C642*7)</f>
        <v>23</v>
      </c>
      <c r="H642" s="1" t="n">
        <f aca="false">IF(D642=0, 33, "cc")</f>
        <v>33</v>
      </c>
    </row>
    <row r="643" customFormat="false" ht="18.65" hidden="false" customHeight="true" outlineLevel="0" collapsed="false">
      <c r="A643" s="1" t="n">
        <f aca="false">ROW()-2</f>
        <v>641</v>
      </c>
      <c r="B643" s="1" t="n">
        <f aca="false">INT(A643/$N$1)</f>
        <v>35</v>
      </c>
      <c r="C643" s="1" t="n">
        <f aca="false">INT(MOD(A643,$N$1) / 2)</f>
        <v>5</v>
      </c>
      <c r="D643" s="1" t="n">
        <f aca="false">_xlfn.BITAND(A643,1)</f>
        <v>1</v>
      </c>
      <c r="F643" s="1" t="str">
        <f aca="false">DEC2HEX(B643*$N$3*18)</f>
        <v>9D80</v>
      </c>
      <c r="G643" s="1" t="str">
        <f aca="false">DEC2HEX(C643*7)</f>
        <v>23</v>
      </c>
      <c r="H643" s="1" t="str">
        <f aca="false">IF(D643=0, 33, "cc")</f>
        <v>cc</v>
      </c>
    </row>
    <row r="644" customFormat="false" ht="18.65" hidden="false" customHeight="true" outlineLevel="0" collapsed="false">
      <c r="A644" s="1" t="n">
        <f aca="false">ROW()-2</f>
        <v>642</v>
      </c>
      <c r="B644" s="1" t="n">
        <f aca="false">INT(A644/$N$1)</f>
        <v>35</v>
      </c>
      <c r="C644" s="1" t="n">
        <f aca="false">INT(MOD(A644,$N$1) / 2)</f>
        <v>6</v>
      </c>
      <c r="D644" s="1" t="n">
        <f aca="false">_xlfn.BITAND(A644,1)</f>
        <v>0</v>
      </c>
      <c r="F644" s="1" t="str">
        <f aca="false">DEC2HEX(B644*$N$3*18)</f>
        <v>9D80</v>
      </c>
      <c r="G644" s="1" t="str">
        <f aca="false">DEC2HEX(C644*7)</f>
        <v>2A</v>
      </c>
      <c r="H644" s="1" t="n">
        <f aca="false">IF(D644=0, 33, "cc")</f>
        <v>33</v>
      </c>
    </row>
    <row r="645" customFormat="false" ht="18.65" hidden="false" customHeight="true" outlineLevel="0" collapsed="false">
      <c r="A645" s="1" t="n">
        <f aca="false">ROW()-2</f>
        <v>643</v>
      </c>
      <c r="B645" s="1" t="n">
        <f aca="false">INT(A645/$N$1)</f>
        <v>35</v>
      </c>
      <c r="C645" s="1" t="n">
        <f aca="false">INT(MOD(A645,$N$1) / 2)</f>
        <v>6</v>
      </c>
      <c r="D645" s="1" t="n">
        <f aca="false">_xlfn.BITAND(A645,1)</f>
        <v>1</v>
      </c>
      <c r="F645" s="1" t="str">
        <f aca="false">DEC2HEX(B645*$N$3*18)</f>
        <v>9D80</v>
      </c>
      <c r="G645" s="1" t="str">
        <f aca="false">DEC2HEX(C645*7)</f>
        <v>2A</v>
      </c>
      <c r="H645" s="1" t="str">
        <f aca="false">IF(D645=0, 33, "cc")</f>
        <v>cc</v>
      </c>
    </row>
    <row r="646" customFormat="false" ht="18.65" hidden="false" customHeight="true" outlineLevel="0" collapsed="false">
      <c r="A646" s="1" t="n">
        <f aca="false">ROW()-2</f>
        <v>644</v>
      </c>
      <c r="B646" s="1" t="n">
        <f aca="false">INT(A646/$N$1)</f>
        <v>35</v>
      </c>
      <c r="C646" s="1" t="n">
        <f aca="false">INT(MOD(A646,$N$1) / 2)</f>
        <v>7</v>
      </c>
      <c r="D646" s="1" t="n">
        <f aca="false">_xlfn.BITAND(A646,1)</f>
        <v>0</v>
      </c>
      <c r="F646" s="1" t="str">
        <f aca="false">DEC2HEX(B646*$N$3*18)</f>
        <v>9D80</v>
      </c>
      <c r="G646" s="1" t="str">
        <f aca="false">DEC2HEX(C646*7)</f>
        <v>31</v>
      </c>
      <c r="H646" s="1" t="n">
        <f aca="false">IF(D646=0, 33, "cc")</f>
        <v>33</v>
      </c>
    </row>
    <row r="647" customFormat="false" ht="18.65" hidden="false" customHeight="true" outlineLevel="0" collapsed="false">
      <c r="A647" s="1" t="n">
        <f aca="false">ROW()-2</f>
        <v>645</v>
      </c>
      <c r="B647" s="1" t="n">
        <f aca="false">INT(A647/$N$1)</f>
        <v>35</v>
      </c>
      <c r="C647" s="1" t="n">
        <f aca="false">INT(MOD(A647,$N$1) / 2)</f>
        <v>7</v>
      </c>
      <c r="D647" s="1" t="n">
        <f aca="false">_xlfn.BITAND(A647,1)</f>
        <v>1</v>
      </c>
      <c r="F647" s="1" t="str">
        <f aca="false">DEC2HEX(B647*$N$3*18)</f>
        <v>9D80</v>
      </c>
      <c r="G647" s="1" t="str">
        <f aca="false">DEC2HEX(C647*7)</f>
        <v>31</v>
      </c>
      <c r="H647" s="1" t="str">
        <f aca="false">IF(D647=0, 33, "cc")</f>
        <v>cc</v>
      </c>
    </row>
    <row r="648" customFormat="false" ht="18.65" hidden="false" customHeight="true" outlineLevel="0" collapsed="false">
      <c r="A648" s="1" t="n">
        <f aca="false">ROW()-2</f>
        <v>646</v>
      </c>
      <c r="B648" s="1" t="n">
        <f aca="false">INT(A648/$N$1)</f>
        <v>35</v>
      </c>
      <c r="C648" s="1" t="n">
        <f aca="false">INT(MOD(A648,$N$1) / 2)</f>
        <v>8</v>
      </c>
      <c r="D648" s="1" t="n">
        <f aca="false">_xlfn.BITAND(A648,1)</f>
        <v>0</v>
      </c>
      <c r="F648" s="1" t="str">
        <f aca="false">DEC2HEX(B648*$N$3*18)</f>
        <v>9D80</v>
      </c>
      <c r="G648" s="1" t="str">
        <f aca="false">DEC2HEX(C648*7)</f>
        <v>38</v>
      </c>
      <c r="H648" s="1" t="n">
        <f aca="false">IF(D648=0, 33, "cc")</f>
        <v>33</v>
      </c>
    </row>
    <row r="649" customFormat="false" ht="18.65" hidden="false" customHeight="true" outlineLevel="0" collapsed="false">
      <c r="A649" s="1" t="n">
        <f aca="false">ROW()-2</f>
        <v>647</v>
      </c>
      <c r="B649" s="1" t="n">
        <f aca="false">INT(A649/$N$1)</f>
        <v>35</v>
      </c>
      <c r="C649" s="1" t="n">
        <f aca="false">INT(MOD(A649,$N$1) / 2)</f>
        <v>8</v>
      </c>
      <c r="D649" s="1" t="n">
        <f aca="false">_xlfn.BITAND(A649,1)</f>
        <v>1</v>
      </c>
      <c r="F649" s="1" t="str">
        <f aca="false">DEC2HEX(B649*$N$3*18)</f>
        <v>9D80</v>
      </c>
      <c r="G649" s="1" t="str">
        <f aca="false">DEC2HEX(C649*7)</f>
        <v>38</v>
      </c>
      <c r="H649" s="1" t="str">
        <f aca="false">IF(D649=0, 33, "cc")</f>
        <v>cc</v>
      </c>
    </row>
    <row r="650" customFormat="false" ht="18.65" hidden="false" customHeight="true" outlineLevel="0" collapsed="false">
      <c r="A650" s="1" t="n">
        <f aca="false">ROW()-2</f>
        <v>648</v>
      </c>
      <c r="B650" s="1" t="n">
        <f aca="false">INT(A650/$N$1)</f>
        <v>36</v>
      </c>
      <c r="C650" s="1" t="n">
        <f aca="false">INT(MOD(A650,$N$1) / 2)</f>
        <v>0</v>
      </c>
      <c r="D650" s="1" t="n">
        <f aca="false">_xlfn.BITAND(A650,1)</f>
        <v>0</v>
      </c>
      <c r="F650" s="1" t="str">
        <f aca="false">DEC2HEX(B650*$N$3*18)</f>
        <v>A200</v>
      </c>
      <c r="G650" s="1" t="str">
        <f aca="false">DEC2HEX(C650*7)</f>
        <v>0</v>
      </c>
      <c r="H650" s="1" t="n">
        <f aca="false">IF(D650=0, 33, "cc")</f>
        <v>33</v>
      </c>
    </row>
    <row r="651" customFormat="false" ht="18.65" hidden="false" customHeight="true" outlineLevel="0" collapsed="false">
      <c r="A651" s="1" t="n">
        <f aca="false">ROW()-2</f>
        <v>649</v>
      </c>
      <c r="B651" s="1" t="n">
        <f aca="false">INT(A651/$N$1)</f>
        <v>36</v>
      </c>
      <c r="C651" s="1" t="n">
        <f aca="false">INT(MOD(A651,$N$1) / 2)</f>
        <v>0</v>
      </c>
      <c r="D651" s="1" t="n">
        <f aca="false">_xlfn.BITAND(A651,1)</f>
        <v>1</v>
      </c>
      <c r="F651" s="1" t="str">
        <f aca="false">DEC2HEX(B651*$N$3*18)</f>
        <v>A200</v>
      </c>
      <c r="G651" s="1" t="str">
        <f aca="false">DEC2HEX(C651*7)</f>
        <v>0</v>
      </c>
      <c r="H651" s="1" t="str">
        <f aca="false">IF(D651=0, 33, "cc")</f>
        <v>cc</v>
      </c>
    </row>
    <row r="652" customFormat="false" ht="18.65" hidden="false" customHeight="true" outlineLevel="0" collapsed="false">
      <c r="A652" s="1" t="n">
        <f aca="false">ROW()-2</f>
        <v>650</v>
      </c>
      <c r="B652" s="1" t="n">
        <f aca="false">INT(A652/$N$1)</f>
        <v>36</v>
      </c>
      <c r="C652" s="1" t="n">
        <f aca="false">INT(MOD(A652,$N$1) / 2)</f>
        <v>1</v>
      </c>
      <c r="D652" s="1" t="n">
        <f aca="false">_xlfn.BITAND(A652,1)</f>
        <v>0</v>
      </c>
      <c r="F652" s="1" t="str">
        <f aca="false">DEC2HEX(B652*$N$3*18)</f>
        <v>A200</v>
      </c>
      <c r="G652" s="1" t="str">
        <f aca="false">DEC2HEX(C652*7)</f>
        <v>7</v>
      </c>
      <c r="H652" s="1" t="n">
        <f aca="false">IF(D652=0, 33, "cc")</f>
        <v>33</v>
      </c>
    </row>
    <row r="653" customFormat="false" ht="18.65" hidden="false" customHeight="true" outlineLevel="0" collapsed="false">
      <c r="A653" s="1" t="n">
        <f aca="false">ROW()-2</f>
        <v>651</v>
      </c>
      <c r="B653" s="1" t="n">
        <f aca="false">INT(A653/$N$1)</f>
        <v>36</v>
      </c>
      <c r="C653" s="1" t="n">
        <f aca="false">INT(MOD(A653,$N$1) / 2)</f>
        <v>1</v>
      </c>
      <c r="D653" s="1" t="n">
        <f aca="false">_xlfn.BITAND(A653,1)</f>
        <v>1</v>
      </c>
      <c r="F653" s="1" t="str">
        <f aca="false">DEC2HEX(B653*$N$3*18)</f>
        <v>A200</v>
      </c>
      <c r="G653" s="1" t="str">
        <f aca="false">DEC2HEX(C653*7)</f>
        <v>7</v>
      </c>
      <c r="H653" s="1" t="str">
        <f aca="false">IF(D653=0, 33, "cc")</f>
        <v>cc</v>
      </c>
    </row>
    <row r="654" customFormat="false" ht="18.65" hidden="false" customHeight="true" outlineLevel="0" collapsed="false">
      <c r="A654" s="1" t="n">
        <f aca="false">ROW()-2</f>
        <v>652</v>
      </c>
      <c r="B654" s="1" t="n">
        <f aca="false">INT(A654/$N$1)</f>
        <v>36</v>
      </c>
      <c r="C654" s="1" t="n">
        <f aca="false">INT(MOD(A654,$N$1) / 2)</f>
        <v>2</v>
      </c>
      <c r="D654" s="1" t="n">
        <f aca="false">_xlfn.BITAND(A654,1)</f>
        <v>0</v>
      </c>
      <c r="F654" s="1" t="str">
        <f aca="false">DEC2HEX(B654*$N$3*18)</f>
        <v>A200</v>
      </c>
      <c r="G654" s="1" t="str">
        <f aca="false">DEC2HEX(C654*7)</f>
        <v>E</v>
      </c>
      <c r="H654" s="1" t="n">
        <f aca="false">IF(D654=0, 33, "cc")</f>
        <v>33</v>
      </c>
    </row>
    <row r="655" customFormat="false" ht="18.65" hidden="false" customHeight="true" outlineLevel="0" collapsed="false">
      <c r="A655" s="1" t="n">
        <f aca="false">ROW()-2</f>
        <v>653</v>
      </c>
      <c r="B655" s="1" t="n">
        <f aca="false">INT(A655/$N$1)</f>
        <v>36</v>
      </c>
      <c r="C655" s="1" t="n">
        <f aca="false">INT(MOD(A655,$N$1) / 2)</f>
        <v>2</v>
      </c>
      <c r="D655" s="1" t="n">
        <f aca="false">_xlfn.BITAND(A655,1)</f>
        <v>1</v>
      </c>
      <c r="F655" s="1" t="str">
        <f aca="false">DEC2HEX(B655*$N$3*18)</f>
        <v>A200</v>
      </c>
      <c r="G655" s="1" t="str">
        <f aca="false">DEC2HEX(C655*7)</f>
        <v>E</v>
      </c>
      <c r="H655" s="1" t="str">
        <f aca="false">IF(D655=0, 33, "cc")</f>
        <v>cc</v>
      </c>
    </row>
    <row r="656" customFormat="false" ht="18.65" hidden="false" customHeight="true" outlineLevel="0" collapsed="false">
      <c r="A656" s="1" t="n">
        <f aca="false">ROW()-2</f>
        <v>654</v>
      </c>
      <c r="B656" s="1" t="n">
        <f aca="false">INT(A656/$N$1)</f>
        <v>36</v>
      </c>
      <c r="C656" s="1" t="n">
        <f aca="false">INT(MOD(A656,$N$1) / 2)</f>
        <v>3</v>
      </c>
      <c r="D656" s="1" t="n">
        <f aca="false">_xlfn.BITAND(A656,1)</f>
        <v>0</v>
      </c>
      <c r="F656" s="1" t="str">
        <f aca="false">DEC2HEX(B656*$N$3*18)</f>
        <v>A200</v>
      </c>
      <c r="G656" s="1" t="str">
        <f aca="false">DEC2HEX(C656*7)</f>
        <v>15</v>
      </c>
      <c r="H656" s="1" t="n">
        <f aca="false">IF(D656=0, 33, "cc")</f>
        <v>33</v>
      </c>
    </row>
    <row r="657" customFormat="false" ht="18.65" hidden="false" customHeight="true" outlineLevel="0" collapsed="false">
      <c r="A657" s="1" t="n">
        <f aca="false">ROW()-2</f>
        <v>655</v>
      </c>
      <c r="B657" s="1" t="n">
        <f aca="false">INT(A657/$N$1)</f>
        <v>36</v>
      </c>
      <c r="C657" s="1" t="n">
        <f aca="false">INT(MOD(A657,$N$1) / 2)</f>
        <v>3</v>
      </c>
      <c r="D657" s="1" t="n">
        <f aca="false">_xlfn.BITAND(A657,1)</f>
        <v>1</v>
      </c>
      <c r="F657" s="1" t="str">
        <f aca="false">DEC2HEX(B657*$N$3*18)</f>
        <v>A200</v>
      </c>
      <c r="G657" s="1" t="str">
        <f aca="false">DEC2HEX(C657*7)</f>
        <v>15</v>
      </c>
      <c r="H657" s="1" t="str">
        <f aca="false">IF(D657=0, 33, "cc")</f>
        <v>cc</v>
      </c>
    </row>
    <row r="658" customFormat="false" ht="18.65" hidden="false" customHeight="true" outlineLevel="0" collapsed="false">
      <c r="A658" s="1" t="n">
        <f aca="false">ROW()-2</f>
        <v>656</v>
      </c>
      <c r="B658" s="1" t="n">
        <f aca="false">INT(A658/$N$1)</f>
        <v>36</v>
      </c>
      <c r="C658" s="1" t="n">
        <f aca="false">INT(MOD(A658,$N$1) / 2)</f>
        <v>4</v>
      </c>
      <c r="D658" s="1" t="n">
        <f aca="false">_xlfn.BITAND(A658,1)</f>
        <v>0</v>
      </c>
      <c r="F658" s="1" t="str">
        <f aca="false">DEC2HEX(B658*$N$3*18)</f>
        <v>A200</v>
      </c>
      <c r="G658" s="1" t="str">
        <f aca="false">DEC2HEX(C658*7)</f>
        <v>1C</v>
      </c>
      <c r="H658" s="1" t="n">
        <f aca="false">IF(D658=0, 33, "cc")</f>
        <v>33</v>
      </c>
    </row>
    <row r="659" customFormat="false" ht="18.65" hidden="false" customHeight="true" outlineLevel="0" collapsed="false">
      <c r="A659" s="1" t="n">
        <f aca="false">ROW()-2</f>
        <v>657</v>
      </c>
      <c r="B659" s="1" t="n">
        <f aca="false">INT(A659/$N$1)</f>
        <v>36</v>
      </c>
      <c r="C659" s="1" t="n">
        <f aca="false">INT(MOD(A659,$N$1) / 2)</f>
        <v>4</v>
      </c>
      <c r="D659" s="1" t="n">
        <f aca="false">_xlfn.BITAND(A659,1)</f>
        <v>1</v>
      </c>
      <c r="F659" s="1" t="str">
        <f aca="false">DEC2HEX(B659*$N$3*18)</f>
        <v>A200</v>
      </c>
      <c r="G659" s="1" t="str">
        <f aca="false">DEC2HEX(C659*7)</f>
        <v>1C</v>
      </c>
      <c r="H659" s="1" t="str">
        <f aca="false">IF(D659=0, 33, "cc")</f>
        <v>cc</v>
      </c>
    </row>
    <row r="660" customFormat="false" ht="18.65" hidden="false" customHeight="true" outlineLevel="0" collapsed="false">
      <c r="A660" s="1" t="n">
        <f aca="false">ROW()-2</f>
        <v>658</v>
      </c>
      <c r="B660" s="1" t="n">
        <f aca="false">INT(A660/$N$1)</f>
        <v>36</v>
      </c>
      <c r="C660" s="1" t="n">
        <f aca="false">INT(MOD(A660,$N$1) / 2)</f>
        <v>5</v>
      </c>
      <c r="D660" s="1" t="n">
        <f aca="false">_xlfn.BITAND(A660,1)</f>
        <v>0</v>
      </c>
      <c r="F660" s="1" t="str">
        <f aca="false">DEC2HEX(B660*$N$3*18)</f>
        <v>A200</v>
      </c>
      <c r="G660" s="1" t="str">
        <f aca="false">DEC2HEX(C660*7)</f>
        <v>23</v>
      </c>
      <c r="H660" s="1" t="n">
        <f aca="false">IF(D660=0, 33, "cc")</f>
        <v>33</v>
      </c>
    </row>
    <row r="661" customFormat="false" ht="18.65" hidden="false" customHeight="true" outlineLevel="0" collapsed="false">
      <c r="A661" s="1" t="n">
        <f aca="false">ROW()-2</f>
        <v>659</v>
      </c>
      <c r="B661" s="1" t="n">
        <f aca="false">INT(A661/$N$1)</f>
        <v>36</v>
      </c>
      <c r="C661" s="1" t="n">
        <f aca="false">INT(MOD(A661,$N$1) / 2)</f>
        <v>5</v>
      </c>
      <c r="D661" s="1" t="n">
        <f aca="false">_xlfn.BITAND(A661,1)</f>
        <v>1</v>
      </c>
      <c r="F661" s="1" t="str">
        <f aca="false">DEC2HEX(B661*$N$3*18)</f>
        <v>A200</v>
      </c>
      <c r="G661" s="1" t="str">
        <f aca="false">DEC2HEX(C661*7)</f>
        <v>23</v>
      </c>
      <c r="H661" s="1" t="str">
        <f aca="false">IF(D661=0, 33, "cc")</f>
        <v>cc</v>
      </c>
    </row>
    <row r="662" customFormat="false" ht="18.65" hidden="false" customHeight="true" outlineLevel="0" collapsed="false">
      <c r="A662" s="1" t="n">
        <f aca="false">ROW()-2</f>
        <v>660</v>
      </c>
      <c r="B662" s="1" t="n">
        <f aca="false">INT(A662/$N$1)</f>
        <v>36</v>
      </c>
      <c r="C662" s="1" t="n">
        <f aca="false">INT(MOD(A662,$N$1) / 2)</f>
        <v>6</v>
      </c>
      <c r="D662" s="1" t="n">
        <f aca="false">_xlfn.BITAND(A662,1)</f>
        <v>0</v>
      </c>
      <c r="F662" s="1" t="str">
        <f aca="false">DEC2HEX(B662*$N$3*18)</f>
        <v>A200</v>
      </c>
      <c r="G662" s="1" t="str">
        <f aca="false">DEC2HEX(C662*7)</f>
        <v>2A</v>
      </c>
      <c r="H662" s="1" t="n">
        <f aca="false">IF(D662=0, 33, "cc")</f>
        <v>33</v>
      </c>
    </row>
    <row r="663" customFormat="false" ht="18.65" hidden="false" customHeight="true" outlineLevel="0" collapsed="false">
      <c r="A663" s="1" t="n">
        <f aca="false">ROW()-2</f>
        <v>661</v>
      </c>
      <c r="B663" s="1" t="n">
        <f aca="false">INT(A663/$N$1)</f>
        <v>36</v>
      </c>
      <c r="C663" s="1" t="n">
        <f aca="false">INT(MOD(A663,$N$1) / 2)</f>
        <v>6</v>
      </c>
      <c r="D663" s="1" t="n">
        <f aca="false">_xlfn.BITAND(A663,1)</f>
        <v>1</v>
      </c>
      <c r="F663" s="1" t="str">
        <f aca="false">DEC2HEX(B663*$N$3*18)</f>
        <v>A200</v>
      </c>
      <c r="G663" s="1" t="str">
        <f aca="false">DEC2HEX(C663*7)</f>
        <v>2A</v>
      </c>
      <c r="H663" s="1" t="str">
        <f aca="false">IF(D663=0, 33, "cc")</f>
        <v>cc</v>
      </c>
    </row>
    <row r="664" customFormat="false" ht="18.65" hidden="false" customHeight="true" outlineLevel="0" collapsed="false">
      <c r="A664" s="1" t="n">
        <f aca="false">ROW()-2</f>
        <v>662</v>
      </c>
      <c r="B664" s="1" t="n">
        <f aca="false">INT(A664/$N$1)</f>
        <v>36</v>
      </c>
      <c r="C664" s="1" t="n">
        <f aca="false">INT(MOD(A664,$N$1) / 2)</f>
        <v>7</v>
      </c>
      <c r="D664" s="1" t="n">
        <f aca="false">_xlfn.BITAND(A664,1)</f>
        <v>0</v>
      </c>
      <c r="F664" s="1" t="str">
        <f aca="false">DEC2HEX(B664*$N$3*18)</f>
        <v>A200</v>
      </c>
      <c r="G664" s="1" t="str">
        <f aca="false">DEC2HEX(C664*7)</f>
        <v>31</v>
      </c>
      <c r="H664" s="1" t="n">
        <f aca="false">IF(D664=0, 33, "cc")</f>
        <v>33</v>
      </c>
    </row>
    <row r="665" customFormat="false" ht="18.65" hidden="false" customHeight="true" outlineLevel="0" collapsed="false">
      <c r="A665" s="1" t="n">
        <f aca="false">ROW()-2</f>
        <v>663</v>
      </c>
      <c r="B665" s="1" t="n">
        <f aca="false">INT(A665/$N$1)</f>
        <v>36</v>
      </c>
      <c r="C665" s="1" t="n">
        <f aca="false">INT(MOD(A665,$N$1) / 2)</f>
        <v>7</v>
      </c>
      <c r="D665" s="1" t="n">
        <f aca="false">_xlfn.BITAND(A665,1)</f>
        <v>1</v>
      </c>
      <c r="F665" s="1" t="str">
        <f aca="false">DEC2HEX(B665*$N$3*18)</f>
        <v>A200</v>
      </c>
      <c r="G665" s="1" t="str">
        <f aca="false">DEC2HEX(C665*7)</f>
        <v>31</v>
      </c>
      <c r="H665" s="1" t="str">
        <f aca="false">IF(D665=0, 33, "cc")</f>
        <v>cc</v>
      </c>
    </row>
    <row r="666" customFormat="false" ht="18.65" hidden="false" customHeight="true" outlineLevel="0" collapsed="false">
      <c r="A666" s="1" t="n">
        <f aca="false">ROW()-2</f>
        <v>664</v>
      </c>
      <c r="B666" s="1" t="n">
        <f aca="false">INT(A666/$N$1)</f>
        <v>36</v>
      </c>
      <c r="C666" s="1" t="n">
        <f aca="false">INT(MOD(A666,$N$1) / 2)</f>
        <v>8</v>
      </c>
      <c r="D666" s="1" t="n">
        <f aca="false">_xlfn.BITAND(A666,1)</f>
        <v>0</v>
      </c>
      <c r="F666" s="1" t="str">
        <f aca="false">DEC2HEX(B666*$N$3*18)</f>
        <v>A200</v>
      </c>
      <c r="G666" s="1" t="str">
        <f aca="false">DEC2HEX(C666*7)</f>
        <v>38</v>
      </c>
      <c r="H666" s="1" t="n">
        <f aca="false">IF(D666=0, 33, "cc")</f>
        <v>33</v>
      </c>
    </row>
    <row r="667" customFormat="false" ht="18.65" hidden="false" customHeight="true" outlineLevel="0" collapsed="false">
      <c r="A667" s="1" t="n">
        <f aca="false">ROW()-2</f>
        <v>665</v>
      </c>
      <c r="B667" s="1" t="n">
        <f aca="false">INT(A667/$N$1)</f>
        <v>36</v>
      </c>
      <c r="C667" s="1" t="n">
        <f aca="false">INT(MOD(A667,$N$1) / 2)</f>
        <v>8</v>
      </c>
      <c r="D667" s="1" t="n">
        <f aca="false">_xlfn.BITAND(A667,1)</f>
        <v>1</v>
      </c>
      <c r="F667" s="1" t="str">
        <f aca="false">DEC2HEX(B667*$N$3*18)</f>
        <v>A200</v>
      </c>
      <c r="G667" s="1" t="str">
        <f aca="false">DEC2HEX(C667*7)</f>
        <v>38</v>
      </c>
      <c r="H667" s="1" t="str">
        <f aca="false">IF(D667=0, 33, "cc")</f>
        <v>cc</v>
      </c>
    </row>
    <row r="668" customFormat="false" ht="18.65" hidden="false" customHeight="true" outlineLevel="0" collapsed="false">
      <c r="A668" s="1" t="n">
        <f aca="false">ROW()-2</f>
        <v>666</v>
      </c>
      <c r="B668" s="1" t="n">
        <f aca="false">INT(A668/$N$1)</f>
        <v>37</v>
      </c>
      <c r="C668" s="1" t="n">
        <f aca="false">INT(MOD(A668,$N$1) / 2)</f>
        <v>0</v>
      </c>
      <c r="D668" s="1" t="n">
        <f aca="false">_xlfn.BITAND(A668,1)</f>
        <v>0</v>
      </c>
      <c r="F668" s="1" t="str">
        <f aca="false">DEC2HEX(B668*$N$3*18)</f>
        <v>A680</v>
      </c>
      <c r="G668" s="1" t="str">
        <f aca="false">DEC2HEX(C668*7)</f>
        <v>0</v>
      </c>
      <c r="H668" s="1" t="n">
        <f aca="false">IF(D668=0, 33, "cc")</f>
        <v>33</v>
      </c>
    </row>
    <row r="669" customFormat="false" ht="18.65" hidden="false" customHeight="true" outlineLevel="0" collapsed="false">
      <c r="A669" s="1" t="n">
        <f aca="false">ROW()-2</f>
        <v>667</v>
      </c>
      <c r="B669" s="1" t="n">
        <f aca="false">INT(A669/$N$1)</f>
        <v>37</v>
      </c>
      <c r="C669" s="1" t="n">
        <f aca="false">INT(MOD(A669,$N$1) / 2)</f>
        <v>0</v>
      </c>
      <c r="D669" s="1" t="n">
        <f aca="false">_xlfn.BITAND(A669,1)</f>
        <v>1</v>
      </c>
      <c r="F669" s="1" t="str">
        <f aca="false">DEC2HEX(B669*$N$3*18)</f>
        <v>A680</v>
      </c>
      <c r="G669" s="1" t="str">
        <f aca="false">DEC2HEX(C669*7)</f>
        <v>0</v>
      </c>
      <c r="H669" s="1" t="str">
        <f aca="false">IF(D669=0, 33, "cc")</f>
        <v>cc</v>
      </c>
    </row>
    <row r="670" customFormat="false" ht="18.65" hidden="false" customHeight="true" outlineLevel="0" collapsed="false">
      <c r="A670" s="1" t="n">
        <f aca="false">ROW()-2</f>
        <v>668</v>
      </c>
      <c r="B670" s="1" t="n">
        <f aca="false">INT(A670/$N$1)</f>
        <v>37</v>
      </c>
      <c r="C670" s="1" t="n">
        <f aca="false">INT(MOD(A670,$N$1) / 2)</f>
        <v>1</v>
      </c>
      <c r="D670" s="1" t="n">
        <f aca="false">_xlfn.BITAND(A670,1)</f>
        <v>0</v>
      </c>
      <c r="F670" s="1" t="str">
        <f aca="false">DEC2HEX(B670*$N$3*18)</f>
        <v>A680</v>
      </c>
      <c r="G670" s="1" t="str">
        <f aca="false">DEC2HEX(C670*7)</f>
        <v>7</v>
      </c>
      <c r="H670" s="1" t="n">
        <f aca="false">IF(D670=0, 33, "cc")</f>
        <v>33</v>
      </c>
    </row>
    <row r="671" customFormat="false" ht="18.65" hidden="false" customHeight="true" outlineLevel="0" collapsed="false">
      <c r="A671" s="1" t="n">
        <f aca="false">ROW()-2</f>
        <v>669</v>
      </c>
      <c r="B671" s="1" t="n">
        <f aca="false">INT(A671/$N$1)</f>
        <v>37</v>
      </c>
      <c r="C671" s="1" t="n">
        <f aca="false">INT(MOD(A671,$N$1) / 2)</f>
        <v>1</v>
      </c>
      <c r="D671" s="1" t="n">
        <f aca="false">_xlfn.BITAND(A671,1)</f>
        <v>1</v>
      </c>
      <c r="F671" s="1" t="str">
        <f aca="false">DEC2HEX(B671*$N$3*18)</f>
        <v>A680</v>
      </c>
      <c r="G671" s="1" t="str">
        <f aca="false">DEC2HEX(C671*7)</f>
        <v>7</v>
      </c>
      <c r="H671" s="1" t="str">
        <f aca="false">IF(D671=0, 33, "cc")</f>
        <v>cc</v>
      </c>
    </row>
    <row r="672" customFormat="false" ht="18.65" hidden="false" customHeight="true" outlineLevel="0" collapsed="false">
      <c r="A672" s="1" t="n">
        <f aca="false">ROW()-2</f>
        <v>670</v>
      </c>
      <c r="B672" s="1" t="n">
        <f aca="false">INT(A672/$N$1)</f>
        <v>37</v>
      </c>
      <c r="C672" s="1" t="n">
        <f aca="false">INT(MOD(A672,$N$1) / 2)</f>
        <v>2</v>
      </c>
      <c r="D672" s="1" t="n">
        <f aca="false">_xlfn.BITAND(A672,1)</f>
        <v>0</v>
      </c>
      <c r="F672" s="1" t="str">
        <f aca="false">DEC2HEX(B672*$N$3*18)</f>
        <v>A680</v>
      </c>
      <c r="G672" s="1" t="str">
        <f aca="false">DEC2HEX(C672*7)</f>
        <v>E</v>
      </c>
      <c r="H672" s="1" t="n">
        <f aca="false">IF(D672=0, 33, "cc")</f>
        <v>33</v>
      </c>
    </row>
    <row r="673" customFormat="false" ht="18.65" hidden="false" customHeight="true" outlineLevel="0" collapsed="false">
      <c r="A673" s="1" t="n">
        <f aca="false">ROW()-2</f>
        <v>671</v>
      </c>
      <c r="B673" s="1" t="n">
        <f aca="false">INT(A673/$N$1)</f>
        <v>37</v>
      </c>
      <c r="C673" s="1" t="n">
        <f aca="false">INT(MOD(A673,$N$1) / 2)</f>
        <v>2</v>
      </c>
      <c r="D673" s="1" t="n">
        <f aca="false">_xlfn.BITAND(A673,1)</f>
        <v>1</v>
      </c>
      <c r="F673" s="1" t="str">
        <f aca="false">DEC2HEX(B673*$N$3*18)</f>
        <v>A680</v>
      </c>
      <c r="G673" s="1" t="str">
        <f aca="false">DEC2HEX(C673*7)</f>
        <v>E</v>
      </c>
      <c r="H673" s="1" t="str">
        <f aca="false">IF(D673=0, 33, "cc")</f>
        <v>cc</v>
      </c>
    </row>
    <row r="674" customFormat="false" ht="18.65" hidden="false" customHeight="true" outlineLevel="0" collapsed="false">
      <c r="A674" s="1" t="n">
        <f aca="false">ROW()-2</f>
        <v>672</v>
      </c>
      <c r="B674" s="1" t="n">
        <f aca="false">INT(A674/$N$1)</f>
        <v>37</v>
      </c>
      <c r="C674" s="1" t="n">
        <f aca="false">INT(MOD(A674,$N$1) / 2)</f>
        <v>3</v>
      </c>
      <c r="D674" s="1" t="n">
        <f aca="false">_xlfn.BITAND(A674,1)</f>
        <v>0</v>
      </c>
      <c r="F674" s="1" t="str">
        <f aca="false">DEC2HEX(B674*$N$3*18)</f>
        <v>A680</v>
      </c>
      <c r="G674" s="1" t="str">
        <f aca="false">DEC2HEX(C674*7)</f>
        <v>15</v>
      </c>
      <c r="H674" s="1" t="n">
        <f aca="false">IF(D674=0, 33, "cc")</f>
        <v>33</v>
      </c>
    </row>
    <row r="675" customFormat="false" ht="18.65" hidden="false" customHeight="true" outlineLevel="0" collapsed="false">
      <c r="A675" s="1" t="n">
        <f aca="false">ROW()-2</f>
        <v>673</v>
      </c>
      <c r="B675" s="1" t="n">
        <f aca="false">INT(A675/$N$1)</f>
        <v>37</v>
      </c>
      <c r="C675" s="1" t="n">
        <f aca="false">INT(MOD(A675,$N$1) / 2)</f>
        <v>3</v>
      </c>
      <c r="D675" s="1" t="n">
        <f aca="false">_xlfn.BITAND(A675,1)</f>
        <v>1</v>
      </c>
      <c r="F675" s="1" t="str">
        <f aca="false">DEC2HEX(B675*$N$3*18)</f>
        <v>A680</v>
      </c>
      <c r="G675" s="1" t="str">
        <f aca="false">DEC2HEX(C675*7)</f>
        <v>15</v>
      </c>
      <c r="H675" s="1" t="str">
        <f aca="false">IF(D675=0, 33, "cc")</f>
        <v>cc</v>
      </c>
    </row>
    <row r="676" customFormat="false" ht="18.65" hidden="false" customHeight="true" outlineLevel="0" collapsed="false">
      <c r="A676" s="1" t="n">
        <f aca="false">ROW()-2</f>
        <v>674</v>
      </c>
      <c r="B676" s="1" t="n">
        <f aca="false">INT(A676/$N$1)</f>
        <v>37</v>
      </c>
      <c r="C676" s="1" t="n">
        <f aca="false">INT(MOD(A676,$N$1) / 2)</f>
        <v>4</v>
      </c>
      <c r="D676" s="1" t="n">
        <f aca="false">_xlfn.BITAND(A676,1)</f>
        <v>0</v>
      </c>
      <c r="F676" s="1" t="str">
        <f aca="false">DEC2HEX(B676*$N$3*18)</f>
        <v>A680</v>
      </c>
      <c r="G676" s="1" t="str">
        <f aca="false">DEC2HEX(C676*7)</f>
        <v>1C</v>
      </c>
      <c r="H676" s="1" t="n">
        <f aca="false">IF(D676=0, 33, "cc")</f>
        <v>33</v>
      </c>
    </row>
    <row r="677" customFormat="false" ht="18.65" hidden="false" customHeight="true" outlineLevel="0" collapsed="false">
      <c r="A677" s="1" t="n">
        <f aca="false">ROW()-2</f>
        <v>675</v>
      </c>
      <c r="B677" s="1" t="n">
        <f aca="false">INT(A677/$N$1)</f>
        <v>37</v>
      </c>
      <c r="C677" s="1" t="n">
        <f aca="false">INT(MOD(A677,$N$1) / 2)</f>
        <v>4</v>
      </c>
      <c r="D677" s="1" t="n">
        <f aca="false">_xlfn.BITAND(A677,1)</f>
        <v>1</v>
      </c>
      <c r="F677" s="1" t="str">
        <f aca="false">DEC2HEX(B677*$N$3*18)</f>
        <v>A680</v>
      </c>
      <c r="G677" s="1" t="str">
        <f aca="false">DEC2HEX(C677*7)</f>
        <v>1C</v>
      </c>
      <c r="H677" s="1" t="str">
        <f aca="false">IF(D677=0, 33, "cc")</f>
        <v>cc</v>
      </c>
    </row>
    <row r="678" customFormat="false" ht="18.65" hidden="false" customHeight="true" outlineLevel="0" collapsed="false">
      <c r="A678" s="1" t="n">
        <f aca="false">ROW()-2</f>
        <v>676</v>
      </c>
      <c r="B678" s="1" t="n">
        <f aca="false">INT(A678/$N$1)</f>
        <v>37</v>
      </c>
      <c r="C678" s="1" t="n">
        <f aca="false">INT(MOD(A678,$N$1) / 2)</f>
        <v>5</v>
      </c>
      <c r="D678" s="1" t="n">
        <f aca="false">_xlfn.BITAND(A678,1)</f>
        <v>0</v>
      </c>
      <c r="F678" s="1" t="str">
        <f aca="false">DEC2HEX(B678*$N$3*18)</f>
        <v>A680</v>
      </c>
      <c r="G678" s="1" t="str">
        <f aca="false">DEC2HEX(C678*7)</f>
        <v>23</v>
      </c>
      <c r="H678" s="1" t="n">
        <f aca="false">IF(D678=0, 33, "cc")</f>
        <v>33</v>
      </c>
    </row>
    <row r="679" customFormat="false" ht="18.65" hidden="false" customHeight="true" outlineLevel="0" collapsed="false">
      <c r="A679" s="1" t="n">
        <f aca="false">ROW()-2</f>
        <v>677</v>
      </c>
      <c r="B679" s="1" t="n">
        <f aca="false">INT(A679/$N$1)</f>
        <v>37</v>
      </c>
      <c r="C679" s="1" t="n">
        <f aca="false">INT(MOD(A679,$N$1) / 2)</f>
        <v>5</v>
      </c>
      <c r="D679" s="1" t="n">
        <f aca="false">_xlfn.BITAND(A679,1)</f>
        <v>1</v>
      </c>
      <c r="F679" s="1" t="str">
        <f aca="false">DEC2HEX(B679*$N$3*18)</f>
        <v>A680</v>
      </c>
      <c r="G679" s="1" t="str">
        <f aca="false">DEC2HEX(C679*7)</f>
        <v>23</v>
      </c>
      <c r="H679" s="1" t="str">
        <f aca="false">IF(D679=0, 33, "cc")</f>
        <v>cc</v>
      </c>
    </row>
    <row r="680" customFormat="false" ht="18.65" hidden="false" customHeight="true" outlineLevel="0" collapsed="false">
      <c r="A680" s="1" t="n">
        <f aca="false">ROW()-2</f>
        <v>678</v>
      </c>
      <c r="B680" s="1" t="n">
        <f aca="false">INT(A680/$N$1)</f>
        <v>37</v>
      </c>
      <c r="C680" s="1" t="n">
        <f aca="false">INT(MOD(A680,$N$1) / 2)</f>
        <v>6</v>
      </c>
      <c r="D680" s="1" t="n">
        <f aca="false">_xlfn.BITAND(A680,1)</f>
        <v>0</v>
      </c>
      <c r="F680" s="1" t="str">
        <f aca="false">DEC2HEX(B680*$N$3*18)</f>
        <v>A680</v>
      </c>
      <c r="G680" s="1" t="str">
        <f aca="false">DEC2HEX(C680*7)</f>
        <v>2A</v>
      </c>
      <c r="H680" s="1" t="n">
        <f aca="false">IF(D680=0, 33, "cc")</f>
        <v>33</v>
      </c>
    </row>
    <row r="681" customFormat="false" ht="18.65" hidden="false" customHeight="true" outlineLevel="0" collapsed="false">
      <c r="A681" s="1" t="n">
        <f aca="false">ROW()-2</f>
        <v>679</v>
      </c>
      <c r="B681" s="1" t="n">
        <f aca="false">INT(A681/$N$1)</f>
        <v>37</v>
      </c>
      <c r="C681" s="1" t="n">
        <f aca="false">INT(MOD(A681,$N$1) / 2)</f>
        <v>6</v>
      </c>
      <c r="D681" s="1" t="n">
        <f aca="false">_xlfn.BITAND(A681,1)</f>
        <v>1</v>
      </c>
      <c r="F681" s="1" t="str">
        <f aca="false">DEC2HEX(B681*$N$3*18)</f>
        <v>A680</v>
      </c>
      <c r="G681" s="1" t="str">
        <f aca="false">DEC2HEX(C681*7)</f>
        <v>2A</v>
      </c>
      <c r="H681" s="1" t="str">
        <f aca="false">IF(D681=0, 33, "cc")</f>
        <v>cc</v>
      </c>
    </row>
    <row r="682" customFormat="false" ht="18.65" hidden="false" customHeight="true" outlineLevel="0" collapsed="false">
      <c r="A682" s="1" t="n">
        <f aca="false">ROW()-2</f>
        <v>680</v>
      </c>
      <c r="B682" s="1" t="n">
        <f aca="false">INT(A682/$N$1)</f>
        <v>37</v>
      </c>
      <c r="C682" s="1" t="n">
        <f aca="false">INT(MOD(A682,$N$1) / 2)</f>
        <v>7</v>
      </c>
      <c r="D682" s="1" t="n">
        <f aca="false">_xlfn.BITAND(A682,1)</f>
        <v>0</v>
      </c>
      <c r="F682" s="1" t="str">
        <f aca="false">DEC2HEX(B682*$N$3*18)</f>
        <v>A680</v>
      </c>
      <c r="G682" s="1" t="str">
        <f aca="false">DEC2HEX(C682*7)</f>
        <v>31</v>
      </c>
      <c r="H682" s="1" t="n">
        <f aca="false">IF(D682=0, 33, "cc")</f>
        <v>33</v>
      </c>
    </row>
    <row r="683" customFormat="false" ht="18.65" hidden="false" customHeight="true" outlineLevel="0" collapsed="false">
      <c r="A683" s="1" t="n">
        <f aca="false">ROW()-2</f>
        <v>681</v>
      </c>
      <c r="B683" s="1" t="n">
        <f aca="false">INT(A683/$N$1)</f>
        <v>37</v>
      </c>
      <c r="C683" s="1" t="n">
        <f aca="false">INT(MOD(A683,$N$1) / 2)</f>
        <v>7</v>
      </c>
      <c r="D683" s="1" t="n">
        <f aca="false">_xlfn.BITAND(A683,1)</f>
        <v>1</v>
      </c>
      <c r="F683" s="1" t="str">
        <f aca="false">DEC2HEX(B683*$N$3*18)</f>
        <v>A680</v>
      </c>
      <c r="G683" s="1" t="str">
        <f aca="false">DEC2HEX(C683*7)</f>
        <v>31</v>
      </c>
      <c r="H683" s="1" t="str">
        <f aca="false">IF(D683=0, 33, "cc")</f>
        <v>cc</v>
      </c>
    </row>
    <row r="684" customFormat="false" ht="18.65" hidden="false" customHeight="true" outlineLevel="0" collapsed="false">
      <c r="A684" s="1" t="n">
        <f aca="false">ROW()-2</f>
        <v>682</v>
      </c>
      <c r="B684" s="1" t="n">
        <f aca="false">INT(A684/$N$1)</f>
        <v>37</v>
      </c>
      <c r="C684" s="1" t="n">
        <f aca="false">INT(MOD(A684,$N$1) / 2)</f>
        <v>8</v>
      </c>
      <c r="D684" s="1" t="n">
        <f aca="false">_xlfn.BITAND(A684,1)</f>
        <v>0</v>
      </c>
      <c r="F684" s="1" t="str">
        <f aca="false">DEC2HEX(B684*$N$3*18)</f>
        <v>A680</v>
      </c>
      <c r="G684" s="1" t="str">
        <f aca="false">DEC2HEX(C684*7)</f>
        <v>38</v>
      </c>
      <c r="H684" s="1" t="n">
        <f aca="false">IF(D684=0, 33, "cc")</f>
        <v>33</v>
      </c>
    </row>
    <row r="685" customFormat="false" ht="18.65" hidden="false" customHeight="true" outlineLevel="0" collapsed="false">
      <c r="A685" s="1" t="n">
        <f aca="false">ROW()-2</f>
        <v>683</v>
      </c>
      <c r="B685" s="1" t="n">
        <f aca="false">INT(A685/$N$1)</f>
        <v>37</v>
      </c>
      <c r="C685" s="1" t="n">
        <f aca="false">INT(MOD(A685,$N$1) / 2)</f>
        <v>8</v>
      </c>
      <c r="D685" s="1" t="n">
        <f aca="false">_xlfn.BITAND(A685,1)</f>
        <v>1</v>
      </c>
      <c r="F685" s="1" t="str">
        <f aca="false">DEC2HEX(B685*$N$3*18)</f>
        <v>A680</v>
      </c>
      <c r="G685" s="1" t="str">
        <f aca="false">DEC2HEX(C685*7)</f>
        <v>38</v>
      </c>
      <c r="H685" s="1" t="str">
        <f aca="false">IF(D685=0, 33, "cc")</f>
        <v>cc</v>
      </c>
    </row>
    <row r="686" customFormat="false" ht="18.65" hidden="false" customHeight="true" outlineLevel="0" collapsed="false">
      <c r="A686" s="1" t="n">
        <f aca="false">ROW()-2</f>
        <v>684</v>
      </c>
      <c r="B686" s="1" t="n">
        <f aca="false">INT(A686/$N$1)</f>
        <v>38</v>
      </c>
      <c r="C686" s="1" t="n">
        <f aca="false">INT(MOD(A686,$N$1) / 2)</f>
        <v>0</v>
      </c>
      <c r="D686" s="1" t="n">
        <f aca="false">_xlfn.BITAND(A686,1)</f>
        <v>0</v>
      </c>
      <c r="F686" s="1" t="str">
        <f aca="false">DEC2HEX(B686*$N$3*18)</f>
        <v>AB00</v>
      </c>
      <c r="G686" s="1" t="str">
        <f aca="false">DEC2HEX(C686*7)</f>
        <v>0</v>
      </c>
      <c r="H686" s="1" t="n">
        <f aca="false">IF(D686=0, 33, "cc")</f>
        <v>33</v>
      </c>
    </row>
    <row r="687" customFormat="false" ht="18.65" hidden="false" customHeight="true" outlineLevel="0" collapsed="false">
      <c r="A687" s="1" t="n">
        <f aca="false">ROW()-2</f>
        <v>685</v>
      </c>
      <c r="B687" s="1" t="n">
        <f aca="false">INT(A687/$N$1)</f>
        <v>38</v>
      </c>
      <c r="C687" s="1" t="n">
        <f aca="false">INT(MOD(A687,$N$1) / 2)</f>
        <v>0</v>
      </c>
      <c r="D687" s="1" t="n">
        <f aca="false">_xlfn.BITAND(A687,1)</f>
        <v>1</v>
      </c>
      <c r="F687" s="1" t="str">
        <f aca="false">DEC2HEX(B687*$N$3*18)</f>
        <v>AB00</v>
      </c>
      <c r="G687" s="1" t="str">
        <f aca="false">DEC2HEX(C687*7)</f>
        <v>0</v>
      </c>
      <c r="H687" s="1" t="str">
        <f aca="false">IF(D687=0, 33, "cc")</f>
        <v>cc</v>
      </c>
    </row>
    <row r="688" customFormat="false" ht="18.65" hidden="false" customHeight="true" outlineLevel="0" collapsed="false">
      <c r="A688" s="1" t="n">
        <f aca="false">ROW()-2</f>
        <v>686</v>
      </c>
      <c r="B688" s="1" t="n">
        <f aca="false">INT(A688/$N$1)</f>
        <v>38</v>
      </c>
      <c r="C688" s="1" t="n">
        <f aca="false">INT(MOD(A688,$N$1) / 2)</f>
        <v>1</v>
      </c>
      <c r="D688" s="1" t="n">
        <f aca="false">_xlfn.BITAND(A688,1)</f>
        <v>0</v>
      </c>
      <c r="F688" s="1" t="str">
        <f aca="false">DEC2HEX(B688*$N$3*18)</f>
        <v>AB00</v>
      </c>
      <c r="G688" s="1" t="str">
        <f aca="false">DEC2HEX(C688*7)</f>
        <v>7</v>
      </c>
      <c r="H688" s="1" t="n">
        <f aca="false">IF(D688=0, 33, "cc")</f>
        <v>33</v>
      </c>
    </row>
    <row r="689" customFormat="false" ht="18.65" hidden="false" customHeight="true" outlineLevel="0" collapsed="false">
      <c r="A689" s="1" t="n">
        <f aca="false">ROW()-2</f>
        <v>687</v>
      </c>
      <c r="B689" s="1" t="n">
        <f aca="false">INT(A689/$N$1)</f>
        <v>38</v>
      </c>
      <c r="C689" s="1" t="n">
        <f aca="false">INT(MOD(A689,$N$1) / 2)</f>
        <v>1</v>
      </c>
      <c r="D689" s="1" t="n">
        <f aca="false">_xlfn.BITAND(A689,1)</f>
        <v>1</v>
      </c>
      <c r="F689" s="1" t="str">
        <f aca="false">DEC2HEX(B689*$N$3*18)</f>
        <v>AB00</v>
      </c>
      <c r="G689" s="1" t="str">
        <f aca="false">DEC2HEX(C689*7)</f>
        <v>7</v>
      </c>
      <c r="H689" s="1" t="str">
        <f aca="false">IF(D689=0, 33, "cc")</f>
        <v>cc</v>
      </c>
    </row>
    <row r="690" customFormat="false" ht="18.65" hidden="false" customHeight="true" outlineLevel="0" collapsed="false">
      <c r="A690" s="1" t="n">
        <f aca="false">ROW()-2</f>
        <v>688</v>
      </c>
      <c r="B690" s="1" t="n">
        <f aca="false">INT(A690/$N$1)</f>
        <v>38</v>
      </c>
      <c r="C690" s="1" t="n">
        <f aca="false">INT(MOD(A690,$N$1) / 2)</f>
        <v>2</v>
      </c>
      <c r="D690" s="1" t="n">
        <f aca="false">_xlfn.BITAND(A690,1)</f>
        <v>0</v>
      </c>
      <c r="F690" s="1" t="str">
        <f aca="false">DEC2HEX(B690*$N$3*18)</f>
        <v>AB00</v>
      </c>
      <c r="G690" s="1" t="str">
        <f aca="false">DEC2HEX(C690*7)</f>
        <v>E</v>
      </c>
      <c r="H690" s="1" t="n">
        <f aca="false">IF(D690=0, 33, "cc")</f>
        <v>33</v>
      </c>
    </row>
    <row r="691" customFormat="false" ht="18.65" hidden="false" customHeight="true" outlineLevel="0" collapsed="false">
      <c r="A691" s="1" t="n">
        <f aca="false">ROW()-2</f>
        <v>689</v>
      </c>
      <c r="B691" s="1" t="n">
        <f aca="false">INT(A691/$N$1)</f>
        <v>38</v>
      </c>
      <c r="C691" s="1" t="n">
        <f aca="false">INT(MOD(A691,$N$1) / 2)</f>
        <v>2</v>
      </c>
      <c r="D691" s="1" t="n">
        <f aca="false">_xlfn.BITAND(A691,1)</f>
        <v>1</v>
      </c>
      <c r="F691" s="1" t="str">
        <f aca="false">DEC2HEX(B691*$N$3*18)</f>
        <v>AB00</v>
      </c>
      <c r="G691" s="1" t="str">
        <f aca="false">DEC2HEX(C691*7)</f>
        <v>E</v>
      </c>
      <c r="H691" s="1" t="str">
        <f aca="false">IF(D691=0, 33, "cc")</f>
        <v>cc</v>
      </c>
    </row>
    <row r="692" customFormat="false" ht="18.65" hidden="false" customHeight="true" outlineLevel="0" collapsed="false">
      <c r="A692" s="1" t="n">
        <f aca="false">ROW()-2</f>
        <v>690</v>
      </c>
      <c r="B692" s="1" t="n">
        <f aca="false">INT(A692/$N$1)</f>
        <v>38</v>
      </c>
      <c r="C692" s="1" t="n">
        <f aca="false">INT(MOD(A692,$N$1) / 2)</f>
        <v>3</v>
      </c>
      <c r="D692" s="1" t="n">
        <f aca="false">_xlfn.BITAND(A692,1)</f>
        <v>0</v>
      </c>
      <c r="F692" s="1" t="str">
        <f aca="false">DEC2HEX(B692*$N$3*18)</f>
        <v>AB00</v>
      </c>
      <c r="G692" s="1" t="str">
        <f aca="false">DEC2HEX(C692*7)</f>
        <v>15</v>
      </c>
      <c r="H692" s="1" t="n">
        <f aca="false">IF(D692=0, 33, "cc")</f>
        <v>33</v>
      </c>
    </row>
    <row r="693" customFormat="false" ht="18.65" hidden="false" customHeight="true" outlineLevel="0" collapsed="false">
      <c r="A693" s="1" t="n">
        <f aca="false">ROW()-2</f>
        <v>691</v>
      </c>
      <c r="B693" s="1" t="n">
        <f aca="false">INT(A693/$N$1)</f>
        <v>38</v>
      </c>
      <c r="C693" s="1" t="n">
        <f aca="false">INT(MOD(A693,$N$1) / 2)</f>
        <v>3</v>
      </c>
      <c r="D693" s="1" t="n">
        <f aca="false">_xlfn.BITAND(A693,1)</f>
        <v>1</v>
      </c>
      <c r="F693" s="1" t="str">
        <f aca="false">DEC2HEX(B693*$N$3*18)</f>
        <v>AB00</v>
      </c>
      <c r="G693" s="1" t="str">
        <f aca="false">DEC2HEX(C693*7)</f>
        <v>15</v>
      </c>
      <c r="H693" s="1" t="str">
        <f aca="false">IF(D693=0, 33, "cc")</f>
        <v>cc</v>
      </c>
    </row>
    <row r="694" customFormat="false" ht="18.65" hidden="false" customHeight="true" outlineLevel="0" collapsed="false">
      <c r="A694" s="1" t="n">
        <f aca="false">ROW()-2</f>
        <v>692</v>
      </c>
      <c r="B694" s="1" t="n">
        <f aca="false">INT(A694/$N$1)</f>
        <v>38</v>
      </c>
      <c r="C694" s="1" t="n">
        <f aca="false">INT(MOD(A694,$N$1) / 2)</f>
        <v>4</v>
      </c>
      <c r="D694" s="1" t="n">
        <f aca="false">_xlfn.BITAND(A694,1)</f>
        <v>0</v>
      </c>
      <c r="F694" s="1" t="str">
        <f aca="false">DEC2HEX(B694*$N$3*18)</f>
        <v>AB00</v>
      </c>
      <c r="G694" s="1" t="str">
        <f aca="false">DEC2HEX(C694*7)</f>
        <v>1C</v>
      </c>
      <c r="H694" s="1" t="n">
        <f aca="false">IF(D694=0, 33, "cc")</f>
        <v>33</v>
      </c>
    </row>
    <row r="695" customFormat="false" ht="18.65" hidden="false" customHeight="true" outlineLevel="0" collapsed="false">
      <c r="A695" s="1" t="n">
        <f aca="false">ROW()-2</f>
        <v>693</v>
      </c>
      <c r="B695" s="1" t="n">
        <f aca="false">INT(A695/$N$1)</f>
        <v>38</v>
      </c>
      <c r="C695" s="1" t="n">
        <f aca="false">INT(MOD(A695,$N$1) / 2)</f>
        <v>4</v>
      </c>
      <c r="D695" s="1" t="n">
        <f aca="false">_xlfn.BITAND(A695,1)</f>
        <v>1</v>
      </c>
      <c r="F695" s="1" t="str">
        <f aca="false">DEC2HEX(B695*$N$3*18)</f>
        <v>AB00</v>
      </c>
      <c r="G695" s="1" t="str">
        <f aca="false">DEC2HEX(C695*7)</f>
        <v>1C</v>
      </c>
      <c r="H695" s="1" t="str">
        <f aca="false">IF(D695=0, 33, "cc")</f>
        <v>cc</v>
      </c>
    </row>
    <row r="696" customFormat="false" ht="18.65" hidden="false" customHeight="true" outlineLevel="0" collapsed="false">
      <c r="A696" s="1" t="n">
        <f aca="false">ROW()-2</f>
        <v>694</v>
      </c>
      <c r="B696" s="1" t="n">
        <f aca="false">INT(A696/$N$1)</f>
        <v>38</v>
      </c>
      <c r="C696" s="1" t="n">
        <f aca="false">INT(MOD(A696,$N$1) / 2)</f>
        <v>5</v>
      </c>
      <c r="D696" s="1" t="n">
        <f aca="false">_xlfn.BITAND(A696,1)</f>
        <v>0</v>
      </c>
      <c r="F696" s="1" t="str">
        <f aca="false">DEC2HEX(B696*$N$3*18)</f>
        <v>AB00</v>
      </c>
      <c r="G696" s="1" t="str">
        <f aca="false">DEC2HEX(C696*7)</f>
        <v>23</v>
      </c>
      <c r="H696" s="1" t="n">
        <f aca="false">IF(D696=0, 33, "cc")</f>
        <v>33</v>
      </c>
    </row>
    <row r="697" customFormat="false" ht="18.65" hidden="false" customHeight="true" outlineLevel="0" collapsed="false">
      <c r="A697" s="1" t="n">
        <f aca="false">ROW()-2</f>
        <v>695</v>
      </c>
      <c r="B697" s="1" t="n">
        <f aca="false">INT(A697/$N$1)</f>
        <v>38</v>
      </c>
      <c r="C697" s="1" t="n">
        <f aca="false">INT(MOD(A697,$N$1) / 2)</f>
        <v>5</v>
      </c>
      <c r="D697" s="1" t="n">
        <f aca="false">_xlfn.BITAND(A697,1)</f>
        <v>1</v>
      </c>
      <c r="F697" s="1" t="str">
        <f aca="false">DEC2HEX(B697*$N$3*18)</f>
        <v>AB00</v>
      </c>
      <c r="G697" s="1" t="str">
        <f aca="false">DEC2HEX(C697*7)</f>
        <v>23</v>
      </c>
      <c r="H697" s="1" t="str">
        <f aca="false">IF(D697=0, 33, "cc")</f>
        <v>cc</v>
      </c>
    </row>
    <row r="698" customFormat="false" ht="18.65" hidden="false" customHeight="true" outlineLevel="0" collapsed="false">
      <c r="A698" s="1" t="n">
        <f aca="false">ROW()-2</f>
        <v>696</v>
      </c>
      <c r="B698" s="1" t="n">
        <f aca="false">INT(A698/$N$1)</f>
        <v>38</v>
      </c>
      <c r="C698" s="1" t="n">
        <f aca="false">INT(MOD(A698,$N$1) / 2)</f>
        <v>6</v>
      </c>
      <c r="D698" s="1" t="n">
        <f aca="false">_xlfn.BITAND(A698,1)</f>
        <v>0</v>
      </c>
      <c r="F698" s="1" t="str">
        <f aca="false">DEC2HEX(B698*$N$3*18)</f>
        <v>AB00</v>
      </c>
      <c r="G698" s="1" t="str">
        <f aca="false">DEC2HEX(C698*7)</f>
        <v>2A</v>
      </c>
      <c r="H698" s="1" t="n">
        <f aca="false">IF(D698=0, 33, "cc")</f>
        <v>33</v>
      </c>
    </row>
    <row r="699" customFormat="false" ht="18.65" hidden="false" customHeight="true" outlineLevel="0" collapsed="false">
      <c r="A699" s="1" t="n">
        <f aca="false">ROW()-2</f>
        <v>697</v>
      </c>
      <c r="B699" s="1" t="n">
        <f aca="false">INT(A699/$N$1)</f>
        <v>38</v>
      </c>
      <c r="C699" s="1" t="n">
        <f aca="false">INT(MOD(A699,$N$1) / 2)</f>
        <v>6</v>
      </c>
      <c r="D699" s="1" t="n">
        <f aca="false">_xlfn.BITAND(A699,1)</f>
        <v>1</v>
      </c>
      <c r="F699" s="1" t="str">
        <f aca="false">DEC2HEX(B699*$N$3*18)</f>
        <v>AB00</v>
      </c>
      <c r="G699" s="1" t="str">
        <f aca="false">DEC2HEX(C699*7)</f>
        <v>2A</v>
      </c>
      <c r="H699" s="1" t="str">
        <f aca="false">IF(D699=0, 33, "cc")</f>
        <v>cc</v>
      </c>
    </row>
    <row r="700" customFormat="false" ht="18.65" hidden="false" customHeight="true" outlineLevel="0" collapsed="false">
      <c r="A700" s="1" t="n">
        <f aca="false">ROW()-2</f>
        <v>698</v>
      </c>
      <c r="B700" s="1" t="n">
        <f aca="false">INT(A700/$N$1)</f>
        <v>38</v>
      </c>
      <c r="C700" s="1" t="n">
        <f aca="false">INT(MOD(A700,$N$1) / 2)</f>
        <v>7</v>
      </c>
      <c r="D700" s="1" t="n">
        <f aca="false">_xlfn.BITAND(A700,1)</f>
        <v>0</v>
      </c>
      <c r="F700" s="1" t="str">
        <f aca="false">DEC2HEX(B700*$N$3*18)</f>
        <v>AB00</v>
      </c>
      <c r="G700" s="1" t="str">
        <f aca="false">DEC2HEX(C700*7)</f>
        <v>31</v>
      </c>
      <c r="H700" s="1" t="n">
        <f aca="false">IF(D700=0, 33, "cc")</f>
        <v>33</v>
      </c>
    </row>
    <row r="701" customFormat="false" ht="18.65" hidden="false" customHeight="true" outlineLevel="0" collapsed="false">
      <c r="A701" s="1" t="n">
        <f aca="false">ROW()-2</f>
        <v>699</v>
      </c>
      <c r="B701" s="1" t="n">
        <f aca="false">INT(A701/$N$1)</f>
        <v>38</v>
      </c>
      <c r="C701" s="1" t="n">
        <f aca="false">INT(MOD(A701,$N$1) / 2)</f>
        <v>7</v>
      </c>
      <c r="D701" s="1" t="n">
        <f aca="false">_xlfn.BITAND(A701,1)</f>
        <v>1</v>
      </c>
      <c r="F701" s="1" t="str">
        <f aca="false">DEC2HEX(B701*$N$3*18)</f>
        <v>AB00</v>
      </c>
      <c r="G701" s="1" t="str">
        <f aca="false">DEC2HEX(C701*7)</f>
        <v>31</v>
      </c>
      <c r="H701" s="1" t="str">
        <f aca="false">IF(D701=0, 33, "cc")</f>
        <v>cc</v>
      </c>
    </row>
    <row r="702" customFormat="false" ht="18.65" hidden="false" customHeight="true" outlineLevel="0" collapsed="false">
      <c r="A702" s="1" t="n">
        <f aca="false">ROW()-2</f>
        <v>700</v>
      </c>
      <c r="B702" s="1" t="n">
        <f aca="false">INT(A702/$N$1)</f>
        <v>38</v>
      </c>
      <c r="C702" s="1" t="n">
        <f aca="false">INT(MOD(A702,$N$1) / 2)</f>
        <v>8</v>
      </c>
      <c r="D702" s="1" t="n">
        <f aca="false">_xlfn.BITAND(A702,1)</f>
        <v>0</v>
      </c>
      <c r="F702" s="1" t="str">
        <f aca="false">DEC2HEX(B702*$N$3*18)</f>
        <v>AB00</v>
      </c>
      <c r="G702" s="1" t="str">
        <f aca="false">DEC2HEX(C702*7)</f>
        <v>38</v>
      </c>
      <c r="H702" s="1" t="n">
        <f aca="false">IF(D702=0, 33, "cc")</f>
        <v>33</v>
      </c>
    </row>
    <row r="703" customFormat="false" ht="18.65" hidden="false" customHeight="true" outlineLevel="0" collapsed="false">
      <c r="A703" s="1" t="n">
        <f aca="false">ROW()-2</f>
        <v>701</v>
      </c>
      <c r="B703" s="1" t="n">
        <f aca="false">INT(A703/$N$1)</f>
        <v>38</v>
      </c>
      <c r="C703" s="1" t="n">
        <f aca="false">INT(MOD(A703,$N$1) / 2)</f>
        <v>8</v>
      </c>
      <c r="D703" s="1" t="n">
        <f aca="false">_xlfn.BITAND(A703,1)</f>
        <v>1</v>
      </c>
      <c r="F703" s="1" t="str">
        <f aca="false">DEC2HEX(B703*$N$3*18)</f>
        <v>AB00</v>
      </c>
      <c r="G703" s="1" t="str">
        <f aca="false">DEC2HEX(C703*7)</f>
        <v>38</v>
      </c>
      <c r="H703" s="1" t="str">
        <f aca="false">IF(D703=0, 33, "cc")</f>
        <v>cc</v>
      </c>
    </row>
    <row r="704" customFormat="false" ht="18.65" hidden="false" customHeight="true" outlineLevel="0" collapsed="false">
      <c r="A704" s="1" t="n">
        <f aca="false">ROW()-2</f>
        <v>702</v>
      </c>
      <c r="B704" s="1" t="n">
        <f aca="false">INT(A704/$N$1)</f>
        <v>39</v>
      </c>
      <c r="C704" s="1" t="n">
        <f aca="false">INT(MOD(A704,$N$1) / 2)</f>
        <v>0</v>
      </c>
      <c r="D704" s="1" t="n">
        <f aca="false">_xlfn.BITAND(A704,1)</f>
        <v>0</v>
      </c>
      <c r="F704" s="1" t="str">
        <f aca="false">DEC2HEX(B704*$N$3*18)</f>
        <v>AF80</v>
      </c>
      <c r="G704" s="1" t="str">
        <f aca="false">DEC2HEX(C704*7)</f>
        <v>0</v>
      </c>
      <c r="H704" s="1" t="n">
        <f aca="false">IF(D704=0, 33, "cc")</f>
        <v>33</v>
      </c>
    </row>
    <row r="705" customFormat="false" ht="18.65" hidden="false" customHeight="true" outlineLevel="0" collapsed="false">
      <c r="A705" s="1" t="n">
        <f aca="false">ROW()-2</f>
        <v>703</v>
      </c>
      <c r="B705" s="1" t="n">
        <f aca="false">INT(A705/$N$1)</f>
        <v>39</v>
      </c>
      <c r="C705" s="1" t="n">
        <f aca="false">INT(MOD(A705,$N$1) / 2)</f>
        <v>0</v>
      </c>
      <c r="D705" s="1" t="n">
        <f aca="false">_xlfn.BITAND(A705,1)</f>
        <v>1</v>
      </c>
      <c r="F705" s="1" t="str">
        <f aca="false">DEC2HEX(B705*$N$3*18)</f>
        <v>AF80</v>
      </c>
      <c r="G705" s="1" t="str">
        <f aca="false">DEC2HEX(C705*7)</f>
        <v>0</v>
      </c>
      <c r="H705" s="1" t="str">
        <f aca="false">IF(D705=0, 33, "cc")</f>
        <v>cc</v>
      </c>
    </row>
    <row r="706" customFormat="false" ht="18.65" hidden="false" customHeight="true" outlineLevel="0" collapsed="false">
      <c r="A706" s="1" t="n">
        <f aca="false">ROW()-2</f>
        <v>704</v>
      </c>
      <c r="B706" s="1" t="n">
        <f aca="false">INT(A706/$N$1)</f>
        <v>39</v>
      </c>
      <c r="C706" s="1" t="n">
        <f aca="false">INT(MOD(A706,$N$1) / 2)</f>
        <v>1</v>
      </c>
      <c r="D706" s="1" t="n">
        <f aca="false">_xlfn.BITAND(A706,1)</f>
        <v>0</v>
      </c>
      <c r="F706" s="1" t="str">
        <f aca="false">DEC2HEX(B706*$N$3*18)</f>
        <v>AF80</v>
      </c>
      <c r="G706" s="1" t="str">
        <f aca="false">DEC2HEX(C706*7)</f>
        <v>7</v>
      </c>
      <c r="H706" s="1" t="n">
        <f aca="false">IF(D706=0, 33, "cc")</f>
        <v>33</v>
      </c>
    </row>
    <row r="707" customFormat="false" ht="18.65" hidden="false" customHeight="true" outlineLevel="0" collapsed="false">
      <c r="A707" s="1" t="n">
        <f aca="false">ROW()-2</f>
        <v>705</v>
      </c>
      <c r="B707" s="1" t="n">
        <f aca="false">INT(A707/$N$1)</f>
        <v>39</v>
      </c>
      <c r="C707" s="1" t="n">
        <f aca="false">INT(MOD(A707,$N$1) / 2)</f>
        <v>1</v>
      </c>
      <c r="D707" s="1" t="n">
        <f aca="false">_xlfn.BITAND(A707,1)</f>
        <v>1</v>
      </c>
      <c r="F707" s="1" t="str">
        <f aca="false">DEC2HEX(B707*$N$3*18)</f>
        <v>AF80</v>
      </c>
      <c r="G707" s="1" t="str">
        <f aca="false">DEC2HEX(C707*7)</f>
        <v>7</v>
      </c>
      <c r="H707" s="1" t="str">
        <f aca="false">IF(D707=0, 33, "cc")</f>
        <v>cc</v>
      </c>
    </row>
    <row r="708" customFormat="false" ht="18.65" hidden="false" customHeight="true" outlineLevel="0" collapsed="false">
      <c r="A708" s="1" t="n">
        <f aca="false">ROW()-2</f>
        <v>706</v>
      </c>
      <c r="B708" s="1" t="n">
        <f aca="false">INT(A708/$N$1)</f>
        <v>39</v>
      </c>
      <c r="C708" s="1" t="n">
        <f aca="false">INT(MOD(A708,$N$1) / 2)</f>
        <v>2</v>
      </c>
      <c r="D708" s="1" t="n">
        <f aca="false">_xlfn.BITAND(A708,1)</f>
        <v>0</v>
      </c>
      <c r="F708" s="1" t="str">
        <f aca="false">DEC2HEX(B708*$N$3*18)</f>
        <v>AF80</v>
      </c>
      <c r="G708" s="1" t="str">
        <f aca="false">DEC2HEX(C708*7)</f>
        <v>E</v>
      </c>
      <c r="H708" s="1" t="n">
        <f aca="false">IF(D708=0, 33, "cc")</f>
        <v>33</v>
      </c>
    </row>
    <row r="709" customFormat="false" ht="18.65" hidden="false" customHeight="true" outlineLevel="0" collapsed="false">
      <c r="A709" s="1" t="n">
        <f aca="false">ROW()-2</f>
        <v>707</v>
      </c>
      <c r="B709" s="1" t="n">
        <f aca="false">INT(A709/$N$1)</f>
        <v>39</v>
      </c>
      <c r="C709" s="1" t="n">
        <f aca="false">INT(MOD(A709,$N$1) / 2)</f>
        <v>2</v>
      </c>
      <c r="D709" s="1" t="n">
        <f aca="false">_xlfn.BITAND(A709,1)</f>
        <v>1</v>
      </c>
      <c r="F709" s="1" t="str">
        <f aca="false">DEC2HEX(B709*$N$3*18)</f>
        <v>AF80</v>
      </c>
      <c r="G709" s="1" t="str">
        <f aca="false">DEC2HEX(C709*7)</f>
        <v>E</v>
      </c>
      <c r="H709" s="1" t="str">
        <f aca="false">IF(D709=0, 33, "cc")</f>
        <v>cc</v>
      </c>
    </row>
    <row r="710" customFormat="false" ht="18.65" hidden="false" customHeight="true" outlineLevel="0" collapsed="false">
      <c r="A710" s="1" t="n">
        <f aca="false">ROW()-2</f>
        <v>708</v>
      </c>
      <c r="B710" s="1" t="n">
        <f aca="false">INT(A710/$N$1)</f>
        <v>39</v>
      </c>
      <c r="C710" s="1" t="n">
        <f aca="false">INT(MOD(A710,$N$1) / 2)</f>
        <v>3</v>
      </c>
      <c r="D710" s="1" t="n">
        <f aca="false">_xlfn.BITAND(A710,1)</f>
        <v>0</v>
      </c>
      <c r="F710" s="1" t="str">
        <f aca="false">DEC2HEX(B710*$N$3*18)</f>
        <v>AF80</v>
      </c>
      <c r="G710" s="1" t="str">
        <f aca="false">DEC2HEX(C710*7)</f>
        <v>15</v>
      </c>
      <c r="H710" s="1" t="n">
        <f aca="false">IF(D710=0, 33, "cc")</f>
        <v>33</v>
      </c>
    </row>
    <row r="711" customFormat="false" ht="18.65" hidden="false" customHeight="true" outlineLevel="0" collapsed="false">
      <c r="A711" s="1" t="n">
        <f aca="false">ROW()-2</f>
        <v>709</v>
      </c>
      <c r="B711" s="1" t="n">
        <f aca="false">INT(A711/$N$1)</f>
        <v>39</v>
      </c>
      <c r="C711" s="1" t="n">
        <f aca="false">INT(MOD(A711,$N$1) / 2)</f>
        <v>3</v>
      </c>
      <c r="D711" s="1" t="n">
        <f aca="false">_xlfn.BITAND(A711,1)</f>
        <v>1</v>
      </c>
      <c r="F711" s="1" t="str">
        <f aca="false">DEC2HEX(B711*$N$3*18)</f>
        <v>AF80</v>
      </c>
      <c r="G711" s="1" t="str">
        <f aca="false">DEC2HEX(C711*7)</f>
        <v>15</v>
      </c>
      <c r="H711" s="1" t="str">
        <f aca="false">IF(D711=0, 33, "cc")</f>
        <v>cc</v>
      </c>
    </row>
    <row r="712" customFormat="false" ht="18.65" hidden="false" customHeight="true" outlineLevel="0" collapsed="false">
      <c r="A712" s="1" t="n">
        <f aca="false">ROW()-2</f>
        <v>710</v>
      </c>
      <c r="B712" s="1" t="n">
        <f aca="false">INT(A712/$N$1)</f>
        <v>39</v>
      </c>
      <c r="C712" s="1" t="n">
        <f aca="false">INT(MOD(A712,$N$1) / 2)</f>
        <v>4</v>
      </c>
      <c r="D712" s="1" t="n">
        <f aca="false">_xlfn.BITAND(A712,1)</f>
        <v>0</v>
      </c>
      <c r="F712" s="1" t="str">
        <f aca="false">DEC2HEX(B712*$N$3*18)</f>
        <v>AF80</v>
      </c>
      <c r="G712" s="1" t="str">
        <f aca="false">DEC2HEX(C712*7)</f>
        <v>1C</v>
      </c>
      <c r="H712" s="1" t="n">
        <f aca="false">IF(D712=0, 33, "cc")</f>
        <v>33</v>
      </c>
    </row>
    <row r="713" customFormat="false" ht="18.65" hidden="false" customHeight="true" outlineLevel="0" collapsed="false">
      <c r="A713" s="1" t="n">
        <f aca="false">ROW()-2</f>
        <v>711</v>
      </c>
      <c r="B713" s="1" t="n">
        <f aca="false">INT(A713/$N$1)</f>
        <v>39</v>
      </c>
      <c r="C713" s="1" t="n">
        <f aca="false">INT(MOD(A713,$N$1) / 2)</f>
        <v>4</v>
      </c>
      <c r="D713" s="1" t="n">
        <f aca="false">_xlfn.BITAND(A713,1)</f>
        <v>1</v>
      </c>
      <c r="F713" s="1" t="str">
        <f aca="false">DEC2HEX(B713*$N$3*18)</f>
        <v>AF80</v>
      </c>
      <c r="G713" s="1" t="str">
        <f aca="false">DEC2HEX(C713*7)</f>
        <v>1C</v>
      </c>
      <c r="H713" s="1" t="str">
        <f aca="false">IF(D713=0, 33, "cc")</f>
        <v>cc</v>
      </c>
    </row>
    <row r="714" customFormat="false" ht="18.65" hidden="false" customHeight="true" outlineLevel="0" collapsed="false">
      <c r="A714" s="1" t="n">
        <f aca="false">ROW()-2</f>
        <v>712</v>
      </c>
      <c r="B714" s="1" t="n">
        <f aca="false">INT(A714/$N$1)</f>
        <v>39</v>
      </c>
      <c r="C714" s="1" t="n">
        <f aca="false">INT(MOD(A714,$N$1) / 2)</f>
        <v>5</v>
      </c>
      <c r="D714" s="1" t="n">
        <f aca="false">_xlfn.BITAND(A714,1)</f>
        <v>0</v>
      </c>
      <c r="F714" s="1" t="str">
        <f aca="false">DEC2HEX(B714*$N$3*18)</f>
        <v>AF80</v>
      </c>
      <c r="G714" s="1" t="str">
        <f aca="false">DEC2HEX(C714*7)</f>
        <v>23</v>
      </c>
      <c r="H714" s="1" t="n">
        <f aca="false">IF(D714=0, 33, "cc")</f>
        <v>33</v>
      </c>
    </row>
    <row r="715" customFormat="false" ht="18.65" hidden="false" customHeight="true" outlineLevel="0" collapsed="false">
      <c r="A715" s="1" t="n">
        <f aca="false">ROW()-2</f>
        <v>713</v>
      </c>
      <c r="B715" s="1" t="n">
        <f aca="false">INT(A715/$N$1)</f>
        <v>39</v>
      </c>
      <c r="C715" s="1" t="n">
        <f aca="false">INT(MOD(A715,$N$1) / 2)</f>
        <v>5</v>
      </c>
      <c r="D715" s="1" t="n">
        <f aca="false">_xlfn.BITAND(A715,1)</f>
        <v>1</v>
      </c>
      <c r="F715" s="1" t="str">
        <f aca="false">DEC2HEX(B715*$N$3*18)</f>
        <v>AF80</v>
      </c>
      <c r="G715" s="1" t="str">
        <f aca="false">DEC2HEX(C715*7)</f>
        <v>23</v>
      </c>
      <c r="H715" s="1" t="str">
        <f aca="false">IF(D715=0, 33, "cc")</f>
        <v>cc</v>
      </c>
    </row>
    <row r="716" customFormat="false" ht="18.65" hidden="false" customHeight="true" outlineLevel="0" collapsed="false">
      <c r="A716" s="1" t="n">
        <f aca="false">ROW()-2</f>
        <v>714</v>
      </c>
      <c r="B716" s="1" t="n">
        <f aca="false">INT(A716/$N$1)</f>
        <v>39</v>
      </c>
      <c r="C716" s="1" t="n">
        <f aca="false">INT(MOD(A716,$N$1) / 2)</f>
        <v>6</v>
      </c>
      <c r="D716" s="1" t="n">
        <f aca="false">_xlfn.BITAND(A716,1)</f>
        <v>0</v>
      </c>
      <c r="F716" s="1" t="str">
        <f aca="false">DEC2HEX(B716*$N$3*18)</f>
        <v>AF80</v>
      </c>
      <c r="G716" s="1" t="str">
        <f aca="false">DEC2HEX(C716*7)</f>
        <v>2A</v>
      </c>
      <c r="H716" s="1" t="n">
        <f aca="false">IF(D716=0, 33, "cc")</f>
        <v>33</v>
      </c>
    </row>
    <row r="717" customFormat="false" ht="18.65" hidden="false" customHeight="true" outlineLevel="0" collapsed="false">
      <c r="A717" s="1" t="n">
        <f aca="false">ROW()-2</f>
        <v>715</v>
      </c>
      <c r="B717" s="1" t="n">
        <f aca="false">INT(A717/$N$1)</f>
        <v>39</v>
      </c>
      <c r="C717" s="1" t="n">
        <f aca="false">INT(MOD(A717,$N$1) / 2)</f>
        <v>6</v>
      </c>
      <c r="D717" s="1" t="n">
        <f aca="false">_xlfn.BITAND(A717,1)</f>
        <v>1</v>
      </c>
      <c r="F717" s="1" t="str">
        <f aca="false">DEC2HEX(B717*$N$3*18)</f>
        <v>AF80</v>
      </c>
      <c r="G717" s="1" t="str">
        <f aca="false">DEC2HEX(C717*7)</f>
        <v>2A</v>
      </c>
      <c r="H717" s="1" t="str">
        <f aca="false">IF(D717=0, 33, "cc")</f>
        <v>cc</v>
      </c>
    </row>
    <row r="718" customFormat="false" ht="18.65" hidden="false" customHeight="true" outlineLevel="0" collapsed="false">
      <c r="A718" s="1" t="n">
        <f aca="false">ROW()-2</f>
        <v>716</v>
      </c>
      <c r="B718" s="1" t="n">
        <f aca="false">INT(A718/$N$1)</f>
        <v>39</v>
      </c>
      <c r="C718" s="1" t="n">
        <f aca="false">INT(MOD(A718,$N$1) / 2)</f>
        <v>7</v>
      </c>
      <c r="D718" s="1" t="n">
        <f aca="false">_xlfn.BITAND(A718,1)</f>
        <v>0</v>
      </c>
      <c r="F718" s="1" t="str">
        <f aca="false">DEC2HEX(B718*$N$3*18)</f>
        <v>AF80</v>
      </c>
      <c r="G718" s="1" t="str">
        <f aca="false">DEC2HEX(C718*7)</f>
        <v>31</v>
      </c>
      <c r="H718" s="1" t="n">
        <f aca="false">IF(D718=0, 33, "cc")</f>
        <v>33</v>
      </c>
    </row>
    <row r="719" customFormat="false" ht="18.65" hidden="false" customHeight="true" outlineLevel="0" collapsed="false">
      <c r="A719" s="1" t="n">
        <f aca="false">ROW()-2</f>
        <v>717</v>
      </c>
      <c r="B719" s="1" t="n">
        <f aca="false">INT(A719/$N$1)</f>
        <v>39</v>
      </c>
      <c r="C719" s="1" t="n">
        <f aca="false">INT(MOD(A719,$N$1) / 2)</f>
        <v>7</v>
      </c>
      <c r="D719" s="1" t="n">
        <f aca="false">_xlfn.BITAND(A719,1)</f>
        <v>1</v>
      </c>
      <c r="F719" s="1" t="str">
        <f aca="false">DEC2HEX(B719*$N$3*18)</f>
        <v>AF80</v>
      </c>
      <c r="G719" s="1" t="str">
        <f aca="false">DEC2HEX(C719*7)</f>
        <v>31</v>
      </c>
      <c r="H719" s="1" t="str">
        <f aca="false">IF(D719=0, 33, "cc")</f>
        <v>cc</v>
      </c>
    </row>
    <row r="720" customFormat="false" ht="18.65" hidden="false" customHeight="true" outlineLevel="0" collapsed="false">
      <c r="A720" s="1" t="n">
        <f aca="false">ROW()-2</f>
        <v>718</v>
      </c>
      <c r="B720" s="1" t="n">
        <f aca="false">INT(A720/$N$1)</f>
        <v>39</v>
      </c>
      <c r="C720" s="1" t="n">
        <f aca="false">INT(MOD(A720,$N$1) / 2)</f>
        <v>8</v>
      </c>
      <c r="D720" s="1" t="n">
        <f aca="false">_xlfn.BITAND(A720,1)</f>
        <v>0</v>
      </c>
      <c r="F720" s="1" t="str">
        <f aca="false">DEC2HEX(B720*$N$3*18)</f>
        <v>AF80</v>
      </c>
      <c r="G720" s="1" t="str">
        <f aca="false">DEC2HEX(C720*7)</f>
        <v>38</v>
      </c>
      <c r="H720" s="1" t="n">
        <f aca="false">IF(D720=0, 33, "cc")</f>
        <v>33</v>
      </c>
    </row>
    <row r="721" customFormat="false" ht="18.65" hidden="false" customHeight="true" outlineLevel="0" collapsed="false">
      <c r="A721" s="1" t="n">
        <f aca="false">ROW()-2</f>
        <v>719</v>
      </c>
      <c r="B721" s="1" t="n">
        <f aca="false">INT(A721/$N$1)</f>
        <v>39</v>
      </c>
      <c r="C721" s="1" t="n">
        <f aca="false">INT(MOD(A721,$N$1) / 2)</f>
        <v>8</v>
      </c>
      <c r="D721" s="1" t="n">
        <f aca="false">_xlfn.BITAND(A721,1)</f>
        <v>1</v>
      </c>
      <c r="F721" s="1" t="str">
        <f aca="false">DEC2HEX(B721*$N$3*18)</f>
        <v>AF80</v>
      </c>
      <c r="G721" s="1" t="str">
        <f aca="false">DEC2HEX(C721*7)</f>
        <v>38</v>
      </c>
      <c r="H721" s="1" t="str">
        <f aca="false">IF(D721=0, 33, "cc")</f>
        <v>cc</v>
      </c>
    </row>
    <row r="722" customFormat="false" ht="18.65" hidden="false" customHeight="true" outlineLevel="0" collapsed="false">
      <c r="A722" s="1" t="n">
        <f aca="false">ROW()-2</f>
        <v>720</v>
      </c>
      <c r="B722" s="1" t="n">
        <f aca="false">INT(A722/$N$1)</f>
        <v>40</v>
      </c>
      <c r="C722" s="1" t="n">
        <f aca="false">INT(MOD(A722,$N$1) / 2)</f>
        <v>0</v>
      </c>
      <c r="D722" s="1" t="n">
        <f aca="false">_xlfn.BITAND(A722,1)</f>
        <v>0</v>
      </c>
      <c r="F722" s="1" t="str">
        <f aca="false">DEC2HEX(B722*$N$3*18)</f>
        <v>B400</v>
      </c>
      <c r="G722" s="1" t="str">
        <f aca="false">DEC2HEX(C722*7)</f>
        <v>0</v>
      </c>
      <c r="H722" s="1" t="n">
        <f aca="false">IF(D722=0, 33, "cc")</f>
        <v>33</v>
      </c>
    </row>
    <row r="723" customFormat="false" ht="18.65" hidden="false" customHeight="true" outlineLevel="0" collapsed="false">
      <c r="A723" s="1" t="n">
        <f aca="false">ROW()-2</f>
        <v>721</v>
      </c>
      <c r="B723" s="1" t="n">
        <f aca="false">INT(A723/$N$1)</f>
        <v>40</v>
      </c>
      <c r="C723" s="1" t="n">
        <f aca="false">INT(MOD(A723,$N$1) / 2)</f>
        <v>0</v>
      </c>
      <c r="D723" s="1" t="n">
        <f aca="false">_xlfn.BITAND(A723,1)</f>
        <v>1</v>
      </c>
      <c r="F723" s="1" t="str">
        <f aca="false">DEC2HEX(B723*$N$3*18)</f>
        <v>B400</v>
      </c>
      <c r="G723" s="1" t="str">
        <f aca="false">DEC2HEX(C723*7)</f>
        <v>0</v>
      </c>
      <c r="H723" s="1" t="str">
        <f aca="false">IF(D723=0, 33, "cc")</f>
        <v>cc</v>
      </c>
    </row>
    <row r="724" customFormat="false" ht="18.65" hidden="false" customHeight="true" outlineLevel="0" collapsed="false">
      <c r="A724" s="1" t="n">
        <f aca="false">ROW()-2</f>
        <v>722</v>
      </c>
      <c r="B724" s="1" t="n">
        <f aca="false">INT(A724/$N$1)</f>
        <v>40</v>
      </c>
      <c r="C724" s="1" t="n">
        <f aca="false">INT(MOD(A724,$N$1) / 2)</f>
        <v>1</v>
      </c>
      <c r="D724" s="1" t="n">
        <f aca="false">_xlfn.BITAND(A724,1)</f>
        <v>0</v>
      </c>
      <c r="F724" s="1" t="str">
        <f aca="false">DEC2HEX(B724*$N$3*18)</f>
        <v>B400</v>
      </c>
      <c r="G724" s="1" t="str">
        <f aca="false">DEC2HEX(C724*7)</f>
        <v>7</v>
      </c>
      <c r="H724" s="1" t="n">
        <f aca="false">IF(D724=0, 33, "cc")</f>
        <v>33</v>
      </c>
    </row>
    <row r="725" customFormat="false" ht="18.65" hidden="false" customHeight="true" outlineLevel="0" collapsed="false">
      <c r="A725" s="1" t="n">
        <f aca="false">ROW()-2</f>
        <v>723</v>
      </c>
      <c r="B725" s="1" t="n">
        <f aca="false">INT(A725/$N$1)</f>
        <v>40</v>
      </c>
      <c r="C725" s="1" t="n">
        <f aca="false">INT(MOD(A725,$N$1) / 2)</f>
        <v>1</v>
      </c>
      <c r="D725" s="1" t="n">
        <f aca="false">_xlfn.BITAND(A725,1)</f>
        <v>1</v>
      </c>
      <c r="F725" s="1" t="str">
        <f aca="false">DEC2HEX(B725*$N$3*18)</f>
        <v>B400</v>
      </c>
      <c r="G725" s="1" t="str">
        <f aca="false">DEC2HEX(C725*7)</f>
        <v>7</v>
      </c>
      <c r="H725" s="1" t="str">
        <f aca="false">IF(D725=0, 33, "cc")</f>
        <v>cc</v>
      </c>
    </row>
    <row r="726" customFormat="false" ht="18.65" hidden="false" customHeight="true" outlineLevel="0" collapsed="false">
      <c r="A726" s="1" t="n">
        <f aca="false">ROW()-2</f>
        <v>724</v>
      </c>
      <c r="B726" s="1" t="n">
        <f aca="false">INT(A726/$N$1)</f>
        <v>40</v>
      </c>
      <c r="C726" s="1" t="n">
        <f aca="false">INT(MOD(A726,$N$1) / 2)</f>
        <v>2</v>
      </c>
      <c r="D726" s="1" t="n">
        <f aca="false">_xlfn.BITAND(A726,1)</f>
        <v>0</v>
      </c>
      <c r="F726" s="1" t="str">
        <f aca="false">DEC2HEX(B726*$N$3*18)</f>
        <v>B400</v>
      </c>
      <c r="G726" s="1" t="str">
        <f aca="false">DEC2HEX(C726*7)</f>
        <v>E</v>
      </c>
      <c r="H726" s="1" t="n">
        <f aca="false">IF(D726=0, 33, "cc")</f>
        <v>33</v>
      </c>
    </row>
    <row r="727" customFormat="false" ht="18.65" hidden="false" customHeight="true" outlineLevel="0" collapsed="false">
      <c r="A727" s="1" t="n">
        <f aca="false">ROW()-2</f>
        <v>725</v>
      </c>
      <c r="B727" s="1" t="n">
        <f aca="false">INT(A727/$N$1)</f>
        <v>40</v>
      </c>
      <c r="C727" s="1" t="n">
        <f aca="false">INT(MOD(A727,$N$1) / 2)</f>
        <v>2</v>
      </c>
      <c r="D727" s="1" t="n">
        <f aca="false">_xlfn.BITAND(A727,1)</f>
        <v>1</v>
      </c>
      <c r="F727" s="1" t="str">
        <f aca="false">DEC2HEX(B727*$N$3*18)</f>
        <v>B400</v>
      </c>
      <c r="G727" s="1" t="str">
        <f aca="false">DEC2HEX(C727*7)</f>
        <v>E</v>
      </c>
      <c r="H727" s="1" t="str">
        <f aca="false">IF(D727=0, 33, "cc")</f>
        <v>cc</v>
      </c>
    </row>
    <row r="728" customFormat="false" ht="18.65" hidden="false" customHeight="true" outlineLevel="0" collapsed="false">
      <c r="A728" s="1" t="n">
        <f aca="false">ROW()-2</f>
        <v>726</v>
      </c>
      <c r="B728" s="1" t="n">
        <f aca="false">INT(A728/$N$1)</f>
        <v>40</v>
      </c>
      <c r="C728" s="1" t="n">
        <f aca="false">INT(MOD(A728,$N$1) / 2)</f>
        <v>3</v>
      </c>
      <c r="D728" s="1" t="n">
        <f aca="false">_xlfn.BITAND(A728,1)</f>
        <v>0</v>
      </c>
      <c r="F728" s="1" t="str">
        <f aca="false">DEC2HEX(B728*$N$3*18)</f>
        <v>B400</v>
      </c>
      <c r="G728" s="1" t="str">
        <f aca="false">DEC2HEX(C728*7)</f>
        <v>15</v>
      </c>
      <c r="H728" s="1" t="n">
        <f aca="false">IF(D728=0, 33, "cc")</f>
        <v>33</v>
      </c>
    </row>
    <row r="729" customFormat="false" ht="18.65" hidden="false" customHeight="true" outlineLevel="0" collapsed="false">
      <c r="A729" s="1" t="n">
        <f aca="false">ROW()-2</f>
        <v>727</v>
      </c>
      <c r="B729" s="1" t="n">
        <f aca="false">INT(A729/$N$1)</f>
        <v>40</v>
      </c>
      <c r="C729" s="1" t="n">
        <f aca="false">INT(MOD(A729,$N$1) / 2)</f>
        <v>3</v>
      </c>
      <c r="D729" s="1" t="n">
        <f aca="false">_xlfn.BITAND(A729,1)</f>
        <v>1</v>
      </c>
      <c r="F729" s="1" t="str">
        <f aca="false">DEC2HEX(B729*$N$3*18)</f>
        <v>B400</v>
      </c>
      <c r="G729" s="1" t="str">
        <f aca="false">DEC2HEX(C729*7)</f>
        <v>15</v>
      </c>
      <c r="H729" s="1" t="str">
        <f aca="false">IF(D729=0, 33, "cc")</f>
        <v>cc</v>
      </c>
    </row>
    <row r="730" customFormat="false" ht="18.65" hidden="false" customHeight="true" outlineLevel="0" collapsed="false">
      <c r="A730" s="1" t="n">
        <f aca="false">ROW()-2</f>
        <v>728</v>
      </c>
      <c r="B730" s="1" t="n">
        <f aca="false">INT(A730/$N$1)</f>
        <v>40</v>
      </c>
      <c r="C730" s="1" t="n">
        <f aca="false">INT(MOD(A730,$N$1) / 2)</f>
        <v>4</v>
      </c>
      <c r="D730" s="1" t="n">
        <f aca="false">_xlfn.BITAND(A730,1)</f>
        <v>0</v>
      </c>
      <c r="F730" s="1" t="str">
        <f aca="false">DEC2HEX(B730*$N$3*18)</f>
        <v>B400</v>
      </c>
      <c r="G730" s="1" t="str">
        <f aca="false">DEC2HEX(C730*7)</f>
        <v>1C</v>
      </c>
      <c r="H730" s="1" t="n">
        <f aca="false">IF(D730=0, 33, "cc")</f>
        <v>33</v>
      </c>
    </row>
    <row r="731" customFormat="false" ht="18.65" hidden="false" customHeight="true" outlineLevel="0" collapsed="false">
      <c r="A731" s="1" t="n">
        <f aca="false">ROW()-2</f>
        <v>729</v>
      </c>
      <c r="B731" s="1" t="n">
        <f aca="false">INT(A731/$N$1)</f>
        <v>40</v>
      </c>
      <c r="C731" s="1" t="n">
        <f aca="false">INT(MOD(A731,$N$1) / 2)</f>
        <v>4</v>
      </c>
      <c r="D731" s="1" t="n">
        <f aca="false">_xlfn.BITAND(A731,1)</f>
        <v>1</v>
      </c>
      <c r="F731" s="1" t="str">
        <f aca="false">DEC2HEX(B731*$N$3*18)</f>
        <v>B400</v>
      </c>
      <c r="G731" s="1" t="str">
        <f aca="false">DEC2HEX(C731*7)</f>
        <v>1C</v>
      </c>
      <c r="H731" s="1" t="str">
        <f aca="false">IF(D731=0, 33, "cc")</f>
        <v>cc</v>
      </c>
    </row>
    <row r="732" customFormat="false" ht="18.65" hidden="false" customHeight="true" outlineLevel="0" collapsed="false">
      <c r="A732" s="1" t="n">
        <f aca="false">ROW()-2</f>
        <v>730</v>
      </c>
      <c r="B732" s="1" t="n">
        <f aca="false">INT(A732/$N$1)</f>
        <v>40</v>
      </c>
      <c r="C732" s="1" t="n">
        <f aca="false">INT(MOD(A732,$N$1) / 2)</f>
        <v>5</v>
      </c>
      <c r="D732" s="1" t="n">
        <f aca="false">_xlfn.BITAND(A732,1)</f>
        <v>0</v>
      </c>
      <c r="F732" s="1" t="str">
        <f aca="false">DEC2HEX(B732*$N$3*18)</f>
        <v>B400</v>
      </c>
      <c r="G732" s="1" t="str">
        <f aca="false">DEC2HEX(C732*7)</f>
        <v>23</v>
      </c>
      <c r="H732" s="1" t="n">
        <f aca="false">IF(D732=0, 33, "cc")</f>
        <v>33</v>
      </c>
    </row>
    <row r="733" customFormat="false" ht="18.65" hidden="false" customHeight="true" outlineLevel="0" collapsed="false">
      <c r="A733" s="1" t="n">
        <f aca="false">ROW()-2</f>
        <v>731</v>
      </c>
      <c r="B733" s="1" t="n">
        <f aca="false">INT(A733/$N$1)</f>
        <v>40</v>
      </c>
      <c r="C733" s="1" t="n">
        <f aca="false">INT(MOD(A733,$N$1) / 2)</f>
        <v>5</v>
      </c>
      <c r="D733" s="1" t="n">
        <f aca="false">_xlfn.BITAND(A733,1)</f>
        <v>1</v>
      </c>
      <c r="F733" s="1" t="str">
        <f aca="false">DEC2HEX(B733*$N$3*18)</f>
        <v>B400</v>
      </c>
      <c r="G733" s="1" t="str">
        <f aca="false">DEC2HEX(C733*7)</f>
        <v>23</v>
      </c>
      <c r="H733" s="1" t="str">
        <f aca="false">IF(D733=0, 33, "cc")</f>
        <v>cc</v>
      </c>
    </row>
    <row r="734" customFormat="false" ht="18.65" hidden="false" customHeight="true" outlineLevel="0" collapsed="false">
      <c r="A734" s="1" t="n">
        <f aca="false">ROW()-2</f>
        <v>732</v>
      </c>
      <c r="B734" s="1" t="n">
        <f aca="false">INT(A734/$N$1)</f>
        <v>40</v>
      </c>
      <c r="C734" s="1" t="n">
        <f aca="false">INT(MOD(A734,$N$1) / 2)</f>
        <v>6</v>
      </c>
      <c r="D734" s="1" t="n">
        <f aca="false">_xlfn.BITAND(A734,1)</f>
        <v>0</v>
      </c>
      <c r="F734" s="1" t="str">
        <f aca="false">DEC2HEX(B734*$N$3*18)</f>
        <v>B400</v>
      </c>
      <c r="G734" s="1" t="str">
        <f aca="false">DEC2HEX(C734*7)</f>
        <v>2A</v>
      </c>
      <c r="H734" s="1" t="n">
        <f aca="false">IF(D734=0, 33, "cc")</f>
        <v>33</v>
      </c>
    </row>
    <row r="735" customFormat="false" ht="18.65" hidden="false" customHeight="true" outlineLevel="0" collapsed="false">
      <c r="A735" s="1" t="n">
        <f aca="false">ROW()-2</f>
        <v>733</v>
      </c>
      <c r="B735" s="1" t="n">
        <f aca="false">INT(A735/$N$1)</f>
        <v>40</v>
      </c>
      <c r="C735" s="1" t="n">
        <f aca="false">INT(MOD(A735,$N$1) / 2)</f>
        <v>6</v>
      </c>
      <c r="D735" s="1" t="n">
        <f aca="false">_xlfn.BITAND(A735,1)</f>
        <v>1</v>
      </c>
      <c r="F735" s="1" t="str">
        <f aca="false">DEC2HEX(B735*$N$3*18)</f>
        <v>B400</v>
      </c>
      <c r="G735" s="1" t="str">
        <f aca="false">DEC2HEX(C735*7)</f>
        <v>2A</v>
      </c>
      <c r="H735" s="1" t="str">
        <f aca="false">IF(D735=0, 33, "cc")</f>
        <v>cc</v>
      </c>
    </row>
    <row r="736" customFormat="false" ht="18.65" hidden="false" customHeight="true" outlineLevel="0" collapsed="false">
      <c r="A736" s="1" t="n">
        <f aca="false">ROW()-2</f>
        <v>734</v>
      </c>
      <c r="B736" s="1" t="n">
        <f aca="false">INT(A736/$N$1)</f>
        <v>40</v>
      </c>
      <c r="C736" s="1" t="n">
        <f aca="false">INT(MOD(A736,$N$1) / 2)</f>
        <v>7</v>
      </c>
      <c r="D736" s="1" t="n">
        <f aca="false">_xlfn.BITAND(A736,1)</f>
        <v>0</v>
      </c>
      <c r="F736" s="1" t="str">
        <f aca="false">DEC2HEX(B736*$N$3*18)</f>
        <v>B400</v>
      </c>
      <c r="G736" s="1" t="str">
        <f aca="false">DEC2HEX(C736*7)</f>
        <v>31</v>
      </c>
      <c r="H736" s="1" t="n">
        <f aca="false">IF(D736=0, 33, "cc")</f>
        <v>33</v>
      </c>
    </row>
    <row r="737" customFormat="false" ht="18.65" hidden="false" customHeight="true" outlineLevel="0" collapsed="false">
      <c r="A737" s="1" t="n">
        <f aca="false">ROW()-2</f>
        <v>735</v>
      </c>
      <c r="B737" s="1" t="n">
        <f aca="false">INT(A737/$N$1)</f>
        <v>40</v>
      </c>
      <c r="C737" s="1" t="n">
        <f aca="false">INT(MOD(A737,$N$1) / 2)</f>
        <v>7</v>
      </c>
      <c r="D737" s="1" t="n">
        <f aca="false">_xlfn.BITAND(A737,1)</f>
        <v>1</v>
      </c>
      <c r="F737" s="1" t="str">
        <f aca="false">DEC2HEX(B737*$N$3*18)</f>
        <v>B400</v>
      </c>
      <c r="G737" s="1" t="str">
        <f aca="false">DEC2HEX(C737*7)</f>
        <v>31</v>
      </c>
      <c r="H737" s="1" t="str">
        <f aca="false">IF(D737=0, 33, "cc")</f>
        <v>cc</v>
      </c>
    </row>
    <row r="738" customFormat="false" ht="18.65" hidden="false" customHeight="true" outlineLevel="0" collapsed="false">
      <c r="A738" s="1" t="n">
        <f aca="false">ROW()-2</f>
        <v>736</v>
      </c>
      <c r="B738" s="1" t="n">
        <f aca="false">INT(A738/$N$1)</f>
        <v>40</v>
      </c>
      <c r="C738" s="1" t="n">
        <f aca="false">INT(MOD(A738,$N$1) / 2)</f>
        <v>8</v>
      </c>
      <c r="D738" s="1" t="n">
        <f aca="false">_xlfn.BITAND(A738,1)</f>
        <v>0</v>
      </c>
      <c r="F738" s="1" t="str">
        <f aca="false">DEC2HEX(B738*$N$3*18)</f>
        <v>B400</v>
      </c>
      <c r="G738" s="1" t="str">
        <f aca="false">DEC2HEX(C738*7)</f>
        <v>38</v>
      </c>
      <c r="H738" s="1" t="n">
        <f aca="false">IF(D738=0, 33, "cc")</f>
        <v>33</v>
      </c>
    </row>
    <row r="739" customFormat="false" ht="18.65" hidden="false" customHeight="true" outlineLevel="0" collapsed="false">
      <c r="A739" s="1" t="n">
        <f aca="false">ROW()-2</f>
        <v>737</v>
      </c>
      <c r="B739" s="1" t="n">
        <f aca="false">INT(A739/$N$1)</f>
        <v>40</v>
      </c>
      <c r="C739" s="1" t="n">
        <f aca="false">INT(MOD(A739,$N$1) / 2)</f>
        <v>8</v>
      </c>
      <c r="D739" s="1" t="n">
        <f aca="false">_xlfn.BITAND(A739,1)</f>
        <v>1</v>
      </c>
      <c r="F739" s="1" t="str">
        <f aca="false">DEC2HEX(B739*$N$3*18)</f>
        <v>B400</v>
      </c>
      <c r="G739" s="1" t="str">
        <f aca="false">DEC2HEX(C739*7)</f>
        <v>38</v>
      </c>
      <c r="H739" s="1" t="str">
        <f aca="false">IF(D739=0, 33, "cc")</f>
        <v>cc</v>
      </c>
    </row>
    <row r="740" customFormat="false" ht="18.65" hidden="false" customHeight="true" outlineLevel="0" collapsed="false">
      <c r="A740" s="1" t="n">
        <f aca="false">ROW()-2</f>
        <v>738</v>
      </c>
      <c r="B740" s="1" t="n">
        <f aca="false">INT(A740/$N$1)</f>
        <v>41</v>
      </c>
      <c r="C740" s="1" t="n">
        <f aca="false">INT(MOD(A740,$N$1) / 2)</f>
        <v>0</v>
      </c>
      <c r="D740" s="1" t="n">
        <f aca="false">_xlfn.BITAND(A740,1)</f>
        <v>0</v>
      </c>
      <c r="F740" s="1" t="str">
        <f aca="false">DEC2HEX(B740*$N$3*18)</f>
        <v>B880</v>
      </c>
      <c r="G740" s="1" t="str">
        <f aca="false">DEC2HEX(C740*7)</f>
        <v>0</v>
      </c>
      <c r="H740" s="1" t="n">
        <f aca="false">IF(D740=0, 33, "cc")</f>
        <v>33</v>
      </c>
    </row>
    <row r="741" customFormat="false" ht="18.65" hidden="false" customHeight="true" outlineLevel="0" collapsed="false">
      <c r="A741" s="1" t="n">
        <f aca="false">ROW()-2</f>
        <v>739</v>
      </c>
      <c r="B741" s="1" t="n">
        <f aca="false">INT(A741/$N$1)</f>
        <v>41</v>
      </c>
      <c r="C741" s="1" t="n">
        <f aca="false">INT(MOD(A741,$N$1) / 2)</f>
        <v>0</v>
      </c>
      <c r="D741" s="1" t="n">
        <f aca="false">_xlfn.BITAND(A741,1)</f>
        <v>1</v>
      </c>
      <c r="F741" s="1" t="str">
        <f aca="false">DEC2HEX(B741*$N$3*18)</f>
        <v>B880</v>
      </c>
      <c r="G741" s="1" t="str">
        <f aca="false">DEC2HEX(C741*7)</f>
        <v>0</v>
      </c>
      <c r="H741" s="1" t="str">
        <f aca="false">IF(D741=0, 33, "cc")</f>
        <v>cc</v>
      </c>
    </row>
    <row r="742" customFormat="false" ht="18.65" hidden="false" customHeight="true" outlineLevel="0" collapsed="false">
      <c r="A742" s="1" t="n">
        <f aca="false">ROW()-2</f>
        <v>740</v>
      </c>
      <c r="B742" s="1" t="n">
        <f aca="false">INT(A742/$N$1)</f>
        <v>41</v>
      </c>
      <c r="C742" s="1" t="n">
        <f aca="false">INT(MOD(A742,$N$1) / 2)</f>
        <v>1</v>
      </c>
      <c r="D742" s="1" t="n">
        <f aca="false">_xlfn.BITAND(A742,1)</f>
        <v>0</v>
      </c>
      <c r="F742" s="1" t="str">
        <f aca="false">DEC2HEX(B742*$N$3*18)</f>
        <v>B880</v>
      </c>
      <c r="G742" s="1" t="str">
        <f aca="false">DEC2HEX(C742*7)</f>
        <v>7</v>
      </c>
      <c r="H742" s="1" t="n">
        <f aca="false">IF(D742=0, 33, "cc")</f>
        <v>33</v>
      </c>
    </row>
    <row r="743" customFormat="false" ht="18.65" hidden="false" customHeight="true" outlineLevel="0" collapsed="false">
      <c r="A743" s="1" t="n">
        <f aca="false">ROW()-2</f>
        <v>741</v>
      </c>
      <c r="B743" s="1" t="n">
        <f aca="false">INT(A743/$N$1)</f>
        <v>41</v>
      </c>
      <c r="C743" s="1" t="n">
        <f aca="false">INT(MOD(A743,$N$1) / 2)</f>
        <v>1</v>
      </c>
      <c r="D743" s="1" t="n">
        <f aca="false">_xlfn.BITAND(A743,1)</f>
        <v>1</v>
      </c>
      <c r="F743" s="1" t="str">
        <f aca="false">DEC2HEX(B743*$N$3*18)</f>
        <v>B880</v>
      </c>
      <c r="G743" s="1" t="str">
        <f aca="false">DEC2HEX(C743*7)</f>
        <v>7</v>
      </c>
      <c r="H743" s="1" t="str">
        <f aca="false">IF(D743=0, 33, "cc")</f>
        <v>cc</v>
      </c>
    </row>
    <row r="744" customFormat="false" ht="18.65" hidden="false" customHeight="true" outlineLevel="0" collapsed="false">
      <c r="A744" s="1" t="n">
        <f aca="false">ROW()-2</f>
        <v>742</v>
      </c>
      <c r="B744" s="1" t="n">
        <f aca="false">INT(A744/$N$1)</f>
        <v>41</v>
      </c>
      <c r="C744" s="1" t="n">
        <f aca="false">INT(MOD(A744,$N$1) / 2)</f>
        <v>2</v>
      </c>
      <c r="D744" s="1" t="n">
        <f aca="false">_xlfn.BITAND(A744,1)</f>
        <v>0</v>
      </c>
      <c r="F744" s="1" t="str">
        <f aca="false">DEC2HEX(B744*$N$3*18)</f>
        <v>B880</v>
      </c>
      <c r="G744" s="1" t="str">
        <f aca="false">DEC2HEX(C744*7)</f>
        <v>E</v>
      </c>
      <c r="H744" s="1" t="n">
        <f aca="false">IF(D744=0, 33, "cc")</f>
        <v>33</v>
      </c>
    </row>
    <row r="745" customFormat="false" ht="18.65" hidden="false" customHeight="true" outlineLevel="0" collapsed="false">
      <c r="A745" s="1" t="n">
        <f aca="false">ROW()-2</f>
        <v>743</v>
      </c>
      <c r="B745" s="1" t="n">
        <f aca="false">INT(A745/$N$1)</f>
        <v>41</v>
      </c>
      <c r="C745" s="1" t="n">
        <f aca="false">INT(MOD(A745,$N$1) / 2)</f>
        <v>2</v>
      </c>
      <c r="D745" s="1" t="n">
        <f aca="false">_xlfn.BITAND(A745,1)</f>
        <v>1</v>
      </c>
      <c r="F745" s="1" t="str">
        <f aca="false">DEC2HEX(B745*$N$3*18)</f>
        <v>B880</v>
      </c>
      <c r="G745" s="1" t="str">
        <f aca="false">DEC2HEX(C745*7)</f>
        <v>E</v>
      </c>
      <c r="H745" s="1" t="str">
        <f aca="false">IF(D745=0, 33, "cc")</f>
        <v>cc</v>
      </c>
    </row>
    <row r="746" customFormat="false" ht="18.65" hidden="false" customHeight="true" outlineLevel="0" collapsed="false">
      <c r="A746" s="1" t="n">
        <f aca="false">ROW()-2</f>
        <v>744</v>
      </c>
      <c r="B746" s="1" t="n">
        <f aca="false">INT(A746/$N$1)</f>
        <v>41</v>
      </c>
      <c r="C746" s="1" t="n">
        <f aca="false">INT(MOD(A746,$N$1) / 2)</f>
        <v>3</v>
      </c>
      <c r="D746" s="1" t="n">
        <f aca="false">_xlfn.BITAND(A746,1)</f>
        <v>0</v>
      </c>
      <c r="F746" s="1" t="str">
        <f aca="false">DEC2HEX(B746*$N$3*18)</f>
        <v>B880</v>
      </c>
      <c r="G746" s="1" t="str">
        <f aca="false">DEC2HEX(C746*7)</f>
        <v>15</v>
      </c>
      <c r="H746" s="1" t="n">
        <f aca="false">IF(D746=0, 33, "cc")</f>
        <v>33</v>
      </c>
    </row>
    <row r="747" customFormat="false" ht="18.65" hidden="false" customHeight="true" outlineLevel="0" collapsed="false">
      <c r="A747" s="1" t="n">
        <f aca="false">ROW()-2</f>
        <v>745</v>
      </c>
      <c r="B747" s="1" t="n">
        <f aca="false">INT(A747/$N$1)</f>
        <v>41</v>
      </c>
      <c r="C747" s="1" t="n">
        <f aca="false">INT(MOD(A747,$N$1) / 2)</f>
        <v>3</v>
      </c>
      <c r="D747" s="1" t="n">
        <f aca="false">_xlfn.BITAND(A747,1)</f>
        <v>1</v>
      </c>
      <c r="F747" s="1" t="str">
        <f aca="false">DEC2HEX(B747*$N$3*18)</f>
        <v>B880</v>
      </c>
      <c r="G747" s="1" t="str">
        <f aca="false">DEC2HEX(C747*7)</f>
        <v>15</v>
      </c>
      <c r="H747" s="1" t="str">
        <f aca="false">IF(D747=0, 33, "cc")</f>
        <v>cc</v>
      </c>
    </row>
    <row r="748" customFormat="false" ht="18.65" hidden="false" customHeight="true" outlineLevel="0" collapsed="false">
      <c r="A748" s="1" t="n">
        <f aca="false">ROW()-2</f>
        <v>746</v>
      </c>
      <c r="B748" s="1" t="n">
        <f aca="false">INT(A748/$N$1)</f>
        <v>41</v>
      </c>
      <c r="C748" s="1" t="n">
        <f aca="false">INT(MOD(A748,$N$1) / 2)</f>
        <v>4</v>
      </c>
      <c r="D748" s="1" t="n">
        <f aca="false">_xlfn.BITAND(A748,1)</f>
        <v>0</v>
      </c>
      <c r="F748" s="1" t="str">
        <f aca="false">DEC2HEX(B748*$N$3*18)</f>
        <v>B880</v>
      </c>
      <c r="G748" s="1" t="str">
        <f aca="false">DEC2HEX(C748*7)</f>
        <v>1C</v>
      </c>
      <c r="H748" s="1" t="n">
        <f aca="false">IF(D748=0, 33, "cc")</f>
        <v>33</v>
      </c>
    </row>
    <row r="749" customFormat="false" ht="18.65" hidden="false" customHeight="true" outlineLevel="0" collapsed="false">
      <c r="A749" s="1" t="n">
        <f aca="false">ROW()-2</f>
        <v>747</v>
      </c>
      <c r="B749" s="1" t="n">
        <f aca="false">INT(A749/$N$1)</f>
        <v>41</v>
      </c>
      <c r="C749" s="1" t="n">
        <f aca="false">INT(MOD(A749,$N$1) / 2)</f>
        <v>4</v>
      </c>
      <c r="D749" s="1" t="n">
        <f aca="false">_xlfn.BITAND(A749,1)</f>
        <v>1</v>
      </c>
      <c r="F749" s="1" t="str">
        <f aca="false">DEC2HEX(B749*$N$3*18)</f>
        <v>B880</v>
      </c>
      <c r="G749" s="1" t="str">
        <f aca="false">DEC2HEX(C749*7)</f>
        <v>1C</v>
      </c>
      <c r="H749" s="1" t="str">
        <f aca="false">IF(D749=0, 33, "cc")</f>
        <v>cc</v>
      </c>
    </row>
    <row r="750" customFormat="false" ht="18.65" hidden="false" customHeight="true" outlineLevel="0" collapsed="false">
      <c r="A750" s="1" t="n">
        <f aca="false">ROW()-2</f>
        <v>748</v>
      </c>
      <c r="B750" s="1" t="n">
        <f aca="false">INT(A750/$N$1)</f>
        <v>41</v>
      </c>
      <c r="C750" s="1" t="n">
        <f aca="false">INT(MOD(A750,$N$1) / 2)</f>
        <v>5</v>
      </c>
      <c r="D750" s="1" t="n">
        <f aca="false">_xlfn.BITAND(A750,1)</f>
        <v>0</v>
      </c>
      <c r="F750" s="1" t="str">
        <f aca="false">DEC2HEX(B750*$N$3*18)</f>
        <v>B880</v>
      </c>
      <c r="G750" s="1" t="str">
        <f aca="false">DEC2HEX(C750*7)</f>
        <v>23</v>
      </c>
      <c r="H750" s="1" t="n">
        <f aca="false">IF(D750=0, 33, "cc")</f>
        <v>33</v>
      </c>
    </row>
    <row r="751" customFormat="false" ht="18.65" hidden="false" customHeight="true" outlineLevel="0" collapsed="false">
      <c r="A751" s="1" t="n">
        <f aca="false">ROW()-2</f>
        <v>749</v>
      </c>
      <c r="B751" s="1" t="n">
        <f aca="false">INT(A751/$N$1)</f>
        <v>41</v>
      </c>
      <c r="C751" s="1" t="n">
        <f aca="false">INT(MOD(A751,$N$1) / 2)</f>
        <v>5</v>
      </c>
      <c r="D751" s="1" t="n">
        <f aca="false">_xlfn.BITAND(A751,1)</f>
        <v>1</v>
      </c>
      <c r="F751" s="1" t="str">
        <f aca="false">DEC2HEX(B751*$N$3*18)</f>
        <v>B880</v>
      </c>
      <c r="G751" s="1" t="str">
        <f aca="false">DEC2HEX(C751*7)</f>
        <v>23</v>
      </c>
      <c r="H751" s="1" t="str">
        <f aca="false">IF(D751=0, 33, "cc")</f>
        <v>cc</v>
      </c>
    </row>
    <row r="752" customFormat="false" ht="18.65" hidden="false" customHeight="true" outlineLevel="0" collapsed="false">
      <c r="A752" s="1" t="n">
        <f aca="false">ROW()-2</f>
        <v>750</v>
      </c>
      <c r="B752" s="1" t="n">
        <f aca="false">INT(A752/$N$1)</f>
        <v>41</v>
      </c>
      <c r="C752" s="1" t="n">
        <f aca="false">INT(MOD(A752,$N$1) / 2)</f>
        <v>6</v>
      </c>
      <c r="D752" s="1" t="n">
        <f aca="false">_xlfn.BITAND(A752,1)</f>
        <v>0</v>
      </c>
      <c r="F752" s="1" t="str">
        <f aca="false">DEC2HEX(B752*$N$3*18)</f>
        <v>B880</v>
      </c>
      <c r="G752" s="1" t="str">
        <f aca="false">DEC2HEX(C752*7)</f>
        <v>2A</v>
      </c>
      <c r="H752" s="1" t="n">
        <f aca="false">IF(D752=0, 33, "cc")</f>
        <v>33</v>
      </c>
    </row>
    <row r="753" customFormat="false" ht="18.65" hidden="false" customHeight="true" outlineLevel="0" collapsed="false">
      <c r="A753" s="1" t="n">
        <f aca="false">ROW()-2</f>
        <v>751</v>
      </c>
      <c r="B753" s="1" t="n">
        <f aca="false">INT(A753/$N$1)</f>
        <v>41</v>
      </c>
      <c r="C753" s="1" t="n">
        <f aca="false">INT(MOD(A753,$N$1) / 2)</f>
        <v>6</v>
      </c>
      <c r="D753" s="1" t="n">
        <f aca="false">_xlfn.BITAND(A753,1)</f>
        <v>1</v>
      </c>
      <c r="F753" s="1" t="str">
        <f aca="false">DEC2HEX(B753*$N$3*18)</f>
        <v>B880</v>
      </c>
      <c r="G753" s="1" t="str">
        <f aca="false">DEC2HEX(C753*7)</f>
        <v>2A</v>
      </c>
      <c r="H753" s="1" t="str">
        <f aca="false">IF(D753=0, 33, "cc")</f>
        <v>cc</v>
      </c>
    </row>
    <row r="754" customFormat="false" ht="18.65" hidden="false" customHeight="true" outlineLevel="0" collapsed="false">
      <c r="A754" s="1" t="n">
        <f aca="false">ROW()-2</f>
        <v>752</v>
      </c>
      <c r="B754" s="1" t="n">
        <f aca="false">INT(A754/$N$1)</f>
        <v>41</v>
      </c>
      <c r="C754" s="1" t="n">
        <f aca="false">INT(MOD(A754,$N$1) / 2)</f>
        <v>7</v>
      </c>
      <c r="D754" s="1" t="n">
        <f aca="false">_xlfn.BITAND(A754,1)</f>
        <v>0</v>
      </c>
      <c r="F754" s="1" t="str">
        <f aca="false">DEC2HEX(B754*$N$3*18)</f>
        <v>B880</v>
      </c>
      <c r="G754" s="1" t="str">
        <f aca="false">DEC2HEX(C754*7)</f>
        <v>31</v>
      </c>
      <c r="H754" s="1" t="n">
        <f aca="false">IF(D754=0, 33, "cc")</f>
        <v>33</v>
      </c>
    </row>
    <row r="755" customFormat="false" ht="18.65" hidden="false" customHeight="true" outlineLevel="0" collapsed="false">
      <c r="A755" s="1" t="n">
        <f aca="false">ROW()-2</f>
        <v>753</v>
      </c>
      <c r="B755" s="1" t="n">
        <f aca="false">INT(A755/$N$1)</f>
        <v>41</v>
      </c>
      <c r="C755" s="1" t="n">
        <f aca="false">INT(MOD(A755,$N$1) / 2)</f>
        <v>7</v>
      </c>
      <c r="D755" s="1" t="n">
        <f aca="false">_xlfn.BITAND(A755,1)</f>
        <v>1</v>
      </c>
      <c r="F755" s="1" t="str">
        <f aca="false">DEC2HEX(B755*$N$3*18)</f>
        <v>B880</v>
      </c>
      <c r="G755" s="1" t="str">
        <f aca="false">DEC2HEX(C755*7)</f>
        <v>31</v>
      </c>
      <c r="H755" s="1" t="str">
        <f aca="false">IF(D755=0, 33, "cc")</f>
        <v>cc</v>
      </c>
    </row>
    <row r="756" customFormat="false" ht="18.65" hidden="false" customHeight="true" outlineLevel="0" collapsed="false">
      <c r="A756" s="1" t="n">
        <f aca="false">ROW()-2</f>
        <v>754</v>
      </c>
      <c r="B756" s="1" t="n">
        <f aca="false">INT(A756/$N$1)</f>
        <v>41</v>
      </c>
      <c r="C756" s="1" t="n">
        <f aca="false">INT(MOD(A756,$N$1) / 2)</f>
        <v>8</v>
      </c>
      <c r="D756" s="1" t="n">
        <f aca="false">_xlfn.BITAND(A756,1)</f>
        <v>0</v>
      </c>
      <c r="F756" s="1" t="str">
        <f aca="false">DEC2HEX(B756*$N$3*18)</f>
        <v>B880</v>
      </c>
      <c r="G756" s="1" t="str">
        <f aca="false">DEC2HEX(C756*7)</f>
        <v>38</v>
      </c>
      <c r="H756" s="1" t="n">
        <f aca="false">IF(D756=0, 33, "cc")</f>
        <v>33</v>
      </c>
    </row>
    <row r="757" customFormat="false" ht="18.65" hidden="false" customHeight="true" outlineLevel="0" collapsed="false">
      <c r="A757" s="1" t="n">
        <f aca="false">ROW()-2</f>
        <v>755</v>
      </c>
      <c r="B757" s="1" t="n">
        <f aca="false">INT(A757/$N$1)</f>
        <v>41</v>
      </c>
      <c r="C757" s="1" t="n">
        <f aca="false">INT(MOD(A757,$N$1) / 2)</f>
        <v>8</v>
      </c>
      <c r="D757" s="1" t="n">
        <f aca="false">_xlfn.BITAND(A757,1)</f>
        <v>1</v>
      </c>
      <c r="F757" s="1" t="str">
        <f aca="false">DEC2HEX(B757*$N$3*18)</f>
        <v>B880</v>
      </c>
      <c r="G757" s="1" t="str">
        <f aca="false">DEC2HEX(C757*7)</f>
        <v>38</v>
      </c>
      <c r="H757" s="1" t="str">
        <f aca="false">IF(D757=0, 33, "cc")</f>
        <v>cc</v>
      </c>
    </row>
    <row r="758" customFormat="false" ht="18.65" hidden="false" customHeight="true" outlineLevel="0" collapsed="false">
      <c r="A758" s="1" t="n">
        <f aca="false">ROW()-2</f>
        <v>756</v>
      </c>
      <c r="B758" s="1" t="n">
        <f aca="false">INT(A758/$N$1)</f>
        <v>42</v>
      </c>
      <c r="C758" s="1" t="n">
        <f aca="false">INT(MOD(A758,$N$1) / 2)</f>
        <v>0</v>
      </c>
      <c r="D758" s="1" t="n">
        <f aca="false">_xlfn.BITAND(A758,1)</f>
        <v>0</v>
      </c>
      <c r="F758" s="1" t="str">
        <f aca="false">DEC2HEX(B758*$N$3*18)</f>
        <v>BD00</v>
      </c>
      <c r="G758" s="1" t="str">
        <f aca="false">DEC2HEX(C758*7)</f>
        <v>0</v>
      </c>
      <c r="H758" s="1" t="n">
        <f aca="false">IF(D758=0, 33, "cc")</f>
        <v>33</v>
      </c>
    </row>
    <row r="759" customFormat="false" ht="18.65" hidden="false" customHeight="true" outlineLevel="0" collapsed="false">
      <c r="A759" s="1" t="n">
        <f aca="false">ROW()-2</f>
        <v>757</v>
      </c>
      <c r="B759" s="1" t="n">
        <f aca="false">INT(A759/$N$1)</f>
        <v>42</v>
      </c>
      <c r="C759" s="1" t="n">
        <f aca="false">INT(MOD(A759,$N$1) / 2)</f>
        <v>0</v>
      </c>
      <c r="D759" s="1" t="n">
        <f aca="false">_xlfn.BITAND(A759,1)</f>
        <v>1</v>
      </c>
      <c r="F759" s="1" t="str">
        <f aca="false">DEC2HEX(B759*$N$3*18)</f>
        <v>BD00</v>
      </c>
      <c r="G759" s="1" t="str">
        <f aca="false">DEC2HEX(C759*7)</f>
        <v>0</v>
      </c>
      <c r="H759" s="1" t="str">
        <f aca="false">IF(D759=0, 33, "cc")</f>
        <v>cc</v>
      </c>
    </row>
    <row r="760" customFormat="false" ht="18.65" hidden="false" customHeight="true" outlineLevel="0" collapsed="false">
      <c r="A760" s="1" t="n">
        <f aca="false">ROW()-2</f>
        <v>758</v>
      </c>
      <c r="B760" s="1" t="n">
        <f aca="false">INT(A760/$N$1)</f>
        <v>42</v>
      </c>
      <c r="C760" s="1" t="n">
        <f aca="false">INT(MOD(A760,$N$1) / 2)</f>
        <v>1</v>
      </c>
      <c r="D760" s="1" t="n">
        <f aca="false">_xlfn.BITAND(A760,1)</f>
        <v>0</v>
      </c>
      <c r="F760" s="1" t="str">
        <f aca="false">DEC2HEX(B760*$N$3*18)</f>
        <v>BD00</v>
      </c>
      <c r="G760" s="1" t="str">
        <f aca="false">DEC2HEX(C760*7)</f>
        <v>7</v>
      </c>
      <c r="H760" s="1" t="n">
        <f aca="false">IF(D760=0, 33, "cc")</f>
        <v>33</v>
      </c>
    </row>
    <row r="761" customFormat="false" ht="18.65" hidden="false" customHeight="true" outlineLevel="0" collapsed="false">
      <c r="A761" s="1" t="n">
        <f aca="false">ROW()-2</f>
        <v>759</v>
      </c>
      <c r="B761" s="1" t="n">
        <f aca="false">INT(A761/$N$1)</f>
        <v>42</v>
      </c>
      <c r="C761" s="1" t="n">
        <f aca="false">INT(MOD(A761,$N$1) / 2)</f>
        <v>1</v>
      </c>
      <c r="D761" s="1" t="n">
        <f aca="false">_xlfn.BITAND(A761,1)</f>
        <v>1</v>
      </c>
      <c r="F761" s="1" t="str">
        <f aca="false">DEC2HEX(B761*$N$3*18)</f>
        <v>BD00</v>
      </c>
      <c r="G761" s="1" t="str">
        <f aca="false">DEC2HEX(C761*7)</f>
        <v>7</v>
      </c>
      <c r="H761" s="1" t="str">
        <f aca="false">IF(D761=0, 33, "cc")</f>
        <v>cc</v>
      </c>
    </row>
    <row r="762" customFormat="false" ht="18.65" hidden="false" customHeight="true" outlineLevel="0" collapsed="false">
      <c r="A762" s="1" t="n">
        <f aca="false">ROW()-2</f>
        <v>760</v>
      </c>
      <c r="B762" s="1" t="n">
        <f aca="false">INT(A762/$N$1)</f>
        <v>42</v>
      </c>
      <c r="C762" s="1" t="n">
        <f aca="false">INT(MOD(A762,$N$1) / 2)</f>
        <v>2</v>
      </c>
      <c r="D762" s="1" t="n">
        <f aca="false">_xlfn.BITAND(A762,1)</f>
        <v>0</v>
      </c>
      <c r="F762" s="1" t="str">
        <f aca="false">DEC2HEX(B762*$N$3*18)</f>
        <v>BD00</v>
      </c>
      <c r="G762" s="1" t="str">
        <f aca="false">DEC2HEX(C762*7)</f>
        <v>E</v>
      </c>
      <c r="H762" s="1" t="n">
        <f aca="false">IF(D762=0, 33, "cc")</f>
        <v>33</v>
      </c>
    </row>
    <row r="763" customFormat="false" ht="18.65" hidden="false" customHeight="true" outlineLevel="0" collapsed="false">
      <c r="A763" s="1" t="n">
        <f aca="false">ROW()-2</f>
        <v>761</v>
      </c>
      <c r="B763" s="1" t="n">
        <f aca="false">INT(A763/$N$1)</f>
        <v>42</v>
      </c>
      <c r="C763" s="1" t="n">
        <f aca="false">INT(MOD(A763,$N$1) / 2)</f>
        <v>2</v>
      </c>
      <c r="D763" s="1" t="n">
        <f aca="false">_xlfn.BITAND(A763,1)</f>
        <v>1</v>
      </c>
      <c r="F763" s="1" t="str">
        <f aca="false">DEC2HEX(B763*$N$3*18)</f>
        <v>BD00</v>
      </c>
      <c r="G763" s="1" t="str">
        <f aca="false">DEC2HEX(C763*7)</f>
        <v>E</v>
      </c>
      <c r="H763" s="1" t="str">
        <f aca="false">IF(D763=0, 33, "cc")</f>
        <v>cc</v>
      </c>
    </row>
    <row r="764" customFormat="false" ht="18.65" hidden="false" customHeight="true" outlineLevel="0" collapsed="false">
      <c r="A764" s="1" t="n">
        <f aca="false">ROW()-2</f>
        <v>762</v>
      </c>
      <c r="B764" s="1" t="n">
        <f aca="false">INT(A764/$N$1)</f>
        <v>42</v>
      </c>
      <c r="C764" s="1" t="n">
        <f aca="false">INT(MOD(A764,$N$1) / 2)</f>
        <v>3</v>
      </c>
      <c r="D764" s="1" t="n">
        <f aca="false">_xlfn.BITAND(A764,1)</f>
        <v>0</v>
      </c>
      <c r="F764" s="1" t="str">
        <f aca="false">DEC2HEX(B764*$N$3*18)</f>
        <v>BD00</v>
      </c>
      <c r="G764" s="1" t="str">
        <f aca="false">DEC2HEX(C764*7)</f>
        <v>15</v>
      </c>
      <c r="H764" s="1" t="n">
        <f aca="false">IF(D764=0, 33, "cc")</f>
        <v>33</v>
      </c>
    </row>
    <row r="765" customFormat="false" ht="18.65" hidden="false" customHeight="true" outlineLevel="0" collapsed="false">
      <c r="A765" s="1" t="n">
        <f aca="false">ROW()-2</f>
        <v>763</v>
      </c>
      <c r="B765" s="1" t="n">
        <f aca="false">INT(A765/$N$1)</f>
        <v>42</v>
      </c>
      <c r="C765" s="1" t="n">
        <f aca="false">INT(MOD(A765,$N$1) / 2)</f>
        <v>3</v>
      </c>
      <c r="D765" s="1" t="n">
        <f aca="false">_xlfn.BITAND(A765,1)</f>
        <v>1</v>
      </c>
      <c r="F765" s="1" t="str">
        <f aca="false">DEC2HEX(B765*$N$3*18)</f>
        <v>BD00</v>
      </c>
      <c r="G765" s="1" t="str">
        <f aca="false">DEC2HEX(C765*7)</f>
        <v>15</v>
      </c>
      <c r="H765" s="1" t="str">
        <f aca="false">IF(D765=0, 33, "cc")</f>
        <v>cc</v>
      </c>
    </row>
    <row r="766" customFormat="false" ht="18.65" hidden="false" customHeight="true" outlineLevel="0" collapsed="false">
      <c r="A766" s="1" t="n">
        <f aca="false">ROW()-2</f>
        <v>764</v>
      </c>
      <c r="B766" s="1" t="n">
        <f aca="false">INT(A766/$N$1)</f>
        <v>42</v>
      </c>
      <c r="C766" s="1" t="n">
        <f aca="false">INT(MOD(A766,$N$1) / 2)</f>
        <v>4</v>
      </c>
      <c r="D766" s="1" t="n">
        <f aca="false">_xlfn.BITAND(A766,1)</f>
        <v>0</v>
      </c>
      <c r="F766" s="1" t="str">
        <f aca="false">DEC2HEX(B766*$N$3*18)</f>
        <v>BD00</v>
      </c>
      <c r="G766" s="1" t="str">
        <f aca="false">DEC2HEX(C766*7)</f>
        <v>1C</v>
      </c>
      <c r="H766" s="1" t="n">
        <f aca="false">IF(D766=0, 33, "cc")</f>
        <v>33</v>
      </c>
    </row>
    <row r="767" customFormat="false" ht="18.65" hidden="false" customHeight="true" outlineLevel="0" collapsed="false">
      <c r="A767" s="1" t="n">
        <f aca="false">ROW()-2</f>
        <v>765</v>
      </c>
      <c r="B767" s="1" t="n">
        <f aca="false">INT(A767/$N$1)</f>
        <v>42</v>
      </c>
      <c r="C767" s="1" t="n">
        <f aca="false">INT(MOD(A767,$N$1) / 2)</f>
        <v>4</v>
      </c>
      <c r="D767" s="1" t="n">
        <f aca="false">_xlfn.BITAND(A767,1)</f>
        <v>1</v>
      </c>
      <c r="F767" s="1" t="str">
        <f aca="false">DEC2HEX(B767*$N$3*18)</f>
        <v>BD00</v>
      </c>
      <c r="G767" s="1" t="str">
        <f aca="false">DEC2HEX(C767*7)</f>
        <v>1C</v>
      </c>
      <c r="H767" s="1" t="str">
        <f aca="false">IF(D767=0, 33, "cc")</f>
        <v>cc</v>
      </c>
    </row>
    <row r="768" customFormat="false" ht="18.65" hidden="false" customHeight="true" outlineLevel="0" collapsed="false">
      <c r="A768" s="1" t="n">
        <f aca="false">ROW()-2</f>
        <v>766</v>
      </c>
      <c r="B768" s="1" t="n">
        <f aca="false">INT(A768/$N$1)</f>
        <v>42</v>
      </c>
      <c r="C768" s="1" t="n">
        <f aca="false">INT(MOD(A768,$N$1) / 2)</f>
        <v>5</v>
      </c>
      <c r="D768" s="1" t="n">
        <f aca="false">_xlfn.BITAND(A768,1)</f>
        <v>0</v>
      </c>
      <c r="F768" s="1" t="str">
        <f aca="false">DEC2HEX(B768*$N$3*18)</f>
        <v>BD00</v>
      </c>
      <c r="G768" s="1" t="str">
        <f aca="false">DEC2HEX(C768*7)</f>
        <v>23</v>
      </c>
      <c r="H768" s="1" t="n">
        <f aca="false">IF(D768=0, 33, "cc")</f>
        <v>33</v>
      </c>
    </row>
    <row r="769" customFormat="false" ht="18.65" hidden="false" customHeight="true" outlineLevel="0" collapsed="false">
      <c r="A769" s="1" t="n">
        <f aca="false">ROW()-2</f>
        <v>767</v>
      </c>
      <c r="B769" s="1" t="n">
        <f aca="false">INT(A769/$N$1)</f>
        <v>42</v>
      </c>
      <c r="C769" s="1" t="n">
        <f aca="false">INT(MOD(A769,$N$1) / 2)</f>
        <v>5</v>
      </c>
      <c r="D769" s="1" t="n">
        <f aca="false">_xlfn.BITAND(A769,1)</f>
        <v>1</v>
      </c>
      <c r="F769" s="1" t="str">
        <f aca="false">DEC2HEX(B769*$N$3*18)</f>
        <v>BD00</v>
      </c>
      <c r="G769" s="1" t="str">
        <f aca="false">DEC2HEX(C769*7)</f>
        <v>23</v>
      </c>
      <c r="H769" s="1" t="str">
        <f aca="false">IF(D769=0, 33, "cc")</f>
        <v>cc</v>
      </c>
    </row>
    <row r="770" customFormat="false" ht="18.65" hidden="false" customHeight="true" outlineLevel="0" collapsed="false">
      <c r="A770" s="1" t="n">
        <f aca="false">ROW()-2</f>
        <v>768</v>
      </c>
      <c r="B770" s="1" t="n">
        <f aca="false">INT(A770/$N$1)</f>
        <v>42</v>
      </c>
      <c r="C770" s="1" t="n">
        <f aca="false">INT(MOD(A770,$N$1) / 2)</f>
        <v>6</v>
      </c>
      <c r="D770" s="1" t="n">
        <f aca="false">_xlfn.BITAND(A770,1)</f>
        <v>0</v>
      </c>
      <c r="F770" s="1" t="str">
        <f aca="false">DEC2HEX(B770*$N$3*18)</f>
        <v>BD00</v>
      </c>
      <c r="G770" s="1" t="str">
        <f aca="false">DEC2HEX(C770*7)</f>
        <v>2A</v>
      </c>
      <c r="H770" s="1" t="n">
        <f aca="false">IF(D770=0, 33, "cc")</f>
        <v>33</v>
      </c>
    </row>
    <row r="771" customFormat="false" ht="18.65" hidden="false" customHeight="true" outlineLevel="0" collapsed="false">
      <c r="A771" s="1" t="n">
        <f aca="false">ROW()-2</f>
        <v>769</v>
      </c>
      <c r="B771" s="1" t="n">
        <f aca="false">INT(A771/$N$1)</f>
        <v>42</v>
      </c>
      <c r="C771" s="1" t="n">
        <f aca="false">INT(MOD(A771,$N$1) / 2)</f>
        <v>6</v>
      </c>
      <c r="D771" s="1" t="n">
        <f aca="false">_xlfn.BITAND(A771,1)</f>
        <v>1</v>
      </c>
      <c r="F771" s="1" t="str">
        <f aca="false">DEC2HEX(B771*$N$3*18)</f>
        <v>BD00</v>
      </c>
      <c r="G771" s="1" t="str">
        <f aca="false">DEC2HEX(C771*7)</f>
        <v>2A</v>
      </c>
      <c r="H771" s="1" t="str">
        <f aca="false">IF(D771=0, 33, "cc")</f>
        <v>cc</v>
      </c>
    </row>
    <row r="772" customFormat="false" ht="18.65" hidden="false" customHeight="true" outlineLevel="0" collapsed="false">
      <c r="A772" s="1" t="n">
        <f aca="false">ROW()-2</f>
        <v>770</v>
      </c>
      <c r="B772" s="1" t="n">
        <f aca="false">INT(A772/$N$1)</f>
        <v>42</v>
      </c>
      <c r="C772" s="1" t="n">
        <f aca="false">INT(MOD(A772,$N$1) / 2)</f>
        <v>7</v>
      </c>
      <c r="D772" s="1" t="n">
        <f aca="false">_xlfn.BITAND(A772,1)</f>
        <v>0</v>
      </c>
      <c r="F772" s="1" t="str">
        <f aca="false">DEC2HEX(B772*$N$3*18)</f>
        <v>BD00</v>
      </c>
      <c r="G772" s="1" t="str">
        <f aca="false">DEC2HEX(C772*7)</f>
        <v>31</v>
      </c>
      <c r="H772" s="1" t="n">
        <f aca="false">IF(D772=0, 33, "cc")</f>
        <v>33</v>
      </c>
    </row>
    <row r="773" customFormat="false" ht="18.65" hidden="false" customHeight="true" outlineLevel="0" collapsed="false">
      <c r="A773" s="1" t="n">
        <f aca="false">ROW()-2</f>
        <v>771</v>
      </c>
      <c r="B773" s="1" t="n">
        <f aca="false">INT(A773/$N$1)</f>
        <v>42</v>
      </c>
      <c r="C773" s="1" t="n">
        <f aca="false">INT(MOD(A773,$N$1) / 2)</f>
        <v>7</v>
      </c>
      <c r="D773" s="1" t="n">
        <f aca="false">_xlfn.BITAND(A773,1)</f>
        <v>1</v>
      </c>
      <c r="F773" s="1" t="str">
        <f aca="false">DEC2HEX(B773*$N$3*18)</f>
        <v>BD00</v>
      </c>
      <c r="G773" s="1" t="str">
        <f aca="false">DEC2HEX(C773*7)</f>
        <v>31</v>
      </c>
      <c r="H773" s="1" t="str">
        <f aca="false">IF(D773=0, 33, "cc")</f>
        <v>cc</v>
      </c>
    </row>
    <row r="774" customFormat="false" ht="18.65" hidden="false" customHeight="true" outlineLevel="0" collapsed="false">
      <c r="A774" s="1" t="n">
        <f aca="false">ROW()-2</f>
        <v>772</v>
      </c>
      <c r="B774" s="1" t="n">
        <f aca="false">INT(A774/$N$1)</f>
        <v>42</v>
      </c>
      <c r="C774" s="1" t="n">
        <f aca="false">INT(MOD(A774,$N$1) / 2)</f>
        <v>8</v>
      </c>
      <c r="D774" s="1" t="n">
        <f aca="false">_xlfn.BITAND(A774,1)</f>
        <v>0</v>
      </c>
      <c r="F774" s="1" t="str">
        <f aca="false">DEC2HEX(B774*$N$3*18)</f>
        <v>BD00</v>
      </c>
      <c r="G774" s="1" t="str">
        <f aca="false">DEC2HEX(C774*7)</f>
        <v>38</v>
      </c>
      <c r="H774" s="1" t="n">
        <f aca="false">IF(D774=0, 33, "cc")</f>
        <v>33</v>
      </c>
    </row>
    <row r="775" customFormat="false" ht="18.65" hidden="false" customHeight="true" outlineLevel="0" collapsed="false">
      <c r="A775" s="1" t="n">
        <f aca="false">ROW()-2</f>
        <v>773</v>
      </c>
      <c r="B775" s="1" t="n">
        <f aca="false">INT(A775/$N$1)</f>
        <v>42</v>
      </c>
      <c r="C775" s="1" t="n">
        <f aca="false">INT(MOD(A775,$N$1) / 2)</f>
        <v>8</v>
      </c>
      <c r="D775" s="1" t="n">
        <f aca="false">_xlfn.BITAND(A775,1)</f>
        <v>1</v>
      </c>
      <c r="F775" s="1" t="str">
        <f aca="false">DEC2HEX(B775*$N$3*18)</f>
        <v>BD00</v>
      </c>
      <c r="G775" s="1" t="str">
        <f aca="false">DEC2HEX(C775*7)</f>
        <v>38</v>
      </c>
      <c r="H775" s="1" t="str">
        <f aca="false">IF(D775=0, 33, "cc")</f>
        <v>cc</v>
      </c>
    </row>
    <row r="776" customFormat="false" ht="18.65" hidden="false" customHeight="true" outlineLevel="0" collapsed="false">
      <c r="A776" s="1" t="n">
        <f aca="false">ROW()-2</f>
        <v>774</v>
      </c>
      <c r="B776" s="1" t="n">
        <f aca="false">INT(A776/$N$1)</f>
        <v>43</v>
      </c>
      <c r="C776" s="1" t="n">
        <f aca="false">INT(MOD(A776,$N$1) / 2)</f>
        <v>0</v>
      </c>
      <c r="D776" s="1" t="n">
        <f aca="false">_xlfn.BITAND(A776,1)</f>
        <v>0</v>
      </c>
      <c r="F776" s="1" t="str">
        <f aca="false">DEC2HEX(B776*$N$3*18)</f>
        <v>C180</v>
      </c>
      <c r="G776" s="1" t="str">
        <f aca="false">DEC2HEX(C776*7)</f>
        <v>0</v>
      </c>
      <c r="H776" s="1" t="n">
        <f aca="false">IF(D776=0, 33, "cc")</f>
        <v>33</v>
      </c>
    </row>
    <row r="777" customFormat="false" ht="18.65" hidden="false" customHeight="true" outlineLevel="0" collapsed="false">
      <c r="A777" s="1" t="n">
        <f aca="false">ROW()-2</f>
        <v>775</v>
      </c>
      <c r="B777" s="1" t="n">
        <f aca="false">INT(A777/$N$1)</f>
        <v>43</v>
      </c>
      <c r="C777" s="1" t="n">
        <f aca="false">INT(MOD(A777,$N$1) / 2)</f>
        <v>0</v>
      </c>
      <c r="D777" s="1" t="n">
        <f aca="false">_xlfn.BITAND(A777,1)</f>
        <v>1</v>
      </c>
      <c r="F777" s="1" t="str">
        <f aca="false">DEC2HEX(B777*$N$3*18)</f>
        <v>C180</v>
      </c>
      <c r="G777" s="1" t="str">
        <f aca="false">DEC2HEX(C777*7)</f>
        <v>0</v>
      </c>
      <c r="H777" s="1" t="str">
        <f aca="false">IF(D777=0, 33, "cc")</f>
        <v>cc</v>
      </c>
    </row>
    <row r="778" customFormat="false" ht="18.65" hidden="false" customHeight="true" outlineLevel="0" collapsed="false">
      <c r="A778" s="1" t="n">
        <f aca="false">ROW()-2</f>
        <v>776</v>
      </c>
      <c r="B778" s="1" t="n">
        <f aca="false">INT(A778/$N$1)</f>
        <v>43</v>
      </c>
      <c r="C778" s="1" t="n">
        <f aca="false">INT(MOD(A778,$N$1) / 2)</f>
        <v>1</v>
      </c>
      <c r="D778" s="1" t="n">
        <f aca="false">_xlfn.BITAND(A778,1)</f>
        <v>0</v>
      </c>
      <c r="F778" s="1" t="str">
        <f aca="false">DEC2HEX(B778*$N$3*18)</f>
        <v>C180</v>
      </c>
      <c r="G778" s="1" t="str">
        <f aca="false">DEC2HEX(C778*7)</f>
        <v>7</v>
      </c>
      <c r="H778" s="1" t="n">
        <f aca="false">IF(D778=0, 33, "cc")</f>
        <v>33</v>
      </c>
    </row>
    <row r="779" customFormat="false" ht="18.65" hidden="false" customHeight="true" outlineLevel="0" collapsed="false">
      <c r="A779" s="1" t="n">
        <f aca="false">ROW()-2</f>
        <v>777</v>
      </c>
      <c r="B779" s="1" t="n">
        <f aca="false">INT(A779/$N$1)</f>
        <v>43</v>
      </c>
      <c r="C779" s="1" t="n">
        <f aca="false">INT(MOD(A779,$N$1) / 2)</f>
        <v>1</v>
      </c>
      <c r="D779" s="1" t="n">
        <f aca="false">_xlfn.BITAND(A779,1)</f>
        <v>1</v>
      </c>
      <c r="F779" s="1" t="str">
        <f aca="false">DEC2HEX(B779*$N$3*18)</f>
        <v>C180</v>
      </c>
      <c r="G779" s="1" t="str">
        <f aca="false">DEC2HEX(C779*7)</f>
        <v>7</v>
      </c>
      <c r="H779" s="1" t="str">
        <f aca="false">IF(D779=0, 33, "cc")</f>
        <v>cc</v>
      </c>
    </row>
    <row r="780" customFormat="false" ht="18.65" hidden="false" customHeight="true" outlineLevel="0" collapsed="false">
      <c r="A780" s="1" t="n">
        <f aca="false">ROW()-2</f>
        <v>778</v>
      </c>
      <c r="B780" s="1" t="n">
        <f aca="false">INT(A780/$N$1)</f>
        <v>43</v>
      </c>
      <c r="C780" s="1" t="n">
        <f aca="false">INT(MOD(A780,$N$1) / 2)</f>
        <v>2</v>
      </c>
      <c r="D780" s="1" t="n">
        <f aca="false">_xlfn.BITAND(A780,1)</f>
        <v>0</v>
      </c>
      <c r="F780" s="1" t="str">
        <f aca="false">DEC2HEX(B780*$N$3*18)</f>
        <v>C180</v>
      </c>
      <c r="G780" s="1" t="str">
        <f aca="false">DEC2HEX(C780*7)</f>
        <v>E</v>
      </c>
      <c r="H780" s="1" t="n">
        <f aca="false">IF(D780=0, 33, "cc")</f>
        <v>33</v>
      </c>
    </row>
    <row r="781" customFormat="false" ht="18.65" hidden="false" customHeight="true" outlineLevel="0" collapsed="false">
      <c r="A781" s="1" t="n">
        <f aca="false">ROW()-2</f>
        <v>779</v>
      </c>
      <c r="B781" s="1" t="n">
        <f aca="false">INT(A781/$N$1)</f>
        <v>43</v>
      </c>
      <c r="C781" s="1" t="n">
        <f aca="false">INT(MOD(A781,$N$1) / 2)</f>
        <v>2</v>
      </c>
      <c r="D781" s="1" t="n">
        <f aca="false">_xlfn.BITAND(A781,1)</f>
        <v>1</v>
      </c>
      <c r="F781" s="1" t="str">
        <f aca="false">DEC2HEX(B781*$N$3*18)</f>
        <v>C180</v>
      </c>
      <c r="G781" s="1" t="str">
        <f aca="false">DEC2HEX(C781*7)</f>
        <v>E</v>
      </c>
      <c r="H781" s="1" t="str">
        <f aca="false">IF(D781=0, 33, "cc")</f>
        <v>cc</v>
      </c>
    </row>
    <row r="782" customFormat="false" ht="18.65" hidden="false" customHeight="true" outlineLevel="0" collapsed="false">
      <c r="A782" s="1" t="n">
        <f aca="false">ROW()-2</f>
        <v>780</v>
      </c>
      <c r="B782" s="1" t="n">
        <f aca="false">INT(A782/$N$1)</f>
        <v>43</v>
      </c>
      <c r="C782" s="1" t="n">
        <f aca="false">INT(MOD(A782,$N$1) / 2)</f>
        <v>3</v>
      </c>
      <c r="D782" s="1" t="n">
        <f aca="false">_xlfn.BITAND(A782,1)</f>
        <v>0</v>
      </c>
      <c r="F782" s="1" t="str">
        <f aca="false">DEC2HEX(B782*$N$3*18)</f>
        <v>C180</v>
      </c>
      <c r="G782" s="1" t="str">
        <f aca="false">DEC2HEX(C782*7)</f>
        <v>15</v>
      </c>
      <c r="H782" s="1" t="n">
        <f aca="false">IF(D782=0, 33, "cc")</f>
        <v>33</v>
      </c>
    </row>
    <row r="783" customFormat="false" ht="18.65" hidden="false" customHeight="true" outlineLevel="0" collapsed="false">
      <c r="A783" s="1" t="n">
        <f aca="false">ROW()-2</f>
        <v>781</v>
      </c>
      <c r="B783" s="1" t="n">
        <f aca="false">INT(A783/$N$1)</f>
        <v>43</v>
      </c>
      <c r="C783" s="1" t="n">
        <f aca="false">INT(MOD(A783,$N$1) / 2)</f>
        <v>3</v>
      </c>
      <c r="D783" s="1" t="n">
        <f aca="false">_xlfn.BITAND(A783,1)</f>
        <v>1</v>
      </c>
      <c r="F783" s="1" t="str">
        <f aca="false">DEC2HEX(B783*$N$3*18)</f>
        <v>C180</v>
      </c>
      <c r="G783" s="1" t="str">
        <f aca="false">DEC2HEX(C783*7)</f>
        <v>15</v>
      </c>
      <c r="H783" s="1" t="str">
        <f aca="false">IF(D783=0, 33, "cc")</f>
        <v>cc</v>
      </c>
    </row>
    <row r="784" customFormat="false" ht="18.65" hidden="false" customHeight="true" outlineLevel="0" collapsed="false">
      <c r="A784" s="1" t="n">
        <f aca="false">ROW()-2</f>
        <v>782</v>
      </c>
      <c r="B784" s="1" t="n">
        <f aca="false">INT(A784/$N$1)</f>
        <v>43</v>
      </c>
      <c r="C784" s="1" t="n">
        <f aca="false">INT(MOD(A784,$N$1) / 2)</f>
        <v>4</v>
      </c>
      <c r="D784" s="1" t="n">
        <f aca="false">_xlfn.BITAND(A784,1)</f>
        <v>0</v>
      </c>
      <c r="F784" s="1" t="str">
        <f aca="false">DEC2HEX(B784*$N$3*18)</f>
        <v>C180</v>
      </c>
      <c r="G784" s="1" t="str">
        <f aca="false">DEC2HEX(C784*7)</f>
        <v>1C</v>
      </c>
      <c r="H784" s="1" t="n">
        <f aca="false">IF(D784=0, 33, "cc")</f>
        <v>33</v>
      </c>
    </row>
    <row r="785" customFormat="false" ht="18.65" hidden="false" customHeight="true" outlineLevel="0" collapsed="false">
      <c r="A785" s="1" t="n">
        <f aca="false">ROW()-2</f>
        <v>783</v>
      </c>
      <c r="B785" s="1" t="n">
        <f aca="false">INT(A785/$N$1)</f>
        <v>43</v>
      </c>
      <c r="C785" s="1" t="n">
        <f aca="false">INT(MOD(A785,$N$1) / 2)</f>
        <v>4</v>
      </c>
      <c r="D785" s="1" t="n">
        <f aca="false">_xlfn.BITAND(A785,1)</f>
        <v>1</v>
      </c>
      <c r="F785" s="1" t="str">
        <f aca="false">DEC2HEX(B785*$N$3*18)</f>
        <v>C180</v>
      </c>
      <c r="G785" s="1" t="str">
        <f aca="false">DEC2HEX(C785*7)</f>
        <v>1C</v>
      </c>
      <c r="H785" s="1" t="str">
        <f aca="false">IF(D785=0, 33, "cc")</f>
        <v>cc</v>
      </c>
    </row>
    <row r="786" customFormat="false" ht="18.65" hidden="false" customHeight="true" outlineLevel="0" collapsed="false">
      <c r="A786" s="1" t="n">
        <f aca="false">ROW()-2</f>
        <v>784</v>
      </c>
      <c r="B786" s="1" t="n">
        <f aca="false">INT(A786/$N$1)</f>
        <v>43</v>
      </c>
      <c r="C786" s="1" t="n">
        <f aca="false">INT(MOD(A786,$N$1) / 2)</f>
        <v>5</v>
      </c>
      <c r="D786" s="1" t="n">
        <f aca="false">_xlfn.BITAND(A786,1)</f>
        <v>0</v>
      </c>
      <c r="F786" s="1" t="str">
        <f aca="false">DEC2HEX(B786*$N$3*18)</f>
        <v>C180</v>
      </c>
      <c r="G786" s="1" t="str">
        <f aca="false">DEC2HEX(C786*7)</f>
        <v>23</v>
      </c>
      <c r="H786" s="1" t="n">
        <f aca="false">IF(D786=0, 33, "cc")</f>
        <v>33</v>
      </c>
    </row>
    <row r="787" customFormat="false" ht="18.65" hidden="false" customHeight="true" outlineLevel="0" collapsed="false">
      <c r="A787" s="1" t="n">
        <f aca="false">ROW()-2</f>
        <v>785</v>
      </c>
      <c r="B787" s="1" t="n">
        <f aca="false">INT(A787/$N$1)</f>
        <v>43</v>
      </c>
      <c r="C787" s="1" t="n">
        <f aca="false">INT(MOD(A787,$N$1) / 2)</f>
        <v>5</v>
      </c>
      <c r="D787" s="1" t="n">
        <f aca="false">_xlfn.BITAND(A787,1)</f>
        <v>1</v>
      </c>
      <c r="F787" s="1" t="str">
        <f aca="false">DEC2HEX(B787*$N$3*18)</f>
        <v>C180</v>
      </c>
      <c r="G787" s="1" t="str">
        <f aca="false">DEC2HEX(C787*7)</f>
        <v>23</v>
      </c>
      <c r="H787" s="1" t="str">
        <f aca="false">IF(D787=0, 33, "cc")</f>
        <v>cc</v>
      </c>
    </row>
    <row r="788" customFormat="false" ht="18.65" hidden="false" customHeight="true" outlineLevel="0" collapsed="false">
      <c r="A788" s="1" t="n">
        <f aca="false">ROW()-2</f>
        <v>786</v>
      </c>
      <c r="B788" s="1" t="n">
        <f aca="false">INT(A788/$N$1)</f>
        <v>43</v>
      </c>
      <c r="C788" s="1" t="n">
        <f aca="false">INT(MOD(A788,$N$1) / 2)</f>
        <v>6</v>
      </c>
      <c r="D788" s="1" t="n">
        <f aca="false">_xlfn.BITAND(A788,1)</f>
        <v>0</v>
      </c>
      <c r="F788" s="1" t="str">
        <f aca="false">DEC2HEX(B788*$N$3*18)</f>
        <v>C180</v>
      </c>
      <c r="G788" s="1" t="str">
        <f aca="false">DEC2HEX(C788*7)</f>
        <v>2A</v>
      </c>
      <c r="H788" s="1" t="n">
        <f aca="false">IF(D788=0, 33, "cc")</f>
        <v>33</v>
      </c>
    </row>
    <row r="789" customFormat="false" ht="18.65" hidden="false" customHeight="true" outlineLevel="0" collapsed="false">
      <c r="A789" s="1" t="n">
        <f aca="false">ROW()-2</f>
        <v>787</v>
      </c>
      <c r="B789" s="1" t="n">
        <f aca="false">INT(A789/$N$1)</f>
        <v>43</v>
      </c>
      <c r="C789" s="1" t="n">
        <f aca="false">INT(MOD(A789,$N$1) / 2)</f>
        <v>6</v>
      </c>
      <c r="D789" s="1" t="n">
        <f aca="false">_xlfn.BITAND(A789,1)</f>
        <v>1</v>
      </c>
      <c r="F789" s="1" t="str">
        <f aca="false">DEC2HEX(B789*$N$3*18)</f>
        <v>C180</v>
      </c>
      <c r="G789" s="1" t="str">
        <f aca="false">DEC2HEX(C789*7)</f>
        <v>2A</v>
      </c>
      <c r="H789" s="1" t="str">
        <f aca="false">IF(D789=0, 33, "cc")</f>
        <v>cc</v>
      </c>
    </row>
    <row r="790" customFormat="false" ht="18.65" hidden="false" customHeight="true" outlineLevel="0" collapsed="false">
      <c r="A790" s="1" t="n">
        <f aca="false">ROW()-2</f>
        <v>788</v>
      </c>
      <c r="B790" s="1" t="n">
        <f aca="false">INT(A790/$N$1)</f>
        <v>43</v>
      </c>
      <c r="C790" s="1" t="n">
        <f aca="false">INT(MOD(A790,$N$1) / 2)</f>
        <v>7</v>
      </c>
      <c r="D790" s="1" t="n">
        <f aca="false">_xlfn.BITAND(A790,1)</f>
        <v>0</v>
      </c>
      <c r="F790" s="1" t="str">
        <f aca="false">DEC2HEX(B790*$N$3*18)</f>
        <v>C180</v>
      </c>
      <c r="G790" s="1" t="str">
        <f aca="false">DEC2HEX(C790*7)</f>
        <v>31</v>
      </c>
      <c r="H790" s="1" t="n">
        <f aca="false">IF(D790=0, 33, "cc")</f>
        <v>33</v>
      </c>
    </row>
    <row r="791" customFormat="false" ht="18.65" hidden="false" customHeight="true" outlineLevel="0" collapsed="false">
      <c r="A791" s="1" t="n">
        <f aca="false">ROW()-2</f>
        <v>789</v>
      </c>
      <c r="B791" s="1" t="n">
        <f aca="false">INT(A791/$N$1)</f>
        <v>43</v>
      </c>
      <c r="C791" s="1" t="n">
        <f aca="false">INT(MOD(A791,$N$1) / 2)</f>
        <v>7</v>
      </c>
      <c r="D791" s="1" t="n">
        <f aca="false">_xlfn.BITAND(A791,1)</f>
        <v>1</v>
      </c>
      <c r="F791" s="1" t="str">
        <f aca="false">DEC2HEX(B791*$N$3*18)</f>
        <v>C180</v>
      </c>
      <c r="G791" s="1" t="str">
        <f aca="false">DEC2HEX(C791*7)</f>
        <v>31</v>
      </c>
      <c r="H791" s="1" t="str">
        <f aca="false">IF(D791=0, 33, "cc")</f>
        <v>cc</v>
      </c>
    </row>
    <row r="792" customFormat="false" ht="18.65" hidden="false" customHeight="true" outlineLevel="0" collapsed="false">
      <c r="A792" s="1" t="n">
        <f aca="false">ROW()-2</f>
        <v>790</v>
      </c>
      <c r="B792" s="1" t="n">
        <f aca="false">INT(A792/$N$1)</f>
        <v>43</v>
      </c>
      <c r="C792" s="1" t="n">
        <f aca="false">INT(MOD(A792,$N$1) / 2)</f>
        <v>8</v>
      </c>
      <c r="D792" s="1" t="n">
        <f aca="false">_xlfn.BITAND(A792,1)</f>
        <v>0</v>
      </c>
      <c r="F792" s="1" t="str">
        <f aca="false">DEC2HEX(B792*$N$3*18)</f>
        <v>C180</v>
      </c>
      <c r="G792" s="1" t="str">
        <f aca="false">DEC2HEX(C792*7)</f>
        <v>38</v>
      </c>
      <c r="H792" s="1" t="n">
        <f aca="false">IF(D792=0, 33, "cc")</f>
        <v>33</v>
      </c>
    </row>
    <row r="793" customFormat="false" ht="18.65" hidden="false" customHeight="true" outlineLevel="0" collapsed="false">
      <c r="A793" s="1" t="n">
        <f aca="false">ROW()-2</f>
        <v>791</v>
      </c>
      <c r="B793" s="1" t="n">
        <f aca="false">INT(A793/$N$1)</f>
        <v>43</v>
      </c>
      <c r="C793" s="1" t="n">
        <f aca="false">INT(MOD(A793,$N$1) / 2)</f>
        <v>8</v>
      </c>
      <c r="D793" s="1" t="n">
        <f aca="false">_xlfn.BITAND(A793,1)</f>
        <v>1</v>
      </c>
      <c r="F793" s="1" t="str">
        <f aca="false">DEC2HEX(B793*$N$3*18)</f>
        <v>C180</v>
      </c>
      <c r="G793" s="1" t="str">
        <f aca="false">DEC2HEX(C793*7)</f>
        <v>38</v>
      </c>
      <c r="H793" s="1" t="str">
        <f aca="false">IF(D793=0, 33, "cc")</f>
        <v>cc</v>
      </c>
    </row>
    <row r="794" customFormat="false" ht="18.65" hidden="false" customHeight="true" outlineLevel="0" collapsed="false">
      <c r="A794" s="1" t="n">
        <f aca="false">ROW()-2</f>
        <v>792</v>
      </c>
      <c r="B794" s="1" t="n">
        <f aca="false">INT(A794/$N$1)</f>
        <v>44</v>
      </c>
      <c r="C794" s="1" t="n">
        <f aca="false">INT(MOD(A794,$N$1) / 2)</f>
        <v>0</v>
      </c>
      <c r="D794" s="1" t="n">
        <f aca="false">_xlfn.BITAND(A794,1)</f>
        <v>0</v>
      </c>
      <c r="F794" s="1" t="str">
        <f aca="false">DEC2HEX(B794*$N$3*18)</f>
        <v>C600</v>
      </c>
      <c r="G794" s="1" t="str">
        <f aca="false">DEC2HEX(C794*7)</f>
        <v>0</v>
      </c>
      <c r="H794" s="1" t="n">
        <f aca="false">IF(D794=0, 33, "cc")</f>
        <v>33</v>
      </c>
    </row>
    <row r="795" customFormat="false" ht="18.65" hidden="false" customHeight="true" outlineLevel="0" collapsed="false">
      <c r="A795" s="1" t="n">
        <f aca="false">ROW()-2</f>
        <v>793</v>
      </c>
      <c r="B795" s="1" t="n">
        <f aca="false">INT(A795/$N$1)</f>
        <v>44</v>
      </c>
      <c r="C795" s="1" t="n">
        <f aca="false">INT(MOD(A795,$N$1) / 2)</f>
        <v>0</v>
      </c>
      <c r="D795" s="1" t="n">
        <f aca="false">_xlfn.BITAND(A795,1)</f>
        <v>1</v>
      </c>
      <c r="F795" s="1" t="str">
        <f aca="false">DEC2HEX(B795*$N$3*18)</f>
        <v>C600</v>
      </c>
      <c r="G795" s="1" t="str">
        <f aca="false">DEC2HEX(C795*7)</f>
        <v>0</v>
      </c>
      <c r="H795" s="1" t="str">
        <f aca="false">IF(D795=0, 33, "cc")</f>
        <v>cc</v>
      </c>
    </row>
    <row r="796" customFormat="false" ht="18.65" hidden="false" customHeight="true" outlineLevel="0" collapsed="false">
      <c r="A796" s="1" t="n">
        <f aca="false">ROW()-2</f>
        <v>794</v>
      </c>
      <c r="B796" s="1" t="n">
        <f aca="false">INT(A796/$N$1)</f>
        <v>44</v>
      </c>
      <c r="C796" s="1" t="n">
        <f aca="false">INT(MOD(A796,$N$1) / 2)</f>
        <v>1</v>
      </c>
      <c r="D796" s="1" t="n">
        <f aca="false">_xlfn.BITAND(A796,1)</f>
        <v>0</v>
      </c>
      <c r="F796" s="1" t="str">
        <f aca="false">DEC2HEX(B796*$N$3*18)</f>
        <v>C600</v>
      </c>
      <c r="G796" s="1" t="str">
        <f aca="false">DEC2HEX(C796*7)</f>
        <v>7</v>
      </c>
      <c r="H796" s="1" t="n">
        <f aca="false">IF(D796=0, 33, "cc")</f>
        <v>33</v>
      </c>
    </row>
    <row r="797" customFormat="false" ht="18.65" hidden="false" customHeight="true" outlineLevel="0" collapsed="false">
      <c r="A797" s="1" t="n">
        <f aca="false">ROW()-2</f>
        <v>795</v>
      </c>
      <c r="B797" s="1" t="n">
        <f aca="false">INT(A797/$N$1)</f>
        <v>44</v>
      </c>
      <c r="C797" s="1" t="n">
        <f aca="false">INT(MOD(A797,$N$1) / 2)</f>
        <v>1</v>
      </c>
      <c r="D797" s="1" t="n">
        <f aca="false">_xlfn.BITAND(A797,1)</f>
        <v>1</v>
      </c>
      <c r="F797" s="1" t="str">
        <f aca="false">DEC2HEX(B797*$N$3*18)</f>
        <v>C600</v>
      </c>
      <c r="G797" s="1" t="str">
        <f aca="false">DEC2HEX(C797*7)</f>
        <v>7</v>
      </c>
      <c r="H797" s="1" t="str">
        <f aca="false">IF(D797=0, 33, "cc")</f>
        <v>cc</v>
      </c>
    </row>
    <row r="798" customFormat="false" ht="18.65" hidden="false" customHeight="true" outlineLevel="0" collapsed="false">
      <c r="A798" s="1" t="n">
        <f aca="false">ROW()-2</f>
        <v>796</v>
      </c>
      <c r="B798" s="1" t="n">
        <f aca="false">INT(A798/$N$1)</f>
        <v>44</v>
      </c>
      <c r="C798" s="1" t="n">
        <f aca="false">INT(MOD(A798,$N$1) / 2)</f>
        <v>2</v>
      </c>
      <c r="D798" s="1" t="n">
        <f aca="false">_xlfn.BITAND(A798,1)</f>
        <v>0</v>
      </c>
      <c r="F798" s="1" t="str">
        <f aca="false">DEC2HEX(B798*$N$3*18)</f>
        <v>C600</v>
      </c>
      <c r="G798" s="1" t="str">
        <f aca="false">DEC2HEX(C798*7)</f>
        <v>E</v>
      </c>
      <c r="H798" s="1" t="n">
        <f aca="false">IF(D798=0, 33, "cc")</f>
        <v>33</v>
      </c>
    </row>
    <row r="799" customFormat="false" ht="18.65" hidden="false" customHeight="true" outlineLevel="0" collapsed="false">
      <c r="A799" s="1" t="n">
        <f aca="false">ROW()-2</f>
        <v>797</v>
      </c>
      <c r="B799" s="1" t="n">
        <f aca="false">INT(A799/$N$1)</f>
        <v>44</v>
      </c>
      <c r="C799" s="1" t="n">
        <f aca="false">INT(MOD(A799,$N$1) / 2)</f>
        <v>2</v>
      </c>
      <c r="D799" s="1" t="n">
        <f aca="false">_xlfn.BITAND(A799,1)</f>
        <v>1</v>
      </c>
      <c r="F799" s="1" t="str">
        <f aca="false">DEC2HEX(B799*$N$3*18)</f>
        <v>C600</v>
      </c>
      <c r="G799" s="1" t="str">
        <f aca="false">DEC2HEX(C799*7)</f>
        <v>E</v>
      </c>
      <c r="H799" s="1" t="str">
        <f aca="false">IF(D799=0, 33, "cc")</f>
        <v>cc</v>
      </c>
    </row>
    <row r="800" customFormat="false" ht="18.65" hidden="false" customHeight="true" outlineLevel="0" collapsed="false">
      <c r="A800" s="1" t="n">
        <f aca="false">ROW()-2</f>
        <v>798</v>
      </c>
      <c r="B800" s="1" t="n">
        <f aca="false">INT(A800/$N$1)</f>
        <v>44</v>
      </c>
      <c r="C800" s="1" t="n">
        <f aca="false">INT(MOD(A800,$N$1) / 2)</f>
        <v>3</v>
      </c>
      <c r="D800" s="1" t="n">
        <f aca="false">_xlfn.BITAND(A800,1)</f>
        <v>0</v>
      </c>
      <c r="F800" s="1" t="str">
        <f aca="false">DEC2HEX(B800*$N$3*18)</f>
        <v>C600</v>
      </c>
      <c r="G800" s="1" t="str">
        <f aca="false">DEC2HEX(C800*7)</f>
        <v>15</v>
      </c>
      <c r="H800" s="1" t="n">
        <f aca="false">IF(D800=0, 33, "cc")</f>
        <v>33</v>
      </c>
    </row>
    <row r="801" customFormat="false" ht="18.65" hidden="false" customHeight="true" outlineLevel="0" collapsed="false">
      <c r="A801" s="1" t="n">
        <f aca="false">ROW()-2</f>
        <v>799</v>
      </c>
      <c r="B801" s="1" t="n">
        <f aca="false">INT(A801/$N$1)</f>
        <v>44</v>
      </c>
      <c r="C801" s="1" t="n">
        <f aca="false">INT(MOD(A801,$N$1) / 2)</f>
        <v>3</v>
      </c>
      <c r="D801" s="1" t="n">
        <f aca="false">_xlfn.BITAND(A801,1)</f>
        <v>1</v>
      </c>
      <c r="F801" s="1" t="str">
        <f aca="false">DEC2HEX(B801*$N$3*18)</f>
        <v>C600</v>
      </c>
      <c r="G801" s="1" t="str">
        <f aca="false">DEC2HEX(C801*7)</f>
        <v>15</v>
      </c>
      <c r="H801" s="1" t="str">
        <f aca="false">IF(D801=0, 33, "cc")</f>
        <v>cc</v>
      </c>
    </row>
    <row r="802" customFormat="false" ht="18.65" hidden="false" customHeight="true" outlineLevel="0" collapsed="false">
      <c r="A802" s="1" t="n">
        <f aca="false">ROW()-2</f>
        <v>800</v>
      </c>
      <c r="B802" s="1" t="n">
        <f aca="false">INT(A802/$N$1)</f>
        <v>44</v>
      </c>
      <c r="C802" s="1" t="n">
        <f aca="false">INT(MOD(A802,$N$1) / 2)</f>
        <v>4</v>
      </c>
      <c r="D802" s="1" t="n">
        <f aca="false">_xlfn.BITAND(A802,1)</f>
        <v>0</v>
      </c>
      <c r="F802" s="1" t="str">
        <f aca="false">DEC2HEX(B802*$N$3*18)</f>
        <v>C600</v>
      </c>
      <c r="G802" s="1" t="str">
        <f aca="false">DEC2HEX(C802*7)</f>
        <v>1C</v>
      </c>
      <c r="H802" s="1" t="n">
        <f aca="false">IF(D802=0, 33, "cc")</f>
        <v>33</v>
      </c>
    </row>
    <row r="803" customFormat="false" ht="18.65" hidden="false" customHeight="true" outlineLevel="0" collapsed="false">
      <c r="A803" s="1" t="n">
        <f aca="false">ROW()-2</f>
        <v>801</v>
      </c>
      <c r="B803" s="1" t="n">
        <f aca="false">INT(A803/$N$1)</f>
        <v>44</v>
      </c>
      <c r="C803" s="1" t="n">
        <f aca="false">INT(MOD(A803,$N$1) / 2)</f>
        <v>4</v>
      </c>
      <c r="D803" s="1" t="n">
        <f aca="false">_xlfn.BITAND(A803,1)</f>
        <v>1</v>
      </c>
      <c r="F803" s="1" t="str">
        <f aca="false">DEC2HEX(B803*$N$3*18)</f>
        <v>C600</v>
      </c>
      <c r="G803" s="1" t="str">
        <f aca="false">DEC2HEX(C803*7)</f>
        <v>1C</v>
      </c>
      <c r="H803" s="1" t="str">
        <f aca="false">IF(D803=0, 33, "cc")</f>
        <v>cc</v>
      </c>
    </row>
    <row r="804" customFormat="false" ht="18.65" hidden="false" customHeight="true" outlineLevel="0" collapsed="false">
      <c r="A804" s="1" t="n">
        <f aca="false">ROW()-2</f>
        <v>802</v>
      </c>
      <c r="B804" s="1" t="n">
        <f aca="false">INT(A804/$N$1)</f>
        <v>44</v>
      </c>
      <c r="C804" s="1" t="n">
        <f aca="false">INT(MOD(A804,$N$1) / 2)</f>
        <v>5</v>
      </c>
      <c r="D804" s="1" t="n">
        <f aca="false">_xlfn.BITAND(A804,1)</f>
        <v>0</v>
      </c>
      <c r="F804" s="1" t="str">
        <f aca="false">DEC2HEX(B804*$N$3*18)</f>
        <v>C600</v>
      </c>
      <c r="G804" s="1" t="str">
        <f aca="false">DEC2HEX(C804*7)</f>
        <v>23</v>
      </c>
      <c r="H804" s="1" t="n">
        <f aca="false">IF(D804=0, 33, "cc")</f>
        <v>33</v>
      </c>
    </row>
    <row r="805" customFormat="false" ht="18.65" hidden="false" customHeight="true" outlineLevel="0" collapsed="false">
      <c r="A805" s="1" t="n">
        <f aca="false">ROW()-2</f>
        <v>803</v>
      </c>
      <c r="B805" s="1" t="n">
        <f aca="false">INT(A805/$N$1)</f>
        <v>44</v>
      </c>
      <c r="C805" s="1" t="n">
        <f aca="false">INT(MOD(A805,$N$1) / 2)</f>
        <v>5</v>
      </c>
      <c r="D805" s="1" t="n">
        <f aca="false">_xlfn.BITAND(A805,1)</f>
        <v>1</v>
      </c>
      <c r="F805" s="1" t="str">
        <f aca="false">DEC2HEX(B805*$N$3*18)</f>
        <v>C600</v>
      </c>
      <c r="G805" s="1" t="str">
        <f aca="false">DEC2HEX(C805*7)</f>
        <v>23</v>
      </c>
      <c r="H805" s="1" t="str">
        <f aca="false">IF(D805=0, 33, "cc")</f>
        <v>cc</v>
      </c>
    </row>
    <row r="806" customFormat="false" ht="18.65" hidden="false" customHeight="true" outlineLevel="0" collapsed="false">
      <c r="A806" s="1" t="n">
        <f aca="false">ROW()-2</f>
        <v>804</v>
      </c>
      <c r="B806" s="1" t="n">
        <f aca="false">INT(A806/$N$1)</f>
        <v>44</v>
      </c>
      <c r="C806" s="1" t="n">
        <f aca="false">INT(MOD(A806,$N$1) / 2)</f>
        <v>6</v>
      </c>
      <c r="D806" s="1" t="n">
        <f aca="false">_xlfn.BITAND(A806,1)</f>
        <v>0</v>
      </c>
      <c r="F806" s="1" t="str">
        <f aca="false">DEC2HEX(B806*$N$3*18)</f>
        <v>C600</v>
      </c>
      <c r="G806" s="1" t="str">
        <f aca="false">DEC2HEX(C806*7)</f>
        <v>2A</v>
      </c>
      <c r="H806" s="1" t="n">
        <f aca="false">IF(D806=0, 33, "cc")</f>
        <v>33</v>
      </c>
    </row>
    <row r="807" customFormat="false" ht="18.65" hidden="false" customHeight="true" outlineLevel="0" collapsed="false">
      <c r="A807" s="1" t="n">
        <f aca="false">ROW()-2</f>
        <v>805</v>
      </c>
      <c r="B807" s="1" t="n">
        <f aca="false">INT(A807/$N$1)</f>
        <v>44</v>
      </c>
      <c r="C807" s="1" t="n">
        <f aca="false">INT(MOD(A807,$N$1) / 2)</f>
        <v>6</v>
      </c>
      <c r="D807" s="1" t="n">
        <f aca="false">_xlfn.BITAND(A807,1)</f>
        <v>1</v>
      </c>
      <c r="F807" s="1" t="str">
        <f aca="false">DEC2HEX(B807*$N$3*18)</f>
        <v>C600</v>
      </c>
      <c r="G807" s="1" t="str">
        <f aca="false">DEC2HEX(C807*7)</f>
        <v>2A</v>
      </c>
      <c r="H807" s="1" t="str">
        <f aca="false">IF(D807=0, 33, "cc")</f>
        <v>cc</v>
      </c>
    </row>
    <row r="808" customFormat="false" ht="18.65" hidden="false" customHeight="true" outlineLevel="0" collapsed="false">
      <c r="A808" s="1" t="n">
        <f aca="false">ROW()-2</f>
        <v>806</v>
      </c>
      <c r="B808" s="1" t="n">
        <f aca="false">INT(A808/$N$1)</f>
        <v>44</v>
      </c>
      <c r="C808" s="1" t="n">
        <f aca="false">INT(MOD(A808,$N$1) / 2)</f>
        <v>7</v>
      </c>
      <c r="D808" s="1" t="n">
        <f aca="false">_xlfn.BITAND(A808,1)</f>
        <v>0</v>
      </c>
      <c r="F808" s="1" t="str">
        <f aca="false">DEC2HEX(B808*$N$3*18)</f>
        <v>C600</v>
      </c>
      <c r="G808" s="1" t="str">
        <f aca="false">DEC2HEX(C808*7)</f>
        <v>31</v>
      </c>
      <c r="H808" s="1" t="n">
        <f aca="false">IF(D808=0, 33, "cc")</f>
        <v>33</v>
      </c>
    </row>
    <row r="809" customFormat="false" ht="18.65" hidden="false" customHeight="true" outlineLevel="0" collapsed="false">
      <c r="A809" s="1" t="n">
        <f aca="false">ROW()-2</f>
        <v>807</v>
      </c>
      <c r="B809" s="1" t="n">
        <f aca="false">INT(A809/$N$1)</f>
        <v>44</v>
      </c>
      <c r="C809" s="1" t="n">
        <f aca="false">INT(MOD(A809,$N$1) / 2)</f>
        <v>7</v>
      </c>
      <c r="D809" s="1" t="n">
        <f aca="false">_xlfn.BITAND(A809,1)</f>
        <v>1</v>
      </c>
      <c r="F809" s="1" t="str">
        <f aca="false">DEC2HEX(B809*$N$3*18)</f>
        <v>C600</v>
      </c>
      <c r="G809" s="1" t="str">
        <f aca="false">DEC2HEX(C809*7)</f>
        <v>31</v>
      </c>
      <c r="H809" s="1" t="str">
        <f aca="false">IF(D809=0, 33, "cc")</f>
        <v>cc</v>
      </c>
    </row>
    <row r="810" customFormat="false" ht="18.65" hidden="false" customHeight="true" outlineLevel="0" collapsed="false">
      <c r="A810" s="1" t="n">
        <f aca="false">ROW()-2</f>
        <v>808</v>
      </c>
      <c r="B810" s="1" t="n">
        <f aca="false">INT(A810/$N$1)</f>
        <v>44</v>
      </c>
      <c r="C810" s="1" t="n">
        <f aca="false">INT(MOD(A810,$N$1) / 2)</f>
        <v>8</v>
      </c>
      <c r="D810" s="1" t="n">
        <f aca="false">_xlfn.BITAND(A810,1)</f>
        <v>0</v>
      </c>
      <c r="F810" s="1" t="str">
        <f aca="false">DEC2HEX(B810*$N$3*18)</f>
        <v>C600</v>
      </c>
      <c r="G810" s="1" t="str">
        <f aca="false">DEC2HEX(C810*7)</f>
        <v>38</v>
      </c>
      <c r="H810" s="1" t="n">
        <f aca="false">IF(D810=0, 33, "cc")</f>
        <v>33</v>
      </c>
    </row>
    <row r="811" customFormat="false" ht="18.65" hidden="false" customHeight="true" outlineLevel="0" collapsed="false">
      <c r="A811" s="1" t="n">
        <f aca="false">ROW()-2</f>
        <v>809</v>
      </c>
      <c r="B811" s="1" t="n">
        <f aca="false">INT(A811/$N$1)</f>
        <v>44</v>
      </c>
      <c r="C811" s="1" t="n">
        <f aca="false">INT(MOD(A811,$N$1) / 2)</f>
        <v>8</v>
      </c>
      <c r="D811" s="1" t="n">
        <f aca="false">_xlfn.BITAND(A811,1)</f>
        <v>1</v>
      </c>
      <c r="F811" s="1" t="str">
        <f aca="false">DEC2HEX(B811*$N$3*18)</f>
        <v>C600</v>
      </c>
      <c r="G811" s="1" t="str">
        <f aca="false">DEC2HEX(C811*7)</f>
        <v>38</v>
      </c>
      <c r="H811" s="1" t="str">
        <f aca="false">IF(D811=0, 33, "cc")</f>
        <v>cc</v>
      </c>
    </row>
    <row r="812" customFormat="false" ht="18.65" hidden="false" customHeight="true" outlineLevel="0" collapsed="false">
      <c r="A812" s="1" t="n">
        <f aca="false">ROW()-2</f>
        <v>810</v>
      </c>
      <c r="B812" s="1" t="n">
        <f aca="false">INT(A812/$N$1)</f>
        <v>45</v>
      </c>
      <c r="C812" s="1" t="n">
        <f aca="false">INT(MOD(A812,$N$1) / 2)</f>
        <v>0</v>
      </c>
      <c r="D812" s="1" t="n">
        <f aca="false">_xlfn.BITAND(A812,1)</f>
        <v>0</v>
      </c>
      <c r="F812" s="1" t="str">
        <f aca="false">DEC2HEX(B812*$N$3*18)</f>
        <v>CA80</v>
      </c>
      <c r="G812" s="1" t="str">
        <f aca="false">DEC2HEX(C812*7)</f>
        <v>0</v>
      </c>
      <c r="H812" s="1" t="n">
        <f aca="false">IF(D812=0, 33, "cc")</f>
        <v>33</v>
      </c>
    </row>
    <row r="813" customFormat="false" ht="18.65" hidden="false" customHeight="true" outlineLevel="0" collapsed="false">
      <c r="A813" s="1" t="n">
        <f aca="false">ROW()-2</f>
        <v>811</v>
      </c>
      <c r="B813" s="1" t="n">
        <f aca="false">INT(A813/$N$1)</f>
        <v>45</v>
      </c>
      <c r="C813" s="1" t="n">
        <f aca="false">INT(MOD(A813,$N$1) / 2)</f>
        <v>0</v>
      </c>
      <c r="D813" s="1" t="n">
        <f aca="false">_xlfn.BITAND(A813,1)</f>
        <v>1</v>
      </c>
      <c r="F813" s="1" t="str">
        <f aca="false">DEC2HEX(B813*$N$3*18)</f>
        <v>CA80</v>
      </c>
      <c r="G813" s="1" t="str">
        <f aca="false">DEC2HEX(C813*7)</f>
        <v>0</v>
      </c>
      <c r="H813" s="1" t="str">
        <f aca="false">IF(D813=0, 33, "cc")</f>
        <v>cc</v>
      </c>
    </row>
    <row r="814" customFormat="false" ht="18.65" hidden="false" customHeight="true" outlineLevel="0" collapsed="false">
      <c r="A814" s="1" t="n">
        <f aca="false">ROW()-2</f>
        <v>812</v>
      </c>
      <c r="B814" s="1" t="n">
        <f aca="false">INT(A814/$N$1)</f>
        <v>45</v>
      </c>
      <c r="C814" s="1" t="n">
        <f aca="false">INT(MOD(A814,$N$1) / 2)</f>
        <v>1</v>
      </c>
      <c r="D814" s="1" t="n">
        <f aca="false">_xlfn.BITAND(A814,1)</f>
        <v>0</v>
      </c>
      <c r="F814" s="1" t="str">
        <f aca="false">DEC2HEX(B814*$N$3*18)</f>
        <v>CA80</v>
      </c>
      <c r="G814" s="1" t="str">
        <f aca="false">DEC2HEX(C814*7)</f>
        <v>7</v>
      </c>
      <c r="H814" s="1" t="n">
        <f aca="false">IF(D814=0, 33, "cc")</f>
        <v>33</v>
      </c>
    </row>
    <row r="815" customFormat="false" ht="18.65" hidden="false" customHeight="true" outlineLevel="0" collapsed="false">
      <c r="A815" s="1" t="n">
        <f aca="false">ROW()-2</f>
        <v>813</v>
      </c>
      <c r="B815" s="1" t="n">
        <f aca="false">INT(A815/$N$1)</f>
        <v>45</v>
      </c>
      <c r="C815" s="1" t="n">
        <f aca="false">INT(MOD(A815,$N$1) / 2)</f>
        <v>1</v>
      </c>
      <c r="D815" s="1" t="n">
        <f aca="false">_xlfn.BITAND(A815,1)</f>
        <v>1</v>
      </c>
      <c r="F815" s="1" t="str">
        <f aca="false">DEC2HEX(B815*$N$3*18)</f>
        <v>CA80</v>
      </c>
      <c r="G815" s="1" t="str">
        <f aca="false">DEC2HEX(C815*7)</f>
        <v>7</v>
      </c>
      <c r="H815" s="1" t="str">
        <f aca="false">IF(D815=0, 33, "cc")</f>
        <v>cc</v>
      </c>
    </row>
    <row r="816" customFormat="false" ht="18.65" hidden="false" customHeight="true" outlineLevel="0" collapsed="false">
      <c r="A816" s="1" t="n">
        <f aca="false">ROW()-2</f>
        <v>814</v>
      </c>
      <c r="B816" s="1" t="n">
        <f aca="false">INT(A816/$N$1)</f>
        <v>45</v>
      </c>
      <c r="C816" s="1" t="n">
        <f aca="false">INT(MOD(A816,$N$1) / 2)</f>
        <v>2</v>
      </c>
      <c r="D816" s="1" t="n">
        <f aca="false">_xlfn.BITAND(A816,1)</f>
        <v>0</v>
      </c>
      <c r="F816" s="1" t="str">
        <f aca="false">DEC2HEX(B816*$N$3*18)</f>
        <v>CA80</v>
      </c>
      <c r="G816" s="1" t="str">
        <f aca="false">DEC2HEX(C816*7)</f>
        <v>E</v>
      </c>
      <c r="H816" s="1" t="n">
        <f aca="false">IF(D816=0, 33, "cc")</f>
        <v>33</v>
      </c>
    </row>
    <row r="817" customFormat="false" ht="18.65" hidden="false" customHeight="true" outlineLevel="0" collapsed="false">
      <c r="A817" s="1" t="n">
        <f aca="false">ROW()-2</f>
        <v>815</v>
      </c>
      <c r="B817" s="1" t="n">
        <f aca="false">INT(A817/$N$1)</f>
        <v>45</v>
      </c>
      <c r="C817" s="1" t="n">
        <f aca="false">INT(MOD(A817,$N$1) / 2)</f>
        <v>2</v>
      </c>
      <c r="D817" s="1" t="n">
        <f aca="false">_xlfn.BITAND(A817,1)</f>
        <v>1</v>
      </c>
      <c r="F817" s="1" t="str">
        <f aca="false">DEC2HEX(B817*$N$3*18)</f>
        <v>CA80</v>
      </c>
      <c r="G817" s="1" t="str">
        <f aca="false">DEC2HEX(C817*7)</f>
        <v>E</v>
      </c>
      <c r="H817" s="1" t="str">
        <f aca="false">IF(D817=0, 33, "cc")</f>
        <v>cc</v>
      </c>
    </row>
    <row r="818" customFormat="false" ht="18.65" hidden="false" customHeight="true" outlineLevel="0" collapsed="false">
      <c r="A818" s="1" t="n">
        <f aca="false">ROW()-2</f>
        <v>816</v>
      </c>
      <c r="B818" s="1" t="n">
        <f aca="false">INT(A818/$N$1)</f>
        <v>45</v>
      </c>
      <c r="C818" s="1" t="n">
        <f aca="false">INT(MOD(A818,$N$1) / 2)</f>
        <v>3</v>
      </c>
      <c r="D818" s="1" t="n">
        <f aca="false">_xlfn.BITAND(A818,1)</f>
        <v>0</v>
      </c>
      <c r="F818" s="1" t="str">
        <f aca="false">DEC2HEX(B818*$N$3*18)</f>
        <v>CA80</v>
      </c>
      <c r="G818" s="1" t="str">
        <f aca="false">DEC2HEX(C818*7)</f>
        <v>15</v>
      </c>
      <c r="H818" s="1" t="n">
        <f aca="false">IF(D818=0, 33, "cc")</f>
        <v>33</v>
      </c>
    </row>
    <row r="819" customFormat="false" ht="18.65" hidden="false" customHeight="true" outlineLevel="0" collapsed="false">
      <c r="A819" s="1" t="n">
        <f aca="false">ROW()-2</f>
        <v>817</v>
      </c>
      <c r="B819" s="1" t="n">
        <f aca="false">INT(A819/$N$1)</f>
        <v>45</v>
      </c>
      <c r="C819" s="1" t="n">
        <f aca="false">INT(MOD(A819,$N$1) / 2)</f>
        <v>3</v>
      </c>
      <c r="D819" s="1" t="n">
        <f aca="false">_xlfn.BITAND(A819,1)</f>
        <v>1</v>
      </c>
      <c r="F819" s="1" t="str">
        <f aca="false">DEC2HEX(B819*$N$3*18)</f>
        <v>CA80</v>
      </c>
      <c r="G819" s="1" t="str">
        <f aca="false">DEC2HEX(C819*7)</f>
        <v>15</v>
      </c>
      <c r="H819" s="1" t="str">
        <f aca="false">IF(D819=0, 33, "cc")</f>
        <v>cc</v>
      </c>
    </row>
    <row r="820" customFormat="false" ht="18.65" hidden="false" customHeight="true" outlineLevel="0" collapsed="false">
      <c r="A820" s="1" t="n">
        <f aca="false">ROW()-2</f>
        <v>818</v>
      </c>
      <c r="B820" s="1" t="n">
        <f aca="false">INT(A820/$N$1)</f>
        <v>45</v>
      </c>
      <c r="C820" s="1" t="n">
        <f aca="false">INT(MOD(A820,$N$1) / 2)</f>
        <v>4</v>
      </c>
      <c r="D820" s="1" t="n">
        <f aca="false">_xlfn.BITAND(A820,1)</f>
        <v>0</v>
      </c>
      <c r="F820" s="1" t="str">
        <f aca="false">DEC2HEX(B820*$N$3*18)</f>
        <v>CA80</v>
      </c>
      <c r="G820" s="1" t="str">
        <f aca="false">DEC2HEX(C820*7)</f>
        <v>1C</v>
      </c>
      <c r="H820" s="1" t="n">
        <f aca="false">IF(D820=0, 33, "cc")</f>
        <v>33</v>
      </c>
    </row>
    <row r="821" customFormat="false" ht="18.65" hidden="false" customHeight="true" outlineLevel="0" collapsed="false">
      <c r="A821" s="1" t="n">
        <f aca="false">ROW()-2</f>
        <v>819</v>
      </c>
      <c r="B821" s="1" t="n">
        <f aca="false">INT(A821/$N$1)</f>
        <v>45</v>
      </c>
      <c r="C821" s="1" t="n">
        <f aca="false">INT(MOD(A821,$N$1) / 2)</f>
        <v>4</v>
      </c>
      <c r="D821" s="1" t="n">
        <f aca="false">_xlfn.BITAND(A821,1)</f>
        <v>1</v>
      </c>
      <c r="F821" s="1" t="str">
        <f aca="false">DEC2HEX(B821*$N$3*18)</f>
        <v>CA80</v>
      </c>
      <c r="G821" s="1" t="str">
        <f aca="false">DEC2HEX(C821*7)</f>
        <v>1C</v>
      </c>
      <c r="H821" s="1" t="str">
        <f aca="false">IF(D821=0, 33, "cc")</f>
        <v>cc</v>
      </c>
    </row>
    <row r="822" customFormat="false" ht="18.65" hidden="false" customHeight="true" outlineLevel="0" collapsed="false">
      <c r="A822" s="1" t="n">
        <f aca="false">ROW()-2</f>
        <v>820</v>
      </c>
      <c r="B822" s="1" t="n">
        <f aca="false">INT(A822/$N$1)</f>
        <v>45</v>
      </c>
      <c r="C822" s="1" t="n">
        <f aca="false">INT(MOD(A822,$N$1) / 2)</f>
        <v>5</v>
      </c>
      <c r="D822" s="1" t="n">
        <f aca="false">_xlfn.BITAND(A822,1)</f>
        <v>0</v>
      </c>
      <c r="F822" s="1" t="str">
        <f aca="false">DEC2HEX(B822*$N$3*18)</f>
        <v>CA80</v>
      </c>
      <c r="G822" s="1" t="str">
        <f aca="false">DEC2HEX(C822*7)</f>
        <v>23</v>
      </c>
      <c r="H822" s="1" t="n">
        <f aca="false">IF(D822=0, 33, "cc")</f>
        <v>33</v>
      </c>
    </row>
    <row r="823" customFormat="false" ht="18.65" hidden="false" customHeight="true" outlineLevel="0" collapsed="false">
      <c r="A823" s="1" t="n">
        <f aca="false">ROW()-2</f>
        <v>821</v>
      </c>
      <c r="B823" s="1" t="n">
        <f aca="false">INT(A823/$N$1)</f>
        <v>45</v>
      </c>
      <c r="C823" s="1" t="n">
        <f aca="false">INT(MOD(A823,$N$1) / 2)</f>
        <v>5</v>
      </c>
      <c r="D823" s="1" t="n">
        <f aca="false">_xlfn.BITAND(A823,1)</f>
        <v>1</v>
      </c>
      <c r="F823" s="1" t="str">
        <f aca="false">DEC2HEX(B823*$N$3*18)</f>
        <v>CA80</v>
      </c>
      <c r="G823" s="1" t="str">
        <f aca="false">DEC2HEX(C823*7)</f>
        <v>23</v>
      </c>
      <c r="H823" s="1" t="str">
        <f aca="false">IF(D823=0, 33, "cc")</f>
        <v>cc</v>
      </c>
    </row>
    <row r="824" customFormat="false" ht="18.65" hidden="false" customHeight="true" outlineLevel="0" collapsed="false">
      <c r="A824" s="1" t="n">
        <f aca="false">ROW()-2</f>
        <v>822</v>
      </c>
      <c r="B824" s="1" t="n">
        <f aca="false">INT(A824/$N$1)</f>
        <v>45</v>
      </c>
      <c r="C824" s="1" t="n">
        <f aca="false">INT(MOD(A824,$N$1) / 2)</f>
        <v>6</v>
      </c>
      <c r="D824" s="1" t="n">
        <f aca="false">_xlfn.BITAND(A824,1)</f>
        <v>0</v>
      </c>
      <c r="F824" s="1" t="str">
        <f aca="false">DEC2HEX(B824*$N$3*18)</f>
        <v>CA80</v>
      </c>
      <c r="G824" s="1" t="str">
        <f aca="false">DEC2HEX(C824*7)</f>
        <v>2A</v>
      </c>
      <c r="H824" s="1" t="n">
        <f aca="false">IF(D824=0, 33, "cc")</f>
        <v>33</v>
      </c>
    </row>
    <row r="825" customFormat="false" ht="18.65" hidden="false" customHeight="true" outlineLevel="0" collapsed="false">
      <c r="A825" s="1" t="n">
        <f aca="false">ROW()-2</f>
        <v>823</v>
      </c>
      <c r="B825" s="1" t="n">
        <f aca="false">INT(A825/$N$1)</f>
        <v>45</v>
      </c>
      <c r="C825" s="1" t="n">
        <f aca="false">INT(MOD(A825,$N$1) / 2)</f>
        <v>6</v>
      </c>
      <c r="D825" s="1" t="n">
        <f aca="false">_xlfn.BITAND(A825,1)</f>
        <v>1</v>
      </c>
      <c r="F825" s="1" t="str">
        <f aca="false">DEC2HEX(B825*$N$3*18)</f>
        <v>CA80</v>
      </c>
      <c r="G825" s="1" t="str">
        <f aca="false">DEC2HEX(C825*7)</f>
        <v>2A</v>
      </c>
      <c r="H825" s="1" t="str">
        <f aca="false">IF(D825=0, 33, "cc")</f>
        <v>cc</v>
      </c>
    </row>
    <row r="826" customFormat="false" ht="18.65" hidden="false" customHeight="true" outlineLevel="0" collapsed="false">
      <c r="A826" s="1" t="n">
        <f aca="false">ROW()-2</f>
        <v>824</v>
      </c>
      <c r="B826" s="1" t="n">
        <f aca="false">INT(A826/$N$1)</f>
        <v>45</v>
      </c>
      <c r="C826" s="1" t="n">
        <f aca="false">INT(MOD(A826,$N$1) / 2)</f>
        <v>7</v>
      </c>
      <c r="D826" s="1" t="n">
        <f aca="false">_xlfn.BITAND(A826,1)</f>
        <v>0</v>
      </c>
      <c r="F826" s="1" t="str">
        <f aca="false">DEC2HEX(B826*$N$3*18)</f>
        <v>CA80</v>
      </c>
      <c r="G826" s="1" t="str">
        <f aca="false">DEC2HEX(C826*7)</f>
        <v>31</v>
      </c>
      <c r="H826" s="1" t="n">
        <f aca="false">IF(D826=0, 33, "cc")</f>
        <v>33</v>
      </c>
    </row>
    <row r="827" customFormat="false" ht="18.65" hidden="false" customHeight="true" outlineLevel="0" collapsed="false">
      <c r="A827" s="1" t="n">
        <f aca="false">ROW()-2</f>
        <v>825</v>
      </c>
      <c r="B827" s="1" t="n">
        <f aca="false">INT(A827/$N$1)</f>
        <v>45</v>
      </c>
      <c r="C827" s="1" t="n">
        <f aca="false">INT(MOD(A827,$N$1) / 2)</f>
        <v>7</v>
      </c>
      <c r="D827" s="1" t="n">
        <f aca="false">_xlfn.BITAND(A827,1)</f>
        <v>1</v>
      </c>
      <c r="F827" s="1" t="str">
        <f aca="false">DEC2HEX(B827*$N$3*18)</f>
        <v>CA80</v>
      </c>
      <c r="G827" s="1" t="str">
        <f aca="false">DEC2HEX(C827*7)</f>
        <v>31</v>
      </c>
      <c r="H827" s="1" t="str">
        <f aca="false">IF(D827=0, 33, "cc")</f>
        <v>cc</v>
      </c>
    </row>
    <row r="828" customFormat="false" ht="18.65" hidden="false" customHeight="true" outlineLevel="0" collapsed="false">
      <c r="A828" s="1" t="n">
        <f aca="false">ROW()-2</f>
        <v>826</v>
      </c>
      <c r="B828" s="1" t="n">
        <f aca="false">INT(A828/$N$1)</f>
        <v>45</v>
      </c>
      <c r="C828" s="1" t="n">
        <f aca="false">INT(MOD(A828,$N$1) / 2)</f>
        <v>8</v>
      </c>
      <c r="D828" s="1" t="n">
        <f aca="false">_xlfn.BITAND(A828,1)</f>
        <v>0</v>
      </c>
      <c r="F828" s="1" t="str">
        <f aca="false">DEC2HEX(B828*$N$3*18)</f>
        <v>CA80</v>
      </c>
      <c r="G828" s="1" t="str">
        <f aca="false">DEC2HEX(C828*7)</f>
        <v>38</v>
      </c>
      <c r="H828" s="1" t="n">
        <f aca="false">IF(D828=0, 33, "cc")</f>
        <v>33</v>
      </c>
    </row>
    <row r="829" customFormat="false" ht="18.65" hidden="false" customHeight="true" outlineLevel="0" collapsed="false">
      <c r="A829" s="1" t="n">
        <f aca="false">ROW()-2</f>
        <v>827</v>
      </c>
      <c r="B829" s="1" t="n">
        <f aca="false">INT(A829/$N$1)</f>
        <v>45</v>
      </c>
      <c r="C829" s="1" t="n">
        <f aca="false">INT(MOD(A829,$N$1) / 2)</f>
        <v>8</v>
      </c>
      <c r="D829" s="1" t="n">
        <f aca="false">_xlfn.BITAND(A829,1)</f>
        <v>1</v>
      </c>
      <c r="F829" s="1" t="str">
        <f aca="false">DEC2HEX(B829*$N$3*18)</f>
        <v>CA80</v>
      </c>
      <c r="G829" s="1" t="str">
        <f aca="false">DEC2HEX(C829*7)</f>
        <v>38</v>
      </c>
      <c r="H829" s="1" t="str">
        <f aca="false">IF(D829=0, 33, "cc")</f>
        <v>cc</v>
      </c>
    </row>
    <row r="830" customFormat="false" ht="18.65" hidden="false" customHeight="true" outlineLevel="0" collapsed="false">
      <c r="A830" s="1" t="n">
        <f aca="false">ROW()-2</f>
        <v>828</v>
      </c>
      <c r="B830" s="1" t="n">
        <f aca="false">INT(A830/$N$1)</f>
        <v>46</v>
      </c>
      <c r="C830" s="1" t="n">
        <f aca="false">INT(MOD(A830,$N$1) / 2)</f>
        <v>0</v>
      </c>
      <c r="D830" s="1" t="n">
        <f aca="false">_xlfn.BITAND(A830,1)</f>
        <v>0</v>
      </c>
      <c r="F830" s="1" t="str">
        <f aca="false">DEC2HEX(B830*$N$3*18)</f>
        <v>CF00</v>
      </c>
      <c r="G830" s="1" t="str">
        <f aca="false">DEC2HEX(C830*7)</f>
        <v>0</v>
      </c>
      <c r="H830" s="1" t="n">
        <f aca="false">IF(D830=0, 33, "cc")</f>
        <v>33</v>
      </c>
    </row>
    <row r="831" customFormat="false" ht="18.65" hidden="false" customHeight="true" outlineLevel="0" collapsed="false">
      <c r="A831" s="1" t="n">
        <f aca="false">ROW()-2</f>
        <v>829</v>
      </c>
      <c r="B831" s="1" t="n">
        <f aca="false">INT(A831/$N$1)</f>
        <v>46</v>
      </c>
      <c r="C831" s="1" t="n">
        <f aca="false">INT(MOD(A831,$N$1) / 2)</f>
        <v>0</v>
      </c>
      <c r="D831" s="1" t="n">
        <f aca="false">_xlfn.BITAND(A831,1)</f>
        <v>1</v>
      </c>
      <c r="F831" s="1" t="str">
        <f aca="false">DEC2HEX(B831*$N$3*18)</f>
        <v>CF00</v>
      </c>
      <c r="G831" s="1" t="str">
        <f aca="false">DEC2HEX(C831*7)</f>
        <v>0</v>
      </c>
      <c r="H831" s="1" t="str">
        <f aca="false">IF(D831=0, 33, "cc")</f>
        <v>cc</v>
      </c>
    </row>
    <row r="832" customFormat="false" ht="18.65" hidden="false" customHeight="true" outlineLevel="0" collapsed="false">
      <c r="A832" s="1" t="n">
        <f aca="false">ROW()-2</f>
        <v>830</v>
      </c>
      <c r="B832" s="1" t="n">
        <f aca="false">INT(A832/$N$1)</f>
        <v>46</v>
      </c>
      <c r="C832" s="1" t="n">
        <f aca="false">INT(MOD(A832,$N$1) / 2)</f>
        <v>1</v>
      </c>
      <c r="D832" s="1" t="n">
        <f aca="false">_xlfn.BITAND(A832,1)</f>
        <v>0</v>
      </c>
      <c r="F832" s="1" t="str">
        <f aca="false">DEC2HEX(B832*$N$3*18)</f>
        <v>CF00</v>
      </c>
      <c r="G832" s="1" t="str">
        <f aca="false">DEC2HEX(C832*7)</f>
        <v>7</v>
      </c>
      <c r="H832" s="1" t="n">
        <f aca="false">IF(D832=0, 33, "cc")</f>
        <v>33</v>
      </c>
    </row>
    <row r="833" customFormat="false" ht="18.65" hidden="false" customHeight="true" outlineLevel="0" collapsed="false">
      <c r="A833" s="1" t="n">
        <f aca="false">ROW()-2</f>
        <v>831</v>
      </c>
      <c r="B833" s="1" t="n">
        <f aca="false">INT(A833/$N$1)</f>
        <v>46</v>
      </c>
      <c r="C833" s="1" t="n">
        <f aca="false">INT(MOD(A833,$N$1) / 2)</f>
        <v>1</v>
      </c>
      <c r="D833" s="1" t="n">
        <f aca="false">_xlfn.BITAND(A833,1)</f>
        <v>1</v>
      </c>
      <c r="F833" s="1" t="str">
        <f aca="false">DEC2HEX(B833*$N$3*18)</f>
        <v>CF00</v>
      </c>
      <c r="G833" s="1" t="str">
        <f aca="false">DEC2HEX(C833*7)</f>
        <v>7</v>
      </c>
      <c r="H833" s="1" t="str">
        <f aca="false">IF(D833=0, 33, "cc")</f>
        <v>cc</v>
      </c>
    </row>
    <row r="834" customFormat="false" ht="18.65" hidden="false" customHeight="true" outlineLevel="0" collapsed="false">
      <c r="A834" s="1" t="n">
        <f aca="false">ROW()-2</f>
        <v>832</v>
      </c>
      <c r="B834" s="1" t="n">
        <f aca="false">INT(A834/$N$1)</f>
        <v>46</v>
      </c>
      <c r="C834" s="1" t="n">
        <f aca="false">INT(MOD(A834,$N$1) / 2)</f>
        <v>2</v>
      </c>
      <c r="D834" s="1" t="n">
        <f aca="false">_xlfn.BITAND(A834,1)</f>
        <v>0</v>
      </c>
      <c r="F834" s="1" t="str">
        <f aca="false">DEC2HEX(B834*$N$3*18)</f>
        <v>CF00</v>
      </c>
      <c r="G834" s="1" t="str">
        <f aca="false">DEC2HEX(C834*7)</f>
        <v>E</v>
      </c>
      <c r="H834" s="1" t="n">
        <f aca="false">IF(D834=0, 33, "cc")</f>
        <v>33</v>
      </c>
    </row>
    <row r="835" customFormat="false" ht="18.65" hidden="false" customHeight="true" outlineLevel="0" collapsed="false">
      <c r="A835" s="1" t="n">
        <f aca="false">ROW()-2</f>
        <v>833</v>
      </c>
      <c r="B835" s="1" t="n">
        <f aca="false">INT(A835/$N$1)</f>
        <v>46</v>
      </c>
      <c r="C835" s="1" t="n">
        <f aca="false">INT(MOD(A835,$N$1) / 2)</f>
        <v>2</v>
      </c>
      <c r="D835" s="1" t="n">
        <f aca="false">_xlfn.BITAND(A835,1)</f>
        <v>1</v>
      </c>
      <c r="F835" s="1" t="str">
        <f aca="false">DEC2HEX(B835*$N$3*18)</f>
        <v>CF00</v>
      </c>
      <c r="G835" s="1" t="str">
        <f aca="false">DEC2HEX(C835*7)</f>
        <v>E</v>
      </c>
      <c r="H835" s="1" t="str">
        <f aca="false">IF(D835=0, 33, "cc")</f>
        <v>cc</v>
      </c>
    </row>
    <row r="836" customFormat="false" ht="18.65" hidden="false" customHeight="true" outlineLevel="0" collapsed="false">
      <c r="A836" s="1" t="n">
        <f aca="false">ROW()-2</f>
        <v>834</v>
      </c>
      <c r="B836" s="1" t="n">
        <f aca="false">INT(A836/$N$1)</f>
        <v>46</v>
      </c>
      <c r="C836" s="1" t="n">
        <f aca="false">INT(MOD(A836,$N$1) / 2)</f>
        <v>3</v>
      </c>
      <c r="D836" s="1" t="n">
        <f aca="false">_xlfn.BITAND(A836,1)</f>
        <v>0</v>
      </c>
      <c r="F836" s="1" t="str">
        <f aca="false">DEC2HEX(B836*$N$3*18)</f>
        <v>CF00</v>
      </c>
      <c r="G836" s="1" t="str">
        <f aca="false">DEC2HEX(C836*7)</f>
        <v>15</v>
      </c>
      <c r="H836" s="1" t="n">
        <f aca="false">IF(D836=0, 33, "cc")</f>
        <v>33</v>
      </c>
    </row>
    <row r="837" customFormat="false" ht="18.65" hidden="false" customHeight="true" outlineLevel="0" collapsed="false">
      <c r="A837" s="1" t="n">
        <f aca="false">ROW()-2</f>
        <v>835</v>
      </c>
      <c r="B837" s="1" t="n">
        <f aca="false">INT(A837/$N$1)</f>
        <v>46</v>
      </c>
      <c r="C837" s="1" t="n">
        <f aca="false">INT(MOD(A837,$N$1) / 2)</f>
        <v>3</v>
      </c>
      <c r="D837" s="1" t="n">
        <f aca="false">_xlfn.BITAND(A837,1)</f>
        <v>1</v>
      </c>
      <c r="F837" s="1" t="str">
        <f aca="false">DEC2HEX(B837*$N$3*18)</f>
        <v>CF00</v>
      </c>
      <c r="G837" s="1" t="str">
        <f aca="false">DEC2HEX(C837*7)</f>
        <v>15</v>
      </c>
      <c r="H837" s="1" t="str">
        <f aca="false">IF(D837=0, 33, "cc")</f>
        <v>cc</v>
      </c>
    </row>
    <row r="838" customFormat="false" ht="18.65" hidden="false" customHeight="true" outlineLevel="0" collapsed="false">
      <c r="A838" s="1" t="n">
        <f aca="false">ROW()-2</f>
        <v>836</v>
      </c>
      <c r="B838" s="1" t="n">
        <f aca="false">INT(A838/$N$1)</f>
        <v>46</v>
      </c>
      <c r="C838" s="1" t="n">
        <f aca="false">INT(MOD(A838,$N$1) / 2)</f>
        <v>4</v>
      </c>
      <c r="D838" s="1" t="n">
        <f aca="false">_xlfn.BITAND(A838,1)</f>
        <v>0</v>
      </c>
      <c r="F838" s="1" t="str">
        <f aca="false">DEC2HEX(B838*$N$3*18)</f>
        <v>CF00</v>
      </c>
      <c r="G838" s="1" t="str">
        <f aca="false">DEC2HEX(C838*7)</f>
        <v>1C</v>
      </c>
      <c r="H838" s="1" t="n">
        <f aca="false">IF(D838=0, 33, "cc")</f>
        <v>33</v>
      </c>
    </row>
    <row r="839" customFormat="false" ht="18.65" hidden="false" customHeight="true" outlineLevel="0" collapsed="false">
      <c r="A839" s="1" t="n">
        <f aca="false">ROW()-2</f>
        <v>837</v>
      </c>
      <c r="B839" s="1" t="n">
        <f aca="false">INT(A839/$N$1)</f>
        <v>46</v>
      </c>
      <c r="C839" s="1" t="n">
        <f aca="false">INT(MOD(A839,$N$1) / 2)</f>
        <v>4</v>
      </c>
      <c r="D839" s="1" t="n">
        <f aca="false">_xlfn.BITAND(A839,1)</f>
        <v>1</v>
      </c>
      <c r="F839" s="1" t="str">
        <f aca="false">DEC2HEX(B839*$N$3*18)</f>
        <v>CF00</v>
      </c>
      <c r="G839" s="1" t="str">
        <f aca="false">DEC2HEX(C839*7)</f>
        <v>1C</v>
      </c>
      <c r="H839" s="1" t="str">
        <f aca="false">IF(D839=0, 33, "cc")</f>
        <v>cc</v>
      </c>
    </row>
    <row r="840" customFormat="false" ht="18.65" hidden="false" customHeight="true" outlineLevel="0" collapsed="false">
      <c r="A840" s="1" t="n">
        <f aca="false">ROW()-2</f>
        <v>838</v>
      </c>
      <c r="B840" s="1" t="n">
        <f aca="false">INT(A840/$N$1)</f>
        <v>46</v>
      </c>
      <c r="C840" s="1" t="n">
        <f aca="false">INT(MOD(A840,$N$1) / 2)</f>
        <v>5</v>
      </c>
      <c r="D840" s="1" t="n">
        <f aca="false">_xlfn.BITAND(A840,1)</f>
        <v>0</v>
      </c>
      <c r="F840" s="1" t="str">
        <f aca="false">DEC2HEX(B840*$N$3*18)</f>
        <v>CF00</v>
      </c>
      <c r="G840" s="1" t="str">
        <f aca="false">DEC2HEX(C840*7)</f>
        <v>23</v>
      </c>
      <c r="H840" s="1" t="n">
        <f aca="false">IF(D840=0, 33, "cc")</f>
        <v>33</v>
      </c>
    </row>
    <row r="841" customFormat="false" ht="18.65" hidden="false" customHeight="true" outlineLevel="0" collapsed="false">
      <c r="A841" s="1" t="n">
        <f aca="false">ROW()-2</f>
        <v>839</v>
      </c>
      <c r="B841" s="1" t="n">
        <f aca="false">INT(A841/$N$1)</f>
        <v>46</v>
      </c>
      <c r="C841" s="1" t="n">
        <f aca="false">INT(MOD(A841,$N$1) / 2)</f>
        <v>5</v>
      </c>
      <c r="D841" s="1" t="n">
        <f aca="false">_xlfn.BITAND(A841,1)</f>
        <v>1</v>
      </c>
      <c r="F841" s="1" t="str">
        <f aca="false">DEC2HEX(B841*$N$3*18)</f>
        <v>CF00</v>
      </c>
      <c r="G841" s="1" t="str">
        <f aca="false">DEC2HEX(C841*7)</f>
        <v>23</v>
      </c>
      <c r="H841" s="1" t="str">
        <f aca="false">IF(D841=0, 33, "cc")</f>
        <v>cc</v>
      </c>
    </row>
    <row r="842" customFormat="false" ht="18.65" hidden="false" customHeight="true" outlineLevel="0" collapsed="false">
      <c r="A842" s="1" t="n">
        <f aca="false">ROW()-2</f>
        <v>840</v>
      </c>
      <c r="B842" s="1" t="n">
        <f aca="false">INT(A842/$N$1)</f>
        <v>46</v>
      </c>
      <c r="C842" s="1" t="n">
        <f aca="false">INT(MOD(A842,$N$1) / 2)</f>
        <v>6</v>
      </c>
      <c r="D842" s="1" t="n">
        <f aca="false">_xlfn.BITAND(A842,1)</f>
        <v>0</v>
      </c>
      <c r="F842" s="1" t="str">
        <f aca="false">DEC2HEX(B842*$N$3*18)</f>
        <v>CF00</v>
      </c>
      <c r="G842" s="1" t="str">
        <f aca="false">DEC2HEX(C842*7)</f>
        <v>2A</v>
      </c>
      <c r="H842" s="1" t="n">
        <f aca="false">IF(D842=0, 33, "cc")</f>
        <v>33</v>
      </c>
    </row>
    <row r="843" customFormat="false" ht="18.65" hidden="false" customHeight="true" outlineLevel="0" collapsed="false">
      <c r="A843" s="1" t="n">
        <f aca="false">ROW()-2</f>
        <v>841</v>
      </c>
      <c r="B843" s="1" t="n">
        <f aca="false">INT(A843/$N$1)</f>
        <v>46</v>
      </c>
      <c r="C843" s="1" t="n">
        <f aca="false">INT(MOD(A843,$N$1) / 2)</f>
        <v>6</v>
      </c>
      <c r="D843" s="1" t="n">
        <f aca="false">_xlfn.BITAND(A843,1)</f>
        <v>1</v>
      </c>
      <c r="F843" s="1" t="str">
        <f aca="false">DEC2HEX(B843*$N$3*18)</f>
        <v>CF00</v>
      </c>
      <c r="G843" s="1" t="str">
        <f aca="false">DEC2HEX(C843*7)</f>
        <v>2A</v>
      </c>
      <c r="H843" s="1" t="str">
        <f aca="false">IF(D843=0, 33, "cc")</f>
        <v>cc</v>
      </c>
    </row>
    <row r="844" customFormat="false" ht="18.65" hidden="false" customHeight="true" outlineLevel="0" collapsed="false">
      <c r="A844" s="1" t="n">
        <f aca="false">ROW()-2</f>
        <v>842</v>
      </c>
      <c r="B844" s="1" t="n">
        <f aca="false">INT(A844/$N$1)</f>
        <v>46</v>
      </c>
      <c r="C844" s="1" t="n">
        <f aca="false">INT(MOD(A844,$N$1) / 2)</f>
        <v>7</v>
      </c>
      <c r="D844" s="1" t="n">
        <f aca="false">_xlfn.BITAND(A844,1)</f>
        <v>0</v>
      </c>
      <c r="F844" s="1" t="str">
        <f aca="false">DEC2HEX(B844*$N$3*18)</f>
        <v>CF00</v>
      </c>
      <c r="G844" s="1" t="str">
        <f aca="false">DEC2HEX(C844*7)</f>
        <v>31</v>
      </c>
      <c r="H844" s="1" t="n">
        <f aca="false">IF(D844=0, 33, "cc")</f>
        <v>33</v>
      </c>
    </row>
    <row r="845" customFormat="false" ht="18.65" hidden="false" customHeight="true" outlineLevel="0" collapsed="false">
      <c r="A845" s="1" t="n">
        <f aca="false">ROW()-2</f>
        <v>843</v>
      </c>
      <c r="B845" s="1" t="n">
        <f aca="false">INT(A845/$N$1)</f>
        <v>46</v>
      </c>
      <c r="C845" s="1" t="n">
        <f aca="false">INT(MOD(A845,$N$1) / 2)</f>
        <v>7</v>
      </c>
      <c r="D845" s="1" t="n">
        <f aca="false">_xlfn.BITAND(A845,1)</f>
        <v>1</v>
      </c>
      <c r="F845" s="1" t="str">
        <f aca="false">DEC2HEX(B845*$N$3*18)</f>
        <v>CF00</v>
      </c>
      <c r="G845" s="1" t="str">
        <f aca="false">DEC2HEX(C845*7)</f>
        <v>31</v>
      </c>
      <c r="H845" s="1" t="str">
        <f aca="false">IF(D845=0, 33, "cc")</f>
        <v>cc</v>
      </c>
    </row>
    <row r="846" customFormat="false" ht="18.65" hidden="false" customHeight="true" outlineLevel="0" collapsed="false">
      <c r="A846" s="1" t="n">
        <f aca="false">ROW()-2</f>
        <v>844</v>
      </c>
      <c r="B846" s="1" t="n">
        <f aca="false">INT(A846/$N$1)</f>
        <v>46</v>
      </c>
      <c r="C846" s="1" t="n">
        <f aca="false">INT(MOD(A846,$N$1) / 2)</f>
        <v>8</v>
      </c>
      <c r="D846" s="1" t="n">
        <f aca="false">_xlfn.BITAND(A846,1)</f>
        <v>0</v>
      </c>
      <c r="F846" s="1" t="str">
        <f aca="false">DEC2HEX(B846*$N$3*18)</f>
        <v>CF00</v>
      </c>
      <c r="G846" s="1" t="str">
        <f aca="false">DEC2HEX(C846*7)</f>
        <v>38</v>
      </c>
      <c r="H846" s="1" t="n">
        <f aca="false">IF(D846=0, 33, "cc")</f>
        <v>33</v>
      </c>
    </row>
    <row r="847" customFormat="false" ht="18.65" hidden="false" customHeight="true" outlineLevel="0" collapsed="false">
      <c r="A847" s="1" t="n">
        <f aca="false">ROW()-2</f>
        <v>845</v>
      </c>
      <c r="B847" s="1" t="n">
        <f aca="false">INT(A847/$N$1)</f>
        <v>46</v>
      </c>
      <c r="C847" s="1" t="n">
        <f aca="false">INT(MOD(A847,$N$1) / 2)</f>
        <v>8</v>
      </c>
      <c r="D847" s="1" t="n">
        <f aca="false">_xlfn.BITAND(A847,1)</f>
        <v>1</v>
      </c>
      <c r="F847" s="1" t="str">
        <f aca="false">DEC2HEX(B847*$N$3*18)</f>
        <v>CF00</v>
      </c>
      <c r="G847" s="1" t="str">
        <f aca="false">DEC2HEX(C847*7)</f>
        <v>38</v>
      </c>
      <c r="H847" s="1" t="str">
        <f aca="false">IF(D847=0, 33, "cc")</f>
        <v>cc</v>
      </c>
    </row>
    <row r="848" customFormat="false" ht="18.65" hidden="false" customHeight="true" outlineLevel="0" collapsed="false">
      <c r="A848" s="1" t="n">
        <f aca="false">ROW()-2</f>
        <v>846</v>
      </c>
      <c r="B848" s="1" t="n">
        <f aca="false">INT(A848/$N$1)</f>
        <v>47</v>
      </c>
      <c r="C848" s="1" t="n">
        <f aca="false">INT(MOD(A848,$N$1) / 2)</f>
        <v>0</v>
      </c>
      <c r="D848" s="1" t="n">
        <f aca="false">_xlfn.BITAND(A848,1)</f>
        <v>0</v>
      </c>
      <c r="F848" s="1" t="str">
        <f aca="false">DEC2HEX(B848*$N$3*18)</f>
        <v>D380</v>
      </c>
      <c r="G848" s="1" t="str">
        <f aca="false">DEC2HEX(C848*7)</f>
        <v>0</v>
      </c>
      <c r="H848" s="1" t="n">
        <f aca="false">IF(D848=0, 33, "cc")</f>
        <v>33</v>
      </c>
    </row>
    <row r="849" customFormat="false" ht="18.65" hidden="false" customHeight="true" outlineLevel="0" collapsed="false">
      <c r="A849" s="1" t="n">
        <f aca="false">ROW()-2</f>
        <v>847</v>
      </c>
      <c r="B849" s="1" t="n">
        <f aca="false">INT(A849/$N$1)</f>
        <v>47</v>
      </c>
      <c r="C849" s="1" t="n">
        <f aca="false">INT(MOD(A849,$N$1) / 2)</f>
        <v>0</v>
      </c>
      <c r="D849" s="1" t="n">
        <f aca="false">_xlfn.BITAND(A849,1)</f>
        <v>1</v>
      </c>
      <c r="F849" s="1" t="str">
        <f aca="false">DEC2HEX(B849*$N$3*18)</f>
        <v>D380</v>
      </c>
      <c r="G849" s="1" t="str">
        <f aca="false">DEC2HEX(C849*7)</f>
        <v>0</v>
      </c>
      <c r="H849" s="1" t="str">
        <f aca="false">IF(D849=0, 33, "cc")</f>
        <v>cc</v>
      </c>
    </row>
    <row r="850" customFormat="false" ht="18.65" hidden="false" customHeight="true" outlineLevel="0" collapsed="false">
      <c r="A850" s="1" t="n">
        <f aca="false">ROW()-2</f>
        <v>848</v>
      </c>
      <c r="B850" s="1" t="n">
        <f aca="false">INT(A850/$N$1)</f>
        <v>47</v>
      </c>
      <c r="C850" s="1" t="n">
        <f aca="false">INT(MOD(A850,$N$1) / 2)</f>
        <v>1</v>
      </c>
      <c r="D850" s="1" t="n">
        <f aca="false">_xlfn.BITAND(A850,1)</f>
        <v>0</v>
      </c>
      <c r="F850" s="1" t="str">
        <f aca="false">DEC2HEX(B850*$N$3*18)</f>
        <v>D380</v>
      </c>
      <c r="G850" s="1" t="str">
        <f aca="false">DEC2HEX(C850*7)</f>
        <v>7</v>
      </c>
      <c r="H850" s="1" t="n">
        <f aca="false">IF(D850=0, 33, "cc")</f>
        <v>33</v>
      </c>
    </row>
    <row r="851" customFormat="false" ht="18.65" hidden="false" customHeight="true" outlineLevel="0" collapsed="false">
      <c r="A851" s="1" t="n">
        <f aca="false">ROW()-2</f>
        <v>849</v>
      </c>
      <c r="B851" s="1" t="n">
        <f aca="false">INT(A851/$N$1)</f>
        <v>47</v>
      </c>
      <c r="C851" s="1" t="n">
        <f aca="false">INT(MOD(A851,$N$1) / 2)</f>
        <v>1</v>
      </c>
      <c r="D851" s="1" t="n">
        <f aca="false">_xlfn.BITAND(A851,1)</f>
        <v>1</v>
      </c>
      <c r="F851" s="1" t="str">
        <f aca="false">DEC2HEX(B851*$N$3*18)</f>
        <v>D380</v>
      </c>
      <c r="G851" s="1" t="str">
        <f aca="false">DEC2HEX(C851*7)</f>
        <v>7</v>
      </c>
      <c r="H851" s="1" t="str">
        <f aca="false">IF(D851=0, 33, "cc")</f>
        <v>cc</v>
      </c>
    </row>
    <row r="852" customFormat="false" ht="18.65" hidden="false" customHeight="true" outlineLevel="0" collapsed="false">
      <c r="A852" s="1" t="n">
        <f aca="false">ROW()-2</f>
        <v>850</v>
      </c>
      <c r="B852" s="1" t="n">
        <f aca="false">INT(A852/$N$1)</f>
        <v>47</v>
      </c>
      <c r="C852" s="1" t="n">
        <f aca="false">INT(MOD(A852,$N$1) / 2)</f>
        <v>2</v>
      </c>
      <c r="D852" s="1" t="n">
        <f aca="false">_xlfn.BITAND(A852,1)</f>
        <v>0</v>
      </c>
      <c r="F852" s="1" t="str">
        <f aca="false">DEC2HEX(B852*$N$3*18)</f>
        <v>D380</v>
      </c>
      <c r="G852" s="1" t="str">
        <f aca="false">DEC2HEX(C852*7)</f>
        <v>E</v>
      </c>
      <c r="H852" s="1" t="n">
        <f aca="false">IF(D852=0, 33, "cc")</f>
        <v>33</v>
      </c>
    </row>
    <row r="853" customFormat="false" ht="18.65" hidden="false" customHeight="true" outlineLevel="0" collapsed="false">
      <c r="A853" s="1" t="n">
        <f aca="false">ROW()-2</f>
        <v>851</v>
      </c>
      <c r="B853" s="1" t="n">
        <f aca="false">INT(A853/$N$1)</f>
        <v>47</v>
      </c>
      <c r="C853" s="1" t="n">
        <f aca="false">INT(MOD(A853,$N$1) / 2)</f>
        <v>2</v>
      </c>
      <c r="D853" s="1" t="n">
        <f aca="false">_xlfn.BITAND(A853,1)</f>
        <v>1</v>
      </c>
      <c r="F853" s="1" t="str">
        <f aca="false">DEC2HEX(B853*$N$3*18)</f>
        <v>D380</v>
      </c>
      <c r="G853" s="1" t="str">
        <f aca="false">DEC2HEX(C853*7)</f>
        <v>E</v>
      </c>
      <c r="H853" s="1" t="str">
        <f aca="false">IF(D853=0, 33, "cc")</f>
        <v>cc</v>
      </c>
    </row>
    <row r="854" customFormat="false" ht="18.65" hidden="false" customHeight="true" outlineLevel="0" collapsed="false">
      <c r="A854" s="1" t="n">
        <f aca="false">ROW()-2</f>
        <v>852</v>
      </c>
      <c r="B854" s="1" t="n">
        <f aca="false">INT(A854/$N$1)</f>
        <v>47</v>
      </c>
      <c r="C854" s="1" t="n">
        <f aca="false">INT(MOD(A854,$N$1) / 2)</f>
        <v>3</v>
      </c>
      <c r="D854" s="1" t="n">
        <f aca="false">_xlfn.BITAND(A854,1)</f>
        <v>0</v>
      </c>
      <c r="F854" s="1" t="str">
        <f aca="false">DEC2HEX(B854*$N$3*18)</f>
        <v>D380</v>
      </c>
      <c r="G854" s="1" t="str">
        <f aca="false">DEC2HEX(C854*7)</f>
        <v>15</v>
      </c>
      <c r="H854" s="1" t="n">
        <f aca="false">IF(D854=0, 33, "cc")</f>
        <v>33</v>
      </c>
    </row>
    <row r="855" customFormat="false" ht="18.65" hidden="false" customHeight="true" outlineLevel="0" collapsed="false">
      <c r="A855" s="1" t="n">
        <f aca="false">ROW()-2</f>
        <v>853</v>
      </c>
      <c r="B855" s="1" t="n">
        <f aca="false">INT(A855/$N$1)</f>
        <v>47</v>
      </c>
      <c r="C855" s="1" t="n">
        <f aca="false">INT(MOD(A855,$N$1) / 2)</f>
        <v>3</v>
      </c>
      <c r="D855" s="1" t="n">
        <f aca="false">_xlfn.BITAND(A855,1)</f>
        <v>1</v>
      </c>
      <c r="F855" s="1" t="str">
        <f aca="false">DEC2HEX(B855*$N$3*18)</f>
        <v>D380</v>
      </c>
      <c r="G855" s="1" t="str">
        <f aca="false">DEC2HEX(C855*7)</f>
        <v>15</v>
      </c>
      <c r="H855" s="1" t="str">
        <f aca="false">IF(D855=0, 33, "cc")</f>
        <v>cc</v>
      </c>
    </row>
    <row r="856" customFormat="false" ht="18.65" hidden="false" customHeight="true" outlineLevel="0" collapsed="false">
      <c r="A856" s="1" t="n">
        <f aca="false">ROW()-2</f>
        <v>854</v>
      </c>
      <c r="B856" s="1" t="n">
        <f aca="false">INT(A856/$N$1)</f>
        <v>47</v>
      </c>
      <c r="C856" s="1" t="n">
        <f aca="false">INT(MOD(A856,$N$1) / 2)</f>
        <v>4</v>
      </c>
      <c r="D856" s="1" t="n">
        <f aca="false">_xlfn.BITAND(A856,1)</f>
        <v>0</v>
      </c>
      <c r="F856" s="1" t="str">
        <f aca="false">DEC2HEX(B856*$N$3*18)</f>
        <v>D380</v>
      </c>
      <c r="G856" s="1" t="str">
        <f aca="false">DEC2HEX(C856*7)</f>
        <v>1C</v>
      </c>
      <c r="H856" s="1" t="n">
        <f aca="false">IF(D856=0, 33, "cc")</f>
        <v>33</v>
      </c>
    </row>
    <row r="857" customFormat="false" ht="18.65" hidden="false" customHeight="true" outlineLevel="0" collapsed="false">
      <c r="A857" s="1" t="n">
        <f aca="false">ROW()-2</f>
        <v>855</v>
      </c>
      <c r="B857" s="1" t="n">
        <f aca="false">INT(A857/$N$1)</f>
        <v>47</v>
      </c>
      <c r="C857" s="1" t="n">
        <f aca="false">INT(MOD(A857,$N$1) / 2)</f>
        <v>4</v>
      </c>
      <c r="D857" s="1" t="n">
        <f aca="false">_xlfn.BITAND(A857,1)</f>
        <v>1</v>
      </c>
      <c r="F857" s="1" t="str">
        <f aca="false">DEC2HEX(B857*$N$3*18)</f>
        <v>D380</v>
      </c>
      <c r="G857" s="1" t="str">
        <f aca="false">DEC2HEX(C857*7)</f>
        <v>1C</v>
      </c>
      <c r="H857" s="1" t="str">
        <f aca="false">IF(D857=0, 33, "cc")</f>
        <v>cc</v>
      </c>
    </row>
    <row r="858" customFormat="false" ht="18.65" hidden="false" customHeight="true" outlineLevel="0" collapsed="false">
      <c r="A858" s="1" t="n">
        <f aca="false">ROW()-2</f>
        <v>856</v>
      </c>
      <c r="B858" s="1" t="n">
        <f aca="false">INT(A858/$N$1)</f>
        <v>47</v>
      </c>
      <c r="C858" s="1" t="n">
        <f aca="false">INT(MOD(A858,$N$1) / 2)</f>
        <v>5</v>
      </c>
      <c r="D858" s="1" t="n">
        <f aca="false">_xlfn.BITAND(A858,1)</f>
        <v>0</v>
      </c>
      <c r="F858" s="1" t="str">
        <f aca="false">DEC2HEX(B858*$N$3*18)</f>
        <v>D380</v>
      </c>
      <c r="G858" s="1" t="str">
        <f aca="false">DEC2HEX(C858*7)</f>
        <v>23</v>
      </c>
      <c r="H858" s="1" t="n">
        <f aca="false">IF(D858=0, 33, "cc")</f>
        <v>33</v>
      </c>
    </row>
    <row r="859" customFormat="false" ht="18.65" hidden="false" customHeight="true" outlineLevel="0" collapsed="false">
      <c r="A859" s="1" t="n">
        <f aca="false">ROW()-2</f>
        <v>857</v>
      </c>
      <c r="B859" s="1" t="n">
        <f aca="false">INT(A859/$N$1)</f>
        <v>47</v>
      </c>
      <c r="C859" s="1" t="n">
        <f aca="false">INT(MOD(A859,$N$1) / 2)</f>
        <v>5</v>
      </c>
      <c r="D859" s="1" t="n">
        <f aca="false">_xlfn.BITAND(A859,1)</f>
        <v>1</v>
      </c>
      <c r="F859" s="1" t="str">
        <f aca="false">DEC2HEX(B859*$N$3*18)</f>
        <v>D380</v>
      </c>
      <c r="G859" s="1" t="str">
        <f aca="false">DEC2HEX(C859*7)</f>
        <v>23</v>
      </c>
      <c r="H859" s="1" t="str">
        <f aca="false">IF(D859=0, 33, "cc")</f>
        <v>cc</v>
      </c>
    </row>
    <row r="860" customFormat="false" ht="18.65" hidden="false" customHeight="true" outlineLevel="0" collapsed="false">
      <c r="A860" s="1" t="n">
        <f aca="false">ROW()-2</f>
        <v>858</v>
      </c>
      <c r="B860" s="1" t="n">
        <f aca="false">INT(A860/$N$1)</f>
        <v>47</v>
      </c>
      <c r="C860" s="1" t="n">
        <f aca="false">INT(MOD(A860,$N$1) / 2)</f>
        <v>6</v>
      </c>
      <c r="D860" s="1" t="n">
        <f aca="false">_xlfn.BITAND(A860,1)</f>
        <v>0</v>
      </c>
      <c r="F860" s="1" t="str">
        <f aca="false">DEC2HEX(B860*$N$3*18)</f>
        <v>D380</v>
      </c>
      <c r="G860" s="1" t="str">
        <f aca="false">DEC2HEX(C860*7)</f>
        <v>2A</v>
      </c>
      <c r="H860" s="1" t="n">
        <f aca="false">IF(D860=0, 33, "cc")</f>
        <v>33</v>
      </c>
    </row>
    <row r="861" customFormat="false" ht="18.65" hidden="false" customHeight="true" outlineLevel="0" collapsed="false">
      <c r="A861" s="1" t="n">
        <f aca="false">ROW()-2</f>
        <v>859</v>
      </c>
      <c r="B861" s="1" t="n">
        <f aca="false">INT(A861/$N$1)</f>
        <v>47</v>
      </c>
      <c r="C861" s="1" t="n">
        <f aca="false">INT(MOD(A861,$N$1) / 2)</f>
        <v>6</v>
      </c>
      <c r="D861" s="1" t="n">
        <f aca="false">_xlfn.BITAND(A861,1)</f>
        <v>1</v>
      </c>
      <c r="F861" s="1" t="str">
        <f aca="false">DEC2HEX(B861*$N$3*18)</f>
        <v>D380</v>
      </c>
      <c r="G861" s="1" t="str">
        <f aca="false">DEC2HEX(C861*7)</f>
        <v>2A</v>
      </c>
      <c r="H861" s="1" t="str">
        <f aca="false">IF(D861=0, 33, "cc")</f>
        <v>cc</v>
      </c>
    </row>
    <row r="862" customFormat="false" ht="18.65" hidden="false" customHeight="true" outlineLevel="0" collapsed="false">
      <c r="A862" s="1" t="n">
        <f aca="false">ROW()-2</f>
        <v>860</v>
      </c>
      <c r="B862" s="1" t="n">
        <f aca="false">INT(A862/$N$1)</f>
        <v>47</v>
      </c>
      <c r="C862" s="1" t="n">
        <f aca="false">INT(MOD(A862,$N$1) / 2)</f>
        <v>7</v>
      </c>
      <c r="D862" s="1" t="n">
        <f aca="false">_xlfn.BITAND(A862,1)</f>
        <v>0</v>
      </c>
      <c r="F862" s="1" t="str">
        <f aca="false">DEC2HEX(B862*$N$3*18)</f>
        <v>D380</v>
      </c>
      <c r="G862" s="1" t="str">
        <f aca="false">DEC2HEX(C862*7)</f>
        <v>31</v>
      </c>
      <c r="H862" s="1" t="n">
        <f aca="false">IF(D862=0, 33, "cc")</f>
        <v>33</v>
      </c>
    </row>
    <row r="863" customFormat="false" ht="18.65" hidden="false" customHeight="true" outlineLevel="0" collapsed="false">
      <c r="A863" s="1" t="n">
        <f aca="false">ROW()-2</f>
        <v>861</v>
      </c>
      <c r="B863" s="1" t="n">
        <f aca="false">INT(A863/$N$1)</f>
        <v>47</v>
      </c>
      <c r="C863" s="1" t="n">
        <f aca="false">INT(MOD(A863,$N$1) / 2)</f>
        <v>7</v>
      </c>
      <c r="D863" s="1" t="n">
        <f aca="false">_xlfn.BITAND(A863,1)</f>
        <v>1</v>
      </c>
      <c r="F863" s="1" t="str">
        <f aca="false">DEC2HEX(B863*$N$3*18)</f>
        <v>D380</v>
      </c>
      <c r="G863" s="1" t="str">
        <f aca="false">DEC2HEX(C863*7)</f>
        <v>31</v>
      </c>
      <c r="H863" s="1" t="str">
        <f aca="false">IF(D863=0, 33, "cc")</f>
        <v>cc</v>
      </c>
    </row>
    <row r="864" customFormat="false" ht="18.65" hidden="false" customHeight="true" outlineLevel="0" collapsed="false">
      <c r="A864" s="1" t="n">
        <f aca="false">ROW()-2</f>
        <v>862</v>
      </c>
      <c r="B864" s="1" t="n">
        <f aca="false">INT(A864/$N$1)</f>
        <v>47</v>
      </c>
      <c r="C864" s="1" t="n">
        <f aca="false">INT(MOD(A864,$N$1) / 2)</f>
        <v>8</v>
      </c>
      <c r="D864" s="1" t="n">
        <f aca="false">_xlfn.BITAND(A864,1)</f>
        <v>0</v>
      </c>
      <c r="F864" s="1" t="str">
        <f aca="false">DEC2HEX(B864*$N$3*18)</f>
        <v>D380</v>
      </c>
      <c r="G864" s="1" t="str">
        <f aca="false">DEC2HEX(C864*7)</f>
        <v>38</v>
      </c>
      <c r="H864" s="1" t="n">
        <f aca="false">IF(D864=0, 33, "cc")</f>
        <v>33</v>
      </c>
    </row>
    <row r="865" customFormat="false" ht="18.65" hidden="false" customHeight="true" outlineLevel="0" collapsed="false">
      <c r="A865" s="1" t="n">
        <f aca="false">ROW()-2</f>
        <v>863</v>
      </c>
      <c r="B865" s="1" t="n">
        <f aca="false">INT(A865/$N$1)</f>
        <v>47</v>
      </c>
      <c r="C865" s="1" t="n">
        <f aca="false">INT(MOD(A865,$N$1) / 2)</f>
        <v>8</v>
      </c>
      <c r="D865" s="1" t="n">
        <f aca="false">_xlfn.BITAND(A865,1)</f>
        <v>1</v>
      </c>
      <c r="F865" s="1" t="str">
        <f aca="false">DEC2HEX(B865*$N$3*18)</f>
        <v>D380</v>
      </c>
      <c r="G865" s="1" t="str">
        <f aca="false">DEC2HEX(C865*7)</f>
        <v>38</v>
      </c>
      <c r="H865" s="1" t="str">
        <f aca="false">IF(D865=0, 33, "cc")</f>
        <v>cc</v>
      </c>
    </row>
    <row r="866" customFormat="false" ht="18.65" hidden="false" customHeight="true" outlineLevel="0" collapsed="false">
      <c r="A866" s="1" t="n">
        <f aca="false">ROW()-2</f>
        <v>864</v>
      </c>
      <c r="B866" s="1" t="n">
        <f aca="false">INT(A866/$N$1)</f>
        <v>48</v>
      </c>
      <c r="C866" s="1" t="n">
        <f aca="false">INT(MOD(A866,$N$1) / 2)</f>
        <v>0</v>
      </c>
      <c r="D866" s="1" t="n">
        <f aca="false">_xlfn.BITAND(A866,1)</f>
        <v>0</v>
      </c>
      <c r="F866" s="1" t="str">
        <f aca="false">DEC2HEX(B866*$N$3*18)</f>
        <v>D800</v>
      </c>
      <c r="G866" s="1" t="str">
        <f aca="false">DEC2HEX(C866*7)</f>
        <v>0</v>
      </c>
      <c r="H866" s="1" t="n">
        <f aca="false">IF(D866=0, 33, "cc")</f>
        <v>33</v>
      </c>
    </row>
    <row r="867" customFormat="false" ht="18.65" hidden="false" customHeight="true" outlineLevel="0" collapsed="false">
      <c r="A867" s="1" t="n">
        <f aca="false">ROW()-2</f>
        <v>865</v>
      </c>
      <c r="B867" s="1" t="n">
        <f aca="false">INT(A867/$N$1)</f>
        <v>48</v>
      </c>
      <c r="C867" s="1" t="n">
        <f aca="false">INT(MOD(A867,$N$1) / 2)</f>
        <v>0</v>
      </c>
      <c r="D867" s="1" t="n">
        <f aca="false">_xlfn.BITAND(A867,1)</f>
        <v>1</v>
      </c>
      <c r="F867" s="1" t="str">
        <f aca="false">DEC2HEX(B867*$N$3*18)</f>
        <v>D800</v>
      </c>
      <c r="G867" s="1" t="str">
        <f aca="false">DEC2HEX(C867*7)</f>
        <v>0</v>
      </c>
      <c r="H867" s="1" t="str">
        <f aca="false">IF(D867=0, 33, "cc")</f>
        <v>cc</v>
      </c>
    </row>
    <row r="868" customFormat="false" ht="18.65" hidden="false" customHeight="true" outlineLevel="0" collapsed="false">
      <c r="A868" s="1" t="n">
        <f aca="false">ROW()-2</f>
        <v>866</v>
      </c>
      <c r="B868" s="1" t="n">
        <f aca="false">INT(A868/$N$1)</f>
        <v>48</v>
      </c>
      <c r="C868" s="1" t="n">
        <f aca="false">INT(MOD(A868,$N$1) / 2)</f>
        <v>1</v>
      </c>
      <c r="D868" s="1" t="n">
        <f aca="false">_xlfn.BITAND(A868,1)</f>
        <v>0</v>
      </c>
      <c r="F868" s="1" t="str">
        <f aca="false">DEC2HEX(B868*$N$3*18)</f>
        <v>D800</v>
      </c>
      <c r="G868" s="1" t="str">
        <f aca="false">DEC2HEX(C868*7)</f>
        <v>7</v>
      </c>
      <c r="H868" s="1" t="n">
        <f aca="false">IF(D868=0, 33, "cc")</f>
        <v>33</v>
      </c>
    </row>
    <row r="869" customFormat="false" ht="18.65" hidden="false" customHeight="true" outlineLevel="0" collapsed="false">
      <c r="A869" s="1" t="n">
        <f aca="false">ROW()-2</f>
        <v>867</v>
      </c>
      <c r="B869" s="1" t="n">
        <f aca="false">INT(A869/$N$1)</f>
        <v>48</v>
      </c>
      <c r="C869" s="1" t="n">
        <f aca="false">INT(MOD(A869,$N$1) / 2)</f>
        <v>1</v>
      </c>
      <c r="D869" s="1" t="n">
        <f aca="false">_xlfn.BITAND(A869,1)</f>
        <v>1</v>
      </c>
      <c r="F869" s="1" t="str">
        <f aca="false">DEC2HEX(B869*$N$3*18)</f>
        <v>D800</v>
      </c>
      <c r="G869" s="1" t="str">
        <f aca="false">DEC2HEX(C869*7)</f>
        <v>7</v>
      </c>
      <c r="H869" s="1" t="str">
        <f aca="false">IF(D869=0, 33, "cc")</f>
        <v>cc</v>
      </c>
    </row>
    <row r="870" customFormat="false" ht="18.65" hidden="false" customHeight="true" outlineLevel="0" collapsed="false">
      <c r="A870" s="1" t="n">
        <f aca="false">ROW()-2</f>
        <v>868</v>
      </c>
      <c r="B870" s="1" t="n">
        <f aca="false">INT(A870/$N$1)</f>
        <v>48</v>
      </c>
      <c r="C870" s="1" t="n">
        <f aca="false">INT(MOD(A870,$N$1) / 2)</f>
        <v>2</v>
      </c>
      <c r="D870" s="1" t="n">
        <f aca="false">_xlfn.BITAND(A870,1)</f>
        <v>0</v>
      </c>
      <c r="F870" s="1" t="str">
        <f aca="false">DEC2HEX(B870*$N$3*18)</f>
        <v>D800</v>
      </c>
      <c r="G870" s="1" t="str">
        <f aca="false">DEC2HEX(C870*7)</f>
        <v>E</v>
      </c>
      <c r="H870" s="1" t="n">
        <f aca="false">IF(D870=0, 33, "cc")</f>
        <v>33</v>
      </c>
    </row>
    <row r="871" customFormat="false" ht="18.65" hidden="false" customHeight="true" outlineLevel="0" collapsed="false">
      <c r="A871" s="1" t="n">
        <f aca="false">ROW()-2</f>
        <v>869</v>
      </c>
      <c r="B871" s="1" t="n">
        <f aca="false">INT(A871/$N$1)</f>
        <v>48</v>
      </c>
      <c r="C871" s="1" t="n">
        <f aca="false">INT(MOD(A871,$N$1) / 2)</f>
        <v>2</v>
      </c>
      <c r="D871" s="1" t="n">
        <f aca="false">_xlfn.BITAND(A871,1)</f>
        <v>1</v>
      </c>
      <c r="F871" s="1" t="str">
        <f aca="false">DEC2HEX(B871*$N$3*18)</f>
        <v>D800</v>
      </c>
      <c r="G871" s="1" t="str">
        <f aca="false">DEC2HEX(C871*7)</f>
        <v>E</v>
      </c>
      <c r="H871" s="1" t="str">
        <f aca="false">IF(D871=0, 33, "cc")</f>
        <v>cc</v>
      </c>
    </row>
    <row r="872" customFormat="false" ht="18.65" hidden="false" customHeight="true" outlineLevel="0" collapsed="false">
      <c r="A872" s="1" t="n">
        <f aca="false">ROW()-2</f>
        <v>870</v>
      </c>
      <c r="B872" s="1" t="n">
        <f aca="false">INT(A872/$N$1)</f>
        <v>48</v>
      </c>
      <c r="C872" s="1" t="n">
        <f aca="false">INT(MOD(A872,$N$1) / 2)</f>
        <v>3</v>
      </c>
      <c r="D872" s="1" t="n">
        <f aca="false">_xlfn.BITAND(A872,1)</f>
        <v>0</v>
      </c>
      <c r="F872" s="1" t="str">
        <f aca="false">DEC2HEX(B872*$N$3*18)</f>
        <v>D800</v>
      </c>
      <c r="G872" s="1" t="str">
        <f aca="false">DEC2HEX(C872*7)</f>
        <v>15</v>
      </c>
      <c r="H872" s="1" t="n">
        <f aca="false">IF(D872=0, 33, "cc")</f>
        <v>33</v>
      </c>
    </row>
    <row r="873" customFormat="false" ht="18.65" hidden="false" customHeight="true" outlineLevel="0" collapsed="false">
      <c r="A873" s="1" t="n">
        <f aca="false">ROW()-2</f>
        <v>871</v>
      </c>
      <c r="B873" s="1" t="n">
        <f aca="false">INT(A873/$N$1)</f>
        <v>48</v>
      </c>
      <c r="C873" s="1" t="n">
        <f aca="false">INT(MOD(A873,$N$1) / 2)</f>
        <v>3</v>
      </c>
      <c r="D873" s="1" t="n">
        <f aca="false">_xlfn.BITAND(A873,1)</f>
        <v>1</v>
      </c>
      <c r="F873" s="1" t="str">
        <f aca="false">DEC2HEX(B873*$N$3*18)</f>
        <v>D800</v>
      </c>
      <c r="G873" s="1" t="str">
        <f aca="false">DEC2HEX(C873*7)</f>
        <v>15</v>
      </c>
      <c r="H873" s="1" t="str">
        <f aca="false">IF(D873=0, 33, "cc")</f>
        <v>cc</v>
      </c>
    </row>
    <row r="874" customFormat="false" ht="18.65" hidden="false" customHeight="true" outlineLevel="0" collapsed="false">
      <c r="A874" s="1" t="n">
        <f aca="false">ROW()-2</f>
        <v>872</v>
      </c>
      <c r="B874" s="1" t="n">
        <f aca="false">INT(A874/$N$1)</f>
        <v>48</v>
      </c>
      <c r="C874" s="1" t="n">
        <f aca="false">INT(MOD(A874,$N$1) / 2)</f>
        <v>4</v>
      </c>
      <c r="D874" s="1" t="n">
        <f aca="false">_xlfn.BITAND(A874,1)</f>
        <v>0</v>
      </c>
      <c r="F874" s="1" t="str">
        <f aca="false">DEC2HEX(B874*$N$3*18)</f>
        <v>D800</v>
      </c>
      <c r="G874" s="1" t="str">
        <f aca="false">DEC2HEX(C874*7)</f>
        <v>1C</v>
      </c>
      <c r="H874" s="1" t="n">
        <f aca="false">IF(D874=0, 33, "cc")</f>
        <v>33</v>
      </c>
    </row>
    <row r="875" customFormat="false" ht="18.65" hidden="false" customHeight="true" outlineLevel="0" collapsed="false">
      <c r="A875" s="1" t="n">
        <f aca="false">ROW()-2</f>
        <v>873</v>
      </c>
      <c r="B875" s="1" t="n">
        <f aca="false">INT(A875/$N$1)</f>
        <v>48</v>
      </c>
      <c r="C875" s="1" t="n">
        <f aca="false">INT(MOD(A875,$N$1) / 2)</f>
        <v>4</v>
      </c>
      <c r="D875" s="1" t="n">
        <f aca="false">_xlfn.BITAND(A875,1)</f>
        <v>1</v>
      </c>
      <c r="F875" s="1" t="str">
        <f aca="false">DEC2HEX(B875*$N$3*18)</f>
        <v>D800</v>
      </c>
      <c r="G875" s="1" t="str">
        <f aca="false">DEC2HEX(C875*7)</f>
        <v>1C</v>
      </c>
      <c r="H875" s="1" t="str">
        <f aca="false">IF(D875=0, 33, "cc")</f>
        <v>cc</v>
      </c>
    </row>
    <row r="876" customFormat="false" ht="18.65" hidden="false" customHeight="true" outlineLevel="0" collapsed="false">
      <c r="A876" s="1" t="n">
        <f aca="false">ROW()-2</f>
        <v>874</v>
      </c>
      <c r="B876" s="1" t="n">
        <f aca="false">INT(A876/$N$1)</f>
        <v>48</v>
      </c>
      <c r="C876" s="1" t="n">
        <f aca="false">INT(MOD(A876,$N$1) / 2)</f>
        <v>5</v>
      </c>
      <c r="D876" s="1" t="n">
        <f aca="false">_xlfn.BITAND(A876,1)</f>
        <v>0</v>
      </c>
      <c r="F876" s="1" t="str">
        <f aca="false">DEC2HEX(B876*$N$3*18)</f>
        <v>D800</v>
      </c>
      <c r="G876" s="1" t="str">
        <f aca="false">DEC2HEX(C876*7)</f>
        <v>23</v>
      </c>
      <c r="H876" s="1" t="n">
        <f aca="false">IF(D876=0, 33, "cc")</f>
        <v>33</v>
      </c>
    </row>
    <row r="877" customFormat="false" ht="18.65" hidden="false" customHeight="true" outlineLevel="0" collapsed="false">
      <c r="A877" s="1" t="n">
        <f aca="false">ROW()-2</f>
        <v>875</v>
      </c>
      <c r="B877" s="1" t="n">
        <f aca="false">INT(A877/$N$1)</f>
        <v>48</v>
      </c>
      <c r="C877" s="1" t="n">
        <f aca="false">INT(MOD(A877,$N$1) / 2)</f>
        <v>5</v>
      </c>
      <c r="D877" s="1" t="n">
        <f aca="false">_xlfn.BITAND(A877,1)</f>
        <v>1</v>
      </c>
      <c r="F877" s="1" t="str">
        <f aca="false">DEC2HEX(B877*$N$3*18)</f>
        <v>D800</v>
      </c>
      <c r="G877" s="1" t="str">
        <f aca="false">DEC2HEX(C877*7)</f>
        <v>23</v>
      </c>
      <c r="H877" s="1" t="str">
        <f aca="false">IF(D877=0, 33, "cc")</f>
        <v>cc</v>
      </c>
    </row>
    <row r="878" customFormat="false" ht="18.65" hidden="false" customHeight="true" outlineLevel="0" collapsed="false">
      <c r="A878" s="1" t="n">
        <f aca="false">ROW()-2</f>
        <v>876</v>
      </c>
      <c r="B878" s="1" t="n">
        <f aca="false">INT(A878/$N$1)</f>
        <v>48</v>
      </c>
      <c r="C878" s="1" t="n">
        <f aca="false">INT(MOD(A878,$N$1) / 2)</f>
        <v>6</v>
      </c>
      <c r="D878" s="1" t="n">
        <f aca="false">_xlfn.BITAND(A878,1)</f>
        <v>0</v>
      </c>
      <c r="F878" s="1" t="str">
        <f aca="false">DEC2HEX(B878*$N$3*18)</f>
        <v>D800</v>
      </c>
      <c r="G878" s="1" t="str">
        <f aca="false">DEC2HEX(C878*7)</f>
        <v>2A</v>
      </c>
      <c r="H878" s="1" t="n">
        <f aca="false">IF(D878=0, 33, "cc")</f>
        <v>33</v>
      </c>
    </row>
    <row r="879" customFormat="false" ht="18.65" hidden="false" customHeight="true" outlineLevel="0" collapsed="false">
      <c r="A879" s="1" t="n">
        <f aca="false">ROW()-2</f>
        <v>877</v>
      </c>
      <c r="B879" s="1" t="n">
        <f aca="false">INT(A879/$N$1)</f>
        <v>48</v>
      </c>
      <c r="C879" s="1" t="n">
        <f aca="false">INT(MOD(A879,$N$1) / 2)</f>
        <v>6</v>
      </c>
      <c r="D879" s="1" t="n">
        <f aca="false">_xlfn.BITAND(A879,1)</f>
        <v>1</v>
      </c>
      <c r="F879" s="1" t="str">
        <f aca="false">DEC2HEX(B879*$N$3*18)</f>
        <v>D800</v>
      </c>
      <c r="G879" s="1" t="str">
        <f aca="false">DEC2HEX(C879*7)</f>
        <v>2A</v>
      </c>
      <c r="H879" s="1" t="str">
        <f aca="false">IF(D879=0, 33, "cc")</f>
        <v>cc</v>
      </c>
    </row>
    <row r="880" customFormat="false" ht="18.65" hidden="false" customHeight="true" outlineLevel="0" collapsed="false">
      <c r="A880" s="1" t="n">
        <f aca="false">ROW()-2</f>
        <v>878</v>
      </c>
      <c r="B880" s="1" t="n">
        <f aca="false">INT(A880/$N$1)</f>
        <v>48</v>
      </c>
      <c r="C880" s="1" t="n">
        <f aca="false">INT(MOD(A880,$N$1) / 2)</f>
        <v>7</v>
      </c>
      <c r="D880" s="1" t="n">
        <f aca="false">_xlfn.BITAND(A880,1)</f>
        <v>0</v>
      </c>
      <c r="F880" s="1" t="str">
        <f aca="false">DEC2HEX(B880*$N$3*18)</f>
        <v>D800</v>
      </c>
      <c r="G880" s="1" t="str">
        <f aca="false">DEC2HEX(C880*7)</f>
        <v>31</v>
      </c>
      <c r="H880" s="1" t="n">
        <f aca="false">IF(D880=0, 33, "cc")</f>
        <v>33</v>
      </c>
    </row>
    <row r="881" customFormat="false" ht="18.65" hidden="false" customHeight="true" outlineLevel="0" collapsed="false">
      <c r="A881" s="1" t="n">
        <f aca="false">ROW()-2</f>
        <v>879</v>
      </c>
      <c r="B881" s="1" t="n">
        <f aca="false">INT(A881/$N$1)</f>
        <v>48</v>
      </c>
      <c r="C881" s="1" t="n">
        <f aca="false">INT(MOD(A881,$N$1) / 2)</f>
        <v>7</v>
      </c>
      <c r="D881" s="1" t="n">
        <f aca="false">_xlfn.BITAND(A881,1)</f>
        <v>1</v>
      </c>
      <c r="F881" s="1" t="str">
        <f aca="false">DEC2HEX(B881*$N$3*18)</f>
        <v>D800</v>
      </c>
      <c r="G881" s="1" t="str">
        <f aca="false">DEC2HEX(C881*7)</f>
        <v>31</v>
      </c>
      <c r="H881" s="1" t="str">
        <f aca="false">IF(D881=0, 33, "cc")</f>
        <v>cc</v>
      </c>
    </row>
    <row r="882" customFormat="false" ht="18.65" hidden="false" customHeight="true" outlineLevel="0" collapsed="false">
      <c r="A882" s="1" t="n">
        <f aca="false">ROW()-2</f>
        <v>880</v>
      </c>
      <c r="B882" s="1" t="n">
        <f aca="false">INT(A882/$N$1)</f>
        <v>48</v>
      </c>
      <c r="C882" s="1" t="n">
        <f aca="false">INT(MOD(A882,$N$1) / 2)</f>
        <v>8</v>
      </c>
      <c r="D882" s="1" t="n">
        <f aca="false">_xlfn.BITAND(A882,1)</f>
        <v>0</v>
      </c>
      <c r="F882" s="1" t="str">
        <f aca="false">DEC2HEX(B882*$N$3*18)</f>
        <v>D800</v>
      </c>
      <c r="G882" s="1" t="str">
        <f aca="false">DEC2HEX(C882*7)</f>
        <v>38</v>
      </c>
      <c r="H882" s="1" t="n">
        <f aca="false">IF(D882=0, 33, "cc")</f>
        <v>33</v>
      </c>
    </row>
    <row r="883" customFormat="false" ht="18.65" hidden="false" customHeight="true" outlineLevel="0" collapsed="false">
      <c r="A883" s="1" t="n">
        <f aca="false">ROW()-2</f>
        <v>881</v>
      </c>
      <c r="B883" s="1" t="n">
        <f aca="false">INT(A883/$N$1)</f>
        <v>48</v>
      </c>
      <c r="C883" s="1" t="n">
        <f aca="false">INT(MOD(A883,$N$1) / 2)</f>
        <v>8</v>
      </c>
      <c r="D883" s="1" t="n">
        <f aca="false">_xlfn.BITAND(A883,1)</f>
        <v>1</v>
      </c>
      <c r="F883" s="1" t="str">
        <f aca="false">DEC2HEX(B883*$N$3*18)</f>
        <v>D800</v>
      </c>
      <c r="G883" s="1" t="str">
        <f aca="false">DEC2HEX(C883*7)</f>
        <v>38</v>
      </c>
      <c r="H883" s="1" t="str">
        <f aca="false">IF(D883=0, 33, "cc")</f>
        <v>cc</v>
      </c>
    </row>
    <row r="884" customFormat="false" ht="18.65" hidden="false" customHeight="true" outlineLevel="0" collapsed="false">
      <c r="A884" s="1" t="n">
        <f aca="false">ROW()-2</f>
        <v>882</v>
      </c>
      <c r="B884" s="1" t="n">
        <f aca="false">INT(A884/$N$1)</f>
        <v>49</v>
      </c>
      <c r="C884" s="1" t="n">
        <f aca="false">INT(MOD(A884,$N$1) / 2)</f>
        <v>0</v>
      </c>
      <c r="D884" s="1" t="n">
        <f aca="false">_xlfn.BITAND(A884,1)</f>
        <v>0</v>
      </c>
      <c r="F884" s="1" t="str">
        <f aca="false">DEC2HEX(B884*$N$3*18)</f>
        <v>DC80</v>
      </c>
      <c r="G884" s="1" t="str">
        <f aca="false">DEC2HEX(C884*7)</f>
        <v>0</v>
      </c>
      <c r="H884" s="1" t="n">
        <f aca="false">IF(D884=0, 33, "cc")</f>
        <v>33</v>
      </c>
    </row>
    <row r="885" customFormat="false" ht="18.65" hidden="false" customHeight="true" outlineLevel="0" collapsed="false">
      <c r="A885" s="1" t="n">
        <f aca="false">ROW()-2</f>
        <v>883</v>
      </c>
      <c r="B885" s="1" t="n">
        <f aca="false">INT(A885/$N$1)</f>
        <v>49</v>
      </c>
      <c r="C885" s="1" t="n">
        <f aca="false">INT(MOD(A885,$N$1) / 2)</f>
        <v>0</v>
      </c>
      <c r="D885" s="1" t="n">
        <f aca="false">_xlfn.BITAND(A885,1)</f>
        <v>1</v>
      </c>
      <c r="F885" s="1" t="str">
        <f aca="false">DEC2HEX(B885*$N$3*18)</f>
        <v>DC80</v>
      </c>
      <c r="G885" s="1" t="str">
        <f aca="false">DEC2HEX(C885*7)</f>
        <v>0</v>
      </c>
      <c r="H885" s="1" t="str">
        <f aca="false">IF(D885=0, 33, "cc")</f>
        <v>cc</v>
      </c>
    </row>
    <row r="886" customFormat="false" ht="18.65" hidden="false" customHeight="true" outlineLevel="0" collapsed="false">
      <c r="A886" s="1" t="n">
        <f aca="false">ROW()-2</f>
        <v>884</v>
      </c>
      <c r="B886" s="1" t="n">
        <f aca="false">INT(A886/$N$1)</f>
        <v>49</v>
      </c>
      <c r="C886" s="1" t="n">
        <f aca="false">INT(MOD(A886,$N$1) / 2)</f>
        <v>1</v>
      </c>
      <c r="D886" s="1" t="n">
        <f aca="false">_xlfn.BITAND(A886,1)</f>
        <v>0</v>
      </c>
      <c r="F886" s="1" t="str">
        <f aca="false">DEC2HEX(B886*$N$3*18)</f>
        <v>DC80</v>
      </c>
      <c r="G886" s="1" t="str">
        <f aca="false">DEC2HEX(C886*7)</f>
        <v>7</v>
      </c>
      <c r="H886" s="1" t="n">
        <f aca="false">IF(D886=0, 33, "cc")</f>
        <v>33</v>
      </c>
    </row>
    <row r="887" customFormat="false" ht="18.65" hidden="false" customHeight="true" outlineLevel="0" collapsed="false">
      <c r="A887" s="1" t="n">
        <f aca="false">ROW()-2</f>
        <v>885</v>
      </c>
      <c r="B887" s="1" t="n">
        <f aca="false">INT(A887/$N$1)</f>
        <v>49</v>
      </c>
      <c r="C887" s="1" t="n">
        <f aca="false">INT(MOD(A887,$N$1) / 2)</f>
        <v>1</v>
      </c>
      <c r="D887" s="1" t="n">
        <f aca="false">_xlfn.BITAND(A887,1)</f>
        <v>1</v>
      </c>
      <c r="F887" s="1" t="str">
        <f aca="false">DEC2HEX(B887*$N$3*18)</f>
        <v>DC80</v>
      </c>
      <c r="G887" s="1" t="str">
        <f aca="false">DEC2HEX(C887*7)</f>
        <v>7</v>
      </c>
      <c r="H887" s="1" t="str">
        <f aca="false">IF(D887=0, 33, "cc")</f>
        <v>cc</v>
      </c>
    </row>
    <row r="888" customFormat="false" ht="18.65" hidden="false" customHeight="true" outlineLevel="0" collapsed="false">
      <c r="A888" s="1" t="n">
        <f aca="false">ROW()-2</f>
        <v>886</v>
      </c>
      <c r="B888" s="1" t="n">
        <f aca="false">INT(A888/$N$1)</f>
        <v>49</v>
      </c>
      <c r="C888" s="1" t="n">
        <f aca="false">INT(MOD(A888,$N$1) / 2)</f>
        <v>2</v>
      </c>
      <c r="D888" s="1" t="n">
        <f aca="false">_xlfn.BITAND(A888,1)</f>
        <v>0</v>
      </c>
      <c r="F888" s="1" t="str">
        <f aca="false">DEC2HEX(B888*$N$3*18)</f>
        <v>DC80</v>
      </c>
      <c r="G888" s="1" t="str">
        <f aca="false">DEC2HEX(C888*7)</f>
        <v>E</v>
      </c>
      <c r="H888" s="1" t="n">
        <f aca="false">IF(D888=0, 33, "cc")</f>
        <v>33</v>
      </c>
    </row>
    <row r="889" customFormat="false" ht="18.65" hidden="false" customHeight="true" outlineLevel="0" collapsed="false">
      <c r="A889" s="1" t="n">
        <f aca="false">ROW()-2</f>
        <v>887</v>
      </c>
      <c r="B889" s="1" t="n">
        <f aca="false">INT(A889/$N$1)</f>
        <v>49</v>
      </c>
      <c r="C889" s="1" t="n">
        <f aca="false">INT(MOD(A889,$N$1) / 2)</f>
        <v>2</v>
      </c>
      <c r="D889" s="1" t="n">
        <f aca="false">_xlfn.BITAND(A889,1)</f>
        <v>1</v>
      </c>
      <c r="F889" s="1" t="str">
        <f aca="false">DEC2HEX(B889*$N$3*18)</f>
        <v>DC80</v>
      </c>
      <c r="G889" s="1" t="str">
        <f aca="false">DEC2HEX(C889*7)</f>
        <v>E</v>
      </c>
      <c r="H889" s="1" t="str">
        <f aca="false">IF(D889=0, 33, "cc")</f>
        <v>cc</v>
      </c>
    </row>
    <row r="890" customFormat="false" ht="18.65" hidden="false" customHeight="true" outlineLevel="0" collapsed="false">
      <c r="A890" s="1" t="n">
        <f aca="false">ROW()-2</f>
        <v>888</v>
      </c>
      <c r="B890" s="1" t="n">
        <f aca="false">INT(A890/$N$1)</f>
        <v>49</v>
      </c>
      <c r="C890" s="1" t="n">
        <f aca="false">INT(MOD(A890,$N$1) / 2)</f>
        <v>3</v>
      </c>
      <c r="D890" s="1" t="n">
        <f aca="false">_xlfn.BITAND(A890,1)</f>
        <v>0</v>
      </c>
      <c r="F890" s="1" t="str">
        <f aca="false">DEC2HEX(B890*$N$3*18)</f>
        <v>DC80</v>
      </c>
      <c r="G890" s="1" t="str">
        <f aca="false">DEC2HEX(C890*7)</f>
        <v>15</v>
      </c>
      <c r="H890" s="1" t="n">
        <f aca="false">IF(D890=0, 33, "cc")</f>
        <v>33</v>
      </c>
    </row>
    <row r="891" customFormat="false" ht="18.65" hidden="false" customHeight="true" outlineLevel="0" collapsed="false">
      <c r="A891" s="1" t="n">
        <f aca="false">ROW()-2</f>
        <v>889</v>
      </c>
      <c r="B891" s="1" t="n">
        <f aca="false">INT(A891/$N$1)</f>
        <v>49</v>
      </c>
      <c r="C891" s="1" t="n">
        <f aca="false">INT(MOD(A891,$N$1) / 2)</f>
        <v>3</v>
      </c>
      <c r="D891" s="1" t="n">
        <f aca="false">_xlfn.BITAND(A891,1)</f>
        <v>1</v>
      </c>
      <c r="F891" s="1" t="str">
        <f aca="false">DEC2HEX(B891*$N$3*18)</f>
        <v>DC80</v>
      </c>
      <c r="G891" s="1" t="str">
        <f aca="false">DEC2HEX(C891*7)</f>
        <v>15</v>
      </c>
      <c r="H891" s="1" t="str">
        <f aca="false">IF(D891=0, 33, "cc")</f>
        <v>cc</v>
      </c>
    </row>
    <row r="892" customFormat="false" ht="18.65" hidden="false" customHeight="true" outlineLevel="0" collapsed="false">
      <c r="A892" s="1" t="n">
        <f aca="false">ROW()-2</f>
        <v>890</v>
      </c>
      <c r="B892" s="1" t="n">
        <f aca="false">INT(A892/$N$1)</f>
        <v>49</v>
      </c>
      <c r="C892" s="1" t="n">
        <f aca="false">INT(MOD(A892,$N$1) / 2)</f>
        <v>4</v>
      </c>
      <c r="D892" s="1" t="n">
        <f aca="false">_xlfn.BITAND(A892,1)</f>
        <v>0</v>
      </c>
      <c r="F892" s="1" t="str">
        <f aca="false">DEC2HEX(B892*$N$3*18)</f>
        <v>DC80</v>
      </c>
      <c r="G892" s="1" t="str">
        <f aca="false">DEC2HEX(C892*7)</f>
        <v>1C</v>
      </c>
      <c r="H892" s="1" t="n">
        <f aca="false">IF(D892=0, 33, "cc")</f>
        <v>33</v>
      </c>
    </row>
    <row r="893" customFormat="false" ht="18.65" hidden="false" customHeight="true" outlineLevel="0" collapsed="false">
      <c r="A893" s="1" t="n">
        <f aca="false">ROW()-2</f>
        <v>891</v>
      </c>
      <c r="B893" s="1" t="n">
        <f aca="false">INT(A893/$N$1)</f>
        <v>49</v>
      </c>
      <c r="C893" s="1" t="n">
        <f aca="false">INT(MOD(A893,$N$1) / 2)</f>
        <v>4</v>
      </c>
      <c r="D893" s="1" t="n">
        <f aca="false">_xlfn.BITAND(A893,1)</f>
        <v>1</v>
      </c>
      <c r="F893" s="1" t="str">
        <f aca="false">DEC2HEX(B893*$N$3*18)</f>
        <v>DC80</v>
      </c>
      <c r="G893" s="1" t="str">
        <f aca="false">DEC2HEX(C893*7)</f>
        <v>1C</v>
      </c>
      <c r="H893" s="1" t="str">
        <f aca="false">IF(D893=0, 33, "cc")</f>
        <v>cc</v>
      </c>
    </row>
    <row r="894" customFormat="false" ht="18.65" hidden="false" customHeight="true" outlineLevel="0" collapsed="false">
      <c r="A894" s="1" t="n">
        <f aca="false">ROW()-2</f>
        <v>892</v>
      </c>
      <c r="B894" s="1" t="n">
        <f aca="false">INT(A894/$N$1)</f>
        <v>49</v>
      </c>
      <c r="C894" s="1" t="n">
        <f aca="false">INT(MOD(A894,$N$1) / 2)</f>
        <v>5</v>
      </c>
      <c r="D894" s="1" t="n">
        <f aca="false">_xlfn.BITAND(A894,1)</f>
        <v>0</v>
      </c>
      <c r="F894" s="1" t="str">
        <f aca="false">DEC2HEX(B894*$N$3*18)</f>
        <v>DC80</v>
      </c>
      <c r="G894" s="1" t="str">
        <f aca="false">DEC2HEX(C894*7)</f>
        <v>23</v>
      </c>
      <c r="H894" s="1" t="n">
        <f aca="false">IF(D894=0, 33, "cc")</f>
        <v>33</v>
      </c>
    </row>
    <row r="895" customFormat="false" ht="18.65" hidden="false" customHeight="true" outlineLevel="0" collapsed="false">
      <c r="A895" s="1" t="n">
        <f aca="false">ROW()-2</f>
        <v>893</v>
      </c>
      <c r="B895" s="1" t="n">
        <f aca="false">INT(A895/$N$1)</f>
        <v>49</v>
      </c>
      <c r="C895" s="1" t="n">
        <f aca="false">INT(MOD(A895,$N$1) / 2)</f>
        <v>5</v>
      </c>
      <c r="D895" s="1" t="n">
        <f aca="false">_xlfn.BITAND(A895,1)</f>
        <v>1</v>
      </c>
      <c r="F895" s="1" t="str">
        <f aca="false">DEC2HEX(B895*$N$3*18)</f>
        <v>DC80</v>
      </c>
      <c r="G895" s="1" t="str">
        <f aca="false">DEC2HEX(C895*7)</f>
        <v>23</v>
      </c>
      <c r="H895" s="1" t="str">
        <f aca="false">IF(D895=0, 33, "cc")</f>
        <v>cc</v>
      </c>
    </row>
    <row r="896" customFormat="false" ht="18.65" hidden="false" customHeight="true" outlineLevel="0" collapsed="false">
      <c r="A896" s="1" t="n">
        <f aca="false">ROW()-2</f>
        <v>894</v>
      </c>
      <c r="B896" s="1" t="n">
        <f aca="false">INT(A896/$N$1)</f>
        <v>49</v>
      </c>
      <c r="C896" s="1" t="n">
        <f aca="false">INT(MOD(A896,$N$1) / 2)</f>
        <v>6</v>
      </c>
      <c r="D896" s="1" t="n">
        <f aca="false">_xlfn.BITAND(A896,1)</f>
        <v>0</v>
      </c>
      <c r="F896" s="1" t="str">
        <f aca="false">DEC2HEX(B896*$N$3*18)</f>
        <v>DC80</v>
      </c>
      <c r="G896" s="1" t="str">
        <f aca="false">DEC2HEX(C896*7)</f>
        <v>2A</v>
      </c>
      <c r="H896" s="1" t="n">
        <f aca="false">IF(D896=0, 33, "cc")</f>
        <v>33</v>
      </c>
    </row>
    <row r="897" customFormat="false" ht="18.65" hidden="false" customHeight="true" outlineLevel="0" collapsed="false">
      <c r="A897" s="1" t="n">
        <f aca="false">ROW()-2</f>
        <v>895</v>
      </c>
      <c r="B897" s="1" t="n">
        <f aca="false">INT(A897/$N$1)</f>
        <v>49</v>
      </c>
      <c r="C897" s="1" t="n">
        <f aca="false">INT(MOD(A897,$N$1) / 2)</f>
        <v>6</v>
      </c>
      <c r="D897" s="1" t="n">
        <f aca="false">_xlfn.BITAND(A897,1)</f>
        <v>1</v>
      </c>
      <c r="F897" s="1" t="str">
        <f aca="false">DEC2HEX(B897*$N$3*18)</f>
        <v>DC80</v>
      </c>
      <c r="G897" s="1" t="str">
        <f aca="false">DEC2HEX(C897*7)</f>
        <v>2A</v>
      </c>
      <c r="H897" s="1" t="str">
        <f aca="false">IF(D897=0, 33, "cc")</f>
        <v>cc</v>
      </c>
    </row>
    <row r="898" customFormat="false" ht="18.65" hidden="false" customHeight="true" outlineLevel="0" collapsed="false">
      <c r="A898" s="1" t="n">
        <f aca="false">ROW()-2</f>
        <v>896</v>
      </c>
      <c r="B898" s="1" t="n">
        <f aca="false">INT(A898/$N$1)</f>
        <v>49</v>
      </c>
      <c r="C898" s="1" t="n">
        <f aca="false">INT(MOD(A898,$N$1) / 2)</f>
        <v>7</v>
      </c>
      <c r="D898" s="1" t="n">
        <f aca="false">_xlfn.BITAND(A898,1)</f>
        <v>0</v>
      </c>
      <c r="F898" s="1" t="str">
        <f aca="false">DEC2HEX(B898*$N$3*18)</f>
        <v>DC80</v>
      </c>
      <c r="G898" s="1" t="str">
        <f aca="false">DEC2HEX(C898*7)</f>
        <v>31</v>
      </c>
      <c r="H898" s="1" t="n">
        <f aca="false">IF(D898=0, 33, "cc")</f>
        <v>33</v>
      </c>
    </row>
    <row r="899" customFormat="false" ht="18.65" hidden="false" customHeight="true" outlineLevel="0" collapsed="false">
      <c r="A899" s="1" t="n">
        <f aca="false">ROW()-2</f>
        <v>897</v>
      </c>
      <c r="B899" s="1" t="n">
        <f aca="false">INT(A899/$N$1)</f>
        <v>49</v>
      </c>
      <c r="C899" s="1" t="n">
        <f aca="false">INT(MOD(A899,$N$1) / 2)</f>
        <v>7</v>
      </c>
      <c r="D899" s="1" t="n">
        <f aca="false">_xlfn.BITAND(A899,1)</f>
        <v>1</v>
      </c>
      <c r="F899" s="1" t="str">
        <f aca="false">DEC2HEX(B899*$N$3*18)</f>
        <v>DC80</v>
      </c>
      <c r="G899" s="1" t="str">
        <f aca="false">DEC2HEX(C899*7)</f>
        <v>31</v>
      </c>
      <c r="H899" s="1" t="str">
        <f aca="false">IF(D899=0, 33, "cc")</f>
        <v>cc</v>
      </c>
    </row>
    <row r="900" customFormat="false" ht="18.65" hidden="false" customHeight="true" outlineLevel="0" collapsed="false">
      <c r="A900" s="1" t="n">
        <f aca="false">ROW()-2</f>
        <v>898</v>
      </c>
      <c r="B900" s="1" t="n">
        <f aca="false">INT(A900/$N$1)</f>
        <v>49</v>
      </c>
      <c r="C900" s="1" t="n">
        <f aca="false">INT(MOD(A900,$N$1) / 2)</f>
        <v>8</v>
      </c>
      <c r="D900" s="1" t="n">
        <f aca="false">_xlfn.BITAND(A900,1)</f>
        <v>0</v>
      </c>
      <c r="F900" s="1" t="str">
        <f aca="false">DEC2HEX(B900*$N$3*18)</f>
        <v>DC80</v>
      </c>
      <c r="G900" s="1" t="str">
        <f aca="false">DEC2HEX(C900*7)</f>
        <v>38</v>
      </c>
      <c r="H900" s="1" t="n">
        <f aca="false">IF(D900=0, 33, "cc")</f>
        <v>33</v>
      </c>
    </row>
    <row r="901" customFormat="false" ht="18.65" hidden="false" customHeight="true" outlineLevel="0" collapsed="false">
      <c r="A901" s="1" t="n">
        <f aca="false">ROW()-2</f>
        <v>899</v>
      </c>
      <c r="B901" s="1" t="n">
        <f aca="false">INT(A901/$N$1)</f>
        <v>49</v>
      </c>
      <c r="C901" s="1" t="n">
        <f aca="false">INT(MOD(A901,$N$1) / 2)</f>
        <v>8</v>
      </c>
      <c r="D901" s="1" t="n">
        <f aca="false">_xlfn.BITAND(A901,1)</f>
        <v>1</v>
      </c>
      <c r="F901" s="1" t="str">
        <f aca="false">DEC2HEX(B901*$N$3*18)</f>
        <v>DC80</v>
      </c>
      <c r="G901" s="1" t="str">
        <f aca="false">DEC2HEX(C901*7)</f>
        <v>38</v>
      </c>
      <c r="H901" s="1" t="str">
        <f aca="false">IF(D901=0, 33, "cc")</f>
        <v>cc</v>
      </c>
    </row>
    <row r="902" customFormat="false" ht="18.65" hidden="false" customHeight="true" outlineLevel="0" collapsed="false">
      <c r="A902" s="1" t="n">
        <f aca="false">ROW()-2</f>
        <v>900</v>
      </c>
      <c r="B902" s="1" t="n">
        <f aca="false">INT(A902/$N$1)</f>
        <v>50</v>
      </c>
      <c r="C902" s="1" t="n">
        <f aca="false">INT(MOD(A902,$N$1) / 2)</f>
        <v>0</v>
      </c>
      <c r="D902" s="1" t="n">
        <f aca="false">_xlfn.BITAND(A902,1)</f>
        <v>0</v>
      </c>
      <c r="F902" s="1" t="str">
        <f aca="false">DEC2HEX(B902*$N$3*18)</f>
        <v>E100</v>
      </c>
      <c r="G902" s="1" t="str">
        <f aca="false">DEC2HEX(C902*7)</f>
        <v>0</v>
      </c>
      <c r="H902" s="1" t="n">
        <f aca="false">IF(D902=0, 33, "cc")</f>
        <v>33</v>
      </c>
    </row>
    <row r="903" customFormat="false" ht="18.65" hidden="false" customHeight="true" outlineLevel="0" collapsed="false">
      <c r="A903" s="1" t="n">
        <f aca="false">ROW()-2</f>
        <v>901</v>
      </c>
      <c r="B903" s="1" t="n">
        <f aca="false">INT(A903/$N$1)</f>
        <v>50</v>
      </c>
      <c r="C903" s="1" t="n">
        <f aca="false">INT(MOD(A903,$N$1) / 2)</f>
        <v>0</v>
      </c>
      <c r="D903" s="1" t="n">
        <f aca="false">_xlfn.BITAND(A903,1)</f>
        <v>1</v>
      </c>
      <c r="F903" s="1" t="str">
        <f aca="false">DEC2HEX(B903*$N$3*18)</f>
        <v>E100</v>
      </c>
      <c r="G903" s="1" t="str">
        <f aca="false">DEC2HEX(C903*7)</f>
        <v>0</v>
      </c>
      <c r="H903" s="1" t="str">
        <f aca="false">IF(D903=0, 33, "cc")</f>
        <v>cc</v>
      </c>
    </row>
    <row r="904" customFormat="false" ht="18.65" hidden="false" customHeight="true" outlineLevel="0" collapsed="false">
      <c r="A904" s="1" t="n">
        <f aca="false">ROW()-2</f>
        <v>902</v>
      </c>
      <c r="B904" s="1" t="n">
        <f aca="false">INT(A904/$N$1)</f>
        <v>50</v>
      </c>
      <c r="C904" s="1" t="n">
        <f aca="false">INT(MOD(A904,$N$1) / 2)</f>
        <v>1</v>
      </c>
      <c r="D904" s="1" t="n">
        <f aca="false">_xlfn.BITAND(A904,1)</f>
        <v>0</v>
      </c>
      <c r="F904" s="1" t="str">
        <f aca="false">DEC2HEX(B904*$N$3*18)</f>
        <v>E100</v>
      </c>
      <c r="G904" s="1" t="str">
        <f aca="false">DEC2HEX(C904*7)</f>
        <v>7</v>
      </c>
      <c r="H904" s="1" t="n">
        <f aca="false">IF(D904=0, 33, "cc")</f>
        <v>33</v>
      </c>
    </row>
    <row r="905" customFormat="false" ht="18.65" hidden="false" customHeight="true" outlineLevel="0" collapsed="false">
      <c r="A905" s="1" t="n">
        <f aca="false">ROW()-2</f>
        <v>903</v>
      </c>
      <c r="B905" s="1" t="n">
        <f aca="false">INT(A905/$N$1)</f>
        <v>50</v>
      </c>
      <c r="C905" s="1" t="n">
        <f aca="false">INT(MOD(A905,$N$1) / 2)</f>
        <v>1</v>
      </c>
      <c r="D905" s="1" t="n">
        <f aca="false">_xlfn.BITAND(A905,1)</f>
        <v>1</v>
      </c>
      <c r="F905" s="1" t="str">
        <f aca="false">DEC2HEX(B905*$N$3*18)</f>
        <v>E100</v>
      </c>
      <c r="G905" s="1" t="str">
        <f aca="false">DEC2HEX(C905*7)</f>
        <v>7</v>
      </c>
      <c r="H905" s="1" t="str">
        <f aca="false">IF(D905=0, 33, "cc")</f>
        <v>cc</v>
      </c>
    </row>
    <row r="906" customFormat="false" ht="18.65" hidden="false" customHeight="true" outlineLevel="0" collapsed="false">
      <c r="A906" s="1" t="n">
        <f aca="false">ROW()-2</f>
        <v>904</v>
      </c>
      <c r="B906" s="1" t="n">
        <f aca="false">INT(A906/$N$1)</f>
        <v>50</v>
      </c>
      <c r="C906" s="1" t="n">
        <f aca="false">INT(MOD(A906,$N$1) / 2)</f>
        <v>2</v>
      </c>
      <c r="D906" s="1" t="n">
        <f aca="false">_xlfn.BITAND(A906,1)</f>
        <v>0</v>
      </c>
      <c r="F906" s="1" t="str">
        <f aca="false">DEC2HEX(B906*$N$3*18)</f>
        <v>E100</v>
      </c>
      <c r="G906" s="1" t="str">
        <f aca="false">DEC2HEX(C906*7)</f>
        <v>E</v>
      </c>
      <c r="H906" s="1" t="n">
        <f aca="false">IF(D906=0, 33, "cc")</f>
        <v>33</v>
      </c>
    </row>
    <row r="907" customFormat="false" ht="18.65" hidden="false" customHeight="true" outlineLevel="0" collapsed="false">
      <c r="A907" s="1" t="n">
        <f aca="false">ROW()-2</f>
        <v>905</v>
      </c>
      <c r="B907" s="1" t="n">
        <f aca="false">INT(A907/$N$1)</f>
        <v>50</v>
      </c>
      <c r="C907" s="1" t="n">
        <f aca="false">INT(MOD(A907,$N$1) / 2)</f>
        <v>2</v>
      </c>
      <c r="D907" s="1" t="n">
        <f aca="false">_xlfn.BITAND(A907,1)</f>
        <v>1</v>
      </c>
      <c r="F907" s="1" t="str">
        <f aca="false">DEC2HEX(B907*$N$3*18)</f>
        <v>E100</v>
      </c>
      <c r="G907" s="1" t="str">
        <f aca="false">DEC2HEX(C907*7)</f>
        <v>E</v>
      </c>
      <c r="H907" s="1" t="str">
        <f aca="false">IF(D907=0, 33, "cc")</f>
        <v>cc</v>
      </c>
    </row>
    <row r="908" customFormat="false" ht="18.65" hidden="false" customHeight="true" outlineLevel="0" collapsed="false">
      <c r="A908" s="1" t="n">
        <f aca="false">ROW()-2</f>
        <v>906</v>
      </c>
      <c r="B908" s="1" t="n">
        <f aca="false">INT(A908/$N$1)</f>
        <v>50</v>
      </c>
      <c r="C908" s="1" t="n">
        <f aca="false">INT(MOD(A908,$N$1) / 2)</f>
        <v>3</v>
      </c>
      <c r="D908" s="1" t="n">
        <f aca="false">_xlfn.BITAND(A908,1)</f>
        <v>0</v>
      </c>
      <c r="F908" s="1" t="str">
        <f aca="false">DEC2HEX(B908*$N$3*18)</f>
        <v>E100</v>
      </c>
      <c r="G908" s="1" t="str">
        <f aca="false">DEC2HEX(C908*7)</f>
        <v>15</v>
      </c>
      <c r="H908" s="1" t="n">
        <f aca="false">IF(D908=0, 33, "cc")</f>
        <v>33</v>
      </c>
    </row>
    <row r="909" customFormat="false" ht="18.65" hidden="false" customHeight="true" outlineLevel="0" collapsed="false">
      <c r="A909" s="1" t="n">
        <f aca="false">ROW()-2</f>
        <v>907</v>
      </c>
      <c r="B909" s="1" t="n">
        <f aca="false">INT(A909/$N$1)</f>
        <v>50</v>
      </c>
      <c r="C909" s="1" t="n">
        <f aca="false">INT(MOD(A909,$N$1) / 2)</f>
        <v>3</v>
      </c>
      <c r="D909" s="1" t="n">
        <f aca="false">_xlfn.BITAND(A909,1)</f>
        <v>1</v>
      </c>
      <c r="F909" s="1" t="str">
        <f aca="false">DEC2HEX(B909*$N$3*18)</f>
        <v>E100</v>
      </c>
      <c r="G909" s="1" t="str">
        <f aca="false">DEC2HEX(C909*7)</f>
        <v>15</v>
      </c>
      <c r="H909" s="1" t="str">
        <f aca="false">IF(D909=0, 33, "cc")</f>
        <v>cc</v>
      </c>
    </row>
    <row r="910" customFormat="false" ht="18.65" hidden="false" customHeight="true" outlineLevel="0" collapsed="false">
      <c r="A910" s="1" t="n">
        <f aca="false">ROW()-2</f>
        <v>908</v>
      </c>
      <c r="B910" s="1" t="n">
        <f aca="false">INT(A910/$N$1)</f>
        <v>50</v>
      </c>
      <c r="C910" s="1" t="n">
        <f aca="false">INT(MOD(A910,$N$1) / 2)</f>
        <v>4</v>
      </c>
      <c r="D910" s="1" t="n">
        <f aca="false">_xlfn.BITAND(A910,1)</f>
        <v>0</v>
      </c>
      <c r="F910" s="1" t="str">
        <f aca="false">DEC2HEX(B910*$N$3*18)</f>
        <v>E100</v>
      </c>
      <c r="G910" s="1" t="str">
        <f aca="false">DEC2HEX(C910*7)</f>
        <v>1C</v>
      </c>
      <c r="H910" s="1" t="n">
        <f aca="false">IF(D910=0, 33, "cc")</f>
        <v>33</v>
      </c>
    </row>
    <row r="911" customFormat="false" ht="18.65" hidden="false" customHeight="true" outlineLevel="0" collapsed="false">
      <c r="A911" s="1" t="n">
        <f aca="false">ROW()-2</f>
        <v>909</v>
      </c>
      <c r="B911" s="1" t="n">
        <f aca="false">INT(A911/$N$1)</f>
        <v>50</v>
      </c>
      <c r="C911" s="1" t="n">
        <f aca="false">INT(MOD(A911,$N$1) / 2)</f>
        <v>4</v>
      </c>
      <c r="D911" s="1" t="n">
        <f aca="false">_xlfn.BITAND(A911,1)</f>
        <v>1</v>
      </c>
      <c r="F911" s="1" t="str">
        <f aca="false">DEC2HEX(B911*$N$3*18)</f>
        <v>E100</v>
      </c>
      <c r="G911" s="1" t="str">
        <f aca="false">DEC2HEX(C911*7)</f>
        <v>1C</v>
      </c>
      <c r="H911" s="1" t="str">
        <f aca="false">IF(D911=0, 33, "cc")</f>
        <v>cc</v>
      </c>
    </row>
    <row r="912" customFormat="false" ht="18.65" hidden="false" customHeight="true" outlineLevel="0" collapsed="false">
      <c r="A912" s="1" t="n">
        <f aca="false">ROW()-2</f>
        <v>910</v>
      </c>
      <c r="B912" s="1" t="n">
        <f aca="false">INT(A912/$N$1)</f>
        <v>50</v>
      </c>
      <c r="C912" s="1" t="n">
        <f aca="false">INT(MOD(A912,$N$1) / 2)</f>
        <v>5</v>
      </c>
      <c r="D912" s="1" t="n">
        <f aca="false">_xlfn.BITAND(A912,1)</f>
        <v>0</v>
      </c>
      <c r="F912" s="1" t="str">
        <f aca="false">DEC2HEX(B912*$N$3*18)</f>
        <v>E100</v>
      </c>
      <c r="G912" s="1" t="str">
        <f aca="false">DEC2HEX(C912*7)</f>
        <v>23</v>
      </c>
      <c r="H912" s="1" t="n">
        <f aca="false">IF(D912=0, 33, "cc")</f>
        <v>33</v>
      </c>
    </row>
    <row r="913" customFormat="false" ht="18.65" hidden="false" customHeight="true" outlineLevel="0" collapsed="false">
      <c r="A913" s="1" t="n">
        <f aca="false">ROW()-2</f>
        <v>911</v>
      </c>
      <c r="B913" s="1" t="n">
        <f aca="false">INT(A913/$N$1)</f>
        <v>50</v>
      </c>
      <c r="C913" s="1" t="n">
        <f aca="false">INT(MOD(A913,$N$1) / 2)</f>
        <v>5</v>
      </c>
      <c r="D913" s="1" t="n">
        <f aca="false">_xlfn.BITAND(A913,1)</f>
        <v>1</v>
      </c>
      <c r="F913" s="1" t="str">
        <f aca="false">DEC2HEX(B913*$N$3*18)</f>
        <v>E100</v>
      </c>
      <c r="G913" s="1" t="str">
        <f aca="false">DEC2HEX(C913*7)</f>
        <v>23</v>
      </c>
      <c r="H913" s="1" t="str">
        <f aca="false">IF(D913=0, 33, "cc")</f>
        <v>cc</v>
      </c>
    </row>
    <row r="914" customFormat="false" ht="18.65" hidden="false" customHeight="true" outlineLevel="0" collapsed="false">
      <c r="A914" s="1" t="n">
        <f aca="false">ROW()-2</f>
        <v>912</v>
      </c>
      <c r="B914" s="1" t="n">
        <f aca="false">INT(A914/$N$1)</f>
        <v>50</v>
      </c>
      <c r="C914" s="1" t="n">
        <f aca="false">INT(MOD(A914,$N$1) / 2)</f>
        <v>6</v>
      </c>
      <c r="D914" s="1" t="n">
        <f aca="false">_xlfn.BITAND(A914,1)</f>
        <v>0</v>
      </c>
      <c r="F914" s="1" t="str">
        <f aca="false">DEC2HEX(B914*$N$3*18)</f>
        <v>E100</v>
      </c>
      <c r="G914" s="1" t="str">
        <f aca="false">DEC2HEX(C914*7)</f>
        <v>2A</v>
      </c>
      <c r="H914" s="1" t="n">
        <f aca="false">IF(D914=0, 33, "cc")</f>
        <v>33</v>
      </c>
    </row>
    <row r="915" customFormat="false" ht="18.65" hidden="false" customHeight="true" outlineLevel="0" collapsed="false">
      <c r="A915" s="1" t="n">
        <f aca="false">ROW()-2</f>
        <v>913</v>
      </c>
      <c r="B915" s="1" t="n">
        <f aca="false">INT(A915/$N$1)</f>
        <v>50</v>
      </c>
      <c r="C915" s="1" t="n">
        <f aca="false">INT(MOD(A915,$N$1) / 2)</f>
        <v>6</v>
      </c>
      <c r="D915" s="1" t="n">
        <f aca="false">_xlfn.BITAND(A915,1)</f>
        <v>1</v>
      </c>
      <c r="F915" s="1" t="str">
        <f aca="false">DEC2HEX(B915*$N$3*18)</f>
        <v>E100</v>
      </c>
      <c r="G915" s="1" t="str">
        <f aca="false">DEC2HEX(C915*7)</f>
        <v>2A</v>
      </c>
      <c r="H915" s="1" t="str">
        <f aca="false">IF(D915=0, 33, "cc")</f>
        <v>cc</v>
      </c>
    </row>
    <row r="916" customFormat="false" ht="18.65" hidden="false" customHeight="true" outlineLevel="0" collapsed="false">
      <c r="A916" s="1" t="n">
        <f aca="false">ROW()-2</f>
        <v>914</v>
      </c>
      <c r="B916" s="1" t="n">
        <f aca="false">INT(A916/$N$1)</f>
        <v>50</v>
      </c>
      <c r="C916" s="1" t="n">
        <f aca="false">INT(MOD(A916,$N$1) / 2)</f>
        <v>7</v>
      </c>
      <c r="D916" s="1" t="n">
        <f aca="false">_xlfn.BITAND(A916,1)</f>
        <v>0</v>
      </c>
      <c r="F916" s="1" t="str">
        <f aca="false">DEC2HEX(B916*$N$3*18)</f>
        <v>E100</v>
      </c>
      <c r="G916" s="1" t="str">
        <f aca="false">DEC2HEX(C916*7)</f>
        <v>31</v>
      </c>
      <c r="H916" s="1" t="n">
        <f aca="false">IF(D916=0, 33, "cc")</f>
        <v>33</v>
      </c>
    </row>
    <row r="917" customFormat="false" ht="18.65" hidden="false" customHeight="true" outlineLevel="0" collapsed="false">
      <c r="A917" s="1" t="n">
        <f aca="false">ROW()-2</f>
        <v>915</v>
      </c>
      <c r="B917" s="1" t="n">
        <f aca="false">INT(A917/$N$1)</f>
        <v>50</v>
      </c>
      <c r="C917" s="1" t="n">
        <f aca="false">INT(MOD(A917,$N$1) / 2)</f>
        <v>7</v>
      </c>
      <c r="D917" s="1" t="n">
        <f aca="false">_xlfn.BITAND(A917,1)</f>
        <v>1</v>
      </c>
      <c r="F917" s="1" t="str">
        <f aca="false">DEC2HEX(B917*$N$3*18)</f>
        <v>E100</v>
      </c>
      <c r="G917" s="1" t="str">
        <f aca="false">DEC2HEX(C917*7)</f>
        <v>31</v>
      </c>
      <c r="H917" s="1" t="str">
        <f aca="false">IF(D917=0, 33, "cc")</f>
        <v>cc</v>
      </c>
    </row>
    <row r="918" customFormat="false" ht="18.65" hidden="false" customHeight="true" outlineLevel="0" collapsed="false">
      <c r="A918" s="1" t="n">
        <f aca="false">ROW()-2</f>
        <v>916</v>
      </c>
      <c r="B918" s="1" t="n">
        <f aca="false">INT(A918/$N$1)</f>
        <v>50</v>
      </c>
      <c r="C918" s="1" t="n">
        <f aca="false">INT(MOD(A918,$N$1) / 2)</f>
        <v>8</v>
      </c>
      <c r="D918" s="1" t="n">
        <f aca="false">_xlfn.BITAND(A918,1)</f>
        <v>0</v>
      </c>
      <c r="F918" s="1" t="str">
        <f aca="false">DEC2HEX(B918*$N$3*18)</f>
        <v>E100</v>
      </c>
      <c r="G918" s="1" t="str">
        <f aca="false">DEC2HEX(C918*7)</f>
        <v>38</v>
      </c>
      <c r="H918" s="1" t="n">
        <f aca="false">IF(D918=0, 33, "cc")</f>
        <v>33</v>
      </c>
    </row>
    <row r="919" customFormat="false" ht="18.65" hidden="false" customHeight="true" outlineLevel="0" collapsed="false">
      <c r="A919" s="1" t="n">
        <f aca="false">ROW()-2</f>
        <v>917</v>
      </c>
      <c r="B919" s="1" t="n">
        <f aca="false">INT(A919/$N$1)</f>
        <v>50</v>
      </c>
      <c r="C919" s="1" t="n">
        <f aca="false">INT(MOD(A919,$N$1) / 2)</f>
        <v>8</v>
      </c>
      <c r="D919" s="1" t="n">
        <f aca="false">_xlfn.BITAND(A919,1)</f>
        <v>1</v>
      </c>
      <c r="F919" s="1" t="str">
        <f aca="false">DEC2HEX(B919*$N$3*18)</f>
        <v>E100</v>
      </c>
      <c r="G919" s="1" t="str">
        <f aca="false">DEC2HEX(C919*7)</f>
        <v>38</v>
      </c>
      <c r="H919" s="1" t="str">
        <f aca="false">IF(D919=0, 33, "cc")</f>
        <v>cc</v>
      </c>
    </row>
    <row r="920" customFormat="false" ht="18.65" hidden="false" customHeight="true" outlineLevel="0" collapsed="false">
      <c r="A920" s="1" t="n">
        <f aca="false">ROW()-2</f>
        <v>918</v>
      </c>
      <c r="B920" s="1" t="n">
        <f aca="false">INT(A920/$N$1)</f>
        <v>51</v>
      </c>
      <c r="C920" s="1" t="n">
        <f aca="false">INT(MOD(A920,$N$1) / 2)</f>
        <v>0</v>
      </c>
      <c r="D920" s="1" t="n">
        <f aca="false">_xlfn.BITAND(A920,1)</f>
        <v>0</v>
      </c>
      <c r="F920" s="1" t="str">
        <f aca="false">DEC2HEX(B920*$N$3*18)</f>
        <v>E580</v>
      </c>
      <c r="G920" s="1" t="str">
        <f aca="false">DEC2HEX(C920*7)</f>
        <v>0</v>
      </c>
      <c r="H920" s="1" t="n">
        <f aca="false">IF(D920=0, 33, "cc")</f>
        <v>33</v>
      </c>
    </row>
    <row r="921" customFormat="false" ht="18.65" hidden="false" customHeight="true" outlineLevel="0" collapsed="false">
      <c r="A921" s="1" t="n">
        <f aca="false">ROW()-2</f>
        <v>919</v>
      </c>
      <c r="B921" s="1" t="n">
        <f aca="false">INT(A921/$N$1)</f>
        <v>51</v>
      </c>
      <c r="C921" s="1" t="n">
        <f aca="false">INT(MOD(A921,$N$1) / 2)</f>
        <v>0</v>
      </c>
      <c r="D921" s="1" t="n">
        <f aca="false">_xlfn.BITAND(A921,1)</f>
        <v>1</v>
      </c>
      <c r="F921" s="1" t="str">
        <f aca="false">DEC2HEX(B921*$N$3*18)</f>
        <v>E580</v>
      </c>
      <c r="G921" s="1" t="str">
        <f aca="false">DEC2HEX(C921*7)</f>
        <v>0</v>
      </c>
      <c r="H921" s="1" t="str">
        <f aca="false">IF(D921=0, 33, "cc")</f>
        <v>cc</v>
      </c>
    </row>
    <row r="922" customFormat="false" ht="18.65" hidden="false" customHeight="true" outlineLevel="0" collapsed="false">
      <c r="A922" s="1" t="n">
        <f aca="false">ROW()-2</f>
        <v>920</v>
      </c>
      <c r="B922" s="1" t="n">
        <f aca="false">INT(A922/$N$1)</f>
        <v>51</v>
      </c>
      <c r="C922" s="1" t="n">
        <f aca="false">INT(MOD(A922,$N$1) / 2)</f>
        <v>1</v>
      </c>
      <c r="D922" s="1" t="n">
        <f aca="false">_xlfn.BITAND(A922,1)</f>
        <v>0</v>
      </c>
      <c r="F922" s="1" t="str">
        <f aca="false">DEC2HEX(B922*$N$3*18)</f>
        <v>E580</v>
      </c>
      <c r="G922" s="1" t="str">
        <f aca="false">DEC2HEX(C922*7)</f>
        <v>7</v>
      </c>
      <c r="H922" s="1" t="n">
        <f aca="false">IF(D922=0, 33, "cc")</f>
        <v>33</v>
      </c>
    </row>
    <row r="923" customFormat="false" ht="18.65" hidden="false" customHeight="true" outlineLevel="0" collapsed="false">
      <c r="A923" s="1" t="n">
        <f aca="false">ROW()-2</f>
        <v>921</v>
      </c>
      <c r="B923" s="1" t="n">
        <f aca="false">INT(A923/$N$1)</f>
        <v>51</v>
      </c>
      <c r="C923" s="1" t="n">
        <f aca="false">INT(MOD(A923,$N$1) / 2)</f>
        <v>1</v>
      </c>
      <c r="D923" s="1" t="n">
        <f aca="false">_xlfn.BITAND(A923,1)</f>
        <v>1</v>
      </c>
      <c r="F923" s="1" t="str">
        <f aca="false">DEC2HEX(B923*$N$3*18)</f>
        <v>E580</v>
      </c>
      <c r="G923" s="1" t="str">
        <f aca="false">DEC2HEX(C923*7)</f>
        <v>7</v>
      </c>
      <c r="H923" s="1" t="str">
        <f aca="false">IF(D923=0, 33, "cc")</f>
        <v>cc</v>
      </c>
    </row>
    <row r="924" customFormat="false" ht="18.65" hidden="false" customHeight="true" outlineLevel="0" collapsed="false">
      <c r="A924" s="1" t="n">
        <f aca="false">ROW()-2</f>
        <v>922</v>
      </c>
      <c r="B924" s="1" t="n">
        <f aca="false">INT(A924/$N$1)</f>
        <v>51</v>
      </c>
      <c r="C924" s="1" t="n">
        <f aca="false">INT(MOD(A924,$N$1) / 2)</f>
        <v>2</v>
      </c>
      <c r="D924" s="1" t="n">
        <f aca="false">_xlfn.BITAND(A924,1)</f>
        <v>0</v>
      </c>
      <c r="F924" s="1" t="str">
        <f aca="false">DEC2HEX(B924*$N$3*18)</f>
        <v>E580</v>
      </c>
      <c r="G924" s="1" t="str">
        <f aca="false">DEC2HEX(C924*7)</f>
        <v>E</v>
      </c>
      <c r="H924" s="1" t="n">
        <f aca="false">IF(D924=0, 33, "cc")</f>
        <v>33</v>
      </c>
    </row>
    <row r="925" customFormat="false" ht="18.65" hidden="false" customHeight="true" outlineLevel="0" collapsed="false">
      <c r="A925" s="1" t="n">
        <f aca="false">ROW()-2</f>
        <v>923</v>
      </c>
      <c r="B925" s="1" t="n">
        <f aca="false">INT(A925/$N$1)</f>
        <v>51</v>
      </c>
      <c r="C925" s="1" t="n">
        <f aca="false">INT(MOD(A925,$N$1) / 2)</f>
        <v>2</v>
      </c>
      <c r="D925" s="1" t="n">
        <f aca="false">_xlfn.BITAND(A925,1)</f>
        <v>1</v>
      </c>
      <c r="F925" s="1" t="str">
        <f aca="false">DEC2HEX(B925*$N$3*18)</f>
        <v>E580</v>
      </c>
      <c r="G925" s="1" t="str">
        <f aca="false">DEC2HEX(C925*7)</f>
        <v>E</v>
      </c>
      <c r="H925" s="1" t="str">
        <f aca="false">IF(D925=0, 33, "cc")</f>
        <v>cc</v>
      </c>
    </row>
    <row r="926" customFormat="false" ht="18.65" hidden="false" customHeight="true" outlineLevel="0" collapsed="false">
      <c r="A926" s="1" t="n">
        <f aca="false">ROW()-2</f>
        <v>924</v>
      </c>
      <c r="B926" s="1" t="n">
        <f aca="false">INT(A926/$N$1)</f>
        <v>51</v>
      </c>
      <c r="C926" s="1" t="n">
        <f aca="false">INT(MOD(A926,$N$1) / 2)</f>
        <v>3</v>
      </c>
      <c r="D926" s="1" t="n">
        <f aca="false">_xlfn.BITAND(A926,1)</f>
        <v>0</v>
      </c>
      <c r="F926" s="1" t="str">
        <f aca="false">DEC2HEX(B926*$N$3*18)</f>
        <v>E580</v>
      </c>
      <c r="G926" s="1" t="str">
        <f aca="false">DEC2HEX(C926*7)</f>
        <v>15</v>
      </c>
      <c r="H926" s="1" t="n">
        <f aca="false">IF(D926=0, 33, "cc")</f>
        <v>33</v>
      </c>
    </row>
    <row r="927" customFormat="false" ht="18.65" hidden="false" customHeight="true" outlineLevel="0" collapsed="false">
      <c r="A927" s="1" t="n">
        <f aca="false">ROW()-2</f>
        <v>925</v>
      </c>
      <c r="B927" s="1" t="n">
        <f aca="false">INT(A927/$N$1)</f>
        <v>51</v>
      </c>
      <c r="C927" s="1" t="n">
        <f aca="false">INT(MOD(A927,$N$1) / 2)</f>
        <v>3</v>
      </c>
      <c r="D927" s="1" t="n">
        <f aca="false">_xlfn.BITAND(A927,1)</f>
        <v>1</v>
      </c>
      <c r="F927" s="1" t="str">
        <f aca="false">DEC2HEX(B927*$N$3*18)</f>
        <v>E580</v>
      </c>
      <c r="G927" s="1" t="str">
        <f aca="false">DEC2HEX(C927*7)</f>
        <v>15</v>
      </c>
      <c r="H927" s="1" t="str">
        <f aca="false">IF(D927=0, 33, "cc")</f>
        <v>cc</v>
      </c>
    </row>
    <row r="928" customFormat="false" ht="18.65" hidden="false" customHeight="true" outlineLevel="0" collapsed="false">
      <c r="A928" s="1" t="n">
        <f aca="false">ROW()-2</f>
        <v>926</v>
      </c>
      <c r="B928" s="1" t="n">
        <f aca="false">INT(A928/$N$1)</f>
        <v>51</v>
      </c>
      <c r="C928" s="1" t="n">
        <f aca="false">INT(MOD(A928,$N$1) / 2)</f>
        <v>4</v>
      </c>
      <c r="D928" s="1" t="n">
        <f aca="false">_xlfn.BITAND(A928,1)</f>
        <v>0</v>
      </c>
      <c r="F928" s="1" t="str">
        <f aca="false">DEC2HEX(B928*$N$3*18)</f>
        <v>E580</v>
      </c>
      <c r="G928" s="1" t="str">
        <f aca="false">DEC2HEX(C928*7)</f>
        <v>1C</v>
      </c>
      <c r="H928" s="1" t="n">
        <f aca="false">IF(D928=0, 33, "cc")</f>
        <v>33</v>
      </c>
    </row>
    <row r="929" customFormat="false" ht="18.65" hidden="false" customHeight="true" outlineLevel="0" collapsed="false">
      <c r="A929" s="1" t="n">
        <f aca="false">ROW()-2</f>
        <v>927</v>
      </c>
      <c r="B929" s="1" t="n">
        <f aca="false">INT(A929/$N$1)</f>
        <v>51</v>
      </c>
      <c r="C929" s="1" t="n">
        <f aca="false">INT(MOD(A929,$N$1) / 2)</f>
        <v>4</v>
      </c>
      <c r="D929" s="1" t="n">
        <f aca="false">_xlfn.BITAND(A929,1)</f>
        <v>1</v>
      </c>
      <c r="F929" s="1" t="str">
        <f aca="false">DEC2HEX(B929*$N$3*18)</f>
        <v>E580</v>
      </c>
      <c r="G929" s="1" t="str">
        <f aca="false">DEC2HEX(C929*7)</f>
        <v>1C</v>
      </c>
      <c r="H929" s="1" t="str">
        <f aca="false">IF(D929=0, 33, "cc")</f>
        <v>cc</v>
      </c>
    </row>
    <row r="930" customFormat="false" ht="18.65" hidden="false" customHeight="true" outlineLevel="0" collapsed="false">
      <c r="A930" s="1" t="n">
        <f aca="false">ROW()-2</f>
        <v>928</v>
      </c>
      <c r="B930" s="1" t="n">
        <f aca="false">INT(A930/$N$1)</f>
        <v>51</v>
      </c>
      <c r="C930" s="1" t="n">
        <f aca="false">INT(MOD(A930,$N$1) / 2)</f>
        <v>5</v>
      </c>
      <c r="D930" s="1" t="n">
        <f aca="false">_xlfn.BITAND(A930,1)</f>
        <v>0</v>
      </c>
      <c r="F930" s="1" t="str">
        <f aca="false">DEC2HEX(B930*$N$3*18)</f>
        <v>E580</v>
      </c>
      <c r="G930" s="1" t="str">
        <f aca="false">DEC2HEX(C930*7)</f>
        <v>23</v>
      </c>
      <c r="H930" s="1" t="n">
        <f aca="false">IF(D930=0, 33, "cc")</f>
        <v>33</v>
      </c>
    </row>
    <row r="931" customFormat="false" ht="18.65" hidden="false" customHeight="true" outlineLevel="0" collapsed="false">
      <c r="A931" s="1" t="n">
        <f aca="false">ROW()-2</f>
        <v>929</v>
      </c>
      <c r="B931" s="1" t="n">
        <f aca="false">INT(A931/$N$1)</f>
        <v>51</v>
      </c>
      <c r="C931" s="1" t="n">
        <f aca="false">INT(MOD(A931,$N$1) / 2)</f>
        <v>5</v>
      </c>
      <c r="D931" s="1" t="n">
        <f aca="false">_xlfn.BITAND(A931,1)</f>
        <v>1</v>
      </c>
      <c r="F931" s="1" t="str">
        <f aca="false">DEC2HEX(B931*$N$3*18)</f>
        <v>E580</v>
      </c>
      <c r="G931" s="1" t="str">
        <f aca="false">DEC2HEX(C931*7)</f>
        <v>23</v>
      </c>
      <c r="H931" s="1" t="str">
        <f aca="false">IF(D931=0, 33, "cc")</f>
        <v>cc</v>
      </c>
    </row>
    <row r="932" customFormat="false" ht="18.65" hidden="false" customHeight="true" outlineLevel="0" collapsed="false">
      <c r="A932" s="1" t="n">
        <f aca="false">ROW()-2</f>
        <v>930</v>
      </c>
      <c r="B932" s="1" t="n">
        <f aca="false">INT(A932/$N$1)</f>
        <v>51</v>
      </c>
      <c r="C932" s="1" t="n">
        <f aca="false">INT(MOD(A932,$N$1) / 2)</f>
        <v>6</v>
      </c>
      <c r="D932" s="1" t="n">
        <f aca="false">_xlfn.BITAND(A932,1)</f>
        <v>0</v>
      </c>
      <c r="F932" s="1" t="str">
        <f aca="false">DEC2HEX(B932*$N$3*18)</f>
        <v>E580</v>
      </c>
      <c r="G932" s="1" t="str">
        <f aca="false">DEC2HEX(C932*7)</f>
        <v>2A</v>
      </c>
      <c r="H932" s="1" t="n">
        <f aca="false">IF(D932=0, 33, "cc")</f>
        <v>33</v>
      </c>
    </row>
    <row r="933" customFormat="false" ht="18.65" hidden="false" customHeight="true" outlineLevel="0" collapsed="false">
      <c r="A933" s="1" t="n">
        <f aca="false">ROW()-2</f>
        <v>931</v>
      </c>
      <c r="B933" s="1" t="n">
        <f aca="false">INT(A933/$N$1)</f>
        <v>51</v>
      </c>
      <c r="C933" s="1" t="n">
        <f aca="false">INT(MOD(A933,$N$1) / 2)</f>
        <v>6</v>
      </c>
      <c r="D933" s="1" t="n">
        <f aca="false">_xlfn.BITAND(A933,1)</f>
        <v>1</v>
      </c>
      <c r="F933" s="1" t="str">
        <f aca="false">DEC2HEX(B933*$N$3*18)</f>
        <v>E580</v>
      </c>
      <c r="G933" s="1" t="str">
        <f aca="false">DEC2HEX(C933*7)</f>
        <v>2A</v>
      </c>
      <c r="H933" s="1" t="str">
        <f aca="false">IF(D933=0, 33, "cc")</f>
        <v>cc</v>
      </c>
    </row>
    <row r="934" customFormat="false" ht="18.65" hidden="false" customHeight="true" outlineLevel="0" collapsed="false">
      <c r="A934" s="1" t="n">
        <f aca="false">ROW()-2</f>
        <v>932</v>
      </c>
      <c r="B934" s="1" t="n">
        <f aca="false">INT(A934/$N$1)</f>
        <v>51</v>
      </c>
      <c r="C934" s="1" t="n">
        <f aca="false">INT(MOD(A934,$N$1) / 2)</f>
        <v>7</v>
      </c>
      <c r="D934" s="1" t="n">
        <f aca="false">_xlfn.BITAND(A934,1)</f>
        <v>0</v>
      </c>
      <c r="F934" s="1" t="str">
        <f aca="false">DEC2HEX(B934*$N$3*18)</f>
        <v>E580</v>
      </c>
      <c r="G934" s="1" t="str">
        <f aca="false">DEC2HEX(C934*7)</f>
        <v>31</v>
      </c>
      <c r="H934" s="1" t="n">
        <f aca="false">IF(D934=0, 33, "cc")</f>
        <v>33</v>
      </c>
    </row>
    <row r="935" customFormat="false" ht="18.65" hidden="false" customHeight="true" outlineLevel="0" collapsed="false">
      <c r="A935" s="1" t="n">
        <f aca="false">ROW()-2</f>
        <v>933</v>
      </c>
      <c r="B935" s="1" t="n">
        <f aca="false">INT(A935/$N$1)</f>
        <v>51</v>
      </c>
      <c r="C935" s="1" t="n">
        <f aca="false">INT(MOD(A935,$N$1) / 2)</f>
        <v>7</v>
      </c>
      <c r="D935" s="1" t="n">
        <f aca="false">_xlfn.BITAND(A935,1)</f>
        <v>1</v>
      </c>
      <c r="F935" s="1" t="str">
        <f aca="false">DEC2HEX(B935*$N$3*18)</f>
        <v>E580</v>
      </c>
      <c r="G935" s="1" t="str">
        <f aca="false">DEC2HEX(C935*7)</f>
        <v>31</v>
      </c>
      <c r="H935" s="1" t="str">
        <f aca="false">IF(D935=0, 33, "cc")</f>
        <v>cc</v>
      </c>
    </row>
    <row r="936" customFormat="false" ht="18.65" hidden="false" customHeight="true" outlineLevel="0" collapsed="false">
      <c r="A936" s="1" t="n">
        <f aca="false">ROW()-2</f>
        <v>934</v>
      </c>
      <c r="B936" s="1" t="n">
        <f aca="false">INT(A936/$N$1)</f>
        <v>51</v>
      </c>
      <c r="C936" s="1" t="n">
        <f aca="false">INT(MOD(A936,$N$1) / 2)</f>
        <v>8</v>
      </c>
      <c r="D936" s="1" t="n">
        <f aca="false">_xlfn.BITAND(A936,1)</f>
        <v>0</v>
      </c>
      <c r="F936" s="1" t="str">
        <f aca="false">DEC2HEX(B936*$N$3*18)</f>
        <v>E580</v>
      </c>
      <c r="G936" s="1" t="str">
        <f aca="false">DEC2HEX(C936*7)</f>
        <v>38</v>
      </c>
      <c r="H936" s="1" t="n">
        <f aca="false">IF(D936=0, 33, "cc")</f>
        <v>33</v>
      </c>
    </row>
    <row r="937" customFormat="false" ht="18.65" hidden="false" customHeight="true" outlineLevel="0" collapsed="false">
      <c r="A937" s="1" t="n">
        <f aca="false">ROW()-2</f>
        <v>935</v>
      </c>
      <c r="B937" s="1" t="n">
        <f aca="false">INT(A937/$N$1)</f>
        <v>51</v>
      </c>
      <c r="C937" s="1" t="n">
        <f aca="false">INT(MOD(A937,$N$1) / 2)</f>
        <v>8</v>
      </c>
      <c r="D937" s="1" t="n">
        <f aca="false">_xlfn.BITAND(A937,1)</f>
        <v>1</v>
      </c>
      <c r="F937" s="1" t="str">
        <f aca="false">DEC2HEX(B937*$N$3*18)</f>
        <v>E580</v>
      </c>
      <c r="G937" s="1" t="str">
        <f aca="false">DEC2HEX(C937*7)</f>
        <v>38</v>
      </c>
      <c r="H937" s="1" t="str">
        <f aca="false">IF(D937=0, 33, "cc")</f>
        <v>cc</v>
      </c>
    </row>
    <row r="938" customFormat="false" ht="18.65" hidden="false" customHeight="true" outlineLevel="0" collapsed="false">
      <c r="A938" s="1" t="n">
        <f aca="false">ROW()-2</f>
        <v>936</v>
      </c>
      <c r="B938" s="1" t="n">
        <f aca="false">INT(A938/$N$1)</f>
        <v>52</v>
      </c>
      <c r="C938" s="1" t="n">
        <f aca="false">INT(MOD(A938,$N$1) / 2)</f>
        <v>0</v>
      </c>
      <c r="D938" s="1" t="n">
        <f aca="false">_xlfn.BITAND(A938,1)</f>
        <v>0</v>
      </c>
      <c r="F938" s="1" t="str">
        <f aca="false">DEC2HEX(B938*$N$3*18)</f>
        <v>EA00</v>
      </c>
      <c r="G938" s="1" t="str">
        <f aca="false">DEC2HEX(C938*7)</f>
        <v>0</v>
      </c>
      <c r="H938" s="1" t="n">
        <f aca="false">IF(D938=0, 33, "cc")</f>
        <v>33</v>
      </c>
    </row>
    <row r="939" customFormat="false" ht="18.65" hidden="false" customHeight="true" outlineLevel="0" collapsed="false">
      <c r="A939" s="1" t="n">
        <f aca="false">ROW()-2</f>
        <v>937</v>
      </c>
      <c r="B939" s="1" t="n">
        <f aca="false">INT(A939/$N$1)</f>
        <v>52</v>
      </c>
      <c r="C939" s="1" t="n">
        <f aca="false">INT(MOD(A939,$N$1) / 2)</f>
        <v>0</v>
      </c>
      <c r="D939" s="1" t="n">
        <f aca="false">_xlfn.BITAND(A939,1)</f>
        <v>1</v>
      </c>
      <c r="F939" s="1" t="str">
        <f aca="false">DEC2HEX(B939*$N$3*18)</f>
        <v>EA00</v>
      </c>
      <c r="G939" s="1" t="str">
        <f aca="false">DEC2HEX(C939*7)</f>
        <v>0</v>
      </c>
      <c r="H939" s="1" t="str">
        <f aca="false">IF(D939=0, 33, "cc")</f>
        <v>cc</v>
      </c>
    </row>
    <row r="940" customFormat="false" ht="18.65" hidden="false" customHeight="true" outlineLevel="0" collapsed="false">
      <c r="A940" s="1" t="n">
        <f aca="false">ROW()-2</f>
        <v>938</v>
      </c>
      <c r="B940" s="1" t="n">
        <f aca="false">INT(A940/$N$1)</f>
        <v>52</v>
      </c>
      <c r="C940" s="1" t="n">
        <f aca="false">INT(MOD(A940,$N$1) / 2)</f>
        <v>1</v>
      </c>
      <c r="D940" s="1" t="n">
        <f aca="false">_xlfn.BITAND(A940,1)</f>
        <v>0</v>
      </c>
      <c r="F940" s="1" t="str">
        <f aca="false">DEC2HEX(B940*$N$3*18)</f>
        <v>EA00</v>
      </c>
      <c r="G940" s="1" t="str">
        <f aca="false">DEC2HEX(C940*7)</f>
        <v>7</v>
      </c>
      <c r="H940" s="1" t="n">
        <f aca="false">IF(D940=0, 33, "cc")</f>
        <v>33</v>
      </c>
    </row>
    <row r="941" customFormat="false" ht="18.65" hidden="false" customHeight="true" outlineLevel="0" collapsed="false">
      <c r="A941" s="1" t="n">
        <f aca="false">ROW()-2</f>
        <v>939</v>
      </c>
      <c r="B941" s="1" t="n">
        <f aca="false">INT(A941/$N$1)</f>
        <v>52</v>
      </c>
      <c r="C941" s="1" t="n">
        <f aca="false">INT(MOD(A941,$N$1) / 2)</f>
        <v>1</v>
      </c>
      <c r="D941" s="1" t="n">
        <f aca="false">_xlfn.BITAND(A941,1)</f>
        <v>1</v>
      </c>
      <c r="F941" s="1" t="str">
        <f aca="false">DEC2HEX(B941*$N$3*18)</f>
        <v>EA00</v>
      </c>
      <c r="G941" s="1" t="str">
        <f aca="false">DEC2HEX(C941*7)</f>
        <v>7</v>
      </c>
      <c r="H941" s="1" t="str">
        <f aca="false">IF(D941=0, 33, "cc")</f>
        <v>cc</v>
      </c>
    </row>
    <row r="942" customFormat="false" ht="18.65" hidden="false" customHeight="true" outlineLevel="0" collapsed="false">
      <c r="A942" s="1" t="n">
        <f aca="false">ROW()-2</f>
        <v>940</v>
      </c>
      <c r="B942" s="1" t="n">
        <f aca="false">INT(A942/$N$1)</f>
        <v>52</v>
      </c>
      <c r="C942" s="1" t="n">
        <f aca="false">INT(MOD(A942,$N$1) / 2)</f>
        <v>2</v>
      </c>
      <c r="D942" s="1" t="n">
        <f aca="false">_xlfn.BITAND(A942,1)</f>
        <v>0</v>
      </c>
      <c r="F942" s="1" t="str">
        <f aca="false">DEC2HEX(B942*$N$3*18)</f>
        <v>EA00</v>
      </c>
      <c r="G942" s="1" t="str">
        <f aca="false">DEC2HEX(C942*7)</f>
        <v>E</v>
      </c>
      <c r="H942" s="1" t="n">
        <f aca="false">IF(D942=0, 33, "cc")</f>
        <v>33</v>
      </c>
    </row>
    <row r="943" customFormat="false" ht="18.65" hidden="false" customHeight="true" outlineLevel="0" collapsed="false">
      <c r="A943" s="1" t="n">
        <f aca="false">ROW()-2</f>
        <v>941</v>
      </c>
      <c r="B943" s="1" t="n">
        <f aca="false">INT(A943/$N$1)</f>
        <v>52</v>
      </c>
      <c r="C943" s="1" t="n">
        <f aca="false">INT(MOD(A943,$N$1) / 2)</f>
        <v>2</v>
      </c>
      <c r="D943" s="1" t="n">
        <f aca="false">_xlfn.BITAND(A943,1)</f>
        <v>1</v>
      </c>
      <c r="F943" s="1" t="str">
        <f aca="false">DEC2HEX(B943*$N$3*18)</f>
        <v>EA00</v>
      </c>
      <c r="G943" s="1" t="str">
        <f aca="false">DEC2HEX(C943*7)</f>
        <v>E</v>
      </c>
      <c r="H943" s="1" t="str">
        <f aca="false">IF(D943=0, 33, "cc")</f>
        <v>cc</v>
      </c>
    </row>
    <row r="944" customFormat="false" ht="18.65" hidden="false" customHeight="true" outlineLevel="0" collapsed="false">
      <c r="A944" s="1" t="n">
        <f aca="false">ROW()-2</f>
        <v>942</v>
      </c>
      <c r="B944" s="1" t="n">
        <f aca="false">INT(A944/$N$1)</f>
        <v>52</v>
      </c>
      <c r="C944" s="1" t="n">
        <f aca="false">INT(MOD(A944,$N$1) / 2)</f>
        <v>3</v>
      </c>
      <c r="D944" s="1" t="n">
        <f aca="false">_xlfn.BITAND(A944,1)</f>
        <v>0</v>
      </c>
      <c r="F944" s="1" t="str">
        <f aca="false">DEC2HEX(B944*$N$3*18)</f>
        <v>EA00</v>
      </c>
      <c r="G944" s="1" t="str">
        <f aca="false">DEC2HEX(C944*7)</f>
        <v>15</v>
      </c>
      <c r="H944" s="1" t="n">
        <f aca="false">IF(D944=0, 33, "cc")</f>
        <v>33</v>
      </c>
    </row>
    <row r="945" customFormat="false" ht="18.65" hidden="false" customHeight="true" outlineLevel="0" collapsed="false">
      <c r="A945" s="1" t="n">
        <f aca="false">ROW()-2</f>
        <v>943</v>
      </c>
      <c r="B945" s="1" t="n">
        <f aca="false">INT(A945/$N$1)</f>
        <v>52</v>
      </c>
      <c r="C945" s="1" t="n">
        <f aca="false">INT(MOD(A945,$N$1) / 2)</f>
        <v>3</v>
      </c>
      <c r="D945" s="1" t="n">
        <f aca="false">_xlfn.BITAND(A945,1)</f>
        <v>1</v>
      </c>
      <c r="F945" s="1" t="str">
        <f aca="false">DEC2HEX(B945*$N$3*18)</f>
        <v>EA00</v>
      </c>
      <c r="G945" s="1" t="str">
        <f aca="false">DEC2HEX(C945*7)</f>
        <v>15</v>
      </c>
      <c r="H945" s="1" t="str">
        <f aca="false">IF(D945=0, 33, "cc")</f>
        <v>cc</v>
      </c>
    </row>
    <row r="946" customFormat="false" ht="18.65" hidden="false" customHeight="true" outlineLevel="0" collapsed="false">
      <c r="A946" s="1" t="n">
        <f aca="false">ROW()-2</f>
        <v>944</v>
      </c>
      <c r="B946" s="1" t="n">
        <f aca="false">INT(A946/$N$1)</f>
        <v>52</v>
      </c>
      <c r="C946" s="1" t="n">
        <f aca="false">INT(MOD(A946,$N$1) / 2)</f>
        <v>4</v>
      </c>
      <c r="D946" s="1" t="n">
        <f aca="false">_xlfn.BITAND(A946,1)</f>
        <v>0</v>
      </c>
      <c r="F946" s="1" t="str">
        <f aca="false">DEC2HEX(B946*$N$3*18)</f>
        <v>EA00</v>
      </c>
      <c r="G946" s="1" t="str">
        <f aca="false">DEC2HEX(C946*7)</f>
        <v>1C</v>
      </c>
      <c r="H946" s="1" t="n">
        <f aca="false">IF(D946=0, 33, "cc")</f>
        <v>33</v>
      </c>
    </row>
    <row r="947" customFormat="false" ht="18.65" hidden="false" customHeight="true" outlineLevel="0" collapsed="false">
      <c r="A947" s="1" t="n">
        <f aca="false">ROW()-2</f>
        <v>945</v>
      </c>
      <c r="B947" s="1" t="n">
        <f aca="false">INT(A947/$N$1)</f>
        <v>52</v>
      </c>
      <c r="C947" s="1" t="n">
        <f aca="false">INT(MOD(A947,$N$1) / 2)</f>
        <v>4</v>
      </c>
      <c r="D947" s="1" t="n">
        <f aca="false">_xlfn.BITAND(A947,1)</f>
        <v>1</v>
      </c>
      <c r="F947" s="1" t="str">
        <f aca="false">DEC2HEX(B947*$N$3*18)</f>
        <v>EA00</v>
      </c>
      <c r="G947" s="1" t="str">
        <f aca="false">DEC2HEX(C947*7)</f>
        <v>1C</v>
      </c>
      <c r="H947" s="1" t="str">
        <f aca="false">IF(D947=0, 33, "cc")</f>
        <v>cc</v>
      </c>
    </row>
    <row r="948" customFormat="false" ht="18.65" hidden="false" customHeight="true" outlineLevel="0" collapsed="false">
      <c r="A948" s="1" t="n">
        <f aca="false">ROW()-2</f>
        <v>946</v>
      </c>
      <c r="B948" s="1" t="n">
        <f aca="false">INT(A948/$N$1)</f>
        <v>52</v>
      </c>
      <c r="C948" s="1" t="n">
        <f aca="false">INT(MOD(A948,$N$1) / 2)</f>
        <v>5</v>
      </c>
      <c r="D948" s="1" t="n">
        <f aca="false">_xlfn.BITAND(A948,1)</f>
        <v>0</v>
      </c>
      <c r="F948" s="1" t="str">
        <f aca="false">DEC2HEX(B948*$N$3*18)</f>
        <v>EA00</v>
      </c>
      <c r="G948" s="1" t="str">
        <f aca="false">DEC2HEX(C948*7)</f>
        <v>23</v>
      </c>
      <c r="H948" s="1" t="n">
        <f aca="false">IF(D948=0, 33, "cc")</f>
        <v>33</v>
      </c>
    </row>
    <row r="949" customFormat="false" ht="18.65" hidden="false" customHeight="true" outlineLevel="0" collapsed="false">
      <c r="A949" s="1" t="n">
        <f aca="false">ROW()-2</f>
        <v>947</v>
      </c>
      <c r="B949" s="1" t="n">
        <f aca="false">INT(A949/$N$1)</f>
        <v>52</v>
      </c>
      <c r="C949" s="1" t="n">
        <f aca="false">INT(MOD(A949,$N$1) / 2)</f>
        <v>5</v>
      </c>
      <c r="D949" s="1" t="n">
        <f aca="false">_xlfn.BITAND(A949,1)</f>
        <v>1</v>
      </c>
      <c r="F949" s="1" t="str">
        <f aca="false">DEC2HEX(B949*$N$3*18)</f>
        <v>EA00</v>
      </c>
      <c r="G949" s="1" t="str">
        <f aca="false">DEC2HEX(C949*7)</f>
        <v>23</v>
      </c>
      <c r="H949" s="1" t="str">
        <f aca="false">IF(D949=0, 33, "cc")</f>
        <v>cc</v>
      </c>
    </row>
    <row r="950" customFormat="false" ht="18.65" hidden="false" customHeight="true" outlineLevel="0" collapsed="false">
      <c r="A950" s="1" t="n">
        <f aca="false">ROW()-2</f>
        <v>948</v>
      </c>
      <c r="B950" s="1" t="n">
        <f aca="false">INT(A950/$N$1)</f>
        <v>52</v>
      </c>
      <c r="C950" s="1" t="n">
        <f aca="false">INT(MOD(A950,$N$1) / 2)</f>
        <v>6</v>
      </c>
      <c r="D950" s="1" t="n">
        <f aca="false">_xlfn.BITAND(A950,1)</f>
        <v>0</v>
      </c>
      <c r="F950" s="1" t="str">
        <f aca="false">DEC2HEX(B950*$N$3*18)</f>
        <v>EA00</v>
      </c>
      <c r="G950" s="1" t="str">
        <f aca="false">DEC2HEX(C950*7)</f>
        <v>2A</v>
      </c>
      <c r="H950" s="1" t="n">
        <f aca="false">IF(D950=0, 33, "cc")</f>
        <v>33</v>
      </c>
    </row>
    <row r="951" customFormat="false" ht="18.65" hidden="false" customHeight="true" outlineLevel="0" collapsed="false">
      <c r="A951" s="1" t="n">
        <f aca="false">ROW()-2</f>
        <v>949</v>
      </c>
      <c r="B951" s="1" t="n">
        <f aca="false">INT(A951/$N$1)</f>
        <v>52</v>
      </c>
      <c r="C951" s="1" t="n">
        <f aca="false">INT(MOD(A951,$N$1) / 2)</f>
        <v>6</v>
      </c>
      <c r="D951" s="1" t="n">
        <f aca="false">_xlfn.BITAND(A951,1)</f>
        <v>1</v>
      </c>
      <c r="F951" s="1" t="str">
        <f aca="false">DEC2HEX(B951*$N$3*18)</f>
        <v>EA00</v>
      </c>
      <c r="G951" s="1" t="str">
        <f aca="false">DEC2HEX(C951*7)</f>
        <v>2A</v>
      </c>
      <c r="H951" s="1" t="str">
        <f aca="false">IF(D951=0, 33, "cc")</f>
        <v>cc</v>
      </c>
    </row>
    <row r="952" customFormat="false" ht="18.65" hidden="false" customHeight="true" outlineLevel="0" collapsed="false">
      <c r="A952" s="1" t="n">
        <f aca="false">ROW()-2</f>
        <v>950</v>
      </c>
      <c r="B952" s="1" t="n">
        <f aca="false">INT(A952/$N$1)</f>
        <v>52</v>
      </c>
      <c r="C952" s="1" t="n">
        <f aca="false">INT(MOD(A952,$N$1) / 2)</f>
        <v>7</v>
      </c>
      <c r="D952" s="1" t="n">
        <f aca="false">_xlfn.BITAND(A952,1)</f>
        <v>0</v>
      </c>
      <c r="F952" s="1" t="str">
        <f aca="false">DEC2HEX(B952*$N$3*18)</f>
        <v>EA00</v>
      </c>
      <c r="G952" s="1" t="str">
        <f aca="false">DEC2HEX(C952*7)</f>
        <v>31</v>
      </c>
      <c r="H952" s="1" t="n">
        <f aca="false">IF(D952=0, 33, "cc")</f>
        <v>33</v>
      </c>
    </row>
    <row r="953" customFormat="false" ht="18.65" hidden="false" customHeight="true" outlineLevel="0" collapsed="false">
      <c r="A953" s="1" t="n">
        <f aca="false">ROW()-2</f>
        <v>951</v>
      </c>
      <c r="B953" s="1" t="n">
        <f aca="false">INT(A953/$N$1)</f>
        <v>52</v>
      </c>
      <c r="C953" s="1" t="n">
        <f aca="false">INT(MOD(A953,$N$1) / 2)</f>
        <v>7</v>
      </c>
      <c r="D953" s="1" t="n">
        <f aca="false">_xlfn.BITAND(A953,1)</f>
        <v>1</v>
      </c>
      <c r="F953" s="1" t="str">
        <f aca="false">DEC2HEX(B953*$N$3*18)</f>
        <v>EA00</v>
      </c>
      <c r="G953" s="1" t="str">
        <f aca="false">DEC2HEX(C953*7)</f>
        <v>31</v>
      </c>
      <c r="H953" s="1" t="str">
        <f aca="false">IF(D953=0, 33, "cc")</f>
        <v>cc</v>
      </c>
    </row>
    <row r="954" customFormat="false" ht="18.65" hidden="false" customHeight="true" outlineLevel="0" collapsed="false">
      <c r="A954" s="1" t="n">
        <f aca="false">ROW()-2</f>
        <v>952</v>
      </c>
      <c r="B954" s="1" t="n">
        <f aca="false">INT(A954/$N$1)</f>
        <v>52</v>
      </c>
      <c r="C954" s="1" t="n">
        <f aca="false">INT(MOD(A954,$N$1) / 2)</f>
        <v>8</v>
      </c>
      <c r="D954" s="1" t="n">
        <f aca="false">_xlfn.BITAND(A954,1)</f>
        <v>0</v>
      </c>
      <c r="F954" s="1" t="str">
        <f aca="false">DEC2HEX(B954*$N$3*18)</f>
        <v>EA00</v>
      </c>
      <c r="G954" s="1" t="str">
        <f aca="false">DEC2HEX(C954*7)</f>
        <v>38</v>
      </c>
      <c r="H954" s="1" t="n">
        <f aca="false">IF(D954=0, 33, "cc")</f>
        <v>33</v>
      </c>
    </row>
    <row r="955" customFormat="false" ht="18.65" hidden="false" customHeight="true" outlineLevel="0" collapsed="false">
      <c r="A955" s="1" t="n">
        <f aca="false">ROW()-2</f>
        <v>953</v>
      </c>
      <c r="B955" s="1" t="n">
        <f aca="false">INT(A955/$N$1)</f>
        <v>52</v>
      </c>
      <c r="C955" s="1" t="n">
        <f aca="false">INT(MOD(A955,$N$1) / 2)</f>
        <v>8</v>
      </c>
      <c r="D955" s="1" t="n">
        <f aca="false">_xlfn.BITAND(A955,1)</f>
        <v>1</v>
      </c>
      <c r="F955" s="1" t="str">
        <f aca="false">DEC2HEX(B955*$N$3*18)</f>
        <v>EA00</v>
      </c>
      <c r="G955" s="1" t="str">
        <f aca="false">DEC2HEX(C955*7)</f>
        <v>38</v>
      </c>
      <c r="H955" s="1" t="str">
        <f aca="false">IF(D955=0, 33, "cc")</f>
        <v>cc</v>
      </c>
    </row>
    <row r="956" customFormat="false" ht="18.65" hidden="false" customHeight="true" outlineLevel="0" collapsed="false">
      <c r="A956" s="1" t="n">
        <f aca="false">ROW()-2</f>
        <v>954</v>
      </c>
      <c r="B956" s="1" t="n">
        <f aca="false">INT(A956/$N$1)</f>
        <v>53</v>
      </c>
      <c r="C956" s="1" t="n">
        <f aca="false">INT(MOD(A956,$N$1) / 2)</f>
        <v>0</v>
      </c>
      <c r="D956" s="1" t="n">
        <f aca="false">_xlfn.BITAND(A956,1)</f>
        <v>0</v>
      </c>
      <c r="F956" s="1" t="str">
        <f aca="false">DEC2HEX(B956*$N$3*18)</f>
        <v>EE80</v>
      </c>
      <c r="G956" s="1" t="str">
        <f aca="false">DEC2HEX(C956*7)</f>
        <v>0</v>
      </c>
      <c r="H956" s="1" t="n">
        <f aca="false">IF(D956=0, 33, "cc")</f>
        <v>33</v>
      </c>
    </row>
    <row r="957" customFormat="false" ht="18.65" hidden="false" customHeight="true" outlineLevel="0" collapsed="false">
      <c r="A957" s="1" t="n">
        <f aca="false">ROW()-2</f>
        <v>955</v>
      </c>
      <c r="B957" s="1" t="n">
        <f aca="false">INT(A957/$N$1)</f>
        <v>53</v>
      </c>
      <c r="C957" s="1" t="n">
        <f aca="false">INT(MOD(A957,$N$1) / 2)</f>
        <v>0</v>
      </c>
      <c r="D957" s="1" t="n">
        <f aca="false">_xlfn.BITAND(A957,1)</f>
        <v>1</v>
      </c>
      <c r="F957" s="1" t="str">
        <f aca="false">DEC2HEX(B957*$N$3*18)</f>
        <v>EE80</v>
      </c>
      <c r="G957" s="1" t="str">
        <f aca="false">DEC2HEX(C957*7)</f>
        <v>0</v>
      </c>
      <c r="H957" s="1" t="str">
        <f aca="false">IF(D957=0, 33, "cc")</f>
        <v>cc</v>
      </c>
    </row>
    <row r="958" customFormat="false" ht="18.65" hidden="false" customHeight="true" outlineLevel="0" collapsed="false">
      <c r="A958" s="1" t="n">
        <f aca="false">ROW()-2</f>
        <v>956</v>
      </c>
      <c r="B958" s="1" t="n">
        <f aca="false">INT(A958/$N$1)</f>
        <v>53</v>
      </c>
      <c r="C958" s="1" t="n">
        <f aca="false">INT(MOD(A958,$N$1) / 2)</f>
        <v>1</v>
      </c>
      <c r="D958" s="1" t="n">
        <f aca="false">_xlfn.BITAND(A958,1)</f>
        <v>0</v>
      </c>
      <c r="F958" s="1" t="str">
        <f aca="false">DEC2HEX(B958*$N$3*18)</f>
        <v>EE80</v>
      </c>
      <c r="G958" s="1" t="str">
        <f aca="false">DEC2HEX(C958*7)</f>
        <v>7</v>
      </c>
      <c r="H958" s="1" t="n">
        <f aca="false">IF(D958=0, 33, "cc")</f>
        <v>33</v>
      </c>
    </row>
    <row r="959" customFormat="false" ht="18.65" hidden="false" customHeight="true" outlineLevel="0" collapsed="false">
      <c r="A959" s="1" t="n">
        <f aca="false">ROW()-2</f>
        <v>957</v>
      </c>
      <c r="B959" s="1" t="n">
        <f aca="false">INT(A959/$N$1)</f>
        <v>53</v>
      </c>
      <c r="C959" s="1" t="n">
        <f aca="false">INT(MOD(A959,$N$1) / 2)</f>
        <v>1</v>
      </c>
      <c r="D959" s="1" t="n">
        <f aca="false">_xlfn.BITAND(A959,1)</f>
        <v>1</v>
      </c>
      <c r="F959" s="1" t="str">
        <f aca="false">DEC2HEX(B959*$N$3*18)</f>
        <v>EE80</v>
      </c>
      <c r="G959" s="1" t="str">
        <f aca="false">DEC2HEX(C959*7)</f>
        <v>7</v>
      </c>
      <c r="H959" s="1" t="str">
        <f aca="false">IF(D959=0, 33, "cc")</f>
        <v>cc</v>
      </c>
    </row>
    <row r="960" customFormat="false" ht="18.65" hidden="false" customHeight="true" outlineLevel="0" collapsed="false">
      <c r="A960" s="1" t="n">
        <f aca="false">ROW()-2</f>
        <v>958</v>
      </c>
      <c r="B960" s="1" t="n">
        <f aca="false">INT(A960/$N$1)</f>
        <v>53</v>
      </c>
      <c r="C960" s="1" t="n">
        <f aca="false">INT(MOD(A960,$N$1) / 2)</f>
        <v>2</v>
      </c>
      <c r="D960" s="1" t="n">
        <f aca="false">_xlfn.BITAND(A960,1)</f>
        <v>0</v>
      </c>
      <c r="F960" s="1" t="str">
        <f aca="false">DEC2HEX(B960*$N$3*18)</f>
        <v>EE80</v>
      </c>
      <c r="G960" s="1" t="str">
        <f aca="false">DEC2HEX(C960*7)</f>
        <v>E</v>
      </c>
      <c r="H960" s="1" t="n">
        <f aca="false">IF(D960=0, 33, "cc")</f>
        <v>33</v>
      </c>
    </row>
    <row r="961" customFormat="false" ht="18.65" hidden="false" customHeight="true" outlineLevel="0" collapsed="false">
      <c r="A961" s="1" t="n">
        <f aca="false">ROW()-2</f>
        <v>959</v>
      </c>
      <c r="B961" s="1" t="n">
        <f aca="false">INT(A961/$N$1)</f>
        <v>53</v>
      </c>
      <c r="C961" s="1" t="n">
        <f aca="false">INT(MOD(A961,$N$1) / 2)</f>
        <v>2</v>
      </c>
      <c r="D961" s="1" t="n">
        <f aca="false">_xlfn.BITAND(A961,1)</f>
        <v>1</v>
      </c>
      <c r="F961" s="1" t="str">
        <f aca="false">DEC2HEX(B961*$N$3*18)</f>
        <v>EE80</v>
      </c>
      <c r="G961" s="1" t="str">
        <f aca="false">DEC2HEX(C961*7)</f>
        <v>E</v>
      </c>
      <c r="H961" s="1" t="str">
        <f aca="false">IF(D961=0, 33, "cc")</f>
        <v>cc</v>
      </c>
    </row>
    <row r="962" customFormat="false" ht="18.65" hidden="false" customHeight="true" outlineLevel="0" collapsed="false">
      <c r="A962" s="1" t="n">
        <f aca="false">ROW()-2</f>
        <v>960</v>
      </c>
      <c r="B962" s="1" t="n">
        <f aca="false">INT(A962/$N$1)</f>
        <v>53</v>
      </c>
      <c r="C962" s="1" t="n">
        <f aca="false">INT(MOD(A962,$N$1) / 2)</f>
        <v>3</v>
      </c>
      <c r="D962" s="1" t="n">
        <f aca="false">_xlfn.BITAND(A962,1)</f>
        <v>0</v>
      </c>
      <c r="F962" s="1" t="str">
        <f aca="false">DEC2HEX(B962*$N$3*18)</f>
        <v>EE80</v>
      </c>
      <c r="G962" s="1" t="str">
        <f aca="false">DEC2HEX(C962*7)</f>
        <v>15</v>
      </c>
      <c r="H962" s="1" t="n">
        <f aca="false">IF(D962=0, 33, "cc")</f>
        <v>33</v>
      </c>
    </row>
    <row r="963" customFormat="false" ht="18.65" hidden="false" customHeight="true" outlineLevel="0" collapsed="false">
      <c r="A963" s="1" t="n">
        <f aca="false">ROW()-2</f>
        <v>961</v>
      </c>
      <c r="B963" s="1" t="n">
        <f aca="false">INT(A963/$N$1)</f>
        <v>53</v>
      </c>
      <c r="C963" s="1" t="n">
        <f aca="false">INT(MOD(A963,$N$1) / 2)</f>
        <v>3</v>
      </c>
      <c r="D963" s="1" t="n">
        <f aca="false">_xlfn.BITAND(A963,1)</f>
        <v>1</v>
      </c>
      <c r="F963" s="1" t="str">
        <f aca="false">DEC2HEX(B963*$N$3*18)</f>
        <v>EE80</v>
      </c>
      <c r="G963" s="1" t="str">
        <f aca="false">DEC2HEX(C963*7)</f>
        <v>15</v>
      </c>
      <c r="H963" s="1" t="str">
        <f aca="false">IF(D963=0, 33, "cc")</f>
        <v>cc</v>
      </c>
    </row>
    <row r="964" customFormat="false" ht="18.65" hidden="false" customHeight="true" outlineLevel="0" collapsed="false">
      <c r="A964" s="1" t="n">
        <f aca="false">ROW()-2</f>
        <v>962</v>
      </c>
      <c r="B964" s="1" t="n">
        <f aca="false">INT(A964/$N$1)</f>
        <v>53</v>
      </c>
      <c r="C964" s="1" t="n">
        <f aca="false">INT(MOD(A964,$N$1) / 2)</f>
        <v>4</v>
      </c>
      <c r="D964" s="1" t="n">
        <f aca="false">_xlfn.BITAND(A964,1)</f>
        <v>0</v>
      </c>
      <c r="F964" s="1" t="str">
        <f aca="false">DEC2HEX(B964*$N$3*18)</f>
        <v>EE80</v>
      </c>
      <c r="G964" s="1" t="str">
        <f aca="false">DEC2HEX(C964*7)</f>
        <v>1C</v>
      </c>
      <c r="H964" s="1" t="n">
        <f aca="false">IF(D964=0, 33, "cc")</f>
        <v>33</v>
      </c>
    </row>
    <row r="965" customFormat="false" ht="18.65" hidden="false" customHeight="true" outlineLevel="0" collapsed="false">
      <c r="A965" s="1" t="n">
        <f aca="false">ROW()-2</f>
        <v>963</v>
      </c>
      <c r="B965" s="1" t="n">
        <f aca="false">INT(A965/$N$1)</f>
        <v>53</v>
      </c>
      <c r="C965" s="1" t="n">
        <f aca="false">INT(MOD(A965,$N$1) / 2)</f>
        <v>4</v>
      </c>
      <c r="D965" s="1" t="n">
        <f aca="false">_xlfn.BITAND(A965,1)</f>
        <v>1</v>
      </c>
      <c r="F965" s="1" t="str">
        <f aca="false">DEC2HEX(B965*$N$3*18)</f>
        <v>EE80</v>
      </c>
      <c r="G965" s="1" t="str">
        <f aca="false">DEC2HEX(C965*7)</f>
        <v>1C</v>
      </c>
      <c r="H965" s="1" t="str">
        <f aca="false">IF(D965=0, 33, "cc")</f>
        <v>cc</v>
      </c>
    </row>
    <row r="966" customFormat="false" ht="18.65" hidden="false" customHeight="true" outlineLevel="0" collapsed="false">
      <c r="A966" s="1" t="n">
        <f aca="false">ROW()-2</f>
        <v>964</v>
      </c>
      <c r="B966" s="1" t="n">
        <f aca="false">INT(A966/$N$1)</f>
        <v>53</v>
      </c>
      <c r="C966" s="1" t="n">
        <f aca="false">INT(MOD(A966,$N$1) / 2)</f>
        <v>5</v>
      </c>
      <c r="D966" s="1" t="n">
        <f aca="false">_xlfn.BITAND(A966,1)</f>
        <v>0</v>
      </c>
      <c r="F966" s="1" t="str">
        <f aca="false">DEC2HEX(B966*$N$3*18)</f>
        <v>EE80</v>
      </c>
      <c r="G966" s="1" t="str">
        <f aca="false">DEC2HEX(C966*7)</f>
        <v>23</v>
      </c>
      <c r="H966" s="1" t="n">
        <f aca="false">IF(D966=0, 33, "cc")</f>
        <v>33</v>
      </c>
    </row>
    <row r="967" customFormat="false" ht="18.65" hidden="false" customHeight="true" outlineLevel="0" collapsed="false">
      <c r="A967" s="1" t="n">
        <f aca="false">ROW()-2</f>
        <v>965</v>
      </c>
      <c r="B967" s="1" t="n">
        <f aca="false">INT(A967/$N$1)</f>
        <v>53</v>
      </c>
      <c r="C967" s="1" t="n">
        <f aca="false">INT(MOD(A967,$N$1) / 2)</f>
        <v>5</v>
      </c>
      <c r="D967" s="1" t="n">
        <f aca="false">_xlfn.BITAND(A967,1)</f>
        <v>1</v>
      </c>
      <c r="F967" s="1" t="str">
        <f aca="false">DEC2HEX(B967*$N$3*18)</f>
        <v>EE80</v>
      </c>
      <c r="G967" s="1" t="str">
        <f aca="false">DEC2HEX(C967*7)</f>
        <v>23</v>
      </c>
      <c r="H967" s="1" t="str">
        <f aca="false">IF(D967=0, 33, "cc")</f>
        <v>cc</v>
      </c>
    </row>
    <row r="968" customFormat="false" ht="18.65" hidden="false" customHeight="true" outlineLevel="0" collapsed="false">
      <c r="A968" s="1" t="n">
        <f aca="false">ROW()-2</f>
        <v>966</v>
      </c>
      <c r="B968" s="1" t="n">
        <f aca="false">INT(A968/$N$1)</f>
        <v>53</v>
      </c>
      <c r="C968" s="1" t="n">
        <f aca="false">INT(MOD(A968,$N$1) / 2)</f>
        <v>6</v>
      </c>
      <c r="D968" s="1" t="n">
        <f aca="false">_xlfn.BITAND(A968,1)</f>
        <v>0</v>
      </c>
      <c r="F968" s="1" t="str">
        <f aca="false">DEC2HEX(B968*$N$3*18)</f>
        <v>EE80</v>
      </c>
      <c r="G968" s="1" t="str">
        <f aca="false">DEC2HEX(C968*7)</f>
        <v>2A</v>
      </c>
      <c r="H968" s="1" t="n">
        <f aca="false">IF(D968=0, 33, "cc")</f>
        <v>33</v>
      </c>
    </row>
    <row r="969" customFormat="false" ht="18.65" hidden="false" customHeight="true" outlineLevel="0" collapsed="false">
      <c r="A969" s="1" t="n">
        <f aca="false">ROW()-2</f>
        <v>967</v>
      </c>
      <c r="B969" s="1" t="n">
        <f aca="false">INT(A969/$N$1)</f>
        <v>53</v>
      </c>
      <c r="C969" s="1" t="n">
        <f aca="false">INT(MOD(A969,$N$1) / 2)</f>
        <v>6</v>
      </c>
      <c r="D969" s="1" t="n">
        <f aca="false">_xlfn.BITAND(A969,1)</f>
        <v>1</v>
      </c>
      <c r="F969" s="1" t="str">
        <f aca="false">DEC2HEX(B969*$N$3*18)</f>
        <v>EE80</v>
      </c>
      <c r="G969" s="1" t="str">
        <f aca="false">DEC2HEX(C969*7)</f>
        <v>2A</v>
      </c>
      <c r="H969" s="1" t="str">
        <f aca="false">IF(D969=0, 33, "cc")</f>
        <v>cc</v>
      </c>
    </row>
    <row r="970" customFormat="false" ht="18.65" hidden="false" customHeight="true" outlineLevel="0" collapsed="false">
      <c r="A970" s="1" t="n">
        <f aca="false">ROW()-2</f>
        <v>968</v>
      </c>
      <c r="B970" s="1" t="n">
        <f aca="false">INT(A970/$N$1)</f>
        <v>53</v>
      </c>
      <c r="C970" s="1" t="n">
        <f aca="false">INT(MOD(A970,$N$1) / 2)</f>
        <v>7</v>
      </c>
      <c r="D970" s="1" t="n">
        <f aca="false">_xlfn.BITAND(A970,1)</f>
        <v>0</v>
      </c>
      <c r="F970" s="1" t="str">
        <f aca="false">DEC2HEX(B970*$N$3*18)</f>
        <v>EE80</v>
      </c>
      <c r="G970" s="1" t="str">
        <f aca="false">DEC2HEX(C970*7)</f>
        <v>31</v>
      </c>
      <c r="H970" s="1" t="n">
        <f aca="false">IF(D970=0, 33, "cc")</f>
        <v>33</v>
      </c>
    </row>
    <row r="971" customFormat="false" ht="18.65" hidden="false" customHeight="true" outlineLevel="0" collapsed="false">
      <c r="A971" s="1" t="n">
        <f aca="false">ROW()-2</f>
        <v>969</v>
      </c>
      <c r="B971" s="1" t="n">
        <f aca="false">INT(A971/$N$1)</f>
        <v>53</v>
      </c>
      <c r="C971" s="1" t="n">
        <f aca="false">INT(MOD(A971,$N$1) / 2)</f>
        <v>7</v>
      </c>
      <c r="D971" s="1" t="n">
        <f aca="false">_xlfn.BITAND(A971,1)</f>
        <v>1</v>
      </c>
      <c r="F971" s="1" t="str">
        <f aca="false">DEC2HEX(B971*$N$3*18)</f>
        <v>EE80</v>
      </c>
      <c r="G971" s="1" t="str">
        <f aca="false">DEC2HEX(C971*7)</f>
        <v>31</v>
      </c>
      <c r="H971" s="1" t="str">
        <f aca="false">IF(D971=0, 33, "cc")</f>
        <v>cc</v>
      </c>
    </row>
    <row r="972" customFormat="false" ht="18.65" hidden="false" customHeight="true" outlineLevel="0" collapsed="false">
      <c r="A972" s="1" t="n">
        <f aca="false">ROW()-2</f>
        <v>970</v>
      </c>
      <c r="B972" s="1" t="n">
        <f aca="false">INT(A972/$N$1)</f>
        <v>53</v>
      </c>
      <c r="C972" s="1" t="n">
        <f aca="false">INT(MOD(A972,$N$1) / 2)</f>
        <v>8</v>
      </c>
      <c r="D972" s="1" t="n">
        <f aca="false">_xlfn.BITAND(A972,1)</f>
        <v>0</v>
      </c>
      <c r="F972" s="1" t="str">
        <f aca="false">DEC2HEX(B972*$N$3*18)</f>
        <v>EE80</v>
      </c>
      <c r="G972" s="1" t="str">
        <f aca="false">DEC2HEX(C972*7)</f>
        <v>38</v>
      </c>
      <c r="H972" s="1" t="n">
        <f aca="false">IF(D972=0, 33, "cc")</f>
        <v>33</v>
      </c>
    </row>
    <row r="973" customFormat="false" ht="18.65" hidden="false" customHeight="true" outlineLevel="0" collapsed="false">
      <c r="A973" s="1" t="n">
        <f aca="false">ROW()-2</f>
        <v>971</v>
      </c>
      <c r="B973" s="1" t="n">
        <f aca="false">INT(A973/$N$1)</f>
        <v>53</v>
      </c>
      <c r="C973" s="1" t="n">
        <f aca="false">INT(MOD(A973,$N$1) / 2)</f>
        <v>8</v>
      </c>
      <c r="D973" s="1" t="n">
        <f aca="false">_xlfn.BITAND(A973,1)</f>
        <v>1</v>
      </c>
      <c r="F973" s="1" t="str">
        <f aca="false">DEC2HEX(B973*$N$3*18)</f>
        <v>EE80</v>
      </c>
      <c r="G973" s="1" t="str">
        <f aca="false">DEC2HEX(C973*7)</f>
        <v>38</v>
      </c>
      <c r="H973" s="1" t="str">
        <f aca="false">IF(D973=0, 33, "cc")</f>
        <v>cc</v>
      </c>
    </row>
    <row r="974" customFormat="false" ht="18.65" hidden="false" customHeight="true" outlineLevel="0" collapsed="false">
      <c r="A974" s="1" t="n">
        <f aca="false">ROW()-2</f>
        <v>972</v>
      </c>
      <c r="B974" s="1" t="n">
        <f aca="false">INT(A974/$N$1)</f>
        <v>54</v>
      </c>
      <c r="C974" s="1" t="n">
        <f aca="false">INT(MOD(A974,$N$1) / 2)</f>
        <v>0</v>
      </c>
      <c r="D974" s="1" t="n">
        <f aca="false">_xlfn.BITAND(A974,1)</f>
        <v>0</v>
      </c>
      <c r="F974" s="1" t="str">
        <f aca="false">DEC2HEX(B974*$N$3*18)</f>
        <v>F300</v>
      </c>
      <c r="G974" s="1" t="str">
        <f aca="false">DEC2HEX(C974*7)</f>
        <v>0</v>
      </c>
      <c r="H974" s="1" t="n">
        <f aca="false">IF(D974=0, 33, "cc")</f>
        <v>33</v>
      </c>
    </row>
    <row r="975" customFormat="false" ht="18.65" hidden="false" customHeight="true" outlineLevel="0" collapsed="false">
      <c r="A975" s="1" t="n">
        <f aca="false">ROW()-2</f>
        <v>973</v>
      </c>
      <c r="B975" s="1" t="n">
        <f aca="false">INT(A975/$N$1)</f>
        <v>54</v>
      </c>
      <c r="C975" s="1" t="n">
        <f aca="false">INT(MOD(A975,$N$1) / 2)</f>
        <v>0</v>
      </c>
      <c r="D975" s="1" t="n">
        <f aca="false">_xlfn.BITAND(A975,1)</f>
        <v>1</v>
      </c>
      <c r="F975" s="1" t="str">
        <f aca="false">DEC2HEX(B975*$N$3*18)</f>
        <v>F300</v>
      </c>
      <c r="G975" s="1" t="str">
        <f aca="false">DEC2HEX(C975*7)</f>
        <v>0</v>
      </c>
      <c r="H975" s="1" t="str">
        <f aca="false">IF(D975=0, 33, "cc")</f>
        <v>cc</v>
      </c>
    </row>
    <row r="976" customFormat="false" ht="18.65" hidden="false" customHeight="true" outlineLevel="0" collapsed="false">
      <c r="A976" s="1" t="n">
        <f aca="false">ROW()-2</f>
        <v>974</v>
      </c>
      <c r="B976" s="1" t="n">
        <f aca="false">INT(A976/$N$1)</f>
        <v>54</v>
      </c>
      <c r="C976" s="1" t="n">
        <f aca="false">INT(MOD(A976,$N$1) / 2)</f>
        <v>1</v>
      </c>
      <c r="D976" s="1" t="n">
        <f aca="false">_xlfn.BITAND(A976,1)</f>
        <v>0</v>
      </c>
      <c r="F976" s="1" t="str">
        <f aca="false">DEC2HEX(B976*$N$3*18)</f>
        <v>F300</v>
      </c>
      <c r="G976" s="1" t="str">
        <f aca="false">DEC2HEX(C976*7)</f>
        <v>7</v>
      </c>
      <c r="H976" s="1" t="n">
        <f aca="false">IF(D976=0, 33, "cc")</f>
        <v>33</v>
      </c>
    </row>
    <row r="977" customFormat="false" ht="18.65" hidden="false" customHeight="true" outlineLevel="0" collapsed="false">
      <c r="A977" s="1" t="n">
        <f aca="false">ROW()-2</f>
        <v>975</v>
      </c>
      <c r="B977" s="1" t="n">
        <f aca="false">INT(A977/$N$1)</f>
        <v>54</v>
      </c>
      <c r="C977" s="1" t="n">
        <f aca="false">INT(MOD(A977,$N$1) / 2)</f>
        <v>1</v>
      </c>
      <c r="D977" s="1" t="n">
        <f aca="false">_xlfn.BITAND(A977,1)</f>
        <v>1</v>
      </c>
      <c r="F977" s="1" t="str">
        <f aca="false">DEC2HEX(B977*$N$3*18)</f>
        <v>F300</v>
      </c>
      <c r="G977" s="1" t="str">
        <f aca="false">DEC2HEX(C977*7)</f>
        <v>7</v>
      </c>
      <c r="H977" s="1" t="str">
        <f aca="false">IF(D977=0, 33, "cc")</f>
        <v>cc</v>
      </c>
    </row>
    <row r="978" customFormat="false" ht="18.65" hidden="false" customHeight="true" outlineLevel="0" collapsed="false">
      <c r="A978" s="1" t="n">
        <f aca="false">ROW()-2</f>
        <v>976</v>
      </c>
      <c r="B978" s="1" t="n">
        <f aca="false">INT(A978/$N$1)</f>
        <v>54</v>
      </c>
      <c r="C978" s="1" t="n">
        <f aca="false">INT(MOD(A978,$N$1) / 2)</f>
        <v>2</v>
      </c>
      <c r="D978" s="1" t="n">
        <f aca="false">_xlfn.BITAND(A978,1)</f>
        <v>0</v>
      </c>
      <c r="F978" s="1" t="str">
        <f aca="false">DEC2HEX(B978*$N$3*18)</f>
        <v>F300</v>
      </c>
      <c r="G978" s="1" t="str">
        <f aca="false">DEC2HEX(C978*7)</f>
        <v>E</v>
      </c>
      <c r="H978" s="1" t="n">
        <f aca="false">IF(D978=0, 33, "cc")</f>
        <v>33</v>
      </c>
    </row>
    <row r="979" customFormat="false" ht="18.65" hidden="false" customHeight="true" outlineLevel="0" collapsed="false">
      <c r="A979" s="1" t="n">
        <f aca="false">ROW()-2</f>
        <v>977</v>
      </c>
      <c r="B979" s="1" t="n">
        <f aca="false">INT(A979/$N$1)</f>
        <v>54</v>
      </c>
      <c r="C979" s="1" t="n">
        <f aca="false">INT(MOD(A979,$N$1) / 2)</f>
        <v>2</v>
      </c>
      <c r="D979" s="1" t="n">
        <f aca="false">_xlfn.BITAND(A979,1)</f>
        <v>1</v>
      </c>
      <c r="F979" s="1" t="str">
        <f aca="false">DEC2HEX(B979*$N$3*18)</f>
        <v>F300</v>
      </c>
      <c r="G979" s="1" t="str">
        <f aca="false">DEC2HEX(C979*7)</f>
        <v>E</v>
      </c>
      <c r="H979" s="1" t="str">
        <f aca="false">IF(D979=0, 33, "cc")</f>
        <v>cc</v>
      </c>
    </row>
    <row r="980" customFormat="false" ht="18.65" hidden="false" customHeight="true" outlineLevel="0" collapsed="false">
      <c r="A980" s="1" t="n">
        <f aca="false">ROW()-2</f>
        <v>978</v>
      </c>
      <c r="B980" s="1" t="n">
        <f aca="false">INT(A980/$N$1)</f>
        <v>54</v>
      </c>
      <c r="C980" s="1" t="n">
        <f aca="false">INT(MOD(A980,$N$1) / 2)</f>
        <v>3</v>
      </c>
      <c r="D980" s="1" t="n">
        <f aca="false">_xlfn.BITAND(A980,1)</f>
        <v>0</v>
      </c>
      <c r="F980" s="1" t="str">
        <f aca="false">DEC2HEX(B980*$N$3*18)</f>
        <v>F300</v>
      </c>
      <c r="G980" s="1" t="str">
        <f aca="false">DEC2HEX(C980*7)</f>
        <v>15</v>
      </c>
      <c r="H980" s="1" t="n">
        <f aca="false">IF(D980=0, 33, "cc")</f>
        <v>33</v>
      </c>
    </row>
    <row r="981" customFormat="false" ht="18.65" hidden="false" customHeight="true" outlineLevel="0" collapsed="false">
      <c r="A981" s="1" t="n">
        <f aca="false">ROW()-2</f>
        <v>979</v>
      </c>
      <c r="B981" s="1" t="n">
        <f aca="false">INT(A981/$N$1)</f>
        <v>54</v>
      </c>
      <c r="C981" s="1" t="n">
        <f aca="false">INT(MOD(A981,$N$1) / 2)</f>
        <v>3</v>
      </c>
      <c r="D981" s="1" t="n">
        <f aca="false">_xlfn.BITAND(A981,1)</f>
        <v>1</v>
      </c>
      <c r="F981" s="1" t="str">
        <f aca="false">DEC2HEX(B981*$N$3*18)</f>
        <v>F300</v>
      </c>
      <c r="G981" s="1" t="str">
        <f aca="false">DEC2HEX(C981*7)</f>
        <v>15</v>
      </c>
      <c r="H981" s="1" t="str">
        <f aca="false">IF(D981=0, 33, "cc")</f>
        <v>cc</v>
      </c>
    </row>
    <row r="982" customFormat="false" ht="18.65" hidden="false" customHeight="true" outlineLevel="0" collapsed="false">
      <c r="A982" s="1" t="n">
        <f aca="false">ROW()-2</f>
        <v>980</v>
      </c>
      <c r="B982" s="1" t="n">
        <f aca="false">INT(A982/$N$1)</f>
        <v>54</v>
      </c>
      <c r="C982" s="1" t="n">
        <f aca="false">INT(MOD(A982,$N$1) / 2)</f>
        <v>4</v>
      </c>
      <c r="D982" s="1" t="n">
        <f aca="false">_xlfn.BITAND(A982,1)</f>
        <v>0</v>
      </c>
      <c r="F982" s="1" t="str">
        <f aca="false">DEC2HEX(B982*$N$3*18)</f>
        <v>F300</v>
      </c>
      <c r="G982" s="1" t="str">
        <f aca="false">DEC2HEX(C982*7)</f>
        <v>1C</v>
      </c>
      <c r="H982" s="1" t="n">
        <f aca="false">IF(D982=0, 33, "cc")</f>
        <v>33</v>
      </c>
    </row>
    <row r="983" customFormat="false" ht="18.65" hidden="false" customHeight="true" outlineLevel="0" collapsed="false">
      <c r="A983" s="1" t="n">
        <f aca="false">ROW()-2</f>
        <v>981</v>
      </c>
      <c r="B983" s="1" t="n">
        <f aca="false">INT(A983/$N$1)</f>
        <v>54</v>
      </c>
      <c r="C983" s="1" t="n">
        <f aca="false">INT(MOD(A983,$N$1) / 2)</f>
        <v>4</v>
      </c>
      <c r="D983" s="1" t="n">
        <f aca="false">_xlfn.BITAND(A983,1)</f>
        <v>1</v>
      </c>
      <c r="F983" s="1" t="str">
        <f aca="false">DEC2HEX(B983*$N$3*18)</f>
        <v>F300</v>
      </c>
      <c r="G983" s="1" t="str">
        <f aca="false">DEC2HEX(C983*7)</f>
        <v>1C</v>
      </c>
      <c r="H983" s="1" t="str">
        <f aca="false">IF(D983=0, 33, "cc")</f>
        <v>cc</v>
      </c>
    </row>
    <row r="984" customFormat="false" ht="18.65" hidden="false" customHeight="true" outlineLevel="0" collapsed="false">
      <c r="A984" s="1" t="n">
        <f aca="false">ROW()-2</f>
        <v>982</v>
      </c>
      <c r="B984" s="1" t="n">
        <f aca="false">INT(A984/$N$1)</f>
        <v>54</v>
      </c>
      <c r="C984" s="1" t="n">
        <f aca="false">INT(MOD(A984,$N$1) / 2)</f>
        <v>5</v>
      </c>
      <c r="D984" s="1" t="n">
        <f aca="false">_xlfn.BITAND(A984,1)</f>
        <v>0</v>
      </c>
      <c r="F984" s="1" t="str">
        <f aca="false">DEC2HEX(B984*$N$3*18)</f>
        <v>F300</v>
      </c>
      <c r="G984" s="1" t="str">
        <f aca="false">DEC2HEX(C984*7)</f>
        <v>23</v>
      </c>
      <c r="H984" s="1" t="n">
        <f aca="false">IF(D984=0, 33, "cc")</f>
        <v>33</v>
      </c>
    </row>
    <row r="985" customFormat="false" ht="18.65" hidden="false" customHeight="true" outlineLevel="0" collapsed="false">
      <c r="A985" s="1" t="n">
        <f aca="false">ROW()-2</f>
        <v>983</v>
      </c>
      <c r="B985" s="1" t="n">
        <f aca="false">INT(A985/$N$1)</f>
        <v>54</v>
      </c>
      <c r="C985" s="1" t="n">
        <f aca="false">INT(MOD(A985,$N$1) / 2)</f>
        <v>5</v>
      </c>
      <c r="D985" s="1" t="n">
        <f aca="false">_xlfn.BITAND(A985,1)</f>
        <v>1</v>
      </c>
      <c r="F985" s="1" t="str">
        <f aca="false">DEC2HEX(B985*$N$3*18)</f>
        <v>F300</v>
      </c>
      <c r="G985" s="1" t="str">
        <f aca="false">DEC2HEX(C985*7)</f>
        <v>23</v>
      </c>
      <c r="H985" s="1" t="str">
        <f aca="false">IF(D985=0, 33, "cc")</f>
        <v>cc</v>
      </c>
    </row>
    <row r="986" customFormat="false" ht="18.65" hidden="false" customHeight="true" outlineLevel="0" collapsed="false">
      <c r="A986" s="1" t="n">
        <f aca="false">ROW()-2</f>
        <v>984</v>
      </c>
      <c r="B986" s="1" t="n">
        <f aca="false">INT(A986/$N$1)</f>
        <v>54</v>
      </c>
      <c r="C986" s="1" t="n">
        <f aca="false">INT(MOD(A986,$N$1) / 2)</f>
        <v>6</v>
      </c>
      <c r="D986" s="1" t="n">
        <f aca="false">_xlfn.BITAND(A986,1)</f>
        <v>0</v>
      </c>
      <c r="F986" s="1" t="str">
        <f aca="false">DEC2HEX(B986*$N$3*18)</f>
        <v>F300</v>
      </c>
      <c r="G986" s="1" t="str">
        <f aca="false">DEC2HEX(C986*7)</f>
        <v>2A</v>
      </c>
      <c r="H986" s="1" t="n">
        <f aca="false">IF(D986=0, 33, "cc")</f>
        <v>33</v>
      </c>
    </row>
    <row r="987" customFormat="false" ht="18.65" hidden="false" customHeight="true" outlineLevel="0" collapsed="false">
      <c r="A987" s="1" t="n">
        <f aca="false">ROW()-2</f>
        <v>985</v>
      </c>
      <c r="B987" s="1" t="n">
        <f aca="false">INT(A987/$N$1)</f>
        <v>54</v>
      </c>
      <c r="C987" s="1" t="n">
        <f aca="false">INT(MOD(A987,$N$1) / 2)</f>
        <v>6</v>
      </c>
      <c r="D987" s="1" t="n">
        <f aca="false">_xlfn.BITAND(A987,1)</f>
        <v>1</v>
      </c>
      <c r="F987" s="1" t="str">
        <f aca="false">DEC2HEX(B987*$N$3*18)</f>
        <v>F300</v>
      </c>
      <c r="G987" s="1" t="str">
        <f aca="false">DEC2HEX(C987*7)</f>
        <v>2A</v>
      </c>
      <c r="H987" s="1" t="str">
        <f aca="false">IF(D987=0, 33, "cc")</f>
        <v>cc</v>
      </c>
    </row>
    <row r="988" customFormat="false" ht="18.65" hidden="false" customHeight="true" outlineLevel="0" collapsed="false">
      <c r="A988" s="1" t="n">
        <f aca="false">ROW()-2</f>
        <v>986</v>
      </c>
      <c r="B988" s="1" t="n">
        <f aca="false">INT(A988/$N$1)</f>
        <v>54</v>
      </c>
      <c r="C988" s="1" t="n">
        <f aca="false">INT(MOD(A988,$N$1) / 2)</f>
        <v>7</v>
      </c>
      <c r="D988" s="1" t="n">
        <f aca="false">_xlfn.BITAND(A988,1)</f>
        <v>0</v>
      </c>
      <c r="F988" s="1" t="str">
        <f aca="false">DEC2HEX(B988*$N$3*18)</f>
        <v>F300</v>
      </c>
      <c r="G988" s="1" t="str">
        <f aca="false">DEC2HEX(C988*7)</f>
        <v>31</v>
      </c>
      <c r="H988" s="1" t="n">
        <f aca="false">IF(D988=0, 33, "cc")</f>
        <v>33</v>
      </c>
    </row>
    <row r="989" customFormat="false" ht="18.65" hidden="false" customHeight="true" outlineLevel="0" collapsed="false">
      <c r="A989" s="1" t="n">
        <f aca="false">ROW()-2</f>
        <v>987</v>
      </c>
      <c r="B989" s="1" t="n">
        <f aca="false">INT(A989/$N$1)</f>
        <v>54</v>
      </c>
      <c r="C989" s="1" t="n">
        <f aca="false">INT(MOD(A989,$N$1) / 2)</f>
        <v>7</v>
      </c>
      <c r="D989" s="1" t="n">
        <f aca="false">_xlfn.BITAND(A989,1)</f>
        <v>1</v>
      </c>
      <c r="F989" s="1" t="str">
        <f aca="false">DEC2HEX(B989*$N$3*18)</f>
        <v>F300</v>
      </c>
      <c r="G989" s="1" t="str">
        <f aca="false">DEC2HEX(C989*7)</f>
        <v>31</v>
      </c>
      <c r="H989" s="1" t="str">
        <f aca="false">IF(D989=0, 33, "cc")</f>
        <v>cc</v>
      </c>
    </row>
    <row r="990" customFormat="false" ht="18.65" hidden="false" customHeight="true" outlineLevel="0" collapsed="false">
      <c r="A990" s="1" t="n">
        <f aca="false">ROW()-2</f>
        <v>988</v>
      </c>
      <c r="B990" s="1" t="n">
        <f aca="false">INT(A990/$N$1)</f>
        <v>54</v>
      </c>
      <c r="C990" s="1" t="n">
        <f aca="false">INT(MOD(A990,$N$1) / 2)</f>
        <v>8</v>
      </c>
      <c r="D990" s="1" t="n">
        <f aca="false">_xlfn.BITAND(A990,1)</f>
        <v>0</v>
      </c>
      <c r="F990" s="1" t="str">
        <f aca="false">DEC2HEX(B990*$N$3*18)</f>
        <v>F300</v>
      </c>
      <c r="G990" s="1" t="str">
        <f aca="false">DEC2HEX(C990*7)</f>
        <v>38</v>
      </c>
      <c r="H990" s="1" t="n">
        <f aca="false">IF(D990=0, 33, "cc")</f>
        <v>33</v>
      </c>
    </row>
    <row r="991" customFormat="false" ht="18.65" hidden="false" customHeight="true" outlineLevel="0" collapsed="false">
      <c r="A991" s="1" t="n">
        <f aca="false">ROW()-2</f>
        <v>989</v>
      </c>
      <c r="B991" s="1" t="n">
        <f aca="false">INT(A991/$N$1)</f>
        <v>54</v>
      </c>
      <c r="C991" s="1" t="n">
        <f aca="false">INT(MOD(A991,$N$1) / 2)</f>
        <v>8</v>
      </c>
      <c r="D991" s="1" t="n">
        <f aca="false">_xlfn.BITAND(A991,1)</f>
        <v>1</v>
      </c>
      <c r="F991" s="1" t="str">
        <f aca="false">DEC2HEX(B991*$N$3*18)</f>
        <v>F300</v>
      </c>
      <c r="G991" s="1" t="str">
        <f aca="false">DEC2HEX(C991*7)</f>
        <v>38</v>
      </c>
      <c r="H991" s="1" t="str">
        <f aca="false">IF(D991=0, 33, "cc")</f>
        <v>cc</v>
      </c>
    </row>
    <row r="992" customFormat="false" ht="18.65" hidden="false" customHeight="true" outlineLevel="0" collapsed="false">
      <c r="A992" s="1" t="n">
        <f aca="false">ROW()-2</f>
        <v>990</v>
      </c>
      <c r="B992" s="1" t="n">
        <f aca="false">INT(A992/$N$1)</f>
        <v>55</v>
      </c>
      <c r="C992" s="1" t="n">
        <f aca="false">INT(MOD(A992,$N$1) / 2)</f>
        <v>0</v>
      </c>
      <c r="D992" s="1" t="n">
        <f aca="false">_xlfn.BITAND(A992,1)</f>
        <v>0</v>
      </c>
      <c r="F992" s="1" t="str">
        <f aca="false">DEC2HEX(B992*$N$3*18)</f>
        <v>F780</v>
      </c>
      <c r="G992" s="1" t="str">
        <f aca="false">DEC2HEX(C992*7)</f>
        <v>0</v>
      </c>
      <c r="H992" s="1" t="n">
        <f aca="false">IF(D992=0, 33, "cc")</f>
        <v>33</v>
      </c>
    </row>
    <row r="993" customFormat="false" ht="18.65" hidden="false" customHeight="true" outlineLevel="0" collapsed="false">
      <c r="A993" s="1" t="n">
        <f aca="false">ROW()-2</f>
        <v>991</v>
      </c>
      <c r="B993" s="1" t="n">
        <f aca="false">INT(A993/$N$1)</f>
        <v>55</v>
      </c>
      <c r="C993" s="1" t="n">
        <f aca="false">INT(MOD(A993,$N$1) / 2)</f>
        <v>0</v>
      </c>
      <c r="D993" s="1" t="n">
        <f aca="false">_xlfn.BITAND(A993,1)</f>
        <v>1</v>
      </c>
      <c r="F993" s="1" t="str">
        <f aca="false">DEC2HEX(B993*$N$3*18)</f>
        <v>F780</v>
      </c>
      <c r="G993" s="1" t="str">
        <f aca="false">DEC2HEX(C993*7)</f>
        <v>0</v>
      </c>
      <c r="H993" s="1" t="str">
        <f aca="false">IF(D993=0, 33, "cc")</f>
        <v>cc</v>
      </c>
    </row>
    <row r="994" customFormat="false" ht="18.65" hidden="false" customHeight="true" outlineLevel="0" collapsed="false">
      <c r="A994" s="1" t="n">
        <f aca="false">ROW()-2</f>
        <v>992</v>
      </c>
      <c r="B994" s="1" t="n">
        <f aca="false">INT(A994/$N$1)</f>
        <v>55</v>
      </c>
      <c r="C994" s="1" t="n">
        <f aca="false">INT(MOD(A994,$N$1) / 2)</f>
        <v>1</v>
      </c>
      <c r="D994" s="1" t="n">
        <f aca="false">_xlfn.BITAND(A994,1)</f>
        <v>0</v>
      </c>
      <c r="F994" s="1" t="str">
        <f aca="false">DEC2HEX(B994*$N$3*18)</f>
        <v>F780</v>
      </c>
      <c r="G994" s="1" t="str">
        <f aca="false">DEC2HEX(C994*7)</f>
        <v>7</v>
      </c>
      <c r="H994" s="1" t="n">
        <f aca="false">IF(D994=0, 33, "cc")</f>
        <v>33</v>
      </c>
    </row>
    <row r="995" customFormat="false" ht="18.65" hidden="false" customHeight="true" outlineLevel="0" collapsed="false">
      <c r="A995" s="1" t="n">
        <f aca="false">ROW()-2</f>
        <v>993</v>
      </c>
      <c r="B995" s="1" t="n">
        <f aca="false">INT(A995/$N$1)</f>
        <v>55</v>
      </c>
      <c r="C995" s="1" t="n">
        <f aca="false">INT(MOD(A995,$N$1) / 2)</f>
        <v>1</v>
      </c>
      <c r="D995" s="1" t="n">
        <f aca="false">_xlfn.BITAND(A995,1)</f>
        <v>1</v>
      </c>
      <c r="F995" s="1" t="str">
        <f aca="false">DEC2HEX(B995*$N$3*18)</f>
        <v>F780</v>
      </c>
      <c r="G995" s="1" t="str">
        <f aca="false">DEC2HEX(C995*7)</f>
        <v>7</v>
      </c>
      <c r="H995" s="1" t="str">
        <f aca="false">IF(D995=0, 33, "cc")</f>
        <v>cc</v>
      </c>
    </row>
    <row r="996" customFormat="false" ht="18.65" hidden="false" customHeight="true" outlineLevel="0" collapsed="false">
      <c r="A996" s="1" t="n">
        <f aca="false">ROW()-2</f>
        <v>994</v>
      </c>
      <c r="B996" s="1" t="n">
        <f aca="false">INT(A996/$N$1)</f>
        <v>55</v>
      </c>
      <c r="C996" s="1" t="n">
        <f aca="false">INT(MOD(A996,$N$1) / 2)</f>
        <v>2</v>
      </c>
      <c r="D996" s="1" t="n">
        <f aca="false">_xlfn.BITAND(A996,1)</f>
        <v>0</v>
      </c>
      <c r="F996" s="1" t="str">
        <f aca="false">DEC2HEX(B996*$N$3*18)</f>
        <v>F780</v>
      </c>
      <c r="G996" s="1" t="str">
        <f aca="false">DEC2HEX(C996*7)</f>
        <v>E</v>
      </c>
      <c r="H996" s="1" t="n">
        <f aca="false">IF(D996=0, 33, "cc")</f>
        <v>33</v>
      </c>
    </row>
    <row r="997" customFormat="false" ht="18.65" hidden="false" customHeight="true" outlineLevel="0" collapsed="false">
      <c r="A997" s="1" t="n">
        <f aca="false">ROW()-2</f>
        <v>995</v>
      </c>
      <c r="B997" s="1" t="n">
        <f aca="false">INT(A997/$N$1)</f>
        <v>55</v>
      </c>
      <c r="C997" s="1" t="n">
        <f aca="false">INT(MOD(A997,$N$1) / 2)</f>
        <v>2</v>
      </c>
      <c r="D997" s="1" t="n">
        <f aca="false">_xlfn.BITAND(A997,1)</f>
        <v>1</v>
      </c>
      <c r="F997" s="1" t="str">
        <f aca="false">DEC2HEX(B997*$N$3*18)</f>
        <v>F780</v>
      </c>
      <c r="G997" s="1" t="str">
        <f aca="false">DEC2HEX(C997*7)</f>
        <v>E</v>
      </c>
      <c r="H997" s="1" t="str">
        <f aca="false">IF(D997=0, 33, "cc")</f>
        <v>cc</v>
      </c>
    </row>
    <row r="998" customFormat="false" ht="18.65" hidden="false" customHeight="true" outlineLevel="0" collapsed="false">
      <c r="A998" s="1" t="n">
        <f aca="false">ROW()-2</f>
        <v>996</v>
      </c>
      <c r="B998" s="1" t="n">
        <f aca="false">INT(A998/$N$1)</f>
        <v>55</v>
      </c>
      <c r="C998" s="1" t="n">
        <f aca="false">INT(MOD(A998,$N$1) / 2)</f>
        <v>3</v>
      </c>
      <c r="D998" s="1" t="n">
        <f aca="false">_xlfn.BITAND(A998,1)</f>
        <v>0</v>
      </c>
      <c r="F998" s="1" t="str">
        <f aca="false">DEC2HEX(B998*$N$3*18)</f>
        <v>F780</v>
      </c>
      <c r="G998" s="1" t="str">
        <f aca="false">DEC2HEX(C998*7)</f>
        <v>15</v>
      </c>
      <c r="H998" s="1" t="n">
        <f aca="false">IF(D998=0, 33, "cc")</f>
        <v>33</v>
      </c>
    </row>
    <row r="999" customFormat="false" ht="18.65" hidden="false" customHeight="true" outlineLevel="0" collapsed="false">
      <c r="A999" s="1" t="n">
        <f aca="false">ROW()-2</f>
        <v>997</v>
      </c>
      <c r="B999" s="1" t="n">
        <f aca="false">INT(A999/$N$1)</f>
        <v>55</v>
      </c>
      <c r="C999" s="1" t="n">
        <f aca="false">INT(MOD(A999,$N$1) / 2)</f>
        <v>3</v>
      </c>
      <c r="D999" s="1" t="n">
        <f aca="false">_xlfn.BITAND(A999,1)</f>
        <v>1</v>
      </c>
      <c r="F999" s="1" t="str">
        <f aca="false">DEC2HEX(B999*$N$3*18)</f>
        <v>F780</v>
      </c>
      <c r="G999" s="1" t="str">
        <f aca="false">DEC2HEX(C999*7)</f>
        <v>15</v>
      </c>
      <c r="H999" s="1" t="str">
        <f aca="false">IF(D999=0, 33, "cc")</f>
        <v>cc</v>
      </c>
    </row>
    <row r="1000" customFormat="false" ht="18.65" hidden="false" customHeight="true" outlineLevel="0" collapsed="false">
      <c r="A1000" s="1" t="n">
        <f aca="false">ROW()-2</f>
        <v>998</v>
      </c>
      <c r="B1000" s="1" t="n">
        <f aca="false">INT(A1000/$N$1)</f>
        <v>55</v>
      </c>
      <c r="C1000" s="1" t="n">
        <f aca="false">INT(MOD(A1000,$N$1) / 2)</f>
        <v>4</v>
      </c>
      <c r="D1000" s="1" t="n">
        <f aca="false">_xlfn.BITAND(A1000,1)</f>
        <v>0</v>
      </c>
      <c r="F1000" s="1" t="str">
        <f aca="false">DEC2HEX(B1000*$N$3*18)</f>
        <v>F780</v>
      </c>
      <c r="G1000" s="1" t="str">
        <f aca="false">DEC2HEX(C1000*7)</f>
        <v>1C</v>
      </c>
      <c r="H1000" s="1" t="n">
        <f aca="false">IF(D1000=0, 33, "cc")</f>
        <v>33</v>
      </c>
    </row>
    <row r="1001" customFormat="false" ht="18.65" hidden="false" customHeight="true" outlineLevel="0" collapsed="false">
      <c r="A1001" s="1" t="n">
        <f aca="false">ROW()-2</f>
        <v>999</v>
      </c>
      <c r="B1001" s="1" t="n">
        <f aca="false">INT(A1001/$N$1)</f>
        <v>55</v>
      </c>
      <c r="C1001" s="1" t="n">
        <f aca="false">INT(MOD(A1001,$N$1) / 2)</f>
        <v>4</v>
      </c>
      <c r="D1001" s="1" t="n">
        <f aca="false">_xlfn.BITAND(A1001,1)</f>
        <v>1</v>
      </c>
      <c r="F1001" s="1" t="str">
        <f aca="false">DEC2HEX(B1001*$N$3*18)</f>
        <v>F780</v>
      </c>
      <c r="G1001" s="1" t="str">
        <f aca="false">DEC2HEX(C1001*7)</f>
        <v>1C</v>
      </c>
      <c r="H1001" s="1" t="str">
        <f aca="false">IF(D1001=0, 33, "cc")</f>
        <v>cc</v>
      </c>
    </row>
    <row r="1002" customFormat="false" ht="18.65" hidden="false" customHeight="true" outlineLevel="0" collapsed="false">
      <c r="A1002" s="1" t="n">
        <f aca="false">ROW()-2</f>
        <v>1000</v>
      </c>
      <c r="B1002" s="1" t="n">
        <f aca="false">INT(A1002/$N$1)</f>
        <v>55</v>
      </c>
      <c r="C1002" s="1" t="n">
        <f aca="false">INT(MOD(A1002,$N$1) / 2)</f>
        <v>5</v>
      </c>
      <c r="D1002" s="1" t="n">
        <f aca="false">_xlfn.BITAND(A1002,1)</f>
        <v>0</v>
      </c>
      <c r="F1002" s="1" t="str">
        <f aca="false">DEC2HEX(B1002*$N$3*18)</f>
        <v>F780</v>
      </c>
      <c r="G1002" s="1" t="str">
        <f aca="false">DEC2HEX(C1002*7)</f>
        <v>23</v>
      </c>
      <c r="H1002" s="1" t="n">
        <f aca="false">IF(D1002=0, 33, "cc")</f>
        <v>33</v>
      </c>
    </row>
    <row r="1003" customFormat="false" ht="18.65" hidden="false" customHeight="true" outlineLevel="0" collapsed="false">
      <c r="A1003" s="1" t="n">
        <f aca="false">ROW()-2</f>
        <v>1001</v>
      </c>
      <c r="B1003" s="1" t="n">
        <f aca="false">INT(A1003/$N$1)</f>
        <v>55</v>
      </c>
      <c r="C1003" s="1" t="n">
        <f aca="false">INT(MOD(A1003,$N$1) / 2)</f>
        <v>5</v>
      </c>
      <c r="D1003" s="1" t="n">
        <f aca="false">_xlfn.BITAND(A1003,1)</f>
        <v>1</v>
      </c>
      <c r="F1003" s="1" t="str">
        <f aca="false">DEC2HEX(B1003*$N$3*18)</f>
        <v>F780</v>
      </c>
      <c r="G1003" s="1" t="str">
        <f aca="false">DEC2HEX(C1003*7)</f>
        <v>23</v>
      </c>
      <c r="H1003" s="1" t="str">
        <f aca="false">IF(D1003=0, 33, "cc")</f>
        <v>cc</v>
      </c>
    </row>
    <row r="1004" customFormat="false" ht="18.65" hidden="false" customHeight="true" outlineLevel="0" collapsed="false">
      <c r="A1004" s="1" t="n">
        <f aca="false">ROW()-2</f>
        <v>1002</v>
      </c>
      <c r="B1004" s="1" t="n">
        <f aca="false">INT(A1004/$N$1)</f>
        <v>55</v>
      </c>
      <c r="C1004" s="1" t="n">
        <f aca="false">INT(MOD(A1004,$N$1) / 2)</f>
        <v>6</v>
      </c>
      <c r="D1004" s="1" t="n">
        <f aca="false">_xlfn.BITAND(A1004,1)</f>
        <v>0</v>
      </c>
      <c r="F1004" s="1" t="str">
        <f aca="false">DEC2HEX(B1004*$N$3*18)</f>
        <v>F780</v>
      </c>
      <c r="G1004" s="1" t="str">
        <f aca="false">DEC2HEX(C1004*7)</f>
        <v>2A</v>
      </c>
      <c r="H1004" s="1" t="n">
        <f aca="false">IF(D1004=0, 33, "cc")</f>
        <v>33</v>
      </c>
    </row>
    <row r="1005" customFormat="false" ht="18.65" hidden="false" customHeight="true" outlineLevel="0" collapsed="false">
      <c r="A1005" s="1" t="n">
        <f aca="false">ROW()-2</f>
        <v>1003</v>
      </c>
      <c r="B1005" s="1" t="n">
        <f aca="false">INT(A1005/$N$1)</f>
        <v>55</v>
      </c>
      <c r="C1005" s="1" t="n">
        <f aca="false">INT(MOD(A1005,$N$1) / 2)</f>
        <v>6</v>
      </c>
      <c r="D1005" s="1" t="n">
        <f aca="false">_xlfn.BITAND(A1005,1)</f>
        <v>1</v>
      </c>
      <c r="F1005" s="1" t="str">
        <f aca="false">DEC2HEX(B1005*$N$3*18)</f>
        <v>F780</v>
      </c>
      <c r="G1005" s="1" t="str">
        <f aca="false">DEC2HEX(C1005*7)</f>
        <v>2A</v>
      </c>
      <c r="H1005" s="1" t="str">
        <f aca="false">IF(D1005=0, 33, "cc")</f>
        <v>cc</v>
      </c>
    </row>
    <row r="1006" customFormat="false" ht="18.65" hidden="false" customHeight="true" outlineLevel="0" collapsed="false">
      <c r="A1006" s="1" t="n">
        <f aca="false">ROW()-2</f>
        <v>1004</v>
      </c>
      <c r="B1006" s="1" t="n">
        <f aca="false">INT(A1006/$N$1)</f>
        <v>55</v>
      </c>
      <c r="C1006" s="1" t="n">
        <f aca="false">INT(MOD(A1006,$N$1) / 2)</f>
        <v>7</v>
      </c>
      <c r="D1006" s="1" t="n">
        <f aca="false">_xlfn.BITAND(A1006,1)</f>
        <v>0</v>
      </c>
      <c r="F1006" s="1" t="str">
        <f aca="false">DEC2HEX(B1006*$N$3*18)</f>
        <v>F780</v>
      </c>
      <c r="G1006" s="1" t="str">
        <f aca="false">DEC2HEX(C1006*7)</f>
        <v>31</v>
      </c>
      <c r="H1006" s="1" t="n">
        <f aca="false">IF(D1006=0, 33, "cc")</f>
        <v>33</v>
      </c>
    </row>
    <row r="1007" customFormat="false" ht="18.65" hidden="false" customHeight="true" outlineLevel="0" collapsed="false">
      <c r="A1007" s="1" t="n">
        <f aca="false">ROW()-2</f>
        <v>1005</v>
      </c>
      <c r="B1007" s="1" t="n">
        <f aca="false">INT(A1007/$N$1)</f>
        <v>55</v>
      </c>
      <c r="C1007" s="1" t="n">
        <f aca="false">INT(MOD(A1007,$N$1) / 2)</f>
        <v>7</v>
      </c>
      <c r="D1007" s="1" t="n">
        <f aca="false">_xlfn.BITAND(A1007,1)</f>
        <v>1</v>
      </c>
      <c r="F1007" s="1" t="str">
        <f aca="false">DEC2HEX(B1007*$N$3*18)</f>
        <v>F780</v>
      </c>
      <c r="G1007" s="1" t="str">
        <f aca="false">DEC2HEX(C1007*7)</f>
        <v>31</v>
      </c>
      <c r="H1007" s="1" t="str">
        <f aca="false">IF(D1007=0, 33, "cc")</f>
        <v>cc</v>
      </c>
    </row>
    <row r="1008" customFormat="false" ht="18.65" hidden="false" customHeight="true" outlineLevel="0" collapsed="false">
      <c r="A1008" s="1" t="n">
        <f aca="false">ROW()-2</f>
        <v>1006</v>
      </c>
      <c r="B1008" s="1" t="n">
        <f aca="false">INT(A1008/$N$1)</f>
        <v>55</v>
      </c>
      <c r="C1008" s="1" t="n">
        <f aca="false">INT(MOD(A1008,$N$1) / 2)</f>
        <v>8</v>
      </c>
      <c r="D1008" s="1" t="n">
        <f aca="false">_xlfn.BITAND(A1008,1)</f>
        <v>0</v>
      </c>
      <c r="F1008" s="1" t="str">
        <f aca="false">DEC2HEX(B1008*$N$3*18)</f>
        <v>F780</v>
      </c>
      <c r="G1008" s="1" t="str">
        <f aca="false">DEC2HEX(C1008*7)</f>
        <v>38</v>
      </c>
      <c r="H1008" s="1" t="n">
        <f aca="false">IF(D1008=0, 33, "cc")</f>
        <v>33</v>
      </c>
    </row>
    <row r="1009" customFormat="false" ht="18.65" hidden="false" customHeight="true" outlineLevel="0" collapsed="false">
      <c r="A1009" s="1" t="n">
        <f aca="false">ROW()-2</f>
        <v>1007</v>
      </c>
      <c r="B1009" s="1" t="n">
        <f aca="false">INT(A1009/$N$1)</f>
        <v>55</v>
      </c>
      <c r="C1009" s="1" t="n">
        <f aca="false">INT(MOD(A1009,$N$1) / 2)</f>
        <v>8</v>
      </c>
      <c r="D1009" s="1" t="n">
        <f aca="false">_xlfn.BITAND(A1009,1)</f>
        <v>1</v>
      </c>
      <c r="F1009" s="1" t="str">
        <f aca="false">DEC2HEX(B1009*$N$3*18)</f>
        <v>F780</v>
      </c>
      <c r="G1009" s="1" t="str">
        <f aca="false">DEC2HEX(C1009*7)</f>
        <v>38</v>
      </c>
      <c r="H1009" s="1" t="str">
        <f aca="false">IF(D1009=0, 33, "cc")</f>
        <v>cc</v>
      </c>
    </row>
    <row r="1010" customFormat="false" ht="18.65" hidden="false" customHeight="true" outlineLevel="0" collapsed="false">
      <c r="A1010" s="1" t="n">
        <f aca="false">ROW()-2</f>
        <v>1008</v>
      </c>
      <c r="B1010" s="1" t="n">
        <f aca="false">INT(A1010/$N$1)</f>
        <v>56</v>
      </c>
      <c r="C1010" s="1" t="n">
        <f aca="false">INT(MOD(A1010,$N$1) / 2)</f>
        <v>0</v>
      </c>
      <c r="D1010" s="1" t="n">
        <f aca="false">_xlfn.BITAND(A1010,1)</f>
        <v>0</v>
      </c>
      <c r="F1010" s="1" t="str">
        <f aca="false">DEC2HEX(B1010*$N$3*18)</f>
        <v>FC00</v>
      </c>
      <c r="G1010" s="1" t="str">
        <f aca="false">DEC2HEX(C1010*7)</f>
        <v>0</v>
      </c>
      <c r="H1010" s="1" t="n">
        <f aca="false">IF(D1010=0, 33, "cc")</f>
        <v>33</v>
      </c>
    </row>
    <row r="1011" customFormat="false" ht="18.65" hidden="false" customHeight="true" outlineLevel="0" collapsed="false">
      <c r="A1011" s="1" t="n">
        <f aca="false">ROW()-2</f>
        <v>1009</v>
      </c>
      <c r="B1011" s="1" t="n">
        <f aca="false">INT(A1011/$N$1)</f>
        <v>56</v>
      </c>
      <c r="C1011" s="1" t="n">
        <f aca="false">INT(MOD(A1011,$N$1) / 2)</f>
        <v>0</v>
      </c>
      <c r="D1011" s="1" t="n">
        <f aca="false">_xlfn.BITAND(A1011,1)</f>
        <v>1</v>
      </c>
      <c r="F1011" s="1" t="str">
        <f aca="false">DEC2HEX(B1011*$N$3*18)</f>
        <v>FC00</v>
      </c>
      <c r="G1011" s="1" t="str">
        <f aca="false">DEC2HEX(C1011*7)</f>
        <v>0</v>
      </c>
      <c r="H1011" s="1" t="str">
        <f aca="false">IF(D1011=0, 33, "cc")</f>
        <v>cc</v>
      </c>
    </row>
    <row r="1012" customFormat="false" ht="18.65" hidden="false" customHeight="true" outlineLevel="0" collapsed="false">
      <c r="A1012" s="1" t="n">
        <f aca="false">ROW()-2</f>
        <v>1010</v>
      </c>
      <c r="B1012" s="1" t="n">
        <f aca="false">INT(A1012/$N$1)</f>
        <v>56</v>
      </c>
      <c r="C1012" s="1" t="n">
        <f aca="false">INT(MOD(A1012,$N$1) / 2)</f>
        <v>1</v>
      </c>
      <c r="D1012" s="1" t="n">
        <f aca="false">_xlfn.BITAND(A1012,1)</f>
        <v>0</v>
      </c>
      <c r="F1012" s="1" t="str">
        <f aca="false">DEC2HEX(B1012*$N$3*18)</f>
        <v>FC00</v>
      </c>
      <c r="G1012" s="1" t="str">
        <f aca="false">DEC2HEX(C1012*7)</f>
        <v>7</v>
      </c>
      <c r="H1012" s="1" t="n">
        <f aca="false">IF(D1012=0, 33, "cc")</f>
        <v>33</v>
      </c>
    </row>
    <row r="1013" customFormat="false" ht="18.65" hidden="false" customHeight="true" outlineLevel="0" collapsed="false">
      <c r="A1013" s="1" t="n">
        <f aca="false">ROW()-2</f>
        <v>1011</v>
      </c>
      <c r="B1013" s="1" t="n">
        <f aca="false">INT(A1013/$N$1)</f>
        <v>56</v>
      </c>
      <c r="C1013" s="1" t="n">
        <f aca="false">INT(MOD(A1013,$N$1) / 2)</f>
        <v>1</v>
      </c>
      <c r="D1013" s="1" t="n">
        <f aca="false">_xlfn.BITAND(A1013,1)</f>
        <v>1</v>
      </c>
      <c r="F1013" s="1" t="str">
        <f aca="false">DEC2HEX(B1013*$N$3*18)</f>
        <v>FC00</v>
      </c>
      <c r="G1013" s="1" t="str">
        <f aca="false">DEC2HEX(C1013*7)</f>
        <v>7</v>
      </c>
      <c r="H1013" s="1" t="str">
        <f aca="false">IF(D1013=0, 33, "cc")</f>
        <v>cc</v>
      </c>
    </row>
    <row r="1014" customFormat="false" ht="18.65" hidden="false" customHeight="true" outlineLevel="0" collapsed="false">
      <c r="A1014" s="1" t="n">
        <f aca="false">ROW()-2</f>
        <v>1012</v>
      </c>
      <c r="B1014" s="1" t="n">
        <f aca="false">INT(A1014/$N$1)</f>
        <v>56</v>
      </c>
      <c r="C1014" s="1" t="n">
        <f aca="false">INT(MOD(A1014,$N$1) / 2)</f>
        <v>2</v>
      </c>
      <c r="D1014" s="1" t="n">
        <f aca="false">_xlfn.BITAND(A1014,1)</f>
        <v>0</v>
      </c>
      <c r="F1014" s="1" t="str">
        <f aca="false">DEC2HEX(B1014*$N$3*18)</f>
        <v>FC00</v>
      </c>
      <c r="G1014" s="1" t="str">
        <f aca="false">DEC2HEX(C1014*7)</f>
        <v>E</v>
      </c>
      <c r="H1014" s="1" t="n">
        <f aca="false">IF(D1014=0, 33, "cc")</f>
        <v>33</v>
      </c>
    </row>
    <row r="1015" customFormat="false" ht="18.65" hidden="false" customHeight="true" outlineLevel="0" collapsed="false">
      <c r="A1015" s="1" t="n">
        <f aca="false">ROW()-2</f>
        <v>1013</v>
      </c>
      <c r="B1015" s="1" t="n">
        <f aca="false">INT(A1015/$N$1)</f>
        <v>56</v>
      </c>
      <c r="C1015" s="1" t="n">
        <f aca="false">INT(MOD(A1015,$N$1) / 2)</f>
        <v>2</v>
      </c>
      <c r="D1015" s="1" t="n">
        <f aca="false">_xlfn.BITAND(A1015,1)</f>
        <v>1</v>
      </c>
      <c r="F1015" s="1" t="str">
        <f aca="false">DEC2HEX(B1015*$N$3*18)</f>
        <v>FC00</v>
      </c>
      <c r="G1015" s="1" t="str">
        <f aca="false">DEC2HEX(C1015*7)</f>
        <v>E</v>
      </c>
      <c r="H1015" s="1" t="str">
        <f aca="false">IF(D1015=0, 33, "cc")</f>
        <v>cc</v>
      </c>
    </row>
    <row r="1016" customFormat="false" ht="18.65" hidden="false" customHeight="true" outlineLevel="0" collapsed="false">
      <c r="A1016" s="1" t="n">
        <f aca="false">ROW()-2</f>
        <v>1014</v>
      </c>
      <c r="B1016" s="1" t="n">
        <f aca="false">INT(A1016/$N$1)</f>
        <v>56</v>
      </c>
      <c r="C1016" s="1" t="n">
        <f aca="false">INT(MOD(A1016,$N$1) / 2)</f>
        <v>3</v>
      </c>
      <c r="D1016" s="1" t="n">
        <f aca="false">_xlfn.BITAND(A1016,1)</f>
        <v>0</v>
      </c>
      <c r="F1016" s="1" t="str">
        <f aca="false">DEC2HEX(B1016*$N$3*18)</f>
        <v>FC00</v>
      </c>
      <c r="G1016" s="1" t="str">
        <f aca="false">DEC2HEX(C1016*7)</f>
        <v>15</v>
      </c>
      <c r="H1016" s="1" t="n">
        <f aca="false">IF(D1016=0, 33, "cc")</f>
        <v>33</v>
      </c>
    </row>
    <row r="1017" customFormat="false" ht="18.65" hidden="false" customHeight="true" outlineLevel="0" collapsed="false">
      <c r="A1017" s="1" t="n">
        <f aca="false">ROW()-2</f>
        <v>1015</v>
      </c>
      <c r="B1017" s="1" t="n">
        <f aca="false">INT(A1017/$N$1)</f>
        <v>56</v>
      </c>
      <c r="C1017" s="1" t="n">
        <f aca="false">INT(MOD(A1017,$N$1) / 2)</f>
        <v>3</v>
      </c>
      <c r="D1017" s="1" t="n">
        <f aca="false">_xlfn.BITAND(A1017,1)</f>
        <v>1</v>
      </c>
      <c r="F1017" s="1" t="str">
        <f aca="false">DEC2HEX(B1017*$N$3*18)</f>
        <v>FC00</v>
      </c>
      <c r="G1017" s="1" t="str">
        <f aca="false">DEC2HEX(C1017*7)</f>
        <v>15</v>
      </c>
      <c r="H1017" s="1" t="str">
        <f aca="false">IF(D1017=0, 33, "cc")</f>
        <v>cc</v>
      </c>
    </row>
    <row r="1018" customFormat="false" ht="18.65" hidden="false" customHeight="true" outlineLevel="0" collapsed="false">
      <c r="A1018" s="1" t="n">
        <f aca="false">ROW()-2</f>
        <v>1016</v>
      </c>
      <c r="B1018" s="1" t="n">
        <f aca="false">INT(A1018/$N$1)</f>
        <v>56</v>
      </c>
      <c r="C1018" s="1" t="n">
        <f aca="false">INT(MOD(A1018,$N$1) / 2)</f>
        <v>4</v>
      </c>
      <c r="D1018" s="1" t="n">
        <f aca="false">_xlfn.BITAND(A1018,1)</f>
        <v>0</v>
      </c>
      <c r="F1018" s="1" t="str">
        <f aca="false">DEC2HEX(B1018*$N$3*18)</f>
        <v>FC00</v>
      </c>
      <c r="G1018" s="1" t="str">
        <f aca="false">DEC2HEX(C1018*7)</f>
        <v>1C</v>
      </c>
      <c r="H1018" s="1" t="n">
        <f aca="false">IF(D1018=0, 33, "cc")</f>
        <v>33</v>
      </c>
    </row>
    <row r="1019" customFormat="false" ht="18.65" hidden="false" customHeight="true" outlineLevel="0" collapsed="false">
      <c r="A1019" s="1" t="n">
        <f aca="false">ROW()-2</f>
        <v>1017</v>
      </c>
      <c r="B1019" s="1" t="n">
        <f aca="false">INT(A1019/$N$1)</f>
        <v>56</v>
      </c>
      <c r="C1019" s="1" t="n">
        <f aca="false">INT(MOD(A1019,$N$1) / 2)</f>
        <v>4</v>
      </c>
      <c r="D1019" s="1" t="n">
        <f aca="false">_xlfn.BITAND(A1019,1)</f>
        <v>1</v>
      </c>
      <c r="F1019" s="1" t="str">
        <f aca="false">DEC2HEX(B1019*$N$3*18)</f>
        <v>FC00</v>
      </c>
      <c r="G1019" s="1" t="str">
        <f aca="false">DEC2HEX(C1019*7)</f>
        <v>1C</v>
      </c>
      <c r="H1019" s="1" t="str">
        <f aca="false">IF(D1019=0, 33, "cc")</f>
        <v>cc</v>
      </c>
    </row>
    <row r="1020" customFormat="false" ht="18.65" hidden="false" customHeight="true" outlineLevel="0" collapsed="false">
      <c r="A1020" s="1" t="n">
        <f aca="false">ROW()-2</f>
        <v>1018</v>
      </c>
      <c r="B1020" s="1" t="n">
        <f aca="false">INT(A1020/$N$1)</f>
        <v>56</v>
      </c>
      <c r="C1020" s="1" t="n">
        <f aca="false">INT(MOD(A1020,$N$1) / 2)</f>
        <v>5</v>
      </c>
      <c r="D1020" s="1" t="n">
        <f aca="false">_xlfn.BITAND(A1020,1)</f>
        <v>0</v>
      </c>
      <c r="F1020" s="1" t="str">
        <f aca="false">DEC2HEX(B1020*$N$3*18)</f>
        <v>FC00</v>
      </c>
      <c r="G1020" s="1" t="str">
        <f aca="false">DEC2HEX(C1020*7)</f>
        <v>23</v>
      </c>
      <c r="H1020" s="1" t="n">
        <f aca="false">IF(D1020=0, 33, "cc")</f>
        <v>33</v>
      </c>
    </row>
    <row r="1021" customFormat="false" ht="18.65" hidden="false" customHeight="true" outlineLevel="0" collapsed="false">
      <c r="A1021" s="1" t="n">
        <f aca="false">ROW()-2</f>
        <v>1019</v>
      </c>
      <c r="B1021" s="1" t="n">
        <f aca="false">INT(A1021/$N$1)</f>
        <v>56</v>
      </c>
      <c r="C1021" s="1" t="n">
        <f aca="false">INT(MOD(A1021,$N$1) / 2)</f>
        <v>5</v>
      </c>
      <c r="D1021" s="1" t="n">
        <f aca="false">_xlfn.BITAND(A1021,1)</f>
        <v>1</v>
      </c>
      <c r="F1021" s="1" t="str">
        <f aca="false">DEC2HEX(B1021*$N$3*18)</f>
        <v>FC00</v>
      </c>
      <c r="G1021" s="1" t="str">
        <f aca="false">DEC2HEX(C1021*7)</f>
        <v>23</v>
      </c>
      <c r="H1021" s="1" t="str">
        <f aca="false">IF(D1021=0, 33, "cc")</f>
        <v>cc</v>
      </c>
    </row>
    <row r="1022" customFormat="false" ht="18.65" hidden="false" customHeight="true" outlineLevel="0" collapsed="false">
      <c r="A1022" s="1" t="n">
        <f aca="false">ROW()-2</f>
        <v>1020</v>
      </c>
      <c r="B1022" s="1" t="n">
        <f aca="false">INT(A1022/$N$1)</f>
        <v>56</v>
      </c>
      <c r="C1022" s="1" t="n">
        <f aca="false">INT(MOD(A1022,$N$1) / 2)</f>
        <v>6</v>
      </c>
      <c r="D1022" s="1" t="n">
        <f aca="false">_xlfn.BITAND(A1022,1)</f>
        <v>0</v>
      </c>
      <c r="F1022" s="1" t="str">
        <f aca="false">DEC2HEX(B1022*$N$3*18)</f>
        <v>FC00</v>
      </c>
      <c r="G1022" s="1" t="str">
        <f aca="false">DEC2HEX(C1022*7)</f>
        <v>2A</v>
      </c>
      <c r="H1022" s="1" t="n">
        <f aca="false">IF(D1022=0, 33, "cc")</f>
        <v>33</v>
      </c>
    </row>
    <row r="1023" customFormat="false" ht="18.65" hidden="false" customHeight="true" outlineLevel="0" collapsed="false">
      <c r="A1023" s="1" t="n">
        <f aca="false">ROW()-2</f>
        <v>1021</v>
      </c>
      <c r="B1023" s="1" t="n">
        <f aca="false">INT(A1023/$N$1)</f>
        <v>56</v>
      </c>
      <c r="C1023" s="1" t="n">
        <f aca="false">INT(MOD(A1023,$N$1) / 2)</f>
        <v>6</v>
      </c>
      <c r="D1023" s="1" t="n">
        <f aca="false">_xlfn.BITAND(A1023,1)</f>
        <v>1</v>
      </c>
      <c r="F1023" s="1" t="str">
        <f aca="false">DEC2HEX(B1023*$N$3*18)</f>
        <v>FC00</v>
      </c>
      <c r="G1023" s="1" t="str">
        <f aca="false">DEC2HEX(C1023*7)</f>
        <v>2A</v>
      </c>
      <c r="H1023" s="1" t="str">
        <f aca="false">IF(D1023=0, 33, "cc")</f>
        <v>cc</v>
      </c>
    </row>
    <row r="1024" customFormat="false" ht="18.65" hidden="false" customHeight="true" outlineLevel="0" collapsed="false">
      <c r="A1024" s="1" t="n">
        <f aca="false">ROW()-2</f>
        <v>1022</v>
      </c>
      <c r="B1024" s="1" t="n">
        <f aca="false">INT(A1024/$N$1)</f>
        <v>56</v>
      </c>
      <c r="C1024" s="1" t="n">
        <f aca="false">INT(MOD(A1024,$N$1) / 2)</f>
        <v>7</v>
      </c>
      <c r="D1024" s="1" t="n">
        <f aca="false">_xlfn.BITAND(A1024,1)</f>
        <v>0</v>
      </c>
      <c r="F1024" s="1" t="str">
        <f aca="false">DEC2HEX(B1024*$N$3*18)</f>
        <v>FC00</v>
      </c>
      <c r="G1024" s="1" t="str">
        <f aca="false">DEC2HEX(C1024*7)</f>
        <v>31</v>
      </c>
      <c r="H1024" s="1" t="n">
        <f aca="false">IF(D1024=0, 33, "cc")</f>
        <v>33</v>
      </c>
    </row>
    <row r="1025" customFormat="false" ht="18.65" hidden="false" customHeight="true" outlineLevel="0" collapsed="false">
      <c r="A1025" s="1" t="n">
        <f aca="false">ROW()-2</f>
        <v>1023</v>
      </c>
      <c r="B1025" s="1" t="n">
        <f aca="false">INT(A1025/$N$1)</f>
        <v>56</v>
      </c>
      <c r="C1025" s="1" t="n">
        <f aca="false">INT(MOD(A1025,$N$1) / 2)</f>
        <v>7</v>
      </c>
      <c r="D1025" s="1" t="n">
        <f aca="false">_xlfn.BITAND(A1025,1)</f>
        <v>1</v>
      </c>
      <c r="F1025" s="1" t="str">
        <f aca="false">DEC2HEX(B1025*$N$3*18)</f>
        <v>FC00</v>
      </c>
      <c r="G1025" s="1" t="str">
        <f aca="false">DEC2HEX(C1025*7)</f>
        <v>31</v>
      </c>
      <c r="H1025" s="1" t="str">
        <f aca="false">IF(D1025=0, 33, "cc")</f>
        <v>cc</v>
      </c>
    </row>
    <row r="1026" customFormat="false" ht="18.65" hidden="false" customHeight="true" outlineLevel="0" collapsed="false">
      <c r="A1026" s="1" t="n">
        <f aca="false">ROW()-2</f>
        <v>1024</v>
      </c>
      <c r="B1026" s="1" t="n">
        <f aca="false">INT(A1026/$N$1)</f>
        <v>56</v>
      </c>
      <c r="C1026" s="1" t="n">
        <f aca="false">INT(MOD(A1026,$N$1) / 2)</f>
        <v>8</v>
      </c>
      <c r="D1026" s="1" t="n">
        <f aca="false">_xlfn.BITAND(A1026,1)</f>
        <v>0</v>
      </c>
      <c r="F1026" s="1" t="str">
        <f aca="false">DEC2HEX(B1026*$N$3*18)</f>
        <v>FC00</v>
      </c>
      <c r="G1026" s="1" t="str">
        <f aca="false">DEC2HEX(C1026*7)</f>
        <v>38</v>
      </c>
      <c r="H1026" s="1" t="n">
        <f aca="false">IF(D1026=0, 33, "cc")</f>
        <v>33</v>
      </c>
    </row>
    <row r="1027" customFormat="false" ht="18.65" hidden="false" customHeight="true" outlineLevel="0" collapsed="false">
      <c r="A1027" s="1" t="n">
        <f aca="false">ROW()-2</f>
        <v>1025</v>
      </c>
      <c r="B1027" s="1" t="n">
        <f aca="false">INT(A1027/$N$1)</f>
        <v>56</v>
      </c>
      <c r="C1027" s="1" t="n">
        <f aca="false">INT(MOD(A1027,$N$1) / 2)</f>
        <v>8</v>
      </c>
      <c r="D1027" s="1" t="n">
        <f aca="false">_xlfn.BITAND(A1027,1)</f>
        <v>1</v>
      </c>
      <c r="F1027" s="1" t="str">
        <f aca="false">DEC2HEX(B1027*$N$3*18)</f>
        <v>FC00</v>
      </c>
      <c r="G1027" s="1" t="str">
        <f aca="false">DEC2HEX(C1027*7)</f>
        <v>38</v>
      </c>
      <c r="H1027" s="1" t="str">
        <f aca="false">IF(D1027=0, 33, "cc")</f>
        <v>cc</v>
      </c>
    </row>
    <row r="1028" customFormat="false" ht="18.65" hidden="false" customHeight="true" outlineLevel="0" collapsed="false">
      <c r="A1028" s="1" t="n">
        <f aca="false">ROW()-2</f>
        <v>1026</v>
      </c>
      <c r="B1028" s="1" t="n">
        <f aca="false">INT(A1028/$N$1)</f>
        <v>57</v>
      </c>
      <c r="C1028" s="1" t="n">
        <f aca="false">INT(MOD(A1028,$N$1) / 2)</f>
        <v>0</v>
      </c>
      <c r="D1028" s="1" t="n">
        <f aca="false">_xlfn.BITAND(A1028,1)</f>
        <v>0</v>
      </c>
      <c r="F1028" s="1" t="str">
        <f aca="false">DEC2HEX(B1028*$N$3*18)</f>
        <v>10080</v>
      </c>
      <c r="G1028" s="1" t="str">
        <f aca="false">DEC2HEX(C1028*7)</f>
        <v>0</v>
      </c>
      <c r="H1028" s="1" t="n">
        <f aca="false">IF(D1028=0, 33, "cc")</f>
        <v>33</v>
      </c>
    </row>
    <row r="1029" customFormat="false" ht="18.65" hidden="false" customHeight="true" outlineLevel="0" collapsed="false">
      <c r="A1029" s="1" t="n">
        <f aca="false">ROW()-2</f>
        <v>1027</v>
      </c>
      <c r="B1029" s="1" t="n">
        <f aca="false">INT(A1029/$N$1)</f>
        <v>57</v>
      </c>
      <c r="C1029" s="1" t="n">
        <f aca="false">INT(MOD(A1029,$N$1) / 2)</f>
        <v>0</v>
      </c>
      <c r="D1029" s="1" t="n">
        <f aca="false">_xlfn.BITAND(A1029,1)</f>
        <v>1</v>
      </c>
      <c r="F1029" s="1" t="str">
        <f aca="false">DEC2HEX(B1029*$N$3*18)</f>
        <v>10080</v>
      </c>
      <c r="G1029" s="1" t="str">
        <f aca="false">DEC2HEX(C1029*7)</f>
        <v>0</v>
      </c>
      <c r="H1029" s="1" t="str">
        <f aca="false">IF(D1029=0, 33, "cc")</f>
        <v>cc</v>
      </c>
    </row>
    <row r="1030" customFormat="false" ht="18.65" hidden="false" customHeight="true" outlineLevel="0" collapsed="false">
      <c r="A1030" s="1" t="n">
        <f aca="false">ROW()-2</f>
        <v>1028</v>
      </c>
      <c r="B1030" s="1" t="n">
        <f aca="false">INT(A1030/$N$1)</f>
        <v>57</v>
      </c>
      <c r="C1030" s="1" t="n">
        <f aca="false">INT(MOD(A1030,$N$1) / 2)</f>
        <v>1</v>
      </c>
      <c r="D1030" s="1" t="n">
        <f aca="false">_xlfn.BITAND(A1030,1)</f>
        <v>0</v>
      </c>
      <c r="F1030" s="1" t="str">
        <f aca="false">DEC2HEX(B1030*$N$3*18)</f>
        <v>10080</v>
      </c>
      <c r="G1030" s="1" t="str">
        <f aca="false">DEC2HEX(C1030*7)</f>
        <v>7</v>
      </c>
      <c r="H1030" s="1" t="n">
        <f aca="false">IF(D1030=0, 33, "cc")</f>
        <v>33</v>
      </c>
    </row>
    <row r="1031" customFormat="false" ht="18.65" hidden="false" customHeight="true" outlineLevel="0" collapsed="false">
      <c r="A1031" s="1" t="n">
        <f aca="false">ROW()-2</f>
        <v>1029</v>
      </c>
      <c r="B1031" s="1" t="n">
        <f aca="false">INT(A1031/$N$1)</f>
        <v>57</v>
      </c>
      <c r="C1031" s="1" t="n">
        <f aca="false">INT(MOD(A1031,$N$1) / 2)</f>
        <v>1</v>
      </c>
      <c r="D1031" s="1" t="n">
        <f aca="false">_xlfn.BITAND(A1031,1)</f>
        <v>1</v>
      </c>
      <c r="F1031" s="1" t="str">
        <f aca="false">DEC2HEX(B1031*$N$3*18)</f>
        <v>10080</v>
      </c>
      <c r="G1031" s="1" t="str">
        <f aca="false">DEC2HEX(C1031*7)</f>
        <v>7</v>
      </c>
      <c r="H1031" s="1" t="str">
        <f aca="false">IF(D1031=0, 33, "cc")</f>
        <v>cc</v>
      </c>
    </row>
    <row r="1032" customFormat="false" ht="18.65" hidden="false" customHeight="true" outlineLevel="0" collapsed="false">
      <c r="A1032" s="1" t="n">
        <f aca="false">ROW()-2</f>
        <v>1030</v>
      </c>
      <c r="B1032" s="1" t="n">
        <f aca="false">INT(A1032/$N$1)</f>
        <v>57</v>
      </c>
      <c r="C1032" s="1" t="n">
        <f aca="false">INT(MOD(A1032,$N$1) / 2)</f>
        <v>2</v>
      </c>
      <c r="D1032" s="1" t="n">
        <f aca="false">_xlfn.BITAND(A1032,1)</f>
        <v>0</v>
      </c>
      <c r="F1032" s="1" t="str">
        <f aca="false">DEC2HEX(B1032*$N$3*18)</f>
        <v>10080</v>
      </c>
      <c r="G1032" s="1" t="str">
        <f aca="false">DEC2HEX(C1032*7)</f>
        <v>E</v>
      </c>
      <c r="H1032" s="1" t="n">
        <f aca="false">IF(D1032=0, 33, "cc")</f>
        <v>33</v>
      </c>
    </row>
    <row r="1033" customFormat="false" ht="18.65" hidden="false" customHeight="true" outlineLevel="0" collapsed="false">
      <c r="A1033" s="1" t="n">
        <f aca="false">ROW()-2</f>
        <v>1031</v>
      </c>
      <c r="B1033" s="1" t="n">
        <f aca="false">INT(A1033/$N$1)</f>
        <v>57</v>
      </c>
      <c r="C1033" s="1" t="n">
        <f aca="false">INT(MOD(A1033,$N$1) / 2)</f>
        <v>2</v>
      </c>
      <c r="D1033" s="1" t="n">
        <f aca="false">_xlfn.BITAND(A1033,1)</f>
        <v>1</v>
      </c>
      <c r="F1033" s="1" t="str">
        <f aca="false">DEC2HEX(B1033*$N$3*18)</f>
        <v>10080</v>
      </c>
      <c r="G1033" s="1" t="str">
        <f aca="false">DEC2HEX(C1033*7)</f>
        <v>E</v>
      </c>
      <c r="H1033" s="1" t="str">
        <f aca="false">IF(D1033=0, 33, "cc")</f>
        <v>cc</v>
      </c>
    </row>
    <row r="1034" customFormat="false" ht="18.65" hidden="false" customHeight="true" outlineLevel="0" collapsed="false">
      <c r="A1034" s="1" t="n">
        <f aca="false">ROW()-2</f>
        <v>1032</v>
      </c>
      <c r="B1034" s="1" t="n">
        <f aca="false">INT(A1034/$N$1)</f>
        <v>57</v>
      </c>
      <c r="C1034" s="1" t="n">
        <f aca="false">INT(MOD(A1034,$N$1) / 2)</f>
        <v>3</v>
      </c>
      <c r="D1034" s="1" t="n">
        <f aca="false">_xlfn.BITAND(A1034,1)</f>
        <v>0</v>
      </c>
      <c r="F1034" s="1" t="str">
        <f aca="false">DEC2HEX(B1034*$N$3*18)</f>
        <v>10080</v>
      </c>
      <c r="G1034" s="1" t="str">
        <f aca="false">DEC2HEX(C1034*7)</f>
        <v>15</v>
      </c>
      <c r="H1034" s="1" t="n">
        <f aca="false">IF(D1034=0, 33, "cc")</f>
        <v>33</v>
      </c>
    </row>
    <row r="1035" customFormat="false" ht="18.65" hidden="false" customHeight="true" outlineLevel="0" collapsed="false">
      <c r="A1035" s="1" t="n">
        <f aca="false">ROW()-2</f>
        <v>1033</v>
      </c>
      <c r="B1035" s="1" t="n">
        <f aca="false">INT(A1035/$N$1)</f>
        <v>57</v>
      </c>
      <c r="C1035" s="1" t="n">
        <f aca="false">INT(MOD(A1035,$N$1) / 2)</f>
        <v>3</v>
      </c>
      <c r="D1035" s="1" t="n">
        <f aca="false">_xlfn.BITAND(A1035,1)</f>
        <v>1</v>
      </c>
      <c r="F1035" s="1" t="str">
        <f aca="false">DEC2HEX(B1035*$N$3*18)</f>
        <v>10080</v>
      </c>
      <c r="G1035" s="1" t="str">
        <f aca="false">DEC2HEX(C1035*7)</f>
        <v>15</v>
      </c>
      <c r="H1035" s="1" t="str">
        <f aca="false">IF(D1035=0, 33, "cc")</f>
        <v>cc</v>
      </c>
    </row>
    <row r="1036" customFormat="false" ht="18.65" hidden="false" customHeight="true" outlineLevel="0" collapsed="false">
      <c r="A1036" s="1" t="n">
        <f aca="false">ROW()-2</f>
        <v>1034</v>
      </c>
      <c r="B1036" s="1" t="n">
        <f aca="false">INT(A1036/$N$1)</f>
        <v>57</v>
      </c>
      <c r="C1036" s="1" t="n">
        <f aca="false">INT(MOD(A1036,$N$1) / 2)</f>
        <v>4</v>
      </c>
      <c r="D1036" s="1" t="n">
        <f aca="false">_xlfn.BITAND(A1036,1)</f>
        <v>0</v>
      </c>
      <c r="F1036" s="1" t="str">
        <f aca="false">DEC2HEX(B1036*$N$3*18)</f>
        <v>10080</v>
      </c>
      <c r="G1036" s="1" t="str">
        <f aca="false">DEC2HEX(C1036*7)</f>
        <v>1C</v>
      </c>
      <c r="H1036" s="1" t="n">
        <f aca="false">IF(D1036=0, 33, "cc")</f>
        <v>33</v>
      </c>
    </row>
    <row r="1037" customFormat="false" ht="18.65" hidden="false" customHeight="true" outlineLevel="0" collapsed="false">
      <c r="A1037" s="1" t="n">
        <f aca="false">ROW()-2</f>
        <v>1035</v>
      </c>
      <c r="B1037" s="1" t="n">
        <f aca="false">INT(A1037/$N$1)</f>
        <v>57</v>
      </c>
      <c r="C1037" s="1" t="n">
        <f aca="false">INT(MOD(A1037,$N$1) / 2)</f>
        <v>4</v>
      </c>
      <c r="D1037" s="1" t="n">
        <f aca="false">_xlfn.BITAND(A1037,1)</f>
        <v>1</v>
      </c>
      <c r="F1037" s="1" t="str">
        <f aca="false">DEC2HEX(B1037*$N$3*18)</f>
        <v>10080</v>
      </c>
      <c r="G1037" s="1" t="str">
        <f aca="false">DEC2HEX(C1037*7)</f>
        <v>1C</v>
      </c>
      <c r="H1037" s="1" t="str">
        <f aca="false">IF(D1037=0, 33, "cc")</f>
        <v>cc</v>
      </c>
    </row>
    <row r="1038" customFormat="false" ht="18.65" hidden="false" customHeight="true" outlineLevel="0" collapsed="false">
      <c r="A1038" s="1" t="n">
        <f aca="false">ROW()-2</f>
        <v>1036</v>
      </c>
      <c r="B1038" s="1" t="n">
        <f aca="false">INT(A1038/$N$1)</f>
        <v>57</v>
      </c>
      <c r="C1038" s="1" t="n">
        <f aca="false">INT(MOD(A1038,$N$1) / 2)</f>
        <v>5</v>
      </c>
      <c r="D1038" s="1" t="n">
        <f aca="false">_xlfn.BITAND(A1038,1)</f>
        <v>0</v>
      </c>
      <c r="F1038" s="1" t="str">
        <f aca="false">DEC2HEX(B1038*$N$3*18)</f>
        <v>10080</v>
      </c>
      <c r="G1038" s="1" t="str">
        <f aca="false">DEC2HEX(C1038*7)</f>
        <v>23</v>
      </c>
      <c r="H1038" s="1" t="n">
        <f aca="false">IF(D1038=0, 33, "cc")</f>
        <v>33</v>
      </c>
    </row>
    <row r="1039" customFormat="false" ht="18.65" hidden="false" customHeight="true" outlineLevel="0" collapsed="false">
      <c r="A1039" s="1" t="n">
        <f aca="false">ROW()-2</f>
        <v>1037</v>
      </c>
      <c r="B1039" s="1" t="n">
        <f aca="false">INT(A1039/$N$1)</f>
        <v>57</v>
      </c>
      <c r="C1039" s="1" t="n">
        <f aca="false">INT(MOD(A1039,$N$1) / 2)</f>
        <v>5</v>
      </c>
      <c r="D1039" s="1" t="n">
        <f aca="false">_xlfn.BITAND(A1039,1)</f>
        <v>1</v>
      </c>
      <c r="F1039" s="1" t="str">
        <f aca="false">DEC2HEX(B1039*$N$3*18)</f>
        <v>10080</v>
      </c>
      <c r="G1039" s="1" t="str">
        <f aca="false">DEC2HEX(C1039*7)</f>
        <v>23</v>
      </c>
      <c r="H1039" s="1" t="str">
        <f aca="false">IF(D1039=0, 33, "cc")</f>
        <v>cc</v>
      </c>
    </row>
    <row r="1040" customFormat="false" ht="18.65" hidden="false" customHeight="true" outlineLevel="0" collapsed="false">
      <c r="A1040" s="1" t="n">
        <f aca="false">ROW()-2</f>
        <v>1038</v>
      </c>
      <c r="B1040" s="1" t="n">
        <f aca="false">INT(A1040/$N$1)</f>
        <v>57</v>
      </c>
      <c r="C1040" s="1" t="n">
        <f aca="false">INT(MOD(A1040,$N$1) / 2)</f>
        <v>6</v>
      </c>
      <c r="D1040" s="1" t="n">
        <f aca="false">_xlfn.BITAND(A1040,1)</f>
        <v>0</v>
      </c>
      <c r="F1040" s="1" t="str">
        <f aca="false">DEC2HEX(B1040*$N$3*18)</f>
        <v>10080</v>
      </c>
      <c r="G1040" s="1" t="str">
        <f aca="false">DEC2HEX(C1040*7)</f>
        <v>2A</v>
      </c>
      <c r="H1040" s="1" t="n">
        <f aca="false">IF(D1040=0, 33, "cc")</f>
        <v>33</v>
      </c>
    </row>
    <row r="1041" customFormat="false" ht="18.65" hidden="false" customHeight="true" outlineLevel="0" collapsed="false">
      <c r="A1041" s="1" t="n">
        <f aca="false">ROW()-2</f>
        <v>1039</v>
      </c>
      <c r="B1041" s="1" t="n">
        <f aca="false">INT(A1041/$N$1)</f>
        <v>57</v>
      </c>
      <c r="C1041" s="1" t="n">
        <f aca="false">INT(MOD(A1041,$N$1) / 2)</f>
        <v>6</v>
      </c>
      <c r="D1041" s="1" t="n">
        <f aca="false">_xlfn.BITAND(A1041,1)</f>
        <v>1</v>
      </c>
      <c r="F1041" s="1" t="str">
        <f aca="false">DEC2HEX(B1041*$N$3*18)</f>
        <v>10080</v>
      </c>
      <c r="G1041" s="1" t="str">
        <f aca="false">DEC2HEX(C1041*7)</f>
        <v>2A</v>
      </c>
      <c r="H1041" s="1" t="str">
        <f aca="false">IF(D1041=0, 33, "cc")</f>
        <v>cc</v>
      </c>
    </row>
    <row r="1042" customFormat="false" ht="18.65" hidden="false" customHeight="true" outlineLevel="0" collapsed="false">
      <c r="A1042" s="1" t="n">
        <f aca="false">ROW()-2</f>
        <v>1040</v>
      </c>
      <c r="B1042" s="1" t="n">
        <f aca="false">INT(A1042/$N$1)</f>
        <v>57</v>
      </c>
      <c r="C1042" s="1" t="n">
        <f aca="false">INT(MOD(A1042,$N$1) / 2)</f>
        <v>7</v>
      </c>
      <c r="D1042" s="1" t="n">
        <f aca="false">_xlfn.BITAND(A1042,1)</f>
        <v>0</v>
      </c>
      <c r="F1042" s="1" t="str">
        <f aca="false">DEC2HEX(B1042*$N$3*18)</f>
        <v>10080</v>
      </c>
      <c r="G1042" s="1" t="str">
        <f aca="false">DEC2HEX(C1042*7)</f>
        <v>31</v>
      </c>
      <c r="H1042" s="1" t="n">
        <f aca="false">IF(D1042=0, 33, "cc")</f>
        <v>33</v>
      </c>
    </row>
    <row r="1043" customFormat="false" ht="18.65" hidden="false" customHeight="true" outlineLevel="0" collapsed="false">
      <c r="A1043" s="1" t="n">
        <f aca="false">ROW()-2</f>
        <v>1041</v>
      </c>
      <c r="B1043" s="1" t="n">
        <f aca="false">INT(A1043/$N$1)</f>
        <v>57</v>
      </c>
      <c r="C1043" s="1" t="n">
        <f aca="false">INT(MOD(A1043,$N$1) / 2)</f>
        <v>7</v>
      </c>
      <c r="D1043" s="1" t="n">
        <f aca="false">_xlfn.BITAND(A1043,1)</f>
        <v>1</v>
      </c>
      <c r="F1043" s="1" t="str">
        <f aca="false">DEC2HEX(B1043*$N$3*18)</f>
        <v>10080</v>
      </c>
      <c r="G1043" s="1" t="str">
        <f aca="false">DEC2HEX(C1043*7)</f>
        <v>31</v>
      </c>
      <c r="H1043" s="1" t="str">
        <f aca="false">IF(D1043=0, 33, "cc")</f>
        <v>cc</v>
      </c>
    </row>
    <row r="1044" customFormat="false" ht="18.65" hidden="false" customHeight="true" outlineLevel="0" collapsed="false">
      <c r="A1044" s="1" t="n">
        <f aca="false">ROW()-2</f>
        <v>1042</v>
      </c>
      <c r="B1044" s="1" t="n">
        <f aca="false">INT(A1044/$N$1)</f>
        <v>57</v>
      </c>
      <c r="C1044" s="1" t="n">
        <f aca="false">INT(MOD(A1044,$N$1) / 2)</f>
        <v>8</v>
      </c>
      <c r="D1044" s="1" t="n">
        <f aca="false">_xlfn.BITAND(A1044,1)</f>
        <v>0</v>
      </c>
      <c r="F1044" s="1" t="str">
        <f aca="false">DEC2HEX(B1044*$N$3*18)</f>
        <v>10080</v>
      </c>
      <c r="G1044" s="1" t="str">
        <f aca="false">DEC2HEX(C1044*7)</f>
        <v>38</v>
      </c>
      <c r="H1044" s="1" t="n">
        <f aca="false">IF(D1044=0, 33, "cc")</f>
        <v>33</v>
      </c>
    </row>
    <row r="1045" customFormat="false" ht="18.65" hidden="false" customHeight="true" outlineLevel="0" collapsed="false">
      <c r="A1045" s="1" t="n">
        <f aca="false">ROW()-2</f>
        <v>1043</v>
      </c>
      <c r="B1045" s="1" t="n">
        <f aca="false">INT(A1045/$N$1)</f>
        <v>57</v>
      </c>
      <c r="C1045" s="1" t="n">
        <f aca="false">INT(MOD(A1045,$N$1) / 2)</f>
        <v>8</v>
      </c>
      <c r="D1045" s="1" t="n">
        <f aca="false">_xlfn.BITAND(A1045,1)</f>
        <v>1</v>
      </c>
      <c r="F1045" s="1" t="str">
        <f aca="false">DEC2HEX(B1045*$N$3*18)</f>
        <v>10080</v>
      </c>
      <c r="G1045" s="1" t="str">
        <f aca="false">DEC2HEX(C1045*7)</f>
        <v>38</v>
      </c>
      <c r="H1045" s="1" t="str">
        <f aca="false">IF(D1045=0, 33, "cc")</f>
        <v>cc</v>
      </c>
    </row>
    <row r="1046" customFormat="false" ht="18.65" hidden="false" customHeight="true" outlineLevel="0" collapsed="false">
      <c r="A1046" s="1" t="n">
        <f aca="false">ROW()-2</f>
        <v>1044</v>
      </c>
      <c r="B1046" s="1" t="n">
        <f aca="false">INT(A1046/$N$1)</f>
        <v>58</v>
      </c>
      <c r="C1046" s="1" t="n">
        <f aca="false">INT(MOD(A1046,$N$1) / 2)</f>
        <v>0</v>
      </c>
      <c r="D1046" s="1" t="n">
        <f aca="false">_xlfn.BITAND(A1046,1)</f>
        <v>0</v>
      </c>
      <c r="F1046" s="1" t="str">
        <f aca="false">DEC2HEX(B1046*$N$3*18)</f>
        <v>10500</v>
      </c>
      <c r="G1046" s="1" t="str">
        <f aca="false">DEC2HEX(C1046*7)</f>
        <v>0</v>
      </c>
      <c r="H1046" s="1" t="n">
        <f aca="false">IF(D1046=0, 33, "cc")</f>
        <v>33</v>
      </c>
    </row>
    <row r="1047" customFormat="false" ht="18.65" hidden="false" customHeight="true" outlineLevel="0" collapsed="false">
      <c r="A1047" s="1" t="n">
        <f aca="false">ROW()-2</f>
        <v>1045</v>
      </c>
      <c r="B1047" s="1" t="n">
        <f aca="false">INT(A1047/$N$1)</f>
        <v>58</v>
      </c>
      <c r="C1047" s="1" t="n">
        <f aca="false">INT(MOD(A1047,$N$1) / 2)</f>
        <v>0</v>
      </c>
      <c r="D1047" s="1" t="n">
        <f aca="false">_xlfn.BITAND(A1047,1)</f>
        <v>1</v>
      </c>
      <c r="F1047" s="1" t="str">
        <f aca="false">DEC2HEX(B1047*$N$3*18)</f>
        <v>10500</v>
      </c>
      <c r="G1047" s="1" t="str">
        <f aca="false">DEC2HEX(C1047*7)</f>
        <v>0</v>
      </c>
      <c r="H1047" s="1" t="str">
        <f aca="false">IF(D1047=0, 33, "cc")</f>
        <v>cc</v>
      </c>
    </row>
    <row r="1048" customFormat="false" ht="18.65" hidden="false" customHeight="true" outlineLevel="0" collapsed="false">
      <c r="A1048" s="1" t="n">
        <f aca="false">ROW()-2</f>
        <v>1046</v>
      </c>
      <c r="B1048" s="1" t="n">
        <f aca="false">INT(A1048/$N$1)</f>
        <v>58</v>
      </c>
      <c r="C1048" s="1" t="n">
        <f aca="false">INT(MOD(A1048,$N$1) / 2)</f>
        <v>1</v>
      </c>
      <c r="D1048" s="1" t="n">
        <f aca="false">_xlfn.BITAND(A1048,1)</f>
        <v>0</v>
      </c>
      <c r="F1048" s="1" t="str">
        <f aca="false">DEC2HEX(B1048*$N$3*18)</f>
        <v>10500</v>
      </c>
      <c r="G1048" s="1" t="str">
        <f aca="false">DEC2HEX(C1048*7)</f>
        <v>7</v>
      </c>
      <c r="H1048" s="1" t="n">
        <f aca="false">IF(D1048=0, 33, "cc")</f>
        <v>33</v>
      </c>
    </row>
    <row r="1049" customFormat="false" ht="18.65" hidden="false" customHeight="true" outlineLevel="0" collapsed="false">
      <c r="A1049" s="1" t="n">
        <f aca="false">ROW()-2</f>
        <v>1047</v>
      </c>
      <c r="B1049" s="1" t="n">
        <f aca="false">INT(A1049/$N$1)</f>
        <v>58</v>
      </c>
      <c r="C1049" s="1" t="n">
        <f aca="false">INT(MOD(A1049,$N$1) / 2)</f>
        <v>1</v>
      </c>
      <c r="D1049" s="1" t="n">
        <f aca="false">_xlfn.BITAND(A1049,1)</f>
        <v>1</v>
      </c>
      <c r="F1049" s="1" t="str">
        <f aca="false">DEC2HEX(B1049*$N$3*18)</f>
        <v>10500</v>
      </c>
      <c r="G1049" s="1" t="str">
        <f aca="false">DEC2HEX(C1049*7)</f>
        <v>7</v>
      </c>
      <c r="H1049" s="1" t="str">
        <f aca="false">IF(D1049=0, 33, "cc")</f>
        <v>cc</v>
      </c>
    </row>
    <row r="1050" customFormat="false" ht="18.65" hidden="false" customHeight="true" outlineLevel="0" collapsed="false">
      <c r="A1050" s="1" t="n">
        <f aca="false">ROW()-2</f>
        <v>1048</v>
      </c>
      <c r="B1050" s="1" t="n">
        <f aca="false">INT(A1050/$N$1)</f>
        <v>58</v>
      </c>
      <c r="C1050" s="1" t="n">
        <f aca="false">INT(MOD(A1050,$N$1) / 2)</f>
        <v>2</v>
      </c>
      <c r="D1050" s="1" t="n">
        <f aca="false">_xlfn.BITAND(A1050,1)</f>
        <v>0</v>
      </c>
      <c r="F1050" s="1" t="str">
        <f aca="false">DEC2HEX(B1050*$N$3*18)</f>
        <v>10500</v>
      </c>
      <c r="G1050" s="1" t="str">
        <f aca="false">DEC2HEX(C1050*7)</f>
        <v>E</v>
      </c>
      <c r="H1050" s="1" t="n">
        <f aca="false">IF(D1050=0, 33, "cc")</f>
        <v>33</v>
      </c>
    </row>
    <row r="1051" customFormat="false" ht="18.65" hidden="false" customHeight="true" outlineLevel="0" collapsed="false">
      <c r="A1051" s="1" t="n">
        <f aca="false">ROW()-2</f>
        <v>1049</v>
      </c>
      <c r="B1051" s="1" t="n">
        <f aca="false">INT(A1051/$N$1)</f>
        <v>58</v>
      </c>
      <c r="C1051" s="1" t="n">
        <f aca="false">INT(MOD(A1051,$N$1) / 2)</f>
        <v>2</v>
      </c>
      <c r="D1051" s="1" t="n">
        <f aca="false">_xlfn.BITAND(A1051,1)</f>
        <v>1</v>
      </c>
      <c r="F1051" s="1" t="str">
        <f aca="false">DEC2HEX(B1051*$N$3*18)</f>
        <v>10500</v>
      </c>
      <c r="G1051" s="1" t="str">
        <f aca="false">DEC2HEX(C1051*7)</f>
        <v>E</v>
      </c>
      <c r="H1051" s="1" t="str">
        <f aca="false">IF(D1051=0, 33, "cc")</f>
        <v>cc</v>
      </c>
    </row>
    <row r="1052" customFormat="false" ht="18.65" hidden="false" customHeight="true" outlineLevel="0" collapsed="false">
      <c r="A1052" s="1" t="n">
        <f aca="false">ROW()-2</f>
        <v>1050</v>
      </c>
      <c r="B1052" s="1" t="n">
        <f aca="false">INT(A1052/$N$1)</f>
        <v>58</v>
      </c>
      <c r="C1052" s="1" t="n">
        <f aca="false">INT(MOD(A1052,$N$1) / 2)</f>
        <v>3</v>
      </c>
      <c r="D1052" s="1" t="n">
        <f aca="false">_xlfn.BITAND(A1052,1)</f>
        <v>0</v>
      </c>
      <c r="F1052" s="1" t="str">
        <f aca="false">DEC2HEX(B1052*$N$3*18)</f>
        <v>10500</v>
      </c>
      <c r="G1052" s="1" t="str">
        <f aca="false">DEC2HEX(C1052*7)</f>
        <v>15</v>
      </c>
      <c r="H1052" s="1" t="n">
        <f aca="false">IF(D1052=0, 33, "cc")</f>
        <v>33</v>
      </c>
    </row>
    <row r="1053" customFormat="false" ht="18.65" hidden="false" customHeight="true" outlineLevel="0" collapsed="false">
      <c r="A1053" s="1" t="n">
        <f aca="false">ROW()-2</f>
        <v>1051</v>
      </c>
      <c r="B1053" s="1" t="n">
        <f aca="false">INT(A1053/$N$1)</f>
        <v>58</v>
      </c>
      <c r="C1053" s="1" t="n">
        <f aca="false">INT(MOD(A1053,$N$1) / 2)</f>
        <v>3</v>
      </c>
      <c r="D1053" s="1" t="n">
        <f aca="false">_xlfn.BITAND(A1053,1)</f>
        <v>1</v>
      </c>
      <c r="F1053" s="1" t="str">
        <f aca="false">DEC2HEX(B1053*$N$3*18)</f>
        <v>10500</v>
      </c>
      <c r="G1053" s="1" t="str">
        <f aca="false">DEC2HEX(C1053*7)</f>
        <v>15</v>
      </c>
      <c r="H1053" s="1" t="str">
        <f aca="false">IF(D1053=0, 33, "cc")</f>
        <v>cc</v>
      </c>
    </row>
    <row r="1054" customFormat="false" ht="18.65" hidden="false" customHeight="true" outlineLevel="0" collapsed="false">
      <c r="A1054" s="1" t="n">
        <f aca="false">ROW()-2</f>
        <v>1052</v>
      </c>
      <c r="B1054" s="1" t="n">
        <f aca="false">INT(A1054/$N$1)</f>
        <v>58</v>
      </c>
      <c r="C1054" s="1" t="n">
        <f aca="false">INT(MOD(A1054,$N$1) / 2)</f>
        <v>4</v>
      </c>
      <c r="D1054" s="1" t="n">
        <f aca="false">_xlfn.BITAND(A1054,1)</f>
        <v>0</v>
      </c>
      <c r="F1054" s="1" t="str">
        <f aca="false">DEC2HEX(B1054*$N$3*18)</f>
        <v>10500</v>
      </c>
      <c r="G1054" s="1" t="str">
        <f aca="false">DEC2HEX(C1054*7)</f>
        <v>1C</v>
      </c>
      <c r="H1054" s="1" t="n">
        <f aca="false">IF(D1054=0, 33, "cc")</f>
        <v>33</v>
      </c>
    </row>
    <row r="1055" customFormat="false" ht="18.65" hidden="false" customHeight="true" outlineLevel="0" collapsed="false">
      <c r="A1055" s="1" t="n">
        <f aca="false">ROW()-2</f>
        <v>1053</v>
      </c>
      <c r="B1055" s="1" t="n">
        <f aca="false">INT(A1055/$N$1)</f>
        <v>58</v>
      </c>
      <c r="C1055" s="1" t="n">
        <f aca="false">INT(MOD(A1055,$N$1) / 2)</f>
        <v>4</v>
      </c>
      <c r="D1055" s="1" t="n">
        <f aca="false">_xlfn.BITAND(A1055,1)</f>
        <v>1</v>
      </c>
      <c r="F1055" s="1" t="str">
        <f aca="false">DEC2HEX(B1055*$N$3*18)</f>
        <v>10500</v>
      </c>
      <c r="G1055" s="1" t="str">
        <f aca="false">DEC2HEX(C1055*7)</f>
        <v>1C</v>
      </c>
      <c r="H1055" s="1" t="str">
        <f aca="false">IF(D1055=0, 33, "cc")</f>
        <v>cc</v>
      </c>
    </row>
    <row r="1056" customFormat="false" ht="18.65" hidden="false" customHeight="true" outlineLevel="0" collapsed="false">
      <c r="A1056" s="1" t="n">
        <f aca="false">ROW()-2</f>
        <v>1054</v>
      </c>
      <c r="B1056" s="1" t="n">
        <f aca="false">INT(A1056/$N$1)</f>
        <v>58</v>
      </c>
      <c r="C1056" s="1" t="n">
        <f aca="false">INT(MOD(A1056,$N$1) / 2)</f>
        <v>5</v>
      </c>
      <c r="D1056" s="1" t="n">
        <f aca="false">_xlfn.BITAND(A1056,1)</f>
        <v>0</v>
      </c>
      <c r="F1056" s="1" t="str">
        <f aca="false">DEC2HEX(B1056*$N$3*18)</f>
        <v>10500</v>
      </c>
      <c r="G1056" s="1" t="str">
        <f aca="false">DEC2HEX(C1056*7)</f>
        <v>23</v>
      </c>
      <c r="H1056" s="1" t="n">
        <f aca="false">IF(D1056=0, 33, "cc")</f>
        <v>33</v>
      </c>
    </row>
    <row r="1057" customFormat="false" ht="18.65" hidden="false" customHeight="true" outlineLevel="0" collapsed="false">
      <c r="A1057" s="1" t="n">
        <f aca="false">ROW()-2</f>
        <v>1055</v>
      </c>
      <c r="B1057" s="1" t="n">
        <f aca="false">INT(A1057/$N$1)</f>
        <v>58</v>
      </c>
      <c r="C1057" s="1" t="n">
        <f aca="false">INT(MOD(A1057,$N$1) / 2)</f>
        <v>5</v>
      </c>
      <c r="D1057" s="1" t="n">
        <f aca="false">_xlfn.BITAND(A1057,1)</f>
        <v>1</v>
      </c>
      <c r="F1057" s="1" t="str">
        <f aca="false">DEC2HEX(B1057*$N$3*18)</f>
        <v>10500</v>
      </c>
      <c r="G1057" s="1" t="str">
        <f aca="false">DEC2HEX(C1057*7)</f>
        <v>23</v>
      </c>
      <c r="H1057" s="1" t="str">
        <f aca="false">IF(D1057=0, 33, "cc")</f>
        <v>cc</v>
      </c>
    </row>
    <row r="1058" customFormat="false" ht="18.65" hidden="false" customHeight="true" outlineLevel="0" collapsed="false">
      <c r="A1058" s="1" t="n">
        <f aca="false">ROW()-2</f>
        <v>1056</v>
      </c>
      <c r="B1058" s="1" t="n">
        <f aca="false">INT(A1058/$N$1)</f>
        <v>58</v>
      </c>
      <c r="C1058" s="1" t="n">
        <f aca="false">INT(MOD(A1058,$N$1) / 2)</f>
        <v>6</v>
      </c>
      <c r="D1058" s="1" t="n">
        <f aca="false">_xlfn.BITAND(A1058,1)</f>
        <v>0</v>
      </c>
      <c r="F1058" s="1" t="str">
        <f aca="false">DEC2HEX(B1058*$N$3*18)</f>
        <v>10500</v>
      </c>
      <c r="G1058" s="1" t="str">
        <f aca="false">DEC2HEX(C1058*7)</f>
        <v>2A</v>
      </c>
      <c r="H1058" s="1" t="n">
        <f aca="false">IF(D1058=0, 33, "cc")</f>
        <v>33</v>
      </c>
    </row>
    <row r="1059" customFormat="false" ht="18.65" hidden="false" customHeight="true" outlineLevel="0" collapsed="false">
      <c r="A1059" s="1" t="n">
        <f aca="false">ROW()-2</f>
        <v>1057</v>
      </c>
      <c r="B1059" s="1" t="n">
        <f aca="false">INT(A1059/$N$1)</f>
        <v>58</v>
      </c>
      <c r="C1059" s="1" t="n">
        <f aca="false">INT(MOD(A1059,$N$1) / 2)</f>
        <v>6</v>
      </c>
      <c r="D1059" s="1" t="n">
        <f aca="false">_xlfn.BITAND(A1059,1)</f>
        <v>1</v>
      </c>
      <c r="F1059" s="1" t="str">
        <f aca="false">DEC2HEX(B1059*$N$3*18)</f>
        <v>10500</v>
      </c>
      <c r="G1059" s="1" t="str">
        <f aca="false">DEC2HEX(C1059*7)</f>
        <v>2A</v>
      </c>
      <c r="H1059" s="1" t="str">
        <f aca="false">IF(D1059=0, 33, "cc")</f>
        <v>cc</v>
      </c>
    </row>
    <row r="1060" customFormat="false" ht="18.65" hidden="false" customHeight="true" outlineLevel="0" collapsed="false">
      <c r="A1060" s="1" t="n">
        <f aca="false">ROW()-2</f>
        <v>1058</v>
      </c>
      <c r="B1060" s="1" t="n">
        <f aca="false">INT(A1060/$N$1)</f>
        <v>58</v>
      </c>
      <c r="C1060" s="1" t="n">
        <f aca="false">INT(MOD(A1060,$N$1) / 2)</f>
        <v>7</v>
      </c>
      <c r="D1060" s="1" t="n">
        <f aca="false">_xlfn.BITAND(A1060,1)</f>
        <v>0</v>
      </c>
      <c r="F1060" s="1" t="str">
        <f aca="false">DEC2HEX(B1060*$N$3*18)</f>
        <v>10500</v>
      </c>
      <c r="G1060" s="1" t="str">
        <f aca="false">DEC2HEX(C1060*7)</f>
        <v>31</v>
      </c>
      <c r="H1060" s="1" t="n">
        <f aca="false">IF(D1060=0, 33, "cc")</f>
        <v>33</v>
      </c>
    </row>
    <row r="1061" customFormat="false" ht="18.65" hidden="false" customHeight="true" outlineLevel="0" collapsed="false">
      <c r="A1061" s="1" t="n">
        <f aca="false">ROW()-2</f>
        <v>1059</v>
      </c>
      <c r="B1061" s="1" t="n">
        <f aca="false">INT(A1061/$N$1)</f>
        <v>58</v>
      </c>
      <c r="C1061" s="1" t="n">
        <f aca="false">INT(MOD(A1061,$N$1) / 2)</f>
        <v>7</v>
      </c>
      <c r="D1061" s="1" t="n">
        <f aca="false">_xlfn.BITAND(A1061,1)</f>
        <v>1</v>
      </c>
      <c r="F1061" s="1" t="str">
        <f aca="false">DEC2HEX(B1061*$N$3*18)</f>
        <v>10500</v>
      </c>
      <c r="G1061" s="1" t="str">
        <f aca="false">DEC2HEX(C1061*7)</f>
        <v>31</v>
      </c>
      <c r="H1061" s="1" t="str">
        <f aca="false">IF(D1061=0, 33, "cc")</f>
        <v>cc</v>
      </c>
    </row>
    <row r="1062" customFormat="false" ht="18.65" hidden="false" customHeight="true" outlineLevel="0" collapsed="false">
      <c r="A1062" s="1" t="n">
        <f aca="false">ROW()-2</f>
        <v>1060</v>
      </c>
      <c r="B1062" s="1" t="n">
        <f aca="false">INT(A1062/$N$1)</f>
        <v>58</v>
      </c>
      <c r="C1062" s="1" t="n">
        <f aca="false">INT(MOD(A1062,$N$1) / 2)</f>
        <v>8</v>
      </c>
      <c r="D1062" s="1" t="n">
        <f aca="false">_xlfn.BITAND(A1062,1)</f>
        <v>0</v>
      </c>
      <c r="F1062" s="1" t="str">
        <f aca="false">DEC2HEX(B1062*$N$3*18)</f>
        <v>10500</v>
      </c>
      <c r="G1062" s="1" t="str">
        <f aca="false">DEC2HEX(C1062*7)</f>
        <v>38</v>
      </c>
      <c r="H1062" s="1" t="n">
        <f aca="false">IF(D1062=0, 33, "cc")</f>
        <v>33</v>
      </c>
    </row>
    <row r="1063" customFormat="false" ht="18.65" hidden="false" customHeight="true" outlineLevel="0" collapsed="false">
      <c r="A1063" s="1" t="n">
        <f aca="false">ROW()-2</f>
        <v>1061</v>
      </c>
      <c r="B1063" s="1" t="n">
        <f aca="false">INT(A1063/$N$1)</f>
        <v>58</v>
      </c>
      <c r="C1063" s="1" t="n">
        <f aca="false">INT(MOD(A1063,$N$1) / 2)</f>
        <v>8</v>
      </c>
      <c r="D1063" s="1" t="n">
        <f aca="false">_xlfn.BITAND(A1063,1)</f>
        <v>1</v>
      </c>
      <c r="F1063" s="1" t="str">
        <f aca="false">DEC2HEX(B1063*$N$3*18)</f>
        <v>10500</v>
      </c>
      <c r="G1063" s="1" t="str">
        <f aca="false">DEC2HEX(C1063*7)</f>
        <v>38</v>
      </c>
      <c r="H1063" s="1" t="str">
        <f aca="false">IF(D1063=0, 33, "cc")</f>
        <v>cc</v>
      </c>
    </row>
    <row r="1064" customFormat="false" ht="18.65" hidden="false" customHeight="true" outlineLevel="0" collapsed="false">
      <c r="A1064" s="1" t="n">
        <f aca="false">ROW()-2</f>
        <v>1062</v>
      </c>
      <c r="B1064" s="1" t="n">
        <f aca="false">INT(A1064/$N$1)</f>
        <v>59</v>
      </c>
      <c r="C1064" s="1" t="n">
        <f aca="false">INT(MOD(A1064,$N$1) / 2)</f>
        <v>0</v>
      </c>
      <c r="D1064" s="1" t="n">
        <f aca="false">_xlfn.BITAND(A1064,1)</f>
        <v>0</v>
      </c>
      <c r="F1064" s="1" t="str">
        <f aca="false">DEC2HEX(B1064*$N$3*18)</f>
        <v>10980</v>
      </c>
      <c r="G1064" s="1" t="str">
        <f aca="false">DEC2HEX(C1064*7)</f>
        <v>0</v>
      </c>
      <c r="H1064" s="1" t="n">
        <f aca="false">IF(D1064=0, 33, "cc")</f>
        <v>33</v>
      </c>
    </row>
    <row r="1065" customFormat="false" ht="18.65" hidden="false" customHeight="true" outlineLevel="0" collapsed="false">
      <c r="A1065" s="1" t="n">
        <f aca="false">ROW()-2</f>
        <v>1063</v>
      </c>
      <c r="B1065" s="1" t="n">
        <f aca="false">INT(A1065/$N$1)</f>
        <v>59</v>
      </c>
      <c r="C1065" s="1" t="n">
        <f aca="false">INT(MOD(A1065,$N$1) / 2)</f>
        <v>0</v>
      </c>
      <c r="D1065" s="1" t="n">
        <f aca="false">_xlfn.BITAND(A1065,1)</f>
        <v>1</v>
      </c>
      <c r="F1065" s="1" t="str">
        <f aca="false">DEC2HEX(B1065*$N$3*18)</f>
        <v>10980</v>
      </c>
      <c r="G1065" s="1" t="str">
        <f aca="false">DEC2HEX(C1065*7)</f>
        <v>0</v>
      </c>
      <c r="H1065" s="1" t="str">
        <f aca="false">IF(D1065=0, 33, "cc")</f>
        <v>cc</v>
      </c>
    </row>
    <row r="1066" customFormat="false" ht="18.65" hidden="false" customHeight="true" outlineLevel="0" collapsed="false">
      <c r="A1066" s="1" t="n">
        <f aca="false">ROW()-2</f>
        <v>1064</v>
      </c>
      <c r="B1066" s="1" t="n">
        <f aca="false">INT(A1066/$N$1)</f>
        <v>59</v>
      </c>
      <c r="C1066" s="1" t="n">
        <f aca="false">INT(MOD(A1066,$N$1) / 2)</f>
        <v>1</v>
      </c>
      <c r="D1066" s="1" t="n">
        <f aca="false">_xlfn.BITAND(A1066,1)</f>
        <v>0</v>
      </c>
      <c r="F1066" s="1" t="str">
        <f aca="false">DEC2HEX(B1066*$N$3*18)</f>
        <v>10980</v>
      </c>
      <c r="G1066" s="1" t="str">
        <f aca="false">DEC2HEX(C1066*7)</f>
        <v>7</v>
      </c>
      <c r="H1066" s="1" t="n">
        <f aca="false">IF(D1066=0, 33, "cc")</f>
        <v>33</v>
      </c>
    </row>
    <row r="1067" customFormat="false" ht="18.65" hidden="false" customHeight="true" outlineLevel="0" collapsed="false">
      <c r="A1067" s="1" t="n">
        <f aca="false">ROW()-2</f>
        <v>1065</v>
      </c>
      <c r="B1067" s="1" t="n">
        <f aca="false">INT(A1067/$N$1)</f>
        <v>59</v>
      </c>
      <c r="C1067" s="1" t="n">
        <f aca="false">INT(MOD(A1067,$N$1) / 2)</f>
        <v>1</v>
      </c>
      <c r="D1067" s="1" t="n">
        <f aca="false">_xlfn.BITAND(A1067,1)</f>
        <v>1</v>
      </c>
      <c r="F1067" s="1" t="str">
        <f aca="false">DEC2HEX(B1067*$N$3*18)</f>
        <v>10980</v>
      </c>
      <c r="G1067" s="1" t="str">
        <f aca="false">DEC2HEX(C1067*7)</f>
        <v>7</v>
      </c>
      <c r="H1067" s="1" t="str">
        <f aca="false">IF(D1067=0, 33, "cc")</f>
        <v>cc</v>
      </c>
    </row>
    <row r="1068" customFormat="false" ht="18.65" hidden="false" customHeight="true" outlineLevel="0" collapsed="false">
      <c r="A1068" s="1" t="n">
        <f aca="false">ROW()-2</f>
        <v>1066</v>
      </c>
      <c r="B1068" s="1" t="n">
        <f aca="false">INT(A1068/$N$1)</f>
        <v>59</v>
      </c>
      <c r="C1068" s="1" t="n">
        <f aca="false">INT(MOD(A1068,$N$1) / 2)</f>
        <v>2</v>
      </c>
      <c r="D1068" s="1" t="n">
        <f aca="false">_xlfn.BITAND(A1068,1)</f>
        <v>0</v>
      </c>
      <c r="F1068" s="1" t="str">
        <f aca="false">DEC2HEX(B1068*$N$3*18)</f>
        <v>10980</v>
      </c>
      <c r="G1068" s="1" t="str">
        <f aca="false">DEC2HEX(C1068*7)</f>
        <v>E</v>
      </c>
      <c r="H1068" s="1" t="n">
        <f aca="false">IF(D1068=0, 33, "cc")</f>
        <v>33</v>
      </c>
    </row>
    <row r="1069" customFormat="false" ht="18.65" hidden="false" customHeight="true" outlineLevel="0" collapsed="false">
      <c r="A1069" s="1" t="n">
        <f aca="false">ROW()-2</f>
        <v>1067</v>
      </c>
      <c r="B1069" s="1" t="n">
        <f aca="false">INT(A1069/$N$1)</f>
        <v>59</v>
      </c>
      <c r="C1069" s="1" t="n">
        <f aca="false">INT(MOD(A1069,$N$1) / 2)</f>
        <v>2</v>
      </c>
      <c r="D1069" s="1" t="n">
        <f aca="false">_xlfn.BITAND(A1069,1)</f>
        <v>1</v>
      </c>
      <c r="F1069" s="1" t="str">
        <f aca="false">DEC2HEX(B1069*$N$3*18)</f>
        <v>10980</v>
      </c>
      <c r="G1069" s="1" t="str">
        <f aca="false">DEC2HEX(C1069*7)</f>
        <v>E</v>
      </c>
      <c r="H1069" s="1" t="str">
        <f aca="false">IF(D1069=0, 33, "cc")</f>
        <v>cc</v>
      </c>
    </row>
    <row r="1070" customFormat="false" ht="18.65" hidden="false" customHeight="true" outlineLevel="0" collapsed="false">
      <c r="A1070" s="1" t="n">
        <f aca="false">ROW()-2</f>
        <v>1068</v>
      </c>
      <c r="B1070" s="1" t="n">
        <f aca="false">INT(A1070/$N$1)</f>
        <v>59</v>
      </c>
      <c r="C1070" s="1" t="n">
        <f aca="false">INT(MOD(A1070,$N$1) / 2)</f>
        <v>3</v>
      </c>
      <c r="D1070" s="1" t="n">
        <f aca="false">_xlfn.BITAND(A1070,1)</f>
        <v>0</v>
      </c>
      <c r="F1070" s="1" t="str">
        <f aca="false">DEC2HEX(B1070*$N$3*18)</f>
        <v>10980</v>
      </c>
      <c r="G1070" s="1" t="str">
        <f aca="false">DEC2HEX(C1070*7)</f>
        <v>15</v>
      </c>
      <c r="H1070" s="1" t="n">
        <f aca="false">IF(D1070=0, 33, "cc")</f>
        <v>33</v>
      </c>
    </row>
    <row r="1071" customFormat="false" ht="18.65" hidden="false" customHeight="true" outlineLevel="0" collapsed="false">
      <c r="A1071" s="1" t="n">
        <f aca="false">ROW()-2</f>
        <v>1069</v>
      </c>
      <c r="B1071" s="1" t="n">
        <f aca="false">INT(A1071/$N$1)</f>
        <v>59</v>
      </c>
      <c r="C1071" s="1" t="n">
        <f aca="false">INT(MOD(A1071,$N$1) / 2)</f>
        <v>3</v>
      </c>
      <c r="D1071" s="1" t="n">
        <f aca="false">_xlfn.BITAND(A1071,1)</f>
        <v>1</v>
      </c>
      <c r="F1071" s="1" t="str">
        <f aca="false">DEC2HEX(B1071*$N$3*18)</f>
        <v>10980</v>
      </c>
      <c r="G1071" s="1" t="str">
        <f aca="false">DEC2HEX(C1071*7)</f>
        <v>15</v>
      </c>
      <c r="H1071" s="1" t="str">
        <f aca="false">IF(D1071=0, 33, "cc")</f>
        <v>cc</v>
      </c>
    </row>
    <row r="1072" customFormat="false" ht="18.65" hidden="false" customHeight="true" outlineLevel="0" collapsed="false">
      <c r="A1072" s="1" t="n">
        <f aca="false">ROW()-2</f>
        <v>1070</v>
      </c>
      <c r="B1072" s="1" t="n">
        <f aca="false">INT(A1072/$N$1)</f>
        <v>59</v>
      </c>
      <c r="C1072" s="1" t="n">
        <f aca="false">INT(MOD(A1072,$N$1) / 2)</f>
        <v>4</v>
      </c>
      <c r="D1072" s="1" t="n">
        <f aca="false">_xlfn.BITAND(A1072,1)</f>
        <v>0</v>
      </c>
      <c r="F1072" s="1" t="str">
        <f aca="false">DEC2HEX(B1072*$N$3*18)</f>
        <v>10980</v>
      </c>
      <c r="G1072" s="1" t="str">
        <f aca="false">DEC2HEX(C1072*7)</f>
        <v>1C</v>
      </c>
      <c r="H1072" s="1" t="n">
        <f aca="false">IF(D1072=0, 33, "cc")</f>
        <v>33</v>
      </c>
    </row>
    <row r="1073" customFormat="false" ht="18.65" hidden="false" customHeight="true" outlineLevel="0" collapsed="false">
      <c r="A1073" s="1" t="n">
        <f aca="false">ROW()-2</f>
        <v>1071</v>
      </c>
      <c r="B1073" s="1" t="n">
        <f aca="false">INT(A1073/$N$1)</f>
        <v>59</v>
      </c>
      <c r="C1073" s="1" t="n">
        <f aca="false">INT(MOD(A1073,$N$1) / 2)</f>
        <v>4</v>
      </c>
      <c r="D1073" s="1" t="n">
        <f aca="false">_xlfn.BITAND(A1073,1)</f>
        <v>1</v>
      </c>
      <c r="F1073" s="1" t="str">
        <f aca="false">DEC2HEX(B1073*$N$3*18)</f>
        <v>10980</v>
      </c>
      <c r="G1073" s="1" t="str">
        <f aca="false">DEC2HEX(C1073*7)</f>
        <v>1C</v>
      </c>
      <c r="H1073" s="1" t="str">
        <f aca="false">IF(D1073=0, 33, "cc")</f>
        <v>cc</v>
      </c>
    </row>
    <row r="1074" customFormat="false" ht="18.65" hidden="false" customHeight="true" outlineLevel="0" collapsed="false">
      <c r="A1074" s="1" t="n">
        <f aca="false">ROW()-2</f>
        <v>1072</v>
      </c>
      <c r="B1074" s="1" t="n">
        <f aca="false">INT(A1074/$N$1)</f>
        <v>59</v>
      </c>
      <c r="C1074" s="1" t="n">
        <f aca="false">INT(MOD(A1074,$N$1) / 2)</f>
        <v>5</v>
      </c>
      <c r="D1074" s="1" t="n">
        <f aca="false">_xlfn.BITAND(A1074,1)</f>
        <v>0</v>
      </c>
      <c r="F1074" s="1" t="str">
        <f aca="false">DEC2HEX(B1074*$N$3*18)</f>
        <v>10980</v>
      </c>
      <c r="G1074" s="1" t="str">
        <f aca="false">DEC2HEX(C1074*7)</f>
        <v>23</v>
      </c>
      <c r="H1074" s="1" t="n">
        <f aca="false">IF(D1074=0, 33, "cc")</f>
        <v>33</v>
      </c>
    </row>
    <row r="1075" customFormat="false" ht="18.65" hidden="false" customHeight="true" outlineLevel="0" collapsed="false">
      <c r="A1075" s="1" t="n">
        <f aca="false">ROW()-2</f>
        <v>1073</v>
      </c>
      <c r="B1075" s="1" t="n">
        <f aca="false">INT(A1075/$N$1)</f>
        <v>59</v>
      </c>
      <c r="C1075" s="1" t="n">
        <f aca="false">INT(MOD(A1075,$N$1) / 2)</f>
        <v>5</v>
      </c>
      <c r="D1075" s="1" t="n">
        <f aca="false">_xlfn.BITAND(A1075,1)</f>
        <v>1</v>
      </c>
      <c r="F1075" s="1" t="str">
        <f aca="false">DEC2HEX(B1075*$N$3*18)</f>
        <v>10980</v>
      </c>
      <c r="G1075" s="1" t="str">
        <f aca="false">DEC2HEX(C1075*7)</f>
        <v>23</v>
      </c>
      <c r="H1075" s="1" t="str">
        <f aca="false">IF(D1075=0, 33, "cc")</f>
        <v>cc</v>
      </c>
    </row>
    <row r="1076" customFormat="false" ht="18.65" hidden="false" customHeight="true" outlineLevel="0" collapsed="false">
      <c r="A1076" s="1" t="n">
        <f aca="false">ROW()-2</f>
        <v>1074</v>
      </c>
      <c r="B1076" s="1" t="n">
        <f aca="false">INT(A1076/$N$1)</f>
        <v>59</v>
      </c>
      <c r="C1076" s="1" t="n">
        <f aca="false">INT(MOD(A1076,$N$1) / 2)</f>
        <v>6</v>
      </c>
      <c r="D1076" s="1" t="n">
        <f aca="false">_xlfn.BITAND(A1076,1)</f>
        <v>0</v>
      </c>
      <c r="F1076" s="1" t="str">
        <f aca="false">DEC2HEX(B1076*$N$3*18)</f>
        <v>10980</v>
      </c>
      <c r="G1076" s="1" t="str">
        <f aca="false">DEC2HEX(C1076*7)</f>
        <v>2A</v>
      </c>
      <c r="H1076" s="1" t="n">
        <f aca="false">IF(D1076=0, 33, "cc")</f>
        <v>33</v>
      </c>
    </row>
    <row r="1077" customFormat="false" ht="18.65" hidden="false" customHeight="true" outlineLevel="0" collapsed="false">
      <c r="A1077" s="1" t="n">
        <f aca="false">ROW()-2</f>
        <v>1075</v>
      </c>
      <c r="B1077" s="1" t="n">
        <f aca="false">INT(A1077/$N$1)</f>
        <v>59</v>
      </c>
      <c r="C1077" s="1" t="n">
        <f aca="false">INT(MOD(A1077,$N$1) / 2)</f>
        <v>6</v>
      </c>
      <c r="D1077" s="1" t="n">
        <f aca="false">_xlfn.BITAND(A1077,1)</f>
        <v>1</v>
      </c>
      <c r="F1077" s="1" t="str">
        <f aca="false">DEC2HEX(B1077*$N$3*18)</f>
        <v>10980</v>
      </c>
      <c r="G1077" s="1" t="str">
        <f aca="false">DEC2HEX(C1077*7)</f>
        <v>2A</v>
      </c>
      <c r="H1077" s="1" t="str">
        <f aca="false">IF(D1077=0, 33, "cc")</f>
        <v>cc</v>
      </c>
    </row>
    <row r="1078" customFormat="false" ht="18.65" hidden="false" customHeight="true" outlineLevel="0" collapsed="false">
      <c r="A1078" s="1" t="n">
        <f aca="false">ROW()-2</f>
        <v>1076</v>
      </c>
      <c r="B1078" s="1" t="n">
        <f aca="false">INT(A1078/$N$1)</f>
        <v>59</v>
      </c>
      <c r="C1078" s="1" t="n">
        <f aca="false">INT(MOD(A1078,$N$1) / 2)</f>
        <v>7</v>
      </c>
      <c r="D1078" s="1" t="n">
        <f aca="false">_xlfn.BITAND(A1078,1)</f>
        <v>0</v>
      </c>
      <c r="F1078" s="1" t="str">
        <f aca="false">DEC2HEX(B1078*$N$3*18)</f>
        <v>10980</v>
      </c>
      <c r="G1078" s="1" t="str">
        <f aca="false">DEC2HEX(C1078*7)</f>
        <v>31</v>
      </c>
      <c r="H1078" s="1" t="n">
        <f aca="false">IF(D1078=0, 33, "cc")</f>
        <v>33</v>
      </c>
    </row>
    <row r="1079" customFormat="false" ht="18.65" hidden="false" customHeight="true" outlineLevel="0" collapsed="false">
      <c r="A1079" s="1" t="n">
        <f aca="false">ROW()-2</f>
        <v>1077</v>
      </c>
      <c r="B1079" s="1" t="n">
        <f aca="false">INT(A1079/$N$1)</f>
        <v>59</v>
      </c>
      <c r="C1079" s="1" t="n">
        <f aca="false">INT(MOD(A1079,$N$1) / 2)</f>
        <v>7</v>
      </c>
      <c r="D1079" s="1" t="n">
        <f aca="false">_xlfn.BITAND(A1079,1)</f>
        <v>1</v>
      </c>
      <c r="F1079" s="1" t="str">
        <f aca="false">DEC2HEX(B1079*$N$3*18)</f>
        <v>10980</v>
      </c>
      <c r="G1079" s="1" t="str">
        <f aca="false">DEC2HEX(C1079*7)</f>
        <v>31</v>
      </c>
      <c r="H1079" s="1" t="str">
        <f aca="false">IF(D1079=0, 33, "cc")</f>
        <v>cc</v>
      </c>
    </row>
    <row r="1080" customFormat="false" ht="18.65" hidden="false" customHeight="true" outlineLevel="0" collapsed="false">
      <c r="A1080" s="1" t="n">
        <f aca="false">ROW()-2</f>
        <v>1078</v>
      </c>
      <c r="B1080" s="1" t="n">
        <f aca="false">INT(A1080/$N$1)</f>
        <v>59</v>
      </c>
      <c r="C1080" s="1" t="n">
        <f aca="false">INT(MOD(A1080,$N$1) / 2)</f>
        <v>8</v>
      </c>
      <c r="D1080" s="1" t="n">
        <f aca="false">_xlfn.BITAND(A1080,1)</f>
        <v>0</v>
      </c>
      <c r="F1080" s="1" t="str">
        <f aca="false">DEC2HEX(B1080*$N$3*18)</f>
        <v>10980</v>
      </c>
      <c r="G1080" s="1" t="str">
        <f aca="false">DEC2HEX(C1080*7)</f>
        <v>38</v>
      </c>
      <c r="H1080" s="1" t="n">
        <f aca="false">IF(D1080=0, 33, "cc")</f>
        <v>33</v>
      </c>
    </row>
    <row r="1081" customFormat="false" ht="18.65" hidden="false" customHeight="true" outlineLevel="0" collapsed="false">
      <c r="A1081" s="1" t="n">
        <f aca="false">ROW()-2</f>
        <v>1079</v>
      </c>
      <c r="B1081" s="1" t="n">
        <f aca="false">INT(A1081/$N$1)</f>
        <v>59</v>
      </c>
      <c r="C1081" s="1" t="n">
        <f aca="false">INT(MOD(A1081,$N$1) / 2)</f>
        <v>8</v>
      </c>
      <c r="D1081" s="1" t="n">
        <f aca="false">_xlfn.BITAND(A1081,1)</f>
        <v>1</v>
      </c>
      <c r="F1081" s="1" t="str">
        <f aca="false">DEC2HEX(B1081*$N$3*18)</f>
        <v>10980</v>
      </c>
      <c r="G1081" s="1" t="str">
        <f aca="false">DEC2HEX(C1081*7)</f>
        <v>38</v>
      </c>
      <c r="H1081" s="1" t="str">
        <f aca="false">IF(D1081=0, 33, "cc")</f>
        <v>cc</v>
      </c>
    </row>
    <row r="1082" customFormat="false" ht="18.65" hidden="false" customHeight="true" outlineLevel="0" collapsed="false">
      <c r="A1082" s="1" t="n">
        <f aca="false">ROW()-2</f>
        <v>1080</v>
      </c>
      <c r="B1082" s="1" t="n">
        <f aca="false">INT(A1082/$N$1)</f>
        <v>60</v>
      </c>
      <c r="C1082" s="1" t="n">
        <f aca="false">INT(MOD(A1082,$N$1) / 2)</f>
        <v>0</v>
      </c>
      <c r="D1082" s="1" t="n">
        <f aca="false">_xlfn.BITAND(A1082,1)</f>
        <v>0</v>
      </c>
      <c r="F1082" s="1" t="str">
        <f aca="false">DEC2HEX(B1082*$N$3*18)</f>
        <v>10E00</v>
      </c>
      <c r="G1082" s="1" t="str">
        <f aca="false">DEC2HEX(C1082*7)</f>
        <v>0</v>
      </c>
      <c r="H1082" s="1" t="n">
        <f aca="false">IF(D1082=0, 33, "cc")</f>
        <v>33</v>
      </c>
    </row>
    <row r="1083" customFormat="false" ht="18.65" hidden="false" customHeight="true" outlineLevel="0" collapsed="false">
      <c r="A1083" s="1" t="n">
        <f aca="false">ROW()-2</f>
        <v>1081</v>
      </c>
      <c r="B1083" s="1" t="n">
        <f aca="false">INT(A1083/$N$1)</f>
        <v>60</v>
      </c>
      <c r="C1083" s="1" t="n">
        <f aca="false">INT(MOD(A1083,$N$1) / 2)</f>
        <v>0</v>
      </c>
      <c r="D1083" s="1" t="n">
        <f aca="false">_xlfn.BITAND(A1083,1)</f>
        <v>1</v>
      </c>
      <c r="F1083" s="1" t="str">
        <f aca="false">DEC2HEX(B1083*$N$3*18)</f>
        <v>10E00</v>
      </c>
      <c r="G1083" s="1" t="str">
        <f aca="false">DEC2HEX(C1083*7)</f>
        <v>0</v>
      </c>
      <c r="H1083" s="1" t="str">
        <f aca="false">IF(D1083=0, 33, "cc")</f>
        <v>cc</v>
      </c>
    </row>
    <row r="1084" customFormat="false" ht="18.65" hidden="false" customHeight="true" outlineLevel="0" collapsed="false">
      <c r="A1084" s="1" t="n">
        <f aca="false">ROW()-2</f>
        <v>1082</v>
      </c>
      <c r="B1084" s="1" t="n">
        <f aca="false">INT(A1084/$N$1)</f>
        <v>60</v>
      </c>
      <c r="C1084" s="1" t="n">
        <f aca="false">INT(MOD(A1084,$N$1) / 2)</f>
        <v>1</v>
      </c>
      <c r="D1084" s="1" t="n">
        <f aca="false">_xlfn.BITAND(A1084,1)</f>
        <v>0</v>
      </c>
      <c r="F1084" s="1" t="str">
        <f aca="false">DEC2HEX(B1084*$N$3*18)</f>
        <v>10E00</v>
      </c>
      <c r="G1084" s="1" t="str">
        <f aca="false">DEC2HEX(C1084*7)</f>
        <v>7</v>
      </c>
      <c r="H1084" s="1" t="n">
        <f aca="false">IF(D1084=0, 33, "cc")</f>
        <v>33</v>
      </c>
    </row>
    <row r="1085" customFormat="false" ht="18.65" hidden="false" customHeight="true" outlineLevel="0" collapsed="false">
      <c r="A1085" s="1" t="n">
        <f aca="false">ROW()-2</f>
        <v>1083</v>
      </c>
      <c r="B1085" s="1" t="n">
        <f aca="false">INT(A1085/$N$1)</f>
        <v>60</v>
      </c>
      <c r="C1085" s="1" t="n">
        <f aca="false">INT(MOD(A1085,$N$1) / 2)</f>
        <v>1</v>
      </c>
      <c r="D1085" s="1" t="n">
        <f aca="false">_xlfn.BITAND(A1085,1)</f>
        <v>1</v>
      </c>
      <c r="F1085" s="1" t="str">
        <f aca="false">DEC2HEX(B1085*$N$3*18)</f>
        <v>10E00</v>
      </c>
      <c r="G1085" s="1" t="str">
        <f aca="false">DEC2HEX(C1085*7)</f>
        <v>7</v>
      </c>
      <c r="H1085" s="1" t="str">
        <f aca="false">IF(D1085=0, 33, "cc")</f>
        <v>cc</v>
      </c>
    </row>
    <row r="1086" customFormat="false" ht="18.65" hidden="false" customHeight="true" outlineLevel="0" collapsed="false">
      <c r="A1086" s="1" t="n">
        <f aca="false">ROW()-2</f>
        <v>1084</v>
      </c>
      <c r="B1086" s="1" t="n">
        <f aca="false">INT(A1086/$N$1)</f>
        <v>60</v>
      </c>
      <c r="C1086" s="1" t="n">
        <f aca="false">INT(MOD(A1086,$N$1) / 2)</f>
        <v>2</v>
      </c>
      <c r="D1086" s="1" t="n">
        <f aca="false">_xlfn.BITAND(A1086,1)</f>
        <v>0</v>
      </c>
      <c r="F1086" s="1" t="str">
        <f aca="false">DEC2HEX(B1086*$N$3*18)</f>
        <v>10E00</v>
      </c>
      <c r="G1086" s="1" t="str">
        <f aca="false">DEC2HEX(C1086*7)</f>
        <v>E</v>
      </c>
      <c r="H1086" s="1" t="n">
        <f aca="false">IF(D1086=0, 33, "cc")</f>
        <v>33</v>
      </c>
    </row>
    <row r="1087" customFormat="false" ht="18.65" hidden="false" customHeight="true" outlineLevel="0" collapsed="false">
      <c r="A1087" s="1" t="n">
        <f aca="false">ROW()-2</f>
        <v>1085</v>
      </c>
      <c r="B1087" s="1" t="n">
        <f aca="false">INT(A1087/$N$1)</f>
        <v>60</v>
      </c>
      <c r="C1087" s="1" t="n">
        <f aca="false">INT(MOD(A1087,$N$1) / 2)</f>
        <v>2</v>
      </c>
      <c r="D1087" s="1" t="n">
        <f aca="false">_xlfn.BITAND(A1087,1)</f>
        <v>1</v>
      </c>
      <c r="F1087" s="1" t="str">
        <f aca="false">DEC2HEX(B1087*$N$3*18)</f>
        <v>10E00</v>
      </c>
      <c r="G1087" s="1" t="str">
        <f aca="false">DEC2HEX(C1087*7)</f>
        <v>E</v>
      </c>
      <c r="H1087" s="1" t="str">
        <f aca="false">IF(D1087=0, 33, "cc")</f>
        <v>cc</v>
      </c>
    </row>
    <row r="1088" customFormat="false" ht="18.65" hidden="false" customHeight="true" outlineLevel="0" collapsed="false">
      <c r="A1088" s="1" t="n">
        <f aca="false">ROW()-2</f>
        <v>1086</v>
      </c>
      <c r="B1088" s="1" t="n">
        <f aca="false">INT(A1088/$N$1)</f>
        <v>60</v>
      </c>
      <c r="C1088" s="1" t="n">
        <f aca="false">INT(MOD(A1088,$N$1) / 2)</f>
        <v>3</v>
      </c>
      <c r="D1088" s="1" t="n">
        <f aca="false">_xlfn.BITAND(A1088,1)</f>
        <v>0</v>
      </c>
      <c r="F1088" s="1" t="str">
        <f aca="false">DEC2HEX(B1088*$N$3*18)</f>
        <v>10E00</v>
      </c>
      <c r="G1088" s="1" t="str">
        <f aca="false">DEC2HEX(C1088*7)</f>
        <v>15</v>
      </c>
      <c r="H1088" s="1" t="n">
        <f aca="false">IF(D1088=0, 33, "cc")</f>
        <v>33</v>
      </c>
    </row>
    <row r="1089" customFormat="false" ht="18.65" hidden="false" customHeight="true" outlineLevel="0" collapsed="false">
      <c r="A1089" s="1" t="n">
        <f aca="false">ROW()-2</f>
        <v>1087</v>
      </c>
      <c r="B1089" s="1" t="n">
        <f aca="false">INT(A1089/$N$1)</f>
        <v>60</v>
      </c>
      <c r="C1089" s="1" t="n">
        <f aca="false">INT(MOD(A1089,$N$1) / 2)</f>
        <v>3</v>
      </c>
      <c r="D1089" s="1" t="n">
        <f aca="false">_xlfn.BITAND(A1089,1)</f>
        <v>1</v>
      </c>
      <c r="F1089" s="1" t="str">
        <f aca="false">DEC2HEX(B1089*$N$3*18)</f>
        <v>10E00</v>
      </c>
      <c r="G1089" s="1" t="str">
        <f aca="false">DEC2HEX(C1089*7)</f>
        <v>15</v>
      </c>
      <c r="H1089" s="1" t="str">
        <f aca="false">IF(D1089=0, 33, "cc")</f>
        <v>cc</v>
      </c>
    </row>
    <row r="1090" customFormat="false" ht="18.65" hidden="false" customHeight="true" outlineLevel="0" collapsed="false">
      <c r="A1090" s="1" t="n">
        <f aca="false">ROW()-2</f>
        <v>1088</v>
      </c>
      <c r="B1090" s="1" t="n">
        <f aca="false">INT(A1090/$N$1)</f>
        <v>60</v>
      </c>
      <c r="C1090" s="1" t="n">
        <f aca="false">INT(MOD(A1090,$N$1) / 2)</f>
        <v>4</v>
      </c>
      <c r="D1090" s="1" t="n">
        <f aca="false">_xlfn.BITAND(A1090,1)</f>
        <v>0</v>
      </c>
      <c r="F1090" s="1" t="str">
        <f aca="false">DEC2HEX(B1090*$N$3*18)</f>
        <v>10E00</v>
      </c>
      <c r="G1090" s="1" t="str">
        <f aca="false">DEC2HEX(C1090*7)</f>
        <v>1C</v>
      </c>
      <c r="H1090" s="1" t="n">
        <f aca="false">IF(D1090=0, 33, "cc")</f>
        <v>33</v>
      </c>
    </row>
    <row r="1091" customFormat="false" ht="18.65" hidden="false" customHeight="true" outlineLevel="0" collapsed="false">
      <c r="A1091" s="1" t="n">
        <f aca="false">ROW()-2</f>
        <v>1089</v>
      </c>
      <c r="B1091" s="1" t="n">
        <f aca="false">INT(A1091/$N$1)</f>
        <v>60</v>
      </c>
      <c r="C1091" s="1" t="n">
        <f aca="false">INT(MOD(A1091,$N$1) / 2)</f>
        <v>4</v>
      </c>
      <c r="D1091" s="1" t="n">
        <f aca="false">_xlfn.BITAND(A1091,1)</f>
        <v>1</v>
      </c>
      <c r="F1091" s="1" t="str">
        <f aca="false">DEC2HEX(B1091*$N$3*18)</f>
        <v>10E00</v>
      </c>
      <c r="G1091" s="1" t="str">
        <f aca="false">DEC2HEX(C1091*7)</f>
        <v>1C</v>
      </c>
      <c r="H1091" s="1" t="str">
        <f aca="false">IF(D1091=0, 33, "cc")</f>
        <v>cc</v>
      </c>
    </row>
    <row r="1092" customFormat="false" ht="18.65" hidden="false" customHeight="true" outlineLevel="0" collapsed="false">
      <c r="A1092" s="1" t="n">
        <f aca="false">ROW()-2</f>
        <v>1090</v>
      </c>
      <c r="B1092" s="1" t="n">
        <f aca="false">INT(A1092/$N$1)</f>
        <v>60</v>
      </c>
      <c r="C1092" s="1" t="n">
        <f aca="false">INT(MOD(A1092,$N$1) / 2)</f>
        <v>5</v>
      </c>
      <c r="D1092" s="1" t="n">
        <f aca="false">_xlfn.BITAND(A1092,1)</f>
        <v>0</v>
      </c>
      <c r="F1092" s="1" t="str">
        <f aca="false">DEC2HEX(B1092*$N$3*18)</f>
        <v>10E00</v>
      </c>
      <c r="G1092" s="1" t="str">
        <f aca="false">DEC2HEX(C1092*7)</f>
        <v>23</v>
      </c>
      <c r="H1092" s="1" t="n">
        <f aca="false">IF(D1092=0, 33, "cc")</f>
        <v>33</v>
      </c>
    </row>
    <row r="1093" customFormat="false" ht="18.65" hidden="false" customHeight="true" outlineLevel="0" collapsed="false">
      <c r="A1093" s="1" t="n">
        <f aca="false">ROW()-2</f>
        <v>1091</v>
      </c>
      <c r="B1093" s="1" t="n">
        <f aca="false">INT(A1093/$N$1)</f>
        <v>60</v>
      </c>
      <c r="C1093" s="1" t="n">
        <f aca="false">INT(MOD(A1093,$N$1) / 2)</f>
        <v>5</v>
      </c>
      <c r="D1093" s="1" t="n">
        <f aca="false">_xlfn.BITAND(A1093,1)</f>
        <v>1</v>
      </c>
      <c r="F1093" s="1" t="str">
        <f aca="false">DEC2HEX(B1093*$N$3*18)</f>
        <v>10E00</v>
      </c>
      <c r="G1093" s="1" t="str">
        <f aca="false">DEC2HEX(C1093*7)</f>
        <v>23</v>
      </c>
      <c r="H1093" s="1" t="str">
        <f aca="false">IF(D1093=0, 33, "cc")</f>
        <v>cc</v>
      </c>
    </row>
    <row r="1094" customFormat="false" ht="18.65" hidden="false" customHeight="true" outlineLevel="0" collapsed="false">
      <c r="A1094" s="1" t="n">
        <f aca="false">ROW()-2</f>
        <v>1092</v>
      </c>
      <c r="B1094" s="1" t="n">
        <f aca="false">INT(A1094/$N$1)</f>
        <v>60</v>
      </c>
      <c r="C1094" s="1" t="n">
        <f aca="false">INT(MOD(A1094,$N$1) / 2)</f>
        <v>6</v>
      </c>
      <c r="D1094" s="1" t="n">
        <f aca="false">_xlfn.BITAND(A1094,1)</f>
        <v>0</v>
      </c>
      <c r="F1094" s="1" t="str">
        <f aca="false">DEC2HEX(B1094*$N$3*18)</f>
        <v>10E00</v>
      </c>
      <c r="G1094" s="1" t="str">
        <f aca="false">DEC2HEX(C1094*7)</f>
        <v>2A</v>
      </c>
      <c r="H1094" s="1" t="n">
        <f aca="false">IF(D1094=0, 33, "cc")</f>
        <v>33</v>
      </c>
    </row>
    <row r="1095" customFormat="false" ht="18.65" hidden="false" customHeight="true" outlineLevel="0" collapsed="false">
      <c r="A1095" s="1" t="n">
        <f aca="false">ROW()-2</f>
        <v>1093</v>
      </c>
      <c r="B1095" s="1" t="n">
        <f aca="false">INT(A1095/$N$1)</f>
        <v>60</v>
      </c>
      <c r="C1095" s="1" t="n">
        <f aca="false">INT(MOD(A1095,$N$1) / 2)</f>
        <v>6</v>
      </c>
      <c r="D1095" s="1" t="n">
        <f aca="false">_xlfn.BITAND(A1095,1)</f>
        <v>1</v>
      </c>
      <c r="F1095" s="1" t="str">
        <f aca="false">DEC2HEX(B1095*$N$3*18)</f>
        <v>10E00</v>
      </c>
      <c r="G1095" s="1" t="str">
        <f aca="false">DEC2HEX(C1095*7)</f>
        <v>2A</v>
      </c>
      <c r="H1095" s="1" t="str">
        <f aca="false">IF(D1095=0, 33, "cc")</f>
        <v>cc</v>
      </c>
    </row>
    <row r="1096" customFormat="false" ht="18.65" hidden="false" customHeight="true" outlineLevel="0" collapsed="false">
      <c r="A1096" s="1" t="n">
        <f aca="false">ROW()-2</f>
        <v>1094</v>
      </c>
      <c r="B1096" s="1" t="n">
        <f aca="false">INT(A1096/$N$1)</f>
        <v>60</v>
      </c>
      <c r="C1096" s="1" t="n">
        <f aca="false">INT(MOD(A1096,$N$1) / 2)</f>
        <v>7</v>
      </c>
      <c r="D1096" s="1" t="n">
        <f aca="false">_xlfn.BITAND(A1096,1)</f>
        <v>0</v>
      </c>
      <c r="F1096" s="1" t="str">
        <f aca="false">DEC2HEX(B1096*$N$3*18)</f>
        <v>10E00</v>
      </c>
      <c r="G1096" s="1" t="str">
        <f aca="false">DEC2HEX(C1096*7)</f>
        <v>31</v>
      </c>
      <c r="H1096" s="1" t="n">
        <f aca="false">IF(D1096=0, 33, "cc")</f>
        <v>33</v>
      </c>
    </row>
    <row r="1097" customFormat="false" ht="18.65" hidden="false" customHeight="true" outlineLevel="0" collapsed="false">
      <c r="A1097" s="1" t="n">
        <f aca="false">ROW()-2</f>
        <v>1095</v>
      </c>
      <c r="B1097" s="1" t="n">
        <f aca="false">INT(A1097/$N$1)</f>
        <v>60</v>
      </c>
      <c r="C1097" s="1" t="n">
        <f aca="false">INT(MOD(A1097,$N$1) / 2)</f>
        <v>7</v>
      </c>
      <c r="D1097" s="1" t="n">
        <f aca="false">_xlfn.BITAND(A1097,1)</f>
        <v>1</v>
      </c>
      <c r="F1097" s="1" t="str">
        <f aca="false">DEC2HEX(B1097*$N$3*18)</f>
        <v>10E00</v>
      </c>
      <c r="G1097" s="1" t="str">
        <f aca="false">DEC2HEX(C1097*7)</f>
        <v>31</v>
      </c>
      <c r="H1097" s="1" t="str">
        <f aca="false">IF(D1097=0, 33, "cc")</f>
        <v>cc</v>
      </c>
    </row>
    <row r="1098" customFormat="false" ht="18.65" hidden="false" customHeight="true" outlineLevel="0" collapsed="false">
      <c r="A1098" s="1" t="n">
        <f aca="false">ROW()-2</f>
        <v>1096</v>
      </c>
      <c r="B1098" s="1" t="n">
        <f aca="false">INT(A1098/$N$1)</f>
        <v>60</v>
      </c>
      <c r="C1098" s="1" t="n">
        <f aca="false">INT(MOD(A1098,$N$1) / 2)</f>
        <v>8</v>
      </c>
      <c r="D1098" s="1" t="n">
        <f aca="false">_xlfn.BITAND(A1098,1)</f>
        <v>0</v>
      </c>
      <c r="F1098" s="1" t="str">
        <f aca="false">DEC2HEX(B1098*$N$3*18)</f>
        <v>10E00</v>
      </c>
      <c r="G1098" s="1" t="str">
        <f aca="false">DEC2HEX(C1098*7)</f>
        <v>38</v>
      </c>
      <c r="H1098" s="1" t="n">
        <f aca="false">IF(D1098=0, 33, "cc")</f>
        <v>33</v>
      </c>
    </row>
    <row r="1099" customFormat="false" ht="18.65" hidden="false" customHeight="true" outlineLevel="0" collapsed="false">
      <c r="A1099" s="1" t="n">
        <f aca="false">ROW()-2</f>
        <v>1097</v>
      </c>
      <c r="B1099" s="1" t="n">
        <f aca="false">INT(A1099/$N$1)</f>
        <v>60</v>
      </c>
      <c r="C1099" s="1" t="n">
        <f aca="false">INT(MOD(A1099,$N$1) / 2)</f>
        <v>8</v>
      </c>
      <c r="D1099" s="1" t="n">
        <f aca="false">_xlfn.BITAND(A1099,1)</f>
        <v>1</v>
      </c>
      <c r="F1099" s="1" t="str">
        <f aca="false">DEC2HEX(B1099*$N$3*18)</f>
        <v>10E00</v>
      </c>
      <c r="G1099" s="1" t="str">
        <f aca="false">DEC2HEX(C1099*7)</f>
        <v>38</v>
      </c>
      <c r="H1099" s="1" t="str">
        <f aca="false">IF(D1099=0, 33, "cc")</f>
        <v>cc</v>
      </c>
    </row>
    <row r="1100" customFormat="false" ht="18.65" hidden="false" customHeight="true" outlineLevel="0" collapsed="false">
      <c r="A1100" s="1" t="n">
        <f aca="false">ROW()-2</f>
        <v>1098</v>
      </c>
      <c r="B1100" s="1" t="n">
        <f aca="false">INT(A1100/$N$1)</f>
        <v>61</v>
      </c>
      <c r="C1100" s="1" t="n">
        <f aca="false">INT(MOD(A1100,$N$1) / 2)</f>
        <v>0</v>
      </c>
      <c r="D1100" s="1" t="n">
        <f aca="false">_xlfn.BITAND(A1100,1)</f>
        <v>0</v>
      </c>
      <c r="F1100" s="1" t="str">
        <f aca="false">DEC2HEX(B1100*$N$3*18)</f>
        <v>11280</v>
      </c>
      <c r="G1100" s="1" t="str">
        <f aca="false">DEC2HEX(C1100*7)</f>
        <v>0</v>
      </c>
      <c r="H1100" s="1" t="n">
        <f aca="false">IF(D1100=0, 33, "cc")</f>
        <v>33</v>
      </c>
    </row>
    <row r="1101" customFormat="false" ht="18.65" hidden="false" customHeight="true" outlineLevel="0" collapsed="false">
      <c r="A1101" s="1" t="n">
        <f aca="false">ROW()-2</f>
        <v>1099</v>
      </c>
      <c r="B1101" s="1" t="n">
        <f aca="false">INT(A1101/$N$1)</f>
        <v>61</v>
      </c>
      <c r="C1101" s="1" t="n">
        <f aca="false">INT(MOD(A1101,$N$1) / 2)</f>
        <v>0</v>
      </c>
      <c r="D1101" s="1" t="n">
        <f aca="false">_xlfn.BITAND(A1101,1)</f>
        <v>1</v>
      </c>
      <c r="F1101" s="1" t="str">
        <f aca="false">DEC2HEX(B1101*$N$3*18)</f>
        <v>11280</v>
      </c>
      <c r="G1101" s="1" t="str">
        <f aca="false">DEC2HEX(C1101*7)</f>
        <v>0</v>
      </c>
      <c r="H1101" s="1" t="str">
        <f aca="false">IF(D1101=0, 33, "cc")</f>
        <v>cc</v>
      </c>
    </row>
    <row r="1102" customFormat="false" ht="18.65" hidden="false" customHeight="true" outlineLevel="0" collapsed="false">
      <c r="A1102" s="1" t="n">
        <f aca="false">ROW()-2</f>
        <v>1100</v>
      </c>
      <c r="B1102" s="1" t="n">
        <f aca="false">INT(A1102/$N$1)</f>
        <v>61</v>
      </c>
      <c r="C1102" s="1" t="n">
        <f aca="false">INT(MOD(A1102,$N$1) / 2)</f>
        <v>1</v>
      </c>
      <c r="D1102" s="1" t="n">
        <f aca="false">_xlfn.BITAND(A1102,1)</f>
        <v>0</v>
      </c>
      <c r="F1102" s="1" t="str">
        <f aca="false">DEC2HEX(B1102*$N$3*18)</f>
        <v>11280</v>
      </c>
      <c r="G1102" s="1" t="str">
        <f aca="false">DEC2HEX(C1102*7)</f>
        <v>7</v>
      </c>
      <c r="H1102" s="1" t="n">
        <f aca="false">IF(D1102=0, 33, "cc")</f>
        <v>33</v>
      </c>
    </row>
    <row r="1103" customFormat="false" ht="18.65" hidden="false" customHeight="true" outlineLevel="0" collapsed="false">
      <c r="A1103" s="1" t="n">
        <f aca="false">ROW()-2</f>
        <v>1101</v>
      </c>
      <c r="B1103" s="1" t="n">
        <f aca="false">INT(A1103/$N$1)</f>
        <v>61</v>
      </c>
      <c r="C1103" s="1" t="n">
        <f aca="false">INT(MOD(A1103,$N$1) / 2)</f>
        <v>1</v>
      </c>
      <c r="D1103" s="1" t="n">
        <f aca="false">_xlfn.BITAND(A1103,1)</f>
        <v>1</v>
      </c>
      <c r="F1103" s="1" t="str">
        <f aca="false">DEC2HEX(B1103*$N$3*18)</f>
        <v>11280</v>
      </c>
      <c r="G1103" s="1" t="str">
        <f aca="false">DEC2HEX(C1103*7)</f>
        <v>7</v>
      </c>
      <c r="H1103" s="1" t="str">
        <f aca="false">IF(D1103=0, 33, "cc")</f>
        <v>cc</v>
      </c>
    </row>
    <row r="1104" customFormat="false" ht="18.65" hidden="false" customHeight="true" outlineLevel="0" collapsed="false">
      <c r="A1104" s="1" t="n">
        <f aca="false">ROW()-2</f>
        <v>1102</v>
      </c>
      <c r="B1104" s="1" t="n">
        <f aca="false">INT(A1104/$N$1)</f>
        <v>61</v>
      </c>
      <c r="C1104" s="1" t="n">
        <f aca="false">INT(MOD(A1104,$N$1) / 2)</f>
        <v>2</v>
      </c>
      <c r="D1104" s="1" t="n">
        <f aca="false">_xlfn.BITAND(A1104,1)</f>
        <v>0</v>
      </c>
      <c r="F1104" s="1" t="str">
        <f aca="false">DEC2HEX(B1104*$N$3*18)</f>
        <v>11280</v>
      </c>
      <c r="G1104" s="1" t="str">
        <f aca="false">DEC2HEX(C1104*7)</f>
        <v>E</v>
      </c>
      <c r="H1104" s="1" t="n">
        <f aca="false">IF(D1104=0, 33, "cc")</f>
        <v>33</v>
      </c>
    </row>
    <row r="1105" customFormat="false" ht="18.65" hidden="false" customHeight="true" outlineLevel="0" collapsed="false">
      <c r="A1105" s="1" t="n">
        <f aca="false">ROW()-2</f>
        <v>1103</v>
      </c>
      <c r="B1105" s="1" t="n">
        <f aca="false">INT(A1105/$N$1)</f>
        <v>61</v>
      </c>
      <c r="C1105" s="1" t="n">
        <f aca="false">INT(MOD(A1105,$N$1) / 2)</f>
        <v>2</v>
      </c>
      <c r="D1105" s="1" t="n">
        <f aca="false">_xlfn.BITAND(A1105,1)</f>
        <v>1</v>
      </c>
      <c r="F1105" s="1" t="str">
        <f aca="false">DEC2HEX(B1105*$N$3*18)</f>
        <v>11280</v>
      </c>
      <c r="G1105" s="1" t="str">
        <f aca="false">DEC2HEX(C1105*7)</f>
        <v>E</v>
      </c>
      <c r="H1105" s="1" t="str">
        <f aca="false">IF(D1105=0, 33, "cc")</f>
        <v>cc</v>
      </c>
    </row>
    <row r="1106" customFormat="false" ht="18.65" hidden="false" customHeight="true" outlineLevel="0" collapsed="false">
      <c r="A1106" s="1" t="n">
        <f aca="false">ROW()-2</f>
        <v>1104</v>
      </c>
      <c r="B1106" s="1" t="n">
        <f aca="false">INT(A1106/$N$1)</f>
        <v>61</v>
      </c>
      <c r="C1106" s="1" t="n">
        <f aca="false">INT(MOD(A1106,$N$1) / 2)</f>
        <v>3</v>
      </c>
      <c r="D1106" s="1" t="n">
        <f aca="false">_xlfn.BITAND(A1106,1)</f>
        <v>0</v>
      </c>
      <c r="F1106" s="1" t="str">
        <f aca="false">DEC2HEX(B1106*$N$3*18)</f>
        <v>11280</v>
      </c>
      <c r="G1106" s="1" t="str">
        <f aca="false">DEC2HEX(C1106*7)</f>
        <v>15</v>
      </c>
      <c r="H1106" s="1" t="n">
        <f aca="false">IF(D1106=0, 33, "cc")</f>
        <v>33</v>
      </c>
    </row>
    <row r="1107" customFormat="false" ht="18.65" hidden="false" customHeight="true" outlineLevel="0" collapsed="false">
      <c r="A1107" s="1" t="n">
        <f aca="false">ROW()-2</f>
        <v>1105</v>
      </c>
      <c r="B1107" s="1" t="n">
        <f aca="false">INT(A1107/$N$1)</f>
        <v>61</v>
      </c>
      <c r="C1107" s="1" t="n">
        <f aca="false">INT(MOD(A1107,$N$1) / 2)</f>
        <v>3</v>
      </c>
      <c r="D1107" s="1" t="n">
        <f aca="false">_xlfn.BITAND(A1107,1)</f>
        <v>1</v>
      </c>
      <c r="F1107" s="1" t="str">
        <f aca="false">DEC2HEX(B1107*$N$3*18)</f>
        <v>11280</v>
      </c>
      <c r="G1107" s="1" t="str">
        <f aca="false">DEC2HEX(C1107*7)</f>
        <v>15</v>
      </c>
      <c r="H1107" s="1" t="str">
        <f aca="false">IF(D1107=0, 33, "cc")</f>
        <v>cc</v>
      </c>
    </row>
    <row r="1108" customFormat="false" ht="18.65" hidden="false" customHeight="true" outlineLevel="0" collapsed="false">
      <c r="A1108" s="1" t="n">
        <f aca="false">ROW()-2</f>
        <v>1106</v>
      </c>
      <c r="B1108" s="1" t="n">
        <f aca="false">INT(A1108/$N$1)</f>
        <v>61</v>
      </c>
      <c r="C1108" s="1" t="n">
        <f aca="false">INT(MOD(A1108,$N$1) / 2)</f>
        <v>4</v>
      </c>
      <c r="D1108" s="1" t="n">
        <f aca="false">_xlfn.BITAND(A1108,1)</f>
        <v>0</v>
      </c>
      <c r="F1108" s="1" t="str">
        <f aca="false">DEC2HEX(B1108*$N$3*18)</f>
        <v>11280</v>
      </c>
      <c r="G1108" s="1" t="str">
        <f aca="false">DEC2HEX(C1108*7)</f>
        <v>1C</v>
      </c>
      <c r="H1108" s="1" t="n">
        <f aca="false">IF(D1108=0, 33, "cc")</f>
        <v>33</v>
      </c>
    </row>
    <row r="1109" customFormat="false" ht="18.65" hidden="false" customHeight="true" outlineLevel="0" collapsed="false">
      <c r="A1109" s="1" t="n">
        <f aca="false">ROW()-2</f>
        <v>1107</v>
      </c>
      <c r="B1109" s="1" t="n">
        <f aca="false">INT(A1109/$N$1)</f>
        <v>61</v>
      </c>
      <c r="C1109" s="1" t="n">
        <f aca="false">INT(MOD(A1109,$N$1) / 2)</f>
        <v>4</v>
      </c>
      <c r="D1109" s="1" t="n">
        <f aca="false">_xlfn.BITAND(A1109,1)</f>
        <v>1</v>
      </c>
      <c r="F1109" s="1" t="str">
        <f aca="false">DEC2HEX(B1109*$N$3*18)</f>
        <v>11280</v>
      </c>
      <c r="G1109" s="1" t="str">
        <f aca="false">DEC2HEX(C1109*7)</f>
        <v>1C</v>
      </c>
      <c r="H1109" s="1" t="str">
        <f aca="false">IF(D1109=0, 33, "cc")</f>
        <v>cc</v>
      </c>
    </row>
    <row r="1110" customFormat="false" ht="18.65" hidden="false" customHeight="true" outlineLevel="0" collapsed="false">
      <c r="A1110" s="1" t="n">
        <f aca="false">ROW()-2</f>
        <v>1108</v>
      </c>
      <c r="B1110" s="1" t="n">
        <f aca="false">INT(A1110/$N$1)</f>
        <v>61</v>
      </c>
      <c r="C1110" s="1" t="n">
        <f aca="false">INT(MOD(A1110,$N$1) / 2)</f>
        <v>5</v>
      </c>
      <c r="D1110" s="1" t="n">
        <f aca="false">_xlfn.BITAND(A1110,1)</f>
        <v>0</v>
      </c>
      <c r="F1110" s="1" t="str">
        <f aca="false">DEC2HEX(B1110*$N$3*18)</f>
        <v>11280</v>
      </c>
      <c r="G1110" s="1" t="str">
        <f aca="false">DEC2HEX(C1110*7)</f>
        <v>23</v>
      </c>
      <c r="H1110" s="1" t="n">
        <f aca="false">IF(D1110=0, 33, "cc")</f>
        <v>33</v>
      </c>
    </row>
    <row r="1111" customFormat="false" ht="18.65" hidden="false" customHeight="true" outlineLevel="0" collapsed="false">
      <c r="A1111" s="1" t="n">
        <f aca="false">ROW()-2</f>
        <v>1109</v>
      </c>
      <c r="B1111" s="1" t="n">
        <f aca="false">INT(A1111/$N$1)</f>
        <v>61</v>
      </c>
      <c r="C1111" s="1" t="n">
        <f aca="false">INT(MOD(A1111,$N$1) / 2)</f>
        <v>5</v>
      </c>
      <c r="D1111" s="1" t="n">
        <f aca="false">_xlfn.BITAND(A1111,1)</f>
        <v>1</v>
      </c>
      <c r="F1111" s="1" t="str">
        <f aca="false">DEC2HEX(B1111*$N$3*18)</f>
        <v>11280</v>
      </c>
      <c r="G1111" s="1" t="str">
        <f aca="false">DEC2HEX(C1111*7)</f>
        <v>23</v>
      </c>
      <c r="H1111" s="1" t="str">
        <f aca="false">IF(D1111=0, 33, "cc")</f>
        <v>cc</v>
      </c>
    </row>
    <row r="1112" customFormat="false" ht="18.65" hidden="false" customHeight="true" outlineLevel="0" collapsed="false">
      <c r="A1112" s="1" t="n">
        <f aca="false">ROW()-2</f>
        <v>1110</v>
      </c>
      <c r="B1112" s="1" t="n">
        <f aca="false">INT(A1112/$N$1)</f>
        <v>61</v>
      </c>
      <c r="C1112" s="1" t="n">
        <f aca="false">INT(MOD(A1112,$N$1) / 2)</f>
        <v>6</v>
      </c>
      <c r="D1112" s="1" t="n">
        <f aca="false">_xlfn.BITAND(A1112,1)</f>
        <v>0</v>
      </c>
      <c r="F1112" s="1" t="str">
        <f aca="false">DEC2HEX(B1112*$N$3*18)</f>
        <v>11280</v>
      </c>
      <c r="G1112" s="1" t="str">
        <f aca="false">DEC2HEX(C1112*7)</f>
        <v>2A</v>
      </c>
      <c r="H1112" s="1" t="n">
        <f aca="false">IF(D1112=0, 33, "cc")</f>
        <v>33</v>
      </c>
    </row>
    <row r="1113" customFormat="false" ht="18.65" hidden="false" customHeight="true" outlineLevel="0" collapsed="false">
      <c r="A1113" s="1" t="n">
        <f aca="false">ROW()-2</f>
        <v>1111</v>
      </c>
      <c r="B1113" s="1" t="n">
        <f aca="false">INT(A1113/$N$1)</f>
        <v>61</v>
      </c>
      <c r="C1113" s="1" t="n">
        <f aca="false">INT(MOD(A1113,$N$1) / 2)</f>
        <v>6</v>
      </c>
      <c r="D1113" s="1" t="n">
        <f aca="false">_xlfn.BITAND(A1113,1)</f>
        <v>1</v>
      </c>
      <c r="F1113" s="1" t="str">
        <f aca="false">DEC2HEX(B1113*$N$3*18)</f>
        <v>11280</v>
      </c>
      <c r="G1113" s="1" t="str">
        <f aca="false">DEC2HEX(C1113*7)</f>
        <v>2A</v>
      </c>
      <c r="H1113" s="1" t="str">
        <f aca="false">IF(D1113=0, 33, "cc")</f>
        <v>cc</v>
      </c>
    </row>
    <row r="1114" customFormat="false" ht="18.65" hidden="false" customHeight="true" outlineLevel="0" collapsed="false">
      <c r="A1114" s="1" t="n">
        <f aca="false">ROW()-2</f>
        <v>1112</v>
      </c>
      <c r="B1114" s="1" t="n">
        <f aca="false">INT(A1114/$N$1)</f>
        <v>61</v>
      </c>
      <c r="C1114" s="1" t="n">
        <f aca="false">INT(MOD(A1114,$N$1) / 2)</f>
        <v>7</v>
      </c>
      <c r="D1114" s="1" t="n">
        <f aca="false">_xlfn.BITAND(A1114,1)</f>
        <v>0</v>
      </c>
      <c r="F1114" s="1" t="str">
        <f aca="false">DEC2HEX(B1114*$N$3*18)</f>
        <v>11280</v>
      </c>
      <c r="G1114" s="1" t="str">
        <f aca="false">DEC2HEX(C1114*7)</f>
        <v>31</v>
      </c>
      <c r="H1114" s="1" t="n">
        <f aca="false">IF(D1114=0, 33, "cc")</f>
        <v>33</v>
      </c>
    </row>
    <row r="1115" customFormat="false" ht="18.65" hidden="false" customHeight="true" outlineLevel="0" collapsed="false">
      <c r="A1115" s="1" t="n">
        <f aca="false">ROW()-2</f>
        <v>1113</v>
      </c>
      <c r="B1115" s="1" t="n">
        <f aca="false">INT(A1115/$N$1)</f>
        <v>61</v>
      </c>
      <c r="C1115" s="1" t="n">
        <f aca="false">INT(MOD(A1115,$N$1) / 2)</f>
        <v>7</v>
      </c>
      <c r="D1115" s="1" t="n">
        <f aca="false">_xlfn.BITAND(A1115,1)</f>
        <v>1</v>
      </c>
      <c r="F1115" s="1" t="str">
        <f aca="false">DEC2HEX(B1115*$N$3*18)</f>
        <v>11280</v>
      </c>
      <c r="G1115" s="1" t="str">
        <f aca="false">DEC2HEX(C1115*7)</f>
        <v>31</v>
      </c>
      <c r="H1115" s="1" t="str">
        <f aca="false">IF(D1115=0, 33, "cc")</f>
        <v>cc</v>
      </c>
    </row>
    <row r="1116" customFormat="false" ht="18.65" hidden="false" customHeight="true" outlineLevel="0" collapsed="false">
      <c r="A1116" s="1" t="n">
        <f aca="false">ROW()-2</f>
        <v>1114</v>
      </c>
      <c r="B1116" s="1" t="n">
        <f aca="false">INT(A1116/$N$1)</f>
        <v>61</v>
      </c>
      <c r="C1116" s="1" t="n">
        <f aca="false">INT(MOD(A1116,$N$1) / 2)</f>
        <v>8</v>
      </c>
      <c r="D1116" s="1" t="n">
        <f aca="false">_xlfn.BITAND(A1116,1)</f>
        <v>0</v>
      </c>
      <c r="F1116" s="1" t="str">
        <f aca="false">DEC2HEX(B1116*$N$3*18)</f>
        <v>11280</v>
      </c>
      <c r="G1116" s="1" t="str">
        <f aca="false">DEC2HEX(C1116*7)</f>
        <v>38</v>
      </c>
      <c r="H1116" s="1" t="n">
        <f aca="false">IF(D1116=0, 33, "cc")</f>
        <v>33</v>
      </c>
    </row>
    <row r="1117" customFormat="false" ht="18.65" hidden="false" customHeight="true" outlineLevel="0" collapsed="false">
      <c r="A1117" s="1" t="n">
        <f aca="false">ROW()-2</f>
        <v>1115</v>
      </c>
      <c r="B1117" s="1" t="n">
        <f aca="false">INT(A1117/$N$1)</f>
        <v>61</v>
      </c>
      <c r="C1117" s="1" t="n">
        <f aca="false">INT(MOD(A1117,$N$1) / 2)</f>
        <v>8</v>
      </c>
      <c r="D1117" s="1" t="n">
        <f aca="false">_xlfn.BITAND(A1117,1)</f>
        <v>1</v>
      </c>
      <c r="F1117" s="1" t="str">
        <f aca="false">DEC2HEX(B1117*$N$3*18)</f>
        <v>11280</v>
      </c>
      <c r="G1117" s="1" t="str">
        <f aca="false">DEC2HEX(C1117*7)</f>
        <v>38</v>
      </c>
      <c r="H1117" s="1" t="str">
        <f aca="false">IF(D1117=0, 33, "cc")</f>
        <v>cc</v>
      </c>
    </row>
    <row r="1118" customFormat="false" ht="18.65" hidden="false" customHeight="true" outlineLevel="0" collapsed="false">
      <c r="A1118" s="1" t="n">
        <f aca="false">ROW()-2</f>
        <v>1116</v>
      </c>
      <c r="B1118" s="1" t="n">
        <f aca="false">INT(A1118/$N$1)</f>
        <v>62</v>
      </c>
      <c r="C1118" s="1" t="n">
        <f aca="false">INT(MOD(A1118,$N$1) / 2)</f>
        <v>0</v>
      </c>
      <c r="D1118" s="1" t="n">
        <f aca="false">_xlfn.BITAND(A1118,1)</f>
        <v>0</v>
      </c>
      <c r="F1118" s="1" t="str">
        <f aca="false">DEC2HEX(B1118*$N$3*18)</f>
        <v>11700</v>
      </c>
      <c r="G1118" s="1" t="str">
        <f aca="false">DEC2HEX(C1118*7)</f>
        <v>0</v>
      </c>
      <c r="H1118" s="1" t="n">
        <f aca="false">IF(D1118=0, 33, "cc")</f>
        <v>33</v>
      </c>
    </row>
    <row r="1119" customFormat="false" ht="18.65" hidden="false" customHeight="true" outlineLevel="0" collapsed="false">
      <c r="A1119" s="1" t="n">
        <f aca="false">ROW()-2</f>
        <v>1117</v>
      </c>
      <c r="B1119" s="1" t="n">
        <f aca="false">INT(A1119/$N$1)</f>
        <v>62</v>
      </c>
      <c r="C1119" s="1" t="n">
        <f aca="false">INT(MOD(A1119,$N$1) / 2)</f>
        <v>0</v>
      </c>
      <c r="D1119" s="1" t="n">
        <f aca="false">_xlfn.BITAND(A1119,1)</f>
        <v>1</v>
      </c>
      <c r="F1119" s="1" t="str">
        <f aca="false">DEC2HEX(B1119*$N$3*18)</f>
        <v>11700</v>
      </c>
      <c r="G1119" s="1" t="str">
        <f aca="false">DEC2HEX(C1119*7)</f>
        <v>0</v>
      </c>
      <c r="H1119" s="1" t="str">
        <f aca="false">IF(D1119=0, 33, "cc")</f>
        <v>cc</v>
      </c>
    </row>
    <row r="1120" customFormat="false" ht="18.65" hidden="false" customHeight="true" outlineLevel="0" collapsed="false">
      <c r="A1120" s="1" t="n">
        <f aca="false">ROW()-2</f>
        <v>1118</v>
      </c>
      <c r="B1120" s="1" t="n">
        <f aca="false">INT(A1120/$N$1)</f>
        <v>62</v>
      </c>
      <c r="C1120" s="1" t="n">
        <f aca="false">INT(MOD(A1120,$N$1) / 2)</f>
        <v>1</v>
      </c>
      <c r="D1120" s="1" t="n">
        <f aca="false">_xlfn.BITAND(A1120,1)</f>
        <v>0</v>
      </c>
      <c r="F1120" s="1" t="str">
        <f aca="false">DEC2HEX(B1120*$N$3*18)</f>
        <v>11700</v>
      </c>
      <c r="G1120" s="1" t="str">
        <f aca="false">DEC2HEX(C1120*7)</f>
        <v>7</v>
      </c>
      <c r="H1120" s="1" t="n">
        <f aca="false">IF(D1120=0, 33, "cc")</f>
        <v>33</v>
      </c>
    </row>
    <row r="1121" customFormat="false" ht="18.65" hidden="false" customHeight="true" outlineLevel="0" collapsed="false">
      <c r="A1121" s="1" t="n">
        <f aca="false">ROW()-2</f>
        <v>1119</v>
      </c>
      <c r="B1121" s="1" t="n">
        <f aca="false">INT(A1121/$N$1)</f>
        <v>62</v>
      </c>
      <c r="C1121" s="1" t="n">
        <f aca="false">INT(MOD(A1121,$N$1) / 2)</f>
        <v>1</v>
      </c>
      <c r="D1121" s="1" t="n">
        <f aca="false">_xlfn.BITAND(A1121,1)</f>
        <v>1</v>
      </c>
      <c r="F1121" s="1" t="str">
        <f aca="false">DEC2HEX(B1121*$N$3*18)</f>
        <v>11700</v>
      </c>
      <c r="G1121" s="1" t="str">
        <f aca="false">DEC2HEX(C1121*7)</f>
        <v>7</v>
      </c>
      <c r="H1121" s="1" t="str">
        <f aca="false">IF(D1121=0, 33, "cc")</f>
        <v>cc</v>
      </c>
    </row>
    <row r="1122" customFormat="false" ht="18.65" hidden="false" customHeight="true" outlineLevel="0" collapsed="false">
      <c r="A1122" s="1" t="n">
        <f aca="false">ROW()-2</f>
        <v>1120</v>
      </c>
      <c r="B1122" s="1" t="n">
        <f aca="false">INT(A1122/$N$1)</f>
        <v>62</v>
      </c>
      <c r="C1122" s="1" t="n">
        <f aca="false">INT(MOD(A1122,$N$1) / 2)</f>
        <v>2</v>
      </c>
      <c r="D1122" s="1" t="n">
        <f aca="false">_xlfn.BITAND(A1122,1)</f>
        <v>0</v>
      </c>
      <c r="F1122" s="1" t="str">
        <f aca="false">DEC2HEX(B1122*$N$3*18)</f>
        <v>11700</v>
      </c>
      <c r="G1122" s="1" t="str">
        <f aca="false">DEC2HEX(C1122*7)</f>
        <v>E</v>
      </c>
      <c r="H1122" s="1" t="n">
        <f aca="false">IF(D1122=0, 33, "cc")</f>
        <v>33</v>
      </c>
    </row>
    <row r="1123" customFormat="false" ht="18.65" hidden="false" customHeight="true" outlineLevel="0" collapsed="false">
      <c r="A1123" s="1" t="n">
        <f aca="false">ROW()-2</f>
        <v>1121</v>
      </c>
      <c r="B1123" s="1" t="n">
        <f aca="false">INT(A1123/$N$1)</f>
        <v>62</v>
      </c>
      <c r="C1123" s="1" t="n">
        <f aca="false">INT(MOD(A1123,$N$1) / 2)</f>
        <v>2</v>
      </c>
      <c r="D1123" s="1" t="n">
        <f aca="false">_xlfn.BITAND(A1123,1)</f>
        <v>1</v>
      </c>
      <c r="F1123" s="1" t="str">
        <f aca="false">DEC2HEX(B1123*$N$3*18)</f>
        <v>11700</v>
      </c>
      <c r="G1123" s="1" t="str">
        <f aca="false">DEC2HEX(C1123*7)</f>
        <v>E</v>
      </c>
      <c r="H1123" s="1" t="str">
        <f aca="false">IF(D1123=0, 33, "cc")</f>
        <v>cc</v>
      </c>
    </row>
    <row r="1124" customFormat="false" ht="18.65" hidden="false" customHeight="true" outlineLevel="0" collapsed="false">
      <c r="A1124" s="1" t="n">
        <f aca="false">ROW()-2</f>
        <v>1122</v>
      </c>
      <c r="B1124" s="1" t="n">
        <f aca="false">INT(A1124/$N$1)</f>
        <v>62</v>
      </c>
      <c r="C1124" s="1" t="n">
        <f aca="false">INT(MOD(A1124,$N$1) / 2)</f>
        <v>3</v>
      </c>
      <c r="D1124" s="1" t="n">
        <f aca="false">_xlfn.BITAND(A1124,1)</f>
        <v>0</v>
      </c>
      <c r="F1124" s="1" t="str">
        <f aca="false">DEC2HEX(B1124*$N$3*18)</f>
        <v>11700</v>
      </c>
      <c r="G1124" s="1" t="str">
        <f aca="false">DEC2HEX(C1124*7)</f>
        <v>15</v>
      </c>
      <c r="H1124" s="1" t="n">
        <f aca="false">IF(D1124=0, 33, "cc")</f>
        <v>33</v>
      </c>
    </row>
    <row r="1125" customFormat="false" ht="18.65" hidden="false" customHeight="true" outlineLevel="0" collapsed="false">
      <c r="A1125" s="1" t="n">
        <f aca="false">ROW()-2</f>
        <v>1123</v>
      </c>
      <c r="B1125" s="1" t="n">
        <f aca="false">INT(A1125/$N$1)</f>
        <v>62</v>
      </c>
      <c r="C1125" s="1" t="n">
        <f aca="false">INT(MOD(A1125,$N$1) / 2)</f>
        <v>3</v>
      </c>
      <c r="D1125" s="1" t="n">
        <f aca="false">_xlfn.BITAND(A1125,1)</f>
        <v>1</v>
      </c>
      <c r="F1125" s="1" t="str">
        <f aca="false">DEC2HEX(B1125*$N$3*18)</f>
        <v>11700</v>
      </c>
      <c r="G1125" s="1" t="str">
        <f aca="false">DEC2HEX(C1125*7)</f>
        <v>15</v>
      </c>
      <c r="H1125" s="1" t="str">
        <f aca="false">IF(D1125=0, 33, "cc")</f>
        <v>cc</v>
      </c>
    </row>
    <row r="1126" customFormat="false" ht="18.65" hidden="false" customHeight="true" outlineLevel="0" collapsed="false">
      <c r="A1126" s="1" t="n">
        <f aca="false">ROW()-2</f>
        <v>1124</v>
      </c>
      <c r="B1126" s="1" t="n">
        <f aca="false">INT(A1126/$N$1)</f>
        <v>62</v>
      </c>
      <c r="C1126" s="1" t="n">
        <f aca="false">INT(MOD(A1126,$N$1) / 2)</f>
        <v>4</v>
      </c>
      <c r="D1126" s="1" t="n">
        <f aca="false">_xlfn.BITAND(A1126,1)</f>
        <v>0</v>
      </c>
      <c r="F1126" s="1" t="str">
        <f aca="false">DEC2HEX(B1126*$N$3*18)</f>
        <v>11700</v>
      </c>
      <c r="G1126" s="1" t="str">
        <f aca="false">DEC2HEX(C1126*7)</f>
        <v>1C</v>
      </c>
      <c r="H1126" s="1" t="n">
        <f aca="false">IF(D1126=0, 33, "cc")</f>
        <v>33</v>
      </c>
    </row>
    <row r="1127" customFormat="false" ht="18.65" hidden="false" customHeight="true" outlineLevel="0" collapsed="false">
      <c r="A1127" s="1" t="n">
        <f aca="false">ROW()-2</f>
        <v>1125</v>
      </c>
      <c r="B1127" s="1" t="n">
        <f aca="false">INT(A1127/$N$1)</f>
        <v>62</v>
      </c>
      <c r="C1127" s="1" t="n">
        <f aca="false">INT(MOD(A1127,$N$1) / 2)</f>
        <v>4</v>
      </c>
      <c r="D1127" s="1" t="n">
        <f aca="false">_xlfn.BITAND(A1127,1)</f>
        <v>1</v>
      </c>
      <c r="F1127" s="1" t="str">
        <f aca="false">DEC2HEX(B1127*$N$3*18)</f>
        <v>11700</v>
      </c>
      <c r="G1127" s="1" t="str">
        <f aca="false">DEC2HEX(C1127*7)</f>
        <v>1C</v>
      </c>
      <c r="H1127" s="1" t="str">
        <f aca="false">IF(D1127=0, 33, "cc")</f>
        <v>cc</v>
      </c>
    </row>
    <row r="1128" customFormat="false" ht="18.65" hidden="false" customHeight="true" outlineLevel="0" collapsed="false">
      <c r="A1128" s="1" t="n">
        <f aca="false">ROW()-2</f>
        <v>1126</v>
      </c>
      <c r="B1128" s="1" t="n">
        <f aca="false">INT(A1128/$N$1)</f>
        <v>62</v>
      </c>
      <c r="C1128" s="1" t="n">
        <f aca="false">INT(MOD(A1128,$N$1) / 2)</f>
        <v>5</v>
      </c>
      <c r="D1128" s="1" t="n">
        <f aca="false">_xlfn.BITAND(A1128,1)</f>
        <v>0</v>
      </c>
      <c r="F1128" s="1" t="str">
        <f aca="false">DEC2HEX(B1128*$N$3*18)</f>
        <v>11700</v>
      </c>
      <c r="G1128" s="1" t="str">
        <f aca="false">DEC2HEX(C1128*7)</f>
        <v>23</v>
      </c>
      <c r="H1128" s="1" t="n">
        <f aca="false">IF(D1128=0, 33, "cc")</f>
        <v>33</v>
      </c>
    </row>
    <row r="1129" customFormat="false" ht="18.65" hidden="false" customHeight="true" outlineLevel="0" collapsed="false">
      <c r="A1129" s="1" t="n">
        <f aca="false">ROW()-2</f>
        <v>1127</v>
      </c>
      <c r="B1129" s="1" t="n">
        <f aca="false">INT(A1129/$N$1)</f>
        <v>62</v>
      </c>
      <c r="C1129" s="1" t="n">
        <f aca="false">INT(MOD(A1129,$N$1) / 2)</f>
        <v>5</v>
      </c>
      <c r="D1129" s="1" t="n">
        <f aca="false">_xlfn.BITAND(A1129,1)</f>
        <v>1</v>
      </c>
      <c r="F1129" s="1" t="str">
        <f aca="false">DEC2HEX(B1129*$N$3*18)</f>
        <v>11700</v>
      </c>
      <c r="G1129" s="1" t="str">
        <f aca="false">DEC2HEX(C1129*7)</f>
        <v>23</v>
      </c>
      <c r="H1129" s="1" t="str">
        <f aca="false">IF(D1129=0, 33, "cc")</f>
        <v>cc</v>
      </c>
    </row>
    <row r="1130" customFormat="false" ht="18.65" hidden="false" customHeight="true" outlineLevel="0" collapsed="false">
      <c r="A1130" s="1" t="n">
        <f aca="false">ROW()-2</f>
        <v>1128</v>
      </c>
      <c r="B1130" s="1" t="n">
        <f aca="false">INT(A1130/$N$1)</f>
        <v>62</v>
      </c>
      <c r="C1130" s="1" t="n">
        <f aca="false">INT(MOD(A1130,$N$1) / 2)</f>
        <v>6</v>
      </c>
      <c r="D1130" s="1" t="n">
        <f aca="false">_xlfn.BITAND(A1130,1)</f>
        <v>0</v>
      </c>
      <c r="F1130" s="1" t="str">
        <f aca="false">DEC2HEX(B1130*$N$3*18)</f>
        <v>11700</v>
      </c>
      <c r="G1130" s="1" t="str">
        <f aca="false">DEC2HEX(C1130*7)</f>
        <v>2A</v>
      </c>
      <c r="H1130" s="1" t="n">
        <f aca="false">IF(D1130=0, 33, "cc")</f>
        <v>33</v>
      </c>
    </row>
    <row r="1131" customFormat="false" ht="18.65" hidden="false" customHeight="true" outlineLevel="0" collapsed="false">
      <c r="A1131" s="1" t="n">
        <f aca="false">ROW()-2</f>
        <v>1129</v>
      </c>
      <c r="B1131" s="1" t="n">
        <f aca="false">INT(A1131/$N$1)</f>
        <v>62</v>
      </c>
      <c r="C1131" s="1" t="n">
        <f aca="false">INT(MOD(A1131,$N$1) / 2)</f>
        <v>6</v>
      </c>
      <c r="D1131" s="1" t="n">
        <f aca="false">_xlfn.BITAND(A1131,1)</f>
        <v>1</v>
      </c>
      <c r="F1131" s="1" t="str">
        <f aca="false">DEC2HEX(B1131*$N$3*18)</f>
        <v>11700</v>
      </c>
      <c r="G1131" s="1" t="str">
        <f aca="false">DEC2HEX(C1131*7)</f>
        <v>2A</v>
      </c>
      <c r="H1131" s="1" t="str">
        <f aca="false">IF(D1131=0, 33, "cc")</f>
        <v>cc</v>
      </c>
    </row>
    <row r="1132" customFormat="false" ht="18.65" hidden="false" customHeight="true" outlineLevel="0" collapsed="false">
      <c r="A1132" s="1" t="n">
        <f aca="false">ROW()-2</f>
        <v>1130</v>
      </c>
      <c r="B1132" s="1" t="n">
        <f aca="false">INT(A1132/$N$1)</f>
        <v>62</v>
      </c>
      <c r="C1132" s="1" t="n">
        <f aca="false">INT(MOD(A1132,$N$1) / 2)</f>
        <v>7</v>
      </c>
      <c r="D1132" s="1" t="n">
        <f aca="false">_xlfn.BITAND(A1132,1)</f>
        <v>0</v>
      </c>
      <c r="F1132" s="1" t="str">
        <f aca="false">DEC2HEX(B1132*$N$3*18)</f>
        <v>11700</v>
      </c>
      <c r="G1132" s="1" t="str">
        <f aca="false">DEC2HEX(C1132*7)</f>
        <v>31</v>
      </c>
      <c r="H1132" s="1" t="n">
        <f aca="false">IF(D1132=0, 33, "cc")</f>
        <v>33</v>
      </c>
    </row>
    <row r="1133" customFormat="false" ht="18.65" hidden="false" customHeight="true" outlineLevel="0" collapsed="false">
      <c r="A1133" s="1" t="n">
        <f aca="false">ROW()-2</f>
        <v>1131</v>
      </c>
      <c r="B1133" s="1" t="n">
        <f aca="false">INT(A1133/$N$1)</f>
        <v>62</v>
      </c>
      <c r="C1133" s="1" t="n">
        <f aca="false">INT(MOD(A1133,$N$1) / 2)</f>
        <v>7</v>
      </c>
      <c r="D1133" s="1" t="n">
        <f aca="false">_xlfn.BITAND(A1133,1)</f>
        <v>1</v>
      </c>
      <c r="F1133" s="1" t="str">
        <f aca="false">DEC2HEX(B1133*$N$3*18)</f>
        <v>11700</v>
      </c>
      <c r="G1133" s="1" t="str">
        <f aca="false">DEC2HEX(C1133*7)</f>
        <v>31</v>
      </c>
      <c r="H1133" s="1" t="str">
        <f aca="false">IF(D1133=0, 33, "cc")</f>
        <v>cc</v>
      </c>
    </row>
    <row r="1134" customFormat="false" ht="18.65" hidden="false" customHeight="true" outlineLevel="0" collapsed="false">
      <c r="A1134" s="1" t="n">
        <f aca="false">ROW()-2</f>
        <v>1132</v>
      </c>
      <c r="B1134" s="1" t="n">
        <f aca="false">INT(A1134/$N$1)</f>
        <v>62</v>
      </c>
      <c r="C1134" s="1" t="n">
        <f aca="false">INT(MOD(A1134,$N$1) / 2)</f>
        <v>8</v>
      </c>
      <c r="D1134" s="1" t="n">
        <f aca="false">_xlfn.BITAND(A1134,1)</f>
        <v>0</v>
      </c>
      <c r="F1134" s="1" t="str">
        <f aca="false">DEC2HEX(B1134*$N$3*18)</f>
        <v>11700</v>
      </c>
      <c r="G1134" s="1" t="str">
        <f aca="false">DEC2HEX(C1134*7)</f>
        <v>38</v>
      </c>
      <c r="H1134" s="1" t="n">
        <f aca="false">IF(D1134=0, 33, "cc")</f>
        <v>33</v>
      </c>
    </row>
    <row r="1135" customFormat="false" ht="18.65" hidden="false" customHeight="true" outlineLevel="0" collapsed="false">
      <c r="A1135" s="1" t="n">
        <f aca="false">ROW()-2</f>
        <v>1133</v>
      </c>
      <c r="B1135" s="1" t="n">
        <f aca="false">INT(A1135/$N$1)</f>
        <v>62</v>
      </c>
      <c r="C1135" s="1" t="n">
        <f aca="false">INT(MOD(A1135,$N$1) / 2)</f>
        <v>8</v>
      </c>
      <c r="D1135" s="1" t="n">
        <f aca="false">_xlfn.BITAND(A1135,1)</f>
        <v>1</v>
      </c>
      <c r="F1135" s="1" t="str">
        <f aca="false">DEC2HEX(B1135*$N$3*18)</f>
        <v>11700</v>
      </c>
      <c r="G1135" s="1" t="str">
        <f aca="false">DEC2HEX(C1135*7)</f>
        <v>38</v>
      </c>
      <c r="H1135" s="1" t="str">
        <f aca="false">IF(D1135=0, 33, "cc")</f>
        <v>cc</v>
      </c>
    </row>
    <row r="1136" customFormat="false" ht="18.65" hidden="false" customHeight="true" outlineLevel="0" collapsed="false">
      <c r="A1136" s="1" t="n">
        <f aca="false">ROW()-2</f>
        <v>1134</v>
      </c>
      <c r="B1136" s="1" t="n">
        <f aca="false">INT(A1136/$N$1)</f>
        <v>63</v>
      </c>
      <c r="C1136" s="1" t="n">
        <f aca="false">INT(MOD(A1136,$N$1) / 2)</f>
        <v>0</v>
      </c>
      <c r="D1136" s="1" t="n">
        <f aca="false">_xlfn.BITAND(A1136,1)</f>
        <v>0</v>
      </c>
      <c r="F1136" s="1" t="str">
        <f aca="false">DEC2HEX(B1136*$N$3*18)</f>
        <v>11B80</v>
      </c>
      <c r="G1136" s="1" t="str">
        <f aca="false">DEC2HEX(C1136*7)</f>
        <v>0</v>
      </c>
      <c r="H1136" s="1" t="n">
        <f aca="false">IF(D1136=0, 33, "cc")</f>
        <v>33</v>
      </c>
    </row>
    <row r="1137" customFormat="false" ht="18.65" hidden="false" customHeight="true" outlineLevel="0" collapsed="false">
      <c r="A1137" s="1" t="n">
        <f aca="false">ROW()-2</f>
        <v>1135</v>
      </c>
      <c r="B1137" s="1" t="n">
        <f aca="false">INT(A1137/$N$1)</f>
        <v>63</v>
      </c>
      <c r="C1137" s="1" t="n">
        <f aca="false">INT(MOD(A1137,$N$1) / 2)</f>
        <v>0</v>
      </c>
      <c r="D1137" s="1" t="n">
        <f aca="false">_xlfn.BITAND(A1137,1)</f>
        <v>1</v>
      </c>
      <c r="F1137" s="1" t="str">
        <f aca="false">DEC2HEX(B1137*$N$3*18)</f>
        <v>11B80</v>
      </c>
      <c r="G1137" s="1" t="str">
        <f aca="false">DEC2HEX(C1137*7)</f>
        <v>0</v>
      </c>
      <c r="H1137" s="1" t="str">
        <f aca="false">IF(D1137=0, 33, "cc")</f>
        <v>cc</v>
      </c>
    </row>
    <row r="1138" customFormat="false" ht="18.65" hidden="false" customHeight="true" outlineLevel="0" collapsed="false">
      <c r="A1138" s="1" t="n">
        <f aca="false">ROW()-2</f>
        <v>1136</v>
      </c>
      <c r="B1138" s="1" t="n">
        <f aca="false">INT(A1138/$N$1)</f>
        <v>63</v>
      </c>
      <c r="C1138" s="1" t="n">
        <f aca="false">INT(MOD(A1138,$N$1) / 2)</f>
        <v>1</v>
      </c>
      <c r="D1138" s="1" t="n">
        <f aca="false">_xlfn.BITAND(A1138,1)</f>
        <v>0</v>
      </c>
      <c r="F1138" s="1" t="str">
        <f aca="false">DEC2HEX(B1138*$N$3*18)</f>
        <v>11B80</v>
      </c>
      <c r="G1138" s="1" t="str">
        <f aca="false">DEC2HEX(C1138*7)</f>
        <v>7</v>
      </c>
      <c r="H1138" s="1" t="n">
        <f aca="false">IF(D1138=0, 33, "cc")</f>
        <v>33</v>
      </c>
    </row>
    <row r="1139" customFormat="false" ht="18.65" hidden="false" customHeight="true" outlineLevel="0" collapsed="false">
      <c r="A1139" s="1" t="n">
        <f aca="false">ROW()-2</f>
        <v>1137</v>
      </c>
      <c r="B1139" s="1" t="n">
        <f aca="false">INT(A1139/$N$1)</f>
        <v>63</v>
      </c>
      <c r="C1139" s="1" t="n">
        <f aca="false">INT(MOD(A1139,$N$1) / 2)</f>
        <v>1</v>
      </c>
      <c r="D1139" s="1" t="n">
        <f aca="false">_xlfn.BITAND(A1139,1)</f>
        <v>1</v>
      </c>
      <c r="F1139" s="1" t="str">
        <f aca="false">DEC2HEX(B1139*$N$3*18)</f>
        <v>11B80</v>
      </c>
      <c r="G1139" s="1" t="str">
        <f aca="false">DEC2HEX(C1139*7)</f>
        <v>7</v>
      </c>
      <c r="H1139" s="1" t="str">
        <f aca="false">IF(D1139=0, 33, "cc")</f>
        <v>cc</v>
      </c>
    </row>
    <row r="1140" customFormat="false" ht="18.65" hidden="false" customHeight="true" outlineLevel="0" collapsed="false">
      <c r="A1140" s="1" t="n">
        <f aca="false">ROW()-2</f>
        <v>1138</v>
      </c>
      <c r="B1140" s="1" t="n">
        <f aca="false">INT(A1140/$N$1)</f>
        <v>63</v>
      </c>
      <c r="C1140" s="1" t="n">
        <f aca="false">INT(MOD(A1140,$N$1) / 2)</f>
        <v>2</v>
      </c>
      <c r="D1140" s="1" t="n">
        <f aca="false">_xlfn.BITAND(A1140,1)</f>
        <v>0</v>
      </c>
      <c r="F1140" s="1" t="str">
        <f aca="false">DEC2HEX(B1140*$N$3*18)</f>
        <v>11B80</v>
      </c>
      <c r="G1140" s="1" t="str">
        <f aca="false">DEC2HEX(C1140*7)</f>
        <v>E</v>
      </c>
      <c r="H1140" s="1" t="n">
        <f aca="false">IF(D1140=0, 33, "cc")</f>
        <v>33</v>
      </c>
    </row>
    <row r="1141" customFormat="false" ht="18.65" hidden="false" customHeight="true" outlineLevel="0" collapsed="false">
      <c r="A1141" s="1" t="n">
        <f aca="false">ROW()-2</f>
        <v>1139</v>
      </c>
      <c r="B1141" s="1" t="n">
        <f aca="false">INT(A1141/$N$1)</f>
        <v>63</v>
      </c>
      <c r="C1141" s="1" t="n">
        <f aca="false">INT(MOD(A1141,$N$1) / 2)</f>
        <v>2</v>
      </c>
      <c r="D1141" s="1" t="n">
        <f aca="false">_xlfn.BITAND(A1141,1)</f>
        <v>1</v>
      </c>
      <c r="F1141" s="1" t="str">
        <f aca="false">DEC2HEX(B1141*$N$3*18)</f>
        <v>11B80</v>
      </c>
      <c r="G1141" s="1" t="str">
        <f aca="false">DEC2HEX(C1141*7)</f>
        <v>E</v>
      </c>
      <c r="H1141" s="1" t="str">
        <f aca="false">IF(D1141=0, 33, "cc")</f>
        <v>cc</v>
      </c>
    </row>
    <row r="1142" customFormat="false" ht="18.65" hidden="false" customHeight="true" outlineLevel="0" collapsed="false">
      <c r="A1142" s="1" t="n">
        <f aca="false">ROW()-2</f>
        <v>1140</v>
      </c>
      <c r="B1142" s="1" t="n">
        <f aca="false">INT(A1142/$N$1)</f>
        <v>63</v>
      </c>
      <c r="C1142" s="1" t="n">
        <f aca="false">INT(MOD(A1142,$N$1) / 2)</f>
        <v>3</v>
      </c>
      <c r="D1142" s="1" t="n">
        <f aca="false">_xlfn.BITAND(A1142,1)</f>
        <v>0</v>
      </c>
      <c r="F1142" s="1" t="str">
        <f aca="false">DEC2HEX(B1142*$N$3*18)</f>
        <v>11B80</v>
      </c>
      <c r="G1142" s="1" t="str">
        <f aca="false">DEC2HEX(C1142*7)</f>
        <v>15</v>
      </c>
      <c r="H1142" s="1" t="n">
        <f aca="false">IF(D1142=0, 33, "cc")</f>
        <v>33</v>
      </c>
    </row>
    <row r="1143" customFormat="false" ht="18.65" hidden="false" customHeight="true" outlineLevel="0" collapsed="false">
      <c r="A1143" s="1" t="n">
        <f aca="false">ROW()-2</f>
        <v>1141</v>
      </c>
      <c r="B1143" s="1" t="n">
        <f aca="false">INT(A1143/$N$1)</f>
        <v>63</v>
      </c>
      <c r="C1143" s="1" t="n">
        <f aca="false">INT(MOD(A1143,$N$1) / 2)</f>
        <v>3</v>
      </c>
      <c r="D1143" s="1" t="n">
        <f aca="false">_xlfn.BITAND(A1143,1)</f>
        <v>1</v>
      </c>
      <c r="F1143" s="1" t="str">
        <f aca="false">DEC2HEX(B1143*$N$3*18)</f>
        <v>11B80</v>
      </c>
      <c r="G1143" s="1" t="str">
        <f aca="false">DEC2HEX(C1143*7)</f>
        <v>15</v>
      </c>
      <c r="H1143" s="1" t="str">
        <f aca="false">IF(D1143=0, 33, "cc")</f>
        <v>cc</v>
      </c>
    </row>
    <row r="1144" customFormat="false" ht="18.65" hidden="false" customHeight="true" outlineLevel="0" collapsed="false">
      <c r="A1144" s="1" t="n">
        <f aca="false">ROW()-2</f>
        <v>1142</v>
      </c>
      <c r="B1144" s="1" t="n">
        <f aca="false">INT(A1144/$N$1)</f>
        <v>63</v>
      </c>
      <c r="C1144" s="1" t="n">
        <f aca="false">INT(MOD(A1144,$N$1) / 2)</f>
        <v>4</v>
      </c>
      <c r="D1144" s="1" t="n">
        <f aca="false">_xlfn.BITAND(A1144,1)</f>
        <v>0</v>
      </c>
      <c r="F1144" s="1" t="str">
        <f aca="false">DEC2HEX(B1144*$N$3*18)</f>
        <v>11B80</v>
      </c>
      <c r="G1144" s="1" t="str">
        <f aca="false">DEC2HEX(C1144*7)</f>
        <v>1C</v>
      </c>
      <c r="H1144" s="1" t="n">
        <f aca="false">IF(D1144=0, 33, "cc")</f>
        <v>33</v>
      </c>
    </row>
    <row r="1145" customFormat="false" ht="18.65" hidden="false" customHeight="true" outlineLevel="0" collapsed="false">
      <c r="A1145" s="1" t="n">
        <f aca="false">ROW()-2</f>
        <v>1143</v>
      </c>
      <c r="B1145" s="1" t="n">
        <f aca="false">INT(A1145/$N$1)</f>
        <v>63</v>
      </c>
      <c r="C1145" s="1" t="n">
        <f aca="false">INT(MOD(A1145,$N$1) / 2)</f>
        <v>4</v>
      </c>
      <c r="D1145" s="1" t="n">
        <f aca="false">_xlfn.BITAND(A1145,1)</f>
        <v>1</v>
      </c>
      <c r="F1145" s="1" t="str">
        <f aca="false">DEC2HEX(B1145*$N$3*18)</f>
        <v>11B80</v>
      </c>
      <c r="G1145" s="1" t="str">
        <f aca="false">DEC2HEX(C1145*7)</f>
        <v>1C</v>
      </c>
      <c r="H1145" s="1" t="str">
        <f aca="false">IF(D1145=0, 33, "cc")</f>
        <v>cc</v>
      </c>
    </row>
    <row r="1146" customFormat="false" ht="18.65" hidden="false" customHeight="true" outlineLevel="0" collapsed="false">
      <c r="A1146" s="1" t="n">
        <f aca="false">ROW()-2</f>
        <v>1144</v>
      </c>
      <c r="B1146" s="1" t="n">
        <f aca="false">INT(A1146/$N$1)</f>
        <v>63</v>
      </c>
      <c r="C1146" s="1" t="n">
        <f aca="false">INT(MOD(A1146,$N$1) / 2)</f>
        <v>5</v>
      </c>
      <c r="D1146" s="1" t="n">
        <f aca="false">_xlfn.BITAND(A1146,1)</f>
        <v>0</v>
      </c>
      <c r="F1146" s="1" t="str">
        <f aca="false">DEC2HEX(B1146*$N$3*18)</f>
        <v>11B80</v>
      </c>
      <c r="G1146" s="1" t="str">
        <f aca="false">DEC2HEX(C1146*7)</f>
        <v>23</v>
      </c>
      <c r="H1146" s="1" t="n">
        <f aca="false">IF(D1146=0, 33, "cc")</f>
        <v>33</v>
      </c>
    </row>
    <row r="1147" customFormat="false" ht="18.65" hidden="false" customHeight="true" outlineLevel="0" collapsed="false">
      <c r="A1147" s="1" t="n">
        <f aca="false">ROW()-2</f>
        <v>1145</v>
      </c>
      <c r="B1147" s="1" t="n">
        <f aca="false">INT(A1147/$N$1)</f>
        <v>63</v>
      </c>
      <c r="C1147" s="1" t="n">
        <f aca="false">INT(MOD(A1147,$N$1) / 2)</f>
        <v>5</v>
      </c>
      <c r="D1147" s="1" t="n">
        <f aca="false">_xlfn.BITAND(A1147,1)</f>
        <v>1</v>
      </c>
      <c r="F1147" s="1" t="str">
        <f aca="false">DEC2HEX(B1147*$N$3*18)</f>
        <v>11B80</v>
      </c>
      <c r="G1147" s="1" t="str">
        <f aca="false">DEC2HEX(C1147*7)</f>
        <v>23</v>
      </c>
      <c r="H1147" s="1" t="str">
        <f aca="false">IF(D1147=0, 33, "cc")</f>
        <v>cc</v>
      </c>
    </row>
    <row r="1148" customFormat="false" ht="18.65" hidden="false" customHeight="true" outlineLevel="0" collapsed="false">
      <c r="A1148" s="1" t="n">
        <f aca="false">ROW()-2</f>
        <v>1146</v>
      </c>
      <c r="B1148" s="1" t="n">
        <f aca="false">INT(A1148/$N$1)</f>
        <v>63</v>
      </c>
      <c r="C1148" s="1" t="n">
        <f aca="false">INT(MOD(A1148,$N$1) / 2)</f>
        <v>6</v>
      </c>
      <c r="D1148" s="1" t="n">
        <f aca="false">_xlfn.BITAND(A1148,1)</f>
        <v>0</v>
      </c>
      <c r="F1148" s="1" t="str">
        <f aca="false">DEC2HEX(B1148*$N$3*18)</f>
        <v>11B80</v>
      </c>
      <c r="G1148" s="1" t="str">
        <f aca="false">DEC2HEX(C1148*7)</f>
        <v>2A</v>
      </c>
      <c r="H1148" s="1" t="n">
        <f aca="false">IF(D1148=0, 33, "cc")</f>
        <v>33</v>
      </c>
    </row>
    <row r="1149" customFormat="false" ht="18.65" hidden="false" customHeight="true" outlineLevel="0" collapsed="false">
      <c r="A1149" s="1" t="n">
        <f aca="false">ROW()-2</f>
        <v>1147</v>
      </c>
      <c r="B1149" s="1" t="n">
        <f aca="false">INT(A1149/$N$1)</f>
        <v>63</v>
      </c>
      <c r="C1149" s="1" t="n">
        <f aca="false">INT(MOD(A1149,$N$1) / 2)</f>
        <v>6</v>
      </c>
      <c r="D1149" s="1" t="n">
        <f aca="false">_xlfn.BITAND(A1149,1)</f>
        <v>1</v>
      </c>
      <c r="F1149" s="1" t="str">
        <f aca="false">DEC2HEX(B1149*$N$3*18)</f>
        <v>11B80</v>
      </c>
      <c r="G1149" s="1" t="str">
        <f aca="false">DEC2HEX(C1149*7)</f>
        <v>2A</v>
      </c>
      <c r="H1149" s="1" t="str">
        <f aca="false">IF(D1149=0, 33, "cc")</f>
        <v>cc</v>
      </c>
    </row>
    <row r="1150" customFormat="false" ht="18.65" hidden="false" customHeight="true" outlineLevel="0" collapsed="false">
      <c r="A1150" s="1" t="n">
        <f aca="false">ROW()-2</f>
        <v>1148</v>
      </c>
      <c r="B1150" s="1" t="n">
        <f aca="false">INT(A1150/$N$1)</f>
        <v>63</v>
      </c>
      <c r="C1150" s="1" t="n">
        <f aca="false">INT(MOD(A1150,$N$1) / 2)</f>
        <v>7</v>
      </c>
      <c r="D1150" s="1" t="n">
        <f aca="false">_xlfn.BITAND(A1150,1)</f>
        <v>0</v>
      </c>
      <c r="F1150" s="1" t="str">
        <f aca="false">DEC2HEX(B1150*$N$3*18)</f>
        <v>11B80</v>
      </c>
      <c r="G1150" s="1" t="str">
        <f aca="false">DEC2HEX(C1150*7)</f>
        <v>31</v>
      </c>
      <c r="H1150" s="1" t="n">
        <f aca="false">IF(D1150=0, 33, "cc")</f>
        <v>33</v>
      </c>
    </row>
    <row r="1151" customFormat="false" ht="18.65" hidden="false" customHeight="true" outlineLevel="0" collapsed="false">
      <c r="A1151" s="1" t="n">
        <f aca="false">ROW()-2</f>
        <v>1149</v>
      </c>
      <c r="B1151" s="1" t="n">
        <f aca="false">INT(A1151/$N$1)</f>
        <v>63</v>
      </c>
      <c r="C1151" s="1" t="n">
        <f aca="false">INT(MOD(A1151,$N$1) / 2)</f>
        <v>7</v>
      </c>
      <c r="D1151" s="1" t="n">
        <f aca="false">_xlfn.BITAND(A1151,1)</f>
        <v>1</v>
      </c>
      <c r="F1151" s="1" t="str">
        <f aca="false">DEC2HEX(B1151*$N$3*18)</f>
        <v>11B80</v>
      </c>
      <c r="G1151" s="1" t="str">
        <f aca="false">DEC2HEX(C1151*7)</f>
        <v>31</v>
      </c>
      <c r="H1151" s="1" t="str">
        <f aca="false">IF(D1151=0, 33, "cc")</f>
        <v>cc</v>
      </c>
    </row>
    <row r="1152" customFormat="false" ht="18.65" hidden="false" customHeight="true" outlineLevel="0" collapsed="false">
      <c r="A1152" s="1" t="n">
        <f aca="false">ROW()-2</f>
        <v>1150</v>
      </c>
      <c r="B1152" s="1" t="n">
        <f aca="false">INT(A1152/$N$1)</f>
        <v>63</v>
      </c>
      <c r="C1152" s="1" t="n">
        <f aca="false">INT(MOD(A1152,$N$1) / 2)</f>
        <v>8</v>
      </c>
      <c r="D1152" s="1" t="n">
        <f aca="false">_xlfn.BITAND(A1152,1)</f>
        <v>0</v>
      </c>
      <c r="F1152" s="1" t="str">
        <f aca="false">DEC2HEX(B1152*$N$3*18)</f>
        <v>11B80</v>
      </c>
      <c r="G1152" s="1" t="str">
        <f aca="false">DEC2HEX(C1152*7)</f>
        <v>38</v>
      </c>
      <c r="H1152" s="1" t="n">
        <f aca="false">IF(D1152=0, 33, "cc")</f>
        <v>33</v>
      </c>
    </row>
    <row r="1153" customFormat="false" ht="18.65" hidden="false" customHeight="true" outlineLevel="0" collapsed="false">
      <c r="A1153" s="1" t="n">
        <f aca="false">ROW()-2</f>
        <v>1151</v>
      </c>
      <c r="B1153" s="1" t="n">
        <f aca="false">INT(A1153/$N$1)</f>
        <v>63</v>
      </c>
      <c r="C1153" s="1" t="n">
        <f aca="false">INT(MOD(A1153,$N$1) / 2)</f>
        <v>8</v>
      </c>
      <c r="D1153" s="1" t="n">
        <f aca="false">_xlfn.BITAND(A1153,1)</f>
        <v>1</v>
      </c>
      <c r="F1153" s="1" t="str">
        <f aca="false">DEC2HEX(B1153*$N$3*18)</f>
        <v>11B80</v>
      </c>
      <c r="G1153" s="1" t="str">
        <f aca="false">DEC2HEX(C1153*7)</f>
        <v>38</v>
      </c>
      <c r="H1153" s="1" t="str">
        <f aca="false">IF(D1153=0, 33, "cc")</f>
        <v>cc</v>
      </c>
    </row>
    <row r="1154" customFormat="false" ht="18.65" hidden="false" customHeight="true" outlineLevel="0" collapsed="false">
      <c r="A1154" s="1" t="n">
        <f aca="false">ROW()-2</f>
        <v>1152</v>
      </c>
      <c r="B1154" s="1" t="n">
        <f aca="false">INT(A1154/$N$1)</f>
        <v>64</v>
      </c>
      <c r="C1154" s="1" t="n">
        <f aca="false">INT(MOD(A1154,$N$1) / 2)</f>
        <v>0</v>
      </c>
      <c r="D1154" s="1" t="n">
        <f aca="false">_xlfn.BITAND(A1154,1)</f>
        <v>0</v>
      </c>
      <c r="F1154" s="1" t="str">
        <f aca="false">DEC2HEX(B1154*$N$3*18)</f>
        <v>12000</v>
      </c>
      <c r="G1154" s="1" t="str">
        <f aca="false">DEC2HEX(C1154*7)</f>
        <v>0</v>
      </c>
      <c r="H1154" s="1" t="n">
        <f aca="false">IF(D1154=0, 33, "cc")</f>
        <v>33</v>
      </c>
    </row>
    <row r="1155" customFormat="false" ht="18.65" hidden="false" customHeight="true" outlineLevel="0" collapsed="false">
      <c r="A1155" s="1" t="n">
        <f aca="false">ROW()-2</f>
        <v>1153</v>
      </c>
      <c r="B1155" s="1" t="n">
        <f aca="false">INT(A1155/$N$1)</f>
        <v>64</v>
      </c>
      <c r="C1155" s="1" t="n">
        <f aca="false">INT(MOD(A1155,$N$1) / 2)</f>
        <v>0</v>
      </c>
      <c r="D1155" s="1" t="n">
        <f aca="false">_xlfn.BITAND(A1155,1)</f>
        <v>1</v>
      </c>
      <c r="F1155" s="1" t="str">
        <f aca="false">DEC2HEX(B1155*$N$3*18)</f>
        <v>12000</v>
      </c>
      <c r="G1155" s="1" t="str">
        <f aca="false">DEC2HEX(C1155*7)</f>
        <v>0</v>
      </c>
      <c r="H1155" s="1" t="str">
        <f aca="false">IF(D1155=0, 33, "cc")</f>
        <v>cc</v>
      </c>
    </row>
    <row r="1156" customFormat="false" ht="18.65" hidden="false" customHeight="true" outlineLevel="0" collapsed="false">
      <c r="A1156" s="1" t="n">
        <f aca="false">ROW()-2</f>
        <v>1154</v>
      </c>
      <c r="B1156" s="1" t="n">
        <f aca="false">INT(A1156/$N$1)</f>
        <v>64</v>
      </c>
      <c r="C1156" s="1" t="n">
        <f aca="false">INT(MOD(A1156,$N$1) / 2)</f>
        <v>1</v>
      </c>
      <c r="D1156" s="1" t="n">
        <f aca="false">_xlfn.BITAND(A1156,1)</f>
        <v>0</v>
      </c>
      <c r="F1156" s="1" t="str">
        <f aca="false">DEC2HEX(B1156*$N$3*18)</f>
        <v>12000</v>
      </c>
      <c r="G1156" s="1" t="str">
        <f aca="false">DEC2HEX(C1156*7)</f>
        <v>7</v>
      </c>
      <c r="H1156" s="1" t="n">
        <f aca="false">IF(D1156=0, 33, "cc")</f>
        <v>33</v>
      </c>
    </row>
    <row r="1157" customFormat="false" ht="18.65" hidden="false" customHeight="true" outlineLevel="0" collapsed="false">
      <c r="A1157" s="1" t="n">
        <f aca="false">ROW()-2</f>
        <v>1155</v>
      </c>
      <c r="B1157" s="1" t="n">
        <f aca="false">INT(A1157/$N$1)</f>
        <v>64</v>
      </c>
      <c r="C1157" s="1" t="n">
        <f aca="false">INT(MOD(A1157,$N$1) / 2)</f>
        <v>1</v>
      </c>
      <c r="D1157" s="1" t="n">
        <f aca="false">_xlfn.BITAND(A1157,1)</f>
        <v>1</v>
      </c>
      <c r="F1157" s="1" t="str">
        <f aca="false">DEC2HEX(B1157*$N$3*18)</f>
        <v>12000</v>
      </c>
      <c r="G1157" s="1" t="str">
        <f aca="false">DEC2HEX(C1157*7)</f>
        <v>7</v>
      </c>
      <c r="H1157" s="1" t="str">
        <f aca="false">IF(D1157=0, 33, "cc")</f>
        <v>cc</v>
      </c>
    </row>
    <row r="1158" customFormat="false" ht="18.65" hidden="false" customHeight="true" outlineLevel="0" collapsed="false">
      <c r="A1158" s="1" t="n">
        <f aca="false">ROW()-2</f>
        <v>1156</v>
      </c>
      <c r="B1158" s="1" t="n">
        <f aca="false">INT(A1158/$N$1)</f>
        <v>64</v>
      </c>
      <c r="C1158" s="1" t="n">
        <f aca="false">INT(MOD(A1158,$N$1) / 2)</f>
        <v>2</v>
      </c>
      <c r="D1158" s="1" t="n">
        <f aca="false">_xlfn.BITAND(A1158,1)</f>
        <v>0</v>
      </c>
      <c r="F1158" s="1" t="str">
        <f aca="false">DEC2HEX(B1158*$N$3*18)</f>
        <v>12000</v>
      </c>
      <c r="G1158" s="1" t="str">
        <f aca="false">DEC2HEX(C1158*7)</f>
        <v>E</v>
      </c>
      <c r="H1158" s="1" t="n">
        <f aca="false">IF(D1158=0, 33, "cc")</f>
        <v>33</v>
      </c>
    </row>
    <row r="1159" customFormat="false" ht="18.65" hidden="false" customHeight="true" outlineLevel="0" collapsed="false">
      <c r="A1159" s="1" t="n">
        <f aca="false">ROW()-2</f>
        <v>1157</v>
      </c>
      <c r="B1159" s="1" t="n">
        <f aca="false">INT(A1159/$N$1)</f>
        <v>64</v>
      </c>
      <c r="C1159" s="1" t="n">
        <f aca="false">INT(MOD(A1159,$N$1) / 2)</f>
        <v>2</v>
      </c>
      <c r="D1159" s="1" t="n">
        <f aca="false">_xlfn.BITAND(A1159,1)</f>
        <v>1</v>
      </c>
      <c r="F1159" s="1" t="str">
        <f aca="false">DEC2HEX(B1159*$N$3*18)</f>
        <v>12000</v>
      </c>
      <c r="G1159" s="1" t="str">
        <f aca="false">DEC2HEX(C1159*7)</f>
        <v>E</v>
      </c>
      <c r="H1159" s="1" t="str">
        <f aca="false">IF(D1159=0, 33, "cc")</f>
        <v>cc</v>
      </c>
    </row>
    <row r="1160" customFormat="false" ht="18.65" hidden="false" customHeight="true" outlineLevel="0" collapsed="false">
      <c r="A1160" s="1" t="n">
        <f aca="false">ROW()-2</f>
        <v>1158</v>
      </c>
      <c r="B1160" s="1" t="n">
        <f aca="false">INT(A1160/$N$1)</f>
        <v>64</v>
      </c>
      <c r="C1160" s="1" t="n">
        <f aca="false">INT(MOD(A1160,$N$1) / 2)</f>
        <v>3</v>
      </c>
      <c r="D1160" s="1" t="n">
        <f aca="false">_xlfn.BITAND(A1160,1)</f>
        <v>0</v>
      </c>
      <c r="F1160" s="1" t="str">
        <f aca="false">DEC2HEX(B1160*$N$3*18)</f>
        <v>12000</v>
      </c>
      <c r="G1160" s="1" t="str">
        <f aca="false">DEC2HEX(C1160*7)</f>
        <v>15</v>
      </c>
      <c r="H1160" s="1" t="n">
        <f aca="false">IF(D1160=0, 33, "cc")</f>
        <v>33</v>
      </c>
    </row>
    <row r="1161" customFormat="false" ht="18.65" hidden="false" customHeight="true" outlineLevel="0" collapsed="false">
      <c r="A1161" s="1" t="n">
        <f aca="false">ROW()-2</f>
        <v>1159</v>
      </c>
      <c r="B1161" s="1" t="n">
        <f aca="false">INT(A1161/$N$1)</f>
        <v>64</v>
      </c>
      <c r="C1161" s="1" t="n">
        <f aca="false">INT(MOD(A1161,$N$1) / 2)</f>
        <v>3</v>
      </c>
      <c r="D1161" s="1" t="n">
        <f aca="false">_xlfn.BITAND(A1161,1)</f>
        <v>1</v>
      </c>
      <c r="F1161" s="1" t="str">
        <f aca="false">DEC2HEX(B1161*$N$3*18)</f>
        <v>12000</v>
      </c>
      <c r="G1161" s="1" t="str">
        <f aca="false">DEC2HEX(C1161*7)</f>
        <v>15</v>
      </c>
      <c r="H1161" s="1" t="str">
        <f aca="false">IF(D1161=0, 33, "cc")</f>
        <v>cc</v>
      </c>
    </row>
    <row r="1162" customFormat="false" ht="18.65" hidden="false" customHeight="true" outlineLevel="0" collapsed="false">
      <c r="A1162" s="1" t="n">
        <f aca="false">ROW()-2</f>
        <v>1160</v>
      </c>
      <c r="B1162" s="1" t="n">
        <f aca="false">INT(A1162/$N$1)</f>
        <v>64</v>
      </c>
      <c r="C1162" s="1" t="n">
        <f aca="false">INT(MOD(A1162,$N$1) / 2)</f>
        <v>4</v>
      </c>
      <c r="D1162" s="1" t="n">
        <f aca="false">_xlfn.BITAND(A1162,1)</f>
        <v>0</v>
      </c>
      <c r="F1162" s="1" t="str">
        <f aca="false">DEC2HEX(B1162*$N$3*18)</f>
        <v>12000</v>
      </c>
      <c r="G1162" s="1" t="str">
        <f aca="false">DEC2HEX(C1162*7)</f>
        <v>1C</v>
      </c>
      <c r="H1162" s="1" t="n">
        <f aca="false">IF(D1162=0, 33, "cc")</f>
        <v>33</v>
      </c>
    </row>
    <row r="1163" customFormat="false" ht="18.65" hidden="false" customHeight="true" outlineLevel="0" collapsed="false">
      <c r="A1163" s="1" t="n">
        <f aca="false">ROW()-2</f>
        <v>1161</v>
      </c>
      <c r="B1163" s="1" t="n">
        <f aca="false">INT(A1163/$N$1)</f>
        <v>64</v>
      </c>
      <c r="C1163" s="1" t="n">
        <f aca="false">INT(MOD(A1163,$N$1) / 2)</f>
        <v>4</v>
      </c>
      <c r="D1163" s="1" t="n">
        <f aca="false">_xlfn.BITAND(A1163,1)</f>
        <v>1</v>
      </c>
      <c r="F1163" s="1" t="str">
        <f aca="false">DEC2HEX(B1163*$N$3*18)</f>
        <v>12000</v>
      </c>
      <c r="G1163" s="1" t="str">
        <f aca="false">DEC2HEX(C1163*7)</f>
        <v>1C</v>
      </c>
      <c r="H1163" s="1" t="str">
        <f aca="false">IF(D1163=0, 33, "cc")</f>
        <v>cc</v>
      </c>
    </row>
    <row r="1164" customFormat="false" ht="18.65" hidden="false" customHeight="true" outlineLevel="0" collapsed="false">
      <c r="A1164" s="1" t="n">
        <f aca="false">ROW()-2</f>
        <v>1162</v>
      </c>
      <c r="B1164" s="1" t="n">
        <f aca="false">INT(A1164/$N$1)</f>
        <v>64</v>
      </c>
      <c r="C1164" s="1" t="n">
        <f aca="false">INT(MOD(A1164,$N$1) / 2)</f>
        <v>5</v>
      </c>
      <c r="D1164" s="1" t="n">
        <f aca="false">_xlfn.BITAND(A1164,1)</f>
        <v>0</v>
      </c>
      <c r="F1164" s="1" t="str">
        <f aca="false">DEC2HEX(B1164*$N$3*18)</f>
        <v>12000</v>
      </c>
      <c r="G1164" s="1" t="str">
        <f aca="false">DEC2HEX(C1164*7)</f>
        <v>23</v>
      </c>
      <c r="H1164" s="1" t="n">
        <f aca="false">IF(D1164=0, 33, "cc")</f>
        <v>33</v>
      </c>
    </row>
    <row r="1165" customFormat="false" ht="18.65" hidden="false" customHeight="true" outlineLevel="0" collapsed="false">
      <c r="A1165" s="1" t="n">
        <f aca="false">ROW()-2</f>
        <v>1163</v>
      </c>
      <c r="B1165" s="1" t="n">
        <f aca="false">INT(A1165/$N$1)</f>
        <v>64</v>
      </c>
      <c r="C1165" s="1" t="n">
        <f aca="false">INT(MOD(A1165,$N$1) / 2)</f>
        <v>5</v>
      </c>
      <c r="D1165" s="1" t="n">
        <f aca="false">_xlfn.BITAND(A1165,1)</f>
        <v>1</v>
      </c>
      <c r="F1165" s="1" t="str">
        <f aca="false">DEC2HEX(B1165*$N$3*18)</f>
        <v>12000</v>
      </c>
      <c r="G1165" s="1" t="str">
        <f aca="false">DEC2HEX(C1165*7)</f>
        <v>23</v>
      </c>
      <c r="H1165" s="1" t="str">
        <f aca="false">IF(D1165=0, 33, "cc")</f>
        <v>cc</v>
      </c>
    </row>
    <row r="1166" customFormat="false" ht="18.65" hidden="false" customHeight="true" outlineLevel="0" collapsed="false">
      <c r="A1166" s="1" t="n">
        <f aca="false">ROW()-2</f>
        <v>1164</v>
      </c>
      <c r="B1166" s="1" t="n">
        <f aca="false">INT(A1166/$N$1)</f>
        <v>64</v>
      </c>
      <c r="C1166" s="1" t="n">
        <f aca="false">INT(MOD(A1166,$N$1) / 2)</f>
        <v>6</v>
      </c>
      <c r="D1166" s="1" t="n">
        <f aca="false">_xlfn.BITAND(A1166,1)</f>
        <v>0</v>
      </c>
      <c r="F1166" s="1" t="str">
        <f aca="false">DEC2HEX(B1166*$N$3*18)</f>
        <v>12000</v>
      </c>
      <c r="G1166" s="1" t="str">
        <f aca="false">DEC2HEX(C1166*7)</f>
        <v>2A</v>
      </c>
      <c r="H1166" s="1" t="n">
        <f aca="false">IF(D1166=0, 33, "cc")</f>
        <v>33</v>
      </c>
    </row>
    <row r="1167" customFormat="false" ht="18.65" hidden="false" customHeight="true" outlineLevel="0" collapsed="false">
      <c r="A1167" s="1" t="n">
        <f aca="false">ROW()-2</f>
        <v>1165</v>
      </c>
      <c r="B1167" s="1" t="n">
        <f aca="false">INT(A1167/$N$1)</f>
        <v>64</v>
      </c>
      <c r="C1167" s="1" t="n">
        <f aca="false">INT(MOD(A1167,$N$1) / 2)</f>
        <v>6</v>
      </c>
      <c r="D1167" s="1" t="n">
        <f aca="false">_xlfn.BITAND(A1167,1)</f>
        <v>1</v>
      </c>
      <c r="F1167" s="1" t="str">
        <f aca="false">DEC2HEX(B1167*$N$3*18)</f>
        <v>12000</v>
      </c>
      <c r="G1167" s="1" t="str">
        <f aca="false">DEC2HEX(C1167*7)</f>
        <v>2A</v>
      </c>
      <c r="H1167" s="1" t="str">
        <f aca="false">IF(D1167=0, 33, "cc")</f>
        <v>cc</v>
      </c>
    </row>
    <row r="1168" customFormat="false" ht="18.65" hidden="false" customHeight="true" outlineLevel="0" collapsed="false">
      <c r="A1168" s="1" t="n">
        <f aca="false">ROW()-2</f>
        <v>1166</v>
      </c>
      <c r="B1168" s="1" t="n">
        <f aca="false">INT(A1168/$N$1)</f>
        <v>64</v>
      </c>
      <c r="C1168" s="1" t="n">
        <f aca="false">INT(MOD(A1168,$N$1) / 2)</f>
        <v>7</v>
      </c>
      <c r="D1168" s="1" t="n">
        <f aca="false">_xlfn.BITAND(A1168,1)</f>
        <v>0</v>
      </c>
      <c r="F1168" s="1" t="str">
        <f aca="false">DEC2HEX(B1168*$N$3*18)</f>
        <v>12000</v>
      </c>
      <c r="G1168" s="1" t="str">
        <f aca="false">DEC2HEX(C1168*7)</f>
        <v>31</v>
      </c>
      <c r="H1168" s="1" t="n">
        <f aca="false">IF(D1168=0, 33, "cc")</f>
        <v>33</v>
      </c>
    </row>
    <row r="1169" customFormat="false" ht="18.65" hidden="false" customHeight="true" outlineLevel="0" collapsed="false">
      <c r="A1169" s="1" t="n">
        <f aca="false">ROW()-2</f>
        <v>1167</v>
      </c>
      <c r="B1169" s="1" t="n">
        <f aca="false">INT(A1169/$N$1)</f>
        <v>64</v>
      </c>
      <c r="C1169" s="1" t="n">
        <f aca="false">INT(MOD(A1169,$N$1) / 2)</f>
        <v>7</v>
      </c>
      <c r="D1169" s="1" t="n">
        <f aca="false">_xlfn.BITAND(A1169,1)</f>
        <v>1</v>
      </c>
      <c r="F1169" s="1" t="str">
        <f aca="false">DEC2HEX(B1169*$N$3*18)</f>
        <v>12000</v>
      </c>
      <c r="G1169" s="1" t="str">
        <f aca="false">DEC2HEX(C1169*7)</f>
        <v>31</v>
      </c>
      <c r="H1169" s="1" t="str">
        <f aca="false">IF(D1169=0, 33, "cc")</f>
        <v>cc</v>
      </c>
    </row>
    <row r="1170" customFormat="false" ht="18.65" hidden="false" customHeight="true" outlineLevel="0" collapsed="false">
      <c r="A1170" s="1" t="n">
        <f aca="false">ROW()-2</f>
        <v>1168</v>
      </c>
      <c r="B1170" s="1" t="n">
        <f aca="false">INT(A1170/$N$1)</f>
        <v>64</v>
      </c>
      <c r="C1170" s="1" t="n">
        <f aca="false">INT(MOD(A1170,$N$1) / 2)</f>
        <v>8</v>
      </c>
      <c r="D1170" s="1" t="n">
        <f aca="false">_xlfn.BITAND(A1170,1)</f>
        <v>0</v>
      </c>
      <c r="F1170" s="1" t="str">
        <f aca="false">DEC2HEX(B1170*$N$3*18)</f>
        <v>12000</v>
      </c>
      <c r="G1170" s="1" t="str">
        <f aca="false">DEC2HEX(C1170*7)</f>
        <v>38</v>
      </c>
      <c r="H1170" s="1" t="n">
        <f aca="false">IF(D1170=0, 33, "cc")</f>
        <v>33</v>
      </c>
    </row>
    <row r="1171" customFormat="false" ht="18.65" hidden="false" customHeight="true" outlineLevel="0" collapsed="false">
      <c r="A1171" s="1" t="n">
        <f aca="false">ROW()-2</f>
        <v>1169</v>
      </c>
      <c r="B1171" s="1" t="n">
        <f aca="false">INT(A1171/$N$1)</f>
        <v>64</v>
      </c>
      <c r="C1171" s="1" t="n">
        <f aca="false">INT(MOD(A1171,$N$1) / 2)</f>
        <v>8</v>
      </c>
      <c r="D1171" s="1" t="n">
        <f aca="false">_xlfn.BITAND(A1171,1)</f>
        <v>1</v>
      </c>
      <c r="F1171" s="1" t="str">
        <f aca="false">DEC2HEX(B1171*$N$3*18)</f>
        <v>12000</v>
      </c>
      <c r="G1171" s="1" t="str">
        <f aca="false">DEC2HEX(C1171*7)</f>
        <v>38</v>
      </c>
      <c r="H1171" s="1" t="str">
        <f aca="false">IF(D1171=0, 33, "cc")</f>
        <v>cc</v>
      </c>
    </row>
    <row r="1172" customFormat="false" ht="18.65" hidden="false" customHeight="true" outlineLevel="0" collapsed="false">
      <c r="A1172" s="1" t="n">
        <f aca="false">ROW()-2</f>
        <v>1170</v>
      </c>
      <c r="B1172" s="1" t="n">
        <f aca="false">INT(A1172/$N$1)</f>
        <v>65</v>
      </c>
      <c r="C1172" s="1" t="n">
        <f aca="false">INT(MOD(A1172,$N$1) / 2)</f>
        <v>0</v>
      </c>
      <c r="D1172" s="1" t="n">
        <f aca="false">_xlfn.BITAND(A1172,1)</f>
        <v>0</v>
      </c>
      <c r="F1172" s="1" t="str">
        <f aca="false">DEC2HEX(B1172*$N$3*18)</f>
        <v>12480</v>
      </c>
      <c r="G1172" s="1" t="str">
        <f aca="false">DEC2HEX(C1172*7)</f>
        <v>0</v>
      </c>
      <c r="H1172" s="1" t="n">
        <f aca="false">IF(D1172=0, 33, "cc")</f>
        <v>33</v>
      </c>
    </row>
    <row r="1173" customFormat="false" ht="18.65" hidden="false" customHeight="true" outlineLevel="0" collapsed="false">
      <c r="A1173" s="1" t="n">
        <f aca="false">ROW()-2</f>
        <v>1171</v>
      </c>
      <c r="B1173" s="1" t="n">
        <f aca="false">INT(A1173/$N$1)</f>
        <v>65</v>
      </c>
      <c r="C1173" s="1" t="n">
        <f aca="false">INT(MOD(A1173,$N$1) / 2)</f>
        <v>0</v>
      </c>
      <c r="D1173" s="1" t="n">
        <f aca="false">_xlfn.BITAND(A1173,1)</f>
        <v>1</v>
      </c>
      <c r="F1173" s="1" t="str">
        <f aca="false">DEC2HEX(B1173*$N$3*18)</f>
        <v>12480</v>
      </c>
      <c r="G1173" s="1" t="str">
        <f aca="false">DEC2HEX(C1173*7)</f>
        <v>0</v>
      </c>
      <c r="H1173" s="1" t="str">
        <f aca="false">IF(D1173=0, 33, "cc")</f>
        <v>cc</v>
      </c>
    </row>
    <row r="1174" customFormat="false" ht="18.65" hidden="false" customHeight="true" outlineLevel="0" collapsed="false">
      <c r="A1174" s="1" t="n">
        <f aca="false">ROW()-2</f>
        <v>1172</v>
      </c>
      <c r="B1174" s="1" t="n">
        <f aca="false">INT(A1174/$N$1)</f>
        <v>65</v>
      </c>
      <c r="C1174" s="1" t="n">
        <f aca="false">INT(MOD(A1174,$N$1) / 2)</f>
        <v>1</v>
      </c>
      <c r="D1174" s="1" t="n">
        <f aca="false">_xlfn.BITAND(A1174,1)</f>
        <v>0</v>
      </c>
      <c r="F1174" s="1" t="str">
        <f aca="false">DEC2HEX(B1174*$N$3*18)</f>
        <v>12480</v>
      </c>
      <c r="G1174" s="1" t="str">
        <f aca="false">DEC2HEX(C1174*7)</f>
        <v>7</v>
      </c>
      <c r="H1174" s="1" t="n">
        <f aca="false">IF(D1174=0, 33, "cc")</f>
        <v>33</v>
      </c>
    </row>
    <row r="1175" customFormat="false" ht="18.65" hidden="false" customHeight="true" outlineLevel="0" collapsed="false">
      <c r="A1175" s="1" t="n">
        <f aca="false">ROW()-2</f>
        <v>1173</v>
      </c>
      <c r="B1175" s="1" t="n">
        <f aca="false">INT(A1175/$N$1)</f>
        <v>65</v>
      </c>
      <c r="C1175" s="1" t="n">
        <f aca="false">INT(MOD(A1175,$N$1) / 2)</f>
        <v>1</v>
      </c>
      <c r="D1175" s="1" t="n">
        <f aca="false">_xlfn.BITAND(A1175,1)</f>
        <v>1</v>
      </c>
      <c r="F1175" s="1" t="str">
        <f aca="false">DEC2HEX(B1175*$N$3*18)</f>
        <v>12480</v>
      </c>
      <c r="G1175" s="1" t="str">
        <f aca="false">DEC2HEX(C1175*7)</f>
        <v>7</v>
      </c>
      <c r="H1175" s="1" t="str">
        <f aca="false">IF(D1175=0, 33, "cc")</f>
        <v>cc</v>
      </c>
    </row>
    <row r="1176" customFormat="false" ht="18.65" hidden="false" customHeight="true" outlineLevel="0" collapsed="false">
      <c r="A1176" s="1" t="n">
        <f aca="false">ROW()-2</f>
        <v>1174</v>
      </c>
      <c r="B1176" s="1" t="n">
        <f aca="false">INT(A1176/$N$1)</f>
        <v>65</v>
      </c>
      <c r="C1176" s="1" t="n">
        <f aca="false">INT(MOD(A1176,$N$1) / 2)</f>
        <v>2</v>
      </c>
      <c r="D1176" s="1" t="n">
        <f aca="false">_xlfn.BITAND(A1176,1)</f>
        <v>0</v>
      </c>
      <c r="F1176" s="1" t="str">
        <f aca="false">DEC2HEX(B1176*$N$3*18)</f>
        <v>12480</v>
      </c>
      <c r="G1176" s="1" t="str">
        <f aca="false">DEC2HEX(C1176*7)</f>
        <v>E</v>
      </c>
      <c r="H1176" s="1" t="n">
        <f aca="false">IF(D1176=0, 33, "cc")</f>
        <v>33</v>
      </c>
    </row>
    <row r="1177" customFormat="false" ht="18.65" hidden="false" customHeight="true" outlineLevel="0" collapsed="false">
      <c r="A1177" s="1" t="n">
        <f aca="false">ROW()-2</f>
        <v>1175</v>
      </c>
      <c r="B1177" s="1" t="n">
        <f aca="false">INT(A1177/$N$1)</f>
        <v>65</v>
      </c>
      <c r="C1177" s="1" t="n">
        <f aca="false">INT(MOD(A1177,$N$1) / 2)</f>
        <v>2</v>
      </c>
      <c r="D1177" s="1" t="n">
        <f aca="false">_xlfn.BITAND(A1177,1)</f>
        <v>1</v>
      </c>
      <c r="F1177" s="1" t="str">
        <f aca="false">DEC2HEX(B1177*$N$3*18)</f>
        <v>12480</v>
      </c>
      <c r="G1177" s="1" t="str">
        <f aca="false">DEC2HEX(C1177*7)</f>
        <v>E</v>
      </c>
      <c r="H1177" s="1" t="str">
        <f aca="false">IF(D1177=0, 33, "cc")</f>
        <v>cc</v>
      </c>
    </row>
    <row r="1178" customFormat="false" ht="18.65" hidden="false" customHeight="true" outlineLevel="0" collapsed="false">
      <c r="A1178" s="1" t="n">
        <f aca="false">ROW()-2</f>
        <v>1176</v>
      </c>
      <c r="B1178" s="1" t="n">
        <f aca="false">INT(A1178/$N$1)</f>
        <v>65</v>
      </c>
      <c r="C1178" s="1" t="n">
        <f aca="false">INT(MOD(A1178,$N$1) / 2)</f>
        <v>3</v>
      </c>
      <c r="D1178" s="1" t="n">
        <f aca="false">_xlfn.BITAND(A1178,1)</f>
        <v>0</v>
      </c>
      <c r="F1178" s="1" t="str">
        <f aca="false">DEC2HEX(B1178*$N$3*18)</f>
        <v>12480</v>
      </c>
      <c r="G1178" s="1" t="str">
        <f aca="false">DEC2HEX(C1178*7)</f>
        <v>15</v>
      </c>
      <c r="H1178" s="1" t="n">
        <f aca="false">IF(D1178=0, 33, "cc")</f>
        <v>33</v>
      </c>
    </row>
    <row r="1179" customFormat="false" ht="18.65" hidden="false" customHeight="true" outlineLevel="0" collapsed="false">
      <c r="A1179" s="1" t="n">
        <f aca="false">ROW()-2</f>
        <v>1177</v>
      </c>
      <c r="B1179" s="1" t="n">
        <f aca="false">INT(A1179/$N$1)</f>
        <v>65</v>
      </c>
      <c r="C1179" s="1" t="n">
        <f aca="false">INT(MOD(A1179,$N$1) / 2)</f>
        <v>3</v>
      </c>
      <c r="D1179" s="1" t="n">
        <f aca="false">_xlfn.BITAND(A1179,1)</f>
        <v>1</v>
      </c>
      <c r="F1179" s="1" t="str">
        <f aca="false">DEC2HEX(B1179*$N$3*18)</f>
        <v>12480</v>
      </c>
      <c r="G1179" s="1" t="str">
        <f aca="false">DEC2HEX(C1179*7)</f>
        <v>15</v>
      </c>
      <c r="H1179" s="1" t="str">
        <f aca="false">IF(D1179=0, 33, "cc")</f>
        <v>cc</v>
      </c>
    </row>
    <row r="1180" customFormat="false" ht="18.65" hidden="false" customHeight="true" outlineLevel="0" collapsed="false">
      <c r="A1180" s="1" t="n">
        <f aca="false">ROW()-2</f>
        <v>1178</v>
      </c>
      <c r="B1180" s="1" t="n">
        <f aca="false">INT(A1180/$N$1)</f>
        <v>65</v>
      </c>
      <c r="C1180" s="1" t="n">
        <f aca="false">INT(MOD(A1180,$N$1) / 2)</f>
        <v>4</v>
      </c>
      <c r="D1180" s="1" t="n">
        <f aca="false">_xlfn.BITAND(A1180,1)</f>
        <v>0</v>
      </c>
      <c r="F1180" s="1" t="str">
        <f aca="false">DEC2HEX(B1180*$N$3*18)</f>
        <v>12480</v>
      </c>
      <c r="G1180" s="1" t="str">
        <f aca="false">DEC2HEX(C1180*7)</f>
        <v>1C</v>
      </c>
      <c r="H1180" s="1" t="n">
        <f aca="false">IF(D1180=0, 33, "cc")</f>
        <v>33</v>
      </c>
    </row>
    <row r="1181" customFormat="false" ht="18.65" hidden="false" customHeight="true" outlineLevel="0" collapsed="false">
      <c r="A1181" s="1" t="n">
        <f aca="false">ROW()-2</f>
        <v>1179</v>
      </c>
      <c r="B1181" s="1" t="n">
        <f aca="false">INT(A1181/$N$1)</f>
        <v>65</v>
      </c>
      <c r="C1181" s="1" t="n">
        <f aca="false">INT(MOD(A1181,$N$1) / 2)</f>
        <v>4</v>
      </c>
      <c r="D1181" s="1" t="n">
        <f aca="false">_xlfn.BITAND(A1181,1)</f>
        <v>1</v>
      </c>
      <c r="F1181" s="1" t="str">
        <f aca="false">DEC2HEX(B1181*$N$3*18)</f>
        <v>12480</v>
      </c>
      <c r="G1181" s="1" t="str">
        <f aca="false">DEC2HEX(C1181*7)</f>
        <v>1C</v>
      </c>
      <c r="H1181" s="1" t="str">
        <f aca="false">IF(D1181=0, 33, "cc")</f>
        <v>cc</v>
      </c>
    </row>
    <row r="1182" customFormat="false" ht="18.65" hidden="false" customHeight="true" outlineLevel="0" collapsed="false">
      <c r="A1182" s="1" t="n">
        <f aca="false">ROW()-2</f>
        <v>1180</v>
      </c>
      <c r="B1182" s="1" t="n">
        <f aca="false">INT(A1182/$N$1)</f>
        <v>65</v>
      </c>
      <c r="C1182" s="1" t="n">
        <f aca="false">INT(MOD(A1182,$N$1) / 2)</f>
        <v>5</v>
      </c>
      <c r="D1182" s="1" t="n">
        <f aca="false">_xlfn.BITAND(A1182,1)</f>
        <v>0</v>
      </c>
      <c r="F1182" s="1" t="str">
        <f aca="false">DEC2HEX(B1182*$N$3*18)</f>
        <v>12480</v>
      </c>
      <c r="G1182" s="1" t="str">
        <f aca="false">DEC2HEX(C1182*7)</f>
        <v>23</v>
      </c>
      <c r="H1182" s="1" t="n">
        <f aca="false">IF(D1182=0, 33, "cc")</f>
        <v>33</v>
      </c>
    </row>
    <row r="1183" customFormat="false" ht="18.65" hidden="false" customHeight="true" outlineLevel="0" collapsed="false">
      <c r="A1183" s="1" t="n">
        <f aca="false">ROW()-2</f>
        <v>1181</v>
      </c>
      <c r="B1183" s="1" t="n">
        <f aca="false">INT(A1183/$N$1)</f>
        <v>65</v>
      </c>
      <c r="C1183" s="1" t="n">
        <f aca="false">INT(MOD(A1183,$N$1) / 2)</f>
        <v>5</v>
      </c>
      <c r="D1183" s="1" t="n">
        <f aca="false">_xlfn.BITAND(A1183,1)</f>
        <v>1</v>
      </c>
      <c r="F1183" s="1" t="str">
        <f aca="false">DEC2HEX(B1183*$N$3*18)</f>
        <v>12480</v>
      </c>
      <c r="G1183" s="1" t="str">
        <f aca="false">DEC2HEX(C1183*7)</f>
        <v>23</v>
      </c>
      <c r="H1183" s="1" t="str">
        <f aca="false">IF(D1183=0, 33, "cc")</f>
        <v>cc</v>
      </c>
    </row>
    <row r="1184" customFormat="false" ht="18.65" hidden="false" customHeight="true" outlineLevel="0" collapsed="false">
      <c r="A1184" s="1" t="n">
        <f aca="false">ROW()-2</f>
        <v>1182</v>
      </c>
      <c r="B1184" s="1" t="n">
        <f aca="false">INT(A1184/$N$1)</f>
        <v>65</v>
      </c>
      <c r="C1184" s="1" t="n">
        <f aca="false">INT(MOD(A1184,$N$1) / 2)</f>
        <v>6</v>
      </c>
      <c r="D1184" s="1" t="n">
        <f aca="false">_xlfn.BITAND(A1184,1)</f>
        <v>0</v>
      </c>
      <c r="F1184" s="1" t="str">
        <f aca="false">DEC2HEX(B1184*$N$3*18)</f>
        <v>12480</v>
      </c>
      <c r="G1184" s="1" t="str">
        <f aca="false">DEC2HEX(C1184*7)</f>
        <v>2A</v>
      </c>
      <c r="H1184" s="1" t="n">
        <f aca="false">IF(D1184=0, 33, "cc")</f>
        <v>33</v>
      </c>
    </row>
    <row r="1185" customFormat="false" ht="18.65" hidden="false" customHeight="true" outlineLevel="0" collapsed="false">
      <c r="A1185" s="1" t="n">
        <f aca="false">ROW()-2</f>
        <v>1183</v>
      </c>
      <c r="B1185" s="1" t="n">
        <f aca="false">INT(A1185/$N$1)</f>
        <v>65</v>
      </c>
      <c r="C1185" s="1" t="n">
        <f aca="false">INT(MOD(A1185,$N$1) / 2)</f>
        <v>6</v>
      </c>
      <c r="D1185" s="1" t="n">
        <f aca="false">_xlfn.BITAND(A1185,1)</f>
        <v>1</v>
      </c>
      <c r="F1185" s="1" t="str">
        <f aca="false">DEC2HEX(B1185*$N$3*18)</f>
        <v>12480</v>
      </c>
      <c r="G1185" s="1" t="str">
        <f aca="false">DEC2HEX(C1185*7)</f>
        <v>2A</v>
      </c>
      <c r="H1185" s="1" t="str">
        <f aca="false">IF(D1185=0, 33, "cc")</f>
        <v>cc</v>
      </c>
    </row>
    <row r="1186" customFormat="false" ht="18.65" hidden="false" customHeight="true" outlineLevel="0" collapsed="false">
      <c r="A1186" s="1" t="n">
        <f aca="false">ROW()-2</f>
        <v>1184</v>
      </c>
      <c r="B1186" s="1" t="n">
        <f aca="false">INT(A1186/$N$1)</f>
        <v>65</v>
      </c>
      <c r="C1186" s="1" t="n">
        <f aca="false">INT(MOD(A1186,$N$1) / 2)</f>
        <v>7</v>
      </c>
      <c r="D1186" s="1" t="n">
        <f aca="false">_xlfn.BITAND(A1186,1)</f>
        <v>0</v>
      </c>
      <c r="F1186" s="1" t="str">
        <f aca="false">DEC2HEX(B1186*$N$3*18)</f>
        <v>12480</v>
      </c>
      <c r="G1186" s="1" t="str">
        <f aca="false">DEC2HEX(C1186*7)</f>
        <v>31</v>
      </c>
      <c r="H1186" s="1" t="n">
        <f aca="false">IF(D1186=0, 33, "cc")</f>
        <v>33</v>
      </c>
    </row>
    <row r="1187" customFormat="false" ht="18.65" hidden="false" customHeight="true" outlineLevel="0" collapsed="false">
      <c r="A1187" s="1" t="n">
        <f aca="false">ROW()-2</f>
        <v>1185</v>
      </c>
      <c r="B1187" s="1" t="n">
        <f aca="false">INT(A1187/$N$1)</f>
        <v>65</v>
      </c>
      <c r="C1187" s="1" t="n">
        <f aca="false">INT(MOD(A1187,$N$1) / 2)</f>
        <v>7</v>
      </c>
      <c r="D1187" s="1" t="n">
        <f aca="false">_xlfn.BITAND(A1187,1)</f>
        <v>1</v>
      </c>
      <c r="F1187" s="1" t="str">
        <f aca="false">DEC2HEX(B1187*$N$3*18)</f>
        <v>12480</v>
      </c>
      <c r="G1187" s="1" t="str">
        <f aca="false">DEC2HEX(C1187*7)</f>
        <v>31</v>
      </c>
      <c r="H1187" s="1" t="str">
        <f aca="false">IF(D1187=0, 33, "cc")</f>
        <v>cc</v>
      </c>
    </row>
    <row r="1188" customFormat="false" ht="18.65" hidden="false" customHeight="true" outlineLevel="0" collapsed="false">
      <c r="A1188" s="1" t="n">
        <f aca="false">ROW()-2</f>
        <v>1186</v>
      </c>
      <c r="B1188" s="1" t="n">
        <f aca="false">INT(A1188/$N$1)</f>
        <v>65</v>
      </c>
      <c r="C1188" s="1" t="n">
        <f aca="false">INT(MOD(A1188,$N$1) / 2)</f>
        <v>8</v>
      </c>
      <c r="D1188" s="1" t="n">
        <f aca="false">_xlfn.BITAND(A1188,1)</f>
        <v>0</v>
      </c>
      <c r="F1188" s="1" t="str">
        <f aca="false">DEC2HEX(B1188*$N$3*18)</f>
        <v>12480</v>
      </c>
      <c r="G1188" s="1" t="str">
        <f aca="false">DEC2HEX(C1188*7)</f>
        <v>38</v>
      </c>
      <c r="H1188" s="1" t="n">
        <f aca="false">IF(D1188=0, 33, "cc")</f>
        <v>33</v>
      </c>
    </row>
    <row r="1189" customFormat="false" ht="18.65" hidden="false" customHeight="true" outlineLevel="0" collapsed="false">
      <c r="A1189" s="1" t="n">
        <f aca="false">ROW()-2</f>
        <v>1187</v>
      </c>
      <c r="B1189" s="1" t="n">
        <f aca="false">INT(A1189/$N$1)</f>
        <v>65</v>
      </c>
      <c r="C1189" s="1" t="n">
        <f aca="false">INT(MOD(A1189,$N$1) / 2)</f>
        <v>8</v>
      </c>
      <c r="D1189" s="1" t="n">
        <f aca="false">_xlfn.BITAND(A1189,1)</f>
        <v>1</v>
      </c>
      <c r="F1189" s="1" t="str">
        <f aca="false">DEC2HEX(B1189*$N$3*18)</f>
        <v>12480</v>
      </c>
      <c r="G1189" s="1" t="str">
        <f aca="false">DEC2HEX(C1189*7)</f>
        <v>38</v>
      </c>
      <c r="H1189" s="1" t="str">
        <f aca="false">IF(D1189=0, 33, "cc")</f>
        <v>cc</v>
      </c>
    </row>
    <row r="1190" customFormat="false" ht="18.65" hidden="false" customHeight="true" outlineLevel="0" collapsed="false">
      <c r="A1190" s="1" t="n">
        <f aca="false">ROW()-2</f>
        <v>1188</v>
      </c>
      <c r="B1190" s="1" t="n">
        <f aca="false">INT(A1190/$N$1)</f>
        <v>66</v>
      </c>
      <c r="C1190" s="1" t="n">
        <f aca="false">INT(MOD(A1190,$N$1) / 2)</f>
        <v>0</v>
      </c>
      <c r="D1190" s="1" t="n">
        <f aca="false">_xlfn.BITAND(A1190,1)</f>
        <v>0</v>
      </c>
      <c r="F1190" s="1" t="str">
        <f aca="false">DEC2HEX(B1190*$N$3*18)</f>
        <v>12900</v>
      </c>
      <c r="G1190" s="1" t="str">
        <f aca="false">DEC2HEX(C1190*7)</f>
        <v>0</v>
      </c>
      <c r="H1190" s="1" t="n">
        <f aca="false">IF(D1190=0, 33, "cc")</f>
        <v>33</v>
      </c>
    </row>
    <row r="1191" customFormat="false" ht="18.65" hidden="false" customHeight="true" outlineLevel="0" collapsed="false">
      <c r="A1191" s="1" t="n">
        <f aca="false">ROW()-2</f>
        <v>1189</v>
      </c>
      <c r="B1191" s="1" t="n">
        <f aca="false">INT(A1191/$N$1)</f>
        <v>66</v>
      </c>
      <c r="C1191" s="1" t="n">
        <f aca="false">INT(MOD(A1191,$N$1) / 2)</f>
        <v>0</v>
      </c>
      <c r="D1191" s="1" t="n">
        <f aca="false">_xlfn.BITAND(A1191,1)</f>
        <v>1</v>
      </c>
      <c r="F1191" s="1" t="str">
        <f aca="false">DEC2HEX(B1191*$N$3*18)</f>
        <v>12900</v>
      </c>
      <c r="G1191" s="1" t="str">
        <f aca="false">DEC2HEX(C1191*7)</f>
        <v>0</v>
      </c>
      <c r="H1191" s="1" t="str">
        <f aca="false">IF(D1191=0, 33, "cc")</f>
        <v>cc</v>
      </c>
    </row>
    <row r="1192" customFormat="false" ht="18.65" hidden="false" customHeight="true" outlineLevel="0" collapsed="false">
      <c r="A1192" s="1" t="n">
        <f aca="false">ROW()-2</f>
        <v>1190</v>
      </c>
      <c r="B1192" s="1" t="n">
        <f aca="false">INT(A1192/$N$1)</f>
        <v>66</v>
      </c>
      <c r="C1192" s="1" t="n">
        <f aca="false">INT(MOD(A1192,$N$1) / 2)</f>
        <v>1</v>
      </c>
      <c r="D1192" s="1" t="n">
        <f aca="false">_xlfn.BITAND(A1192,1)</f>
        <v>0</v>
      </c>
      <c r="F1192" s="1" t="str">
        <f aca="false">DEC2HEX(B1192*$N$3*18)</f>
        <v>12900</v>
      </c>
      <c r="G1192" s="1" t="str">
        <f aca="false">DEC2HEX(C1192*7)</f>
        <v>7</v>
      </c>
      <c r="H1192" s="1" t="n">
        <f aca="false">IF(D1192=0, 33, "cc")</f>
        <v>33</v>
      </c>
    </row>
    <row r="1193" customFormat="false" ht="18.65" hidden="false" customHeight="true" outlineLevel="0" collapsed="false">
      <c r="A1193" s="1" t="n">
        <f aca="false">ROW()-2</f>
        <v>1191</v>
      </c>
      <c r="B1193" s="1" t="n">
        <f aca="false">INT(A1193/$N$1)</f>
        <v>66</v>
      </c>
      <c r="C1193" s="1" t="n">
        <f aca="false">INT(MOD(A1193,$N$1) / 2)</f>
        <v>1</v>
      </c>
      <c r="D1193" s="1" t="n">
        <f aca="false">_xlfn.BITAND(A1193,1)</f>
        <v>1</v>
      </c>
      <c r="F1193" s="1" t="str">
        <f aca="false">DEC2HEX(B1193*$N$3*18)</f>
        <v>12900</v>
      </c>
      <c r="G1193" s="1" t="str">
        <f aca="false">DEC2HEX(C1193*7)</f>
        <v>7</v>
      </c>
      <c r="H1193" s="1" t="str">
        <f aca="false">IF(D1193=0, 33, "cc")</f>
        <v>cc</v>
      </c>
    </row>
    <row r="1194" customFormat="false" ht="18.65" hidden="false" customHeight="true" outlineLevel="0" collapsed="false">
      <c r="A1194" s="1" t="n">
        <f aca="false">ROW()-2</f>
        <v>1192</v>
      </c>
      <c r="B1194" s="1" t="n">
        <f aca="false">INT(A1194/$N$1)</f>
        <v>66</v>
      </c>
      <c r="C1194" s="1" t="n">
        <f aca="false">INT(MOD(A1194,$N$1) / 2)</f>
        <v>2</v>
      </c>
      <c r="D1194" s="1" t="n">
        <f aca="false">_xlfn.BITAND(A1194,1)</f>
        <v>0</v>
      </c>
      <c r="F1194" s="1" t="str">
        <f aca="false">DEC2HEX(B1194*$N$3*18)</f>
        <v>12900</v>
      </c>
      <c r="G1194" s="1" t="str">
        <f aca="false">DEC2HEX(C1194*7)</f>
        <v>E</v>
      </c>
      <c r="H1194" s="1" t="n">
        <f aca="false">IF(D1194=0, 33, "cc")</f>
        <v>33</v>
      </c>
    </row>
    <row r="1195" customFormat="false" ht="18.65" hidden="false" customHeight="true" outlineLevel="0" collapsed="false">
      <c r="A1195" s="1" t="n">
        <f aca="false">ROW()-2</f>
        <v>1193</v>
      </c>
      <c r="B1195" s="1" t="n">
        <f aca="false">INT(A1195/$N$1)</f>
        <v>66</v>
      </c>
      <c r="C1195" s="1" t="n">
        <f aca="false">INT(MOD(A1195,$N$1) / 2)</f>
        <v>2</v>
      </c>
      <c r="D1195" s="1" t="n">
        <f aca="false">_xlfn.BITAND(A1195,1)</f>
        <v>1</v>
      </c>
      <c r="F1195" s="1" t="str">
        <f aca="false">DEC2HEX(B1195*$N$3*18)</f>
        <v>12900</v>
      </c>
      <c r="G1195" s="1" t="str">
        <f aca="false">DEC2HEX(C1195*7)</f>
        <v>E</v>
      </c>
      <c r="H1195" s="1" t="str">
        <f aca="false">IF(D1195=0, 33, "cc")</f>
        <v>cc</v>
      </c>
    </row>
    <row r="1196" customFormat="false" ht="18.65" hidden="false" customHeight="true" outlineLevel="0" collapsed="false">
      <c r="A1196" s="1" t="n">
        <f aca="false">ROW()-2</f>
        <v>1194</v>
      </c>
      <c r="B1196" s="1" t="n">
        <f aca="false">INT(A1196/$N$1)</f>
        <v>66</v>
      </c>
      <c r="C1196" s="1" t="n">
        <f aca="false">INT(MOD(A1196,$N$1) / 2)</f>
        <v>3</v>
      </c>
      <c r="D1196" s="1" t="n">
        <f aca="false">_xlfn.BITAND(A1196,1)</f>
        <v>0</v>
      </c>
      <c r="F1196" s="1" t="str">
        <f aca="false">DEC2HEX(B1196*$N$3*18)</f>
        <v>12900</v>
      </c>
      <c r="G1196" s="1" t="str">
        <f aca="false">DEC2HEX(C1196*7)</f>
        <v>15</v>
      </c>
      <c r="H1196" s="1" t="n">
        <f aca="false">IF(D1196=0, 33, "cc")</f>
        <v>33</v>
      </c>
    </row>
    <row r="1197" customFormat="false" ht="18.65" hidden="false" customHeight="true" outlineLevel="0" collapsed="false">
      <c r="A1197" s="1" t="n">
        <f aca="false">ROW()-2</f>
        <v>1195</v>
      </c>
      <c r="B1197" s="1" t="n">
        <f aca="false">INT(A1197/$N$1)</f>
        <v>66</v>
      </c>
      <c r="C1197" s="1" t="n">
        <f aca="false">INT(MOD(A1197,$N$1) / 2)</f>
        <v>3</v>
      </c>
      <c r="D1197" s="1" t="n">
        <f aca="false">_xlfn.BITAND(A1197,1)</f>
        <v>1</v>
      </c>
      <c r="F1197" s="1" t="str">
        <f aca="false">DEC2HEX(B1197*$N$3*18)</f>
        <v>12900</v>
      </c>
      <c r="G1197" s="1" t="str">
        <f aca="false">DEC2HEX(C1197*7)</f>
        <v>15</v>
      </c>
      <c r="H1197" s="1" t="str">
        <f aca="false">IF(D1197=0, 33, "cc")</f>
        <v>cc</v>
      </c>
    </row>
    <row r="1198" customFormat="false" ht="18.65" hidden="false" customHeight="true" outlineLevel="0" collapsed="false">
      <c r="A1198" s="1" t="n">
        <f aca="false">ROW()-2</f>
        <v>1196</v>
      </c>
      <c r="B1198" s="1" t="n">
        <f aca="false">INT(A1198/$N$1)</f>
        <v>66</v>
      </c>
      <c r="C1198" s="1" t="n">
        <f aca="false">INT(MOD(A1198,$N$1) / 2)</f>
        <v>4</v>
      </c>
      <c r="D1198" s="1" t="n">
        <f aca="false">_xlfn.BITAND(A1198,1)</f>
        <v>0</v>
      </c>
      <c r="F1198" s="1" t="str">
        <f aca="false">DEC2HEX(B1198*$N$3*18)</f>
        <v>12900</v>
      </c>
      <c r="G1198" s="1" t="str">
        <f aca="false">DEC2HEX(C1198*7)</f>
        <v>1C</v>
      </c>
      <c r="H1198" s="1" t="n">
        <f aca="false">IF(D1198=0, 33, "cc")</f>
        <v>33</v>
      </c>
    </row>
    <row r="1199" customFormat="false" ht="18.65" hidden="false" customHeight="true" outlineLevel="0" collapsed="false">
      <c r="A1199" s="1" t="n">
        <f aca="false">ROW()-2</f>
        <v>1197</v>
      </c>
      <c r="B1199" s="1" t="n">
        <f aca="false">INT(A1199/$N$1)</f>
        <v>66</v>
      </c>
      <c r="C1199" s="1" t="n">
        <f aca="false">INT(MOD(A1199,$N$1) / 2)</f>
        <v>4</v>
      </c>
      <c r="D1199" s="1" t="n">
        <f aca="false">_xlfn.BITAND(A1199,1)</f>
        <v>1</v>
      </c>
      <c r="F1199" s="1" t="str">
        <f aca="false">DEC2HEX(B1199*$N$3*18)</f>
        <v>12900</v>
      </c>
      <c r="G1199" s="1" t="str">
        <f aca="false">DEC2HEX(C1199*7)</f>
        <v>1C</v>
      </c>
      <c r="H1199" s="1" t="str">
        <f aca="false">IF(D1199=0, 33, "cc")</f>
        <v>cc</v>
      </c>
    </row>
    <row r="1200" customFormat="false" ht="18.65" hidden="false" customHeight="true" outlineLevel="0" collapsed="false">
      <c r="A1200" s="1" t="n">
        <f aca="false">ROW()-2</f>
        <v>1198</v>
      </c>
      <c r="B1200" s="1" t="n">
        <f aca="false">INT(A1200/$N$1)</f>
        <v>66</v>
      </c>
      <c r="C1200" s="1" t="n">
        <f aca="false">INT(MOD(A1200,$N$1) / 2)</f>
        <v>5</v>
      </c>
      <c r="D1200" s="1" t="n">
        <f aca="false">_xlfn.BITAND(A1200,1)</f>
        <v>0</v>
      </c>
      <c r="F1200" s="1" t="str">
        <f aca="false">DEC2HEX(B1200*$N$3*18)</f>
        <v>12900</v>
      </c>
      <c r="G1200" s="1" t="str">
        <f aca="false">DEC2HEX(C1200*7)</f>
        <v>23</v>
      </c>
      <c r="H1200" s="1" t="n">
        <f aca="false">IF(D1200=0, 33, "cc")</f>
        <v>33</v>
      </c>
    </row>
    <row r="1201" customFormat="false" ht="18.65" hidden="false" customHeight="true" outlineLevel="0" collapsed="false">
      <c r="A1201" s="1" t="n">
        <f aca="false">ROW()-2</f>
        <v>1199</v>
      </c>
      <c r="B1201" s="1" t="n">
        <f aca="false">INT(A1201/$N$1)</f>
        <v>66</v>
      </c>
      <c r="C1201" s="1" t="n">
        <f aca="false">INT(MOD(A1201,$N$1) / 2)</f>
        <v>5</v>
      </c>
      <c r="D1201" s="1" t="n">
        <f aca="false">_xlfn.BITAND(A1201,1)</f>
        <v>1</v>
      </c>
      <c r="F1201" s="1" t="str">
        <f aca="false">DEC2HEX(B1201*$N$3*18)</f>
        <v>12900</v>
      </c>
      <c r="G1201" s="1" t="str">
        <f aca="false">DEC2HEX(C1201*7)</f>
        <v>23</v>
      </c>
      <c r="H1201" s="1" t="str">
        <f aca="false">IF(D1201=0, 33, "cc")</f>
        <v>cc</v>
      </c>
    </row>
    <row r="1202" customFormat="false" ht="18.65" hidden="false" customHeight="true" outlineLevel="0" collapsed="false">
      <c r="A1202" s="1" t="n">
        <f aca="false">ROW()-2</f>
        <v>1200</v>
      </c>
      <c r="B1202" s="1" t="n">
        <f aca="false">INT(A1202/$N$1)</f>
        <v>66</v>
      </c>
      <c r="C1202" s="1" t="n">
        <f aca="false">INT(MOD(A1202,$N$1) / 2)</f>
        <v>6</v>
      </c>
      <c r="D1202" s="1" t="n">
        <f aca="false">_xlfn.BITAND(A1202,1)</f>
        <v>0</v>
      </c>
      <c r="F1202" s="1" t="str">
        <f aca="false">DEC2HEX(B1202*$N$3*18)</f>
        <v>12900</v>
      </c>
      <c r="G1202" s="1" t="str">
        <f aca="false">DEC2HEX(C1202*7)</f>
        <v>2A</v>
      </c>
      <c r="H1202" s="1" t="n">
        <f aca="false">IF(D1202=0, 33, "cc")</f>
        <v>33</v>
      </c>
    </row>
    <row r="1203" customFormat="false" ht="18.65" hidden="false" customHeight="true" outlineLevel="0" collapsed="false">
      <c r="A1203" s="1" t="n">
        <f aca="false">ROW()-2</f>
        <v>1201</v>
      </c>
      <c r="B1203" s="1" t="n">
        <f aca="false">INT(A1203/$N$1)</f>
        <v>66</v>
      </c>
      <c r="C1203" s="1" t="n">
        <f aca="false">INT(MOD(A1203,$N$1) / 2)</f>
        <v>6</v>
      </c>
      <c r="D1203" s="1" t="n">
        <f aca="false">_xlfn.BITAND(A1203,1)</f>
        <v>1</v>
      </c>
      <c r="F1203" s="1" t="str">
        <f aca="false">DEC2HEX(B1203*$N$3*18)</f>
        <v>12900</v>
      </c>
      <c r="G1203" s="1" t="str">
        <f aca="false">DEC2HEX(C1203*7)</f>
        <v>2A</v>
      </c>
      <c r="H1203" s="1" t="str">
        <f aca="false">IF(D1203=0, 33, "cc")</f>
        <v>cc</v>
      </c>
    </row>
    <row r="1204" customFormat="false" ht="18.65" hidden="false" customHeight="true" outlineLevel="0" collapsed="false">
      <c r="A1204" s="1" t="n">
        <f aca="false">ROW()-2</f>
        <v>1202</v>
      </c>
      <c r="B1204" s="1" t="n">
        <f aca="false">INT(A1204/$N$1)</f>
        <v>66</v>
      </c>
      <c r="C1204" s="1" t="n">
        <f aca="false">INT(MOD(A1204,$N$1) / 2)</f>
        <v>7</v>
      </c>
      <c r="D1204" s="1" t="n">
        <f aca="false">_xlfn.BITAND(A1204,1)</f>
        <v>0</v>
      </c>
      <c r="F1204" s="1" t="str">
        <f aca="false">DEC2HEX(B1204*$N$3*18)</f>
        <v>12900</v>
      </c>
      <c r="G1204" s="1" t="str">
        <f aca="false">DEC2HEX(C1204*7)</f>
        <v>31</v>
      </c>
      <c r="H1204" s="1" t="n">
        <f aca="false">IF(D1204=0, 33, "cc")</f>
        <v>33</v>
      </c>
    </row>
    <row r="1205" customFormat="false" ht="18.65" hidden="false" customHeight="true" outlineLevel="0" collapsed="false">
      <c r="A1205" s="1" t="n">
        <f aca="false">ROW()-2</f>
        <v>1203</v>
      </c>
      <c r="B1205" s="1" t="n">
        <f aca="false">INT(A1205/$N$1)</f>
        <v>66</v>
      </c>
      <c r="C1205" s="1" t="n">
        <f aca="false">INT(MOD(A1205,$N$1) / 2)</f>
        <v>7</v>
      </c>
      <c r="D1205" s="1" t="n">
        <f aca="false">_xlfn.BITAND(A1205,1)</f>
        <v>1</v>
      </c>
      <c r="F1205" s="1" t="str">
        <f aca="false">DEC2HEX(B1205*$N$3*18)</f>
        <v>12900</v>
      </c>
      <c r="G1205" s="1" t="str">
        <f aca="false">DEC2HEX(C1205*7)</f>
        <v>31</v>
      </c>
      <c r="H1205" s="1" t="str">
        <f aca="false">IF(D1205=0, 33, "cc")</f>
        <v>cc</v>
      </c>
    </row>
    <row r="1206" customFormat="false" ht="18.65" hidden="false" customHeight="true" outlineLevel="0" collapsed="false">
      <c r="A1206" s="1" t="n">
        <f aca="false">ROW()-2</f>
        <v>1204</v>
      </c>
      <c r="B1206" s="1" t="n">
        <f aca="false">INT(A1206/$N$1)</f>
        <v>66</v>
      </c>
      <c r="C1206" s="1" t="n">
        <f aca="false">INT(MOD(A1206,$N$1) / 2)</f>
        <v>8</v>
      </c>
      <c r="D1206" s="1" t="n">
        <f aca="false">_xlfn.BITAND(A1206,1)</f>
        <v>0</v>
      </c>
      <c r="F1206" s="1" t="str">
        <f aca="false">DEC2HEX(B1206*$N$3*18)</f>
        <v>12900</v>
      </c>
      <c r="G1206" s="1" t="str">
        <f aca="false">DEC2HEX(C1206*7)</f>
        <v>38</v>
      </c>
      <c r="H1206" s="1" t="n">
        <f aca="false">IF(D1206=0, 33, "cc")</f>
        <v>33</v>
      </c>
    </row>
    <row r="1207" customFormat="false" ht="18.65" hidden="false" customHeight="true" outlineLevel="0" collapsed="false">
      <c r="A1207" s="1" t="n">
        <f aca="false">ROW()-2</f>
        <v>1205</v>
      </c>
      <c r="B1207" s="1" t="n">
        <f aca="false">INT(A1207/$N$1)</f>
        <v>66</v>
      </c>
      <c r="C1207" s="1" t="n">
        <f aca="false">INT(MOD(A1207,$N$1) / 2)</f>
        <v>8</v>
      </c>
      <c r="D1207" s="1" t="n">
        <f aca="false">_xlfn.BITAND(A1207,1)</f>
        <v>1</v>
      </c>
      <c r="F1207" s="1" t="str">
        <f aca="false">DEC2HEX(B1207*$N$3*18)</f>
        <v>12900</v>
      </c>
      <c r="G1207" s="1" t="str">
        <f aca="false">DEC2HEX(C1207*7)</f>
        <v>38</v>
      </c>
      <c r="H1207" s="1" t="str">
        <f aca="false">IF(D1207=0, 33, "cc")</f>
        <v>cc</v>
      </c>
    </row>
    <row r="1208" customFormat="false" ht="18.65" hidden="false" customHeight="true" outlineLevel="0" collapsed="false">
      <c r="A1208" s="1" t="n">
        <f aca="false">ROW()-2</f>
        <v>1206</v>
      </c>
      <c r="B1208" s="1" t="n">
        <f aca="false">INT(A1208/$N$1)</f>
        <v>67</v>
      </c>
      <c r="C1208" s="1" t="n">
        <f aca="false">INT(MOD(A1208,$N$1) / 2)</f>
        <v>0</v>
      </c>
      <c r="D1208" s="1" t="n">
        <f aca="false">_xlfn.BITAND(A1208,1)</f>
        <v>0</v>
      </c>
      <c r="F1208" s="1" t="str">
        <f aca="false">DEC2HEX(B1208*$N$3*18)</f>
        <v>12D80</v>
      </c>
      <c r="G1208" s="1" t="str">
        <f aca="false">DEC2HEX(C1208*7)</f>
        <v>0</v>
      </c>
      <c r="H1208" s="1" t="n">
        <f aca="false">IF(D1208=0, 33, "cc")</f>
        <v>33</v>
      </c>
    </row>
    <row r="1209" customFormat="false" ht="18.65" hidden="false" customHeight="true" outlineLevel="0" collapsed="false">
      <c r="A1209" s="1" t="n">
        <f aca="false">ROW()-2</f>
        <v>1207</v>
      </c>
      <c r="B1209" s="1" t="n">
        <f aca="false">INT(A1209/$N$1)</f>
        <v>67</v>
      </c>
      <c r="C1209" s="1" t="n">
        <f aca="false">INT(MOD(A1209,$N$1) / 2)</f>
        <v>0</v>
      </c>
      <c r="D1209" s="1" t="n">
        <f aca="false">_xlfn.BITAND(A1209,1)</f>
        <v>1</v>
      </c>
      <c r="F1209" s="1" t="str">
        <f aca="false">DEC2HEX(B1209*$N$3*18)</f>
        <v>12D80</v>
      </c>
      <c r="G1209" s="1" t="str">
        <f aca="false">DEC2HEX(C1209*7)</f>
        <v>0</v>
      </c>
      <c r="H1209" s="1" t="str">
        <f aca="false">IF(D1209=0, 33, "cc")</f>
        <v>cc</v>
      </c>
    </row>
    <row r="1210" customFormat="false" ht="18.65" hidden="false" customHeight="true" outlineLevel="0" collapsed="false">
      <c r="A1210" s="1" t="n">
        <f aca="false">ROW()-2</f>
        <v>1208</v>
      </c>
      <c r="B1210" s="1" t="n">
        <f aca="false">INT(A1210/$N$1)</f>
        <v>67</v>
      </c>
      <c r="C1210" s="1" t="n">
        <f aca="false">INT(MOD(A1210,$N$1) / 2)</f>
        <v>1</v>
      </c>
      <c r="D1210" s="1" t="n">
        <f aca="false">_xlfn.BITAND(A1210,1)</f>
        <v>0</v>
      </c>
      <c r="F1210" s="1" t="str">
        <f aca="false">DEC2HEX(B1210*$N$3*18)</f>
        <v>12D80</v>
      </c>
      <c r="G1210" s="1" t="str">
        <f aca="false">DEC2HEX(C1210*7)</f>
        <v>7</v>
      </c>
      <c r="H1210" s="1" t="n">
        <f aca="false">IF(D1210=0, 33, "cc")</f>
        <v>33</v>
      </c>
    </row>
    <row r="1211" customFormat="false" ht="18.65" hidden="false" customHeight="true" outlineLevel="0" collapsed="false">
      <c r="A1211" s="1" t="n">
        <f aca="false">ROW()-2</f>
        <v>1209</v>
      </c>
      <c r="B1211" s="1" t="n">
        <f aca="false">INT(A1211/$N$1)</f>
        <v>67</v>
      </c>
      <c r="C1211" s="1" t="n">
        <f aca="false">INT(MOD(A1211,$N$1) / 2)</f>
        <v>1</v>
      </c>
      <c r="D1211" s="1" t="n">
        <f aca="false">_xlfn.BITAND(A1211,1)</f>
        <v>1</v>
      </c>
      <c r="F1211" s="1" t="str">
        <f aca="false">DEC2HEX(B1211*$N$3*18)</f>
        <v>12D80</v>
      </c>
      <c r="G1211" s="1" t="str">
        <f aca="false">DEC2HEX(C1211*7)</f>
        <v>7</v>
      </c>
      <c r="H1211" s="1" t="str">
        <f aca="false">IF(D1211=0, 33, "cc")</f>
        <v>cc</v>
      </c>
    </row>
    <row r="1212" customFormat="false" ht="18.65" hidden="false" customHeight="true" outlineLevel="0" collapsed="false">
      <c r="A1212" s="1" t="n">
        <f aca="false">ROW()-2</f>
        <v>1210</v>
      </c>
      <c r="B1212" s="1" t="n">
        <f aca="false">INT(A1212/$N$1)</f>
        <v>67</v>
      </c>
      <c r="C1212" s="1" t="n">
        <f aca="false">INT(MOD(A1212,$N$1) / 2)</f>
        <v>2</v>
      </c>
      <c r="D1212" s="1" t="n">
        <f aca="false">_xlfn.BITAND(A1212,1)</f>
        <v>0</v>
      </c>
      <c r="F1212" s="1" t="str">
        <f aca="false">DEC2HEX(B1212*$N$3*18)</f>
        <v>12D80</v>
      </c>
      <c r="G1212" s="1" t="str">
        <f aca="false">DEC2HEX(C1212*7)</f>
        <v>E</v>
      </c>
      <c r="H1212" s="1" t="n">
        <f aca="false">IF(D1212=0, 33, "cc")</f>
        <v>33</v>
      </c>
    </row>
    <row r="1213" customFormat="false" ht="18.65" hidden="false" customHeight="true" outlineLevel="0" collapsed="false">
      <c r="A1213" s="1" t="n">
        <f aca="false">ROW()-2</f>
        <v>1211</v>
      </c>
      <c r="B1213" s="1" t="n">
        <f aca="false">INT(A1213/$N$1)</f>
        <v>67</v>
      </c>
      <c r="C1213" s="1" t="n">
        <f aca="false">INT(MOD(A1213,$N$1) / 2)</f>
        <v>2</v>
      </c>
      <c r="D1213" s="1" t="n">
        <f aca="false">_xlfn.BITAND(A1213,1)</f>
        <v>1</v>
      </c>
      <c r="F1213" s="1" t="str">
        <f aca="false">DEC2HEX(B1213*$N$3*18)</f>
        <v>12D80</v>
      </c>
      <c r="G1213" s="1" t="str">
        <f aca="false">DEC2HEX(C1213*7)</f>
        <v>E</v>
      </c>
      <c r="H1213" s="1" t="str">
        <f aca="false">IF(D1213=0, 33, "cc")</f>
        <v>cc</v>
      </c>
    </row>
    <row r="1214" customFormat="false" ht="18.65" hidden="false" customHeight="true" outlineLevel="0" collapsed="false">
      <c r="A1214" s="1" t="n">
        <f aca="false">ROW()-2</f>
        <v>1212</v>
      </c>
      <c r="B1214" s="1" t="n">
        <f aca="false">INT(A1214/$N$1)</f>
        <v>67</v>
      </c>
      <c r="C1214" s="1" t="n">
        <f aca="false">INT(MOD(A1214,$N$1) / 2)</f>
        <v>3</v>
      </c>
      <c r="D1214" s="1" t="n">
        <f aca="false">_xlfn.BITAND(A1214,1)</f>
        <v>0</v>
      </c>
      <c r="F1214" s="1" t="str">
        <f aca="false">DEC2HEX(B1214*$N$3*18)</f>
        <v>12D80</v>
      </c>
      <c r="G1214" s="1" t="str">
        <f aca="false">DEC2HEX(C1214*7)</f>
        <v>15</v>
      </c>
      <c r="H1214" s="1" t="n">
        <f aca="false">IF(D1214=0, 33, "cc")</f>
        <v>33</v>
      </c>
    </row>
    <row r="1215" customFormat="false" ht="18.65" hidden="false" customHeight="true" outlineLevel="0" collapsed="false">
      <c r="A1215" s="1" t="n">
        <f aca="false">ROW()-2</f>
        <v>1213</v>
      </c>
      <c r="B1215" s="1" t="n">
        <f aca="false">INT(A1215/$N$1)</f>
        <v>67</v>
      </c>
      <c r="C1215" s="1" t="n">
        <f aca="false">INT(MOD(A1215,$N$1) / 2)</f>
        <v>3</v>
      </c>
      <c r="D1215" s="1" t="n">
        <f aca="false">_xlfn.BITAND(A1215,1)</f>
        <v>1</v>
      </c>
      <c r="F1215" s="1" t="str">
        <f aca="false">DEC2HEX(B1215*$N$3*18)</f>
        <v>12D80</v>
      </c>
      <c r="G1215" s="1" t="str">
        <f aca="false">DEC2HEX(C1215*7)</f>
        <v>15</v>
      </c>
      <c r="H1215" s="1" t="str">
        <f aca="false">IF(D1215=0, 33, "cc")</f>
        <v>cc</v>
      </c>
    </row>
    <row r="1216" customFormat="false" ht="18.65" hidden="false" customHeight="true" outlineLevel="0" collapsed="false">
      <c r="A1216" s="1" t="n">
        <f aca="false">ROW()-2</f>
        <v>1214</v>
      </c>
      <c r="B1216" s="1" t="n">
        <f aca="false">INT(A1216/$N$1)</f>
        <v>67</v>
      </c>
      <c r="C1216" s="1" t="n">
        <f aca="false">INT(MOD(A1216,$N$1) / 2)</f>
        <v>4</v>
      </c>
      <c r="D1216" s="1" t="n">
        <f aca="false">_xlfn.BITAND(A1216,1)</f>
        <v>0</v>
      </c>
      <c r="F1216" s="1" t="str">
        <f aca="false">DEC2HEX(B1216*$N$3*18)</f>
        <v>12D80</v>
      </c>
      <c r="G1216" s="1" t="str">
        <f aca="false">DEC2HEX(C1216*7)</f>
        <v>1C</v>
      </c>
      <c r="H1216" s="1" t="n">
        <f aca="false">IF(D1216=0, 33, "cc")</f>
        <v>33</v>
      </c>
    </row>
    <row r="1217" customFormat="false" ht="18.65" hidden="false" customHeight="true" outlineLevel="0" collapsed="false">
      <c r="A1217" s="1" t="n">
        <f aca="false">ROW()-2</f>
        <v>1215</v>
      </c>
      <c r="B1217" s="1" t="n">
        <f aca="false">INT(A1217/$N$1)</f>
        <v>67</v>
      </c>
      <c r="C1217" s="1" t="n">
        <f aca="false">INT(MOD(A1217,$N$1) / 2)</f>
        <v>4</v>
      </c>
      <c r="D1217" s="1" t="n">
        <f aca="false">_xlfn.BITAND(A1217,1)</f>
        <v>1</v>
      </c>
      <c r="F1217" s="1" t="str">
        <f aca="false">DEC2HEX(B1217*$N$3*18)</f>
        <v>12D80</v>
      </c>
      <c r="G1217" s="1" t="str">
        <f aca="false">DEC2HEX(C1217*7)</f>
        <v>1C</v>
      </c>
      <c r="H1217" s="1" t="str">
        <f aca="false">IF(D1217=0, 33, "cc")</f>
        <v>cc</v>
      </c>
    </row>
    <row r="1218" customFormat="false" ht="18.65" hidden="false" customHeight="true" outlineLevel="0" collapsed="false">
      <c r="A1218" s="1" t="n">
        <f aca="false">ROW()-2</f>
        <v>1216</v>
      </c>
      <c r="B1218" s="1" t="n">
        <f aca="false">INT(A1218/$N$1)</f>
        <v>67</v>
      </c>
      <c r="C1218" s="1" t="n">
        <f aca="false">INT(MOD(A1218,$N$1) / 2)</f>
        <v>5</v>
      </c>
      <c r="D1218" s="1" t="n">
        <f aca="false">_xlfn.BITAND(A1218,1)</f>
        <v>0</v>
      </c>
      <c r="F1218" s="1" t="str">
        <f aca="false">DEC2HEX(B1218*$N$3*18)</f>
        <v>12D80</v>
      </c>
      <c r="G1218" s="1" t="str">
        <f aca="false">DEC2HEX(C1218*7)</f>
        <v>23</v>
      </c>
      <c r="H1218" s="1" t="n">
        <f aca="false">IF(D1218=0, 33, "cc")</f>
        <v>33</v>
      </c>
    </row>
    <row r="1219" customFormat="false" ht="18.65" hidden="false" customHeight="true" outlineLevel="0" collapsed="false">
      <c r="A1219" s="1" t="n">
        <f aca="false">ROW()-2</f>
        <v>1217</v>
      </c>
      <c r="B1219" s="1" t="n">
        <f aca="false">INT(A1219/$N$1)</f>
        <v>67</v>
      </c>
      <c r="C1219" s="1" t="n">
        <f aca="false">INT(MOD(A1219,$N$1) / 2)</f>
        <v>5</v>
      </c>
      <c r="D1219" s="1" t="n">
        <f aca="false">_xlfn.BITAND(A1219,1)</f>
        <v>1</v>
      </c>
      <c r="F1219" s="1" t="str">
        <f aca="false">DEC2HEX(B1219*$N$3*18)</f>
        <v>12D80</v>
      </c>
      <c r="G1219" s="1" t="str">
        <f aca="false">DEC2HEX(C1219*7)</f>
        <v>23</v>
      </c>
      <c r="H1219" s="1" t="str">
        <f aca="false">IF(D1219=0, 33, "cc")</f>
        <v>cc</v>
      </c>
    </row>
    <row r="1220" customFormat="false" ht="18.65" hidden="false" customHeight="true" outlineLevel="0" collapsed="false">
      <c r="A1220" s="1" t="n">
        <f aca="false">ROW()-2</f>
        <v>1218</v>
      </c>
      <c r="B1220" s="1" t="n">
        <f aca="false">INT(A1220/$N$1)</f>
        <v>67</v>
      </c>
      <c r="C1220" s="1" t="n">
        <f aca="false">INT(MOD(A1220,$N$1) / 2)</f>
        <v>6</v>
      </c>
      <c r="D1220" s="1" t="n">
        <f aca="false">_xlfn.BITAND(A1220,1)</f>
        <v>0</v>
      </c>
      <c r="F1220" s="1" t="str">
        <f aca="false">DEC2HEX(B1220*$N$3*18)</f>
        <v>12D80</v>
      </c>
      <c r="G1220" s="1" t="str">
        <f aca="false">DEC2HEX(C1220*7)</f>
        <v>2A</v>
      </c>
      <c r="H1220" s="1" t="n">
        <f aca="false">IF(D1220=0, 33, "cc")</f>
        <v>33</v>
      </c>
    </row>
    <row r="1221" customFormat="false" ht="18.65" hidden="false" customHeight="true" outlineLevel="0" collapsed="false">
      <c r="A1221" s="1" t="n">
        <f aca="false">ROW()-2</f>
        <v>1219</v>
      </c>
      <c r="B1221" s="1" t="n">
        <f aca="false">INT(A1221/$N$1)</f>
        <v>67</v>
      </c>
      <c r="C1221" s="1" t="n">
        <f aca="false">INT(MOD(A1221,$N$1) / 2)</f>
        <v>6</v>
      </c>
      <c r="D1221" s="1" t="n">
        <f aca="false">_xlfn.BITAND(A1221,1)</f>
        <v>1</v>
      </c>
      <c r="F1221" s="1" t="str">
        <f aca="false">DEC2HEX(B1221*$N$3*18)</f>
        <v>12D80</v>
      </c>
      <c r="G1221" s="1" t="str">
        <f aca="false">DEC2HEX(C1221*7)</f>
        <v>2A</v>
      </c>
      <c r="H1221" s="1" t="str">
        <f aca="false">IF(D1221=0, 33, "cc")</f>
        <v>cc</v>
      </c>
    </row>
    <row r="1222" customFormat="false" ht="18.65" hidden="false" customHeight="true" outlineLevel="0" collapsed="false">
      <c r="A1222" s="1" t="n">
        <f aca="false">ROW()-2</f>
        <v>1220</v>
      </c>
      <c r="B1222" s="1" t="n">
        <f aca="false">INT(A1222/$N$1)</f>
        <v>67</v>
      </c>
      <c r="C1222" s="1" t="n">
        <f aca="false">INT(MOD(A1222,$N$1) / 2)</f>
        <v>7</v>
      </c>
      <c r="D1222" s="1" t="n">
        <f aca="false">_xlfn.BITAND(A1222,1)</f>
        <v>0</v>
      </c>
      <c r="F1222" s="1" t="str">
        <f aca="false">DEC2HEX(B1222*$N$3*18)</f>
        <v>12D80</v>
      </c>
      <c r="G1222" s="1" t="str">
        <f aca="false">DEC2HEX(C1222*7)</f>
        <v>31</v>
      </c>
      <c r="H1222" s="1" t="n">
        <f aca="false">IF(D1222=0, 33, "cc")</f>
        <v>33</v>
      </c>
    </row>
    <row r="1223" customFormat="false" ht="18.65" hidden="false" customHeight="true" outlineLevel="0" collapsed="false">
      <c r="A1223" s="1" t="n">
        <f aca="false">ROW()-2</f>
        <v>1221</v>
      </c>
      <c r="B1223" s="1" t="n">
        <f aca="false">INT(A1223/$N$1)</f>
        <v>67</v>
      </c>
      <c r="C1223" s="1" t="n">
        <f aca="false">INT(MOD(A1223,$N$1) / 2)</f>
        <v>7</v>
      </c>
      <c r="D1223" s="1" t="n">
        <f aca="false">_xlfn.BITAND(A1223,1)</f>
        <v>1</v>
      </c>
      <c r="F1223" s="1" t="str">
        <f aca="false">DEC2HEX(B1223*$N$3*18)</f>
        <v>12D80</v>
      </c>
      <c r="G1223" s="1" t="str">
        <f aca="false">DEC2HEX(C1223*7)</f>
        <v>31</v>
      </c>
      <c r="H1223" s="1" t="str">
        <f aca="false">IF(D1223=0, 33, "cc")</f>
        <v>cc</v>
      </c>
    </row>
    <row r="1224" customFormat="false" ht="18.65" hidden="false" customHeight="true" outlineLevel="0" collapsed="false">
      <c r="A1224" s="1" t="n">
        <f aca="false">ROW()-2</f>
        <v>1222</v>
      </c>
      <c r="B1224" s="1" t="n">
        <f aca="false">INT(A1224/$N$1)</f>
        <v>67</v>
      </c>
      <c r="C1224" s="1" t="n">
        <f aca="false">INT(MOD(A1224,$N$1) / 2)</f>
        <v>8</v>
      </c>
      <c r="D1224" s="1" t="n">
        <f aca="false">_xlfn.BITAND(A1224,1)</f>
        <v>0</v>
      </c>
      <c r="F1224" s="1" t="str">
        <f aca="false">DEC2HEX(B1224*$N$3*18)</f>
        <v>12D80</v>
      </c>
      <c r="G1224" s="1" t="str">
        <f aca="false">DEC2HEX(C1224*7)</f>
        <v>38</v>
      </c>
      <c r="H1224" s="1" t="n">
        <f aca="false">IF(D1224=0, 33, "cc")</f>
        <v>33</v>
      </c>
    </row>
    <row r="1225" customFormat="false" ht="18.65" hidden="false" customHeight="true" outlineLevel="0" collapsed="false">
      <c r="A1225" s="1" t="n">
        <f aca="false">ROW()-2</f>
        <v>1223</v>
      </c>
      <c r="B1225" s="1" t="n">
        <f aca="false">INT(A1225/$N$1)</f>
        <v>67</v>
      </c>
      <c r="C1225" s="1" t="n">
        <f aca="false">INT(MOD(A1225,$N$1) / 2)</f>
        <v>8</v>
      </c>
      <c r="D1225" s="1" t="n">
        <f aca="false">_xlfn.BITAND(A1225,1)</f>
        <v>1</v>
      </c>
      <c r="F1225" s="1" t="str">
        <f aca="false">DEC2HEX(B1225*$N$3*18)</f>
        <v>12D80</v>
      </c>
      <c r="G1225" s="1" t="str">
        <f aca="false">DEC2HEX(C1225*7)</f>
        <v>38</v>
      </c>
      <c r="H1225" s="1" t="str">
        <f aca="false">IF(D1225=0, 33, "cc")</f>
        <v>cc</v>
      </c>
    </row>
    <row r="1226" customFormat="false" ht="18.65" hidden="false" customHeight="true" outlineLevel="0" collapsed="false">
      <c r="A1226" s="1" t="n">
        <f aca="false">ROW()-2</f>
        <v>1224</v>
      </c>
      <c r="B1226" s="1" t="n">
        <f aca="false">INT(A1226/$N$1)</f>
        <v>68</v>
      </c>
      <c r="C1226" s="1" t="n">
        <f aca="false">INT(MOD(A1226,$N$1) / 2)</f>
        <v>0</v>
      </c>
      <c r="D1226" s="1" t="n">
        <f aca="false">_xlfn.BITAND(A1226,1)</f>
        <v>0</v>
      </c>
      <c r="F1226" s="1" t="str">
        <f aca="false">DEC2HEX(B1226*$N$3*18)</f>
        <v>13200</v>
      </c>
      <c r="G1226" s="1" t="str">
        <f aca="false">DEC2HEX(C1226*7)</f>
        <v>0</v>
      </c>
      <c r="H1226" s="1" t="n">
        <f aca="false">IF(D1226=0, 33, "cc")</f>
        <v>33</v>
      </c>
    </row>
    <row r="1227" customFormat="false" ht="18.65" hidden="false" customHeight="true" outlineLevel="0" collapsed="false">
      <c r="A1227" s="1" t="n">
        <f aca="false">ROW()-2</f>
        <v>1225</v>
      </c>
      <c r="B1227" s="1" t="n">
        <f aca="false">INT(A1227/$N$1)</f>
        <v>68</v>
      </c>
      <c r="C1227" s="1" t="n">
        <f aca="false">INT(MOD(A1227,$N$1) / 2)</f>
        <v>0</v>
      </c>
      <c r="D1227" s="1" t="n">
        <f aca="false">_xlfn.BITAND(A1227,1)</f>
        <v>1</v>
      </c>
      <c r="F1227" s="1" t="str">
        <f aca="false">DEC2HEX(B1227*$N$3*18)</f>
        <v>13200</v>
      </c>
      <c r="G1227" s="1" t="str">
        <f aca="false">DEC2HEX(C1227*7)</f>
        <v>0</v>
      </c>
      <c r="H1227" s="1" t="str">
        <f aca="false">IF(D1227=0, 33, "cc")</f>
        <v>cc</v>
      </c>
    </row>
    <row r="1228" customFormat="false" ht="18.65" hidden="false" customHeight="true" outlineLevel="0" collapsed="false">
      <c r="A1228" s="1" t="n">
        <f aca="false">ROW()-2</f>
        <v>1226</v>
      </c>
      <c r="B1228" s="1" t="n">
        <f aca="false">INT(A1228/$N$1)</f>
        <v>68</v>
      </c>
      <c r="C1228" s="1" t="n">
        <f aca="false">INT(MOD(A1228,$N$1) / 2)</f>
        <v>1</v>
      </c>
      <c r="D1228" s="1" t="n">
        <f aca="false">_xlfn.BITAND(A1228,1)</f>
        <v>0</v>
      </c>
      <c r="F1228" s="1" t="str">
        <f aca="false">DEC2HEX(B1228*$N$3*18)</f>
        <v>13200</v>
      </c>
      <c r="G1228" s="1" t="str">
        <f aca="false">DEC2HEX(C1228*7)</f>
        <v>7</v>
      </c>
      <c r="H1228" s="1" t="n">
        <f aca="false">IF(D1228=0, 33, "cc")</f>
        <v>33</v>
      </c>
    </row>
    <row r="1229" customFormat="false" ht="18.65" hidden="false" customHeight="true" outlineLevel="0" collapsed="false">
      <c r="A1229" s="1" t="n">
        <f aca="false">ROW()-2</f>
        <v>1227</v>
      </c>
      <c r="B1229" s="1" t="n">
        <f aca="false">INT(A1229/$N$1)</f>
        <v>68</v>
      </c>
      <c r="C1229" s="1" t="n">
        <f aca="false">INT(MOD(A1229,$N$1) / 2)</f>
        <v>1</v>
      </c>
      <c r="D1229" s="1" t="n">
        <f aca="false">_xlfn.BITAND(A1229,1)</f>
        <v>1</v>
      </c>
      <c r="F1229" s="1" t="str">
        <f aca="false">DEC2HEX(B1229*$N$3*18)</f>
        <v>13200</v>
      </c>
      <c r="G1229" s="1" t="str">
        <f aca="false">DEC2HEX(C1229*7)</f>
        <v>7</v>
      </c>
      <c r="H1229" s="1" t="str">
        <f aca="false">IF(D1229=0, 33, "cc")</f>
        <v>cc</v>
      </c>
    </row>
    <row r="1230" customFormat="false" ht="18.65" hidden="false" customHeight="true" outlineLevel="0" collapsed="false">
      <c r="A1230" s="1" t="n">
        <f aca="false">ROW()-2</f>
        <v>1228</v>
      </c>
      <c r="B1230" s="1" t="n">
        <f aca="false">INT(A1230/$N$1)</f>
        <v>68</v>
      </c>
      <c r="C1230" s="1" t="n">
        <f aca="false">INT(MOD(A1230,$N$1) / 2)</f>
        <v>2</v>
      </c>
      <c r="D1230" s="1" t="n">
        <f aca="false">_xlfn.BITAND(A1230,1)</f>
        <v>0</v>
      </c>
      <c r="F1230" s="1" t="str">
        <f aca="false">DEC2HEX(B1230*$N$3*18)</f>
        <v>13200</v>
      </c>
      <c r="G1230" s="1" t="str">
        <f aca="false">DEC2HEX(C1230*7)</f>
        <v>E</v>
      </c>
      <c r="H1230" s="1" t="n">
        <f aca="false">IF(D1230=0, 33, "cc")</f>
        <v>33</v>
      </c>
    </row>
    <row r="1231" customFormat="false" ht="18.65" hidden="false" customHeight="true" outlineLevel="0" collapsed="false">
      <c r="A1231" s="1" t="n">
        <f aca="false">ROW()-2</f>
        <v>1229</v>
      </c>
      <c r="B1231" s="1" t="n">
        <f aca="false">INT(A1231/$N$1)</f>
        <v>68</v>
      </c>
      <c r="C1231" s="1" t="n">
        <f aca="false">INT(MOD(A1231,$N$1) / 2)</f>
        <v>2</v>
      </c>
      <c r="D1231" s="1" t="n">
        <f aca="false">_xlfn.BITAND(A1231,1)</f>
        <v>1</v>
      </c>
      <c r="F1231" s="1" t="str">
        <f aca="false">DEC2HEX(B1231*$N$3*18)</f>
        <v>13200</v>
      </c>
      <c r="G1231" s="1" t="str">
        <f aca="false">DEC2HEX(C1231*7)</f>
        <v>E</v>
      </c>
      <c r="H1231" s="1" t="str">
        <f aca="false">IF(D1231=0, 33, "cc")</f>
        <v>cc</v>
      </c>
    </row>
    <row r="1232" customFormat="false" ht="18.65" hidden="false" customHeight="true" outlineLevel="0" collapsed="false">
      <c r="A1232" s="1" t="n">
        <f aca="false">ROW()-2</f>
        <v>1230</v>
      </c>
      <c r="B1232" s="1" t="n">
        <f aca="false">INT(A1232/$N$1)</f>
        <v>68</v>
      </c>
      <c r="C1232" s="1" t="n">
        <f aca="false">INT(MOD(A1232,$N$1) / 2)</f>
        <v>3</v>
      </c>
      <c r="D1232" s="1" t="n">
        <f aca="false">_xlfn.BITAND(A1232,1)</f>
        <v>0</v>
      </c>
      <c r="F1232" s="1" t="str">
        <f aca="false">DEC2HEX(B1232*$N$3*18)</f>
        <v>13200</v>
      </c>
      <c r="G1232" s="1" t="str">
        <f aca="false">DEC2HEX(C1232*7)</f>
        <v>15</v>
      </c>
      <c r="H1232" s="1" t="n">
        <f aca="false">IF(D1232=0, 33, "cc")</f>
        <v>33</v>
      </c>
    </row>
    <row r="1233" customFormat="false" ht="18.65" hidden="false" customHeight="true" outlineLevel="0" collapsed="false">
      <c r="A1233" s="1" t="n">
        <f aca="false">ROW()-2</f>
        <v>1231</v>
      </c>
      <c r="B1233" s="1" t="n">
        <f aca="false">INT(A1233/$N$1)</f>
        <v>68</v>
      </c>
      <c r="C1233" s="1" t="n">
        <f aca="false">INT(MOD(A1233,$N$1) / 2)</f>
        <v>3</v>
      </c>
      <c r="D1233" s="1" t="n">
        <f aca="false">_xlfn.BITAND(A1233,1)</f>
        <v>1</v>
      </c>
      <c r="F1233" s="1" t="str">
        <f aca="false">DEC2HEX(B1233*$N$3*18)</f>
        <v>13200</v>
      </c>
      <c r="G1233" s="1" t="str">
        <f aca="false">DEC2HEX(C1233*7)</f>
        <v>15</v>
      </c>
      <c r="H1233" s="1" t="str">
        <f aca="false">IF(D1233=0, 33, "cc")</f>
        <v>cc</v>
      </c>
    </row>
    <row r="1234" customFormat="false" ht="18.65" hidden="false" customHeight="true" outlineLevel="0" collapsed="false">
      <c r="A1234" s="1" t="n">
        <f aca="false">ROW()-2</f>
        <v>1232</v>
      </c>
      <c r="B1234" s="1" t="n">
        <f aca="false">INT(A1234/$N$1)</f>
        <v>68</v>
      </c>
      <c r="C1234" s="1" t="n">
        <f aca="false">INT(MOD(A1234,$N$1) / 2)</f>
        <v>4</v>
      </c>
      <c r="D1234" s="1" t="n">
        <f aca="false">_xlfn.BITAND(A1234,1)</f>
        <v>0</v>
      </c>
      <c r="F1234" s="1" t="str">
        <f aca="false">DEC2HEX(B1234*$N$3*18)</f>
        <v>13200</v>
      </c>
      <c r="G1234" s="1" t="str">
        <f aca="false">DEC2HEX(C1234*7)</f>
        <v>1C</v>
      </c>
      <c r="H1234" s="1" t="n">
        <f aca="false">IF(D1234=0, 33, "cc")</f>
        <v>33</v>
      </c>
    </row>
    <row r="1235" customFormat="false" ht="18.65" hidden="false" customHeight="true" outlineLevel="0" collapsed="false">
      <c r="A1235" s="1" t="n">
        <f aca="false">ROW()-2</f>
        <v>1233</v>
      </c>
      <c r="B1235" s="1" t="n">
        <f aca="false">INT(A1235/$N$1)</f>
        <v>68</v>
      </c>
      <c r="C1235" s="1" t="n">
        <f aca="false">INT(MOD(A1235,$N$1) / 2)</f>
        <v>4</v>
      </c>
      <c r="D1235" s="1" t="n">
        <f aca="false">_xlfn.BITAND(A1235,1)</f>
        <v>1</v>
      </c>
      <c r="F1235" s="1" t="str">
        <f aca="false">DEC2HEX(B1235*$N$3*18)</f>
        <v>13200</v>
      </c>
      <c r="G1235" s="1" t="str">
        <f aca="false">DEC2HEX(C1235*7)</f>
        <v>1C</v>
      </c>
      <c r="H1235" s="1" t="str">
        <f aca="false">IF(D1235=0, 33, "cc")</f>
        <v>cc</v>
      </c>
    </row>
    <row r="1236" customFormat="false" ht="18.65" hidden="false" customHeight="true" outlineLevel="0" collapsed="false">
      <c r="A1236" s="1" t="n">
        <f aca="false">ROW()-2</f>
        <v>1234</v>
      </c>
      <c r="B1236" s="1" t="n">
        <f aca="false">INT(A1236/$N$1)</f>
        <v>68</v>
      </c>
      <c r="C1236" s="1" t="n">
        <f aca="false">INT(MOD(A1236,$N$1) / 2)</f>
        <v>5</v>
      </c>
      <c r="D1236" s="1" t="n">
        <f aca="false">_xlfn.BITAND(A1236,1)</f>
        <v>0</v>
      </c>
      <c r="F1236" s="1" t="str">
        <f aca="false">DEC2HEX(B1236*$N$3*18)</f>
        <v>13200</v>
      </c>
      <c r="G1236" s="1" t="str">
        <f aca="false">DEC2HEX(C1236*7)</f>
        <v>23</v>
      </c>
      <c r="H1236" s="1" t="n">
        <f aca="false">IF(D1236=0, 33, "cc")</f>
        <v>33</v>
      </c>
    </row>
    <row r="1237" customFormat="false" ht="18.65" hidden="false" customHeight="true" outlineLevel="0" collapsed="false">
      <c r="A1237" s="1" t="n">
        <f aca="false">ROW()-2</f>
        <v>1235</v>
      </c>
      <c r="B1237" s="1" t="n">
        <f aca="false">INT(A1237/$N$1)</f>
        <v>68</v>
      </c>
      <c r="C1237" s="1" t="n">
        <f aca="false">INT(MOD(A1237,$N$1) / 2)</f>
        <v>5</v>
      </c>
      <c r="D1237" s="1" t="n">
        <f aca="false">_xlfn.BITAND(A1237,1)</f>
        <v>1</v>
      </c>
      <c r="F1237" s="1" t="str">
        <f aca="false">DEC2HEX(B1237*$N$3*18)</f>
        <v>13200</v>
      </c>
      <c r="G1237" s="1" t="str">
        <f aca="false">DEC2HEX(C1237*7)</f>
        <v>23</v>
      </c>
      <c r="H1237" s="1" t="str">
        <f aca="false">IF(D1237=0, 33, "cc")</f>
        <v>cc</v>
      </c>
    </row>
    <row r="1238" customFormat="false" ht="18.65" hidden="false" customHeight="true" outlineLevel="0" collapsed="false">
      <c r="A1238" s="1" t="n">
        <f aca="false">ROW()-2</f>
        <v>1236</v>
      </c>
      <c r="B1238" s="1" t="n">
        <f aca="false">INT(A1238/$N$1)</f>
        <v>68</v>
      </c>
      <c r="C1238" s="1" t="n">
        <f aca="false">INT(MOD(A1238,$N$1) / 2)</f>
        <v>6</v>
      </c>
      <c r="D1238" s="1" t="n">
        <f aca="false">_xlfn.BITAND(A1238,1)</f>
        <v>0</v>
      </c>
      <c r="F1238" s="1" t="str">
        <f aca="false">DEC2HEX(B1238*$N$3*18)</f>
        <v>13200</v>
      </c>
      <c r="G1238" s="1" t="str">
        <f aca="false">DEC2HEX(C1238*7)</f>
        <v>2A</v>
      </c>
      <c r="H1238" s="1" t="n">
        <f aca="false">IF(D1238=0, 33, "cc")</f>
        <v>33</v>
      </c>
    </row>
    <row r="1239" customFormat="false" ht="18.65" hidden="false" customHeight="true" outlineLevel="0" collapsed="false">
      <c r="A1239" s="1" t="n">
        <f aca="false">ROW()-2</f>
        <v>1237</v>
      </c>
      <c r="B1239" s="1" t="n">
        <f aca="false">INT(A1239/$N$1)</f>
        <v>68</v>
      </c>
      <c r="C1239" s="1" t="n">
        <f aca="false">INT(MOD(A1239,$N$1) / 2)</f>
        <v>6</v>
      </c>
      <c r="D1239" s="1" t="n">
        <f aca="false">_xlfn.BITAND(A1239,1)</f>
        <v>1</v>
      </c>
      <c r="F1239" s="1" t="str">
        <f aca="false">DEC2HEX(B1239*$N$3*18)</f>
        <v>13200</v>
      </c>
      <c r="G1239" s="1" t="str">
        <f aca="false">DEC2HEX(C1239*7)</f>
        <v>2A</v>
      </c>
      <c r="H1239" s="1" t="str">
        <f aca="false">IF(D1239=0, 33, "cc")</f>
        <v>cc</v>
      </c>
    </row>
    <row r="1240" customFormat="false" ht="18.65" hidden="false" customHeight="true" outlineLevel="0" collapsed="false">
      <c r="A1240" s="1" t="n">
        <f aca="false">ROW()-2</f>
        <v>1238</v>
      </c>
      <c r="B1240" s="1" t="n">
        <f aca="false">INT(A1240/$N$1)</f>
        <v>68</v>
      </c>
      <c r="C1240" s="1" t="n">
        <f aca="false">INT(MOD(A1240,$N$1) / 2)</f>
        <v>7</v>
      </c>
      <c r="D1240" s="1" t="n">
        <f aca="false">_xlfn.BITAND(A1240,1)</f>
        <v>0</v>
      </c>
      <c r="F1240" s="1" t="str">
        <f aca="false">DEC2HEX(B1240*$N$3*18)</f>
        <v>13200</v>
      </c>
      <c r="G1240" s="1" t="str">
        <f aca="false">DEC2HEX(C1240*7)</f>
        <v>31</v>
      </c>
      <c r="H1240" s="1" t="n">
        <f aca="false">IF(D1240=0, 33, "cc")</f>
        <v>33</v>
      </c>
    </row>
    <row r="1241" customFormat="false" ht="18.65" hidden="false" customHeight="true" outlineLevel="0" collapsed="false">
      <c r="A1241" s="1" t="n">
        <f aca="false">ROW()-2</f>
        <v>1239</v>
      </c>
      <c r="B1241" s="1" t="n">
        <f aca="false">INT(A1241/$N$1)</f>
        <v>68</v>
      </c>
      <c r="C1241" s="1" t="n">
        <f aca="false">INT(MOD(A1241,$N$1) / 2)</f>
        <v>7</v>
      </c>
      <c r="D1241" s="1" t="n">
        <f aca="false">_xlfn.BITAND(A1241,1)</f>
        <v>1</v>
      </c>
      <c r="F1241" s="1" t="str">
        <f aca="false">DEC2HEX(B1241*$N$3*18)</f>
        <v>13200</v>
      </c>
      <c r="G1241" s="1" t="str">
        <f aca="false">DEC2HEX(C1241*7)</f>
        <v>31</v>
      </c>
      <c r="H1241" s="1" t="str">
        <f aca="false">IF(D1241=0, 33, "cc")</f>
        <v>cc</v>
      </c>
    </row>
    <row r="1242" customFormat="false" ht="18.65" hidden="false" customHeight="true" outlineLevel="0" collapsed="false">
      <c r="A1242" s="1" t="n">
        <f aca="false">ROW()-2</f>
        <v>1240</v>
      </c>
      <c r="B1242" s="1" t="n">
        <f aca="false">INT(A1242/$N$1)</f>
        <v>68</v>
      </c>
      <c r="C1242" s="1" t="n">
        <f aca="false">INT(MOD(A1242,$N$1) / 2)</f>
        <v>8</v>
      </c>
      <c r="D1242" s="1" t="n">
        <f aca="false">_xlfn.BITAND(A1242,1)</f>
        <v>0</v>
      </c>
      <c r="F1242" s="1" t="str">
        <f aca="false">DEC2HEX(B1242*$N$3*18)</f>
        <v>13200</v>
      </c>
      <c r="G1242" s="1" t="str">
        <f aca="false">DEC2HEX(C1242*7)</f>
        <v>38</v>
      </c>
      <c r="H1242" s="1" t="n">
        <f aca="false">IF(D1242=0, 33, "cc")</f>
        <v>33</v>
      </c>
    </row>
    <row r="1243" customFormat="false" ht="18.65" hidden="false" customHeight="true" outlineLevel="0" collapsed="false">
      <c r="A1243" s="1" t="n">
        <f aca="false">ROW()-2</f>
        <v>1241</v>
      </c>
      <c r="B1243" s="1" t="n">
        <f aca="false">INT(A1243/$N$1)</f>
        <v>68</v>
      </c>
      <c r="C1243" s="1" t="n">
        <f aca="false">INT(MOD(A1243,$N$1) / 2)</f>
        <v>8</v>
      </c>
      <c r="D1243" s="1" t="n">
        <f aca="false">_xlfn.BITAND(A1243,1)</f>
        <v>1</v>
      </c>
      <c r="F1243" s="1" t="str">
        <f aca="false">DEC2HEX(B1243*$N$3*18)</f>
        <v>13200</v>
      </c>
      <c r="G1243" s="1" t="str">
        <f aca="false">DEC2HEX(C1243*7)</f>
        <v>38</v>
      </c>
      <c r="H1243" s="1" t="str">
        <f aca="false">IF(D1243=0, 33, "cc")</f>
        <v>cc</v>
      </c>
    </row>
    <row r="1244" customFormat="false" ht="18.65" hidden="false" customHeight="true" outlineLevel="0" collapsed="false">
      <c r="A1244" s="1" t="n">
        <f aca="false">ROW()-2</f>
        <v>1242</v>
      </c>
      <c r="B1244" s="1" t="n">
        <f aca="false">INT(A1244/$N$1)</f>
        <v>69</v>
      </c>
      <c r="C1244" s="1" t="n">
        <f aca="false">INT(MOD(A1244,$N$1) / 2)</f>
        <v>0</v>
      </c>
      <c r="D1244" s="1" t="n">
        <f aca="false">_xlfn.BITAND(A1244,1)</f>
        <v>0</v>
      </c>
      <c r="F1244" s="1" t="str">
        <f aca="false">DEC2HEX(B1244*$N$3*18)</f>
        <v>13680</v>
      </c>
      <c r="G1244" s="1" t="str">
        <f aca="false">DEC2HEX(C1244*7)</f>
        <v>0</v>
      </c>
      <c r="H1244" s="1" t="n">
        <f aca="false">IF(D1244=0, 33, "cc")</f>
        <v>33</v>
      </c>
    </row>
    <row r="1245" customFormat="false" ht="18.65" hidden="false" customHeight="true" outlineLevel="0" collapsed="false">
      <c r="A1245" s="1" t="n">
        <f aca="false">ROW()-2</f>
        <v>1243</v>
      </c>
      <c r="B1245" s="1" t="n">
        <f aca="false">INT(A1245/$N$1)</f>
        <v>69</v>
      </c>
      <c r="C1245" s="1" t="n">
        <f aca="false">INT(MOD(A1245,$N$1) / 2)</f>
        <v>0</v>
      </c>
      <c r="D1245" s="1" t="n">
        <f aca="false">_xlfn.BITAND(A1245,1)</f>
        <v>1</v>
      </c>
      <c r="F1245" s="1" t="str">
        <f aca="false">DEC2HEX(B1245*$N$3*18)</f>
        <v>13680</v>
      </c>
      <c r="G1245" s="1" t="str">
        <f aca="false">DEC2HEX(C1245*7)</f>
        <v>0</v>
      </c>
      <c r="H1245" s="1" t="str">
        <f aca="false">IF(D1245=0, 33, "cc")</f>
        <v>cc</v>
      </c>
    </row>
    <row r="1246" customFormat="false" ht="18.65" hidden="false" customHeight="true" outlineLevel="0" collapsed="false">
      <c r="A1246" s="1" t="n">
        <f aca="false">ROW()-2</f>
        <v>1244</v>
      </c>
      <c r="B1246" s="1" t="n">
        <f aca="false">INT(A1246/$N$1)</f>
        <v>69</v>
      </c>
      <c r="C1246" s="1" t="n">
        <f aca="false">INT(MOD(A1246,$N$1) / 2)</f>
        <v>1</v>
      </c>
      <c r="D1246" s="1" t="n">
        <f aca="false">_xlfn.BITAND(A1246,1)</f>
        <v>0</v>
      </c>
      <c r="F1246" s="1" t="str">
        <f aca="false">DEC2HEX(B1246*$N$3*18)</f>
        <v>13680</v>
      </c>
      <c r="G1246" s="1" t="str">
        <f aca="false">DEC2HEX(C1246*7)</f>
        <v>7</v>
      </c>
      <c r="H1246" s="1" t="n">
        <f aca="false">IF(D1246=0, 33, "cc")</f>
        <v>33</v>
      </c>
    </row>
    <row r="1247" customFormat="false" ht="18.65" hidden="false" customHeight="true" outlineLevel="0" collapsed="false">
      <c r="A1247" s="1" t="n">
        <f aca="false">ROW()-2</f>
        <v>1245</v>
      </c>
      <c r="B1247" s="1" t="n">
        <f aca="false">INT(A1247/$N$1)</f>
        <v>69</v>
      </c>
      <c r="C1247" s="1" t="n">
        <f aca="false">INT(MOD(A1247,$N$1) / 2)</f>
        <v>1</v>
      </c>
      <c r="D1247" s="1" t="n">
        <f aca="false">_xlfn.BITAND(A1247,1)</f>
        <v>1</v>
      </c>
      <c r="F1247" s="1" t="str">
        <f aca="false">DEC2HEX(B1247*$N$3*18)</f>
        <v>13680</v>
      </c>
      <c r="G1247" s="1" t="str">
        <f aca="false">DEC2HEX(C1247*7)</f>
        <v>7</v>
      </c>
      <c r="H1247" s="1" t="str">
        <f aca="false">IF(D1247=0, 33, "cc")</f>
        <v>cc</v>
      </c>
    </row>
    <row r="1248" customFormat="false" ht="18.65" hidden="false" customHeight="true" outlineLevel="0" collapsed="false">
      <c r="A1248" s="1" t="n">
        <f aca="false">ROW()-2</f>
        <v>1246</v>
      </c>
      <c r="B1248" s="1" t="n">
        <f aca="false">INT(A1248/$N$1)</f>
        <v>69</v>
      </c>
      <c r="C1248" s="1" t="n">
        <f aca="false">INT(MOD(A1248,$N$1) / 2)</f>
        <v>2</v>
      </c>
      <c r="D1248" s="1" t="n">
        <f aca="false">_xlfn.BITAND(A1248,1)</f>
        <v>0</v>
      </c>
      <c r="F1248" s="1" t="str">
        <f aca="false">DEC2HEX(B1248*$N$3*18)</f>
        <v>13680</v>
      </c>
      <c r="G1248" s="1" t="str">
        <f aca="false">DEC2HEX(C1248*7)</f>
        <v>E</v>
      </c>
      <c r="H1248" s="1" t="n">
        <f aca="false">IF(D1248=0, 33, "cc")</f>
        <v>33</v>
      </c>
    </row>
    <row r="1249" customFormat="false" ht="18.65" hidden="false" customHeight="true" outlineLevel="0" collapsed="false">
      <c r="A1249" s="1" t="n">
        <f aca="false">ROW()-2</f>
        <v>1247</v>
      </c>
      <c r="B1249" s="1" t="n">
        <f aca="false">INT(A1249/$N$1)</f>
        <v>69</v>
      </c>
      <c r="C1249" s="1" t="n">
        <f aca="false">INT(MOD(A1249,$N$1) / 2)</f>
        <v>2</v>
      </c>
      <c r="D1249" s="1" t="n">
        <f aca="false">_xlfn.BITAND(A1249,1)</f>
        <v>1</v>
      </c>
      <c r="F1249" s="1" t="str">
        <f aca="false">DEC2HEX(B1249*$N$3*18)</f>
        <v>13680</v>
      </c>
      <c r="G1249" s="1" t="str">
        <f aca="false">DEC2HEX(C1249*7)</f>
        <v>E</v>
      </c>
      <c r="H1249" s="1" t="str">
        <f aca="false">IF(D1249=0, 33, "cc")</f>
        <v>cc</v>
      </c>
    </row>
    <row r="1250" customFormat="false" ht="18.65" hidden="false" customHeight="true" outlineLevel="0" collapsed="false">
      <c r="A1250" s="1" t="n">
        <f aca="false">ROW()-2</f>
        <v>1248</v>
      </c>
      <c r="B1250" s="1" t="n">
        <f aca="false">INT(A1250/$N$1)</f>
        <v>69</v>
      </c>
      <c r="C1250" s="1" t="n">
        <f aca="false">INT(MOD(A1250,$N$1) / 2)</f>
        <v>3</v>
      </c>
      <c r="D1250" s="1" t="n">
        <f aca="false">_xlfn.BITAND(A1250,1)</f>
        <v>0</v>
      </c>
      <c r="F1250" s="1" t="str">
        <f aca="false">DEC2HEX(B1250*$N$3*18)</f>
        <v>13680</v>
      </c>
      <c r="G1250" s="1" t="str">
        <f aca="false">DEC2HEX(C1250*7)</f>
        <v>15</v>
      </c>
      <c r="H1250" s="1" t="n">
        <f aca="false">IF(D1250=0, 33, "cc")</f>
        <v>33</v>
      </c>
    </row>
    <row r="1251" customFormat="false" ht="18.65" hidden="false" customHeight="true" outlineLevel="0" collapsed="false">
      <c r="A1251" s="1" t="n">
        <f aca="false">ROW()-2</f>
        <v>1249</v>
      </c>
      <c r="B1251" s="1" t="n">
        <f aca="false">INT(A1251/$N$1)</f>
        <v>69</v>
      </c>
      <c r="C1251" s="1" t="n">
        <f aca="false">INT(MOD(A1251,$N$1) / 2)</f>
        <v>3</v>
      </c>
      <c r="D1251" s="1" t="n">
        <f aca="false">_xlfn.BITAND(A1251,1)</f>
        <v>1</v>
      </c>
      <c r="F1251" s="1" t="str">
        <f aca="false">DEC2HEX(B1251*$N$3*18)</f>
        <v>13680</v>
      </c>
      <c r="G1251" s="1" t="str">
        <f aca="false">DEC2HEX(C1251*7)</f>
        <v>15</v>
      </c>
      <c r="H1251" s="1" t="str">
        <f aca="false">IF(D1251=0, 33, "cc")</f>
        <v>cc</v>
      </c>
    </row>
    <row r="1252" customFormat="false" ht="18.65" hidden="false" customHeight="true" outlineLevel="0" collapsed="false">
      <c r="A1252" s="1" t="n">
        <f aca="false">ROW()-2</f>
        <v>1250</v>
      </c>
      <c r="B1252" s="1" t="n">
        <f aca="false">INT(A1252/$N$1)</f>
        <v>69</v>
      </c>
      <c r="C1252" s="1" t="n">
        <f aca="false">INT(MOD(A1252,$N$1) / 2)</f>
        <v>4</v>
      </c>
      <c r="D1252" s="1" t="n">
        <f aca="false">_xlfn.BITAND(A1252,1)</f>
        <v>0</v>
      </c>
      <c r="F1252" s="1" t="str">
        <f aca="false">DEC2HEX(B1252*$N$3*18)</f>
        <v>13680</v>
      </c>
      <c r="G1252" s="1" t="str">
        <f aca="false">DEC2HEX(C1252*7)</f>
        <v>1C</v>
      </c>
      <c r="H1252" s="1" t="n">
        <f aca="false">IF(D1252=0, 33, "cc")</f>
        <v>33</v>
      </c>
    </row>
    <row r="1253" customFormat="false" ht="18.65" hidden="false" customHeight="true" outlineLevel="0" collapsed="false">
      <c r="A1253" s="1" t="n">
        <f aca="false">ROW()-2</f>
        <v>1251</v>
      </c>
      <c r="B1253" s="1" t="n">
        <f aca="false">INT(A1253/$N$1)</f>
        <v>69</v>
      </c>
      <c r="C1253" s="1" t="n">
        <f aca="false">INT(MOD(A1253,$N$1) / 2)</f>
        <v>4</v>
      </c>
      <c r="D1253" s="1" t="n">
        <f aca="false">_xlfn.BITAND(A1253,1)</f>
        <v>1</v>
      </c>
      <c r="F1253" s="1" t="str">
        <f aca="false">DEC2HEX(B1253*$N$3*18)</f>
        <v>13680</v>
      </c>
      <c r="G1253" s="1" t="str">
        <f aca="false">DEC2HEX(C1253*7)</f>
        <v>1C</v>
      </c>
      <c r="H1253" s="1" t="str">
        <f aca="false">IF(D1253=0, 33, "cc")</f>
        <v>cc</v>
      </c>
    </row>
    <row r="1254" customFormat="false" ht="18.65" hidden="false" customHeight="true" outlineLevel="0" collapsed="false">
      <c r="A1254" s="1" t="n">
        <f aca="false">ROW()-2</f>
        <v>1252</v>
      </c>
      <c r="B1254" s="1" t="n">
        <f aca="false">INT(A1254/$N$1)</f>
        <v>69</v>
      </c>
      <c r="C1254" s="1" t="n">
        <f aca="false">INT(MOD(A1254,$N$1) / 2)</f>
        <v>5</v>
      </c>
      <c r="D1254" s="1" t="n">
        <f aca="false">_xlfn.BITAND(A1254,1)</f>
        <v>0</v>
      </c>
      <c r="F1254" s="1" t="str">
        <f aca="false">DEC2HEX(B1254*$N$3*18)</f>
        <v>13680</v>
      </c>
      <c r="G1254" s="1" t="str">
        <f aca="false">DEC2HEX(C1254*7)</f>
        <v>23</v>
      </c>
      <c r="H1254" s="1" t="n">
        <f aca="false">IF(D1254=0, 33, "cc")</f>
        <v>33</v>
      </c>
    </row>
    <row r="1255" customFormat="false" ht="18.65" hidden="false" customHeight="true" outlineLevel="0" collapsed="false">
      <c r="A1255" s="1" t="n">
        <f aca="false">ROW()-2</f>
        <v>1253</v>
      </c>
      <c r="B1255" s="1" t="n">
        <f aca="false">INT(A1255/$N$1)</f>
        <v>69</v>
      </c>
      <c r="C1255" s="1" t="n">
        <f aca="false">INT(MOD(A1255,$N$1) / 2)</f>
        <v>5</v>
      </c>
      <c r="D1255" s="1" t="n">
        <f aca="false">_xlfn.BITAND(A1255,1)</f>
        <v>1</v>
      </c>
      <c r="F1255" s="1" t="str">
        <f aca="false">DEC2HEX(B1255*$N$3*18)</f>
        <v>13680</v>
      </c>
      <c r="G1255" s="1" t="str">
        <f aca="false">DEC2HEX(C1255*7)</f>
        <v>23</v>
      </c>
      <c r="H1255" s="1" t="str">
        <f aca="false">IF(D1255=0, 33, "cc")</f>
        <v>cc</v>
      </c>
    </row>
    <row r="1256" customFormat="false" ht="18.65" hidden="false" customHeight="true" outlineLevel="0" collapsed="false">
      <c r="A1256" s="1" t="n">
        <f aca="false">ROW()-2</f>
        <v>1254</v>
      </c>
      <c r="B1256" s="1" t="n">
        <f aca="false">INT(A1256/$N$1)</f>
        <v>69</v>
      </c>
      <c r="C1256" s="1" t="n">
        <f aca="false">INT(MOD(A1256,$N$1) / 2)</f>
        <v>6</v>
      </c>
      <c r="D1256" s="1" t="n">
        <f aca="false">_xlfn.BITAND(A1256,1)</f>
        <v>0</v>
      </c>
      <c r="F1256" s="1" t="str">
        <f aca="false">DEC2HEX(B1256*$N$3*18)</f>
        <v>13680</v>
      </c>
      <c r="G1256" s="1" t="str">
        <f aca="false">DEC2HEX(C1256*7)</f>
        <v>2A</v>
      </c>
      <c r="H1256" s="1" t="n">
        <f aca="false">IF(D1256=0, 33, "cc")</f>
        <v>33</v>
      </c>
    </row>
    <row r="1257" customFormat="false" ht="18.65" hidden="false" customHeight="true" outlineLevel="0" collapsed="false">
      <c r="A1257" s="1" t="n">
        <f aca="false">ROW()-2</f>
        <v>1255</v>
      </c>
      <c r="B1257" s="1" t="n">
        <f aca="false">INT(A1257/$N$1)</f>
        <v>69</v>
      </c>
      <c r="C1257" s="1" t="n">
        <f aca="false">INT(MOD(A1257,$N$1) / 2)</f>
        <v>6</v>
      </c>
      <c r="D1257" s="1" t="n">
        <f aca="false">_xlfn.BITAND(A1257,1)</f>
        <v>1</v>
      </c>
      <c r="F1257" s="1" t="str">
        <f aca="false">DEC2HEX(B1257*$N$3*18)</f>
        <v>13680</v>
      </c>
      <c r="G1257" s="1" t="str">
        <f aca="false">DEC2HEX(C1257*7)</f>
        <v>2A</v>
      </c>
      <c r="H1257" s="1" t="str">
        <f aca="false">IF(D1257=0, 33, "cc")</f>
        <v>cc</v>
      </c>
    </row>
    <row r="1258" customFormat="false" ht="18.65" hidden="false" customHeight="true" outlineLevel="0" collapsed="false">
      <c r="A1258" s="1" t="n">
        <f aca="false">ROW()-2</f>
        <v>1256</v>
      </c>
      <c r="B1258" s="1" t="n">
        <f aca="false">INT(A1258/$N$1)</f>
        <v>69</v>
      </c>
      <c r="C1258" s="1" t="n">
        <f aca="false">INT(MOD(A1258,$N$1) / 2)</f>
        <v>7</v>
      </c>
      <c r="D1258" s="1" t="n">
        <f aca="false">_xlfn.BITAND(A1258,1)</f>
        <v>0</v>
      </c>
      <c r="F1258" s="1" t="str">
        <f aca="false">DEC2HEX(B1258*$N$3*18)</f>
        <v>13680</v>
      </c>
      <c r="G1258" s="1" t="str">
        <f aca="false">DEC2HEX(C1258*7)</f>
        <v>31</v>
      </c>
      <c r="H1258" s="1" t="n">
        <f aca="false">IF(D1258=0, 33, "cc")</f>
        <v>33</v>
      </c>
    </row>
    <row r="1259" customFormat="false" ht="18.65" hidden="false" customHeight="true" outlineLevel="0" collapsed="false">
      <c r="A1259" s="1" t="n">
        <f aca="false">ROW()-2</f>
        <v>1257</v>
      </c>
      <c r="B1259" s="1" t="n">
        <f aca="false">INT(A1259/$N$1)</f>
        <v>69</v>
      </c>
      <c r="C1259" s="1" t="n">
        <f aca="false">INT(MOD(A1259,$N$1) / 2)</f>
        <v>7</v>
      </c>
      <c r="D1259" s="1" t="n">
        <f aca="false">_xlfn.BITAND(A1259,1)</f>
        <v>1</v>
      </c>
      <c r="F1259" s="1" t="str">
        <f aca="false">DEC2HEX(B1259*$N$3*18)</f>
        <v>13680</v>
      </c>
      <c r="G1259" s="1" t="str">
        <f aca="false">DEC2HEX(C1259*7)</f>
        <v>31</v>
      </c>
      <c r="H1259" s="1" t="str">
        <f aca="false">IF(D1259=0, 33, "cc")</f>
        <v>cc</v>
      </c>
    </row>
    <row r="1260" customFormat="false" ht="18.65" hidden="false" customHeight="true" outlineLevel="0" collapsed="false">
      <c r="A1260" s="1" t="n">
        <f aca="false">ROW()-2</f>
        <v>1258</v>
      </c>
      <c r="B1260" s="1" t="n">
        <f aca="false">INT(A1260/$N$1)</f>
        <v>69</v>
      </c>
      <c r="C1260" s="1" t="n">
        <f aca="false">INT(MOD(A1260,$N$1) / 2)</f>
        <v>8</v>
      </c>
      <c r="D1260" s="1" t="n">
        <f aca="false">_xlfn.BITAND(A1260,1)</f>
        <v>0</v>
      </c>
      <c r="F1260" s="1" t="str">
        <f aca="false">DEC2HEX(B1260*$N$3*18)</f>
        <v>13680</v>
      </c>
      <c r="G1260" s="1" t="str">
        <f aca="false">DEC2HEX(C1260*7)</f>
        <v>38</v>
      </c>
      <c r="H1260" s="1" t="n">
        <f aca="false">IF(D1260=0, 33, "cc")</f>
        <v>33</v>
      </c>
    </row>
    <row r="1261" customFormat="false" ht="18.65" hidden="false" customHeight="true" outlineLevel="0" collapsed="false">
      <c r="A1261" s="1" t="n">
        <f aca="false">ROW()-2</f>
        <v>1259</v>
      </c>
      <c r="B1261" s="1" t="n">
        <f aca="false">INT(A1261/$N$1)</f>
        <v>69</v>
      </c>
      <c r="C1261" s="1" t="n">
        <f aca="false">INT(MOD(A1261,$N$1) / 2)</f>
        <v>8</v>
      </c>
      <c r="D1261" s="1" t="n">
        <f aca="false">_xlfn.BITAND(A1261,1)</f>
        <v>1</v>
      </c>
      <c r="F1261" s="1" t="str">
        <f aca="false">DEC2HEX(B1261*$N$3*18)</f>
        <v>13680</v>
      </c>
      <c r="G1261" s="1" t="str">
        <f aca="false">DEC2HEX(C1261*7)</f>
        <v>38</v>
      </c>
      <c r="H1261" s="1" t="str">
        <f aca="false">IF(D1261=0, 33, "cc")</f>
        <v>cc</v>
      </c>
    </row>
    <row r="1262" customFormat="false" ht="18.65" hidden="false" customHeight="true" outlineLevel="0" collapsed="false">
      <c r="A1262" s="1" t="n">
        <f aca="false">ROW()-2</f>
        <v>1260</v>
      </c>
      <c r="B1262" s="1" t="n">
        <f aca="false">INT(A1262/$N$1)</f>
        <v>70</v>
      </c>
      <c r="C1262" s="1" t="n">
        <f aca="false">INT(MOD(A1262,$N$1) / 2)</f>
        <v>0</v>
      </c>
      <c r="D1262" s="1" t="n">
        <f aca="false">_xlfn.BITAND(A1262,1)</f>
        <v>0</v>
      </c>
      <c r="F1262" s="1" t="str">
        <f aca="false">DEC2HEX(B1262*$N$3*18)</f>
        <v>13B00</v>
      </c>
      <c r="G1262" s="1" t="str">
        <f aca="false">DEC2HEX(C1262*7)</f>
        <v>0</v>
      </c>
      <c r="H1262" s="1" t="n">
        <f aca="false">IF(D1262=0, 33, "cc")</f>
        <v>33</v>
      </c>
    </row>
    <row r="1263" customFormat="false" ht="18.65" hidden="false" customHeight="true" outlineLevel="0" collapsed="false">
      <c r="A1263" s="1" t="n">
        <f aca="false">ROW()-2</f>
        <v>1261</v>
      </c>
      <c r="B1263" s="1" t="n">
        <f aca="false">INT(A1263/$N$1)</f>
        <v>70</v>
      </c>
      <c r="C1263" s="1" t="n">
        <f aca="false">INT(MOD(A1263,$N$1) / 2)</f>
        <v>0</v>
      </c>
      <c r="D1263" s="1" t="n">
        <f aca="false">_xlfn.BITAND(A1263,1)</f>
        <v>1</v>
      </c>
      <c r="F1263" s="1" t="str">
        <f aca="false">DEC2HEX(B1263*$N$3*18)</f>
        <v>13B00</v>
      </c>
      <c r="G1263" s="1" t="str">
        <f aca="false">DEC2HEX(C1263*7)</f>
        <v>0</v>
      </c>
      <c r="H1263" s="1" t="str">
        <f aca="false">IF(D1263=0, 33, "cc")</f>
        <v>cc</v>
      </c>
    </row>
    <row r="1264" customFormat="false" ht="18.65" hidden="false" customHeight="true" outlineLevel="0" collapsed="false">
      <c r="A1264" s="1" t="n">
        <f aca="false">ROW()-2</f>
        <v>1262</v>
      </c>
      <c r="B1264" s="1" t="n">
        <f aca="false">INT(A1264/$N$1)</f>
        <v>70</v>
      </c>
      <c r="C1264" s="1" t="n">
        <f aca="false">INT(MOD(A1264,$N$1) / 2)</f>
        <v>1</v>
      </c>
      <c r="D1264" s="1" t="n">
        <f aca="false">_xlfn.BITAND(A1264,1)</f>
        <v>0</v>
      </c>
      <c r="F1264" s="1" t="str">
        <f aca="false">DEC2HEX(B1264*$N$3*18)</f>
        <v>13B00</v>
      </c>
      <c r="G1264" s="1" t="str">
        <f aca="false">DEC2HEX(C1264*7)</f>
        <v>7</v>
      </c>
      <c r="H1264" s="1" t="n">
        <f aca="false">IF(D1264=0, 33, "cc")</f>
        <v>33</v>
      </c>
    </row>
    <row r="1265" customFormat="false" ht="18.65" hidden="false" customHeight="true" outlineLevel="0" collapsed="false">
      <c r="A1265" s="1" t="n">
        <f aca="false">ROW()-2</f>
        <v>1263</v>
      </c>
      <c r="B1265" s="1" t="n">
        <f aca="false">INT(A1265/$N$1)</f>
        <v>70</v>
      </c>
      <c r="C1265" s="1" t="n">
        <f aca="false">INT(MOD(A1265,$N$1) / 2)</f>
        <v>1</v>
      </c>
      <c r="D1265" s="1" t="n">
        <f aca="false">_xlfn.BITAND(A1265,1)</f>
        <v>1</v>
      </c>
      <c r="F1265" s="1" t="str">
        <f aca="false">DEC2HEX(B1265*$N$3*18)</f>
        <v>13B00</v>
      </c>
      <c r="G1265" s="1" t="str">
        <f aca="false">DEC2HEX(C1265*7)</f>
        <v>7</v>
      </c>
      <c r="H1265" s="1" t="str">
        <f aca="false">IF(D1265=0, 33, "cc")</f>
        <v>cc</v>
      </c>
    </row>
    <row r="1266" customFormat="false" ht="18.65" hidden="false" customHeight="true" outlineLevel="0" collapsed="false">
      <c r="A1266" s="1" t="n">
        <f aca="false">ROW()-2</f>
        <v>1264</v>
      </c>
      <c r="B1266" s="1" t="n">
        <f aca="false">INT(A1266/$N$1)</f>
        <v>70</v>
      </c>
      <c r="C1266" s="1" t="n">
        <f aca="false">INT(MOD(A1266,$N$1) / 2)</f>
        <v>2</v>
      </c>
      <c r="D1266" s="1" t="n">
        <f aca="false">_xlfn.BITAND(A1266,1)</f>
        <v>0</v>
      </c>
      <c r="F1266" s="1" t="str">
        <f aca="false">DEC2HEX(B1266*$N$3*18)</f>
        <v>13B00</v>
      </c>
      <c r="G1266" s="1" t="str">
        <f aca="false">DEC2HEX(C1266*7)</f>
        <v>E</v>
      </c>
      <c r="H1266" s="1" t="n">
        <f aca="false">IF(D1266=0, 33, "cc")</f>
        <v>33</v>
      </c>
    </row>
    <row r="1267" customFormat="false" ht="18.65" hidden="false" customHeight="true" outlineLevel="0" collapsed="false">
      <c r="A1267" s="1" t="n">
        <f aca="false">ROW()-2</f>
        <v>1265</v>
      </c>
      <c r="B1267" s="1" t="n">
        <f aca="false">INT(A1267/$N$1)</f>
        <v>70</v>
      </c>
      <c r="C1267" s="1" t="n">
        <f aca="false">INT(MOD(A1267,$N$1) / 2)</f>
        <v>2</v>
      </c>
      <c r="D1267" s="1" t="n">
        <f aca="false">_xlfn.BITAND(A1267,1)</f>
        <v>1</v>
      </c>
      <c r="F1267" s="1" t="str">
        <f aca="false">DEC2HEX(B1267*$N$3*18)</f>
        <v>13B00</v>
      </c>
      <c r="G1267" s="1" t="str">
        <f aca="false">DEC2HEX(C1267*7)</f>
        <v>E</v>
      </c>
      <c r="H1267" s="1" t="str">
        <f aca="false">IF(D1267=0, 33, "cc")</f>
        <v>cc</v>
      </c>
    </row>
    <row r="1268" customFormat="false" ht="18.65" hidden="false" customHeight="true" outlineLevel="0" collapsed="false">
      <c r="A1268" s="1" t="n">
        <f aca="false">ROW()-2</f>
        <v>1266</v>
      </c>
      <c r="B1268" s="1" t="n">
        <f aca="false">INT(A1268/$N$1)</f>
        <v>70</v>
      </c>
      <c r="C1268" s="1" t="n">
        <f aca="false">INT(MOD(A1268,$N$1) / 2)</f>
        <v>3</v>
      </c>
      <c r="D1268" s="1" t="n">
        <f aca="false">_xlfn.BITAND(A1268,1)</f>
        <v>0</v>
      </c>
      <c r="F1268" s="1" t="str">
        <f aca="false">DEC2HEX(B1268*$N$3*18)</f>
        <v>13B00</v>
      </c>
      <c r="G1268" s="1" t="str">
        <f aca="false">DEC2HEX(C1268*7)</f>
        <v>15</v>
      </c>
      <c r="H1268" s="1" t="n">
        <f aca="false">IF(D1268=0, 33, "cc")</f>
        <v>33</v>
      </c>
    </row>
    <row r="1269" customFormat="false" ht="18.65" hidden="false" customHeight="true" outlineLevel="0" collapsed="false">
      <c r="A1269" s="1" t="n">
        <f aca="false">ROW()-2</f>
        <v>1267</v>
      </c>
      <c r="B1269" s="1" t="n">
        <f aca="false">INT(A1269/$N$1)</f>
        <v>70</v>
      </c>
      <c r="C1269" s="1" t="n">
        <f aca="false">INT(MOD(A1269,$N$1) / 2)</f>
        <v>3</v>
      </c>
      <c r="D1269" s="1" t="n">
        <f aca="false">_xlfn.BITAND(A1269,1)</f>
        <v>1</v>
      </c>
      <c r="F1269" s="1" t="str">
        <f aca="false">DEC2HEX(B1269*$N$3*18)</f>
        <v>13B00</v>
      </c>
      <c r="G1269" s="1" t="str">
        <f aca="false">DEC2HEX(C1269*7)</f>
        <v>15</v>
      </c>
      <c r="H1269" s="1" t="str">
        <f aca="false">IF(D1269=0, 33, "cc")</f>
        <v>cc</v>
      </c>
    </row>
    <row r="1270" customFormat="false" ht="18.65" hidden="false" customHeight="true" outlineLevel="0" collapsed="false">
      <c r="A1270" s="1" t="n">
        <f aca="false">ROW()-2</f>
        <v>1268</v>
      </c>
      <c r="B1270" s="1" t="n">
        <f aca="false">INT(A1270/$N$1)</f>
        <v>70</v>
      </c>
      <c r="C1270" s="1" t="n">
        <f aca="false">INT(MOD(A1270,$N$1) / 2)</f>
        <v>4</v>
      </c>
      <c r="D1270" s="1" t="n">
        <f aca="false">_xlfn.BITAND(A1270,1)</f>
        <v>0</v>
      </c>
      <c r="F1270" s="1" t="str">
        <f aca="false">DEC2HEX(B1270*$N$3*18)</f>
        <v>13B00</v>
      </c>
      <c r="G1270" s="1" t="str">
        <f aca="false">DEC2HEX(C1270*7)</f>
        <v>1C</v>
      </c>
      <c r="H1270" s="1" t="n">
        <f aca="false">IF(D1270=0, 33, "cc")</f>
        <v>33</v>
      </c>
    </row>
    <row r="1271" customFormat="false" ht="18.65" hidden="false" customHeight="true" outlineLevel="0" collapsed="false">
      <c r="A1271" s="1" t="n">
        <f aca="false">ROW()-2</f>
        <v>1269</v>
      </c>
      <c r="B1271" s="1" t="n">
        <f aca="false">INT(A1271/$N$1)</f>
        <v>70</v>
      </c>
      <c r="C1271" s="1" t="n">
        <f aca="false">INT(MOD(A1271,$N$1) / 2)</f>
        <v>4</v>
      </c>
      <c r="D1271" s="1" t="n">
        <f aca="false">_xlfn.BITAND(A1271,1)</f>
        <v>1</v>
      </c>
      <c r="F1271" s="1" t="str">
        <f aca="false">DEC2HEX(B1271*$N$3*18)</f>
        <v>13B00</v>
      </c>
      <c r="G1271" s="1" t="str">
        <f aca="false">DEC2HEX(C1271*7)</f>
        <v>1C</v>
      </c>
      <c r="H1271" s="1" t="str">
        <f aca="false">IF(D1271=0, 33, "cc")</f>
        <v>cc</v>
      </c>
    </row>
    <row r="1272" customFormat="false" ht="18.65" hidden="false" customHeight="true" outlineLevel="0" collapsed="false">
      <c r="A1272" s="1" t="n">
        <f aca="false">ROW()-2</f>
        <v>1270</v>
      </c>
      <c r="B1272" s="1" t="n">
        <f aca="false">INT(A1272/$N$1)</f>
        <v>70</v>
      </c>
      <c r="C1272" s="1" t="n">
        <f aca="false">INT(MOD(A1272,$N$1) / 2)</f>
        <v>5</v>
      </c>
      <c r="D1272" s="1" t="n">
        <f aca="false">_xlfn.BITAND(A1272,1)</f>
        <v>0</v>
      </c>
      <c r="F1272" s="1" t="str">
        <f aca="false">DEC2HEX(B1272*$N$3*18)</f>
        <v>13B00</v>
      </c>
      <c r="G1272" s="1" t="str">
        <f aca="false">DEC2HEX(C1272*7)</f>
        <v>23</v>
      </c>
      <c r="H1272" s="1" t="n">
        <f aca="false">IF(D1272=0, 33, "cc")</f>
        <v>33</v>
      </c>
    </row>
    <row r="1273" customFormat="false" ht="18.65" hidden="false" customHeight="true" outlineLevel="0" collapsed="false">
      <c r="A1273" s="1" t="n">
        <f aca="false">ROW()-2</f>
        <v>1271</v>
      </c>
      <c r="B1273" s="1" t="n">
        <f aca="false">INT(A1273/$N$1)</f>
        <v>70</v>
      </c>
      <c r="C1273" s="1" t="n">
        <f aca="false">INT(MOD(A1273,$N$1) / 2)</f>
        <v>5</v>
      </c>
      <c r="D1273" s="1" t="n">
        <f aca="false">_xlfn.BITAND(A1273,1)</f>
        <v>1</v>
      </c>
      <c r="F1273" s="1" t="str">
        <f aca="false">DEC2HEX(B1273*$N$3*18)</f>
        <v>13B00</v>
      </c>
      <c r="G1273" s="1" t="str">
        <f aca="false">DEC2HEX(C1273*7)</f>
        <v>23</v>
      </c>
      <c r="H1273" s="1" t="str">
        <f aca="false">IF(D1273=0, 33, "cc")</f>
        <v>cc</v>
      </c>
    </row>
    <row r="1274" customFormat="false" ht="18.65" hidden="false" customHeight="true" outlineLevel="0" collapsed="false">
      <c r="A1274" s="1" t="n">
        <f aca="false">ROW()-2</f>
        <v>1272</v>
      </c>
      <c r="B1274" s="1" t="n">
        <f aca="false">INT(A1274/$N$1)</f>
        <v>70</v>
      </c>
      <c r="C1274" s="1" t="n">
        <f aca="false">INT(MOD(A1274,$N$1) / 2)</f>
        <v>6</v>
      </c>
      <c r="D1274" s="1" t="n">
        <f aca="false">_xlfn.BITAND(A1274,1)</f>
        <v>0</v>
      </c>
      <c r="F1274" s="1" t="str">
        <f aca="false">DEC2HEX(B1274*$N$3*18)</f>
        <v>13B00</v>
      </c>
      <c r="G1274" s="1" t="str">
        <f aca="false">DEC2HEX(C1274*7)</f>
        <v>2A</v>
      </c>
      <c r="H1274" s="1" t="n">
        <f aca="false">IF(D1274=0, 33, "cc")</f>
        <v>33</v>
      </c>
    </row>
    <row r="1275" customFormat="false" ht="18.65" hidden="false" customHeight="true" outlineLevel="0" collapsed="false">
      <c r="A1275" s="1" t="n">
        <f aca="false">ROW()-2</f>
        <v>1273</v>
      </c>
      <c r="B1275" s="1" t="n">
        <f aca="false">INT(A1275/$N$1)</f>
        <v>70</v>
      </c>
      <c r="C1275" s="1" t="n">
        <f aca="false">INT(MOD(A1275,$N$1) / 2)</f>
        <v>6</v>
      </c>
      <c r="D1275" s="1" t="n">
        <f aca="false">_xlfn.BITAND(A1275,1)</f>
        <v>1</v>
      </c>
      <c r="F1275" s="1" t="str">
        <f aca="false">DEC2HEX(B1275*$N$3*18)</f>
        <v>13B00</v>
      </c>
      <c r="G1275" s="1" t="str">
        <f aca="false">DEC2HEX(C1275*7)</f>
        <v>2A</v>
      </c>
      <c r="H1275" s="1" t="str">
        <f aca="false">IF(D1275=0, 33, "cc")</f>
        <v>cc</v>
      </c>
    </row>
    <row r="1276" customFormat="false" ht="18.65" hidden="false" customHeight="true" outlineLevel="0" collapsed="false">
      <c r="A1276" s="1" t="n">
        <f aca="false">ROW()-2</f>
        <v>1274</v>
      </c>
      <c r="B1276" s="1" t="n">
        <f aca="false">INT(A1276/$N$1)</f>
        <v>70</v>
      </c>
      <c r="C1276" s="1" t="n">
        <f aca="false">INT(MOD(A1276,$N$1) / 2)</f>
        <v>7</v>
      </c>
      <c r="D1276" s="1" t="n">
        <f aca="false">_xlfn.BITAND(A1276,1)</f>
        <v>0</v>
      </c>
      <c r="F1276" s="1" t="str">
        <f aca="false">DEC2HEX(B1276*$N$3*18)</f>
        <v>13B00</v>
      </c>
      <c r="G1276" s="1" t="str">
        <f aca="false">DEC2HEX(C1276*7)</f>
        <v>31</v>
      </c>
      <c r="H1276" s="1" t="n">
        <f aca="false">IF(D1276=0, 33, "cc")</f>
        <v>33</v>
      </c>
    </row>
    <row r="1277" customFormat="false" ht="18.65" hidden="false" customHeight="true" outlineLevel="0" collapsed="false">
      <c r="A1277" s="1" t="n">
        <f aca="false">ROW()-2</f>
        <v>1275</v>
      </c>
      <c r="B1277" s="1" t="n">
        <f aca="false">INT(A1277/$N$1)</f>
        <v>70</v>
      </c>
      <c r="C1277" s="1" t="n">
        <f aca="false">INT(MOD(A1277,$N$1) / 2)</f>
        <v>7</v>
      </c>
      <c r="D1277" s="1" t="n">
        <f aca="false">_xlfn.BITAND(A1277,1)</f>
        <v>1</v>
      </c>
      <c r="F1277" s="1" t="str">
        <f aca="false">DEC2HEX(B1277*$N$3*18)</f>
        <v>13B00</v>
      </c>
      <c r="G1277" s="1" t="str">
        <f aca="false">DEC2HEX(C1277*7)</f>
        <v>31</v>
      </c>
      <c r="H1277" s="1" t="str">
        <f aca="false">IF(D1277=0, 33, "cc")</f>
        <v>cc</v>
      </c>
    </row>
    <row r="1278" customFormat="false" ht="18.65" hidden="false" customHeight="true" outlineLevel="0" collapsed="false">
      <c r="A1278" s="1" t="n">
        <f aca="false">ROW()-2</f>
        <v>1276</v>
      </c>
      <c r="B1278" s="1" t="n">
        <f aca="false">INT(A1278/$N$1)</f>
        <v>70</v>
      </c>
      <c r="C1278" s="1" t="n">
        <f aca="false">INT(MOD(A1278,$N$1) / 2)</f>
        <v>8</v>
      </c>
      <c r="D1278" s="1" t="n">
        <f aca="false">_xlfn.BITAND(A1278,1)</f>
        <v>0</v>
      </c>
      <c r="F1278" s="1" t="str">
        <f aca="false">DEC2HEX(B1278*$N$3*18)</f>
        <v>13B00</v>
      </c>
      <c r="G1278" s="1" t="str">
        <f aca="false">DEC2HEX(C1278*7)</f>
        <v>38</v>
      </c>
      <c r="H1278" s="1" t="n">
        <f aca="false">IF(D1278=0, 33, "cc")</f>
        <v>33</v>
      </c>
    </row>
    <row r="1279" customFormat="false" ht="18.65" hidden="false" customHeight="true" outlineLevel="0" collapsed="false">
      <c r="A1279" s="1" t="n">
        <f aca="false">ROW()-2</f>
        <v>1277</v>
      </c>
      <c r="B1279" s="1" t="n">
        <f aca="false">INT(A1279/$N$1)</f>
        <v>70</v>
      </c>
      <c r="C1279" s="1" t="n">
        <f aca="false">INT(MOD(A1279,$N$1) / 2)</f>
        <v>8</v>
      </c>
      <c r="D1279" s="1" t="n">
        <f aca="false">_xlfn.BITAND(A1279,1)</f>
        <v>1</v>
      </c>
      <c r="F1279" s="1" t="str">
        <f aca="false">DEC2HEX(B1279*$N$3*18)</f>
        <v>13B00</v>
      </c>
      <c r="G1279" s="1" t="str">
        <f aca="false">DEC2HEX(C1279*7)</f>
        <v>38</v>
      </c>
      <c r="H1279" s="1" t="str">
        <f aca="false">IF(D1279=0, 33, "cc")</f>
        <v>cc</v>
      </c>
    </row>
    <row r="1280" customFormat="false" ht="18.65" hidden="false" customHeight="true" outlineLevel="0" collapsed="false">
      <c r="A1280" s="1" t="n">
        <f aca="false">ROW()-2</f>
        <v>1278</v>
      </c>
      <c r="B1280" s="1" t="n">
        <f aca="false">INT(A1280/$N$1)</f>
        <v>71</v>
      </c>
      <c r="C1280" s="1" t="n">
        <f aca="false">INT(MOD(A1280,$N$1) / 2)</f>
        <v>0</v>
      </c>
      <c r="D1280" s="1" t="n">
        <f aca="false">_xlfn.BITAND(A1280,1)</f>
        <v>0</v>
      </c>
      <c r="F1280" s="1" t="str">
        <f aca="false">DEC2HEX(B1280*$N$3*18)</f>
        <v>13F80</v>
      </c>
      <c r="G1280" s="1" t="str">
        <f aca="false">DEC2HEX(C1280*7)</f>
        <v>0</v>
      </c>
      <c r="H1280" s="1" t="n">
        <f aca="false">IF(D1280=0, 33, "cc")</f>
        <v>33</v>
      </c>
    </row>
    <row r="1281" customFormat="false" ht="18.65" hidden="false" customHeight="true" outlineLevel="0" collapsed="false">
      <c r="A1281" s="1" t="n">
        <f aca="false">ROW()-2</f>
        <v>1279</v>
      </c>
      <c r="B1281" s="1" t="n">
        <f aca="false">INT(A1281/$N$1)</f>
        <v>71</v>
      </c>
      <c r="C1281" s="1" t="n">
        <f aca="false">INT(MOD(A1281,$N$1) / 2)</f>
        <v>0</v>
      </c>
      <c r="D1281" s="1" t="n">
        <f aca="false">_xlfn.BITAND(A1281,1)</f>
        <v>1</v>
      </c>
      <c r="F1281" s="1" t="str">
        <f aca="false">DEC2HEX(B1281*$N$3*18)</f>
        <v>13F80</v>
      </c>
      <c r="G1281" s="1" t="str">
        <f aca="false">DEC2HEX(C1281*7)</f>
        <v>0</v>
      </c>
      <c r="H1281" s="1" t="str">
        <f aca="false">IF(D1281=0, 33, "cc")</f>
        <v>cc</v>
      </c>
    </row>
    <row r="1282" customFormat="false" ht="18.65" hidden="false" customHeight="true" outlineLevel="0" collapsed="false">
      <c r="A1282" s="1" t="n">
        <f aca="false">ROW()-2</f>
        <v>1280</v>
      </c>
      <c r="B1282" s="1" t="n">
        <f aca="false">INT(A1282/$N$1)</f>
        <v>71</v>
      </c>
      <c r="C1282" s="1" t="n">
        <f aca="false">INT(MOD(A1282,$N$1) / 2)</f>
        <v>1</v>
      </c>
      <c r="D1282" s="1" t="n">
        <f aca="false">_xlfn.BITAND(A1282,1)</f>
        <v>0</v>
      </c>
      <c r="F1282" s="1" t="str">
        <f aca="false">DEC2HEX(B1282*$N$3*18)</f>
        <v>13F80</v>
      </c>
      <c r="G1282" s="1" t="str">
        <f aca="false">DEC2HEX(C1282*7)</f>
        <v>7</v>
      </c>
      <c r="H1282" s="1" t="n">
        <f aca="false">IF(D1282=0, 33, "cc")</f>
        <v>33</v>
      </c>
    </row>
    <row r="1283" customFormat="false" ht="18.65" hidden="false" customHeight="true" outlineLevel="0" collapsed="false">
      <c r="A1283" s="1" t="n">
        <f aca="false">ROW()-2</f>
        <v>1281</v>
      </c>
      <c r="B1283" s="1" t="n">
        <f aca="false">INT(A1283/$N$1)</f>
        <v>71</v>
      </c>
      <c r="C1283" s="1" t="n">
        <f aca="false">INT(MOD(A1283,$N$1) / 2)</f>
        <v>1</v>
      </c>
      <c r="D1283" s="1" t="n">
        <f aca="false">_xlfn.BITAND(A1283,1)</f>
        <v>1</v>
      </c>
      <c r="F1283" s="1" t="str">
        <f aca="false">DEC2HEX(B1283*$N$3*18)</f>
        <v>13F80</v>
      </c>
      <c r="G1283" s="1" t="str">
        <f aca="false">DEC2HEX(C1283*7)</f>
        <v>7</v>
      </c>
      <c r="H1283" s="1" t="str">
        <f aca="false">IF(D1283=0, 33, "cc")</f>
        <v>cc</v>
      </c>
    </row>
    <row r="1284" customFormat="false" ht="18.65" hidden="false" customHeight="true" outlineLevel="0" collapsed="false">
      <c r="A1284" s="1" t="n">
        <f aca="false">ROW()-2</f>
        <v>1282</v>
      </c>
      <c r="B1284" s="1" t="n">
        <f aca="false">INT(A1284/$N$1)</f>
        <v>71</v>
      </c>
      <c r="C1284" s="1" t="n">
        <f aca="false">INT(MOD(A1284,$N$1) / 2)</f>
        <v>2</v>
      </c>
      <c r="D1284" s="1" t="n">
        <f aca="false">_xlfn.BITAND(A1284,1)</f>
        <v>0</v>
      </c>
      <c r="F1284" s="1" t="str">
        <f aca="false">DEC2HEX(B1284*$N$3*18)</f>
        <v>13F80</v>
      </c>
      <c r="G1284" s="1" t="str">
        <f aca="false">DEC2HEX(C1284*7)</f>
        <v>E</v>
      </c>
      <c r="H1284" s="1" t="n">
        <f aca="false">IF(D1284=0, 33, "cc")</f>
        <v>33</v>
      </c>
    </row>
    <row r="1285" customFormat="false" ht="18.65" hidden="false" customHeight="true" outlineLevel="0" collapsed="false">
      <c r="A1285" s="1" t="n">
        <f aca="false">ROW()-2</f>
        <v>1283</v>
      </c>
      <c r="B1285" s="1" t="n">
        <f aca="false">INT(A1285/$N$1)</f>
        <v>71</v>
      </c>
      <c r="C1285" s="1" t="n">
        <f aca="false">INT(MOD(A1285,$N$1) / 2)</f>
        <v>2</v>
      </c>
      <c r="D1285" s="1" t="n">
        <f aca="false">_xlfn.BITAND(A1285,1)</f>
        <v>1</v>
      </c>
      <c r="F1285" s="1" t="str">
        <f aca="false">DEC2HEX(B1285*$N$3*18)</f>
        <v>13F80</v>
      </c>
      <c r="G1285" s="1" t="str">
        <f aca="false">DEC2HEX(C1285*7)</f>
        <v>E</v>
      </c>
      <c r="H1285" s="1" t="str">
        <f aca="false">IF(D1285=0, 33, "cc")</f>
        <v>cc</v>
      </c>
    </row>
    <row r="1286" customFormat="false" ht="18.65" hidden="false" customHeight="true" outlineLevel="0" collapsed="false">
      <c r="A1286" s="1" t="n">
        <f aca="false">ROW()-2</f>
        <v>1284</v>
      </c>
      <c r="B1286" s="1" t="n">
        <f aca="false">INT(A1286/$N$1)</f>
        <v>71</v>
      </c>
      <c r="C1286" s="1" t="n">
        <f aca="false">INT(MOD(A1286,$N$1) / 2)</f>
        <v>3</v>
      </c>
      <c r="D1286" s="1" t="n">
        <f aca="false">_xlfn.BITAND(A1286,1)</f>
        <v>0</v>
      </c>
      <c r="F1286" s="1" t="str">
        <f aca="false">DEC2HEX(B1286*$N$3*18)</f>
        <v>13F80</v>
      </c>
      <c r="G1286" s="1" t="str">
        <f aca="false">DEC2HEX(C1286*7)</f>
        <v>15</v>
      </c>
      <c r="H1286" s="1" t="n">
        <f aca="false">IF(D1286=0, 33, "cc")</f>
        <v>33</v>
      </c>
    </row>
    <row r="1287" customFormat="false" ht="18.65" hidden="false" customHeight="true" outlineLevel="0" collapsed="false">
      <c r="A1287" s="1" t="n">
        <f aca="false">ROW()-2</f>
        <v>1285</v>
      </c>
      <c r="B1287" s="1" t="n">
        <f aca="false">INT(A1287/$N$1)</f>
        <v>71</v>
      </c>
      <c r="C1287" s="1" t="n">
        <f aca="false">INT(MOD(A1287,$N$1) / 2)</f>
        <v>3</v>
      </c>
      <c r="D1287" s="1" t="n">
        <f aca="false">_xlfn.BITAND(A1287,1)</f>
        <v>1</v>
      </c>
      <c r="F1287" s="1" t="str">
        <f aca="false">DEC2HEX(B1287*$N$3*18)</f>
        <v>13F80</v>
      </c>
      <c r="G1287" s="1" t="str">
        <f aca="false">DEC2HEX(C1287*7)</f>
        <v>15</v>
      </c>
      <c r="H1287" s="1" t="str">
        <f aca="false">IF(D1287=0, 33, "cc")</f>
        <v>cc</v>
      </c>
    </row>
    <row r="1288" customFormat="false" ht="18.65" hidden="false" customHeight="true" outlineLevel="0" collapsed="false">
      <c r="A1288" s="1" t="n">
        <f aca="false">ROW()-2</f>
        <v>1286</v>
      </c>
      <c r="B1288" s="1" t="n">
        <f aca="false">INT(A1288/$N$1)</f>
        <v>71</v>
      </c>
      <c r="C1288" s="1" t="n">
        <f aca="false">INT(MOD(A1288,$N$1) / 2)</f>
        <v>4</v>
      </c>
      <c r="D1288" s="1" t="n">
        <f aca="false">_xlfn.BITAND(A1288,1)</f>
        <v>0</v>
      </c>
      <c r="F1288" s="1" t="str">
        <f aca="false">DEC2HEX(B1288*$N$3*18)</f>
        <v>13F80</v>
      </c>
      <c r="G1288" s="1" t="str">
        <f aca="false">DEC2HEX(C1288*7)</f>
        <v>1C</v>
      </c>
      <c r="H1288" s="1" t="n">
        <f aca="false">IF(D1288=0, 33, "cc")</f>
        <v>33</v>
      </c>
    </row>
    <row r="1289" customFormat="false" ht="18.65" hidden="false" customHeight="true" outlineLevel="0" collapsed="false">
      <c r="A1289" s="1" t="n">
        <f aca="false">ROW()-2</f>
        <v>1287</v>
      </c>
      <c r="B1289" s="1" t="n">
        <f aca="false">INT(A1289/$N$1)</f>
        <v>71</v>
      </c>
      <c r="C1289" s="1" t="n">
        <f aca="false">INT(MOD(A1289,$N$1) / 2)</f>
        <v>4</v>
      </c>
      <c r="D1289" s="1" t="n">
        <f aca="false">_xlfn.BITAND(A1289,1)</f>
        <v>1</v>
      </c>
      <c r="F1289" s="1" t="str">
        <f aca="false">DEC2HEX(B1289*$N$3*18)</f>
        <v>13F80</v>
      </c>
      <c r="G1289" s="1" t="str">
        <f aca="false">DEC2HEX(C1289*7)</f>
        <v>1C</v>
      </c>
      <c r="H1289" s="1" t="str">
        <f aca="false">IF(D1289=0, 33, "cc")</f>
        <v>cc</v>
      </c>
    </row>
    <row r="1290" customFormat="false" ht="18.65" hidden="false" customHeight="true" outlineLevel="0" collapsed="false">
      <c r="A1290" s="1" t="n">
        <f aca="false">ROW()-2</f>
        <v>1288</v>
      </c>
      <c r="B1290" s="1" t="n">
        <f aca="false">INT(A1290/$N$1)</f>
        <v>71</v>
      </c>
      <c r="C1290" s="1" t="n">
        <f aca="false">INT(MOD(A1290,$N$1) / 2)</f>
        <v>5</v>
      </c>
      <c r="D1290" s="1" t="n">
        <f aca="false">_xlfn.BITAND(A1290,1)</f>
        <v>0</v>
      </c>
      <c r="F1290" s="1" t="str">
        <f aca="false">DEC2HEX(B1290*$N$3*18)</f>
        <v>13F80</v>
      </c>
      <c r="G1290" s="1" t="str">
        <f aca="false">DEC2HEX(C1290*7)</f>
        <v>23</v>
      </c>
      <c r="H1290" s="1" t="n">
        <f aca="false">IF(D1290=0, 33, "cc")</f>
        <v>33</v>
      </c>
    </row>
    <row r="1291" customFormat="false" ht="18.65" hidden="false" customHeight="true" outlineLevel="0" collapsed="false">
      <c r="A1291" s="1" t="n">
        <f aca="false">ROW()-2</f>
        <v>1289</v>
      </c>
      <c r="B1291" s="1" t="n">
        <f aca="false">INT(A1291/$N$1)</f>
        <v>71</v>
      </c>
      <c r="C1291" s="1" t="n">
        <f aca="false">INT(MOD(A1291,$N$1) / 2)</f>
        <v>5</v>
      </c>
      <c r="D1291" s="1" t="n">
        <f aca="false">_xlfn.BITAND(A1291,1)</f>
        <v>1</v>
      </c>
      <c r="F1291" s="1" t="str">
        <f aca="false">DEC2HEX(B1291*$N$3*18)</f>
        <v>13F80</v>
      </c>
      <c r="G1291" s="1" t="str">
        <f aca="false">DEC2HEX(C1291*7)</f>
        <v>23</v>
      </c>
      <c r="H1291" s="1" t="str">
        <f aca="false">IF(D1291=0, 33, "cc")</f>
        <v>cc</v>
      </c>
    </row>
    <row r="1292" customFormat="false" ht="18.65" hidden="false" customHeight="true" outlineLevel="0" collapsed="false">
      <c r="A1292" s="1" t="n">
        <f aca="false">ROW()-2</f>
        <v>1290</v>
      </c>
      <c r="B1292" s="1" t="n">
        <f aca="false">INT(A1292/$N$1)</f>
        <v>71</v>
      </c>
      <c r="C1292" s="1" t="n">
        <f aca="false">INT(MOD(A1292,$N$1) / 2)</f>
        <v>6</v>
      </c>
      <c r="D1292" s="1" t="n">
        <f aca="false">_xlfn.BITAND(A1292,1)</f>
        <v>0</v>
      </c>
      <c r="F1292" s="1" t="str">
        <f aca="false">DEC2HEX(B1292*$N$3*18)</f>
        <v>13F80</v>
      </c>
      <c r="G1292" s="1" t="str">
        <f aca="false">DEC2HEX(C1292*7)</f>
        <v>2A</v>
      </c>
      <c r="H1292" s="1" t="n">
        <f aca="false">IF(D1292=0, 33, "cc")</f>
        <v>33</v>
      </c>
    </row>
    <row r="1293" customFormat="false" ht="18.65" hidden="false" customHeight="true" outlineLevel="0" collapsed="false">
      <c r="A1293" s="1" t="n">
        <f aca="false">ROW()-2</f>
        <v>1291</v>
      </c>
      <c r="B1293" s="1" t="n">
        <f aca="false">INT(A1293/$N$1)</f>
        <v>71</v>
      </c>
      <c r="C1293" s="1" t="n">
        <f aca="false">INT(MOD(A1293,$N$1) / 2)</f>
        <v>6</v>
      </c>
      <c r="D1293" s="1" t="n">
        <f aca="false">_xlfn.BITAND(A1293,1)</f>
        <v>1</v>
      </c>
      <c r="F1293" s="1" t="str">
        <f aca="false">DEC2HEX(B1293*$N$3*18)</f>
        <v>13F80</v>
      </c>
      <c r="G1293" s="1" t="str">
        <f aca="false">DEC2HEX(C1293*7)</f>
        <v>2A</v>
      </c>
      <c r="H1293" s="1" t="str">
        <f aca="false">IF(D1293=0, 33, "cc")</f>
        <v>cc</v>
      </c>
    </row>
    <row r="1294" customFormat="false" ht="18.65" hidden="false" customHeight="true" outlineLevel="0" collapsed="false">
      <c r="A1294" s="1" t="n">
        <f aca="false">ROW()-2</f>
        <v>1292</v>
      </c>
      <c r="B1294" s="1" t="n">
        <f aca="false">INT(A1294/$N$1)</f>
        <v>71</v>
      </c>
      <c r="C1294" s="1" t="n">
        <f aca="false">INT(MOD(A1294,$N$1) / 2)</f>
        <v>7</v>
      </c>
      <c r="D1294" s="1" t="n">
        <f aca="false">_xlfn.BITAND(A1294,1)</f>
        <v>0</v>
      </c>
      <c r="F1294" s="1" t="str">
        <f aca="false">DEC2HEX(B1294*$N$3*18)</f>
        <v>13F80</v>
      </c>
      <c r="G1294" s="1" t="str">
        <f aca="false">DEC2HEX(C1294*7)</f>
        <v>31</v>
      </c>
      <c r="H1294" s="1" t="n">
        <f aca="false">IF(D1294=0, 33, "cc")</f>
        <v>33</v>
      </c>
    </row>
    <row r="1295" customFormat="false" ht="18.65" hidden="false" customHeight="true" outlineLevel="0" collapsed="false">
      <c r="A1295" s="1" t="n">
        <f aca="false">ROW()-2</f>
        <v>1293</v>
      </c>
      <c r="B1295" s="1" t="n">
        <f aca="false">INT(A1295/$N$1)</f>
        <v>71</v>
      </c>
      <c r="C1295" s="1" t="n">
        <f aca="false">INT(MOD(A1295,$N$1) / 2)</f>
        <v>7</v>
      </c>
      <c r="D1295" s="1" t="n">
        <f aca="false">_xlfn.BITAND(A1295,1)</f>
        <v>1</v>
      </c>
      <c r="F1295" s="1" t="str">
        <f aca="false">DEC2HEX(B1295*$N$3*18)</f>
        <v>13F80</v>
      </c>
      <c r="G1295" s="1" t="str">
        <f aca="false">DEC2HEX(C1295*7)</f>
        <v>31</v>
      </c>
      <c r="H1295" s="1" t="str">
        <f aca="false">IF(D1295=0, 33, "cc")</f>
        <v>cc</v>
      </c>
    </row>
    <row r="1296" customFormat="false" ht="18.65" hidden="false" customHeight="true" outlineLevel="0" collapsed="false">
      <c r="A1296" s="1" t="n">
        <f aca="false">ROW()-2</f>
        <v>1294</v>
      </c>
      <c r="B1296" s="1" t="n">
        <f aca="false">INT(A1296/$N$1)</f>
        <v>71</v>
      </c>
      <c r="C1296" s="1" t="n">
        <f aca="false">INT(MOD(A1296,$N$1) / 2)</f>
        <v>8</v>
      </c>
      <c r="D1296" s="1" t="n">
        <f aca="false">_xlfn.BITAND(A1296,1)</f>
        <v>0</v>
      </c>
      <c r="F1296" s="1" t="str">
        <f aca="false">DEC2HEX(B1296*$N$3*18)</f>
        <v>13F80</v>
      </c>
      <c r="G1296" s="1" t="str">
        <f aca="false">DEC2HEX(C1296*7)</f>
        <v>38</v>
      </c>
      <c r="H1296" s="1" t="n">
        <f aca="false">IF(D1296=0, 33, "cc")</f>
        <v>33</v>
      </c>
    </row>
    <row r="1297" customFormat="false" ht="18.65" hidden="false" customHeight="true" outlineLevel="0" collapsed="false">
      <c r="A1297" s="1" t="n">
        <f aca="false">ROW()-2</f>
        <v>1295</v>
      </c>
      <c r="B1297" s="1" t="n">
        <f aca="false">INT(A1297/$N$1)</f>
        <v>71</v>
      </c>
      <c r="C1297" s="1" t="n">
        <f aca="false">INT(MOD(A1297,$N$1) / 2)</f>
        <v>8</v>
      </c>
      <c r="D1297" s="1" t="n">
        <f aca="false">_xlfn.BITAND(A1297,1)</f>
        <v>1</v>
      </c>
      <c r="F1297" s="1" t="str">
        <f aca="false">DEC2HEX(B1297*$N$3*18)</f>
        <v>13F80</v>
      </c>
      <c r="G1297" s="1" t="str">
        <f aca="false">DEC2HEX(C1297*7)</f>
        <v>38</v>
      </c>
      <c r="H1297" s="1" t="str">
        <f aca="false">IF(D1297=0, 33, "cc")</f>
        <v>cc</v>
      </c>
    </row>
    <row r="1298" customFormat="false" ht="18.65" hidden="false" customHeight="true" outlineLevel="0" collapsed="false">
      <c r="A1298" s="1" t="n">
        <f aca="false">ROW()-2</f>
        <v>1296</v>
      </c>
      <c r="B1298" s="1" t="n">
        <f aca="false">INT(A1298/$N$1)</f>
        <v>72</v>
      </c>
      <c r="C1298" s="1" t="n">
        <f aca="false">INT(MOD(A1298,$N$1) / 2)</f>
        <v>0</v>
      </c>
      <c r="D1298" s="1" t="n">
        <f aca="false">_xlfn.BITAND(A1298,1)</f>
        <v>0</v>
      </c>
      <c r="F1298" s="1" t="str">
        <f aca="false">DEC2HEX(B1298*$N$3*18)</f>
        <v>14400</v>
      </c>
      <c r="G1298" s="1" t="str">
        <f aca="false">DEC2HEX(C1298*7)</f>
        <v>0</v>
      </c>
      <c r="H1298" s="1" t="n">
        <f aca="false">IF(D1298=0, 33, "cc")</f>
        <v>33</v>
      </c>
    </row>
    <row r="1299" customFormat="false" ht="18.65" hidden="false" customHeight="true" outlineLevel="0" collapsed="false">
      <c r="A1299" s="1" t="n">
        <f aca="false">ROW()-2</f>
        <v>1297</v>
      </c>
      <c r="B1299" s="1" t="n">
        <f aca="false">INT(A1299/$N$1)</f>
        <v>72</v>
      </c>
      <c r="C1299" s="1" t="n">
        <f aca="false">INT(MOD(A1299,$N$1) / 2)</f>
        <v>0</v>
      </c>
      <c r="D1299" s="1" t="n">
        <f aca="false">_xlfn.BITAND(A1299,1)</f>
        <v>1</v>
      </c>
      <c r="F1299" s="1" t="str">
        <f aca="false">DEC2HEX(B1299*$N$3*18)</f>
        <v>14400</v>
      </c>
      <c r="G1299" s="1" t="str">
        <f aca="false">DEC2HEX(C1299*7)</f>
        <v>0</v>
      </c>
      <c r="H1299" s="1" t="str">
        <f aca="false">IF(D1299=0, 33, "cc")</f>
        <v>cc</v>
      </c>
    </row>
    <row r="1300" customFormat="false" ht="18.65" hidden="false" customHeight="true" outlineLevel="0" collapsed="false">
      <c r="A1300" s="1" t="n">
        <f aca="false">ROW()-2</f>
        <v>1298</v>
      </c>
      <c r="B1300" s="1" t="n">
        <f aca="false">INT(A1300/$N$1)</f>
        <v>72</v>
      </c>
      <c r="C1300" s="1" t="n">
        <f aca="false">INT(MOD(A1300,$N$1) / 2)</f>
        <v>1</v>
      </c>
      <c r="D1300" s="1" t="n">
        <f aca="false">_xlfn.BITAND(A1300,1)</f>
        <v>0</v>
      </c>
      <c r="F1300" s="1" t="str">
        <f aca="false">DEC2HEX(B1300*$N$3*18)</f>
        <v>14400</v>
      </c>
      <c r="G1300" s="1" t="str">
        <f aca="false">DEC2HEX(C1300*7)</f>
        <v>7</v>
      </c>
      <c r="H1300" s="1" t="n">
        <f aca="false">IF(D1300=0, 33, "cc")</f>
        <v>33</v>
      </c>
    </row>
    <row r="1301" customFormat="false" ht="18.65" hidden="false" customHeight="true" outlineLevel="0" collapsed="false">
      <c r="A1301" s="1" t="n">
        <f aca="false">ROW()-2</f>
        <v>1299</v>
      </c>
      <c r="B1301" s="1" t="n">
        <f aca="false">INT(A1301/$N$1)</f>
        <v>72</v>
      </c>
      <c r="C1301" s="1" t="n">
        <f aca="false">INT(MOD(A1301,$N$1) / 2)</f>
        <v>1</v>
      </c>
      <c r="D1301" s="1" t="n">
        <f aca="false">_xlfn.BITAND(A1301,1)</f>
        <v>1</v>
      </c>
      <c r="F1301" s="1" t="str">
        <f aca="false">DEC2HEX(B1301*$N$3*18)</f>
        <v>14400</v>
      </c>
      <c r="G1301" s="1" t="str">
        <f aca="false">DEC2HEX(C1301*7)</f>
        <v>7</v>
      </c>
      <c r="H1301" s="1" t="str">
        <f aca="false">IF(D1301=0, 33, "cc")</f>
        <v>cc</v>
      </c>
    </row>
    <row r="1302" customFormat="false" ht="18.65" hidden="false" customHeight="true" outlineLevel="0" collapsed="false">
      <c r="A1302" s="1" t="n">
        <f aca="false">ROW()-2</f>
        <v>1300</v>
      </c>
      <c r="B1302" s="1" t="n">
        <f aca="false">INT(A1302/$N$1)</f>
        <v>72</v>
      </c>
      <c r="C1302" s="1" t="n">
        <f aca="false">INT(MOD(A1302,$N$1) / 2)</f>
        <v>2</v>
      </c>
      <c r="D1302" s="1" t="n">
        <f aca="false">_xlfn.BITAND(A1302,1)</f>
        <v>0</v>
      </c>
      <c r="F1302" s="1" t="str">
        <f aca="false">DEC2HEX(B1302*$N$3*18)</f>
        <v>14400</v>
      </c>
      <c r="G1302" s="1" t="str">
        <f aca="false">DEC2HEX(C1302*7)</f>
        <v>E</v>
      </c>
      <c r="H1302" s="1" t="n">
        <f aca="false">IF(D1302=0, 33, "cc")</f>
        <v>33</v>
      </c>
    </row>
    <row r="1303" customFormat="false" ht="18.65" hidden="false" customHeight="true" outlineLevel="0" collapsed="false">
      <c r="A1303" s="1" t="n">
        <f aca="false">ROW()-2</f>
        <v>1301</v>
      </c>
      <c r="B1303" s="1" t="n">
        <f aca="false">INT(A1303/$N$1)</f>
        <v>72</v>
      </c>
      <c r="C1303" s="1" t="n">
        <f aca="false">INT(MOD(A1303,$N$1) / 2)</f>
        <v>2</v>
      </c>
      <c r="D1303" s="1" t="n">
        <f aca="false">_xlfn.BITAND(A1303,1)</f>
        <v>1</v>
      </c>
      <c r="F1303" s="1" t="str">
        <f aca="false">DEC2HEX(B1303*$N$3*18)</f>
        <v>14400</v>
      </c>
      <c r="G1303" s="1" t="str">
        <f aca="false">DEC2HEX(C1303*7)</f>
        <v>E</v>
      </c>
      <c r="H1303" s="1" t="str">
        <f aca="false">IF(D1303=0, 33, "cc")</f>
        <v>cc</v>
      </c>
    </row>
    <row r="1304" customFormat="false" ht="18.65" hidden="false" customHeight="true" outlineLevel="0" collapsed="false">
      <c r="A1304" s="1" t="n">
        <f aca="false">ROW()-2</f>
        <v>1302</v>
      </c>
      <c r="B1304" s="1" t="n">
        <f aca="false">INT(A1304/$N$1)</f>
        <v>72</v>
      </c>
      <c r="C1304" s="1" t="n">
        <f aca="false">INT(MOD(A1304,$N$1) / 2)</f>
        <v>3</v>
      </c>
      <c r="D1304" s="1" t="n">
        <f aca="false">_xlfn.BITAND(A1304,1)</f>
        <v>0</v>
      </c>
      <c r="F1304" s="1" t="str">
        <f aca="false">DEC2HEX(B1304*$N$3*18)</f>
        <v>14400</v>
      </c>
      <c r="G1304" s="1" t="str">
        <f aca="false">DEC2HEX(C1304*7)</f>
        <v>15</v>
      </c>
      <c r="H1304" s="1" t="n">
        <f aca="false">IF(D1304=0, 33, "cc")</f>
        <v>33</v>
      </c>
    </row>
    <row r="1305" customFormat="false" ht="18.65" hidden="false" customHeight="true" outlineLevel="0" collapsed="false">
      <c r="A1305" s="1" t="n">
        <f aca="false">ROW()-2</f>
        <v>1303</v>
      </c>
      <c r="B1305" s="1" t="n">
        <f aca="false">INT(A1305/$N$1)</f>
        <v>72</v>
      </c>
      <c r="C1305" s="1" t="n">
        <f aca="false">INT(MOD(A1305,$N$1) / 2)</f>
        <v>3</v>
      </c>
      <c r="D1305" s="1" t="n">
        <f aca="false">_xlfn.BITAND(A1305,1)</f>
        <v>1</v>
      </c>
      <c r="F1305" s="1" t="str">
        <f aca="false">DEC2HEX(B1305*$N$3*18)</f>
        <v>14400</v>
      </c>
      <c r="G1305" s="1" t="str">
        <f aca="false">DEC2HEX(C1305*7)</f>
        <v>15</v>
      </c>
      <c r="H1305" s="1" t="str">
        <f aca="false">IF(D1305=0, 33, "cc")</f>
        <v>cc</v>
      </c>
    </row>
    <row r="1306" customFormat="false" ht="18.65" hidden="false" customHeight="true" outlineLevel="0" collapsed="false">
      <c r="A1306" s="1" t="n">
        <f aca="false">ROW()-2</f>
        <v>1304</v>
      </c>
      <c r="B1306" s="1" t="n">
        <f aca="false">INT(A1306/$N$1)</f>
        <v>72</v>
      </c>
      <c r="C1306" s="1" t="n">
        <f aca="false">INT(MOD(A1306,$N$1) / 2)</f>
        <v>4</v>
      </c>
      <c r="D1306" s="1" t="n">
        <f aca="false">_xlfn.BITAND(A1306,1)</f>
        <v>0</v>
      </c>
      <c r="F1306" s="1" t="str">
        <f aca="false">DEC2HEX(B1306*$N$3*18)</f>
        <v>14400</v>
      </c>
      <c r="G1306" s="1" t="str">
        <f aca="false">DEC2HEX(C1306*7)</f>
        <v>1C</v>
      </c>
      <c r="H1306" s="1" t="n">
        <f aca="false">IF(D1306=0, 33, "cc")</f>
        <v>33</v>
      </c>
    </row>
    <row r="1307" customFormat="false" ht="18.65" hidden="false" customHeight="true" outlineLevel="0" collapsed="false">
      <c r="A1307" s="1" t="n">
        <f aca="false">ROW()-2</f>
        <v>1305</v>
      </c>
      <c r="B1307" s="1" t="n">
        <f aca="false">INT(A1307/$N$1)</f>
        <v>72</v>
      </c>
      <c r="C1307" s="1" t="n">
        <f aca="false">INT(MOD(A1307,$N$1) / 2)</f>
        <v>4</v>
      </c>
      <c r="D1307" s="1" t="n">
        <f aca="false">_xlfn.BITAND(A1307,1)</f>
        <v>1</v>
      </c>
      <c r="F1307" s="1" t="str">
        <f aca="false">DEC2HEX(B1307*$N$3*18)</f>
        <v>14400</v>
      </c>
      <c r="G1307" s="1" t="str">
        <f aca="false">DEC2HEX(C1307*7)</f>
        <v>1C</v>
      </c>
      <c r="H1307" s="1" t="str">
        <f aca="false">IF(D1307=0, 33, "cc")</f>
        <v>cc</v>
      </c>
    </row>
    <row r="1308" customFormat="false" ht="18.65" hidden="false" customHeight="true" outlineLevel="0" collapsed="false">
      <c r="A1308" s="1" t="n">
        <f aca="false">ROW()-2</f>
        <v>1306</v>
      </c>
      <c r="B1308" s="1" t="n">
        <f aca="false">INT(A1308/$N$1)</f>
        <v>72</v>
      </c>
      <c r="C1308" s="1" t="n">
        <f aca="false">INT(MOD(A1308,$N$1) / 2)</f>
        <v>5</v>
      </c>
      <c r="D1308" s="1" t="n">
        <f aca="false">_xlfn.BITAND(A1308,1)</f>
        <v>0</v>
      </c>
      <c r="F1308" s="1" t="str">
        <f aca="false">DEC2HEX(B1308*$N$3*18)</f>
        <v>14400</v>
      </c>
      <c r="G1308" s="1" t="str">
        <f aca="false">DEC2HEX(C1308*7)</f>
        <v>23</v>
      </c>
      <c r="H1308" s="1" t="n">
        <f aca="false">IF(D1308=0, 33, "cc")</f>
        <v>33</v>
      </c>
    </row>
    <row r="1309" customFormat="false" ht="18.65" hidden="false" customHeight="true" outlineLevel="0" collapsed="false">
      <c r="A1309" s="1" t="n">
        <f aca="false">ROW()-2</f>
        <v>1307</v>
      </c>
      <c r="B1309" s="1" t="n">
        <f aca="false">INT(A1309/$N$1)</f>
        <v>72</v>
      </c>
      <c r="C1309" s="1" t="n">
        <f aca="false">INT(MOD(A1309,$N$1) / 2)</f>
        <v>5</v>
      </c>
      <c r="D1309" s="1" t="n">
        <f aca="false">_xlfn.BITAND(A1309,1)</f>
        <v>1</v>
      </c>
      <c r="F1309" s="1" t="str">
        <f aca="false">DEC2HEX(B1309*$N$3*18)</f>
        <v>14400</v>
      </c>
      <c r="G1309" s="1" t="str">
        <f aca="false">DEC2HEX(C1309*7)</f>
        <v>23</v>
      </c>
      <c r="H1309" s="1" t="str">
        <f aca="false">IF(D1309=0, 33, "cc")</f>
        <v>cc</v>
      </c>
    </row>
    <row r="1310" customFormat="false" ht="18.65" hidden="false" customHeight="true" outlineLevel="0" collapsed="false">
      <c r="A1310" s="1" t="n">
        <f aca="false">ROW()-2</f>
        <v>1308</v>
      </c>
      <c r="B1310" s="1" t="n">
        <f aca="false">INT(A1310/$N$1)</f>
        <v>72</v>
      </c>
      <c r="C1310" s="1" t="n">
        <f aca="false">INT(MOD(A1310,$N$1) / 2)</f>
        <v>6</v>
      </c>
      <c r="D1310" s="1" t="n">
        <f aca="false">_xlfn.BITAND(A1310,1)</f>
        <v>0</v>
      </c>
      <c r="F1310" s="1" t="str">
        <f aca="false">DEC2HEX(B1310*$N$3*18)</f>
        <v>14400</v>
      </c>
      <c r="G1310" s="1" t="str">
        <f aca="false">DEC2HEX(C1310*7)</f>
        <v>2A</v>
      </c>
      <c r="H1310" s="1" t="n">
        <f aca="false">IF(D1310=0, 33, "cc")</f>
        <v>33</v>
      </c>
    </row>
    <row r="1311" customFormat="false" ht="18.65" hidden="false" customHeight="true" outlineLevel="0" collapsed="false">
      <c r="A1311" s="1" t="n">
        <f aca="false">ROW()-2</f>
        <v>1309</v>
      </c>
      <c r="B1311" s="1" t="n">
        <f aca="false">INT(A1311/$N$1)</f>
        <v>72</v>
      </c>
      <c r="C1311" s="1" t="n">
        <f aca="false">INT(MOD(A1311,$N$1) / 2)</f>
        <v>6</v>
      </c>
      <c r="D1311" s="1" t="n">
        <f aca="false">_xlfn.BITAND(A1311,1)</f>
        <v>1</v>
      </c>
      <c r="F1311" s="1" t="str">
        <f aca="false">DEC2HEX(B1311*$N$3*18)</f>
        <v>14400</v>
      </c>
      <c r="G1311" s="1" t="str">
        <f aca="false">DEC2HEX(C1311*7)</f>
        <v>2A</v>
      </c>
      <c r="H1311" s="1" t="str">
        <f aca="false">IF(D1311=0, 33, "cc")</f>
        <v>cc</v>
      </c>
    </row>
    <row r="1312" customFormat="false" ht="18.65" hidden="false" customHeight="true" outlineLevel="0" collapsed="false">
      <c r="A1312" s="1" t="n">
        <f aca="false">ROW()-2</f>
        <v>1310</v>
      </c>
      <c r="B1312" s="1" t="n">
        <f aca="false">INT(A1312/$N$1)</f>
        <v>72</v>
      </c>
      <c r="C1312" s="1" t="n">
        <f aca="false">INT(MOD(A1312,$N$1) / 2)</f>
        <v>7</v>
      </c>
      <c r="D1312" s="1" t="n">
        <f aca="false">_xlfn.BITAND(A1312,1)</f>
        <v>0</v>
      </c>
      <c r="F1312" s="1" t="str">
        <f aca="false">DEC2HEX(B1312*$N$3*18)</f>
        <v>14400</v>
      </c>
      <c r="G1312" s="1" t="str">
        <f aca="false">DEC2HEX(C1312*7)</f>
        <v>31</v>
      </c>
      <c r="H1312" s="1" t="n">
        <f aca="false">IF(D1312=0, 33, "cc")</f>
        <v>33</v>
      </c>
    </row>
    <row r="1313" customFormat="false" ht="18.65" hidden="false" customHeight="true" outlineLevel="0" collapsed="false">
      <c r="A1313" s="1" t="n">
        <f aca="false">ROW()-2</f>
        <v>1311</v>
      </c>
      <c r="B1313" s="1" t="n">
        <f aca="false">INT(A1313/$N$1)</f>
        <v>72</v>
      </c>
      <c r="C1313" s="1" t="n">
        <f aca="false">INT(MOD(A1313,$N$1) / 2)</f>
        <v>7</v>
      </c>
      <c r="D1313" s="1" t="n">
        <f aca="false">_xlfn.BITAND(A1313,1)</f>
        <v>1</v>
      </c>
      <c r="F1313" s="1" t="str">
        <f aca="false">DEC2HEX(B1313*$N$3*18)</f>
        <v>14400</v>
      </c>
      <c r="G1313" s="1" t="str">
        <f aca="false">DEC2HEX(C1313*7)</f>
        <v>31</v>
      </c>
      <c r="H1313" s="1" t="str">
        <f aca="false">IF(D1313=0, 33, "cc")</f>
        <v>cc</v>
      </c>
    </row>
    <row r="1314" customFormat="false" ht="18.65" hidden="false" customHeight="true" outlineLevel="0" collapsed="false">
      <c r="A1314" s="1" t="n">
        <f aca="false">ROW()-2</f>
        <v>1312</v>
      </c>
      <c r="B1314" s="1" t="n">
        <f aca="false">INT(A1314/$N$1)</f>
        <v>72</v>
      </c>
      <c r="C1314" s="1" t="n">
        <f aca="false">INT(MOD(A1314,$N$1) / 2)</f>
        <v>8</v>
      </c>
      <c r="D1314" s="1" t="n">
        <f aca="false">_xlfn.BITAND(A1314,1)</f>
        <v>0</v>
      </c>
      <c r="F1314" s="1" t="str">
        <f aca="false">DEC2HEX(B1314*$N$3*18)</f>
        <v>14400</v>
      </c>
      <c r="G1314" s="1" t="str">
        <f aca="false">DEC2HEX(C1314*7)</f>
        <v>38</v>
      </c>
      <c r="H1314" s="1" t="n">
        <f aca="false">IF(D1314=0, 33, "cc")</f>
        <v>33</v>
      </c>
    </row>
    <row r="1315" customFormat="false" ht="18.65" hidden="false" customHeight="true" outlineLevel="0" collapsed="false">
      <c r="A1315" s="1" t="n">
        <f aca="false">ROW()-2</f>
        <v>1313</v>
      </c>
      <c r="B1315" s="1" t="n">
        <f aca="false">INT(A1315/$N$1)</f>
        <v>72</v>
      </c>
      <c r="C1315" s="1" t="n">
        <f aca="false">INT(MOD(A1315,$N$1) / 2)</f>
        <v>8</v>
      </c>
      <c r="D1315" s="1" t="n">
        <f aca="false">_xlfn.BITAND(A1315,1)</f>
        <v>1</v>
      </c>
      <c r="F1315" s="1" t="str">
        <f aca="false">DEC2HEX(B1315*$N$3*18)</f>
        <v>14400</v>
      </c>
      <c r="G1315" s="1" t="str">
        <f aca="false">DEC2HEX(C1315*7)</f>
        <v>38</v>
      </c>
      <c r="H1315" s="1" t="str">
        <f aca="false">IF(D1315=0, 33, "cc")</f>
        <v>cc</v>
      </c>
    </row>
    <row r="1316" customFormat="false" ht="18.65" hidden="false" customHeight="true" outlineLevel="0" collapsed="false">
      <c r="A1316" s="1" t="n">
        <f aca="false">ROW()-2</f>
        <v>1314</v>
      </c>
      <c r="B1316" s="1" t="n">
        <f aca="false">INT(A1316/$N$1)</f>
        <v>73</v>
      </c>
      <c r="C1316" s="1" t="n">
        <f aca="false">INT(MOD(A1316,$N$1) / 2)</f>
        <v>0</v>
      </c>
      <c r="D1316" s="1" t="n">
        <f aca="false">_xlfn.BITAND(A1316,1)</f>
        <v>0</v>
      </c>
      <c r="F1316" s="1" t="str">
        <f aca="false">DEC2HEX(B1316*$N$3*18)</f>
        <v>14880</v>
      </c>
      <c r="G1316" s="1" t="str">
        <f aca="false">DEC2HEX(C1316*7)</f>
        <v>0</v>
      </c>
      <c r="H1316" s="1" t="n">
        <f aca="false">IF(D1316=0, 33, "cc")</f>
        <v>33</v>
      </c>
    </row>
    <row r="1317" customFormat="false" ht="18.65" hidden="false" customHeight="true" outlineLevel="0" collapsed="false">
      <c r="A1317" s="1" t="n">
        <f aca="false">ROW()-2</f>
        <v>1315</v>
      </c>
      <c r="B1317" s="1" t="n">
        <f aca="false">INT(A1317/$N$1)</f>
        <v>73</v>
      </c>
      <c r="C1317" s="1" t="n">
        <f aca="false">INT(MOD(A1317,$N$1) / 2)</f>
        <v>0</v>
      </c>
      <c r="D1317" s="1" t="n">
        <f aca="false">_xlfn.BITAND(A1317,1)</f>
        <v>1</v>
      </c>
      <c r="F1317" s="1" t="str">
        <f aca="false">DEC2HEX(B1317*$N$3*18)</f>
        <v>14880</v>
      </c>
      <c r="G1317" s="1" t="str">
        <f aca="false">DEC2HEX(C1317*7)</f>
        <v>0</v>
      </c>
      <c r="H1317" s="1" t="str">
        <f aca="false">IF(D1317=0, 33, "cc")</f>
        <v>cc</v>
      </c>
    </row>
    <row r="1318" customFormat="false" ht="18.65" hidden="false" customHeight="true" outlineLevel="0" collapsed="false">
      <c r="A1318" s="1" t="n">
        <f aca="false">ROW()-2</f>
        <v>1316</v>
      </c>
      <c r="B1318" s="1" t="n">
        <f aca="false">INT(A1318/$N$1)</f>
        <v>73</v>
      </c>
      <c r="C1318" s="1" t="n">
        <f aca="false">INT(MOD(A1318,$N$1) / 2)</f>
        <v>1</v>
      </c>
      <c r="D1318" s="1" t="n">
        <f aca="false">_xlfn.BITAND(A1318,1)</f>
        <v>0</v>
      </c>
      <c r="F1318" s="1" t="str">
        <f aca="false">DEC2HEX(B1318*$N$3*18)</f>
        <v>14880</v>
      </c>
      <c r="G1318" s="1" t="str">
        <f aca="false">DEC2HEX(C1318*7)</f>
        <v>7</v>
      </c>
      <c r="H1318" s="1" t="n">
        <f aca="false">IF(D1318=0, 33, "cc")</f>
        <v>33</v>
      </c>
    </row>
    <row r="1319" customFormat="false" ht="18.65" hidden="false" customHeight="true" outlineLevel="0" collapsed="false">
      <c r="A1319" s="1" t="n">
        <f aca="false">ROW()-2</f>
        <v>1317</v>
      </c>
      <c r="B1319" s="1" t="n">
        <f aca="false">INT(A1319/$N$1)</f>
        <v>73</v>
      </c>
      <c r="C1319" s="1" t="n">
        <f aca="false">INT(MOD(A1319,$N$1) / 2)</f>
        <v>1</v>
      </c>
      <c r="D1319" s="1" t="n">
        <f aca="false">_xlfn.BITAND(A1319,1)</f>
        <v>1</v>
      </c>
      <c r="F1319" s="1" t="str">
        <f aca="false">DEC2HEX(B1319*$N$3*18)</f>
        <v>14880</v>
      </c>
      <c r="G1319" s="1" t="str">
        <f aca="false">DEC2HEX(C1319*7)</f>
        <v>7</v>
      </c>
      <c r="H1319" s="1" t="str">
        <f aca="false">IF(D1319=0, 33, "cc")</f>
        <v>cc</v>
      </c>
    </row>
    <row r="1320" customFormat="false" ht="18.65" hidden="false" customHeight="true" outlineLevel="0" collapsed="false">
      <c r="A1320" s="1" t="n">
        <f aca="false">ROW()-2</f>
        <v>1318</v>
      </c>
      <c r="B1320" s="1" t="n">
        <f aca="false">INT(A1320/$N$1)</f>
        <v>73</v>
      </c>
      <c r="C1320" s="1" t="n">
        <f aca="false">INT(MOD(A1320,$N$1) / 2)</f>
        <v>2</v>
      </c>
      <c r="D1320" s="1" t="n">
        <f aca="false">_xlfn.BITAND(A1320,1)</f>
        <v>0</v>
      </c>
      <c r="F1320" s="1" t="str">
        <f aca="false">DEC2HEX(B1320*$N$3*18)</f>
        <v>14880</v>
      </c>
      <c r="G1320" s="1" t="str">
        <f aca="false">DEC2HEX(C1320*7)</f>
        <v>E</v>
      </c>
      <c r="H1320" s="1" t="n">
        <f aca="false">IF(D1320=0, 33, "cc")</f>
        <v>33</v>
      </c>
    </row>
    <row r="1321" customFormat="false" ht="18.65" hidden="false" customHeight="true" outlineLevel="0" collapsed="false">
      <c r="A1321" s="1" t="n">
        <f aca="false">ROW()-2</f>
        <v>1319</v>
      </c>
      <c r="B1321" s="1" t="n">
        <f aca="false">INT(A1321/$N$1)</f>
        <v>73</v>
      </c>
      <c r="C1321" s="1" t="n">
        <f aca="false">INT(MOD(A1321,$N$1) / 2)</f>
        <v>2</v>
      </c>
      <c r="D1321" s="1" t="n">
        <f aca="false">_xlfn.BITAND(A1321,1)</f>
        <v>1</v>
      </c>
      <c r="F1321" s="1" t="str">
        <f aca="false">DEC2HEX(B1321*$N$3*18)</f>
        <v>14880</v>
      </c>
      <c r="G1321" s="1" t="str">
        <f aca="false">DEC2HEX(C1321*7)</f>
        <v>E</v>
      </c>
      <c r="H1321" s="1" t="str">
        <f aca="false">IF(D1321=0, 33, "cc")</f>
        <v>cc</v>
      </c>
    </row>
    <row r="1322" customFormat="false" ht="18.65" hidden="false" customHeight="true" outlineLevel="0" collapsed="false">
      <c r="A1322" s="1" t="n">
        <f aca="false">ROW()-2</f>
        <v>1320</v>
      </c>
      <c r="B1322" s="1" t="n">
        <f aca="false">INT(A1322/$N$1)</f>
        <v>73</v>
      </c>
      <c r="C1322" s="1" t="n">
        <f aca="false">INT(MOD(A1322,$N$1) / 2)</f>
        <v>3</v>
      </c>
      <c r="D1322" s="1" t="n">
        <f aca="false">_xlfn.BITAND(A1322,1)</f>
        <v>0</v>
      </c>
      <c r="F1322" s="1" t="str">
        <f aca="false">DEC2HEX(B1322*$N$3*18)</f>
        <v>14880</v>
      </c>
      <c r="G1322" s="1" t="str">
        <f aca="false">DEC2HEX(C1322*7)</f>
        <v>15</v>
      </c>
      <c r="H1322" s="1" t="n">
        <f aca="false">IF(D1322=0, 33, "cc")</f>
        <v>33</v>
      </c>
    </row>
    <row r="1323" customFormat="false" ht="18.65" hidden="false" customHeight="true" outlineLevel="0" collapsed="false">
      <c r="A1323" s="1" t="n">
        <f aca="false">ROW()-2</f>
        <v>1321</v>
      </c>
      <c r="B1323" s="1" t="n">
        <f aca="false">INT(A1323/$N$1)</f>
        <v>73</v>
      </c>
      <c r="C1323" s="1" t="n">
        <f aca="false">INT(MOD(A1323,$N$1) / 2)</f>
        <v>3</v>
      </c>
      <c r="D1323" s="1" t="n">
        <f aca="false">_xlfn.BITAND(A1323,1)</f>
        <v>1</v>
      </c>
      <c r="F1323" s="1" t="str">
        <f aca="false">DEC2HEX(B1323*$N$3*18)</f>
        <v>14880</v>
      </c>
      <c r="G1323" s="1" t="str">
        <f aca="false">DEC2HEX(C1323*7)</f>
        <v>15</v>
      </c>
      <c r="H1323" s="1" t="str">
        <f aca="false">IF(D1323=0, 33, "cc")</f>
        <v>cc</v>
      </c>
    </row>
    <row r="1324" customFormat="false" ht="18.65" hidden="false" customHeight="true" outlineLevel="0" collapsed="false">
      <c r="A1324" s="1" t="n">
        <f aca="false">ROW()-2</f>
        <v>1322</v>
      </c>
      <c r="B1324" s="1" t="n">
        <f aca="false">INT(A1324/$N$1)</f>
        <v>73</v>
      </c>
      <c r="C1324" s="1" t="n">
        <f aca="false">INT(MOD(A1324,$N$1) / 2)</f>
        <v>4</v>
      </c>
      <c r="D1324" s="1" t="n">
        <f aca="false">_xlfn.BITAND(A1324,1)</f>
        <v>0</v>
      </c>
      <c r="F1324" s="1" t="str">
        <f aca="false">DEC2HEX(B1324*$N$3*18)</f>
        <v>14880</v>
      </c>
      <c r="G1324" s="1" t="str">
        <f aca="false">DEC2HEX(C1324*7)</f>
        <v>1C</v>
      </c>
      <c r="H1324" s="1" t="n">
        <f aca="false">IF(D1324=0, 33, "cc")</f>
        <v>33</v>
      </c>
    </row>
    <row r="1325" customFormat="false" ht="18.65" hidden="false" customHeight="true" outlineLevel="0" collapsed="false">
      <c r="A1325" s="1" t="n">
        <f aca="false">ROW()-2</f>
        <v>1323</v>
      </c>
      <c r="B1325" s="1" t="n">
        <f aca="false">INT(A1325/$N$1)</f>
        <v>73</v>
      </c>
      <c r="C1325" s="1" t="n">
        <f aca="false">INT(MOD(A1325,$N$1) / 2)</f>
        <v>4</v>
      </c>
      <c r="D1325" s="1" t="n">
        <f aca="false">_xlfn.BITAND(A1325,1)</f>
        <v>1</v>
      </c>
      <c r="F1325" s="1" t="str">
        <f aca="false">DEC2HEX(B1325*$N$3*18)</f>
        <v>14880</v>
      </c>
      <c r="G1325" s="1" t="str">
        <f aca="false">DEC2HEX(C1325*7)</f>
        <v>1C</v>
      </c>
      <c r="H1325" s="1" t="str">
        <f aca="false">IF(D1325=0, 33, "cc")</f>
        <v>cc</v>
      </c>
    </row>
    <row r="1326" customFormat="false" ht="18.65" hidden="false" customHeight="true" outlineLevel="0" collapsed="false">
      <c r="A1326" s="1" t="n">
        <f aca="false">ROW()-2</f>
        <v>1324</v>
      </c>
      <c r="B1326" s="1" t="n">
        <f aca="false">INT(A1326/$N$1)</f>
        <v>73</v>
      </c>
      <c r="C1326" s="1" t="n">
        <f aca="false">INT(MOD(A1326,$N$1) / 2)</f>
        <v>5</v>
      </c>
      <c r="D1326" s="1" t="n">
        <f aca="false">_xlfn.BITAND(A1326,1)</f>
        <v>0</v>
      </c>
      <c r="F1326" s="1" t="str">
        <f aca="false">DEC2HEX(B1326*$N$3*18)</f>
        <v>14880</v>
      </c>
      <c r="G1326" s="1" t="str">
        <f aca="false">DEC2HEX(C1326*7)</f>
        <v>23</v>
      </c>
      <c r="H1326" s="1" t="n">
        <f aca="false">IF(D1326=0, 33, "cc")</f>
        <v>33</v>
      </c>
    </row>
    <row r="1327" customFormat="false" ht="18.65" hidden="false" customHeight="true" outlineLevel="0" collapsed="false">
      <c r="A1327" s="1" t="n">
        <f aca="false">ROW()-2</f>
        <v>1325</v>
      </c>
      <c r="B1327" s="1" t="n">
        <f aca="false">INT(A1327/$N$1)</f>
        <v>73</v>
      </c>
      <c r="C1327" s="1" t="n">
        <f aca="false">INT(MOD(A1327,$N$1) / 2)</f>
        <v>5</v>
      </c>
      <c r="D1327" s="1" t="n">
        <f aca="false">_xlfn.BITAND(A1327,1)</f>
        <v>1</v>
      </c>
      <c r="F1327" s="1" t="str">
        <f aca="false">DEC2HEX(B1327*$N$3*18)</f>
        <v>14880</v>
      </c>
      <c r="G1327" s="1" t="str">
        <f aca="false">DEC2HEX(C1327*7)</f>
        <v>23</v>
      </c>
      <c r="H1327" s="1" t="str">
        <f aca="false">IF(D1327=0, 33, "cc")</f>
        <v>cc</v>
      </c>
    </row>
    <row r="1328" customFormat="false" ht="18.65" hidden="false" customHeight="true" outlineLevel="0" collapsed="false">
      <c r="A1328" s="1" t="n">
        <f aca="false">ROW()-2</f>
        <v>1326</v>
      </c>
      <c r="B1328" s="1" t="n">
        <f aca="false">INT(A1328/$N$1)</f>
        <v>73</v>
      </c>
      <c r="C1328" s="1" t="n">
        <f aca="false">INT(MOD(A1328,$N$1) / 2)</f>
        <v>6</v>
      </c>
      <c r="D1328" s="1" t="n">
        <f aca="false">_xlfn.BITAND(A1328,1)</f>
        <v>0</v>
      </c>
      <c r="F1328" s="1" t="str">
        <f aca="false">DEC2HEX(B1328*$N$3*18)</f>
        <v>14880</v>
      </c>
      <c r="G1328" s="1" t="str">
        <f aca="false">DEC2HEX(C1328*7)</f>
        <v>2A</v>
      </c>
      <c r="H1328" s="1" t="n">
        <f aca="false">IF(D1328=0, 33, "cc")</f>
        <v>33</v>
      </c>
    </row>
    <row r="1329" customFormat="false" ht="18.65" hidden="false" customHeight="true" outlineLevel="0" collapsed="false">
      <c r="A1329" s="1" t="n">
        <f aca="false">ROW()-2</f>
        <v>1327</v>
      </c>
      <c r="B1329" s="1" t="n">
        <f aca="false">INT(A1329/$N$1)</f>
        <v>73</v>
      </c>
      <c r="C1329" s="1" t="n">
        <f aca="false">INT(MOD(A1329,$N$1) / 2)</f>
        <v>6</v>
      </c>
      <c r="D1329" s="1" t="n">
        <f aca="false">_xlfn.BITAND(A1329,1)</f>
        <v>1</v>
      </c>
      <c r="F1329" s="1" t="str">
        <f aca="false">DEC2HEX(B1329*$N$3*18)</f>
        <v>14880</v>
      </c>
      <c r="G1329" s="1" t="str">
        <f aca="false">DEC2HEX(C1329*7)</f>
        <v>2A</v>
      </c>
      <c r="H1329" s="1" t="str">
        <f aca="false">IF(D1329=0, 33, "cc")</f>
        <v>cc</v>
      </c>
    </row>
    <row r="1330" customFormat="false" ht="18.65" hidden="false" customHeight="true" outlineLevel="0" collapsed="false">
      <c r="A1330" s="1" t="n">
        <f aca="false">ROW()-2</f>
        <v>1328</v>
      </c>
      <c r="B1330" s="1" t="n">
        <f aca="false">INT(A1330/$N$1)</f>
        <v>73</v>
      </c>
      <c r="C1330" s="1" t="n">
        <f aca="false">INT(MOD(A1330,$N$1) / 2)</f>
        <v>7</v>
      </c>
      <c r="D1330" s="1" t="n">
        <f aca="false">_xlfn.BITAND(A1330,1)</f>
        <v>0</v>
      </c>
      <c r="F1330" s="1" t="str">
        <f aca="false">DEC2HEX(B1330*$N$3*18)</f>
        <v>14880</v>
      </c>
      <c r="G1330" s="1" t="str">
        <f aca="false">DEC2HEX(C1330*7)</f>
        <v>31</v>
      </c>
      <c r="H1330" s="1" t="n">
        <f aca="false">IF(D1330=0, 33, "cc")</f>
        <v>33</v>
      </c>
    </row>
    <row r="1331" customFormat="false" ht="18.65" hidden="false" customHeight="true" outlineLevel="0" collapsed="false">
      <c r="A1331" s="1" t="n">
        <f aca="false">ROW()-2</f>
        <v>1329</v>
      </c>
      <c r="B1331" s="1" t="n">
        <f aca="false">INT(A1331/$N$1)</f>
        <v>73</v>
      </c>
      <c r="C1331" s="1" t="n">
        <f aca="false">INT(MOD(A1331,$N$1) / 2)</f>
        <v>7</v>
      </c>
      <c r="D1331" s="1" t="n">
        <f aca="false">_xlfn.BITAND(A1331,1)</f>
        <v>1</v>
      </c>
      <c r="F1331" s="1" t="str">
        <f aca="false">DEC2HEX(B1331*$N$3*18)</f>
        <v>14880</v>
      </c>
      <c r="G1331" s="1" t="str">
        <f aca="false">DEC2HEX(C1331*7)</f>
        <v>31</v>
      </c>
      <c r="H1331" s="1" t="str">
        <f aca="false">IF(D1331=0, 33, "cc")</f>
        <v>cc</v>
      </c>
    </row>
    <row r="1332" customFormat="false" ht="18.65" hidden="false" customHeight="true" outlineLevel="0" collapsed="false">
      <c r="A1332" s="1" t="n">
        <f aca="false">ROW()-2</f>
        <v>1330</v>
      </c>
      <c r="B1332" s="1" t="n">
        <f aca="false">INT(A1332/$N$1)</f>
        <v>73</v>
      </c>
      <c r="C1332" s="1" t="n">
        <f aca="false">INT(MOD(A1332,$N$1) / 2)</f>
        <v>8</v>
      </c>
      <c r="D1332" s="1" t="n">
        <f aca="false">_xlfn.BITAND(A1332,1)</f>
        <v>0</v>
      </c>
      <c r="F1332" s="1" t="str">
        <f aca="false">DEC2HEX(B1332*$N$3*18)</f>
        <v>14880</v>
      </c>
      <c r="G1332" s="1" t="str">
        <f aca="false">DEC2HEX(C1332*7)</f>
        <v>38</v>
      </c>
      <c r="H1332" s="1" t="n">
        <f aca="false">IF(D1332=0, 33, "cc")</f>
        <v>33</v>
      </c>
    </row>
    <row r="1333" customFormat="false" ht="18.65" hidden="false" customHeight="true" outlineLevel="0" collapsed="false">
      <c r="A1333" s="1" t="n">
        <f aca="false">ROW()-2</f>
        <v>1331</v>
      </c>
      <c r="B1333" s="1" t="n">
        <f aca="false">INT(A1333/$N$1)</f>
        <v>73</v>
      </c>
      <c r="C1333" s="1" t="n">
        <f aca="false">INT(MOD(A1333,$N$1) / 2)</f>
        <v>8</v>
      </c>
      <c r="D1333" s="1" t="n">
        <f aca="false">_xlfn.BITAND(A1333,1)</f>
        <v>1</v>
      </c>
      <c r="F1333" s="1" t="str">
        <f aca="false">DEC2HEX(B1333*$N$3*18)</f>
        <v>14880</v>
      </c>
      <c r="G1333" s="1" t="str">
        <f aca="false">DEC2HEX(C1333*7)</f>
        <v>38</v>
      </c>
      <c r="H1333" s="1" t="str">
        <f aca="false">IF(D1333=0, 33, "cc")</f>
        <v>cc</v>
      </c>
    </row>
    <row r="1334" customFormat="false" ht="18.65" hidden="false" customHeight="true" outlineLevel="0" collapsed="false">
      <c r="A1334" s="1" t="n">
        <f aca="false">ROW()-2</f>
        <v>1332</v>
      </c>
      <c r="B1334" s="1" t="n">
        <f aca="false">INT(A1334/$N$1)</f>
        <v>74</v>
      </c>
      <c r="C1334" s="1" t="n">
        <f aca="false">INT(MOD(A1334,$N$1) / 2)</f>
        <v>0</v>
      </c>
      <c r="D1334" s="1" t="n">
        <f aca="false">_xlfn.BITAND(A1334,1)</f>
        <v>0</v>
      </c>
      <c r="F1334" s="1" t="str">
        <f aca="false">DEC2HEX(B1334*$N$3*18)</f>
        <v>14D00</v>
      </c>
      <c r="G1334" s="1" t="str">
        <f aca="false">DEC2HEX(C1334*7)</f>
        <v>0</v>
      </c>
      <c r="H1334" s="1" t="n">
        <f aca="false">IF(D1334=0, 33, "cc")</f>
        <v>33</v>
      </c>
    </row>
    <row r="1335" customFormat="false" ht="18.65" hidden="false" customHeight="true" outlineLevel="0" collapsed="false">
      <c r="A1335" s="1" t="n">
        <f aca="false">ROW()-2</f>
        <v>1333</v>
      </c>
      <c r="B1335" s="1" t="n">
        <f aca="false">INT(A1335/$N$1)</f>
        <v>74</v>
      </c>
      <c r="C1335" s="1" t="n">
        <f aca="false">INT(MOD(A1335,$N$1) / 2)</f>
        <v>0</v>
      </c>
      <c r="D1335" s="1" t="n">
        <f aca="false">_xlfn.BITAND(A1335,1)</f>
        <v>1</v>
      </c>
      <c r="F1335" s="1" t="str">
        <f aca="false">DEC2HEX(B1335*$N$3*18)</f>
        <v>14D00</v>
      </c>
      <c r="G1335" s="1" t="str">
        <f aca="false">DEC2HEX(C1335*7)</f>
        <v>0</v>
      </c>
      <c r="H1335" s="1" t="str">
        <f aca="false">IF(D1335=0, 33, "cc")</f>
        <v>cc</v>
      </c>
    </row>
    <row r="1336" customFormat="false" ht="18.65" hidden="false" customHeight="true" outlineLevel="0" collapsed="false">
      <c r="A1336" s="1" t="n">
        <f aca="false">ROW()-2</f>
        <v>1334</v>
      </c>
      <c r="B1336" s="1" t="n">
        <f aca="false">INT(A1336/$N$1)</f>
        <v>74</v>
      </c>
      <c r="C1336" s="1" t="n">
        <f aca="false">INT(MOD(A1336,$N$1) / 2)</f>
        <v>1</v>
      </c>
      <c r="D1336" s="1" t="n">
        <f aca="false">_xlfn.BITAND(A1336,1)</f>
        <v>0</v>
      </c>
      <c r="F1336" s="1" t="str">
        <f aca="false">DEC2HEX(B1336*$N$3*18)</f>
        <v>14D00</v>
      </c>
      <c r="G1336" s="1" t="str">
        <f aca="false">DEC2HEX(C1336*7)</f>
        <v>7</v>
      </c>
      <c r="H1336" s="1" t="n">
        <f aca="false">IF(D1336=0, 33, "cc")</f>
        <v>33</v>
      </c>
    </row>
    <row r="1337" customFormat="false" ht="18.65" hidden="false" customHeight="true" outlineLevel="0" collapsed="false">
      <c r="A1337" s="1" t="n">
        <f aca="false">ROW()-2</f>
        <v>1335</v>
      </c>
      <c r="B1337" s="1" t="n">
        <f aca="false">INT(A1337/$N$1)</f>
        <v>74</v>
      </c>
      <c r="C1337" s="1" t="n">
        <f aca="false">INT(MOD(A1337,$N$1) / 2)</f>
        <v>1</v>
      </c>
      <c r="D1337" s="1" t="n">
        <f aca="false">_xlfn.BITAND(A1337,1)</f>
        <v>1</v>
      </c>
      <c r="F1337" s="1" t="str">
        <f aca="false">DEC2HEX(B1337*$N$3*18)</f>
        <v>14D00</v>
      </c>
      <c r="G1337" s="1" t="str">
        <f aca="false">DEC2HEX(C1337*7)</f>
        <v>7</v>
      </c>
      <c r="H1337" s="1" t="str">
        <f aca="false">IF(D1337=0, 33, "cc")</f>
        <v>cc</v>
      </c>
    </row>
    <row r="1338" customFormat="false" ht="18.65" hidden="false" customHeight="true" outlineLevel="0" collapsed="false">
      <c r="A1338" s="1" t="n">
        <f aca="false">ROW()-2</f>
        <v>1336</v>
      </c>
      <c r="B1338" s="1" t="n">
        <f aca="false">INT(A1338/$N$1)</f>
        <v>74</v>
      </c>
      <c r="C1338" s="1" t="n">
        <f aca="false">INT(MOD(A1338,$N$1) / 2)</f>
        <v>2</v>
      </c>
      <c r="D1338" s="1" t="n">
        <f aca="false">_xlfn.BITAND(A1338,1)</f>
        <v>0</v>
      </c>
      <c r="F1338" s="1" t="str">
        <f aca="false">DEC2HEX(B1338*$N$3*18)</f>
        <v>14D00</v>
      </c>
      <c r="G1338" s="1" t="str">
        <f aca="false">DEC2HEX(C1338*7)</f>
        <v>E</v>
      </c>
      <c r="H1338" s="1" t="n">
        <f aca="false">IF(D1338=0, 33, "cc")</f>
        <v>33</v>
      </c>
    </row>
    <row r="1339" customFormat="false" ht="18.65" hidden="false" customHeight="true" outlineLevel="0" collapsed="false">
      <c r="A1339" s="1" t="n">
        <f aca="false">ROW()-2</f>
        <v>1337</v>
      </c>
      <c r="B1339" s="1" t="n">
        <f aca="false">INT(A1339/$N$1)</f>
        <v>74</v>
      </c>
      <c r="C1339" s="1" t="n">
        <f aca="false">INT(MOD(A1339,$N$1) / 2)</f>
        <v>2</v>
      </c>
      <c r="D1339" s="1" t="n">
        <f aca="false">_xlfn.BITAND(A1339,1)</f>
        <v>1</v>
      </c>
      <c r="F1339" s="1" t="str">
        <f aca="false">DEC2HEX(B1339*$N$3*18)</f>
        <v>14D00</v>
      </c>
      <c r="G1339" s="1" t="str">
        <f aca="false">DEC2HEX(C1339*7)</f>
        <v>E</v>
      </c>
      <c r="H1339" s="1" t="str">
        <f aca="false">IF(D1339=0, 33, "cc")</f>
        <v>cc</v>
      </c>
    </row>
    <row r="1340" customFormat="false" ht="18.65" hidden="false" customHeight="true" outlineLevel="0" collapsed="false">
      <c r="A1340" s="1" t="n">
        <f aca="false">ROW()-2</f>
        <v>1338</v>
      </c>
      <c r="B1340" s="1" t="n">
        <f aca="false">INT(A1340/$N$1)</f>
        <v>74</v>
      </c>
      <c r="C1340" s="1" t="n">
        <f aca="false">INT(MOD(A1340,$N$1) / 2)</f>
        <v>3</v>
      </c>
      <c r="D1340" s="1" t="n">
        <f aca="false">_xlfn.BITAND(A1340,1)</f>
        <v>0</v>
      </c>
      <c r="F1340" s="1" t="str">
        <f aca="false">DEC2HEX(B1340*$N$3*18)</f>
        <v>14D00</v>
      </c>
      <c r="G1340" s="1" t="str">
        <f aca="false">DEC2HEX(C1340*7)</f>
        <v>15</v>
      </c>
      <c r="H1340" s="1" t="n">
        <f aca="false">IF(D1340=0, 33, "cc")</f>
        <v>33</v>
      </c>
    </row>
    <row r="1341" customFormat="false" ht="18.65" hidden="false" customHeight="true" outlineLevel="0" collapsed="false">
      <c r="A1341" s="1" t="n">
        <f aca="false">ROW()-2</f>
        <v>1339</v>
      </c>
      <c r="B1341" s="1" t="n">
        <f aca="false">INT(A1341/$N$1)</f>
        <v>74</v>
      </c>
      <c r="C1341" s="1" t="n">
        <f aca="false">INT(MOD(A1341,$N$1) / 2)</f>
        <v>3</v>
      </c>
      <c r="D1341" s="1" t="n">
        <f aca="false">_xlfn.BITAND(A1341,1)</f>
        <v>1</v>
      </c>
      <c r="F1341" s="1" t="str">
        <f aca="false">DEC2HEX(B1341*$N$3*18)</f>
        <v>14D00</v>
      </c>
      <c r="G1341" s="1" t="str">
        <f aca="false">DEC2HEX(C1341*7)</f>
        <v>15</v>
      </c>
      <c r="H1341" s="1" t="str">
        <f aca="false">IF(D1341=0, 33, "cc")</f>
        <v>cc</v>
      </c>
    </row>
    <row r="1342" customFormat="false" ht="18.65" hidden="false" customHeight="true" outlineLevel="0" collapsed="false">
      <c r="A1342" s="1" t="n">
        <f aca="false">ROW()-2</f>
        <v>1340</v>
      </c>
      <c r="B1342" s="1" t="n">
        <f aca="false">INT(A1342/$N$1)</f>
        <v>74</v>
      </c>
      <c r="C1342" s="1" t="n">
        <f aca="false">INT(MOD(A1342,$N$1) / 2)</f>
        <v>4</v>
      </c>
      <c r="D1342" s="1" t="n">
        <f aca="false">_xlfn.BITAND(A1342,1)</f>
        <v>0</v>
      </c>
      <c r="F1342" s="1" t="str">
        <f aca="false">DEC2HEX(B1342*$N$3*18)</f>
        <v>14D00</v>
      </c>
      <c r="G1342" s="1" t="str">
        <f aca="false">DEC2HEX(C1342*7)</f>
        <v>1C</v>
      </c>
      <c r="H1342" s="1" t="n">
        <f aca="false">IF(D1342=0, 33, "cc")</f>
        <v>33</v>
      </c>
    </row>
    <row r="1343" customFormat="false" ht="18.65" hidden="false" customHeight="true" outlineLevel="0" collapsed="false">
      <c r="A1343" s="1" t="n">
        <f aca="false">ROW()-2</f>
        <v>1341</v>
      </c>
      <c r="B1343" s="1" t="n">
        <f aca="false">INT(A1343/$N$1)</f>
        <v>74</v>
      </c>
      <c r="C1343" s="1" t="n">
        <f aca="false">INT(MOD(A1343,$N$1) / 2)</f>
        <v>4</v>
      </c>
      <c r="D1343" s="1" t="n">
        <f aca="false">_xlfn.BITAND(A1343,1)</f>
        <v>1</v>
      </c>
      <c r="F1343" s="1" t="str">
        <f aca="false">DEC2HEX(B1343*$N$3*18)</f>
        <v>14D00</v>
      </c>
      <c r="G1343" s="1" t="str">
        <f aca="false">DEC2HEX(C1343*7)</f>
        <v>1C</v>
      </c>
      <c r="H1343" s="1" t="str">
        <f aca="false">IF(D1343=0, 33, "cc")</f>
        <v>cc</v>
      </c>
    </row>
    <row r="1344" customFormat="false" ht="18.65" hidden="false" customHeight="true" outlineLevel="0" collapsed="false">
      <c r="A1344" s="1" t="n">
        <f aca="false">ROW()-2</f>
        <v>1342</v>
      </c>
      <c r="B1344" s="1" t="n">
        <f aca="false">INT(A1344/$N$1)</f>
        <v>74</v>
      </c>
      <c r="C1344" s="1" t="n">
        <f aca="false">INT(MOD(A1344,$N$1) / 2)</f>
        <v>5</v>
      </c>
      <c r="D1344" s="1" t="n">
        <f aca="false">_xlfn.BITAND(A1344,1)</f>
        <v>0</v>
      </c>
      <c r="F1344" s="1" t="str">
        <f aca="false">DEC2HEX(B1344*$N$3*18)</f>
        <v>14D00</v>
      </c>
      <c r="G1344" s="1" t="str">
        <f aca="false">DEC2HEX(C1344*7)</f>
        <v>23</v>
      </c>
      <c r="H1344" s="1" t="n">
        <f aca="false">IF(D1344=0, 33, "cc")</f>
        <v>33</v>
      </c>
    </row>
    <row r="1345" customFormat="false" ht="18.65" hidden="false" customHeight="true" outlineLevel="0" collapsed="false">
      <c r="A1345" s="1" t="n">
        <f aca="false">ROW()-2</f>
        <v>1343</v>
      </c>
      <c r="B1345" s="1" t="n">
        <f aca="false">INT(A1345/$N$1)</f>
        <v>74</v>
      </c>
      <c r="C1345" s="1" t="n">
        <f aca="false">INT(MOD(A1345,$N$1) / 2)</f>
        <v>5</v>
      </c>
      <c r="D1345" s="1" t="n">
        <f aca="false">_xlfn.BITAND(A1345,1)</f>
        <v>1</v>
      </c>
      <c r="F1345" s="1" t="str">
        <f aca="false">DEC2HEX(B1345*$N$3*18)</f>
        <v>14D00</v>
      </c>
      <c r="G1345" s="1" t="str">
        <f aca="false">DEC2HEX(C1345*7)</f>
        <v>23</v>
      </c>
      <c r="H1345" s="1" t="str">
        <f aca="false">IF(D1345=0, 33, "cc")</f>
        <v>cc</v>
      </c>
    </row>
    <row r="1346" customFormat="false" ht="18.65" hidden="false" customHeight="true" outlineLevel="0" collapsed="false">
      <c r="A1346" s="1" t="n">
        <f aca="false">ROW()-2</f>
        <v>1344</v>
      </c>
      <c r="B1346" s="1" t="n">
        <f aca="false">INT(A1346/$N$1)</f>
        <v>74</v>
      </c>
      <c r="C1346" s="1" t="n">
        <f aca="false">INT(MOD(A1346,$N$1) / 2)</f>
        <v>6</v>
      </c>
      <c r="D1346" s="1" t="n">
        <f aca="false">_xlfn.BITAND(A1346,1)</f>
        <v>0</v>
      </c>
      <c r="F1346" s="1" t="str">
        <f aca="false">DEC2HEX(B1346*$N$3*18)</f>
        <v>14D00</v>
      </c>
      <c r="G1346" s="1" t="str">
        <f aca="false">DEC2HEX(C1346*7)</f>
        <v>2A</v>
      </c>
      <c r="H1346" s="1" t="n">
        <f aca="false">IF(D1346=0, 33, "cc")</f>
        <v>33</v>
      </c>
    </row>
    <row r="1347" customFormat="false" ht="18.65" hidden="false" customHeight="true" outlineLevel="0" collapsed="false">
      <c r="A1347" s="1" t="n">
        <f aca="false">ROW()-2</f>
        <v>1345</v>
      </c>
      <c r="B1347" s="1" t="n">
        <f aca="false">INT(A1347/$N$1)</f>
        <v>74</v>
      </c>
      <c r="C1347" s="1" t="n">
        <f aca="false">INT(MOD(A1347,$N$1) / 2)</f>
        <v>6</v>
      </c>
      <c r="D1347" s="1" t="n">
        <f aca="false">_xlfn.BITAND(A1347,1)</f>
        <v>1</v>
      </c>
      <c r="F1347" s="1" t="str">
        <f aca="false">DEC2HEX(B1347*$N$3*18)</f>
        <v>14D00</v>
      </c>
      <c r="G1347" s="1" t="str">
        <f aca="false">DEC2HEX(C1347*7)</f>
        <v>2A</v>
      </c>
      <c r="H1347" s="1" t="str">
        <f aca="false">IF(D1347=0, 33, "cc")</f>
        <v>cc</v>
      </c>
    </row>
    <row r="1348" customFormat="false" ht="18.65" hidden="false" customHeight="true" outlineLevel="0" collapsed="false">
      <c r="A1348" s="1" t="n">
        <f aca="false">ROW()-2</f>
        <v>1346</v>
      </c>
      <c r="B1348" s="1" t="n">
        <f aca="false">INT(A1348/$N$1)</f>
        <v>74</v>
      </c>
      <c r="C1348" s="1" t="n">
        <f aca="false">INT(MOD(A1348,$N$1) / 2)</f>
        <v>7</v>
      </c>
      <c r="D1348" s="1" t="n">
        <f aca="false">_xlfn.BITAND(A1348,1)</f>
        <v>0</v>
      </c>
      <c r="F1348" s="1" t="str">
        <f aca="false">DEC2HEX(B1348*$N$3*18)</f>
        <v>14D00</v>
      </c>
      <c r="G1348" s="1" t="str">
        <f aca="false">DEC2HEX(C1348*7)</f>
        <v>31</v>
      </c>
      <c r="H1348" s="1" t="n">
        <f aca="false">IF(D1348=0, 33, "cc")</f>
        <v>33</v>
      </c>
    </row>
    <row r="1349" customFormat="false" ht="18.65" hidden="false" customHeight="true" outlineLevel="0" collapsed="false">
      <c r="A1349" s="1" t="n">
        <f aca="false">ROW()-2</f>
        <v>1347</v>
      </c>
      <c r="B1349" s="1" t="n">
        <f aca="false">INT(A1349/$N$1)</f>
        <v>74</v>
      </c>
      <c r="C1349" s="1" t="n">
        <f aca="false">INT(MOD(A1349,$N$1) / 2)</f>
        <v>7</v>
      </c>
      <c r="D1349" s="1" t="n">
        <f aca="false">_xlfn.BITAND(A1349,1)</f>
        <v>1</v>
      </c>
      <c r="F1349" s="1" t="str">
        <f aca="false">DEC2HEX(B1349*$N$3*18)</f>
        <v>14D00</v>
      </c>
      <c r="G1349" s="1" t="str">
        <f aca="false">DEC2HEX(C1349*7)</f>
        <v>31</v>
      </c>
      <c r="H1349" s="1" t="str">
        <f aca="false">IF(D1349=0, 33, "cc")</f>
        <v>cc</v>
      </c>
    </row>
    <row r="1350" customFormat="false" ht="18.65" hidden="false" customHeight="true" outlineLevel="0" collapsed="false">
      <c r="A1350" s="1" t="n">
        <f aca="false">ROW()-2</f>
        <v>1348</v>
      </c>
      <c r="B1350" s="1" t="n">
        <f aca="false">INT(A1350/$N$1)</f>
        <v>74</v>
      </c>
      <c r="C1350" s="1" t="n">
        <f aca="false">INT(MOD(A1350,$N$1) / 2)</f>
        <v>8</v>
      </c>
      <c r="D1350" s="1" t="n">
        <f aca="false">_xlfn.BITAND(A1350,1)</f>
        <v>0</v>
      </c>
      <c r="F1350" s="1" t="str">
        <f aca="false">DEC2HEX(B1350*$N$3*18)</f>
        <v>14D00</v>
      </c>
      <c r="G1350" s="1" t="str">
        <f aca="false">DEC2HEX(C1350*7)</f>
        <v>38</v>
      </c>
      <c r="H1350" s="1" t="n">
        <f aca="false">IF(D1350=0, 33, "cc")</f>
        <v>33</v>
      </c>
    </row>
    <row r="1351" customFormat="false" ht="18.65" hidden="false" customHeight="true" outlineLevel="0" collapsed="false">
      <c r="A1351" s="1" t="n">
        <f aca="false">ROW()-2</f>
        <v>1349</v>
      </c>
      <c r="B1351" s="1" t="n">
        <f aca="false">INT(A1351/$N$1)</f>
        <v>74</v>
      </c>
      <c r="C1351" s="1" t="n">
        <f aca="false">INT(MOD(A1351,$N$1) / 2)</f>
        <v>8</v>
      </c>
      <c r="D1351" s="1" t="n">
        <f aca="false">_xlfn.BITAND(A1351,1)</f>
        <v>1</v>
      </c>
      <c r="F1351" s="1" t="str">
        <f aca="false">DEC2HEX(B1351*$N$3*18)</f>
        <v>14D00</v>
      </c>
      <c r="G1351" s="1" t="str">
        <f aca="false">DEC2HEX(C1351*7)</f>
        <v>38</v>
      </c>
      <c r="H1351" s="1" t="str">
        <f aca="false">IF(D1351=0, 33, "cc")</f>
        <v>cc</v>
      </c>
    </row>
    <row r="1352" customFormat="false" ht="18.65" hidden="false" customHeight="true" outlineLevel="0" collapsed="false">
      <c r="A1352" s="1" t="n">
        <f aca="false">ROW()-2</f>
        <v>1350</v>
      </c>
      <c r="B1352" s="1" t="n">
        <f aca="false">INT(A1352/$N$1)</f>
        <v>75</v>
      </c>
      <c r="C1352" s="1" t="n">
        <f aca="false">INT(MOD(A1352,$N$1) / 2)</f>
        <v>0</v>
      </c>
      <c r="D1352" s="1" t="n">
        <f aca="false">_xlfn.BITAND(A1352,1)</f>
        <v>0</v>
      </c>
      <c r="F1352" s="1" t="str">
        <f aca="false">DEC2HEX(B1352*$N$3*18)</f>
        <v>15180</v>
      </c>
      <c r="G1352" s="1" t="str">
        <f aca="false">DEC2HEX(C1352*7)</f>
        <v>0</v>
      </c>
      <c r="H1352" s="1" t="n">
        <f aca="false">IF(D1352=0, 33, "cc")</f>
        <v>33</v>
      </c>
    </row>
    <row r="1353" customFormat="false" ht="18.65" hidden="false" customHeight="true" outlineLevel="0" collapsed="false">
      <c r="A1353" s="1" t="n">
        <f aca="false">ROW()-2</f>
        <v>1351</v>
      </c>
      <c r="B1353" s="1" t="n">
        <f aca="false">INT(A1353/$N$1)</f>
        <v>75</v>
      </c>
      <c r="C1353" s="1" t="n">
        <f aca="false">INT(MOD(A1353,$N$1) / 2)</f>
        <v>0</v>
      </c>
      <c r="D1353" s="1" t="n">
        <f aca="false">_xlfn.BITAND(A1353,1)</f>
        <v>1</v>
      </c>
      <c r="F1353" s="1" t="str">
        <f aca="false">DEC2HEX(B1353*$N$3*18)</f>
        <v>15180</v>
      </c>
      <c r="G1353" s="1" t="str">
        <f aca="false">DEC2HEX(C1353*7)</f>
        <v>0</v>
      </c>
      <c r="H1353" s="1" t="str">
        <f aca="false">IF(D1353=0, 33, "cc")</f>
        <v>cc</v>
      </c>
    </row>
    <row r="1354" customFormat="false" ht="18.65" hidden="false" customHeight="true" outlineLevel="0" collapsed="false">
      <c r="A1354" s="1" t="n">
        <f aca="false">ROW()-2</f>
        <v>1352</v>
      </c>
      <c r="B1354" s="1" t="n">
        <f aca="false">INT(A1354/$N$1)</f>
        <v>75</v>
      </c>
      <c r="C1354" s="1" t="n">
        <f aca="false">INT(MOD(A1354,$N$1) / 2)</f>
        <v>1</v>
      </c>
      <c r="D1354" s="1" t="n">
        <f aca="false">_xlfn.BITAND(A1354,1)</f>
        <v>0</v>
      </c>
      <c r="F1354" s="1" t="str">
        <f aca="false">DEC2HEX(B1354*$N$3*18)</f>
        <v>15180</v>
      </c>
      <c r="G1354" s="1" t="str">
        <f aca="false">DEC2HEX(C1354*7)</f>
        <v>7</v>
      </c>
      <c r="H1354" s="1" t="n">
        <f aca="false">IF(D1354=0, 33, "cc")</f>
        <v>33</v>
      </c>
    </row>
    <row r="1355" customFormat="false" ht="18.65" hidden="false" customHeight="true" outlineLevel="0" collapsed="false">
      <c r="A1355" s="1" t="n">
        <f aca="false">ROW()-2</f>
        <v>1353</v>
      </c>
      <c r="B1355" s="1" t="n">
        <f aca="false">INT(A1355/$N$1)</f>
        <v>75</v>
      </c>
      <c r="C1355" s="1" t="n">
        <f aca="false">INT(MOD(A1355,$N$1) / 2)</f>
        <v>1</v>
      </c>
      <c r="D1355" s="1" t="n">
        <f aca="false">_xlfn.BITAND(A1355,1)</f>
        <v>1</v>
      </c>
      <c r="F1355" s="1" t="str">
        <f aca="false">DEC2HEX(B1355*$N$3*18)</f>
        <v>15180</v>
      </c>
      <c r="G1355" s="1" t="str">
        <f aca="false">DEC2HEX(C1355*7)</f>
        <v>7</v>
      </c>
      <c r="H1355" s="1" t="str">
        <f aca="false">IF(D1355=0, 33, "cc")</f>
        <v>cc</v>
      </c>
    </row>
    <row r="1356" customFormat="false" ht="18.65" hidden="false" customHeight="true" outlineLevel="0" collapsed="false">
      <c r="A1356" s="1" t="n">
        <f aca="false">ROW()-2</f>
        <v>1354</v>
      </c>
      <c r="B1356" s="1" t="n">
        <f aca="false">INT(A1356/$N$1)</f>
        <v>75</v>
      </c>
      <c r="C1356" s="1" t="n">
        <f aca="false">INT(MOD(A1356,$N$1) / 2)</f>
        <v>2</v>
      </c>
      <c r="D1356" s="1" t="n">
        <f aca="false">_xlfn.BITAND(A1356,1)</f>
        <v>0</v>
      </c>
      <c r="F1356" s="1" t="str">
        <f aca="false">DEC2HEX(B1356*$N$3*18)</f>
        <v>15180</v>
      </c>
      <c r="G1356" s="1" t="str">
        <f aca="false">DEC2HEX(C1356*7)</f>
        <v>E</v>
      </c>
      <c r="H1356" s="1" t="n">
        <f aca="false">IF(D1356=0, 33, "cc")</f>
        <v>33</v>
      </c>
    </row>
    <row r="1357" customFormat="false" ht="18.65" hidden="false" customHeight="true" outlineLevel="0" collapsed="false">
      <c r="A1357" s="1" t="n">
        <f aca="false">ROW()-2</f>
        <v>1355</v>
      </c>
      <c r="B1357" s="1" t="n">
        <f aca="false">INT(A1357/$N$1)</f>
        <v>75</v>
      </c>
      <c r="C1357" s="1" t="n">
        <f aca="false">INT(MOD(A1357,$N$1) / 2)</f>
        <v>2</v>
      </c>
      <c r="D1357" s="1" t="n">
        <f aca="false">_xlfn.BITAND(A1357,1)</f>
        <v>1</v>
      </c>
      <c r="F1357" s="1" t="str">
        <f aca="false">DEC2HEX(B1357*$N$3*18)</f>
        <v>15180</v>
      </c>
      <c r="G1357" s="1" t="str">
        <f aca="false">DEC2HEX(C1357*7)</f>
        <v>E</v>
      </c>
      <c r="H1357" s="1" t="str">
        <f aca="false">IF(D1357=0, 33, "cc")</f>
        <v>cc</v>
      </c>
    </row>
    <row r="1358" customFormat="false" ht="18.65" hidden="false" customHeight="true" outlineLevel="0" collapsed="false">
      <c r="A1358" s="1" t="n">
        <f aca="false">ROW()-2</f>
        <v>1356</v>
      </c>
      <c r="B1358" s="1" t="n">
        <f aca="false">INT(A1358/$N$1)</f>
        <v>75</v>
      </c>
      <c r="C1358" s="1" t="n">
        <f aca="false">INT(MOD(A1358,$N$1) / 2)</f>
        <v>3</v>
      </c>
      <c r="D1358" s="1" t="n">
        <f aca="false">_xlfn.BITAND(A1358,1)</f>
        <v>0</v>
      </c>
      <c r="F1358" s="1" t="str">
        <f aca="false">DEC2HEX(B1358*$N$3*18)</f>
        <v>15180</v>
      </c>
      <c r="G1358" s="1" t="str">
        <f aca="false">DEC2HEX(C1358*7)</f>
        <v>15</v>
      </c>
      <c r="H1358" s="1" t="n">
        <f aca="false">IF(D1358=0, 33, "cc")</f>
        <v>33</v>
      </c>
    </row>
    <row r="1359" customFormat="false" ht="18.65" hidden="false" customHeight="true" outlineLevel="0" collapsed="false">
      <c r="A1359" s="1" t="n">
        <f aca="false">ROW()-2</f>
        <v>1357</v>
      </c>
      <c r="B1359" s="1" t="n">
        <f aca="false">INT(A1359/$N$1)</f>
        <v>75</v>
      </c>
      <c r="C1359" s="1" t="n">
        <f aca="false">INT(MOD(A1359,$N$1) / 2)</f>
        <v>3</v>
      </c>
      <c r="D1359" s="1" t="n">
        <f aca="false">_xlfn.BITAND(A1359,1)</f>
        <v>1</v>
      </c>
      <c r="F1359" s="1" t="str">
        <f aca="false">DEC2HEX(B1359*$N$3*18)</f>
        <v>15180</v>
      </c>
      <c r="G1359" s="1" t="str">
        <f aca="false">DEC2HEX(C1359*7)</f>
        <v>15</v>
      </c>
      <c r="H1359" s="1" t="str">
        <f aca="false">IF(D1359=0, 33, "cc")</f>
        <v>cc</v>
      </c>
    </row>
    <row r="1360" customFormat="false" ht="18.65" hidden="false" customHeight="true" outlineLevel="0" collapsed="false">
      <c r="A1360" s="1" t="n">
        <f aca="false">ROW()-2</f>
        <v>1358</v>
      </c>
      <c r="B1360" s="1" t="n">
        <f aca="false">INT(A1360/$N$1)</f>
        <v>75</v>
      </c>
      <c r="C1360" s="1" t="n">
        <f aca="false">INT(MOD(A1360,$N$1) / 2)</f>
        <v>4</v>
      </c>
      <c r="D1360" s="1" t="n">
        <f aca="false">_xlfn.BITAND(A1360,1)</f>
        <v>0</v>
      </c>
      <c r="F1360" s="1" t="str">
        <f aca="false">DEC2HEX(B1360*$N$3*18)</f>
        <v>15180</v>
      </c>
      <c r="G1360" s="1" t="str">
        <f aca="false">DEC2HEX(C1360*7)</f>
        <v>1C</v>
      </c>
      <c r="H1360" s="1" t="n">
        <f aca="false">IF(D1360=0, 33, "cc")</f>
        <v>33</v>
      </c>
    </row>
    <row r="1361" customFormat="false" ht="18.65" hidden="false" customHeight="true" outlineLevel="0" collapsed="false">
      <c r="A1361" s="1" t="n">
        <f aca="false">ROW()-2</f>
        <v>1359</v>
      </c>
      <c r="B1361" s="1" t="n">
        <f aca="false">INT(A1361/$N$1)</f>
        <v>75</v>
      </c>
      <c r="C1361" s="1" t="n">
        <f aca="false">INT(MOD(A1361,$N$1) / 2)</f>
        <v>4</v>
      </c>
      <c r="D1361" s="1" t="n">
        <f aca="false">_xlfn.BITAND(A1361,1)</f>
        <v>1</v>
      </c>
      <c r="F1361" s="1" t="str">
        <f aca="false">DEC2HEX(B1361*$N$3*18)</f>
        <v>15180</v>
      </c>
      <c r="G1361" s="1" t="str">
        <f aca="false">DEC2HEX(C1361*7)</f>
        <v>1C</v>
      </c>
      <c r="H1361" s="1" t="str">
        <f aca="false">IF(D1361=0, 33, "cc")</f>
        <v>cc</v>
      </c>
    </row>
    <row r="1362" customFormat="false" ht="18.65" hidden="false" customHeight="true" outlineLevel="0" collapsed="false">
      <c r="A1362" s="1" t="n">
        <f aca="false">ROW()-2</f>
        <v>1360</v>
      </c>
      <c r="B1362" s="1" t="n">
        <f aca="false">INT(A1362/$N$1)</f>
        <v>75</v>
      </c>
      <c r="C1362" s="1" t="n">
        <f aca="false">INT(MOD(A1362,$N$1) / 2)</f>
        <v>5</v>
      </c>
      <c r="D1362" s="1" t="n">
        <f aca="false">_xlfn.BITAND(A1362,1)</f>
        <v>0</v>
      </c>
      <c r="F1362" s="1" t="str">
        <f aca="false">DEC2HEX(B1362*$N$3*18)</f>
        <v>15180</v>
      </c>
      <c r="G1362" s="1" t="str">
        <f aca="false">DEC2HEX(C1362*7)</f>
        <v>23</v>
      </c>
      <c r="H1362" s="1" t="n">
        <f aca="false">IF(D1362=0, 33, "cc")</f>
        <v>33</v>
      </c>
    </row>
    <row r="1363" customFormat="false" ht="18.65" hidden="false" customHeight="true" outlineLevel="0" collapsed="false">
      <c r="A1363" s="1" t="n">
        <f aca="false">ROW()-2</f>
        <v>1361</v>
      </c>
      <c r="B1363" s="1" t="n">
        <f aca="false">INT(A1363/$N$1)</f>
        <v>75</v>
      </c>
      <c r="C1363" s="1" t="n">
        <f aca="false">INT(MOD(A1363,$N$1) / 2)</f>
        <v>5</v>
      </c>
      <c r="D1363" s="1" t="n">
        <f aca="false">_xlfn.BITAND(A1363,1)</f>
        <v>1</v>
      </c>
      <c r="F1363" s="1" t="str">
        <f aca="false">DEC2HEX(B1363*$N$3*18)</f>
        <v>15180</v>
      </c>
      <c r="G1363" s="1" t="str">
        <f aca="false">DEC2HEX(C1363*7)</f>
        <v>23</v>
      </c>
      <c r="H1363" s="1" t="str">
        <f aca="false">IF(D1363=0, 33, "cc")</f>
        <v>cc</v>
      </c>
    </row>
    <row r="1364" customFormat="false" ht="18.65" hidden="false" customHeight="true" outlineLevel="0" collapsed="false">
      <c r="A1364" s="1" t="n">
        <f aca="false">ROW()-2</f>
        <v>1362</v>
      </c>
      <c r="B1364" s="1" t="n">
        <f aca="false">INT(A1364/$N$1)</f>
        <v>75</v>
      </c>
      <c r="C1364" s="1" t="n">
        <f aca="false">INT(MOD(A1364,$N$1) / 2)</f>
        <v>6</v>
      </c>
      <c r="D1364" s="1" t="n">
        <f aca="false">_xlfn.BITAND(A1364,1)</f>
        <v>0</v>
      </c>
      <c r="F1364" s="1" t="str">
        <f aca="false">DEC2HEX(B1364*$N$3*18)</f>
        <v>15180</v>
      </c>
      <c r="G1364" s="1" t="str">
        <f aca="false">DEC2HEX(C1364*7)</f>
        <v>2A</v>
      </c>
      <c r="H1364" s="1" t="n">
        <f aca="false">IF(D1364=0, 33, "cc")</f>
        <v>33</v>
      </c>
    </row>
    <row r="1365" customFormat="false" ht="18.65" hidden="false" customHeight="true" outlineLevel="0" collapsed="false">
      <c r="A1365" s="1" t="n">
        <f aca="false">ROW()-2</f>
        <v>1363</v>
      </c>
      <c r="B1365" s="1" t="n">
        <f aca="false">INT(A1365/$N$1)</f>
        <v>75</v>
      </c>
      <c r="C1365" s="1" t="n">
        <f aca="false">INT(MOD(A1365,$N$1) / 2)</f>
        <v>6</v>
      </c>
      <c r="D1365" s="1" t="n">
        <f aca="false">_xlfn.BITAND(A1365,1)</f>
        <v>1</v>
      </c>
      <c r="F1365" s="1" t="str">
        <f aca="false">DEC2HEX(B1365*$N$3*18)</f>
        <v>15180</v>
      </c>
      <c r="G1365" s="1" t="str">
        <f aca="false">DEC2HEX(C1365*7)</f>
        <v>2A</v>
      </c>
      <c r="H1365" s="1" t="str">
        <f aca="false">IF(D1365=0, 33, "cc")</f>
        <v>cc</v>
      </c>
    </row>
    <row r="1366" customFormat="false" ht="18.65" hidden="false" customHeight="true" outlineLevel="0" collapsed="false">
      <c r="A1366" s="1" t="n">
        <f aca="false">ROW()-2</f>
        <v>1364</v>
      </c>
      <c r="B1366" s="1" t="n">
        <f aca="false">INT(A1366/$N$1)</f>
        <v>75</v>
      </c>
      <c r="C1366" s="1" t="n">
        <f aca="false">INT(MOD(A1366,$N$1) / 2)</f>
        <v>7</v>
      </c>
      <c r="D1366" s="1" t="n">
        <f aca="false">_xlfn.BITAND(A1366,1)</f>
        <v>0</v>
      </c>
      <c r="F1366" s="1" t="str">
        <f aca="false">DEC2HEX(B1366*$N$3*18)</f>
        <v>15180</v>
      </c>
      <c r="G1366" s="1" t="str">
        <f aca="false">DEC2HEX(C1366*7)</f>
        <v>31</v>
      </c>
      <c r="H1366" s="1" t="n">
        <f aca="false">IF(D1366=0, 33, "cc")</f>
        <v>33</v>
      </c>
    </row>
    <row r="1367" customFormat="false" ht="18.65" hidden="false" customHeight="true" outlineLevel="0" collapsed="false">
      <c r="A1367" s="1" t="n">
        <f aca="false">ROW()-2</f>
        <v>1365</v>
      </c>
      <c r="B1367" s="1" t="n">
        <f aca="false">INT(A1367/$N$1)</f>
        <v>75</v>
      </c>
      <c r="C1367" s="1" t="n">
        <f aca="false">INT(MOD(A1367,$N$1) / 2)</f>
        <v>7</v>
      </c>
      <c r="D1367" s="1" t="n">
        <f aca="false">_xlfn.BITAND(A1367,1)</f>
        <v>1</v>
      </c>
      <c r="F1367" s="1" t="str">
        <f aca="false">DEC2HEX(B1367*$N$3*18)</f>
        <v>15180</v>
      </c>
      <c r="G1367" s="1" t="str">
        <f aca="false">DEC2HEX(C1367*7)</f>
        <v>31</v>
      </c>
      <c r="H1367" s="1" t="str">
        <f aca="false">IF(D1367=0, 33, "cc")</f>
        <v>cc</v>
      </c>
    </row>
    <row r="1368" customFormat="false" ht="18.65" hidden="false" customHeight="true" outlineLevel="0" collapsed="false">
      <c r="A1368" s="1" t="n">
        <f aca="false">ROW()-2</f>
        <v>1366</v>
      </c>
      <c r="B1368" s="1" t="n">
        <f aca="false">INT(A1368/$N$1)</f>
        <v>75</v>
      </c>
      <c r="C1368" s="1" t="n">
        <f aca="false">INT(MOD(A1368,$N$1) / 2)</f>
        <v>8</v>
      </c>
      <c r="D1368" s="1" t="n">
        <f aca="false">_xlfn.BITAND(A1368,1)</f>
        <v>0</v>
      </c>
      <c r="F1368" s="1" t="str">
        <f aca="false">DEC2HEX(B1368*$N$3*18)</f>
        <v>15180</v>
      </c>
      <c r="G1368" s="1" t="str">
        <f aca="false">DEC2HEX(C1368*7)</f>
        <v>38</v>
      </c>
      <c r="H1368" s="1" t="n">
        <f aca="false">IF(D1368=0, 33, "cc")</f>
        <v>33</v>
      </c>
    </row>
    <row r="1369" customFormat="false" ht="18.65" hidden="false" customHeight="true" outlineLevel="0" collapsed="false">
      <c r="A1369" s="1" t="n">
        <f aca="false">ROW()-2</f>
        <v>1367</v>
      </c>
      <c r="B1369" s="1" t="n">
        <f aca="false">INT(A1369/$N$1)</f>
        <v>75</v>
      </c>
      <c r="C1369" s="1" t="n">
        <f aca="false">INT(MOD(A1369,$N$1) / 2)</f>
        <v>8</v>
      </c>
      <c r="D1369" s="1" t="n">
        <f aca="false">_xlfn.BITAND(A1369,1)</f>
        <v>1</v>
      </c>
      <c r="F1369" s="1" t="str">
        <f aca="false">DEC2HEX(B1369*$N$3*18)</f>
        <v>15180</v>
      </c>
      <c r="G1369" s="1" t="str">
        <f aca="false">DEC2HEX(C1369*7)</f>
        <v>38</v>
      </c>
      <c r="H1369" s="1" t="str">
        <f aca="false">IF(D1369=0, 33, "cc")</f>
        <v>cc</v>
      </c>
    </row>
    <row r="1370" customFormat="false" ht="18.65" hidden="false" customHeight="true" outlineLevel="0" collapsed="false">
      <c r="A1370" s="1" t="n">
        <f aca="false">ROW()-2</f>
        <v>1368</v>
      </c>
      <c r="B1370" s="1" t="n">
        <f aca="false">INT(A1370/$N$1)</f>
        <v>76</v>
      </c>
      <c r="C1370" s="1" t="n">
        <f aca="false">INT(MOD(A1370,$N$1) / 2)</f>
        <v>0</v>
      </c>
      <c r="D1370" s="1" t="n">
        <f aca="false">_xlfn.BITAND(A1370,1)</f>
        <v>0</v>
      </c>
      <c r="F1370" s="1" t="str">
        <f aca="false">DEC2HEX(B1370*$N$3*18)</f>
        <v>15600</v>
      </c>
      <c r="G1370" s="1" t="str">
        <f aca="false">DEC2HEX(C1370*7)</f>
        <v>0</v>
      </c>
      <c r="H1370" s="1" t="n">
        <f aca="false">IF(D1370=0, 33, "cc")</f>
        <v>33</v>
      </c>
    </row>
    <row r="1371" customFormat="false" ht="18.65" hidden="false" customHeight="true" outlineLevel="0" collapsed="false">
      <c r="A1371" s="1" t="n">
        <f aca="false">ROW()-2</f>
        <v>1369</v>
      </c>
      <c r="B1371" s="1" t="n">
        <f aca="false">INT(A1371/$N$1)</f>
        <v>76</v>
      </c>
      <c r="C1371" s="1" t="n">
        <f aca="false">INT(MOD(A1371,$N$1) / 2)</f>
        <v>0</v>
      </c>
      <c r="D1371" s="1" t="n">
        <f aca="false">_xlfn.BITAND(A1371,1)</f>
        <v>1</v>
      </c>
      <c r="F1371" s="1" t="str">
        <f aca="false">DEC2HEX(B1371*$N$3*18)</f>
        <v>15600</v>
      </c>
      <c r="G1371" s="1" t="str">
        <f aca="false">DEC2HEX(C1371*7)</f>
        <v>0</v>
      </c>
      <c r="H1371" s="1" t="str">
        <f aca="false">IF(D1371=0, 33, "cc")</f>
        <v>cc</v>
      </c>
    </row>
    <row r="1372" customFormat="false" ht="18.65" hidden="false" customHeight="true" outlineLevel="0" collapsed="false">
      <c r="A1372" s="1" t="n">
        <f aca="false">ROW()-2</f>
        <v>1370</v>
      </c>
      <c r="B1372" s="1" t="n">
        <f aca="false">INT(A1372/$N$1)</f>
        <v>76</v>
      </c>
      <c r="C1372" s="1" t="n">
        <f aca="false">INT(MOD(A1372,$N$1) / 2)</f>
        <v>1</v>
      </c>
      <c r="D1372" s="1" t="n">
        <f aca="false">_xlfn.BITAND(A1372,1)</f>
        <v>0</v>
      </c>
      <c r="F1372" s="1" t="str">
        <f aca="false">DEC2HEX(B1372*$N$3*18)</f>
        <v>15600</v>
      </c>
      <c r="G1372" s="1" t="str">
        <f aca="false">DEC2HEX(C1372*7)</f>
        <v>7</v>
      </c>
      <c r="H1372" s="1" t="n">
        <f aca="false">IF(D1372=0, 33, "cc")</f>
        <v>33</v>
      </c>
    </row>
    <row r="1373" customFormat="false" ht="18.65" hidden="false" customHeight="true" outlineLevel="0" collapsed="false">
      <c r="A1373" s="1" t="n">
        <f aca="false">ROW()-2</f>
        <v>1371</v>
      </c>
      <c r="B1373" s="1" t="n">
        <f aca="false">INT(A1373/$N$1)</f>
        <v>76</v>
      </c>
      <c r="C1373" s="1" t="n">
        <f aca="false">INT(MOD(A1373,$N$1) / 2)</f>
        <v>1</v>
      </c>
      <c r="D1373" s="1" t="n">
        <f aca="false">_xlfn.BITAND(A1373,1)</f>
        <v>1</v>
      </c>
      <c r="F1373" s="1" t="str">
        <f aca="false">DEC2HEX(B1373*$N$3*18)</f>
        <v>15600</v>
      </c>
      <c r="G1373" s="1" t="str">
        <f aca="false">DEC2HEX(C1373*7)</f>
        <v>7</v>
      </c>
      <c r="H1373" s="1" t="str">
        <f aca="false">IF(D1373=0, 33, "cc")</f>
        <v>cc</v>
      </c>
    </row>
    <row r="1374" customFormat="false" ht="18.65" hidden="false" customHeight="true" outlineLevel="0" collapsed="false">
      <c r="A1374" s="1" t="n">
        <f aca="false">ROW()-2</f>
        <v>1372</v>
      </c>
      <c r="B1374" s="1" t="n">
        <f aca="false">INT(A1374/$N$1)</f>
        <v>76</v>
      </c>
      <c r="C1374" s="1" t="n">
        <f aca="false">INT(MOD(A1374,$N$1) / 2)</f>
        <v>2</v>
      </c>
      <c r="D1374" s="1" t="n">
        <f aca="false">_xlfn.BITAND(A1374,1)</f>
        <v>0</v>
      </c>
      <c r="F1374" s="1" t="str">
        <f aca="false">DEC2HEX(B1374*$N$3*18)</f>
        <v>15600</v>
      </c>
      <c r="G1374" s="1" t="str">
        <f aca="false">DEC2HEX(C1374*7)</f>
        <v>E</v>
      </c>
      <c r="H1374" s="1" t="n">
        <f aca="false">IF(D1374=0, 33, "cc")</f>
        <v>33</v>
      </c>
    </row>
    <row r="1375" customFormat="false" ht="18.65" hidden="false" customHeight="true" outlineLevel="0" collapsed="false">
      <c r="A1375" s="1" t="n">
        <f aca="false">ROW()-2</f>
        <v>1373</v>
      </c>
      <c r="B1375" s="1" t="n">
        <f aca="false">INT(A1375/$N$1)</f>
        <v>76</v>
      </c>
      <c r="C1375" s="1" t="n">
        <f aca="false">INT(MOD(A1375,$N$1) / 2)</f>
        <v>2</v>
      </c>
      <c r="D1375" s="1" t="n">
        <f aca="false">_xlfn.BITAND(A1375,1)</f>
        <v>1</v>
      </c>
      <c r="F1375" s="1" t="str">
        <f aca="false">DEC2HEX(B1375*$N$3*18)</f>
        <v>15600</v>
      </c>
      <c r="G1375" s="1" t="str">
        <f aca="false">DEC2HEX(C1375*7)</f>
        <v>E</v>
      </c>
      <c r="H1375" s="1" t="str">
        <f aca="false">IF(D1375=0, 33, "cc")</f>
        <v>cc</v>
      </c>
    </row>
    <row r="1376" customFormat="false" ht="18.65" hidden="false" customHeight="true" outlineLevel="0" collapsed="false">
      <c r="A1376" s="1" t="n">
        <f aca="false">ROW()-2</f>
        <v>1374</v>
      </c>
      <c r="B1376" s="1" t="n">
        <f aca="false">INT(A1376/$N$1)</f>
        <v>76</v>
      </c>
      <c r="C1376" s="1" t="n">
        <f aca="false">INT(MOD(A1376,$N$1) / 2)</f>
        <v>3</v>
      </c>
      <c r="D1376" s="1" t="n">
        <f aca="false">_xlfn.BITAND(A1376,1)</f>
        <v>0</v>
      </c>
      <c r="F1376" s="1" t="str">
        <f aca="false">DEC2HEX(B1376*$N$3*18)</f>
        <v>15600</v>
      </c>
      <c r="G1376" s="1" t="str">
        <f aca="false">DEC2HEX(C1376*7)</f>
        <v>15</v>
      </c>
      <c r="H1376" s="1" t="n">
        <f aca="false">IF(D1376=0, 33, "cc")</f>
        <v>33</v>
      </c>
    </row>
    <row r="1377" customFormat="false" ht="18.65" hidden="false" customHeight="true" outlineLevel="0" collapsed="false">
      <c r="A1377" s="1" t="n">
        <f aca="false">ROW()-2</f>
        <v>1375</v>
      </c>
      <c r="B1377" s="1" t="n">
        <f aca="false">INT(A1377/$N$1)</f>
        <v>76</v>
      </c>
      <c r="C1377" s="1" t="n">
        <f aca="false">INT(MOD(A1377,$N$1) / 2)</f>
        <v>3</v>
      </c>
      <c r="D1377" s="1" t="n">
        <f aca="false">_xlfn.BITAND(A1377,1)</f>
        <v>1</v>
      </c>
      <c r="F1377" s="1" t="str">
        <f aca="false">DEC2HEX(B1377*$N$3*18)</f>
        <v>15600</v>
      </c>
      <c r="G1377" s="1" t="str">
        <f aca="false">DEC2HEX(C1377*7)</f>
        <v>15</v>
      </c>
      <c r="H1377" s="1" t="str">
        <f aca="false">IF(D1377=0, 33, "cc")</f>
        <v>cc</v>
      </c>
    </row>
    <row r="1378" customFormat="false" ht="18.65" hidden="false" customHeight="true" outlineLevel="0" collapsed="false">
      <c r="A1378" s="1" t="n">
        <f aca="false">ROW()-2</f>
        <v>1376</v>
      </c>
      <c r="B1378" s="1" t="n">
        <f aca="false">INT(A1378/$N$1)</f>
        <v>76</v>
      </c>
      <c r="C1378" s="1" t="n">
        <f aca="false">INT(MOD(A1378,$N$1) / 2)</f>
        <v>4</v>
      </c>
      <c r="D1378" s="1" t="n">
        <f aca="false">_xlfn.BITAND(A1378,1)</f>
        <v>0</v>
      </c>
      <c r="F1378" s="1" t="str">
        <f aca="false">DEC2HEX(B1378*$N$3*18)</f>
        <v>15600</v>
      </c>
      <c r="G1378" s="1" t="str">
        <f aca="false">DEC2HEX(C1378*7)</f>
        <v>1C</v>
      </c>
      <c r="H1378" s="1" t="n">
        <f aca="false">IF(D1378=0, 33, "cc")</f>
        <v>33</v>
      </c>
    </row>
    <row r="1379" customFormat="false" ht="18.65" hidden="false" customHeight="true" outlineLevel="0" collapsed="false">
      <c r="A1379" s="1" t="n">
        <f aca="false">ROW()-2</f>
        <v>1377</v>
      </c>
      <c r="B1379" s="1" t="n">
        <f aca="false">INT(A1379/$N$1)</f>
        <v>76</v>
      </c>
      <c r="C1379" s="1" t="n">
        <f aca="false">INT(MOD(A1379,$N$1) / 2)</f>
        <v>4</v>
      </c>
      <c r="D1379" s="1" t="n">
        <f aca="false">_xlfn.BITAND(A1379,1)</f>
        <v>1</v>
      </c>
      <c r="F1379" s="1" t="str">
        <f aca="false">DEC2HEX(B1379*$N$3*18)</f>
        <v>15600</v>
      </c>
      <c r="G1379" s="1" t="str">
        <f aca="false">DEC2HEX(C1379*7)</f>
        <v>1C</v>
      </c>
      <c r="H1379" s="1" t="str">
        <f aca="false">IF(D1379=0, 33, "cc")</f>
        <v>cc</v>
      </c>
    </row>
    <row r="1380" customFormat="false" ht="18.65" hidden="false" customHeight="true" outlineLevel="0" collapsed="false">
      <c r="A1380" s="1" t="n">
        <f aca="false">ROW()-2</f>
        <v>1378</v>
      </c>
      <c r="B1380" s="1" t="n">
        <f aca="false">INT(A1380/$N$1)</f>
        <v>76</v>
      </c>
      <c r="C1380" s="1" t="n">
        <f aca="false">INT(MOD(A1380,$N$1) / 2)</f>
        <v>5</v>
      </c>
      <c r="D1380" s="1" t="n">
        <f aca="false">_xlfn.BITAND(A1380,1)</f>
        <v>0</v>
      </c>
      <c r="F1380" s="1" t="str">
        <f aca="false">DEC2HEX(B1380*$N$3*18)</f>
        <v>15600</v>
      </c>
      <c r="G1380" s="1" t="str">
        <f aca="false">DEC2HEX(C1380*7)</f>
        <v>23</v>
      </c>
      <c r="H1380" s="1" t="n">
        <f aca="false">IF(D1380=0, 33, "cc")</f>
        <v>33</v>
      </c>
    </row>
    <row r="1381" customFormat="false" ht="18.65" hidden="false" customHeight="true" outlineLevel="0" collapsed="false">
      <c r="A1381" s="1" t="n">
        <f aca="false">ROW()-2</f>
        <v>1379</v>
      </c>
      <c r="B1381" s="1" t="n">
        <f aca="false">INT(A1381/$N$1)</f>
        <v>76</v>
      </c>
      <c r="C1381" s="1" t="n">
        <f aca="false">INT(MOD(A1381,$N$1) / 2)</f>
        <v>5</v>
      </c>
      <c r="D1381" s="1" t="n">
        <f aca="false">_xlfn.BITAND(A1381,1)</f>
        <v>1</v>
      </c>
      <c r="F1381" s="1" t="str">
        <f aca="false">DEC2HEX(B1381*$N$3*18)</f>
        <v>15600</v>
      </c>
      <c r="G1381" s="1" t="str">
        <f aca="false">DEC2HEX(C1381*7)</f>
        <v>23</v>
      </c>
      <c r="H1381" s="1" t="str">
        <f aca="false">IF(D1381=0, 33, "cc")</f>
        <v>cc</v>
      </c>
    </row>
    <row r="1382" customFormat="false" ht="18.65" hidden="false" customHeight="true" outlineLevel="0" collapsed="false">
      <c r="A1382" s="1" t="n">
        <f aca="false">ROW()-2</f>
        <v>1380</v>
      </c>
      <c r="B1382" s="1" t="n">
        <f aca="false">INT(A1382/$N$1)</f>
        <v>76</v>
      </c>
      <c r="C1382" s="1" t="n">
        <f aca="false">INT(MOD(A1382,$N$1) / 2)</f>
        <v>6</v>
      </c>
      <c r="D1382" s="1" t="n">
        <f aca="false">_xlfn.BITAND(A1382,1)</f>
        <v>0</v>
      </c>
      <c r="F1382" s="1" t="str">
        <f aca="false">DEC2HEX(B1382*$N$3*18)</f>
        <v>15600</v>
      </c>
      <c r="G1382" s="1" t="str">
        <f aca="false">DEC2HEX(C1382*7)</f>
        <v>2A</v>
      </c>
      <c r="H1382" s="1" t="n">
        <f aca="false">IF(D1382=0, 33, "cc")</f>
        <v>33</v>
      </c>
    </row>
    <row r="1383" customFormat="false" ht="18.65" hidden="false" customHeight="true" outlineLevel="0" collapsed="false">
      <c r="A1383" s="1" t="n">
        <f aca="false">ROW()-2</f>
        <v>1381</v>
      </c>
      <c r="B1383" s="1" t="n">
        <f aca="false">INT(A1383/$N$1)</f>
        <v>76</v>
      </c>
      <c r="C1383" s="1" t="n">
        <f aca="false">INT(MOD(A1383,$N$1) / 2)</f>
        <v>6</v>
      </c>
      <c r="D1383" s="1" t="n">
        <f aca="false">_xlfn.BITAND(A1383,1)</f>
        <v>1</v>
      </c>
      <c r="F1383" s="1" t="str">
        <f aca="false">DEC2HEX(B1383*$N$3*18)</f>
        <v>15600</v>
      </c>
      <c r="G1383" s="1" t="str">
        <f aca="false">DEC2HEX(C1383*7)</f>
        <v>2A</v>
      </c>
      <c r="H1383" s="1" t="str">
        <f aca="false">IF(D1383=0, 33, "cc")</f>
        <v>cc</v>
      </c>
    </row>
    <row r="1384" customFormat="false" ht="18.65" hidden="false" customHeight="true" outlineLevel="0" collapsed="false">
      <c r="A1384" s="1" t="n">
        <f aca="false">ROW()-2</f>
        <v>1382</v>
      </c>
      <c r="B1384" s="1" t="n">
        <f aca="false">INT(A1384/$N$1)</f>
        <v>76</v>
      </c>
      <c r="C1384" s="1" t="n">
        <f aca="false">INT(MOD(A1384,$N$1) / 2)</f>
        <v>7</v>
      </c>
      <c r="D1384" s="1" t="n">
        <f aca="false">_xlfn.BITAND(A1384,1)</f>
        <v>0</v>
      </c>
      <c r="F1384" s="1" t="str">
        <f aca="false">DEC2HEX(B1384*$N$3*18)</f>
        <v>15600</v>
      </c>
      <c r="G1384" s="1" t="str">
        <f aca="false">DEC2HEX(C1384*7)</f>
        <v>31</v>
      </c>
      <c r="H1384" s="1" t="n">
        <f aca="false">IF(D1384=0, 33, "cc")</f>
        <v>33</v>
      </c>
    </row>
    <row r="1385" customFormat="false" ht="18.65" hidden="false" customHeight="true" outlineLevel="0" collapsed="false">
      <c r="A1385" s="1" t="n">
        <f aca="false">ROW()-2</f>
        <v>1383</v>
      </c>
      <c r="B1385" s="1" t="n">
        <f aca="false">INT(A1385/$N$1)</f>
        <v>76</v>
      </c>
      <c r="C1385" s="1" t="n">
        <f aca="false">INT(MOD(A1385,$N$1) / 2)</f>
        <v>7</v>
      </c>
      <c r="D1385" s="1" t="n">
        <f aca="false">_xlfn.BITAND(A1385,1)</f>
        <v>1</v>
      </c>
      <c r="F1385" s="1" t="str">
        <f aca="false">DEC2HEX(B1385*$N$3*18)</f>
        <v>15600</v>
      </c>
      <c r="G1385" s="1" t="str">
        <f aca="false">DEC2HEX(C1385*7)</f>
        <v>31</v>
      </c>
      <c r="H1385" s="1" t="str">
        <f aca="false">IF(D1385=0, 33, "cc")</f>
        <v>cc</v>
      </c>
    </row>
    <row r="1386" customFormat="false" ht="18.65" hidden="false" customHeight="true" outlineLevel="0" collapsed="false">
      <c r="A1386" s="1" t="n">
        <f aca="false">ROW()-2</f>
        <v>1384</v>
      </c>
      <c r="B1386" s="1" t="n">
        <f aca="false">INT(A1386/$N$1)</f>
        <v>76</v>
      </c>
      <c r="C1386" s="1" t="n">
        <f aca="false">INT(MOD(A1386,$N$1) / 2)</f>
        <v>8</v>
      </c>
      <c r="D1386" s="1" t="n">
        <f aca="false">_xlfn.BITAND(A1386,1)</f>
        <v>0</v>
      </c>
      <c r="F1386" s="1" t="str">
        <f aca="false">DEC2HEX(B1386*$N$3*18)</f>
        <v>15600</v>
      </c>
      <c r="G1386" s="1" t="str">
        <f aca="false">DEC2HEX(C1386*7)</f>
        <v>38</v>
      </c>
      <c r="H1386" s="1" t="n">
        <f aca="false">IF(D1386=0, 33, "cc")</f>
        <v>33</v>
      </c>
    </row>
    <row r="1387" customFormat="false" ht="18.65" hidden="false" customHeight="true" outlineLevel="0" collapsed="false">
      <c r="A1387" s="1" t="n">
        <f aca="false">ROW()-2</f>
        <v>1385</v>
      </c>
      <c r="B1387" s="1" t="n">
        <f aca="false">INT(A1387/$N$1)</f>
        <v>76</v>
      </c>
      <c r="C1387" s="1" t="n">
        <f aca="false">INT(MOD(A1387,$N$1) / 2)</f>
        <v>8</v>
      </c>
      <c r="D1387" s="1" t="n">
        <f aca="false">_xlfn.BITAND(A1387,1)</f>
        <v>1</v>
      </c>
      <c r="F1387" s="1" t="str">
        <f aca="false">DEC2HEX(B1387*$N$3*18)</f>
        <v>15600</v>
      </c>
      <c r="G1387" s="1" t="str">
        <f aca="false">DEC2HEX(C1387*7)</f>
        <v>38</v>
      </c>
      <c r="H1387" s="1" t="str">
        <f aca="false">IF(D1387=0, 33, "cc")</f>
        <v>cc</v>
      </c>
    </row>
    <row r="1388" customFormat="false" ht="18.65" hidden="false" customHeight="true" outlineLevel="0" collapsed="false">
      <c r="A1388" s="1" t="n">
        <f aca="false">ROW()-2</f>
        <v>1386</v>
      </c>
      <c r="B1388" s="1" t="n">
        <f aca="false">INT(A1388/$N$1)</f>
        <v>77</v>
      </c>
      <c r="C1388" s="1" t="n">
        <f aca="false">INT(MOD(A1388,$N$1) / 2)</f>
        <v>0</v>
      </c>
      <c r="D1388" s="1" t="n">
        <f aca="false">_xlfn.BITAND(A1388,1)</f>
        <v>0</v>
      </c>
      <c r="F1388" s="1" t="str">
        <f aca="false">DEC2HEX(B1388*$N$3*18)</f>
        <v>15A80</v>
      </c>
      <c r="G1388" s="1" t="str">
        <f aca="false">DEC2HEX(C1388*7)</f>
        <v>0</v>
      </c>
      <c r="H1388" s="1" t="n">
        <f aca="false">IF(D1388=0, 33, "cc")</f>
        <v>33</v>
      </c>
    </row>
    <row r="1389" customFormat="false" ht="18.65" hidden="false" customHeight="true" outlineLevel="0" collapsed="false">
      <c r="A1389" s="1" t="n">
        <f aca="false">ROW()-2</f>
        <v>1387</v>
      </c>
      <c r="B1389" s="1" t="n">
        <f aca="false">INT(A1389/$N$1)</f>
        <v>77</v>
      </c>
      <c r="C1389" s="1" t="n">
        <f aca="false">INT(MOD(A1389,$N$1) / 2)</f>
        <v>0</v>
      </c>
      <c r="D1389" s="1" t="n">
        <f aca="false">_xlfn.BITAND(A1389,1)</f>
        <v>1</v>
      </c>
      <c r="F1389" s="1" t="str">
        <f aca="false">DEC2HEX(B1389*$N$3*18)</f>
        <v>15A80</v>
      </c>
      <c r="G1389" s="1" t="str">
        <f aca="false">DEC2HEX(C1389*7)</f>
        <v>0</v>
      </c>
      <c r="H1389" s="1" t="str">
        <f aca="false">IF(D1389=0, 33, "cc")</f>
        <v>cc</v>
      </c>
    </row>
    <row r="1390" customFormat="false" ht="18.65" hidden="false" customHeight="true" outlineLevel="0" collapsed="false">
      <c r="A1390" s="1" t="n">
        <f aca="false">ROW()-2</f>
        <v>1388</v>
      </c>
      <c r="B1390" s="1" t="n">
        <f aca="false">INT(A1390/$N$1)</f>
        <v>77</v>
      </c>
      <c r="C1390" s="1" t="n">
        <f aca="false">INT(MOD(A1390,$N$1) / 2)</f>
        <v>1</v>
      </c>
      <c r="D1390" s="1" t="n">
        <f aca="false">_xlfn.BITAND(A1390,1)</f>
        <v>0</v>
      </c>
      <c r="F1390" s="1" t="str">
        <f aca="false">DEC2HEX(B1390*$N$3*18)</f>
        <v>15A80</v>
      </c>
      <c r="G1390" s="1" t="str">
        <f aca="false">DEC2HEX(C1390*7)</f>
        <v>7</v>
      </c>
      <c r="H1390" s="1" t="n">
        <f aca="false">IF(D1390=0, 33, "cc")</f>
        <v>33</v>
      </c>
    </row>
    <row r="1391" customFormat="false" ht="18.65" hidden="false" customHeight="true" outlineLevel="0" collapsed="false">
      <c r="A1391" s="1" t="n">
        <f aca="false">ROW()-2</f>
        <v>1389</v>
      </c>
      <c r="B1391" s="1" t="n">
        <f aca="false">INT(A1391/$N$1)</f>
        <v>77</v>
      </c>
      <c r="C1391" s="1" t="n">
        <f aca="false">INT(MOD(A1391,$N$1) / 2)</f>
        <v>1</v>
      </c>
      <c r="D1391" s="1" t="n">
        <f aca="false">_xlfn.BITAND(A1391,1)</f>
        <v>1</v>
      </c>
      <c r="F1391" s="1" t="str">
        <f aca="false">DEC2HEX(B1391*$N$3*18)</f>
        <v>15A80</v>
      </c>
      <c r="G1391" s="1" t="str">
        <f aca="false">DEC2HEX(C1391*7)</f>
        <v>7</v>
      </c>
      <c r="H1391" s="1" t="str">
        <f aca="false">IF(D1391=0, 33, "cc")</f>
        <v>cc</v>
      </c>
    </row>
    <row r="1392" customFormat="false" ht="18.65" hidden="false" customHeight="true" outlineLevel="0" collapsed="false">
      <c r="A1392" s="1" t="n">
        <f aca="false">ROW()-2</f>
        <v>1390</v>
      </c>
      <c r="B1392" s="1" t="n">
        <f aca="false">INT(A1392/$N$1)</f>
        <v>77</v>
      </c>
      <c r="C1392" s="1" t="n">
        <f aca="false">INT(MOD(A1392,$N$1) / 2)</f>
        <v>2</v>
      </c>
      <c r="D1392" s="1" t="n">
        <f aca="false">_xlfn.BITAND(A1392,1)</f>
        <v>0</v>
      </c>
      <c r="F1392" s="1" t="str">
        <f aca="false">DEC2HEX(B1392*$N$3*18)</f>
        <v>15A80</v>
      </c>
      <c r="G1392" s="1" t="str">
        <f aca="false">DEC2HEX(C1392*7)</f>
        <v>E</v>
      </c>
      <c r="H1392" s="1" t="n">
        <f aca="false">IF(D1392=0, 33, "cc")</f>
        <v>33</v>
      </c>
    </row>
    <row r="1393" customFormat="false" ht="18.65" hidden="false" customHeight="true" outlineLevel="0" collapsed="false">
      <c r="A1393" s="1" t="n">
        <f aca="false">ROW()-2</f>
        <v>1391</v>
      </c>
      <c r="B1393" s="1" t="n">
        <f aca="false">INT(A1393/$N$1)</f>
        <v>77</v>
      </c>
      <c r="C1393" s="1" t="n">
        <f aca="false">INT(MOD(A1393,$N$1) / 2)</f>
        <v>2</v>
      </c>
      <c r="D1393" s="1" t="n">
        <f aca="false">_xlfn.BITAND(A1393,1)</f>
        <v>1</v>
      </c>
      <c r="F1393" s="1" t="str">
        <f aca="false">DEC2HEX(B1393*$N$3*18)</f>
        <v>15A80</v>
      </c>
      <c r="G1393" s="1" t="str">
        <f aca="false">DEC2HEX(C1393*7)</f>
        <v>E</v>
      </c>
      <c r="H1393" s="1" t="str">
        <f aca="false">IF(D1393=0, 33, "cc")</f>
        <v>cc</v>
      </c>
    </row>
    <row r="1394" customFormat="false" ht="18.65" hidden="false" customHeight="true" outlineLevel="0" collapsed="false">
      <c r="A1394" s="1" t="n">
        <f aca="false">ROW()-2</f>
        <v>1392</v>
      </c>
      <c r="B1394" s="1" t="n">
        <f aca="false">INT(A1394/$N$1)</f>
        <v>77</v>
      </c>
      <c r="C1394" s="1" t="n">
        <f aca="false">INT(MOD(A1394,$N$1) / 2)</f>
        <v>3</v>
      </c>
      <c r="D1394" s="1" t="n">
        <f aca="false">_xlfn.BITAND(A1394,1)</f>
        <v>0</v>
      </c>
      <c r="F1394" s="1" t="str">
        <f aca="false">DEC2HEX(B1394*$N$3*18)</f>
        <v>15A80</v>
      </c>
      <c r="G1394" s="1" t="str">
        <f aca="false">DEC2HEX(C1394*7)</f>
        <v>15</v>
      </c>
      <c r="H1394" s="1" t="n">
        <f aca="false">IF(D1394=0, 33, "cc")</f>
        <v>33</v>
      </c>
    </row>
    <row r="1395" customFormat="false" ht="18.65" hidden="false" customHeight="true" outlineLevel="0" collapsed="false">
      <c r="A1395" s="1" t="n">
        <f aca="false">ROW()-2</f>
        <v>1393</v>
      </c>
      <c r="B1395" s="1" t="n">
        <f aca="false">INT(A1395/$N$1)</f>
        <v>77</v>
      </c>
      <c r="C1395" s="1" t="n">
        <f aca="false">INT(MOD(A1395,$N$1) / 2)</f>
        <v>3</v>
      </c>
      <c r="D1395" s="1" t="n">
        <f aca="false">_xlfn.BITAND(A1395,1)</f>
        <v>1</v>
      </c>
      <c r="F1395" s="1" t="str">
        <f aca="false">DEC2HEX(B1395*$N$3*18)</f>
        <v>15A80</v>
      </c>
      <c r="G1395" s="1" t="str">
        <f aca="false">DEC2HEX(C1395*7)</f>
        <v>15</v>
      </c>
      <c r="H1395" s="1" t="str">
        <f aca="false">IF(D1395=0, 33, "cc")</f>
        <v>cc</v>
      </c>
    </row>
    <row r="1396" customFormat="false" ht="18.65" hidden="false" customHeight="true" outlineLevel="0" collapsed="false">
      <c r="A1396" s="1" t="n">
        <f aca="false">ROW()-2</f>
        <v>1394</v>
      </c>
      <c r="B1396" s="1" t="n">
        <f aca="false">INT(A1396/$N$1)</f>
        <v>77</v>
      </c>
      <c r="C1396" s="1" t="n">
        <f aca="false">INT(MOD(A1396,$N$1) / 2)</f>
        <v>4</v>
      </c>
      <c r="D1396" s="1" t="n">
        <f aca="false">_xlfn.BITAND(A1396,1)</f>
        <v>0</v>
      </c>
      <c r="F1396" s="1" t="str">
        <f aca="false">DEC2HEX(B1396*$N$3*18)</f>
        <v>15A80</v>
      </c>
      <c r="G1396" s="1" t="str">
        <f aca="false">DEC2HEX(C1396*7)</f>
        <v>1C</v>
      </c>
      <c r="H1396" s="1" t="n">
        <f aca="false">IF(D1396=0, 33, "cc")</f>
        <v>33</v>
      </c>
    </row>
    <row r="1397" customFormat="false" ht="18.65" hidden="false" customHeight="true" outlineLevel="0" collapsed="false">
      <c r="A1397" s="1" t="n">
        <f aca="false">ROW()-2</f>
        <v>1395</v>
      </c>
      <c r="B1397" s="1" t="n">
        <f aca="false">INT(A1397/$N$1)</f>
        <v>77</v>
      </c>
      <c r="C1397" s="1" t="n">
        <f aca="false">INT(MOD(A1397,$N$1) / 2)</f>
        <v>4</v>
      </c>
      <c r="D1397" s="1" t="n">
        <f aca="false">_xlfn.BITAND(A1397,1)</f>
        <v>1</v>
      </c>
      <c r="F1397" s="1" t="str">
        <f aca="false">DEC2HEX(B1397*$N$3*18)</f>
        <v>15A80</v>
      </c>
      <c r="G1397" s="1" t="str">
        <f aca="false">DEC2HEX(C1397*7)</f>
        <v>1C</v>
      </c>
      <c r="H1397" s="1" t="str">
        <f aca="false">IF(D1397=0, 33, "cc")</f>
        <v>cc</v>
      </c>
    </row>
    <row r="1398" customFormat="false" ht="18.65" hidden="false" customHeight="true" outlineLevel="0" collapsed="false">
      <c r="A1398" s="1" t="n">
        <f aca="false">ROW()-2</f>
        <v>1396</v>
      </c>
      <c r="B1398" s="1" t="n">
        <f aca="false">INT(A1398/$N$1)</f>
        <v>77</v>
      </c>
      <c r="C1398" s="1" t="n">
        <f aca="false">INT(MOD(A1398,$N$1) / 2)</f>
        <v>5</v>
      </c>
      <c r="D1398" s="1" t="n">
        <f aca="false">_xlfn.BITAND(A1398,1)</f>
        <v>0</v>
      </c>
      <c r="F1398" s="1" t="str">
        <f aca="false">DEC2HEX(B1398*$N$3*18)</f>
        <v>15A80</v>
      </c>
      <c r="G1398" s="1" t="str">
        <f aca="false">DEC2HEX(C1398*7)</f>
        <v>23</v>
      </c>
      <c r="H1398" s="1" t="n">
        <f aca="false">IF(D1398=0, 33, "cc")</f>
        <v>33</v>
      </c>
    </row>
    <row r="1399" customFormat="false" ht="18.65" hidden="false" customHeight="true" outlineLevel="0" collapsed="false">
      <c r="A1399" s="1" t="n">
        <f aca="false">ROW()-2</f>
        <v>1397</v>
      </c>
      <c r="B1399" s="1" t="n">
        <f aca="false">INT(A1399/$N$1)</f>
        <v>77</v>
      </c>
      <c r="C1399" s="1" t="n">
        <f aca="false">INT(MOD(A1399,$N$1) / 2)</f>
        <v>5</v>
      </c>
      <c r="D1399" s="1" t="n">
        <f aca="false">_xlfn.BITAND(A1399,1)</f>
        <v>1</v>
      </c>
      <c r="F1399" s="1" t="str">
        <f aca="false">DEC2HEX(B1399*$N$3*18)</f>
        <v>15A80</v>
      </c>
      <c r="G1399" s="1" t="str">
        <f aca="false">DEC2HEX(C1399*7)</f>
        <v>23</v>
      </c>
      <c r="H1399" s="1" t="str">
        <f aca="false">IF(D1399=0, 33, "cc")</f>
        <v>cc</v>
      </c>
    </row>
    <row r="1400" customFormat="false" ht="18.65" hidden="false" customHeight="true" outlineLevel="0" collapsed="false">
      <c r="A1400" s="1" t="n">
        <f aca="false">ROW()-2</f>
        <v>1398</v>
      </c>
      <c r="B1400" s="1" t="n">
        <f aca="false">INT(A1400/$N$1)</f>
        <v>77</v>
      </c>
      <c r="C1400" s="1" t="n">
        <f aca="false">INT(MOD(A1400,$N$1) / 2)</f>
        <v>6</v>
      </c>
      <c r="D1400" s="1" t="n">
        <f aca="false">_xlfn.BITAND(A1400,1)</f>
        <v>0</v>
      </c>
      <c r="F1400" s="1" t="str">
        <f aca="false">DEC2HEX(B1400*$N$3*18)</f>
        <v>15A80</v>
      </c>
      <c r="G1400" s="1" t="str">
        <f aca="false">DEC2HEX(C1400*7)</f>
        <v>2A</v>
      </c>
      <c r="H1400" s="1" t="n">
        <f aca="false">IF(D1400=0, 33, "cc")</f>
        <v>33</v>
      </c>
    </row>
    <row r="1401" customFormat="false" ht="18.65" hidden="false" customHeight="true" outlineLevel="0" collapsed="false">
      <c r="A1401" s="1" t="n">
        <f aca="false">ROW()-2</f>
        <v>1399</v>
      </c>
      <c r="B1401" s="1" t="n">
        <f aca="false">INT(A1401/$N$1)</f>
        <v>77</v>
      </c>
      <c r="C1401" s="1" t="n">
        <f aca="false">INT(MOD(A1401,$N$1) / 2)</f>
        <v>6</v>
      </c>
      <c r="D1401" s="1" t="n">
        <f aca="false">_xlfn.BITAND(A1401,1)</f>
        <v>1</v>
      </c>
      <c r="F1401" s="1" t="str">
        <f aca="false">DEC2HEX(B1401*$N$3*18)</f>
        <v>15A80</v>
      </c>
      <c r="G1401" s="1" t="str">
        <f aca="false">DEC2HEX(C1401*7)</f>
        <v>2A</v>
      </c>
      <c r="H1401" s="1" t="str">
        <f aca="false">IF(D1401=0, 33, "cc")</f>
        <v>cc</v>
      </c>
    </row>
    <row r="1402" customFormat="false" ht="18.65" hidden="false" customHeight="true" outlineLevel="0" collapsed="false">
      <c r="A1402" s="1" t="n">
        <f aca="false">ROW()-2</f>
        <v>1400</v>
      </c>
      <c r="B1402" s="1" t="n">
        <f aca="false">INT(A1402/$N$1)</f>
        <v>77</v>
      </c>
      <c r="C1402" s="1" t="n">
        <f aca="false">INT(MOD(A1402,$N$1) / 2)</f>
        <v>7</v>
      </c>
      <c r="D1402" s="1" t="n">
        <f aca="false">_xlfn.BITAND(A1402,1)</f>
        <v>0</v>
      </c>
      <c r="F1402" s="1" t="str">
        <f aca="false">DEC2HEX(B1402*$N$3*18)</f>
        <v>15A80</v>
      </c>
      <c r="G1402" s="1" t="str">
        <f aca="false">DEC2HEX(C1402*7)</f>
        <v>31</v>
      </c>
      <c r="H1402" s="1" t="n">
        <f aca="false">IF(D1402=0, 33, "cc")</f>
        <v>33</v>
      </c>
    </row>
    <row r="1403" customFormat="false" ht="18.65" hidden="false" customHeight="true" outlineLevel="0" collapsed="false">
      <c r="A1403" s="1" t="n">
        <f aca="false">ROW()-2</f>
        <v>1401</v>
      </c>
      <c r="B1403" s="1" t="n">
        <f aca="false">INT(A1403/$N$1)</f>
        <v>77</v>
      </c>
      <c r="C1403" s="1" t="n">
        <f aca="false">INT(MOD(A1403,$N$1) / 2)</f>
        <v>7</v>
      </c>
      <c r="D1403" s="1" t="n">
        <f aca="false">_xlfn.BITAND(A1403,1)</f>
        <v>1</v>
      </c>
      <c r="F1403" s="1" t="str">
        <f aca="false">DEC2HEX(B1403*$N$3*18)</f>
        <v>15A80</v>
      </c>
      <c r="G1403" s="1" t="str">
        <f aca="false">DEC2HEX(C1403*7)</f>
        <v>31</v>
      </c>
      <c r="H1403" s="1" t="str">
        <f aca="false">IF(D1403=0, 33, "cc")</f>
        <v>cc</v>
      </c>
    </row>
    <row r="1404" customFormat="false" ht="18.65" hidden="false" customHeight="true" outlineLevel="0" collapsed="false">
      <c r="A1404" s="1" t="n">
        <f aca="false">ROW()-2</f>
        <v>1402</v>
      </c>
      <c r="B1404" s="1" t="n">
        <f aca="false">INT(A1404/$N$1)</f>
        <v>77</v>
      </c>
      <c r="C1404" s="1" t="n">
        <f aca="false">INT(MOD(A1404,$N$1) / 2)</f>
        <v>8</v>
      </c>
      <c r="D1404" s="1" t="n">
        <f aca="false">_xlfn.BITAND(A1404,1)</f>
        <v>0</v>
      </c>
      <c r="F1404" s="1" t="str">
        <f aca="false">DEC2HEX(B1404*$N$3*18)</f>
        <v>15A80</v>
      </c>
      <c r="G1404" s="1" t="str">
        <f aca="false">DEC2HEX(C1404*7)</f>
        <v>38</v>
      </c>
      <c r="H1404" s="1" t="n">
        <f aca="false">IF(D1404=0, 33, "cc")</f>
        <v>33</v>
      </c>
    </row>
    <row r="1405" customFormat="false" ht="18.65" hidden="false" customHeight="true" outlineLevel="0" collapsed="false">
      <c r="A1405" s="1" t="n">
        <f aca="false">ROW()-2</f>
        <v>1403</v>
      </c>
      <c r="B1405" s="1" t="n">
        <f aca="false">INT(A1405/$N$1)</f>
        <v>77</v>
      </c>
      <c r="C1405" s="1" t="n">
        <f aca="false">INT(MOD(A1405,$N$1) / 2)</f>
        <v>8</v>
      </c>
      <c r="D1405" s="1" t="n">
        <f aca="false">_xlfn.BITAND(A1405,1)</f>
        <v>1</v>
      </c>
      <c r="F1405" s="1" t="str">
        <f aca="false">DEC2HEX(B1405*$N$3*18)</f>
        <v>15A80</v>
      </c>
      <c r="G1405" s="1" t="str">
        <f aca="false">DEC2HEX(C1405*7)</f>
        <v>38</v>
      </c>
      <c r="H1405" s="1" t="str">
        <f aca="false">IF(D1405=0, 33, "cc")</f>
        <v>cc</v>
      </c>
    </row>
    <row r="1406" customFormat="false" ht="18.65" hidden="false" customHeight="true" outlineLevel="0" collapsed="false">
      <c r="A1406" s="1" t="n">
        <f aca="false">ROW()-2</f>
        <v>1404</v>
      </c>
      <c r="B1406" s="1" t="n">
        <f aca="false">INT(A1406/$N$1)</f>
        <v>78</v>
      </c>
      <c r="C1406" s="1" t="n">
        <f aca="false">INT(MOD(A1406,$N$1) / 2)</f>
        <v>0</v>
      </c>
      <c r="D1406" s="1" t="n">
        <f aca="false">_xlfn.BITAND(A1406,1)</f>
        <v>0</v>
      </c>
      <c r="F1406" s="1" t="str">
        <f aca="false">DEC2HEX(B1406*$N$3*18)</f>
        <v>15F00</v>
      </c>
      <c r="G1406" s="1" t="str">
        <f aca="false">DEC2HEX(C1406*7)</f>
        <v>0</v>
      </c>
      <c r="H1406" s="1" t="n">
        <f aca="false">IF(D1406=0, 33, "cc")</f>
        <v>33</v>
      </c>
    </row>
    <row r="1407" customFormat="false" ht="18.65" hidden="false" customHeight="true" outlineLevel="0" collapsed="false">
      <c r="A1407" s="1" t="n">
        <f aca="false">ROW()-2</f>
        <v>1405</v>
      </c>
      <c r="B1407" s="1" t="n">
        <f aca="false">INT(A1407/$N$1)</f>
        <v>78</v>
      </c>
      <c r="C1407" s="1" t="n">
        <f aca="false">INT(MOD(A1407,$N$1) / 2)</f>
        <v>0</v>
      </c>
      <c r="D1407" s="1" t="n">
        <f aca="false">_xlfn.BITAND(A1407,1)</f>
        <v>1</v>
      </c>
      <c r="F1407" s="1" t="str">
        <f aca="false">DEC2HEX(B1407*$N$3*18)</f>
        <v>15F00</v>
      </c>
      <c r="G1407" s="1" t="str">
        <f aca="false">DEC2HEX(C1407*7)</f>
        <v>0</v>
      </c>
      <c r="H1407" s="1" t="str">
        <f aca="false">IF(D1407=0, 33, "cc")</f>
        <v>cc</v>
      </c>
    </row>
    <row r="1408" customFormat="false" ht="18.65" hidden="false" customHeight="true" outlineLevel="0" collapsed="false">
      <c r="A1408" s="1" t="n">
        <f aca="false">ROW()-2</f>
        <v>1406</v>
      </c>
      <c r="B1408" s="1" t="n">
        <f aca="false">INT(A1408/$N$1)</f>
        <v>78</v>
      </c>
      <c r="C1408" s="1" t="n">
        <f aca="false">INT(MOD(A1408,$N$1) / 2)</f>
        <v>1</v>
      </c>
      <c r="D1408" s="1" t="n">
        <f aca="false">_xlfn.BITAND(A1408,1)</f>
        <v>0</v>
      </c>
      <c r="F1408" s="1" t="str">
        <f aca="false">DEC2HEX(B1408*$N$3*18)</f>
        <v>15F00</v>
      </c>
      <c r="G1408" s="1" t="str">
        <f aca="false">DEC2HEX(C1408*7)</f>
        <v>7</v>
      </c>
      <c r="H1408" s="1" t="n">
        <f aca="false">IF(D1408=0, 33, "cc")</f>
        <v>33</v>
      </c>
    </row>
    <row r="1409" customFormat="false" ht="18.65" hidden="false" customHeight="true" outlineLevel="0" collapsed="false">
      <c r="A1409" s="1" t="n">
        <f aca="false">ROW()-2</f>
        <v>1407</v>
      </c>
      <c r="B1409" s="1" t="n">
        <f aca="false">INT(A1409/$N$1)</f>
        <v>78</v>
      </c>
      <c r="C1409" s="1" t="n">
        <f aca="false">INT(MOD(A1409,$N$1) / 2)</f>
        <v>1</v>
      </c>
      <c r="D1409" s="1" t="n">
        <f aca="false">_xlfn.BITAND(A1409,1)</f>
        <v>1</v>
      </c>
      <c r="F1409" s="1" t="str">
        <f aca="false">DEC2HEX(B1409*$N$3*18)</f>
        <v>15F00</v>
      </c>
      <c r="G1409" s="1" t="str">
        <f aca="false">DEC2HEX(C1409*7)</f>
        <v>7</v>
      </c>
      <c r="H1409" s="1" t="str">
        <f aca="false">IF(D1409=0, 33, "cc")</f>
        <v>cc</v>
      </c>
    </row>
    <row r="1410" customFormat="false" ht="18.65" hidden="false" customHeight="true" outlineLevel="0" collapsed="false">
      <c r="A1410" s="1" t="n">
        <f aca="false">ROW()-2</f>
        <v>1408</v>
      </c>
      <c r="B1410" s="1" t="n">
        <f aca="false">INT(A1410/$N$1)</f>
        <v>78</v>
      </c>
      <c r="C1410" s="1" t="n">
        <f aca="false">INT(MOD(A1410,$N$1) / 2)</f>
        <v>2</v>
      </c>
      <c r="D1410" s="1" t="n">
        <f aca="false">_xlfn.BITAND(A1410,1)</f>
        <v>0</v>
      </c>
      <c r="F1410" s="1" t="str">
        <f aca="false">DEC2HEX(B1410*$N$3*18)</f>
        <v>15F00</v>
      </c>
      <c r="G1410" s="1" t="str">
        <f aca="false">DEC2HEX(C1410*7)</f>
        <v>E</v>
      </c>
      <c r="H1410" s="1" t="n">
        <f aca="false">IF(D1410=0, 33, "cc")</f>
        <v>33</v>
      </c>
    </row>
    <row r="1411" customFormat="false" ht="18.65" hidden="false" customHeight="true" outlineLevel="0" collapsed="false">
      <c r="A1411" s="1" t="n">
        <f aca="false">ROW()-2</f>
        <v>1409</v>
      </c>
      <c r="B1411" s="1" t="n">
        <f aca="false">INT(A1411/$N$1)</f>
        <v>78</v>
      </c>
      <c r="C1411" s="1" t="n">
        <f aca="false">INT(MOD(A1411,$N$1) / 2)</f>
        <v>2</v>
      </c>
      <c r="D1411" s="1" t="n">
        <f aca="false">_xlfn.BITAND(A1411,1)</f>
        <v>1</v>
      </c>
      <c r="F1411" s="1" t="str">
        <f aca="false">DEC2HEX(B1411*$N$3*18)</f>
        <v>15F00</v>
      </c>
      <c r="G1411" s="1" t="str">
        <f aca="false">DEC2HEX(C1411*7)</f>
        <v>E</v>
      </c>
      <c r="H1411" s="1" t="str">
        <f aca="false">IF(D1411=0, 33, "cc")</f>
        <v>cc</v>
      </c>
    </row>
    <row r="1412" customFormat="false" ht="18.65" hidden="false" customHeight="true" outlineLevel="0" collapsed="false">
      <c r="A1412" s="1" t="n">
        <f aca="false">ROW()-2</f>
        <v>1410</v>
      </c>
      <c r="B1412" s="1" t="n">
        <f aca="false">INT(A1412/$N$1)</f>
        <v>78</v>
      </c>
      <c r="C1412" s="1" t="n">
        <f aca="false">INT(MOD(A1412,$N$1) / 2)</f>
        <v>3</v>
      </c>
      <c r="D1412" s="1" t="n">
        <f aca="false">_xlfn.BITAND(A1412,1)</f>
        <v>0</v>
      </c>
      <c r="F1412" s="1" t="str">
        <f aca="false">DEC2HEX(B1412*$N$3*18)</f>
        <v>15F00</v>
      </c>
      <c r="G1412" s="1" t="str">
        <f aca="false">DEC2HEX(C1412*7)</f>
        <v>15</v>
      </c>
      <c r="H1412" s="1" t="n">
        <f aca="false">IF(D1412=0, 33, "cc")</f>
        <v>33</v>
      </c>
    </row>
    <row r="1413" customFormat="false" ht="18.65" hidden="false" customHeight="true" outlineLevel="0" collapsed="false">
      <c r="A1413" s="1" t="n">
        <f aca="false">ROW()-2</f>
        <v>1411</v>
      </c>
      <c r="B1413" s="1" t="n">
        <f aca="false">INT(A1413/$N$1)</f>
        <v>78</v>
      </c>
      <c r="C1413" s="1" t="n">
        <f aca="false">INT(MOD(A1413,$N$1) / 2)</f>
        <v>3</v>
      </c>
      <c r="D1413" s="1" t="n">
        <f aca="false">_xlfn.BITAND(A1413,1)</f>
        <v>1</v>
      </c>
      <c r="F1413" s="1" t="str">
        <f aca="false">DEC2HEX(B1413*$N$3*18)</f>
        <v>15F00</v>
      </c>
      <c r="G1413" s="1" t="str">
        <f aca="false">DEC2HEX(C1413*7)</f>
        <v>15</v>
      </c>
      <c r="H1413" s="1" t="str">
        <f aca="false">IF(D1413=0, 33, "cc")</f>
        <v>cc</v>
      </c>
    </row>
    <row r="1414" customFormat="false" ht="18.65" hidden="false" customHeight="true" outlineLevel="0" collapsed="false">
      <c r="A1414" s="1" t="n">
        <f aca="false">ROW()-2</f>
        <v>1412</v>
      </c>
      <c r="B1414" s="1" t="n">
        <f aca="false">INT(A1414/$N$1)</f>
        <v>78</v>
      </c>
      <c r="C1414" s="1" t="n">
        <f aca="false">INT(MOD(A1414,$N$1) / 2)</f>
        <v>4</v>
      </c>
      <c r="D1414" s="1" t="n">
        <f aca="false">_xlfn.BITAND(A1414,1)</f>
        <v>0</v>
      </c>
      <c r="F1414" s="1" t="str">
        <f aca="false">DEC2HEX(B1414*$N$3*18)</f>
        <v>15F00</v>
      </c>
      <c r="G1414" s="1" t="str">
        <f aca="false">DEC2HEX(C1414*7)</f>
        <v>1C</v>
      </c>
      <c r="H1414" s="1" t="n">
        <f aca="false">IF(D1414=0, 33, "cc")</f>
        <v>33</v>
      </c>
    </row>
    <row r="1415" customFormat="false" ht="18.65" hidden="false" customHeight="true" outlineLevel="0" collapsed="false">
      <c r="A1415" s="1" t="n">
        <f aca="false">ROW()-2</f>
        <v>1413</v>
      </c>
      <c r="B1415" s="1" t="n">
        <f aca="false">INT(A1415/$N$1)</f>
        <v>78</v>
      </c>
      <c r="C1415" s="1" t="n">
        <f aca="false">INT(MOD(A1415,$N$1) / 2)</f>
        <v>4</v>
      </c>
      <c r="D1415" s="1" t="n">
        <f aca="false">_xlfn.BITAND(A1415,1)</f>
        <v>1</v>
      </c>
      <c r="F1415" s="1" t="str">
        <f aca="false">DEC2HEX(B1415*$N$3*18)</f>
        <v>15F00</v>
      </c>
      <c r="G1415" s="1" t="str">
        <f aca="false">DEC2HEX(C1415*7)</f>
        <v>1C</v>
      </c>
      <c r="H1415" s="1" t="str">
        <f aca="false">IF(D1415=0, 33, "cc")</f>
        <v>cc</v>
      </c>
    </row>
    <row r="1416" customFormat="false" ht="18.65" hidden="false" customHeight="true" outlineLevel="0" collapsed="false">
      <c r="A1416" s="1" t="n">
        <f aca="false">ROW()-2</f>
        <v>1414</v>
      </c>
      <c r="B1416" s="1" t="n">
        <f aca="false">INT(A1416/$N$1)</f>
        <v>78</v>
      </c>
      <c r="C1416" s="1" t="n">
        <f aca="false">INT(MOD(A1416,$N$1) / 2)</f>
        <v>5</v>
      </c>
      <c r="D1416" s="1" t="n">
        <f aca="false">_xlfn.BITAND(A1416,1)</f>
        <v>0</v>
      </c>
      <c r="F1416" s="1" t="str">
        <f aca="false">DEC2HEX(B1416*$N$3*18)</f>
        <v>15F00</v>
      </c>
      <c r="G1416" s="1" t="str">
        <f aca="false">DEC2HEX(C1416*7)</f>
        <v>23</v>
      </c>
      <c r="H1416" s="1" t="n">
        <f aca="false">IF(D1416=0, 33, "cc")</f>
        <v>33</v>
      </c>
    </row>
    <row r="1417" customFormat="false" ht="18.65" hidden="false" customHeight="true" outlineLevel="0" collapsed="false">
      <c r="A1417" s="1" t="n">
        <f aca="false">ROW()-2</f>
        <v>1415</v>
      </c>
      <c r="B1417" s="1" t="n">
        <f aca="false">INT(A1417/$N$1)</f>
        <v>78</v>
      </c>
      <c r="C1417" s="1" t="n">
        <f aca="false">INT(MOD(A1417,$N$1) / 2)</f>
        <v>5</v>
      </c>
      <c r="D1417" s="1" t="n">
        <f aca="false">_xlfn.BITAND(A1417,1)</f>
        <v>1</v>
      </c>
      <c r="F1417" s="1" t="str">
        <f aca="false">DEC2HEX(B1417*$N$3*18)</f>
        <v>15F00</v>
      </c>
      <c r="G1417" s="1" t="str">
        <f aca="false">DEC2HEX(C1417*7)</f>
        <v>23</v>
      </c>
      <c r="H1417" s="1" t="str">
        <f aca="false">IF(D1417=0, 33, "cc")</f>
        <v>cc</v>
      </c>
    </row>
    <row r="1418" customFormat="false" ht="18.65" hidden="false" customHeight="true" outlineLevel="0" collapsed="false">
      <c r="A1418" s="1" t="n">
        <f aca="false">ROW()-2</f>
        <v>1416</v>
      </c>
      <c r="B1418" s="1" t="n">
        <f aca="false">INT(A1418/$N$1)</f>
        <v>78</v>
      </c>
      <c r="C1418" s="1" t="n">
        <f aca="false">INT(MOD(A1418,$N$1) / 2)</f>
        <v>6</v>
      </c>
      <c r="D1418" s="1" t="n">
        <f aca="false">_xlfn.BITAND(A1418,1)</f>
        <v>0</v>
      </c>
      <c r="F1418" s="1" t="str">
        <f aca="false">DEC2HEX(B1418*$N$3*18)</f>
        <v>15F00</v>
      </c>
      <c r="G1418" s="1" t="str">
        <f aca="false">DEC2HEX(C1418*7)</f>
        <v>2A</v>
      </c>
      <c r="H1418" s="1" t="n">
        <f aca="false">IF(D1418=0, 33, "cc")</f>
        <v>33</v>
      </c>
    </row>
    <row r="1419" customFormat="false" ht="18.65" hidden="false" customHeight="true" outlineLevel="0" collapsed="false">
      <c r="A1419" s="1" t="n">
        <f aca="false">ROW()-2</f>
        <v>1417</v>
      </c>
      <c r="B1419" s="1" t="n">
        <f aca="false">INT(A1419/$N$1)</f>
        <v>78</v>
      </c>
      <c r="C1419" s="1" t="n">
        <f aca="false">INT(MOD(A1419,$N$1) / 2)</f>
        <v>6</v>
      </c>
      <c r="D1419" s="1" t="n">
        <f aca="false">_xlfn.BITAND(A1419,1)</f>
        <v>1</v>
      </c>
      <c r="F1419" s="1" t="str">
        <f aca="false">DEC2HEX(B1419*$N$3*18)</f>
        <v>15F00</v>
      </c>
      <c r="G1419" s="1" t="str">
        <f aca="false">DEC2HEX(C1419*7)</f>
        <v>2A</v>
      </c>
      <c r="H1419" s="1" t="str">
        <f aca="false">IF(D1419=0, 33, "cc")</f>
        <v>cc</v>
      </c>
    </row>
    <row r="1420" customFormat="false" ht="18.65" hidden="false" customHeight="true" outlineLevel="0" collapsed="false">
      <c r="A1420" s="1" t="n">
        <f aca="false">ROW()-2</f>
        <v>1418</v>
      </c>
      <c r="B1420" s="1" t="n">
        <f aca="false">INT(A1420/$N$1)</f>
        <v>78</v>
      </c>
      <c r="C1420" s="1" t="n">
        <f aca="false">INT(MOD(A1420,$N$1) / 2)</f>
        <v>7</v>
      </c>
      <c r="D1420" s="1" t="n">
        <f aca="false">_xlfn.BITAND(A1420,1)</f>
        <v>0</v>
      </c>
      <c r="F1420" s="1" t="str">
        <f aca="false">DEC2HEX(B1420*$N$3*18)</f>
        <v>15F00</v>
      </c>
      <c r="G1420" s="1" t="str">
        <f aca="false">DEC2HEX(C1420*7)</f>
        <v>31</v>
      </c>
      <c r="H1420" s="1" t="n">
        <f aca="false">IF(D1420=0, 33, "cc")</f>
        <v>33</v>
      </c>
    </row>
    <row r="1421" customFormat="false" ht="18.65" hidden="false" customHeight="true" outlineLevel="0" collapsed="false">
      <c r="A1421" s="1" t="n">
        <f aca="false">ROW()-2</f>
        <v>1419</v>
      </c>
      <c r="B1421" s="1" t="n">
        <f aca="false">INT(A1421/$N$1)</f>
        <v>78</v>
      </c>
      <c r="C1421" s="1" t="n">
        <f aca="false">INT(MOD(A1421,$N$1) / 2)</f>
        <v>7</v>
      </c>
      <c r="D1421" s="1" t="n">
        <f aca="false">_xlfn.BITAND(A1421,1)</f>
        <v>1</v>
      </c>
      <c r="F1421" s="1" t="str">
        <f aca="false">DEC2HEX(B1421*$N$3*18)</f>
        <v>15F00</v>
      </c>
      <c r="G1421" s="1" t="str">
        <f aca="false">DEC2HEX(C1421*7)</f>
        <v>31</v>
      </c>
      <c r="H1421" s="1" t="str">
        <f aca="false">IF(D1421=0, 33, "cc")</f>
        <v>cc</v>
      </c>
    </row>
    <row r="1422" customFormat="false" ht="18.65" hidden="false" customHeight="true" outlineLevel="0" collapsed="false">
      <c r="A1422" s="1" t="n">
        <f aca="false">ROW()-2</f>
        <v>1420</v>
      </c>
      <c r="B1422" s="1" t="n">
        <f aca="false">INT(A1422/$N$1)</f>
        <v>78</v>
      </c>
      <c r="C1422" s="1" t="n">
        <f aca="false">INT(MOD(A1422,$N$1) / 2)</f>
        <v>8</v>
      </c>
      <c r="D1422" s="1" t="n">
        <f aca="false">_xlfn.BITAND(A1422,1)</f>
        <v>0</v>
      </c>
      <c r="F1422" s="1" t="str">
        <f aca="false">DEC2HEX(B1422*$N$3*18)</f>
        <v>15F00</v>
      </c>
      <c r="G1422" s="1" t="str">
        <f aca="false">DEC2HEX(C1422*7)</f>
        <v>38</v>
      </c>
      <c r="H1422" s="1" t="n">
        <f aca="false">IF(D1422=0, 33, "cc")</f>
        <v>33</v>
      </c>
    </row>
    <row r="1423" customFormat="false" ht="18.65" hidden="false" customHeight="true" outlineLevel="0" collapsed="false">
      <c r="A1423" s="1" t="n">
        <f aca="false">ROW()-2</f>
        <v>1421</v>
      </c>
      <c r="B1423" s="1" t="n">
        <f aca="false">INT(A1423/$N$1)</f>
        <v>78</v>
      </c>
      <c r="C1423" s="1" t="n">
        <f aca="false">INT(MOD(A1423,$N$1) / 2)</f>
        <v>8</v>
      </c>
      <c r="D1423" s="1" t="n">
        <f aca="false">_xlfn.BITAND(A1423,1)</f>
        <v>1</v>
      </c>
      <c r="F1423" s="1" t="str">
        <f aca="false">DEC2HEX(B1423*$N$3*18)</f>
        <v>15F00</v>
      </c>
      <c r="G1423" s="1" t="str">
        <f aca="false">DEC2HEX(C1423*7)</f>
        <v>38</v>
      </c>
      <c r="H1423" s="1" t="str">
        <f aca="false">IF(D1423=0, 33, "cc")</f>
        <v>cc</v>
      </c>
    </row>
    <row r="1424" customFormat="false" ht="18.65" hidden="false" customHeight="true" outlineLevel="0" collapsed="false">
      <c r="A1424" s="1" t="n">
        <f aca="false">ROW()-2</f>
        <v>1422</v>
      </c>
      <c r="B1424" s="1" t="n">
        <f aca="false">INT(A1424/$N$1)</f>
        <v>79</v>
      </c>
      <c r="C1424" s="1" t="n">
        <f aca="false">INT(MOD(A1424,$N$1) / 2)</f>
        <v>0</v>
      </c>
      <c r="D1424" s="1" t="n">
        <f aca="false">_xlfn.BITAND(A1424,1)</f>
        <v>0</v>
      </c>
      <c r="F1424" s="1" t="str">
        <f aca="false">DEC2HEX(B1424*$N$3*18)</f>
        <v>16380</v>
      </c>
      <c r="G1424" s="1" t="str">
        <f aca="false">DEC2HEX(C1424*7)</f>
        <v>0</v>
      </c>
      <c r="H1424" s="1" t="n">
        <f aca="false">IF(D1424=0, 33, "cc")</f>
        <v>33</v>
      </c>
    </row>
    <row r="1425" customFormat="false" ht="18.65" hidden="false" customHeight="true" outlineLevel="0" collapsed="false">
      <c r="A1425" s="1" t="n">
        <f aca="false">ROW()-2</f>
        <v>1423</v>
      </c>
      <c r="B1425" s="1" t="n">
        <f aca="false">INT(A1425/$N$1)</f>
        <v>79</v>
      </c>
      <c r="C1425" s="1" t="n">
        <f aca="false">INT(MOD(A1425,$N$1) / 2)</f>
        <v>0</v>
      </c>
      <c r="D1425" s="1" t="n">
        <f aca="false">_xlfn.BITAND(A1425,1)</f>
        <v>1</v>
      </c>
      <c r="F1425" s="1" t="str">
        <f aca="false">DEC2HEX(B1425*$N$3*18)</f>
        <v>16380</v>
      </c>
      <c r="G1425" s="1" t="str">
        <f aca="false">DEC2HEX(C1425*7)</f>
        <v>0</v>
      </c>
      <c r="H1425" s="1" t="str">
        <f aca="false">IF(D1425=0, 33, "cc")</f>
        <v>cc</v>
      </c>
    </row>
    <row r="1426" customFormat="false" ht="18.65" hidden="false" customHeight="true" outlineLevel="0" collapsed="false">
      <c r="A1426" s="1" t="n">
        <f aca="false">ROW()-2</f>
        <v>1424</v>
      </c>
      <c r="B1426" s="1" t="n">
        <f aca="false">INT(A1426/$N$1)</f>
        <v>79</v>
      </c>
      <c r="C1426" s="1" t="n">
        <f aca="false">INT(MOD(A1426,$N$1) / 2)</f>
        <v>1</v>
      </c>
      <c r="D1426" s="1" t="n">
        <f aca="false">_xlfn.BITAND(A1426,1)</f>
        <v>0</v>
      </c>
      <c r="F1426" s="1" t="str">
        <f aca="false">DEC2HEX(B1426*$N$3*18)</f>
        <v>16380</v>
      </c>
      <c r="G1426" s="1" t="str">
        <f aca="false">DEC2HEX(C1426*7)</f>
        <v>7</v>
      </c>
      <c r="H1426" s="1" t="n">
        <f aca="false">IF(D1426=0, 33, "cc")</f>
        <v>33</v>
      </c>
    </row>
    <row r="1427" customFormat="false" ht="18.65" hidden="false" customHeight="true" outlineLevel="0" collapsed="false">
      <c r="A1427" s="1" t="n">
        <f aca="false">ROW()-2</f>
        <v>1425</v>
      </c>
      <c r="B1427" s="1" t="n">
        <f aca="false">INT(A1427/$N$1)</f>
        <v>79</v>
      </c>
      <c r="C1427" s="1" t="n">
        <f aca="false">INT(MOD(A1427,$N$1) / 2)</f>
        <v>1</v>
      </c>
      <c r="D1427" s="1" t="n">
        <f aca="false">_xlfn.BITAND(A1427,1)</f>
        <v>1</v>
      </c>
      <c r="F1427" s="1" t="str">
        <f aca="false">DEC2HEX(B1427*$N$3*18)</f>
        <v>16380</v>
      </c>
      <c r="G1427" s="1" t="str">
        <f aca="false">DEC2HEX(C1427*7)</f>
        <v>7</v>
      </c>
      <c r="H1427" s="1" t="str">
        <f aca="false">IF(D1427=0, 33, "cc")</f>
        <v>cc</v>
      </c>
    </row>
    <row r="1428" customFormat="false" ht="18.65" hidden="false" customHeight="true" outlineLevel="0" collapsed="false">
      <c r="A1428" s="1" t="n">
        <f aca="false">ROW()-2</f>
        <v>1426</v>
      </c>
      <c r="B1428" s="1" t="n">
        <f aca="false">INT(A1428/$N$1)</f>
        <v>79</v>
      </c>
      <c r="C1428" s="1" t="n">
        <f aca="false">INT(MOD(A1428,$N$1) / 2)</f>
        <v>2</v>
      </c>
      <c r="D1428" s="1" t="n">
        <f aca="false">_xlfn.BITAND(A1428,1)</f>
        <v>0</v>
      </c>
      <c r="F1428" s="1" t="str">
        <f aca="false">DEC2HEX(B1428*$N$3*18)</f>
        <v>16380</v>
      </c>
      <c r="G1428" s="1" t="str">
        <f aca="false">DEC2HEX(C1428*7)</f>
        <v>E</v>
      </c>
      <c r="H1428" s="1" t="n">
        <f aca="false">IF(D1428=0, 33, "cc")</f>
        <v>33</v>
      </c>
    </row>
    <row r="1429" customFormat="false" ht="18.65" hidden="false" customHeight="true" outlineLevel="0" collapsed="false">
      <c r="A1429" s="1" t="n">
        <f aca="false">ROW()-2</f>
        <v>1427</v>
      </c>
      <c r="B1429" s="1" t="n">
        <f aca="false">INT(A1429/$N$1)</f>
        <v>79</v>
      </c>
      <c r="C1429" s="1" t="n">
        <f aca="false">INT(MOD(A1429,$N$1) / 2)</f>
        <v>2</v>
      </c>
      <c r="D1429" s="1" t="n">
        <f aca="false">_xlfn.BITAND(A1429,1)</f>
        <v>1</v>
      </c>
      <c r="F1429" s="1" t="str">
        <f aca="false">DEC2HEX(B1429*$N$3*18)</f>
        <v>16380</v>
      </c>
      <c r="G1429" s="1" t="str">
        <f aca="false">DEC2HEX(C1429*7)</f>
        <v>E</v>
      </c>
      <c r="H1429" s="1" t="str">
        <f aca="false">IF(D1429=0, 33, "cc")</f>
        <v>cc</v>
      </c>
    </row>
    <row r="1430" customFormat="false" ht="18.65" hidden="false" customHeight="true" outlineLevel="0" collapsed="false">
      <c r="A1430" s="1" t="n">
        <f aca="false">ROW()-2</f>
        <v>1428</v>
      </c>
      <c r="B1430" s="1" t="n">
        <f aca="false">INT(A1430/$N$1)</f>
        <v>79</v>
      </c>
      <c r="C1430" s="1" t="n">
        <f aca="false">INT(MOD(A1430,$N$1) / 2)</f>
        <v>3</v>
      </c>
      <c r="D1430" s="1" t="n">
        <f aca="false">_xlfn.BITAND(A1430,1)</f>
        <v>0</v>
      </c>
      <c r="F1430" s="1" t="str">
        <f aca="false">DEC2HEX(B1430*$N$3*18)</f>
        <v>16380</v>
      </c>
      <c r="G1430" s="1" t="str">
        <f aca="false">DEC2HEX(C1430*7)</f>
        <v>15</v>
      </c>
      <c r="H1430" s="1" t="n">
        <f aca="false">IF(D1430=0, 33, "cc")</f>
        <v>33</v>
      </c>
    </row>
    <row r="1431" customFormat="false" ht="18.65" hidden="false" customHeight="true" outlineLevel="0" collapsed="false">
      <c r="A1431" s="1" t="n">
        <f aca="false">ROW()-2</f>
        <v>1429</v>
      </c>
      <c r="B1431" s="1" t="n">
        <f aca="false">INT(A1431/$N$1)</f>
        <v>79</v>
      </c>
      <c r="C1431" s="1" t="n">
        <f aca="false">INT(MOD(A1431,$N$1) / 2)</f>
        <v>3</v>
      </c>
      <c r="D1431" s="1" t="n">
        <f aca="false">_xlfn.BITAND(A1431,1)</f>
        <v>1</v>
      </c>
      <c r="F1431" s="1" t="str">
        <f aca="false">DEC2HEX(B1431*$N$3*18)</f>
        <v>16380</v>
      </c>
      <c r="G1431" s="1" t="str">
        <f aca="false">DEC2HEX(C1431*7)</f>
        <v>15</v>
      </c>
      <c r="H1431" s="1" t="str">
        <f aca="false">IF(D1431=0, 33, "cc")</f>
        <v>cc</v>
      </c>
    </row>
    <row r="1432" customFormat="false" ht="18.65" hidden="false" customHeight="true" outlineLevel="0" collapsed="false">
      <c r="A1432" s="1" t="n">
        <f aca="false">ROW()-2</f>
        <v>1430</v>
      </c>
      <c r="B1432" s="1" t="n">
        <f aca="false">INT(A1432/$N$1)</f>
        <v>79</v>
      </c>
      <c r="C1432" s="1" t="n">
        <f aca="false">INT(MOD(A1432,$N$1) / 2)</f>
        <v>4</v>
      </c>
      <c r="D1432" s="1" t="n">
        <f aca="false">_xlfn.BITAND(A1432,1)</f>
        <v>0</v>
      </c>
      <c r="F1432" s="1" t="str">
        <f aca="false">DEC2HEX(B1432*$N$3*18)</f>
        <v>16380</v>
      </c>
      <c r="G1432" s="1" t="str">
        <f aca="false">DEC2HEX(C1432*7)</f>
        <v>1C</v>
      </c>
      <c r="H1432" s="1" t="n">
        <f aca="false">IF(D1432=0, 33, "cc")</f>
        <v>33</v>
      </c>
    </row>
    <row r="1433" customFormat="false" ht="18.65" hidden="false" customHeight="true" outlineLevel="0" collapsed="false">
      <c r="A1433" s="1" t="n">
        <f aca="false">ROW()-2</f>
        <v>1431</v>
      </c>
      <c r="B1433" s="1" t="n">
        <f aca="false">INT(A1433/$N$1)</f>
        <v>79</v>
      </c>
      <c r="C1433" s="1" t="n">
        <f aca="false">INT(MOD(A1433,$N$1) / 2)</f>
        <v>4</v>
      </c>
      <c r="D1433" s="1" t="n">
        <f aca="false">_xlfn.BITAND(A1433,1)</f>
        <v>1</v>
      </c>
      <c r="F1433" s="1" t="str">
        <f aca="false">DEC2HEX(B1433*$N$3*18)</f>
        <v>16380</v>
      </c>
      <c r="G1433" s="1" t="str">
        <f aca="false">DEC2HEX(C1433*7)</f>
        <v>1C</v>
      </c>
      <c r="H1433" s="1" t="str">
        <f aca="false">IF(D1433=0, 33, "cc")</f>
        <v>cc</v>
      </c>
    </row>
    <row r="1434" customFormat="false" ht="18.65" hidden="false" customHeight="true" outlineLevel="0" collapsed="false">
      <c r="A1434" s="1" t="n">
        <f aca="false">ROW()-2</f>
        <v>1432</v>
      </c>
      <c r="B1434" s="1" t="n">
        <f aca="false">INT(A1434/$N$1)</f>
        <v>79</v>
      </c>
      <c r="C1434" s="1" t="n">
        <f aca="false">INT(MOD(A1434,$N$1) / 2)</f>
        <v>5</v>
      </c>
      <c r="D1434" s="1" t="n">
        <f aca="false">_xlfn.BITAND(A1434,1)</f>
        <v>0</v>
      </c>
      <c r="F1434" s="1" t="str">
        <f aca="false">DEC2HEX(B1434*$N$3*18)</f>
        <v>16380</v>
      </c>
      <c r="G1434" s="1" t="str">
        <f aca="false">DEC2HEX(C1434*7)</f>
        <v>23</v>
      </c>
      <c r="H1434" s="1" t="n">
        <f aca="false">IF(D1434=0, 33, "cc")</f>
        <v>33</v>
      </c>
    </row>
    <row r="1435" customFormat="false" ht="18.65" hidden="false" customHeight="true" outlineLevel="0" collapsed="false">
      <c r="A1435" s="1" t="n">
        <f aca="false">ROW()-2</f>
        <v>1433</v>
      </c>
      <c r="B1435" s="1" t="n">
        <f aca="false">INT(A1435/$N$1)</f>
        <v>79</v>
      </c>
      <c r="C1435" s="1" t="n">
        <f aca="false">INT(MOD(A1435,$N$1) / 2)</f>
        <v>5</v>
      </c>
      <c r="D1435" s="1" t="n">
        <f aca="false">_xlfn.BITAND(A1435,1)</f>
        <v>1</v>
      </c>
      <c r="F1435" s="1" t="str">
        <f aca="false">DEC2HEX(B1435*$N$3*18)</f>
        <v>16380</v>
      </c>
      <c r="G1435" s="1" t="str">
        <f aca="false">DEC2HEX(C1435*7)</f>
        <v>23</v>
      </c>
      <c r="H1435" s="1" t="str">
        <f aca="false">IF(D1435=0, 33, "cc")</f>
        <v>cc</v>
      </c>
    </row>
    <row r="1436" customFormat="false" ht="18.65" hidden="false" customHeight="true" outlineLevel="0" collapsed="false">
      <c r="A1436" s="1" t="n">
        <f aca="false">ROW()-2</f>
        <v>1434</v>
      </c>
      <c r="B1436" s="1" t="n">
        <f aca="false">INT(A1436/$N$1)</f>
        <v>79</v>
      </c>
      <c r="C1436" s="1" t="n">
        <f aca="false">INT(MOD(A1436,$N$1) / 2)</f>
        <v>6</v>
      </c>
      <c r="D1436" s="1" t="n">
        <f aca="false">_xlfn.BITAND(A1436,1)</f>
        <v>0</v>
      </c>
      <c r="F1436" s="1" t="str">
        <f aca="false">DEC2HEX(B1436*$N$3*18)</f>
        <v>16380</v>
      </c>
      <c r="G1436" s="1" t="str">
        <f aca="false">DEC2HEX(C1436*7)</f>
        <v>2A</v>
      </c>
      <c r="H1436" s="1" t="n">
        <f aca="false">IF(D1436=0, 33, "cc")</f>
        <v>33</v>
      </c>
    </row>
    <row r="1437" customFormat="false" ht="18.65" hidden="false" customHeight="true" outlineLevel="0" collapsed="false">
      <c r="A1437" s="1" t="n">
        <f aca="false">ROW()-2</f>
        <v>1435</v>
      </c>
      <c r="B1437" s="1" t="n">
        <f aca="false">INT(A1437/$N$1)</f>
        <v>79</v>
      </c>
      <c r="C1437" s="1" t="n">
        <f aca="false">INT(MOD(A1437,$N$1) / 2)</f>
        <v>6</v>
      </c>
      <c r="D1437" s="1" t="n">
        <f aca="false">_xlfn.BITAND(A1437,1)</f>
        <v>1</v>
      </c>
      <c r="F1437" s="1" t="str">
        <f aca="false">DEC2HEX(B1437*$N$3*18)</f>
        <v>16380</v>
      </c>
      <c r="G1437" s="1" t="str">
        <f aca="false">DEC2HEX(C1437*7)</f>
        <v>2A</v>
      </c>
      <c r="H1437" s="1" t="str">
        <f aca="false">IF(D1437=0, 33, "cc")</f>
        <v>cc</v>
      </c>
    </row>
    <row r="1438" customFormat="false" ht="18.65" hidden="false" customHeight="true" outlineLevel="0" collapsed="false">
      <c r="A1438" s="1" t="n">
        <f aca="false">ROW()-2</f>
        <v>1436</v>
      </c>
      <c r="B1438" s="1" t="n">
        <f aca="false">INT(A1438/$N$1)</f>
        <v>79</v>
      </c>
      <c r="C1438" s="1" t="n">
        <f aca="false">INT(MOD(A1438,$N$1) / 2)</f>
        <v>7</v>
      </c>
      <c r="D1438" s="1" t="n">
        <f aca="false">_xlfn.BITAND(A1438,1)</f>
        <v>0</v>
      </c>
      <c r="F1438" s="1" t="str">
        <f aca="false">DEC2HEX(B1438*$N$3*18)</f>
        <v>16380</v>
      </c>
      <c r="G1438" s="1" t="str">
        <f aca="false">DEC2HEX(C1438*7)</f>
        <v>31</v>
      </c>
      <c r="H1438" s="1" t="n">
        <f aca="false">IF(D1438=0, 33, "cc")</f>
        <v>33</v>
      </c>
    </row>
    <row r="1439" customFormat="false" ht="18.65" hidden="false" customHeight="true" outlineLevel="0" collapsed="false">
      <c r="A1439" s="1" t="n">
        <f aca="false">ROW()-2</f>
        <v>1437</v>
      </c>
      <c r="B1439" s="1" t="n">
        <f aca="false">INT(A1439/$N$1)</f>
        <v>79</v>
      </c>
      <c r="C1439" s="1" t="n">
        <f aca="false">INT(MOD(A1439,$N$1) / 2)</f>
        <v>7</v>
      </c>
      <c r="D1439" s="1" t="n">
        <f aca="false">_xlfn.BITAND(A1439,1)</f>
        <v>1</v>
      </c>
      <c r="F1439" s="1" t="str">
        <f aca="false">DEC2HEX(B1439*$N$3*18)</f>
        <v>16380</v>
      </c>
      <c r="G1439" s="1" t="str">
        <f aca="false">DEC2HEX(C1439*7)</f>
        <v>31</v>
      </c>
      <c r="H1439" s="1" t="str">
        <f aca="false">IF(D1439=0, 33, "cc")</f>
        <v>cc</v>
      </c>
    </row>
    <row r="1440" customFormat="false" ht="18.65" hidden="false" customHeight="true" outlineLevel="0" collapsed="false">
      <c r="A1440" s="1" t="n">
        <f aca="false">ROW()-2</f>
        <v>1438</v>
      </c>
      <c r="B1440" s="1" t="n">
        <f aca="false">INT(A1440/$N$1)</f>
        <v>79</v>
      </c>
      <c r="C1440" s="1" t="n">
        <f aca="false">INT(MOD(A1440,$N$1) / 2)</f>
        <v>8</v>
      </c>
      <c r="D1440" s="1" t="n">
        <f aca="false">_xlfn.BITAND(A1440,1)</f>
        <v>0</v>
      </c>
      <c r="F1440" s="1" t="str">
        <f aca="false">DEC2HEX(B1440*$N$3*18)</f>
        <v>16380</v>
      </c>
      <c r="G1440" s="1" t="str">
        <f aca="false">DEC2HEX(C1440*7)</f>
        <v>38</v>
      </c>
      <c r="H1440" s="1" t="n">
        <f aca="false">IF(D1440=0, 33, "cc")</f>
        <v>33</v>
      </c>
    </row>
    <row r="1441" customFormat="false" ht="18.65" hidden="false" customHeight="true" outlineLevel="0" collapsed="false">
      <c r="A1441" s="1" t="n">
        <f aca="false">ROW()-2</f>
        <v>1439</v>
      </c>
      <c r="B1441" s="1" t="n">
        <f aca="false">INT(A1441/$N$1)</f>
        <v>79</v>
      </c>
      <c r="C1441" s="1" t="n">
        <f aca="false">INT(MOD(A1441,$N$1) / 2)</f>
        <v>8</v>
      </c>
      <c r="D1441" s="1" t="n">
        <f aca="false">_xlfn.BITAND(A1441,1)</f>
        <v>1</v>
      </c>
      <c r="F1441" s="1" t="str">
        <f aca="false">DEC2HEX(B1441*$N$3*18)</f>
        <v>16380</v>
      </c>
      <c r="G1441" s="1" t="str">
        <f aca="false">DEC2HEX(C1441*7)</f>
        <v>38</v>
      </c>
      <c r="H1441" s="1" t="str">
        <f aca="false">IF(D1441=0, 33, "cc")</f>
        <v>cc</v>
      </c>
    </row>
    <row r="1442" customFormat="false" ht="18.65" hidden="false" customHeight="true" outlineLevel="0" collapsed="false">
      <c r="A1442" s="1" t="n">
        <f aca="false">ROW()-2</f>
        <v>1440</v>
      </c>
      <c r="B1442" s="1" t="n">
        <f aca="false">INT(A1442/$N$1)</f>
        <v>80</v>
      </c>
      <c r="C1442" s="1" t="n">
        <f aca="false">INT(MOD(A1442,$N$1) / 2)</f>
        <v>0</v>
      </c>
      <c r="D1442" s="1" t="n">
        <f aca="false">_xlfn.BITAND(A1442,1)</f>
        <v>0</v>
      </c>
      <c r="F1442" s="1" t="str">
        <f aca="false">DEC2HEX(B1442*$N$3*18)</f>
        <v>16800</v>
      </c>
      <c r="G1442" s="1" t="str">
        <f aca="false">DEC2HEX(C1442*7)</f>
        <v>0</v>
      </c>
      <c r="H1442" s="1" t="n">
        <f aca="false">IF(D1442=0, 33, "cc")</f>
        <v>33</v>
      </c>
    </row>
    <row r="1443" customFormat="false" ht="18.65" hidden="false" customHeight="true" outlineLevel="0" collapsed="false">
      <c r="A1443" s="1" t="n">
        <f aca="false">ROW()-2</f>
        <v>1441</v>
      </c>
      <c r="B1443" s="1" t="n">
        <f aca="false">INT(A1443/$N$1)</f>
        <v>80</v>
      </c>
      <c r="C1443" s="1" t="n">
        <f aca="false">INT(MOD(A1443,$N$1) / 2)</f>
        <v>0</v>
      </c>
      <c r="D1443" s="1" t="n">
        <f aca="false">_xlfn.BITAND(A1443,1)</f>
        <v>1</v>
      </c>
      <c r="F1443" s="1" t="str">
        <f aca="false">DEC2HEX(B1443*$N$3*18)</f>
        <v>16800</v>
      </c>
      <c r="G1443" s="1" t="str">
        <f aca="false">DEC2HEX(C1443*7)</f>
        <v>0</v>
      </c>
      <c r="H1443" s="1" t="str">
        <f aca="false">IF(D1443=0, 33, "cc")</f>
        <v>cc</v>
      </c>
    </row>
    <row r="1444" customFormat="false" ht="18.65" hidden="false" customHeight="true" outlineLevel="0" collapsed="false">
      <c r="A1444" s="1" t="n">
        <f aca="false">ROW()-2</f>
        <v>1442</v>
      </c>
      <c r="B1444" s="1" t="n">
        <f aca="false">INT(A1444/$N$1)</f>
        <v>80</v>
      </c>
      <c r="C1444" s="1" t="n">
        <f aca="false">INT(MOD(A1444,$N$1) / 2)</f>
        <v>1</v>
      </c>
      <c r="D1444" s="1" t="n">
        <f aca="false">_xlfn.BITAND(A1444,1)</f>
        <v>0</v>
      </c>
      <c r="F1444" s="1" t="str">
        <f aca="false">DEC2HEX(B1444*$N$3*18)</f>
        <v>16800</v>
      </c>
      <c r="G1444" s="1" t="str">
        <f aca="false">DEC2HEX(C1444*7)</f>
        <v>7</v>
      </c>
      <c r="H1444" s="1" t="n">
        <f aca="false">IF(D1444=0, 33, "cc")</f>
        <v>33</v>
      </c>
    </row>
    <row r="1445" customFormat="false" ht="18.65" hidden="false" customHeight="true" outlineLevel="0" collapsed="false">
      <c r="A1445" s="1" t="n">
        <f aca="false">ROW()-2</f>
        <v>1443</v>
      </c>
      <c r="B1445" s="1" t="n">
        <f aca="false">INT(A1445/$N$1)</f>
        <v>80</v>
      </c>
      <c r="C1445" s="1" t="n">
        <f aca="false">INT(MOD(A1445,$N$1) / 2)</f>
        <v>1</v>
      </c>
      <c r="D1445" s="1" t="n">
        <f aca="false">_xlfn.BITAND(A1445,1)</f>
        <v>1</v>
      </c>
      <c r="F1445" s="1" t="str">
        <f aca="false">DEC2HEX(B1445*$N$3*18)</f>
        <v>16800</v>
      </c>
      <c r="G1445" s="1" t="str">
        <f aca="false">DEC2HEX(C1445*7)</f>
        <v>7</v>
      </c>
      <c r="H1445" s="1" t="str">
        <f aca="false">IF(D1445=0, 33, "cc")</f>
        <v>cc</v>
      </c>
    </row>
    <row r="1446" customFormat="false" ht="18.65" hidden="false" customHeight="true" outlineLevel="0" collapsed="false">
      <c r="A1446" s="1" t="n">
        <f aca="false">ROW()-2</f>
        <v>1444</v>
      </c>
      <c r="B1446" s="1" t="n">
        <f aca="false">INT(A1446/$N$1)</f>
        <v>80</v>
      </c>
      <c r="C1446" s="1" t="n">
        <f aca="false">INT(MOD(A1446,$N$1) / 2)</f>
        <v>2</v>
      </c>
      <c r="D1446" s="1" t="n">
        <f aca="false">_xlfn.BITAND(A1446,1)</f>
        <v>0</v>
      </c>
      <c r="F1446" s="1" t="str">
        <f aca="false">DEC2HEX(B1446*$N$3*18)</f>
        <v>16800</v>
      </c>
      <c r="G1446" s="1" t="str">
        <f aca="false">DEC2HEX(C1446*7)</f>
        <v>E</v>
      </c>
      <c r="H1446" s="1" t="n">
        <f aca="false">IF(D1446=0, 33, "cc")</f>
        <v>33</v>
      </c>
    </row>
    <row r="1447" customFormat="false" ht="18.65" hidden="false" customHeight="true" outlineLevel="0" collapsed="false">
      <c r="A1447" s="1" t="n">
        <f aca="false">ROW()-2</f>
        <v>1445</v>
      </c>
      <c r="B1447" s="1" t="n">
        <f aca="false">INT(A1447/$N$1)</f>
        <v>80</v>
      </c>
      <c r="C1447" s="1" t="n">
        <f aca="false">INT(MOD(A1447,$N$1) / 2)</f>
        <v>2</v>
      </c>
      <c r="D1447" s="1" t="n">
        <f aca="false">_xlfn.BITAND(A1447,1)</f>
        <v>1</v>
      </c>
      <c r="F1447" s="1" t="str">
        <f aca="false">DEC2HEX(B1447*$N$3*18)</f>
        <v>16800</v>
      </c>
      <c r="G1447" s="1" t="str">
        <f aca="false">DEC2HEX(C1447*7)</f>
        <v>E</v>
      </c>
      <c r="H1447" s="1" t="str">
        <f aca="false">IF(D1447=0, 33, "cc")</f>
        <v>cc</v>
      </c>
    </row>
    <row r="1448" customFormat="false" ht="18.65" hidden="false" customHeight="true" outlineLevel="0" collapsed="false">
      <c r="A1448" s="1" t="n">
        <f aca="false">ROW()-2</f>
        <v>1446</v>
      </c>
      <c r="B1448" s="1" t="n">
        <f aca="false">INT(A1448/$N$1)</f>
        <v>80</v>
      </c>
      <c r="C1448" s="1" t="n">
        <f aca="false">INT(MOD(A1448,$N$1) / 2)</f>
        <v>3</v>
      </c>
      <c r="D1448" s="1" t="n">
        <f aca="false">_xlfn.BITAND(A1448,1)</f>
        <v>0</v>
      </c>
      <c r="F1448" s="1" t="str">
        <f aca="false">DEC2HEX(B1448*$N$3*18)</f>
        <v>16800</v>
      </c>
      <c r="G1448" s="1" t="str">
        <f aca="false">DEC2HEX(C1448*7)</f>
        <v>15</v>
      </c>
      <c r="H1448" s="1" t="n">
        <f aca="false">IF(D1448=0, 33, "cc")</f>
        <v>33</v>
      </c>
    </row>
    <row r="1449" customFormat="false" ht="18.65" hidden="false" customHeight="true" outlineLevel="0" collapsed="false">
      <c r="A1449" s="1" t="n">
        <f aca="false">ROW()-2</f>
        <v>1447</v>
      </c>
      <c r="B1449" s="1" t="n">
        <f aca="false">INT(A1449/$N$1)</f>
        <v>80</v>
      </c>
      <c r="C1449" s="1" t="n">
        <f aca="false">INT(MOD(A1449,$N$1) / 2)</f>
        <v>3</v>
      </c>
      <c r="D1449" s="1" t="n">
        <f aca="false">_xlfn.BITAND(A1449,1)</f>
        <v>1</v>
      </c>
      <c r="F1449" s="1" t="str">
        <f aca="false">DEC2HEX(B1449*$N$3*18)</f>
        <v>16800</v>
      </c>
      <c r="G1449" s="1" t="str">
        <f aca="false">DEC2HEX(C1449*7)</f>
        <v>15</v>
      </c>
      <c r="H1449" s="1" t="str">
        <f aca="false">IF(D1449=0, 33, "cc")</f>
        <v>cc</v>
      </c>
    </row>
    <row r="1450" customFormat="false" ht="18.65" hidden="false" customHeight="true" outlineLevel="0" collapsed="false">
      <c r="A1450" s="1" t="n">
        <f aca="false">ROW()-2</f>
        <v>1448</v>
      </c>
      <c r="B1450" s="1" t="n">
        <f aca="false">INT(A1450/$N$1)</f>
        <v>80</v>
      </c>
      <c r="C1450" s="1" t="n">
        <f aca="false">INT(MOD(A1450,$N$1) / 2)</f>
        <v>4</v>
      </c>
      <c r="D1450" s="1" t="n">
        <f aca="false">_xlfn.BITAND(A1450,1)</f>
        <v>0</v>
      </c>
      <c r="F1450" s="1" t="str">
        <f aca="false">DEC2HEX(B1450*$N$3*18)</f>
        <v>16800</v>
      </c>
      <c r="G1450" s="1" t="str">
        <f aca="false">DEC2HEX(C1450*7)</f>
        <v>1C</v>
      </c>
      <c r="H1450" s="1" t="n">
        <f aca="false">IF(D1450=0, 33, "cc")</f>
        <v>33</v>
      </c>
    </row>
    <row r="1451" customFormat="false" ht="18.65" hidden="false" customHeight="true" outlineLevel="0" collapsed="false">
      <c r="A1451" s="1" t="n">
        <f aca="false">ROW()-2</f>
        <v>1449</v>
      </c>
      <c r="B1451" s="1" t="n">
        <f aca="false">INT(A1451/$N$1)</f>
        <v>80</v>
      </c>
      <c r="C1451" s="1" t="n">
        <f aca="false">INT(MOD(A1451,$N$1) / 2)</f>
        <v>4</v>
      </c>
      <c r="D1451" s="1" t="n">
        <f aca="false">_xlfn.BITAND(A1451,1)</f>
        <v>1</v>
      </c>
      <c r="F1451" s="1" t="str">
        <f aca="false">DEC2HEX(B1451*$N$3*18)</f>
        <v>16800</v>
      </c>
      <c r="G1451" s="1" t="str">
        <f aca="false">DEC2HEX(C1451*7)</f>
        <v>1C</v>
      </c>
      <c r="H1451" s="1" t="str">
        <f aca="false">IF(D1451=0, 33, "cc")</f>
        <v>cc</v>
      </c>
    </row>
    <row r="1452" customFormat="false" ht="18.65" hidden="false" customHeight="true" outlineLevel="0" collapsed="false">
      <c r="A1452" s="1" t="n">
        <f aca="false">ROW()-2</f>
        <v>1450</v>
      </c>
      <c r="B1452" s="1" t="n">
        <f aca="false">INT(A1452/$N$1)</f>
        <v>80</v>
      </c>
      <c r="C1452" s="1" t="n">
        <f aca="false">INT(MOD(A1452,$N$1) / 2)</f>
        <v>5</v>
      </c>
      <c r="D1452" s="1" t="n">
        <f aca="false">_xlfn.BITAND(A1452,1)</f>
        <v>0</v>
      </c>
      <c r="F1452" s="1" t="str">
        <f aca="false">DEC2HEX(B1452*$N$3*18)</f>
        <v>16800</v>
      </c>
      <c r="G1452" s="1" t="str">
        <f aca="false">DEC2HEX(C1452*7)</f>
        <v>23</v>
      </c>
      <c r="H1452" s="1" t="n">
        <f aca="false">IF(D1452=0, 33, "cc")</f>
        <v>33</v>
      </c>
    </row>
    <row r="1453" customFormat="false" ht="18.65" hidden="false" customHeight="true" outlineLevel="0" collapsed="false">
      <c r="A1453" s="1" t="n">
        <f aca="false">ROW()-2</f>
        <v>1451</v>
      </c>
      <c r="B1453" s="1" t="n">
        <f aca="false">INT(A1453/$N$1)</f>
        <v>80</v>
      </c>
      <c r="C1453" s="1" t="n">
        <f aca="false">INT(MOD(A1453,$N$1) / 2)</f>
        <v>5</v>
      </c>
      <c r="D1453" s="1" t="n">
        <f aca="false">_xlfn.BITAND(A1453,1)</f>
        <v>1</v>
      </c>
      <c r="F1453" s="1" t="str">
        <f aca="false">DEC2HEX(B1453*$N$3*18)</f>
        <v>16800</v>
      </c>
      <c r="G1453" s="1" t="str">
        <f aca="false">DEC2HEX(C1453*7)</f>
        <v>23</v>
      </c>
      <c r="H1453" s="1" t="str">
        <f aca="false">IF(D1453=0, 33, "cc")</f>
        <v>cc</v>
      </c>
    </row>
    <row r="1454" customFormat="false" ht="18.65" hidden="false" customHeight="true" outlineLevel="0" collapsed="false">
      <c r="A1454" s="1" t="n">
        <f aca="false">ROW()-2</f>
        <v>1452</v>
      </c>
      <c r="B1454" s="1" t="n">
        <f aca="false">INT(A1454/$N$1)</f>
        <v>80</v>
      </c>
      <c r="C1454" s="1" t="n">
        <f aca="false">INT(MOD(A1454,$N$1) / 2)</f>
        <v>6</v>
      </c>
      <c r="D1454" s="1" t="n">
        <f aca="false">_xlfn.BITAND(A1454,1)</f>
        <v>0</v>
      </c>
      <c r="F1454" s="1" t="str">
        <f aca="false">DEC2HEX(B1454*$N$3*18)</f>
        <v>16800</v>
      </c>
      <c r="G1454" s="1" t="str">
        <f aca="false">DEC2HEX(C1454*7)</f>
        <v>2A</v>
      </c>
      <c r="H1454" s="1" t="n">
        <f aca="false">IF(D1454=0, 33, "cc")</f>
        <v>33</v>
      </c>
    </row>
    <row r="1455" customFormat="false" ht="18.65" hidden="false" customHeight="true" outlineLevel="0" collapsed="false">
      <c r="A1455" s="1" t="n">
        <f aca="false">ROW()-2</f>
        <v>1453</v>
      </c>
      <c r="B1455" s="1" t="n">
        <f aca="false">INT(A1455/$N$1)</f>
        <v>80</v>
      </c>
      <c r="C1455" s="1" t="n">
        <f aca="false">INT(MOD(A1455,$N$1) / 2)</f>
        <v>6</v>
      </c>
      <c r="D1455" s="1" t="n">
        <f aca="false">_xlfn.BITAND(A1455,1)</f>
        <v>1</v>
      </c>
      <c r="F1455" s="1" t="str">
        <f aca="false">DEC2HEX(B1455*$N$3*18)</f>
        <v>16800</v>
      </c>
      <c r="G1455" s="1" t="str">
        <f aca="false">DEC2HEX(C1455*7)</f>
        <v>2A</v>
      </c>
      <c r="H1455" s="1" t="str">
        <f aca="false">IF(D1455=0, 33, "cc")</f>
        <v>cc</v>
      </c>
    </row>
    <row r="1456" customFormat="false" ht="18.65" hidden="false" customHeight="true" outlineLevel="0" collapsed="false">
      <c r="A1456" s="1" t="n">
        <f aca="false">ROW()-2</f>
        <v>1454</v>
      </c>
      <c r="B1456" s="1" t="n">
        <f aca="false">INT(A1456/$N$1)</f>
        <v>80</v>
      </c>
      <c r="C1456" s="1" t="n">
        <f aca="false">INT(MOD(A1456,$N$1) / 2)</f>
        <v>7</v>
      </c>
      <c r="D1456" s="1" t="n">
        <f aca="false">_xlfn.BITAND(A1456,1)</f>
        <v>0</v>
      </c>
      <c r="F1456" s="1" t="str">
        <f aca="false">DEC2HEX(B1456*$N$3*18)</f>
        <v>16800</v>
      </c>
      <c r="G1456" s="1" t="str">
        <f aca="false">DEC2HEX(C1456*7)</f>
        <v>31</v>
      </c>
      <c r="H1456" s="1" t="n">
        <f aca="false">IF(D1456=0, 33, "cc")</f>
        <v>33</v>
      </c>
    </row>
    <row r="1457" customFormat="false" ht="18.65" hidden="false" customHeight="true" outlineLevel="0" collapsed="false">
      <c r="A1457" s="1" t="n">
        <f aca="false">ROW()-2</f>
        <v>1455</v>
      </c>
      <c r="B1457" s="1" t="n">
        <f aca="false">INT(A1457/$N$1)</f>
        <v>80</v>
      </c>
      <c r="C1457" s="1" t="n">
        <f aca="false">INT(MOD(A1457,$N$1) / 2)</f>
        <v>7</v>
      </c>
      <c r="D1457" s="1" t="n">
        <f aca="false">_xlfn.BITAND(A1457,1)</f>
        <v>1</v>
      </c>
      <c r="F1457" s="1" t="str">
        <f aca="false">DEC2HEX(B1457*$N$3*18)</f>
        <v>16800</v>
      </c>
      <c r="G1457" s="1" t="str">
        <f aca="false">DEC2HEX(C1457*7)</f>
        <v>31</v>
      </c>
      <c r="H1457" s="1" t="str">
        <f aca="false">IF(D1457=0, 33, "cc")</f>
        <v>cc</v>
      </c>
    </row>
    <row r="1458" customFormat="false" ht="18.65" hidden="false" customHeight="true" outlineLevel="0" collapsed="false">
      <c r="A1458" s="1" t="n">
        <f aca="false">ROW()-2</f>
        <v>1456</v>
      </c>
      <c r="B1458" s="1" t="n">
        <f aca="false">INT(A1458/$N$1)</f>
        <v>80</v>
      </c>
      <c r="C1458" s="1" t="n">
        <f aca="false">INT(MOD(A1458,$N$1) / 2)</f>
        <v>8</v>
      </c>
      <c r="D1458" s="1" t="n">
        <f aca="false">_xlfn.BITAND(A1458,1)</f>
        <v>0</v>
      </c>
      <c r="F1458" s="1" t="str">
        <f aca="false">DEC2HEX(B1458*$N$3*18)</f>
        <v>16800</v>
      </c>
      <c r="G1458" s="1" t="str">
        <f aca="false">DEC2HEX(C1458*7)</f>
        <v>38</v>
      </c>
      <c r="H1458" s="1" t="n">
        <f aca="false">IF(D1458=0, 33, "cc")</f>
        <v>33</v>
      </c>
    </row>
    <row r="1459" customFormat="false" ht="18.65" hidden="false" customHeight="true" outlineLevel="0" collapsed="false">
      <c r="A1459" s="1" t="n">
        <f aca="false">ROW()-2</f>
        <v>1457</v>
      </c>
      <c r="B1459" s="1" t="n">
        <f aca="false">INT(A1459/$N$1)</f>
        <v>80</v>
      </c>
      <c r="C1459" s="1" t="n">
        <f aca="false">INT(MOD(A1459,$N$1) / 2)</f>
        <v>8</v>
      </c>
      <c r="D1459" s="1" t="n">
        <f aca="false">_xlfn.BITAND(A1459,1)</f>
        <v>1</v>
      </c>
      <c r="F1459" s="1" t="str">
        <f aca="false">DEC2HEX(B1459*$N$3*18)</f>
        <v>16800</v>
      </c>
      <c r="G1459" s="1" t="str">
        <f aca="false">DEC2HEX(C1459*7)</f>
        <v>38</v>
      </c>
      <c r="H1459" s="1" t="str">
        <f aca="false">IF(D1459=0, 33, "cc")</f>
        <v>cc</v>
      </c>
    </row>
    <row r="1460" customFormat="false" ht="18.65" hidden="false" customHeight="true" outlineLevel="0" collapsed="false">
      <c r="A1460" s="1" t="n">
        <f aca="false">ROW()-2</f>
        <v>1458</v>
      </c>
      <c r="B1460" s="1" t="n">
        <f aca="false">INT(A1460/$N$1)</f>
        <v>81</v>
      </c>
      <c r="C1460" s="1" t="n">
        <f aca="false">INT(MOD(A1460,$N$1) / 2)</f>
        <v>0</v>
      </c>
      <c r="D1460" s="1" t="n">
        <f aca="false">_xlfn.BITAND(A1460,1)</f>
        <v>0</v>
      </c>
      <c r="F1460" s="1" t="str">
        <f aca="false">DEC2HEX(B1460*$N$3*18)</f>
        <v>16C80</v>
      </c>
      <c r="G1460" s="1" t="str">
        <f aca="false">DEC2HEX(C1460*7)</f>
        <v>0</v>
      </c>
      <c r="H1460" s="1" t="n">
        <f aca="false">IF(D1460=0, 33, "cc")</f>
        <v>33</v>
      </c>
    </row>
    <row r="1461" customFormat="false" ht="18.65" hidden="false" customHeight="true" outlineLevel="0" collapsed="false">
      <c r="A1461" s="1" t="n">
        <f aca="false">ROW()-2</f>
        <v>1459</v>
      </c>
      <c r="B1461" s="1" t="n">
        <f aca="false">INT(A1461/$N$1)</f>
        <v>81</v>
      </c>
      <c r="C1461" s="1" t="n">
        <f aca="false">INT(MOD(A1461,$N$1) / 2)</f>
        <v>0</v>
      </c>
      <c r="D1461" s="1" t="n">
        <f aca="false">_xlfn.BITAND(A1461,1)</f>
        <v>1</v>
      </c>
      <c r="F1461" s="1" t="str">
        <f aca="false">DEC2HEX(B1461*$N$3*18)</f>
        <v>16C80</v>
      </c>
      <c r="G1461" s="1" t="str">
        <f aca="false">DEC2HEX(C1461*7)</f>
        <v>0</v>
      </c>
      <c r="H1461" s="1" t="str">
        <f aca="false">IF(D1461=0, 33, "cc")</f>
        <v>cc</v>
      </c>
    </row>
    <row r="1462" customFormat="false" ht="18.65" hidden="false" customHeight="true" outlineLevel="0" collapsed="false">
      <c r="A1462" s="1" t="n">
        <f aca="false">ROW()-2</f>
        <v>1460</v>
      </c>
      <c r="B1462" s="1" t="n">
        <f aca="false">INT(A1462/$N$1)</f>
        <v>81</v>
      </c>
      <c r="C1462" s="1" t="n">
        <f aca="false">INT(MOD(A1462,$N$1) / 2)</f>
        <v>1</v>
      </c>
      <c r="D1462" s="1" t="n">
        <f aca="false">_xlfn.BITAND(A1462,1)</f>
        <v>0</v>
      </c>
      <c r="F1462" s="1" t="str">
        <f aca="false">DEC2HEX(B1462*$N$3*18)</f>
        <v>16C80</v>
      </c>
      <c r="G1462" s="1" t="str">
        <f aca="false">DEC2HEX(C1462*7)</f>
        <v>7</v>
      </c>
      <c r="H1462" s="1" t="n">
        <f aca="false">IF(D1462=0, 33, "cc")</f>
        <v>33</v>
      </c>
    </row>
    <row r="1463" customFormat="false" ht="18.65" hidden="false" customHeight="true" outlineLevel="0" collapsed="false">
      <c r="A1463" s="1" t="n">
        <f aca="false">ROW()-2</f>
        <v>1461</v>
      </c>
      <c r="B1463" s="1" t="n">
        <f aca="false">INT(A1463/$N$1)</f>
        <v>81</v>
      </c>
      <c r="C1463" s="1" t="n">
        <f aca="false">INT(MOD(A1463,$N$1) / 2)</f>
        <v>1</v>
      </c>
      <c r="D1463" s="1" t="n">
        <f aca="false">_xlfn.BITAND(A1463,1)</f>
        <v>1</v>
      </c>
      <c r="F1463" s="1" t="str">
        <f aca="false">DEC2HEX(B1463*$N$3*18)</f>
        <v>16C80</v>
      </c>
      <c r="G1463" s="1" t="str">
        <f aca="false">DEC2HEX(C1463*7)</f>
        <v>7</v>
      </c>
      <c r="H1463" s="1" t="str">
        <f aca="false">IF(D1463=0, 33, "cc")</f>
        <v>cc</v>
      </c>
    </row>
    <row r="1464" customFormat="false" ht="18.65" hidden="false" customHeight="true" outlineLevel="0" collapsed="false">
      <c r="A1464" s="1" t="n">
        <f aca="false">ROW()-2</f>
        <v>1462</v>
      </c>
      <c r="B1464" s="1" t="n">
        <f aca="false">INT(A1464/$N$1)</f>
        <v>81</v>
      </c>
      <c r="C1464" s="1" t="n">
        <f aca="false">INT(MOD(A1464,$N$1) / 2)</f>
        <v>2</v>
      </c>
      <c r="D1464" s="1" t="n">
        <f aca="false">_xlfn.BITAND(A1464,1)</f>
        <v>0</v>
      </c>
      <c r="F1464" s="1" t="str">
        <f aca="false">DEC2HEX(B1464*$N$3*18)</f>
        <v>16C80</v>
      </c>
      <c r="G1464" s="1" t="str">
        <f aca="false">DEC2HEX(C1464*7)</f>
        <v>E</v>
      </c>
      <c r="H1464" s="1" t="n">
        <f aca="false">IF(D1464=0, 33, "cc")</f>
        <v>33</v>
      </c>
    </row>
    <row r="1465" customFormat="false" ht="18.65" hidden="false" customHeight="true" outlineLevel="0" collapsed="false">
      <c r="A1465" s="1" t="n">
        <f aca="false">ROW()-2</f>
        <v>1463</v>
      </c>
      <c r="B1465" s="1" t="n">
        <f aca="false">INT(A1465/$N$1)</f>
        <v>81</v>
      </c>
      <c r="C1465" s="1" t="n">
        <f aca="false">INT(MOD(A1465,$N$1) / 2)</f>
        <v>2</v>
      </c>
      <c r="D1465" s="1" t="n">
        <f aca="false">_xlfn.BITAND(A1465,1)</f>
        <v>1</v>
      </c>
      <c r="F1465" s="1" t="str">
        <f aca="false">DEC2HEX(B1465*$N$3*18)</f>
        <v>16C80</v>
      </c>
      <c r="G1465" s="1" t="str">
        <f aca="false">DEC2HEX(C1465*7)</f>
        <v>E</v>
      </c>
      <c r="H1465" s="1" t="str">
        <f aca="false">IF(D1465=0, 33, "cc")</f>
        <v>cc</v>
      </c>
    </row>
    <row r="1466" customFormat="false" ht="18.65" hidden="false" customHeight="true" outlineLevel="0" collapsed="false">
      <c r="A1466" s="1" t="n">
        <f aca="false">ROW()-2</f>
        <v>1464</v>
      </c>
      <c r="B1466" s="1" t="n">
        <f aca="false">INT(A1466/$N$1)</f>
        <v>81</v>
      </c>
      <c r="C1466" s="1" t="n">
        <f aca="false">INT(MOD(A1466,$N$1) / 2)</f>
        <v>3</v>
      </c>
      <c r="D1466" s="1" t="n">
        <f aca="false">_xlfn.BITAND(A1466,1)</f>
        <v>0</v>
      </c>
      <c r="F1466" s="1" t="str">
        <f aca="false">DEC2HEX(B1466*$N$3*18)</f>
        <v>16C80</v>
      </c>
      <c r="G1466" s="1" t="str">
        <f aca="false">DEC2HEX(C1466*7)</f>
        <v>15</v>
      </c>
      <c r="H1466" s="1" t="n">
        <f aca="false">IF(D1466=0, 33, "cc")</f>
        <v>33</v>
      </c>
    </row>
    <row r="1467" customFormat="false" ht="18.65" hidden="false" customHeight="true" outlineLevel="0" collapsed="false">
      <c r="A1467" s="1" t="n">
        <f aca="false">ROW()-2</f>
        <v>1465</v>
      </c>
      <c r="B1467" s="1" t="n">
        <f aca="false">INT(A1467/$N$1)</f>
        <v>81</v>
      </c>
      <c r="C1467" s="1" t="n">
        <f aca="false">INT(MOD(A1467,$N$1) / 2)</f>
        <v>3</v>
      </c>
      <c r="D1467" s="1" t="n">
        <f aca="false">_xlfn.BITAND(A1467,1)</f>
        <v>1</v>
      </c>
      <c r="F1467" s="1" t="str">
        <f aca="false">DEC2HEX(B1467*$N$3*18)</f>
        <v>16C80</v>
      </c>
      <c r="G1467" s="1" t="str">
        <f aca="false">DEC2HEX(C1467*7)</f>
        <v>15</v>
      </c>
      <c r="H1467" s="1" t="str">
        <f aca="false">IF(D1467=0, 33, "cc")</f>
        <v>cc</v>
      </c>
    </row>
    <row r="1468" customFormat="false" ht="18.65" hidden="false" customHeight="true" outlineLevel="0" collapsed="false">
      <c r="A1468" s="1" t="n">
        <f aca="false">ROW()-2</f>
        <v>1466</v>
      </c>
      <c r="B1468" s="1" t="n">
        <f aca="false">INT(A1468/$N$1)</f>
        <v>81</v>
      </c>
      <c r="C1468" s="1" t="n">
        <f aca="false">INT(MOD(A1468,$N$1) / 2)</f>
        <v>4</v>
      </c>
      <c r="D1468" s="1" t="n">
        <f aca="false">_xlfn.BITAND(A1468,1)</f>
        <v>0</v>
      </c>
      <c r="F1468" s="1" t="str">
        <f aca="false">DEC2HEX(B1468*$N$3*18)</f>
        <v>16C80</v>
      </c>
      <c r="G1468" s="1" t="str">
        <f aca="false">DEC2HEX(C1468*7)</f>
        <v>1C</v>
      </c>
      <c r="H1468" s="1" t="n">
        <f aca="false">IF(D1468=0, 33, "cc")</f>
        <v>33</v>
      </c>
    </row>
    <row r="1469" customFormat="false" ht="18.65" hidden="false" customHeight="true" outlineLevel="0" collapsed="false">
      <c r="A1469" s="1" t="n">
        <f aca="false">ROW()-2</f>
        <v>1467</v>
      </c>
      <c r="B1469" s="1" t="n">
        <f aca="false">INT(A1469/$N$1)</f>
        <v>81</v>
      </c>
      <c r="C1469" s="1" t="n">
        <f aca="false">INT(MOD(A1469,$N$1) / 2)</f>
        <v>4</v>
      </c>
      <c r="D1469" s="1" t="n">
        <f aca="false">_xlfn.BITAND(A1469,1)</f>
        <v>1</v>
      </c>
      <c r="F1469" s="1" t="str">
        <f aca="false">DEC2HEX(B1469*$N$3*18)</f>
        <v>16C80</v>
      </c>
      <c r="G1469" s="1" t="str">
        <f aca="false">DEC2HEX(C1469*7)</f>
        <v>1C</v>
      </c>
      <c r="H1469" s="1" t="str">
        <f aca="false">IF(D1469=0, 33, "cc")</f>
        <v>cc</v>
      </c>
    </row>
    <row r="1470" customFormat="false" ht="18.65" hidden="false" customHeight="true" outlineLevel="0" collapsed="false">
      <c r="A1470" s="1" t="n">
        <f aca="false">ROW()-2</f>
        <v>1468</v>
      </c>
      <c r="B1470" s="1" t="n">
        <f aca="false">INT(A1470/$N$1)</f>
        <v>81</v>
      </c>
      <c r="C1470" s="1" t="n">
        <f aca="false">INT(MOD(A1470,$N$1) / 2)</f>
        <v>5</v>
      </c>
      <c r="D1470" s="1" t="n">
        <f aca="false">_xlfn.BITAND(A1470,1)</f>
        <v>0</v>
      </c>
      <c r="F1470" s="1" t="str">
        <f aca="false">DEC2HEX(B1470*$N$3*18)</f>
        <v>16C80</v>
      </c>
      <c r="G1470" s="1" t="str">
        <f aca="false">DEC2HEX(C1470*7)</f>
        <v>23</v>
      </c>
      <c r="H1470" s="1" t="n">
        <f aca="false">IF(D1470=0, 33, "cc")</f>
        <v>33</v>
      </c>
    </row>
    <row r="1471" customFormat="false" ht="18.65" hidden="false" customHeight="true" outlineLevel="0" collapsed="false">
      <c r="A1471" s="1" t="n">
        <f aca="false">ROW()-2</f>
        <v>1469</v>
      </c>
      <c r="B1471" s="1" t="n">
        <f aca="false">INT(A1471/$N$1)</f>
        <v>81</v>
      </c>
      <c r="C1471" s="1" t="n">
        <f aca="false">INT(MOD(A1471,$N$1) / 2)</f>
        <v>5</v>
      </c>
      <c r="D1471" s="1" t="n">
        <f aca="false">_xlfn.BITAND(A1471,1)</f>
        <v>1</v>
      </c>
      <c r="F1471" s="1" t="str">
        <f aca="false">DEC2HEX(B1471*$N$3*18)</f>
        <v>16C80</v>
      </c>
      <c r="G1471" s="1" t="str">
        <f aca="false">DEC2HEX(C1471*7)</f>
        <v>23</v>
      </c>
      <c r="H1471" s="1" t="str">
        <f aca="false">IF(D1471=0, 33, "cc")</f>
        <v>cc</v>
      </c>
    </row>
    <row r="1472" customFormat="false" ht="18.65" hidden="false" customHeight="true" outlineLevel="0" collapsed="false">
      <c r="A1472" s="1" t="n">
        <f aca="false">ROW()-2</f>
        <v>1470</v>
      </c>
      <c r="B1472" s="1" t="n">
        <f aca="false">INT(A1472/$N$1)</f>
        <v>81</v>
      </c>
      <c r="C1472" s="1" t="n">
        <f aca="false">INT(MOD(A1472,$N$1) / 2)</f>
        <v>6</v>
      </c>
      <c r="D1472" s="1" t="n">
        <f aca="false">_xlfn.BITAND(A1472,1)</f>
        <v>0</v>
      </c>
      <c r="F1472" s="1" t="str">
        <f aca="false">DEC2HEX(B1472*$N$3*18)</f>
        <v>16C80</v>
      </c>
      <c r="G1472" s="1" t="str">
        <f aca="false">DEC2HEX(C1472*7)</f>
        <v>2A</v>
      </c>
      <c r="H1472" s="1" t="n">
        <f aca="false">IF(D1472=0, 33, "cc")</f>
        <v>33</v>
      </c>
    </row>
    <row r="1473" customFormat="false" ht="18.65" hidden="false" customHeight="true" outlineLevel="0" collapsed="false">
      <c r="A1473" s="1" t="n">
        <f aca="false">ROW()-2</f>
        <v>1471</v>
      </c>
      <c r="B1473" s="1" t="n">
        <f aca="false">INT(A1473/$N$1)</f>
        <v>81</v>
      </c>
      <c r="C1473" s="1" t="n">
        <f aca="false">INT(MOD(A1473,$N$1) / 2)</f>
        <v>6</v>
      </c>
      <c r="D1473" s="1" t="n">
        <f aca="false">_xlfn.BITAND(A1473,1)</f>
        <v>1</v>
      </c>
      <c r="F1473" s="1" t="str">
        <f aca="false">DEC2HEX(B1473*$N$3*18)</f>
        <v>16C80</v>
      </c>
      <c r="G1473" s="1" t="str">
        <f aca="false">DEC2HEX(C1473*7)</f>
        <v>2A</v>
      </c>
      <c r="H1473" s="1" t="str">
        <f aca="false">IF(D1473=0, 33, "cc")</f>
        <v>cc</v>
      </c>
    </row>
    <row r="1474" customFormat="false" ht="18.65" hidden="false" customHeight="true" outlineLevel="0" collapsed="false">
      <c r="A1474" s="1" t="n">
        <f aca="false">ROW()-2</f>
        <v>1472</v>
      </c>
      <c r="B1474" s="1" t="n">
        <f aca="false">INT(A1474/$N$1)</f>
        <v>81</v>
      </c>
      <c r="C1474" s="1" t="n">
        <f aca="false">INT(MOD(A1474,$N$1) / 2)</f>
        <v>7</v>
      </c>
      <c r="D1474" s="1" t="n">
        <f aca="false">_xlfn.BITAND(A1474,1)</f>
        <v>0</v>
      </c>
      <c r="F1474" s="1" t="str">
        <f aca="false">DEC2HEX(B1474*$N$3*18)</f>
        <v>16C80</v>
      </c>
      <c r="G1474" s="1" t="str">
        <f aca="false">DEC2HEX(C1474*7)</f>
        <v>31</v>
      </c>
      <c r="H1474" s="1" t="n">
        <f aca="false">IF(D1474=0, 33, "cc")</f>
        <v>33</v>
      </c>
    </row>
    <row r="1475" customFormat="false" ht="18.65" hidden="false" customHeight="true" outlineLevel="0" collapsed="false">
      <c r="A1475" s="1" t="n">
        <f aca="false">ROW()-2</f>
        <v>1473</v>
      </c>
      <c r="B1475" s="1" t="n">
        <f aca="false">INT(A1475/$N$1)</f>
        <v>81</v>
      </c>
      <c r="C1475" s="1" t="n">
        <f aca="false">INT(MOD(A1475,$N$1) / 2)</f>
        <v>7</v>
      </c>
      <c r="D1475" s="1" t="n">
        <f aca="false">_xlfn.BITAND(A1475,1)</f>
        <v>1</v>
      </c>
      <c r="F1475" s="1" t="str">
        <f aca="false">DEC2HEX(B1475*$N$3*18)</f>
        <v>16C80</v>
      </c>
      <c r="G1475" s="1" t="str">
        <f aca="false">DEC2HEX(C1475*7)</f>
        <v>31</v>
      </c>
      <c r="H1475" s="1" t="str">
        <f aca="false">IF(D1475=0, 33, "cc")</f>
        <v>cc</v>
      </c>
    </row>
    <row r="1476" customFormat="false" ht="18.65" hidden="false" customHeight="true" outlineLevel="0" collapsed="false">
      <c r="A1476" s="1" t="n">
        <f aca="false">ROW()-2</f>
        <v>1474</v>
      </c>
      <c r="B1476" s="1" t="n">
        <f aca="false">INT(A1476/$N$1)</f>
        <v>81</v>
      </c>
      <c r="C1476" s="1" t="n">
        <f aca="false">INT(MOD(A1476,$N$1) / 2)</f>
        <v>8</v>
      </c>
      <c r="D1476" s="1" t="n">
        <f aca="false">_xlfn.BITAND(A1476,1)</f>
        <v>0</v>
      </c>
      <c r="F1476" s="1" t="str">
        <f aca="false">DEC2HEX(B1476*$N$3*18)</f>
        <v>16C80</v>
      </c>
      <c r="G1476" s="1" t="str">
        <f aca="false">DEC2HEX(C1476*7)</f>
        <v>38</v>
      </c>
      <c r="H1476" s="1" t="n">
        <f aca="false">IF(D1476=0, 33, "cc")</f>
        <v>33</v>
      </c>
    </row>
    <row r="1477" customFormat="false" ht="18.65" hidden="false" customHeight="true" outlineLevel="0" collapsed="false">
      <c r="A1477" s="1" t="n">
        <f aca="false">ROW()-2</f>
        <v>1475</v>
      </c>
      <c r="B1477" s="1" t="n">
        <f aca="false">INT(A1477/$N$1)</f>
        <v>81</v>
      </c>
      <c r="C1477" s="1" t="n">
        <f aca="false">INT(MOD(A1477,$N$1) / 2)</f>
        <v>8</v>
      </c>
      <c r="D1477" s="1" t="n">
        <f aca="false">_xlfn.BITAND(A1477,1)</f>
        <v>1</v>
      </c>
      <c r="F1477" s="1" t="str">
        <f aca="false">DEC2HEX(B1477*$N$3*18)</f>
        <v>16C80</v>
      </c>
      <c r="G1477" s="1" t="str">
        <f aca="false">DEC2HEX(C1477*7)</f>
        <v>38</v>
      </c>
      <c r="H1477" s="1" t="str">
        <f aca="false">IF(D1477=0, 33, "cc")</f>
        <v>cc</v>
      </c>
    </row>
    <row r="1478" customFormat="false" ht="18.65" hidden="false" customHeight="true" outlineLevel="0" collapsed="false">
      <c r="A1478" s="1" t="n">
        <f aca="false">ROW()-2</f>
        <v>1476</v>
      </c>
      <c r="B1478" s="1" t="n">
        <f aca="false">INT(A1478/$N$1)</f>
        <v>82</v>
      </c>
      <c r="C1478" s="1" t="n">
        <f aca="false">INT(MOD(A1478,$N$1) / 2)</f>
        <v>0</v>
      </c>
      <c r="D1478" s="1" t="n">
        <f aca="false">_xlfn.BITAND(A1478,1)</f>
        <v>0</v>
      </c>
      <c r="F1478" s="1" t="str">
        <f aca="false">DEC2HEX(B1478*$N$3*18)</f>
        <v>17100</v>
      </c>
      <c r="G1478" s="1" t="str">
        <f aca="false">DEC2HEX(C1478*7)</f>
        <v>0</v>
      </c>
      <c r="H1478" s="1" t="n">
        <f aca="false">IF(D1478=0, 33, "cc")</f>
        <v>33</v>
      </c>
    </row>
    <row r="1479" customFormat="false" ht="18.65" hidden="false" customHeight="true" outlineLevel="0" collapsed="false">
      <c r="A1479" s="1" t="n">
        <f aca="false">ROW()-2</f>
        <v>1477</v>
      </c>
      <c r="B1479" s="1" t="n">
        <f aca="false">INT(A1479/$N$1)</f>
        <v>82</v>
      </c>
      <c r="C1479" s="1" t="n">
        <f aca="false">INT(MOD(A1479,$N$1) / 2)</f>
        <v>0</v>
      </c>
      <c r="D1479" s="1" t="n">
        <f aca="false">_xlfn.BITAND(A1479,1)</f>
        <v>1</v>
      </c>
      <c r="F1479" s="1" t="str">
        <f aca="false">DEC2HEX(B1479*$N$3*18)</f>
        <v>17100</v>
      </c>
      <c r="G1479" s="1" t="str">
        <f aca="false">DEC2HEX(C1479*7)</f>
        <v>0</v>
      </c>
      <c r="H1479" s="1" t="str">
        <f aca="false">IF(D1479=0, 33, "cc")</f>
        <v>cc</v>
      </c>
    </row>
    <row r="1480" customFormat="false" ht="18.65" hidden="false" customHeight="true" outlineLevel="0" collapsed="false">
      <c r="A1480" s="1" t="n">
        <f aca="false">ROW()-2</f>
        <v>1478</v>
      </c>
      <c r="B1480" s="1" t="n">
        <f aca="false">INT(A1480/$N$1)</f>
        <v>82</v>
      </c>
      <c r="C1480" s="1" t="n">
        <f aca="false">INT(MOD(A1480,$N$1) / 2)</f>
        <v>1</v>
      </c>
      <c r="D1480" s="1" t="n">
        <f aca="false">_xlfn.BITAND(A1480,1)</f>
        <v>0</v>
      </c>
      <c r="F1480" s="1" t="str">
        <f aca="false">DEC2HEX(B1480*$N$3*18)</f>
        <v>17100</v>
      </c>
      <c r="G1480" s="1" t="str">
        <f aca="false">DEC2HEX(C1480*7)</f>
        <v>7</v>
      </c>
      <c r="H1480" s="1" t="n">
        <f aca="false">IF(D1480=0, 33, "cc")</f>
        <v>33</v>
      </c>
    </row>
    <row r="1481" customFormat="false" ht="18.65" hidden="false" customHeight="true" outlineLevel="0" collapsed="false">
      <c r="A1481" s="1" t="n">
        <f aca="false">ROW()-2</f>
        <v>1479</v>
      </c>
      <c r="B1481" s="1" t="n">
        <f aca="false">INT(A1481/$N$1)</f>
        <v>82</v>
      </c>
      <c r="C1481" s="1" t="n">
        <f aca="false">INT(MOD(A1481,$N$1) / 2)</f>
        <v>1</v>
      </c>
      <c r="D1481" s="1" t="n">
        <f aca="false">_xlfn.BITAND(A1481,1)</f>
        <v>1</v>
      </c>
      <c r="F1481" s="1" t="str">
        <f aca="false">DEC2HEX(B1481*$N$3*18)</f>
        <v>17100</v>
      </c>
      <c r="G1481" s="1" t="str">
        <f aca="false">DEC2HEX(C1481*7)</f>
        <v>7</v>
      </c>
      <c r="H1481" s="1" t="str">
        <f aca="false">IF(D1481=0, 33, "cc")</f>
        <v>cc</v>
      </c>
    </row>
    <row r="1482" customFormat="false" ht="18.65" hidden="false" customHeight="true" outlineLevel="0" collapsed="false">
      <c r="A1482" s="1" t="n">
        <f aca="false">ROW()-2</f>
        <v>1480</v>
      </c>
      <c r="B1482" s="1" t="n">
        <f aca="false">INT(A1482/$N$1)</f>
        <v>82</v>
      </c>
      <c r="C1482" s="1" t="n">
        <f aca="false">INT(MOD(A1482,$N$1) / 2)</f>
        <v>2</v>
      </c>
      <c r="D1482" s="1" t="n">
        <f aca="false">_xlfn.BITAND(A1482,1)</f>
        <v>0</v>
      </c>
      <c r="F1482" s="1" t="str">
        <f aca="false">DEC2HEX(B1482*$N$3*18)</f>
        <v>17100</v>
      </c>
      <c r="G1482" s="1" t="str">
        <f aca="false">DEC2HEX(C1482*7)</f>
        <v>E</v>
      </c>
      <c r="H1482" s="1" t="n">
        <f aca="false">IF(D1482=0, 33, "cc")</f>
        <v>33</v>
      </c>
    </row>
    <row r="1483" customFormat="false" ht="18.65" hidden="false" customHeight="true" outlineLevel="0" collapsed="false">
      <c r="A1483" s="1" t="n">
        <f aca="false">ROW()-2</f>
        <v>1481</v>
      </c>
      <c r="B1483" s="1" t="n">
        <f aca="false">INT(A1483/$N$1)</f>
        <v>82</v>
      </c>
      <c r="C1483" s="1" t="n">
        <f aca="false">INT(MOD(A1483,$N$1) / 2)</f>
        <v>2</v>
      </c>
      <c r="D1483" s="1" t="n">
        <f aca="false">_xlfn.BITAND(A1483,1)</f>
        <v>1</v>
      </c>
      <c r="F1483" s="1" t="str">
        <f aca="false">DEC2HEX(B1483*$N$3*18)</f>
        <v>17100</v>
      </c>
      <c r="G1483" s="1" t="str">
        <f aca="false">DEC2HEX(C1483*7)</f>
        <v>E</v>
      </c>
      <c r="H1483" s="1" t="str">
        <f aca="false">IF(D1483=0, 33, "cc")</f>
        <v>cc</v>
      </c>
    </row>
    <row r="1484" customFormat="false" ht="18.65" hidden="false" customHeight="true" outlineLevel="0" collapsed="false">
      <c r="A1484" s="1" t="n">
        <f aca="false">ROW()-2</f>
        <v>1482</v>
      </c>
      <c r="B1484" s="1" t="n">
        <f aca="false">INT(A1484/$N$1)</f>
        <v>82</v>
      </c>
      <c r="C1484" s="1" t="n">
        <f aca="false">INT(MOD(A1484,$N$1) / 2)</f>
        <v>3</v>
      </c>
      <c r="D1484" s="1" t="n">
        <f aca="false">_xlfn.BITAND(A1484,1)</f>
        <v>0</v>
      </c>
      <c r="F1484" s="1" t="str">
        <f aca="false">DEC2HEX(B1484*$N$3*18)</f>
        <v>17100</v>
      </c>
      <c r="G1484" s="1" t="str">
        <f aca="false">DEC2HEX(C1484*7)</f>
        <v>15</v>
      </c>
      <c r="H1484" s="1" t="n">
        <f aca="false">IF(D1484=0, 33, "cc")</f>
        <v>33</v>
      </c>
    </row>
    <row r="1485" customFormat="false" ht="18.65" hidden="false" customHeight="true" outlineLevel="0" collapsed="false">
      <c r="A1485" s="1" t="n">
        <f aca="false">ROW()-2</f>
        <v>1483</v>
      </c>
      <c r="B1485" s="1" t="n">
        <f aca="false">INT(A1485/$N$1)</f>
        <v>82</v>
      </c>
      <c r="C1485" s="1" t="n">
        <f aca="false">INT(MOD(A1485,$N$1) / 2)</f>
        <v>3</v>
      </c>
      <c r="D1485" s="1" t="n">
        <f aca="false">_xlfn.BITAND(A1485,1)</f>
        <v>1</v>
      </c>
      <c r="F1485" s="1" t="str">
        <f aca="false">DEC2HEX(B1485*$N$3*18)</f>
        <v>17100</v>
      </c>
      <c r="G1485" s="1" t="str">
        <f aca="false">DEC2HEX(C1485*7)</f>
        <v>15</v>
      </c>
      <c r="H1485" s="1" t="str">
        <f aca="false">IF(D1485=0, 33, "cc")</f>
        <v>cc</v>
      </c>
    </row>
    <row r="1486" customFormat="false" ht="18.65" hidden="false" customHeight="true" outlineLevel="0" collapsed="false">
      <c r="A1486" s="1" t="n">
        <f aca="false">ROW()-2</f>
        <v>1484</v>
      </c>
      <c r="B1486" s="1" t="n">
        <f aca="false">INT(A1486/$N$1)</f>
        <v>82</v>
      </c>
      <c r="C1486" s="1" t="n">
        <f aca="false">INT(MOD(A1486,$N$1) / 2)</f>
        <v>4</v>
      </c>
      <c r="D1486" s="1" t="n">
        <f aca="false">_xlfn.BITAND(A1486,1)</f>
        <v>0</v>
      </c>
      <c r="F1486" s="1" t="str">
        <f aca="false">DEC2HEX(B1486*$N$3*18)</f>
        <v>17100</v>
      </c>
      <c r="G1486" s="1" t="str">
        <f aca="false">DEC2HEX(C1486*7)</f>
        <v>1C</v>
      </c>
      <c r="H1486" s="1" t="n">
        <f aca="false">IF(D1486=0, 33, "cc")</f>
        <v>33</v>
      </c>
    </row>
    <row r="1487" customFormat="false" ht="18.65" hidden="false" customHeight="true" outlineLevel="0" collapsed="false">
      <c r="A1487" s="1" t="n">
        <f aca="false">ROW()-2</f>
        <v>1485</v>
      </c>
      <c r="B1487" s="1" t="n">
        <f aca="false">INT(A1487/$N$1)</f>
        <v>82</v>
      </c>
      <c r="C1487" s="1" t="n">
        <f aca="false">INT(MOD(A1487,$N$1) / 2)</f>
        <v>4</v>
      </c>
      <c r="D1487" s="1" t="n">
        <f aca="false">_xlfn.BITAND(A1487,1)</f>
        <v>1</v>
      </c>
      <c r="F1487" s="1" t="str">
        <f aca="false">DEC2HEX(B1487*$N$3*18)</f>
        <v>17100</v>
      </c>
      <c r="G1487" s="1" t="str">
        <f aca="false">DEC2HEX(C1487*7)</f>
        <v>1C</v>
      </c>
      <c r="H1487" s="1" t="str">
        <f aca="false">IF(D1487=0, 33, "cc")</f>
        <v>cc</v>
      </c>
    </row>
    <row r="1488" customFormat="false" ht="18.65" hidden="false" customHeight="true" outlineLevel="0" collapsed="false">
      <c r="A1488" s="1" t="n">
        <f aca="false">ROW()-2</f>
        <v>1486</v>
      </c>
      <c r="B1488" s="1" t="n">
        <f aca="false">INT(A1488/$N$1)</f>
        <v>82</v>
      </c>
      <c r="C1488" s="1" t="n">
        <f aca="false">INT(MOD(A1488,$N$1) / 2)</f>
        <v>5</v>
      </c>
      <c r="D1488" s="1" t="n">
        <f aca="false">_xlfn.BITAND(A1488,1)</f>
        <v>0</v>
      </c>
      <c r="F1488" s="1" t="str">
        <f aca="false">DEC2HEX(B1488*$N$3*18)</f>
        <v>17100</v>
      </c>
      <c r="G1488" s="1" t="str">
        <f aca="false">DEC2HEX(C1488*7)</f>
        <v>23</v>
      </c>
      <c r="H1488" s="1" t="n">
        <f aca="false">IF(D1488=0, 33, "cc")</f>
        <v>33</v>
      </c>
    </row>
    <row r="1489" customFormat="false" ht="18.65" hidden="false" customHeight="true" outlineLevel="0" collapsed="false">
      <c r="A1489" s="1" t="n">
        <f aca="false">ROW()-2</f>
        <v>1487</v>
      </c>
      <c r="B1489" s="1" t="n">
        <f aca="false">INT(A1489/$N$1)</f>
        <v>82</v>
      </c>
      <c r="C1489" s="1" t="n">
        <f aca="false">INT(MOD(A1489,$N$1) / 2)</f>
        <v>5</v>
      </c>
      <c r="D1489" s="1" t="n">
        <f aca="false">_xlfn.BITAND(A1489,1)</f>
        <v>1</v>
      </c>
      <c r="F1489" s="1" t="str">
        <f aca="false">DEC2HEX(B1489*$N$3*18)</f>
        <v>17100</v>
      </c>
      <c r="G1489" s="1" t="str">
        <f aca="false">DEC2HEX(C1489*7)</f>
        <v>23</v>
      </c>
      <c r="H1489" s="1" t="str">
        <f aca="false">IF(D1489=0, 33, "cc")</f>
        <v>cc</v>
      </c>
    </row>
    <row r="1490" customFormat="false" ht="18.65" hidden="false" customHeight="true" outlineLevel="0" collapsed="false">
      <c r="A1490" s="1" t="n">
        <f aca="false">ROW()-2</f>
        <v>1488</v>
      </c>
      <c r="B1490" s="1" t="n">
        <f aca="false">INT(A1490/$N$1)</f>
        <v>82</v>
      </c>
      <c r="C1490" s="1" t="n">
        <f aca="false">INT(MOD(A1490,$N$1) / 2)</f>
        <v>6</v>
      </c>
      <c r="D1490" s="1" t="n">
        <f aca="false">_xlfn.BITAND(A1490,1)</f>
        <v>0</v>
      </c>
      <c r="F1490" s="1" t="str">
        <f aca="false">DEC2HEX(B1490*$N$3*18)</f>
        <v>17100</v>
      </c>
      <c r="G1490" s="1" t="str">
        <f aca="false">DEC2HEX(C1490*7)</f>
        <v>2A</v>
      </c>
      <c r="H1490" s="1" t="n">
        <f aca="false">IF(D1490=0, 33, "cc")</f>
        <v>33</v>
      </c>
    </row>
    <row r="1491" customFormat="false" ht="18.65" hidden="false" customHeight="true" outlineLevel="0" collapsed="false">
      <c r="A1491" s="1" t="n">
        <f aca="false">ROW()-2</f>
        <v>1489</v>
      </c>
      <c r="B1491" s="1" t="n">
        <f aca="false">INT(A1491/$N$1)</f>
        <v>82</v>
      </c>
      <c r="C1491" s="1" t="n">
        <f aca="false">INT(MOD(A1491,$N$1) / 2)</f>
        <v>6</v>
      </c>
      <c r="D1491" s="1" t="n">
        <f aca="false">_xlfn.BITAND(A1491,1)</f>
        <v>1</v>
      </c>
      <c r="F1491" s="1" t="str">
        <f aca="false">DEC2HEX(B1491*$N$3*18)</f>
        <v>17100</v>
      </c>
      <c r="G1491" s="1" t="str">
        <f aca="false">DEC2HEX(C1491*7)</f>
        <v>2A</v>
      </c>
      <c r="H1491" s="1" t="str">
        <f aca="false">IF(D1491=0, 33, "cc")</f>
        <v>cc</v>
      </c>
    </row>
    <row r="1492" customFormat="false" ht="18.65" hidden="false" customHeight="true" outlineLevel="0" collapsed="false">
      <c r="A1492" s="1" t="n">
        <f aca="false">ROW()-2</f>
        <v>1490</v>
      </c>
      <c r="B1492" s="1" t="n">
        <f aca="false">INT(A1492/$N$1)</f>
        <v>82</v>
      </c>
      <c r="C1492" s="1" t="n">
        <f aca="false">INT(MOD(A1492,$N$1) / 2)</f>
        <v>7</v>
      </c>
      <c r="D1492" s="1" t="n">
        <f aca="false">_xlfn.BITAND(A1492,1)</f>
        <v>0</v>
      </c>
      <c r="F1492" s="1" t="str">
        <f aca="false">DEC2HEX(B1492*$N$3*18)</f>
        <v>17100</v>
      </c>
      <c r="G1492" s="1" t="str">
        <f aca="false">DEC2HEX(C1492*7)</f>
        <v>31</v>
      </c>
      <c r="H1492" s="1" t="n">
        <f aca="false">IF(D1492=0, 33, "cc")</f>
        <v>33</v>
      </c>
    </row>
    <row r="1493" customFormat="false" ht="18.65" hidden="false" customHeight="true" outlineLevel="0" collapsed="false">
      <c r="A1493" s="1" t="n">
        <f aca="false">ROW()-2</f>
        <v>1491</v>
      </c>
      <c r="B1493" s="1" t="n">
        <f aca="false">INT(A1493/$N$1)</f>
        <v>82</v>
      </c>
      <c r="C1493" s="1" t="n">
        <f aca="false">INT(MOD(A1493,$N$1) / 2)</f>
        <v>7</v>
      </c>
      <c r="D1493" s="1" t="n">
        <f aca="false">_xlfn.BITAND(A1493,1)</f>
        <v>1</v>
      </c>
      <c r="F1493" s="1" t="str">
        <f aca="false">DEC2HEX(B1493*$N$3*18)</f>
        <v>17100</v>
      </c>
      <c r="G1493" s="1" t="str">
        <f aca="false">DEC2HEX(C1493*7)</f>
        <v>31</v>
      </c>
      <c r="H1493" s="1" t="str">
        <f aca="false">IF(D1493=0, 33, "cc")</f>
        <v>cc</v>
      </c>
    </row>
    <row r="1494" customFormat="false" ht="18.65" hidden="false" customHeight="true" outlineLevel="0" collapsed="false">
      <c r="A1494" s="1" t="n">
        <f aca="false">ROW()-2</f>
        <v>1492</v>
      </c>
      <c r="B1494" s="1" t="n">
        <f aca="false">INT(A1494/$N$1)</f>
        <v>82</v>
      </c>
      <c r="C1494" s="1" t="n">
        <f aca="false">INT(MOD(A1494,$N$1) / 2)</f>
        <v>8</v>
      </c>
      <c r="D1494" s="1" t="n">
        <f aca="false">_xlfn.BITAND(A1494,1)</f>
        <v>0</v>
      </c>
      <c r="F1494" s="1" t="str">
        <f aca="false">DEC2HEX(B1494*$N$3*18)</f>
        <v>17100</v>
      </c>
      <c r="G1494" s="1" t="str">
        <f aca="false">DEC2HEX(C1494*7)</f>
        <v>38</v>
      </c>
      <c r="H1494" s="1" t="n">
        <f aca="false">IF(D1494=0, 33, "cc")</f>
        <v>33</v>
      </c>
    </row>
    <row r="1495" customFormat="false" ht="18.65" hidden="false" customHeight="true" outlineLevel="0" collapsed="false">
      <c r="A1495" s="1" t="n">
        <f aca="false">ROW()-2</f>
        <v>1493</v>
      </c>
      <c r="B1495" s="1" t="n">
        <f aca="false">INT(A1495/$N$1)</f>
        <v>82</v>
      </c>
      <c r="C1495" s="1" t="n">
        <f aca="false">INT(MOD(A1495,$N$1) / 2)</f>
        <v>8</v>
      </c>
      <c r="D1495" s="1" t="n">
        <f aca="false">_xlfn.BITAND(A1495,1)</f>
        <v>1</v>
      </c>
      <c r="F1495" s="1" t="str">
        <f aca="false">DEC2HEX(B1495*$N$3*18)</f>
        <v>17100</v>
      </c>
      <c r="G1495" s="1" t="str">
        <f aca="false">DEC2HEX(C1495*7)</f>
        <v>38</v>
      </c>
      <c r="H1495" s="1" t="str">
        <f aca="false">IF(D1495=0, 33, "cc")</f>
        <v>cc</v>
      </c>
    </row>
    <row r="1496" customFormat="false" ht="18.65" hidden="false" customHeight="true" outlineLevel="0" collapsed="false">
      <c r="A1496" s="1" t="n">
        <f aca="false">ROW()-2</f>
        <v>1494</v>
      </c>
      <c r="B1496" s="1" t="n">
        <f aca="false">INT(A1496/$N$1)</f>
        <v>83</v>
      </c>
      <c r="C1496" s="1" t="n">
        <f aca="false">INT(MOD(A1496,$N$1) / 2)</f>
        <v>0</v>
      </c>
      <c r="D1496" s="1" t="n">
        <f aca="false">_xlfn.BITAND(A1496,1)</f>
        <v>0</v>
      </c>
      <c r="F1496" s="1" t="str">
        <f aca="false">DEC2HEX(B1496*$N$3*18)</f>
        <v>17580</v>
      </c>
      <c r="G1496" s="1" t="str">
        <f aca="false">DEC2HEX(C1496*7)</f>
        <v>0</v>
      </c>
      <c r="H1496" s="1" t="n">
        <f aca="false">IF(D1496=0, 33, "cc")</f>
        <v>33</v>
      </c>
    </row>
    <row r="1497" customFormat="false" ht="18.65" hidden="false" customHeight="true" outlineLevel="0" collapsed="false">
      <c r="A1497" s="1" t="n">
        <f aca="false">ROW()-2</f>
        <v>1495</v>
      </c>
      <c r="B1497" s="1" t="n">
        <f aca="false">INT(A1497/$N$1)</f>
        <v>83</v>
      </c>
      <c r="C1497" s="1" t="n">
        <f aca="false">INT(MOD(A1497,$N$1) / 2)</f>
        <v>0</v>
      </c>
      <c r="D1497" s="1" t="n">
        <f aca="false">_xlfn.BITAND(A1497,1)</f>
        <v>1</v>
      </c>
      <c r="F1497" s="1" t="str">
        <f aca="false">DEC2HEX(B1497*$N$3*18)</f>
        <v>17580</v>
      </c>
      <c r="G1497" s="1" t="str">
        <f aca="false">DEC2HEX(C1497*7)</f>
        <v>0</v>
      </c>
      <c r="H1497" s="1" t="str">
        <f aca="false">IF(D1497=0, 33, "cc")</f>
        <v>cc</v>
      </c>
    </row>
    <row r="1498" customFormat="false" ht="18.65" hidden="false" customHeight="true" outlineLevel="0" collapsed="false">
      <c r="A1498" s="1" t="n">
        <f aca="false">ROW()-2</f>
        <v>1496</v>
      </c>
      <c r="B1498" s="1" t="n">
        <f aca="false">INT(A1498/$N$1)</f>
        <v>83</v>
      </c>
      <c r="C1498" s="1" t="n">
        <f aca="false">INT(MOD(A1498,$N$1) / 2)</f>
        <v>1</v>
      </c>
      <c r="D1498" s="1" t="n">
        <f aca="false">_xlfn.BITAND(A1498,1)</f>
        <v>0</v>
      </c>
      <c r="F1498" s="1" t="str">
        <f aca="false">DEC2HEX(B1498*$N$3*18)</f>
        <v>17580</v>
      </c>
      <c r="G1498" s="1" t="str">
        <f aca="false">DEC2HEX(C1498*7)</f>
        <v>7</v>
      </c>
      <c r="H1498" s="1" t="n">
        <f aca="false">IF(D1498=0, 33, "cc")</f>
        <v>33</v>
      </c>
    </row>
    <row r="1499" customFormat="false" ht="18.65" hidden="false" customHeight="true" outlineLevel="0" collapsed="false">
      <c r="A1499" s="1" t="n">
        <f aca="false">ROW()-2</f>
        <v>1497</v>
      </c>
      <c r="B1499" s="1" t="n">
        <f aca="false">INT(A1499/$N$1)</f>
        <v>83</v>
      </c>
      <c r="C1499" s="1" t="n">
        <f aca="false">INT(MOD(A1499,$N$1) / 2)</f>
        <v>1</v>
      </c>
      <c r="D1499" s="1" t="n">
        <f aca="false">_xlfn.BITAND(A1499,1)</f>
        <v>1</v>
      </c>
      <c r="F1499" s="1" t="str">
        <f aca="false">DEC2HEX(B1499*$N$3*18)</f>
        <v>17580</v>
      </c>
      <c r="G1499" s="1" t="str">
        <f aca="false">DEC2HEX(C1499*7)</f>
        <v>7</v>
      </c>
      <c r="H1499" s="1" t="str">
        <f aca="false">IF(D1499=0, 33, "cc")</f>
        <v>cc</v>
      </c>
    </row>
    <row r="1500" customFormat="false" ht="18.65" hidden="false" customHeight="true" outlineLevel="0" collapsed="false">
      <c r="A1500" s="1" t="n">
        <f aca="false">ROW()-2</f>
        <v>1498</v>
      </c>
      <c r="B1500" s="1" t="n">
        <f aca="false">INT(A1500/$N$1)</f>
        <v>83</v>
      </c>
      <c r="C1500" s="1" t="n">
        <f aca="false">INT(MOD(A1500,$N$1) / 2)</f>
        <v>2</v>
      </c>
      <c r="D1500" s="1" t="n">
        <f aca="false">_xlfn.BITAND(A1500,1)</f>
        <v>0</v>
      </c>
      <c r="F1500" s="1" t="str">
        <f aca="false">DEC2HEX(B1500*$N$3*18)</f>
        <v>17580</v>
      </c>
      <c r="G1500" s="1" t="str">
        <f aca="false">DEC2HEX(C1500*7)</f>
        <v>E</v>
      </c>
      <c r="H1500" s="1" t="n">
        <f aca="false">IF(D1500=0, 33, "cc")</f>
        <v>33</v>
      </c>
    </row>
    <row r="1501" customFormat="false" ht="18.65" hidden="false" customHeight="true" outlineLevel="0" collapsed="false">
      <c r="A1501" s="1" t="n">
        <f aca="false">ROW()-2</f>
        <v>1499</v>
      </c>
      <c r="B1501" s="1" t="n">
        <f aca="false">INT(A1501/$N$1)</f>
        <v>83</v>
      </c>
      <c r="C1501" s="1" t="n">
        <f aca="false">INT(MOD(A1501,$N$1) / 2)</f>
        <v>2</v>
      </c>
      <c r="D1501" s="1" t="n">
        <f aca="false">_xlfn.BITAND(A1501,1)</f>
        <v>1</v>
      </c>
      <c r="F1501" s="1" t="str">
        <f aca="false">DEC2HEX(B1501*$N$3*18)</f>
        <v>17580</v>
      </c>
      <c r="G1501" s="1" t="str">
        <f aca="false">DEC2HEX(C1501*7)</f>
        <v>E</v>
      </c>
      <c r="H1501" s="1" t="str">
        <f aca="false">IF(D1501=0, 33, "cc")</f>
        <v>cc</v>
      </c>
    </row>
    <row r="1502" customFormat="false" ht="18.65" hidden="false" customHeight="true" outlineLevel="0" collapsed="false">
      <c r="A1502" s="1" t="n">
        <f aca="false">ROW()-2</f>
        <v>1500</v>
      </c>
      <c r="B1502" s="1" t="n">
        <f aca="false">INT(A1502/$N$1)</f>
        <v>83</v>
      </c>
      <c r="C1502" s="1" t="n">
        <f aca="false">INT(MOD(A1502,$N$1) / 2)</f>
        <v>3</v>
      </c>
      <c r="D1502" s="1" t="n">
        <f aca="false">_xlfn.BITAND(A1502,1)</f>
        <v>0</v>
      </c>
      <c r="F1502" s="1" t="str">
        <f aca="false">DEC2HEX(B1502*$N$3*18)</f>
        <v>17580</v>
      </c>
      <c r="G1502" s="1" t="str">
        <f aca="false">DEC2HEX(C1502*7)</f>
        <v>15</v>
      </c>
      <c r="H1502" s="1" t="n">
        <f aca="false">IF(D1502=0, 33, "cc")</f>
        <v>33</v>
      </c>
    </row>
    <row r="1503" customFormat="false" ht="18.65" hidden="false" customHeight="true" outlineLevel="0" collapsed="false">
      <c r="A1503" s="1" t="n">
        <f aca="false">ROW()-2</f>
        <v>1501</v>
      </c>
      <c r="B1503" s="1" t="n">
        <f aca="false">INT(A1503/$N$1)</f>
        <v>83</v>
      </c>
      <c r="C1503" s="1" t="n">
        <f aca="false">INT(MOD(A1503,$N$1) / 2)</f>
        <v>3</v>
      </c>
      <c r="D1503" s="1" t="n">
        <f aca="false">_xlfn.BITAND(A1503,1)</f>
        <v>1</v>
      </c>
      <c r="F1503" s="1" t="str">
        <f aca="false">DEC2HEX(B1503*$N$3*18)</f>
        <v>17580</v>
      </c>
      <c r="G1503" s="1" t="str">
        <f aca="false">DEC2HEX(C1503*7)</f>
        <v>15</v>
      </c>
      <c r="H1503" s="1" t="str">
        <f aca="false">IF(D1503=0, 33, "cc")</f>
        <v>cc</v>
      </c>
    </row>
    <row r="1504" customFormat="false" ht="18.65" hidden="false" customHeight="true" outlineLevel="0" collapsed="false">
      <c r="A1504" s="1" t="n">
        <f aca="false">ROW()-2</f>
        <v>1502</v>
      </c>
      <c r="B1504" s="1" t="n">
        <f aca="false">INT(A1504/$N$1)</f>
        <v>83</v>
      </c>
      <c r="C1504" s="1" t="n">
        <f aca="false">INT(MOD(A1504,$N$1) / 2)</f>
        <v>4</v>
      </c>
      <c r="D1504" s="1" t="n">
        <f aca="false">_xlfn.BITAND(A1504,1)</f>
        <v>0</v>
      </c>
      <c r="F1504" s="1" t="str">
        <f aca="false">DEC2HEX(B1504*$N$3*18)</f>
        <v>17580</v>
      </c>
      <c r="G1504" s="1" t="str">
        <f aca="false">DEC2HEX(C1504*7)</f>
        <v>1C</v>
      </c>
      <c r="H1504" s="1" t="n">
        <f aca="false">IF(D1504=0, 33, "cc")</f>
        <v>33</v>
      </c>
    </row>
    <row r="1505" customFormat="false" ht="18.65" hidden="false" customHeight="true" outlineLevel="0" collapsed="false">
      <c r="A1505" s="1" t="n">
        <f aca="false">ROW()-2</f>
        <v>1503</v>
      </c>
      <c r="B1505" s="1" t="n">
        <f aca="false">INT(A1505/$N$1)</f>
        <v>83</v>
      </c>
      <c r="C1505" s="1" t="n">
        <f aca="false">INT(MOD(A1505,$N$1) / 2)</f>
        <v>4</v>
      </c>
      <c r="D1505" s="1" t="n">
        <f aca="false">_xlfn.BITAND(A1505,1)</f>
        <v>1</v>
      </c>
      <c r="F1505" s="1" t="str">
        <f aca="false">DEC2HEX(B1505*$N$3*18)</f>
        <v>17580</v>
      </c>
      <c r="G1505" s="1" t="str">
        <f aca="false">DEC2HEX(C1505*7)</f>
        <v>1C</v>
      </c>
      <c r="H1505" s="1" t="str">
        <f aca="false">IF(D1505=0, 33, "cc")</f>
        <v>cc</v>
      </c>
    </row>
    <row r="1506" customFormat="false" ht="18.65" hidden="false" customHeight="true" outlineLevel="0" collapsed="false">
      <c r="A1506" s="1" t="n">
        <f aca="false">ROW()-2</f>
        <v>1504</v>
      </c>
      <c r="B1506" s="1" t="n">
        <f aca="false">INT(A1506/$N$1)</f>
        <v>83</v>
      </c>
      <c r="C1506" s="1" t="n">
        <f aca="false">INT(MOD(A1506,$N$1) / 2)</f>
        <v>5</v>
      </c>
      <c r="D1506" s="1" t="n">
        <f aca="false">_xlfn.BITAND(A1506,1)</f>
        <v>0</v>
      </c>
      <c r="F1506" s="1" t="str">
        <f aca="false">DEC2HEX(B1506*$N$3*18)</f>
        <v>17580</v>
      </c>
      <c r="G1506" s="1" t="str">
        <f aca="false">DEC2HEX(C1506*7)</f>
        <v>23</v>
      </c>
      <c r="H1506" s="1" t="n">
        <f aca="false">IF(D1506=0, 33, "cc")</f>
        <v>33</v>
      </c>
    </row>
    <row r="1507" customFormat="false" ht="18.65" hidden="false" customHeight="true" outlineLevel="0" collapsed="false">
      <c r="A1507" s="1" t="n">
        <f aca="false">ROW()-2</f>
        <v>1505</v>
      </c>
      <c r="B1507" s="1" t="n">
        <f aca="false">INT(A1507/$N$1)</f>
        <v>83</v>
      </c>
      <c r="C1507" s="1" t="n">
        <f aca="false">INT(MOD(A1507,$N$1) / 2)</f>
        <v>5</v>
      </c>
      <c r="D1507" s="1" t="n">
        <f aca="false">_xlfn.BITAND(A1507,1)</f>
        <v>1</v>
      </c>
      <c r="F1507" s="1" t="str">
        <f aca="false">DEC2HEX(B1507*$N$3*18)</f>
        <v>17580</v>
      </c>
      <c r="G1507" s="1" t="str">
        <f aca="false">DEC2HEX(C1507*7)</f>
        <v>23</v>
      </c>
      <c r="H1507" s="1" t="str">
        <f aca="false">IF(D1507=0, 33, "cc")</f>
        <v>cc</v>
      </c>
    </row>
    <row r="1508" customFormat="false" ht="18.65" hidden="false" customHeight="true" outlineLevel="0" collapsed="false">
      <c r="A1508" s="1" t="n">
        <f aca="false">ROW()-2</f>
        <v>1506</v>
      </c>
      <c r="B1508" s="1" t="n">
        <f aca="false">INT(A1508/$N$1)</f>
        <v>83</v>
      </c>
      <c r="C1508" s="1" t="n">
        <f aca="false">INT(MOD(A1508,$N$1) / 2)</f>
        <v>6</v>
      </c>
      <c r="D1508" s="1" t="n">
        <f aca="false">_xlfn.BITAND(A1508,1)</f>
        <v>0</v>
      </c>
      <c r="F1508" s="1" t="str">
        <f aca="false">DEC2HEX(B1508*$N$3*18)</f>
        <v>17580</v>
      </c>
      <c r="G1508" s="1" t="str">
        <f aca="false">DEC2HEX(C1508*7)</f>
        <v>2A</v>
      </c>
      <c r="H1508" s="1" t="n">
        <f aca="false">IF(D1508=0, 33, "cc")</f>
        <v>33</v>
      </c>
    </row>
    <row r="1509" customFormat="false" ht="18.65" hidden="false" customHeight="true" outlineLevel="0" collapsed="false">
      <c r="A1509" s="1" t="n">
        <f aca="false">ROW()-2</f>
        <v>1507</v>
      </c>
      <c r="B1509" s="1" t="n">
        <f aca="false">INT(A1509/$N$1)</f>
        <v>83</v>
      </c>
      <c r="C1509" s="1" t="n">
        <f aca="false">INT(MOD(A1509,$N$1) / 2)</f>
        <v>6</v>
      </c>
      <c r="D1509" s="1" t="n">
        <f aca="false">_xlfn.BITAND(A1509,1)</f>
        <v>1</v>
      </c>
      <c r="F1509" s="1" t="str">
        <f aca="false">DEC2HEX(B1509*$N$3*18)</f>
        <v>17580</v>
      </c>
      <c r="G1509" s="1" t="str">
        <f aca="false">DEC2HEX(C1509*7)</f>
        <v>2A</v>
      </c>
      <c r="H1509" s="1" t="str">
        <f aca="false">IF(D1509=0, 33, "cc")</f>
        <v>cc</v>
      </c>
    </row>
    <row r="1510" customFormat="false" ht="18.65" hidden="false" customHeight="true" outlineLevel="0" collapsed="false">
      <c r="A1510" s="1" t="n">
        <f aca="false">ROW()-2</f>
        <v>1508</v>
      </c>
      <c r="B1510" s="1" t="n">
        <f aca="false">INT(A1510/$N$1)</f>
        <v>83</v>
      </c>
      <c r="C1510" s="1" t="n">
        <f aca="false">INT(MOD(A1510,$N$1) / 2)</f>
        <v>7</v>
      </c>
      <c r="D1510" s="1" t="n">
        <f aca="false">_xlfn.BITAND(A1510,1)</f>
        <v>0</v>
      </c>
      <c r="F1510" s="1" t="str">
        <f aca="false">DEC2HEX(B1510*$N$3*18)</f>
        <v>17580</v>
      </c>
      <c r="G1510" s="1" t="str">
        <f aca="false">DEC2HEX(C1510*7)</f>
        <v>31</v>
      </c>
      <c r="H1510" s="1" t="n">
        <f aca="false">IF(D1510=0, 33, "cc")</f>
        <v>33</v>
      </c>
    </row>
    <row r="1511" customFormat="false" ht="18.65" hidden="false" customHeight="true" outlineLevel="0" collapsed="false">
      <c r="A1511" s="1" t="n">
        <f aca="false">ROW()-2</f>
        <v>1509</v>
      </c>
      <c r="B1511" s="1" t="n">
        <f aca="false">INT(A1511/$N$1)</f>
        <v>83</v>
      </c>
      <c r="C1511" s="1" t="n">
        <f aca="false">INT(MOD(A1511,$N$1) / 2)</f>
        <v>7</v>
      </c>
      <c r="D1511" s="1" t="n">
        <f aca="false">_xlfn.BITAND(A1511,1)</f>
        <v>1</v>
      </c>
      <c r="F1511" s="1" t="str">
        <f aca="false">DEC2HEX(B1511*$N$3*18)</f>
        <v>17580</v>
      </c>
      <c r="G1511" s="1" t="str">
        <f aca="false">DEC2HEX(C1511*7)</f>
        <v>31</v>
      </c>
      <c r="H1511" s="1" t="str">
        <f aca="false">IF(D1511=0, 33, "cc")</f>
        <v>cc</v>
      </c>
    </row>
    <row r="1512" customFormat="false" ht="18.65" hidden="false" customHeight="true" outlineLevel="0" collapsed="false">
      <c r="A1512" s="1" t="n">
        <f aca="false">ROW()-2</f>
        <v>1510</v>
      </c>
      <c r="B1512" s="1" t="n">
        <f aca="false">INT(A1512/$N$1)</f>
        <v>83</v>
      </c>
      <c r="C1512" s="1" t="n">
        <f aca="false">INT(MOD(A1512,$N$1) / 2)</f>
        <v>8</v>
      </c>
      <c r="D1512" s="1" t="n">
        <f aca="false">_xlfn.BITAND(A1512,1)</f>
        <v>0</v>
      </c>
      <c r="F1512" s="1" t="str">
        <f aca="false">DEC2HEX(B1512*$N$3*18)</f>
        <v>17580</v>
      </c>
      <c r="G1512" s="1" t="str">
        <f aca="false">DEC2HEX(C1512*7)</f>
        <v>38</v>
      </c>
      <c r="H1512" s="1" t="n">
        <f aca="false">IF(D1512=0, 33, "cc")</f>
        <v>33</v>
      </c>
    </row>
    <row r="1513" customFormat="false" ht="18.65" hidden="false" customHeight="true" outlineLevel="0" collapsed="false">
      <c r="A1513" s="1" t="n">
        <f aca="false">ROW()-2</f>
        <v>1511</v>
      </c>
      <c r="B1513" s="1" t="n">
        <f aca="false">INT(A1513/$N$1)</f>
        <v>83</v>
      </c>
      <c r="C1513" s="1" t="n">
        <f aca="false">INT(MOD(A1513,$N$1) / 2)</f>
        <v>8</v>
      </c>
      <c r="D1513" s="1" t="n">
        <f aca="false">_xlfn.BITAND(A1513,1)</f>
        <v>1</v>
      </c>
      <c r="F1513" s="1" t="str">
        <f aca="false">DEC2HEX(B1513*$N$3*18)</f>
        <v>17580</v>
      </c>
      <c r="G1513" s="1" t="str">
        <f aca="false">DEC2HEX(C1513*7)</f>
        <v>38</v>
      </c>
      <c r="H1513" s="1" t="str">
        <f aca="false">IF(D1513=0, 33, "cc")</f>
        <v>cc</v>
      </c>
    </row>
    <row r="1514" customFormat="false" ht="18.65" hidden="false" customHeight="true" outlineLevel="0" collapsed="false">
      <c r="A1514" s="1" t="n">
        <f aca="false">ROW()-2</f>
        <v>1512</v>
      </c>
      <c r="B1514" s="1" t="n">
        <f aca="false">INT(A1514/$N$1)</f>
        <v>84</v>
      </c>
      <c r="C1514" s="1" t="n">
        <f aca="false">INT(MOD(A1514,$N$1) / 2)</f>
        <v>0</v>
      </c>
      <c r="D1514" s="1" t="n">
        <f aca="false">_xlfn.BITAND(A1514,1)</f>
        <v>0</v>
      </c>
      <c r="F1514" s="1" t="str">
        <f aca="false">DEC2HEX(B1514*$N$3*18)</f>
        <v>17A00</v>
      </c>
      <c r="G1514" s="1" t="str">
        <f aca="false">DEC2HEX(C1514*7)</f>
        <v>0</v>
      </c>
      <c r="H1514" s="1" t="n">
        <f aca="false">IF(D1514=0, 33, "cc")</f>
        <v>33</v>
      </c>
    </row>
    <row r="1515" customFormat="false" ht="18.65" hidden="false" customHeight="true" outlineLevel="0" collapsed="false">
      <c r="A1515" s="1" t="n">
        <f aca="false">ROW()-2</f>
        <v>1513</v>
      </c>
      <c r="B1515" s="1" t="n">
        <f aca="false">INT(A1515/$N$1)</f>
        <v>84</v>
      </c>
      <c r="C1515" s="1" t="n">
        <f aca="false">INT(MOD(A1515,$N$1) / 2)</f>
        <v>0</v>
      </c>
      <c r="D1515" s="1" t="n">
        <f aca="false">_xlfn.BITAND(A1515,1)</f>
        <v>1</v>
      </c>
      <c r="F1515" s="1" t="str">
        <f aca="false">DEC2HEX(B1515*$N$3*18)</f>
        <v>17A00</v>
      </c>
      <c r="G1515" s="1" t="str">
        <f aca="false">DEC2HEX(C1515*7)</f>
        <v>0</v>
      </c>
      <c r="H1515" s="1" t="str">
        <f aca="false">IF(D1515=0, 33, "cc")</f>
        <v>cc</v>
      </c>
    </row>
    <row r="1516" customFormat="false" ht="18.65" hidden="false" customHeight="true" outlineLevel="0" collapsed="false">
      <c r="A1516" s="1" t="n">
        <f aca="false">ROW()-2</f>
        <v>1514</v>
      </c>
      <c r="B1516" s="1" t="n">
        <f aca="false">INT(A1516/$N$1)</f>
        <v>84</v>
      </c>
      <c r="C1516" s="1" t="n">
        <f aca="false">INT(MOD(A1516,$N$1) / 2)</f>
        <v>1</v>
      </c>
      <c r="D1516" s="1" t="n">
        <f aca="false">_xlfn.BITAND(A1516,1)</f>
        <v>0</v>
      </c>
      <c r="F1516" s="1" t="str">
        <f aca="false">DEC2HEX(B1516*$N$3*18)</f>
        <v>17A00</v>
      </c>
      <c r="G1516" s="1" t="str">
        <f aca="false">DEC2HEX(C1516*7)</f>
        <v>7</v>
      </c>
      <c r="H1516" s="1" t="n">
        <f aca="false">IF(D1516=0, 33, "cc")</f>
        <v>33</v>
      </c>
    </row>
    <row r="1517" customFormat="false" ht="18.65" hidden="false" customHeight="true" outlineLevel="0" collapsed="false">
      <c r="A1517" s="1" t="n">
        <f aca="false">ROW()-2</f>
        <v>1515</v>
      </c>
      <c r="B1517" s="1" t="n">
        <f aca="false">INT(A1517/$N$1)</f>
        <v>84</v>
      </c>
      <c r="C1517" s="1" t="n">
        <f aca="false">INT(MOD(A1517,$N$1) / 2)</f>
        <v>1</v>
      </c>
      <c r="D1517" s="1" t="n">
        <f aca="false">_xlfn.BITAND(A1517,1)</f>
        <v>1</v>
      </c>
      <c r="F1517" s="1" t="str">
        <f aca="false">DEC2HEX(B1517*$N$3*18)</f>
        <v>17A00</v>
      </c>
      <c r="G1517" s="1" t="str">
        <f aca="false">DEC2HEX(C1517*7)</f>
        <v>7</v>
      </c>
      <c r="H1517" s="1" t="str">
        <f aca="false">IF(D1517=0, 33, "cc")</f>
        <v>cc</v>
      </c>
    </row>
    <row r="1518" customFormat="false" ht="18.65" hidden="false" customHeight="true" outlineLevel="0" collapsed="false">
      <c r="A1518" s="1" t="n">
        <f aca="false">ROW()-2</f>
        <v>1516</v>
      </c>
      <c r="B1518" s="1" t="n">
        <f aca="false">INT(A1518/$N$1)</f>
        <v>84</v>
      </c>
      <c r="C1518" s="1" t="n">
        <f aca="false">INT(MOD(A1518,$N$1) / 2)</f>
        <v>2</v>
      </c>
      <c r="D1518" s="1" t="n">
        <f aca="false">_xlfn.BITAND(A1518,1)</f>
        <v>0</v>
      </c>
      <c r="F1518" s="1" t="str">
        <f aca="false">DEC2HEX(B1518*$N$3*18)</f>
        <v>17A00</v>
      </c>
      <c r="G1518" s="1" t="str">
        <f aca="false">DEC2HEX(C1518*7)</f>
        <v>E</v>
      </c>
      <c r="H1518" s="1" t="n">
        <f aca="false">IF(D1518=0, 33, "cc")</f>
        <v>33</v>
      </c>
    </row>
    <row r="1519" customFormat="false" ht="18.65" hidden="false" customHeight="true" outlineLevel="0" collapsed="false">
      <c r="A1519" s="1" t="n">
        <f aca="false">ROW()-2</f>
        <v>1517</v>
      </c>
      <c r="B1519" s="1" t="n">
        <f aca="false">INT(A1519/$N$1)</f>
        <v>84</v>
      </c>
      <c r="C1519" s="1" t="n">
        <f aca="false">INT(MOD(A1519,$N$1) / 2)</f>
        <v>2</v>
      </c>
      <c r="D1519" s="1" t="n">
        <f aca="false">_xlfn.BITAND(A1519,1)</f>
        <v>1</v>
      </c>
      <c r="F1519" s="1" t="str">
        <f aca="false">DEC2HEX(B1519*$N$3*18)</f>
        <v>17A00</v>
      </c>
      <c r="G1519" s="1" t="str">
        <f aca="false">DEC2HEX(C1519*7)</f>
        <v>E</v>
      </c>
      <c r="H1519" s="1" t="str">
        <f aca="false">IF(D1519=0, 33, "cc")</f>
        <v>cc</v>
      </c>
    </row>
    <row r="1520" customFormat="false" ht="18.65" hidden="false" customHeight="true" outlineLevel="0" collapsed="false">
      <c r="A1520" s="1" t="n">
        <f aca="false">ROW()-2</f>
        <v>1518</v>
      </c>
      <c r="B1520" s="1" t="n">
        <f aca="false">INT(A1520/$N$1)</f>
        <v>84</v>
      </c>
      <c r="C1520" s="1" t="n">
        <f aca="false">INT(MOD(A1520,$N$1) / 2)</f>
        <v>3</v>
      </c>
      <c r="D1520" s="1" t="n">
        <f aca="false">_xlfn.BITAND(A1520,1)</f>
        <v>0</v>
      </c>
      <c r="F1520" s="1" t="str">
        <f aca="false">DEC2HEX(B1520*$N$3*18)</f>
        <v>17A00</v>
      </c>
      <c r="G1520" s="1" t="str">
        <f aca="false">DEC2HEX(C1520*7)</f>
        <v>15</v>
      </c>
      <c r="H1520" s="1" t="n">
        <f aca="false">IF(D1520=0, 33, "cc")</f>
        <v>33</v>
      </c>
    </row>
    <row r="1521" customFormat="false" ht="18.65" hidden="false" customHeight="true" outlineLevel="0" collapsed="false">
      <c r="A1521" s="1" t="n">
        <f aca="false">ROW()-2</f>
        <v>1519</v>
      </c>
      <c r="B1521" s="1" t="n">
        <f aca="false">INT(A1521/$N$1)</f>
        <v>84</v>
      </c>
      <c r="C1521" s="1" t="n">
        <f aca="false">INT(MOD(A1521,$N$1) / 2)</f>
        <v>3</v>
      </c>
      <c r="D1521" s="1" t="n">
        <f aca="false">_xlfn.BITAND(A1521,1)</f>
        <v>1</v>
      </c>
      <c r="F1521" s="1" t="str">
        <f aca="false">DEC2HEX(B1521*$N$3*18)</f>
        <v>17A00</v>
      </c>
      <c r="G1521" s="1" t="str">
        <f aca="false">DEC2HEX(C1521*7)</f>
        <v>15</v>
      </c>
      <c r="H1521" s="1" t="str">
        <f aca="false">IF(D1521=0, 33, "cc")</f>
        <v>cc</v>
      </c>
    </row>
    <row r="1522" customFormat="false" ht="18.65" hidden="false" customHeight="true" outlineLevel="0" collapsed="false">
      <c r="A1522" s="1" t="n">
        <f aca="false">ROW()-2</f>
        <v>1520</v>
      </c>
      <c r="B1522" s="1" t="n">
        <f aca="false">INT(A1522/$N$1)</f>
        <v>84</v>
      </c>
      <c r="C1522" s="1" t="n">
        <f aca="false">INT(MOD(A1522,$N$1) / 2)</f>
        <v>4</v>
      </c>
      <c r="D1522" s="1" t="n">
        <f aca="false">_xlfn.BITAND(A1522,1)</f>
        <v>0</v>
      </c>
      <c r="F1522" s="1" t="str">
        <f aca="false">DEC2HEX(B1522*$N$3*18)</f>
        <v>17A00</v>
      </c>
      <c r="G1522" s="1" t="str">
        <f aca="false">DEC2HEX(C1522*7)</f>
        <v>1C</v>
      </c>
      <c r="H1522" s="1" t="n">
        <f aca="false">IF(D1522=0, 33, "cc")</f>
        <v>33</v>
      </c>
    </row>
    <row r="1523" customFormat="false" ht="18.65" hidden="false" customHeight="true" outlineLevel="0" collapsed="false">
      <c r="A1523" s="1" t="n">
        <f aca="false">ROW()-2</f>
        <v>1521</v>
      </c>
      <c r="B1523" s="1" t="n">
        <f aca="false">INT(A1523/$N$1)</f>
        <v>84</v>
      </c>
      <c r="C1523" s="1" t="n">
        <f aca="false">INT(MOD(A1523,$N$1) / 2)</f>
        <v>4</v>
      </c>
      <c r="D1523" s="1" t="n">
        <f aca="false">_xlfn.BITAND(A1523,1)</f>
        <v>1</v>
      </c>
      <c r="F1523" s="1" t="str">
        <f aca="false">DEC2HEX(B1523*$N$3*18)</f>
        <v>17A00</v>
      </c>
      <c r="G1523" s="1" t="str">
        <f aca="false">DEC2HEX(C1523*7)</f>
        <v>1C</v>
      </c>
      <c r="H1523" s="1" t="str">
        <f aca="false">IF(D1523=0, 33, "cc")</f>
        <v>cc</v>
      </c>
    </row>
    <row r="1524" customFormat="false" ht="18.65" hidden="false" customHeight="true" outlineLevel="0" collapsed="false">
      <c r="A1524" s="1" t="n">
        <f aca="false">ROW()-2</f>
        <v>1522</v>
      </c>
      <c r="B1524" s="1" t="n">
        <f aca="false">INT(A1524/$N$1)</f>
        <v>84</v>
      </c>
      <c r="C1524" s="1" t="n">
        <f aca="false">INT(MOD(A1524,$N$1) / 2)</f>
        <v>5</v>
      </c>
      <c r="D1524" s="1" t="n">
        <f aca="false">_xlfn.BITAND(A1524,1)</f>
        <v>0</v>
      </c>
      <c r="F1524" s="1" t="str">
        <f aca="false">DEC2HEX(B1524*$N$3*18)</f>
        <v>17A00</v>
      </c>
      <c r="G1524" s="1" t="str">
        <f aca="false">DEC2HEX(C1524*7)</f>
        <v>23</v>
      </c>
      <c r="H1524" s="1" t="n">
        <f aca="false">IF(D1524=0, 33, "cc")</f>
        <v>33</v>
      </c>
    </row>
    <row r="1525" customFormat="false" ht="18.65" hidden="false" customHeight="true" outlineLevel="0" collapsed="false">
      <c r="A1525" s="1" t="n">
        <f aca="false">ROW()-2</f>
        <v>1523</v>
      </c>
      <c r="B1525" s="1" t="n">
        <f aca="false">INT(A1525/$N$1)</f>
        <v>84</v>
      </c>
      <c r="C1525" s="1" t="n">
        <f aca="false">INT(MOD(A1525,$N$1) / 2)</f>
        <v>5</v>
      </c>
      <c r="D1525" s="1" t="n">
        <f aca="false">_xlfn.BITAND(A1525,1)</f>
        <v>1</v>
      </c>
      <c r="F1525" s="1" t="str">
        <f aca="false">DEC2HEX(B1525*$N$3*18)</f>
        <v>17A00</v>
      </c>
      <c r="G1525" s="1" t="str">
        <f aca="false">DEC2HEX(C1525*7)</f>
        <v>23</v>
      </c>
      <c r="H1525" s="1" t="str">
        <f aca="false">IF(D1525=0, 33, "cc")</f>
        <v>cc</v>
      </c>
    </row>
    <row r="1526" customFormat="false" ht="18.65" hidden="false" customHeight="true" outlineLevel="0" collapsed="false">
      <c r="A1526" s="1" t="n">
        <f aca="false">ROW()-2</f>
        <v>1524</v>
      </c>
      <c r="B1526" s="1" t="n">
        <f aca="false">INT(A1526/$N$1)</f>
        <v>84</v>
      </c>
      <c r="C1526" s="1" t="n">
        <f aca="false">INT(MOD(A1526,$N$1) / 2)</f>
        <v>6</v>
      </c>
      <c r="D1526" s="1" t="n">
        <f aca="false">_xlfn.BITAND(A1526,1)</f>
        <v>0</v>
      </c>
      <c r="F1526" s="1" t="str">
        <f aca="false">DEC2HEX(B1526*$N$3*18)</f>
        <v>17A00</v>
      </c>
      <c r="G1526" s="1" t="str">
        <f aca="false">DEC2HEX(C1526*7)</f>
        <v>2A</v>
      </c>
      <c r="H1526" s="1" t="n">
        <f aca="false">IF(D1526=0, 33, "cc")</f>
        <v>33</v>
      </c>
    </row>
    <row r="1527" customFormat="false" ht="18.65" hidden="false" customHeight="true" outlineLevel="0" collapsed="false">
      <c r="A1527" s="1" t="n">
        <f aca="false">ROW()-2</f>
        <v>1525</v>
      </c>
      <c r="B1527" s="1" t="n">
        <f aca="false">INT(A1527/$N$1)</f>
        <v>84</v>
      </c>
      <c r="C1527" s="1" t="n">
        <f aca="false">INT(MOD(A1527,$N$1) / 2)</f>
        <v>6</v>
      </c>
      <c r="D1527" s="1" t="n">
        <f aca="false">_xlfn.BITAND(A1527,1)</f>
        <v>1</v>
      </c>
      <c r="F1527" s="1" t="str">
        <f aca="false">DEC2HEX(B1527*$N$3*18)</f>
        <v>17A00</v>
      </c>
      <c r="G1527" s="1" t="str">
        <f aca="false">DEC2HEX(C1527*7)</f>
        <v>2A</v>
      </c>
      <c r="H1527" s="1" t="str">
        <f aca="false">IF(D1527=0, 33, "cc")</f>
        <v>cc</v>
      </c>
    </row>
    <row r="1528" customFormat="false" ht="18.65" hidden="false" customHeight="true" outlineLevel="0" collapsed="false">
      <c r="A1528" s="1" t="n">
        <f aca="false">ROW()-2</f>
        <v>1526</v>
      </c>
      <c r="B1528" s="1" t="n">
        <f aca="false">INT(A1528/$N$1)</f>
        <v>84</v>
      </c>
      <c r="C1528" s="1" t="n">
        <f aca="false">INT(MOD(A1528,$N$1) / 2)</f>
        <v>7</v>
      </c>
      <c r="D1528" s="1" t="n">
        <f aca="false">_xlfn.BITAND(A1528,1)</f>
        <v>0</v>
      </c>
      <c r="F1528" s="1" t="str">
        <f aca="false">DEC2HEX(B1528*$N$3*18)</f>
        <v>17A00</v>
      </c>
      <c r="G1528" s="1" t="str">
        <f aca="false">DEC2HEX(C1528*7)</f>
        <v>31</v>
      </c>
      <c r="H1528" s="1" t="n">
        <f aca="false">IF(D1528=0, 33, "cc")</f>
        <v>33</v>
      </c>
    </row>
    <row r="1529" customFormat="false" ht="18.65" hidden="false" customHeight="true" outlineLevel="0" collapsed="false">
      <c r="A1529" s="1" t="n">
        <f aca="false">ROW()-2</f>
        <v>1527</v>
      </c>
      <c r="B1529" s="1" t="n">
        <f aca="false">INT(A1529/$N$1)</f>
        <v>84</v>
      </c>
      <c r="C1529" s="1" t="n">
        <f aca="false">INT(MOD(A1529,$N$1) / 2)</f>
        <v>7</v>
      </c>
      <c r="D1529" s="1" t="n">
        <f aca="false">_xlfn.BITAND(A1529,1)</f>
        <v>1</v>
      </c>
      <c r="F1529" s="1" t="str">
        <f aca="false">DEC2HEX(B1529*$N$3*18)</f>
        <v>17A00</v>
      </c>
      <c r="G1529" s="1" t="str">
        <f aca="false">DEC2HEX(C1529*7)</f>
        <v>31</v>
      </c>
      <c r="H1529" s="1" t="str">
        <f aca="false">IF(D1529=0, 33, "cc")</f>
        <v>cc</v>
      </c>
    </row>
    <row r="1530" customFormat="false" ht="18.65" hidden="false" customHeight="true" outlineLevel="0" collapsed="false">
      <c r="A1530" s="1" t="n">
        <f aca="false">ROW()-2</f>
        <v>1528</v>
      </c>
      <c r="B1530" s="1" t="n">
        <f aca="false">INT(A1530/$N$1)</f>
        <v>84</v>
      </c>
      <c r="C1530" s="1" t="n">
        <f aca="false">INT(MOD(A1530,$N$1) / 2)</f>
        <v>8</v>
      </c>
      <c r="D1530" s="1" t="n">
        <f aca="false">_xlfn.BITAND(A1530,1)</f>
        <v>0</v>
      </c>
      <c r="F1530" s="1" t="str">
        <f aca="false">DEC2HEX(B1530*$N$3*18)</f>
        <v>17A00</v>
      </c>
      <c r="G1530" s="1" t="str">
        <f aca="false">DEC2HEX(C1530*7)</f>
        <v>38</v>
      </c>
      <c r="H1530" s="1" t="n">
        <f aca="false">IF(D1530=0, 33, "cc")</f>
        <v>33</v>
      </c>
    </row>
    <row r="1531" customFormat="false" ht="18.65" hidden="false" customHeight="true" outlineLevel="0" collapsed="false">
      <c r="A1531" s="1" t="n">
        <f aca="false">ROW()-2</f>
        <v>1529</v>
      </c>
      <c r="B1531" s="1" t="n">
        <f aca="false">INT(A1531/$N$1)</f>
        <v>84</v>
      </c>
      <c r="C1531" s="1" t="n">
        <f aca="false">INT(MOD(A1531,$N$1) / 2)</f>
        <v>8</v>
      </c>
      <c r="D1531" s="1" t="n">
        <f aca="false">_xlfn.BITAND(A1531,1)</f>
        <v>1</v>
      </c>
      <c r="F1531" s="1" t="str">
        <f aca="false">DEC2HEX(B1531*$N$3*18)</f>
        <v>17A00</v>
      </c>
      <c r="G1531" s="1" t="str">
        <f aca="false">DEC2HEX(C1531*7)</f>
        <v>38</v>
      </c>
      <c r="H1531" s="1" t="str">
        <f aca="false">IF(D1531=0, 33, "cc")</f>
        <v>cc</v>
      </c>
    </row>
    <row r="1532" customFormat="false" ht="18.65" hidden="false" customHeight="true" outlineLevel="0" collapsed="false">
      <c r="A1532" s="1" t="n">
        <f aca="false">ROW()-2</f>
        <v>1530</v>
      </c>
      <c r="B1532" s="1" t="n">
        <f aca="false">INT(A1532/$N$1)</f>
        <v>85</v>
      </c>
      <c r="C1532" s="1" t="n">
        <f aca="false">INT(MOD(A1532,$N$1) / 2)</f>
        <v>0</v>
      </c>
      <c r="D1532" s="1" t="n">
        <f aca="false">_xlfn.BITAND(A1532,1)</f>
        <v>0</v>
      </c>
      <c r="F1532" s="1" t="str">
        <f aca="false">DEC2HEX(B1532*$N$3*18)</f>
        <v>17E80</v>
      </c>
      <c r="G1532" s="1" t="str">
        <f aca="false">DEC2HEX(C1532*7)</f>
        <v>0</v>
      </c>
      <c r="H1532" s="1" t="n">
        <f aca="false">IF(D1532=0, 33, "cc")</f>
        <v>33</v>
      </c>
    </row>
    <row r="1533" customFormat="false" ht="18.65" hidden="false" customHeight="true" outlineLevel="0" collapsed="false">
      <c r="A1533" s="1" t="n">
        <f aca="false">ROW()-2</f>
        <v>1531</v>
      </c>
      <c r="B1533" s="1" t="n">
        <f aca="false">INT(A1533/$N$1)</f>
        <v>85</v>
      </c>
      <c r="C1533" s="1" t="n">
        <f aca="false">INT(MOD(A1533,$N$1) / 2)</f>
        <v>0</v>
      </c>
      <c r="D1533" s="1" t="n">
        <f aca="false">_xlfn.BITAND(A1533,1)</f>
        <v>1</v>
      </c>
      <c r="F1533" s="1" t="str">
        <f aca="false">DEC2HEX(B1533*$N$3*18)</f>
        <v>17E80</v>
      </c>
      <c r="G1533" s="1" t="str">
        <f aca="false">DEC2HEX(C1533*7)</f>
        <v>0</v>
      </c>
      <c r="H1533" s="1" t="str">
        <f aca="false">IF(D1533=0, 33, "cc")</f>
        <v>cc</v>
      </c>
    </row>
    <row r="1534" customFormat="false" ht="18.65" hidden="false" customHeight="true" outlineLevel="0" collapsed="false">
      <c r="A1534" s="1" t="n">
        <f aca="false">ROW()-2</f>
        <v>1532</v>
      </c>
      <c r="B1534" s="1" t="n">
        <f aca="false">INT(A1534/$N$1)</f>
        <v>85</v>
      </c>
      <c r="C1534" s="1" t="n">
        <f aca="false">INT(MOD(A1534,$N$1) / 2)</f>
        <v>1</v>
      </c>
      <c r="D1534" s="1" t="n">
        <f aca="false">_xlfn.BITAND(A1534,1)</f>
        <v>0</v>
      </c>
      <c r="F1534" s="1" t="str">
        <f aca="false">DEC2HEX(B1534*$N$3*18)</f>
        <v>17E80</v>
      </c>
      <c r="G1534" s="1" t="str">
        <f aca="false">DEC2HEX(C1534*7)</f>
        <v>7</v>
      </c>
      <c r="H1534" s="1" t="n">
        <f aca="false">IF(D1534=0, 33, "cc")</f>
        <v>33</v>
      </c>
    </row>
    <row r="1535" customFormat="false" ht="18.65" hidden="false" customHeight="true" outlineLevel="0" collapsed="false">
      <c r="A1535" s="1" t="n">
        <f aca="false">ROW()-2</f>
        <v>1533</v>
      </c>
      <c r="B1535" s="1" t="n">
        <f aca="false">INT(A1535/$N$1)</f>
        <v>85</v>
      </c>
      <c r="C1535" s="1" t="n">
        <f aca="false">INT(MOD(A1535,$N$1) / 2)</f>
        <v>1</v>
      </c>
      <c r="D1535" s="1" t="n">
        <f aca="false">_xlfn.BITAND(A1535,1)</f>
        <v>1</v>
      </c>
      <c r="F1535" s="1" t="str">
        <f aca="false">DEC2HEX(B1535*$N$3*18)</f>
        <v>17E80</v>
      </c>
      <c r="G1535" s="1" t="str">
        <f aca="false">DEC2HEX(C1535*7)</f>
        <v>7</v>
      </c>
      <c r="H1535" s="1" t="str">
        <f aca="false">IF(D1535=0, 33, "cc")</f>
        <v>cc</v>
      </c>
    </row>
    <row r="1536" customFormat="false" ht="18.65" hidden="false" customHeight="true" outlineLevel="0" collapsed="false">
      <c r="A1536" s="1" t="n">
        <f aca="false">ROW()-2</f>
        <v>1534</v>
      </c>
      <c r="B1536" s="1" t="n">
        <f aca="false">INT(A1536/$N$1)</f>
        <v>85</v>
      </c>
      <c r="C1536" s="1" t="n">
        <f aca="false">INT(MOD(A1536,$N$1) / 2)</f>
        <v>2</v>
      </c>
      <c r="D1536" s="1" t="n">
        <f aca="false">_xlfn.BITAND(A1536,1)</f>
        <v>0</v>
      </c>
      <c r="F1536" s="1" t="str">
        <f aca="false">DEC2HEX(B1536*$N$3*18)</f>
        <v>17E80</v>
      </c>
      <c r="G1536" s="1" t="str">
        <f aca="false">DEC2HEX(C1536*7)</f>
        <v>E</v>
      </c>
      <c r="H1536" s="1" t="n">
        <f aca="false">IF(D1536=0, 33, "cc")</f>
        <v>33</v>
      </c>
    </row>
    <row r="1537" customFormat="false" ht="18.65" hidden="false" customHeight="true" outlineLevel="0" collapsed="false">
      <c r="A1537" s="1" t="n">
        <f aca="false">ROW()-2</f>
        <v>1535</v>
      </c>
      <c r="B1537" s="1" t="n">
        <f aca="false">INT(A1537/$N$1)</f>
        <v>85</v>
      </c>
      <c r="C1537" s="1" t="n">
        <f aca="false">INT(MOD(A1537,$N$1) / 2)</f>
        <v>2</v>
      </c>
      <c r="D1537" s="1" t="n">
        <f aca="false">_xlfn.BITAND(A1537,1)</f>
        <v>1</v>
      </c>
      <c r="F1537" s="1" t="str">
        <f aca="false">DEC2HEX(B1537*$N$3*18)</f>
        <v>17E80</v>
      </c>
      <c r="G1537" s="1" t="str">
        <f aca="false">DEC2HEX(C1537*7)</f>
        <v>E</v>
      </c>
      <c r="H1537" s="1" t="str">
        <f aca="false">IF(D1537=0, 33, "cc")</f>
        <v>cc</v>
      </c>
    </row>
    <row r="1538" customFormat="false" ht="18.65" hidden="false" customHeight="true" outlineLevel="0" collapsed="false">
      <c r="A1538" s="1" t="n">
        <f aca="false">ROW()-2</f>
        <v>1536</v>
      </c>
      <c r="B1538" s="1" t="n">
        <f aca="false">INT(A1538/$N$1)</f>
        <v>85</v>
      </c>
      <c r="C1538" s="1" t="n">
        <f aca="false">INT(MOD(A1538,$N$1) / 2)</f>
        <v>3</v>
      </c>
      <c r="D1538" s="1" t="n">
        <f aca="false">_xlfn.BITAND(A1538,1)</f>
        <v>0</v>
      </c>
      <c r="F1538" s="1" t="str">
        <f aca="false">DEC2HEX(B1538*$N$3*18)</f>
        <v>17E80</v>
      </c>
      <c r="G1538" s="1" t="str">
        <f aca="false">DEC2HEX(C1538*7)</f>
        <v>15</v>
      </c>
      <c r="H1538" s="1" t="n">
        <f aca="false">IF(D1538=0, 33, "cc")</f>
        <v>33</v>
      </c>
    </row>
    <row r="1539" customFormat="false" ht="18.65" hidden="false" customHeight="true" outlineLevel="0" collapsed="false">
      <c r="A1539" s="1" t="n">
        <f aca="false">ROW()-2</f>
        <v>1537</v>
      </c>
      <c r="B1539" s="1" t="n">
        <f aca="false">INT(A1539/$N$1)</f>
        <v>85</v>
      </c>
      <c r="C1539" s="1" t="n">
        <f aca="false">INT(MOD(A1539,$N$1) / 2)</f>
        <v>3</v>
      </c>
      <c r="D1539" s="1" t="n">
        <f aca="false">_xlfn.BITAND(A1539,1)</f>
        <v>1</v>
      </c>
      <c r="F1539" s="1" t="str">
        <f aca="false">DEC2HEX(B1539*$N$3*18)</f>
        <v>17E80</v>
      </c>
      <c r="G1539" s="1" t="str">
        <f aca="false">DEC2HEX(C1539*7)</f>
        <v>15</v>
      </c>
      <c r="H1539" s="1" t="str">
        <f aca="false">IF(D1539=0, 33, "cc")</f>
        <v>cc</v>
      </c>
    </row>
    <row r="1540" customFormat="false" ht="18.65" hidden="false" customHeight="true" outlineLevel="0" collapsed="false">
      <c r="A1540" s="1" t="n">
        <f aca="false">ROW()-2</f>
        <v>1538</v>
      </c>
      <c r="B1540" s="1" t="n">
        <f aca="false">INT(A1540/$N$1)</f>
        <v>85</v>
      </c>
      <c r="C1540" s="1" t="n">
        <f aca="false">INT(MOD(A1540,$N$1) / 2)</f>
        <v>4</v>
      </c>
      <c r="D1540" s="1" t="n">
        <f aca="false">_xlfn.BITAND(A1540,1)</f>
        <v>0</v>
      </c>
      <c r="F1540" s="1" t="str">
        <f aca="false">DEC2HEX(B1540*$N$3*18)</f>
        <v>17E80</v>
      </c>
      <c r="G1540" s="1" t="str">
        <f aca="false">DEC2HEX(C1540*7)</f>
        <v>1C</v>
      </c>
      <c r="H1540" s="1" t="n">
        <f aca="false">IF(D1540=0, 33, "cc")</f>
        <v>33</v>
      </c>
    </row>
    <row r="1541" customFormat="false" ht="18.65" hidden="false" customHeight="true" outlineLevel="0" collapsed="false">
      <c r="A1541" s="1" t="n">
        <f aca="false">ROW()-2</f>
        <v>1539</v>
      </c>
      <c r="B1541" s="1" t="n">
        <f aca="false">INT(A1541/$N$1)</f>
        <v>85</v>
      </c>
      <c r="C1541" s="1" t="n">
        <f aca="false">INT(MOD(A1541,$N$1) / 2)</f>
        <v>4</v>
      </c>
      <c r="D1541" s="1" t="n">
        <f aca="false">_xlfn.BITAND(A1541,1)</f>
        <v>1</v>
      </c>
      <c r="F1541" s="1" t="str">
        <f aca="false">DEC2HEX(B1541*$N$3*18)</f>
        <v>17E80</v>
      </c>
      <c r="G1541" s="1" t="str">
        <f aca="false">DEC2HEX(C1541*7)</f>
        <v>1C</v>
      </c>
      <c r="H1541" s="1" t="str">
        <f aca="false">IF(D1541=0, 33, "cc")</f>
        <v>cc</v>
      </c>
    </row>
    <row r="1542" customFormat="false" ht="18.65" hidden="false" customHeight="true" outlineLevel="0" collapsed="false">
      <c r="A1542" s="1" t="n">
        <f aca="false">ROW()-2</f>
        <v>1540</v>
      </c>
      <c r="B1542" s="1" t="n">
        <f aca="false">INT(A1542/$N$1)</f>
        <v>85</v>
      </c>
      <c r="C1542" s="1" t="n">
        <f aca="false">INT(MOD(A1542,$N$1) / 2)</f>
        <v>5</v>
      </c>
      <c r="D1542" s="1" t="n">
        <f aca="false">_xlfn.BITAND(A1542,1)</f>
        <v>0</v>
      </c>
      <c r="F1542" s="1" t="str">
        <f aca="false">DEC2HEX(B1542*$N$3*18)</f>
        <v>17E80</v>
      </c>
      <c r="G1542" s="1" t="str">
        <f aca="false">DEC2HEX(C1542*7)</f>
        <v>23</v>
      </c>
      <c r="H1542" s="1" t="n">
        <f aca="false">IF(D1542=0, 33, "cc")</f>
        <v>33</v>
      </c>
    </row>
    <row r="1543" customFormat="false" ht="18.65" hidden="false" customHeight="true" outlineLevel="0" collapsed="false">
      <c r="A1543" s="1" t="n">
        <f aca="false">ROW()-2</f>
        <v>1541</v>
      </c>
      <c r="B1543" s="1" t="n">
        <f aca="false">INT(A1543/$N$1)</f>
        <v>85</v>
      </c>
      <c r="C1543" s="1" t="n">
        <f aca="false">INT(MOD(A1543,$N$1) / 2)</f>
        <v>5</v>
      </c>
      <c r="D1543" s="1" t="n">
        <f aca="false">_xlfn.BITAND(A1543,1)</f>
        <v>1</v>
      </c>
      <c r="F1543" s="1" t="str">
        <f aca="false">DEC2HEX(B1543*$N$3*18)</f>
        <v>17E80</v>
      </c>
      <c r="G1543" s="1" t="str">
        <f aca="false">DEC2HEX(C1543*7)</f>
        <v>23</v>
      </c>
      <c r="H1543" s="1" t="str">
        <f aca="false">IF(D1543=0, 33, "cc")</f>
        <v>cc</v>
      </c>
    </row>
    <row r="1544" customFormat="false" ht="18.65" hidden="false" customHeight="true" outlineLevel="0" collapsed="false">
      <c r="A1544" s="1" t="n">
        <f aca="false">ROW()-2</f>
        <v>1542</v>
      </c>
      <c r="B1544" s="1" t="n">
        <f aca="false">INT(A1544/$N$1)</f>
        <v>85</v>
      </c>
      <c r="C1544" s="1" t="n">
        <f aca="false">INT(MOD(A1544,$N$1) / 2)</f>
        <v>6</v>
      </c>
      <c r="D1544" s="1" t="n">
        <f aca="false">_xlfn.BITAND(A1544,1)</f>
        <v>0</v>
      </c>
      <c r="F1544" s="1" t="str">
        <f aca="false">DEC2HEX(B1544*$N$3*18)</f>
        <v>17E80</v>
      </c>
      <c r="G1544" s="1" t="str">
        <f aca="false">DEC2HEX(C1544*7)</f>
        <v>2A</v>
      </c>
      <c r="H1544" s="1" t="n">
        <f aca="false">IF(D1544=0, 33, "cc")</f>
        <v>33</v>
      </c>
    </row>
    <row r="1545" customFormat="false" ht="18.65" hidden="false" customHeight="true" outlineLevel="0" collapsed="false">
      <c r="A1545" s="1" t="n">
        <f aca="false">ROW()-2</f>
        <v>1543</v>
      </c>
      <c r="B1545" s="1" t="n">
        <f aca="false">INT(A1545/$N$1)</f>
        <v>85</v>
      </c>
      <c r="C1545" s="1" t="n">
        <f aca="false">INT(MOD(A1545,$N$1) / 2)</f>
        <v>6</v>
      </c>
      <c r="D1545" s="1" t="n">
        <f aca="false">_xlfn.BITAND(A1545,1)</f>
        <v>1</v>
      </c>
      <c r="F1545" s="1" t="str">
        <f aca="false">DEC2HEX(B1545*$N$3*18)</f>
        <v>17E80</v>
      </c>
      <c r="G1545" s="1" t="str">
        <f aca="false">DEC2HEX(C1545*7)</f>
        <v>2A</v>
      </c>
      <c r="H1545" s="1" t="str">
        <f aca="false">IF(D1545=0, 33, "cc")</f>
        <v>cc</v>
      </c>
    </row>
    <row r="1546" customFormat="false" ht="18.65" hidden="false" customHeight="true" outlineLevel="0" collapsed="false">
      <c r="A1546" s="1" t="n">
        <f aca="false">ROW()-2</f>
        <v>1544</v>
      </c>
      <c r="B1546" s="1" t="n">
        <f aca="false">INT(A1546/$N$1)</f>
        <v>85</v>
      </c>
      <c r="C1546" s="1" t="n">
        <f aca="false">INT(MOD(A1546,$N$1) / 2)</f>
        <v>7</v>
      </c>
      <c r="D1546" s="1" t="n">
        <f aca="false">_xlfn.BITAND(A1546,1)</f>
        <v>0</v>
      </c>
      <c r="F1546" s="1" t="str">
        <f aca="false">DEC2HEX(B1546*$N$3*18)</f>
        <v>17E80</v>
      </c>
      <c r="G1546" s="1" t="str">
        <f aca="false">DEC2HEX(C1546*7)</f>
        <v>31</v>
      </c>
      <c r="H1546" s="1" t="n">
        <f aca="false">IF(D1546=0, 33, "cc")</f>
        <v>33</v>
      </c>
    </row>
    <row r="1547" customFormat="false" ht="18.65" hidden="false" customHeight="true" outlineLevel="0" collapsed="false">
      <c r="A1547" s="1" t="n">
        <f aca="false">ROW()-2</f>
        <v>1545</v>
      </c>
      <c r="B1547" s="1" t="n">
        <f aca="false">INT(A1547/$N$1)</f>
        <v>85</v>
      </c>
      <c r="C1547" s="1" t="n">
        <f aca="false">INT(MOD(A1547,$N$1) / 2)</f>
        <v>7</v>
      </c>
      <c r="D1547" s="1" t="n">
        <f aca="false">_xlfn.BITAND(A1547,1)</f>
        <v>1</v>
      </c>
      <c r="F1547" s="1" t="str">
        <f aca="false">DEC2HEX(B1547*$N$3*18)</f>
        <v>17E80</v>
      </c>
      <c r="G1547" s="1" t="str">
        <f aca="false">DEC2HEX(C1547*7)</f>
        <v>31</v>
      </c>
      <c r="H1547" s="1" t="str">
        <f aca="false">IF(D1547=0, 33, "cc")</f>
        <v>cc</v>
      </c>
    </row>
    <row r="1548" customFormat="false" ht="18.65" hidden="false" customHeight="true" outlineLevel="0" collapsed="false">
      <c r="A1548" s="1" t="n">
        <f aca="false">ROW()-2</f>
        <v>1546</v>
      </c>
      <c r="B1548" s="1" t="n">
        <f aca="false">INT(A1548/$N$1)</f>
        <v>85</v>
      </c>
      <c r="C1548" s="1" t="n">
        <f aca="false">INT(MOD(A1548,$N$1) / 2)</f>
        <v>8</v>
      </c>
      <c r="D1548" s="1" t="n">
        <f aca="false">_xlfn.BITAND(A1548,1)</f>
        <v>0</v>
      </c>
      <c r="F1548" s="1" t="str">
        <f aca="false">DEC2HEX(B1548*$N$3*18)</f>
        <v>17E80</v>
      </c>
      <c r="G1548" s="1" t="str">
        <f aca="false">DEC2HEX(C1548*7)</f>
        <v>38</v>
      </c>
      <c r="H1548" s="1" t="n">
        <f aca="false">IF(D1548=0, 33, "cc")</f>
        <v>33</v>
      </c>
    </row>
    <row r="1549" customFormat="false" ht="18.65" hidden="false" customHeight="true" outlineLevel="0" collapsed="false">
      <c r="A1549" s="1" t="n">
        <f aca="false">ROW()-2</f>
        <v>1547</v>
      </c>
      <c r="B1549" s="1" t="n">
        <f aca="false">INT(A1549/$N$1)</f>
        <v>85</v>
      </c>
      <c r="C1549" s="1" t="n">
        <f aca="false">INT(MOD(A1549,$N$1) / 2)</f>
        <v>8</v>
      </c>
      <c r="D1549" s="1" t="n">
        <f aca="false">_xlfn.BITAND(A1549,1)</f>
        <v>1</v>
      </c>
      <c r="F1549" s="1" t="str">
        <f aca="false">DEC2HEX(B1549*$N$3*18)</f>
        <v>17E80</v>
      </c>
      <c r="G1549" s="1" t="str">
        <f aca="false">DEC2HEX(C1549*7)</f>
        <v>38</v>
      </c>
      <c r="H1549" s="1" t="str">
        <f aca="false">IF(D1549=0, 33, "cc")</f>
        <v>cc</v>
      </c>
    </row>
    <row r="1550" customFormat="false" ht="18.65" hidden="false" customHeight="true" outlineLevel="0" collapsed="false">
      <c r="A1550" s="1" t="n">
        <f aca="false">ROW()-2</f>
        <v>1548</v>
      </c>
      <c r="B1550" s="1" t="n">
        <f aca="false">INT(A1550/$N$1)</f>
        <v>86</v>
      </c>
      <c r="C1550" s="1" t="n">
        <f aca="false">INT(MOD(A1550,$N$1) / 2)</f>
        <v>0</v>
      </c>
      <c r="D1550" s="1" t="n">
        <f aca="false">_xlfn.BITAND(A1550,1)</f>
        <v>0</v>
      </c>
      <c r="F1550" s="1" t="str">
        <f aca="false">DEC2HEX(B1550*$N$3*18)</f>
        <v>18300</v>
      </c>
      <c r="G1550" s="1" t="str">
        <f aca="false">DEC2HEX(C1550*7)</f>
        <v>0</v>
      </c>
      <c r="H1550" s="1" t="n">
        <f aca="false">IF(D1550=0, 33, "cc")</f>
        <v>33</v>
      </c>
    </row>
    <row r="1551" customFormat="false" ht="18.65" hidden="false" customHeight="true" outlineLevel="0" collapsed="false">
      <c r="A1551" s="1" t="n">
        <f aca="false">ROW()-2</f>
        <v>1549</v>
      </c>
      <c r="B1551" s="1" t="n">
        <f aca="false">INT(A1551/$N$1)</f>
        <v>86</v>
      </c>
      <c r="C1551" s="1" t="n">
        <f aca="false">INT(MOD(A1551,$N$1) / 2)</f>
        <v>0</v>
      </c>
      <c r="D1551" s="1" t="n">
        <f aca="false">_xlfn.BITAND(A1551,1)</f>
        <v>1</v>
      </c>
      <c r="F1551" s="1" t="str">
        <f aca="false">DEC2HEX(B1551*$N$3*18)</f>
        <v>18300</v>
      </c>
      <c r="G1551" s="1" t="str">
        <f aca="false">DEC2HEX(C1551*7)</f>
        <v>0</v>
      </c>
      <c r="H1551" s="1" t="str">
        <f aca="false">IF(D1551=0, 33, "cc")</f>
        <v>cc</v>
      </c>
    </row>
    <row r="1552" customFormat="false" ht="18.65" hidden="false" customHeight="true" outlineLevel="0" collapsed="false">
      <c r="A1552" s="1" t="n">
        <f aca="false">ROW()-2</f>
        <v>1550</v>
      </c>
      <c r="B1552" s="1" t="n">
        <f aca="false">INT(A1552/$N$1)</f>
        <v>86</v>
      </c>
      <c r="C1552" s="1" t="n">
        <f aca="false">INT(MOD(A1552,$N$1) / 2)</f>
        <v>1</v>
      </c>
      <c r="D1552" s="1" t="n">
        <f aca="false">_xlfn.BITAND(A1552,1)</f>
        <v>0</v>
      </c>
      <c r="F1552" s="1" t="str">
        <f aca="false">DEC2HEX(B1552*$N$3*18)</f>
        <v>18300</v>
      </c>
      <c r="G1552" s="1" t="str">
        <f aca="false">DEC2HEX(C1552*7)</f>
        <v>7</v>
      </c>
      <c r="H1552" s="1" t="n">
        <f aca="false">IF(D1552=0, 33, "cc")</f>
        <v>33</v>
      </c>
    </row>
    <row r="1553" customFormat="false" ht="18.65" hidden="false" customHeight="true" outlineLevel="0" collapsed="false">
      <c r="A1553" s="1" t="n">
        <f aca="false">ROW()-2</f>
        <v>1551</v>
      </c>
      <c r="B1553" s="1" t="n">
        <f aca="false">INT(A1553/$N$1)</f>
        <v>86</v>
      </c>
      <c r="C1553" s="1" t="n">
        <f aca="false">INT(MOD(A1553,$N$1) / 2)</f>
        <v>1</v>
      </c>
      <c r="D1553" s="1" t="n">
        <f aca="false">_xlfn.BITAND(A1553,1)</f>
        <v>1</v>
      </c>
      <c r="F1553" s="1" t="str">
        <f aca="false">DEC2HEX(B1553*$N$3*18)</f>
        <v>18300</v>
      </c>
      <c r="G1553" s="1" t="str">
        <f aca="false">DEC2HEX(C1553*7)</f>
        <v>7</v>
      </c>
      <c r="H1553" s="1" t="str">
        <f aca="false">IF(D1553=0, 33, "cc")</f>
        <v>cc</v>
      </c>
    </row>
    <row r="1554" customFormat="false" ht="18.65" hidden="false" customHeight="true" outlineLevel="0" collapsed="false">
      <c r="A1554" s="1" t="n">
        <f aca="false">ROW()-2</f>
        <v>1552</v>
      </c>
      <c r="B1554" s="1" t="n">
        <f aca="false">INT(A1554/$N$1)</f>
        <v>86</v>
      </c>
      <c r="C1554" s="1" t="n">
        <f aca="false">INT(MOD(A1554,$N$1) / 2)</f>
        <v>2</v>
      </c>
      <c r="D1554" s="1" t="n">
        <f aca="false">_xlfn.BITAND(A1554,1)</f>
        <v>0</v>
      </c>
      <c r="F1554" s="1" t="str">
        <f aca="false">DEC2HEX(B1554*$N$3*18)</f>
        <v>18300</v>
      </c>
      <c r="G1554" s="1" t="str">
        <f aca="false">DEC2HEX(C1554*7)</f>
        <v>E</v>
      </c>
      <c r="H1554" s="1" t="n">
        <f aca="false">IF(D1554=0, 33, "cc")</f>
        <v>33</v>
      </c>
    </row>
    <row r="1555" customFormat="false" ht="18.65" hidden="false" customHeight="true" outlineLevel="0" collapsed="false">
      <c r="A1555" s="1" t="n">
        <f aca="false">ROW()-2</f>
        <v>1553</v>
      </c>
      <c r="B1555" s="1" t="n">
        <f aca="false">INT(A1555/$N$1)</f>
        <v>86</v>
      </c>
      <c r="C1555" s="1" t="n">
        <f aca="false">INT(MOD(A1555,$N$1) / 2)</f>
        <v>2</v>
      </c>
      <c r="D1555" s="1" t="n">
        <f aca="false">_xlfn.BITAND(A1555,1)</f>
        <v>1</v>
      </c>
      <c r="F1555" s="1" t="str">
        <f aca="false">DEC2HEX(B1555*$N$3*18)</f>
        <v>18300</v>
      </c>
      <c r="G1555" s="1" t="str">
        <f aca="false">DEC2HEX(C1555*7)</f>
        <v>E</v>
      </c>
      <c r="H1555" s="1" t="str">
        <f aca="false">IF(D1555=0, 33, "cc")</f>
        <v>cc</v>
      </c>
    </row>
    <row r="1556" customFormat="false" ht="18.65" hidden="false" customHeight="true" outlineLevel="0" collapsed="false">
      <c r="A1556" s="1" t="n">
        <f aca="false">ROW()-2</f>
        <v>1554</v>
      </c>
      <c r="B1556" s="1" t="n">
        <f aca="false">INT(A1556/$N$1)</f>
        <v>86</v>
      </c>
      <c r="C1556" s="1" t="n">
        <f aca="false">INT(MOD(A1556,$N$1) / 2)</f>
        <v>3</v>
      </c>
      <c r="D1556" s="1" t="n">
        <f aca="false">_xlfn.BITAND(A1556,1)</f>
        <v>0</v>
      </c>
      <c r="F1556" s="1" t="str">
        <f aca="false">DEC2HEX(B1556*$N$3*18)</f>
        <v>18300</v>
      </c>
      <c r="G1556" s="1" t="str">
        <f aca="false">DEC2HEX(C1556*7)</f>
        <v>15</v>
      </c>
      <c r="H1556" s="1" t="n">
        <f aca="false">IF(D1556=0, 33, "cc")</f>
        <v>33</v>
      </c>
    </row>
    <row r="1557" customFormat="false" ht="18.65" hidden="false" customHeight="true" outlineLevel="0" collapsed="false">
      <c r="A1557" s="1" t="n">
        <f aca="false">ROW()-2</f>
        <v>1555</v>
      </c>
      <c r="B1557" s="1" t="n">
        <f aca="false">INT(A1557/$N$1)</f>
        <v>86</v>
      </c>
      <c r="C1557" s="1" t="n">
        <f aca="false">INT(MOD(A1557,$N$1) / 2)</f>
        <v>3</v>
      </c>
      <c r="D1557" s="1" t="n">
        <f aca="false">_xlfn.BITAND(A1557,1)</f>
        <v>1</v>
      </c>
      <c r="F1557" s="1" t="str">
        <f aca="false">DEC2HEX(B1557*$N$3*18)</f>
        <v>18300</v>
      </c>
      <c r="G1557" s="1" t="str">
        <f aca="false">DEC2HEX(C1557*7)</f>
        <v>15</v>
      </c>
      <c r="H1557" s="1" t="str">
        <f aca="false">IF(D1557=0, 33, "cc")</f>
        <v>cc</v>
      </c>
    </row>
    <row r="1558" customFormat="false" ht="18.65" hidden="false" customHeight="true" outlineLevel="0" collapsed="false">
      <c r="A1558" s="1" t="n">
        <f aca="false">ROW()-2</f>
        <v>1556</v>
      </c>
      <c r="B1558" s="1" t="n">
        <f aca="false">INT(A1558/$N$1)</f>
        <v>86</v>
      </c>
      <c r="C1558" s="1" t="n">
        <f aca="false">INT(MOD(A1558,$N$1) / 2)</f>
        <v>4</v>
      </c>
      <c r="D1558" s="1" t="n">
        <f aca="false">_xlfn.BITAND(A1558,1)</f>
        <v>0</v>
      </c>
      <c r="F1558" s="1" t="str">
        <f aca="false">DEC2HEX(B1558*$N$3*18)</f>
        <v>18300</v>
      </c>
      <c r="G1558" s="1" t="str">
        <f aca="false">DEC2HEX(C1558*7)</f>
        <v>1C</v>
      </c>
      <c r="H1558" s="1" t="n">
        <f aca="false">IF(D1558=0, 33, "cc")</f>
        <v>33</v>
      </c>
    </row>
    <row r="1559" customFormat="false" ht="18.65" hidden="false" customHeight="true" outlineLevel="0" collapsed="false">
      <c r="A1559" s="1" t="n">
        <f aca="false">ROW()-2</f>
        <v>1557</v>
      </c>
      <c r="B1559" s="1" t="n">
        <f aca="false">INT(A1559/$N$1)</f>
        <v>86</v>
      </c>
      <c r="C1559" s="1" t="n">
        <f aca="false">INT(MOD(A1559,$N$1) / 2)</f>
        <v>4</v>
      </c>
      <c r="D1559" s="1" t="n">
        <f aca="false">_xlfn.BITAND(A1559,1)</f>
        <v>1</v>
      </c>
      <c r="F1559" s="1" t="str">
        <f aca="false">DEC2HEX(B1559*$N$3*18)</f>
        <v>18300</v>
      </c>
      <c r="G1559" s="1" t="str">
        <f aca="false">DEC2HEX(C1559*7)</f>
        <v>1C</v>
      </c>
      <c r="H1559" s="1" t="str">
        <f aca="false">IF(D1559=0, 33, "cc")</f>
        <v>cc</v>
      </c>
    </row>
    <row r="1560" customFormat="false" ht="18.65" hidden="false" customHeight="true" outlineLevel="0" collapsed="false">
      <c r="A1560" s="1" t="n">
        <f aca="false">ROW()-2</f>
        <v>1558</v>
      </c>
      <c r="B1560" s="1" t="n">
        <f aca="false">INT(A1560/$N$1)</f>
        <v>86</v>
      </c>
      <c r="C1560" s="1" t="n">
        <f aca="false">INT(MOD(A1560,$N$1) / 2)</f>
        <v>5</v>
      </c>
      <c r="D1560" s="1" t="n">
        <f aca="false">_xlfn.BITAND(A1560,1)</f>
        <v>0</v>
      </c>
      <c r="F1560" s="1" t="str">
        <f aca="false">DEC2HEX(B1560*$N$3*18)</f>
        <v>18300</v>
      </c>
      <c r="G1560" s="1" t="str">
        <f aca="false">DEC2HEX(C1560*7)</f>
        <v>23</v>
      </c>
      <c r="H1560" s="1" t="n">
        <f aca="false">IF(D1560=0, 33, "cc")</f>
        <v>33</v>
      </c>
    </row>
    <row r="1561" customFormat="false" ht="18.65" hidden="false" customHeight="true" outlineLevel="0" collapsed="false">
      <c r="A1561" s="1" t="n">
        <f aca="false">ROW()-2</f>
        <v>1559</v>
      </c>
      <c r="B1561" s="1" t="n">
        <f aca="false">INT(A1561/$N$1)</f>
        <v>86</v>
      </c>
      <c r="C1561" s="1" t="n">
        <f aca="false">INT(MOD(A1561,$N$1) / 2)</f>
        <v>5</v>
      </c>
      <c r="D1561" s="1" t="n">
        <f aca="false">_xlfn.BITAND(A1561,1)</f>
        <v>1</v>
      </c>
      <c r="F1561" s="1" t="str">
        <f aca="false">DEC2HEX(B1561*$N$3*18)</f>
        <v>18300</v>
      </c>
      <c r="G1561" s="1" t="str">
        <f aca="false">DEC2HEX(C1561*7)</f>
        <v>23</v>
      </c>
      <c r="H1561" s="1" t="str">
        <f aca="false">IF(D1561=0, 33, "cc")</f>
        <v>cc</v>
      </c>
    </row>
    <row r="1562" customFormat="false" ht="18.65" hidden="false" customHeight="true" outlineLevel="0" collapsed="false">
      <c r="A1562" s="1" t="n">
        <f aca="false">ROW()-2</f>
        <v>1560</v>
      </c>
      <c r="B1562" s="1" t="n">
        <f aca="false">INT(A1562/$N$1)</f>
        <v>86</v>
      </c>
      <c r="C1562" s="1" t="n">
        <f aca="false">INT(MOD(A1562,$N$1) / 2)</f>
        <v>6</v>
      </c>
      <c r="D1562" s="1" t="n">
        <f aca="false">_xlfn.BITAND(A1562,1)</f>
        <v>0</v>
      </c>
      <c r="F1562" s="1" t="str">
        <f aca="false">DEC2HEX(B1562*$N$3*18)</f>
        <v>18300</v>
      </c>
      <c r="G1562" s="1" t="str">
        <f aca="false">DEC2HEX(C1562*7)</f>
        <v>2A</v>
      </c>
      <c r="H1562" s="1" t="n">
        <f aca="false">IF(D1562=0, 33, "cc")</f>
        <v>33</v>
      </c>
    </row>
    <row r="1563" customFormat="false" ht="18.65" hidden="false" customHeight="true" outlineLevel="0" collapsed="false">
      <c r="A1563" s="1" t="n">
        <f aca="false">ROW()-2</f>
        <v>1561</v>
      </c>
      <c r="B1563" s="1" t="n">
        <f aca="false">INT(A1563/$N$1)</f>
        <v>86</v>
      </c>
      <c r="C1563" s="1" t="n">
        <f aca="false">INT(MOD(A1563,$N$1) / 2)</f>
        <v>6</v>
      </c>
      <c r="D1563" s="1" t="n">
        <f aca="false">_xlfn.BITAND(A1563,1)</f>
        <v>1</v>
      </c>
      <c r="F1563" s="1" t="str">
        <f aca="false">DEC2HEX(B1563*$N$3*18)</f>
        <v>18300</v>
      </c>
      <c r="G1563" s="1" t="str">
        <f aca="false">DEC2HEX(C1563*7)</f>
        <v>2A</v>
      </c>
      <c r="H1563" s="1" t="str">
        <f aca="false">IF(D1563=0, 33, "cc")</f>
        <v>cc</v>
      </c>
    </row>
    <row r="1564" customFormat="false" ht="18.65" hidden="false" customHeight="true" outlineLevel="0" collapsed="false">
      <c r="A1564" s="1" t="n">
        <f aca="false">ROW()-2</f>
        <v>1562</v>
      </c>
      <c r="B1564" s="1" t="n">
        <f aca="false">INT(A1564/$N$1)</f>
        <v>86</v>
      </c>
      <c r="C1564" s="1" t="n">
        <f aca="false">INT(MOD(A1564,$N$1) / 2)</f>
        <v>7</v>
      </c>
      <c r="D1564" s="1" t="n">
        <f aca="false">_xlfn.BITAND(A1564,1)</f>
        <v>0</v>
      </c>
      <c r="F1564" s="1" t="str">
        <f aca="false">DEC2HEX(B1564*$N$3*18)</f>
        <v>18300</v>
      </c>
      <c r="G1564" s="1" t="str">
        <f aca="false">DEC2HEX(C1564*7)</f>
        <v>31</v>
      </c>
      <c r="H1564" s="1" t="n">
        <f aca="false">IF(D1564=0, 33, "cc")</f>
        <v>33</v>
      </c>
    </row>
    <row r="1565" customFormat="false" ht="18.65" hidden="false" customHeight="true" outlineLevel="0" collapsed="false">
      <c r="A1565" s="1" t="n">
        <f aca="false">ROW()-2</f>
        <v>1563</v>
      </c>
      <c r="B1565" s="1" t="n">
        <f aca="false">INT(A1565/$N$1)</f>
        <v>86</v>
      </c>
      <c r="C1565" s="1" t="n">
        <f aca="false">INT(MOD(A1565,$N$1) / 2)</f>
        <v>7</v>
      </c>
      <c r="D1565" s="1" t="n">
        <f aca="false">_xlfn.BITAND(A1565,1)</f>
        <v>1</v>
      </c>
      <c r="F1565" s="1" t="str">
        <f aca="false">DEC2HEX(B1565*$N$3*18)</f>
        <v>18300</v>
      </c>
      <c r="G1565" s="1" t="str">
        <f aca="false">DEC2HEX(C1565*7)</f>
        <v>31</v>
      </c>
      <c r="H1565" s="1" t="str">
        <f aca="false">IF(D1565=0, 33, "cc")</f>
        <v>cc</v>
      </c>
    </row>
    <row r="1566" customFormat="false" ht="18.65" hidden="false" customHeight="true" outlineLevel="0" collapsed="false">
      <c r="A1566" s="1" t="n">
        <f aca="false">ROW()-2</f>
        <v>1564</v>
      </c>
      <c r="B1566" s="1" t="n">
        <f aca="false">INT(A1566/$N$1)</f>
        <v>86</v>
      </c>
      <c r="C1566" s="1" t="n">
        <f aca="false">INT(MOD(A1566,$N$1) / 2)</f>
        <v>8</v>
      </c>
      <c r="D1566" s="1" t="n">
        <f aca="false">_xlfn.BITAND(A1566,1)</f>
        <v>0</v>
      </c>
      <c r="F1566" s="1" t="str">
        <f aca="false">DEC2HEX(B1566*$N$3*18)</f>
        <v>18300</v>
      </c>
      <c r="G1566" s="1" t="str">
        <f aca="false">DEC2HEX(C1566*7)</f>
        <v>38</v>
      </c>
      <c r="H1566" s="1" t="n">
        <f aca="false">IF(D1566=0, 33, "cc")</f>
        <v>33</v>
      </c>
    </row>
    <row r="1567" customFormat="false" ht="18.65" hidden="false" customHeight="true" outlineLevel="0" collapsed="false">
      <c r="A1567" s="1" t="n">
        <f aca="false">ROW()-2</f>
        <v>1565</v>
      </c>
      <c r="B1567" s="1" t="n">
        <f aca="false">INT(A1567/$N$1)</f>
        <v>86</v>
      </c>
      <c r="C1567" s="1" t="n">
        <f aca="false">INT(MOD(A1567,$N$1) / 2)</f>
        <v>8</v>
      </c>
      <c r="D1567" s="1" t="n">
        <f aca="false">_xlfn.BITAND(A1567,1)</f>
        <v>1</v>
      </c>
      <c r="F1567" s="1" t="str">
        <f aca="false">DEC2HEX(B1567*$N$3*18)</f>
        <v>18300</v>
      </c>
      <c r="G1567" s="1" t="str">
        <f aca="false">DEC2HEX(C1567*7)</f>
        <v>38</v>
      </c>
      <c r="H1567" s="1" t="str">
        <f aca="false">IF(D1567=0, 33, "cc")</f>
        <v>cc</v>
      </c>
    </row>
    <row r="1568" customFormat="false" ht="18.65" hidden="false" customHeight="true" outlineLevel="0" collapsed="false">
      <c r="A1568" s="1" t="n">
        <f aca="false">ROW()-2</f>
        <v>1566</v>
      </c>
      <c r="B1568" s="1" t="n">
        <f aca="false">INT(A1568/$N$1)</f>
        <v>87</v>
      </c>
      <c r="C1568" s="1" t="n">
        <f aca="false">INT(MOD(A1568,$N$1) / 2)</f>
        <v>0</v>
      </c>
      <c r="D1568" s="1" t="n">
        <f aca="false">_xlfn.BITAND(A1568,1)</f>
        <v>0</v>
      </c>
      <c r="F1568" s="1" t="str">
        <f aca="false">DEC2HEX(B1568*$N$3*18)</f>
        <v>18780</v>
      </c>
      <c r="G1568" s="1" t="str">
        <f aca="false">DEC2HEX(C1568*7)</f>
        <v>0</v>
      </c>
      <c r="H1568" s="1" t="n">
        <f aca="false">IF(D1568=0, 33, "cc")</f>
        <v>33</v>
      </c>
    </row>
    <row r="1569" customFormat="false" ht="18.65" hidden="false" customHeight="true" outlineLevel="0" collapsed="false">
      <c r="A1569" s="1" t="n">
        <f aca="false">ROW()-2</f>
        <v>1567</v>
      </c>
      <c r="B1569" s="1" t="n">
        <f aca="false">INT(A1569/$N$1)</f>
        <v>87</v>
      </c>
      <c r="C1569" s="1" t="n">
        <f aca="false">INT(MOD(A1569,$N$1) / 2)</f>
        <v>0</v>
      </c>
      <c r="D1569" s="1" t="n">
        <f aca="false">_xlfn.BITAND(A1569,1)</f>
        <v>1</v>
      </c>
      <c r="F1569" s="1" t="str">
        <f aca="false">DEC2HEX(B1569*$N$3*18)</f>
        <v>18780</v>
      </c>
      <c r="G1569" s="1" t="str">
        <f aca="false">DEC2HEX(C1569*7)</f>
        <v>0</v>
      </c>
      <c r="H1569" s="1" t="str">
        <f aca="false">IF(D1569=0, 33, "cc")</f>
        <v>cc</v>
      </c>
    </row>
    <row r="1570" customFormat="false" ht="18.65" hidden="false" customHeight="true" outlineLevel="0" collapsed="false">
      <c r="A1570" s="1" t="n">
        <f aca="false">ROW()-2</f>
        <v>1568</v>
      </c>
      <c r="B1570" s="1" t="n">
        <f aca="false">INT(A1570/$N$1)</f>
        <v>87</v>
      </c>
      <c r="C1570" s="1" t="n">
        <f aca="false">INT(MOD(A1570,$N$1) / 2)</f>
        <v>1</v>
      </c>
      <c r="D1570" s="1" t="n">
        <f aca="false">_xlfn.BITAND(A1570,1)</f>
        <v>0</v>
      </c>
      <c r="F1570" s="1" t="str">
        <f aca="false">DEC2HEX(B1570*$N$3*18)</f>
        <v>18780</v>
      </c>
      <c r="G1570" s="1" t="str">
        <f aca="false">DEC2HEX(C1570*7)</f>
        <v>7</v>
      </c>
      <c r="H1570" s="1" t="n">
        <f aca="false">IF(D1570=0, 33, "cc")</f>
        <v>33</v>
      </c>
    </row>
    <row r="1571" customFormat="false" ht="18.65" hidden="false" customHeight="true" outlineLevel="0" collapsed="false">
      <c r="A1571" s="1" t="n">
        <f aca="false">ROW()-2</f>
        <v>1569</v>
      </c>
      <c r="B1571" s="1" t="n">
        <f aca="false">INT(A1571/$N$1)</f>
        <v>87</v>
      </c>
      <c r="C1571" s="1" t="n">
        <f aca="false">INT(MOD(A1571,$N$1) / 2)</f>
        <v>1</v>
      </c>
      <c r="D1571" s="1" t="n">
        <f aca="false">_xlfn.BITAND(A1571,1)</f>
        <v>1</v>
      </c>
      <c r="F1571" s="1" t="str">
        <f aca="false">DEC2HEX(B1571*$N$3*18)</f>
        <v>18780</v>
      </c>
      <c r="G1571" s="1" t="str">
        <f aca="false">DEC2HEX(C1571*7)</f>
        <v>7</v>
      </c>
      <c r="H1571" s="1" t="str">
        <f aca="false">IF(D1571=0, 33, "cc")</f>
        <v>cc</v>
      </c>
    </row>
    <row r="1572" customFormat="false" ht="18.65" hidden="false" customHeight="true" outlineLevel="0" collapsed="false">
      <c r="A1572" s="1" t="n">
        <f aca="false">ROW()-2</f>
        <v>1570</v>
      </c>
      <c r="B1572" s="1" t="n">
        <f aca="false">INT(A1572/$N$1)</f>
        <v>87</v>
      </c>
      <c r="C1572" s="1" t="n">
        <f aca="false">INT(MOD(A1572,$N$1) / 2)</f>
        <v>2</v>
      </c>
      <c r="D1572" s="1" t="n">
        <f aca="false">_xlfn.BITAND(A1572,1)</f>
        <v>0</v>
      </c>
      <c r="F1572" s="1" t="str">
        <f aca="false">DEC2HEX(B1572*$N$3*18)</f>
        <v>18780</v>
      </c>
      <c r="G1572" s="1" t="str">
        <f aca="false">DEC2HEX(C1572*7)</f>
        <v>E</v>
      </c>
      <c r="H1572" s="1" t="n">
        <f aca="false">IF(D1572=0, 33, "cc")</f>
        <v>33</v>
      </c>
    </row>
    <row r="1573" customFormat="false" ht="18.65" hidden="false" customHeight="true" outlineLevel="0" collapsed="false">
      <c r="A1573" s="1" t="n">
        <f aca="false">ROW()-2</f>
        <v>1571</v>
      </c>
      <c r="B1573" s="1" t="n">
        <f aca="false">INT(A1573/$N$1)</f>
        <v>87</v>
      </c>
      <c r="C1573" s="1" t="n">
        <f aca="false">INT(MOD(A1573,$N$1) / 2)</f>
        <v>2</v>
      </c>
      <c r="D1573" s="1" t="n">
        <f aca="false">_xlfn.BITAND(A1573,1)</f>
        <v>1</v>
      </c>
      <c r="F1573" s="1" t="str">
        <f aca="false">DEC2HEX(B1573*$N$3*18)</f>
        <v>18780</v>
      </c>
      <c r="G1573" s="1" t="str">
        <f aca="false">DEC2HEX(C1573*7)</f>
        <v>E</v>
      </c>
      <c r="H1573" s="1" t="str">
        <f aca="false">IF(D1573=0, 33, "cc")</f>
        <v>cc</v>
      </c>
    </row>
    <row r="1574" customFormat="false" ht="18.65" hidden="false" customHeight="true" outlineLevel="0" collapsed="false">
      <c r="A1574" s="1" t="n">
        <f aca="false">ROW()-2</f>
        <v>1572</v>
      </c>
      <c r="B1574" s="1" t="n">
        <f aca="false">INT(A1574/$N$1)</f>
        <v>87</v>
      </c>
      <c r="C1574" s="1" t="n">
        <f aca="false">INT(MOD(A1574,$N$1) / 2)</f>
        <v>3</v>
      </c>
      <c r="D1574" s="1" t="n">
        <f aca="false">_xlfn.BITAND(A1574,1)</f>
        <v>0</v>
      </c>
      <c r="F1574" s="1" t="str">
        <f aca="false">DEC2HEX(B1574*$N$3*18)</f>
        <v>18780</v>
      </c>
      <c r="G1574" s="1" t="str">
        <f aca="false">DEC2HEX(C1574*7)</f>
        <v>15</v>
      </c>
      <c r="H1574" s="1" t="n">
        <f aca="false">IF(D1574=0, 33, "cc")</f>
        <v>33</v>
      </c>
    </row>
    <row r="1575" customFormat="false" ht="18.65" hidden="false" customHeight="true" outlineLevel="0" collapsed="false">
      <c r="A1575" s="1" t="n">
        <f aca="false">ROW()-2</f>
        <v>1573</v>
      </c>
      <c r="B1575" s="1" t="n">
        <f aca="false">INT(A1575/$N$1)</f>
        <v>87</v>
      </c>
      <c r="C1575" s="1" t="n">
        <f aca="false">INT(MOD(A1575,$N$1) / 2)</f>
        <v>3</v>
      </c>
      <c r="D1575" s="1" t="n">
        <f aca="false">_xlfn.BITAND(A1575,1)</f>
        <v>1</v>
      </c>
      <c r="F1575" s="1" t="str">
        <f aca="false">DEC2HEX(B1575*$N$3*18)</f>
        <v>18780</v>
      </c>
      <c r="G1575" s="1" t="str">
        <f aca="false">DEC2HEX(C1575*7)</f>
        <v>15</v>
      </c>
      <c r="H1575" s="1" t="str">
        <f aca="false">IF(D1575=0, 33, "cc")</f>
        <v>cc</v>
      </c>
    </row>
    <row r="1576" customFormat="false" ht="18.65" hidden="false" customHeight="true" outlineLevel="0" collapsed="false">
      <c r="A1576" s="1" t="n">
        <f aca="false">ROW()-2</f>
        <v>1574</v>
      </c>
      <c r="B1576" s="1" t="n">
        <f aca="false">INT(A1576/$N$1)</f>
        <v>87</v>
      </c>
      <c r="C1576" s="1" t="n">
        <f aca="false">INT(MOD(A1576,$N$1) / 2)</f>
        <v>4</v>
      </c>
      <c r="D1576" s="1" t="n">
        <f aca="false">_xlfn.BITAND(A1576,1)</f>
        <v>0</v>
      </c>
      <c r="F1576" s="1" t="str">
        <f aca="false">DEC2HEX(B1576*$N$3*18)</f>
        <v>18780</v>
      </c>
      <c r="G1576" s="1" t="str">
        <f aca="false">DEC2HEX(C1576*7)</f>
        <v>1C</v>
      </c>
      <c r="H1576" s="1" t="n">
        <f aca="false">IF(D1576=0, 33, "cc")</f>
        <v>33</v>
      </c>
    </row>
    <row r="1577" customFormat="false" ht="18.65" hidden="false" customHeight="true" outlineLevel="0" collapsed="false">
      <c r="A1577" s="1" t="n">
        <f aca="false">ROW()-2</f>
        <v>1575</v>
      </c>
      <c r="B1577" s="1" t="n">
        <f aca="false">INT(A1577/$N$1)</f>
        <v>87</v>
      </c>
      <c r="C1577" s="1" t="n">
        <f aca="false">INT(MOD(A1577,$N$1) / 2)</f>
        <v>4</v>
      </c>
      <c r="D1577" s="1" t="n">
        <f aca="false">_xlfn.BITAND(A1577,1)</f>
        <v>1</v>
      </c>
      <c r="F1577" s="1" t="str">
        <f aca="false">DEC2HEX(B1577*$N$3*18)</f>
        <v>18780</v>
      </c>
      <c r="G1577" s="1" t="str">
        <f aca="false">DEC2HEX(C1577*7)</f>
        <v>1C</v>
      </c>
      <c r="H1577" s="1" t="str">
        <f aca="false">IF(D1577=0, 33, "cc")</f>
        <v>cc</v>
      </c>
    </row>
    <row r="1578" customFormat="false" ht="18.65" hidden="false" customHeight="true" outlineLevel="0" collapsed="false">
      <c r="A1578" s="1" t="n">
        <f aca="false">ROW()-2</f>
        <v>1576</v>
      </c>
      <c r="B1578" s="1" t="n">
        <f aca="false">INT(A1578/$N$1)</f>
        <v>87</v>
      </c>
      <c r="C1578" s="1" t="n">
        <f aca="false">INT(MOD(A1578,$N$1) / 2)</f>
        <v>5</v>
      </c>
      <c r="D1578" s="1" t="n">
        <f aca="false">_xlfn.BITAND(A1578,1)</f>
        <v>0</v>
      </c>
      <c r="F1578" s="1" t="str">
        <f aca="false">DEC2HEX(B1578*$N$3*18)</f>
        <v>18780</v>
      </c>
      <c r="G1578" s="1" t="str">
        <f aca="false">DEC2HEX(C1578*7)</f>
        <v>23</v>
      </c>
      <c r="H1578" s="1" t="n">
        <f aca="false">IF(D1578=0, 33, "cc")</f>
        <v>33</v>
      </c>
    </row>
    <row r="1579" customFormat="false" ht="18.65" hidden="false" customHeight="true" outlineLevel="0" collapsed="false">
      <c r="A1579" s="1" t="n">
        <f aca="false">ROW()-2</f>
        <v>1577</v>
      </c>
      <c r="B1579" s="1" t="n">
        <f aca="false">INT(A1579/$N$1)</f>
        <v>87</v>
      </c>
      <c r="C1579" s="1" t="n">
        <f aca="false">INT(MOD(A1579,$N$1) / 2)</f>
        <v>5</v>
      </c>
      <c r="D1579" s="1" t="n">
        <f aca="false">_xlfn.BITAND(A1579,1)</f>
        <v>1</v>
      </c>
      <c r="F1579" s="1" t="str">
        <f aca="false">DEC2HEX(B1579*$N$3*18)</f>
        <v>18780</v>
      </c>
      <c r="G1579" s="1" t="str">
        <f aca="false">DEC2HEX(C1579*7)</f>
        <v>23</v>
      </c>
      <c r="H1579" s="1" t="str">
        <f aca="false">IF(D1579=0, 33, "cc")</f>
        <v>cc</v>
      </c>
    </row>
    <row r="1580" customFormat="false" ht="18.65" hidden="false" customHeight="true" outlineLevel="0" collapsed="false">
      <c r="A1580" s="1" t="n">
        <f aca="false">ROW()-2</f>
        <v>1578</v>
      </c>
      <c r="B1580" s="1" t="n">
        <f aca="false">INT(A1580/$N$1)</f>
        <v>87</v>
      </c>
      <c r="C1580" s="1" t="n">
        <f aca="false">INT(MOD(A1580,$N$1) / 2)</f>
        <v>6</v>
      </c>
      <c r="D1580" s="1" t="n">
        <f aca="false">_xlfn.BITAND(A1580,1)</f>
        <v>0</v>
      </c>
      <c r="F1580" s="1" t="str">
        <f aca="false">DEC2HEX(B1580*$N$3*18)</f>
        <v>18780</v>
      </c>
      <c r="G1580" s="1" t="str">
        <f aca="false">DEC2HEX(C1580*7)</f>
        <v>2A</v>
      </c>
      <c r="H1580" s="1" t="n">
        <f aca="false">IF(D1580=0, 33, "cc")</f>
        <v>33</v>
      </c>
    </row>
    <row r="1581" customFormat="false" ht="18.65" hidden="false" customHeight="true" outlineLevel="0" collapsed="false">
      <c r="A1581" s="1" t="n">
        <f aca="false">ROW()-2</f>
        <v>1579</v>
      </c>
      <c r="B1581" s="1" t="n">
        <f aca="false">INT(A1581/$N$1)</f>
        <v>87</v>
      </c>
      <c r="C1581" s="1" t="n">
        <f aca="false">INT(MOD(A1581,$N$1) / 2)</f>
        <v>6</v>
      </c>
      <c r="D1581" s="1" t="n">
        <f aca="false">_xlfn.BITAND(A1581,1)</f>
        <v>1</v>
      </c>
      <c r="F1581" s="1" t="str">
        <f aca="false">DEC2HEX(B1581*$N$3*18)</f>
        <v>18780</v>
      </c>
      <c r="G1581" s="1" t="str">
        <f aca="false">DEC2HEX(C1581*7)</f>
        <v>2A</v>
      </c>
      <c r="H1581" s="1" t="str">
        <f aca="false">IF(D1581=0, 33, "cc")</f>
        <v>cc</v>
      </c>
    </row>
    <row r="1582" customFormat="false" ht="18.65" hidden="false" customHeight="true" outlineLevel="0" collapsed="false">
      <c r="A1582" s="1" t="n">
        <f aca="false">ROW()-2</f>
        <v>1580</v>
      </c>
      <c r="B1582" s="1" t="n">
        <f aca="false">INT(A1582/$N$1)</f>
        <v>87</v>
      </c>
      <c r="C1582" s="1" t="n">
        <f aca="false">INT(MOD(A1582,$N$1) / 2)</f>
        <v>7</v>
      </c>
      <c r="D1582" s="1" t="n">
        <f aca="false">_xlfn.BITAND(A1582,1)</f>
        <v>0</v>
      </c>
      <c r="F1582" s="1" t="str">
        <f aca="false">DEC2HEX(B1582*$N$3*18)</f>
        <v>18780</v>
      </c>
      <c r="G1582" s="1" t="str">
        <f aca="false">DEC2HEX(C1582*7)</f>
        <v>31</v>
      </c>
      <c r="H1582" s="1" t="n">
        <f aca="false">IF(D1582=0, 33, "cc")</f>
        <v>33</v>
      </c>
    </row>
    <row r="1583" customFormat="false" ht="18.65" hidden="false" customHeight="true" outlineLevel="0" collapsed="false">
      <c r="A1583" s="1" t="n">
        <f aca="false">ROW()-2</f>
        <v>1581</v>
      </c>
      <c r="B1583" s="1" t="n">
        <f aca="false">INT(A1583/$N$1)</f>
        <v>87</v>
      </c>
      <c r="C1583" s="1" t="n">
        <f aca="false">INT(MOD(A1583,$N$1) / 2)</f>
        <v>7</v>
      </c>
      <c r="D1583" s="1" t="n">
        <f aca="false">_xlfn.BITAND(A1583,1)</f>
        <v>1</v>
      </c>
      <c r="F1583" s="1" t="str">
        <f aca="false">DEC2HEX(B1583*$N$3*18)</f>
        <v>18780</v>
      </c>
      <c r="G1583" s="1" t="str">
        <f aca="false">DEC2HEX(C1583*7)</f>
        <v>31</v>
      </c>
      <c r="H1583" s="1" t="str">
        <f aca="false">IF(D1583=0, 33, "cc")</f>
        <v>cc</v>
      </c>
    </row>
    <row r="1584" customFormat="false" ht="18.65" hidden="false" customHeight="true" outlineLevel="0" collapsed="false">
      <c r="A1584" s="1" t="n">
        <f aca="false">ROW()-2</f>
        <v>1582</v>
      </c>
      <c r="B1584" s="1" t="n">
        <f aca="false">INT(A1584/$N$1)</f>
        <v>87</v>
      </c>
      <c r="C1584" s="1" t="n">
        <f aca="false">INT(MOD(A1584,$N$1) / 2)</f>
        <v>8</v>
      </c>
      <c r="D1584" s="1" t="n">
        <f aca="false">_xlfn.BITAND(A1584,1)</f>
        <v>0</v>
      </c>
      <c r="F1584" s="1" t="str">
        <f aca="false">DEC2HEX(B1584*$N$3*18)</f>
        <v>18780</v>
      </c>
      <c r="G1584" s="1" t="str">
        <f aca="false">DEC2HEX(C1584*7)</f>
        <v>38</v>
      </c>
      <c r="H1584" s="1" t="n">
        <f aca="false">IF(D1584=0, 33, "cc")</f>
        <v>33</v>
      </c>
    </row>
    <row r="1585" customFormat="false" ht="18.65" hidden="false" customHeight="true" outlineLevel="0" collapsed="false">
      <c r="A1585" s="1" t="n">
        <f aca="false">ROW()-2</f>
        <v>1583</v>
      </c>
      <c r="B1585" s="1" t="n">
        <f aca="false">INT(A1585/$N$1)</f>
        <v>87</v>
      </c>
      <c r="C1585" s="1" t="n">
        <f aca="false">INT(MOD(A1585,$N$1) / 2)</f>
        <v>8</v>
      </c>
      <c r="D1585" s="1" t="n">
        <f aca="false">_xlfn.BITAND(A1585,1)</f>
        <v>1</v>
      </c>
      <c r="F1585" s="1" t="str">
        <f aca="false">DEC2HEX(B1585*$N$3*18)</f>
        <v>18780</v>
      </c>
      <c r="G1585" s="1" t="str">
        <f aca="false">DEC2HEX(C1585*7)</f>
        <v>38</v>
      </c>
      <c r="H1585" s="1" t="str">
        <f aca="false">IF(D1585=0, 33, "cc")</f>
        <v>cc</v>
      </c>
    </row>
    <row r="1586" customFormat="false" ht="18.65" hidden="false" customHeight="true" outlineLevel="0" collapsed="false">
      <c r="A1586" s="1" t="n">
        <f aca="false">ROW()-2</f>
        <v>1584</v>
      </c>
      <c r="B1586" s="1" t="n">
        <f aca="false">INT(A1586/$N$1)</f>
        <v>88</v>
      </c>
      <c r="C1586" s="1" t="n">
        <f aca="false">INT(MOD(A1586,$N$1) / 2)</f>
        <v>0</v>
      </c>
      <c r="D1586" s="1" t="n">
        <f aca="false">_xlfn.BITAND(A1586,1)</f>
        <v>0</v>
      </c>
      <c r="F1586" s="1" t="str">
        <f aca="false">DEC2HEX(B1586*$N$3*18)</f>
        <v>18C00</v>
      </c>
      <c r="G1586" s="1" t="str">
        <f aca="false">DEC2HEX(C1586*7)</f>
        <v>0</v>
      </c>
      <c r="H1586" s="1" t="n">
        <f aca="false">IF(D1586=0, 33, "cc")</f>
        <v>33</v>
      </c>
    </row>
    <row r="1587" customFormat="false" ht="18.65" hidden="false" customHeight="true" outlineLevel="0" collapsed="false">
      <c r="A1587" s="1" t="n">
        <f aca="false">ROW()-2</f>
        <v>1585</v>
      </c>
      <c r="B1587" s="1" t="n">
        <f aca="false">INT(A1587/$N$1)</f>
        <v>88</v>
      </c>
      <c r="C1587" s="1" t="n">
        <f aca="false">INT(MOD(A1587,$N$1) / 2)</f>
        <v>0</v>
      </c>
      <c r="D1587" s="1" t="n">
        <f aca="false">_xlfn.BITAND(A1587,1)</f>
        <v>1</v>
      </c>
      <c r="F1587" s="1" t="str">
        <f aca="false">DEC2HEX(B1587*$N$3*18)</f>
        <v>18C00</v>
      </c>
      <c r="G1587" s="1" t="str">
        <f aca="false">DEC2HEX(C1587*7)</f>
        <v>0</v>
      </c>
      <c r="H1587" s="1" t="str">
        <f aca="false">IF(D1587=0, 33, "cc")</f>
        <v>cc</v>
      </c>
    </row>
    <row r="1588" customFormat="false" ht="18.65" hidden="false" customHeight="true" outlineLevel="0" collapsed="false">
      <c r="A1588" s="1" t="n">
        <f aca="false">ROW()-2</f>
        <v>1586</v>
      </c>
      <c r="B1588" s="1" t="n">
        <f aca="false">INT(A1588/$N$1)</f>
        <v>88</v>
      </c>
      <c r="C1588" s="1" t="n">
        <f aca="false">INT(MOD(A1588,$N$1) / 2)</f>
        <v>1</v>
      </c>
      <c r="D1588" s="1" t="n">
        <f aca="false">_xlfn.BITAND(A1588,1)</f>
        <v>0</v>
      </c>
      <c r="F1588" s="1" t="str">
        <f aca="false">DEC2HEX(B1588*$N$3*18)</f>
        <v>18C00</v>
      </c>
      <c r="G1588" s="1" t="str">
        <f aca="false">DEC2HEX(C1588*7)</f>
        <v>7</v>
      </c>
      <c r="H1588" s="1" t="n">
        <f aca="false">IF(D1588=0, 33, "cc")</f>
        <v>33</v>
      </c>
    </row>
    <row r="1589" customFormat="false" ht="18.65" hidden="false" customHeight="true" outlineLevel="0" collapsed="false">
      <c r="A1589" s="1" t="n">
        <f aca="false">ROW()-2</f>
        <v>1587</v>
      </c>
      <c r="B1589" s="1" t="n">
        <f aca="false">INT(A1589/$N$1)</f>
        <v>88</v>
      </c>
      <c r="C1589" s="1" t="n">
        <f aca="false">INT(MOD(A1589,$N$1) / 2)</f>
        <v>1</v>
      </c>
      <c r="D1589" s="1" t="n">
        <f aca="false">_xlfn.BITAND(A1589,1)</f>
        <v>1</v>
      </c>
      <c r="F1589" s="1" t="str">
        <f aca="false">DEC2HEX(B1589*$N$3*18)</f>
        <v>18C00</v>
      </c>
      <c r="G1589" s="1" t="str">
        <f aca="false">DEC2HEX(C1589*7)</f>
        <v>7</v>
      </c>
      <c r="H1589" s="1" t="str">
        <f aca="false">IF(D1589=0, 33, "cc")</f>
        <v>cc</v>
      </c>
    </row>
    <row r="1590" customFormat="false" ht="18.65" hidden="false" customHeight="true" outlineLevel="0" collapsed="false">
      <c r="A1590" s="1" t="n">
        <f aca="false">ROW()-2</f>
        <v>1588</v>
      </c>
      <c r="B1590" s="1" t="n">
        <f aca="false">INT(A1590/$N$1)</f>
        <v>88</v>
      </c>
      <c r="C1590" s="1" t="n">
        <f aca="false">INT(MOD(A1590,$N$1) / 2)</f>
        <v>2</v>
      </c>
      <c r="D1590" s="1" t="n">
        <f aca="false">_xlfn.BITAND(A1590,1)</f>
        <v>0</v>
      </c>
      <c r="F1590" s="1" t="str">
        <f aca="false">DEC2HEX(B1590*$N$3*18)</f>
        <v>18C00</v>
      </c>
      <c r="G1590" s="1" t="str">
        <f aca="false">DEC2HEX(C1590*7)</f>
        <v>E</v>
      </c>
      <c r="H1590" s="1" t="n">
        <f aca="false">IF(D1590=0, 33, "cc")</f>
        <v>33</v>
      </c>
    </row>
    <row r="1591" customFormat="false" ht="18.65" hidden="false" customHeight="true" outlineLevel="0" collapsed="false">
      <c r="A1591" s="1" t="n">
        <f aca="false">ROW()-2</f>
        <v>1589</v>
      </c>
      <c r="B1591" s="1" t="n">
        <f aca="false">INT(A1591/$N$1)</f>
        <v>88</v>
      </c>
      <c r="C1591" s="1" t="n">
        <f aca="false">INT(MOD(A1591,$N$1) / 2)</f>
        <v>2</v>
      </c>
      <c r="D1591" s="1" t="n">
        <f aca="false">_xlfn.BITAND(A1591,1)</f>
        <v>1</v>
      </c>
      <c r="F1591" s="1" t="str">
        <f aca="false">DEC2HEX(B1591*$N$3*18)</f>
        <v>18C00</v>
      </c>
      <c r="G1591" s="1" t="str">
        <f aca="false">DEC2HEX(C1591*7)</f>
        <v>E</v>
      </c>
      <c r="H1591" s="1" t="str">
        <f aca="false">IF(D1591=0, 33, "cc")</f>
        <v>cc</v>
      </c>
    </row>
    <row r="1592" customFormat="false" ht="18.65" hidden="false" customHeight="true" outlineLevel="0" collapsed="false">
      <c r="A1592" s="1" t="n">
        <f aca="false">ROW()-2</f>
        <v>1590</v>
      </c>
      <c r="B1592" s="1" t="n">
        <f aca="false">INT(A1592/$N$1)</f>
        <v>88</v>
      </c>
      <c r="C1592" s="1" t="n">
        <f aca="false">INT(MOD(A1592,$N$1) / 2)</f>
        <v>3</v>
      </c>
      <c r="D1592" s="1" t="n">
        <f aca="false">_xlfn.BITAND(A1592,1)</f>
        <v>0</v>
      </c>
      <c r="F1592" s="1" t="str">
        <f aca="false">DEC2HEX(B1592*$N$3*18)</f>
        <v>18C00</v>
      </c>
      <c r="G1592" s="1" t="str">
        <f aca="false">DEC2HEX(C1592*7)</f>
        <v>15</v>
      </c>
      <c r="H1592" s="1" t="n">
        <f aca="false">IF(D1592=0, 33, "cc")</f>
        <v>33</v>
      </c>
    </row>
    <row r="1593" customFormat="false" ht="18.65" hidden="false" customHeight="true" outlineLevel="0" collapsed="false">
      <c r="A1593" s="1" t="n">
        <f aca="false">ROW()-2</f>
        <v>1591</v>
      </c>
      <c r="B1593" s="1" t="n">
        <f aca="false">INT(A1593/$N$1)</f>
        <v>88</v>
      </c>
      <c r="C1593" s="1" t="n">
        <f aca="false">INT(MOD(A1593,$N$1) / 2)</f>
        <v>3</v>
      </c>
      <c r="D1593" s="1" t="n">
        <f aca="false">_xlfn.BITAND(A1593,1)</f>
        <v>1</v>
      </c>
      <c r="F1593" s="1" t="str">
        <f aca="false">DEC2HEX(B1593*$N$3*18)</f>
        <v>18C00</v>
      </c>
      <c r="G1593" s="1" t="str">
        <f aca="false">DEC2HEX(C1593*7)</f>
        <v>15</v>
      </c>
      <c r="H1593" s="1" t="str">
        <f aca="false">IF(D1593=0, 33, "cc")</f>
        <v>cc</v>
      </c>
    </row>
    <row r="1594" customFormat="false" ht="18.65" hidden="false" customHeight="true" outlineLevel="0" collapsed="false">
      <c r="A1594" s="1" t="n">
        <f aca="false">ROW()-2</f>
        <v>1592</v>
      </c>
      <c r="B1594" s="1" t="n">
        <f aca="false">INT(A1594/$N$1)</f>
        <v>88</v>
      </c>
      <c r="C1594" s="1" t="n">
        <f aca="false">INT(MOD(A1594,$N$1) / 2)</f>
        <v>4</v>
      </c>
      <c r="D1594" s="1" t="n">
        <f aca="false">_xlfn.BITAND(A1594,1)</f>
        <v>0</v>
      </c>
      <c r="F1594" s="1" t="str">
        <f aca="false">DEC2HEX(B1594*$N$3*18)</f>
        <v>18C00</v>
      </c>
      <c r="G1594" s="1" t="str">
        <f aca="false">DEC2HEX(C1594*7)</f>
        <v>1C</v>
      </c>
      <c r="H1594" s="1" t="n">
        <f aca="false">IF(D1594=0, 33, "cc")</f>
        <v>33</v>
      </c>
    </row>
    <row r="1595" customFormat="false" ht="18.65" hidden="false" customHeight="true" outlineLevel="0" collapsed="false">
      <c r="A1595" s="1" t="n">
        <f aca="false">ROW()-2</f>
        <v>1593</v>
      </c>
      <c r="B1595" s="1" t="n">
        <f aca="false">INT(A1595/$N$1)</f>
        <v>88</v>
      </c>
      <c r="C1595" s="1" t="n">
        <f aca="false">INT(MOD(A1595,$N$1) / 2)</f>
        <v>4</v>
      </c>
      <c r="D1595" s="1" t="n">
        <f aca="false">_xlfn.BITAND(A1595,1)</f>
        <v>1</v>
      </c>
      <c r="F1595" s="1" t="str">
        <f aca="false">DEC2HEX(B1595*$N$3*18)</f>
        <v>18C00</v>
      </c>
      <c r="G1595" s="1" t="str">
        <f aca="false">DEC2HEX(C1595*7)</f>
        <v>1C</v>
      </c>
      <c r="H1595" s="1" t="str">
        <f aca="false">IF(D1595=0, 33, "cc")</f>
        <v>cc</v>
      </c>
    </row>
    <row r="1596" customFormat="false" ht="18.65" hidden="false" customHeight="true" outlineLevel="0" collapsed="false">
      <c r="A1596" s="1" t="n">
        <f aca="false">ROW()-2</f>
        <v>1594</v>
      </c>
      <c r="B1596" s="1" t="n">
        <f aca="false">INT(A1596/$N$1)</f>
        <v>88</v>
      </c>
      <c r="C1596" s="1" t="n">
        <f aca="false">INT(MOD(A1596,$N$1) / 2)</f>
        <v>5</v>
      </c>
      <c r="D1596" s="1" t="n">
        <f aca="false">_xlfn.BITAND(A1596,1)</f>
        <v>0</v>
      </c>
      <c r="F1596" s="1" t="str">
        <f aca="false">DEC2HEX(B1596*$N$3*18)</f>
        <v>18C00</v>
      </c>
      <c r="G1596" s="1" t="str">
        <f aca="false">DEC2HEX(C1596*7)</f>
        <v>23</v>
      </c>
      <c r="H1596" s="1" t="n">
        <f aca="false">IF(D1596=0, 33, "cc")</f>
        <v>33</v>
      </c>
    </row>
    <row r="1597" customFormat="false" ht="18.65" hidden="false" customHeight="true" outlineLevel="0" collapsed="false">
      <c r="A1597" s="1" t="n">
        <f aca="false">ROW()-2</f>
        <v>1595</v>
      </c>
      <c r="B1597" s="1" t="n">
        <f aca="false">INT(A1597/$N$1)</f>
        <v>88</v>
      </c>
      <c r="C1597" s="1" t="n">
        <f aca="false">INT(MOD(A1597,$N$1) / 2)</f>
        <v>5</v>
      </c>
      <c r="D1597" s="1" t="n">
        <f aca="false">_xlfn.BITAND(A1597,1)</f>
        <v>1</v>
      </c>
      <c r="F1597" s="1" t="str">
        <f aca="false">DEC2HEX(B1597*$N$3*18)</f>
        <v>18C00</v>
      </c>
      <c r="G1597" s="1" t="str">
        <f aca="false">DEC2HEX(C1597*7)</f>
        <v>23</v>
      </c>
      <c r="H1597" s="1" t="str">
        <f aca="false">IF(D1597=0, 33, "cc")</f>
        <v>cc</v>
      </c>
    </row>
    <row r="1598" customFormat="false" ht="18.65" hidden="false" customHeight="true" outlineLevel="0" collapsed="false">
      <c r="A1598" s="1" t="n">
        <f aca="false">ROW()-2</f>
        <v>1596</v>
      </c>
      <c r="B1598" s="1" t="n">
        <f aca="false">INT(A1598/$N$1)</f>
        <v>88</v>
      </c>
      <c r="C1598" s="1" t="n">
        <f aca="false">INT(MOD(A1598,$N$1) / 2)</f>
        <v>6</v>
      </c>
      <c r="D1598" s="1" t="n">
        <f aca="false">_xlfn.BITAND(A1598,1)</f>
        <v>0</v>
      </c>
      <c r="F1598" s="1" t="str">
        <f aca="false">DEC2HEX(B1598*$N$3*18)</f>
        <v>18C00</v>
      </c>
      <c r="G1598" s="1" t="str">
        <f aca="false">DEC2HEX(C1598*7)</f>
        <v>2A</v>
      </c>
      <c r="H1598" s="1" t="n">
        <f aca="false">IF(D1598=0, 33, "cc")</f>
        <v>33</v>
      </c>
    </row>
    <row r="1599" customFormat="false" ht="18.65" hidden="false" customHeight="true" outlineLevel="0" collapsed="false">
      <c r="A1599" s="1" t="n">
        <f aca="false">ROW()-2</f>
        <v>1597</v>
      </c>
      <c r="B1599" s="1" t="n">
        <f aca="false">INT(A1599/$N$1)</f>
        <v>88</v>
      </c>
      <c r="C1599" s="1" t="n">
        <f aca="false">INT(MOD(A1599,$N$1) / 2)</f>
        <v>6</v>
      </c>
      <c r="D1599" s="1" t="n">
        <f aca="false">_xlfn.BITAND(A1599,1)</f>
        <v>1</v>
      </c>
      <c r="F1599" s="1" t="str">
        <f aca="false">DEC2HEX(B1599*$N$3*18)</f>
        <v>18C00</v>
      </c>
      <c r="G1599" s="1" t="str">
        <f aca="false">DEC2HEX(C1599*7)</f>
        <v>2A</v>
      </c>
      <c r="H1599" s="1" t="str">
        <f aca="false">IF(D1599=0, 33, "cc")</f>
        <v>cc</v>
      </c>
    </row>
    <row r="1600" customFormat="false" ht="18.65" hidden="false" customHeight="true" outlineLevel="0" collapsed="false">
      <c r="A1600" s="1" t="n">
        <f aca="false">ROW()-2</f>
        <v>1598</v>
      </c>
      <c r="B1600" s="1" t="n">
        <f aca="false">INT(A1600/$N$1)</f>
        <v>88</v>
      </c>
      <c r="C1600" s="1" t="n">
        <f aca="false">INT(MOD(A1600,$N$1) / 2)</f>
        <v>7</v>
      </c>
      <c r="D1600" s="1" t="n">
        <f aca="false">_xlfn.BITAND(A1600,1)</f>
        <v>0</v>
      </c>
      <c r="F1600" s="1" t="str">
        <f aca="false">DEC2HEX(B1600*$N$3*18)</f>
        <v>18C00</v>
      </c>
      <c r="G1600" s="1" t="str">
        <f aca="false">DEC2HEX(C1600*7)</f>
        <v>31</v>
      </c>
      <c r="H1600" s="1" t="n">
        <f aca="false">IF(D1600=0, 33, "cc")</f>
        <v>33</v>
      </c>
    </row>
    <row r="1601" customFormat="false" ht="18.65" hidden="false" customHeight="true" outlineLevel="0" collapsed="false">
      <c r="A1601" s="1" t="n">
        <f aca="false">ROW()-2</f>
        <v>1599</v>
      </c>
      <c r="B1601" s="1" t="n">
        <f aca="false">INT(A1601/$N$1)</f>
        <v>88</v>
      </c>
      <c r="C1601" s="1" t="n">
        <f aca="false">INT(MOD(A1601,$N$1) / 2)</f>
        <v>7</v>
      </c>
      <c r="D1601" s="1" t="n">
        <f aca="false">_xlfn.BITAND(A1601,1)</f>
        <v>1</v>
      </c>
      <c r="F1601" s="1" t="str">
        <f aca="false">DEC2HEX(B1601*$N$3*18)</f>
        <v>18C00</v>
      </c>
      <c r="G1601" s="1" t="str">
        <f aca="false">DEC2HEX(C1601*7)</f>
        <v>31</v>
      </c>
      <c r="H1601" s="1" t="str">
        <f aca="false">IF(D1601=0, 33, "cc")</f>
        <v>cc</v>
      </c>
    </row>
    <row r="1602" customFormat="false" ht="18.65" hidden="false" customHeight="true" outlineLevel="0" collapsed="false">
      <c r="A1602" s="1" t="n">
        <f aca="false">ROW()-2</f>
        <v>1600</v>
      </c>
      <c r="B1602" s="1" t="n">
        <f aca="false">INT(A1602/$N$1)</f>
        <v>88</v>
      </c>
      <c r="C1602" s="1" t="n">
        <f aca="false">INT(MOD(A1602,$N$1) / 2)</f>
        <v>8</v>
      </c>
      <c r="D1602" s="1" t="n">
        <f aca="false">_xlfn.BITAND(A1602,1)</f>
        <v>0</v>
      </c>
      <c r="F1602" s="1" t="str">
        <f aca="false">DEC2HEX(B1602*$N$3*18)</f>
        <v>18C00</v>
      </c>
      <c r="G1602" s="1" t="str">
        <f aca="false">DEC2HEX(C1602*7)</f>
        <v>38</v>
      </c>
      <c r="H1602" s="1" t="n">
        <f aca="false">IF(D1602=0, 33, "cc")</f>
        <v>33</v>
      </c>
    </row>
    <row r="1603" customFormat="false" ht="18.65" hidden="false" customHeight="true" outlineLevel="0" collapsed="false">
      <c r="A1603" s="1" t="n">
        <f aca="false">ROW()-2</f>
        <v>1601</v>
      </c>
      <c r="B1603" s="1" t="n">
        <f aca="false">INT(A1603/$N$1)</f>
        <v>88</v>
      </c>
      <c r="C1603" s="1" t="n">
        <f aca="false">INT(MOD(A1603,$N$1) / 2)</f>
        <v>8</v>
      </c>
      <c r="D1603" s="1" t="n">
        <f aca="false">_xlfn.BITAND(A1603,1)</f>
        <v>1</v>
      </c>
      <c r="F1603" s="1" t="str">
        <f aca="false">DEC2HEX(B1603*$N$3*18)</f>
        <v>18C00</v>
      </c>
      <c r="G1603" s="1" t="str">
        <f aca="false">DEC2HEX(C1603*7)</f>
        <v>38</v>
      </c>
      <c r="H1603" s="1" t="str">
        <f aca="false">IF(D1603=0, 33, "cc")</f>
        <v>cc</v>
      </c>
    </row>
    <row r="1604" customFormat="false" ht="18.65" hidden="false" customHeight="true" outlineLevel="0" collapsed="false">
      <c r="A1604" s="1" t="n">
        <f aca="false">ROW()-2</f>
        <v>1602</v>
      </c>
      <c r="B1604" s="1" t="n">
        <f aca="false">INT(A1604/$N$1)</f>
        <v>89</v>
      </c>
      <c r="C1604" s="1" t="n">
        <f aca="false">INT(MOD(A1604,$N$1) / 2)</f>
        <v>0</v>
      </c>
      <c r="D1604" s="1" t="n">
        <f aca="false">_xlfn.BITAND(A1604,1)</f>
        <v>0</v>
      </c>
      <c r="F1604" s="1" t="str">
        <f aca="false">DEC2HEX(B1604*$N$3*18)</f>
        <v>19080</v>
      </c>
      <c r="G1604" s="1" t="str">
        <f aca="false">DEC2HEX(C1604*7)</f>
        <v>0</v>
      </c>
      <c r="H1604" s="1" t="n">
        <f aca="false">IF(D1604=0, 33, "cc")</f>
        <v>33</v>
      </c>
    </row>
    <row r="1605" customFormat="false" ht="18.65" hidden="false" customHeight="true" outlineLevel="0" collapsed="false">
      <c r="A1605" s="1" t="n">
        <f aca="false">ROW()-2</f>
        <v>1603</v>
      </c>
      <c r="B1605" s="1" t="n">
        <f aca="false">INT(A1605/$N$1)</f>
        <v>89</v>
      </c>
      <c r="C1605" s="1" t="n">
        <f aca="false">INT(MOD(A1605,$N$1) / 2)</f>
        <v>0</v>
      </c>
      <c r="D1605" s="1" t="n">
        <f aca="false">_xlfn.BITAND(A1605,1)</f>
        <v>1</v>
      </c>
      <c r="F1605" s="1" t="str">
        <f aca="false">DEC2HEX(B1605*$N$3*18)</f>
        <v>19080</v>
      </c>
      <c r="G1605" s="1" t="str">
        <f aca="false">DEC2HEX(C1605*7)</f>
        <v>0</v>
      </c>
      <c r="H1605" s="1" t="str">
        <f aca="false">IF(D1605=0, 33, "cc")</f>
        <v>cc</v>
      </c>
    </row>
    <row r="1606" customFormat="false" ht="18.65" hidden="false" customHeight="true" outlineLevel="0" collapsed="false">
      <c r="A1606" s="1" t="n">
        <f aca="false">ROW()-2</f>
        <v>1604</v>
      </c>
      <c r="B1606" s="1" t="n">
        <f aca="false">INT(A1606/$N$1)</f>
        <v>89</v>
      </c>
      <c r="C1606" s="1" t="n">
        <f aca="false">INT(MOD(A1606,$N$1) / 2)</f>
        <v>1</v>
      </c>
      <c r="D1606" s="1" t="n">
        <f aca="false">_xlfn.BITAND(A1606,1)</f>
        <v>0</v>
      </c>
      <c r="F1606" s="1" t="str">
        <f aca="false">DEC2HEX(B1606*$N$3*18)</f>
        <v>19080</v>
      </c>
      <c r="G1606" s="1" t="str">
        <f aca="false">DEC2HEX(C1606*7)</f>
        <v>7</v>
      </c>
      <c r="H1606" s="1" t="n">
        <f aca="false">IF(D1606=0, 33, "cc")</f>
        <v>33</v>
      </c>
    </row>
    <row r="1607" customFormat="false" ht="18.65" hidden="false" customHeight="true" outlineLevel="0" collapsed="false">
      <c r="A1607" s="1" t="n">
        <f aca="false">ROW()-2</f>
        <v>1605</v>
      </c>
      <c r="B1607" s="1" t="n">
        <f aca="false">INT(A1607/$N$1)</f>
        <v>89</v>
      </c>
      <c r="C1607" s="1" t="n">
        <f aca="false">INT(MOD(A1607,$N$1) / 2)</f>
        <v>1</v>
      </c>
      <c r="D1607" s="1" t="n">
        <f aca="false">_xlfn.BITAND(A1607,1)</f>
        <v>1</v>
      </c>
      <c r="F1607" s="1" t="str">
        <f aca="false">DEC2HEX(B1607*$N$3*18)</f>
        <v>19080</v>
      </c>
      <c r="G1607" s="1" t="str">
        <f aca="false">DEC2HEX(C1607*7)</f>
        <v>7</v>
      </c>
      <c r="H1607" s="1" t="str">
        <f aca="false">IF(D1607=0, 33, "cc")</f>
        <v>cc</v>
      </c>
    </row>
    <row r="1608" customFormat="false" ht="18.65" hidden="false" customHeight="true" outlineLevel="0" collapsed="false">
      <c r="A1608" s="1" t="n">
        <f aca="false">ROW()-2</f>
        <v>1606</v>
      </c>
      <c r="B1608" s="1" t="n">
        <f aca="false">INT(A1608/$N$1)</f>
        <v>89</v>
      </c>
      <c r="C1608" s="1" t="n">
        <f aca="false">INT(MOD(A1608,$N$1) / 2)</f>
        <v>2</v>
      </c>
      <c r="D1608" s="1" t="n">
        <f aca="false">_xlfn.BITAND(A1608,1)</f>
        <v>0</v>
      </c>
      <c r="F1608" s="1" t="str">
        <f aca="false">DEC2HEX(B1608*$N$3*18)</f>
        <v>19080</v>
      </c>
      <c r="G1608" s="1" t="str">
        <f aca="false">DEC2HEX(C1608*7)</f>
        <v>E</v>
      </c>
      <c r="H1608" s="1" t="n">
        <f aca="false">IF(D1608=0, 33, "cc")</f>
        <v>33</v>
      </c>
    </row>
    <row r="1609" customFormat="false" ht="18.65" hidden="false" customHeight="true" outlineLevel="0" collapsed="false">
      <c r="A1609" s="1" t="n">
        <f aca="false">ROW()-2</f>
        <v>1607</v>
      </c>
      <c r="B1609" s="1" t="n">
        <f aca="false">INT(A1609/$N$1)</f>
        <v>89</v>
      </c>
      <c r="C1609" s="1" t="n">
        <f aca="false">INT(MOD(A1609,$N$1) / 2)</f>
        <v>2</v>
      </c>
      <c r="D1609" s="1" t="n">
        <f aca="false">_xlfn.BITAND(A1609,1)</f>
        <v>1</v>
      </c>
      <c r="F1609" s="1" t="str">
        <f aca="false">DEC2HEX(B1609*$N$3*18)</f>
        <v>19080</v>
      </c>
      <c r="G1609" s="1" t="str">
        <f aca="false">DEC2HEX(C1609*7)</f>
        <v>E</v>
      </c>
      <c r="H1609" s="1" t="str">
        <f aca="false">IF(D1609=0, 33, "cc")</f>
        <v>cc</v>
      </c>
    </row>
    <row r="1610" customFormat="false" ht="18.65" hidden="false" customHeight="true" outlineLevel="0" collapsed="false">
      <c r="A1610" s="1" t="n">
        <f aca="false">ROW()-2</f>
        <v>1608</v>
      </c>
      <c r="B1610" s="1" t="n">
        <f aca="false">INT(A1610/$N$1)</f>
        <v>89</v>
      </c>
      <c r="C1610" s="1" t="n">
        <f aca="false">INT(MOD(A1610,$N$1) / 2)</f>
        <v>3</v>
      </c>
      <c r="D1610" s="1" t="n">
        <f aca="false">_xlfn.BITAND(A1610,1)</f>
        <v>0</v>
      </c>
      <c r="F1610" s="1" t="str">
        <f aca="false">DEC2HEX(B1610*$N$3*18)</f>
        <v>19080</v>
      </c>
      <c r="G1610" s="1" t="str">
        <f aca="false">DEC2HEX(C1610*7)</f>
        <v>15</v>
      </c>
      <c r="H1610" s="1" t="n">
        <f aca="false">IF(D1610=0, 33, "cc")</f>
        <v>33</v>
      </c>
    </row>
    <row r="1611" customFormat="false" ht="18.65" hidden="false" customHeight="true" outlineLevel="0" collapsed="false">
      <c r="A1611" s="1" t="n">
        <f aca="false">ROW()-2</f>
        <v>1609</v>
      </c>
      <c r="B1611" s="1" t="n">
        <f aca="false">INT(A1611/$N$1)</f>
        <v>89</v>
      </c>
      <c r="C1611" s="1" t="n">
        <f aca="false">INT(MOD(A1611,$N$1) / 2)</f>
        <v>3</v>
      </c>
      <c r="D1611" s="1" t="n">
        <f aca="false">_xlfn.BITAND(A1611,1)</f>
        <v>1</v>
      </c>
      <c r="F1611" s="1" t="str">
        <f aca="false">DEC2HEX(B1611*$N$3*18)</f>
        <v>19080</v>
      </c>
      <c r="G1611" s="1" t="str">
        <f aca="false">DEC2HEX(C1611*7)</f>
        <v>15</v>
      </c>
      <c r="H1611" s="1" t="str">
        <f aca="false">IF(D1611=0, 33, "cc")</f>
        <v>cc</v>
      </c>
    </row>
    <row r="1612" customFormat="false" ht="18.65" hidden="false" customHeight="true" outlineLevel="0" collapsed="false">
      <c r="A1612" s="1" t="n">
        <f aca="false">ROW()-2</f>
        <v>1610</v>
      </c>
      <c r="B1612" s="1" t="n">
        <f aca="false">INT(A1612/$N$1)</f>
        <v>89</v>
      </c>
      <c r="C1612" s="1" t="n">
        <f aca="false">INT(MOD(A1612,$N$1) / 2)</f>
        <v>4</v>
      </c>
      <c r="D1612" s="1" t="n">
        <f aca="false">_xlfn.BITAND(A1612,1)</f>
        <v>0</v>
      </c>
      <c r="F1612" s="1" t="str">
        <f aca="false">DEC2HEX(B1612*$N$3*18)</f>
        <v>19080</v>
      </c>
      <c r="G1612" s="1" t="str">
        <f aca="false">DEC2HEX(C1612*7)</f>
        <v>1C</v>
      </c>
      <c r="H1612" s="1" t="n">
        <f aca="false">IF(D1612=0, 33, "cc")</f>
        <v>33</v>
      </c>
    </row>
    <row r="1613" customFormat="false" ht="18.65" hidden="false" customHeight="true" outlineLevel="0" collapsed="false">
      <c r="A1613" s="1" t="n">
        <f aca="false">ROW()-2</f>
        <v>1611</v>
      </c>
      <c r="B1613" s="1" t="n">
        <f aca="false">INT(A1613/$N$1)</f>
        <v>89</v>
      </c>
      <c r="C1613" s="1" t="n">
        <f aca="false">INT(MOD(A1613,$N$1) / 2)</f>
        <v>4</v>
      </c>
      <c r="D1613" s="1" t="n">
        <f aca="false">_xlfn.BITAND(A1613,1)</f>
        <v>1</v>
      </c>
      <c r="F1613" s="1" t="str">
        <f aca="false">DEC2HEX(B1613*$N$3*18)</f>
        <v>19080</v>
      </c>
      <c r="G1613" s="1" t="str">
        <f aca="false">DEC2HEX(C1613*7)</f>
        <v>1C</v>
      </c>
      <c r="H1613" s="1" t="str">
        <f aca="false">IF(D1613=0, 33, "cc")</f>
        <v>cc</v>
      </c>
    </row>
    <row r="1614" customFormat="false" ht="18.65" hidden="false" customHeight="true" outlineLevel="0" collapsed="false">
      <c r="A1614" s="1" t="n">
        <f aca="false">ROW()-2</f>
        <v>1612</v>
      </c>
      <c r="B1614" s="1" t="n">
        <f aca="false">INT(A1614/$N$1)</f>
        <v>89</v>
      </c>
      <c r="C1614" s="1" t="n">
        <f aca="false">INT(MOD(A1614,$N$1) / 2)</f>
        <v>5</v>
      </c>
      <c r="D1614" s="1" t="n">
        <f aca="false">_xlfn.BITAND(A1614,1)</f>
        <v>0</v>
      </c>
      <c r="F1614" s="1" t="str">
        <f aca="false">DEC2HEX(B1614*$N$3*18)</f>
        <v>19080</v>
      </c>
      <c r="G1614" s="1" t="str">
        <f aca="false">DEC2HEX(C1614*7)</f>
        <v>23</v>
      </c>
      <c r="H1614" s="1" t="n">
        <f aca="false">IF(D1614=0, 33, "cc")</f>
        <v>33</v>
      </c>
    </row>
    <row r="1615" customFormat="false" ht="18.65" hidden="false" customHeight="true" outlineLevel="0" collapsed="false">
      <c r="A1615" s="1" t="n">
        <f aca="false">ROW()-2</f>
        <v>1613</v>
      </c>
      <c r="B1615" s="1" t="n">
        <f aca="false">INT(A1615/$N$1)</f>
        <v>89</v>
      </c>
      <c r="C1615" s="1" t="n">
        <f aca="false">INT(MOD(A1615,$N$1) / 2)</f>
        <v>5</v>
      </c>
      <c r="D1615" s="1" t="n">
        <f aca="false">_xlfn.BITAND(A1615,1)</f>
        <v>1</v>
      </c>
      <c r="F1615" s="1" t="str">
        <f aca="false">DEC2HEX(B1615*$N$3*18)</f>
        <v>19080</v>
      </c>
      <c r="G1615" s="1" t="str">
        <f aca="false">DEC2HEX(C1615*7)</f>
        <v>23</v>
      </c>
      <c r="H1615" s="1" t="str">
        <f aca="false">IF(D1615=0, 33, "cc")</f>
        <v>cc</v>
      </c>
    </row>
    <row r="1616" customFormat="false" ht="18.65" hidden="false" customHeight="true" outlineLevel="0" collapsed="false">
      <c r="A1616" s="1" t="n">
        <f aca="false">ROW()-2</f>
        <v>1614</v>
      </c>
      <c r="B1616" s="1" t="n">
        <f aca="false">INT(A1616/$N$1)</f>
        <v>89</v>
      </c>
      <c r="C1616" s="1" t="n">
        <f aca="false">INT(MOD(A1616,$N$1) / 2)</f>
        <v>6</v>
      </c>
      <c r="D1616" s="1" t="n">
        <f aca="false">_xlfn.BITAND(A1616,1)</f>
        <v>0</v>
      </c>
      <c r="F1616" s="1" t="str">
        <f aca="false">DEC2HEX(B1616*$N$3*18)</f>
        <v>19080</v>
      </c>
      <c r="G1616" s="1" t="str">
        <f aca="false">DEC2HEX(C1616*7)</f>
        <v>2A</v>
      </c>
      <c r="H1616" s="1" t="n">
        <f aca="false">IF(D1616=0, 33, "cc")</f>
        <v>33</v>
      </c>
    </row>
    <row r="1617" customFormat="false" ht="18.65" hidden="false" customHeight="true" outlineLevel="0" collapsed="false">
      <c r="A1617" s="1" t="n">
        <f aca="false">ROW()-2</f>
        <v>1615</v>
      </c>
      <c r="B1617" s="1" t="n">
        <f aca="false">INT(A1617/$N$1)</f>
        <v>89</v>
      </c>
      <c r="C1617" s="1" t="n">
        <f aca="false">INT(MOD(A1617,$N$1) / 2)</f>
        <v>6</v>
      </c>
      <c r="D1617" s="1" t="n">
        <f aca="false">_xlfn.BITAND(A1617,1)</f>
        <v>1</v>
      </c>
      <c r="F1617" s="1" t="str">
        <f aca="false">DEC2HEX(B1617*$N$3*18)</f>
        <v>19080</v>
      </c>
      <c r="G1617" s="1" t="str">
        <f aca="false">DEC2HEX(C1617*7)</f>
        <v>2A</v>
      </c>
      <c r="H1617" s="1" t="str">
        <f aca="false">IF(D1617=0, 33, "cc")</f>
        <v>cc</v>
      </c>
    </row>
    <row r="1618" customFormat="false" ht="18.65" hidden="false" customHeight="true" outlineLevel="0" collapsed="false">
      <c r="A1618" s="1" t="n">
        <f aca="false">ROW()-2</f>
        <v>1616</v>
      </c>
      <c r="B1618" s="1" t="n">
        <f aca="false">INT(A1618/$N$1)</f>
        <v>89</v>
      </c>
      <c r="C1618" s="1" t="n">
        <f aca="false">INT(MOD(A1618,$N$1) / 2)</f>
        <v>7</v>
      </c>
      <c r="D1618" s="1" t="n">
        <f aca="false">_xlfn.BITAND(A1618,1)</f>
        <v>0</v>
      </c>
      <c r="F1618" s="1" t="str">
        <f aca="false">DEC2HEX(B1618*$N$3*18)</f>
        <v>19080</v>
      </c>
      <c r="G1618" s="1" t="str">
        <f aca="false">DEC2HEX(C1618*7)</f>
        <v>31</v>
      </c>
      <c r="H1618" s="1" t="n">
        <f aca="false">IF(D1618=0, 33, "cc")</f>
        <v>33</v>
      </c>
    </row>
    <row r="1619" customFormat="false" ht="18.65" hidden="false" customHeight="true" outlineLevel="0" collapsed="false">
      <c r="A1619" s="1" t="n">
        <f aca="false">ROW()-2</f>
        <v>1617</v>
      </c>
      <c r="B1619" s="1" t="n">
        <f aca="false">INT(A1619/$N$1)</f>
        <v>89</v>
      </c>
      <c r="C1619" s="1" t="n">
        <f aca="false">INT(MOD(A1619,$N$1) / 2)</f>
        <v>7</v>
      </c>
      <c r="D1619" s="1" t="n">
        <f aca="false">_xlfn.BITAND(A1619,1)</f>
        <v>1</v>
      </c>
      <c r="F1619" s="1" t="str">
        <f aca="false">DEC2HEX(B1619*$N$3*18)</f>
        <v>19080</v>
      </c>
      <c r="G1619" s="1" t="str">
        <f aca="false">DEC2HEX(C1619*7)</f>
        <v>31</v>
      </c>
      <c r="H1619" s="1" t="str">
        <f aca="false">IF(D1619=0, 33, "cc")</f>
        <v>cc</v>
      </c>
    </row>
    <row r="1620" customFormat="false" ht="18.65" hidden="false" customHeight="true" outlineLevel="0" collapsed="false">
      <c r="A1620" s="1" t="n">
        <f aca="false">ROW()-2</f>
        <v>1618</v>
      </c>
      <c r="B1620" s="1" t="n">
        <f aca="false">INT(A1620/$N$1)</f>
        <v>89</v>
      </c>
      <c r="C1620" s="1" t="n">
        <f aca="false">INT(MOD(A1620,$N$1) / 2)</f>
        <v>8</v>
      </c>
      <c r="D1620" s="1" t="n">
        <f aca="false">_xlfn.BITAND(A1620,1)</f>
        <v>0</v>
      </c>
      <c r="F1620" s="1" t="str">
        <f aca="false">DEC2HEX(B1620*$N$3*18)</f>
        <v>19080</v>
      </c>
      <c r="G1620" s="1" t="str">
        <f aca="false">DEC2HEX(C1620*7)</f>
        <v>38</v>
      </c>
      <c r="H1620" s="1" t="n">
        <f aca="false">IF(D1620=0, 33, "cc")</f>
        <v>33</v>
      </c>
    </row>
    <row r="1621" customFormat="false" ht="18.65" hidden="false" customHeight="true" outlineLevel="0" collapsed="false">
      <c r="A1621" s="1" t="n">
        <f aca="false">ROW()-2</f>
        <v>1619</v>
      </c>
      <c r="B1621" s="1" t="n">
        <f aca="false">INT(A1621/$N$1)</f>
        <v>89</v>
      </c>
      <c r="C1621" s="1" t="n">
        <f aca="false">INT(MOD(A1621,$N$1) / 2)</f>
        <v>8</v>
      </c>
      <c r="D1621" s="1" t="n">
        <f aca="false">_xlfn.BITAND(A1621,1)</f>
        <v>1</v>
      </c>
      <c r="F1621" s="1" t="str">
        <f aca="false">DEC2HEX(B1621*$N$3*18)</f>
        <v>19080</v>
      </c>
      <c r="G1621" s="1" t="str">
        <f aca="false">DEC2HEX(C1621*7)</f>
        <v>38</v>
      </c>
      <c r="H1621" s="1" t="str">
        <f aca="false">IF(D1621=0, 33, "cc")</f>
        <v>cc</v>
      </c>
    </row>
    <row r="1622" customFormat="false" ht="18.65" hidden="false" customHeight="true" outlineLevel="0" collapsed="false">
      <c r="A1622" s="1" t="n">
        <f aca="false">ROW()-2</f>
        <v>1620</v>
      </c>
      <c r="B1622" s="1" t="n">
        <f aca="false">INT(A1622/$N$1)</f>
        <v>90</v>
      </c>
      <c r="C1622" s="1" t="n">
        <f aca="false">INT(MOD(A1622,$N$1) / 2)</f>
        <v>0</v>
      </c>
      <c r="D1622" s="1" t="n">
        <f aca="false">_xlfn.BITAND(A1622,1)</f>
        <v>0</v>
      </c>
      <c r="F1622" s="1" t="str">
        <f aca="false">DEC2HEX(B1622*$N$3*18)</f>
        <v>19500</v>
      </c>
      <c r="G1622" s="1" t="str">
        <f aca="false">DEC2HEX(C1622*7)</f>
        <v>0</v>
      </c>
      <c r="H1622" s="1" t="n">
        <f aca="false">IF(D1622=0, 33, "cc")</f>
        <v>33</v>
      </c>
    </row>
    <row r="1623" customFormat="false" ht="18.65" hidden="false" customHeight="true" outlineLevel="0" collapsed="false">
      <c r="A1623" s="1" t="n">
        <f aca="false">ROW()-2</f>
        <v>1621</v>
      </c>
      <c r="B1623" s="1" t="n">
        <f aca="false">INT(A1623/$N$1)</f>
        <v>90</v>
      </c>
      <c r="C1623" s="1" t="n">
        <f aca="false">INT(MOD(A1623,$N$1) / 2)</f>
        <v>0</v>
      </c>
      <c r="D1623" s="1" t="n">
        <f aca="false">_xlfn.BITAND(A1623,1)</f>
        <v>1</v>
      </c>
      <c r="F1623" s="1" t="str">
        <f aca="false">DEC2HEX(B1623*$N$3*18)</f>
        <v>19500</v>
      </c>
      <c r="G1623" s="1" t="str">
        <f aca="false">DEC2HEX(C1623*7)</f>
        <v>0</v>
      </c>
      <c r="H1623" s="1" t="str">
        <f aca="false">IF(D1623=0, 33, "cc")</f>
        <v>cc</v>
      </c>
    </row>
    <row r="1624" customFormat="false" ht="18.65" hidden="false" customHeight="true" outlineLevel="0" collapsed="false">
      <c r="A1624" s="1" t="n">
        <f aca="false">ROW()-2</f>
        <v>1622</v>
      </c>
      <c r="B1624" s="1" t="n">
        <f aca="false">INT(A1624/$N$1)</f>
        <v>90</v>
      </c>
      <c r="C1624" s="1" t="n">
        <f aca="false">INT(MOD(A1624,$N$1) / 2)</f>
        <v>1</v>
      </c>
      <c r="D1624" s="1" t="n">
        <f aca="false">_xlfn.BITAND(A1624,1)</f>
        <v>0</v>
      </c>
      <c r="F1624" s="1" t="str">
        <f aca="false">DEC2HEX(B1624*$N$3*18)</f>
        <v>19500</v>
      </c>
      <c r="G1624" s="1" t="str">
        <f aca="false">DEC2HEX(C1624*7)</f>
        <v>7</v>
      </c>
      <c r="H1624" s="1" t="n">
        <f aca="false">IF(D1624=0, 33, "cc")</f>
        <v>33</v>
      </c>
    </row>
    <row r="1625" customFormat="false" ht="18.65" hidden="false" customHeight="true" outlineLevel="0" collapsed="false">
      <c r="A1625" s="1" t="n">
        <f aca="false">ROW()-2</f>
        <v>1623</v>
      </c>
      <c r="B1625" s="1" t="n">
        <f aca="false">INT(A1625/$N$1)</f>
        <v>90</v>
      </c>
      <c r="C1625" s="1" t="n">
        <f aca="false">INT(MOD(A1625,$N$1) / 2)</f>
        <v>1</v>
      </c>
      <c r="D1625" s="1" t="n">
        <f aca="false">_xlfn.BITAND(A1625,1)</f>
        <v>1</v>
      </c>
      <c r="F1625" s="1" t="str">
        <f aca="false">DEC2HEX(B1625*$N$3*18)</f>
        <v>19500</v>
      </c>
      <c r="G1625" s="1" t="str">
        <f aca="false">DEC2HEX(C1625*7)</f>
        <v>7</v>
      </c>
      <c r="H1625" s="1" t="str">
        <f aca="false">IF(D1625=0, 33, "cc")</f>
        <v>cc</v>
      </c>
    </row>
    <row r="1626" customFormat="false" ht="18.65" hidden="false" customHeight="true" outlineLevel="0" collapsed="false">
      <c r="A1626" s="1" t="n">
        <f aca="false">ROW()-2</f>
        <v>1624</v>
      </c>
      <c r="B1626" s="1" t="n">
        <f aca="false">INT(A1626/$N$1)</f>
        <v>90</v>
      </c>
      <c r="C1626" s="1" t="n">
        <f aca="false">INT(MOD(A1626,$N$1) / 2)</f>
        <v>2</v>
      </c>
      <c r="D1626" s="1" t="n">
        <f aca="false">_xlfn.BITAND(A1626,1)</f>
        <v>0</v>
      </c>
      <c r="F1626" s="1" t="str">
        <f aca="false">DEC2HEX(B1626*$N$3*18)</f>
        <v>19500</v>
      </c>
      <c r="G1626" s="1" t="str">
        <f aca="false">DEC2HEX(C1626*7)</f>
        <v>E</v>
      </c>
      <c r="H1626" s="1" t="n">
        <f aca="false">IF(D1626=0, 33, "cc")</f>
        <v>33</v>
      </c>
    </row>
    <row r="1627" customFormat="false" ht="18.65" hidden="false" customHeight="true" outlineLevel="0" collapsed="false">
      <c r="A1627" s="1" t="n">
        <f aca="false">ROW()-2</f>
        <v>1625</v>
      </c>
      <c r="B1627" s="1" t="n">
        <f aca="false">INT(A1627/$N$1)</f>
        <v>90</v>
      </c>
      <c r="C1627" s="1" t="n">
        <f aca="false">INT(MOD(A1627,$N$1) / 2)</f>
        <v>2</v>
      </c>
      <c r="D1627" s="1" t="n">
        <f aca="false">_xlfn.BITAND(A1627,1)</f>
        <v>1</v>
      </c>
      <c r="F1627" s="1" t="str">
        <f aca="false">DEC2HEX(B1627*$N$3*18)</f>
        <v>19500</v>
      </c>
      <c r="G1627" s="1" t="str">
        <f aca="false">DEC2HEX(C1627*7)</f>
        <v>E</v>
      </c>
      <c r="H1627" s="1" t="str">
        <f aca="false">IF(D1627=0, 33, "cc")</f>
        <v>cc</v>
      </c>
    </row>
    <row r="1628" customFormat="false" ht="18.65" hidden="false" customHeight="true" outlineLevel="0" collapsed="false">
      <c r="A1628" s="1" t="n">
        <f aca="false">ROW()-2</f>
        <v>1626</v>
      </c>
      <c r="B1628" s="1" t="n">
        <f aca="false">INT(A1628/$N$1)</f>
        <v>90</v>
      </c>
      <c r="C1628" s="1" t="n">
        <f aca="false">INT(MOD(A1628,$N$1) / 2)</f>
        <v>3</v>
      </c>
      <c r="D1628" s="1" t="n">
        <f aca="false">_xlfn.BITAND(A1628,1)</f>
        <v>0</v>
      </c>
      <c r="F1628" s="1" t="str">
        <f aca="false">DEC2HEX(B1628*$N$3*18)</f>
        <v>19500</v>
      </c>
      <c r="G1628" s="1" t="str">
        <f aca="false">DEC2HEX(C1628*7)</f>
        <v>15</v>
      </c>
      <c r="H1628" s="1" t="n">
        <f aca="false">IF(D1628=0, 33, "cc")</f>
        <v>33</v>
      </c>
    </row>
    <row r="1629" customFormat="false" ht="18.65" hidden="false" customHeight="true" outlineLevel="0" collapsed="false">
      <c r="A1629" s="1" t="n">
        <f aca="false">ROW()-2</f>
        <v>1627</v>
      </c>
      <c r="B1629" s="1" t="n">
        <f aca="false">INT(A1629/$N$1)</f>
        <v>90</v>
      </c>
      <c r="C1629" s="1" t="n">
        <f aca="false">INT(MOD(A1629,$N$1) / 2)</f>
        <v>3</v>
      </c>
      <c r="D1629" s="1" t="n">
        <f aca="false">_xlfn.BITAND(A1629,1)</f>
        <v>1</v>
      </c>
      <c r="F1629" s="1" t="str">
        <f aca="false">DEC2HEX(B1629*$N$3*18)</f>
        <v>19500</v>
      </c>
      <c r="G1629" s="1" t="str">
        <f aca="false">DEC2HEX(C1629*7)</f>
        <v>15</v>
      </c>
      <c r="H1629" s="1" t="str">
        <f aca="false">IF(D1629=0, 33, "cc")</f>
        <v>cc</v>
      </c>
    </row>
    <row r="1630" customFormat="false" ht="18.65" hidden="false" customHeight="true" outlineLevel="0" collapsed="false">
      <c r="A1630" s="1" t="n">
        <f aca="false">ROW()-2</f>
        <v>1628</v>
      </c>
      <c r="B1630" s="1" t="n">
        <f aca="false">INT(A1630/$N$1)</f>
        <v>90</v>
      </c>
      <c r="C1630" s="1" t="n">
        <f aca="false">INT(MOD(A1630,$N$1) / 2)</f>
        <v>4</v>
      </c>
      <c r="D1630" s="1" t="n">
        <f aca="false">_xlfn.BITAND(A1630,1)</f>
        <v>0</v>
      </c>
      <c r="F1630" s="1" t="str">
        <f aca="false">DEC2HEX(B1630*$N$3*18)</f>
        <v>19500</v>
      </c>
      <c r="G1630" s="1" t="str">
        <f aca="false">DEC2HEX(C1630*7)</f>
        <v>1C</v>
      </c>
      <c r="H1630" s="1" t="n">
        <f aca="false">IF(D1630=0, 33, "cc")</f>
        <v>33</v>
      </c>
    </row>
    <row r="1631" customFormat="false" ht="18.65" hidden="false" customHeight="true" outlineLevel="0" collapsed="false">
      <c r="A1631" s="1" t="n">
        <f aca="false">ROW()-2</f>
        <v>1629</v>
      </c>
      <c r="B1631" s="1" t="n">
        <f aca="false">INT(A1631/$N$1)</f>
        <v>90</v>
      </c>
      <c r="C1631" s="1" t="n">
        <f aca="false">INT(MOD(A1631,$N$1) / 2)</f>
        <v>4</v>
      </c>
      <c r="D1631" s="1" t="n">
        <f aca="false">_xlfn.BITAND(A1631,1)</f>
        <v>1</v>
      </c>
      <c r="F1631" s="1" t="str">
        <f aca="false">DEC2HEX(B1631*$N$3*18)</f>
        <v>19500</v>
      </c>
      <c r="G1631" s="1" t="str">
        <f aca="false">DEC2HEX(C1631*7)</f>
        <v>1C</v>
      </c>
      <c r="H1631" s="1" t="str">
        <f aca="false">IF(D1631=0, 33, "cc")</f>
        <v>cc</v>
      </c>
    </row>
    <row r="1632" customFormat="false" ht="18.65" hidden="false" customHeight="true" outlineLevel="0" collapsed="false">
      <c r="A1632" s="1" t="n">
        <f aca="false">ROW()-2</f>
        <v>1630</v>
      </c>
      <c r="B1632" s="1" t="n">
        <f aca="false">INT(A1632/$N$1)</f>
        <v>90</v>
      </c>
      <c r="C1632" s="1" t="n">
        <f aca="false">INT(MOD(A1632,$N$1) / 2)</f>
        <v>5</v>
      </c>
      <c r="D1632" s="1" t="n">
        <f aca="false">_xlfn.BITAND(A1632,1)</f>
        <v>0</v>
      </c>
      <c r="F1632" s="1" t="str">
        <f aca="false">DEC2HEX(B1632*$N$3*18)</f>
        <v>19500</v>
      </c>
      <c r="G1632" s="1" t="str">
        <f aca="false">DEC2HEX(C1632*7)</f>
        <v>23</v>
      </c>
      <c r="H1632" s="1" t="n">
        <f aca="false">IF(D1632=0, 33, "cc")</f>
        <v>33</v>
      </c>
    </row>
    <row r="1633" customFormat="false" ht="18.65" hidden="false" customHeight="true" outlineLevel="0" collapsed="false">
      <c r="A1633" s="1" t="n">
        <f aca="false">ROW()-2</f>
        <v>1631</v>
      </c>
      <c r="B1633" s="1" t="n">
        <f aca="false">INT(A1633/$N$1)</f>
        <v>90</v>
      </c>
      <c r="C1633" s="1" t="n">
        <f aca="false">INT(MOD(A1633,$N$1) / 2)</f>
        <v>5</v>
      </c>
      <c r="D1633" s="1" t="n">
        <f aca="false">_xlfn.BITAND(A1633,1)</f>
        <v>1</v>
      </c>
      <c r="F1633" s="1" t="str">
        <f aca="false">DEC2HEX(B1633*$N$3*18)</f>
        <v>19500</v>
      </c>
      <c r="G1633" s="1" t="str">
        <f aca="false">DEC2HEX(C1633*7)</f>
        <v>23</v>
      </c>
      <c r="H1633" s="1" t="str">
        <f aca="false">IF(D1633=0, 33, "cc")</f>
        <v>cc</v>
      </c>
    </row>
    <row r="1634" customFormat="false" ht="18.65" hidden="false" customHeight="true" outlineLevel="0" collapsed="false">
      <c r="A1634" s="1" t="n">
        <f aca="false">ROW()-2</f>
        <v>1632</v>
      </c>
      <c r="B1634" s="1" t="n">
        <f aca="false">INT(A1634/$N$1)</f>
        <v>90</v>
      </c>
      <c r="C1634" s="1" t="n">
        <f aca="false">INT(MOD(A1634,$N$1) / 2)</f>
        <v>6</v>
      </c>
      <c r="D1634" s="1" t="n">
        <f aca="false">_xlfn.BITAND(A1634,1)</f>
        <v>0</v>
      </c>
      <c r="F1634" s="1" t="str">
        <f aca="false">DEC2HEX(B1634*$N$3*18)</f>
        <v>19500</v>
      </c>
      <c r="G1634" s="1" t="str">
        <f aca="false">DEC2HEX(C1634*7)</f>
        <v>2A</v>
      </c>
      <c r="H1634" s="1" t="n">
        <f aca="false">IF(D1634=0, 33, "cc")</f>
        <v>33</v>
      </c>
    </row>
    <row r="1635" customFormat="false" ht="18.65" hidden="false" customHeight="true" outlineLevel="0" collapsed="false">
      <c r="A1635" s="1" t="n">
        <f aca="false">ROW()-2</f>
        <v>1633</v>
      </c>
      <c r="B1635" s="1" t="n">
        <f aca="false">INT(A1635/$N$1)</f>
        <v>90</v>
      </c>
      <c r="C1635" s="1" t="n">
        <f aca="false">INT(MOD(A1635,$N$1) / 2)</f>
        <v>6</v>
      </c>
      <c r="D1635" s="1" t="n">
        <f aca="false">_xlfn.BITAND(A1635,1)</f>
        <v>1</v>
      </c>
      <c r="F1635" s="1" t="str">
        <f aca="false">DEC2HEX(B1635*$N$3*18)</f>
        <v>19500</v>
      </c>
      <c r="G1635" s="1" t="str">
        <f aca="false">DEC2HEX(C1635*7)</f>
        <v>2A</v>
      </c>
      <c r="H1635" s="1" t="str">
        <f aca="false">IF(D1635=0, 33, "cc")</f>
        <v>cc</v>
      </c>
    </row>
    <row r="1636" customFormat="false" ht="18.65" hidden="false" customHeight="true" outlineLevel="0" collapsed="false">
      <c r="A1636" s="1" t="n">
        <f aca="false">ROW()-2</f>
        <v>1634</v>
      </c>
      <c r="B1636" s="1" t="n">
        <f aca="false">INT(A1636/$N$1)</f>
        <v>90</v>
      </c>
      <c r="C1636" s="1" t="n">
        <f aca="false">INT(MOD(A1636,$N$1) / 2)</f>
        <v>7</v>
      </c>
      <c r="D1636" s="1" t="n">
        <f aca="false">_xlfn.BITAND(A1636,1)</f>
        <v>0</v>
      </c>
      <c r="F1636" s="1" t="str">
        <f aca="false">DEC2HEX(B1636*$N$3*18)</f>
        <v>19500</v>
      </c>
      <c r="G1636" s="1" t="str">
        <f aca="false">DEC2HEX(C1636*7)</f>
        <v>31</v>
      </c>
      <c r="H1636" s="1" t="n">
        <f aca="false">IF(D1636=0, 33, "cc")</f>
        <v>33</v>
      </c>
    </row>
    <row r="1637" customFormat="false" ht="18.65" hidden="false" customHeight="true" outlineLevel="0" collapsed="false">
      <c r="A1637" s="1" t="n">
        <f aca="false">ROW()-2</f>
        <v>1635</v>
      </c>
      <c r="B1637" s="1" t="n">
        <f aca="false">INT(A1637/$N$1)</f>
        <v>90</v>
      </c>
      <c r="C1637" s="1" t="n">
        <f aca="false">INT(MOD(A1637,$N$1) / 2)</f>
        <v>7</v>
      </c>
      <c r="D1637" s="1" t="n">
        <f aca="false">_xlfn.BITAND(A1637,1)</f>
        <v>1</v>
      </c>
      <c r="F1637" s="1" t="str">
        <f aca="false">DEC2HEX(B1637*$N$3*18)</f>
        <v>19500</v>
      </c>
      <c r="G1637" s="1" t="str">
        <f aca="false">DEC2HEX(C1637*7)</f>
        <v>31</v>
      </c>
      <c r="H1637" s="1" t="str">
        <f aca="false">IF(D1637=0, 33, "cc")</f>
        <v>cc</v>
      </c>
    </row>
    <row r="1638" customFormat="false" ht="18.65" hidden="false" customHeight="true" outlineLevel="0" collapsed="false">
      <c r="A1638" s="1" t="n">
        <f aca="false">ROW()-2</f>
        <v>1636</v>
      </c>
      <c r="B1638" s="1" t="n">
        <f aca="false">INT(A1638/$N$1)</f>
        <v>90</v>
      </c>
      <c r="C1638" s="1" t="n">
        <f aca="false">INT(MOD(A1638,$N$1) / 2)</f>
        <v>8</v>
      </c>
      <c r="D1638" s="1" t="n">
        <f aca="false">_xlfn.BITAND(A1638,1)</f>
        <v>0</v>
      </c>
      <c r="F1638" s="1" t="str">
        <f aca="false">DEC2HEX(B1638*$N$3*18)</f>
        <v>19500</v>
      </c>
      <c r="G1638" s="1" t="str">
        <f aca="false">DEC2HEX(C1638*7)</f>
        <v>38</v>
      </c>
      <c r="H1638" s="1" t="n">
        <f aca="false">IF(D1638=0, 33, "cc")</f>
        <v>33</v>
      </c>
    </row>
    <row r="1639" customFormat="false" ht="18.65" hidden="false" customHeight="true" outlineLevel="0" collapsed="false">
      <c r="A1639" s="1" t="n">
        <f aca="false">ROW()-2</f>
        <v>1637</v>
      </c>
      <c r="B1639" s="1" t="n">
        <f aca="false">INT(A1639/$N$1)</f>
        <v>90</v>
      </c>
      <c r="C1639" s="1" t="n">
        <f aca="false">INT(MOD(A1639,$N$1) / 2)</f>
        <v>8</v>
      </c>
      <c r="D1639" s="1" t="n">
        <f aca="false">_xlfn.BITAND(A1639,1)</f>
        <v>1</v>
      </c>
      <c r="F1639" s="1" t="str">
        <f aca="false">DEC2HEX(B1639*$N$3*18)</f>
        <v>19500</v>
      </c>
      <c r="G1639" s="1" t="str">
        <f aca="false">DEC2HEX(C1639*7)</f>
        <v>38</v>
      </c>
      <c r="H1639" s="1" t="str">
        <f aca="false">IF(D1639=0, 33, "cc")</f>
        <v>cc</v>
      </c>
    </row>
    <row r="1640" customFormat="false" ht="18.65" hidden="false" customHeight="true" outlineLevel="0" collapsed="false">
      <c r="A1640" s="1" t="n">
        <f aca="false">ROW()-2</f>
        <v>1638</v>
      </c>
      <c r="B1640" s="1" t="n">
        <f aca="false">INT(A1640/$N$1)</f>
        <v>91</v>
      </c>
      <c r="C1640" s="1" t="n">
        <f aca="false">INT(MOD(A1640,$N$1) / 2)</f>
        <v>0</v>
      </c>
      <c r="D1640" s="1" t="n">
        <f aca="false">_xlfn.BITAND(A1640,1)</f>
        <v>0</v>
      </c>
      <c r="F1640" s="1" t="str">
        <f aca="false">DEC2HEX(B1640*$N$3*18)</f>
        <v>19980</v>
      </c>
      <c r="G1640" s="1" t="str">
        <f aca="false">DEC2HEX(C1640*7)</f>
        <v>0</v>
      </c>
      <c r="H1640" s="1" t="n">
        <f aca="false">IF(D1640=0, 33, "cc")</f>
        <v>33</v>
      </c>
    </row>
    <row r="1641" customFormat="false" ht="18.65" hidden="false" customHeight="true" outlineLevel="0" collapsed="false">
      <c r="A1641" s="1" t="n">
        <f aca="false">ROW()-2</f>
        <v>1639</v>
      </c>
      <c r="B1641" s="1" t="n">
        <f aca="false">INT(A1641/$N$1)</f>
        <v>91</v>
      </c>
      <c r="C1641" s="1" t="n">
        <f aca="false">INT(MOD(A1641,$N$1) / 2)</f>
        <v>0</v>
      </c>
      <c r="D1641" s="1" t="n">
        <f aca="false">_xlfn.BITAND(A1641,1)</f>
        <v>1</v>
      </c>
      <c r="F1641" s="1" t="str">
        <f aca="false">DEC2HEX(B1641*$N$3*18)</f>
        <v>19980</v>
      </c>
      <c r="G1641" s="1" t="str">
        <f aca="false">DEC2HEX(C1641*7)</f>
        <v>0</v>
      </c>
      <c r="H1641" s="1" t="str">
        <f aca="false">IF(D1641=0, 33, "cc")</f>
        <v>cc</v>
      </c>
    </row>
    <row r="1642" customFormat="false" ht="18.65" hidden="false" customHeight="true" outlineLevel="0" collapsed="false">
      <c r="A1642" s="1" t="n">
        <f aca="false">ROW()-2</f>
        <v>1640</v>
      </c>
      <c r="B1642" s="1" t="n">
        <f aca="false">INT(A1642/$N$1)</f>
        <v>91</v>
      </c>
      <c r="C1642" s="1" t="n">
        <f aca="false">INT(MOD(A1642,$N$1) / 2)</f>
        <v>1</v>
      </c>
      <c r="D1642" s="1" t="n">
        <f aca="false">_xlfn.BITAND(A1642,1)</f>
        <v>0</v>
      </c>
      <c r="F1642" s="1" t="str">
        <f aca="false">DEC2HEX(B1642*$N$3*18)</f>
        <v>19980</v>
      </c>
      <c r="G1642" s="1" t="str">
        <f aca="false">DEC2HEX(C1642*7)</f>
        <v>7</v>
      </c>
      <c r="H1642" s="1" t="n">
        <f aca="false">IF(D1642=0, 33, "cc")</f>
        <v>33</v>
      </c>
    </row>
    <row r="1643" customFormat="false" ht="18.65" hidden="false" customHeight="true" outlineLevel="0" collapsed="false">
      <c r="A1643" s="1" t="n">
        <f aca="false">ROW()-2</f>
        <v>1641</v>
      </c>
      <c r="B1643" s="1" t="n">
        <f aca="false">INT(A1643/$N$1)</f>
        <v>91</v>
      </c>
      <c r="C1643" s="1" t="n">
        <f aca="false">INT(MOD(A1643,$N$1) / 2)</f>
        <v>1</v>
      </c>
      <c r="D1643" s="1" t="n">
        <f aca="false">_xlfn.BITAND(A1643,1)</f>
        <v>1</v>
      </c>
      <c r="F1643" s="1" t="str">
        <f aca="false">DEC2HEX(B1643*$N$3*18)</f>
        <v>19980</v>
      </c>
      <c r="G1643" s="1" t="str">
        <f aca="false">DEC2HEX(C1643*7)</f>
        <v>7</v>
      </c>
      <c r="H1643" s="1" t="str">
        <f aca="false">IF(D1643=0, 33, "cc")</f>
        <v>cc</v>
      </c>
    </row>
    <row r="1644" customFormat="false" ht="18.65" hidden="false" customHeight="true" outlineLevel="0" collapsed="false">
      <c r="A1644" s="1" t="n">
        <f aca="false">ROW()-2</f>
        <v>1642</v>
      </c>
      <c r="B1644" s="1" t="n">
        <f aca="false">INT(A1644/$N$1)</f>
        <v>91</v>
      </c>
      <c r="C1644" s="1" t="n">
        <f aca="false">INT(MOD(A1644,$N$1) / 2)</f>
        <v>2</v>
      </c>
      <c r="D1644" s="1" t="n">
        <f aca="false">_xlfn.BITAND(A1644,1)</f>
        <v>0</v>
      </c>
      <c r="F1644" s="1" t="str">
        <f aca="false">DEC2HEX(B1644*$N$3*18)</f>
        <v>19980</v>
      </c>
      <c r="G1644" s="1" t="str">
        <f aca="false">DEC2HEX(C1644*7)</f>
        <v>E</v>
      </c>
      <c r="H1644" s="1" t="n">
        <f aca="false">IF(D1644=0, 33, "cc")</f>
        <v>33</v>
      </c>
    </row>
    <row r="1645" customFormat="false" ht="18.65" hidden="false" customHeight="true" outlineLevel="0" collapsed="false">
      <c r="A1645" s="1" t="n">
        <f aca="false">ROW()-2</f>
        <v>1643</v>
      </c>
      <c r="B1645" s="1" t="n">
        <f aca="false">INT(A1645/$N$1)</f>
        <v>91</v>
      </c>
      <c r="C1645" s="1" t="n">
        <f aca="false">INT(MOD(A1645,$N$1) / 2)</f>
        <v>2</v>
      </c>
      <c r="D1645" s="1" t="n">
        <f aca="false">_xlfn.BITAND(A1645,1)</f>
        <v>1</v>
      </c>
      <c r="F1645" s="1" t="str">
        <f aca="false">DEC2HEX(B1645*$N$3*18)</f>
        <v>19980</v>
      </c>
      <c r="G1645" s="1" t="str">
        <f aca="false">DEC2HEX(C1645*7)</f>
        <v>E</v>
      </c>
      <c r="H1645" s="1" t="str">
        <f aca="false">IF(D1645=0, 33, "cc")</f>
        <v>cc</v>
      </c>
    </row>
    <row r="1646" customFormat="false" ht="18.65" hidden="false" customHeight="true" outlineLevel="0" collapsed="false">
      <c r="A1646" s="1" t="n">
        <f aca="false">ROW()-2</f>
        <v>1644</v>
      </c>
      <c r="B1646" s="1" t="n">
        <f aca="false">INT(A1646/$N$1)</f>
        <v>91</v>
      </c>
      <c r="C1646" s="1" t="n">
        <f aca="false">INT(MOD(A1646,$N$1) / 2)</f>
        <v>3</v>
      </c>
      <c r="D1646" s="1" t="n">
        <f aca="false">_xlfn.BITAND(A1646,1)</f>
        <v>0</v>
      </c>
      <c r="F1646" s="1" t="str">
        <f aca="false">DEC2HEX(B1646*$N$3*18)</f>
        <v>19980</v>
      </c>
      <c r="G1646" s="1" t="str">
        <f aca="false">DEC2HEX(C1646*7)</f>
        <v>15</v>
      </c>
      <c r="H1646" s="1" t="n">
        <f aca="false">IF(D1646=0, 33, "cc")</f>
        <v>33</v>
      </c>
    </row>
    <row r="1647" customFormat="false" ht="18.65" hidden="false" customHeight="true" outlineLevel="0" collapsed="false">
      <c r="A1647" s="1" t="n">
        <f aca="false">ROW()-2</f>
        <v>1645</v>
      </c>
      <c r="B1647" s="1" t="n">
        <f aca="false">INT(A1647/$N$1)</f>
        <v>91</v>
      </c>
      <c r="C1647" s="1" t="n">
        <f aca="false">INT(MOD(A1647,$N$1) / 2)</f>
        <v>3</v>
      </c>
      <c r="D1647" s="1" t="n">
        <f aca="false">_xlfn.BITAND(A1647,1)</f>
        <v>1</v>
      </c>
      <c r="F1647" s="1" t="str">
        <f aca="false">DEC2HEX(B1647*$N$3*18)</f>
        <v>19980</v>
      </c>
      <c r="G1647" s="1" t="str">
        <f aca="false">DEC2HEX(C1647*7)</f>
        <v>15</v>
      </c>
      <c r="H1647" s="1" t="str">
        <f aca="false">IF(D1647=0, 33, "cc")</f>
        <v>cc</v>
      </c>
    </row>
    <row r="1648" customFormat="false" ht="18.65" hidden="false" customHeight="true" outlineLevel="0" collapsed="false">
      <c r="A1648" s="1" t="n">
        <f aca="false">ROW()-2</f>
        <v>1646</v>
      </c>
      <c r="B1648" s="1" t="n">
        <f aca="false">INT(A1648/$N$1)</f>
        <v>91</v>
      </c>
      <c r="C1648" s="1" t="n">
        <f aca="false">INT(MOD(A1648,$N$1) / 2)</f>
        <v>4</v>
      </c>
      <c r="D1648" s="1" t="n">
        <f aca="false">_xlfn.BITAND(A1648,1)</f>
        <v>0</v>
      </c>
      <c r="F1648" s="1" t="str">
        <f aca="false">DEC2HEX(B1648*$N$3*18)</f>
        <v>19980</v>
      </c>
      <c r="G1648" s="1" t="str">
        <f aca="false">DEC2HEX(C1648*7)</f>
        <v>1C</v>
      </c>
      <c r="H1648" s="1" t="n">
        <f aca="false">IF(D1648=0, 33, "cc")</f>
        <v>33</v>
      </c>
    </row>
    <row r="1649" customFormat="false" ht="18.65" hidden="false" customHeight="true" outlineLevel="0" collapsed="false">
      <c r="A1649" s="1" t="n">
        <f aca="false">ROW()-2</f>
        <v>1647</v>
      </c>
      <c r="B1649" s="1" t="n">
        <f aca="false">INT(A1649/$N$1)</f>
        <v>91</v>
      </c>
      <c r="C1649" s="1" t="n">
        <f aca="false">INT(MOD(A1649,$N$1) / 2)</f>
        <v>4</v>
      </c>
      <c r="D1649" s="1" t="n">
        <f aca="false">_xlfn.BITAND(A1649,1)</f>
        <v>1</v>
      </c>
      <c r="F1649" s="1" t="str">
        <f aca="false">DEC2HEX(B1649*$N$3*18)</f>
        <v>19980</v>
      </c>
      <c r="G1649" s="1" t="str">
        <f aca="false">DEC2HEX(C1649*7)</f>
        <v>1C</v>
      </c>
      <c r="H1649" s="1" t="str">
        <f aca="false">IF(D1649=0, 33, "cc")</f>
        <v>cc</v>
      </c>
    </row>
    <row r="1650" customFormat="false" ht="18.65" hidden="false" customHeight="true" outlineLevel="0" collapsed="false">
      <c r="A1650" s="1" t="n">
        <f aca="false">ROW()-2</f>
        <v>1648</v>
      </c>
      <c r="B1650" s="1" t="n">
        <f aca="false">INT(A1650/$N$1)</f>
        <v>91</v>
      </c>
      <c r="C1650" s="1" t="n">
        <f aca="false">INT(MOD(A1650,$N$1) / 2)</f>
        <v>5</v>
      </c>
      <c r="D1650" s="1" t="n">
        <f aca="false">_xlfn.BITAND(A1650,1)</f>
        <v>0</v>
      </c>
      <c r="F1650" s="1" t="str">
        <f aca="false">DEC2HEX(B1650*$N$3*18)</f>
        <v>19980</v>
      </c>
      <c r="G1650" s="1" t="str">
        <f aca="false">DEC2HEX(C1650*7)</f>
        <v>23</v>
      </c>
      <c r="H1650" s="1" t="n">
        <f aca="false">IF(D1650=0, 33, "cc")</f>
        <v>33</v>
      </c>
    </row>
    <row r="1651" customFormat="false" ht="18.65" hidden="false" customHeight="true" outlineLevel="0" collapsed="false">
      <c r="A1651" s="1" t="n">
        <f aca="false">ROW()-2</f>
        <v>1649</v>
      </c>
      <c r="B1651" s="1" t="n">
        <f aca="false">INT(A1651/$N$1)</f>
        <v>91</v>
      </c>
      <c r="C1651" s="1" t="n">
        <f aca="false">INT(MOD(A1651,$N$1) / 2)</f>
        <v>5</v>
      </c>
      <c r="D1651" s="1" t="n">
        <f aca="false">_xlfn.BITAND(A1651,1)</f>
        <v>1</v>
      </c>
      <c r="F1651" s="1" t="str">
        <f aca="false">DEC2HEX(B1651*$N$3*18)</f>
        <v>19980</v>
      </c>
      <c r="G1651" s="1" t="str">
        <f aca="false">DEC2HEX(C1651*7)</f>
        <v>23</v>
      </c>
      <c r="H1651" s="1" t="str">
        <f aca="false">IF(D1651=0, 33, "cc")</f>
        <v>cc</v>
      </c>
    </row>
    <row r="1652" customFormat="false" ht="18.65" hidden="false" customHeight="true" outlineLevel="0" collapsed="false">
      <c r="A1652" s="1" t="n">
        <f aca="false">ROW()-2</f>
        <v>1650</v>
      </c>
      <c r="B1652" s="1" t="n">
        <f aca="false">INT(A1652/$N$1)</f>
        <v>91</v>
      </c>
      <c r="C1652" s="1" t="n">
        <f aca="false">INT(MOD(A1652,$N$1) / 2)</f>
        <v>6</v>
      </c>
      <c r="D1652" s="1" t="n">
        <f aca="false">_xlfn.BITAND(A1652,1)</f>
        <v>0</v>
      </c>
      <c r="F1652" s="1" t="str">
        <f aca="false">DEC2HEX(B1652*$N$3*18)</f>
        <v>19980</v>
      </c>
      <c r="G1652" s="1" t="str">
        <f aca="false">DEC2HEX(C1652*7)</f>
        <v>2A</v>
      </c>
      <c r="H1652" s="1" t="n">
        <f aca="false">IF(D1652=0, 33, "cc")</f>
        <v>33</v>
      </c>
    </row>
    <row r="1653" customFormat="false" ht="18.65" hidden="false" customHeight="true" outlineLevel="0" collapsed="false">
      <c r="A1653" s="1" t="n">
        <f aca="false">ROW()-2</f>
        <v>1651</v>
      </c>
      <c r="B1653" s="1" t="n">
        <f aca="false">INT(A1653/$N$1)</f>
        <v>91</v>
      </c>
      <c r="C1653" s="1" t="n">
        <f aca="false">INT(MOD(A1653,$N$1) / 2)</f>
        <v>6</v>
      </c>
      <c r="D1653" s="1" t="n">
        <f aca="false">_xlfn.BITAND(A1653,1)</f>
        <v>1</v>
      </c>
      <c r="F1653" s="1" t="str">
        <f aca="false">DEC2HEX(B1653*$N$3*18)</f>
        <v>19980</v>
      </c>
      <c r="G1653" s="1" t="str">
        <f aca="false">DEC2HEX(C1653*7)</f>
        <v>2A</v>
      </c>
      <c r="H1653" s="1" t="str">
        <f aca="false">IF(D1653=0, 33, "cc")</f>
        <v>cc</v>
      </c>
    </row>
    <row r="1654" customFormat="false" ht="18.65" hidden="false" customHeight="true" outlineLevel="0" collapsed="false">
      <c r="A1654" s="1" t="n">
        <f aca="false">ROW()-2</f>
        <v>1652</v>
      </c>
      <c r="B1654" s="1" t="n">
        <f aca="false">INT(A1654/$N$1)</f>
        <v>91</v>
      </c>
      <c r="C1654" s="1" t="n">
        <f aca="false">INT(MOD(A1654,$N$1) / 2)</f>
        <v>7</v>
      </c>
      <c r="D1654" s="1" t="n">
        <f aca="false">_xlfn.BITAND(A1654,1)</f>
        <v>0</v>
      </c>
      <c r="F1654" s="1" t="str">
        <f aca="false">DEC2HEX(B1654*$N$3*18)</f>
        <v>19980</v>
      </c>
      <c r="G1654" s="1" t="str">
        <f aca="false">DEC2HEX(C1654*7)</f>
        <v>31</v>
      </c>
      <c r="H1654" s="1" t="n">
        <f aca="false">IF(D1654=0, 33, "cc")</f>
        <v>33</v>
      </c>
    </row>
    <row r="1655" customFormat="false" ht="18.65" hidden="false" customHeight="true" outlineLevel="0" collapsed="false">
      <c r="A1655" s="1" t="n">
        <f aca="false">ROW()-2</f>
        <v>1653</v>
      </c>
      <c r="B1655" s="1" t="n">
        <f aca="false">INT(A1655/$N$1)</f>
        <v>91</v>
      </c>
      <c r="C1655" s="1" t="n">
        <f aca="false">INT(MOD(A1655,$N$1) / 2)</f>
        <v>7</v>
      </c>
      <c r="D1655" s="1" t="n">
        <f aca="false">_xlfn.BITAND(A1655,1)</f>
        <v>1</v>
      </c>
      <c r="F1655" s="1" t="str">
        <f aca="false">DEC2HEX(B1655*$N$3*18)</f>
        <v>19980</v>
      </c>
      <c r="G1655" s="1" t="str">
        <f aca="false">DEC2HEX(C1655*7)</f>
        <v>31</v>
      </c>
      <c r="H1655" s="1" t="str">
        <f aca="false">IF(D1655=0, 33, "cc")</f>
        <v>cc</v>
      </c>
    </row>
    <row r="1656" customFormat="false" ht="18.65" hidden="false" customHeight="true" outlineLevel="0" collapsed="false">
      <c r="A1656" s="1" t="n">
        <f aca="false">ROW()-2</f>
        <v>1654</v>
      </c>
      <c r="B1656" s="1" t="n">
        <f aca="false">INT(A1656/$N$1)</f>
        <v>91</v>
      </c>
      <c r="C1656" s="1" t="n">
        <f aca="false">INT(MOD(A1656,$N$1) / 2)</f>
        <v>8</v>
      </c>
      <c r="D1656" s="1" t="n">
        <f aca="false">_xlfn.BITAND(A1656,1)</f>
        <v>0</v>
      </c>
      <c r="F1656" s="1" t="str">
        <f aca="false">DEC2HEX(B1656*$N$3*18)</f>
        <v>19980</v>
      </c>
      <c r="G1656" s="1" t="str">
        <f aca="false">DEC2HEX(C1656*7)</f>
        <v>38</v>
      </c>
      <c r="H1656" s="1" t="n">
        <f aca="false">IF(D1656=0, 33, "cc")</f>
        <v>33</v>
      </c>
    </row>
    <row r="1657" customFormat="false" ht="18.65" hidden="false" customHeight="true" outlineLevel="0" collapsed="false">
      <c r="A1657" s="1" t="n">
        <f aca="false">ROW()-2</f>
        <v>1655</v>
      </c>
      <c r="B1657" s="1" t="n">
        <f aca="false">INT(A1657/$N$1)</f>
        <v>91</v>
      </c>
      <c r="C1657" s="1" t="n">
        <f aca="false">INT(MOD(A1657,$N$1) / 2)</f>
        <v>8</v>
      </c>
      <c r="D1657" s="1" t="n">
        <f aca="false">_xlfn.BITAND(A1657,1)</f>
        <v>1</v>
      </c>
      <c r="F1657" s="1" t="str">
        <f aca="false">DEC2HEX(B1657*$N$3*18)</f>
        <v>19980</v>
      </c>
      <c r="G1657" s="1" t="str">
        <f aca="false">DEC2HEX(C1657*7)</f>
        <v>38</v>
      </c>
      <c r="H1657" s="1" t="str">
        <f aca="false">IF(D1657=0, 33, "cc")</f>
        <v>cc</v>
      </c>
    </row>
    <row r="1658" customFormat="false" ht="18.65" hidden="false" customHeight="true" outlineLevel="0" collapsed="false">
      <c r="A1658" s="1" t="n">
        <f aca="false">ROW()-2</f>
        <v>1656</v>
      </c>
      <c r="B1658" s="1" t="n">
        <f aca="false">INT(A1658/$N$1)</f>
        <v>92</v>
      </c>
      <c r="C1658" s="1" t="n">
        <f aca="false">INT(MOD(A1658,$N$1) / 2)</f>
        <v>0</v>
      </c>
      <c r="D1658" s="1" t="n">
        <f aca="false">_xlfn.BITAND(A1658,1)</f>
        <v>0</v>
      </c>
      <c r="F1658" s="1" t="str">
        <f aca="false">DEC2HEX(B1658*$N$3*18)</f>
        <v>19E00</v>
      </c>
      <c r="G1658" s="1" t="str">
        <f aca="false">DEC2HEX(C1658*7)</f>
        <v>0</v>
      </c>
      <c r="H1658" s="1" t="n">
        <f aca="false">IF(D1658=0, 33, "cc")</f>
        <v>33</v>
      </c>
    </row>
    <row r="1659" customFormat="false" ht="18.65" hidden="false" customHeight="true" outlineLevel="0" collapsed="false">
      <c r="A1659" s="1" t="n">
        <f aca="false">ROW()-2</f>
        <v>1657</v>
      </c>
      <c r="B1659" s="1" t="n">
        <f aca="false">INT(A1659/$N$1)</f>
        <v>92</v>
      </c>
      <c r="C1659" s="1" t="n">
        <f aca="false">INT(MOD(A1659,$N$1) / 2)</f>
        <v>0</v>
      </c>
      <c r="D1659" s="1" t="n">
        <f aca="false">_xlfn.BITAND(A1659,1)</f>
        <v>1</v>
      </c>
      <c r="F1659" s="1" t="str">
        <f aca="false">DEC2HEX(B1659*$N$3*18)</f>
        <v>19E00</v>
      </c>
      <c r="G1659" s="1" t="str">
        <f aca="false">DEC2HEX(C1659*7)</f>
        <v>0</v>
      </c>
      <c r="H1659" s="1" t="str">
        <f aca="false">IF(D1659=0, 33, "cc")</f>
        <v>cc</v>
      </c>
    </row>
    <row r="1660" customFormat="false" ht="18.65" hidden="false" customHeight="true" outlineLevel="0" collapsed="false">
      <c r="A1660" s="1" t="n">
        <f aca="false">ROW()-2</f>
        <v>1658</v>
      </c>
      <c r="B1660" s="1" t="n">
        <f aca="false">INT(A1660/$N$1)</f>
        <v>92</v>
      </c>
      <c r="C1660" s="1" t="n">
        <f aca="false">INT(MOD(A1660,$N$1) / 2)</f>
        <v>1</v>
      </c>
      <c r="D1660" s="1" t="n">
        <f aca="false">_xlfn.BITAND(A1660,1)</f>
        <v>0</v>
      </c>
      <c r="F1660" s="1" t="str">
        <f aca="false">DEC2HEX(B1660*$N$3*18)</f>
        <v>19E00</v>
      </c>
      <c r="G1660" s="1" t="str">
        <f aca="false">DEC2HEX(C1660*7)</f>
        <v>7</v>
      </c>
      <c r="H1660" s="1" t="n">
        <f aca="false">IF(D1660=0, 33, "cc")</f>
        <v>33</v>
      </c>
    </row>
    <row r="1661" customFormat="false" ht="18.65" hidden="false" customHeight="true" outlineLevel="0" collapsed="false">
      <c r="A1661" s="1" t="n">
        <f aca="false">ROW()-2</f>
        <v>1659</v>
      </c>
      <c r="B1661" s="1" t="n">
        <f aca="false">INT(A1661/$N$1)</f>
        <v>92</v>
      </c>
      <c r="C1661" s="1" t="n">
        <f aca="false">INT(MOD(A1661,$N$1) / 2)</f>
        <v>1</v>
      </c>
      <c r="D1661" s="1" t="n">
        <f aca="false">_xlfn.BITAND(A1661,1)</f>
        <v>1</v>
      </c>
      <c r="F1661" s="1" t="str">
        <f aca="false">DEC2HEX(B1661*$N$3*18)</f>
        <v>19E00</v>
      </c>
      <c r="G1661" s="1" t="str">
        <f aca="false">DEC2HEX(C1661*7)</f>
        <v>7</v>
      </c>
      <c r="H1661" s="1" t="str">
        <f aca="false">IF(D1661=0, 33, "cc")</f>
        <v>cc</v>
      </c>
    </row>
    <row r="1662" customFormat="false" ht="18.65" hidden="false" customHeight="true" outlineLevel="0" collapsed="false">
      <c r="A1662" s="1" t="n">
        <f aca="false">ROW()-2</f>
        <v>1660</v>
      </c>
      <c r="B1662" s="1" t="n">
        <f aca="false">INT(A1662/$N$1)</f>
        <v>92</v>
      </c>
      <c r="C1662" s="1" t="n">
        <f aca="false">INT(MOD(A1662,$N$1) / 2)</f>
        <v>2</v>
      </c>
      <c r="D1662" s="1" t="n">
        <f aca="false">_xlfn.BITAND(A1662,1)</f>
        <v>0</v>
      </c>
      <c r="F1662" s="1" t="str">
        <f aca="false">DEC2HEX(B1662*$N$3*18)</f>
        <v>19E00</v>
      </c>
      <c r="G1662" s="1" t="str">
        <f aca="false">DEC2HEX(C1662*7)</f>
        <v>E</v>
      </c>
      <c r="H1662" s="1" t="n">
        <f aca="false">IF(D1662=0, 33, "cc")</f>
        <v>33</v>
      </c>
    </row>
    <row r="1663" customFormat="false" ht="18.65" hidden="false" customHeight="true" outlineLevel="0" collapsed="false">
      <c r="A1663" s="1" t="n">
        <f aca="false">ROW()-2</f>
        <v>1661</v>
      </c>
      <c r="B1663" s="1" t="n">
        <f aca="false">INT(A1663/$N$1)</f>
        <v>92</v>
      </c>
      <c r="C1663" s="1" t="n">
        <f aca="false">INT(MOD(A1663,$N$1) / 2)</f>
        <v>2</v>
      </c>
      <c r="D1663" s="1" t="n">
        <f aca="false">_xlfn.BITAND(A1663,1)</f>
        <v>1</v>
      </c>
      <c r="F1663" s="1" t="str">
        <f aca="false">DEC2HEX(B1663*$N$3*18)</f>
        <v>19E00</v>
      </c>
      <c r="G1663" s="1" t="str">
        <f aca="false">DEC2HEX(C1663*7)</f>
        <v>E</v>
      </c>
      <c r="H1663" s="1" t="str">
        <f aca="false">IF(D1663=0, 33, "cc")</f>
        <v>cc</v>
      </c>
    </row>
    <row r="1664" customFormat="false" ht="18.65" hidden="false" customHeight="true" outlineLevel="0" collapsed="false">
      <c r="A1664" s="1" t="n">
        <f aca="false">ROW()-2</f>
        <v>1662</v>
      </c>
      <c r="B1664" s="1" t="n">
        <f aca="false">INT(A1664/$N$1)</f>
        <v>92</v>
      </c>
      <c r="C1664" s="1" t="n">
        <f aca="false">INT(MOD(A1664,$N$1) / 2)</f>
        <v>3</v>
      </c>
      <c r="D1664" s="1" t="n">
        <f aca="false">_xlfn.BITAND(A1664,1)</f>
        <v>0</v>
      </c>
      <c r="F1664" s="1" t="str">
        <f aca="false">DEC2HEX(B1664*$N$3*18)</f>
        <v>19E00</v>
      </c>
      <c r="G1664" s="1" t="str">
        <f aca="false">DEC2HEX(C1664*7)</f>
        <v>15</v>
      </c>
      <c r="H1664" s="1" t="n">
        <f aca="false">IF(D1664=0, 33, "cc")</f>
        <v>33</v>
      </c>
    </row>
    <row r="1665" customFormat="false" ht="18.65" hidden="false" customHeight="true" outlineLevel="0" collapsed="false">
      <c r="A1665" s="1" t="n">
        <f aca="false">ROW()-2</f>
        <v>1663</v>
      </c>
      <c r="B1665" s="1" t="n">
        <f aca="false">INT(A1665/$N$1)</f>
        <v>92</v>
      </c>
      <c r="C1665" s="1" t="n">
        <f aca="false">INT(MOD(A1665,$N$1) / 2)</f>
        <v>3</v>
      </c>
      <c r="D1665" s="1" t="n">
        <f aca="false">_xlfn.BITAND(A1665,1)</f>
        <v>1</v>
      </c>
      <c r="F1665" s="1" t="str">
        <f aca="false">DEC2HEX(B1665*$N$3*18)</f>
        <v>19E00</v>
      </c>
      <c r="G1665" s="1" t="str">
        <f aca="false">DEC2HEX(C1665*7)</f>
        <v>15</v>
      </c>
      <c r="H1665" s="1" t="str">
        <f aca="false">IF(D1665=0, 33, "cc")</f>
        <v>cc</v>
      </c>
    </row>
    <row r="1666" customFormat="false" ht="18.65" hidden="false" customHeight="true" outlineLevel="0" collapsed="false">
      <c r="A1666" s="1" t="n">
        <f aca="false">ROW()-2</f>
        <v>1664</v>
      </c>
      <c r="B1666" s="1" t="n">
        <f aca="false">INT(A1666/$N$1)</f>
        <v>92</v>
      </c>
      <c r="C1666" s="1" t="n">
        <f aca="false">INT(MOD(A1666,$N$1) / 2)</f>
        <v>4</v>
      </c>
      <c r="D1666" s="1" t="n">
        <f aca="false">_xlfn.BITAND(A1666,1)</f>
        <v>0</v>
      </c>
      <c r="F1666" s="1" t="str">
        <f aca="false">DEC2HEX(B1666*$N$3*18)</f>
        <v>19E00</v>
      </c>
      <c r="G1666" s="1" t="str">
        <f aca="false">DEC2HEX(C1666*7)</f>
        <v>1C</v>
      </c>
      <c r="H1666" s="1" t="n">
        <f aca="false">IF(D1666=0, 33, "cc")</f>
        <v>33</v>
      </c>
    </row>
    <row r="1667" customFormat="false" ht="18.65" hidden="false" customHeight="true" outlineLevel="0" collapsed="false">
      <c r="A1667" s="1" t="n">
        <f aca="false">ROW()-2</f>
        <v>1665</v>
      </c>
      <c r="B1667" s="1" t="n">
        <f aca="false">INT(A1667/$N$1)</f>
        <v>92</v>
      </c>
      <c r="C1667" s="1" t="n">
        <f aca="false">INT(MOD(A1667,$N$1) / 2)</f>
        <v>4</v>
      </c>
      <c r="D1667" s="1" t="n">
        <f aca="false">_xlfn.BITAND(A1667,1)</f>
        <v>1</v>
      </c>
      <c r="F1667" s="1" t="str">
        <f aca="false">DEC2HEX(B1667*$N$3*18)</f>
        <v>19E00</v>
      </c>
      <c r="G1667" s="1" t="str">
        <f aca="false">DEC2HEX(C1667*7)</f>
        <v>1C</v>
      </c>
      <c r="H1667" s="1" t="str">
        <f aca="false">IF(D1667=0, 33, "cc")</f>
        <v>cc</v>
      </c>
    </row>
    <row r="1668" customFormat="false" ht="18.65" hidden="false" customHeight="true" outlineLevel="0" collapsed="false">
      <c r="A1668" s="1" t="n">
        <f aca="false">ROW()-2</f>
        <v>1666</v>
      </c>
      <c r="B1668" s="1" t="n">
        <f aca="false">INT(A1668/$N$1)</f>
        <v>92</v>
      </c>
      <c r="C1668" s="1" t="n">
        <f aca="false">INT(MOD(A1668,$N$1) / 2)</f>
        <v>5</v>
      </c>
      <c r="D1668" s="1" t="n">
        <f aca="false">_xlfn.BITAND(A1668,1)</f>
        <v>0</v>
      </c>
      <c r="F1668" s="1" t="str">
        <f aca="false">DEC2HEX(B1668*$N$3*18)</f>
        <v>19E00</v>
      </c>
      <c r="G1668" s="1" t="str">
        <f aca="false">DEC2HEX(C1668*7)</f>
        <v>23</v>
      </c>
      <c r="H1668" s="1" t="n">
        <f aca="false">IF(D1668=0, 33, "cc")</f>
        <v>33</v>
      </c>
    </row>
    <row r="1669" customFormat="false" ht="18.65" hidden="false" customHeight="true" outlineLevel="0" collapsed="false">
      <c r="A1669" s="1" t="n">
        <f aca="false">ROW()-2</f>
        <v>1667</v>
      </c>
      <c r="B1669" s="1" t="n">
        <f aca="false">INT(A1669/$N$1)</f>
        <v>92</v>
      </c>
      <c r="C1669" s="1" t="n">
        <f aca="false">INT(MOD(A1669,$N$1) / 2)</f>
        <v>5</v>
      </c>
      <c r="D1669" s="1" t="n">
        <f aca="false">_xlfn.BITAND(A1669,1)</f>
        <v>1</v>
      </c>
      <c r="F1669" s="1" t="str">
        <f aca="false">DEC2HEX(B1669*$N$3*18)</f>
        <v>19E00</v>
      </c>
      <c r="G1669" s="1" t="str">
        <f aca="false">DEC2HEX(C1669*7)</f>
        <v>23</v>
      </c>
      <c r="H1669" s="1" t="str">
        <f aca="false">IF(D1669=0, 33, "cc")</f>
        <v>cc</v>
      </c>
    </row>
    <row r="1670" customFormat="false" ht="18.65" hidden="false" customHeight="true" outlineLevel="0" collapsed="false">
      <c r="A1670" s="1" t="n">
        <f aca="false">ROW()-2</f>
        <v>1668</v>
      </c>
      <c r="B1670" s="1" t="n">
        <f aca="false">INT(A1670/$N$1)</f>
        <v>92</v>
      </c>
      <c r="C1670" s="1" t="n">
        <f aca="false">INT(MOD(A1670,$N$1) / 2)</f>
        <v>6</v>
      </c>
      <c r="D1670" s="1" t="n">
        <f aca="false">_xlfn.BITAND(A1670,1)</f>
        <v>0</v>
      </c>
      <c r="F1670" s="1" t="str">
        <f aca="false">DEC2HEX(B1670*$N$3*18)</f>
        <v>19E00</v>
      </c>
      <c r="G1670" s="1" t="str">
        <f aca="false">DEC2HEX(C1670*7)</f>
        <v>2A</v>
      </c>
      <c r="H1670" s="1" t="n">
        <f aca="false">IF(D1670=0, 33, "cc")</f>
        <v>33</v>
      </c>
    </row>
    <row r="1671" customFormat="false" ht="18.65" hidden="false" customHeight="true" outlineLevel="0" collapsed="false">
      <c r="A1671" s="1" t="n">
        <f aca="false">ROW()-2</f>
        <v>1669</v>
      </c>
      <c r="B1671" s="1" t="n">
        <f aca="false">INT(A1671/$N$1)</f>
        <v>92</v>
      </c>
      <c r="C1671" s="1" t="n">
        <f aca="false">INT(MOD(A1671,$N$1) / 2)</f>
        <v>6</v>
      </c>
      <c r="D1671" s="1" t="n">
        <f aca="false">_xlfn.BITAND(A1671,1)</f>
        <v>1</v>
      </c>
      <c r="F1671" s="1" t="str">
        <f aca="false">DEC2HEX(B1671*$N$3*18)</f>
        <v>19E00</v>
      </c>
      <c r="G1671" s="1" t="str">
        <f aca="false">DEC2HEX(C1671*7)</f>
        <v>2A</v>
      </c>
      <c r="H1671" s="1" t="str">
        <f aca="false">IF(D1671=0, 33, "cc")</f>
        <v>cc</v>
      </c>
    </row>
    <row r="1672" customFormat="false" ht="18.65" hidden="false" customHeight="true" outlineLevel="0" collapsed="false">
      <c r="A1672" s="1" t="n">
        <f aca="false">ROW()-2</f>
        <v>1670</v>
      </c>
      <c r="B1672" s="1" t="n">
        <f aca="false">INT(A1672/$N$1)</f>
        <v>92</v>
      </c>
      <c r="C1672" s="1" t="n">
        <f aca="false">INT(MOD(A1672,$N$1) / 2)</f>
        <v>7</v>
      </c>
      <c r="D1672" s="1" t="n">
        <f aca="false">_xlfn.BITAND(A1672,1)</f>
        <v>0</v>
      </c>
      <c r="F1672" s="1" t="str">
        <f aca="false">DEC2HEX(B1672*$N$3*18)</f>
        <v>19E00</v>
      </c>
      <c r="G1672" s="1" t="str">
        <f aca="false">DEC2HEX(C1672*7)</f>
        <v>31</v>
      </c>
      <c r="H1672" s="1" t="n">
        <f aca="false">IF(D1672=0, 33, "cc")</f>
        <v>33</v>
      </c>
    </row>
    <row r="1673" customFormat="false" ht="18.65" hidden="false" customHeight="true" outlineLevel="0" collapsed="false">
      <c r="A1673" s="1" t="n">
        <f aca="false">ROW()-2</f>
        <v>1671</v>
      </c>
      <c r="B1673" s="1" t="n">
        <f aca="false">INT(A1673/$N$1)</f>
        <v>92</v>
      </c>
      <c r="C1673" s="1" t="n">
        <f aca="false">INT(MOD(A1673,$N$1) / 2)</f>
        <v>7</v>
      </c>
      <c r="D1673" s="1" t="n">
        <f aca="false">_xlfn.BITAND(A1673,1)</f>
        <v>1</v>
      </c>
      <c r="F1673" s="1" t="str">
        <f aca="false">DEC2HEX(B1673*$N$3*18)</f>
        <v>19E00</v>
      </c>
      <c r="G1673" s="1" t="str">
        <f aca="false">DEC2HEX(C1673*7)</f>
        <v>31</v>
      </c>
      <c r="H1673" s="1" t="str">
        <f aca="false">IF(D1673=0, 33, "cc")</f>
        <v>cc</v>
      </c>
    </row>
    <row r="1674" customFormat="false" ht="18.65" hidden="false" customHeight="true" outlineLevel="0" collapsed="false">
      <c r="A1674" s="1" t="n">
        <f aca="false">ROW()-2</f>
        <v>1672</v>
      </c>
      <c r="B1674" s="1" t="n">
        <f aca="false">INT(A1674/$N$1)</f>
        <v>92</v>
      </c>
      <c r="C1674" s="1" t="n">
        <f aca="false">INT(MOD(A1674,$N$1) / 2)</f>
        <v>8</v>
      </c>
      <c r="D1674" s="1" t="n">
        <f aca="false">_xlfn.BITAND(A1674,1)</f>
        <v>0</v>
      </c>
      <c r="F1674" s="1" t="str">
        <f aca="false">DEC2HEX(B1674*$N$3*18)</f>
        <v>19E00</v>
      </c>
      <c r="G1674" s="1" t="str">
        <f aca="false">DEC2HEX(C1674*7)</f>
        <v>38</v>
      </c>
      <c r="H1674" s="1" t="n">
        <f aca="false">IF(D1674=0, 33, "cc")</f>
        <v>33</v>
      </c>
    </row>
    <row r="1675" customFormat="false" ht="18.65" hidden="false" customHeight="true" outlineLevel="0" collapsed="false">
      <c r="A1675" s="1" t="n">
        <f aca="false">ROW()-2</f>
        <v>1673</v>
      </c>
      <c r="B1675" s="1" t="n">
        <f aca="false">INT(A1675/$N$1)</f>
        <v>92</v>
      </c>
      <c r="C1675" s="1" t="n">
        <f aca="false">INT(MOD(A1675,$N$1) / 2)</f>
        <v>8</v>
      </c>
      <c r="D1675" s="1" t="n">
        <f aca="false">_xlfn.BITAND(A1675,1)</f>
        <v>1</v>
      </c>
      <c r="F1675" s="1" t="str">
        <f aca="false">DEC2HEX(B1675*$N$3*18)</f>
        <v>19E00</v>
      </c>
      <c r="G1675" s="1" t="str">
        <f aca="false">DEC2HEX(C1675*7)</f>
        <v>38</v>
      </c>
      <c r="H1675" s="1" t="str">
        <f aca="false">IF(D1675=0, 33, "cc")</f>
        <v>cc</v>
      </c>
    </row>
    <row r="1676" customFormat="false" ht="18.65" hidden="false" customHeight="true" outlineLevel="0" collapsed="false">
      <c r="A1676" s="1" t="n">
        <f aca="false">ROW()-2</f>
        <v>1674</v>
      </c>
      <c r="B1676" s="1" t="n">
        <f aca="false">INT(A1676/$N$1)</f>
        <v>93</v>
      </c>
      <c r="C1676" s="1" t="n">
        <f aca="false">INT(MOD(A1676,$N$1) / 2)</f>
        <v>0</v>
      </c>
      <c r="D1676" s="1" t="n">
        <f aca="false">_xlfn.BITAND(A1676,1)</f>
        <v>0</v>
      </c>
      <c r="F1676" s="1" t="str">
        <f aca="false">DEC2HEX(B1676*$N$3*18)</f>
        <v>1A280</v>
      </c>
      <c r="G1676" s="1" t="str">
        <f aca="false">DEC2HEX(C1676*7)</f>
        <v>0</v>
      </c>
      <c r="H1676" s="1" t="n">
        <f aca="false">IF(D1676=0, 33, "cc")</f>
        <v>33</v>
      </c>
    </row>
    <row r="1677" customFormat="false" ht="18.65" hidden="false" customHeight="true" outlineLevel="0" collapsed="false">
      <c r="A1677" s="1" t="n">
        <f aca="false">ROW()-2</f>
        <v>1675</v>
      </c>
      <c r="B1677" s="1" t="n">
        <f aca="false">INT(A1677/$N$1)</f>
        <v>93</v>
      </c>
      <c r="C1677" s="1" t="n">
        <f aca="false">INT(MOD(A1677,$N$1) / 2)</f>
        <v>0</v>
      </c>
      <c r="D1677" s="1" t="n">
        <f aca="false">_xlfn.BITAND(A1677,1)</f>
        <v>1</v>
      </c>
      <c r="F1677" s="1" t="str">
        <f aca="false">DEC2HEX(B1677*$N$3*18)</f>
        <v>1A280</v>
      </c>
      <c r="G1677" s="1" t="str">
        <f aca="false">DEC2HEX(C1677*7)</f>
        <v>0</v>
      </c>
      <c r="H1677" s="1" t="str">
        <f aca="false">IF(D1677=0, 33, "cc")</f>
        <v>cc</v>
      </c>
    </row>
    <row r="1678" customFormat="false" ht="18.65" hidden="false" customHeight="true" outlineLevel="0" collapsed="false">
      <c r="A1678" s="1" t="n">
        <f aca="false">ROW()-2</f>
        <v>1676</v>
      </c>
      <c r="B1678" s="1" t="n">
        <f aca="false">INT(A1678/$N$1)</f>
        <v>93</v>
      </c>
      <c r="C1678" s="1" t="n">
        <f aca="false">INT(MOD(A1678,$N$1) / 2)</f>
        <v>1</v>
      </c>
      <c r="D1678" s="1" t="n">
        <f aca="false">_xlfn.BITAND(A1678,1)</f>
        <v>0</v>
      </c>
      <c r="F1678" s="1" t="str">
        <f aca="false">DEC2HEX(B1678*$N$3*18)</f>
        <v>1A280</v>
      </c>
      <c r="G1678" s="1" t="str">
        <f aca="false">DEC2HEX(C1678*7)</f>
        <v>7</v>
      </c>
      <c r="H1678" s="1" t="n">
        <f aca="false">IF(D1678=0, 33, "cc")</f>
        <v>33</v>
      </c>
    </row>
    <row r="1679" customFormat="false" ht="18.65" hidden="false" customHeight="true" outlineLevel="0" collapsed="false">
      <c r="A1679" s="1" t="n">
        <f aca="false">ROW()-2</f>
        <v>1677</v>
      </c>
      <c r="B1679" s="1" t="n">
        <f aca="false">INT(A1679/$N$1)</f>
        <v>93</v>
      </c>
      <c r="C1679" s="1" t="n">
        <f aca="false">INT(MOD(A1679,$N$1) / 2)</f>
        <v>1</v>
      </c>
      <c r="D1679" s="1" t="n">
        <f aca="false">_xlfn.BITAND(A1679,1)</f>
        <v>1</v>
      </c>
      <c r="F1679" s="1" t="str">
        <f aca="false">DEC2HEX(B1679*$N$3*18)</f>
        <v>1A280</v>
      </c>
      <c r="G1679" s="1" t="str">
        <f aca="false">DEC2HEX(C1679*7)</f>
        <v>7</v>
      </c>
      <c r="H1679" s="1" t="str">
        <f aca="false">IF(D1679=0, 33, "cc")</f>
        <v>cc</v>
      </c>
    </row>
    <row r="1680" customFormat="false" ht="18.65" hidden="false" customHeight="true" outlineLevel="0" collapsed="false">
      <c r="A1680" s="1" t="n">
        <f aca="false">ROW()-2</f>
        <v>1678</v>
      </c>
      <c r="B1680" s="1" t="n">
        <f aca="false">INT(A1680/$N$1)</f>
        <v>93</v>
      </c>
      <c r="C1680" s="1" t="n">
        <f aca="false">INT(MOD(A1680,$N$1) / 2)</f>
        <v>2</v>
      </c>
      <c r="D1680" s="1" t="n">
        <f aca="false">_xlfn.BITAND(A1680,1)</f>
        <v>0</v>
      </c>
      <c r="F1680" s="1" t="str">
        <f aca="false">DEC2HEX(B1680*$N$3*18)</f>
        <v>1A280</v>
      </c>
      <c r="G1680" s="1" t="str">
        <f aca="false">DEC2HEX(C1680*7)</f>
        <v>E</v>
      </c>
      <c r="H1680" s="1" t="n">
        <f aca="false">IF(D1680=0, 33, "cc")</f>
        <v>33</v>
      </c>
    </row>
    <row r="1681" customFormat="false" ht="18.65" hidden="false" customHeight="true" outlineLevel="0" collapsed="false">
      <c r="A1681" s="1" t="n">
        <f aca="false">ROW()-2</f>
        <v>1679</v>
      </c>
      <c r="B1681" s="1" t="n">
        <f aca="false">INT(A1681/$N$1)</f>
        <v>93</v>
      </c>
      <c r="C1681" s="1" t="n">
        <f aca="false">INT(MOD(A1681,$N$1) / 2)</f>
        <v>2</v>
      </c>
      <c r="D1681" s="1" t="n">
        <f aca="false">_xlfn.BITAND(A1681,1)</f>
        <v>1</v>
      </c>
      <c r="F1681" s="1" t="str">
        <f aca="false">DEC2HEX(B1681*$N$3*18)</f>
        <v>1A280</v>
      </c>
      <c r="G1681" s="1" t="str">
        <f aca="false">DEC2HEX(C1681*7)</f>
        <v>E</v>
      </c>
      <c r="H1681" s="1" t="str">
        <f aca="false">IF(D1681=0, 33, "cc")</f>
        <v>cc</v>
      </c>
    </row>
    <row r="1682" customFormat="false" ht="18.65" hidden="false" customHeight="true" outlineLevel="0" collapsed="false">
      <c r="A1682" s="1" t="n">
        <f aca="false">ROW()-2</f>
        <v>1680</v>
      </c>
      <c r="B1682" s="1" t="n">
        <f aca="false">INT(A1682/$N$1)</f>
        <v>93</v>
      </c>
      <c r="C1682" s="1" t="n">
        <f aca="false">INT(MOD(A1682,$N$1) / 2)</f>
        <v>3</v>
      </c>
      <c r="D1682" s="1" t="n">
        <f aca="false">_xlfn.BITAND(A1682,1)</f>
        <v>0</v>
      </c>
      <c r="F1682" s="1" t="str">
        <f aca="false">DEC2HEX(B1682*$N$3*18)</f>
        <v>1A280</v>
      </c>
      <c r="G1682" s="1" t="str">
        <f aca="false">DEC2HEX(C1682*7)</f>
        <v>15</v>
      </c>
      <c r="H1682" s="1" t="n">
        <f aca="false">IF(D1682=0, 33, "cc")</f>
        <v>33</v>
      </c>
    </row>
    <row r="1683" customFormat="false" ht="18.65" hidden="false" customHeight="true" outlineLevel="0" collapsed="false">
      <c r="A1683" s="1" t="n">
        <f aca="false">ROW()-2</f>
        <v>1681</v>
      </c>
      <c r="B1683" s="1" t="n">
        <f aca="false">INT(A1683/$N$1)</f>
        <v>93</v>
      </c>
      <c r="C1683" s="1" t="n">
        <f aca="false">INT(MOD(A1683,$N$1) / 2)</f>
        <v>3</v>
      </c>
      <c r="D1683" s="1" t="n">
        <f aca="false">_xlfn.BITAND(A1683,1)</f>
        <v>1</v>
      </c>
      <c r="F1683" s="1" t="str">
        <f aca="false">DEC2HEX(B1683*$N$3*18)</f>
        <v>1A280</v>
      </c>
      <c r="G1683" s="1" t="str">
        <f aca="false">DEC2HEX(C1683*7)</f>
        <v>15</v>
      </c>
      <c r="H1683" s="1" t="str">
        <f aca="false">IF(D1683=0, 33, "cc")</f>
        <v>cc</v>
      </c>
    </row>
    <row r="1684" customFormat="false" ht="18.65" hidden="false" customHeight="true" outlineLevel="0" collapsed="false">
      <c r="A1684" s="1" t="n">
        <f aca="false">ROW()-2</f>
        <v>1682</v>
      </c>
      <c r="B1684" s="1" t="n">
        <f aca="false">INT(A1684/$N$1)</f>
        <v>93</v>
      </c>
      <c r="C1684" s="1" t="n">
        <f aca="false">INT(MOD(A1684,$N$1) / 2)</f>
        <v>4</v>
      </c>
      <c r="D1684" s="1" t="n">
        <f aca="false">_xlfn.BITAND(A1684,1)</f>
        <v>0</v>
      </c>
      <c r="F1684" s="1" t="str">
        <f aca="false">DEC2HEX(B1684*$N$3*18)</f>
        <v>1A280</v>
      </c>
      <c r="G1684" s="1" t="str">
        <f aca="false">DEC2HEX(C1684*7)</f>
        <v>1C</v>
      </c>
      <c r="H1684" s="1" t="n">
        <f aca="false">IF(D1684=0, 33, "cc")</f>
        <v>33</v>
      </c>
    </row>
    <row r="1685" customFormat="false" ht="18.65" hidden="false" customHeight="true" outlineLevel="0" collapsed="false">
      <c r="A1685" s="1" t="n">
        <f aca="false">ROW()-2</f>
        <v>1683</v>
      </c>
      <c r="B1685" s="1" t="n">
        <f aca="false">INT(A1685/$N$1)</f>
        <v>93</v>
      </c>
      <c r="C1685" s="1" t="n">
        <f aca="false">INT(MOD(A1685,$N$1) / 2)</f>
        <v>4</v>
      </c>
      <c r="D1685" s="1" t="n">
        <f aca="false">_xlfn.BITAND(A1685,1)</f>
        <v>1</v>
      </c>
      <c r="F1685" s="1" t="str">
        <f aca="false">DEC2HEX(B1685*$N$3*18)</f>
        <v>1A280</v>
      </c>
      <c r="G1685" s="1" t="str">
        <f aca="false">DEC2HEX(C1685*7)</f>
        <v>1C</v>
      </c>
      <c r="H1685" s="1" t="str">
        <f aca="false">IF(D1685=0, 33, "cc")</f>
        <v>cc</v>
      </c>
    </row>
    <row r="1686" customFormat="false" ht="18.65" hidden="false" customHeight="true" outlineLevel="0" collapsed="false">
      <c r="A1686" s="1" t="n">
        <f aca="false">ROW()-2</f>
        <v>1684</v>
      </c>
      <c r="B1686" s="1" t="n">
        <f aca="false">INT(A1686/$N$1)</f>
        <v>93</v>
      </c>
      <c r="C1686" s="1" t="n">
        <f aca="false">INT(MOD(A1686,$N$1) / 2)</f>
        <v>5</v>
      </c>
      <c r="D1686" s="1" t="n">
        <f aca="false">_xlfn.BITAND(A1686,1)</f>
        <v>0</v>
      </c>
      <c r="F1686" s="1" t="str">
        <f aca="false">DEC2HEX(B1686*$N$3*18)</f>
        <v>1A280</v>
      </c>
      <c r="G1686" s="1" t="str">
        <f aca="false">DEC2HEX(C1686*7)</f>
        <v>23</v>
      </c>
      <c r="H1686" s="1" t="n">
        <f aca="false">IF(D1686=0, 33, "cc")</f>
        <v>33</v>
      </c>
    </row>
    <row r="1687" customFormat="false" ht="18.65" hidden="false" customHeight="true" outlineLevel="0" collapsed="false">
      <c r="A1687" s="1" t="n">
        <f aca="false">ROW()-2</f>
        <v>1685</v>
      </c>
      <c r="B1687" s="1" t="n">
        <f aca="false">INT(A1687/$N$1)</f>
        <v>93</v>
      </c>
      <c r="C1687" s="1" t="n">
        <f aca="false">INT(MOD(A1687,$N$1) / 2)</f>
        <v>5</v>
      </c>
      <c r="D1687" s="1" t="n">
        <f aca="false">_xlfn.BITAND(A1687,1)</f>
        <v>1</v>
      </c>
      <c r="F1687" s="1" t="str">
        <f aca="false">DEC2HEX(B1687*$N$3*18)</f>
        <v>1A280</v>
      </c>
      <c r="G1687" s="1" t="str">
        <f aca="false">DEC2HEX(C1687*7)</f>
        <v>23</v>
      </c>
      <c r="H1687" s="1" t="str">
        <f aca="false">IF(D1687=0, 33, "cc")</f>
        <v>cc</v>
      </c>
    </row>
    <row r="1688" customFormat="false" ht="18.65" hidden="false" customHeight="true" outlineLevel="0" collapsed="false">
      <c r="A1688" s="1" t="n">
        <f aca="false">ROW()-2</f>
        <v>1686</v>
      </c>
      <c r="B1688" s="1" t="n">
        <f aca="false">INT(A1688/$N$1)</f>
        <v>93</v>
      </c>
      <c r="C1688" s="1" t="n">
        <f aca="false">INT(MOD(A1688,$N$1) / 2)</f>
        <v>6</v>
      </c>
      <c r="D1688" s="1" t="n">
        <f aca="false">_xlfn.BITAND(A1688,1)</f>
        <v>0</v>
      </c>
      <c r="F1688" s="1" t="str">
        <f aca="false">DEC2HEX(B1688*$N$3*18)</f>
        <v>1A280</v>
      </c>
      <c r="G1688" s="1" t="str">
        <f aca="false">DEC2HEX(C1688*7)</f>
        <v>2A</v>
      </c>
      <c r="H1688" s="1" t="n">
        <f aca="false">IF(D1688=0, 33, "cc")</f>
        <v>33</v>
      </c>
    </row>
    <row r="1689" customFormat="false" ht="18.65" hidden="false" customHeight="true" outlineLevel="0" collapsed="false">
      <c r="A1689" s="1" t="n">
        <f aca="false">ROW()-2</f>
        <v>1687</v>
      </c>
      <c r="B1689" s="1" t="n">
        <f aca="false">INT(A1689/$N$1)</f>
        <v>93</v>
      </c>
      <c r="C1689" s="1" t="n">
        <f aca="false">INT(MOD(A1689,$N$1) / 2)</f>
        <v>6</v>
      </c>
      <c r="D1689" s="1" t="n">
        <f aca="false">_xlfn.BITAND(A1689,1)</f>
        <v>1</v>
      </c>
      <c r="F1689" s="1" t="str">
        <f aca="false">DEC2HEX(B1689*$N$3*18)</f>
        <v>1A280</v>
      </c>
      <c r="G1689" s="1" t="str">
        <f aca="false">DEC2HEX(C1689*7)</f>
        <v>2A</v>
      </c>
      <c r="H1689" s="1" t="str">
        <f aca="false">IF(D1689=0, 33, "cc")</f>
        <v>cc</v>
      </c>
    </row>
    <row r="1690" customFormat="false" ht="18.65" hidden="false" customHeight="true" outlineLevel="0" collapsed="false">
      <c r="A1690" s="1" t="n">
        <f aca="false">ROW()-2</f>
        <v>1688</v>
      </c>
      <c r="B1690" s="1" t="n">
        <f aca="false">INT(A1690/$N$1)</f>
        <v>93</v>
      </c>
      <c r="C1690" s="1" t="n">
        <f aca="false">INT(MOD(A1690,$N$1) / 2)</f>
        <v>7</v>
      </c>
      <c r="D1690" s="1" t="n">
        <f aca="false">_xlfn.BITAND(A1690,1)</f>
        <v>0</v>
      </c>
      <c r="F1690" s="1" t="str">
        <f aca="false">DEC2HEX(B1690*$N$3*18)</f>
        <v>1A280</v>
      </c>
      <c r="G1690" s="1" t="str">
        <f aca="false">DEC2HEX(C1690*7)</f>
        <v>31</v>
      </c>
      <c r="H1690" s="1" t="n">
        <f aca="false">IF(D1690=0, 33, "cc")</f>
        <v>33</v>
      </c>
    </row>
    <row r="1691" customFormat="false" ht="18.65" hidden="false" customHeight="true" outlineLevel="0" collapsed="false">
      <c r="A1691" s="1" t="n">
        <f aca="false">ROW()-2</f>
        <v>1689</v>
      </c>
      <c r="B1691" s="1" t="n">
        <f aca="false">INT(A1691/$N$1)</f>
        <v>93</v>
      </c>
      <c r="C1691" s="1" t="n">
        <f aca="false">INT(MOD(A1691,$N$1) / 2)</f>
        <v>7</v>
      </c>
      <c r="D1691" s="1" t="n">
        <f aca="false">_xlfn.BITAND(A1691,1)</f>
        <v>1</v>
      </c>
      <c r="F1691" s="1" t="str">
        <f aca="false">DEC2HEX(B1691*$N$3*18)</f>
        <v>1A280</v>
      </c>
      <c r="G1691" s="1" t="str">
        <f aca="false">DEC2HEX(C1691*7)</f>
        <v>31</v>
      </c>
      <c r="H1691" s="1" t="str">
        <f aca="false">IF(D1691=0, 33, "cc")</f>
        <v>cc</v>
      </c>
    </row>
    <row r="1692" customFormat="false" ht="18.65" hidden="false" customHeight="true" outlineLevel="0" collapsed="false">
      <c r="A1692" s="1" t="n">
        <f aca="false">ROW()-2</f>
        <v>1690</v>
      </c>
      <c r="B1692" s="1" t="n">
        <f aca="false">INT(A1692/$N$1)</f>
        <v>93</v>
      </c>
      <c r="C1692" s="1" t="n">
        <f aca="false">INT(MOD(A1692,$N$1) / 2)</f>
        <v>8</v>
      </c>
      <c r="D1692" s="1" t="n">
        <f aca="false">_xlfn.BITAND(A1692,1)</f>
        <v>0</v>
      </c>
      <c r="F1692" s="1" t="str">
        <f aca="false">DEC2HEX(B1692*$N$3*18)</f>
        <v>1A280</v>
      </c>
      <c r="G1692" s="1" t="str">
        <f aca="false">DEC2HEX(C1692*7)</f>
        <v>38</v>
      </c>
      <c r="H1692" s="1" t="n">
        <f aca="false">IF(D1692=0, 33, "cc")</f>
        <v>33</v>
      </c>
    </row>
    <row r="1693" customFormat="false" ht="18.65" hidden="false" customHeight="true" outlineLevel="0" collapsed="false">
      <c r="A1693" s="1" t="n">
        <f aca="false">ROW()-2</f>
        <v>1691</v>
      </c>
      <c r="B1693" s="1" t="n">
        <f aca="false">INT(A1693/$N$1)</f>
        <v>93</v>
      </c>
      <c r="C1693" s="1" t="n">
        <f aca="false">INT(MOD(A1693,$N$1) / 2)</f>
        <v>8</v>
      </c>
      <c r="D1693" s="1" t="n">
        <f aca="false">_xlfn.BITAND(A1693,1)</f>
        <v>1</v>
      </c>
      <c r="F1693" s="1" t="str">
        <f aca="false">DEC2HEX(B1693*$N$3*18)</f>
        <v>1A280</v>
      </c>
      <c r="G1693" s="1" t="str">
        <f aca="false">DEC2HEX(C1693*7)</f>
        <v>38</v>
      </c>
      <c r="H1693" s="1" t="str">
        <f aca="false">IF(D1693=0, 33, "cc")</f>
        <v>cc</v>
      </c>
    </row>
    <row r="1694" customFormat="false" ht="18.65" hidden="false" customHeight="true" outlineLevel="0" collapsed="false">
      <c r="A1694" s="1" t="n">
        <f aca="false">ROW()-2</f>
        <v>1692</v>
      </c>
      <c r="B1694" s="1" t="n">
        <f aca="false">INT(A1694/$N$1)</f>
        <v>94</v>
      </c>
      <c r="C1694" s="1" t="n">
        <f aca="false">INT(MOD(A1694,$N$1) / 2)</f>
        <v>0</v>
      </c>
      <c r="D1694" s="1" t="n">
        <f aca="false">_xlfn.BITAND(A1694,1)</f>
        <v>0</v>
      </c>
      <c r="F1694" s="1" t="str">
        <f aca="false">DEC2HEX(B1694*$N$3*18)</f>
        <v>1A700</v>
      </c>
      <c r="G1694" s="1" t="str">
        <f aca="false">DEC2HEX(C1694*7)</f>
        <v>0</v>
      </c>
      <c r="H1694" s="1" t="n">
        <f aca="false">IF(D1694=0, 33, "cc")</f>
        <v>33</v>
      </c>
    </row>
    <row r="1695" customFormat="false" ht="18.65" hidden="false" customHeight="true" outlineLevel="0" collapsed="false">
      <c r="A1695" s="1" t="n">
        <f aca="false">ROW()-2</f>
        <v>1693</v>
      </c>
      <c r="B1695" s="1" t="n">
        <f aca="false">INT(A1695/$N$1)</f>
        <v>94</v>
      </c>
      <c r="C1695" s="1" t="n">
        <f aca="false">INT(MOD(A1695,$N$1) / 2)</f>
        <v>0</v>
      </c>
      <c r="D1695" s="1" t="n">
        <f aca="false">_xlfn.BITAND(A1695,1)</f>
        <v>1</v>
      </c>
      <c r="F1695" s="1" t="str">
        <f aca="false">DEC2HEX(B1695*$N$3*18)</f>
        <v>1A700</v>
      </c>
      <c r="G1695" s="1" t="str">
        <f aca="false">DEC2HEX(C1695*7)</f>
        <v>0</v>
      </c>
      <c r="H1695" s="1" t="str">
        <f aca="false">IF(D1695=0, 33, "cc")</f>
        <v>cc</v>
      </c>
    </row>
    <row r="1696" customFormat="false" ht="18.65" hidden="false" customHeight="true" outlineLevel="0" collapsed="false">
      <c r="A1696" s="1" t="n">
        <f aca="false">ROW()-2</f>
        <v>1694</v>
      </c>
      <c r="B1696" s="1" t="n">
        <f aca="false">INT(A1696/$N$1)</f>
        <v>94</v>
      </c>
      <c r="C1696" s="1" t="n">
        <f aca="false">INT(MOD(A1696,$N$1) / 2)</f>
        <v>1</v>
      </c>
      <c r="D1696" s="1" t="n">
        <f aca="false">_xlfn.BITAND(A1696,1)</f>
        <v>0</v>
      </c>
      <c r="F1696" s="1" t="str">
        <f aca="false">DEC2HEX(B1696*$N$3*18)</f>
        <v>1A700</v>
      </c>
      <c r="G1696" s="1" t="str">
        <f aca="false">DEC2HEX(C1696*7)</f>
        <v>7</v>
      </c>
      <c r="H1696" s="1" t="n">
        <f aca="false">IF(D1696=0, 33, "cc")</f>
        <v>33</v>
      </c>
    </row>
    <row r="1697" customFormat="false" ht="18.65" hidden="false" customHeight="true" outlineLevel="0" collapsed="false">
      <c r="A1697" s="1" t="n">
        <f aca="false">ROW()-2</f>
        <v>1695</v>
      </c>
      <c r="B1697" s="1" t="n">
        <f aca="false">INT(A1697/$N$1)</f>
        <v>94</v>
      </c>
      <c r="C1697" s="1" t="n">
        <f aca="false">INT(MOD(A1697,$N$1) / 2)</f>
        <v>1</v>
      </c>
      <c r="D1697" s="1" t="n">
        <f aca="false">_xlfn.BITAND(A1697,1)</f>
        <v>1</v>
      </c>
      <c r="F1697" s="1" t="str">
        <f aca="false">DEC2HEX(B1697*$N$3*18)</f>
        <v>1A700</v>
      </c>
      <c r="G1697" s="1" t="str">
        <f aca="false">DEC2HEX(C1697*7)</f>
        <v>7</v>
      </c>
      <c r="H1697" s="1" t="str">
        <f aca="false">IF(D1697=0, 33, "cc")</f>
        <v>cc</v>
      </c>
    </row>
    <row r="1698" customFormat="false" ht="18.65" hidden="false" customHeight="true" outlineLevel="0" collapsed="false">
      <c r="A1698" s="1" t="n">
        <f aca="false">ROW()-2</f>
        <v>1696</v>
      </c>
      <c r="B1698" s="1" t="n">
        <f aca="false">INT(A1698/$N$1)</f>
        <v>94</v>
      </c>
      <c r="C1698" s="1" t="n">
        <f aca="false">INT(MOD(A1698,$N$1) / 2)</f>
        <v>2</v>
      </c>
      <c r="D1698" s="1" t="n">
        <f aca="false">_xlfn.BITAND(A1698,1)</f>
        <v>0</v>
      </c>
      <c r="F1698" s="1" t="str">
        <f aca="false">DEC2HEX(B1698*$N$3*18)</f>
        <v>1A700</v>
      </c>
      <c r="G1698" s="1" t="str">
        <f aca="false">DEC2HEX(C1698*7)</f>
        <v>E</v>
      </c>
      <c r="H1698" s="1" t="n">
        <f aca="false">IF(D1698=0, 33, "cc")</f>
        <v>33</v>
      </c>
    </row>
    <row r="1699" customFormat="false" ht="18.65" hidden="false" customHeight="true" outlineLevel="0" collapsed="false">
      <c r="A1699" s="1" t="n">
        <f aca="false">ROW()-2</f>
        <v>1697</v>
      </c>
      <c r="B1699" s="1" t="n">
        <f aca="false">INT(A1699/$N$1)</f>
        <v>94</v>
      </c>
      <c r="C1699" s="1" t="n">
        <f aca="false">INT(MOD(A1699,$N$1) / 2)</f>
        <v>2</v>
      </c>
      <c r="D1699" s="1" t="n">
        <f aca="false">_xlfn.BITAND(A1699,1)</f>
        <v>1</v>
      </c>
      <c r="F1699" s="1" t="str">
        <f aca="false">DEC2HEX(B1699*$N$3*18)</f>
        <v>1A700</v>
      </c>
      <c r="G1699" s="1" t="str">
        <f aca="false">DEC2HEX(C1699*7)</f>
        <v>E</v>
      </c>
      <c r="H1699" s="1" t="str">
        <f aca="false">IF(D1699=0, 33, "cc")</f>
        <v>cc</v>
      </c>
    </row>
    <row r="1700" customFormat="false" ht="18.65" hidden="false" customHeight="true" outlineLevel="0" collapsed="false">
      <c r="A1700" s="1" t="n">
        <f aca="false">ROW()-2</f>
        <v>1698</v>
      </c>
      <c r="B1700" s="1" t="n">
        <f aca="false">INT(A1700/$N$1)</f>
        <v>94</v>
      </c>
      <c r="C1700" s="1" t="n">
        <f aca="false">INT(MOD(A1700,$N$1) / 2)</f>
        <v>3</v>
      </c>
      <c r="D1700" s="1" t="n">
        <f aca="false">_xlfn.BITAND(A1700,1)</f>
        <v>0</v>
      </c>
      <c r="F1700" s="1" t="str">
        <f aca="false">DEC2HEX(B1700*$N$3*18)</f>
        <v>1A700</v>
      </c>
      <c r="G1700" s="1" t="str">
        <f aca="false">DEC2HEX(C1700*7)</f>
        <v>15</v>
      </c>
      <c r="H1700" s="1" t="n">
        <f aca="false">IF(D1700=0, 33, "cc")</f>
        <v>33</v>
      </c>
    </row>
    <row r="1701" customFormat="false" ht="18.65" hidden="false" customHeight="true" outlineLevel="0" collapsed="false">
      <c r="A1701" s="1" t="n">
        <f aca="false">ROW()-2</f>
        <v>1699</v>
      </c>
      <c r="B1701" s="1" t="n">
        <f aca="false">INT(A1701/$N$1)</f>
        <v>94</v>
      </c>
      <c r="C1701" s="1" t="n">
        <f aca="false">INT(MOD(A1701,$N$1) / 2)</f>
        <v>3</v>
      </c>
      <c r="D1701" s="1" t="n">
        <f aca="false">_xlfn.BITAND(A1701,1)</f>
        <v>1</v>
      </c>
      <c r="F1701" s="1" t="str">
        <f aca="false">DEC2HEX(B1701*$N$3*18)</f>
        <v>1A700</v>
      </c>
      <c r="G1701" s="1" t="str">
        <f aca="false">DEC2HEX(C1701*7)</f>
        <v>15</v>
      </c>
      <c r="H1701" s="1" t="str">
        <f aca="false">IF(D1701=0, 33, "cc")</f>
        <v>cc</v>
      </c>
    </row>
    <row r="1702" customFormat="false" ht="18.65" hidden="false" customHeight="true" outlineLevel="0" collapsed="false">
      <c r="A1702" s="1" t="n">
        <f aca="false">ROW()-2</f>
        <v>1700</v>
      </c>
      <c r="B1702" s="1" t="n">
        <f aca="false">INT(A1702/$N$1)</f>
        <v>94</v>
      </c>
      <c r="C1702" s="1" t="n">
        <f aca="false">INT(MOD(A1702,$N$1) / 2)</f>
        <v>4</v>
      </c>
      <c r="D1702" s="1" t="n">
        <f aca="false">_xlfn.BITAND(A1702,1)</f>
        <v>0</v>
      </c>
      <c r="F1702" s="1" t="str">
        <f aca="false">DEC2HEX(B1702*$N$3*18)</f>
        <v>1A700</v>
      </c>
      <c r="G1702" s="1" t="str">
        <f aca="false">DEC2HEX(C1702*7)</f>
        <v>1C</v>
      </c>
      <c r="H1702" s="1" t="n">
        <f aca="false">IF(D1702=0, 33, "cc")</f>
        <v>33</v>
      </c>
    </row>
    <row r="1703" customFormat="false" ht="18.65" hidden="false" customHeight="true" outlineLevel="0" collapsed="false">
      <c r="A1703" s="1" t="n">
        <f aca="false">ROW()-2</f>
        <v>1701</v>
      </c>
      <c r="B1703" s="1" t="n">
        <f aca="false">INT(A1703/$N$1)</f>
        <v>94</v>
      </c>
      <c r="C1703" s="1" t="n">
        <f aca="false">INT(MOD(A1703,$N$1) / 2)</f>
        <v>4</v>
      </c>
      <c r="D1703" s="1" t="n">
        <f aca="false">_xlfn.BITAND(A1703,1)</f>
        <v>1</v>
      </c>
      <c r="F1703" s="1" t="str">
        <f aca="false">DEC2HEX(B1703*$N$3*18)</f>
        <v>1A700</v>
      </c>
      <c r="G1703" s="1" t="str">
        <f aca="false">DEC2HEX(C1703*7)</f>
        <v>1C</v>
      </c>
      <c r="H1703" s="1" t="str">
        <f aca="false">IF(D1703=0, 33, "cc")</f>
        <v>cc</v>
      </c>
    </row>
    <row r="1704" customFormat="false" ht="18.65" hidden="false" customHeight="true" outlineLevel="0" collapsed="false">
      <c r="A1704" s="1" t="n">
        <f aca="false">ROW()-2</f>
        <v>1702</v>
      </c>
      <c r="B1704" s="1" t="n">
        <f aca="false">INT(A1704/$N$1)</f>
        <v>94</v>
      </c>
      <c r="C1704" s="1" t="n">
        <f aca="false">INT(MOD(A1704,$N$1) / 2)</f>
        <v>5</v>
      </c>
      <c r="D1704" s="1" t="n">
        <f aca="false">_xlfn.BITAND(A1704,1)</f>
        <v>0</v>
      </c>
      <c r="F1704" s="1" t="str">
        <f aca="false">DEC2HEX(B1704*$N$3*18)</f>
        <v>1A700</v>
      </c>
      <c r="G1704" s="1" t="str">
        <f aca="false">DEC2HEX(C1704*7)</f>
        <v>23</v>
      </c>
      <c r="H1704" s="1" t="n">
        <f aca="false">IF(D1704=0, 33, "cc")</f>
        <v>33</v>
      </c>
    </row>
    <row r="1705" customFormat="false" ht="18.65" hidden="false" customHeight="true" outlineLevel="0" collapsed="false">
      <c r="A1705" s="1" t="n">
        <f aca="false">ROW()-2</f>
        <v>1703</v>
      </c>
      <c r="B1705" s="1" t="n">
        <f aca="false">INT(A1705/$N$1)</f>
        <v>94</v>
      </c>
      <c r="C1705" s="1" t="n">
        <f aca="false">INT(MOD(A1705,$N$1) / 2)</f>
        <v>5</v>
      </c>
      <c r="D1705" s="1" t="n">
        <f aca="false">_xlfn.BITAND(A1705,1)</f>
        <v>1</v>
      </c>
      <c r="F1705" s="1" t="str">
        <f aca="false">DEC2HEX(B1705*$N$3*18)</f>
        <v>1A700</v>
      </c>
      <c r="G1705" s="1" t="str">
        <f aca="false">DEC2HEX(C1705*7)</f>
        <v>23</v>
      </c>
      <c r="H1705" s="1" t="str">
        <f aca="false">IF(D1705=0, 33, "cc")</f>
        <v>cc</v>
      </c>
    </row>
    <row r="1706" customFormat="false" ht="18.65" hidden="false" customHeight="true" outlineLevel="0" collapsed="false">
      <c r="A1706" s="1" t="n">
        <f aca="false">ROW()-2</f>
        <v>1704</v>
      </c>
      <c r="B1706" s="1" t="n">
        <f aca="false">INT(A1706/$N$1)</f>
        <v>94</v>
      </c>
      <c r="C1706" s="1" t="n">
        <f aca="false">INT(MOD(A1706,$N$1) / 2)</f>
        <v>6</v>
      </c>
      <c r="D1706" s="1" t="n">
        <f aca="false">_xlfn.BITAND(A1706,1)</f>
        <v>0</v>
      </c>
      <c r="F1706" s="1" t="str">
        <f aca="false">DEC2HEX(B1706*$N$3*18)</f>
        <v>1A700</v>
      </c>
      <c r="G1706" s="1" t="str">
        <f aca="false">DEC2HEX(C1706*7)</f>
        <v>2A</v>
      </c>
      <c r="H1706" s="1" t="n">
        <f aca="false">IF(D1706=0, 33, "cc")</f>
        <v>33</v>
      </c>
    </row>
    <row r="1707" customFormat="false" ht="18.65" hidden="false" customHeight="true" outlineLevel="0" collapsed="false">
      <c r="A1707" s="1" t="n">
        <f aca="false">ROW()-2</f>
        <v>1705</v>
      </c>
      <c r="B1707" s="1" t="n">
        <f aca="false">INT(A1707/$N$1)</f>
        <v>94</v>
      </c>
      <c r="C1707" s="1" t="n">
        <f aca="false">INT(MOD(A1707,$N$1) / 2)</f>
        <v>6</v>
      </c>
      <c r="D1707" s="1" t="n">
        <f aca="false">_xlfn.BITAND(A1707,1)</f>
        <v>1</v>
      </c>
      <c r="F1707" s="1" t="str">
        <f aca="false">DEC2HEX(B1707*$N$3*18)</f>
        <v>1A700</v>
      </c>
      <c r="G1707" s="1" t="str">
        <f aca="false">DEC2HEX(C1707*7)</f>
        <v>2A</v>
      </c>
      <c r="H1707" s="1" t="str">
        <f aca="false">IF(D1707=0, 33, "cc")</f>
        <v>cc</v>
      </c>
    </row>
    <row r="1708" customFormat="false" ht="18.65" hidden="false" customHeight="true" outlineLevel="0" collapsed="false">
      <c r="A1708" s="1" t="n">
        <f aca="false">ROW()-2</f>
        <v>1706</v>
      </c>
      <c r="B1708" s="1" t="n">
        <f aca="false">INT(A1708/$N$1)</f>
        <v>94</v>
      </c>
      <c r="C1708" s="1" t="n">
        <f aca="false">INT(MOD(A1708,$N$1) / 2)</f>
        <v>7</v>
      </c>
      <c r="D1708" s="1" t="n">
        <f aca="false">_xlfn.BITAND(A1708,1)</f>
        <v>0</v>
      </c>
      <c r="F1708" s="1" t="str">
        <f aca="false">DEC2HEX(B1708*$N$3*18)</f>
        <v>1A700</v>
      </c>
      <c r="G1708" s="1" t="str">
        <f aca="false">DEC2HEX(C1708*7)</f>
        <v>31</v>
      </c>
      <c r="H1708" s="1" t="n">
        <f aca="false">IF(D1708=0, 33, "cc")</f>
        <v>33</v>
      </c>
    </row>
    <row r="1709" customFormat="false" ht="18.65" hidden="false" customHeight="true" outlineLevel="0" collapsed="false">
      <c r="A1709" s="1" t="n">
        <f aca="false">ROW()-2</f>
        <v>1707</v>
      </c>
      <c r="B1709" s="1" t="n">
        <f aca="false">INT(A1709/$N$1)</f>
        <v>94</v>
      </c>
      <c r="C1709" s="1" t="n">
        <f aca="false">INT(MOD(A1709,$N$1) / 2)</f>
        <v>7</v>
      </c>
      <c r="D1709" s="1" t="n">
        <f aca="false">_xlfn.BITAND(A1709,1)</f>
        <v>1</v>
      </c>
      <c r="F1709" s="1" t="str">
        <f aca="false">DEC2HEX(B1709*$N$3*18)</f>
        <v>1A700</v>
      </c>
      <c r="G1709" s="1" t="str">
        <f aca="false">DEC2HEX(C1709*7)</f>
        <v>31</v>
      </c>
      <c r="H1709" s="1" t="str">
        <f aca="false">IF(D1709=0, 33, "cc")</f>
        <v>cc</v>
      </c>
    </row>
    <row r="1710" customFormat="false" ht="18.65" hidden="false" customHeight="true" outlineLevel="0" collapsed="false">
      <c r="A1710" s="1" t="n">
        <f aca="false">ROW()-2</f>
        <v>1708</v>
      </c>
      <c r="B1710" s="1" t="n">
        <f aca="false">INT(A1710/$N$1)</f>
        <v>94</v>
      </c>
      <c r="C1710" s="1" t="n">
        <f aca="false">INT(MOD(A1710,$N$1) / 2)</f>
        <v>8</v>
      </c>
      <c r="D1710" s="1" t="n">
        <f aca="false">_xlfn.BITAND(A1710,1)</f>
        <v>0</v>
      </c>
      <c r="F1710" s="1" t="str">
        <f aca="false">DEC2HEX(B1710*$N$3*18)</f>
        <v>1A700</v>
      </c>
      <c r="G1710" s="1" t="str">
        <f aca="false">DEC2HEX(C1710*7)</f>
        <v>38</v>
      </c>
      <c r="H1710" s="1" t="n">
        <f aca="false">IF(D1710=0, 33, "cc")</f>
        <v>33</v>
      </c>
    </row>
    <row r="1711" customFormat="false" ht="18.65" hidden="false" customHeight="true" outlineLevel="0" collapsed="false">
      <c r="A1711" s="1" t="n">
        <f aca="false">ROW()-2</f>
        <v>1709</v>
      </c>
      <c r="B1711" s="1" t="n">
        <f aca="false">INT(A1711/$N$1)</f>
        <v>94</v>
      </c>
      <c r="C1711" s="1" t="n">
        <f aca="false">INT(MOD(A1711,$N$1) / 2)</f>
        <v>8</v>
      </c>
      <c r="D1711" s="1" t="n">
        <f aca="false">_xlfn.BITAND(A1711,1)</f>
        <v>1</v>
      </c>
      <c r="F1711" s="1" t="str">
        <f aca="false">DEC2HEX(B1711*$N$3*18)</f>
        <v>1A700</v>
      </c>
      <c r="G1711" s="1" t="str">
        <f aca="false">DEC2HEX(C1711*7)</f>
        <v>38</v>
      </c>
      <c r="H1711" s="1" t="str">
        <f aca="false">IF(D1711=0, 33, "cc")</f>
        <v>cc</v>
      </c>
    </row>
    <row r="1712" customFormat="false" ht="18.65" hidden="false" customHeight="true" outlineLevel="0" collapsed="false">
      <c r="A1712" s="1" t="n">
        <f aca="false">ROW()-2</f>
        <v>1710</v>
      </c>
      <c r="B1712" s="1" t="n">
        <f aca="false">INT(A1712/$N$1)</f>
        <v>95</v>
      </c>
      <c r="C1712" s="1" t="n">
        <f aca="false">INT(MOD(A1712,$N$1) / 2)</f>
        <v>0</v>
      </c>
      <c r="D1712" s="1" t="n">
        <f aca="false">_xlfn.BITAND(A1712,1)</f>
        <v>0</v>
      </c>
      <c r="F1712" s="1" t="str">
        <f aca="false">DEC2HEX(B1712*$N$3*18)</f>
        <v>1AB80</v>
      </c>
      <c r="G1712" s="1" t="str">
        <f aca="false">DEC2HEX(C1712*7)</f>
        <v>0</v>
      </c>
      <c r="H1712" s="1" t="n">
        <f aca="false">IF(D1712=0, 33, "cc")</f>
        <v>33</v>
      </c>
    </row>
    <row r="1713" customFormat="false" ht="18.65" hidden="false" customHeight="true" outlineLevel="0" collapsed="false">
      <c r="A1713" s="1" t="n">
        <f aca="false">ROW()-2</f>
        <v>1711</v>
      </c>
      <c r="B1713" s="1" t="n">
        <f aca="false">INT(A1713/$N$1)</f>
        <v>95</v>
      </c>
      <c r="C1713" s="1" t="n">
        <f aca="false">INT(MOD(A1713,$N$1) / 2)</f>
        <v>0</v>
      </c>
      <c r="D1713" s="1" t="n">
        <f aca="false">_xlfn.BITAND(A1713,1)</f>
        <v>1</v>
      </c>
      <c r="F1713" s="1" t="str">
        <f aca="false">DEC2HEX(B1713*$N$3*18)</f>
        <v>1AB80</v>
      </c>
      <c r="G1713" s="1" t="str">
        <f aca="false">DEC2HEX(C1713*7)</f>
        <v>0</v>
      </c>
      <c r="H1713" s="1" t="str">
        <f aca="false">IF(D1713=0, 33, "cc")</f>
        <v>cc</v>
      </c>
    </row>
    <row r="1714" customFormat="false" ht="18.65" hidden="false" customHeight="true" outlineLevel="0" collapsed="false">
      <c r="A1714" s="1" t="n">
        <f aca="false">ROW()-2</f>
        <v>1712</v>
      </c>
      <c r="B1714" s="1" t="n">
        <f aca="false">INT(A1714/$N$1)</f>
        <v>95</v>
      </c>
      <c r="C1714" s="1" t="n">
        <f aca="false">INT(MOD(A1714,$N$1) / 2)</f>
        <v>1</v>
      </c>
      <c r="D1714" s="1" t="n">
        <f aca="false">_xlfn.BITAND(A1714,1)</f>
        <v>0</v>
      </c>
      <c r="F1714" s="1" t="str">
        <f aca="false">DEC2HEX(B1714*$N$3*18)</f>
        <v>1AB80</v>
      </c>
      <c r="G1714" s="1" t="str">
        <f aca="false">DEC2HEX(C1714*7)</f>
        <v>7</v>
      </c>
      <c r="H1714" s="1" t="n">
        <f aca="false">IF(D1714=0, 33, "cc")</f>
        <v>33</v>
      </c>
    </row>
    <row r="1715" customFormat="false" ht="18.65" hidden="false" customHeight="true" outlineLevel="0" collapsed="false">
      <c r="A1715" s="1" t="n">
        <f aca="false">ROW()-2</f>
        <v>1713</v>
      </c>
      <c r="B1715" s="1" t="n">
        <f aca="false">INT(A1715/$N$1)</f>
        <v>95</v>
      </c>
      <c r="C1715" s="1" t="n">
        <f aca="false">INT(MOD(A1715,$N$1) / 2)</f>
        <v>1</v>
      </c>
      <c r="D1715" s="1" t="n">
        <f aca="false">_xlfn.BITAND(A1715,1)</f>
        <v>1</v>
      </c>
      <c r="F1715" s="1" t="str">
        <f aca="false">DEC2HEX(B1715*$N$3*18)</f>
        <v>1AB80</v>
      </c>
      <c r="G1715" s="1" t="str">
        <f aca="false">DEC2HEX(C1715*7)</f>
        <v>7</v>
      </c>
      <c r="H1715" s="1" t="str">
        <f aca="false">IF(D1715=0, 33, "cc")</f>
        <v>cc</v>
      </c>
    </row>
    <row r="1716" customFormat="false" ht="18.65" hidden="false" customHeight="true" outlineLevel="0" collapsed="false">
      <c r="A1716" s="1" t="n">
        <f aca="false">ROW()-2</f>
        <v>1714</v>
      </c>
      <c r="B1716" s="1" t="n">
        <f aca="false">INT(A1716/$N$1)</f>
        <v>95</v>
      </c>
      <c r="C1716" s="1" t="n">
        <f aca="false">INT(MOD(A1716,$N$1) / 2)</f>
        <v>2</v>
      </c>
      <c r="D1716" s="1" t="n">
        <f aca="false">_xlfn.BITAND(A1716,1)</f>
        <v>0</v>
      </c>
      <c r="F1716" s="1" t="str">
        <f aca="false">DEC2HEX(B1716*$N$3*18)</f>
        <v>1AB80</v>
      </c>
      <c r="G1716" s="1" t="str">
        <f aca="false">DEC2HEX(C1716*7)</f>
        <v>E</v>
      </c>
      <c r="H1716" s="1" t="n">
        <f aca="false">IF(D1716=0, 33, "cc")</f>
        <v>33</v>
      </c>
    </row>
    <row r="1717" customFormat="false" ht="18.65" hidden="false" customHeight="true" outlineLevel="0" collapsed="false">
      <c r="A1717" s="1" t="n">
        <f aca="false">ROW()-2</f>
        <v>1715</v>
      </c>
      <c r="B1717" s="1" t="n">
        <f aca="false">INT(A1717/$N$1)</f>
        <v>95</v>
      </c>
      <c r="C1717" s="1" t="n">
        <f aca="false">INT(MOD(A1717,$N$1) / 2)</f>
        <v>2</v>
      </c>
      <c r="D1717" s="1" t="n">
        <f aca="false">_xlfn.BITAND(A1717,1)</f>
        <v>1</v>
      </c>
      <c r="F1717" s="1" t="str">
        <f aca="false">DEC2HEX(B1717*$N$3*18)</f>
        <v>1AB80</v>
      </c>
      <c r="G1717" s="1" t="str">
        <f aca="false">DEC2HEX(C1717*7)</f>
        <v>E</v>
      </c>
      <c r="H1717" s="1" t="str">
        <f aca="false">IF(D1717=0, 33, "cc")</f>
        <v>cc</v>
      </c>
    </row>
    <row r="1718" customFormat="false" ht="18.65" hidden="false" customHeight="true" outlineLevel="0" collapsed="false">
      <c r="A1718" s="1" t="n">
        <f aca="false">ROW()-2</f>
        <v>1716</v>
      </c>
      <c r="B1718" s="1" t="n">
        <f aca="false">INT(A1718/$N$1)</f>
        <v>95</v>
      </c>
      <c r="C1718" s="1" t="n">
        <f aca="false">INT(MOD(A1718,$N$1) / 2)</f>
        <v>3</v>
      </c>
      <c r="D1718" s="1" t="n">
        <f aca="false">_xlfn.BITAND(A1718,1)</f>
        <v>0</v>
      </c>
      <c r="F1718" s="1" t="str">
        <f aca="false">DEC2HEX(B1718*$N$3*18)</f>
        <v>1AB80</v>
      </c>
      <c r="G1718" s="1" t="str">
        <f aca="false">DEC2HEX(C1718*7)</f>
        <v>15</v>
      </c>
      <c r="H1718" s="1" t="n">
        <f aca="false">IF(D1718=0, 33, "cc")</f>
        <v>33</v>
      </c>
    </row>
    <row r="1719" customFormat="false" ht="18.65" hidden="false" customHeight="true" outlineLevel="0" collapsed="false">
      <c r="A1719" s="1" t="n">
        <f aca="false">ROW()-2</f>
        <v>1717</v>
      </c>
      <c r="B1719" s="1" t="n">
        <f aca="false">INT(A1719/$N$1)</f>
        <v>95</v>
      </c>
      <c r="C1719" s="1" t="n">
        <f aca="false">INT(MOD(A1719,$N$1) / 2)</f>
        <v>3</v>
      </c>
      <c r="D1719" s="1" t="n">
        <f aca="false">_xlfn.BITAND(A1719,1)</f>
        <v>1</v>
      </c>
      <c r="F1719" s="1" t="str">
        <f aca="false">DEC2HEX(B1719*$N$3*18)</f>
        <v>1AB80</v>
      </c>
      <c r="G1719" s="1" t="str">
        <f aca="false">DEC2HEX(C1719*7)</f>
        <v>15</v>
      </c>
      <c r="H1719" s="1" t="str">
        <f aca="false">IF(D1719=0, 33, "cc")</f>
        <v>cc</v>
      </c>
    </row>
    <row r="1720" customFormat="false" ht="18.65" hidden="false" customHeight="true" outlineLevel="0" collapsed="false">
      <c r="A1720" s="1" t="n">
        <f aca="false">ROW()-2</f>
        <v>1718</v>
      </c>
      <c r="B1720" s="1" t="n">
        <f aca="false">INT(A1720/$N$1)</f>
        <v>95</v>
      </c>
      <c r="C1720" s="1" t="n">
        <f aca="false">INT(MOD(A1720,$N$1) / 2)</f>
        <v>4</v>
      </c>
      <c r="D1720" s="1" t="n">
        <f aca="false">_xlfn.BITAND(A1720,1)</f>
        <v>0</v>
      </c>
      <c r="F1720" s="1" t="str">
        <f aca="false">DEC2HEX(B1720*$N$3*18)</f>
        <v>1AB80</v>
      </c>
      <c r="G1720" s="1" t="str">
        <f aca="false">DEC2HEX(C1720*7)</f>
        <v>1C</v>
      </c>
      <c r="H1720" s="1" t="n">
        <f aca="false">IF(D1720=0, 33, "cc")</f>
        <v>33</v>
      </c>
    </row>
    <row r="1721" customFormat="false" ht="18.65" hidden="false" customHeight="true" outlineLevel="0" collapsed="false">
      <c r="A1721" s="1" t="n">
        <f aca="false">ROW()-2</f>
        <v>1719</v>
      </c>
      <c r="B1721" s="1" t="n">
        <f aca="false">INT(A1721/$N$1)</f>
        <v>95</v>
      </c>
      <c r="C1721" s="1" t="n">
        <f aca="false">INT(MOD(A1721,$N$1) / 2)</f>
        <v>4</v>
      </c>
      <c r="D1721" s="1" t="n">
        <f aca="false">_xlfn.BITAND(A1721,1)</f>
        <v>1</v>
      </c>
      <c r="F1721" s="1" t="str">
        <f aca="false">DEC2HEX(B1721*$N$3*18)</f>
        <v>1AB80</v>
      </c>
      <c r="G1721" s="1" t="str">
        <f aca="false">DEC2HEX(C1721*7)</f>
        <v>1C</v>
      </c>
      <c r="H1721" s="1" t="str">
        <f aca="false">IF(D1721=0, 33, "cc")</f>
        <v>cc</v>
      </c>
    </row>
    <row r="1722" customFormat="false" ht="18.65" hidden="false" customHeight="true" outlineLevel="0" collapsed="false">
      <c r="A1722" s="1" t="n">
        <f aca="false">ROW()-2</f>
        <v>1720</v>
      </c>
      <c r="B1722" s="1" t="n">
        <f aca="false">INT(A1722/$N$1)</f>
        <v>95</v>
      </c>
      <c r="C1722" s="1" t="n">
        <f aca="false">INT(MOD(A1722,$N$1) / 2)</f>
        <v>5</v>
      </c>
      <c r="D1722" s="1" t="n">
        <f aca="false">_xlfn.BITAND(A1722,1)</f>
        <v>0</v>
      </c>
      <c r="F1722" s="1" t="str">
        <f aca="false">DEC2HEX(B1722*$N$3*18)</f>
        <v>1AB80</v>
      </c>
      <c r="G1722" s="1" t="str">
        <f aca="false">DEC2HEX(C1722*7)</f>
        <v>23</v>
      </c>
      <c r="H1722" s="1" t="n">
        <f aca="false">IF(D1722=0, 33, "cc")</f>
        <v>33</v>
      </c>
    </row>
    <row r="1723" customFormat="false" ht="18.65" hidden="false" customHeight="true" outlineLevel="0" collapsed="false">
      <c r="A1723" s="1" t="n">
        <f aca="false">ROW()-2</f>
        <v>1721</v>
      </c>
      <c r="B1723" s="1" t="n">
        <f aca="false">INT(A1723/$N$1)</f>
        <v>95</v>
      </c>
      <c r="C1723" s="1" t="n">
        <f aca="false">INT(MOD(A1723,$N$1) / 2)</f>
        <v>5</v>
      </c>
      <c r="D1723" s="1" t="n">
        <f aca="false">_xlfn.BITAND(A1723,1)</f>
        <v>1</v>
      </c>
      <c r="F1723" s="1" t="str">
        <f aca="false">DEC2HEX(B1723*$N$3*18)</f>
        <v>1AB80</v>
      </c>
      <c r="G1723" s="1" t="str">
        <f aca="false">DEC2HEX(C1723*7)</f>
        <v>23</v>
      </c>
      <c r="H1723" s="1" t="str">
        <f aca="false">IF(D1723=0, 33, "cc")</f>
        <v>cc</v>
      </c>
    </row>
    <row r="1724" customFormat="false" ht="18.65" hidden="false" customHeight="true" outlineLevel="0" collapsed="false">
      <c r="A1724" s="1" t="n">
        <f aca="false">ROW()-2</f>
        <v>1722</v>
      </c>
      <c r="B1724" s="1" t="n">
        <f aca="false">INT(A1724/$N$1)</f>
        <v>95</v>
      </c>
      <c r="C1724" s="1" t="n">
        <f aca="false">INT(MOD(A1724,$N$1) / 2)</f>
        <v>6</v>
      </c>
      <c r="D1724" s="1" t="n">
        <f aca="false">_xlfn.BITAND(A1724,1)</f>
        <v>0</v>
      </c>
      <c r="F1724" s="1" t="str">
        <f aca="false">DEC2HEX(B1724*$N$3*18)</f>
        <v>1AB80</v>
      </c>
      <c r="G1724" s="1" t="str">
        <f aca="false">DEC2HEX(C1724*7)</f>
        <v>2A</v>
      </c>
      <c r="H1724" s="1" t="n">
        <f aca="false">IF(D1724=0, 33, "cc")</f>
        <v>33</v>
      </c>
    </row>
    <row r="1725" customFormat="false" ht="18.65" hidden="false" customHeight="true" outlineLevel="0" collapsed="false">
      <c r="A1725" s="1" t="n">
        <f aca="false">ROW()-2</f>
        <v>1723</v>
      </c>
      <c r="B1725" s="1" t="n">
        <f aca="false">INT(A1725/$N$1)</f>
        <v>95</v>
      </c>
      <c r="C1725" s="1" t="n">
        <f aca="false">INT(MOD(A1725,$N$1) / 2)</f>
        <v>6</v>
      </c>
      <c r="D1725" s="1" t="n">
        <f aca="false">_xlfn.BITAND(A1725,1)</f>
        <v>1</v>
      </c>
      <c r="F1725" s="1" t="str">
        <f aca="false">DEC2HEX(B1725*$N$3*18)</f>
        <v>1AB80</v>
      </c>
      <c r="G1725" s="1" t="str">
        <f aca="false">DEC2HEX(C1725*7)</f>
        <v>2A</v>
      </c>
      <c r="H1725" s="1" t="str">
        <f aca="false">IF(D1725=0, 33, "cc")</f>
        <v>cc</v>
      </c>
    </row>
    <row r="1726" customFormat="false" ht="18.65" hidden="false" customHeight="true" outlineLevel="0" collapsed="false">
      <c r="A1726" s="1" t="n">
        <f aca="false">ROW()-2</f>
        <v>1724</v>
      </c>
      <c r="B1726" s="1" t="n">
        <f aca="false">INT(A1726/$N$1)</f>
        <v>95</v>
      </c>
      <c r="C1726" s="1" t="n">
        <f aca="false">INT(MOD(A1726,$N$1) / 2)</f>
        <v>7</v>
      </c>
      <c r="D1726" s="1" t="n">
        <f aca="false">_xlfn.BITAND(A1726,1)</f>
        <v>0</v>
      </c>
      <c r="F1726" s="1" t="str">
        <f aca="false">DEC2HEX(B1726*$N$3*18)</f>
        <v>1AB80</v>
      </c>
      <c r="G1726" s="1" t="str">
        <f aca="false">DEC2HEX(C1726*7)</f>
        <v>31</v>
      </c>
      <c r="H1726" s="1" t="n">
        <f aca="false">IF(D1726=0, 33, "cc")</f>
        <v>33</v>
      </c>
    </row>
    <row r="1727" customFormat="false" ht="18.65" hidden="false" customHeight="true" outlineLevel="0" collapsed="false">
      <c r="A1727" s="1" t="n">
        <f aca="false">ROW()-2</f>
        <v>1725</v>
      </c>
      <c r="B1727" s="1" t="n">
        <f aca="false">INT(A1727/$N$1)</f>
        <v>95</v>
      </c>
      <c r="C1727" s="1" t="n">
        <f aca="false">INT(MOD(A1727,$N$1) / 2)</f>
        <v>7</v>
      </c>
      <c r="D1727" s="1" t="n">
        <f aca="false">_xlfn.BITAND(A1727,1)</f>
        <v>1</v>
      </c>
      <c r="F1727" s="1" t="str">
        <f aca="false">DEC2HEX(B1727*$N$3*18)</f>
        <v>1AB80</v>
      </c>
      <c r="G1727" s="1" t="str">
        <f aca="false">DEC2HEX(C1727*7)</f>
        <v>31</v>
      </c>
      <c r="H1727" s="1" t="str">
        <f aca="false">IF(D1727=0, 33, "cc")</f>
        <v>cc</v>
      </c>
    </row>
    <row r="1728" customFormat="false" ht="18.65" hidden="false" customHeight="true" outlineLevel="0" collapsed="false">
      <c r="A1728" s="1" t="n">
        <f aca="false">ROW()-2</f>
        <v>1726</v>
      </c>
      <c r="B1728" s="1" t="n">
        <f aca="false">INT(A1728/$N$1)</f>
        <v>95</v>
      </c>
      <c r="C1728" s="1" t="n">
        <f aca="false">INT(MOD(A1728,$N$1) / 2)</f>
        <v>8</v>
      </c>
      <c r="D1728" s="1" t="n">
        <f aca="false">_xlfn.BITAND(A1728,1)</f>
        <v>0</v>
      </c>
      <c r="F1728" s="1" t="str">
        <f aca="false">DEC2HEX(B1728*$N$3*18)</f>
        <v>1AB80</v>
      </c>
      <c r="G1728" s="1" t="str">
        <f aca="false">DEC2HEX(C1728*7)</f>
        <v>38</v>
      </c>
      <c r="H1728" s="1" t="n">
        <f aca="false">IF(D1728=0, 33, "cc")</f>
        <v>33</v>
      </c>
    </row>
    <row r="1729" customFormat="false" ht="18.65" hidden="false" customHeight="true" outlineLevel="0" collapsed="false">
      <c r="A1729" s="1" t="n">
        <f aca="false">ROW()-2</f>
        <v>1727</v>
      </c>
      <c r="B1729" s="1" t="n">
        <f aca="false">INT(A1729/$N$1)</f>
        <v>95</v>
      </c>
      <c r="C1729" s="1" t="n">
        <f aca="false">INT(MOD(A1729,$N$1) / 2)</f>
        <v>8</v>
      </c>
      <c r="D1729" s="1" t="n">
        <f aca="false">_xlfn.BITAND(A1729,1)</f>
        <v>1</v>
      </c>
      <c r="F1729" s="1" t="str">
        <f aca="false">DEC2HEX(B1729*$N$3*18)</f>
        <v>1AB80</v>
      </c>
      <c r="G1729" s="1" t="str">
        <f aca="false">DEC2HEX(C1729*7)</f>
        <v>38</v>
      </c>
      <c r="H1729" s="1" t="str">
        <f aca="false">IF(D1729=0, 33, "cc")</f>
        <v>cc</v>
      </c>
    </row>
    <row r="1730" customFormat="false" ht="18.65" hidden="false" customHeight="true" outlineLevel="0" collapsed="false">
      <c r="A1730" s="1" t="n">
        <f aca="false">ROW()-2</f>
        <v>1728</v>
      </c>
      <c r="B1730" s="1" t="n">
        <f aca="false">INT(A1730/$N$1)</f>
        <v>96</v>
      </c>
      <c r="C1730" s="1" t="n">
        <f aca="false">INT(MOD(A1730,$N$1) / 2)</f>
        <v>0</v>
      </c>
      <c r="D1730" s="1" t="n">
        <f aca="false">_xlfn.BITAND(A1730,1)</f>
        <v>0</v>
      </c>
      <c r="F1730" s="1" t="str">
        <f aca="false">DEC2HEX(B1730*$N$3*18)</f>
        <v>1B000</v>
      </c>
      <c r="G1730" s="1" t="str">
        <f aca="false">DEC2HEX(C1730*7)</f>
        <v>0</v>
      </c>
      <c r="H1730" s="1" t="n">
        <f aca="false">IF(D1730=0, 33, "cc")</f>
        <v>33</v>
      </c>
    </row>
    <row r="1731" customFormat="false" ht="18.65" hidden="false" customHeight="true" outlineLevel="0" collapsed="false">
      <c r="A1731" s="1" t="n">
        <f aca="false">ROW()-2</f>
        <v>1729</v>
      </c>
      <c r="B1731" s="1" t="n">
        <f aca="false">INT(A1731/$N$1)</f>
        <v>96</v>
      </c>
      <c r="C1731" s="1" t="n">
        <f aca="false">INT(MOD(A1731,$N$1) / 2)</f>
        <v>0</v>
      </c>
      <c r="D1731" s="1" t="n">
        <f aca="false">_xlfn.BITAND(A1731,1)</f>
        <v>1</v>
      </c>
      <c r="F1731" s="1" t="str">
        <f aca="false">DEC2HEX(B1731*$N$3*18)</f>
        <v>1B000</v>
      </c>
      <c r="G1731" s="1" t="str">
        <f aca="false">DEC2HEX(C1731*7)</f>
        <v>0</v>
      </c>
      <c r="H1731" s="1" t="str">
        <f aca="false">IF(D1731=0, 33, "cc")</f>
        <v>cc</v>
      </c>
    </row>
    <row r="1732" customFormat="false" ht="18.65" hidden="false" customHeight="true" outlineLevel="0" collapsed="false">
      <c r="A1732" s="1" t="n">
        <f aca="false">ROW()-2</f>
        <v>1730</v>
      </c>
      <c r="B1732" s="1" t="n">
        <f aca="false">INT(A1732/$N$1)</f>
        <v>96</v>
      </c>
      <c r="C1732" s="1" t="n">
        <f aca="false">INT(MOD(A1732,$N$1) / 2)</f>
        <v>1</v>
      </c>
      <c r="D1732" s="1" t="n">
        <f aca="false">_xlfn.BITAND(A1732,1)</f>
        <v>0</v>
      </c>
      <c r="F1732" s="1" t="str">
        <f aca="false">DEC2HEX(B1732*$N$3*18)</f>
        <v>1B000</v>
      </c>
      <c r="G1732" s="1" t="str">
        <f aca="false">DEC2HEX(C1732*7)</f>
        <v>7</v>
      </c>
      <c r="H1732" s="1" t="n">
        <f aca="false">IF(D1732=0, 33, "cc")</f>
        <v>33</v>
      </c>
    </row>
    <row r="1733" customFormat="false" ht="18.65" hidden="false" customHeight="true" outlineLevel="0" collapsed="false">
      <c r="A1733" s="1" t="n">
        <f aca="false">ROW()-2</f>
        <v>1731</v>
      </c>
      <c r="B1733" s="1" t="n">
        <f aca="false">INT(A1733/$N$1)</f>
        <v>96</v>
      </c>
      <c r="C1733" s="1" t="n">
        <f aca="false">INT(MOD(A1733,$N$1) / 2)</f>
        <v>1</v>
      </c>
      <c r="D1733" s="1" t="n">
        <f aca="false">_xlfn.BITAND(A1733,1)</f>
        <v>1</v>
      </c>
      <c r="F1733" s="1" t="str">
        <f aca="false">DEC2HEX(B1733*$N$3*18)</f>
        <v>1B000</v>
      </c>
      <c r="G1733" s="1" t="str">
        <f aca="false">DEC2HEX(C1733*7)</f>
        <v>7</v>
      </c>
      <c r="H1733" s="1" t="str">
        <f aca="false">IF(D1733=0, 33, "cc")</f>
        <v>cc</v>
      </c>
    </row>
    <row r="1734" customFormat="false" ht="18.65" hidden="false" customHeight="true" outlineLevel="0" collapsed="false">
      <c r="A1734" s="1" t="n">
        <f aca="false">ROW()-2</f>
        <v>1732</v>
      </c>
      <c r="B1734" s="1" t="n">
        <f aca="false">INT(A1734/$N$1)</f>
        <v>96</v>
      </c>
      <c r="C1734" s="1" t="n">
        <f aca="false">INT(MOD(A1734,$N$1) / 2)</f>
        <v>2</v>
      </c>
      <c r="D1734" s="1" t="n">
        <f aca="false">_xlfn.BITAND(A1734,1)</f>
        <v>0</v>
      </c>
      <c r="F1734" s="1" t="str">
        <f aca="false">DEC2HEX(B1734*$N$3*18)</f>
        <v>1B000</v>
      </c>
      <c r="G1734" s="1" t="str">
        <f aca="false">DEC2HEX(C1734*7)</f>
        <v>E</v>
      </c>
      <c r="H1734" s="1" t="n">
        <f aca="false">IF(D1734=0, 33, "cc")</f>
        <v>33</v>
      </c>
    </row>
    <row r="1735" customFormat="false" ht="18.65" hidden="false" customHeight="true" outlineLevel="0" collapsed="false">
      <c r="A1735" s="1" t="n">
        <f aca="false">ROW()-2</f>
        <v>1733</v>
      </c>
      <c r="B1735" s="1" t="n">
        <f aca="false">INT(A1735/$N$1)</f>
        <v>96</v>
      </c>
      <c r="C1735" s="1" t="n">
        <f aca="false">INT(MOD(A1735,$N$1) / 2)</f>
        <v>2</v>
      </c>
      <c r="D1735" s="1" t="n">
        <f aca="false">_xlfn.BITAND(A1735,1)</f>
        <v>1</v>
      </c>
      <c r="F1735" s="1" t="str">
        <f aca="false">DEC2HEX(B1735*$N$3*18)</f>
        <v>1B000</v>
      </c>
      <c r="G1735" s="1" t="str">
        <f aca="false">DEC2HEX(C1735*7)</f>
        <v>E</v>
      </c>
      <c r="H1735" s="1" t="str">
        <f aca="false">IF(D1735=0, 33, "cc")</f>
        <v>cc</v>
      </c>
    </row>
    <row r="1736" customFormat="false" ht="18.65" hidden="false" customHeight="true" outlineLevel="0" collapsed="false">
      <c r="A1736" s="1" t="n">
        <f aca="false">ROW()-2</f>
        <v>1734</v>
      </c>
      <c r="B1736" s="1" t="n">
        <f aca="false">INT(A1736/$N$1)</f>
        <v>96</v>
      </c>
      <c r="C1736" s="1" t="n">
        <f aca="false">INT(MOD(A1736,$N$1) / 2)</f>
        <v>3</v>
      </c>
      <c r="D1736" s="1" t="n">
        <f aca="false">_xlfn.BITAND(A1736,1)</f>
        <v>0</v>
      </c>
      <c r="F1736" s="1" t="str">
        <f aca="false">DEC2HEX(B1736*$N$3*18)</f>
        <v>1B000</v>
      </c>
      <c r="G1736" s="1" t="str">
        <f aca="false">DEC2HEX(C1736*7)</f>
        <v>15</v>
      </c>
      <c r="H1736" s="1" t="n">
        <f aca="false">IF(D1736=0, 33, "cc")</f>
        <v>33</v>
      </c>
    </row>
    <row r="1737" customFormat="false" ht="18.65" hidden="false" customHeight="true" outlineLevel="0" collapsed="false">
      <c r="A1737" s="1" t="n">
        <f aca="false">ROW()-2</f>
        <v>1735</v>
      </c>
      <c r="B1737" s="1" t="n">
        <f aca="false">INT(A1737/$N$1)</f>
        <v>96</v>
      </c>
      <c r="C1737" s="1" t="n">
        <f aca="false">INT(MOD(A1737,$N$1) / 2)</f>
        <v>3</v>
      </c>
      <c r="D1737" s="1" t="n">
        <f aca="false">_xlfn.BITAND(A1737,1)</f>
        <v>1</v>
      </c>
      <c r="F1737" s="1" t="str">
        <f aca="false">DEC2HEX(B1737*$N$3*18)</f>
        <v>1B000</v>
      </c>
      <c r="G1737" s="1" t="str">
        <f aca="false">DEC2HEX(C1737*7)</f>
        <v>15</v>
      </c>
      <c r="H1737" s="1" t="str">
        <f aca="false">IF(D1737=0, 33, "cc")</f>
        <v>cc</v>
      </c>
    </row>
    <row r="1738" customFormat="false" ht="18.65" hidden="false" customHeight="true" outlineLevel="0" collapsed="false">
      <c r="A1738" s="1" t="n">
        <f aca="false">ROW()-2</f>
        <v>1736</v>
      </c>
      <c r="B1738" s="1" t="n">
        <f aca="false">INT(A1738/$N$1)</f>
        <v>96</v>
      </c>
      <c r="C1738" s="1" t="n">
        <f aca="false">INT(MOD(A1738,$N$1) / 2)</f>
        <v>4</v>
      </c>
      <c r="D1738" s="1" t="n">
        <f aca="false">_xlfn.BITAND(A1738,1)</f>
        <v>0</v>
      </c>
      <c r="F1738" s="1" t="str">
        <f aca="false">DEC2HEX(B1738*$N$3*18)</f>
        <v>1B000</v>
      </c>
      <c r="G1738" s="1" t="str">
        <f aca="false">DEC2HEX(C1738*7)</f>
        <v>1C</v>
      </c>
      <c r="H1738" s="1" t="n">
        <f aca="false">IF(D1738=0, 33, "cc")</f>
        <v>33</v>
      </c>
    </row>
    <row r="1739" customFormat="false" ht="18.65" hidden="false" customHeight="true" outlineLevel="0" collapsed="false">
      <c r="A1739" s="1" t="n">
        <f aca="false">ROW()-2</f>
        <v>1737</v>
      </c>
      <c r="B1739" s="1" t="n">
        <f aca="false">INT(A1739/$N$1)</f>
        <v>96</v>
      </c>
      <c r="C1739" s="1" t="n">
        <f aca="false">INT(MOD(A1739,$N$1) / 2)</f>
        <v>4</v>
      </c>
      <c r="D1739" s="1" t="n">
        <f aca="false">_xlfn.BITAND(A1739,1)</f>
        <v>1</v>
      </c>
      <c r="F1739" s="1" t="str">
        <f aca="false">DEC2HEX(B1739*$N$3*18)</f>
        <v>1B000</v>
      </c>
      <c r="G1739" s="1" t="str">
        <f aca="false">DEC2HEX(C1739*7)</f>
        <v>1C</v>
      </c>
      <c r="H1739" s="1" t="str">
        <f aca="false">IF(D1739=0, 33, "cc")</f>
        <v>cc</v>
      </c>
    </row>
    <row r="1740" customFormat="false" ht="18.65" hidden="false" customHeight="true" outlineLevel="0" collapsed="false">
      <c r="A1740" s="1" t="n">
        <f aca="false">ROW()-2</f>
        <v>1738</v>
      </c>
      <c r="B1740" s="1" t="n">
        <f aca="false">INT(A1740/$N$1)</f>
        <v>96</v>
      </c>
      <c r="C1740" s="1" t="n">
        <f aca="false">INT(MOD(A1740,$N$1) / 2)</f>
        <v>5</v>
      </c>
      <c r="D1740" s="1" t="n">
        <f aca="false">_xlfn.BITAND(A1740,1)</f>
        <v>0</v>
      </c>
      <c r="F1740" s="1" t="str">
        <f aca="false">DEC2HEX(B1740*$N$3*18)</f>
        <v>1B000</v>
      </c>
      <c r="G1740" s="1" t="str">
        <f aca="false">DEC2HEX(C1740*7)</f>
        <v>23</v>
      </c>
      <c r="H1740" s="1" t="n">
        <f aca="false">IF(D1740=0, 33, "cc")</f>
        <v>33</v>
      </c>
    </row>
    <row r="1741" customFormat="false" ht="18.65" hidden="false" customHeight="true" outlineLevel="0" collapsed="false">
      <c r="A1741" s="1" t="n">
        <f aca="false">ROW()-2</f>
        <v>1739</v>
      </c>
      <c r="B1741" s="1" t="n">
        <f aca="false">INT(A1741/$N$1)</f>
        <v>96</v>
      </c>
      <c r="C1741" s="1" t="n">
        <f aca="false">INT(MOD(A1741,$N$1) / 2)</f>
        <v>5</v>
      </c>
      <c r="D1741" s="1" t="n">
        <f aca="false">_xlfn.BITAND(A1741,1)</f>
        <v>1</v>
      </c>
      <c r="F1741" s="1" t="str">
        <f aca="false">DEC2HEX(B1741*$N$3*18)</f>
        <v>1B000</v>
      </c>
      <c r="G1741" s="1" t="str">
        <f aca="false">DEC2HEX(C1741*7)</f>
        <v>23</v>
      </c>
      <c r="H1741" s="1" t="str">
        <f aca="false">IF(D1741=0, 33, "cc")</f>
        <v>cc</v>
      </c>
    </row>
    <row r="1742" customFormat="false" ht="18.65" hidden="false" customHeight="true" outlineLevel="0" collapsed="false">
      <c r="A1742" s="1" t="n">
        <f aca="false">ROW()-2</f>
        <v>1740</v>
      </c>
      <c r="B1742" s="1" t="n">
        <f aca="false">INT(A1742/$N$1)</f>
        <v>96</v>
      </c>
      <c r="C1742" s="1" t="n">
        <f aca="false">INT(MOD(A1742,$N$1) / 2)</f>
        <v>6</v>
      </c>
      <c r="D1742" s="1" t="n">
        <f aca="false">_xlfn.BITAND(A1742,1)</f>
        <v>0</v>
      </c>
      <c r="F1742" s="1" t="str">
        <f aca="false">DEC2HEX(B1742*$N$3*18)</f>
        <v>1B000</v>
      </c>
      <c r="G1742" s="1" t="str">
        <f aca="false">DEC2HEX(C1742*7)</f>
        <v>2A</v>
      </c>
      <c r="H1742" s="1" t="n">
        <f aca="false">IF(D1742=0, 33, "cc")</f>
        <v>33</v>
      </c>
    </row>
    <row r="1743" customFormat="false" ht="18.65" hidden="false" customHeight="true" outlineLevel="0" collapsed="false">
      <c r="A1743" s="1" t="n">
        <f aca="false">ROW()-2</f>
        <v>1741</v>
      </c>
      <c r="B1743" s="1" t="n">
        <f aca="false">INT(A1743/$N$1)</f>
        <v>96</v>
      </c>
      <c r="C1743" s="1" t="n">
        <f aca="false">INT(MOD(A1743,$N$1) / 2)</f>
        <v>6</v>
      </c>
      <c r="D1743" s="1" t="n">
        <f aca="false">_xlfn.BITAND(A1743,1)</f>
        <v>1</v>
      </c>
      <c r="F1743" s="1" t="str">
        <f aca="false">DEC2HEX(B1743*$N$3*18)</f>
        <v>1B000</v>
      </c>
      <c r="G1743" s="1" t="str">
        <f aca="false">DEC2HEX(C1743*7)</f>
        <v>2A</v>
      </c>
      <c r="H1743" s="1" t="str">
        <f aca="false">IF(D1743=0, 33, "cc")</f>
        <v>cc</v>
      </c>
    </row>
    <row r="1744" customFormat="false" ht="18.65" hidden="false" customHeight="true" outlineLevel="0" collapsed="false">
      <c r="A1744" s="1" t="n">
        <f aca="false">ROW()-2</f>
        <v>1742</v>
      </c>
      <c r="B1744" s="1" t="n">
        <f aca="false">INT(A1744/$N$1)</f>
        <v>96</v>
      </c>
      <c r="C1744" s="1" t="n">
        <f aca="false">INT(MOD(A1744,$N$1) / 2)</f>
        <v>7</v>
      </c>
      <c r="D1744" s="1" t="n">
        <f aca="false">_xlfn.BITAND(A1744,1)</f>
        <v>0</v>
      </c>
      <c r="F1744" s="1" t="str">
        <f aca="false">DEC2HEX(B1744*$N$3*18)</f>
        <v>1B000</v>
      </c>
      <c r="G1744" s="1" t="str">
        <f aca="false">DEC2HEX(C1744*7)</f>
        <v>31</v>
      </c>
      <c r="H1744" s="1" t="n">
        <f aca="false">IF(D1744=0, 33, "cc")</f>
        <v>33</v>
      </c>
    </row>
    <row r="1745" customFormat="false" ht="18.65" hidden="false" customHeight="true" outlineLevel="0" collapsed="false">
      <c r="A1745" s="1" t="n">
        <f aca="false">ROW()-2</f>
        <v>1743</v>
      </c>
      <c r="B1745" s="1" t="n">
        <f aca="false">INT(A1745/$N$1)</f>
        <v>96</v>
      </c>
      <c r="C1745" s="1" t="n">
        <f aca="false">INT(MOD(A1745,$N$1) / 2)</f>
        <v>7</v>
      </c>
      <c r="D1745" s="1" t="n">
        <f aca="false">_xlfn.BITAND(A1745,1)</f>
        <v>1</v>
      </c>
      <c r="F1745" s="1" t="str">
        <f aca="false">DEC2HEX(B1745*$N$3*18)</f>
        <v>1B000</v>
      </c>
      <c r="G1745" s="1" t="str">
        <f aca="false">DEC2HEX(C1745*7)</f>
        <v>31</v>
      </c>
      <c r="H1745" s="1" t="str">
        <f aca="false">IF(D1745=0, 33, "cc")</f>
        <v>cc</v>
      </c>
    </row>
    <row r="1746" customFormat="false" ht="18.65" hidden="false" customHeight="true" outlineLevel="0" collapsed="false">
      <c r="A1746" s="1" t="n">
        <f aca="false">ROW()-2</f>
        <v>1744</v>
      </c>
      <c r="B1746" s="1" t="n">
        <f aca="false">INT(A1746/$N$1)</f>
        <v>96</v>
      </c>
      <c r="C1746" s="1" t="n">
        <f aca="false">INT(MOD(A1746,$N$1) / 2)</f>
        <v>8</v>
      </c>
      <c r="D1746" s="1" t="n">
        <f aca="false">_xlfn.BITAND(A1746,1)</f>
        <v>0</v>
      </c>
      <c r="F1746" s="1" t="str">
        <f aca="false">DEC2HEX(B1746*$N$3*18)</f>
        <v>1B000</v>
      </c>
      <c r="G1746" s="1" t="str">
        <f aca="false">DEC2HEX(C1746*7)</f>
        <v>38</v>
      </c>
      <c r="H1746" s="1" t="n">
        <f aca="false">IF(D1746=0, 33, "cc")</f>
        <v>33</v>
      </c>
    </row>
    <row r="1747" customFormat="false" ht="18.65" hidden="false" customHeight="true" outlineLevel="0" collapsed="false">
      <c r="A1747" s="1" t="n">
        <f aca="false">ROW()-2</f>
        <v>1745</v>
      </c>
      <c r="B1747" s="1" t="n">
        <f aca="false">INT(A1747/$N$1)</f>
        <v>96</v>
      </c>
      <c r="C1747" s="1" t="n">
        <f aca="false">INT(MOD(A1747,$N$1) / 2)</f>
        <v>8</v>
      </c>
      <c r="D1747" s="1" t="n">
        <f aca="false">_xlfn.BITAND(A1747,1)</f>
        <v>1</v>
      </c>
      <c r="F1747" s="1" t="str">
        <f aca="false">DEC2HEX(B1747*$N$3*18)</f>
        <v>1B000</v>
      </c>
      <c r="G1747" s="1" t="str">
        <f aca="false">DEC2HEX(C1747*7)</f>
        <v>38</v>
      </c>
      <c r="H1747" s="1" t="str">
        <f aca="false">IF(D1747=0, 33, "cc")</f>
        <v>cc</v>
      </c>
    </row>
    <row r="1748" customFormat="false" ht="18.65" hidden="false" customHeight="true" outlineLevel="0" collapsed="false">
      <c r="A1748" s="1" t="n">
        <f aca="false">ROW()-2</f>
        <v>1746</v>
      </c>
      <c r="B1748" s="1" t="n">
        <f aca="false">INT(A1748/$N$1)</f>
        <v>97</v>
      </c>
      <c r="C1748" s="1" t="n">
        <f aca="false">INT(MOD(A1748,$N$1) / 2)</f>
        <v>0</v>
      </c>
      <c r="D1748" s="1" t="n">
        <f aca="false">_xlfn.BITAND(A1748,1)</f>
        <v>0</v>
      </c>
      <c r="F1748" s="1" t="str">
        <f aca="false">DEC2HEX(B1748*$N$3*18)</f>
        <v>1B480</v>
      </c>
      <c r="G1748" s="1" t="str">
        <f aca="false">DEC2HEX(C1748*7)</f>
        <v>0</v>
      </c>
      <c r="H1748" s="1" t="n">
        <f aca="false">IF(D1748=0, 33, "cc")</f>
        <v>33</v>
      </c>
    </row>
    <row r="1749" customFormat="false" ht="18.65" hidden="false" customHeight="true" outlineLevel="0" collapsed="false">
      <c r="A1749" s="1" t="n">
        <f aca="false">ROW()-2</f>
        <v>1747</v>
      </c>
      <c r="B1749" s="1" t="n">
        <f aca="false">INT(A1749/$N$1)</f>
        <v>97</v>
      </c>
      <c r="C1749" s="1" t="n">
        <f aca="false">INT(MOD(A1749,$N$1) / 2)</f>
        <v>0</v>
      </c>
      <c r="D1749" s="1" t="n">
        <f aca="false">_xlfn.BITAND(A1749,1)</f>
        <v>1</v>
      </c>
      <c r="F1749" s="1" t="str">
        <f aca="false">DEC2HEX(B1749*$N$3*18)</f>
        <v>1B480</v>
      </c>
      <c r="G1749" s="1" t="str">
        <f aca="false">DEC2HEX(C1749*7)</f>
        <v>0</v>
      </c>
      <c r="H1749" s="1" t="str">
        <f aca="false">IF(D1749=0, 33, "cc")</f>
        <v>cc</v>
      </c>
    </row>
    <row r="1750" customFormat="false" ht="18.65" hidden="false" customHeight="true" outlineLevel="0" collapsed="false">
      <c r="A1750" s="1" t="n">
        <f aca="false">ROW()-2</f>
        <v>1748</v>
      </c>
      <c r="B1750" s="1" t="n">
        <f aca="false">INT(A1750/$N$1)</f>
        <v>97</v>
      </c>
      <c r="C1750" s="1" t="n">
        <f aca="false">INT(MOD(A1750,$N$1) / 2)</f>
        <v>1</v>
      </c>
      <c r="D1750" s="1" t="n">
        <f aca="false">_xlfn.BITAND(A1750,1)</f>
        <v>0</v>
      </c>
      <c r="F1750" s="1" t="str">
        <f aca="false">DEC2HEX(B1750*$N$3*18)</f>
        <v>1B480</v>
      </c>
      <c r="G1750" s="1" t="str">
        <f aca="false">DEC2HEX(C1750*7)</f>
        <v>7</v>
      </c>
      <c r="H1750" s="1" t="n">
        <f aca="false">IF(D1750=0, 33, "cc")</f>
        <v>33</v>
      </c>
    </row>
    <row r="1751" customFormat="false" ht="18.65" hidden="false" customHeight="true" outlineLevel="0" collapsed="false">
      <c r="A1751" s="1" t="n">
        <f aca="false">ROW()-2</f>
        <v>1749</v>
      </c>
      <c r="B1751" s="1" t="n">
        <f aca="false">INT(A1751/$N$1)</f>
        <v>97</v>
      </c>
      <c r="C1751" s="1" t="n">
        <f aca="false">INT(MOD(A1751,$N$1) / 2)</f>
        <v>1</v>
      </c>
      <c r="D1751" s="1" t="n">
        <f aca="false">_xlfn.BITAND(A1751,1)</f>
        <v>1</v>
      </c>
      <c r="F1751" s="1" t="str">
        <f aca="false">DEC2HEX(B1751*$N$3*18)</f>
        <v>1B480</v>
      </c>
      <c r="G1751" s="1" t="str">
        <f aca="false">DEC2HEX(C1751*7)</f>
        <v>7</v>
      </c>
      <c r="H1751" s="1" t="str">
        <f aca="false">IF(D1751=0, 33, "cc")</f>
        <v>cc</v>
      </c>
    </row>
    <row r="1752" customFormat="false" ht="18.65" hidden="false" customHeight="true" outlineLevel="0" collapsed="false">
      <c r="A1752" s="1" t="n">
        <f aca="false">ROW()-2</f>
        <v>1750</v>
      </c>
      <c r="B1752" s="1" t="n">
        <f aca="false">INT(A1752/$N$1)</f>
        <v>97</v>
      </c>
      <c r="C1752" s="1" t="n">
        <f aca="false">INT(MOD(A1752,$N$1) / 2)</f>
        <v>2</v>
      </c>
      <c r="D1752" s="1" t="n">
        <f aca="false">_xlfn.BITAND(A1752,1)</f>
        <v>0</v>
      </c>
      <c r="F1752" s="1" t="str">
        <f aca="false">DEC2HEX(B1752*$N$3*18)</f>
        <v>1B480</v>
      </c>
      <c r="G1752" s="1" t="str">
        <f aca="false">DEC2HEX(C1752*7)</f>
        <v>E</v>
      </c>
      <c r="H1752" s="1" t="n">
        <f aca="false">IF(D1752=0, 33, "cc")</f>
        <v>33</v>
      </c>
    </row>
    <row r="1753" customFormat="false" ht="18.65" hidden="false" customHeight="true" outlineLevel="0" collapsed="false">
      <c r="A1753" s="1" t="n">
        <f aca="false">ROW()-2</f>
        <v>1751</v>
      </c>
      <c r="B1753" s="1" t="n">
        <f aca="false">INT(A1753/$N$1)</f>
        <v>97</v>
      </c>
      <c r="C1753" s="1" t="n">
        <f aca="false">INT(MOD(A1753,$N$1) / 2)</f>
        <v>2</v>
      </c>
      <c r="D1753" s="1" t="n">
        <f aca="false">_xlfn.BITAND(A1753,1)</f>
        <v>1</v>
      </c>
      <c r="F1753" s="1" t="str">
        <f aca="false">DEC2HEX(B1753*$N$3*18)</f>
        <v>1B480</v>
      </c>
      <c r="G1753" s="1" t="str">
        <f aca="false">DEC2HEX(C1753*7)</f>
        <v>E</v>
      </c>
      <c r="H1753" s="1" t="str">
        <f aca="false">IF(D1753=0, 33, "cc")</f>
        <v>cc</v>
      </c>
    </row>
    <row r="1754" customFormat="false" ht="18.65" hidden="false" customHeight="true" outlineLevel="0" collapsed="false">
      <c r="A1754" s="1" t="n">
        <f aca="false">ROW()-2</f>
        <v>1752</v>
      </c>
      <c r="B1754" s="1" t="n">
        <f aca="false">INT(A1754/$N$1)</f>
        <v>97</v>
      </c>
      <c r="C1754" s="1" t="n">
        <f aca="false">INT(MOD(A1754,$N$1) / 2)</f>
        <v>3</v>
      </c>
      <c r="D1754" s="1" t="n">
        <f aca="false">_xlfn.BITAND(A1754,1)</f>
        <v>0</v>
      </c>
      <c r="F1754" s="1" t="str">
        <f aca="false">DEC2HEX(B1754*$N$3*18)</f>
        <v>1B480</v>
      </c>
      <c r="G1754" s="1" t="str">
        <f aca="false">DEC2HEX(C1754*7)</f>
        <v>15</v>
      </c>
      <c r="H1754" s="1" t="n">
        <f aca="false">IF(D1754=0, 33, "cc")</f>
        <v>33</v>
      </c>
    </row>
    <row r="1755" customFormat="false" ht="18.65" hidden="false" customHeight="true" outlineLevel="0" collapsed="false">
      <c r="A1755" s="1" t="n">
        <f aca="false">ROW()-2</f>
        <v>1753</v>
      </c>
      <c r="B1755" s="1" t="n">
        <f aca="false">INT(A1755/$N$1)</f>
        <v>97</v>
      </c>
      <c r="C1755" s="1" t="n">
        <f aca="false">INT(MOD(A1755,$N$1) / 2)</f>
        <v>3</v>
      </c>
      <c r="D1755" s="1" t="n">
        <f aca="false">_xlfn.BITAND(A1755,1)</f>
        <v>1</v>
      </c>
      <c r="F1755" s="1" t="str">
        <f aca="false">DEC2HEX(B1755*$N$3*18)</f>
        <v>1B480</v>
      </c>
      <c r="G1755" s="1" t="str">
        <f aca="false">DEC2HEX(C1755*7)</f>
        <v>15</v>
      </c>
      <c r="H1755" s="1" t="str">
        <f aca="false">IF(D1755=0, 33, "cc")</f>
        <v>cc</v>
      </c>
    </row>
    <row r="1756" customFormat="false" ht="18.65" hidden="false" customHeight="true" outlineLevel="0" collapsed="false">
      <c r="A1756" s="1" t="n">
        <f aca="false">ROW()-2</f>
        <v>1754</v>
      </c>
      <c r="B1756" s="1" t="n">
        <f aca="false">INT(A1756/$N$1)</f>
        <v>97</v>
      </c>
      <c r="C1756" s="1" t="n">
        <f aca="false">INT(MOD(A1756,$N$1) / 2)</f>
        <v>4</v>
      </c>
      <c r="D1756" s="1" t="n">
        <f aca="false">_xlfn.BITAND(A1756,1)</f>
        <v>0</v>
      </c>
      <c r="F1756" s="1" t="str">
        <f aca="false">DEC2HEX(B1756*$N$3*18)</f>
        <v>1B480</v>
      </c>
      <c r="G1756" s="1" t="str">
        <f aca="false">DEC2HEX(C1756*7)</f>
        <v>1C</v>
      </c>
      <c r="H1756" s="1" t="n">
        <f aca="false">IF(D1756=0, 33, "cc")</f>
        <v>33</v>
      </c>
    </row>
    <row r="1757" customFormat="false" ht="18.65" hidden="false" customHeight="true" outlineLevel="0" collapsed="false">
      <c r="A1757" s="1" t="n">
        <f aca="false">ROW()-2</f>
        <v>1755</v>
      </c>
      <c r="B1757" s="1" t="n">
        <f aca="false">INT(A1757/$N$1)</f>
        <v>97</v>
      </c>
      <c r="C1757" s="1" t="n">
        <f aca="false">INT(MOD(A1757,$N$1) / 2)</f>
        <v>4</v>
      </c>
      <c r="D1757" s="1" t="n">
        <f aca="false">_xlfn.BITAND(A1757,1)</f>
        <v>1</v>
      </c>
      <c r="F1757" s="1" t="str">
        <f aca="false">DEC2HEX(B1757*$N$3*18)</f>
        <v>1B480</v>
      </c>
      <c r="G1757" s="1" t="str">
        <f aca="false">DEC2HEX(C1757*7)</f>
        <v>1C</v>
      </c>
      <c r="H1757" s="1" t="str">
        <f aca="false">IF(D1757=0, 33, "cc")</f>
        <v>cc</v>
      </c>
    </row>
    <row r="1758" customFormat="false" ht="18.65" hidden="false" customHeight="true" outlineLevel="0" collapsed="false">
      <c r="A1758" s="1" t="n">
        <f aca="false">ROW()-2</f>
        <v>1756</v>
      </c>
      <c r="B1758" s="1" t="n">
        <f aca="false">INT(A1758/$N$1)</f>
        <v>97</v>
      </c>
      <c r="C1758" s="1" t="n">
        <f aca="false">INT(MOD(A1758,$N$1) / 2)</f>
        <v>5</v>
      </c>
      <c r="D1758" s="1" t="n">
        <f aca="false">_xlfn.BITAND(A1758,1)</f>
        <v>0</v>
      </c>
      <c r="F1758" s="1" t="str">
        <f aca="false">DEC2HEX(B1758*$N$3*18)</f>
        <v>1B480</v>
      </c>
      <c r="G1758" s="1" t="str">
        <f aca="false">DEC2HEX(C1758*7)</f>
        <v>23</v>
      </c>
      <c r="H1758" s="1" t="n">
        <f aca="false">IF(D1758=0, 33, "cc")</f>
        <v>33</v>
      </c>
    </row>
    <row r="1759" customFormat="false" ht="18.65" hidden="false" customHeight="true" outlineLevel="0" collapsed="false">
      <c r="A1759" s="1" t="n">
        <f aca="false">ROW()-2</f>
        <v>1757</v>
      </c>
      <c r="B1759" s="1" t="n">
        <f aca="false">INT(A1759/$N$1)</f>
        <v>97</v>
      </c>
      <c r="C1759" s="1" t="n">
        <f aca="false">INT(MOD(A1759,$N$1) / 2)</f>
        <v>5</v>
      </c>
      <c r="D1759" s="1" t="n">
        <f aca="false">_xlfn.BITAND(A1759,1)</f>
        <v>1</v>
      </c>
      <c r="F1759" s="1" t="str">
        <f aca="false">DEC2HEX(B1759*$N$3*18)</f>
        <v>1B480</v>
      </c>
      <c r="G1759" s="1" t="str">
        <f aca="false">DEC2HEX(C1759*7)</f>
        <v>23</v>
      </c>
      <c r="H1759" s="1" t="str">
        <f aca="false">IF(D1759=0, 33, "cc")</f>
        <v>cc</v>
      </c>
    </row>
    <row r="1760" customFormat="false" ht="18.65" hidden="false" customHeight="true" outlineLevel="0" collapsed="false">
      <c r="A1760" s="1" t="n">
        <f aca="false">ROW()-2</f>
        <v>1758</v>
      </c>
      <c r="B1760" s="1" t="n">
        <f aca="false">INT(A1760/$N$1)</f>
        <v>97</v>
      </c>
      <c r="C1760" s="1" t="n">
        <f aca="false">INT(MOD(A1760,$N$1) / 2)</f>
        <v>6</v>
      </c>
      <c r="D1760" s="1" t="n">
        <f aca="false">_xlfn.BITAND(A1760,1)</f>
        <v>0</v>
      </c>
      <c r="F1760" s="1" t="str">
        <f aca="false">DEC2HEX(B1760*$N$3*18)</f>
        <v>1B480</v>
      </c>
      <c r="G1760" s="1" t="str">
        <f aca="false">DEC2HEX(C1760*7)</f>
        <v>2A</v>
      </c>
      <c r="H1760" s="1" t="n">
        <f aca="false">IF(D1760=0, 33, "cc")</f>
        <v>33</v>
      </c>
    </row>
    <row r="1761" customFormat="false" ht="18.65" hidden="false" customHeight="true" outlineLevel="0" collapsed="false">
      <c r="A1761" s="1" t="n">
        <f aca="false">ROW()-2</f>
        <v>1759</v>
      </c>
      <c r="B1761" s="1" t="n">
        <f aca="false">INT(A1761/$N$1)</f>
        <v>97</v>
      </c>
      <c r="C1761" s="1" t="n">
        <f aca="false">INT(MOD(A1761,$N$1) / 2)</f>
        <v>6</v>
      </c>
      <c r="D1761" s="1" t="n">
        <f aca="false">_xlfn.BITAND(A1761,1)</f>
        <v>1</v>
      </c>
      <c r="F1761" s="1" t="str">
        <f aca="false">DEC2HEX(B1761*$N$3*18)</f>
        <v>1B480</v>
      </c>
      <c r="G1761" s="1" t="str">
        <f aca="false">DEC2HEX(C1761*7)</f>
        <v>2A</v>
      </c>
      <c r="H1761" s="1" t="str">
        <f aca="false">IF(D1761=0, 33, "cc")</f>
        <v>cc</v>
      </c>
    </row>
    <row r="1762" customFormat="false" ht="18.65" hidden="false" customHeight="true" outlineLevel="0" collapsed="false">
      <c r="A1762" s="1" t="n">
        <f aca="false">ROW()-2</f>
        <v>1760</v>
      </c>
      <c r="B1762" s="1" t="n">
        <f aca="false">INT(A1762/$N$1)</f>
        <v>97</v>
      </c>
      <c r="C1762" s="1" t="n">
        <f aca="false">INT(MOD(A1762,$N$1) / 2)</f>
        <v>7</v>
      </c>
      <c r="D1762" s="1" t="n">
        <f aca="false">_xlfn.BITAND(A1762,1)</f>
        <v>0</v>
      </c>
      <c r="F1762" s="1" t="str">
        <f aca="false">DEC2HEX(B1762*$N$3*18)</f>
        <v>1B480</v>
      </c>
      <c r="G1762" s="1" t="str">
        <f aca="false">DEC2HEX(C1762*7)</f>
        <v>31</v>
      </c>
      <c r="H1762" s="1" t="n">
        <f aca="false">IF(D1762=0, 33, "cc")</f>
        <v>33</v>
      </c>
    </row>
    <row r="1763" customFormat="false" ht="18.65" hidden="false" customHeight="true" outlineLevel="0" collapsed="false">
      <c r="A1763" s="1" t="n">
        <f aca="false">ROW()-2</f>
        <v>1761</v>
      </c>
      <c r="B1763" s="1" t="n">
        <f aca="false">INT(A1763/$N$1)</f>
        <v>97</v>
      </c>
      <c r="C1763" s="1" t="n">
        <f aca="false">INT(MOD(A1763,$N$1) / 2)</f>
        <v>7</v>
      </c>
      <c r="D1763" s="1" t="n">
        <f aca="false">_xlfn.BITAND(A1763,1)</f>
        <v>1</v>
      </c>
      <c r="F1763" s="1" t="str">
        <f aca="false">DEC2HEX(B1763*$N$3*18)</f>
        <v>1B480</v>
      </c>
      <c r="G1763" s="1" t="str">
        <f aca="false">DEC2HEX(C1763*7)</f>
        <v>31</v>
      </c>
      <c r="H1763" s="1" t="str">
        <f aca="false">IF(D1763=0, 33, "cc")</f>
        <v>cc</v>
      </c>
    </row>
    <row r="1764" customFormat="false" ht="18.65" hidden="false" customHeight="true" outlineLevel="0" collapsed="false">
      <c r="A1764" s="1" t="n">
        <f aca="false">ROW()-2</f>
        <v>1762</v>
      </c>
      <c r="B1764" s="1" t="n">
        <f aca="false">INT(A1764/$N$1)</f>
        <v>97</v>
      </c>
      <c r="C1764" s="1" t="n">
        <f aca="false">INT(MOD(A1764,$N$1) / 2)</f>
        <v>8</v>
      </c>
      <c r="D1764" s="1" t="n">
        <f aca="false">_xlfn.BITAND(A1764,1)</f>
        <v>0</v>
      </c>
      <c r="F1764" s="1" t="str">
        <f aca="false">DEC2HEX(B1764*$N$3*18)</f>
        <v>1B480</v>
      </c>
      <c r="G1764" s="1" t="str">
        <f aca="false">DEC2HEX(C1764*7)</f>
        <v>38</v>
      </c>
      <c r="H1764" s="1" t="n">
        <f aca="false">IF(D1764=0, 33, "cc")</f>
        <v>33</v>
      </c>
    </row>
    <row r="1765" customFormat="false" ht="18.65" hidden="false" customHeight="true" outlineLevel="0" collapsed="false">
      <c r="A1765" s="1" t="n">
        <f aca="false">ROW()-2</f>
        <v>1763</v>
      </c>
      <c r="B1765" s="1" t="n">
        <f aca="false">INT(A1765/$N$1)</f>
        <v>97</v>
      </c>
      <c r="C1765" s="1" t="n">
        <f aca="false">INT(MOD(A1765,$N$1) / 2)</f>
        <v>8</v>
      </c>
      <c r="D1765" s="1" t="n">
        <f aca="false">_xlfn.BITAND(A1765,1)</f>
        <v>1</v>
      </c>
      <c r="F1765" s="1" t="str">
        <f aca="false">DEC2HEX(B1765*$N$3*18)</f>
        <v>1B480</v>
      </c>
      <c r="G1765" s="1" t="str">
        <f aca="false">DEC2HEX(C1765*7)</f>
        <v>38</v>
      </c>
      <c r="H1765" s="1" t="str">
        <f aca="false">IF(D1765=0, 33, "cc")</f>
        <v>cc</v>
      </c>
    </row>
    <row r="1766" customFormat="false" ht="18.65" hidden="false" customHeight="true" outlineLevel="0" collapsed="false">
      <c r="A1766" s="1" t="n">
        <f aca="false">ROW()-2</f>
        <v>1764</v>
      </c>
      <c r="B1766" s="1" t="n">
        <f aca="false">INT(A1766/$N$1)</f>
        <v>98</v>
      </c>
      <c r="C1766" s="1" t="n">
        <f aca="false">INT(MOD(A1766,$N$1) / 2)</f>
        <v>0</v>
      </c>
      <c r="D1766" s="1" t="n">
        <f aca="false">_xlfn.BITAND(A1766,1)</f>
        <v>0</v>
      </c>
      <c r="F1766" s="1" t="str">
        <f aca="false">DEC2HEX(B1766*$N$3*18)</f>
        <v>1B900</v>
      </c>
      <c r="G1766" s="1" t="str">
        <f aca="false">DEC2HEX(C1766*7)</f>
        <v>0</v>
      </c>
      <c r="H1766" s="1" t="n">
        <f aca="false">IF(D1766=0, 33, "cc")</f>
        <v>33</v>
      </c>
    </row>
    <row r="1767" customFormat="false" ht="18.65" hidden="false" customHeight="true" outlineLevel="0" collapsed="false">
      <c r="A1767" s="1" t="n">
        <f aca="false">ROW()-2</f>
        <v>1765</v>
      </c>
      <c r="B1767" s="1" t="n">
        <f aca="false">INT(A1767/$N$1)</f>
        <v>98</v>
      </c>
      <c r="C1767" s="1" t="n">
        <f aca="false">INT(MOD(A1767,$N$1) / 2)</f>
        <v>0</v>
      </c>
      <c r="D1767" s="1" t="n">
        <f aca="false">_xlfn.BITAND(A1767,1)</f>
        <v>1</v>
      </c>
      <c r="F1767" s="1" t="str">
        <f aca="false">DEC2HEX(B1767*$N$3*18)</f>
        <v>1B900</v>
      </c>
      <c r="G1767" s="1" t="str">
        <f aca="false">DEC2HEX(C1767*7)</f>
        <v>0</v>
      </c>
      <c r="H1767" s="1" t="str">
        <f aca="false">IF(D1767=0, 33, "cc")</f>
        <v>cc</v>
      </c>
    </row>
    <row r="1768" customFormat="false" ht="18.65" hidden="false" customHeight="true" outlineLevel="0" collapsed="false">
      <c r="A1768" s="1" t="n">
        <f aca="false">ROW()-2</f>
        <v>1766</v>
      </c>
      <c r="B1768" s="1" t="n">
        <f aca="false">INT(A1768/$N$1)</f>
        <v>98</v>
      </c>
      <c r="C1768" s="1" t="n">
        <f aca="false">INT(MOD(A1768,$N$1) / 2)</f>
        <v>1</v>
      </c>
      <c r="D1768" s="1" t="n">
        <f aca="false">_xlfn.BITAND(A1768,1)</f>
        <v>0</v>
      </c>
      <c r="F1768" s="1" t="str">
        <f aca="false">DEC2HEX(B1768*$N$3*18)</f>
        <v>1B900</v>
      </c>
      <c r="G1768" s="1" t="str">
        <f aca="false">DEC2HEX(C1768*7)</f>
        <v>7</v>
      </c>
      <c r="H1768" s="1" t="n">
        <f aca="false">IF(D1768=0, 33, "cc")</f>
        <v>33</v>
      </c>
    </row>
    <row r="1769" customFormat="false" ht="18.65" hidden="false" customHeight="true" outlineLevel="0" collapsed="false">
      <c r="A1769" s="1" t="n">
        <f aca="false">ROW()-2</f>
        <v>1767</v>
      </c>
      <c r="B1769" s="1" t="n">
        <f aca="false">INT(A1769/$N$1)</f>
        <v>98</v>
      </c>
      <c r="C1769" s="1" t="n">
        <f aca="false">INT(MOD(A1769,$N$1) / 2)</f>
        <v>1</v>
      </c>
      <c r="D1769" s="1" t="n">
        <f aca="false">_xlfn.BITAND(A1769,1)</f>
        <v>1</v>
      </c>
      <c r="F1769" s="1" t="str">
        <f aca="false">DEC2HEX(B1769*$N$3*18)</f>
        <v>1B900</v>
      </c>
      <c r="G1769" s="1" t="str">
        <f aca="false">DEC2HEX(C1769*7)</f>
        <v>7</v>
      </c>
      <c r="H1769" s="1" t="str">
        <f aca="false">IF(D1769=0, 33, "cc")</f>
        <v>cc</v>
      </c>
    </row>
    <row r="1770" customFormat="false" ht="18.65" hidden="false" customHeight="true" outlineLevel="0" collapsed="false">
      <c r="A1770" s="1" t="n">
        <f aca="false">ROW()-2</f>
        <v>1768</v>
      </c>
      <c r="B1770" s="1" t="n">
        <f aca="false">INT(A1770/$N$1)</f>
        <v>98</v>
      </c>
      <c r="C1770" s="1" t="n">
        <f aca="false">INT(MOD(A1770,$N$1) / 2)</f>
        <v>2</v>
      </c>
      <c r="D1770" s="1" t="n">
        <f aca="false">_xlfn.BITAND(A1770,1)</f>
        <v>0</v>
      </c>
      <c r="F1770" s="1" t="str">
        <f aca="false">DEC2HEX(B1770*$N$3*18)</f>
        <v>1B900</v>
      </c>
      <c r="G1770" s="1" t="str">
        <f aca="false">DEC2HEX(C1770*7)</f>
        <v>E</v>
      </c>
      <c r="H1770" s="1" t="n">
        <f aca="false">IF(D1770=0, 33, "cc")</f>
        <v>33</v>
      </c>
    </row>
    <row r="1771" customFormat="false" ht="18.65" hidden="false" customHeight="true" outlineLevel="0" collapsed="false">
      <c r="A1771" s="1" t="n">
        <f aca="false">ROW()-2</f>
        <v>1769</v>
      </c>
      <c r="B1771" s="1" t="n">
        <f aca="false">INT(A1771/$N$1)</f>
        <v>98</v>
      </c>
      <c r="C1771" s="1" t="n">
        <f aca="false">INT(MOD(A1771,$N$1) / 2)</f>
        <v>2</v>
      </c>
      <c r="D1771" s="1" t="n">
        <f aca="false">_xlfn.BITAND(A1771,1)</f>
        <v>1</v>
      </c>
      <c r="F1771" s="1" t="str">
        <f aca="false">DEC2HEX(B1771*$N$3*18)</f>
        <v>1B900</v>
      </c>
      <c r="G1771" s="1" t="str">
        <f aca="false">DEC2HEX(C1771*7)</f>
        <v>E</v>
      </c>
      <c r="H1771" s="1" t="str">
        <f aca="false">IF(D1771=0, 33, "cc")</f>
        <v>cc</v>
      </c>
    </row>
    <row r="1772" customFormat="false" ht="18.65" hidden="false" customHeight="true" outlineLevel="0" collapsed="false">
      <c r="A1772" s="1" t="n">
        <f aca="false">ROW()-2</f>
        <v>1770</v>
      </c>
      <c r="B1772" s="1" t="n">
        <f aca="false">INT(A1772/$N$1)</f>
        <v>98</v>
      </c>
      <c r="C1772" s="1" t="n">
        <f aca="false">INT(MOD(A1772,$N$1) / 2)</f>
        <v>3</v>
      </c>
      <c r="D1772" s="1" t="n">
        <f aca="false">_xlfn.BITAND(A1772,1)</f>
        <v>0</v>
      </c>
      <c r="F1772" s="1" t="str">
        <f aca="false">DEC2HEX(B1772*$N$3*18)</f>
        <v>1B900</v>
      </c>
      <c r="G1772" s="1" t="str">
        <f aca="false">DEC2HEX(C1772*7)</f>
        <v>15</v>
      </c>
      <c r="H1772" s="1" t="n">
        <f aca="false">IF(D1772=0, 33, "cc")</f>
        <v>33</v>
      </c>
    </row>
    <row r="1773" customFormat="false" ht="18.65" hidden="false" customHeight="true" outlineLevel="0" collapsed="false">
      <c r="A1773" s="1" t="n">
        <f aca="false">ROW()-2</f>
        <v>1771</v>
      </c>
      <c r="B1773" s="1" t="n">
        <f aca="false">INT(A1773/$N$1)</f>
        <v>98</v>
      </c>
      <c r="C1773" s="1" t="n">
        <f aca="false">INT(MOD(A1773,$N$1) / 2)</f>
        <v>3</v>
      </c>
      <c r="D1773" s="1" t="n">
        <f aca="false">_xlfn.BITAND(A1773,1)</f>
        <v>1</v>
      </c>
      <c r="F1773" s="1" t="str">
        <f aca="false">DEC2HEX(B1773*$N$3*18)</f>
        <v>1B900</v>
      </c>
      <c r="G1773" s="1" t="str">
        <f aca="false">DEC2HEX(C1773*7)</f>
        <v>15</v>
      </c>
      <c r="H1773" s="1" t="str">
        <f aca="false">IF(D1773=0, 33, "cc")</f>
        <v>cc</v>
      </c>
    </row>
    <row r="1774" customFormat="false" ht="18.65" hidden="false" customHeight="true" outlineLevel="0" collapsed="false">
      <c r="A1774" s="1" t="n">
        <f aca="false">ROW()-2</f>
        <v>1772</v>
      </c>
      <c r="B1774" s="1" t="n">
        <f aca="false">INT(A1774/$N$1)</f>
        <v>98</v>
      </c>
      <c r="C1774" s="1" t="n">
        <f aca="false">INT(MOD(A1774,$N$1) / 2)</f>
        <v>4</v>
      </c>
      <c r="D1774" s="1" t="n">
        <f aca="false">_xlfn.BITAND(A1774,1)</f>
        <v>0</v>
      </c>
      <c r="F1774" s="1" t="str">
        <f aca="false">DEC2HEX(B1774*$N$3*18)</f>
        <v>1B900</v>
      </c>
      <c r="G1774" s="1" t="str">
        <f aca="false">DEC2HEX(C1774*7)</f>
        <v>1C</v>
      </c>
      <c r="H1774" s="1" t="n">
        <f aca="false">IF(D1774=0, 33, "cc")</f>
        <v>33</v>
      </c>
    </row>
    <row r="1775" customFormat="false" ht="18.65" hidden="false" customHeight="true" outlineLevel="0" collapsed="false">
      <c r="A1775" s="1" t="n">
        <f aca="false">ROW()-2</f>
        <v>1773</v>
      </c>
      <c r="B1775" s="1" t="n">
        <f aca="false">INT(A1775/$N$1)</f>
        <v>98</v>
      </c>
      <c r="C1775" s="1" t="n">
        <f aca="false">INT(MOD(A1775,$N$1) / 2)</f>
        <v>4</v>
      </c>
      <c r="D1775" s="1" t="n">
        <f aca="false">_xlfn.BITAND(A1775,1)</f>
        <v>1</v>
      </c>
      <c r="F1775" s="1" t="str">
        <f aca="false">DEC2HEX(B1775*$N$3*18)</f>
        <v>1B900</v>
      </c>
      <c r="G1775" s="1" t="str">
        <f aca="false">DEC2HEX(C1775*7)</f>
        <v>1C</v>
      </c>
      <c r="H1775" s="1" t="str">
        <f aca="false">IF(D1775=0, 33, "cc")</f>
        <v>cc</v>
      </c>
    </row>
    <row r="1776" customFormat="false" ht="18.65" hidden="false" customHeight="true" outlineLevel="0" collapsed="false">
      <c r="A1776" s="1" t="n">
        <f aca="false">ROW()-2</f>
        <v>1774</v>
      </c>
      <c r="B1776" s="1" t="n">
        <f aca="false">INT(A1776/$N$1)</f>
        <v>98</v>
      </c>
      <c r="C1776" s="1" t="n">
        <f aca="false">INT(MOD(A1776,$N$1) / 2)</f>
        <v>5</v>
      </c>
      <c r="D1776" s="1" t="n">
        <f aca="false">_xlfn.BITAND(A1776,1)</f>
        <v>0</v>
      </c>
      <c r="F1776" s="1" t="str">
        <f aca="false">DEC2HEX(B1776*$N$3*18)</f>
        <v>1B900</v>
      </c>
      <c r="G1776" s="1" t="str">
        <f aca="false">DEC2HEX(C1776*7)</f>
        <v>23</v>
      </c>
      <c r="H1776" s="1" t="n">
        <f aca="false">IF(D1776=0, 33, "cc")</f>
        <v>33</v>
      </c>
    </row>
    <row r="1777" customFormat="false" ht="18.65" hidden="false" customHeight="true" outlineLevel="0" collapsed="false">
      <c r="A1777" s="1" t="n">
        <f aca="false">ROW()-2</f>
        <v>1775</v>
      </c>
      <c r="B1777" s="1" t="n">
        <f aca="false">INT(A1777/$N$1)</f>
        <v>98</v>
      </c>
      <c r="C1777" s="1" t="n">
        <f aca="false">INT(MOD(A1777,$N$1) / 2)</f>
        <v>5</v>
      </c>
      <c r="D1777" s="1" t="n">
        <f aca="false">_xlfn.BITAND(A1777,1)</f>
        <v>1</v>
      </c>
      <c r="F1777" s="1" t="str">
        <f aca="false">DEC2HEX(B1777*$N$3*18)</f>
        <v>1B900</v>
      </c>
      <c r="G1777" s="1" t="str">
        <f aca="false">DEC2HEX(C1777*7)</f>
        <v>23</v>
      </c>
      <c r="H1777" s="1" t="str">
        <f aca="false">IF(D1777=0, 33, "cc")</f>
        <v>cc</v>
      </c>
    </row>
    <row r="1778" customFormat="false" ht="18.65" hidden="false" customHeight="true" outlineLevel="0" collapsed="false">
      <c r="A1778" s="1" t="n">
        <f aca="false">ROW()-2</f>
        <v>1776</v>
      </c>
      <c r="B1778" s="1" t="n">
        <f aca="false">INT(A1778/$N$1)</f>
        <v>98</v>
      </c>
      <c r="C1778" s="1" t="n">
        <f aca="false">INT(MOD(A1778,$N$1) / 2)</f>
        <v>6</v>
      </c>
      <c r="D1778" s="1" t="n">
        <f aca="false">_xlfn.BITAND(A1778,1)</f>
        <v>0</v>
      </c>
      <c r="F1778" s="1" t="str">
        <f aca="false">DEC2HEX(B1778*$N$3*18)</f>
        <v>1B900</v>
      </c>
      <c r="G1778" s="1" t="str">
        <f aca="false">DEC2HEX(C1778*7)</f>
        <v>2A</v>
      </c>
      <c r="H1778" s="1" t="n">
        <f aca="false">IF(D1778=0, 33, "cc")</f>
        <v>33</v>
      </c>
    </row>
    <row r="1779" customFormat="false" ht="18.65" hidden="false" customHeight="true" outlineLevel="0" collapsed="false">
      <c r="A1779" s="1" t="n">
        <f aca="false">ROW()-2</f>
        <v>1777</v>
      </c>
      <c r="B1779" s="1" t="n">
        <f aca="false">INT(A1779/$N$1)</f>
        <v>98</v>
      </c>
      <c r="C1779" s="1" t="n">
        <f aca="false">INT(MOD(A1779,$N$1) / 2)</f>
        <v>6</v>
      </c>
      <c r="D1779" s="1" t="n">
        <f aca="false">_xlfn.BITAND(A1779,1)</f>
        <v>1</v>
      </c>
      <c r="F1779" s="1" t="str">
        <f aca="false">DEC2HEX(B1779*$N$3*18)</f>
        <v>1B900</v>
      </c>
      <c r="G1779" s="1" t="str">
        <f aca="false">DEC2HEX(C1779*7)</f>
        <v>2A</v>
      </c>
      <c r="H1779" s="1" t="str">
        <f aca="false">IF(D1779=0, 33, "cc")</f>
        <v>cc</v>
      </c>
    </row>
    <row r="1780" customFormat="false" ht="18.65" hidden="false" customHeight="true" outlineLevel="0" collapsed="false">
      <c r="A1780" s="1" t="n">
        <f aca="false">ROW()-2</f>
        <v>1778</v>
      </c>
      <c r="B1780" s="1" t="n">
        <f aca="false">INT(A1780/$N$1)</f>
        <v>98</v>
      </c>
      <c r="C1780" s="1" t="n">
        <f aca="false">INT(MOD(A1780,$N$1) / 2)</f>
        <v>7</v>
      </c>
      <c r="D1780" s="1" t="n">
        <f aca="false">_xlfn.BITAND(A1780,1)</f>
        <v>0</v>
      </c>
      <c r="F1780" s="1" t="str">
        <f aca="false">DEC2HEX(B1780*$N$3*18)</f>
        <v>1B900</v>
      </c>
      <c r="G1780" s="1" t="str">
        <f aca="false">DEC2HEX(C1780*7)</f>
        <v>31</v>
      </c>
      <c r="H1780" s="1" t="n">
        <f aca="false">IF(D1780=0, 33, "cc")</f>
        <v>33</v>
      </c>
    </row>
    <row r="1781" customFormat="false" ht="18.65" hidden="false" customHeight="true" outlineLevel="0" collapsed="false">
      <c r="A1781" s="1" t="n">
        <f aca="false">ROW()-2</f>
        <v>1779</v>
      </c>
      <c r="B1781" s="1" t="n">
        <f aca="false">INT(A1781/$N$1)</f>
        <v>98</v>
      </c>
      <c r="C1781" s="1" t="n">
        <f aca="false">INT(MOD(A1781,$N$1) / 2)</f>
        <v>7</v>
      </c>
      <c r="D1781" s="1" t="n">
        <f aca="false">_xlfn.BITAND(A1781,1)</f>
        <v>1</v>
      </c>
      <c r="F1781" s="1" t="str">
        <f aca="false">DEC2HEX(B1781*$N$3*18)</f>
        <v>1B900</v>
      </c>
      <c r="G1781" s="1" t="str">
        <f aca="false">DEC2HEX(C1781*7)</f>
        <v>31</v>
      </c>
      <c r="H1781" s="1" t="str">
        <f aca="false">IF(D1781=0, 33, "cc")</f>
        <v>cc</v>
      </c>
    </row>
    <row r="1782" customFormat="false" ht="18.65" hidden="false" customHeight="true" outlineLevel="0" collapsed="false">
      <c r="A1782" s="1" t="n">
        <f aca="false">ROW()-2</f>
        <v>1780</v>
      </c>
      <c r="B1782" s="1" t="n">
        <f aca="false">INT(A1782/$N$1)</f>
        <v>98</v>
      </c>
      <c r="C1782" s="1" t="n">
        <f aca="false">INT(MOD(A1782,$N$1) / 2)</f>
        <v>8</v>
      </c>
      <c r="D1782" s="1" t="n">
        <f aca="false">_xlfn.BITAND(A1782,1)</f>
        <v>0</v>
      </c>
      <c r="F1782" s="1" t="str">
        <f aca="false">DEC2HEX(B1782*$N$3*18)</f>
        <v>1B900</v>
      </c>
      <c r="G1782" s="1" t="str">
        <f aca="false">DEC2HEX(C1782*7)</f>
        <v>38</v>
      </c>
      <c r="H1782" s="1" t="n">
        <f aca="false">IF(D1782=0, 33, "cc")</f>
        <v>33</v>
      </c>
    </row>
    <row r="1783" customFormat="false" ht="18.65" hidden="false" customHeight="true" outlineLevel="0" collapsed="false">
      <c r="A1783" s="1" t="n">
        <f aca="false">ROW()-2</f>
        <v>1781</v>
      </c>
      <c r="B1783" s="1" t="n">
        <f aca="false">INT(A1783/$N$1)</f>
        <v>98</v>
      </c>
      <c r="C1783" s="1" t="n">
        <f aca="false">INT(MOD(A1783,$N$1) / 2)</f>
        <v>8</v>
      </c>
      <c r="D1783" s="1" t="n">
        <f aca="false">_xlfn.BITAND(A1783,1)</f>
        <v>1</v>
      </c>
      <c r="F1783" s="1" t="str">
        <f aca="false">DEC2HEX(B1783*$N$3*18)</f>
        <v>1B900</v>
      </c>
      <c r="G1783" s="1" t="str">
        <f aca="false">DEC2HEX(C1783*7)</f>
        <v>38</v>
      </c>
      <c r="H1783" s="1" t="str">
        <f aca="false">IF(D1783=0, 33, "cc")</f>
        <v>cc</v>
      </c>
    </row>
    <row r="1784" customFormat="false" ht="18.65" hidden="false" customHeight="true" outlineLevel="0" collapsed="false">
      <c r="A1784" s="1" t="n">
        <f aca="false">ROW()-2</f>
        <v>1782</v>
      </c>
      <c r="B1784" s="1" t="n">
        <f aca="false">INT(A1784/$N$1)</f>
        <v>99</v>
      </c>
      <c r="C1784" s="1" t="n">
        <f aca="false">INT(MOD(A1784,$N$1) / 2)</f>
        <v>0</v>
      </c>
      <c r="D1784" s="1" t="n">
        <f aca="false">_xlfn.BITAND(A1784,1)</f>
        <v>0</v>
      </c>
      <c r="F1784" s="1" t="str">
        <f aca="false">DEC2HEX(B1784*$N$3*18)</f>
        <v>1BD80</v>
      </c>
      <c r="G1784" s="1" t="str">
        <f aca="false">DEC2HEX(C1784*7)</f>
        <v>0</v>
      </c>
      <c r="H1784" s="1" t="n">
        <f aca="false">IF(D1784=0, 33, "cc")</f>
        <v>33</v>
      </c>
    </row>
    <row r="1785" customFormat="false" ht="18.65" hidden="false" customHeight="true" outlineLevel="0" collapsed="false">
      <c r="A1785" s="1" t="n">
        <f aca="false">ROW()-2</f>
        <v>1783</v>
      </c>
      <c r="B1785" s="1" t="n">
        <f aca="false">INT(A1785/$N$1)</f>
        <v>99</v>
      </c>
      <c r="C1785" s="1" t="n">
        <f aca="false">INT(MOD(A1785,$N$1) / 2)</f>
        <v>0</v>
      </c>
      <c r="D1785" s="1" t="n">
        <f aca="false">_xlfn.BITAND(A1785,1)</f>
        <v>1</v>
      </c>
      <c r="F1785" s="1" t="str">
        <f aca="false">DEC2HEX(B1785*$N$3*18)</f>
        <v>1BD80</v>
      </c>
      <c r="G1785" s="1" t="str">
        <f aca="false">DEC2HEX(C1785*7)</f>
        <v>0</v>
      </c>
      <c r="H1785" s="1" t="str">
        <f aca="false">IF(D1785=0, 33, "cc")</f>
        <v>cc</v>
      </c>
    </row>
    <row r="1786" customFormat="false" ht="18.65" hidden="false" customHeight="true" outlineLevel="0" collapsed="false">
      <c r="A1786" s="1" t="n">
        <f aca="false">ROW()-2</f>
        <v>1784</v>
      </c>
      <c r="B1786" s="1" t="n">
        <f aca="false">INT(A1786/$N$1)</f>
        <v>99</v>
      </c>
      <c r="C1786" s="1" t="n">
        <f aca="false">INT(MOD(A1786,$N$1) / 2)</f>
        <v>1</v>
      </c>
      <c r="D1786" s="1" t="n">
        <f aca="false">_xlfn.BITAND(A1786,1)</f>
        <v>0</v>
      </c>
      <c r="F1786" s="1" t="str">
        <f aca="false">DEC2HEX(B1786*$N$3*18)</f>
        <v>1BD80</v>
      </c>
      <c r="G1786" s="1" t="str">
        <f aca="false">DEC2HEX(C1786*7)</f>
        <v>7</v>
      </c>
      <c r="H1786" s="1" t="n">
        <f aca="false">IF(D1786=0, 33, "cc")</f>
        <v>33</v>
      </c>
    </row>
    <row r="1787" customFormat="false" ht="18.65" hidden="false" customHeight="true" outlineLevel="0" collapsed="false">
      <c r="A1787" s="1" t="n">
        <f aca="false">ROW()-2</f>
        <v>1785</v>
      </c>
      <c r="B1787" s="1" t="n">
        <f aca="false">INT(A1787/$N$1)</f>
        <v>99</v>
      </c>
      <c r="C1787" s="1" t="n">
        <f aca="false">INT(MOD(A1787,$N$1) / 2)</f>
        <v>1</v>
      </c>
      <c r="D1787" s="1" t="n">
        <f aca="false">_xlfn.BITAND(A1787,1)</f>
        <v>1</v>
      </c>
      <c r="F1787" s="1" t="str">
        <f aca="false">DEC2HEX(B1787*$N$3*18)</f>
        <v>1BD80</v>
      </c>
      <c r="G1787" s="1" t="str">
        <f aca="false">DEC2HEX(C1787*7)</f>
        <v>7</v>
      </c>
      <c r="H1787" s="1" t="str">
        <f aca="false">IF(D1787=0, 33, "cc")</f>
        <v>cc</v>
      </c>
    </row>
    <row r="1788" customFormat="false" ht="18.65" hidden="false" customHeight="true" outlineLevel="0" collapsed="false">
      <c r="A1788" s="1" t="n">
        <f aca="false">ROW()-2</f>
        <v>1786</v>
      </c>
      <c r="B1788" s="1" t="n">
        <f aca="false">INT(A1788/$N$1)</f>
        <v>99</v>
      </c>
      <c r="C1788" s="1" t="n">
        <f aca="false">INT(MOD(A1788,$N$1) / 2)</f>
        <v>2</v>
      </c>
      <c r="D1788" s="1" t="n">
        <f aca="false">_xlfn.BITAND(A1788,1)</f>
        <v>0</v>
      </c>
      <c r="F1788" s="1" t="str">
        <f aca="false">DEC2HEX(B1788*$N$3*18)</f>
        <v>1BD80</v>
      </c>
      <c r="G1788" s="1" t="str">
        <f aca="false">DEC2HEX(C1788*7)</f>
        <v>E</v>
      </c>
      <c r="H1788" s="1" t="n">
        <f aca="false">IF(D1788=0, 33, "cc")</f>
        <v>33</v>
      </c>
    </row>
    <row r="1789" customFormat="false" ht="18.65" hidden="false" customHeight="true" outlineLevel="0" collapsed="false">
      <c r="A1789" s="1" t="n">
        <f aca="false">ROW()-2</f>
        <v>1787</v>
      </c>
      <c r="B1789" s="1" t="n">
        <f aca="false">INT(A1789/$N$1)</f>
        <v>99</v>
      </c>
      <c r="C1789" s="1" t="n">
        <f aca="false">INT(MOD(A1789,$N$1) / 2)</f>
        <v>2</v>
      </c>
      <c r="D1789" s="1" t="n">
        <f aca="false">_xlfn.BITAND(A1789,1)</f>
        <v>1</v>
      </c>
      <c r="F1789" s="1" t="str">
        <f aca="false">DEC2HEX(B1789*$N$3*18)</f>
        <v>1BD80</v>
      </c>
      <c r="G1789" s="1" t="str">
        <f aca="false">DEC2HEX(C1789*7)</f>
        <v>E</v>
      </c>
      <c r="H1789" s="1" t="str">
        <f aca="false">IF(D1789=0, 33, "cc")</f>
        <v>cc</v>
      </c>
    </row>
    <row r="1790" customFormat="false" ht="18.65" hidden="false" customHeight="true" outlineLevel="0" collapsed="false">
      <c r="A1790" s="1" t="n">
        <f aca="false">ROW()-2</f>
        <v>1788</v>
      </c>
      <c r="B1790" s="1" t="n">
        <f aca="false">INT(A1790/$N$1)</f>
        <v>99</v>
      </c>
      <c r="C1790" s="1" t="n">
        <f aca="false">INT(MOD(A1790,$N$1) / 2)</f>
        <v>3</v>
      </c>
      <c r="D1790" s="1" t="n">
        <f aca="false">_xlfn.BITAND(A1790,1)</f>
        <v>0</v>
      </c>
      <c r="F1790" s="1" t="str">
        <f aca="false">DEC2HEX(B1790*$N$3*18)</f>
        <v>1BD80</v>
      </c>
      <c r="G1790" s="1" t="str">
        <f aca="false">DEC2HEX(C1790*7)</f>
        <v>15</v>
      </c>
      <c r="H1790" s="1" t="n">
        <f aca="false">IF(D1790=0, 33, "cc")</f>
        <v>33</v>
      </c>
    </row>
    <row r="1791" customFormat="false" ht="18.65" hidden="false" customHeight="true" outlineLevel="0" collapsed="false">
      <c r="A1791" s="1" t="n">
        <f aca="false">ROW()-2</f>
        <v>1789</v>
      </c>
      <c r="B1791" s="1" t="n">
        <f aca="false">INT(A1791/$N$1)</f>
        <v>99</v>
      </c>
      <c r="C1791" s="1" t="n">
        <f aca="false">INT(MOD(A1791,$N$1) / 2)</f>
        <v>3</v>
      </c>
      <c r="D1791" s="1" t="n">
        <f aca="false">_xlfn.BITAND(A1791,1)</f>
        <v>1</v>
      </c>
      <c r="F1791" s="1" t="str">
        <f aca="false">DEC2HEX(B1791*$N$3*18)</f>
        <v>1BD80</v>
      </c>
      <c r="G1791" s="1" t="str">
        <f aca="false">DEC2HEX(C1791*7)</f>
        <v>15</v>
      </c>
      <c r="H1791" s="1" t="str">
        <f aca="false">IF(D1791=0, 33, "cc")</f>
        <v>cc</v>
      </c>
    </row>
    <row r="1792" customFormat="false" ht="18.65" hidden="false" customHeight="true" outlineLevel="0" collapsed="false">
      <c r="A1792" s="1" t="n">
        <f aca="false">ROW()-2</f>
        <v>1790</v>
      </c>
      <c r="B1792" s="1" t="n">
        <f aca="false">INT(A1792/$N$1)</f>
        <v>99</v>
      </c>
      <c r="C1792" s="1" t="n">
        <f aca="false">INT(MOD(A1792,$N$1) / 2)</f>
        <v>4</v>
      </c>
      <c r="D1792" s="1" t="n">
        <f aca="false">_xlfn.BITAND(A1792,1)</f>
        <v>0</v>
      </c>
      <c r="F1792" s="1" t="str">
        <f aca="false">DEC2HEX(B1792*$N$3*18)</f>
        <v>1BD80</v>
      </c>
      <c r="G1792" s="1" t="str">
        <f aca="false">DEC2HEX(C1792*7)</f>
        <v>1C</v>
      </c>
      <c r="H1792" s="1" t="n">
        <f aca="false">IF(D1792=0, 33, "cc")</f>
        <v>33</v>
      </c>
    </row>
    <row r="1793" customFormat="false" ht="18.65" hidden="false" customHeight="true" outlineLevel="0" collapsed="false">
      <c r="A1793" s="1" t="n">
        <f aca="false">ROW()-2</f>
        <v>1791</v>
      </c>
      <c r="B1793" s="1" t="n">
        <f aca="false">INT(A1793/$N$1)</f>
        <v>99</v>
      </c>
      <c r="C1793" s="1" t="n">
        <f aca="false">INT(MOD(A1793,$N$1) / 2)</f>
        <v>4</v>
      </c>
      <c r="D1793" s="1" t="n">
        <f aca="false">_xlfn.BITAND(A1793,1)</f>
        <v>1</v>
      </c>
      <c r="F1793" s="1" t="str">
        <f aca="false">DEC2HEX(B1793*$N$3*18)</f>
        <v>1BD80</v>
      </c>
      <c r="G1793" s="1" t="str">
        <f aca="false">DEC2HEX(C1793*7)</f>
        <v>1C</v>
      </c>
      <c r="H1793" s="1" t="str">
        <f aca="false">IF(D1793=0, 33, "cc")</f>
        <v>cc</v>
      </c>
    </row>
    <row r="1794" customFormat="false" ht="18.65" hidden="false" customHeight="true" outlineLevel="0" collapsed="false">
      <c r="A1794" s="1" t="n">
        <f aca="false">ROW()-2</f>
        <v>1792</v>
      </c>
      <c r="B1794" s="1" t="n">
        <f aca="false">INT(A1794/$N$1)</f>
        <v>99</v>
      </c>
      <c r="C1794" s="1" t="n">
        <f aca="false">INT(MOD(A1794,$N$1) / 2)</f>
        <v>5</v>
      </c>
      <c r="D1794" s="1" t="n">
        <f aca="false">_xlfn.BITAND(A1794,1)</f>
        <v>0</v>
      </c>
      <c r="F1794" s="1" t="str">
        <f aca="false">DEC2HEX(B1794*$N$3*18)</f>
        <v>1BD80</v>
      </c>
      <c r="G1794" s="1" t="str">
        <f aca="false">DEC2HEX(C1794*7)</f>
        <v>23</v>
      </c>
      <c r="H1794" s="1" t="n">
        <f aca="false">IF(D1794=0, 33, "cc")</f>
        <v>33</v>
      </c>
    </row>
    <row r="1795" customFormat="false" ht="18.65" hidden="false" customHeight="true" outlineLevel="0" collapsed="false">
      <c r="A1795" s="1" t="n">
        <f aca="false">ROW()-2</f>
        <v>1793</v>
      </c>
      <c r="B1795" s="1" t="n">
        <f aca="false">INT(A1795/$N$1)</f>
        <v>99</v>
      </c>
      <c r="C1795" s="1" t="n">
        <f aca="false">INT(MOD(A1795,$N$1) / 2)</f>
        <v>5</v>
      </c>
      <c r="D1795" s="1" t="n">
        <f aca="false">_xlfn.BITAND(A1795,1)</f>
        <v>1</v>
      </c>
      <c r="F1795" s="1" t="str">
        <f aca="false">DEC2HEX(B1795*$N$3*18)</f>
        <v>1BD80</v>
      </c>
      <c r="G1795" s="1" t="str">
        <f aca="false">DEC2HEX(C1795*7)</f>
        <v>23</v>
      </c>
      <c r="H1795" s="1" t="str">
        <f aca="false">IF(D1795=0, 33, "cc")</f>
        <v>cc</v>
      </c>
    </row>
    <row r="1796" customFormat="false" ht="18.65" hidden="false" customHeight="true" outlineLevel="0" collapsed="false">
      <c r="A1796" s="1" t="n">
        <f aca="false">ROW()-2</f>
        <v>1794</v>
      </c>
      <c r="B1796" s="1" t="n">
        <f aca="false">INT(A1796/$N$1)</f>
        <v>99</v>
      </c>
      <c r="C1796" s="1" t="n">
        <f aca="false">INT(MOD(A1796,$N$1) / 2)</f>
        <v>6</v>
      </c>
      <c r="D1796" s="1" t="n">
        <f aca="false">_xlfn.BITAND(A1796,1)</f>
        <v>0</v>
      </c>
      <c r="F1796" s="1" t="str">
        <f aca="false">DEC2HEX(B1796*$N$3*18)</f>
        <v>1BD80</v>
      </c>
      <c r="G1796" s="1" t="str">
        <f aca="false">DEC2HEX(C1796*7)</f>
        <v>2A</v>
      </c>
      <c r="H1796" s="1" t="n">
        <f aca="false">IF(D1796=0, 33, "cc")</f>
        <v>33</v>
      </c>
    </row>
    <row r="1797" customFormat="false" ht="18.65" hidden="false" customHeight="true" outlineLevel="0" collapsed="false">
      <c r="A1797" s="1" t="n">
        <f aca="false">ROW()-2</f>
        <v>1795</v>
      </c>
      <c r="B1797" s="1" t="n">
        <f aca="false">INT(A1797/$N$1)</f>
        <v>99</v>
      </c>
      <c r="C1797" s="1" t="n">
        <f aca="false">INT(MOD(A1797,$N$1) / 2)</f>
        <v>6</v>
      </c>
      <c r="D1797" s="1" t="n">
        <f aca="false">_xlfn.BITAND(A1797,1)</f>
        <v>1</v>
      </c>
      <c r="F1797" s="1" t="str">
        <f aca="false">DEC2HEX(B1797*$N$3*18)</f>
        <v>1BD80</v>
      </c>
      <c r="G1797" s="1" t="str">
        <f aca="false">DEC2HEX(C1797*7)</f>
        <v>2A</v>
      </c>
      <c r="H1797" s="1" t="str">
        <f aca="false">IF(D1797=0, 33, "cc")</f>
        <v>cc</v>
      </c>
    </row>
    <row r="1798" customFormat="false" ht="18.65" hidden="false" customHeight="true" outlineLevel="0" collapsed="false">
      <c r="A1798" s="1" t="n">
        <f aca="false">ROW()-2</f>
        <v>1796</v>
      </c>
      <c r="B1798" s="1" t="n">
        <f aca="false">INT(A1798/$N$1)</f>
        <v>99</v>
      </c>
      <c r="C1798" s="1" t="n">
        <f aca="false">INT(MOD(A1798,$N$1) / 2)</f>
        <v>7</v>
      </c>
      <c r="D1798" s="1" t="n">
        <f aca="false">_xlfn.BITAND(A1798,1)</f>
        <v>0</v>
      </c>
      <c r="F1798" s="1" t="str">
        <f aca="false">DEC2HEX(B1798*$N$3*18)</f>
        <v>1BD80</v>
      </c>
      <c r="G1798" s="1" t="str">
        <f aca="false">DEC2HEX(C1798*7)</f>
        <v>31</v>
      </c>
      <c r="H1798" s="1" t="n">
        <f aca="false">IF(D1798=0, 33, "cc")</f>
        <v>33</v>
      </c>
    </row>
    <row r="1799" customFormat="false" ht="18.65" hidden="false" customHeight="true" outlineLevel="0" collapsed="false">
      <c r="A1799" s="1" t="n">
        <f aca="false">ROW()-2</f>
        <v>1797</v>
      </c>
      <c r="B1799" s="1" t="n">
        <f aca="false">INT(A1799/$N$1)</f>
        <v>99</v>
      </c>
      <c r="C1799" s="1" t="n">
        <f aca="false">INT(MOD(A1799,$N$1) / 2)</f>
        <v>7</v>
      </c>
      <c r="D1799" s="1" t="n">
        <f aca="false">_xlfn.BITAND(A1799,1)</f>
        <v>1</v>
      </c>
      <c r="F1799" s="1" t="str">
        <f aca="false">DEC2HEX(B1799*$N$3*18)</f>
        <v>1BD80</v>
      </c>
      <c r="G1799" s="1" t="str">
        <f aca="false">DEC2HEX(C1799*7)</f>
        <v>31</v>
      </c>
      <c r="H1799" s="1" t="str">
        <f aca="false">IF(D1799=0, 33, "cc")</f>
        <v>cc</v>
      </c>
    </row>
    <row r="1800" customFormat="false" ht="18.65" hidden="false" customHeight="true" outlineLevel="0" collapsed="false">
      <c r="A1800" s="1" t="n">
        <f aca="false">ROW()-2</f>
        <v>1798</v>
      </c>
      <c r="B1800" s="1" t="n">
        <f aca="false">INT(A1800/$N$1)</f>
        <v>99</v>
      </c>
      <c r="C1800" s="1" t="n">
        <f aca="false">INT(MOD(A1800,$N$1) / 2)</f>
        <v>8</v>
      </c>
      <c r="D1800" s="1" t="n">
        <f aca="false">_xlfn.BITAND(A1800,1)</f>
        <v>0</v>
      </c>
      <c r="F1800" s="1" t="str">
        <f aca="false">DEC2HEX(B1800*$N$3*18)</f>
        <v>1BD80</v>
      </c>
      <c r="G1800" s="1" t="str">
        <f aca="false">DEC2HEX(C1800*7)</f>
        <v>38</v>
      </c>
      <c r="H1800" s="1" t="n">
        <f aca="false">IF(D1800=0, 33, "cc")</f>
        <v>33</v>
      </c>
    </row>
    <row r="1801" customFormat="false" ht="18.65" hidden="false" customHeight="true" outlineLevel="0" collapsed="false">
      <c r="A1801" s="1" t="n">
        <f aca="false">ROW()-2</f>
        <v>1799</v>
      </c>
      <c r="B1801" s="1" t="n">
        <f aca="false">INT(A1801/$N$1)</f>
        <v>99</v>
      </c>
      <c r="C1801" s="1" t="n">
        <f aca="false">INT(MOD(A1801,$N$1) / 2)</f>
        <v>8</v>
      </c>
      <c r="D1801" s="1" t="n">
        <f aca="false">_xlfn.BITAND(A1801,1)</f>
        <v>1</v>
      </c>
      <c r="F1801" s="1" t="str">
        <f aca="false">DEC2HEX(B1801*$N$3*18)</f>
        <v>1BD80</v>
      </c>
      <c r="G1801" s="1" t="str">
        <f aca="false">DEC2HEX(C1801*7)</f>
        <v>38</v>
      </c>
      <c r="H1801" s="1" t="str">
        <f aca="false">IF(D1801=0, 33, "cc")</f>
        <v>cc</v>
      </c>
    </row>
    <row r="1802" customFormat="false" ht="18.65" hidden="false" customHeight="true" outlineLevel="0" collapsed="false">
      <c r="A1802" s="1" t="n">
        <f aca="false">ROW()-2</f>
        <v>1800</v>
      </c>
      <c r="B1802" s="1" t="n">
        <f aca="false">INT(A1802/$N$1)</f>
        <v>100</v>
      </c>
      <c r="C1802" s="1" t="n">
        <f aca="false">INT(MOD(A1802,$N$1) / 2)</f>
        <v>0</v>
      </c>
      <c r="D1802" s="1" t="n">
        <f aca="false">_xlfn.BITAND(A1802,1)</f>
        <v>0</v>
      </c>
      <c r="F1802" s="1" t="str">
        <f aca="false">DEC2HEX(B1802*$N$3*18)</f>
        <v>1C200</v>
      </c>
      <c r="G1802" s="1" t="str">
        <f aca="false">DEC2HEX(C1802*7)</f>
        <v>0</v>
      </c>
      <c r="H1802" s="1" t="n">
        <f aca="false">IF(D1802=0, 33, "cc")</f>
        <v>33</v>
      </c>
    </row>
    <row r="1803" customFormat="false" ht="18.65" hidden="false" customHeight="true" outlineLevel="0" collapsed="false">
      <c r="A1803" s="1" t="n">
        <f aca="false">ROW()-2</f>
        <v>1801</v>
      </c>
      <c r="B1803" s="1" t="n">
        <f aca="false">INT(A1803/$N$1)</f>
        <v>100</v>
      </c>
      <c r="C1803" s="1" t="n">
        <f aca="false">INT(MOD(A1803,$N$1) / 2)</f>
        <v>0</v>
      </c>
      <c r="D1803" s="1" t="n">
        <f aca="false">_xlfn.BITAND(A1803,1)</f>
        <v>1</v>
      </c>
      <c r="F1803" s="1" t="str">
        <f aca="false">DEC2HEX(B1803*$N$3*18)</f>
        <v>1C200</v>
      </c>
      <c r="G1803" s="1" t="str">
        <f aca="false">DEC2HEX(C1803*7)</f>
        <v>0</v>
      </c>
      <c r="H1803" s="1" t="str">
        <f aca="false">IF(D1803=0, 33, "cc")</f>
        <v>cc</v>
      </c>
    </row>
    <row r="1804" customFormat="false" ht="18.65" hidden="false" customHeight="true" outlineLevel="0" collapsed="false">
      <c r="A1804" s="1" t="n">
        <f aca="false">ROW()-2</f>
        <v>1802</v>
      </c>
      <c r="B1804" s="1" t="n">
        <f aca="false">INT(A1804/$N$1)</f>
        <v>100</v>
      </c>
      <c r="C1804" s="1" t="n">
        <f aca="false">INT(MOD(A1804,$N$1) / 2)</f>
        <v>1</v>
      </c>
      <c r="D1804" s="1" t="n">
        <f aca="false">_xlfn.BITAND(A1804,1)</f>
        <v>0</v>
      </c>
      <c r="F1804" s="1" t="str">
        <f aca="false">DEC2HEX(B1804*$N$3*18)</f>
        <v>1C200</v>
      </c>
      <c r="G1804" s="1" t="str">
        <f aca="false">DEC2HEX(C1804*7)</f>
        <v>7</v>
      </c>
      <c r="H1804" s="1" t="n">
        <f aca="false">IF(D1804=0, 33, "cc")</f>
        <v>33</v>
      </c>
    </row>
    <row r="1805" customFormat="false" ht="18.65" hidden="false" customHeight="true" outlineLevel="0" collapsed="false">
      <c r="A1805" s="1" t="n">
        <f aca="false">ROW()-2</f>
        <v>1803</v>
      </c>
      <c r="B1805" s="1" t="n">
        <f aca="false">INT(A1805/$N$1)</f>
        <v>100</v>
      </c>
      <c r="C1805" s="1" t="n">
        <f aca="false">INT(MOD(A1805,$N$1) / 2)</f>
        <v>1</v>
      </c>
      <c r="D1805" s="1" t="n">
        <f aca="false">_xlfn.BITAND(A1805,1)</f>
        <v>1</v>
      </c>
      <c r="F1805" s="1" t="str">
        <f aca="false">DEC2HEX(B1805*$N$3*18)</f>
        <v>1C200</v>
      </c>
      <c r="G1805" s="1" t="str">
        <f aca="false">DEC2HEX(C1805*7)</f>
        <v>7</v>
      </c>
      <c r="H1805" s="1" t="str">
        <f aca="false">IF(D1805=0, 33, "cc")</f>
        <v>cc</v>
      </c>
    </row>
    <row r="1806" customFormat="false" ht="18.65" hidden="false" customHeight="true" outlineLevel="0" collapsed="false">
      <c r="A1806" s="1" t="n">
        <f aca="false">ROW()-2</f>
        <v>1804</v>
      </c>
      <c r="B1806" s="1" t="n">
        <f aca="false">INT(A1806/$N$1)</f>
        <v>100</v>
      </c>
      <c r="C1806" s="1" t="n">
        <f aca="false">INT(MOD(A1806,$N$1) / 2)</f>
        <v>2</v>
      </c>
      <c r="D1806" s="1" t="n">
        <f aca="false">_xlfn.BITAND(A1806,1)</f>
        <v>0</v>
      </c>
      <c r="F1806" s="1" t="str">
        <f aca="false">DEC2HEX(B1806*$N$3*18)</f>
        <v>1C200</v>
      </c>
      <c r="G1806" s="1" t="str">
        <f aca="false">DEC2HEX(C1806*7)</f>
        <v>E</v>
      </c>
      <c r="H1806" s="1" t="n">
        <f aca="false">IF(D1806=0, 33, "cc")</f>
        <v>33</v>
      </c>
    </row>
    <row r="1807" customFormat="false" ht="18.65" hidden="false" customHeight="true" outlineLevel="0" collapsed="false">
      <c r="A1807" s="1" t="n">
        <f aca="false">ROW()-2</f>
        <v>1805</v>
      </c>
      <c r="B1807" s="1" t="n">
        <f aca="false">INT(A1807/$N$1)</f>
        <v>100</v>
      </c>
      <c r="C1807" s="1" t="n">
        <f aca="false">INT(MOD(A1807,$N$1) / 2)</f>
        <v>2</v>
      </c>
      <c r="D1807" s="1" t="n">
        <f aca="false">_xlfn.BITAND(A1807,1)</f>
        <v>1</v>
      </c>
      <c r="F1807" s="1" t="str">
        <f aca="false">DEC2HEX(B1807*$N$3*18)</f>
        <v>1C200</v>
      </c>
      <c r="G1807" s="1" t="str">
        <f aca="false">DEC2HEX(C1807*7)</f>
        <v>E</v>
      </c>
      <c r="H1807" s="1" t="str">
        <f aca="false">IF(D1807=0, 33, "cc")</f>
        <v>cc</v>
      </c>
    </row>
    <row r="1808" customFormat="false" ht="18.65" hidden="false" customHeight="true" outlineLevel="0" collapsed="false">
      <c r="A1808" s="1" t="n">
        <f aca="false">ROW()-2</f>
        <v>1806</v>
      </c>
      <c r="B1808" s="1" t="n">
        <f aca="false">INT(A1808/$N$1)</f>
        <v>100</v>
      </c>
      <c r="C1808" s="1" t="n">
        <f aca="false">INT(MOD(A1808,$N$1) / 2)</f>
        <v>3</v>
      </c>
      <c r="D1808" s="1" t="n">
        <f aca="false">_xlfn.BITAND(A1808,1)</f>
        <v>0</v>
      </c>
      <c r="F1808" s="1" t="str">
        <f aca="false">DEC2HEX(B1808*$N$3*18)</f>
        <v>1C200</v>
      </c>
      <c r="G1808" s="1" t="str">
        <f aca="false">DEC2HEX(C1808*7)</f>
        <v>15</v>
      </c>
      <c r="H1808" s="1" t="n">
        <f aca="false">IF(D1808=0, 33, "cc")</f>
        <v>33</v>
      </c>
    </row>
    <row r="1809" customFormat="false" ht="18.65" hidden="false" customHeight="true" outlineLevel="0" collapsed="false">
      <c r="A1809" s="1" t="n">
        <f aca="false">ROW()-2</f>
        <v>1807</v>
      </c>
      <c r="B1809" s="1" t="n">
        <f aca="false">INT(A1809/$N$1)</f>
        <v>100</v>
      </c>
      <c r="C1809" s="1" t="n">
        <f aca="false">INT(MOD(A1809,$N$1) / 2)</f>
        <v>3</v>
      </c>
      <c r="D1809" s="1" t="n">
        <f aca="false">_xlfn.BITAND(A1809,1)</f>
        <v>1</v>
      </c>
      <c r="F1809" s="1" t="str">
        <f aca="false">DEC2HEX(B1809*$N$3*18)</f>
        <v>1C200</v>
      </c>
      <c r="G1809" s="1" t="str">
        <f aca="false">DEC2HEX(C1809*7)</f>
        <v>15</v>
      </c>
      <c r="H1809" s="1" t="str">
        <f aca="false">IF(D1809=0, 33, "cc")</f>
        <v>cc</v>
      </c>
    </row>
    <row r="1810" customFormat="false" ht="18.65" hidden="false" customHeight="true" outlineLevel="0" collapsed="false">
      <c r="A1810" s="1" t="n">
        <f aca="false">ROW()-2</f>
        <v>1808</v>
      </c>
      <c r="B1810" s="1" t="n">
        <f aca="false">INT(A1810/$N$1)</f>
        <v>100</v>
      </c>
      <c r="C1810" s="1" t="n">
        <f aca="false">INT(MOD(A1810,$N$1) / 2)</f>
        <v>4</v>
      </c>
      <c r="D1810" s="1" t="n">
        <f aca="false">_xlfn.BITAND(A1810,1)</f>
        <v>0</v>
      </c>
      <c r="F1810" s="1" t="str">
        <f aca="false">DEC2HEX(B1810*$N$3*18)</f>
        <v>1C200</v>
      </c>
      <c r="G1810" s="1" t="str">
        <f aca="false">DEC2HEX(C1810*7)</f>
        <v>1C</v>
      </c>
      <c r="H1810" s="1" t="n">
        <f aca="false">IF(D1810=0, 33, "cc")</f>
        <v>33</v>
      </c>
    </row>
    <row r="1811" customFormat="false" ht="18.65" hidden="false" customHeight="true" outlineLevel="0" collapsed="false">
      <c r="A1811" s="1" t="n">
        <f aca="false">ROW()-2</f>
        <v>1809</v>
      </c>
      <c r="B1811" s="1" t="n">
        <f aca="false">INT(A1811/$N$1)</f>
        <v>100</v>
      </c>
      <c r="C1811" s="1" t="n">
        <f aca="false">INT(MOD(A1811,$N$1) / 2)</f>
        <v>4</v>
      </c>
      <c r="D1811" s="1" t="n">
        <f aca="false">_xlfn.BITAND(A1811,1)</f>
        <v>1</v>
      </c>
      <c r="F1811" s="1" t="str">
        <f aca="false">DEC2HEX(B1811*$N$3*18)</f>
        <v>1C200</v>
      </c>
      <c r="G1811" s="1" t="str">
        <f aca="false">DEC2HEX(C1811*7)</f>
        <v>1C</v>
      </c>
      <c r="H1811" s="1" t="str">
        <f aca="false">IF(D1811=0, 33, "cc")</f>
        <v>cc</v>
      </c>
    </row>
    <row r="1812" customFormat="false" ht="18.65" hidden="false" customHeight="true" outlineLevel="0" collapsed="false">
      <c r="A1812" s="1" t="n">
        <f aca="false">ROW()-2</f>
        <v>1810</v>
      </c>
      <c r="B1812" s="1" t="n">
        <f aca="false">INT(A1812/$N$1)</f>
        <v>100</v>
      </c>
      <c r="C1812" s="1" t="n">
        <f aca="false">INT(MOD(A1812,$N$1) / 2)</f>
        <v>5</v>
      </c>
      <c r="D1812" s="1" t="n">
        <f aca="false">_xlfn.BITAND(A1812,1)</f>
        <v>0</v>
      </c>
      <c r="F1812" s="1" t="str">
        <f aca="false">DEC2HEX(B1812*$N$3*18)</f>
        <v>1C200</v>
      </c>
      <c r="G1812" s="1" t="str">
        <f aca="false">DEC2HEX(C1812*7)</f>
        <v>23</v>
      </c>
      <c r="H1812" s="1" t="n">
        <f aca="false">IF(D1812=0, 33, "cc")</f>
        <v>33</v>
      </c>
    </row>
    <row r="1813" customFormat="false" ht="18.65" hidden="false" customHeight="true" outlineLevel="0" collapsed="false">
      <c r="A1813" s="1" t="n">
        <f aca="false">ROW()-2</f>
        <v>1811</v>
      </c>
      <c r="B1813" s="1" t="n">
        <f aca="false">INT(A1813/$N$1)</f>
        <v>100</v>
      </c>
      <c r="C1813" s="1" t="n">
        <f aca="false">INT(MOD(A1813,$N$1) / 2)</f>
        <v>5</v>
      </c>
      <c r="D1813" s="1" t="n">
        <f aca="false">_xlfn.BITAND(A1813,1)</f>
        <v>1</v>
      </c>
      <c r="F1813" s="1" t="str">
        <f aca="false">DEC2HEX(B1813*$N$3*18)</f>
        <v>1C200</v>
      </c>
      <c r="G1813" s="1" t="str">
        <f aca="false">DEC2HEX(C1813*7)</f>
        <v>23</v>
      </c>
      <c r="H1813" s="1" t="str">
        <f aca="false">IF(D1813=0, 33, "cc")</f>
        <v>cc</v>
      </c>
    </row>
    <row r="1814" customFormat="false" ht="18.65" hidden="false" customHeight="true" outlineLevel="0" collapsed="false">
      <c r="A1814" s="1" t="n">
        <f aca="false">ROW()-2</f>
        <v>1812</v>
      </c>
      <c r="B1814" s="1" t="n">
        <f aca="false">INT(A1814/$N$1)</f>
        <v>100</v>
      </c>
      <c r="C1814" s="1" t="n">
        <f aca="false">INT(MOD(A1814,$N$1) / 2)</f>
        <v>6</v>
      </c>
      <c r="D1814" s="1" t="n">
        <f aca="false">_xlfn.BITAND(A1814,1)</f>
        <v>0</v>
      </c>
      <c r="F1814" s="1" t="str">
        <f aca="false">DEC2HEX(B1814*$N$3*18)</f>
        <v>1C200</v>
      </c>
      <c r="G1814" s="1" t="str">
        <f aca="false">DEC2HEX(C1814*7)</f>
        <v>2A</v>
      </c>
      <c r="H1814" s="1" t="n">
        <f aca="false">IF(D1814=0, 33, "cc")</f>
        <v>33</v>
      </c>
    </row>
    <row r="1815" customFormat="false" ht="18.65" hidden="false" customHeight="true" outlineLevel="0" collapsed="false">
      <c r="A1815" s="1" t="n">
        <f aca="false">ROW()-2</f>
        <v>1813</v>
      </c>
      <c r="B1815" s="1" t="n">
        <f aca="false">INT(A1815/$N$1)</f>
        <v>100</v>
      </c>
      <c r="C1815" s="1" t="n">
        <f aca="false">INT(MOD(A1815,$N$1) / 2)</f>
        <v>6</v>
      </c>
      <c r="D1815" s="1" t="n">
        <f aca="false">_xlfn.BITAND(A1815,1)</f>
        <v>1</v>
      </c>
      <c r="F1815" s="1" t="str">
        <f aca="false">DEC2HEX(B1815*$N$3*18)</f>
        <v>1C200</v>
      </c>
      <c r="G1815" s="1" t="str">
        <f aca="false">DEC2HEX(C1815*7)</f>
        <v>2A</v>
      </c>
      <c r="H1815" s="1" t="str">
        <f aca="false">IF(D1815=0, 33, "cc")</f>
        <v>cc</v>
      </c>
    </row>
    <row r="1816" customFormat="false" ht="18.65" hidden="false" customHeight="true" outlineLevel="0" collapsed="false">
      <c r="A1816" s="1" t="n">
        <f aca="false">ROW()-2</f>
        <v>1814</v>
      </c>
      <c r="B1816" s="1" t="n">
        <f aca="false">INT(A1816/$N$1)</f>
        <v>100</v>
      </c>
      <c r="C1816" s="1" t="n">
        <f aca="false">INT(MOD(A1816,$N$1) / 2)</f>
        <v>7</v>
      </c>
      <c r="D1816" s="1" t="n">
        <f aca="false">_xlfn.BITAND(A1816,1)</f>
        <v>0</v>
      </c>
      <c r="F1816" s="1" t="str">
        <f aca="false">DEC2HEX(B1816*$N$3*18)</f>
        <v>1C200</v>
      </c>
      <c r="G1816" s="1" t="str">
        <f aca="false">DEC2HEX(C1816*7)</f>
        <v>31</v>
      </c>
      <c r="H1816" s="1" t="n">
        <f aca="false">IF(D1816=0, 33, "cc")</f>
        <v>33</v>
      </c>
    </row>
    <row r="1817" customFormat="false" ht="18.65" hidden="false" customHeight="true" outlineLevel="0" collapsed="false">
      <c r="A1817" s="1" t="n">
        <f aca="false">ROW()-2</f>
        <v>1815</v>
      </c>
      <c r="B1817" s="1" t="n">
        <f aca="false">INT(A1817/$N$1)</f>
        <v>100</v>
      </c>
      <c r="C1817" s="1" t="n">
        <f aca="false">INT(MOD(A1817,$N$1) / 2)</f>
        <v>7</v>
      </c>
      <c r="D1817" s="1" t="n">
        <f aca="false">_xlfn.BITAND(A1817,1)</f>
        <v>1</v>
      </c>
      <c r="F1817" s="1" t="str">
        <f aca="false">DEC2HEX(B1817*$N$3*18)</f>
        <v>1C200</v>
      </c>
      <c r="G1817" s="1" t="str">
        <f aca="false">DEC2HEX(C1817*7)</f>
        <v>31</v>
      </c>
      <c r="H1817" s="1" t="str">
        <f aca="false">IF(D1817=0, 33, "cc")</f>
        <v>cc</v>
      </c>
    </row>
    <row r="1818" customFormat="false" ht="18.65" hidden="false" customHeight="true" outlineLevel="0" collapsed="false">
      <c r="A1818" s="1" t="n">
        <f aca="false">ROW()-2</f>
        <v>1816</v>
      </c>
      <c r="B1818" s="1" t="n">
        <f aca="false">INT(A1818/$N$1)</f>
        <v>100</v>
      </c>
      <c r="C1818" s="1" t="n">
        <f aca="false">INT(MOD(A1818,$N$1) / 2)</f>
        <v>8</v>
      </c>
      <c r="D1818" s="1" t="n">
        <f aca="false">_xlfn.BITAND(A1818,1)</f>
        <v>0</v>
      </c>
      <c r="F1818" s="1" t="str">
        <f aca="false">DEC2HEX(B1818*$N$3*18)</f>
        <v>1C200</v>
      </c>
      <c r="G1818" s="1" t="str">
        <f aca="false">DEC2HEX(C1818*7)</f>
        <v>38</v>
      </c>
      <c r="H1818" s="1" t="n">
        <f aca="false">IF(D1818=0, 33, "cc")</f>
        <v>33</v>
      </c>
    </row>
    <row r="1819" customFormat="false" ht="18.65" hidden="false" customHeight="true" outlineLevel="0" collapsed="false">
      <c r="A1819" s="1" t="n">
        <f aca="false">ROW()-2</f>
        <v>1817</v>
      </c>
      <c r="B1819" s="1" t="n">
        <f aca="false">INT(A1819/$N$1)</f>
        <v>100</v>
      </c>
      <c r="C1819" s="1" t="n">
        <f aca="false">INT(MOD(A1819,$N$1) / 2)</f>
        <v>8</v>
      </c>
      <c r="D1819" s="1" t="n">
        <f aca="false">_xlfn.BITAND(A1819,1)</f>
        <v>1</v>
      </c>
      <c r="F1819" s="1" t="str">
        <f aca="false">DEC2HEX(B1819*$N$3*18)</f>
        <v>1C200</v>
      </c>
      <c r="G1819" s="1" t="str">
        <f aca="false">DEC2HEX(C1819*7)</f>
        <v>38</v>
      </c>
      <c r="H1819" s="1" t="str">
        <f aca="false">IF(D1819=0, 33, "cc")</f>
        <v>cc</v>
      </c>
    </row>
    <row r="1820" customFormat="false" ht="18.65" hidden="false" customHeight="true" outlineLevel="0" collapsed="false">
      <c r="A1820" s="1" t="n">
        <f aca="false">ROW()-2</f>
        <v>1818</v>
      </c>
      <c r="B1820" s="1" t="n">
        <f aca="false">INT(A1820/$N$1)</f>
        <v>101</v>
      </c>
      <c r="C1820" s="1" t="n">
        <f aca="false">INT(MOD(A1820,$N$1) / 2)</f>
        <v>0</v>
      </c>
      <c r="D1820" s="1" t="n">
        <f aca="false">_xlfn.BITAND(A1820,1)</f>
        <v>0</v>
      </c>
      <c r="F1820" s="1" t="str">
        <f aca="false">DEC2HEX(B1820*$N$3*18)</f>
        <v>1C680</v>
      </c>
      <c r="G1820" s="1" t="str">
        <f aca="false">DEC2HEX(C1820*7)</f>
        <v>0</v>
      </c>
      <c r="H1820" s="1" t="n">
        <f aca="false">IF(D1820=0, 33, "cc")</f>
        <v>33</v>
      </c>
    </row>
    <row r="1821" customFormat="false" ht="18.65" hidden="false" customHeight="true" outlineLevel="0" collapsed="false">
      <c r="A1821" s="1" t="n">
        <f aca="false">ROW()-2</f>
        <v>1819</v>
      </c>
      <c r="B1821" s="1" t="n">
        <f aca="false">INT(A1821/$N$1)</f>
        <v>101</v>
      </c>
      <c r="C1821" s="1" t="n">
        <f aca="false">INT(MOD(A1821,$N$1) / 2)</f>
        <v>0</v>
      </c>
      <c r="D1821" s="1" t="n">
        <f aca="false">_xlfn.BITAND(A1821,1)</f>
        <v>1</v>
      </c>
      <c r="F1821" s="1" t="str">
        <f aca="false">DEC2HEX(B1821*$N$3*18)</f>
        <v>1C680</v>
      </c>
      <c r="G1821" s="1" t="str">
        <f aca="false">DEC2HEX(C1821*7)</f>
        <v>0</v>
      </c>
      <c r="H1821" s="1" t="str">
        <f aca="false">IF(D1821=0, 33, "cc")</f>
        <v>cc</v>
      </c>
    </row>
    <row r="1822" customFormat="false" ht="18.65" hidden="false" customHeight="true" outlineLevel="0" collapsed="false">
      <c r="A1822" s="1" t="n">
        <f aca="false">ROW()-2</f>
        <v>1820</v>
      </c>
      <c r="B1822" s="1" t="n">
        <f aca="false">INT(A1822/$N$1)</f>
        <v>101</v>
      </c>
      <c r="C1822" s="1" t="n">
        <f aca="false">INT(MOD(A1822,$N$1) / 2)</f>
        <v>1</v>
      </c>
      <c r="D1822" s="1" t="n">
        <f aca="false">_xlfn.BITAND(A1822,1)</f>
        <v>0</v>
      </c>
      <c r="F1822" s="1" t="str">
        <f aca="false">DEC2HEX(B1822*$N$3*18)</f>
        <v>1C680</v>
      </c>
      <c r="G1822" s="1" t="str">
        <f aca="false">DEC2HEX(C1822*7)</f>
        <v>7</v>
      </c>
      <c r="H1822" s="1" t="n">
        <f aca="false">IF(D1822=0, 33, "cc")</f>
        <v>33</v>
      </c>
    </row>
    <row r="1823" customFormat="false" ht="18.65" hidden="false" customHeight="true" outlineLevel="0" collapsed="false">
      <c r="A1823" s="1" t="n">
        <f aca="false">ROW()-2</f>
        <v>1821</v>
      </c>
      <c r="B1823" s="1" t="n">
        <f aca="false">INT(A1823/$N$1)</f>
        <v>101</v>
      </c>
      <c r="C1823" s="1" t="n">
        <f aca="false">INT(MOD(A1823,$N$1) / 2)</f>
        <v>1</v>
      </c>
      <c r="D1823" s="1" t="n">
        <f aca="false">_xlfn.BITAND(A1823,1)</f>
        <v>1</v>
      </c>
      <c r="F1823" s="1" t="str">
        <f aca="false">DEC2HEX(B1823*$N$3*18)</f>
        <v>1C680</v>
      </c>
      <c r="G1823" s="1" t="str">
        <f aca="false">DEC2HEX(C1823*7)</f>
        <v>7</v>
      </c>
      <c r="H1823" s="1" t="str">
        <f aca="false">IF(D1823=0, 33, "cc")</f>
        <v>cc</v>
      </c>
    </row>
    <row r="1824" customFormat="false" ht="18.65" hidden="false" customHeight="true" outlineLevel="0" collapsed="false">
      <c r="A1824" s="1" t="n">
        <f aca="false">ROW()-2</f>
        <v>1822</v>
      </c>
      <c r="B1824" s="1" t="n">
        <f aca="false">INT(A1824/$N$1)</f>
        <v>101</v>
      </c>
      <c r="C1824" s="1" t="n">
        <f aca="false">INT(MOD(A1824,$N$1) / 2)</f>
        <v>2</v>
      </c>
      <c r="D1824" s="1" t="n">
        <f aca="false">_xlfn.BITAND(A1824,1)</f>
        <v>0</v>
      </c>
      <c r="F1824" s="1" t="str">
        <f aca="false">DEC2HEX(B1824*$N$3*18)</f>
        <v>1C680</v>
      </c>
      <c r="G1824" s="1" t="str">
        <f aca="false">DEC2HEX(C1824*7)</f>
        <v>E</v>
      </c>
      <c r="H1824" s="1" t="n">
        <f aca="false">IF(D1824=0, 33, "cc")</f>
        <v>33</v>
      </c>
    </row>
    <row r="1825" customFormat="false" ht="18.65" hidden="false" customHeight="true" outlineLevel="0" collapsed="false">
      <c r="A1825" s="1" t="n">
        <f aca="false">ROW()-2</f>
        <v>1823</v>
      </c>
      <c r="B1825" s="1" t="n">
        <f aca="false">INT(A1825/$N$1)</f>
        <v>101</v>
      </c>
      <c r="C1825" s="1" t="n">
        <f aca="false">INT(MOD(A1825,$N$1) / 2)</f>
        <v>2</v>
      </c>
      <c r="D1825" s="1" t="n">
        <f aca="false">_xlfn.BITAND(A1825,1)</f>
        <v>1</v>
      </c>
      <c r="F1825" s="1" t="str">
        <f aca="false">DEC2HEX(B1825*$N$3*18)</f>
        <v>1C680</v>
      </c>
      <c r="G1825" s="1" t="str">
        <f aca="false">DEC2HEX(C1825*7)</f>
        <v>E</v>
      </c>
      <c r="H1825" s="1" t="str">
        <f aca="false">IF(D1825=0, 33, "cc")</f>
        <v>cc</v>
      </c>
    </row>
    <row r="1826" customFormat="false" ht="18.65" hidden="false" customHeight="true" outlineLevel="0" collapsed="false">
      <c r="A1826" s="1" t="n">
        <f aca="false">ROW()-2</f>
        <v>1824</v>
      </c>
      <c r="B1826" s="1" t="n">
        <f aca="false">INT(A1826/$N$1)</f>
        <v>101</v>
      </c>
      <c r="C1826" s="1" t="n">
        <f aca="false">INT(MOD(A1826,$N$1) / 2)</f>
        <v>3</v>
      </c>
      <c r="D1826" s="1" t="n">
        <f aca="false">_xlfn.BITAND(A1826,1)</f>
        <v>0</v>
      </c>
      <c r="F1826" s="1" t="str">
        <f aca="false">DEC2HEX(B1826*$N$3*18)</f>
        <v>1C680</v>
      </c>
      <c r="G1826" s="1" t="str">
        <f aca="false">DEC2HEX(C1826*7)</f>
        <v>15</v>
      </c>
      <c r="H1826" s="1" t="n">
        <f aca="false">IF(D1826=0, 33, "cc")</f>
        <v>33</v>
      </c>
    </row>
    <row r="1827" customFormat="false" ht="18.65" hidden="false" customHeight="true" outlineLevel="0" collapsed="false">
      <c r="A1827" s="1" t="n">
        <f aca="false">ROW()-2</f>
        <v>1825</v>
      </c>
      <c r="B1827" s="1" t="n">
        <f aca="false">INT(A1827/$N$1)</f>
        <v>101</v>
      </c>
      <c r="C1827" s="1" t="n">
        <f aca="false">INT(MOD(A1827,$N$1) / 2)</f>
        <v>3</v>
      </c>
      <c r="D1827" s="1" t="n">
        <f aca="false">_xlfn.BITAND(A1827,1)</f>
        <v>1</v>
      </c>
      <c r="F1827" s="1" t="str">
        <f aca="false">DEC2HEX(B1827*$N$3*18)</f>
        <v>1C680</v>
      </c>
      <c r="G1827" s="1" t="str">
        <f aca="false">DEC2HEX(C1827*7)</f>
        <v>15</v>
      </c>
      <c r="H1827" s="1" t="str">
        <f aca="false">IF(D1827=0, 33, "cc")</f>
        <v>cc</v>
      </c>
    </row>
    <row r="1828" customFormat="false" ht="18.65" hidden="false" customHeight="true" outlineLevel="0" collapsed="false">
      <c r="A1828" s="1" t="n">
        <f aca="false">ROW()-2</f>
        <v>1826</v>
      </c>
      <c r="B1828" s="1" t="n">
        <f aca="false">INT(A1828/$N$1)</f>
        <v>101</v>
      </c>
      <c r="C1828" s="1" t="n">
        <f aca="false">INT(MOD(A1828,$N$1) / 2)</f>
        <v>4</v>
      </c>
      <c r="D1828" s="1" t="n">
        <f aca="false">_xlfn.BITAND(A1828,1)</f>
        <v>0</v>
      </c>
      <c r="F1828" s="1" t="str">
        <f aca="false">DEC2HEX(B1828*$N$3*18)</f>
        <v>1C680</v>
      </c>
      <c r="G1828" s="1" t="str">
        <f aca="false">DEC2HEX(C1828*7)</f>
        <v>1C</v>
      </c>
      <c r="H1828" s="1" t="n">
        <f aca="false">IF(D1828=0, 33, "cc")</f>
        <v>33</v>
      </c>
    </row>
    <row r="1829" customFormat="false" ht="18.65" hidden="false" customHeight="true" outlineLevel="0" collapsed="false">
      <c r="A1829" s="1" t="n">
        <f aca="false">ROW()-2</f>
        <v>1827</v>
      </c>
      <c r="B1829" s="1" t="n">
        <f aca="false">INT(A1829/$N$1)</f>
        <v>101</v>
      </c>
      <c r="C1829" s="1" t="n">
        <f aca="false">INT(MOD(A1829,$N$1) / 2)</f>
        <v>4</v>
      </c>
      <c r="D1829" s="1" t="n">
        <f aca="false">_xlfn.BITAND(A1829,1)</f>
        <v>1</v>
      </c>
      <c r="F1829" s="1" t="str">
        <f aca="false">DEC2HEX(B1829*$N$3*18)</f>
        <v>1C680</v>
      </c>
      <c r="G1829" s="1" t="str">
        <f aca="false">DEC2HEX(C1829*7)</f>
        <v>1C</v>
      </c>
      <c r="H1829" s="1" t="str">
        <f aca="false">IF(D1829=0, 33, "cc")</f>
        <v>cc</v>
      </c>
    </row>
    <row r="1830" customFormat="false" ht="18.65" hidden="false" customHeight="true" outlineLevel="0" collapsed="false">
      <c r="A1830" s="1" t="n">
        <f aca="false">ROW()-2</f>
        <v>1828</v>
      </c>
      <c r="B1830" s="1" t="n">
        <f aca="false">INT(A1830/$N$1)</f>
        <v>101</v>
      </c>
      <c r="C1830" s="1" t="n">
        <f aca="false">INT(MOD(A1830,$N$1) / 2)</f>
        <v>5</v>
      </c>
      <c r="D1830" s="1" t="n">
        <f aca="false">_xlfn.BITAND(A1830,1)</f>
        <v>0</v>
      </c>
      <c r="F1830" s="1" t="str">
        <f aca="false">DEC2HEX(B1830*$N$3*18)</f>
        <v>1C680</v>
      </c>
      <c r="G1830" s="1" t="str">
        <f aca="false">DEC2HEX(C1830*7)</f>
        <v>23</v>
      </c>
      <c r="H1830" s="1" t="n">
        <f aca="false">IF(D1830=0, 33, "cc")</f>
        <v>33</v>
      </c>
    </row>
    <row r="1831" customFormat="false" ht="18.65" hidden="false" customHeight="true" outlineLevel="0" collapsed="false">
      <c r="A1831" s="1" t="n">
        <f aca="false">ROW()-2</f>
        <v>1829</v>
      </c>
      <c r="B1831" s="1" t="n">
        <f aca="false">INT(A1831/$N$1)</f>
        <v>101</v>
      </c>
      <c r="C1831" s="1" t="n">
        <f aca="false">INT(MOD(A1831,$N$1) / 2)</f>
        <v>5</v>
      </c>
      <c r="D1831" s="1" t="n">
        <f aca="false">_xlfn.BITAND(A1831,1)</f>
        <v>1</v>
      </c>
      <c r="F1831" s="1" t="str">
        <f aca="false">DEC2HEX(B1831*$N$3*18)</f>
        <v>1C680</v>
      </c>
      <c r="G1831" s="1" t="str">
        <f aca="false">DEC2HEX(C1831*7)</f>
        <v>23</v>
      </c>
      <c r="H1831" s="1" t="str">
        <f aca="false">IF(D1831=0, 33, "cc")</f>
        <v>cc</v>
      </c>
    </row>
    <row r="1832" customFormat="false" ht="18.65" hidden="false" customHeight="true" outlineLevel="0" collapsed="false">
      <c r="A1832" s="1" t="n">
        <f aca="false">ROW()-2</f>
        <v>1830</v>
      </c>
      <c r="B1832" s="1" t="n">
        <f aca="false">INT(A1832/$N$1)</f>
        <v>101</v>
      </c>
      <c r="C1832" s="1" t="n">
        <f aca="false">INT(MOD(A1832,$N$1) / 2)</f>
        <v>6</v>
      </c>
      <c r="D1832" s="1" t="n">
        <f aca="false">_xlfn.BITAND(A1832,1)</f>
        <v>0</v>
      </c>
      <c r="F1832" s="1" t="str">
        <f aca="false">DEC2HEX(B1832*$N$3*18)</f>
        <v>1C680</v>
      </c>
      <c r="G1832" s="1" t="str">
        <f aca="false">DEC2HEX(C1832*7)</f>
        <v>2A</v>
      </c>
      <c r="H1832" s="1" t="n">
        <f aca="false">IF(D1832=0, 33, "cc")</f>
        <v>33</v>
      </c>
    </row>
    <row r="1833" customFormat="false" ht="18.65" hidden="false" customHeight="true" outlineLevel="0" collapsed="false">
      <c r="A1833" s="1" t="n">
        <f aca="false">ROW()-2</f>
        <v>1831</v>
      </c>
      <c r="B1833" s="1" t="n">
        <f aca="false">INT(A1833/$N$1)</f>
        <v>101</v>
      </c>
      <c r="C1833" s="1" t="n">
        <f aca="false">INT(MOD(A1833,$N$1) / 2)</f>
        <v>6</v>
      </c>
      <c r="D1833" s="1" t="n">
        <f aca="false">_xlfn.BITAND(A1833,1)</f>
        <v>1</v>
      </c>
      <c r="F1833" s="1" t="str">
        <f aca="false">DEC2HEX(B1833*$N$3*18)</f>
        <v>1C680</v>
      </c>
      <c r="G1833" s="1" t="str">
        <f aca="false">DEC2HEX(C1833*7)</f>
        <v>2A</v>
      </c>
      <c r="H1833" s="1" t="str">
        <f aca="false">IF(D1833=0, 33, "cc")</f>
        <v>cc</v>
      </c>
    </row>
    <row r="1834" customFormat="false" ht="18.65" hidden="false" customHeight="true" outlineLevel="0" collapsed="false">
      <c r="A1834" s="1" t="n">
        <f aca="false">ROW()-2</f>
        <v>1832</v>
      </c>
      <c r="B1834" s="1" t="n">
        <f aca="false">INT(A1834/$N$1)</f>
        <v>101</v>
      </c>
      <c r="C1834" s="1" t="n">
        <f aca="false">INT(MOD(A1834,$N$1) / 2)</f>
        <v>7</v>
      </c>
      <c r="D1834" s="1" t="n">
        <f aca="false">_xlfn.BITAND(A1834,1)</f>
        <v>0</v>
      </c>
      <c r="F1834" s="1" t="str">
        <f aca="false">DEC2HEX(B1834*$N$3*18)</f>
        <v>1C680</v>
      </c>
      <c r="G1834" s="1" t="str">
        <f aca="false">DEC2HEX(C1834*7)</f>
        <v>31</v>
      </c>
      <c r="H1834" s="1" t="n">
        <f aca="false">IF(D1834=0, 33, "cc")</f>
        <v>33</v>
      </c>
    </row>
    <row r="1835" customFormat="false" ht="18.65" hidden="false" customHeight="true" outlineLevel="0" collapsed="false">
      <c r="A1835" s="1" t="n">
        <f aca="false">ROW()-2</f>
        <v>1833</v>
      </c>
      <c r="B1835" s="1" t="n">
        <f aca="false">INT(A1835/$N$1)</f>
        <v>101</v>
      </c>
      <c r="C1835" s="1" t="n">
        <f aca="false">INT(MOD(A1835,$N$1) / 2)</f>
        <v>7</v>
      </c>
      <c r="D1835" s="1" t="n">
        <f aca="false">_xlfn.BITAND(A1835,1)</f>
        <v>1</v>
      </c>
      <c r="F1835" s="1" t="str">
        <f aca="false">DEC2HEX(B1835*$N$3*18)</f>
        <v>1C680</v>
      </c>
      <c r="G1835" s="1" t="str">
        <f aca="false">DEC2HEX(C1835*7)</f>
        <v>31</v>
      </c>
      <c r="H1835" s="1" t="str">
        <f aca="false">IF(D1835=0, 33, "cc")</f>
        <v>cc</v>
      </c>
    </row>
    <row r="1836" customFormat="false" ht="18.65" hidden="false" customHeight="true" outlineLevel="0" collapsed="false">
      <c r="A1836" s="1" t="n">
        <f aca="false">ROW()-2</f>
        <v>1834</v>
      </c>
      <c r="B1836" s="1" t="n">
        <f aca="false">INT(A1836/$N$1)</f>
        <v>101</v>
      </c>
      <c r="C1836" s="1" t="n">
        <f aca="false">INT(MOD(A1836,$N$1) / 2)</f>
        <v>8</v>
      </c>
      <c r="D1836" s="1" t="n">
        <f aca="false">_xlfn.BITAND(A1836,1)</f>
        <v>0</v>
      </c>
      <c r="F1836" s="1" t="str">
        <f aca="false">DEC2HEX(B1836*$N$3*18)</f>
        <v>1C680</v>
      </c>
      <c r="G1836" s="1" t="str">
        <f aca="false">DEC2HEX(C1836*7)</f>
        <v>38</v>
      </c>
      <c r="H1836" s="1" t="n">
        <f aca="false">IF(D1836=0, 33, "cc")</f>
        <v>33</v>
      </c>
    </row>
    <row r="1837" customFormat="false" ht="18.65" hidden="false" customHeight="true" outlineLevel="0" collapsed="false">
      <c r="A1837" s="1" t="n">
        <f aca="false">ROW()-2</f>
        <v>1835</v>
      </c>
      <c r="B1837" s="1" t="n">
        <f aca="false">INT(A1837/$N$1)</f>
        <v>101</v>
      </c>
      <c r="C1837" s="1" t="n">
        <f aca="false">INT(MOD(A1837,$N$1) / 2)</f>
        <v>8</v>
      </c>
      <c r="D1837" s="1" t="n">
        <f aca="false">_xlfn.BITAND(A1837,1)</f>
        <v>1</v>
      </c>
      <c r="F1837" s="1" t="str">
        <f aca="false">DEC2HEX(B1837*$N$3*18)</f>
        <v>1C680</v>
      </c>
      <c r="G1837" s="1" t="str">
        <f aca="false">DEC2HEX(C1837*7)</f>
        <v>38</v>
      </c>
      <c r="H1837" s="1" t="str">
        <f aca="false">IF(D1837=0, 33, "cc")</f>
        <v>cc</v>
      </c>
    </row>
    <row r="1838" customFormat="false" ht="18.65" hidden="false" customHeight="true" outlineLevel="0" collapsed="false">
      <c r="A1838" s="1" t="n">
        <f aca="false">ROW()-2</f>
        <v>1836</v>
      </c>
      <c r="B1838" s="1" t="n">
        <f aca="false">INT(A1838/$N$1)</f>
        <v>102</v>
      </c>
      <c r="C1838" s="1" t="n">
        <f aca="false">INT(MOD(A1838,$N$1) / 2)</f>
        <v>0</v>
      </c>
      <c r="D1838" s="1" t="n">
        <f aca="false">_xlfn.BITAND(A1838,1)</f>
        <v>0</v>
      </c>
      <c r="F1838" s="1" t="str">
        <f aca="false">DEC2HEX(B1838*$N$3*18)</f>
        <v>1CB00</v>
      </c>
      <c r="G1838" s="1" t="str">
        <f aca="false">DEC2HEX(C1838*7)</f>
        <v>0</v>
      </c>
      <c r="H1838" s="1" t="n">
        <f aca="false">IF(D1838=0, 33, "cc")</f>
        <v>33</v>
      </c>
    </row>
    <row r="1839" customFormat="false" ht="18.65" hidden="false" customHeight="true" outlineLevel="0" collapsed="false">
      <c r="A1839" s="1" t="n">
        <f aca="false">ROW()-2</f>
        <v>1837</v>
      </c>
      <c r="B1839" s="1" t="n">
        <f aca="false">INT(A1839/$N$1)</f>
        <v>102</v>
      </c>
      <c r="C1839" s="1" t="n">
        <f aca="false">INT(MOD(A1839,$N$1) / 2)</f>
        <v>0</v>
      </c>
      <c r="D1839" s="1" t="n">
        <f aca="false">_xlfn.BITAND(A1839,1)</f>
        <v>1</v>
      </c>
      <c r="F1839" s="1" t="str">
        <f aca="false">DEC2HEX(B1839*$N$3*18)</f>
        <v>1CB00</v>
      </c>
      <c r="G1839" s="1" t="str">
        <f aca="false">DEC2HEX(C1839*7)</f>
        <v>0</v>
      </c>
      <c r="H1839" s="1" t="str">
        <f aca="false">IF(D1839=0, 33, "cc")</f>
        <v>cc</v>
      </c>
    </row>
    <row r="1840" customFormat="false" ht="18.65" hidden="false" customHeight="true" outlineLevel="0" collapsed="false">
      <c r="A1840" s="1" t="n">
        <f aca="false">ROW()-2</f>
        <v>1838</v>
      </c>
      <c r="B1840" s="1" t="n">
        <f aca="false">INT(A1840/$N$1)</f>
        <v>102</v>
      </c>
      <c r="C1840" s="1" t="n">
        <f aca="false">INT(MOD(A1840,$N$1) / 2)</f>
        <v>1</v>
      </c>
      <c r="D1840" s="1" t="n">
        <f aca="false">_xlfn.BITAND(A1840,1)</f>
        <v>0</v>
      </c>
      <c r="F1840" s="1" t="str">
        <f aca="false">DEC2HEX(B1840*$N$3*18)</f>
        <v>1CB00</v>
      </c>
      <c r="G1840" s="1" t="str">
        <f aca="false">DEC2HEX(C1840*7)</f>
        <v>7</v>
      </c>
      <c r="H1840" s="1" t="n">
        <f aca="false">IF(D1840=0, 33, "cc")</f>
        <v>33</v>
      </c>
    </row>
    <row r="1841" customFormat="false" ht="18.65" hidden="false" customHeight="true" outlineLevel="0" collapsed="false">
      <c r="A1841" s="1" t="n">
        <f aca="false">ROW()-2</f>
        <v>1839</v>
      </c>
      <c r="B1841" s="1" t="n">
        <f aca="false">INT(A1841/$N$1)</f>
        <v>102</v>
      </c>
      <c r="C1841" s="1" t="n">
        <f aca="false">INT(MOD(A1841,$N$1) / 2)</f>
        <v>1</v>
      </c>
      <c r="D1841" s="1" t="n">
        <f aca="false">_xlfn.BITAND(A1841,1)</f>
        <v>1</v>
      </c>
      <c r="F1841" s="1" t="str">
        <f aca="false">DEC2HEX(B1841*$N$3*18)</f>
        <v>1CB00</v>
      </c>
      <c r="G1841" s="1" t="str">
        <f aca="false">DEC2HEX(C1841*7)</f>
        <v>7</v>
      </c>
      <c r="H1841" s="1" t="str">
        <f aca="false">IF(D1841=0, 33, "cc")</f>
        <v>cc</v>
      </c>
    </row>
    <row r="1842" customFormat="false" ht="18.65" hidden="false" customHeight="true" outlineLevel="0" collapsed="false">
      <c r="A1842" s="1" t="n">
        <f aca="false">ROW()-2</f>
        <v>1840</v>
      </c>
      <c r="B1842" s="1" t="n">
        <f aca="false">INT(A1842/$N$1)</f>
        <v>102</v>
      </c>
      <c r="C1842" s="1" t="n">
        <f aca="false">INT(MOD(A1842,$N$1) / 2)</f>
        <v>2</v>
      </c>
      <c r="D1842" s="1" t="n">
        <f aca="false">_xlfn.BITAND(A1842,1)</f>
        <v>0</v>
      </c>
      <c r="F1842" s="1" t="str">
        <f aca="false">DEC2HEX(B1842*$N$3*18)</f>
        <v>1CB00</v>
      </c>
      <c r="G1842" s="1" t="str">
        <f aca="false">DEC2HEX(C1842*7)</f>
        <v>E</v>
      </c>
      <c r="H1842" s="1" t="n">
        <f aca="false">IF(D1842=0, 33, "cc")</f>
        <v>33</v>
      </c>
    </row>
    <row r="1843" customFormat="false" ht="18.65" hidden="false" customHeight="true" outlineLevel="0" collapsed="false">
      <c r="A1843" s="1" t="n">
        <f aca="false">ROW()-2</f>
        <v>1841</v>
      </c>
      <c r="B1843" s="1" t="n">
        <f aca="false">INT(A1843/$N$1)</f>
        <v>102</v>
      </c>
      <c r="C1843" s="1" t="n">
        <f aca="false">INT(MOD(A1843,$N$1) / 2)</f>
        <v>2</v>
      </c>
      <c r="D1843" s="1" t="n">
        <f aca="false">_xlfn.BITAND(A1843,1)</f>
        <v>1</v>
      </c>
      <c r="F1843" s="1" t="str">
        <f aca="false">DEC2HEX(B1843*$N$3*18)</f>
        <v>1CB00</v>
      </c>
      <c r="G1843" s="1" t="str">
        <f aca="false">DEC2HEX(C1843*7)</f>
        <v>E</v>
      </c>
      <c r="H1843" s="1" t="str">
        <f aca="false">IF(D1843=0, 33, "cc")</f>
        <v>cc</v>
      </c>
    </row>
    <row r="1844" customFormat="false" ht="18.65" hidden="false" customHeight="true" outlineLevel="0" collapsed="false">
      <c r="A1844" s="1" t="n">
        <f aca="false">ROW()-2</f>
        <v>1842</v>
      </c>
      <c r="B1844" s="1" t="n">
        <f aca="false">INT(A1844/$N$1)</f>
        <v>102</v>
      </c>
      <c r="C1844" s="1" t="n">
        <f aca="false">INT(MOD(A1844,$N$1) / 2)</f>
        <v>3</v>
      </c>
      <c r="D1844" s="1" t="n">
        <f aca="false">_xlfn.BITAND(A1844,1)</f>
        <v>0</v>
      </c>
      <c r="F1844" s="1" t="str">
        <f aca="false">DEC2HEX(B1844*$N$3*18)</f>
        <v>1CB00</v>
      </c>
      <c r="G1844" s="1" t="str">
        <f aca="false">DEC2HEX(C1844*7)</f>
        <v>15</v>
      </c>
      <c r="H1844" s="1" t="n">
        <f aca="false">IF(D1844=0, 33, "cc")</f>
        <v>33</v>
      </c>
    </row>
    <row r="1845" customFormat="false" ht="18.65" hidden="false" customHeight="true" outlineLevel="0" collapsed="false">
      <c r="A1845" s="1" t="n">
        <f aca="false">ROW()-2</f>
        <v>1843</v>
      </c>
      <c r="B1845" s="1" t="n">
        <f aca="false">INT(A1845/$N$1)</f>
        <v>102</v>
      </c>
      <c r="C1845" s="1" t="n">
        <f aca="false">INT(MOD(A1845,$N$1) / 2)</f>
        <v>3</v>
      </c>
      <c r="D1845" s="1" t="n">
        <f aca="false">_xlfn.BITAND(A1845,1)</f>
        <v>1</v>
      </c>
      <c r="F1845" s="1" t="str">
        <f aca="false">DEC2HEX(B1845*$N$3*18)</f>
        <v>1CB00</v>
      </c>
      <c r="G1845" s="1" t="str">
        <f aca="false">DEC2HEX(C1845*7)</f>
        <v>15</v>
      </c>
      <c r="H1845" s="1" t="str">
        <f aca="false">IF(D1845=0, 33, "cc")</f>
        <v>cc</v>
      </c>
    </row>
    <row r="1846" customFormat="false" ht="18.65" hidden="false" customHeight="true" outlineLevel="0" collapsed="false">
      <c r="A1846" s="1" t="n">
        <f aca="false">ROW()-2</f>
        <v>1844</v>
      </c>
      <c r="B1846" s="1" t="n">
        <f aca="false">INT(A1846/$N$1)</f>
        <v>102</v>
      </c>
      <c r="C1846" s="1" t="n">
        <f aca="false">INT(MOD(A1846,$N$1) / 2)</f>
        <v>4</v>
      </c>
      <c r="D1846" s="1" t="n">
        <f aca="false">_xlfn.BITAND(A1846,1)</f>
        <v>0</v>
      </c>
      <c r="F1846" s="1" t="str">
        <f aca="false">DEC2HEX(B1846*$N$3*18)</f>
        <v>1CB00</v>
      </c>
      <c r="G1846" s="1" t="str">
        <f aca="false">DEC2HEX(C1846*7)</f>
        <v>1C</v>
      </c>
      <c r="H1846" s="1" t="n">
        <f aca="false">IF(D1846=0, 33, "cc")</f>
        <v>33</v>
      </c>
    </row>
    <row r="1847" customFormat="false" ht="18.65" hidden="false" customHeight="true" outlineLevel="0" collapsed="false">
      <c r="A1847" s="1" t="n">
        <f aca="false">ROW()-2</f>
        <v>1845</v>
      </c>
      <c r="B1847" s="1" t="n">
        <f aca="false">INT(A1847/$N$1)</f>
        <v>102</v>
      </c>
      <c r="C1847" s="1" t="n">
        <f aca="false">INT(MOD(A1847,$N$1) / 2)</f>
        <v>4</v>
      </c>
      <c r="D1847" s="1" t="n">
        <f aca="false">_xlfn.BITAND(A1847,1)</f>
        <v>1</v>
      </c>
      <c r="F1847" s="1" t="str">
        <f aca="false">DEC2HEX(B1847*$N$3*18)</f>
        <v>1CB00</v>
      </c>
      <c r="G1847" s="1" t="str">
        <f aca="false">DEC2HEX(C1847*7)</f>
        <v>1C</v>
      </c>
      <c r="H1847" s="1" t="str">
        <f aca="false">IF(D1847=0, 33, "cc")</f>
        <v>cc</v>
      </c>
    </row>
    <row r="1848" customFormat="false" ht="18.65" hidden="false" customHeight="true" outlineLevel="0" collapsed="false">
      <c r="A1848" s="1" t="n">
        <f aca="false">ROW()-2</f>
        <v>1846</v>
      </c>
      <c r="B1848" s="1" t="n">
        <f aca="false">INT(A1848/$N$1)</f>
        <v>102</v>
      </c>
      <c r="C1848" s="1" t="n">
        <f aca="false">INT(MOD(A1848,$N$1) / 2)</f>
        <v>5</v>
      </c>
      <c r="D1848" s="1" t="n">
        <f aca="false">_xlfn.BITAND(A1848,1)</f>
        <v>0</v>
      </c>
      <c r="F1848" s="1" t="str">
        <f aca="false">DEC2HEX(B1848*$N$3*18)</f>
        <v>1CB00</v>
      </c>
      <c r="G1848" s="1" t="str">
        <f aca="false">DEC2HEX(C1848*7)</f>
        <v>23</v>
      </c>
      <c r="H1848" s="1" t="n">
        <f aca="false">IF(D1848=0, 33, "cc")</f>
        <v>33</v>
      </c>
    </row>
    <row r="1849" customFormat="false" ht="18.65" hidden="false" customHeight="true" outlineLevel="0" collapsed="false">
      <c r="A1849" s="1" t="n">
        <f aca="false">ROW()-2</f>
        <v>1847</v>
      </c>
      <c r="B1849" s="1" t="n">
        <f aca="false">INT(A1849/$N$1)</f>
        <v>102</v>
      </c>
      <c r="C1849" s="1" t="n">
        <f aca="false">INT(MOD(A1849,$N$1) / 2)</f>
        <v>5</v>
      </c>
      <c r="D1849" s="1" t="n">
        <f aca="false">_xlfn.BITAND(A1849,1)</f>
        <v>1</v>
      </c>
      <c r="F1849" s="1" t="str">
        <f aca="false">DEC2HEX(B1849*$N$3*18)</f>
        <v>1CB00</v>
      </c>
      <c r="G1849" s="1" t="str">
        <f aca="false">DEC2HEX(C1849*7)</f>
        <v>23</v>
      </c>
      <c r="H1849" s="1" t="str">
        <f aca="false">IF(D1849=0, 33, "cc")</f>
        <v>cc</v>
      </c>
    </row>
    <row r="1850" customFormat="false" ht="18.65" hidden="false" customHeight="true" outlineLevel="0" collapsed="false">
      <c r="A1850" s="1" t="n">
        <f aca="false">ROW()-2</f>
        <v>1848</v>
      </c>
      <c r="B1850" s="1" t="n">
        <f aca="false">INT(A1850/$N$1)</f>
        <v>102</v>
      </c>
      <c r="C1850" s="1" t="n">
        <f aca="false">INT(MOD(A1850,$N$1) / 2)</f>
        <v>6</v>
      </c>
      <c r="D1850" s="1" t="n">
        <f aca="false">_xlfn.BITAND(A1850,1)</f>
        <v>0</v>
      </c>
      <c r="F1850" s="1" t="str">
        <f aca="false">DEC2HEX(B1850*$N$3*18)</f>
        <v>1CB00</v>
      </c>
      <c r="G1850" s="1" t="str">
        <f aca="false">DEC2HEX(C1850*7)</f>
        <v>2A</v>
      </c>
      <c r="H1850" s="1" t="n">
        <f aca="false">IF(D1850=0, 33, "cc")</f>
        <v>33</v>
      </c>
    </row>
    <row r="1851" customFormat="false" ht="18.65" hidden="false" customHeight="true" outlineLevel="0" collapsed="false">
      <c r="A1851" s="1" t="n">
        <f aca="false">ROW()-2</f>
        <v>1849</v>
      </c>
      <c r="B1851" s="1" t="n">
        <f aca="false">INT(A1851/$N$1)</f>
        <v>102</v>
      </c>
      <c r="C1851" s="1" t="n">
        <f aca="false">INT(MOD(A1851,$N$1) / 2)</f>
        <v>6</v>
      </c>
      <c r="D1851" s="1" t="n">
        <f aca="false">_xlfn.BITAND(A1851,1)</f>
        <v>1</v>
      </c>
      <c r="F1851" s="1" t="str">
        <f aca="false">DEC2HEX(B1851*$N$3*18)</f>
        <v>1CB00</v>
      </c>
      <c r="G1851" s="1" t="str">
        <f aca="false">DEC2HEX(C1851*7)</f>
        <v>2A</v>
      </c>
      <c r="H1851" s="1" t="str">
        <f aca="false">IF(D1851=0, 33, "cc")</f>
        <v>cc</v>
      </c>
    </row>
    <row r="1852" customFormat="false" ht="18.65" hidden="false" customHeight="true" outlineLevel="0" collapsed="false">
      <c r="A1852" s="1" t="n">
        <f aca="false">ROW()-2</f>
        <v>1850</v>
      </c>
      <c r="B1852" s="1" t="n">
        <f aca="false">INT(A1852/$N$1)</f>
        <v>102</v>
      </c>
      <c r="C1852" s="1" t="n">
        <f aca="false">INT(MOD(A1852,$N$1) / 2)</f>
        <v>7</v>
      </c>
      <c r="D1852" s="1" t="n">
        <f aca="false">_xlfn.BITAND(A1852,1)</f>
        <v>0</v>
      </c>
      <c r="F1852" s="1" t="str">
        <f aca="false">DEC2HEX(B1852*$N$3*18)</f>
        <v>1CB00</v>
      </c>
      <c r="G1852" s="1" t="str">
        <f aca="false">DEC2HEX(C1852*7)</f>
        <v>31</v>
      </c>
      <c r="H1852" s="1" t="n">
        <f aca="false">IF(D1852=0, 33, "cc")</f>
        <v>33</v>
      </c>
    </row>
    <row r="1853" customFormat="false" ht="18.65" hidden="false" customHeight="true" outlineLevel="0" collapsed="false">
      <c r="A1853" s="1" t="n">
        <f aca="false">ROW()-2</f>
        <v>1851</v>
      </c>
      <c r="B1853" s="1" t="n">
        <f aca="false">INT(A1853/$N$1)</f>
        <v>102</v>
      </c>
      <c r="C1853" s="1" t="n">
        <f aca="false">INT(MOD(A1853,$N$1) / 2)</f>
        <v>7</v>
      </c>
      <c r="D1853" s="1" t="n">
        <f aca="false">_xlfn.BITAND(A1853,1)</f>
        <v>1</v>
      </c>
      <c r="F1853" s="1" t="str">
        <f aca="false">DEC2HEX(B1853*$N$3*18)</f>
        <v>1CB00</v>
      </c>
      <c r="G1853" s="1" t="str">
        <f aca="false">DEC2HEX(C1853*7)</f>
        <v>31</v>
      </c>
      <c r="H1853" s="1" t="str">
        <f aca="false">IF(D1853=0, 33, "cc")</f>
        <v>cc</v>
      </c>
    </row>
    <row r="1854" customFormat="false" ht="18.65" hidden="false" customHeight="true" outlineLevel="0" collapsed="false">
      <c r="A1854" s="1" t="n">
        <f aca="false">ROW()-2</f>
        <v>1852</v>
      </c>
      <c r="B1854" s="1" t="n">
        <f aca="false">INT(A1854/$N$1)</f>
        <v>102</v>
      </c>
      <c r="C1854" s="1" t="n">
        <f aca="false">INT(MOD(A1854,$N$1) / 2)</f>
        <v>8</v>
      </c>
      <c r="D1854" s="1" t="n">
        <f aca="false">_xlfn.BITAND(A1854,1)</f>
        <v>0</v>
      </c>
      <c r="F1854" s="1" t="str">
        <f aca="false">DEC2HEX(B1854*$N$3*18)</f>
        <v>1CB00</v>
      </c>
      <c r="G1854" s="1" t="str">
        <f aca="false">DEC2HEX(C1854*7)</f>
        <v>38</v>
      </c>
      <c r="H1854" s="1" t="n">
        <f aca="false">IF(D1854=0, 33, "cc")</f>
        <v>33</v>
      </c>
    </row>
    <row r="1855" customFormat="false" ht="18.65" hidden="false" customHeight="true" outlineLevel="0" collapsed="false">
      <c r="A1855" s="1" t="n">
        <f aca="false">ROW()-2</f>
        <v>1853</v>
      </c>
      <c r="B1855" s="1" t="n">
        <f aca="false">INT(A1855/$N$1)</f>
        <v>102</v>
      </c>
      <c r="C1855" s="1" t="n">
        <f aca="false">INT(MOD(A1855,$N$1) / 2)</f>
        <v>8</v>
      </c>
      <c r="D1855" s="1" t="n">
        <f aca="false">_xlfn.BITAND(A1855,1)</f>
        <v>1</v>
      </c>
      <c r="F1855" s="1" t="str">
        <f aca="false">DEC2HEX(B1855*$N$3*18)</f>
        <v>1CB00</v>
      </c>
      <c r="G1855" s="1" t="str">
        <f aca="false">DEC2HEX(C1855*7)</f>
        <v>38</v>
      </c>
      <c r="H1855" s="1" t="str">
        <f aca="false">IF(D1855=0, 33, "cc")</f>
        <v>cc</v>
      </c>
    </row>
    <row r="1856" customFormat="false" ht="18.65" hidden="false" customHeight="true" outlineLevel="0" collapsed="false">
      <c r="A1856" s="1" t="n">
        <f aca="false">ROW()-2</f>
        <v>1854</v>
      </c>
      <c r="B1856" s="1" t="n">
        <f aca="false">INT(A1856/$N$1)</f>
        <v>103</v>
      </c>
      <c r="C1856" s="1" t="n">
        <f aca="false">INT(MOD(A1856,$N$1) / 2)</f>
        <v>0</v>
      </c>
      <c r="D1856" s="1" t="n">
        <f aca="false">_xlfn.BITAND(A1856,1)</f>
        <v>0</v>
      </c>
      <c r="F1856" s="1" t="str">
        <f aca="false">DEC2HEX(B1856*$N$3*18)</f>
        <v>1CF80</v>
      </c>
      <c r="G1856" s="1" t="str">
        <f aca="false">DEC2HEX(C1856*7)</f>
        <v>0</v>
      </c>
      <c r="H1856" s="1" t="n">
        <f aca="false">IF(D1856=0, 33, "cc")</f>
        <v>33</v>
      </c>
    </row>
    <row r="1857" customFormat="false" ht="18.65" hidden="false" customHeight="true" outlineLevel="0" collapsed="false">
      <c r="A1857" s="1" t="n">
        <f aca="false">ROW()-2</f>
        <v>1855</v>
      </c>
      <c r="B1857" s="1" t="n">
        <f aca="false">INT(A1857/$N$1)</f>
        <v>103</v>
      </c>
      <c r="C1857" s="1" t="n">
        <f aca="false">INT(MOD(A1857,$N$1) / 2)</f>
        <v>0</v>
      </c>
      <c r="D1857" s="1" t="n">
        <f aca="false">_xlfn.BITAND(A1857,1)</f>
        <v>1</v>
      </c>
      <c r="F1857" s="1" t="str">
        <f aca="false">DEC2HEX(B1857*$N$3*18)</f>
        <v>1CF80</v>
      </c>
      <c r="G1857" s="1" t="str">
        <f aca="false">DEC2HEX(C1857*7)</f>
        <v>0</v>
      </c>
      <c r="H1857" s="1" t="str">
        <f aca="false">IF(D1857=0, 33, "cc")</f>
        <v>cc</v>
      </c>
    </row>
    <row r="1858" customFormat="false" ht="18.65" hidden="false" customHeight="true" outlineLevel="0" collapsed="false">
      <c r="A1858" s="1" t="n">
        <f aca="false">ROW()-2</f>
        <v>1856</v>
      </c>
      <c r="B1858" s="1" t="n">
        <f aca="false">INT(A1858/$N$1)</f>
        <v>103</v>
      </c>
      <c r="C1858" s="1" t="n">
        <f aca="false">INT(MOD(A1858,$N$1) / 2)</f>
        <v>1</v>
      </c>
      <c r="D1858" s="1" t="n">
        <f aca="false">_xlfn.BITAND(A1858,1)</f>
        <v>0</v>
      </c>
      <c r="F1858" s="1" t="str">
        <f aca="false">DEC2HEX(B1858*$N$3*18)</f>
        <v>1CF80</v>
      </c>
      <c r="G1858" s="1" t="str">
        <f aca="false">DEC2HEX(C1858*7)</f>
        <v>7</v>
      </c>
      <c r="H1858" s="1" t="n">
        <f aca="false">IF(D1858=0, 33, "cc")</f>
        <v>33</v>
      </c>
    </row>
    <row r="1859" customFormat="false" ht="18.65" hidden="false" customHeight="true" outlineLevel="0" collapsed="false">
      <c r="A1859" s="1" t="n">
        <f aca="false">ROW()-2</f>
        <v>1857</v>
      </c>
      <c r="B1859" s="1" t="n">
        <f aca="false">INT(A1859/$N$1)</f>
        <v>103</v>
      </c>
      <c r="C1859" s="1" t="n">
        <f aca="false">INT(MOD(A1859,$N$1) / 2)</f>
        <v>1</v>
      </c>
      <c r="D1859" s="1" t="n">
        <f aca="false">_xlfn.BITAND(A1859,1)</f>
        <v>1</v>
      </c>
      <c r="F1859" s="1" t="str">
        <f aca="false">DEC2HEX(B1859*$N$3*18)</f>
        <v>1CF80</v>
      </c>
      <c r="G1859" s="1" t="str">
        <f aca="false">DEC2HEX(C1859*7)</f>
        <v>7</v>
      </c>
      <c r="H1859" s="1" t="str">
        <f aca="false">IF(D1859=0, 33, "cc")</f>
        <v>cc</v>
      </c>
    </row>
    <row r="1860" customFormat="false" ht="18.65" hidden="false" customHeight="true" outlineLevel="0" collapsed="false">
      <c r="A1860" s="1" t="n">
        <f aca="false">ROW()-2</f>
        <v>1858</v>
      </c>
      <c r="B1860" s="1" t="n">
        <f aca="false">INT(A1860/$N$1)</f>
        <v>103</v>
      </c>
      <c r="C1860" s="1" t="n">
        <f aca="false">INT(MOD(A1860,$N$1) / 2)</f>
        <v>2</v>
      </c>
      <c r="D1860" s="1" t="n">
        <f aca="false">_xlfn.BITAND(A1860,1)</f>
        <v>0</v>
      </c>
      <c r="F1860" s="1" t="str">
        <f aca="false">DEC2HEX(B1860*$N$3*18)</f>
        <v>1CF80</v>
      </c>
      <c r="G1860" s="1" t="str">
        <f aca="false">DEC2HEX(C1860*7)</f>
        <v>E</v>
      </c>
      <c r="H1860" s="1" t="n">
        <f aca="false">IF(D1860=0, 33, "cc")</f>
        <v>33</v>
      </c>
    </row>
    <row r="1861" customFormat="false" ht="18.65" hidden="false" customHeight="true" outlineLevel="0" collapsed="false">
      <c r="A1861" s="1" t="n">
        <f aca="false">ROW()-2</f>
        <v>1859</v>
      </c>
      <c r="B1861" s="1" t="n">
        <f aca="false">INT(A1861/$N$1)</f>
        <v>103</v>
      </c>
      <c r="C1861" s="1" t="n">
        <f aca="false">INT(MOD(A1861,$N$1) / 2)</f>
        <v>2</v>
      </c>
      <c r="D1861" s="1" t="n">
        <f aca="false">_xlfn.BITAND(A1861,1)</f>
        <v>1</v>
      </c>
      <c r="F1861" s="1" t="str">
        <f aca="false">DEC2HEX(B1861*$N$3*18)</f>
        <v>1CF80</v>
      </c>
      <c r="G1861" s="1" t="str">
        <f aca="false">DEC2HEX(C1861*7)</f>
        <v>E</v>
      </c>
      <c r="H1861" s="1" t="str">
        <f aca="false">IF(D1861=0, 33, "cc")</f>
        <v>cc</v>
      </c>
    </row>
    <row r="1862" customFormat="false" ht="18.65" hidden="false" customHeight="true" outlineLevel="0" collapsed="false">
      <c r="A1862" s="1" t="n">
        <f aca="false">ROW()-2</f>
        <v>1860</v>
      </c>
      <c r="B1862" s="1" t="n">
        <f aca="false">INT(A1862/$N$1)</f>
        <v>103</v>
      </c>
      <c r="C1862" s="1" t="n">
        <f aca="false">INT(MOD(A1862,$N$1) / 2)</f>
        <v>3</v>
      </c>
      <c r="D1862" s="1" t="n">
        <f aca="false">_xlfn.BITAND(A1862,1)</f>
        <v>0</v>
      </c>
      <c r="F1862" s="1" t="str">
        <f aca="false">DEC2HEX(B1862*$N$3*18)</f>
        <v>1CF80</v>
      </c>
      <c r="G1862" s="1" t="str">
        <f aca="false">DEC2HEX(C1862*7)</f>
        <v>15</v>
      </c>
      <c r="H1862" s="1" t="n">
        <f aca="false">IF(D1862=0, 33, "cc")</f>
        <v>33</v>
      </c>
    </row>
    <row r="1863" customFormat="false" ht="18.65" hidden="false" customHeight="true" outlineLevel="0" collapsed="false">
      <c r="A1863" s="1" t="n">
        <f aca="false">ROW()-2</f>
        <v>1861</v>
      </c>
      <c r="B1863" s="1" t="n">
        <f aca="false">INT(A1863/$N$1)</f>
        <v>103</v>
      </c>
      <c r="C1863" s="1" t="n">
        <f aca="false">INT(MOD(A1863,$N$1) / 2)</f>
        <v>3</v>
      </c>
      <c r="D1863" s="1" t="n">
        <f aca="false">_xlfn.BITAND(A1863,1)</f>
        <v>1</v>
      </c>
      <c r="F1863" s="1" t="str">
        <f aca="false">DEC2HEX(B1863*$N$3*18)</f>
        <v>1CF80</v>
      </c>
      <c r="G1863" s="1" t="str">
        <f aca="false">DEC2HEX(C1863*7)</f>
        <v>15</v>
      </c>
      <c r="H1863" s="1" t="str">
        <f aca="false">IF(D1863=0, 33, "cc")</f>
        <v>cc</v>
      </c>
    </row>
    <row r="1864" customFormat="false" ht="18.65" hidden="false" customHeight="true" outlineLevel="0" collapsed="false">
      <c r="A1864" s="1" t="n">
        <f aca="false">ROW()-2</f>
        <v>1862</v>
      </c>
      <c r="B1864" s="1" t="n">
        <f aca="false">INT(A1864/$N$1)</f>
        <v>103</v>
      </c>
      <c r="C1864" s="1" t="n">
        <f aca="false">INT(MOD(A1864,$N$1) / 2)</f>
        <v>4</v>
      </c>
      <c r="D1864" s="1" t="n">
        <f aca="false">_xlfn.BITAND(A1864,1)</f>
        <v>0</v>
      </c>
      <c r="F1864" s="1" t="str">
        <f aca="false">DEC2HEX(B1864*$N$3*18)</f>
        <v>1CF80</v>
      </c>
      <c r="G1864" s="1" t="str">
        <f aca="false">DEC2HEX(C1864*7)</f>
        <v>1C</v>
      </c>
      <c r="H1864" s="1" t="n">
        <f aca="false">IF(D1864=0, 33, "cc")</f>
        <v>33</v>
      </c>
    </row>
    <row r="1865" customFormat="false" ht="18.65" hidden="false" customHeight="true" outlineLevel="0" collapsed="false">
      <c r="A1865" s="1" t="n">
        <f aca="false">ROW()-2</f>
        <v>1863</v>
      </c>
      <c r="B1865" s="1" t="n">
        <f aca="false">INT(A1865/$N$1)</f>
        <v>103</v>
      </c>
      <c r="C1865" s="1" t="n">
        <f aca="false">INT(MOD(A1865,$N$1) / 2)</f>
        <v>4</v>
      </c>
      <c r="D1865" s="1" t="n">
        <f aca="false">_xlfn.BITAND(A1865,1)</f>
        <v>1</v>
      </c>
      <c r="F1865" s="1" t="str">
        <f aca="false">DEC2HEX(B1865*$N$3*18)</f>
        <v>1CF80</v>
      </c>
      <c r="G1865" s="1" t="str">
        <f aca="false">DEC2HEX(C1865*7)</f>
        <v>1C</v>
      </c>
      <c r="H1865" s="1" t="str">
        <f aca="false">IF(D1865=0, 33, "cc")</f>
        <v>cc</v>
      </c>
    </row>
    <row r="1866" customFormat="false" ht="18.65" hidden="false" customHeight="true" outlineLevel="0" collapsed="false">
      <c r="A1866" s="1" t="n">
        <f aca="false">ROW()-2</f>
        <v>1864</v>
      </c>
      <c r="B1866" s="1" t="n">
        <f aca="false">INT(A1866/$N$1)</f>
        <v>103</v>
      </c>
      <c r="C1866" s="1" t="n">
        <f aca="false">INT(MOD(A1866,$N$1) / 2)</f>
        <v>5</v>
      </c>
      <c r="D1866" s="1" t="n">
        <f aca="false">_xlfn.BITAND(A1866,1)</f>
        <v>0</v>
      </c>
      <c r="F1866" s="1" t="str">
        <f aca="false">DEC2HEX(B1866*$N$3*18)</f>
        <v>1CF80</v>
      </c>
      <c r="G1866" s="1" t="str">
        <f aca="false">DEC2HEX(C1866*7)</f>
        <v>23</v>
      </c>
      <c r="H1866" s="1" t="n">
        <f aca="false">IF(D1866=0, 33, "cc")</f>
        <v>33</v>
      </c>
    </row>
    <row r="1867" customFormat="false" ht="18.65" hidden="false" customHeight="true" outlineLevel="0" collapsed="false">
      <c r="A1867" s="1" t="n">
        <f aca="false">ROW()-2</f>
        <v>1865</v>
      </c>
      <c r="B1867" s="1" t="n">
        <f aca="false">INT(A1867/$N$1)</f>
        <v>103</v>
      </c>
      <c r="C1867" s="1" t="n">
        <f aca="false">INT(MOD(A1867,$N$1) / 2)</f>
        <v>5</v>
      </c>
      <c r="D1867" s="1" t="n">
        <f aca="false">_xlfn.BITAND(A1867,1)</f>
        <v>1</v>
      </c>
      <c r="F1867" s="1" t="str">
        <f aca="false">DEC2HEX(B1867*$N$3*18)</f>
        <v>1CF80</v>
      </c>
      <c r="G1867" s="1" t="str">
        <f aca="false">DEC2HEX(C1867*7)</f>
        <v>23</v>
      </c>
      <c r="H1867" s="1" t="str">
        <f aca="false">IF(D1867=0, 33, "cc")</f>
        <v>cc</v>
      </c>
    </row>
    <row r="1868" customFormat="false" ht="18.65" hidden="false" customHeight="true" outlineLevel="0" collapsed="false">
      <c r="A1868" s="1" t="n">
        <f aca="false">ROW()-2</f>
        <v>1866</v>
      </c>
      <c r="B1868" s="1" t="n">
        <f aca="false">INT(A1868/$N$1)</f>
        <v>103</v>
      </c>
      <c r="C1868" s="1" t="n">
        <f aca="false">INT(MOD(A1868,$N$1) / 2)</f>
        <v>6</v>
      </c>
      <c r="D1868" s="1" t="n">
        <f aca="false">_xlfn.BITAND(A1868,1)</f>
        <v>0</v>
      </c>
      <c r="F1868" s="1" t="str">
        <f aca="false">DEC2HEX(B1868*$N$3*18)</f>
        <v>1CF80</v>
      </c>
      <c r="G1868" s="1" t="str">
        <f aca="false">DEC2HEX(C1868*7)</f>
        <v>2A</v>
      </c>
      <c r="H1868" s="1" t="n">
        <f aca="false">IF(D1868=0, 33, "cc")</f>
        <v>33</v>
      </c>
    </row>
    <row r="1869" customFormat="false" ht="18.65" hidden="false" customHeight="true" outlineLevel="0" collapsed="false">
      <c r="A1869" s="1" t="n">
        <f aca="false">ROW()-2</f>
        <v>1867</v>
      </c>
      <c r="B1869" s="1" t="n">
        <f aca="false">INT(A1869/$N$1)</f>
        <v>103</v>
      </c>
      <c r="C1869" s="1" t="n">
        <f aca="false">INT(MOD(A1869,$N$1) / 2)</f>
        <v>6</v>
      </c>
      <c r="D1869" s="1" t="n">
        <f aca="false">_xlfn.BITAND(A1869,1)</f>
        <v>1</v>
      </c>
      <c r="F1869" s="1" t="str">
        <f aca="false">DEC2HEX(B1869*$N$3*18)</f>
        <v>1CF80</v>
      </c>
      <c r="G1869" s="1" t="str">
        <f aca="false">DEC2HEX(C1869*7)</f>
        <v>2A</v>
      </c>
      <c r="H1869" s="1" t="str">
        <f aca="false">IF(D1869=0, 33, "cc")</f>
        <v>cc</v>
      </c>
    </row>
    <row r="1870" customFormat="false" ht="18.65" hidden="false" customHeight="true" outlineLevel="0" collapsed="false">
      <c r="A1870" s="1" t="n">
        <f aca="false">ROW()-2</f>
        <v>1868</v>
      </c>
      <c r="B1870" s="1" t="n">
        <f aca="false">INT(A1870/$N$1)</f>
        <v>103</v>
      </c>
      <c r="C1870" s="1" t="n">
        <f aca="false">INT(MOD(A1870,$N$1) / 2)</f>
        <v>7</v>
      </c>
      <c r="D1870" s="1" t="n">
        <f aca="false">_xlfn.BITAND(A1870,1)</f>
        <v>0</v>
      </c>
      <c r="F1870" s="1" t="str">
        <f aca="false">DEC2HEX(B1870*$N$3*18)</f>
        <v>1CF80</v>
      </c>
      <c r="G1870" s="1" t="str">
        <f aca="false">DEC2HEX(C1870*7)</f>
        <v>31</v>
      </c>
      <c r="H1870" s="1" t="n">
        <f aca="false">IF(D1870=0, 33, "cc")</f>
        <v>33</v>
      </c>
    </row>
    <row r="1871" customFormat="false" ht="18.65" hidden="false" customHeight="true" outlineLevel="0" collapsed="false">
      <c r="A1871" s="1" t="n">
        <f aca="false">ROW()-2</f>
        <v>1869</v>
      </c>
      <c r="B1871" s="1" t="n">
        <f aca="false">INT(A1871/$N$1)</f>
        <v>103</v>
      </c>
      <c r="C1871" s="1" t="n">
        <f aca="false">INT(MOD(A1871,$N$1) / 2)</f>
        <v>7</v>
      </c>
      <c r="D1871" s="1" t="n">
        <f aca="false">_xlfn.BITAND(A1871,1)</f>
        <v>1</v>
      </c>
      <c r="F1871" s="1" t="str">
        <f aca="false">DEC2HEX(B1871*$N$3*18)</f>
        <v>1CF80</v>
      </c>
      <c r="G1871" s="1" t="str">
        <f aca="false">DEC2HEX(C1871*7)</f>
        <v>31</v>
      </c>
      <c r="H1871" s="1" t="str">
        <f aca="false">IF(D1871=0, 33, "cc")</f>
        <v>cc</v>
      </c>
    </row>
    <row r="1872" customFormat="false" ht="18.65" hidden="false" customHeight="true" outlineLevel="0" collapsed="false">
      <c r="A1872" s="1" t="n">
        <f aca="false">ROW()-2</f>
        <v>1870</v>
      </c>
      <c r="B1872" s="1" t="n">
        <f aca="false">INT(A1872/$N$1)</f>
        <v>103</v>
      </c>
      <c r="C1872" s="1" t="n">
        <f aca="false">INT(MOD(A1872,$N$1) / 2)</f>
        <v>8</v>
      </c>
      <c r="D1872" s="1" t="n">
        <f aca="false">_xlfn.BITAND(A1872,1)</f>
        <v>0</v>
      </c>
      <c r="F1872" s="1" t="str">
        <f aca="false">DEC2HEX(B1872*$N$3*18)</f>
        <v>1CF80</v>
      </c>
      <c r="G1872" s="1" t="str">
        <f aca="false">DEC2HEX(C1872*7)</f>
        <v>38</v>
      </c>
      <c r="H1872" s="1" t="n">
        <f aca="false">IF(D1872=0, 33, "cc")</f>
        <v>33</v>
      </c>
    </row>
    <row r="1873" customFormat="false" ht="18.65" hidden="false" customHeight="true" outlineLevel="0" collapsed="false">
      <c r="A1873" s="1" t="n">
        <f aca="false">ROW()-2</f>
        <v>1871</v>
      </c>
      <c r="B1873" s="1" t="n">
        <f aca="false">INT(A1873/$N$1)</f>
        <v>103</v>
      </c>
      <c r="C1873" s="1" t="n">
        <f aca="false">INT(MOD(A1873,$N$1) / 2)</f>
        <v>8</v>
      </c>
      <c r="D1873" s="1" t="n">
        <f aca="false">_xlfn.BITAND(A1873,1)</f>
        <v>1</v>
      </c>
      <c r="F1873" s="1" t="str">
        <f aca="false">DEC2HEX(B1873*$N$3*18)</f>
        <v>1CF80</v>
      </c>
      <c r="G1873" s="1" t="str">
        <f aca="false">DEC2HEX(C1873*7)</f>
        <v>38</v>
      </c>
      <c r="H1873" s="1" t="str">
        <f aca="false">IF(D1873=0, 33, "cc")</f>
        <v>cc</v>
      </c>
    </row>
    <row r="1874" customFormat="false" ht="18.65" hidden="false" customHeight="true" outlineLevel="0" collapsed="false">
      <c r="A1874" s="1" t="n">
        <f aca="false">ROW()-2</f>
        <v>1872</v>
      </c>
      <c r="B1874" s="1" t="n">
        <f aca="false">INT(A1874/$N$1)</f>
        <v>104</v>
      </c>
      <c r="C1874" s="1" t="n">
        <f aca="false">INT(MOD(A1874,$N$1) / 2)</f>
        <v>0</v>
      </c>
      <c r="D1874" s="1" t="n">
        <f aca="false">_xlfn.BITAND(A1874,1)</f>
        <v>0</v>
      </c>
      <c r="F1874" s="1" t="str">
        <f aca="false">DEC2HEX(B1874*$N$3*18)</f>
        <v>1D400</v>
      </c>
      <c r="G1874" s="1" t="str">
        <f aca="false">DEC2HEX(C1874*7)</f>
        <v>0</v>
      </c>
      <c r="H1874" s="1" t="n">
        <f aca="false">IF(D1874=0, 33, "cc")</f>
        <v>33</v>
      </c>
    </row>
    <row r="1875" customFormat="false" ht="18.65" hidden="false" customHeight="true" outlineLevel="0" collapsed="false">
      <c r="A1875" s="1" t="n">
        <f aca="false">ROW()-2</f>
        <v>1873</v>
      </c>
      <c r="B1875" s="1" t="n">
        <f aca="false">INT(A1875/$N$1)</f>
        <v>104</v>
      </c>
      <c r="C1875" s="1" t="n">
        <f aca="false">INT(MOD(A1875,$N$1) / 2)</f>
        <v>0</v>
      </c>
      <c r="D1875" s="1" t="n">
        <f aca="false">_xlfn.BITAND(A1875,1)</f>
        <v>1</v>
      </c>
      <c r="F1875" s="1" t="str">
        <f aca="false">DEC2HEX(B1875*$N$3*18)</f>
        <v>1D400</v>
      </c>
      <c r="G1875" s="1" t="str">
        <f aca="false">DEC2HEX(C1875*7)</f>
        <v>0</v>
      </c>
      <c r="H1875" s="1" t="str">
        <f aca="false">IF(D1875=0, 33, "cc")</f>
        <v>cc</v>
      </c>
    </row>
    <row r="1876" customFormat="false" ht="18.65" hidden="false" customHeight="true" outlineLevel="0" collapsed="false">
      <c r="A1876" s="1" t="n">
        <f aca="false">ROW()-2</f>
        <v>1874</v>
      </c>
      <c r="B1876" s="1" t="n">
        <f aca="false">INT(A1876/$N$1)</f>
        <v>104</v>
      </c>
      <c r="C1876" s="1" t="n">
        <f aca="false">INT(MOD(A1876,$N$1) / 2)</f>
        <v>1</v>
      </c>
      <c r="D1876" s="1" t="n">
        <f aca="false">_xlfn.BITAND(A1876,1)</f>
        <v>0</v>
      </c>
      <c r="F1876" s="1" t="str">
        <f aca="false">DEC2HEX(B1876*$N$3*18)</f>
        <v>1D400</v>
      </c>
      <c r="G1876" s="1" t="str">
        <f aca="false">DEC2HEX(C1876*7)</f>
        <v>7</v>
      </c>
      <c r="H1876" s="1" t="n">
        <f aca="false">IF(D1876=0, 33, "cc")</f>
        <v>33</v>
      </c>
    </row>
    <row r="1877" customFormat="false" ht="18.65" hidden="false" customHeight="true" outlineLevel="0" collapsed="false">
      <c r="A1877" s="1" t="n">
        <f aca="false">ROW()-2</f>
        <v>1875</v>
      </c>
      <c r="B1877" s="1" t="n">
        <f aca="false">INT(A1877/$N$1)</f>
        <v>104</v>
      </c>
      <c r="C1877" s="1" t="n">
        <f aca="false">INT(MOD(A1877,$N$1) / 2)</f>
        <v>1</v>
      </c>
      <c r="D1877" s="1" t="n">
        <f aca="false">_xlfn.BITAND(A1877,1)</f>
        <v>1</v>
      </c>
      <c r="F1877" s="1" t="str">
        <f aca="false">DEC2HEX(B1877*$N$3*18)</f>
        <v>1D400</v>
      </c>
      <c r="G1877" s="1" t="str">
        <f aca="false">DEC2HEX(C1877*7)</f>
        <v>7</v>
      </c>
      <c r="H1877" s="1" t="str">
        <f aca="false">IF(D1877=0, 33, "cc")</f>
        <v>cc</v>
      </c>
    </row>
    <row r="1878" customFormat="false" ht="18.65" hidden="false" customHeight="true" outlineLevel="0" collapsed="false">
      <c r="A1878" s="1" t="n">
        <f aca="false">ROW()-2</f>
        <v>1876</v>
      </c>
      <c r="B1878" s="1" t="n">
        <f aca="false">INT(A1878/$N$1)</f>
        <v>104</v>
      </c>
      <c r="C1878" s="1" t="n">
        <f aca="false">INT(MOD(A1878,$N$1) / 2)</f>
        <v>2</v>
      </c>
      <c r="D1878" s="1" t="n">
        <f aca="false">_xlfn.BITAND(A1878,1)</f>
        <v>0</v>
      </c>
      <c r="F1878" s="1" t="str">
        <f aca="false">DEC2HEX(B1878*$N$3*18)</f>
        <v>1D400</v>
      </c>
      <c r="G1878" s="1" t="str">
        <f aca="false">DEC2HEX(C1878*7)</f>
        <v>E</v>
      </c>
      <c r="H1878" s="1" t="n">
        <f aca="false">IF(D1878=0, 33, "cc")</f>
        <v>33</v>
      </c>
    </row>
    <row r="1879" customFormat="false" ht="18.65" hidden="false" customHeight="true" outlineLevel="0" collapsed="false">
      <c r="A1879" s="1" t="n">
        <f aca="false">ROW()-2</f>
        <v>1877</v>
      </c>
      <c r="B1879" s="1" t="n">
        <f aca="false">INT(A1879/$N$1)</f>
        <v>104</v>
      </c>
      <c r="C1879" s="1" t="n">
        <f aca="false">INT(MOD(A1879,$N$1) / 2)</f>
        <v>2</v>
      </c>
      <c r="D1879" s="1" t="n">
        <f aca="false">_xlfn.BITAND(A1879,1)</f>
        <v>1</v>
      </c>
      <c r="F1879" s="1" t="str">
        <f aca="false">DEC2HEX(B1879*$N$3*18)</f>
        <v>1D400</v>
      </c>
      <c r="G1879" s="1" t="str">
        <f aca="false">DEC2HEX(C1879*7)</f>
        <v>E</v>
      </c>
      <c r="H1879" s="1" t="str">
        <f aca="false">IF(D1879=0, 33, "cc")</f>
        <v>cc</v>
      </c>
    </row>
    <row r="1880" customFormat="false" ht="18.65" hidden="false" customHeight="true" outlineLevel="0" collapsed="false">
      <c r="A1880" s="1" t="n">
        <f aca="false">ROW()-2</f>
        <v>1878</v>
      </c>
      <c r="B1880" s="1" t="n">
        <f aca="false">INT(A1880/$N$1)</f>
        <v>104</v>
      </c>
      <c r="C1880" s="1" t="n">
        <f aca="false">INT(MOD(A1880,$N$1) / 2)</f>
        <v>3</v>
      </c>
      <c r="D1880" s="1" t="n">
        <f aca="false">_xlfn.BITAND(A1880,1)</f>
        <v>0</v>
      </c>
      <c r="F1880" s="1" t="str">
        <f aca="false">DEC2HEX(B1880*$N$3*18)</f>
        <v>1D400</v>
      </c>
      <c r="G1880" s="1" t="str">
        <f aca="false">DEC2HEX(C1880*7)</f>
        <v>15</v>
      </c>
      <c r="H1880" s="1" t="n">
        <f aca="false">IF(D1880=0, 33, "cc")</f>
        <v>33</v>
      </c>
    </row>
    <row r="1881" customFormat="false" ht="18.65" hidden="false" customHeight="true" outlineLevel="0" collapsed="false">
      <c r="A1881" s="1" t="n">
        <f aca="false">ROW()-2</f>
        <v>1879</v>
      </c>
      <c r="B1881" s="1" t="n">
        <f aca="false">INT(A1881/$N$1)</f>
        <v>104</v>
      </c>
      <c r="C1881" s="1" t="n">
        <f aca="false">INT(MOD(A1881,$N$1) / 2)</f>
        <v>3</v>
      </c>
      <c r="D1881" s="1" t="n">
        <f aca="false">_xlfn.BITAND(A1881,1)</f>
        <v>1</v>
      </c>
      <c r="F1881" s="1" t="str">
        <f aca="false">DEC2HEX(B1881*$N$3*18)</f>
        <v>1D400</v>
      </c>
      <c r="G1881" s="1" t="str">
        <f aca="false">DEC2HEX(C1881*7)</f>
        <v>15</v>
      </c>
      <c r="H1881" s="1" t="str">
        <f aca="false">IF(D1881=0, 33, "cc")</f>
        <v>cc</v>
      </c>
    </row>
    <row r="1882" customFormat="false" ht="18.65" hidden="false" customHeight="true" outlineLevel="0" collapsed="false">
      <c r="A1882" s="1" t="n">
        <f aca="false">ROW()-2</f>
        <v>1880</v>
      </c>
      <c r="B1882" s="1" t="n">
        <f aca="false">INT(A1882/$N$1)</f>
        <v>104</v>
      </c>
      <c r="C1882" s="1" t="n">
        <f aca="false">INT(MOD(A1882,$N$1) / 2)</f>
        <v>4</v>
      </c>
      <c r="D1882" s="1" t="n">
        <f aca="false">_xlfn.BITAND(A1882,1)</f>
        <v>0</v>
      </c>
      <c r="F1882" s="1" t="str">
        <f aca="false">DEC2HEX(B1882*$N$3*18)</f>
        <v>1D400</v>
      </c>
      <c r="G1882" s="1" t="str">
        <f aca="false">DEC2HEX(C1882*7)</f>
        <v>1C</v>
      </c>
      <c r="H1882" s="1" t="n">
        <f aca="false">IF(D1882=0, 33, "cc")</f>
        <v>33</v>
      </c>
    </row>
    <row r="1883" customFormat="false" ht="18.65" hidden="false" customHeight="true" outlineLevel="0" collapsed="false">
      <c r="A1883" s="1" t="n">
        <f aca="false">ROW()-2</f>
        <v>1881</v>
      </c>
      <c r="B1883" s="1" t="n">
        <f aca="false">INT(A1883/$N$1)</f>
        <v>104</v>
      </c>
      <c r="C1883" s="1" t="n">
        <f aca="false">INT(MOD(A1883,$N$1) / 2)</f>
        <v>4</v>
      </c>
      <c r="D1883" s="1" t="n">
        <f aca="false">_xlfn.BITAND(A1883,1)</f>
        <v>1</v>
      </c>
      <c r="F1883" s="1" t="str">
        <f aca="false">DEC2HEX(B1883*$N$3*18)</f>
        <v>1D400</v>
      </c>
      <c r="G1883" s="1" t="str">
        <f aca="false">DEC2HEX(C1883*7)</f>
        <v>1C</v>
      </c>
      <c r="H1883" s="1" t="str">
        <f aca="false">IF(D1883=0, 33, "cc")</f>
        <v>cc</v>
      </c>
    </row>
    <row r="1884" customFormat="false" ht="18.65" hidden="false" customHeight="true" outlineLevel="0" collapsed="false">
      <c r="A1884" s="1" t="n">
        <f aca="false">ROW()-2</f>
        <v>1882</v>
      </c>
      <c r="B1884" s="1" t="n">
        <f aca="false">INT(A1884/$N$1)</f>
        <v>104</v>
      </c>
      <c r="C1884" s="1" t="n">
        <f aca="false">INT(MOD(A1884,$N$1) / 2)</f>
        <v>5</v>
      </c>
      <c r="D1884" s="1" t="n">
        <f aca="false">_xlfn.BITAND(A1884,1)</f>
        <v>0</v>
      </c>
      <c r="F1884" s="1" t="str">
        <f aca="false">DEC2HEX(B1884*$N$3*18)</f>
        <v>1D400</v>
      </c>
      <c r="G1884" s="1" t="str">
        <f aca="false">DEC2HEX(C1884*7)</f>
        <v>23</v>
      </c>
      <c r="H1884" s="1" t="n">
        <f aca="false">IF(D1884=0, 33, "cc")</f>
        <v>33</v>
      </c>
    </row>
    <row r="1885" customFormat="false" ht="18.65" hidden="false" customHeight="true" outlineLevel="0" collapsed="false">
      <c r="A1885" s="1" t="n">
        <f aca="false">ROW()-2</f>
        <v>1883</v>
      </c>
      <c r="B1885" s="1" t="n">
        <f aca="false">INT(A1885/$N$1)</f>
        <v>104</v>
      </c>
      <c r="C1885" s="1" t="n">
        <f aca="false">INT(MOD(A1885,$N$1) / 2)</f>
        <v>5</v>
      </c>
      <c r="D1885" s="1" t="n">
        <f aca="false">_xlfn.BITAND(A1885,1)</f>
        <v>1</v>
      </c>
      <c r="F1885" s="1" t="str">
        <f aca="false">DEC2HEX(B1885*$N$3*18)</f>
        <v>1D400</v>
      </c>
      <c r="G1885" s="1" t="str">
        <f aca="false">DEC2HEX(C1885*7)</f>
        <v>23</v>
      </c>
      <c r="H1885" s="1" t="str">
        <f aca="false">IF(D1885=0, 33, "cc")</f>
        <v>cc</v>
      </c>
    </row>
    <row r="1886" customFormat="false" ht="18.65" hidden="false" customHeight="true" outlineLevel="0" collapsed="false">
      <c r="A1886" s="1" t="n">
        <f aca="false">ROW()-2</f>
        <v>1884</v>
      </c>
      <c r="B1886" s="1" t="n">
        <f aca="false">INT(A1886/$N$1)</f>
        <v>104</v>
      </c>
      <c r="C1886" s="1" t="n">
        <f aca="false">INT(MOD(A1886,$N$1) / 2)</f>
        <v>6</v>
      </c>
      <c r="D1886" s="1" t="n">
        <f aca="false">_xlfn.BITAND(A1886,1)</f>
        <v>0</v>
      </c>
      <c r="F1886" s="1" t="str">
        <f aca="false">DEC2HEX(B1886*$N$3*18)</f>
        <v>1D400</v>
      </c>
      <c r="G1886" s="1" t="str">
        <f aca="false">DEC2HEX(C1886*7)</f>
        <v>2A</v>
      </c>
      <c r="H1886" s="1" t="n">
        <f aca="false">IF(D1886=0, 33, "cc")</f>
        <v>33</v>
      </c>
    </row>
    <row r="1887" customFormat="false" ht="18.65" hidden="false" customHeight="true" outlineLevel="0" collapsed="false">
      <c r="A1887" s="1" t="n">
        <f aca="false">ROW()-2</f>
        <v>1885</v>
      </c>
      <c r="B1887" s="1" t="n">
        <f aca="false">INT(A1887/$N$1)</f>
        <v>104</v>
      </c>
      <c r="C1887" s="1" t="n">
        <f aca="false">INT(MOD(A1887,$N$1) / 2)</f>
        <v>6</v>
      </c>
      <c r="D1887" s="1" t="n">
        <f aca="false">_xlfn.BITAND(A1887,1)</f>
        <v>1</v>
      </c>
      <c r="F1887" s="1" t="str">
        <f aca="false">DEC2HEX(B1887*$N$3*18)</f>
        <v>1D400</v>
      </c>
      <c r="G1887" s="1" t="str">
        <f aca="false">DEC2HEX(C1887*7)</f>
        <v>2A</v>
      </c>
      <c r="H1887" s="1" t="str">
        <f aca="false">IF(D1887=0, 33, "cc")</f>
        <v>cc</v>
      </c>
    </row>
    <row r="1888" customFormat="false" ht="18.65" hidden="false" customHeight="true" outlineLevel="0" collapsed="false">
      <c r="A1888" s="1" t="n">
        <f aca="false">ROW()-2</f>
        <v>1886</v>
      </c>
      <c r="B1888" s="1" t="n">
        <f aca="false">INT(A1888/$N$1)</f>
        <v>104</v>
      </c>
      <c r="C1888" s="1" t="n">
        <f aca="false">INT(MOD(A1888,$N$1) / 2)</f>
        <v>7</v>
      </c>
      <c r="D1888" s="1" t="n">
        <f aca="false">_xlfn.BITAND(A1888,1)</f>
        <v>0</v>
      </c>
      <c r="F1888" s="1" t="str">
        <f aca="false">DEC2HEX(B1888*$N$3*18)</f>
        <v>1D400</v>
      </c>
      <c r="G1888" s="1" t="str">
        <f aca="false">DEC2HEX(C1888*7)</f>
        <v>31</v>
      </c>
      <c r="H1888" s="1" t="n">
        <f aca="false">IF(D1888=0, 33, "cc")</f>
        <v>33</v>
      </c>
    </row>
    <row r="1889" customFormat="false" ht="18.65" hidden="false" customHeight="true" outlineLevel="0" collapsed="false">
      <c r="A1889" s="1" t="n">
        <f aca="false">ROW()-2</f>
        <v>1887</v>
      </c>
      <c r="B1889" s="1" t="n">
        <f aca="false">INT(A1889/$N$1)</f>
        <v>104</v>
      </c>
      <c r="C1889" s="1" t="n">
        <f aca="false">INT(MOD(A1889,$N$1) / 2)</f>
        <v>7</v>
      </c>
      <c r="D1889" s="1" t="n">
        <f aca="false">_xlfn.BITAND(A1889,1)</f>
        <v>1</v>
      </c>
      <c r="F1889" s="1" t="str">
        <f aca="false">DEC2HEX(B1889*$N$3*18)</f>
        <v>1D400</v>
      </c>
      <c r="G1889" s="1" t="str">
        <f aca="false">DEC2HEX(C1889*7)</f>
        <v>31</v>
      </c>
      <c r="H1889" s="1" t="str">
        <f aca="false">IF(D1889=0, 33, "cc")</f>
        <v>cc</v>
      </c>
    </row>
    <row r="1890" customFormat="false" ht="18.65" hidden="false" customHeight="true" outlineLevel="0" collapsed="false">
      <c r="A1890" s="1" t="n">
        <f aca="false">ROW()-2</f>
        <v>1888</v>
      </c>
      <c r="B1890" s="1" t="n">
        <f aca="false">INT(A1890/$N$1)</f>
        <v>104</v>
      </c>
      <c r="C1890" s="1" t="n">
        <f aca="false">INT(MOD(A1890,$N$1) / 2)</f>
        <v>8</v>
      </c>
      <c r="D1890" s="1" t="n">
        <f aca="false">_xlfn.BITAND(A1890,1)</f>
        <v>0</v>
      </c>
      <c r="F1890" s="1" t="str">
        <f aca="false">DEC2HEX(B1890*$N$3*18)</f>
        <v>1D400</v>
      </c>
      <c r="G1890" s="1" t="str">
        <f aca="false">DEC2HEX(C1890*7)</f>
        <v>38</v>
      </c>
      <c r="H1890" s="1" t="n">
        <f aca="false">IF(D1890=0, 33, "cc")</f>
        <v>33</v>
      </c>
    </row>
    <row r="1891" customFormat="false" ht="18.65" hidden="false" customHeight="true" outlineLevel="0" collapsed="false">
      <c r="A1891" s="1" t="n">
        <f aca="false">ROW()-2</f>
        <v>1889</v>
      </c>
      <c r="B1891" s="1" t="n">
        <f aca="false">INT(A1891/$N$1)</f>
        <v>104</v>
      </c>
      <c r="C1891" s="1" t="n">
        <f aca="false">INT(MOD(A1891,$N$1) / 2)</f>
        <v>8</v>
      </c>
      <c r="D1891" s="1" t="n">
        <f aca="false">_xlfn.BITAND(A1891,1)</f>
        <v>1</v>
      </c>
      <c r="F1891" s="1" t="str">
        <f aca="false">DEC2HEX(B1891*$N$3*18)</f>
        <v>1D400</v>
      </c>
      <c r="G1891" s="1" t="str">
        <f aca="false">DEC2HEX(C1891*7)</f>
        <v>38</v>
      </c>
      <c r="H1891" s="1" t="str">
        <f aca="false">IF(D1891=0, 33, "cc")</f>
        <v>cc</v>
      </c>
    </row>
    <row r="1892" customFormat="false" ht="18.65" hidden="false" customHeight="true" outlineLevel="0" collapsed="false">
      <c r="A1892" s="1" t="n">
        <f aca="false">ROW()-2</f>
        <v>1890</v>
      </c>
      <c r="B1892" s="1" t="n">
        <f aca="false">INT(A1892/$N$1)</f>
        <v>105</v>
      </c>
      <c r="C1892" s="1" t="n">
        <f aca="false">INT(MOD(A1892,$N$1) / 2)</f>
        <v>0</v>
      </c>
      <c r="D1892" s="1" t="n">
        <f aca="false">_xlfn.BITAND(A1892,1)</f>
        <v>0</v>
      </c>
      <c r="F1892" s="1" t="str">
        <f aca="false">DEC2HEX(B1892*$N$3*18)</f>
        <v>1D880</v>
      </c>
      <c r="G1892" s="1" t="str">
        <f aca="false">DEC2HEX(C1892*7)</f>
        <v>0</v>
      </c>
      <c r="H1892" s="1" t="n">
        <f aca="false">IF(D1892=0, 33, "cc")</f>
        <v>33</v>
      </c>
    </row>
    <row r="1893" customFormat="false" ht="18.65" hidden="false" customHeight="true" outlineLevel="0" collapsed="false">
      <c r="A1893" s="1" t="n">
        <f aca="false">ROW()-2</f>
        <v>1891</v>
      </c>
      <c r="B1893" s="1" t="n">
        <f aca="false">INT(A1893/$N$1)</f>
        <v>105</v>
      </c>
      <c r="C1893" s="1" t="n">
        <f aca="false">INT(MOD(A1893,$N$1) / 2)</f>
        <v>0</v>
      </c>
      <c r="D1893" s="1" t="n">
        <f aca="false">_xlfn.BITAND(A1893,1)</f>
        <v>1</v>
      </c>
      <c r="F1893" s="1" t="str">
        <f aca="false">DEC2HEX(B1893*$N$3*18)</f>
        <v>1D880</v>
      </c>
      <c r="G1893" s="1" t="str">
        <f aca="false">DEC2HEX(C1893*7)</f>
        <v>0</v>
      </c>
      <c r="H1893" s="1" t="str">
        <f aca="false">IF(D1893=0, 33, "cc")</f>
        <v>cc</v>
      </c>
    </row>
    <row r="1894" customFormat="false" ht="18.65" hidden="false" customHeight="true" outlineLevel="0" collapsed="false">
      <c r="A1894" s="1" t="n">
        <f aca="false">ROW()-2</f>
        <v>1892</v>
      </c>
      <c r="B1894" s="1" t="n">
        <f aca="false">INT(A1894/$N$1)</f>
        <v>105</v>
      </c>
      <c r="C1894" s="1" t="n">
        <f aca="false">INT(MOD(A1894,$N$1) / 2)</f>
        <v>1</v>
      </c>
      <c r="D1894" s="1" t="n">
        <f aca="false">_xlfn.BITAND(A1894,1)</f>
        <v>0</v>
      </c>
      <c r="F1894" s="1" t="str">
        <f aca="false">DEC2HEX(B1894*$N$3*18)</f>
        <v>1D880</v>
      </c>
      <c r="G1894" s="1" t="str">
        <f aca="false">DEC2HEX(C1894*7)</f>
        <v>7</v>
      </c>
      <c r="H1894" s="1" t="n">
        <f aca="false">IF(D1894=0, 33, "cc")</f>
        <v>33</v>
      </c>
    </row>
    <row r="1895" customFormat="false" ht="18.65" hidden="false" customHeight="true" outlineLevel="0" collapsed="false">
      <c r="A1895" s="1" t="n">
        <f aca="false">ROW()-2</f>
        <v>1893</v>
      </c>
      <c r="B1895" s="1" t="n">
        <f aca="false">INT(A1895/$N$1)</f>
        <v>105</v>
      </c>
      <c r="C1895" s="1" t="n">
        <f aca="false">INT(MOD(A1895,$N$1) / 2)</f>
        <v>1</v>
      </c>
      <c r="D1895" s="1" t="n">
        <f aca="false">_xlfn.BITAND(A1895,1)</f>
        <v>1</v>
      </c>
      <c r="F1895" s="1" t="str">
        <f aca="false">DEC2HEX(B1895*$N$3*18)</f>
        <v>1D880</v>
      </c>
      <c r="G1895" s="1" t="str">
        <f aca="false">DEC2HEX(C1895*7)</f>
        <v>7</v>
      </c>
      <c r="H1895" s="1" t="str">
        <f aca="false">IF(D1895=0, 33, "cc")</f>
        <v>cc</v>
      </c>
    </row>
    <row r="1896" customFormat="false" ht="18.65" hidden="false" customHeight="true" outlineLevel="0" collapsed="false">
      <c r="A1896" s="1" t="n">
        <f aca="false">ROW()-2</f>
        <v>1894</v>
      </c>
      <c r="B1896" s="1" t="n">
        <f aca="false">INT(A1896/$N$1)</f>
        <v>105</v>
      </c>
      <c r="C1896" s="1" t="n">
        <f aca="false">INT(MOD(A1896,$N$1) / 2)</f>
        <v>2</v>
      </c>
      <c r="D1896" s="1" t="n">
        <f aca="false">_xlfn.BITAND(A1896,1)</f>
        <v>0</v>
      </c>
      <c r="F1896" s="1" t="str">
        <f aca="false">DEC2HEX(B1896*$N$3*18)</f>
        <v>1D880</v>
      </c>
      <c r="G1896" s="1" t="str">
        <f aca="false">DEC2HEX(C1896*7)</f>
        <v>E</v>
      </c>
      <c r="H1896" s="1" t="n">
        <f aca="false">IF(D1896=0, 33, "cc")</f>
        <v>33</v>
      </c>
    </row>
    <row r="1897" customFormat="false" ht="18.65" hidden="false" customHeight="true" outlineLevel="0" collapsed="false">
      <c r="A1897" s="1" t="n">
        <f aca="false">ROW()-2</f>
        <v>1895</v>
      </c>
      <c r="B1897" s="1" t="n">
        <f aca="false">INT(A1897/$N$1)</f>
        <v>105</v>
      </c>
      <c r="C1897" s="1" t="n">
        <f aca="false">INT(MOD(A1897,$N$1) / 2)</f>
        <v>2</v>
      </c>
      <c r="D1897" s="1" t="n">
        <f aca="false">_xlfn.BITAND(A1897,1)</f>
        <v>1</v>
      </c>
      <c r="F1897" s="1" t="str">
        <f aca="false">DEC2HEX(B1897*$N$3*18)</f>
        <v>1D880</v>
      </c>
      <c r="G1897" s="1" t="str">
        <f aca="false">DEC2HEX(C1897*7)</f>
        <v>E</v>
      </c>
      <c r="H1897" s="1" t="str">
        <f aca="false">IF(D1897=0, 33, "cc")</f>
        <v>cc</v>
      </c>
    </row>
    <row r="1898" customFormat="false" ht="18.65" hidden="false" customHeight="true" outlineLevel="0" collapsed="false">
      <c r="A1898" s="1" t="n">
        <f aca="false">ROW()-2</f>
        <v>1896</v>
      </c>
      <c r="B1898" s="1" t="n">
        <f aca="false">INT(A1898/$N$1)</f>
        <v>105</v>
      </c>
      <c r="C1898" s="1" t="n">
        <f aca="false">INT(MOD(A1898,$N$1) / 2)</f>
        <v>3</v>
      </c>
      <c r="D1898" s="1" t="n">
        <f aca="false">_xlfn.BITAND(A1898,1)</f>
        <v>0</v>
      </c>
      <c r="F1898" s="1" t="str">
        <f aca="false">DEC2HEX(B1898*$N$3*18)</f>
        <v>1D880</v>
      </c>
      <c r="G1898" s="1" t="str">
        <f aca="false">DEC2HEX(C1898*7)</f>
        <v>15</v>
      </c>
      <c r="H1898" s="1" t="n">
        <f aca="false">IF(D1898=0, 33, "cc")</f>
        <v>33</v>
      </c>
    </row>
    <row r="1899" customFormat="false" ht="18.65" hidden="false" customHeight="true" outlineLevel="0" collapsed="false">
      <c r="A1899" s="1" t="n">
        <f aca="false">ROW()-2</f>
        <v>1897</v>
      </c>
      <c r="B1899" s="1" t="n">
        <f aca="false">INT(A1899/$N$1)</f>
        <v>105</v>
      </c>
      <c r="C1899" s="1" t="n">
        <f aca="false">INT(MOD(A1899,$N$1) / 2)</f>
        <v>3</v>
      </c>
      <c r="D1899" s="1" t="n">
        <f aca="false">_xlfn.BITAND(A1899,1)</f>
        <v>1</v>
      </c>
      <c r="F1899" s="1" t="str">
        <f aca="false">DEC2HEX(B1899*$N$3*18)</f>
        <v>1D880</v>
      </c>
      <c r="G1899" s="1" t="str">
        <f aca="false">DEC2HEX(C1899*7)</f>
        <v>15</v>
      </c>
      <c r="H1899" s="1" t="str">
        <f aca="false">IF(D1899=0, 33, "cc")</f>
        <v>cc</v>
      </c>
    </row>
    <row r="1900" customFormat="false" ht="18.65" hidden="false" customHeight="true" outlineLevel="0" collapsed="false">
      <c r="A1900" s="1" t="n">
        <f aca="false">ROW()-2</f>
        <v>1898</v>
      </c>
      <c r="B1900" s="1" t="n">
        <f aca="false">INT(A1900/$N$1)</f>
        <v>105</v>
      </c>
      <c r="C1900" s="1" t="n">
        <f aca="false">INT(MOD(A1900,$N$1) / 2)</f>
        <v>4</v>
      </c>
      <c r="D1900" s="1" t="n">
        <f aca="false">_xlfn.BITAND(A1900,1)</f>
        <v>0</v>
      </c>
      <c r="F1900" s="1" t="str">
        <f aca="false">DEC2HEX(B1900*$N$3*18)</f>
        <v>1D880</v>
      </c>
      <c r="G1900" s="1" t="str">
        <f aca="false">DEC2HEX(C1900*7)</f>
        <v>1C</v>
      </c>
      <c r="H1900" s="1" t="n">
        <f aca="false">IF(D1900=0, 33, "cc")</f>
        <v>33</v>
      </c>
    </row>
    <row r="1901" customFormat="false" ht="18.65" hidden="false" customHeight="true" outlineLevel="0" collapsed="false">
      <c r="A1901" s="1" t="n">
        <f aca="false">ROW()-2</f>
        <v>1899</v>
      </c>
      <c r="B1901" s="1" t="n">
        <f aca="false">INT(A1901/$N$1)</f>
        <v>105</v>
      </c>
      <c r="C1901" s="1" t="n">
        <f aca="false">INT(MOD(A1901,$N$1) / 2)</f>
        <v>4</v>
      </c>
      <c r="D1901" s="1" t="n">
        <f aca="false">_xlfn.BITAND(A1901,1)</f>
        <v>1</v>
      </c>
      <c r="F1901" s="1" t="str">
        <f aca="false">DEC2HEX(B1901*$N$3*18)</f>
        <v>1D880</v>
      </c>
      <c r="G1901" s="1" t="str">
        <f aca="false">DEC2HEX(C1901*7)</f>
        <v>1C</v>
      </c>
      <c r="H1901" s="1" t="str">
        <f aca="false">IF(D1901=0, 33, "cc")</f>
        <v>cc</v>
      </c>
    </row>
    <row r="1902" customFormat="false" ht="18.65" hidden="false" customHeight="true" outlineLevel="0" collapsed="false">
      <c r="A1902" s="1" t="n">
        <f aca="false">ROW()-2</f>
        <v>1900</v>
      </c>
      <c r="B1902" s="1" t="n">
        <f aca="false">INT(A1902/$N$1)</f>
        <v>105</v>
      </c>
      <c r="C1902" s="1" t="n">
        <f aca="false">INT(MOD(A1902,$N$1) / 2)</f>
        <v>5</v>
      </c>
      <c r="D1902" s="1" t="n">
        <f aca="false">_xlfn.BITAND(A1902,1)</f>
        <v>0</v>
      </c>
      <c r="F1902" s="1" t="str">
        <f aca="false">DEC2HEX(B1902*$N$3*18)</f>
        <v>1D880</v>
      </c>
      <c r="G1902" s="1" t="str">
        <f aca="false">DEC2HEX(C1902*7)</f>
        <v>23</v>
      </c>
      <c r="H1902" s="1" t="n">
        <f aca="false">IF(D1902=0, 33, "cc")</f>
        <v>33</v>
      </c>
    </row>
    <row r="1903" customFormat="false" ht="18.65" hidden="false" customHeight="true" outlineLevel="0" collapsed="false">
      <c r="A1903" s="1" t="n">
        <f aca="false">ROW()-2</f>
        <v>1901</v>
      </c>
      <c r="B1903" s="1" t="n">
        <f aca="false">INT(A1903/$N$1)</f>
        <v>105</v>
      </c>
      <c r="C1903" s="1" t="n">
        <f aca="false">INT(MOD(A1903,$N$1) / 2)</f>
        <v>5</v>
      </c>
      <c r="D1903" s="1" t="n">
        <f aca="false">_xlfn.BITAND(A1903,1)</f>
        <v>1</v>
      </c>
      <c r="F1903" s="1" t="str">
        <f aca="false">DEC2HEX(B1903*$N$3*18)</f>
        <v>1D880</v>
      </c>
      <c r="G1903" s="1" t="str">
        <f aca="false">DEC2HEX(C1903*7)</f>
        <v>23</v>
      </c>
      <c r="H1903" s="1" t="str">
        <f aca="false">IF(D1903=0, 33, "cc")</f>
        <v>cc</v>
      </c>
    </row>
    <row r="1904" customFormat="false" ht="18.65" hidden="false" customHeight="true" outlineLevel="0" collapsed="false">
      <c r="A1904" s="1" t="n">
        <f aca="false">ROW()-2</f>
        <v>1902</v>
      </c>
      <c r="B1904" s="1" t="n">
        <f aca="false">INT(A1904/$N$1)</f>
        <v>105</v>
      </c>
      <c r="C1904" s="1" t="n">
        <f aca="false">INT(MOD(A1904,$N$1) / 2)</f>
        <v>6</v>
      </c>
      <c r="D1904" s="1" t="n">
        <f aca="false">_xlfn.BITAND(A1904,1)</f>
        <v>0</v>
      </c>
      <c r="F1904" s="1" t="str">
        <f aca="false">DEC2HEX(B1904*$N$3*18)</f>
        <v>1D880</v>
      </c>
      <c r="G1904" s="1" t="str">
        <f aca="false">DEC2HEX(C1904*7)</f>
        <v>2A</v>
      </c>
      <c r="H1904" s="1" t="n">
        <f aca="false">IF(D1904=0, 33, "cc")</f>
        <v>33</v>
      </c>
    </row>
    <row r="1905" customFormat="false" ht="18.65" hidden="false" customHeight="true" outlineLevel="0" collapsed="false">
      <c r="A1905" s="1" t="n">
        <f aca="false">ROW()-2</f>
        <v>1903</v>
      </c>
      <c r="B1905" s="1" t="n">
        <f aca="false">INT(A1905/$N$1)</f>
        <v>105</v>
      </c>
      <c r="C1905" s="1" t="n">
        <f aca="false">INT(MOD(A1905,$N$1) / 2)</f>
        <v>6</v>
      </c>
      <c r="D1905" s="1" t="n">
        <f aca="false">_xlfn.BITAND(A1905,1)</f>
        <v>1</v>
      </c>
      <c r="F1905" s="1" t="str">
        <f aca="false">DEC2HEX(B1905*$N$3*18)</f>
        <v>1D880</v>
      </c>
      <c r="G1905" s="1" t="str">
        <f aca="false">DEC2HEX(C1905*7)</f>
        <v>2A</v>
      </c>
      <c r="H1905" s="1" t="str">
        <f aca="false">IF(D1905=0, 33, "cc")</f>
        <v>cc</v>
      </c>
    </row>
    <row r="1906" customFormat="false" ht="18.65" hidden="false" customHeight="true" outlineLevel="0" collapsed="false">
      <c r="A1906" s="1" t="n">
        <f aca="false">ROW()-2</f>
        <v>1904</v>
      </c>
      <c r="B1906" s="1" t="n">
        <f aca="false">INT(A1906/$N$1)</f>
        <v>105</v>
      </c>
      <c r="C1906" s="1" t="n">
        <f aca="false">INT(MOD(A1906,$N$1) / 2)</f>
        <v>7</v>
      </c>
      <c r="D1906" s="1" t="n">
        <f aca="false">_xlfn.BITAND(A1906,1)</f>
        <v>0</v>
      </c>
      <c r="F1906" s="1" t="str">
        <f aca="false">DEC2HEX(B1906*$N$3*18)</f>
        <v>1D880</v>
      </c>
      <c r="G1906" s="1" t="str">
        <f aca="false">DEC2HEX(C1906*7)</f>
        <v>31</v>
      </c>
      <c r="H1906" s="1" t="n">
        <f aca="false">IF(D1906=0, 33, "cc")</f>
        <v>33</v>
      </c>
    </row>
    <row r="1907" customFormat="false" ht="18.65" hidden="false" customHeight="true" outlineLevel="0" collapsed="false">
      <c r="A1907" s="1" t="n">
        <f aca="false">ROW()-2</f>
        <v>1905</v>
      </c>
      <c r="B1907" s="1" t="n">
        <f aca="false">INT(A1907/$N$1)</f>
        <v>105</v>
      </c>
      <c r="C1907" s="1" t="n">
        <f aca="false">INT(MOD(A1907,$N$1) / 2)</f>
        <v>7</v>
      </c>
      <c r="D1907" s="1" t="n">
        <f aca="false">_xlfn.BITAND(A1907,1)</f>
        <v>1</v>
      </c>
      <c r="F1907" s="1" t="str">
        <f aca="false">DEC2HEX(B1907*$N$3*18)</f>
        <v>1D880</v>
      </c>
      <c r="G1907" s="1" t="str">
        <f aca="false">DEC2HEX(C1907*7)</f>
        <v>31</v>
      </c>
      <c r="H1907" s="1" t="str">
        <f aca="false">IF(D1907=0, 33, "cc")</f>
        <v>cc</v>
      </c>
    </row>
    <row r="1908" customFormat="false" ht="18.65" hidden="false" customHeight="true" outlineLevel="0" collapsed="false">
      <c r="A1908" s="1" t="n">
        <f aca="false">ROW()-2</f>
        <v>1906</v>
      </c>
      <c r="B1908" s="1" t="n">
        <f aca="false">INT(A1908/$N$1)</f>
        <v>105</v>
      </c>
      <c r="C1908" s="1" t="n">
        <f aca="false">INT(MOD(A1908,$N$1) / 2)</f>
        <v>8</v>
      </c>
      <c r="D1908" s="1" t="n">
        <f aca="false">_xlfn.BITAND(A1908,1)</f>
        <v>0</v>
      </c>
      <c r="F1908" s="1" t="str">
        <f aca="false">DEC2HEX(B1908*$N$3*18)</f>
        <v>1D880</v>
      </c>
      <c r="G1908" s="1" t="str">
        <f aca="false">DEC2HEX(C1908*7)</f>
        <v>38</v>
      </c>
      <c r="H1908" s="1" t="n">
        <f aca="false">IF(D1908=0, 33, "cc")</f>
        <v>33</v>
      </c>
    </row>
    <row r="1909" customFormat="false" ht="18.65" hidden="false" customHeight="true" outlineLevel="0" collapsed="false">
      <c r="A1909" s="1" t="n">
        <f aca="false">ROW()-2</f>
        <v>1907</v>
      </c>
      <c r="B1909" s="1" t="n">
        <f aca="false">INT(A1909/$N$1)</f>
        <v>105</v>
      </c>
      <c r="C1909" s="1" t="n">
        <f aca="false">INT(MOD(A1909,$N$1) / 2)</f>
        <v>8</v>
      </c>
      <c r="D1909" s="1" t="n">
        <f aca="false">_xlfn.BITAND(A1909,1)</f>
        <v>1</v>
      </c>
      <c r="F1909" s="1" t="str">
        <f aca="false">DEC2HEX(B1909*$N$3*18)</f>
        <v>1D880</v>
      </c>
      <c r="G1909" s="1" t="str">
        <f aca="false">DEC2HEX(C1909*7)</f>
        <v>38</v>
      </c>
      <c r="H1909" s="1" t="str">
        <f aca="false">IF(D1909=0, 33, "cc")</f>
        <v>cc</v>
      </c>
    </row>
    <row r="1910" customFormat="false" ht="18.65" hidden="false" customHeight="true" outlineLevel="0" collapsed="false">
      <c r="A1910" s="1" t="n">
        <f aca="false">ROW()-2</f>
        <v>1908</v>
      </c>
      <c r="B1910" s="1" t="n">
        <f aca="false">INT(A1910/$N$1)</f>
        <v>106</v>
      </c>
      <c r="C1910" s="1" t="n">
        <f aca="false">INT(MOD(A1910,$N$1) / 2)</f>
        <v>0</v>
      </c>
      <c r="D1910" s="1" t="n">
        <f aca="false">_xlfn.BITAND(A1910,1)</f>
        <v>0</v>
      </c>
      <c r="F1910" s="1" t="str">
        <f aca="false">DEC2HEX(B1910*$N$3*18)</f>
        <v>1DD00</v>
      </c>
      <c r="G1910" s="1" t="str">
        <f aca="false">DEC2HEX(C1910*7)</f>
        <v>0</v>
      </c>
      <c r="H1910" s="1" t="n">
        <f aca="false">IF(D1910=0, 33, "cc")</f>
        <v>33</v>
      </c>
    </row>
    <row r="1911" customFormat="false" ht="18.65" hidden="false" customHeight="true" outlineLevel="0" collapsed="false">
      <c r="A1911" s="1" t="n">
        <f aca="false">ROW()-2</f>
        <v>1909</v>
      </c>
      <c r="B1911" s="1" t="n">
        <f aca="false">INT(A1911/$N$1)</f>
        <v>106</v>
      </c>
      <c r="C1911" s="1" t="n">
        <f aca="false">INT(MOD(A1911,$N$1) / 2)</f>
        <v>0</v>
      </c>
      <c r="D1911" s="1" t="n">
        <f aca="false">_xlfn.BITAND(A1911,1)</f>
        <v>1</v>
      </c>
      <c r="F1911" s="1" t="str">
        <f aca="false">DEC2HEX(B1911*$N$3*18)</f>
        <v>1DD00</v>
      </c>
      <c r="G1911" s="1" t="str">
        <f aca="false">DEC2HEX(C1911*7)</f>
        <v>0</v>
      </c>
      <c r="H1911" s="1" t="str">
        <f aca="false">IF(D1911=0, 33, "cc")</f>
        <v>cc</v>
      </c>
    </row>
    <row r="1912" customFormat="false" ht="18.65" hidden="false" customHeight="true" outlineLevel="0" collapsed="false">
      <c r="A1912" s="1" t="n">
        <f aca="false">ROW()-2</f>
        <v>1910</v>
      </c>
      <c r="B1912" s="1" t="n">
        <f aca="false">INT(A1912/$N$1)</f>
        <v>106</v>
      </c>
      <c r="C1912" s="1" t="n">
        <f aca="false">INT(MOD(A1912,$N$1) / 2)</f>
        <v>1</v>
      </c>
      <c r="D1912" s="1" t="n">
        <f aca="false">_xlfn.BITAND(A1912,1)</f>
        <v>0</v>
      </c>
      <c r="F1912" s="1" t="str">
        <f aca="false">DEC2HEX(B1912*$N$3*18)</f>
        <v>1DD00</v>
      </c>
      <c r="G1912" s="1" t="str">
        <f aca="false">DEC2HEX(C1912*7)</f>
        <v>7</v>
      </c>
      <c r="H1912" s="1" t="n">
        <f aca="false">IF(D1912=0, 33, "cc")</f>
        <v>33</v>
      </c>
    </row>
    <row r="1913" customFormat="false" ht="18.65" hidden="false" customHeight="true" outlineLevel="0" collapsed="false">
      <c r="A1913" s="1" t="n">
        <f aca="false">ROW()-2</f>
        <v>1911</v>
      </c>
      <c r="B1913" s="1" t="n">
        <f aca="false">INT(A1913/$N$1)</f>
        <v>106</v>
      </c>
      <c r="C1913" s="1" t="n">
        <f aca="false">INT(MOD(A1913,$N$1) / 2)</f>
        <v>1</v>
      </c>
      <c r="D1913" s="1" t="n">
        <f aca="false">_xlfn.BITAND(A1913,1)</f>
        <v>1</v>
      </c>
      <c r="F1913" s="1" t="str">
        <f aca="false">DEC2HEX(B1913*$N$3*18)</f>
        <v>1DD00</v>
      </c>
      <c r="G1913" s="1" t="str">
        <f aca="false">DEC2HEX(C1913*7)</f>
        <v>7</v>
      </c>
      <c r="H1913" s="1" t="str">
        <f aca="false">IF(D1913=0, 33, "cc")</f>
        <v>cc</v>
      </c>
    </row>
    <row r="1914" customFormat="false" ht="18.65" hidden="false" customHeight="true" outlineLevel="0" collapsed="false">
      <c r="A1914" s="1" t="n">
        <f aca="false">ROW()-2</f>
        <v>1912</v>
      </c>
      <c r="B1914" s="1" t="n">
        <f aca="false">INT(A1914/$N$1)</f>
        <v>106</v>
      </c>
      <c r="C1914" s="1" t="n">
        <f aca="false">INT(MOD(A1914,$N$1) / 2)</f>
        <v>2</v>
      </c>
      <c r="D1914" s="1" t="n">
        <f aca="false">_xlfn.BITAND(A1914,1)</f>
        <v>0</v>
      </c>
      <c r="F1914" s="1" t="str">
        <f aca="false">DEC2HEX(B1914*$N$3*18)</f>
        <v>1DD00</v>
      </c>
      <c r="G1914" s="1" t="str">
        <f aca="false">DEC2HEX(C1914*7)</f>
        <v>E</v>
      </c>
      <c r="H1914" s="1" t="n">
        <f aca="false">IF(D1914=0, 33, "cc")</f>
        <v>33</v>
      </c>
    </row>
    <row r="1915" customFormat="false" ht="18.65" hidden="false" customHeight="true" outlineLevel="0" collapsed="false">
      <c r="A1915" s="1" t="n">
        <f aca="false">ROW()-2</f>
        <v>1913</v>
      </c>
      <c r="B1915" s="1" t="n">
        <f aca="false">INT(A1915/$N$1)</f>
        <v>106</v>
      </c>
      <c r="C1915" s="1" t="n">
        <f aca="false">INT(MOD(A1915,$N$1) / 2)</f>
        <v>2</v>
      </c>
      <c r="D1915" s="1" t="n">
        <f aca="false">_xlfn.BITAND(A1915,1)</f>
        <v>1</v>
      </c>
      <c r="F1915" s="1" t="str">
        <f aca="false">DEC2HEX(B1915*$N$3*18)</f>
        <v>1DD00</v>
      </c>
      <c r="G1915" s="1" t="str">
        <f aca="false">DEC2HEX(C1915*7)</f>
        <v>E</v>
      </c>
      <c r="H1915" s="1" t="str">
        <f aca="false">IF(D1915=0, 33, "cc")</f>
        <v>cc</v>
      </c>
    </row>
    <row r="1916" customFormat="false" ht="18.65" hidden="false" customHeight="true" outlineLevel="0" collapsed="false">
      <c r="A1916" s="1" t="n">
        <f aca="false">ROW()-2</f>
        <v>1914</v>
      </c>
      <c r="B1916" s="1" t="n">
        <f aca="false">INT(A1916/$N$1)</f>
        <v>106</v>
      </c>
      <c r="C1916" s="1" t="n">
        <f aca="false">INT(MOD(A1916,$N$1) / 2)</f>
        <v>3</v>
      </c>
      <c r="D1916" s="1" t="n">
        <f aca="false">_xlfn.BITAND(A1916,1)</f>
        <v>0</v>
      </c>
      <c r="F1916" s="1" t="str">
        <f aca="false">DEC2HEX(B1916*$N$3*18)</f>
        <v>1DD00</v>
      </c>
      <c r="G1916" s="1" t="str">
        <f aca="false">DEC2HEX(C1916*7)</f>
        <v>15</v>
      </c>
      <c r="H1916" s="1" t="n">
        <f aca="false">IF(D1916=0, 33, "cc")</f>
        <v>33</v>
      </c>
    </row>
    <row r="1917" customFormat="false" ht="18.65" hidden="false" customHeight="true" outlineLevel="0" collapsed="false">
      <c r="A1917" s="1" t="n">
        <f aca="false">ROW()-2</f>
        <v>1915</v>
      </c>
      <c r="B1917" s="1" t="n">
        <f aca="false">INT(A1917/$N$1)</f>
        <v>106</v>
      </c>
      <c r="C1917" s="1" t="n">
        <f aca="false">INT(MOD(A1917,$N$1) / 2)</f>
        <v>3</v>
      </c>
      <c r="D1917" s="1" t="n">
        <f aca="false">_xlfn.BITAND(A1917,1)</f>
        <v>1</v>
      </c>
      <c r="F1917" s="1" t="str">
        <f aca="false">DEC2HEX(B1917*$N$3*18)</f>
        <v>1DD00</v>
      </c>
      <c r="G1917" s="1" t="str">
        <f aca="false">DEC2HEX(C1917*7)</f>
        <v>15</v>
      </c>
      <c r="H1917" s="1" t="str">
        <f aca="false">IF(D1917=0, 33, "cc")</f>
        <v>cc</v>
      </c>
    </row>
    <row r="1918" customFormat="false" ht="18.65" hidden="false" customHeight="true" outlineLevel="0" collapsed="false">
      <c r="A1918" s="1" t="n">
        <f aca="false">ROW()-2</f>
        <v>1916</v>
      </c>
      <c r="B1918" s="1" t="n">
        <f aca="false">INT(A1918/$N$1)</f>
        <v>106</v>
      </c>
      <c r="C1918" s="1" t="n">
        <f aca="false">INT(MOD(A1918,$N$1) / 2)</f>
        <v>4</v>
      </c>
      <c r="D1918" s="1" t="n">
        <f aca="false">_xlfn.BITAND(A1918,1)</f>
        <v>0</v>
      </c>
      <c r="F1918" s="1" t="str">
        <f aca="false">DEC2HEX(B1918*$N$3*18)</f>
        <v>1DD00</v>
      </c>
      <c r="G1918" s="1" t="str">
        <f aca="false">DEC2HEX(C1918*7)</f>
        <v>1C</v>
      </c>
      <c r="H1918" s="1" t="n">
        <f aca="false">IF(D1918=0, 33, "cc")</f>
        <v>33</v>
      </c>
    </row>
    <row r="1919" customFormat="false" ht="18.65" hidden="false" customHeight="true" outlineLevel="0" collapsed="false">
      <c r="A1919" s="1" t="n">
        <f aca="false">ROW()-2</f>
        <v>1917</v>
      </c>
      <c r="B1919" s="1" t="n">
        <f aca="false">INT(A1919/$N$1)</f>
        <v>106</v>
      </c>
      <c r="C1919" s="1" t="n">
        <f aca="false">INT(MOD(A1919,$N$1) / 2)</f>
        <v>4</v>
      </c>
      <c r="D1919" s="1" t="n">
        <f aca="false">_xlfn.BITAND(A1919,1)</f>
        <v>1</v>
      </c>
      <c r="F1919" s="1" t="str">
        <f aca="false">DEC2HEX(B1919*$N$3*18)</f>
        <v>1DD00</v>
      </c>
      <c r="G1919" s="1" t="str">
        <f aca="false">DEC2HEX(C1919*7)</f>
        <v>1C</v>
      </c>
      <c r="H1919" s="1" t="str">
        <f aca="false">IF(D1919=0, 33, "cc")</f>
        <v>cc</v>
      </c>
    </row>
    <row r="1920" customFormat="false" ht="18.65" hidden="false" customHeight="true" outlineLevel="0" collapsed="false">
      <c r="A1920" s="1" t="n">
        <f aca="false">ROW()-2</f>
        <v>1918</v>
      </c>
      <c r="B1920" s="1" t="n">
        <f aca="false">INT(A1920/$N$1)</f>
        <v>106</v>
      </c>
      <c r="C1920" s="1" t="n">
        <f aca="false">INT(MOD(A1920,$N$1) / 2)</f>
        <v>5</v>
      </c>
      <c r="D1920" s="1" t="n">
        <f aca="false">_xlfn.BITAND(A1920,1)</f>
        <v>0</v>
      </c>
      <c r="F1920" s="1" t="str">
        <f aca="false">DEC2HEX(B1920*$N$3*18)</f>
        <v>1DD00</v>
      </c>
      <c r="G1920" s="1" t="str">
        <f aca="false">DEC2HEX(C1920*7)</f>
        <v>23</v>
      </c>
      <c r="H1920" s="1" t="n">
        <f aca="false">IF(D1920=0, 33, "cc")</f>
        <v>33</v>
      </c>
    </row>
    <row r="1921" customFormat="false" ht="18.65" hidden="false" customHeight="true" outlineLevel="0" collapsed="false">
      <c r="A1921" s="1" t="n">
        <f aca="false">ROW()-2</f>
        <v>1919</v>
      </c>
      <c r="B1921" s="1" t="n">
        <f aca="false">INT(A1921/$N$1)</f>
        <v>106</v>
      </c>
      <c r="C1921" s="1" t="n">
        <f aca="false">INT(MOD(A1921,$N$1) / 2)</f>
        <v>5</v>
      </c>
      <c r="D1921" s="1" t="n">
        <f aca="false">_xlfn.BITAND(A1921,1)</f>
        <v>1</v>
      </c>
      <c r="F1921" s="1" t="str">
        <f aca="false">DEC2HEX(B1921*$N$3*18)</f>
        <v>1DD00</v>
      </c>
      <c r="G1921" s="1" t="str">
        <f aca="false">DEC2HEX(C1921*7)</f>
        <v>23</v>
      </c>
      <c r="H1921" s="1" t="str">
        <f aca="false">IF(D1921=0, 33, "cc")</f>
        <v>cc</v>
      </c>
    </row>
    <row r="1922" customFormat="false" ht="18.65" hidden="false" customHeight="true" outlineLevel="0" collapsed="false">
      <c r="A1922" s="1" t="n">
        <f aca="false">ROW()-2</f>
        <v>1920</v>
      </c>
      <c r="B1922" s="1" t="n">
        <f aca="false">INT(A1922/$N$1)</f>
        <v>106</v>
      </c>
      <c r="C1922" s="1" t="n">
        <f aca="false">INT(MOD(A1922,$N$1) / 2)</f>
        <v>6</v>
      </c>
      <c r="D1922" s="1" t="n">
        <f aca="false">_xlfn.BITAND(A1922,1)</f>
        <v>0</v>
      </c>
      <c r="F1922" s="1" t="str">
        <f aca="false">DEC2HEX(B1922*$N$3*18)</f>
        <v>1DD00</v>
      </c>
      <c r="G1922" s="1" t="str">
        <f aca="false">DEC2HEX(C1922*7)</f>
        <v>2A</v>
      </c>
      <c r="H1922" s="1" t="n">
        <f aca="false">IF(D1922=0, 33, "cc")</f>
        <v>33</v>
      </c>
    </row>
    <row r="1923" customFormat="false" ht="18.65" hidden="false" customHeight="true" outlineLevel="0" collapsed="false">
      <c r="A1923" s="1" t="n">
        <f aca="false">ROW()-2</f>
        <v>1921</v>
      </c>
      <c r="B1923" s="1" t="n">
        <f aca="false">INT(A1923/$N$1)</f>
        <v>106</v>
      </c>
      <c r="C1923" s="1" t="n">
        <f aca="false">INT(MOD(A1923,$N$1) / 2)</f>
        <v>6</v>
      </c>
      <c r="D1923" s="1" t="n">
        <f aca="false">_xlfn.BITAND(A1923,1)</f>
        <v>1</v>
      </c>
      <c r="F1923" s="1" t="str">
        <f aca="false">DEC2HEX(B1923*$N$3*18)</f>
        <v>1DD00</v>
      </c>
      <c r="G1923" s="1" t="str">
        <f aca="false">DEC2HEX(C1923*7)</f>
        <v>2A</v>
      </c>
      <c r="H1923" s="1" t="str">
        <f aca="false">IF(D1923=0, 33, "cc")</f>
        <v>cc</v>
      </c>
    </row>
    <row r="1924" customFormat="false" ht="18.65" hidden="false" customHeight="true" outlineLevel="0" collapsed="false">
      <c r="A1924" s="1" t="n">
        <f aca="false">ROW()-2</f>
        <v>1922</v>
      </c>
      <c r="B1924" s="1" t="n">
        <f aca="false">INT(A1924/$N$1)</f>
        <v>106</v>
      </c>
      <c r="C1924" s="1" t="n">
        <f aca="false">INT(MOD(A1924,$N$1) / 2)</f>
        <v>7</v>
      </c>
      <c r="D1924" s="1" t="n">
        <f aca="false">_xlfn.BITAND(A1924,1)</f>
        <v>0</v>
      </c>
      <c r="F1924" s="1" t="str">
        <f aca="false">DEC2HEX(B1924*$N$3*18)</f>
        <v>1DD00</v>
      </c>
      <c r="G1924" s="1" t="str">
        <f aca="false">DEC2HEX(C1924*7)</f>
        <v>31</v>
      </c>
      <c r="H1924" s="1" t="n">
        <f aca="false">IF(D1924=0, 33, "cc")</f>
        <v>33</v>
      </c>
    </row>
    <row r="1925" customFormat="false" ht="18.65" hidden="false" customHeight="true" outlineLevel="0" collapsed="false">
      <c r="A1925" s="1" t="n">
        <f aca="false">ROW()-2</f>
        <v>1923</v>
      </c>
      <c r="B1925" s="1" t="n">
        <f aca="false">INT(A1925/$N$1)</f>
        <v>106</v>
      </c>
      <c r="C1925" s="1" t="n">
        <f aca="false">INT(MOD(A1925,$N$1) / 2)</f>
        <v>7</v>
      </c>
      <c r="D1925" s="1" t="n">
        <f aca="false">_xlfn.BITAND(A1925,1)</f>
        <v>1</v>
      </c>
      <c r="F1925" s="1" t="str">
        <f aca="false">DEC2HEX(B1925*$N$3*18)</f>
        <v>1DD00</v>
      </c>
      <c r="G1925" s="1" t="str">
        <f aca="false">DEC2HEX(C1925*7)</f>
        <v>31</v>
      </c>
      <c r="H1925" s="1" t="str">
        <f aca="false">IF(D1925=0, 33, "cc")</f>
        <v>cc</v>
      </c>
    </row>
    <row r="1926" customFormat="false" ht="18.65" hidden="false" customHeight="true" outlineLevel="0" collapsed="false">
      <c r="A1926" s="1" t="n">
        <f aca="false">ROW()-2</f>
        <v>1924</v>
      </c>
      <c r="B1926" s="1" t="n">
        <f aca="false">INT(A1926/$N$1)</f>
        <v>106</v>
      </c>
      <c r="C1926" s="1" t="n">
        <f aca="false">INT(MOD(A1926,$N$1) / 2)</f>
        <v>8</v>
      </c>
      <c r="D1926" s="1" t="n">
        <f aca="false">_xlfn.BITAND(A1926,1)</f>
        <v>0</v>
      </c>
      <c r="F1926" s="1" t="str">
        <f aca="false">DEC2HEX(B1926*$N$3*18)</f>
        <v>1DD00</v>
      </c>
      <c r="G1926" s="1" t="str">
        <f aca="false">DEC2HEX(C1926*7)</f>
        <v>38</v>
      </c>
      <c r="H1926" s="1" t="n">
        <f aca="false">IF(D1926=0, 33, "cc")</f>
        <v>33</v>
      </c>
    </row>
    <row r="1927" customFormat="false" ht="18.65" hidden="false" customHeight="true" outlineLevel="0" collapsed="false">
      <c r="A1927" s="1" t="n">
        <f aca="false">ROW()-2</f>
        <v>1925</v>
      </c>
      <c r="B1927" s="1" t="n">
        <f aca="false">INT(A1927/$N$1)</f>
        <v>106</v>
      </c>
      <c r="C1927" s="1" t="n">
        <f aca="false">INT(MOD(A1927,$N$1) / 2)</f>
        <v>8</v>
      </c>
      <c r="D1927" s="1" t="n">
        <f aca="false">_xlfn.BITAND(A1927,1)</f>
        <v>1</v>
      </c>
      <c r="F1927" s="1" t="str">
        <f aca="false">DEC2HEX(B1927*$N$3*18)</f>
        <v>1DD00</v>
      </c>
      <c r="G1927" s="1" t="str">
        <f aca="false">DEC2HEX(C1927*7)</f>
        <v>38</v>
      </c>
      <c r="H1927" s="1" t="str">
        <f aca="false">IF(D1927=0, 33, "cc")</f>
        <v>cc</v>
      </c>
    </row>
    <row r="1928" customFormat="false" ht="18.65" hidden="false" customHeight="true" outlineLevel="0" collapsed="false">
      <c r="A1928" s="1" t="n">
        <f aca="false">ROW()-2</f>
        <v>1926</v>
      </c>
      <c r="B1928" s="1" t="n">
        <f aca="false">INT(A1928/$N$1)</f>
        <v>107</v>
      </c>
      <c r="C1928" s="1" t="n">
        <f aca="false">INT(MOD(A1928,$N$1) / 2)</f>
        <v>0</v>
      </c>
      <c r="D1928" s="1" t="n">
        <f aca="false">_xlfn.BITAND(A1928,1)</f>
        <v>0</v>
      </c>
      <c r="F1928" s="1" t="str">
        <f aca="false">DEC2HEX(B1928*$N$3*18)</f>
        <v>1E180</v>
      </c>
      <c r="G1928" s="1" t="str">
        <f aca="false">DEC2HEX(C1928*7)</f>
        <v>0</v>
      </c>
      <c r="H1928" s="1" t="n">
        <f aca="false">IF(D1928=0, 33, "cc")</f>
        <v>33</v>
      </c>
    </row>
    <row r="1929" customFormat="false" ht="18.65" hidden="false" customHeight="true" outlineLevel="0" collapsed="false">
      <c r="A1929" s="1" t="n">
        <f aca="false">ROW()-2</f>
        <v>1927</v>
      </c>
      <c r="B1929" s="1" t="n">
        <f aca="false">INT(A1929/$N$1)</f>
        <v>107</v>
      </c>
      <c r="C1929" s="1" t="n">
        <f aca="false">INT(MOD(A1929,$N$1) / 2)</f>
        <v>0</v>
      </c>
      <c r="D1929" s="1" t="n">
        <f aca="false">_xlfn.BITAND(A1929,1)</f>
        <v>1</v>
      </c>
      <c r="F1929" s="1" t="str">
        <f aca="false">DEC2HEX(B1929*$N$3*18)</f>
        <v>1E180</v>
      </c>
      <c r="G1929" s="1" t="str">
        <f aca="false">DEC2HEX(C1929*7)</f>
        <v>0</v>
      </c>
      <c r="H1929" s="1" t="str">
        <f aca="false">IF(D1929=0, 33, "cc")</f>
        <v>cc</v>
      </c>
    </row>
    <row r="1930" customFormat="false" ht="18.65" hidden="false" customHeight="true" outlineLevel="0" collapsed="false">
      <c r="A1930" s="1" t="n">
        <f aca="false">ROW()-2</f>
        <v>1928</v>
      </c>
      <c r="B1930" s="1" t="n">
        <f aca="false">INT(A1930/$N$1)</f>
        <v>107</v>
      </c>
      <c r="C1930" s="1" t="n">
        <f aca="false">INT(MOD(A1930,$N$1) / 2)</f>
        <v>1</v>
      </c>
      <c r="D1930" s="1" t="n">
        <f aca="false">_xlfn.BITAND(A1930,1)</f>
        <v>0</v>
      </c>
      <c r="F1930" s="1" t="str">
        <f aca="false">DEC2HEX(B1930*$N$3*18)</f>
        <v>1E180</v>
      </c>
      <c r="G1930" s="1" t="str">
        <f aca="false">DEC2HEX(C1930*7)</f>
        <v>7</v>
      </c>
      <c r="H1930" s="1" t="n">
        <f aca="false">IF(D1930=0, 33, "cc")</f>
        <v>33</v>
      </c>
    </row>
    <row r="1931" customFormat="false" ht="18.65" hidden="false" customHeight="true" outlineLevel="0" collapsed="false">
      <c r="A1931" s="1" t="n">
        <f aca="false">ROW()-2</f>
        <v>1929</v>
      </c>
      <c r="B1931" s="1" t="n">
        <f aca="false">INT(A1931/$N$1)</f>
        <v>107</v>
      </c>
      <c r="C1931" s="1" t="n">
        <f aca="false">INT(MOD(A1931,$N$1) / 2)</f>
        <v>1</v>
      </c>
      <c r="D1931" s="1" t="n">
        <f aca="false">_xlfn.BITAND(A1931,1)</f>
        <v>1</v>
      </c>
      <c r="F1931" s="1" t="str">
        <f aca="false">DEC2HEX(B1931*$N$3*18)</f>
        <v>1E180</v>
      </c>
      <c r="G1931" s="1" t="str">
        <f aca="false">DEC2HEX(C1931*7)</f>
        <v>7</v>
      </c>
      <c r="H1931" s="1" t="str">
        <f aca="false">IF(D1931=0, 33, "cc")</f>
        <v>cc</v>
      </c>
    </row>
    <row r="1932" customFormat="false" ht="18.65" hidden="false" customHeight="true" outlineLevel="0" collapsed="false">
      <c r="A1932" s="1" t="n">
        <f aca="false">ROW()-2</f>
        <v>1930</v>
      </c>
      <c r="B1932" s="1" t="n">
        <f aca="false">INT(A1932/$N$1)</f>
        <v>107</v>
      </c>
      <c r="C1932" s="1" t="n">
        <f aca="false">INT(MOD(A1932,$N$1) / 2)</f>
        <v>2</v>
      </c>
      <c r="D1932" s="1" t="n">
        <f aca="false">_xlfn.BITAND(A1932,1)</f>
        <v>0</v>
      </c>
      <c r="F1932" s="1" t="str">
        <f aca="false">DEC2HEX(B1932*$N$3*18)</f>
        <v>1E180</v>
      </c>
      <c r="G1932" s="1" t="str">
        <f aca="false">DEC2HEX(C1932*7)</f>
        <v>E</v>
      </c>
      <c r="H1932" s="1" t="n">
        <f aca="false">IF(D1932=0, 33, "cc")</f>
        <v>33</v>
      </c>
    </row>
    <row r="1933" customFormat="false" ht="18.65" hidden="false" customHeight="true" outlineLevel="0" collapsed="false">
      <c r="A1933" s="1" t="n">
        <f aca="false">ROW()-2</f>
        <v>1931</v>
      </c>
      <c r="B1933" s="1" t="n">
        <f aca="false">INT(A1933/$N$1)</f>
        <v>107</v>
      </c>
      <c r="C1933" s="1" t="n">
        <f aca="false">INT(MOD(A1933,$N$1) / 2)</f>
        <v>2</v>
      </c>
      <c r="D1933" s="1" t="n">
        <f aca="false">_xlfn.BITAND(A1933,1)</f>
        <v>1</v>
      </c>
      <c r="F1933" s="1" t="str">
        <f aca="false">DEC2HEX(B1933*$N$3*18)</f>
        <v>1E180</v>
      </c>
      <c r="G1933" s="1" t="str">
        <f aca="false">DEC2HEX(C1933*7)</f>
        <v>E</v>
      </c>
      <c r="H1933" s="1" t="str">
        <f aca="false">IF(D1933=0, 33, "cc")</f>
        <v>cc</v>
      </c>
    </row>
    <row r="1934" customFormat="false" ht="18.65" hidden="false" customHeight="true" outlineLevel="0" collapsed="false">
      <c r="A1934" s="1" t="n">
        <f aca="false">ROW()-2</f>
        <v>1932</v>
      </c>
      <c r="B1934" s="1" t="n">
        <f aca="false">INT(A1934/$N$1)</f>
        <v>107</v>
      </c>
      <c r="C1934" s="1" t="n">
        <f aca="false">INT(MOD(A1934,$N$1) / 2)</f>
        <v>3</v>
      </c>
      <c r="D1934" s="1" t="n">
        <f aca="false">_xlfn.BITAND(A1934,1)</f>
        <v>0</v>
      </c>
      <c r="F1934" s="1" t="str">
        <f aca="false">DEC2HEX(B1934*$N$3*18)</f>
        <v>1E180</v>
      </c>
      <c r="G1934" s="1" t="str">
        <f aca="false">DEC2HEX(C1934*7)</f>
        <v>15</v>
      </c>
      <c r="H1934" s="1" t="n">
        <f aca="false">IF(D1934=0, 33, "cc")</f>
        <v>33</v>
      </c>
    </row>
    <row r="1935" customFormat="false" ht="18.65" hidden="false" customHeight="true" outlineLevel="0" collapsed="false">
      <c r="A1935" s="1" t="n">
        <f aca="false">ROW()-2</f>
        <v>1933</v>
      </c>
      <c r="B1935" s="1" t="n">
        <f aca="false">INT(A1935/$N$1)</f>
        <v>107</v>
      </c>
      <c r="C1935" s="1" t="n">
        <f aca="false">INT(MOD(A1935,$N$1) / 2)</f>
        <v>3</v>
      </c>
      <c r="D1935" s="1" t="n">
        <f aca="false">_xlfn.BITAND(A1935,1)</f>
        <v>1</v>
      </c>
      <c r="F1935" s="1" t="str">
        <f aca="false">DEC2HEX(B1935*$N$3*18)</f>
        <v>1E180</v>
      </c>
      <c r="G1935" s="1" t="str">
        <f aca="false">DEC2HEX(C1935*7)</f>
        <v>15</v>
      </c>
      <c r="H1935" s="1" t="str">
        <f aca="false">IF(D1935=0, 33, "cc")</f>
        <v>cc</v>
      </c>
    </row>
    <row r="1936" customFormat="false" ht="18.65" hidden="false" customHeight="true" outlineLevel="0" collapsed="false">
      <c r="A1936" s="1" t="n">
        <f aca="false">ROW()-2</f>
        <v>1934</v>
      </c>
      <c r="B1936" s="1" t="n">
        <f aca="false">INT(A1936/$N$1)</f>
        <v>107</v>
      </c>
      <c r="C1936" s="1" t="n">
        <f aca="false">INT(MOD(A1936,$N$1) / 2)</f>
        <v>4</v>
      </c>
      <c r="D1936" s="1" t="n">
        <f aca="false">_xlfn.BITAND(A1936,1)</f>
        <v>0</v>
      </c>
      <c r="F1936" s="1" t="str">
        <f aca="false">DEC2HEX(B1936*$N$3*18)</f>
        <v>1E180</v>
      </c>
      <c r="G1936" s="1" t="str">
        <f aca="false">DEC2HEX(C1936*7)</f>
        <v>1C</v>
      </c>
      <c r="H1936" s="1" t="n">
        <f aca="false">IF(D1936=0, 33, "cc")</f>
        <v>33</v>
      </c>
    </row>
    <row r="1937" customFormat="false" ht="18.65" hidden="false" customHeight="true" outlineLevel="0" collapsed="false">
      <c r="A1937" s="1" t="n">
        <f aca="false">ROW()-2</f>
        <v>1935</v>
      </c>
      <c r="B1937" s="1" t="n">
        <f aca="false">INT(A1937/$N$1)</f>
        <v>107</v>
      </c>
      <c r="C1937" s="1" t="n">
        <f aca="false">INT(MOD(A1937,$N$1) / 2)</f>
        <v>4</v>
      </c>
      <c r="D1937" s="1" t="n">
        <f aca="false">_xlfn.BITAND(A1937,1)</f>
        <v>1</v>
      </c>
      <c r="F1937" s="1" t="str">
        <f aca="false">DEC2HEX(B1937*$N$3*18)</f>
        <v>1E180</v>
      </c>
      <c r="G1937" s="1" t="str">
        <f aca="false">DEC2HEX(C1937*7)</f>
        <v>1C</v>
      </c>
      <c r="H1937" s="1" t="str">
        <f aca="false">IF(D1937=0, 33, "cc")</f>
        <v>cc</v>
      </c>
    </row>
    <row r="1938" customFormat="false" ht="18.65" hidden="false" customHeight="true" outlineLevel="0" collapsed="false">
      <c r="A1938" s="1" t="n">
        <f aca="false">ROW()-2</f>
        <v>1936</v>
      </c>
      <c r="B1938" s="1" t="n">
        <f aca="false">INT(A1938/$N$1)</f>
        <v>107</v>
      </c>
      <c r="C1938" s="1" t="n">
        <f aca="false">INT(MOD(A1938,$N$1) / 2)</f>
        <v>5</v>
      </c>
      <c r="D1938" s="1" t="n">
        <f aca="false">_xlfn.BITAND(A1938,1)</f>
        <v>0</v>
      </c>
      <c r="F1938" s="1" t="str">
        <f aca="false">DEC2HEX(B1938*$N$3*18)</f>
        <v>1E180</v>
      </c>
      <c r="G1938" s="1" t="str">
        <f aca="false">DEC2HEX(C1938*7)</f>
        <v>23</v>
      </c>
      <c r="H1938" s="1" t="n">
        <f aca="false">IF(D1938=0, 33, "cc")</f>
        <v>33</v>
      </c>
    </row>
    <row r="1939" customFormat="false" ht="18.65" hidden="false" customHeight="true" outlineLevel="0" collapsed="false">
      <c r="A1939" s="1" t="n">
        <f aca="false">ROW()-2</f>
        <v>1937</v>
      </c>
      <c r="B1939" s="1" t="n">
        <f aca="false">INT(A1939/$N$1)</f>
        <v>107</v>
      </c>
      <c r="C1939" s="1" t="n">
        <f aca="false">INT(MOD(A1939,$N$1) / 2)</f>
        <v>5</v>
      </c>
      <c r="D1939" s="1" t="n">
        <f aca="false">_xlfn.BITAND(A1939,1)</f>
        <v>1</v>
      </c>
      <c r="F1939" s="1" t="str">
        <f aca="false">DEC2HEX(B1939*$N$3*18)</f>
        <v>1E180</v>
      </c>
      <c r="G1939" s="1" t="str">
        <f aca="false">DEC2HEX(C1939*7)</f>
        <v>23</v>
      </c>
      <c r="H1939" s="1" t="str">
        <f aca="false">IF(D1939=0, 33, "cc")</f>
        <v>cc</v>
      </c>
    </row>
    <row r="1940" customFormat="false" ht="18.65" hidden="false" customHeight="true" outlineLevel="0" collapsed="false">
      <c r="A1940" s="1" t="n">
        <f aca="false">ROW()-2</f>
        <v>1938</v>
      </c>
      <c r="B1940" s="1" t="n">
        <f aca="false">INT(A1940/$N$1)</f>
        <v>107</v>
      </c>
      <c r="C1940" s="1" t="n">
        <f aca="false">INT(MOD(A1940,$N$1) / 2)</f>
        <v>6</v>
      </c>
      <c r="D1940" s="1" t="n">
        <f aca="false">_xlfn.BITAND(A1940,1)</f>
        <v>0</v>
      </c>
      <c r="F1940" s="1" t="str">
        <f aca="false">DEC2HEX(B1940*$N$3*18)</f>
        <v>1E180</v>
      </c>
      <c r="G1940" s="1" t="str">
        <f aca="false">DEC2HEX(C1940*7)</f>
        <v>2A</v>
      </c>
      <c r="H1940" s="1" t="n">
        <f aca="false">IF(D1940=0, 33, "cc")</f>
        <v>33</v>
      </c>
    </row>
    <row r="1941" customFormat="false" ht="18.65" hidden="false" customHeight="true" outlineLevel="0" collapsed="false">
      <c r="A1941" s="1" t="n">
        <f aca="false">ROW()-2</f>
        <v>1939</v>
      </c>
      <c r="B1941" s="1" t="n">
        <f aca="false">INT(A1941/$N$1)</f>
        <v>107</v>
      </c>
      <c r="C1941" s="1" t="n">
        <f aca="false">INT(MOD(A1941,$N$1) / 2)</f>
        <v>6</v>
      </c>
      <c r="D1941" s="1" t="n">
        <f aca="false">_xlfn.BITAND(A1941,1)</f>
        <v>1</v>
      </c>
      <c r="F1941" s="1" t="str">
        <f aca="false">DEC2HEX(B1941*$N$3*18)</f>
        <v>1E180</v>
      </c>
      <c r="G1941" s="1" t="str">
        <f aca="false">DEC2HEX(C1941*7)</f>
        <v>2A</v>
      </c>
      <c r="H1941" s="1" t="str">
        <f aca="false">IF(D1941=0, 33, "cc")</f>
        <v>cc</v>
      </c>
    </row>
    <row r="1942" customFormat="false" ht="18.65" hidden="false" customHeight="true" outlineLevel="0" collapsed="false">
      <c r="A1942" s="1" t="n">
        <f aca="false">ROW()-2</f>
        <v>1940</v>
      </c>
      <c r="B1942" s="1" t="n">
        <f aca="false">INT(A1942/$N$1)</f>
        <v>107</v>
      </c>
      <c r="C1942" s="1" t="n">
        <f aca="false">INT(MOD(A1942,$N$1) / 2)</f>
        <v>7</v>
      </c>
      <c r="D1942" s="1" t="n">
        <f aca="false">_xlfn.BITAND(A1942,1)</f>
        <v>0</v>
      </c>
      <c r="F1942" s="1" t="str">
        <f aca="false">DEC2HEX(B1942*$N$3*18)</f>
        <v>1E180</v>
      </c>
      <c r="G1942" s="1" t="str">
        <f aca="false">DEC2HEX(C1942*7)</f>
        <v>31</v>
      </c>
      <c r="H1942" s="1" t="n">
        <f aca="false">IF(D1942=0, 33, "cc")</f>
        <v>33</v>
      </c>
    </row>
    <row r="1943" customFormat="false" ht="18.65" hidden="false" customHeight="true" outlineLevel="0" collapsed="false">
      <c r="A1943" s="1" t="n">
        <f aca="false">ROW()-2</f>
        <v>1941</v>
      </c>
      <c r="B1943" s="1" t="n">
        <f aca="false">INT(A1943/$N$1)</f>
        <v>107</v>
      </c>
      <c r="C1943" s="1" t="n">
        <f aca="false">INT(MOD(A1943,$N$1) / 2)</f>
        <v>7</v>
      </c>
      <c r="D1943" s="1" t="n">
        <f aca="false">_xlfn.BITAND(A1943,1)</f>
        <v>1</v>
      </c>
      <c r="F1943" s="1" t="str">
        <f aca="false">DEC2HEX(B1943*$N$3*18)</f>
        <v>1E180</v>
      </c>
      <c r="G1943" s="1" t="str">
        <f aca="false">DEC2HEX(C1943*7)</f>
        <v>31</v>
      </c>
      <c r="H1943" s="1" t="str">
        <f aca="false">IF(D1943=0, 33, "cc")</f>
        <v>cc</v>
      </c>
    </row>
    <row r="1944" customFormat="false" ht="18.65" hidden="false" customHeight="true" outlineLevel="0" collapsed="false">
      <c r="A1944" s="1" t="n">
        <f aca="false">ROW()-2</f>
        <v>1942</v>
      </c>
      <c r="B1944" s="1" t="n">
        <f aca="false">INT(A1944/$N$1)</f>
        <v>107</v>
      </c>
      <c r="C1944" s="1" t="n">
        <f aca="false">INT(MOD(A1944,$N$1) / 2)</f>
        <v>8</v>
      </c>
      <c r="D1944" s="1" t="n">
        <f aca="false">_xlfn.BITAND(A1944,1)</f>
        <v>0</v>
      </c>
      <c r="F1944" s="1" t="str">
        <f aca="false">DEC2HEX(B1944*$N$3*18)</f>
        <v>1E180</v>
      </c>
      <c r="G1944" s="1" t="str">
        <f aca="false">DEC2HEX(C1944*7)</f>
        <v>38</v>
      </c>
      <c r="H1944" s="1" t="n">
        <f aca="false">IF(D1944=0, 33, "cc")</f>
        <v>33</v>
      </c>
    </row>
    <row r="1945" customFormat="false" ht="18.65" hidden="false" customHeight="true" outlineLevel="0" collapsed="false">
      <c r="A1945" s="1" t="n">
        <f aca="false">ROW()-2</f>
        <v>1943</v>
      </c>
      <c r="B1945" s="1" t="n">
        <f aca="false">INT(A1945/$N$1)</f>
        <v>107</v>
      </c>
      <c r="C1945" s="1" t="n">
        <f aca="false">INT(MOD(A1945,$N$1) / 2)</f>
        <v>8</v>
      </c>
      <c r="D1945" s="1" t="n">
        <f aca="false">_xlfn.BITAND(A1945,1)</f>
        <v>1</v>
      </c>
      <c r="F1945" s="1" t="str">
        <f aca="false">DEC2HEX(B1945*$N$3*18)</f>
        <v>1E180</v>
      </c>
      <c r="G1945" s="1" t="str">
        <f aca="false">DEC2HEX(C1945*7)</f>
        <v>38</v>
      </c>
      <c r="H1945" s="1" t="str">
        <f aca="false">IF(D1945=0, 33, "cc")</f>
        <v>cc</v>
      </c>
    </row>
    <row r="1946" customFormat="false" ht="18.65" hidden="false" customHeight="true" outlineLevel="0" collapsed="false">
      <c r="A1946" s="1" t="n">
        <f aca="false">ROW()-2</f>
        <v>1944</v>
      </c>
      <c r="B1946" s="1" t="n">
        <f aca="false">INT(A1946/$N$1)</f>
        <v>108</v>
      </c>
      <c r="C1946" s="1" t="n">
        <f aca="false">INT(MOD(A1946,$N$1) / 2)</f>
        <v>0</v>
      </c>
      <c r="D1946" s="1" t="n">
        <f aca="false">_xlfn.BITAND(A1946,1)</f>
        <v>0</v>
      </c>
      <c r="F1946" s="1" t="str">
        <f aca="false">DEC2HEX(B1946*$N$3*18)</f>
        <v>1E600</v>
      </c>
      <c r="G1946" s="1" t="str">
        <f aca="false">DEC2HEX(C1946*7)</f>
        <v>0</v>
      </c>
      <c r="H1946" s="1" t="n">
        <f aca="false">IF(D1946=0, 33, "cc")</f>
        <v>33</v>
      </c>
    </row>
    <row r="1947" customFormat="false" ht="18.65" hidden="false" customHeight="true" outlineLevel="0" collapsed="false">
      <c r="A1947" s="1" t="n">
        <f aca="false">ROW()-2</f>
        <v>1945</v>
      </c>
      <c r="B1947" s="1" t="n">
        <f aca="false">INT(A1947/$N$1)</f>
        <v>108</v>
      </c>
      <c r="C1947" s="1" t="n">
        <f aca="false">INT(MOD(A1947,$N$1) / 2)</f>
        <v>0</v>
      </c>
      <c r="D1947" s="1" t="n">
        <f aca="false">_xlfn.BITAND(A1947,1)</f>
        <v>1</v>
      </c>
      <c r="F1947" s="1" t="str">
        <f aca="false">DEC2HEX(B1947*$N$3*18)</f>
        <v>1E600</v>
      </c>
      <c r="G1947" s="1" t="str">
        <f aca="false">DEC2HEX(C1947*7)</f>
        <v>0</v>
      </c>
      <c r="H1947" s="1" t="str">
        <f aca="false">IF(D1947=0, 33, "cc")</f>
        <v>cc</v>
      </c>
    </row>
    <row r="1948" customFormat="false" ht="18.65" hidden="false" customHeight="true" outlineLevel="0" collapsed="false">
      <c r="A1948" s="1" t="n">
        <f aca="false">ROW()-2</f>
        <v>1946</v>
      </c>
      <c r="B1948" s="1" t="n">
        <f aca="false">INT(A1948/$N$1)</f>
        <v>108</v>
      </c>
      <c r="C1948" s="1" t="n">
        <f aca="false">INT(MOD(A1948,$N$1) / 2)</f>
        <v>1</v>
      </c>
      <c r="D1948" s="1" t="n">
        <f aca="false">_xlfn.BITAND(A1948,1)</f>
        <v>0</v>
      </c>
      <c r="F1948" s="1" t="str">
        <f aca="false">DEC2HEX(B1948*$N$3*18)</f>
        <v>1E600</v>
      </c>
      <c r="G1948" s="1" t="str">
        <f aca="false">DEC2HEX(C1948*7)</f>
        <v>7</v>
      </c>
      <c r="H1948" s="1" t="n">
        <f aca="false">IF(D1948=0, 33, "cc")</f>
        <v>33</v>
      </c>
    </row>
    <row r="1949" customFormat="false" ht="18.65" hidden="false" customHeight="true" outlineLevel="0" collapsed="false">
      <c r="A1949" s="1" t="n">
        <f aca="false">ROW()-2</f>
        <v>1947</v>
      </c>
      <c r="B1949" s="1" t="n">
        <f aca="false">INT(A1949/$N$1)</f>
        <v>108</v>
      </c>
      <c r="C1949" s="1" t="n">
        <f aca="false">INT(MOD(A1949,$N$1) / 2)</f>
        <v>1</v>
      </c>
      <c r="D1949" s="1" t="n">
        <f aca="false">_xlfn.BITAND(A1949,1)</f>
        <v>1</v>
      </c>
      <c r="F1949" s="1" t="str">
        <f aca="false">DEC2HEX(B1949*$N$3*18)</f>
        <v>1E600</v>
      </c>
      <c r="G1949" s="1" t="str">
        <f aca="false">DEC2HEX(C1949*7)</f>
        <v>7</v>
      </c>
      <c r="H1949" s="1" t="str">
        <f aca="false">IF(D1949=0, 33, "cc")</f>
        <v>cc</v>
      </c>
    </row>
    <row r="1950" customFormat="false" ht="18.65" hidden="false" customHeight="true" outlineLevel="0" collapsed="false">
      <c r="A1950" s="1" t="n">
        <f aca="false">ROW()-2</f>
        <v>1948</v>
      </c>
      <c r="B1950" s="1" t="n">
        <f aca="false">INT(A1950/$N$1)</f>
        <v>108</v>
      </c>
      <c r="C1950" s="1" t="n">
        <f aca="false">INT(MOD(A1950,$N$1) / 2)</f>
        <v>2</v>
      </c>
      <c r="D1950" s="1" t="n">
        <f aca="false">_xlfn.BITAND(A1950,1)</f>
        <v>0</v>
      </c>
      <c r="F1950" s="1" t="str">
        <f aca="false">DEC2HEX(B1950*$N$3*18)</f>
        <v>1E600</v>
      </c>
      <c r="G1950" s="1" t="str">
        <f aca="false">DEC2HEX(C1950*7)</f>
        <v>E</v>
      </c>
      <c r="H1950" s="1" t="n">
        <f aca="false">IF(D1950=0, 33, "cc")</f>
        <v>33</v>
      </c>
    </row>
    <row r="1951" customFormat="false" ht="18.65" hidden="false" customHeight="true" outlineLevel="0" collapsed="false">
      <c r="A1951" s="1" t="n">
        <f aca="false">ROW()-2</f>
        <v>1949</v>
      </c>
      <c r="B1951" s="1" t="n">
        <f aca="false">INT(A1951/$N$1)</f>
        <v>108</v>
      </c>
      <c r="C1951" s="1" t="n">
        <f aca="false">INT(MOD(A1951,$N$1) / 2)</f>
        <v>2</v>
      </c>
      <c r="D1951" s="1" t="n">
        <f aca="false">_xlfn.BITAND(A1951,1)</f>
        <v>1</v>
      </c>
      <c r="F1951" s="1" t="str">
        <f aca="false">DEC2HEX(B1951*$N$3*18)</f>
        <v>1E600</v>
      </c>
      <c r="G1951" s="1" t="str">
        <f aca="false">DEC2HEX(C1951*7)</f>
        <v>E</v>
      </c>
      <c r="H1951" s="1" t="str">
        <f aca="false">IF(D1951=0, 33, "cc")</f>
        <v>cc</v>
      </c>
    </row>
    <row r="1952" customFormat="false" ht="18.65" hidden="false" customHeight="true" outlineLevel="0" collapsed="false">
      <c r="A1952" s="1" t="n">
        <f aca="false">ROW()-2</f>
        <v>1950</v>
      </c>
      <c r="B1952" s="1" t="n">
        <f aca="false">INT(A1952/$N$1)</f>
        <v>108</v>
      </c>
      <c r="C1952" s="1" t="n">
        <f aca="false">INT(MOD(A1952,$N$1) / 2)</f>
        <v>3</v>
      </c>
      <c r="D1952" s="1" t="n">
        <f aca="false">_xlfn.BITAND(A1952,1)</f>
        <v>0</v>
      </c>
      <c r="F1952" s="1" t="str">
        <f aca="false">DEC2HEX(B1952*$N$3*18)</f>
        <v>1E600</v>
      </c>
      <c r="G1952" s="1" t="str">
        <f aca="false">DEC2HEX(C1952*7)</f>
        <v>15</v>
      </c>
      <c r="H1952" s="1" t="n">
        <f aca="false">IF(D1952=0, 33, "cc")</f>
        <v>33</v>
      </c>
    </row>
    <row r="1953" customFormat="false" ht="18.65" hidden="false" customHeight="true" outlineLevel="0" collapsed="false">
      <c r="A1953" s="1" t="n">
        <f aca="false">ROW()-2</f>
        <v>1951</v>
      </c>
      <c r="B1953" s="1" t="n">
        <f aca="false">INT(A1953/$N$1)</f>
        <v>108</v>
      </c>
      <c r="C1953" s="1" t="n">
        <f aca="false">INT(MOD(A1953,$N$1) / 2)</f>
        <v>3</v>
      </c>
      <c r="D1953" s="1" t="n">
        <f aca="false">_xlfn.BITAND(A1953,1)</f>
        <v>1</v>
      </c>
      <c r="F1953" s="1" t="str">
        <f aca="false">DEC2HEX(B1953*$N$3*18)</f>
        <v>1E600</v>
      </c>
      <c r="G1953" s="1" t="str">
        <f aca="false">DEC2HEX(C1953*7)</f>
        <v>15</v>
      </c>
      <c r="H1953" s="1" t="str">
        <f aca="false">IF(D1953=0, 33, "cc")</f>
        <v>cc</v>
      </c>
    </row>
    <row r="1954" customFormat="false" ht="18.65" hidden="false" customHeight="true" outlineLevel="0" collapsed="false">
      <c r="A1954" s="1" t="n">
        <f aca="false">ROW()-2</f>
        <v>1952</v>
      </c>
      <c r="B1954" s="1" t="n">
        <f aca="false">INT(A1954/$N$1)</f>
        <v>108</v>
      </c>
      <c r="C1954" s="1" t="n">
        <f aca="false">INT(MOD(A1954,$N$1) / 2)</f>
        <v>4</v>
      </c>
      <c r="D1954" s="1" t="n">
        <f aca="false">_xlfn.BITAND(A1954,1)</f>
        <v>0</v>
      </c>
      <c r="F1954" s="1" t="str">
        <f aca="false">DEC2HEX(B1954*$N$3*18)</f>
        <v>1E600</v>
      </c>
      <c r="G1954" s="1" t="str">
        <f aca="false">DEC2HEX(C1954*7)</f>
        <v>1C</v>
      </c>
      <c r="H1954" s="1" t="n">
        <f aca="false">IF(D1954=0, 33, "cc")</f>
        <v>33</v>
      </c>
    </row>
    <row r="1955" customFormat="false" ht="18.65" hidden="false" customHeight="true" outlineLevel="0" collapsed="false">
      <c r="A1955" s="1" t="n">
        <f aca="false">ROW()-2</f>
        <v>1953</v>
      </c>
      <c r="B1955" s="1" t="n">
        <f aca="false">INT(A1955/$N$1)</f>
        <v>108</v>
      </c>
      <c r="C1955" s="1" t="n">
        <f aca="false">INT(MOD(A1955,$N$1) / 2)</f>
        <v>4</v>
      </c>
      <c r="D1955" s="1" t="n">
        <f aca="false">_xlfn.BITAND(A1955,1)</f>
        <v>1</v>
      </c>
      <c r="F1955" s="1" t="str">
        <f aca="false">DEC2HEX(B1955*$N$3*18)</f>
        <v>1E600</v>
      </c>
      <c r="G1955" s="1" t="str">
        <f aca="false">DEC2HEX(C1955*7)</f>
        <v>1C</v>
      </c>
      <c r="H1955" s="1" t="str">
        <f aca="false">IF(D1955=0, 33, "cc")</f>
        <v>cc</v>
      </c>
    </row>
    <row r="1956" customFormat="false" ht="18.65" hidden="false" customHeight="true" outlineLevel="0" collapsed="false">
      <c r="A1956" s="1" t="n">
        <f aca="false">ROW()-2</f>
        <v>1954</v>
      </c>
      <c r="B1956" s="1" t="n">
        <f aca="false">INT(A1956/$N$1)</f>
        <v>108</v>
      </c>
      <c r="C1956" s="1" t="n">
        <f aca="false">INT(MOD(A1956,$N$1) / 2)</f>
        <v>5</v>
      </c>
      <c r="D1956" s="1" t="n">
        <f aca="false">_xlfn.BITAND(A1956,1)</f>
        <v>0</v>
      </c>
      <c r="F1956" s="1" t="str">
        <f aca="false">DEC2HEX(B1956*$N$3*18)</f>
        <v>1E600</v>
      </c>
      <c r="G1956" s="1" t="str">
        <f aca="false">DEC2HEX(C1956*7)</f>
        <v>23</v>
      </c>
      <c r="H1956" s="1" t="n">
        <f aca="false">IF(D1956=0, 33, "cc")</f>
        <v>33</v>
      </c>
    </row>
    <row r="1957" customFormat="false" ht="18.65" hidden="false" customHeight="true" outlineLevel="0" collapsed="false">
      <c r="A1957" s="1" t="n">
        <f aca="false">ROW()-2</f>
        <v>1955</v>
      </c>
      <c r="B1957" s="1" t="n">
        <f aca="false">INT(A1957/$N$1)</f>
        <v>108</v>
      </c>
      <c r="C1957" s="1" t="n">
        <f aca="false">INT(MOD(A1957,$N$1) / 2)</f>
        <v>5</v>
      </c>
      <c r="D1957" s="1" t="n">
        <f aca="false">_xlfn.BITAND(A1957,1)</f>
        <v>1</v>
      </c>
      <c r="F1957" s="1" t="str">
        <f aca="false">DEC2HEX(B1957*$N$3*18)</f>
        <v>1E600</v>
      </c>
      <c r="G1957" s="1" t="str">
        <f aca="false">DEC2HEX(C1957*7)</f>
        <v>23</v>
      </c>
      <c r="H1957" s="1" t="str">
        <f aca="false">IF(D1957=0, 33, "cc")</f>
        <v>cc</v>
      </c>
    </row>
    <row r="1958" customFormat="false" ht="18.65" hidden="false" customHeight="true" outlineLevel="0" collapsed="false">
      <c r="A1958" s="1" t="n">
        <f aca="false">ROW()-2</f>
        <v>1956</v>
      </c>
      <c r="B1958" s="1" t="n">
        <f aca="false">INT(A1958/$N$1)</f>
        <v>108</v>
      </c>
      <c r="C1958" s="1" t="n">
        <f aca="false">INT(MOD(A1958,$N$1) / 2)</f>
        <v>6</v>
      </c>
      <c r="D1958" s="1" t="n">
        <f aca="false">_xlfn.BITAND(A1958,1)</f>
        <v>0</v>
      </c>
      <c r="F1958" s="1" t="str">
        <f aca="false">DEC2HEX(B1958*$N$3*18)</f>
        <v>1E600</v>
      </c>
      <c r="G1958" s="1" t="str">
        <f aca="false">DEC2HEX(C1958*7)</f>
        <v>2A</v>
      </c>
      <c r="H1958" s="1" t="n">
        <f aca="false">IF(D1958=0, 33, "cc")</f>
        <v>33</v>
      </c>
    </row>
    <row r="1959" customFormat="false" ht="18.65" hidden="false" customHeight="true" outlineLevel="0" collapsed="false">
      <c r="A1959" s="1" t="n">
        <f aca="false">ROW()-2</f>
        <v>1957</v>
      </c>
      <c r="B1959" s="1" t="n">
        <f aca="false">INT(A1959/$N$1)</f>
        <v>108</v>
      </c>
      <c r="C1959" s="1" t="n">
        <f aca="false">INT(MOD(A1959,$N$1) / 2)</f>
        <v>6</v>
      </c>
      <c r="D1959" s="1" t="n">
        <f aca="false">_xlfn.BITAND(A1959,1)</f>
        <v>1</v>
      </c>
      <c r="F1959" s="1" t="str">
        <f aca="false">DEC2HEX(B1959*$N$3*18)</f>
        <v>1E600</v>
      </c>
      <c r="G1959" s="1" t="str">
        <f aca="false">DEC2HEX(C1959*7)</f>
        <v>2A</v>
      </c>
      <c r="H1959" s="1" t="str">
        <f aca="false">IF(D1959=0, 33, "cc")</f>
        <v>cc</v>
      </c>
    </row>
    <row r="1960" customFormat="false" ht="18.65" hidden="false" customHeight="true" outlineLevel="0" collapsed="false">
      <c r="A1960" s="1" t="n">
        <f aca="false">ROW()-2</f>
        <v>1958</v>
      </c>
      <c r="B1960" s="1" t="n">
        <f aca="false">INT(A1960/$N$1)</f>
        <v>108</v>
      </c>
      <c r="C1960" s="1" t="n">
        <f aca="false">INT(MOD(A1960,$N$1) / 2)</f>
        <v>7</v>
      </c>
      <c r="D1960" s="1" t="n">
        <f aca="false">_xlfn.BITAND(A1960,1)</f>
        <v>0</v>
      </c>
      <c r="F1960" s="1" t="str">
        <f aca="false">DEC2HEX(B1960*$N$3*18)</f>
        <v>1E600</v>
      </c>
      <c r="G1960" s="1" t="str">
        <f aca="false">DEC2HEX(C1960*7)</f>
        <v>31</v>
      </c>
      <c r="H1960" s="1" t="n">
        <f aca="false">IF(D1960=0, 33, "cc")</f>
        <v>33</v>
      </c>
    </row>
    <row r="1961" customFormat="false" ht="18.65" hidden="false" customHeight="true" outlineLevel="0" collapsed="false">
      <c r="A1961" s="1" t="n">
        <f aca="false">ROW()-2</f>
        <v>1959</v>
      </c>
      <c r="B1961" s="1" t="n">
        <f aca="false">INT(A1961/$N$1)</f>
        <v>108</v>
      </c>
      <c r="C1961" s="1" t="n">
        <f aca="false">INT(MOD(A1961,$N$1) / 2)</f>
        <v>7</v>
      </c>
      <c r="D1961" s="1" t="n">
        <f aca="false">_xlfn.BITAND(A1961,1)</f>
        <v>1</v>
      </c>
      <c r="F1961" s="1" t="str">
        <f aca="false">DEC2HEX(B1961*$N$3*18)</f>
        <v>1E600</v>
      </c>
      <c r="G1961" s="1" t="str">
        <f aca="false">DEC2HEX(C1961*7)</f>
        <v>31</v>
      </c>
      <c r="H1961" s="1" t="str">
        <f aca="false">IF(D1961=0, 33, "cc")</f>
        <v>cc</v>
      </c>
    </row>
    <row r="1962" customFormat="false" ht="18.65" hidden="false" customHeight="true" outlineLevel="0" collapsed="false">
      <c r="A1962" s="1" t="n">
        <f aca="false">ROW()-2</f>
        <v>1960</v>
      </c>
      <c r="B1962" s="1" t="n">
        <f aca="false">INT(A1962/$N$1)</f>
        <v>108</v>
      </c>
      <c r="C1962" s="1" t="n">
        <f aca="false">INT(MOD(A1962,$N$1) / 2)</f>
        <v>8</v>
      </c>
      <c r="D1962" s="1" t="n">
        <f aca="false">_xlfn.BITAND(A1962,1)</f>
        <v>0</v>
      </c>
      <c r="F1962" s="1" t="str">
        <f aca="false">DEC2HEX(B1962*$N$3*18)</f>
        <v>1E600</v>
      </c>
      <c r="G1962" s="1" t="str">
        <f aca="false">DEC2HEX(C1962*7)</f>
        <v>38</v>
      </c>
      <c r="H1962" s="1" t="n">
        <f aca="false">IF(D1962=0, 33, "cc")</f>
        <v>33</v>
      </c>
    </row>
    <row r="1963" customFormat="false" ht="18.65" hidden="false" customHeight="true" outlineLevel="0" collapsed="false">
      <c r="A1963" s="1" t="n">
        <f aca="false">ROW()-2</f>
        <v>1961</v>
      </c>
      <c r="B1963" s="1" t="n">
        <f aca="false">INT(A1963/$N$1)</f>
        <v>108</v>
      </c>
      <c r="C1963" s="1" t="n">
        <f aca="false">INT(MOD(A1963,$N$1) / 2)</f>
        <v>8</v>
      </c>
      <c r="D1963" s="1" t="n">
        <f aca="false">_xlfn.BITAND(A1963,1)</f>
        <v>1</v>
      </c>
      <c r="F1963" s="1" t="str">
        <f aca="false">DEC2HEX(B1963*$N$3*18)</f>
        <v>1E600</v>
      </c>
      <c r="G1963" s="1" t="str">
        <f aca="false">DEC2HEX(C1963*7)</f>
        <v>38</v>
      </c>
      <c r="H1963" s="1" t="str">
        <f aca="false">IF(D1963=0, 33, "cc")</f>
        <v>cc</v>
      </c>
    </row>
    <row r="1964" customFormat="false" ht="18.65" hidden="false" customHeight="true" outlineLevel="0" collapsed="false">
      <c r="A1964" s="1" t="n">
        <f aca="false">ROW()-2</f>
        <v>1962</v>
      </c>
      <c r="B1964" s="1" t="n">
        <f aca="false">INT(A1964/$N$1)</f>
        <v>109</v>
      </c>
      <c r="C1964" s="1" t="n">
        <f aca="false">INT(MOD(A1964,$N$1) / 2)</f>
        <v>0</v>
      </c>
      <c r="D1964" s="1" t="n">
        <f aca="false">_xlfn.BITAND(A1964,1)</f>
        <v>0</v>
      </c>
      <c r="F1964" s="1" t="str">
        <f aca="false">DEC2HEX(B1964*$N$3*18)</f>
        <v>1EA80</v>
      </c>
      <c r="G1964" s="1" t="str">
        <f aca="false">DEC2HEX(C1964*7)</f>
        <v>0</v>
      </c>
      <c r="H1964" s="1" t="n">
        <f aca="false">IF(D1964=0, 33, "cc")</f>
        <v>33</v>
      </c>
    </row>
    <row r="1965" customFormat="false" ht="18.65" hidden="false" customHeight="true" outlineLevel="0" collapsed="false">
      <c r="A1965" s="1" t="n">
        <f aca="false">ROW()-2</f>
        <v>1963</v>
      </c>
      <c r="B1965" s="1" t="n">
        <f aca="false">INT(A1965/$N$1)</f>
        <v>109</v>
      </c>
      <c r="C1965" s="1" t="n">
        <f aca="false">INT(MOD(A1965,$N$1) / 2)</f>
        <v>0</v>
      </c>
      <c r="D1965" s="1" t="n">
        <f aca="false">_xlfn.BITAND(A1965,1)</f>
        <v>1</v>
      </c>
      <c r="F1965" s="1" t="str">
        <f aca="false">DEC2HEX(B1965*$N$3*18)</f>
        <v>1EA80</v>
      </c>
      <c r="G1965" s="1" t="str">
        <f aca="false">DEC2HEX(C1965*7)</f>
        <v>0</v>
      </c>
      <c r="H1965" s="1" t="str">
        <f aca="false">IF(D1965=0, 33, "cc")</f>
        <v>cc</v>
      </c>
    </row>
    <row r="1966" customFormat="false" ht="18.65" hidden="false" customHeight="true" outlineLevel="0" collapsed="false">
      <c r="A1966" s="1" t="n">
        <f aca="false">ROW()-2</f>
        <v>1964</v>
      </c>
      <c r="B1966" s="1" t="n">
        <f aca="false">INT(A1966/$N$1)</f>
        <v>109</v>
      </c>
      <c r="C1966" s="1" t="n">
        <f aca="false">INT(MOD(A1966,$N$1) / 2)</f>
        <v>1</v>
      </c>
      <c r="D1966" s="1" t="n">
        <f aca="false">_xlfn.BITAND(A1966,1)</f>
        <v>0</v>
      </c>
      <c r="F1966" s="1" t="str">
        <f aca="false">DEC2HEX(B1966*$N$3*18)</f>
        <v>1EA80</v>
      </c>
      <c r="G1966" s="1" t="str">
        <f aca="false">DEC2HEX(C1966*7)</f>
        <v>7</v>
      </c>
      <c r="H1966" s="1" t="n">
        <f aca="false">IF(D1966=0, 33, "cc")</f>
        <v>33</v>
      </c>
    </row>
    <row r="1967" customFormat="false" ht="18.65" hidden="false" customHeight="true" outlineLevel="0" collapsed="false">
      <c r="A1967" s="1" t="n">
        <f aca="false">ROW()-2</f>
        <v>1965</v>
      </c>
      <c r="B1967" s="1" t="n">
        <f aca="false">INT(A1967/$N$1)</f>
        <v>109</v>
      </c>
      <c r="C1967" s="1" t="n">
        <f aca="false">INT(MOD(A1967,$N$1) / 2)</f>
        <v>1</v>
      </c>
      <c r="D1967" s="1" t="n">
        <f aca="false">_xlfn.BITAND(A1967,1)</f>
        <v>1</v>
      </c>
      <c r="F1967" s="1" t="str">
        <f aca="false">DEC2HEX(B1967*$N$3*18)</f>
        <v>1EA80</v>
      </c>
      <c r="G1967" s="1" t="str">
        <f aca="false">DEC2HEX(C1967*7)</f>
        <v>7</v>
      </c>
      <c r="H1967" s="1" t="str">
        <f aca="false">IF(D1967=0, 33, "cc")</f>
        <v>cc</v>
      </c>
    </row>
    <row r="1968" customFormat="false" ht="18.65" hidden="false" customHeight="true" outlineLevel="0" collapsed="false">
      <c r="A1968" s="1" t="n">
        <f aca="false">ROW()-2</f>
        <v>1966</v>
      </c>
      <c r="B1968" s="1" t="n">
        <f aca="false">INT(A1968/$N$1)</f>
        <v>109</v>
      </c>
      <c r="C1968" s="1" t="n">
        <f aca="false">INT(MOD(A1968,$N$1) / 2)</f>
        <v>2</v>
      </c>
      <c r="D1968" s="1" t="n">
        <f aca="false">_xlfn.BITAND(A1968,1)</f>
        <v>0</v>
      </c>
      <c r="F1968" s="1" t="str">
        <f aca="false">DEC2HEX(B1968*$N$3*18)</f>
        <v>1EA80</v>
      </c>
      <c r="G1968" s="1" t="str">
        <f aca="false">DEC2HEX(C1968*7)</f>
        <v>E</v>
      </c>
      <c r="H1968" s="1" t="n">
        <f aca="false">IF(D1968=0, 33, "cc")</f>
        <v>33</v>
      </c>
    </row>
    <row r="1969" customFormat="false" ht="18.65" hidden="false" customHeight="true" outlineLevel="0" collapsed="false">
      <c r="A1969" s="1" t="n">
        <f aca="false">ROW()-2</f>
        <v>1967</v>
      </c>
      <c r="B1969" s="1" t="n">
        <f aca="false">INT(A1969/$N$1)</f>
        <v>109</v>
      </c>
      <c r="C1969" s="1" t="n">
        <f aca="false">INT(MOD(A1969,$N$1) / 2)</f>
        <v>2</v>
      </c>
      <c r="D1969" s="1" t="n">
        <f aca="false">_xlfn.BITAND(A1969,1)</f>
        <v>1</v>
      </c>
      <c r="F1969" s="1" t="str">
        <f aca="false">DEC2HEX(B1969*$N$3*18)</f>
        <v>1EA80</v>
      </c>
      <c r="G1969" s="1" t="str">
        <f aca="false">DEC2HEX(C1969*7)</f>
        <v>E</v>
      </c>
      <c r="H1969" s="1" t="str">
        <f aca="false">IF(D1969=0, 33, "cc")</f>
        <v>cc</v>
      </c>
    </row>
    <row r="1970" customFormat="false" ht="18.65" hidden="false" customHeight="true" outlineLevel="0" collapsed="false">
      <c r="A1970" s="1" t="n">
        <f aca="false">ROW()-2</f>
        <v>1968</v>
      </c>
      <c r="B1970" s="1" t="n">
        <f aca="false">INT(A1970/$N$1)</f>
        <v>109</v>
      </c>
      <c r="C1970" s="1" t="n">
        <f aca="false">INT(MOD(A1970,$N$1) / 2)</f>
        <v>3</v>
      </c>
      <c r="D1970" s="1" t="n">
        <f aca="false">_xlfn.BITAND(A1970,1)</f>
        <v>0</v>
      </c>
      <c r="F1970" s="1" t="str">
        <f aca="false">DEC2HEX(B1970*$N$3*18)</f>
        <v>1EA80</v>
      </c>
      <c r="G1970" s="1" t="str">
        <f aca="false">DEC2HEX(C1970*7)</f>
        <v>15</v>
      </c>
      <c r="H1970" s="1" t="n">
        <f aca="false">IF(D1970=0, 33, "cc")</f>
        <v>33</v>
      </c>
    </row>
    <row r="1971" customFormat="false" ht="18.65" hidden="false" customHeight="true" outlineLevel="0" collapsed="false">
      <c r="A1971" s="1" t="n">
        <f aca="false">ROW()-2</f>
        <v>1969</v>
      </c>
      <c r="B1971" s="1" t="n">
        <f aca="false">INT(A1971/$N$1)</f>
        <v>109</v>
      </c>
      <c r="C1971" s="1" t="n">
        <f aca="false">INT(MOD(A1971,$N$1) / 2)</f>
        <v>3</v>
      </c>
      <c r="D1971" s="1" t="n">
        <f aca="false">_xlfn.BITAND(A1971,1)</f>
        <v>1</v>
      </c>
      <c r="F1971" s="1" t="str">
        <f aca="false">DEC2HEX(B1971*$N$3*18)</f>
        <v>1EA80</v>
      </c>
      <c r="G1971" s="1" t="str">
        <f aca="false">DEC2HEX(C1971*7)</f>
        <v>15</v>
      </c>
      <c r="H1971" s="1" t="str">
        <f aca="false">IF(D1971=0, 33, "cc")</f>
        <v>cc</v>
      </c>
    </row>
    <row r="1972" customFormat="false" ht="18.65" hidden="false" customHeight="true" outlineLevel="0" collapsed="false">
      <c r="A1972" s="1" t="n">
        <f aca="false">ROW()-2</f>
        <v>1970</v>
      </c>
      <c r="B1972" s="1" t="n">
        <f aca="false">INT(A1972/$N$1)</f>
        <v>109</v>
      </c>
      <c r="C1972" s="1" t="n">
        <f aca="false">INT(MOD(A1972,$N$1) / 2)</f>
        <v>4</v>
      </c>
      <c r="D1972" s="1" t="n">
        <f aca="false">_xlfn.BITAND(A1972,1)</f>
        <v>0</v>
      </c>
      <c r="F1972" s="1" t="str">
        <f aca="false">DEC2HEX(B1972*$N$3*18)</f>
        <v>1EA80</v>
      </c>
      <c r="G1972" s="1" t="str">
        <f aca="false">DEC2HEX(C1972*7)</f>
        <v>1C</v>
      </c>
      <c r="H1972" s="1" t="n">
        <f aca="false">IF(D1972=0, 33, "cc")</f>
        <v>33</v>
      </c>
    </row>
    <row r="1973" customFormat="false" ht="18.65" hidden="false" customHeight="true" outlineLevel="0" collapsed="false">
      <c r="A1973" s="1" t="n">
        <f aca="false">ROW()-2</f>
        <v>1971</v>
      </c>
      <c r="B1973" s="1" t="n">
        <f aca="false">INT(A1973/$N$1)</f>
        <v>109</v>
      </c>
      <c r="C1973" s="1" t="n">
        <f aca="false">INT(MOD(A1973,$N$1) / 2)</f>
        <v>4</v>
      </c>
      <c r="D1973" s="1" t="n">
        <f aca="false">_xlfn.BITAND(A1973,1)</f>
        <v>1</v>
      </c>
      <c r="F1973" s="1" t="str">
        <f aca="false">DEC2HEX(B1973*$N$3*18)</f>
        <v>1EA80</v>
      </c>
      <c r="G1973" s="1" t="str">
        <f aca="false">DEC2HEX(C1973*7)</f>
        <v>1C</v>
      </c>
      <c r="H1973" s="1" t="str">
        <f aca="false">IF(D1973=0, 33, "cc")</f>
        <v>cc</v>
      </c>
    </row>
    <row r="1974" customFormat="false" ht="18.65" hidden="false" customHeight="true" outlineLevel="0" collapsed="false">
      <c r="A1974" s="1" t="n">
        <f aca="false">ROW()-2</f>
        <v>1972</v>
      </c>
      <c r="B1974" s="1" t="n">
        <f aca="false">INT(A1974/$N$1)</f>
        <v>109</v>
      </c>
      <c r="C1974" s="1" t="n">
        <f aca="false">INT(MOD(A1974,$N$1) / 2)</f>
        <v>5</v>
      </c>
      <c r="D1974" s="1" t="n">
        <f aca="false">_xlfn.BITAND(A1974,1)</f>
        <v>0</v>
      </c>
      <c r="F1974" s="1" t="str">
        <f aca="false">DEC2HEX(B1974*$N$3*18)</f>
        <v>1EA80</v>
      </c>
      <c r="G1974" s="1" t="str">
        <f aca="false">DEC2HEX(C1974*7)</f>
        <v>23</v>
      </c>
      <c r="H1974" s="1" t="n">
        <f aca="false">IF(D1974=0, 33, "cc")</f>
        <v>33</v>
      </c>
    </row>
    <row r="1975" customFormat="false" ht="18.65" hidden="false" customHeight="true" outlineLevel="0" collapsed="false">
      <c r="A1975" s="1" t="n">
        <f aca="false">ROW()-2</f>
        <v>1973</v>
      </c>
      <c r="B1975" s="1" t="n">
        <f aca="false">INT(A1975/$N$1)</f>
        <v>109</v>
      </c>
      <c r="C1975" s="1" t="n">
        <f aca="false">INT(MOD(A1975,$N$1) / 2)</f>
        <v>5</v>
      </c>
      <c r="D1975" s="1" t="n">
        <f aca="false">_xlfn.BITAND(A1975,1)</f>
        <v>1</v>
      </c>
      <c r="F1975" s="1" t="str">
        <f aca="false">DEC2HEX(B1975*$N$3*18)</f>
        <v>1EA80</v>
      </c>
      <c r="G1975" s="1" t="str">
        <f aca="false">DEC2HEX(C1975*7)</f>
        <v>23</v>
      </c>
      <c r="H1975" s="1" t="str">
        <f aca="false">IF(D1975=0, 33, "cc")</f>
        <v>cc</v>
      </c>
    </row>
    <row r="1976" customFormat="false" ht="18.65" hidden="false" customHeight="true" outlineLevel="0" collapsed="false">
      <c r="A1976" s="1" t="n">
        <f aca="false">ROW()-2</f>
        <v>1974</v>
      </c>
      <c r="B1976" s="1" t="n">
        <f aca="false">INT(A1976/$N$1)</f>
        <v>109</v>
      </c>
      <c r="C1976" s="1" t="n">
        <f aca="false">INT(MOD(A1976,$N$1) / 2)</f>
        <v>6</v>
      </c>
      <c r="D1976" s="1" t="n">
        <f aca="false">_xlfn.BITAND(A1976,1)</f>
        <v>0</v>
      </c>
      <c r="F1976" s="1" t="str">
        <f aca="false">DEC2HEX(B1976*$N$3*18)</f>
        <v>1EA80</v>
      </c>
      <c r="G1976" s="1" t="str">
        <f aca="false">DEC2HEX(C1976*7)</f>
        <v>2A</v>
      </c>
      <c r="H1976" s="1" t="n">
        <f aca="false">IF(D1976=0, 33, "cc")</f>
        <v>33</v>
      </c>
    </row>
    <row r="1977" customFormat="false" ht="18.65" hidden="false" customHeight="true" outlineLevel="0" collapsed="false">
      <c r="A1977" s="1" t="n">
        <f aca="false">ROW()-2</f>
        <v>1975</v>
      </c>
      <c r="B1977" s="1" t="n">
        <f aca="false">INT(A1977/$N$1)</f>
        <v>109</v>
      </c>
      <c r="C1977" s="1" t="n">
        <f aca="false">INT(MOD(A1977,$N$1) / 2)</f>
        <v>6</v>
      </c>
      <c r="D1977" s="1" t="n">
        <f aca="false">_xlfn.BITAND(A1977,1)</f>
        <v>1</v>
      </c>
      <c r="F1977" s="1" t="str">
        <f aca="false">DEC2HEX(B1977*$N$3*18)</f>
        <v>1EA80</v>
      </c>
      <c r="G1977" s="1" t="str">
        <f aca="false">DEC2HEX(C1977*7)</f>
        <v>2A</v>
      </c>
      <c r="H1977" s="1" t="str">
        <f aca="false">IF(D1977=0, 33, "cc")</f>
        <v>cc</v>
      </c>
    </row>
    <row r="1978" customFormat="false" ht="18.65" hidden="false" customHeight="true" outlineLevel="0" collapsed="false">
      <c r="A1978" s="1" t="n">
        <f aca="false">ROW()-2</f>
        <v>1976</v>
      </c>
      <c r="B1978" s="1" t="n">
        <f aca="false">INT(A1978/$N$1)</f>
        <v>109</v>
      </c>
      <c r="C1978" s="1" t="n">
        <f aca="false">INT(MOD(A1978,$N$1) / 2)</f>
        <v>7</v>
      </c>
      <c r="D1978" s="1" t="n">
        <f aca="false">_xlfn.BITAND(A1978,1)</f>
        <v>0</v>
      </c>
      <c r="F1978" s="1" t="str">
        <f aca="false">DEC2HEX(B1978*$N$3*18)</f>
        <v>1EA80</v>
      </c>
      <c r="G1978" s="1" t="str">
        <f aca="false">DEC2HEX(C1978*7)</f>
        <v>31</v>
      </c>
      <c r="H1978" s="1" t="n">
        <f aca="false">IF(D1978=0, 33, "cc")</f>
        <v>33</v>
      </c>
    </row>
    <row r="1979" customFormat="false" ht="18.65" hidden="false" customHeight="true" outlineLevel="0" collapsed="false">
      <c r="A1979" s="1" t="n">
        <f aca="false">ROW()-2</f>
        <v>1977</v>
      </c>
      <c r="B1979" s="1" t="n">
        <f aca="false">INT(A1979/$N$1)</f>
        <v>109</v>
      </c>
      <c r="C1979" s="1" t="n">
        <f aca="false">INT(MOD(A1979,$N$1) / 2)</f>
        <v>7</v>
      </c>
      <c r="D1979" s="1" t="n">
        <f aca="false">_xlfn.BITAND(A1979,1)</f>
        <v>1</v>
      </c>
      <c r="F1979" s="1" t="str">
        <f aca="false">DEC2HEX(B1979*$N$3*18)</f>
        <v>1EA80</v>
      </c>
      <c r="G1979" s="1" t="str">
        <f aca="false">DEC2HEX(C1979*7)</f>
        <v>31</v>
      </c>
      <c r="H1979" s="1" t="str">
        <f aca="false">IF(D1979=0, 33, "cc")</f>
        <v>cc</v>
      </c>
    </row>
    <row r="1980" customFormat="false" ht="18.65" hidden="false" customHeight="true" outlineLevel="0" collapsed="false">
      <c r="A1980" s="1" t="n">
        <f aca="false">ROW()-2</f>
        <v>1978</v>
      </c>
      <c r="B1980" s="1" t="n">
        <f aca="false">INT(A1980/$N$1)</f>
        <v>109</v>
      </c>
      <c r="C1980" s="1" t="n">
        <f aca="false">INT(MOD(A1980,$N$1) / 2)</f>
        <v>8</v>
      </c>
      <c r="D1980" s="1" t="n">
        <f aca="false">_xlfn.BITAND(A1980,1)</f>
        <v>0</v>
      </c>
      <c r="F1980" s="1" t="str">
        <f aca="false">DEC2HEX(B1980*$N$3*18)</f>
        <v>1EA80</v>
      </c>
      <c r="G1980" s="1" t="str">
        <f aca="false">DEC2HEX(C1980*7)</f>
        <v>38</v>
      </c>
      <c r="H1980" s="1" t="n">
        <f aca="false">IF(D1980=0, 33, "cc")</f>
        <v>33</v>
      </c>
    </row>
    <row r="1981" customFormat="false" ht="18.65" hidden="false" customHeight="true" outlineLevel="0" collapsed="false">
      <c r="A1981" s="1" t="n">
        <f aca="false">ROW()-2</f>
        <v>1979</v>
      </c>
      <c r="B1981" s="1" t="n">
        <f aca="false">INT(A1981/$N$1)</f>
        <v>109</v>
      </c>
      <c r="C1981" s="1" t="n">
        <f aca="false">INT(MOD(A1981,$N$1) / 2)</f>
        <v>8</v>
      </c>
      <c r="D1981" s="1" t="n">
        <f aca="false">_xlfn.BITAND(A1981,1)</f>
        <v>1</v>
      </c>
      <c r="F1981" s="1" t="str">
        <f aca="false">DEC2HEX(B1981*$N$3*18)</f>
        <v>1EA80</v>
      </c>
      <c r="G1981" s="1" t="str">
        <f aca="false">DEC2HEX(C1981*7)</f>
        <v>38</v>
      </c>
      <c r="H1981" s="1" t="str">
        <f aca="false">IF(D1981=0, 33, "cc")</f>
        <v>cc</v>
      </c>
    </row>
    <row r="1982" customFormat="false" ht="18.65" hidden="false" customHeight="true" outlineLevel="0" collapsed="false">
      <c r="A1982" s="1" t="n">
        <f aca="false">ROW()-2</f>
        <v>1980</v>
      </c>
      <c r="B1982" s="1" t="n">
        <f aca="false">INT(A1982/$N$1)</f>
        <v>110</v>
      </c>
      <c r="C1982" s="1" t="n">
        <f aca="false">INT(MOD(A1982,$N$1) / 2)</f>
        <v>0</v>
      </c>
      <c r="D1982" s="1" t="n">
        <f aca="false">_xlfn.BITAND(A1982,1)</f>
        <v>0</v>
      </c>
      <c r="F1982" s="1" t="str">
        <f aca="false">DEC2HEX(B1982*$N$3*18)</f>
        <v>1EF00</v>
      </c>
      <c r="G1982" s="1" t="str">
        <f aca="false">DEC2HEX(C1982*7)</f>
        <v>0</v>
      </c>
      <c r="H1982" s="1" t="n">
        <f aca="false">IF(D1982=0, 33, "cc")</f>
        <v>33</v>
      </c>
    </row>
    <row r="1983" customFormat="false" ht="18.65" hidden="false" customHeight="true" outlineLevel="0" collapsed="false">
      <c r="A1983" s="1" t="n">
        <f aca="false">ROW()-2</f>
        <v>1981</v>
      </c>
      <c r="B1983" s="1" t="n">
        <f aca="false">INT(A1983/$N$1)</f>
        <v>110</v>
      </c>
      <c r="C1983" s="1" t="n">
        <f aca="false">INT(MOD(A1983,$N$1) / 2)</f>
        <v>0</v>
      </c>
      <c r="D1983" s="1" t="n">
        <f aca="false">_xlfn.BITAND(A1983,1)</f>
        <v>1</v>
      </c>
      <c r="F1983" s="1" t="str">
        <f aca="false">DEC2HEX(B1983*$N$3*18)</f>
        <v>1EF00</v>
      </c>
      <c r="G1983" s="1" t="str">
        <f aca="false">DEC2HEX(C1983*7)</f>
        <v>0</v>
      </c>
      <c r="H1983" s="1" t="str">
        <f aca="false">IF(D1983=0, 33, "cc")</f>
        <v>cc</v>
      </c>
    </row>
    <row r="1984" customFormat="false" ht="18.65" hidden="false" customHeight="true" outlineLevel="0" collapsed="false">
      <c r="A1984" s="1" t="n">
        <f aca="false">ROW()-2</f>
        <v>1982</v>
      </c>
      <c r="B1984" s="1" t="n">
        <f aca="false">INT(A1984/$N$1)</f>
        <v>110</v>
      </c>
      <c r="C1984" s="1" t="n">
        <f aca="false">INT(MOD(A1984,$N$1) / 2)</f>
        <v>1</v>
      </c>
      <c r="D1984" s="1" t="n">
        <f aca="false">_xlfn.BITAND(A1984,1)</f>
        <v>0</v>
      </c>
      <c r="F1984" s="1" t="str">
        <f aca="false">DEC2HEX(B1984*$N$3*18)</f>
        <v>1EF00</v>
      </c>
      <c r="G1984" s="1" t="str">
        <f aca="false">DEC2HEX(C1984*7)</f>
        <v>7</v>
      </c>
      <c r="H1984" s="1" t="n">
        <f aca="false">IF(D1984=0, 33, "cc")</f>
        <v>33</v>
      </c>
    </row>
    <row r="1985" customFormat="false" ht="18.65" hidden="false" customHeight="true" outlineLevel="0" collapsed="false">
      <c r="A1985" s="1" t="n">
        <f aca="false">ROW()-2</f>
        <v>1983</v>
      </c>
      <c r="B1985" s="1" t="n">
        <f aca="false">INT(A1985/$N$1)</f>
        <v>110</v>
      </c>
      <c r="C1985" s="1" t="n">
        <f aca="false">INT(MOD(A1985,$N$1) / 2)</f>
        <v>1</v>
      </c>
      <c r="D1985" s="1" t="n">
        <f aca="false">_xlfn.BITAND(A1985,1)</f>
        <v>1</v>
      </c>
      <c r="F1985" s="1" t="str">
        <f aca="false">DEC2HEX(B1985*$N$3*18)</f>
        <v>1EF00</v>
      </c>
      <c r="G1985" s="1" t="str">
        <f aca="false">DEC2HEX(C1985*7)</f>
        <v>7</v>
      </c>
      <c r="H1985" s="1" t="str">
        <f aca="false">IF(D1985=0, 33, "cc")</f>
        <v>cc</v>
      </c>
    </row>
    <row r="1986" customFormat="false" ht="18.65" hidden="false" customHeight="true" outlineLevel="0" collapsed="false">
      <c r="A1986" s="1" t="n">
        <f aca="false">ROW()-2</f>
        <v>1984</v>
      </c>
      <c r="B1986" s="1" t="n">
        <f aca="false">INT(A1986/$N$1)</f>
        <v>110</v>
      </c>
      <c r="C1986" s="1" t="n">
        <f aca="false">INT(MOD(A1986,$N$1) / 2)</f>
        <v>2</v>
      </c>
      <c r="D1986" s="1" t="n">
        <f aca="false">_xlfn.BITAND(A1986,1)</f>
        <v>0</v>
      </c>
      <c r="F1986" s="1" t="str">
        <f aca="false">DEC2HEX(B1986*$N$3*18)</f>
        <v>1EF00</v>
      </c>
      <c r="G1986" s="1" t="str">
        <f aca="false">DEC2HEX(C1986*7)</f>
        <v>E</v>
      </c>
      <c r="H1986" s="1" t="n">
        <f aca="false">IF(D1986=0, 33, "cc")</f>
        <v>33</v>
      </c>
    </row>
    <row r="1987" customFormat="false" ht="18.65" hidden="false" customHeight="true" outlineLevel="0" collapsed="false">
      <c r="A1987" s="1" t="n">
        <f aca="false">ROW()-2</f>
        <v>1985</v>
      </c>
      <c r="B1987" s="1" t="n">
        <f aca="false">INT(A1987/$N$1)</f>
        <v>110</v>
      </c>
      <c r="C1987" s="1" t="n">
        <f aca="false">INT(MOD(A1987,$N$1) / 2)</f>
        <v>2</v>
      </c>
      <c r="D1987" s="1" t="n">
        <f aca="false">_xlfn.BITAND(A1987,1)</f>
        <v>1</v>
      </c>
      <c r="F1987" s="1" t="str">
        <f aca="false">DEC2HEX(B1987*$N$3*18)</f>
        <v>1EF00</v>
      </c>
      <c r="G1987" s="1" t="str">
        <f aca="false">DEC2HEX(C1987*7)</f>
        <v>E</v>
      </c>
      <c r="H1987" s="1" t="str">
        <f aca="false">IF(D1987=0, 33, "cc")</f>
        <v>cc</v>
      </c>
    </row>
    <row r="1988" customFormat="false" ht="18.65" hidden="false" customHeight="true" outlineLevel="0" collapsed="false">
      <c r="A1988" s="1" t="n">
        <f aca="false">ROW()-2</f>
        <v>1986</v>
      </c>
      <c r="B1988" s="1" t="n">
        <f aca="false">INT(A1988/$N$1)</f>
        <v>110</v>
      </c>
      <c r="C1988" s="1" t="n">
        <f aca="false">INT(MOD(A1988,$N$1) / 2)</f>
        <v>3</v>
      </c>
      <c r="D1988" s="1" t="n">
        <f aca="false">_xlfn.BITAND(A1988,1)</f>
        <v>0</v>
      </c>
      <c r="F1988" s="1" t="str">
        <f aca="false">DEC2HEX(B1988*$N$3*18)</f>
        <v>1EF00</v>
      </c>
      <c r="G1988" s="1" t="str">
        <f aca="false">DEC2HEX(C1988*7)</f>
        <v>15</v>
      </c>
      <c r="H1988" s="1" t="n">
        <f aca="false">IF(D1988=0, 33, "cc")</f>
        <v>33</v>
      </c>
    </row>
    <row r="1989" customFormat="false" ht="18.65" hidden="false" customHeight="true" outlineLevel="0" collapsed="false">
      <c r="A1989" s="1" t="n">
        <f aca="false">ROW()-2</f>
        <v>1987</v>
      </c>
      <c r="B1989" s="1" t="n">
        <f aca="false">INT(A1989/$N$1)</f>
        <v>110</v>
      </c>
      <c r="C1989" s="1" t="n">
        <f aca="false">INT(MOD(A1989,$N$1) / 2)</f>
        <v>3</v>
      </c>
      <c r="D1989" s="1" t="n">
        <f aca="false">_xlfn.BITAND(A1989,1)</f>
        <v>1</v>
      </c>
      <c r="F1989" s="1" t="str">
        <f aca="false">DEC2HEX(B1989*$N$3*18)</f>
        <v>1EF00</v>
      </c>
      <c r="G1989" s="1" t="str">
        <f aca="false">DEC2HEX(C1989*7)</f>
        <v>15</v>
      </c>
      <c r="H1989" s="1" t="str">
        <f aca="false">IF(D1989=0, 33, "cc")</f>
        <v>cc</v>
      </c>
    </row>
    <row r="1990" customFormat="false" ht="18.65" hidden="false" customHeight="true" outlineLevel="0" collapsed="false">
      <c r="A1990" s="1" t="n">
        <f aca="false">ROW()-2</f>
        <v>1988</v>
      </c>
      <c r="B1990" s="1" t="n">
        <f aca="false">INT(A1990/$N$1)</f>
        <v>110</v>
      </c>
      <c r="C1990" s="1" t="n">
        <f aca="false">INT(MOD(A1990,$N$1) / 2)</f>
        <v>4</v>
      </c>
      <c r="D1990" s="1" t="n">
        <f aca="false">_xlfn.BITAND(A1990,1)</f>
        <v>0</v>
      </c>
      <c r="F1990" s="1" t="str">
        <f aca="false">DEC2HEX(B1990*$N$3*18)</f>
        <v>1EF00</v>
      </c>
      <c r="G1990" s="1" t="str">
        <f aca="false">DEC2HEX(C1990*7)</f>
        <v>1C</v>
      </c>
      <c r="H1990" s="1" t="n">
        <f aca="false">IF(D1990=0, 33, "cc")</f>
        <v>33</v>
      </c>
    </row>
    <row r="1991" customFormat="false" ht="18.65" hidden="false" customHeight="true" outlineLevel="0" collapsed="false">
      <c r="A1991" s="1" t="n">
        <f aca="false">ROW()-2</f>
        <v>1989</v>
      </c>
      <c r="B1991" s="1" t="n">
        <f aca="false">INT(A1991/$N$1)</f>
        <v>110</v>
      </c>
      <c r="C1991" s="1" t="n">
        <f aca="false">INT(MOD(A1991,$N$1) / 2)</f>
        <v>4</v>
      </c>
      <c r="D1991" s="1" t="n">
        <f aca="false">_xlfn.BITAND(A1991,1)</f>
        <v>1</v>
      </c>
      <c r="F1991" s="1" t="str">
        <f aca="false">DEC2HEX(B1991*$N$3*18)</f>
        <v>1EF00</v>
      </c>
      <c r="G1991" s="1" t="str">
        <f aca="false">DEC2HEX(C1991*7)</f>
        <v>1C</v>
      </c>
      <c r="H1991" s="1" t="str">
        <f aca="false">IF(D1991=0, 33, "cc")</f>
        <v>cc</v>
      </c>
    </row>
    <row r="1992" customFormat="false" ht="18.65" hidden="false" customHeight="true" outlineLevel="0" collapsed="false">
      <c r="A1992" s="1" t="n">
        <f aca="false">ROW()-2</f>
        <v>1990</v>
      </c>
      <c r="B1992" s="1" t="n">
        <f aca="false">INT(A1992/$N$1)</f>
        <v>110</v>
      </c>
      <c r="C1992" s="1" t="n">
        <f aca="false">INT(MOD(A1992,$N$1) / 2)</f>
        <v>5</v>
      </c>
      <c r="D1992" s="1" t="n">
        <f aca="false">_xlfn.BITAND(A1992,1)</f>
        <v>0</v>
      </c>
      <c r="F1992" s="1" t="str">
        <f aca="false">DEC2HEX(B1992*$N$3*18)</f>
        <v>1EF00</v>
      </c>
      <c r="G1992" s="1" t="str">
        <f aca="false">DEC2HEX(C1992*7)</f>
        <v>23</v>
      </c>
      <c r="H1992" s="1" t="n">
        <f aca="false">IF(D1992=0, 33, "cc")</f>
        <v>33</v>
      </c>
    </row>
    <row r="1993" customFormat="false" ht="18.65" hidden="false" customHeight="true" outlineLevel="0" collapsed="false">
      <c r="A1993" s="1" t="n">
        <f aca="false">ROW()-2</f>
        <v>1991</v>
      </c>
      <c r="B1993" s="1" t="n">
        <f aca="false">INT(A1993/$N$1)</f>
        <v>110</v>
      </c>
      <c r="C1993" s="1" t="n">
        <f aca="false">INT(MOD(A1993,$N$1) / 2)</f>
        <v>5</v>
      </c>
      <c r="D1993" s="1" t="n">
        <f aca="false">_xlfn.BITAND(A1993,1)</f>
        <v>1</v>
      </c>
      <c r="F1993" s="1" t="str">
        <f aca="false">DEC2HEX(B1993*$N$3*18)</f>
        <v>1EF00</v>
      </c>
      <c r="G1993" s="1" t="str">
        <f aca="false">DEC2HEX(C1993*7)</f>
        <v>23</v>
      </c>
      <c r="H1993" s="1" t="str">
        <f aca="false">IF(D1993=0, 33, "cc")</f>
        <v>cc</v>
      </c>
    </row>
    <row r="1994" customFormat="false" ht="18.65" hidden="false" customHeight="true" outlineLevel="0" collapsed="false">
      <c r="A1994" s="1" t="n">
        <f aca="false">ROW()-2</f>
        <v>1992</v>
      </c>
      <c r="B1994" s="1" t="n">
        <f aca="false">INT(A1994/$N$1)</f>
        <v>110</v>
      </c>
      <c r="C1994" s="1" t="n">
        <f aca="false">INT(MOD(A1994,$N$1) / 2)</f>
        <v>6</v>
      </c>
      <c r="D1994" s="1" t="n">
        <f aca="false">_xlfn.BITAND(A1994,1)</f>
        <v>0</v>
      </c>
      <c r="F1994" s="1" t="str">
        <f aca="false">DEC2HEX(B1994*$N$3*18)</f>
        <v>1EF00</v>
      </c>
      <c r="G1994" s="1" t="str">
        <f aca="false">DEC2HEX(C1994*7)</f>
        <v>2A</v>
      </c>
      <c r="H1994" s="1" t="n">
        <f aca="false">IF(D1994=0, 33, "cc")</f>
        <v>33</v>
      </c>
    </row>
    <row r="1995" customFormat="false" ht="18.65" hidden="false" customHeight="true" outlineLevel="0" collapsed="false">
      <c r="A1995" s="1" t="n">
        <f aca="false">ROW()-2</f>
        <v>1993</v>
      </c>
      <c r="B1995" s="1" t="n">
        <f aca="false">INT(A1995/$N$1)</f>
        <v>110</v>
      </c>
      <c r="C1995" s="1" t="n">
        <f aca="false">INT(MOD(A1995,$N$1) / 2)</f>
        <v>6</v>
      </c>
      <c r="D1995" s="1" t="n">
        <f aca="false">_xlfn.BITAND(A1995,1)</f>
        <v>1</v>
      </c>
      <c r="F1995" s="1" t="str">
        <f aca="false">DEC2HEX(B1995*$N$3*18)</f>
        <v>1EF00</v>
      </c>
      <c r="G1995" s="1" t="str">
        <f aca="false">DEC2HEX(C1995*7)</f>
        <v>2A</v>
      </c>
      <c r="H1995" s="1" t="str">
        <f aca="false">IF(D1995=0, 33, "cc")</f>
        <v>cc</v>
      </c>
    </row>
    <row r="1996" customFormat="false" ht="18.65" hidden="false" customHeight="true" outlineLevel="0" collapsed="false">
      <c r="A1996" s="1" t="n">
        <f aca="false">ROW()-2</f>
        <v>1994</v>
      </c>
      <c r="B1996" s="1" t="n">
        <f aca="false">INT(A1996/$N$1)</f>
        <v>110</v>
      </c>
      <c r="C1996" s="1" t="n">
        <f aca="false">INT(MOD(A1996,$N$1) / 2)</f>
        <v>7</v>
      </c>
      <c r="D1996" s="1" t="n">
        <f aca="false">_xlfn.BITAND(A1996,1)</f>
        <v>0</v>
      </c>
      <c r="F1996" s="1" t="str">
        <f aca="false">DEC2HEX(B1996*$N$3*18)</f>
        <v>1EF00</v>
      </c>
      <c r="G1996" s="1" t="str">
        <f aca="false">DEC2HEX(C1996*7)</f>
        <v>31</v>
      </c>
      <c r="H1996" s="1" t="n">
        <f aca="false">IF(D1996=0, 33, "cc")</f>
        <v>33</v>
      </c>
    </row>
    <row r="1997" customFormat="false" ht="18.65" hidden="false" customHeight="true" outlineLevel="0" collapsed="false">
      <c r="A1997" s="1" t="n">
        <f aca="false">ROW()-2</f>
        <v>1995</v>
      </c>
      <c r="B1997" s="1" t="n">
        <f aca="false">INT(A1997/$N$1)</f>
        <v>110</v>
      </c>
      <c r="C1997" s="1" t="n">
        <f aca="false">INT(MOD(A1997,$N$1) / 2)</f>
        <v>7</v>
      </c>
      <c r="D1997" s="1" t="n">
        <f aca="false">_xlfn.BITAND(A1997,1)</f>
        <v>1</v>
      </c>
      <c r="F1997" s="1" t="str">
        <f aca="false">DEC2HEX(B1997*$N$3*18)</f>
        <v>1EF00</v>
      </c>
      <c r="G1997" s="1" t="str">
        <f aca="false">DEC2HEX(C1997*7)</f>
        <v>31</v>
      </c>
      <c r="H1997" s="1" t="str">
        <f aca="false">IF(D1997=0, 33, "cc")</f>
        <v>cc</v>
      </c>
    </row>
    <row r="1998" customFormat="false" ht="18.65" hidden="false" customHeight="true" outlineLevel="0" collapsed="false">
      <c r="A1998" s="1" t="n">
        <f aca="false">ROW()-2</f>
        <v>1996</v>
      </c>
      <c r="B1998" s="1" t="n">
        <f aca="false">INT(A1998/$N$1)</f>
        <v>110</v>
      </c>
      <c r="C1998" s="1" t="n">
        <f aca="false">INT(MOD(A1998,$N$1) / 2)</f>
        <v>8</v>
      </c>
      <c r="D1998" s="1" t="n">
        <f aca="false">_xlfn.BITAND(A1998,1)</f>
        <v>0</v>
      </c>
      <c r="F1998" s="1" t="str">
        <f aca="false">DEC2HEX(B1998*$N$3*18)</f>
        <v>1EF00</v>
      </c>
      <c r="G1998" s="1" t="str">
        <f aca="false">DEC2HEX(C1998*7)</f>
        <v>38</v>
      </c>
      <c r="H1998" s="1" t="n">
        <f aca="false">IF(D1998=0, 33, "cc")</f>
        <v>33</v>
      </c>
    </row>
    <row r="1999" customFormat="false" ht="18.65" hidden="false" customHeight="true" outlineLevel="0" collapsed="false">
      <c r="A1999" s="1" t="n">
        <f aca="false">ROW()-2</f>
        <v>1997</v>
      </c>
      <c r="B1999" s="1" t="n">
        <f aca="false">INT(A1999/$N$1)</f>
        <v>110</v>
      </c>
      <c r="C1999" s="1" t="n">
        <f aca="false">INT(MOD(A1999,$N$1) / 2)</f>
        <v>8</v>
      </c>
      <c r="D1999" s="1" t="n">
        <f aca="false">_xlfn.BITAND(A1999,1)</f>
        <v>1</v>
      </c>
      <c r="F1999" s="1" t="str">
        <f aca="false">DEC2HEX(B1999*$N$3*18)</f>
        <v>1EF00</v>
      </c>
      <c r="G1999" s="1" t="str">
        <f aca="false">DEC2HEX(C1999*7)</f>
        <v>38</v>
      </c>
      <c r="H1999" s="1" t="str">
        <f aca="false">IF(D1999=0, 33, "cc")</f>
        <v>cc</v>
      </c>
    </row>
    <row r="2000" customFormat="false" ht="18.65" hidden="false" customHeight="true" outlineLevel="0" collapsed="false">
      <c r="A2000" s="1" t="n">
        <f aca="false">ROW()-2</f>
        <v>1998</v>
      </c>
      <c r="B2000" s="1" t="n">
        <f aca="false">INT(A2000/$N$1)</f>
        <v>111</v>
      </c>
      <c r="C2000" s="1" t="n">
        <f aca="false">INT(MOD(A2000,$N$1) / 2)</f>
        <v>0</v>
      </c>
      <c r="D2000" s="1" t="n">
        <f aca="false">_xlfn.BITAND(A2000,1)</f>
        <v>0</v>
      </c>
      <c r="F2000" s="1" t="str">
        <f aca="false">DEC2HEX(B2000*$N$3*18)</f>
        <v>1F380</v>
      </c>
      <c r="G2000" s="1" t="str">
        <f aca="false">DEC2HEX(C2000*7)</f>
        <v>0</v>
      </c>
      <c r="H2000" s="1" t="n">
        <f aca="false">IF(D2000=0, 33, "cc")</f>
        <v>33</v>
      </c>
    </row>
    <row r="2001" customFormat="false" ht="18.65" hidden="false" customHeight="true" outlineLevel="0" collapsed="false">
      <c r="A2001" s="1" t="n">
        <f aca="false">ROW()-2</f>
        <v>1999</v>
      </c>
      <c r="B2001" s="1" t="n">
        <f aca="false">INT(A2001/$N$1)</f>
        <v>111</v>
      </c>
      <c r="C2001" s="1" t="n">
        <f aca="false">INT(MOD(A2001,$N$1) / 2)</f>
        <v>0</v>
      </c>
      <c r="D2001" s="1" t="n">
        <f aca="false">_xlfn.BITAND(A2001,1)</f>
        <v>1</v>
      </c>
      <c r="F2001" s="1" t="str">
        <f aca="false">DEC2HEX(B2001*$N$3*18)</f>
        <v>1F380</v>
      </c>
      <c r="G2001" s="1" t="str">
        <f aca="false">DEC2HEX(C2001*7)</f>
        <v>0</v>
      </c>
      <c r="H2001" s="1" t="str">
        <f aca="false">IF(D2001=0, 33, "cc")</f>
        <v>cc</v>
      </c>
    </row>
    <row r="2002" customFormat="false" ht="18.65" hidden="false" customHeight="true" outlineLevel="0" collapsed="false">
      <c r="A2002" s="1" t="n">
        <f aca="false">ROW()-2</f>
        <v>2000</v>
      </c>
      <c r="B2002" s="1" t="n">
        <f aca="false">INT(A2002/$N$1)</f>
        <v>111</v>
      </c>
      <c r="C2002" s="1" t="n">
        <f aca="false">INT(MOD(A2002,$N$1) / 2)</f>
        <v>1</v>
      </c>
      <c r="D2002" s="1" t="n">
        <f aca="false">_xlfn.BITAND(A2002,1)</f>
        <v>0</v>
      </c>
      <c r="F2002" s="1" t="str">
        <f aca="false">DEC2HEX(B2002*$N$3*18)</f>
        <v>1F380</v>
      </c>
      <c r="G2002" s="1" t="str">
        <f aca="false">DEC2HEX(C2002*7)</f>
        <v>7</v>
      </c>
      <c r="H2002" s="1" t="n">
        <f aca="false">IF(D2002=0, 33, "cc")</f>
        <v>33</v>
      </c>
    </row>
    <row r="2003" customFormat="false" ht="18.65" hidden="false" customHeight="true" outlineLevel="0" collapsed="false">
      <c r="A2003" s="1" t="n">
        <f aca="false">ROW()-2</f>
        <v>2001</v>
      </c>
      <c r="B2003" s="1" t="n">
        <f aca="false">INT(A2003/$N$1)</f>
        <v>111</v>
      </c>
      <c r="C2003" s="1" t="n">
        <f aca="false">INT(MOD(A2003,$N$1) / 2)</f>
        <v>1</v>
      </c>
      <c r="D2003" s="1" t="n">
        <f aca="false">_xlfn.BITAND(A2003,1)</f>
        <v>1</v>
      </c>
      <c r="F2003" s="1" t="str">
        <f aca="false">DEC2HEX(B2003*$N$3*18)</f>
        <v>1F380</v>
      </c>
      <c r="G2003" s="1" t="str">
        <f aca="false">DEC2HEX(C2003*7)</f>
        <v>7</v>
      </c>
      <c r="H2003" s="1" t="str">
        <f aca="false">IF(D2003=0, 33, "cc")</f>
        <v>cc</v>
      </c>
    </row>
    <row r="2004" customFormat="false" ht="18.65" hidden="false" customHeight="true" outlineLevel="0" collapsed="false">
      <c r="A2004" s="1" t="n">
        <f aca="false">ROW()-2</f>
        <v>2002</v>
      </c>
      <c r="B2004" s="1" t="n">
        <f aca="false">INT(A2004/$N$1)</f>
        <v>111</v>
      </c>
      <c r="C2004" s="1" t="n">
        <f aca="false">INT(MOD(A2004,$N$1) / 2)</f>
        <v>2</v>
      </c>
      <c r="D2004" s="1" t="n">
        <f aca="false">_xlfn.BITAND(A2004,1)</f>
        <v>0</v>
      </c>
      <c r="F2004" s="1" t="str">
        <f aca="false">DEC2HEX(B2004*$N$3*18)</f>
        <v>1F380</v>
      </c>
      <c r="G2004" s="1" t="str">
        <f aca="false">DEC2HEX(C2004*7)</f>
        <v>E</v>
      </c>
      <c r="H2004" s="1" t="n">
        <f aca="false">IF(D2004=0, 33, "cc")</f>
        <v>33</v>
      </c>
    </row>
    <row r="2005" customFormat="false" ht="18.65" hidden="false" customHeight="true" outlineLevel="0" collapsed="false">
      <c r="A2005" s="1" t="n">
        <f aca="false">ROW()-2</f>
        <v>2003</v>
      </c>
      <c r="B2005" s="1" t="n">
        <f aca="false">INT(A2005/$N$1)</f>
        <v>111</v>
      </c>
      <c r="C2005" s="1" t="n">
        <f aca="false">INT(MOD(A2005,$N$1) / 2)</f>
        <v>2</v>
      </c>
      <c r="D2005" s="1" t="n">
        <f aca="false">_xlfn.BITAND(A2005,1)</f>
        <v>1</v>
      </c>
      <c r="F2005" s="1" t="str">
        <f aca="false">DEC2HEX(B2005*$N$3*18)</f>
        <v>1F380</v>
      </c>
      <c r="G2005" s="1" t="str">
        <f aca="false">DEC2HEX(C2005*7)</f>
        <v>E</v>
      </c>
      <c r="H2005" s="1" t="str">
        <f aca="false">IF(D2005=0, 33, "cc")</f>
        <v>cc</v>
      </c>
    </row>
    <row r="2006" customFormat="false" ht="18.65" hidden="false" customHeight="true" outlineLevel="0" collapsed="false">
      <c r="A2006" s="1" t="n">
        <f aca="false">ROW()-2</f>
        <v>2004</v>
      </c>
      <c r="B2006" s="1" t="n">
        <f aca="false">INT(A2006/$N$1)</f>
        <v>111</v>
      </c>
      <c r="C2006" s="1" t="n">
        <f aca="false">INT(MOD(A2006,$N$1) / 2)</f>
        <v>3</v>
      </c>
      <c r="D2006" s="1" t="n">
        <f aca="false">_xlfn.BITAND(A2006,1)</f>
        <v>0</v>
      </c>
      <c r="F2006" s="1" t="str">
        <f aca="false">DEC2HEX(B2006*$N$3*18)</f>
        <v>1F380</v>
      </c>
      <c r="G2006" s="1" t="str">
        <f aca="false">DEC2HEX(C2006*7)</f>
        <v>15</v>
      </c>
      <c r="H2006" s="1" t="n">
        <f aca="false">IF(D2006=0, 33, "cc")</f>
        <v>33</v>
      </c>
    </row>
    <row r="2007" customFormat="false" ht="18.65" hidden="false" customHeight="true" outlineLevel="0" collapsed="false">
      <c r="A2007" s="1" t="n">
        <f aca="false">ROW()-2</f>
        <v>2005</v>
      </c>
      <c r="B2007" s="1" t="n">
        <f aca="false">INT(A2007/$N$1)</f>
        <v>111</v>
      </c>
      <c r="C2007" s="1" t="n">
        <f aca="false">INT(MOD(A2007,$N$1) / 2)</f>
        <v>3</v>
      </c>
      <c r="D2007" s="1" t="n">
        <f aca="false">_xlfn.BITAND(A2007,1)</f>
        <v>1</v>
      </c>
      <c r="F2007" s="1" t="str">
        <f aca="false">DEC2HEX(B2007*$N$3*18)</f>
        <v>1F380</v>
      </c>
      <c r="G2007" s="1" t="str">
        <f aca="false">DEC2HEX(C2007*7)</f>
        <v>15</v>
      </c>
      <c r="H2007" s="1" t="str">
        <f aca="false">IF(D2007=0, 33, "cc")</f>
        <v>cc</v>
      </c>
    </row>
    <row r="2008" customFormat="false" ht="18.65" hidden="false" customHeight="true" outlineLevel="0" collapsed="false">
      <c r="A2008" s="1" t="n">
        <f aca="false">ROW()-2</f>
        <v>2006</v>
      </c>
      <c r="B2008" s="1" t="n">
        <f aca="false">INT(A2008/$N$1)</f>
        <v>111</v>
      </c>
      <c r="C2008" s="1" t="n">
        <f aca="false">INT(MOD(A2008,$N$1) / 2)</f>
        <v>4</v>
      </c>
      <c r="D2008" s="1" t="n">
        <f aca="false">_xlfn.BITAND(A2008,1)</f>
        <v>0</v>
      </c>
      <c r="F2008" s="1" t="str">
        <f aca="false">DEC2HEX(B2008*$N$3*18)</f>
        <v>1F380</v>
      </c>
      <c r="G2008" s="1" t="str">
        <f aca="false">DEC2HEX(C2008*7)</f>
        <v>1C</v>
      </c>
      <c r="H2008" s="1" t="n">
        <f aca="false">IF(D2008=0, 33, "cc")</f>
        <v>33</v>
      </c>
    </row>
    <row r="2009" customFormat="false" ht="18.65" hidden="false" customHeight="true" outlineLevel="0" collapsed="false">
      <c r="A2009" s="1" t="n">
        <f aca="false">ROW()-2</f>
        <v>2007</v>
      </c>
      <c r="B2009" s="1" t="n">
        <f aca="false">INT(A2009/$N$1)</f>
        <v>111</v>
      </c>
      <c r="C2009" s="1" t="n">
        <f aca="false">INT(MOD(A2009,$N$1) / 2)</f>
        <v>4</v>
      </c>
      <c r="D2009" s="1" t="n">
        <f aca="false">_xlfn.BITAND(A2009,1)</f>
        <v>1</v>
      </c>
      <c r="F2009" s="1" t="str">
        <f aca="false">DEC2HEX(B2009*$N$3*18)</f>
        <v>1F380</v>
      </c>
      <c r="G2009" s="1" t="str">
        <f aca="false">DEC2HEX(C2009*7)</f>
        <v>1C</v>
      </c>
      <c r="H2009" s="1" t="str">
        <f aca="false">IF(D2009=0, 33, "cc")</f>
        <v>cc</v>
      </c>
    </row>
    <row r="2010" customFormat="false" ht="18.65" hidden="false" customHeight="true" outlineLevel="0" collapsed="false">
      <c r="A2010" s="1" t="n">
        <f aca="false">ROW()-2</f>
        <v>2008</v>
      </c>
      <c r="B2010" s="1" t="n">
        <f aca="false">INT(A2010/$N$1)</f>
        <v>111</v>
      </c>
      <c r="C2010" s="1" t="n">
        <f aca="false">INT(MOD(A2010,$N$1) / 2)</f>
        <v>5</v>
      </c>
      <c r="D2010" s="1" t="n">
        <f aca="false">_xlfn.BITAND(A2010,1)</f>
        <v>0</v>
      </c>
      <c r="F2010" s="1" t="str">
        <f aca="false">DEC2HEX(B2010*$N$3*18)</f>
        <v>1F380</v>
      </c>
      <c r="G2010" s="1" t="str">
        <f aca="false">DEC2HEX(C2010*7)</f>
        <v>23</v>
      </c>
      <c r="H2010" s="1" t="n">
        <f aca="false">IF(D2010=0, 33, "cc")</f>
        <v>33</v>
      </c>
    </row>
    <row r="2011" customFormat="false" ht="18.65" hidden="false" customHeight="true" outlineLevel="0" collapsed="false">
      <c r="A2011" s="1" t="n">
        <f aca="false">ROW()-2</f>
        <v>2009</v>
      </c>
      <c r="B2011" s="1" t="n">
        <f aca="false">INT(A2011/$N$1)</f>
        <v>111</v>
      </c>
      <c r="C2011" s="1" t="n">
        <f aca="false">INT(MOD(A2011,$N$1) / 2)</f>
        <v>5</v>
      </c>
      <c r="D2011" s="1" t="n">
        <f aca="false">_xlfn.BITAND(A2011,1)</f>
        <v>1</v>
      </c>
      <c r="F2011" s="1" t="str">
        <f aca="false">DEC2HEX(B2011*$N$3*18)</f>
        <v>1F380</v>
      </c>
      <c r="G2011" s="1" t="str">
        <f aca="false">DEC2HEX(C2011*7)</f>
        <v>23</v>
      </c>
      <c r="H2011" s="1" t="str">
        <f aca="false">IF(D2011=0, 33, "cc")</f>
        <v>cc</v>
      </c>
    </row>
    <row r="2012" customFormat="false" ht="18.65" hidden="false" customHeight="true" outlineLevel="0" collapsed="false">
      <c r="A2012" s="1" t="n">
        <f aca="false">ROW()-2</f>
        <v>2010</v>
      </c>
      <c r="B2012" s="1" t="n">
        <f aca="false">INT(A2012/$N$1)</f>
        <v>111</v>
      </c>
      <c r="C2012" s="1" t="n">
        <f aca="false">INT(MOD(A2012,$N$1) / 2)</f>
        <v>6</v>
      </c>
      <c r="D2012" s="1" t="n">
        <f aca="false">_xlfn.BITAND(A2012,1)</f>
        <v>0</v>
      </c>
      <c r="F2012" s="1" t="str">
        <f aca="false">DEC2HEX(B2012*$N$3*18)</f>
        <v>1F380</v>
      </c>
      <c r="G2012" s="1" t="str">
        <f aca="false">DEC2HEX(C2012*7)</f>
        <v>2A</v>
      </c>
      <c r="H2012" s="1" t="n">
        <f aca="false">IF(D2012=0, 33, "cc")</f>
        <v>33</v>
      </c>
    </row>
    <row r="2013" customFormat="false" ht="18.65" hidden="false" customHeight="true" outlineLevel="0" collapsed="false">
      <c r="A2013" s="1" t="n">
        <f aca="false">ROW()-2</f>
        <v>2011</v>
      </c>
      <c r="B2013" s="1" t="n">
        <f aca="false">INT(A2013/$N$1)</f>
        <v>111</v>
      </c>
      <c r="C2013" s="1" t="n">
        <f aca="false">INT(MOD(A2013,$N$1) / 2)</f>
        <v>6</v>
      </c>
      <c r="D2013" s="1" t="n">
        <f aca="false">_xlfn.BITAND(A2013,1)</f>
        <v>1</v>
      </c>
      <c r="F2013" s="1" t="str">
        <f aca="false">DEC2HEX(B2013*$N$3*18)</f>
        <v>1F380</v>
      </c>
      <c r="G2013" s="1" t="str">
        <f aca="false">DEC2HEX(C2013*7)</f>
        <v>2A</v>
      </c>
      <c r="H2013" s="1" t="str">
        <f aca="false">IF(D2013=0, 33, "cc")</f>
        <v>cc</v>
      </c>
    </row>
    <row r="2014" customFormat="false" ht="18.65" hidden="false" customHeight="true" outlineLevel="0" collapsed="false">
      <c r="A2014" s="1" t="n">
        <f aca="false">ROW()-2</f>
        <v>2012</v>
      </c>
      <c r="B2014" s="1" t="n">
        <f aca="false">INT(A2014/$N$1)</f>
        <v>111</v>
      </c>
      <c r="C2014" s="1" t="n">
        <f aca="false">INT(MOD(A2014,$N$1) / 2)</f>
        <v>7</v>
      </c>
      <c r="D2014" s="1" t="n">
        <f aca="false">_xlfn.BITAND(A2014,1)</f>
        <v>0</v>
      </c>
      <c r="F2014" s="1" t="str">
        <f aca="false">DEC2HEX(B2014*$N$3*18)</f>
        <v>1F380</v>
      </c>
      <c r="G2014" s="1" t="str">
        <f aca="false">DEC2HEX(C2014*7)</f>
        <v>31</v>
      </c>
      <c r="H2014" s="1" t="n">
        <f aca="false">IF(D2014=0, 33, "cc")</f>
        <v>33</v>
      </c>
    </row>
    <row r="2015" customFormat="false" ht="18.65" hidden="false" customHeight="true" outlineLevel="0" collapsed="false">
      <c r="A2015" s="1" t="n">
        <f aca="false">ROW()-2</f>
        <v>2013</v>
      </c>
      <c r="B2015" s="1" t="n">
        <f aca="false">INT(A2015/$N$1)</f>
        <v>111</v>
      </c>
      <c r="C2015" s="1" t="n">
        <f aca="false">INT(MOD(A2015,$N$1) / 2)</f>
        <v>7</v>
      </c>
      <c r="D2015" s="1" t="n">
        <f aca="false">_xlfn.BITAND(A2015,1)</f>
        <v>1</v>
      </c>
      <c r="F2015" s="1" t="str">
        <f aca="false">DEC2HEX(B2015*$N$3*18)</f>
        <v>1F380</v>
      </c>
      <c r="G2015" s="1" t="str">
        <f aca="false">DEC2HEX(C2015*7)</f>
        <v>31</v>
      </c>
      <c r="H2015" s="1" t="str">
        <f aca="false">IF(D2015=0, 33, "cc")</f>
        <v>cc</v>
      </c>
    </row>
    <row r="2016" customFormat="false" ht="18.65" hidden="false" customHeight="true" outlineLevel="0" collapsed="false">
      <c r="A2016" s="1" t="n">
        <f aca="false">ROW()-2</f>
        <v>2014</v>
      </c>
      <c r="B2016" s="1" t="n">
        <f aca="false">INT(A2016/$N$1)</f>
        <v>111</v>
      </c>
      <c r="C2016" s="1" t="n">
        <f aca="false">INT(MOD(A2016,$N$1) / 2)</f>
        <v>8</v>
      </c>
      <c r="D2016" s="1" t="n">
        <f aca="false">_xlfn.BITAND(A2016,1)</f>
        <v>0</v>
      </c>
      <c r="F2016" s="1" t="str">
        <f aca="false">DEC2HEX(B2016*$N$3*18)</f>
        <v>1F380</v>
      </c>
      <c r="G2016" s="1" t="str">
        <f aca="false">DEC2HEX(C2016*7)</f>
        <v>38</v>
      </c>
      <c r="H2016" s="1" t="n">
        <f aca="false">IF(D2016=0, 33, "cc")</f>
        <v>33</v>
      </c>
    </row>
    <row r="2017" customFormat="false" ht="18.65" hidden="false" customHeight="true" outlineLevel="0" collapsed="false">
      <c r="A2017" s="1" t="n">
        <f aca="false">ROW()-2</f>
        <v>2015</v>
      </c>
      <c r="B2017" s="1" t="n">
        <f aca="false">INT(A2017/$N$1)</f>
        <v>111</v>
      </c>
      <c r="C2017" s="1" t="n">
        <f aca="false">INT(MOD(A2017,$N$1) / 2)</f>
        <v>8</v>
      </c>
      <c r="D2017" s="1" t="n">
        <f aca="false">_xlfn.BITAND(A2017,1)</f>
        <v>1</v>
      </c>
      <c r="F2017" s="1" t="str">
        <f aca="false">DEC2HEX(B2017*$N$3*18)</f>
        <v>1F380</v>
      </c>
      <c r="G2017" s="1" t="str">
        <f aca="false">DEC2HEX(C2017*7)</f>
        <v>38</v>
      </c>
      <c r="H2017" s="1" t="str">
        <f aca="false">IF(D2017=0, 33, "cc")</f>
        <v>cc</v>
      </c>
    </row>
    <row r="2018" customFormat="false" ht="18.65" hidden="false" customHeight="true" outlineLevel="0" collapsed="false">
      <c r="A2018" s="1" t="n">
        <f aca="false">ROW()-2</f>
        <v>2016</v>
      </c>
      <c r="B2018" s="1" t="n">
        <f aca="false">INT(A2018/$N$1)</f>
        <v>112</v>
      </c>
      <c r="C2018" s="1" t="n">
        <f aca="false">INT(MOD(A2018,$N$1) / 2)</f>
        <v>0</v>
      </c>
      <c r="D2018" s="1" t="n">
        <f aca="false">_xlfn.BITAND(A2018,1)</f>
        <v>0</v>
      </c>
      <c r="F2018" s="1" t="str">
        <f aca="false">DEC2HEX(B2018*$N$3*18)</f>
        <v>1F800</v>
      </c>
      <c r="G2018" s="1" t="str">
        <f aca="false">DEC2HEX(C2018*7)</f>
        <v>0</v>
      </c>
      <c r="H2018" s="1" t="n">
        <f aca="false">IF(D2018=0, 33, "cc")</f>
        <v>33</v>
      </c>
    </row>
    <row r="2019" customFormat="false" ht="18.65" hidden="false" customHeight="true" outlineLevel="0" collapsed="false">
      <c r="A2019" s="1" t="n">
        <f aca="false">ROW()-2</f>
        <v>2017</v>
      </c>
      <c r="B2019" s="1" t="n">
        <f aca="false">INT(A2019/$N$1)</f>
        <v>112</v>
      </c>
      <c r="C2019" s="1" t="n">
        <f aca="false">INT(MOD(A2019,$N$1) / 2)</f>
        <v>0</v>
      </c>
      <c r="D2019" s="1" t="n">
        <f aca="false">_xlfn.BITAND(A2019,1)</f>
        <v>1</v>
      </c>
      <c r="F2019" s="1" t="str">
        <f aca="false">DEC2HEX(B2019*$N$3*18)</f>
        <v>1F800</v>
      </c>
      <c r="G2019" s="1" t="str">
        <f aca="false">DEC2HEX(C2019*7)</f>
        <v>0</v>
      </c>
      <c r="H2019" s="1" t="str">
        <f aca="false">IF(D2019=0, 33, "cc")</f>
        <v>cc</v>
      </c>
    </row>
    <row r="2020" customFormat="false" ht="18.65" hidden="false" customHeight="true" outlineLevel="0" collapsed="false">
      <c r="A2020" s="1" t="n">
        <f aca="false">ROW()-2</f>
        <v>2018</v>
      </c>
      <c r="B2020" s="1" t="n">
        <f aca="false">INT(A2020/$N$1)</f>
        <v>112</v>
      </c>
      <c r="C2020" s="1" t="n">
        <f aca="false">INT(MOD(A2020,$N$1) / 2)</f>
        <v>1</v>
      </c>
      <c r="D2020" s="1" t="n">
        <f aca="false">_xlfn.BITAND(A2020,1)</f>
        <v>0</v>
      </c>
      <c r="F2020" s="1" t="str">
        <f aca="false">DEC2HEX(B2020*$N$3*18)</f>
        <v>1F800</v>
      </c>
      <c r="G2020" s="1" t="str">
        <f aca="false">DEC2HEX(C2020*7)</f>
        <v>7</v>
      </c>
      <c r="H2020" s="1" t="n">
        <f aca="false">IF(D2020=0, 33, "cc")</f>
        <v>33</v>
      </c>
    </row>
    <row r="2021" customFormat="false" ht="18.65" hidden="false" customHeight="true" outlineLevel="0" collapsed="false">
      <c r="A2021" s="1" t="n">
        <f aca="false">ROW()-2</f>
        <v>2019</v>
      </c>
      <c r="B2021" s="1" t="n">
        <f aca="false">INT(A2021/$N$1)</f>
        <v>112</v>
      </c>
      <c r="C2021" s="1" t="n">
        <f aca="false">INT(MOD(A2021,$N$1) / 2)</f>
        <v>1</v>
      </c>
      <c r="D2021" s="1" t="n">
        <f aca="false">_xlfn.BITAND(A2021,1)</f>
        <v>1</v>
      </c>
      <c r="F2021" s="1" t="str">
        <f aca="false">DEC2HEX(B2021*$N$3*18)</f>
        <v>1F800</v>
      </c>
      <c r="G2021" s="1" t="str">
        <f aca="false">DEC2HEX(C2021*7)</f>
        <v>7</v>
      </c>
      <c r="H2021" s="1" t="str">
        <f aca="false">IF(D2021=0, 33, "cc")</f>
        <v>cc</v>
      </c>
    </row>
    <row r="2022" customFormat="false" ht="18.65" hidden="false" customHeight="true" outlineLevel="0" collapsed="false">
      <c r="A2022" s="1" t="n">
        <f aca="false">ROW()-2</f>
        <v>2020</v>
      </c>
      <c r="B2022" s="1" t="n">
        <f aca="false">INT(A2022/$N$1)</f>
        <v>112</v>
      </c>
      <c r="C2022" s="1" t="n">
        <f aca="false">INT(MOD(A2022,$N$1) / 2)</f>
        <v>2</v>
      </c>
      <c r="D2022" s="1" t="n">
        <f aca="false">_xlfn.BITAND(A2022,1)</f>
        <v>0</v>
      </c>
      <c r="F2022" s="1" t="str">
        <f aca="false">DEC2HEX(B2022*$N$3*18)</f>
        <v>1F800</v>
      </c>
      <c r="G2022" s="1" t="str">
        <f aca="false">DEC2HEX(C2022*7)</f>
        <v>E</v>
      </c>
      <c r="H2022" s="1" t="n">
        <f aca="false">IF(D2022=0, 33, "cc")</f>
        <v>33</v>
      </c>
    </row>
    <row r="2023" customFormat="false" ht="18.65" hidden="false" customHeight="true" outlineLevel="0" collapsed="false">
      <c r="A2023" s="1" t="n">
        <f aca="false">ROW()-2</f>
        <v>2021</v>
      </c>
      <c r="B2023" s="1" t="n">
        <f aca="false">INT(A2023/$N$1)</f>
        <v>112</v>
      </c>
      <c r="C2023" s="1" t="n">
        <f aca="false">INT(MOD(A2023,$N$1) / 2)</f>
        <v>2</v>
      </c>
      <c r="D2023" s="1" t="n">
        <f aca="false">_xlfn.BITAND(A2023,1)</f>
        <v>1</v>
      </c>
      <c r="F2023" s="1" t="str">
        <f aca="false">DEC2HEX(B2023*$N$3*18)</f>
        <v>1F800</v>
      </c>
      <c r="G2023" s="1" t="str">
        <f aca="false">DEC2HEX(C2023*7)</f>
        <v>E</v>
      </c>
      <c r="H2023" s="1" t="str">
        <f aca="false">IF(D2023=0, 33, "cc")</f>
        <v>cc</v>
      </c>
    </row>
    <row r="2024" customFormat="false" ht="18.65" hidden="false" customHeight="true" outlineLevel="0" collapsed="false">
      <c r="A2024" s="1" t="n">
        <f aca="false">ROW()-2</f>
        <v>2022</v>
      </c>
      <c r="B2024" s="1" t="n">
        <f aca="false">INT(A2024/$N$1)</f>
        <v>112</v>
      </c>
      <c r="C2024" s="1" t="n">
        <f aca="false">INT(MOD(A2024,$N$1) / 2)</f>
        <v>3</v>
      </c>
      <c r="D2024" s="1" t="n">
        <f aca="false">_xlfn.BITAND(A2024,1)</f>
        <v>0</v>
      </c>
      <c r="F2024" s="1" t="str">
        <f aca="false">DEC2HEX(B2024*$N$3*18)</f>
        <v>1F800</v>
      </c>
      <c r="G2024" s="1" t="str">
        <f aca="false">DEC2HEX(C2024*7)</f>
        <v>15</v>
      </c>
      <c r="H2024" s="1" t="n">
        <f aca="false">IF(D2024=0, 33, "cc")</f>
        <v>33</v>
      </c>
    </row>
    <row r="2025" customFormat="false" ht="18.65" hidden="false" customHeight="true" outlineLevel="0" collapsed="false">
      <c r="A2025" s="1" t="n">
        <f aca="false">ROW()-2</f>
        <v>2023</v>
      </c>
      <c r="B2025" s="1" t="n">
        <f aca="false">INT(A2025/$N$1)</f>
        <v>112</v>
      </c>
      <c r="C2025" s="1" t="n">
        <f aca="false">INT(MOD(A2025,$N$1) / 2)</f>
        <v>3</v>
      </c>
      <c r="D2025" s="1" t="n">
        <f aca="false">_xlfn.BITAND(A2025,1)</f>
        <v>1</v>
      </c>
      <c r="F2025" s="1" t="str">
        <f aca="false">DEC2HEX(B2025*$N$3*18)</f>
        <v>1F800</v>
      </c>
      <c r="G2025" s="1" t="str">
        <f aca="false">DEC2HEX(C2025*7)</f>
        <v>15</v>
      </c>
      <c r="H2025" s="1" t="str">
        <f aca="false">IF(D2025=0, 33, "cc")</f>
        <v>cc</v>
      </c>
    </row>
    <row r="2026" customFormat="false" ht="18.65" hidden="false" customHeight="true" outlineLevel="0" collapsed="false">
      <c r="A2026" s="1" t="n">
        <f aca="false">ROW()-2</f>
        <v>2024</v>
      </c>
      <c r="B2026" s="1" t="n">
        <f aca="false">INT(A2026/$N$1)</f>
        <v>112</v>
      </c>
      <c r="C2026" s="1" t="n">
        <f aca="false">INT(MOD(A2026,$N$1) / 2)</f>
        <v>4</v>
      </c>
      <c r="D2026" s="1" t="n">
        <f aca="false">_xlfn.BITAND(A2026,1)</f>
        <v>0</v>
      </c>
      <c r="F2026" s="1" t="str">
        <f aca="false">DEC2HEX(B2026*$N$3*18)</f>
        <v>1F800</v>
      </c>
      <c r="G2026" s="1" t="str">
        <f aca="false">DEC2HEX(C2026*7)</f>
        <v>1C</v>
      </c>
      <c r="H2026" s="1" t="n">
        <f aca="false">IF(D2026=0, 33, "cc")</f>
        <v>33</v>
      </c>
    </row>
    <row r="2027" customFormat="false" ht="18.65" hidden="false" customHeight="true" outlineLevel="0" collapsed="false">
      <c r="A2027" s="1" t="n">
        <f aca="false">ROW()-2</f>
        <v>2025</v>
      </c>
      <c r="B2027" s="1" t="n">
        <f aca="false">INT(A2027/$N$1)</f>
        <v>112</v>
      </c>
      <c r="C2027" s="1" t="n">
        <f aca="false">INT(MOD(A2027,$N$1) / 2)</f>
        <v>4</v>
      </c>
      <c r="D2027" s="1" t="n">
        <f aca="false">_xlfn.BITAND(A2027,1)</f>
        <v>1</v>
      </c>
      <c r="F2027" s="1" t="str">
        <f aca="false">DEC2HEX(B2027*$N$3*18)</f>
        <v>1F800</v>
      </c>
      <c r="G2027" s="1" t="str">
        <f aca="false">DEC2HEX(C2027*7)</f>
        <v>1C</v>
      </c>
      <c r="H2027" s="1" t="str">
        <f aca="false">IF(D2027=0, 33, "cc")</f>
        <v>cc</v>
      </c>
    </row>
    <row r="2028" customFormat="false" ht="18.65" hidden="false" customHeight="true" outlineLevel="0" collapsed="false">
      <c r="A2028" s="1" t="n">
        <f aca="false">ROW()-2</f>
        <v>2026</v>
      </c>
      <c r="B2028" s="1" t="n">
        <f aca="false">INT(A2028/$N$1)</f>
        <v>112</v>
      </c>
      <c r="C2028" s="1" t="n">
        <f aca="false">INT(MOD(A2028,$N$1) / 2)</f>
        <v>5</v>
      </c>
      <c r="D2028" s="1" t="n">
        <f aca="false">_xlfn.BITAND(A2028,1)</f>
        <v>0</v>
      </c>
      <c r="F2028" s="1" t="str">
        <f aca="false">DEC2HEX(B2028*$N$3*18)</f>
        <v>1F800</v>
      </c>
      <c r="G2028" s="1" t="str">
        <f aca="false">DEC2HEX(C2028*7)</f>
        <v>23</v>
      </c>
      <c r="H2028" s="1" t="n">
        <f aca="false">IF(D2028=0, 33, "cc")</f>
        <v>33</v>
      </c>
    </row>
    <row r="2029" customFormat="false" ht="18.65" hidden="false" customHeight="true" outlineLevel="0" collapsed="false">
      <c r="A2029" s="1" t="n">
        <f aca="false">ROW()-2</f>
        <v>2027</v>
      </c>
      <c r="B2029" s="1" t="n">
        <f aca="false">INT(A2029/$N$1)</f>
        <v>112</v>
      </c>
      <c r="C2029" s="1" t="n">
        <f aca="false">INT(MOD(A2029,$N$1) / 2)</f>
        <v>5</v>
      </c>
      <c r="D2029" s="1" t="n">
        <f aca="false">_xlfn.BITAND(A2029,1)</f>
        <v>1</v>
      </c>
      <c r="F2029" s="1" t="str">
        <f aca="false">DEC2HEX(B2029*$N$3*18)</f>
        <v>1F800</v>
      </c>
      <c r="G2029" s="1" t="str">
        <f aca="false">DEC2HEX(C2029*7)</f>
        <v>23</v>
      </c>
      <c r="H2029" s="1" t="str">
        <f aca="false">IF(D2029=0, 33, "cc")</f>
        <v>cc</v>
      </c>
    </row>
    <row r="2030" customFormat="false" ht="18.65" hidden="false" customHeight="true" outlineLevel="0" collapsed="false">
      <c r="A2030" s="1" t="n">
        <f aca="false">ROW()-2</f>
        <v>2028</v>
      </c>
      <c r="B2030" s="1" t="n">
        <f aca="false">INT(A2030/$N$1)</f>
        <v>112</v>
      </c>
      <c r="C2030" s="1" t="n">
        <f aca="false">INT(MOD(A2030,$N$1) / 2)</f>
        <v>6</v>
      </c>
      <c r="D2030" s="1" t="n">
        <f aca="false">_xlfn.BITAND(A2030,1)</f>
        <v>0</v>
      </c>
      <c r="F2030" s="1" t="str">
        <f aca="false">DEC2HEX(B2030*$N$3*18)</f>
        <v>1F800</v>
      </c>
      <c r="G2030" s="1" t="str">
        <f aca="false">DEC2HEX(C2030*7)</f>
        <v>2A</v>
      </c>
      <c r="H2030" s="1" t="n">
        <f aca="false">IF(D2030=0, 33, "cc")</f>
        <v>33</v>
      </c>
    </row>
    <row r="2031" customFormat="false" ht="18.65" hidden="false" customHeight="true" outlineLevel="0" collapsed="false">
      <c r="A2031" s="1" t="n">
        <f aca="false">ROW()-2</f>
        <v>2029</v>
      </c>
      <c r="B2031" s="1" t="n">
        <f aca="false">INT(A2031/$N$1)</f>
        <v>112</v>
      </c>
      <c r="C2031" s="1" t="n">
        <f aca="false">INT(MOD(A2031,$N$1) / 2)</f>
        <v>6</v>
      </c>
      <c r="D2031" s="1" t="n">
        <f aca="false">_xlfn.BITAND(A2031,1)</f>
        <v>1</v>
      </c>
      <c r="F2031" s="1" t="str">
        <f aca="false">DEC2HEX(B2031*$N$3*18)</f>
        <v>1F800</v>
      </c>
      <c r="G2031" s="1" t="str">
        <f aca="false">DEC2HEX(C2031*7)</f>
        <v>2A</v>
      </c>
      <c r="H2031" s="1" t="str">
        <f aca="false">IF(D2031=0, 33, "cc")</f>
        <v>cc</v>
      </c>
    </row>
    <row r="2032" customFormat="false" ht="18.65" hidden="false" customHeight="true" outlineLevel="0" collapsed="false">
      <c r="A2032" s="1" t="n">
        <f aca="false">ROW()-2</f>
        <v>2030</v>
      </c>
      <c r="B2032" s="1" t="n">
        <f aca="false">INT(A2032/$N$1)</f>
        <v>112</v>
      </c>
      <c r="C2032" s="1" t="n">
        <f aca="false">INT(MOD(A2032,$N$1) / 2)</f>
        <v>7</v>
      </c>
      <c r="D2032" s="1" t="n">
        <f aca="false">_xlfn.BITAND(A2032,1)</f>
        <v>0</v>
      </c>
      <c r="F2032" s="1" t="str">
        <f aca="false">DEC2HEX(B2032*$N$3*18)</f>
        <v>1F800</v>
      </c>
      <c r="G2032" s="1" t="str">
        <f aca="false">DEC2HEX(C2032*7)</f>
        <v>31</v>
      </c>
      <c r="H2032" s="1" t="n">
        <f aca="false">IF(D2032=0, 33, "cc")</f>
        <v>33</v>
      </c>
    </row>
    <row r="2033" customFormat="false" ht="18.65" hidden="false" customHeight="true" outlineLevel="0" collapsed="false">
      <c r="A2033" s="1" t="n">
        <f aca="false">ROW()-2</f>
        <v>2031</v>
      </c>
      <c r="B2033" s="1" t="n">
        <f aca="false">INT(A2033/$N$1)</f>
        <v>112</v>
      </c>
      <c r="C2033" s="1" t="n">
        <f aca="false">INT(MOD(A2033,$N$1) / 2)</f>
        <v>7</v>
      </c>
      <c r="D2033" s="1" t="n">
        <f aca="false">_xlfn.BITAND(A2033,1)</f>
        <v>1</v>
      </c>
      <c r="F2033" s="1" t="str">
        <f aca="false">DEC2HEX(B2033*$N$3*18)</f>
        <v>1F800</v>
      </c>
      <c r="G2033" s="1" t="str">
        <f aca="false">DEC2HEX(C2033*7)</f>
        <v>31</v>
      </c>
      <c r="H2033" s="1" t="str">
        <f aca="false">IF(D2033=0, 33, "cc")</f>
        <v>cc</v>
      </c>
    </row>
    <row r="2034" customFormat="false" ht="18.65" hidden="false" customHeight="true" outlineLevel="0" collapsed="false">
      <c r="A2034" s="1" t="n">
        <f aca="false">ROW()-2</f>
        <v>2032</v>
      </c>
      <c r="B2034" s="1" t="n">
        <f aca="false">INT(A2034/$N$1)</f>
        <v>112</v>
      </c>
      <c r="C2034" s="1" t="n">
        <f aca="false">INT(MOD(A2034,$N$1) / 2)</f>
        <v>8</v>
      </c>
      <c r="D2034" s="1" t="n">
        <f aca="false">_xlfn.BITAND(A2034,1)</f>
        <v>0</v>
      </c>
      <c r="F2034" s="1" t="str">
        <f aca="false">DEC2HEX(B2034*$N$3*18)</f>
        <v>1F800</v>
      </c>
      <c r="G2034" s="1" t="str">
        <f aca="false">DEC2HEX(C2034*7)</f>
        <v>38</v>
      </c>
      <c r="H2034" s="1" t="n">
        <f aca="false">IF(D2034=0, 33, "cc")</f>
        <v>33</v>
      </c>
    </row>
    <row r="2035" customFormat="false" ht="18.65" hidden="false" customHeight="true" outlineLevel="0" collapsed="false">
      <c r="A2035" s="1" t="n">
        <f aca="false">ROW()-2</f>
        <v>2033</v>
      </c>
      <c r="B2035" s="1" t="n">
        <f aca="false">INT(A2035/$N$1)</f>
        <v>112</v>
      </c>
      <c r="C2035" s="1" t="n">
        <f aca="false">INT(MOD(A2035,$N$1) / 2)</f>
        <v>8</v>
      </c>
      <c r="D2035" s="1" t="n">
        <f aca="false">_xlfn.BITAND(A2035,1)</f>
        <v>1</v>
      </c>
      <c r="F2035" s="1" t="str">
        <f aca="false">DEC2HEX(B2035*$N$3*18)</f>
        <v>1F800</v>
      </c>
      <c r="G2035" s="1" t="str">
        <f aca="false">DEC2HEX(C2035*7)</f>
        <v>38</v>
      </c>
      <c r="H2035" s="1" t="str">
        <f aca="false">IF(D2035=0, 33, "cc")</f>
        <v>cc</v>
      </c>
    </row>
    <row r="2036" customFormat="false" ht="18.65" hidden="false" customHeight="true" outlineLevel="0" collapsed="false">
      <c r="A2036" s="1" t="n">
        <f aca="false">ROW()-2</f>
        <v>2034</v>
      </c>
      <c r="B2036" s="1" t="n">
        <f aca="false">INT(A2036/$N$1)</f>
        <v>113</v>
      </c>
      <c r="C2036" s="1" t="n">
        <f aca="false">INT(MOD(A2036,$N$1) / 2)</f>
        <v>0</v>
      </c>
      <c r="D2036" s="1" t="n">
        <f aca="false">_xlfn.BITAND(A2036,1)</f>
        <v>0</v>
      </c>
      <c r="F2036" s="1" t="str">
        <f aca="false">DEC2HEX(B2036*$N$3*18)</f>
        <v>1FC80</v>
      </c>
      <c r="G2036" s="1" t="str">
        <f aca="false">DEC2HEX(C2036*7)</f>
        <v>0</v>
      </c>
      <c r="H2036" s="1" t="n">
        <f aca="false">IF(D2036=0, 33, "cc")</f>
        <v>33</v>
      </c>
    </row>
    <row r="2037" customFormat="false" ht="18.65" hidden="false" customHeight="true" outlineLevel="0" collapsed="false">
      <c r="A2037" s="1" t="n">
        <f aca="false">ROW()-2</f>
        <v>2035</v>
      </c>
      <c r="B2037" s="1" t="n">
        <f aca="false">INT(A2037/$N$1)</f>
        <v>113</v>
      </c>
      <c r="C2037" s="1" t="n">
        <f aca="false">INT(MOD(A2037,$N$1) / 2)</f>
        <v>0</v>
      </c>
      <c r="D2037" s="1" t="n">
        <f aca="false">_xlfn.BITAND(A2037,1)</f>
        <v>1</v>
      </c>
      <c r="F2037" s="1" t="str">
        <f aca="false">DEC2HEX(B2037*$N$3*18)</f>
        <v>1FC80</v>
      </c>
      <c r="G2037" s="1" t="str">
        <f aca="false">DEC2HEX(C2037*7)</f>
        <v>0</v>
      </c>
      <c r="H2037" s="1" t="str">
        <f aca="false">IF(D2037=0, 33, "cc")</f>
        <v>cc</v>
      </c>
    </row>
    <row r="2038" customFormat="false" ht="18.65" hidden="false" customHeight="true" outlineLevel="0" collapsed="false">
      <c r="A2038" s="1" t="n">
        <f aca="false">ROW()-2</f>
        <v>2036</v>
      </c>
      <c r="B2038" s="1" t="n">
        <f aca="false">INT(A2038/$N$1)</f>
        <v>113</v>
      </c>
      <c r="C2038" s="1" t="n">
        <f aca="false">INT(MOD(A2038,$N$1) / 2)</f>
        <v>1</v>
      </c>
      <c r="D2038" s="1" t="n">
        <f aca="false">_xlfn.BITAND(A2038,1)</f>
        <v>0</v>
      </c>
      <c r="F2038" s="1" t="str">
        <f aca="false">DEC2HEX(B2038*$N$3*18)</f>
        <v>1FC80</v>
      </c>
      <c r="G2038" s="1" t="str">
        <f aca="false">DEC2HEX(C2038*7)</f>
        <v>7</v>
      </c>
      <c r="H2038" s="1" t="n">
        <f aca="false">IF(D2038=0, 33, "cc")</f>
        <v>33</v>
      </c>
    </row>
    <row r="2039" customFormat="false" ht="18.65" hidden="false" customHeight="true" outlineLevel="0" collapsed="false">
      <c r="A2039" s="1" t="n">
        <f aca="false">ROW()-2</f>
        <v>2037</v>
      </c>
      <c r="B2039" s="1" t="n">
        <f aca="false">INT(A2039/$N$1)</f>
        <v>113</v>
      </c>
      <c r="C2039" s="1" t="n">
        <f aca="false">INT(MOD(A2039,$N$1) / 2)</f>
        <v>1</v>
      </c>
      <c r="D2039" s="1" t="n">
        <f aca="false">_xlfn.BITAND(A2039,1)</f>
        <v>1</v>
      </c>
      <c r="F2039" s="1" t="str">
        <f aca="false">DEC2HEX(B2039*$N$3*18)</f>
        <v>1FC80</v>
      </c>
      <c r="G2039" s="1" t="str">
        <f aca="false">DEC2HEX(C2039*7)</f>
        <v>7</v>
      </c>
      <c r="H2039" s="1" t="str">
        <f aca="false">IF(D2039=0, 33, "cc")</f>
        <v>cc</v>
      </c>
    </row>
    <row r="2040" customFormat="false" ht="18.65" hidden="false" customHeight="true" outlineLevel="0" collapsed="false">
      <c r="A2040" s="1" t="n">
        <f aca="false">ROW()-2</f>
        <v>2038</v>
      </c>
      <c r="B2040" s="1" t="n">
        <f aca="false">INT(A2040/$N$1)</f>
        <v>113</v>
      </c>
      <c r="C2040" s="1" t="n">
        <f aca="false">INT(MOD(A2040,$N$1) / 2)</f>
        <v>2</v>
      </c>
      <c r="D2040" s="1" t="n">
        <f aca="false">_xlfn.BITAND(A2040,1)</f>
        <v>0</v>
      </c>
      <c r="F2040" s="1" t="str">
        <f aca="false">DEC2HEX(B2040*$N$3*18)</f>
        <v>1FC80</v>
      </c>
      <c r="G2040" s="1" t="str">
        <f aca="false">DEC2HEX(C2040*7)</f>
        <v>E</v>
      </c>
      <c r="H2040" s="1" t="n">
        <f aca="false">IF(D2040=0, 33, "cc")</f>
        <v>33</v>
      </c>
    </row>
    <row r="2041" customFormat="false" ht="18.65" hidden="false" customHeight="true" outlineLevel="0" collapsed="false">
      <c r="A2041" s="1" t="n">
        <f aca="false">ROW()-2</f>
        <v>2039</v>
      </c>
      <c r="B2041" s="1" t="n">
        <f aca="false">INT(A2041/$N$1)</f>
        <v>113</v>
      </c>
      <c r="C2041" s="1" t="n">
        <f aca="false">INT(MOD(A2041,$N$1) / 2)</f>
        <v>2</v>
      </c>
      <c r="D2041" s="1" t="n">
        <f aca="false">_xlfn.BITAND(A2041,1)</f>
        <v>1</v>
      </c>
      <c r="F2041" s="1" t="str">
        <f aca="false">DEC2HEX(B2041*$N$3*18)</f>
        <v>1FC80</v>
      </c>
      <c r="G2041" s="1" t="str">
        <f aca="false">DEC2HEX(C2041*7)</f>
        <v>E</v>
      </c>
      <c r="H2041" s="1" t="str">
        <f aca="false">IF(D2041=0, 33, "cc")</f>
        <v>cc</v>
      </c>
    </row>
    <row r="2042" customFormat="false" ht="18.65" hidden="false" customHeight="true" outlineLevel="0" collapsed="false">
      <c r="A2042" s="1" t="n">
        <f aca="false">ROW()-2</f>
        <v>2040</v>
      </c>
      <c r="B2042" s="1" t="n">
        <f aca="false">INT(A2042/$N$1)</f>
        <v>113</v>
      </c>
      <c r="C2042" s="1" t="n">
        <f aca="false">INT(MOD(A2042,$N$1) / 2)</f>
        <v>3</v>
      </c>
      <c r="D2042" s="1" t="n">
        <f aca="false">_xlfn.BITAND(A2042,1)</f>
        <v>0</v>
      </c>
      <c r="F2042" s="1" t="str">
        <f aca="false">DEC2HEX(B2042*$N$3*18)</f>
        <v>1FC80</v>
      </c>
      <c r="G2042" s="1" t="str">
        <f aca="false">DEC2HEX(C2042*7)</f>
        <v>15</v>
      </c>
      <c r="H2042" s="1" t="n">
        <f aca="false">IF(D2042=0, 33, "cc")</f>
        <v>33</v>
      </c>
    </row>
    <row r="2043" customFormat="false" ht="18.65" hidden="false" customHeight="true" outlineLevel="0" collapsed="false">
      <c r="A2043" s="1" t="n">
        <f aca="false">ROW()-2</f>
        <v>2041</v>
      </c>
      <c r="B2043" s="1" t="n">
        <f aca="false">INT(A2043/$N$1)</f>
        <v>113</v>
      </c>
      <c r="C2043" s="1" t="n">
        <f aca="false">INT(MOD(A2043,$N$1) / 2)</f>
        <v>3</v>
      </c>
      <c r="D2043" s="1" t="n">
        <f aca="false">_xlfn.BITAND(A2043,1)</f>
        <v>1</v>
      </c>
      <c r="F2043" s="1" t="str">
        <f aca="false">DEC2HEX(B2043*$N$3*18)</f>
        <v>1FC80</v>
      </c>
      <c r="G2043" s="1" t="str">
        <f aca="false">DEC2HEX(C2043*7)</f>
        <v>15</v>
      </c>
      <c r="H2043" s="1" t="str">
        <f aca="false">IF(D2043=0, 33, "cc")</f>
        <v>cc</v>
      </c>
    </row>
    <row r="2044" customFormat="false" ht="18.65" hidden="false" customHeight="true" outlineLevel="0" collapsed="false">
      <c r="A2044" s="1" t="n">
        <f aca="false">ROW()-2</f>
        <v>2042</v>
      </c>
      <c r="B2044" s="1" t="n">
        <f aca="false">INT(A2044/$N$1)</f>
        <v>113</v>
      </c>
      <c r="C2044" s="1" t="n">
        <f aca="false">INT(MOD(A2044,$N$1) / 2)</f>
        <v>4</v>
      </c>
      <c r="D2044" s="1" t="n">
        <f aca="false">_xlfn.BITAND(A2044,1)</f>
        <v>0</v>
      </c>
      <c r="F2044" s="1" t="str">
        <f aca="false">DEC2HEX(B2044*$N$3*18)</f>
        <v>1FC80</v>
      </c>
      <c r="G2044" s="1" t="str">
        <f aca="false">DEC2HEX(C2044*7)</f>
        <v>1C</v>
      </c>
      <c r="H2044" s="1" t="n">
        <f aca="false">IF(D2044=0, 33, "cc")</f>
        <v>33</v>
      </c>
    </row>
    <row r="2045" customFormat="false" ht="18.65" hidden="false" customHeight="true" outlineLevel="0" collapsed="false">
      <c r="A2045" s="1" t="n">
        <f aca="false">ROW()-2</f>
        <v>2043</v>
      </c>
      <c r="B2045" s="1" t="n">
        <f aca="false">INT(A2045/$N$1)</f>
        <v>113</v>
      </c>
      <c r="C2045" s="1" t="n">
        <f aca="false">INT(MOD(A2045,$N$1) / 2)</f>
        <v>4</v>
      </c>
      <c r="D2045" s="1" t="n">
        <f aca="false">_xlfn.BITAND(A2045,1)</f>
        <v>1</v>
      </c>
      <c r="F2045" s="1" t="str">
        <f aca="false">DEC2HEX(B2045*$N$3*18)</f>
        <v>1FC80</v>
      </c>
      <c r="G2045" s="1" t="str">
        <f aca="false">DEC2HEX(C2045*7)</f>
        <v>1C</v>
      </c>
      <c r="H2045" s="1" t="str">
        <f aca="false">IF(D2045=0, 33, "cc")</f>
        <v>cc</v>
      </c>
    </row>
    <row r="2046" customFormat="false" ht="18.65" hidden="false" customHeight="true" outlineLevel="0" collapsed="false">
      <c r="A2046" s="1" t="n">
        <f aca="false">ROW()-2</f>
        <v>2044</v>
      </c>
      <c r="B2046" s="1" t="n">
        <f aca="false">INT(A2046/$N$1)</f>
        <v>113</v>
      </c>
      <c r="C2046" s="1" t="n">
        <f aca="false">INT(MOD(A2046,$N$1) / 2)</f>
        <v>5</v>
      </c>
      <c r="D2046" s="1" t="n">
        <f aca="false">_xlfn.BITAND(A2046,1)</f>
        <v>0</v>
      </c>
      <c r="F2046" s="1" t="str">
        <f aca="false">DEC2HEX(B2046*$N$3*18)</f>
        <v>1FC80</v>
      </c>
      <c r="G2046" s="1" t="str">
        <f aca="false">DEC2HEX(C2046*7)</f>
        <v>23</v>
      </c>
      <c r="H2046" s="1" t="n">
        <f aca="false">IF(D2046=0, 33, "cc")</f>
        <v>33</v>
      </c>
    </row>
    <row r="2047" customFormat="false" ht="18.65" hidden="false" customHeight="true" outlineLevel="0" collapsed="false">
      <c r="A2047" s="1" t="n">
        <f aca="false">ROW()-2</f>
        <v>2045</v>
      </c>
      <c r="B2047" s="1" t="n">
        <f aca="false">INT(A2047/$N$1)</f>
        <v>113</v>
      </c>
      <c r="C2047" s="1" t="n">
        <f aca="false">INT(MOD(A2047,$N$1) / 2)</f>
        <v>5</v>
      </c>
      <c r="D2047" s="1" t="n">
        <f aca="false">_xlfn.BITAND(A2047,1)</f>
        <v>1</v>
      </c>
      <c r="F2047" s="1" t="str">
        <f aca="false">DEC2HEX(B2047*$N$3*18)</f>
        <v>1FC80</v>
      </c>
      <c r="G2047" s="1" t="str">
        <f aca="false">DEC2HEX(C2047*7)</f>
        <v>23</v>
      </c>
      <c r="H2047" s="1" t="str">
        <f aca="false">IF(D2047=0, 33, "cc")</f>
        <v>cc</v>
      </c>
    </row>
    <row r="2048" customFormat="false" ht="18.65" hidden="false" customHeight="true" outlineLevel="0" collapsed="false">
      <c r="A2048" s="1" t="n">
        <f aca="false">ROW()-2</f>
        <v>2046</v>
      </c>
      <c r="B2048" s="1" t="n">
        <f aca="false">INT(A2048/$N$1)</f>
        <v>113</v>
      </c>
      <c r="C2048" s="1" t="n">
        <f aca="false">INT(MOD(A2048,$N$1) / 2)</f>
        <v>6</v>
      </c>
      <c r="D2048" s="1" t="n">
        <f aca="false">_xlfn.BITAND(A2048,1)</f>
        <v>0</v>
      </c>
      <c r="F2048" s="1" t="str">
        <f aca="false">DEC2HEX(B2048*$N$3*18)</f>
        <v>1FC80</v>
      </c>
      <c r="G2048" s="1" t="str">
        <f aca="false">DEC2HEX(C2048*7)</f>
        <v>2A</v>
      </c>
      <c r="H2048" s="1" t="n">
        <f aca="false">IF(D2048=0, 33, "cc")</f>
        <v>33</v>
      </c>
    </row>
    <row r="2049" customFormat="false" ht="18.65" hidden="false" customHeight="true" outlineLevel="0" collapsed="false">
      <c r="A2049" s="1" t="n">
        <f aca="false">ROW()-2</f>
        <v>2047</v>
      </c>
      <c r="B2049" s="1" t="n">
        <f aca="false">INT(A2049/$N$1)</f>
        <v>113</v>
      </c>
      <c r="C2049" s="1" t="n">
        <f aca="false">INT(MOD(A2049,$N$1) / 2)</f>
        <v>6</v>
      </c>
      <c r="D2049" s="1" t="n">
        <f aca="false">_xlfn.BITAND(A2049,1)</f>
        <v>1</v>
      </c>
      <c r="F2049" s="1" t="str">
        <f aca="false">DEC2HEX(B2049*$N$3*18)</f>
        <v>1FC80</v>
      </c>
      <c r="G2049" s="1" t="str">
        <f aca="false">DEC2HEX(C2049*7)</f>
        <v>2A</v>
      </c>
      <c r="H2049" s="1" t="str">
        <f aca="false">IF(D2049=0, 33, "cc")</f>
        <v>cc</v>
      </c>
    </row>
    <row r="2050" customFormat="false" ht="18.65" hidden="false" customHeight="true" outlineLevel="0" collapsed="false">
      <c r="A2050" s="1" t="n">
        <f aca="false">ROW()-2</f>
        <v>2048</v>
      </c>
      <c r="B2050" s="1" t="n">
        <f aca="false">INT(A2050/$N$1)</f>
        <v>113</v>
      </c>
      <c r="C2050" s="1" t="n">
        <f aca="false">INT(MOD(A2050,$N$1) / 2)</f>
        <v>7</v>
      </c>
      <c r="D2050" s="1" t="n">
        <f aca="false">_xlfn.BITAND(A2050,1)</f>
        <v>0</v>
      </c>
      <c r="F2050" s="1" t="str">
        <f aca="false">DEC2HEX(B2050*$N$3*18)</f>
        <v>1FC80</v>
      </c>
      <c r="G2050" s="1" t="str">
        <f aca="false">DEC2HEX(C2050*7)</f>
        <v>31</v>
      </c>
      <c r="H2050" s="1" t="n">
        <f aca="false">IF(D2050=0, 33, "cc")</f>
        <v>33</v>
      </c>
    </row>
    <row r="2051" customFormat="false" ht="18.65" hidden="false" customHeight="true" outlineLevel="0" collapsed="false">
      <c r="A2051" s="1" t="n">
        <f aca="false">ROW()-2</f>
        <v>2049</v>
      </c>
      <c r="B2051" s="1" t="n">
        <f aca="false">INT(A2051/$N$1)</f>
        <v>113</v>
      </c>
      <c r="C2051" s="1" t="n">
        <f aca="false">INT(MOD(A2051,$N$1) / 2)</f>
        <v>7</v>
      </c>
      <c r="D2051" s="1" t="n">
        <f aca="false">_xlfn.BITAND(A2051,1)</f>
        <v>1</v>
      </c>
      <c r="F2051" s="1" t="str">
        <f aca="false">DEC2HEX(B2051*$N$3*18)</f>
        <v>1FC80</v>
      </c>
      <c r="G2051" s="1" t="str">
        <f aca="false">DEC2HEX(C2051*7)</f>
        <v>31</v>
      </c>
      <c r="H2051" s="1" t="str">
        <f aca="false">IF(D2051=0, 33, "cc")</f>
        <v>cc</v>
      </c>
    </row>
    <row r="2052" customFormat="false" ht="18.65" hidden="false" customHeight="true" outlineLevel="0" collapsed="false">
      <c r="A2052" s="1" t="n">
        <f aca="false">ROW()-2</f>
        <v>2050</v>
      </c>
      <c r="B2052" s="1" t="n">
        <f aca="false">INT(A2052/$N$1)</f>
        <v>113</v>
      </c>
      <c r="C2052" s="1" t="n">
        <f aca="false">INT(MOD(A2052,$N$1) / 2)</f>
        <v>8</v>
      </c>
      <c r="D2052" s="1" t="n">
        <f aca="false">_xlfn.BITAND(A2052,1)</f>
        <v>0</v>
      </c>
      <c r="F2052" s="1" t="str">
        <f aca="false">DEC2HEX(B2052*$N$3*18)</f>
        <v>1FC80</v>
      </c>
      <c r="G2052" s="1" t="str">
        <f aca="false">DEC2HEX(C2052*7)</f>
        <v>38</v>
      </c>
      <c r="H2052" s="1" t="n">
        <f aca="false">IF(D2052=0, 33, "cc")</f>
        <v>33</v>
      </c>
    </row>
    <row r="2053" customFormat="false" ht="18.65" hidden="false" customHeight="true" outlineLevel="0" collapsed="false">
      <c r="A2053" s="1" t="n">
        <f aca="false">ROW()-2</f>
        <v>2051</v>
      </c>
      <c r="B2053" s="1" t="n">
        <f aca="false">INT(A2053/$N$1)</f>
        <v>113</v>
      </c>
      <c r="C2053" s="1" t="n">
        <f aca="false">INT(MOD(A2053,$N$1) / 2)</f>
        <v>8</v>
      </c>
      <c r="D2053" s="1" t="n">
        <f aca="false">_xlfn.BITAND(A2053,1)</f>
        <v>1</v>
      </c>
      <c r="F2053" s="1" t="str">
        <f aca="false">DEC2HEX(B2053*$N$3*18)</f>
        <v>1FC80</v>
      </c>
      <c r="G2053" s="1" t="str">
        <f aca="false">DEC2HEX(C2053*7)</f>
        <v>38</v>
      </c>
      <c r="H2053" s="1" t="str">
        <f aca="false">IF(D2053=0, 33, "cc")</f>
        <v>cc</v>
      </c>
    </row>
    <row r="2054" customFormat="false" ht="18.65" hidden="false" customHeight="true" outlineLevel="0" collapsed="false">
      <c r="A2054" s="1" t="n">
        <f aca="false">ROW()-2</f>
        <v>2052</v>
      </c>
      <c r="B2054" s="1" t="n">
        <f aca="false">INT(A2054/$N$1)</f>
        <v>114</v>
      </c>
      <c r="C2054" s="1" t="n">
        <f aca="false">INT(MOD(A2054,$N$1) / 2)</f>
        <v>0</v>
      </c>
      <c r="D2054" s="1" t="n">
        <f aca="false">_xlfn.BITAND(A2054,1)</f>
        <v>0</v>
      </c>
      <c r="F2054" s="1" t="str">
        <f aca="false">DEC2HEX(B2054*$N$3*18)</f>
        <v>20100</v>
      </c>
      <c r="G2054" s="1" t="str">
        <f aca="false">DEC2HEX(C2054*7)</f>
        <v>0</v>
      </c>
      <c r="H2054" s="1" t="n">
        <f aca="false">IF(D2054=0, 33, "cc")</f>
        <v>33</v>
      </c>
    </row>
    <row r="2055" customFormat="false" ht="18.65" hidden="false" customHeight="true" outlineLevel="0" collapsed="false">
      <c r="A2055" s="1" t="n">
        <f aca="false">ROW()-2</f>
        <v>2053</v>
      </c>
      <c r="B2055" s="1" t="n">
        <f aca="false">INT(A2055/$N$1)</f>
        <v>114</v>
      </c>
      <c r="C2055" s="1" t="n">
        <f aca="false">INT(MOD(A2055,$N$1) / 2)</f>
        <v>0</v>
      </c>
      <c r="D2055" s="1" t="n">
        <f aca="false">_xlfn.BITAND(A2055,1)</f>
        <v>1</v>
      </c>
      <c r="F2055" s="1" t="str">
        <f aca="false">DEC2HEX(B2055*$N$3*18)</f>
        <v>20100</v>
      </c>
      <c r="G2055" s="1" t="str">
        <f aca="false">DEC2HEX(C2055*7)</f>
        <v>0</v>
      </c>
      <c r="H2055" s="1" t="str">
        <f aca="false">IF(D2055=0, 33, "cc")</f>
        <v>cc</v>
      </c>
    </row>
    <row r="2056" customFormat="false" ht="18.65" hidden="false" customHeight="true" outlineLevel="0" collapsed="false">
      <c r="A2056" s="1" t="n">
        <f aca="false">ROW()-2</f>
        <v>2054</v>
      </c>
      <c r="B2056" s="1" t="n">
        <f aca="false">INT(A2056/$N$1)</f>
        <v>114</v>
      </c>
      <c r="C2056" s="1" t="n">
        <f aca="false">INT(MOD(A2056,$N$1) / 2)</f>
        <v>1</v>
      </c>
      <c r="D2056" s="1" t="n">
        <f aca="false">_xlfn.BITAND(A2056,1)</f>
        <v>0</v>
      </c>
      <c r="F2056" s="1" t="str">
        <f aca="false">DEC2HEX(B2056*$N$3*18)</f>
        <v>20100</v>
      </c>
      <c r="G2056" s="1" t="str">
        <f aca="false">DEC2HEX(C2056*7)</f>
        <v>7</v>
      </c>
      <c r="H2056" s="1" t="n">
        <f aca="false">IF(D2056=0, 33, "cc")</f>
        <v>33</v>
      </c>
    </row>
    <row r="2057" customFormat="false" ht="18.65" hidden="false" customHeight="true" outlineLevel="0" collapsed="false">
      <c r="A2057" s="1" t="n">
        <f aca="false">ROW()-2</f>
        <v>2055</v>
      </c>
      <c r="B2057" s="1" t="n">
        <f aca="false">INT(A2057/$N$1)</f>
        <v>114</v>
      </c>
      <c r="C2057" s="1" t="n">
        <f aca="false">INT(MOD(A2057,$N$1) / 2)</f>
        <v>1</v>
      </c>
      <c r="D2057" s="1" t="n">
        <f aca="false">_xlfn.BITAND(A2057,1)</f>
        <v>1</v>
      </c>
      <c r="F2057" s="1" t="str">
        <f aca="false">DEC2HEX(B2057*$N$3*18)</f>
        <v>20100</v>
      </c>
      <c r="G2057" s="1" t="str">
        <f aca="false">DEC2HEX(C2057*7)</f>
        <v>7</v>
      </c>
      <c r="H2057" s="1" t="str">
        <f aca="false">IF(D2057=0, 33, "cc")</f>
        <v>cc</v>
      </c>
    </row>
    <row r="2058" customFormat="false" ht="18.65" hidden="false" customHeight="true" outlineLevel="0" collapsed="false">
      <c r="A2058" s="1" t="n">
        <f aca="false">ROW()-2</f>
        <v>2056</v>
      </c>
      <c r="B2058" s="1" t="n">
        <f aca="false">INT(A2058/$N$1)</f>
        <v>114</v>
      </c>
      <c r="C2058" s="1" t="n">
        <f aca="false">INT(MOD(A2058,$N$1) / 2)</f>
        <v>2</v>
      </c>
      <c r="D2058" s="1" t="n">
        <f aca="false">_xlfn.BITAND(A2058,1)</f>
        <v>0</v>
      </c>
      <c r="F2058" s="1" t="str">
        <f aca="false">DEC2HEX(B2058*$N$3*18)</f>
        <v>20100</v>
      </c>
      <c r="G2058" s="1" t="str">
        <f aca="false">DEC2HEX(C2058*7)</f>
        <v>E</v>
      </c>
      <c r="H2058" s="1" t="n">
        <f aca="false">IF(D2058=0, 33, "cc")</f>
        <v>33</v>
      </c>
    </row>
    <row r="2059" customFormat="false" ht="18.65" hidden="false" customHeight="true" outlineLevel="0" collapsed="false">
      <c r="A2059" s="1" t="n">
        <f aca="false">ROW()-2</f>
        <v>2057</v>
      </c>
      <c r="B2059" s="1" t="n">
        <f aca="false">INT(A2059/$N$1)</f>
        <v>114</v>
      </c>
      <c r="C2059" s="1" t="n">
        <f aca="false">INT(MOD(A2059,$N$1) / 2)</f>
        <v>2</v>
      </c>
      <c r="D2059" s="1" t="n">
        <f aca="false">_xlfn.BITAND(A2059,1)</f>
        <v>1</v>
      </c>
      <c r="F2059" s="1" t="str">
        <f aca="false">DEC2HEX(B2059*$N$3*18)</f>
        <v>20100</v>
      </c>
      <c r="G2059" s="1" t="str">
        <f aca="false">DEC2HEX(C2059*7)</f>
        <v>E</v>
      </c>
      <c r="H2059" s="1" t="str">
        <f aca="false">IF(D2059=0, 33, "cc")</f>
        <v>cc</v>
      </c>
    </row>
    <row r="2060" customFormat="false" ht="18.65" hidden="false" customHeight="true" outlineLevel="0" collapsed="false">
      <c r="A2060" s="1" t="n">
        <f aca="false">ROW()-2</f>
        <v>2058</v>
      </c>
      <c r="B2060" s="1" t="n">
        <f aca="false">INT(A2060/$N$1)</f>
        <v>114</v>
      </c>
      <c r="C2060" s="1" t="n">
        <f aca="false">INT(MOD(A2060,$N$1) / 2)</f>
        <v>3</v>
      </c>
      <c r="D2060" s="1" t="n">
        <f aca="false">_xlfn.BITAND(A2060,1)</f>
        <v>0</v>
      </c>
      <c r="F2060" s="1" t="str">
        <f aca="false">DEC2HEX(B2060*$N$3*18)</f>
        <v>20100</v>
      </c>
      <c r="G2060" s="1" t="str">
        <f aca="false">DEC2HEX(C2060*7)</f>
        <v>15</v>
      </c>
      <c r="H2060" s="1" t="n">
        <f aca="false">IF(D2060=0, 33, "cc")</f>
        <v>33</v>
      </c>
    </row>
    <row r="2061" customFormat="false" ht="18.65" hidden="false" customHeight="true" outlineLevel="0" collapsed="false">
      <c r="A2061" s="1" t="n">
        <f aca="false">ROW()-2</f>
        <v>2059</v>
      </c>
      <c r="B2061" s="1" t="n">
        <f aca="false">INT(A2061/$N$1)</f>
        <v>114</v>
      </c>
      <c r="C2061" s="1" t="n">
        <f aca="false">INT(MOD(A2061,$N$1) / 2)</f>
        <v>3</v>
      </c>
      <c r="D2061" s="1" t="n">
        <f aca="false">_xlfn.BITAND(A2061,1)</f>
        <v>1</v>
      </c>
      <c r="F2061" s="1" t="str">
        <f aca="false">DEC2HEX(B2061*$N$3*18)</f>
        <v>20100</v>
      </c>
      <c r="G2061" s="1" t="str">
        <f aca="false">DEC2HEX(C2061*7)</f>
        <v>15</v>
      </c>
      <c r="H2061" s="1" t="str">
        <f aca="false">IF(D2061=0, 33, "cc")</f>
        <v>cc</v>
      </c>
    </row>
    <row r="2062" customFormat="false" ht="18.65" hidden="false" customHeight="true" outlineLevel="0" collapsed="false">
      <c r="A2062" s="1" t="n">
        <f aca="false">ROW()-2</f>
        <v>2060</v>
      </c>
      <c r="B2062" s="1" t="n">
        <f aca="false">INT(A2062/$N$1)</f>
        <v>114</v>
      </c>
      <c r="C2062" s="1" t="n">
        <f aca="false">INT(MOD(A2062,$N$1) / 2)</f>
        <v>4</v>
      </c>
      <c r="D2062" s="1" t="n">
        <f aca="false">_xlfn.BITAND(A2062,1)</f>
        <v>0</v>
      </c>
      <c r="F2062" s="1" t="str">
        <f aca="false">DEC2HEX(B2062*$N$3*18)</f>
        <v>20100</v>
      </c>
      <c r="G2062" s="1" t="str">
        <f aca="false">DEC2HEX(C2062*7)</f>
        <v>1C</v>
      </c>
      <c r="H2062" s="1" t="n">
        <f aca="false">IF(D2062=0, 33, "cc")</f>
        <v>33</v>
      </c>
    </row>
    <row r="2063" customFormat="false" ht="18.65" hidden="false" customHeight="true" outlineLevel="0" collapsed="false">
      <c r="A2063" s="1" t="n">
        <f aca="false">ROW()-2</f>
        <v>2061</v>
      </c>
      <c r="B2063" s="1" t="n">
        <f aca="false">INT(A2063/$N$1)</f>
        <v>114</v>
      </c>
      <c r="C2063" s="1" t="n">
        <f aca="false">INT(MOD(A2063,$N$1) / 2)</f>
        <v>4</v>
      </c>
      <c r="D2063" s="1" t="n">
        <f aca="false">_xlfn.BITAND(A2063,1)</f>
        <v>1</v>
      </c>
      <c r="F2063" s="1" t="str">
        <f aca="false">DEC2HEX(B2063*$N$3*18)</f>
        <v>20100</v>
      </c>
      <c r="G2063" s="1" t="str">
        <f aca="false">DEC2HEX(C2063*7)</f>
        <v>1C</v>
      </c>
      <c r="H2063" s="1" t="str">
        <f aca="false">IF(D2063=0, 33, "cc")</f>
        <v>cc</v>
      </c>
    </row>
    <row r="2064" customFormat="false" ht="18.65" hidden="false" customHeight="true" outlineLevel="0" collapsed="false">
      <c r="A2064" s="1" t="n">
        <f aca="false">ROW()-2</f>
        <v>2062</v>
      </c>
      <c r="B2064" s="1" t="n">
        <f aca="false">INT(A2064/$N$1)</f>
        <v>114</v>
      </c>
      <c r="C2064" s="1" t="n">
        <f aca="false">INT(MOD(A2064,$N$1) / 2)</f>
        <v>5</v>
      </c>
      <c r="D2064" s="1" t="n">
        <f aca="false">_xlfn.BITAND(A2064,1)</f>
        <v>0</v>
      </c>
      <c r="F2064" s="1" t="str">
        <f aca="false">DEC2HEX(B2064*$N$3*18)</f>
        <v>20100</v>
      </c>
      <c r="G2064" s="1" t="str">
        <f aca="false">DEC2HEX(C2064*7)</f>
        <v>23</v>
      </c>
      <c r="H2064" s="1" t="n">
        <f aca="false">IF(D2064=0, 33, "cc")</f>
        <v>33</v>
      </c>
    </row>
    <row r="2065" customFormat="false" ht="18.65" hidden="false" customHeight="true" outlineLevel="0" collapsed="false">
      <c r="A2065" s="1" t="n">
        <f aca="false">ROW()-2</f>
        <v>2063</v>
      </c>
      <c r="B2065" s="1" t="n">
        <f aca="false">INT(A2065/$N$1)</f>
        <v>114</v>
      </c>
      <c r="C2065" s="1" t="n">
        <f aca="false">INT(MOD(A2065,$N$1) / 2)</f>
        <v>5</v>
      </c>
      <c r="D2065" s="1" t="n">
        <f aca="false">_xlfn.BITAND(A2065,1)</f>
        <v>1</v>
      </c>
      <c r="F2065" s="1" t="str">
        <f aca="false">DEC2HEX(B2065*$N$3*18)</f>
        <v>20100</v>
      </c>
      <c r="G2065" s="1" t="str">
        <f aca="false">DEC2HEX(C2065*7)</f>
        <v>23</v>
      </c>
      <c r="H2065" s="1" t="str">
        <f aca="false">IF(D2065=0, 33, "cc")</f>
        <v>cc</v>
      </c>
    </row>
    <row r="2066" customFormat="false" ht="18.65" hidden="false" customHeight="true" outlineLevel="0" collapsed="false">
      <c r="A2066" s="1" t="n">
        <f aca="false">ROW()-2</f>
        <v>2064</v>
      </c>
      <c r="B2066" s="1" t="n">
        <f aca="false">INT(A2066/$N$1)</f>
        <v>114</v>
      </c>
      <c r="C2066" s="1" t="n">
        <f aca="false">INT(MOD(A2066,$N$1) / 2)</f>
        <v>6</v>
      </c>
      <c r="D2066" s="1" t="n">
        <f aca="false">_xlfn.BITAND(A2066,1)</f>
        <v>0</v>
      </c>
      <c r="F2066" s="1" t="str">
        <f aca="false">DEC2HEX(B2066*$N$3*18)</f>
        <v>20100</v>
      </c>
      <c r="G2066" s="1" t="str">
        <f aca="false">DEC2HEX(C2066*7)</f>
        <v>2A</v>
      </c>
      <c r="H2066" s="1" t="n">
        <f aca="false">IF(D2066=0, 33, "cc")</f>
        <v>33</v>
      </c>
    </row>
    <row r="2067" customFormat="false" ht="18.65" hidden="false" customHeight="true" outlineLevel="0" collapsed="false">
      <c r="A2067" s="1" t="n">
        <f aca="false">ROW()-2</f>
        <v>2065</v>
      </c>
      <c r="B2067" s="1" t="n">
        <f aca="false">INT(A2067/$N$1)</f>
        <v>114</v>
      </c>
      <c r="C2067" s="1" t="n">
        <f aca="false">INT(MOD(A2067,$N$1) / 2)</f>
        <v>6</v>
      </c>
      <c r="D2067" s="1" t="n">
        <f aca="false">_xlfn.BITAND(A2067,1)</f>
        <v>1</v>
      </c>
      <c r="F2067" s="1" t="str">
        <f aca="false">DEC2HEX(B2067*$N$3*18)</f>
        <v>20100</v>
      </c>
      <c r="G2067" s="1" t="str">
        <f aca="false">DEC2HEX(C2067*7)</f>
        <v>2A</v>
      </c>
      <c r="H2067" s="1" t="str">
        <f aca="false">IF(D2067=0, 33, "cc")</f>
        <v>cc</v>
      </c>
    </row>
    <row r="2068" customFormat="false" ht="18.65" hidden="false" customHeight="true" outlineLevel="0" collapsed="false">
      <c r="A2068" s="1" t="n">
        <f aca="false">ROW()-2</f>
        <v>2066</v>
      </c>
      <c r="B2068" s="1" t="n">
        <f aca="false">INT(A2068/$N$1)</f>
        <v>114</v>
      </c>
      <c r="C2068" s="1" t="n">
        <f aca="false">INT(MOD(A2068,$N$1) / 2)</f>
        <v>7</v>
      </c>
      <c r="D2068" s="1" t="n">
        <f aca="false">_xlfn.BITAND(A2068,1)</f>
        <v>0</v>
      </c>
      <c r="F2068" s="1" t="str">
        <f aca="false">DEC2HEX(B2068*$N$3*18)</f>
        <v>20100</v>
      </c>
      <c r="G2068" s="1" t="str">
        <f aca="false">DEC2HEX(C2068*7)</f>
        <v>31</v>
      </c>
      <c r="H2068" s="1" t="n">
        <f aca="false">IF(D2068=0, 33, "cc")</f>
        <v>33</v>
      </c>
    </row>
    <row r="2069" customFormat="false" ht="18.65" hidden="false" customHeight="true" outlineLevel="0" collapsed="false">
      <c r="A2069" s="1" t="n">
        <f aca="false">ROW()-2</f>
        <v>2067</v>
      </c>
      <c r="B2069" s="1" t="n">
        <f aca="false">INT(A2069/$N$1)</f>
        <v>114</v>
      </c>
      <c r="C2069" s="1" t="n">
        <f aca="false">INT(MOD(A2069,$N$1) / 2)</f>
        <v>7</v>
      </c>
      <c r="D2069" s="1" t="n">
        <f aca="false">_xlfn.BITAND(A2069,1)</f>
        <v>1</v>
      </c>
      <c r="F2069" s="1" t="str">
        <f aca="false">DEC2HEX(B2069*$N$3*18)</f>
        <v>20100</v>
      </c>
      <c r="G2069" s="1" t="str">
        <f aca="false">DEC2HEX(C2069*7)</f>
        <v>31</v>
      </c>
      <c r="H2069" s="1" t="str">
        <f aca="false">IF(D2069=0, 33, "cc")</f>
        <v>cc</v>
      </c>
    </row>
    <row r="2070" customFormat="false" ht="18.65" hidden="false" customHeight="true" outlineLevel="0" collapsed="false">
      <c r="A2070" s="1" t="n">
        <f aca="false">ROW()-2</f>
        <v>2068</v>
      </c>
      <c r="B2070" s="1" t="n">
        <f aca="false">INT(A2070/$N$1)</f>
        <v>114</v>
      </c>
      <c r="C2070" s="1" t="n">
        <f aca="false">INT(MOD(A2070,$N$1) / 2)</f>
        <v>8</v>
      </c>
      <c r="D2070" s="1" t="n">
        <f aca="false">_xlfn.BITAND(A2070,1)</f>
        <v>0</v>
      </c>
      <c r="F2070" s="1" t="str">
        <f aca="false">DEC2HEX(B2070*$N$3*18)</f>
        <v>20100</v>
      </c>
      <c r="G2070" s="1" t="str">
        <f aca="false">DEC2HEX(C2070*7)</f>
        <v>38</v>
      </c>
      <c r="H2070" s="1" t="n">
        <f aca="false">IF(D2070=0, 33, "cc")</f>
        <v>33</v>
      </c>
    </row>
    <row r="2071" customFormat="false" ht="18.65" hidden="false" customHeight="true" outlineLevel="0" collapsed="false">
      <c r="A2071" s="1" t="n">
        <f aca="false">ROW()-2</f>
        <v>2069</v>
      </c>
      <c r="B2071" s="1" t="n">
        <f aca="false">INT(A2071/$N$1)</f>
        <v>114</v>
      </c>
      <c r="C2071" s="1" t="n">
        <f aca="false">INT(MOD(A2071,$N$1) / 2)</f>
        <v>8</v>
      </c>
      <c r="D2071" s="1" t="n">
        <f aca="false">_xlfn.BITAND(A2071,1)</f>
        <v>1</v>
      </c>
      <c r="F2071" s="1" t="str">
        <f aca="false">DEC2HEX(B2071*$N$3*18)</f>
        <v>20100</v>
      </c>
      <c r="G2071" s="1" t="str">
        <f aca="false">DEC2HEX(C2071*7)</f>
        <v>38</v>
      </c>
      <c r="H2071" s="1" t="str">
        <f aca="false">IF(D2071=0, 33, "cc")</f>
        <v>cc</v>
      </c>
    </row>
    <row r="2072" customFormat="false" ht="18.65" hidden="false" customHeight="true" outlineLevel="0" collapsed="false">
      <c r="A2072" s="1" t="n">
        <f aca="false">ROW()-2</f>
        <v>2070</v>
      </c>
      <c r="B2072" s="1" t="n">
        <f aca="false">INT(A2072/$N$1)</f>
        <v>115</v>
      </c>
      <c r="C2072" s="1" t="n">
        <f aca="false">INT(MOD(A2072,$N$1) / 2)</f>
        <v>0</v>
      </c>
      <c r="D2072" s="1" t="n">
        <f aca="false">_xlfn.BITAND(A2072,1)</f>
        <v>0</v>
      </c>
      <c r="F2072" s="1" t="str">
        <f aca="false">DEC2HEX(B2072*$N$3*18)</f>
        <v>20580</v>
      </c>
      <c r="G2072" s="1" t="str">
        <f aca="false">DEC2HEX(C2072*7)</f>
        <v>0</v>
      </c>
      <c r="H2072" s="1" t="n">
        <f aca="false">IF(D2072=0, 33, "cc")</f>
        <v>33</v>
      </c>
    </row>
    <row r="2073" customFormat="false" ht="18.65" hidden="false" customHeight="true" outlineLevel="0" collapsed="false">
      <c r="A2073" s="1" t="n">
        <f aca="false">ROW()-2</f>
        <v>2071</v>
      </c>
      <c r="B2073" s="1" t="n">
        <f aca="false">INT(A2073/$N$1)</f>
        <v>115</v>
      </c>
      <c r="C2073" s="1" t="n">
        <f aca="false">INT(MOD(A2073,$N$1) / 2)</f>
        <v>0</v>
      </c>
      <c r="D2073" s="1" t="n">
        <f aca="false">_xlfn.BITAND(A2073,1)</f>
        <v>1</v>
      </c>
      <c r="F2073" s="1" t="str">
        <f aca="false">DEC2HEX(B2073*$N$3*18)</f>
        <v>20580</v>
      </c>
      <c r="G2073" s="1" t="str">
        <f aca="false">DEC2HEX(C2073*7)</f>
        <v>0</v>
      </c>
      <c r="H2073" s="1" t="str">
        <f aca="false">IF(D2073=0, 33, "cc")</f>
        <v>cc</v>
      </c>
    </row>
    <row r="2074" customFormat="false" ht="18.65" hidden="false" customHeight="true" outlineLevel="0" collapsed="false">
      <c r="A2074" s="1" t="n">
        <f aca="false">ROW()-2</f>
        <v>2072</v>
      </c>
      <c r="B2074" s="1" t="n">
        <f aca="false">INT(A2074/$N$1)</f>
        <v>115</v>
      </c>
      <c r="C2074" s="1" t="n">
        <f aca="false">INT(MOD(A2074,$N$1) / 2)</f>
        <v>1</v>
      </c>
      <c r="D2074" s="1" t="n">
        <f aca="false">_xlfn.BITAND(A2074,1)</f>
        <v>0</v>
      </c>
      <c r="F2074" s="1" t="str">
        <f aca="false">DEC2HEX(B2074*$N$3*18)</f>
        <v>20580</v>
      </c>
      <c r="G2074" s="1" t="str">
        <f aca="false">DEC2HEX(C2074*7)</f>
        <v>7</v>
      </c>
      <c r="H2074" s="1" t="n">
        <f aca="false">IF(D2074=0, 33, "cc")</f>
        <v>33</v>
      </c>
    </row>
    <row r="2075" customFormat="false" ht="18.65" hidden="false" customHeight="true" outlineLevel="0" collapsed="false">
      <c r="A2075" s="1" t="n">
        <f aca="false">ROW()-2</f>
        <v>2073</v>
      </c>
      <c r="B2075" s="1" t="n">
        <f aca="false">INT(A2075/$N$1)</f>
        <v>115</v>
      </c>
      <c r="C2075" s="1" t="n">
        <f aca="false">INT(MOD(A2075,$N$1) / 2)</f>
        <v>1</v>
      </c>
      <c r="D2075" s="1" t="n">
        <f aca="false">_xlfn.BITAND(A2075,1)</f>
        <v>1</v>
      </c>
      <c r="F2075" s="1" t="str">
        <f aca="false">DEC2HEX(B2075*$N$3*18)</f>
        <v>20580</v>
      </c>
      <c r="G2075" s="1" t="str">
        <f aca="false">DEC2HEX(C2075*7)</f>
        <v>7</v>
      </c>
      <c r="H2075" s="1" t="str">
        <f aca="false">IF(D2075=0, 33, "cc")</f>
        <v>cc</v>
      </c>
    </row>
    <row r="2076" customFormat="false" ht="18.65" hidden="false" customHeight="true" outlineLevel="0" collapsed="false">
      <c r="A2076" s="1" t="n">
        <f aca="false">ROW()-2</f>
        <v>2074</v>
      </c>
      <c r="B2076" s="1" t="n">
        <f aca="false">INT(A2076/$N$1)</f>
        <v>115</v>
      </c>
      <c r="C2076" s="1" t="n">
        <f aca="false">INT(MOD(A2076,$N$1) / 2)</f>
        <v>2</v>
      </c>
      <c r="D2076" s="1" t="n">
        <f aca="false">_xlfn.BITAND(A2076,1)</f>
        <v>0</v>
      </c>
      <c r="F2076" s="1" t="str">
        <f aca="false">DEC2HEX(B2076*$N$3*18)</f>
        <v>20580</v>
      </c>
      <c r="G2076" s="1" t="str">
        <f aca="false">DEC2HEX(C2076*7)</f>
        <v>E</v>
      </c>
      <c r="H2076" s="1" t="n">
        <f aca="false">IF(D2076=0, 33, "cc")</f>
        <v>33</v>
      </c>
    </row>
    <row r="2077" customFormat="false" ht="18.65" hidden="false" customHeight="true" outlineLevel="0" collapsed="false">
      <c r="A2077" s="1" t="n">
        <f aca="false">ROW()-2</f>
        <v>2075</v>
      </c>
      <c r="B2077" s="1" t="n">
        <f aca="false">INT(A2077/$N$1)</f>
        <v>115</v>
      </c>
      <c r="C2077" s="1" t="n">
        <f aca="false">INT(MOD(A2077,$N$1) / 2)</f>
        <v>2</v>
      </c>
      <c r="D2077" s="1" t="n">
        <f aca="false">_xlfn.BITAND(A2077,1)</f>
        <v>1</v>
      </c>
      <c r="F2077" s="1" t="str">
        <f aca="false">DEC2HEX(B2077*$N$3*18)</f>
        <v>20580</v>
      </c>
      <c r="G2077" s="1" t="str">
        <f aca="false">DEC2HEX(C2077*7)</f>
        <v>E</v>
      </c>
      <c r="H2077" s="1" t="str">
        <f aca="false">IF(D2077=0, 33, "cc")</f>
        <v>cc</v>
      </c>
    </row>
    <row r="2078" customFormat="false" ht="18.65" hidden="false" customHeight="true" outlineLevel="0" collapsed="false">
      <c r="A2078" s="1" t="n">
        <f aca="false">ROW()-2</f>
        <v>2076</v>
      </c>
      <c r="B2078" s="1" t="n">
        <f aca="false">INT(A2078/$N$1)</f>
        <v>115</v>
      </c>
      <c r="C2078" s="1" t="n">
        <f aca="false">INT(MOD(A2078,$N$1) / 2)</f>
        <v>3</v>
      </c>
      <c r="D2078" s="1" t="n">
        <f aca="false">_xlfn.BITAND(A2078,1)</f>
        <v>0</v>
      </c>
      <c r="F2078" s="1" t="str">
        <f aca="false">DEC2HEX(B2078*$N$3*18)</f>
        <v>20580</v>
      </c>
      <c r="G2078" s="1" t="str">
        <f aca="false">DEC2HEX(C2078*7)</f>
        <v>15</v>
      </c>
      <c r="H2078" s="1" t="n">
        <f aca="false">IF(D2078=0, 33, "cc")</f>
        <v>33</v>
      </c>
    </row>
    <row r="2079" customFormat="false" ht="18.65" hidden="false" customHeight="true" outlineLevel="0" collapsed="false">
      <c r="A2079" s="1" t="n">
        <f aca="false">ROW()-2</f>
        <v>2077</v>
      </c>
      <c r="B2079" s="1" t="n">
        <f aca="false">INT(A2079/$N$1)</f>
        <v>115</v>
      </c>
      <c r="C2079" s="1" t="n">
        <f aca="false">INT(MOD(A2079,$N$1) / 2)</f>
        <v>3</v>
      </c>
      <c r="D2079" s="1" t="n">
        <f aca="false">_xlfn.BITAND(A2079,1)</f>
        <v>1</v>
      </c>
      <c r="F2079" s="1" t="str">
        <f aca="false">DEC2HEX(B2079*$N$3*18)</f>
        <v>20580</v>
      </c>
      <c r="G2079" s="1" t="str">
        <f aca="false">DEC2HEX(C2079*7)</f>
        <v>15</v>
      </c>
      <c r="H2079" s="1" t="str">
        <f aca="false">IF(D2079=0, 33, "cc")</f>
        <v>cc</v>
      </c>
    </row>
    <row r="2080" customFormat="false" ht="18.65" hidden="false" customHeight="true" outlineLevel="0" collapsed="false">
      <c r="A2080" s="1" t="n">
        <f aca="false">ROW()-2</f>
        <v>2078</v>
      </c>
      <c r="B2080" s="1" t="n">
        <f aca="false">INT(A2080/$N$1)</f>
        <v>115</v>
      </c>
      <c r="C2080" s="1" t="n">
        <f aca="false">INT(MOD(A2080,$N$1) / 2)</f>
        <v>4</v>
      </c>
      <c r="D2080" s="1" t="n">
        <f aca="false">_xlfn.BITAND(A2080,1)</f>
        <v>0</v>
      </c>
      <c r="F2080" s="1" t="str">
        <f aca="false">DEC2HEX(B2080*$N$3*18)</f>
        <v>20580</v>
      </c>
      <c r="G2080" s="1" t="str">
        <f aca="false">DEC2HEX(C2080*7)</f>
        <v>1C</v>
      </c>
      <c r="H2080" s="1" t="n">
        <f aca="false">IF(D2080=0, 33, "cc")</f>
        <v>33</v>
      </c>
    </row>
    <row r="2081" customFormat="false" ht="18.65" hidden="false" customHeight="true" outlineLevel="0" collapsed="false">
      <c r="A2081" s="1" t="n">
        <f aca="false">ROW()-2</f>
        <v>2079</v>
      </c>
      <c r="B2081" s="1" t="n">
        <f aca="false">INT(A2081/$N$1)</f>
        <v>115</v>
      </c>
      <c r="C2081" s="1" t="n">
        <f aca="false">INT(MOD(A2081,$N$1) / 2)</f>
        <v>4</v>
      </c>
      <c r="D2081" s="1" t="n">
        <f aca="false">_xlfn.BITAND(A2081,1)</f>
        <v>1</v>
      </c>
      <c r="F2081" s="1" t="str">
        <f aca="false">DEC2HEX(B2081*$N$3*18)</f>
        <v>20580</v>
      </c>
      <c r="G2081" s="1" t="str">
        <f aca="false">DEC2HEX(C2081*7)</f>
        <v>1C</v>
      </c>
      <c r="H2081" s="1" t="str">
        <f aca="false">IF(D2081=0, 33, "cc")</f>
        <v>cc</v>
      </c>
    </row>
    <row r="2082" customFormat="false" ht="18.65" hidden="false" customHeight="true" outlineLevel="0" collapsed="false">
      <c r="A2082" s="1" t="n">
        <f aca="false">ROW()-2</f>
        <v>2080</v>
      </c>
      <c r="B2082" s="1" t="n">
        <f aca="false">INT(A2082/$N$1)</f>
        <v>115</v>
      </c>
      <c r="C2082" s="1" t="n">
        <f aca="false">INT(MOD(A2082,$N$1) / 2)</f>
        <v>5</v>
      </c>
      <c r="D2082" s="1" t="n">
        <f aca="false">_xlfn.BITAND(A2082,1)</f>
        <v>0</v>
      </c>
      <c r="F2082" s="1" t="str">
        <f aca="false">DEC2HEX(B2082*$N$3*18)</f>
        <v>20580</v>
      </c>
      <c r="G2082" s="1" t="str">
        <f aca="false">DEC2HEX(C2082*7)</f>
        <v>23</v>
      </c>
      <c r="H2082" s="1" t="n">
        <f aca="false">IF(D2082=0, 33, "cc")</f>
        <v>33</v>
      </c>
    </row>
    <row r="2083" customFormat="false" ht="18.65" hidden="false" customHeight="true" outlineLevel="0" collapsed="false">
      <c r="A2083" s="1" t="n">
        <f aca="false">ROW()-2</f>
        <v>2081</v>
      </c>
      <c r="B2083" s="1" t="n">
        <f aca="false">INT(A2083/$N$1)</f>
        <v>115</v>
      </c>
      <c r="C2083" s="1" t="n">
        <f aca="false">INT(MOD(A2083,$N$1) / 2)</f>
        <v>5</v>
      </c>
      <c r="D2083" s="1" t="n">
        <f aca="false">_xlfn.BITAND(A2083,1)</f>
        <v>1</v>
      </c>
      <c r="F2083" s="1" t="str">
        <f aca="false">DEC2HEX(B2083*$N$3*18)</f>
        <v>20580</v>
      </c>
      <c r="G2083" s="1" t="str">
        <f aca="false">DEC2HEX(C2083*7)</f>
        <v>23</v>
      </c>
      <c r="H2083" s="1" t="str">
        <f aca="false">IF(D2083=0, 33, "cc")</f>
        <v>cc</v>
      </c>
    </row>
    <row r="2084" customFormat="false" ht="18.65" hidden="false" customHeight="true" outlineLevel="0" collapsed="false">
      <c r="A2084" s="1" t="n">
        <f aca="false">ROW()-2</f>
        <v>2082</v>
      </c>
      <c r="B2084" s="1" t="n">
        <f aca="false">INT(A2084/$N$1)</f>
        <v>115</v>
      </c>
      <c r="C2084" s="1" t="n">
        <f aca="false">INT(MOD(A2084,$N$1) / 2)</f>
        <v>6</v>
      </c>
      <c r="D2084" s="1" t="n">
        <f aca="false">_xlfn.BITAND(A2084,1)</f>
        <v>0</v>
      </c>
      <c r="F2084" s="1" t="str">
        <f aca="false">DEC2HEX(B2084*$N$3*18)</f>
        <v>20580</v>
      </c>
      <c r="G2084" s="1" t="str">
        <f aca="false">DEC2HEX(C2084*7)</f>
        <v>2A</v>
      </c>
      <c r="H2084" s="1" t="n">
        <f aca="false">IF(D2084=0, 33, "cc")</f>
        <v>33</v>
      </c>
    </row>
    <row r="2085" customFormat="false" ht="18.65" hidden="false" customHeight="true" outlineLevel="0" collapsed="false">
      <c r="A2085" s="1" t="n">
        <f aca="false">ROW()-2</f>
        <v>2083</v>
      </c>
      <c r="B2085" s="1" t="n">
        <f aca="false">INT(A2085/$N$1)</f>
        <v>115</v>
      </c>
      <c r="C2085" s="1" t="n">
        <f aca="false">INT(MOD(A2085,$N$1) / 2)</f>
        <v>6</v>
      </c>
      <c r="D2085" s="1" t="n">
        <f aca="false">_xlfn.BITAND(A2085,1)</f>
        <v>1</v>
      </c>
      <c r="F2085" s="1" t="str">
        <f aca="false">DEC2HEX(B2085*$N$3*18)</f>
        <v>20580</v>
      </c>
      <c r="G2085" s="1" t="str">
        <f aca="false">DEC2HEX(C2085*7)</f>
        <v>2A</v>
      </c>
      <c r="H2085" s="1" t="str">
        <f aca="false">IF(D2085=0, 33, "cc")</f>
        <v>cc</v>
      </c>
    </row>
    <row r="2086" customFormat="false" ht="18.65" hidden="false" customHeight="true" outlineLevel="0" collapsed="false">
      <c r="A2086" s="1" t="n">
        <f aca="false">ROW()-2</f>
        <v>2084</v>
      </c>
      <c r="B2086" s="1" t="n">
        <f aca="false">INT(A2086/$N$1)</f>
        <v>115</v>
      </c>
      <c r="C2086" s="1" t="n">
        <f aca="false">INT(MOD(A2086,$N$1) / 2)</f>
        <v>7</v>
      </c>
      <c r="D2086" s="1" t="n">
        <f aca="false">_xlfn.BITAND(A2086,1)</f>
        <v>0</v>
      </c>
      <c r="F2086" s="1" t="str">
        <f aca="false">DEC2HEX(B2086*$N$3*18)</f>
        <v>20580</v>
      </c>
      <c r="G2086" s="1" t="str">
        <f aca="false">DEC2HEX(C2086*7)</f>
        <v>31</v>
      </c>
      <c r="H2086" s="1" t="n">
        <f aca="false">IF(D2086=0, 33, "cc")</f>
        <v>33</v>
      </c>
    </row>
    <row r="2087" customFormat="false" ht="18.65" hidden="false" customHeight="true" outlineLevel="0" collapsed="false">
      <c r="A2087" s="1" t="n">
        <f aca="false">ROW()-2</f>
        <v>2085</v>
      </c>
      <c r="B2087" s="1" t="n">
        <f aca="false">INT(A2087/$N$1)</f>
        <v>115</v>
      </c>
      <c r="C2087" s="1" t="n">
        <f aca="false">INT(MOD(A2087,$N$1) / 2)</f>
        <v>7</v>
      </c>
      <c r="D2087" s="1" t="n">
        <f aca="false">_xlfn.BITAND(A2087,1)</f>
        <v>1</v>
      </c>
      <c r="F2087" s="1" t="str">
        <f aca="false">DEC2HEX(B2087*$N$3*18)</f>
        <v>20580</v>
      </c>
      <c r="G2087" s="1" t="str">
        <f aca="false">DEC2HEX(C2087*7)</f>
        <v>31</v>
      </c>
      <c r="H2087" s="1" t="str">
        <f aca="false">IF(D2087=0, 33, "cc")</f>
        <v>cc</v>
      </c>
    </row>
    <row r="2088" customFormat="false" ht="18.65" hidden="false" customHeight="true" outlineLevel="0" collapsed="false">
      <c r="A2088" s="1" t="n">
        <f aca="false">ROW()-2</f>
        <v>2086</v>
      </c>
      <c r="B2088" s="1" t="n">
        <f aca="false">INT(A2088/$N$1)</f>
        <v>115</v>
      </c>
      <c r="C2088" s="1" t="n">
        <f aca="false">INT(MOD(A2088,$N$1) / 2)</f>
        <v>8</v>
      </c>
      <c r="D2088" s="1" t="n">
        <f aca="false">_xlfn.BITAND(A2088,1)</f>
        <v>0</v>
      </c>
      <c r="F2088" s="1" t="str">
        <f aca="false">DEC2HEX(B2088*$N$3*18)</f>
        <v>20580</v>
      </c>
      <c r="G2088" s="1" t="str">
        <f aca="false">DEC2HEX(C2088*7)</f>
        <v>38</v>
      </c>
      <c r="H2088" s="1" t="n">
        <f aca="false">IF(D2088=0, 33, "cc")</f>
        <v>33</v>
      </c>
    </row>
    <row r="2089" customFormat="false" ht="18.65" hidden="false" customHeight="true" outlineLevel="0" collapsed="false">
      <c r="A2089" s="1" t="n">
        <f aca="false">ROW()-2</f>
        <v>2087</v>
      </c>
      <c r="B2089" s="1" t="n">
        <f aca="false">INT(A2089/$N$1)</f>
        <v>115</v>
      </c>
      <c r="C2089" s="1" t="n">
        <f aca="false">INT(MOD(A2089,$N$1) / 2)</f>
        <v>8</v>
      </c>
      <c r="D2089" s="1" t="n">
        <f aca="false">_xlfn.BITAND(A2089,1)</f>
        <v>1</v>
      </c>
      <c r="F2089" s="1" t="str">
        <f aca="false">DEC2HEX(B2089*$N$3*18)</f>
        <v>20580</v>
      </c>
      <c r="G2089" s="1" t="str">
        <f aca="false">DEC2HEX(C2089*7)</f>
        <v>38</v>
      </c>
      <c r="H2089" s="1" t="str">
        <f aca="false">IF(D2089=0, 33, "cc")</f>
        <v>cc</v>
      </c>
    </row>
    <row r="2090" customFormat="false" ht="18.65" hidden="false" customHeight="true" outlineLevel="0" collapsed="false">
      <c r="A2090" s="1" t="n">
        <f aca="false">ROW()-2</f>
        <v>2088</v>
      </c>
      <c r="B2090" s="1" t="n">
        <f aca="false">INT(A2090/$N$1)</f>
        <v>116</v>
      </c>
      <c r="C2090" s="1" t="n">
        <f aca="false">INT(MOD(A2090,$N$1) / 2)</f>
        <v>0</v>
      </c>
      <c r="D2090" s="1" t="n">
        <f aca="false">_xlfn.BITAND(A2090,1)</f>
        <v>0</v>
      </c>
      <c r="F2090" s="1" t="str">
        <f aca="false">DEC2HEX(B2090*$N$3*18)</f>
        <v>20A00</v>
      </c>
      <c r="G2090" s="1" t="str">
        <f aca="false">DEC2HEX(C2090*7)</f>
        <v>0</v>
      </c>
      <c r="H2090" s="1" t="n">
        <f aca="false">IF(D2090=0, 33, "cc")</f>
        <v>33</v>
      </c>
    </row>
    <row r="2091" customFormat="false" ht="18.65" hidden="false" customHeight="true" outlineLevel="0" collapsed="false">
      <c r="A2091" s="1" t="n">
        <f aca="false">ROW()-2</f>
        <v>2089</v>
      </c>
      <c r="B2091" s="1" t="n">
        <f aca="false">INT(A2091/$N$1)</f>
        <v>116</v>
      </c>
      <c r="C2091" s="1" t="n">
        <f aca="false">INT(MOD(A2091,$N$1) / 2)</f>
        <v>0</v>
      </c>
      <c r="D2091" s="1" t="n">
        <f aca="false">_xlfn.BITAND(A2091,1)</f>
        <v>1</v>
      </c>
      <c r="F2091" s="1" t="str">
        <f aca="false">DEC2HEX(B2091*$N$3*18)</f>
        <v>20A00</v>
      </c>
      <c r="G2091" s="1" t="str">
        <f aca="false">DEC2HEX(C2091*7)</f>
        <v>0</v>
      </c>
      <c r="H2091" s="1" t="str">
        <f aca="false">IF(D2091=0, 33, "cc")</f>
        <v>cc</v>
      </c>
    </row>
    <row r="2092" customFormat="false" ht="18.65" hidden="false" customHeight="true" outlineLevel="0" collapsed="false">
      <c r="A2092" s="1" t="n">
        <f aca="false">ROW()-2</f>
        <v>2090</v>
      </c>
      <c r="B2092" s="1" t="n">
        <f aca="false">INT(A2092/$N$1)</f>
        <v>116</v>
      </c>
      <c r="C2092" s="1" t="n">
        <f aca="false">INT(MOD(A2092,$N$1) / 2)</f>
        <v>1</v>
      </c>
      <c r="D2092" s="1" t="n">
        <f aca="false">_xlfn.BITAND(A2092,1)</f>
        <v>0</v>
      </c>
      <c r="F2092" s="1" t="str">
        <f aca="false">DEC2HEX(B2092*$N$3*18)</f>
        <v>20A00</v>
      </c>
      <c r="G2092" s="1" t="str">
        <f aca="false">DEC2HEX(C2092*7)</f>
        <v>7</v>
      </c>
      <c r="H2092" s="1" t="n">
        <f aca="false">IF(D2092=0, 33, "cc")</f>
        <v>33</v>
      </c>
    </row>
    <row r="2093" customFormat="false" ht="18.65" hidden="false" customHeight="true" outlineLevel="0" collapsed="false">
      <c r="A2093" s="1" t="n">
        <f aca="false">ROW()-2</f>
        <v>2091</v>
      </c>
      <c r="B2093" s="1" t="n">
        <f aca="false">INT(A2093/$N$1)</f>
        <v>116</v>
      </c>
      <c r="C2093" s="1" t="n">
        <f aca="false">INT(MOD(A2093,$N$1) / 2)</f>
        <v>1</v>
      </c>
      <c r="D2093" s="1" t="n">
        <f aca="false">_xlfn.BITAND(A2093,1)</f>
        <v>1</v>
      </c>
      <c r="F2093" s="1" t="str">
        <f aca="false">DEC2HEX(B2093*$N$3*18)</f>
        <v>20A00</v>
      </c>
      <c r="G2093" s="1" t="str">
        <f aca="false">DEC2HEX(C2093*7)</f>
        <v>7</v>
      </c>
      <c r="H2093" s="1" t="str">
        <f aca="false">IF(D2093=0, 33, "cc")</f>
        <v>cc</v>
      </c>
    </row>
    <row r="2094" customFormat="false" ht="18.65" hidden="false" customHeight="true" outlineLevel="0" collapsed="false">
      <c r="A2094" s="1" t="n">
        <f aca="false">ROW()-2</f>
        <v>2092</v>
      </c>
      <c r="B2094" s="1" t="n">
        <f aca="false">INT(A2094/$N$1)</f>
        <v>116</v>
      </c>
      <c r="C2094" s="1" t="n">
        <f aca="false">INT(MOD(A2094,$N$1) / 2)</f>
        <v>2</v>
      </c>
      <c r="D2094" s="1" t="n">
        <f aca="false">_xlfn.BITAND(A2094,1)</f>
        <v>0</v>
      </c>
      <c r="F2094" s="1" t="str">
        <f aca="false">DEC2HEX(B2094*$N$3*18)</f>
        <v>20A00</v>
      </c>
      <c r="G2094" s="1" t="str">
        <f aca="false">DEC2HEX(C2094*7)</f>
        <v>E</v>
      </c>
      <c r="H2094" s="1" t="n">
        <f aca="false">IF(D2094=0, 33, "cc")</f>
        <v>33</v>
      </c>
    </row>
    <row r="2095" customFormat="false" ht="18.65" hidden="false" customHeight="true" outlineLevel="0" collapsed="false">
      <c r="A2095" s="1" t="n">
        <f aca="false">ROW()-2</f>
        <v>2093</v>
      </c>
      <c r="B2095" s="1" t="n">
        <f aca="false">INT(A2095/$N$1)</f>
        <v>116</v>
      </c>
      <c r="C2095" s="1" t="n">
        <f aca="false">INT(MOD(A2095,$N$1) / 2)</f>
        <v>2</v>
      </c>
      <c r="D2095" s="1" t="n">
        <f aca="false">_xlfn.BITAND(A2095,1)</f>
        <v>1</v>
      </c>
      <c r="F2095" s="1" t="str">
        <f aca="false">DEC2HEX(B2095*$N$3*18)</f>
        <v>20A00</v>
      </c>
      <c r="G2095" s="1" t="str">
        <f aca="false">DEC2HEX(C2095*7)</f>
        <v>E</v>
      </c>
      <c r="H2095" s="1" t="str">
        <f aca="false">IF(D2095=0, 33, "cc")</f>
        <v>cc</v>
      </c>
    </row>
    <row r="2096" customFormat="false" ht="18.65" hidden="false" customHeight="true" outlineLevel="0" collapsed="false">
      <c r="A2096" s="1" t="n">
        <f aca="false">ROW()-2</f>
        <v>2094</v>
      </c>
      <c r="B2096" s="1" t="n">
        <f aca="false">INT(A2096/$N$1)</f>
        <v>116</v>
      </c>
      <c r="C2096" s="1" t="n">
        <f aca="false">INT(MOD(A2096,$N$1) / 2)</f>
        <v>3</v>
      </c>
      <c r="D2096" s="1" t="n">
        <f aca="false">_xlfn.BITAND(A2096,1)</f>
        <v>0</v>
      </c>
      <c r="F2096" s="1" t="str">
        <f aca="false">DEC2HEX(B2096*$N$3*18)</f>
        <v>20A00</v>
      </c>
      <c r="G2096" s="1" t="str">
        <f aca="false">DEC2HEX(C2096*7)</f>
        <v>15</v>
      </c>
      <c r="H2096" s="1" t="n">
        <f aca="false">IF(D2096=0, 33, "cc")</f>
        <v>33</v>
      </c>
    </row>
    <row r="2097" customFormat="false" ht="18.65" hidden="false" customHeight="true" outlineLevel="0" collapsed="false">
      <c r="A2097" s="1" t="n">
        <f aca="false">ROW()-2</f>
        <v>2095</v>
      </c>
      <c r="B2097" s="1" t="n">
        <f aca="false">INT(A2097/$N$1)</f>
        <v>116</v>
      </c>
      <c r="C2097" s="1" t="n">
        <f aca="false">INT(MOD(A2097,$N$1) / 2)</f>
        <v>3</v>
      </c>
      <c r="D2097" s="1" t="n">
        <f aca="false">_xlfn.BITAND(A2097,1)</f>
        <v>1</v>
      </c>
      <c r="F2097" s="1" t="str">
        <f aca="false">DEC2HEX(B2097*$N$3*18)</f>
        <v>20A00</v>
      </c>
      <c r="G2097" s="1" t="str">
        <f aca="false">DEC2HEX(C2097*7)</f>
        <v>15</v>
      </c>
      <c r="H2097" s="1" t="str">
        <f aca="false">IF(D2097=0, 33, "cc")</f>
        <v>cc</v>
      </c>
    </row>
    <row r="2098" customFormat="false" ht="18.65" hidden="false" customHeight="true" outlineLevel="0" collapsed="false">
      <c r="A2098" s="1" t="n">
        <f aca="false">ROW()-2</f>
        <v>2096</v>
      </c>
      <c r="B2098" s="1" t="n">
        <f aca="false">INT(A2098/$N$1)</f>
        <v>116</v>
      </c>
      <c r="C2098" s="1" t="n">
        <f aca="false">INT(MOD(A2098,$N$1) / 2)</f>
        <v>4</v>
      </c>
      <c r="D2098" s="1" t="n">
        <f aca="false">_xlfn.BITAND(A2098,1)</f>
        <v>0</v>
      </c>
      <c r="F2098" s="1" t="str">
        <f aca="false">DEC2HEX(B2098*$N$3*18)</f>
        <v>20A00</v>
      </c>
      <c r="G2098" s="1" t="str">
        <f aca="false">DEC2HEX(C2098*7)</f>
        <v>1C</v>
      </c>
      <c r="H2098" s="1" t="n">
        <f aca="false">IF(D2098=0, 33, "cc")</f>
        <v>33</v>
      </c>
    </row>
    <row r="2099" customFormat="false" ht="18.65" hidden="false" customHeight="true" outlineLevel="0" collapsed="false">
      <c r="A2099" s="1" t="n">
        <f aca="false">ROW()-2</f>
        <v>2097</v>
      </c>
      <c r="B2099" s="1" t="n">
        <f aca="false">INT(A2099/$N$1)</f>
        <v>116</v>
      </c>
      <c r="C2099" s="1" t="n">
        <f aca="false">INT(MOD(A2099,$N$1) / 2)</f>
        <v>4</v>
      </c>
      <c r="D2099" s="1" t="n">
        <f aca="false">_xlfn.BITAND(A2099,1)</f>
        <v>1</v>
      </c>
      <c r="F2099" s="1" t="str">
        <f aca="false">DEC2HEX(B2099*$N$3*18)</f>
        <v>20A00</v>
      </c>
      <c r="G2099" s="1" t="str">
        <f aca="false">DEC2HEX(C2099*7)</f>
        <v>1C</v>
      </c>
      <c r="H2099" s="1" t="str">
        <f aca="false">IF(D2099=0, 33, "cc")</f>
        <v>cc</v>
      </c>
    </row>
    <row r="2100" customFormat="false" ht="18.65" hidden="false" customHeight="true" outlineLevel="0" collapsed="false">
      <c r="A2100" s="1" t="n">
        <f aca="false">ROW()-2</f>
        <v>2098</v>
      </c>
      <c r="B2100" s="1" t="n">
        <f aca="false">INT(A2100/$N$1)</f>
        <v>116</v>
      </c>
      <c r="C2100" s="1" t="n">
        <f aca="false">INT(MOD(A2100,$N$1) / 2)</f>
        <v>5</v>
      </c>
      <c r="D2100" s="1" t="n">
        <f aca="false">_xlfn.BITAND(A2100,1)</f>
        <v>0</v>
      </c>
      <c r="F2100" s="1" t="str">
        <f aca="false">DEC2HEX(B2100*$N$3*18)</f>
        <v>20A00</v>
      </c>
      <c r="G2100" s="1" t="str">
        <f aca="false">DEC2HEX(C2100*7)</f>
        <v>23</v>
      </c>
      <c r="H2100" s="1" t="n">
        <f aca="false">IF(D2100=0, 33, "cc")</f>
        <v>33</v>
      </c>
    </row>
    <row r="2101" customFormat="false" ht="18.65" hidden="false" customHeight="true" outlineLevel="0" collapsed="false">
      <c r="A2101" s="1" t="n">
        <f aca="false">ROW()-2</f>
        <v>2099</v>
      </c>
      <c r="B2101" s="1" t="n">
        <f aca="false">INT(A2101/$N$1)</f>
        <v>116</v>
      </c>
      <c r="C2101" s="1" t="n">
        <f aca="false">INT(MOD(A2101,$N$1) / 2)</f>
        <v>5</v>
      </c>
      <c r="D2101" s="1" t="n">
        <f aca="false">_xlfn.BITAND(A2101,1)</f>
        <v>1</v>
      </c>
      <c r="F2101" s="1" t="str">
        <f aca="false">DEC2HEX(B2101*$N$3*18)</f>
        <v>20A00</v>
      </c>
      <c r="G2101" s="1" t="str">
        <f aca="false">DEC2HEX(C2101*7)</f>
        <v>23</v>
      </c>
      <c r="H2101" s="1" t="str">
        <f aca="false">IF(D2101=0, 33, "cc")</f>
        <v>cc</v>
      </c>
    </row>
    <row r="2102" customFormat="false" ht="18.65" hidden="false" customHeight="true" outlineLevel="0" collapsed="false">
      <c r="A2102" s="1" t="n">
        <f aca="false">ROW()-2</f>
        <v>2100</v>
      </c>
      <c r="B2102" s="1" t="n">
        <f aca="false">INT(A2102/$N$1)</f>
        <v>116</v>
      </c>
      <c r="C2102" s="1" t="n">
        <f aca="false">INT(MOD(A2102,$N$1) / 2)</f>
        <v>6</v>
      </c>
      <c r="D2102" s="1" t="n">
        <f aca="false">_xlfn.BITAND(A2102,1)</f>
        <v>0</v>
      </c>
      <c r="F2102" s="1" t="str">
        <f aca="false">DEC2HEX(B2102*$N$3*18)</f>
        <v>20A00</v>
      </c>
      <c r="G2102" s="1" t="str">
        <f aca="false">DEC2HEX(C2102*7)</f>
        <v>2A</v>
      </c>
      <c r="H2102" s="1" t="n">
        <f aca="false">IF(D2102=0, 33, "cc")</f>
        <v>33</v>
      </c>
    </row>
    <row r="2103" customFormat="false" ht="18.65" hidden="false" customHeight="true" outlineLevel="0" collapsed="false">
      <c r="A2103" s="1" t="n">
        <f aca="false">ROW()-2</f>
        <v>2101</v>
      </c>
      <c r="B2103" s="1" t="n">
        <f aca="false">INT(A2103/$N$1)</f>
        <v>116</v>
      </c>
      <c r="C2103" s="1" t="n">
        <f aca="false">INT(MOD(A2103,$N$1) / 2)</f>
        <v>6</v>
      </c>
      <c r="D2103" s="1" t="n">
        <f aca="false">_xlfn.BITAND(A2103,1)</f>
        <v>1</v>
      </c>
      <c r="F2103" s="1" t="str">
        <f aca="false">DEC2HEX(B2103*$N$3*18)</f>
        <v>20A00</v>
      </c>
      <c r="G2103" s="1" t="str">
        <f aca="false">DEC2HEX(C2103*7)</f>
        <v>2A</v>
      </c>
      <c r="H2103" s="1" t="str">
        <f aca="false">IF(D2103=0, 33, "cc")</f>
        <v>cc</v>
      </c>
    </row>
    <row r="2104" customFormat="false" ht="18.65" hidden="false" customHeight="true" outlineLevel="0" collapsed="false">
      <c r="A2104" s="1" t="n">
        <f aca="false">ROW()-2</f>
        <v>2102</v>
      </c>
      <c r="B2104" s="1" t="n">
        <f aca="false">INT(A2104/$N$1)</f>
        <v>116</v>
      </c>
      <c r="C2104" s="1" t="n">
        <f aca="false">INT(MOD(A2104,$N$1) / 2)</f>
        <v>7</v>
      </c>
      <c r="D2104" s="1" t="n">
        <f aca="false">_xlfn.BITAND(A2104,1)</f>
        <v>0</v>
      </c>
      <c r="F2104" s="1" t="str">
        <f aca="false">DEC2HEX(B2104*$N$3*18)</f>
        <v>20A00</v>
      </c>
      <c r="G2104" s="1" t="str">
        <f aca="false">DEC2HEX(C2104*7)</f>
        <v>31</v>
      </c>
      <c r="H2104" s="1" t="n">
        <f aca="false">IF(D2104=0, 33, "cc")</f>
        <v>33</v>
      </c>
    </row>
    <row r="2105" customFormat="false" ht="18.65" hidden="false" customHeight="true" outlineLevel="0" collapsed="false">
      <c r="A2105" s="1" t="n">
        <f aca="false">ROW()-2</f>
        <v>2103</v>
      </c>
      <c r="B2105" s="1" t="n">
        <f aca="false">INT(A2105/$N$1)</f>
        <v>116</v>
      </c>
      <c r="C2105" s="1" t="n">
        <f aca="false">INT(MOD(A2105,$N$1) / 2)</f>
        <v>7</v>
      </c>
      <c r="D2105" s="1" t="n">
        <f aca="false">_xlfn.BITAND(A2105,1)</f>
        <v>1</v>
      </c>
      <c r="F2105" s="1" t="str">
        <f aca="false">DEC2HEX(B2105*$N$3*18)</f>
        <v>20A00</v>
      </c>
      <c r="G2105" s="1" t="str">
        <f aca="false">DEC2HEX(C2105*7)</f>
        <v>31</v>
      </c>
      <c r="H2105" s="1" t="str">
        <f aca="false">IF(D2105=0, 33, "cc")</f>
        <v>cc</v>
      </c>
    </row>
    <row r="2106" customFormat="false" ht="18.65" hidden="false" customHeight="true" outlineLevel="0" collapsed="false">
      <c r="A2106" s="1" t="n">
        <f aca="false">ROW()-2</f>
        <v>2104</v>
      </c>
      <c r="B2106" s="1" t="n">
        <f aca="false">INT(A2106/$N$1)</f>
        <v>116</v>
      </c>
      <c r="C2106" s="1" t="n">
        <f aca="false">INT(MOD(A2106,$N$1) / 2)</f>
        <v>8</v>
      </c>
      <c r="D2106" s="1" t="n">
        <f aca="false">_xlfn.BITAND(A2106,1)</f>
        <v>0</v>
      </c>
      <c r="F2106" s="1" t="str">
        <f aca="false">DEC2HEX(B2106*$N$3*18)</f>
        <v>20A00</v>
      </c>
      <c r="G2106" s="1" t="str">
        <f aca="false">DEC2HEX(C2106*7)</f>
        <v>38</v>
      </c>
      <c r="H2106" s="1" t="n">
        <f aca="false">IF(D2106=0, 33, "cc")</f>
        <v>33</v>
      </c>
    </row>
    <row r="2107" customFormat="false" ht="18.65" hidden="false" customHeight="true" outlineLevel="0" collapsed="false">
      <c r="A2107" s="1" t="n">
        <f aca="false">ROW()-2</f>
        <v>2105</v>
      </c>
      <c r="B2107" s="1" t="n">
        <f aca="false">INT(A2107/$N$1)</f>
        <v>116</v>
      </c>
      <c r="C2107" s="1" t="n">
        <f aca="false">INT(MOD(A2107,$N$1) / 2)</f>
        <v>8</v>
      </c>
      <c r="D2107" s="1" t="n">
        <f aca="false">_xlfn.BITAND(A2107,1)</f>
        <v>1</v>
      </c>
      <c r="F2107" s="1" t="str">
        <f aca="false">DEC2HEX(B2107*$N$3*18)</f>
        <v>20A00</v>
      </c>
      <c r="G2107" s="1" t="str">
        <f aca="false">DEC2HEX(C2107*7)</f>
        <v>38</v>
      </c>
      <c r="H2107" s="1" t="str">
        <f aca="false">IF(D2107=0, 33, "cc")</f>
        <v>cc</v>
      </c>
    </row>
    <row r="2108" customFormat="false" ht="18.65" hidden="false" customHeight="true" outlineLevel="0" collapsed="false">
      <c r="A2108" s="1" t="n">
        <f aca="false">ROW()-2</f>
        <v>2106</v>
      </c>
      <c r="B2108" s="1" t="n">
        <f aca="false">INT(A2108/$N$1)</f>
        <v>117</v>
      </c>
      <c r="C2108" s="1" t="n">
        <f aca="false">INT(MOD(A2108,$N$1) / 2)</f>
        <v>0</v>
      </c>
      <c r="D2108" s="1" t="n">
        <f aca="false">_xlfn.BITAND(A2108,1)</f>
        <v>0</v>
      </c>
      <c r="F2108" s="1" t="str">
        <f aca="false">DEC2HEX(B2108*$N$3*18)</f>
        <v>20E80</v>
      </c>
      <c r="G2108" s="1" t="str">
        <f aca="false">DEC2HEX(C2108*7)</f>
        <v>0</v>
      </c>
      <c r="H2108" s="1" t="n">
        <f aca="false">IF(D2108=0, 33, "cc")</f>
        <v>33</v>
      </c>
    </row>
    <row r="2109" customFormat="false" ht="18.65" hidden="false" customHeight="true" outlineLevel="0" collapsed="false">
      <c r="A2109" s="1" t="n">
        <f aca="false">ROW()-2</f>
        <v>2107</v>
      </c>
      <c r="B2109" s="1" t="n">
        <f aca="false">INT(A2109/$N$1)</f>
        <v>117</v>
      </c>
      <c r="C2109" s="1" t="n">
        <f aca="false">INT(MOD(A2109,$N$1) / 2)</f>
        <v>0</v>
      </c>
      <c r="D2109" s="1" t="n">
        <f aca="false">_xlfn.BITAND(A2109,1)</f>
        <v>1</v>
      </c>
      <c r="F2109" s="1" t="str">
        <f aca="false">DEC2HEX(B2109*$N$3*18)</f>
        <v>20E80</v>
      </c>
      <c r="G2109" s="1" t="str">
        <f aca="false">DEC2HEX(C2109*7)</f>
        <v>0</v>
      </c>
      <c r="H2109" s="1" t="str">
        <f aca="false">IF(D2109=0, 33, "cc")</f>
        <v>cc</v>
      </c>
    </row>
    <row r="2110" customFormat="false" ht="18.65" hidden="false" customHeight="true" outlineLevel="0" collapsed="false">
      <c r="A2110" s="1" t="n">
        <f aca="false">ROW()-2</f>
        <v>2108</v>
      </c>
      <c r="B2110" s="1" t="n">
        <f aca="false">INT(A2110/$N$1)</f>
        <v>117</v>
      </c>
      <c r="C2110" s="1" t="n">
        <f aca="false">INT(MOD(A2110,$N$1) / 2)</f>
        <v>1</v>
      </c>
      <c r="D2110" s="1" t="n">
        <f aca="false">_xlfn.BITAND(A2110,1)</f>
        <v>0</v>
      </c>
      <c r="F2110" s="1" t="str">
        <f aca="false">DEC2HEX(B2110*$N$3*18)</f>
        <v>20E80</v>
      </c>
      <c r="G2110" s="1" t="str">
        <f aca="false">DEC2HEX(C2110*7)</f>
        <v>7</v>
      </c>
      <c r="H2110" s="1" t="n">
        <f aca="false">IF(D2110=0, 33, "cc")</f>
        <v>33</v>
      </c>
    </row>
    <row r="2111" customFormat="false" ht="18.65" hidden="false" customHeight="true" outlineLevel="0" collapsed="false">
      <c r="A2111" s="1" t="n">
        <f aca="false">ROW()-2</f>
        <v>2109</v>
      </c>
      <c r="B2111" s="1" t="n">
        <f aca="false">INT(A2111/$N$1)</f>
        <v>117</v>
      </c>
      <c r="C2111" s="1" t="n">
        <f aca="false">INT(MOD(A2111,$N$1) / 2)</f>
        <v>1</v>
      </c>
      <c r="D2111" s="1" t="n">
        <f aca="false">_xlfn.BITAND(A2111,1)</f>
        <v>1</v>
      </c>
      <c r="F2111" s="1" t="str">
        <f aca="false">DEC2HEX(B2111*$N$3*18)</f>
        <v>20E80</v>
      </c>
      <c r="G2111" s="1" t="str">
        <f aca="false">DEC2HEX(C2111*7)</f>
        <v>7</v>
      </c>
      <c r="H2111" s="1" t="str">
        <f aca="false">IF(D2111=0, 33, "cc")</f>
        <v>cc</v>
      </c>
    </row>
    <row r="2112" customFormat="false" ht="18.65" hidden="false" customHeight="true" outlineLevel="0" collapsed="false">
      <c r="A2112" s="1" t="n">
        <f aca="false">ROW()-2</f>
        <v>2110</v>
      </c>
      <c r="B2112" s="1" t="n">
        <f aca="false">INT(A2112/$N$1)</f>
        <v>117</v>
      </c>
      <c r="C2112" s="1" t="n">
        <f aca="false">INT(MOD(A2112,$N$1) / 2)</f>
        <v>2</v>
      </c>
      <c r="D2112" s="1" t="n">
        <f aca="false">_xlfn.BITAND(A2112,1)</f>
        <v>0</v>
      </c>
      <c r="F2112" s="1" t="str">
        <f aca="false">DEC2HEX(B2112*$N$3*18)</f>
        <v>20E80</v>
      </c>
      <c r="G2112" s="1" t="str">
        <f aca="false">DEC2HEX(C2112*7)</f>
        <v>E</v>
      </c>
      <c r="H2112" s="1" t="n">
        <f aca="false">IF(D2112=0, 33, "cc")</f>
        <v>33</v>
      </c>
    </row>
    <row r="2113" customFormat="false" ht="18.65" hidden="false" customHeight="true" outlineLevel="0" collapsed="false">
      <c r="A2113" s="1" t="n">
        <f aca="false">ROW()-2</f>
        <v>2111</v>
      </c>
      <c r="B2113" s="1" t="n">
        <f aca="false">INT(A2113/$N$1)</f>
        <v>117</v>
      </c>
      <c r="C2113" s="1" t="n">
        <f aca="false">INT(MOD(A2113,$N$1) / 2)</f>
        <v>2</v>
      </c>
      <c r="D2113" s="1" t="n">
        <f aca="false">_xlfn.BITAND(A2113,1)</f>
        <v>1</v>
      </c>
      <c r="F2113" s="1" t="str">
        <f aca="false">DEC2HEX(B2113*$N$3*18)</f>
        <v>20E80</v>
      </c>
      <c r="G2113" s="1" t="str">
        <f aca="false">DEC2HEX(C2113*7)</f>
        <v>E</v>
      </c>
      <c r="H2113" s="1" t="str">
        <f aca="false">IF(D2113=0, 33, "cc")</f>
        <v>cc</v>
      </c>
    </row>
    <row r="2114" customFormat="false" ht="18.65" hidden="false" customHeight="true" outlineLevel="0" collapsed="false">
      <c r="A2114" s="1" t="n">
        <f aca="false">ROW()-2</f>
        <v>2112</v>
      </c>
      <c r="B2114" s="1" t="n">
        <f aca="false">INT(A2114/$N$1)</f>
        <v>117</v>
      </c>
      <c r="C2114" s="1" t="n">
        <f aca="false">INT(MOD(A2114,$N$1) / 2)</f>
        <v>3</v>
      </c>
      <c r="D2114" s="1" t="n">
        <f aca="false">_xlfn.BITAND(A2114,1)</f>
        <v>0</v>
      </c>
      <c r="F2114" s="1" t="str">
        <f aca="false">DEC2HEX(B2114*$N$3*18)</f>
        <v>20E80</v>
      </c>
      <c r="G2114" s="1" t="str">
        <f aca="false">DEC2HEX(C2114*7)</f>
        <v>15</v>
      </c>
      <c r="H2114" s="1" t="n">
        <f aca="false">IF(D2114=0, 33, "cc")</f>
        <v>33</v>
      </c>
    </row>
    <row r="2115" customFormat="false" ht="18.65" hidden="false" customHeight="true" outlineLevel="0" collapsed="false">
      <c r="A2115" s="1" t="n">
        <f aca="false">ROW()-2</f>
        <v>2113</v>
      </c>
      <c r="B2115" s="1" t="n">
        <f aca="false">INT(A2115/$N$1)</f>
        <v>117</v>
      </c>
      <c r="C2115" s="1" t="n">
        <f aca="false">INT(MOD(A2115,$N$1) / 2)</f>
        <v>3</v>
      </c>
      <c r="D2115" s="1" t="n">
        <f aca="false">_xlfn.BITAND(A2115,1)</f>
        <v>1</v>
      </c>
      <c r="F2115" s="1" t="str">
        <f aca="false">DEC2HEX(B2115*$N$3*18)</f>
        <v>20E80</v>
      </c>
      <c r="G2115" s="1" t="str">
        <f aca="false">DEC2HEX(C2115*7)</f>
        <v>15</v>
      </c>
      <c r="H2115" s="1" t="str">
        <f aca="false">IF(D2115=0, 33, "cc")</f>
        <v>cc</v>
      </c>
    </row>
    <row r="2116" customFormat="false" ht="18.65" hidden="false" customHeight="true" outlineLevel="0" collapsed="false">
      <c r="A2116" s="1" t="n">
        <f aca="false">ROW()-2</f>
        <v>2114</v>
      </c>
      <c r="B2116" s="1" t="n">
        <f aca="false">INT(A2116/$N$1)</f>
        <v>117</v>
      </c>
      <c r="C2116" s="1" t="n">
        <f aca="false">INT(MOD(A2116,$N$1) / 2)</f>
        <v>4</v>
      </c>
      <c r="D2116" s="1" t="n">
        <f aca="false">_xlfn.BITAND(A2116,1)</f>
        <v>0</v>
      </c>
      <c r="F2116" s="1" t="str">
        <f aca="false">DEC2HEX(B2116*$N$3*18)</f>
        <v>20E80</v>
      </c>
      <c r="G2116" s="1" t="str">
        <f aca="false">DEC2HEX(C2116*7)</f>
        <v>1C</v>
      </c>
      <c r="H2116" s="1" t="n">
        <f aca="false">IF(D2116=0, 33, "cc")</f>
        <v>33</v>
      </c>
    </row>
    <row r="2117" customFormat="false" ht="18.65" hidden="false" customHeight="true" outlineLevel="0" collapsed="false">
      <c r="A2117" s="1" t="n">
        <f aca="false">ROW()-2</f>
        <v>2115</v>
      </c>
      <c r="B2117" s="1" t="n">
        <f aca="false">INT(A2117/$N$1)</f>
        <v>117</v>
      </c>
      <c r="C2117" s="1" t="n">
        <f aca="false">INT(MOD(A2117,$N$1) / 2)</f>
        <v>4</v>
      </c>
      <c r="D2117" s="1" t="n">
        <f aca="false">_xlfn.BITAND(A2117,1)</f>
        <v>1</v>
      </c>
      <c r="F2117" s="1" t="str">
        <f aca="false">DEC2HEX(B2117*$N$3*18)</f>
        <v>20E80</v>
      </c>
      <c r="G2117" s="1" t="str">
        <f aca="false">DEC2HEX(C2117*7)</f>
        <v>1C</v>
      </c>
      <c r="H2117" s="1" t="str">
        <f aca="false">IF(D2117=0, 33, "cc")</f>
        <v>cc</v>
      </c>
    </row>
    <row r="2118" customFormat="false" ht="18.65" hidden="false" customHeight="true" outlineLevel="0" collapsed="false">
      <c r="A2118" s="1" t="n">
        <f aca="false">ROW()-2</f>
        <v>2116</v>
      </c>
      <c r="B2118" s="1" t="n">
        <f aca="false">INT(A2118/$N$1)</f>
        <v>117</v>
      </c>
      <c r="C2118" s="1" t="n">
        <f aca="false">INT(MOD(A2118,$N$1) / 2)</f>
        <v>5</v>
      </c>
      <c r="D2118" s="1" t="n">
        <f aca="false">_xlfn.BITAND(A2118,1)</f>
        <v>0</v>
      </c>
      <c r="F2118" s="1" t="str">
        <f aca="false">DEC2HEX(B2118*$N$3*18)</f>
        <v>20E80</v>
      </c>
      <c r="G2118" s="1" t="str">
        <f aca="false">DEC2HEX(C2118*7)</f>
        <v>23</v>
      </c>
      <c r="H2118" s="1" t="n">
        <f aca="false">IF(D2118=0, 33, "cc")</f>
        <v>33</v>
      </c>
    </row>
    <row r="2119" customFormat="false" ht="18.65" hidden="false" customHeight="true" outlineLevel="0" collapsed="false">
      <c r="A2119" s="1" t="n">
        <f aca="false">ROW()-2</f>
        <v>2117</v>
      </c>
      <c r="B2119" s="1" t="n">
        <f aca="false">INT(A2119/$N$1)</f>
        <v>117</v>
      </c>
      <c r="C2119" s="1" t="n">
        <f aca="false">INT(MOD(A2119,$N$1) / 2)</f>
        <v>5</v>
      </c>
      <c r="D2119" s="1" t="n">
        <f aca="false">_xlfn.BITAND(A2119,1)</f>
        <v>1</v>
      </c>
      <c r="F2119" s="1" t="str">
        <f aca="false">DEC2HEX(B2119*$N$3*18)</f>
        <v>20E80</v>
      </c>
      <c r="G2119" s="1" t="str">
        <f aca="false">DEC2HEX(C2119*7)</f>
        <v>23</v>
      </c>
      <c r="H2119" s="1" t="str">
        <f aca="false">IF(D2119=0, 33, "cc")</f>
        <v>cc</v>
      </c>
    </row>
    <row r="2120" customFormat="false" ht="18.65" hidden="false" customHeight="true" outlineLevel="0" collapsed="false">
      <c r="A2120" s="1" t="n">
        <f aca="false">ROW()-2</f>
        <v>2118</v>
      </c>
      <c r="B2120" s="1" t="n">
        <f aca="false">INT(A2120/$N$1)</f>
        <v>117</v>
      </c>
      <c r="C2120" s="1" t="n">
        <f aca="false">INT(MOD(A2120,$N$1) / 2)</f>
        <v>6</v>
      </c>
      <c r="D2120" s="1" t="n">
        <f aca="false">_xlfn.BITAND(A2120,1)</f>
        <v>0</v>
      </c>
      <c r="F2120" s="1" t="str">
        <f aca="false">DEC2HEX(B2120*$N$3*18)</f>
        <v>20E80</v>
      </c>
      <c r="G2120" s="1" t="str">
        <f aca="false">DEC2HEX(C2120*7)</f>
        <v>2A</v>
      </c>
      <c r="H2120" s="1" t="n">
        <f aca="false">IF(D2120=0, 33, "cc")</f>
        <v>33</v>
      </c>
    </row>
    <row r="2121" customFormat="false" ht="18.65" hidden="false" customHeight="true" outlineLevel="0" collapsed="false">
      <c r="A2121" s="1" t="n">
        <f aca="false">ROW()-2</f>
        <v>2119</v>
      </c>
      <c r="B2121" s="1" t="n">
        <f aca="false">INT(A2121/$N$1)</f>
        <v>117</v>
      </c>
      <c r="C2121" s="1" t="n">
        <f aca="false">INT(MOD(A2121,$N$1) / 2)</f>
        <v>6</v>
      </c>
      <c r="D2121" s="1" t="n">
        <f aca="false">_xlfn.BITAND(A2121,1)</f>
        <v>1</v>
      </c>
      <c r="F2121" s="1" t="str">
        <f aca="false">DEC2HEX(B2121*$N$3*18)</f>
        <v>20E80</v>
      </c>
      <c r="G2121" s="1" t="str">
        <f aca="false">DEC2HEX(C2121*7)</f>
        <v>2A</v>
      </c>
      <c r="H2121" s="1" t="str">
        <f aca="false">IF(D2121=0, 33, "cc")</f>
        <v>cc</v>
      </c>
    </row>
    <row r="2122" customFormat="false" ht="18.65" hidden="false" customHeight="true" outlineLevel="0" collapsed="false">
      <c r="A2122" s="1" t="n">
        <f aca="false">ROW()-2</f>
        <v>2120</v>
      </c>
      <c r="B2122" s="1" t="n">
        <f aca="false">INT(A2122/$N$1)</f>
        <v>117</v>
      </c>
      <c r="C2122" s="1" t="n">
        <f aca="false">INT(MOD(A2122,$N$1) / 2)</f>
        <v>7</v>
      </c>
      <c r="D2122" s="1" t="n">
        <f aca="false">_xlfn.BITAND(A2122,1)</f>
        <v>0</v>
      </c>
      <c r="F2122" s="1" t="str">
        <f aca="false">DEC2HEX(B2122*$N$3*18)</f>
        <v>20E80</v>
      </c>
      <c r="G2122" s="1" t="str">
        <f aca="false">DEC2HEX(C2122*7)</f>
        <v>31</v>
      </c>
      <c r="H2122" s="1" t="n">
        <f aca="false">IF(D2122=0, 33, "cc")</f>
        <v>33</v>
      </c>
    </row>
    <row r="2123" customFormat="false" ht="18.65" hidden="false" customHeight="true" outlineLevel="0" collapsed="false">
      <c r="A2123" s="1" t="n">
        <f aca="false">ROW()-2</f>
        <v>2121</v>
      </c>
      <c r="B2123" s="1" t="n">
        <f aca="false">INT(A2123/$N$1)</f>
        <v>117</v>
      </c>
      <c r="C2123" s="1" t="n">
        <f aca="false">INT(MOD(A2123,$N$1) / 2)</f>
        <v>7</v>
      </c>
      <c r="D2123" s="1" t="n">
        <f aca="false">_xlfn.BITAND(A2123,1)</f>
        <v>1</v>
      </c>
      <c r="F2123" s="1" t="str">
        <f aca="false">DEC2HEX(B2123*$N$3*18)</f>
        <v>20E80</v>
      </c>
      <c r="G2123" s="1" t="str">
        <f aca="false">DEC2HEX(C2123*7)</f>
        <v>31</v>
      </c>
      <c r="H2123" s="1" t="str">
        <f aca="false">IF(D2123=0, 33, "cc")</f>
        <v>cc</v>
      </c>
    </row>
    <row r="2124" customFormat="false" ht="18.65" hidden="false" customHeight="true" outlineLevel="0" collapsed="false">
      <c r="A2124" s="1" t="n">
        <f aca="false">ROW()-2</f>
        <v>2122</v>
      </c>
      <c r="B2124" s="1" t="n">
        <f aca="false">INT(A2124/$N$1)</f>
        <v>117</v>
      </c>
      <c r="C2124" s="1" t="n">
        <f aca="false">INT(MOD(A2124,$N$1) / 2)</f>
        <v>8</v>
      </c>
      <c r="D2124" s="1" t="n">
        <f aca="false">_xlfn.BITAND(A2124,1)</f>
        <v>0</v>
      </c>
      <c r="F2124" s="1" t="str">
        <f aca="false">DEC2HEX(B2124*$N$3*18)</f>
        <v>20E80</v>
      </c>
      <c r="G2124" s="1" t="str">
        <f aca="false">DEC2HEX(C2124*7)</f>
        <v>38</v>
      </c>
      <c r="H2124" s="1" t="n">
        <f aca="false">IF(D2124=0, 33, "cc")</f>
        <v>33</v>
      </c>
    </row>
    <row r="2125" customFormat="false" ht="18.65" hidden="false" customHeight="true" outlineLevel="0" collapsed="false">
      <c r="A2125" s="1" t="n">
        <f aca="false">ROW()-2</f>
        <v>2123</v>
      </c>
      <c r="B2125" s="1" t="n">
        <f aca="false">INT(A2125/$N$1)</f>
        <v>117</v>
      </c>
      <c r="C2125" s="1" t="n">
        <f aca="false">INT(MOD(A2125,$N$1) / 2)</f>
        <v>8</v>
      </c>
      <c r="D2125" s="1" t="n">
        <f aca="false">_xlfn.BITAND(A2125,1)</f>
        <v>1</v>
      </c>
      <c r="F2125" s="1" t="str">
        <f aca="false">DEC2HEX(B2125*$N$3*18)</f>
        <v>20E80</v>
      </c>
      <c r="G2125" s="1" t="str">
        <f aca="false">DEC2HEX(C2125*7)</f>
        <v>38</v>
      </c>
      <c r="H2125" s="1" t="str">
        <f aca="false">IF(D2125=0, 33, "cc")</f>
        <v>cc</v>
      </c>
    </row>
    <row r="2126" customFormat="false" ht="18.65" hidden="false" customHeight="true" outlineLevel="0" collapsed="false">
      <c r="A2126" s="1" t="n">
        <f aca="false">ROW()-2</f>
        <v>2124</v>
      </c>
      <c r="B2126" s="1" t="n">
        <f aca="false">INT(A2126/$N$1)</f>
        <v>118</v>
      </c>
      <c r="C2126" s="1" t="n">
        <f aca="false">INT(MOD(A2126,$N$1) / 2)</f>
        <v>0</v>
      </c>
      <c r="D2126" s="1" t="n">
        <f aca="false">_xlfn.BITAND(A2126,1)</f>
        <v>0</v>
      </c>
      <c r="F2126" s="1" t="str">
        <f aca="false">DEC2HEX(B2126*$N$3*18)</f>
        <v>21300</v>
      </c>
      <c r="G2126" s="1" t="str">
        <f aca="false">DEC2HEX(C2126*7)</f>
        <v>0</v>
      </c>
      <c r="H2126" s="1" t="n">
        <f aca="false">IF(D2126=0, 33, "cc")</f>
        <v>33</v>
      </c>
    </row>
    <row r="2127" customFormat="false" ht="18.65" hidden="false" customHeight="true" outlineLevel="0" collapsed="false">
      <c r="A2127" s="1" t="n">
        <f aca="false">ROW()-2</f>
        <v>2125</v>
      </c>
      <c r="B2127" s="1" t="n">
        <f aca="false">INT(A2127/$N$1)</f>
        <v>118</v>
      </c>
      <c r="C2127" s="1" t="n">
        <f aca="false">INT(MOD(A2127,$N$1) / 2)</f>
        <v>0</v>
      </c>
      <c r="D2127" s="1" t="n">
        <f aca="false">_xlfn.BITAND(A2127,1)</f>
        <v>1</v>
      </c>
      <c r="F2127" s="1" t="str">
        <f aca="false">DEC2HEX(B2127*$N$3*18)</f>
        <v>21300</v>
      </c>
      <c r="G2127" s="1" t="str">
        <f aca="false">DEC2HEX(C2127*7)</f>
        <v>0</v>
      </c>
      <c r="H2127" s="1" t="str">
        <f aca="false">IF(D2127=0, 33, "cc")</f>
        <v>cc</v>
      </c>
    </row>
    <row r="2128" customFormat="false" ht="18.65" hidden="false" customHeight="true" outlineLevel="0" collapsed="false">
      <c r="A2128" s="1" t="n">
        <f aca="false">ROW()-2</f>
        <v>2126</v>
      </c>
      <c r="B2128" s="1" t="n">
        <f aca="false">INT(A2128/$N$1)</f>
        <v>118</v>
      </c>
      <c r="C2128" s="1" t="n">
        <f aca="false">INT(MOD(A2128,$N$1) / 2)</f>
        <v>1</v>
      </c>
      <c r="D2128" s="1" t="n">
        <f aca="false">_xlfn.BITAND(A2128,1)</f>
        <v>0</v>
      </c>
      <c r="F2128" s="1" t="str">
        <f aca="false">DEC2HEX(B2128*$N$3*18)</f>
        <v>21300</v>
      </c>
      <c r="G2128" s="1" t="str">
        <f aca="false">DEC2HEX(C2128*7)</f>
        <v>7</v>
      </c>
      <c r="H2128" s="1" t="n">
        <f aca="false">IF(D2128=0, 33, "cc")</f>
        <v>33</v>
      </c>
    </row>
    <row r="2129" customFormat="false" ht="18.65" hidden="false" customHeight="true" outlineLevel="0" collapsed="false">
      <c r="A2129" s="1" t="n">
        <f aca="false">ROW()-2</f>
        <v>2127</v>
      </c>
      <c r="B2129" s="1" t="n">
        <f aca="false">INT(A2129/$N$1)</f>
        <v>118</v>
      </c>
      <c r="C2129" s="1" t="n">
        <f aca="false">INT(MOD(A2129,$N$1) / 2)</f>
        <v>1</v>
      </c>
      <c r="D2129" s="1" t="n">
        <f aca="false">_xlfn.BITAND(A2129,1)</f>
        <v>1</v>
      </c>
      <c r="F2129" s="1" t="str">
        <f aca="false">DEC2HEX(B2129*$N$3*18)</f>
        <v>21300</v>
      </c>
      <c r="G2129" s="1" t="str">
        <f aca="false">DEC2HEX(C2129*7)</f>
        <v>7</v>
      </c>
      <c r="H2129" s="1" t="str">
        <f aca="false">IF(D2129=0, 33, "cc")</f>
        <v>cc</v>
      </c>
    </row>
    <row r="2130" customFormat="false" ht="18.65" hidden="false" customHeight="true" outlineLevel="0" collapsed="false">
      <c r="A2130" s="1" t="n">
        <f aca="false">ROW()-2</f>
        <v>2128</v>
      </c>
      <c r="B2130" s="1" t="n">
        <f aca="false">INT(A2130/$N$1)</f>
        <v>118</v>
      </c>
      <c r="C2130" s="1" t="n">
        <f aca="false">INT(MOD(A2130,$N$1) / 2)</f>
        <v>2</v>
      </c>
      <c r="D2130" s="1" t="n">
        <f aca="false">_xlfn.BITAND(A2130,1)</f>
        <v>0</v>
      </c>
      <c r="F2130" s="1" t="str">
        <f aca="false">DEC2HEX(B2130*$N$3*18)</f>
        <v>21300</v>
      </c>
      <c r="G2130" s="1" t="str">
        <f aca="false">DEC2HEX(C2130*7)</f>
        <v>E</v>
      </c>
      <c r="H2130" s="1" t="n">
        <f aca="false">IF(D2130=0, 33, "cc")</f>
        <v>33</v>
      </c>
    </row>
    <row r="2131" customFormat="false" ht="18.65" hidden="false" customHeight="true" outlineLevel="0" collapsed="false">
      <c r="A2131" s="1" t="n">
        <f aca="false">ROW()-2</f>
        <v>2129</v>
      </c>
      <c r="B2131" s="1" t="n">
        <f aca="false">INT(A2131/$N$1)</f>
        <v>118</v>
      </c>
      <c r="C2131" s="1" t="n">
        <f aca="false">INT(MOD(A2131,$N$1) / 2)</f>
        <v>2</v>
      </c>
      <c r="D2131" s="1" t="n">
        <f aca="false">_xlfn.BITAND(A2131,1)</f>
        <v>1</v>
      </c>
      <c r="F2131" s="1" t="str">
        <f aca="false">DEC2HEX(B2131*$N$3*18)</f>
        <v>21300</v>
      </c>
      <c r="G2131" s="1" t="str">
        <f aca="false">DEC2HEX(C2131*7)</f>
        <v>E</v>
      </c>
      <c r="H2131" s="1" t="str">
        <f aca="false">IF(D2131=0, 33, "cc")</f>
        <v>cc</v>
      </c>
    </row>
    <row r="2132" customFormat="false" ht="18.65" hidden="false" customHeight="true" outlineLevel="0" collapsed="false">
      <c r="A2132" s="1" t="n">
        <f aca="false">ROW()-2</f>
        <v>2130</v>
      </c>
      <c r="B2132" s="1" t="n">
        <f aca="false">INT(A2132/$N$1)</f>
        <v>118</v>
      </c>
      <c r="C2132" s="1" t="n">
        <f aca="false">INT(MOD(A2132,$N$1) / 2)</f>
        <v>3</v>
      </c>
      <c r="D2132" s="1" t="n">
        <f aca="false">_xlfn.BITAND(A2132,1)</f>
        <v>0</v>
      </c>
      <c r="F2132" s="1" t="str">
        <f aca="false">DEC2HEX(B2132*$N$3*18)</f>
        <v>21300</v>
      </c>
      <c r="G2132" s="1" t="str">
        <f aca="false">DEC2HEX(C2132*7)</f>
        <v>15</v>
      </c>
      <c r="H2132" s="1" t="n">
        <f aca="false">IF(D2132=0, 33, "cc")</f>
        <v>33</v>
      </c>
    </row>
    <row r="2133" customFormat="false" ht="18.65" hidden="false" customHeight="true" outlineLevel="0" collapsed="false">
      <c r="A2133" s="1" t="n">
        <f aca="false">ROW()-2</f>
        <v>2131</v>
      </c>
      <c r="B2133" s="1" t="n">
        <f aca="false">INT(A2133/$N$1)</f>
        <v>118</v>
      </c>
      <c r="C2133" s="1" t="n">
        <f aca="false">INT(MOD(A2133,$N$1) / 2)</f>
        <v>3</v>
      </c>
      <c r="D2133" s="1" t="n">
        <f aca="false">_xlfn.BITAND(A2133,1)</f>
        <v>1</v>
      </c>
      <c r="F2133" s="1" t="str">
        <f aca="false">DEC2HEX(B2133*$N$3*18)</f>
        <v>21300</v>
      </c>
      <c r="G2133" s="1" t="str">
        <f aca="false">DEC2HEX(C2133*7)</f>
        <v>15</v>
      </c>
      <c r="H2133" s="1" t="str">
        <f aca="false">IF(D2133=0, 33, "cc")</f>
        <v>cc</v>
      </c>
    </row>
    <row r="2134" customFormat="false" ht="18.65" hidden="false" customHeight="true" outlineLevel="0" collapsed="false">
      <c r="A2134" s="1" t="n">
        <f aca="false">ROW()-2</f>
        <v>2132</v>
      </c>
      <c r="B2134" s="1" t="n">
        <f aca="false">INT(A2134/$N$1)</f>
        <v>118</v>
      </c>
      <c r="C2134" s="1" t="n">
        <f aca="false">INT(MOD(A2134,$N$1) / 2)</f>
        <v>4</v>
      </c>
      <c r="D2134" s="1" t="n">
        <f aca="false">_xlfn.BITAND(A2134,1)</f>
        <v>0</v>
      </c>
      <c r="F2134" s="1" t="str">
        <f aca="false">DEC2HEX(B2134*$N$3*18)</f>
        <v>21300</v>
      </c>
      <c r="G2134" s="1" t="str">
        <f aca="false">DEC2HEX(C2134*7)</f>
        <v>1C</v>
      </c>
      <c r="H2134" s="1" t="n">
        <f aca="false">IF(D2134=0, 33, "cc")</f>
        <v>33</v>
      </c>
    </row>
    <row r="2135" customFormat="false" ht="18.65" hidden="false" customHeight="true" outlineLevel="0" collapsed="false">
      <c r="A2135" s="1" t="n">
        <f aca="false">ROW()-2</f>
        <v>2133</v>
      </c>
      <c r="B2135" s="1" t="n">
        <f aca="false">INT(A2135/$N$1)</f>
        <v>118</v>
      </c>
      <c r="C2135" s="1" t="n">
        <f aca="false">INT(MOD(A2135,$N$1) / 2)</f>
        <v>4</v>
      </c>
      <c r="D2135" s="1" t="n">
        <f aca="false">_xlfn.BITAND(A2135,1)</f>
        <v>1</v>
      </c>
      <c r="F2135" s="1" t="str">
        <f aca="false">DEC2HEX(B2135*$N$3*18)</f>
        <v>21300</v>
      </c>
      <c r="G2135" s="1" t="str">
        <f aca="false">DEC2HEX(C2135*7)</f>
        <v>1C</v>
      </c>
      <c r="H2135" s="1" t="str">
        <f aca="false">IF(D2135=0, 33, "cc")</f>
        <v>cc</v>
      </c>
    </row>
    <row r="2136" customFormat="false" ht="18.65" hidden="false" customHeight="true" outlineLevel="0" collapsed="false">
      <c r="A2136" s="1" t="n">
        <f aca="false">ROW()-2</f>
        <v>2134</v>
      </c>
      <c r="B2136" s="1" t="n">
        <f aca="false">INT(A2136/$N$1)</f>
        <v>118</v>
      </c>
      <c r="C2136" s="1" t="n">
        <f aca="false">INT(MOD(A2136,$N$1) / 2)</f>
        <v>5</v>
      </c>
      <c r="D2136" s="1" t="n">
        <f aca="false">_xlfn.BITAND(A2136,1)</f>
        <v>0</v>
      </c>
      <c r="F2136" s="1" t="str">
        <f aca="false">DEC2HEX(B2136*$N$3*18)</f>
        <v>21300</v>
      </c>
      <c r="G2136" s="1" t="str">
        <f aca="false">DEC2HEX(C2136*7)</f>
        <v>23</v>
      </c>
      <c r="H2136" s="1" t="n">
        <f aca="false">IF(D2136=0, 33, "cc")</f>
        <v>33</v>
      </c>
    </row>
    <row r="2137" customFormat="false" ht="18.65" hidden="false" customHeight="true" outlineLevel="0" collapsed="false">
      <c r="A2137" s="1" t="n">
        <f aca="false">ROW()-2</f>
        <v>2135</v>
      </c>
      <c r="B2137" s="1" t="n">
        <f aca="false">INT(A2137/$N$1)</f>
        <v>118</v>
      </c>
      <c r="C2137" s="1" t="n">
        <f aca="false">INT(MOD(A2137,$N$1) / 2)</f>
        <v>5</v>
      </c>
      <c r="D2137" s="1" t="n">
        <f aca="false">_xlfn.BITAND(A2137,1)</f>
        <v>1</v>
      </c>
      <c r="F2137" s="1" t="str">
        <f aca="false">DEC2HEX(B2137*$N$3*18)</f>
        <v>21300</v>
      </c>
      <c r="G2137" s="1" t="str">
        <f aca="false">DEC2HEX(C2137*7)</f>
        <v>23</v>
      </c>
      <c r="H2137" s="1" t="str">
        <f aca="false">IF(D2137=0, 33, "cc")</f>
        <v>cc</v>
      </c>
    </row>
    <row r="2138" customFormat="false" ht="18.65" hidden="false" customHeight="true" outlineLevel="0" collapsed="false">
      <c r="A2138" s="1" t="n">
        <f aca="false">ROW()-2</f>
        <v>2136</v>
      </c>
      <c r="B2138" s="1" t="n">
        <f aca="false">INT(A2138/$N$1)</f>
        <v>118</v>
      </c>
      <c r="C2138" s="1" t="n">
        <f aca="false">INT(MOD(A2138,$N$1) / 2)</f>
        <v>6</v>
      </c>
      <c r="D2138" s="1" t="n">
        <f aca="false">_xlfn.BITAND(A2138,1)</f>
        <v>0</v>
      </c>
      <c r="F2138" s="1" t="str">
        <f aca="false">DEC2HEX(B2138*$N$3*18)</f>
        <v>21300</v>
      </c>
      <c r="G2138" s="1" t="str">
        <f aca="false">DEC2HEX(C2138*7)</f>
        <v>2A</v>
      </c>
      <c r="H2138" s="1" t="n">
        <f aca="false">IF(D2138=0, 33, "cc")</f>
        <v>33</v>
      </c>
    </row>
    <row r="2139" customFormat="false" ht="18.65" hidden="false" customHeight="true" outlineLevel="0" collapsed="false">
      <c r="A2139" s="1" t="n">
        <f aca="false">ROW()-2</f>
        <v>2137</v>
      </c>
      <c r="B2139" s="1" t="n">
        <f aca="false">INT(A2139/$N$1)</f>
        <v>118</v>
      </c>
      <c r="C2139" s="1" t="n">
        <f aca="false">INT(MOD(A2139,$N$1) / 2)</f>
        <v>6</v>
      </c>
      <c r="D2139" s="1" t="n">
        <f aca="false">_xlfn.BITAND(A2139,1)</f>
        <v>1</v>
      </c>
      <c r="F2139" s="1" t="str">
        <f aca="false">DEC2HEX(B2139*$N$3*18)</f>
        <v>21300</v>
      </c>
      <c r="G2139" s="1" t="str">
        <f aca="false">DEC2HEX(C2139*7)</f>
        <v>2A</v>
      </c>
      <c r="H2139" s="1" t="str">
        <f aca="false">IF(D2139=0, 33, "cc")</f>
        <v>cc</v>
      </c>
    </row>
    <row r="2140" customFormat="false" ht="18.65" hidden="false" customHeight="true" outlineLevel="0" collapsed="false">
      <c r="A2140" s="1" t="n">
        <f aca="false">ROW()-2</f>
        <v>2138</v>
      </c>
      <c r="B2140" s="1" t="n">
        <f aca="false">INT(A2140/$N$1)</f>
        <v>118</v>
      </c>
      <c r="C2140" s="1" t="n">
        <f aca="false">INT(MOD(A2140,$N$1) / 2)</f>
        <v>7</v>
      </c>
      <c r="D2140" s="1" t="n">
        <f aca="false">_xlfn.BITAND(A2140,1)</f>
        <v>0</v>
      </c>
      <c r="F2140" s="1" t="str">
        <f aca="false">DEC2HEX(B2140*$N$3*18)</f>
        <v>21300</v>
      </c>
      <c r="G2140" s="1" t="str">
        <f aca="false">DEC2HEX(C2140*7)</f>
        <v>31</v>
      </c>
      <c r="H2140" s="1" t="n">
        <f aca="false">IF(D2140=0, 33, "cc")</f>
        <v>33</v>
      </c>
    </row>
    <row r="2141" customFormat="false" ht="18.65" hidden="false" customHeight="true" outlineLevel="0" collapsed="false">
      <c r="A2141" s="1" t="n">
        <f aca="false">ROW()-2</f>
        <v>2139</v>
      </c>
      <c r="B2141" s="1" t="n">
        <f aca="false">INT(A2141/$N$1)</f>
        <v>118</v>
      </c>
      <c r="C2141" s="1" t="n">
        <f aca="false">INT(MOD(A2141,$N$1) / 2)</f>
        <v>7</v>
      </c>
      <c r="D2141" s="1" t="n">
        <f aca="false">_xlfn.BITAND(A2141,1)</f>
        <v>1</v>
      </c>
      <c r="F2141" s="1" t="str">
        <f aca="false">DEC2HEX(B2141*$N$3*18)</f>
        <v>21300</v>
      </c>
      <c r="G2141" s="1" t="str">
        <f aca="false">DEC2HEX(C2141*7)</f>
        <v>31</v>
      </c>
      <c r="H2141" s="1" t="str">
        <f aca="false">IF(D2141=0, 33, "cc")</f>
        <v>cc</v>
      </c>
    </row>
    <row r="2142" customFormat="false" ht="18.65" hidden="false" customHeight="true" outlineLevel="0" collapsed="false">
      <c r="A2142" s="1" t="n">
        <f aca="false">ROW()-2</f>
        <v>2140</v>
      </c>
      <c r="B2142" s="1" t="n">
        <f aca="false">INT(A2142/$N$1)</f>
        <v>118</v>
      </c>
      <c r="C2142" s="1" t="n">
        <f aca="false">INT(MOD(A2142,$N$1) / 2)</f>
        <v>8</v>
      </c>
      <c r="D2142" s="1" t="n">
        <f aca="false">_xlfn.BITAND(A2142,1)</f>
        <v>0</v>
      </c>
      <c r="F2142" s="1" t="str">
        <f aca="false">DEC2HEX(B2142*$N$3*18)</f>
        <v>21300</v>
      </c>
      <c r="G2142" s="1" t="str">
        <f aca="false">DEC2HEX(C2142*7)</f>
        <v>38</v>
      </c>
      <c r="H2142" s="1" t="n">
        <f aca="false">IF(D2142=0, 33, "cc")</f>
        <v>33</v>
      </c>
    </row>
    <row r="2143" customFormat="false" ht="18.65" hidden="false" customHeight="true" outlineLevel="0" collapsed="false">
      <c r="A2143" s="1" t="n">
        <f aca="false">ROW()-2</f>
        <v>2141</v>
      </c>
      <c r="B2143" s="1" t="n">
        <f aca="false">INT(A2143/$N$1)</f>
        <v>118</v>
      </c>
      <c r="C2143" s="1" t="n">
        <f aca="false">INT(MOD(A2143,$N$1) / 2)</f>
        <v>8</v>
      </c>
      <c r="D2143" s="1" t="n">
        <f aca="false">_xlfn.BITAND(A2143,1)</f>
        <v>1</v>
      </c>
      <c r="F2143" s="1" t="str">
        <f aca="false">DEC2HEX(B2143*$N$3*18)</f>
        <v>21300</v>
      </c>
      <c r="G2143" s="1" t="str">
        <f aca="false">DEC2HEX(C2143*7)</f>
        <v>38</v>
      </c>
      <c r="H2143" s="1" t="str">
        <f aca="false">IF(D2143=0, 33, "cc")</f>
        <v>cc</v>
      </c>
    </row>
    <row r="2144" customFormat="false" ht="18.65" hidden="false" customHeight="true" outlineLevel="0" collapsed="false">
      <c r="A2144" s="1" t="n">
        <f aca="false">ROW()-2</f>
        <v>2142</v>
      </c>
      <c r="B2144" s="1" t="n">
        <f aca="false">INT(A2144/$N$1)</f>
        <v>119</v>
      </c>
      <c r="C2144" s="1" t="n">
        <f aca="false">INT(MOD(A2144,$N$1) / 2)</f>
        <v>0</v>
      </c>
      <c r="D2144" s="1" t="n">
        <f aca="false">_xlfn.BITAND(A2144,1)</f>
        <v>0</v>
      </c>
      <c r="F2144" s="1" t="str">
        <f aca="false">DEC2HEX(B2144*$N$3*18)</f>
        <v>21780</v>
      </c>
      <c r="G2144" s="1" t="str">
        <f aca="false">DEC2HEX(C2144*7)</f>
        <v>0</v>
      </c>
      <c r="H2144" s="1" t="n">
        <f aca="false">IF(D2144=0, 33, "cc")</f>
        <v>33</v>
      </c>
    </row>
    <row r="2145" customFormat="false" ht="18.65" hidden="false" customHeight="true" outlineLevel="0" collapsed="false">
      <c r="A2145" s="1" t="n">
        <f aca="false">ROW()-2</f>
        <v>2143</v>
      </c>
      <c r="B2145" s="1" t="n">
        <f aca="false">INT(A2145/$N$1)</f>
        <v>119</v>
      </c>
      <c r="C2145" s="1" t="n">
        <f aca="false">INT(MOD(A2145,$N$1) / 2)</f>
        <v>0</v>
      </c>
      <c r="D2145" s="1" t="n">
        <f aca="false">_xlfn.BITAND(A2145,1)</f>
        <v>1</v>
      </c>
      <c r="F2145" s="1" t="str">
        <f aca="false">DEC2HEX(B2145*$N$3*18)</f>
        <v>21780</v>
      </c>
      <c r="G2145" s="1" t="str">
        <f aca="false">DEC2HEX(C2145*7)</f>
        <v>0</v>
      </c>
      <c r="H2145" s="1" t="str">
        <f aca="false">IF(D2145=0, 33, "cc")</f>
        <v>cc</v>
      </c>
    </row>
    <row r="2146" customFormat="false" ht="18.65" hidden="false" customHeight="true" outlineLevel="0" collapsed="false">
      <c r="A2146" s="1" t="n">
        <f aca="false">ROW()-2</f>
        <v>2144</v>
      </c>
      <c r="B2146" s="1" t="n">
        <f aca="false">INT(A2146/$N$1)</f>
        <v>119</v>
      </c>
      <c r="C2146" s="1" t="n">
        <f aca="false">INT(MOD(A2146,$N$1) / 2)</f>
        <v>1</v>
      </c>
      <c r="D2146" s="1" t="n">
        <f aca="false">_xlfn.BITAND(A2146,1)</f>
        <v>0</v>
      </c>
      <c r="F2146" s="1" t="str">
        <f aca="false">DEC2HEX(B2146*$N$3*18)</f>
        <v>21780</v>
      </c>
      <c r="G2146" s="1" t="str">
        <f aca="false">DEC2HEX(C2146*7)</f>
        <v>7</v>
      </c>
      <c r="H2146" s="1" t="n">
        <f aca="false">IF(D2146=0, 33, "cc")</f>
        <v>33</v>
      </c>
    </row>
    <row r="2147" customFormat="false" ht="18.65" hidden="false" customHeight="true" outlineLevel="0" collapsed="false">
      <c r="A2147" s="1" t="n">
        <f aca="false">ROW()-2</f>
        <v>2145</v>
      </c>
      <c r="B2147" s="1" t="n">
        <f aca="false">INT(A2147/$N$1)</f>
        <v>119</v>
      </c>
      <c r="C2147" s="1" t="n">
        <f aca="false">INT(MOD(A2147,$N$1) / 2)</f>
        <v>1</v>
      </c>
      <c r="D2147" s="1" t="n">
        <f aca="false">_xlfn.BITAND(A2147,1)</f>
        <v>1</v>
      </c>
      <c r="F2147" s="1" t="str">
        <f aca="false">DEC2HEX(B2147*$N$3*18)</f>
        <v>21780</v>
      </c>
      <c r="G2147" s="1" t="str">
        <f aca="false">DEC2HEX(C2147*7)</f>
        <v>7</v>
      </c>
      <c r="H2147" s="1" t="str">
        <f aca="false">IF(D2147=0, 33, "cc")</f>
        <v>cc</v>
      </c>
    </row>
    <row r="2148" customFormat="false" ht="18.65" hidden="false" customHeight="true" outlineLevel="0" collapsed="false">
      <c r="A2148" s="1" t="n">
        <f aca="false">ROW()-2</f>
        <v>2146</v>
      </c>
      <c r="B2148" s="1" t="n">
        <f aca="false">INT(A2148/$N$1)</f>
        <v>119</v>
      </c>
      <c r="C2148" s="1" t="n">
        <f aca="false">INT(MOD(A2148,$N$1) / 2)</f>
        <v>2</v>
      </c>
      <c r="D2148" s="1" t="n">
        <f aca="false">_xlfn.BITAND(A2148,1)</f>
        <v>0</v>
      </c>
      <c r="F2148" s="1" t="str">
        <f aca="false">DEC2HEX(B2148*$N$3*18)</f>
        <v>21780</v>
      </c>
      <c r="G2148" s="1" t="str">
        <f aca="false">DEC2HEX(C2148*7)</f>
        <v>E</v>
      </c>
      <c r="H2148" s="1" t="n">
        <f aca="false">IF(D2148=0, 33, "cc")</f>
        <v>33</v>
      </c>
    </row>
    <row r="2149" customFormat="false" ht="18.65" hidden="false" customHeight="true" outlineLevel="0" collapsed="false">
      <c r="A2149" s="1" t="n">
        <f aca="false">ROW()-2</f>
        <v>2147</v>
      </c>
      <c r="B2149" s="1" t="n">
        <f aca="false">INT(A2149/$N$1)</f>
        <v>119</v>
      </c>
      <c r="C2149" s="1" t="n">
        <f aca="false">INT(MOD(A2149,$N$1) / 2)</f>
        <v>2</v>
      </c>
      <c r="D2149" s="1" t="n">
        <f aca="false">_xlfn.BITAND(A2149,1)</f>
        <v>1</v>
      </c>
      <c r="F2149" s="1" t="str">
        <f aca="false">DEC2HEX(B2149*$N$3*18)</f>
        <v>21780</v>
      </c>
      <c r="G2149" s="1" t="str">
        <f aca="false">DEC2HEX(C2149*7)</f>
        <v>E</v>
      </c>
      <c r="H2149" s="1" t="str">
        <f aca="false">IF(D2149=0, 33, "cc")</f>
        <v>cc</v>
      </c>
    </row>
    <row r="2150" customFormat="false" ht="18.65" hidden="false" customHeight="true" outlineLevel="0" collapsed="false">
      <c r="A2150" s="1" t="n">
        <f aca="false">ROW()-2</f>
        <v>2148</v>
      </c>
      <c r="B2150" s="1" t="n">
        <f aca="false">INT(A2150/$N$1)</f>
        <v>119</v>
      </c>
      <c r="C2150" s="1" t="n">
        <f aca="false">INT(MOD(A2150,$N$1) / 2)</f>
        <v>3</v>
      </c>
      <c r="D2150" s="1" t="n">
        <f aca="false">_xlfn.BITAND(A2150,1)</f>
        <v>0</v>
      </c>
      <c r="F2150" s="1" t="str">
        <f aca="false">DEC2HEX(B2150*$N$3*18)</f>
        <v>21780</v>
      </c>
      <c r="G2150" s="1" t="str">
        <f aca="false">DEC2HEX(C2150*7)</f>
        <v>15</v>
      </c>
      <c r="H2150" s="1" t="n">
        <f aca="false">IF(D2150=0, 33, "cc")</f>
        <v>33</v>
      </c>
    </row>
    <row r="2151" customFormat="false" ht="18.65" hidden="false" customHeight="true" outlineLevel="0" collapsed="false">
      <c r="A2151" s="1" t="n">
        <f aca="false">ROW()-2</f>
        <v>2149</v>
      </c>
      <c r="B2151" s="1" t="n">
        <f aca="false">INT(A2151/$N$1)</f>
        <v>119</v>
      </c>
      <c r="C2151" s="1" t="n">
        <f aca="false">INT(MOD(A2151,$N$1) / 2)</f>
        <v>3</v>
      </c>
      <c r="D2151" s="1" t="n">
        <f aca="false">_xlfn.BITAND(A2151,1)</f>
        <v>1</v>
      </c>
      <c r="F2151" s="1" t="str">
        <f aca="false">DEC2HEX(B2151*$N$3*18)</f>
        <v>21780</v>
      </c>
      <c r="G2151" s="1" t="str">
        <f aca="false">DEC2HEX(C2151*7)</f>
        <v>15</v>
      </c>
      <c r="H2151" s="1" t="str">
        <f aca="false">IF(D2151=0, 33, "cc")</f>
        <v>cc</v>
      </c>
    </row>
    <row r="2152" customFormat="false" ht="18.65" hidden="false" customHeight="true" outlineLevel="0" collapsed="false">
      <c r="A2152" s="1" t="n">
        <f aca="false">ROW()-2</f>
        <v>2150</v>
      </c>
      <c r="B2152" s="1" t="n">
        <f aca="false">INT(A2152/$N$1)</f>
        <v>119</v>
      </c>
      <c r="C2152" s="1" t="n">
        <f aca="false">INT(MOD(A2152,$N$1) / 2)</f>
        <v>4</v>
      </c>
      <c r="D2152" s="1" t="n">
        <f aca="false">_xlfn.BITAND(A2152,1)</f>
        <v>0</v>
      </c>
      <c r="F2152" s="1" t="str">
        <f aca="false">DEC2HEX(B2152*$N$3*18)</f>
        <v>21780</v>
      </c>
      <c r="G2152" s="1" t="str">
        <f aca="false">DEC2HEX(C2152*7)</f>
        <v>1C</v>
      </c>
      <c r="H2152" s="1" t="n">
        <f aca="false">IF(D2152=0, 33, "cc")</f>
        <v>33</v>
      </c>
    </row>
    <row r="2153" customFormat="false" ht="18.65" hidden="false" customHeight="true" outlineLevel="0" collapsed="false">
      <c r="A2153" s="1" t="n">
        <f aca="false">ROW()-2</f>
        <v>2151</v>
      </c>
      <c r="B2153" s="1" t="n">
        <f aca="false">INT(A2153/$N$1)</f>
        <v>119</v>
      </c>
      <c r="C2153" s="1" t="n">
        <f aca="false">INT(MOD(A2153,$N$1) / 2)</f>
        <v>4</v>
      </c>
      <c r="D2153" s="1" t="n">
        <f aca="false">_xlfn.BITAND(A2153,1)</f>
        <v>1</v>
      </c>
      <c r="F2153" s="1" t="str">
        <f aca="false">DEC2HEX(B2153*$N$3*18)</f>
        <v>21780</v>
      </c>
      <c r="G2153" s="1" t="str">
        <f aca="false">DEC2HEX(C2153*7)</f>
        <v>1C</v>
      </c>
      <c r="H2153" s="1" t="str">
        <f aca="false">IF(D2153=0, 33, "cc")</f>
        <v>cc</v>
      </c>
    </row>
    <row r="2154" customFormat="false" ht="18.65" hidden="false" customHeight="true" outlineLevel="0" collapsed="false">
      <c r="A2154" s="1" t="n">
        <f aca="false">ROW()-2</f>
        <v>2152</v>
      </c>
      <c r="B2154" s="1" t="n">
        <f aca="false">INT(A2154/$N$1)</f>
        <v>119</v>
      </c>
      <c r="C2154" s="1" t="n">
        <f aca="false">INT(MOD(A2154,$N$1) / 2)</f>
        <v>5</v>
      </c>
      <c r="D2154" s="1" t="n">
        <f aca="false">_xlfn.BITAND(A2154,1)</f>
        <v>0</v>
      </c>
      <c r="F2154" s="1" t="str">
        <f aca="false">DEC2HEX(B2154*$N$3*18)</f>
        <v>21780</v>
      </c>
      <c r="G2154" s="1" t="str">
        <f aca="false">DEC2HEX(C2154*7)</f>
        <v>23</v>
      </c>
      <c r="H2154" s="1" t="n">
        <f aca="false">IF(D2154=0, 33, "cc")</f>
        <v>33</v>
      </c>
    </row>
    <row r="2155" customFormat="false" ht="18.65" hidden="false" customHeight="true" outlineLevel="0" collapsed="false">
      <c r="A2155" s="1" t="n">
        <f aca="false">ROW()-2</f>
        <v>2153</v>
      </c>
      <c r="B2155" s="1" t="n">
        <f aca="false">INT(A2155/$N$1)</f>
        <v>119</v>
      </c>
      <c r="C2155" s="1" t="n">
        <f aca="false">INT(MOD(A2155,$N$1) / 2)</f>
        <v>5</v>
      </c>
      <c r="D2155" s="1" t="n">
        <f aca="false">_xlfn.BITAND(A2155,1)</f>
        <v>1</v>
      </c>
      <c r="F2155" s="1" t="str">
        <f aca="false">DEC2HEX(B2155*$N$3*18)</f>
        <v>21780</v>
      </c>
      <c r="G2155" s="1" t="str">
        <f aca="false">DEC2HEX(C2155*7)</f>
        <v>23</v>
      </c>
      <c r="H2155" s="1" t="str">
        <f aca="false">IF(D2155=0, 33, "cc")</f>
        <v>cc</v>
      </c>
    </row>
    <row r="2156" customFormat="false" ht="18.65" hidden="false" customHeight="true" outlineLevel="0" collapsed="false">
      <c r="A2156" s="1" t="n">
        <f aca="false">ROW()-2</f>
        <v>2154</v>
      </c>
      <c r="B2156" s="1" t="n">
        <f aca="false">INT(A2156/$N$1)</f>
        <v>119</v>
      </c>
      <c r="C2156" s="1" t="n">
        <f aca="false">INT(MOD(A2156,$N$1) / 2)</f>
        <v>6</v>
      </c>
      <c r="D2156" s="1" t="n">
        <f aca="false">_xlfn.BITAND(A2156,1)</f>
        <v>0</v>
      </c>
      <c r="F2156" s="1" t="str">
        <f aca="false">DEC2HEX(B2156*$N$3*18)</f>
        <v>21780</v>
      </c>
      <c r="G2156" s="1" t="str">
        <f aca="false">DEC2HEX(C2156*7)</f>
        <v>2A</v>
      </c>
      <c r="H2156" s="1" t="n">
        <f aca="false">IF(D2156=0, 33, "cc")</f>
        <v>33</v>
      </c>
    </row>
    <row r="2157" customFormat="false" ht="18.65" hidden="false" customHeight="true" outlineLevel="0" collapsed="false">
      <c r="A2157" s="1" t="n">
        <f aca="false">ROW()-2</f>
        <v>2155</v>
      </c>
      <c r="B2157" s="1" t="n">
        <f aca="false">INT(A2157/$N$1)</f>
        <v>119</v>
      </c>
      <c r="C2157" s="1" t="n">
        <f aca="false">INT(MOD(A2157,$N$1) / 2)</f>
        <v>6</v>
      </c>
      <c r="D2157" s="1" t="n">
        <f aca="false">_xlfn.BITAND(A2157,1)</f>
        <v>1</v>
      </c>
      <c r="F2157" s="1" t="str">
        <f aca="false">DEC2HEX(B2157*$N$3*18)</f>
        <v>21780</v>
      </c>
      <c r="G2157" s="1" t="str">
        <f aca="false">DEC2HEX(C2157*7)</f>
        <v>2A</v>
      </c>
      <c r="H2157" s="1" t="str">
        <f aca="false">IF(D2157=0, 33, "cc")</f>
        <v>cc</v>
      </c>
    </row>
    <row r="2158" customFormat="false" ht="18.65" hidden="false" customHeight="true" outlineLevel="0" collapsed="false">
      <c r="A2158" s="1" t="n">
        <f aca="false">ROW()-2</f>
        <v>2156</v>
      </c>
      <c r="B2158" s="1" t="n">
        <f aca="false">INT(A2158/$N$1)</f>
        <v>119</v>
      </c>
      <c r="C2158" s="1" t="n">
        <f aca="false">INT(MOD(A2158,$N$1) / 2)</f>
        <v>7</v>
      </c>
      <c r="D2158" s="1" t="n">
        <f aca="false">_xlfn.BITAND(A2158,1)</f>
        <v>0</v>
      </c>
      <c r="F2158" s="1" t="str">
        <f aca="false">DEC2HEX(B2158*$N$3*18)</f>
        <v>21780</v>
      </c>
      <c r="G2158" s="1" t="str">
        <f aca="false">DEC2HEX(C2158*7)</f>
        <v>31</v>
      </c>
      <c r="H2158" s="1" t="n">
        <f aca="false">IF(D2158=0, 33, "cc")</f>
        <v>33</v>
      </c>
    </row>
    <row r="2159" customFormat="false" ht="18.65" hidden="false" customHeight="true" outlineLevel="0" collapsed="false">
      <c r="A2159" s="1" t="n">
        <f aca="false">ROW()-2</f>
        <v>2157</v>
      </c>
      <c r="B2159" s="1" t="n">
        <f aca="false">INT(A2159/$N$1)</f>
        <v>119</v>
      </c>
      <c r="C2159" s="1" t="n">
        <f aca="false">INT(MOD(A2159,$N$1) / 2)</f>
        <v>7</v>
      </c>
      <c r="D2159" s="1" t="n">
        <f aca="false">_xlfn.BITAND(A2159,1)</f>
        <v>1</v>
      </c>
      <c r="F2159" s="1" t="str">
        <f aca="false">DEC2HEX(B2159*$N$3*18)</f>
        <v>21780</v>
      </c>
      <c r="G2159" s="1" t="str">
        <f aca="false">DEC2HEX(C2159*7)</f>
        <v>31</v>
      </c>
      <c r="H2159" s="1" t="str">
        <f aca="false">IF(D2159=0, 33, "cc")</f>
        <v>cc</v>
      </c>
    </row>
    <row r="2160" customFormat="false" ht="18.65" hidden="false" customHeight="true" outlineLevel="0" collapsed="false">
      <c r="A2160" s="1" t="n">
        <f aca="false">ROW()-2</f>
        <v>2158</v>
      </c>
      <c r="B2160" s="1" t="n">
        <f aca="false">INT(A2160/$N$1)</f>
        <v>119</v>
      </c>
      <c r="C2160" s="1" t="n">
        <f aca="false">INT(MOD(A2160,$N$1) / 2)</f>
        <v>8</v>
      </c>
      <c r="D2160" s="1" t="n">
        <f aca="false">_xlfn.BITAND(A2160,1)</f>
        <v>0</v>
      </c>
      <c r="F2160" s="1" t="str">
        <f aca="false">DEC2HEX(B2160*$N$3*18)</f>
        <v>21780</v>
      </c>
      <c r="G2160" s="1" t="str">
        <f aca="false">DEC2HEX(C2160*7)</f>
        <v>38</v>
      </c>
      <c r="H2160" s="1" t="n">
        <f aca="false">IF(D2160=0, 33, "cc")</f>
        <v>33</v>
      </c>
    </row>
    <row r="2161" customFormat="false" ht="18.65" hidden="false" customHeight="true" outlineLevel="0" collapsed="false">
      <c r="A2161" s="1" t="n">
        <f aca="false">ROW()-2</f>
        <v>2159</v>
      </c>
      <c r="B2161" s="1" t="n">
        <f aca="false">INT(A2161/$N$1)</f>
        <v>119</v>
      </c>
      <c r="C2161" s="1" t="n">
        <f aca="false">INT(MOD(A2161,$N$1) / 2)</f>
        <v>8</v>
      </c>
      <c r="D2161" s="1" t="n">
        <f aca="false">_xlfn.BITAND(A2161,1)</f>
        <v>1</v>
      </c>
      <c r="F2161" s="1" t="str">
        <f aca="false">DEC2HEX(B2161*$N$3*18)</f>
        <v>21780</v>
      </c>
      <c r="G2161" s="1" t="str">
        <f aca="false">DEC2HEX(C2161*7)</f>
        <v>38</v>
      </c>
      <c r="H2161" s="1" t="str">
        <f aca="false">IF(D2161=0, 33, "cc")</f>
        <v>cc</v>
      </c>
    </row>
    <row r="2162" customFormat="false" ht="18.65" hidden="false" customHeight="true" outlineLevel="0" collapsed="false">
      <c r="A2162" s="1" t="n">
        <f aca="false">ROW()-2</f>
        <v>2160</v>
      </c>
      <c r="B2162" s="1" t="n">
        <f aca="false">INT(A2162/$N$1)</f>
        <v>120</v>
      </c>
      <c r="C2162" s="1" t="n">
        <f aca="false">INT(MOD(A2162,$N$1) / 2)</f>
        <v>0</v>
      </c>
      <c r="D2162" s="1" t="n">
        <f aca="false">_xlfn.BITAND(A2162,1)</f>
        <v>0</v>
      </c>
      <c r="F2162" s="1" t="str">
        <f aca="false">DEC2HEX(B2162*$N$3*18)</f>
        <v>21C00</v>
      </c>
      <c r="G2162" s="1" t="str">
        <f aca="false">DEC2HEX(C2162*7)</f>
        <v>0</v>
      </c>
      <c r="H2162" s="1" t="n">
        <f aca="false">IF(D2162=0, 33, "cc")</f>
        <v>33</v>
      </c>
    </row>
    <row r="2163" customFormat="false" ht="18.65" hidden="false" customHeight="true" outlineLevel="0" collapsed="false">
      <c r="A2163" s="1" t="n">
        <f aca="false">ROW()-2</f>
        <v>2161</v>
      </c>
      <c r="B2163" s="1" t="n">
        <f aca="false">INT(A2163/$N$1)</f>
        <v>120</v>
      </c>
      <c r="C2163" s="1" t="n">
        <f aca="false">INT(MOD(A2163,$N$1) / 2)</f>
        <v>0</v>
      </c>
      <c r="D2163" s="1" t="n">
        <f aca="false">_xlfn.BITAND(A2163,1)</f>
        <v>1</v>
      </c>
      <c r="F2163" s="1" t="str">
        <f aca="false">DEC2HEX(B2163*$N$3*18)</f>
        <v>21C00</v>
      </c>
      <c r="G2163" s="1" t="str">
        <f aca="false">DEC2HEX(C2163*7)</f>
        <v>0</v>
      </c>
      <c r="H2163" s="1" t="str">
        <f aca="false">IF(D2163=0, 33, "cc")</f>
        <v>cc</v>
      </c>
    </row>
    <row r="2164" customFormat="false" ht="18.65" hidden="false" customHeight="true" outlineLevel="0" collapsed="false">
      <c r="A2164" s="1" t="n">
        <f aca="false">ROW()-2</f>
        <v>2162</v>
      </c>
      <c r="B2164" s="1" t="n">
        <f aca="false">INT(A2164/$N$1)</f>
        <v>120</v>
      </c>
      <c r="C2164" s="1" t="n">
        <f aca="false">INT(MOD(A2164,$N$1) / 2)</f>
        <v>1</v>
      </c>
      <c r="D2164" s="1" t="n">
        <f aca="false">_xlfn.BITAND(A2164,1)</f>
        <v>0</v>
      </c>
      <c r="F2164" s="1" t="str">
        <f aca="false">DEC2HEX(B2164*$N$3*18)</f>
        <v>21C00</v>
      </c>
      <c r="G2164" s="1" t="str">
        <f aca="false">DEC2HEX(C2164*7)</f>
        <v>7</v>
      </c>
      <c r="H2164" s="1" t="n">
        <f aca="false">IF(D2164=0, 33, "cc")</f>
        <v>33</v>
      </c>
    </row>
    <row r="2165" customFormat="false" ht="18.65" hidden="false" customHeight="true" outlineLevel="0" collapsed="false">
      <c r="A2165" s="1" t="n">
        <f aca="false">ROW()-2</f>
        <v>2163</v>
      </c>
      <c r="B2165" s="1" t="n">
        <f aca="false">INT(A2165/$N$1)</f>
        <v>120</v>
      </c>
      <c r="C2165" s="1" t="n">
        <f aca="false">INT(MOD(A2165,$N$1) / 2)</f>
        <v>1</v>
      </c>
      <c r="D2165" s="1" t="n">
        <f aca="false">_xlfn.BITAND(A2165,1)</f>
        <v>1</v>
      </c>
      <c r="F2165" s="1" t="str">
        <f aca="false">DEC2HEX(B2165*$N$3*18)</f>
        <v>21C00</v>
      </c>
      <c r="G2165" s="1" t="str">
        <f aca="false">DEC2HEX(C2165*7)</f>
        <v>7</v>
      </c>
      <c r="H2165" s="1" t="str">
        <f aca="false">IF(D2165=0, 33, "cc")</f>
        <v>cc</v>
      </c>
    </row>
    <row r="2166" customFormat="false" ht="18.65" hidden="false" customHeight="true" outlineLevel="0" collapsed="false">
      <c r="A2166" s="1" t="n">
        <f aca="false">ROW()-2</f>
        <v>2164</v>
      </c>
      <c r="B2166" s="1" t="n">
        <f aca="false">INT(A2166/$N$1)</f>
        <v>120</v>
      </c>
      <c r="C2166" s="1" t="n">
        <f aca="false">INT(MOD(A2166,$N$1) / 2)</f>
        <v>2</v>
      </c>
      <c r="D2166" s="1" t="n">
        <f aca="false">_xlfn.BITAND(A2166,1)</f>
        <v>0</v>
      </c>
      <c r="F2166" s="1" t="str">
        <f aca="false">DEC2HEX(B2166*$N$3*18)</f>
        <v>21C00</v>
      </c>
      <c r="G2166" s="1" t="str">
        <f aca="false">DEC2HEX(C2166*7)</f>
        <v>E</v>
      </c>
      <c r="H2166" s="1" t="n">
        <f aca="false">IF(D2166=0, 33, "cc")</f>
        <v>33</v>
      </c>
    </row>
    <row r="2167" customFormat="false" ht="18.65" hidden="false" customHeight="true" outlineLevel="0" collapsed="false">
      <c r="A2167" s="1" t="n">
        <f aca="false">ROW()-2</f>
        <v>2165</v>
      </c>
      <c r="B2167" s="1" t="n">
        <f aca="false">INT(A2167/$N$1)</f>
        <v>120</v>
      </c>
      <c r="C2167" s="1" t="n">
        <f aca="false">INT(MOD(A2167,$N$1) / 2)</f>
        <v>2</v>
      </c>
      <c r="D2167" s="1" t="n">
        <f aca="false">_xlfn.BITAND(A2167,1)</f>
        <v>1</v>
      </c>
      <c r="F2167" s="1" t="str">
        <f aca="false">DEC2HEX(B2167*$N$3*18)</f>
        <v>21C00</v>
      </c>
      <c r="G2167" s="1" t="str">
        <f aca="false">DEC2HEX(C2167*7)</f>
        <v>E</v>
      </c>
      <c r="H2167" s="1" t="str">
        <f aca="false">IF(D2167=0, 33, "cc")</f>
        <v>cc</v>
      </c>
    </row>
    <row r="2168" customFormat="false" ht="18.65" hidden="false" customHeight="true" outlineLevel="0" collapsed="false">
      <c r="A2168" s="1" t="n">
        <f aca="false">ROW()-2</f>
        <v>2166</v>
      </c>
      <c r="B2168" s="1" t="n">
        <f aca="false">INT(A2168/$N$1)</f>
        <v>120</v>
      </c>
      <c r="C2168" s="1" t="n">
        <f aca="false">INT(MOD(A2168,$N$1) / 2)</f>
        <v>3</v>
      </c>
      <c r="D2168" s="1" t="n">
        <f aca="false">_xlfn.BITAND(A2168,1)</f>
        <v>0</v>
      </c>
      <c r="F2168" s="1" t="str">
        <f aca="false">DEC2HEX(B2168*$N$3*18)</f>
        <v>21C00</v>
      </c>
      <c r="G2168" s="1" t="str">
        <f aca="false">DEC2HEX(C2168*7)</f>
        <v>15</v>
      </c>
      <c r="H2168" s="1" t="n">
        <f aca="false">IF(D2168=0, 33, "cc")</f>
        <v>33</v>
      </c>
    </row>
    <row r="2169" customFormat="false" ht="18.65" hidden="false" customHeight="true" outlineLevel="0" collapsed="false">
      <c r="A2169" s="1" t="n">
        <f aca="false">ROW()-2</f>
        <v>2167</v>
      </c>
      <c r="B2169" s="1" t="n">
        <f aca="false">INT(A2169/$N$1)</f>
        <v>120</v>
      </c>
      <c r="C2169" s="1" t="n">
        <f aca="false">INT(MOD(A2169,$N$1) / 2)</f>
        <v>3</v>
      </c>
      <c r="D2169" s="1" t="n">
        <f aca="false">_xlfn.BITAND(A2169,1)</f>
        <v>1</v>
      </c>
      <c r="F2169" s="1" t="str">
        <f aca="false">DEC2HEX(B2169*$N$3*18)</f>
        <v>21C00</v>
      </c>
      <c r="G2169" s="1" t="str">
        <f aca="false">DEC2HEX(C2169*7)</f>
        <v>15</v>
      </c>
      <c r="H2169" s="1" t="str">
        <f aca="false">IF(D2169=0, 33, "cc")</f>
        <v>cc</v>
      </c>
    </row>
    <row r="2170" customFormat="false" ht="18.65" hidden="false" customHeight="true" outlineLevel="0" collapsed="false">
      <c r="A2170" s="1" t="n">
        <f aca="false">ROW()-2</f>
        <v>2168</v>
      </c>
      <c r="B2170" s="1" t="n">
        <f aca="false">INT(A2170/$N$1)</f>
        <v>120</v>
      </c>
      <c r="C2170" s="1" t="n">
        <f aca="false">INT(MOD(A2170,$N$1) / 2)</f>
        <v>4</v>
      </c>
      <c r="D2170" s="1" t="n">
        <f aca="false">_xlfn.BITAND(A2170,1)</f>
        <v>0</v>
      </c>
      <c r="F2170" s="1" t="str">
        <f aca="false">DEC2HEX(B2170*$N$3*18)</f>
        <v>21C00</v>
      </c>
      <c r="G2170" s="1" t="str">
        <f aca="false">DEC2HEX(C2170*7)</f>
        <v>1C</v>
      </c>
      <c r="H2170" s="1" t="n">
        <f aca="false">IF(D2170=0, 33, "cc")</f>
        <v>33</v>
      </c>
    </row>
    <row r="2171" customFormat="false" ht="18.65" hidden="false" customHeight="true" outlineLevel="0" collapsed="false">
      <c r="A2171" s="1" t="n">
        <f aca="false">ROW()-2</f>
        <v>2169</v>
      </c>
      <c r="B2171" s="1" t="n">
        <f aca="false">INT(A2171/$N$1)</f>
        <v>120</v>
      </c>
      <c r="C2171" s="1" t="n">
        <f aca="false">INT(MOD(A2171,$N$1) / 2)</f>
        <v>4</v>
      </c>
      <c r="D2171" s="1" t="n">
        <f aca="false">_xlfn.BITAND(A2171,1)</f>
        <v>1</v>
      </c>
      <c r="F2171" s="1" t="str">
        <f aca="false">DEC2HEX(B2171*$N$3*18)</f>
        <v>21C00</v>
      </c>
      <c r="G2171" s="1" t="str">
        <f aca="false">DEC2HEX(C2171*7)</f>
        <v>1C</v>
      </c>
      <c r="H2171" s="1" t="str">
        <f aca="false">IF(D2171=0, 33, "cc")</f>
        <v>cc</v>
      </c>
    </row>
    <row r="2172" customFormat="false" ht="18.65" hidden="false" customHeight="true" outlineLevel="0" collapsed="false">
      <c r="A2172" s="1" t="n">
        <f aca="false">ROW()-2</f>
        <v>2170</v>
      </c>
      <c r="B2172" s="1" t="n">
        <f aca="false">INT(A2172/$N$1)</f>
        <v>120</v>
      </c>
      <c r="C2172" s="1" t="n">
        <f aca="false">INT(MOD(A2172,$N$1) / 2)</f>
        <v>5</v>
      </c>
      <c r="D2172" s="1" t="n">
        <f aca="false">_xlfn.BITAND(A2172,1)</f>
        <v>0</v>
      </c>
      <c r="F2172" s="1" t="str">
        <f aca="false">DEC2HEX(B2172*$N$3*18)</f>
        <v>21C00</v>
      </c>
      <c r="G2172" s="1" t="str">
        <f aca="false">DEC2HEX(C2172*7)</f>
        <v>23</v>
      </c>
      <c r="H2172" s="1" t="n">
        <f aca="false">IF(D2172=0, 33, "cc")</f>
        <v>33</v>
      </c>
    </row>
    <row r="2173" customFormat="false" ht="18.65" hidden="false" customHeight="true" outlineLevel="0" collapsed="false">
      <c r="A2173" s="1" t="n">
        <f aca="false">ROW()-2</f>
        <v>2171</v>
      </c>
      <c r="B2173" s="1" t="n">
        <f aca="false">INT(A2173/$N$1)</f>
        <v>120</v>
      </c>
      <c r="C2173" s="1" t="n">
        <f aca="false">INT(MOD(A2173,$N$1) / 2)</f>
        <v>5</v>
      </c>
      <c r="D2173" s="1" t="n">
        <f aca="false">_xlfn.BITAND(A2173,1)</f>
        <v>1</v>
      </c>
      <c r="F2173" s="1" t="str">
        <f aca="false">DEC2HEX(B2173*$N$3*18)</f>
        <v>21C00</v>
      </c>
      <c r="G2173" s="1" t="str">
        <f aca="false">DEC2HEX(C2173*7)</f>
        <v>23</v>
      </c>
      <c r="H2173" s="1" t="str">
        <f aca="false">IF(D2173=0, 33, "cc")</f>
        <v>cc</v>
      </c>
    </row>
    <row r="2174" customFormat="false" ht="18.65" hidden="false" customHeight="true" outlineLevel="0" collapsed="false">
      <c r="A2174" s="1" t="n">
        <f aca="false">ROW()-2</f>
        <v>2172</v>
      </c>
      <c r="B2174" s="1" t="n">
        <f aca="false">INT(A2174/$N$1)</f>
        <v>120</v>
      </c>
      <c r="C2174" s="1" t="n">
        <f aca="false">INT(MOD(A2174,$N$1) / 2)</f>
        <v>6</v>
      </c>
      <c r="D2174" s="1" t="n">
        <f aca="false">_xlfn.BITAND(A2174,1)</f>
        <v>0</v>
      </c>
      <c r="F2174" s="1" t="str">
        <f aca="false">DEC2HEX(B2174*$N$3*18)</f>
        <v>21C00</v>
      </c>
      <c r="G2174" s="1" t="str">
        <f aca="false">DEC2HEX(C2174*7)</f>
        <v>2A</v>
      </c>
      <c r="H2174" s="1" t="n">
        <f aca="false">IF(D2174=0, 33, "cc")</f>
        <v>33</v>
      </c>
    </row>
    <row r="2175" customFormat="false" ht="18.65" hidden="false" customHeight="true" outlineLevel="0" collapsed="false">
      <c r="A2175" s="1" t="n">
        <f aca="false">ROW()-2</f>
        <v>2173</v>
      </c>
      <c r="B2175" s="1" t="n">
        <f aca="false">INT(A2175/$N$1)</f>
        <v>120</v>
      </c>
      <c r="C2175" s="1" t="n">
        <f aca="false">INT(MOD(A2175,$N$1) / 2)</f>
        <v>6</v>
      </c>
      <c r="D2175" s="1" t="n">
        <f aca="false">_xlfn.BITAND(A2175,1)</f>
        <v>1</v>
      </c>
      <c r="F2175" s="1" t="str">
        <f aca="false">DEC2HEX(B2175*$N$3*18)</f>
        <v>21C00</v>
      </c>
      <c r="G2175" s="1" t="str">
        <f aca="false">DEC2HEX(C2175*7)</f>
        <v>2A</v>
      </c>
      <c r="H2175" s="1" t="str">
        <f aca="false">IF(D2175=0, 33, "cc")</f>
        <v>cc</v>
      </c>
    </row>
    <row r="2176" customFormat="false" ht="18.65" hidden="false" customHeight="true" outlineLevel="0" collapsed="false">
      <c r="A2176" s="1" t="n">
        <f aca="false">ROW()-2</f>
        <v>2174</v>
      </c>
      <c r="B2176" s="1" t="n">
        <f aca="false">INT(A2176/$N$1)</f>
        <v>120</v>
      </c>
      <c r="C2176" s="1" t="n">
        <f aca="false">INT(MOD(A2176,$N$1) / 2)</f>
        <v>7</v>
      </c>
      <c r="D2176" s="1" t="n">
        <f aca="false">_xlfn.BITAND(A2176,1)</f>
        <v>0</v>
      </c>
      <c r="F2176" s="1" t="str">
        <f aca="false">DEC2HEX(B2176*$N$3*18)</f>
        <v>21C00</v>
      </c>
      <c r="G2176" s="1" t="str">
        <f aca="false">DEC2HEX(C2176*7)</f>
        <v>31</v>
      </c>
      <c r="H2176" s="1" t="n">
        <f aca="false">IF(D2176=0, 33, "cc")</f>
        <v>33</v>
      </c>
    </row>
    <row r="2177" customFormat="false" ht="18.65" hidden="false" customHeight="true" outlineLevel="0" collapsed="false">
      <c r="A2177" s="1" t="n">
        <f aca="false">ROW()-2</f>
        <v>2175</v>
      </c>
      <c r="B2177" s="1" t="n">
        <f aca="false">INT(A2177/$N$1)</f>
        <v>120</v>
      </c>
      <c r="C2177" s="1" t="n">
        <f aca="false">INT(MOD(A2177,$N$1) / 2)</f>
        <v>7</v>
      </c>
      <c r="D2177" s="1" t="n">
        <f aca="false">_xlfn.BITAND(A2177,1)</f>
        <v>1</v>
      </c>
      <c r="F2177" s="1" t="str">
        <f aca="false">DEC2HEX(B2177*$N$3*18)</f>
        <v>21C00</v>
      </c>
      <c r="G2177" s="1" t="str">
        <f aca="false">DEC2HEX(C2177*7)</f>
        <v>31</v>
      </c>
      <c r="H2177" s="1" t="str">
        <f aca="false">IF(D2177=0, 33, "cc")</f>
        <v>cc</v>
      </c>
    </row>
    <row r="2178" customFormat="false" ht="18.65" hidden="false" customHeight="true" outlineLevel="0" collapsed="false">
      <c r="A2178" s="1" t="n">
        <f aca="false">ROW()-2</f>
        <v>2176</v>
      </c>
      <c r="B2178" s="1" t="n">
        <f aca="false">INT(A2178/$N$1)</f>
        <v>120</v>
      </c>
      <c r="C2178" s="1" t="n">
        <f aca="false">INT(MOD(A2178,$N$1) / 2)</f>
        <v>8</v>
      </c>
      <c r="D2178" s="1" t="n">
        <f aca="false">_xlfn.BITAND(A2178,1)</f>
        <v>0</v>
      </c>
      <c r="F2178" s="1" t="str">
        <f aca="false">DEC2HEX(B2178*$N$3*18)</f>
        <v>21C00</v>
      </c>
      <c r="G2178" s="1" t="str">
        <f aca="false">DEC2HEX(C2178*7)</f>
        <v>38</v>
      </c>
      <c r="H2178" s="1" t="n">
        <f aca="false">IF(D2178=0, 33, "cc")</f>
        <v>33</v>
      </c>
    </row>
    <row r="2179" customFormat="false" ht="18.65" hidden="false" customHeight="true" outlineLevel="0" collapsed="false">
      <c r="A2179" s="1" t="n">
        <f aca="false">ROW()-2</f>
        <v>2177</v>
      </c>
      <c r="B2179" s="1" t="n">
        <f aca="false">INT(A2179/$N$1)</f>
        <v>120</v>
      </c>
      <c r="C2179" s="1" t="n">
        <f aca="false">INT(MOD(A2179,$N$1) / 2)</f>
        <v>8</v>
      </c>
      <c r="D2179" s="1" t="n">
        <f aca="false">_xlfn.BITAND(A2179,1)</f>
        <v>1</v>
      </c>
      <c r="F2179" s="1" t="str">
        <f aca="false">DEC2HEX(B2179*$N$3*18)</f>
        <v>21C00</v>
      </c>
      <c r="G2179" s="1" t="str">
        <f aca="false">DEC2HEX(C2179*7)</f>
        <v>38</v>
      </c>
      <c r="H2179" s="1" t="str">
        <f aca="false">IF(D2179=0, 33, "cc")</f>
        <v>cc</v>
      </c>
    </row>
    <row r="2180" customFormat="false" ht="18.65" hidden="false" customHeight="true" outlineLevel="0" collapsed="false">
      <c r="A2180" s="1" t="n">
        <f aca="false">ROW()-2</f>
        <v>2178</v>
      </c>
      <c r="B2180" s="1" t="n">
        <f aca="false">INT(A2180/$N$1)</f>
        <v>121</v>
      </c>
      <c r="C2180" s="1" t="n">
        <f aca="false">INT(MOD(A2180,$N$1) / 2)</f>
        <v>0</v>
      </c>
      <c r="D2180" s="1" t="n">
        <f aca="false">_xlfn.BITAND(A2180,1)</f>
        <v>0</v>
      </c>
      <c r="F2180" s="1" t="str">
        <f aca="false">DEC2HEX(B2180*$N$3*18)</f>
        <v>22080</v>
      </c>
      <c r="G2180" s="1" t="str">
        <f aca="false">DEC2HEX(C2180*7)</f>
        <v>0</v>
      </c>
      <c r="H2180" s="1" t="n">
        <f aca="false">IF(D2180=0, 33, "cc")</f>
        <v>33</v>
      </c>
    </row>
    <row r="2181" customFormat="false" ht="18.65" hidden="false" customHeight="true" outlineLevel="0" collapsed="false">
      <c r="A2181" s="1" t="n">
        <f aca="false">ROW()-2</f>
        <v>2179</v>
      </c>
      <c r="B2181" s="1" t="n">
        <f aca="false">INT(A2181/$N$1)</f>
        <v>121</v>
      </c>
      <c r="C2181" s="1" t="n">
        <f aca="false">INT(MOD(A2181,$N$1) / 2)</f>
        <v>0</v>
      </c>
      <c r="D2181" s="1" t="n">
        <f aca="false">_xlfn.BITAND(A2181,1)</f>
        <v>1</v>
      </c>
      <c r="F2181" s="1" t="str">
        <f aca="false">DEC2HEX(B2181*$N$3*18)</f>
        <v>22080</v>
      </c>
      <c r="G2181" s="1" t="str">
        <f aca="false">DEC2HEX(C2181*7)</f>
        <v>0</v>
      </c>
      <c r="H2181" s="1" t="str">
        <f aca="false">IF(D2181=0, 33, "cc")</f>
        <v>cc</v>
      </c>
    </row>
    <row r="2182" customFormat="false" ht="18.65" hidden="false" customHeight="true" outlineLevel="0" collapsed="false">
      <c r="A2182" s="1" t="n">
        <f aca="false">ROW()-2</f>
        <v>2180</v>
      </c>
      <c r="B2182" s="1" t="n">
        <f aca="false">INT(A2182/$N$1)</f>
        <v>121</v>
      </c>
      <c r="C2182" s="1" t="n">
        <f aca="false">INT(MOD(A2182,$N$1) / 2)</f>
        <v>1</v>
      </c>
      <c r="D2182" s="1" t="n">
        <f aca="false">_xlfn.BITAND(A2182,1)</f>
        <v>0</v>
      </c>
      <c r="F2182" s="1" t="str">
        <f aca="false">DEC2HEX(B2182*$N$3*18)</f>
        <v>22080</v>
      </c>
      <c r="G2182" s="1" t="str">
        <f aca="false">DEC2HEX(C2182*7)</f>
        <v>7</v>
      </c>
      <c r="H2182" s="1" t="n">
        <f aca="false">IF(D2182=0, 33, "cc")</f>
        <v>33</v>
      </c>
    </row>
    <row r="2183" customFormat="false" ht="18.65" hidden="false" customHeight="true" outlineLevel="0" collapsed="false">
      <c r="A2183" s="1" t="n">
        <f aca="false">ROW()-2</f>
        <v>2181</v>
      </c>
      <c r="B2183" s="1" t="n">
        <f aca="false">INT(A2183/$N$1)</f>
        <v>121</v>
      </c>
      <c r="C2183" s="1" t="n">
        <f aca="false">INT(MOD(A2183,$N$1) / 2)</f>
        <v>1</v>
      </c>
      <c r="D2183" s="1" t="n">
        <f aca="false">_xlfn.BITAND(A2183,1)</f>
        <v>1</v>
      </c>
      <c r="F2183" s="1" t="str">
        <f aca="false">DEC2HEX(B2183*$N$3*18)</f>
        <v>22080</v>
      </c>
      <c r="G2183" s="1" t="str">
        <f aca="false">DEC2HEX(C2183*7)</f>
        <v>7</v>
      </c>
      <c r="H2183" s="1" t="str">
        <f aca="false">IF(D2183=0, 33, "cc")</f>
        <v>cc</v>
      </c>
    </row>
    <row r="2184" customFormat="false" ht="18.65" hidden="false" customHeight="true" outlineLevel="0" collapsed="false">
      <c r="A2184" s="1" t="n">
        <f aca="false">ROW()-2</f>
        <v>2182</v>
      </c>
      <c r="B2184" s="1" t="n">
        <f aca="false">INT(A2184/$N$1)</f>
        <v>121</v>
      </c>
      <c r="C2184" s="1" t="n">
        <f aca="false">INT(MOD(A2184,$N$1) / 2)</f>
        <v>2</v>
      </c>
      <c r="D2184" s="1" t="n">
        <f aca="false">_xlfn.BITAND(A2184,1)</f>
        <v>0</v>
      </c>
      <c r="F2184" s="1" t="str">
        <f aca="false">DEC2HEX(B2184*$N$3*18)</f>
        <v>22080</v>
      </c>
      <c r="G2184" s="1" t="str">
        <f aca="false">DEC2HEX(C2184*7)</f>
        <v>E</v>
      </c>
      <c r="H2184" s="1" t="n">
        <f aca="false">IF(D2184=0, 33, "cc")</f>
        <v>33</v>
      </c>
    </row>
    <row r="2185" customFormat="false" ht="18.65" hidden="false" customHeight="true" outlineLevel="0" collapsed="false">
      <c r="A2185" s="1" t="n">
        <f aca="false">ROW()-2</f>
        <v>2183</v>
      </c>
      <c r="B2185" s="1" t="n">
        <f aca="false">INT(A2185/$N$1)</f>
        <v>121</v>
      </c>
      <c r="C2185" s="1" t="n">
        <f aca="false">INT(MOD(A2185,$N$1) / 2)</f>
        <v>2</v>
      </c>
      <c r="D2185" s="1" t="n">
        <f aca="false">_xlfn.BITAND(A2185,1)</f>
        <v>1</v>
      </c>
      <c r="F2185" s="1" t="str">
        <f aca="false">DEC2HEX(B2185*$N$3*18)</f>
        <v>22080</v>
      </c>
      <c r="G2185" s="1" t="str">
        <f aca="false">DEC2HEX(C2185*7)</f>
        <v>E</v>
      </c>
      <c r="H2185" s="1" t="str">
        <f aca="false">IF(D2185=0, 33, "cc")</f>
        <v>cc</v>
      </c>
    </row>
    <row r="2186" customFormat="false" ht="18.65" hidden="false" customHeight="true" outlineLevel="0" collapsed="false">
      <c r="A2186" s="1" t="n">
        <f aca="false">ROW()-2</f>
        <v>2184</v>
      </c>
      <c r="B2186" s="1" t="n">
        <f aca="false">INT(A2186/$N$1)</f>
        <v>121</v>
      </c>
      <c r="C2186" s="1" t="n">
        <f aca="false">INT(MOD(A2186,$N$1) / 2)</f>
        <v>3</v>
      </c>
      <c r="D2186" s="1" t="n">
        <f aca="false">_xlfn.BITAND(A2186,1)</f>
        <v>0</v>
      </c>
      <c r="F2186" s="1" t="str">
        <f aca="false">DEC2HEX(B2186*$N$3*18)</f>
        <v>22080</v>
      </c>
      <c r="G2186" s="1" t="str">
        <f aca="false">DEC2HEX(C2186*7)</f>
        <v>15</v>
      </c>
      <c r="H2186" s="1" t="n">
        <f aca="false">IF(D2186=0, 33, "cc")</f>
        <v>33</v>
      </c>
    </row>
    <row r="2187" customFormat="false" ht="18.65" hidden="false" customHeight="true" outlineLevel="0" collapsed="false">
      <c r="A2187" s="1" t="n">
        <f aca="false">ROW()-2</f>
        <v>2185</v>
      </c>
      <c r="B2187" s="1" t="n">
        <f aca="false">INT(A2187/$N$1)</f>
        <v>121</v>
      </c>
      <c r="C2187" s="1" t="n">
        <f aca="false">INT(MOD(A2187,$N$1) / 2)</f>
        <v>3</v>
      </c>
      <c r="D2187" s="1" t="n">
        <f aca="false">_xlfn.BITAND(A2187,1)</f>
        <v>1</v>
      </c>
      <c r="F2187" s="1" t="str">
        <f aca="false">DEC2HEX(B2187*$N$3*18)</f>
        <v>22080</v>
      </c>
      <c r="G2187" s="1" t="str">
        <f aca="false">DEC2HEX(C2187*7)</f>
        <v>15</v>
      </c>
      <c r="H2187" s="1" t="str">
        <f aca="false">IF(D2187=0, 33, "cc")</f>
        <v>cc</v>
      </c>
    </row>
    <row r="2188" customFormat="false" ht="18.65" hidden="false" customHeight="true" outlineLevel="0" collapsed="false">
      <c r="A2188" s="1" t="n">
        <f aca="false">ROW()-2</f>
        <v>2186</v>
      </c>
      <c r="B2188" s="1" t="n">
        <f aca="false">INT(A2188/$N$1)</f>
        <v>121</v>
      </c>
      <c r="C2188" s="1" t="n">
        <f aca="false">INT(MOD(A2188,$N$1) / 2)</f>
        <v>4</v>
      </c>
      <c r="D2188" s="1" t="n">
        <f aca="false">_xlfn.BITAND(A2188,1)</f>
        <v>0</v>
      </c>
      <c r="F2188" s="1" t="str">
        <f aca="false">DEC2HEX(B2188*$N$3*18)</f>
        <v>22080</v>
      </c>
      <c r="G2188" s="1" t="str">
        <f aca="false">DEC2HEX(C2188*7)</f>
        <v>1C</v>
      </c>
      <c r="H2188" s="1" t="n">
        <f aca="false">IF(D2188=0, 33, "cc")</f>
        <v>33</v>
      </c>
    </row>
    <row r="2189" customFormat="false" ht="18.65" hidden="false" customHeight="true" outlineLevel="0" collapsed="false">
      <c r="A2189" s="1" t="n">
        <f aca="false">ROW()-2</f>
        <v>2187</v>
      </c>
      <c r="B2189" s="1" t="n">
        <f aca="false">INT(A2189/$N$1)</f>
        <v>121</v>
      </c>
      <c r="C2189" s="1" t="n">
        <f aca="false">INT(MOD(A2189,$N$1) / 2)</f>
        <v>4</v>
      </c>
      <c r="D2189" s="1" t="n">
        <f aca="false">_xlfn.BITAND(A2189,1)</f>
        <v>1</v>
      </c>
      <c r="F2189" s="1" t="str">
        <f aca="false">DEC2HEX(B2189*$N$3*18)</f>
        <v>22080</v>
      </c>
      <c r="G2189" s="1" t="str">
        <f aca="false">DEC2HEX(C2189*7)</f>
        <v>1C</v>
      </c>
      <c r="H2189" s="1" t="str">
        <f aca="false">IF(D2189=0, 33, "cc")</f>
        <v>cc</v>
      </c>
    </row>
    <row r="2190" customFormat="false" ht="18.65" hidden="false" customHeight="true" outlineLevel="0" collapsed="false">
      <c r="A2190" s="1" t="n">
        <f aca="false">ROW()-2</f>
        <v>2188</v>
      </c>
      <c r="B2190" s="1" t="n">
        <f aca="false">INT(A2190/$N$1)</f>
        <v>121</v>
      </c>
      <c r="C2190" s="1" t="n">
        <f aca="false">INT(MOD(A2190,$N$1) / 2)</f>
        <v>5</v>
      </c>
      <c r="D2190" s="1" t="n">
        <f aca="false">_xlfn.BITAND(A2190,1)</f>
        <v>0</v>
      </c>
      <c r="F2190" s="1" t="str">
        <f aca="false">DEC2HEX(B2190*$N$3*18)</f>
        <v>22080</v>
      </c>
      <c r="G2190" s="1" t="str">
        <f aca="false">DEC2HEX(C2190*7)</f>
        <v>23</v>
      </c>
      <c r="H2190" s="1" t="n">
        <f aca="false">IF(D2190=0, 33, "cc")</f>
        <v>33</v>
      </c>
    </row>
    <row r="2191" customFormat="false" ht="18.65" hidden="false" customHeight="true" outlineLevel="0" collapsed="false">
      <c r="A2191" s="1" t="n">
        <f aca="false">ROW()-2</f>
        <v>2189</v>
      </c>
      <c r="B2191" s="1" t="n">
        <f aca="false">INT(A2191/$N$1)</f>
        <v>121</v>
      </c>
      <c r="C2191" s="1" t="n">
        <f aca="false">INT(MOD(A2191,$N$1) / 2)</f>
        <v>5</v>
      </c>
      <c r="D2191" s="1" t="n">
        <f aca="false">_xlfn.BITAND(A2191,1)</f>
        <v>1</v>
      </c>
      <c r="F2191" s="1" t="str">
        <f aca="false">DEC2HEX(B2191*$N$3*18)</f>
        <v>22080</v>
      </c>
      <c r="G2191" s="1" t="str">
        <f aca="false">DEC2HEX(C2191*7)</f>
        <v>23</v>
      </c>
      <c r="H2191" s="1" t="str">
        <f aca="false">IF(D2191=0, 33, "cc")</f>
        <v>cc</v>
      </c>
    </row>
    <row r="2192" customFormat="false" ht="18.65" hidden="false" customHeight="true" outlineLevel="0" collapsed="false">
      <c r="A2192" s="1" t="n">
        <f aca="false">ROW()-2</f>
        <v>2190</v>
      </c>
      <c r="B2192" s="1" t="n">
        <f aca="false">INT(A2192/$N$1)</f>
        <v>121</v>
      </c>
      <c r="C2192" s="1" t="n">
        <f aca="false">INT(MOD(A2192,$N$1) / 2)</f>
        <v>6</v>
      </c>
      <c r="D2192" s="1" t="n">
        <f aca="false">_xlfn.BITAND(A2192,1)</f>
        <v>0</v>
      </c>
      <c r="F2192" s="1" t="str">
        <f aca="false">DEC2HEX(B2192*$N$3*18)</f>
        <v>22080</v>
      </c>
      <c r="G2192" s="1" t="str">
        <f aca="false">DEC2HEX(C2192*7)</f>
        <v>2A</v>
      </c>
      <c r="H2192" s="1" t="n">
        <f aca="false">IF(D2192=0, 33, "cc")</f>
        <v>33</v>
      </c>
    </row>
    <row r="2193" customFormat="false" ht="18.65" hidden="false" customHeight="true" outlineLevel="0" collapsed="false">
      <c r="A2193" s="1" t="n">
        <f aca="false">ROW()-2</f>
        <v>2191</v>
      </c>
      <c r="B2193" s="1" t="n">
        <f aca="false">INT(A2193/$N$1)</f>
        <v>121</v>
      </c>
      <c r="C2193" s="1" t="n">
        <f aca="false">INT(MOD(A2193,$N$1) / 2)</f>
        <v>6</v>
      </c>
      <c r="D2193" s="1" t="n">
        <f aca="false">_xlfn.BITAND(A2193,1)</f>
        <v>1</v>
      </c>
      <c r="F2193" s="1" t="str">
        <f aca="false">DEC2HEX(B2193*$N$3*18)</f>
        <v>22080</v>
      </c>
      <c r="G2193" s="1" t="str">
        <f aca="false">DEC2HEX(C2193*7)</f>
        <v>2A</v>
      </c>
      <c r="H2193" s="1" t="str">
        <f aca="false">IF(D2193=0, 33, "cc")</f>
        <v>cc</v>
      </c>
    </row>
    <row r="2194" customFormat="false" ht="18.65" hidden="false" customHeight="true" outlineLevel="0" collapsed="false">
      <c r="A2194" s="1" t="n">
        <f aca="false">ROW()-2</f>
        <v>2192</v>
      </c>
      <c r="B2194" s="1" t="n">
        <f aca="false">INT(A2194/$N$1)</f>
        <v>121</v>
      </c>
      <c r="C2194" s="1" t="n">
        <f aca="false">INT(MOD(A2194,$N$1) / 2)</f>
        <v>7</v>
      </c>
      <c r="D2194" s="1" t="n">
        <f aca="false">_xlfn.BITAND(A2194,1)</f>
        <v>0</v>
      </c>
      <c r="F2194" s="1" t="str">
        <f aca="false">DEC2HEX(B2194*$N$3*18)</f>
        <v>22080</v>
      </c>
      <c r="G2194" s="1" t="str">
        <f aca="false">DEC2HEX(C2194*7)</f>
        <v>31</v>
      </c>
      <c r="H2194" s="1" t="n">
        <f aca="false">IF(D2194=0, 33, "cc")</f>
        <v>33</v>
      </c>
    </row>
    <row r="2195" customFormat="false" ht="18.65" hidden="false" customHeight="true" outlineLevel="0" collapsed="false">
      <c r="A2195" s="1" t="n">
        <f aca="false">ROW()-2</f>
        <v>2193</v>
      </c>
      <c r="B2195" s="1" t="n">
        <f aca="false">INT(A2195/$N$1)</f>
        <v>121</v>
      </c>
      <c r="C2195" s="1" t="n">
        <f aca="false">INT(MOD(A2195,$N$1) / 2)</f>
        <v>7</v>
      </c>
      <c r="D2195" s="1" t="n">
        <f aca="false">_xlfn.BITAND(A2195,1)</f>
        <v>1</v>
      </c>
      <c r="F2195" s="1" t="str">
        <f aca="false">DEC2HEX(B2195*$N$3*18)</f>
        <v>22080</v>
      </c>
      <c r="G2195" s="1" t="str">
        <f aca="false">DEC2HEX(C2195*7)</f>
        <v>31</v>
      </c>
      <c r="H2195" s="1" t="str">
        <f aca="false">IF(D2195=0, 33, "cc")</f>
        <v>cc</v>
      </c>
    </row>
    <row r="2196" customFormat="false" ht="18.65" hidden="false" customHeight="true" outlineLevel="0" collapsed="false">
      <c r="A2196" s="1" t="n">
        <f aca="false">ROW()-2</f>
        <v>2194</v>
      </c>
      <c r="B2196" s="1" t="n">
        <f aca="false">INT(A2196/$N$1)</f>
        <v>121</v>
      </c>
      <c r="C2196" s="1" t="n">
        <f aca="false">INT(MOD(A2196,$N$1) / 2)</f>
        <v>8</v>
      </c>
      <c r="D2196" s="1" t="n">
        <f aca="false">_xlfn.BITAND(A2196,1)</f>
        <v>0</v>
      </c>
      <c r="F2196" s="1" t="str">
        <f aca="false">DEC2HEX(B2196*$N$3*18)</f>
        <v>22080</v>
      </c>
      <c r="G2196" s="1" t="str">
        <f aca="false">DEC2HEX(C2196*7)</f>
        <v>38</v>
      </c>
      <c r="H2196" s="1" t="n">
        <f aca="false">IF(D2196=0, 33, "cc")</f>
        <v>33</v>
      </c>
    </row>
    <row r="2197" customFormat="false" ht="18.65" hidden="false" customHeight="true" outlineLevel="0" collapsed="false">
      <c r="A2197" s="1" t="n">
        <f aca="false">ROW()-2</f>
        <v>2195</v>
      </c>
      <c r="B2197" s="1" t="n">
        <f aca="false">INT(A2197/$N$1)</f>
        <v>121</v>
      </c>
      <c r="C2197" s="1" t="n">
        <f aca="false">INT(MOD(A2197,$N$1) / 2)</f>
        <v>8</v>
      </c>
      <c r="D2197" s="1" t="n">
        <f aca="false">_xlfn.BITAND(A2197,1)</f>
        <v>1</v>
      </c>
      <c r="F2197" s="1" t="str">
        <f aca="false">DEC2HEX(B2197*$N$3*18)</f>
        <v>22080</v>
      </c>
      <c r="G2197" s="1" t="str">
        <f aca="false">DEC2HEX(C2197*7)</f>
        <v>38</v>
      </c>
      <c r="H2197" s="1" t="str">
        <f aca="false">IF(D2197=0, 33, "cc")</f>
        <v>cc</v>
      </c>
    </row>
    <row r="2198" customFormat="false" ht="18.65" hidden="false" customHeight="true" outlineLevel="0" collapsed="false">
      <c r="A2198" s="1" t="n">
        <f aca="false">ROW()-2</f>
        <v>2196</v>
      </c>
      <c r="B2198" s="1" t="n">
        <f aca="false">INT(A2198/$N$1)</f>
        <v>122</v>
      </c>
      <c r="C2198" s="1" t="n">
        <f aca="false">INT(MOD(A2198,$N$1) / 2)</f>
        <v>0</v>
      </c>
      <c r="D2198" s="1" t="n">
        <f aca="false">_xlfn.BITAND(A2198,1)</f>
        <v>0</v>
      </c>
      <c r="F2198" s="1" t="str">
        <f aca="false">DEC2HEX(B2198*$N$3*18)</f>
        <v>22500</v>
      </c>
      <c r="G2198" s="1" t="str">
        <f aca="false">DEC2HEX(C2198*7)</f>
        <v>0</v>
      </c>
      <c r="H2198" s="1" t="n">
        <f aca="false">IF(D2198=0, 33, "cc")</f>
        <v>33</v>
      </c>
    </row>
    <row r="2199" customFormat="false" ht="18.65" hidden="false" customHeight="true" outlineLevel="0" collapsed="false">
      <c r="A2199" s="1" t="n">
        <f aca="false">ROW()-2</f>
        <v>2197</v>
      </c>
      <c r="B2199" s="1" t="n">
        <f aca="false">INT(A2199/$N$1)</f>
        <v>122</v>
      </c>
      <c r="C2199" s="1" t="n">
        <f aca="false">INT(MOD(A2199,$N$1) / 2)</f>
        <v>0</v>
      </c>
      <c r="D2199" s="1" t="n">
        <f aca="false">_xlfn.BITAND(A2199,1)</f>
        <v>1</v>
      </c>
      <c r="F2199" s="1" t="str">
        <f aca="false">DEC2HEX(B2199*$N$3*18)</f>
        <v>22500</v>
      </c>
      <c r="G2199" s="1" t="str">
        <f aca="false">DEC2HEX(C2199*7)</f>
        <v>0</v>
      </c>
      <c r="H2199" s="1" t="str">
        <f aca="false">IF(D2199=0, 33, "cc")</f>
        <v>cc</v>
      </c>
    </row>
    <row r="2200" customFormat="false" ht="18.65" hidden="false" customHeight="true" outlineLevel="0" collapsed="false">
      <c r="A2200" s="1" t="n">
        <f aca="false">ROW()-2</f>
        <v>2198</v>
      </c>
      <c r="B2200" s="1" t="n">
        <f aca="false">INT(A2200/$N$1)</f>
        <v>122</v>
      </c>
      <c r="C2200" s="1" t="n">
        <f aca="false">INT(MOD(A2200,$N$1) / 2)</f>
        <v>1</v>
      </c>
      <c r="D2200" s="1" t="n">
        <f aca="false">_xlfn.BITAND(A2200,1)</f>
        <v>0</v>
      </c>
      <c r="F2200" s="1" t="str">
        <f aca="false">DEC2HEX(B2200*$N$3*18)</f>
        <v>22500</v>
      </c>
      <c r="G2200" s="1" t="str">
        <f aca="false">DEC2HEX(C2200*7)</f>
        <v>7</v>
      </c>
      <c r="H2200" s="1" t="n">
        <f aca="false">IF(D2200=0, 33, "cc")</f>
        <v>33</v>
      </c>
    </row>
    <row r="2201" customFormat="false" ht="18.65" hidden="false" customHeight="true" outlineLevel="0" collapsed="false">
      <c r="A2201" s="1" t="n">
        <f aca="false">ROW()-2</f>
        <v>2199</v>
      </c>
      <c r="B2201" s="1" t="n">
        <f aca="false">INT(A2201/$N$1)</f>
        <v>122</v>
      </c>
      <c r="C2201" s="1" t="n">
        <f aca="false">INT(MOD(A2201,$N$1) / 2)</f>
        <v>1</v>
      </c>
      <c r="D2201" s="1" t="n">
        <f aca="false">_xlfn.BITAND(A2201,1)</f>
        <v>1</v>
      </c>
      <c r="F2201" s="1" t="str">
        <f aca="false">DEC2HEX(B2201*$N$3*18)</f>
        <v>22500</v>
      </c>
      <c r="G2201" s="1" t="str">
        <f aca="false">DEC2HEX(C2201*7)</f>
        <v>7</v>
      </c>
      <c r="H2201" s="1" t="str">
        <f aca="false">IF(D2201=0, 33, "cc")</f>
        <v>cc</v>
      </c>
    </row>
    <row r="2202" customFormat="false" ht="18.65" hidden="false" customHeight="true" outlineLevel="0" collapsed="false">
      <c r="A2202" s="1" t="n">
        <f aca="false">ROW()-2</f>
        <v>2200</v>
      </c>
      <c r="B2202" s="1" t="n">
        <f aca="false">INT(A2202/$N$1)</f>
        <v>122</v>
      </c>
      <c r="C2202" s="1" t="n">
        <f aca="false">INT(MOD(A2202,$N$1) / 2)</f>
        <v>2</v>
      </c>
      <c r="D2202" s="1" t="n">
        <f aca="false">_xlfn.BITAND(A2202,1)</f>
        <v>0</v>
      </c>
      <c r="F2202" s="1" t="str">
        <f aca="false">DEC2HEX(B2202*$N$3*18)</f>
        <v>22500</v>
      </c>
      <c r="G2202" s="1" t="str">
        <f aca="false">DEC2HEX(C2202*7)</f>
        <v>E</v>
      </c>
      <c r="H2202" s="1" t="n">
        <f aca="false">IF(D2202=0, 33, "cc")</f>
        <v>33</v>
      </c>
    </row>
    <row r="2203" customFormat="false" ht="18.65" hidden="false" customHeight="true" outlineLevel="0" collapsed="false">
      <c r="A2203" s="1" t="n">
        <f aca="false">ROW()-2</f>
        <v>2201</v>
      </c>
      <c r="B2203" s="1" t="n">
        <f aca="false">INT(A2203/$N$1)</f>
        <v>122</v>
      </c>
      <c r="C2203" s="1" t="n">
        <f aca="false">INT(MOD(A2203,$N$1) / 2)</f>
        <v>2</v>
      </c>
      <c r="D2203" s="1" t="n">
        <f aca="false">_xlfn.BITAND(A2203,1)</f>
        <v>1</v>
      </c>
      <c r="F2203" s="1" t="str">
        <f aca="false">DEC2HEX(B2203*$N$3*18)</f>
        <v>22500</v>
      </c>
      <c r="G2203" s="1" t="str">
        <f aca="false">DEC2HEX(C2203*7)</f>
        <v>E</v>
      </c>
      <c r="H2203" s="1" t="str">
        <f aca="false">IF(D2203=0, 33, "cc")</f>
        <v>cc</v>
      </c>
    </row>
    <row r="2204" customFormat="false" ht="18.65" hidden="false" customHeight="true" outlineLevel="0" collapsed="false">
      <c r="A2204" s="1" t="n">
        <f aca="false">ROW()-2</f>
        <v>2202</v>
      </c>
      <c r="B2204" s="1" t="n">
        <f aca="false">INT(A2204/$N$1)</f>
        <v>122</v>
      </c>
      <c r="C2204" s="1" t="n">
        <f aca="false">INT(MOD(A2204,$N$1) / 2)</f>
        <v>3</v>
      </c>
      <c r="D2204" s="1" t="n">
        <f aca="false">_xlfn.BITAND(A2204,1)</f>
        <v>0</v>
      </c>
      <c r="F2204" s="1" t="str">
        <f aca="false">DEC2HEX(B2204*$N$3*18)</f>
        <v>22500</v>
      </c>
      <c r="G2204" s="1" t="str">
        <f aca="false">DEC2HEX(C2204*7)</f>
        <v>15</v>
      </c>
      <c r="H2204" s="1" t="n">
        <f aca="false">IF(D2204=0, 33, "cc")</f>
        <v>33</v>
      </c>
    </row>
    <row r="2205" customFormat="false" ht="18.65" hidden="false" customHeight="true" outlineLevel="0" collapsed="false">
      <c r="A2205" s="1" t="n">
        <f aca="false">ROW()-2</f>
        <v>2203</v>
      </c>
      <c r="B2205" s="1" t="n">
        <f aca="false">INT(A2205/$N$1)</f>
        <v>122</v>
      </c>
      <c r="C2205" s="1" t="n">
        <f aca="false">INT(MOD(A2205,$N$1) / 2)</f>
        <v>3</v>
      </c>
      <c r="D2205" s="1" t="n">
        <f aca="false">_xlfn.BITAND(A2205,1)</f>
        <v>1</v>
      </c>
      <c r="F2205" s="1" t="str">
        <f aca="false">DEC2HEX(B2205*$N$3*18)</f>
        <v>22500</v>
      </c>
      <c r="G2205" s="1" t="str">
        <f aca="false">DEC2HEX(C2205*7)</f>
        <v>15</v>
      </c>
      <c r="H2205" s="1" t="str">
        <f aca="false">IF(D2205=0, 33, "cc")</f>
        <v>cc</v>
      </c>
    </row>
    <row r="2206" customFormat="false" ht="18.65" hidden="false" customHeight="true" outlineLevel="0" collapsed="false">
      <c r="A2206" s="1" t="n">
        <f aca="false">ROW()-2</f>
        <v>2204</v>
      </c>
      <c r="B2206" s="1" t="n">
        <f aca="false">INT(A2206/$N$1)</f>
        <v>122</v>
      </c>
      <c r="C2206" s="1" t="n">
        <f aca="false">INT(MOD(A2206,$N$1) / 2)</f>
        <v>4</v>
      </c>
      <c r="D2206" s="1" t="n">
        <f aca="false">_xlfn.BITAND(A2206,1)</f>
        <v>0</v>
      </c>
      <c r="F2206" s="1" t="str">
        <f aca="false">DEC2HEX(B2206*$N$3*18)</f>
        <v>22500</v>
      </c>
      <c r="G2206" s="1" t="str">
        <f aca="false">DEC2HEX(C2206*7)</f>
        <v>1C</v>
      </c>
      <c r="H2206" s="1" t="n">
        <f aca="false">IF(D2206=0, 33, "cc")</f>
        <v>33</v>
      </c>
    </row>
    <row r="2207" customFormat="false" ht="18.65" hidden="false" customHeight="true" outlineLevel="0" collapsed="false">
      <c r="A2207" s="1" t="n">
        <f aca="false">ROW()-2</f>
        <v>2205</v>
      </c>
      <c r="B2207" s="1" t="n">
        <f aca="false">INT(A2207/$N$1)</f>
        <v>122</v>
      </c>
      <c r="C2207" s="1" t="n">
        <f aca="false">INT(MOD(A2207,$N$1) / 2)</f>
        <v>4</v>
      </c>
      <c r="D2207" s="1" t="n">
        <f aca="false">_xlfn.BITAND(A2207,1)</f>
        <v>1</v>
      </c>
      <c r="F2207" s="1" t="str">
        <f aca="false">DEC2HEX(B2207*$N$3*18)</f>
        <v>22500</v>
      </c>
      <c r="G2207" s="1" t="str">
        <f aca="false">DEC2HEX(C2207*7)</f>
        <v>1C</v>
      </c>
      <c r="H2207" s="1" t="str">
        <f aca="false">IF(D2207=0, 33, "cc")</f>
        <v>cc</v>
      </c>
    </row>
    <row r="2208" customFormat="false" ht="18.65" hidden="false" customHeight="true" outlineLevel="0" collapsed="false">
      <c r="A2208" s="1" t="n">
        <f aca="false">ROW()-2</f>
        <v>2206</v>
      </c>
      <c r="B2208" s="1" t="n">
        <f aca="false">INT(A2208/$N$1)</f>
        <v>122</v>
      </c>
      <c r="C2208" s="1" t="n">
        <f aca="false">INT(MOD(A2208,$N$1) / 2)</f>
        <v>5</v>
      </c>
      <c r="D2208" s="1" t="n">
        <f aca="false">_xlfn.BITAND(A2208,1)</f>
        <v>0</v>
      </c>
      <c r="F2208" s="1" t="str">
        <f aca="false">DEC2HEX(B2208*$N$3*18)</f>
        <v>22500</v>
      </c>
      <c r="G2208" s="1" t="str">
        <f aca="false">DEC2HEX(C2208*7)</f>
        <v>23</v>
      </c>
      <c r="H2208" s="1" t="n">
        <f aca="false">IF(D2208=0, 33, "cc")</f>
        <v>33</v>
      </c>
    </row>
    <row r="2209" customFormat="false" ht="18.65" hidden="false" customHeight="true" outlineLevel="0" collapsed="false">
      <c r="A2209" s="1" t="n">
        <f aca="false">ROW()-2</f>
        <v>2207</v>
      </c>
      <c r="B2209" s="1" t="n">
        <f aca="false">INT(A2209/$N$1)</f>
        <v>122</v>
      </c>
      <c r="C2209" s="1" t="n">
        <f aca="false">INT(MOD(A2209,$N$1) / 2)</f>
        <v>5</v>
      </c>
      <c r="D2209" s="1" t="n">
        <f aca="false">_xlfn.BITAND(A2209,1)</f>
        <v>1</v>
      </c>
      <c r="F2209" s="1" t="str">
        <f aca="false">DEC2HEX(B2209*$N$3*18)</f>
        <v>22500</v>
      </c>
      <c r="G2209" s="1" t="str">
        <f aca="false">DEC2HEX(C2209*7)</f>
        <v>23</v>
      </c>
      <c r="H2209" s="1" t="str">
        <f aca="false">IF(D2209=0, 33, "cc")</f>
        <v>cc</v>
      </c>
    </row>
    <row r="2210" customFormat="false" ht="18.65" hidden="false" customHeight="true" outlineLevel="0" collapsed="false">
      <c r="A2210" s="1" t="n">
        <f aca="false">ROW()-2</f>
        <v>2208</v>
      </c>
      <c r="B2210" s="1" t="n">
        <f aca="false">INT(A2210/$N$1)</f>
        <v>122</v>
      </c>
      <c r="C2210" s="1" t="n">
        <f aca="false">INT(MOD(A2210,$N$1) / 2)</f>
        <v>6</v>
      </c>
      <c r="D2210" s="1" t="n">
        <f aca="false">_xlfn.BITAND(A2210,1)</f>
        <v>0</v>
      </c>
      <c r="F2210" s="1" t="str">
        <f aca="false">DEC2HEX(B2210*$N$3*18)</f>
        <v>22500</v>
      </c>
      <c r="G2210" s="1" t="str">
        <f aca="false">DEC2HEX(C2210*7)</f>
        <v>2A</v>
      </c>
      <c r="H2210" s="1" t="n">
        <f aca="false">IF(D2210=0, 33, "cc")</f>
        <v>33</v>
      </c>
    </row>
    <row r="2211" customFormat="false" ht="18.65" hidden="false" customHeight="true" outlineLevel="0" collapsed="false">
      <c r="A2211" s="1" t="n">
        <f aca="false">ROW()-2</f>
        <v>2209</v>
      </c>
      <c r="B2211" s="1" t="n">
        <f aca="false">INT(A2211/$N$1)</f>
        <v>122</v>
      </c>
      <c r="C2211" s="1" t="n">
        <f aca="false">INT(MOD(A2211,$N$1) / 2)</f>
        <v>6</v>
      </c>
      <c r="D2211" s="1" t="n">
        <f aca="false">_xlfn.BITAND(A2211,1)</f>
        <v>1</v>
      </c>
      <c r="F2211" s="1" t="str">
        <f aca="false">DEC2HEX(B2211*$N$3*18)</f>
        <v>22500</v>
      </c>
      <c r="G2211" s="1" t="str">
        <f aca="false">DEC2HEX(C2211*7)</f>
        <v>2A</v>
      </c>
      <c r="H2211" s="1" t="str">
        <f aca="false">IF(D2211=0, 33, "cc")</f>
        <v>cc</v>
      </c>
    </row>
    <row r="2212" customFormat="false" ht="18.65" hidden="false" customHeight="true" outlineLevel="0" collapsed="false">
      <c r="A2212" s="1" t="n">
        <f aca="false">ROW()-2</f>
        <v>2210</v>
      </c>
      <c r="B2212" s="1" t="n">
        <f aca="false">INT(A2212/$N$1)</f>
        <v>122</v>
      </c>
      <c r="C2212" s="1" t="n">
        <f aca="false">INT(MOD(A2212,$N$1) / 2)</f>
        <v>7</v>
      </c>
      <c r="D2212" s="1" t="n">
        <f aca="false">_xlfn.BITAND(A2212,1)</f>
        <v>0</v>
      </c>
      <c r="F2212" s="1" t="str">
        <f aca="false">DEC2HEX(B2212*$N$3*18)</f>
        <v>22500</v>
      </c>
      <c r="G2212" s="1" t="str">
        <f aca="false">DEC2HEX(C2212*7)</f>
        <v>31</v>
      </c>
      <c r="H2212" s="1" t="n">
        <f aca="false">IF(D2212=0, 33, "cc")</f>
        <v>33</v>
      </c>
    </row>
    <row r="2213" customFormat="false" ht="18.65" hidden="false" customHeight="true" outlineLevel="0" collapsed="false">
      <c r="A2213" s="1" t="n">
        <f aca="false">ROW()-2</f>
        <v>2211</v>
      </c>
      <c r="B2213" s="1" t="n">
        <f aca="false">INT(A2213/$N$1)</f>
        <v>122</v>
      </c>
      <c r="C2213" s="1" t="n">
        <f aca="false">INT(MOD(A2213,$N$1) / 2)</f>
        <v>7</v>
      </c>
      <c r="D2213" s="1" t="n">
        <f aca="false">_xlfn.BITAND(A2213,1)</f>
        <v>1</v>
      </c>
      <c r="F2213" s="1" t="str">
        <f aca="false">DEC2HEX(B2213*$N$3*18)</f>
        <v>22500</v>
      </c>
      <c r="G2213" s="1" t="str">
        <f aca="false">DEC2HEX(C2213*7)</f>
        <v>31</v>
      </c>
      <c r="H2213" s="1" t="str">
        <f aca="false">IF(D2213=0, 33, "cc")</f>
        <v>cc</v>
      </c>
    </row>
    <row r="2214" customFormat="false" ht="18.65" hidden="false" customHeight="true" outlineLevel="0" collapsed="false">
      <c r="A2214" s="1" t="n">
        <f aca="false">ROW()-2</f>
        <v>2212</v>
      </c>
      <c r="B2214" s="1" t="n">
        <f aca="false">INT(A2214/$N$1)</f>
        <v>122</v>
      </c>
      <c r="C2214" s="1" t="n">
        <f aca="false">INT(MOD(A2214,$N$1) / 2)</f>
        <v>8</v>
      </c>
      <c r="D2214" s="1" t="n">
        <f aca="false">_xlfn.BITAND(A2214,1)</f>
        <v>0</v>
      </c>
      <c r="F2214" s="1" t="str">
        <f aca="false">DEC2HEX(B2214*$N$3*18)</f>
        <v>22500</v>
      </c>
      <c r="G2214" s="1" t="str">
        <f aca="false">DEC2HEX(C2214*7)</f>
        <v>38</v>
      </c>
      <c r="H2214" s="1" t="n">
        <f aca="false">IF(D2214=0, 33, "cc")</f>
        <v>33</v>
      </c>
    </row>
    <row r="2215" customFormat="false" ht="18.65" hidden="false" customHeight="true" outlineLevel="0" collapsed="false">
      <c r="A2215" s="1" t="n">
        <f aca="false">ROW()-2</f>
        <v>2213</v>
      </c>
      <c r="B2215" s="1" t="n">
        <f aca="false">INT(A2215/$N$1)</f>
        <v>122</v>
      </c>
      <c r="C2215" s="1" t="n">
        <f aca="false">INT(MOD(A2215,$N$1) / 2)</f>
        <v>8</v>
      </c>
      <c r="D2215" s="1" t="n">
        <f aca="false">_xlfn.BITAND(A2215,1)</f>
        <v>1</v>
      </c>
      <c r="F2215" s="1" t="str">
        <f aca="false">DEC2HEX(B2215*$N$3*18)</f>
        <v>22500</v>
      </c>
      <c r="G2215" s="1" t="str">
        <f aca="false">DEC2HEX(C2215*7)</f>
        <v>38</v>
      </c>
      <c r="H2215" s="1" t="str">
        <f aca="false">IF(D2215=0, 33, "cc")</f>
        <v>cc</v>
      </c>
    </row>
    <row r="2216" customFormat="false" ht="18.65" hidden="false" customHeight="true" outlineLevel="0" collapsed="false">
      <c r="A2216" s="1" t="n">
        <f aca="false">ROW()-2</f>
        <v>2214</v>
      </c>
      <c r="B2216" s="1" t="n">
        <f aca="false">INT(A2216/$N$1)</f>
        <v>123</v>
      </c>
      <c r="C2216" s="1" t="n">
        <f aca="false">INT(MOD(A2216,$N$1) / 2)</f>
        <v>0</v>
      </c>
      <c r="D2216" s="1" t="n">
        <f aca="false">_xlfn.BITAND(A2216,1)</f>
        <v>0</v>
      </c>
      <c r="F2216" s="1" t="str">
        <f aca="false">DEC2HEX(B2216*$N$3*18)</f>
        <v>22980</v>
      </c>
      <c r="G2216" s="1" t="str">
        <f aca="false">DEC2HEX(C2216*7)</f>
        <v>0</v>
      </c>
      <c r="H2216" s="1" t="n">
        <f aca="false">IF(D2216=0, 33, "cc")</f>
        <v>33</v>
      </c>
    </row>
    <row r="2217" customFormat="false" ht="18.65" hidden="false" customHeight="true" outlineLevel="0" collapsed="false">
      <c r="A2217" s="1" t="n">
        <f aca="false">ROW()-2</f>
        <v>2215</v>
      </c>
      <c r="B2217" s="1" t="n">
        <f aca="false">INT(A2217/$N$1)</f>
        <v>123</v>
      </c>
      <c r="C2217" s="1" t="n">
        <f aca="false">INT(MOD(A2217,$N$1) / 2)</f>
        <v>0</v>
      </c>
      <c r="D2217" s="1" t="n">
        <f aca="false">_xlfn.BITAND(A2217,1)</f>
        <v>1</v>
      </c>
      <c r="F2217" s="1" t="str">
        <f aca="false">DEC2HEX(B2217*$N$3*18)</f>
        <v>22980</v>
      </c>
      <c r="G2217" s="1" t="str">
        <f aca="false">DEC2HEX(C2217*7)</f>
        <v>0</v>
      </c>
      <c r="H2217" s="1" t="str">
        <f aca="false">IF(D2217=0, 33, "cc")</f>
        <v>cc</v>
      </c>
    </row>
    <row r="2218" customFormat="false" ht="18.65" hidden="false" customHeight="true" outlineLevel="0" collapsed="false">
      <c r="A2218" s="1" t="n">
        <f aca="false">ROW()-2</f>
        <v>2216</v>
      </c>
      <c r="B2218" s="1" t="n">
        <f aca="false">INT(A2218/$N$1)</f>
        <v>123</v>
      </c>
      <c r="C2218" s="1" t="n">
        <f aca="false">INT(MOD(A2218,$N$1) / 2)</f>
        <v>1</v>
      </c>
      <c r="D2218" s="1" t="n">
        <f aca="false">_xlfn.BITAND(A2218,1)</f>
        <v>0</v>
      </c>
      <c r="F2218" s="1" t="str">
        <f aca="false">DEC2HEX(B2218*$N$3*18)</f>
        <v>22980</v>
      </c>
      <c r="G2218" s="1" t="str">
        <f aca="false">DEC2HEX(C2218*7)</f>
        <v>7</v>
      </c>
      <c r="H2218" s="1" t="n">
        <f aca="false">IF(D2218=0, 33, "cc")</f>
        <v>33</v>
      </c>
    </row>
    <row r="2219" customFormat="false" ht="18.65" hidden="false" customHeight="true" outlineLevel="0" collapsed="false">
      <c r="A2219" s="1" t="n">
        <f aca="false">ROW()-2</f>
        <v>2217</v>
      </c>
      <c r="B2219" s="1" t="n">
        <f aca="false">INT(A2219/$N$1)</f>
        <v>123</v>
      </c>
      <c r="C2219" s="1" t="n">
        <f aca="false">INT(MOD(A2219,$N$1) / 2)</f>
        <v>1</v>
      </c>
      <c r="D2219" s="1" t="n">
        <f aca="false">_xlfn.BITAND(A2219,1)</f>
        <v>1</v>
      </c>
      <c r="F2219" s="1" t="str">
        <f aca="false">DEC2HEX(B2219*$N$3*18)</f>
        <v>22980</v>
      </c>
      <c r="G2219" s="1" t="str">
        <f aca="false">DEC2HEX(C2219*7)</f>
        <v>7</v>
      </c>
      <c r="H2219" s="1" t="str">
        <f aca="false">IF(D2219=0, 33, "cc")</f>
        <v>cc</v>
      </c>
    </row>
    <row r="2220" customFormat="false" ht="18.65" hidden="false" customHeight="true" outlineLevel="0" collapsed="false">
      <c r="A2220" s="1" t="n">
        <f aca="false">ROW()-2</f>
        <v>2218</v>
      </c>
      <c r="B2220" s="1" t="n">
        <f aca="false">INT(A2220/$N$1)</f>
        <v>123</v>
      </c>
      <c r="C2220" s="1" t="n">
        <f aca="false">INT(MOD(A2220,$N$1) / 2)</f>
        <v>2</v>
      </c>
      <c r="D2220" s="1" t="n">
        <f aca="false">_xlfn.BITAND(A2220,1)</f>
        <v>0</v>
      </c>
      <c r="F2220" s="1" t="str">
        <f aca="false">DEC2HEX(B2220*$N$3*18)</f>
        <v>22980</v>
      </c>
      <c r="G2220" s="1" t="str">
        <f aca="false">DEC2HEX(C2220*7)</f>
        <v>E</v>
      </c>
      <c r="H2220" s="1" t="n">
        <f aca="false">IF(D2220=0, 33, "cc")</f>
        <v>33</v>
      </c>
    </row>
    <row r="2221" customFormat="false" ht="18.65" hidden="false" customHeight="true" outlineLevel="0" collapsed="false">
      <c r="A2221" s="1" t="n">
        <f aca="false">ROW()-2</f>
        <v>2219</v>
      </c>
      <c r="B2221" s="1" t="n">
        <f aca="false">INT(A2221/$N$1)</f>
        <v>123</v>
      </c>
      <c r="C2221" s="1" t="n">
        <f aca="false">INT(MOD(A2221,$N$1) / 2)</f>
        <v>2</v>
      </c>
      <c r="D2221" s="1" t="n">
        <f aca="false">_xlfn.BITAND(A2221,1)</f>
        <v>1</v>
      </c>
      <c r="F2221" s="1" t="str">
        <f aca="false">DEC2HEX(B2221*$N$3*18)</f>
        <v>22980</v>
      </c>
      <c r="G2221" s="1" t="str">
        <f aca="false">DEC2HEX(C2221*7)</f>
        <v>E</v>
      </c>
      <c r="H2221" s="1" t="str">
        <f aca="false">IF(D2221=0, 33, "cc")</f>
        <v>cc</v>
      </c>
    </row>
    <row r="2222" customFormat="false" ht="18.65" hidden="false" customHeight="true" outlineLevel="0" collapsed="false">
      <c r="A2222" s="1" t="n">
        <f aca="false">ROW()-2</f>
        <v>2220</v>
      </c>
      <c r="B2222" s="1" t="n">
        <f aca="false">INT(A2222/$N$1)</f>
        <v>123</v>
      </c>
      <c r="C2222" s="1" t="n">
        <f aca="false">INT(MOD(A2222,$N$1) / 2)</f>
        <v>3</v>
      </c>
      <c r="D2222" s="1" t="n">
        <f aca="false">_xlfn.BITAND(A2222,1)</f>
        <v>0</v>
      </c>
      <c r="F2222" s="1" t="str">
        <f aca="false">DEC2HEX(B2222*$N$3*18)</f>
        <v>22980</v>
      </c>
      <c r="G2222" s="1" t="str">
        <f aca="false">DEC2HEX(C2222*7)</f>
        <v>15</v>
      </c>
      <c r="H2222" s="1" t="n">
        <f aca="false">IF(D2222=0, 33, "cc")</f>
        <v>33</v>
      </c>
    </row>
    <row r="2223" customFormat="false" ht="18.65" hidden="false" customHeight="true" outlineLevel="0" collapsed="false">
      <c r="A2223" s="1" t="n">
        <f aca="false">ROW()-2</f>
        <v>2221</v>
      </c>
      <c r="B2223" s="1" t="n">
        <f aca="false">INT(A2223/$N$1)</f>
        <v>123</v>
      </c>
      <c r="C2223" s="1" t="n">
        <f aca="false">INT(MOD(A2223,$N$1) / 2)</f>
        <v>3</v>
      </c>
      <c r="D2223" s="1" t="n">
        <f aca="false">_xlfn.BITAND(A2223,1)</f>
        <v>1</v>
      </c>
      <c r="F2223" s="1" t="str">
        <f aca="false">DEC2HEX(B2223*$N$3*18)</f>
        <v>22980</v>
      </c>
      <c r="G2223" s="1" t="str">
        <f aca="false">DEC2HEX(C2223*7)</f>
        <v>15</v>
      </c>
      <c r="H2223" s="1" t="str">
        <f aca="false">IF(D2223=0, 33, "cc")</f>
        <v>cc</v>
      </c>
    </row>
    <row r="2224" customFormat="false" ht="18.65" hidden="false" customHeight="true" outlineLevel="0" collapsed="false">
      <c r="A2224" s="1" t="n">
        <f aca="false">ROW()-2</f>
        <v>2222</v>
      </c>
      <c r="B2224" s="1" t="n">
        <f aca="false">INT(A2224/$N$1)</f>
        <v>123</v>
      </c>
      <c r="C2224" s="1" t="n">
        <f aca="false">INT(MOD(A2224,$N$1) / 2)</f>
        <v>4</v>
      </c>
      <c r="D2224" s="1" t="n">
        <f aca="false">_xlfn.BITAND(A2224,1)</f>
        <v>0</v>
      </c>
      <c r="F2224" s="1" t="str">
        <f aca="false">DEC2HEX(B2224*$N$3*18)</f>
        <v>22980</v>
      </c>
      <c r="G2224" s="1" t="str">
        <f aca="false">DEC2HEX(C2224*7)</f>
        <v>1C</v>
      </c>
      <c r="H2224" s="1" t="n">
        <f aca="false">IF(D2224=0, 33, "cc")</f>
        <v>33</v>
      </c>
    </row>
    <row r="2225" customFormat="false" ht="18.65" hidden="false" customHeight="true" outlineLevel="0" collapsed="false">
      <c r="A2225" s="1" t="n">
        <f aca="false">ROW()-2</f>
        <v>2223</v>
      </c>
      <c r="B2225" s="1" t="n">
        <f aca="false">INT(A2225/$N$1)</f>
        <v>123</v>
      </c>
      <c r="C2225" s="1" t="n">
        <f aca="false">INT(MOD(A2225,$N$1) / 2)</f>
        <v>4</v>
      </c>
      <c r="D2225" s="1" t="n">
        <f aca="false">_xlfn.BITAND(A2225,1)</f>
        <v>1</v>
      </c>
      <c r="F2225" s="1" t="str">
        <f aca="false">DEC2HEX(B2225*$N$3*18)</f>
        <v>22980</v>
      </c>
      <c r="G2225" s="1" t="str">
        <f aca="false">DEC2HEX(C2225*7)</f>
        <v>1C</v>
      </c>
      <c r="H2225" s="1" t="str">
        <f aca="false">IF(D2225=0, 33, "cc")</f>
        <v>cc</v>
      </c>
    </row>
    <row r="2226" customFormat="false" ht="18.65" hidden="false" customHeight="true" outlineLevel="0" collapsed="false">
      <c r="A2226" s="1" t="n">
        <f aca="false">ROW()-2</f>
        <v>2224</v>
      </c>
      <c r="B2226" s="1" t="n">
        <f aca="false">INT(A2226/$N$1)</f>
        <v>123</v>
      </c>
      <c r="C2226" s="1" t="n">
        <f aca="false">INT(MOD(A2226,$N$1) / 2)</f>
        <v>5</v>
      </c>
      <c r="D2226" s="1" t="n">
        <f aca="false">_xlfn.BITAND(A2226,1)</f>
        <v>0</v>
      </c>
      <c r="F2226" s="1" t="str">
        <f aca="false">DEC2HEX(B2226*$N$3*18)</f>
        <v>22980</v>
      </c>
      <c r="G2226" s="1" t="str">
        <f aca="false">DEC2HEX(C2226*7)</f>
        <v>23</v>
      </c>
      <c r="H2226" s="1" t="n">
        <f aca="false">IF(D2226=0, 33, "cc")</f>
        <v>33</v>
      </c>
    </row>
    <row r="2227" customFormat="false" ht="18.65" hidden="false" customHeight="true" outlineLevel="0" collapsed="false">
      <c r="A2227" s="1" t="n">
        <f aca="false">ROW()-2</f>
        <v>2225</v>
      </c>
      <c r="B2227" s="1" t="n">
        <f aca="false">INT(A2227/$N$1)</f>
        <v>123</v>
      </c>
      <c r="C2227" s="1" t="n">
        <f aca="false">INT(MOD(A2227,$N$1) / 2)</f>
        <v>5</v>
      </c>
      <c r="D2227" s="1" t="n">
        <f aca="false">_xlfn.BITAND(A2227,1)</f>
        <v>1</v>
      </c>
      <c r="F2227" s="1" t="str">
        <f aca="false">DEC2HEX(B2227*$N$3*18)</f>
        <v>22980</v>
      </c>
      <c r="G2227" s="1" t="str">
        <f aca="false">DEC2HEX(C2227*7)</f>
        <v>23</v>
      </c>
      <c r="H2227" s="1" t="str">
        <f aca="false">IF(D2227=0, 33, "cc")</f>
        <v>cc</v>
      </c>
    </row>
    <row r="2228" customFormat="false" ht="18.65" hidden="false" customHeight="true" outlineLevel="0" collapsed="false">
      <c r="A2228" s="1" t="n">
        <f aca="false">ROW()-2</f>
        <v>2226</v>
      </c>
      <c r="B2228" s="1" t="n">
        <f aca="false">INT(A2228/$N$1)</f>
        <v>123</v>
      </c>
      <c r="C2228" s="1" t="n">
        <f aca="false">INT(MOD(A2228,$N$1) / 2)</f>
        <v>6</v>
      </c>
      <c r="D2228" s="1" t="n">
        <f aca="false">_xlfn.BITAND(A2228,1)</f>
        <v>0</v>
      </c>
      <c r="F2228" s="1" t="str">
        <f aca="false">DEC2HEX(B2228*$N$3*18)</f>
        <v>22980</v>
      </c>
      <c r="G2228" s="1" t="str">
        <f aca="false">DEC2HEX(C2228*7)</f>
        <v>2A</v>
      </c>
      <c r="H2228" s="1" t="n">
        <f aca="false">IF(D2228=0, 33, "cc")</f>
        <v>33</v>
      </c>
    </row>
    <row r="2229" customFormat="false" ht="18.65" hidden="false" customHeight="true" outlineLevel="0" collapsed="false">
      <c r="A2229" s="1" t="n">
        <f aca="false">ROW()-2</f>
        <v>2227</v>
      </c>
      <c r="B2229" s="1" t="n">
        <f aca="false">INT(A2229/$N$1)</f>
        <v>123</v>
      </c>
      <c r="C2229" s="1" t="n">
        <f aca="false">INT(MOD(A2229,$N$1) / 2)</f>
        <v>6</v>
      </c>
      <c r="D2229" s="1" t="n">
        <f aca="false">_xlfn.BITAND(A2229,1)</f>
        <v>1</v>
      </c>
      <c r="F2229" s="1" t="str">
        <f aca="false">DEC2HEX(B2229*$N$3*18)</f>
        <v>22980</v>
      </c>
      <c r="G2229" s="1" t="str">
        <f aca="false">DEC2HEX(C2229*7)</f>
        <v>2A</v>
      </c>
      <c r="H2229" s="1" t="str">
        <f aca="false">IF(D2229=0, 33, "cc")</f>
        <v>cc</v>
      </c>
    </row>
    <row r="2230" customFormat="false" ht="18.65" hidden="false" customHeight="true" outlineLevel="0" collapsed="false">
      <c r="A2230" s="1" t="n">
        <f aca="false">ROW()-2</f>
        <v>2228</v>
      </c>
      <c r="B2230" s="1" t="n">
        <f aca="false">INT(A2230/$N$1)</f>
        <v>123</v>
      </c>
      <c r="C2230" s="1" t="n">
        <f aca="false">INT(MOD(A2230,$N$1) / 2)</f>
        <v>7</v>
      </c>
      <c r="D2230" s="1" t="n">
        <f aca="false">_xlfn.BITAND(A2230,1)</f>
        <v>0</v>
      </c>
      <c r="F2230" s="1" t="str">
        <f aca="false">DEC2HEX(B2230*$N$3*18)</f>
        <v>22980</v>
      </c>
      <c r="G2230" s="1" t="str">
        <f aca="false">DEC2HEX(C2230*7)</f>
        <v>31</v>
      </c>
      <c r="H2230" s="1" t="n">
        <f aca="false">IF(D2230=0, 33, "cc")</f>
        <v>33</v>
      </c>
    </row>
    <row r="2231" customFormat="false" ht="18.65" hidden="false" customHeight="true" outlineLevel="0" collapsed="false">
      <c r="A2231" s="1" t="n">
        <f aca="false">ROW()-2</f>
        <v>2229</v>
      </c>
      <c r="B2231" s="1" t="n">
        <f aca="false">INT(A2231/$N$1)</f>
        <v>123</v>
      </c>
      <c r="C2231" s="1" t="n">
        <f aca="false">INT(MOD(A2231,$N$1) / 2)</f>
        <v>7</v>
      </c>
      <c r="D2231" s="1" t="n">
        <f aca="false">_xlfn.BITAND(A2231,1)</f>
        <v>1</v>
      </c>
      <c r="F2231" s="1" t="str">
        <f aca="false">DEC2HEX(B2231*$N$3*18)</f>
        <v>22980</v>
      </c>
      <c r="G2231" s="1" t="str">
        <f aca="false">DEC2HEX(C2231*7)</f>
        <v>31</v>
      </c>
      <c r="H2231" s="1" t="str">
        <f aca="false">IF(D2231=0, 33, "cc")</f>
        <v>cc</v>
      </c>
    </row>
    <row r="2232" customFormat="false" ht="18.65" hidden="false" customHeight="true" outlineLevel="0" collapsed="false">
      <c r="A2232" s="1" t="n">
        <f aca="false">ROW()-2</f>
        <v>2230</v>
      </c>
      <c r="B2232" s="1" t="n">
        <f aca="false">INT(A2232/$N$1)</f>
        <v>123</v>
      </c>
      <c r="C2232" s="1" t="n">
        <f aca="false">INT(MOD(A2232,$N$1) / 2)</f>
        <v>8</v>
      </c>
      <c r="D2232" s="1" t="n">
        <f aca="false">_xlfn.BITAND(A2232,1)</f>
        <v>0</v>
      </c>
      <c r="F2232" s="1" t="str">
        <f aca="false">DEC2HEX(B2232*$N$3*18)</f>
        <v>22980</v>
      </c>
      <c r="G2232" s="1" t="str">
        <f aca="false">DEC2HEX(C2232*7)</f>
        <v>38</v>
      </c>
      <c r="H2232" s="1" t="n">
        <f aca="false">IF(D2232=0, 33, "cc")</f>
        <v>33</v>
      </c>
    </row>
    <row r="2233" customFormat="false" ht="18.65" hidden="false" customHeight="true" outlineLevel="0" collapsed="false">
      <c r="A2233" s="1" t="n">
        <f aca="false">ROW()-2</f>
        <v>2231</v>
      </c>
      <c r="B2233" s="1" t="n">
        <f aca="false">INT(A2233/$N$1)</f>
        <v>123</v>
      </c>
      <c r="C2233" s="1" t="n">
        <f aca="false">INT(MOD(A2233,$N$1) / 2)</f>
        <v>8</v>
      </c>
      <c r="D2233" s="1" t="n">
        <f aca="false">_xlfn.BITAND(A2233,1)</f>
        <v>1</v>
      </c>
      <c r="F2233" s="1" t="str">
        <f aca="false">DEC2HEX(B2233*$N$3*18)</f>
        <v>22980</v>
      </c>
      <c r="G2233" s="1" t="str">
        <f aca="false">DEC2HEX(C2233*7)</f>
        <v>38</v>
      </c>
      <c r="H2233" s="1" t="str">
        <f aca="false">IF(D2233=0, 33, "cc")</f>
        <v>cc</v>
      </c>
    </row>
    <row r="2234" customFormat="false" ht="18.65" hidden="false" customHeight="true" outlineLevel="0" collapsed="false">
      <c r="A2234" s="1" t="n">
        <f aca="false">ROW()-2</f>
        <v>2232</v>
      </c>
      <c r="B2234" s="1" t="n">
        <f aca="false">INT(A2234/$N$1)</f>
        <v>124</v>
      </c>
      <c r="C2234" s="1" t="n">
        <f aca="false">INT(MOD(A2234,$N$1) / 2)</f>
        <v>0</v>
      </c>
      <c r="D2234" s="1" t="n">
        <f aca="false">_xlfn.BITAND(A2234,1)</f>
        <v>0</v>
      </c>
      <c r="F2234" s="1" t="str">
        <f aca="false">DEC2HEX(B2234*$N$3*18)</f>
        <v>22E00</v>
      </c>
      <c r="G2234" s="1" t="str">
        <f aca="false">DEC2HEX(C2234*7)</f>
        <v>0</v>
      </c>
      <c r="H2234" s="1" t="n">
        <f aca="false">IF(D2234=0, 33, "cc")</f>
        <v>33</v>
      </c>
    </row>
    <row r="2235" customFormat="false" ht="18.65" hidden="false" customHeight="true" outlineLevel="0" collapsed="false">
      <c r="A2235" s="1" t="n">
        <f aca="false">ROW()-2</f>
        <v>2233</v>
      </c>
      <c r="B2235" s="1" t="n">
        <f aca="false">INT(A2235/$N$1)</f>
        <v>124</v>
      </c>
      <c r="C2235" s="1" t="n">
        <f aca="false">INT(MOD(A2235,$N$1) / 2)</f>
        <v>0</v>
      </c>
      <c r="D2235" s="1" t="n">
        <f aca="false">_xlfn.BITAND(A2235,1)</f>
        <v>1</v>
      </c>
      <c r="F2235" s="1" t="str">
        <f aca="false">DEC2HEX(B2235*$N$3*18)</f>
        <v>22E00</v>
      </c>
      <c r="G2235" s="1" t="str">
        <f aca="false">DEC2HEX(C2235*7)</f>
        <v>0</v>
      </c>
      <c r="H2235" s="1" t="str">
        <f aca="false">IF(D2235=0, 33, "cc")</f>
        <v>cc</v>
      </c>
    </row>
    <row r="2236" customFormat="false" ht="18.65" hidden="false" customHeight="true" outlineLevel="0" collapsed="false">
      <c r="A2236" s="1" t="n">
        <f aca="false">ROW()-2</f>
        <v>2234</v>
      </c>
      <c r="B2236" s="1" t="n">
        <f aca="false">INT(A2236/$N$1)</f>
        <v>124</v>
      </c>
      <c r="C2236" s="1" t="n">
        <f aca="false">INT(MOD(A2236,$N$1) / 2)</f>
        <v>1</v>
      </c>
      <c r="D2236" s="1" t="n">
        <f aca="false">_xlfn.BITAND(A2236,1)</f>
        <v>0</v>
      </c>
      <c r="F2236" s="1" t="str">
        <f aca="false">DEC2HEX(B2236*$N$3*18)</f>
        <v>22E00</v>
      </c>
      <c r="G2236" s="1" t="str">
        <f aca="false">DEC2HEX(C2236*7)</f>
        <v>7</v>
      </c>
      <c r="H2236" s="1" t="n">
        <f aca="false">IF(D2236=0, 33, "cc")</f>
        <v>33</v>
      </c>
    </row>
    <row r="2237" customFormat="false" ht="18.65" hidden="false" customHeight="true" outlineLevel="0" collapsed="false">
      <c r="A2237" s="1" t="n">
        <f aca="false">ROW()-2</f>
        <v>2235</v>
      </c>
      <c r="B2237" s="1" t="n">
        <f aca="false">INT(A2237/$N$1)</f>
        <v>124</v>
      </c>
      <c r="C2237" s="1" t="n">
        <f aca="false">INT(MOD(A2237,$N$1) / 2)</f>
        <v>1</v>
      </c>
      <c r="D2237" s="1" t="n">
        <f aca="false">_xlfn.BITAND(A2237,1)</f>
        <v>1</v>
      </c>
      <c r="F2237" s="1" t="str">
        <f aca="false">DEC2HEX(B2237*$N$3*18)</f>
        <v>22E00</v>
      </c>
      <c r="G2237" s="1" t="str">
        <f aca="false">DEC2HEX(C2237*7)</f>
        <v>7</v>
      </c>
      <c r="H2237" s="1" t="str">
        <f aca="false">IF(D2237=0, 33, "cc")</f>
        <v>cc</v>
      </c>
    </row>
    <row r="2238" customFormat="false" ht="18.65" hidden="false" customHeight="true" outlineLevel="0" collapsed="false">
      <c r="A2238" s="1" t="n">
        <f aca="false">ROW()-2</f>
        <v>2236</v>
      </c>
      <c r="B2238" s="1" t="n">
        <f aca="false">INT(A2238/$N$1)</f>
        <v>124</v>
      </c>
      <c r="C2238" s="1" t="n">
        <f aca="false">INT(MOD(A2238,$N$1) / 2)</f>
        <v>2</v>
      </c>
      <c r="D2238" s="1" t="n">
        <f aca="false">_xlfn.BITAND(A2238,1)</f>
        <v>0</v>
      </c>
      <c r="F2238" s="1" t="str">
        <f aca="false">DEC2HEX(B2238*$N$3*18)</f>
        <v>22E00</v>
      </c>
      <c r="G2238" s="1" t="str">
        <f aca="false">DEC2HEX(C2238*7)</f>
        <v>E</v>
      </c>
      <c r="H2238" s="1" t="n">
        <f aca="false">IF(D2238=0, 33, "cc")</f>
        <v>33</v>
      </c>
    </row>
    <row r="2239" customFormat="false" ht="18.65" hidden="false" customHeight="true" outlineLevel="0" collapsed="false">
      <c r="A2239" s="1" t="n">
        <f aca="false">ROW()-2</f>
        <v>2237</v>
      </c>
      <c r="B2239" s="1" t="n">
        <f aca="false">INT(A2239/$N$1)</f>
        <v>124</v>
      </c>
      <c r="C2239" s="1" t="n">
        <f aca="false">INT(MOD(A2239,$N$1) / 2)</f>
        <v>2</v>
      </c>
      <c r="D2239" s="1" t="n">
        <f aca="false">_xlfn.BITAND(A2239,1)</f>
        <v>1</v>
      </c>
      <c r="F2239" s="1" t="str">
        <f aca="false">DEC2HEX(B2239*$N$3*18)</f>
        <v>22E00</v>
      </c>
      <c r="G2239" s="1" t="str">
        <f aca="false">DEC2HEX(C2239*7)</f>
        <v>E</v>
      </c>
      <c r="H2239" s="1" t="str">
        <f aca="false">IF(D2239=0, 33, "cc")</f>
        <v>cc</v>
      </c>
    </row>
    <row r="2240" customFormat="false" ht="18.65" hidden="false" customHeight="true" outlineLevel="0" collapsed="false">
      <c r="A2240" s="1" t="n">
        <f aca="false">ROW()-2</f>
        <v>2238</v>
      </c>
      <c r="B2240" s="1" t="n">
        <f aca="false">INT(A2240/$N$1)</f>
        <v>124</v>
      </c>
      <c r="C2240" s="1" t="n">
        <f aca="false">INT(MOD(A2240,$N$1) / 2)</f>
        <v>3</v>
      </c>
      <c r="D2240" s="1" t="n">
        <f aca="false">_xlfn.BITAND(A2240,1)</f>
        <v>0</v>
      </c>
      <c r="F2240" s="1" t="str">
        <f aca="false">DEC2HEX(B2240*$N$3*18)</f>
        <v>22E00</v>
      </c>
      <c r="G2240" s="1" t="str">
        <f aca="false">DEC2HEX(C2240*7)</f>
        <v>15</v>
      </c>
      <c r="H2240" s="1" t="n">
        <f aca="false">IF(D2240=0, 33, "cc")</f>
        <v>33</v>
      </c>
    </row>
    <row r="2241" customFormat="false" ht="18.65" hidden="false" customHeight="true" outlineLevel="0" collapsed="false">
      <c r="A2241" s="1" t="n">
        <f aca="false">ROW()-2</f>
        <v>2239</v>
      </c>
      <c r="B2241" s="1" t="n">
        <f aca="false">INT(A2241/$N$1)</f>
        <v>124</v>
      </c>
      <c r="C2241" s="1" t="n">
        <f aca="false">INT(MOD(A2241,$N$1) / 2)</f>
        <v>3</v>
      </c>
      <c r="D2241" s="1" t="n">
        <f aca="false">_xlfn.BITAND(A2241,1)</f>
        <v>1</v>
      </c>
      <c r="F2241" s="1" t="str">
        <f aca="false">DEC2HEX(B2241*$N$3*18)</f>
        <v>22E00</v>
      </c>
      <c r="G2241" s="1" t="str">
        <f aca="false">DEC2HEX(C2241*7)</f>
        <v>15</v>
      </c>
      <c r="H2241" s="1" t="str">
        <f aca="false">IF(D2241=0, 33, "cc")</f>
        <v>cc</v>
      </c>
    </row>
    <row r="2242" customFormat="false" ht="18.65" hidden="false" customHeight="true" outlineLevel="0" collapsed="false">
      <c r="A2242" s="1" t="n">
        <f aca="false">ROW()-2</f>
        <v>2240</v>
      </c>
      <c r="B2242" s="1" t="n">
        <f aca="false">INT(A2242/$N$1)</f>
        <v>124</v>
      </c>
      <c r="C2242" s="1" t="n">
        <f aca="false">INT(MOD(A2242,$N$1) / 2)</f>
        <v>4</v>
      </c>
      <c r="D2242" s="1" t="n">
        <f aca="false">_xlfn.BITAND(A2242,1)</f>
        <v>0</v>
      </c>
      <c r="F2242" s="1" t="str">
        <f aca="false">DEC2HEX(B2242*$N$3*18)</f>
        <v>22E00</v>
      </c>
      <c r="G2242" s="1" t="str">
        <f aca="false">DEC2HEX(C2242*7)</f>
        <v>1C</v>
      </c>
      <c r="H2242" s="1" t="n">
        <f aca="false">IF(D2242=0, 33, "cc")</f>
        <v>33</v>
      </c>
    </row>
    <row r="2243" customFormat="false" ht="18.65" hidden="false" customHeight="true" outlineLevel="0" collapsed="false">
      <c r="A2243" s="1" t="n">
        <f aca="false">ROW()-2</f>
        <v>2241</v>
      </c>
      <c r="B2243" s="1" t="n">
        <f aca="false">INT(A2243/$N$1)</f>
        <v>124</v>
      </c>
      <c r="C2243" s="1" t="n">
        <f aca="false">INT(MOD(A2243,$N$1) / 2)</f>
        <v>4</v>
      </c>
      <c r="D2243" s="1" t="n">
        <f aca="false">_xlfn.BITAND(A2243,1)</f>
        <v>1</v>
      </c>
      <c r="F2243" s="1" t="str">
        <f aca="false">DEC2HEX(B2243*$N$3*18)</f>
        <v>22E00</v>
      </c>
      <c r="G2243" s="1" t="str">
        <f aca="false">DEC2HEX(C2243*7)</f>
        <v>1C</v>
      </c>
      <c r="H2243" s="1" t="str">
        <f aca="false">IF(D2243=0, 33, "cc")</f>
        <v>cc</v>
      </c>
    </row>
    <row r="2244" customFormat="false" ht="18.65" hidden="false" customHeight="true" outlineLevel="0" collapsed="false">
      <c r="A2244" s="1" t="n">
        <f aca="false">ROW()-2</f>
        <v>2242</v>
      </c>
      <c r="B2244" s="1" t="n">
        <f aca="false">INT(A2244/$N$1)</f>
        <v>124</v>
      </c>
      <c r="C2244" s="1" t="n">
        <f aca="false">INT(MOD(A2244,$N$1) / 2)</f>
        <v>5</v>
      </c>
      <c r="D2244" s="1" t="n">
        <f aca="false">_xlfn.BITAND(A2244,1)</f>
        <v>0</v>
      </c>
      <c r="F2244" s="1" t="str">
        <f aca="false">DEC2HEX(B2244*$N$3*18)</f>
        <v>22E00</v>
      </c>
      <c r="G2244" s="1" t="str">
        <f aca="false">DEC2HEX(C2244*7)</f>
        <v>23</v>
      </c>
      <c r="H2244" s="1" t="n">
        <f aca="false">IF(D2244=0, 33, "cc")</f>
        <v>33</v>
      </c>
    </row>
    <row r="2245" customFormat="false" ht="18.65" hidden="false" customHeight="true" outlineLevel="0" collapsed="false">
      <c r="A2245" s="1" t="n">
        <f aca="false">ROW()-2</f>
        <v>2243</v>
      </c>
      <c r="B2245" s="1" t="n">
        <f aca="false">INT(A2245/$N$1)</f>
        <v>124</v>
      </c>
      <c r="C2245" s="1" t="n">
        <f aca="false">INT(MOD(A2245,$N$1) / 2)</f>
        <v>5</v>
      </c>
      <c r="D2245" s="1" t="n">
        <f aca="false">_xlfn.BITAND(A2245,1)</f>
        <v>1</v>
      </c>
      <c r="F2245" s="1" t="str">
        <f aca="false">DEC2HEX(B2245*$N$3*18)</f>
        <v>22E00</v>
      </c>
      <c r="G2245" s="1" t="str">
        <f aca="false">DEC2HEX(C2245*7)</f>
        <v>23</v>
      </c>
      <c r="H2245" s="1" t="str">
        <f aca="false">IF(D2245=0, 33, "cc")</f>
        <v>cc</v>
      </c>
    </row>
    <row r="2246" customFormat="false" ht="18.65" hidden="false" customHeight="true" outlineLevel="0" collapsed="false">
      <c r="A2246" s="1" t="n">
        <f aca="false">ROW()-2</f>
        <v>2244</v>
      </c>
      <c r="B2246" s="1" t="n">
        <f aca="false">INT(A2246/$N$1)</f>
        <v>124</v>
      </c>
      <c r="C2246" s="1" t="n">
        <f aca="false">INT(MOD(A2246,$N$1) / 2)</f>
        <v>6</v>
      </c>
      <c r="D2246" s="1" t="n">
        <f aca="false">_xlfn.BITAND(A2246,1)</f>
        <v>0</v>
      </c>
      <c r="F2246" s="1" t="str">
        <f aca="false">DEC2HEX(B2246*$N$3*18)</f>
        <v>22E00</v>
      </c>
      <c r="G2246" s="1" t="str">
        <f aca="false">DEC2HEX(C2246*7)</f>
        <v>2A</v>
      </c>
      <c r="H2246" s="1" t="n">
        <f aca="false">IF(D2246=0, 33, "cc")</f>
        <v>33</v>
      </c>
    </row>
    <row r="2247" customFormat="false" ht="18.65" hidden="false" customHeight="true" outlineLevel="0" collapsed="false">
      <c r="A2247" s="1" t="n">
        <f aca="false">ROW()-2</f>
        <v>2245</v>
      </c>
      <c r="B2247" s="1" t="n">
        <f aca="false">INT(A2247/$N$1)</f>
        <v>124</v>
      </c>
      <c r="C2247" s="1" t="n">
        <f aca="false">INT(MOD(A2247,$N$1) / 2)</f>
        <v>6</v>
      </c>
      <c r="D2247" s="1" t="n">
        <f aca="false">_xlfn.BITAND(A2247,1)</f>
        <v>1</v>
      </c>
      <c r="F2247" s="1" t="str">
        <f aca="false">DEC2HEX(B2247*$N$3*18)</f>
        <v>22E00</v>
      </c>
      <c r="G2247" s="1" t="str">
        <f aca="false">DEC2HEX(C2247*7)</f>
        <v>2A</v>
      </c>
      <c r="H2247" s="1" t="str">
        <f aca="false">IF(D2247=0, 33, "cc")</f>
        <v>cc</v>
      </c>
    </row>
    <row r="2248" customFormat="false" ht="18.65" hidden="false" customHeight="true" outlineLevel="0" collapsed="false">
      <c r="A2248" s="1" t="n">
        <f aca="false">ROW()-2</f>
        <v>2246</v>
      </c>
      <c r="B2248" s="1" t="n">
        <f aca="false">INT(A2248/$N$1)</f>
        <v>124</v>
      </c>
      <c r="C2248" s="1" t="n">
        <f aca="false">INT(MOD(A2248,$N$1) / 2)</f>
        <v>7</v>
      </c>
      <c r="D2248" s="1" t="n">
        <f aca="false">_xlfn.BITAND(A2248,1)</f>
        <v>0</v>
      </c>
      <c r="F2248" s="1" t="str">
        <f aca="false">DEC2HEX(B2248*$N$3*18)</f>
        <v>22E00</v>
      </c>
      <c r="G2248" s="1" t="str">
        <f aca="false">DEC2HEX(C2248*7)</f>
        <v>31</v>
      </c>
      <c r="H2248" s="1" t="n">
        <f aca="false">IF(D2248=0, 33, "cc")</f>
        <v>33</v>
      </c>
    </row>
    <row r="2249" customFormat="false" ht="18.65" hidden="false" customHeight="true" outlineLevel="0" collapsed="false">
      <c r="A2249" s="1" t="n">
        <f aca="false">ROW()-2</f>
        <v>2247</v>
      </c>
      <c r="B2249" s="1" t="n">
        <f aca="false">INT(A2249/$N$1)</f>
        <v>124</v>
      </c>
      <c r="C2249" s="1" t="n">
        <f aca="false">INT(MOD(A2249,$N$1) / 2)</f>
        <v>7</v>
      </c>
      <c r="D2249" s="1" t="n">
        <f aca="false">_xlfn.BITAND(A2249,1)</f>
        <v>1</v>
      </c>
      <c r="F2249" s="1" t="str">
        <f aca="false">DEC2HEX(B2249*$N$3*18)</f>
        <v>22E00</v>
      </c>
      <c r="G2249" s="1" t="str">
        <f aca="false">DEC2HEX(C2249*7)</f>
        <v>31</v>
      </c>
      <c r="H2249" s="1" t="str">
        <f aca="false">IF(D2249=0, 33, "cc")</f>
        <v>cc</v>
      </c>
    </row>
    <row r="2250" customFormat="false" ht="18.65" hidden="false" customHeight="true" outlineLevel="0" collapsed="false">
      <c r="A2250" s="1" t="n">
        <f aca="false">ROW()-2</f>
        <v>2248</v>
      </c>
      <c r="B2250" s="1" t="n">
        <f aca="false">INT(A2250/$N$1)</f>
        <v>124</v>
      </c>
      <c r="C2250" s="1" t="n">
        <f aca="false">INT(MOD(A2250,$N$1) / 2)</f>
        <v>8</v>
      </c>
      <c r="D2250" s="1" t="n">
        <f aca="false">_xlfn.BITAND(A2250,1)</f>
        <v>0</v>
      </c>
      <c r="F2250" s="1" t="str">
        <f aca="false">DEC2HEX(B2250*$N$3*18)</f>
        <v>22E00</v>
      </c>
      <c r="G2250" s="1" t="str">
        <f aca="false">DEC2HEX(C2250*7)</f>
        <v>38</v>
      </c>
      <c r="H2250" s="1" t="n">
        <f aca="false">IF(D2250=0, 33, "cc")</f>
        <v>33</v>
      </c>
    </row>
    <row r="2251" customFormat="false" ht="18.65" hidden="false" customHeight="true" outlineLevel="0" collapsed="false">
      <c r="A2251" s="1" t="n">
        <f aca="false">ROW()-2</f>
        <v>2249</v>
      </c>
      <c r="B2251" s="1" t="n">
        <f aca="false">INT(A2251/$N$1)</f>
        <v>124</v>
      </c>
      <c r="C2251" s="1" t="n">
        <f aca="false">INT(MOD(A2251,$N$1) / 2)</f>
        <v>8</v>
      </c>
      <c r="D2251" s="1" t="n">
        <f aca="false">_xlfn.BITAND(A2251,1)</f>
        <v>1</v>
      </c>
      <c r="F2251" s="1" t="str">
        <f aca="false">DEC2HEX(B2251*$N$3*18)</f>
        <v>22E00</v>
      </c>
      <c r="G2251" s="1" t="str">
        <f aca="false">DEC2HEX(C2251*7)</f>
        <v>38</v>
      </c>
      <c r="H2251" s="1" t="str">
        <f aca="false">IF(D2251=0, 33, "cc")</f>
        <v>cc</v>
      </c>
    </row>
    <row r="2252" customFormat="false" ht="18.65" hidden="false" customHeight="true" outlineLevel="0" collapsed="false">
      <c r="A2252" s="1" t="n">
        <f aca="false">ROW()-2</f>
        <v>2250</v>
      </c>
      <c r="B2252" s="1" t="n">
        <f aca="false">INT(A2252/$N$1)</f>
        <v>125</v>
      </c>
      <c r="C2252" s="1" t="n">
        <f aca="false">INT(MOD(A2252,$N$1) / 2)</f>
        <v>0</v>
      </c>
      <c r="D2252" s="1" t="n">
        <f aca="false">_xlfn.BITAND(A2252,1)</f>
        <v>0</v>
      </c>
      <c r="F2252" s="1" t="str">
        <f aca="false">DEC2HEX(B2252*$N$3*18)</f>
        <v>23280</v>
      </c>
      <c r="G2252" s="1" t="str">
        <f aca="false">DEC2HEX(C2252*7)</f>
        <v>0</v>
      </c>
      <c r="H2252" s="1" t="n">
        <f aca="false">IF(D2252=0, 33, "cc")</f>
        <v>33</v>
      </c>
    </row>
    <row r="2253" customFormat="false" ht="18.65" hidden="false" customHeight="true" outlineLevel="0" collapsed="false">
      <c r="A2253" s="1" t="n">
        <f aca="false">ROW()-2</f>
        <v>2251</v>
      </c>
      <c r="B2253" s="1" t="n">
        <f aca="false">INT(A2253/$N$1)</f>
        <v>125</v>
      </c>
      <c r="C2253" s="1" t="n">
        <f aca="false">INT(MOD(A2253,$N$1) / 2)</f>
        <v>0</v>
      </c>
      <c r="D2253" s="1" t="n">
        <f aca="false">_xlfn.BITAND(A2253,1)</f>
        <v>1</v>
      </c>
      <c r="F2253" s="1" t="str">
        <f aca="false">DEC2HEX(B2253*$N$3*18)</f>
        <v>23280</v>
      </c>
      <c r="G2253" s="1" t="str">
        <f aca="false">DEC2HEX(C2253*7)</f>
        <v>0</v>
      </c>
      <c r="H2253" s="1" t="str">
        <f aca="false">IF(D2253=0, 33, "cc")</f>
        <v>cc</v>
      </c>
    </row>
    <row r="2254" customFormat="false" ht="18.65" hidden="false" customHeight="true" outlineLevel="0" collapsed="false">
      <c r="A2254" s="1" t="n">
        <f aca="false">ROW()-2</f>
        <v>2252</v>
      </c>
      <c r="B2254" s="1" t="n">
        <f aca="false">INT(A2254/$N$1)</f>
        <v>125</v>
      </c>
      <c r="C2254" s="1" t="n">
        <f aca="false">INT(MOD(A2254,$N$1) / 2)</f>
        <v>1</v>
      </c>
      <c r="D2254" s="1" t="n">
        <f aca="false">_xlfn.BITAND(A2254,1)</f>
        <v>0</v>
      </c>
      <c r="F2254" s="1" t="str">
        <f aca="false">DEC2HEX(B2254*$N$3*18)</f>
        <v>23280</v>
      </c>
      <c r="G2254" s="1" t="str">
        <f aca="false">DEC2HEX(C2254*7)</f>
        <v>7</v>
      </c>
      <c r="H2254" s="1" t="n">
        <f aca="false">IF(D2254=0, 33, "cc")</f>
        <v>33</v>
      </c>
    </row>
    <row r="2255" customFormat="false" ht="18.65" hidden="false" customHeight="true" outlineLevel="0" collapsed="false">
      <c r="A2255" s="1" t="n">
        <f aca="false">ROW()-2</f>
        <v>2253</v>
      </c>
      <c r="B2255" s="1" t="n">
        <f aca="false">INT(A2255/$N$1)</f>
        <v>125</v>
      </c>
      <c r="C2255" s="1" t="n">
        <f aca="false">INT(MOD(A2255,$N$1) / 2)</f>
        <v>1</v>
      </c>
      <c r="D2255" s="1" t="n">
        <f aca="false">_xlfn.BITAND(A2255,1)</f>
        <v>1</v>
      </c>
      <c r="F2255" s="1" t="str">
        <f aca="false">DEC2HEX(B2255*$N$3*18)</f>
        <v>23280</v>
      </c>
      <c r="G2255" s="1" t="str">
        <f aca="false">DEC2HEX(C2255*7)</f>
        <v>7</v>
      </c>
      <c r="H2255" s="1" t="str">
        <f aca="false">IF(D2255=0, 33, "cc")</f>
        <v>cc</v>
      </c>
    </row>
    <row r="2256" customFormat="false" ht="18.65" hidden="false" customHeight="true" outlineLevel="0" collapsed="false">
      <c r="A2256" s="1" t="n">
        <f aca="false">ROW()-2</f>
        <v>2254</v>
      </c>
      <c r="B2256" s="1" t="n">
        <f aca="false">INT(A2256/$N$1)</f>
        <v>125</v>
      </c>
      <c r="C2256" s="1" t="n">
        <f aca="false">INT(MOD(A2256,$N$1) / 2)</f>
        <v>2</v>
      </c>
      <c r="D2256" s="1" t="n">
        <f aca="false">_xlfn.BITAND(A2256,1)</f>
        <v>0</v>
      </c>
      <c r="F2256" s="1" t="str">
        <f aca="false">DEC2HEX(B2256*$N$3*18)</f>
        <v>23280</v>
      </c>
      <c r="G2256" s="1" t="str">
        <f aca="false">DEC2HEX(C2256*7)</f>
        <v>E</v>
      </c>
      <c r="H2256" s="1" t="n">
        <f aca="false">IF(D2256=0, 33, "cc")</f>
        <v>33</v>
      </c>
    </row>
    <row r="2257" customFormat="false" ht="18.65" hidden="false" customHeight="true" outlineLevel="0" collapsed="false">
      <c r="A2257" s="1" t="n">
        <f aca="false">ROW()-2</f>
        <v>2255</v>
      </c>
      <c r="B2257" s="1" t="n">
        <f aca="false">INT(A2257/$N$1)</f>
        <v>125</v>
      </c>
      <c r="C2257" s="1" t="n">
        <f aca="false">INT(MOD(A2257,$N$1) / 2)</f>
        <v>2</v>
      </c>
      <c r="D2257" s="1" t="n">
        <f aca="false">_xlfn.BITAND(A2257,1)</f>
        <v>1</v>
      </c>
      <c r="F2257" s="1" t="str">
        <f aca="false">DEC2HEX(B2257*$N$3*18)</f>
        <v>23280</v>
      </c>
      <c r="G2257" s="1" t="str">
        <f aca="false">DEC2HEX(C2257*7)</f>
        <v>E</v>
      </c>
      <c r="H2257" s="1" t="str">
        <f aca="false">IF(D2257=0, 33, "cc")</f>
        <v>cc</v>
      </c>
    </row>
    <row r="2258" customFormat="false" ht="18.65" hidden="false" customHeight="true" outlineLevel="0" collapsed="false">
      <c r="A2258" s="1" t="n">
        <f aca="false">ROW()-2</f>
        <v>2256</v>
      </c>
      <c r="B2258" s="1" t="n">
        <f aca="false">INT(A2258/$N$1)</f>
        <v>125</v>
      </c>
      <c r="C2258" s="1" t="n">
        <f aca="false">INT(MOD(A2258,$N$1) / 2)</f>
        <v>3</v>
      </c>
      <c r="D2258" s="1" t="n">
        <f aca="false">_xlfn.BITAND(A2258,1)</f>
        <v>0</v>
      </c>
      <c r="F2258" s="1" t="str">
        <f aca="false">DEC2HEX(B2258*$N$3*18)</f>
        <v>23280</v>
      </c>
      <c r="G2258" s="1" t="str">
        <f aca="false">DEC2HEX(C2258*7)</f>
        <v>15</v>
      </c>
      <c r="H2258" s="1" t="n">
        <f aca="false">IF(D2258=0, 33, "cc")</f>
        <v>33</v>
      </c>
    </row>
    <row r="2259" customFormat="false" ht="18.65" hidden="false" customHeight="true" outlineLevel="0" collapsed="false">
      <c r="A2259" s="1" t="n">
        <f aca="false">ROW()-2</f>
        <v>2257</v>
      </c>
      <c r="B2259" s="1" t="n">
        <f aca="false">INT(A2259/$N$1)</f>
        <v>125</v>
      </c>
      <c r="C2259" s="1" t="n">
        <f aca="false">INT(MOD(A2259,$N$1) / 2)</f>
        <v>3</v>
      </c>
      <c r="D2259" s="1" t="n">
        <f aca="false">_xlfn.BITAND(A2259,1)</f>
        <v>1</v>
      </c>
      <c r="F2259" s="1" t="str">
        <f aca="false">DEC2HEX(B2259*$N$3*18)</f>
        <v>23280</v>
      </c>
      <c r="G2259" s="1" t="str">
        <f aca="false">DEC2HEX(C2259*7)</f>
        <v>15</v>
      </c>
      <c r="H2259" s="1" t="str">
        <f aca="false">IF(D2259=0, 33, "cc")</f>
        <v>cc</v>
      </c>
    </row>
    <row r="2260" customFormat="false" ht="18.65" hidden="false" customHeight="true" outlineLevel="0" collapsed="false">
      <c r="A2260" s="1" t="n">
        <f aca="false">ROW()-2</f>
        <v>2258</v>
      </c>
      <c r="B2260" s="1" t="n">
        <f aca="false">INT(A2260/$N$1)</f>
        <v>125</v>
      </c>
      <c r="C2260" s="1" t="n">
        <f aca="false">INT(MOD(A2260,$N$1) / 2)</f>
        <v>4</v>
      </c>
      <c r="D2260" s="1" t="n">
        <f aca="false">_xlfn.BITAND(A2260,1)</f>
        <v>0</v>
      </c>
      <c r="F2260" s="1" t="str">
        <f aca="false">DEC2HEX(B2260*$N$3*18)</f>
        <v>23280</v>
      </c>
      <c r="G2260" s="1" t="str">
        <f aca="false">DEC2HEX(C2260*7)</f>
        <v>1C</v>
      </c>
      <c r="H2260" s="1" t="n">
        <f aca="false">IF(D2260=0, 33, "cc")</f>
        <v>33</v>
      </c>
    </row>
    <row r="2261" customFormat="false" ht="18.65" hidden="false" customHeight="true" outlineLevel="0" collapsed="false">
      <c r="A2261" s="1" t="n">
        <f aca="false">ROW()-2</f>
        <v>2259</v>
      </c>
      <c r="B2261" s="1" t="n">
        <f aca="false">INT(A2261/$N$1)</f>
        <v>125</v>
      </c>
      <c r="C2261" s="1" t="n">
        <f aca="false">INT(MOD(A2261,$N$1) / 2)</f>
        <v>4</v>
      </c>
      <c r="D2261" s="1" t="n">
        <f aca="false">_xlfn.BITAND(A2261,1)</f>
        <v>1</v>
      </c>
      <c r="F2261" s="1" t="str">
        <f aca="false">DEC2HEX(B2261*$N$3*18)</f>
        <v>23280</v>
      </c>
      <c r="G2261" s="1" t="str">
        <f aca="false">DEC2HEX(C2261*7)</f>
        <v>1C</v>
      </c>
      <c r="H2261" s="1" t="str">
        <f aca="false">IF(D2261=0, 33, "cc")</f>
        <v>cc</v>
      </c>
    </row>
    <row r="2262" customFormat="false" ht="18.65" hidden="false" customHeight="true" outlineLevel="0" collapsed="false">
      <c r="A2262" s="1" t="n">
        <f aca="false">ROW()-2</f>
        <v>2260</v>
      </c>
      <c r="B2262" s="1" t="n">
        <f aca="false">INT(A2262/$N$1)</f>
        <v>125</v>
      </c>
      <c r="C2262" s="1" t="n">
        <f aca="false">INT(MOD(A2262,$N$1) / 2)</f>
        <v>5</v>
      </c>
      <c r="D2262" s="1" t="n">
        <f aca="false">_xlfn.BITAND(A2262,1)</f>
        <v>0</v>
      </c>
      <c r="F2262" s="1" t="str">
        <f aca="false">DEC2HEX(B2262*$N$3*18)</f>
        <v>23280</v>
      </c>
      <c r="G2262" s="1" t="str">
        <f aca="false">DEC2HEX(C2262*7)</f>
        <v>23</v>
      </c>
      <c r="H2262" s="1" t="n">
        <f aca="false">IF(D2262=0, 33, "cc")</f>
        <v>33</v>
      </c>
    </row>
    <row r="2263" customFormat="false" ht="18.65" hidden="false" customHeight="true" outlineLevel="0" collapsed="false">
      <c r="A2263" s="1" t="n">
        <f aca="false">ROW()-2</f>
        <v>2261</v>
      </c>
      <c r="B2263" s="1" t="n">
        <f aca="false">INT(A2263/$N$1)</f>
        <v>125</v>
      </c>
      <c r="C2263" s="1" t="n">
        <f aca="false">INT(MOD(A2263,$N$1) / 2)</f>
        <v>5</v>
      </c>
      <c r="D2263" s="1" t="n">
        <f aca="false">_xlfn.BITAND(A2263,1)</f>
        <v>1</v>
      </c>
      <c r="F2263" s="1" t="str">
        <f aca="false">DEC2HEX(B2263*$N$3*18)</f>
        <v>23280</v>
      </c>
      <c r="G2263" s="1" t="str">
        <f aca="false">DEC2HEX(C2263*7)</f>
        <v>23</v>
      </c>
      <c r="H2263" s="1" t="str">
        <f aca="false">IF(D2263=0, 33, "cc")</f>
        <v>cc</v>
      </c>
    </row>
    <row r="2264" customFormat="false" ht="18.65" hidden="false" customHeight="true" outlineLevel="0" collapsed="false">
      <c r="A2264" s="1" t="n">
        <f aca="false">ROW()-2</f>
        <v>2262</v>
      </c>
      <c r="B2264" s="1" t="n">
        <f aca="false">INT(A2264/$N$1)</f>
        <v>125</v>
      </c>
      <c r="C2264" s="1" t="n">
        <f aca="false">INT(MOD(A2264,$N$1) / 2)</f>
        <v>6</v>
      </c>
      <c r="D2264" s="1" t="n">
        <f aca="false">_xlfn.BITAND(A2264,1)</f>
        <v>0</v>
      </c>
      <c r="F2264" s="1" t="str">
        <f aca="false">DEC2HEX(B2264*$N$3*18)</f>
        <v>23280</v>
      </c>
      <c r="G2264" s="1" t="str">
        <f aca="false">DEC2HEX(C2264*7)</f>
        <v>2A</v>
      </c>
      <c r="H2264" s="1" t="n">
        <f aca="false">IF(D2264=0, 33, "cc")</f>
        <v>33</v>
      </c>
    </row>
    <row r="2265" customFormat="false" ht="18.65" hidden="false" customHeight="true" outlineLevel="0" collapsed="false">
      <c r="A2265" s="1" t="n">
        <f aca="false">ROW()-2</f>
        <v>2263</v>
      </c>
      <c r="B2265" s="1" t="n">
        <f aca="false">INT(A2265/$N$1)</f>
        <v>125</v>
      </c>
      <c r="C2265" s="1" t="n">
        <f aca="false">INT(MOD(A2265,$N$1) / 2)</f>
        <v>6</v>
      </c>
      <c r="D2265" s="1" t="n">
        <f aca="false">_xlfn.BITAND(A2265,1)</f>
        <v>1</v>
      </c>
      <c r="F2265" s="1" t="str">
        <f aca="false">DEC2HEX(B2265*$N$3*18)</f>
        <v>23280</v>
      </c>
      <c r="G2265" s="1" t="str">
        <f aca="false">DEC2HEX(C2265*7)</f>
        <v>2A</v>
      </c>
      <c r="H2265" s="1" t="str">
        <f aca="false">IF(D2265=0, 33, "cc")</f>
        <v>cc</v>
      </c>
    </row>
    <row r="2266" customFormat="false" ht="18.65" hidden="false" customHeight="true" outlineLevel="0" collapsed="false">
      <c r="A2266" s="1" t="n">
        <f aca="false">ROW()-2</f>
        <v>2264</v>
      </c>
      <c r="B2266" s="1" t="n">
        <f aca="false">INT(A2266/$N$1)</f>
        <v>125</v>
      </c>
      <c r="C2266" s="1" t="n">
        <f aca="false">INT(MOD(A2266,$N$1) / 2)</f>
        <v>7</v>
      </c>
      <c r="D2266" s="1" t="n">
        <f aca="false">_xlfn.BITAND(A2266,1)</f>
        <v>0</v>
      </c>
      <c r="F2266" s="1" t="str">
        <f aca="false">DEC2HEX(B2266*$N$3*18)</f>
        <v>23280</v>
      </c>
      <c r="G2266" s="1" t="str">
        <f aca="false">DEC2HEX(C2266*7)</f>
        <v>31</v>
      </c>
      <c r="H2266" s="1" t="n">
        <f aca="false">IF(D2266=0, 33, "cc")</f>
        <v>33</v>
      </c>
    </row>
    <row r="2267" customFormat="false" ht="18.65" hidden="false" customHeight="true" outlineLevel="0" collapsed="false">
      <c r="A2267" s="1" t="n">
        <f aca="false">ROW()-2</f>
        <v>2265</v>
      </c>
      <c r="B2267" s="1" t="n">
        <f aca="false">INT(A2267/$N$1)</f>
        <v>125</v>
      </c>
      <c r="C2267" s="1" t="n">
        <f aca="false">INT(MOD(A2267,$N$1) / 2)</f>
        <v>7</v>
      </c>
      <c r="D2267" s="1" t="n">
        <f aca="false">_xlfn.BITAND(A2267,1)</f>
        <v>1</v>
      </c>
      <c r="F2267" s="1" t="str">
        <f aca="false">DEC2HEX(B2267*$N$3*18)</f>
        <v>23280</v>
      </c>
      <c r="G2267" s="1" t="str">
        <f aca="false">DEC2HEX(C2267*7)</f>
        <v>31</v>
      </c>
      <c r="H2267" s="1" t="str">
        <f aca="false">IF(D2267=0, 33, "cc")</f>
        <v>cc</v>
      </c>
    </row>
    <row r="2268" customFormat="false" ht="18.65" hidden="false" customHeight="true" outlineLevel="0" collapsed="false">
      <c r="A2268" s="1" t="n">
        <f aca="false">ROW()-2</f>
        <v>2266</v>
      </c>
      <c r="B2268" s="1" t="n">
        <f aca="false">INT(A2268/$N$1)</f>
        <v>125</v>
      </c>
      <c r="C2268" s="1" t="n">
        <f aca="false">INT(MOD(A2268,$N$1) / 2)</f>
        <v>8</v>
      </c>
      <c r="D2268" s="1" t="n">
        <f aca="false">_xlfn.BITAND(A2268,1)</f>
        <v>0</v>
      </c>
      <c r="F2268" s="1" t="str">
        <f aca="false">DEC2HEX(B2268*$N$3*18)</f>
        <v>23280</v>
      </c>
      <c r="G2268" s="1" t="str">
        <f aca="false">DEC2HEX(C2268*7)</f>
        <v>38</v>
      </c>
      <c r="H2268" s="1" t="n">
        <f aca="false">IF(D2268=0, 33, "cc")</f>
        <v>33</v>
      </c>
    </row>
    <row r="2269" customFormat="false" ht="18.65" hidden="false" customHeight="true" outlineLevel="0" collapsed="false">
      <c r="A2269" s="1" t="n">
        <f aca="false">ROW()-2</f>
        <v>2267</v>
      </c>
      <c r="B2269" s="1" t="n">
        <f aca="false">INT(A2269/$N$1)</f>
        <v>125</v>
      </c>
      <c r="C2269" s="1" t="n">
        <f aca="false">INT(MOD(A2269,$N$1) / 2)</f>
        <v>8</v>
      </c>
      <c r="D2269" s="1" t="n">
        <f aca="false">_xlfn.BITAND(A2269,1)</f>
        <v>1</v>
      </c>
      <c r="F2269" s="1" t="str">
        <f aca="false">DEC2HEX(B2269*$N$3*18)</f>
        <v>23280</v>
      </c>
      <c r="G2269" s="1" t="str">
        <f aca="false">DEC2HEX(C2269*7)</f>
        <v>38</v>
      </c>
      <c r="H2269" s="1" t="str">
        <f aca="false">IF(D2269=0, 33, "cc")</f>
        <v>cc</v>
      </c>
    </row>
    <row r="2270" customFormat="false" ht="18.65" hidden="false" customHeight="true" outlineLevel="0" collapsed="false">
      <c r="A2270" s="1" t="n">
        <f aca="false">ROW()-2</f>
        <v>2268</v>
      </c>
      <c r="B2270" s="1" t="n">
        <f aca="false">INT(A2270/$N$1)</f>
        <v>126</v>
      </c>
      <c r="C2270" s="1" t="n">
        <f aca="false">INT(MOD(A2270,$N$1) / 2)</f>
        <v>0</v>
      </c>
      <c r="D2270" s="1" t="n">
        <f aca="false">_xlfn.BITAND(A2270,1)</f>
        <v>0</v>
      </c>
      <c r="F2270" s="1" t="str">
        <f aca="false">DEC2HEX(B2270*$N$3*18)</f>
        <v>23700</v>
      </c>
      <c r="G2270" s="1" t="str">
        <f aca="false">DEC2HEX(C2270*7)</f>
        <v>0</v>
      </c>
      <c r="H2270" s="1" t="n">
        <f aca="false">IF(D2270=0, 33, "cc")</f>
        <v>33</v>
      </c>
    </row>
    <row r="2271" customFormat="false" ht="18.65" hidden="false" customHeight="true" outlineLevel="0" collapsed="false">
      <c r="A2271" s="1" t="n">
        <f aca="false">ROW()-2</f>
        <v>2269</v>
      </c>
      <c r="B2271" s="1" t="n">
        <f aca="false">INT(A2271/$N$1)</f>
        <v>126</v>
      </c>
      <c r="C2271" s="1" t="n">
        <f aca="false">INT(MOD(A2271,$N$1) / 2)</f>
        <v>0</v>
      </c>
      <c r="D2271" s="1" t="n">
        <f aca="false">_xlfn.BITAND(A2271,1)</f>
        <v>1</v>
      </c>
      <c r="F2271" s="1" t="str">
        <f aca="false">DEC2HEX(B2271*$N$3*18)</f>
        <v>23700</v>
      </c>
      <c r="G2271" s="1" t="str">
        <f aca="false">DEC2HEX(C2271*7)</f>
        <v>0</v>
      </c>
      <c r="H2271" s="1" t="str">
        <f aca="false">IF(D2271=0, 33, "cc")</f>
        <v>cc</v>
      </c>
    </row>
    <row r="2272" customFormat="false" ht="18.65" hidden="false" customHeight="true" outlineLevel="0" collapsed="false">
      <c r="A2272" s="1" t="n">
        <f aca="false">ROW()-2</f>
        <v>2270</v>
      </c>
      <c r="B2272" s="1" t="n">
        <f aca="false">INT(A2272/$N$1)</f>
        <v>126</v>
      </c>
      <c r="C2272" s="1" t="n">
        <f aca="false">INT(MOD(A2272,$N$1) / 2)</f>
        <v>1</v>
      </c>
      <c r="D2272" s="1" t="n">
        <f aca="false">_xlfn.BITAND(A2272,1)</f>
        <v>0</v>
      </c>
      <c r="F2272" s="1" t="str">
        <f aca="false">DEC2HEX(B2272*$N$3*18)</f>
        <v>23700</v>
      </c>
      <c r="G2272" s="1" t="str">
        <f aca="false">DEC2HEX(C2272*7)</f>
        <v>7</v>
      </c>
      <c r="H2272" s="1" t="n">
        <f aca="false">IF(D2272=0, 33, "cc")</f>
        <v>33</v>
      </c>
    </row>
    <row r="2273" customFormat="false" ht="18.65" hidden="false" customHeight="true" outlineLevel="0" collapsed="false">
      <c r="A2273" s="1" t="n">
        <f aca="false">ROW()-2</f>
        <v>2271</v>
      </c>
      <c r="B2273" s="1" t="n">
        <f aca="false">INT(A2273/$N$1)</f>
        <v>126</v>
      </c>
      <c r="C2273" s="1" t="n">
        <f aca="false">INT(MOD(A2273,$N$1) / 2)</f>
        <v>1</v>
      </c>
      <c r="D2273" s="1" t="n">
        <f aca="false">_xlfn.BITAND(A2273,1)</f>
        <v>1</v>
      </c>
      <c r="F2273" s="1" t="str">
        <f aca="false">DEC2HEX(B2273*$N$3*18)</f>
        <v>23700</v>
      </c>
      <c r="G2273" s="1" t="str">
        <f aca="false">DEC2HEX(C2273*7)</f>
        <v>7</v>
      </c>
      <c r="H2273" s="1" t="str">
        <f aca="false">IF(D2273=0, 33, "cc")</f>
        <v>cc</v>
      </c>
    </row>
    <row r="2274" customFormat="false" ht="18.65" hidden="false" customHeight="true" outlineLevel="0" collapsed="false">
      <c r="A2274" s="1" t="n">
        <f aca="false">ROW()-2</f>
        <v>2272</v>
      </c>
      <c r="B2274" s="1" t="n">
        <f aca="false">INT(A2274/$N$1)</f>
        <v>126</v>
      </c>
      <c r="C2274" s="1" t="n">
        <f aca="false">INT(MOD(A2274,$N$1) / 2)</f>
        <v>2</v>
      </c>
      <c r="D2274" s="1" t="n">
        <f aca="false">_xlfn.BITAND(A2274,1)</f>
        <v>0</v>
      </c>
      <c r="F2274" s="1" t="str">
        <f aca="false">DEC2HEX(B2274*$N$3*18)</f>
        <v>23700</v>
      </c>
      <c r="G2274" s="1" t="str">
        <f aca="false">DEC2HEX(C2274*7)</f>
        <v>E</v>
      </c>
      <c r="H2274" s="1" t="n">
        <f aca="false">IF(D2274=0, 33, "cc")</f>
        <v>33</v>
      </c>
    </row>
    <row r="2275" customFormat="false" ht="18.65" hidden="false" customHeight="true" outlineLevel="0" collapsed="false">
      <c r="A2275" s="1" t="n">
        <f aca="false">ROW()-2</f>
        <v>2273</v>
      </c>
      <c r="B2275" s="1" t="n">
        <f aca="false">INT(A2275/$N$1)</f>
        <v>126</v>
      </c>
      <c r="C2275" s="1" t="n">
        <f aca="false">INT(MOD(A2275,$N$1) / 2)</f>
        <v>2</v>
      </c>
      <c r="D2275" s="1" t="n">
        <f aca="false">_xlfn.BITAND(A2275,1)</f>
        <v>1</v>
      </c>
      <c r="F2275" s="1" t="str">
        <f aca="false">DEC2HEX(B2275*$N$3*18)</f>
        <v>23700</v>
      </c>
      <c r="G2275" s="1" t="str">
        <f aca="false">DEC2HEX(C2275*7)</f>
        <v>E</v>
      </c>
      <c r="H2275" s="1" t="str">
        <f aca="false">IF(D2275=0, 33, "cc")</f>
        <v>cc</v>
      </c>
    </row>
    <row r="2276" customFormat="false" ht="18.65" hidden="false" customHeight="true" outlineLevel="0" collapsed="false">
      <c r="A2276" s="1" t="n">
        <f aca="false">ROW()-2</f>
        <v>2274</v>
      </c>
      <c r="B2276" s="1" t="n">
        <f aca="false">INT(A2276/$N$1)</f>
        <v>126</v>
      </c>
      <c r="C2276" s="1" t="n">
        <f aca="false">INT(MOD(A2276,$N$1) / 2)</f>
        <v>3</v>
      </c>
      <c r="D2276" s="1" t="n">
        <f aca="false">_xlfn.BITAND(A2276,1)</f>
        <v>0</v>
      </c>
      <c r="F2276" s="1" t="str">
        <f aca="false">DEC2HEX(B2276*$N$3*18)</f>
        <v>23700</v>
      </c>
      <c r="G2276" s="1" t="str">
        <f aca="false">DEC2HEX(C2276*7)</f>
        <v>15</v>
      </c>
      <c r="H2276" s="1" t="n">
        <f aca="false">IF(D2276=0, 33, "cc")</f>
        <v>33</v>
      </c>
    </row>
    <row r="2277" customFormat="false" ht="18.65" hidden="false" customHeight="true" outlineLevel="0" collapsed="false">
      <c r="A2277" s="1" t="n">
        <f aca="false">ROW()-2</f>
        <v>2275</v>
      </c>
      <c r="B2277" s="1" t="n">
        <f aca="false">INT(A2277/$N$1)</f>
        <v>126</v>
      </c>
      <c r="C2277" s="1" t="n">
        <f aca="false">INT(MOD(A2277,$N$1) / 2)</f>
        <v>3</v>
      </c>
      <c r="D2277" s="1" t="n">
        <f aca="false">_xlfn.BITAND(A2277,1)</f>
        <v>1</v>
      </c>
      <c r="F2277" s="1" t="str">
        <f aca="false">DEC2HEX(B2277*$N$3*18)</f>
        <v>23700</v>
      </c>
      <c r="G2277" s="1" t="str">
        <f aca="false">DEC2HEX(C2277*7)</f>
        <v>15</v>
      </c>
      <c r="H2277" s="1" t="str">
        <f aca="false">IF(D2277=0, 33, "cc")</f>
        <v>cc</v>
      </c>
    </row>
    <row r="2278" customFormat="false" ht="18.65" hidden="false" customHeight="true" outlineLevel="0" collapsed="false">
      <c r="A2278" s="1" t="n">
        <f aca="false">ROW()-2</f>
        <v>2276</v>
      </c>
      <c r="B2278" s="1" t="n">
        <f aca="false">INT(A2278/$N$1)</f>
        <v>126</v>
      </c>
      <c r="C2278" s="1" t="n">
        <f aca="false">INT(MOD(A2278,$N$1) / 2)</f>
        <v>4</v>
      </c>
      <c r="D2278" s="1" t="n">
        <f aca="false">_xlfn.BITAND(A2278,1)</f>
        <v>0</v>
      </c>
      <c r="F2278" s="1" t="str">
        <f aca="false">DEC2HEX(B2278*$N$3*18)</f>
        <v>23700</v>
      </c>
      <c r="G2278" s="1" t="str">
        <f aca="false">DEC2HEX(C2278*7)</f>
        <v>1C</v>
      </c>
      <c r="H2278" s="1" t="n">
        <f aca="false">IF(D2278=0, 33, "cc")</f>
        <v>33</v>
      </c>
    </row>
    <row r="2279" customFormat="false" ht="18.65" hidden="false" customHeight="true" outlineLevel="0" collapsed="false">
      <c r="A2279" s="1" t="n">
        <f aca="false">ROW()-2</f>
        <v>2277</v>
      </c>
      <c r="B2279" s="1" t="n">
        <f aca="false">INT(A2279/$N$1)</f>
        <v>126</v>
      </c>
      <c r="C2279" s="1" t="n">
        <f aca="false">INT(MOD(A2279,$N$1) / 2)</f>
        <v>4</v>
      </c>
      <c r="D2279" s="1" t="n">
        <f aca="false">_xlfn.BITAND(A2279,1)</f>
        <v>1</v>
      </c>
      <c r="F2279" s="1" t="str">
        <f aca="false">DEC2HEX(B2279*$N$3*18)</f>
        <v>23700</v>
      </c>
      <c r="G2279" s="1" t="str">
        <f aca="false">DEC2HEX(C2279*7)</f>
        <v>1C</v>
      </c>
      <c r="H2279" s="1" t="str">
        <f aca="false">IF(D2279=0, 33, "cc")</f>
        <v>cc</v>
      </c>
    </row>
    <row r="2280" customFormat="false" ht="18.65" hidden="false" customHeight="true" outlineLevel="0" collapsed="false">
      <c r="A2280" s="1" t="n">
        <f aca="false">ROW()-2</f>
        <v>2278</v>
      </c>
      <c r="B2280" s="1" t="n">
        <f aca="false">INT(A2280/$N$1)</f>
        <v>126</v>
      </c>
      <c r="C2280" s="1" t="n">
        <f aca="false">INT(MOD(A2280,$N$1) / 2)</f>
        <v>5</v>
      </c>
      <c r="D2280" s="1" t="n">
        <f aca="false">_xlfn.BITAND(A2280,1)</f>
        <v>0</v>
      </c>
      <c r="F2280" s="1" t="str">
        <f aca="false">DEC2HEX(B2280*$N$3*18)</f>
        <v>23700</v>
      </c>
      <c r="G2280" s="1" t="str">
        <f aca="false">DEC2HEX(C2280*7)</f>
        <v>23</v>
      </c>
      <c r="H2280" s="1" t="n">
        <f aca="false">IF(D2280=0, 33, "cc")</f>
        <v>33</v>
      </c>
    </row>
    <row r="2281" customFormat="false" ht="18.65" hidden="false" customHeight="true" outlineLevel="0" collapsed="false">
      <c r="A2281" s="1" t="n">
        <f aca="false">ROW()-2</f>
        <v>2279</v>
      </c>
      <c r="B2281" s="1" t="n">
        <f aca="false">INT(A2281/$N$1)</f>
        <v>126</v>
      </c>
      <c r="C2281" s="1" t="n">
        <f aca="false">INT(MOD(A2281,$N$1) / 2)</f>
        <v>5</v>
      </c>
      <c r="D2281" s="1" t="n">
        <f aca="false">_xlfn.BITAND(A2281,1)</f>
        <v>1</v>
      </c>
      <c r="F2281" s="1" t="str">
        <f aca="false">DEC2HEX(B2281*$N$3*18)</f>
        <v>23700</v>
      </c>
      <c r="G2281" s="1" t="str">
        <f aca="false">DEC2HEX(C2281*7)</f>
        <v>23</v>
      </c>
      <c r="H2281" s="1" t="str">
        <f aca="false">IF(D2281=0, 33, "cc")</f>
        <v>cc</v>
      </c>
    </row>
    <row r="2282" customFormat="false" ht="18.65" hidden="false" customHeight="true" outlineLevel="0" collapsed="false">
      <c r="A2282" s="1" t="n">
        <f aca="false">ROW()-2</f>
        <v>2280</v>
      </c>
      <c r="B2282" s="1" t="n">
        <f aca="false">INT(A2282/$N$1)</f>
        <v>126</v>
      </c>
      <c r="C2282" s="1" t="n">
        <f aca="false">INT(MOD(A2282,$N$1) / 2)</f>
        <v>6</v>
      </c>
      <c r="D2282" s="1" t="n">
        <f aca="false">_xlfn.BITAND(A2282,1)</f>
        <v>0</v>
      </c>
      <c r="F2282" s="1" t="str">
        <f aca="false">DEC2HEX(B2282*$N$3*18)</f>
        <v>23700</v>
      </c>
      <c r="G2282" s="1" t="str">
        <f aca="false">DEC2HEX(C2282*7)</f>
        <v>2A</v>
      </c>
      <c r="H2282" s="1" t="n">
        <f aca="false">IF(D2282=0, 33, "cc")</f>
        <v>33</v>
      </c>
    </row>
    <row r="2283" customFormat="false" ht="18.65" hidden="false" customHeight="true" outlineLevel="0" collapsed="false">
      <c r="A2283" s="1" t="n">
        <f aca="false">ROW()-2</f>
        <v>2281</v>
      </c>
      <c r="B2283" s="1" t="n">
        <f aca="false">INT(A2283/$N$1)</f>
        <v>126</v>
      </c>
      <c r="C2283" s="1" t="n">
        <f aca="false">INT(MOD(A2283,$N$1) / 2)</f>
        <v>6</v>
      </c>
      <c r="D2283" s="1" t="n">
        <f aca="false">_xlfn.BITAND(A2283,1)</f>
        <v>1</v>
      </c>
      <c r="F2283" s="1" t="str">
        <f aca="false">DEC2HEX(B2283*$N$3*18)</f>
        <v>23700</v>
      </c>
      <c r="G2283" s="1" t="str">
        <f aca="false">DEC2HEX(C2283*7)</f>
        <v>2A</v>
      </c>
      <c r="H2283" s="1" t="str">
        <f aca="false">IF(D2283=0, 33, "cc")</f>
        <v>cc</v>
      </c>
    </row>
    <row r="2284" customFormat="false" ht="18.65" hidden="false" customHeight="true" outlineLevel="0" collapsed="false">
      <c r="A2284" s="1" t="n">
        <f aca="false">ROW()-2</f>
        <v>2282</v>
      </c>
      <c r="B2284" s="1" t="n">
        <f aca="false">INT(A2284/$N$1)</f>
        <v>126</v>
      </c>
      <c r="C2284" s="1" t="n">
        <f aca="false">INT(MOD(A2284,$N$1) / 2)</f>
        <v>7</v>
      </c>
      <c r="D2284" s="1" t="n">
        <f aca="false">_xlfn.BITAND(A2284,1)</f>
        <v>0</v>
      </c>
      <c r="F2284" s="1" t="str">
        <f aca="false">DEC2HEX(B2284*$N$3*18)</f>
        <v>23700</v>
      </c>
      <c r="G2284" s="1" t="str">
        <f aca="false">DEC2HEX(C2284*7)</f>
        <v>31</v>
      </c>
      <c r="H2284" s="1" t="n">
        <f aca="false">IF(D2284=0, 33, "cc")</f>
        <v>33</v>
      </c>
    </row>
    <row r="2285" customFormat="false" ht="18.65" hidden="false" customHeight="true" outlineLevel="0" collapsed="false">
      <c r="A2285" s="1" t="n">
        <f aca="false">ROW()-2</f>
        <v>2283</v>
      </c>
      <c r="B2285" s="1" t="n">
        <f aca="false">INT(A2285/$N$1)</f>
        <v>126</v>
      </c>
      <c r="C2285" s="1" t="n">
        <f aca="false">INT(MOD(A2285,$N$1) / 2)</f>
        <v>7</v>
      </c>
      <c r="D2285" s="1" t="n">
        <f aca="false">_xlfn.BITAND(A2285,1)</f>
        <v>1</v>
      </c>
      <c r="F2285" s="1" t="str">
        <f aca="false">DEC2HEX(B2285*$N$3*18)</f>
        <v>23700</v>
      </c>
      <c r="G2285" s="1" t="str">
        <f aca="false">DEC2HEX(C2285*7)</f>
        <v>31</v>
      </c>
      <c r="H2285" s="1" t="str">
        <f aca="false">IF(D2285=0, 33, "cc")</f>
        <v>cc</v>
      </c>
    </row>
    <row r="2286" customFormat="false" ht="18.65" hidden="false" customHeight="true" outlineLevel="0" collapsed="false">
      <c r="A2286" s="1" t="n">
        <f aca="false">ROW()-2</f>
        <v>2284</v>
      </c>
      <c r="B2286" s="1" t="n">
        <f aca="false">INT(A2286/$N$1)</f>
        <v>126</v>
      </c>
      <c r="C2286" s="1" t="n">
        <f aca="false">INT(MOD(A2286,$N$1) / 2)</f>
        <v>8</v>
      </c>
      <c r="D2286" s="1" t="n">
        <f aca="false">_xlfn.BITAND(A2286,1)</f>
        <v>0</v>
      </c>
      <c r="F2286" s="1" t="str">
        <f aca="false">DEC2HEX(B2286*$N$3*18)</f>
        <v>23700</v>
      </c>
      <c r="G2286" s="1" t="str">
        <f aca="false">DEC2HEX(C2286*7)</f>
        <v>38</v>
      </c>
      <c r="H2286" s="1" t="n">
        <f aca="false">IF(D2286=0, 33, "cc")</f>
        <v>33</v>
      </c>
    </row>
    <row r="2287" customFormat="false" ht="18.65" hidden="false" customHeight="true" outlineLevel="0" collapsed="false">
      <c r="A2287" s="1" t="n">
        <f aca="false">ROW()-2</f>
        <v>2285</v>
      </c>
      <c r="B2287" s="1" t="n">
        <f aca="false">INT(A2287/$N$1)</f>
        <v>126</v>
      </c>
      <c r="C2287" s="1" t="n">
        <f aca="false">INT(MOD(A2287,$N$1) / 2)</f>
        <v>8</v>
      </c>
      <c r="D2287" s="1" t="n">
        <f aca="false">_xlfn.BITAND(A2287,1)</f>
        <v>1</v>
      </c>
      <c r="F2287" s="1" t="str">
        <f aca="false">DEC2HEX(B2287*$N$3*18)</f>
        <v>23700</v>
      </c>
      <c r="G2287" s="1" t="str">
        <f aca="false">DEC2HEX(C2287*7)</f>
        <v>38</v>
      </c>
      <c r="H2287" s="1" t="str">
        <f aca="false">IF(D2287=0, 33, "cc")</f>
        <v>cc</v>
      </c>
    </row>
    <row r="2288" customFormat="false" ht="18.65" hidden="false" customHeight="true" outlineLevel="0" collapsed="false">
      <c r="A2288" s="1" t="n">
        <f aca="false">ROW()-2</f>
        <v>2286</v>
      </c>
      <c r="B2288" s="1" t="n">
        <f aca="false">INT(A2288/$N$1)</f>
        <v>127</v>
      </c>
      <c r="C2288" s="1" t="n">
        <f aca="false">INT(MOD(A2288,$N$1) / 2)</f>
        <v>0</v>
      </c>
      <c r="D2288" s="1" t="n">
        <f aca="false">_xlfn.BITAND(A2288,1)</f>
        <v>0</v>
      </c>
      <c r="F2288" s="1" t="str">
        <f aca="false">DEC2HEX(B2288*$N$3*18)</f>
        <v>23B80</v>
      </c>
      <c r="G2288" s="1" t="str">
        <f aca="false">DEC2HEX(C2288*7)</f>
        <v>0</v>
      </c>
      <c r="H2288" s="1" t="n">
        <f aca="false">IF(D2288=0, 33, "cc")</f>
        <v>33</v>
      </c>
    </row>
    <row r="2289" customFormat="false" ht="18.65" hidden="false" customHeight="true" outlineLevel="0" collapsed="false">
      <c r="A2289" s="1" t="n">
        <f aca="false">ROW()-2</f>
        <v>2287</v>
      </c>
      <c r="B2289" s="1" t="n">
        <f aca="false">INT(A2289/$N$1)</f>
        <v>127</v>
      </c>
      <c r="C2289" s="1" t="n">
        <f aca="false">INT(MOD(A2289,$N$1) / 2)</f>
        <v>0</v>
      </c>
      <c r="D2289" s="1" t="n">
        <f aca="false">_xlfn.BITAND(A2289,1)</f>
        <v>1</v>
      </c>
      <c r="F2289" s="1" t="str">
        <f aca="false">DEC2HEX(B2289*$N$3*18)</f>
        <v>23B80</v>
      </c>
      <c r="G2289" s="1" t="str">
        <f aca="false">DEC2HEX(C2289*7)</f>
        <v>0</v>
      </c>
      <c r="H2289" s="1" t="str">
        <f aca="false">IF(D2289=0, 33, "cc")</f>
        <v>cc</v>
      </c>
    </row>
    <row r="2290" customFormat="false" ht="18.65" hidden="false" customHeight="true" outlineLevel="0" collapsed="false">
      <c r="A2290" s="1" t="n">
        <f aca="false">ROW()-2</f>
        <v>2288</v>
      </c>
      <c r="B2290" s="1" t="n">
        <f aca="false">INT(A2290/$N$1)</f>
        <v>127</v>
      </c>
      <c r="C2290" s="1" t="n">
        <f aca="false">INT(MOD(A2290,$N$1) / 2)</f>
        <v>1</v>
      </c>
      <c r="D2290" s="1" t="n">
        <f aca="false">_xlfn.BITAND(A2290,1)</f>
        <v>0</v>
      </c>
      <c r="F2290" s="1" t="str">
        <f aca="false">DEC2HEX(B2290*$N$3*18)</f>
        <v>23B80</v>
      </c>
      <c r="G2290" s="1" t="str">
        <f aca="false">DEC2HEX(C2290*7)</f>
        <v>7</v>
      </c>
      <c r="H2290" s="1" t="n">
        <f aca="false">IF(D2290=0, 33, "cc")</f>
        <v>33</v>
      </c>
    </row>
    <row r="2291" customFormat="false" ht="18.65" hidden="false" customHeight="true" outlineLevel="0" collapsed="false">
      <c r="A2291" s="1" t="n">
        <f aca="false">ROW()-2</f>
        <v>2289</v>
      </c>
      <c r="B2291" s="1" t="n">
        <f aca="false">INT(A2291/$N$1)</f>
        <v>127</v>
      </c>
      <c r="C2291" s="1" t="n">
        <f aca="false">INT(MOD(A2291,$N$1) / 2)</f>
        <v>1</v>
      </c>
      <c r="D2291" s="1" t="n">
        <f aca="false">_xlfn.BITAND(A2291,1)</f>
        <v>1</v>
      </c>
      <c r="F2291" s="1" t="str">
        <f aca="false">DEC2HEX(B2291*$N$3*18)</f>
        <v>23B80</v>
      </c>
      <c r="G2291" s="1" t="str">
        <f aca="false">DEC2HEX(C2291*7)</f>
        <v>7</v>
      </c>
      <c r="H2291" s="1" t="str">
        <f aca="false">IF(D2291=0, 33, "cc")</f>
        <v>cc</v>
      </c>
    </row>
    <row r="2292" customFormat="false" ht="18.65" hidden="false" customHeight="true" outlineLevel="0" collapsed="false">
      <c r="A2292" s="1" t="n">
        <f aca="false">ROW()-2</f>
        <v>2290</v>
      </c>
      <c r="B2292" s="1" t="n">
        <f aca="false">INT(A2292/$N$1)</f>
        <v>127</v>
      </c>
      <c r="C2292" s="1" t="n">
        <f aca="false">INT(MOD(A2292,$N$1) / 2)</f>
        <v>2</v>
      </c>
      <c r="D2292" s="1" t="n">
        <f aca="false">_xlfn.BITAND(A2292,1)</f>
        <v>0</v>
      </c>
      <c r="F2292" s="1" t="str">
        <f aca="false">DEC2HEX(B2292*$N$3*18)</f>
        <v>23B80</v>
      </c>
      <c r="G2292" s="1" t="str">
        <f aca="false">DEC2HEX(C2292*7)</f>
        <v>E</v>
      </c>
      <c r="H2292" s="1" t="n">
        <f aca="false">IF(D2292=0, 33, "cc")</f>
        <v>33</v>
      </c>
    </row>
    <row r="2293" customFormat="false" ht="18.65" hidden="false" customHeight="true" outlineLevel="0" collapsed="false">
      <c r="A2293" s="1" t="n">
        <f aca="false">ROW()-2</f>
        <v>2291</v>
      </c>
      <c r="B2293" s="1" t="n">
        <f aca="false">INT(A2293/$N$1)</f>
        <v>127</v>
      </c>
      <c r="C2293" s="1" t="n">
        <f aca="false">INT(MOD(A2293,$N$1) / 2)</f>
        <v>2</v>
      </c>
      <c r="D2293" s="1" t="n">
        <f aca="false">_xlfn.BITAND(A2293,1)</f>
        <v>1</v>
      </c>
      <c r="F2293" s="1" t="str">
        <f aca="false">DEC2HEX(B2293*$N$3*18)</f>
        <v>23B80</v>
      </c>
      <c r="G2293" s="1" t="str">
        <f aca="false">DEC2HEX(C2293*7)</f>
        <v>E</v>
      </c>
      <c r="H2293" s="1" t="str">
        <f aca="false">IF(D2293=0, 33, "cc")</f>
        <v>cc</v>
      </c>
    </row>
    <row r="2294" customFormat="false" ht="18.65" hidden="false" customHeight="true" outlineLevel="0" collapsed="false">
      <c r="A2294" s="1" t="n">
        <f aca="false">ROW()-2</f>
        <v>2292</v>
      </c>
      <c r="B2294" s="1" t="n">
        <f aca="false">INT(A2294/$N$1)</f>
        <v>127</v>
      </c>
      <c r="C2294" s="1" t="n">
        <f aca="false">INT(MOD(A2294,$N$1) / 2)</f>
        <v>3</v>
      </c>
      <c r="D2294" s="1" t="n">
        <f aca="false">_xlfn.BITAND(A2294,1)</f>
        <v>0</v>
      </c>
      <c r="F2294" s="1" t="str">
        <f aca="false">DEC2HEX(B2294*$N$3*18)</f>
        <v>23B80</v>
      </c>
      <c r="G2294" s="1" t="str">
        <f aca="false">DEC2HEX(C2294*7)</f>
        <v>15</v>
      </c>
      <c r="H2294" s="1" t="n">
        <f aca="false">IF(D2294=0, 33, "cc")</f>
        <v>33</v>
      </c>
    </row>
    <row r="2295" customFormat="false" ht="18.65" hidden="false" customHeight="true" outlineLevel="0" collapsed="false">
      <c r="A2295" s="1" t="n">
        <f aca="false">ROW()-2</f>
        <v>2293</v>
      </c>
      <c r="B2295" s="1" t="n">
        <f aca="false">INT(A2295/$N$1)</f>
        <v>127</v>
      </c>
      <c r="C2295" s="1" t="n">
        <f aca="false">INT(MOD(A2295,$N$1) / 2)</f>
        <v>3</v>
      </c>
      <c r="D2295" s="1" t="n">
        <f aca="false">_xlfn.BITAND(A2295,1)</f>
        <v>1</v>
      </c>
      <c r="F2295" s="1" t="str">
        <f aca="false">DEC2HEX(B2295*$N$3*18)</f>
        <v>23B80</v>
      </c>
      <c r="G2295" s="1" t="str">
        <f aca="false">DEC2HEX(C2295*7)</f>
        <v>15</v>
      </c>
      <c r="H2295" s="1" t="str">
        <f aca="false">IF(D2295=0, 33, "cc")</f>
        <v>cc</v>
      </c>
    </row>
    <row r="2296" customFormat="false" ht="18.65" hidden="false" customHeight="true" outlineLevel="0" collapsed="false">
      <c r="A2296" s="1" t="n">
        <f aca="false">ROW()-2</f>
        <v>2294</v>
      </c>
      <c r="B2296" s="1" t="n">
        <f aca="false">INT(A2296/$N$1)</f>
        <v>127</v>
      </c>
      <c r="C2296" s="1" t="n">
        <f aca="false">INT(MOD(A2296,$N$1) / 2)</f>
        <v>4</v>
      </c>
      <c r="D2296" s="1" t="n">
        <f aca="false">_xlfn.BITAND(A2296,1)</f>
        <v>0</v>
      </c>
      <c r="F2296" s="1" t="str">
        <f aca="false">DEC2HEX(B2296*$N$3*18)</f>
        <v>23B80</v>
      </c>
      <c r="G2296" s="1" t="str">
        <f aca="false">DEC2HEX(C2296*7)</f>
        <v>1C</v>
      </c>
      <c r="H2296" s="1" t="n">
        <f aca="false">IF(D2296=0, 33, "cc")</f>
        <v>33</v>
      </c>
    </row>
    <row r="2297" customFormat="false" ht="18.65" hidden="false" customHeight="true" outlineLevel="0" collapsed="false">
      <c r="A2297" s="1" t="n">
        <f aca="false">ROW()-2</f>
        <v>2295</v>
      </c>
      <c r="B2297" s="1" t="n">
        <f aca="false">INT(A2297/$N$1)</f>
        <v>127</v>
      </c>
      <c r="C2297" s="1" t="n">
        <f aca="false">INT(MOD(A2297,$N$1) / 2)</f>
        <v>4</v>
      </c>
      <c r="D2297" s="1" t="n">
        <f aca="false">_xlfn.BITAND(A2297,1)</f>
        <v>1</v>
      </c>
      <c r="F2297" s="1" t="str">
        <f aca="false">DEC2HEX(B2297*$N$3*18)</f>
        <v>23B80</v>
      </c>
      <c r="G2297" s="1" t="str">
        <f aca="false">DEC2HEX(C2297*7)</f>
        <v>1C</v>
      </c>
      <c r="H2297" s="1" t="str">
        <f aca="false">IF(D2297=0, 33, "cc")</f>
        <v>cc</v>
      </c>
    </row>
    <row r="2298" customFormat="false" ht="18.65" hidden="false" customHeight="true" outlineLevel="0" collapsed="false">
      <c r="A2298" s="1" t="n">
        <f aca="false">ROW()-2</f>
        <v>2296</v>
      </c>
      <c r="B2298" s="1" t="n">
        <f aca="false">INT(A2298/$N$1)</f>
        <v>127</v>
      </c>
      <c r="C2298" s="1" t="n">
        <f aca="false">INT(MOD(A2298,$N$1) / 2)</f>
        <v>5</v>
      </c>
      <c r="D2298" s="1" t="n">
        <f aca="false">_xlfn.BITAND(A2298,1)</f>
        <v>0</v>
      </c>
      <c r="F2298" s="1" t="str">
        <f aca="false">DEC2HEX(B2298*$N$3*18)</f>
        <v>23B80</v>
      </c>
      <c r="G2298" s="1" t="str">
        <f aca="false">DEC2HEX(C2298*7)</f>
        <v>23</v>
      </c>
      <c r="H2298" s="1" t="n">
        <f aca="false">IF(D2298=0, 33, "cc")</f>
        <v>33</v>
      </c>
    </row>
    <row r="2299" customFormat="false" ht="18.65" hidden="false" customHeight="true" outlineLevel="0" collapsed="false">
      <c r="A2299" s="1" t="n">
        <f aca="false">ROW()-2</f>
        <v>2297</v>
      </c>
      <c r="B2299" s="1" t="n">
        <f aca="false">INT(A2299/$N$1)</f>
        <v>127</v>
      </c>
      <c r="C2299" s="1" t="n">
        <f aca="false">INT(MOD(A2299,$N$1) / 2)</f>
        <v>5</v>
      </c>
      <c r="D2299" s="1" t="n">
        <f aca="false">_xlfn.BITAND(A2299,1)</f>
        <v>1</v>
      </c>
      <c r="F2299" s="1" t="str">
        <f aca="false">DEC2HEX(B2299*$N$3*18)</f>
        <v>23B80</v>
      </c>
      <c r="G2299" s="1" t="str">
        <f aca="false">DEC2HEX(C2299*7)</f>
        <v>23</v>
      </c>
      <c r="H2299" s="1" t="str">
        <f aca="false">IF(D2299=0, 33, "cc")</f>
        <v>cc</v>
      </c>
    </row>
    <row r="2300" customFormat="false" ht="18.65" hidden="false" customHeight="true" outlineLevel="0" collapsed="false">
      <c r="A2300" s="1" t="n">
        <f aca="false">ROW()-2</f>
        <v>2298</v>
      </c>
      <c r="B2300" s="1" t="n">
        <f aca="false">INT(A2300/$N$1)</f>
        <v>127</v>
      </c>
      <c r="C2300" s="1" t="n">
        <f aca="false">INT(MOD(A2300,$N$1) / 2)</f>
        <v>6</v>
      </c>
      <c r="D2300" s="1" t="n">
        <f aca="false">_xlfn.BITAND(A2300,1)</f>
        <v>0</v>
      </c>
      <c r="F2300" s="1" t="str">
        <f aca="false">DEC2HEX(B2300*$N$3*18)</f>
        <v>23B80</v>
      </c>
      <c r="G2300" s="1" t="str">
        <f aca="false">DEC2HEX(C2300*7)</f>
        <v>2A</v>
      </c>
      <c r="H2300" s="1" t="n">
        <f aca="false">IF(D2300=0, 33, "cc")</f>
        <v>33</v>
      </c>
    </row>
    <row r="2301" customFormat="false" ht="18.65" hidden="false" customHeight="true" outlineLevel="0" collapsed="false">
      <c r="A2301" s="1" t="n">
        <f aca="false">ROW()-2</f>
        <v>2299</v>
      </c>
      <c r="B2301" s="1" t="n">
        <f aca="false">INT(A2301/$N$1)</f>
        <v>127</v>
      </c>
      <c r="C2301" s="1" t="n">
        <f aca="false">INT(MOD(A2301,$N$1) / 2)</f>
        <v>6</v>
      </c>
      <c r="D2301" s="1" t="n">
        <f aca="false">_xlfn.BITAND(A2301,1)</f>
        <v>1</v>
      </c>
      <c r="F2301" s="1" t="str">
        <f aca="false">DEC2HEX(B2301*$N$3*18)</f>
        <v>23B80</v>
      </c>
      <c r="G2301" s="1" t="str">
        <f aca="false">DEC2HEX(C2301*7)</f>
        <v>2A</v>
      </c>
      <c r="H2301" s="1" t="str">
        <f aca="false">IF(D2301=0, 33, "cc")</f>
        <v>cc</v>
      </c>
    </row>
    <row r="2302" customFormat="false" ht="18.65" hidden="false" customHeight="true" outlineLevel="0" collapsed="false">
      <c r="A2302" s="1" t="n">
        <f aca="false">ROW()-2</f>
        <v>2300</v>
      </c>
      <c r="B2302" s="1" t="n">
        <f aca="false">INT(A2302/$N$1)</f>
        <v>127</v>
      </c>
      <c r="C2302" s="1" t="n">
        <f aca="false">INT(MOD(A2302,$N$1) / 2)</f>
        <v>7</v>
      </c>
      <c r="D2302" s="1" t="n">
        <f aca="false">_xlfn.BITAND(A2302,1)</f>
        <v>0</v>
      </c>
      <c r="F2302" s="1" t="str">
        <f aca="false">DEC2HEX(B2302*$N$3*18)</f>
        <v>23B80</v>
      </c>
      <c r="G2302" s="1" t="str">
        <f aca="false">DEC2HEX(C2302*7)</f>
        <v>31</v>
      </c>
      <c r="H2302" s="1" t="n">
        <f aca="false">IF(D2302=0, 33, "cc")</f>
        <v>33</v>
      </c>
    </row>
    <row r="2303" customFormat="false" ht="18.65" hidden="false" customHeight="true" outlineLevel="0" collapsed="false">
      <c r="A2303" s="1" t="n">
        <f aca="false">ROW()-2</f>
        <v>2301</v>
      </c>
      <c r="B2303" s="1" t="n">
        <f aca="false">INT(A2303/$N$1)</f>
        <v>127</v>
      </c>
      <c r="C2303" s="1" t="n">
        <f aca="false">INT(MOD(A2303,$N$1) / 2)</f>
        <v>7</v>
      </c>
      <c r="D2303" s="1" t="n">
        <f aca="false">_xlfn.BITAND(A2303,1)</f>
        <v>1</v>
      </c>
      <c r="F2303" s="1" t="str">
        <f aca="false">DEC2HEX(B2303*$N$3*18)</f>
        <v>23B80</v>
      </c>
      <c r="G2303" s="1" t="str">
        <f aca="false">DEC2HEX(C2303*7)</f>
        <v>31</v>
      </c>
      <c r="H2303" s="1" t="str">
        <f aca="false">IF(D2303=0, 33, "cc")</f>
        <v>cc</v>
      </c>
    </row>
    <row r="2304" customFormat="false" ht="18.65" hidden="false" customHeight="true" outlineLevel="0" collapsed="false">
      <c r="A2304" s="1" t="n">
        <f aca="false">ROW()-2</f>
        <v>2302</v>
      </c>
      <c r="B2304" s="1" t="n">
        <f aca="false">INT(A2304/$N$1)</f>
        <v>127</v>
      </c>
      <c r="C2304" s="1" t="n">
        <f aca="false">INT(MOD(A2304,$N$1) / 2)</f>
        <v>8</v>
      </c>
      <c r="D2304" s="1" t="n">
        <f aca="false">_xlfn.BITAND(A2304,1)</f>
        <v>0</v>
      </c>
      <c r="F2304" s="1" t="str">
        <f aca="false">DEC2HEX(B2304*$N$3*18)</f>
        <v>23B80</v>
      </c>
      <c r="G2304" s="1" t="str">
        <f aca="false">DEC2HEX(C2304*7)</f>
        <v>38</v>
      </c>
      <c r="H2304" s="1" t="n">
        <f aca="false">IF(D2304=0, 33, "cc")</f>
        <v>33</v>
      </c>
    </row>
    <row r="2305" customFormat="false" ht="18.65" hidden="false" customHeight="true" outlineLevel="0" collapsed="false">
      <c r="A2305" s="1" t="n">
        <f aca="false">ROW()-2</f>
        <v>2303</v>
      </c>
      <c r="B2305" s="1" t="n">
        <f aca="false">INT(A2305/$N$1)</f>
        <v>127</v>
      </c>
      <c r="C2305" s="1" t="n">
        <f aca="false">INT(MOD(A2305,$N$1) / 2)</f>
        <v>8</v>
      </c>
      <c r="D2305" s="1" t="n">
        <f aca="false">_xlfn.BITAND(A2305,1)</f>
        <v>1</v>
      </c>
      <c r="F2305" s="1" t="str">
        <f aca="false">DEC2HEX(B2305*$N$3*18)</f>
        <v>23B80</v>
      </c>
      <c r="G2305" s="1" t="str">
        <f aca="false">DEC2HEX(C2305*7)</f>
        <v>38</v>
      </c>
      <c r="H2305" s="1" t="str">
        <f aca="false">IF(D2305=0, 33, "cc")</f>
        <v>cc</v>
      </c>
    </row>
    <row r="2306" customFormat="false" ht="18.65" hidden="false" customHeight="true" outlineLevel="0" collapsed="false">
      <c r="A2306" s="1" t="n">
        <f aca="false">ROW()-2</f>
        <v>2304</v>
      </c>
      <c r="B2306" s="1" t="n">
        <f aca="false">INT(A2306/$N$1)</f>
        <v>128</v>
      </c>
      <c r="C2306" s="1" t="n">
        <f aca="false">INT(MOD(A2306,$N$1) / 2)</f>
        <v>0</v>
      </c>
      <c r="D2306" s="1" t="n">
        <f aca="false">_xlfn.BITAND(A2306,1)</f>
        <v>0</v>
      </c>
      <c r="F2306" s="1" t="str">
        <f aca="false">DEC2HEX(B2306*$N$3*18)</f>
        <v>24000</v>
      </c>
      <c r="G2306" s="1" t="str">
        <f aca="false">DEC2HEX(C2306*7)</f>
        <v>0</v>
      </c>
      <c r="H2306" s="1" t="n">
        <f aca="false">IF(D2306=0, 33, "cc")</f>
        <v>33</v>
      </c>
    </row>
    <row r="2307" customFormat="false" ht="18.65" hidden="false" customHeight="true" outlineLevel="0" collapsed="false">
      <c r="A2307" s="1" t="n">
        <f aca="false">ROW()-2</f>
        <v>2305</v>
      </c>
      <c r="B2307" s="1" t="n">
        <f aca="false">INT(A2307/$N$1)</f>
        <v>128</v>
      </c>
      <c r="C2307" s="1" t="n">
        <f aca="false">INT(MOD(A2307,$N$1) / 2)</f>
        <v>0</v>
      </c>
      <c r="D2307" s="1" t="n">
        <f aca="false">_xlfn.BITAND(A2307,1)</f>
        <v>1</v>
      </c>
      <c r="F2307" s="1" t="str">
        <f aca="false">DEC2HEX(B2307*$N$3*18)</f>
        <v>24000</v>
      </c>
      <c r="G2307" s="1" t="str">
        <f aca="false">DEC2HEX(C2307*7)</f>
        <v>0</v>
      </c>
      <c r="H2307" s="1" t="str">
        <f aca="false">IF(D2307=0, 33, "cc")</f>
        <v>cc</v>
      </c>
    </row>
    <row r="2308" customFormat="false" ht="18.65" hidden="false" customHeight="true" outlineLevel="0" collapsed="false">
      <c r="A2308" s="1" t="n">
        <f aca="false">ROW()-2</f>
        <v>2306</v>
      </c>
      <c r="B2308" s="1" t="n">
        <f aca="false">INT(A2308/$N$1)</f>
        <v>128</v>
      </c>
      <c r="C2308" s="1" t="n">
        <f aca="false">INT(MOD(A2308,$N$1) / 2)</f>
        <v>1</v>
      </c>
      <c r="D2308" s="1" t="n">
        <f aca="false">_xlfn.BITAND(A2308,1)</f>
        <v>0</v>
      </c>
      <c r="F2308" s="1" t="str">
        <f aca="false">DEC2HEX(B2308*$N$3*18)</f>
        <v>24000</v>
      </c>
      <c r="G2308" s="1" t="str">
        <f aca="false">DEC2HEX(C2308*7)</f>
        <v>7</v>
      </c>
      <c r="H2308" s="1" t="n">
        <f aca="false">IF(D2308=0, 33, "cc")</f>
        <v>33</v>
      </c>
    </row>
    <row r="2309" customFormat="false" ht="18.65" hidden="false" customHeight="true" outlineLevel="0" collapsed="false">
      <c r="A2309" s="1" t="n">
        <f aca="false">ROW()-2</f>
        <v>2307</v>
      </c>
      <c r="B2309" s="1" t="n">
        <f aca="false">INT(A2309/$N$1)</f>
        <v>128</v>
      </c>
      <c r="C2309" s="1" t="n">
        <f aca="false">INT(MOD(A2309,$N$1) / 2)</f>
        <v>1</v>
      </c>
      <c r="D2309" s="1" t="n">
        <f aca="false">_xlfn.BITAND(A2309,1)</f>
        <v>1</v>
      </c>
      <c r="F2309" s="1" t="str">
        <f aca="false">DEC2HEX(B2309*$N$3*18)</f>
        <v>24000</v>
      </c>
      <c r="G2309" s="1" t="str">
        <f aca="false">DEC2HEX(C2309*7)</f>
        <v>7</v>
      </c>
      <c r="H2309" s="1" t="str">
        <f aca="false">IF(D2309=0, 33, "cc")</f>
        <v>cc</v>
      </c>
    </row>
    <row r="2310" customFormat="false" ht="18.65" hidden="false" customHeight="true" outlineLevel="0" collapsed="false">
      <c r="A2310" s="1" t="n">
        <f aca="false">ROW()-2</f>
        <v>2308</v>
      </c>
      <c r="B2310" s="1" t="n">
        <f aca="false">INT(A2310/$N$1)</f>
        <v>128</v>
      </c>
      <c r="C2310" s="1" t="n">
        <f aca="false">INT(MOD(A2310,$N$1) / 2)</f>
        <v>2</v>
      </c>
      <c r="D2310" s="1" t="n">
        <f aca="false">_xlfn.BITAND(A2310,1)</f>
        <v>0</v>
      </c>
      <c r="F2310" s="1" t="str">
        <f aca="false">DEC2HEX(B2310*$N$3*18)</f>
        <v>24000</v>
      </c>
      <c r="G2310" s="1" t="str">
        <f aca="false">DEC2HEX(C2310*7)</f>
        <v>E</v>
      </c>
      <c r="H2310" s="1" t="n">
        <f aca="false">IF(D2310=0, 33, "cc")</f>
        <v>33</v>
      </c>
    </row>
    <row r="2311" customFormat="false" ht="18.65" hidden="false" customHeight="true" outlineLevel="0" collapsed="false">
      <c r="A2311" s="1" t="n">
        <f aca="false">ROW()-2</f>
        <v>2309</v>
      </c>
      <c r="B2311" s="1" t="n">
        <f aca="false">INT(A2311/$N$1)</f>
        <v>128</v>
      </c>
      <c r="C2311" s="1" t="n">
        <f aca="false">INT(MOD(A2311,$N$1) / 2)</f>
        <v>2</v>
      </c>
      <c r="D2311" s="1" t="n">
        <f aca="false">_xlfn.BITAND(A2311,1)</f>
        <v>1</v>
      </c>
      <c r="F2311" s="1" t="str">
        <f aca="false">DEC2HEX(B2311*$N$3*18)</f>
        <v>24000</v>
      </c>
      <c r="G2311" s="1" t="str">
        <f aca="false">DEC2HEX(C2311*7)</f>
        <v>E</v>
      </c>
      <c r="H2311" s="1" t="str">
        <f aca="false">IF(D2311=0, 33, "cc")</f>
        <v>cc</v>
      </c>
    </row>
    <row r="2312" customFormat="false" ht="18.65" hidden="false" customHeight="true" outlineLevel="0" collapsed="false">
      <c r="A2312" s="1" t="n">
        <f aca="false">ROW()-2</f>
        <v>2310</v>
      </c>
      <c r="B2312" s="1" t="n">
        <f aca="false">INT(A2312/$N$1)</f>
        <v>128</v>
      </c>
      <c r="C2312" s="1" t="n">
        <f aca="false">INT(MOD(A2312,$N$1) / 2)</f>
        <v>3</v>
      </c>
      <c r="D2312" s="1" t="n">
        <f aca="false">_xlfn.BITAND(A2312,1)</f>
        <v>0</v>
      </c>
      <c r="F2312" s="1" t="str">
        <f aca="false">DEC2HEX(B2312*$N$3*18)</f>
        <v>24000</v>
      </c>
      <c r="G2312" s="1" t="str">
        <f aca="false">DEC2HEX(C2312*7)</f>
        <v>15</v>
      </c>
      <c r="H2312" s="1" t="n">
        <f aca="false">IF(D2312=0, 33, "cc")</f>
        <v>33</v>
      </c>
    </row>
    <row r="2313" customFormat="false" ht="18.65" hidden="false" customHeight="true" outlineLevel="0" collapsed="false">
      <c r="A2313" s="1" t="n">
        <f aca="false">ROW()-2</f>
        <v>2311</v>
      </c>
      <c r="B2313" s="1" t="n">
        <f aca="false">INT(A2313/$N$1)</f>
        <v>128</v>
      </c>
      <c r="C2313" s="1" t="n">
        <f aca="false">INT(MOD(A2313,$N$1) / 2)</f>
        <v>3</v>
      </c>
      <c r="D2313" s="1" t="n">
        <f aca="false">_xlfn.BITAND(A2313,1)</f>
        <v>1</v>
      </c>
      <c r="F2313" s="1" t="str">
        <f aca="false">DEC2HEX(B2313*$N$3*18)</f>
        <v>24000</v>
      </c>
      <c r="G2313" s="1" t="str">
        <f aca="false">DEC2HEX(C2313*7)</f>
        <v>15</v>
      </c>
      <c r="H2313" s="1" t="str">
        <f aca="false">IF(D2313=0, 33, "cc")</f>
        <v>cc</v>
      </c>
    </row>
    <row r="2314" customFormat="false" ht="18.65" hidden="false" customHeight="true" outlineLevel="0" collapsed="false">
      <c r="A2314" s="1" t="n">
        <f aca="false">ROW()-2</f>
        <v>2312</v>
      </c>
      <c r="B2314" s="1" t="n">
        <f aca="false">INT(A2314/$N$1)</f>
        <v>128</v>
      </c>
      <c r="C2314" s="1" t="n">
        <f aca="false">INT(MOD(A2314,$N$1) / 2)</f>
        <v>4</v>
      </c>
      <c r="D2314" s="1" t="n">
        <f aca="false">_xlfn.BITAND(A2314,1)</f>
        <v>0</v>
      </c>
      <c r="F2314" s="1" t="str">
        <f aca="false">DEC2HEX(B2314*$N$3*18)</f>
        <v>24000</v>
      </c>
      <c r="G2314" s="1" t="str">
        <f aca="false">DEC2HEX(C2314*7)</f>
        <v>1C</v>
      </c>
      <c r="H2314" s="1" t="n">
        <f aca="false">IF(D2314=0, 33, "cc")</f>
        <v>33</v>
      </c>
    </row>
    <row r="2315" customFormat="false" ht="18.65" hidden="false" customHeight="true" outlineLevel="0" collapsed="false">
      <c r="A2315" s="1" t="n">
        <f aca="false">ROW()-2</f>
        <v>2313</v>
      </c>
      <c r="B2315" s="1" t="n">
        <f aca="false">INT(A2315/$N$1)</f>
        <v>128</v>
      </c>
      <c r="C2315" s="1" t="n">
        <f aca="false">INT(MOD(A2315,$N$1) / 2)</f>
        <v>4</v>
      </c>
      <c r="D2315" s="1" t="n">
        <f aca="false">_xlfn.BITAND(A2315,1)</f>
        <v>1</v>
      </c>
      <c r="F2315" s="1" t="str">
        <f aca="false">DEC2HEX(B2315*$N$3*18)</f>
        <v>24000</v>
      </c>
      <c r="G2315" s="1" t="str">
        <f aca="false">DEC2HEX(C2315*7)</f>
        <v>1C</v>
      </c>
      <c r="H2315" s="1" t="str">
        <f aca="false">IF(D2315=0, 33, "cc")</f>
        <v>cc</v>
      </c>
    </row>
    <row r="2316" customFormat="false" ht="18.65" hidden="false" customHeight="true" outlineLevel="0" collapsed="false">
      <c r="A2316" s="1" t="n">
        <f aca="false">ROW()-2</f>
        <v>2314</v>
      </c>
      <c r="B2316" s="1" t="n">
        <f aca="false">INT(A2316/$N$1)</f>
        <v>128</v>
      </c>
      <c r="C2316" s="1" t="n">
        <f aca="false">INT(MOD(A2316,$N$1) / 2)</f>
        <v>5</v>
      </c>
      <c r="D2316" s="1" t="n">
        <f aca="false">_xlfn.BITAND(A2316,1)</f>
        <v>0</v>
      </c>
      <c r="F2316" s="1" t="str">
        <f aca="false">DEC2HEX(B2316*$N$3*18)</f>
        <v>24000</v>
      </c>
      <c r="G2316" s="1" t="str">
        <f aca="false">DEC2HEX(C2316*7)</f>
        <v>23</v>
      </c>
      <c r="H2316" s="1" t="n">
        <f aca="false">IF(D2316=0, 33, "cc")</f>
        <v>33</v>
      </c>
    </row>
    <row r="2317" customFormat="false" ht="18.65" hidden="false" customHeight="true" outlineLevel="0" collapsed="false">
      <c r="A2317" s="1" t="n">
        <f aca="false">ROW()-2</f>
        <v>2315</v>
      </c>
      <c r="B2317" s="1" t="n">
        <f aca="false">INT(A2317/$N$1)</f>
        <v>128</v>
      </c>
      <c r="C2317" s="1" t="n">
        <f aca="false">INT(MOD(A2317,$N$1) / 2)</f>
        <v>5</v>
      </c>
      <c r="D2317" s="1" t="n">
        <f aca="false">_xlfn.BITAND(A2317,1)</f>
        <v>1</v>
      </c>
      <c r="F2317" s="1" t="str">
        <f aca="false">DEC2HEX(B2317*$N$3*18)</f>
        <v>24000</v>
      </c>
      <c r="G2317" s="1" t="str">
        <f aca="false">DEC2HEX(C2317*7)</f>
        <v>23</v>
      </c>
      <c r="H2317" s="1" t="str">
        <f aca="false">IF(D2317=0, 33, "cc")</f>
        <v>cc</v>
      </c>
    </row>
    <row r="2318" customFormat="false" ht="18.65" hidden="false" customHeight="true" outlineLevel="0" collapsed="false">
      <c r="A2318" s="1" t="n">
        <f aca="false">ROW()-2</f>
        <v>2316</v>
      </c>
      <c r="B2318" s="1" t="n">
        <f aca="false">INT(A2318/$N$1)</f>
        <v>128</v>
      </c>
      <c r="C2318" s="1" t="n">
        <f aca="false">INT(MOD(A2318,$N$1) / 2)</f>
        <v>6</v>
      </c>
      <c r="D2318" s="1" t="n">
        <f aca="false">_xlfn.BITAND(A2318,1)</f>
        <v>0</v>
      </c>
      <c r="F2318" s="1" t="str">
        <f aca="false">DEC2HEX(B2318*$N$3*18)</f>
        <v>24000</v>
      </c>
      <c r="G2318" s="1" t="str">
        <f aca="false">DEC2HEX(C2318*7)</f>
        <v>2A</v>
      </c>
      <c r="H2318" s="1" t="n">
        <f aca="false">IF(D2318=0, 33, "cc")</f>
        <v>33</v>
      </c>
    </row>
    <row r="2319" customFormat="false" ht="18.65" hidden="false" customHeight="true" outlineLevel="0" collapsed="false">
      <c r="A2319" s="1" t="n">
        <f aca="false">ROW()-2</f>
        <v>2317</v>
      </c>
      <c r="B2319" s="1" t="n">
        <f aca="false">INT(A2319/$N$1)</f>
        <v>128</v>
      </c>
      <c r="C2319" s="1" t="n">
        <f aca="false">INT(MOD(A2319,$N$1) / 2)</f>
        <v>6</v>
      </c>
      <c r="D2319" s="1" t="n">
        <f aca="false">_xlfn.BITAND(A2319,1)</f>
        <v>1</v>
      </c>
      <c r="F2319" s="1" t="str">
        <f aca="false">DEC2HEX(B2319*$N$3*18)</f>
        <v>24000</v>
      </c>
      <c r="G2319" s="1" t="str">
        <f aca="false">DEC2HEX(C2319*7)</f>
        <v>2A</v>
      </c>
      <c r="H2319" s="1" t="str">
        <f aca="false">IF(D2319=0, 33, "cc")</f>
        <v>cc</v>
      </c>
    </row>
    <row r="2320" customFormat="false" ht="18.65" hidden="false" customHeight="true" outlineLevel="0" collapsed="false">
      <c r="A2320" s="1" t="n">
        <f aca="false">ROW()-2</f>
        <v>2318</v>
      </c>
      <c r="B2320" s="1" t="n">
        <f aca="false">INT(A2320/$N$1)</f>
        <v>128</v>
      </c>
      <c r="C2320" s="1" t="n">
        <f aca="false">INT(MOD(A2320,$N$1) / 2)</f>
        <v>7</v>
      </c>
      <c r="D2320" s="1" t="n">
        <f aca="false">_xlfn.BITAND(A2320,1)</f>
        <v>0</v>
      </c>
      <c r="F2320" s="1" t="str">
        <f aca="false">DEC2HEX(B2320*$N$3*18)</f>
        <v>24000</v>
      </c>
      <c r="G2320" s="1" t="str">
        <f aca="false">DEC2HEX(C2320*7)</f>
        <v>31</v>
      </c>
      <c r="H2320" s="1" t="n">
        <f aca="false">IF(D2320=0, 33, "cc")</f>
        <v>33</v>
      </c>
    </row>
    <row r="2321" customFormat="false" ht="18.65" hidden="false" customHeight="true" outlineLevel="0" collapsed="false">
      <c r="A2321" s="1" t="n">
        <f aca="false">ROW()-2</f>
        <v>2319</v>
      </c>
      <c r="B2321" s="1" t="n">
        <f aca="false">INT(A2321/$N$1)</f>
        <v>128</v>
      </c>
      <c r="C2321" s="1" t="n">
        <f aca="false">INT(MOD(A2321,$N$1) / 2)</f>
        <v>7</v>
      </c>
      <c r="D2321" s="1" t="n">
        <f aca="false">_xlfn.BITAND(A2321,1)</f>
        <v>1</v>
      </c>
      <c r="F2321" s="1" t="str">
        <f aca="false">DEC2HEX(B2321*$N$3*18)</f>
        <v>24000</v>
      </c>
      <c r="G2321" s="1" t="str">
        <f aca="false">DEC2HEX(C2321*7)</f>
        <v>31</v>
      </c>
      <c r="H2321" s="1" t="str">
        <f aca="false">IF(D2321=0, 33, "cc")</f>
        <v>cc</v>
      </c>
    </row>
    <row r="2322" customFormat="false" ht="18.65" hidden="false" customHeight="true" outlineLevel="0" collapsed="false">
      <c r="A2322" s="1" t="n">
        <f aca="false">ROW()-2</f>
        <v>2320</v>
      </c>
      <c r="B2322" s="1" t="n">
        <f aca="false">INT(A2322/$N$1)</f>
        <v>128</v>
      </c>
      <c r="C2322" s="1" t="n">
        <f aca="false">INT(MOD(A2322,$N$1) / 2)</f>
        <v>8</v>
      </c>
      <c r="D2322" s="1" t="n">
        <f aca="false">_xlfn.BITAND(A2322,1)</f>
        <v>0</v>
      </c>
      <c r="F2322" s="1" t="str">
        <f aca="false">DEC2HEX(B2322*$N$3*18)</f>
        <v>24000</v>
      </c>
      <c r="G2322" s="1" t="str">
        <f aca="false">DEC2HEX(C2322*7)</f>
        <v>38</v>
      </c>
      <c r="H2322" s="1" t="n">
        <f aca="false">IF(D2322=0, 33, "cc")</f>
        <v>33</v>
      </c>
    </row>
    <row r="2323" customFormat="false" ht="18.65" hidden="false" customHeight="true" outlineLevel="0" collapsed="false">
      <c r="A2323" s="1" t="n">
        <f aca="false">ROW()-2</f>
        <v>2321</v>
      </c>
      <c r="B2323" s="1" t="n">
        <f aca="false">INT(A2323/$N$1)</f>
        <v>128</v>
      </c>
      <c r="C2323" s="1" t="n">
        <f aca="false">INT(MOD(A2323,$N$1) / 2)</f>
        <v>8</v>
      </c>
      <c r="D2323" s="1" t="n">
        <f aca="false">_xlfn.BITAND(A2323,1)</f>
        <v>1</v>
      </c>
      <c r="F2323" s="1" t="str">
        <f aca="false">DEC2HEX(B2323*$N$3*18)</f>
        <v>24000</v>
      </c>
      <c r="G2323" s="1" t="str">
        <f aca="false">DEC2HEX(C2323*7)</f>
        <v>38</v>
      </c>
      <c r="H2323" s="1" t="str">
        <f aca="false">IF(D2323=0, 33, "cc")</f>
        <v>cc</v>
      </c>
    </row>
    <row r="2324" customFormat="false" ht="18.65" hidden="false" customHeight="true" outlineLevel="0" collapsed="false">
      <c r="A2324" s="1" t="n">
        <f aca="false">ROW()-2</f>
        <v>2322</v>
      </c>
      <c r="B2324" s="1" t="n">
        <f aca="false">INT(A2324/$N$1)</f>
        <v>129</v>
      </c>
      <c r="C2324" s="1" t="n">
        <f aca="false">INT(MOD(A2324,$N$1) / 2)</f>
        <v>0</v>
      </c>
      <c r="D2324" s="1" t="n">
        <f aca="false">_xlfn.BITAND(A2324,1)</f>
        <v>0</v>
      </c>
      <c r="F2324" s="1" t="str">
        <f aca="false">DEC2HEX(B2324*$N$3*18)</f>
        <v>24480</v>
      </c>
      <c r="G2324" s="1" t="str">
        <f aca="false">DEC2HEX(C2324*7)</f>
        <v>0</v>
      </c>
      <c r="H2324" s="1" t="n">
        <f aca="false">IF(D2324=0, 33, "cc")</f>
        <v>33</v>
      </c>
    </row>
    <row r="2325" customFormat="false" ht="18.65" hidden="false" customHeight="true" outlineLevel="0" collapsed="false">
      <c r="A2325" s="1" t="n">
        <f aca="false">ROW()-2</f>
        <v>2323</v>
      </c>
      <c r="B2325" s="1" t="n">
        <f aca="false">INT(A2325/$N$1)</f>
        <v>129</v>
      </c>
      <c r="C2325" s="1" t="n">
        <f aca="false">INT(MOD(A2325,$N$1) / 2)</f>
        <v>0</v>
      </c>
      <c r="D2325" s="1" t="n">
        <f aca="false">_xlfn.BITAND(A2325,1)</f>
        <v>1</v>
      </c>
      <c r="F2325" s="1" t="str">
        <f aca="false">DEC2HEX(B2325*$N$3*18)</f>
        <v>24480</v>
      </c>
      <c r="G2325" s="1" t="str">
        <f aca="false">DEC2HEX(C2325*7)</f>
        <v>0</v>
      </c>
      <c r="H2325" s="1" t="str">
        <f aca="false">IF(D2325=0, 33, "cc")</f>
        <v>cc</v>
      </c>
    </row>
    <row r="2326" customFormat="false" ht="18.65" hidden="false" customHeight="true" outlineLevel="0" collapsed="false">
      <c r="A2326" s="1" t="n">
        <f aca="false">ROW()-2</f>
        <v>2324</v>
      </c>
      <c r="B2326" s="1" t="n">
        <f aca="false">INT(A2326/$N$1)</f>
        <v>129</v>
      </c>
      <c r="C2326" s="1" t="n">
        <f aca="false">INT(MOD(A2326,$N$1) / 2)</f>
        <v>1</v>
      </c>
      <c r="D2326" s="1" t="n">
        <f aca="false">_xlfn.BITAND(A2326,1)</f>
        <v>0</v>
      </c>
      <c r="F2326" s="1" t="str">
        <f aca="false">DEC2HEX(B2326*$N$3*18)</f>
        <v>24480</v>
      </c>
      <c r="G2326" s="1" t="str">
        <f aca="false">DEC2HEX(C2326*7)</f>
        <v>7</v>
      </c>
      <c r="H2326" s="1" t="n">
        <f aca="false">IF(D2326=0, 33, "cc")</f>
        <v>33</v>
      </c>
    </row>
    <row r="2327" customFormat="false" ht="18.65" hidden="false" customHeight="true" outlineLevel="0" collapsed="false">
      <c r="A2327" s="1" t="n">
        <f aca="false">ROW()-2</f>
        <v>2325</v>
      </c>
      <c r="B2327" s="1" t="n">
        <f aca="false">INT(A2327/$N$1)</f>
        <v>129</v>
      </c>
      <c r="C2327" s="1" t="n">
        <f aca="false">INT(MOD(A2327,$N$1) / 2)</f>
        <v>1</v>
      </c>
      <c r="D2327" s="1" t="n">
        <f aca="false">_xlfn.BITAND(A2327,1)</f>
        <v>1</v>
      </c>
      <c r="F2327" s="1" t="str">
        <f aca="false">DEC2HEX(B2327*$N$3*18)</f>
        <v>24480</v>
      </c>
      <c r="G2327" s="1" t="str">
        <f aca="false">DEC2HEX(C2327*7)</f>
        <v>7</v>
      </c>
      <c r="H2327" s="1" t="str">
        <f aca="false">IF(D2327=0, 33, "cc")</f>
        <v>cc</v>
      </c>
    </row>
    <row r="2328" customFormat="false" ht="18.65" hidden="false" customHeight="true" outlineLevel="0" collapsed="false">
      <c r="A2328" s="1" t="n">
        <f aca="false">ROW()-2</f>
        <v>2326</v>
      </c>
      <c r="B2328" s="1" t="n">
        <f aca="false">INT(A2328/$N$1)</f>
        <v>129</v>
      </c>
      <c r="C2328" s="1" t="n">
        <f aca="false">INT(MOD(A2328,$N$1) / 2)</f>
        <v>2</v>
      </c>
      <c r="D2328" s="1" t="n">
        <f aca="false">_xlfn.BITAND(A2328,1)</f>
        <v>0</v>
      </c>
      <c r="F2328" s="1" t="str">
        <f aca="false">DEC2HEX(B2328*$N$3*18)</f>
        <v>24480</v>
      </c>
      <c r="G2328" s="1" t="str">
        <f aca="false">DEC2HEX(C2328*7)</f>
        <v>E</v>
      </c>
      <c r="H2328" s="1" t="n">
        <f aca="false">IF(D2328=0, 33, "cc")</f>
        <v>33</v>
      </c>
    </row>
    <row r="2329" customFormat="false" ht="18.65" hidden="false" customHeight="true" outlineLevel="0" collapsed="false">
      <c r="A2329" s="1" t="n">
        <f aca="false">ROW()-2</f>
        <v>2327</v>
      </c>
      <c r="B2329" s="1" t="n">
        <f aca="false">INT(A2329/$N$1)</f>
        <v>129</v>
      </c>
      <c r="C2329" s="1" t="n">
        <f aca="false">INT(MOD(A2329,$N$1) / 2)</f>
        <v>2</v>
      </c>
      <c r="D2329" s="1" t="n">
        <f aca="false">_xlfn.BITAND(A2329,1)</f>
        <v>1</v>
      </c>
      <c r="F2329" s="1" t="str">
        <f aca="false">DEC2HEX(B2329*$N$3*18)</f>
        <v>24480</v>
      </c>
      <c r="G2329" s="1" t="str">
        <f aca="false">DEC2HEX(C2329*7)</f>
        <v>E</v>
      </c>
      <c r="H2329" s="1" t="str">
        <f aca="false">IF(D2329=0, 33, "cc")</f>
        <v>cc</v>
      </c>
    </row>
    <row r="2330" customFormat="false" ht="18.65" hidden="false" customHeight="true" outlineLevel="0" collapsed="false">
      <c r="A2330" s="1" t="n">
        <f aca="false">ROW()-2</f>
        <v>2328</v>
      </c>
      <c r="B2330" s="1" t="n">
        <f aca="false">INT(A2330/$N$1)</f>
        <v>129</v>
      </c>
      <c r="C2330" s="1" t="n">
        <f aca="false">INT(MOD(A2330,$N$1) / 2)</f>
        <v>3</v>
      </c>
      <c r="D2330" s="1" t="n">
        <f aca="false">_xlfn.BITAND(A2330,1)</f>
        <v>0</v>
      </c>
      <c r="F2330" s="1" t="str">
        <f aca="false">DEC2HEX(B2330*$N$3*18)</f>
        <v>24480</v>
      </c>
      <c r="G2330" s="1" t="str">
        <f aca="false">DEC2HEX(C2330*7)</f>
        <v>15</v>
      </c>
      <c r="H2330" s="1" t="n">
        <f aca="false">IF(D2330=0, 33, "cc")</f>
        <v>33</v>
      </c>
    </row>
    <row r="2331" customFormat="false" ht="18.65" hidden="false" customHeight="true" outlineLevel="0" collapsed="false">
      <c r="A2331" s="1" t="n">
        <f aca="false">ROW()-2</f>
        <v>2329</v>
      </c>
      <c r="B2331" s="1" t="n">
        <f aca="false">INT(A2331/$N$1)</f>
        <v>129</v>
      </c>
      <c r="C2331" s="1" t="n">
        <f aca="false">INT(MOD(A2331,$N$1) / 2)</f>
        <v>3</v>
      </c>
      <c r="D2331" s="1" t="n">
        <f aca="false">_xlfn.BITAND(A2331,1)</f>
        <v>1</v>
      </c>
      <c r="F2331" s="1" t="str">
        <f aca="false">DEC2HEX(B2331*$N$3*18)</f>
        <v>24480</v>
      </c>
      <c r="G2331" s="1" t="str">
        <f aca="false">DEC2HEX(C2331*7)</f>
        <v>15</v>
      </c>
      <c r="H2331" s="1" t="str">
        <f aca="false">IF(D2331=0, 33, "cc")</f>
        <v>cc</v>
      </c>
    </row>
    <row r="2332" customFormat="false" ht="18.65" hidden="false" customHeight="true" outlineLevel="0" collapsed="false">
      <c r="A2332" s="1" t="n">
        <f aca="false">ROW()-2</f>
        <v>2330</v>
      </c>
      <c r="B2332" s="1" t="n">
        <f aca="false">INT(A2332/$N$1)</f>
        <v>129</v>
      </c>
      <c r="C2332" s="1" t="n">
        <f aca="false">INT(MOD(A2332,$N$1) / 2)</f>
        <v>4</v>
      </c>
      <c r="D2332" s="1" t="n">
        <f aca="false">_xlfn.BITAND(A2332,1)</f>
        <v>0</v>
      </c>
      <c r="F2332" s="1" t="str">
        <f aca="false">DEC2HEX(B2332*$N$3*18)</f>
        <v>24480</v>
      </c>
      <c r="G2332" s="1" t="str">
        <f aca="false">DEC2HEX(C2332*7)</f>
        <v>1C</v>
      </c>
      <c r="H2332" s="1" t="n">
        <f aca="false">IF(D2332=0, 33, "cc")</f>
        <v>33</v>
      </c>
    </row>
    <row r="2333" customFormat="false" ht="18.65" hidden="false" customHeight="true" outlineLevel="0" collapsed="false">
      <c r="A2333" s="1" t="n">
        <f aca="false">ROW()-2</f>
        <v>2331</v>
      </c>
      <c r="B2333" s="1" t="n">
        <f aca="false">INT(A2333/$N$1)</f>
        <v>129</v>
      </c>
      <c r="C2333" s="1" t="n">
        <f aca="false">INT(MOD(A2333,$N$1) / 2)</f>
        <v>4</v>
      </c>
      <c r="D2333" s="1" t="n">
        <f aca="false">_xlfn.BITAND(A2333,1)</f>
        <v>1</v>
      </c>
      <c r="F2333" s="1" t="str">
        <f aca="false">DEC2HEX(B2333*$N$3*18)</f>
        <v>24480</v>
      </c>
      <c r="G2333" s="1" t="str">
        <f aca="false">DEC2HEX(C2333*7)</f>
        <v>1C</v>
      </c>
      <c r="H2333" s="1" t="str">
        <f aca="false">IF(D2333=0, 33, "cc")</f>
        <v>cc</v>
      </c>
    </row>
    <row r="2334" customFormat="false" ht="18.65" hidden="false" customHeight="true" outlineLevel="0" collapsed="false">
      <c r="A2334" s="1" t="n">
        <f aca="false">ROW()-2</f>
        <v>2332</v>
      </c>
      <c r="B2334" s="1" t="n">
        <f aca="false">INT(A2334/$N$1)</f>
        <v>129</v>
      </c>
      <c r="C2334" s="1" t="n">
        <f aca="false">INT(MOD(A2334,$N$1) / 2)</f>
        <v>5</v>
      </c>
      <c r="D2334" s="1" t="n">
        <f aca="false">_xlfn.BITAND(A2334,1)</f>
        <v>0</v>
      </c>
      <c r="F2334" s="1" t="str">
        <f aca="false">DEC2HEX(B2334*$N$3*18)</f>
        <v>24480</v>
      </c>
      <c r="G2334" s="1" t="str">
        <f aca="false">DEC2HEX(C2334*7)</f>
        <v>23</v>
      </c>
      <c r="H2334" s="1" t="n">
        <f aca="false">IF(D2334=0, 33, "cc")</f>
        <v>33</v>
      </c>
    </row>
    <row r="2335" customFormat="false" ht="18.65" hidden="false" customHeight="true" outlineLevel="0" collapsed="false">
      <c r="A2335" s="1" t="n">
        <f aca="false">ROW()-2</f>
        <v>2333</v>
      </c>
      <c r="B2335" s="1" t="n">
        <f aca="false">INT(A2335/$N$1)</f>
        <v>129</v>
      </c>
      <c r="C2335" s="1" t="n">
        <f aca="false">INT(MOD(A2335,$N$1) / 2)</f>
        <v>5</v>
      </c>
      <c r="D2335" s="1" t="n">
        <f aca="false">_xlfn.BITAND(A2335,1)</f>
        <v>1</v>
      </c>
      <c r="F2335" s="1" t="str">
        <f aca="false">DEC2HEX(B2335*$N$3*18)</f>
        <v>24480</v>
      </c>
      <c r="G2335" s="1" t="str">
        <f aca="false">DEC2HEX(C2335*7)</f>
        <v>23</v>
      </c>
      <c r="H2335" s="1" t="str">
        <f aca="false">IF(D2335=0, 33, "cc")</f>
        <v>cc</v>
      </c>
    </row>
    <row r="2336" customFormat="false" ht="18.65" hidden="false" customHeight="true" outlineLevel="0" collapsed="false">
      <c r="A2336" s="1" t="n">
        <f aca="false">ROW()-2</f>
        <v>2334</v>
      </c>
      <c r="B2336" s="1" t="n">
        <f aca="false">INT(A2336/$N$1)</f>
        <v>129</v>
      </c>
      <c r="C2336" s="1" t="n">
        <f aca="false">INT(MOD(A2336,$N$1) / 2)</f>
        <v>6</v>
      </c>
      <c r="D2336" s="1" t="n">
        <f aca="false">_xlfn.BITAND(A2336,1)</f>
        <v>0</v>
      </c>
      <c r="F2336" s="1" t="str">
        <f aca="false">DEC2HEX(B2336*$N$3*18)</f>
        <v>24480</v>
      </c>
      <c r="G2336" s="1" t="str">
        <f aca="false">DEC2HEX(C2336*7)</f>
        <v>2A</v>
      </c>
      <c r="H2336" s="1" t="n">
        <f aca="false">IF(D2336=0, 33, "cc")</f>
        <v>33</v>
      </c>
    </row>
    <row r="2337" customFormat="false" ht="18.65" hidden="false" customHeight="true" outlineLevel="0" collapsed="false">
      <c r="A2337" s="1" t="n">
        <f aca="false">ROW()-2</f>
        <v>2335</v>
      </c>
      <c r="B2337" s="1" t="n">
        <f aca="false">INT(A2337/$N$1)</f>
        <v>129</v>
      </c>
      <c r="C2337" s="1" t="n">
        <f aca="false">INT(MOD(A2337,$N$1) / 2)</f>
        <v>6</v>
      </c>
      <c r="D2337" s="1" t="n">
        <f aca="false">_xlfn.BITAND(A2337,1)</f>
        <v>1</v>
      </c>
      <c r="F2337" s="1" t="str">
        <f aca="false">DEC2HEX(B2337*$N$3*18)</f>
        <v>24480</v>
      </c>
      <c r="G2337" s="1" t="str">
        <f aca="false">DEC2HEX(C2337*7)</f>
        <v>2A</v>
      </c>
      <c r="H2337" s="1" t="str">
        <f aca="false">IF(D2337=0, 33, "cc")</f>
        <v>cc</v>
      </c>
    </row>
    <row r="2338" customFormat="false" ht="18.65" hidden="false" customHeight="true" outlineLevel="0" collapsed="false">
      <c r="A2338" s="1" t="n">
        <f aca="false">ROW()-2</f>
        <v>2336</v>
      </c>
      <c r="B2338" s="1" t="n">
        <f aca="false">INT(A2338/$N$1)</f>
        <v>129</v>
      </c>
      <c r="C2338" s="1" t="n">
        <f aca="false">INT(MOD(A2338,$N$1) / 2)</f>
        <v>7</v>
      </c>
      <c r="D2338" s="1" t="n">
        <f aca="false">_xlfn.BITAND(A2338,1)</f>
        <v>0</v>
      </c>
      <c r="F2338" s="1" t="str">
        <f aca="false">DEC2HEX(B2338*$N$3*18)</f>
        <v>24480</v>
      </c>
      <c r="G2338" s="1" t="str">
        <f aca="false">DEC2HEX(C2338*7)</f>
        <v>31</v>
      </c>
      <c r="H2338" s="1" t="n">
        <f aca="false">IF(D2338=0, 33, "cc")</f>
        <v>33</v>
      </c>
    </row>
    <row r="2339" customFormat="false" ht="18.65" hidden="false" customHeight="true" outlineLevel="0" collapsed="false">
      <c r="A2339" s="1" t="n">
        <f aca="false">ROW()-2</f>
        <v>2337</v>
      </c>
      <c r="B2339" s="1" t="n">
        <f aca="false">INT(A2339/$N$1)</f>
        <v>129</v>
      </c>
      <c r="C2339" s="1" t="n">
        <f aca="false">INT(MOD(A2339,$N$1) / 2)</f>
        <v>7</v>
      </c>
      <c r="D2339" s="1" t="n">
        <f aca="false">_xlfn.BITAND(A2339,1)</f>
        <v>1</v>
      </c>
      <c r="F2339" s="1" t="str">
        <f aca="false">DEC2HEX(B2339*$N$3*18)</f>
        <v>24480</v>
      </c>
      <c r="G2339" s="1" t="str">
        <f aca="false">DEC2HEX(C2339*7)</f>
        <v>31</v>
      </c>
      <c r="H2339" s="1" t="str">
        <f aca="false">IF(D2339=0, 33, "cc")</f>
        <v>cc</v>
      </c>
    </row>
    <row r="2340" customFormat="false" ht="18.65" hidden="false" customHeight="true" outlineLevel="0" collapsed="false">
      <c r="A2340" s="1" t="n">
        <f aca="false">ROW()-2</f>
        <v>2338</v>
      </c>
      <c r="B2340" s="1" t="n">
        <f aca="false">INT(A2340/$N$1)</f>
        <v>129</v>
      </c>
      <c r="C2340" s="1" t="n">
        <f aca="false">INT(MOD(A2340,$N$1) / 2)</f>
        <v>8</v>
      </c>
      <c r="D2340" s="1" t="n">
        <f aca="false">_xlfn.BITAND(A2340,1)</f>
        <v>0</v>
      </c>
      <c r="F2340" s="1" t="str">
        <f aca="false">DEC2HEX(B2340*$N$3*18)</f>
        <v>24480</v>
      </c>
      <c r="G2340" s="1" t="str">
        <f aca="false">DEC2HEX(C2340*7)</f>
        <v>38</v>
      </c>
      <c r="H2340" s="1" t="n">
        <f aca="false">IF(D2340=0, 33, "cc")</f>
        <v>33</v>
      </c>
    </row>
    <row r="2341" customFormat="false" ht="18.65" hidden="false" customHeight="true" outlineLevel="0" collapsed="false">
      <c r="A2341" s="1" t="n">
        <f aca="false">ROW()-2</f>
        <v>2339</v>
      </c>
      <c r="B2341" s="1" t="n">
        <f aca="false">INT(A2341/$N$1)</f>
        <v>129</v>
      </c>
      <c r="C2341" s="1" t="n">
        <f aca="false">INT(MOD(A2341,$N$1) / 2)</f>
        <v>8</v>
      </c>
      <c r="D2341" s="1" t="n">
        <f aca="false">_xlfn.BITAND(A2341,1)</f>
        <v>1</v>
      </c>
      <c r="F2341" s="1" t="str">
        <f aca="false">DEC2HEX(B2341*$N$3*18)</f>
        <v>24480</v>
      </c>
      <c r="G2341" s="1" t="str">
        <f aca="false">DEC2HEX(C2341*7)</f>
        <v>38</v>
      </c>
      <c r="H2341" s="1" t="str">
        <f aca="false">IF(D2341=0, 33, "cc")</f>
        <v>cc</v>
      </c>
    </row>
    <row r="2342" customFormat="false" ht="18.65" hidden="false" customHeight="true" outlineLevel="0" collapsed="false">
      <c r="A2342" s="1" t="n">
        <f aca="false">ROW()-2</f>
        <v>2340</v>
      </c>
      <c r="B2342" s="1" t="n">
        <f aca="false">INT(A2342/$N$1)</f>
        <v>130</v>
      </c>
      <c r="C2342" s="1" t="n">
        <f aca="false">INT(MOD(A2342,$N$1) / 2)</f>
        <v>0</v>
      </c>
      <c r="D2342" s="1" t="n">
        <f aca="false">_xlfn.BITAND(A2342,1)</f>
        <v>0</v>
      </c>
      <c r="F2342" s="1" t="str">
        <f aca="false">DEC2HEX(B2342*$N$3*18)</f>
        <v>24900</v>
      </c>
      <c r="G2342" s="1" t="str">
        <f aca="false">DEC2HEX(C2342*7)</f>
        <v>0</v>
      </c>
      <c r="H2342" s="1" t="n">
        <f aca="false">IF(D2342=0, 33, "cc")</f>
        <v>33</v>
      </c>
    </row>
    <row r="2343" customFormat="false" ht="18.65" hidden="false" customHeight="true" outlineLevel="0" collapsed="false">
      <c r="A2343" s="1" t="n">
        <f aca="false">ROW()-2</f>
        <v>2341</v>
      </c>
      <c r="B2343" s="1" t="n">
        <f aca="false">INT(A2343/$N$1)</f>
        <v>130</v>
      </c>
      <c r="C2343" s="1" t="n">
        <f aca="false">INT(MOD(A2343,$N$1) / 2)</f>
        <v>0</v>
      </c>
      <c r="D2343" s="1" t="n">
        <f aca="false">_xlfn.BITAND(A2343,1)</f>
        <v>1</v>
      </c>
      <c r="F2343" s="1" t="str">
        <f aca="false">DEC2HEX(B2343*$N$3*18)</f>
        <v>24900</v>
      </c>
      <c r="G2343" s="1" t="str">
        <f aca="false">DEC2HEX(C2343*7)</f>
        <v>0</v>
      </c>
      <c r="H2343" s="1" t="str">
        <f aca="false">IF(D2343=0, 33, "cc")</f>
        <v>cc</v>
      </c>
    </row>
    <row r="2344" customFormat="false" ht="18.65" hidden="false" customHeight="true" outlineLevel="0" collapsed="false">
      <c r="A2344" s="1" t="n">
        <f aca="false">ROW()-2</f>
        <v>2342</v>
      </c>
      <c r="B2344" s="1" t="n">
        <f aca="false">INT(A2344/$N$1)</f>
        <v>130</v>
      </c>
      <c r="C2344" s="1" t="n">
        <f aca="false">INT(MOD(A2344,$N$1) / 2)</f>
        <v>1</v>
      </c>
      <c r="D2344" s="1" t="n">
        <f aca="false">_xlfn.BITAND(A2344,1)</f>
        <v>0</v>
      </c>
      <c r="F2344" s="1" t="str">
        <f aca="false">DEC2HEX(B2344*$N$3*18)</f>
        <v>24900</v>
      </c>
      <c r="G2344" s="1" t="str">
        <f aca="false">DEC2HEX(C2344*7)</f>
        <v>7</v>
      </c>
      <c r="H2344" s="1" t="n">
        <f aca="false">IF(D2344=0, 33, "cc")</f>
        <v>33</v>
      </c>
    </row>
    <row r="2345" customFormat="false" ht="18.65" hidden="false" customHeight="true" outlineLevel="0" collapsed="false">
      <c r="A2345" s="1" t="n">
        <f aca="false">ROW()-2</f>
        <v>2343</v>
      </c>
      <c r="B2345" s="1" t="n">
        <f aca="false">INT(A2345/$N$1)</f>
        <v>130</v>
      </c>
      <c r="C2345" s="1" t="n">
        <f aca="false">INT(MOD(A2345,$N$1) / 2)</f>
        <v>1</v>
      </c>
      <c r="D2345" s="1" t="n">
        <f aca="false">_xlfn.BITAND(A2345,1)</f>
        <v>1</v>
      </c>
      <c r="F2345" s="1" t="str">
        <f aca="false">DEC2HEX(B2345*$N$3*18)</f>
        <v>24900</v>
      </c>
      <c r="G2345" s="1" t="str">
        <f aca="false">DEC2HEX(C2345*7)</f>
        <v>7</v>
      </c>
      <c r="H2345" s="1" t="str">
        <f aca="false">IF(D2345=0, 33, "cc")</f>
        <v>cc</v>
      </c>
    </row>
    <row r="2346" customFormat="false" ht="18.65" hidden="false" customHeight="true" outlineLevel="0" collapsed="false">
      <c r="A2346" s="1" t="n">
        <f aca="false">ROW()-2</f>
        <v>2344</v>
      </c>
      <c r="B2346" s="1" t="n">
        <f aca="false">INT(A2346/$N$1)</f>
        <v>130</v>
      </c>
      <c r="C2346" s="1" t="n">
        <f aca="false">INT(MOD(A2346,$N$1) / 2)</f>
        <v>2</v>
      </c>
      <c r="D2346" s="1" t="n">
        <f aca="false">_xlfn.BITAND(A2346,1)</f>
        <v>0</v>
      </c>
      <c r="F2346" s="1" t="str">
        <f aca="false">DEC2HEX(B2346*$N$3*18)</f>
        <v>24900</v>
      </c>
      <c r="G2346" s="1" t="str">
        <f aca="false">DEC2HEX(C2346*7)</f>
        <v>E</v>
      </c>
      <c r="H2346" s="1" t="n">
        <f aca="false">IF(D2346=0, 33, "cc")</f>
        <v>33</v>
      </c>
    </row>
    <row r="2347" customFormat="false" ht="18.65" hidden="false" customHeight="true" outlineLevel="0" collapsed="false">
      <c r="A2347" s="1" t="n">
        <f aca="false">ROW()-2</f>
        <v>2345</v>
      </c>
      <c r="B2347" s="1" t="n">
        <f aca="false">INT(A2347/$N$1)</f>
        <v>130</v>
      </c>
      <c r="C2347" s="1" t="n">
        <f aca="false">INT(MOD(A2347,$N$1) / 2)</f>
        <v>2</v>
      </c>
      <c r="D2347" s="1" t="n">
        <f aca="false">_xlfn.BITAND(A2347,1)</f>
        <v>1</v>
      </c>
      <c r="F2347" s="1" t="str">
        <f aca="false">DEC2HEX(B2347*$N$3*18)</f>
        <v>24900</v>
      </c>
      <c r="G2347" s="1" t="str">
        <f aca="false">DEC2HEX(C2347*7)</f>
        <v>E</v>
      </c>
      <c r="H2347" s="1" t="str">
        <f aca="false">IF(D2347=0, 33, "cc")</f>
        <v>cc</v>
      </c>
    </row>
    <row r="2348" customFormat="false" ht="18.65" hidden="false" customHeight="true" outlineLevel="0" collapsed="false">
      <c r="A2348" s="1" t="n">
        <f aca="false">ROW()-2</f>
        <v>2346</v>
      </c>
      <c r="B2348" s="1" t="n">
        <f aca="false">INT(A2348/$N$1)</f>
        <v>130</v>
      </c>
      <c r="C2348" s="1" t="n">
        <f aca="false">INT(MOD(A2348,$N$1) / 2)</f>
        <v>3</v>
      </c>
      <c r="D2348" s="1" t="n">
        <f aca="false">_xlfn.BITAND(A2348,1)</f>
        <v>0</v>
      </c>
      <c r="F2348" s="1" t="str">
        <f aca="false">DEC2HEX(B2348*$N$3*18)</f>
        <v>24900</v>
      </c>
      <c r="G2348" s="1" t="str">
        <f aca="false">DEC2HEX(C2348*7)</f>
        <v>15</v>
      </c>
      <c r="H2348" s="1" t="n">
        <f aca="false">IF(D2348=0, 33, "cc")</f>
        <v>33</v>
      </c>
    </row>
    <row r="2349" customFormat="false" ht="18.65" hidden="false" customHeight="true" outlineLevel="0" collapsed="false">
      <c r="A2349" s="1" t="n">
        <f aca="false">ROW()-2</f>
        <v>2347</v>
      </c>
      <c r="B2349" s="1" t="n">
        <f aca="false">INT(A2349/$N$1)</f>
        <v>130</v>
      </c>
      <c r="C2349" s="1" t="n">
        <f aca="false">INT(MOD(A2349,$N$1) / 2)</f>
        <v>3</v>
      </c>
      <c r="D2349" s="1" t="n">
        <f aca="false">_xlfn.BITAND(A2349,1)</f>
        <v>1</v>
      </c>
      <c r="F2349" s="1" t="str">
        <f aca="false">DEC2HEX(B2349*$N$3*18)</f>
        <v>24900</v>
      </c>
      <c r="G2349" s="1" t="str">
        <f aca="false">DEC2HEX(C2349*7)</f>
        <v>15</v>
      </c>
      <c r="H2349" s="1" t="str">
        <f aca="false">IF(D2349=0, 33, "cc")</f>
        <v>cc</v>
      </c>
    </row>
    <row r="2350" customFormat="false" ht="18.65" hidden="false" customHeight="true" outlineLevel="0" collapsed="false">
      <c r="A2350" s="1" t="n">
        <f aca="false">ROW()-2</f>
        <v>2348</v>
      </c>
      <c r="B2350" s="1" t="n">
        <f aca="false">INT(A2350/$N$1)</f>
        <v>130</v>
      </c>
      <c r="C2350" s="1" t="n">
        <f aca="false">INT(MOD(A2350,$N$1) / 2)</f>
        <v>4</v>
      </c>
      <c r="D2350" s="1" t="n">
        <f aca="false">_xlfn.BITAND(A2350,1)</f>
        <v>0</v>
      </c>
      <c r="F2350" s="1" t="str">
        <f aca="false">DEC2HEX(B2350*$N$3*18)</f>
        <v>24900</v>
      </c>
      <c r="G2350" s="1" t="str">
        <f aca="false">DEC2HEX(C2350*7)</f>
        <v>1C</v>
      </c>
      <c r="H2350" s="1" t="n">
        <f aca="false">IF(D2350=0, 33, "cc")</f>
        <v>33</v>
      </c>
    </row>
    <row r="2351" customFormat="false" ht="18.65" hidden="false" customHeight="true" outlineLevel="0" collapsed="false">
      <c r="A2351" s="1" t="n">
        <f aca="false">ROW()-2</f>
        <v>2349</v>
      </c>
      <c r="B2351" s="1" t="n">
        <f aca="false">INT(A2351/$N$1)</f>
        <v>130</v>
      </c>
      <c r="C2351" s="1" t="n">
        <f aca="false">INT(MOD(A2351,$N$1) / 2)</f>
        <v>4</v>
      </c>
      <c r="D2351" s="1" t="n">
        <f aca="false">_xlfn.BITAND(A2351,1)</f>
        <v>1</v>
      </c>
      <c r="F2351" s="1" t="str">
        <f aca="false">DEC2HEX(B2351*$N$3*18)</f>
        <v>24900</v>
      </c>
      <c r="G2351" s="1" t="str">
        <f aca="false">DEC2HEX(C2351*7)</f>
        <v>1C</v>
      </c>
      <c r="H2351" s="1" t="str">
        <f aca="false">IF(D2351=0, 33, "cc")</f>
        <v>cc</v>
      </c>
    </row>
    <row r="2352" customFormat="false" ht="18.65" hidden="false" customHeight="true" outlineLevel="0" collapsed="false">
      <c r="A2352" s="1" t="n">
        <f aca="false">ROW()-2</f>
        <v>2350</v>
      </c>
      <c r="B2352" s="1" t="n">
        <f aca="false">INT(A2352/$N$1)</f>
        <v>130</v>
      </c>
      <c r="C2352" s="1" t="n">
        <f aca="false">INT(MOD(A2352,$N$1) / 2)</f>
        <v>5</v>
      </c>
      <c r="D2352" s="1" t="n">
        <f aca="false">_xlfn.BITAND(A2352,1)</f>
        <v>0</v>
      </c>
      <c r="F2352" s="1" t="str">
        <f aca="false">DEC2HEX(B2352*$N$3*18)</f>
        <v>24900</v>
      </c>
      <c r="G2352" s="1" t="str">
        <f aca="false">DEC2HEX(C2352*7)</f>
        <v>23</v>
      </c>
      <c r="H2352" s="1" t="n">
        <f aca="false">IF(D2352=0, 33, "cc")</f>
        <v>33</v>
      </c>
    </row>
    <row r="2353" customFormat="false" ht="18.65" hidden="false" customHeight="true" outlineLevel="0" collapsed="false">
      <c r="A2353" s="1" t="n">
        <f aca="false">ROW()-2</f>
        <v>2351</v>
      </c>
      <c r="B2353" s="1" t="n">
        <f aca="false">INT(A2353/$N$1)</f>
        <v>130</v>
      </c>
      <c r="C2353" s="1" t="n">
        <f aca="false">INT(MOD(A2353,$N$1) / 2)</f>
        <v>5</v>
      </c>
      <c r="D2353" s="1" t="n">
        <f aca="false">_xlfn.BITAND(A2353,1)</f>
        <v>1</v>
      </c>
      <c r="F2353" s="1" t="str">
        <f aca="false">DEC2HEX(B2353*$N$3*18)</f>
        <v>24900</v>
      </c>
      <c r="G2353" s="1" t="str">
        <f aca="false">DEC2HEX(C2353*7)</f>
        <v>23</v>
      </c>
      <c r="H2353" s="1" t="str">
        <f aca="false">IF(D2353=0, 33, "cc")</f>
        <v>cc</v>
      </c>
    </row>
    <row r="2354" customFormat="false" ht="18.65" hidden="false" customHeight="true" outlineLevel="0" collapsed="false">
      <c r="A2354" s="1" t="n">
        <f aca="false">ROW()-2</f>
        <v>2352</v>
      </c>
      <c r="B2354" s="1" t="n">
        <f aca="false">INT(A2354/$N$1)</f>
        <v>130</v>
      </c>
      <c r="C2354" s="1" t="n">
        <f aca="false">INT(MOD(A2354,$N$1) / 2)</f>
        <v>6</v>
      </c>
      <c r="D2354" s="1" t="n">
        <f aca="false">_xlfn.BITAND(A2354,1)</f>
        <v>0</v>
      </c>
      <c r="F2354" s="1" t="str">
        <f aca="false">DEC2HEX(B2354*$N$3*18)</f>
        <v>24900</v>
      </c>
      <c r="G2354" s="1" t="str">
        <f aca="false">DEC2HEX(C2354*7)</f>
        <v>2A</v>
      </c>
      <c r="H2354" s="1" t="n">
        <f aca="false">IF(D2354=0, 33, "cc")</f>
        <v>33</v>
      </c>
    </row>
    <row r="2355" customFormat="false" ht="18.65" hidden="false" customHeight="true" outlineLevel="0" collapsed="false">
      <c r="A2355" s="1" t="n">
        <f aca="false">ROW()-2</f>
        <v>2353</v>
      </c>
      <c r="B2355" s="1" t="n">
        <f aca="false">INT(A2355/$N$1)</f>
        <v>130</v>
      </c>
      <c r="C2355" s="1" t="n">
        <f aca="false">INT(MOD(A2355,$N$1) / 2)</f>
        <v>6</v>
      </c>
      <c r="D2355" s="1" t="n">
        <f aca="false">_xlfn.BITAND(A2355,1)</f>
        <v>1</v>
      </c>
      <c r="F2355" s="1" t="str">
        <f aca="false">DEC2HEX(B2355*$N$3*18)</f>
        <v>24900</v>
      </c>
      <c r="G2355" s="1" t="str">
        <f aca="false">DEC2HEX(C2355*7)</f>
        <v>2A</v>
      </c>
      <c r="H2355" s="1" t="str">
        <f aca="false">IF(D2355=0, 33, "cc")</f>
        <v>cc</v>
      </c>
    </row>
    <row r="2356" customFormat="false" ht="18.65" hidden="false" customHeight="true" outlineLevel="0" collapsed="false">
      <c r="A2356" s="1" t="n">
        <f aca="false">ROW()-2</f>
        <v>2354</v>
      </c>
      <c r="B2356" s="1" t="n">
        <f aca="false">INT(A2356/$N$1)</f>
        <v>130</v>
      </c>
      <c r="C2356" s="1" t="n">
        <f aca="false">INT(MOD(A2356,$N$1) / 2)</f>
        <v>7</v>
      </c>
      <c r="D2356" s="1" t="n">
        <f aca="false">_xlfn.BITAND(A2356,1)</f>
        <v>0</v>
      </c>
      <c r="F2356" s="1" t="str">
        <f aca="false">DEC2HEX(B2356*$N$3*18)</f>
        <v>24900</v>
      </c>
      <c r="G2356" s="1" t="str">
        <f aca="false">DEC2HEX(C2356*7)</f>
        <v>31</v>
      </c>
      <c r="H2356" s="1" t="n">
        <f aca="false">IF(D2356=0, 33, "cc")</f>
        <v>33</v>
      </c>
    </row>
    <row r="2357" customFormat="false" ht="18.65" hidden="false" customHeight="true" outlineLevel="0" collapsed="false">
      <c r="A2357" s="1" t="n">
        <f aca="false">ROW()-2</f>
        <v>2355</v>
      </c>
      <c r="B2357" s="1" t="n">
        <f aca="false">INT(A2357/$N$1)</f>
        <v>130</v>
      </c>
      <c r="C2357" s="1" t="n">
        <f aca="false">INT(MOD(A2357,$N$1) / 2)</f>
        <v>7</v>
      </c>
      <c r="D2357" s="1" t="n">
        <f aca="false">_xlfn.BITAND(A2357,1)</f>
        <v>1</v>
      </c>
      <c r="F2357" s="1" t="str">
        <f aca="false">DEC2HEX(B2357*$N$3*18)</f>
        <v>24900</v>
      </c>
      <c r="G2357" s="1" t="str">
        <f aca="false">DEC2HEX(C2357*7)</f>
        <v>31</v>
      </c>
      <c r="H2357" s="1" t="str">
        <f aca="false">IF(D2357=0, 33, "cc")</f>
        <v>cc</v>
      </c>
    </row>
    <row r="2358" customFormat="false" ht="18.65" hidden="false" customHeight="true" outlineLevel="0" collapsed="false">
      <c r="A2358" s="1" t="n">
        <f aca="false">ROW()-2</f>
        <v>2356</v>
      </c>
      <c r="B2358" s="1" t="n">
        <f aca="false">INT(A2358/$N$1)</f>
        <v>130</v>
      </c>
      <c r="C2358" s="1" t="n">
        <f aca="false">INT(MOD(A2358,$N$1) / 2)</f>
        <v>8</v>
      </c>
      <c r="D2358" s="1" t="n">
        <f aca="false">_xlfn.BITAND(A2358,1)</f>
        <v>0</v>
      </c>
      <c r="F2358" s="1" t="str">
        <f aca="false">DEC2HEX(B2358*$N$3*18)</f>
        <v>24900</v>
      </c>
      <c r="G2358" s="1" t="str">
        <f aca="false">DEC2HEX(C2358*7)</f>
        <v>38</v>
      </c>
      <c r="H2358" s="1" t="n">
        <f aca="false">IF(D2358=0, 33, "cc")</f>
        <v>33</v>
      </c>
    </row>
    <row r="2359" customFormat="false" ht="18.65" hidden="false" customHeight="true" outlineLevel="0" collapsed="false">
      <c r="A2359" s="1" t="n">
        <f aca="false">ROW()-2</f>
        <v>2357</v>
      </c>
      <c r="B2359" s="1" t="n">
        <f aca="false">INT(A2359/$N$1)</f>
        <v>130</v>
      </c>
      <c r="C2359" s="1" t="n">
        <f aca="false">INT(MOD(A2359,$N$1) / 2)</f>
        <v>8</v>
      </c>
      <c r="D2359" s="1" t="n">
        <f aca="false">_xlfn.BITAND(A2359,1)</f>
        <v>1</v>
      </c>
      <c r="F2359" s="1" t="str">
        <f aca="false">DEC2HEX(B2359*$N$3*18)</f>
        <v>24900</v>
      </c>
      <c r="G2359" s="1" t="str">
        <f aca="false">DEC2HEX(C2359*7)</f>
        <v>38</v>
      </c>
      <c r="H2359" s="1" t="str">
        <f aca="false">IF(D2359=0, 33, "cc")</f>
        <v>cc</v>
      </c>
    </row>
    <row r="2360" customFormat="false" ht="18.65" hidden="false" customHeight="true" outlineLevel="0" collapsed="false">
      <c r="A2360" s="1" t="n">
        <f aca="false">ROW()-2</f>
        <v>2358</v>
      </c>
      <c r="B2360" s="1" t="n">
        <f aca="false">INT(A2360/$N$1)</f>
        <v>131</v>
      </c>
      <c r="C2360" s="1" t="n">
        <f aca="false">INT(MOD(A2360,$N$1) / 2)</f>
        <v>0</v>
      </c>
      <c r="D2360" s="1" t="n">
        <f aca="false">_xlfn.BITAND(A2360,1)</f>
        <v>0</v>
      </c>
      <c r="F2360" s="1" t="str">
        <f aca="false">DEC2HEX(B2360*$N$3*18)</f>
        <v>24D80</v>
      </c>
      <c r="G2360" s="1" t="str">
        <f aca="false">DEC2HEX(C2360*7)</f>
        <v>0</v>
      </c>
      <c r="H2360" s="1" t="n">
        <f aca="false">IF(D2360=0, 33, "cc")</f>
        <v>33</v>
      </c>
    </row>
    <row r="2361" customFormat="false" ht="18.65" hidden="false" customHeight="true" outlineLevel="0" collapsed="false">
      <c r="A2361" s="1" t="n">
        <f aca="false">ROW()-2</f>
        <v>2359</v>
      </c>
      <c r="B2361" s="1" t="n">
        <f aca="false">INT(A2361/$N$1)</f>
        <v>131</v>
      </c>
      <c r="C2361" s="1" t="n">
        <f aca="false">INT(MOD(A2361,$N$1) / 2)</f>
        <v>0</v>
      </c>
      <c r="D2361" s="1" t="n">
        <f aca="false">_xlfn.BITAND(A2361,1)</f>
        <v>1</v>
      </c>
      <c r="F2361" s="1" t="str">
        <f aca="false">DEC2HEX(B2361*$N$3*18)</f>
        <v>24D80</v>
      </c>
      <c r="G2361" s="1" t="str">
        <f aca="false">DEC2HEX(C2361*7)</f>
        <v>0</v>
      </c>
      <c r="H2361" s="1" t="str">
        <f aca="false">IF(D2361=0, 33, "cc")</f>
        <v>cc</v>
      </c>
    </row>
    <row r="2362" customFormat="false" ht="18.65" hidden="false" customHeight="true" outlineLevel="0" collapsed="false">
      <c r="A2362" s="1" t="n">
        <f aca="false">ROW()-2</f>
        <v>2360</v>
      </c>
      <c r="B2362" s="1" t="n">
        <f aca="false">INT(A2362/$N$1)</f>
        <v>131</v>
      </c>
      <c r="C2362" s="1" t="n">
        <f aca="false">INT(MOD(A2362,$N$1) / 2)</f>
        <v>1</v>
      </c>
      <c r="D2362" s="1" t="n">
        <f aca="false">_xlfn.BITAND(A2362,1)</f>
        <v>0</v>
      </c>
      <c r="F2362" s="1" t="str">
        <f aca="false">DEC2HEX(B2362*$N$3*18)</f>
        <v>24D80</v>
      </c>
      <c r="G2362" s="1" t="str">
        <f aca="false">DEC2HEX(C2362*7)</f>
        <v>7</v>
      </c>
      <c r="H2362" s="1" t="n">
        <f aca="false">IF(D2362=0, 33, "cc")</f>
        <v>33</v>
      </c>
    </row>
    <row r="2363" customFormat="false" ht="18.65" hidden="false" customHeight="true" outlineLevel="0" collapsed="false">
      <c r="A2363" s="1" t="n">
        <f aca="false">ROW()-2</f>
        <v>2361</v>
      </c>
      <c r="B2363" s="1" t="n">
        <f aca="false">INT(A2363/$N$1)</f>
        <v>131</v>
      </c>
      <c r="C2363" s="1" t="n">
        <f aca="false">INT(MOD(A2363,$N$1) / 2)</f>
        <v>1</v>
      </c>
      <c r="D2363" s="1" t="n">
        <f aca="false">_xlfn.BITAND(A2363,1)</f>
        <v>1</v>
      </c>
      <c r="F2363" s="1" t="str">
        <f aca="false">DEC2HEX(B2363*$N$3*18)</f>
        <v>24D80</v>
      </c>
      <c r="G2363" s="1" t="str">
        <f aca="false">DEC2HEX(C2363*7)</f>
        <v>7</v>
      </c>
      <c r="H2363" s="1" t="str">
        <f aca="false">IF(D2363=0, 33, "cc")</f>
        <v>cc</v>
      </c>
    </row>
    <row r="2364" customFormat="false" ht="18.65" hidden="false" customHeight="true" outlineLevel="0" collapsed="false">
      <c r="A2364" s="1" t="n">
        <f aca="false">ROW()-2</f>
        <v>2362</v>
      </c>
      <c r="B2364" s="1" t="n">
        <f aca="false">INT(A2364/$N$1)</f>
        <v>131</v>
      </c>
      <c r="C2364" s="1" t="n">
        <f aca="false">INT(MOD(A2364,$N$1) / 2)</f>
        <v>2</v>
      </c>
      <c r="D2364" s="1" t="n">
        <f aca="false">_xlfn.BITAND(A2364,1)</f>
        <v>0</v>
      </c>
      <c r="F2364" s="1" t="str">
        <f aca="false">DEC2HEX(B2364*$N$3*18)</f>
        <v>24D80</v>
      </c>
      <c r="G2364" s="1" t="str">
        <f aca="false">DEC2HEX(C2364*7)</f>
        <v>E</v>
      </c>
      <c r="H2364" s="1" t="n">
        <f aca="false">IF(D2364=0, 33, "cc")</f>
        <v>33</v>
      </c>
    </row>
    <row r="2365" customFormat="false" ht="18.65" hidden="false" customHeight="true" outlineLevel="0" collapsed="false">
      <c r="A2365" s="1" t="n">
        <f aca="false">ROW()-2</f>
        <v>2363</v>
      </c>
      <c r="B2365" s="1" t="n">
        <f aca="false">INT(A2365/$N$1)</f>
        <v>131</v>
      </c>
      <c r="C2365" s="1" t="n">
        <f aca="false">INT(MOD(A2365,$N$1) / 2)</f>
        <v>2</v>
      </c>
      <c r="D2365" s="1" t="n">
        <f aca="false">_xlfn.BITAND(A2365,1)</f>
        <v>1</v>
      </c>
      <c r="F2365" s="1" t="str">
        <f aca="false">DEC2HEX(B2365*$N$3*18)</f>
        <v>24D80</v>
      </c>
      <c r="G2365" s="1" t="str">
        <f aca="false">DEC2HEX(C2365*7)</f>
        <v>E</v>
      </c>
      <c r="H2365" s="1" t="str">
        <f aca="false">IF(D2365=0, 33, "cc")</f>
        <v>cc</v>
      </c>
    </row>
    <row r="2366" customFormat="false" ht="18.65" hidden="false" customHeight="true" outlineLevel="0" collapsed="false">
      <c r="A2366" s="1" t="n">
        <f aca="false">ROW()-2</f>
        <v>2364</v>
      </c>
      <c r="B2366" s="1" t="n">
        <f aca="false">INT(A2366/$N$1)</f>
        <v>131</v>
      </c>
      <c r="C2366" s="1" t="n">
        <f aca="false">INT(MOD(A2366,$N$1) / 2)</f>
        <v>3</v>
      </c>
      <c r="D2366" s="1" t="n">
        <f aca="false">_xlfn.BITAND(A2366,1)</f>
        <v>0</v>
      </c>
      <c r="F2366" s="1" t="str">
        <f aca="false">DEC2HEX(B2366*$N$3*18)</f>
        <v>24D80</v>
      </c>
      <c r="G2366" s="1" t="str">
        <f aca="false">DEC2HEX(C2366*7)</f>
        <v>15</v>
      </c>
      <c r="H2366" s="1" t="n">
        <f aca="false">IF(D2366=0, 33, "cc")</f>
        <v>33</v>
      </c>
    </row>
    <row r="2367" customFormat="false" ht="18.65" hidden="false" customHeight="true" outlineLevel="0" collapsed="false">
      <c r="A2367" s="1" t="n">
        <f aca="false">ROW()-2</f>
        <v>2365</v>
      </c>
      <c r="B2367" s="1" t="n">
        <f aca="false">INT(A2367/$N$1)</f>
        <v>131</v>
      </c>
      <c r="C2367" s="1" t="n">
        <f aca="false">INT(MOD(A2367,$N$1) / 2)</f>
        <v>3</v>
      </c>
      <c r="D2367" s="1" t="n">
        <f aca="false">_xlfn.BITAND(A2367,1)</f>
        <v>1</v>
      </c>
      <c r="F2367" s="1" t="str">
        <f aca="false">DEC2HEX(B2367*$N$3*18)</f>
        <v>24D80</v>
      </c>
      <c r="G2367" s="1" t="str">
        <f aca="false">DEC2HEX(C2367*7)</f>
        <v>15</v>
      </c>
      <c r="H2367" s="1" t="str">
        <f aca="false">IF(D2367=0, 33, "cc")</f>
        <v>cc</v>
      </c>
    </row>
    <row r="2368" customFormat="false" ht="18.65" hidden="false" customHeight="true" outlineLevel="0" collapsed="false">
      <c r="A2368" s="1" t="n">
        <f aca="false">ROW()-2</f>
        <v>2366</v>
      </c>
      <c r="B2368" s="1" t="n">
        <f aca="false">INT(A2368/$N$1)</f>
        <v>131</v>
      </c>
      <c r="C2368" s="1" t="n">
        <f aca="false">INT(MOD(A2368,$N$1) / 2)</f>
        <v>4</v>
      </c>
      <c r="D2368" s="1" t="n">
        <f aca="false">_xlfn.BITAND(A2368,1)</f>
        <v>0</v>
      </c>
      <c r="F2368" s="1" t="str">
        <f aca="false">DEC2HEX(B2368*$N$3*18)</f>
        <v>24D80</v>
      </c>
      <c r="G2368" s="1" t="str">
        <f aca="false">DEC2HEX(C2368*7)</f>
        <v>1C</v>
      </c>
      <c r="H2368" s="1" t="n">
        <f aca="false">IF(D2368=0, 33, "cc")</f>
        <v>33</v>
      </c>
    </row>
    <row r="2369" customFormat="false" ht="18.65" hidden="false" customHeight="true" outlineLevel="0" collapsed="false">
      <c r="A2369" s="1" t="n">
        <f aca="false">ROW()-2</f>
        <v>2367</v>
      </c>
      <c r="B2369" s="1" t="n">
        <f aca="false">INT(A2369/$N$1)</f>
        <v>131</v>
      </c>
      <c r="C2369" s="1" t="n">
        <f aca="false">INT(MOD(A2369,$N$1) / 2)</f>
        <v>4</v>
      </c>
      <c r="D2369" s="1" t="n">
        <f aca="false">_xlfn.BITAND(A2369,1)</f>
        <v>1</v>
      </c>
      <c r="F2369" s="1" t="str">
        <f aca="false">DEC2HEX(B2369*$N$3*18)</f>
        <v>24D80</v>
      </c>
      <c r="G2369" s="1" t="str">
        <f aca="false">DEC2HEX(C2369*7)</f>
        <v>1C</v>
      </c>
      <c r="H2369" s="1" t="str">
        <f aca="false">IF(D2369=0, 33, "cc")</f>
        <v>cc</v>
      </c>
    </row>
    <row r="2370" customFormat="false" ht="18.65" hidden="false" customHeight="true" outlineLevel="0" collapsed="false">
      <c r="A2370" s="1" t="n">
        <f aca="false">ROW()-2</f>
        <v>2368</v>
      </c>
      <c r="B2370" s="1" t="n">
        <f aca="false">INT(A2370/$N$1)</f>
        <v>131</v>
      </c>
      <c r="C2370" s="1" t="n">
        <f aca="false">INT(MOD(A2370,$N$1) / 2)</f>
        <v>5</v>
      </c>
      <c r="D2370" s="1" t="n">
        <f aca="false">_xlfn.BITAND(A2370,1)</f>
        <v>0</v>
      </c>
      <c r="F2370" s="1" t="str">
        <f aca="false">DEC2HEX(B2370*$N$3*18)</f>
        <v>24D80</v>
      </c>
      <c r="G2370" s="1" t="str">
        <f aca="false">DEC2HEX(C2370*7)</f>
        <v>23</v>
      </c>
      <c r="H2370" s="1" t="n">
        <f aca="false">IF(D2370=0, 33, "cc")</f>
        <v>33</v>
      </c>
    </row>
    <row r="2371" customFormat="false" ht="18.65" hidden="false" customHeight="true" outlineLevel="0" collapsed="false">
      <c r="A2371" s="1" t="n">
        <f aca="false">ROW()-2</f>
        <v>2369</v>
      </c>
      <c r="B2371" s="1" t="n">
        <f aca="false">INT(A2371/$N$1)</f>
        <v>131</v>
      </c>
      <c r="C2371" s="1" t="n">
        <f aca="false">INT(MOD(A2371,$N$1) / 2)</f>
        <v>5</v>
      </c>
      <c r="D2371" s="1" t="n">
        <f aca="false">_xlfn.BITAND(A2371,1)</f>
        <v>1</v>
      </c>
      <c r="F2371" s="1" t="str">
        <f aca="false">DEC2HEX(B2371*$N$3*18)</f>
        <v>24D80</v>
      </c>
      <c r="G2371" s="1" t="str">
        <f aca="false">DEC2HEX(C2371*7)</f>
        <v>23</v>
      </c>
      <c r="H2371" s="1" t="str">
        <f aca="false">IF(D2371=0, 33, "cc")</f>
        <v>cc</v>
      </c>
    </row>
    <row r="2372" customFormat="false" ht="18.65" hidden="false" customHeight="true" outlineLevel="0" collapsed="false">
      <c r="A2372" s="1" t="n">
        <f aca="false">ROW()-2</f>
        <v>2370</v>
      </c>
      <c r="B2372" s="1" t="n">
        <f aca="false">INT(A2372/$N$1)</f>
        <v>131</v>
      </c>
      <c r="C2372" s="1" t="n">
        <f aca="false">INT(MOD(A2372,$N$1) / 2)</f>
        <v>6</v>
      </c>
      <c r="D2372" s="1" t="n">
        <f aca="false">_xlfn.BITAND(A2372,1)</f>
        <v>0</v>
      </c>
      <c r="F2372" s="1" t="str">
        <f aca="false">DEC2HEX(B2372*$N$3*18)</f>
        <v>24D80</v>
      </c>
      <c r="G2372" s="1" t="str">
        <f aca="false">DEC2HEX(C2372*7)</f>
        <v>2A</v>
      </c>
      <c r="H2372" s="1" t="n">
        <f aca="false">IF(D2372=0, 33, "cc")</f>
        <v>33</v>
      </c>
    </row>
    <row r="2373" customFormat="false" ht="18.65" hidden="false" customHeight="true" outlineLevel="0" collapsed="false">
      <c r="A2373" s="1" t="n">
        <f aca="false">ROW()-2</f>
        <v>2371</v>
      </c>
      <c r="B2373" s="1" t="n">
        <f aca="false">INT(A2373/$N$1)</f>
        <v>131</v>
      </c>
      <c r="C2373" s="1" t="n">
        <f aca="false">INT(MOD(A2373,$N$1) / 2)</f>
        <v>6</v>
      </c>
      <c r="D2373" s="1" t="n">
        <f aca="false">_xlfn.BITAND(A2373,1)</f>
        <v>1</v>
      </c>
      <c r="F2373" s="1" t="str">
        <f aca="false">DEC2HEX(B2373*$N$3*18)</f>
        <v>24D80</v>
      </c>
      <c r="G2373" s="1" t="str">
        <f aca="false">DEC2HEX(C2373*7)</f>
        <v>2A</v>
      </c>
      <c r="H2373" s="1" t="str">
        <f aca="false">IF(D2373=0, 33, "cc")</f>
        <v>cc</v>
      </c>
    </row>
    <row r="2374" customFormat="false" ht="18.65" hidden="false" customHeight="true" outlineLevel="0" collapsed="false">
      <c r="A2374" s="1" t="n">
        <f aca="false">ROW()-2</f>
        <v>2372</v>
      </c>
      <c r="B2374" s="1" t="n">
        <f aca="false">INT(A2374/$N$1)</f>
        <v>131</v>
      </c>
      <c r="C2374" s="1" t="n">
        <f aca="false">INT(MOD(A2374,$N$1) / 2)</f>
        <v>7</v>
      </c>
      <c r="D2374" s="1" t="n">
        <f aca="false">_xlfn.BITAND(A2374,1)</f>
        <v>0</v>
      </c>
      <c r="F2374" s="1" t="str">
        <f aca="false">DEC2HEX(B2374*$N$3*18)</f>
        <v>24D80</v>
      </c>
      <c r="G2374" s="1" t="str">
        <f aca="false">DEC2HEX(C2374*7)</f>
        <v>31</v>
      </c>
      <c r="H2374" s="1" t="n">
        <f aca="false">IF(D2374=0, 33, "cc")</f>
        <v>33</v>
      </c>
    </row>
    <row r="2375" customFormat="false" ht="18.65" hidden="false" customHeight="true" outlineLevel="0" collapsed="false">
      <c r="A2375" s="1" t="n">
        <f aca="false">ROW()-2</f>
        <v>2373</v>
      </c>
      <c r="B2375" s="1" t="n">
        <f aca="false">INT(A2375/$N$1)</f>
        <v>131</v>
      </c>
      <c r="C2375" s="1" t="n">
        <f aca="false">INT(MOD(A2375,$N$1) / 2)</f>
        <v>7</v>
      </c>
      <c r="D2375" s="1" t="n">
        <f aca="false">_xlfn.BITAND(A2375,1)</f>
        <v>1</v>
      </c>
      <c r="F2375" s="1" t="str">
        <f aca="false">DEC2HEX(B2375*$N$3*18)</f>
        <v>24D80</v>
      </c>
      <c r="G2375" s="1" t="str">
        <f aca="false">DEC2HEX(C2375*7)</f>
        <v>31</v>
      </c>
      <c r="H2375" s="1" t="str">
        <f aca="false">IF(D2375=0, 33, "cc")</f>
        <v>cc</v>
      </c>
    </row>
    <row r="2376" customFormat="false" ht="18.65" hidden="false" customHeight="true" outlineLevel="0" collapsed="false">
      <c r="A2376" s="1" t="n">
        <f aca="false">ROW()-2</f>
        <v>2374</v>
      </c>
      <c r="B2376" s="1" t="n">
        <f aca="false">INT(A2376/$N$1)</f>
        <v>131</v>
      </c>
      <c r="C2376" s="1" t="n">
        <f aca="false">INT(MOD(A2376,$N$1) / 2)</f>
        <v>8</v>
      </c>
      <c r="D2376" s="1" t="n">
        <f aca="false">_xlfn.BITAND(A2376,1)</f>
        <v>0</v>
      </c>
      <c r="F2376" s="1" t="str">
        <f aca="false">DEC2HEX(B2376*$N$3*18)</f>
        <v>24D80</v>
      </c>
      <c r="G2376" s="1" t="str">
        <f aca="false">DEC2HEX(C2376*7)</f>
        <v>38</v>
      </c>
      <c r="H2376" s="1" t="n">
        <f aca="false">IF(D2376=0, 33, "cc")</f>
        <v>33</v>
      </c>
    </row>
    <row r="2377" customFormat="false" ht="18.65" hidden="false" customHeight="true" outlineLevel="0" collapsed="false">
      <c r="A2377" s="1" t="n">
        <f aca="false">ROW()-2</f>
        <v>2375</v>
      </c>
      <c r="B2377" s="1" t="n">
        <f aca="false">INT(A2377/$N$1)</f>
        <v>131</v>
      </c>
      <c r="C2377" s="1" t="n">
        <f aca="false">INT(MOD(A2377,$N$1) / 2)</f>
        <v>8</v>
      </c>
      <c r="D2377" s="1" t="n">
        <f aca="false">_xlfn.BITAND(A2377,1)</f>
        <v>1</v>
      </c>
      <c r="F2377" s="1" t="str">
        <f aca="false">DEC2HEX(B2377*$N$3*18)</f>
        <v>24D80</v>
      </c>
      <c r="G2377" s="1" t="str">
        <f aca="false">DEC2HEX(C2377*7)</f>
        <v>38</v>
      </c>
      <c r="H2377" s="1" t="str">
        <f aca="false">IF(D2377=0, 33, "cc")</f>
        <v>cc</v>
      </c>
    </row>
    <row r="2378" customFormat="false" ht="18.65" hidden="false" customHeight="true" outlineLevel="0" collapsed="false">
      <c r="A2378" s="1" t="n">
        <f aca="false">ROW()-2</f>
        <v>2376</v>
      </c>
      <c r="B2378" s="1" t="n">
        <f aca="false">INT(A2378/$N$1)</f>
        <v>132</v>
      </c>
      <c r="C2378" s="1" t="n">
        <f aca="false">INT(MOD(A2378,$N$1) / 2)</f>
        <v>0</v>
      </c>
      <c r="D2378" s="1" t="n">
        <f aca="false">_xlfn.BITAND(A2378,1)</f>
        <v>0</v>
      </c>
      <c r="F2378" s="1" t="str">
        <f aca="false">DEC2HEX(B2378*$N$3*18)</f>
        <v>25200</v>
      </c>
      <c r="G2378" s="1" t="str">
        <f aca="false">DEC2HEX(C2378*7)</f>
        <v>0</v>
      </c>
      <c r="H2378" s="1" t="n">
        <f aca="false">IF(D2378=0, 33, "cc")</f>
        <v>33</v>
      </c>
    </row>
    <row r="2379" customFormat="false" ht="18.65" hidden="false" customHeight="true" outlineLevel="0" collapsed="false">
      <c r="A2379" s="1" t="n">
        <f aca="false">ROW()-2</f>
        <v>2377</v>
      </c>
      <c r="B2379" s="1" t="n">
        <f aca="false">INT(A2379/$N$1)</f>
        <v>132</v>
      </c>
      <c r="C2379" s="1" t="n">
        <f aca="false">INT(MOD(A2379,$N$1) / 2)</f>
        <v>0</v>
      </c>
      <c r="D2379" s="1" t="n">
        <f aca="false">_xlfn.BITAND(A2379,1)</f>
        <v>1</v>
      </c>
      <c r="F2379" s="1" t="str">
        <f aca="false">DEC2HEX(B2379*$N$3*18)</f>
        <v>25200</v>
      </c>
      <c r="G2379" s="1" t="str">
        <f aca="false">DEC2HEX(C2379*7)</f>
        <v>0</v>
      </c>
      <c r="H2379" s="1" t="str">
        <f aca="false">IF(D2379=0, 33, "cc")</f>
        <v>cc</v>
      </c>
    </row>
    <row r="2380" customFormat="false" ht="18.65" hidden="false" customHeight="true" outlineLevel="0" collapsed="false">
      <c r="A2380" s="1" t="n">
        <f aca="false">ROW()-2</f>
        <v>2378</v>
      </c>
      <c r="B2380" s="1" t="n">
        <f aca="false">INT(A2380/$N$1)</f>
        <v>132</v>
      </c>
      <c r="C2380" s="1" t="n">
        <f aca="false">INT(MOD(A2380,$N$1) / 2)</f>
        <v>1</v>
      </c>
      <c r="D2380" s="1" t="n">
        <f aca="false">_xlfn.BITAND(A2380,1)</f>
        <v>0</v>
      </c>
      <c r="F2380" s="1" t="str">
        <f aca="false">DEC2HEX(B2380*$N$3*18)</f>
        <v>25200</v>
      </c>
      <c r="G2380" s="1" t="str">
        <f aca="false">DEC2HEX(C2380*7)</f>
        <v>7</v>
      </c>
      <c r="H2380" s="1" t="n">
        <f aca="false">IF(D2380=0, 33, "cc")</f>
        <v>33</v>
      </c>
    </row>
    <row r="2381" customFormat="false" ht="18.65" hidden="false" customHeight="true" outlineLevel="0" collapsed="false">
      <c r="A2381" s="1" t="n">
        <f aca="false">ROW()-2</f>
        <v>2379</v>
      </c>
      <c r="B2381" s="1" t="n">
        <f aca="false">INT(A2381/$N$1)</f>
        <v>132</v>
      </c>
      <c r="C2381" s="1" t="n">
        <f aca="false">INT(MOD(A2381,$N$1) / 2)</f>
        <v>1</v>
      </c>
      <c r="D2381" s="1" t="n">
        <f aca="false">_xlfn.BITAND(A2381,1)</f>
        <v>1</v>
      </c>
      <c r="F2381" s="1" t="str">
        <f aca="false">DEC2HEX(B2381*$N$3*18)</f>
        <v>25200</v>
      </c>
      <c r="G2381" s="1" t="str">
        <f aca="false">DEC2HEX(C2381*7)</f>
        <v>7</v>
      </c>
      <c r="H2381" s="1" t="str">
        <f aca="false">IF(D2381=0, 33, "cc")</f>
        <v>cc</v>
      </c>
    </row>
    <row r="2382" customFormat="false" ht="18.65" hidden="false" customHeight="true" outlineLevel="0" collapsed="false">
      <c r="A2382" s="1" t="n">
        <f aca="false">ROW()-2</f>
        <v>2380</v>
      </c>
      <c r="B2382" s="1" t="n">
        <f aca="false">INT(A2382/$N$1)</f>
        <v>132</v>
      </c>
      <c r="C2382" s="1" t="n">
        <f aca="false">INT(MOD(A2382,$N$1) / 2)</f>
        <v>2</v>
      </c>
      <c r="D2382" s="1" t="n">
        <f aca="false">_xlfn.BITAND(A2382,1)</f>
        <v>0</v>
      </c>
      <c r="F2382" s="1" t="str">
        <f aca="false">DEC2HEX(B2382*$N$3*18)</f>
        <v>25200</v>
      </c>
      <c r="G2382" s="1" t="str">
        <f aca="false">DEC2HEX(C2382*7)</f>
        <v>E</v>
      </c>
      <c r="H2382" s="1" t="n">
        <f aca="false">IF(D2382=0, 33, "cc")</f>
        <v>33</v>
      </c>
    </row>
    <row r="2383" customFormat="false" ht="18.65" hidden="false" customHeight="true" outlineLevel="0" collapsed="false">
      <c r="A2383" s="1" t="n">
        <f aca="false">ROW()-2</f>
        <v>2381</v>
      </c>
      <c r="B2383" s="1" t="n">
        <f aca="false">INT(A2383/$N$1)</f>
        <v>132</v>
      </c>
      <c r="C2383" s="1" t="n">
        <f aca="false">INT(MOD(A2383,$N$1) / 2)</f>
        <v>2</v>
      </c>
      <c r="D2383" s="1" t="n">
        <f aca="false">_xlfn.BITAND(A2383,1)</f>
        <v>1</v>
      </c>
      <c r="F2383" s="1" t="str">
        <f aca="false">DEC2HEX(B2383*$N$3*18)</f>
        <v>25200</v>
      </c>
      <c r="G2383" s="1" t="str">
        <f aca="false">DEC2HEX(C2383*7)</f>
        <v>E</v>
      </c>
      <c r="H2383" s="1" t="str">
        <f aca="false">IF(D2383=0, 33, "cc")</f>
        <v>cc</v>
      </c>
    </row>
    <row r="2384" customFormat="false" ht="18.65" hidden="false" customHeight="true" outlineLevel="0" collapsed="false">
      <c r="A2384" s="1" t="n">
        <f aca="false">ROW()-2</f>
        <v>2382</v>
      </c>
      <c r="B2384" s="1" t="n">
        <f aca="false">INT(A2384/$N$1)</f>
        <v>132</v>
      </c>
      <c r="C2384" s="1" t="n">
        <f aca="false">INT(MOD(A2384,$N$1) / 2)</f>
        <v>3</v>
      </c>
      <c r="D2384" s="1" t="n">
        <f aca="false">_xlfn.BITAND(A2384,1)</f>
        <v>0</v>
      </c>
      <c r="F2384" s="1" t="str">
        <f aca="false">DEC2HEX(B2384*$N$3*18)</f>
        <v>25200</v>
      </c>
      <c r="G2384" s="1" t="str">
        <f aca="false">DEC2HEX(C2384*7)</f>
        <v>15</v>
      </c>
      <c r="H2384" s="1" t="n">
        <f aca="false">IF(D2384=0, 33, "cc")</f>
        <v>33</v>
      </c>
    </row>
    <row r="2385" customFormat="false" ht="18.65" hidden="false" customHeight="true" outlineLevel="0" collapsed="false">
      <c r="A2385" s="1" t="n">
        <f aca="false">ROW()-2</f>
        <v>2383</v>
      </c>
      <c r="B2385" s="1" t="n">
        <f aca="false">INT(A2385/$N$1)</f>
        <v>132</v>
      </c>
      <c r="C2385" s="1" t="n">
        <f aca="false">INT(MOD(A2385,$N$1) / 2)</f>
        <v>3</v>
      </c>
      <c r="D2385" s="1" t="n">
        <f aca="false">_xlfn.BITAND(A2385,1)</f>
        <v>1</v>
      </c>
      <c r="F2385" s="1" t="str">
        <f aca="false">DEC2HEX(B2385*$N$3*18)</f>
        <v>25200</v>
      </c>
      <c r="G2385" s="1" t="str">
        <f aca="false">DEC2HEX(C2385*7)</f>
        <v>15</v>
      </c>
      <c r="H2385" s="1" t="str">
        <f aca="false">IF(D2385=0, 33, "cc")</f>
        <v>cc</v>
      </c>
    </row>
    <row r="2386" customFormat="false" ht="18.65" hidden="false" customHeight="true" outlineLevel="0" collapsed="false">
      <c r="A2386" s="1" t="n">
        <f aca="false">ROW()-2</f>
        <v>2384</v>
      </c>
      <c r="B2386" s="1" t="n">
        <f aca="false">INT(A2386/$N$1)</f>
        <v>132</v>
      </c>
      <c r="C2386" s="1" t="n">
        <f aca="false">INT(MOD(A2386,$N$1) / 2)</f>
        <v>4</v>
      </c>
      <c r="D2386" s="1" t="n">
        <f aca="false">_xlfn.BITAND(A2386,1)</f>
        <v>0</v>
      </c>
      <c r="F2386" s="1" t="str">
        <f aca="false">DEC2HEX(B2386*$N$3*18)</f>
        <v>25200</v>
      </c>
      <c r="G2386" s="1" t="str">
        <f aca="false">DEC2HEX(C2386*7)</f>
        <v>1C</v>
      </c>
      <c r="H2386" s="1" t="n">
        <f aca="false">IF(D2386=0, 33, "cc")</f>
        <v>33</v>
      </c>
    </row>
    <row r="2387" customFormat="false" ht="18.65" hidden="false" customHeight="true" outlineLevel="0" collapsed="false">
      <c r="A2387" s="1" t="n">
        <f aca="false">ROW()-2</f>
        <v>2385</v>
      </c>
      <c r="B2387" s="1" t="n">
        <f aca="false">INT(A2387/$N$1)</f>
        <v>132</v>
      </c>
      <c r="C2387" s="1" t="n">
        <f aca="false">INT(MOD(A2387,$N$1) / 2)</f>
        <v>4</v>
      </c>
      <c r="D2387" s="1" t="n">
        <f aca="false">_xlfn.BITAND(A2387,1)</f>
        <v>1</v>
      </c>
      <c r="F2387" s="1" t="str">
        <f aca="false">DEC2HEX(B2387*$N$3*18)</f>
        <v>25200</v>
      </c>
      <c r="G2387" s="1" t="str">
        <f aca="false">DEC2HEX(C2387*7)</f>
        <v>1C</v>
      </c>
      <c r="H2387" s="1" t="str">
        <f aca="false">IF(D2387=0, 33, "cc")</f>
        <v>cc</v>
      </c>
    </row>
    <row r="2388" customFormat="false" ht="18.65" hidden="false" customHeight="true" outlineLevel="0" collapsed="false">
      <c r="A2388" s="1" t="n">
        <f aca="false">ROW()-2</f>
        <v>2386</v>
      </c>
      <c r="B2388" s="1" t="n">
        <f aca="false">INT(A2388/$N$1)</f>
        <v>132</v>
      </c>
      <c r="C2388" s="1" t="n">
        <f aca="false">INT(MOD(A2388,$N$1) / 2)</f>
        <v>5</v>
      </c>
      <c r="D2388" s="1" t="n">
        <f aca="false">_xlfn.BITAND(A2388,1)</f>
        <v>0</v>
      </c>
      <c r="F2388" s="1" t="str">
        <f aca="false">DEC2HEX(B2388*$N$3*18)</f>
        <v>25200</v>
      </c>
      <c r="G2388" s="1" t="str">
        <f aca="false">DEC2HEX(C2388*7)</f>
        <v>23</v>
      </c>
      <c r="H2388" s="1" t="n">
        <f aca="false">IF(D2388=0, 33, "cc")</f>
        <v>33</v>
      </c>
    </row>
    <row r="2389" customFormat="false" ht="18.65" hidden="false" customHeight="true" outlineLevel="0" collapsed="false">
      <c r="A2389" s="1" t="n">
        <f aca="false">ROW()-2</f>
        <v>2387</v>
      </c>
      <c r="B2389" s="1" t="n">
        <f aca="false">INT(A2389/$N$1)</f>
        <v>132</v>
      </c>
      <c r="C2389" s="1" t="n">
        <f aca="false">INT(MOD(A2389,$N$1) / 2)</f>
        <v>5</v>
      </c>
      <c r="D2389" s="1" t="n">
        <f aca="false">_xlfn.BITAND(A2389,1)</f>
        <v>1</v>
      </c>
      <c r="F2389" s="1" t="str">
        <f aca="false">DEC2HEX(B2389*$N$3*18)</f>
        <v>25200</v>
      </c>
      <c r="G2389" s="1" t="str">
        <f aca="false">DEC2HEX(C2389*7)</f>
        <v>23</v>
      </c>
      <c r="H2389" s="1" t="str">
        <f aca="false">IF(D2389=0, 33, "cc")</f>
        <v>cc</v>
      </c>
    </row>
    <row r="2390" customFormat="false" ht="18.65" hidden="false" customHeight="true" outlineLevel="0" collapsed="false">
      <c r="A2390" s="1" t="n">
        <f aca="false">ROW()-2</f>
        <v>2388</v>
      </c>
      <c r="B2390" s="1" t="n">
        <f aca="false">INT(A2390/$N$1)</f>
        <v>132</v>
      </c>
      <c r="C2390" s="1" t="n">
        <f aca="false">INT(MOD(A2390,$N$1) / 2)</f>
        <v>6</v>
      </c>
      <c r="D2390" s="1" t="n">
        <f aca="false">_xlfn.BITAND(A2390,1)</f>
        <v>0</v>
      </c>
      <c r="F2390" s="1" t="str">
        <f aca="false">DEC2HEX(B2390*$N$3*18)</f>
        <v>25200</v>
      </c>
      <c r="G2390" s="1" t="str">
        <f aca="false">DEC2HEX(C2390*7)</f>
        <v>2A</v>
      </c>
      <c r="H2390" s="1" t="n">
        <f aca="false">IF(D2390=0, 33, "cc")</f>
        <v>33</v>
      </c>
    </row>
    <row r="2391" customFormat="false" ht="18.65" hidden="false" customHeight="true" outlineLevel="0" collapsed="false">
      <c r="A2391" s="1" t="n">
        <f aca="false">ROW()-2</f>
        <v>2389</v>
      </c>
      <c r="B2391" s="1" t="n">
        <f aca="false">INT(A2391/$N$1)</f>
        <v>132</v>
      </c>
      <c r="C2391" s="1" t="n">
        <f aca="false">INT(MOD(A2391,$N$1) / 2)</f>
        <v>6</v>
      </c>
      <c r="D2391" s="1" t="n">
        <f aca="false">_xlfn.BITAND(A2391,1)</f>
        <v>1</v>
      </c>
      <c r="F2391" s="1" t="str">
        <f aca="false">DEC2HEX(B2391*$N$3*18)</f>
        <v>25200</v>
      </c>
      <c r="G2391" s="1" t="str">
        <f aca="false">DEC2HEX(C2391*7)</f>
        <v>2A</v>
      </c>
      <c r="H2391" s="1" t="str">
        <f aca="false">IF(D2391=0, 33, "cc")</f>
        <v>cc</v>
      </c>
    </row>
    <row r="2392" customFormat="false" ht="18.65" hidden="false" customHeight="true" outlineLevel="0" collapsed="false">
      <c r="A2392" s="1" t="n">
        <f aca="false">ROW()-2</f>
        <v>2390</v>
      </c>
      <c r="B2392" s="1" t="n">
        <f aca="false">INT(A2392/$N$1)</f>
        <v>132</v>
      </c>
      <c r="C2392" s="1" t="n">
        <f aca="false">INT(MOD(A2392,$N$1) / 2)</f>
        <v>7</v>
      </c>
      <c r="D2392" s="1" t="n">
        <f aca="false">_xlfn.BITAND(A2392,1)</f>
        <v>0</v>
      </c>
      <c r="F2392" s="1" t="str">
        <f aca="false">DEC2HEX(B2392*$N$3*18)</f>
        <v>25200</v>
      </c>
      <c r="G2392" s="1" t="str">
        <f aca="false">DEC2HEX(C2392*7)</f>
        <v>31</v>
      </c>
      <c r="H2392" s="1" t="n">
        <f aca="false">IF(D2392=0, 33, "cc")</f>
        <v>33</v>
      </c>
    </row>
    <row r="2393" customFormat="false" ht="18.65" hidden="false" customHeight="true" outlineLevel="0" collapsed="false">
      <c r="A2393" s="1" t="n">
        <f aca="false">ROW()-2</f>
        <v>2391</v>
      </c>
      <c r="B2393" s="1" t="n">
        <f aca="false">INT(A2393/$N$1)</f>
        <v>132</v>
      </c>
      <c r="C2393" s="1" t="n">
        <f aca="false">INT(MOD(A2393,$N$1) / 2)</f>
        <v>7</v>
      </c>
      <c r="D2393" s="1" t="n">
        <f aca="false">_xlfn.BITAND(A2393,1)</f>
        <v>1</v>
      </c>
      <c r="F2393" s="1" t="str">
        <f aca="false">DEC2HEX(B2393*$N$3*18)</f>
        <v>25200</v>
      </c>
      <c r="G2393" s="1" t="str">
        <f aca="false">DEC2HEX(C2393*7)</f>
        <v>31</v>
      </c>
      <c r="H2393" s="1" t="str">
        <f aca="false">IF(D2393=0, 33, "cc")</f>
        <v>cc</v>
      </c>
    </row>
    <row r="2394" customFormat="false" ht="18.65" hidden="false" customHeight="true" outlineLevel="0" collapsed="false">
      <c r="A2394" s="1" t="n">
        <f aca="false">ROW()-2</f>
        <v>2392</v>
      </c>
      <c r="B2394" s="1" t="n">
        <f aca="false">INT(A2394/$N$1)</f>
        <v>132</v>
      </c>
      <c r="C2394" s="1" t="n">
        <f aca="false">INT(MOD(A2394,$N$1) / 2)</f>
        <v>8</v>
      </c>
      <c r="D2394" s="1" t="n">
        <f aca="false">_xlfn.BITAND(A2394,1)</f>
        <v>0</v>
      </c>
      <c r="F2394" s="1" t="str">
        <f aca="false">DEC2HEX(B2394*$N$3*18)</f>
        <v>25200</v>
      </c>
      <c r="G2394" s="1" t="str">
        <f aca="false">DEC2HEX(C2394*7)</f>
        <v>38</v>
      </c>
      <c r="H2394" s="1" t="n">
        <f aca="false">IF(D2394=0, 33, "cc")</f>
        <v>33</v>
      </c>
    </row>
    <row r="2395" customFormat="false" ht="18.65" hidden="false" customHeight="true" outlineLevel="0" collapsed="false">
      <c r="A2395" s="1" t="n">
        <f aca="false">ROW()-2</f>
        <v>2393</v>
      </c>
      <c r="B2395" s="1" t="n">
        <f aca="false">INT(A2395/$N$1)</f>
        <v>132</v>
      </c>
      <c r="C2395" s="1" t="n">
        <f aca="false">INT(MOD(A2395,$N$1) / 2)</f>
        <v>8</v>
      </c>
      <c r="D2395" s="1" t="n">
        <f aca="false">_xlfn.BITAND(A2395,1)</f>
        <v>1</v>
      </c>
      <c r="F2395" s="1" t="str">
        <f aca="false">DEC2HEX(B2395*$N$3*18)</f>
        <v>25200</v>
      </c>
      <c r="G2395" s="1" t="str">
        <f aca="false">DEC2HEX(C2395*7)</f>
        <v>38</v>
      </c>
      <c r="H2395" s="1" t="str">
        <f aca="false">IF(D2395=0, 33, "cc")</f>
        <v>cc</v>
      </c>
    </row>
    <row r="2396" customFormat="false" ht="18.65" hidden="false" customHeight="true" outlineLevel="0" collapsed="false">
      <c r="A2396" s="1" t="n">
        <f aca="false">ROW()-2</f>
        <v>2394</v>
      </c>
      <c r="B2396" s="1" t="n">
        <f aca="false">INT(A2396/$N$1)</f>
        <v>133</v>
      </c>
      <c r="C2396" s="1" t="n">
        <f aca="false">INT(MOD(A2396,$N$1) / 2)</f>
        <v>0</v>
      </c>
      <c r="D2396" s="1" t="n">
        <f aca="false">_xlfn.BITAND(A2396,1)</f>
        <v>0</v>
      </c>
      <c r="F2396" s="1" t="str">
        <f aca="false">DEC2HEX(B2396*$N$3*18)</f>
        <v>25680</v>
      </c>
      <c r="G2396" s="1" t="str">
        <f aca="false">DEC2HEX(C2396*7)</f>
        <v>0</v>
      </c>
      <c r="H2396" s="1" t="n">
        <f aca="false">IF(D2396=0, 33, "cc")</f>
        <v>33</v>
      </c>
    </row>
    <row r="2397" customFormat="false" ht="18.65" hidden="false" customHeight="true" outlineLevel="0" collapsed="false">
      <c r="A2397" s="1" t="n">
        <f aca="false">ROW()-2</f>
        <v>2395</v>
      </c>
      <c r="B2397" s="1" t="n">
        <f aca="false">INT(A2397/$N$1)</f>
        <v>133</v>
      </c>
      <c r="C2397" s="1" t="n">
        <f aca="false">INT(MOD(A2397,$N$1) / 2)</f>
        <v>0</v>
      </c>
      <c r="D2397" s="1" t="n">
        <f aca="false">_xlfn.BITAND(A2397,1)</f>
        <v>1</v>
      </c>
      <c r="F2397" s="1" t="str">
        <f aca="false">DEC2HEX(B2397*$N$3*18)</f>
        <v>25680</v>
      </c>
      <c r="G2397" s="1" t="str">
        <f aca="false">DEC2HEX(C2397*7)</f>
        <v>0</v>
      </c>
      <c r="H2397" s="1" t="str">
        <f aca="false">IF(D2397=0, 33, "cc")</f>
        <v>cc</v>
      </c>
    </row>
    <row r="2398" customFormat="false" ht="18.65" hidden="false" customHeight="true" outlineLevel="0" collapsed="false">
      <c r="A2398" s="1" t="n">
        <f aca="false">ROW()-2</f>
        <v>2396</v>
      </c>
      <c r="B2398" s="1" t="n">
        <f aca="false">INT(A2398/$N$1)</f>
        <v>133</v>
      </c>
      <c r="C2398" s="1" t="n">
        <f aca="false">INT(MOD(A2398,$N$1) / 2)</f>
        <v>1</v>
      </c>
      <c r="D2398" s="1" t="n">
        <f aca="false">_xlfn.BITAND(A2398,1)</f>
        <v>0</v>
      </c>
      <c r="F2398" s="1" t="str">
        <f aca="false">DEC2HEX(B2398*$N$3*18)</f>
        <v>25680</v>
      </c>
      <c r="G2398" s="1" t="str">
        <f aca="false">DEC2HEX(C2398*7)</f>
        <v>7</v>
      </c>
      <c r="H2398" s="1" t="n">
        <f aca="false">IF(D2398=0, 33, "cc")</f>
        <v>33</v>
      </c>
    </row>
    <row r="2399" customFormat="false" ht="18.65" hidden="false" customHeight="true" outlineLevel="0" collapsed="false">
      <c r="A2399" s="1" t="n">
        <f aca="false">ROW()-2</f>
        <v>2397</v>
      </c>
      <c r="B2399" s="1" t="n">
        <f aca="false">INT(A2399/$N$1)</f>
        <v>133</v>
      </c>
      <c r="C2399" s="1" t="n">
        <f aca="false">INT(MOD(A2399,$N$1) / 2)</f>
        <v>1</v>
      </c>
      <c r="D2399" s="1" t="n">
        <f aca="false">_xlfn.BITAND(A2399,1)</f>
        <v>1</v>
      </c>
      <c r="F2399" s="1" t="str">
        <f aca="false">DEC2HEX(B2399*$N$3*18)</f>
        <v>25680</v>
      </c>
      <c r="G2399" s="1" t="str">
        <f aca="false">DEC2HEX(C2399*7)</f>
        <v>7</v>
      </c>
      <c r="H2399" s="1" t="str">
        <f aca="false">IF(D2399=0, 33, "cc")</f>
        <v>cc</v>
      </c>
    </row>
    <row r="2400" customFormat="false" ht="18.65" hidden="false" customHeight="true" outlineLevel="0" collapsed="false">
      <c r="A2400" s="1" t="n">
        <f aca="false">ROW()-2</f>
        <v>2398</v>
      </c>
      <c r="B2400" s="1" t="n">
        <f aca="false">INT(A2400/$N$1)</f>
        <v>133</v>
      </c>
      <c r="C2400" s="1" t="n">
        <f aca="false">INT(MOD(A2400,$N$1) / 2)</f>
        <v>2</v>
      </c>
      <c r="D2400" s="1" t="n">
        <f aca="false">_xlfn.BITAND(A2400,1)</f>
        <v>0</v>
      </c>
      <c r="F2400" s="1" t="str">
        <f aca="false">DEC2HEX(B2400*$N$3*18)</f>
        <v>25680</v>
      </c>
      <c r="G2400" s="1" t="str">
        <f aca="false">DEC2HEX(C2400*7)</f>
        <v>E</v>
      </c>
      <c r="H2400" s="1" t="n">
        <f aca="false">IF(D2400=0, 33, "cc")</f>
        <v>33</v>
      </c>
    </row>
    <row r="2401" customFormat="false" ht="18.65" hidden="false" customHeight="true" outlineLevel="0" collapsed="false">
      <c r="A2401" s="1" t="n">
        <f aca="false">ROW()-2</f>
        <v>2399</v>
      </c>
      <c r="B2401" s="1" t="n">
        <f aca="false">INT(A2401/$N$1)</f>
        <v>133</v>
      </c>
      <c r="C2401" s="1" t="n">
        <f aca="false">INT(MOD(A2401,$N$1) / 2)</f>
        <v>2</v>
      </c>
      <c r="D2401" s="1" t="n">
        <f aca="false">_xlfn.BITAND(A2401,1)</f>
        <v>1</v>
      </c>
      <c r="F2401" s="1" t="str">
        <f aca="false">DEC2HEX(B2401*$N$3*18)</f>
        <v>25680</v>
      </c>
      <c r="G2401" s="1" t="str">
        <f aca="false">DEC2HEX(C2401*7)</f>
        <v>E</v>
      </c>
      <c r="H2401" s="1" t="str">
        <f aca="false">IF(D2401=0, 33, "cc")</f>
        <v>cc</v>
      </c>
    </row>
    <row r="2402" customFormat="false" ht="18.65" hidden="false" customHeight="true" outlineLevel="0" collapsed="false">
      <c r="A2402" s="1" t="n">
        <f aca="false">ROW()-2</f>
        <v>2400</v>
      </c>
      <c r="B2402" s="1" t="n">
        <f aca="false">INT(A2402/$N$1)</f>
        <v>133</v>
      </c>
      <c r="C2402" s="1" t="n">
        <f aca="false">INT(MOD(A2402,$N$1) / 2)</f>
        <v>3</v>
      </c>
      <c r="D2402" s="1" t="n">
        <f aca="false">_xlfn.BITAND(A2402,1)</f>
        <v>0</v>
      </c>
      <c r="F2402" s="1" t="str">
        <f aca="false">DEC2HEX(B2402*$N$3*18)</f>
        <v>25680</v>
      </c>
      <c r="G2402" s="1" t="str">
        <f aca="false">DEC2HEX(C2402*7)</f>
        <v>15</v>
      </c>
      <c r="H2402" s="1" t="n">
        <f aca="false">IF(D2402=0, 33, "cc")</f>
        <v>33</v>
      </c>
    </row>
    <row r="2403" customFormat="false" ht="18.65" hidden="false" customHeight="true" outlineLevel="0" collapsed="false">
      <c r="A2403" s="1" t="n">
        <f aca="false">ROW()-2</f>
        <v>2401</v>
      </c>
      <c r="B2403" s="1" t="n">
        <f aca="false">INT(A2403/$N$1)</f>
        <v>133</v>
      </c>
      <c r="C2403" s="1" t="n">
        <f aca="false">INT(MOD(A2403,$N$1) / 2)</f>
        <v>3</v>
      </c>
      <c r="D2403" s="1" t="n">
        <f aca="false">_xlfn.BITAND(A2403,1)</f>
        <v>1</v>
      </c>
      <c r="F2403" s="1" t="str">
        <f aca="false">DEC2HEX(B2403*$N$3*18)</f>
        <v>25680</v>
      </c>
      <c r="G2403" s="1" t="str">
        <f aca="false">DEC2HEX(C2403*7)</f>
        <v>15</v>
      </c>
      <c r="H2403" s="1" t="str">
        <f aca="false">IF(D2403=0, 33, "cc")</f>
        <v>cc</v>
      </c>
    </row>
    <row r="2404" customFormat="false" ht="18.65" hidden="false" customHeight="true" outlineLevel="0" collapsed="false">
      <c r="A2404" s="1" t="n">
        <f aca="false">ROW()-2</f>
        <v>2402</v>
      </c>
      <c r="B2404" s="1" t="n">
        <f aca="false">INT(A2404/$N$1)</f>
        <v>133</v>
      </c>
      <c r="C2404" s="1" t="n">
        <f aca="false">INT(MOD(A2404,$N$1) / 2)</f>
        <v>4</v>
      </c>
      <c r="D2404" s="1" t="n">
        <f aca="false">_xlfn.BITAND(A2404,1)</f>
        <v>0</v>
      </c>
      <c r="F2404" s="1" t="str">
        <f aca="false">DEC2HEX(B2404*$N$3*18)</f>
        <v>25680</v>
      </c>
      <c r="G2404" s="1" t="str">
        <f aca="false">DEC2HEX(C2404*7)</f>
        <v>1C</v>
      </c>
      <c r="H2404" s="1" t="n">
        <f aca="false">IF(D2404=0, 33, "cc")</f>
        <v>33</v>
      </c>
    </row>
    <row r="2405" customFormat="false" ht="18.65" hidden="false" customHeight="true" outlineLevel="0" collapsed="false">
      <c r="A2405" s="1" t="n">
        <f aca="false">ROW()-2</f>
        <v>2403</v>
      </c>
      <c r="B2405" s="1" t="n">
        <f aca="false">INT(A2405/$N$1)</f>
        <v>133</v>
      </c>
      <c r="C2405" s="1" t="n">
        <f aca="false">INT(MOD(A2405,$N$1) / 2)</f>
        <v>4</v>
      </c>
      <c r="D2405" s="1" t="n">
        <f aca="false">_xlfn.BITAND(A2405,1)</f>
        <v>1</v>
      </c>
      <c r="F2405" s="1" t="str">
        <f aca="false">DEC2HEX(B2405*$N$3*18)</f>
        <v>25680</v>
      </c>
      <c r="G2405" s="1" t="str">
        <f aca="false">DEC2HEX(C2405*7)</f>
        <v>1C</v>
      </c>
      <c r="H2405" s="1" t="str">
        <f aca="false">IF(D2405=0, 33, "cc")</f>
        <v>cc</v>
      </c>
    </row>
    <row r="2406" customFormat="false" ht="18.65" hidden="false" customHeight="true" outlineLevel="0" collapsed="false">
      <c r="A2406" s="1" t="n">
        <f aca="false">ROW()-2</f>
        <v>2404</v>
      </c>
      <c r="B2406" s="1" t="n">
        <f aca="false">INT(A2406/$N$1)</f>
        <v>133</v>
      </c>
      <c r="C2406" s="1" t="n">
        <f aca="false">INT(MOD(A2406,$N$1) / 2)</f>
        <v>5</v>
      </c>
      <c r="D2406" s="1" t="n">
        <f aca="false">_xlfn.BITAND(A2406,1)</f>
        <v>0</v>
      </c>
      <c r="F2406" s="1" t="str">
        <f aca="false">DEC2HEX(B2406*$N$3*18)</f>
        <v>25680</v>
      </c>
      <c r="G2406" s="1" t="str">
        <f aca="false">DEC2HEX(C2406*7)</f>
        <v>23</v>
      </c>
      <c r="H2406" s="1" t="n">
        <f aca="false">IF(D2406=0, 33, "cc")</f>
        <v>33</v>
      </c>
    </row>
    <row r="2407" customFormat="false" ht="18.65" hidden="false" customHeight="true" outlineLevel="0" collapsed="false">
      <c r="A2407" s="1" t="n">
        <f aca="false">ROW()-2</f>
        <v>2405</v>
      </c>
      <c r="B2407" s="1" t="n">
        <f aca="false">INT(A2407/$N$1)</f>
        <v>133</v>
      </c>
      <c r="C2407" s="1" t="n">
        <f aca="false">INT(MOD(A2407,$N$1) / 2)</f>
        <v>5</v>
      </c>
      <c r="D2407" s="1" t="n">
        <f aca="false">_xlfn.BITAND(A2407,1)</f>
        <v>1</v>
      </c>
      <c r="F2407" s="1" t="str">
        <f aca="false">DEC2HEX(B2407*$N$3*18)</f>
        <v>25680</v>
      </c>
      <c r="G2407" s="1" t="str">
        <f aca="false">DEC2HEX(C2407*7)</f>
        <v>23</v>
      </c>
      <c r="H2407" s="1" t="str">
        <f aca="false">IF(D2407=0, 33, "cc")</f>
        <v>cc</v>
      </c>
    </row>
    <row r="2408" customFormat="false" ht="18.65" hidden="false" customHeight="true" outlineLevel="0" collapsed="false">
      <c r="A2408" s="1" t="n">
        <f aca="false">ROW()-2</f>
        <v>2406</v>
      </c>
      <c r="B2408" s="1" t="n">
        <f aca="false">INT(A2408/$N$1)</f>
        <v>133</v>
      </c>
      <c r="C2408" s="1" t="n">
        <f aca="false">INT(MOD(A2408,$N$1) / 2)</f>
        <v>6</v>
      </c>
      <c r="D2408" s="1" t="n">
        <f aca="false">_xlfn.BITAND(A2408,1)</f>
        <v>0</v>
      </c>
      <c r="F2408" s="1" t="str">
        <f aca="false">DEC2HEX(B2408*$N$3*18)</f>
        <v>25680</v>
      </c>
      <c r="G2408" s="1" t="str">
        <f aca="false">DEC2HEX(C2408*7)</f>
        <v>2A</v>
      </c>
      <c r="H2408" s="1" t="n">
        <f aca="false">IF(D2408=0, 33, "cc")</f>
        <v>33</v>
      </c>
    </row>
    <row r="2409" customFormat="false" ht="18.65" hidden="false" customHeight="true" outlineLevel="0" collapsed="false">
      <c r="A2409" s="1" t="n">
        <f aca="false">ROW()-2</f>
        <v>2407</v>
      </c>
      <c r="B2409" s="1" t="n">
        <f aca="false">INT(A2409/$N$1)</f>
        <v>133</v>
      </c>
      <c r="C2409" s="1" t="n">
        <f aca="false">INT(MOD(A2409,$N$1) / 2)</f>
        <v>6</v>
      </c>
      <c r="D2409" s="1" t="n">
        <f aca="false">_xlfn.BITAND(A2409,1)</f>
        <v>1</v>
      </c>
      <c r="F2409" s="1" t="str">
        <f aca="false">DEC2HEX(B2409*$N$3*18)</f>
        <v>25680</v>
      </c>
      <c r="G2409" s="1" t="str">
        <f aca="false">DEC2HEX(C2409*7)</f>
        <v>2A</v>
      </c>
      <c r="H2409" s="1" t="str">
        <f aca="false">IF(D2409=0, 33, "cc")</f>
        <v>cc</v>
      </c>
    </row>
    <row r="2410" customFormat="false" ht="18.65" hidden="false" customHeight="true" outlineLevel="0" collapsed="false">
      <c r="A2410" s="1" t="n">
        <f aca="false">ROW()-2</f>
        <v>2408</v>
      </c>
      <c r="B2410" s="1" t="n">
        <f aca="false">INT(A2410/$N$1)</f>
        <v>133</v>
      </c>
      <c r="C2410" s="1" t="n">
        <f aca="false">INT(MOD(A2410,$N$1) / 2)</f>
        <v>7</v>
      </c>
      <c r="D2410" s="1" t="n">
        <f aca="false">_xlfn.BITAND(A2410,1)</f>
        <v>0</v>
      </c>
      <c r="F2410" s="1" t="str">
        <f aca="false">DEC2HEX(B2410*$N$3*18)</f>
        <v>25680</v>
      </c>
      <c r="G2410" s="1" t="str">
        <f aca="false">DEC2HEX(C2410*7)</f>
        <v>31</v>
      </c>
      <c r="H2410" s="1" t="n">
        <f aca="false">IF(D2410=0, 33, "cc")</f>
        <v>33</v>
      </c>
    </row>
    <row r="2411" customFormat="false" ht="18.65" hidden="false" customHeight="true" outlineLevel="0" collapsed="false">
      <c r="A2411" s="1" t="n">
        <f aca="false">ROW()-2</f>
        <v>2409</v>
      </c>
      <c r="B2411" s="1" t="n">
        <f aca="false">INT(A2411/$N$1)</f>
        <v>133</v>
      </c>
      <c r="C2411" s="1" t="n">
        <f aca="false">INT(MOD(A2411,$N$1) / 2)</f>
        <v>7</v>
      </c>
      <c r="D2411" s="1" t="n">
        <f aca="false">_xlfn.BITAND(A2411,1)</f>
        <v>1</v>
      </c>
      <c r="F2411" s="1" t="str">
        <f aca="false">DEC2HEX(B2411*$N$3*18)</f>
        <v>25680</v>
      </c>
      <c r="G2411" s="1" t="str">
        <f aca="false">DEC2HEX(C2411*7)</f>
        <v>31</v>
      </c>
      <c r="H2411" s="1" t="str">
        <f aca="false">IF(D2411=0, 33, "cc")</f>
        <v>cc</v>
      </c>
    </row>
    <row r="2412" customFormat="false" ht="18.65" hidden="false" customHeight="true" outlineLevel="0" collapsed="false">
      <c r="A2412" s="1" t="n">
        <f aca="false">ROW()-2</f>
        <v>2410</v>
      </c>
      <c r="B2412" s="1" t="n">
        <f aca="false">INT(A2412/$N$1)</f>
        <v>133</v>
      </c>
      <c r="C2412" s="1" t="n">
        <f aca="false">INT(MOD(A2412,$N$1) / 2)</f>
        <v>8</v>
      </c>
      <c r="D2412" s="1" t="n">
        <f aca="false">_xlfn.BITAND(A2412,1)</f>
        <v>0</v>
      </c>
      <c r="F2412" s="1" t="str">
        <f aca="false">DEC2HEX(B2412*$N$3*18)</f>
        <v>25680</v>
      </c>
      <c r="G2412" s="1" t="str">
        <f aca="false">DEC2HEX(C2412*7)</f>
        <v>38</v>
      </c>
      <c r="H2412" s="1" t="n">
        <f aca="false">IF(D2412=0, 33, "cc")</f>
        <v>33</v>
      </c>
    </row>
    <row r="2413" customFormat="false" ht="18.65" hidden="false" customHeight="true" outlineLevel="0" collapsed="false">
      <c r="A2413" s="1" t="n">
        <f aca="false">ROW()-2</f>
        <v>2411</v>
      </c>
      <c r="B2413" s="1" t="n">
        <f aca="false">INT(A2413/$N$1)</f>
        <v>133</v>
      </c>
      <c r="C2413" s="1" t="n">
        <f aca="false">INT(MOD(A2413,$N$1) / 2)</f>
        <v>8</v>
      </c>
      <c r="D2413" s="1" t="n">
        <f aca="false">_xlfn.BITAND(A2413,1)</f>
        <v>1</v>
      </c>
      <c r="F2413" s="1" t="str">
        <f aca="false">DEC2HEX(B2413*$N$3*18)</f>
        <v>25680</v>
      </c>
      <c r="G2413" s="1" t="str">
        <f aca="false">DEC2HEX(C2413*7)</f>
        <v>38</v>
      </c>
      <c r="H2413" s="1" t="str">
        <f aca="false">IF(D2413=0, 33, "cc")</f>
        <v>cc</v>
      </c>
    </row>
    <row r="2414" customFormat="false" ht="18.65" hidden="false" customHeight="true" outlineLevel="0" collapsed="false">
      <c r="A2414" s="1" t="n">
        <f aca="false">ROW()-2</f>
        <v>2412</v>
      </c>
      <c r="B2414" s="1" t="n">
        <f aca="false">INT(A2414/$N$1)</f>
        <v>134</v>
      </c>
      <c r="C2414" s="1" t="n">
        <f aca="false">INT(MOD(A2414,$N$1) / 2)</f>
        <v>0</v>
      </c>
      <c r="D2414" s="1" t="n">
        <f aca="false">_xlfn.BITAND(A2414,1)</f>
        <v>0</v>
      </c>
      <c r="F2414" s="1" t="str">
        <f aca="false">DEC2HEX(B2414*$N$3*18)</f>
        <v>25B00</v>
      </c>
      <c r="G2414" s="1" t="str">
        <f aca="false">DEC2HEX(C2414*7)</f>
        <v>0</v>
      </c>
      <c r="H2414" s="1" t="n">
        <f aca="false">IF(D2414=0, 33, "cc")</f>
        <v>33</v>
      </c>
    </row>
    <row r="2415" customFormat="false" ht="18.65" hidden="false" customHeight="true" outlineLevel="0" collapsed="false">
      <c r="A2415" s="1" t="n">
        <f aca="false">ROW()-2</f>
        <v>2413</v>
      </c>
      <c r="B2415" s="1" t="n">
        <f aca="false">INT(A2415/$N$1)</f>
        <v>134</v>
      </c>
      <c r="C2415" s="1" t="n">
        <f aca="false">INT(MOD(A2415,$N$1) / 2)</f>
        <v>0</v>
      </c>
      <c r="D2415" s="1" t="n">
        <f aca="false">_xlfn.BITAND(A2415,1)</f>
        <v>1</v>
      </c>
      <c r="F2415" s="1" t="str">
        <f aca="false">DEC2HEX(B2415*$N$3*18)</f>
        <v>25B00</v>
      </c>
      <c r="G2415" s="1" t="str">
        <f aca="false">DEC2HEX(C2415*7)</f>
        <v>0</v>
      </c>
      <c r="H2415" s="1" t="str">
        <f aca="false">IF(D2415=0, 33, "cc")</f>
        <v>cc</v>
      </c>
    </row>
    <row r="2416" customFormat="false" ht="18.65" hidden="false" customHeight="true" outlineLevel="0" collapsed="false">
      <c r="A2416" s="1" t="n">
        <f aca="false">ROW()-2</f>
        <v>2414</v>
      </c>
      <c r="B2416" s="1" t="n">
        <f aca="false">INT(A2416/$N$1)</f>
        <v>134</v>
      </c>
      <c r="C2416" s="1" t="n">
        <f aca="false">INT(MOD(A2416,$N$1) / 2)</f>
        <v>1</v>
      </c>
      <c r="D2416" s="1" t="n">
        <f aca="false">_xlfn.BITAND(A2416,1)</f>
        <v>0</v>
      </c>
      <c r="F2416" s="1" t="str">
        <f aca="false">DEC2HEX(B2416*$N$3*18)</f>
        <v>25B00</v>
      </c>
      <c r="G2416" s="1" t="str">
        <f aca="false">DEC2HEX(C2416*7)</f>
        <v>7</v>
      </c>
      <c r="H2416" s="1" t="n">
        <f aca="false">IF(D2416=0, 33, "cc")</f>
        <v>33</v>
      </c>
    </row>
    <row r="2417" customFormat="false" ht="18.65" hidden="false" customHeight="true" outlineLevel="0" collapsed="false">
      <c r="A2417" s="1" t="n">
        <f aca="false">ROW()-2</f>
        <v>2415</v>
      </c>
      <c r="B2417" s="1" t="n">
        <f aca="false">INT(A2417/$N$1)</f>
        <v>134</v>
      </c>
      <c r="C2417" s="1" t="n">
        <f aca="false">INT(MOD(A2417,$N$1) / 2)</f>
        <v>1</v>
      </c>
      <c r="D2417" s="1" t="n">
        <f aca="false">_xlfn.BITAND(A2417,1)</f>
        <v>1</v>
      </c>
      <c r="F2417" s="1" t="str">
        <f aca="false">DEC2HEX(B2417*$N$3*18)</f>
        <v>25B00</v>
      </c>
      <c r="G2417" s="1" t="str">
        <f aca="false">DEC2HEX(C2417*7)</f>
        <v>7</v>
      </c>
      <c r="H2417" s="1" t="str">
        <f aca="false">IF(D2417=0, 33, "cc")</f>
        <v>cc</v>
      </c>
    </row>
    <row r="2418" customFormat="false" ht="18.65" hidden="false" customHeight="true" outlineLevel="0" collapsed="false">
      <c r="A2418" s="1" t="n">
        <f aca="false">ROW()-2</f>
        <v>2416</v>
      </c>
      <c r="B2418" s="1" t="n">
        <f aca="false">INT(A2418/$N$1)</f>
        <v>134</v>
      </c>
      <c r="C2418" s="1" t="n">
        <f aca="false">INT(MOD(A2418,$N$1) / 2)</f>
        <v>2</v>
      </c>
      <c r="D2418" s="1" t="n">
        <f aca="false">_xlfn.BITAND(A2418,1)</f>
        <v>0</v>
      </c>
      <c r="F2418" s="1" t="str">
        <f aca="false">DEC2HEX(B2418*$N$3*18)</f>
        <v>25B00</v>
      </c>
      <c r="G2418" s="1" t="str">
        <f aca="false">DEC2HEX(C2418*7)</f>
        <v>E</v>
      </c>
      <c r="H2418" s="1" t="n">
        <f aca="false">IF(D2418=0, 33, "cc")</f>
        <v>33</v>
      </c>
    </row>
    <row r="2419" customFormat="false" ht="18.65" hidden="false" customHeight="true" outlineLevel="0" collapsed="false">
      <c r="A2419" s="1" t="n">
        <f aca="false">ROW()-2</f>
        <v>2417</v>
      </c>
      <c r="B2419" s="1" t="n">
        <f aca="false">INT(A2419/$N$1)</f>
        <v>134</v>
      </c>
      <c r="C2419" s="1" t="n">
        <f aca="false">INT(MOD(A2419,$N$1) / 2)</f>
        <v>2</v>
      </c>
      <c r="D2419" s="1" t="n">
        <f aca="false">_xlfn.BITAND(A2419,1)</f>
        <v>1</v>
      </c>
      <c r="F2419" s="1" t="str">
        <f aca="false">DEC2HEX(B2419*$N$3*18)</f>
        <v>25B00</v>
      </c>
      <c r="G2419" s="1" t="str">
        <f aca="false">DEC2HEX(C2419*7)</f>
        <v>E</v>
      </c>
      <c r="H2419" s="1" t="str">
        <f aca="false">IF(D2419=0, 33, "cc")</f>
        <v>cc</v>
      </c>
    </row>
    <row r="2420" customFormat="false" ht="18.65" hidden="false" customHeight="true" outlineLevel="0" collapsed="false">
      <c r="A2420" s="1" t="n">
        <f aca="false">ROW()-2</f>
        <v>2418</v>
      </c>
      <c r="B2420" s="1" t="n">
        <f aca="false">INT(A2420/$N$1)</f>
        <v>134</v>
      </c>
      <c r="C2420" s="1" t="n">
        <f aca="false">INT(MOD(A2420,$N$1) / 2)</f>
        <v>3</v>
      </c>
      <c r="D2420" s="1" t="n">
        <f aca="false">_xlfn.BITAND(A2420,1)</f>
        <v>0</v>
      </c>
      <c r="F2420" s="1" t="str">
        <f aca="false">DEC2HEX(B2420*$N$3*18)</f>
        <v>25B00</v>
      </c>
      <c r="G2420" s="1" t="str">
        <f aca="false">DEC2HEX(C2420*7)</f>
        <v>15</v>
      </c>
      <c r="H2420" s="1" t="n">
        <f aca="false">IF(D2420=0, 33, "cc")</f>
        <v>33</v>
      </c>
    </row>
    <row r="2421" customFormat="false" ht="18.65" hidden="false" customHeight="true" outlineLevel="0" collapsed="false">
      <c r="A2421" s="1" t="n">
        <f aca="false">ROW()-2</f>
        <v>2419</v>
      </c>
      <c r="B2421" s="1" t="n">
        <f aca="false">INT(A2421/$N$1)</f>
        <v>134</v>
      </c>
      <c r="C2421" s="1" t="n">
        <f aca="false">INT(MOD(A2421,$N$1) / 2)</f>
        <v>3</v>
      </c>
      <c r="D2421" s="1" t="n">
        <f aca="false">_xlfn.BITAND(A2421,1)</f>
        <v>1</v>
      </c>
      <c r="F2421" s="1" t="str">
        <f aca="false">DEC2HEX(B2421*$N$3*18)</f>
        <v>25B00</v>
      </c>
      <c r="G2421" s="1" t="str">
        <f aca="false">DEC2HEX(C2421*7)</f>
        <v>15</v>
      </c>
      <c r="H2421" s="1" t="str">
        <f aca="false">IF(D2421=0, 33, "cc")</f>
        <v>cc</v>
      </c>
    </row>
    <row r="2422" customFormat="false" ht="18.65" hidden="false" customHeight="true" outlineLevel="0" collapsed="false">
      <c r="A2422" s="1" t="n">
        <f aca="false">ROW()-2</f>
        <v>2420</v>
      </c>
      <c r="B2422" s="1" t="n">
        <f aca="false">INT(A2422/$N$1)</f>
        <v>134</v>
      </c>
      <c r="C2422" s="1" t="n">
        <f aca="false">INT(MOD(A2422,$N$1) / 2)</f>
        <v>4</v>
      </c>
      <c r="D2422" s="1" t="n">
        <f aca="false">_xlfn.BITAND(A2422,1)</f>
        <v>0</v>
      </c>
      <c r="F2422" s="1" t="str">
        <f aca="false">DEC2HEX(B2422*$N$3*18)</f>
        <v>25B00</v>
      </c>
      <c r="G2422" s="1" t="str">
        <f aca="false">DEC2HEX(C2422*7)</f>
        <v>1C</v>
      </c>
      <c r="H2422" s="1" t="n">
        <f aca="false">IF(D2422=0, 33, "cc")</f>
        <v>33</v>
      </c>
    </row>
    <row r="2423" customFormat="false" ht="18.65" hidden="false" customHeight="true" outlineLevel="0" collapsed="false">
      <c r="A2423" s="1" t="n">
        <f aca="false">ROW()-2</f>
        <v>2421</v>
      </c>
      <c r="B2423" s="1" t="n">
        <f aca="false">INT(A2423/$N$1)</f>
        <v>134</v>
      </c>
      <c r="C2423" s="1" t="n">
        <f aca="false">INT(MOD(A2423,$N$1) / 2)</f>
        <v>4</v>
      </c>
      <c r="D2423" s="1" t="n">
        <f aca="false">_xlfn.BITAND(A2423,1)</f>
        <v>1</v>
      </c>
      <c r="F2423" s="1" t="str">
        <f aca="false">DEC2HEX(B2423*$N$3*18)</f>
        <v>25B00</v>
      </c>
      <c r="G2423" s="1" t="str">
        <f aca="false">DEC2HEX(C2423*7)</f>
        <v>1C</v>
      </c>
      <c r="H2423" s="1" t="str">
        <f aca="false">IF(D2423=0, 33, "cc")</f>
        <v>cc</v>
      </c>
    </row>
    <row r="2424" customFormat="false" ht="18.65" hidden="false" customHeight="true" outlineLevel="0" collapsed="false">
      <c r="A2424" s="1" t="n">
        <f aca="false">ROW()-2</f>
        <v>2422</v>
      </c>
      <c r="B2424" s="1" t="n">
        <f aca="false">INT(A2424/$N$1)</f>
        <v>134</v>
      </c>
      <c r="C2424" s="1" t="n">
        <f aca="false">INT(MOD(A2424,$N$1) / 2)</f>
        <v>5</v>
      </c>
      <c r="D2424" s="1" t="n">
        <f aca="false">_xlfn.BITAND(A2424,1)</f>
        <v>0</v>
      </c>
      <c r="F2424" s="1" t="str">
        <f aca="false">DEC2HEX(B2424*$N$3*18)</f>
        <v>25B00</v>
      </c>
      <c r="G2424" s="1" t="str">
        <f aca="false">DEC2HEX(C2424*7)</f>
        <v>23</v>
      </c>
      <c r="H2424" s="1" t="n">
        <f aca="false">IF(D2424=0, 33, "cc")</f>
        <v>33</v>
      </c>
    </row>
    <row r="2425" customFormat="false" ht="18.65" hidden="false" customHeight="true" outlineLevel="0" collapsed="false">
      <c r="A2425" s="1" t="n">
        <f aca="false">ROW()-2</f>
        <v>2423</v>
      </c>
      <c r="B2425" s="1" t="n">
        <f aca="false">INT(A2425/$N$1)</f>
        <v>134</v>
      </c>
      <c r="C2425" s="1" t="n">
        <f aca="false">INT(MOD(A2425,$N$1) / 2)</f>
        <v>5</v>
      </c>
      <c r="D2425" s="1" t="n">
        <f aca="false">_xlfn.BITAND(A2425,1)</f>
        <v>1</v>
      </c>
      <c r="F2425" s="1" t="str">
        <f aca="false">DEC2HEX(B2425*$N$3*18)</f>
        <v>25B00</v>
      </c>
      <c r="G2425" s="1" t="str">
        <f aca="false">DEC2HEX(C2425*7)</f>
        <v>23</v>
      </c>
      <c r="H2425" s="1" t="str">
        <f aca="false">IF(D2425=0, 33, "cc")</f>
        <v>cc</v>
      </c>
    </row>
    <row r="2426" customFormat="false" ht="18.65" hidden="false" customHeight="true" outlineLevel="0" collapsed="false">
      <c r="A2426" s="1" t="n">
        <f aca="false">ROW()-2</f>
        <v>2424</v>
      </c>
      <c r="B2426" s="1" t="n">
        <f aca="false">INT(A2426/$N$1)</f>
        <v>134</v>
      </c>
      <c r="C2426" s="1" t="n">
        <f aca="false">INT(MOD(A2426,$N$1) / 2)</f>
        <v>6</v>
      </c>
      <c r="D2426" s="1" t="n">
        <f aca="false">_xlfn.BITAND(A2426,1)</f>
        <v>0</v>
      </c>
      <c r="F2426" s="1" t="str">
        <f aca="false">DEC2HEX(B2426*$N$3*18)</f>
        <v>25B00</v>
      </c>
      <c r="G2426" s="1" t="str">
        <f aca="false">DEC2HEX(C2426*7)</f>
        <v>2A</v>
      </c>
      <c r="H2426" s="1" t="n">
        <f aca="false">IF(D2426=0, 33, "cc")</f>
        <v>33</v>
      </c>
    </row>
    <row r="2427" customFormat="false" ht="18.65" hidden="false" customHeight="true" outlineLevel="0" collapsed="false">
      <c r="A2427" s="1" t="n">
        <f aca="false">ROW()-2</f>
        <v>2425</v>
      </c>
      <c r="B2427" s="1" t="n">
        <f aca="false">INT(A2427/$N$1)</f>
        <v>134</v>
      </c>
      <c r="C2427" s="1" t="n">
        <f aca="false">INT(MOD(A2427,$N$1) / 2)</f>
        <v>6</v>
      </c>
      <c r="D2427" s="1" t="n">
        <f aca="false">_xlfn.BITAND(A2427,1)</f>
        <v>1</v>
      </c>
      <c r="F2427" s="1" t="str">
        <f aca="false">DEC2HEX(B2427*$N$3*18)</f>
        <v>25B00</v>
      </c>
      <c r="G2427" s="1" t="str">
        <f aca="false">DEC2HEX(C2427*7)</f>
        <v>2A</v>
      </c>
      <c r="H2427" s="1" t="str">
        <f aca="false">IF(D2427=0, 33, "cc")</f>
        <v>cc</v>
      </c>
    </row>
    <row r="2428" customFormat="false" ht="18.65" hidden="false" customHeight="true" outlineLevel="0" collapsed="false">
      <c r="A2428" s="1" t="n">
        <f aca="false">ROW()-2</f>
        <v>2426</v>
      </c>
      <c r="B2428" s="1" t="n">
        <f aca="false">INT(A2428/$N$1)</f>
        <v>134</v>
      </c>
      <c r="C2428" s="1" t="n">
        <f aca="false">INT(MOD(A2428,$N$1) / 2)</f>
        <v>7</v>
      </c>
      <c r="D2428" s="1" t="n">
        <f aca="false">_xlfn.BITAND(A2428,1)</f>
        <v>0</v>
      </c>
      <c r="F2428" s="1" t="str">
        <f aca="false">DEC2HEX(B2428*$N$3*18)</f>
        <v>25B00</v>
      </c>
      <c r="G2428" s="1" t="str">
        <f aca="false">DEC2HEX(C2428*7)</f>
        <v>31</v>
      </c>
      <c r="H2428" s="1" t="n">
        <f aca="false">IF(D2428=0, 33, "cc")</f>
        <v>33</v>
      </c>
    </row>
    <row r="2429" customFormat="false" ht="18.65" hidden="false" customHeight="true" outlineLevel="0" collapsed="false">
      <c r="A2429" s="1" t="n">
        <f aca="false">ROW()-2</f>
        <v>2427</v>
      </c>
      <c r="B2429" s="1" t="n">
        <f aca="false">INT(A2429/$N$1)</f>
        <v>134</v>
      </c>
      <c r="C2429" s="1" t="n">
        <f aca="false">INT(MOD(A2429,$N$1) / 2)</f>
        <v>7</v>
      </c>
      <c r="D2429" s="1" t="n">
        <f aca="false">_xlfn.BITAND(A2429,1)</f>
        <v>1</v>
      </c>
      <c r="F2429" s="1" t="str">
        <f aca="false">DEC2HEX(B2429*$N$3*18)</f>
        <v>25B00</v>
      </c>
      <c r="G2429" s="1" t="str">
        <f aca="false">DEC2HEX(C2429*7)</f>
        <v>31</v>
      </c>
      <c r="H2429" s="1" t="str">
        <f aca="false">IF(D2429=0, 33, "cc")</f>
        <v>cc</v>
      </c>
    </row>
    <row r="2430" customFormat="false" ht="18.65" hidden="false" customHeight="true" outlineLevel="0" collapsed="false">
      <c r="A2430" s="1" t="n">
        <f aca="false">ROW()-2</f>
        <v>2428</v>
      </c>
      <c r="B2430" s="1" t="n">
        <f aca="false">INT(A2430/$N$1)</f>
        <v>134</v>
      </c>
      <c r="C2430" s="1" t="n">
        <f aca="false">INT(MOD(A2430,$N$1) / 2)</f>
        <v>8</v>
      </c>
      <c r="D2430" s="1" t="n">
        <f aca="false">_xlfn.BITAND(A2430,1)</f>
        <v>0</v>
      </c>
      <c r="F2430" s="1" t="str">
        <f aca="false">DEC2HEX(B2430*$N$3*18)</f>
        <v>25B00</v>
      </c>
      <c r="G2430" s="1" t="str">
        <f aca="false">DEC2HEX(C2430*7)</f>
        <v>38</v>
      </c>
      <c r="H2430" s="1" t="n">
        <f aca="false">IF(D2430=0, 33, "cc")</f>
        <v>33</v>
      </c>
    </row>
    <row r="2431" customFormat="false" ht="18.65" hidden="false" customHeight="true" outlineLevel="0" collapsed="false">
      <c r="A2431" s="1" t="n">
        <f aca="false">ROW()-2</f>
        <v>2429</v>
      </c>
      <c r="B2431" s="1" t="n">
        <f aca="false">INT(A2431/$N$1)</f>
        <v>134</v>
      </c>
      <c r="C2431" s="1" t="n">
        <f aca="false">INT(MOD(A2431,$N$1) / 2)</f>
        <v>8</v>
      </c>
      <c r="D2431" s="1" t="n">
        <f aca="false">_xlfn.BITAND(A2431,1)</f>
        <v>1</v>
      </c>
      <c r="F2431" s="1" t="str">
        <f aca="false">DEC2HEX(B2431*$N$3*18)</f>
        <v>25B00</v>
      </c>
      <c r="G2431" s="1" t="str">
        <f aca="false">DEC2HEX(C2431*7)</f>
        <v>38</v>
      </c>
      <c r="H2431" s="1" t="str">
        <f aca="false">IF(D2431=0, 33, "cc")</f>
        <v>cc</v>
      </c>
    </row>
    <row r="2432" customFormat="false" ht="18.65" hidden="false" customHeight="true" outlineLevel="0" collapsed="false">
      <c r="A2432" s="1" t="n">
        <f aca="false">ROW()-2</f>
        <v>2430</v>
      </c>
      <c r="B2432" s="1" t="n">
        <f aca="false">INT(A2432/$N$1)</f>
        <v>135</v>
      </c>
      <c r="C2432" s="1" t="n">
        <f aca="false">INT(MOD(A2432,$N$1) / 2)</f>
        <v>0</v>
      </c>
      <c r="D2432" s="1" t="n">
        <f aca="false">_xlfn.BITAND(A2432,1)</f>
        <v>0</v>
      </c>
      <c r="F2432" s="1" t="str">
        <f aca="false">DEC2HEX(B2432*$N$3*18)</f>
        <v>25F80</v>
      </c>
      <c r="G2432" s="1" t="str">
        <f aca="false">DEC2HEX(C2432*7)</f>
        <v>0</v>
      </c>
      <c r="H2432" s="1" t="n">
        <f aca="false">IF(D2432=0, 33, "cc")</f>
        <v>33</v>
      </c>
    </row>
    <row r="2433" customFormat="false" ht="18.65" hidden="false" customHeight="true" outlineLevel="0" collapsed="false">
      <c r="A2433" s="1" t="n">
        <f aca="false">ROW()-2</f>
        <v>2431</v>
      </c>
      <c r="B2433" s="1" t="n">
        <f aca="false">INT(A2433/$N$1)</f>
        <v>135</v>
      </c>
      <c r="C2433" s="1" t="n">
        <f aca="false">INT(MOD(A2433,$N$1) / 2)</f>
        <v>0</v>
      </c>
      <c r="D2433" s="1" t="n">
        <f aca="false">_xlfn.BITAND(A2433,1)</f>
        <v>1</v>
      </c>
      <c r="F2433" s="1" t="str">
        <f aca="false">DEC2HEX(B2433*$N$3*18)</f>
        <v>25F80</v>
      </c>
      <c r="G2433" s="1" t="str">
        <f aca="false">DEC2HEX(C2433*7)</f>
        <v>0</v>
      </c>
      <c r="H2433" s="1" t="str">
        <f aca="false">IF(D2433=0, 33, "cc")</f>
        <v>cc</v>
      </c>
    </row>
    <row r="2434" customFormat="false" ht="18.65" hidden="false" customHeight="true" outlineLevel="0" collapsed="false">
      <c r="A2434" s="1" t="n">
        <f aca="false">ROW()-2</f>
        <v>2432</v>
      </c>
      <c r="B2434" s="1" t="n">
        <f aca="false">INT(A2434/$N$1)</f>
        <v>135</v>
      </c>
      <c r="C2434" s="1" t="n">
        <f aca="false">INT(MOD(A2434,$N$1) / 2)</f>
        <v>1</v>
      </c>
      <c r="D2434" s="1" t="n">
        <f aca="false">_xlfn.BITAND(A2434,1)</f>
        <v>0</v>
      </c>
      <c r="F2434" s="1" t="str">
        <f aca="false">DEC2HEX(B2434*$N$3*18)</f>
        <v>25F80</v>
      </c>
      <c r="G2434" s="1" t="str">
        <f aca="false">DEC2HEX(C2434*7)</f>
        <v>7</v>
      </c>
      <c r="H2434" s="1" t="n">
        <f aca="false">IF(D2434=0, 33, "cc")</f>
        <v>33</v>
      </c>
    </row>
    <row r="2435" customFormat="false" ht="18.65" hidden="false" customHeight="true" outlineLevel="0" collapsed="false">
      <c r="A2435" s="1" t="n">
        <f aca="false">ROW()-2</f>
        <v>2433</v>
      </c>
      <c r="B2435" s="1" t="n">
        <f aca="false">INT(A2435/$N$1)</f>
        <v>135</v>
      </c>
      <c r="C2435" s="1" t="n">
        <f aca="false">INT(MOD(A2435,$N$1) / 2)</f>
        <v>1</v>
      </c>
      <c r="D2435" s="1" t="n">
        <f aca="false">_xlfn.BITAND(A2435,1)</f>
        <v>1</v>
      </c>
      <c r="F2435" s="1" t="str">
        <f aca="false">DEC2HEX(B2435*$N$3*18)</f>
        <v>25F80</v>
      </c>
      <c r="G2435" s="1" t="str">
        <f aca="false">DEC2HEX(C2435*7)</f>
        <v>7</v>
      </c>
      <c r="H2435" s="1" t="str">
        <f aca="false">IF(D2435=0, 33, "cc")</f>
        <v>cc</v>
      </c>
    </row>
    <row r="2436" customFormat="false" ht="18.65" hidden="false" customHeight="true" outlineLevel="0" collapsed="false">
      <c r="A2436" s="1" t="n">
        <f aca="false">ROW()-2</f>
        <v>2434</v>
      </c>
      <c r="B2436" s="1" t="n">
        <f aca="false">INT(A2436/$N$1)</f>
        <v>135</v>
      </c>
      <c r="C2436" s="1" t="n">
        <f aca="false">INT(MOD(A2436,$N$1) / 2)</f>
        <v>2</v>
      </c>
      <c r="D2436" s="1" t="n">
        <f aca="false">_xlfn.BITAND(A2436,1)</f>
        <v>0</v>
      </c>
      <c r="F2436" s="1" t="str">
        <f aca="false">DEC2HEX(B2436*$N$3*18)</f>
        <v>25F80</v>
      </c>
      <c r="G2436" s="1" t="str">
        <f aca="false">DEC2HEX(C2436*7)</f>
        <v>E</v>
      </c>
      <c r="H2436" s="1" t="n">
        <f aca="false">IF(D2436=0, 33, "cc")</f>
        <v>33</v>
      </c>
    </row>
    <row r="2437" customFormat="false" ht="18.65" hidden="false" customHeight="true" outlineLevel="0" collapsed="false">
      <c r="A2437" s="1" t="n">
        <f aca="false">ROW()-2</f>
        <v>2435</v>
      </c>
      <c r="B2437" s="1" t="n">
        <f aca="false">INT(A2437/$N$1)</f>
        <v>135</v>
      </c>
      <c r="C2437" s="1" t="n">
        <f aca="false">INT(MOD(A2437,$N$1) / 2)</f>
        <v>2</v>
      </c>
      <c r="D2437" s="1" t="n">
        <f aca="false">_xlfn.BITAND(A2437,1)</f>
        <v>1</v>
      </c>
      <c r="F2437" s="1" t="str">
        <f aca="false">DEC2HEX(B2437*$N$3*18)</f>
        <v>25F80</v>
      </c>
      <c r="G2437" s="1" t="str">
        <f aca="false">DEC2HEX(C2437*7)</f>
        <v>E</v>
      </c>
      <c r="H2437" s="1" t="str">
        <f aca="false">IF(D2437=0, 33, "cc")</f>
        <v>cc</v>
      </c>
    </row>
    <row r="2438" customFormat="false" ht="18.65" hidden="false" customHeight="true" outlineLevel="0" collapsed="false">
      <c r="A2438" s="1" t="n">
        <f aca="false">ROW()-2</f>
        <v>2436</v>
      </c>
      <c r="B2438" s="1" t="n">
        <f aca="false">INT(A2438/$N$1)</f>
        <v>135</v>
      </c>
      <c r="C2438" s="1" t="n">
        <f aca="false">INT(MOD(A2438,$N$1) / 2)</f>
        <v>3</v>
      </c>
      <c r="D2438" s="1" t="n">
        <f aca="false">_xlfn.BITAND(A2438,1)</f>
        <v>0</v>
      </c>
      <c r="F2438" s="1" t="str">
        <f aca="false">DEC2HEX(B2438*$N$3*18)</f>
        <v>25F80</v>
      </c>
      <c r="G2438" s="1" t="str">
        <f aca="false">DEC2HEX(C2438*7)</f>
        <v>15</v>
      </c>
      <c r="H2438" s="1" t="n">
        <f aca="false">IF(D2438=0, 33, "cc")</f>
        <v>33</v>
      </c>
    </row>
    <row r="2439" customFormat="false" ht="18.65" hidden="false" customHeight="true" outlineLevel="0" collapsed="false">
      <c r="A2439" s="1" t="n">
        <f aca="false">ROW()-2</f>
        <v>2437</v>
      </c>
      <c r="B2439" s="1" t="n">
        <f aca="false">INT(A2439/$N$1)</f>
        <v>135</v>
      </c>
      <c r="C2439" s="1" t="n">
        <f aca="false">INT(MOD(A2439,$N$1) / 2)</f>
        <v>3</v>
      </c>
      <c r="D2439" s="1" t="n">
        <f aca="false">_xlfn.BITAND(A2439,1)</f>
        <v>1</v>
      </c>
      <c r="F2439" s="1" t="str">
        <f aca="false">DEC2HEX(B2439*$N$3*18)</f>
        <v>25F80</v>
      </c>
      <c r="G2439" s="1" t="str">
        <f aca="false">DEC2HEX(C2439*7)</f>
        <v>15</v>
      </c>
      <c r="H2439" s="1" t="str">
        <f aca="false">IF(D2439=0, 33, "cc")</f>
        <v>cc</v>
      </c>
    </row>
    <row r="2440" customFormat="false" ht="18.65" hidden="false" customHeight="true" outlineLevel="0" collapsed="false">
      <c r="A2440" s="1" t="n">
        <f aca="false">ROW()-2</f>
        <v>2438</v>
      </c>
      <c r="B2440" s="1" t="n">
        <f aca="false">INT(A2440/$N$1)</f>
        <v>135</v>
      </c>
      <c r="C2440" s="1" t="n">
        <f aca="false">INT(MOD(A2440,$N$1) / 2)</f>
        <v>4</v>
      </c>
      <c r="D2440" s="1" t="n">
        <f aca="false">_xlfn.BITAND(A2440,1)</f>
        <v>0</v>
      </c>
      <c r="F2440" s="1" t="str">
        <f aca="false">DEC2HEX(B2440*$N$3*18)</f>
        <v>25F80</v>
      </c>
      <c r="G2440" s="1" t="str">
        <f aca="false">DEC2HEX(C2440*7)</f>
        <v>1C</v>
      </c>
      <c r="H2440" s="1" t="n">
        <f aca="false">IF(D2440=0, 33, "cc")</f>
        <v>33</v>
      </c>
    </row>
    <row r="2441" customFormat="false" ht="18.65" hidden="false" customHeight="true" outlineLevel="0" collapsed="false">
      <c r="A2441" s="1" t="n">
        <f aca="false">ROW()-2</f>
        <v>2439</v>
      </c>
      <c r="B2441" s="1" t="n">
        <f aca="false">INT(A2441/$N$1)</f>
        <v>135</v>
      </c>
      <c r="C2441" s="1" t="n">
        <f aca="false">INT(MOD(A2441,$N$1) / 2)</f>
        <v>4</v>
      </c>
      <c r="D2441" s="1" t="n">
        <f aca="false">_xlfn.BITAND(A2441,1)</f>
        <v>1</v>
      </c>
      <c r="F2441" s="1" t="str">
        <f aca="false">DEC2HEX(B2441*$N$3*18)</f>
        <v>25F80</v>
      </c>
      <c r="G2441" s="1" t="str">
        <f aca="false">DEC2HEX(C2441*7)</f>
        <v>1C</v>
      </c>
      <c r="H2441" s="1" t="str">
        <f aca="false">IF(D2441=0, 33, "cc")</f>
        <v>cc</v>
      </c>
    </row>
    <row r="2442" customFormat="false" ht="18.65" hidden="false" customHeight="true" outlineLevel="0" collapsed="false">
      <c r="A2442" s="1" t="n">
        <f aca="false">ROW()-2</f>
        <v>2440</v>
      </c>
      <c r="B2442" s="1" t="n">
        <f aca="false">INT(A2442/$N$1)</f>
        <v>135</v>
      </c>
      <c r="C2442" s="1" t="n">
        <f aca="false">INT(MOD(A2442,$N$1) / 2)</f>
        <v>5</v>
      </c>
      <c r="D2442" s="1" t="n">
        <f aca="false">_xlfn.BITAND(A2442,1)</f>
        <v>0</v>
      </c>
      <c r="F2442" s="1" t="str">
        <f aca="false">DEC2HEX(B2442*$N$3*18)</f>
        <v>25F80</v>
      </c>
      <c r="G2442" s="1" t="str">
        <f aca="false">DEC2HEX(C2442*7)</f>
        <v>23</v>
      </c>
      <c r="H2442" s="1" t="n">
        <f aca="false">IF(D2442=0, 33, "cc")</f>
        <v>33</v>
      </c>
    </row>
    <row r="2443" customFormat="false" ht="18.65" hidden="false" customHeight="true" outlineLevel="0" collapsed="false">
      <c r="A2443" s="1" t="n">
        <f aca="false">ROW()-2</f>
        <v>2441</v>
      </c>
      <c r="B2443" s="1" t="n">
        <f aca="false">INT(A2443/$N$1)</f>
        <v>135</v>
      </c>
      <c r="C2443" s="1" t="n">
        <f aca="false">INT(MOD(A2443,$N$1) / 2)</f>
        <v>5</v>
      </c>
      <c r="D2443" s="1" t="n">
        <f aca="false">_xlfn.BITAND(A2443,1)</f>
        <v>1</v>
      </c>
      <c r="F2443" s="1" t="str">
        <f aca="false">DEC2HEX(B2443*$N$3*18)</f>
        <v>25F80</v>
      </c>
      <c r="G2443" s="1" t="str">
        <f aca="false">DEC2HEX(C2443*7)</f>
        <v>23</v>
      </c>
      <c r="H2443" s="1" t="str">
        <f aca="false">IF(D2443=0, 33, "cc")</f>
        <v>cc</v>
      </c>
    </row>
    <row r="2444" customFormat="false" ht="18.65" hidden="false" customHeight="true" outlineLevel="0" collapsed="false">
      <c r="A2444" s="1" t="n">
        <f aca="false">ROW()-2</f>
        <v>2442</v>
      </c>
      <c r="B2444" s="1" t="n">
        <f aca="false">INT(A2444/$N$1)</f>
        <v>135</v>
      </c>
      <c r="C2444" s="1" t="n">
        <f aca="false">INT(MOD(A2444,$N$1) / 2)</f>
        <v>6</v>
      </c>
      <c r="D2444" s="1" t="n">
        <f aca="false">_xlfn.BITAND(A2444,1)</f>
        <v>0</v>
      </c>
      <c r="F2444" s="1" t="str">
        <f aca="false">DEC2HEX(B2444*$N$3*18)</f>
        <v>25F80</v>
      </c>
      <c r="G2444" s="1" t="str">
        <f aca="false">DEC2HEX(C2444*7)</f>
        <v>2A</v>
      </c>
      <c r="H2444" s="1" t="n">
        <f aca="false">IF(D2444=0, 33, "cc")</f>
        <v>33</v>
      </c>
    </row>
    <row r="2445" customFormat="false" ht="18.65" hidden="false" customHeight="true" outlineLevel="0" collapsed="false">
      <c r="A2445" s="1" t="n">
        <f aca="false">ROW()-2</f>
        <v>2443</v>
      </c>
      <c r="B2445" s="1" t="n">
        <f aca="false">INT(A2445/$N$1)</f>
        <v>135</v>
      </c>
      <c r="C2445" s="1" t="n">
        <f aca="false">INT(MOD(A2445,$N$1) / 2)</f>
        <v>6</v>
      </c>
      <c r="D2445" s="1" t="n">
        <f aca="false">_xlfn.BITAND(A2445,1)</f>
        <v>1</v>
      </c>
      <c r="F2445" s="1" t="str">
        <f aca="false">DEC2HEX(B2445*$N$3*18)</f>
        <v>25F80</v>
      </c>
      <c r="G2445" s="1" t="str">
        <f aca="false">DEC2HEX(C2445*7)</f>
        <v>2A</v>
      </c>
      <c r="H2445" s="1" t="str">
        <f aca="false">IF(D2445=0, 33, "cc")</f>
        <v>cc</v>
      </c>
    </row>
    <row r="2446" customFormat="false" ht="18.65" hidden="false" customHeight="true" outlineLevel="0" collapsed="false">
      <c r="A2446" s="1" t="n">
        <f aca="false">ROW()-2</f>
        <v>2444</v>
      </c>
      <c r="B2446" s="1" t="n">
        <f aca="false">INT(A2446/$N$1)</f>
        <v>135</v>
      </c>
      <c r="C2446" s="1" t="n">
        <f aca="false">INT(MOD(A2446,$N$1) / 2)</f>
        <v>7</v>
      </c>
      <c r="D2446" s="1" t="n">
        <f aca="false">_xlfn.BITAND(A2446,1)</f>
        <v>0</v>
      </c>
      <c r="F2446" s="1" t="str">
        <f aca="false">DEC2HEX(B2446*$N$3*18)</f>
        <v>25F80</v>
      </c>
      <c r="G2446" s="1" t="str">
        <f aca="false">DEC2HEX(C2446*7)</f>
        <v>31</v>
      </c>
      <c r="H2446" s="1" t="n">
        <f aca="false">IF(D2446=0, 33, "cc")</f>
        <v>33</v>
      </c>
    </row>
    <row r="2447" customFormat="false" ht="18.65" hidden="false" customHeight="true" outlineLevel="0" collapsed="false">
      <c r="A2447" s="1" t="n">
        <f aca="false">ROW()-2</f>
        <v>2445</v>
      </c>
      <c r="B2447" s="1" t="n">
        <f aca="false">INT(A2447/$N$1)</f>
        <v>135</v>
      </c>
      <c r="C2447" s="1" t="n">
        <f aca="false">INT(MOD(A2447,$N$1) / 2)</f>
        <v>7</v>
      </c>
      <c r="D2447" s="1" t="n">
        <f aca="false">_xlfn.BITAND(A2447,1)</f>
        <v>1</v>
      </c>
      <c r="F2447" s="1" t="str">
        <f aca="false">DEC2HEX(B2447*$N$3*18)</f>
        <v>25F80</v>
      </c>
      <c r="G2447" s="1" t="str">
        <f aca="false">DEC2HEX(C2447*7)</f>
        <v>31</v>
      </c>
      <c r="H2447" s="1" t="str">
        <f aca="false">IF(D2447=0, 33, "cc")</f>
        <v>cc</v>
      </c>
    </row>
    <row r="2448" customFormat="false" ht="18.65" hidden="false" customHeight="true" outlineLevel="0" collapsed="false">
      <c r="A2448" s="1" t="n">
        <f aca="false">ROW()-2</f>
        <v>2446</v>
      </c>
      <c r="B2448" s="1" t="n">
        <f aca="false">INT(A2448/$N$1)</f>
        <v>135</v>
      </c>
      <c r="C2448" s="1" t="n">
        <f aca="false">INT(MOD(A2448,$N$1) / 2)</f>
        <v>8</v>
      </c>
      <c r="D2448" s="1" t="n">
        <f aca="false">_xlfn.BITAND(A2448,1)</f>
        <v>0</v>
      </c>
      <c r="F2448" s="1" t="str">
        <f aca="false">DEC2HEX(B2448*$N$3*18)</f>
        <v>25F80</v>
      </c>
      <c r="G2448" s="1" t="str">
        <f aca="false">DEC2HEX(C2448*7)</f>
        <v>38</v>
      </c>
      <c r="H2448" s="1" t="n">
        <f aca="false">IF(D2448=0, 33, "cc")</f>
        <v>33</v>
      </c>
    </row>
    <row r="2449" customFormat="false" ht="18.65" hidden="false" customHeight="true" outlineLevel="0" collapsed="false">
      <c r="A2449" s="1" t="n">
        <f aca="false">ROW()-2</f>
        <v>2447</v>
      </c>
      <c r="B2449" s="1" t="n">
        <f aca="false">INT(A2449/$N$1)</f>
        <v>135</v>
      </c>
      <c r="C2449" s="1" t="n">
        <f aca="false">INT(MOD(A2449,$N$1) / 2)</f>
        <v>8</v>
      </c>
      <c r="D2449" s="1" t="n">
        <f aca="false">_xlfn.BITAND(A2449,1)</f>
        <v>1</v>
      </c>
      <c r="F2449" s="1" t="str">
        <f aca="false">DEC2HEX(B2449*$N$3*18)</f>
        <v>25F80</v>
      </c>
      <c r="G2449" s="1" t="str">
        <f aca="false">DEC2HEX(C2449*7)</f>
        <v>38</v>
      </c>
      <c r="H2449" s="1" t="str">
        <f aca="false">IF(D2449=0, 33, "cc")</f>
        <v>cc</v>
      </c>
    </row>
    <row r="2450" customFormat="false" ht="18.65" hidden="false" customHeight="true" outlineLevel="0" collapsed="false">
      <c r="A2450" s="1" t="n">
        <f aca="false">ROW()-2</f>
        <v>2448</v>
      </c>
      <c r="B2450" s="1" t="n">
        <f aca="false">INT(A2450/$N$1)</f>
        <v>136</v>
      </c>
      <c r="C2450" s="1" t="n">
        <f aca="false">INT(MOD(A2450,$N$1) / 2)</f>
        <v>0</v>
      </c>
      <c r="D2450" s="1" t="n">
        <f aca="false">_xlfn.BITAND(A2450,1)</f>
        <v>0</v>
      </c>
      <c r="F2450" s="1" t="str">
        <f aca="false">DEC2HEX(B2450*$N$3*18)</f>
        <v>26400</v>
      </c>
      <c r="G2450" s="1" t="str">
        <f aca="false">DEC2HEX(C2450*7)</f>
        <v>0</v>
      </c>
      <c r="H2450" s="1" t="n">
        <f aca="false">IF(D2450=0, 33, "cc")</f>
        <v>33</v>
      </c>
    </row>
    <row r="2451" customFormat="false" ht="18.65" hidden="false" customHeight="true" outlineLevel="0" collapsed="false">
      <c r="A2451" s="1" t="n">
        <f aca="false">ROW()-2</f>
        <v>2449</v>
      </c>
      <c r="B2451" s="1" t="n">
        <f aca="false">INT(A2451/$N$1)</f>
        <v>136</v>
      </c>
      <c r="C2451" s="1" t="n">
        <f aca="false">INT(MOD(A2451,$N$1) / 2)</f>
        <v>0</v>
      </c>
      <c r="D2451" s="1" t="n">
        <f aca="false">_xlfn.BITAND(A2451,1)</f>
        <v>1</v>
      </c>
      <c r="F2451" s="1" t="str">
        <f aca="false">DEC2HEX(B2451*$N$3*18)</f>
        <v>26400</v>
      </c>
      <c r="G2451" s="1" t="str">
        <f aca="false">DEC2HEX(C2451*7)</f>
        <v>0</v>
      </c>
      <c r="H2451" s="1" t="str">
        <f aca="false">IF(D2451=0, 33, "cc")</f>
        <v>cc</v>
      </c>
    </row>
    <row r="2452" customFormat="false" ht="18.65" hidden="false" customHeight="true" outlineLevel="0" collapsed="false">
      <c r="A2452" s="1" t="n">
        <f aca="false">ROW()-2</f>
        <v>2450</v>
      </c>
      <c r="B2452" s="1" t="n">
        <f aca="false">INT(A2452/$N$1)</f>
        <v>136</v>
      </c>
      <c r="C2452" s="1" t="n">
        <f aca="false">INT(MOD(A2452,$N$1) / 2)</f>
        <v>1</v>
      </c>
      <c r="D2452" s="1" t="n">
        <f aca="false">_xlfn.BITAND(A2452,1)</f>
        <v>0</v>
      </c>
      <c r="F2452" s="1" t="str">
        <f aca="false">DEC2HEX(B2452*$N$3*18)</f>
        <v>26400</v>
      </c>
      <c r="G2452" s="1" t="str">
        <f aca="false">DEC2HEX(C2452*7)</f>
        <v>7</v>
      </c>
      <c r="H2452" s="1" t="n">
        <f aca="false">IF(D2452=0, 33, "cc")</f>
        <v>33</v>
      </c>
    </row>
    <row r="2453" customFormat="false" ht="18.65" hidden="false" customHeight="true" outlineLevel="0" collapsed="false">
      <c r="A2453" s="1" t="n">
        <f aca="false">ROW()-2</f>
        <v>2451</v>
      </c>
      <c r="B2453" s="1" t="n">
        <f aca="false">INT(A2453/$N$1)</f>
        <v>136</v>
      </c>
      <c r="C2453" s="1" t="n">
        <f aca="false">INT(MOD(A2453,$N$1) / 2)</f>
        <v>1</v>
      </c>
      <c r="D2453" s="1" t="n">
        <f aca="false">_xlfn.BITAND(A2453,1)</f>
        <v>1</v>
      </c>
      <c r="F2453" s="1" t="str">
        <f aca="false">DEC2HEX(B2453*$N$3*18)</f>
        <v>26400</v>
      </c>
      <c r="G2453" s="1" t="str">
        <f aca="false">DEC2HEX(C2453*7)</f>
        <v>7</v>
      </c>
      <c r="H2453" s="1" t="str">
        <f aca="false">IF(D2453=0, 33, "cc")</f>
        <v>cc</v>
      </c>
    </row>
    <row r="2454" customFormat="false" ht="18.65" hidden="false" customHeight="true" outlineLevel="0" collapsed="false">
      <c r="A2454" s="1" t="n">
        <f aca="false">ROW()-2</f>
        <v>2452</v>
      </c>
      <c r="B2454" s="1" t="n">
        <f aca="false">INT(A2454/$N$1)</f>
        <v>136</v>
      </c>
      <c r="C2454" s="1" t="n">
        <f aca="false">INT(MOD(A2454,$N$1) / 2)</f>
        <v>2</v>
      </c>
      <c r="D2454" s="1" t="n">
        <f aca="false">_xlfn.BITAND(A2454,1)</f>
        <v>0</v>
      </c>
      <c r="F2454" s="1" t="str">
        <f aca="false">DEC2HEX(B2454*$N$3*18)</f>
        <v>26400</v>
      </c>
      <c r="G2454" s="1" t="str">
        <f aca="false">DEC2HEX(C2454*7)</f>
        <v>E</v>
      </c>
      <c r="H2454" s="1" t="n">
        <f aca="false">IF(D2454=0, 33, "cc")</f>
        <v>33</v>
      </c>
    </row>
    <row r="2455" customFormat="false" ht="18.65" hidden="false" customHeight="true" outlineLevel="0" collapsed="false">
      <c r="A2455" s="1" t="n">
        <f aca="false">ROW()-2</f>
        <v>2453</v>
      </c>
      <c r="B2455" s="1" t="n">
        <f aca="false">INT(A2455/$N$1)</f>
        <v>136</v>
      </c>
      <c r="C2455" s="1" t="n">
        <f aca="false">INT(MOD(A2455,$N$1) / 2)</f>
        <v>2</v>
      </c>
      <c r="D2455" s="1" t="n">
        <f aca="false">_xlfn.BITAND(A2455,1)</f>
        <v>1</v>
      </c>
      <c r="F2455" s="1" t="str">
        <f aca="false">DEC2HEX(B2455*$N$3*18)</f>
        <v>26400</v>
      </c>
      <c r="G2455" s="1" t="str">
        <f aca="false">DEC2HEX(C2455*7)</f>
        <v>E</v>
      </c>
      <c r="H2455" s="1" t="str">
        <f aca="false">IF(D2455=0, 33, "cc")</f>
        <v>cc</v>
      </c>
    </row>
    <row r="2456" customFormat="false" ht="18.65" hidden="false" customHeight="true" outlineLevel="0" collapsed="false">
      <c r="A2456" s="1" t="n">
        <f aca="false">ROW()-2</f>
        <v>2454</v>
      </c>
      <c r="B2456" s="1" t="n">
        <f aca="false">INT(A2456/$N$1)</f>
        <v>136</v>
      </c>
      <c r="C2456" s="1" t="n">
        <f aca="false">INT(MOD(A2456,$N$1) / 2)</f>
        <v>3</v>
      </c>
      <c r="D2456" s="1" t="n">
        <f aca="false">_xlfn.BITAND(A2456,1)</f>
        <v>0</v>
      </c>
      <c r="F2456" s="1" t="str">
        <f aca="false">DEC2HEX(B2456*$N$3*18)</f>
        <v>26400</v>
      </c>
      <c r="G2456" s="1" t="str">
        <f aca="false">DEC2HEX(C2456*7)</f>
        <v>15</v>
      </c>
      <c r="H2456" s="1" t="n">
        <f aca="false">IF(D2456=0, 33, "cc")</f>
        <v>33</v>
      </c>
    </row>
    <row r="2457" customFormat="false" ht="18.65" hidden="false" customHeight="true" outlineLevel="0" collapsed="false">
      <c r="A2457" s="1" t="n">
        <f aca="false">ROW()-2</f>
        <v>2455</v>
      </c>
      <c r="B2457" s="1" t="n">
        <f aca="false">INT(A2457/$N$1)</f>
        <v>136</v>
      </c>
      <c r="C2457" s="1" t="n">
        <f aca="false">INT(MOD(A2457,$N$1) / 2)</f>
        <v>3</v>
      </c>
      <c r="D2457" s="1" t="n">
        <f aca="false">_xlfn.BITAND(A2457,1)</f>
        <v>1</v>
      </c>
      <c r="F2457" s="1" t="str">
        <f aca="false">DEC2HEX(B2457*$N$3*18)</f>
        <v>26400</v>
      </c>
      <c r="G2457" s="1" t="str">
        <f aca="false">DEC2HEX(C2457*7)</f>
        <v>15</v>
      </c>
      <c r="H2457" s="1" t="str">
        <f aca="false">IF(D2457=0, 33, "cc")</f>
        <v>cc</v>
      </c>
    </row>
    <row r="2458" customFormat="false" ht="18.65" hidden="false" customHeight="true" outlineLevel="0" collapsed="false">
      <c r="A2458" s="1" t="n">
        <f aca="false">ROW()-2</f>
        <v>2456</v>
      </c>
      <c r="B2458" s="1" t="n">
        <f aca="false">INT(A2458/$N$1)</f>
        <v>136</v>
      </c>
      <c r="C2458" s="1" t="n">
        <f aca="false">INT(MOD(A2458,$N$1) / 2)</f>
        <v>4</v>
      </c>
      <c r="D2458" s="1" t="n">
        <f aca="false">_xlfn.BITAND(A2458,1)</f>
        <v>0</v>
      </c>
      <c r="F2458" s="1" t="str">
        <f aca="false">DEC2HEX(B2458*$N$3*18)</f>
        <v>26400</v>
      </c>
      <c r="G2458" s="1" t="str">
        <f aca="false">DEC2HEX(C2458*7)</f>
        <v>1C</v>
      </c>
      <c r="H2458" s="1" t="n">
        <f aca="false">IF(D2458=0, 33, "cc")</f>
        <v>33</v>
      </c>
    </row>
    <row r="2459" customFormat="false" ht="18.65" hidden="false" customHeight="true" outlineLevel="0" collapsed="false">
      <c r="A2459" s="1" t="n">
        <f aca="false">ROW()-2</f>
        <v>2457</v>
      </c>
      <c r="B2459" s="1" t="n">
        <f aca="false">INT(A2459/$N$1)</f>
        <v>136</v>
      </c>
      <c r="C2459" s="1" t="n">
        <f aca="false">INT(MOD(A2459,$N$1) / 2)</f>
        <v>4</v>
      </c>
      <c r="D2459" s="1" t="n">
        <f aca="false">_xlfn.BITAND(A2459,1)</f>
        <v>1</v>
      </c>
      <c r="F2459" s="1" t="str">
        <f aca="false">DEC2HEX(B2459*$N$3*18)</f>
        <v>26400</v>
      </c>
      <c r="G2459" s="1" t="str">
        <f aca="false">DEC2HEX(C2459*7)</f>
        <v>1C</v>
      </c>
      <c r="H2459" s="1" t="str">
        <f aca="false">IF(D2459=0, 33, "cc")</f>
        <v>cc</v>
      </c>
    </row>
    <row r="2460" customFormat="false" ht="18.65" hidden="false" customHeight="true" outlineLevel="0" collapsed="false">
      <c r="A2460" s="1" t="n">
        <f aca="false">ROW()-2</f>
        <v>2458</v>
      </c>
      <c r="B2460" s="1" t="n">
        <f aca="false">INT(A2460/$N$1)</f>
        <v>136</v>
      </c>
      <c r="C2460" s="1" t="n">
        <f aca="false">INT(MOD(A2460,$N$1) / 2)</f>
        <v>5</v>
      </c>
      <c r="D2460" s="1" t="n">
        <f aca="false">_xlfn.BITAND(A2460,1)</f>
        <v>0</v>
      </c>
      <c r="F2460" s="1" t="str">
        <f aca="false">DEC2HEX(B2460*$N$3*18)</f>
        <v>26400</v>
      </c>
      <c r="G2460" s="1" t="str">
        <f aca="false">DEC2HEX(C2460*7)</f>
        <v>23</v>
      </c>
      <c r="H2460" s="1" t="n">
        <f aca="false">IF(D2460=0, 33, "cc")</f>
        <v>33</v>
      </c>
    </row>
    <row r="2461" customFormat="false" ht="18.65" hidden="false" customHeight="true" outlineLevel="0" collapsed="false">
      <c r="A2461" s="1" t="n">
        <f aca="false">ROW()-2</f>
        <v>2459</v>
      </c>
      <c r="B2461" s="1" t="n">
        <f aca="false">INT(A2461/$N$1)</f>
        <v>136</v>
      </c>
      <c r="C2461" s="1" t="n">
        <f aca="false">INT(MOD(A2461,$N$1) / 2)</f>
        <v>5</v>
      </c>
      <c r="D2461" s="1" t="n">
        <f aca="false">_xlfn.BITAND(A2461,1)</f>
        <v>1</v>
      </c>
      <c r="F2461" s="1" t="str">
        <f aca="false">DEC2HEX(B2461*$N$3*18)</f>
        <v>26400</v>
      </c>
      <c r="G2461" s="1" t="str">
        <f aca="false">DEC2HEX(C2461*7)</f>
        <v>23</v>
      </c>
      <c r="H2461" s="1" t="str">
        <f aca="false">IF(D2461=0, 33, "cc")</f>
        <v>cc</v>
      </c>
    </row>
    <row r="2462" customFormat="false" ht="18.65" hidden="false" customHeight="true" outlineLevel="0" collapsed="false">
      <c r="A2462" s="1" t="n">
        <f aca="false">ROW()-2</f>
        <v>2460</v>
      </c>
      <c r="B2462" s="1" t="n">
        <f aca="false">INT(A2462/$N$1)</f>
        <v>136</v>
      </c>
      <c r="C2462" s="1" t="n">
        <f aca="false">INT(MOD(A2462,$N$1) / 2)</f>
        <v>6</v>
      </c>
      <c r="D2462" s="1" t="n">
        <f aca="false">_xlfn.BITAND(A2462,1)</f>
        <v>0</v>
      </c>
      <c r="F2462" s="1" t="str">
        <f aca="false">DEC2HEX(B2462*$N$3*18)</f>
        <v>26400</v>
      </c>
      <c r="G2462" s="1" t="str">
        <f aca="false">DEC2HEX(C2462*7)</f>
        <v>2A</v>
      </c>
      <c r="H2462" s="1" t="n">
        <f aca="false">IF(D2462=0, 33, "cc")</f>
        <v>33</v>
      </c>
    </row>
    <row r="2463" customFormat="false" ht="18.65" hidden="false" customHeight="true" outlineLevel="0" collapsed="false">
      <c r="A2463" s="1" t="n">
        <f aca="false">ROW()-2</f>
        <v>2461</v>
      </c>
      <c r="B2463" s="1" t="n">
        <f aca="false">INT(A2463/$N$1)</f>
        <v>136</v>
      </c>
      <c r="C2463" s="1" t="n">
        <f aca="false">INT(MOD(A2463,$N$1) / 2)</f>
        <v>6</v>
      </c>
      <c r="D2463" s="1" t="n">
        <f aca="false">_xlfn.BITAND(A2463,1)</f>
        <v>1</v>
      </c>
      <c r="F2463" s="1" t="str">
        <f aca="false">DEC2HEX(B2463*$N$3*18)</f>
        <v>26400</v>
      </c>
      <c r="G2463" s="1" t="str">
        <f aca="false">DEC2HEX(C2463*7)</f>
        <v>2A</v>
      </c>
      <c r="H2463" s="1" t="str">
        <f aca="false">IF(D2463=0, 33, "cc")</f>
        <v>cc</v>
      </c>
    </row>
    <row r="2464" customFormat="false" ht="18.65" hidden="false" customHeight="true" outlineLevel="0" collapsed="false">
      <c r="A2464" s="1" t="n">
        <f aca="false">ROW()-2</f>
        <v>2462</v>
      </c>
      <c r="B2464" s="1" t="n">
        <f aca="false">INT(A2464/$N$1)</f>
        <v>136</v>
      </c>
      <c r="C2464" s="1" t="n">
        <f aca="false">INT(MOD(A2464,$N$1) / 2)</f>
        <v>7</v>
      </c>
      <c r="D2464" s="1" t="n">
        <f aca="false">_xlfn.BITAND(A2464,1)</f>
        <v>0</v>
      </c>
      <c r="F2464" s="1" t="str">
        <f aca="false">DEC2HEX(B2464*$N$3*18)</f>
        <v>26400</v>
      </c>
      <c r="G2464" s="1" t="str">
        <f aca="false">DEC2HEX(C2464*7)</f>
        <v>31</v>
      </c>
      <c r="H2464" s="1" t="n">
        <f aca="false">IF(D2464=0, 33, "cc")</f>
        <v>33</v>
      </c>
    </row>
    <row r="2465" customFormat="false" ht="18.65" hidden="false" customHeight="true" outlineLevel="0" collapsed="false">
      <c r="A2465" s="1" t="n">
        <f aca="false">ROW()-2</f>
        <v>2463</v>
      </c>
      <c r="B2465" s="1" t="n">
        <f aca="false">INT(A2465/$N$1)</f>
        <v>136</v>
      </c>
      <c r="C2465" s="1" t="n">
        <f aca="false">INT(MOD(A2465,$N$1) / 2)</f>
        <v>7</v>
      </c>
      <c r="D2465" s="1" t="n">
        <f aca="false">_xlfn.BITAND(A2465,1)</f>
        <v>1</v>
      </c>
      <c r="F2465" s="1" t="str">
        <f aca="false">DEC2HEX(B2465*$N$3*18)</f>
        <v>26400</v>
      </c>
      <c r="G2465" s="1" t="str">
        <f aca="false">DEC2HEX(C2465*7)</f>
        <v>31</v>
      </c>
      <c r="H2465" s="1" t="str">
        <f aca="false">IF(D2465=0, 33, "cc")</f>
        <v>cc</v>
      </c>
    </row>
    <row r="2466" customFormat="false" ht="18.65" hidden="false" customHeight="true" outlineLevel="0" collapsed="false">
      <c r="A2466" s="1" t="n">
        <f aca="false">ROW()-2</f>
        <v>2464</v>
      </c>
      <c r="B2466" s="1" t="n">
        <f aca="false">INT(A2466/$N$1)</f>
        <v>136</v>
      </c>
      <c r="C2466" s="1" t="n">
        <f aca="false">INT(MOD(A2466,$N$1) / 2)</f>
        <v>8</v>
      </c>
      <c r="D2466" s="1" t="n">
        <f aca="false">_xlfn.BITAND(A2466,1)</f>
        <v>0</v>
      </c>
      <c r="F2466" s="1" t="str">
        <f aca="false">DEC2HEX(B2466*$N$3*18)</f>
        <v>26400</v>
      </c>
      <c r="G2466" s="1" t="str">
        <f aca="false">DEC2HEX(C2466*7)</f>
        <v>38</v>
      </c>
      <c r="H2466" s="1" t="n">
        <f aca="false">IF(D2466=0, 33, "cc")</f>
        <v>33</v>
      </c>
    </row>
    <row r="2467" customFormat="false" ht="18.65" hidden="false" customHeight="true" outlineLevel="0" collapsed="false">
      <c r="A2467" s="1" t="n">
        <f aca="false">ROW()-2</f>
        <v>2465</v>
      </c>
      <c r="B2467" s="1" t="n">
        <f aca="false">INT(A2467/$N$1)</f>
        <v>136</v>
      </c>
      <c r="C2467" s="1" t="n">
        <f aca="false">INT(MOD(A2467,$N$1) / 2)</f>
        <v>8</v>
      </c>
      <c r="D2467" s="1" t="n">
        <f aca="false">_xlfn.BITAND(A2467,1)</f>
        <v>1</v>
      </c>
      <c r="F2467" s="1" t="str">
        <f aca="false">DEC2HEX(B2467*$N$3*18)</f>
        <v>26400</v>
      </c>
      <c r="G2467" s="1" t="str">
        <f aca="false">DEC2HEX(C2467*7)</f>
        <v>38</v>
      </c>
      <c r="H2467" s="1" t="str">
        <f aca="false">IF(D2467=0, 33, "cc")</f>
        <v>cc</v>
      </c>
    </row>
    <row r="2468" customFormat="false" ht="18.65" hidden="false" customHeight="true" outlineLevel="0" collapsed="false">
      <c r="A2468" s="1" t="n">
        <f aca="false">ROW()-2</f>
        <v>2466</v>
      </c>
      <c r="B2468" s="1" t="n">
        <f aca="false">INT(A2468/$N$1)</f>
        <v>137</v>
      </c>
      <c r="C2468" s="1" t="n">
        <f aca="false">INT(MOD(A2468,$N$1) / 2)</f>
        <v>0</v>
      </c>
      <c r="D2468" s="1" t="n">
        <f aca="false">_xlfn.BITAND(A2468,1)</f>
        <v>0</v>
      </c>
      <c r="F2468" s="1" t="str">
        <f aca="false">DEC2HEX(B2468*$N$3*18)</f>
        <v>26880</v>
      </c>
      <c r="G2468" s="1" t="str">
        <f aca="false">DEC2HEX(C2468*7)</f>
        <v>0</v>
      </c>
      <c r="H2468" s="1" t="n">
        <f aca="false">IF(D2468=0, 33, "cc")</f>
        <v>33</v>
      </c>
    </row>
    <row r="2469" customFormat="false" ht="18.65" hidden="false" customHeight="true" outlineLevel="0" collapsed="false">
      <c r="A2469" s="1" t="n">
        <f aca="false">ROW()-2</f>
        <v>2467</v>
      </c>
      <c r="B2469" s="1" t="n">
        <f aca="false">INT(A2469/$N$1)</f>
        <v>137</v>
      </c>
      <c r="C2469" s="1" t="n">
        <f aca="false">INT(MOD(A2469,$N$1) / 2)</f>
        <v>0</v>
      </c>
      <c r="D2469" s="1" t="n">
        <f aca="false">_xlfn.BITAND(A2469,1)</f>
        <v>1</v>
      </c>
      <c r="F2469" s="1" t="str">
        <f aca="false">DEC2HEX(B2469*$N$3*18)</f>
        <v>26880</v>
      </c>
      <c r="G2469" s="1" t="str">
        <f aca="false">DEC2HEX(C2469*7)</f>
        <v>0</v>
      </c>
      <c r="H2469" s="1" t="str">
        <f aca="false">IF(D2469=0, 33, "cc")</f>
        <v>cc</v>
      </c>
    </row>
    <row r="2470" customFormat="false" ht="18.65" hidden="false" customHeight="true" outlineLevel="0" collapsed="false">
      <c r="A2470" s="1" t="n">
        <f aca="false">ROW()-2</f>
        <v>2468</v>
      </c>
      <c r="B2470" s="1" t="n">
        <f aca="false">INT(A2470/$N$1)</f>
        <v>137</v>
      </c>
      <c r="C2470" s="1" t="n">
        <f aca="false">INT(MOD(A2470,$N$1) / 2)</f>
        <v>1</v>
      </c>
      <c r="D2470" s="1" t="n">
        <f aca="false">_xlfn.BITAND(A2470,1)</f>
        <v>0</v>
      </c>
      <c r="F2470" s="1" t="str">
        <f aca="false">DEC2HEX(B2470*$N$3*18)</f>
        <v>26880</v>
      </c>
      <c r="G2470" s="1" t="str">
        <f aca="false">DEC2HEX(C2470*7)</f>
        <v>7</v>
      </c>
      <c r="H2470" s="1" t="n">
        <f aca="false">IF(D2470=0, 33, "cc")</f>
        <v>33</v>
      </c>
    </row>
    <row r="2471" customFormat="false" ht="18.65" hidden="false" customHeight="true" outlineLevel="0" collapsed="false">
      <c r="A2471" s="1" t="n">
        <f aca="false">ROW()-2</f>
        <v>2469</v>
      </c>
      <c r="B2471" s="1" t="n">
        <f aca="false">INT(A2471/$N$1)</f>
        <v>137</v>
      </c>
      <c r="C2471" s="1" t="n">
        <f aca="false">INT(MOD(A2471,$N$1) / 2)</f>
        <v>1</v>
      </c>
      <c r="D2471" s="1" t="n">
        <f aca="false">_xlfn.BITAND(A2471,1)</f>
        <v>1</v>
      </c>
      <c r="F2471" s="1" t="str">
        <f aca="false">DEC2HEX(B2471*$N$3*18)</f>
        <v>26880</v>
      </c>
      <c r="G2471" s="1" t="str">
        <f aca="false">DEC2HEX(C2471*7)</f>
        <v>7</v>
      </c>
      <c r="H2471" s="1" t="str">
        <f aca="false">IF(D2471=0, 33, "cc")</f>
        <v>cc</v>
      </c>
    </row>
    <row r="2472" customFormat="false" ht="18.65" hidden="false" customHeight="true" outlineLevel="0" collapsed="false">
      <c r="A2472" s="1" t="n">
        <f aca="false">ROW()-2</f>
        <v>2470</v>
      </c>
      <c r="B2472" s="1" t="n">
        <f aca="false">INT(A2472/$N$1)</f>
        <v>137</v>
      </c>
      <c r="C2472" s="1" t="n">
        <f aca="false">INT(MOD(A2472,$N$1) / 2)</f>
        <v>2</v>
      </c>
      <c r="D2472" s="1" t="n">
        <f aca="false">_xlfn.BITAND(A2472,1)</f>
        <v>0</v>
      </c>
      <c r="F2472" s="1" t="str">
        <f aca="false">DEC2HEX(B2472*$N$3*18)</f>
        <v>26880</v>
      </c>
      <c r="G2472" s="1" t="str">
        <f aca="false">DEC2HEX(C2472*7)</f>
        <v>E</v>
      </c>
      <c r="H2472" s="1" t="n">
        <f aca="false">IF(D2472=0, 33, "cc")</f>
        <v>33</v>
      </c>
    </row>
    <row r="2473" customFormat="false" ht="18.65" hidden="false" customHeight="true" outlineLevel="0" collapsed="false">
      <c r="A2473" s="1" t="n">
        <f aca="false">ROW()-2</f>
        <v>2471</v>
      </c>
      <c r="B2473" s="1" t="n">
        <f aca="false">INT(A2473/$N$1)</f>
        <v>137</v>
      </c>
      <c r="C2473" s="1" t="n">
        <f aca="false">INT(MOD(A2473,$N$1) / 2)</f>
        <v>2</v>
      </c>
      <c r="D2473" s="1" t="n">
        <f aca="false">_xlfn.BITAND(A2473,1)</f>
        <v>1</v>
      </c>
      <c r="F2473" s="1" t="str">
        <f aca="false">DEC2HEX(B2473*$N$3*18)</f>
        <v>26880</v>
      </c>
      <c r="G2473" s="1" t="str">
        <f aca="false">DEC2HEX(C2473*7)</f>
        <v>E</v>
      </c>
      <c r="H2473" s="1" t="str">
        <f aca="false">IF(D2473=0, 33, "cc")</f>
        <v>cc</v>
      </c>
    </row>
    <row r="2474" customFormat="false" ht="18.65" hidden="false" customHeight="true" outlineLevel="0" collapsed="false">
      <c r="A2474" s="1" t="n">
        <f aca="false">ROW()-2</f>
        <v>2472</v>
      </c>
      <c r="B2474" s="1" t="n">
        <f aca="false">INT(A2474/$N$1)</f>
        <v>137</v>
      </c>
      <c r="C2474" s="1" t="n">
        <f aca="false">INT(MOD(A2474,$N$1) / 2)</f>
        <v>3</v>
      </c>
      <c r="D2474" s="1" t="n">
        <f aca="false">_xlfn.BITAND(A2474,1)</f>
        <v>0</v>
      </c>
      <c r="F2474" s="1" t="str">
        <f aca="false">DEC2HEX(B2474*$N$3*18)</f>
        <v>26880</v>
      </c>
      <c r="G2474" s="1" t="str">
        <f aca="false">DEC2HEX(C2474*7)</f>
        <v>15</v>
      </c>
      <c r="H2474" s="1" t="n">
        <f aca="false">IF(D2474=0, 33, "cc")</f>
        <v>33</v>
      </c>
    </row>
    <row r="2475" customFormat="false" ht="18.65" hidden="false" customHeight="true" outlineLevel="0" collapsed="false">
      <c r="A2475" s="1" t="n">
        <f aca="false">ROW()-2</f>
        <v>2473</v>
      </c>
      <c r="B2475" s="1" t="n">
        <f aca="false">INT(A2475/$N$1)</f>
        <v>137</v>
      </c>
      <c r="C2475" s="1" t="n">
        <f aca="false">INT(MOD(A2475,$N$1) / 2)</f>
        <v>3</v>
      </c>
      <c r="D2475" s="1" t="n">
        <f aca="false">_xlfn.BITAND(A2475,1)</f>
        <v>1</v>
      </c>
      <c r="F2475" s="1" t="str">
        <f aca="false">DEC2HEX(B2475*$N$3*18)</f>
        <v>26880</v>
      </c>
      <c r="G2475" s="1" t="str">
        <f aca="false">DEC2HEX(C2475*7)</f>
        <v>15</v>
      </c>
      <c r="H2475" s="1" t="str">
        <f aca="false">IF(D2475=0, 33, "cc")</f>
        <v>cc</v>
      </c>
    </row>
    <row r="2476" customFormat="false" ht="18.65" hidden="false" customHeight="true" outlineLevel="0" collapsed="false">
      <c r="A2476" s="1" t="n">
        <f aca="false">ROW()-2</f>
        <v>2474</v>
      </c>
      <c r="B2476" s="1" t="n">
        <f aca="false">INT(A2476/$N$1)</f>
        <v>137</v>
      </c>
      <c r="C2476" s="1" t="n">
        <f aca="false">INT(MOD(A2476,$N$1) / 2)</f>
        <v>4</v>
      </c>
      <c r="D2476" s="1" t="n">
        <f aca="false">_xlfn.BITAND(A2476,1)</f>
        <v>0</v>
      </c>
      <c r="F2476" s="1" t="str">
        <f aca="false">DEC2HEX(B2476*$N$3*18)</f>
        <v>26880</v>
      </c>
      <c r="G2476" s="1" t="str">
        <f aca="false">DEC2HEX(C2476*7)</f>
        <v>1C</v>
      </c>
      <c r="H2476" s="1" t="n">
        <f aca="false">IF(D2476=0, 33, "cc")</f>
        <v>33</v>
      </c>
    </row>
    <row r="2477" customFormat="false" ht="18.65" hidden="false" customHeight="true" outlineLevel="0" collapsed="false">
      <c r="A2477" s="1" t="n">
        <f aca="false">ROW()-2</f>
        <v>2475</v>
      </c>
      <c r="B2477" s="1" t="n">
        <f aca="false">INT(A2477/$N$1)</f>
        <v>137</v>
      </c>
      <c r="C2477" s="1" t="n">
        <f aca="false">INT(MOD(A2477,$N$1) / 2)</f>
        <v>4</v>
      </c>
      <c r="D2477" s="1" t="n">
        <f aca="false">_xlfn.BITAND(A2477,1)</f>
        <v>1</v>
      </c>
      <c r="F2477" s="1" t="str">
        <f aca="false">DEC2HEX(B2477*$N$3*18)</f>
        <v>26880</v>
      </c>
      <c r="G2477" s="1" t="str">
        <f aca="false">DEC2HEX(C2477*7)</f>
        <v>1C</v>
      </c>
      <c r="H2477" s="1" t="str">
        <f aca="false">IF(D2477=0, 33, "cc")</f>
        <v>cc</v>
      </c>
    </row>
    <row r="2478" customFormat="false" ht="18.65" hidden="false" customHeight="true" outlineLevel="0" collapsed="false">
      <c r="A2478" s="1" t="n">
        <f aca="false">ROW()-2</f>
        <v>2476</v>
      </c>
      <c r="B2478" s="1" t="n">
        <f aca="false">INT(A2478/$N$1)</f>
        <v>137</v>
      </c>
      <c r="C2478" s="1" t="n">
        <f aca="false">INT(MOD(A2478,$N$1) / 2)</f>
        <v>5</v>
      </c>
      <c r="D2478" s="1" t="n">
        <f aca="false">_xlfn.BITAND(A2478,1)</f>
        <v>0</v>
      </c>
      <c r="F2478" s="1" t="str">
        <f aca="false">DEC2HEX(B2478*$N$3*18)</f>
        <v>26880</v>
      </c>
      <c r="G2478" s="1" t="str">
        <f aca="false">DEC2HEX(C2478*7)</f>
        <v>23</v>
      </c>
      <c r="H2478" s="1" t="n">
        <f aca="false">IF(D2478=0, 33, "cc")</f>
        <v>33</v>
      </c>
    </row>
    <row r="2479" customFormat="false" ht="18.65" hidden="false" customHeight="true" outlineLevel="0" collapsed="false">
      <c r="A2479" s="1" t="n">
        <f aca="false">ROW()-2</f>
        <v>2477</v>
      </c>
      <c r="B2479" s="1" t="n">
        <f aca="false">INT(A2479/$N$1)</f>
        <v>137</v>
      </c>
      <c r="C2479" s="1" t="n">
        <f aca="false">INT(MOD(A2479,$N$1) / 2)</f>
        <v>5</v>
      </c>
      <c r="D2479" s="1" t="n">
        <f aca="false">_xlfn.BITAND(A2479,1)</f>
        <v>1</v>
      </c>
      <c r="F2479" s="1" t="str">
        <f aca="false">DEC2HEX(B2479*$N$3*18)</f>
        <v>26880</v>
      </c>
      <c r="G2479" s="1" t="str">
        <f aca="false">DEC2HEX(C2479*7)</f>
        <v>23</v>
      </c>
      <c r="H2479" s="1" t="str">
        <f aca="false">IF(D2479=0, 33, "cc")</f>
        <v>cc</v>
      </c>
    </row>
    <row r="2480" customFormat="false" ht="18.65" hidden="false" customHeight="true" outlineLevel="0" collapsed="false">
      <c r="A2480" s="1" t="n">
        <f aca="false">ROW()-2</f>
        <v>2478</v>
      </c>
      <c r="B2480" s="1" t="n">
        <f aca="false">INT(A2480/$N$1)</f>
        <v>137</v>
      </c>
      <c r="C2480" s="1" t="n">
        <f aca="false">INT(MOD(A2480,$N$1) / 2)</f>
        <v>6</v>
      </c>
      <c r="D2480" s="1" t="n">
        <f aca="false">_xlfn.BITAND(A2480,1)</f>
        <v>0</v>
      </c>
      <c r="F2480" s="1" t="str">
        <f aca="false">DEC2HEX(B2480*$N$3*18)</f>
        <v>26880</v>
      </c>
      <c r="G2480" s="1" t="str">
        <f aca="false">DEC2HEX(C2480*7)</f>
        <v>2A</v>
      </c>
      <c r="H2480" s="1" t="n">
        <f aca="false">IF(D2480=0, 33, "cc")</f>
        <v>33</v>
      </c>
    </row>
    <row r="2481" customFormat="false" ht="18.65" hidden="false" customHeight="true" outlineLevel="0" collapsed="false">
      <c r="A2481" s="1" t="n">
        <f aca="false">ROW()-2</f>
        <v>2479</v>
      </c>
      <c r="B2481" s="1" t="n">
        <f aca="false">INT(A2481/$N$1)</f>
        <v>137</v>
      </c>
      <c r="C2481" s="1" t="n">
        <f aca="false">INT(MOD(A2481,$N$1) / 2)</f>
        <v>6</v>
      </c>
      <c r="D2481" s="1" t="n">
        <f aca="false">_xlfn.BITAND(A2481,1)</f>
        <v>1</v>
      </c>
      <c r="F2481" s="1" t="str">
        <f aca="false">DEC2HEX(B2481*$N$3*18)</f>
        <v>26880</v>
      </c>
      <c r="G2481" s="1" t="str">
        <f aca="false">DEC2HEX(C2481*7)</f>
        <v>2A</v>
      </c>
      <c r="H2481" s="1" t="str">
        <f aca="false">IF(D2481=0, 33, "cc")</f>
        <v>cc</v>
      </c>
    </row>
    <row r="2482" customFormat="false" ht="18.65" hidden="false" customHeight="true" outlineLevel="0" collapsed="false">
      <c r="A2482" s="1" t="n">
        <f aca="false">ROW()-2</f>
        <v>2480</v>
      </c>
      <c r="B2482" s="1" t="n">
        <f aca="false">INT(A2482/$N$1)</f>
        <v>137</v>
      </c>
      <c r="C2482" s="1" t="n">
        <f aca="false">INT(MOD(A2482,$N$1) / 2)</f>
        <v>7</v>
      </c>
      <c r="D2482" s="1" t="n">
        <f aca="false">_xlfn.BITAND(A2482,1)</f>
        <v>0</v>
      </c>
      <c r="F2482" s="1" t="str">
        <f aca="false">DEC2HEX(B2482*$N$3*18)</f>
        <v>26880</v>
      </c>
      <c r="G2482" s="1" t="str">
        <f aca="false">DEC2HEX(C2482*7)</f>
        <v>31</v>
      </c>
      <c r="H2482" s="1" t="n">
        <f aca="false">IF(D2482=0, 33, "cc")</f>
        <v>33</v>
      </c>
    </row>
    <row r="2483" customFormat="false" ht="18.65" hidden="false" customHeight="true" outlineLevel="0" collapsed="false">
      <c r="A2483" s="1" t="n">
        <f aca="false">ROW()-2</f>
        <v>2481</v>
      </c>
      <c r="B2483" s="1" t="n">
        <f aca="false">INT(A2483/$N$1)</f>
        <v>137</v>
      </c>
      <c r="C2483" s="1" t="n">
        <f aca="false">INT(MOD(A2483,$N$1) / 2)</f>
        <v>7</v>
      </c>
      <c r="D2483" s="1" t="n">
        <f aca="false">_xlfn.BITAND(A2483,1)</f>
        <v>1</v>
      </c>
      <c r="F2483" s="1" t="str">
        <f aca="false">DEC2HEX(B2483*$N$3*18)</f>
        <v>26880</v>
      </c>
      <c r="G2483" s="1" t="str">
        <f aca="false">DEC2HEX(C2483*7)</f>
        <v>31</v>
      </c>
      <c r="H2483" s="1" t="str">
        <f aca="false">IF(D2483=0, 33, "cc")</f>
        <v>cc</v>
      </c>
    </row>
    <row r="2484" customFormat="false" ht="18.65" hidden="false" customHeight="true" outlineLevel="0" collapsed="false">
      <c r="A2484" s="1" t="n">
        <f aca="false">ROW()-2</f>
        <v>2482</v>
      </c>
      <c r="B2484" s="1" t="n">
        <f aca="false">INT(A2484/$N$1)</f>
        <v>137</v>
      </c>
      <c r="C2484" s="1" t="n">
        <f aca="false">INT(MOD(A2484,$N$1) / 2)</f>
        <v>8</v>
      </c>
      <c r="D2484" s="1" t="n">
        <f aca="false">_xlfn.BITAND(A2484,1)</f>
        <v>0</v>
      </c>
      <c r="F2484" s="1" t="str">
        <f aca="false">DEC2HEX(B2484*$N$3*18)</f>
        <v>26880</v>
      </c>
      <c r="G2484" s="1" t="str">
        <f aca="false">DEC2HEX(C2484*7)</f>
        <v>38</v>
      </c>
      <c r="H2484" s="1" t="n">
        <f aca="false">IF(D2484=0, 33, "cc")</f>
        <v>33</v>
      </c>
    </row>
    <row r="2485" customFormat="false" ht="18.65" hidden="false" customHeight="true" outlineLevel="0" collapsed="false">
      <c r="A2485" s="1" t="n">
        <f aca="false">ROW()-2</f>
        <v>2483</v>
      </c>
      <c r="B2485" s="1" t="n">
        <f aca="false">INT(A2485/$N$1)</f>
        <v>137</v>
      </c>
      <c r="C2485" s="1" t="n">
        <f aca="false">INT(MOD(A2485,$N$1) / 2)</f>
        <v>8</v>
      </c>
      <c r="D2485" s="1" t="n">
        <f aca="false">_xlfn.BITAND(A2485,1)</f>
        <v>1</v>
      </c>
      <c r="F2485" s="1" t="str">
        <f aca="false">DEC2HEX(B2485*$N$3*18)</f>
        <v>26880</v>
      </c>
      <c r="G2485" s="1" t="str">
        <f aca="false">DEC2HEX(C2485*7)</f>
        <v>38</v>
      </c>
      <c r="H2485" s="1" t="str">
        <f aca="false">IF(D2485=0, 33, "cc")</f>
        <v>cc</v>
      </c>
    </row>
    <row r="2486" customFormat="false" ht="18.65" hidden="false" customHeight="true" outlineLevel="0" collapsed="false">
      <c r="A2486" s="1" t="n">
        <f aca="false">ROW()-2</f>
        <v>2484</v>
      </c>
      <c r="B2486" s="1" t="n">
        <f aca="false">INT(A2486/$N$1)</f>
        <v>138</v>
      </c>
      <c r="C2486" s="1" t="n">
        <f aca="false">INT(MOD(A2486,$N$1) / 2)</f>
        <v>0</v>
      </c>
      <c r="D2486" s="1" t="n">
        <f aca="false">_xlfn.BITAND(A2486,1)</f>
        <v>0</v>
      </c>
      <c r="F2486" s="1" t="str">
        <f aca="false">DEC2HEX(B2486*$N$3*18)</f>
        <v>26D00</v>
      </c>
      <c r="G2486" s="1" t="str">
        <f aca="false">DEC2HEX(C2486*7)</f>
        <v>0</v>
      </c>
      <c r="H2486" s="1" t="n">
        <f aca="false">IF(D2486=0, 33, "cc")</f>
        <v>33</v>
      </c>
    </row>
    <row r="2487" customFormat="false" ht="18.65" hidden="false" customHeight="true" outlineLevel="0" collapsed="false">
      <c r="A2487" s="1" t="n">
        <f aca="false">ROW()-2</f>
        <v>2485</v>
      </c>
      <c r="B2487" s="1" t="n">
        <f aca="false">INT(A2487/$N$1)</f>
        <v>138</v>
      </c>
      <c r="C2487" s="1" t="n">
        <f aca="false">INT(MOD(A2487,$N$1) / 2)</f>
        <v>0</v>
      </c>
      <c r="D2487" s="1" t="n">
        <f aca="false">_xlfn.BITAND(A2487,1)</f>
        <v>1</v>
      </c>
      <c r="F2487" s="1" t="str">
        <f aca="false">DEC2HEX(B2487*$N$3*18)</f>
        <v>26D00</v>
      </c>
      <c r="G2487" s="1" t="str">
        <f aca="false">DEC2HEX(C2487*7)</f>
        <v>0</v>
      </c>
      <c r="H2487" s="1" t="str">
        <f aca="false">IF(D2487=0, 33, "cc")</f>
        <v>cc</v>
      </c>
    </row>
    <row r="2488" customFormat="false" ht="18.65" hidden="false" customHeight="true" outlineLevel="0" collapsed="false">
      <c r="A2488" s="1" t="n">
        <f aca="false">ROW()-2</f>
        <v>2486</v>
      </c>
      <c r="B2488" s="1" t="n">
        <f aca="false">INT(A2488/$N$1)</f>
        <v>138</v>
      </c>
      <c r="C2488" s="1" t="n">
        <f aca="false">INT(MOD(A2488,$N$1) / 2)</f>
        <v>1</v>
      </c>
      <c r="D2488" s="1" t="n">
        <f aca="false">_xlfn.BITAND(A2488,1)</f>
        <v>0</v>
      </c>
      <c r="F2488" s="1" t="str">
        <f aca="false">DEC2HEX(B2488*$N$3*18)</f>
        <v>26D00</v>
      </c>
      <c r="G2488" s="1" t="str">
        <f aca="false">DEC2HEX(C2488*7)</f>
        <v>7</v>
      </c>
      <c r="H2488" s="1" t="n">
        <f aca="false">IF(D2488=0, 33, "cc")</f>
        <v>33</v>
      </c>
    </row>
    <row r="2489" customFormat="false" ht="18.65" hidden="false" customHeight="true" outlineLevel="0" collapsed="false">
      <c r="A2489" s="1" t="n">
        <f aca="false">ROW()-2</f>
        <v>2487</v>
      </c>
      <c r="B2489" s="1" t="n">
        <f aca="false">INT(A2489/$N$1)</f>
        <v>138</v>
      </c>
      <c r="C2489" s="1" t="n">
        <f aca="false">INT(MOD(A2489,$N$1) / 2)</f>
        <v>1</v>
      </c>
      <c r="D2489" s="1" t="n">
        <f aca="false">_xlfn.BITAND(A2489,1)</f>
        <v>1</v>
      </c>
      <c r="F2489" s="1" t="str">
        <f aca="false">DEC2HEX(B2489*$N$3*18)</f>
        <v>26D00</v>
      </c>
      <c r="G2489" s="1" t="str">
        <f aca="false">DEC2HEX(C2489*7)</f>
        <v>7</v>
      </c>
      <c r="H2489" s="1" t="str">
        <f aca="false">IF(D2489=0, 33, "cc")</f>
        <v>cc</v>
      </c>
    </row>
    <row r="2490" customFormat="false" ht="18.65" hidden="false" customHeight="true" outlineLevel="0" collapsed="false">
      <c r="A2490" s="1" t="n">
        <f aca="false">ROW()-2</f>
        <v>2488</v>
      </c>
      <c r="B2490" s="1" t="n">
        <f aca="false">INT(A2490/$N$1)</f>
        <v>138</v>
      </c>
      <c r="C2490" s="1" t="n">
        <f aca="false">INT(MOD(A2490,$N$1) / 2)</f>
        <v>2</v>
      </c>
      <c r="D2490" s="1" t="n">
        <f aca="false">_xlfn.BITAND(A2490,1)</f>
        <v>0</v>
      </c>
      <c r="F2490" s="1" t="str">
        <f aca="false">DEC2HEX(B2490*$N$3*18)</f>
        <v>26D00</v>
      </c>
      <c r="G2490" s="1" t="str">
        <f aca="false">DEC2HEX(C2490*7)</f>
        <v>E</v>
      </c>
      <c r="H2490" s="1" t="n">
        <f aca="false">IF(D2490=0, 33, "cc")</f>
        <v>33</v>
      </c>
    </row>
    <row r="2491" customFormat="false" ht="18.65" hidden="false" customHeight="true" outlineLevel="0" collapsed="false">
      <c r="A2491" s="1" t="n">
        <f aca="false">ROW()-2</f>
        <v>2489</v>
      </c>
      <c r="B2491" s="1" t="n">
        <f aca="false">INT(A2491/$N$1)</f>
        <v>138</v>
      </c>
      <c r="C2491" s="1" t="n">
        <f aca="false">INT(MOD(A2491,$N$1) / 2)</f>
        <v>2</v>
      </c>
      <c r="D2491" s="1" t="n">
        <f aca="false">_xlfn.BITAND(A2491,1)</f>
        <v>1</v>
      </c>
      <c r="F2491" s="1" t="str">
        <f aca="false">DEC2HEX(B2491*$N$3*18)</f>
        <v>26D00</v>
      </c>
      <c r="G2491" s="1" t="str">
        <f aca="false">DEC2HEX(C2491*7)</f>
        <v>E</v>
      </c>
      <c r="H2491" s="1" t="str">
        <f aca="false">IF(D2491=0, 33, "cc")</f>
        <v>cc</v>
      </c>
    </row>
    <row r="2492" customFormat="false" ht="18.65" hidden="false" customHeight="true" outlineLevel="0" collapsed="false">
      <c r="A2492" s="1" t="n">
        <f aca="false">ROW()-2</f>
        <v>2490</v>
      </c>
      <c r="B2492" s="1" t="n">
        <f aca="false">INT(A2492/$N$1)</f>
        <v>138</v>
      </c>
      <c r="C2492" s="1" t="n">
        <f aca="false">INT(MOD(A2492,$N$1) / 2)</f>
        <v>3</v>
      </c>
      <c r="D2492" s="1" t="n">
        <f aca="false">_xlfn.BITAND(A2492,1)</f>
        <v>0</v>
      </c>
      <c r="F2492" s="1" t="str">
        <f aca="false">DEC2HEX(B2492*$N$3*18)</f>
        <v>26D00</v>
      </c>
      <c r="G2492" s="1" t="str">
        <f aca="false">DEC2HEX(C2492*7)</f>
        <v>15</v>
      </c>
      <c r="H2492" s="1" t="n">
        <f aca="false">IF(D2492=0, 33, "cc")</f>
        <v>33</v>
      </c>
    </row>
    <row r="2493" customFormat="false" ht="18.65" hidden="false" customHeight="true" outlineLevel="0" collapsed="false">
      <c r="A2493" s="1" t="n">
        <f aca="false">ROW()-2</f>
        <v>2491</v>
      </c>
      <c r="B2493" s="1" t="n">
        <f aca="false">INT(A2493/$N$1)</f>
        <v>138</v>
      </c>
      <c r="C2493" s="1" t="n">
        <f aca="false">INT(MOD(A2493,$N$1) / 2)</f>
        <v>3</v>
      </c>
      <c r="D2493" s="1" t="n">
        <f aca="false">_xlfn.BITAND(A2493,1)</f>
        <v>1</v>
      </c>
      <c r="F2493" s="1" t="str">
        <f aca="false">DEC2HEX(B2493*$N$3*18)</f>
        <v>26D00</v>
      </c>
      <c r="G2493" s="1" t="str">
        <f aca="false">DEC2HEX(C2493*7)</f>
        <v>15</v>
      </c>
      <c r="H2493" s="1" t="str">
        <f aca="false">IF(D2493=0, 33, "cc")</f>
        <v>cc</v>
      </c>
    </row>
    <row r="2494" customFormat="false" ht="18.65" hidden="false" customHeight="true" outlineLevel="0" collapsed="false">
      <c r="A2494" s="1" t="n">
        <f aca="false">ROW()-2</f>
        <v>2492</v>
      </c>
      <c r="B2494" s="1" t="n">
        <f aca="false">INT(A2494/$N$1)</f>
        <v>138</v>
      </c>
      <c r="C2494" s="1" t="n">
        <f aca="false">INT(MOD(A2494,$N$1) / 2)</f>
        <v>4</v>
      </c>
      <c r="D2494" s="1" t="n">
        <f aca="false">_xlfn.BITAND(A2494,1)</f>
        <v>0</v>
      </c>
      <c r="F2494" s="1" t="str">
        <f aca="false">DEC2HEX(B2494*$N$3*18)</f>
        <v>26D00</v>
      </c>
      <c r="G2494" s="1" t="str">
        <f aca="false">DEC2HEX(C2494*7)</f>
        <v>1C</v>
      </c>
      <c r="H2494" s="1" t="n">
        <f aca="false">IF(D2494=0, 33, "cc")</f>
        <v>33</v>
      </c>
    </row>
    <row r="2495" customFormat="false" ht="18.65" hidden="false" customHeight="true" outlineLevel="0" collapsed="false">
      <c r="A2495" s="1" t="n">
        <f aca="false">ROW()-2</f>
        <v>2493</v>
      </c>
      <c r="B2495" s="1" t="n">
        <f aca="false">INT(A2495/$N$1)</f>
        <v>138</v>
      </c>
      <c r="C2495" s="1" t="n">
        <f aca="false">INT(MOD(A2495,$N$1) / 2)</f>
        <v>4</v>
      </c>
      <c r="D2495" s="1" t="n">
        <f aca="false">_xlfn.BITAND(A2495,1)</f>
        <v>1</v>
      </c>
      <c r="F2495" s="1" t="str">
        <f aca="false">DEC2HEX(B2495*$N$3*18)</f>
        <v>26D00</v>
      </c>
      <c r="G2495" s="1" t="str">
        <f aca="false">DEC2HEX(C2495*7)</f>
        <v>1C</v>
      </c>
      <c r="H2495" s="1" t="str">
        <f aca="false">IF(D2495=0, 33, "cc")</f>
        <v>cc</v>
      </c>
    </row>
    <row r="2496" customFormat="false" ht="18.65" hidden="false" customHeight="true" outlineLevel="0" collapsed="false">
      <c r="A2496" s="1" t="n">
        <f aca="false">ROW()-2</f>
        <v>2494</v>
      </c>
      <c r="B2496" s="1" t="n">
        <f aca="false">INT(A2496/$N$1)</f>
        <v>138</v>
      </c>
      <c r="C2496" s="1" t="n">
        <f aca="false">INT(MOD(A2496,$N$1) / 2)</f>
        <v>5</v>
      </c>
      <c r="D2496" s="1" t="n">
        <f aca="false">_xlfn.BITAND(A2496,1)</f>
        <v>0</v>
      </c>
      <c r="F2496" s="1" t="str">
        <f aca="false">DEC2HEX(B2496*$N$3*18)</f>
        <v>26D00</v>
      </c>
      <c r="G2496" s="1" t="str">
        <f aca="false">DEC2HEX(C2496*7)</f>
        <v>23</v>
      </c>
      <c r="H2496" s="1" t="n">
        <f aca="false">IF(D2496=0, 33, "cc")</f>
        <v>33</v>
      </c>
    </row>
    <row r="2497" customFormat="false" ht="18.65" hidden="false" customHeight="true" outlineLevel="0" collapsed="false">
      <c r="A2497" s="1" t="n">
        <f aca="false">ROW()-2</f>
        <v>2495</v>
      </c>
      <c r="B2497" s="1" t="n">
        <f aca="false">INT(A2497/$N$1)</f>
        <v>138</v>
      </c>
      <c r="C2497" s="1" t="n">
        <f aca="false">INT(MOD(A2497,$N$1) / 2)</f>
        <v>5</v>
      </c>
      <c r="D2497" s="1" t="n">
        <f aca="false">_xlfn.BITAND(A2497,1)</f>
        <v>1</v>
      </c>
      <c r="F2497" s="1" t="str">
        <f aca="false">DEC2HEX(B2497*$N$3*18)</f>
        <v>26D00</v>
      </c>
      <c r="G2497" s="1" t="str">
        <f aca="false">DEC2HEX(C2497*7)</f>
        <v>23</v>
      </c>
      <c r="H2497" s="1" t="str">
        <f aca="false">IF(D2497=0, 33, "cc")</f>
        <v>cc</v>
      </c>
    </row>
    <row r="2498" customFormat="false" ht="18.65" hidden="false" customHeight="true" outlineLevel="0" collapsed="false">
      <c r="A2498" s="4" t="n">
        <f aca="false">ROW()-2</f>
        <v>2496</v>
      </c>
      <c r="B2498" s="4" t="n">
        <f aca="false">INT(A2498/$N$1)</f>
        <v>138</v>
      </c>
      <c r="C2498" s="4" t="n">
        <f aca="false">INT(MOD(A2498,$N$1) / 2)</f>
        <v>6</v>
      </c>
      <c r="D2498" s="4" t="n">
        <f aca="false">_xlfn.BITAND(A2498,1)</f>
        <v>0</v>
      </c>
      <c r="E2498" s="4"/>
      <c r="F2498" s="4" t="str">
        <f aca="false">DEC2HEX(B2498*$N$3*18)</f>
        <v>26D00</v>
      </c>
      <c r="G2498" s="4" t="str">
        <f aca="false">DEC2HEX(C2498*7)</f>
        <v>2A</v>
      </c>
      <c r="H2498" s="4" t="n">
        <f aca="false">IF(D2498=0, 33, "cc")</f>
        <v>33</v>
      </c>
    </row>
    <row r="2499" customFormat="false" ht="18.65" hidden="false" customHeight="true" outlineLevel="0" collapsed="false">
      <c r="A2499" s="3" t="n">
        <f aca="false">ROW()-2</f>
        <v>2497</v>
      </c>
      <c r="B2499" s="3" t="n">
        <f aca="false">INT(A2499/$N$1)</f>
        <v>138</v>
      </c>
      <c r="C2499" s="3" t="n">
        <f aca="false">INT(MOD(A2499,$N$1) / 2)</f>
        <v>6</v>
      </c>
      <c r="D2499" s="3" t="n">
        <f aca="false">_xlfn.BITAND(A2499,1)</f>
        <v>1</v>
      </c>
      <c r="E2499" s="3"/>
      <c r="F2499" s="3" t="str">
        <f aca="false">DEC2HEX(B2499*$N$3*18)</f>
        <v>26D00</v>
      </c>
      <c r="G2499" s="3" t="str">
        <f aca="false">DEC2HEX(C2499*7)</f>
        <v>2A</v>
      </c>
      <c r="H2499" s="3" t="str">
        <f aca="false">IF(D2499=0, 33, "cc")</f>
        <v>cc</v>
      </c>
    </row>
    <row r="2500" customFormat="false" ht="18.65" hidden="false" customHeight="true" outlineLevel="0" collapsed="false">
      <c r="A2500" s="3" t="n">
        <f aca="false">ROW()-2</f>
        <v>2498</v>
      </c>
      <c r="B2500" s="3" t="n">
        <f aca="false">INT(A2500/$N$1)</f>
        <v>138</v>
      </c>
      <c r="C2500" s="3" t="n">
        <f aca="false">INT(MOD(A2500,$N$1) / 2)</f>
        <v>7</v>
      </c>
      <c r="D2500" s="3" t="n">
        <f aca="false">_xlfn.BITAND(A2500,1)</f>
        <v>0</v>
      </c>
      <c r="E2500" s="3"/>
      <c r="F2500" s="3" t="str">
        <f aca="false">DEC2HEX(B2500*$N$3*18)</f>
        <v>26D00</v>
      </c>
      <c r="G2500" s="3" t="str">
        <f aca="false">DEC2HEX(C2500*7)</f>
        <v>31</v>
      </c>
      <c r="H2500" s="3" t="n">
        <f aca="false">IF(D2500=0, 33, "cc")</f>
        <v>33</v>
      </c>
    </row>
    <row r="2501" customFormat="false" ht="18.65" hidden="false" customHeight="true" outlineLevel="0" collapsed="false">
      <c r="A2501" s="3" t="n">
        <f aca="false">ROW()-2</f>
        <v>2499</v>
      </c>
      <c r="B2501" s="3" t="n">
        <f aca="false">INT(A2501/$N$1)</f>
        <v>138</v>
      </c>
      <c r="C2501" s="3" t="n">
        <f aca="false">INT(MOD(A2501,$N$1) / 2)</f>
        <v>7</v>
      </c>
      <c r="D2501" s="3" t="n">
        <f aca="false">_xlfn.BITAND(A2501,1)</f>
        <v>1</v>
      </c>
      <c r="E2501" s="3"/>
      <c r="F2501" s="3" t="str">
        <f aca="false">DEC2HEX(B2501*$N$3*18)</f>
        <v>26D00</v>
      </c>
      <c r="G2501" s="3" t="str">
        <f aca="false">DEC2HEX(C2501*7)</f>
        <v>31</v>
      </c>
      <c r="H2501" s="3" t="str">
        <f aca="false">IF(D2501=0, 33, "cc")</f>
        <v>cc</v>
      </c>
    </row>
    <row r="2502" customFormat="false" ht="18.65" hidden="false" customHeight="true" outlineLevel="0" collapsed="false">
      <c r="A2502" s="3" t="n">
        <f aca="false">ROW()-2</f>
        <v>2500</v>
      </c>
      <c r="B2502" s="3" t="n">
        <f aca="false">INT(A2502/$N$1)</f>
        <v>138</v>
      </c>
      <c r="C2502" s="3" t="n">
        <f aca="false">INT(MOD(A2502,$N$1) / 2)</f>
        <v>8</v>
      </c>
      <c r="D2502" s="3" t="n">
        <f aca="false">_xlfn.BITAND(A2502,1)</f>
        <v>0</v>
      </c>
      <c r="E2502" s="3"/>
      <c r="F2502" s="3" t="str">
        <f aca="false">DEC2HEX(B2502*$N$3*18)</f>
        <v>26D00</v>
      </c>
      <c r="G2502" s="3" t="str">
        <f aca="false">DEC2HEX(C2502*7)</f>
        <v>38</v>
      </c>
      <c r="H2502" s="3" t="n">
        <f aca="false">IF(D2502=0, 33, "cc")</f>
        <v>33</v>
      </c>
    </row>
    <row r="2503" customFormat="false" ht="18.65" hidden="false" customHeight="true" outlineLevel="0" collapsed="false">
      <c r="A2503" s="3" t="n">
        <f aca="false">ROW()-2</f>
        <v>2501</v>
      </c>
      <c r="B2503" s="3" t="n">
        <f aca="false">INT(A2503/$N$1)</f>
        <v>138</v>
      </c>
      <c r="C2503" s="3" t="n">
        <f aca="false">INT(MOD(A2503,$N$1) / 2)</f>
        <v>8</v>
      </c>
      <c r="D2503" s="3" t="n">
        <f aca="false">_xlfn.BITAND(A2503,1)</f>
        <v>1</v>
      </c>
      <c r="E2503" s="3"/>
      <c r="F2503" s="3" t="str">
        <f aca="false">DEC2HEX(B2503*$N$3*18)</f>
        <v>26D00</v>
      </c>
      <c r="G2503" s="3" t="str">
        <f aca="false">DEC2HEX(C2503*7)</f>
        <v>38</v>
      </c>
      <c r="H2503" s="3" t="str">
        <f aca="false">IF(D2503=0, 33, "cc")</f>
        <v>cc</v>
      </c>
    </row>
    <row r="2504" customFormat="false" ht="18.65" hidden="false" customHeight="true" outlineLevel="0" collapsed="false">
      <c r="A2504" s="3" t="n">
        <f aca="false">ROW()-2</f>
        <v>2502</v>
      </c>
      <c r="B2504" s="3" t="n">
        <f aca="false">INT(A2504/$N$1)</f>
        <v>139</v>
      </c>
      <c r="C2504" s="3" t="n">
        <f aca="false">INT(MOD(A2504,$N$1) / 2)</f>
        <v>0</v>
      </c>
      <c r="D2504" s="3" t="n">
        <f aca="false">_xlfn.BITAND(A2504,1)</f>
        <v>0</v>
      </c>
      <c r="E2504" s="3"/>
      <c r="F2504" s="3" t="str">
        <f aca="false">DEC2HEX(B2504*$N$3*18)</f>
        <v>27180</v>
      </c>
      <c r="G2504" s="3" t="str">
        <f aca="false">DEC2HEX(C2504*7)</f>
        <v>0</v>
      </c>
      <c r="H2504" s="3" t="n">
        <f aca="false">IF(D2504=0, 33, "cc")</f>
        <v>33</v>
      </c>
    </row>
    <row r="2505" customFormat="false" ht="18.65" hidden="false" customHeight="true" outlineLevel="0" collapsed="false">
      <c r="A2505" s="3" t="n">
        <f aca="false">ROW()-2</f>
        <v>2503</v>
      </c>
      <c r="B2505" s="3" t="n">
        <f aca="false">INT(A2505/$N$1)</f>
        <v>139</v>
      </c>
      <c r="C2505" s="3" t="n">
        <f aca="false">INT(MOD(A2505,$N$1) / 2)</f>
        <v>0</v>
      </c>
      <c r="D2505" s="3" t="n">
        <f aca="false">_xlfn.BITAND(A2505,1)</f>
        <v>1</v>
      </c>
      <c r="E2505" s="3"/>
      <c r="F2505" s="3" t="str">
        <f aca="false">DEC2HEX(B2505*$N$3*18)</f>
        <v>27180</v>
      </c>
      <c r="G2505" s="3" t="str">
        <f aca="false">DEC2HEX(C2505*7)</f>
        <v>0</v>
      </c>
      <c r="H2505" s="3" t="str">
        <f aca="false">IF(D2505=0, 33, "cc")</f>
        <v>cc</v>
      </c>
    </row>
    <row r="2506" customFormat="false" ht="18.65" hidden="false" customHeight="true" outlineLevel="0" collapsed="false">
      <c r="A2506" s="3" t="n">
        <f aca="false">ROW()-2</f>
        <v>2504</v>
      </c>
      <c r="B2506" s="3" t="n">
        <f aca="false">INT(A2506/$N$1)</f>
        <v>139</v>
      </c>
      <c r="C2506" s="3" t="n">
        <f aca="false">INT(MOD(A2506,$N$1) / 2)</f>
        <v>1</v>
      </c>
      <c r="D2506" s="3" t="n">
        <f aca="false">_xlfn.BITAND(A2506,1)</f>
        <v>0</v>
      </c>
      <c r="E2506" s="3"/>
      <c r="F2506" s="3" t="str">
        <f aca="false">DEC2HEX(B2506*$N$3*18)</f>
        <v>27180</v>
      </c>
      <c r="G2506" s="3" t="str">
        <f aca="false">DEC2HEX(C2506*7)</f>
        <v>7</v>
      </c>
      <c r="H2506" s="3" t="n">
        <f aca="false">IF(D2506=0, 33, "cc")</f>
        <v>33</v>
      </c>
    </row>
    <row r="2507" customFormat="false" ht="18.65" hidden="false" customHeight="true" outlineLevel="0" collapsed="false">
      <c r="A2507" s="3" t="n">
        <f aca="false">ROW()-2</f>
        <v>2505</v>
      </c>
      <c r="B2507" s="3" t="n">
        <f aca="false">INT(A2507/$N$1)</f>
        <v>139</v>
      </c>
      <c r="C2507" s="3" t="n">
        <f aca="false">INT(MOD(A2507,$N$1) / 2)</f>
        <v>1</v>
      </c>
      <c r="D2507" s="3" t="n">
        <f aca="false">_xlfn.BITAND(A2507,1)</f>
        <v>1</v>
      </c>
      <c r="E2507" s="3"/>
      <c r="F2507" s="3" t="str">
        <f aca="false">DEC2HEX(B2507*$N$3*18)</f>
        <v>27180</v>
      </c>
      <c r="G2507" s="3" t="str">
        <f aca="false">DEC2HEX(C2507*7)</f>
        <v>7</v>
      </c>
      <c r="H2507" s="3" t="str">
        <f aca="false">IF(D2507=0, 33, "cc")</f>
        <v>cc</v>
      </c>
    </row>
    <row r="2508" customFormat="false" ht="18.65" hidden="false" customHeight="true" outlineLevel="0" collapsed="false">
      <c r="A2508" s="3" t="n">
        <f aca="false">ROW()-2</f>
        <v>2506</v>
      </c>
      <c r="B2508" s="3" t="n">
        <f aca="false">INT(A2508/$N$1)</f>
        <v>139</v>
      </c>
      <c r="C2508" s="3" t="n">
        <f aca="false">INT(MOD(A2508,$N$1) / 2)</f>
        <v>2</v>
      </c>
      <c r="D2508" s="3" t="n">
        <f aca="false">_xlfn.BITAND(A2508,1)</f>
        <v>0</v>
      </c>
      <c r="E2508" s="3"/>
      <c r="F2508" s="3" t="str">
        <f aca="false">DEC2HEX(B2508*$N$3*18)</f>
        <v>27180</v>
      </c>
      <c r="G2508" s="3" t="str">
        <f aca="false">DEC2HEX(C2508*7)</f>
        <v>E</v>
      </c>
      <c r="H2508" s="3" t="n">
        <f aca="false">IF(D2508=0, 33, "cc")</f>
        <v>33</v>
      </c>
    </row>
    <row r="2509" customFormat="false" ht="18.65" hidden="false" customHeight="true" outlineLevel="0" collapsed="false">
      <c r="A2509" s="3" t="n">
        <f aca="false">ROW()-2</f>
        <v>2507</v>
      </c>
      <c r="B2509" s="3" t="n">
        <f aca="false">INT(A2509/$N$1)</f>
        <v>139</v>
      </c>
      <c r="C2509" s="3" t="n">
        <f aca="false">INT(MOD(A2509,$N$1) / 2)</f>
        <v>2</v>
      </c>
      <c r="D2509" s="3" t="n">
        <f aca="false">_xlfn.BITAND(A2509,1)</f>
        <v>1</v>
      </c>
      <c r="E2509" s="3"/>
      <c r="F2509" s="3" t="str">
        <f aca="false">DEC2HEX(B2509*$N$3*18)</f>
        <v>27180</v>
      </c>
      <c r="G2509" s="3" t="str">
        <f aca="false">DEC2HEX(C2509*7)</f>
        <v>E</v>
      </c>
      <c r="H2509" s="3" t="str">
        <f aca="false">IF(D2509=0, 33, "cc")</f>
        <v>cc</v>
      </c>
    </row>
    <row r="2510" customFormat="false" ht="18.65" hidden="false" customHeight="true" outlineLevel="0" collapsed="false">
      <c r="A2510" s="3" t="n">
        <f aca="false">ROW()-2</f>
        <v>2508</v>
      </c>
      <c r="B2510" s="3" t="n">
        <f aca="false">INT(A2510/$N$1)</f>
        <v>139</v>
      </c>
      <c r="C2510" s="3" t="n">
        <f aca="false">INT(MOD(A2510,$N$1) / 2)</f>
        <v>3</v>
      </c>
      <c r="D2510" s="3" t="n">
        <f aca="false">_xlfn.BITAND(A2510,1)</f>
        <v>0</v>
      </c>
      <c r="E2510" s="3"/>
      <c r="F2510" s="3" t="str">
        <f aca="false">DEC2HEX(B2510*$N$3*18)</f>
        <v>27180</v>
      </c>
      <c r="G2510" s="3" t="str">
        <f aca="false">DEC2HEX(C2510*7)</f>
        <v>15</v>
      </c>
      <c r="H2510" s="3" t="n">
        <f aca="false">IF(D2510=0, 33, "cc")</f>
        <v>33</v>
      </c>
    </row>
    <row r="2511" customFormat="false" ht="18.65" hidden="false" customHeight="true" outlineLevel="0" collapsed="false">
      <c r="A2511" s="3" t="n">
        <f aca="false">ROW()-2</f>
        <v>2509</v>
      </c>
      <c r="B2511" s="3" t="n">
        <f aca="false">INT(A2511/$N$1)</f>
        <v>139</v>
      </c>
      <c r="C2511" s="3" t="n">
        <f aca="false">INT(MOD(A2511,$N$1) / 2)</f>
        <v>3</v>
      </c>
      <c r="D2511" s="3" t="n">
        <f aca="false">_xlfn.BITAND(A2511,1)</f>
        <v>1</v>
      </c>
      <c r="E2511" s="3"/>
      <c r="F2511" s="3" t="str">
        <f aca="false">DEC2HEX(B2511*$N$3*18)</f>
        <v>27180</v>
      </c>
      <c r="G2511" s="3" t="str">
        <f aca="false">DEC2HEX(C2511*7)</f>
        <v>15</v>
      </c>
      <c r="H2511" s="3" t="str">
        <f aca="false">IF(D2511=0, 33, "cc")</f>
        <v>cc</v>
      </c>
    </row>
    <row r="2512" customFormat="false" ht="18.65" hidden="false" customHeight="true" outlineLevel="0" collapsed="false">
      <c r="A2512" s="3" t="n">
        <f aca="false">ROW()-2</f>
        <v>2510</v>
      </c>
      <c r="B2512" s="3" t="n">
        <f aca="false">INT(A2512/$N$1)</f>
        <v>139</v>
      </c>
      <c r="C2512" s="3" t="n">
        <f aca="false">INT(MOD(A2512,$N$1) / 2)</f>
        <v>4</v>
      </c>
      <c r="D2512" s="3" t="n">
        <f aca="false">_xlfn.BITAND(A2512,1)</f>
        <v>0</v>
      </c>
      <c r="E2512" s="3"/>
      <c r="F2512" s="3" t="str">
        <f aca="false">DEC2HEX(B2512*$N$3*18)</f>
        <v>27180</v>
      </c>
      <c r="G2512" s="3" t="str">
        <f aca="false">DEC2HEX(C2512*7)</f>
        <v>1C</v>
      </c>
      <c r="H2512" s="3" t="n">
        <f aca="false">IF(D2512=0, 33, "cc")</f>
        <v>33</v>
      </c>
    </row>
    <row r="2513" customFormat="false" ht="18.65" hidden="false" customHeight="true" outlineLevel="0" collapsed="false">
      <c r="A2513" s="3" t="n">
        <f aca="false">ROW()-2</f>
        <v>2511</v>
      </c>
      <c r="B2513" s="3" t="n">
        <f aca="false">INT(A2513/$N$1)</f>
        <v>139</v>
      </c>
      <c r="C2513" s="3" t="n">
        <f aca="false">INT(MOD(A2513,$N$1) / 2)</f>
        <v>4</v>
      </c>
      <c r="D2513" s="3" t="n">
        <f aca="false">_xlfn.BITAND(A2513,1)</f>
        <v>1</v>
      </c>
      <c r="E2513" s="3"/>
      <c r="F2513" s="3" t="str">
        <f aca="false">DEC2HEX(B2513*$N$3*18)</f>
        <v>27180</v>
      </c>
      <c r="G2513" s="3" t="str">
        <f aca="false">DEC2HEX(C2513*7)</f>
        <v>1C</v>
      </c>
      <c r="H2513" s="3" t="str">
        <f aca="false">IF(D2513=0, 33, "cc")</f>
        <v>cc</v>
      </c>
    </row>
    <row r="2514" customFormat="false" ht="18.65" hidden="false" customHeight="true" outlineLevel="0" collapsed="false">
      <c r="A2514" s="3" t="n">
        <f aca="false">ROW()-2</f>
        <v>2512</v>
      </c>
      <c r="B2514" s="3" t="n">
        <f aca="false">INT(A2514/$N$1)</f>
        <v>139</v>
      </c>
      <c r="C2514" s="3" t="n">
        <f aca="false">INT(MOD(A2514,$N$1) / 2)</f>
        <v>5</v>
      </c>
      <c r="D2514" s="3" t="n">
        <f aca="false">_xlfn.BITAND(A2514,1)</f>
        <v>0</v>
      </c>
      <c r="E2514" s="3"/>
      <c r="F2514" s="3" t="str">
        <f aca="false">DEC2HEX(B2514*$N$3*18)</f>
        <v>27180</v>
      </c>
      <c r="G2514" s="3" t="str">
        <f aca="false">DEC2HEX(C2514*7)</f>
        <v>23</v>
      </c>
      <c r="H2514" s="3" t="n">
        <f aca="false">IF(D2514=0, 33, "cc")</f>
        <v>33</v>
      </c>
    </row>
    <row r="2515" customFormat="false" ht="18.65" hidden="false" customHeight="true" outlineLevel="0" collapsed="false">
      <c r="A2515" s="3" t="n">
        <f aca="false">ROW()-2</f>
        <v>2513</v>
      </c>
      <c r="B2515" s="3" t="n">
        <f aca="false">INT(A2515/$N$1)</f>
        <v>139</v>
      </c>
      <c r="C2515" s="3" t="n">
        <f aca="false">INT(MOD(A2515,$N$1) / 2)</f>
        <v>5</v>
      </c>
      <c r="D2515" s="3" t="n">
        <f aca="false">_xlfn.BITAND(A2515,1)</f>
        <v>1</v>
      </c>
      <c r="E2515" s="3"/>
      <c r="F2515" s="3" t="str">
        <f aca="false">DEC2HEX(B2515*$N$3*18)</f>
        <v>27180</v>
      </c>
      <c r="G2515" s="3" t="str">
        <f aca="false">DEC2HEX(C2515*7)</f>
        <v>23</v>
      </c>
      <c r="H2515" s="3" t="str">
        <f aca="false">IF(D2515=0, 33, "cc")</f>
        <v>cc</v>
      </c>
    </row>
    <row r="2516" customFormat="false" ht="18.65" hidden="false" customHeight="true" outlineLevel="0" collapsed="false">
      <c r="A2516" s="3" t="n">
        <f aca="false">ROW()-2</f>
        <v>2514</v>
      </c>
      <c r="B2516" s="3" t="n">
        <f aca="false">INT(A2516/$N$1)</f>
        <v>139</v>
      </c>
      <c r="C2516" s="3" t="n">
        <f aca="false">INT(MOD(A2516,$N$1) / 2)</f>
        <v>6</v>
      </c>
      <c r="D2516" s="3" t="n">
        <f aca="false">_xlfn.BITAND(A2516,1)</f>
        <v>0</v>
      </c>
      <c r="E2516" s="3"/>
      <c r="F2516" s="3" t="str">
        <f aca="false">DEC2HEX(B2516*$N$3*18)</f>
        <v>27180</v>
      </c>
      <c r="G2516" s="3" t="str">
        <f aca="false">DEC2HEX(C2516*7)</f>
        <v>2A</v>
      </c>
      <c r="H2516" s="3" t="n">
        <f aca="false">IF(D2516=0, 33, "cc")</f>
        <v>33</v>
      </c>
    </row>
    <row r="2517" customFormat="false" ht="18.65" hidden="false" customHeight="true" outlineLevel="0" collapsed="false">
      <c r="A2517" s="3" t="n">
        <f aca="false">ROW()-2</f>
        <v>2515</v>
      </c>
      <c r="B2517" s="3" t="n">
        <f aca="false">INT(A2517/$N$1)</f>
        <v>139</v>
      </c>
      <c r="C2517" s="3" t="n">
        <f aca="false">INT(MOD(A2517,$N$1) / 2)</f>
        <v>6</v>
      </c>
      <c r="D2517" s="3" t="n">
        <f aca="false">_xlfn.BITAND(A2517,1)</f>
        <v>1</v>
      </c>
      <c r="E2517" s="3"/>
      <c r="F2517" s="3" t="str">
        <f aca="false">DEC2HEX(B2517*$N$3*18)</f>
        <v>27180</v>
      </c>
      <c r="G2517" s="3" t="str">
        <f aca="false">DEC2HEX(C2517*7)</f>
        <v>2A</v>
      </c>
      <c r="H2517" s="3" t="str">
        <f aca="false">IF(D2517=0, 33, "cc")</f>
        <v>cc</v>
      </c>
    </row>
    <row r="2518" customFormat="false" ht="18.65" hidden="false" customHeight="true" outlineLevel="0" collapsed="false">
      <c r="A2518" s="3" t="n">
        <f aca="false">ROW()-2</f>
        <v>2516</v>
      </c>
      <c r="B2518" s="3" t="n">
        <f aca="false">INT(A2518/$N$1)</f>
        <v>139</v>
      </c>
      <c r="C2518" s="3" t="n">
        <f aca="false">INT(MOD(A2518,$N$1) / 2)</f>
        <v>7</v>
      </c>
      <c r="D2518" s="3" t="n">
        <f aca="false">_xlfn.BITAND(A2518,1)</f>
        <v>0</v>
      </c>
      <c r="E2518" s="3"/>
      <c r="F2518" s="3" t="str">
        <f aca="false">DEC2HEX(B2518*$N$3*18)</f>
        <v>27180</v>
      </c>
      <c r="G2518" s="3" t="str">
        <f aca="false">DEC2HEX(C2518*7)</f>
        <v>31</v>
      </c>
      <c r="H2518" s="3" t="n">
        <f aca="false">IF(D2518=0, 33, "cc")</f>
        <v>33</v>
      </c>
    </row>
    <row r="2519" customFormat="false" ht="18.65" hidden="false" customHeight="true" outlineLevel="0" collapsed="false">
      <c r="A2519" s="3" t="n">
        <f aca="false">ROW()-2</f>
        <v>2517</v>
      </c>
      <c r="B2519" s="3" t="n">
        <f aca="false">INT(A2519/$N$1)</f>
        <v>139</v>
      </c>
      <c r="C2519" s="3" t="n">
        <f aca="false">INT(MOD(A2519,$N$1) / 2)</f>
        <v>7</v>
      </c>
      <c r="D2519" s="3" t="n">
        <f aca="false">_xlfn.BITAND(A2519,1)</f>
        <v>1</v>
      </c>
      <c r="E2519" s="3"/>
      <c r="F2519" s="3" t="str">
        <f aca="false">DEC2HEX(B2519*$N$3*18)</f>
        <v>27180</v>
      </c>
      <c r="G2519" s="3" t="str">
        <f aca="false">DEC2HEX(C2519*7)</f>
        <v>31</v>
      </c>
      <c r="H2519" s="3" t="str">
        <f aca="false">IF(D2519=0, 33, "cc")</f>
        <v>cc</v>
      </c>
    </row>
    <row r="2520" customFormat="false" ht="18.65" hidden="false" customHeight="true" outlineLevel="0" collapsed="false">
      <c r="A2520" s="3" t="n">
        <f aca="false">ROW()-2</f>
        <v>2518</v>
      </c>
      <c r="B2520" s="3" t="n">
        <f aca="false">INT(A2520/$N$1)</f>
        <v>139</v>
      </c>
      <c r="C2520" s="3" t="n">
        <f aca="false">INT(MOD(A2520,$N$1) / 2)</f>
        <v>8</v>
      </c>
      <c r="D2520" s="3" t="n">
        <f aca="false">_xlfn.BITAND(A2520,1)</f>
        <v>0</v>
      </c>
      <c r="E2520" s="3"/>
      <c r="F2520" s="3" t="str">
        <f aca="false">DEC2HEX(B2520*$N$3*18)</f>
        <v>27180</v>
      </c>
      <c r="G2520" s="3" t="str">
        <f aca="false">DEC2HEX(C2520*7)</f>
        <v>38</v>
      </c>
      <c r="H2520" s="3" t="n">
        <f aca="false">IF(D2520=0, 33, "cc")</f>
        <v>33</v>
      </c>
    </row>
    <row r="2521" customFormat="false" ht="18.65" hidden="false" customHeight="true" outlineLevel="0" collapsed="false">
      <c r="A2521" s="3" t="n">
        <f aca="false">ROW()-2</f>
        <v>2519</v>
      </c>
      <c r="B2521" s="3" t="n">
        <f aca="false">INT(A2521/$N$1)</f>
        <v>139</v>
      </c>
      <c r="C2521" s="3" t="n">
        <f aca="false">INT(MOD(A2521,$N$1) / 2)</f>
        <v>8</v>
      </c>
      <c r="D2521" s="3" t="n">
        <f aca="false">_xlfn.BITAND(A2521,1)</f>
        <v>1</v>
      </c>
      <c r="E2521" s="3"/>
      <c r="F2521" s="3" t="str">
        <f aca="false">DEC2HEX(B2521*$N$3*18)</f>
        <v>27180</v>
      </c>
      <c r="G2521" s="3" t="str">
        <f aca="false">DEC2HEX(C2521*7)</f>
        <v>38</v>
      </c>
      <c r="H2521" s="3" t="str">
        <f aca="false">IF(D2521=0, 33, "cc")</f>
        <v>cc</v>
      </c>
    </row>
    <row r="2522" customFormat="false" ht="18.65" hidden="false" customHeight="true" outlineLevel="0" collapsed="false">
      <c r="A2522" s="3" t="n">
        <f aca="false">ROW()-2</f>
        <v>2520</v>
      </c>
      <c r="B2522" s="3" t="n">
        <f aca="false">INT(A2522/$N$1)</f>
        <v>140</v>
      </c>
      <c r="C2522" s="3" t="n">
        <f aca="false">INT(MOD(A2522,$N$1) / 2)</f>
        <v>0</v>
      </c>
      <c r="D2522" s="3" t="n">
        <f aca="false">_xlfn.BITAND(A2522,1)</f>
        <v>0</v>
      </c>
      <c r="E2522" s="3"/>
      <c r="F2522" s="3" t="str">
        <f aca="false">DEC2HEX(B2522*$N$3*18)</f>
        <v>27600</v>
      </c>
      <c r="G2522" s="3" t="str">
        <f aca="false">DEC2HEX(C2522*7)</f>
        <v>0</v>
      </c>
      <c r="H2522" s="3" t="n">
        <f aca="false">IF(D2522=0, 33, "cc")</f>
        <v>33</v>
      </c>
    </row>
    <row r="2523" customFormat="false" ht="18.65" hidden="false" customHeight="true" outlineLevel="0" collapsed="false">
      <c r="A2523" s="3" t="n">
        <f aca="false">ROW()-2</f>
        <v>2521</v>
      </c>
      <c r="B2523" s="3" t="n">
        <f aca="false">INT(A2523/$N$1)</f>
        <v>140</v>
      </c>
      <c r="C2523" s="3" t="n">
        <f aca="false">INT(MOD(A2523,$N$1) / 2)</f>
        <v>0</v>
      </c>
      <c r="D2523" s="3" t="n">
        <f aca="false">_xlfn.BITAND(A2523,1)</f>
        <v>1</v>
      </c>
      <c r="E2523" s="3"/>
      <c r="F2523" s="3" t="str">
        <f aca="false">DEC2HEX(B2523*$N$3*18)</f>
        <v>27600</v>
      </c>
      <c r="G2523" s="3" t="str">
        <f aca="false">DEC2HEX(C2523*7)</f>
        <v>0</v>
      </c>
      <c r="H2523" s="3" t="str">
        <f aca="false">IF(D2523=0, 33, "cc")</f>
        <v>cc</v>
      </c>
    </row>
    <row r="2524" customFormat="false" ht="18.65" hidden="false" customHeight="true" outlineLevel="0" collapsed="false">
      <c r="A2524" s="3" t="n">
        <f aca="false">ROW()-2</f>
        <v>2522</v>
      </c>
      <c r="B2524" s="3" t="n">
        <f aca="false">INT(A2524/$N$1)</f>
        <v>140</v>
      </c>
      <c r="C2524" s="3" t="n">
        <f aca="false">INT(MOD(A2524,$N$1) / 2)</f>
        <v>1</v>
      </c>
      <c r="D2524" s="3" t="n">
        <f aca="false">_xlfn.BITAND(A2524,1)</f>
        <v>0</v>
      </c>
      <c r="E2524" s="3"/>
      <c r="F2524" s="3" t="str">
        <f aca="false">DEC2HEX(B2524*$N$3*18)</f>
        <v>27600</v>
      </c>
      <c r="G2524" s="3" t="str">
        <f aca="false">DEC2HEX(C2524*7)</f>
        <v>7</v>
      </c>
      <c r="H2524" s="3" t="n">
        <f aca="false">IF(D2524=0, 33, "cc")</f>
        <v>33</v>
      </c>
    </row>
    <row r="2525" customFormat="false" ht="18.65" hidden="false" customHeight="true" outlineLevel="0" collapsed="false">
      <c r="A2525" s="3" t="n">
        <f aca="false">ROW()-2</f>
        <v>2523</v>
      </c>
      <c r="B2525" s="3" t="n">
        <f aca="false">INT(A2525/$N$1)</f>
        <v>140</v>
      </c>
      <c r="C2525" s="3" t="n">
        <f aca="false">INT(MOD(A2525,$N$1) / 2)</f>
        <v>1</v>
      </c>
      <c r="D2525" s="3" t="n">
        <f aca="false">_xlfn.BITAND(A2525,1)</f>
        <v>1</v>
      </c>
      <c r="E2525" s="3"/>
      <c r="F2525" s="3" t="str">
        <f aca="false">DEC2HEX(B2525*$N$3*18)</f>
        <v>27600</v>
      </c>
      <c r="G2525" s="3" t="str">
        <f aca="false">DEC2HEX(C2525*7)</f>
        <v>7</v>
      </c>
      <c r="H2525" s="3" t="str">
        <f aca="false">IF(D2525=0, 33, "cc")</f>
        <v>cc</v>
      </c>
    </row>
    <row r="2526" customFormat="false" ht="18.65" hidden="false" customHeight="true" outlineLevel="0" collapsed="false">
      <c r="A2526" s="3" t="n">
        <f aca="false">ROW()-2</f>
        <v>2524</v>
      </c>
      <c r="B2526" s="3" t="n">
        <f aca="false">INT(A2526/$N$1)</f>
        <v>140</v>
      </c>
      <c r="C2526" s="3" t="n">
        <f aca="false">INT(MOD(A2526,$N$1) / 2)</f>
        <v>2</v>
      </c>
      <c r="D2526" s="3" t="n">
        <f aca="false">_xlfn.BITAND(A2526,1)</f>
        <v>0</v>
      </c>
      <c r="E2526" s="3"/>
      <c r="F2526" s="3" t="str">
        <f aca="false">DEC2HEX(B2526*$N$3*18)</f>
        <v>27600</v>
      </c>
      <c r="G2526" s="3" t="str">
        <f aca="false">DEC2HEX(C2526*7)</f>
        <v>E</v>
      </c>
      <c r="H2526" s="3" t="n">
        <f aca="false">IF(D2526=0, 33, "cc")</f>
        <v>33</v>
      </c>
    </row>
    <row r="2527" customFormat="false" ht="18.65" hidden="false" customHeight="true" outlineLevel="0" collapsed="false">
      <c r="A2527" s="3" t="n">
        <f aca="false">ROW()-2</f>
        <v>2525</v>
      </c>
      <c r="B2527" s="3" t="n">
        <f aca="false">INT(A2527/$N$1)</f>
        <v>140</v>
      </c>
      <c r="C2527" s="3" t="n">
        <f aca="false">INT(MOD(A2527,$N$1) / 2)</f>
        <v>2</v>
      </c>
      <c r="D2527" s="3" t="n">
        <f aca="false">_xlfn.BITAND(A2527,1)</f>
        <v>1</v>
      </c>
      <c r="E2527" s="3"/>
      <c r="F2527" s="3" t="str">
        <f aca="false">DEC2HEX(B2527*$N$3*18)</f>
        <v>27600</v>
      </c>
      <c r="G2527" s="3" t="str">
        <f aca="false">DEC2HEX(C2527*7)</f>
        <v>E</v>
      </c>
      <c r="H2527" s="3" t="str">
        <f aca="false">IF(D2527=0, 33, "cc")</f>
        <v>cc</v>
      </c>
    </row>
    <row r="2528" customFormat="false" ht="18.65" hidden="false" customHeight="true" outlineLevel="0" collapsed="false">
      <c r="A2528" s="3" t="n">
        <f aca="false">ROW()-2</f>
        <v>2526</v>
      </c>
      <c r="B2528" s="3" t="n">
        <f aca="false">INT(A2528/$N$1)</f>
        <v>140</v>
      </c>
      <c r="C2528" s="3" t="n">
        <f aca="false">INT(MOD(A2528,$N$1) / 2)</f>
        <v>3</v>
      </c>
      <c r="D2528" s="3" t="n">
        <f aca="false">_xlfn.BITAND(A2528,1)</f>
        <v>0</v>
      </c>
      <c r="E2528" s="3"/>
      <c r="F2528" s="3" t="str">
        <f aca="false">DEC2HEX(B2528*$N$3*18)</f>
        <v>27600</v>
      </c>
      <c r="G2528" s="3" t="str">
        <f aca="false">DEC2HEX(C2528*7)</f>
        <v>15</v>
      </c>
      <c r="H2528" s="3" t="n">
        <f aca="false">IF(D2528=0, 33, "cc")</f>
        <v>33</v>
      </c>
    </row>
    <row r="2529" customFormat="false" ht="18.65" hidden="false" customHeight="true" outlineLevel="0" collapsed="false">
      <c r="A2529" s="3" t="n">
        <f aca="false">ROW()-2</f>
        <v>2527</v>
      </c>
      <c r="B2529" s="3" t="n">
        <f aca="false">INT(A2529/$N$1)</f>
        <v>140</v>
      </c>
      <c r="C2529" s="3" t="n">
        <f aca="false">INT(MOD(A2529,$N$1) / 2)</f>
        <v>3</v>
      </c>
      <c r="D2529" s="3" t="n">
        <f aca="false">_xlfn.BITAND(A2529,1)</f>
        <v>1</v>
      </c>
      <c r="E2529" s="3"/>
      <c r="F2529" s="3" t="str">
        <f aca="false">DEC2HEX(B2529*$N$3*18)</f>
        <v>27600</v>
      </c>
      <c r="G2529" s="3" t="str">
        <f aca="false">DEC2HEX(C2529*7)</f>
        <v>15</v>
      </c>
      <c r="H2529" s="3" t="str">
        <f aca="false">IF(D2529=0, 33, "cc")</f>
        <v>cc</v>
      </c>
    </row>
    <row r="2530" customFormat="false" ht="18.65" hidden="false" customHeight="true" outlineLevel="0" collapsed="false">
      <c r="A2530" s="3" t="n">
        <f aca="false">ROW()-2</f>
        <v>2528</v>
      </c>
      <c r="B2530" s="3" t="n">
        <f aca="false">INT(A2530/$N$1)</f>
        <v>140</v>
      </c>
      <c r="C2530" s="3" t="n">
        <f aca="false">INT(MOD(A2530,$N$1) / 2)</f>
        <v>4</v>
      </c>
      <c r="D2530" s="3" t="n">
        <f aca="false">_xlfn.BITAND(A2530,1)</f>
        <v>0</v>
      </c>
      <c r="E2530" s="3"/>
      <c r="F2530" s="3" t="str">
        <f aca="false">DEC2HEX(B2530*$N$3*18)</f>
        <v>27600</v>
      </c>
      <c r="G2530" s="3" t="str">
        <f aca="false">DEC2HEX(C2530*7)</f>
        <v>1C</v>
      </c>
      <c r="H2530" s="3" t="n">
        <f aca="false">IF(D2530=0, 33, "cc")</f>
        <v>33</v>
      </c>
    </row>
    <row r="2531" customFormat="false" ht="18.65" hidden="false" customHeight="true" outlineLevel="0" collapsed="false">
      <c r="A2531" s="3" t="n">
        <f aca="false">ROW()-2</f>
        <v>2529</v>
      </c>
      <c r="B2531" s="3" t="n">
        <f aca="false">INT(A2531/$N$1)</f>
        <v>140</v>
      </c>
      <c r="C2531" s="3" t="n">
        <f aca="false">INT(MOD(A2531,$N$1) / 2)</f>
        <v>4</v>
      </c>
      <c r="D2531" s="3" t="n">
        <f aca="false">_xlfn.BITAND(A2531,1)</f>
        <v>1</v>
      </c>
      <c r="E2531" s="3"/>
      <c r="F2531" s="3" t="str">
        <f aca="false">DEC2HEX(B2531*$N$3*18)</f>
        <v>27600</v>
      </c>
      <c r="G2531" s="3" t="str">
        <f aca="false">DEC2HEX(C2531*7)</f>
        <v>1C</v>
      </c>
      <c r="H2531" s="3" t="str">
        <f aca="false">IF(D2531=0, 33, "cc")</f>
        <v>cc</v>
      </c>
    </row>
    <row r="2532" customFormat="false" ht="18.65" hidden="false" customHeight="true" outlineLevel="0" collapsed="false">
      <c r="A2532" s="3" t="n">
        <f aca="false">ROW()-2</f>
        <v>2530</v>
      </c>
      <c r="B2532" s="3" t="n">
        <f aca="false">INT(A2532/$N$1)</f>
        <v>140</v>
      </c>
      <c r="C2532" s="3" t="n">
        <f aca="false">INT(MOD(A2532,$N$1) / 2)</f>
        <v>5</v>
      </c>
      <c r="D2532" s="3" t="n">
        <f aca="false">_xlfn.BITAND(A2532,1)</f>
        <v>0</v>
      </c>
      <c r="E2532" s="3"/>
      <c r="F2532" s="3" t="str">
        <f aca="false">DEC2HEX(B2532*$N$3*18)</f>
        <v>27600</v>
      </c>
      <c r="G2532" s="3" t="str">
        <f aca="false">DEC2HEX(C2532*7)</f>
        <v>23</v>
      </c>
      <c r="H2532" s="3" t="n">
        <f aca="false">IF(D2532=0, 33, "cc")</f>
        <v>33</v>
      </c>
    </row>
    <row r="2533" customFormat="false" ht="18.65" hidden="false" customHeight="true" outlineLevel="0" collapsed="false">
      <c r="A2533" s="3" t="n">
        <f aca="false">ROW()-2</f>
        <v>2531</v>
      </c>
      <c r="B2533" s="3" t="n">
        <f aca="false">INT(A2533/$N$1)</f>
        <v>140</v>
      </c>
      <c r="C2533" s="3" t="n">
        <f aca="false">INT(MOD(A2533,$N$1) / 2)</f>
        <v>5</v>
      </c>
      <c r="D2533" s="3" t="n">
        <f aca="false">_xlfn.BITAND(A2533,1)</f>
        <v>1</v>
      </c>
      <c r="E2533" s="3"/>
      <c r="F2533" s="3" t="str">
        <f aca="false">DEC2HEX(B2533*$N$3*18)</f>
        <v>27600</v>
      </c>
      <c r="G2533" s="3" t="str">
        <f aca="false">DEC2HEX(C2533*7)</f>
        <v>23</v>
      </c>
      <c r="H2533" s="3" t="str">
        <f aca="false">IF(D2533=0, 33, "cc")</f>
        <v>cc</v>
      </c>
    </row>
    <row r="2534" customFormat="false" ht="18.65" hidden="false" customHeight="true" outlineLevel="0" collapsed="false">
      <c r="A2534" s="3" t="n">
        <f aca="false">ROW()-2</f>
        <v>2532</v>
      </c>
      <c r="B2534" s="3" t="n">
        <f aca="false">INT(A2534/$N$1)</f>
        <v>140</v>
      </c>
      <c r="C2534" s="3" t="n">
        <f aca="false">INT(MOD(A2534,$N$1) / 2)</f>
        <v>6</v>
      </c>
      <c r="D2534" s="3" t="n">
        <f aca="false">_xlfn.BITAND(A2534,1)</f>
        <v>0</v>
      </c>
      <c r="E2534" s="3"/>
      <c r="F2534" s="3" t="str">
        <f aca="false">DEC2HEX(B2534*$N$3*18)</f>
        <v>27600</v>
      </c>
      <c r="G2534" s="3" t="str">
        <f aca="false">DEC2HEX(C2534*7)</f>
        <v>2A</v>
      </c>
      <c r="H2534" s="3" t="n">
        <f aca="false">IF(D2534=0, 33, "cc")</f>
        <v>33</v>
      </c>
    </row>
    <row r="2535" customFormat="false" ht="18.65" hidden="false" customHeight="true" outlineLevel="0" collapsed="false">
      <c r="A2535" s="3" t="n">
        <f aca="false">ROW()-2</f>
        <v>2533</v>
      </c>
      <c r="B2535" s="3" t="n">
        <f aca="false">INT(A2535/$N$1)</f>
        <v>140</v>
      </c>
      <c r="C2535" s="3" t="n">
        <f aca="false">INT(MOD(A2535,$N$1) / 2)</f>
        <v>6</v>
      </c>
      <c r="D2535" s="3" t="n">
        <f aca="false">_xlfn.BITAND(A2535,1)</f>
        <v>1</v>
      </c>
      <c r="E2535" s="3"/>
      <c r="F2535" s="3" t="str">
        <f aca="false">DEC2HEX(B2535*$N$3*18)</f>
        <v>27600</v>
      </c>
      <c r="G2535" s="3" t="str">
        <f aca="false">DEC2HEX(C2535*7)</f>
        <v>2A</v>
      </c>
      <c r="H2535" s="3" t="str">
        <f aca="false">IF(D2535=0, 33, "cc")</f>
        <v>cc</v>
      </c>
    </row>
    <row r="2536" customFormat="false" ht="18.65" hidden="false" customHeight="true" outlineLevel="0" collapsed="false">
      <c r="A2536" s="3" t="n">
        <f aca="false">ROW()-2</f>
        <v>2534</v>
      </c>
      <c r="B2536" s="3" t="n">
        <f aca="false">INT(A2536/$N$1)</f>
        <v>140</v>
      </c>
      <c r="C2536" s="3" t="n">
        <f aca="false">INT(MOD(A2536,$N$1) / 2)</f>
        <v>7</v>
      </c>
      <c r="D2536" s="3" t="n">
        <f aca="false">_xlfn.BITAND(A2536,1)</f>
        <v>0</v>
      </c>
      <c r="E2536" s="3"/>
      <c r="F2536" s="3" t="str">
        <f aca="false">DEC2HEX(B2536*$N$3*18)</f>
        <v>27600</v>
      </c>
      <c r="G2536" s="3" t="str">
        <f aca="false">DEC2HEX(C2536*7)</f>
        <v>31</v>
      </c>
      <c r="H2536" s="3" t="n">
        <f aca="false">IF(D2536=0, 33, "cc")</f>
        <v>33</v>
      </c>
    </row>
    <row r="2537" customFormat="false" ht="18.65" hidden="false" customHeight="true" outlineLevel="0" collapsed="false">
      <c r="A2537" s="3" t="n">
        <f aca="false">ROW()-2</f>
        <v>2535</v>
      </c>
      <c r="B2537" s="3" t="n">
        <f aca="false">INT(A2537/$N$1)</f>
        <v>140</v>
      </c>
      <c r="C2537" s="3" t="n">
        <f aca="false">INT(MOD(A2537,$N$1) / 2)</f>
        <v>7</v>
      </c>
      <c r="D2537" s="3" t="n">
        <f aca="false">_xlfn.BITAND(A2537,1)</f>
        <v>1</v>
      </c>
      <c r="E2537" s="3"/>
      <c r="F2537" s="3" t="str">
        <f aca="false">DEC2HEX(B2537*$N$3*18)</f>
        <v>27600</v>
      </c>
      <c r="G2537" s="3" t="str">
        <f aca="false">DEC2HEX(C2537*7)</f>
        <v>31</v>
      </c>
      <c r="H2537" s="3" t="str">
        <f aca="false">IF(D2537=0, 33, "cc")</f>
        <v>cc</v>
      </c>
    </row>
    <row r="2538" customFormat="false" ht="18.65" hidden="false" customHeight="true" outlineLevel="0" collapsed="false">
      <c r="A2538" s="3" t="n">
        <f aca="false">ROW()-2</f>
        <v>2536</v>
      </c>
      <c r="B2538" s="3" t="n">
        <f aca="false">INT(A2538/$N$1)</f>
        <v>140</v>
      </c>
      <c r="C2538" s="3" t="n">
        <f aca="false">INT(MOD(A2538,$N$1) / 2)</f>
        <v>8</v>
      </c>
      <c r="D2538" s="3" t="n">
        <f aca="false">_xlfn.BITAND(A2538,1)</f>
        <v>0</v>
      </c>
      <c r="E2538" s="3"/>
      <c r="F2538" s="3" t="str">
        <f aca="false">DEC2HEX(B2538*$N$3*18)</f>
        <v>27600</v>
      </c>
      <c r="G2538" s="3" t="str">
        <f aca="false">DEC2HEX(C2538*7)</f>
        <v>38</v>
      </c>
      <c r="H2538" s="3" t="n">
        <f aca="false">IF(D2538=0, 33, "cc")</f>
        <v>33</v>
      </c>
    </row>
    <row r="2539" customFormat="false" ht="18.65" hidden="false" customHeight="true" outlineLevel="0" collapsed="false">
      <c r="A2539" s="3" t="n">
        <f aca="false">ROW()-2</f>
        <v>2537</v>
      </c>
      <c r="B2539" s="3" t="n">
        <f aca="false">INT(A2539/$N$1)</f>
        <v>140</v>
      </c>
      <c r="C2539" s="3" t="n">
        <f aca="false">INT(MOD(A2539,$N$1) / 2)</f>
        <v>8</v>
      </c>
      <c r="D2539" s="3" t="n">
        <f aca="false">_xlfn.BITAND(A2539,1)</f>
        <v>1</v>
      </c>
      <c r="E2539" s="3"/>
      <c r="F2539" s="3" t="str">
        <f aca="false">DEC2HEX(B2539*$N$3*18)</f>
        <v>27600</v>
      </c>
      <c r="G2539" s="3" t="str">
        <f aca="false">DEC2HEX(C2539*7)</f>
        <v>38</v>
      </c>
      <c r="H2539" s="3" t="str">
        <f aca="false">IF(D2539=0, 33, "cc")</f>
        <v>cc</v>
      </c>
    </row>
    <row r="2540" customFormat="false" ht="18.65" hidden="false" customHeight="true" outlineLevel="0" collapsed="false">
      <c r="A2540" s="3" t="n">
        <f aca="false">ROW()-2</f>
        <v>2538</v>
      </c>
      <c r="B2540" s="3" t="n">
        <f aca="false">INT(A2540/$N$1)</f>
        <v>141</v>
      </c>
      <c r="C2540" s="3" t="n">
        <f aca="false">INT(MOD(A2540,$N$1) / 2)</f>
        <v>0</v>
      </c>
      <c r="D2540" s="3" t="n">
        <f aca="false">_xlfn.BITAND(A2540,1)</f>
        <v>0</v>
      </c>
      <c r="E2540" s="3"/>
      <c r="F2540" s="3" t="str">
        <f aca="false">DEC2HEX(B2540*$N$3*18)</f>
        <v>27A80</v>
      </c>
      <c r="G2540" s="3" t="str">
        <f aca="false">DEC2HEX(C2540*7)</f>
        <v>0</v>
      </c>
      <c r="H2540" s="3" t="n">
        <f aca="false">IF(D2540=0, 33, "cc")</f>
        <v>33</v>
      </c>
    </row>
    <row r="2541" customFormat="false" ht="18.65" hidden="false" customHeight="true" outlineLevel="0" collapsed="false">
      <c r="A2541" s="3" t="n">
        <f aca="false">ROW()-2</f>
        <v>2539</v>
      </c>
      <c r="B2541" s="3" t="n">
        <f aca="false">INT(A2541/$N$1)</f>
        <v>141</v>
      </c>
      <c r="C2541" s="3" t="n">
        <f aca="false">INT(MOD(A2541,$N$1) / 2)</f>
        <v>0</v>
      </c>
      <c r="D2541" s="3" t="n">
        <f aca="false">_xlfn.BITAND(A2541,1)</f>
        <v>1</v>
      </c>
      <c r="E2541" s="3"/>
      <c r="F2541" s="3" t="str">
        <f aca="false">DEC2HEX(B2541*$N$3*18)</f>
        <v>27A80</v>
      </c>
      <c r="G2541" s="3" t="str">
        <f aca="false">DEC2HEX(C2541*7)</f>
        <v>0</v>
      </c>
      <c r="H2541" s="3" t="str">
        <f aca="false">IF(D2541=0, 33, "cc")</f>
        <v>cc</v>
      </c>
    </row>
    <row r="2542" customFormat="false" ht="18.65" hidden="false" customHeight="true" outlineLevel="0" collapsed="false">
      <c r="A2542" s="3" t="n">
        <f aca="false">ROW()-2</f>
        <v>2540</v>
      </c>
      <c r="B2542" s="3" t="n">
        <f aca="false">INT(A2542/$N$1)</f>
        <v>141</v>
      </c>
      <c r="C2542" s="3" t="n">
        <f aca="false">INT(MOD(A2542,$N$1) / 2)</f>
        <v>1</v>
      </c>
      <c r="D2542" s="3" t="n">
        <f aca="false">_xlfn.BITAND(A2542,1)</f>
        <v>0</v>
      </c>
      <c r="E2542" s="3"/>
      <c r="F2542" s="3" t="str">
        <f aca="false">DEC2HEX(B2542*$N$3*18)</f>
        <v>27A80</v>
      </c>
      <c r="G2542" s="3" t="str">
        <f aca="false">DEC2HEX(C2542*7)</f>
        <v>7</v>
      </c>
      <c r="H2542" s="3" t="n">
        <f aca="false">IF(D2542=0, 33, "cc")</f>
        <v>33</v>
      </c>
    </row>
    <row r="2543" customFormat="false" ht="18.65" hidden="false" customHeight="true" outlineLevel="0" collapsed="false">
      <c r="A2543" s="3" t="n">
        <f aca="false">ROW()-2</f>
        <v>2541</v>
      </c>
      <c r="B2543" s="3" t="n">
        <f aca="false">INT(A2543/$N$1)</f>
        <v>141</v>
      </c>
      <c r="C2543" s="3" t="n">
        <f aca="false">INT(MOD(A2543,$N$1) / 2)</f>
        <v>1</v>
      </c>
      <c r="D2543" s="3" t="n">
        <f aca="false">_xlfn.BITAND(A2543,1)</f>
        <v>1</v>
      </c>
      <c r="E2543" s="3"/>
      <c r="F2543" s="3" t="str">
        <f aca="false">DEC2HEX(B2543*$N$3*18)</f>
        <v>27A80</v>
      </c>
      <c r="G2543" s="3" t="str">
        <f aca="false">DEC2HEX(C2543*7)</f>
        <v>7</v>
      </c>
      <c r="H2543" s="3" t="str">
        <f aca="false">IF(D2543=0, 33, "cc")</f>
        <v>cc</v>
      </c>
    </row>
    <row r="2544" customFormat="false" ht="18.65" hidden="false" customHeight="true" outlineLevel="0" collapsed="false">
      <c r="A2544" s="3" t="n">
        <f aca="false">ROW()-2</f>
        <v>2542</v>
      </c>
      <c r="B2544" s="3" t="n">
        <f aca="false">INT(A2544/$N$1)</f>
        <v>141</v>
      </c>
      <c r="C2544" s="3" t="n">
        <f aca="false">INT(MOD(A2544,$N$1) / 2)</f>
        <v>2</v>
      </c>
      <c r="D2544" s="3" t="n">
        <f aca="false">_xlfn.BITAND(A2544,1)</f>
        <v>0</v>
      </c>
      <c r="E2544" s="3"/>
      <c r="F2544" s="3" t="str">
        <f aca="false">DEC2HEX(B2544*$N$3*18)</f>
        <v>27A80</v>
      </c>
      <c r="G2544" s="3" t="str">
        <f aca="false">DEC2HEX(C2544*7)</f>
        <v>E</v>
      </c>
      <c r="H2544" s="3" t="n">
        <f aca="false">IF(D2544=0, 33, "cc")</f>
        <v>33</v>
      </c>
    </row>
    <row r="2545" customFormat="false" ht="18.65" hidden="false" customHeight="true" outlineLevel="0" collapsed="false">
      <c r="A2545" s="3" t="n">
        <f aca="false">ROW()-2</f>
        <v>2543</v>
      </c>
      <c r="B2545" s="3" t="n">
        <f aca="false">INT(A2545/$N$1)</f>
        <v>141</v>
      </c>
      <c r="C2545" s="3" t="n">
        <f aca="false">INT(MOD(A2545,$N$1) / 2)</f>
        <v>2</v>
      </c>
      <c r="D2545" s="3" t="n">
        <f aca="false">_xlfn.BITAND(A2545,1)</f>
        <v>1</v>
      </c>
      <c r="E2545" s="3"/>
      <c r="F2545" s="3" t="str">
        <f aca="false">DEC2HEX(B2545*$N$3*18)</f>
        <v>27A80</v>
      </c>
      <c r="G2545" s="3" t="str">
        <f aca="false">DEC2HEX(C2545*7)</f>
        <v>E</v>
      </c>
      <c r="H2545" s="3" t="str">
        <f aca="false">IF(D2545=0, 33, "cc")</f>
        <v>cc</v>
      </c>
    </row>
    <row r="2546" customFormat="false" ht="18.65" hidden="false" customHeight="true" outlineLevel="0" collapsed="false">
      <c r="A2546" s="3" t="n">
        <f aca="false">ROW()-2</f>
        <v>2544</v>
      </c>
      <c r="B2546" s="3" t="n">
        <f aca="false">INT(A2546/$N$1)</f>
        <v>141</v>
      </c>
      <c r="C2546" s="3" t="n">
        <f aca="false">INT(MOD(A2546,$N$1) / 2)</f>
        <v>3</v>
      </c>
      <c r="D2546" s="3" t="n">
        <f aca="false">_xlfn.BITAND(A2546,1)</f>
        <v>0</v>
      </c>
      <c r="E2546" s="3"/>
      <c r="F2546" s="3" t="str">
        <f aca="false">DEC2HEX(B2546*$N$3*18)</f>
        <v>27A80</v>
      </c>
      <c r="G2546" s="3" t="str">
        <f aca="false">DEC2HEX(C2546*7)</f>
        <v>15</v>
      </c>
      <c r="H2546" s="3" t="n">
        <f aca="false">IF(D2546=0, 33, "cc")</f>
        <v>33</v>
      </c>
    </row>
    <row r="2547" customFormat="false" ht="18.65" hidden="false" customHeight="true" outlineLevel="0" collapsed="false">
      <c r="A2547" s="3" t="n">
        <f aca="false">ROW()-2</f>
        <v>2545</v>
      </c>
      <c r="B2547" s="3" t="n">
        <f aca="false">INT(A2547/$N$1)</f>
        <v>141</v>
      </c>
      <c r="C2547" s="3" t="n">
        <f aca="false">INT(MOD(A2547,$N$1) / 2)</f>
        <v>3</v>
      </c>
      <c r="D2547" s="3" t="n">
        <f aca="false">_xlfn.BITAND(A2547,1)</f>
        <v>1</v>
      </c>
      <c r="E2547" s="3"/>
      <c r="F2547" s="3" t="str">
        <f aca="false">DEC2HEX(B2547*$N$3*18)</f>
        <v>27A80</v>
      </c>
      <c r="G2547" s="3" t="str">
        <f aca="false">DEC2HEX(C2547*7)</f>
        <v>15</v>
      </c>
      <c r="H2547" s="3" t="str">
        <f aca="false">IF(D2547=0, 33, "cc")</f>
        <v>cc</v>
      </c>
    </row>
    <row r="2548" customFormat="false" ht="18.65" hidden="false" customHeight="true" outlineLevel="0" collapsed="false">
      <c r="A2548" s="3" t="n">
        <f aca="false">ROW()-2</f>
        <v>2546</v>
      </c>
      <c r="B2548" s="3" t="n">
        <f aca="false">INT(A2548/$N$1)</f>
        <v>141</v>
      </c>
      <c r="C2548" s="3" t="n">
        <f aca="false">INT(MOD(A2548,$N$1) / 2)</f>
        <v>4</v>
      </c>
      <c r="D2548" s="3" t="n">
        <f aca="false">_xlfn.BITAND(A2548,1)</f>
        <v>0</v>
      </c>
      <c r="E2548" s="3"/>
      <c r="F2548" s="3" t="str">
        <f aca="false">DEC2HEX(B2548*$N$3*18)</f>
        <v>27A80</v>
      </c>
      <c r="G2548" s="3" t="str">
        <f aca="false">DEC2HEX(C2548*7)</f>
        <v>1C</v>
      </c>
      <c r="H2548" s="3" t="n">
        <f aca="false">IF(D2548=0, 33, "cc")</f>
        <v>33</v>
      </c>
    </row>
    <row r="2549" customFormat="false" ht="18.65" hidden="false" customHeight="true" outlineLevel="0" collapsed="false">
      <c r="A2549" s="3" t="n">
        <f aca="false">ROW()-2</f>
        <v>2547</v>
      </c>
      <c r="B2549" s="3" t="n">
        <f aca="false">INT(A2549/$N$1)</f>
        <v>141</v>
      </c>
      <c r="C2549" s="3" t="n">
        <f aca="false">INT(MOD(A2549,$N$1) / 2)</f>
        <v>4</v>
      </c>
      <c r="D2549" s="3" t="n">
        <f aca="false">_xlfn.BITAND(A2549,1)</f>
        <v>1</v>
      </c>
      <c r="E2549" s="3"/>
      <c r="F2549" s="3" t="str">
        <f aca="false">DEC2HEX(B2549*$N$3*18)</f>
        <v>27A80</v>
      </c>
      <c r="G2549" s="3" t="str">
        <f aca="false">DEC2HEX(C2549*7)</f>
        <v>1C</v>
      </c>
      <c r="H2549" s="3" t="str">
        <f aca="false">IF(D2549=0, 33, "cc")</f>
        <v>cc</v>
      </c>
    </row>
    <row r="2550" customFormat="false" ht="18.65" hidden="false" customHeight="true" outlineLevel="0" collapsed="false">
      <c r="A2550" s="3" t="n">
        <f aca="false">ROW()-2</f>
        <v>2548</v>
      </c>
      <c r="B2550" s="3" t="n">
        <f aca="false">INT(A2550/$N$1)</f>
        <v>141</v>
      </c>
      <c r="C2550" s="3" t="n">
        <f aca="false">INT(MOD(A2550,$N$1) / 2)</f>
        <v>5</v>
      </c>
      <c r="D2550" s="3" t="n">
        <f aca="false">_xlfn.BITAND(A2550,1)</f>
        <v>0</v>
      </c>
      <c r="E2550" s="3"/>
      <c r="F2550" s="3" t="str">
        <f aca="false">DEC2HEX(B2550*$N$3*18)</f>
        <v>27A80</v>
      </c>
      <c r="G2550" s="3" t="str">
        <f aca="false">DEC2HEX(C2550*7)</f>
        <v>23</v>
      </c>
      <c r="H2550" s="3" t="n">
        <f aca="false">IF(D2550=0, 33, "cc")</f>
        <v>33</v>
      </c>
    </row>
    <row r="2551" customFormat="false" ht="18.65" hidden="false" customHeight="true" outlineLevel="0" collapsed="false">
      <c r="A2551" s="3" t="n">
        <f aca="false">ROW()-2</f>
        <v>2549</v>
      </c>
      <c r="B2551" s="3" t="n">
        <f aca="false">INT(A2551/$N$1)</f>
        <v>141</v>
      </c>
      <c r="C2551" s="3" t="n">
        <f aca="false">INT(MOD(A2551,$N$1) / 2)</f>
        <v>5</v>
      </c>
      <c r="D2551" s="3" t="n">
        <f aca="false">_xlfn.BITAND(A2551,1)</f>
        <v>1</v>
      </c>
      <c r="E2551" s="3"/>
      <c r="F2551" s="3" t="str">
        <f aca="false">DEC2HEX(B2551*$N$3*18)</f>
        <v>27A80</v>
      </c>
      <c r="G2551" s="3" t="str">
        <f aca="false">DEC2HEX(C2551*7)</f>
        <v>23</v>
      </c>
      <c r="H2551" s="3" t="str">
        <f aca="false">IF(D2551=0, 33, "cc")</f>
        <v>cc</v>
      </c>
    </row>
    <row r="2552" customFormat="false" ht="18.65" hidden="false" customHeight="true" outlineLevel="0" collapsed="false">
      <c r="A2552" s="3" t="n">
        <f aca="false">ROW()-2</f>
        <v>2550</v>
      </c>
      <c r="B2552" s="3" t="n">
        <f aca="false">INT(A2552/$N$1)</f>
        <v>141</v>
      </c>
      <c r="C2552" s="3" t="n">
        <f aca="false">INT(MOD(A2552,$N$1) / 2)</f>
        <v>6</v>
      </c>
      <c r="D2552" s="3" t="n">
        <f aca="false">_xlfn.BITAND(A2552,1)</f>
        <v>0</v>
      </c>
      <c r="E2552" s="3"/>
      <c r="F2552" s="3" t="str">
        <f aca="false">DEC2HEX(B2552*$N$3*18)</f>
        <v>27A80</v>
      </c>
      <c r="G2552" s="3" t="str">
        <f aca="false">DEC2HEX(C2552*7)</f>
        <v>2A</v>
      </c>
      <c r="H2552" s="3" t="n">
        <f aca="false">IF(D2552=0, 33, "cc")</f>
        <v>33</v>
      </c>
    </row>
    <row r="2553" customFormat="false" ht="18.65" hidden="false" customHeight="true" outlineLevel="0" collapsed="false">
      <c r="A2553" s="3" t="n">
        <f aca="false">ROW()-2</f>
        <v>2551</v>
      </c>
      <c r="B2553" s="3" t="n">
        <f aca="false">INT(A2553/$N$1)</f>
        <v>141</v>
      </c>
      <c r="C2553" s="3" t="n">
        <f aca="false">INT(MOD(A2553,$N$1) / 2)</f>
        <v>6</v>
      </c>
      <c r="D2553" s="3" t="n">
        <f aca="false">_xlfn.BITAND(A2553,1)</f>
        <v>1</v>
      </c>
      <c r="E2553" s="3"/>
      <c r="F2553" s="3" t="str">
        <f aca="false">DEC2HEX(B2553*$N$3*18)</f>
        <v>27A80</v>
      </c>
      <c r="G2553" s="3" t="str">
        <f aca="false">DEC2HEX(C2553*7)</f>
        <v>2A</v>
      </c>
      <c r="H2553" s="3" t="str">
        <f aca="false">IF(D2553=0, 33, "cc")</f>
        <v>cc</v>
      </c>
    </row>
    <row r="2554" customFormat="false" ht="18.65" hidden="false" customHeight="true" outlineLevel="0" collapsed="false">
      <c r="A2554" s="3" t="n">
        <f aca="false">ROW()-2</f>
        <v>2552</v>
      </c>
      <c r="B2554" s="3" t="n">
        <f aca="false">INT(A2554/$N$1)</f>
        <v>141</v>
      </c>
      <c r="C2554" s="3" t="n">
        <f aca="false">INT(MOD(A2554,$N$1) / 2)</f>
        <v>7</v>
      </c>
      <c r="D2554" s="3" t="n">
        <f aca="false">_xlfn.BITAND(A2554,1)</f>
        <v>0</v>
      </c>
      <c r="E2554" s="3"/>
      <c r="F2554" s="3" t="str">
        <f aca="false">DEC2HEX(B2554*$N$3*18)</f>
        <v>27A80</v>
      </c>
      <c r="G2554" s="3" t="str">
        <f aca="false">DEC2HEX(C2554*7)</f>
        <v>31</v>
      </c>
      <c r="H2554" s="3" t="n">
        <f aca="false">IF(D2554=0, 33, "cc")</f>
        <v>33</v>
      </c>
    </row>
    <row r="2555" customFormat="false" ht="18.65" hidden="false" customHeight="true" outlineLevel="0" collapsed="false">
      <c r="A2555" s="3" t="n">
        <f aca="false">ROW()-2</f>
        <v>2553</v>
      </c>
      <c r="B2555" s="3" t="n">
        <f aca="false">INT(A2555/$N$1)</f>
        <v>141</v>
      </c>
      <c r="C2555" s="3" t="n">
        <f aca="false">INT(MOD(A2555,$N$1) / 2)</f>
        <v>7</v>
      </c>
      <c r="D2555" s="3" t="n">
        <f aca="false">_xlfn.BITAND(A2555,1)</f>
        <v>1</v>
      </c>
      <c r="E2555" s="3"/>
      <c r="F2555" s="3" t="str">
        <f aca="false">DEC2HEX(B2555*$N$3*18)</f>
        <v>27A80</v>
      </c>
      <c r="G2555" s="3" t="str">
        <f aca="false">DEC2HEX(C2555*7)</f>
        <v>31</v>
      </c>
      <c r="H2555" s="3" t="str">
        <f aca="false">IF(D2555=0, 33, "cc")</f>
        <v>cc</v>
      </c>
    </row>
    <row r="2556" customFormat="false" ht="18.65" hidden="false" customHeight="true" outlineLevel="0" collapsed="false">
      <c r="A2556" s="3" t="n">
        <f aca="false">ROW()-2</f>
        <v>2554</v>
      </c>
      <c r="B2556" s="3" t="n">
        <f aca="false">INT(A2556/$N$1)</f>
        <v>141</v>
      </c>
      <c r="C2556" s="3" t="n">
        <f aca="false">INT(MOD(A2556,$N$1) / 2)</f>
        <v>8</v>
      </c>
      <c r="D2556" s="3" t="n">
        <f aca="false">_xlfn.BITAND(A2556,1)</f>
        <v>0</v>
      </c>
      <c r="E2556" s="3"/>
      <c r="F2556" s="3" t="str">
        <f aca="false">DEC2HEX(B2556*$N$3*18)</f>
        <v>27A80</v>
      </c>
      <c r="G2556" s="3" t="str">
        <f aca="false">DEC2HEX(C2556*7)</f>
        <v>38</v>
      </c>
      <c r="H2556" s="3" t="n">
        <f aca="false">IF(D2556=0, 33, "cc")</f>
        <v>33</v>
      </c>
    </row>
    <row r="2557" customFormat="false" ht="18.65" hidden="false" customHeight="true" outlineLevel="0" collapsed="false">
      <c r="A2557" s="3" t="n">
        <f aca="false">ROW()-2</f>
        <v>2555</v>
      </c>
      <c r="B2557" s="3" t="n">
        <f aca="false">INT(A2557/$N$1)</f>
        <v>141</v>
      </c>
      <c r="C2557" s="3" t="n">
        <f aca="false">INT(MOD(A2557,$N$1) / 2)</f>
        <v>8</v>
      </c>
      <c r="D2557" s="3" t="n">
        <f aca="false">_xlfn.BITAND(A2557,1)</f>
        <v>1</v>
      </c>
      <c r="E2557" s="3"/>
      <c r="F2557" s="3" t="str">
        <f aca="false">DEC2HEX(B2557*$N$3*18)</f>
        <v>27A80</v>
      </c>
      <c r="G2557" s="3" t="str">
        <f aca="false">DEC2HEX(C2557*7)</f>
        <v>38</v>
      </c>
      <c r="H2557" s="3" t="str">
        <f aca="false">IF(D2557=0, 33, "cc")</f>
        <v>cc</v>
      </c>
    </row>
    <row r="2558" customFormat="false" ht="18.65" hidden="false" customHeight="true" outlineLevel="0" collapsed="false">
      <c r="A2558" s="3" t="n">
        <f aca="false">ROW()-2</f>
        <v>2556</v>
      </c>
      <c r="B2558" s="3" t="n">
        <f aca="false">INT(A2558/$N$1)</f>
        <v>142</v>
      </c>
      <c r="C2558" s="3" t="n">
        <f aca="false">INT(MOD(A2558,$N$1) / 2)</f>
        <v>0</v>
      </c>
      <c r="D2558" s="3" t="n">
        <f aca="false">_xlfn.BITAND(A2558,1)</f>
        <v>0</v>
      </c>
      <c r="E2558" s="3"/>
      <c r="F2558" s="3" t="str">
        <f aca="false">DEC2HEX(B2558*$N$3*18)</f>
        <v>27F00</v>
      </c>
      <c r="G2558" s="3" t="str">
        <f aca="false">DEC2HEX(C2558*7)</f>
        <v>0</v>
      </c>
      <c r="H2558" s="3" t="n">
        <f aca="false">IF(D2558=0, 33, "cc")</f>
        <v>33</v>
      </c>
    </row>
    <row r="2559" customFormat="false" ht="18.65" hidden="false" customHeight="true" outlineLevel="0" collapsed="false">
      <c r="A2559" s="3" t="n">
        <f aca="false">ROW()-2</f>
        <v>2557</v>
      </c>
      <c r="B2559" s="3" t="n">
        <f aca="false">INT(A2559/$N$1)</f>
        <v>142</v>
      </c>
      <c r="C2559" s="3" t="n">
        <f aca="false">INT(MOD(A2559,$N$1) / 2)</f>
        <v>0</v>
      </c>
      <c r="D2559" s="3" t="n">
        <f aca="false">_xlfn.BITAND(A2559,1)</f>
        <v>1</v>
      </c>
      <c r="E2559" s="3"/>
      <c r="F2559" s="3" t="str">
        <f aca="false">DEC2HEX(B2559*$N$3*18)</f>
        <v>27F00</v>
      </c>
      <c r="G2559" s="3" t="str">
        <f aca="false">DEC2HEX(C2559*7)</f>
        <v>0</v>
      </c>
      <c r="H2559" s="3" t="str">
        <f aca="false">IF(D2559=0, 33, "cc")</f>
        <v>cc</v>
      </c>
    </row>
    <row r="2560" customFormat="false" ht="18.65" hidden="false" customHeight="true" outlineLevel="0" collapsed="false">
      <c r="A2560" s="3" t="n">
        <f aca="false">ROW()-2</f>
        <v>2558</v>
      </c>
      <c r="B2560" s="3" t="n">
        <f aca="false">INT(A2560/$N$1)</f>
        <v>142</v>
      </c>
      <c r="C2560" s="3" t="n">
        <f aca="false">INT(MOD(A2560,$N$1) / 2)</f>
        <v>1</v>
      </c>
      <c r="D2560" s="3" t="n">
        <f aca="false">_xlfn.BITAND(A2560,1)</f>
        <v>0</v>
      </c>
      <c r="E2560" s="3"/>
      <c r="F2560" s="3" t="str">
        <f aca="false">DEC2HEX(B2560*$N$3*18)</f>
        <v>27F00</v>
      </c>
      <c r="G2560" s="3" t="str">
        <f aca="false">DEC2HEX(C2560*7)</f>
        <v>7</v>
      </c>
      <c r="H2560" s="3" t="n">
        <f aca="false">IF(D2560=0, 33, "cc")</f>
        <v>33</v>
      </c>
    </row>
    <row r="2561" customFormat="false" ht="18.65" hidden="false" customHeight="true" outlineLevel="0" collapsed="false">
      <c r="A2561" s="3" t="n">
        <f aca="false">ROW()-2</f>
        <v>2559</v>
      </c>
      <c r="B2561" s="3" t="n">
        <f aca="false">INT(A2561/$N$1)</f>
        <v>142</v>
      </c>
      <c r="C2561" s="3" t="n">
        <f aca="false">INT(MOD(A2561,$N$1) / 2)</f>
        <v>1</v>
      </c>
      <c r="D2561" s="3" t="n">
        <f aca="false">_xlfn.BITAND(A2561,1)</f>
        <v>1</v>
      </c>
      <c r="E2561" s="3"/>
      <c r="F2561" s="3" t="str">
        <f aca="false">DEC2HEX(B2561*$N$3*18)</f>
        <v>27F00</v>
      </c>
      <c r="G2561" s="3" t="str">
        <f aca="false">DEC2HEX(C2561*7)</f>
        <v>7</v>
      </c>
      <c r="H2561" s="3" t="str">
        <f aca="false">IF(D2561=0, 33, "cc")</f>
        <v>cc</v>
      </c>
    </row>
    <row r="2562" customFormat="false" ht="18.65" hidden="false" customHeight="true" outlineLevel="0" collapsed="false">
      <c r="A2562" s="3" t="n">
        <f aca="false">ROW()-2</f>
        <v>2560</v>
      </c>
      <c r="B2562" s="3" t="n">
        <f aca="false">INT(A2562/$N$1)</f>
        <v>142</v>
      </c>
      <c r="C2562" s="3" t="n">
        <f aca="false">INT(MOD(A2562,$N$1) / 2)</f>
        <v>2</v>
      </c>
      <c r="D2562" s="3" t="n">
        <f aca="false">_xlfn.BITAND(A2562,1)</f>
        <v>0</v>
      </c>
      <c r="E2562" s="3"/>
      <c r="F2562" s="3" t="str">
        <f aca="false">DEC2HEX(B2562*$N$3*18)</f>
        <v>27F00</v>
      </c>
      <c r="G2562" s="3" t="str">
        <f aca="false">DEC2HEX(C2562*7)</f>
        <v>E</v>
      </c>
      <c r="H2562" s="3" t="n">
        <f aca="false">IF(D2562=0, 33, "cc")</f>
        <v>33</v>
      </c>
    </row>
    <row r="2563" customFormat="false" ht="18.65" hidden="false" customHeight="true" outlineLevel="0" collapsed="false">
      <c r="A2563" s="3" t="n">
        <f aca="false">ROW()-2</f>
        <v>2561</v>
      </c>
      <c r="B2563" s="3" t="n">
        <f aca="false">INT(A2563/$N$1)</f>
        <v>142</v>
      </c>
      <c r="C2563" s="3" t="n">
        <f aca="false">INT(MOD(A2563,$N$1) / 2)</f>
        <v>2</v>
      </c>
      <c r="D2563" s="3" t="n">
        <f aca="false">_xlfn.BITAND(A2563,1)</f>
        <v>1</v>
      </c>
      <c r="E2563" s="3"/>
      <c r="F2563" s="3" t="str">
        <f aca="false">DEC2HEX(B2563*$N$3*18)</f>
        <v>27F00</v>
      </c>
      <c r="G2563" s="3" t="str">
        <f aca="false">DEC2HEX(C2563*7)</f>
        <v>E</v>
      </c>
      <c r="H2563" s="3" t="str">
        <f aca="false">IF(D2563=0, 33, "cc")</f>
        <v>cc</v>
      </c>
    </row>
    <row r="2564" customFormat="false" ht="18.65" hidden="false" customHeight="true" outlineLevel="0" collapsed="false">
      <c r="A2564" s="3" t="n">
        <f aca="false">ROW()-2</f>
        <v>2562</v>
      </c>
      <c r="B2564" s="3" t="n">
        <f aca="false">INT(A2564/$N$1)</f>
        <v>142</v>
      </c>
      <c r="C2564" s="3" t="n">
        <f aca="false">INT(MOD(A2564,$N$1) / 2)</f>
        <v>3</v>
      </c>
      <c r="D2564" s="3" t="n">
        <f aca="false">_xlfn.BITAND(A2564,1)</f>
        <v>0</v>
      </c>
      <c r="E2564" s="3"/>
      <c r="F2564" s="3" t="str">
        <f aca="false">DEC2HEX(B2564*$N$3*18)</f>
        <v>27F00</v>
      </c>
      <c r="G2564" s="3" t="str">
        <f aca="false">DEC2HEX(C2564*7)</f>
        <v>15</v>
      </c>
      <c r="H2564" s="3" t="n">
        <f aca="false">IF(D2564=0, 33, "cc")</f>
        <v>33</v>
      </c>
    </row>
    <row r="2565" customFormat="false" ht="18.65" hidden="false" customHeight="true" outlineLevel="0" collapsed="false">
      <c r="A2565" s="3" t="n">
        <f aca="false">ROW()-2</f>
        <v>2563</v>
      </c>
      <c r="B2565" s="3" t="n">
        <f aca="false">INT(A2565/$N$1)</f>
        <v>142</v>
      </c>
      <c r="C2565" s="3" t="n">
        <f aca="false">INT(MOD(A2565,$N$1) / 2)</f>
        <v>3</v>
      </c>
      <c r="D2565" s="3" t="n">
        <f aca="false">_xlfn.BITAND(A2565,1)</f>
        <v>1</v>
      </c>
      <c r="E2565" s="3"/>
      <c r="F2565" s="3" t="str">
        <f aca="false">DEC2HEX(B2565*$N$3*18)</f>
        <v>27F00</v>
      </c>
      <c r="G2565" s="3" t="str">
        <f aca="false">DEC2HEX(C2565*7)</f>
        <v>15</v>
      </c>
      <c r="H2565" s="3" t="str">
        <f aca="false">IF(D2565=0, 33, "cc")</f>
        <v>cc</v>
      </c>
    </row>
    <row r="2566" customFormat="false" ht="18.65" hidden="false" customHeight="true" outlineLevel="0" collapsed="false">
      <c r="A2566" s="3" t="n">
        <f aca="false">ROW()-2</f>
        <v>2564</v>
      </c>
      <c r="B2566" s="3" t="n">
        <f aca="false">INT(A2566/$N$1)</f>
        <v>142</v>
      </c>
      <c r="C2566" s="3" t="n">
        <f aca="false">INT(MOD(A2566,$N$1) / 2)</f>
        <v>4</v>
      </c>
      <c r="D2566" s="3" t="n">
        <f aca="false">_xlfn.BITAND(A2566,1)</f>
        <v>0</v>
      </c>
      <c r="E2566" s="3"/>
      <c r="F2566" s="3" t="str">
        <f aca="false">DEC2HEX(B2566*$N$3*18)</f>
        <v>27F00</v>
      </c>
      <c r="G2566" s="3" t="str">
        <f aca="false">DEC2HEX(C2566*7)</f>
        <v>1C</v>
      </c>
      <c r="H2566" s="3" t="n">
        <f aca="false">IF(D2566=0, 33, "cc")</f>
        <v>33</v>
      </c>
    </row>
    <row r="2567" customFormat="false" ht="18.65" hidden="false" customHeight="true" outlineLevel="0" collapsed="false">
      <c r="A2567" s="3" t="n">
        <f aca="false">ROW()-2</f>
        <v>2565</v>
      </c>
      <c r="B2567" s="3" t="n">
        <f aca="false">INT(A2567/$N$1)</f>
        <v>142</v>
      </c>
      <c r="C2567" s="3" t="n">
        <f aca="false">INT(MOD(A2567,$N$1) / 2)</f>
        <v>4</v>
      </c>
      <c r="D2567" s="3" t="n">
        <f aca="false">_xlfn.BITAND(A2567,1)</f>
        <v>1</v>
      </c>
      <c r="E2567" s="3"/>
      <c r="F2567" s="3" t="str">
        <f aca="false">DEC2HEX(B2567*$N$3*18)</f>
        <v>27F00</v>
      </c>
      <c r="G2567" s="3" t="str">
        <f aca="false">DEC2HEX(C2567*7)</f>
        <v>1C</v>
      </c>
      <c r="H2567" s="3" t="str">
        <f aca="false">IF(D2567=0, 33, "cc")</f>
        <v>cc</v>
      </c>
    </row>
    <row r="2568" customFormat="false" ht="18.65" hidden="false" customHeight="true" outlineLevel="0" collapsed="false">
      <c r="A2568" s="3" t="n">
        <f aca="false">ROW()-2</f>
        <v>2566</v>
      </c>
      <c r="B2568" s="3" t="n">
        <f aca="false">INT(A2568/$N$1)</f>
        <v>142</v>
      </c>
      <c r="C2568" s="3" t="n">
        <f aca="false">INT(MOD(A2568,$N$1) / 2)</f>
        <v>5</v>
      </c>
      <c r="D2568" s="3" t="n">
        <f aca="false">_xlfn.BITAND(A2568,1)</f>
        <v>0</v>
      </c>
      <c r="E2568" s="3"/>
      <c r="F2568" s="3" t="str">
        <f aca="false">DEC2HEX(B2568*$N$3*18)</f>
        <v>27F00</v>
      </c>
      <c r="G2568" s="3" t="str">
        <f aca="false">DEC2HEX(C2568*7)</f>
        <v>23</v>
      </c>
      <c r="H2568" s="3" t="n">
        <f aca="false">IF(D2568=0, 33, "cc")</f>
        <v>33</v>
      </c>
    </row>
    <row r="2569" customFormat="false" ht="18.65" hidden="false" customHeight="true" outlineLevel="0" collapsed="false">
      <c r="A2569" s="3" t="n">
        <f aca="false">ROW()-2</f>
        <v>2567</v>
      </c>
      <c r="B2569" s="3" t="n">
        <f aca="false">INT(A2569/$N$1)</f>
        <v>142</v>
      </c>
      <c r="C2569" s="3" t="n">
        <f aca="false">INT(MOD(A2569,$N$1) / 2)</f>
        <v>5</v>
      </c>
      <c r="D2569" s="3" t="n">
        <f aca="false">_xlfn.BITAND(A2569,1)</f>
        <v>1</v>
      </c>
      <c r="E2569" s="3"/>
      <c r="F2569" s="3" t="str">
        <f aca="false">DEC2HEX(B2569*$N$3*18)</f>
        <v>27F00</v>
      </c>
      <c r="G2569" s="3" t="str">
        <f aca="false">DEC2HEX(C2569*7)</f>
        <v>23</v>
      </c>
      <c r="H2569" s="3" t="str">
        <f aca="false">IF(D2569=0, 33, "cc")</f>
        <v>cc</v>
      </c>
    </row>
    <row r="2570" customFormat="false" ht="18.65" hidden="false" customHeight="true" outlineLevel="0" collapsed="false">
      <c r="A2570" s="3" t="n">
        <f aca="false">ROW()-2</f>
        <v>2568</v>
      </c>
      <c r="B2570" s="3" t="n">
        <f aca="false">INT(A2570/$N$1)</f>
        <v>142</v>
      </c>
      <c r="C2570" s="3" t="n">
        <f aca="false">INT(MOD(A2570,$N$1) / 2)</f>
        <v>6</v>
      </c>
      <c r="D2570" s="3" t="n">
        <f aca="false">_xlfn.BITAND(A2570,1)</f>
        <v>0</v>
      </c>
      <c r="E2570" s="3"/>
      <c r="F2570" s="3" t="str">
        <f aca="false">DEC2HEX(B2570*$N$3*18)</f>
        <v>27F00</v>
      </c>
      <c r="G2570" s="3" t="str">
        <f aca="false">DEC2HEX(C2570*7)</f>
        <v>2A</v>
      </c>
      <c r="H2570" s="3" t="n">
        <f aca="false">IF(D2570=0, 33, "cc")</f>
        <v>33</v>
      </c>
    </row>
    <row r="2571" customFormat="false" ht="18.65" hidden="false" customHeight="true" outlineLevel="0" collapsed="false">
      <c r="A2571" s="3" t="n">
        <f aca="false">ROW()-2</f>
        <v>2569</v>
      </c>
      <c r="B2571" s="3" t="n">
        <f aca="false">INT(A2571/$N$1)</f>
        <v>142</v>
      </c>
      <c r="C2571" s="3" t="n">
        <f aca="false">INT(MOD(A2571,$N$1) / 2)</f>
        <v>6</v>
      </c>
      <c r="D2571" s="3" t="n">
        <f aca="false">_xlfn.BITAND(A2571,1)</f>
        <v>1</v>
      </c>
      <c r="E2571" s="3"/>
      <c r="F2571" s="3" t="str">
        <f aca="false">DEC2HEX(B2571*$N$3*18)</f>
        <v>27F00</v>
      </c>
      <c r="G2571" s="3" t="str">
        <f aca="false">DEC2HEX(C2571*7)</f>
        <v>2A</v>
      </c>
      <c r="H2571" s="3" t="str">
        <f aca="false">IF(D2571=0, 33, "cc")</f>
        <v>cc</v>
      </c>
    </row>
    <row r="2572" customFormat="false" ht="18.65" hidden="false" customHeight="true" outlineLevel="0" collapsed="false">
      <c r="A2572" s="3" t="n">
        <f aca="false">ROW()-2</f>
        <v>2570</v>
      </c>
      <c r="B2572" s="3" t="n">
        <f aca="false">INT(A2572/$N$1)</f>
        <v>142</v>
      </c>
      <c r="C2572" s="3" t="n">
        <f aca="false">INT(MOD(A2572,$N$1) / 2)</f>
        <v>7</v>
      </c>
      <c r="D2572" s="3" t="n">
        <f aca="false">_xlfn.BITAND(A2572,1)</f>
        <v>0</v>
      </c>
      <c r="E2572" s="3"/>
      <c r="F2572" s="3" t="str">
        <f aca="false">DEC2HEX(B2572*$N$3*18)</f>
        <v>27F00</v>
      </c>
      <c r="G2572" s="3" t="str">
        <f aca="false">DEC2HEX(C2572*7)</f>
        <v>31</v>
      </c>
      <c r="H2572" s="3" t="n">
        <f aca="false">IF(D2572=0, 33, "cc")</f>
        <v>33</v>
      </c>
    </row>
    <row r="2573" customFormat="false" ht="18.65" hidden="false" customHeight="true" outlineLevel="0" collapsed="false">
      <c r="A2573" s="3" t="n">
        <f aca="false">ROW()-2</f>
        <v>2571</v>
      </c>
      <c r="B2573" s="3" t="n">
        <f aca="false">INT(A2573/$N$1)</f>
        <v>142</v>
      </c>
      <c r="C2573" s="3" t="n">
        <f aca="false">INT(MOD(A2573,$N$1) / 2)</f>
        <v>7</v>
      </c>
      <c r="D2573" s="3" t="n">
        <f aca="false">_xlfn.BITAND(A2573,1)</f>
        <v>1</v>
      </c>
      <c r="E2573" s="3"/>
      <c r="F2573" s="3" t="str">
        <f aca="false">DEC2HEX(B2573*$N$3*18)</f>
        <v>27F00</v>
      </c>
      <c r="G2573" s="3" t="str">
        <f aca="false">DEC2HEX(C2573*7)</f>
        <v>31</v>
      </c>
      <c r="H2573" s="3" t="str">
        <f aca="false">IF(D2573=0, 33, "cc")</f>
        <v>cc</v>
      </c>
    </row>
    <row r="2574" customFormat="false" ht="18.65" hidden="false" customHeight="true" outlineLevel="0" collapsed="false">
      <c r="A2574" s="3" t="n">
        <f aca="false">ROW()-2</f>
        <v>2572</v>
      </c>
      <c r="B2574" s="3" t="n">
        <f aca="false">INT(A2574/$N$1)</f>
        <v>142</v>
      </c>
      <c r="C2574" s="3" t="n">
        <f aca="false">INT(MOD(A2574,$N$1) / 2)</f>
        <v>8</v>
      </c>
      <c r="D2574" s="3" t="n">
        <f aca="false">_xlfn.BITAND(A2574,1)</f>
        <v>0</v>
      </c>
      <c r="E2574" s="3"/>
      <c r="F2574" s="3" t="str">
        <f aca="false">DEC2HEX(B2574*$N$3*18)</f>
        <v>27F00</v>
      </c>
      <c r="G2574" s="3" t="str">
        <f aca="false">DEC2HEX(C2574*7)</f>
        <v>38</v>
      </c>
      <c r="H2574" s="3" t="n">
        <f aca="false">IF(D2574=0, 33, "cc")</f>
        <v>33</v>
      </c>
    </row>
    <row r="2575" customFormat="false" ht="18.65" hidden="false" customHeight="true" outlineLevel="0" collapsed="false">
      <c r="A2575" s="3" t="n">
        <f aca="false">ROW()-2</f>
        <v>2573</v>
      </c>
      <c r="B2575" s="3" t="n">
        <f aca="false">INT(A2575/$N$1)</f>
        <v>142</v>
      </c>
      <c r="C2575" s="3" t="n">
        <f aca="false">INT(MOD(A2575,$N$1) / 2)</f>
        <v>8</v>
      </c>
      <c r="D2575" s="3" t="n">
        <f aca="false">_xlfn.BITAND(A2575,1)</f>
        <v>1</v>
      </c>
      <c r="E2575" s="3"/>
      <c r="F2575" s="3" t="str">
        <f aca="false">DEC2HEX(B2575*$N$3*18)</f>
        <v>27F00</v>
      </c>
      <c r="G2575" s="3" t="str">
        <f aca="false">DEC2HEX(C2575*7)</f>
        <v>38</v>
      </c>
      <c r="H2575" s="3" t="str">
        <f aca="false">IF(D2575=0, 33, "cc")</f>
        <v>cc</v>
      </c>
    </row>
    <row r="2576" customFormat="false" ht="18.65" hidden="false" customHeight="true" outlineLevel="0" collapsed="false">
      <c r="A2576" s="3" t="n">
        <f aca="false">ROW()-2</f>
        <v>2574</v>
      </c>
      <c r="B2576" s="3" t="n">
        <f aca="false">INT(A2576/$N$1)</f>
        <v>143</v>
      </c>
      <c r="C2576" s="3" t="n">
        <f aca="false">INT(MOD(A2576,$N$1) / 2)</f>
        <v>0</v>
      </c>
      <c r="D2576" s="3" t="n">
        <f aca="false">_xlfn.BITAND(A2576,1)</f>
        <v>0</v>
      </c>
      <c r="E2576" s="3"/>
      <c r="F2576" s="3" t="str">
        <f aca="false">DEC2HEX(B2576*$N$3*18)</f>
        <v>28380</v>
      </c>
      <c r="G2576" s="3" t="str">
        <f aca="false">DEC2HEX(C2576*7)</f>
        <v>0</v>
      </c>
      <c r="H2576" s="3" t="n">
        <f aca="false">IF(D2576=0, 33, "cc")</f>
        <v>33</v>
      </c>
    </row>
    <row r="2577" customFormat="false" ht="18.65" hidden="false" customHeight="true" outlineLevel="0" collapsed="false">
      <c r="A2577" s="3" t="n">
        <f aca="false">ROW()-2</f>
        <v>2575</v>
      </c>
      <c r="B2577" s="3" t="n">
        <f aca="false">INT(A2577/$N$1)</f>
        <v>143</v>
      </c>
      <c r="C2577" s="3" t="n">
        <f aca="false">INT(MOD(A2577,$N$1) / 2)</f>
        <v>0</v>
      </c>
      <c r="D2577" s="3" t="n">
        <f aca="false">_xlfn.BITAND(A2577,1)</f>
        <v>1</v>
      </c>
      <c r="E2577" s="3"/>
      <c r="F2577" s="3" t="str">
        <f aca="false">DEC2HEX(B2577*$N$3*18)</f>
        <v>28380</v>
      </c>
      <c r="G2577" s="3" t="str">
        <f aca="false">DEC2HEX(C2577*7)</f>
        <v>0</v>
      </c>
      <c r="H2577" s="3" t="str">
        <f aca="false">IF(D2577=0, 33, "cc")</f>
        <v>cc</v>
      </c>
    </row>
    <row r="2578" customFormat="false" ht="18.65" hidden="false" customHeight="true" outlineLevel="0" collapsed="false">
      <c r="A2578" s="3" t="n">
        <f aca="false">ROW()-2</f>
        <v>2576</v>
      </c>
      <c r="B2578" s="3" t="n">
        <f aca="false">INT(A2578/$N$1)</f>
        <v>143</v>
      </c>
      <c r="C2578" s="3" t="n">
        <f aca="false">INT(MOD(A2578,$N$1) / 2)</f>
        <v>1</v>
      </c>
      <c r="D2578" s="3" t="n">
        <f aca="false">_xlfn.BITAND(A2578,1)</f>
        <v>0</v>
      </c>
      <c r="E2578" s="3"/>
      <c r="F2578" s="3" t="str">
        <f aca="false">DEC2HEX(B2578*$N$3*18)</f>
        <v>28380</v>
      </c>
      <c r="G2578" s="3" t="str">
        <f aca="false">DEC2HEX(C2578*7)</f>
        <v>7</v>
      </c>
      <c r="H2578" s="3" t="n">
        <f aca="false">IF(D2578=0, 33, "cc")</f>
        <v>33</v>
      </c>
    </row>
    <row r="2579" customFormat="false" ht="18.65" hidden="false" customHeight="true" outlineLevel="0" collapsed="false">
      <c r="A2579" s="3" t="n">
        <f aca="false">ROW()-2</f>
        <v>2577</v>
      </c>
      <c r="B2579" s="3" t="n">
        <f aca="false">INT(A2579/$N$1)</f>
        <v>143</v>
      </c>
      <c r="C2579" s="3" t="n">
        <f aca="false">INT(MOD(A2579,$N$1) / 2)</f>
        <v>1</v>
      </c>
      <c r="D2579" s="3" t="n">
        <f aca="false">_xlfn.BITAND(A2579,1)</f>
        <v>1</v>
      </c>
      <c r="E2579" s="3"/>
      <c r="F2579" s="3" t="str">
        <f aca="false">DEC2HEX(B2579*$N$3*18)</f>
        <v>28380</v>
      </c>
      <c r="G2579" s="3" t="str">
        <f aca="false">DEC2HEX(C2579*7)</f>
        <v>7</v>
      </c>
      <c r="H2579" s="3" t="str">
        <f aca="false">IF(D2579=0, 33, "cc")</f>
        <v>cc</v>
      </c>
    </row>
    <row r="2580" customFormat="false" ht="18.65" hidden="false" customHeight="true" outlineLevel="0" collapsed="false">
      <c r="A2580" s="3" t="n">
        <f aca="false">ROW()-2</f>
        <v>2578</v>
      </c>
      <c r="B2580" s="3" t="n">
        <f aca="false">INT(A2580/$N$1)</f>
        <v>143</v>
      </c>
      <c r="C2580" s="3" t="n">
        <f aca="false">INT(MOD(A2580,$N$1) / 2)</f>
        <v>2</v>
      </c>
      <c r="D2580" s="3" t="n">
        <f aca="false">_xlfn.BITAND(A2580,1)</f>
        <v>0</v>
      </c>
      <c r="E2580" s="3"/>
      <c r="F2580" s="3" t="str">
        <f aca="false">DEC2HEX(B2580*$N$3*18)</f>
        <v>28380</v>
      </c>
      <c r="G2580" s="3" t="str">
        <f aca="false">DEC2HEX(C2580*7)</f>
        <v>E</v>
      </c>
      <c r="H2580" s="3" t="n">
        <f aca="false">IF(D2580=0, 33, "cc")</f>
        <v>33</v>
      </c>
    </row>
    <row r="2581" customFormat="false" ht="18.65" hidden="false" customHeight="true" outlineLevel="0" collapsed="false">
      <c r="A2581" s="3" t="n">
        <f aca="false">ROW()-2</f>
        <v>2579</v>
      </c>
      <c r="B2581" s="3" t="n">
        <f aca="false">INT(A2581/$N$1)</f>
        <v>143</v>
      </c>
      <c r="C2581" s="3" t="n">
        <f aca="false">INT(MOD(A2581,$N$1) / 2)</f>
        <v>2</v>
      </c>
      <c r="D2581" s="3" t="n">
        <f aca="false">_xlfn.BITAND(A2581,1)</f>
        <v>1</v>
      </c>
      <c r="E2581" s="3"/>
      <c r="F2581" s="3" t="str">
        <f aca="false">DEC2HEX(B2581*$N$3*18)</f>
        <v>28380</v>
      </c>
      <c r="G2581" s="3" t="str">
        <f aca="false">DEC2HEX(C2581*7)</f>
        <v>E</v>
      </c>
      <c r="H2581" s="3" t="str">
        <f aca="false">IF(D2581=0, 33, "cc")</f>
        <v>cc</v>
      </c>
    </row>
    <row r="2582" customFormat="false" ht="18.65" hidden="false" customHeight="true" outlineLevel="0" collapsed="false">
      <c r="A2582" s="3" t="n">
        <f aca="false">ROW()-2</f>
        <v>2580</v>
      </c>
      <c r="B2582" s="3" t="n">
        <f aca="false">INT(A2582/$N$1)</f>
        <v>143</v>
      </c>
      <c r="C2582" s="3" t="n">
        <f aca="false">INT(MOD(A2582,$N$1) / 2)</f>
        <v>3</v>
      </c>
      <c r="D2582" s="3" t="n">
        <f aca="false">_xlfn.BITAND(A2582,1)</f>
        <v>0</v>
      </c>
      <c r="E2582" s="3"/>
      <c r="F2582" s="3" t="str">
        <f aca="false">DEC2HEX(B2582*$N$3*18)</f>
        <v>28380</v>
      </c>
      <c r="G2582" s="3" t="str">
        <f aca="false">DEC2HEX(C2582*7)</f>
        <v>15</v>
      </c>
      <c r="H2582" s="3" t="n">
        <f aca="false">IF(D2582=0, 33, "cc")</f>
        <v>33</v>
      </c>
    </row>
    <row r="2583" customFormat="false" ht="18.65" hidden="false" customHeight="true" outlineLevel="0" collapsed="false">
      <c r="A2583" s="3" t="n">
        <f aca="false">ROW()-2</f>
        <v>2581</v>
      </c>
      <c r="B2583" s="3" t="n">
        <f aca="false">INT(A2583/$N$1)</f>
        <v>143</v>
      </c>
      <c r="C2583" s="3" t="n">
        <f aca="false">INT(MOD(A2583,$N$1) / 2)</f>
        <v>3</v>
      </c>
      <c r="D2583" s="3" t="n">
        <f aca="false">_xlfn.BITAND(A2583,1)</f>
        <v>1</v>
      </c>
      <c r="E2583" s="3"/>
      <c r="F2583" s="3" t="str">
        <f aca="false">DEC2HEX(B2583*$N$3*18)</f>
        <v>28380</v>
      </c>
      <c r="G2583" s="3" t="str">
        <f aca="false">DEC2HEX(C2583*7)</f>
        <v>15</v>
      </c>
      <c r="H2583" s="3" t="str">
        <f aca="false">IF(D2583=0, 33, "cc")</f>
        <v>cc</v>
      </c>
    </row>
    <row r="2584" customFormat="false" ht="18.65" hidden="false" customHeight="true" outlineLevel="0" collapsed="false">
      <c r="A2584" s="3" t="n">
        <f aca="false">ROW()-2</f>
        <v>2582</v>
      </c>
      <c r="B2584" s="3" t="n">
        <f aca="false">INT(A2584/$N$1)</f>
        <v>143</v>
      </c>
      <c r="C2584" s="3" t="n">
        <f aca="false">INT(MOD(A2584,$N$1) / 2)</f>
        <v>4</v>
      </c>
      <c r="D2584" s="3" t="n">
        <f aca="false">_xlfn.BITAND(A2584,1)</f>
        <v>0</v>
      </c>
      <c r="E2584" s="3"/>
      <c r="F2584" s="3" t="str">
        <f aca="false">DEC2HEX(B2584*$N$3*18)</f>
        <v>28380</v>
      </c>
      <c r="G2584" s="3" t="str">
        <f aca="false">DEC2HEX(C2584*7)</f>
        <v>1C</v>
      </c>
      <c r="H2584" s="3" t="n">
        <f aca="false">IF(D2584=0, 33, "cc")</f>
        <v>33</v>
      </c>
    </row>
    <row r="2585" customFormat="false" ht="18.65" hidden="false" customHeight="true" outlineLevel="0" collapsed="false">
      <c r="A2585" s="3" t="n">
        <f aca="false">ROW()-2</f>
        <v>2583</v>
      </c>
      <c r="B2585" s="3" t="n">
        <f aca="false">INT(A2585/$N$1)</f>
        <v>143</v>
      </c>
      <c r="C2585" s="3" t="n">
        <f aca="false">INT(MOD(A2585,$N$1) / 2)</f>
        <v>4</v>
      </c>
      <c r="D2585" s="3" t="n">
        <f aca="false">_xlfn.BITAND(A2585,1)</f>
        <v>1</v>
      </c>
      <c r="E2585" s="3"/>
      <c r="F2585" s="3" t="str">
        <f aca="false">DEC2HEX(B2585*$N$3*18)</f>
        <v>28380</v>
      </c>
      <c r="G2585" s="3" t="str">
        <f aca="false">DEC2HEX(C2585*7)</f>
        <v>1C</v>
      </c>
      <c r="H2585" s="3" t="str">
        <f aca="false">IF(D2585=0, 33, "cc")</f>
        <v>cc</v>
      </c>
    </row>
    <row r="2586" customFormat="false" ht="18.65" hidden="false" customHeight="true" outlineLevel="0" collapsed="false">
      <c r="A2586" s="3" t="n">
        <f aca="false">ROW()-2</f>
        <v>2584</v>
      </c>
      <c r="B2586" s="3" t="n">
        <f aca="false">INT(A2586/$N$1)</f>
        <v>143</v>
      </c>
      <c r="C2586" s="3" t="n">
        <f aca="false">INT(MOD(A2586,$N$1) / 2)</f>
        <v>5</v>
      </c>
      <c r="D2586" s="3" t="n">
        <f aca="false">_xlfn.BITAND(A2586,1)</f>
        <v>0</v>
      </c>
      <c r="E2586" s="3"/>
      <c r="F2586" s="3" t="str">
        <f aca="false">DEC2HEX(B2586*$N$3*18)</f>
        <v>28380</v>
      </c>
      <c r="G2586" s="3" t="str">
        <f aca="false">DEC2HEX(C2586*7)</f>
        <v>23</v>
      </c>
      <c r="H2586" s="3" t="n">
        <f aca="false">IF(D2586=0, 33, "cc")</f>
        <v>33</v>
      </c>
    </row>
    <row r="2587" customFormat="false" ht="18.65" hidden="false" customHeight="true" outlineLevel="0" collapsed="false">
      <c r="A2587" s="3" t="n">
        <f aca="false">ROW()-2</f>
        <v>2585</v>
      </c>
      <c r="B2587" s="3" t="n">
        <f aca="false">INT(A2587/$N$1)</f>
        <v>143</v>
      </c>
      <c r="C2587" s="3" t="n">
        <f aca="false">INT(MOD(A2587,$N$1) / 2)</f>
        <v>5</v>
      </c>
      <c r="D2587" s="3" t="n">
        <f aca="false">_xlfn.BITAND(A2587,1)</f>
        <v>1</v>
      </c>
      <c r="E2587" s="3"/>
      <c r="F2587" s="3" t="str">
        <f aca="false">DEC2HEX(B2587*$N$3*18)</f>
        <v>28380</v>
      </c>
      <c r="G2587" s="3" t="str">
        <f aca="false">DEC2HEX(C2587*7)</f>
        <v>23</v>
      </c>
      <c r="H2587" s="3" t="str">
        <f aca="false">IF(D2587=0, 33, "cc")</f>
        <v>cc</v>
      </c>
    </row>
    <row r="2588" customFormat="false" ht="18.65" hidden="false" customHeight="true" outlineLevel="0" collapsed="false">
      <c r="A2588" s="3" t="n">
        <f aca="false">ROW()-2</f>
        <v>2586</v>
      </c>
      <c r="B2588" s="3" t="n">
        <f aca="false">INT(A2588/$N$1)</f>
        <v>143</v>
      </c>
      <c r="C2588" s="3" t="n">
        <f aca="false">INT(MOD(A2588,$N$1) / 2)</f>
        <v>6</v>
      </c>
      <c r="D2588" s="3" t="n">
        <f aca="false">_xlfn.BITAND(A2588,1)</f>
        <v>0</v>
      </c>
      <c r="E2588" s="3"/>
      <c r="F2588" s="3" t="str">
        <f aca="false">DEC2HEX(B2588*$N$3*18)</f>
        <v>28380</v>
      </c>
      <c r="G2588" s="3" t="str">
        <f aca="false">DEC2HEX(C2588*7)</f>
        <v>2A</v>
      </c>
      <c r="H2588" s="3" t="n">
        <f aca="false">IF(D2588=0, 33, "cc")</f>
        <v>33</v>
      </c>
    </row>
    <row r="2589" customFormat="false" ht="18.65" hidden="false" customHeight="true" outlineLevel="0" collapsed="false">
      <c r="A2589" s="3" t="n">
        <f aca="false">ROW()-2</f>
        <v>2587</v>
      </c>
      <c r="B2589" s="3" t="n">
        <f aca="false">INT(A2589/$N$1)</f>
        <v>143</v>
      </c>
      <c r="C2589" s="3" t="n">
        <f aca="false">INT(MOD(A2589,$N$1) / 2)</f>
        <v>6</v>
      </c>
      <c r="D2589" s="3" t="n">
        <f aca="false">_xlfn.BITAND(A2589,1)</f>
        <v>1</v>
      </c>
      <c r="E2589" s="3"/>
      <c r="F2589" s="3" t="str">
        <f aca="false">DEC2HEX(B2589*$N$3*18)</f>
        <v>28380</v>
      </c>
      <c r="G2589" s="3" t="str">
        <f aca="false">DEC2HEX(C2589*7)</f>
        <v>2A</v>
      </c>
      <c r="H2589" s="3" t="str">
        <f aca="false">IF(D2589=0, 33, "cc")</f>
        <v>cc</v>
      </c>
    </row>
    <row r="2590" customFormat="false" ht="18.65" hidden="false" customHeight="true" outlineLevel="0" collapsed="false">
      <c r="A2590" s="3" t="n">
        <f aca="false">ROW()-2</f>
        <v>2588</v>
      </c>
      <c r="B2590" s="3" t="n">
        <f aca="false">INT(A2590/$N$1)</f>
        <v>143</v>
      </c>
      <c r="C2590" s="3" t="n">
        <f aca="false">INT(MOD(A2590,$N$1) / 2)</f>
        <v>7</v>
      </c>
      <c r="D2590" s="3" t="n">
        <f aca="false">_xlfn.BITAND(A2590,1)</f>
        <v>0</v>
      </c>
      <c r="E2590" s="3"/>
      <c r="F2590" s="3" t="str">
        <f aca="false">DEC2HEX(B2590*$N$3*18)</f>
        <v>28380</v>
      </c>
      <c r="G2590" s="3" t="str">
        <f aca="false">DEC2HEX(C2590*7)</f>
        <v>31</v>
      </c>
      <c r="H2590" s="3" t="n">
        <f aca="false">IF(D2590=0, 33, "cc")</f>
        <v>33</v>
      </c>
    </row>
    <row r="2591" customFormat="false" ht="18.65" hidden="false" customHeight="true" outlineLevel="0" collapsed="false">
      <c r="A2591" s="3" t="n">
        <f aca="false">ROW()-2</f>
        <v>2589</v>
      </c>
      <c r="B2591" s="3" t="n">
        <f aca="false">INT(A2591/$N$1)</f>
        <v>143</v>
      </c>
      <c r="C2591" s="3" t="n">
        <f aca="false">INT(MOD(A2591,$N$1) / 2)</f>
        <v>7</v>
      </c>
      <c r="D2591" s="3" t="n">
        <f aca="false">_xlfn.BITAND(A2591,1)</f>
        <v>1</v>
      </c>
      <c r="E2591" s="3"/>
      <c r="F2591" s="3" t="str">
        <f aca="false">DEC2HEX(B2591*$N$3*18)</f>
        <v>28380</v>
      </c>
      <c r="G2591" s="3" t="str">
        <f aca="false">DEC2HEX(C2591*7)</f>
        <v>31</v>
      </c>
      <c r="H2591" s="3" t="str">
        <f aca="false">IF(D2591=0, 33, "cc")</f>
        <v>cc</v>
      </c>
    </row>
    <row r="2592" customFormat="false" ht="18.65" hidden="false" customHeight="true" outlineLevel="0" collapsed="false">
      <c r="A2592" s="3" t="n">
        <f aca="false">ROW()-2</f>
        <v>2590</v>
      </c>
      <c r="B2592" s="3" t="n">
        <f aca="false">INT(A2592/$N$1)</f>
        <v>143</v>
      </c>
      <c r="C2592" s="3" t="n">
        <f aca="false">INT(MOD(A2592,$N$1) / 2)</f>
        <v>8</v>
      </c>
      <c r="D2592" s="3" t="n">
        <f aca="false">_xlfn.BITAND(A2592,1)</f>
        <v>0</v>
      </c>
      <c r="E2592" s="3"/>
      <c r="F2592" s="3" t="str">
        <f aca="false">DEC2HEX(B2592*$N$3*18)</f>
        <v>28380</v>
      </c>
      <c r="G2592" s="3" t="str">
        <f aca="false">DEC2HEX(C2592*7)</f>
        <v>38</v>
      </c>
      <c r="H2592" s="3" t="n">
        <f aca="false">IF(D2592=0, 33, "cc")</f>
        <v>33</v>
      </c>
    </row>
    <row r="2593" customFormat="false" ht="18.65" hidden="false" customHeight="true" outlineLevel="0" collapsed="false">
      <c r="A2593" s="3" t="n">
        <f aca="false">ROW()-2</f>
        <v>2591</v>
      </c>
      <c r="B2593" s="3" t="n">
        <f aca="false">INT(A2593/$N$1)</f>
        <v>143</v>
      </c>
      <c r="C2593" s="3" t="n">
        <f aca="false">INT(MOD(A2593,$N$1) / 2)</f>
        <v>8</v>
      </c>
      <c r="D2593" s="3" t="n">
        <f aca="false">_xlfn.BITAND(A2593,1)</f>
        <v>1</v>
      </c>
      <c r="E2593" s="3"/>
      <c r="F2593" s="3" t="str">
        <f aca="false">DEC2HEX(B2593*$N$3*18)</f>
        <v>28380</v>
      </c>
      <c r="G2593" s="3" t="str">
        <f aca="false">DEC2HEX(C2593*7)</f>
        <v>38</v>
      </c>
      <c r="H2593" s="3" t="str">
        <f aca="false">IF(D2593=0, 33, "cc")</f>
        <v>cc</v>
      </c>
    </row>
    <row r="2594" customFormat="false" ht="18.65" hidden="false" customHeight="true" outlineLevel="0" collapsed="false">
      <c r="A2594" s="3" t="n">
        <f aca="false">ROW()-2</f>
        <v>2592</v>
      </c>
      <c r="B2594" s="3" t="n">
        <f aca="false">INT(A2594/$N$1)</f>
        <v>144</v>
      </c>
      <c r="C2594" s="3" t="n">
        <f aca="false">INT(MOD(A2594,$N$1) / 2)</f>
        <v>0</v>
      </c>
      <c r="D2594" s="3" t="n">
        <f aca="false">_xlfn.BITAND(A2594,1)</f>
        <v>0</v>
      </c>
      <c r="E2594" s="3"/>
      <c r="F2594" s="3" t="str">
        <f aca="false">DEC2HEX(B2594*$N$3*18)</f>
        <v>28800</v>
      </c>
      <c r="G2594" s="3" t="str">
        <f aca="false">DEC2HEX(C2594*7)</f>
        <v>0</v>
      </c>
      <c r="H2594" s="3" t="n">
        <f aca="false">IF(D2594=0, 33, "cc")</f>
        <v>33</v>
      </c>
    </row>
    <row r="2595" customFormat="false" ht="18.65" hidden="false" customHeight="true" outlineLevel="0" collapsed="false">
      <c r="A2595" s="3" t="n">
        <f aca="false">ROW()-2</f>
        <v>2593</v>
      </c>
      <c r="B2595" s="3" t="n">
        <f aca="false">INT(A2595/$N$1)</f>
        <v>144</v>
      </c>
      <c r="C2595" s="3" t="n">
        <f aca="false">INT(MOD(A2595,$N$1) / 2)</f>
        <v>0</v>
      </c>
      <c r="D2595" s="3" t="n">
        <f aca="false">_xlfn.BITAND(A2595,1)</f>
        <v>1</v>
      </c>
      <c r="E2595" s="3"/>
      <c r="F2595" s="3" t="str">
        <f aca="false">DEC2HEX(B2595*$N$3*18)</f>
        <v>28800</v>
      </c>
      <c r="G2595" s="3" t="str">
        <f aca="false">DEC2HEX(C2595*7)</f>
        <v>0</v>
      </c>
      <c r="H2595" s="3" t="str">
        <f aca="false">IF(D2595=0, 33, "cc")</f>
        <v>cc</v>
      </c>
    </row>
    <row r="2596" customFormat="false" ht="18.65" hidden="false" customHeight="true" outlineLevel="0" collapsed="false">
      <c r="A2596" s="3" t="n">
        <f aca="false">ROW()-2</f>
        <v>2594</v>
      </c>
      <c r="B2596" s="3" t="n">
        <f aca="false">INT(A2596/$N$1)</f>
        <v>144</v>
      </c>
      <c r="C2596" s="3" t="n">
        <f aca="false">INT(MOD(A2596,$N$1) / 2)</f>
        <v>1</v>
      </c>
      <c r="D2596" s="3" t="n">
        <f aca="false">_xlfn.BITAND(A2596,1)</f>
        <v>0</v>
      </c>
      <c r="E2596" s="3"/>
      <c r="F2596" s="3" t="str">
        <f aca="false">DEC2HEX(B2596*$N$3*18)</f>
        <v>28800</v>
      </c>
      <c r="G2596" s="3" t="str">
        <f aca="false">DEC2HEX(C2596*7)</f>
        <v>7</v>
      </c>
      <c r="H2596" s="3" t="n">
        <f aca="false">IF(D2596=0, 33, "cc")</f>
        <v>33</v>
      </c>
    </row>
    <row r="2597" customFormat="false" ht="18.65" hidden="false" customHeight="true" outlineLevel="0" collapsed="false">
      <c r="A2597" s="3" t="n">
        <f aca="false">ROW()-2</f>
        <v>2595</v>
      </c>
      <c r="B2597" s="3" t="n">
        <f aca="false">INT(A2597/$N$1)</f>
        <v>144</v>
      </c>
      <c r="C2597" s="3" t="n">
        <f aca="false">INT(MOD(A2597,$N$1) / 2)</f>
        <v>1</v>
      </c>
      <c r="D2597" s="3" t="n">
        <f aca="false">_xlfn.BITAND(A2597,1)</f>
        <v>1</v>
      </c>
      <c r="E2597" s="3"/>
      <c r="F2597" s="3" t="str">
        <f aca="false">DEC2HEX(B2597*$N$3*18)</f>
        <v>28800</v>
      </c>
      <c r="G2597" s="3" t="str">
        <f aca="false">DEC2HEX(C2597*7)</f>
        <v>7</v>
      </c>
      <c r="H2597" s="3" t="str">
        <f aca="false">IF(D2597=0, 33, "cc")</f>
        <v>cc</v>
      </c>
    </row>
    <row r="2598" customFormat="false" ht="18.65" hidden="false" customHeight="true" outlineLevel="0" collapsed="false">
      <c r="A2598" s="3" t="n">
        <f aca="false">ROW()-2</f>
        <v>2596</v>
      </c>
      <c r="B2598" s="3" t="n">
        <f aca="false">INT(A2598/$N$1)</f>
        <v>144</v>
      </c>
      <c r="C2598" s="3" t="n">
        <f aca="false">INT(MOD(A2598,$N$1) / 2)</f>
        <v>2</v>
      </c>
      <c r="D2598" s="3" t="n">
        <f aca="false">_xlfn.BITAND(A2598,1)</f>
        <v>0</v>
      </c>
      <c r="E2598" s="3"/>
      <c r="F2598" s="3" t="str">
        <f aca="false">DEC2HEX(B2598*$N$3*18)</f>
        <v>28800</v>
      </c>
      <c r="G2598" s="3" t="str">
        <f aca="false">DEC2HEX(C2598*7)</f>
        <v>E</v>
      </c>
      <c r="H2598" s="3" t="n">
        <f aca="false">IF(D2598=0, 33, "cc")</f>
        <v>33</v>
      </c>
    </row>
    <row r="2599" customFormat="false" ht="18.65" hidden="false" customHeight="true" outlineLevel="0" collapsed="false">
      <c r="A2599" s="3" t="n">
        <f aca="false">ROW()-2</f>
        <v>2597</v>
      </c>
      <c r="B2599" s="3" t="n">
        <f aca="false">INT(A2599/$N$1)</f>
        <v>144</v>
      </c>
      <c r="C2599" s="3" t="n">
        <f aca="false">INT(MOD(A2599,$N$1) / 2)</f>
        <v>2</v>
      </c>
      <c r="D2599" s="3" t="n">
        <f aca="false">_xlfn.BITAND(A2599,1)</f>
        <v>1</v>
      </c>
      <c r="E2599" s="3"/>
      <c r="F2599" s="3" t="str">
        <f aca="false">DEC2HEX(B2599*$N$3*18)</f>
        <v>28800</v>
      </c>
      <c r="G2599" s="3" t="str">
        <f aca="false">DEC2HEX(C2599*7)</f>
        <v>E</v>
      </c>
      <c r="H2599" s="3" t="str">
        <f aca="false">IF(D2599=0, 33, "cc")</f>
        <v>cc</v>
      </c>
    </row>
    <row r="2600" customFormat="false" ht="18.65" hidden="false" customHeight="true" outlineLevel="0" collapsed="false">
      <c r="A2600" s="3" t="n">
        <f aca="false">ROW()-2</f>
        <v>2598</v>
      </c>
      <c r="B2600" s="3" t="n">
        <f aca="false">INT(A2600/$N$1)</f>
        <v>144</v>
      </c>
      <c r="C2600" s="3" t="n">
        <f aca="false">INT(MOD(A2600,$N$1) / 2)</f>
        <v>3</v>
      </c>
      <c r="D2600" s="3" t="n">
        <f aca="false">_xlfn.BITAND(A2600,1)</f>
        <v>0</v>
      </c>
      <c r="E2600" s="3"/>
      <c r="F2600" s="3" t="str">
        <f aca="false">DEC2HEX(B2600*$N$3*18)</f>
        <v>28800</v>
      </c>
      <c r="G2600" s="3" t="str">
        <f aca="false">DEC2HEX(C2600*7)</f>
        <v>15</v>
      </c>
      <c r="H2600" s="3" t="n">
        <f aca="false">IF(D2600=0, 33, "cc")</f>
        <v>33</v>
      </c>
    </row>
    <row r="2601" customFormat="false" ht="18.65" hidden="false" customHeight="true" outlineLevel="0" collapsed="false">
      <c r="A2601" s="3" t="n">
        <f aca="false">ROW()-2</f>
        <v>2599</v>
      </c>
      <c r="B2601" s="3" t="n">
        <f aca="false">INT(A2601/$N$1)</f>
        <v>144</v>
      </c>
      <c r="C2601" s="3" t="n">
        <f aca="false">INT(MOD(A2601,$N$1) / 2)</f>
        <v>3</v>
      </c>
      <c r="D2601" s="3" t="n">
        <f aca="false">_xlfn.BITAND(A2601,1)</f>
        <v>1</v>
      </c>
      <c r="E2601" s="3"/>
      <c r="F2601" s="3" t="str">
        <f aca="false">DEC2HEX(B2601*$N$3*18)</f>
        <v>28800</v>
      </c>
      <c r="G2601" s="3" t="str">
        <f aca="false">DEC2HEX(C2601*7)</f>
        <v>15</v>
      </c>
      <c r="H2601" s="3" t="str">
        <f aca="false">IF(D2601=0, 33, "cc")</f>
        <v>cc</v>
      </c>
    </row>
    <row r="2602" customFormat="false" ht="18.65" hidden="false" customHeight="true" outlineLevel="0" collapsed="false">
      <c r="A2602" s="3" t="n">
        <f aca="false">ROW()-2</f>
        <v>2600</v>
      </c>
      <c r="B2602" s="3" t="n">
        <f aca="false">INT(A2602/$N$1)</f>
        <v>144</v>
      </c>
      <c r="C2602" s="3" t="n">
        <f aca="false">INT(MOD(A2602,$N$1) / 2)</f>
        <v>4</v>
      </c>
      <c r="D2602" s="3" t="n">
        <f aca="false">_xlfn.BITAND(A2602,1)</f>
        <v>0</v>
      </c>
      <c r="E2602" s="3"/>
      <c r="F2602" s="3" t="str">
        <f aca="false">DEC2HEX(B2602*$N$3*18)</f>
        <v>28800</v>
      </c>
      <c r="G2602" s="3" t="str">
        <f aca="false">DEC2HEX(C2602*7)</f>
        <v>1C</v>
      </c>
      <c r="H2602" s="3" t="n">
        <f aca="false">IF(D2602=0, 33, "cc")</f>
        <v>33</v>
      </c>
    </row>
    <row r="2603" customFormat="false" ht="18.65" hidden="false" customHeight="true" outlineLevel="0" collapsed="false">
      <c r="A2603" s="3" t="n">
        <f aca="false">ROW()-2</f>
        <v>2601</v>
      </c>
      <c r="B2603" s="3" t="n">
        <f aca="false">INT(A2603/$N$1)</f>
        <v>144</v>
      </c>
      <c r="C2603" s="3" t="n">
        <f aca="false">INT(MOD(A2603,$N$1) / 2)</f>
        <v>4</v>
      </c>
      <c r="D2603" s="3" t="n">
        <f aca="false">_xlfn.BITAND(A2603,1)</f>
        <v>1</v>
      </c>
      <c r="E2603" s="3"/>
      <c r="F2603" s="3" t="str">
        <f aca="false">DEC2HEX(B2603*$N$3*18)</f>
        <v>28800</v>
      </c>
      <c r="G2603" s="3" t="str">
        <f aca="false">DEC2HEX(C2603*7)</f>
        <v>1C</v>
      </c>
      <c r="H2603" s="3" t="str">
        <f aca="false">IF(D2603=0, 33, "cc")</f>
        <v>cc</v>
      </c>
    </row>
    <row r="2604" customFormat="false" ht="18.65" hidden="false" customHeight="true" outlineLevel="0" collapsed="false">
      <c r="A2604" s="3" t="n">
        <f aca="false">ROW()-2</f>
        <v>2602</v>
      </c>
      <c r="B2604" s="3" t="n">
        <f aca="false">INT(A2604/$N$1)</f>
        <v>144</v>
      </c>
      <c r="C2604" s="3" t="n">
        <f aca="false">INT(MOD(A2604,$N$1) / 2)</f>
        <v>5</v>
      </c>
      <c r="D2604" s="3" t="n">
        <f aca="false">_xlfn.BITAND(A2604,1)</f>
        <v>0</v>
      </c>
      <c r="E2604" s="3"/>
      <c r="F2604" s="3" t="str">
        <f aca="false">DEC2HEX(B2604*$N$3*18)</f>
        <v>28800</v>
      </c>
      <c r="G2604" s="3" t="str">
        <f aca="false">DEC2HEX(C2604*7)</f>
        <v>23</v>
      </c>
      <c r="H2604" s="3" t="n">
        <f aca="false">IF(D2604=0, 33, "cc")</f>
        <v>33</v>
      </c>
    </row>
    <row r="2605" customFormat="false" ht="18.65" hidden="false" customHeight="true" outlineLevel="0" collapsed="false">
      <c r="A2605" s="3" t="n">
        <f aca="false">ROW()-2</f>
        <v>2603</v>
      </c>
      <c r="B2605" s="3" t="n">
        <f aca="false">INT(A2605/$N$1)</f>
        <v>144</v>
      </c>
      <c r="C2605" s="3" t="n">
        <f aca="false">INT(MOD(A2605,$N$1) / 2)</f>
        <v>5</v>
      </c>
      <c r="D2605" s="3" t="n">
        <f aca="false">_xlfn.BITAND(A2605,1)</f>
        <v>1</v>
      </c>
      <c r="E2605" s="3"/>
      <c r="F2605" s="3" t="str">
        <f aca="false">DEC2HEX(B2605*$N$3*18)</f>
        <v>28800</v>
      </c>
      <c r="G2605" s="3" t="str">
        <f aca="false">DEC2HEX(C2605*7)</f>
        <v>23</v>
      </c>
      <c r="H2605" s="3" t="str">
        <f aca="false">IF(D2605=0, 33, "cc")</f>
        <v>cc</v>
      </c>
    </row>
    <row r="2606" customFormat="false" ht="18.65" hidden="false" customHeight="true" outlineLevel="0" collapsed="false">
      <c r="A2606" s="3" t="n">
        <f aca="false">ROW()-2</f>
        <v>2604</v>
      </c>
      <c r="B2606" s="3" t="n">
        <f aca="false">INT(A2606/$N$1)</f>
        <v>144</v>
      </c>
      <c r="C2606" s="3" t="n">
        <f aca="false">INT(MOD(A2606,$N$1) / 2)</f>
        <v>6</v>
      </c>
      <c r="D2606" s="3" t="n">
        <f aca="false">_xlfn.BITAND(A2606,1)</f>
        <v>0</v>
      </c>
      <c r="E2606" s="3"/>
      <c r="F2606" s="3" t="str">
        <f aca="false">DEC2HEX(B2606*$N$3*18)</f>
        <v>28800</v>
      </c>
      <c r="G2606" s="3" t="str">
        <f aca="false">DEC2HEX(C2606*7)</f>
        <v>2A</v>
      </c>
      <c r="H2606" s="3" t="n">
        <f aca="false">IF(D2606=0, 33, "cc")</f>
        <v>33</v>
      </c>
    </row>
    <row r="2607" customFormat="false" ht="18.65" hidden="false" customHeight="true" outlineLevel="0" collapsed="false">
      <c r="A2607" s="3" t="n">
        <f aca="false">ROW()-2</f>
        <v>2605</v>
      </c>
      <c r="B2607" s="3" t="n">
        <f aca="false">INT(A2607/$N$1)</f>
        <v>144</v>
      </c>
      <c r="C2607" s="3" t="n">
        <f aca="false">INT(MOD(A2607,$N$1) / 2)</f>
        <v>6</v>
      </c>
      <c r="D2607" s="3" t="n">
        <f aca="false">_xlfn.BITAND(A2607,1)</f>
        <v>1</v>
      </c>
      <c r="E2607" s="3"/>
      <c r="F2607" s="3" t="str">
        <f aca="false">DEC2HEX(B2607*$N$3*18)</f>
        <v>28800</v>
      </c>
      <c r="G2607" s="3" t="str">
        <f aca="false">DEC2HEX(C2607*7)</f>
        <v>2A</v>
      </c>
      <c r="H2607" s="3" t="str">
        <f aca="false">IF(D2607=0, 33, "cc")</f>
        <v>cc</v>
      </c>
    </row>
    <row r="2608" customFormat="false" ht="18.65" hidden="false" customHeight="true" outlineLevel="0" collapsed="false">
      <c r="A2608" s="3" t="n">
        <f aca="false">ROW()-2</f>
        <v>2606</v>
      </c>
      <c r="B2608" s="3" t="n">
        <f aca="false">INT(A2608/$N$1)</f>
        <v>144</v>
      </c>
      <c r="C2608" s="3" t="n">
        <f aca="false">INT(MOD(A2608,$N$1) / 2)</f>
        <v>7</v>
      </c>
      <c r="D2608" s="3" t="n">
        <f aca="false">_xlfn.BITAND(A2608,1)</f>
        <v>0</v>
      </c>
      <c r="E2608" s="3"/>
      <c r="F2608" s="3" t="str">
        <f aca="false">DEC2HEX(B2608*$N$3*18)</f>
        <v>28800</v>
      </c>
      <c r="G2608" s="3" t="str">
        <f aca="false">DEC2HEX(C2608*7)</f>
        <v>31</v>
      </c>
      <c r="H2608" s="3" t="n">
        <f aca="false">IF(D2608=0, 33, "cc")</f>
        <v>33</v>
      </c>
    </row>
    <row r="2609" customFormat="false" ht="18.65" hidden="false" customHeight="true" outlineLevel="0" collapsed="false">
      <c r="A2609" s="3" t="n">
        <f aca="false">ROW()-2</f>
        <v>2607</v>
      </c>
      <c r="B2609" s="3" t="n">
        <f aca="false">INT(A2609/$N$1)</f>
        <v>144</v>
      </c>
      <c r="C2609" s="3" t="n">
        <f aca="false">INT(MOD(A2609,$N$1) / 2)</f>
        <v>7</v>
      </c>
      <c r="D2609" s="3" t="n">
        <f aca="false">_xlfn.BITAND(A2609,1)</f>
        <v>1</v>
      </c>
      <c r="E2609" s="3"/>
      <c r="F2609" s="3" t="str">
        <f aca="false">DEC2HEX(B2609*$N$3*18)</f>
        <v>28800</v>
      </c>
      <c r="G2609" s="3" t="str">
        <f aca="false">DEC2HEX(C2609*7)</f>
        <v>31</v>
      </c>
      <c r="H2609" s="3" t="str">
        <f aca="false">IF(D2609=0, 33, "cc")</f>
        <v>cc</v>
      </c>
    </row>
    <row r="2610" customFormat="false" ht="18.65" hidden="false" customHeight="true" outlineLevel="0" collapsed="false">
      <c r="A2610" s="3" t="n">
        <f aca="false">ROW()-2</f>
        <v>2608</v>
      </c>
      <c r="B2610" s="3" t="n">
        <f aca="false">INT(A2610/$N$1)</f>
        <v>144</v>
      </c>
      <c r="C2610" s="3" t="n">
        <f aca="false">INT(MOD(A2610,$N$1) / 2)</f>
        <v>8</v>
      </c>
      <c r="D2610" s="3" t="n">
        <f aca="false">_xlfn.BITAND(A2610,1)</f>
        <v>0</v>
      </c>
      <c r="E2610" s="3"/>
      <c r="F2610" s="3" t="str">
        <f aca="false">DEC2HEX(B2610*$N$3*18)</f>
        <v>28800</v>
      </c>
      <c r="G2610" s="3" t="str">
        <f aca="false">DEC2HEX(C2610*7)</f>
        <v>38</v>
      </c>
      <c r="H2610" s="3" t="n">
        <f aca="false">IF(D2610=0, 33, "cc")</f>
        <v>33</v>
      </c>
    </row>
    <row r="2611" customFormat="false" ht="18.65" hidden="false" customHeight="true" outlineLevel="0" collapsed="false">
      <c r="A2611" s="3" t="n">
        <f aca="false">ROW()-2</f>
        <v>2609</v>
      </c>
      <c r="B2611" s="3" t="n">
        <f aca="false">INT(A2611/$N$1)</f>
        <v>144</v>
      </c>
      <c r="C2611" s="3" t="n">
        <f aca="false">INT(MOD(A2611,$N$1) / 2)</f>
        <v>8</v>
      </c>
      <c r="D2611" s="3" t="n">
        <f aca="false">_xlfn.BITAND(A2611,1)</f>
        <v>1</v>
      </c>
      <c r="E2611" s="3"/>
      <c r="F2611" s="3" t="str">
        <f aca="false">DEC2HEX(B2611*$N$3*18)</f>
        <v>28800</v>
      </c>
      <c r="G2611" s="3" t="str">
        <f aca="false">DEC2HEX(C2611*7)</f>
        <v>38</v>
      </c>
      <c r="H2611" s="3" t="str">
        <f aca="false">IF(D2611=0, 33, "cc")</f>
        <v>cc</v>
      </c>
    </row>
    <row r="2612" customFormat="false" ht="18.65" hidden="false" customHeight="true" outlineLevel="0" collapsed="false">
      <c r="A2612" s="3" t="n">
        <f aca="false">ROW()-2</f>
        <v>2610</v>
      </c>
      <c r="B2612" s="3" t="n">
        <f aca="false">INT(A2612/$N$1)</f>
        <v>145</v>
      </c>
      <c r="C2612" s="3" t="n">
        <f aca="false">INT(MOD(A2612,$N$1) / 2)</f>
        <v>0</v>
      </c>
      <c r="D2612" s="3" t="n">
        <f aca="false">_xlfn.BITAND(A2612,1)</f>
        <v>0</v>
      </c>
      <c r="E2612" s="3"/>
      <c r="F2612" s="3" t="str">
        <f aca="false">DEC2HEX(B2612*$N$3*18)</f>
        <v>28C80</v>
      </c>
      <c r="G2612" s="3" t="str">
        <f aca="false">DEC2HEX(C2612*7)</f>
        <v>0</v>
      </c>
      <c r="H2612" s="3" t="n">
        <f aca="false">IF(D2612=0, 33, "cc")</f>
        <v>33</v>
      </c>
    </row>
    <row r="2613" customFormat="false" ht="18.65" hidden="false" customHeight="true" outlineLevel="0" collapsed="false">
      <c r="A2613" s="3" t="n">
        <f aca="false">ROW()-2</f>
        <v>2611</v>
      </c>
      <c r="B2613" s="3" t="n">
        <f aca="false">INT(A2613/$N$1)</f>
        <v>145</v>
      </c>
      <c r="C2613" s="3" t="n">
        <f aca="false">INT(MOD(A2613,$N$1) / 2)</f>
        <v>0</v>
      </c>
      <c r="D2613" s="3" t="n">
        <f aca="false">_xlfn.BITAND(A2613,1)</f>
        <v>1</v>
      </c>
      <c r="E2613" s="3"/>
      <c r="F2613" s="3" t="str">
        <f aca="false">DEC2HEX(B2613*$N$3*18)</f>
        <v>28C80</v>
      </c>
      <c r="G2613" s="3" t="str">
        <f aca="false">DEC2HEX(C2613*7)</f>
        <v>0</v>
      </c>
      <c r="H2613" s="3" t="str">
        <f aca="false">IF(D2613=0, 33, "cc")</f>
        <v>cc</v>
      </c>
    </row>
    <row r="2614" customFormat="false" ht="18.65" hidden="false" customHeight="true" outlineLevel="0" collapsed="false">
      <c r="A2614" s="3" t="n">
        <f aca="false">ROW()-2</f>
        <v>2612</v>
      </c>
      <c r="B2614" s="3" t="n">
        <f aca="false">INT(A2614/$N$1)</f>
        <v>145</v>
      </c>
      <c r="C2614" s="3" t="n">
        <f aca="false">INT(MOD(A2614,$N$1) / 2)</f>
        <v>1</v>
      </c>
      <c r="D2614" s="3" t="n">
        <f aca="false">_xlfn.BITAND(A2614,1)</f>
        <v>0</v>
      </c>
      <c r="E2614" s="3"/>
      <c r="F2614" s="3" t="str">
        <f aca="false">DEC2HEX(B2614*$N$3*18)</f>
        <v>28C80</v>
      </c>
      <c r="G2614" s="3" t="str">
        <f aca="false">DEC2HEX(C2614*7)</f>
        <v>7</v>
      </c>
      <c r="H2614" s="3" t="n">
        <f aca="false">IF(D2614=0, 33, "cc")</f>
        <v>33</v>
      </c>
    </row>
    <row r="2615" customFormat="false" ht="18.65" hidden="false" customHeight="true" outlineLevel="0" collapsed="false">
      <c r="A2615" s="3" t="n">
        <f aca="false">ROW()-2</f>
        <v>2613</v>
      </c>
      <c r="B2615" s="3" t="n">
        <f aca="false">INT(A2615/$N$1)</f>
        <v>145</v>
      </c>
      <c r="C2615" s="3" t="n">
        <f aca="false">INT(MOD(A2615,$N$1) / 2)</f>
        <v>1</v>
      </c>
      <c r="D2615" s="3" t="n">
        <f aca="false">_xlfn.BITAND(A2615,1)</f>
        <v>1</v>
      </c>
      <c r="E2615" s="3"/>
      <c r="F2615" s="3" t="str">
        <f aca="false">DEC2HEX(B2615*$N$3*18)</f>
        <v>28C80</v>
      </c>
      <c r="G2615" s="3" t="str">
        <f aca="false">DEC2HEX(C2615*7)</f>
        <v>7</v>
      </c>
      <c r="H2615" s="3" t="str">
        <f aca="false">IF(D2615=0, 33, "cc")</f>
        <v>cc</v>
      </c>
    </row>
    <row r="2616" customFormat="false" ht="18.65" hidden="false" customHeight="true" outlineLevel="0" collapsed="false">
      <c r="A2616" s="3" t="n">
        <f aca="false">ROW()-2</f>
        <v>2614</v>
      </c>
      <c r="B2616" s="3" t="n">
        <f aca="false">INT(A2616/$N$1)</f>
        <v>145</v>
      </c>
      <c r="C2616" s="3" t="n">
        <f aca="false">INT(MOD(A2616,$N$1) / 2)</f>
        <v>2</v>
      </c>
      <c r="D2616" s="3" t="n">
        <f aca="false">_xlfn.BITAND(A2616,1)</f>
        <v>0</v>
      </c>
      <c r="E2616" s="3"/>
      <c r="F2616" s="3" t="str">
        <f aca="false">DEC2HEX(B2616*$N$3*18)</f>
        <v>28C80</v>
      </c>
      <c r="G2616" s="3" t="str">
        <f aca="false">DEC2HEX(C2616*7)</f>
        <v>E</v>
      </c>
      <c r="H2616" s="3" t="n">
        <f aca="false">IF(D2616=0, 33, "cc")</f>
        <v>33</v>
      </c>
    </row>
    <row r="2617" customFormat="false" ht="18.65" hidden="false" customHeight="true" outlineLevel="0" collapsed="false">
      <c r="A2617" s="3" t="n">
        <f aca="false">ROW()-2</f>
        <v>2615</v>
      </c>
      <c r="B2617" s="3" t="n">
        <f aca="false">INT(A2617/$N$1)</f>
        <v>145</v>
      </c>
      <c r="C2617" s="3" t="n">
        <f aca="false">INT(MOD(A2617,$N$1) / 2)</f>
        <v>2</v>
      </c>
      <c r="D2617" s="3" t="n">
        <f aca="false">_xlfn.BITAND(A2617,1)</f>
        <v>1</v>
      </c>
      <c r="E2617" s="3"/>
      <c r="F2617" s="3" t="str">
        <f aca="false">DEC2HEX(B2617*$N$3*18)</f>
        <v>28C80</v>
      </c>
      <c r="G2617" s="3" t="str">
        <f aca="false">DEC2HEX(C2617*7)</f>
        <v>E</v>
      </c>
      <c r="H2617" s="3" t="str">
        <f aca="false">IF(D2617=0, 33, "cc")</f>
        <v>cc</v>
      </c>
    </row>
    <row r="2618" customFormat="false" ht="18.65" hidden="false" customHeight="true" outlineLevel="0" collapsed="false">
      <c r="A2618" s="3" t="n">
        <f aca="false">ROW()-2</f>
        <v>2616</v>
      </c>
      <c r="B2618" s="3" t="n">
        <f aca="false">INT(A2618/$N$1)</f>
        <v>145</v>
      </c>
      <c r="C2618" s="3" t="n">
        <f aca="false">INT(MOD(A2618,$N$1) / 2)</f>
        <v>3</v>
      </c>
      <c r="D2618" s="3" t="n">
        <f aca="false">_xlfn.BITAND(A2618,1)</f>
        <v>0</v>
      </c>
      <c r="E2618" s="3"/>
      <c r="F2618" s="3" t="str">
        <f aca="false">DEC2HEX(B2618*$N$3*18)</f>
        <v>28C80</v>
      </c>
      <c r="G2618" s="3" t="str">
        <f aca="false">DEC2HEX(C2618*7)</f>
        <v>15</v>
      </c>
      <c r="H2618" s="3" t="n">
        <f aca="false">IF(D2618=0, 33, "cc")</f>
        <v>33</v>
      </c>
    </row>
    <row r="2619" customFormat="false" ht="18.65" hidden="false" customHeight="true" outlineLevel="0" collapsed="false">
      <c r="A2619" s="3" t="n">
        <f aca="false">ROW()-2</f>
        <v>2617</v>
      </c>
      <c r="B2619" s="3" t="n">
        <f aca="false">INT(A2619/$N$1)</f>
        <v>145</v>
      </c>
      <c r="C2619" s="3" t="n">
        <f aca="false">INT(MOD(A2619,$N$1) / 2)</f>
        <v>3</v>
      </c>
      <c r="D2619" s="3" t="n">
        <f aca="false">_xlfn.BITAND(A2619,1)</f>
        <v>1</v>
      </c>
      <c r="E2619" s="3"/>
      <c r="F2619" s="3" t="str">
        <f aca="false">DEC2HEX(B2619*$N$3*18)</f>
        <v>28C80</v>
      </c>
      <c r="G2619" s="3" t="str">
        <f aca="false">DEC2HEX(C2619*7)</f>
        <v>15</v>
      </c>
      <c r="H2619" s="3" t="str">
        <f aca="false">IF(D2619=0, 33, "cc")</f>
        <v>cc</v>
      </c>
    </row>
    <row r="2620" customFormat="false" ht="18.65" hidden="false" customHeight="true" outlineLevel="0" collapsed="false">
      <c r="A2620" s="3" t="n">
        <f aca="false">ROW()-2</f>
        <v>2618</v>
      </c>
      <c r="B2620" s="3" t="n">
        <f aca="false">INT(A2620/$N$1)</f>
        <v>145</v>
      </c>
      <c r="C2620" s="3" t="n">
        <f aca="false">INT(MOD(A2620,$N$1) / 2)</f>
        <v>4</v>
      </c>
      <c r="D2620" s="3" t="n">
        <f aca="false">_xlfn.BITAND(A2620,1)</f>
        <v>0</v>
      </c>
      <c r="E2620" s="3"/>
      <c r="F2620" s="3" t="str">
        <f aca="false">DEC2HEX(B2620*$N$3*18)</f>
        <v>28C80</v>
      </c>
      <c r="G2620" s="3" t="str">
        <f aca="false">DEC2HEX(C2620*7)</f>
        <v>1C</v>
      </c>
      <c r="H2620" s="3" t="n">
        <f aca="false">IF(D2620=0, 33, "cc")</f>
        <v>33</v>
      </c>
    </row>
    <row r="2621" customFormat="false" ht="18.65" hidden="false" customHeight="true" outlineLevel="0" collapsed="false">
      <c r="A2621" s="3" t="n">
        <f aca="false">ROW()-2</f>
        <v>2619</v>
      </c>
      <c r="B2621" s="3" t="n">
        <f aca="false">INT(A2621/$N$1)</f>
        <v>145</v>
      </c>
      <c r="C2621" s="3" t="n">
        <f aca="false">INT(MOD(A2621,$N$1) / 2)</f>
        <v>4</v>
      </c>
      <c r="D2621" s="3" t="n">
        <f aca="false">_xlfn.BITAND(A2621,1)</f>
        <v>1</v>
      </c>
      <c r="E2621" s="3"/>
      <c r="F2621" s="3" t="str">
        <f aca="false">DEC2HEX(B2621*$N$3*18)</f>
        <v>28C80</v>
      </c>
      <c r="G2621" s="3" t="str">
        <f aca="false">DEC2HEX(C2621*7)</f>
        <v>1C</v>
      </c>
      <c r="H2621" s="3" t="str">
        <f aca="false">IF(D2621=0, 33, "cc")</f>
        <v>cc</v>
      </c>
    </row>
    <row r="2622" customFormat="false" ht="18.65" hidden="false" customHeight="true" outlineLevel="0" collapsed="false">
      <c r="A2622" s="3" t="n">
        <f aca="false">ROW()-2</f>
        <v>2620</v>
      </c>
      <c r="B2622" s="3" t="n">
        <f aca="false">INT(A2622/$N$1)</f>
        <v>145</v>
      </c>
      <c r="C2622" s="3" t="n">
        <f aca="false">INT(MOD(A2622,$N$1) / 2)</f>
        <v>5</v>
      </c>
      <c r="D2622" s="3" t="n">
        <f aca="false">_xlfn.BITAND(A2622,1)</f>
        <v>0</v>
      </c>
      <c r="E2622" s="3"/>
      <c r="F2622" s="3" t="str">
        <f aca="false">DEC2HEX(B2622*$N$3*18)</f>
        <v>28C80</v>
      </c>
      <c r="G2622" s="3" t="str">
        <f aca="false">DEC2HEX(C2622*7)</f>
        <v>23</v>
      </c>
      <c r="H2622" s="3" t="n">
        <f aca="false">IF(D2622=0, 33, "cc")</f>
        <v>33</v>
      </c>
    </row>
    <row r="2623" customFormat="false" ht="18.65" hidden="false" customHeight="true" outlineLevel="0" collapsed="false">
      <c r="A2623" s="3" t="n">
        <f aca="false">ROW()-2</f>
        <v>2621</v>
      </c>
      <c r="B2623" s="3" t="n">
        <f aca="false">INT(A2623/$N$1)</f>
        <v>145</v>
      </c>
      <c r="C2623" s="3" t="n">
        <f aca="false">INT(MOD(A2623,$N$1) / 2)</f>
        <v>5</v>
      </c>
      <c r="D2623" s="3" t="n">
        <f aca="false">_xlfn.BITAND(A2623,1)</f>
        <v>1</v>
      </c>
      <c r="E2623" s="3"/>
      <c r="F2623" s="3" t="str">
        <f aca="false">DEC2HEX(B2623*$N$3*18)</f>
        <v>28C80</v>
      </c>
      <c r="G2623" s="3" t="str">
        <f aca="false">DEC2HEX(C2623*7)</f>
        <v>23</v>
      </c>
      <c r="H2623" s="3" t="str">
        <f aca="false">IF(D2623=0, 33, "cc")</f>
        <v>cc</v>
      </c>
    </row>
    <row r="2624" customFormat="false" ht="18.65" hidden="false" customHeight="true" outlineLevel="0" collapsed="false">
      <c r="A2624" s="3" t="n">
        <f aca="false">ROW()-2</f>
        <v>2622</v>
      </c>
      <c r="B2624" s="3" t="n">
        <f aca="false">INT(A2624/$N$1)</f>
        <v>145</v>
      </c>
      <c r="C2624" s="3" t="n">
        <f aca="false">INT(MOD(A2624,$N$1) / 2)</f>
        <v>6</v>
      </c>
      <c r="D2624" s="3" t="n">
        <f aca="false">_xlfn.BITAND(A2624,1)</f>
        <v>0</v>
      </c>
      <c r="E2624" s="3"/>
      <c r="F2624" s="3" t="str">
        <f aca="false">DEC2HEX(B2624*$N$3*18)</f>
        <v>28C80</v>
      </c>
      <c r="G2624" s="3" t="str">
        <f aca="false">DEC2HEX(C2624*7)</f>
        <v>2A</v>
      </c>
      <c r="H2624" s="3" t="n">
        <f aca="false">IF(D2624=0, 33, "cc")</f>
        <v>33</v>
      </c>
    </row>
    <row r="2625" customFormat="false" ht="18.65" hidden="false" customHeight="true" outlineLevel="0" collapsed="false">
      <c r="A2625" s="3" t="n">
        <f aca="false">ROW()-2</f>
        <v>2623</v>
      </c>
      <c r="B2625" s="3" t="n">
        <f aca="false">INT(A2625/$N$1)</f>
        <v>145</v>
      </c>
      <c r="C2625" s="3" t="n">
        <f aca="false">INT(MOD(A2625,$N$1) / 2)</f>
        <v>6</v>
      </c>
      <c r="D2625" s="3" t="n">
        <f aca="false">_xlfn.BITAND(A2625,1)</f>
        <v>1</v>
      </c>
      <c r="E2625" s="3"/>
      <c r="F2625" s="3" t="str">
        <f aca="false">DEC2HEX(B2625*$N$3*18)</f>
        <v>28C80</v>
      </c>
      <c r="G2625" s="3" t="str">
        <f aca="false">DEC2HEX(C2625*7)</f>
        <v>2A</v>
      </c>
      <c r="H2625" s="3" t="str">
        <f aca="false">IF(D2625=0, 33, "cc")</f>
        <v>cc</v>
      </c>
    </row>
    <row r="2626" customFormat="false" ht="18.65" hidden="false" customHeight="true" outlineLevel="0" collapsed="false">
      <c r="A2626" s="3" t="n">
        <f aca="false">ROW()-2</f>
        <v>2624</v>
      </c>
      <c r="B2626" s="3" t="n">
        <f aca="false">INT(A2626/$N$1)</f>
        <v>145</v>
      </c>
      <c r="C2626" s="3" t="n">
        <f aca="false">INT(MOD(A2626,$N$1) / 2)</f>
        <v>7</v>
      </c>
      <c r="D2626" s="3" t="n">
        <f aca="false">_xlfn.BITAND(A2626,1)</f>
        <v>0</v>
      </c>
      <c r="E2626" s="3"/>
      <c r="F2626" s="3" t="str">
        <f aca="false">DEC2HEX(B2626*$N$3*18)</f>
        <v>28C80</v>
      </c>
      <c r="G2626" s="3" t="str">
        <f aca="false">DEC2HEX(C2626*7)</f>
        <v>31</v>
      </c>
      <c r="H2626" s="3" t="n">
        <f aca="false">IF(D2626=0, 33, "cc")</f>
        <v>33</v>
      </c>
    </row>
    <row r="2627" customFormat="false" ht="18.65" hidden="false" customHeight="true" outlineLevel="0" collapsed="false">
      <c r="A2627" s="3" t="n">
        <f aca="false">ROW()-2</f>
        <v>2625</v>
      </c>
      <c r="B2627" s="3" t="n">
        <f aca="false">INT(A2627/$N$1)</f>
        <v>145</v>
      </c>
      <c r="C2627" s="3" t="n">
        <f aca="false">INT(MOD(A2627,$N$1) / 2)</f>
        <v>7</v>
      </c>
      <c r="D2627" s="3" t="n">
        <f aca="false">_xlfn.BITAND(A2627,1)</f>
        <v>1</v>
      </c>
      <c r="E2627" s="3"/>
      <c r="F2627" s="3" t="str">
        <f aca="false">DEC2HEX(B2627*$N$3*18)</f>
        <v>28C80</v>
      </c>
      <c r="G2627" s="3" t="str">
        <f aca="false">DEC2HEX(C2627*7)</f>
        <v>31</v>
      </c>
      <c r="H2627" s="3" t="str">
        <f aca="false">IF(D2627=0, 33, "cc")</f>
        <v>cc</v>
      </c>
    </row>
    <row r="2628" customFormat="false" ht="18.65" hidden="false" customHeight="true" outlineLevel="0" collapsed="false">
      <c r="A2628" s="3" t="n">
        <f aca="false">ROW()-2</f>
        <v>2626</v>
      </c>
      <c r="B2628" s="3" t="n">
        <f aca="false">INT(A2628/$N$1)</f>
        <v>145</v>
      </c>
      <c r="C2628" s="3" t="n">
        <f aca="false">INT(MOD(A2628,$N$1) / 2)</f>
        <v>8</v>
      </c>
      <c r="D2628" s="3" t="n">
        <f aca="false">_xlfn.BITAND(A2628,1)</f>
        <v>0</v>
      </c>
      <c r="E2628" s="3"/>
      <c r="F2628" s="3" t="str">
        <f aca="false">DEC2HEX(B2628*$N$3*18)</f>
        <v>28C80</v>
      </c>
      <c r="G2628" s="3" t="str">
        <f aca="false">DEC2HEX(C2628*7)</f>
        <v>38</v>
      </c>
      <c r="H2628" s="3" t="n">
        <f aca="false">IF(D2628=0, 33, "cc")</f>
        <v>33</v>
      </c>
    </row>
    <row r="2629" customFormat="false" ht="18.65" hidden="false" customHeight="true" outlineLevel="0" collapsed="false">
      <c r="A2629" s="3" t="n">
        <f aca="false">ROW()-2</f>
        <v>2627</v>
      </c>
      <c r="B2629" s="3" t="n">
        <f aca="false">INT(A2629/$N$1)</f>
        <v>145</v>
      </c>
      <c r="C2629" s="3" t="n">
        <f aca="false">INT(MOD(A2629,$N$1) / 2)</f>
        <v>8</v>
      </c>
      <c r="D2629" s="3" t="n">
        <f aca="false">_xlfn.BITAND(A2629,1)</f>
        <v>1</v>
      </c>
      <c r="E2629" s="3"/>
      <c r="F2629" s="3" t="str">
        <f aca="false">DEC2HEX(B2629*$N$3*18)</f>
        <v>28C80</v>
      </c>
      <c r="G2629" s="3" t="str">
        <f aca="false">DEC2HEX(C2629*7)</f>
        <v>38</v>
      </c>
      <c r="H2629" s="3" t="str">
        <f aca="false">IF(D2629=0, 33, "cc")</f>
        <v>cc</v>
      </c>
    </row>
    <row r="2630" customFormat="false" ht="18.65" hidden="false" customHeight="true" outlineLevel="0" collapsed="false">
      <c r="A2630" s="3" t="n">
        <f aca="false">ROW()-2</f>
        <v>2628</v>
      </c>
      <c r="B2630" s="3" t="n">
        <f aca="false">INT(A2630/$N$1)</f>
        <v>146</v>
      </c>
      <c r="C2630" s="3" t="n">
        <f aca="false">INT(MOD(A2630,$N$1) / 2)</f>
        <v>0</v>
      </c>
      <c r="D2630" s="3" t="n">
        <f aca="false">_xlfn.BITAND(A2630,1)</f>
        <v>0</v>
      </c>
      <c r="E2630" s="3"/>
      <c r="F2630" s="3" t="str">
        <f aca="false">DEC2HEX(B2630*$N$3*18)</f>
        <v>29100</v>
      </c>
      <c r="G2630" s="3" t="str">
        <f aca="false">DEC2HEX(C2630*7)</f>
        <v>0</v>
      </c>
      <c r="H2630" s="3" t="n">
        <f aca="false">IF(D2630=0, 33, "cc")</f>
        <v>33</v>
      </c>
    </row>
    <row r="2631" customFormat="false" ht="18.65" hidden="false" customHeight="true" outlineLevel="0" collapsed="false">
      <c r="A2631" s="3" t="n">
        <f aca="false">ROW()-2</f>
        <v>2629</v>
      </c>
      <c r="B2631" s="3" t="n">
        <f aca="false">INT(A2631/$N$1)</f>
        <v>146</v>
      </c>
      <c r="C2631" s="3" t="n">
        <f aca="false">INT(MOD(A2631,$N$1) / 2)</f>
        <v>0</v>
      </c>
      <c r="D2631" s="3" t="n">
        <f aca="false">_xlfn.BITAND(A2631,1)</f>
        <v>1</v>
      </c>
      <c r="E2631" s="3"/>
      <c r="F2631" s="3" t="str">
        <f aca="false">DEC2HEX(B2631*$N$3*18)</f>
        <v>29100</v>
      </c>
      <c r="G2631" s="3" t="str">
        <f aca="false">DEC2HEX(C2631*7)</f>
        <v>0</v>
      </c>
      <c r="H2631" s="3" t="str">
        <f aca="false">IF(D2631=0, 33, "cc")</f>
        <v>cc</v>
      </c>
    </row>
    <row r="2632" customFormat="false" ht="18.65" hidden="false" customHeight="true" outlineLevel="0" collapsed="false">
      <c r="A2632" s="3" t="n">
        <f aca="false">ROW()-2</f>
        <v>2630</v>
      </c>
      <c r="B2632" s="3" t="n">
        <f aca="false">INT(A2632/$N$1)</f>
        <v>146</v>
      </c>
      <c r="C2632" s="3" t="n">
        <f aca="false">INT(MOD(A2632,$N$1) / 2)</f>
        <v>1</v>
      </c>
      <c r="D2632" s="3" t="n">
        <f aca="false">_xlfn.BITAND(A2632,1)</f>
        <v>0</v>
      </c>
      <c r="E2632" s="3"/>
      <c r="F2632" s="3" t="str">
        <f aca="false">DEC2HEX(B2632*$N$3*18)</f>
        <v>29100</v>
      </c>
      <c r="G2632" s="3" t="str">
        <f aca="false">DEC2HEX(C2632*7)</f>
        <v>7</v>
      </c>
      <c r="H2632" s="3" t="n">
        <f aca="false">IF(D2632=0, 33, "cc")</f>
        <v>33</v>
      </c>
    </row>
    <row r="2633" customFormat="false" ht="18.65" hidden="false" customHeight="true" outlineLevel="0" collapsed="false">
      <c r="A2633" s="3" t="n">
        <f aca="false">ROW()-2</f>
        <v>2631</v>
      </c>
      <c r="B2633" s="3" t="n">
        <f aca="false">INT(A2633/$N$1)</f>
        <v>146</v>
      </c>
      <c r="C2633" s="3" t="n">
        <f aca="false">INT(MOD(A2633,$N$1) / 2)</f>
        <v>1</v>
      </c>
      <c r="D2633" s="3" t="n">
        <f aca="false">_xlfn.BITAND(A2633,1)</f>
        <v>1</v>
      </c>
      <c r="E2633" s="3"/>
      <c r="F2633" s="3" t="str">
        <f aca="false">DEC2HEX(B2633*$N$3*18)</f>
        <v>29100</v>
      </c>
      <c r="G2633" s="3" t="str">
        <f aca="false">DEC2HEX(C2633*7)</f>
        <v>7</v>
      </c>
      <c r="H2633" s="3" t="str">
        <f aca="false">IF(D2633=0, 33, "cc")</f>
        <v>cc</v>
      </c>
    </row>
    <row r="2634" customFormat="false" ht="18.65" hidden="false" customHeight="true" outlineLevel="0" collapsed="false">
      <c r="A2634" s="3" t="n">
        <f aca="false">ROW()-2</f>
        <v>2632</v>
      </c>
      <c r="B2634" s="3" t="n">
        <f aca="false">INT(A2634/$N$1)</f>
        <v>146</v>
      </c>
      <c r="C2634" s="3" t="n">
        <f aca="false">INT(MOD(A2634,$N$1) / 2)</f>
        <v>2</v>
      </c>
      <c r="D2634" s="3" t="n">
        <f aca="false">_xlfn.BITAND(A2634,1)</f>
        <v>0</v>
      </c>
      <c r="E2634" s="3"/>
      <c r="F2634" s="3" t="str">
        <f aca="false">DEC2HEX(B2634*$N$3*18)</f>
        <v>29100</v>
      </c>
      <c r="G2634" s="3" t="str">
        <f aca="false">DEC2HEX(C2634*7)</f>
        <v>E</v>
      </c>
      <c r="H2634" s="3" t="n">
        <f aca="false">IF(D2634=0, 33, "cc")</f>
        <v>33</v>
      </c>
    </row>
    <row r="2635" customFormat="false" ht="18.65" hidden="false" customHeight="true" outlineLevel="0" collapsed="false">
      <c r="A2635" s="3" t="n">
        <f aca="false">ROW()-2</f>
        <v>2633</v>
      </c>
      <c r="B2635" s="3" t="n">
        <f aca="false">INT(A2635/$N$1)</f>
        <v>146</v>
      </c>
      <c r="C2635" s="3" t="n">
        <f aca="false">INT(MOD(A2635,$N$1) / 2)</f>
        <v>2</v>
      </c>
      <c r="D2635" s="3" t="n">
        <f aca="false">_xlfn.BITAND(A2635,1)</f>
        <v>1</v>
      </c>
      <c r="E2635" s="3"/>
      <c r="F2635" s="3" t="str">
        <f aca="false">DEC2HEX(B2635*$N$3*18)</f>
        <v>29100</v>
      </c>
      <c r="G2635" s="3" t="str">
        <f aca="false">DEC2HEX(C2635*7)</f>
        <v>E</v>
      </c>
      <c r="H2635" s="3" t="str">
        <f aca="false">IF(D2635=0, 33, "cc")</f>
        <v>cc</v>
      </c>
    </row>
    <row r="2636" customFormat="false" ht="18.65" hidden="false" customHeight="true" outlineLevel="0" collapsed="false">
      <c r="A2636" s="3" t="n">
        <f aca="false">ROW()-2</f>
        <v>2634</v>
      </c>
      <c r="B2636" s="3" t="n">
        <f aca="false">INT(A2636/$N$1)</f>
        <v>146</v>
      </c>
      <c r="C2636" s="3" t="n">
        <f aca="false">INT(MOD(A2636,$N$1) / 2)</f>
        <v>3</v>
      </c>
      <c r="D2636" s="3" t="n">
        <f aca="false">_xlfn.BITAND(A2636,1)</f>
        <v>0</v>
      </c>
      <c r="E2636" s="3"/>
      <c r="F2636" s="3" t="str">
        <f aca="false">DEC2HEX(B2636*$N$3*18)</f>
        <v>29100</v>
      </c>
      <c r="G2636" s="3" t="str">
        <f aca="false">DEC2HEX(C2636*7)</f>
        <v>15</v>
      </c>
      <c r="H2636" s="3" t="n">
        <f aca="false">IF(D2636=0, 33, "cc")</f>
        <v>33</v>
      </c>
    </row>
    <row r="2637" customFormat="false" ht="18.65" hidden="false" customHeight="true" outlineLevel="0" collapsed="false">
      <c r="A2637" s="3" t="n">
        <f aca="false">ROW()-2</f>
        <v>2635</v>
      </c>
      <c r="B2637" s="3" t="n">
        <f aca="false">INT(A2637/$N$1)</f>
        <v>146</v>
      </c>
      <c r="C2637" s="3" t="n">
        <f aca="false">INT(MOD(A2637,$N$1) / 2)</f>
        <v>3</v>
      </c>
      <c r="D2637" s="3" t="n">
        <f aca="false">_xlfn.BITAND(A2637,1)</f>
        <v>1</v>
      </c>
      <c r="E2637" s="3"/>
      <c r="F2637" s="3" t="str">
        <f aca="false">DEC2HEX(B2637*$N$3*18)</f>
        <v>29100</v>
      </c>
      <c r="G2637" s="3" t="str">
        <f aca="false">DEC2HEX(C2637*7)</f>
        <v>15</v>
      </c>
      <c r="H2637" s="3" t="str">
        <f aca="false">IF(D2637=0, 33, "cc")</f>
        <v>cc</v>
      </c>
    </row>
    <row r="2638" customFormat="false" ht="18.65" hidden="false" customHeight="true" outlineLevel="0" collapsed="false">
      <c r="A2638" s="3" t="n">
        <f aca="false">ROW()-2</f>
        <v>2636</v>
      </c>
      <c r="B2638" s="3" t="n">
        <f aca="false">INT(A2638/$N$1)</f>
        <v>146</v>
      </c>
      <c r="C2638" s="3" t="n">
        <f aca="false">INT(MOD(A2638,$N$1) / 2)</f>
        <v>4</v>
      </c>
      <c r="D2638" s="3" t="n">
        <f aca="false">_xlfn.BITAND(A2638,1)</f>
        <v>0</v>
      </c>
      <c r="E2638" s="3"/>
      <c r="F2638" s="3" t="str">
        <f aca="false">DEC2HEX(B2638*$N$3*18)</f>
        <v>29100</v>
      </c>
      <c r="G2638" s="3" t="str">
        <f aca="false">DEC2HEX(C2638*7)</f>
        <v>1C</v>
      </c>
      <c r="H2638" s="3" t="n">
        <f aca="false">IF(D2638=0, 33, "cc")</f>
        <v>33</v>
      </c>
    </row>
    <row r="2639" customFormat="false" ht="18.65" hidden="false" customHeight="true" outlineLevel="0" collapsed="false">
      <c r="A2639" s="3" t="n">
        <f aca="false">ROW()-2</f>
        <v>2637</v>
      </c>
      <c r="B2639" s="3" t="n">
        <f aca="false">INT(A2639/$N$1)</f>
        <v>146</v>
      </c>
      <c r="C2639" s="3" t="n">
        <f aca="false">INT(MOD(A2639,$N$1) / 2)</f>
        <v>4</v>
      </c>
      <c r="D2639" s="3" t="n">
        <f aca="false">_xlfn.BITAND(A2639,1)</f>
        <v>1</v>
      </c>
      <c r="E2639" s="3"/>
      <c r="F2639" s="3" t="str">
        <f aca="false">DEC2HEX(B2639*$N$3*18)</f>
        <v>29100</v>
      </c>
      <c r="G2639" s="3" t="str">
        <f aca="false">DEC2HEX(C2639*7)</f>
        <v>1C</v>
      </c>
      <c r="H2639" s="3" t="str">
        <f aca="false">IF(D2639=0, 33, "cc")</f>
        <v>cc</v>
      </c>
    </row>
    <row r="2640" customFormat="false" ht="18.65" hidden="false" customHeight="true" outlineLevel="0" collapsed="false">
      <c r="A2640" s="3" t="n">
        <f aca="false">ROW()-2</f>
        <v>2638</v>
      </c>
      <c r="B2640" s="3" t="n">
        <f aca="false">INT(A2640/$N$1)</f>
        <v>146</v>
      </c>
      <c r="C2640" s="3" t="n">
        <f aca="false">INT(MOD(A2640,$N$1) / 2)</f>
        <v>5</v>
      </c>
      <c r="D2640" s="3" t="n">
        <f aca="false">_xlfn.BITAND(A2640,1)</f>
        <v>0</v>
      </c>
      <c r="E2640" s="3"/>
      <c r="F2640" s="3" t="str">
        <f aca="false">DEC2HEX(B2640*$N$3*18)</f>
        <v>29100</v>
      </c>
      <c r="G2640" s="3" t="str">
        <f aca="false">DEC2HEX(C2640*7)</f>
        <v>23</v>
      </c>
      <c r="H2640" s="3" t="n">
        <f aca="false">IF(D2640=0, 33, "cc")</f>
        <v>33</v>
      </c>
    </row>
    <row r="2641" customFormat="false" ht="18.65" hidden="false" customHeight="true" outlineLevel="0" collapsed="false">
      <c r="A2641" s="3" t="n">
        <f aca="false">ROW()-2</f>
        <v>2639</v>
      </c>
      <c r="B2641" s="3" t="n">
        <f aca="false">INT(A2641/$N$1)</f>
        <v>146</v>
      </c>
      <c r="C2641" s="3" t="n">
        <f aca="false">INT(MOD(A2641,$N$1) / 2)</f>
        <v>5</v>
      </c>
      <c r="D2641" s="3" t="n">
        <f aca="false">_xlfn.BITAND(A2641,1)</f>
        <v>1</v>
      </c>
      <c r="E2641" s="3"/>
      <c r="F2641" s="3" t="str">
        <f aca="false">DEC2HEX(B2641*$N$3*18)</f>
        <v>29100</v>
      </c>
      <c r="G2641" s="3" t="str">
        <f aca="false">DEC2HEX(C2641*7)</f>
        <v>23</v>
      </c>
      <c r="H2641" s="3" t="str">
        <f aca="false">IF(D2641=0, 33, "cc")</f>
        <v>cc</v>
      </c>
    </row>
    <row r="2642" customFormat="false" ht="18.65" hidden="false" customHeight="true" outlineLevel="0" collapsed="false">
      <c r="A2642" s="3" t="n">
        <f aca="false">ROW()-2</f>
        <v>2640</v>
      </c>
      <c r="B2642" s="3" t="n">
        <f aca="false">INT(A2642/$N$1)</f>
        <v>146</v>
      </c>
      <c r="C2642" s="3" t="n">
        <f aca="false">INT(MOD(A2642,$N$1) / 2)</f>
        <v>6</v>
      </c>
      <c r="D2642" s="3" t="n">
        <f aca="false">_xlfn.BITAND(A2642,1)</f>
        <v>0</v>
      </c>
      <c r="E2642" s="3"/>
      <c r="F2642" s="3" t="str">
        <f aca="false">DEC2HEX(B2642*$N$3*18)</f>
        <v>29100</v>
      </c>
      <c r="G2642" s="3" t="str">
        <f aca="false">DEC2HEX(C2642*7)</f>
        <v>2A</v>
      </c>
      <c r="H2642" s="3" t="n">
        <f aca="false">IF(D2642=0, 33, "cc")</f>
        <v>33</v>
      </c>
    </row>
    <row r="2643" customFormat="false" ht="18.65" hidden="false" customHeight="true" outlineLevel="0" collapsed="false">
      <c r="A2643" s="3" t="n">
        <f aca="false">ROW()-2</f>
        <v>2641</v>
      </c>
      <c r="B2643" s="3" t="n">
        <f aca="false">INT(A2643/$N$1)</f>
        <v>146</v>
      </c>
      <c r="C2643" s="3" t="n">
        <f aca="false">INT(MOD(A2643,$N$1) / 2)</f>
        <v>6</v>
      </c>
      <c r="D2643" s="3" t="n">
        <f aca="false">_xlfn.BITAND(A2643,1)</f>
        <v>1</v>
      </c>
      <c r="E2643" s="3"/>
      <c r="F2643" s="3" t="str">
        <f aca="false">DEC2HEX(B2643*$N$3*18)</f>
        <v>29100</v>
      </c>
      <c r="G2643" s="3" t="str">
        <f aca="false">DEC2HEX(C2643*7)</f>
        <v>2A</v>
      </c>
      <c r="H2643" s="3" t="str">
        <f aca="false">IF(D2643=0, 33, "cc")</f>
        <v>cc</v>
      </c>
    </row>
    <row r="2644" customFormat="false" ht="18.65" hidden="false" customHeight="true" outlineLevel="0" collapsed="false">
      <c r="A2644" s="3" t="n">
        <f aca="false">ROW()-2</f>
        <v>2642</v>
      </c>
      <c r="B2644" s="3" t="n">
        <f aca="false">INT(A2644/$N$1)</f>
        <v>146</v>
      </c>
      <c r="C2644" s="3" t="n">
        <f aca="false">INT(MOD(A2644,$N$1) / 2)</f>
        <v>7</v>
      </c>
      <c r="D2644" s="3" t="n">
        <f aca="false">_xlfn.BITAND(A2644,1)</f>
        <v>0</v>
      </c>
      <c r="E2644" s="3"/>
      <c r="F2644" s="3" t="str">
        <f aca="false">DEC2HEX(B2644*$N$3*18)</f>
        <v>29100</v>
      </c>
      <c r="G2644" s="3" t="str">
        <f aca="false">DEC2HEX(C2644*7)</f>
        <v>31</v>
      </c>
      <c r="H2644" s="3" t="n">
        <f aca="false">IF(D2644=0, 33, "cc")</f>
        <v>33</v>
      </c>
    </row>
    <row r="2645" customFormat="false" ht="18.65" hidden="false" customHeight="true" outlineLevel="0" collapsed="false">
      <c r="A2645" s="3" t="n">
        <f aca="false">ROW()-2</f>
        <v>2643</v>
      </c>
      <c r="B2645" s="3" t="n">
        <f aca="false">INT(A2645/$N$1)</f>
        <v>146</v>
      </c>
      <c r="C2645" s="3" t="n">
        <f aca="false">INT(MOD(A2645,$N$1) / 2)</f>
        <v>7</v>
      </c>
      <c r="D2645" s="3" t="n">
        <f aca="false">_xlfn.BITAND(A2645,1)</f>
        <v>1</v>
      </c>
      <c r="E2645" s="3"/>
      <c r="F2645" s="3" t="str">
        <f aca="false">DEC2HEX(B2645*$N$3*18)</f>
        <v>29100</v>
      </c>
      <c r="G2645" s="3" t="str">
        <f aca="false">DEC2HEX(C2645*7)</f>
        <v>31</v>
      </c>
      <c r="H2645" s="3" t="str">
        <f aca="false">IF(D2645=0, 33, "cc")</f>
        <v>cc</v>
      </c>
    </row>
    <row r="2646" customFormat="false" ht="18.65" hidden="false" customHeight="true" outlineLevel="0" collapsed="false">
      <c r="A2646" s="3" t="n">
        <f aca="false">ROW()-2</f>
        <v>2644</v>
      </c>
      <c r="B2646" s="3" t="n">
        <f aca="false">INT(A2646/$N$1)</f>
        <v>146</v>
      </c>
      <c r="C2646" s="3" t="n">
        <f aca="false">INT(MOD(A2646,$N$1) / 2)</f>
        <v>8</v>
      </c>
      <c r="D2646" s="3" t="n">
        <f aca="false">_xlfn.BITAND(A2646,1)</f>
        <v>0</v>
      </c>
      <c r="E2646" s="3"/>
      <c r="F2646" s="3" t="str">
        <f aca="false">DEC2HEX(B2646*$N$3*18)</f>
        <v>29100</v>
      </c>
      <c r="G2646" s="3" t="str">
        <f aca="false">DEC2HEX(C2646*7)</f>
        <v>38</v>
      </c>
      <c r="H2646" s="3" t="n">
        <f aca="false">IF(D2646=0, 33, "cc")</f>
        <v>33</v>
      </c>
    </row>
    <row r="2647" customFormat="false" ht="18.65" hidden="false" customHeight="true" outlineLevel="0" collapsed="false">
      <c r="A2647" s="3" t="n">
        <f aca="false">ROW()-2</f>
        <v>2645</v>
      </c>
      <c r="B2647" s="3" t="n">
        <f aca="false">INT(A2647/$N$1)</f>
        <v>146</v>
      </c>
      <c r="C2647" s="3" t="n">
        <f aca="false">INT(MOD(A2647,$N$1) / 2)</f>
        <v>8</v>
      </c>
      <c r="D2647" s="3" t="n">
        <f aca="false">_xlfn.BITAND(A2647,1)</f>
        <v>1</v>
      </c>
      <c r="E2647" s="3"/>
      <c r="F2647" s="3" t="str">
        <f aca="false">DEC2HEX(B2647*$N$3*18)</f>
        <v>29100</v>
      </c>
      <c r="G2647" s="3" t="str">
        <f aca="false">DEC2HEX(C2647*7)</f>
        <v>38</v>
      </c>
      <c r="H2647" s="3" t="str">
        <f aca="false">IF(D2647=0, 33, "cc")</f>
        <v>cc</v>
      </c>
    </row>
    <row r="2648" customFormat="false" ht="18.65" hidden="false" customHeight="true" outlineLevel="0" collapsed="false">
      <c r="A2648" s="3" t="n">
        <f aca="false">ROW()-2</f>
        <v>2646</v>
      </c>
      <c r="B2648" s="3" t="n">
        <f aca="false">INT(A2648/$N$1)</f>
        <v>147</v>
      </c>
      <c r="C2648" s="3" t="n">
        <f aca="false">INT(MOD(A2648,$N$1) / 2)</f>
        <v>0</v>
      </c>
      <c r="D2648" s="3" t="n">
        <f aca="false">_xlfn.BITAND(A2648,1)</f>
        <v>0</v>
      </c>
      <c r="E2648" s="3"/>
      <c r="F2648" s="3" t="str">
        <f aca="false">DEC2HEX(B2648*$N$3*18)</f>
        <v>29580</v>
      </c>
      <c r="G2648" s="3" t="str">
        <f aca="false">DEC2HEX(C2648*7)</f>
        <v>0</v>
      </c>
      <c r="H2648" s="3" t="n">
        <f aca="false">IF(D2648=0, 33, "cc")</f>
        <v>33</v>
      </c>
    </row>
    <row r="2649" customFormat="false" ht="18.65" hidden="false" customHeight="true" outlineLevel="0" collapsed="false">
      <c r="A2649" s="3" t="n">
        <f aca="false">ROW()-2</f>
        <v>2647</v>
      </c>
      <c r="B2649" s="3" t="n">
        <f aca="false">INT(A2649/$N$1)</f>
        <v>147</v>
      </c>
      <c r="C2649" s="3" t="n">
        <f aca="false">INT(MOD(A2649,$N$1) / 2)</f>
        <v>0</v>
      </c>
      <c r="D2649" s="3" t="n">
        <f aca="false">_xlfn.BITAND(A2649,1)</f>
        <v>1</v>
      </c>
      <c r="E2649" s="3"/>
      <c r="F2649" s="3" t="str">
        <f aca="false">DEC2HEX(B2649*$N$3*18)</f>
        <v>29580</v>
      </c>
      <c r="G2649" s="3" t="str">
        <f aca="false">DEC2HEX(C2649*7)</f>
        <v>0</v>
      </c>
      <c r="H2649" s="3" t="str">
        <f aca="false">IF(D2649=0, 33, "cc")</f>
        <v>cc</v>
      </c>
    </row>
    <row r="2650" customFormat="false" ht="18.65" hidden="false" customHeight="true" outlineLevel="0" collapsed="false">
      <c r="A2650" s="3" t="n">
        <f aca="false">ROW()-2</f>
        <v>2648</v>
      </c>
      <c r="B2650" s="3" t="n">
        <f aca="false">INT(A2650/$N$1)</f>
        <v>147</v>
      </c>
      <c r="C2650" s="3" t="n">
        <f aca="false">INT(MOD(A2650,$N$1) / 2)</f>
        <v>1</v>
      </c>
      <c r="D2650" s="3" t="n">
        <f aca="false">_xlfn.BITAND(A2650,1)</f>
        <v>0</v>
      </c>
      <c r="E2650" s="3"/>
      <c r="F2650" s="3" t="str">
        <f aca="false">DEC2HEX(B2650*$N$3*18)</f>
        <v>29580</v>
      </c>
      <c r="G2650" s="3" t="str">
        <f aca="false">DEC2HEX(C2650*7)</f>
        <v>7</v>
      </c>
      <c r="H2650" s="3" t="n">
        <f aca="false">IF(D2650=0, 33, "cc")</f>
        <v>33</v>
      </c>
    </row>
    <row r="2651" customFormat="false" ht="18.65" hidden="false" customHeight="true" outlineLevel="0" collapsed="false">
      <c r="A2651" s="3" t="n">
        <f aca="false">ROW()-2</f>
        <v>2649</v>
      </c>
      <c r="B2651" s="3" t="n">
        <f aca="false">INT(A2651/$N$1)</f>
        <v>147</v>
      </c>
      <c r="C2651" s="3" t="n">
        <f aca="false">INT(MOD(A2651,$N$1) / 2)</f>
        <v>1</v>
      </c>
      <c r="D2651" s="3" t="n">
        <f aca="false">_xlfn.BITAND(A2651,1)</f>
        <v>1</v>
      </c>
      <c r="E2651" s="3"/>
      <c r="F2651" s="3" t="str">
        <f aca="false">DEC2HEX(B2651*$N$3*18)</f>
        <v>29580</v>
      </c>
      <c r="G2651" s="3" t="str">
        <f aca="false">DEC2HEX(C2651*7)</f>
        <v>7</v>
      </c>
      <c r="H2651" s="3" t="str">
        <f aca="false">IF(D2651=0, 33, "cc")</f>
        <v>cc</v>
      </c>
    </row>
    <row r="2652" customFormat="false" ht="18.65" hidden="false" customHeight="true" outlineLevel="0" collapsed="false">
      <c r="A2652" s="3" t="n">
        <f aca="false">ROW()-2</f>
        <v>2650</v>
      </c>
      <c r="B2652" s="3" t="n">
        <f aca="false">INT(A2652/$N$1)</f>
        <v>147</v>
      </c>
      <c r="C2652" s="3" t="n">
        <f aca="false">INT(MOD(A2652,$N$1) / 2)</f>
        <v>2</v>
      </c>
      <c r="D2652" s="3" t="n">
        <f aca="false">_xlfn.BITAND(A2652,1)</f>
        <v>0</v>
      </c>
      <c r="E2652" s="3"/>
      <c r="F2652" s="3" t="str">
        <f aca="false">DEC2HEX(B2652*$N$3*18)</f>
        <v>29580</v>
      </c>
      <c r="G2652" s="3" t="str">
        <f aca="false">DEC2HEX(C2652*7)</f>
        <v>E</v>
      </c>
      <c r="H2652" s="3" t="n">
        <f aca="false">IF(D2652=0, 33, "cc")</f>
        <v>33</v>
      </c>
    </row>
    <row r="2653" customFormat="false" ht="18.65" hidden="false" customHeight="true" outlineLevel="0" collapsed="false">
      <c r="A2653" s="3" t="n">
        <f aca="false">ROW()-2</f>
        <v>2651</v>
      </c>
      <c r="B2653" s="3" t="n">
        <f aca="false">INT(A2653/$N$1)</f>
        <v>147</v>
      </c>
      <c r="C2653" s="3" t="n">
        <f aca="false">INT(MOD(A2653,$N$1) / 2)</f>
        <v>2</v>
      </c>
      <c r="D2653" s="3" t="n">
        <f aca="false">_xlfn.BITAND(A2653,1)</f>
        <v>1</v>
      </c>
      <c r="E2653" s="3"/>
      <c r="F2653" s="3" t="str">
        <f aca="false">DEC2HEX(B2653*$N$3*18)</f>
        <v>29580</v>
      </c>
      <c r="G2653" s="3" t="str">
        <f aca="false">DEC2HEX(C2653*7)</f>
        <v>E</v>
      </c>
      <c r="H2653" s="3" t="str">
        <f aca="false">IF(D2653=0, 33, "cc")</f>
        <v>cc</v>
      </c>
    </row>
    <row r="2654" customFormat="false" ht="18.65" hidden="false" customHeight="true" outlineLevel="0" collapsed="false">
      <c r="A2654" s="3" t="n">
        <f aca="false">ROW()-2</f>
        <v>2652</v>
      </c>
      <c r="B2654" s="3" t="n">
        <f aca="false">INT(A2654/$N$1)</f>
        <v>147</v>
      </c>
      <c r="C2654" s="3" t="n">
        <f aca="false">INT(MOD(A2654,$N$1) / 2)</f>
        <v>3</v>
      </c>
      <c r="D2654" s="3" t="n">
        <f aca="false">_xlfn.BITAND(A2654,1)</f>
        <v>0</v>
      </c>
      <c r="E2654" s="3"/>
      <c r="F2654" s="3" t="str">
        <f aca="false">DEC2HEX(B2654*$N$3*18)</f>
        <v>29580</v>
      </c>
      <c r="G2654" s="3" t="str">
        <f aca="false">DEC2HEX(C2654*7)</f>
        <v>15</v>
      </c>
      <c r="H2654" s="3" t="n">
        <f aca="false">IF(D2654=0, 33, "cc")</f>
        <v>33</v>
      </c>
    </row>
    <row r="2655" customFormat="false" ht="18.65" hidden="false" customHeight="true" outlineLevel="0" collapsed="false">
      <c r="A2655" s="3" t="n">
        <f aca="false">ROW()-2</f>
        <v>2653</v>
      </c>
      <c r="B2655" s="3" t="n">
        <f aca="false">INT(A2655/$N$1)</f>
        <v>147</v>
      </c>
      <c r="C2655" s="3" t="n">
        <f aca="false">INT(MOD(A2655,$N$1) / 2)</f>
        <v>3</v>
      </c>
      <c r="D2655" s="3" t="n">
        <f aca="false">_xlfn.BITAND(A2655,1)</f>
        <v>1</v>
      </c>
      <c r="E2655" s="3"/>
      <c r="F2655" s="3" t="str">
        <f aca="false">DEC2HEX(B2655*$N$3*18)</f>
        <v>29580</v>
      </c>
      <c r="G2655" s="3" t="str">
        <f aca="false">DEC2HEX(C2655*7)</f>
        <v>15</v>
      </c>
      <c r="H2655" s="3" t="str">
        <f aca="false">IF(D2655=0, 33, "cc")</f>
        <v>cc</v>
      </c>
    </row>
    <row r="2656" customFormat="false" ht="18.65" hidden="false" customHeight="true" outlineLevel="0" collapsed="false">
      <c r="A2656" s="3" t="n">
        <f aca="false">ROW()-2</f>
        <v>2654</v>
      </c>
      <c r="B2656" s="3" t="n">
        <f aca="false">INT(A2656/$N$1)</f>
        <v>147</v>
      </c>
      <c r="C2656" s="3" t="n">
        <f aca="false">INT(MOD(A2656,$N$1) / 2)</f>
        <v>4</v>
      </c>
      <c r="D2656" s="3" t="n">
        <f aca="false">_xlfn.BITAND(A2656,1)</f>
        <v>0</v>
      </c>
      <c r="E2656" s="3"/>
      <c r="F2656" s="3" t="str">
        <f aca="false">DEC2HEX(B2656*$N$3*18)</f>
        <v>29580</v>
      </c>
      <c r="G2656" s="3" t="str">
        <f aca="false">DEC2HEX(C2656*7)</f>
        <v>1C</v>
      </c>
      <c r="H2656" s="3" t="n">
        <f aca="false">IF(D2656=0, 33, "cc")</f>
        <v>33</v>
      </c>
    </row>
    <row r="2657" customFormat="false" ht="18.65" hidden="false" customHeight="true" outlineLevel="0" collapsed="false">
      <c r="A2657" s="3" t="n">
        <f aca="false">ROW()-2</f>
        <v>2655</v>
      </c>
      <c r="B2657" s="3" t="n">
        <f aca="false">INT(A2657/$N$1)</f>
        <v>147</v>
      </c>
      <c r="C2657" s="3" t="n">
        <f aca="false">INT(MOD(A2657,$N$1) / 2)</f>
        <v>4</v>
      </c>
      <c r="D2657" s="3" t="n">
        <f aca="false">_xlfn.BITAND(A2657,1)</f>
        <v>1</v>
      </c>
      <c r="E2657" s="3"/>
      <c r="F2657" s="3" t="str">
        <f aca="false">DEC2HEX(B2657*$N$3*18)</f>
        <v>29580</v>
      </c>
      <c r="G2657" s="3" t="str">
        <f aca="false">DEC2HEX(C2657*7)</f>
        <v>1C</v>
      </c>
      <c r="H2657" s="3" t="str">
        <f aca="false">IF(D2657=0, 33, "cc")</f>
        <v>cc</v>
      </c>
    </row>
    <row r="2658" customFormat="false" ht="18.65" hidden="false" customHeight="true" outlineLevel="0" collapsed="false">
      <c r="A2658" s="3" t="n">
        <f aca="false">ROW()-2</f>
        <v>2656</v>
      </c>
      <c r="B2658" s="3" t="n">
        <f aca="false">INT(A2658/$N$1)</f>
        <v>147</v>
      </c>
      <c r="C2658" s="3" t="n">
        <f aca="false">INT(MOD(A2658,$N$1) / 2)</f>
        <v>5</v>
      </c>
      <c r="D2658" s="3" t="n">
        <f aca="false">_xlfn.BITAND(A2658,1)</f>
        <v>0</v>
      </c>
      <c r="E2658" s="3"/>
      <c r="F2658" s="3" t="str">
        <f aca="false">DEC2HEX(B2658*$N$3*18)</f>
        <v>29580</v>
      </c>
      <c r="G2658" s="3" t="str">
        <f aca="false">DEC2HEX(C2658*7)</f>
        <v>23</v>
      </c>
      <c r="H2658" s="3" t="n">
        <f aca="false">IF(D2658=0, 33, "cc")</f>
        <v>33</v>
      </c>
    </row>
    <row r="2659" customFormat="false" ht="18.65" hidden="false" customHeight="true" outlineLevel="0" collapsed="false">
      <c r="A2659" s="3" t="n">
        <f aca="false">ROW()-2</f>
        <v>2657</v>
      </c>
      <c r="B2659" s="3" t="n">
        <f aca="false">INT(A2659/$N$1)</f>
        <v>147</v>
      </c>
      <c r="C2659" s="3" t="n">
        <f aca="false">INT(MOD(A2659,$N$1) / 2)</f>
        <v>5</v>
      </c>
      <c r="D2659" s="3" t="n">
        <f aca="false">_xlfn.BITAND(A2659,1)</f>
        <v>1</v>
      </c>
      <c r="E2659" s="3"/>
      <c r="F2659" s="3" t="str">
        <f aca="false">DEC2HEX(B2659*$N$3*18)</f>
        <v>29580</v>
      </c>
      <c r="G2659" s="3" t="str">
        <f aca="false">DEC2HEX(C2659*7)</f>
        <v>23</v>
      </c>
      <c r="H2659" s="3" t="str">
        <f aca="false">IF(D2659=0, 33, "cc")</f>
        <v>cc</v>
      </c>
    </row>
    <row r="2660" customFormat="false" ht="18.65" hidden="false" customHeight="true" outlineLevel="0" collapsed="false">
      <c r="A2660" s="3" t="n">
        <f aca="false">ROW()-2</f>
        <v>2658</v>
      </c>
      <c r="B2660" s="3" t="n">
        <f aca="false">INT(A2660/$N$1)</f>
        <v>147</v>
      </c>
      <c r="C2660" s="3" t="n">
        <f aca="false">INT(MOD(A2660,$N$1) / 2)</f>
        <v>6</v>
      </c>
      <c r="D2660" s="3" t="n">
        <f aca="false">_xlfn.BITAND(A2660,1)</f>
        <v>0</v>
      </c>
      <c r="E2660" s="3"/>
      <c r="F2660" s="3" t="str">
        <f aca="false">DEC2HEX(B2660*$N$3*18)</f>
        <v>29580</v>
      </c>
      <c r="G2660" s="3" t="str">
        <f aca="false">DEC2HEX(C2660*7)</f>
        <v>2A</v>
      </c>
      <c r="H2660" s="3" t="n">
        <f aca="false">IF(D2660=0, 33, "cc")</f>
        <v>33</v>
      </c>
    </row>
    <row r="2661" customFormat="false" ht="18.65" hidden="false" customHeight="true" outlineLevel="0" collapsed="false">
      <c r="A2661" s="3" t="n">
        <f aca="false">ROW()-2</f>
        <v>2659</v>
      </c>
      <c r="B2661" s="3" t="n">
        <f aca="false">INT(A2661/$N$1)</f>
        <v>147</v>
      </c>
      <c r="C2661" s="3" t="n">
        <f aca="false">INT(MOD(A2661,$N$1) / 2)</f>
        <v>6</v>
      </c>
      <c r="D2661" s="3" t="n">
        <f aca="false">_xlfn.BITAND(A2661,1)</f>
        <v>1</v>
      </c>
      <c r="E2661" s="3"/>
      <c r="F2661" s="3" t="str">
        <f aca="false">DEC2HEX(B2661*$N$3*18)</f>
        <v>29580</v>
      </c>
      <c r="G2661" s="3" t="str">
        <f aca="false">DEC2HEX(C2661*7)</f>
        <v>2A</v>
      </c>
      <c r="H2661" s="3" t="str">
        <f aca="false">IF(D2661=0, 33, "cc")</f>
        <v>cc</v>
      </c>
    </row>
    <row r="2662" customFormat="false" ht="18.65" hidden="false" customHeight="true" outlineLevel="0" collapsed="false">
      <c r="A2662" s="3" t="n">
        <f aca="false">ROW()-2</f>
        <v>2660</v>
      </c>
      <c r="B2662" s="3" t="n">
        <f aca="false">INT(A2662/$N$1)</f>
        <v>147</v>
      </c>
      <c r="C2662" s="3" t="n">
        <f aca="false">INT(MOD(A2662,$N$1) / 2)</f>
        <v>7</v>
      </c>
      <c r="D2662" s="3" t="n">
        <f aca="false">_xlfn.BITAND(A2662,1)</f>
        <v>0</v>
      </c>
      <c r="E2662" s="3"/>
      <c r="F2662" s="3" t="str">
        <f aca="false">DEC2HEX(B2662*$N$3*18)</f>
        <v>29580</v>
      </c>
      <c r="G2662" s="3" t="str">
        <f aca="false">DEC2HEX(C2662*7)</f>
        <v>31</v>
      </c>
      <c r="H2662" s="3" t="n">
        <f aca="false">IF(D2662=0, 33, "cc")</f>
        <v>33</v>
      </c>
    </row>
    <row r="2663" customFormat="false" ht="18.65" hidden="false" customHeight="true" outlineLevel="0" collapsed="false">
      <c r="A2663" s="3" t="n">
        <f aca="false">ROW()-2</f>
        <v>2661</v>
      </c>
      <c r="B2663" s="3" t="n">
        <f aca="false">INT(A2663/$N$1)</f>
        <v>147</v>
      </c>
      <c r="C2663" s="3" t="n">
        <f aca="false">INT(MOD(A2663,$N$1) / 2)</f>
        <v>7</v>
      </c>
      <c r="D2663" s="3" t="n">
        <f aca="false">_xlfn.BITAND(A2663,1)</f>
        <v>1</v>
      </c>
      <c r="E2663" s="3"/>
      <c r="F2663" s="3" t="str">
        <f aca="false">DEC2HEX(B2663*$N$3*18)</f>
        <v>29580</v>
      </c>
      <c r="G2663" s="3" t="str">
        <f aca="false">DEC2HEX(C2663*7)</f>
        <v>31</v>
      </c>
      <c r="H2663" s="3" t="str">
        <f aca="false">IF(D2663=0, 33, "cc")</f>
        <v>cc</v>
      </c>
    </row>
    <row r="2664" customFormat="false" ht="18.65" hidden="false" customHeight="true" outlineLevel="0" collapsed="false">
      <c r="A2664" s="3" t="n">
        <f aca="false">ROW()-2</f>
        <v>2662</v>
      </c>
      <c r="B2664" s="3" t="n">
        <f aca="false">INT(A2664/$N$1)</f>
        <v>147</v>
      </c>
      <c r="C2664" s="3" t="n">
        <f aca="false">INT(MOD(A2664,$N$1) / 2)</f>
        <v>8</v>
      </c>
      <c r="D2664" s="3" t="n">
        <f aca="false">_xlfn.BITAND(A2664,1)</f>
        <v>0</v>
      </c>
      <c r="E2664" s="3"/>
      <c r="F2664" s="3" t="str">
        <f aca="false">DEC2HEX(B2664*$N$3*18)</f>
        <v>29580</v>
      </c>
      <c r="G2664" s="3" t="str">
        <f aca="false">DEC2HEX(C2664*7)</f>
        <v>38</v>
      </c>
      <c r="H2664" s="3" t="n">
        <f aca="false">IF(D2664=0, 33, "cc")</f>
        <v>33</v>
      </c>
    </row>
    <row r="2665" customFormat="false" ht="18.65" hidden="false" customHeight="true" outlineLevel="0" collapsed="false">
      <c r="A2665" s="3" t="n">
        <f aca="false">ROW()-2</f>
        <v>2663</v>
      </c>
      <c r="B2665" s="3" t="n">
        <f aca="false">INT(A2665/$N$1)</f>
        <v>147</v>
      </c>
      <c r="C2665" s="3" t="n">
        <f aca="false">INT(MOD(A2665,$N$1) / 2)</f>
        <v>8</v>
      </c>
      <c r="D2665" s="3" t="n">
        <f aca="false">_xlfn.BITAND(A2665,1)</f>
        <v>1</v>
      </c>
      <c r="E2665" s="3"/>
      <c r="F2665" s="3" t="str">
        <f aca="false">DEC2HEX(B2665*$N$3*18)</f>
        <v>29580</v>
      </c>
      <c r="G2665" s="3" t="str">
        <f aca="false">DEC2HEX(C2665*7)</f>
        <v>38</v>
      </c>
      <c r="H2665" s="3" t="str">
        <f aca="false">IF(D2665=0, 33, "cc")</f>
        <v>cc</v>
      </c>
    </row>
    <row r="2666" customFormat="false" ht="18.65" hidden="false" customHeight="true" outlineLevel="0" collapsed="false">
      <c r="A2666" s="3" t="n">
        <f aca="false">ROW()-2</f>
        <v>2664</v>
      </c>
      <c r="B2666" s="3" t="n">
        <f aca="false">INT(A2666/$N$1)</f>
        <v>148</v>
      </c>
      <c r="C2666" s="3" t="n">
        <f aca="false">INT(MOD(A2666,$N$1) / 2)</f>
        <v>0</v>
      </c>
      <c r="D2666" s="3" t="n">
        <f aca="false">_xlfn.BITAND(A2666,1)</f>
        <v>0</v>
      </c>
      <c r="E2666" s="3"/>
      <c r="F2666" s="3" t="str">
        <f aca="false">DEC2HEX(B2666*$N$3*18)</f>
        <v>29A00</v>
      </c>
      <c r="G2666" s="3" t="str">
        <f aca="false">DEC2HEX(C2666*7)</f>
        <v>0</v>
      </c>
      <c r="H2666" s="3" t="n">
        <f aca="false">IF(D2666=0, 33, "cc")</f>
        <v>33</v>
      </c>
    </row>
    <row r="2667" customFormat="false" ht="18.65" hidden="false" customHeight="true" outlineLevel="0" collapsed="false">
      <c r="A2667" s="3" t="n">
        <f aca="false">ROW()-2</f>
        <v>2665</v>
      </c>
      <c r="B2667" s="3" t="n">
        <f aca="false">INT(A2667/$N$1)</f>
        <v>148</v>
      </c>
      <c r="C2667" s="3" t="n">
        <f aca="false">INT(MOD(A2667,$N$1) / 2)</f>
        <v>0</v>
      </c>
      <c r="D2667" s="3" t="n">
        <f aca="false">_xlfn.BITAND(A2667,1)</f>
        <v>1</v>
      </c>
      <c r="E2667" s="3"/>
      <c r="F2667" s="3" t="str">
        <f aca="false">DEC2HEX(B2667*$N$3*18)</f>
        <v>29A00</v>
      </c>
      <c r="G2667" s="3" t="str">
        <f aca="false">DEC2HEX(C2667*7)</f>
        <v>0</v>
      </c>
      <c r="H2667" s="3" t="str">
        <f aca="false">IF(D2667=0, 33, "cc")</f>
        <v>cc</v>
      </c>
    </row>
    <row r="2668" customFormat="false" ht="18.65" hidden="false" customHeight="true" outlineLevel="0" collapsed="false">
      <c r="A2668" s="3" t="n">
        <f aca="false">ROW()-2</f>
        <v>2666</v>
      </c>
      <c r="B2668" s="3" t="n">
        <f aca="false">INT(A2668/$N$1)</f>
        <v>148</v>
      </c>
      <c r="C2668" s="3" t="n">
        <f aca="false">INT(MOD(A2668,$N$1) / 2)</f>
        <v>1</v>
      </c>
      <c r="D2668" s="3" t="n">
        <f aca="false">_xlfn.BITAND(A2668,1)</f>
        <v>0</v>
      </c>
      <c r="E2668" s="3"/>
      <c r="F2668" s="3" t="str">
        <f aca="false">DEC2HEX(B2668*$N$3*18)</f>
        <v>29A00</v>
      </c>
      <c r="G2668" s="3" t="str">
        <f aca="false">DEC2HEX(C2668*7)</f>
        <v>7</v>
      </c>
      <c r="H2668" s="3" t="n">
        <f aca="false">IF(D2668=0, 33, "cc")</f>
        <v>33</v>
      </c>
    </row>
    <row r="2669" customFormat="false" ht="18.65" hidden="false" customHeight="true" outlineLevel="0" collapsed="false">
      <c r="A2669" s="3" t="n">
        <f aca="false">ROW()-2</f>
        <v>2667</v>
      </c>
      <c r="B2669" s="3" t="n">
        <f aca="false">INT(A2669/$N$1)</f>
        <v>148</v>
      </c>
      <c r="C2669" s="3" t="n">
        <f aca="false">INT(MOD(A2669,$N$1) / 2)</f>
        <v>1</v>
      </c>
      <c r="D2669" s="3" t="n">
        <f aca="false">_xlfn.BITAND(A2669,1)</f>
        <v>1</v>
      </c>
      <c r="E2669" s="3"/>
      <c r="F2669" s="3" t="str">
        <f aca="false">DEC2HEX(B2669*$N$3*18)</f>
        <v>29A00</v>
      </c>
      <c r="G2669" s="3" t="str">
        <f aca="false">DEC2HEX(C2669*7)</f>
        <v>7</v>
      </c>
      <c r="H2669" s="3" t="str">
        <f aca="false">IF(D2669=0, 33, "cc")</f>
        <v>cc</v>
      </c>
    </row>
    <row r="2670" customFormat="false" ht="18.65" hidden="false" customHeight="true" outlineLevel="0" collapsed="false">
      <c r="A2670" s="3" t="n">
        <f aca="false">ROW()-2</f>
        <v>2668</v>
      </c>
      <c r="B2670" s="3" t="n">
        <f aca="false">INT(A2670/$N$1)</f>
        <v>148</v>
      </c>
      <c r="C2670" s="3" t="n">
        <f aca="false">INT(MOD(A2670,$N$1) / 2)</f>
        <v>2</v>
      </c>
      <c r="D2670" s="3" t="n">
        <f aca="false">_xlfn.BITAND(A2670,1)</f>
        <v>0</v>
      </c>
      <c r="E2670" s="3"/>
      <c r="F2670" s="3" t="str">
        <f aca="false">DEC2HEX(B2670*$N$3*18)</f>
        <v>29A00</v>
      </c>
      <c r="G2670" s="3" t="str">
        <f aca="false">DEC2HEX(C2670*7)</f>
        <v>E</v>
      </c>
      <c r="H2670" s="3" t="n">
        <f aca="false">IF(D2670=0, 33, "cc")</f>
        <v>33</v>
      </c>
    </row>
    <row r="2671" customFormat="false" ht="18.65" hidden="false" customHeight="true" outlineLevel="0" collapsed="false">
      <c r="A2671" s="3" t="n">
        <f aca="false">ROW()-2</f>
        <v>2669</v>
      </c>
      <c r="B2671" s="3" t="n">
        <f aca="false">INT(A2671/$N$1)</f>
        <v>148</v>
      </c>
      <c r="C2671" s="3" t="n">
        <f aca="false">INT(MOD(A2671,$N$1) / 2)</f>
        <v>2</v>
      </c>
      <c r="D2671" s="3" t="n">
        <f aca="false">_xlfn.BITAND(A2671,1)</f>
        <v>1</v>
      </c>
      <c r="E2671" s="3"/>
      <c r="F2671" s="3" t="str">
        <f aca="false">DEC2HEX(B2671*$N$3*18)</f>
        <v>29A00</v>
      </c>
      <c r="G2671" s="3" t="str">
        <f aca="false">DEC2HEX(C2671*7)</f>
        <v>E</v>
      </c>
      <c r="H2671" s="3" t="str">
        <f aca="false">IF(D2671=0, 33, "cc")</f>
        <v>cc</v>
      </c>
    </row>
    <row r="2672" customFormat="false" ht="18.65" hidden="false" customHeight="true" outlineLevel="0" collapsed="false">
      <c r="A2672" s="3" t="n">
        <f aca="false">ROW()-2</f>
        <v>2670</v>
      </c>
      <c r="B2672" s="3" t="n">
        <f aca="false">INT(A2672/$N$1)</f>
        <v>148</v>
      </c>
      <c r="C2672" s="3" t="n">
        <f aca="false">INT(MOD(A2672,$N$1) / 2)</f>
        <v>3</v>
      </c>
      <c r="D2672" s="3" t="n">
        <f aca="false">_xlfn.BITAND(A2672,1)</f>
        <v>0</v>
      </c>
      <c r="E2672" s="3"/>
      <c r="F2672" s="3" t="str">
        <f aca="false">DEC2HEX(B2672*$N$3*18)</f>
        <v>29A00</v>
      </c>
      <c r="G2672" s="3" t="str">
        <f aca="false">DEC2HEX(C2672*7)</f>
        <v>15</v>
      </c>
      <c r="H2672" s="3" t="n">
        <f aca="false">IF(D2672=0, 33, "cc")</f>
        <v>33</v>
      </c>
    </row>
    <row r="2673" customFormat="false" ht="18.65" hidden="false" customHeight="true" outlineLevel="0" collapsed="false">
      <c r="A2673" s="3" t="n">
        <f aca="false">ROW()-2</f>
        <v>2671</v>
      </c>
      <c r="B2673" s="3" t="n">
        <f aca="false">INT(A2673/$N$1)</f>
        <v>148</v>
      </c>
      <c r="C2673" s="3" t="n">
        <f aca="false">INT(MOD(A2673,$N$1) / 2)</f>
        <v>3</v>
      </c>
      <c r="D2673" s="3" t="n">
        <f aca="false">_xlfn.BITAND(A2673,1)</f>
        <v>1</v>
      </c>
      <c r="E2673" s="3"/>
      <c r="F2673" s="3" t="str">
        <f aca="false">DEC2HEX(B2673*$N$3*18)</f>
        <v>29A00</v>
      </c>
      <c r="G2673" s="3" t="str">
        <f aca="false">DEC2HEX(C2673*7)</f>
        <v>15</v>
      </c>
      <c r="H2673" s="3" t="str">
        <f aca="false">IF(D2673=0, 33, "cc")</f>
        <v>cc</v>
      </c>
    </row>
    <row r="2674" customFormat="false" ht="18.65" hidden="false" customHeight="true" outlineLevel="0" collapsed="false">
      <c r="A2674" s="3" t="n">
        <f aca="false">ROW()-2</f>
        <v>2672</v>
      </c>
      <c r="B2674" s="3" t="n">
        <f aca="false">INT(A2674/$N$1)</f>
        <v>148</v>
      </c>
      <c r="C2674" s="3" t="n">
        <f aca="false">INT(MOD(A2674,$N$1) / 2)</f>
        <v>4</v>
      </c>
      <c r="D2674" s="3" t="n">
        <f aca="false">_xlfn.BITAND(A2674,1)</f>
        <v>0</v>
      </c>
      <c r="E2674" s="3"/>
      <c r="F2674" s="3" t="str">
        <f aca="false">DEC2HEX(B2674*$N$3*18)</f>
        <v>29A00</v>
      </c>
      <c r="G2674" s="3" t="str">
        <f aca="false">DEC2HEX(C2674*7)</f>
        <v>1C</v>
      </c>
      <c r="H2674" s="3" t="n">
        <f aca="false">IF(D2674=0, 33, "cc")</f>
        <v>33</v>
      </c>
    </row>
    <row r="2675" customFormat="false" ht="18.65" hidden="false" customHeight="true" outlineLevel="0" collapsed="false">
      <c r="A2675" s="3" t="n">
        <f aca="false">ROW()-2</f>
        <v>2673</v>
      </c>
      <c r="B2675" s="3" t="n">
        <f aca="false">INT(A2675/$N$1)</f>
        <v>148</v>
      </c>
      <c r="C2675" s="3" t="n">
        <f aca="false">INT(MOD(A2675,$N$1) / 2)</f>
        <v>4</v>
      </c>
      <c r="D2675" s="3" t="n">
        <f aca="false">_xlfn.BITAND(A2675,1)</f>
        <v>1</v>
      </c>
      <c r="E2675" s="3"/>
      <c r="F2675" s="3" t="str">
        <f aca="false">DEC2HEX(B2675*$N$3*18)</f>
        <v>29A00</v>
      </c>
      <c r="G2675" s="3" t="str">
        <f aca="false">DEC2HEX(C2675*7)</f>
        <v>1C</v>
      </c>
      <c r="H2675" s="3" t="str">
        <f aca="false">IF(D2675=0, 33, "cc")</f>
        <v>cc</v>
      </c>
    </row>
    <row r="2676" customFormat="false" ht="18.65" hidden="false" customHeight="true" outlineLevel="0" collapsed="false">
      <c r="A2676" s="3" t="n">
        <f aca="false">ROW()-2</f>
        <v>2674</v>
      </c>
      <c r="B2676" s="3" t="n">
        <f aca="false">INT(A2676/$N$1)</f>
        <v>148</v>
      </c>
      <c r="C2676" s="3" t="n">
        <f aca="false">INT(MOD(A2676,$N$1) / 2)</f>
        <v>5</v>
      </c>
      <c r="D2676" s="3" t="n">
        <f aca="false">_xlfn.BITAND(A2676,1)</f>
        <v>0</v>
      </c>
      <c r="E2676" s="3"/>
      <c r="F2676" s="3" t="str">
        <f aca="false">DEC2HEX(B2676*$N$3*18)</f>
        <v>29A00</v>
      </c>
      <c r="G2676" s="3" t="str">
        <f aca="false">DEC2HEX(C2676*7)</f>
        <v>23</v>
      </c>
      <c r="H2676" s="3" t="n">
        <f aca="false">IF(D2676=0, 33, "cc")</f>
        <v>33</v>
      </c>
    </row>
    <row r="2677" customFormat="false" ht="18.65" hidden="false" customHeight="true" outlineLevel="0" collapsed="false">
      <c r="A2677" s="3" t="n">
        <f aca="false">ROW()-2</f>
        <v>2675</v>
      </c>
      <c r="B2677" s="3" t="n">
        <f aca="false">INT(A2677/$N$1)</f>
        <v>148</v>
      </c>
      <c r="C2677" s="3" t="n">
        <f aca="false">INT(MOD(A2677,$N$1) / 2)</f>
        <v>5</v>
      </c>
      <c r="D2677" s="3" t="n">
        <f aca="false">_xlfn.BITAND(A2677,1)</f>
        <v>1</v>
      </c>
      <c r="E2677" s="3"/>
      <c r="F2677" s="3" t="str">
        <f aca="false">DEC2HEX(B2677*$N$3*18)</f>
        <v>29A00</v>
      </c>
      <c r="G2677" s="3" t="str">
        <f aca="false">DEC2HEX(C2677*7)</f>
        <v>23</v>
      </c>
      <c r="H2677" s="3" t="str">
        <f aca="false">IF(D2677=0, 33, "cc")</f>
        <v>cc</v>
      </c>
    </row>
    <row r="2678" customFormat="false" ht="18.65" hidden="false" customHeight="true" outlineLevel="0" collapsed="false">
      <c r="A2678" s="3" t="n">
        <f aca="false">ROW()-2</f>
        <v>2676</v>
      </c>
      <c r="B2678" s="3" t="n">
        <f aca="false">INT(A2678/$N$1)</f>
        <v>148</v>
      </c>
      <c r="C2678" s="3" t="n">
        <f aca="false">INT(MOD(A2678,$N$1) / 2)</f>
        <v>6</v>
      </c>
      <c r="D2678" s="3" t="n">
        <f aca="false">_xlfn.BITAND(A2678,1)</f>
        <v>0</v>
      </c>
      <c r="E2678" s="3"/>
      <c r="F2678" s="3" t="str">
        <f aca="false">DEC2HEX(B2678*$N$3*18)</f>
        <v>29A00</v>
      </c>
      <c r="G2678" s="3" t="str">
        <f aca="false">DEC2HEX(C2678*7)</f>
        <v>2A</v>
      </c>
      <c r="H2678" s="3" t="n">
        <f aca="false">IF(D2678=0, 33, "cc")</f>
        <v>33</v>
      </c>
    </row>
    <row r="2679" customFormat="false" ht="18.65" hidden="false" customHeight="true" outlineLevel="0" collapsed="false">
      <c r="A2679" s="3" t="n">
        <f aca="false">ROW()-2</f>
        <v>2677</v>
      </c>
      <c r="B2679" s="3" t="n">
        <f aca="false">INT(A2679/$N$1)</f>
        <v>148</v>
      </c>
      <c r="C2679" s="3" t="n">
        <f aca="false">INT(MOD(A2679,$N$1) / 2)</f>
        <v>6</v>
      </c>
      <c r="D2679" s="3" t="n">
        <f aca="false">_xlfn.BITAND(A2679,1)</f>
        <v>1</v>
      </c>
      <c r="E2679" s="3"/>
      <c r="F2679" s="3" t="str">
        <f aca="false">DEC2HEX(B2679*$N$3*18)</f>
        <v>29A00</v>
      </c>
      <c r="G2679" s="3" t="str">
        <f aca="false">DEC2HEX(C2679*7)</f>
        <v>2A</v>
      </c>
      <c r="H2679" s="3" t="str">
        <f aca="false">IF(D2679=0, 33, "cc")</f>
        <v>cc</v>
      </c>
    </row>
    <row r="2680" customFormat="false" ht="18.65" hidden="false" customHeight="true" outlineLevel="0" collapsed="false">
      <c r="A2680" s="3" t="n">
        <f aca="false">ROW()-2</f>
        <v>2678</v>
      </c>
      <c r="B2680" s="3" t="n">
        <f aca="false">INT(A2680/$N$1)</f>
        <v>148</v>
      </c>
      <c r="C2680" s="3" t="n">
        <f aca="false">INT(MOD(A2680,$N$1) / 2)</f>
        <v>7</v>
      </c>
      <c r="D2680" s="3" t="n">
        <f aca="false">_xlfn.BITAND(A2680,1)</f>
        <v>0</v>
      </c>
      <c r="E2680" s="3"/>
      <c r="F2680" s="3" t="str">
        <f aca="false">DEC2HEX(B2680*$N$3*18)</f>
        <v>29A00</v>
      </c>
      <c r="G2680" s="3" t="str">
        <f aca="false">DEC2HEX(C2680*7)</f>
        <v>31</v>
      </c>
      <c r="H2680" s="3" t="n">
        <f aca="false">IF(D2680=0, 33, "cc")</f>
        <v>33</v>
      </c>
    </row>
    <row r="2681" customFormat="false" ht="18.65" hidden="false" customHeight="true" outlineLevel="0" collapsed="false">
      <c r="A2681" s="3" t="n">
        <f aca="false">ROW()-2</f>
        <v>2679</v>
      </c>
      <c r="B2681" s="3" t="n">
        <f aca="false">INT(A2681/$N$1)</f>
        <v>148</v>
      </c>
      <c r="C2681" s="3" t="n">
        <f aca="false">INT(MOD(A2681,$N$1) / 2)</f>
        <v>7</v>
      </c>
      <c r="D2681" s="3" t="n">
        <f aca="false">_xlfn.BITAND(A2681,1)</f>
        <v>1</v>
      </c>
      <c r="E2681" s="3"/>
      <c r="F2681" s="3" t="str">
        <f aca="false">DEC2HEX(B2681*$N$3*18)</f>
        <v>29A00</v>
      </c>
      <c r="G2681" s="3" t="str">
        <f aca="false">DEC2HEX(C2681*7)</f>
        <v>31</v>
      </c>
      <c r="H2681" s="3" t="str">
        <f aca="false">IF(D2681=0, 33, "cc")</f>
        <v>cc</v>
      </c>
    </row>
    <row r="2682" customFormat="false" ht="18.65" hidden="false" customHeight="true" outlineLevel="0" collapsed="false">
      <c r="A2682" s="3" t="n">
        <f aca="false">ROW()-2</f>
        <v>2680</v>
      </c>
      <c r="B2682" s="3" t="n">
        <f aca="false">INT(A2682/$N$1)</f>
        <v>148</v>
      </c>
      <c r="C2682" s="3" t="n">
        <f aca="false">INT(MOD(A2682,$N$1) / 2)</f>
        <v>8</v>
      </c>
      <c r="D2682" s="3" t="n">
        <f aca="false">_xlfn.BITAND(A2682,1)</f>
        <v>0</v>
      </c>
      <c r="E2682" s="3"/>
      <c r="F2682" s="3" t="str">
        <f aca="false">DEC2HEX(B2682*$N$3*18)</f>
        <v>29A00</v>
      </c>
      <c r="G2682" s="3" t="str">
        <f aca="false">DEC2HEX(C2682*7)</f>
        <v>38</v>
      </c>
      <c r="H2682" s="3" t="n">
        <f aca="false">IF(D2682=0, 33, "cc")</f>
        <v>33</v>
      </c>
    </row>
    <row r="2683" customFormat="false" ht="18.65" hidden="false" customHeight="true" outlineLevel="0" collapsed="false">
      <c r="A2683" s="3" t="n">
        <f aca="false">ROW()-2</f>
        <v>2681</v>
      </c>
      <c r="B2683" s="3" t="n">
        <f aca="false">INT(A2683/$N$1)</f>
        <v>148</v>
      </c>
      <c r="C2683" s="3" t="n">
        <f aca="false">INT(MOD(A2683,$N$1) / 2)</f>
        <v>8</v>
      </c>
      <c r="D2683" s="3" t="n">
        <f aca="false">_xlfn.BITAND(A2683,1)</f>
        <v>1</v>
      </c>
      <c r="E2683" s="3"/>
      <c r="F2683" s="3" t="str">
        <f aca="false">DEC2HEX(B2683*$N$3*18)</f>
        <v>29A00</v>
      </c>
      <c r="G2683" s="3" t="str">
        <f aca="false">DEC2HEX(C2683*7)</f>
        <v>38</v>
      </c>
      <c r="H2683" s="3" t="str">
        <f aca="false">IF(D2683=0, 33, "cc")</f>
        <v>cc</v>
      </c>
    </row>
    <row r="2684" customFormat="false" ht="18.65" hidden="false" customHeight="true" outlineLevel="0" collapsed="false">
      <c r="A2684" s="3" t="n">
        <f aca="false">ROW()-2</f>
        <v>2682</v>
      </c>
      <c r="B2684" s="3" t="n">
        <f aca="false">INT(A2684/$N$1)</f>
        <v>149</v>
      </c>
      <c r="C2684" s="3" t="n">
        <f aca="false">INT(MOD(A2684,$N$1) / 2)</f>
        <v>0</v>
      </c>
      <c r="D2684" s="3" t="n">
        <f aca="false">_xlfn.BITAND(A2684,1)</f>
        <v>0</v>
      </c>
      <c r="E2684" s="3"/>
      <c r="F2684" s="3" t="str">
        <f aca="false">DEC2HEX(B2684*$N$3*18)</f>
        <v>29E80</v>
      </c>
      <c r="G2684" s="3" t="str">
        <f aca="false">DEC2HEX(C2684*7)</f>
        <v>0</v>
      </c>
      <c r="H2684" s="3" t="n">
        <f aca="false">IF(D2684=0, 33, "cc")</f>
        <v>33</v>
      </c>
    </row>
    <row r="2685" customFormat="false" ht="18.65" hidden="false" customHeight="true" outlineLevel="0" collapsed="false">
      <c r="A2685" s="3" t="n">
        <f aca="false">ROW()-2</f>
        <v>2683</v>
      </c>
      <c r="B2685" s="3" t="n">
        <f aca="false">INT(A2685/$N$1)</f>
        <v>149</v>
      </c>
      <c r="C2685" s="3" t="n">
        <f aca="false">INT(MOD(A2685,$N$1) / 2)</f>
        <v>0</v>
      </c>
      <c r="D2685" s="3" t="n">
        <f aca="false">_xlfn.BITAND(A2685,1)</f>
        <v>1</v>
      </c>
      <c r="E2685" s="3"/>
      <c r="F2685" s="3" t="str">
        <f aca="false">DEC2HEX(B2685*$N$3*18)</f>
        <v>29E80</v>
      </c>
      <c r="G2685" s="3" t="str">
        <f aca="false">DEC2HEX(C2685*7)</f>
        <v>0</v>
      </c>
      <c r="H2685" s="3" t="str">
        <f aca="false">IF(D2685=0, 33, "cc")</f>
        <v>cc</v>
      </c>
    </row>
    <row r="2686" customFormat="false" ht="18.65" hidden="false" customHeight="true" outlineLevel="0" collapsed="false">
      <c r="A2686" s="3" t="n">
        <f aca="false">ROW()-2</f>
        <v>2684</v>
      </c>
      <c r="B2686" s="3" t="n">
        <f aca="false">INT(A2686/$N$1)</f>
        <v>149</v>
      </c>
      <c r="C2686" s="3" t="n">
        <f aca="false">INT(MOD(A2686,$N$1) / 2)</f>
        <v>1</v>
      </c>
      <c r="D2686" s="3" t="n">
        <f aca="false">_xlfn.BITAND(A2686,1)</f>
        <v>0</v>
      </c>
      <c r="E2686" s="3"/>
      <c r="F2686" s="3" t="str">
        <f aca="false">DEC2HEX(B2686*$N$3*18)</f>
        <v>29E80</v>
      </c>
      <c r="G2686" s="3" t="str">
        <f aca="false">DEC2HEX(C2686*7)</f>
        <v>7</v>
      </c>
      <c r="H2686" s="3" t="n">
        <f aca="false">IF(D2686=0, 33, "cc")</f>
        <v>33</v>
      </c>
    </row>
    <row r="2687" customFormat="false" ht="18.65" hidden="false" customHeight="true" outlineLevel="0" collapsed="false">
      <c r="A2687" s="3" t="n">
        <f aca="false">ROW()-2</f>
        <v>2685</v>
      </c>
      <c r="B2687" s="3" t="n">
        <f aca="false">INT(A2687/$N$1)</f>
        <v>149</v>
      </c>
      <c r="C2687" s="3" t="n">
        <f aca="false">INT(MOD(A2687,$N$1) / 2)</f>
        <v>1</v>
      </c>
      <c r="D2687" s="3" t="n">
        <f aca="false">_xlfn.BITAND(A2687,1)</f>
        <v>1</v>
      </c>
      <c r="E2687" s="3"/>
      <c r="F2687" s="3" t="str">
        <f aca="false">DEC2HEX(B2687*$N$3*18)</f>
        <v>29E80</v>
      </c>
      <c r="G2687" s="3" t="str">
        <f aca="false">DEC2HEX(C2687*7)</f>
        <v>7</v>
      </c>
      <c r="H2687" s="3" t="str">
        <f aca="false">IF(D2687=0, 33, "cc")</f>
        <v>cc</v>
      </c>
    </row>
    <row r="2688" customFormat="false" ht="18.65" hidden="false" customHeight="true" outlineLevel="0" collapsed="false">
      <c r="A2688" s="3" t="n">
        <f aca="false">ROW()-2</f>
        <v>2686</v>
      </c>
      <c r="B2688" s="3" t="n">
        <f aca="false">INT(A2688/$N$1)</f>
        <v>149</v>
      </c>
      <c r="C2688" s="3" t="n">
        <f aca="false">INT(MOD(A2688,$N$1) / 2)</f>
        <v>2</v>
      </c>
      <c r="D2688" s="3" t="n">
        <f aca="false">_xlfn.BITAND(A2688,1)</f>
        <v>0</v>
      </c>
      <c r="E2688" s="3"/>
      <c r="F2688" s="3" t="str">
        <f aca="false">DEC2HEX(B2688*$N$3*18)</f>
        <v>29E80</v>
      </c>
      <c r="G2688" s="3" t="str">
        <f aca="false">DEC2HEX(C2688*7)</f>
        <v>E</v>
      </c>
      <c r="H2688" s="3" t="n">
        <f aca="false">IF(D2688=0, 33, "cc")</f>
        <v>33</v>
      </c>
    </row>
    <row r="2689" customFormat="false" ht="18.65" hidden="false" customHeight="true" outlineLevel="0" collapsed="false">
      <c r="A2689" s="3" t="n">
        <f aca="false">ROW()-2</f>
        <v>2687</v>
      </c>
      <c r="B2689" s="3" t="n">
        <f aca="false">INT(A2689/$N$1)</f>
        <v>149</v>
      </c>
      <c r="C2689" s="3" t="n">
        <f aca="false">INT(MOD(A2689,$N$1) / 2)</f>
        <v>2</v>
      </c>
      <c r="D2689" s="3" t="n">
        <f aca="false">_xlfn.BITAND(A2689,1)</f>
        <v>1</v>
      </c>
      <c r="E2689" s="3"/>
      <c r="F2689" s="3" t="str">
        <f aca="false">DEC2HEX(B2689*$N$3*18)</f>
        <v>29E80</v>
      </c>
      <c r="G2689" s="3" t="str">
        <f aca="false">DEC2HEX(C2689*7)</f>
        <v>E</v>
      </c>
      <c r="H2689" s="3" t="str">
        <f aca="false">IF(D2689=0, 33, "cc")</f>
        <v>cc</v>
      </c>
    </row>
    <row r="2690" customFormat="false" ht="18.65" hidden="false" customHeight="true" outlineLevel="0" collapsed="false">
      <c r="A2690" s="3" t="n">
        <f aca="false">ROW()-2</f>
        <v>2688</v>
      </c>
      <c r="B2690" s="3" t="n">
        <f aca="false">INT(A2690/$N$1)</f>
        <v>149</v>
      </c>
      <c r="C2690" s="3" t="n">
        <f aca="false">INT(MOD(A2690,$N$1) / 2)</f>
        <v>3</v>
      </c>
      <c r="D2690" s="3" t="n">
        <f aca="false">_xlfn.BITAND(A2690,1)</f>
        <v>0</v>
      </c>
      <c r="E2690" s="3"/>
      <c r="F2690" s="3" t="str">
        <f aca="false">DEC2HEX(B2690*$N$3*18)</f>
        <v>29E80</v>
      </c>
      <c r="G2690" s="3" t="str">
        <f aca="false">DEC2HEX(C2690*7)</f>
        <v>15</v>
      </c>
      <c r="H2690" s="3" t="n">
        <f aca="false">IF(D2690=0, 33, "cc")</f>
        <v>33</v>
      </c>
    </row>
    <row r="2691" customFormat="false" ht="18.65" hidden="false" customHeight="true" outlineLevel="0" collapsed="false">
      <c r="A2691" s="3" t="n">
        <f aca="false">ROW()-2</f>
        <v>2689</v>
      </c>
      <c r="B2691" s="3" t="n">
        <f aca="false">INT(A2691/$N$1)</f>
        <v>149</v>
      </c>
      <c r="C2691" s="3" t="n">
        <f aca="false">INT(MOD(A2691,$N$1) / 2)</f>
        <v>3</v>
      </c>
      <c r="D2691" s="3" t="n">
        <f aca="false">_xlfn.BITAND(A2691,1)</f>
        <v>1</v>
      </c>
      <c r="E2691" s="3"/>
      <c r="F2691" s="3" t="str">
        <f aca="false">DEC2HEX(B2691*$N$3*18)</f>
        <v>29E80</v>
      </c>
      <c r="G2691" s="3" t="str">
        <f aca="false">DEC2HEX(C2691*7)</f>
        <v>15</v>
      </c>
      <c r="H2691" s="3" t="str">
        <f aca="false">IF(D2691=0, 33, "cc")</f>
        <v>cc</v>
      </c>
    </row>
    <row r="2692" customFormat="false" ht="18.65" hidden="false" customHeight="true" outlineLevel="0" collapsed="false">
      <c r="A2692" s="3" t="n">
        <f aca="false">ROW()-2</f>
        <v>2690</v>
      </c>
      <c r="B2692" s="3" t="n">
        <f aca="false">INT(A2692/$N$1)</f>
        <v>149</v>
      </c>
      <c r="C2692" s="3" t="n">
        <f aca="false">INT(MOD(A2692,$N$1) / 2)</f>
        <v>4</v>
      </c>
      <c r="D2692" s="3" t="n">
        <f aca="false">_xlfn.BITAND(A2692,1)</f>
        <v>0</v>
      </c>
      <c r="E2692" s="3"/>
      <c r="F2692" s="3" t="str">
        <f aca="false">DEC2HEX(B2692*$N$3*18)</f>
        <v>29E80</v>
      </c>
      <c r="G2692" s="3" t="str">
        <f aca="false">DEC2HEX(C2692*7)</f>
        <v>1C</v>
      </c>
      <c r="H2692" s="3" t="n">
        <f aca="false">IF(D2692=0, 33, "cc")</f>
        <v>33</v>
      </c>
    </row>
    <row r="2693" customFormat="false" ht="18.65" hidden="false" customHeight="true" outlineLevel="0" collapsed="false">
      <c r="A2693" s="3" t="n">
        <f aca="false">ROW()-2</f>
        <v>2691</v>
      </c>
      <c r="B2693" s="3" t="n">
        <f aca="false">INT(A2693/$N$1)</f>
        <v>149</v>
      </c>
      <c r="C2693" s="3" t="n">
        <f aca="false">INT(MOD(A2693,$N$1) / 2)</f>
        <v>4</v>
      </c>
      <c r="D2693" s="3" t="n">
        <f aca="false">_xlfn.BITAND(A2693,1)</f>
        <v>1</v>
      </c>
      <c r="E2693" s="3"/>
      <c r="F2693" s="3" t="str">
        <f aca="false">DEC2HEX(B2693*$N$3*18)</f>
        <v>29E80</v>
      </c>
      <c r="G2693" s="3" t="str">
        <f aca="false">DEC2HEX(C2693*7)</f>
        <v>1C</v>
      </c>
      <c r="H2693" s="3" t="str">
        <f aca="false">IF(D2693=0, 33, "cc")</f>
        <v>cc</v>
      </c>
    </row>
    <row r="2694" customFormat="false" ht="18.65" hidden="false" customHeight="true" outlineLevel="0" collapsed="false">
      <c r="A2694" s="3" t="n">
        <f aca="false">ROW()-2</f>
        <v>2692</v>
      </c>
      <c r="B2694" s="3" t="n">
        <f aca="false">INT(A2694/$N$1)</f>
        <v>149</v>
      </c>
      <c r="C2694" s="3" t="n">
        <f aca="false">INT(MOD(A2694,$N$1) / 2)</f>
        <v>5</v>
      </c>
      <c r="D2694" s="3" t="n">
        <f aca="false">_xlfn.BITAND(A2694,1)</f>
        <v>0</v>
      </c>
      <c r="E2694" s="3"/>
      <c r="F2694" s="3" t="str">
        <f aca="false">DEC2HEX(B2694*$N$3*18)</f>
        <v>29E80</v>
      </c>
      <c r="G2694" s="3" t="str">
        <f aca="false">DEC2HEX(C2694*7)</f>
        <v>23</v>
      </c>
      <c r="H2694" s="3" t="n">
        <f aca="false">IF(D2694=0, 33, "cc")</f>
        <v>33</v>
      </c>
    </row>
    <row r="2695" customFormat="false" ht="18.65" hidden="false" customHeight="true" outlineLevel="0" collapsed="false">
      <c r="A2695" s="3" t="n">
        <f aca="false">ROW()-2</f>
        <v>2693</v>
      </c>
      <c r="B2695" s="3" t="n">
        <f aca="false">INT(A2695/$N$1)</f>
        <v>149</v>
      </c>
      <c r="C2695" s="3" t="n">
        <f aca="false">INT(MOD(A2695,$N$1) / 2)</f>
        <v>5</v>
      </c>
      <c r="D2695" s="3" t="n">
        <f aca="false">_xlfn.BITAND(A2695,1)</f>
        <v>1</v>
      </c>
      <c r="E2695" s="3"/>
      <c r="F2695" s="3" t="str">
        <f aca="false">DEC2HEX(B2695*$N$3*18)</f>
        <v>29E80</v>
      </c>
      <c r="G2695" s="3" t="str">
        <f aca="false">DEC2HEX(C2695*7)</f>
        <v>23</v>
      </c>
      <c r="H2695" s="3" t="str">
        <f aca="false">IF(D2695=0, 33, "cc")</f>
        <v>cc</v>
      </c>
    </row>
    <row r="2696" customFormat="false" ht="18.65" hidden="false" customHeight="true" outlineLevel="0" collapsed="false">
      <c r="A2696" s="3" t="n">
        <f aca="false">ROW()-2</f>
        <v>2694</v>
      </c>
      <c r="B2696" s="3" t="n">
        <f aca="false">INT(A2696/$N$1)</f>
        <v>149</v>
      </c>
      <c r="C2696" s="3" t="n">
        <f aca="false">INT(MOD(A2696,$N$1) / 2)</f>
        <v>6</v>
      </c>
      <c r="D2696" s="3" t="n">
        <f aca="false">_xlfn.BITAND(A2696,1)</f>
        <v>0</v>
      </c>
      <c r="E2696" s="3"/>
      <c r="F2696" s="3" t="str">
        <f aca="false">DEC2HEX(B2696*$N$3*18)</f>
        <v>29E80</v>
      </c>
      <c r="G2696" s="3" t="str">
        <f aca="false">DEC2HEX(C2696*7)</f>
        <v>2A</v>
      </c>
      <c r="H2696" s="3" t="n">
        <f aca="false">IF(D2696=0, 33, "cc")</f>
        <v>33</v>
      </c>
    </row>
    <row r="2697" customFormat="false" ht="18.65" hidden="false" customHeight="true" outlineLevel="0" collapsed="false">
      <c r="A2697" s="3" t="n">
        <f aca="false">ROW()-2</f>
        <v>2695</v>
      </c>
      <c r="B2697" s="3" t="n">
        <f aca="false">INT(A2697/$N$1)</f>
        <v>149</v>
      </c>
      <c r="C2697" s="3" t="n">
        <f aca="false">INT(MOD(A2697,$N$1) / 2)</f>
        <v>6</v>
      </c>
      <c r="D2697" s="3" t="n">
        <f aca="false">_xlfn.BITAND(A2697,1)</f>
        <v>1</v>
      </c>
      <c r="E2697" s="3"/>
      <c r="F2697" s="3" t="str">
        <f aca="false">DEC2HEX(B2697*$N$3*18)</f>
        <v>29E80</v>
      </c>
      <c r="G2697" s="3" t="str">
        <f aca="false">DEC2HEX(C2697*7)</f>
        <v>2A</v>
      </c>
      <c r="H2697" s="3" t="str">
        <f aca="false">IF(D2697=0, 33, "cc")</f>
        <v>cc</v>
      </c>
    </row>
    <row r="2698" customFormat="false" ht="18.65" hidden="false" customHeight="true" outlineLevel="0" collapsed="false">
      <c r="A2698" s="3" t="n">
        <f aca="false">ROW()-2</f>
        <v>2696</v>
      </c>
      <c r="B2698" s="3" t="n">
        <f aca="false">INT(A2698/$N$1)</f>
        <v>149</v>
      </c>
      <c r="C2698" s="3" t="n">
        <f aca="false">INT(MOD(A2698,$N$1) / 2)</f>
        <v>7</v>
      </c>
      <c r="D2698" s="3" t="n">
        <f aca="false">_xlfn.BITAND(A2698,1)</f>
        <v>0</v>
      </c>
      <c r="E2698" s="3"/>
      <c r="F2698" s="3" t="str">
        <f aca="false">DEC2HEX(B2698*$N$3*18)</f>
        <v>29E80</v>
      </c>
      <c r="G2698" s="3" t="str">
        <f aca="false">DEC2HEX(C2698*7)</f>
        <v>31</v>
      </c>
      <c r="H2698" s="3" t="n">
        <f aca="false">IF(D2698=0, 33, "cc")</f>
        <v>33</v>
      </c>
    </row>
    <row r="2699" customFormat="false" ht="18.65" hidden="false" customHeight="true" outlineLevel="0" collapsed="false">
      <c r="A2699" s="3" t="n">
        <f aca="false">ROW()-2</f>
        <v>2697</v>
      </c>
      <c r="B2699" s="3" t="n">
        <f aca="false">INT(A2699/$N$1)</f>
        <v>149</v>
      </c>
      <c r="C2699" s="3" t="n">
        <f aca="false">INT(MOD(A2699,$N$1) / 2)</f>
        <v>7</v>
      </c>
      <c r="D2699" s="3" t="n">
        <f aca="false">_xlfn.BITAND(A2699,1)</f>
        <v>1</v>
      </c>
      <c r="E2699" s="3"/>
      <c r="F2699" s="3" t="str">
        <f aca="false">DEC2HEX(B2699*$N$3*18)</f>
        <v>29E80</v>
      </c>
      <c r="G2699" s="3" t="str">
        <f aca="false">DEC2HEX(C2699*7)</f>
        <v>31</v>
      </c>
      <c r="H2699" s="3" t="str">
        <f aca="false">IF(D2699=0, 33, "cc")</f>
        <v>cc</v>
      </c>
    </row>
    <row r="2700" customFormat="false" ht="18.65" hidden="false" customHeight="true" outlineLevel="0" collapsed="false">
      <c r="A2700" s="3" t="n">
        <f aca="false">ROW()-2</f>
        <v>2698</v>
      </c>
      <c r="B2700" s="3" t="n">
        <f aca="false">INT(A2700/$N$1)</f>
        <v>149</v>
      </c>
      <c r="C2700" s="3" t="n">
        <f aca="false">INT(MOD(A2700,$N$1) / 2)</f>
        <v>8</v>
      </c>
      <c r="D2700" s="3" t="n">
        <f aca="false">_xlfn.BITAND(A2700,1)</f>
        <v>0</v>
      </c>
      <c r="E2700" s="3"/>
      <c r="F2700" s="3" t="str">
        <f aca="false">DEC2HEX(B2700*$N$3*18)</f>
        <v>29E80</v>
      </c>
      <c r="G2700" s="3" t="str">
        <f aca="false">DEC2HEX(C2700*7)</f>
        <v>38</v>
      </c>
      <c r="H2700" s="3" t="n">
        <f aca="false">IF(D2700=0, 33, "cc")</f>
        <v>33</v>
      </c>
    </row>
    <row r="2701" customFormat="false" ht="18.65" hidden="false" customHeight="true" outlineLevel="0" collapsed="false">
      <c r="A2701" s="3" t="n">
        <f aca="false">ROW()-2</f>
        <v>2699</v>
      </c>
      <c r="B2701" s="3" t="n">
        <f aca="false">INT(A2701/$N$1)</f>
        <v>149</v>
      </c>
      <c r="C2701" s="3" t="n">
        <f aca="false">INT(MOD(A2701,$N$1) / 2)</f>
        <v>8</v>
      </c>
      <c r="D2701" s="3" t="n">
        <f aca="false">_xlfn.BITAND(A2701,1)</f>
        <v>1</v>
      </c>
      <c r="E2701" s="3"/>
      <c r="F2701" s="3" t="str">
        <f aca="false">DEC2HEX(B2701*$N$3*18)</f>
        <v>29E80</v>
      </c>
      <c r="G2701" s="3" t="str">
        <f aca="false">DEC2HEX(C2701*7)</f>
        <v>38</v>
      </c>
      <c r="H2701" s="3" t="str">
        <f aca="false">IF(D2701=0, 33, "cc")</f>
        <v>cc</v>
      </c>
    </row>
    <row r="2702" customFormat="false" ht="18.65" hidden="false" customHeight="true" outlineLevel="0" collapsed="false">
      <c r="A2702" s="3" t="n">
        <f aca="false">ROW()-2</f>
        <v>2700</v>
      </c>
      <c r="B2702" s="3" t="n">
        <f aca="false">INT(A2702/$N$1)</f>
        <v>150</v>
      </c>
      <c r="C2702" s="3" t="n">
        <f aca="false">INT(MOD(A2702,$N$1) / 2)</f>
        <v>0</v>
      </c>
      <c r="D2702" s="3" t="n">
        <f aca="false">_xlfn.BITAND(A2702,1)</f>
        <v>0</v>
      </c>
      <c r="E2702" s="3"/>
      <c r="F2702" s="3" t="str">
        <f aca="false">DEC2HEX(B2702*$N$3*18)</f>
        <v>2A300</v>
      </c>
      <c r="G2702" s="3" t="str">
        <f aca="false">DEC2HEX(C2702*7)</f>
        <v>0</v>
      </c>
      <c r="H2702" s="3" t="n">
        <f aca="false">IF(D2702=0, 33, "cc")</f>
        <v>33</v>
      </c>
    </row>
    <row r="2703" customFormat="false" ht="18.65" hidden="false" customHeight="true" outlineLevel="0" collapsed="false">
      <c r="A2703" s="3" t="n">
        <f aca="false">ROW()-2</f>
        <v>2701</v>
      </c>
      <c r="B2703" s="3" t="n">
        <f aca="false">INT(A2703/$N$1)</f>
        <v>150</v>
      </c>
      <c r="C2703" s="3" t="n">
        <f aca="false">INT(MOD(A2703,$N$1) / 2)</f>
        <v>0</v>
      </c>
      <c r="D2703" s="3" t="n">
        <f aca="false">_xlfn.BITAND(A2703,1)</f>
        <v>1</v>
      </c>
      <c r="E2703" s="3"/>
      <c r="F2703" s="3" t="str">
        <f aca="false">DEC2HEX(B2703*$N$3*18)</f>
        <v>2A300</v>
      </c>
      <c r="G2703" s="3" t="str">
        <f aca="false">DEC2HEX(C2703*7)</f>
        <v>0</v>
      </c>
      <c r="H2703" s="3" t="str">
        <f aca="false">IF(D2703=0, 33, "cc")</f>
        <v>cc</v>
      </c>
    </row>
    <row r="2704" customFormat="false" ht="18.65" hidden="false" customHeight="true" outlineLevel="0" collapsed="false">
      <c r="A2704" s="3" t="n">
        <f aca="false">ROW()-2</f>
        <v>2702</v>
      </c>
      <c r="B2704" s="3" t="n">
        <f aca="false">INT(A2704/$N$1)</f>
        <v>150</v>
      </c>
      <c r="C2704" s="3" t="n">
        <f aca="false">INT(MOD(A2704,$N$1) / 2)</f>
        <v>1</v>
      </c>
      <c r="D2704" s="3" t="n">
        <f aca="false">_xlfn.BITAND(A2704,1)</f>
        <v>0</v>
      </c>
      <c r="E2704" s="3"/>
      <c r="F2704" s="3" t="str">
        <f aca="false">DEC2HEX(B2704*$N$3*18)</f>
        <v>2A300</v>
      </c>
      <c r="G2704" s="3" t="str">
        <f aca="false">DEC2HEX(C2704*7)</f>
        <v>7</v>
      </c>
      <c r="H2704" s="3" t="n">
        <f aca="false">IF(D2704=0, 33, "cc")</f>
        <v>33</v>
      </c>
    </row>
    <row r="2705" customFormat="false" ht="18.65" hidden="false" customHeight="true" outlineLevel="0" collapsed="false">
      <c r="A2705" s="3" t="n">
        <f aca="false">ROW()-2</f>
        <v>2703</v>
      </c>
      <c r="B2705" s="3" t="n">
        <f aca="false">INT(A2705/$N$1)</f>
        <v>150</v>
      </c>
      <c r="C2705" s="3" t="n">
        <f aca="false">INT(MOD(A2705,$N$1) / 2)</f>
        <v>1</v>
      </c>
      <c r="D2705" s="3" t="n">
        <f aca="false">_xlfn.BITAND(A2705,1)</f>
        <v>1</v>
      </c>
      <c r="E2705" s="3"/>
      <c r="F2705" s="3" t="str">
        <f aca="false">DEC2HEX(B2705*$N$3*18)</f>
        <v>2A300</v>
      </c>
      <c r="G2705" s="3" t="str">
        <f aca="false">DEC2HEX(C2705*7)</f>
        <v>7</v>
      </c>
      <c r="H2705" s="3" t="str">
        <f aca="false">IF(D2705=0, 33, "cc")</f>
        <v>cc</v>
      </c>
    </row>
    <row r="2706" customFormat="false" ht="18.65" hidden="false" customHeight="true" outlineLevel="0" collapsed="false">
      <c r="A2706" s="4" t="n">
        <f aca="false">ROW()-2</f>
        <v>2704</v>
      </c>
      <c r="B2706" s="4" t="n">
        <f aca="false">INT(A2706/$N$1)</f>
        <v>150</v>
      </c>
      <c r="C2706" s="4" t="n">
        <f aca="false">INT(MOD(A2706,$N$1) / 2)</f>
        <v>2</v>
      </c>
      <c r="D2706" s="4" t="n">
        <f aca="false">_xlfn.BITAND(A2706,1)</f>
        <v>0</v>
      </c>
      <c r="E2706" s="4"/>
      <c r="F2706" s="4" t="str">
        <f aca="false">DEC2HEX(B2706*$N$3*18)</f>
        <v>2A300</v>
      </c>
      <c r="G2706" s="4" t="str">
        <f aca="false">DEC2HEX(C2706*7)</f>
        <v>E</v>
      </c>
      <c r="H2706" s="4" t="n">
        <f aca="false">IF(D2706=0, 33, "cc")</f>
        <v>33</v>
      </c>
    </row>
    <row r="2707" customFormat="false" ht="18.65" hidden="false" customHeight="true" outlineLevel="0" collapsed="false">
      <c r="A2707" s="3" t="n">
        <f aca="false">ROW()-2</f>
        <v>2705</v>
      </c>
      <c r="B2707" s="3" t="n">
        <f aca="false">INT(A2707/$N$1)</f>
        <v>150</v>
      </c>
      <c r="C2707" s="3" t="n">
        <f aca="false">INT(MOD(A2707,$N$1) / 2)</f>
        <v>2</v>
      </c>
      <c r="D2707" s="3" t="n">
        <f aca="false">_xlfn.BITAND(A2707,1)</f>
        <v>1</v>
      </c>
      <c r="E2707" s="3"/>
      <c r="F2707" s="3" t="str">
        <f aca="false">DEC2HEX(B2707*$N$3*18)</f>
        <v>2A300</v>
      </c>
      <c r="G2707" s="3" t="str">
        <f aca="false">DEC2HEX(C2707*7)</f>
        <v>E</v>
      </c>
      <c r="H2707" s="3" t="str">
        <f aca="false">IF(D2707=0, 33, "cc")</f>
        <v>cc</v>
      </c>
    </row>
    <row r="2708" customFormat="false" ht="18.65" hidden="false" customHeight="true" outlineLevel="0" collapsed="false">
      <c r="A2708" s="3" t="n">
        <f aca="false">ROW()-2</f>
        <v>2706</v>
      </c>
      <c r="B2708" s="3" t="n">
        <f aca="false">INT(A2708/$N$1)</f>
        <v>150</v>
      </c>
      <c r="C2708" s="3" t="n">
        <f aca="false">INT(MOD(A2708,$N$1) / 2)</f>
        <v>3</v>
      </c>
      <c r="D2708" s="3" t="n">
        <f aca="false">_xlfn.BITAND(A2708,1)</f>
        <v>0</v>
      </c>
      <c r="E2708" s="3"/>
      <c r="F2708" s="3" t="str">
        <f aca="false">DEC2HEX(B2708*$N$3*18)</f>
        <v>2A300</v>
      </c>
      <c r="G2708" s="3" t="str">
        <f aca="false">DEC2HEX(C2708*7)</f>
        <v>15</v>
      </c>
      <c r="H2708" s="3" t="n">
        <f aca="false">IF(D2708=0, 33, "cc")</f>
        <v>33</v>
      </c>
    </row>
    <row r="2709" customFormat="false" ht="18.65" hidden="false" customHeight="true" outlineLevel="0" collapsed="false">
      <c r="A2709" s="3" t="n">
        <f aca="false">ROW()-2</f>
        <v>2707</v>
      </c>
      <c r="B2709" s="3" t="n">
        <f aca="false">INT(A2709/$N$1)</f>
        <v>150</v>
      </c>
      <c r="C2709" s="3" t="n">
        <f aca="false">INT(MOD(A2709,$N$1) / 2)</f>
        <v>3</v>
      </c>
      <c r="D2709" s="3" t="n">
        <f aca="false">_xlfn.BITAND(A2709,1)</f>
        <v>1</v>
      </c>
      <c r="E2709" s="3"/>
      <c r="F2709" s="3" t="str">
        <f aca="false">DEC2HEX(B2709*$N$3*18)</f>
        <v>2A300</v>
      </c>
      <c r="G2709" s="3" t="str">
        <f aca="false">DEC2HEX(C2709*7)</f>
        <v>15</v>
      </c>
      <c r="H2709" s="3" t="str">
        <f aca="false">IF(D2709=0, 33, "cc")</f>
        <v>cc</v>
      </c>
    </row>
    <row r="2710" customFormat="false" ht="18.65" hidden="false" customHeight="true" outlineLevel="0" collapsed="false">
      <c r="A2710" s="3" t="n">
        <f aca="false">ROW()-2</f>
        <v>2708</v>
      </c>
      <c r="B2710" s="3" t="n">
        <f aca="false">INT(A2710/$N$1)</f>
        <v>150</v>
      </c>
      <c r="C2710" s="3" t="n">
        <f aca="false">INT(MOD(A2710,$N$1) / 2)</f>
        <v>4</v>
      </c>
      <c r="D2710" s="3" t="n">
        <f aca="false">_xlfn.BITAND(A2710,1)</f>
        <v>0</v>
      </c>
      <c r="E2710" s="3"/>
      <c r="F2710" s="3" t="str">
        <f aca="false">DEC2HEX(B2710*$N$3*18)</f>
        <v>2A300</v>
      </c>
      <c r="G2710" s="3" t="str">
        <f aca="false">DEC2HEX(C2710*7)</f>
        <v>1C</v>
      </c>
      <c r="H2710" s="3" t="n">
        <f aca="false">IF(D2710=0, 33, "cc")</f>
        <v>33</v>
      </c>
    </row>
    <row r="2711" customFormat="false" ht="18.65" hidden="false" customHeight="true" outlineLevel="0" collapsed="false">
      <c r="A2711" s="3" t="n">
        <f aca="false">ROW()-2</f>
        <v>2709</v>
      </c>
      <c r="B2711" s="3" t="n">
        <f aca="false">INT(A2711/$N$1)</f>
        <v>150</v>
      </c>
      <c r="C2711" s="3" t="n">
        <f aca="false">INT(MOD(A2711,$N$1) / 2)</f>
        <v>4</v>
      </c>
      <c r="D2711" s="3" t="n">
        <f aca="false">_xlfn.BITAND(A2711,1)</f>
        <v>1</v>
      </c>
      <c r="E2711" s="3"/>
      <c r="F2711" s="3" t="str">
        <f aca="false">DEC2HEX(B2711*$N$3*18)</f>
        <v>2A300</v>
      </c>
      <c r="G2711" s="3" t="str">
        <f aca="false">DEC2HEX(C2711*7)</f>
        <v>1C</v>
      </c>
      <c r="H2711" s="3" t="str">
        <f aca="false">IF(D2711=0, 33, "cc")</f>
        <v>cc</v>
      </c>
    </row>
    <row r="2712" customFormat="false" ht="18.65" hidden="false" customHeight="true" outlineLevel="0" collapsed="false">
      <c r="A2712" s="3" t="n">
        <f aca="false">ROW()-2</f>
        <v>2710</v>
      </c>
      <c r="B2712" s="3" t="n">
        <f aca="false">INT(A2712/$N$1)</f>
        <v>150</v>
      </c>
      <c r="C2712" s="3" t="n">
        <f aca="false">INT(MOD(A2712,$N$1) / 2)</f>
        <v>5</v>
      </c>
      <c r="D2712" s="3" t="n">
        <f aca="false">_xlfn.BITAND(A2712,1)</f>
        <v>0</v>
      </c>
      <c r="E2712" s="3"/>
      <c r="F2712" s="3" t="str">
        <f aca="false">DEC2HEX(B2712*$N$3*18)</f>
        <v>2A300</v>
      </c>
      <c r="G2712" s="3" t="str">
        <f aca="false">DEC2HEX(C2712*7)</f>
        <v>23</v>
      </c>
      <c r="H2712" s="3" t="n">
        <f aca="false">IF(D2712=0, 33, "cc")</f>
        <v>33</v>
      </c>
    </row>
    <row r="2713" customFormat="false" ht="18.65" hidden="false" customHeight="true" outlineLevel="0" collapsed="false">
      <c r="A2713" s="3" t="n">
        <f aca="false">ROW()-2</f>
        <v>2711</v>
      </c>
      <c r="B2713" s="3" t="n">
        <f aca="false">INT(A2713/$N$1)</f>
        <v>150</v>
      </c>
      <c r="C2713" s="3" t="n">
        <f aca="false">INT(MOD(A2713,$N$1) / 2)</f>
        <v>5</v>
      </c>
      <c r="D2713" s="3" t="n">
        <f aca="false">_xlfn.BITAND(A2713,1)</f>
        <v>1</v>
      </c>
      <c r="E2713" s="3"/>
      <c r="F2713" s="3" t="str">
        <f aca="false">DEC2HEX(B2713*$N$3*18)</f>
        <v>2A300</v>
      </c>
      <c r="G2713" s="3" t="str">
        <f aca="false">DEC2HEX(C2713*7)</f>
        <v>23</v>
      </c>
      <c r="H2713" s="3" t="str">
        <f aca="false">IF(D2713=0, 33, "cc")</f>
        <v>cc</v>
      </c>
    </row>
    <row r="2714" customFormat="false" ht="18.65" hidden="false" customHeight="true" outlineLevel="0" collapsed="false">
      <c r="A2714" s="3" t="n">
        <f aca="false">ROW()-2</f>
        <v>2712</v>
      </c>
      <c r="B2714" s="3" t="n">
        <f aca="false">INT(A2714/$N$1)</f>
        <v>150</v>
      </c>
      <c r="C2714" s="3" t="n">
        <f aca="false">INT(MOD(A2714,$N$1) / 2)</f>
        <v>6</v>
      </c>
      <c r="D2714" s="3" t="n">
        <f aca="false">_xlfn.BITAND(A2714,1)</f>
        <v>0</v>
      </c>
      <c r="E2714" s="3"/>
      <c r="F2714" s="3" t="str">
        <f aca="false">DEC2HEX(B2714*$N$3*18)</f>
        <v>2A300</v>
      </c>
      <c r="G2714" s="3" t="str">
        <f aca="false">DEC2HEX(C2714*7)</f>
        <v>2A</v>
      </c>
      <c r="H2714" s="3" t="n">
        <f aca="false">IF(D2714=0, 33, "cc")</f>
        <v>33</v>
      </c>
    </row>
    <row r="2715" customFormat="false" ht="18.65" hidden="false" customHeight="true" outlineLevel="0" collapsed="false">
      <c r="A2715" s="3" t="n">
        <f aca="false">ROW()-2</f>
        <v>2713</v>
      </c>
      <c r="B2715" s="3" t="n">
        <f aca="false">INT(A2715/$N$1)</f>
        <v>150</v>
      </c>
      <c r="C2715" s="3" t="n">
        <f aca="false">INT(MOD(A2715,$N$1) / 2)</f>
        <v>6</v>
      </c>
      <c r="D2715" s="3" t="n">
        <f aca="false">_xlfn.BITAND(A2715,1)</f>
        <v>1</v>
      </c>
      <c r="E2715" s="3"/>
      <c r="F2715" s="3" t="str">
        <f aca="false">DEC2HEX(B2715*$N$3*18)</f>
        <v>2A300</v>
      </c>
      <c r="G2715" s="3" t="str">
        <f aca="false">DEC2HEX(C2715*7)</f>
        <v>2A</v>
      </c>
      <c r="H2715" s="3" t="str">
        <f aca="false">IF(D2715=0, 33, "cc")</f>
        <v>cc</v>
      </c>
    </row>
    <row r="2716" customFormat="false" ht="18.65" hidden="false" customHeight="true" outlineLevel="0" collapsed="false">
      <c r="A2716" s="3" t="n">
        <f aca="false">ROW()-2</f>
        <v>2714</v>
      </c>
      <c r="B2716" s="3" t="n">
        <f aca="false">INT(A2716/$N$1)</f>
        <v>150</v>
      </c>
      <c r="C2716" s="3" t="n">
        <f aca="false">INT(MOD(A2716,$N$1) / 2)</f>
        <v>7</v>
      </c>
      <c r="D2716" s="3" t="n">
        <f aca="false">_xlfn.BITAND(A2716,1)</f>
        <v>0</v>
      </c>
      <c r="E2716" s="3"/>
      <c r="F2716" s="3" t="str">
        <f aca="false">DEC2HEX(B2716*$N$3*18)</f>
        <v>2A300</v>
      </c>
      <c r="G2716" s="3" t="str">
        <f aca="false">DEC2HEX(C2716*7)</f>
        <v>31</v>
      </c>
      <c r="H2716" s="3" t="n">
        <f aca="false">IF(D2716=0, 33, "cc")</f>
        <v>33</v>
      </c>
    </row>
    <row r="2717" customFormat="false" ht="18.65" hidden="false" customHeight="true" outlineLevel="0" collapsed="false">
      <c r="A2717" s="3" t="n">
        <f aca="false">ROW()-2</f>
        <v>2715</v>
      </c>
      <c r="B2717" s="3" t="n">
        <f aca="false">INT(A2717/$N$1)</f>
        <v>150</v>
      </c>
      <c r="C2717" s="3" t="n">
        <f aca="false">INT(MOD(A2717,$N$1) / 2)</f>
        <v>7</v>
      </c>
      <c r="D2717" s="3" t="n">
        <f aca="false">_xlfn.BITAND(A2717,1)</f>
        <v>1</v>
      </c>
      <c r="E2717" s="3"/>
      <c r="F2717" s="3" t="str">
        <f aca="false">DEC2HEX(B2717*$N$3*18)</f>
        <v>2A300</v>
      </c>
      <c r="G2717" s="3" t="str">
        <f aca="false">DEC2HEX(C2717*7)</f>
        <v>31</v>
      </c>
      <c r="H2717" s="3" t="str">
        <f aca="false">IF(D2717=0, 33, "cc")</f>
        <v>cc</v>
      </c>
    </row>
    <row r="2718" customFormat="false" ht="18.65" hidden="false" customHeight="true" outlineLevel="0" collapsed="false">
      <c r="A2718" s="3" t="n">
        <f aca="false">ROW()-2</f>
        <v>2716</v>
      </c>
      <c r="B2718" s="3" t="n">
        <f aca="false">INT(A2718/$N$1)</f>
        <v>150</v>
      </c>
      <c r="C2718" s="3" t="n">
        <f aca="false">INT(MOD(A2718,$N$1) / 2)</f>
        <v>8</v>
      </c>
      <c r="D2718" s="3" t="n">
        <f aca="false">_xlfn.BITAND(A2718,1)</f>
        <v>0</v>
      </c>
      <c r="E2718" s="3"/>
      <c r="F2718" s="3" t="str">
        <f aca="false">DEC2HEX(B2718*$N$3*18)</f>
        <v>2A300</v>
      </c>
      <c r="G2718" s="3" t="str">
        <f aca="false">DEC2HEX(C2718*7)</f>
        <v>38</v>
      </c>
      <c r="H2718" s="3" t="n">
        <f aca="false">IF(D2718=0, 33, "cc")</f>
        <v>33</v>
      </c>
    </row>
    <row r="2719" customFormat="false" ht="18.65" hidden="false" customHeight="true" outlineLevel="0" collapsed="false">
      <c r="A2719" s="3" t="n">
        <f aca="false">ROW()-2</f>
        <v>2717</v>
      </c>
      <c r="B2719" s="3" t="n">
        <f aca="false">INT(A2719/$N$1)</f>
        <v>150</v>
      </c>
      <c r="C2719" s="3" t="n">
        <f aca="false">INT(MOD(A2719,$N$1) / 2)</f>
        <v>8</v>
      </c>
      <c r="D2719" s="3" t="n">
        <f aca="false">_xlfn.BITAND(A2719,1)</f>
        <v>1</v>
      </c>
      <c r="E2719" s="3"/>
      <c r="F2719" s="3" t="str">
        <f aca="false">DEC2HEX(B2719*$N$3*18)</f>
        <v>2A300</v>
      </c>
      <c r="G2719" s="3" t="str">
        <f aca="false">DEC2HEX(C2719*7)</f>
        <v>38</v>
      </c>
      <c r="H2719" s="3" t="str">
        <f aca="false">IF(D2719=0, 33, "cc")</f>
        <v>cc</v>
      </c>
    </row>
    <row r="2720" customFormat="false" ht="18.65" hidden="false" customHeight="true" outlineLevel="0" collapsed="false">
      <c r="A2720" s="3" t="n">
        <f aca="false">ROW()-2</f>
        <v>2718</v>
      </c>
      <c r="B2720" s="3" t="n">
        <f aca="false">INT(A2720/$N$1)</f>
        <v>151</v>
      </c>
      <c r="C2720" s="3" t="n">
        <f aca="false">INT(MOD(A2720,$N$1) / 2)</f>
        <v>0</v>
      </c>
      <c r="D2720" s="3" t="n">
        <f aca="false">_xlfn.BITAND(A2720,1)</f>
        <v>0</v>
      </c>
      <c r="E2720" s="3"/>
      <c r="F2720" s="3" t="str">
        <f aca="false">DEC2HEX(B2720*$N$3*18)</f>
        <v>2A780</v>
      </c>
      <c r="G2720" s="3" t="str">
        <f aca="false">DEC2HEX(C2720*7)</f>
        <v>0</v>
      </c>
      <c r="H2720" s="3" t="n">
        <f aca="false">IF(D2720=0, 33, "cc")</f>
        <v>33</v>
      </c>
    </row>
    <row r="2721" customFormat="false" ht="18.65" hidden="false" customHeight="true" outlineLevel="0" collapsed="false">
      <c r="A2721" s="3" t="n">
        <f aca="false">ROW()-2</f>
        <v>2719</v>
      </c>
      <c r="B2721" s="3" t="n">
        <f aca="false">INT(A2721/$N$1)</f>
        <v>151</v>
      </c>
      <c r="C2721" s="3" t="n">
        <f aca="false">INT(MOD(A2721,$N$1) / 2)</f>
        <v>0</v>
      </c>
      <c r="D2721" s="3" t="n">
        <f aca="false">_xlfn.BITAND(A2721,1)</f>
        <v>1</v>
      </c>
      <c r="E2721" s="3"/>
      <c r="F2721" s="3" t="str">
        <f aca="false">DEC2HEX(B2721*$N$3*18)</f>
        <v>2A780</v>
      </c>
      <c r="G2721" s="3" t="str">
        <f aca="false">DEC2HEX(C2721*7)</f>
        <v>0</v>
      </c>
      <c r="H2721" s="3" t="str">
        <f aca="false">IF(D2721=0, 33, "cc")</f>
        <v>cc</v>
      </c>
    </row>
    <row r="2722" customFormat="false" ht="18.65" hidden="false" customHeight="true" outlineLevel="0" collapsed="false">
      <c r="A2722" s="3" t="n">
        <f aca="false">ROW()-2</f>
        <v>2720</v>
      </c>
      <c r="B2722" s="3" t="n">
        <f aca="false">INT(A2722/$N$1)</f>
        <v>151</v>
      </c>
      <c r="C2722" s="3" t="n">
        <f aca="false">INT(MOD(A2722,$N$1) / 2)</f>
        <v>1</v>
      </c>
      <c r="D2722" s="3" t="n">
        <f aca="false">_xlfn.BITAND(A2722,1)</f>
        <v>0</v>
      </c>
      <c r="E2722" s="3"/>
      <c r="F2722" s="3" t="str">
        <f aca="false">DEC2HEX(B2722*$N$3*18)</f>
        <v>2A780</v>
      </c>
      <c r="G2722" s="3" t="str">
        <f aca="false">DEC2HEX(C2722*7)</f>
        <v>7</v>
      </c>
      <c r="H2722" s="3" t="n">
        <f aca="false">IF(D2722=0, 33, "cc")</f>
        <v>33</v>
      </c>
    </row>
    <row r="2723" customFormat="false" ht="18.65" hidden="false" customHeight="true" outlineLevel="0" collapsed="false">
      <c r="A2723" s="3" t="n">
        <f aca="false">ROW()-2</f>
        <v>2721</v>
      </c>
      <c r="B2723" s="3" t="n">
        <f aca="false">INT(A2723/$N$1)</f>
        <v>151</v>
      </c>
      <c r="C2723" s="3" t="n">
        <f aca="false">INT(MOD(A2723,$N$1) / 2)</f>
        <v>1</v>
      </c>
      <c r="D2723" s="3" t="n">
        <f aca="false">_xlfn.BITAND(A2723,1)</f>
        <v>1</v>
      </c>
      <c r="E2723" s="3"/>
      <c r="F2723" s="3" t="str">
        <f aca="false">DEC2HEX(B2723*$N$3*18)</f>
        <v>2A780</v>
      </c>
      <c r="G2723" s="3" t="str">
        <f aca="false">DEC2HEX(C2723*7)</f>
        <v>7</v>
      </c>
      <c r="H2723" s="3" t="str">
        <f aca="false">IF(D2723=0, 33, "cc")</f>
        <v>cc</v>
      </c>
    </row>
    <row r="2724" customFormat="false" ht="18.65" hidden="false" customHeight="true" outlineLevel="0" collapsed="false">
      <c r="A2724" s="3" t="n">
        <f aca="false">ROW()-2</f>
        <v>2722</v>
      </c>
      <c r="B2724" s="3" t="n">
        <f aca="false">INT(A2724/$N$1)</f>
        <v>151</v>
      </c>
      <c r="C2724" s="3" t="n">
        <f aca="false">INT(MOD(A2724,$N$1) / 2)</f>
        <v>2</v>
      </c>
      <c r="D2724" s="3" t="n">
        <f aca="false">_xlfn.BITAND(A2724,1)</f>
        <v>0</v>
      </c>
      <c r="E2724" s="3"/>
      <c r="F2724" s="3" t="str">
        <f aca="false">DEC2HEX(B2724*$N$3*18)</f>
        <v>2A780</v>
      </c>
      <c r="G2724" s="3" t="str">
        <f aca="false">DEC2HEX(C2724*7)</f>
        <v>E</v>
      </c>
      <c r="H2724" s="3" t="n">
        <f aca="false">IF(D2724=0, 33, "cc")</f>
        <v>33</v>
      </c>
    </row>
    <row r="2725" customFormat="false" ht="18.65" hidden="false" customHeight="true" outlineLevel="0" collapsed="false">
      <c r="A2725" s="3" t="n">
        <f aca="false">ROW()-2</f>
        <v>2723</v>
      </c>
      <c r="B2725" s="3" t="n">
        <f aca="false">INT(A2725/$N$1)</f>
        <v>151</v>
      </c>
      <c r="C2725" s="3" t="n">
        <f aca="false">INT(MOD(A2725,$N$1) / 2)</f>
        <v>2</v>
      </c>
      <c r="D2725" s="3" t="n">
        <f aca="false">_xlfn.BITAND(A2725,1)</f>
        <v>1</v>
      </c>
      <c r="E2725" s="3"/>
      <c r="F2725" s="3" t="str">
        <f aca="false">DEC2HEX(B2725*$N$3*18)</f>
        <v>2A780</v>
      </c>
      <c r="G2725" s="3" t="str">
        <f aca="false">DEC2HEX(C2725*7)</f>
        <v>E</v>
      </c>
      <c r="H2725" s="3" t="str">
        <f aca="false">IF(D2725=0, 33, "cc")</f>
        <v>cc</v>
      </c>
    </row>
    <row r="2726" customFormat="false" ht="18.65" hidden="false" customHeight="true" outlineLevel="0" collapsed="false">
      <c r="A2726" s="3" t="n">
        <f aca="false">ROW()-2</f>
        <v>2724</v>
      </c>
      <c r="B2726" s="3" t="n">
        <f aca="false">INT(A2726/$N$1)</f>
        <v>151</v>
      </c>
      <c r="C2726" s="3" t="n">
        <f aca="false">INT(MOD(A2726,$N$1) / 2)</f>
        <v>3</v>
      </c>
      <c r="D2726" s="3" t="n">
        <f aca="false">_xlfn.BITAND(A2726,1)</f>
        <v>0</v>
      </c>
      <c r="E2726" s="3"/>
      <c r="F2726" s="3" t="str">
        <f aca="false">DEC2HEX(B2726*$N$3*18)</f>
        <v>2A780</v>
      </c>
      <c r="G2726" s="3" t="str">
        <f aca="false">DEC2HEX(C2726*7)</f>
        <v>15</v>
      </c>
      <c r="H2726" s="3" t="n">
        <f aca="false">IF(D2726=0, 33, "cc")</f>
        <v>33</v>
      </c>
    </row>
    <row r="2727" customFormat="false" ht="18.65" hidden="false" customHeight="true" outlineLevel="0" collapsed="false">
      <c r="A2727" s="3" t="n">
        <f aca="false">ROW()-2</f>
        <v>2725</v>
      </c>
      <c r="B2727" s="3" t="n">
        <f aca="false">INT(A2727/$N$1)</f>
        <v>151</v>
      </c>
      <c r="C2727" s="3" t="n">
        <f aca="false">INT(MOD(A2727,$N$1) / 2)</f>
        <v>3</v>
      </c>
      <c r="D2727" s="3" t="n">
        <f aca="false">_xlfn.BITAND(A2727,1)</f>
        <v>1</v>
      </c>
      <c r="E2727" s="3"/>
      <c r="F2727" s="3" t="str">
        <f aca="false">DEC2HEX(B2727*$N$3*18)</f>
        <v>2A780</v>
      </c>
      <c r="G2727" s="3" t="str">
        <f aca="false">DEC2HEX(C2727*7)</f>
        <v>15</v>
      </c>
      <c r="H2727" s="3" t="str">
        <f aca="false">IF(D2727=0, 33, "cc")</f>
        <v>cc</v>
      </c>
    </row>
    <row r="2728" customFormat="false" ht="18.65" hidden="false" customHeight="true" outlineLevel="0" collapsed="false">
      <c r="A2728" s="3" t="n">
        <f aca="false">ROW()-2</f>
        <v>2726</v>
      </c>
      <c r="B2728" s="3" t="n">
        <f aca="false">INT(A2728/$N$1)</f>
        <v>151</v>
      </c>
      <c r="C2728" s="3" t="n">
        <f aca="false">INT(MOD(A2728,$N$1) / 2)</f>
        <v>4</v>
      </c>
      <c r="D2728" s="3" t="n">
        <f aca="false">_xlfn.BITAND(A2728,1)</f>
        <v>0</v>
      </c>
      <c r="E2728" s="3"/>
      <c r="F2728" s="3" t="str">
        <f aca="false">DEC2HEX(B2728*$N$3*18)</f>
        <v>2A780</v>
      </c>
      <c r="G2728" s="3" t="str">
        <f aca="false">DEC2HEX(C2728*7)</f>
        <v>1C</v>
      </c>
      <c r="H2728" s="3" t="n">
        <f aca="false">IF(D2728=0, 33, "cc")</f>
        <v>33</v>
      </c>
    </row>
    <row r="2729" customFormat="false" ht="18.65" hidden="false" customHeight="true" outlineLevel="0" collapsed="false">
      <c r="A2729" s="3" t="n">
        <f aca="false">ROW()-2</f>
        <v>2727</v>
      </c>
      <c r="B2729" s="3" t="n">
        <f aca="false">INT(A2729/$N$1)</f>
        <v>151</v>
      </c>
      <c r="C2729" s="3" t="n">
        <f aca="false">INT(MOD(A2729,$N$1) / 2)</f>
        <v>4</v>
      </c>
      <c r="D2729" s="3" t="n">
        <f aca="false">_xlfn.BITAND(A2729,1)</f>
        <v>1</v>
      </c>
      <c r="E2729" s="3"/>
      <c r="F2729" s="3" t="str">
        <f aca="false">DEC2HEX(B2729*$N$3*18)</f>
        <v>2A780</v>
      </c>
      <c r="G2729" s="3" t="str">
        <f aca="false">DEC2HEX(C2729*7)</f>
        <v>1C</v>
      </c>
      <c r="H2729" s="3" t="str">
        <f aca="false">IF(D2729=0, 33, "cc")</f>
        <v>cc</v>
      </c>
    </row>
    <row r="2730" customFormat="false" ht="18.65" hidden="false" customHeight="true" outlineLevel="0" collapsed="false">
      <c r="A2730" s="3" t="n">
        <f aca="false">ROW()-2</f>
        <v>2728</v>
      </c>
      <c r="B2730" s="3" t="n">
        <f aca="false">INT(A2730/$N$1)</f>
        <v>151</v>
      </c>
      <c r="C2730" s="3" t="n">
        <f aca="false">INT(MOD(A2730,$N$1) / 2)</f>
        <v>5</v>
      </c>
      <c r="D2730" s="3" t="n">
        <f aca="false">_xlfn.BITAND(A2730,1)</f>
        <v>0</v>
      </c>
      <c r="E2730" s="3"/>
      <c r="F2730" s="3" t="str">
        <f aca="false">DEC2HEX(B2730*$N$3*18)</f>
        <v>2A780</v>
      </c>
      <c r="G2730" s="3" t="str">
        <f aca="false">DEC2HEX(C2730*7)</f>
        <v>23</v>
      </c>
      <c r="H2730" s="3" t="n">
        <f aca="false">IF(D2730=0, 33, "cc")</f>
        <v>33</v>
      </c>
    </row>
    <row r="2731" customFormat="false" ht="18.65" hidden="false" customHeight="true" outlineLevel="0" collapsed="false">
      <c r="A2731" s="3" t="n">
        <f aca="false">ROW()-2</f>
        <v>2729</v>
      </c>
      <c r="B2731" s="3" t="n">
        <f aca="false">INT(A2731/$N$1)</f>
        <v>151</v>
      </c>
      <c r="C2731" s="3" t="n">
        <f aca="false">INT(MOD(A2731,$N$1) / 2)</f>
        <v>5</v>
      </c>
      <c r="D2731" s="3" t="n">
        <f aca="false">_xlfn.BITAND(A2731,1)</f>
        <v>1</v>
      </c>
      <c r="E2731" s="3"/>
      <c r="F2731" s="3" t="str">
        <f aca="false">DEC2HEX(B2731*$N$3*18)</f>
        <v>2A780</v>
      </c>
      <c r="G2731" s="3" t="str">
        <f aca="false">DEC2HEX(C2731*7)</f>
        <v>23</v>
      </c>
      <c r="H2731" s="3" t="str">
        <f aca="false">IF(D2731=0, 33, "cc")</f>
        <v>cc</v>
      </c>
    </row>
    <row r="2732" customFormat="false" ht="18.65" hidden="false" customHeight="true" outlineLevel="0" collapsed="false">
      <c r="A2732" s="3" t="n">
        <f aca="false">ROW()-2</f>
        <v>2730</v>
      </c>
      <c r="B2732" s="3" t="n">
        <f aca="false">INT(A2732/$N$1)</f>
        <v>151</v>
      </c>
      <c r="C2732" s="3" t="n">
        <f aca="false">INT(MOD(A2732,$N$1) / 2)</f>
        <v>6</v>
      </c>
      <c r="D2732" s="3" t="n">
        <f aca="false">_xlfn.BITAND(A2732,1)</f>
        <v>0</v>
      </c>
      <c r="E2732" s="3"/>
      <c r="F2732" s="3" t="str">
        <f aca="false">DEC2HEX(B2732*$N$3*18)</f>
        <v>2A780</v>
      </c>
      <c r="G2732" s="3" t="str">
        <f aca="false">DEC2HEX(C2732*7)</f>
        <v>2A</v>
      </c>
      <c r="H2732" s="3" t="n">
        <f aca="false">IF(D2732=0, 33, "cc")</f>
        <v>33</v>
      </c>
    </row>
    <row r="2733" customFormat="false" ht="18.65" hidden="false" customHeight="true" outlineLevel="0" collapsed="false">
      <c r="A2733" s="3" t="n">
        <f aca="false">ROW()-2</f>
        <v>2731</v>
      </c>
      <c r="B2733" s="3" t="n">
        <f aca="false">INT(A2733/$N$1)</f>
        <v>151</v>
      </c>
      <c r="C2733" s="3" t="n">
        <f aca="false">INT(MOD(A2733,$N$1) / 2)</f>
        <v>6</v>
      </c>
      <c r="D2733" s="3" t="n">
        <f aca="false">_xlfn.BITAND(A2733,1)</f>
        <v>1</v>
      </c>
      <c r="E2733" s="3"/>
      <c r="F2733" s="3" t="str">
        <f aca="false">DEC2HEX(B2733*$N$3*18)</f>
        <v>2A780</v>
      </c>
      <c r="G2733" s="3" t="str">
        <f aca="false">DEC2HEX(C2733*7)</f>
        <v>2A</v>
      </c>
      <c r="H2733" s="3" t="str">
        <f aca="false">IF(D2733=0, 33, "cc")</f>
        <v>cc</v>
      </c>
    </row>
    <row r="2734" customFormat="false" ht="18.65" hidden="false" customHeight="true" outlineLevel="0" collapsed="false">
      <c r="A2734" s="3" t="n">
        <f aca="false">ROW()-2</f>
        <v>2732</v>
      </c>
      <c r="B2734" s="3" t="n">
        <f aca="false">INT(A2734/$N$1)</f>
        <v>151</v>
      </c>
      <c r="C2734" s="3" t="n">
        <f aca="false">INT(MOD(A2734,$N$1) / 2)</f>
        <v>7</v>
      </c>
      <c r="D2734" s="3" t="n">
        <f aca="false">_xlfn.BITAND(A2734,1)</f>
        <v>0</v>
      </c>
      <c r="E2734" s="3"/>
      <c r="F2734" s="3" t="str">
        <f aca="false">DEC2HEX(B2734*$N$3*18)</f>
        <v>2A780</v>
      </c>
      <c r="G2734" s="3" t="str">
        <f aca="false">DEC2HEX(C2734*7)</f>
        <v>31</v>
      </c>
      <c r="H2734" s="3" t="n">
        <f aca="false">IF(D2734=0, 33, "cc")</f>
        <v>33</v>
      </c>
    </row>
    <row r="2735" customFormat="false" ht="18.65" hidden="false" customHeight="true" outlineLevel="0" collapsed="false">
      <c r="A2735" s="3" t="n">
        <f aca="false">ROW()-2</f>
        <v>2733</v>
      </c>
      <c r="B2735" s="3" t="n">
        <f aca="false">INT(A2735/$N$1)</f>
        <v>151</v>
      </c>
      <c r="C2735" s="3" t="n">
        <f aca="false">INT(MOD(A2735,$N$1) / 2)</f>
        <v>7</v>
      </c>
      <c r="D2735" s="3" t="n">
        <f aca="false">_xlfn.BITAND(A2735,1)</f>
        <v>1</v>
      </c>
      <c r="E2735" s="3"/>
      <c r="F2735" s="3" t="str">
        <f aca="false">DEC2HEX(B2735*$N$3*18)</f>
        <v>2A780</v>
      </c>
      <c r="G2735" s="3" t="str">
        <f aca="false">DEC2HEX(C2735*7)</f>
        <v>31</v>
      </c>
      <c r="H2735" s="3" t="str">
        <f aca="false">IF(D2735=0, 33, "cc")</f>
        <v>cc</v>
      </c>
    </row>
    <row r="2736" customFormat="false" ht="18.65" hidden="false" customHeight="true" outlineLevel="0" collapsed="false">
      <c r="A2736" s="3" t="n">
        <f aca="false">ROW()-2</f>
        <v>2734</v>
      </c>
      <c r="B2736" s="3" t="n">
        <f aca="false">INT(A2736/$N$1)</f>
        <v>151</v>
      </c>
      <c r="C2736" s="3" t="n">
        <f aca="false">INT(MOD(A2736,$N$1) / 2)</f>
        <v>8</v>
      </c>
      <c r="D2736" s="3" t="n">
        <f aca="false">_xlfn.BITAND(A2736,1)</f>
        <v>0</v>
      </c>
      <c r="E2736" s="3"/>
      <c r="F2736" s="3" t="str">
        <f aca="false">DEC2HEX(B2736*$N$3*18)</f>
        <v>2A780</v>
      </c>
      <c r="G2736" s="3" t="str">
        <f aca="false">DEC2HEX(C2736*7)</f>
        <v>38</v>
      </c>
      <c r="H2736" s="3" t="n">
        <f aca="false">IF(D2736=0, 33, "cc")</f>
        <v>33</v>
      </c>
    </row>
    <row r="2737" customFormat="false" ht="18.65" hidden="false" customHeight="true" outlineLevel="0" collapsed="false">
      <c r="A2737" s="3" t="n">
        <f aca="false">ROW()-2</f>
        <v>2735</v>
      </c>
      <c r="B2737" s="3" t="n">
        <f aca="false">INT(A2737/$N$1)</f>
        <v>151</v>
      </c>
      <c r="C2737" s="3" t="n">
        <f aca="false">INT(MOD(A2737,$N$1) / 2)</f>
        <v>8</v>
      </c>
      <c r="D2737" s="3" t="n">
        <f aca="false">_xlfn.BITAND(A2737,1)</f>
        <v>1</v>
      </c>
      <c r="E2737" s="3"/>
      <c r="F2737" s="3" t="str">
        <f aca="false">DEC2HEX(B2737*$N$3*18)</f>
        <v>2A780</v>
      </c>
      <c r="G2737" s="3" t="str">
        <f aca="false">DEC2HEX(C2737*7)</f>
        <v>38</v>
      </c>
      <c r="H2737" s="3" t="str">
        <f aca="false">IF(D2737=0, 33, "cc")</f>
        <v>cc</v>
      </c>
    </row>
    <row r="2738" customFormat="false" ht="18.65" hidden="false" customHeight="true" outlineLevel="0" collapsed="false">
      <c r="A2738" s="3" t="n">
        <f aca="false">ROW()-2</f>
        <v>2736</v>
      </c>
      <c r="B2738" s="3" t="n">
        <f aca="false">INT(A2738/$N$1)</f>
        <v>152</v>
      </c>
      <c r="C2738" s="3" t="n">
        <f aca="false">INT(MOD(A2738,$N$1) / 2)</f>
        <v>0</v>
      </c>
      <c r="D2738" s="3" t="n">
        <f aca="false">_xlfn.BITAND(A2738,1)</f>
        <v>0</v>
      </c>
      <c r="E2738" s="3"/>
      <c r="F2738" s="3" t="str">
        <f aca="false">DEC2HEX(B2738*$N$3*18)</f>
        <v>2AC00</v>
      </c>
      <c r="G2738" s="3" t="str">
        <f aca="false">DEC2HEX(C2738*7)</f>
        <v>0</v>
      </c>
      <c r="H2738" s="3" t="n">
        <f aca="false">IF(D2738=0, 33, "cc")</f>
        <v>33</v>
      </c>
    </row>
    <row r="2739" customFormat="false" ht="18.65" hidden="false" customHeight="true" outlineLevel="0" collapsed="false">
      <c r="A2739" s="3" t="n">
        <f aca="false">ROW()-2</f>
        <v>2737</v>
      </c>
      <c r="B2739" s="3" t="n">
        <f aca="false">INT(A2739/$N$1)</f>
        <v>152</v>
      </c>
      <c r="C2739" s="3" t="n">
        <f aca="false">INT(MOD(A2739,$N$1) / 2)</f>
        <v>0</v>
      </c>
      <c r="D2739" s="3" t="n">
        <f aca="false">_xlfn.BITAND(A2739,1)</f>
        <v>1</v>
      </c>
      <c r="E2739" s="3"/>
      <c r="F2739" s="3" t="str">
        <f aca="false">DEC2HEX(B2739*$N$3*18)</f>
        <v>2AC00</v>
      </c>
      <c r="G2739" s="3" t="str">
        <f aca="false">DEC2HEX(C2739*7)</f>
        <v>0</v>
      </c>
      <c r="H2739" s="3" t="str">
        <f aca="false">IF(D2739=0, 33, "cc")</f>
        <v>cc</v>
      </c>
    </row>
    <row r="2740" customFormat="false" ht="18.65" hidden="false" customHeight="true" outlineLevel="0" collapsed="false">
      <c r="A2740" s="3" t="n">
        <f aca="false">ROW()-2</f>
        <v>2738</v>
      </c>
      <c r="B2740" s="3" t="n">
        <f aca="false">INT(A2740/$N$1)</f>
        <v>152</v>
      </c>
      <c r="C2740" s="3" t="n">
        <f aca="false">INT(MOD(A2740,$N$1) / 2)</f>
        <v>1</v>
      </c>
      <c r="D2740" s="3" t="n">
        <f aca="false">_xlfn.BITAND(A2740,1)</f>
        <v>0</v>
      </c>
      <c r="E2740" s="3"/>
      <c r="F2740" s="3" t="str">
        <f aca="false">DEC2HEX(B2740*$N$3*18)</f>
        <v>2AC00</v>
      </c>
      <c r="G2740" s="3" t="str">
        <f aca="false">DEC2HEX(C2740*7)</f>
        <v>7</v>
      </c>
      <c r="H2740" s="3" t="n">
        <f aca="false">IF(D2740=0, 33, "cc")</f>
        <v>33</v>
      </c>
    </row>
    <row r="2741" customFormat="false" ht="18.65" hidden="false" customHeight="true" outlineLevel="0" collapsed="false">
      <c r="A2741" s="3" t="n">
        <f aca="false">ROW()-2</f>
        <v>2739</v>
      </c>
      <c r="B2741" s="3" t="n">
        <f aca="false">INT(A2741/$N$1)</f>
        <v>152</v>
      </c>
      <c r="C2741" s="3" t="n">
        <f aca="false">INT(MOD(A2741,$N$1) / 2)</f>
        <v>1</v>
      </c>
      <c r="D2741" s="3" t="n">
        <f aca="false">_xlfn.BITAND(A2741,1)</f>
        <v>1</v>
      </c>
      <c r="E2741" s="3"/>
      <c r="F2741" s="3" t="str">
        <f aca="false">DEC2HEX(B2741*$N$3*18)</f>
        <v>2AC00</v>
      </c>
      <c r="G2741" s="3" t="str">
        <f aca="false">DEC2HEX(C2741*7)</f>
        <v>7</v>
      </c>
      <c r="H2741" s="3" t="str">
        <f aca="false">IF(D2741=0, 33, "cc")</f>
        <v>cc</v>
      </c>
    </row>
    <row r="2742" customFormat="false" ht="18.65" hidden="false" customHeight="true" outlineLevel="0" collapsed="false">
      <c r="A2742" s="3" t="n">
        <f aca="false">ROW()-2</f>
        <v>2740</v>
      </c>
      <c r="B2742" s="3" t="n">
        <f aca="false">INT(A2742/$N$1)</f>
        <v>152</v>
      </c>
      <c r="C2742" s="3" t="n">
        <f aca="false">INT(MOD(A2742,$N$1) / 2)</f>
        <v>2</v>
      </c>
      <c r="D2742" s="3" t="n">
        <f aca="false">_xlfn.BITAND(A2742,1)</f>
        <v>0</v>
      </c>
      <c r="E2742" s="3"/>
      <c r="F2742" s="3" t="str">
        <f aca="false">DEC2HEX(B2742*$N$3*18)</f>
        <v>2AC00</v>
      </c>
      <c r="G2742" s="3" t="str">
        <f aca="false">DEC2HEX(C2742*7)</f>
        <v>E</v>
      </c>
      <c r="H2742" s="3" t="n">
        <f aca="false">IF(D2742=0, 33, "cc")</f>
        <v>33</v>
      </c>
    </row>
    <row r="2743" customFormat="false" ht="18.65" hidden="false" customHeight="true" outlineLevel="0" collapsed="false">
      <c r="A2743" s="3" t="n">
        <f aca="false">ROW()-2</f>
        <v>2741</v>
      </c>
      <c r="B2743" s="3" t="n">
        <f aca="false">INT(A2743/$N$1)</f>
        <v>152</v>
      </c>
      <c r="C2743" s="3" t="n">
        <f aca="false">INT(MOD(A2743,$N$1) / 2)</f>
        <v>2</v>
      </c>
      <c r="D2743" s="3" t="n">
        <f aca="false">_xlfn.BITAND(A2743,1)</f>
        <v>1</v>
      </c>
      <c r="E2743" s="3"/>
      <c r="F2743" s="3" t="str">
        <f aca="false">DEC2HEX(B2743*$N$3*18)</f>
        <v>2AC00</v>
      </c>
      <c r="G2743" s="3" t="str">
        <f aca="false">DEC2HEX(C2743*7)</f>
        <v>E</v>
      </c>
      <c r="H2743" s="3" t="str">
        <f aca="false">IF(D2743=0, 33, "cc")</f>
        <v>cc</v>
      </c>
    </row>
    <row r="2744" customFormat="false" ht="18.65" hidden="false" customHeight="true" outlineLevel="0" collapsed="false">
      <c r="A2744" s="3" t="n">
        <f aca="false">ROW()-2</f>
        <v>2742</v>
      </c>
      <c r="B2744" s="3" t="n">
        <f aca="false">INT(A2744/$N$1)</f>
        <v>152</v>
      </c>
      <c r="C2744" s="3" t="n">
        <f aca="false">INT(MOD(A2744,$N$1) / 2)</f>
        <v>3</v>
      </c>
      <c r="D2744" s="3" t="n">
        <f aca="false">_xlfn.BITAND(A2744,1)</f>
        <v>0</v>
      </c>
      <c r="E2744" s="3"/>
      <c r="F2744" s="3" t="str">
        <f aca="false">DEC2HEX(B2744*$N$3*18)</f>
        <v>2AC00</v>
      </c>
      <c r="G2744" s="3" t="str">
        <f aca="false">DEC2HEX(C2744*7)</f>
        <v>15</v>
      </c>
      <c r="H2744" s="3" t="n">
        <f aca="false">IF(D2744=0, 33, "cc")</f>
        <v>33</v>
      </c>
    </row>
    <row r="2745" customFormat="false" ht="18.65" hidden="false" customHeight="true" outlineLevel="0" collapsed="false">
      <c r="A2745" s="3" t="n">
        <f aca="false">ROW()-2</f>
        <v>2743</v>
      </c>
      <c r="B2745" s="3" t="n">
        <f aca="false">INT(A2745/$N$1)</f>
        <v>152</v>
      </c>
      <c r="C2745" s="3" t="n">
        <f aca="false">INT(MOD(A2745,$N$1) / 2)</f>
        <v>3</v>
      </c>
      <c r="D2745" s="3" t="n">
        <f aca="false">_xlfn.BITAND(A2745,1)</f>
        <v>1</v>
      </c>
      <c r="E2745" s="3"/>
      <c r="F2745" s="3" t="str">
        <f aca="false">DEC2HEX(B2745*$N$3*18)</f>
        <v>2AC00</v>
      </c>
      <c r="G2745" s="3" t="str">
        <f aca="false">DEC2HEX(C2745*7)</f>
        <v>15</v>
      </c>
      <c r="H2745" s="3" t="str">
        <f aca="false">IF(D2745=0, 33, "cc")</f>
        <v>cc</v>
      </c>
    </row>
    <row r="2746" customFormat="false" ht="18.65" hidden="false" customHeight="true" outlineLevel="0" collapsed="false">
      <c r="A2746" s="3" t="n">
        <f aca="false">ROW()-2</f>
        <v>2744</v>
      </c>
      <c r="B2746" s="3" t="n">
        <f aca="false">INT(A2746/$N$1)</f>
        <v>152</v>
      </c>
      <c r="C2746" s="3" t="n">
        <f aca="false">INT(MOD(A2746,$N$1) / 2)</f>
        <v>4</v>
      </c>
      <c r="D2746" s="3" t="n">
        <f aca="false">_xlfn.BITAND(A2746,1)</f>
        <v>0</v>
      </c>
      <c r="E2746" s="3"/>
      <c r="F2746" s="3" t="str">
        <f aca="false">DEC2HEX(B2746*$N$3*18)</f>
        <v>2AC00</v>
      </c>
      <c r="G2746" s="3" t="str">
        <f aca="false">DEC2HEX(C2746*7)</f>
        <v>1C</v>
      </c>
      <c r="H2746" s="3" t="n">
        <f aca="false">IF(D2746=0, 33, "cc")</f>
        <v>33</v>
      </c>
    </row>
    <row r="2747" customFormat="false" ht="18.65" hidden="false" customHeight="true" outlineLevel="0" collapsed="false">
      <c r="A2747" s="3" t="n">
        <f aca="false">ROW()-2</f>
        <v>2745</v>
      </c>
      <c r="B2747" s="3" t="n">
        <f aca="false">INT(A2747/$N$1)</f>
        <v>152</v>
      </c>
      <c r="C2747" s="3" t="n">
        <f aca="false">INT(MOD(A2747,$N$1) / 2)</f>
        <v>4</v>
      </c>
      <c r="D2747" s="3" t="n">
        <f aca="false">_xlfn.BITAND(A2747,1)</f>
        <v>1</v>
      </c>
      <c r="E2747" s="3"/>
      <c r="F2747" s="3" t="str">
        <f aca="false">DEC2HEX(B2747*$N$3*18)</f>
        <v>2AC00</v>
      </c>
      <c r="G2747" s="3" t="str">
        <f aca="false">DEC2HEX(C2747*7)</f>
        <v>1C</v>
      </c>
      <c r="H2747" s="3" t="str">
        <f aca="false">IF(D2747=0, 33, "cc")</f>
        <v>cc</v>
      </c>
    </row>
    <row r="2748" customFormat="false" ht="18.65" hidden="false" customHeight="true" outlineLevel="0" collapsed="false">
      <c r="A2748" s="3" t="n">
        <f aca="false">ROW()-2</f>
        <v>2746</v>
      </c>
      <c r="B2748" s="3" t="n">
        <f aca="false">INT(A2748/$N$1)</f>
        <v>152</v>
      </c>
      <c r="C2748" s="3" t="n">
        <f aca="false">INT(MOD(A2748,$N$1) / 2)</f>
        <v>5</v>
      </c>
      <c r="D2748" s="3" t="n">
        <f aca="false">_xlfn.BITAND(A2748,1)</f>
        <v>0</v>
      </c>
      <c r="E2748" s="3"/>
      <c r="F2748" s="3" t="str">
        <f aca="false">DEC2HEX(B2748*$N$3*18)</f>
        <v>2AC00</v>
      </c>
      <c r="G2748" s="3" t="str">
        <f aca="false">DEC2HEX(C2748*7)</f>
        <v>23</v>
      </c>
      <c r="H2748" s="3" t="n">
        <f aca="false">IF(D2748=0, 33, "cc")</f>
        <v>33</v>
      </c>
    </row>
    <row r="2749" customFormat="false" ht="18.65" hidden="false" customHeight="true" outlineLevel="0" collapsed="false">
      <c r="A2749" s="3" t="n">
        <f aca="false">ROW()-2</f>
        <v>2747</v>
      </c>
      <c r="B2749" s="3" t="n">
        <f aca="false">INT(A2749/$N$1)</f>
        <v>152</v>
      </c>
      <c r="C2749" s="3" t="n">
        <f aca="false">INT(MOD(A2749,$N$1) / 2)</f>
        <v>5</v>
      </c>
      <c r="D2749" s="3" t="n">
        <f aca="false">_xlfn.BITAND(A2749,1)</f>
        <v>1</v>
      </c>
      <c r="E2749" s="3"/>
      <c r="F2749" s="3" t="str">
        <f aca="false">DEC2HEX(B2749*$N$3*18)</f>
        <v>2AC00</v>
      </c>
      <c r="G2749" s="3" t="str">
        <f aca="false">DEC2HEX(C2749*7)</f>
        <v>23</v>
      </c>
      <c r="H2749" s="3" t="str">
        <f aca="false">IF(D2749=0, 33, "cc")</f>
        <v>cc</v>
      </c>
    </row>
    <row r="2750" customFormat="false" ht="18.65" hidden="false" customHeight="true" outlineLevel="0" collapsed="false">
      <c r="A2750" s="3" t="n">
        <f aca="false">ROW()-2</f>
        <v>2748</v>
      </c>
      <c r="B2750" s="3" t="n">
        <f aca="false">INT(A2750/$N$1)</f>
        <v>152</v>
      </c>
      <c r="C2750" s="3" t="n">
        <f aca="false">INT(MOD(A2750,$N$1) / 2)</f>
        <v>6</v>
      </c>
      <c r="D2750" s="3" t="n">
        <f aca="false">_xlfn.BITAND(A2750,1)</f>
        <v>0</v>
      </c>
      <c r="E2750" s="3"/>
      <c r="F2750" s="3" t="str">
        <f aca="false">DEC2HEX(B2750*$N$3*18)</f>
        <v>2AC00</v>
      </c>
      <c r="G2750" s="3" t="str">
        <f aca="false">DEC2HEX(C2750*7)</f>
        <v>2A</v>
      </c>
      <c r="H2750" s="3" t="n">
        <f aca="false">IF(D2750=0, 33, "cc")</f>
        <v>33</v>
      </c>
    </row>
    <row r="2751" customFormat="false" ht="18.65" hidden="false" customHeight="true" outlineLevel="0" collapsed="false">
      <c r="A2751" s="3" t="n">
        <f aca="false">ROW()-2</f>
        <v>2749</v>
      </c>
      <c r="B2751" s="3" t="n">
        <f aca="false">INT(A2751/$N$1)</f>
        <v>152</v>
      </c>
      <c r="C2751" s="3" t="n">
        <f aca="false">INT(MOD(A2751,$N$1) / 2)</f>
        <v>6</v>
      </c>
      <c r="D2751" s="3" t="n">
        <f aca="false">_xlfn.BITAND(A2751,1)</f>
        <v>1</v>
      </c>
      <c r="E2751" s="3"/>
      <c r="F2751" s="3" t="str">
        <f aca="false">DEC2HEX(B2751*$N$3*18)</f>
        <v>2AC00</v>
      </c>
      <c r="G2751" s="3" t="str">
        <f aca="false">DEC2HEX(C2751*7)</f>
        <v>2A</v>
      </c>
      <c r="H2751" s="3" t="str">
        <f aca="false">IF(D2751=0, 33, "cc")</f>
        <v>cc</v>
      </c>
    </row>
    <row r="2752" customFormat="false" ht="18.65" hidden="false" customHeight="true" outlineLevel="0" collapsed="false">
      <c r="A2752" s="3" t="n">
        <f aca="false">ROW()-2</f>
        <v>2750</v>
      </c>
      <c r="B2752" s="3" t="n">
        <f aca="false">INT(A2752/$N$1)</f>
        <v>152</v>
      </c>
      <c r="C2752" s="3" t="n">
        <f aca="false">INT(MOD(A2752,$N$1) / 2)</f>
        <v>7</v>
      </c>
      <c r="D2752" s="3" t="n">
        <f aca="false">_xlfn.BITAND(A2752,1)</f>
        <v>0</v>
      </c>
      <c r="E2752" s="3"/>
      <c r="F2752" s="3" t="str">
        <f aca="false">DEC2HEX(B2752*$N$3*18)</f>
        <v>2AC00</v>
      </c>
      <c r="G2752" s="3" t="str">
        <f aca="false">DEC2HEX(C2752*7)</f>
        <v>31</v>
      </c>
      <c r="H2752" s="3" t="n">
        <f aca="false">IF(D2752=0, 33, "cc")</f>
        <v>33</v>
      </c>
    </row>
    <row r="2753" customFormat="false" ht="18.65" hidden="false" customHeight="true" outlineLevel="0" collapsed="false">
      <c r="A2753" s="3" t="n">
        <f aca="false">ROW()-2</f>
        <v>2751</v>
      </c>
      <c r="B2753" s="3" t="n">
        <f aca="false">INT(A2753/$N$1)</f>
        <v>152</v>
      </c>
      <c r="C2753" s="3" t="n">
        <f aca="false">INT(MOD(A2753,$N$1) / 2)</f>
        <v>7</v>
      </c>
      <c r="D2753" s="3" t="n">
        <f aca="false">_xlfn.BITAND(A2753,1)</f>
        <v>1</v>
      </c>
      <c r="E2753" s="3"/>
      <c r="F2753" s="3" t="str">
        <f aca="false">DEC2HEX(B2753*$N$3*18)</f>
        <v>2AC00</v>
      </c>
      <c r="G2753" s="3" t="str">
        <f aca="false">DEC2HEX(C2753*7)</f>
        <v>31</v>
      </c>
      <c r="H2753" s="3" t="str">
        <f aca="false">IF(D2753=0, 33, "cc")</f>
        <v>cc</v>
      </c>
    </row>
    <row r="2754" customFormat="false" ht="18.65" hidden="false" customHeight="true" outlineLevel="0" collapsed="false">
      <c r="A2754" s="3" t="n">
        <f aca="false">ROW()-2</f>
        <v>2752</v>
      </c>
      <c r="B2754" s="3" t="n">
        <f aca="false">INT(A2754/$N$1)</f>
        <v>152</v>
      </c>
      <c r="C2754" s="3" t="n">
        <f aca="false">INT(MOD(A2754,$N$1) / 2)</f>
        <v>8</v>
      </c>
      <c r="D2754" s="3" t="n">
        <f aca="false">_xlfn.BITAND(A2754,1)</f>
        <v>0</v>
      </c>
      <c r="E2754" s="3"/>
      <c r="F2754" s="3" t="str">
        <f aca="false">DEC2HEX(B2754*$N$3*18)</f>
        <v>2AC00</v>
      </c>
      <c r="G2754" s="3" t="str">
        <f aca="false">DEC2HEX(C2754*7)</f>
        <v>38</v>
      </c>
      <c r="H2754" s="3" t="n">
        <f aca="false">IF(D2754=0, 33, "cc")</f>
        <v>33</v>
      </c>
    </row>
    <row r="2755" customFormat="false" ht="18.65" hidden="false" customHeight="true" outlineLevel="0" collapsed="false">
      <c r="A2755" s="3" t="n">
        <f aca="false">ROW()-2</f>
        <v>2753</v>
      </c>
      <c r="B2755" s="3" t="n">
        <f aca="false">INT(A2755/$N$1)</f>
        <v>152</v>
      </c>
      <c r="C2755" s="3" t="n">
        <f aca="false">INT(MOD(A2755,$N$1) / 2)</f>
        <v>8</v>
      </c>
      <c r="D2755" s="3" t="n">
        <f aca="false">_xlfn.BITAND(A2755,1)</f>
        <v>1</v>
      </c>
      <c r="E2755" s="3"/>
      <c r="F2755" s="3" t="str">
        <f aca="false">DEC2HEX(B2755*$N$3*18)</f>
        <v>2AC00</v>
      </c>
      <c r="G2755" s="3" t="str">
        <f aca="false">DEC2HEX(C2755*7)</f>
        <v>38</v>
      </c>
      <c r="H2755" s="3" t="str">
        <f aca="false">IF(D2755=0, 33, "cc")</f>
        <v>cc</v>
      </c>
    </row>
    <row r="2756" customFormat="false" ht="18.65" hidden="false" customHeight="true" outlineLevel="0" collapsed="false">
      <c r="A2756" s="3" t="n">
        <f aca="false">ROW()-2</f>
        <v>2754</v>
      </c>
      <c r="B2756" s="3" t="n">
        <f aca="false">INT(A2756/$N$1)</f>
        <v>153</v>
      </c>
      <c r="C2756" s="3" t="n">
        <f aca="false">INT(MOD(A2756,$N$1) / 2)</f>
        <v>0</v>
      </c>
      <c r="D2756" s="3" t="n">
        <f aca="false">_xlfn.BITAND(A2756,1)</f>
        <v>0</v>
      </c>
      <c r="E2756" s="3"/>
      <c r="F2756" s="3" t="str">
        <f aca="false">DEC2HEX(B2756*$N$3*18)</f>
        <v>2B080</v>
      </c>
      <c r="G2756" s="3" t="str">
        <f aca="false">DEC2HEX(C2756*7)</f>
        <v>0</v>
      </c>
      <c r="H2756" s="3" t="n">
        <f aca="false">IF(D2756=0, 33, "cc")</f>
        <v>33</v>
      </c>
    </row>
    <row r="2757" customFormat="false" ht="18.65" hidden="false" customHeight="true" outlineLevel="0" collapsed="false">
      <c r="A2757" s="3" t="n">
        <f aca="false">ROW()-2</f>
        <v>2755</v>
      </c>
      <c r="B2757" s="3" t="n">
        <f aca="false">INT(A2757/$N$1)</f>
        <v>153</v>
      </c>
      <c r="C2757" s="3" t="n">
        <f aca="false">INT(MOD(A2757,$N$1) / 2)</f>
        <v>0</v>
      </c>
      <c r="D2757" s="3" t="n">
        <f aca="false">_xlfn.BITAND(A2757,1)</f>
        <v>1</v>
      </c>
      <c r="E2757" s="3"/>
      <c r="F2757" s="3" t="str">
        <f aca="false">DEC2HEX(B2757*$N$3*18)</f>
        <v>2B080</v>
      </c>
      <c r="G2757" s="3" t="str">
        <f aca="false">DEC2HEX(C2757*7)</f>
        <v>0</v>
      </c>
      <c r="H2757" s="3" t="str">
        <f aca="false">IF(D2757=0, 33, "cc")</f>
        <v>cc</v>
      </c>
    </row>
    <row r="2758" customFormat="false" ht="18.65" hidden="false" customHeight="true" outlineLevel="0" collapsed="false">
      <c r="A2758" s="3" t="n">
        <f aca="false">ROW()-2</f>
        <v>2756</v>
      </c>
      <c r="B2758" s="3" t="n">
        <f aca="false">INT(A2758/$N$1)</f>
        <v>153</v>
      </c>
      <c r="C2758" s="3" t="n">
        <f aca="false">INT(MOD(A2758,$N$1) / 2)</f>
        <v>1</v>
      </c>
      <c r="D2758" s="3" t="n">
        <f aca="false">_xlfn.BITAND(A2758,1)</f>
        <v>0</v>
      </c>
      <c r="E2758" s="3"/>
      <c r="F2758" s="3" t="str">
        <f aca="false">DEC2HEX(B2758*$N$3*18)</f>
        <v>2B080</v>
      </c>
      <c r="G2758" s="3" t="str">
        <f aca="false">DEC2HEX(C2758*7)</f>
        <v>7</v>
      </c>
      <c r="H2758" s="3" t="n">
        <f aca="false">IF(D2758=0, 33, "cc")</f>
        <v>33</v>
      </c>
    </row>
    <row r="2759" customFormat="false" ht="18.65" hidden="false" customHeight="true" outlineLevel="0" collapsed="false">
      <c r="A2759" s="3" t="n">
        <f aca="false">ROW()-2</f>
        <v>2757</v>
      </c>
      <c r="B2759" s="3" t="n">
        <f aca="false">INT(A2759/$N$1)</f>
        <v>153</v>
      </c>
      <c r="C2759" s="3" t="n">
        <f aca="false">INT(MOD(A2759,$N$1) / 2)</f>
        <v>1</v>
      </c>
      <c r="D2759" s="3" t="n">
        <f aca="false">_xlfn.BITAND(A2759,1)</f>
        <v>1</v>
      </c>
      <c r="E2759" s="3"/>
      <c r="F2759" s="3" t="str">
        <f aca="false">DEC2HEX(B2759*$N$3*18)</f>
        <v>2B080</v>
      </c>
      <c r="G2759" s="3" t="str">
        <f aca="false">DEC2HEX(C2759*7)</f>
        <v>7</v>
      </c>
      <c r="H2759" s="3" t="str">
        <f aca="false">IF(D2759=0, 33, "cc")</f>
        <v>cc</v>
      </c>
    </row>
    <row r="2760" customFormat="false" ht="18.65" hidden="false" customHeight="true" outlineLevel="0" collapsed="false">
      <c r="A2760" s="3" t="n">
        <f aca="false">ROW()-2</f>
        <v>2758</v>
      </c>
      <c r="B2760" s="3" t="n">
        <f aca="false">INT(A2760/$N$1)</f>
        <v>153</v>
      </c>
      <c r="C2760" s="3" t="n">
        <f aca="false">INT(MOD(A2760,$N$1) / 2)</f>
        <v>2</v>
      </c>
      <c r="D2760" s="3" t="n">
        <f aca="false">_xlfn.BITAND(A2760,1)</f>
        <v>0</v>
      </c>
      <c r="E2760" s="3"/>
      <c r="F2760" s="3" t="str">
        <f aca="false">DEC2HEX(B2760*$N$3*18)</f>
        <v>2B080</v>
      </c>
      <c r="G2760" s="3" t="str">
        <f aca="false">DEC2HEX(C2760*7)</f>
        <v>E</v>
      </c>
      <c r="H2760" s="3" t="n">
        <f aca="false">IF(D2760=0, 33, "cc")</f>
        <v>33</v>
      </c>
    </row>
    <row r="2761" customFormat="false" ht="18.65" hidden="false" customHeight="true" outlineLevel="0" collapsed="false">
      <c r="A2761" s="3" t="n">
        <f aca="false">ROW()-2</f>
        <v>2759</v>
      </c>
      <c r="B2761" s="3" t="n">
        <f aca="false">INT(A2761/$N$1)</f>
        <v>153</v>
      </c>
      <c r="C2761" s="3" t="n">
        <f aca="false">INT(MOD(A2761,$N$1) / 2)</f>
        <v>2</v>
      </c>
      <c r="D2761" s="3" t="n">
        <f aca="false">_xlfn.BITAND(A2761,1)</f>
        <v>1</v>
      </c>
      <c r="E2761" s="3"/>
      <c r="F2761" s="3" t="str">
        <f aca="false">DEC2HEX(B2761*$N$3*18)</f>
        <v>2B080</v>
      </c>
      <c r="G2761" s="3" t="str">
        <f aca="false">DEC2HEX(C2761*7)</f>
        <v>E</v>
      </c>
      <c r="H2761" s="3" t="str">
        <f aca="false">IF(D2761=0, 33, "cc")</f>
        <v>cc</v>
      </c>
    </row>
    <row r="2762" customFormat="false" ht="18.65" hidden="false" customHeight="true" outlineLevel="0" collapsed="false">
      <c r="A2762" s="3" t="n">
        <f aca="false">ROW()-2</f>
        <v>2760</v>
      </c>
      <c r="B2762" s="3" t="n">
        <f aca="false">INT(A2762/$N$1)</f>
        <v>153</v>
      </c>
      <c r="C2762" s="3" t="n">
        <f aca="false">INT(MOD(A2762,$N$1) / 2)</f>
        <v>3</v>
      </c>
      <c r="D2762" s="3" t="n">
        <f aca="false">_xlfn.BITAND(A2762,1)</f>
        <v>0</v>
      </c>
      <c r="E2762" s="3"/>
      <c r="F2762" s="3" t="str">
        <f aca="false">DEC2HEX(B2762*$N$3*18)</f>
        <v>2B080</v>
      </c>
      <c r="G2762" s="3" t="str">
        <f aca="false">DEC2HEX(C2762*7)</f>
        <v>15</v>
      </c>
      <c r="H2762" s="3" t="n">
        <f aca="false">IF(D2762=0, 33, "cc")</f>
        <v>33</v>
      </c>
    </row>
    <row r="2763" customFormat="false" ht="18.65" hidden="false" customHeight="true" outlineLevel="0" collapsed="false">
      <c r="A2763" s="3" t="n">
        <f aca="false">ROW()-2</f>
        <v>2761</v>
      </c>
      <c r="B2763" s="3" t="n">
        <f aca="false">INT(A2763/$N$1)</f>
        <v>153</v>
      </c>
      <c r="C2763" s="3" t="n">
        <f aca="false">INT(MOD(A2763,$N$1) / 2)</f>
        <v>3</v>
      </c>
      <c r="D2763" s="3" t="n">
        <f aca="false">_xlfn.BITAND(A2763,1)</f>
        <v>1</v>
      </c>
      <c r="E2763" s="3"/>
      <c r="F2763" s="3" t="str">
        <f aca="false">DEC2HEX(B2763*$N$3*18)</f>
        <v>2B080</v>
      </c>
      <c r="G2763" s="3" t="str">
        <f aca="false">DEC2HEX(C2763*7)</f>
        <v>15</v>
      </c>
      <c r="H2763" s="3" t="str">
        <f aca="false">IF(D2763=0, 33, "cc")</f>
        <v>cc</v>
      </c>
    </row>
    <row r="2764" customFormat="false" ht="18.65" hidden="false" customHeight="true" outlineLevel="0" collapsed="false">
      <c r="A2764" s="3" t="n">
        <f aca="false">ROW()-2</f>
        <v>2762</v>
      </c>
      <c r="B2764" s="3" t="n">
        <f aca="false">INT(A2764/$N$1)</f>
        <v>153</v>
      </c>
      <c r="C2764" s="3" t="n">
        <f aca="false">INT(MOD(A2764,$N$1) / 2)</f>
        <v>4</v>
      </c>
      <c r="D2764" s="3" t="n">
        <f aca="false">_xlfn.BITAND(A2764,1)</f>
        <v>0</v>
      </c>
      <c r="E2764" s="3"/>
      <c r="F2764" s="3" t="str">
        <f aca="false">DEC2HEX(B2764*$N$3*18)</f>
        <v>2B080</v>
      </c>
      <c r="G2764" s="3" t="str">
        <f aca="false">DEC2HEX(C2764*7)</f>
        <v>1C</v>
      </c>
      <c r="H2764" s="3" t="n">
        <f aca="false">IF(D2764=0, 33, "cc")</f>
        <v>33</v>
      </c>
    </row>
    <row r="2765" customFormat="false" ht="18.65" hidden="false" customHeight="true" outlineLevel="0" collapsed="false">
      <c r="A2765" s="3" t="n">
        <f aca="false">ROW()-2</f>
        <v>2763</v>
      </c>
      <c r="B2765" s="3" t="n">
        <f aca="false">INT(A2765/$N$1)</f>
        <v>153</v>
      </c>
      <c r="C2765" s="3" t="n">
        <f aca="false">INT(MOD(A2765,$N$1) / 2)</f>
        <v>4</v>
      </c>
      <c r="D2765" s="3" t="n">
        <f aca="false">_xlfn.BITAND(A2765,1)</f>
        <v>1</v>
      </c>
      <c r="E2765" s="3"/>
      <c r="F2765" s="3" t="str">
        <f aca="false">DEC2HEX(B2765*$N$3*18)</f>
        <v>2B080</v>
      </c>
      <c r="G2765" s="3" t="str">
        <f aca="false">DEC2HEX(C2765*7)</f>
        <v>1C</v>
      </c>
      <c r="H2765" s="3" t="str">
        <f aca="false">IF(D2765=0, 33, "cc")</f>
        <v>cc</v>
      </c>
    </row>
    <row r="2766" customFormat="false" ht="18.65" hidden="false" customHeight="true" outlineLevel="0" collapsed="false">
      <c r="A2766" s="3" t="n">
        <f aca="false">ROW()-2</f>
        <v>2764</v>
      </c>
      <c r="B2766" s="3" t="n">
        <f aca="false">INT(A2766/$N$1)</f>
        <v>153</v>
      </c>
      <c r="C2766" s="3" t="n">
        <f aca="false">INT(MOD(A2766,$N$1) / 2)</f>
        <v>5</v>
      </c>
      <c r="D2766" s="3" t="n">
        <f aca="false">_xlfn.BITAND(A2766,1)</f>
        <v>0</v>
      </c>
      <c r="E2766" s="3"/>
      <c r="F2766" s="3" t="str">
        <f aca="false">DEC2HEX(B2766*$N$3*18)</f>
        <v>2B080</v>
      </c>
      <c r="G2766" s="3" t="str">
        <f aca="false">DEC2HEX(C2766*7)</f>
        <v>23</v>
      </c>
      <c r="H2766" s="3" t="n">
        <f aca="false">IF(D2766=0, 33, "cc")</f>
        <v>33</v>
      </c>
    </row>
    <row r="2767" customFormat="false" ht="18.65" hidden="false" customHeight="true" outlineLevel="0" collapsed="false">
      <c r="A2767" s="3" t="n">
        <f aca="false">ROW()-2</f>
        <v>2765</v>
      </c>
      <c r="B2767" s="3" t="n">
        <f aca="false">INT(A2767/$N$1)</f>
        <v>153</v>
      </c>
      <c r="C2767" s="3" t="n">
        <f aca="false">INT(MOD(A2767,$N$1) / 2)</f>
        <v>5</v>
      </c>
      <c r="D2767" s="3" t="n">
        <f aca="false">_xlfn.BITAND(A2767,1)</f>
        <v>1</v>
      </c>
      <c r="E2767" s="3"/>
      <c r="F2767" s="3" t="str">
        <f aca="false">DEC2HEX(B2767*$N$3*18)</f>
        <v>2B080</v>
      </c>
      <c r="G2767" s="3" t="str">
        <f aca="false">DEC2HEX(C2767*7)</f>
        <v>23</v>
      </c>
      <c r="H2767" s="3" t="str">
        <f aca="false">IF(D2767=0, 33, "cc")</f>
        <v>cc</v>
      </c>
    </row>
    <row r="2768" customFormat="false" ht="18.65" hidden="false" customHeight="true" outlineLevel="0" collapsed="false">
      <c r="A2768" s="3" t="n">
        <f aca="false">ROW()-2</f>
        <v>2766</v>
      </c>
      <c r="B2768" s="3" t="n">
        <f aca="false">INT(A2768/$N$1)</f>
        <v>153</v>
      </c>
      <c r="C2768" s="3" t="n">
        <f aca="false">INT(MOD(A2768,$N$1) / 2)</f>
        <v>6</v>
      </c>
      <c r="D2768" s="3" t="n">
        <f aca="false">_xlfn.BITAND(A2768,1)</f>
        <v>0</v>
      </c>
      <c r="E2768" s="3"/>
      <c r="F2768" s="3" t="str">
        <f aca="false">DEC2HEX(B2768*$N$3*18)</f>
        <v>2B080</v>
      </c>
      <c r="G2768" s="3" t="str">
        <f aca="false">DEC2HEX(C2768*7)</f>
        <v>2A</v>
      </c>
      <c r="H2768" s="3" t="n">
        <f aca="false">IF(D2768=0, 33, "cc")</f>
        <v>33</v>
      </c>
    </row>
    <row r="2769" customFormat="false" ht="18.65" hidden="false" customHeight="true" outlineLevel="0" collapsed="false">
      <c r="A2769" s="3" t="n">
        <f aca="false">ROW()-2</f>
        <v>2767</v>
      </c>
      <c r="B2769" s="3" t="n">
        <f aca="false">INT(A2769/$N$1)</f>
        <v>153</v>
      </c>
      <c r="C2769" s="3" t="n">
        <f aca="false">INT(MOD(A2769,$N$1) / 2)</f>
        <v>6</v>
      </c>
      <c r="D2769" s="3" t="n">
        <f aca="false">_xlfn.BITAND(A2769,1)</f>
        <v>1</v>
      </c>
      <c r="E2769" s="3"/>
      <c r="F2769" s="3" t="str">
        <f aca="false">DEC2HEX(B2769*$N$3*18)</f>
        <v>2B080</v>
      </c>
      <c r="G2769" s="3" t="str">
        <f aca="false">DEC2HEX(C2769*7)</f>
        <v>2A</v>
      </c>
      <c r="H2769" s="3" t="str">
        <f aca="false">IF(D2769=0, 33, "cc")</f>
        <v>cc</v>
      </c>
    </row>
    <row r="2770" customFormat="false" ht="18.65" hidden="false" customHeight="true" outlineLevel="0" collapsed="false">
      <c r="A2770" s="3" t="n">
        <f aca="false">ROW()-2</f>
        <v>2768</v>
      </c>
      <c r="B2770" s="3" t="n">
        <f aca="false">INT(A2770/$N$1)</f>
        <v>153</v>
      </c>
      <c r="C2770" s="3" t="n">
        <f aca="false">INT(MOD(A2770,$N$1) / 2)</f>
        <v>7</v>
      </c>
      <c r="D2770" s="3" t="n">
        <f aca="false">_xlfn.BITAND(A2770,1)</f>
        <v>0</v>
      </c>
      <c r="E2770" s="3"/>
      <c r="F2770" s="3" t="str">
        <f aca="false">DEC2HEX(B2770*$N$3*18)</f>
        <v>2B080</v>
      </c>
      <c r="G2770" s="3" t="str">
        <f aca="false">DEC2HEX(C2770*7)</f>
        <v>31</v>
      </c>
      <c r="H2770" s="3" t="n">
        <f aca="false">IF(D2770=0, 33, "cc")</f>
        <v>33</v>
      </c>
    </row>
    <row r="2771" customFormat="false" ht="18.65" hidden="false" customHeight="true" outlineLevel="0" collapsed="false">
      <c r="A2771" s="3" t="n">
        <f aca="false">ROW()-2</f>
        <v>2769</v>
      </c>
      <c r="B2771" s="3" t="n">
        <f aca="false">INT(A2771/$N$1)</f>
        <v>153</v>
      </c>
      <c r="C2771" s="3" t="n">
        <f aca="false">INT(MOD(A2771,$N$1) / 2)</f>
        <v>7</v>
      </c>
      <c r="D2771" s="3" t="n">
        <f aca="false">_xlfn.BITAND(A2771,1)</f>
        <v>1</v>
      </c>
      <c r="E2771" s="3"/>
      <c r="F2771" s="3" t="str">
        <f aca="false">DEC2HEX(B2771*$N$3*18)</f>
        <v>2B080</v>
      </c>
      <c r="G2771" s="3" t="str">
        <f aca="false">DEC2HEX(C2771*7)</f>
        <v>31</v>
      </c>
      <c r="H2771" s="3" t="str">
        <f aca="false">IF(D2771=0, 33, "cc")</f>
        <v>cc</v>
      </c>
    </row>
    <row r="2772" customFormat="false" ht="18.65" hidden="false" customHeight="true" outlineLevel="0" collapsed="false">
      <c r="A2772" s="3" t="n">
        <f aca="false">ROW()-2</f>
        <v>2770</v>
      </c>
      <c r="B2772" s="3" t="n">
        <f aca="false">INT(A2772/$N$1)</f>
        <v>153</v>
      </c>
      <c r="C2772" s="3" t="n">
        <f aca="false">INT(MOD(A2772,$N$1) / 2)</f>
        <v>8</v>
      </c>
      <c r="D2772" s="3" t="n">
        <f aca="false">_xlfn.BITAND(A2772,1)</f>
        <v>0</v>
      </c>
      <c r="E2772" s="3"/>
      <c r="F2772" s="3" t="str">
        <f aca="false">DEC2HEX(B2772*$N$3*18)</f>
        <v>2B080</v>
      </c>
      <c r="G2772" s="3" t="str">
        <f aca="false">DEC2HEX(C2772*7)</f>
        <v>38</v>
      </c>
      <c r="H2772" s="3" t="n">
        <f aca="false">IF(D2772=0, 33, "cc")</f>
        <v>33</v>
      </c>
    </row>
    <row r="2773" customFormat="false" ht="18.65" hidden="false" customHeight="true" outlineLevel="0" collapsed="false">
      <c r="A2773" s="3" t="n">
        <f aca="false">ROW()-2</f>
        <v>2771</v>
      </c>
      <c r="B2773" s="3" t="n">
        <f aca="false">INT(A2773/$N$1)</f>
        <v>153</v>
      </c>
      <c r="C2773" s="3" t="n">
        <f aca="false">INT(MOD(A2773,$N$1) / 2)</f>
        <v>8</v>
      </c>
      <c r="D2773" s="3" t="n">
        <f aca="false">_xlfn.BITAND(A2773,1)</f>
        <v>1</v>
      </c>
      <c r="E2773" s="3"/>
      <c r="F2773" s="3" t="str">
        <f aca="false">DEC2HEX(B2773*$N$3*18)</f>
        <v>2B080</v>
      </c>
      <c r="G2773" s="3" t="str">
        <f aca="false">DEC2HEX(C2773*7)</f>
        <v>38</v>
      </c>
      <c r="H2773" s="3" t="str">
        <f aca="false">IF(D2773=0, 33, "cc")</f>
        <v>cc</v>
      </c>
    </row>
    <row r="2774" customFormat="false" ht="18.65" hidden="false" customHeight="true" outlineLevel="0" collapsed="false">
      <c r="A2774" s="3" t="n">
        <f aca="false">ROW()-2</f>
        <v>2772</v>
      </c>
      <c r="B2774" s="3" t="n">
        <f aca="false">INT(A2774/$N$1)</f>
        <v>154</v>
      </c>
      <c r="C2774" s="3" t="n">
        <f aca="false">INT(MOD(A2774,$N$1) / 2)</f>
        <v>0</v>
      </c>
      <c r="D2774" s="3" t="n">
        <f aca="false">_xlfn.BITAND(A2774,1)</f>
        <v>0</v>
      </c>
      <c r="E2774" s="3"/>
      <c r="F2774" s="3" t="str">
        <f aca="false">DEC2HEX(B2774*$N$3*18)</f>
        <v>2B500</v>
      </c>
      <c r="G2774" s="3" t="str">
        <f aca="false">DEC2HEX(C2774*7)</f>
        <v>0</v>
      </c>
      <c r="H2774" s="3" t="n">
        <f aca="false">IF(D2774=0, 33, "cc")</f>
        <v>33</v>
      </c>
    </row>
    <row r="2775" customFormat="false" ht="18.65" hidden="false" customHeight="true" outlineLevel="0" collapsed="false">
      <c r="A2775" s="3" t="n">
        <f aca="false">ROW()-2</f>
        <v>2773</v>
      </c>
      <c r="B2775" s="3" t="n">
        <f aca="false">INT(A2775/$N$1)</f>
        <v>154</v>
      </c>
      <c r="C2775" s="3" t="n">
        <f aca="false">INT(MOD(A2775,$N$1) / 2)</f>
        <v>0</v>
      </c>
      <c r="D2775" s="3" t="n">
        <f aca="false">_xlfn.BITAND(A2775,1)</f>
        <v>1</v>
      </c>
      <c r="E2775" s="3"/>
      <c r="F2775" s="3" t="str">
        <f aca="false">DEC2HEX(B2775*$N$3*18)</f>
        <v>2B500</v>
      </c>
      <c r="G2775" s="3" t="str">
        <f aca="false">DEC2HEX(C2775*7)</f>
        <v>0</v>
      </c>
      <c r="H2775" s="3" t="str">
        <f aca="false">IF(D2775=0, 33, "cc")</f>
        <v>cc</v>
      </c>
    </row>
    <row r="2776" customFormat="false" ht="18.65" hidden="false" customHeight="true" outlineLevel="0" collapsed="false">
      <c r="A2776" s="3" t="n">
        <f aca="false">ROW()-2</f>
        <v>2774</v>
      </c>
      <c r="B2776" s="3" t="n">
        <f aca="false">INT(A2776/$N$1)</f>
        <v>154</v>
      </c>
      <c r="C2776" s="3" t="n">
        <f aca="false">INT(MOD(A2776,$N$1) / 2)</f>
        <v>1</v>
      </c>
      <c r="D2776" s="3" t="n">
        <f aca="false">_xlfn.BITAND(A2776,1)</f>
        <v>0</v>
      </c>
      <c r="E2776" s="3"/>
      <c r="F2776" s="3" t="str">
        <f aca="false">DEC2HEX(B2776*$N$3*18)</f>
        <v>2B500</v>
      </c>
      <c r="G2776" s="3" t="str">
        <f aca="false">DEC2HEX(C2776*7)</f>
        <v>7</v>
      </c>
      <c r="H2776" s="3" t="n">
        <f aca="false">IF(D2776=0, 33, "cc")</f>
        <v>33</v>
      </c>
    </row>
    <row r="2777" customFormat="false" ht="18.65" hidden="false" customHeight="true" outlineLevel="0" collapsed="false">
      <c r="A2777" s="3" t="n">
        <f aca="false">ROW()-2</f>
        <v>2775</v>
      </c>
      <c r="B2777" s="3" t="n">
        <f aca="false">INT(A2777/$N$1)</f>
        <v>154</v>
      </c>
      <c r="C2777" s="3" t="n">
        <f aca="false">INT(MOD(A2777,$N$1) / 2)</f>
        <v>1</v>
      </c>
      <c r="D2777" s="3" t="n">
        <f aca="false">_xlfn.BITAND(A2777,1)</f>
        <v>1</v>
      </c>
      <c r="E2777" s="3"/>
      <c r="F2777" s="3" t="str">
        <f aca="false">DEC2HEX(B2777*$N$3*18)</f>
        <v>2B500</v>
      </c>
      <c r="G2777" s="3" t="str">
        <f aca="false">DEC2HEX(C2777*7)</f>
        <v>7</v>
      </c>
      <c r="H2777" s="3" t="str">
        <f aca="false">IF(D2777=0, 33, "cc")</f>
        <v>cc</v>
      </c>
    </row>
    <row r="2778" customFormat="false" ht="18.65" hidden="false" customHeight="true" outlineLevel="0" collapsed="false">
      <c r="A2778" s="3" t="n">
        <f aca="false">ROW()-2</f>
        <v>2776</v>
      </c>
      <c r="B2778" s="3" t="n">
        <f aca="false">INT(A2778/$N$1)</f>
        <v>154</v>
      </c>
      <c r="C2778" s="3" t="n">
        <f aca="false">INT(MOD(A2778,$N$1) / 2)</f>
        <v>2</v>
      </c>
      <c r="D2778" s="3" t="n">
        <f aca="false">_xlfn.BITAND(A2778,1)</f>
        <v>0</v>
      </c>
      <c r="E2778" s="3"/>
      <c r="F2778" s="3" t="str">
        <f aca="false">DEC2HEX(B2778*$N$3*18)</f>
        <v>2B500</v>
      </c>
      <c r="G2778" s="3" t="str">
        <f aca="false">DEC2HEX(C2778*7)</f>
        <v>E</v>
      </c>
      <c r="H2778" s="3" t="n">
        <f aca="false">IF(D2778=0, 33, "cc")</f>
        <v>33</v>
      </c>
    </row>
    <row r="2779" customFormat="false" ht="18.65" hidden="false" customHeight="true" outlineLevel="0" collapsed="false">
      <c r="A2779" s="3" t="n">
        <f aca="false">ROW()-2</f>
        <v>2777</v>
      </c>
      <c r="B2779" s="3" t="n">
        <f aca="false">INT(A2779/$N$1)</f>
        <v>154</v>
      </c>
      <c r="C2779" s="3" t="n">
        <f aca="false">INT(MOD(A2779,$N$1) / 2)</f>
        <v>2</v>
      </c>
      <c r="D2779" s="3" t="n">
        <f aca="false">_xlfn.BITAND(A2779,1)</f>
        <v>1</v>
      </c>
      <c r="E2779" s="3"/>
      <c r="F2779" s="3" t="str">
        <f aca="false">DEC2HEX(B2779*$N$3*18)</f>
        <v>2B500</v>
      </c>
      <c r="G2779" s="3" t="str">
        <f aca="false">DEC2HEX(C2779*7)</f>
        <v>E</v>
      </c>
      <c r="H2779" s="3" t="str">
        <f aca="false">IF(D2779=0, 33, "cc")</f>
        <v>cc</v>
      </c>
    </row>
    <row r="2780" customFormat="false" ht="18.65" hidden="false" customHeight="true" outlineLevel="0" collapsed="false">
      <c r="A2780" s="3" t="n">
        <f aca="false">ROW()-2</f>
        <v>2778</v>
      </c>
      <c r="B2780" s="3" t="n">
        <f aca="false">INT(A2780/$N$1)</f>
        <v>154</v>
      </c>
      <c r="C2780" s="3" t="n">
        <f aca="false">INT(MOD(A2780,$N$1) / 2)</f>
        <v>3</v>
      </c>
      <c r="D2780" s="3" t="n">
        <f aca="false">_xlfn.BITAND(A2780,1)</f>
        <v>0</v>
      </c>
      <c r="E2780" s="3"/>
      <c r="F2780" s="3" t="str">
        <f aca="false">DEC2HEX(B2780*$N$3*18)</f>
        <v>2B500</v>
      </c>
      <c r="G2780" s="3" t="str">
        <f aca="false">DEC2HEX(C2780*7)</f>
        <v>15</v>
      </c>
      <c r="H2780" s="3" t="n">
        <f aca="false">IF(D2780=0, 33, "cc")</f>
        <v>33</v>
      </c>
    </row>
    <row r="2781" customFormat="false" ht="18.65" hidden="false" customHeight="true" outlineLevel="0" collapsed="false">
      <c r="A2781" s="3" t="n">
        <f aca="false">ROW()-2</f>
        <v>2779</v>
      </c>
      <c r="B2781" s="3" t="n">
        <f aca="false">INT(A2781/$N$1)</f>
        <v>154</v>
      </c>
      <c r="C2781" s="3" t="n">
        <f aca="false">INT(MOD(A2781,$N$1) / 2)</f>
        <v>3</v>
      </c>
      <c r="D2781" s="3" t="n">
        <f aca="false">_xlfn.BITAND(A2781,1)</f>
        <v>1</v>
      </c>
      <c r="E2781" s="3"/>
      <c r="F2781" s="3" t="str">
        <f aca="false">DEC2HEX(B2781*$N$3*18)</f>
        <v>2B500</v>
      </c>
      <c r="G2781" s="3" t="str">
        <f aca="false">DEC2HEX(C2781*7)</f>
        <v>15</v>
      </c>
      <c r="H2781" s="3" t="str">
        <f aca="false">IF(D2781=0, 33, "cc")</f>
        <v>cc</v>
      </c>
    </row>
    <row r="2782" customFormat="false" ht="18.65" hidden="false" customHeight="true" outlineLevel="0" collapsed="false">
      <c r="A2782" s="3" t="n">
        <f aca="false">ROW()-2</f>
        <v>2780</v>
      </c>
      <c r="B2782" s="3" t="n">
        <f aca="false">INT(A2782/$N$1)</f>
        <v>154</v>
      </c>
      <c r="C2782" s="3" t="n">
        <f aca="false">INT(MOD(A2782,$N$1) / 2)</f>
        <v>4</v>
      </c>
      <c r="D2782" s="3" t="n">
        <f aca="false">_xlfn.BITAND(A2782,1)</f>
        <v>0</v>
      </c>
      <c r="E2782" s="3"/>
      <c r="F2782" s="3" t="str">
        <f aca="false">DEC2HEX(B2782*$N$3*18)</f>
        <v>2B500</v>
      </c>
      <c r="G2782" s="3" t="str">
        <f aca="false">DEC2HEX(C2782*7)</f>
        <v>1C</v>
      </c>
      <c r="H2782" s="3" t="n">
        <f aca="false">IF(D2782=0, 33, "cc")</f>
        <v>33</v>
      </c>
    </row>
    <row r="2783" customFormat="false" ht="18.65" hidden="false" customHeight="true" outlineLevel="0" collapsed="false">
      <c r="A2783" s="3" t="n">
        <f aca="false">ROW()-2</f>
        <v>2781</v>
      </c>
      <c r="B2783" s="3" t="n">
        <f aca="false">INT(A2783/$N$1)</f>
        <v>154</v>
      </c>
      <c r="C2783" s="3" t="n">
        <f aca="false">INT(MOD(A2783,$N$1) / 2)</f>
        <v>4</v>
      </c>
      <c r="D2783" s="3" t="n">
        <f aca="false">_xlfn.BITAND(A2783,1)</f>
        <v>1</v>
      </c>
      <c r="E2783" s="3"/>
      <c r="F2783" s="3" t="str">
        <f aca="false">DEC2HEX(B2783*$N$3*18)</f>
        <v>2B500</v>
      </c>
      <c r="G2783" s="3" t="str">
        <f aca="false">DEC2HEX(C2783*7)</f>
        <v>1C</v>
      </c>
      <c r="H2783" s="3" t="str">
        <f aca="false">IF(D2783=0, 33, "cc")</f>
        <v>cc</v>
      </c>
    </row>
    <row r="2784" customFormat="false" ht="18.65" hidden="false" customHeight="true" outlineLevel="0" collapsed="false">
      <c r="A2784" s="3" t="n">
        <f aca="false">ROW()-2</f>
        <v>2782</v>
      </c>
      <c r="B2784" s="3" t="n">
        <f aca="false">INT(A2784/$N$1)</f>
        <v>154</v>
      </c>
      <c r="C2784" s="3" t="n">
        <f aca="false">INT(MOD(A2784,$N$1) / 2)</f>
        <v>5</v>
      </c>
      <c r="D2784" s="3" t="n">
        <f aca="false">_xlfn.BITAND(A2784,1)</f>
        <v>0</v>
      </c>
      <c r="E2784" s="3"/>
      <c r="F2784" s="3" t="str">
        <f aca="false">DEC2HEX(B2784*$N$3*18)</f>
        <v>2B500</v>
      </c>
      <c r="G2784" s="3" t="str">
        <f aca="false">DEC2HEX(C2784*7)</f>
        <v>23</v>
      </c>
      <c r="H2784" s="3" t="n">
        <f aca="false">IF(D2784=0, 33, "cc")</f>
        <v>33</v>
      </c>
    </row>
    <row r="2785" customFormat="false" ht="18.65" hidden="false" customHeight="true" outlineLevel="0" collapsed="false">
      <c r="A2785" s="3" t="n">
        <f aca="false">ROW()-2</f>
        <v>2783</v>
      </c>
      <c r="B2785" s="3" t="n">
        <f aca="false">INT(A2785/$N$1)</f>
        <v>154</v>
      </c>
      <c r="C2785" s="3" t="n">
        <f aca="false">INT(MOD(A2785,$N$1) / 2)</f>
        <v>5</v>
      </c>
      <c r="D2785" s="3" t="n">
        <f aca="false">_xlfn.BITAND(A2785,1)</f>
        <v>1</v>
      </c>
      <c r="E2785" s="3"/>
      <c r="F2785" s="3" t="str">
        <f aca="false">DEC2HEX(B2785*$N$3*18)</f>
        <v>2B500</v>
      </c>
      <c r="G2785" s="3" t="str">
        <f aca="false">DEC2HEX(C2785*7)</f>
        <v>23</v>
      </c>
      <c r="H2785" s="3" t="str">
        <f aca="false">IF(D2785=0, 33, "cc")</f>
        <v>cc</v>
      </c>
    </row>
    <row r="2786" customFormat="false" ht="18.65" hidden="false" customHeight="true" outlineLevel="0" collapsed="false">
      <c r="A2786" s="3" t="n">
        <f aca="false">ROW()-2</f>
        <v>2784</v>
      </c>
      <c r="B2786" s="3" t="n">
        <f aca="false">INT(A2786/$N$1)</f>
        <v>154</v>
      </c>
      <c r="C2786" s="3" t="n">
        <f aca="false">INT(MOD(A2786,$N$1) / 2)</f>
        <v>6</v>
      </c>
      <c r="D2786" s="3" t="n">
        <f aca="false">_xlfn.BITAND(A2786,1)</f>
        <v>0</v>
      </c>
      <c r="E2786" s="3"/>
      <c r="F2786" s="3" t="str">
        <f aca="false">DEC2HEX(B2786*$N$3*18)</f>
        <v>2B500</v>
      </c>
      <c r="G2786" s="3" t="str">
        <f aca="false">DEC2HEX(C2786*7)</f>
        <v>2A</v>
      </c>
      <c r="H2786" s="3" t="n">
        <f aca="false">IF(D2786=0, 33, "cc")</f>
        <v>33</v>
      </c>
    </row>
    <row r="2787" customFormat="false" ht="18.65" hidden="false" customHeight="true" outlineLevel="0" collapsed="false">
      <c r="A2787" s="3" t="n">
        <f aca="false">ROW()-2</f>
        <v>2785</v>
      </c>
      <c r="B2787" s="3" t="n">
        <f aca="false">INT(A2787/$N$1)</f>
        <v>154</v>
      </c>
      <c r="C2787" s="3" t="n">
        <f aca="false">INT(MOD(A2787,$N$1) / 2)</f>
        <v>6</v>
      </c>
      <c r="D2787" s="3" t="n">
        <f aca="false">_xlfn.BITAND(A2787,1)</f>
        <v>1</v>
      </c>
      <c r="E2787" s="3"/>
      <c r="F2787" s="3" t="str">
        <f aca="false">DEC2HEX(B2787*$N$3*18)</f>
        <v>2B500</v>
      </c>
      <c r="G2787" s="3" t="str">
        <f aca="false">DEC2HEX(C2787*7)</f>
        <v>2A</v>
      </c>
      <c r="H2787" s="3" t="str">
        <f aca="false">IF(D2787=0, 33, "cc")</f>
        <v>cc</v>
      </c>
    </row>
    <row r="2788" customFormat="false" ht="18.65" hidden="false" customHeight="true" outlineLevel="0" collapsed="false">
      <c r="A2788" s="3" t="n">
        <f aca="false">ROW()-2</f>
        <v>2786</v>
      </c>
      <c r="B2788" s="3" t="n">
        <f aca="false">INT(A2788/$N$1)</f>
        <v>154</v>
      </c>
      <c r="C2788" s="3" t="n">
        <f aca="false">INT(MOD(A2788,$N$1) / 2)</f>
        <v>7</v>
      </c>
      <c r="D2788" s="3" t="n">
        <f aca="false">_xlfn.BITAND(A2788,1)</f>
        <v>0</v>
      </c>
      <c r="E2788" s="3"/>
      <c r="F2788" s="3" t="str">
        <f aca="false">DEC2HEX(B2788*$N$3*18)</f>
        <v>2B500</v>
      </c>
      <c r="G2788" s="3" t="str">
        <f aca="false">DEC2HEX(C2788*7)</f>
        <v>31</v>
      </c>
      <c r="H2788" s="3" t="n">
        <f aca="false">IF(D2788=0, 33, "cc")</f>
        <v>33</v>
      </c>
    </row>
    <row r="2789" customFormat="false" ht="18.65" hidden="false" customHeight="true" outlineLevel="0" collapsed="false">
      <c r="A2789" s="3" t="n">
        <f aca="false">ROW()-2</f>
        <v>2787</v>
      </c>
      <c r="B2789" s="3" t="n">
        <f aca="false">INT(A2789/$N$1)</f>
        <v>154</v>
      </c>
      <c r="C2789" s="3" t="n">
        <f aca="false">INT(MOD(A2789,$N$1) / 2)</f>
        <v>7</v>
      </c>
      <c r="D2789" s="3" t="n">
        <f aca="false">_xlfn.BITAND(A2789,1)</f>
        <v>1</v>
      </c>
      <c r="E2789" s="3"/>
      <c r="F2789" s="3" t="str">
        <f aca="false">DEC2HEX(B2789*$N$3*18)</f>
        <v>2B500</v>
      </c>
      <c r="G2789" s="3" t="str">
        <f aca="false">DEC2HEX(C2789*7)</f>
        <v>31</v>
      </c>
      <c r="H2789" s="3" t="str">
        <f aca="false">IF(D2789=0, 33, "cc")</f>
        <v>cc</v>
      </c>
    </row>
    <row r="2790" customFormat="false" ht="18.65" hidden="false" customHeight="true" outlineLevel="0" collapsed="false">
      <c r="A2790" s="3" t="n">
        <f aca="false">ROW()-2</f>
        <v>2788</v>
      </c>
      <c r="B2790" s="3" t="n">
        <f aca="false">INT(A2790/$N$1)</f>
        <v>154</v>
      </c>
      <c r="C2790" s="3" t="n">
        <f aca="false">INT(MOD(A2790,$N$1) / 2)</f>
        <v>8</v>
      </c>
      <c r="D2790" s="3" t="n">
        <f aca="false">_xlfn.BITAND(A2790,1)</f>
        <v>0</v>
      </c>
      <c r="E2790" s="3"/>
      <c r="F2790" s="3" t="str">
        <f aca="false">DEC2HEX(B2790*$N$3*18)</f>
        <v>2B500</v>
      </c>
      <c r="G2790" s="3" t="str">
        <f aca="false">DEC2HEX(C2790*7)</f>
        <v>38</v>
      </c>
      <c r="H2790" s="3" t="n">
        <f aca="false">IF(D2790=0, 33, "cc")</f>
        <v>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Roman,보통"&amp;12&amp;A</oddHeader>
    <oddFooter>&amp;C&amp;"Times New Roman,보통"&amp;12페이지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G25" activeCellId="0" sqref="G25"/>
    </sheetView>
  </sheetViews>
  <sheetFormatPr defaultColWidth="13.03125" defaultRowHeight="18.65" customHeight="true" zeroHeight="false" outlineLevelRow="0" outlineLevelCol="0"/>
  <cols>
    <col collapsed="false" customWidth="true" hidden="false" outlineLevel="0" max="2" min="1" style="3" width="4.76"/>
    <col collapsed="false" customWidth="false" hidden="false" outlineLevel="0" max="16384" min="3" style="3" width="13.03"/>
  </cols>
  <sheetData>
    <row r="1" customFormat="false" ht="18.65" hidden="false" customHeight="true" outlineLevel="0" collapsed="false">
      <c r="A1" s="3" t="n">
        <f aca="false">ROW()-1+$K$2</f>
        <v>36</v>
      </c>
      <c r="B1" s="3" t="str">
        <f aca="false">DEC2HEX(A1)</f>
        <v>24</v>
      </c>
      <c r="C1" s="3" t="n">
        <f aca="false">A1-36</f>
        <v>0</v>
      </c>
      <c r="D1" s="3" t="str">
        <f aca="false">MID($J$5, C1 * $K$1 + 1, $K$1)</f>
        <v>가각간갇갈갉갊감갑값갓갔강갖갗같갚갛개객갠갤갬갭갯갰갱갸갹갼걀걋걍걔걘걜거걱건걷걸걺검겁것겄겅겆겉겊겋게겐겔겜겝겟겠겡겨격겪견겯결겸겹겻겼경곁계곈곌곕곗고곡곤곧골곪곬곯곰곱곳공곶과곽관괄괆괌괍괏광괘괜괠괩괬괭괴괵괸괼굄굅굇굉교굔굘굡굣구국군굳굴굵굶굻굼굽굿궁궂궈궉권궐궜궝궤궷귀귁귄귈귐귑귓규균귤그극근귿글긁금급긋긍긔기긱긴긷길긺김깁깃깅깆깊까깍깎깐깔깖깜깝깟깠깡깥깨깩깬깰깸깹깻깼깽꺄꺅꺌꺼꺽꺾껀껄껌껍껏껐껑께껙껜</v>
      </c>
      <c r="J1" s="3" t="s">
        <v>11</v>
      </c>
      <c r="K1" s="3" t="n">
        <f aca="false">HEX2DEC(J1)</f>
        <v>208</v>
      </c>
    </row>
    <row r="2" customFormat="false" ht="18.65" hidden="false" customHeight="true" outlineLevel="0" collapsed="false">
      <c r="A2" s="3" t="n">
        <f aca="false">ROW()-1+$K$2</f>
        <v>37</v>
      </c>
      <c r="B2" s="3" t="str">
        <f aca="false">DEC2HEX(A2)</f>
        <v>25</v>
      </c>
      <c r="C2" s="3" t="n">
        <f aca="false">A2-36</f>
        <v>1</v>
      </c>
      <c r="D2" s="3" t="str">
        <f aca="false">MID($J$5, C2 * $K$1 + 1, $K$1)</f>
        <v>껨껫껭껴껸껼꼇꼈꼍꼐꼬꼭꼰꼲꼴꼼꼽꼿꽁꽂꽃꽈꽉꽐꽜꽝꽤꽥꽹꾀꾄꾈꾐꾑꾕꾜꾸꾹꾼꿀꿇꿈꿉꿋꿍꿎꿔꿜꿨꿩꿰꿱꿴꿸뀀뀁뀄뀌뀐뀔뀜뀝뀨끄끅끈끊끌끎끓끔끕끗끙끝끼끽낀낄낌낍낏낑나낙낚난낟날낡낢남납낫났낭낮낯낱낳내낵낸낼냄냅냇냈냉냐냑냔냘냠냥너넉넋넌널넒넓넘넙넛넜넝넣네넥넨넬넴넵넷넸넹녀녁년녈념녑녔녕녘녜녠노녹논놀놂놈놉놋농높놓놔놘놜놨뇌뇐뇔뇜뇝뇟뇨뇩뇬뇰뇹뇻뇽누눅눈눋눌눔눕눗눙눠눴눼뉘뉜뉠뉨뉩뉴뉵뉼늄늅늉느늑는늘늙늚늠늡늣</v>
      </c>
      <c r="J2" s="3" t="n">
        <v>24</v>
      </c>
      <c r="K2" s="3" t="n">
        <f aca="false">HEX2DEC(J2)</f>
        <v>36</v>
      </c>
    </row>
    <row r="3" customFormat="false" ht="18.65" hidden="false" customHeight="true" outlineLevel="0" collapsed="false">
      <c r="A3" s="3" t="n">
        <f aca="false">ROW()-1+$K$2</f>
        <v>38</v>
      </c>
      <c r="B3" s="3" t="str">
        <f aca="false">DEC2HEX(A3)</f>
        <v>26</v>
      </c>
      <c r="C3" s="3" t="n">
        <f aca="false">A3-36</f>
        <v>2</v>
      </c>
      <c r="D3" s="3" t="str">
        <f aca="false">MID($J$5, C3 * $K$1 + 1, $K$1)</f>
        <v>능늦늪늬늰늴니닉닌닐닒님닙닛닝닢다닥닦단닫달닭닮닯닳담답닷닸당닺닻닿대댁댄댈댐댑댓댔댕댜더덕덖던덛덜덞덟덤덥덧덩덫덮데덱덴델뎀뎁뎃뎄뎅뎌뎐뎔뎠뎡뎨뎬도독돈돋돌돎돐돔돕돗동돛돝돠돤돨돼됐되된될됨됩됫됴두둑둔둘둠둡둣둥둬뒀뒈뒝뒤뒨뒬뒵뒷뒹듀듄듈듐듕드득든듣들듦듬듭듯등듸디딕딘딛딜딤딥딧딨딩딪따딱딴딸땀땁땃땄땅땋때땍땐땔땜땝땟땠땡떠떡떤떨떪떫떰떱떳떴떵떻떼떽뗀뗄뗌뗍뗏뗐뗑뗘뗬또똑똔똘똥똬똴뙈뙤뙨뚜뚝뚠뚤뚫뚬뚱뛔뛰뛴뛸뜀</v>
      </c>
    </row>
    <row r="4" customFormat="false" ht="18.65" hidden="false" customHeight="true" outlineLevel="0" collapsed="false">
      <c r="A4" s="3" t="n">
        <f aca="false">ROW()-1+$K$2</f>
        <v>39</v>
      </c>
      <c r="B4" s="3" t="str">
        <f aca="false">DEC2HEX(A4)</f>
        <v>27</v>
      </c>
      <c r="C4" s="3" t="n">
        <f aca="false">A4-36</f>
        <v>3</v>
      </c>
      <c r="D4" s="3" t="str">
        <f aca="false">MID($J$5, C4 * $K$1 + 1, $K$1)</f>
        <v>뜁뜅뜨뜩뜬뜯뜰뜸뜹뜻띄띈띌띔띕띠띤띨띰띱띳띵라락란랄람랍랏랐랑랒랖랗래랙랜랠램랩랫랬랭랴략랸럇량러럭런럴럼럽럿렀렁렇레렉렌렐렘렙렛렝려력련렬렴렵렷렸령례롄롑롓로록론롤롬롭롯롱롸롼뢍뢨뢰뢴뢸룀룁룃룅료룐룔룝룟룡루룩룬룰룸룹룻룽뤄뤘뤠뤼뤽륀륄륌륏륑류륙륜률륨륩륫륭르륵른를름릅릇릉릊릍릎리릭린릴림립릿링마막만많맏말맑맒맘맙맛망맞맡맣매맥맨맬맴맵맷맸맹맺먀먁먈먕머먹먼멀멂멈멉멋멍멎멓메멕멘멜멤멥멧멨멩며멱면멸몃몄명몇몌모</v>
      </c>
    </row>
    <row r="5" customFormat="false" ht="18.65" hidden="false" customHeight="true" outlineLevel="0" collapsed="false">
      <c r="A5" s="3" t="n">
        <f aca="false">ROW()-1+$K$2</f>
        <v>40</v>
      </c>
      <c r="B5" s="3" t="str">
        <f aca="false">DEC2HEX(A5)</f>
        <v>28</v>
      </c>
      <c r="C5" s="3" t="n">
        <f aca="false">A5-36</f>
        <v>4</v>
      </c>
      <c r="D5" s="3" t="str">
        <f aca="false">MID($J$5, C5 * $K$1 + 1, $K$1)</f>
        <v>목몫몬몰몲몸몹못몽뫄뫈뫘뫙뫼묀묄묍묏묑묘묜묠묩묫무묵묶문묻물묽묾뭄뭅뭇뭉뭍뭏뭐뭔뭘뭡뭣뭬뮈뮌뮐뮤뮨뮬뮴뮷므믄믈믐믓미믹민믿밀밂밈밉밋밌밍및밑바박밖밗반받발밝밞밟밤밥밧방밭배백밴밸뱀뱁뱃뱄뱅뱉뱌뱍뱐뱝버벅번벋벌벎범법벗벙벚베벡벤벧벨벰벱벳벴벵벼벽변별볍볏볐병볕볘볜보복볶본볼봄봅봇봉봐봔봤봬뵀뵈뵉뵌뵐뵘뵙뵤뵨부북분붇불붉붊붐붑붓붕붙붚붜붤붰붸뷔뷕뷘뷜뷩뷰뷴뷸븀븃븅브븍븐블븜븝븟비빅빈빌빎빔빕빗빙빚빛빠빡빤빨빪빰빱빳빴</v>
      </c>
      <c r="J5" s="3" t="s">
        <v>12</v>
      </c>
    </row>
    <row r="6" customFormat="false" ht="18.65" hidden="false" customHeight="true" outlineLevel="0" collapsed="false">
      <c r="A6" s="3" t="n">
        <f aca="false">ROW()-1+$K$2</f>
        <v>41</v>
      </c>
      <c r="B6" s="3" t="str">
        <f aca="false">DEC2HEX(A6)</f>
        <v>29</v>
      </c>
      <c r="C6" s="3" t="n">
        <f aca="false">A6-36</f>
        <v>5</v>
      </c>
      <c r="D6" s="3" t="str">
        <f aca="false">MID($J$5, C6 * $K$1 + 1, $K$1)</f>
        <v>빵빻빼빽뺀뺄뺌뺍뺏뺐뺑뺘뺙뺨뻐뻑뻔뻗뻘뻠뻣뻤뻥뻬뼁뼈뼉뼘뼙뼛뼜뼝뽀뽁뽄뽈뽐뽑뽕뾔뾰뿅뿌뿍뿐뿔뿜뿟뿡쀼쁑쁘쁜쁠쁨쁩삐삑삔삘삠삡삣삥사삭삯산삳살삵삶삼삽삿샀상샅새색샌샐샘샙샛샜생샤샥샨샬샴샵샷샹섀섄섈섐섕서석섞섟선섣설섦섧섬섭섯섰성섶세섹센셀셈셉셋셌셍셔셕션셜셤셥셧셨셩셰셴셸솅소속솎손솔솖솜솝솟송솥솨솩솬솰솽쇄쇈쇌쇔쇗쇘쇠쇤쇨쇰쇱쇳쇼쇽숀숄숌숍숏숑수숙순숟술숨숩숫숭숯숱숲숴쉈쉐쉑쉔쉘쉠쉥쉬쉭쉰쉴쉼쉽쉿슁슈슉슐슘슛슝스</v>
      </c>
    </row>
    <row r="7" customFormat="false" ht="18.65" hidden="false" customHeight="true" outlineLevel="0" collapsed="false">
      <c r="A7" s="3" t="n">
        <f aca="false">ROW()-1+$K$2</f>
        <v>42</v>
      </c>
      <c r="B7" s="3" t="str">
        <f aca="false">DEC2HEX(A7)</f>
        <v>2A</v>
      </c>
      <c r="C7" s="3" t="n">
        <f aca="false">A7-36</f>
        <v>6</v>
      </c>
      <c r="D7" s="3" t="str">
        <f aca="false">MID($J$5, C7 * $K$1 + 1, $K$1)</f>
        <v>슥슨슬슭슴습슷승시식신싣실싫심십싯싱싶싸싹싻싼쌀쌈쌉쌌쌍쌓쌔쌕쌘쌜쌤쌥쌨쌩썅써썩썬썰썲썸썹썼썽쎄쎈쎌쏀쏘쏙쏜쏟쏠쏢쏨쏩쏭쏴쏵쏸쐈쐐쐤쐬쐰쐴쐼쐽쑈쑤쑥쑨쑬쑴쑵쑹쒀쒔쒜쒸쒼쓩쓰쓱쓴쓸쓺쓿씀씁씌씐씔씜씨씩씬씰씸씹씻씽아악안앉않알앍앎앓암압앗았앙앝앞애액앤앨앰앱앳앴앵야약얀얄얇얌얍얏양얕얗얘얜얠얩어억언얹얻얼얽얾엄업없엇었엉엊엌엎에엑엔엘엠엡엣엥여역엮연열엶엷염엽엾엿였영옅옆옇예옌옐옘옙옛옜오옥온올옭옮옰옳옴옵옷옹옻와왁</v>
      </c>
    </row>
    <row r="8" customFormat="false" ht="18.65" hidden="false" customHeight="true" outlineLevel="0" collapsed="false">
      <c r="A8" s="3" t="n">
        <f aca="false">ROW()-1+$K$2</f>
        <v>43</v>
      </c>
      <c r="B8" s="3" t="str">
        <f aca="false">DEC2HEX(A8)</f>
        <v>2B</v>
      </c>
      <c r="C8" s="3" t="n">
        <f aca="false">A8-36</f>
        <v>7</v>
      </c>
      <c r="D8" s="3" t="str">
        <f aca="false">MID($J$5, C8 * $K$1 + 1, $K$1)</f>
        <v>완왈왐왑왓왔왕왜왝왠왬왯왱외왹왼욀욈욉욋욍요욕욘욜욤욥욧용우욱운울욹욺움웁웃웅워웍원월웜웝웠웡웨웩웬웰웸웹웽위윅윈윌윔윕윗윙유육윤율윰윱윳융윷으윽은을읊음읍읏응읒읓읔읕읖읗의읜읠읨읫이익인일읽읾잃임입잇있잉잊잎자작잔잖잗잘잚잠잡잣잤장잦재잭잰잴잼잽잿쟀쟁쟈쟉쟌쟎쟐쟘쟝쟤쟨쟬저적전절젊점접젓정젖제젝젠젤젬젭젯젱져젼졀졈졉졌졍졔조족존졸졺좀좁좃종좆좇좋좌좍좔좝좟좡좨좼좽죄죈죌죔죕죗죙죠죡죤죵주죽준줄줅줆줌줍줏중줘줬줴</v>
      </c>
    </row>
    <row r="9" customFormat="false" ht="18.65" hidden="false" customHeight="true" outlineLevel="0" collapsed="false">
      <c r="A9" s="3" t="n">
        <f aca="false">ROW()-1+$K$2</f>
        <v>44</v>
      </c>
      <c r="B9" s="3" t="str">
        <f aca="false">DEC2HEX(A9)</f>
        <v>2C</v>
      </c>
      <c r="C9" s="3" t="n">
        <f aca="false">A9-36</f>
        <v>8</v>
      </c>
      <c r="D9" s="3" t="str">
        <f aca="false">MID($J$5, C9 * $K$1 + 1, $K$1)</f>
        <v>쥐쥑쥔쥘쥠쥡쥣쥬쥰쥴쥼즈즉즌즐즘즙즛증지직진짇질짊짐집짓징짖짙짚짜짝짠짢짤짧짬짭짯짰짱째짹짼쨀쨈쨉쨋쨌쨍쨔쨘쨩쩌쩍쩐쩔쩜쩝쩟쩠쩡쩨쩽쪄쪘쪼쪽쫀쫄쫌쫍쫏쫑쫓쫘쫙쫠쫬쫴쬈쬐쬔쬘쬠쬡쭁쭈쭉쭌쭐쭘쭙쭝쭤쭸쭹쮜쮸쯔쯤쯧쯩찌찍찐찔찜찝찡찢찧차착찬찮찰참찹찻찼창찾채책챈챌챔챕챗챘챙챠챤챦챨챰챵처척천철첨첩첫첬청체첵첸첼쳄쳅쳇쳉쳐쳔쳤쳬쳰촁초촉촌촐촘촙촛총촤촨촬촹최쵠쵤쵬쵭쵯쵱쵸춈추축춘출춤춥춧충춰췄췌췐취췬췰췸췹췻췽츄츈츌츔츙</v>
      </c>
      <c r="F9" s="5"/>
      <c r="G9" s="5"/>
    </row>
    <row r="10" customFormat="false" ht="18.65" hidden="false" customHeight="true" outlineLevel="0" collapsed="false">
      <c r="A10" s="3" t="n">
        <f aca="false">ROW()-1+$K$2</f>
        <v>45</v>
      </c>
      <c r="B10" s="3" t="str">
        <f aca="false">DEC2HEX(A10)</f>
        <v>2D</v>
      </c>
      <c r="C10" s="3" t="n">
        <f aca="false">A10-36</f>
        <v>9</v>
      </c>
      <c r="D10" s="3" t="str">
        <f aca="false">MID($J$5, C10 * $K$1 + 1, $K$1)</f>
        <v>츠측츤츨츰츱츳층치칙친칟칠칡침칩칫칭카칵칸칼캄캅캇캉캐캑캔캘캠캡캣캤캥캬캭컁커컥컨컫컬컴컵컷컸컹케켁켄켈켐켑켓켕켜켠켤켬켭켯켰켱켸코콕콘콜콤콥콧콩콰콱콴콸쾀쾅쾌쾡쾨쾰쿄쿠쿡쿤쿨쿰쿱쿳쿵쿼퀀퀄퀑퀘퀭퀴퀵퀸퀼큄큅큇큉큐큔큘큠크큭큰클큼큽킁키킥킨킬킴킵킷킹타탁탄탈탉탐탑탓탔탕태택탠탤탬탭탯탰탱탸턍터턱턴털턺텀텁텃텄텅테텍텐텔템텝텟텡텨텬텼톄톈토톡톤톨톰톱톳통톺톼퇀퇘퇴퇸툇툉툐투툭툰툴툼툽툿퉁퉈퉜퉤튀튁튄튈튐튑튕튜튠튤튬</v>
      </c>
    </row>
    <row r="11" customFormat="false" ht="18.65" hidden="false" customHeight="true" outlineLevel="0" collapsed="false">
      <c r="A11" s="3" t="n">
        <f aca="false">ROW()-1+$K$2</f>
        <v>46</v>
      </c>
      <c r="B11" s="3" t="str">
        <f aca="false">DEC2HEX(A11)</f>
        <v>2E</v>
      </c>
      <c r="C11" s="3" t="n">
        <f aca="false">A11-36</f>
        <v>10</v>
      </c>
      <c r="D11" s="3" t="str">
        <f aca="false">MID($J$5, C11 * $K$1 + 1, $K$1)</f>
        <v>튱트특튼튿틀틂틈틉틋틔틘틜틤틥티틱틴틸팀팁팃팅파팍팎판팔팖팜팝팟팠팡팥패팩팬팰팸팹팻팼팽퍄퍅퍼퍽펀펄펌펍펏펐펑페펙펜펠펨펩펫펭펴편펼폄폅폈평폐폘폡폣포폭폰폴폼폽폿퐁퐈퐝푀푄표푠푤푭푯푸푹푼푿풀풂품풉풋풍풔풩퓌퓐퓔퓜퓟퓨퓬퓰퓸퓻퓽프픈플픔픕픗피픽핀필핌핍핏핑하학한할핥함합핫항해핵핸핼햄햅햇했행햐향허헉헌헐헒험헙헛헝헤헥헨헬헴헵헷헹혀혁현혈혐협혓혔형혜혠혤혭호혹혼홀홅홈홉홋홍홑화확환활홧황홰홱홴횃횅회획횐횔횝횟횡효횬</v>
      </c>
    </row>
    <row r="12" customFormat="false" ht="18.65" hidden="false" customHeight="true" outlineLevel="0" collapsed="false">
      <c r="A12" s="3" t="n">
        <f aca="false">ROW()-1+$K$2</f>
        <v>47</v>
      </c>
      <c r="B12" s="3" t="str">
        <f aca="false">DEC2HEX(A12)</f>
        <v>2F</v>
      </c>
      <c r="C12" s="3" t="n">
        <f aca="false">A12-36</f>
        <v>11</v>
      </c>
      <c r="D12" s="3" t="str">
        <f aca="false">MID($J$5, C12 * $K$1 + 1, $K$1)</f>
        <v>횰횹횻후훅훈훌훑훔훗훙훠훤훨훰훵훼훽휀휄휑휘휙휜휠휨휩휫휭휴휵휸휼흄흇흉흐흑흔흖흗흘흙흠흡흣흥흩희흰흴흼흽힁히힉힌힐힘힙힛힝</v>
      </c>
    </row>
    <row r="15" customFormat="false" ht="18.65" hidden="false" customHeight="true" outlineLevel="0" collapsed="false">
      <c r="B15" s="3" t="n">
        <f aca="false">COUNTA(B1:B12)</f>
        <v>12</v>
      </c>
    </row>
    <row r="16" customFormat="false" ht="18.65" hidden="false" customHeight="true" outlineLevel="0" collapsed="false">
      <c r="B16" s="3" t="n">
        <f aca="false">B15*K1</f>
        <v>2496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Roman,보통"&amp;12&amp;A</oddHeader>
    <oddFooter>&amp;C&amp;"Times New Roman,보통"&amp;12페이지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2"/>
  <sheetViews>
    <sheetView showFormulas="false" showGridLines="true" showRowColHeaders="true" showZeros="true" rightToLeft="false" tabSelected="false" showOutlineSymbols="true" defaultGridColor="true" view="normal" topLeftCell="A2382" colorId="64" zoomScale="95" zoomScaleNormal="95" zoomScalePageLayoutView="100" workbookViewId="0">
      <selection pane="topLeft" activeCell="F1" activeCellId="0" sqref="F1"/>
    </sheetView>
  </sheetViews>
  <sheetFormatPr defaultColWidth="11.640625" defaultRowHeight="12.8" customHeight="true" zeroHeight="false" outlineLevelRow="0" outlineLevelCol="0"/>
  <cols>
    <col collapsed="false" customWidth="true" hidden="false" outlineLevel="0" max="1" min="1" style="6" width="10.84"/>
    <col collapsed="false" customWidth="true" hidden="false" outlineLevel="0" max="2" min="2" style="6" width="3.64"/>
    <col collapsed="false" customWidth="true" hidden="false" outlineLevel="0" max="3" min="3" style="6" width="4.53"/>
    <col collapsed="false" customWidth="true" hidden="false" outlineLevel="0" max="4" min="4" style="6" width="2.56"/>
    <col collapsed="false" customWidth="true" hidden="false" outlineLevel="0" max="5" min="5" style="6" width="9.95"/>
    <col collapsed="false" customWidth="true" hidden="false" outlineLevel="0" max="6" min="6" style="6" width="3.41"/>
    <col collapsed="false" customWidth="true" hidden="false" outlineLevel="0" max="8" min="7" style="6" width="3.56"/>
    <col collapsed="false" customWidth="true" hidden="false" outlineLevel="0" max="9" min="9" style="6" width="14.73"/>
    <col collapsed="false" customWidth="true" hidden="false" outlineLevel="0" max="11" min="11" style="6" width="10.95"/>
    <col collapsed="false" customWidth="true" hidden="false" outlineLevel="0" max="13" min="13" style="7" width="3.64"/>
    <col collapsed="false" customWidth="true" hidden="false" outlineLevel="0" max="14" min="14" style="6" width="15.01"/>
    <col collapsed="false" customWidth="true" hidden="false" outlineLevel="0" max="16" min="16" style="6" width="3.56"/>
    <col collapsed="false" customWidth="true" hidden="false" outlineLevel="0" max="17" min="17" style="6" width="12.34"/>
  </cols>
  <sheetData>
    <row r="1" customFormat="false" ht="14.15" hidden="false" customHeight="false" outlineLevel="0" collapsed="false">
      <c r="A1" s="6" t="str">
        <f aca="false">DEC2HEX(ROW()-1, 2) &amp; "=0x" &amp; DEC2HEX(ROW()-1, 2) &amp; ", "</f>
        <v>00=0x00, </v>
      </c>
      <c r="C1" s="6" t="n">
        <f aca="false">MOD(ROW()-1, 208)</f>
        <v>0</v>
      </c>
      <c r="D1" s="6" t="n">
        <f aca="false">INT((ROW()-1)/208)</f>
        <v>0</v>
      </c>
      <c r="F1" s="6" t="str">
        <f aca="false">MID(VLOOKUP(D1,$P$1:$Q$13,2,0), 1 + C1,1)</f>
        <v>가</v>
      </c>
      <c r="G1" s="6" t="str">
        <f aca="false">DEC2HEX(D1+36, 2)</f>
        <v>24</v>
      </c>
      <c r="H1" s="6" t="str">
        <f aca="false">DEC2HEX(C1+48,2)</f>
        <v>30</v>
      </c>
      <c r="I1" s="6" t="str">
        <f aca="false">_xlfn.CONCAT("\x", G1, "\x", H1, "=", F1)</f>
        <v>\x24\x30=가</v>
      </c>
      <c r="K1" s="6" t="str">
        <f aca="false">_xlfn.CONCAT("\x", H1, "=", MID($Q$16, HEX2DEC(H1)-47, 1))</f>
        <v>\x30=0</v>
      </c>
      <c r="M1" s="7" t="str">
        <f aca="false">MID($Q$17, ROW(), 1)</f>
        <v>A</v>
      </c>
      <c r="N1" s="6" t="str">
        <f aca="false">_xlfn.CONCAT("\x", DEC2HEX(D1+44, 2), "\x", H1, "=", M1)</f>
        <v>\x2C\x30=A</v>
      </c>
      <c r="P1" s="6" t="s">
        <v>13</v>
      </c>
      <c r="Q1" s="6" t="s">
        <v>14</v>
      </c>
    </row>
    <row r="2" customFormat="false" ht="14.15" hidden="false" customHeight="false" outlineLevel="0" collapsed="false">
      <c r="A2" s="6" t="str">
        <f aca="false">DEC2HEX(ROW()-1, 2) &amp; "=0x" &amp; DEC2HEX(ROW()-1, 2) &amp; ", "</f>
        <v>01=0x01, </v>
      </c>
      <c r="C2" s="6" t="n">
        <f aca="false">MOD(ROW()-1, 208)</f>
        <v>1</v>
      </c>
      <c r="D2" s="6" t="n">
        <f aca="false">INT((ROW()-1)/208)</f>
        <v>0</v>
      </c>
      <c r="F2" s="6" t="str">
        <f aca="false">MID(VLOOKUP(D2,$P$1:$Q$13,2,0), 1 + C2,1)</f>
        <v>각</v>
      </c>
      <c r="G2" s="6" t="str">
        <f aca="false">DEC2HEX(D2+36, 2)</f>
        <v>24</v>
      </c>
      <c r="H2" s="6" t="str">
        <f aca="false">DEC2HEX(C2+48,2)</f>
        <v>31</v>
      </c>
      <c r="I2" s="6" t="str">
        <f aca="false">_xlfn.CONCAT("\x", G2, "\x", H2, "=", F2)</f>
        <v>\x24\x31=각</v>
      </c>
      <c r="K2" s="6" t="str">
        <f aca="false">_xlfn.CONCAT("\x", H2, "=", MID($Q$16, HEX2DEC(H2)-47, 1))</f>
        <v>\x31=1</v>
      </c>
      <c r="M2" s="7" t="str">
        <f aca="false">MID($Q$17, ROW(), 1)</f>
        <v>B</v>
      </c>
      <c r="N2" s="6" t="str">
        <f aca="false">_xlfn.CONCAT("\x", DEC2HEX(D2+44, 2), "\x", H2, "=", M2)</f>
        <v>\x2C\x31=B</v>
      </c>
      <c r="P2" s="6" t="n">
        <v>0</v>
      </c>
      <c r="Q2" s="6" t="s">
        <v>15</v>
      </c>
    </row>
    <row r="3" customFormat="false" ht="14.15" hidden="false" customHeight="false" outlineLevel="0" collapsed="false">
      <c r="A3" s="6" t="str">
        <f aca="false">DEC2HEX(ROW()-1, 2) &amp; "=0x" &amp; DEC2HEX(ROW()-1, 2) &amp; ", "</f>
        <v>02=0x02, </v>
      </c>
      <c r="C3" s="6" t="n">
        <f aca="false">MOD(ROW()-1, 208)</f>
        <v>2</v>
      </c>
      <c r="D3" s="6" t="n">
        <f aca="false">INT((ROW()-1)/208)</f>
        <v>0</v>
      </c>
      <c r="F3" s="6" t="str">
        <f aca="false">MID(VLOOKUP(D3,$P$1:$Q$13,2,0), 1 + C3,1)</f>
        <v>간</v>
      </c>
      <c r="G3" s="6" t="str">
        <f aca="false">DEC2HEX(D3+36, 2)</f>
        <v>24</v>
      </c>
      <c r="H3" s="6" t="str">
        <f aca="false">DEC2HEX(C3+48,2)</f>
        <v>32</v>
      </c>
      <c r="I3" s="6" t="str">
        <f aca="false">_xlfn.CONCAT("\x", G3, "\x", H3, "=", F3)</f>
        <v>\x24\x32=간</v>
      </c>
      <c r="K3" s="6" t="str">
        <f aca="false">_xlfn.CONCAT("\x", H3, "=", MID($Q$16, HEX2DEC(H3)-47, 1))</f>
        <v>\x32=2</v>
      </c>
      <c r="M3" s="7" t="str">
        <f aca="false">MID($Q$17, ROW(), 1)</f>
        <v>C</v>
      </c>
      <c r="N3" s="6" t="str">
        <f aca="false">_xlfn.CONCAT("\x", DEC2HEX(D3+44, 2), "\x", H3, "=", M3)</f>
        <v>\x2C\x32=C</v>
      </c>
      <c r="P3" s="6" t="n">
        <v>1</v>
      </c>
      <c r="Q3" s="6" t="s">
        <v>16</v>
      </c>
    </row>
    <row r="4" customFormat="false" ht="14.15" hidden="false" customHeight="false" outlineLevel="0" collapsed="false">
      <c r="A4" s="6" t="str">
        <f aca="false">DEC2HEX(ROW()-1, 2) &amp; "=0x" &amp; DEC2HEX(ROW()-1, 2) &amp; ", "</f>
        <v>03=0x03, </v>
      </c>
      <c r="C4" s="6" t="n">
        <f aca="false">MOD(ROW()-1, 208)</f>
        <v>3</v>
      </c>
      <c r="D4" s="6" t="n">
        <f aca="false">INT((ROW()-1)/208)</f>
        <v>0</v>
      </c>
      <c r="F4" s="6" t="str">
        <f aca="false">MID(VLOOKUP(D4,$P$1:$Q$13,2,0), 1 + C4,1)</f>
        <v>갇</v>
      </c>
      <c r="G4" s="6" t="str">
        <f aca="false">DEC2HEX(D4+36, 2)</f>
        <v>24</v>
      </c>
      <c r="H4" s="6" t="str">
        <f aca="false">DEC2HEX(C4+48,2)</f>
        <v>33</v>
      </c>
      <c r="I4" s="6" t="str">
        <f aca="false">_xlfn.CONCAT("\x", G4, "\x", H4, "=", F4)</f>
        <v>\x24\x33=갇</v>
      </c>
      <c r="K4" s="6" t="str">
        <f aca="false">_xlfn.CONCAT("\x", H4, "=", MID($Q$16, HEX2DEC(H4)-47, 1))</f>
        <v>\x33=3</v>
      </c>
      <c r="M4" s="7" t="str">
        <f aca="false">MID($Q$17, ROW(), 1)</f>
        <v>D</v>
      </c>
      <c r="N4" s="6" t="str">
        <f aca="false">_xlfn.CONCAT("\x", DEC2HEX(D4+44, 2), "\x", H4, "=", M4)</f>
        <v>\x2C\x33=D</v>
      </c>
      <c r="P4" s="6" t="n">
        <v>2</v>
      </c>
      <c r="Q4" s="6" t="s">
        <v>17</v>
      </c>
    </row>
    <row r="5" customFormat="false" ht="14.15" hidden="false" customHeight="false" outlineLevel="0" collapsed="false">
      <c r="A5" s="6" t="str">
        <f aca="false">DEC2HEX(ROW()-1, 2) &amp; "=0x" &amp; DEC2HEX(ROW()-1, 2) &amp; ", "</f>
        <v>04=0x04, </v>
      </c>
      <c r="C5" s="6" t="n">
        <f aca="false">MOD(ROW()-1, 208)</f>
        <v>4</v>
      </c>
      <c r="D5" s="6" t="n">
        <f aca="false">INT((ROW()-1)/208)</f>
        <v>0</v>
      </c>
      <c r="F5" s="6" t="str">
        <f aca="false">MID(VLOOKUP(D5,$P$1:$Q$13,2,0), 1 + C5,1)</f>
        <v>갈</v>
      </c>
      <c r="G5" s="6" t="str">
        <f aca="false">DEC2HEX(D5+36, 2)</f>
        <v>24</v>
      </c>
      <c r="H5" s="6" t="str">
        <f aca="false">DEC2HEX(C5+48,2)</f>
        <v>34</v>
      </c>
      <c r="I5" s="6" t="str">
        <f aca="false">_xlfn.CONCAT("\x", G5, "\x", H5, "=", F5)</f>
        <v>\x24\x34=갈</v>
      </c>
      <c r="K5" s="6" t="str">
        <f aca="false">_xlfn.CONCAT("\x", H5, "=", MID($Q$16, HEX2DEC(H5)-47, 1))</f>
        <v>\x34=4</v>
      </c>
      <c r="M5" s="7" t="str">
        <f aca="false">MID($Q$17, ROW(), 1)</f>
        <v>E</v>
      </c>
      <c r="N5" s="6" t="str">
        <f aca="false">_xlfn.CONCAT("\x", DEC2HEX(D5+44, 2), "\x", H5, "=", M5)</f>
        <v>\x2C\x34=E</v>
      </c>
      <c r="P5" s="6" t="n">
        <v>3</v>
      </c>
      <c r="Q5" s="6" t="s">
        <v>18</v>
      </c>
    </row>
    <row r="6" customFormat="false" ht="14.15" hidden="false" customHeight="false" outlineLevel="0" collapsed="false">
      <c r="A6" s="6" t="str">
        <f aca="false">DEC2HEX(ROW()-1, 2) &amp; "=0x" &amp; DEC2HEX(ROW()-1, 2) &amp; ", "</f>
        <v>05=0x05, </v>
      </c>
      <c r="C6" s="6" t="n">
        <f aca="false">MOD(ROW()-1, 208)</f>
        <v>5</v>
      </c>
      <c r="D6" s="6" t="n">
        <f aca="false">INT((ROW()-1)/208)</f>
        <v>0</v>
      </c>
      <c r="F6" s="6" t="str">
        <f aca="false">MID(VLOOKUP(D6,$P$1:$Q$13,2,0), 1 + C6,1)</f>
        <v>갉</v>
      </c>
      <c r="G6" s="6" t="str">
        <f aca="false">DEC2HEX(D6+36, 2)</f>
        <v>24</v>
      </c>
      <c r="H6" s="6" t="str">
        <f aca="false">DEC2HEX(C6+48,2)</f>
        <v>35</v>
      </c>
      <c r="I6" s="6" t="str">
        <f aca="false">_xlfn.CONCAT("\x", G6, "\x", H6, "=", F6)</f>
        <v>\x24\x35=갉</v>
      </c>
      <c r="K6" s="6" t="str">
        <f aca="false">_xlfn.CONCAT("\x", H6, "=", MID($Q$16, HEX2DEC(H6)-47, 1))</f>
        <v>\x35=5</v>
      </c>
      <c r="M6" s="7" t="str">
        <f aca="false">MID($Q$17, ROW(), 1)</f>
        <v>F</v>
      </c>
      <c r="N6" s="6" t="str">
        <f aca="false">_xlfn.CONCAT("\x", DEC2HEX(D6+44, 2), "\x", H6, "=", M6)</f>
        <v>\x2C\x35=F</v>
      </c>
      <c r="P6" s="6" t="n">
        <v>4</v>
      </c>
      <c r="Q6" s="6" t="s">
        <v>19</v>
      </c>
    </row>
    <row r="7" customFormat="false" ht="14.15" hidden="false" customHeight="false" outlineLevel="0" collapsed="false">
      <c r="A7" s="6" t="str">
        <f aca="false">DEC2HEX(ROW()-1, 2) &amp; "=0x" &amp; DEC2HEX(ROW()-1, 2) &amp; ", "</f>
        <v>06=0x06, </v>
      </c>
      <c r="C7" s="6" t="n">
        <f aca="false">MOD(ROW()-1, 208)</f>
        <v>6</v>
      </c>
      <c r="D7" s="6" t="n">
        <f aca="false">INT((ROW()-1)/208)</f>
        <v>0</v>
      </c>
      <c r="F7" s="6" t="str">
        <f aca="false">MID(VLOOKUP(D7,$P$1:$Q$13,2,0), 1 + C7,1)</f>
        <v>갊</v>
      </c>
      <c r="G7" s="6" t="str">
        <f aca="false">DEC2HEX(D7+36, 2)</f>
        <v>24</v>
      </c>
      <c r="H7" s="6" t="str">
        <f aca="false">DEC2HEX(C7+48,2)</f>
        <v>36</v>
      </c>
      <c r="I7" s="6" t="str">
        <f aca="false">_xlfn.CONCAT("\x", G7, "\x", H7, "=", F7)</f>
        <v>\x24\x36=갊</v>
      </c>
      <c r="K7" s="6" t="str">
        <f aca="false">_xlfn.CONCAT("\x", H7, "=", MID($Q$16, HEX2DEC(H7)-47, 1))</f>
        <v>\x36=6</v>
      </c>
      <c r="M7" s="7" t="str">
        <f aca="false">MID($Q$17, ROW(), 1)</f>
        <v>G</v>
      </c>
      <c r="N7" s="6" t="str">
        <f aca="false">_xlfn.CONCAT("\x", DEC2HEX(D7+44, 2), "\x", H7, "=", M7)</f>
        <v>\x2C\x36=G</v>
      </c>
      <c r="P7" s="6" t="n">
        <v>5</v>
      </c>
      <c r="Q7" s="6" t="s">
        <v>20</v>
      </c>
    </row>
    <row r="8" customFormat="false" ht="14.15" hidden="false" customHeight="false" outlineLevel="0" collapsed="false">
      <c r="A8" s="6" t="str">
        <f aca="false">DEC2HEX(ROW()-1, 2) &amp; "=0x" &amp; DEC2HEX(ROW()-1, 2) &amp; ", "</f>
        <v>07=0x07, </v>
      </c>
      <c r="C8" s="6" t="n">
        <f aca="false">MOD(ROW()-1, 208)</f>
        <v>7</v>
      </c>
      <c r="D8" s="6" t="n">
        <f aca="false">INT((ROW()-1)/208)</f>
        <v>0</v>
      </c>
      <c r="F8" s="6" t="str">
        <f aca="false">MID(VLOOKUP(D8,$P$1:$Q$13,2,0), 1 + C8,1)</f>
        <v>감</v>
      </c>
      <c r="G8" s="6" t="str">
        <f aca="false">DEC2HEX(D8+36, 2)</f>
        <v>24</v>
      </c>
      <c r="H8" s="6" t="str">
        <f aca="false">DEC2HEX(C8+48,2)</f>
        <v>37</v>
      </c>
      <c r="I8" s="6" t="str">
        <f aca="false">_xlfn.CONCAT("\x", G8, "\x", H8, "=", F8)</f>
        <v>\x24\x37=감</v>
      </c>
      <c r="K8" s="6" t="str">
        <f aca="false">_xlfn.CONCAT("\x", H8, "=", MID($Q$16, HEX2DEC(H8)-47, 1))</f>
        <v>\x37=7</v>
      </c>
      <c r="M8" s="7" t="str">
        <f aca="false">MID($Q$17, ROW(), 1)</f>
        <v>H</v>
      </c>
      <c r="N8" s="6" t="str">
        <f aca="false">_xlfn.CONCAT("\x", DEC2HEX(D8+44, 2), "\x", H8, "=", M8)</f>
        <v>\x2C\x37=H</v>
      </c>
      <c r="P8" s="6" t="n">
        <v>6</v>
      </c>
      <c r="Q8" s="6" t="s">
        <v>21</v>
      </c>
    </row>
    <row r="9" customFormat="false" ht="14.15" hidden="false" customHeight="false" outlineLevel="0" collapsed="false">
      <c r="A9" s="6" t="str">
        <f aca="false">DEC2HEX(ROW()-1, 2) &amp; "=0x" &amp; DEC2HEX(ROW()-1, 2) &amp; ", "</f>
        <v>08=0x08, </v>
      </c>
      <c r="C9" s="6" t="n">
        <f aca="false">MOD(ROW()-1, 208)</f>
        <v>8</v>
      </c>
      <c r="D9" s="6" t="n">
        <f aca="false">INT((ROW()-1)/208)</f>
        <v>0</v>
      </c>
      <c r="F9" s="6" t="str">
        <f aca="false">MID(VLOOKUP(D9,$P$1:$Q$13,2,0), 1 + C9,1)</f>
        <v>갑</v>
      </c>
      <c r="G9" s="6" t="str">
        <f aca="false">DEC2HEX(D9+36, 2)</f>
        <v>24</v>
      </c>
      <c r="H9" s="6" t="str">
        <f aca="false">DEC2HEX(C9+48,2)</f>
        <v>38</v>
      </c>
      <c r="I9" s="6" t="str">
        <f aca="false">_xlfn.CONCAT("\x", G9, "\x", H9, "=", F9)</f>
        <v>\x24\x38=갑</v>
      </c>
      <c r="K9" s="6" t="str">
        <f aca="false">_xlfn.CONCAT("\x", H9, "=", MID($Q$16, HEX2DEC(H9)-47, 1))</f>
        <v>\x38=8</v>
      </c>
      <c r="M9" s="7" t="str">
        <f aca="false">MID($Q$17, ROW(), 1)</f>
        <v>I</v>
      </c>
      <c r="N9" s="6" t="str">
        <f aca="false">_xlfn.CONCAT("\x", DEC2HEX(D9+44, 2), "\x", H9, "=", M9)</f>
        <v>\x2C\x38=I</v>
      </c>
      <c r="P9" s="6" t="n">
        <v>7</v>
      </c>
      <c r="Q9" s="6" t="s">
        <v>22</v>
      </c>
    </row>
    <row r="10" customFormat="false" ht="14.15" hidden="false" customHeight="false" outlineLevel="0" collapsed="false">
      <c r="A10" s="6" t="str">
        <f aca="false">DEC2HEX(ROW()-1, 2) &amp; "=0x" &amp; DEC2HEX(ROW()-1, 2) &amp; ", "</f>
        <v>09=0x09, </v>
      </c>
      <c r="C10" s="6" t="n">
        <f aca="false">MOD(ROW()-1, 208)</f>
        <v>9</v>
      </c>
      <c r="D10" s="6" t="n">
        <f aca="false">INT((ROW()-1)/208)</f>
        <v>0</v>
      </c>
      <c r="F10" s="6" t="str">
        <f aca="false">MID(VLOOKUP(D10,$P$1:$Q$13,2,0), 1 + C10,1)</f>
        <v>값</v>
      </c>
      <c r="G10" s="6" t="str">
        <f aca="false">DEC2HEX(D10+36, 2)</f>
        <v>24</v>
      </c>
      <c r="H10" s="6" t="str">
        <f aca="false">DEC2HEX(C10+48,2)</f>
        <v>39</v>
      </c>
      <c r="I10" s="6" t="str">
        <f aca="false">_xlfn.CONCAT("\x", G10, "\x", H10, "=", F10)</f>
        <v>\x24\x39=값</v>
      </c>
      <c r="K10" s="6" t="str">
        <f aca="false">_xlfn.CONCAT("\x", H10, "=", MID($Q$16, HEX2DEC(H10)-47, 1))</f>
        <v>\x39=9</v>
      </c>
      <c r="M10" s="7" t="str">
        <f aca="false">MID($Q$17, ROW(), 1)</f>
        <v>J</v>
      </c>
      <c r="N10" s="6" t="str">
        <f aca="false">_xlfn.CONCAT("\x", DEC2HEX(D10+44, 2), "\x", H10, "=", M10)</f>
        <v>\x2C\x39=J</v>
      </c>
      <c r="P10" s="6" t="n">
        <v>8</v>
      </c>
      <c r="Q10" s="6" t="s">
        <v>23</v>
      </c>
    </row>
    <row r="11" customFormat="false" ht="14.15" hidden="false" customHeight="false" outlineLevel="0" collapsed="false">
      <c r="A11" s="6" t="str">
        <f aca="false">DEC2HEX(ROW()-1, 2) &amp; "=0x" &amp; DEC2HEX(ROW()-1, 2) &amp; ", "</f>
        <v>0A=0x0A, </v>
      </c>
      <c r="C11" s="6" t="n">
        <f aca="false">MOD(ROW()-1, 208)</f>
        <v>10</v>
      </c>
      <c r="D11" s="6" t="n">
        <f aca="false">INT((ROW()-1)/208)</f>
        <v>0</v>
      </c>
      <c r="F11" s="6" t="str">
        <f aca="false">MID(VLOOKUP(D11,$P$1:$Q$13,2,0), 1 + C11,1)</f>
        <v>갓</v>
      </c>
      <c r="G11" s="6" t="str">
        <f aca="false">DEC2HEX(D11+36, 2)</f>
        <v>24</v>
      </c>
      <c r="H11" s="6" t="str">
        <f aca="false">DEC2HEX(C11+48,2)</f>
        <v>3A</v>
      </c>
      <c r="I11" s="6" t="str">
        <f aca="false">_xlfn.CONCAT("\x", G11, "\x", H11, "=", F11)</f>
        <v>\x24\x3A=갓</v>
      </c>
      <c r="K11" s="6" t="str">
        <f aca="false">_xlfn.CONCAT("\x", H11, "=", MID($Q$16, HEX2DEC(H11)-47, 1))</f>
        <v>\x3A= </v>
      </c>
      <c r="M11" s="7" t="str">
        <f aca="false">MID($Q$17, ROW(), 1)</f>
        <v>K</v>
      </c>
      <c r="N11" s="6" t="str">
        <f aca="false">_xlfn.CONCAT("\x", DEC2HEX(D11+44, 2), "\x", H11, "=", M11)</f>
        <v>\x2C\x3A=K</v>
      </c>
      <c r="P11" s="6" t="n">
        <v>9</v>
      </c>
      <c r="Q11" s="6" t="s">
        <v>24</v>
      </c>
    </row>
    <row r="12" customFormat="false" ht="14.15" hidden="false" customHeight="false" outlineLevel="0" collapsed="false">
      <c r="A12" s="6" t="str">
        <f aca="false">DEC2HEX(ROW()-1, 2) &amp; "=0x" &amp; DEC2HEX(ROW()-1, 2) &amp; ", "</f>
        <v>0B=0x0B, </v>
      </c>
      <c r="C12" s="6" t="n">
        <f aca="false">MOD(ROW()-1, 208)</f>
        <v>11</v>
      </c>
      <c r="D12" s="6" t="n">
        <f aca="false">INT((ROW()-1)/208)</f>
        <v>0</v>
      </c>
      <c r="F12" s="6" t="str">
        <f aca="false">MID(VLOOKUP(D12,$P$1:$Q$13,2,0), 1 + C12,1)</f>
        <v>갔</v>
      </c>
      <c r="G12" s="6" t="str">
        <f aca="false">DEC2HEX(D12+36, 2)</f>
        <v>24</v>
      </c>
      <c r="H12" s="6" t="str">
        <f aca="false">DEC2HEX(C12+48,2)</f>
        <v>3B</v>
      </c>
      <c r="I12" s="6" t="str">
        <f aca="false">_xlfn.CONCAT("\x", G12, "\x", H12, "=", F12)</f>
        <v>\x24\x3B=갔</v>
      </c>
      <c r="K12" s="6" t="str">
        <f aca="false">_xlfn.CONCAT("\x", H12, "=", MID($Q$16, HEX2DEC(H12)-47, 1))</f>
        <v>\x3B=!</v>
      </c>
      <c r="M12" s="7" t="str">
        <f aca="false">MID($Q$17, ROW(), 1)</f>
        <v>L</v>
      </c>
      <c r="N12" s="6" t="str">
        <f aca="false">_xlfn.CONCAT("\x", DEC2HEX(D12+44, 2), "\x", H12, "=", M12)</f>
        <v>\x2C\x3B=L</v>
      </c>
      <c r="P12" s="6" t="n">
        <v>10</v>
      </c>
      <c r="Q12" s="6" t="s">
        <v>25</v>
      </c>
    </row>
    <row r="13" customFormat="false" ht="14.15" hidden="false" customHeight="false" outlineLevel="0" collapsed="false">
      <c r="A13" s="6" t="str">
        <f aca="false">DEC2HEX(ROW()-1, 2) &amp; "=0x" &amp; DEC2HEX(ROW()-1, 2) &amp; ", "</f>
        <v>0C=0x0C, </v>
      </c>
      <c r="C13" s="6" t="n">
        <f aca="false">MOD(ROW()-1, 208)</f>
        <v>12</v>
      </c>
      <c r="D13" s="6" t="n">
        <f aca="false">INT((ROW()-1)/208)</f>
        <v>0</v>
      </c>
      <c r="F13" s="6" t="str">
        <f aca="false">MID(VLOOKUP(D13,$P$1:$Q$13,2,0), 1 + C13,1)</f>
        <v>강</v>
      </c>
      <c r="G13" s="6" t="str">
        <f aca="false">DEC2HEX(D13+36, 2)</f>
        <v>24</v>
      </c>
      <c r="H13" s="6" t="str">
        <f aca="false">DEC2HEX(C13+48,2)</f>
        <v>3C</v>
      </c>
      <c r="I13" s="6" t="str">
        <f aca="false">_xlfn.CONCAT("\x", G13, "\x", H13, "=", F13)</f>
        <v>\x24\x3C=강</v>
      </c>
      <c r="K13" s="6" t="str">
        <f aca="false">_xlfn.CONCAT("\x", H13, "=", MID($Q$16, HEX2DEC(H13)-47, 1))</f>
        <v>\x3C=ー</v>
      </c>
      <c r="M13" s="7" t="str">
        <f aca="false">MID($Q$17, ROW(), 1)</f>
        <v>M</v>
      </c>
      <c r="N13" s="6" t="str">
        <f aca="false">_xlfn.CONCAT("\x", DEC2HEX(D13+44, 2), "\x", H13, "=", M13)</f>
        <v>\x2C\x3C=M</v>
      </c>
      <c r="P13" s="6" t="n">
        <v>11</v>
      </c>
      <c r="Q13" s="6" t="s">
        <v>26</v>
      </c>
    </row>
    <row r="14" customFormat="false" ht="14.15" hidden="false" customHeight="false" outlineLevel="0" collapsed="false">
      <c r="A14" s="6" t="str">
        <f aca="false">DEC2HEX(ROW()-1, 2) &amp; "=0x" &amp; DEC2HEX(ROW()-1, 2) &amp; ", "</f>
        <v>0D=0x0D, </v>
      </c>
      <c r="C14" s="6" t="n">
        <f aca="false">MOD(ROW()-1, 208)</f>
        <v>13</v>
      </c>
      <c r="D14" s="6" t="n">
        <f aca="false">INT((ROW()-1)/208)</f>
        <v>0</v>
      </c>
      <c r="F14" s="6" t="str">
        <f aca="false">MID(VLOOKUP(D14,$P$1:$Q$13,2,0), 1 + C14,1)</f>
        <v>갖</v>
      </c>
      <c r="G14" s="6" t="str">
        <f aca="false">DEC2HEX(D14+36, 2)</f>
        <v>24</v>
      </c>
      <c r="H14" s="6" t="str">
        <f aca="false">DEC2HEX(C14+48,2)</f>
        <v>3D</v>
      </c>
      <c r="I14" s="6" t="str">
        <f aca="false">_xlfn.CONCAT("\x", G14, "\x", H14, "=", F14)</f>
        <v>\x24\x3D=갖</v>
      </c>
      <c r="K14" s="6" t="str">
        <f aca="false">_xlfn.CONCAT("\x", H14, "=", MID($Q$16, HEX2DEC(H14)-47, 1))</f>
        <v>\x3D=~</v>
      </c>
      <c r="M14" s="7" t="str">
        <f aca="false">MID($Q$17, ROW(), 1)</f>
        <v>N</v>
      </c>
      <c r="N14" s="6" t="str">
        <f aca="false">_xlfn.CONCAT("\x", DEC2HEX(D14+44, 2), "\x", H14, "=", M14)</f>
        <v>\x2C\x3D=N</v>
      </c>
    </row>
    <row r="15" customFormat="false" ht="14.15" hidden="false" customHeight="false" outlineLevel="0" collapsed="false">
      <c r="A15" s="6" t="str">
        <f aca="false">DEC2HEX(ROW()-1, 2) &amp; "=0x" &amp; DEC2HEX(ROW()-1, 2) &amp; ", "</f>
        <v>0E=0x0E, </v>
      </c>
      <c r="C15" s="6" t="n">
        <f aca="false">MOD(ROW()-1, 208)</f>
        <v>14</v>
      </c>
      <c r="D15" s="6" t="n">
        <f aca="false">INT((ROW()-1)/208)</f>
        <v>0</v>
      </c>
      <c r="F15" s="6" t="str">
        <f aca="false">MID(VLOOKUP(D15,$P$1:$Q$13,2,0), 1 + C15,1)</f>
        <v>갗</v>
      </c>
      <c r="G15" s="6" t="str">
        <f aca="false">DEC2HEX(D15+36, 2)</f>
        <v>24</v>
      </c>
      <c r="H15" s="6" t="str">
        <f aca="false">DEC2HEX(C15+48,2)</f>
        <v>3E</v>
      </c>
      <c r="I15" s="6" t="str">
        <f aca="false">_xlfn.CONCAT("\x", G15, "\x", H15, "=", F15)</f>
        <v>\x24\x3E=갗</v>
      </c>
      <c r="K15" s="6" t="str">
        <f aca="false">_xlfn.CONCAT("\x", H15, "=", MID($Q$16, HEX2DEC(H15)-47, 1))</f>
        <v>\x3E=…</v>
      </c>
      <c r="M15" s="7" t="str">
        <f aca="false">MID($Q$17, ROW(), 1)</f>
        <v>O</v>
      </c>
      <c r="N15" s="6" t="str">
        <f aca="false">_xlfn.CONCAT("\x", DEC2HEX(D15+44, 2), "\x", H15, "=", M15)</f>
        <v>\x2C\x3E=O</v>
      </c>
    </row>
    <row r="16" customFormat="false" ht="14.15" hidden="false" customHeight="false" outlineLevel="0" collapsed="false">
      <c r="A16" s="6" t="str">
        <f aca="false">DEC2HEX(ROW()-1, 2) &amp; "=0x" &amp; DEC2HEX(ROW()-1, 2) &amp; ", "</f>
        <v>0F=0x0F, </v>
      </c>
      <c r="C16" s="6" t="n">
        <f aca="false">MOD(ROW()-1, 208)</f>
        <v>15</v>
      </c>
      <c r="D16" s="6" t="n">
        <f aca="false">INT((ROW()-1)/208)</f>
        <v>0</v>
      </c>
      <c r="F16" s="6" t="str">
        <f aca="false">MID(VLOOKUP(D16,$P$1:$Q$13,2,0), 1 + C16,1)</f>
        <v>같</v>
      </c>
      <c r="G16" s="6" t="str">
        <f aca="false">DEC2HEX(D16+36, 2)</f>
        <v>24</v>
      </c>
      <c r="H16" s="6" t="str">
        <f aca="false">DEC2HEX(C16+48,2)</f>
        <v>3F</v>
      </c>
      <c r="I16" s="6" t="str">
        <f aca="false">_xlfn.CONCAT("\x", G16, "\x", H16, "=", F16)</f>
        <v>\x24\x3F=같</v>
      </c>
      <c r="K16" s="6" t="str">
        <f aca="false">_xlfn.CONCAT("\x", H16, "=", MID($Q$16, HEX2DEC(H16)-47, 1))</f>
        <v>\x3F=%</v>
      </c>
      <c r="M16" s="7" t="str">
        <f aca="false">MID($Q$17, ROW(), 1)</f>
        <v>P</v>
      </c>
      <c r="N16" s="6" t="str">
        <f aca="false">_xlfn.CONCAT("\x", DEC2HEX(D16+44, 2), "\x", H16, "=", M16)</f>
        <v>\x2C\x3F=P</v>
      </c>
      <c r="P16" s="6" t="n">
        <v>0</v>
      </c>
      <c r="Q16" s="6" t="s">
        <v>27</v>
      </c>
    </row>
    <row r="17" customFormat="false" ht="14.15" hidden="false" customHeight="false" outlineLevel="0" collapsed="false">
      <c r="A17" s="6" t="str">
        <f aca="false">DEC2HEX(ROW()-1, 2) &amp; "=0x" &amp; DEC2HEX(ROW()-1, 2) &amp; ", "</f>
        <v>10=0x10, </v>
      </c>
      <c r="C17" s="6" t="n">
        <f aca="false">MOD(ROW()-1, 208)</f>
        <v>16</v>
      </c>
      <c r="D17" s="6" t="n">
        <f aca="false">INT((ROW()-1)/208)</f>
        <v>0</v>
      </c>
      <c r="F17" s="6" t="str">
        <f aca="false">MID(VLOOKUP(D17,$P$1:$Q$13,2,0), 1 + C17,1)</f>
        <v>갚</v>
      </c>
      <c r="G17" s="6" t="str">
        <f aca="false">DEC2HEX(D17+36, 2)</f>
        <v>24</v>
      </c>
      <c r="H17" s="6" t="str">
        <f aca="false">DEC2HEX(C17+48,2)</f>
        <v>40</v>
      </c>
      <c r="I17" s="6" t="str">
        <f aca="false">_xlfn.CONCAT("\x", G17, "\x", H17, "=", F17)</f>
        <v>\x24\x40=갚</v>
      </c>
      <c r="K17" s="6" t="str">
        <f aca="false">_xlfn.CONCAT("\x", H17, "=", MID($Q$16, HEX2DEC(H17)-47, 1))</f>
        <v>\x40=&amp;</v>
      </c>
      <c r="M17" s="7" t="str">
        <f aca="false">MID($Q$17, ROW(), 1)</f>
        <v>Q</v>
      </c>
      <c r="N17" s="6" t="str">
        <f aca="false">_xlfn.CONCAT("\x", DEC2HEX(D17+44, 2), "\x", H17, "=", M17)</f>
        <v>\x2C\x40=Q</v>
      </c>
      <c r="P17" s="6" t="n">
        <v>1</v>
      </c>
      <c r="Q17" s="6" t="s">
        <v>28</v>
      </c>
    </row>
    <row r="18" customFormat="false" ht="14.15" hidden="false" customHeight="false" outlineLevel="0" collapsed="false">
      <c r="A18" s="6" t="str">
        <f aca="false">DEC2HEX(ROW()-1, 2) &amp; "=0x" &amp; DEC2HEX(ROW()-1, 2) &amp; ", "</f>
        <v>11=0x11, </v>
      </c>
      <c r="C18" s="6" t="n">
        <f aca="false">MOD(ROW()-1, 208)</f>
        <v>17</v>
      </c>
      <c r="D18" s="6" t="n">
        <f aca="false">INT((ROW()-1)/208)</f>
        <v>0</v>
      </c>
      <c r="F18" s="6" t="str">
        <f aca="false">MID(VLOOKUP(D18,$P$1:$Q$13,2,0), 1 + C18,1)</f>
        <v>갛</v>
      </c>
      <c r="G18" s="6" t="str">
        <f aca="false">DEC2HEX(D18+36, 2)</f>
        <v>24</v>
      </c>
      <c r="H18" s="6" t="str">
        <f aca="false">DEC2HEX(C18+48,2)</f>
        <v>41</v>
      </c>
      <c r="I18" s="6" t="str">
        <f aca="false">_xlfn.CONCAT("\x", G18, "\x", H18, "=", F18)</f>
        <v>\x24\x41=갛</v>
      </c>
      <c r="K18" s="6" t="str">
        <f aca="false">_xlfn.CONCAT("\x", H18, "=", MID($Q$16, HEX2DEC(H18)-47, 1))</f>
        <v>\x41=×</v>
      </c>
      <c r="M18" s="7" t="str">
        <f aca="false">MID($Q$17, ROW(), 1)</f>
        <v>R</v>
      </c>
      <c r="N18" s="6" t="str">
        <f aca="false">_xlfn.CONCAT("\x", DEC2HEX(D18+44, 2), "\x", H18, "=", M18)</f>
        <v>\x2C\x41=R</v>
      </c>
    </row>
    <row r="19" customFormat="false" ht="14.15" hidden="false" customHeight="false" outlineLevel="0" collapsed="false">
      <c r="A19" s="6" t="str">
        <f aca="false">DEC2HEX(ROW()-1, 2) &amp; "=0x" &amp; DEC2HEX(ROW()-1, 2) &amp; ", "</f>
        <v>12=0x12, </v>
      </c>
      <c r="C19" s="6" t="n">
        <f aca="false">MOD(ROW()-1, 208)</f>
        <v>18</v>
      </c>
      <c r="D19" s="6" t="n">
        <f aca="false">INT((ROW()-1)/208)</f>
        <v>0</v>
      </c>
      <c r="F19" s="6" t="str">
        <f aca="false">MID(VLOOKUP(D19,$P$1:$Q$13,2,0), 1 + C19,1)</f>
        <v>개</v>
      </c>
      <c r="G19" s="6" t="str">
        <f aca="false">DEC2HEX(D19+36, 2)</f>
        <v>24</v>
      </c>
      <c r="H19" s="6" t="str">
        <f aca="false">DEC2HEX(C19+48,2)</f>
        <v>42</v>
      </c>
      <c r="I19" s="6" t="str">
        <f aca="false">_xlfn.CONCAT("\x", G19, "\x", H19, "=", F19)</f>
        <v>\x24\x42=개</v>
      </c>
      <c r="K19" s="6" t="str">
        <f aca="false">_xlfn.CONCAT("\x", H19, "=", MID($Q$16, HEX2DEC(H19)-47, 1))</f>
        <v>\x42=(</v>
      </c>
      <c r="M19" s="7" t="str">
        <f aca="false">MID($Q$17, ROW(), 1)</f>
        <v>S</v>
      </c>
      <c r="N19" s="6" t="str">
        <f aca="false">_xlfn.CONCAT("\x", DEC2HEX(D19+44, 2), "\x", H19, "=", M19)</f>
        <v>\x2C\x42=S</v>
      </c>
    </row>
    <row r="20" customFormat="false" ht="14.15" hidden="false" customHeight="false" outlineLevel="0" collapsed="false">
      <c r="A20" s="6" t="str">
        <f aca="false">DEC2HEX(ROW()-1, 2) &amp; "=0x" &amp; DEC2HEX(ROW()-1, 2) &amp; ", "</f>
        <v>13=0x13, </v>
      </c>
      <c r="C20" s="6" t="n">
        <f aca="false">MOD(ROW()-1, 208)</f>
        <v>19</v>
      </c>
      <c r="D20" s="6" t="n">
        <f aca="false">INT((ROW()-1)/208)</f>
        <v>0</v>
      </c>
      <c r="F20" s="6" t="str">
        <f aca="false">MID(VLOOKUP(D20,$P$1:$Q$13,2,0), 1 + C20,1)</f>
        <v>객</v>
      </c>
      <c r="G20" s="6" t="str">
        <f aca="false">DEC2HEX(D20+36, 2)</f>
        <v>24</v>
      </c>
      <c r="H20" s="6" t="str">
        <f aca="false">DEC2HEX(C20+48,2)</f>
        <v>43</v>
      </c>
      <c r="I20" s="6" t="str">
        <f aca="false">_xlfn.CONCAT("\x", G20, "\x", H20, "=", F20)</f>
        <v>\x24\x43=객</v>
      </c>
      <c r="K20" s="6" t="str">
        <f aca="false">_xlfn.CONCAT("\x", H20, "=", MID($Q$16, HEX2DEC(H20)-47, 1))</f>
        <v>\x43=)</v>
      </c>
      <c r="M20" s="7" t="str">
        <f aca="false">MID($Q$17, ROW(), 1)</f>
        <v>T</v>
      </c>
      <c r="N20" s="6" t="str">
        <f aca="false">_xlfn.CONCAT("\x", DEC2HEX(D20+44, 2), "\x", H20, "=", M20)</f>
        <v>\x2C\x43=T</v>
      </c>
    </row>
    <row r="21" customFormat="false" ht="14.15" hidden="false" customHeight="false" outlineLevel="0" collapsed="false">
      <c r="A21" s="6" t="str">
        <f aca="false">DEC2HEX(ROW()-1, 2) &amp; "=0x" &amp; DEC2HEX(ROW()-1, 2) &amp; ", "</f>
        <v>14=0x14, </v>
      </c>
      <c r="C21" s="6" t="n">
        <f aca="false">MOD(ROW()-1, 208)</f>
        <v>20</v>
      </c>
      <c r="D21" s="6" t="n">
        <f aca="false">INT((ROW()-1)/208)</f>
        <v>0</v>
      </c>
      <c r="F21" s="6" t="str">
        <f aca="false">MID(VLOOKUP(D21,$P$1:$Q$13,2,0), 1 + C21,1)</f>
        <v>갠</v>
      </c>
      <c r="G21" s="6" t="str">
        <f aca="false">DEC2HEX(D21+36, 2)</f>
        <v>24</v>
      </c>
      <c r="H21" s="6" t="str">
        <f aca="false">DEC2HEX(C21+48,2)</f>
        <v>44</v>
      </c>
      <c r="I21" s="6" t="str">
        <f aca="false">_xlfn.CONCAT("\x", G21, "\x", H21, "=", F21)</f>
        <v>\x24\x44=갠</v>
      </c>
      <c r="K21" s="6" t="str">
        <f aca="false">_xlfn.CONCAT("\x", H21, "=", MID($Q$16, HEX2DEC(H21)-47, 1))</f>
        <v>\x44=*</v>
      </c>
      <c r="M21" s="7" t="str">
        <f aca="false">MID($Q$17, ROW(), 1)</f>
        <v>U</v>
      </c>
      <c r="N21" s="6" t="str">
        <f aca="false">_xlfn.CONCAT("\x", DEC2HEX(D21+44, 2), "\x", H21, "=", M21)</f>
        <v>\x2C\x44=U</v>
      </c>
    </row>
    <row r="22" customFormat="false" ht="14.15" hidden="false" customHeight="false" outlineLevel="0" collapsed="false">
      <c r="A22" s="6" t="str">
        <f aca="false">DEC2HEX(ROW()-1, 2) &amp; "=0x" &amp; DEC2HEX(ROW()-1, 2) &amp; ", "</f>
        <v>15=0x15, </v>
      </c>
      <c r="C22" s="6" t="n">
        <f aca="false">MOD(ROW()-1, 208)</f>
        <v>21</v>
      </c>
      <c r="D22" s="6" t="n">
        <f aca="false">INT((ROW()-1)/208)</f>
        <v>0</v>
      </c>
      <c r="F22" s="6" t="str">
        <f aca="false">MID(VLOOKUP(D22,$P$1:$Q$13,2,0), 1 + C22,1)</f>
        <v>갤</v>
      </c>
      <c r="G22" s="6" t="str">
        <f aca="false">DEC2HEX(D22+36, 2)</f>
        <v>24</v>
      </c>
      <c r="H22" s="6" t="str">
        <f aca="false">DEC2HEX(C22+48,2)</f>
        <v>45</v>
      </c>
      <c r="I22" s="6" t="str">
        <f aca="false">_xlfn.CONCAT("\x", G22, "\x", H22, "=", F22)</f>
        <v>\x24\x45=갤</v>
      </c>
      <c r="K22" s="6" t="str">
        <f aca="false">_xlfn.CONCAT("\x", H22, "=", MID($Q$16, HEX2DEC(H22)-47, 1))</f>
        <v>\x45=+</v>
      </c>
      <c r="M22" s="7" t="str">
        <f aca="false">MID($Q$17, ROW(), 1)</f>
        <v>V</v>
      </c>
      <c r="N22" s="6" t="str">
        <f aca="false">_xlfn.CONCAT("\x", DEC2HEX(D22+44, 2), "\x", H22, "=", M22)</f>
        <v>\x2C\x45=V</v>
      </c>
    </row>
    <row r="23" customFormat="false" ht="14.15" hidden="false" customHeight="false" outlineLevel="0" collapsed="false">
      <c r="A23" s="6" t="str">
        <f aca="false">DEC2HEX(ROW()-1, 2) &amp; "=0x" &amp; DEC2HEX(ROW()-1, 2) &amp; ", "</f>
        <v>16=0x16, </v>
      </c>
      <c r="C23" s="6" t="n">
        <f aca="false">MOD(ROW()-1, 208)</f>
        <v>22</v>
      </c>
      <c r="D23" s="6" t="n">
        <f aca="false">INT((ROW()-1)/208)</f>
        <v>0</v>
      </c>
      <c r="F23" s="6" t="str">
        <f aca="false">MID(VLOOKUP(D23,$P$1:$Q$13,2,0), 1 + C23,1)</f>
        <v>갬</v>
      </c>
      <c r="G23" s="6" t="str">
        <f aca="false">DEC2HEX(D23+36, 2)</f>
        <v>24</v>
      </c>
      <c r="H23" s="6" t="str">
        <f aca="false">DEC2HEX(C23+48,2)</f>
        <v>46</v>
      </c>
      <c r="I23" s="6" t="str">
        <f aca="false">_xlfn.CONCAT("\x", G23, "\x", H23, "=", F23)</f>
        <v>\x24\x46=갬</v>
      </c>
      <c r="K23" s="6" t="str">
        <f aca="false">_xlfn.CONCAT("\x", H23, "=", MID($Q$16, HEX2DEC(H23)-47, 1))</f>
        <v>\x46=,</v>
      </c>
      <c r="M23" s="7" t="str">
        <f aca="false">MID($Q$17, ROW(), 1)</f>
        <v>W</v>
      </c>
      <c r="N23" s="6" t="str">
        <f aca="false">_xlfn.CONCAT("\x", DEC2HEX(D23+44, 2), "\x", H23, "=", M23)</f>
        <v>\x2C\x46=W</v>
      </c>
    </row>
    <row r="24" customFormat="false" ht="14.15" hidden="false" customHeight="false" outlineLevel="0" collapsed="false">
      <c r="A24" s="6" t="str">
        <f aca="false">DEC2HEX(ROW()-1, 2) &amp; "=0x" &amp; DEC2HEX(ROW()-1, 2) &amp; ", "</f>
        <v>17=0x17, </v>
      </c>
      <c r="C24" s="6" t="n">
        <f aca="false">MOD(ROW()-1, 208)</f>
        <v>23</v>
      </c>
      <c r="D24" s="6" t="n">
        <f aca="false">INT((ROW()-1)/208)</f>
        <v>0</v>
      </c>
      <c r="F24" s="6" t="str">
        <f aca="false">MID(VLOOKUP(D24,$P$1:$Q$13,2,0), 1 + C24,1)</f>
        <v>갭</v>
      </c>
      <c r="G24" s="6" t="str">
        <f aca="false">DEC2HEX(D24+36, 2)</f>
        <v>24</v>
      </c>
      <c r="H24" s="6" t="str">
        <f aca="false">DEC2HEX(C24+48,2)</f>
        <v>47</v>
      </c>
      <c r="I24" s="6" t="str">
        <f aca="false">_xlfn.CONCAT("\x", G24, "\x", H24, "=", F24)</f>
        <v>\x24\x47=갭</v>
      </c>
      <c r="K24" s="6" t="str">
        <f aca="false">_xlfn.CONCAT("\x", H24, "=", MID($Q$16, HEX2DEC(H24)-47, 1))</f>
        <v>\x47=-</v>
      </c>
      <c r="M24" s="7" t="str">
        <f aca="false">MID($Q$17, ROW(), 1)</f>
        <v>X</v>
      </c>
      <c r="N24" s="6" t="str">
        <f aca="false">_xlfn.CONCAT("\x", DEC2HEX(D24+44, 2), "\x", H24, "=", M24)</f>
        <v>\x2C\x47=X</v>
      </c>
    </row>
    <row r="25" customFormat="false" ht="14.15" hidden="false" customHeight="false" outlineLevel="0" collapsed="false">
      <c r="A25" s="6" t="str">
        <f aca="false">DEC2HEX(ROW()-1, 2) &amp; "=0x" &amp; DEC2HEX(ROW()-1, 2) &amp; ", "</f>
        <v>18=0x18, </v>
      </c>
      <c r="C25" s="6" t="n">
        <f aca="false">MOD(ROW()-1, 208)</f>
        <v>24</v>
      </c>
      <c r="D25" s="6" t="n">
        <f aca="false">INT((ROW()-1)/208)</f>
        <v>0</v>
      </c>
      <c r="F25" s="6" t="str">
        <f aca="false">MID(VLOOKUP(D25,$P$1:$Q$13,2,0), 1 + C25,1)</f>
        <v>갯</v>
      </c>
      <c r="G25" s="6" t="str">
        <f aca="false">DEC2HEX(D25+36, 2)</f>
        <v>24</v>
      </c>
      <c r="H25" s="6" t="str">
        <f aca="false">DEC2HEX(C25+48,2)</f>
        <v>48</v>
      </c>
      <c r="I25" s="6" t="str">
        <f aca="false">_xlfn.CONCAT("\x", G25, "\x", H25, "=", F25)</f>
        <v>\x24\x48=갯</v>
      </c>
      <c r="K25" s="6" t="str">
        <f aca="false">_xlfn.CONCAT("\x", H25, "=", MID($Q$16, HEX2DEC(H25)-47, 1))</f>
        <v>\x48=.</v>
      </c>
      <c r="M25" s="7" t="str">
        <f aca="false">MID($Q$17, ROW(), 1)</f>
        <v>Y</v>
      </c>
      <c r="N25" s="6" t="str">
        <f aca="false">_xlfn.CONCAT("\x", DEC2HEX(D25+44, 2), "\x", H25, "=", M25)</f>
        <v>\x2C\x48=Y</v>
      </c>
    </row>
    <row r="26" customFormat="false" ht="14.15" hidden="false" customHeight="false" outlineLevel="0" collapsed="false">
      <c r="A26" s="6" t="str">
        <f aca="false">DEC2HEX(ROW()-1, 2) &amp; "=0x" &amp; DEC2HEX(ROW()-1, 2) &amp; ", "</f>
        <v>19=0x19, </v>
      </c>
      <c r="C26" s="6" t="n">
        <f aca="false">MOD(ROW()-1, 208)</f>
        <v>25</v>
      </c>
      <c r="D26" s="6" t="n">
        <f aca="false">INT((ROW()-1)/208)</f>
        <v>0</v>
      </c>
      <c r="F26" s="6" t="str">
        <f aca="false">MID(VLOOKUP(D26,$P$1:$Q$13,2,0), 1 + C26,1)</f>
        <v>갰</v>
      </c>
      <c r="G26" s="6" t="str">
        <f aca="false">DEC2HEX(D26+36, 2)</f>
        <v>24</v>
      </c>
      <c r="H26" s="6" t="str">
        <f aca="false">DEC2HEX(C26+48,2)</f>
        <v>49</v>
      </c>
      <c r="I26" s="6" t="str">
        <f aca="false">_xlfn.CONCAT("\x", G26, "\x", H26, "=", F26)</f>
        <v>\x24\x49=갰</v>
      </c>
      <c r="K26" s="6" t="str">
        <f aca="false">_xlfn.CONCAT("\x", H26, "=", MID($Q$16, HEX2DEC(H26)-47, 1))</f>
        <v>\x49=/</v>
      </c>
      <c r="M26" s="7" t="str">
        <f aca="false">MID($Q$17, ROW(), 1)</f>
        <v>Z</v>
      </c>
      <c r="N26" s="6" t="str">
        <f aca="false">_xlfn.CONCAT("\x", DEC2HEX(D26+44, 2), "\x", H26, "=", M26)</f>
        <v>\x2C\x49=Z</v>
      </c>
    </row>
    <row r="27" customFormat="false" ht="14.15" hidden="false" customHeight="false" outlineLevel="0" collapsed="false">
      <c r="A27" s="6" t="str">
        <f aca="false">DEC2HEX(ROW()-1, 2) &amp; "=0x" &amp; DEC2HEX(ROW()-1, 2) &amp; ", "</f>
        <v>1A=0x1A, </v>
      </c>
      <c r="C27" s="6" t="n">
        <f aca="false">MOD(ROW()-1, 208)</f>
        <v>26</v>
      </c>
      <c r="D27" s="6" t="n">
        <f aca="false">INT((ROW()-1)/208)</f>
        <v>0</v>
      </c>
      <c r="F27" s="6" t="str">
        <f aca="false">MID(VLOOKUP(D27,$P$1:$Q$13,2,0), 1 + C27,1)</f>
        <v>갱</v>
      </c>
      <c r="G27" s="6" t="str">
        <f aca="false">DEC2HEX(D27+36, 2)</f>
        <v>24</v>
      </c>
      <c r="H27" s="6" t="str">
        <f aca="false">DEC2HEX(C27+48,2)</f>
        <v>4A</v>
      </c>
      <c r="I27" s="6" t="str">
        <f aca="false">_xlfn.CONCAT("\x", G27, "\x", H27, "=", F27)</f>
        <v>\x24\x4A=갱</v>
      </c>
      <c r="K27" s="6" t="str">
        <f aca="false">_xlfn.CONCAT("\x", H27, "=", MID($Q$16, HEX2DEC(H27)-47, 1))</f>
        <v>\x4A=:</v>
      </c>
      <c r="M27" s="7" t="str">
        <f aca="false">MID($Q$17, ROW(), 1)</f>
        <v>a</v>
      </c>
      <c r="N27" s="6" t="str">
        <f aca="false">_xlfn.CONCAT("\x", DEC2HEX(D27+44, 2), "\x", H27, "=", M27)</f>
        <v>\x2C\x4A=a</v>
      </c>
    </row>
    <row r="28" customFormat="false" ht="14.15" hidden="false" customHeight="false" outlineLevel="0" collapsed="false">
      <c r="A28" s="6" t="str">
        <f aca="false">DEC2HEX(ROW()-1, 2) &amp; "=0x" &amp; DEC2HEX(ROW()-1, 2) &amp; ", "</f>
        <v>1B=0x1B, </v>
      </c>
      <c r="C28" s="6" t="n">
        <f aca="false">MOD(ROW()-1, 208)</f>
        <v>27</v>
      </c>
      <c r="D28" s="6" t="n">
        <f aca="false">INT((ROW()-1)/208)</f>
        <v>0</v>
      </c>
      <c r="F28" s="6" t="str">
        <f aca="false">MID(VLOOKUP(D28,$P$1:$Q$13,2,0), 1 + C28,1)</f>
        <v>갸</v>
      </c>
      <c r="G28" s="6" t="str">
        <f aca="false">DEC2HEX(D28+36, 2)</f>
        <v>24</v>
      </c>
      <c r="H28" s="6" t="str">
        <f aca="false">DEC2HEX(C28+48,2)</f>
        <v>4B</v>
      </c>
      <c r="I28" s="6" t="str">
        <f aca="false">_xlfn.CONCAT("\x", G28, "\x", H28, "=", F28)</f>
        <v>\x24\x4B=갸</v>
      </c>
      <c r="K28" s="6" t="str">
        <f aca="false">_xlfn.CONCAT("\x", H28, "=", MID($Q$16, HEX2DEC(H28)-47, 1))</f>
        <v>\x4B=;</v>
      </c>
      <c r="M28" s="7" t="str">
        <f aca="false">MID($Q$17, ROW(), 1)</f>
        <v>b</v>
      </c>
      <c r="N28" s="6" t="str">
        <f aca="false">_xlfn.CONCAT("\x", DEC2HEX(D28+44, 2), "\x", H28, "=", M28)</f>
        <v>\x2C\x4B=b</v>
      </c>
    </row>
    <row r="29" customFormat="false" ht="14.15" hidden="false" customHeight="false" outlineLevel="0" collapsed="false">
      <c r="A29" s="6" t="str">
        <f aca="false">DEC2HEX(ROW()-1, 2) &amp; "=0x" &amp; DEC2HEX(ROW()-1, 2) &amp; ", "</f>
        <v>1C=0x1C, </v>
      </c>
      <c r="C29" s="6" t="n">
        <f aca="false">MOD(ROW()-1, 208)</f>
        <v>28</v>
      </c>
      <c r="D29" s="6" t="n">
        <f aca="false">INT((ROW()-1)/208)</f>
        <v>0</v>
      </c>
      <c r="F29" s="6" t="str">
        <f aca="false">MID(VLOOKUP(D29,$P$1:$Q$13,2,0), 1 + C29,1)</f>
        <v>갹</v>
      </c>
      <c r="G29" s="6" t="str">
        <f aca="false">DEC2HEX(D29+36, 2)</f>
        <v>24</v>
      </c>
      <c r="H29" s="6" t="str">
        <f aca="false">DEC2HEX(C29+48,2)</f>
        <v>4C</v>
      </c>
      <c r="I29" s="6" t="str">
        <f aca="false">_xlfn.CONCAT("\x", G29, "\x", H29, "=", F29)</f>
        <v>\x24\x4C=갹</v>
      </c>
      <c r="K29" s="6" t="str">
        <f aca="false">_xlfn.CONCAT("\x", H29, "=", MID($Q$16, HEX2DEC(H29)-47, 1))</f>
        <v>\x4C=【</v>
      </c>
      <c r="M29" s="7" t="str">
        <f aca="false">MID($Q$17, ROW(), 1)</f>
        <v>c</v>
      </c>
      <c r="N29" s="6" t="str">
        <f aca="false">_xlfn.CONCAT("\x", DEC2HEX(D29+44, 2), "\x", H29, "=", M29)</f>
        <v>\x2C\x4C=c</v>
      </c>
      <c r="X29" s="6" t="s">
        <v>29</v>
      </c>
    </row>
    <row r="30" customFormat="false" ht="14.15" hidden="false" customHeight="false" outlineLevel="0" collapsed="false">
      <c r="A30" s="6" t="str">
        <f aca="false">DEC2HEX(ROW()-1, 2) &amp; "=0x" &amp; DEC2HEX(ROW()-1, 2) &amp; ", "</f>
        <v>1D=0x1D, </v>
      </c>
      <c r="C30" s="6" t="n">
        <f aca="false">MOD(ROW()-1, 208)</f>
        <v>29</v>
      </c>
      <c r="D30" s="6" t="n">
        <f aca="false">INT((ROW()-1)/208)</f>
        <v>0</v>
      </c>
      <c r="F30" s="6" t="str">
        <f aca="false">MID(VLOOKUP(D30,$P$1:$Q$13,2,0), 1 + C30,1)</f>
        <v>갼</v>
      </c>
      <c r="G30" s="6" t="str">
        <f aca="false">DEC2HEX(D30+36, 2)</f>
        <v>24</v>
      </c>
      <c r="H30" s="6" t="str">
        <f aca="false">DEC2HEX(C30+48,2)</f>
        <v>4D</v>
      </c>
      <c r="I30" s="6" t="str">
        <f aca="false">_xlfn.CONCAT("\x", G30, "\x", H30, "=", F30)</f>
        <v>\x24\x4D=갼</v>
      </c>
      <c r="K30" s="6" t="str">
        <f aca="false">_xlfn.CONCAT("\x", H30, "=", MID($Q$16, HEX2DEC(H30)-47, 1))</f>
        <v>\x4D==</v>
      </c>
      <c r="M30" s="7" t="str">
        <f aca="false">MID($Q$17, ROW(), 1)</f>
        <v>d</v>
      </c>
      <c r="N30" s="6" t="str">
        <f aca="false">_xlfn.CONCAT("\x", DEC2HEX(D30+44, 2), "\x", H30, "=", M30)</f>
        <v>\x2C\x4D=d</v>
      </c>
    </row>
    <row r="31" customFormat="false" ht="14.15" hidden="false" customHeight="false" outlineLevel="0" collapsed="false">
      <c r="A31" s="6" t="str">
        <f aca="false">DEC2HEX(ROW()-1, 2) &amp; "=0x" &amp; DEC2HEX(ROW()-1, 2) &amp; ", "</f>
        <v>1E=0x1E, </v>
      </c>
      <c r="C31" s="6" t="n">
        <f aca="false">MOD(ROW()-1, 208)</f>
        <v>30</v>
      </c>
      <c r="D31" s="6" t="n">
        <f aca="false">INT((ROW()-1)/208)</f>
        <v>0</v>
      </c>
      <c r="F31" s="6" t="str">
        <f aca="false">MID(VLOOKUP(D31,$P$1:$Q$13,2,0), 1 + C31,1)</f>
        <v>걀</v>
      </c>
      <c r="G31" s="6" t="str">
        <f aca="false">DEC2HEX(D31+36, 2)</f>
        <v>24</v>
      </c>
      <c r="H31" s="6" t="str">
        <f aca="false">DEC2HEX(C31+48,2)</f>
        <v>4E</v>
      </c>
      <c r="I31" s="6" t="str">
        <f aca="false">_xlfn.CONCAT("\x", G31, "\x", H31, "=", F31)</f>
        <v>\x24\x4E=걀</v>
      </c>
      <c r="K31" s="6" t="str">
        <f aca="false">_xlfn.CONCAT("\x", H31, "=", MID($Q$16, HEX2DEC(H31)-47, 1))</f>
        <v>\x4E=】</v>
      </c>
      <c r="M31" s="7" t="str">
        <f aca="false">MID($Q$17, ROW(), 1)</f>
        <v>e</v>
      </c>
      <c r="N31" s="6" t="str">
        <f aca="false">_xlfn.CONCAT("\x", DEC2HEX(D31+44, 2), "\x", H31, "=", M31)</f>
        <v>\x2C\x4E=e</v>
      </c>
    </row>
    <row r="32" customFormat="false" ht="14.15" hidden="false" customHeight="false" outlineLevel="0" collapsed="false">
      <c r="A32" s="6" t="str">
        <f aca="false">DEC2HEX(ROW()-1, 2) &amp; "=0x" &amp; DEC2HEX(ROW()-1, 2) &amp; ", "</f>
        <v>1F=0x1F, </v>
      </c>
      <c r="C32" s="6" t="n">
        <f aca="false">MOD(ROW()-1, 208)</f>
        <v>31</v>
      </c>
      <c r="D32" s="6" t="n">
        <f aca="false">INT((ROW()-1)/208)</f>
        <v>0</v>
      </c>
      <c r="F32" s="6" t="str">
        <f aca="false">MID(VLOOKUP(D32,$P$1:$Q$13,2,0), 1 + C32,1)</f>
        <v>걋</v>
      </c>
      <c r="G32" s="6" t="str">
        <f aca="false">DEC2HEX(D32+36, 2)</f>
        <v>24</v>
      </c>
      <c r="H32" s="6" t="str">
        <f aca="false">DEC2HEX(C32+48,2)</f>
        <v>4F</v>
      </c>
      <c r="I32" s="6" t="str">
        <f aca="false">_xlfn.CONCAT("\x", G32, "\x", H32, "=", F32)</f>
        <v>\x24\x4F=걋</v>
      </c>
      <c r="K32" s="6" t="str">
        <f aca="false">_xlfn.CONCAT("\x", H32, "=", MID($Q$16, HEX2DEC(H32)-47, 1))</f>
        <v>\x4F=?</v>
      </c>
      <c r="M32" s="7" t="str">
        <f aca="false">MID($Q$17, ROW(), 1)</f>
        <v>f</v>
      </c>
      <c r="N32" s="6" t="str">
        <f aca="false">_xlfn.CONCAT("\x", DEC2HEX(D32+44, 2), "\x", H32, "=", M32)</f>
        <v>\x2C\x4F=f</v>
      </c>
    </row>
    <row r="33" customFormat="false" ht="14.15" hidden="false" customHeight="false" outlineLevel="0" collapsed="false">
      <c r="A33" s="6" t="str">
        <f aca="false">DEC2HEX(ROW()-1, 2) &amp; "=0x" &amp; DEC2HEX(ROW()-1, 2) &amp; ", "</f>
        <v>20=0x20, </v>
      </c>
      <c r="C33" s="6" t="n">
        <f aca="false">MOD(ROW()-1, 208)</f>
        <v>32</v>
      </c>
      <c r="D33" s="6" t="n">
        <f aca="false">INT((ROW()-1)/208)</f>
        <v>0</v>
      </c>
      <c r="F33" s="6" t="str">
        <f aca="false">MID(VLOOKUP(D33,$P$1:$Q$13,2,0), 1 + C33,1)</f>
        <v>걍</v>
      </c>
      <c r="G33" s="6" t="str">
        <f aca="false">DEC2HEX(D33+36, 2)</f>
        <v>24</v>
      </c>
      <c r="H33" s="6" t="str">
        <f aca="false">DEC2HEX(C33+48,2)</f>
        <v>50</v>
      </c>
      <c r="I33" s="6" t="str">
        <f aca="false">_xlfn.CONCAT("\x", G33, "\x", H33, "=", F33)</f>
        <v>\x24\x50=걍</v>
      </c>
      <c r="K33" s="6" t="str">
        <f aca="false">_xlfn.CONCAT("\x", H33, "=", MID($Q$16, HEX2DEC(H33)-47, 1))</f>
        <v>\x50=Ⅹ</v>
      </c>
      <c r="M33" s="7" t="str">
        <f aca="false">MID($Q$17, ROW(), 1)</f>
        <v>g</v>
      </c>
      <c r="N33" s="6" t="str">
        <f aca="false">_xlfn.CONCAT("\x", DEC2HEX(D33+44, 2), "\x", H33, "=", M33)</f>
        <v>\x2C\x50=g</v>
      </c>
    </row>
    <row r="34" customFormat="false" ht="14.15" hidden="false" customHeight="false" outlineLevel="0" collapsed="false">
      <c r="A34" s="6" t="str">
        <f aca="false">DEC2HEX(ROW()-1, 2) &amp; "=0x" &amp; DEC2HEX(ROW()-1, 2) &amp; ", "</f>
        <v>21=0x21, </v>
      </c>
      <c r="C34" s="6" t="n">
        <f aca="false">MOD(ROW()-1, 208)</f>
        <v>33</v>
      </c>
      <c r="D34" s="6" t="n">
        <f aca="false">INT((ROW()-1)/208)</f>
        <v>0</v>
      </c>
      <c r="F34" s="6" t="str">
        <f aca="false">MID(VLOOKUP(D34,$P$1:$Q$13,2,0), 1 + C34,1)</f>
        <v>걔</v>
      </c>
      <c r="G34" s="6" t="str">
        <f aca="false">DEC2HEX(D34+36, 2)</f>
        <v>24</v>
      </c>
      <c r="H34" s="6" t="str">
        <f aca="false">DEC2HEX(C34+48,2)</f>
        <v>51</v>
      </c>
      <c r="I34" s="6" t="str">
        <f aca="false">_xlfn.CONCAT("\x", G34, "\x", H34, "=", F34)</f>
        <v>\x24\x51=걔</v>
      </c>
      <c r="K34" s="6" t="str">
        <f aca="false">_xlfn.CONCAT("\x", H34, "=", MID($Q$16, HEX2DEC(H34)-47, 1))</f>
        <v>\x51=。</v>
      </c>
      <c r="M34" s="7" t="str">
        <f aca="false">MID($Q$17, ROW(), 1)</f>
        <v>h</v>
      </c>
      <c r="N34" s="6" t="str">
        <f aca="false">_xlfn.CONCAT("\x", DEC2HEX(D34+44, 2), "\x", H34, "=", M34)</f>
        <v>\x2C\x51=h</v>
      </c>
    </row>
    <row r="35" customFormat="false" ht="14.15" hidden="false" customHeight="false" outlineLevel="0" collapsed="false">
      <c r="A35" s="6" t="str">
        <f aca="false">DEC2HEX(ROW()-1, 2) &amp; "=0x" &amp; DEC2HEX(ROW()-1, 2) &amp; ", "</f>
        <v>22=0x22, </v>
      </c>
      <c r="C35" s="6" t="n">
        <f aca="false">MOD(ROW()-1, 208)</f>
        <v>34</v>
      </c>
      <c r="D35" s="6" t="n">
        <f aca="false">INT((ROW()-1)/208)</f>
        <v>0</v>
      </c>
      <c r="F35" s="6" t="str">
        <f aca="false">MID(VLOOKUP(D35,$P$1:$Q$13,2,0), 1 + C35,1)</f>
        <v>걘</v>
      </c>
      <c r="G35" s="6" t="str">
        <f aca="false">DEC2HEX(D35+36, 2)</f>
        <v>24</v>
      </c>
      <c r="H35" s="6" t="str">
        <f aca="false">DEC2HEX(C35+48,2)</f>
        <v>52</v>
      </c>
      <c r="I35" s="6" t="str">
        <f aca="false">_xlfn.CONCAT("\x", G35, "\x", H35, "=", F35)</f>
        <v>\x24\x52=걘</v>
      </c>
      <c r="K35" s="6" t="str">
        <f aca="false">_xlfn.CONCAT("\x", H35, "=", MID($Q$16, HEX2DEC(H35)-47, 1))</f>
        <v>\x52=「</v>
      </c>
      <c r="M35" s="7" t="str">
        <f aca="false">MID($Q$17, ROW(), 1)</f>
        <v>i</v>
      </c>
      <c r="N35" s="6" t="str">
        <f aca="false">_xlfn.CONCAT("\x", DEC2HEX(D35+44, 2), "\x", H35, "=", M35)</f>
        <v>\x2C\x52=i</v>
      </c>
    </row>
    <row r="36" customFormat="false" ht="14.15" hidden="false" customHeight="false" outlineLevel="0" collapsed="false">
      <c r="A36" s="6" t="str">
        <f aca="false">DEC2HEX(ROW()-1, 2) &amp; "=0x" &amp; DEC2HEX(ROW()-1, 2) &amp; ", "</f>
        <v>23=0x23, </v>
      </c>
      <c r="C36" s="6" t="n">
        <f aca="false">MOD(ROW()-1, 208)</f>
        <v>35</v>
      </c>
      <c r="D36" s="6" t="n">
        <f aca="false">INT((ROW()-1)/208)</f>
        <v>0</v>
      </c>
      <c r="F36" s="6" t="str">
        <f aca="false">MID(VLOOKUP(D36,$P$1:$Q$13,2,0), 1 + C36,1)</f>
        <v>걜</v>
      </c>
      <c r="G36" s="6" t="str">
        <f aca="false">DEC2HEX(D36+36, 2)</f>
        <v>24</v>
      </c>
      <c r="H36" s="6" t="str">
        <f aca="false">DEC2HEX(C36+48,2)</f>
        <v>53</v>
      </c>
      <c r="I36" s="6" t="str">
        <f aca="false">_xlfn.CONCAT("\x", G36, "\x", H36, "=", F36)</f>
        <v>\x24\x53=걜</v>
      </c>
      <c r="K36" s="6" t="str">
        <f aca="false">_xlfn.CONCAT("\x", H36, "=", MID($Q$16, HEX2DEC(H36)-47, 1))</f>
        <v>\x53=」</v>
      </c>
      <c r="M36" s="7" t="str">
        <f aca="false">MID($Q$17, ROW(), 1)</f>
        <v>j</v>
      </c>
      <c r="N36" s="6" t="str">
        <f aca="false">_xlfn.CONCAT("\x", DEC2HEX(D36+44, 2), "\x", H36, "=", M36)</f>
        <v>\x2C\x53=j</v>
      </c>
    </row>
    <row r="37" customFormat="false" ht="14.15" hidden="false" customHeight="false" outlineLevel="0" collapsed="false">
      <c r="A37" s="6" t="str">
        <f aca="false">DEC2HEX(ROW()-1, 2) &amp; "=0x" &amp; DEC2HEX(ROW()-1, 2) &amp; ", "</f>
        <v>24=0x24, </v>
      </c>
      <c r="C37" s="6" t="n">
        <f aca="false">MOD(ROW()-1, 208)</f>
        <v>36</v>
      </c>
      <c r="D37" s="6" t="n">
        <f aca="false">INT((ROW()-1)/208)</f>
        <v>0</v>
      </c>
      <c r="F37" s="6" t="str">
        <f aca="false">MID(VLOOKUP(D37,$P$1:$Q$13,2,0), 1 + C37,1)</f>
        <v>거</v>
      </c>
      <c r="G37" s="6" t="str">
        <f aca="false">DEC2HEX(D37+36, 2)</f>
        <v>24</v>
      </c>
      <c r="H37" s="6" t="str">
        <f aca="false">DEC2HEX(C37+48,2)</f>
        <v>54</v>
      </c>
      <c r="I37" s="6" t="str">
        <f aca="false">_xlfn.CONCAT("\x", G37, "\x", H37, "=", F37)</f>
        <v>\x24\x54=거</v>
      </c>
      <c r="K37" s="6" t="str">
        <f aca="false">_xlfn.CONCAT("\x", H37, "=", MID($Q$16, HEX2DEC(H37)-47, 1))</f>
        <v>\x54=、</v>
      </c>
      <c r="M37" s="7" t="str">
        <f aca="false">MID($Q$17, ROW(), 1)</f>
        <v>k</v>
      </c>
      <c r="N37" s="6" t="str">
        <f aca="false">_xlfn.CONCAT("\x", DEC2HEX(D37+44, 2), "\x", H37, "=", M37)</f>
        <v>\x2C\x54=k</v>
      </c>
    </row>
    <row r="38" customFormat="false" ht="14.15" hidden="false" customHeight="false" outlineLevel="0" collapsed="false">
      <c r="A38" s="6" t="str">
        <f aca="false">DEC2HEX(ROW()-1, 2) &amp; "=0x" &amp; DEC2HEX(ROW()-1, 2) &amp; ", "</f>
        <v>25=0x25, </v>
      </c>
      <c r="C38" s="6" t="n">
        <f aca="false">MOD(ROW()-1, 208)</f>
        <v>37</v>
      </c>
      <c r="D38" s="6" t="n">
        <f aca="false">INT((ROW()-1)/208)</f>
        <v>0</v>
      </c>
      <c r="F38" s="6" t="str">
        <f aca="false">MID(VLOOKUP(D38,$P$1:$Q$13,2,0), 1 + C38,1)</f>
        <v>걱</v>
      </c>
      <c r="G38" s="6" t="str">
        <f aca="false">DEC2HEX(D38+36, 2)</f>
        <v>24</v>
      </c>
      <c r="H38" s="6" t="str">
        <f aca="false">DEC2HEX(C38+48,2)</f>
        <v>55</v>
      </c>
      <c r="I38" s="6" t="str">
        <f aca="false">_xlfn.CONCAT("\x", G38, "\x", H38, "=", F38)</f>
        <v>\x24\x55=걱</v>
      </c>
      <c r="K38" s="6" t="str">
        <f aca="false">_xlfn.CONCAT("\x", H38, "=", MID($Q$16, HEX2DEC(H38)-47, 1))</f>
        <v>\x55=·</v>
      </c>
      <c r="M38" s="7" t="str">
        <f aca="false">MID($Q$17, ROW(), 1)</f>
        <v>l</v>
      </c>
      <c r="N38" s="6" t="str">
        <f aca="false">_xlfn.CONCAT("\x", DEC2HEX(D38+44, 2), "\x", H38, "=", M38)</f>
        <v>\x2C\x55=l</v>
      </c>
    </row>
    <row r="39" customFormat="false" ht="14.15" hidden="false" customHeight="false" outlineLevel="0" collapsed="false">
      <c r="A39" s="6" t="str">
        <f aca="false">DEC2HEX(ROW()-1, 2) &amp; "=0x" &amp; DEC2HEX(ROW()-1, 2) &amp; ", "</f>
        <v>26=0x26, </v>
      </c>
      <c r="C39" s="6" t="n">
        <f aca="false">MOD(ROW()-1, 208)</f>
        <v>38</v>
      </c>
      <c r="D39" s="6" t="n">
        <f aca="false">INT((ROW()-1)/208)</f>
        <v>0</v>
      </c>
      <c r="F39" s="6" t="str">
        <f aca="false">MID(VLOOKUP(D39,$P$1:$Q$13,2,0), 1 + C39,1)</f>
        <v>건</v>
      </c>
      <c r="G39" s="6" t="str">
        <f aca="false">DEC2HEX(D39+36, 2)</f>
        <v>24</v>
      </c>
      <c r="H39" s="6" t="str">
        <f aca="false">DEC2HEX(C39+48,2)</f>
        <v>56</v>
      </c>
      <c r="I39" s="6" t="str">
        <f aca="false">_xlfn.CONCAT("\x", G39, "\x", H39, "=", F39)</f>
        <v>\x24\x56=건</v>
      </c>
      <c r="K39" s="6" t="str">
        <f aca="false">_xlfn.CONCAT("\x", H39, "=", MID($Q$16, HEX2DEC(H39)-47, 1))</f>
        <v>\x56=『</v>
      </c>
      <c r="M39" s="7" t="str">
        <f aca="false">MID($Q$17, ROW(), 1)</f>
        <v>m</v>
      </c>
      <c r="N39" s="6" t="str">
        <f aca="false">_xlfn.CONCAT("\x", DEC2HEX(D39+44, 2), "\x", H39, "=", M39)</f>
        <v>\x2C\x56=m</v>
      </c>
    </row>
    <row r="40" customFormat="false" ht="14.15" hidden="false" customHeight="false" outlineLevel="0" collapsed="false">
      <c r="A40" s="6" t="str">
        <f aca="false">DEC2HEX(ROW()-1, 2) &amp; "=0x" &amp; DEC2HEX(ROW()-1, 2) &amp; ", "</f>
        <v>27=0x27, </v>
      </c>
      <c r="C40" s="6" t="n">
        <f aca="false">MOD(ROW()-1, 208)</f>
        <v>39</v>
      </c>
      <c r="D40" s="6" t="n">
        <f aca="false">INT((ROW()-1)/208)</f>
        <v>0</v>
      </c>
      <c r="F40" s="6" t="str">
        <f aca="false">MID(VLOOKUP(D40,$P$1:$Q$13,2,0), 1 + C40,1)</f>
        <v>걷</v>
      </c>
      <c r="G40" s="6" t="str">
        <f aca="false">DEC2HEX(D40+36, 2)</f>
        <v>24</v>
      </c>
      <c r="H40" s="6" t="str">
        <f aca="false">DEC2HEX(C40+48,2)</f>
        <v>57</v>
      </c>
      <c r="I40" s="6" t="str">
        <f aca="false">_xlfn.CONCAT("\x", G40, "\x", H40, "=", F40)</f>
        <v>\x24\x57=걷</v>
      </c>
      <c r="K40" s="6" t="str">
        <f aca="false">_xlfn.CONCAT("\x", H40, "=", MID($Q$16, HEX2DEC(H40)-47, 1))</f>
        <v>\x57=』</v>
      </c>
      <c r="M40" s="7" t="str">
        <f aca="false">MID($Q$17, ROW(), 1)</f>
        <v>n</v>
      </c>
      <c r="N40" s="6" t="str">
        <f aca="false">_xlfn.CONCAT("\x", DEC2HEX(D40+44, 2), "\x", H40, "=", M40)</f>
        <v>\x2C\x57=n</v>
      </c>
    </row>
    <row r="41" customFormat="false" ht="14.15" hidden="false" customHeight="false" outlineLevel="0" collapsed="false">
      <c r="A41" s="6" t="str">
        <f aca="false">DEC2HEX(ROW()-1, 2) &amp; "=0x" &amp; DEC2HEX(ROW()-1, 2) &amp; ", "</f>
        <v>28=0x28, </v>
      </c>
      <c r="C41" s="6" t="n">
        <f aca="false">MOD(ROW()-1, 208)</f>
        <v>40</v>
      </c>
      <c r="D41" s="6" t="n">
        <f aca="false">INT((ROW()-1)/208)</f>
        <v>0</v>
      </c>
      <c r="F41" s="6" t="str">
        <f aca="false">MID(VLOOKUP(D41,$P$1:$Q$13,2,0), 1 + C41,1)</f>
        <v>걸</v>
      </c>
      <c r="G41" s="6" t="str">
        <f aca="false">DEC2HEX(D41+36, 2)</f>
        <v>24</v>
      </c>
      <c r="H41" s="6" t="str">
        <f aca="false">DEC2HEX(C41+48,2)</f>
        <v>58</v>
      </c>
      <c r="I41" s="6" t="str">
        <f aca="false">_xlfn.CONCAT("\x", G41, "\x", H41, "=", F41)</f>
        <v>\x24\x58=걸</v>
      </c>
      <c r="K41" s="6" t="str">
        <f aca="false">_xlfn.CONCAT("\x", H41, "=", MID($Q$16, HEX2DEC(H41)-47, 1))</f>
        <v>\x58=α</v>
      </c>
      <c r="M41" s="7" t="str">
        <f aca="false">MID($Q$17, ROW(), 1)</f>
        <v>o</v>
      </c>
      <c r="N41" s="6" t="str">
        <f aca="false">_xlfn.CONCAT("\x", DEC2HEX(D41+44, 2), "\x", H41, "=", M41)</f>
        <v>\x2C\x58=o</v>
      </c>
    </row>
    <row r="42" customFormat="false" ht="14.15" hidden="false" customHeight="false" outlineLevel="0" collapsed="false">
      <c r="A42" s="6" t="str">
        <f aca="false">DEC2HEX(ROW()-1, 2) &amp; "=0x" &amp; DEC2HEX(ROW()-1, 2) &amp; ", "</f>
        <v>29=0x29, </v>
      </c>
      <c r="C42" s="6" t="n">
        <f aca="false">MOD(ROW()-1, 208)</f>
        <v>41</v>
      </c>
      <c r="D42" s="6" t="n">
        <f aca="false">INT((ROW()-1)/208)</f>
        <v>0</v>
      </c>
      <c r="F42" s="6" t="str">
        <f aca="false">MID(VLOOKUP(D42,$P$1:$Q$13,2,0), 1 + C42,1)</f>
        <v>걺</v>
      </c>
      <c r="G42" s="6" t="str">
        <f aca="false">DEC2HEX(D42+36, 2)</f>
        <v>24</v>
      </c>
      <c r="H42" s="6" t="str">
        <f aca="false">DEC2HEX(C42+48,2)</f>
        <v>59</v>
      </c>
      <c r="I42" s="6" t="str">
        <f aca="false">_xlfn.CONCAT("\x", G42, "\x", H42, "=", F42)</f>
        <v>\x24\x59=걺</v>
      </c>
      <c r="K42" s="6" t="str">
        <f aca="false">_xlfn.CONCAT("\x", H42, "=", MID($Q$16, HEX2DEC(H42)-47, 1))</f>
        <v>\x59="</v>
      </c>
      <c r="M42" s="7" t="str">
        <f aca="false">MID($Q$17, ROW(), 1)</f>
        <v>p</v>
      </c>
      <c r="N42" s="6" t="str">
        <f aca="false">_xlfn.CONCAT("\x", DEC2HEX(D42+44, 2), "\x", H42, "=", M42)</f>
        <v>\x2C\x59=p</v>
      </c>
    </row>
    <row r="43" customFormat="false" ht="14.15" hidden="false" customHeight="false" outlineLevel="0" collapsed="false">
      <c r="A43" s="6" t="str">
        <f aca="false">DEC2HEX(ROW()-1, 2) &amp; "=0x" &amp; DEC2HEX(ROW()-1, 2) &amp; ", "</f>
        <v>2A=0x2A, </v>
      </c>
      <c r="C43" s="6" t="n">
        <f aca="false">MOD(ROW()-1, 208)</f>
        <v>42</v>
      </c>
      <c r="D43" s="6" t="n">
        <f aca="false">INT((ROW()-1)/208)</f>
        <v>0</v>
      </c>
      <c r="F43" s="6" t="str">
        <f aca="false">MID(VLOOKUP(D43,$P$1:$Q$13,2,0), 1 + C43,1)</f>
        <v>검</v>
      </c>
      <c r="G43" s="6" t="str">
        <f aca="false">DEC2HEX(D43+36, 2)</f>
        <v>24</v>
      </c>
      <c r="H43" s="6" t="str">
        <f aca="false">DEC2HEX(C43+48,2)</f>
        <v>5A</v>
      </c>
      <c r="I43" s="6" t="str">
        <f aca="false">_xlfn.CONCAT("\x", G43, "\x", H43, "=", F43)</f>
        <v>\x24\x5A=검</v>
      </c>
      <c r="K43" s="6" t="str">
        <f aca="false">_xlfn.CONCAT("\x", H43, "=", MID($Q$16, HEX2DEC(H43)-47, 1))</f>
        <v>\x5A= </v>
      </c>
      <c r="M43" s="7" t="str">
        <f aca="false">MID($Q$17, ROW(), 1)</f>
        <v>q</v>
      </c>
      <c r="N43" s="6" t="str">
        <f aca="false">_xlfn.CONCAT("\x", DEC2HEX(D43+44, 2), "\x", H43, "=", M43)</f>
        <v>\x2C\x5A=q</v>
      </c>
    </row>
    <row r="44" customFormat="false" ht="14.15" hidden="false" customHeight="false" outlineLevel="0" collapsed="false">
      <c r="A44" s="6" t="str">
        <f aca="false">DEC2HEX(ROW()-1, 2) &amp; "=0x" &amp; DEC2HEX(ROW()-1, 2) &amp; ", "</f>
        <v>2B=0x2B, </v>
      </c>
      <c r="C44" s="6" t="n">
        <f aca="false">MOD(ROW()-1, 208)</f>
        <v>43</v>
      </c>
      <c r="D44" s="6" t="n">
        <f aca="false">INT((ROW()-1)/208)</f>
        <v>0</v>
      </c>
      <c r="F44" s="6" t="str">
        <f aca="false">MID(VLOOKUP(D44,$P$1:$Q$13,2,0), 1 + C44,1)</f>
        <v>겁</v>
      </c>
      <c r="G44" s="6" t="str">
        <f aca="false">DEC2HEX(D44+36, 2)</f>
        <v>24</v>
      </c>
      <c r="H44" s="6" t="str">
        <f aca="false">DEC2HEX(C44+48,2)</f>
        <v>5B</v>
      </c>
      <c r="I44" s="6" t="str">
        <f aca="false">_xlfn.CONCAT("\x", G44, "\x", H44, "=", F44)</f>
        <v>\x24\x5B=겁</v>
      </c>
      <c r="K44" s="6" t="str">
        <f aca="false">_xlfn.CONCAT("\x", H44, "=", MID($Q$16, HEX2DEC(H44)-47, 1))</f>
        <v>\x5B= </v>
      </c>
      <c r="M44" s="7" t="str">
        <f aca="false">MID($Q$17, ROW(), 1)</f>
        <v>r</v>
      </c>
      <c r="N44" s="6" t="str">
        <f aca="false">_xlfn.CONCAT("\x", DEC2HEX(D44+44, 2), "\x", H44, "=", M44)</f>
        <v>\x2C\x5B=r</v>
      </c>
    </row>
    <row r="45" customFormat="false" ht="14.15" hidden="false" customHeight="false" outlineLevel="0" collapsed="false">
      <c r="A45" s="6" t="str">
        <f aca="false">DEC2HEX(ROW()-1, 2) &amp; "=0x" &amp; DEC2HEX(ROW()-1, 2) &amp; ", "</f>
        <v>2C=0x2C, </v>
      </c>
      <c r="C45" s="6" t="n">
        <f aca="false">MOD(ROW()-1, 208)</f>
        <v>44</v>
      </c>
      <c r="D45" s="6" t="n">
        <f aca="false">INT((ROW()-1)/208)</f>
        <v>0</v>
      </c>
      <c r="F45" s="6" t="str">
        <f aca="false">MID(VLOOKUP(D45,$P$1:$Q$13,2,0), 1 + C45,1)</f>
        <v>것</v>
      </c>
      <c r="G45" s="6" t="str">
        <f aca="false">DEC2HEX(D45+36, 2)</f>
        <v>24</v>
      </c>
      <c r="H45" s="6" t="str">
        <f aca="false">DEC2HEX(C45+48,2)</f>
        <v>5C</v>
      </c>
      <c r="I45" s="6" t="str">
        <f aca="false">_xlfn.CONCAT("\x", G45, "\x", H45, "=", F45)</f>
        <v>\x24\x5C=것</v>
      </c>
      <c r="K45" s="6" t="str">
        <f aca="false">_xlfn.CONCAT("\x", H45, "=", MID($Q$16, HEX2DEC(H45)-47, 1))</f>
        <v>\x5C= </v>
      </c>
      <c r="M45" s="7" t="str">
        <f aca="false">MID($Q$17, ROW(), 1)</f>
        <v>s</v>
      </c>
      <c r="N45" s="6" t="str">
        <f aca="false">_xlfn.CONCAT("\x", DEC2HEX(D45+44, 2), "\x", H45, "=", M45)</f>
        <v>\x2C\x5C=s</v>
      </c>
    </row>
    <row r="46" customFormat="false" ht="14.15" hidden="false" customHeight="false" outlineLevel="0" collapsed="false">
      <c r="A46" s="6" t="str">
        <f aca="false">DEC2HEX(ROW()-1, 2) &amp; "=0x" &amp; DEC2HEX(ROW()-1, 2) &amp; ", "</f>
        <v>2D=0x2D, </v>
      </c>
      <c r="C46" s="6" t="n">
        <f aca="false">MOD(ROW()-1, 208)</f>
        <v>45</v>
      </c>
      <c r="D46" s="6" t="n">
        <f aca="false">INT((ROW()-1)/208)</f>
        <v>0</v>
      </c>
      <c r="F46" s="6" t="str">
        <f aca="false">MID(VLOOKUP(D46,$P$1:$Q$13,2,0), 1 + C46,1)</f>
        <v>겄</v>
      </c>
      <c r="G46" s="6" t="str">
        <f aca="false">DEC2HEX(D46+36, 2)</f>
        <v>24</v>
      </c>
      <c r="H46" s="6" t="str">
        <f aca="false">DEC2HEX(C46+48,2)</f>
        <v>5D</v>
      </c>
      <c r="I46" s="6" t="str">
        <f aca="false">_xlfn.CONCAT("\x", G46, "\x", H46, "=", F46)</f>
        <v>\x24\x5D=겄</v>
      </c>
      <c r="K46" s="6" t="str">
        <f aca="false">_xlfn.CONCAT("\x", H46, "=", MID($Q$16, HEX2DEC(H46)-47, 1))</f>
        <v>\x5D= </v>
      </c>
      <c r="M46" s="7" t="str">
        <f aca="false">MID($Q$17, ROW(), 1)</f>
        <v>t</v>
      </c>
      <c r="N46" s="6" t="str">
        <f aca="false">_xlfn.CONCAT("\x", DEC2HEX(D46+44, 2), "\x", H46, "=", M46)</f>
        <v>\x2C\x5D=t</v>
      </c>
    </row>
    <row r="47" customFormat="false" ht="14.15" hidden="false" customHeight="false" outlineLevel="0" collapsed="false">
      <c r="A47" s="6" t="str">
        <f aca="false">DEC2HEX(ROW()-1, 2) &amp; "=0x" &amp; DEC2HEX(ROW()-1, 2) &amp; ", "</f>
        <v>2E=0x2E, </v>
      </c>
      <c r="C47" s="6" t="n">
        <f aca="false">MOD(ROW()-1, 208)</f>
        <v>46</v>
      </c>
      <c r="D47" s="6" t="n">
        <f aca="false">INT((ROW()-1)/208)</f>
        <v>0</v>
      </c>
      <c r="F47" s="6" t="str">
        <f aca="false">MID(VLOOKUP(D47,$P$1:$Q$13,2,0), 1 + C47,1)</f>
        <v>겅</v>
      </c>
      <c r="G47" s="6" t="str">
        <f aca="false">DEC2HEX(D47+36, 2)</f>
        <v>24</v>
      </c>
      <c r="H47" s="6" t="str">
        <f aca="false">DEC2HEX(C47+48,2)</f>
        <v>5E</v>
      </c>
      <c r="I47" s="6" t="str">
        <f aca="false">_xlfn.CONCAT("\x", G47, "\x", H47, "=", F47)</f>
        <v>\x24\x5E=겅</v>
      </c>
      <c r="K47" s="6" t="str">
        <f aca="false">_xlfn.CONCAT("\x", H47, "=", MID($Q$16, HEX2DEC(H47)-47, 1))</f>
        <v>\x5E= </v>
      </c>
      <c r="M47" s="7" t="str">
        <f aca="false">MID($Q$17, ROW(), 1)</f>
        <v>u</v>
      </c>
      <c r="N47" s="6" t="str">
        <f aca="false">_xlfn.CONCAT("\x", DEC2HEX(D47+44, 2), "\x", H47, "=", M47)</f>
        <v>\x2C\x5E=u</v>
      </c>
    </row>
    <row r="48" customFormat="false" ht="14.15" hidden="false" customHeight="false" outlineLevel="0" collapsed="false">
      <c r="A48" s="6" t="str">
        <f aca="false">DEC2HEX(ROW()-1, 2) &amp; "=0x" &amp; DEC2HEX(ROW()-1, 2) &amp; ", "</f>
        <v>2F=0x2F, </v>
      </c>
      <c r="C48" s="6" t="n">
        <f aca="false">MOD(ROW()-1, 208)</f>
        <v>47</v>
      </c>
      <c r="D48" s="6" t="n">
        <f aca="false">INT((ROW()-1)/208)</f>
        <v>0</v>
      </c>
      <c r="F48" s="6" t="str">
        <f aca="false">MID(VLOOKUP(D48,$P$1:$Q$13,2,0), 1 + C48,1)</f>
        <v>겆</v>
      </c>
      <c r="G48" s="6" t="str">
        <f aca="false">DEC2HEX(D48+36, 2)</f>
        <v>24</v>
      </c>
      <c r="H48" s="6" t="str">
        <f aca="false">DEC2HEX(C48+48,2)</f>
        <v>5F</v>
      </c>
      <c r="I48" s="6" t="str">
        <f aca="false">_xlfn.CONCAT("\x", G48, "\x", H48, "=", F48)</f>
        <v>\x24\x5F=겆</v>
      </c>
      <c r="K48" s="6" t="str">
        <f aca="false">_xlfn.CONCAT("\x", H48, "=", MID($Q$16, HEX2DEC(H48)-47, 1))</f>
        <v>\x5F=ぁ</v>
      </c>
      <c r="M48" s="7" t="str">
        <f aca="false">MID($Q$17, ROW(), 1)</f>
        <v>v</v>
      </c>
      <c r="N48" s="6" t="str">
        <f aca="false">_xlfn.CONCAT("\x", DEC2HEX(D48+44, 2), "\x", H48, "=", M48)</f>
        <v>\x2C\x5F=v</v>
      </c>
    </row>
    <row r="49" customFormat="false" ht="14.15" hidden="false" customHeight="false" outlineLevel="0" collapsed="false">
      <c r="A49" s="6" t="str">
        <f aca="false">DEC2HEX(ROW()-1, 2) &amp; "=0x" &amp; DEC2HEX(ROW()-1, 2) &amp; ", "</f>
        <v>30=0x30, </v>
      </c>
      <c r="C49" s="6" t="n">
        <f aca="false">MOD(ROW()-1, 208)</f>
        <v>48</v>
      </c>
      <c r="D49" s="6" t="n">
        <f aca="false">INT((ROW()-1)/208)</f>
        <v>0</v>
      </c>
      <c r="F49" s="6" t="str">
        <f aca="false">MID(VLOOKUP(D49,$P$1:$Q$13,2,0), 1 + C49,1)</f>
        <v>겉</v>
      </c>
      <c r="G49" s="6" t="str">
        <f aca="false">DEC2HEX(D49+36, 2)</f>
        <v>24</v>
      </c>
      <c r="H49" s="6" t="str">
        <f aca="false">DEC2HEX(C49+48,2)</f>
        <v>60</v>
      </c>
      <c r="I49" s="6" t="str">
        <f aca="false">_xlfn.CONCAT("\x", G49, "\x", H49, "=", F49)</f>
        <v>\x24\x60=겉</v>
      </c>
      <c r="K49" s="6" t="str">
        <f aca="false">_xlfn.CONCAT("\x", H49, "=", MID($Q$16, HEX2DEC(H49)-47, 1))</f>
        <v>\x60=あ</v>
      </c>
      <c r="M49" s="7" t="str">
        <f aca="false">MID($Q$17, ROW(), 1)</f>
        <v>w</v>
      </c>
      <c r="N49" s="6" t="str">
        <f aca="false">_xlfn.CONCAT("\x", DEC2HEX(D49+44, 2), "\x", H49, "=", M49)</f>
        <v>\x2C\x60=w</v>
      </c>
    </row>
    <row r="50" customFormat="false" ht="14.15" hidden="false" customHeight="false" outlineLevel="0" collapsed="false">
      <c r="A50" s="6" t="str">
        <f aca="false">DEC2HEX(ROW()-1, 2) &amp; "=0x" &amp; DEC2HEX(ROW()-1, 2) &amp; ", "</f>
        <v>31=0x31, </v>
      </c>
      <c r="C50" s="6" t="n">
        <f aca="false">MOD(ROW()-1, 208)</f>
        <v>49</v>
      </c>
      <c r="D50" s="6" t="n">
        <f aca="false">INT((ROW()-1)/208)</f>
        <v>0</v>
      </c>
      <c r="F50" s="6" t="str">
        <f aca="false">MID(VLOOKUP(D50,$P$1:$Q$13,2,0), 1 + C50,1)</f>
        <v>겊</v>
      </c>
      <c r="G50" s="6" t="str">
        <f aca="false">DEC2HEX(D50+36, 2)</f>
        <v>24</v>
      </c>
      <c r="H50" s="6" t="str">
        <f aca="false">DEC2HEX(C50+48,2)</f>
        <v>61</v>
      </c>
      <c r="I50" s="6" t="str">
        <f aca="false">_xlfn.CONCAT("\x", G50, "\x", H50, "=", F50)</f>
        <v>\x24\x61=겊</v>
      </c>
      <c r="K50" s="6" t="str">
        <f aca="false">_xlfn.CONCAT("\x", H50, "=", MID($Q$16, HEX2DEC(H50)-47, 1))</f>
        <v>\x61=ぃ</v>
      </c>
      <c r="M50" s="7" t="str">
        <f aca="false">MID($Q$17, ROW(), 1)</f>
        <v>x</v>
      </c>
      <c r="N50" s="6" t="str">
        <f aca="false">_xlfn.CONCAT("\x", DEC2HEX(D50+44, 2), "\x", H50, "=", M50)</f>
        <v>\x2C\x61=x</v>
      </c>
    </row>
    <row r="51" customFormat="false" ht="14.15" hidden="false" customHeight="false" outlineLevel="0" collapsed="false">
      <c r="A51" s="6" t="str">
        <f aca="false">DEC2HEX(ROW()-1, 2) &amp; "=0x" &amp; DEC2HEX(ROW()-1, 2) &amp; ", "</f>
        <v>32=0x32, </v>
      </c>
      <c r="C51" s="6" t="n">
        <f aca="false">MOD(ROW()-1, 208)</f>
        <v>50</v>
      </c>
      <c r="D51" s="6" t="n">
        <f aca="false">INT((ROW()-1)/208)</f>
        <v>0</v>
      </c>
      <c r="F51" s="6" t="str">
        <f aca="false">MID(VLOOKUP(D51,$P$1:$Q$13,2,0), 1 + C51,1)</f>
        <v>겋</v>
      </c>
      <c r="G51" s="6" t="str">
        <f aca="false">DEC2HEX(D51+36, 2)</f>
        <v>24</v>
      </c>
      <c r="H51" s="6" t="str">
        <f aca="false">DEC2HEX(C51+48,2)</f>
        <v>62</v>
      </c>
      <c r="I51" s="6" t="str">
        <f aca="false">_xlfn.CONCAT("\x", G51, "\x", H51, "=", F51)</f>
        <v>\x24\x62=겋</v>
      </c>
      <c r="K51" s="6" t="str">
        <f aca="false">_xlfn.CONCAT("\x", H51, "=", MID($Q$16, HEX2DEC(H51)-47, 1))</f>
        <v>\x62=い</v>
      </c>
      <c r="M51" s="7" t="str">
        <f aca="false">MID($Q$17, ROW(), 1)</f>
        <v>y</v>
      </c>
      <c r="N51" s="6" t="str">
        <f aca="false">_xlfn.CONCAT("\x", DEC2HEX(D51+44, 2), "\x", H51, "=", M51)</f>
        <v>\x2C\x62=y</v>
      </c>
    </row>
    <row r="52" customFormat="false" ht="14.15" hidden="false" customHeight="false" outlineLevel="0" collapsed="false">
      <c r="A52" s="6" t="str">
        <f aca="false">DEC2HEX(ROW()-1, 2) &amp; "=0x" &amp; DEC2HEX(ROW()-1, 2) &amp; ", "</f>
        <v>33=0x33, </v>
      </c>
      <c r="C52" s="6" t="n">
        <f aca="false">MOD(ROW()-1, 208)</f>
        <v>51</v>
      </c>
      <c r="D52" s="6" t="n">
        <f aca="false">INT((ROW()-1)/208)</f>
        <v>0</v>
      </c>
      <c r="F52" s="6" t="str">
        <f aca="false">MID(VLOOKUP(D52,$P$1:$Q$13,2,0), 1 + C52,1)</f>
        <v>게</v>
      </c>
      <c r="G52" s="6" t="str">
        <f aca="false">DEC2HEX(D52+36, 2)</f>
        <v>24</v>
      </c>
      <c r="H52" s="6" t="str">
        <f aca="false">DEC2HEX(C52+48,2)</f>
        <v>63</v>
      </c>
      <c r="I52" s="6" t="str">
        <f aca="false">_xlfn.CONCAT("\x", G52, "\x", H52, "=", F52)</f>
        <v>\x24\x63=게</v>
      </c>
      <c r="K52" s="6" t="str">
        <f aca="false">_xlfn.CONCAT("\x", H52, "=", MID($Q$16, HEX2DEC(H52)-47, 1))</f>
        <v>\x63=ぅ</v>
      </c>
      <c r="M52" s="7" t="str">
        <f aca="false">MID($Q$17, ROW(), 1)</f>
        <v>z</v>
      </c>
      <c r="N52" s="6" t="str">
        <f aca="false">_xlfn.CONCAT("\x", DEC2HEX(D52+44, 2), "\x", H52, "=", M52)</f>
        <v>\x2C\x63=z</v>
      </c>
    </row>
    <row r="53" customFormat="false" ht="14.15" hidden="false" customHeight="false" outlineLevel="0" collapsed="false">
      <c r="A53" s="6" t="str">
        <f aca="false">DEC2HEX(ROW()-1, 2) &amp; "=0x" &amp; DEC2HEX(ROW()-1, 2) &amp; ", "</f>
        <v>34=0x34, </v>
      </c>
      <c r="C53" s="6" t="n">
        <f aca="false">MOD(ROW()-1, 208)</f>
        <v>52</v>
      </c>
      <c r="D53" s="6" t="n">
        <f aca="false">INT((ROW()-1)/208)</f>
        <v>0</v>
      </c>
      <c r="F53" s="6" t="str">
        <f aca="false">MID(VLOOKUP(D53,$P$1:$Q$13,2,0), 1 + C53,1)</f>
        <v>겐</v>
      </c>
      <c r="G53" s="6" t="str">
        <f aca="false">DEC2HEX(D53+36, 2)</f>
        <v>24</v>
      </c>
      <c r="H53" s="6" t="str">
        <f aca="false">DEC2HEX(C53+48,2)</f>
        <v>64</v>
      </c>
      <c r="I53" s="6" t="str">
        <f aca="false">_xlfn.CONCAT("\x", G53, "\x", H53, "=", F53)</f>
        <v>\x24\x64=겐</v>
      </c>
      <c r="K53" s="6" t="str">
        <f aca="false">_xlfn.CONCAT("\x", H53, "=", MID($Q$16, HEX2DEC(H53)-47, 1))</f>
        <v>\x64=う</v>
      </c>
      <c r="M53" s="7" t="s">
        <v>30</v>
      </c>
      <c r="N53" s="6" t="str">
        <f aca="false">_xlfn.CONCAT("\x", DEC2HEX(D53+44, 2), "\x", H53, "=", M53)</f>
        <v>\x2C\x64=暗</v>
      </c>
    </row>
    <row r="54" customFormat="false" ht="14.15" hidden="false" customHeight="false" outlineLevel="0" collapsed="false">
      <c r="A54" s="6" t="str">
        <f aca="false">DEC2HEX(ROW()-1, 2) &amp; "=0x" &amp; DEC2HEX(ROW()-1, 2) &amp; ", "</f>
        <v>35=0x35, </v>
      </c>
      <c r="C54" s="6" t="n">
        <f aca="false">MOD(ROW()-1, 208)</f>
        <v>53</v>
      </c>
      <c r="D54" s="6" t="n">
        <f aca="false">INT((ROW()-1)/208)</f>
        <v>0</v>
      </c>
      <c r="F54" s="6" t="str">
        <f aca="false">MID(VLOOKUP(D54,$P$1:$Q$13,2,0), 1 + C54,1)</f>
        <v>겔</v>
      </c>
      <c r="G54" s="6" t="str">
        <f aca="false">DEC2HEX(D54+36, 2)</f>
        <v>24</v>
      </c>
      <c r="H54" s="6" t="str">
        <f aca="false">DEC2HEX(C54+48,2)</f>
        <v>65</v>
      </c>
      <c r="I54" s="6" t="str">
        <f aca="false">_xlfn.CONCAT("\x", G54, "\x", H54, "=", F54)</f>
        <v>\x24\x65=겔</v>
      </c>
      <c r="K54" s="6" t="str">
        <f aca="false">_xlfn.CONCAT("\x", H54, "=", MID($Q$16, HEX2DEC(H54)-47, 1))</f>
        <v>\x65=ぇ</v>
      </c>
      <c r="M54" s="7" t="s">
        <v>31</v>
      </c>
      <c r="N54" s="6" t="str">
        <f aca="false">_xlfn.CONCAT("\x", DEC2HEX(D54+44, 2), "\x", H54, "=", M54)</f>
        <v>\x2C\x65=闇</v>
      </c>
    </row>
    <row r="55" customFormat="false" ht="14.15" hidden="false" customHeight="false" outlineLevel="0" collapsed="false">
      <c r="A55" s="6" t="str">
        <f aca="false">DEC2HEX(ROW()-1, 2) &amp; "=0x" &amp; DEC2HEX(ROW()-1, 2) &amp; ", "</f>
        <v>36=0x36, </v>
      </c>
      <c r="C55" s="6" t="n">
        <f aca="false">MOD(ROW()-1, 208)</f>
        <v>54</v>
      </c>
      <c r="D55" s="6" t="n">
        <f aca="false">INT((ROW()-1)/208)</f>
        <v>0</v>
      </c>
      <c r="F55" s="6" t="str">
        <f aca="false">MID(VLOOKUP(D55,$P$1:$Q$13,2,0), 1 + C55,1)</f>
        <v>겜</v>
      </c>
      <c r="G55" s="6" t="str">
        <f aca="false">DEC2HEX(D55+36, 2)</f>
        <v>24</v>
      </c>
      <c r="H55" s="6" t="str">
        <f aca="false">DEC2HEX(C55+48,2)</f>
        <v>66</v>
      </c>
      <c r="I55" s="6" t="str">
        <f aca="false">_xlfn.CONCAT("\x", G55, "\x", H55, "=", F55)</f>
        <v>\x24\x66=겜</v>
      </c>
      <c r="K55" s="6" t="str">
        <f aca="false">_xlfn.CONCAT("\x", H55, "=", MID($Q$16, HEX2DEC(H55)-47, 1))</f>
        <v>\x66=え</v>
      </c>
      <c r="M55" s="7" t="s">
        <v>32</v>
      </c>
      <c r="N55" s="6" t="str">
        <f aca="false">_xlfn.CONCAT("\x", DEC2HEX(D55+44, 2), "\x", H55, "=", M55)</f>
        <v>\x2C\x66=位</v>
      </c>
    </row>
    <row r="56" customFormat="false" ht="14.15" hidden="false" customHeight="false" outlineLevel="0" collapsed="false">
      <c r="A56" s="6" t="str">
        <f aca="false">DEC2HEX(ROW()-1, 2) &amp; "=0x" &amp; DEC2HEX(ROW()-1, 2) &amp; ", "</f>
        <v>37=0x37, </v>
      </c>
      <c r="C56" s="6" t="n">
        <f aca="false">MOD(ROW()-1, 208)</f>
        <v>55</v>
      </c>
      <c r="D56" s="6" t="n">
        <f aca="false">INT((ROW()-1)/208)</f>
        <v>0</v>
      </c>
      <c r="F56" s="6" t="str">
        <f aca="false">MID(VLOOKUP(D56,$P$1:$Q$13,2,0), 1 + C56,1)</f>
        <v>겝</v>
      </c>
      <c r="G56" s="6" t="str">
        <f aca="false">DEC2HEX(D56+36, 2)</f>
        <v>24</v>
      </c>
      <c r="H56" s="6" t="str">
        <f aca="false">DEC2HEX(C56+48,2)</f>
        <v>67</v>
      </c>
      <c r="I56" s="6" t="str">
        <f aca="false">_xlfn.CONCAT("\x", G56, "\x", H56, "=", F56)</f>
        <v>\x24\x67=겝</v>
      </c>
      <c r="K56" s="6" t="str">
        <f aca="false">_xlfn.CONCAT("\x", H56, "=", MID($Q$16, HEX2DEC(H56)-47, 1))</f>
        <v>\x67=ぉ</v>
      </c>
      <c r="M56" s="7" t="s">
        <v>33</v>
      </c>
      <c r="N56" s="6" t="str">
        <f aca="false">_xlfn.CONCAT("\x", DEC2HEX(D56+44, 2), "\x", H56, "=", M56)</f>
        <v>\x2C\x67=異</v>
      </c>
    </row>
    <row r="57" customFormat="false" ht="14.15" hidden="false" customHeight="false" outlineLevel="0" collapsed="false">
      <c r="A57" s="6" t="str">
        <f aca="false">DEC2HEX(ROW()-1, 2) &amp; "=0x" &amp; DEC2HEX(ROW()-1, 2) &amp; ", "</f>
        <v>38=0x38, </v>
      </c>
      <c r="C57" s="6" t="n">
        <f aca="false">MOD(ROW()-1, 208)</f>
        <v>56</v>
      </c>
      <c r="D57" s="6" t="n">
        <f aca="false">INT((ROW()-1)/208)</f>
        <v>0</v>
      </c>
      <c r="F57" s="6" t="str">
        <f aca="false">MID(VLOOKUP(D57,$P$1:$Q$13,2,0), 1 + C57,1)</f>
        <v>겟</v>
      </c>
      <c r="G57" s="6" t="str">
        <f aca="false">DEC2HEX(D57+36, 2)</f>
        <v>24</v>
      </c>
      <c r="H57" s="6" t="str">
        <f aca="false">DEC2HEX(C57+48,2)</f>
        <v>68</v>
      </c>
      <c r="I57" s="6" t="str">
        <f aca="false">_xlfn.CONCAT("\x", G57, "\x", H57, "=", F57)</f>
        <v>\x24\x68=겟</v>
      </c>
      <c r="K57" s="6" t="str">
        <f aca="false">_xlfn.CONCAT("\x", H57, "=", MID($Q$16, HEX2DEC(H57)-47, 1))</f>
        <v>\x68=お</v>
      </c>
      <c r="M57" s="7" t="s">
        <v>34</v>
      </c>
      <c r="N57" s="6" t="str">
        <f aca="false">_xlfn.CONCAT("\x", DEC2HEX(D57+44, 2), "\x", H57, "=", M57)</f>
        <v>\x2C\x68=移</v>
      </c>
    </row>
    <row r="58" customFormat="false" ht="14.15" hidden="false" customHeight="false" outlineLevel="0" collapsed="false">
      <c r="A58" s="6" t="str">
        <f aca="false">DEC2HEX(ROW()-1, 2) &amp; "=0x" &amp; DEC2HEX(ROW()-1, 2) &amp; ", "</f>
        <v>39=0x39, </v>
      </c>
      <c r="C58" s="6" t="n">
        <f aca="false">MOD(ROW()-1, 208)</f>
        <v>57</v>
      </c>
      <c r="D58" s="6" t="n">
        <f aca="false">INT((ROW()-1)/208)</f>
        <v>0</v>
      </c>
      <c r="F58" s="6" t="str">
        <f aca="false">MID(VLOOKUP(D58,$P$1:$Q$13,2,0), 1 + C58,1)</f>
        <v>겠</v>
      </c>
      <c r="G58" s="6" t="str">
        <f aca="false">DEC2HEX(D58+36, 2)</f>
        <v>24</v>
      </c>
      <c r="H58" s="6" t="str">
        <f aca="false">DEC2HEX(C58+48,2)</f>
        <v>69</v>
      </c>
      <c r="I58" s="6" t="str">
        <f aca="false">_xlfn.CONCAT("\x", G58, "\x", H58, "=", F58)</f>
        <v>\x24\x69=겠</v>
      </c>
      <c r="K58" s="6" t="str">
        <f aca="false">_xlfn.CONCAT("\x", H58, "=", MID($Q$16, HEX2DEC(H58)-47, 1))</f>
        <v>\x69=か</v>
      </c>
      <c r="M58" s="7" t="s">
        <v>35</v>
      </c>
      <c r="N58" s="6" t="str">
        <f aca="false">_xlfn.CONCAT("\x", DEC2HEX(D58+44, 2), "\x", H58, "=", M58)</f>
        <v>\x2C\x69=遺</v>
      </c>
    </row>
    <row r="59" customFormat="false" ht="14.15" hidden="false" customHeight="false" outlineLevel="0" collapsed="false">
      <c r="A59" s="6" t="str">
        <f aca="false">DEC2HEX(ROW()-1, 2) &amp; "=0x" &amp; DEC2HEX(ROW()-1, 2) &amp; ", "</f>
        <v>3A=0x3A, </v>
      </c>
      <c r="C59" s="6" t="n">
        <f aca="false">MOD(ROW()-1, 208)</f>
        <v>58</v>
      </c>
      <c r="D59" s="6" t="n">
        <f aca="false">INT((ROW()-1)/208)</f>
        <v>0</v>
      </c>
      <c r="F59" s="6" t="str">
        <f aca="false">MID(VLOOKUP(D59,$P$1:$Q$13,2,0), 1 + C59,1)</f>
        <v>겡</v>
      </c>
      <c r="G59" s="6" t="str">
        <f aca="false">DEC2HEX(D59+36, 2)</f>
        <v>24</v>
      </c>
      <c r="H59" s="6" t="str">
        <f aca="false">DEC2HEX(C59+48,2)</f>
        <v>6A</v>
      </c>
      <c r="I59" s="6" t="str">
        <f aca="false">_xlfn.CONCAT("\x", G59, "\x", H59, "=", F59)</f>
        <v>\x24\x6A=겡</v>
      </c>
      <c r="K59" s="6" t="str">
        <f aca="false">_xlfn.CONCAT("\x", H59, "=", MID($Q$16, HEX2DEC(H59)-47, 1))</f>
        <v>\x6A=が</v>
      </c>
      <c r="M59" s="7" t="s">
        <v>36</v>
      </c>
      <c r="N59" s="6" t="str">
        <f aca="false">_xlfn.CONCAT("\x", DEC2HEX(D59+44, 2), "\x", H59, "=", M59)</f>
        <v>\x2C\x6A=域</v>
      </c>
    </row>
    <row r="60" customFormat="false" ht="14.15" hidden="false" customHeight="false" outlineLevel="0" collapsed="false">
      <c r="A60" s="6" t="str">
        <f aca="false">DEC2HEX(ROW()-1, 2) &amp; "=0x" &amp; DEC2HEX(ROW()-1, 2) &amp; ", "</f>
        <v>3B=0x3B, </v>
      </c>
      <c r="C60" s="6" t="n">
        <f aca="false">MOD(ROW()-1, 208)</f>
        <v>59</v>
      </c>
      <c r="D60" s="6" t="n">
        <f aca="false">INT((ROW()-1)/208)</f>
        <v>0</v>
      </c>
      <c r="F60" s="6" t="str">
        <f aca="false">MID(VLOOKUP(D60,$P$1:$Q$13,2,0), 1 + C60,1)</f>
        <v>겨</v>
      </c>
      <c r="G60" s="6" t="str">
        <f aca="false">DEC2HEX(D60+36, 2)</f>
        <v>24</v>
      </c>
      <c r="H60" s="6" t="str">
        <f aca="false">DEC2HEX(C60+48,2)</f>
        <v>6B</v>
      </c>
      <c r="I60" s="6" t="str">
        <f aca="false">_xlfn.CONCAT("\x", G60, "\x", H60, "=", F60)</f>
        <v>\x24\x6B=겨</v>
      </c>
      <c r="K60" s="6" t="str">
        <f aca="false">_xlfn.CONCAT("\x", H60, "=", MID($Q$16, HEX2DEC(H60)-47, 1))</f>
        <v>\x6B=き</v>
      </c>
      <c r="M60" s="7" t="s">
        <v>37</v>
      </c>
      <c r="N60" s="6" t="str">
        <f aca="false">_xlfn.CONCAT("\x", DEC2HEX(D60+44, 2), "\x", H60, "=", M60)</f>
        <v>\x2C\x6B=一</v>
      </c>
    </row>
    <row r="61" customFormat="false" ht="14.15" hidden="false" customHeight="false" outlineLevel="0" collapsed="false">
      <c r="A61" s="6" t="str">
        <f aca="false">DEC2HEX(ROW()-1, 2) &amp; "=0x" &amp; DEC2HEX(ROW()-1, 2) &amp; ", "</f>
        <v>3C=0x3C, </v>
      </c>
      <c r="C61" s="6" t="n">
        <f aca="false">MOD(ROW()-1, 208)</f>
        <v>60</v>
      </c>
      <c r="D61" s="6" t="n">
        <f aca="false">INT((ROW()-1)/208)</f>
        <v>0</v>
      </c>
      <c r="F61" s="6" t="str">
        <f aca="false">MID(VLOOKUP(D61,$P$1:$Q$13,2,0), 1 + C61,1)</f>
        <v>격</v>
      </c>
      <c r="G61" s="6" t="str">
        <f aca="false">DEC2HEX(D61+36, 2)</f>
        <v>24</v>
      </c>
      <c r="H61" s="6" t="str">
        <f aca="false">DEC2HEX(C61+48,2)</f>
        <v>6C</v>
      </c>
      <c r="I61" s="6" t="str">
        <f aca="false">_xlfn.CONCAT("\x", G61, "\x", H61, "=", F61)</f>
        <v>\x24\x6C=격</v>
      </c>
      <c r="K61" s="6" t="str">
        <f aca="false">_xlfn.CONCAT("\x", H61, "=", MID($Q$16, HEX2DEC(H61)-47, 1))</f>
        <v>\x6C=ぎ</v>
      </c>
      <c r="M61" s="7" t="s">
        <v>38</v>
      </c>
      <c r="N61" s="6" t="str">
        <f aca="false">_xlfn.CONCAT("\x", DEC2HEX(D61+44, 2), "\x", H61, "=", M61)</f>
        <v>\x2C\x6C=員</v>
      </c>
    </row>
    <row r="62" customFormat="false" ht="14.15" hidden="false" customHeight="false" outlineLevel="0" collapsed="false">
      <c r="A62" s="6" t="str">
        <f aca="false">DEC2HEX(ROW()-1, 2) &amp; "=0x" &amp; DEC2HEX(ROW()-1, 2) &amp; ", "</f>
        <v>3D=0x3D, </v>
      </c>
      <c r="C62" s="6" t="n">
        <f aca="false">MOD(ROW()-1, 208)</f>
        <v>61</v>
      </c>
      <c r="D62" s="6" t="n">
        <f aca="false">INT((ROW()-1)/208)</f>
        <v>0</v>
      </c>
      <c r="F62" s="6" t="str">
        <f aca="false">MID(VLOOKUP(D62,$P$1:$Q$13,2,0), 1 + C62,1)</f>
        <v>겪</v>
      </c>
      <c r="G62" s="6" t="str">
        <f aca="false">DEC2HEX(D62+36, 2)</f>
        <v>24</v>
      </c>
      <c r="H62" s="6" t="str">
        <f aca="false">DEC2HEX(C62+48,2)</f>
        <v>6D</v>
      </c>
      <c r="I62" s="6" t="str">
        <f aca="false">_xlfn.CONCAT("\x", G62, "\x", H62, "=", F62)</f>
        <v>\x24\x6D=겪</v>
      </c>
      <c r="K62" s="6" t="str">
        <f aca="false">_xlfn.CONCAT("\x", H62, "=", MID($Q$16, HEX2DEC(H62)-47, 1))</f>
        <v>\x6D=く</v>
      </c>
      <c r="M62" s="7" t="s">
        <v>39</v>
      </c>
      <c r="N62" s="6" t="str">
        <f aca="false">_xlfn.CONCAT("\x", DEC2HEX(D62+44, 2), "\x", H62, "=", M62)</f>
        <v>\x2C\x6D=引</v>
      </c>
    </row>
    <row r="63" customFormat="false" ht="14.15" hidden="false" customHeight="false" outlineLevel="0" collapsed="false">
      <c r="A63" s="6" t="str">
        <f aca="false">DEC2HEX(ROW()-1, 2) &amp; "=0x" &amp; DEC2HEX(ROW()-1, 2) &amp; ", "</f>
        <v>3E=0x3E, </v>
      </c>
      <c r="C63" s="6" t="n">
        <f aca="false">MOD(ROW()-1, 208)</f>
        <v>62</v>
      </c>
      <c r="D63" s="6" t="n">
        <f aca="false">INT((ROW()-1)/208)</f>
        <v>0</v>
      </c>
      <c r="F63" s="6" t="str">
        <f aca="false">MID(VLOOKUP(D63,$P$1:$Q$13,2,0), 1 + C63,1)</f>
        <v>견</v>
      </c>
      <c r="G63" s="6" t="str">
        <f aca="false">DEC2HEX(D63+36, 2)</f>
        <v>24</v>
      </c>
      <c r="H63" s="6" t="str">
        <f aca="false">DEC2HEX(C63+48,2)</f>
        <v>6E</v>
      </c>
      <c r="I63" s="6" t="str">
        <f aca="false">_xlfn.CONCAT("\x", G63, "\x", H63, "=", F63)</f>
        <v>\x24\x6E=견</v>
      </c>
      <c r="K63" s="6" t="str">
        <f aca="false">_xlfn.CONCAT("\x", H63, "=", MID($Q$16, HEX2DEC(H63)-47, 1))</f>
        <v>\x6E=ぐ</v>
      </c>
      <c r="M63" s="7" t="s">
        <v>40</v>
      </c>
      <c r="N63" s="6" t="str">
        <f aca="false">_xlfn.CONCAT("\x", DEC2HEX(D63+44, 2), "\x", H63, "=", M63)</f>
        <v>\x2C\x6E=院</v>
      </c>
    </row>
    <row r="64" customFormat="false" ht="14.15" hidden="false" customHeight="false" outlineLevel="0" collapsed="false">
      <c r="A64" s="6" t="str">
        <f aca="false">DEC2HEX(ROW()-1, 2) &amp; "=0x" &amp; DEC2HEX(ROW()-1, 2) &amp; ", "</f>
        <v>3F=0x3F, </v>
      </c>
      <c r="C64" s="6" t="n">
        <f aca="false">MOD(ROW()-1, 208)</f>
        <v>63</v>
      </c>
      <c r="D64" s="6" t="n">
        <f aca="false">INT((ROW()-1)/208)</f>
        <v>0</v>
      </c>
      <c r="F64" s="6" t="str">
        <f aca="false">MID(VLOOKUP(D64,$P$1:$Q$13,2,0), 1 + C64,1)</f>
        <v>겯</v>
      </c>
      <c r="G64" s="6" t="str">
        <f aca="false">DEC2HEX(D64+36, 2)</f>
        <v>24</v>
      </c>
      <c r="H64" s="6" t="str">
        <f aca="false">DEC2HEX(C64+48,2)</f>
        <v>6F</v>
      </c>
      <c r="I64" s="6" t="str">
        <f aca="false">_xlfn.CONCAT("\x", G64, "\x", H64, "=", F64)</f>
        <v>\x24\x6F=겯</v>
      </c>
      <c r="K64" s="6" t="str">
        <f aca="false">_xlfn.CONCAT("\x", H64, "=", MID($Q$16, HEX2DEC(H64)-47, 1))</f>
        <v>\x6F=け</v>
      </c>
      <c r="M64" s="7" t="s">
        <v>41</v>
      </c>
      <c r="N64" s="6" t="str">
        <f aca="false">_xlfn.CONCAT("\x", DEC2HEX(D64+44, 2), "\x", H64, "=", M64)</f>
        <v>\x2C\x6F=隠</v>
      </c>
    </row>
    <row r="65" customFormat="false" ht="14.15" hidden="false" customHeight="false" outlineLevel="0" collapsed="false">
      <c r="A65" s="6" t="str">
        <f aca="false">DEC2HEX(ROW()-1, 2) &amp; "=0x" &amp; DEC2HEX(ROW()-1, 2) &amp; ", "</f>
        <v>40=0x40, </v>
      </c>
      <c r="C65" s="6" t="n">
        <f aca="false">MOD(ROW()-1, 208)</f>
        <v>64</v>
      </c>
      <c r="D65" s="6" t="n">
        <f aca="false">INT((ROW()-1)/208)</f>
        <v>0</v>
      </c>
      <c r="F65" s="6" t="str">
        <f aca="false">MID(VLOOKUP(D65,$P$1:$Q$13,2,0), 1 + C65,1)</f>
        <v>결</v>
      </c>
      <c r="G65" s="6" t="str">
        <f aca="false">DEC2HEX(D65+36, 2)</f>
        <v>24</v>
      </c>
      <c r="H65" s="6" t="str">
        <f aca="false">DEC2HEX(C65+48,2)</f>
        <v>70</v>
      </c>
      <c r="I65" s="6" t="str">
        <f aca="false">_xlfn.CONCAT("\x", G65, "\x", H65, "=", F65)</f>
        <v>\x24\x70=결</v>
      </c>
      <c r="K65" s="6" t="str">
        <f aca="false">_xlfn.CONCAT("\x", H65, "=", MID($Q$16, HEX2DEC(H65)-47, 1))</f>
        <v>\x70=げ</v>
      </c>
      <c r="M65" s="7" t="s">
        <v>42</v>
      </c>
      <c r="N65" s="6" t="str">
        <f aca="false">_xlfn.CONCAT("\x", DEC2HEX(D65+44, 2), "\x", H65, "=", M65)</f>
        <v>\x2C\x70=右</v>
      </c>
    </row>
    <row r="66" customFormat="false" ht="14.15" hidden="false" customHeight="false" outlineLevel="0" collapsed="false">
      <c r="A66" s="6" t="str">
        <f aca="false">DEC2HEX(ROW()-1, 2) &amp; "=0x" &amp; DEC2HEX(ROW()-1, 2) &amp; ", "</f>
        <v>41=0x41, </v>
      </c>
      <c r="C66" s="6" t="n">
        <f aca="false">MOD(ROW()-1, 208)</f>
        <v>65</v>
      </c>
      <c r="D66" s="6" t="n">
        <f aca="false">INT((ROW()-1)/208)</f>
        <v>0</v>
      </c>
      <c r="F66" s="6" t="str">
        <f aca="false">MID(VLOOKUP(D66,$P$1:$Q$13,2,0), 1 + C66,1)</f>
        <v>겸</v>
      </c>
      <c r="G66" s="6" t="str">
        <f aca="false">DEC2HEX(D66+36, 2)</f>
        <v>24</v>
      </c>
      <c r="H66" s="6" t="str">
        <f aca="false">DEC2HEX(C66+48,2)</f>
        <v>71</v>
      </c>
      <c r="I66" s="6" t="str">
        <f aca="false">_xlfn.CONCAT("\x", G66, "\x", H66, "=", F66)</f>
        <v>\x24\x71=겸</v>
      </c>
      <c r="K66" s="6" t="str">
        <f aca="false">_xlfn.CONCAT("\x", H66, "=", MID($Q$16, HEX2DEC(H66)-47, 1))</f>
        <v>\x71=こ</v>
      </c>
      <c r="M66" s="7" t="s">
        <v>43</v>
      </c>
      <c r="N66" s="6" t="str">
        <f aca="false">_xlfn.CONCAT("\x", DEC2HEX(D66+44, 2), "\x", H66, "=", M66)</f>
        <v>\x2C\x71=運</v>
      </c>
    </row>
    <row r="67" customFormat="false" ht="14.15" hidden="false" customHeight="false" outlineLevel="0" collapsed="false">
      <c r="A67" s="6" t="str">
        <f aca="false">DEC2HEX(ROW()-1, 2) &amp; "=0x" &amp; DEC2HEX(ROW()-1, 2) &amp; ", "</f>
        <v>42=0x42, </v>
      </c>
      <c r="C67" s="6" t="n">
        <f aca="false">MOD(ROW()-1, 208)</f>
        <v>66</v>
      </c>
      <c r="D67" s="6" t="n">
        <f aca="false">INT((ROW()-1)/208)</f>
        <v>0</v>
      </c>
      <c r="F67" s="6" t="str">
        <f aca="false">MID(VLOOKUP(D67,$P$1:$Q$13,2,0), 1 + C67,1)</f>
        <v>겹</v>
      </c>
      <c r="G67" s="6" t="str">
        <f aca="false">DEC2HEX(D67+36, 2)</f>
        <v>24</v>
      </c>
      <c r="H67" s="6" t="str">
        <f aca="false">DEC2HEX(C67+48,2)</f>
        <v>72</v>
      </c>
      <c r="I67" s="6" t="str">
        <f aca="false">_xlfn.CONCAT("\x", G67, "\x", H67, "=", F67)</f>
        <v>\x24\x72=겹</v>
      </c>
      <c r="K67" s="6" t="str">
        <f aca="false">_xlfn.CONCAT("\x", H67, "=", MID($Q$16, HEX2DEC(H67)-47, 1))</f>
        <v>\x72=ご</v>
      </c>
      <c r="M67" s="7" t="s">
        <v>44</v>
      </c>
      <c r="N67" s="6" t="str">
        <f aca="false">_xlfn.CONCAT("\x", DEC2HEX(D67+44, 2), "\x", H67, "=", M67)</f>
        <v>\x2C\x72=雲</v>
      </c>
    </row>
    <row r="68" customFormat="false" ht="14.15" hidden="false" customHeight="false" outlineLevel="0" collapsed="false">
      <c r="A68" s="6" t="str">
        <f aca="false">DEC2HEX(ROW()-1, 2) &amp; "=0x" &amp; DEC2HEX(ROW()-1, 2) &amp; ", "</f>
        <v>43=0x43, </v>
      </c>
      <c r="C68" s="6" t="n">
        <f aca="false">MOD(ROW()-1, 208)</f>
        <v>67</v>
      </c>
      <c r="D68" s="6" t="n">
        <f aca="false">INT((ROW()-1)/208)</f>
        <v>0</v>
      </c>
      <c r="F68" s="6" t="str">
        <f aca="false">MID(VLOOKUP(D68,$P$1:$Q$13,2,0), 1 + C68,1)</f>
        <v>겻</v>
      </c>
      <c r="G68" s="6" t="str">
        <f aca="false">DEC2HEX(D68+36, 2)</f>
        <v>24</v>
      </c>
      <c r="H68" s="6" t="str">
        <f aca="false">DEC2HEX(C68+48,2)</f>
        <v>73</v>
      </c>
      <c r="I68" s="6" t="str">
        <f aca="false">_xlfn.CONCAT("\x", G68, "\x", H68, "=", F68)</f>
        <v>\x24\x73=겻</v>
      </c>
      <c r="K68" s="6" t="str">
        <f aca="false">_xlfn.CONCAT("\x", H68, "=", MID($Q$16, HEX2DEC(H68)-47, 1))</f>
        <v>\x73=さ</v>
      </c>
      <c r="M68" s="7" t="s">
        <v>45</v>
      </c>
      <c r="N68" s="6" t="str">
        <f aca="false">_xlfn.CONCAT("\x", DEC2HEX(D68+44, 2), "\x", H68, "=", M68)</f>
        <v>\x2C\x73=園</v>
      </c>
    </row>
    <row r="69" customFormat="false" ht="14.15" hidden="false" customHeight="false" outlineLevel="0" collapsed="false">
      <c r="A69" s="6" t="str">
        <f aca="false">DEC2HEX(ROW()-1, 2) &amp; "=0x" &amp; DEC2HEX(ROW()-1, 2) &amp; ", "</f>
        <v>44=0x44, </v>
      </c>
      <c r="C69" s="6" t="n">
        <f aca="false">MOD(ROW()-1, 208)</f>
        <v>68</v>
      </c>
      <c r="D69" s="6" t="n">
        <f aca="false">INT((ROW()-1)/208)</f>
        <v>0</v>
      </c>
      <c r="F69" s="6" t="str">
        <f aca="false">MID(VLOOKUP(D69,$P$1:$Q$13,2,0), 1 + C69,1)</f>
        <v>겼</v>
      </c>
      <c r="G69" s="6" t="str">
        <f aca="false">DEC2HEX(D69+36, 2)</f>
        <v>24</v>
      </c>
      <c r="H69" s="6" t="str">
        <f aca="false">DEC2HEX(C69+48,2)</f>
        <v>74</v>
      </c>
      <c r="I69" s="6" t="str">
        <f aca="false">_xlfn.CONCAT("\x", G69, "\x", H69, "=", F69)</f>
        <v>\x24\x74=겼</v>
      </c>
      <c r="K69" s="6" t="str">
        <f aca="false">_xlfn.CONCAT("\x", H69, "=", MID($Q$16, HEX2DEC(H69)-47, 1))</f>
        <v>\x74=ざ</v>
      </c>
      <c r="M69" s="7" t="s">
        <v>46</v>
      </c>
      <c r="N69" s="6" t="str">
        <f aca="false">_xlfn.CONCAT("\x", DEC2HEX(D69+44, 2), "\x", H69, "=", M69)</f>
        <v>\x2C\x74=炎</v>
      </c>
    </row>
    <row r="70" customFormat="false" ht="14.15" hidden="false" customHeight="false" outlineLevel="0" collapsed="false">
      <c r="A70" s="6" t="str">
        <f aca="false">DEC2HEX(ROW()-1, 2) &amp; "=0x" &amp; DEC2HEX(ROW()-1, 2) &amp; ", "</f>
        <v>45=0x45, </v>
      </c>
      <c r="C70" s="6" t="n">
        <f aca="false">MOD(ROW()-1, 208)</f>
        <v>69</v>
      </c>
      <c r="D70" s="6" t="n">
        <f aca="false">INT((ROW()-1)/208)</f>
        <v>0</v>
      </c>
      <c r="F70" s="6" t="str">
        <f aca="false">MID(VLOOKUP(D70,$P$1:$Q$13,2,0), 1 + C70,1)</f>
        <v>경</v>
      </c>
      <c r="G70" s="6" t="str">
        <f aca="false">DEC2HEX(D70+36, 2)</f>
        <v>24</v>
      </c>
      <c r="H70" s="6" t="str">
        <f aca="false">DEC2HEX(C70+48,2)</f>
        <v>75</v>
      </c>
      <c r="I70" s="6" t="str">
        <f aca="false">_xlfn.CONCAT("\x", G70, "\x", H70, "=", F70)</f>
        <v>\x24\x75=경</v>
      </c>
      <c r="K70" s="6" t="str">
        <f aca="false">_xlfn.CONCAT("\x", H70, "=", MID($Q$16, HEX2DEC(H70)-47, 1))</f>
        <v>\x75=し</v>
      </c>
      <c r="M70" s="7" t="s">
        <v>47</v>
      </c>
      <c r="N70" s="6" t="str">
        <f aca="false">_xlfn.CONCAT("\x", DEC2HEX(D70+44, 2), "\x", H70, "=", M70)</f>
        <v>\x2C\x75=央</v>
      </c>
    </row>
    <row r="71" customFormat="false" ht="14.15" hidden="false" customHeight="false" outlineLevel="0" collapsed="false">
      <c r="A71" s="6" t="str">
        <f aca="false">DEC2HEX(ROW()-1, 2) &amp; "=0x" &amp; DEC2HEX(ROW()-1, 2) &amp; ", "</f>
        <v>46=0x46, </v>
      </c>
      <c r="C71" s="6" t="n">
        <f aca="false">MOD(ROW()-1, 208)</f>
        <v>70</v>
      </c>
      <c r="D71" s="6" t="n">
        <f aca="false">INT((ROW()-1)/208)</f>
        <v>0</v>
      </c>
      <c r="F71" s="6" t="str">
        <f aca="false">MID(VLOOKUP(D71,$P$1:$Q$13,2,0), 1 + C71,1)</f>
        <v>곁</v>
      </c>
      <c r="G71" s="6" t="str">
        <f aca="false">DEC2HEX(D71+36, 2)</f>
        <v>24</v>
      </c>
      <c r="H71" s="6" t="str">
        <f aca="false">DEC2HEX(C71+48,2)</f>
        <v>76</v>
      </c>
      <c r="I71" s="6" t="str">
        <f aca="false">_xlfn.CONCAT("\x", G71, "\x", H71, "=", F71)</f>
        <v>\x24\x76=곁</v>
      </c>
      <c r="K71" s="6" t="str">
        <f aca="false">_xlfn.CONCAT("\x", H71, "=", MID($Q$16, HEX2DEC(H71)-47, 1))</f>
        <v>\x76=じ</v>
      </c>
      <c r="M71" s="7" t="s">
        <v>48</v>
      </c>
      <c r="N71" s="6" t="str">
        <f aca="false">_xlfn.CONCAT("\x", DEC2HEX(D71+44, 2), "\x", H71, "=", M71)</f>
        <v>\x2C\x76=屋</v>
      </c>
    </row>
    <row r="72" customFormat="false" ht="14.15" hidden="false" customHeight="false" outlineLevel="0" collapsed="false">
      <c r="A72" s="6" t="str">
        <f aca="false">DEC2HEX(ROW()-1, 2) &amp; "=0x" &amp; DEC2HEX(ROW()-1, 2) &amp; ", "</f>
        <v>47=0x47, </v>
      </c>
      <c r="C72" s="6" t="n">
        <f aca="false">MOD(ROW()-1, 208)</f>
        <v>71</v>
      </c>
      <c r="D72" s="6" t="n">
        <f aca="false">INT((ROW()-1)/208)</f>
        <v>0</v>
      </c>
      <c r="F72" s="6" t="str">
        <f aca="false">MID(VLOOKUP(D72,$P$1:$Q$13,2,0), 1 + C72,1)</f>
        <v>계</v>
      </c>
      <c r="G72" s="6" t="str">
        <f aca="false">DEC2HEX(D72+36, 2)</f>
        <v>24</v>
      </c>
      <c r="H72" s="6" t="str">
        <f aca="false">DEC2HEX(C72+48,2)</f>
        <v>77</v>
      </c>
      <c r="I72" s="6" t="str">
        <f aca="false">_xlfn.CONCAT("\x", G72, "\x", H72, "=", F72)</f>
        <v>\x24\x77=계</v>
      </c>
      <c r="K72" s="6" t="str">
        <f aca="false">_xlfn.CONCAT("\x", H72, "=", MID($Q$16, HEX2DEC(H72)-47, 1))</f>
        <v>\x77=す</v>
      </c>
      <c r="M72" s="7" t="s">
        <v>49</v>
      </c>
      <c r="N72" s="6" t="str">
        <f aca="false">_xlfn.CONCAT("\x", DEC2HEX(D72+44, 2), "\x", H72, "=", M72)</f>
        <v>\x2C\x77=憶</v>
      </c>
    </row>
    <row r="73" customFormat="false" ht="14.15" hidden="false" customHeight="false" outlineLevel="0" collapsed="false">
      <c r="A73" s="6" t="str">
        <f aca="false">DEC2HEX(ROW()-1, 2) &amp; "=0x" &amp; DEC2HEX(ROW()-1, 2) &amp; ", "</f>
        <v>48=0x48, </v>
      </c>
      <c r="C73" s="6" t="n">
        <f aca="false">MOD(ROW()-1, 208)</f>
        <v>72</v>
      </c>
      <c r="D73" s="6" t="n">
        <f aca="false">INT((ROW()-1)/208)</f>
        <v>0</v>
      </c>
      <c r="F73" s="6" t="str">
        <f aca="false">MID(VLOOKUP(D73,$P$1:$Q$13,2,0), 1 + C73,1)</f>
        <v>곈</v>
      </c>
      <c r="G73" s="6" t="str">
        <f aca="false">DEC2HEX(D73+36, 2)</f>
        <v>24</v>
      </c>
      <c r="H73" s="6" t="str">
        <f aca="false">DEC2HEX(C73+48,2)</f>
        <v>78</v>
      </c>
      <c r="I73" s="6" t="str">
        <f aca="false">_xlfn.CONCAT("\x", G73, "\x", H73, "=", F73)</f>
        <v>\x24\x78=곈</v>
      </c>
      <c r="K73" s="6" t="str">
        <f aca="false">_xlfn.CONCAT("\x", H73, "=", MID($Q$16, HEX2DEC(H73)-47, 1))</f>
        <v>\x78=ず</v>
      </c>
      <c r="M73" s="7" t="s">
        <v>50</v>
      </c>
      <c r="N73" s="6" t="str">
        <f aca="false">_xlfn.CONCAT("\x", DEC2HEX(D73+44, 2), "\x", H73, "=", M73)</f>
        <v>\x2C\x78=下</v>
      </c>
    </row>
    <row r="74" customFormat="false" ht="14.15" hidden="false" customHeight="false" outlineLevel="0" collapsed="false">
      <c r="A74" s="6" t="str">
        <f aca="false">DEC2HEX(ROW()-1, 2) &amp; "=0x" &amp; DEC2HEX(ROW()-1, 2) &amp; ", "</f>
        <v>49=0x49, </v>
      </c>
      <c r="C74" s="6" t="n">
        <f aca="false">MOD(ROW()-1, 208)</f>
        <v>73</v>
      </c>
      <c r="D74" s="6" t="n">
        <f aca="false">INT((ROW()-1)/208)</f>
        <v>0</v>
      </c>
      <c r="F74" s="6" t="str">
        <f aca="false">MID(VLOOKUP(D74,$P$1:$Q$13,2,0), 1 + C74,1)</f>
        <v>곌</v>
      </c>
      <c r="G74" s="6" t="str">
        <f aca="false">DEC2HEX(D74+36, 2)</f>
        <v>24</v>
      </c>
      <c r="H74" s="6" t="str">
        <f aca="false">DEC2HEX(C74+48,2)</f>
        <v>79</v>
      </c>
      <c r="I74" s="6" t="str">
        <f aca="false">_xlfn.CONCAT("\x", G74, "\x", H74, "=", F74)</f>
        <v>\x24\x79=곌</v>
      </c>
      <c r="K74" s="6" t="str">
        <f aca="false">_xlfn.CONCAT("\x", H74, "=", MID($Q$16, HEX2DEC(H74)-47, 1))</f>
        <v>\x79=せ</v>
      </c>
      <c r="M74" s="7" t="s">
        <v>51</v>
      </c>
      <c r="N74" s="6" t="str">
        <f aca="false">_xlfn.CONCAT("\x", DEC2HEX(D74+44, 2), "\x", H74, "=", M74)</f>
        <v>\x2C\x79=化</v>
      </c>
    </row>
    <row r="75" customFormat="false" ht="14.15" hidden="false" customHeight="false" outlineLevel="0" collapsed="false">
      <c r="A75" s="6" t="str">
        <f aca="false">DEC2HEX(ROW()-1, 2) &amp; "=0x" &amp; DEC2HEX(ROW()-1, 2) &amp; ", "</f>
        <v>4A=0x4A, </v>
      </c>
      <c r="C75" s="6" t="n">
        <f aca="false">MOD(ROW()-1, 208)</f>
        <v>74</v>
      </c>
      <c r="D75" s="6" t="n">
        <f aca="false">INT((ROW()-1)/208)</f>
        <v>0</v>
      </c>
      <c r="F75" s="6" t="str">
        <f aca="false">MID(VLOOKUP(D75,$P$1:$Q$13,2,0), 1 + C75,1)</f>
        <v>곕</v>
      </c>
      <c r="G75" s="6" t="str">
        <f aca="false">DEC2HEX(D75+36, 2)</f>
        <v>24</v>
      </c>
      <c r="H75" s="6" t="str">
        <f aca="false">DEC2HEX(C75+48,2)</f>
        <v>7A</v>
      </c>
      <c r="I75" s="6" t="str">
        <f aca="false">_xlfn.CONCAT("\x", G75, "\x", H75, "=", F75)</f>
        <v>\x24\x7A=곕</v>
      </c>
      <c r="K75" s="6" t="str">
        <f aca="false">_xlfn.CONCAT("\x", H75, "=", MID($Q$16, HEX2DEC(H75)-47, 1))</f>
        <v>\x7A=ぜ</v>
      </c>
      <c r="M75" s="7" t="s">
        <v>52</v>
      </c>
      <c r="N75" s="6" t="str">
        <f aca="false">_xlfn.CONCAT("\x", DEC2HEX(D75+44, 2), "\x", H75, "=", M75)</f>
        <v>\x2C\x7A=何</v>
      </c>
    </row>
    <row r="76" customFormat="false" ht="14.15" hidden="false" customHeight="false" outlineLevel="0" collapsed="false">
      <c r="A76" s="6" t="str">
        <f aca="false">DEC2HEX(ROW()-1, 2) &amp; "=0x" &amp; DEC2HEX(ROW()-1, 2) &amp; ", "</f>
        <v>4B=0x4B, </v>
      </c>
      <c r="C76" s="6" t="n">
        <f aca="false">MOD(ROW()-1, 208)</f>
        <v>75</v>
      </c>
      <c r="D76" s="6" t="n">
        <f aca="false">INT((ROW()-1)/208)</f>
        <v>0</v>
      </c>
      <c r="F76" s="6" t="str">
        <f aca="false">MID(VLOOKUP(D76,$P$1:$Q$13,2,0), 1 + C76,1)</f>
        <v>곗</v>
      </c>
      <c r="G76" s="6" t="str">
        <f aca="false">DEC2HEX(D76+36, 2)</f>
        <v>24</v>
      </c>
      <c r="H76" s="6" t="str">
        <f aca="false">DEC2HEX(C76+48,2)</f>
        <v>7B</v>
      </c>
      <c r="I76" s="6" t="str">
        <f aca="false">_xlfn.CONCAT("\x", G76, "\x", H76, "=", F76)</f>
        <v>\x24\x7B=곗</v>
      </c>
      <c r="K76" s="6" t="str">
        <f aca="false">_xlfn.CONCAT("\x", H76, "=", MID($Q$16, HEX2DEC(H76)-47, 1))</f>
        <v>\x7B=そ</v>
      </c>
      <c r="M76" s="7" t="s">
        <v>53</v>
      </c>
      <c r="N76" s="6" t="str">
        <f aca="false">_xlfn.CONCAT("\x", DEC2HEX(D76+44, 2), "\x", H76, "=", M76)</f>
        <v>\x2C\x7B=加</v>
      </c>
    </row>
    <row r="77" customFormat="false" ht="14.15" hidden="false" customHeight="false" outlineLevel="0" collapsed="false">
      <c r="A77" s="6" t="str">
        <f aca="false">DEC2HEX(ROW()-1, 2) &amp; "=0x" &amp; DEC2HEX(ROW()-1, 2) &amp; ", "</f>
        <v>4C=0x4C, </v>
      </c>
      <c r="C77" s="6" t="n">
        <f aca="false">MOD(ROW()-1, 208)</f>
        <v>76</v>
      </c>
      <c r="D77" s="6" t="n">
        <f aca="false">INT((ROW()-1)/208)</f>
        <v>0</v>
      </c>
      <c r="F77" s="6" t="str">
        <f aca="false">MID(VLOOKUP(D77,$P$1:$Q$13,2,0), 1 + C77,1)</f>
        <v>고</v>
      </c>
      <c r="G77" s="6" t="str">
        <f aca="false">DEC2HEX(D77+36, 2)</f>
        <v>24</v>
      </c>
      <c r="H77" s="6" t="str">
        <f aca="false">DEC2HEX(C77+48,2)</f>
        <v>7C</v>
      </c>
      <c r="I77" s="6" t="str">
        <f aca="false">_xlfn.CONCAT("\x", G77, "\x", H77, "=", F77)</f>
        <v>\x24\x7C=고</v>
      </c>
      <c r="K77" s="6" t="str">
        <f aca="false">_xlfn.CONCAT("\x", H77, "=", MID($Q$16, HEX2DEC(H77)-47, 1))</f>
        <v>\x7C=ぞ</v>
      </c>
      <c r="M77" s="7" t="s">
        <v>54</v>
      </c>
      <c r="N77" s="6" t="str">
        <f aca="false">_xlfn.CONCAT("\x", DEC2HEX(D77+44, 2), "\x", H77, "=", M77)</f>
        <v>\x2C\x7C=家</v>
      </c>
    </row>
    <row r="78" customFormat="false" ht="14.15" hidden="false" customHeight="false" outlineLevel="0" collapsed="false">
      <c r="A78" s="6" t="str">
        <f aca="false">DEC2HEX(ROW()-1, 2) &amp; "=0x" &amp; DEC2HEX(ROW()-1, 2) &amp; ", "</f>
        <v>4D=0x4D, </v>
      </c>
      <c r="C78" s="6" t="n">
        <f aca="false">MOD(ROW()-1, 208)</f>
        <v>77</v>
      </c>
      <c r="D78" s="6" t="n">
        <f aca="false">INT((ROW()-1)/208)</f>
        <v>0</v>
      </c>
      <c r="F78" s="6" t="str">
        <f aca="false">MID(VLOOKUP(D78,$P$1:$Q$13,2,0), 1 + C78,1)</f>
        <v>곡</v>
      </c>
      <c r="G78" s="6" t="str">
        <f aca="false">DEC2HEX(D78+36, 2)</f>
        <v>24</v>
      </c>
      <c r="H78" s="6" t="str">
        <f aca="false">DEC2HEX(C78+48,2)</f>
        <v>7D</v>
      </c>
      <c r="I78" s="6" t="str">
        <f aca="false">_xlfn.CONCAT("\x", G78, "\x", H78, "=", F78)</f>
        <v>\x24\x7D=곡</v>
      </c>
      <c r="K78" s="6" t="str">
        <f aca="false">_xlfn.CONCAT("\x", H78, "=", MID($Q$16, HEX2DEC(H78)-47, 1))</f>
        <v>\x7D=た</v>
      </c>
      <c r="M78" s="7" t="s">
        <v>55</v>
      </c>
      <c r="N78" s="6" t="str">
        <f aca="false">_xlfn.CONCAT("\x", DEC2HEX(D78+44, 2), "\x", H78, "=", M78)</f>
        <v>\x2C\x7D=果</v>
      </c>
    </row>
    <row r="79" customFormat="false" ht="14.15" hidden="false" customHeight="false" outlineLevel="0" collapsed="false">
      <c r="A79" s="6" t="str">
        <f aca="false">DEC2HEX(ROW()-1, 2) &amp; "=0x" &amp; DEC2HEX(ROW()-1, 2) &amp; ", "</f>
        <v>4E=0x4E, </v>
      </c>
      <c r="C79" s="6" t="n">
        <f aca="false">MOD(ROW()-1, 208)</f>
        <v>78</v>
      </c>
      <c r="D79" s="6" t="n">
        <f aca="false">INT((ROW()-1)/208)</f>
        <v>0</v>
      </c>
      <c r="F79" s="6" t="str">
        <f aca="false">MID(VLOOKUP(D79,$P$1:$Q$13,2,0), 1 + C79,1)</f>
        <v>곤</v>
      </c>
      <c r="G79" s="6" t="str">
        <f aca="false">DEC2HEX(D79+36, 2)</f>
        <v>24</v>
      </c>
      <c r="H79" s="6" t="str">
        <f aca="false">DEC2HEX(C79+48,2)</f>
        <v>7E</v>
      </c>
      <c r="I79" s="6" t="str">
        <f aca="false">_xlfn.CONCAT("\x", G79, "\x", H79, "=", F79)</f>
        <v>\x24\x7E=곤</v>
      </c>
      <c r="K79" s="6" t="str">
        <f aca="false">_xlfn.CONCAT("\x", H79, "=", MID($Q$16, HEX2DEC(H79)-47, 1))</f>
        <v>\x7E=だ</v>
      </c>
      <c r="M79" s="7" t="s">
        <v>56</v>
      </c>
      <c r="N79" s="6" t="str">
        <f aca="false">_xlfn.CONCAT("\x", DEC2HEX(D79+44, 2), "\x", H79, "=", M79)</f>
        <v>\x2C\x7E=河</v>
      </c>
    </row>
    <row r="80" customFormat="false" ht="14.15" hidden="false" customHeight="false" outlineLevel="0" collapsed="false">
      <c r="A80" s="6" t="str">
        <f aca="false">DEC2HEX(ROW()-1, 2) &amp; "=0x" &amp; DEC2HEX(ROW()-1, 2) &amp; ", "</f>
        <v>4F=0x4F, </v>
      </c>
      <c r="C80" s="6" t="n">
        <f aca="false">MOD(ROW()-1, 208)</f>
        <v>79</v>
      </c>
      <c r="D80" s="6" t="n">
        <f aca="false">INT((ROW()-1)/208)</f>
        <v>0</v>
      </c>
      <c r="F80" s="6" t="str">
        <f aca="false">MID(VLOOKUP(D80,$P$1:$Q$13,2,0), 1 + C80,1)</f>
        <v>곧</v>
      </c>
      <c r="G80" s="6" t="str">
        <f aca="false">DEC2HEX(D80+36, 2)</f>
        <v>24</v>
      </c>
      <c r="H80" s="6" t="str">
        <f aca="false">DEC2HEX(C80+48,2)</f>
        <v>7F</v>
      </c>
      <c r="I80" s="6" t="str">
        <f aca="false">_xlfn.CONCAT("\x", G80, "\x", H80, "=", F80)</f>
        <v>\x24\x7F=곧</v>
      </c>
      <c r="K80" s="6" t="str">
        <f aca="false">_xlfn.CONCAT("\x", H80, "=", MID($Q$16, HEX2DEC(H80)-47, 1))</f>
        <v>\x7F=ち</v>
      </c>
      <c r="M80" s="7" t="s">
        <v>57</v>
      </c>
      <c r="N80" s="6" t="str">
        <f aca="false">_xlfn.CONCAT("\x", DEC2HEX(D80+44, 2), "\x", H80, "=", M80)</f>
        <v>\x2C\x7F=火</v>
      </c>
    </row>
    <row r="81" customFormat="false" ht="14.15" hidden="false" customHeight="false" outlineLevel="0" collapsed="false">
      <c r="A81" s="6" t="str">
        <f aca="false">DEC2HEX(ROW()-1, 2) &amp; "=0x" &amp; DEC2HEX(ROW()-1, 2) &amp; ", "</f>
        <v>50=0x50, </v>
      </c>
      <c r="C81" s="6" t="n">
        <f aca="false">MOD(ROW()-1, 208)</f>
        <v>80</v>
      </c>
      <c r="D81" s="6" t="n">
        <f aca="false">INT((ROW()-1)/208)</f>
        <v>0</v>
      </c>
      <c r="F81" s="6" t="str">
        <f aca="false">MID(VLOOKUP(D81,$P$1:$Q$13,2,0), 1 + C81,1)</f>
        <v>골</v>
      </c>
      <c r="G81" s="6" t="str">
        <f aca="false">DEC2HEX(D81+36, 2)</f>
        <v>24</v>
      </c>
      <c r="H81" s="6" t="str">
        <f aca="false">DEC2HEX(C81+48,2)</f>
        <v>80</v>
      </c>
      <c r="I81" s="6" t="str">
        <f aca="false">_xlfn.CONCAT("\x", G81, "\x", H81, "=", F81)</f>
        <v>\x24\x80=골</v>
      </c>
      <c r="K81" s="6" t="str">
        <f aca="false">_xlfn.CONCAT("\x", H81, "=", MID($Q$16, HEX2DEC(H81)-47, 1))</f>
        <v>\x80=ぢ</v>
      </c>
      <c r="M81" s="7" t="s">
        <v>58</v>
      </c>
      <c r="N81" s="6" t="str">
        <f aca="false">_xlfn.CONCAT("\x", DEC2HEX(D81+44, 2), "\x", H81, "=", M81)</f>
        <v>\x2C\x80=花</v>
      </c>
    </row>
    <row r="82" customFormat="false" ht="14.15" hidden="false" customHeight="false" outlineLevel="0" collapsed="false">
      <c r="A82" s="6" t="str">
        <f aca="false">DEC2HEX(ROW()-1, 2) &amp; "=0x" &amp; DEC2HEX(ROW()-1, 2) &amp; ", "</f>
        <v>51=0x51, </v>
      </c>
      <c r="C82" s="6" t="n">
        <f aca="false">MOD(ROW()-1, 208)</f>
        <v>81</v>
      </c>
      <c r="D82" s="6" t="n">
        <f aca="false">INT((ROW()-1)/208)</f>
        <v>0</v>
      </c>
      <c r="F82" s="6" t="str">
        <f aca="false">MID(VLOOKUP(D82,$P$1:$Q$13,2,0), 1 + C82,1)</f>
        <v>곪</v>
      </c>
      <c r="G82" s="6" t="str">
        <f aca="false">DEC2HEX(D82+36, 2)</f>
        <v>24</v>
      </c>
      <c r="H82" s="6" t="str">
        <f aca="false">DEC2HEX(C82+48,2)</f>
        <v>81</v>
      </c>
      <c r="I82" s="6" t="str">
        <f aca="false">_xlfn.CONCAT("\x", G82, "\x", H82, "=", F82)</f>
        <v>\x24\x81=곪</v>
      </c>
      <c r="K82" s="6" t="str">
        <f aca="false">_xlfn.CONCAT("\x", H82, "=", MID($Q$16, HEX2DEC(H82)-47, 1))</f>
        <v>\x81=っ</v>
      </c>
      <c r="M82" s="7" t="s">
        <v>59</v>
      </c>
      <c r="N82" s="6" t="str">
        <f aca="false">_xlfn.CONCAT("\x", DEC2HEX(D82+44, 2), "\x", H82, "=", M82)</f>
        <v>\x2C\x81=会</v>
      </c>
    </row>
    <row r="83" customFormat="false" ht="14.15" hidden="false" customHeight="false" outlineLevel="0" collapsed="false">
      <c r="A83" s="6" t="str">
        <f aca="false">DEC2HEX(ROW()-1, 2) &amp; "=0x" &amp; DEC2HEX(ROW()-1, 2) &amp; ", "</f>
        <v>52=0x52, </v>
      </c>
      <c r="C83" s="6" t="n">
        <f aca="false">MOD(ROW()-1, 208)</f>
        <v>82</v>
      </c>
      <c r="D83" s="6" t="n">
        <f aca="false">INT((ROW()-1)/208)</f>
        <v>0</v>
      </c>
      <c r="F83" s="6" t="str">
        <f aca="false">MID(VLOOKUP(D83,$P$1:$Q$13,2,0), 1 + C83,1)</f>
        <v>곬</v>
      </c>
      <c r="G83" s="6" t="str">
        <f aca="false">DEC2HEX(D83+36, 2)</f>
        <v>24</v>
      </c>
      <c r="H83" s="6" t="str">
        <f aca="false">DEC2HEX(C83+48,2)</f>
        <v>82</v>
      </c>
      <c r="I83" s="6" t="str">
        <f aca="false">_xlfn.CONCAT("\x", G83, "\x", H83, "=", F83)</f>
        <v>\x24\x82=곬</v>
      </c>
      <c r="K83" s="6" t="str">
        <f aca="false">_xlfn.CONCAT("\x", H83, "=", MID($Q$16, HEX2DEC(H83)-47, 1))</f>
        <v>\x82=つ</v>
      </c>
      <c r="M83" s="7" t="s">
        <v>60</v>
      </c>
      <c r="N83" s="6" t="str">
        <f aca="false">_xlfn.CONCAT("\x", DEC2HEX(D83+44, 2), "\x", H83, "=", M83)</f>
        <v>\x2C\x82=回</v>
      </c>
    </row>
    <row r="84" customFormat="false" ht="14.15" hidden="false" customHeight="false" outlineLevel="0" collapsed="false">
      <c r="A84" s="6" t="str">
        <f aca="false">DEC2HEX(ROW()-1, 2) &amp; "=0x" &amp; DEC2HEX(ROW()-1, 2) &amp; ", "</f>
        <v>53=0x53, </v>
      </c>
      <c r="C84" s="6" t="n">
        <f aca="false">MOD(ROW()-1, 208)</f>
        <v>83</v>
      </c>
      <c r="D84" s="6" t="n">
        <f aca="false">INT((ROW()-1)/208)</f>
        <v>0</v>
      </c>
      <c r="F84" s="6" t="str">
        <f aca="false">MID(VLOOKUP(D84,$P$1:$Q$13,2,0), 1 + C84,1)</f>
        <v>곯</v>
      </c>
      <c r="G84" s="6" t="str">
        <f aca="false">DEC2HEX(D84+36, 2)</f>
        <v>24</v>
      </c>
      <c r="H84" s="6" t="str">
        <f aca="false">DEC2HEX(C84+48,2)</f>
        <v>83</v>
      </c>
      <c r="I84" s="6" t="str">
        <f aca="false">_xlfn.CONCAT("\x", G84, "\x", H84, "=", F84)</f>
        <v>\x24\x83=곯</v>
      </c>
      <c r="K84" s="6" t="str">
        <f aca="false">_xlfn.CONCAT("\x", H84, "=", MID($Q$16, HEX2DEC(H84)-47, 1))</f>
        <v>\x83=づ</v>
      </c>
      <c r="M84" s="7" t="s">
        <v>61</v>
      </c>
      <c r="N84" s="6" t="str">
        <f aca="false">_xlfn.CONCAT("\x", DEC2HEX(D84+44, 2), "\x", H84, "=", M84)</f>
        <v>\x2C\x83=壊</v>
      </c>
    </row>
    <row r="85" customFormat="false" ht="14.15" hidden="false" customHeight="false" outlineLevel="0" collapsed="false">
      <c r="A85" s="6" t="str">
        <f aca="false">DEC2HEX(ROW()-1, 2) &amp; "=0x" &amp; DEC2HEX(ROW()-1, 2) &amp; ", "</f>
        <v>54=0x54, </v>
      </c>
      <c r="C85" s="6" t="n">
        <f aca="false">MOD(ROW()-1, 208)</f>
        <v>84</v>
      </c>
      <c r="D85" s="6" t="n">
        <f aca="false">INT((ROW()-1)/208)</f>
        <v>0</v>
      </c>
      <c r="F85" s="6" t="str">
        <f aca="false">MID(VLOOKUP(D85,$P$1:$Q$13,2,0), 1 + C85,1)</f>
        <v>곰</v>
      </c>
      <c r="G85" s="6" t="str">
        <f aca="false">DEC2HEX(D85+36, 2)</f>
        <v>24</v>
      </c>
      <c r="H85" s="6" t="str">
        <f aca="false">DEC2HEX(C85+48,2)</f>
        <v>84</v>
      </c>
      <c r="I85" s="6" t="str">
        <f aca="false">_xlfn.CONCAT("\x", G85, "\x", H85, "=", F85)</f>
        <v>\x24\x84=곰</v>
      </c>
      <c r="K85" s="6" t="str">
        <f aca="false">_xlfn.CONCAT("\x", H85, "=", MID($Q$16, HEX2DEC(H85)-47, 1))</f>
        <v>\x84=て</v>
      </c>
      <c r="M85" s="7" t="s">
        <v>62</v>
      </c>
      <c r="N85" s="6" t="str">
        <f aca="false">_xlfn.CONCAT("\x", DEC2HEX(D85+44, 2), "\x", H85, "=", M85)</f>
        <v>\x2C\x84=快</v>
      </c>
    </row>
    <row r="86" customFormat="false" ht="14.15" hidden="false" customHeight="false" outlineLevel="0" collapsed="false">
      <c r="A86" s="6" t="str">
        <f aca="false">DEC2HEX(ROW()-1, 2) &amp; "=0x" &amp; DEC2HEX(ROW()-1, 2) &amp; ", "</f>
        <v>55=0x55, </v>
      </c>
      <c r="C86" s="6" t="n">
        <f aca="false">MOD(ROW()-1, 208)</f>
        <v>85</v>
      </c>
      <c r="D86" s="6" t="n">
        <f aca="false">INT((ROW()-1)/208)</f>
        <v>0</v>
      </c>
      <c r="F86" s="6" t="str">
        <f aca="false">MID(VLOOKUP(D86,$P$1:$Q$13,2,0), 1 + C86,1)</f>
        <v>곱</v>
      </c>
      <c r="G86" s="6" t="str">
        <f aca="false">DEC2HEX(D86+36, 2)</f>
        <v>24</v>
      </c>
      <c r="H86" s="6" t="str">
        <f aca="false">DEC2HEX(C86+48,2)</f>
        <v>85</v>
      </c>
      <c r="I86" s="6" t="str">
        <f aca="false">_xlfn.CONCAT("\x", G86, "\x", H86, "=", F86)</f>
        <v>\x24\x85=곱</v>
      </c>
      <c r="K86" s="6" t="str">
        <f aca="false">_xlfn.CONCAT("\x", H86, "=", MID($Q$16, HEX2DEC(H86)-47, 1))</f>
        <v>\x85=で</v>
      </c>
      <c r="M86" s="7" t="s">
        <v>63</v>
      </c>
      <c r="N86" s="6" t="str">
        <f aca="false">_xlfn.CONCAT("\x", DEC2HEX(D86+44, 2), "\x", H86, "=", M86)</f>
        <v>\x2C\x85=改</v>
      </c>
    </row>
    <row r="87" customFormat="false" ht="14.15" hidden="false" customHeight="false" outlineLevel="0" collapsed="false">
      <c r="A87" s="6" t="str">
        <f aca="false">DEC2HEX(ROW()-1, 2) &amp; "=0x" &amp; DEC2HEX(ROW()-1, 2) &amp; ", "</f>
        <v>56=0x56, </v>
      </c>
      <c r="C87" s="6" t="n">
        <f aca="false">MOD(ROW()-1, 208)</f>
        <v>86</v>
      </c>
      <c r="D87" s="6" t="n">
        <f aca="false">INT((ROW()-1)/208)</f>
        <v>0</v>
      </c>
      <c r="F87" s="6" t="str">
        <f aca="false">MID(VLOOKUP(D87,$P$1:$Q$13,2,0), 1 + C87,1)</f>
        <v>곳</v>
      </c>
      <c r="G87" s="6" t="str">
        <f aca="false">DEC2HEX(D87+36, 2)</f>
        <v>24</v>
      </c>
      <c r="H87" s="6" t="str">
        <f aca="false">DEC2HEX(C87+48,2)</f>
        <v>86</v>
      </c>
      <c r="I87" s="6" t="str">
        <f aca="false">_xlfn.CONCAT("\x", G87, "\x", H87, "=", F87)</f>
        <v>\x24\x86=곳</v>
      </c>
      <c r="K87" s="6" t="str">
        <f aca="false">_xlfn.CONCAT("\x", H87, "=", MID($Q$16, HEX2DEC(H87)-47, 1))</f>
        <v>\x86=と</v>
      </c>
      <c r="M87" s="7" t="s">
        <v>64</v>
      </c>
      <c r="N87" s="6" t="str">
        <f aca="false">_xlfn.CONCAT("\x", DEC2HEX(D87+44, 2), "\x", H87, "=", M87)</f>
        <v>\x2C\x86=海</v>
      </c>
    </row>
    <row r="88" customFormat="false" ht="14.15" hidden="false" customHeight="false" outlineLevel="0" collapsed="false">
      <c r="A88" s="6" t="str">
        <f aca="false">DEC2HEX(ROW()-1, 2) &amp; "=0x" &amp; DEC2HEX(ROW()-1, 2) &amp; ", "</f>
        <v>57=0x57, </v>
      </c>
      <c r="C88" s="6" t="n">
        <f aca="false">MOD(ROW()-1, 208)</f>
        <v>87</v>
      </c>
      <c r="D88" s="6" t="n">
        <f aca="false">INT((ROW()-1)/208)</f>
        <v>0</v>
      </c>
      <c r="F88" s="6" t="str">
        <f aca="false">MID(VLOOKUP(D88,$P$1:$Q$13,2,0), 1 + C88,1)</f>
        <v>공</v>
      </c>
      <c r="G88" s="6" t="str">
        <f aca="false">DEC2HEX(D88+36, 2)</f>
        <v>24</v>
      </c>
      <c r="H88" s="6" t="str">
        <f aca="false">DEC2HEX(C88+48,2)</f>
        <v>87</v>
      </c>
      <c r="I88" s="6" t="str">
        <f aca="false">_xlfn.CONCAT("\x", G88, "\x", H88, "=", F88)</f>
        <v>\x24\x87=공</v>
      </c>
      <c r="K88" s="6" t="str">
        <f aca="false">_xlfn.CONCAT("\x", H88, "=", MID($Q$16, HEX2DEC(H88)-47, 1))</f>
        <v>\x87=ど</v>
      </c>
      <c r="M88" s="7" t="s">
        <v>65</v>
      </c>
      <c r="N88" s="6" t="str">
        <f aca="false">_xlfn.CONCAT("\x", DEC2HEX(D88+44, 2), "\x", H88, "=", M88)</f>
        <v>\x2C\x87=界</v>
      </c>
    </row>
    <row r="89" customFormat="false" ht="14.15" hidden="false" customHeight="false" outlineLevel="0" collapsed="false">
      <c r="A89" s="6" t="str">
        <f aca="false">DEC2HEX(ROW()-1, 2) &amp; "=0x" &amp; DEC2HEX(ROW()-1, 2) &amp; ", "</f>
        <v>58=0x58, </v>
      </c>
      <c r="C89" s="6" t="n">
        <f aca="false">MOD(ROW()-1, 208)</f>
        <v>88</v>
      </c>
      <c r="D89" s="6" t="n">
        <f aca="false">INT((ROW()-1)/208)</f>
        <v>0</v>
      </c>
      <c r="F89" s="6" t="str">
        <f aca="false">MID(VLOOKUP(D89,$P$1:$Q$13,2,0), 1 + C89,1)</f>
        <v>곶</v>
      </c>
      <c r="G89" s="6" t="str">
        <f aca="false">DEC2HEX(D89+36, 2)</f>
        <v>24</v>
      </c>
      <c r="H89" s="6" t="str">
        <f aca="false">DEC2HEX(C89+48,2)</f>
        <v>88</v>
      </c>
      <c r="I89" s="6" t="str">
        <f aca="false">_xlfn.CONCAT("\x", G89, "\x", H89, "=", F89)</f>
        <v>\x24\x88=곶</v>
      </c>
      <c r="K89" s="6" t="str">
        <f aca="false">_xlfn.CONCAT("\x", H89, "=", MID($Q$16, HEX2DEC(H89)-47, 1))</f>
        <v>\x88=な</v>
      </c>
      <c r="M89" s="7" t="s">
        <v>66</v>
      </c>
      <c r="N89" s="6" t="str">
        <f aca="false">_xlfn.CONCAT("\x", DEC2HEX(D89+44, 2), "\x", H89, "=", M89)</f>
        <v>\x2C\x88=開</v>
      </c>
    </row>
    <row r="90" customFormat="false" ht="14.15" hidden="false" customHeight="false" outlineLevel="0" collapsed="false">
      <c r="A90" s="6" t="str">
        <f aca="false">DEC2HEX(ROW()-1, 2) &amp; "=0x" &amp; DEC2HEX(ROW()-1, 2) &amp; ", "</f>
        <v>59=0x59, </v>
      </c>
      <c r="C90" s="6" t="n">
        <f aca="false">MOD(ROW()-1, 208)</f>
        <v>89</v>
      </c>
      <c r="D90" s="6" t="n">
        <f aca="false">INT((ROW()-1)/208)</f>
        <v>0</v>
      </c>
      <c r="F90" s="6" t="str">
        <f aca="false">MID(VLOOKUP(D90,$P$1:$Q$13,2,0), 1 + C90,1)</f>
        <v>과</v>
      </c>
      <c r="G90" s="6" t="str">
        <f aca="false">DEC2HEX(D90+36, 2)</f>
        <v>24</v>
      </c>
      <c r="H90" s="6" t="str">
        <f aca="false">DEC2HEX(C90+48,2)</f>
        <v>89</v>
      </c>
      <c r="I90" s="6" t="str">
        <f aca="false">_xlfn.CONCAT("\x", G90, "\x", H90, "=", F90)</f>
        <v>\x24\x89=과</v>
      </c>
      <c r="K90" s="6" t="str">
        <f aca="false">_xlfn.CONCAT("\x", H90, "=", MID($Q$16, HEX2DEC(H90)-47, 1))</f>
        <v>\x89=に</v>
      </c>
      <c r="M90" s="7" t="s">
        <v>67</v>
      </c>
      <c r="N90" s="6" t="str">
        <f aca="false">_xlfn.CONCAT("\x", DEC2HEX(D90+44, 2), "\x", H90, "=", M90)</f>
        <v>\x2C\x89=階</v>
      </c>
    </row>
    <row r="91" customFormat="false" ht="14.15" hidden="false" customHeight="false" outlineLevel="0" collapsed="false">
      <c r="A91" s="6" t="str">
        <f aca="false">DEC2HEX(ROW()-1, 2) &amp; "=0x" &amp; DEC2HEX(ROW()-1, 2) &amp; ", "</f>
        <v>5A=0x5A, </v>
      </c>
      <c r="C91" s="6" t="n">
        <f aca="false">MOD(ROW()-1, 208)</f>
        <v>90</v>
      </c>
      <c r="D91" s="6" t="n">
        <f aca="false">INT((ROW()-1)/208)</f>
        <v>0</v>
      </c>
      <c r="F91" s="6" t="str">
        <f aca="false">MID(VLOOKUP(D91,$P$1:$Q$13,2,0), 1 + C91,1)</f>
        <v>곽</v>
      </c>
      <c r="G91" s="6" t="str">
        <f aca="false">DEC2HEX(D91+36, 2)</f>
        <v>24</v>
      </c>
      <c r="H91" s="6" t="str">
        <f aca="false">DEC2HEX(C91+48,2)</f>
        <v>8A</v>
      </c>
      <c r="I91" s="6" t="str">
        <f aca="false">_xlfn.CONCAT("\x", G91, "\x", H91, "=", F91)</f>
        <v>\x24\x8A=곽</v>
      </c>
      <c r="K91" s="6" t="str">
        <f aca="false">_xlfn.CONCAT("\x", H91, "=", MID($Q$16, HEX2DEC(H91)-47, 1))</f>
        <v>\x8A=ぬ</v>
      </c>
      <c r="M91" s="7" t="s">
        <v>68</v>
      </c>
      <c r="N91" s="6" t="str">
        <f aca="false">_xlfn.CONCAT("\x", DEC2HEX(D91+44, 2), "\x", H91, "=", M91)</f>
        <v>\x2C\x8A=外</v>
      </c>
    </row>
    <row r="92" customFormat="false" ht="14.15" hidden="false" customHeight="false" outlineLevel="0" collapsed="false">
      <c r="A92" s="6" t="str">
        <f aca="false">DEC2HEX(ROW()-1, 2) &amp; "=0x" &amp; DEC2HEX(ROW()-1, 2) &amp; ", "</f>
        <v>5B=0x5B, </v>
      </c>
      <c r="C92" s="6" t="n">
        <f aca="false">MOD(ROW()-1, 208)</f>
        <v>91</v>
      </c>
      <c r="D92" s="6" t="n">
        <f aca="false">INT((ROW()-1)/208)</f>
        <v>0</v>
      </c>
      <c r="F92" s="6" t="str">
        <f aca="false">MID(VLOOKUP(D92,$P$1:$Q$13,2,0), 1 + C92,1)</f>
        <v>관</v>
      </c>
      <c r="G92" s="6" t="str">
        <f aca="false">DEC2HEX(D92+36, 2)</f>
        <v>24</v>
      </c>
      <c r="H92" s="6" t="str">
        <f aca="false">DEC2HEX(C92+48,2)</f>
        <v>8B</v>
      </c>
      <c r="I92" s="6" t="str">
        <f aca="false">_xlfn.CONCAT("\x", G92, "\x", H92, "=", F92)</f>
        <v>\x24\x8B=관</v>
      </c>
      <c r="K92" s="6" t="str">
        <f aca="false">_xlfn.CONCAT("\x", H92, "=", MID($Q$16, HEX2DEC(H92)-47, 1))</f>
        <v>\x8B=ね</v>
      </c>
      <c r="M92" s="7" t="s">
        <v>69</v>
      </c>
      <c r="N92" s="6" t="str">
        <f aca="false">_xlfn.CONCAT("\x", DEC2HEX(D92+44, 2), "\x", H92, "=", M92)</f>
        <v>\x2C\x8B=崖</v>
      </c>
    </row>
    <row r="93" customFormat="false" ht="14.15" hidden="false" customHeight="false" outlineLevel="0" collapsed="false">
      <c r="A93" s="6" t="str">
        <f aca="false">DEC2HEX(ROW()-1, 2) &amp; "=0x" &amp; DEC2HEX(ROW()-1, 2) &amp; ", "</f>
        <v>5C=0x5C, </v>
      </c>
      <c r="C93" s="6" t="n">
        <f aca="false">MOD(ROW()-1, 208)</f>
        <v>92</v>
      </c>
      <c r="D93" s="6" t="n">
        <f aca="false">INT((ROW()-1)/208)</f>
        <v>0</v>
      </c>
      <c r="F93" s="6" t="str">
        <f aca="false">MID(VLOOKUP(D93,$P$1:$Q$13,2,0), 1 + C93,1)</f>
        <v>괄</v>
      </c>
      <c r="G93" s="6" t="str">
        <f aca="false">DEC2HEX(D93+36, 2)</f>
        <v>24</v>
      </c>
      <c r="H93" s="6" t="str">
        <f aca="false">DEC2HEX(C93+48,2)</f>
        <v>8C</v>
      </c>
      <c r="I93" s="6" t="str">
        <f aca="false">_xlfn.CONCAT("\x", G93, "\x", H93, "=", F93)</f>
        <v>\x24\x8C=괄</v>
      </c>
      <c r="K93" s="6" t="str">
        <f aca="false">_xlfn.CONCAT("\x", H93, "=", MID($Q$16, HEX2DEC(H93)-47, 1))</f>
        <v>\x8C=の</v>
      </c>
      <c r="M93" s="7" t="s">
        <v>70</v>
      </c>
      <c r="N93" s="6" t="str">
        <f aca="false">_xlfn.CONCAT("\x", DEC2HEX(D93+44, 2), "\x", H93, "=", M93)</f>
        <v>\x2C\x8C=街</v>
      </c>
    </row>
    <row r="94" customFormat="false" ht="14.15" hidden="false" customHeight="false" outlineLevel="0" collapsed="false">
      <c r="A94" s="6" t="str">
        <f aca="false">DEC2HEX(ROW()-1, 2) &amp; "=0x" &amp; DEC2HEX(ROW()-1, 2) &amp; ", "</f>
        <v>5D=0x5D, </v>
      </c>
      <c r="C94" s="6" t="n">
        <f aca="false">MOD(ROW()-1, 208)</f>
        <v>93</v>
      </c>
      <c r="D94" s="6" t="n">
        <f aca="false">INT((ROW()-1)/208)</f>
        <v>0</v>
      </c>
      <c r="F94" s="6" t="str">
        <f aca="false">MID(VLOOKUP(D94,$P$1:$Q$13,2,0), 1 + C94,1)</f>
        <v>괆</v>
      </c>
      <c r="G94" s="6" t="str">
        <f aca="false">DEC2HEX(D94+36, 2)</f>
        <v>24</v>
      </c>
      <c r="H94" s="6" t="str">
        <f aca="false">DEC2HEX(C94+48,2)</f>
        <v>8D</v>
      </c>
      <c r="I94" s="6" t="str">
        <f aca="false">_xlfn.CONCAT("\x", G94, "\x", H94, "=", F94)</f>
        <v>\x24\x8D=괆</v>
      </c>
      <c r="K94" s="6" t="str">
        <f aca="false">_xlfn.CONCAT("\x", H94, "=", MID($Q$16, HEX2DEC(H94)-47, 1))</f>
        <v>\x8D=は</v>
      </c>
      <c r="M94" s="7" t="s">
        <v>71</v>
      </c>
      <c r="N94" s="6" t="str">
        <f aca="false">_xlfn.CONCAT("\x", DEC2HEX(D94+44, 2), "\x", H94, "=", M94)</f>
        <v>\x2C\x8D=確</v>
      </c>
    </row>
    <row r="95" customFormat="false" ht="14.15" hidden="false" customHeight="false" outlineLevel="0" collapsed="false">
      <c r="A95" s="6" t="str">
        <f aca="false">DEC2HEX(ROW()-1, 2) &amp; "=0x" &amp; DEC2HEX(ROW()-1, 2) &amp; ", "</f>
        <v>5E=0x5E, </v>
      </c>
      <c r="C95" s="6" t="n">
        <f aca="false">MOD(ROW()-1, 208)</f>
        <v>94</v>
      </c>
      <c r="D95" s="6" t="n">
        <f aca="false">INT((ROW()-1)/208)</f>
        <v>0</v>
      </c>
      <c r="F95" s="6" t="str">
        <f aca="false">MID(VLOOKUP(D95,$P$1:$Q$13,2,0), 1 + C95,1)</f>
        <v>괌</v>
      </c>
      <c r="G95" s="6" t="str">
        <f aca="false">DEC2HEX(D95+36, 2)</f>
        <v>24</v>
      </c>
      <c r="H95" s="6" t="str">
        <f aca="false">DEC2HEX(C95+48,2)</f>
        <v>8E</v>
      </c>
      <c r="I95" s="6" t="str">
        <f aca="false">_xlfn.CONCAT("\x", G95, "\x", H95, "=", F95)</f>
        <v>\x24\x8E=괌</v>
      </c>
      <c r="K95" s="6" t="str">
        <f aca="false">_xlfn.CONCAT("\x", H95, "=", MID($Q$16, HEX2DEC(H95)-47, 1))</f>
        <v>\x8E=ば</v>
      </c>
      <c r="M95" s="7" t="s">
        <v>72</v>
      </c>
      <c r="N95" s="6" t="str">
        <f aca="false">_xlfn.CONCAT("\x", DEC2HEX(D95+44, 2), "\x", H95, "=", M95)</f>
        <v>\x2C\x8E=覚</v>
      </c>
    </row>
    <row r="96" customFormat="false" ht="14.15" hidden="false" customHeight="false" outlineLevel="0" collapsed="false">
      <c r="A96" s="6" t="str">
        <f aca="false">DEC2HEX(ROW()-1, 2) &amp; "=0x" &amp; DEC2HEX(ROW()-1, 2) &amp; ", "</f>
        <v>5F=0x5F, </v>
      </c>
      <c r="C96" s="6" t="n">
        <f aca="false">MOD(ROW()-1, 208)</f>
        <v>95</v>
      </c>
      <c r="D96" s="6" t="n">
        <f aca="false">INT((ROW()-1)/208)</f>
        <v>0</v>
      </c>
      <c r="F96" s="6" t="str">
        <f aca="false">MID(VLOOKUP(D96,$P$1:$Q$13,2,0), 1 + C96,1)</f>
        <v>괍</v>
      </c>
      <c r="G96" s="6" t="str">
        <f aca="false">DEC2HEX(D96+36, 2)</f>
        <v>24</v>
      </c>
      <c r="H96" s="6" t="str">
        <f aca="false">DEC2HEX(C96+48,2)</f>
        <v>8F</v>
      </c>
      <c r="I96" s="6" t="str">
        <f aca="false">_xlfn.CONCAT("\x", G96, "\x", H96, "=", F96)</f>
        <v>\x24\x8F=괍</v>
      </c>
      <c r="K96" s="6" t="str">
        <f aca="false">_xlfn.CONCAT("\x", H96, "=", MID($Q$16, HEX2DEC(H96)-47, 1))</f>
        <v>\x8F=ぱ</v>
      </c>
      <c r="M96" s="7" t="s">
        <v>73</v>
      </c>
      <c r="N96" s="6" t="str">
        <f aca="false">_xlfn.CONCAT("\x", DEC2HEX(D96+44, 2), "\x", H96, "=", M96)</f>
        <v>\x2C\x8F=喚</v>
      </c>
    </row>
    <row r="97" customFormat="false" ht="14.15" hidden="false" customHeight="false" outlineLevel="0" collapsed="false">
      <c r="A97" s="6" t="str">
        <f aca="false">DEC2HEX(ROW()-1, 2) &amp; "=0x" &amp; DEC2HEX(ROW()-1, 2) &amp; ", "</f>
        <v>60=0x60, </v>
      </c>
      <c r="C97" s="6" t="n">
        <f aca="false">MOD(ROW()-1, 208)</f>
        <v>96</v>
      </c>
      <c r="D97" s="6" t="n">
        <f aca="false">INT((ROW()-1)/208)</f>
        <v>0</v>
      </c>
      <c r="F97" s="6" t="str">
        <f aca="false">MID(VLOOKUP(D97,$P$1:$Q$13,2,0), 1 + C97,1)</f>
        <v>괏</v>
      </c>
      <c r="G97" s="6" t="str">
        <f aca="false">DEC2HEX(D97+36, 2)</f>
        <v>24</v>
      </c>
      <c r="H97" s="6" t="str">
        <f aca="false">DEC2HEX(C97+48,2)</f>
        <v>90</v>
      </c>
      <c r="I97" s="6" t="str">
        <f aca="false">_xlfn.CONCAT("\x", G97, "\x", H97, "=", F97)</f>
        <v>\x24\x90=괏</v>
      </c>
      <c r="K97" s="6" t="str">
        <f aca="false">_xlfn.CONCAT("\x", H97, "=", MID($Q$16, HEX2DEC(H97)-47, 1))</f>
        <v>\x90=ひ</v>
      </c>
      <c r="M97" s="7" t="s">
        <v>74</v>
      </c>
      <c r="N97" s="6" t="str">
        <f aca="false">_xlfn.CONCAT("\x", DEC2HEX(D97+44, 2), "\x", H97, "=", M97)</f>
        <v>\x2C\x90=換</v>
      </c>
    </row>
    <row r="98" customFormat="false" ht="14.15" hidden="false" customHeight="false" outlineLevel="0" collapsed="false">
      <c r="A98" s="6" t="str">
        <f aca="false">DEC2HEX(ROW()-1, 2) &amp; "=0x" &amp; DEC2HEX(ROW()-1, 2) &amp; ", "</f>
        <v>61=0x61, </v>
      </c>
      <c r="C98" s="6" t="n">
        <f aca="false">MOD(ROW()-1, 208)</f>
        <v>97</v>
      </c>
      <c r="D98" s="6" t="n">
        <f aca="false">INT((ROW()-1)/208)</f>
        <v>0</v>
      </c>
      <c r="F98" s="6" t="str">
        <f aca="false">MID(VLOOKUP(D98,$P$1:$Q$13,2,0), 1 + C98,1)</f>
        <v>광</v>
      </c>
      <c r="G98" s="6" t="str">
        <f aca="false">DEC2HEX(D98+36, 2)</f>
        <v>24</v>
      </c>
      <c r="H98" s="6" t="str">
        <f aca="false">DEC2HEX(C98+48,2)</f>
        <v>91</v>
      </c>
      <c r="I98" s="6" t="str">
        <f aca="false">_xlfn.CONCAT("\x", G98, "\x", H98, "=", F98)</f>
        <v>\x24\x91=광</v>
      </c>
      <c r="K98" s="6" t="str">
        <f aca="false">_xlfn.CONCAT("\x", H98, "=", MID($Q$16, HEX2DEC(H98)-47, 1))</f>
        <v>\x91=び</v>
      </c>
      <c r="M98" s="7" t="s">
        <v>75</v>
      </c>
      <c r="N98" s="6" t="str">
        <f aca="false">_xlfn.CONCAT("\x", DEC2HEX(D98+44, 2), "\x", H98, "=", M98)</f>
        <v>\x2C\x91=観</v>
      </c>
    </row>
    <row r="99" customFormat="false" ht="14.15" hidden="false" customHeight="false" outlineLevel="0" collapsed="false">
      <c r="A99" s="6" t="str">
        <f aca="false">DEC2HEX(ROW()-1, 2) &amp; "=0x" &amp; DEC2HEX(ROW()-1, 2) &amp; ", "</f>
        <v>62=0x62, </v>
      </c>
      <c r="C99" s="6" t="n">
        <f aca="false">MOD(ROW()-1, 208)</f>
        <v>98</v>
      </c>
      <c r="D99" s="6" t="n">
        <f aca="false">INT((ROW()-1)/208)</f>
        <v>0</v>
      </c>
      <c r="F99" s="6" t="str">
        <f aca="false">MID(VLOOKUP(D99,$P$1:$Q$13,2,0), 1 + C99,1)</f>
        <v>괘</v>
      </c>
      <c r="G99" s="6" t="str">
        <f aca="false">DEC2HEX(D99+36, 2)</f>
        <v>24</v>
      </c>
      <c r="H99" s="6" t="str">
        <f aca="false">DEC2HEX(C99+48,2)</f>
        <v>92</v>
      </c>
      <c r="I99" s="6" t="str">
        <f aca="false">_xlfn.CONCAT("\x", G99, "\x", H99, "=", F99)</f>
        <v>\x24\x92=괘</v>
      </c>
      <c r="K99" s="6" t="str">
        <f aca="false">_xlfn.CONCAT("\x", H99, "=", MID($Q$16, HEX2DEC(H99)-47, 1))</f>
        <v>\x92=ぴ</v>
      </c>
      <c r="M99" s="7" t="s">
        <v>76</v>
      </c>
      <c r="N99" s="6" t="str">
        <f aca="false">_xlfn.CONCAT("\x", DEC2HEX(D99+44, 2), "\x", H99, "=", M99)</f>
        <v>\x2C\x92=貫</v>
      </c>
    </row>
    <row r="100" customFormat="false" ht="14.15" hidden="false" customHeight="false" outlineLevel="0" collapsed="false">
      <c r="A100" s="6" t="str">
        <f aca="false">DEC2HEX(ROW()-1, 2) &amp; "=0x" &amp; DEC2HEX(ROW()-1, 2) &amp; ", "</f>
        <v>63=0x63, </v>
      </c>
      <c r="C100" s="6" t="n">
        <f aca="false">MOD(ROW()-1, 208)</f>
        <v>99</v>
      </c>
      <c r="D100" s="6" t="n">
        <f aca="false">INT((ROW()-1)/208)</f>
        <v>0</v>
      </c>
      <c r="F100" s="6" t="str">
        <f aca="false">MID(VLOOKUP(D100,$P$1:$Q$13,2,0), 1 + C100,1)</f>
        <v>괜</v>
      </c>
      <c r="G100" s="6" t="str">
        <f aca="false">DEC2HEX(D100+36, 2)</f>
        <v>24</v>
      </c>
      <c r="H100" s="6" t="str">
        <f aca="false">DEC2HEX(C100+48,2)</f>
        <v>93</v>
      </c>
      <c r="I100" s="6" t="str">
        <f aca="false">_xlfn.CONCAT("\x", G100, "\x", H100, "=", F100)</f>
        <v>\x24\x93=괜</v>
      </c>
      <c r="K100" s="6" t="str">
        <f aca="false">_xlfn.CONCAT("\x", H100, "=", MID($Q$16, HEX2DEC(H100)-47, 1))</f>
        <v>\x93=ふ</v>
      </c>
      <c r="M100" s="7" t="s">
        <v>77</v>
      </c>
      <c r="N100" s="6" t="str">
        <f aca="false">_xlfn.CONCAT("\x", DEC2HEX(D100+44, 2), "\x", H100, "=", M100)</f>
        <v>\x2C\x93=間</v>
      </c>
    </row>
    <row r="101" customFormat="false" ht="14.15" hidden="false" customHeight="false" outlineLevel="0" collapsed="false">
      <c r="A101" s="6" t="str">
        <f aca="false">DEC2HEX(ROW()-1, 2) &amp; "=0x" &amp; DEC2HEX(ROW()-1, 2) &amp; ", "</f>
        <v>64=0x64, </v>
      </c>
      <c r="C101" s="6" t="n">
        <f aca="false">MOD(ROW()-1, 208)</f>
        <v>100</v>
      </c>
      <c r="D101" s="6" t="n">
        <f aca="false">INT((ROW()-1)/208)</f>
        <v>0</v>
      </c>
      <c r="F101" s="6" t="str">
        <f aca="false">MID(VLOOKUP(D101,$P$1:$Q$13,2,0), 1 + C101,1)</f>
        <v>괠</v>
      </c>
      <c r="G101" s="6" t="str">
        <f aca="false">DEC2HEX(D101+36, 2)</f>
        <v>24</v>
      </c>
      <c r="H101" s="6" t="str">
        <f aca="false">DEC2HEX(C101+48,2)</f>
        <v>94</v>
      </c>
      <c r="I101" s="6" t="str">
        <f aca="false">_xlfn.CONCAT("\x", G101, "\x", H101, "=", F101)</f>
        <v>\x24\x94=괠</v>
      </c>
      <c r="K101" s="6" t="str">
        <f aca="false">_xlfn.CONCAT("\x", H101, "=", MID($Q$16, HEX2DEC(H101)-47, 1))</f>
        <v>\x94=ぶ</v>
      </c>
      <c r="M101" s="7" t="s">
        <v>78</v>
      </c>
      <c r="N101" s="6" t="str">
        <f aca="false">_xlfn.CONCAT("\x", DEC2HEX(D101+44, 2), "\x", H101, "=", M101)</f>
        <v>\x2C\x94=岸</v>
      </c>
    </row>
    <row r="102" customFormat="false" ht="14.15" hidden="false" customHeight="false" outlineLevel="0" collapsed="false">
      <c r="A102" s="6" t="str">
        <f aca="false">DEC2HEX(ROW()-1, 2) &amp; "=0x" &amp; DEC2HEX(ROW()-1, 2) &amp; ", "</f>
        <v>65=0x65, </v>
      </c>
      <c r="C102" s="6" t="n">
        <f aca="false">MOD(ROW()-1, 208)</f>
        <v>101</v>
      </c>
      <c r="D102" s="6" t="n">
        <f aca="false">INT((ROW()-1)/208)</f>
        <v>0</v>
      </c>
      <c r="F102" s="6" t="str">
        <f aca="false">MID(VLOOKUP(D102,$P$1:$Q$13,2,0), 1 + C102,1)</f>
        <v>괩</v>
      </c>
      <c r="G102" s="6" t="str">
        <f aca="false">DEC2HEX(D102+36, 2)</f>
        <v>24</v>
      </c>
      <c r="H102" s="6" t="str">
        <f aca="false">DEC2HEX(C102+48,2)</f>
        <v>95</v>
      </c>
      <c r="I102" s="6" t="str">
        <f aca="false">_xlfn.CONCAT("\x", G102, "\x", H102, "=", F102)</f>
        <v>\x24\x95=괩</v>
      </c>
      <c r="K102" s="6" t="str">
        <f aca="false">_xlfn.CONCAT("\x", H102, "=", MID($Q$16, HEX2DEC(H102)-47, 1))</f>
        <v>\x95=ぷ</v>
      </c>
      <c r="M102" s="7" t="s">
        <v>79</v>
      </c>
      <c r="N102" s="6" t="str">
        <f aca="false">_xlfn.CONCAT("\x", DEC2HEX(D102+44, 2), "\x", H102, "=", M102)</f>
        <v>\x2C\x95=岩</v>
      </c>
    </row>
    <row r="103" customFormat="false" ht="14.15" hidden="false" customHeight="false" outlineLevel="0" collapsed="false">
      <c r="A103" s="6" t="str">
        <f aca="false">DEC2HEX(ROW()-1, 2) &amp; "=0x" &amp; DEC2HEX(ROW()-1, 2) &amp; ", "</f>
        <v>66=0x66, </v>
      </c>
      <c r="C103" s="6" t="n">
        <f aca="false">MOD(ROW()-1, 208)</f>
        <v>102</v>
      </c>
      <c r="D103" s="6" t="n">
        <f aca="false">INT((ROW()-1)/208)</f>
        <v>0</v>
      </c>
      <c r="F103" s="6" t="str">
        <f aca="false">MID(VLOOKUP(D103,$P$1:$Q$13,2,0), 1 + C103,1)</f>
        <v>괬</v>
      </c>
      <c r="G103" s="6" t="str">
        <f aca="false">DEC2HEX(D103+36, 2)</f>
        <v>24</v>
      </c>
      <c r="H103" s="6" t="str">
        <f aca="false">DEC2HEX(C103+48,2)</f>
        <v>96</v>
      </c>
      <c r="I103" s="6" t="str">
        <f aca="false">_xlfn.CONCAT("\x", G103, "\x", H103, "=", F103)</f>
        <v>\x24\x96=괬</v>
      </c>
      <c r="K103" s="6" t="str">
        <f aca="false">_xlfn.CONCAT("\x", H103, "=", MID($Q$16, HEX2DEC(H103)-47, 1))</f>
        <v>\x96=へ</v>
      </c>
      <c r="M103" s="7" t="s">
        <v>80</v>
      </c>
      <c r="N103" s="6" t="str">
        <f aca="false">_xlfn.CONCAT("\x", DEC2HEX(D103+44, 2), "\x", H103, "=", M103)</f>
        <v>\x2C\x96=器</v>
      </c>
    </row>
    <row r="104" customFormat="false" ht="14.15" hidden="false" customHeight="false" outlineLevel="0" collapsed="false">
      <c r="A104" s="6" t="str">
        <f aca="false">DEC2HEX(ROW()-1, 2) &amp; "=0x" &amp; DEC2HEX(ROW()-1, 2) &amp; ", "</f>
        <v>67=0x67, </v>
      </c>
      <c r="C104" s="6" t="n">
        <f aca="false">MOD(ROW()-1, 208)</f>
        <v>103</v>
      </c>
      <c r="D104" s="6" t="n">
        <f aca="false">INT((ROW()-1)/208)</f>
        <v>0</v>
      </c>
      <c r="F104" s="6" t="str">
        <f aca="false">MID(VLOOKUP(D104,$P$1:$Q$13,2,0), 1 + C104,1)</f>
        <v>괭</v>
      </c>
      <c r="G104" s="6" t="str">
        <f aca="false">DEC2HEX(D104+36, 2)</f>
        <v>24</v>
      </c>
      <c r="H104" s="6" t="str">
        <f aca="false">DEC2HEX(C104+48,2)</f>
        <v>97</v>
      </c>
      <c r="I104" s="6" t="str">
        <f aca="false">_xlfn.CONCAT("\x", G104, "\x", H104, "=", F104)</f>
        <v>\x24\x97=괭</v>
      </c>
      <c r="K104" s="6" t="str">
        <f aca="false">_xlfn.CONCAT("\x", H104, "=", MID($Q$16, HEX2DEC(H104)-47, 1))</f>
        <v>\x97=べ</v>
      </c>
      <c r="M104" s="7" t="s">
        <v>81</v>
      </c>
      <c r="N104" s="6" t="str">
        <f aca="false">_xlfn.CONCAT("\x", DEC2HEX(D104+44, 2), "\x", H104, "=", M104)</f>
        <v>\x2C\x97=岐</v>
      </c>
    </row>
    <row r="105" customFormat="false" ht="14.15" hidden="false" customHeight="false" outlineLevel="0" collapsed="false">
      <c r="A105" s="6" t="str">
        <f aca="false">DEC2HEX(ROW()-1, 2) &amp; "=0x" &amp; DEC2HEX(ROW()-1, 2) &amp; ", "</f>
        <v>68=0x68, </v>
      </c>
      <c r="C105" s="6" t="n">
        <f aca="false">MOD(ROW()-1, 208)</f>
        <v>104</v>
      </c>
      <c r="D105" s="6" t="n">
        <f aca="false">INT((ROW()-1)/208)</f>
        <v>0</v>
      </c>
      <c r="F105" s="6" t="str">
        <f aca="false">MID(VLOOKUP(D105,$P$1:$Q$13,2,0), 1 + C105,1)</f>
        <v>괴</v>
      </c>
      <c r="G105" s="6" t="str">
        <f aca="false">DEC2HEX(D105+36, 2)</f>
        <v>24</v>
      </c>
      <c r="H105" s="6" t="str">
        <f aca="false">DEC2HEX(C105+48,2)</f>
        <v>98</v>
      </c>
      <c r="I105" s="6" t="str">
        <f aca="false">_xlfn.CONCAT("\x", G105, "\x", H105, "=", F105)</f>
        <v>\x24\x98=괴</v>
      </c>
      <c r="K105" s="6" t="str">
        <f aca="false">_xlfn.CONCAT("\x", H105, "=", MID($Q$16, HEX2DEC(H105)-47, 1))</f>
        <v>\x98=ぺ</v>
      </c>
      <c r="M105" s="7" t="s">
        <v>82</v>
      </c>
      <c r="N105" s="6" t="str">
        <f aca="false">_xlfn.CONCAT("\x", DEC2HEX(D105+44, 2), "\x", H105, "=", M105)</f>
        <v>\x2C\x98=期</v>
      </c>
    </row>
    <row r="106" customFormat="false" ht="14.15" hidden="false" customHeight="false" outlineLevel="0" collapsed="false">
      <c r="A106" s="6" t="str">
        <f aca="false">DEC2HEX(ROW()-1, 2) &amp; "=0x" &amp; DEC2HEX(ROW()-1, 2) &amp; ", "</f>
        <v>69=0x69, </v>
      </c>
      <c r="C106" s="6" t="n">
        <f aca="false">MOD(ROW()-1, 208)</f>
        <v>105</v>
      </c>
      <c r="D106" s="6" t="n">
        <f aca="false">INT((ROW()-1)/208)</f>
        <v>0</v>
      </c>
      <c r="F106" s="6" t="str">
        <f aca="false">MID(VLOOKUP(D106,$P$1:$Q$13,2,0), 1 + C106,1)</f>
        <v>괵</v>
      </c>
      <c r="G106" s="6" t="str">
        <f aca="false">DEC2HEX(D106+36, 2)</f>
        <v>24</v>
      </c>
      <c r="H106" s="6" t="str">
        <f aca="false">DEC2HEX(C106+48,2)</f>
        <v>99</v>
      </c>
      <c r="I106" s="6" t="str">
        <f aca="false">_xlfn.CONCAT("\x", G106, "\x", H106, "=", F106)</f>
        <v>\x24\x99=괵</v>
      </c>
      <c r="K106" s="6" t="str">
        <f aca="false">_xlfn.CONCAT("\x", H106, "=", MID($Q$16, HEX2DEC(H106)-47, 1))</f>
        <v>\x99=ほ</v>
      </c>
      <c r="M106" s="7" t="s">
        <v>83</v>
      </c>
      <c r="N106" s="6" t="str">
        <f aca="false">_xlfn.CONCAT("\x", DEC2HEX(D106+44, 2), "\x", H106, "=", M106)</f>
        <v>\x2C\x99=機</v>
      </c>
    </row>
    <row r="107" customFormat="false" ht="14.15" hidden="false" customHeight="false" outlineLevel="0" collapsed="false">
      <c r="A107" s="6" t="str">
        <f aca="false">DEC2HEX(ROW()-1, 2) &amp; "=0x" &amp; DEC2HEX(ROW()-1, 2) &amp; ", "</f>
        <v>6A=0x6A, </v>
      </c>
      <c r="C107" s="6" t="n">
        <f aca="false">MOD(ROW()-1, 208)</f>
        <v>106</v>
      </c>
      <c r="D107" s="6" t="n">
        <f aca="false">INT((ROW()-1)/208)</f>
        <v>0</v>
      </c>
      <c r="F107" s="6" t="str">
        <f aca="false">MID(VLOOKUP(D107,$P$1:$Q$13,2,0), 1 + C107,1)</f>
        <v>괸</v>
      </c>
      <c r="G107" s="6" t="str">
        <f aca="false">DEC2HEX(D107+36, 2)</f>
        <v>24</v>
      </c>
      <c r="H107" s="6" t="str">
        <f aca="false">DEC2HEX(C107+48,2)</f>
        <v>9A</v>
      </c>
      <c r="I107" s="6" t="str">
        <f aca="false">_xlfn.CONCAT("\x", G107, "\x", H107, "=", F107)</f>
        <v>\x24\x9A=괸</v>
      </c>
      <c r="K107" s="6" t="str">
        <f aca="false">_xlfn.CONCAT("\x", H107, "=", MID($Q$16, HEX2DEC(H107)-47, 1))</f>
        <v>\x9A=ぼ</v>
      </c>
      <c r="M107" s="7" t="s">
        <v>84</v>
      </c>
      <c r="N107" s="6" t="str">
        <f aca="false">_xlfn.CONCAT("\x", DEC2HEX(D107+44, 2), "\x", H107, "=", M107)</f>
        <v>\x2C\x9A=気</v>
      </c>
    </row>
    <row r="108" customFormat="false" ht="14.15" hidden="false" customHeight="false" outlineLevel="0" collapsed="false">
      <c r="A108" s="6" t="str">
        <f aca="false">DEC2HEX(ROW()-1, 2) &amp; "=0x" &amp; DEC2HEX(ROW()-1, 2) &amp; ", "</f>
        <v>6B=0x6B, </v>
      </c>
      <c r="C108" s="6" t="n">
        <f aca="false">MOD(ROW()-1, 208)</f>
        <v>107</v>
      </c>
      <c r="D108" s="6" t="n">
        <f aca="false">INT((ROW()-1)/208)</f>
        <v>0</v>
      </c>
      <c r="F108" s="6" t="str">
        <f aca="false">MID(VLOOKUP(D108,$P$1:$Q$13,2,0), 1 + C108,1)</f>
        <v>괼</v>
      </c>
      <c r="G108" s="6" t="str">
        <f aca="false">DEC2HEX(D108+36, 2)</f>
        <v>24</v>
      </c>
      <c r="H108" s="6" t="str">
        <f aca="false">DEC2HEX(C108+48,2)</f>
        <v>9B</v>
      </c>
      <c r="I108" s="6" t="str">
        <f aca="false">_xlfn.CONCAT("\x", G108, "\x", H108, "=", F108)</f>
        <v>\x24\x9B=괼</v>
      </c>
      <c r="K108" s="6" t="str">
        <f aca="false">_xlfn.CONCAT("\x", H108, "=", MID($Q$16, HEX2DEC(H108)-47, 1))</f>
        <v>\x9B=ぽ</v>
      </c>
      <c r="M108" s="7" t="s">
        <v>85</v>
      </c>
      <c r="N108" s="6" t="str">
        <f aca="false">_xlfn.CONCAT("\x", DEC2HEX(D108+44, 2), "\x", H108, "=", M108)</f>
        <v>\x2C\x9B=祈</v>
      </c>
    </row>
    <row r="109" customFormat="false" ht="14.15" hidden="false" customHeight="false" outlineLevel="0" collapsed="false">
      <c r="A109" s="6" t="str">
        <f aca="false">DEC2HEX(ROW()-1, 2) &amp; "=0x" &amp; DEC2HEX(ROW()-1, 2) &amp; ", "</f>
        <v>6C=0x6C, </v>
      </c>
      <c r="C109" s="6" t="n">
        <f aca="false">MOD(ROW()-1, 208)</f>
        <v>108</v>
      </c>
      <c r="D109" s="6" t="n">
        <f aca="false">INT((ROW()-1)/208)</f>
        <v>0</v>
      </c>
      <c r="F109" s="6" t="str">
        <f aca="false">MID(VLOOKUP(D109,$P$1:$Q$13,2,0), 1 + C109,1)</f>
        <v>굄</v>
      </c>
      <c r="G109" s="6" t="str">
        <f aca="false">DEC2HEX(D109+36, 2)</f>
        <v>24</v>
      </c>
      <c r="H109" s="6" t="str">
        <f aca="false">DEC2HEX(C109+48,2)</f>
        <v>9C</v>
      </c>
      <c r="I109" s="6" t="str">
        <f aca="false">_xlfn.CONCAT("\x", G109, "\x", H109, "=", F109)</f>
        <v>\x24\x9C=굄</v>
      </c>
      <c r="K109" s="6" t="str">
        <f aca="false">_xlfn.CONCAT("\x", H109, "=", MID($Q$16, HEX2DEC(H109)-47, 1))</f>
        <v>\x9C=ま</v>
      </c>
      <c r="M109" s="7" t="s">
        <v>86</v>
      </c>
      <c r="N109" s="6" t="str">
        <f aca="false">_xlfn.CONCAT("\x", DEC2HEX(D109+44, 2), "\x", H109, "=", M109)</f>
        <v>\x2C\x9C=記</v>
      </c>
    </row>
    <row r="110" customFormat="false" ht="14.15" hidden="false" customHeight="false" outlineLevel="0" collapsed="false">
      <c r="A110" s="6" t="str">
        <f aca="false">DEC2HEX(ROW()-1, 2) &amp; "=0x" &amp; DEC2HEX(ROW()-1, 2) &amp; ", "</f>
        <v>6D=0x6D, </v>
      </c>
      <c r="C110" s="6" t="n">
        <f aca="false">MOD(ROW()-1, 208)</f>
        <v>109</v>
      </c>
      <c r="D110" s="6" t="n">
        <f aca="false">INT((ROW()-1)/208)</f>
        <v>0</v>
      </c>
      <c r="F110" s="6" t="str">
        <f aca="false">MID(VLOOKUP(D110,$P$1:$Q$13,2,0), 1 + C110,1)</f>
        <v>굅</v>
      </c>
      <c r="G110" s="6" t="str">
        <f aca="false">DEC2HEX(D110+36, 2)</f>
        <v>24</v>
      </c>
      <c r="H110" s="6" t="str">
        <f aca="false">DEC2HEX(C110+48,2)</f>
        <v>9D</v>
      </c>
      <c r="I110" s="6" t="str">
        <f aca="false">_xlfn.CONCAT("\x", G110, "\x", H110, "=", F110)</f>
        <v>\x24\x9D=굅</v>
      </c>
      <c r="K110" s="6" t="str">
        <f aca="false">_xlfn.CONCAT("\x", H110, "=", MID($Q$16, HEX2DEC(H110)-47, 1))</f>
        <v>\x9D=み</v>
      </c>
      <c r="M110" s="7" t="s">
        <v>87</v>
      </c>
      <c r="N110" s="6" t="str">
        <f aca="false">_xlfn.CONCAT("\x", DEC2HEX(D110+44, 2), "\x", H110, "=", M110)</f>
        <v>\x2C\x9D=騎</v>
      </c>
    </row>
    <row r="111" customFormat="false" ht="14.15" hidden="false" customHeight="false" outlineLevel="0" collapsed="false">
      <c r="A111" s="6" t="str">
        <f aca="false">DEC2HEX(ROW()-1, 2) &amp; "=0x" &amp; DEC2HEX(ROW()-1, 2) &amp; ", "</f>
        <v>6E=0x6E, </v>
      </c>
      <c r="C111" s="6" t="n">
        <f aca="false">MOD(ROW()-1, 208)</f>
        <v>110</v>
      </c>
      <c r="D111" s="6" t="n">
        <f aca="false">INT((ROW()-1)/208)</f>
        <v>0</v>
      </c>
      <c r="F111" s="6" t="str">
        <f aca="false">MID(VLOOKUP(D111,$P$1:$Q$13,2,0), 1 + C111,1)</f>
        <v>굇</v>
      </c>
      <c r="G111" s="6" t="str">
        <f aca="false">DEC2HEX(D111+36, 2)</f>
        <v>24</v>
      </c>
      <c r="H111" s="6" t="str">
        <f aca="false">DEC2HEX(C111+48,2)</f>
        <v>9E</v>
      </c>
      <c r="I111" s="6" t="str">
        <f aca="false">_xlfn.CONCAT("\x", G111, "\x", H111, "=", F111)</f>
        <v>\x24\x9E=굇</v>
      </c>
      <c r="K111" s="6" t="str">
        <f aca="false">_xlfn.CONCAT("\x", H111, "=", MID($Q$16, HEX2DEC(H111)-47, 1))</f>
        <v>\x9E=む</v>
      </c>
      <c r="M111" s="7" t="s">
        <v>88</v>
      </c>
      <c r="N111" s="6" t="str">
        <f aca="false">_xlfn.CONCAT("\x", DEC2HEX(D111+44, 2), "\x", H111, "=", M111)</f>
        <v>\x2C\x9E=技</v>
      </c>
    </row>
    <row r="112" customFormat="false" ht="14.15" hidden="false" customHeight="false" outlineLevel="0" collapsed="false">
      <c r="A112" s="6" t="str">
        <f aca="false">DEC2HEX(ROW()-1, 2) &amp; "=0x" &amp; DEC2HEX(ROW()-1, 2) &amp; ", "</f>
        <v>6F=0x6F, </v>
      </c>
      <c r="C112" s="6" t="n">
        <f aca="false">MOD(ROW()-1, 208)</f>
        <v>111</v>
      </c>
      <c r="D112" s="6" t="n">
        <f aca="false">INT((ROW()-1)/208)</f>
        <v>0</v>
      </c>
      <c r="F112" s="6" t="str">
        <f aca="false">MID(VLOOKUP(D112,$P$1:$Q$13,2,0), 1 + C112,1)</f>
        <v>굉</v>
      </c>
      <c r="G112" s="6" t="str">
        <f aca="false">DEC2HEX(D112+36, 2)</f>
        <v>24</v>
      </c>
      <c r="H112" s="6" t="str">
        <f aca="false">DEC2HEX(C112+48,2)</f>
        <v>9F</v>
      </c>
      <c r="I112" s="6" t="str">
        <f aca="false">_xlfn.CONCAT("\x", G112, "\x", H112, "=", F112)</f>
        <v>\x24\x9F=굉</v>
      </c>
      <c r="K112" s="6" t="str">
        <f aca="false">_xlfn.CONCAT("\x", H112, "=", MID($Q$16, HEX2DEC(H112)-47, 1))</f>
        <v>\x9F=め</v>
      </c>
      <c r="M112" s="7" t="s">
        <v>89</v>
      </c>
      <c r="N112" s="6" t="str">
        <f aca="false">_xlfn.CONCAT("\x", DEC2HEX(D112+44, 2), "\x", H112, "=", M112)</f>
        <v>\x2C\x9F=議</v>
      </c>
    </row>
    <row r="113" customFormat="false" ht="14.15" hidden="false" customHeight="false" outlineLevel="0" collapsed="false">
      <c r="A113" s="6" t="str">
        <f aca="false">DEC2HEX(ROW()-1, 2) &amp; "=0x" &amp; DEC2HEX(ROW()-1, 2) &amp; ", "</f>
        <v>70=0x70, </v>
      </c>
      <c r="C113" s="6" t="n">
        <f aca="false">MOD(ROW()-1, 208)</f>
        <v>112</v>
      </c>
      <c r="D113" s="6" t="n">
        <f aca="false">INT((ROW()-1)/208)</f>
        <v>0</v>
      </c>
      <c r="F113" s="6" t="str">
        <f aca="false">MID(VLOOKUP(D113,$P$1:$Q$13,2,0), 1 + C113,1)</f>
        <v>교</v>
      </c>
      <c r="G113" s="6" t="str">
        <f aca="false">DEC2HEX(D113+36, 2)</f>
        <v>24</v>
      </c>
      <c r="H113" s="6" t="str">
        <f aca="false">DEC2HEX(C113+48,2)</f>
        <v>A0</v>
      </c>
      <c r="I113" s="6" t="str">
        <f aca="false">_xlfn.CONCAT("\x", G113, "\x", H113, "=", F113)</f>
        <v>\x24\xA0=교</v>
      </c>
      <c r="K113" s="6" t="str">
        <f aca="false">_xlfn.CONCAT("\x", H113, "=", MID($Q$16, HEX2DEC(H113)-47, 1))</f>
        <v>\xA0=も</v>
      </c>
      <c r="M113" s="7" t="s">
        <v>90</v>
      </c>
      <c r="N113" s="6" t="str">
        <f aca="false">_xlfn.CONCAT("\x", DEC2HEX(D113+44, 2), "\x", H113, "=", M113)</f>
        <v>\x2C\xA0=客</v>
      </c>
    </row>
    <row r="114" customFormat="false" ht="14.15" hidden="false" customHeight="false" outlineLevel="0" collapsed="false">
      <c r="A114" s="6" t="str">
        <f aca="false">DEC2HEX(ROW()-1, 2) &amp; "=0x" &amp; DEC2HEX(ROW()-1, 2) &amp; ", "</f>
        <v>71=0x71, </v>
      </c>
      <c r="C114" s="6" t="n">
        <f aca="false">MOD(ROW()-1, 208)</f>
        <v>113</v>
      </c>
      <c r="D114" s="6" t="n">
        <f aca="false">INT((ROW()-1)/208)</f>
        <v>0</v>
      </c>
      <c r="F114" s="6" t="str">
        <f aca="false">MID(VLOOKUP(D114,$P$1:$Q$13,2,0), 1 + C114,1)</f>
        <v>굔</v>
      </c>
      <c r="G114" s="6" t="str">
        <f aca="false">DEC2HEX(D114+36, 2)</f>
        <v>24</v>
      </c>
      <c r="H114" s="6" t="str">
        <f aca="false">DEC2HEX(C114+48,2)</f>
        <v>A1</v>
      </c>
      <c r="I114" s="6" t="str">
        <f aca="false">_xlfn.CONCAT("\x", G114, "\x", H114, "=", F114)</f>
        <v>\x24\xA1=굔</v>
      </c>
      <c r="K114" s="6" t="str">
        <f aca="false">_xlfn.CONCAT("\x", H114, "=", MID($Q$16, HEX2DEC(H114)-47, 1))</f>
        <v>\xA1=ゃ</v>
      </c>
      <c r="M114" s="7" t="s">
        <v>91</v>
      </c>
      <c r="N114" s="6" t="str">
        <f aca="false">_xlfn.CONCAT("\x", DEC2HEX(D114+44, 2), "\x", H114, "=", M114)</f>
        <v>\x2C\xA1=吸</v>
      </c>
    </row>
    <row r="115" customFormat="false" ht="14.15" hidden="false" customHeight="false" outlineLevel="0" collapsed="false">
      <c r="A115" s="6" t="str">
        <f aca="false">DEC2HEX(ROW()-1, 2) &amp; "=0x" &amp; DEC2HEX(ROW()-1, 2) &amp; ", "</f>
        <v>72=0x72, </v>
      </c>
      <c r="C115" s="6" t="n">
        <f aca="false">MOD(ROW()-1, 208)</f>
        <v>114</v>
      </c>
      <c r="D115" s="6" t="n">
        <f aca="false">INT((ROW()-1)/208)</f>
        <v>0</v>
      </c>
      <c r="F115" s="6" t="str">
        <f aca="false">MID(VLOOKUP(D115,$P$1:$Q$13,2,0), 1 + C115,1)</f>
        <v>굘</v>
      </c>
      <c r="G115" s="6" t="str">
        <f aca="false">DEC2HEX(D115+36, 2)</f>
        <v>24</v>
      </c>
      <c r="H115" s="6" t="str">
        <f aca="false">DEC2HEX(C115+48,2)</f>
        <v>A2</v>
      </c>
      <c r="I115" s="6" t="str">
        <f aca="false">_xlfn.CONCAT("\x", G115, "\x", H115, "=", F115)</f>
        <v>\x24\xA2=굘</v>
      </c>
      <c r="K115" s="6" t="str">
        <f aca="false">_xlfn.CONCAT("\x", H115, "=", MID($Q$16, HEX2DEC(H115)-47, 1))</f>
        <v>\xA2=や</v>
      </c>
      <c r="M115" s="7" t="s">
        <v>92</v>
      </c>
      <c r="N115" s="6" t="str">
        <f aca="false">_xlfn.CONCAT("\x", DEC2HEX(D115+44, 2), "\x", H115, "=", M115)</f>
        <v>\x2C\xA2=宮</v>
      </c>
    </row>
    <row r="116" customFormat="false" ht="14.15" hidden="false" customHeight="false" outlineLevel="0" collapsed="false">
      <c r="A116" s="6" t="str">
        <f aca="false">DEC2HEX(ROW()-1, 2) &amp; "=0x" &amp; DEC2HEX(ROW()-1, 2) &amp; ", "</f>
        <v>73=0x73, </v>
      </c>
      <c r="C116" s="6" t="n">
        <f aca="false">MOD(ROW()-1, 208)</f>
        <v>115</v>
      </c>
      <c r="D116" s="6" t="n">
        <f aca="false">INT((ROW()-1)/208)</f>
        <v>0</v>
      </c>
      <c r="F116" s="6" t="str">
        <f aca="false">MID(VLOOKUP(D116,$P$1:$Q$13,2,0), 1 + C116,1)</f>
        <v>굡</v>
      </c>
      <c r="G116" s="6" t="str">
        <f aca="false">DEC2HEX(D116+36, 2)</f>
        <v>24</v>
      </c>
      <c r="H116" s="6" t="str">
        <f aca="false">DEC2HEX(C116+48,2)</f>
        <v>A3</v>
      </c>
      <c r="I116" s="6" t="str">
        <f aca="false">_xlfn.CONCAT("\x", G116, "\x", H116, "=", F116)</f>
        <v>\x24\xA3=굡</v>
      </c>
      <c r="K116" s="6" t="str">
        <f aca="false">_xlfn.CONCAT("\x", H116, "=", MID($Q$16, HEX2DEC(H116)-47, 1))</f>
        <v>\xA3=ゅ</v>
      </c>
      <c r="M116" s="7" t="s">
        <v>93</v>
      </c>
      <c r="N116" s="6" t="str">
        <f aca="false">_xlfn.CONCAT("\x", DEC2HEX(D116+44, 2), "\x", H116, "=", M116)</f>
        <v>\x2C\xA3=給</v>
      </c>
    </row>
    <row r="117" customFormat="false" ht="14.15" hidden="false" customHeight="false" outlineLevel="0" collapsed="false">
      <c r="A117" s="6" t="str">
        <f aca="false">DEC2HEX(ROW()-1, 2) &amp; "=0x" &amp; DEC2HEX(ROW()-1, 2) &amp; ", "</f>
        <v>74=0x74, </v>
      </c>
      <c r="C117" s="6" t="n">
        <f aca="false">MOD(ROW()-1, 208)</f>
        <v>116</v>
      </c>
      <c r="D117" s="6" t="n">
        <f aca="false">INT((ROW()-1)/208)</f>
        <v>0</v>
      </c>
      <c r="F117" s="6" t="str">
        <f aca="false">MID(VLOOKUP(D117,$P$1:$Q$13,2,0), 1 + C117,1)</f>
        <v>굣</v>
      </c>
      <c r="G117" s="6" t="str">
        <f aca="false">DEC2HEX(D117+36, 2)</f>
        <v>24</v>
      </c>
      <c r="H117" s="6" t="str">
        <f aca="false">DEC2HEX(C117+48,2)</f>
        <v>A4</v>
      </c>
      <c r="I117" s="6" t="str">
        <f aca="false">_xlfn.CONCAT("\x", G117, "\x", H117, "=", F117)</f>
        <v>\x24\xA4=굣</v>
      </c>
      <c r="K117" s="6" t="str">
        <f aca="false">_xlfn.CONCAT("\x", H117, "=", MID($Q$16, HEX2DEC(H117)-47, 1))</f>
        <v>\xA4=ゆ</v>
      </c>
      <c r="M117" s="7" t="s">
        <v>94</v>
      </c>
      <c r="N117" s="6" t="str">
        <f aca="false">_xlfn.CONCAT("\x", DEC2HEX(D117+44, 2), "\x", H117, "=", M117)</f>
        <v>\x2C\xA4=旧</v>
      </c>
    </row>
    <row r="118" customFormat="false" ht="14.15" hidden="false" customHeight="false" outlineLevel="0" collapsed="false">
      <c r="A118" s="6" t="str">
        <f aca="false">DEC2HEX(ROW()-1, 2) &amp; "=0x" &amp; DEC2HEX(ROW()-1, 2) &amp; ", "</f>
        <v>75=0x75, </v>
      </c>
      <c r="C118" s="6" t="n">
        <f aca="false">MOD(ROW()-1, 208)</f>
        <v>117</v>
      </c>
      <c r="D118" s="6" t="n">
        <f aca="false">INT((ROW()-1)/208)</f>
        <v>0</v>
      </c>
      <c r="F118" s="6" t="str">
        <f aca="false">MID(VLOOKUP(D118,$P$1:$Q$13,2,0), 1 + C118,1)</f>
        <v>구</v>
      </c>
      <c r="G118" s="6" t="str">
        <f aca="false">DEC2HEX(D118+36, 2)</f>
        <v>24</v>
      </c>
      <c r="H118" s="6" t="str">
        <f aca="false">DEC2HEX(C118+48,2)</f>
        <v>A5</v>
      </c>
      <c r="I118" s="6" t="str">
        <f aca="false">_xlfn.CONCAT("\x", G118, "\x", H118, "=", F118)</f>
        <v>\x24\xA5=구</v>
      </c>
      <c r="K118" s="6" t="str">
        <f aca="false">_xlfn.CONCAT("\x", H118, "=", MID($Q$16, HEX2DEC(H118)-47, 1))</f>
        <v>\xA5=ょ</v>
      </c>
      <c r="M118" s="7" t="s">
        <v>95</v>
      </c>
      <c r="N118" s="6" t="str">
        <f aca="false">_xlfn.CONCAT("\x", DEC2HEX(D118+44, 2), "\x", H118, "=", M118)</f>
        <v>\x2C\xA5=居</v>
      </c>
    </row>
    <row r="119" customFormat="false" ht="14.15" hidden="false" customHeight="false" outlineLevel="0" collapsed="false">
      <c r="A119" s="6" t="str">
        <f aca="false">DEC2HEX(ROW()-1, 2) &amp; "=0x" &amp; DEC2HEX(ROW()-1, 2) &amp; ", "</f>
        <v>76=0x76, </v>
      </c>
      <c r="C119" s="6" t="n">
        <f aca="false">MOD(ROW()-1, 208)</f>
        <v>118</v>
      </c>
      <c r="D119" s="6" t="n">
        <f aca="false">INT((ROW()-1)/208)</f>
        <v>0</v>
      </c>
      <c r="F119" s="6" t="str">
        <f aca="false">MID(VLOOKUP(D119,$P$1:$Q$13,2,0), 1 + C119,1)</f>
        <v>국</v>
      </c>
      <c r="G119" s="6" t="str">
        <f aca="false">DEC2HEX(D119+36, 2)</f>
        <v>24</v>
      </c>
      <c r="H119" s="6" t="str">
        <f aca="false">DEC2HEX(C119+48,2)</f>
        <v>A6</v>
      </c>
      <c r="I119" s="6" t="str">
        <f aca="false">_xlfn.CONCAT("\x", G119, "\x", H119, "=", F119)</f>
        <v>\x24\xA6=국</v>
      </c>
      <c r="K119" s="6" t="str">
        <f aca="false">_xlfn.CONCAT("\x", H119, "=", MID($Q$16, HEX2DEC(H119)-47, 1))</f>
        <v>\xA6=よ</v>
      </c>
      <c r="M119" s="7" t="s">
        <v>96</v>
      </c>
      <c r="N119" s="6" t="str">
        <f aca="false">_xlfn.CONCAT("\x", DEC2HEX(D119+44, 2), "\x", H119, "=", M119)</f>
        <v>\x2C\xA6=巨</v>
      </c>
    </row>
    <row r="120" customFormat="false" ht="14.15" hidden="false" customHeight="false" outlineLevel="0" collapsed="false">
      <c r="A120" s="6" t="str">
        <f aca="false">DEC2HEX(ROW()-1, 2) &amp; "=0x" &amp; DEC2HEX(ROW()-1, 2) &amp; ", "</f>
        <v>77=0x77, </v>
      </c>
      <c r="C120" s="6" t="n">
        <f aca="false">MOD(ROW()-1, 208)</f>
        <v>119</v>
      </c>
      <c r="D120" s="6" t="n">
        <f aca="false">INT((ROW()-1)/208)</f>
        <v>0</v>
      </c>
      <c r="F120" s="6" t="str">
        <f aca="false">MID(VLOOKUP(D120,$P$1:$Q$13,2,0), 1 + C120,1)</f>
        <v>군</v>
      </c>
      <c r="G120" s="6" t="str">
        <f aca="false">DEC2HEX(D120+36, 2)</f>
        <v>24</v>
      </c>
      <c r="H120" s="6" t="str">
        <f aca="false">DEC2HEX(C120+48,2)</f>
        <v>A7</v>
      </c>
      <c r="I120" s="6" t="str">
        <f aca="false">_xlfn.CONCAT("\x", G120, "\x", H120, "=", F120)</f>
        <v>\x24\xA7=군</v>
      </c>
      <c r="K120" s="6" t="str">
        <f aca="false">_xlfn.CONCAT("\x", H120, "=", MID($Q$16, HEX2DEC(H120)-47, 1))</f>
        <v>\xA7=ら</v>
      </c>
      <c r="M120" s="7" t="s">
        <v>97</v>
      </c>
      <c r="N120" s="6" t="str">
        <f aca="false">_xlfn.CONCAT("\x", DEC2HEX(D120+44, 2), "\x", H120, "=", M120)</f>
        <v>\x2C\xA7=橋</v>
      </c>
    </row>
    <row r="121" customFormat="false" ht="14.15" hidden="false" customHeight="false" outlineLevel="0" collapsed="false">
      <c r="A121" s="6" t="str">
        <f aca="false">DEC2HEX(ROW()-1, 2) &amp; "=0x" &amp; DEC2HEX(ROW()-1, 2) &amp; ", "</f>
        <v>78=0x78, </v>
      </c>
      <c r="C121" s="6" t="n">
        <f aca="false">MOD(ROW()-1, 208)</f>
        <v>120</v>
      </c>
      <c r="D121" s="6" t="n">
        <f aca="false">INT((ROW()-1)/208)</f>
        <v>0</v>
      </c>
      <c r="F121" s="6" t="str">
        <f aca="false">MID(VLOOKUP(D121,$P$1:$Q$13,2,0), 1 + C121,1)</f>
        <v>굳</v>
      </c>
      <c r="G121" s="6" t="str">
        <f aca="false">DEC2HEX(D121+36, 2)</f>
        <v>24</v>
      </c>
      <c r="H121" s="6" t="str">
        <f aca="false">DEC2HEX(C121+48,2)</f>
        <v>A8</v>
      </c>
      <c r="I121" s="6" t="str">
        <f aca="false">_xlfn.CONCAT("\x", G121, "\x", H121, "=", F121)</f>
        <v>\x24\xA8=굳</v>
      </c>
      <c r="K121" s="6" t="str">
        <f aca="false">_xlfn.CONCAT("\x", H121, "=", MID($Q$16, HEX2DEC(H121)-47, 1))</f>
        <v>\xA8=り</v>
      </c>
      <c r="M121" s="7" t="s">
        <v>98</v>
      </c>
      <c r="N121" s="6" t="str">
        <f aca="false">_xlfn.CONCAT("\x", DEC2HEX(D121+44, 2), "\x", H121, "=", M121)</f>
        <v>\x2C\xA8=玉</v>
      </c>
    </row>
    <row r="122" customFormat="false" ht="14.15" hidden="false" customHeight="false" outlineLevel="0" collapsed="false">
      <c r="A122" s="6" t="str">
        <f aca="false">DEC2HEX(ROW()-1, 2) &amp; "=0x" &amp; DEC2HEX(ROW()-1, 2) &amp; ", "</f>
        <v>79=0x79, </v>
      </c>
      <c r="C122" s="6" t="n">
        <f aca="false">MOD(ROW()-1, 208)</f>
        <v>121</v>
      </c>
      <c r="D122" s="6" t="n">
        <f aca="false">INT((ROW()-1)/208)</f>
        <v>0</v>
      </c>
      <c r="F122" s="6" t="str">
        <f aca="false">MID(VLOOKUP(D122,$P$1:$Q$13,2,0), 1 + C122,1)</f>
        <v>굴</v>
      </c>
      <c r="G122" s="6" t="str">
        <f aca="false">DEC2HEX(D122+36, 2)</f>
        <v>24</v>
      </c>
      <c r="H122" s="6" t="str">
        <f aca="false">DEC2HEX(C122+48,2)</f>
        <v>A9</v>
      </c>
      <c r="I122" s="6" t="str">
        <f aca="false">_xlfn.CONCAT("\x", G122, "\x", H122, "=", F122)</f>
        <v>\x24\xA9=굴</v>
      </c>
      <c r="K122" s="6" t="str">
        <f aca="false">_xlfn.CONCAT("\x", H122, "=", MID($Q$16, HEX2DEC(H122)-47, 1))</f>
        <v>\xA9=る</v>
      </c>
      <c r="M122" s="7" t="s">
        <v>99</v>
      </c>
      <c r="N122" s="6" t="str">
        <f aca="false">_xlfn.CONCAT("\x", DEC2HEX(D122+44, 2), "\x", H122, "=", M122)</f>
        <v>\x2C\xA9=近</v>
      </c>
    </row>
    <row r="123" customFormat="false" ht="14.15" hidden="false" customHeight="false" outlineLevel="0" collapsed="false">
      <c r="A123" s="6" t="str">
        <f aca="false">DEC2HEX(ROW()-1, 2) &amp; "=0x" &amp; DEC2HEX(ROW()-1, 2) &amp; ", "</f>
        <v>7A=0x7A, </v>
      </c>
      <c r="C123" s="6" t="n">
        <f aca="false">MOD(ROW()-1, 208)</f>
        <v>122</v>
      </c>
      <c r="D123" s="6" t="n">
        <f aca="false">INT((ROW()-1)/208)</f>
        <v>0</v>
      </c>
      <c r="F123" s="6" t="str">
        <f aca="false">MID(VLOOKUP(D123,$P$1:$Q$13,2,0), 1 + C123,1)</f>
        <v>굵</v>
      </c>
      <c r="G123" s="6" t="str">
        <f aca="false">DEC2HEX(D123+36, 2)</f>
        <v>24</v>
      </c>
      <c r="H123" s="6" t="str">
        <f aca="false">DEC2HEX(C123+48,2)</f>
        <v>AA</v>
      </c>
      <c r="I123" s="6" t="str">
        <f aca="false">_xlfn.CONCAT("\x", G123, "\x", H123, "=", F123)</f>
        <v>\x24\xAA=굵</v>
      </c>
      <c r="K123" s="6" t="str">
        <f aca="false">_xlfn.CONCAT("\x", H123, "=", MID($Q$16, HEX2DEC(H123)-47, 1))</f>
        <v>\xAA=れ</v>
      </c>
      <c r="M123" s="7" t="s">
        <v>100</v>
      </c>
      <c r="N123" s="6" t="str">
        <f aca="false">_xlfn.CONCAT("\x", DEC2HEX(D123+44, 2), "\x", H123, "=", M123)</f>
        <v>\x2C\xAA=金</v>
      </c>
    </row>
    <row r="124" customFormat="false" ht="14.15" hidden="false" customHeight="false" outlineLevel="0" collapsed="false">
      <c r="A124" s="6" t="str">
        <f aca="false">DEC2HEX(ROW()-1, 2) &amp; "=0x" &amp; DEC2HEX(ROW()-1, 2) &amp; ", "</f>
        <v>7B=0x7B, </v>
      </c>
      <c r="C124" s="6" t="n">
        <f aca="false">MOD(ROW()-1, 208)</f>
        <v>123</v>
      </c>
      <c r="D124" s="6" t="n">
        <f aca="false">INT((ROW()-1)/208)</f>
        <v>0</v>
      </c>
      <c r="F124" s="6" t="str">
        <f aca="false">MID(VLOOKUP(D124,$P$1:$Q$13,2,0), 1 + C124,1)</f>
        <v>굶</v>
      </c>
      <c r="G124" s="6" t="str">
        <f aca="false">DEC2HEX(D124+36, 2)</f>
        <v>24</v>
      </c>
      <c r="H124" s="6" t="str">
        <f aca="false">DEC2HEX(C124+48,2)</f>
        <v>AB</v>
      </c>
      <c r="I124" s="6" t="str">
        <f aca="false">_xlfn.CONCAT("\x", G124, "\x", H124, "=", F124)</f>
        <v>\x24\xAB=굶</v>
      </c>
      <c r="K124" s="6" t="str">
        <f aca="false">_xlfn.CONCAT("\x", H124, "=", MID($Q$16, HEX2DEC(H124)-47, 1))</f>
        <v>\xAB=ろ</v>
      </c>
      <c r="M124" s="7" t="s">
        <v>101</v>
      </c>
      <c r="N124" s="6" t="str">
        <f aca="false">_xlfn.CONCAT("\x", DEC2HEX(D124+44, 2), "\x", H124, "=", M124)</f>
        <v>\x2C\xAB=具</v>
      </c>
    </row>
    <row r="125" customFormat="false" ht="14.15" hidden="false" customHeight="false" outlineLevel="0" collapsed="false">
      <c r="A125" s="6" t="str">
        <f aca="false">DEC2HEX(ROW()-1, 2) &amp; "=0x" &amp; DEC2HEX(ROW()-1, 2) &amp; ", "</f>
        <v>7C=0x7C, </v>
      </c>
      <c r="C125" s="6" t="n">
        <f aca="false">MOD(ROW()-1, 208)</f>
        <v>124</v>
      </c>
      <c r="D125" s="6" t="n">
        <f aca="false">INT((ROW()-1)/208)</f>
        <v>0</v>
      </c>
      <c r="F125" s="6" t="str">
        <f aca="false">MID(VLOOKUP(D125,$P$1:$Q$13,2,0), 1 + C125,1)</f>
        <v>굻</v>
      </c>
      <c r="G125" s="6" t="str">
        <f aca="false">DEC2HEX(D125+36, 2)</f>
        <v>24</v>
      </c>
      <c r="H125" s="6" t="str">
        <f aca="false">DEC2HEX(C125+48,2)</f>
        <v>AC</v>
      </c>
      <c r="I125" s="6" t="str">
        <f aca="false">_xlfn.CONCAT("\x", G125, "\x", H125, "=", F125)</f>
        <v>\x24\xAC=굻</v>
      </c>
      <c r="K125" s="6" t="str">
        <f aca="false">_xlfn.CONCAT("\x", H125, "=", MID($Q$16, HEX2DEC(H125)-47, 1))</f>
        <v>\xAC=わ</v>
      </c>
      <c r="M125" s="7" t="s">
        <v>102</v>
      </c>
      <c r="N125" s="6" t="str">
        <f aca="false">_xlfn.CONCAT("\x", DEC2HEX(D125+44, 2), "\x", H125, "=", M125)</f>
        <v>\x2C\xAC=空</v>
      </c>
    </row>
    <row r="126" customFormat="false" ht="14.15" hidden="false" customHeight="false" outlineLevel="0" collapsed="false">
      <c r="A126" s="6" t="str">
        <f aca="false">DEC2HEX(ROW()-1, 2) &amp; "=0x" &amp; DEC2HEX(ROW()-1, 2) &amp; ", "</f>
        <v>7D=0x7D, </v>
      </c>
      <c r="C126" s="6" t="n">
        <f aca="false">MOD(ROW()-1, 208)</f>
        <v>125</v>
      </c>
      <c r="D126" s="6" t="n">
        <f aca="false">INT((ROW()-1)/208)</f>
        <v>0</v>
      </c>
      <c r="F126" s="6" t="str">
        <f aca="false">MID(VLOOKUP(D126,$P$1:$Q$13,2,0), 1 + C126,1)</f>
        <v>굼</v>
      </c>
      <c r="G126" s="6" t="str">
        <f aca="false">DEC2HEX(D126+36, 2)</f>
        <v>24</v>
      </c>
      <c r="H126" s="6" t="str">
        <f aca="false">DEC2HEX(C126+48,2)</f>
        <v>AD</v>
      </c>
      <c r="I126" s="6" t="str">
        <f aca="false">_xlfn.CONCAT("\x", G126, "\x", H126, "=", F126)</f>
        <v>\x24\xAD=굼</v>
      </c>
      <c r="K126" s="6" t="str">
        <f aca="false">_xlfn.CONCAT("\x", H126, "=", MID($Q$16, HEX2DEC(H126)-47, 1))</f>
        <v>\xAD=を</v>
      </c>
      <c r="M126" s="7" t="s">
        <v>103</v>
      </c>
      <c r="N126" s="6" t="str">
        <f aca="false">_xlfn.CONCAT("\x", DEC2HEX(D126+44, 2), "\x", H126, "=", M126)</f>
        <v>\x2C\xAD=窟</v>
      </c>
    </row>
    <row r="127" customFormat="false" ht="14.15" hidden="false" customHeight="false" outlineLevel="0" collapsed="false">
      <c r="A127" s="6" t="str">
        <f aca="false">DEC2HEX(ROW()-1, 2) &amp; "=0x" &amp; DEC2HEX(ROW()-1, 2) &amp; ", "</f>
        <v>7E=0x7E, </v>
      </c>
      <c r="C127" s="6" t="n">
        <f aca="false">MOD(ROW()-1, 208)</f>
        <v>126</v>
      </c>
      <c r="D127" s="6" t="n">
        <f aca="false">INT((ROW()-1)/208)</f>
        <v>0</v>
      </c>
      <c r="F127" s="6" t="str">
        <f aca="false">MID(VLOOKUP(D127,$P$1:$Q$13,2,0), 1 + C127,1)</f>
        <v>굽</v>
      </c>
      <c r="G127" s="6" t="str">
        <f aca="false">DEC2HEX(D127+36, 2)</f>
        <v>24</v>
      </c>
      <c r="H127" s="6" t="str">
        <f aca="false">DEC2HEX(C127+48,2)</f>
        <v>AE</v>
      </c>
      <c r="I127" s="6" t="str">
        <f aca="false">_xlfn.CONCAT("\x", G127, "\x", H127, "=", F127)</f>
        <v>\x24\xAE=굽</v>
      </c>
      <c r="K127" s="6" t="str">
        <f aca="false">_xlfn.CONCAT("\x", H127, "=", MID($Q$16, HEX2DEC(H127)-47, 1))</f>
        <v>\xAE=ん</v>
      </c>
      <c r="M127" s="7" t="s">
        <v>104</v>
      </c>
      <c r="N127" s="6" t="str">
        <f aca="false">_xlfn.CONCAT("\x", DEC2HEX(D127+44, 2), "\x", H127, "=", M127)</f>
        <v>\x2C\xAE=型</v>
      </c>
    </row>
    <row r="128" customFormat="false" ht="14.15" hidden="false" customHeight="false" outlineLevel="0" collapsed="false">
      <c r="A128" s="6" t="str">
        <f aca="false">DEC2HEX(ROW()-1, 2) &amp; "=0x" &amp; DEC2HEX(ROW()-1, 2) &amp; ", "</f>
        <v>7F=0x7F, </v>
      </c>
      <c r="C128" s="6" t="n">
        <f aca="false">MOD(ROW()-1, 208)</f>
        <v>127</v>
      </c>
      <c r="D128" s="6" t="n">
        <f aca="false">INT((ROW()-1)/208)</f>
        <v>0</v>
      </c>
      <c r="F128" s="6" t="str">
        <f aca="false">MID(VLOOKUP(D128,$P$1:$Q$13,2,0), 1 + C128,1)</f>
        <v>굿</v>
      </c>
      <c r="G128" s="6" t="str">
        <f aca="false">DEC2HEX(D128+36, 2)</f>
        <v>24</v>
      </c>
      <c r="H128" s="6" t="str">
        <f aca="false">DEC2HEX(C128+48,2)</f>
        <v>AF</v>
      </c>
      <c r="I128" s="6" t="str">
        <f aca="false">_xlfn.CONCAT("\x", G128, "\x", H128, "=", F128)</f>
        <v>\x24\xAF=굿</v>
      </c>
      <c r="K128" s="6" t="str">
        <f aca="false">_xlfn.CONCAT("\x", H128, "=", MID($Q$16, HEX2DEC(H128)-47, 1))</f>
        <v>\xAF=ァ</v>
      </c>
      <c r="M128" s="7" t="s">
        <v>105</v>
      </c>
      <c r="N128" s="6" t="str">
        <f aca="false">_xlfn.CONCAT("\x", DEC2HEX(D128+44, 2), "\x", H128, "=", M128)</f>
        <v>\x2C\xAF=景</v>
      </c>
    </row>
    <row r="129" customFormat="false" ht="14.15" hidden="false" customHeight="false" outlineLevel="0" collapsed="false">
      <c r="A129" s="6" t="str">
        <f aca="false">DEC2HEX(ROW()-1, 2) &amp; "=0x" &amp; DEC2HEX(ROW()-1, 2) &amp; ", "</f>
        <v>80=0x80, </v>
      </c>
      <c r="C129" s="6" t="n">
        <f aca="false">MOD(ROW()-1, 208)</f>
        <v>128</v>
      </c>
      <c r="D129" s="6" t="n">
        <f aca="false">INT((ROW()-1)/208)</f>
        <v>0</v>
      </c>
      <c r="F129" s="6" t="str">
        <f aca="false">MID(VLOOKUP(D129,$P$1:$Q$13,2,0), 1 + C129,1)</f>
        <v>궁</v>
      </c>
      <c r="G129" s="6" t="str">
        <f aca="false">DEC2HEX(D129+36, 2)</f>
        <v>24</v>
      </c>
      <c r="H129" s="6" t="str">
        <f aca="false">DEC2HEX(C129+48,2)</f>
        <v>B0</v>
      </c>
      <c r="I129" s="6" t="str">
        <f aca="false">_xlfn.CONCAT("\x", G129, "\x", H129, "=", F129)</f>
        <v>\x24\xB0=궁</v>
      </c>
      <c r="K129" s="6" t="str">
        <f aca="false">_xlfn.CONCAT("\x", H129, "=", MID($Q$16, HEX2DEC(H129)-47, 1))</f>
        <v>\xB0=ア</v>
      </c>
      <c r="M129" s="7" t="s">
        <v>106</v>
      </c>
      <c r="N129" s="6" t="str">
        <f aca="false">_xlfn.CONCAT("\x", DEC2HEX(D129+44, 2), "\x", H129, "=", M129)</f>
        <v>\x2C\xB0=撃</v>
      </c>
    </row>
    <row r="130" customFormat="false" ht="14.15" hidden="false" customHeight="false" outlineLevel="0" collapsed="false">
      <c r="A130" s="6" t="str">
        <f aca="false">DEC2HEX(ROW()-1, 2) &amp; "=0x" &amp; DEC2HEX(ROW()-1, 2) &amp; ", "</f>
        <v>81=0x81, </v>
      </c>
      <c r="C130" s="6" t="n">
        <f aca="false">MOD(ROW()-1, 208)</f>
        <v>129</v>
      </c>
      <c r="D130" s="6" t="n">
        <f aca="false">INT((ROW()-1)/208)</f>
        <v>0</v>
      </c>
      <c r="F130" s="6" t="str">
        <f aca="false">MID(VLOOKUP(D130,$P$1:$Q$13,2,0), 1 + C130,1)</f>
        <v>궂</v>
      </c>
      <c r="G130" s="6" t="str">
        <f aca="false">DEC2HEX(D130+36, 2)</f>
        <v>24</v>
      </c>
      <c r="H130" s="6" t="str">
        <f aca="false">DEC2HEX(C130+48,2)</f>
        <v>B1</v>
      </c>
      <c r="I130" s="6" t="str">
        <f aca="false">_xlfn.CONCAT("\x", G130, "\x", H130, "=", F130)</f>
        <v>\x24\xB1=궂</v>
      </c>
      <c r="K130" s="6" t="str">
        <f aca="false">_xlfn.CONCAT("\x", H130, "=", MID($Q$16, HEX2DEC(H130)-47, 1))</f>
        <v>\xB1=ィ</v>
      </c>
      <c r="M130" s="7" t="s">
        <v>107</v>
      </c>
      <c r="N130" s="6" t="str">
        <f aca="false">_xlfn.CONCAT("\x", DEC2HEX(D130+44, 2), "\x", H130, "=", M130)</f>
        <v>\x2C\xB1=決</v>
      </c>
    </row>
    <row r="131" customFormat="false" ht="14.15" hidden="false" customHeight="false" outlineLevel="0" collapsed="false">
      <c r="A131" s="6" t="str">
        <f aca="false">DEC2HEX(ROW()-1, 2) &amp; "=0x" &amp; DEC2HEX(ROW()-1, 2) &amp; ", "</f>
        <v>82=0x82, </v>
      </c>
      <c r="C131" s="6" t="n">
        <f aca="false">MOD(ROW()-1, 208)</f>
        <v>130</v>
      </c>
      <c r="D131" s="6" t="n">
        <f aca="false">INT((ROW()-1)/208)</f>
        <v>0</v>
      </c>
      <c r="F131" s="6" t="str">
        <f aca="false">MID(VLOOKUP(D131,$P$1:$Q$13,2,0), 1 + C131,1)</f>
        <v>궈</v>
      </c>
      <c r="G131" s="6" t="str">
        <f aca="false">DEC2HEX(D131+36, 2)</f>
        <v>24</v>
      </c>
      <c r="H131" s="6" t="str">
        <f aca="false">DEC2HEX(C131+48,2)</f>
        <v>B2</v>
      </c>
      <c r="I131" s="6" t="str">
        <f aca="false">_xlfn.CONCAT("\x", G131, "\x", H131, "=", F131)</f>
        <v>\x24\xB2=궈</v>
      </c>
      <c r="K131" s="6" t="str">
        <f aca="false">_xlfn.CONCAT("\x", H131, "=", MID($Q$16, HEX2DEC(H131)-47, 1))</f>
        <v>\xB2=イ</v>
      </c>
      <c r="M131" s="7" t="s">
        <v>108</v>
      </c>
      <c r="N131" s="6" t="str">
        <f aca="false">_xlfn.CONCAT("\x", DEC2HEX(D131+44, 2), "\x", H131, "=", M131)</f>
        <v>\x2C\xB2=剣</v>
      </c>
    </row>
    <row r="132" customFormat="false" ht="14.15" hidden="false" customHeight="false" outlineLevel="0" collapsed="false">
      <c r="A132" s="6" t="str">
        <f aca="false">DEC2HEX(ROW()-1, 2) &amp; "=0x" &amp; DEC2HEX(ROW()-1, 2) &amp; ", "</f>
        <v>83=0x83, </v>
      </c>
      <c r="C132" s="6" t="n">
        <f aca="false">MOD(ROW()-1, 208)</f>
        <v>131</v>
      </c>
      <c r="D132" s="6" t="n">
        <f aca="false">INT((ROW()-1)/208)</f>
        <v>0</v>
      </c>
      <c r="F132" s="6" t="str">
        <f aca="false">MID(VLOOKUP(D132,$P$1:$Q$13,2,0), 1 + C132,1)</f>
        <v>궉</v>
      </c>
      <c r="G132" s="6" t="str">
        <f aca="false">DEC2HEX(D132+36, 2)</f>
        <v>24</v>
      </c>
      <c r="H132" s="6" t="str">
        <f aca="false">DEC2HEX(C132+48,2)</f>
        <v>B3</v>
      </c>
      <c r="I132" s="6" t="str">
        <f aca="false">_xlfn.CONCAT("\x", G132, "\x", H132, "=", F132)</f>
        <v>\x24\xB3=궉</v>
      </c>
      <c r="K132" s="6" t="str">
        <f aca="false">_xlfn.CONCAT("\x", H132, "=", MID($Q$16, HEX2DEC(H132)-47, 1))</f>
        <v>\xB3=ゥ</v>
      </c>
      <c r="M132" s="7" t="s">
        <v>109</v>
      </c>
      <c r="N132" s="6" t="str">
        <f aca="false">_xlfn.CONCAT("\x", DEC2HEX(D132+44, 2), "\x", H132, "=", M132)</f>
        <v>\x2C\xB3=見</v>
      </c>
    </row>
    <row r="133" customFormat="false" ht="14.15" hidden="false" customHeight="false" outlineLevel="0" collapsed="false">
      <c r="A133" s="6" t="str">
        <f aca="false">DEC2HEX(ROW()-1, 2) &amp; "=0x" &amp; DEC2HEX(ROW()-1, 2) &amp; ", "</f>
        <v>84=0x84, </v>
      </c>
      <c r="C133" s="6" t="n">
        <f aca="false">MOD(ROW()-1, 208)</f>
        <v>132</v>
      </c>
      <c r="D133" s="6" t="n">
        <f aca="false">INT((ROW()-1)/208)</f>
        <v>0</v>
      </c>
      <c r="F133" s="6" t="str">
        <f aca="false">MID(VLOOKUP(D133,$P$1:$Q$13,2,0), 1 + C133,1)</f>
        <v>권</v>
      </c>
      <c r="G133" s="6" t="str">
        <f aca="false">DEC2HEX(D133+36, 2)</f>
        <v>24</v>
      </c>
      <c r="H133" s="6" t="str">
        <f aca="false">DEC2HEX(C133+48,2)</f>
        <v>B4</v>
      </c>
      <c r="I133" s="6" t="str">
        <f aca="false">_xlfn.CONCAT("\x", G133, "\x", H133, "=", F133)</f>
        <v>\x24\xB4=권</v>
      </c>
      <c r="K133" s="6" t="str">
        <f aca="false">_xlfn.CONCAT("\x", H133, "=", MID($Q$16, HEX2DEC(H133)-47, 1))</f>
        <v>\xB4=ウ</v>
      </c>
      <c r="M133" s="7" t="s">
        <v>110</v>
      </c>
      <c r="N133" s="6" t="str">
        <f aca="false">_xlfn.CONCAT("\x", DEC2HEX(D133+44, 2), "\x", H133, "=", M133)</f>
        <v>\x2C\xB4=元</v>
      </c>
    </row>
    <row r="134" customFormat="false" ht="14.15" hidden="false" customHeight="false" outlineLevel="0" collapsed="false">
      <c r="A134" s="6" t="str">
        <f aca="false">DEC2HEX(ROW()-1, 2) &amp; "=0x" &amp; DEC2HEX(ROW()-1, 2) &amp; ", "</f>
        <v>85=0x85, </v>
      </c>
      <c r="C134" s="6" t="n">
        <f aca="false">MOD(ROW()-1, 208)</f>
        <v>133</v>
      </c>
      <c r="D134" s="6" t="n">
        <f aca="false">INT((ROW()-1)/208)</f>
        <v>0</v>
      </c>
      <c r="F134" s="6" t="str">
        <f aca="false">MID(VLOOKUP(D134,$P$1:$Q$13,2,0), 1 + C134,1)</f>
        <v>궐</v>
      </c>
      <c r="G134" s="6" t="str">
        <f aca="false">DEC2HEX(D134+36, 2)</f>
        <v>24</v>
      </c>
      <c r="H134" s="6" t="str">
        <f aca="false">DEC2HEX(C134+48,2)</f>
        <v>B5</v>
      </c>
      <c r="I134" s="6" t="str">
        <f aca="false">_xlfn.CONCAT("\x", G134, "\x", H134, "=", F134)</f>
        <v>\x24\xB5=궐</v>
      </c>
      <c r="K134" s="6" t="str">
        <f aca="false">_xlfn.CONCAT("\x", H134, "=", MID($Q$16, HEX2DEC(H134)-47, 1))</f>
        <v>\xB5=ェ</v>
      </c>
      <c r="M134" s="7" t="s">
        <v>111</v>
      </c>
      <c r="N134" s="6" t="str">
        <f aca="false">_xlfn.CONCAT("\x", DEC2HEX(D134+44, 2), "\x", H134, "=", M134)</f>
        <v>\x2C\xB5=原</v>
      </c>
    </row>
    <row r="135" customFormat="false" ht="14.15" hidden="false" customHeight="false" outlineLevel="0" collapsed="false">
      <c r="A135" s="6" t="str">
        <f aca="false">DEC2HEX(ROW()-1, 2) &amp; "=0x" &amp; DEC2HEX(ROW()-1, 2) &amp; ", "</f>
        <v>86=0x86, </v>
      </c>
      <c r="C135" s="6" t="n">
        <f aca="false">MOD(ROW()-1, 208)</f>
        <v>134</v>
      </c>
      <c r="D135" s="6" t="n">
        <f aca="false">INT((ROW()-1)/208)</f>
        <v>0</v>
      </c>
      <c r="F135" s="6" t="str">
        <f aca="false">MID(VLOOKUP(D135,$P$1:$Q$13,2,0), 1 + C135,1)</f>
        <v>궜</v>
      </c>
      <c r="G135" s="6" t="str">
        <f aca="false">DEC2HEX(D135+36, 2)</f>
        <v>24</v>
      </c>
      <c r="H135" s="6" t="str">
        <f aca="false">DEC2HEX(C135+48,2)</f>
        <v>B6</v>
      </c>
      <c r="I135" s="6" t="str">
        <f aca="false">_xlfn.CONCAT("\x", G135, "\x", H135, "=", F135)</f>
        <v>\x24\xB6=궜</v>
      </c>
      <c r="K135" s="6" t="str">
        <f aca="false">_xlfn.CONCAT("\x", H135, "=", MID($Q$16, HEX2DEC(H135)-47, 1))</f>
        <v>\xB6=エ</v>
      </c>
      <c r="M135" s="7" t="s">
        <v>112</v>
      </c>
      <c r="N135" s="6" t="str">
        <f aca="false">_xlfn.CONCAT("\x", DEC2HEX(D135+44, 2), "\x", H135, "=", M135)</f>
        <v>\x2C\xB6=幻</v>
      </c>
    </row>
    <row r="136" customFormat="false" ht="14.15" hidden="false" customHeight="false" outlineLevel="0" collapsed="false">
      <c r="A136" s="6" t="str">
        <f aca="false">DEC2HEX(ROW()-1, 2) &amp; "=0x" &amp; DEC2HEX(ROW()-1, 2) &amp; ", "</f>
        <v>87=0x87, </v>
      </c>
      <c r="C136" s="6" t="n">
        <f aca="false">MOD(ROW()-1, 208)</f>
        <v>135</v>
      </c>
      <c r="D136" s="6" t="n">
        <f aca="false">INT((ROW()-1)/208)</f>
        <v>0</v>
      </c>
      <c r="F136" s="6" t="str">
        <f aca="false">MID(VLOOKUP(D136,$P$1:$Q$13,2,0), 1 + C136,1)</f>
        <v>궝</v>
      </c>
      <c r="G136" s="6" t="str">
        <f aca="false">DEC2HEX(D136+36, 2)</f>
        <v>24</v>
      </c>
      <c r="H136" s="6" t="str">
        <f aca="false">DEC2HEX(C136+48,2)</f>
        <v>B7</v>
      </c>
      <c r="I136" s="6" t="str">
        <f aca="false">_xlfn.CONCAT("\x", G136, "\x", H136, "=", F136)</f>
        <v>\x24\xB7=궝</v>
      </c>
      <c r="K136" s="6" t="str">
        <f aca="false">_xlfn.CONCAT("\x", H136, "=", MID($Q$16, HEX2DEC(H136)-47, 1))</f>
        <v>\xB7=ォ</v>
      </c>
      <c r="M136" s="7" t="s">
        <v>113</v>
      </c>
      <c r="N136" s="6" t="str">
        <f aca="false">_xlfn.CONCAT("\x", DEC2HEX(D136+44, 2), "\x", H136, "=", M136)</f>
        <v>\x2C\xB7=減</v>
      </c>
    </row>
    <row r="137" customFormat="false" ht="14.15" hidden="false" customHeight="false" outlineLevel="0" collapsed="false">
      <c r="A137" s="6" t="str">
        <f aca="false">DEC2HEX(ROW()-1, 2) &amp; "=0x" &amp; DEC2HEX(ROW()-1, 2) &amp; ", "</f>
        <v>88=0x88, </v>
      </c>
      <c r="C137" s="6" t="n">
        <f aca="false">MOD(ROW()-1, 208)</f>
        <v>136</v>
      </c>
      <c r="D137" s="6" t="n">
        <f aca="false">INT((ROW()-1)/208)</f>
        <v>0</v>
      </c>
      <c r="F137" s="6" t="str">
        <f aca="false">MID(VLOOKUP(D137,$P$1:$Q$13,2,0), 1 + C137,1)</f>
        <v>궤</v>
      </c>
      <c r="G137" s="6" t="str">
        <f aca="false">DEC2HEX(D137+36, 2)</f>
        <v>24</v>
      </c>
      <c r="H137" s="6" t="str">
        <f aca="false">DEC2HEX(C137+48,2)</f>
        <v>B8</v>
      </c>
      <c r="I137" s="6" t="str">
        <f aca="false">_xlfn.CONCAT("\x", G137, "\x", H137, "=", F137)</f>
        <v>\x24\xB8=궤</v>
      </c>
      <c r="K137" s="6" t="str">
        <f aca="false">_xlfn.CONCAT("\x", H137, "=", MID($Q$16, HEX2DEC(H137)-47, 1))</f>
        <v>\xB8=オ</v>
      </c>
      <c r="M137" s="7" t="s">
        <v>114</v>
      </c>
      <c r="N137" s="6" t="str">
        <f aca="false">_xlfn.CONCAT("\x", DEC2HEX(D137+44, 2), "\x", H137, "=", M137)</f>
        <v>\x2C\xB8=現</v>
      </c>
    </row>
    <row r="138" customFormat="false" ht="14.15" hidden="false" customHeight="false" outlineLevel="0" collapsed="false">
      <c r="A138" s="6" t="str">
        <f aca="false">DEC2HEX(ROW()-1, 2) &amp; "=0x" &amp; DEC2HEX(ROW()-1, 2) &amp; ", "</f>
        <v>89=0x89, </v>
      </c>
      <c r="C138" s="6" t="n">
        <f aca="false">MOD(ROW()-1, 208)</f>
        <v>137</v>
      </c>
      <c r="D138" s="6" t="n">
        <f aca="false">INT((ROW()-1)/208)</f>
        <v>0</v>
      </c>
      <c r="F138" s="6" t="str">
        <f aca="false">MID(VLOOKUP(D138,$P$1:$Q$13,2,0), 1 + C138,1)</f>
        <v>궷</v>
      </c>
      <c r="G138" s="6" t="str">
        <f aca="false">DEC2HEX(D138+36, 2)</f>
        <v>24</v>
      </c>
      <c r="H138" s="6" t="str">
        <f aca="false">DEC2HEX(C138+48,2)</f>
        <v>B9</v>
      </c>
      <c r="I138" s="6" t="str">
        <f aca="false">_xlfn.CONCAT("\x", G138, "\x", H138, "=", F138)</f>
        <v>\x24\xB9=궷</v>
      </c>
      <c r="K138" s="6" t="str">
        <f aca="false">_xlfn.CONCAT("\x", H138, "=", MID($Q$16, HEX2DEC(H138)-47, 1))</f>
        <v>\xB9=カ</v>
      </c>
      <c r="M138" s="7" t="s">
        <v>115</v>
      </c>
      <c r="N138" s="6" t="str">
        <f aca="false">_xlfn.CONCAT("\x", DEC2HEX(D138+44, 2), "\x", H138, "=", M138)</f>
        <v>\x2C\xB9=個</v>
      </c>
    </row>
    <row r="139" customFormat="false" ht="14.15" hidden="false" customHeight="false" outlineLevel="0" collapsed="false">
      <c r="A139" s="6" t="str">
        <f aca="false">DEC2HEX(ROW()-1, 2) &amp; "=0x" &amp; DEC2HEX(ROW()-1, 2) &amp; ", "</f>
        <v>8A=0x8A, </v>
      </c>
      <c r="C139" s="6" t="n">
        <f aca="false">MOD(ROW()-1, 208)</f>
        <v>138</v>
      </c>
      <c r="D139" s="6" t="n">
        <f aca="false">INT((ROW()-1)/208)</f>
        <v>0</v>
      </c>
      <c r="F139" s="6" t="str">
        <f aca="false">MID(VLOOKUP(D139,$P$1:$Q$13,2,0), 1 + C139,1)</f>
        <v>귀</v>
      </c>
      <c r="G139" s="6" t="str">
        <f aca="false">DEC2HEX(D139+36, 2)</f>
        <v>24</v>
      </c>
      <c r="H139" s="6" t="str">
        <f aca="false">DEC2HEX(C139+48,2)</f>
        <v>BA</v>
      </c>
      <c r="I139" s="6" t="str">
        <f aca="false">_xlfn.CONCAT("\x", G139, "\x", H139, "=", F139)</f>
        <v>\x24\xBA=귀</v>
      </c>
      <c r="K139" s="6" t="str">
        <f aca="false">_xlfn.CONCAT("\x", H139, "=", MID($Q$16, HEX2DEC(H139)-47, 1))</f>
        <v>\xBA=ガ</v>
      </c>
      <c r="M139" s="7" t="s">
        <v>116</v>
      </c>
      <c r="N139" s="6" t="str">
        <f aca="false">_xlfn.CONCAT("\x", DEC2HEX(D139+44, 2), "\x", H139, "=", M139)</f>
        <v>\x2C\xBA=古</v>
      </c>
    </row>
    <row r="140" customFormat="false" ht="14.15" hidden="false" customHeight="false" outlineLevel="0" collapsed="false">
      <c r="A140" s="6" t="str">
        <f aca="false">DEC2HEX(ROW()-1, 2) &amp; "=0x" &amp; DEC2HEX(ROW()-1, 2) &amp; ", "</f>
        <v>8B=0x8B, </v>
      </c>
      <c r="C140" s="6" t="n">
        <f aca="false">MOD(ROW()-1, 208)</f>
        <v>139</v>
      </c>
      <c r="D140" s="6" t="n">
        <f aca="false">INT((ROW()-1)/208)</f>
        <v>0</v>
      </c>
      <c r="F140" s="6" t="str">
        <f aca="false">MID(VLOOKUP(D140,$P$1:$Q$13,2,0), 1 + C140,1)</f>
        <v>귁</v>
      </c>
      <c r="G140" s="6" t="str">
        <f aca="false">DEC2HEX(D140+36, 2)</f>
        <v>24</v>
      </c>
      <c r="H140" s="6" t="str">
        <f aca="false">DEC2HEX(C140+48,2)</f>
        <v>BB</v>
      </c>
      <c r="I140" s="6" t="str">
        <f aca="false">_xlfn.CONCAT("\x", G140, "\x", H140, "=", F140)</f>
        <v>\x24\xBB=귁</v>
      </c>
      <c r="K140" s="6" t="str">
        <f aca="false">_xlfn.CONCAT("\x", H140, "=", MID($Q$16, HEX2DEC(H140)-47, 1))</f>
        <v>\xBB=キ</v>
      </c>
      <c r="M140" s="7" t="s">
        <v>117</v>
      </c>
      <c r="N140" s="6" t="str">
        <f aca="false">_xlfn.CONCAT("\x", DEC2HEX(D140+44, 2), "\x", H140, "=", M140)</f>
        <v>\x2C\xBB=庫</v>
      </c>
    </row>
    <row r="141" customFormat="false" ht="14.15" hidden="false" customHeight="false" outlineLevel="0" collapsed="false">
      <c r="A141" s="6" t="str">
        <f aca="false">DEC2HEX(ROW()-1, 2) &amp; "=0x" &amp; DEC2HEX(ROW()-1, 2) &amp; ", "</f>
        <v>8C=0x8C, </v>
      </c>
      <c r="C141" s="6" t="n">
        <f aca="false">MOD(ROW()-1, 208)</f>
        <v>140</v>
      </c>
      <c r="D141" s="6" t="n">
        <f aca="false">INT((ROW()-1)/208)</f>
        <v>0</v>
      </c>
      <c r="F141" s="6" t="str">
        <f aca="false">MID(VLOOKUP(D141,$P$1:$Q$13,2,0), 1 + C141,1)</f>
        <v>귄</v>
      </c>
      <c r="G141" s="6" t="str">
        <f aca="false">DEC2HEX(D141+36, 2)</f>
        <v>24</v>
      </c>
      <c r="H141" s="6" t="str">
        <f aca="false">DEC2HEX(C141+48,2)</f>
        <v>BC</v>
      </c>
      <c r="I141" s="6" t="str">
        <f aca="false">_xlfn.CONCAT("\x", G141, "\x", H141, "=", F141)</f>
        <v>\x24\xBC=귄</v>
      </c>
      <c r="K141" s="6" t="str">
        <f aca="false">_xlfn.CONCAT("\x", H141, "=", MID($Q$16, HEX2DEC(H141)-47, 1))</f>
        <v>\xBC=ギ</v>
      </c>
      <c r="M141" s="7" t="s">
        <v>118</v>
      </c>
      <c r="N141" s="6" t="str">
        <f aca="false">_xlfn.CONCAT("\x", DEC2HEX(D141+44, 2), "\x", H141, "=", M141)</f>
        <v>\x2C\xBC=枯</v>
      </c>
    </row>
    <row r="142" customFormat="false" ht="14.15" hidden="false" customHeight="false" outlineLevel="0" collapsed="false">
      <c r="A142" s="6" t="str">
        <f aca="false">DEC2HEX(ROW()-1, 2) &amp; "=0x" &amp; DEC2HEX(ROW()-1, 2) &amp; ", "</f>
        <v>8D=0x8D, </v>
      </c>
      <c r="C142" s="6" t="n">
        <f aca="false">MOD(ROW()-1, 208)</f>
        <v>141</v>
      </c>
      <c r="D142" s="6" t="n">
        <f aca="false">INT((ROW()-1)/208)</f>
        <v>0</v>
      </c>
      <c r="F142" s="6" t="str">
        <f aca="false">MID(VLOOKUP(D142,$P$1:$Q$13,2,0), 1 + C142,1)</f>
        <v>귈</v>
      </c>
      <c r="G142" s="6" t="str">
        <f aca="false">DEC2HEX(D142+36, 2)</f>
        <v>24</v>
      </c>
      <c r="H142" s="6" t="str">
        <f aca="false">DEC2HEX(C142+48,2)</f>
        <v>BD</v>
      </c>
      <c r="I142" s="6" t="str">
        <f aca="false">_xlfn.CONCAT("\x", G142, "\x", H142, "=", F142)</f>
        <v>\x24\xBD=귈</v>
      </c>
      <c r="K142" s="6" t="str">
        <f aca="false">_xlfn.CONCAT("\x", H142, "=", MID($Q$16, HEX2DEC(H142)-47, 1))</f>
        <v>\xBD=ク</v>
      </c>
      <c r="M142" s="7" t="s">
        <v>119</v>
      </c>
      <c r="N142" s="6" t="str">
        <f aca="false">_xlfn.CONCAT("\x", DEC2HEX(D142+44, 2), "\x", H142, "=", M142)</f>
        <v>\x2C\xBD=湖</v>
      </c>
    </row>
    <row r="143" customFormat="false" ht="14.15" hidden="false" customHeight="false" outlineLevel="0" collapsed="false">
      <c r="A143" s="6" t="str">
        <f aca="false">DEC2HEX(ROW()-1, 2) &amp; "=0x" &amp; DEC2HEX(ROW()-1, 2) &amp; ", "</f>
        <v>8E=0x8E, </v>
      </c>
      <c r="C143" s="6" t="n">
        <f aca="false">MOD(ROW()-1, 208)</f>
        <v>142</v>
      </c>
      <c r="D143" s="6" t="n">
        <f aca="false">INT((ROW()-1)/208)</f>
        <v>0</v>
      </c>
      <c r="F143" s="6" t="str">
        <f aca="false">MID(VLOOKUP(D143,$P$1:$Q$13,2,0), 1 + C143,1)</f>
        <v>귐</v>
      </c>
      <c r="G143" s="6" t="str">
        <f aca="false">DEC2HEX(D143+36, 2)</f>
        <v>24</v>
      </c>
      <c r="H143" s="6" t="str">
        <f aca="false">DEC2HEX(C143+48,2)</f>
        <v>BE</v>
      </c>
      <c r="I143" s="6" t="str">
        <f aca="false">_xlfn.CONCAT("\x", G143, "\x", H143, "=", F143)</f>
        <v>\x24\xBE=귐</v>
      </c>
      <c r="K143" s="6" t="str">
        <f aca="false">_xlfn.CONCAT("\x", H143, "=", MID($Q$16, HEX2DEC(H143)-47, 1))</f>
        <v>\xBE=グ</v>
      </c>
      <c r="M143" s="7" t="s">
        <v>120</v>
      </c>
      <c r="N143" s="6" t="str">
        <f aca="false">_xlfn.CONCAT("\x", DEC2HEX(D143+44, 2), "\x", H143, "=", M143)</f>
        <v>\x2C\xBE=後</v>
      </c>
    </row>
    <row r="144" customFormat="false" ht="14.15" hidden="false" customHeight="false" outlineLevel="0" collapsed="false">
      <c r="A144" s="6" t="str">
        <f aca="false">DEC2HEX(ROW()-1, 2) &amp; "=0x" &amp; DEC2HEX(ROW()-1, 2) &amp; ", "</f>
        <v>8F=0x8F, </v>
      </c>
      <c r="C144" s="6" t="n">
        <f aca="false">MOD(ROW()-1, 208)</f>
        <v>143</v>
      </c>
      <c r="D144" s="6" t="n">
        <f aca="false">INT((ROW()-1)/208)</f>
        <v>0</v>
      </c>
      <c r="F144" s="6" t="str">
        <f aca="false">MID(VLOOKUP(D144,$P$1:$Q$13,2,0), 1 + C144,1)</f>
        <v>귑</v>
      </c>
      <c r="G144" s="6" t="str">
        <f aca="false">DEC2HEX(D144+36, 2)</f>
        <v>24</v>
      </c>
      <c r="H144" s="6" t="str">
        <f aca="false">DEC2HEX(C144+48,2)</f>
        <v>BF</v>
      </c>
      <c r="I144" s="6" t="str">
        <f aca="false">_xlfn.CONCAT("\x", G144, "\x", H144, "=", F144)</f>
        <v>\x24\xBF=귑</v>
      </c>
      <c r="K144" s="6" t="str">
        <f aca="false">_xlfn.CONCAT("\x", H144, "=", MID($Q$16, HEX2DEC(H144)-47, 1))</f>
        <v>\xBF=ケ</v>
      </c>
      <c r="M144" s="7" t="s">
        <v>121</v>
      </c>
      <c r="N144" s="6" t="str">
        <f aca="false">_xlfn.CONCAT("\x", DEC2HEX(D144+44, 2), "\x", H144, "=", M144)</f>
        <v>\x2C\xBF=御</v>
      </c>
    </row>
    <row r="145" customFormat="false" ht="14.15" hidden="false" customHeight="false" outlineLevel="0" collapsed="false">
      <c r="A145" s="6" t="str">
        <f aca="false">DEC2HEX(ROW()-1, 2) &amp; "=0x" &amp; DEC2HEX(ROW()-1, 2) &amp; ", "</f>
        <v>90=0x90, </v>
      </c>
      <c r="C145" s="6" t="n">
        <f aca="false">MOD(ROW()-1, 208)</f>
        <v>144</v>
      </c>
      <c r="D145" s="6" t="n">
        <f aca="false">INT((ROW()-1)/208)</f>
        <v>0</v>
      </c>
      <c r="F145" s="6" t="str">
        <f aca="false">MID(VLOOKUP(D145,$P$1:$Q$13,2,0), 1 + C145,1)</f>
        <v>귓</v>
      </c>
      <c r="G145" s="6" t="str">
        <f aca="false">DEC2HEX(D145+36, 2)</f>
        <v>24</v>
      </c>
      <c r="H145" s="6" t="str">
        <f aca="false">DEC2HEX(C145+48,2)</f>
        <v>C0</v>
      </c>
      <c r="I145" s="6" t="str">
        <f aca="false">_xlfn.CONCAT("\x", G145, "\x", H145, "=", F145)</f>
        <v>\x24\xC0=귓</v>
      </c>
      <c r="K145" s="6" t="str">
        <f aca="false">_xlfn.CONCAT("\x", H145, "=", MID($Q$16, HEX2DEC(H145)-47, 1))</f>
        <v>\xC0=ゲ</v>
      </c>
      <c r="M145" s="7" t="s">
        <v>122</v>
      </c>
      <c r="N145" s="6" t="str">
        <f aca="false">_xlfn.CONCAT("\x", DEC2HEX(D145+44, 2), "\x", H145, "=", M145)</f>
        <v>\x2C\xC0=護</v>
      </c>
    </row>
    <row r="146" customFormat="false" ht="14.15" hidden="false" customHeight="false" outlineLevel="0" collapsed="false">
      <c r="A146" s="6" t="str">
        <f aca="false">DEC2HEX(ROW()-1, 2) &amp; "=0x" &amp; DEC2HEX(ROW()-1, 2) &amp; ", "</f>
        <v>91=0x91, </v>
      </c>
      <c r="C146" s="6" t="n">
        <f aca="false">MOD(ROW()-1, 208)</f>
        <v>145</v>
      </c>
      <c r="D146" s="6" t="n">
        <f aca="false">INT((ROW()-1)/208)</f>
        <v>0</v>
      </c>
      <c r="F146" s="6" t="str">
        <f aca="false">MID(VLOOKUP(D146,$P$1:$Q$13,2,0), 1 + C146,1)</f>
        <v>규</v>
      </c>
      <c r="G146" s="6" t="str">
        <f aca="false">DEC2HEX(D146+36, 2)</f>
        <v>24</v>
      </c>
      <c r="H146" s="6" t="str">
        <f aca="false">DEC2HEX(C146+48,2)</f>
        <v>C1</v>
      </c>
      <c r="I146" s="6" t="str">
        <f aca="false">_xlfn.CONCAT("\x", G146, "\x", H146, "=", F146)</f>
        <v>\x24\xC1=규</v>
      </c>
      <c r="K146" s="6" t="str">
        <f aca="false">_xlfn.CONCAT("\x", H146, "=", MID($Q$16, HEX2DEC(H146)-47, 1))</f>
        <v>\xC1=コ</v>
      </c>
      <c r="M146" s="7" t="s">
        <v>123</v>
      </c>
      <c r="N146" s="6" t="str">
        <f aca="false">_xlfn.CONCAT("\x", DEC2HEX(D146+44, 2), "\x", H146, "=", M146)</f>
        <v>\x2C\xC1=交</v>
      </c>
    </row>
    <row r="147" customFormat="false" ht="14.15" hidden="false" customHeight="false" outlineLevel="0" collapsed="false">
      <c r="A147" s="6" t="str">
        <f aca="false">DEC2HEX(ROW()-1, 2) &amp; "=0x" &amp; DEC2HEX(ROW()-1, 2) &amp; ", "</f>
        <v>92=0x92, </v>
      </c>
      <c r="C147" s="6" t="n">
        <f aca="false">MOD(ROW()-1, 208)</f>
        <v>146</v>
      </c>
      <c r="D147" s="6" t="n">
        <f aca="false">INT((ROW()-1)/208)</f>
        <v>0</v>
      </c>
      <c r="F147" s="6" t="str">
        <f aca="false">MID(VLOOKUP(D147,$P$1:$Q$13,2,0), 1 + C147,1)</f>
        <v>균</v>
      </c>
      <c r="G147" s="6" t="str">
        <f aca="false">DEC2HEX(D147+36, 2)</f>
        <v>24</v>
      </c>
      <c r="H147" s="6" t="str">
        <f aca="false">DEC2HEX(C147+48,2)</f>
        <v>C2</v>
      </c>
      <c r="I147" s="6" t="str">
        <f aca="false">_xlfn.CONCAT("\x", G147, "\x", H147, "=", F147)</f>
        <v>\x24\xC2=균</v>
      </c>
      <c r="K147" s="6" t="str">
        <f aca="false">_xlfn.CONCAT("\x", H147, "=", MID($Q$16, HEX2DEC(H147)-47, 1))</f>
        <v>\xC2=ゴ</v>
      </c>
      <c r="M147" s="7" t="s">
        <v>124</v>
      </c>
      <c r="N147" s="6" t="str">
        <f aca="false">_xlfn.CONCAT("\x", DEC2HEX(D147+44, 2), "\x", H147, "=", M147)</f>
        <v>\x2C\xC2=光</v>
      </c>
    </row>
    <row r="148" customFormat="false" ht="14.15" hidden="false" customHeight="false" outlineLevel="0" collapsed="false">
      <c r="A148" s="6" t="str">
        <f aca="false">DEC2HEX(ROW()-1, 2) &amp; "=0x" &amp; DEC2HEX(ROW()-1, 2) &amp; ", "</f>
        <v>93=0x93, </v>
      </c>
      <c r="C148" s="6" t="n">
        <f aca="false">MOD(ROW()-1, 208)</f>
        <v>147</v>
      </c>
      <c r="D148" s="6" t="n">
        <f aca="false">INT((ROW()-1)/208)</f>
        <v>0</v>
      </c>
      <c r="F148" s="6" t="str">
        <f aca="false">MID(VLOOKUP(D148,$P$1:$Q$13,2,0), 1 + C148,1)</f>
        <v>귤</v>
      </c>
      <c r="G148" s="6" t="str">
        <f aca="false">DEC2HEX(D148+36, 2)</f>
        <v>24</v>
      </c>
      <c r="H148" s="6" t="str">
        <f aca="false">DEC2HEX(C148+48,2)</f>
        <v>C3</v>
      </c>
      <c r="I148" s="6" t="str">
        <f aca="false">_xlfn.CONCAT("\x", G148, "\x", H148, "=", F148)</f>
        <v>\x24\xC3=귤</v>
      </c>
      <c r="K148" s="6" t="str">
        <f aca="false">_xlfn.CONCAT("\x", H148, "=", MID($Q$16, HEX2DEC(H148)-47, 1))</f>
        <v>\xC3=サ</v>
      </c>
      <c r="M148" s="7" t="s">
        <v>125</v>
      </c>
      <c r="N148" s="6" t="str">
        <f aca="false">_xlfn.CONCAT("\x", DEC2HEX(D148+44, 2), "\x", H148, "=", M148)</f>
        <v>\x2C\xC3=公</v>
      </c>
    </row>
    <row r="149" customFormat="false" ht="14.15" hidden="false" customHeight="false" outlineLevel="0" collapsed="false">
      <c r="A149" s="6" t="str">
        <f aca="false">DEC2HEX(ROW()-1, 2) &amp; "=0x" &amp; DEC2HEX(ROW()-1, 2) &amp; ", "</f>
        <v>94=0x94, </v>
      </c>
      <c r="C149" s="6" t="n">
        <f aca="false">MOD(ROW()-1, 208)</f>
        <v>148</v>
      </c>
      <c r="D149" s="6" t="n">
        <f aca="false">INT((ROW()-1)/208)</f>
        <v>0</v>
      </c>
      <c r="F149" s="6" t="str">
        <f aca="false">MID(VLOOKUP(D149,$P$1:$Q$13,2,0), 1 + C149,1)</f>
        <v>그</v>
      </c>
      <c r="G149" s="6" t="str">
        <f aca="false">DEC2HEX(D149+36, 2)</f>
        <v>24</v>
      </c>
      <c r="H149" s="6" t="str">
        <f aca="false">DEC2HEX(C149+48,2)</f>
        <v>C4</v>
      </c>
      <c r="I149" s="6" t="str">
        <f aca="false">_xlfn.CONCAT("\x", G149, "\x", H149, "=", F149)</f>
        <v>\x24\xC4=그</v>
      </c>
      <c r="K149" s="6" t="str">
        <f aca="false">_xlfn.CONCAT("\x", H149, "=", MID($Q$16, HEX2DEC(H149)-47, 1))</f>
        <v>\xC4=ザ</v>
      </c>
      <c r="M149" s="7" t="s">
        <v>126</v>
      </c>
      <c r="N149" s="6" t="str">
        <f aca="false">_xlfn.CONCAT("\x", DEC2HEX(D149+44, 2), "\x", H149, "=", M149)</f>
        <v>\x2C\xC4=効</v>
      </c>
    </row>
    <row r="150" customFormat="false" ht="14.15" hidden="false" customHeight="false" outlineLevel="0" collapsed="false">
      <c r="A150" s="6" t="str">
        <f aca="false">DEC2HEX(ROW()-1, 2) &amp; "=0x" &amp; DEC2HEX(ROW()-1, 2) &amp; ", "</f>
        <v>95=0x95, </v>
      </c>
      <c r="C150" s="6" t="n">
        <f aca="false">MOD(ROW()-1, 208)</f>
        <v>149</v>
      </c>
      <c r="D150" s="6" t="n">
        <f aca="false">INT((ROW()-1)/208)</f>
        <v>0</v>
      </c>
      <c r="F150" s="6" t="str">
        <f aca="false">MID(VLOOKUP(D150,$P$1:$Q$13,2,0), 1 + C150,1)</f>
        <v>극</v>
      </c>
      <c r="G150" s="6" t="str">
        <f aca="false">DEC2HEX(D150+36, 2)</f>
        <v>24</v>
      </c>
      <c r="H150" s="6" t="str">
        <f aca="false">DEC2HEX(C150+48,2)</f>
        <v>C5</v>
      </c>
      <c r="I150" s="6" t="str">
        <f aca="false">_xlfn.CONCAT("\x", G150, "\x", H150, "=", F150)</f>
        <v>\x24\xC5=극</v>
      </c>
      <c r="K150" s="6" t="str">
        <f aca="false">_xlfn.CONCAT("\x", H150, "=", MID($Q$16, HEX2DEC(H150)-47, 1))</f>
        <v>\xC5=シ</v>
      </c>
      <c r="M150" s="7" t="s">
        <v>127</v>
      </c>
      <c r="N150" s="6" t="str">
        <f aca="false">_xlfn.CONCAT("\x", DEC2HEX(D150+44, 2), "\x", H150, "=", M150)</f>
        <v>\x2C\xC5=口</v>
      </c>
    </row>
    <row r="151" customFormat="false" ht="14.15" hidden="false" customHeight="false" outlineLevel="0" collapsed="false">
      <c r="A151" s="6" t="str">
        <f aca="false">DEC2HEX(ROW()-1, 2) &amp; "=0x" &amp; DEC2HEX(ROW()-1, 2) &amp; ", "</f>
        <v>96=0x96, </v>
      </c>
      <c r="C151" s="6" t="n">
        <f aca="false">MOD(ROW()-1, 208)</f>
        <v>150</v>
      </c>
      <c r="D151" s="6" t="n">
        <f aca="false">INT((ROW()-1)/208)</f>
        <v>0</v>
      </c>
      <c r="F151" s="6" t="str">
        <f aca="false">MID(VLOOKUP(D151,$P$1:$Q$13,2,0), 1 + C151,1)</f>
        <v>근</v>
      </c>
      <c r="G151" s="6" t="str">
        <f aca="false">DEC2HEX(D151+36, 2)</f>
        <v>24</v>
      </c>
      <c r="H151" s="6" t="str">
        <f aca="false">DEC2HEX(C151+48,2)</f>
        <v>C6</v>
      </c>
      <c r="I151" s="6" t="str">
        <f aca="false">_xlfn.CONCAT("\x", G151, "\x", H151, "=", F151)</f>
        <v>\x24\xC6=근</v>
      </c>
      <c r="K151" s="6" t="str">
        <f aca="false">_xlfn.CONCAT("\x", H151, "=", MID($Q$16, HEX2DEC(H151)-47, 1))</f>
        <v>\xC6=ジ</v>
      </c>
      <c r="M151" s="7" t="s">
        <v>128</v>
      </c>
      <c r="N151" s="6" t="str">
        <f aca="false">_xlfn.CONCAT("\x", DEC2HEX(D151+44, 2), "\x", H151, "=", M151)</f>
        <v>\x2C\xC6=幸</v>
      </c>
    </row>
    <row r="152" customFormat="false" ht="14.15" hidden="false" customHeight="false" outlineLevel="0" collapsed="false">
      <c r="A152" s="6" t="str">
        <f aca="false">DEC2HEX(ROW()-1, 2) &amp; "=0x" &amp; DEC2HEX(ROW()-1, 2) &amp; ", "</f>
        <v>97=0x97, </v>
      </c>
      <c r="C152" s="6" t="n">
        <f aca="false">MOD(ROW()-1, 208)</f>
        <v>151</v>
      </c>
      <c r="D152" s="6" t="n">
        <f aca="false">INT((ROW()-1)/208)</f>
        <v>0</v>
      </c>
      <c r="F152" s="6" t="str">
        <f aca="false">MID(VLOOKUP(D152,$P$1:$Q$13,2,0), 1 + C152,1)</f>
        <v>귿</v>
      </c>
      <c r="G152" s="6" t="str">
        <f aca="false">DEC2HEX(D152+36, 2)</f>
        <v>24</v>
      </c>
      <c r="H152" s="6" t="str">
        <f aca="false">DEC2HEX(C152+48,2)</f>
        <v>C7</v>
      </c>
      <c r="I152" s="6" t="str">
        <f aca="false">_xlfn.CONCAT("\x", G152, "\x", H152, "=", F152)</f>
        <v>\x24\xC7=귿</v>
      </c>
      <c r="K152" s="6" t="str">
        <f aca="false">_xlfn.CONCAT("\x", H152, "=", MID($Q$16, HEX2DEC(H152)-47, 1))</f>
        <v>\xC7=ス</v>
      </c>
      <c r="M152" s="7" t="s">
        <v>129</v>
      </c>
      <c r="N152" s="6" t="str">
        <f aca="false">_xlfn.CONCAT("\x", DEC2HEX(D152+44, 2), "\x", H152, "=", M152)</f>
        <v>\x2C\xC7=広</v>
      </c>
    </row>
    <row r="153" customFormat="false" ht="14.15" hidden="false" customHeight="false" outlineLevel="0" collapsed="false">
      <c r="A153" s="6" t="str">
        <f aca="false">DEC2HEX(ROW()-1, 2) &amp; "=0x" &amp; DEC2HEX(ROW()-1, 2) &amp; ", "</f>
        <v>98=0x98, </v>
      </c>
      <c r="C153" s="6" t="n">
        <f aca="false">MOD(ROW()-1, 208)</f>
        <v>152</v>
      </c>
      <c r="D153" s="6" t="n">
        <f aca="false">INT((ROW()-1)/208)</f>
        <v>0</v>
      </c>
      <c r="F153" s="6" t="str">
        <f aca="false">MID(VLOOKUP(D153,$P$1:$Q$13,2,0), 1 + C153,1)</f>
        <v>글</v>
      </c>
      <c r="G153" s="6" t="str">
        <f aca="false">DEC2HEX(D153+36, 2)</f>
        <v>24</v>
      </c>
      <c r="H153" s="6" t="str">
        <f aca="false">DEC2HEX(C153+48,2)</f>
        <v>C8</v>
      </c>
      <c r="I153" s="6" t="str">
        <f aca="false">_xlfn.CONCAT("\x", G153, "\x", H153, "=", F153)</f>
        <v>\x24\xC8=글</v>
      </c>
      <c r="K153" s="6" t="str">
        <f aca="false">_xlfn.CONCAT("\x", H153, "=", MID($Q$16, HEX2DEC(H153)-47, 1))</f>
        <v>\xC8=ズ</v>
      </c>
      <c r="M153" s="7" t="s">
        <v>130</v>
      </c>
      <c r="N153" s="6" t="str">
        <f aca="false">_xlfn.CONCAT("\x", DEC2HEX(D153+44, 2), "\x", H153, "=", M153)</f>
        <v>\x2C\xC8=控</v>
      </c>
    </row>
    <row r="154" customFormat="false" ht="14.15" hidden="false" customHeight="false" outlineLevel="0" collapsed="false">
      <c r="A154" s="6" t="str">
        <f aca="false">DEC2HEX(ROW()-1, 2) &amp; "=0x" &amp; DEC2HEX(ROW()-1, 2) &amp; ", "</f>
        <v>99=0x99, </v>
      </c>
      <c r="C154" s="6" t="n">
        <f aca="false">MOD(ROW()-1, 208)</f>
        <v>153</v>
      </c>
      <c r="D154" s="6" t="n">
        <f aca="false">INT((ROW()-1)/208)</f>
        <v>0</v>
      </c>
      <c r="F154" s="6" t="str">
        <f aca="false">MID(VLOOKUP(D154,$P$1:$Q$13,2,0), 1 + C154,1)</f>
        <v>긁</v>
      </c>
      <c r="G154" s="6" t="str">
        <f aca="false">DEC2HEX(D154+36, 2)</f>
        <v>24</v>
      </c>
      <c r="H154" s="6" t="str">
        <f aca="false">DEC2HEX(C154+48,2)</f>
        <v>C9</v>
      </c>
      <c r="I154" s="6" t="str">
        <f aca="false">_xlfn.CONCAT("\x", G154, "\x", H154, "=", F154)</f>
        <v>\x24\xC9=긁</v>
      </c>
      <c r="K154" s="6" t="str">
        <f aca="false">_xlfn.CONCAT("\x", H154, "=", MID($Q$16, HEX2DEC(H154)-47, 1))</f>
        <v>\xC9=セ</v>
      </c>
      <c r="M154" s="7" t="s">
        <v>131</v>
      </c>
      <c r="N154" s="6" t="str">
        <f aca="false">_xlfn.CONCAT("\x", DEC2HEX(D154+44, 2), "\x", H154, "=", M154)</f>
        <v>\x2C\xC9=攻</v>
      </c>
    </row>
    <row r="155" customFormat="false" ht="14.15" hidden="false" customHeight="false" outlineLevel="0" collapsed="false">
      <c r="A155" s="6" t="str">
        <f aca="false">DEC2HEX(ROW()-1, 2) &amp; "=0x" &amp; DEC2HEX(ROW()-1, 2) &amp; ", "</f>
        <v>9A=0x9A, </v>
      </c>
      <c r="C155" s="6" t="n">
        <f aca="false">MOD(ROW()-1, 208)</f>
        <v>154</v>
      </c>
      <c r="D155" s="6" t="n">
        <f aca="false">INT((ROW()-1)/208)</f>
        <v>0</v>
      </c>
      <c r="F155" s="6" t="str">
        <f aca="false">MID(VLOOKUP(D155,$P$1:$Q$13,2,0), 1 + C155,1)</f>
        <v>금</v>
      </c>
      <c r="G155" s="6" t="str">
        <f aca="false">DEC2HEX(D155+36, 2)</f>
        <v>24</v>
      </c>
      <c r="H155" s="6" t="str">
        <f aca="false">DEC2HEX(C155+48,2)</f>
        <v>CA</v>
      </c>
      <c r="I155" s="6" t="str">
        <f aca="false">_xlfn.CONCAT("\x", G155, "\x", H155, "=", F155)</f>
        <v>\x24\xCA=금</v>
      </c>
      <c r="K155" s="6" t="str">
        <f aca="false">_xlfn.CONCAT("\x", H155, "=", MID($Q$16, HEX2DEC(H155)-47, 1))</f>
        <v>\xCA=ゼ</v>
      </c>
      <c r="M155" s="7" t="s">
        <v>132</v>
      </c>
      <c r="N155" s="6" t="str">
        <f aca="false">_xlfn.CONCAT("\x", DEC2HEX(D155+44, 2), "\x", H155, "=", M155)</f>
        <v>\x2C\xCA=更</v>
      </c>
    </row>
    <row r="156" customFormat="false" ht="14.15" hidden="false" customHeight="false" outlineLevel="0" collapsed="false">
      <c r="A156" s="6" t="str">
        <f aca="false">DEC2HEX(ROW()-1, 2) &amp; "=0x" &amp; DEC2HEX(ROW()-1, 2) &amp; ", "</f>
        <v>9B=0x9B, </v>
      </c>
      <c r="C156" s="6" t="n">
        <f aca="false">MOD(ROW()-1, 208)</f>
        <v>155</v>
      </c>
      <c r="D156" s="6" t="n">
        <f aca="false">INT((ROW()-1)/208)</f>
        <v>0</v>
      </c>
      <c r="F156" s="6" t="str">
        <f aca="false">MID(VLOOKUP(D156,$P$1:$Q$13,2,0), 1 + C156,1)</f>
        <v>급</v>
      </c>
      <c r="G156" s="6" t="str">
        <f aca="false">DEC2HEX(D156+36, 2)</f>
        <v>24</v>
      </c>
      <c r="H156" s="6" t="str">
        <f aca="false">DEC2HEX(C156+48,2)</f>
        <v>CB</v>
      </c>
      <c r="I156" s="6" t="str">
        <f aca="false">_xlfn.CONCAT("\x", G156, "\x", H156, "=", F156)</f>
        <v>\x24\xCB=급</v>
      </c>
      <c r="K156" s="6" t="str">
        <f aca="false">_xlfn.CONCAT("\x", H156, "=", MID($Q$16, HEX2DEC(H156)-47, 1))</f>
        <v>\xCB=ソ</v>
      </c>
      <c r="M156" s="7" t="s">
        <v>133</v>
      </c>
      <c r="N156" s="6" t="str">
        <f aca="false">_xlfn.CONCAT("\x", DEC2HEX(D156+44, 2), "\x", H156, "=", M156)</f>
        <v>\x2C\xCB=構</v>
      </c>
    </row>
    <row r="157" customFormat="false" ht="14.15" hidden="false" customHeight="false" outlineLevel="0" collapsed="false">
      <c r="A157" s="6" t="str">
        <f aca="false">DEC2HEX(ROW()-1, 2) &amp; "=0x" &amp; DEC2HEX(ROW()-1, 2) &amp; ", "</f>
        <v>9C=0x9C, </v>
      </c>
      <c r="C157" s="6" t="n">
        <f aca="false">MOD(ROW()-1, 208)</f>
        <v>156</v>
      </c>
      <c r="D157" s="6" t="n">
        <f aca="false">INT((ROW()-1)/208)</f>
        <v>0</v>
      </c>
      <c r="F157" s="6" t="str">
        <f aca="false">MID(VLOOKUP(D157,$P$1:$Q$13,2,0), 1 + C157,1)</f>
        <v>긋</v>
      </c>
      <c r="G157" s="6" t="str">
        <f aca="false">DEC2HEX(D157+36, 2)</f>
        <v>24</v>
      </c>
      <c r="H157" s="6" t="str">
        <f aca="false">DEC2HEX(C157+48,2)</f>
        <v>CC</v>
      </c>
      <c r="I157" s="6" t="str">
        <f aca="false">_xlfn.CONCAT("\x", G157, "\x", H157, "=", F157)</f>
        <v>\x24\xCC=긋</v>
      </c>
      <c r="K157" s="6" t="str">
        <f aca="false">_xlfn.CONCAT("\x", H157, "=", MID($Q$16, HEX2DEC(H157)-47, 1))</f>
        <v>\xCC=ゾ</v>
      </c>
      <c r="M157" s="7" t="s">
        <v>134</v>
      </c>
      <c r="N157" s="6" t="str">
        <f aca="false">_xlfn.CONCAT("\x", DEC2HEX(D157+44, 2), "\x", H157, "=", M157)</f>
        <v>\x2C\xCC=港</v>
      </c>
    </row>
    <row r="158" customFormat="false" ht="14.15" hidden="false" customHeight="false" outlineLevel="0" collapsed="false">
      <c r="A158" s="6" t="str">
        <f aca="false">DEC2HEX(ROW()-1, 2) &amp; "=0x" &amp; DEC2HEX(ROW()-1, 2) &amp; ", "</f>
        <v>9D=0x9D, </v>
      </c>
      <c r="C158" s="6" t="n">
        <f aca="false">MOD(ROW()-1, 208)</f>
        <v>157</v>
      </c>
      <c r="D158" s="6" t="n">
        <f aca="false">INT((ROW()-1)/208)</f>
        <v>0</v>
      </c>
      <c r="F158" s="6" t="str">
        <f aca="false">MID(VLOOKUP(D158,$P$1:$Q$13,2,0), 1 + C158,1)</f>
        <v>긍</v>
      </c>
      <c r="G158" s="6" t="str">
        <f aca="false">DEC2HEX(D158+36, 2)</f>
        <v>24</v>
      </c>
      <c r="H158" s="6" t="str">
        <f aca="false">DEC2HEX(C158+48,2)</f>
        <v>CD</v>
      </c>
      <c r="I158" s="6" t="str">
        <f aca="false">_xlfn.CONCAT("\x", G158, "\x", H158, "=", F158)</f>
        <v>\x24\xCD=긍</v>
      </c>
      <c r="K158" s="6" t="str">
        <f aca="false">_xlfn.CONCAT("\x", H158, "=", MID($Q$16, HEX2DEC(H158)-47, 1))</f>
        <v>\xCD=タ</v>
      </c>
      <c r="M158" s="7" t="s">
        <v>135</v>
      </c>
      <c r="N158" s="6" t="str">
        <f aca="false">_xlfn.CONCAT("\x", DEC2HEX(D158+44, 2), "\x", H158, "=", M158)</f>
        <v>\x2C\xCD=甲</v>
      </c>
    </row>
    <row r="159" customFormat="false" ht="14.15" hidden="false" customHeight="false" outlineLevel="0" collapsed="false">
      <c r="A159" s="6" t="str">
        <f aca="false">DEC2HEX(ROW()-1, 2) &amp; "=0x" &amp; DEC2HEX(ROW()-1, 2) &amp; ", "</f>
        <v>9E=0x9E, </v>
      </c>
      <c r="C159" s="6" t="n">
        <f aca="false">MOD(ROW()-1, 208)</f>
        <v>158</v>
      </c>
      <c r="D159" s="6" t="n">
        <f aca="false">INT((ROW()-1)/208)</f>
        <v>0</v>
      </c>
      <c r="F159" s="6" t="str">
        <f aca="false">MID(VLOOKUP(D159,$P$1:$Q$13,2,0), 1 + C159,1)</f>
        <v>긔</v>
      </c>
      <c r="G159" s="6" t="str">
        <f aca="false">DEC2HEX(D159+36, 2)</f>
        <v>24</v>
      </c>
      <c r="H159" s="6" t="str">
        <f aca="false">DEC2HEX(C159+48,2)</f>
        <v>CE</v>
      </c>
      <c r="I159" s="6" t="str">
        <f aca="false">_xlfn.CONCAT("\x", G159, "\x", H159, "=", F159)</f>
        <v>\x24\xCE=긔</v>
      </c>
      <c r="K159" s="6" t="str">
        <f aca="false">_xlfn.CONCAT("\x", H159, "=", MID($Q$16, HEX2DEC(H159)-47, 1))</f>
        <v>\xCE=ダ</v>
      </c>
      <c r="M159" s="7" t="s">
        <v>136</v>
      </c>
      <c r="N159" s="6" t="str">
        <f aca="false">_xlfn.CONCAT("\x", DEC2HEX(D159+44, 2), "\x", H159, "=", M159)</f>
        <v>\x2C\xCE=行</v>
      </c>
    </row>
    <row r="160" customFormat="false" ht="14.15" hidden="false" customHeight="false" outlineLevel="0" collapsed="false">
      <c r="A160" s="6" t="str">
        <f aca="false">DEC2HEX(ROW()-1, 2) &amp; "=0x" &amp; DEC2HEX(ROW()-1, 2) &amp; ", "</f>
        <v>9F=0x9F, </v>
      </c>
      <c r="C160" s="6" t="n">
        <f aca="false">MOD(ROW()-1, 208)</f>
        <v>159</v>
      </c>
      <c r="D160" s="6" t="n">
        <f aca="false">INT((ROW()-1)/208)</f>
        <v>0</v>
      </c>
      <c r="F160" s="6" t="str">
        <f aca="false">MID(VLOOKUP(D160,$P$1:$Q$13,2,0), 1 + C160,1)</f>
        <v>기</v>
      </c>
      <c r="G160" s="6" t="str">
        <f aca="false">DEC2HEX(D160+36, 2)</f>
        <v>24</v>
      </c>
      <c r="H160" s="6" t="str">
        <f aca="false">DEC2HEX(C160+48,2)</f>
        <v>CF</v>
      </c>
      <c r="I160" s="6" t="str">
        <f aca="false">_xlfn.CONCAT("\x", G160, "\x", H160, "=", F160)</f>
        <v>\x24\xCF=기</v>
      </c>
      <c r="K160" s="6" t="str">
        <f aca="false">_xlfn.CONCAT("\x", H160, "=", MID($Q$16, HEX2DEC(H160)-47, 1))</f>
        <v>\xCF=チ</v>
      </c>
      <c r="M160" s="7" t="s">
        <v>137</v>
      </c>
      <c r="N160" s="6" t="str">
        <f aca="false">_xlfn.CONCAT("\x", DEC2HEX(D160+44, 2), "\x", H160, "=", M160)</f>
        <v>\x2C\xCF=降</v>
      </c>
    </row>
    <row r="161" customFormat="false" ht="14.15" hidden="false" customHeight="false" outlineLevel="0" collapsed="false">
      <c r="A161" s="6" t="str">
        <f aca="false">DEC2HEX(ROW()-1, 2) &amp; "=0x" &amp; DEC2HEX(ROW()-1, 2) &amp; ", "</f>
        <v>A0=0xA0, </v>
      </c>
      <c r="C161" s="6" t="n">
        <f aca="false">MOD(ROW()-1, 208)</f>
        <v>160</v>
      </c>
      <c r="D161" s="6" t="n">
        <f aca="false">INT((ROW()-1)/208)</f>
        <v>0</v>
      </c>
      <c r="F161" s="6" t="str">
        <f aca="false">MID(VLOOKUP(D161,$P$1:$Q$13,2,0), 1 + C161,1)</f>
        <v>긱</v>
      </c>
      <c r="G161" s="6" t="str">
        <f aca="false">DEC2HEX(D161+36, 2)</f>
        <v>24</v>
      </c>
      <c r="H161" s="6" t="str">
        <f aca="false">DEC2HEX(C161+48,2)</f>
        <v>D0</v>
      </c>
      <c r="I161" s="6" t="str">
        <f aca="false">_xlfn.CONCAT("\x", G161, "\x", H161, "=", F161)</f>
        <v>\x24\xD0=긱</v>
      </c>
      <c r="K161" s="6" t="str">
        <f aca="false">_xlfn.CONCAT("\x", H161, "=", MID($Q$16, HEX2DEC(H161)-47, 1))</f>
        <v>\xD0=ヂ</v>
      </c>
      <c r="M161" s="7" t="s">
        <v>138</v>
      </c>
      <c r="N161" s="6" t="str">
        <f aca="false">_xlfn.CONCAT("\x", DEC2HEX(D161+44, 2), "\x", H161, "=", M161)</f>
        <v>\x2C\xD0=高</v>
      </c>
    </row>
    <row r="162" customFormat="false" ht="14.15" hidden="false" customHeight="false" outlineLevel="0" collapsed="false">
      <c r="A162" s="6" t="str">
        <f aca="false">DEC2HEX(ROW()-1, 2) &amp; "=0x" &amp; DEC2HEX(ROW()-1, 2) &amp; ", "</f>
        <v>A1=0xA1, </v>
      </c>
      <c r="C162" s="6" t="n">
        <f aca="false">MOD(ROW()-1, 208)</f>
        <v>161</v>
      </c>
      <c r="D162" s="6" t="n">
        <f aca="false">INT((ROW()-1)/208)</f>
        <v>0</v>
      </c>
      <c r="F162" s="6" t="str">
        <f aca="false">MID(VLOOKUP(D162,$P$1:$Q$13,2,0), 1 + C162,1)</f>
        <v>긴</v>
      </c>
      <c r="G162" s="6" t="str">
        <f aca="false">DEC2HEX(D162+36, 2)</f>
        <v>24</v>
      </c>
      <c r="H162" s="6" t="str">
        <f aca="false">DEC2HEX(C162+48,2)</f>
        <v>D1</v>
      </c>
      <c r="I162" s="6" t="str">
        <f aca="false">_xlfn.CONCAT("\x", G162, "\x", H162, "=", F162)</f>
        <v>\x24\xD1=긴</v>
      </c>
      <c r="K162" s="6" t="str">
        <f aca="false">_xlfn.CONCAT("\x", H162, "=", MID($Q$16, HEX2DEC(H162)-47, 1))</f>
        <v>\xD1=ッ</v>
      </c>
      <c r="M162" s="7" t="s">
        <v>139</v>
      </c>
      <c r="N162" s="6" t="str">
        <f aca="false">_xlfn.CONCAT("\x", DEC2HEX(D162+44, 2), "\x", H162, "=", M162)</f>
        <v>\x2C\xD1=号</v>
      </c>
    </row>
    <row r="163" customFormat="false" ht="14.15" hidden="false" customHeight="false" outlineLevel="0" collapsed="false">
      <c r="A163" s="6" t="str">
        <f aca="false">DEC2HEX(ROW()-1, 2) &amp; "=0x" &amp; DEC2HEX(ROW()-1, 2) &amp; ", "</f>
        <v>A2=0xA2, </v>
      </c>
      <c r="C163" s="6" t="n">
        <f aca="false">MOD(ROW()-1, 208)</f>
        <v>162</v>
      </c>
      <c r="D163" s="6" t="n">
        <f aca="false">INT((ROW()-1)/208)</f>
        <v>0</v>
      </c>
      <c r="F163" s="6" t="str">
        <f aca="false">MID(VLOOKUP(D163,$P$1:$Q$13,2,0), 1 + C163,1)</f>
        <v>긷</v>
      </c>
      <c r="G163" s="6" t="str">
        <f aca="false">DEC2HEX(D163+36, 2)</f>
        <v>24</v>
      </c>
      <c r="H163" s="6" t="str">
        <f aca="false">DEC2HEX(C163+48,2)</f>
        <v>D2</v>
      </c>
      <c r="I163" s="6" t="str">
        <f aca="false">_xlfn.CONCAT("\x", G163, "\x", H163, "=", F163)</f>
        <v>\x24\xD2=긷</v>
      </c>
      <c r="K163" s="6" t="str">
        <f aca="false">_xlfn.CONCAT("\x", H163, "=", MID($Q$16, HEX2DEC(H163)-47, 1))</f>
        <v>\xD2=ツ</v>
      </c>
      <c r="M163" s="7" t="s">
        <v>140</v>
      </c>
      <c r="N163" s="6" t="str">
        <f aca="false">_xlfn.CONCAT("\x", DEC2HEX(D163+44, 2), "\x", H163, "=", M163)</f>
        <v>\x2C\xD2=合</v>
      </c>
    </row>
    <row r="164" customFormat="false" ht="14.15" hidden="false" customHeight="false" outlineLevel="0" collapsed="false">
      <c r="A164" s="6" t="str">
        <f aca="false">DEC2HEX(ROW()-1, 2) &amp; "=0x" &amp; DEC2HEX(ROW()-1, 2) &amp; ", "</f>
        <v>A3=0xA3, </v>
      </c>
      <c r="C164" s="6" t="n">
        <f aca="false">MOD(ROW()-1, 208)</f>
        <v>163</v>
      </c>
      <c r="D164" s="6" t="n">
        <f aca="false">INT((ROW()-1)/208)</f>
        <v>0</v>
      </c>
      <c r="F164" s="6" t="str">
        <f aca="false">MID(VLOOKUP(D164,$P$1:$Q$13,2,0), 1 + C164,1)</f>
        <v>길</v>
      </c>
      <c r="G164" s="6" t="str">
        <f aca="false">DEC2HEX(D164+36, 2)</f>
        <v>24</v>
      </c>
      <c r="H164" s="6" t="str">
        <f aca="false">DEC2HEX(C164+48,2)</f>
        <v>D3</v>
      </c>
      <c r="I164" s="6" t="str">
        <f aca="false">_xlfn.CONCAT("\x", G164, "\x", H164, "=", F164)</f>
        <v>\x24\xD3=길</v>
      </c>
      <c r="K164" s="6" t="str">
        <f aca="false">_xlfn.CONCAT("\x", H164, "=", MID($Q$16, HEX2DEC(H164)-47, 1))</f>
        <v>\xD3=ヅ</v>
      </c>
      <c r="M164" s="7" t="s">
        <v>141</v>
      </c>
      <c r="N164" s="6" t="str">
        <f aca="false">_xlfn.CONCAT("\x", DEC2HEX(D164+44, 2), "\x", H164, "=", M164)</f>
        <v>\x2C\xD3=告</v>
      </c>
    </row>
    <row r="165" customFormat="false" ht="14.15" hidden="false" customHeight="false" outlineLevel="0" collapsed="false">
      <c r="A165" s="6" t="str">
        <f aca="false">DEC2HEX(ROW()-1, 2) &amp; "=0x" &amp; DEC2HEX(ROW()-1, 2) &amp; ", "</f>
        <v>A4=0xA4, </v>
      </c>
      <c r="C165" s="6" t="n">
        <f aca="false">MOD(ROW()-1, 208)</f>
        <v>164</v>
      </c>
      <c r="D165" s="6" t="n">
        <f aca="false">INT((ROW()-1)/208)</f>
        <v>0</v>
      </c>
      <c r="F165" s="6" t="str">
        <f aca="false">MID(VLOOKUP(D165,$P$1:$Q$13,2,0), 1 + C165,1)</f>
        <v>긺</v>
      </c>
      <c r="G165" s="6" t="str">
        <f aca="false">DEC2HEX(D165+36, 2)</f>
        <v>24</v>
      </c>
      <c r="H165" s="6" t="str">
        <f aca="false">DEC2HEX(C165+48,2)</f>
        <v>D4</v>
      </c>
      <c r="I165" s="6" t="str">
        <f aca="false">_xlfn.CONCAT("\x", G165, "\x", H165, "=", F165)</f>
        <v>\x24\xD4=긺</v>
      </c>
      <c r="K165" s="6" t="str">
        <f aca="false">_xlfn.CONCAT("\x", H165, "=", MID($Q$16, HEX2DEC(H165)-47, 1))</f>
        <v>\xD4=テ</v>
      </c>
      <c r="M165" s="7" t="s">
        <v>142</v>
      </c>
      <c r="N165" s="6" t="str">
        <f aca="false">_xlfn.CONCAT("\x", DEC2HEX(D165+44, 2), "\x", H165, "=", M165)</f>
        <v>\x2C\xD4=黒</v>
      </c>
    </row>
    <row r="166" customFormat="false" ht="14.15" hidden="false" customHeight="false" outlineLevel="0" collapsed="false">
      <c r="A166" s="6" t="str">
        <f aca="false">DEC2HEX(ROW()-1, 2) &amp; "=0x" &amp; DEC2HEX(ROW()-1, 2) &amp; ", "</f>
        <v>A5=0xA5, </v>
      </c>
      <c r="C166" s="6" t="n">
        <f aca="false">MOD(ROW()-1, 208)</f>
        <v>165</v>
      </c>
      <c r="D166" s="6" t="n">
        <f aca="false">INT((ROW()-1)/208)</f>
        <v>0</v>
      </c>
      <c r="F166" s="6" t="str">
        <f aca="false">MID(VLOOKUP(D166,$P$1:$Q$13,2,0), 1 + C166,1)</f>
        <v>김</v>
      </c>
      <c r="G166" s="6" t="str">
        <f aca="false">DEC2HEX(D166+36, 2)</f>
        <v>24</v>
      </c>
      <c r="H166" s="6" t="str">
        <f aca="false">DEC2HEX(C166+48,2)</f>
        <v>D5</v>
      </c>
      <c r="I166" s="6" t="str">
        <f aca="false">_xlfn.CONCAT("\x", G166, "\x", H166, "=", F166)</f>
        <v>\x24\xD5=김</v>
      </c>
      <c r="K166" s="6" t="str">
        <f aca="false">_xlfn.CONCAT("\x", H166, "=", MID($Q$16, HEX2DEC(H166)-47, 1))</f>
        <v>\xD5=デ</v>
      </c>
      <c r="M166" s="7" t="s">
        <v>143</v>
      </c>
      <c r="N166" s="6" t="str">
        <f aca="false">_xlfn.CONCAT("\x", DEC2HEX(D166+44, 2), "\x", H166, "=", M166)</f>
        <v>\x2C\xD5=獄</v>
      </c>
    </row>
    <row r="167" customFormat="false" ht="14.15" hidden="false" customHeight="false" outlineLevel="0" collapsed="false">
      <c r="A167" s="6" t="str">
        <f aca="false">DEC2HEX(ROW()-1, 2) &amp; "=0x" &amp; DEC2HEX(ROW()-1, 2) &amp; ", "</f>
        <v>A6=0xA6, </v>
      </c>
      <c r="C167" s="6" t="n">
        <f aca="false">MOD(ROW()-1, 208)</f>
        <v>166</v>
      </c>
      <c r="D167" s="6" t="n">
        <f aca="false">INT((ROW()-1)/208)</f>
        <v>0</v>
      </c>
      <c r="F167" s="6" t="str">
        <f aca="false">MID(VLOOKUP(D167,$P$1:$Q$13,2,0), 1 + C167,1)</f>
        <v>깁</v>
      </c>
      <c r="G167" s="6" t="str">
        <f aca="false">DEC2HEX(D167+36, 2)</f>
        <v>24</v>
      </c>
      <c r="H167" s="6" t="str">
        <f aca="false">DEC2HEX(C167+48,2)</f>
        <v>D6</v>
      </c>
      <c r="I167" s="6" t="str">
        <f aca="false">_xlfn.CONCAT("\x", G167, "\x", H167, "=", F167)</f>
        <v>\x24\xD6=깁</v>
      </c>
      <c r="K167" s="6" t="str">
        <f aca="false">_xlfn.CONCAT("\x", H167, "=", MID($Q$16, HEX2DEC(H167)-47, 1))</f>
        <v>\xD6=ト</v>
      </c>
      <c r="M167" s="7" t="s">
        <v>144</v>
      </c>
      <c r="N167" s="6" t="str">
        <f aca="false">_xlfn.CONCAT("\x", DEC2HEX(D167+44, 2), "\x", H167, "=", M167)</f>
        <v>\x2C\xD6=混</v>
      </c>
    </row>
    <row r="168" customFormat="false" ht="14.15" hidden="false" customHeight="false" outlineLevel="0" collapsed="false">
      <c r="A168" s="6" t="str">
        <f aca="false">DEC2HEX(ROW()-1, 2) &amp; "=0x" &amp; DEC2HEX(ROW()-1, 2) &amp; ", "</f>
        <v>A7=0xA7, </v>
      </c>
      <c r="C168" s="6" t="n">
        <f aca="false">MOD(ROW()-1, 208)</f>
        <v>167</v>
      </c>
      <c r="D168" s="6" t="n">
        <f aca="false">INT((ROW()-1)/208)</f>
        <v>0</v>
      </c>
      <c r="F168" s="6" t="str">
        <f aca="false">MID(VLOOKUP(D168,$P$1:$Q$13,2,0), 1 + C168,1)</f>
        <v>깃</v>
      </c>
      <c r="G168" s="6" t="str">
        <f aca="false">DEC2HEX(D168+36, 2)</f>
        <v>24</v>
      </c>
      <c r="H168" s="6" t="str">
        <f aca="false">DEC2HEX(C168+48,2)</f>
        <v>D7</v>
      </c>
      <c r="I168" s="6" t="str">
        <f aca="false">_xlfn.CONCAT("\x", G168, "\x", H168, "=", F168)</f>
        <v>\x24\xD7=깃</v>
      </c>
      <c r="K168" s="6" t="str">
        <f aca="false">_xlfn.CONCAT("\x", H168, "=", MID($Q$16, HEX2DEC(H168)-47, 1))</f>
        <v>\xD7=ド</v>
      </c>
      <c r="M168" s="7" t="s">
        <v>145</v>
      </c>
      <c r="N168" s="6" t="str">
        <f aca="false">_xlfn.CONCAT("\x", DEC2HEX(D168+44, 2), "\x", H168, "=", M168)</f>
        <v>\x2C\xD7=左</v>
      </c>
    </row>
    <row r="169" customFormat="false" ht="14.15" hidden="false" customHeight="false" outlineLevel="0" collapsed="false">
      <c r="A169" s="6" t="str">
        <f aca="false">DEC2HEX(ROW()-1, 2) &amp; "=0x" &amp; DEC2HEX(ROW()-1, 2) &amp; ", "</f>
        <v>A8=0xA8, </v>
      </c>
      <c r="C169" s="6" t="n">
        <f aca="false">MOD(ROW()-1, 208)</f>
        <v>168</v>
      </c>
      <c r="D169" s="6" t="n">
        <f aca="false">INT((ROW()-1)/208)</f>
        <v>0</v>
      </c>
      <c r="F169" s="6" t="str">
        <f aca="false">MID(VLOOKUP(D169,$P$1:$Q$13,2,0), 1 + C169,1)</f>
        <v>깅</v>
      </c>
      <c r="G169" s="6" t="str">
        <f aca="false">DEC2HEX(D169+36, 2)</f>
        <v>24</v>
      </c>
      <c r="H169" s="6" t="str">
        <f aca="false">DEC2HEX(C169+48,2)</f>
        <v>D8</v>
      </c>
      <c r="I169" s="6" t="str">
        <f aca="false">_xlfn.CONCAT("\x", G169, "\x", H169, "=", F169)</f>
        <v>\x24\xD8=깅</v>
      </c>
      <c r="K169" s="6" t="str">
        <f aca="false">_xlfn.CONCAT("\x", H169, "=", MID($Q$16, HEX2DEC(H169)-47, 1))</f>
        <v>\xD8=ナ</v>
      </c>
      <c r="M169" s="7" t="s">
        <v>146</v>
      </c>
      <c r="N169" s="6" t="str">
        <f aca="false">_xlfn.CONCAT("\x", DEC2HEX(D169+44, 2), "\x", H169, "=", M169)</f>
        <v>\x2C\xD8=砂</v>
      </c>
    </row>
    <row r="170" customFormat="false" ht="14.15" hidden="false" customHeight="false" outlineLevel="0" collapsed="false">
      <c r="A170" s="6" t="str">
        <f aca="false">DEC2HEX(ROW()-1, 2) &amp; "=0x" &amp; DEC2HEX(ROW()-1, 2) &amp; ", "</f>
        <v>A9=0xA9, </v>
      </c>
      <c r="C170" s="6" t="n">
        <f aca="false">MOD(ROW()-1, 208)</f>
        <v>169</v>
      </c>
      <c r="D170" s="6" t="n">
        <f aca="false">INT((ROW()-1)/208)</f>
        <v>0</v>
      </c>
      <c r="F170" s="6" t="str">
        <f aca="false">MID(VLOOKUP(D170,$P$1:$Q$13,2,0), 1 + C170,1)</f>
        <v>깆</v>
      </c>
      <c r="G170" s="6" t="str">
        <f aca="false">DEC2HEX(D170+36, 2)</f>
        <v>24</v>
      </c>
      <c r="H170" s="6" t="str">
        <f aca="false">DEC2HEX(C170+48,2)</f>
        <v>D9</v>
      </c>
      <c r="I170" s="6" t="str">
        <f aca="false">_xlfn.CONCAT("\x", G170, "\x", H170, "=", F170)</f>
        <v>\x24\xD9=깆</v>
      </c>
      <c r="K170" s="6" t="str">
        <f aca="false">_xlfn.CONCAT("\x", H170, "=", MID($Q$16, HEX2DEC(H170)-47, 1))</f>
        <v>\xD9=ニ</v>
      </c>
      <c r="M170" s="7" t="s">
        <v>147</v>
      </c>
      <c r="N170" s="6" t="str">
        <f aca="false">_xlfn.CONCAT("\x", DEC2HEX(D170+44, 2), "\x", H170, "=", M170)</f>
        <v>\x2C\xD9=再</v>
      </c>
    </row>
    <row r="171" customFormat="false" ht="14.15" hidden="false" customHeight="false" outlineLevel="0" collapsed="false">
      <c r="A171" s="6" t="str">
        <f aca="false">DEC2HEX(ROW()-1, 2) &amp; "=0x" &amp; DEC2HEX(ROW()-1, 2) &amp; ", "</f>
        <v>AA=0xAA, </v>
      </c>
      <c r="C171" s="6" t="n">
        <f aca="false">MOD(ROW()-1, 208)</f>
        <v>170</v>
      </c>
      <c r="D171" s="6" t="n">
        <f aca="false">INT((ROW()-1)/208)</f>
        <v>0</v>
      </c>
      <c r="F171" s="6" t="str">
        <f aca="false">MID(VLOOKUP(D171,$P$1:$Q$13,2,0), 1 + C171,1)</f>
        <v>깊</v>
      </c>
      <c r="G171" s="6" t="str">
        <f aca="false">DEC2HEX(D171+36, 2)</f>
        <v>24</v>
      </c>
      <c r="H171" s="6" t="str">
        <f aca="false">DEC2HEX(C171+48,2)</f>
        <v>DA</v>
      </c>
      <c r="I171" s="6" t="str">
        <f aca="false">_xlfn.CONCAT("\x", G171, "\x", H171, "=", F171)</f>
        <v>\x24\xDA=깊</v>
      </c>
      <c r="K171" s="6" t="str">
        <f aca="false">_xlfn.CONCAT("\x", H171, "=", MID($Q$16, HEX2DEC(H171)-47, 1))</f>
        <v>\xDA=ヌ</v>
      </c>
      <c r="M171" s="7" t="s">
        <v>148</v>
      </c>
      <c r="N171" s="6" t="str">
        <f aca="false">_xlfn.CONCAT("\x", DEC2HEX(D171+44, 2), "\x", H171, "=", M171)</f>
        <v>\x2C\xDA=砦</v>
      </c>
    </row>
    <row r="172" customFormat="false" ht="14.15" hidden="false" customHeight="false" outlineLevel="0" collapsed="false">
      <c r="A172" s="6" t="str">
        <f aca="false">DEC2HEX(ROW()-1, 2) &amp; "=0x" &amp; DEC2HEX(ROW()-1, 2) &amp; ", "</f>
        <v>AB=0xAB, </v>
      </c>
      <c r="C172" s="6" t="n">
        <f aca="false">MOD(ROW()-1, 208)</f>
        <v>171</v>
      </c>
      <c r="D172" s="6" t="n">
        <f aca="false">INT((ROW()-1)/208)</f>
        <v>0</v>
      </c>
      <c r="F172" s="6" t="str">
        <f aca="false">MID(VLOOKUP(D172,$P$1:$Q$13,2,0), 1 + C172,1)</f>
        <v>까</v>
      </c>
      <c r="G172" s="6" t="str">
        <f aca="false">DEC2HEX(D172+36, 2)</f>
        <v>24</v>
      </c>
      <c r="H172" s="6" t="str">
        <f aca="false">DEC2HEX(C172+48,2)</f>
        <v>DB</v>
      </c>
      <c r="I172" s="6" t="str">
        <f aca="false">_xlfn.CONCAT("\x", G172, "\x", H172, "=", F172)</f>
        <v>\x24\xDB=까</v>
      </c>
      <c r="K172" s="6" t="str">
        <f aca="false">_xlfn.CONCAT("\x", H172, "=", MID($Q$16, HEX2DEC(H172)-47, 1))</f>
        <v>\xDB=ネ</v>
      </c>
      <c r="M172" s="7" t="s">
        <v>149</v>
      </c>
      <c r="N172" s="6" t="str">
        <f aca="false">_xlfn.CONCAT("\x", DEC2HEX(D172+44, 2), "\x", H172, "=", M172)</f>
        <v>\x2C\xDB=裁</v>
      </c>
    </row>
    <row r="173" customFormat="false" ht="14.15" hidden="false" customHeight="false" outlineLevel="0" collapsed="false">
      <c r="A173" s="6" t="str">
        <f aca="false">DEC2HEX(ROW()-1, 2) &amp; "=0x" &amp; DEC2HEX(ROW()-1, 2) &amp; ", "</f>
        <v>AC=0xAC, </v>
      </c>
      <c r="C173" s="6" t="n">
        <f aca="false">MOD(ROW()-1, 208)</f>
        <v>172</v>
      </c>
      <c r="D173" s="6" t="n">
        <f aca="false">INT((ROW()-1)/208)</f>
        <v>0</v>
      </c>
      <c r="F173" s="6" t="str">
        <f aca="false">MID(VLOOKUP(D173,$P$1:$Q$13,2,0), 1 + C173,1)</f>
        <v>깍</v>
      </c>
      <c r="G173" s="6" t="str">
        <f aca="false">DEC2HEX(D173+36, 2)</f>
        <v>24</v>
      </c>
      <c r="H173" s="6" t="str">
        <f aca="false">DEC2HEX(C173+48,2)</f>
        <v>DC</v>
      </c>
      <c r="I173" s="6" t="str">
        <f aca="false">_xlfn.CONCAT("\x", G173, "\x", H173, "=", F173)</f>
        <v>\x24\xDC=깍</v>
      </c>
      <c r="K173" s="6" t="str">
        <f aca="false">_xlfn.CONCAT("\x", H173, "=", MID($Q$16, HEX2DEC(H173)-47, 1))</f>
        <v>\xDC=ノ</v>
      </c>
      <c r="M173" s="7" t="s">
        <v>150</v>
      </c>
      <c r="N173" s="6" t="str">
        <f aca="false">_xlfn.CONCAT("\x", DEC2HEX(D173+44, 2), "\x", H173, "=", M173)</f>
        <v>\x2C\xDC=在</v>
      </c>
    </row>
    <row r="174" customFormat="false" ht="14.15" hidden="false" customHeight="false" outlineLevel="0" collapsed="false">
      <c r="A174" s="6" t="str">
        <f aca="false">DEC2HEX(ROW()-1, 2) &amp; "=0x" &amp; DEC2HEX(ROW()-1, 2) &amp; ", "</f>
        <v>AD=0xAD, </v>
      </c>
      <c r="C174" s="6" t="n">
        <f aca="false">MOD(ROW()-1, 208)</f>
        <v>173</v>
      </c>
      <c r="D174" s="6" t="n">
        <f aca="false">INT((ROW()-1)/208)</f>
        <v>0</v>
      </c>
      <c r="F174" s="6" t="str">
        <f aca="false">MID(VLOOKUP(D174,$P$1:$Q$13,2,0), 1 + C174,1)</f>
        <v>깎</v>
      </c>
      <c r="G174" s="6" t="str">
        <f aca="false">DEC2HEX(D174+36, 2)</f>
        <v>24</v>
      </c>
      <c r="H174" s="6" t="str">
        <f aca="false">DEC2HEX(C174+48,2)</f>
        <v>DD</v>
      </c>
      <c r="I174" s="6" t="str">
        <f aca="false">_xlfn.CONCAT("\x", G174, "\x", H174, "=", F174)</f>
        <v>\x24\xDD=깎</v>
      </c>
      <c r="K174" s="6" t="str">
        <f aca="false">_xlfn.CONCAT("\x", H174, "=", MID($Q$16, HEX2DEC(H174)-47, 1))</f>
        <v>\xDD=ハ</v>
      </c>
      <c r="M174" s="7" t="s">
        <v>151</v>
      </c>
      <c r="N174" s="6" t="str">
        <f aca="false">_xlfn.CONCAT("\x", DEC2HEX(D174+44, 2), "\x", H174, "=", M174)</f>
        <v>\x2C\xDD=坂</v>
      </c>
    </row>
    <row r="175" customFormat="false" ht="14.15" hidden="false" customHeight="false" outlineLevel="0" collapsed="false">
      <c r="A175" s="6" t="str">
        <f aca="false">DEC2HEX(ROW()-1, 2) &amp; "=0x" &amp; DEC2HEX(ROW()-1, 2) &amp; ", "</f>
        <v>AE=0xAE, </v>
      </c>
      <c r="C175" s="6" t="n">
        <f aca="false">MOD(ROW()-1, 208)</f>
        <v>174</v>
      </c>
      <c r="D175" s="6" t="n">
        <f aca="false">INT((ROW()-1)/208)</f>
        <v>0</v>
      </c>
      <c r="F175" s="6" t="str">
        <f aca="false">MID(VLOOKUP(D175,$P$1:$Q$13,2,0), 1 + C175,1)</f>
        <v>깐</v>
      </c>
      <c r="G175" s="6" t="str">
        <f aca="false">DEC2HEX(D175+36, 2)</f>
        <v>24</v>
      </c>
      <c r="H175" s="6" t="str">
        <f aca="false">DEC2HEX(C175+48,2)</f>
        <v>DE</v>
      </c>
      <c r="I175" s="6" t="str">
        <f aca="false">_xlfn.CONCAT("\x", G175, "\x", H175, "=", F175)</f>
        <v>\x24\xDE=깐</v>
      </c>
      <c r="K175" s="6" t="str">
        <f aca="false">_xlfn.CONCAT("\x", H175, "=", MID($Q$16, HEX2DEC(H175)-47, 1))</f>
        <v>\xDE=バ</v>
      </c>
      <c r="M175" s="7" t="s">
        <v>152</v>
      </c>
      <c r="N175" s="6" t="str">
        <f aca="false">_xlfn.CONCAT("\x", DEC2HEX(D175+44, 2), "\x", H175, "=", M175)</f>
        <v>\x2C\xDE=殺</v>
      </c>
    </row>
    <row r="176" customFormat="false" ht="14.15" hidden="false" customHeight="false" outlineLevel="0" collapsed="false">
      <c r="A176" s="6" t="str">
        <f aca="false">DEC2HEX(ROW()-1, 2) &amp; "=0x" &amp; DEC2HEX(ROW()-1, 2) &amp; ", "</f>
        <v>AF=0xAF, </v>
      </c>
      <c r="C176" s="6" t="n">
        <f aca="false">MOD(ROW()-1, 208)</f>
        <v>175</v>
      </c>
      <c r="D176" s="6" t="n">
        <f aca="false">INT((ROW()-1)/208)</f>
        <v>0</v>
      </c>
      <c r="F176" s="6" t="str">
        <f aca="false">MID(VLOOKUP(D176,$P$1:$Q$13,2,0), 1 + C176,1)</f>
        <v>깔</v>
      </c>
      <c r="G176" s="6" t="str">
        <f aca="false">DEC2HEX(D176+36, 2)</f>
        <v>24</v>
      </c>
      <c r="H176" s="6" t="str">
        <f aca="false">DEC2HEX(C176+48,2)</f>
        <v>DF</v>
      </c>
      <c r="I176" s="6" t="str">
        <f aca="false">_xlfn.CONCAT("\x", G176, "\x", H176, "=", F176)</f>
        <v>\x24\xDF=깔</v>
      </c>
      <c r="K176" s="6" t="str">
        <f aca="false">_xlfn.CONCAT("\x", H176, "=", MID($Q$16, HEX2DEC(H176)-47, 1))</f>
        <v>\xDF=パ</v>
      </c>
      <c r="M176" s="7" t="s">
        <v>153</v>
      </c>
      <c r="N176" s="6" t="str">
        <f aca="false">_xlfn.CONCAT("\x", DEC2HEX(D176+44, 2), "\x", H176, "=", M176)</f>
        <v>\x2C\xDF=参</v>
      </c>
    </row>
    <row r="177" customFormat="false" ht="14.15" hidden="false" customHeight="false" outlineLevel="0" collapsed="false">
      <c r="A177" s="6" t="str">
        <f aca="false">DEC2HEX(ROW()-1, 2) &amp; "=0x" &amp; DEC2HEX(ROW()-1, 2) &amp; ", "</f>
        <v>B0=0xB0, </v>
      </c>
      <c r="C177" s="6" t="n">
        <f aca="false">MOD(ROW()-1, 208)</f>
        <v>176</v>
      </c>
      <c r="D177" s="6" t="n">
        <f aca="false">INT((ROW()-1)/208)</f>
        <v>0</v>
      </c>
      <c r="F177" s="6" t="str">
        <f aca="false">MID(VLOOKUP(D177,$P$1:$Q$13,2,0), 1 + C177,1)</f>
        <v>깖</v>
      </c>
      <c r="G177" s="6" t="str">
        <f aca="false">DEC2HEX(D177+36, 2)</f>
        <v>24</v>
      </c>
      <c r="H177" s="6" t="str">
        <f aca="false">DEC2HEX(C177+48,2)</f>
        <v>E0</v>
      </c>
      <c r="I177" s="6" t="str">
        <f aca="false">_xlfn.CONCAT("\x", G177, "\x", H177, "=", F177)</f>
        <v>\x24\xE0=깖</v>
      </c>
      <c r="K177" s="6" t="str">
        <f aca="false">_xlfn.CONCAT("\x", H177, "=", MID($Q$16, HEX2DEC(H177)-47, 1))</f>
        <v>\xE0=ヒ</v>
      </c>
      <c r="M177" s="7" t="s">
        <v>154</v>
      </c>
      <c r="N177" s="6" t="str">
        <f aca="false">_xlfn.CONCAT("\x", DEC2HEX(D177+44, 2), "\x", H177, "=", M177)</f>
        <v>\x2C\xE0=山</v>
      </c>
    </row>
    <row r="178" customFormat="false" ht="14.15" hidden="false" customHeight="false" outlineLevel="0" collapsed="false">
      <c r="A178" s="6" t="str">
        <f aca="false">DEC2HEX(ROW()-1, 2) &amp; "=0x" &amp; DEC2HEX(ROW()-1, 2) &amp; ", "</f>
        <v>B1=0xB1, </v>
      </c>
      <c r="C178" s="6" t="n">
        <f aca="false">MOD(ROW()-1, 208)</f>
        <v>177</v>
      </c>
      <c r="D178" s="6" t="n">
        <f aca="false">INT((ROW()-1)/208)</f>
        <v>0</v>
      </c>
      <c r="F178" s="6" t="str">
        <f aca="false">MID(VLOOKUP(D178,$P$1:$Q$13,2,0), 1 + C178,1)</f>
        <v>깜</v>
      </c>
      <c r="G178" s="6" t="str">
        <f aca="false">DEC2HEX(D178+36, 2)</f>
        <v>24</v>
      </c>
      <c r="H178" s="6" t="str">
        <f aca="false">DEC2HEX(C178+48,2)</f>
        <v>E1</v>
      </c>
      <c r="I178" s="6" t="str">
        <f aca="false">_xlfn.CONCAT("\x", G178, "\x", H178, "=", F178)</f>
        <v>\x24\xE1=깜</v>
      </c>
      <c r="K178" s="6" t="str">
        <f aca="false">_xlfn.CONCAT("\x", H178, "=", MID($Q$16, HEX2DEC(H178)-47, 1))</f>
        <v>\xE1=ビ</v>
      </c>
      <c r="M178" s="7" t="s">
        <v>155</v>
      </c>
      <c r="N178" s="6" t="str">
        <f aca="false">_xlfn.CONCAT("\x", DEC2HEX(D178+44, 2), "\x", H178, "=", M178)</f>
        <v>\x2C\xE1=桟</v>
      </c>
    </row>
    <row r="179" customFormat="false" ht="14.15" hidden="false" customHeight="false" outlineLevel="0" collapsed="false">
      <c r="A179" s="6" t="str">
        <f aca="false">DEC2HEX(ROW()-1, 2) &amp; "=0x" &amp; DEC2HEX(ROW()-1, 2) &amp; ", "</f>
        <v>B2=0xB2, </v>
      </c>
      <c r="C179" s="6" t="n">
        <f aca="false">MOD(ROW()-1, 208)</f>
        <v>178</v>
      </c>
      <c r="D179" s="6" t="n">
        <f aca="false">INT((ROW()-1)/208)</f>
        <v>0</v>
      </c>
      <c r="F179" s="6" t="str">
        <f aca="false">MID(VLOOKUP(D179,$P$1:$Q$13,2,0), 1 + C179,1)</f>
        <v>깝</v>
      </c>
      <c r="G179" s="6" t="str">
        <f aca="false">DEC2HEX(D179+36, 2)</f>
        <v>24</v>
      </c>
      <c r="H179" s="6" t="str">
        <f aca="false">DEC2HEX(C179+48,2)</f>
        <v>E2</v>
      </c>
      <c r="I179" s="6" t="str">
        <f aca="false">_xlfn.CONCAT("\x", G179, "\x", H179, "=", F179)</f>
        <v>\x24\xE2=깝</v>
      </c>
      <c r="K179" s="6" t="str">
        <f aca="false">_xlfn.CONCAT("\x", H179, "=", MID($Q$16, HEX2DEC(H179)-47, 1))</f>
        <v>\xE2=ピ</v>
      </c>
      <c r="M179" s="7" t="s">
        <v>156</v>
      </c>
      <c r="N179" s="6" t="str">
        <f aca="false">_xlfn.CONCAT("\x", DEC2HEX(D179+44, 2), "\x", H179, "=", M179)</f>
        <v>\x2C\xE2=斬</v>
      </c>
    </row>
    <row r="180" customFormat="false" ht="14.15" hidden="false" customHeight="false" outlineLevel="0" collapsed="false">
      <c r="A180" s="6" t="str">
        <f aca="false">DEC2HEX(ROW()-1, 2) &amp; "=0x" &amp; DEC2HEX(ROW()-1, 2) &amp; ", "</f>
        <v>B3=0xB3, </v>
      </c>
      <c r="C180" s="6" t="n">
        <f aca="false">MOD(ROW()-1, 208)</f>
        <v>179</v>
      </c>
      <c r="D180" s="6" t="n">
        <f aca="false">INT((ROW()-1)/208)</f>
        <v>0</v>
      </c>
      <c r="F180" s="6" t="str">
        <f aca="false">MID(VLOOKUP(D180,$P$1:$Q$13,2,0), 1 + C180,1)</f>
        <v>깟</v>
      </c>
      <c r="G180" s="6" t="str">
        <f aca="false">DEC2HEX(D180+36, 2)</f>
        <v>24</v>
      </c>
      <c r="H180" s="6" t="str">
        <f aca="false">DEC2HEX(C180+48,2)</f>
        <v>E3</v>
      </c>
      <c r="I180" s="6" t="str">
        <f aca="false">_xlfn.CONCAT("\x", G180, "\x", H180, "=", F180)</f>
        <v>\x24\xE3=깟</v>
      </c>
      <c r="K180" s="6" t="str">
        <f aca="false">_xlfn.CONCAT("\x", H180, "=", MID($Q$16, HEX2DEC(H180)-47, 1))</f>
        <v>\xE3=フ</v>
      </c>
      <c r="M180" s="7" t="s">
        <v>157</v>
      </c>
      <c r="N180" s="6" t="str">
        <f aca="false">_xlfn.CONCAT("\x", DEC2HEX(D180+44, 2), "\x", H180, "=", M180)</f>
        <v>\x2C\xE3=残</v>
      </c>
    </row>
    <row r="181" customFormat="false" ht="14.15" hidden="false" customHeight="false" outlineLevel="0" collapsed="false">
      <c r="A181" s="6" t="str">
        <f aca="false">DEC2HEX(ROW()-1, 2) &amp; "=0x" &amp; DEC2HEX(ROW()-1, 2) &amp; ", "</f>
        <v>B4=0xB4, </v>
      </c>
      <c r="C181" s="6" t="n">
        <f aca="false">MOD(ROW()-1, 208)</f>
        <v>180</v>
      </c>
      <c r="D181" s="6" t="n">
        <f aca="false">INT((ROW()-1)/208)</f>
        <v>0</v>
      </c>
      <c r="F181" s="6" t="str">
        <f aca="false">MID(VLOOKUP(D181,$P$1:$Q$13,2,0), 1 + C181,1)</f>
        <v>깠</v>
      </c>
      <c r="G181" s="6" t="str">
        <f aca="false">DEC2HEX(D181+36, 2)</f>
        <v>24</v>
      </c>
      <c r="H181" s="6" t="str">
        <f aca="false">DEC2HEX(C181+48,2)</f>
        <v>E4</v>
      </c>
      <c r="I181" s="6" t="str">
        <f aca="false">_xlfn.CONCAT("\x", G181, "\x", H181, "=", F181)</f>
        <v>\x24\xE4=깠</v>
      </c>
      <c r="K181" s="6" t="str">
        <f aca="false">_xlfn.CONCAT("\x", H181, "=", MID($Q$16, HEX2DEC(H181)-47, 1))</f>
        <v>\xE4=ブ</v>
      </c>
      <c r="M181" s="7" t="s">
        <v>158</v>
      </c>
      <c r="N181" s="6" t="str">
        <f aca="false">_xlfn.CONCAT("\x", DEC2HEX(D181+44, 2), "\x", H181, "=", M181)</f>
        <v>\x2C\xE4=使</v>
      </c>
    </row>
    <row r="182" customFormat="false" ht="14.15" hidden="false" customHeight="false" outlineLevel="0" collapsed="false">
      <c r="A182" s="6" t="str">
        <f aca="false">DEC2HEX(ROW()-1, 2) &amp; "=0x" &amp; DEC2HEX(ROW()-1, 2) &amp; ", "</f>
        <v>B5=0xB5, </v>
      </c>
      <c r="C182" s="6" t="n">
        <f aca="false">MOD(ROW()-1, 208)</f>
        <v>181</v>
      </c>
      <c r="D182" s="6" t="n">
        <f aca="false">INT((ROW()-1)/208)</f>
        <v>0</v>
      </c>
      <c r="F182" s="6" t="str">
        <f aca="false">MID(VLOOKUP(D182,$P$1:$Q$13,2,0), 1 + C182,1)</f>
        <v>깡</v>
      </c>
      <c r="G182" s="6" t="str">
        <f aca="false">DEC2HEX(D182+36, 2)</f>
        <v>24</v>
      </c>
      <c r="H182" s="6" t="str">
        <f aca="false">DEC2HEX(C182+48,2)</f>
        <v>E5</v>
      </c>
      <c r="I182" s="6" t="str">
        <f aca="false">_xlfn.CONCAT("\x", G182, "\x", H182, "=", F182)</f>
        <v>\x24\xE5=깡</v>
      </c>
      <c r="K182" s="6" t="str">
        <f aca="false">_xlfn.CONCAT("\x", H182, "=", MID($Q$16, HEX2DEC(H182)-47, 1))</f>
        <v>\xE5=プ</v>
      </c>
      <c r="M182" s="7" t="s">
        <v>159</v>
      </c>
      <c r="N182" s="6" t="str">
        <f aca="false">_xlfn.CONCAT("\x", DEC2HEX(D182+44, 2), "\x", H182, "=", M182)</f>
        <v>\x2C\xE5=司</v>
      </c>
    </row>
    <row r="183" customFormat="false" ht="14.15" hidden="false" customHeight="false" outlineLevel="0" collapsed="false">
      <c r="A183" s="6" t="str">
        <f aca="false">DEC2HEX(ROW()-1, 2) &amp; "=0x" &amp; DEC2HEX(ROW()-1, 2) &amp; ", "</f>
        <v>B6=0xB6, </v>
      </c>
      <c r="C183" s="6" t="n">
        <f aca="false">MOD(ROW()-1, 208)</f>
        <v>182</v>
      </c>
      <c r="D183" s="6" t="n">
        <f aca="false">INT((ROW()-1)/208)</f>
        <v>0</v>
      </c>
      <c r="F183" s="6" t="str">
        <f aca="false">MID(VLOOKUP(D183,$P$1:$Q$13,2,0), 1 + C183,1)</f>
        <v>깥</v>
      </c>
      <c r="G183" s="6" t="str">
        <f aca="false">DEC2HEX(D183+36, 2)</f>
        <v>24</v>
      </c>
      <c r="H183" s="6" t="str">
        <f aca="false">DEC2HEX(C183+48,2)</f>
        <v>E6</v>
      </c>
      <c r="I183" s="6" t="str">
        <f aca="false">_xlfn.CONCAT("\x", G183, "\x", H183, "=", F183)</f>
        <v>\x24\xE6=깥</v>
      </c>
      <c r="K183" s="6" t="str">
        <f aca="false">_xlfn.CONCAT("\x", H183, "=", MID($Q$16, HEX2DEC(H183)-47, 1))</f>
        <v>\xE6=ヘ</v>
      </c>
      <c r="M183" s="7" t="s">
        <v>160</v>
      </c>
      <c r="N183" s="6" t="str">
        <f aca="false">_xlfn.CONCAT("\x", DEC2HEX(D183+44, 2), "\x", H183, "=", M183)</f>
        <v>\x2C\xE6=士</v>
      </c>
    </row>
    <row r="184" customFormat="false" ht="14.15" hidden="false" customHeight="false" outlineLevel="0" collapsed="false">
      <c r="A184" s="6" t="str">
        <f aca="false">DEC2HEX(ROW()-1, 2) &amp; "=0x" &amp; DEC2HEX(ROW()-1, 2) &amp; ", "</f>
        <v>B7=0xB7, </v>
      </c>
      <c r="C184" s="6" t="n">
        <f aca="false">MOD(ROW()-1, 208)</f>
        <v>183</v>
      </c>
      <c r="D184" s="6" t="n">
        <f aca="false">INT((ROW()-1)/208)</f>
        <v>0</v>
      </c>
      <c r="F184" s="6" t="str">
        <f aca="false">MID(VLOOKUP(D184,$P$1:$Q$13,2,0), 1 + C184,1)</f>
        <v>깨</v>
      </c>
      <c r="G184" s="6" t="str">
        <f aca="false">DEC2HEX(D184+36, 2)</f>
        <v>24</v>
      </c>
      <c r="H184" s="6" t="str">
        <f aca="false">DEC2HEX(C184+48,2)</f>
        <v>E7</v>
      </c>
      <c r="I184" s="6" t="str">
        <f aca="false">_xlfn.CONCAT("\x", G184, "\x", H184, "=", F184)</f>
        <v>\x24\xE7=깨</v>
      </c>
      <c r="K184" s="6" t="str">
        <f aca="false">_xlfn.CONCAT("\x", H184, "=", MID($Q$16, HEX2DEC(H184)-47, 1))</f>
        <v>\xE7=ベ</v>
      </c>
      <c r="M184" s="7" t="s">
        <v>161</v>
      </c>
      <c r="N184" s="6" t="str">
        <f aca="false">_xlfn.CONCAT("\x", DEC2HEX(D184+44, 2), "\x", H184, "=", M184)</f>
        <v>\x2C\xE7=始</v>
      </c>
    </row>
    <row r="185" customFormat="false" ht="14.15" hidden="false" customHeight="false" outlineLevel="0" collapsed="false">
      <c r="A185" s="6" t="str">
        <f aca="false">DEC2HEX(ROW()-1, 2) &amp; "=0x" &amp; DEC2HEX(ROW()-1, 2) &amp; ", "</f>
        <v>B8=0xB8, </v>
      </c>
      <c r="C185" s="6" t="n">
        <f aca="false">MOD(ROW()-1, 208)</f>
        <v>184</v>
      </c>
      <c r="D185" s="6" t="n">
        <f aca="false">INT((ROW()-1)/208)</f>
        <v>0</v>
      </c>
      <c r="F185" s="6" t="str">
        <f aca="false">MID(VLOOKUP(D185,$P$1:$Q$13,2,0), 1 + C185,1)</f>
        <v>깩</v>
      </c>
      <c r="G185" s="6" t="str">
        <f aca="false">DEC2HEX(D185+36, 2)</f>
        <v>24</v>
      </c>
      <c r="H185" s="6" t="str">
        <f aca="false">DEC2HEX(C185+48,2)</f>
        <v>E8</v>
      </c>
      <c r="I185" s="6" t="str">
        <f aca="false">_xlfn.CONCAT("\x", G185, "\x", H185, "=", F185)</f>
        <v>\x24\xE8=깩</v>
      </c>
      <c r="K185" s="6" t="str">
        <f aca="false">_xlfn.CONCAT("\x", H185, "=", MID($Q$16, HEX2DEC(H185)-47, 1))</f>
        <v>\xE8=ペ</v>
      </c>
      <c r="M185" s="7" t="s">
        <v>162</v>
      </c>
      <c r="N185" s="6" t="str">
        <f aca="false">_xlfn.CONCAT("\x", DEC2HEX(D185+44, 2), "\x", H185, "=", M185)</f>
        <v>\x2C\xE8=子</v>
      </c>
    </row>
    <row r="186" customFormat="false" ht="14.15" hidden="false" customHeight="false" outlineLevel="0" collapsed="false">
      <c r="A186" s="6" t="str">
        <f aca="false">DEC2HEX(ROW()-1, 2) &amp; "=0x" &amp; DEC2HEX(ROW()-1, 2) &amp; ", "</f>
        <v>B9=0xB9, </v>
      </c>
      <c r="C186" s="6" t="n">
        <f aca="false">MOD(ROW()-1, 208)</f>
        <v>185</v>
      </c>
      <c r="D186" s="6" t="n">
        <f aca="false">INT((ROW()-1)/208)</f>
        <v>0</v>
      </c>
      <c r="F186" s="6" t="str">
        <f aca="false">MID(VLOOKUP(D186,$P$1:$Q$13,2,0), 1 + C186,1)</f>
        <v>깬</v>
      </c>
      <c r="G186" s="6" t="str">
        <f aca="false">DEC2HEX(D186+36, 2)</f>
        <v>24</v>
      </c>
      <c r="H186" s="6" t="str">
        <f aca="false">DEC2HEX(C186+48,2)</f>
        <v>E9</v>
      </c>
      <c r="I186" s="6" t="str">
        <f aca="false">_xlfn.CONCAT("\x", G186, "\x", H186, "=", F186)</f>
        <v>\x24\xE9=깬</v>
      </c>
      <c r="K186" s="6" t="str">
        <f aca="false">_xlfn.CONCAT("\x", H186, "=", MID($Q$16, HEX2DEC(H186)-47, 1))</f>
        <v>\xE9=ホ</v>
      </c>
      <c r="M186" s="7" t="s">
        <v>163</v>
      </c>
      <c r="N186" s="6" t="str">
        <f aca="false">_xlfn.CONCAT("\x", DEC2HEX(D186+44, 2), "\x", H186, "=", M186)</f>
        <v>\x2C\xE9=師</v>
      </c>
    </row>
    <row r="187" customFormat="false" ht="14.15" hidden="false" customHeight="false" outlineLevel="0" collapsed="false">
      <c r="A187" s="6" t="str">
        <f aca="false">DEC2HEX(ROW()-1, 2) &amp; "=0x" &amp; DEC2HEX(ROW()-1, 2) &amp; ", "</f>
        <v>BA=0xBA, </v>
      </c>
      <c r="C187" s="6" t="n">
        <f aca="false">MOD(ROW()-1, 208)</f>
        <v>186</v>
      </c>
      <c r="D187" s="6" t="n">
        <f aca="false">INT((ROW()-1)/208)</f>
        <v>0</v>
      </c>
      <c r="F187" s="6" t="str">
        <f aca="false">MID(VLOOKUP(D187,$P$1:$Q$13,2,0), 1 + C187,1)</f>
        <v>깰</v>
      </c>
      <c r="G187" s="6" t="str">
        <f aca="false">DEC2HEX(D187+36, 2)</f>
        <v>24</v>
      </c>
      <c r="H187" s="6" t="str">
        <f aca="false">DEC2HEX(C187+48,2)</f>
        <v>EA</v>
      </c>
      <c r="I187" s="6" t="str">
        <f aca="false">_xlfn.CONCAT("\x", G187, "\x", H187, "=", F187)</f>
        <v>\x24\xEA=깰</v>
      </c>
      <c r="K187" s="6" t="str">
        <f aca="false">_xlfn.CONCAT("\x", H187, "=", MID($Q$16, HEX2DEC(H187)-47, 1))</f>
        <v>\xEA=ボ</v>
      </c>
      <c r="M187" s="7" t="s">
        <v>164</v>
      </c>
      <c r="N187" s="6" t="str">
        <f aca="false">_xlfn.CONCAT("\x", DEC2HEX(D187+44, 2), "\x", H187, "=", M187)</f>
        <v>\x2C\xEA=思</v>
      </c>
    </row>
    <row r="188" customFormat="false" ht="14.15" hidden="false" customHeight="false" outlineLevel="0" collapsed="false">
      <c r="A188" s="6" t="str">
        <f aca="false">DEC2HEX(ROW()-1, 2) &amp; "=0x" &amp; DEC2HEX(ROW()-1, 2) &amp; ", "</f>
        <v>BB=0xBB, </v>
      </c>
      <c r="C188" s="6" t="n">
        <f aca="false">MOD(ROW()-1, 208)</f>
        <v>187</v>
      </c>
      <c r="D188" s="6" t="n">
        <f aca="false">INT((ROW()-1)/208)</f>
        <v>0</v>
      </c>
      <c r="F188" s="6" t="str">
        <f aca="false">MID(VLOOKUP(D188,$P$1:$Q$13,2,0), 1 + C188,1)</f>
        <v>깸</v>
      </c>
      <c r="G188" s="6" t="str">
        <f aca="false">DEC2HEX(D188+36, 2)</f>
        <v>24</v>
      </c>
      <c r="H188" s="6" t="str">
        <f aca="false">DEC2HEX(C188+48,2)</f>
        <v>EB</v>
      </c>
      <c r="I188" s="6" t="str">
        <f aca="false">_xlfn.CONCAT("\x", G188, "\x", H188, "=", F188)</f>
        <v>\x24\xEB=깸</v>
      </c>
      <c r="K188" s="6" t="str">
        <f aca="false">_xlfn.CONCAT("\x", H188, "=", MID($Q$16, HEX2DEC(H188)-47, 1))</f>
        <v>\xEB=ポ</v>
      </c>
      <c r="M188" s="7" t="s">
        <v>165</v>
      </c>
      <c r="N188" s="6" t="str">
        <f aca="false">_xlfn.CONCAT("\x", DEC2HEX(D188+44, 2), "\x", H188, "=", M188)</f>
        <v>\x2C\xEB=指</v>
      </c>
    </row>
    <row r="189" customFormat="false" ht="14.15" hidden="false" customHeight="false" outlineLevel="0" collapsed="false">
      <c r="A189" s="6" t="str">
        <f aca="false">DEC2HEX(ROW()-1, 2) &amp; "=0x" &amp; DEC2HEX(ROW()-1, 2) &amp; ", "</f>
        <v>BC=0xBC, </v>
      </c>
      <c r="C189" s="6" t="n">
        <f aca="false">MOD(ROW()-1, 208)</f>
        <v>188</v>
      </c>
      <c r="D189" s="6" t="n">
        <f aca="false">INT((ROW()-1)/208)</f>
        <v>0</v>
      </c>
      <c r="F189" s="6" t="str">
        <f aca="false">MID(VLOOKUP(D189,$P$1:$Q$13,2,0), 1 + C189,1)</f>
        <v>깹</v>
      </c>
      <c r="G189" s="6" t="str">
        <f aca="false">DEC2HEX(D189+36, 2)</f>
        <v>24</v>
      </c>
      <c r="H189" s="6" t="str">
        <f aca="false">DEC2HEX(C189+48,2)</f>
        <v>EC</v>
      </c>
      <c r="I189" s="6" t="str">
        <f aca="false">_xlfn.CONCAT("\x", G189, "\x", H189, "=", F189)</f>
        <v>\x24\xEC=깹</v>
      </c>
      <c r="K189" s="6" t="str">
        <f aca="false">_xlfn.CONCAT("\x", H189, "=", MID($Q$16, HEX2DEC(H189)-47, 1))</f>
        <v>\xEC=マ</v>
      </c>
      <c r="M189" s="7" t="s">
        <v>166</v>
      </c>
      <c r="N189" s="6" t="str">
        <f aca="false">_xlfn.CONCAT("\x", DEC2HEX(D189+44, 2), "\x", H189, "=", M189)</f>
        <v>\x2C\xEC=施</v>
      </c>
    </row>
    <row r="190" customFormat="false" ht="14.15" hidden="false" customHeight="false" outlineLevel="0" collapsed="false">
      <c r="A190" s="6" t="str">
        <f aca="false">DEC2HEX(ROW()-1, 2) &amp; "=0x" &amp; DEC2HEX(ROW()-1, 2) &amp; ", "</f>
        <v>BD=0xBD, </v>
      </c>
      <c r="C190" s="6" t="n">
        <f aca="false">MOD(ROW()-1, 208)</f>
        <v>189</v>
      </c>
      <c r="D190" s="6" t="n">
        <f aca="false">INT((ROW()-1)/208)</f>
        <v>0</v>
      </c>
      <c r="F190" s="6" t="str">
        <f aca="false">MID(VLOOKUP(D190,$P$1:$Q$13,2,0), 1 + C190,1)</f>
        <v>깻</v>
      </c>
      <c r="G190" s="6" t="str">
        <f aca="false">DEC2HEX(D190+36, 2)</f>
        <v>24</v>
      </c>
      <c r="H190" s="6" t="str">
        <f aca="false">DEC2HEX(C190+48,2)</f>
        <v>ED</v>
      </c>
      <c r="I190" s="6" t="str">
        <f aca="false">_xlfn.CONCAT("\x", G190, "\x", H190, "=", F190)</f>
        <v>\x24\xED=깻</v>
      </c>
      <c r="K190" s="6" t="str">
        <f aca="false">_xlfn.CONCAT("\x", H190, "=", MID($Q$16, HEX2DEC(H190)-47, 1))</f>
        <v>\xED=ミ</v>
      </c>
      <c r="M190" s="7" t="s">
        <v>167</v>
      </c>
      <c r="N190" s="6" t="str">
        <f aca="false">_xlfn.CONCAT("\x", DEC2HEX(D190+44, 2), "\x", H190, "=", M190)</f>
        <v>\x2C\xED=止</v>
      </c>
    </row>
    <row r="191" customFormat="false" ht="14.15" hidden="false" customHeight="false" outlineLevel="0" collapsed="false">
      <c r="A191" s="6" t="str">
        <f aca="false">DEC2HEX(ROW()-1, 2) &amp; "=0x" &amp; DEC2HEX(ROW()-1, 2) &amp; ", "</f>
        <v>BE=0xBE, </v>
      </c>
      <c r="C191" s="6" t="n">
        <f aca="false">MOD(ROW()-1, 208)</f>
        <v>190</v>
      </c>
      <c r="D191" s="6" t="n">
        <f aca="false">INT((ROW()-1)/208)</f>
        <v>0</v>
      </c>
      <c r="F191" s="6" t="str">
        <f aca="false">MID(VLOOKUP(D191,$P$1:$Q$13,2,0), 1 + C191,1)</f>
        <v>깼</v>
      </c>
      <c r="G191" s="6" t="str">
        <f aca="false">DEC2HEX(D191+36, 2)</f>
        <v>24</v>
      </c>
      <c r="H191" s="6" t="str">
        <f aca="false">DEC2HEX(C191+48,2)</f>
        <v>EE</v>
      </c>
      <c r="I191" s="6" t="str">
        <f aca="false">_xlfn.CONCAT("\x", G191, "\x", H191, "=", F191)</f>
        <v>\x24\xEE=깼</v>
      </c>
      <c r="K191" s="6" t="str">
        <f aca="false">_xlfn.CONCAT("\x", H191, "=", MID($Q$16, HEX2DEC(H191)-47, 1))</f>
        <v>\xEE=ム</v>
      </c>
      <c r="M191" s="7" t="s">
        <v>168</v>
      </c>
      <c r="N191" s="6" t="str">
        <f aca="false">_xlfn.CONCAT("\x", DEC2HEX(D191+44, 2), "\x", H191, "=", M191)</f>
        <v>\x2C\xEE=死</v>
      </c>
    </row>
    <row r="192" customFormat="false" ht="14.15" hidden="false" customHeight="false" outlineLevel="0" collapsed="false">
      <c r="A192" s="6" t="str">
        <f aca="false">DEC2HEX(ROW()-1, 2) &amp; "=0x" &amp; DEC2HEX(ROW()-1, 2) &amp; ", "</f>
        <v>BF=0xBF, </v>
      </c>
      <c r="C192" s="6" t="n">
        <f aca="false">MOD(ROW()-1, 208)</f>
        <v>191</v>
      </c>
      <c r="D192" s="6" t="n">
        <f aca="false">INT((ROW()-1)/208)</f>
        <v>0</v>
      </c>
      <c r="F192" s="6" t="str">
        <f aca="false">MID(VLOOKUP(D192,$P$1:$Q$13,2,0), 1 + C192,1)</f>
        <v>깽</v>
      </c>
      <c r="G192" s="6" t="str">
        <f aca="false">DEC2HEX(D192+36, 2)</f>
        <v>24</v>
      </c>
      <c r="H192" s="6" t="str">
        <f aca="false">DEC2HEX(C192+48,2)</f>
        <v>EF</v>
      </c>
      <c r="I192" s="6" t="str">
        <f aca="false">_xlfn.CONCAT("\x", G192, "\x", H192, "=", F192)</f>
        <v>\x24\xEF=깽</v>
      </c>
      <c r="K192" s="6" t="str">
        <f aca="false">_xlfn.CONCAT("\x", H192, "=", MID($Q$16, HEX2DEC(H192)-47, 1))</f>
        <v>\xEF=メ</v>
      </c>
      <c r="M192" s="7" t="s">
        <v>169</v>
      </c>
      <c r="N192" s="6" t="str">
        <f aca="false">_xlfn.CONCAT("\x", DEC2HEX(D192+44, 2), "\x", H192, "=", M192)</f>
        <v>\x2C\xEF=試</v>
      </c>
    </row>
    <row r="193" customFormat="false" ht="14.15" hidden="false" customHeight="false" outlineLevel="0" collapsed="false">
      <c r="A193" s="6" t="str">
        <f aca="false">DEC2HEX(ROW()-1, 2) &amp; "=0x" &amp; DEC2HEX(ROW()-1, 2) &amp; ", "</f>
        <v>C0=0xC0, </v>
      </c>
      <c r="C193" s="6" t="n">
        <f aca="false">MOD(ROW()-1, 208)</f>
        <v>192</v>
      </c>
      <c r="D193" s="6" t="n">
        <f aca="false">INT((ROW()-1)/208)</f>
        <v>0</v>
      </c>
      <c r="F193" s="6" t="str">
        <f aca="false">MID(VLOOKUP(D193,$P$1:$Q$13,2,0), 1 + C193,1)</f>
        <v>꺄</v>
      </c>
      <c r="G193" s="6" t="str">
        <f aca="false">DEC2HEX(D193+36, 2)</f>
        <v>24</v>
      </c>
      <c r="H193" s="6" t="str">
        <f aca="false">DEC2HEX(C193+48,2)</f>
        <v>F0</v>
      </c>
      <c r="I193" s="6" t="str">
        <f aca="false">_xlfn.CONCAT("\x", G193, "\x", H193, "=", F193)</f>
        <v>\x24\xF0=꺄</v>
      </c>
      <c r="K193" s="6" t="str">
        <f aca="false">_xlfn.CONCAT("\x", H193, "=", MID($Q$16, HEX2DEC(H193)-47, 1))</f>
        <v>\xF0=モ</v>
      </c>
      <c r="M193" s="7" t="s">
        <v>170</v>
      </c>
      <c r="N193" s="6" t="str">
        <f aca="false">_xlfn.CONCAT("\x", DEC2HEX(D193+44, 2), "\x", H193, "=", M193)</f>
        <v>\x2C\xF0=字</v>
      </c>
    </row>
    <row r="194" customFormat="false" ht="14.15" hidden="false" customHeight="false" outlineLevel="0" collapsed="false">
      <c r="A194" s="6" t="str">
        <f aca="false">DEC2HEX(ROW()-1, 2) &amp; "=0x" &amp; DEC2HEX(ROW()-1, 2) &amp; ", "</f>
        <v>C1=0xC1, </v>
      </c>
      <c r="C194" s="6" t="n">
        <f aca="false">MOD(ROW()-1, 208)</f>
        <v>193</v>
      </c>
      <c r="D194" s="6" t="n">
        <f aca="false">INT((ROW()-1)/208)</f>
        <v>0</v>
      </c>
      <c r="F194" s="6" t="str">
        <f aca="false">MID(VLOOKUP(D194,$P$1:$Q$13,2,0), 1 + C194,1)</f>
        <v>꺅</v>
      </c>
      <c r="G194" s="6" t="str">
        <f aca="false">DEC2HEX(D194+36, 2)</f>
        <v>24</v>
      </c>
      <c r="H194" s="6" t="str">
        <f aca="false">DEC2HEX(C194+48,2)</f>
        <v>F1</v>
      </c>
      <c r="I194" s="6" t="str">
        <f aca="false">_xlfn.CONCAT("\x", G194, "\x", H194, "=", F194)</f>
        <v>\x24\xF1=꺅</v>
      </c>
      <c r="K194" s="6" t="str">
        <f aca="false">_xlfn.CONCAT("\x", H194, "=", MID($Q$16, HEX2DEC(H194)-47, 1))</f>
        <v>\xF1=ャ</v>
      </c>
      <c r="M194" s="7" t="s">
        <v>171</v>
      </c>
      <c r="N194" s="6" t="str">
        <f aca="false">_xlfn.CONCAT("\x", DEC2HEX(D194+44, 2), "\x", H194, "=", M194)</f>
        <v>\x2C\xF1=寺</v>
      </c>
    </row>
    <row r="195" customFormat="false" ht="14.15" hidden="false" customHeight="false" outlineLevel="0" collapsed="false">
      <c r="A195" s="6" t="str">
        <f aca="false">DEC2HEX(ROW()-1, 2) &amp; "=0x" &amp; DEC2HEX(ROW()-1, 2) &amp; ", "</f>
        <v>C2=0xC2, </v>
      </c>
      <c r="C195" s="6" t="n">
        <f aca="false">MOD(ROW()-1, 208)</f>
        <v>194</v>
      </c>
      <c r="D195" s="6" t="n">
        <f aca="false">INT((ROW()-1)/208)</f>
        <v>0</v>
      </c>
      <c r="F195" s="6" t="str">
        <f aca="false">MID(VLOOKUP(D195,$P$1:$Q$13,2,0), 1 + C195,1)</f>
        <v>꺌</v>
      </c>
      <c r="G195" s="6" t="str">
        <f aca="false">DEC2HEX(D195+36, 2)</f>
        <v>24</v>
      </c>
      <c r="H195" s="6" t="str">
        <f aca="false">DEC2HEX(C195+48,2)</f>
        <v>F2</v>
      </c>
      <c r="I195" s="6" t="str">
        <f aca="false">_xlfn.CONCAT("\x", G195, "\x", H195, "=", F195)</f>
        <v>\x24\xF2=꺌</v>
      </c>
      <c r="K195" s="6" t="str">
        <f aca="false">_xlfn.CONCAT("\x", H195, "=", MID($Q$16, HEX2DEC(H195)-47, 1))</f>
        <v>\xF2=ヤ</v>
      </c>
      <c r="M195" s="7" t="s">
        <v>172</v>
      </c>
      <c r="N195" s="6" t="str">
        <f aca="false">_xlfn.CONCAT("\x", DEC2HEX(D195+44, 2), "\x", H195, "=", M195)</f>
        <v>\x2C\xF2=持</v>
      </c>
    </row>
    <row r="196" customFormat="false" ht="14.15" hidden="false" customHeight="false" outlineLevel="0" collapsed="false">
      <c r="A196" s="6" t="str">
        <f aca="false">DEC2HEX(ROW()-1, 2) &amp; "=0x" &amp; DEC2HEX(ROW()-1, 2) &amp; ", "</f>
        <v>C3=0xC3, </v>
      </c>
      <c r="C196" s="6" t="n">
        <f aca="false">MOD(ROW()-1, 208)</f>
        <v>195</v>
      </c>
      <c r="D196" s="6" t="n">
        <f aca="false">INT((ROW()-1)/208)</f>
        <v>0</v>
      </c>
      <c r="F196" s="6" t="str">
        <f aca="false">MID(VLOOKUP(D196,$P$1:$Q$13,2,0), 1 + C196,1)</f>
        <v>꺼</v>
      </c>
      <c r="G196" s="6" t="str">
        <f aca="false">DEC2HEX(D196+36, 2)</f>
        <v>24</v>
      </c>
      <c r="H196" s="6" t="str">
        <f aca="false">DEC2HEX(C196+48,2)</f>
        <v>F3</v>
      </c>
      <c r="I196" s="6" t="str">
        <f aca="false">_xlfn.CONCAT("\x", G196, "\x", H196, "=", F196)</f>
        <v>\x24\xF3=꺼</v>
      </c>
      <c r="K196" s="6" t="str">
        <f aca="false">_xlfn.CONCAT("\x", H196, "=", MID($Q$16, HEX2DEC(H196)-47, 1))</f>
        <v>\xF3=ュ</v>
      </c>
      <c r="M196" s="7" t="s">
        <v>173</v>
      </c>
      <c r="N196" s="6" t="str">
        <f aca="false">_xlfn.CONCAT("\x", DEC2HEX(D196+44, 2), "\x", H196, "=", M196)</f>
        <v>\x2C\xF3=次</v>
      </c>
    </row>
    <row r="197" customFormat="false" ht="14.15" hidden="false" customHeight="false" outlineLevel="0" collapsed="false">
      <c r="A197" s="6" t="str">
        <f aca="false">DEC2HEX(ROW()-1, 2) &amp; "=0x" &amp; DEC2HEX(ROW()-1, 2) &amp; ", "</f>
        <v>C4=0xC4, </v>
      </c>
      <c r="C197" s="6" t="n">
        <f aca="false">MOD(ROW()-1, 208)</f>
        <v>196</v>
      </c>
      <c r="D197" s="6" t="n">
        <f aca="false">INT((ROW()-1)/208)</f>
        <v>0</v>
      </c>
      <c r="F197" s="6" t="str">
        <f aca="false">MID(VLOOKUP(D197,$P$1:$Q$13,2,0), 1 + C197,1)</f>
        <v>꺽</v>
      </c>
      <c r="G197" s="6" t="str">
        <f aca="false">DEC2HEX(D197+36, 2)</f>
        <v>24</v>
      </c>
      <c r="H197" s="6" t="str">
        <f aca="false">DEC2HEX(C197+48,2)</f>
        <v>F4</v>
      </c>
      <c r="I197" s="6" t="str">
        <f aca="false">_xlfn.CONCAT("\x", G197, "\x", H197, "=", F197)</f>
        <v>\x24\xF4=꺽</v>
      </c>
      <c r="K197" s="6" t="str">
        <f aca="false">_xlfn.CONCAT("\x", H197, "=", MID($Q$16, HEX2DEC(H197)-47, 1))</f>
        <v>\xF4=ユ</v>
      </c>
      <c r="M197" s="7" t="s">
        <v>174</v>
      </c>
      <c r="N197" s="6" t="str">
        <f aca="false">_xlfn.CONCAT("\x", DEC2HEX(D197+44, 2), "\x", H197, "=", M197)</f>
        <v>\x2C\xF4=治</v>
      </c>
    </row>
    <row r="198" customFormat="false" ht="14.15" hidden="false" customHeight="false" outlineLevel="0" collapsed="false">
      <c r="A198" s="6" t="str">
        <f aca="false">DEC2HEX(ROW()-1, 2) &amp; "=0x" &amp; DEC2HEX(ROW()-1, 2) &amp; ", "</f>
        <v>C5=0xC5, </v>
      </c>
      <c r="C198" s="6" t="n">
        <f aca="false">MOD(ROW()-1, 208)</f>
        <v>197</v>
      </c>
      <c r="D198" s="6" t="n">
        <f aca="false">INT((ROW()-1)/208)</f>
        <v>0</v>
      </c>
      <c r="F198" s="6" t="str">
        <f aca="false">MID(VLOOKUP(D198,$P$1:$Q$13,2,0), 1 + C198,1)</f>
        <v>꺾</v>
      </c>
      <c r="G198" s="6" t="str">
        <f aca="false">DEC2HEX(D198+36, 2)</f>
        <v>24</v>
      </c>
      <c r="H198" s="6" t="str">
        <f aca="false">DEC2HEX(C198+48,2)</f>
        <v>F5</v>
      </c>
      <c r="I198" s="6" t="str">
        <f aca="false">_xlfn.CONCAT("\x", G198, "\x", H198, "=", F198)</f>
        <v>\x24\xF5=꺾</v>
      </c>
      <c r="K198" s="6" t="str">
        <f aca="false">_xlfn.CONCAT("\x", H198, "=", MID($Q$16, HEX2DEC(H198)-47, 1))</f>
        <v>\xF5=ョ</v>
      </c>
      <c r="M198" s="7" t="s">
        <v>175</v>
      </c>
      <c r="N198" s="6" t="str">
        <f aca="false">_xlfn.CONCAT("\x", DEC2HEX(D198+44, 2), "\x", H198, "=", M198)</f>
        <v>\x2C\xF5=示</v>
      </c>
    </row>
    <row r="199" customFormat="false" ht="14.15" hidden="false" customHeight="false" outlineLevel="0" collapsed="false">
      <c r="A199" s="6" t="str">
        <f aca="false">DEC2HEX(ROW()-1, 2) &amp; "=0x" &amp; DEC2HEX(ROW()-1, 2) &amp; ", "</f>
        <v>C6=0xC6, </v>
      </c>
      <c r="C199" s="6" t="n">
        <f aca="false">MOD(ROW()-1, 208)</f>
        <v>198</v>
      </c>
      <c r="D199" s="6" t="n">
        <f aca="false">INT((ROW()-1)/208)</f>
        <v>0</v>
      </c>
      <c r="F199" s="6" t="str">
        <f aca="false">MID(VLOOKUP(D199,$P$1:$Q$13,2,0), 1 + C199,1)</f>
        <v>껀</v>
      </c>
      <c r="G199" s="6" t="str">
        <f aca="false">DEC2HEX(D199+36, 2)</f>
        <v>24</v>
      </c>
      <c r="H199" s="6" t="str">
        <f aca="false">DEC2HEX(C199+48,2)</f>
        <v>F6</v>
      </c>
      <c r="I199" s="6" t="str">
        <f aca="false">_xlfn.CONCAT("\x", G199, "\x", H199, "=", F199)</f>
        <v>\x24\xF6=껀</v>
      </c>
      <c r="K199" s="6" t="str">
        <f aca="false">_xlfn.CONCAT("\x", H199, "=", MID($Q$16, HEX2DEC(H199)-47, 1))</f>
        <v>\xF6=ヨ</v>
      </c>
      <c r="M199" s="7" t="s">
        <v>176</v>
      </c>
      <c r="N199" s="6" t="str">
        <f aca="false">_xlfn.CONCAT("\x", DEC2HEX(D199+44, 2), "\x", H199, "=", M199)</f>
        <v>\x2C\xF6=自</v>
      </c>
    </row>
    <row r="200" customFormat="false" ht="14.15" hidden="false" customHeight="false" outlineLevel="0" collapsed="false">
      <c r="A200" s="6" t="str">
        <f aca="false">DEC2HEX(ROW()-1, 2) &amp; "=0x" &amp; DEC2HEX(ROW()-1, 2) &amp; ", "</f>
        <v>C7=0xC7, </v>
      </c>
      <c r="C200" s="6" t="n">
        <f aca="false">MOD(ROW()-1, 208)</f>
        <v>199</v>
      </c>
      <c r="D200" s="6" t="n">
        <f aca="false">INT((ROW()-1)/208)</f>
        <v>0</v>
      </c>
      <c r="F200" s="6" t="str">
        <f aca="false">MID(VLOOKUP(D200,$P$1:$Q$13,2,0), 1 + C200,1)</f>
        <v>껄</v>
      </c>
      <c r="G200" s="6" t="str">
        <f aca="false">DEC2HEX(D200+36, 2)</f>
        <v>24</v>
      </c>
      <c r="H200" s="6" t="str">
        <f aca="false">DEC2HEX(C200+48,2)</f>
        <v>F7</v>
      </c>
      <c r="I200" s="6" t="str">
        <f aca="false">_xlfn.CONCAT("\x", G200, "\x", H200, "=", F200)</f>
        <v>\x24\xF7=껄</v>
      </c>
      <c r="K200" s="6" t="str">
        <f aca="false">_xlfn.CONCAT("\x", H200, "=", MID($Q$16, HEX2DEC(H200)-47, 1))</f>
        <v>\xF7=ラ</v>
      </c>
      <c r="M200" s="7" t="s">
        <v>177</v>
      </c>
      <c r="N200" s="6" t="str">
        <f aca="false">_xlfn.CONCAT("\x", DEC2HEX(D200+44, 2), "\x", H200, "=", M200)</f>
        <v>\x2C\xF7=式</v>
      </c>
    </row>
    <row r="201" customFormat="false" ht="14.15" hidden="false" customHeight="false" outlineLevel="0" collapsed="false">
      <c r="A201" s="6" t="str">
        <f aca="false">DEC2HEX(ROW()-1, 2) &amp; "=0x" &amp; DEC2HEX(ROW()-1, 2) &amp; ", "</f>
        <v>C8=0xC8, </v>
      </c>
      <c r="C201" s="6" t="n">
        <f aca="false">MOD(ROW()-1, 208)</f>
        <v>200</v>
      </c>
      <c r="D201" s="6" t="n">
        <f aca="false">INT((ROW()-1)/208)</f>
        <v>0</v>
      </c>
      <c r="F201" s="6" t="str">
        <f aca="false">MID(VLOOKUP(D201,$P$1:$Q$13,2,0), 1 + C201,1)</f>
        <v>껌</v>
      </c>
      <c r="G201" s="6" t="str">
        <f aca="false">DEC2HEX(D201+36, 2)</f>
        <v>24</v>
      </c>
      <c r="H201" s="6" t="str">
        <f aca="false">DEC2HEX(C201+48,2)</f>
        <v>F8</v>
      </c>
      <c r="I201" s="6" t="str">
        <f aca="false">_xlfn.CONCAT("\x", G201, "\x", H201, "=", F201)</f>
        <v>\x24\xF8=껌</v>
      </c>
      <c r="K201" s="6" t="str">
        <f aca="false">_xlfn.CONCAT("\x", H201, "=", MID($Q$16, HEX2DEC(H201)-47, 1))</f>
        <v>\xF8=リ</v>
      </c>
      <c r="M201" s="7" t="s">
        <v>178</v>
      </c>
      <c r="N201" s="6" t="str">
        <f aca="false">_xlfn.CONCAT("\x", DEC2HEX(D201+44, 2), "\x", H201, "=", M201)</f>
        <v>\x2C\xF8=失</v>
      </c>
    </row>
    <row r="202" customFormat="false" ht="14.15" hidden="false" customHeight="false" outlineLevel="0" collapsed="false">
      <c r="A202" s="6" t="str">
        <f aca="false">DEC2HEX(ROW()-1, 2) &amp; "=0x" &amp; DEC2HEX(ROW()-1, 2) &amp; ", "</f>
        <v>C9=0xC9, </v>
      </c>
      <c r="C202" s="6" t="n">
        <f aca="false">MOD(ROW()-1, 208)</f>
        <v>201</v>
      </c>
      <c r="D202" s="6" t="n">
        <f aca="false">INT((ROW()-1)/208)</f>
        <v>0</v>
      </c>
      <c r="F202" s="6" t="str">
        <f aca="false">MID(VLOOKUP(D202,$P$1:$Q$13,2,0), 1 + C202,1)</f>
        <v>껍</v>
      </c>
      <c r="G202" s="6" t="str">
        <f aca="false">DEC2HEX(D202+36, 2)</f>
        <v>24</v>
      </c>
      <c r="H202" s="6" t="str">
        <f aca="false">DEC2HEX(C202+48,2)</f>
        <v>F9</v>
      </c>
      <c r="I202" s="6" t="str">
        <f aca="false">_xlfn.CONCAT("\x", G202, "\x", H202, "=", F202)</f>
        <v>\x24\xF9=껍</v>
      </c>
      <c r="K202" s="6" t="str">
        <f aca="false">_xlfn.CONCAT("\x", H202, "=", MID($Q$16, HEX2DEC(H202)-47, 1))</f>
        <v>\xF9=ル</v>
      </c>
      <c r="M202" s="7" t="s">
        <v>179</v>
      </c>
      <c r="N202" s="6" t="str">
        <f aca="false">_xlfn.CONCAT("\x", DEC2HEX(D202+44, 2), "\x", H202, "=", M202)</f>
        <v>\x2C\xF9=室</v>
      </c>
    </row>
    <row r="203" customFormat="false" ht="14.15" hidden="false" customHeight="false" outlineLevel="0" collapsed="false">
      <c r="A203" s="6" t="str">
        <f aca="false">DEC2HEX(ROW()-1, 2) &amp; "=0x" &amp; DEC2HEX(ROW()-1, 2) &amp; ", "</f>
        <v>CA=0xCA, </v>
      </c>
      <c r="C203" s="6" t="n">
        <f aca="false">MOD(ROW()-1, 208)</f>
        <v>202</v>
      </c>
      <c r="D203" s="6" t="n">
        <f aca="false">INT((ROW()-1)/208)</f>
        <v>0</v>
      </c>
      <c r="F203" s="6" t="str">
        <f aca="false">MID(VLOOKUP(D203,$P$1:$Q$13,2,0), 1 + C203,1)</f>
        <v>껏</v>
      </c>
      <c r="G203" s="6" t="str">
        <f aca="false">DEC2HEX(D203+36, 2)</f>
        <v>24</v>
      </c>
      <c r="H203" s="6" t="str">
        <f aca="false">DEC2HEX(C203+48,2)</f>
        <v>FA</v>
      </c>
      <c r="I203" s="6" t="str">
        <f aca="false">_xlfn.CONCAT("\x", G203, "\x", H203, "=", F203)</f>
        <v>\x24\xFA=껏</v>
      </c>
      <c r="K203" s="6" t="str">
        <f aca="false">_xlfn.CONCAT("\x", H203, "=", MID($Q$16, HEX2DEC(H203)-47, 1))</f>
        <v>\xFA=レ</v>
      </c>
      <c r="M203" s="7" t="s">
        <v>180</v>
      </c>
      <c r="N203" s="6" t="str">
        <f aca="false">_xlfn.CONCAT("\x", DEC2HEX(D203+44, 2), "\x", H203, "=", M203)</f>
        <v>\x2C\xFA=舎</v>
      </c>
    </row>
    <row r="204" customFormat="false" ht="14.15" hidden="false" customHeight="false" outlineLevel="0" collapsed="false">
      <c r="A204" s="6" t="str">
        <f aca="false">DEC2HEX(ROW()-1, 2) &amp; "=0x" &amp; DEC2HEX(ROW()-1, 2) &amp; ", "</f>
        <v>CB=0xCB, </v>
      </c>
      <c r="C204" s="6" t="n">
        <f aca="false">MOD(ROW()-1, 208)</f>
        <v>203</v>
      </c>
      <c r="D204" s="6" t="n">
        <f aca="false">INT((ROW()-1)/208)</f>
        <v>0</v>
      </c>
      <c r="F204" s="6" t="str">
        <f aca="false">MID(VLOOKUP(D204,$P$1:$Q$13,2,0), 1 + C204,1)</f>
        <v>껐</v>
      </c>
      <c r="G204" s="6" t="str">
        <f aca="false">DEC2HEX(D204+36, 2)</f>
        <v>24</v>
      </c>
      <c r="H204" s="6" t="str">
        <f aca="false">DEC2HEX(C204+48,2)</f>
        <v>FB</v>
      </c>
      <c r="I204" s="6" t="str">
        <f aca="false">_xlfn.CONCAT("\x", G204, "\x", H204, "=", F204)</f>
        <v>\x24\xFB=껐</v>
      </c>
      <c r="K204" s="6" t="str">
        <f aca="false">_xlfn.CONCAT("\x", H204, "=", MID($Q$16, HEX2DEC(H204)-47, 1))</f>
        <v>\xFB=ロ</v>
      </c>
      <c r="M204" s="7" t="s">
        <v>181</v>
      </c>
      <c r="N204" s="6" t="str">
        <f aca="false">_xlfn.CONCAT("\x", DEC2HEX(D204+44, 2), "\x", H204, "=", M204)</f>
        <v>\x2C\xFB=捨</v>
      </c>
    </row>
    <row r="205" customFormat="false" ht="14.15" hidden="false" customHeight="false" outlineLevel="0" collapsed="false">
      <c r="A205" s="6" t="str">
        <f aca="false">DEC2HEX(ROW()-1, 2) &amp; "=0x" &amp; DEC2HEX(ROW()-1, 2) &amp; ", "</f>
        <v>CC=0xCC, </v>
      </c>
      <c r="C205" s="6" t="n">
        <f aca="false">MOD(ROW()-1, 208)</f>
        <v>204</v>
      </c>
      <c r="D205" s="6" t="n">
        <f aca="false">INT((ROW()-1)/208)</f>
        <v>0</v>
      </c>
      <c r="F205" s="6" t="str">
        <f aca="false">MID(VLOOKUP(D205,$P$1:$Q$13,2,0), 1 + C205,1)</f>
        <v>껑</v>
      </c>
      <c r="G205" s="6" t="str">
        <f aca="false">DEC2HEX(D205+36, 2)</f>
        <v>24</v>
      </c>
      <c r="H205" s="6" t="str">
        <f aca="false">DEC2HEX(C205+48,2)</f>
        <v>FC</v>
      </c>
      <c r="I205" s="6" t="str">
        <f aca="false">_xlfn.CONCAT("\x", G205, "\x", H205, "=", F205)</f>
        <v>\x24\xFC=껑</v>
      </c>
      <c r="K205" s="6" t="str">
        <f aca="false">_xlfn.CONCAT("\x", H205, "=", MID($Q$16, HEX2DEC(H205)-47, 1))</f>
        <v>\xFC=ワ</v>
      </c>
      <c r="M205" s="7" t="s">
        <v>182</v>
      </c>
      <c r="N205" s="6" t="str">
        <f aca="false">_xlfn.CONCAT("\x", DEC2HEX(D205+44, 2), "\x", H205, "=", M205)</f>
        <v>\x2C\xFC=弱</v>
      </c>
    </row>
    <row r="206" customFormat="false" ht="14.15" hidden="false" customHeight="false" outlineLevel="0" collapsed="false">
      <c r="A206" s="6" t="str">
        <f aca="false">DEC2HEX(ROW()-1, 2) &amp; "=0x" &amp; DEC2HEX(ROW()-1, 2) &amp; ", "</f>
        <v>CD=0xCD, </v>
      </c>
      <c r="C206" s="6" t="n">
        <f aca="false">MOD(ROW()-1, 208)</f>
        <v>205</v>
      </c>
      <c r="D206" s="6" t="n">
        <f aca="false">INT((ROW()-1)/208)</f>
        <v>0</v>
      </c>
      <c r="F206" s="6" t="str">
        <f aca="false">MID(VLOOKUP(D206,$P$1:$Q$13,2,0), 1 + C206,1)</f>
        <v>께</v>
      </c>
      <c r="G206" s="6" t="str">
        <f aca="false">DEC2HEX(D206+36, 2)</f>
        <v>24</v>
      </c>
      <c r="H206" s="6" t="str">
        <f aca="false">DEC2HEX(C206+48,2)</f>
        <v>FD</v>
      </c>
      <c r="I206" s="6" t="str">
        <f aca="false">_xlfn.CONCAT("\x", G206, "\x", H206, "=", F206)</f>
        <v>\x24\xFD=께</v>
      </c>
      <c r="K206" s="6" t="str">
        <f aca="false">_xlfn.CONCAT("\x", H206, "=", MID($Q$16, HEX2DEC(H206)-47, 1))</f>
        <v>\xFD=ヲ</v>
      </c>
      <c r="M206" s="7" t="s">
        <v>183</v>
      </c>
      <c r="N206" s="6" t="str">
        <f aca="false">_xlfn.CONCAT("\x", DEC2HEX(D206+44, 2), "\x", H206, "=", M206)</f>
        <v>\x2C\xFD=取</v>
      </c>
    </row>
    <row r="207" customFormat="false" ht="14.15" hidden="false" customHeight="false" outlineLevel="0" collapsed="false">
      <c r="A207" s="6" t="str">
        <f aca="false">DEC2HEX(ROW()-1, 2) &amp; "=0x" &amp; DEC2HEX(ROW()-1, 2) &amp; ", "</f>
        <v>CE=0xCE, </v>
      </c>
      <c r="C207" s="6" t="n">
        <f aca="false">MOD(ROW()-1, 208)</f>
        <v>206</v>
      </c>
      <c r="D207" s="6" t="n">
        <f aca="false">INT((ROW()-1)/208)</f>
        <v>0</v>
      </c>
      <c r="F207" s="6" t="str">
        <f aca="false">MID(VLOOKUP(D207,$P$1:$Q$13,2,0), 1 + C207,1)</f>
        <v>껙</v>
      </c>
      <c r="G207" s="6" t="str">
        <f aca="false">DEC2HEX(D207+36, 2)</f>
        <v>24</v>
      </c>
      <c r="H207" s="6" t="str">
        <f aca="false">DEC2HEX(C207+48,2)</f>
        <v>FE</v>
      </c>
      <c r="I207" s="6" t="str">
        <f aca="false">_xlfn.CONCAT("\x", G207, "\x", H207, "=", F207)</f>
        <v>\x24\xFE=껙</v>
      </c>
      <c r="K207" s="6" t="str">
        <f aca="false">_xlfn.CONCAT("\x", H207, "=", MID($Q$16, HEX2DEC(H207)-47, 1))</f>
        <v>\xFE=ン</v>
      </c>
      <c r="M207" s="7" t="s">
        <v>184</v>
      </c>
      <c r="N207" s="6" t="str">
        <f aca="false">_xlfn.CONCAT("\x", DEC2HEX(D207+44, 2), "\x", H207, "=", M207)</f>
        <v>\x2C\xFE=守</v>
      </c>
    </row>
    <row r="208" customFormat="false" ht="14.15" hidden="false" customHeight="false" outlineLevel="0" collapsed="false">
      <c r="A208" s="6" t="str">
        <f aca="false">DEC2HEX(ROW()-1, 2) &amp; "=0x" &amp; DEC2HEX(ROW()-1, 2) &amp; ", "</f>
        <v>CF=0xCF, </v>
      </c>
      <c r="C208" s="6" t="n">
        <f aca="false">MOD(ROW()-1, 208)</f>
        <v>207</v>
      </c>
      <c r="D208" s="6" t="n">
        <f aca="false">INT((ROW()-1)/208)</f>
        <v>0</v>
      </c>
      <c r="F208" s="6" t="str">
        <f aca="false">MID(VLOOKUP(D208,$P$1:$Q$13,2,0), 1 + C208,1)</f>
        <v>껜</v>
      </c>
      <c r="G208" s="6" t="str">
        <f aca="false">DEC2HEX(D208+36, 2)</f>
        <v>24</v>
      </c>
      <c r="H208" s="6" t="str">
        <f aca="false">DEC2HEX(C208+48,2)</f>
        <v>FF</v>
      </c>
      <c r="I208" s="6" t="str">
        <f aca="false">_xlfn.CONCAT("\x", G208, "\x", H208, "=", F208)</f>
        <v>\x24\xFF=껜</v>
      </c>
      <c r="K208" s="6" t="str">
        <f aca="false">_xlfn.CONCAT("\x", H208, "=", MID($Q$16, HEX2DEC(H208)-47, 1))</f>
        <v>\xFF=ヴ</v>
      </c>
      <c r="M208" s="7" t="s">
        <v>185</v>
      </c>
      <c r="N208" s="6" t="str">
        <f aca="false">_xlfn.CONCAT("\x", DEC2HEX(D208+44, 2), "\x", H208, "=", M208)</f>
        <v>\x2C\xFF=手</v>
      </c>
    </row>
    <row r="209" customFormat="false" ht="14.15" hidden="false" customHeight="false" outlineLevel="0" collapsed="false">
      <c r="A209" s="6" t="str">
        <f aca="false">DEC2HEX(ROW()-1, 2) &amp; "=0x" &amp; DEC2HEX(ROW()-1, 2) &amp; ", "</f>
        <v>D0=0xD0, </v>
      </c>
      <c r="C209" s="6" t="n">
        <f aca="false">MOD(ROW()-1, 208)</f>
        <v>0</v>
      </c>
      <c r="D209" s="6" t="n">
        <f aca="false">INT((ROW()-1)/208)</f>
        <v>1</v>
      </c>
      <c r="F209" s="6" t="str">
        <f aca="false">MID(VLOOKUP(D209,$P$1:$Q$13,2,0), 1 + C209,1)</f>
        <v>껨</v>
      </c>
      <c r="G209" s="6" t="str">
        <f aca="false">DEC2HEX(D209+36, 2)</f>
        <v>25</v>
      </c>
      <c r="H209" s="6" t="str">
        <f aca="false">DEC2HEX(C209+48,2)</f>
        <v>30</v>
      </c>
      <c r="I209" s="6" t="str">
        <f aca="false">_xlfn.CONCAT("\x", G209, "\x", H209, "=", F209)</f>
        <v>\x25\x30=껨</v>
      </c>
      <c r="M209" s="7" t="s">
        <v>186</v>
      </c>
      <c r="N209" s="6" t="str">
        <f aca="false">_xlfn.CONCAT("\x", DEC2HEX(D209+44, 2), "\x", H209, "=", M209)</f>
        <v>\x2D\x30=殊</v>
      </c>
    </row>
    <row r="210" customFormat="false" ht="14.15" hidden="false" customHeight="false" outlineLevel="0" collapsed="false">
      <c r="A210" s="6" t="str">
        <f aca="false">DEC2HEX(ROW()-1, 2) &amp; "=0x" &amp; DEC2HEX(ROW()-1, 2) &amp; ", "</f>
        <v>D1=0xD1, </v>
      </c>
      <c r="C210" s="6" t="n">
        <f aca="false">MOD(ROW()-1, 208)</f>
        <v>1</v>
      </c>
      <c r="D210" s="6" t="n">
        <f aca="false">INT((ROW()-1)/208)</f>
        <v>1</v>
      </c>
      <c r="F210" s="6" t="str">
        <f aca="false">MID(VLOOKUP(D210,$P$1:$Q$13,2,0), 1 + C210,1)</f>
        <v>껫</v>
      </c>
      <c r="G210" s="6" t="str">
        <f aca="false">DEC2HEX(D210+36, 2)</f>
        <v>25</v>
      </c>
      <c r="H210" s="6" t="str">
        <f aca="false">DEC2HEX(C210+48,2)</f>
        <v>31</v>
      </c>
      <c r="I210" s="6" t="str">
        <f aca="false">_xlfn.CONCAT("\x", G210, "\x", H210, "=", F210)</f>
        <v>\x25\x31=껫</v>
      </c>
      <c r="M210" s="7" t="s">
        <v>187</v>
      </c>
      <c r="N210" s="6" t="str">
        <f aca="false">_xlfn.CONCAT("\x", DEC2HEX(D210+44, 2), "\x", H210, "=", M210)</f>
        <v>\x2D\x31=酒</v>
      </c>
    </row>
    <row r="211" customFormat="false" ht="14.15" hidden="false" customHeight="false" outlineLevel="0" collapsed="false">
      <c r="A211" s="6" t="str">
        <f aca="false">DEC2HEX(ROW()-1, 2) &amp; "=0x" &amp; DEC2HEX(ROW()-1, 2) &amp; ", "</f>
        <v>D2=0xD2, </v>
      </c>
      <c r="C211" s="6" t="n">
        <f aca="false">MOD(ROW()-1, 208)</f>
        <v>2</v>
      </c>
      <c r="D211" s="6" t="n">
        <f aca="false">INT((ROW()-1)/208)</f>
        <v>1</v>
      </c>
      <c r="F211" s="6" t="str">
        <f aca="false">MID(VLOOKUP(D211,$P$1:$Q$13,2,0), 1 + C211,1)</f>
        <v>껭</v>
      </c>
      <c r="G211" s="6" t="str">
        <f aca="false">DEC2HEX(D211+36, 2)</f>
        <v>25</v>
      </c>
      <c r="H211" s="6" t="str">
        <f aca="false">DEC2HEX(C211+48,2)</f>
        <v>32</v>
      </c>
      <c r="I211" s="6" t="str">
        <f aca="false">_xlfn.CONCAT("\x", G211, "\x", H211, "=", F211)</f>
        <v>\x25\x32=껭</v>
      </c>
      <c r="M211" s="7" t="s">
        <v>188</v>
      </c>
      <c r="N211" s="6" t="str">
        <f aca="false">_xlfn.CONCAT("\x", DEC2HEX(D211+44, 2), "\x", H211, "=", M211)</f>
        <v>\x2D\x32=受</v>
      </c>
    </row>
    <row r="212" customFormat="false" ht="14.15" hidden="false" customHeight="false" outlineLevel="0" collapsed="false">
      <c r="A212" s="6" t="str">
        <f aca="false">DEC2HEX(ROW()-1, 2) &amp; "=0x" &amp; DEC2HEX(ROW()-1, 2) &amp; ", "</f>
        <v>D3=0xD3, </v>
      </c>
      <c r="C212" s="6" t="n">
        <f aca="false">MOD(ROW()-1, 208)</f>
        <v>3</v>
      </c>
      <c r="D212" s="6" t="n">
        <f aca="false">INT((ROW()-1)/208)</f>
        <v>1</v>
      </c>
      <c r="F212" s="6" t="str">
        <f aca="false">MID(VLOOKUP(D212,$P$1:$Q$13,2,0), 1 + C212,1)</f>
        <v>껴</v>
      </c>
      <c r="G212" s="6" t="str">
        <f aca="false">DEC2HEX(D212+36, 2)</f>
        <v>25</v>
      </c>
      <c r="H212" s="6" t="str">
        <f aca="false">DEC2HEX(C212+48,2)</f>
        <v>33</v>
      </c>
      <c r="I212" s="6" t="str">
        <f aca="false">_xlfn.CONCAT("\x", G212, "\x", H212, "=", F212)</f>
        <v>\x25\x33=껴</v>
      </c>
      <c r="M212" s="7" t="s">
        <v>189</v>
      </c>
      <c r="N212" s="6" t="str">
        <f aca="false">_xlfn.CONCAT("\x", DEC2HEX(D212+44, 2), "\x", H212, "=", M212)</f>
        <v>\x2D\x33=収</v>
      </c>
    </row>
    <row r="213" customFormat="false" ht="14.15" hidden="false" customHeight="false" outlineLevel="0" collapsed="false">
      <c r="A213" s="6" t="str">
        <f aca="false">DEC2HEX(ROW()-1, 2) &amp; "=0x" &amp; DEC2HEX(ROW()-1, 2) &amp; ", "</f>
        <v>D4=0xD4, </v>
      </c>
      <c r="C213" s="6" t="n">
        <f aca="false">MOD(ROW()-1, 208)</f>
        <v>4</v>
      </c>
      <c r="D213" s="6" t="n">
        <f aca="false">INT((ROW()-1)/208)</f>
        <v>1</v>
      </c>
      <c r="F213" s="6" t="str">
        <f aca="false">MID(VLOOKUP(D213,$P$1:$Q$13,2,0), 1 + C213,1)</f>
        <v>껸</v>
      </c>
      <c r="G213" s="6" t="str">
        <f aca="false">DEC2HEX(D213+36, 2)</f>
        <v>25</v>
      </c>
      <c r="H213" s="6" t="str">
        <f aca="false">DEC2HEX(C213+48,2)</f>
        <v>34</v>
      </c>
      <c r="I213" s="6" t="str">
        <f aca="false">_xlfn.CONCAT("\x", G213, "\x", H213, "=", F213)</f>
        <v>\x25\x34=껸</v>
      </c>
      <c r="M213" s="7" t="s">
        <v>190</v>
      </c>
      <c r="N213" s="6" t="str">
        <f aca="false">_xlfn.CONCAT("\x", DEC2HEX(D213+44, 2), "\x", H213, "=", M213)</f>
        <v>\x2D\x34=周</v>
      </c>
    </row>
    <row r="214" customFormat="false" ht="14.15" hidden="false" customHeight="false" outlineLevel="0" collapsed="false">
      <c r="A214" s="6" t="str">
        <f aca="false">DEC2HEX(ROW()-1, 2) &amp; "=0x" &amp; DEC2HEX(ROW()-1, 2) &amp; ", "</f>
        <v>D5=0xD5, </v>
      </c>
      <c r="C214" s="6" t="n">
        <f aca="false">MOD(ROW()-1, 208)</f>
        <v>5</v>
      </c>
      <c r="D214" s="6" t="n">
        <f aca="false">INT((ROW()-1)/208)</f>
        <v>1</v>
      </c>
      <c r="F214" s="6" t="str">
        <f aca="false">MID(VLOOKUP(D214,$P$1:$Q$13,2,0), 1 + C214,1)</f>
        <v>껼</v>
      </c>
      <c r="G214" s="6" t="str">
        <f aca="false">DEC2HEX(D214+36, 2)</f>
        <v>25</v>
      </c>
      <c r="H214" s="6" t="str">
        <f aca="false">DEC2HEX(C214+48,2)</f>
        <v>35</v>
      </c>
      <c r="I214" s="6" t="str">
        <f aca="false">_xlfn.CONCAT("\x", G214, "\x", H214, "=", F214)</f>
        <v>\x25\x35=껼</v>
      </c>
      <c r="M214" s="7" t="s">
        <v>191</v>
      </c>
      <c r="N214" s="6" t="str">
        <f aca="false">_xlfn.CONCAT("\x", DEC2HEX(D214+44, 2), "\x", H214, "=", M214)</f>
        <v>\x2D\x35=終</v>
      </c>
    </row>
    <row r="215" customFormat="false" ht="14.15" hidden="false" customHeight="false" outlineLevel="0" collapsed="false">
      <c r="A215" s="6" t="str">
        <f aca="false">DEC2HEX(ROW()-1, 2) &amp; "=0x" &amp; DEC2HEX(ROW()-1, 2) &amp; ", "</f>
        <v>D6=0xD6, </v>
      </c>
      <c r="C215" s="6" t="n">
        <f aca="false">MOD(ROW()-1, 208)</f>
        <v>6</v>
      </c>
      <c r="D215" s="6" t="n">
        <f aca="false">INT((ROW()-1)/208)</f>
        <v>1</v>
      </c>
      <c r="F215" s="6" t="str">
        <f aca="false">MID(VLOOKUP(D215,$P$1:$Q$13,2,0), 1 + C215,1)</f>
        <v>꼇</v>
      </c>
      <c r="G215" s="6" t="str">
        <f aca="false">DEC2HEX(D215+36, 2)</f>
        <v>25</v>
      </c>
      <c r="H215" s="6" t="str">
        <f aca="false">DEC2HEX(C215+48,2)</f>
        <v>36</v>
      </c>
      <c r="I215" s="6" t="str">
        <f aca="false">_xlfn.CONCAT("\x", G215, "\x", H215, "=", F215)</f>
        <v>\x25\x36=꼇</v>
      </c>
      <c r="M215" s="7" t="s">
        <v>192</v>
      </c>
      <c r="N215" s="6" t="str">
        <f aca="false">_xlfn.CONCAT("\x", DEC2HEX(D215+44, 2), "\x", H215, "=", M215)</f>
        <v>\x2D\x36=集</v>
      </c>
    </row>
    <row r="216" customFormat="false" ht="14.15" hidden="false" customHeight="false" outlineLevel="0" collapsed="false">
      <c r="A216" s="6" t="str">
        <f aca="false">DEC2HEX(ROW()-1, 2) &amp; "=0x" &amp; DEC2HEX(ROW()-1, 2) &amp; ", "</f>
        <v>D7=0xD7, </v>
      </c>
      <c r="C216" s="6" t="n">
        <f aca="false">MOD(ROW()-1, 208)</f>
        <v>7</v>
      </c>
      <c r="D216" s="6" t="n">
        <f aca="false">INT((ROW()-1)/208)</f>
        <v>1</v>
      </c>
      <c r="F216" s="6" t="str">
        <f aca="false">MID(VLOOKUP(D216,$P$1:$Q$13,2,0), 1 + C216,1)</f>
        <v>꼈</v>
      </c>
      <c r="G216" s="6" t="str">
        <f aca="false">DEC2HEX(D216+36, 2)</f>
        <v>25</v>
      </c>
      <c r="H216" s="6" t="str">
        <f aca="false">DEC2HEX(C216+48,2)</f>
        <v>37</v>
      </c>
      <c r="I216" s="6" t="str">
        <f aca="false">_xlfn.CONCAT("\x", G216, "\x", H216, "=", F216)</f>
        <v>\x25\x37=꼈</v>
      </c>
      <c r="M216" s="7" t="s">
        <v>193</v>
      </c>
      <c r="N216" s="6" t="str">
        <f aca="false">_xlfn.CONCAT("\x", DEC2HEX(D216+44, 2), "\x", H216, "=", M216)</f>
        <v>\x2D\x37=住</v>
      </c>
    </row>
    <row r="217" customFormat="false" ht="14.15" hidden="false" customHeight="false" outlineLevel="0" collapsed="false">
      <c r="A217" s="6" t="str">
        <f aca="false">DEC2HEX(ROW()-1, 2) &amp; "=0x" &amp; DEC2HEX(ROW()-1, 2) &amp; ", "</f>
        <v>D8=0xD8, </v>
      </c>
      <c r="C217" s="6" t="n">
        <f aca="false">MOD(ROW()-1, 208)</f>
        <v>8</v>
      </c>
      <c r="D217" s="6" t="n">
        <f aca="false">INT((ROW()-1)/208)</f>
        <v>1</v>
      </c>
      <c r="F217" s="6" t="str">
        <f aca="false">MID(VLOOKUP(D217,$P$1:$Q$13,2,0), 1 + C217,1)</f>
        <v>꼍</v>
      </c>
      <c r="G217" s="6" t="str">
        <f aca="false">DEC2HEX(D217+36, 2)</f>
        <v>25</v>
      </c>
      <c r="H217" s="6" t="str">
        <f aca="false">DEC2HEX(C217+48,2)</f>
        <v>38</v>
      </c>
      <c r="I217" s="6" t="str">
        <f aca="false">_xlfn.CONCAT("\x", G217, "\x", H217, "=", F217)</f>
        <v>\x25\x38=꼍</v>
      </c>
      <c r="M217" s="7" t="s">
        <v>194</v>
      </c>
      <c r="N217" s="6" t="str">
        <f aca="false">_xlfn.CONCAT("\x", DEC2HEX(D217+44, 2), "\x", H217, "=", M217)</f>
        <v>\x2D\x38=獣</v>
      </c>
    </row>
    <row r="218" customFormat="false" ht="14.15" hidden="false" customHeight="false" outlineLevel="0" collapsed="false">
      <c r="A218" s="6" t="str">
        <f aca="false">DEC2HEX(ROW()-1, 2) &amp; "=0x" &amp; DEC2HEX(ROW()-1, 2) &amp; ", "</f>
        <v>D9=0xD9, </v>
      </c>
      <c r="C218" s="6" t="n">
        <f aca="false">MOD(ROW()-1, 208)</f>
        <v>9</v>
      </c>
      <c r="D218" s="6" t="n">
        <f aca="false">INT((ROW()-1)/208)</f>
        <v>1</v>
      </c>
      <c r="F218" s="6" t="str">
        <f aca="false">MID(VLOOKUP(D218,$P$1:$Q$13,2,0), 1 + C218,1)</f>
        <v>꼐</v>
      </c>
      <c r="G218" s="6" t="str">
        <f aca="false">DEC2HEX(D218+36, 2)</f>
        <v>25</v>
      </c>
      <c r="H218" s="6" t="str">
        <f aca="false">DEC2HEX(C218+48,2)</f>
        <v>39</v>
      </c>
      <c r="I218" s="6" t="str">
        <f aca="false">_xlfn.CONCAT("\x", G218, "\x", H218, "=", F218)</f>
        <v>\x25\x39=꼐</v>
      </c>
      <c r="M218" s="7" t="s">
        <v>195</v>
      </c>
      <c r="N218" s="6" t="str">
        <f aca="false">_xlfn.CONCAT("\x", DEC2HEX(D218+44, 2), "\x", H218, "=", M218)</f>
        <v>\x2D\x39=宿</v>
      </c>
    </row>
    <row r="219" customFormat="false" ht="14.15" hidden="false" customHeight="false" outlineLevel="0" collapsed="false">
      <c r="A219" s="6" t="str">
        <f aca="false">DEC2HEX(ROW()-1, 2) &amp; "=0x" &amp; DEC2HEX(ROW()-1, 2) &amp; ", "</f>
        <v>DA=0xDA, </v>
      </c>
      <c r="C219" s="6" t="n">
        <f aca="false">MOD(ROW()-1, 208)</f>
        <v>10</v>
      </c>
      <c r="D219" s="6" t="n">
        <f aca="false">INT((ROW()-1)/208)</f>
        <v>1</v>
      </c>
      <c r="F219" s="6" t="str">
        <f aca="false">MID(VLOOKUP(D219,$P$1:$Q$13,2,0), 1 + C219,1)</f>
        <v>꼬</v>
      </c>
      <c r="G219" s="6" t="str">
        <f aca="false">DEC2HEX(D219+36, 2)</f>
        <v>25</v>
      </c>
      <c r="H219" s="6" t="str">
        <f aca="false">DEC2HEX(C219+48,2)</f>
        <v>3A</v>
      </c>
      <c r="I219" s="6" t="str">
        <f aca="false">_xlfn.CONCAT("\x", G219, "\x", H219, "=", F219)</f>
        <v>\x25\x3A=꼬</v>
      </c>
      <c r="M219" s="7" t="s">
        <v>196</v>
      </c>
      <c r="N219" s="6" t="str">
        <f aca="false">_xlfn.CONCAT("\x", DEC2HEX(D219+44, 2), "\x", H219, "=", M219)</f>
        <v>\x2D\x3A=出</v>
      </c>
    </row>
    <row r="220" customFormat="false" ht="14.15" hidden="false" customHeight="false" outlineLevel="0" collapsed="false">
      <c r="A220" s="6" t="str">
        <f aca="false">DEC2HEX(ROW()-1, 2) &amp; "=0x" &amp; DEC2HEX(ROW()-1, 2) &amp; ", "</f>
        <v>DB=0xDB, </v>
      </c>
      <c r="C220" s="6" t="n">
        <f aca="false">MOD(ROW()-1, 208)</f>
        <v>11</v>
      </c>
      <c r="D220" s="6" t="n">
        <f aca="false">INT((ROW()-1)/208)</f>
        <v>1</v>
      </c>
      <c r="F220" s="6" t="str">
        <f aca="false">MID(VLOOKUP(D220,$P$1:$Q$13,2,0), 1 + C220,1)</f>
        <v>꼭</v>
      </c>
      <c r="G220" s="6" t="str">
        <f aca="false">DEC2HEX(D220+36, 2)</f>
        <v>25</v>
      </c>
      <c r="H220" s="6" t="str">
        <f aca="false">DEC2HEX(C220+48,2)</f>
        <v>3B</v>
      </c>
      <c r="I220" s="6" t="str">
        <f aca="false">_xlfn.CONCAT("\x", G220, "\x", H220, "=", F220)</f>
        <v>\x25\x3B=꼭</v>
      </c>
      <c r="M220" s="7" t="s">
        <v>197</v>
      </c>
      <c r="N220" s="6" t="str">
        <f aca="false">_xlfn.CONCAT("\x", DEC2HEX(D220+44, 2), "\x", H220, "=", M220)</f>
        <v>\x2D\x3B=初</v>
      </c>
    </row>
    <row r="221" customFormat="false" ht="14.15" hidden="false" customHeight="false" outlineLevel="0" collapsed="false">
      <c r="A221" s="6" t="str">
        <f aca="false">DEC2HEX(ROW()-1, 2) &amp; "=0x" &amp; DEC2HEX(ROW()-1, 2) &amp; ", "</f>
        <v>DC=0xDC, </v>
      </c>
      <c r="C221" s="6" t="n">
        <f aca="false">MOD(ROW()-1, 208)</f>
        <v>12</v>
      </c>
      <c r="D221" s="6" t="n">
        <f aca="false">INT((ROW()-1)/208)</f>
        <v>1</v>
      </c>
      <c r="F221" s="6" t="str">
        <f aca="false">MID(VLOOKUP(D221,$P$1:$Q$13,2,0), 1 + C221,1)</f>
        <v>꼰</v>
      </c>
      <c r="G221" s="6" t="str">
        <f aca="false">DEC2HEX(D221+36, 2)</f>
        <v>25</v>
      </c>
      <c r="H221" s="6" t="str">
        <f aca="false">DEC2HEX(C221+48,2)</f>
        <v>3C</v>
      </c>
      <c r="I221" s="6" t="str">
        <f aca="false">_xlfn.CONCAT("\x", G221, "\x", H221, "=", F221)</f>
        <v>\x25\x3C=꼰</v>
      </c>
      <c r="M221" s="7" t="s">
        <v>198</v>
      </c>
      <c r="N221" s="6" t="str">
        <f aca="false">_xlfn.CONCAT("\x", DEC2HEX(D221+44, 2), "\x", H221, "=", M221)</f>
        <v>\x2D\x3C=所</v>
      </c>
    </row>
    <row r="222" customFormat="false" ht="14.15" hidden="false" customHeight="false" outlineLevel="0" collapsed="false">
      <c r="A222" s="6" t="str">
        <f aca="false">DEC2HEX(ROW()-1, 2) &amp; "=0x" &amp; DEC2HEX(ROW()-1, 2) &amp; ", "</f>
        <v>DD=0xDD, </v>
      </c>
      <c r="C222" s="6" t="n">
        <f aca="false">MOD(ROW()-1, 208)</f>
        <v>13</v>
      </c>
      <c r="D222" s="6" t="n">
        <f aca="false">INT((ROW()-1)/208)</f>
        <v>1</v>
      </c>
      <c r="F222" s="6" t="str">
        <f aca="false">MID(VLOOKUP(D222,$P$1:$Q$13,2,0), 1 + C222,1)</f>
        <v>꼲</v>
      </c>
      <c r="G222" s="6" t="str">
        <f aca="false">DEC2HEX(D222+36, 2)</f>
        <v>25</v>
      </c>
      <c r="H222" s="6" t="str">
        <f aca="false">DEC2HEX(C222+48,2)</f>
        <v>3D</v>
      </c>
      <c r="I222" s="6" t="str">
        <f aca="false">_xlfn.CONCAT("\x", G222, "\x", H222, "=", F222)</f>
        <v>\x25\x3D=꼲</v>
      </c>
      <c r="M222" s="7" t="s">
        <v>199</v>
      </c>
      <c r="N222" s="6" t="str">
        <f aca="false">_xlfn.CONCAT("\x", DEC2HEX(D222+44, 2), "\x", H222, "=", M222)</f>
        <v>\x2D\x3D=書</v>
      </c>
    </row>
    <row r="223" customFormat="false" ht="14.15" hidden="false" customHeight="false" outlineLevel="0" collapsed="false">
      <c r="A223" s="6" t="str">
        <f aca="false">DEC2HEX(ROW()-1, 2) &amp; "=0x" &amp; DEC2HEX(ROW()-1, 2) &amp; ", "</f>
        <v>DE=0xDE, </v>
      </c>
      <c r="C223" s="6" t="n">
        <f aca="false">MOD(ROW()-1, 208)</f>
        <v>14</v>
      </c>
      <c r="D223" s="6" t="n">
        <f aca="false">INT((ROW()-1)/208)</f>
        <v>1</v>
      </c>
      <c r="F223" s="6" t="str">
        <f aca="false">MID(VLOOKUP(D223,$P$1:$Q$13,2,0), 1 + C223,1)</f>
        <v>꼴</v>
      </c>
      <c r="G223" s="6" t="str">
        <f aca="false">DEC2HEX(D223+36, 2)</f>
        <v>25</v>
      </c>
      <c r="H223" s="6" t="str">
        <f aca="false">DEC2HEX(C223+48,2)</f>
        <v>3E</v>
      </c>
      <c r="I223" s="6" t="str">
        <f aca="false">_xlfn.CONCAT("\x", G223, "\x", H223, "=", F223)</f>
        <v>\x25\x3E=꼴</v>
      </c>
      <c r="M223" s="7" t="s">
        <v>200</v>
      </c>
      <c r="N223" s="6" t="str">
        <f aca="false">_xlfn.CONCAT("\x", DEC2HEX(D223+44, 2), "\x", H223, "=", M223)</f>
        <v>\x2D\x3E=女</v>
      </c>
    </row>
    <row r="224" customFormat="false" ht="14.15" hidden="false" customHeight="false" outlineLevel="0" collapsed="false">
      <c r="A224" s="6" t="str">
        <f aca="false">DEC2HEX(ROW()-1, 2) &amp; "=0x" &amp; DEC2HEX(ROW()-1, 2) &amp; ", "</f>
        <v>DF=0xDF, </v>
      </c>
      <c r="C224" s="6" t="n">
        <f aca="false">MOD(ROW()-1, 208)</f>
        <v>15</v>
      </c>
      <c r="D224" s="6" t="n">
        <f aca="false">INT((ROW()-1)/208)</f>
        <v>1</v>
      </c>
      <c r="F224" s="6" t="str">
        <f aca="false">MID(VLOOKUP(D224,$P$1:$Q$13,2,0), 1 + C224,1)</f>
        <v>꼼</v>
      </c>
      <c r="G224" s="6" t="str">
        <f aca="false">DEC2HEX(D224+36, 2)</f>
        <v>25</v>
      </c>
      <c r="H224" s="6" t="str">
        <f aca="false">DEC2HEX(C224+48,2)</f>
        <v>3F</v>
      </c>
      <c r="I224" s="6" t="str">
        <f aca="false">_xlfn.CONCAT("\x", G224, "\x", H224, "=", F224)</f>
        <v>\x25\x3F=꼼</v>
      </c>
      <c r="M224" s="7" t="s">
        <v>201</v>
      </c>
      <c r="N224" s="6" t="str">
        <f aca="false">_xlfn.CONCAT("\x", DEC2HEX(D224+44, 2), "\x", H224, "=", M224)</f>
        <v>\x2D\x3F=召</v>
      </c>
    </row>
    <row r="225" customFormat="false" ht="14.15" hidden="false" customHeight="false" outlineLevel="0" collapsed="false">
      <c r="A225" s="6" t="str">
        <f aca="false">DEC2HEX(ROW()-1, 2) &amp; "=0x" &amp; DEC2HEX(ROW()-1, 2) &amp; ", "</f>
        <v>E0=0xE0, </v>
      </c>
      <c r="C225" s="6" t="n">
        <f aca="false">MOD(ROW()-1, 208)</f>
        <v>16</v>
      </c>
      <c r="D225" s="6" t="n">
        <f aca="false">INT((ROW()-1)/208)</f>
        <v>1</v>
      </c>
      <c r="F225" s="6" t="str">
        <f aca="false">MID(VLOOKUP(D225,$P$1:$Q$13,2,0), 1 + C225,1)</f>
        <v>꼽</v>
      </c>
      <c r="G225" s="6" t="str">
        <f aca="false">DEC2HEX(D225+36, 2)</f>
        <v>25</v>
      </c>
      <c r="H225" s="6" t="str">
        <f aca="false">DEC2HEX(C225+48,2)</f>
        <v>40</v>
      </c>
      <c r="I225" s="6" t="str">
        <f aca="false">_xlfn.CONCAT("\x", G225, "\x", H225, "=", F225)</f>
        <v>\x25\x40=꼽</v>
      </c>
      <c r="M225" s="7" t="s">
        <v>202</v>
      </c>
      <c r="N225" s="6" t="str">
        <f aca="false">_xlfn.CONCAT("\x", DEC2HEX(D225+44, 2), "\x", H225, "=", M225)</f>
        <v>\x2D\x40=小</v>
      </c>
    </row>
    <row r="226" customFormat="false" ht="14.15" hidden="false" customHeight="false" outlineLevel="0" collapsed="false">
      <c r="A226" s="6" t="str">
        <f aca="false">DEC2HEX(ROW()-1, 2) &amp; "=0x" &amp; DEC2HEX(ROW()-1, 2) &amp; ", "</f>
        <v>E1=0xE1, </v>
      </c>
      <c r="C226" s="6" t="n">
        <f aca="false">MOD(ROW()-1, 208)</f>
        <v>17</v>
      </c>
      <c r="D226" s="6" t="n">
        <f aca="false">INT((ROW()-1)/208)</f>
        <v>1</v>
      </c>
      <c r="F226" s="6" t="str">
        <f aca="false">MID(VLOOKUP(D226,$P$1:$Q$13,2,0), 1 + C226,1)</f>
        <v>꼿</v>
      </c>
      <c r="G226" s="6" t="str">
        <f aca="false">DEC2HEX(D226+36, 2)</f>
        <v>25</v>
      </c>
      <c r="H226" s="6" t="str">
        <f aca="false">DEC2HEX(C226+48,2)</f>
        <v>41</v>
      </c>
      <c r="I226" s="6" t="str">
        <f aca="false">_xlfn.CONCAT("\x", G226, "\x", H226, "=", F226)</f>
        <v>\x25\x41=꼿</v>
      </c>
      <c r="M226" s="7" t="s">
        <v>203</v>
      </c>
      <c r="N226" s="6" t="str">
        <f aca="false">_xlfn.CONCAT("\x", DEC2HEX(D226+44, 2), "\x", H226, "=", M226)</f>
        <v>\x2D\x41=昇</v>
      </c>
    </row>
    <row r="227" customFormat="false" ht="14.15" hidden="false" customHeight="false" outlineLevel="0" collapsed="false">
      <c r="A227" s="6" t="str">
        <f aca="false">DEC2HEX(ROW()-1, 2) &amp; "=0x" &amp; DEC2HEX(ROW()-1, 2) &amp; ", "</f>
        <v>E2=0xE2, </v>
      </c>
      <c r="C227" s="6" t="n">
        <f aca="false">MOD(ROW()-1, 208)</f>
        <v>18</v>
      </c>
      <c r="D227" s="6" t="n">
        <f aca="false">INT((ROW()-1)/208)</f>
        <v>1</v>
      </c>
      <c r="F227" s="6" t="str">
        <f aca="false">MID(VLOOKUP(D227,$P$1:$Q$13,2,0), 1 + C227,1)</f>
        <v>꽁</v>
      </c>
      <c r="G227" s="6" t="str">
        <f aca="false">DEC2HEX(D227+36, 2)</f>
        <v>25</v>
      </c>
      <c r="H227" s="6" t="str">
        <f aca="false">DEC2HEX(C227+48,2)</f>
        <v>42</v>
      </c>
      <c r="I227" s="6" t="str">
        <f aca="false">_xlfn.CONCAT("\x", G227, "\x", H227, "=", F227)</f>
        <v>\x25\x42=꽁</v>
      </c>
      <c r="M227" s="7" t="s">
        <v>204</v>
      </c>
      <c r="N227" s="6" t="str">
        <f aca="false">_xlfn.CONCAT("\x", DEC2HEX(D227+44, 2), "\x", H227, "=", M227)</f>
        <v>\x2D\x42=消</v>
      </c>
    </row>
    <row r="228" customFormat="false" ht="14.15" hidden="false" customHeight="false" outlineLevel="0" collapsed="false">
      <c r="A228" s="6" t="str">
        <f aca="false">DEC2HEX(ROW()-1, 2) &amp; "=0x" &amp; DEC2HEX(ROW()-1, 2) &amp; ", "</f>
        <v>E3=0xE3, </v>
      </c>
      <c r="C228" s="6" t="n">
        <f aca="false">MOD(ROW()-1, 208)</f>
        <v>19</v>
      </c>
      <c r="D228" s="6" t="n">
        <f aca="false">INT((ROW()-1)/208)</f>
        <v>1</v>
      </c>
      <c r="F228" s="6" t="str">
        <f aca="false">MID(VLOOKUP(D228,$P$1:$Q$13,2,0), 1 + C228,1)</f>
        <v>꽂</v>
      </c>
      <c r="G228" s="6" t="str">
        <f aca="false">DEC2HEX(D228+36, 2)</f>
        <v>25</v>
      </c>
      <c r="H228" s="6" t="str">
        <f aca="false">DEC2HEX(C228+48,2)</f>
        <v>43</v>
      </c>
      <c r="I228" s="6" t="str">
        <f aca="false">_xlfn.CONCAT("\x", G228, "\x", H228, "=", F228)</f>
        <v>\x25\x43=꽂</v>
      </c>
      <c r="M228" s="7" t="s">
        <v>205</v>
      </c>
      <c r="N228" s="6" t="str">
        <f aca="false">_xlfn.CONCAT("\x", DEC2HEX(D228+44, 2), "\x", H228, "=", M228)</f>
        <v>\x2D\x43=上</v>
      </c>
    </row>
    <row r="229" customFormat="false" ht="14.15" hidden="false" customHeight="false" outlineLevel="0" collapsed="false">
      <c r="A229" s="6" t="str">
        <f aca="false">DEC2HEX(ROW()-1, 2) &amp; "=0x" &amp; DEC2HEX(ROW()-1, 2) &amp; ", "</f>
        <v>E4=0xE4, </v>
      </c>
      <c r="C229" s="6" t="n">
        <f aca="false">MOD(ROW()-1, 208)</f>
        <v>20</v>
      </c>
      <c r="D229" s="6" t="n">
        <f aca="false">INT((ROW()-1)/208)</f>
        <v>1</v>
      </c>
      <c r="F229" s="6" t="str">
        <f aca="false">MID(VLOOKUP(D229,$P$1:$Q$13,2,0), 1 + C229,1)</f>
        <v>꽃</v>
      </c>
      <c r="G229" s="6" t="str">
        <f aca="false">DEC2HEX(D229+36, 2)</f>
        <v>25</v>
      </c>
      <c r="H229" s="6" t="str">
        <f aca="false">DEC2HEX(C229+48,2)</f>
        <v>44</v>
      </c>
      <c r="I229" s="6" t="str">
        <f aca="false">_xlfn.CONCAT("\x", G229, "\x", H229, "=", F229)</f>
        <v>\x25\x44=꽃</v>
      </c>
      <c r="M229" s="7" t="s">
        <v>206</v>
      </c>
      <c r="N229" s="6" t="str">
        <f aca="false">_xlfn.CONCAT("\x", DEC2HEX(D229+44, 2), "\x", H229, "=", M229)</f>
        <v>\x2D\x44=乗</v>
      </c>
    </row>
    <row r="230" customFormat="false" ht="14.15" hidden="false" customHeight="false" outlineLevel="0" collapsed="false">
      <c r="A230" s="6" t="str">
        <f aca="false">DEC2HEX(ROW()-1, 2) &amp; "=0x" &amp; DEC2HEX(ROW()-1, 2) &amp; ", "</f>
        <v>E5=0xE5, </v>
      </c>
      <c r="C230" s="6" t="n">
        <f aca="false">MOD(ROW()-1, 208)</f>
        <v>21</v>
      </c>
      <c r="D230" s="6" t="n">
        <f aca="false">INT((ROW()-1)/208)</f>
        <v>1</v>
      </c>
      <c r="F230" s="6" t="str">
        <f aca="false">MID(VLOOKUP(D230,$P$1:$Q$13,2,0), 1 + C230,1)</f>
        <v>꽈</v>
      </c>
      <c r="G230" s="6" t="str">
        <f aca="false">DEC2HEX(D230+36, 2)</f>
        <v>25</v>
      </c>
      <c r="H230" s="6" t="str">
        <f aca="false">DEC2HEX(C230+48,2)</f>
        <v>45</v>
      </c>
      <c r="I230" s="6" t="str">
        <f aca="false">_xlfn.CONCAT("\x", G230, "\x", H230, "=", F230)</f>
        <v>\x25\x45=꽈</v>
      </c>
      <c r="M230" s="7" t="s">
        <v>207</v>
      </c>
      <c r="N230" s="6" t="str">
        <f aca="false">_xlfn.CONCAT("\x", DEC2HEX(D230+44, 2), "\x", H230, "=", M230)</f>
        <v>\x2D\x45=場</v>
      </c>
    </row>
    <row r="231" customFormat="false" ht="14.15" hidden="false" customHeight="false" outlineLevel="0" collapsed="false">
      <c r="A231" s="6" t="str">
        <f aca="false">DEC2HEX(ROW()-1, 2) &amp; "=0x" &amp; DEC2HEX(ROW()-1, 2) &amp; ", "</f>
        <v>E6=0xE6, </v>
      </c>
      <c r="C231" s="6" t="n">
        <f aca="false">MOD(ROW()-1, 208)</f>
        <v>22</v>
      </c>
      <c r="D231" s="6" t="n">
        <f aca="false">INT((ROW()-1)/208)</f>
        <v>1</v>
      </c>
      <c r="F231" s="6" t="str">
        <f aca="false">MID(VLOOKUP(D231,$P$1:$Q$13,2,0), 1 + C231,1)</f>
        <v>꽉</v>
      </c>
      <c r="G231" s="6" t="str">
        <f aca="false">DEC2HEX(D231+36, 2)</f>
        <v>25</v>
      </c>
      <c r="H231" s="6" t="str">
        <f aca="false">DEC2HEX(C231+48,2)</f>
        <v>46</v>
      </c>
      <c r="I231" s="6" t="str">
        <f aca="false">_xlfn.CONCAT("\x", G231, "\x", H231, "=", F231)</f>
        <v>\x25\x46=꽉</v>
      </c>
      <c r="M231" s="7" t="s">
        <v>208</v>
      </c>
      <c r="N231" s="6" t="str">
        <f aca="false">_xlfn.CONCAT("\x", DEC2HEX(D231+44, 2), "\x", H231, "=", M231)</f>
        <v>\x2D\x46=常</v>
      </c>
    </row>
    <row r="232" customFormat="false" ht="14.15" hidden="false" customHeight="false" outlineLevel="0" collapsed="false">
      <c r="A232" s="6" t="str">
        <f aca="false">DEC2HEX(ROW()-1, 2) &amp; "=0x" &amp; DEC2HEX(ROW()-1, 2) &amp; ", "</f>
        <v>E7=0xE7, </v>
      </c>
      <c r="C232" s="6" t="n">
        <f aca="false">MOD(ROW()-1, 208)</f>
        <v>23</v>
      </c>
      <c r="D232" s="6" t="n">
        <f aca="false">INT((ROW()-1)/208)</f>
        <v>1</v>
      </c>
      <c r="F232" s="6" t="str">
        <f aca="false">MID(VLOOKUP(D232,$P$1:$Q$13,2,0), 1 + C232,1)</f>
        <v>꽐</v>
      </c>
      <c r="G232" s="6" t="str">
        <f aca="false">DEC2HEX(D232+36, 2)</f>
        <v>25</v>
      </c>
      <c r="H232" s="6" t="str">
        <f aca="false">DEC2HEX(C232+48,2)</f>
        <v>47</v>
      </c>
      <c r="I232" s="6" t="str">
        <f aca="false">_xlfn.CONCAT("\x", G232, "\x", H232, "=", F232)</f>
        <v>\x25\x47=꽐</v>
      </c>
      <c r="M232" s="7" t="s">
        <v>209</v>
      </c>
      <c r="N232" s="6" t="str">
        <f aca="false">_xlfn.CONCAT("\x", DEC2HEX(D232+44, 2), "\x", H232, "=", M232)</f>
        <v>\x2D\x47=情</v>
      </c>
    </row>
    <row r="233" customFormat="false" ht="14.15" hidden="false" customHeight="false" outlineLevel="0" collapsed="false">
      <c r="A233" s="6" t="str">
        <f aca="false">DEC2HEX(ROW()-1, 2) &amp; "=0x" &amp; DEC2HEX(ROW()-1, 2) &amp; ", "</f>
        <v>E8=0xE8, </v>
      </c>
      <c r="C233" s="6" t="n">
        <f aca="false">MOD(ROW()-1, 208)</f>
        <v>24</v>
      </c>
      <c r="D233" s="6" t="n">
        <f aca="false">INT((ROW()-1)/208)</f>
        <v>1</v>
      </c>
      <c r="F233" s="6" t="str">
        <f aca="false">MID(VLOOKUP(D233,$P$1:$Q$13,2,0), 1 + C233,1)</f>
        <v>꽜</v>
      </c>
      <c r="G233" s="6" t="str">
        <f aca="false">DEC2HEX(D233+36, 2)</f>
        <v>25</v>
      </c>
      <c r="H233" s="6" t="str">
        <f aca="false">DEC2HEX(C233+48,2)</f>
        <v>48</v>
      </c>
      <c r="I233" s="6" t="str">
        <f aca="false">_xlfn.CONCAT("\x", G233, "\x", H233, "=", F233)</f>
        <v>\x25\x48=꽜</v>
      </c>
      <c r="M233" s="7" t="s">
        <v>210</v>
      </c>
      <c r="N233" s="6" t="str">
        <f aca="false">_xlfn.CONCAT("\x", DEC2HEX(D233+44, 2), "\x", H233, "=", M233)</f>
        <v>\x2D\x48=状</v>
      </c>
    </row>
    <row r="234" customFormat="false" ht="14.15" hidden="false" customHeight="false" outlineLevel="0" collapsed="false">
      <c r="A234" s="6" t="str">
        <f aca="false">DEC2HEX(ROW()-1, 2) &amp; "=0x" &amp; DEC2HEX(ROW()-1, 2) &amp; ", "</f>
        <v>E9=0xE9, </v>
      </c>
      <c r="C234" s="6" t="n">
        <f aca="false">MOD(ROW()-1, 208)</f>
        <v>25</v>
      </c>
      <c r="D234" s="6" t="n">
        <f aca="false">INT((ROW()-1)/208)</f>
        <v>1</v>
      </c>
      <c r="F234" s="6" t="str">
        <f aca="false">MID(VLOOKUP(D234,$P$1:$Q$13,2,0), 1 + C234,1)</f>
        <v>꽝</v>
      </c>
      <c r="G234" s="6" t="str">
        <f aca="false">DEC2HEX(D234+36, 2)</f>
        <v>25</v>
      </c>
      <c r="H234" s="6" t="str">
        <f aca="false">DEC2HEX(C234+48,2)</f>
        <v>49</v>
      </c>
      <c r="I234" s="6" t="str">
        <f aca="false">_xlfn.CONCAT("\x", G234, "\x", H234, "=", F234)</f>
        <v>\x25\x49=꽝</v>
      </c>
      <c r="M234" s="7" t="s">
        <v>211</v>
      </c>
      <c r="N234" s="6" t="str">
        <f aca="false">_xlfn.CONCAT("\x", DEC2HEX(D234+44, 2), "\x", H234, "=", M234)</f>
        <v>\x2D\x49=新</v>
      </c>
    </row>
    <row r="235" customFormat="false" ht="14.15" hidden="false" customHeight="false" outlineLevel="0" collapsed="false">
      <c r="A235" s="6" t="str">
        <f aca="false">DEC2HEX(ROW()-1, 2) &amp; "=0x" &amp; DEC2HEX(ROW()-1, 2) &amp; ", "</f>
        <v>EA=0xEA, </v>
      </c>
      <c r="C235" s="6" t="n">
        <f aca="false">MOD(ROW()-1, 208)</f>
        <v>26</v>
      </c>
      <c r="D235" s="6" t="n">
        <f aca="false">INT((ROW()-1)/208)</f>
        <v>1</v>
      </c>
      <c r="F235" s="6" t="str">
        <f aca="false">MID(VLOOKUP(D235,$P$1:$Q$13,2,0), 1 + C235,1)</f>
        <v>꽤</v>
      </c>
      <c r="G235" s="6" t="str">
        <f aca="false">DEC2HEX(D235+36, 2)</f>
        <v>25</v>
      </c>
      <c r="H235" s="6" t="str">
        <f aca="false">DEC2HEX(C235+48,2)</f>
        <v>4A</v>
      </c>
      <c r="I235" s="6" t="str">
        <f aca="false">_xlfn.CONCAT("\x", G235, "\x", H235, "=", F235)</f>
        <v>\x25\x4A=꽤</v>
      </c>
      <c r="M235" s="7" t="s">
        <v>212</v>
      </c>
      <c r="N235" s="6" t="str">
        <f aca="false">_xlfn.CONCAT("\x", DEC2HEX(D235+44, 2), "\x", H235, "=", M235)</f>
        <v>\x2D\x4A=森</v>
      </c>
    </row>
    <row r="236" customFormat="false" ht="14.15" hidden="false" customHeight="false" outlineLevel="0" collapsed="false">
      <c r="A236" s="6" t="str">
        <f aca="false">DEC2HEX(ROW()-1, 2) &amp; "=0x" &amp; DEC2HEX(ROW()-1, 2) &amp; ", "</f>
        <v>EB=0xEB, </v>
      </c>
      <c r="C236" s="6" t="n">
        <f aca="false">MOD(ROW()-1, 208)</f>
        <v>27</v>
      </c>
      <c r="D236" s="6" t="n">
        <f aca="false">INT((ROW()-1)/208)</f>
        <v>1</v>
      </c>
      <c r="F236" s="6" t="str">
        <f aca="false">MID(VLOOKUP(D236,$P$1:$Q$13,2,0), 1 + C236,1)</f>
        <v>꽥</v>
      </c>
      <c r="G236" s="6" t="str">
        <f aca="false">DEC2HEX(D236+36, 2)</f>
        <v>25</v>
      </c>
      <c r="H236" s="6" t="str">
        <f aca="false">DEC2HEX(C236+48,2)</f>
        <v>4B</v>
      </c>
      <c r="I236" s="6" t="str">
        <f aca="false">_xlfn.CONCAT("\x", G236, "\x", H236, "=", F236)</f>
        <v>\x25\x4B=꽥</v>
      </c>
      <c r="M236" s="7" t="s">
        <v>213</v>
      </c>
      <c r="N236" s="6" t="str">
        <f aca="false">_xlfn.CONCAT("\x", DEC2HEX(D236+44, 2), "\x", H236, "=", M236)</f>
        <v>\x2D\x4B=身</v>
      </c>
    </row>
    <row r="237" customFormat="false" ht="14.15" hidden="false" customHeight="false" outlineLevel="0" collapsed="false">
      <c r="A237" s="6" t="str">
        <f aca="false">DEC2HEX(ROW()-1, 2) &amp; "=0x" &amp; DEC2HEX(ROW()-1, 2) &amp; ", "</f>
        <v>EC=0xEC, </v>
      </c>
      <c r="C237" s="6" t="n">
        <f aca="false">MOD(ROW()-1, 208)</f>
        <v>28</v>
      </c>
      <c r="D237" s="6" t="n">
        <f aca="false">INT((ROW()-1)/208)</f>
        <v>1</v>
      </c>
      <c r="F237" s="6" t="str">
        <f aca="false">MID(VLOOKUP(D237,$P$1:$Q$13,2,0), 1 + C237,1)</f>
        <v>꽹</v>
      </c>
      <c r="G237" s="6" t="str">
        <f aca="false">DEC2HEX(D237+36, 2)</f>
        <v>25</v>
      </c>
      <c r="H237" s="6" t="str">
        <f aca="false">DEC2HEX(C237+48,2)</f>
        <v>4C</v>
      </c>
      <c r="I237" s="6" t="str">
        <f aca="false">_xlfn.CONCAT("\x", G237, "\x", H237, "=", F237)</f>
        <v>\x25\x4C=꽹</v>
      </c>
      <c r="M237" s="7" t="s">
        <v>214</v>
      </c>
      <c r="N237" s="6" t="str">
        <f aca="false">_xlfn.CONCAT("\x", DEC2HEX(D237+44, 2), "\x", H237, "=", M237)</f>
        <v>\x2D\x4C=進</v>
      </c>
    </row>
    <row r="238" customFormat="false" ht="14.15" hidden="false" customHeight="false" outlineLevel="0" collapsed="false">
      <c r="A238" s="6" t="str">
        <f aca="false">DEC2HEX(ROW()-1, 2) &amp; "=0x" &amp; DEC2HEX(ROW()-1, 2) &amp; ", "</f>
        <v>ED=0xED, </v>
      </c>
      <c r="C238" s="6" t="n">
        <f aca="false">MOD(ROW()-1, 208)</f>
        <v>29</v>
      </c>
      <c r="D238" s="6" t="n">
        <f aca="false">INT((ROW()-1)/208)</f>
        <v>1</v>
      </c>
      <c r="F238" s="6" t="str">
        <f aca="false">MID(VLOOKUP(D238,$P$1:$Q$13,2,0), 1 + C238,1)</f>
        <v>꾀</v>
      </c>
      <c r="G238" s="6" t="str">
        <f aca="false">DEC2HEX(D238+36, 2)</f>
        <v>25</v>
      </c>
      <c r="H238" s="6" t="str">
        <f aca="false">DEC2HEX(C238+48,2)</f>
        <v>4D</v>
      </c>
      <c r="I238" s="6" t="str">
        <f aca="false">_xlfn.CONCAT("\x", G238, "\x", H238, "=", F238)</f>
        <v>\x25\x4D=꾀</v>
      </c>
      <c r="M238" s="7" t="s">
        <v>215</v>
      </c>
      <c r="N238" s="6" t="str">
        <f aca="false">_xlfn.CONCAT("\x", DEC2HEX(D238+44, 2), "\x", H238, "=", M238)</f>
        <v>\x2D\x4D=針</v>
      </c>
    </row>
    <row r="239" customFormat="false" ht="14.15" hidden="false" customHeight="false" outlineLevel="0" collapsed="false">
      <c r="A239" s="6" t="str">
        <f aca="false">DEC2HEX(ROW()-1, 2) &amp; "=0x" &amp; DEC2HEX(ROW()-1, 2) &amp; ", "</f>
        <v>EE=0xEE, </v>
      </c>
      <c r="C239" s="6" t="n">
        <f aca="false">MOD(ROW()-1, 208)</f>
        <v>30</v>
      </c>
      <c r="D239" s="6" t="n">
        <f aca="false">INT((ROW()-1)/208)</f>
        <v>1</v>
      </c>
      <c r="F239" s="6" t="str">
        <f aca="false">MID(VLOOKUP(D239,$P$1:$Q$13,2,0), 1 + C239,1)</f>
        <v>꾄</v>
      </c>
      <c r="G239" s="6" t="str">
        <f aca="false">DEC2HEX(D239+36, 2)</f>
        <v>25</v>
      </c>
      <c r="H239" s="6" t="str">
        <f aca="false">DEC2HEX(C239+48,2)</f>
        <v>4E</v>
      </c>
      <c r="I239" s="6" t="str">
        <f aca="false">_xlfn.CONCAT("\x", G239, "\x", H239, "=", F239)</f>
        <v>\x25\x4E=꾄</v>
      </c>
      <c r="M239" s="7" t="s">
        <v>216</v>
      </c>
      <c r="N239" s="6" t="str">
        <f aca="false">_xlfn.CONCAT("\x", DEC2HEX(D239+44, 2), "\x", H239, "=", M239)</f>
        <v>\x2D\x4E=震</v>
      </c>
    </row>
    <row r="240" customFormat="false" ht="14.15" hidden="false" customHeight="false" outlineLevel="0" collapsed="false">
      <c r="A240" s="6" t="str">
        <f aca="false">DEC2HEX(ROW()-1, 2) &amp; "=0x" &amp; DEC2HEX(ROW()-1, 2) &amp; ", "</f>
        <v>EF=0xEF, </v>
      </c>
      <c r="C240" s="6" t="n">
        <f aca="false">MOD(ROW()-1, 208)</f>
        <v>31</v>
      </c>
      <c r="D240" s="6" t="n">
        <f aca="false">INT((ROW()-1)/208)</f>
        <v>1</v>
      </c>
      <c r="F240" s="6" t="str">
        <f aca="false">MID(VLOOKUP(D240,$P$1:$Q$13,2,0), 1 + C240,1)</f>
        <v>꾈</v>
      </c>
      <c r="G240" s="6" t="str">
        <f aca="false">DEC2HEX(D240+36, 2)</f>
        <v>25</v>
      </c>
      <c r="H240" s="6" t="str">
        <f aca="false">DEC2HEX(C240+48,2)</f>
        <v>4F</v>
      </c>
      <c r="I240" s="6" t="str">
        <f aca="false">_xlfn.CONCAT("\x", G240, "\x", H240, "=", F240)</f>
        <v>\x25\x4F=꾈</v>
      </c>
      <c r="M240" s="7" t="s">
        <v>217</v>
      </c>
      <c r="N240" s="6" t="str">
        <f aca="false">_xlfn.CONCAT("\x", DEC2HEX(D240+44, 2), "\x", H240, "=", M240)</f>
        <v>\x2D\x4F=人</v>
      </c>
    </row>
    <row r="241" customFormat="false" ht="14.15" hidden="false" customHeight="false" outlineLevel="0" collapsed="false">
      <c r="A241" s="6" t="str">
        <f aca="false">DEC2HEX(ROW()-1, 2) &amp; "=0x" &amp; DEC2HEX(ROW()-1, 2) &amp; ", "</f>
        <v>F0=0xF0, </v>
      </c>
      <c r="C241" s="6" t="n">
        <f aca="false">MOD(ROW()-1, 208)</f>
        <v>32</v>
      </c>
      <c r="D241" s="6" t="n">
        <f aca="false">INT((ROW()-1)/208)</f>
        <v>1</v>
      </c>
      <c r="F241" s="6" t="str">
        <f aca="false">MID(VLOOKUP(D241,$P$1:$Q$13,2,0), 1 + C241,1)</f>
        <v>꾐</v>
      </c>
      <c r="G241" s="6" t="str">
        <f aca="false">DEC2HEX(D241+36, 2)</f>
        <v>25</v>
      </c>
      <c r="H241" s="6" t="str">
        <f aca="false">DEC2HEX(C241+48,2)</f>
        <v>50</v>
      </c>
      <c r="I241" s="6" t="str">
        <f aca="false">_xlfn.CONCAT("\x", G241, "\x", H241, "=", F241)</f>
        <v>\x25\x50=꾐</v>
      </c>
      <c r="M241" s="7" t="s">
        <v>218</v>
      </c>
      <c r="N241" s="6" t="str">
        <f aca="false">_xlfn.CONCAT("\x", DEC2HEX(D241+44, 2), "\x", H241, "=", M241)</f>
        <v>\x2D\x50=水</v>
      </c>
    </row>
    <row r="242" customFormat="false" ht="14.15" hidden="false" customHeight="false" outlineLevel="0" collapsed="false">
      <c r="A242" s="6" t="str">
        <f aca="false">DEC2HEX(ROW()-1, 2) &amp; "=0x" &amp; DEC2HEX(ROW()-1, 2) &amp; ", "</f>
        <v>F1=0xF1, </v>
      </c>
      <c r="C242" s="6" t="n">
        <f aca="false">MOD(ROW()-1, 208)</f>
        <v>33</v>
      </c>
      <c r="D242" s="6" t="n">
        <f aca="false">INT((ROW()-1)/208)</f>
        <v>1</v>
      </c>
      <c r="F242" s="6" t="str">
        <f aca="false">MID(VLOOKUP(D242,$P$1:$Q$13,2,0), 1 + C242,1)</f>
        <v>꾑</v>
      </c>
      <c r="G242" s="6" t="str">
        <f aca="false">DEC2HEX(D242+36, 2)</f>
        <v>25</v>
      </c>
      <c r="H242" s="6" t="str">
        <f aca="false">DEC2HEX(C242+48,2)</f>
        <v>51</v>
      </c>
      <c r="I242" s="6" t="str">
        <f aca="false">_xlfn.CONCAT("\x", G242, "\x", H242, "=", F242)</f>
        <v>\x25\x51=꾑</v>
      </c>
      <c r="M242" s="7" t="s">
        <v>219</v>
      </c>
      <c r="N242" s="6" t="str">
        <f aca="false">_xlfn.CONCAT("\x", DEC2HEX(D242+44, 2), "\x", H242, "=", M242)</f>
        <v>\x2D\x51=睡</v>
      </c>
    </row>
    <row r="243" customFormat="false" ht="14.15" hidden="false" customHeight="false" outlineLevel="0" collapsed="false">
      <c r="A243" s="6" t="str">
        <f aca="false">DEC2HEX(ROW()-1, 2) &amp; "=0x" &amp; DEC2HEX(ROW()-1, 2) &amp; ", "</f>
        <v>F2=0xF2, </v>
      </c>
      <c r="C243" s="6" t="n">
        <f aca="false">MOD(ROW()-1, 208)</f>
        <v>34</v>
      </c>
      <c r="D243" s="6" t="n">
        <f aca="false">INT((ROW()-1)/208)</f>
        <v>1</v>
      </c>
      <c r="F243" s="6" t="str">
        <f aca="false">MID(VLOOKUP(D243,$P$1:$Q$13,2,0), 1 + C243,1)</f>
        <v>꾕</v>
      </c>
      <c r="G243" s="6" t="str">
        <f aca="false">DEC2HEX(D243+36, 2)</f>
        <v>25</v>
      </c>
      <c r="H243" s="6" t="str">
        <f aca="false">DEC2HEX(C243+48,2)</f>
        <v>52</v>
      </c>
      <c r="I243" s="6" t="str">
        <f aca="false">_xlfn.CONCAT("\x", G243, "\x", H243, "=", F243)</f>
        <v>\x25\x52=꾕</v>
      </c>
      <c r="M243" s="7" t="s">
        <v>220</v>
      </c>
      <c r="N243" s="6" t="str">
        <f aca="false">_xlfn.CONCAT("\x", DEC2HEX(D243+44, 2), "\x", H243, "=", M243)</f>
        <v>\x2D\x52=数</v>
      </c>
    </row>
    <row r="244" customFormat="false" ht="14.15" hidden="false" customHeight="false" outlineLevel="0" collapsed="false">
      <c r="A244" s="6" t="str">
        <f aca="false">DEC2HEX(ROW()-1, 2) &amp; "=0x" &amp; DEC2HEX(ROW()-1, 2) &amp; ", "</f>
        <v>F3=0xF3, </v>
      </c>
      <c r="C244" s="6" t="n">
        <f aca="false">MOD(ROW()-1, 208)</f>
        <v>35</v>
      </c>
      <c r="D244" s="6" t="n">
        <f aca="false">INT((ROW()-1)/208)</f>
        <v>1</v>
      </c>
      <c r="F244" s="6" t="str">
        <f aca="false">MID(VLOOKUP(D244,$P$1:$Q$13,2,0), 1 + C244,1)</f>
        <v>꾜</v>
      </c>
      <c r="G244" s="6" t="str">
        <f aca="false">DEC2HEX(D244+36, 2)</f>
        <v>25</v>
      </c>
      <c r="H244" s="6" t="str">
        <f aca="false">DEC2HEX(C244+48,2)</f>
        <v>53</v>
      </c>
      <c r="I244" s="6" t="str">
        <f aca="false">_xlfn.CONCAT("\x", G244, "\x", H244, "=", F244)</f>
        <v>\x25\x53=꾜</v>
      </c>
      <c r="M244" s="7" t="s">
        <v>221</v>
      </c>
      <c r="N244" s="6" t="str">
        <f aca="false">_xlfn.CONCAT("\x", DEC2HEX(D244+44, 2), "\x", H244, "=", M244)</f>
        <v>\x2D\x53=制</v>
      </c>
    </row>
    <row r="245" customFormat="false" ht="14.15" hidden="false" customHeight="false" outlineLevel="0" collapsed="false">
      <c r="A245" s="6" t="str">
        <f aca="false">DEC2HEX(ROW()-1, 2) &amp; "=0x" &amp; DEC2HEX(ROW()-1, 2) &amp; ", "</f>
        <v>F4=0xF4, </v>
      </c>
      <c r="C245" s="6" t="n">
        <f aca="false">MOD(ROW()-1, 208)</f>
        <v>36</v>
      </c>
      <c r="D245" s="6" t="n">
        <f aca="false">INT((ROW()-1)/208)</f>
        <v>1</v>
      </c>
      <c r="F245" s="6" t="str">
        <f aca="false">MID(VLOOKUP(D245,$P$1:$Q$13,2,0), 1 + C245,1)</f>
        <v>꾸</v>
      </c>
      <c r="G245" s="6" t="str">
        <f aca="false">DEC2HEX(D245+36, 2)</f>
        <v>25</v>
      </c>
      <c r="H245" s="6" t="str">
        <f aca="false">DEC2HEX(C245+48,2)</f>
        <v>54</v>
      </c>
      <c r="I245" s="6" t="str">
        <f aca="false">_xlfn.CONCAT("\x", G245, "\x", H245, "=", F245)</f>
        <v>\x25\x54=꾸</v>
      </c>
      <c r="M245" s="7" t="s">
        <v>222</v>
      </c>
      <c r="N245" s="6" t="str">
        <f aca="false">_xlfn.CONCAT("\x", DEC2HEX(D245+44, 2), "\x", H245, "=", M245)</f>
        <v>\x2D\x54=性</v>
      </c>
    </row>
    <row r="246" customFormat="false" ht="14.15" hidden="false" customHeight="false" outlineLevel="0" collapsed="false">
      <c r="A246" s="6" t="str">
        <f aca="false">DEC2HEX(ROW()-1, 2) &amp; "=0x" &amp; DEC2HEX(ROW()-1, 2) &amp; ", "</f>
        <v>F5=0xF5, </v>
      </c>
      <c r="C246" s="6" t="n">
        <f aca="false">MOD(ROW()-1, 208)</f>
        <v>37</v>
      </c>
      <c r="D246" s="6" t="n">
        <f aca="false">INT((ROW()-1)/208)</f>
        <v>1</v>
      </c>
      <c r="F246" s="6" t="str">
        <f aca="false">MID(VLOOKUP(D246,$P$1:$Q$13,2,0), 1 + C246,1)</f>
        <v>꾹</v>
      </c>
      <c r="G246" s="6" t="str">
        <f aca="false">DEC2HEX(D246+36, 2)</f>
        <v>25</v>
      </c>
      <c r="H246" s="6" t="str">
        <f aca="false">DEC2HEX(C246+48,2)</f>
        <v>55</v>
      </c>
      <c r="I246" s="6" t="str">
        <f aca="false">_xlfn.CONCAT("\x", G246, "\x", H246, "=", F246)</f>
        <v>\x25\x55=꾹</v>
      </c>
      <c r="M246" s="7" t="s">
        <v>223</v>
      </c>
      <c r="N246" s="6" t="str">
        <f aca="false">_xlfn.CONCAT("\x", DEC2HEX(D246+44, 2), "\x", H246, "=", M246)</f>
        <v>\x2D\x55=成</v>
      </c>
    </row>
    <row r="247" customFormat="false" ht="14.15" hidden="false" customHeight="false" outlineLevel="0" collapsed="false">
      <c r="A247" s="6" t="str">
        <f aca="false">DEC2HEX(ROW()-1, 2) &amp; "=0x" &amp; DEC2HEX(ROW()-1, 2) &amp; ", "</f>
        <v>F6=0xF6, </v>
      </c>
      <c r="C247" s="6" t="n">
        <f aca="false">MOD(ROW()-1, 208)</f>
        <v>38</v>
      </c>
      <c r="D247" s="6" t="n">
        <f aca="false">INT((ROW()-1)/208)</f>
        <v>1</v>
      </c>
      <c r="F247" s="6" t="str">
        <f aca="false">MID(VLOOKUP(D247,$P$1:$Q$13,2,0), 1 + C247,1)</f>
        <v>꾼</v>
      </c>
      <c r="G247" s="6" t="str">
        <f aca="false">DEC2HEX(D247+36, 2)</f>
        <v>25</v>
      </c>
      <c r="H247" s="6" t="str">
        <f aca="false">DEC2HEX(C247+48,2)</f>
        <v>56</v>
      </c>
      <c r="I247" s="6" t="str">
        <f aca="false">_xlfn.CONCAT("\x", G247, "\x", H247, "=", F247)</f>
        <v>\x25\x56=꾼</v>
      </c>
      <c r="M247" s="7" t="s">
        <v>224</v>
      </c>
      <c r="N247" s="6" t="str">
        <f aca="false">_xlfn.CONCAT("\x", DEC2HEX(D247+44, 2), "\x", H247, "=", M247)</f>
        <v>\x2D\x56=整</v>
      </c>
    </row>
    <row r="248" customFormat="false" ht="14.15" hidden="false" customHeight="false" outlineLevel="0" collapsed="false">
      <c r="A248" s="6" t="str">
        <f aca="false">DEC2HEX(ROW()-1, 2) &amp; "=0x" &amp; DEC2HEX(ROW()-1, 2) &amp; ", "</f>
        <v>F7=0xF7, </v>
      </c>
      <c r="C248" s="6" t="n">
        <f aca="false">MOD(ROW()-1, 208)</f>
        <v>39</v>
      </c>
      <c r="D248" s="6" t="n">
        <f aca="false">INT((ROW()-1)/208)</f>
        <v>1</v>
      </c>
      <c r="F248" s="6" t="str">
        <f aca="false">MID(VLOOKUP(D248,$P$1:$Q$13,2,0), 1 + C248,1)</f>
        <v>꿀</v>
      </c>
      <c r="G248" s="6" t="str">
        <f aca="false">DEC2HEX(D248+36, 2)</f>
        <v>25</v>
      </c>
      <c r="H248" s="6" t="str">
        <f aca="false">DEC2HEX(C248+48,2)</f>
        <v>57</v>
      </c>
      <c r="I248" s="6" t="str">
        <f aca="false">_xlfn.CONCAT("\x", G248, "\x", H248, "=", F248)</f>
        <v>\x25\x57=꿀</v>
      </c>
      <c r="M248" s="7" t="s">
        <v>225</v>
      </c>
      <c r="N248" s="6" t="str">
        <f aca="false">_xlfn.CONCAT("\x", DEC2HEX(D248+44, 2), "\x", H248, "=", M248)</f>
        <v>\x2D\x57=正</v>
      </c>
    </row>
    <row r="249" customFormat="false" ht="14.15" hidden="false" customHeight="false" outlineLevel="0" collapsed="false">
      <c r="A249" s="6" t="str">
        <f aca="false">DEC2HEX(ROW()-1, 2) &amp; "=0x" &amp; DEC2HEX(ROW()-1, 2) &amp; ", "</f>
        <v>F8=0xF8, </v>
      </c>
      <c r="C249" s="6" t="n">
        <f aca="false">MOD(ROW()-1, 208)</f>
        <v>40</v>
      </c>
      <c r="D249" s="6" t="n">
        <f aca="false">INT((ROW()-1)/208)</f>
        <v>1</v>
      </c>
      <c r="F249" s="6" t="str">
        <f aca="false">MID(VLOOKUP(D249,$P$1:$Q$13,2,0), 1 + C249,1)</f>
        <v>꿇</v>
      </c>
      <c r="G249" s="6" t="str">
        <f aca="false">DEC2HEX(D249+36, 2)</f>
        <v>25</v>
      </c>
      <c r="H249" s="6" t="str">
        <f aca="false">DEC2HEX(C249+48,2)</f>
        <v>58</v>
      </c>
      <c r="I249" s="6" t="str">
        <f aca="false">_xlfn.CONCAT("\x", G249, "\x", H249, "=", F249)</f>
        <v>\x25\x58=꿇</v>
      </c>
      <c r="M249" s="7" t="s">
        <v>226</v>
      </c>
      <c r="N249" s="6" t="str">
        <f aca="false">_xlfn.CONCAT("\x", DEC2HEX(D249+44, 2), "\x", H249, "=", M249)</f>
        <v>\x2D\x58=聖</v>
      </c>
    </row>
    <row r="250" customFormat="false" ht="14.15" hidden="false" customHeight="false" outlineLevel="0" collapsed="false">
      <c r="A250" s="6" t="str">
        <f aca="false">DEC2HEX(ROW()-1, 2) &amp; "=0x" &amp; DEC2HEX(ROW()-1, 2) &amp; ", "</f>
        <v>F9=0xF9, </v>
      </c>
      <c r="C250" s="6" t="n">
        <f aca="false">MOD(ROW()-1, 208)</f>
        <v>41</v>
      </c>
      <c r="D250" s="6" t="n">
        <f aca="false">INT((ROW()-1)/208)</f>
        <v>1</v>
      </c>
      <c r="F250" s="6" t="str">
        <f aca="false">MID(VLOOKUP(D250,$P$1:$Q$13,2,0), 1 + C250,1)</f>
        <v>꿈</v>
      </c>
      <c r="G250" s="6" t="str">
        <f aca="false">DEC2HEX(D250+36, 2)</f>
        <v>25</v>
      </c>
      <c r="H250" s="6" t="str">
        <f aca="false">DEC2HEX(C250+48,2)</f>
        <v>59</v>
      </c>
      <c r="I250" s="6" t="str">
        <f aca="false">_xlfn.CONCAT("\x", G250, "\x", H250, "=", F250)</f>
        <v>\x25\x59=꿈</v>
      </c>
      <c r="M250" s="7" t="s">
        <v>227</v>
      </c>
      <c r="N250" s="6" t="str">
        <f aca="false">_xlfn.CONCAT("\x", DEC2HEX(D250+44, 2), "\x", H250, "=", M250)</f>
        <v>\x2D\x59=声</v>
      </c>
    </row>
    <row r="251" customFormat="false" ht="14.15" hidden="false" customHeight="false" outlineLevel="0" collapsed="false">
      <c r="A251" s="6" t="str">
        <f aca="false">DEC2HEX(ROW()-1, 2) &amp; "=0x" &amp; DEC2HEX(ROW()-1, 2) &amp; ", "</f>
        <v>FA=0xFA, </v>
      </c>
      <c r="C251" s="6" t="n">
        <f aca="false">MOD(ROW()-1, 208)</f>
        <v>42</v>
      </c>
      <c r="D251" s="6" t="n">
        <f aca="false">INT((ROW()-1)/208)</f>
        <v>1</v>
      </c>
      <c r="F251" s="6" t="str">
        <f aca="false">MID(VLOOKUP(D251,$P$1:$Q$13,2,0), 1 + C251,1)</f>
        <v>꿉</v>
      </c>
      <c r="G251" s="6" t="str">
        <f aca="false">DEC2HEX(D251+36, 2)</f>
        <v>25</v>
      </c>
      <c r="H251" s="6" t="str">
        <f aca="false">DEC2HEX(C251+48,2)</f>
        <v>5A</v>
      </c>
      <c r="I251" s="6" t="str">
        <f aca="false">_xlfn.CONCAT("\x", G251, "\x", H251, "=", F251)</f>
        <v>\x25\x5A=꿉</v>
      </c>
      <c r="M251" s="7" t="s">
        <v>228</v>
      </c>
      <c r="N251" s="6" t="str">
        <f aca="false">_xlfn.CONCAT("\x", DEC2HEX(D251+44, 2), "\x", H251, "=", M251)</f>
        <v>\x2D\x5A=青</v>
      </c>
    </row>
    <row r="252" customFormat="false" ht="14.15" hidden="false" customHeight="false" outlineLevel="0" collapsed="false">
      <c r="A252" s="6" t="str">
        <f aca="false">DEC2HEX(ROW()-1, 2) &amp; "=0x" &amp; DEC2HEX(ROW()-1, 2) &amp; ", "</f>
        <v>FB=0xFB, </v>
      </c>
      <c r="C252" s="6" t="n">
        <f aca="false">MOD(ROW()-1, 208)</f>
        <v>43</v>
      </c>
      <c r="D252" s="6" t="n">
        <f aca="false">INT((ROW()-1)/208)</f>
        <v>1</v>
      </c>
      <c r="F252" s="6" t="str">
        <f aca="false">MID(VLOOKUP(D252,$P$1:$Q$13,2,0), 1 + C252,1)</f>
        <v>꿋</v>
      </c>
      <c r="G252" s="6" t="str">
        <f aca="false">DEC2HEX(D252+36, 2)</f>
        <v>25</v>
      </c>
      <c r="H252" s="6" t="str">
        <f aca="false">DEC2HEX(C252+48,2)</f>
        <v>5B</v>
      </c>
      <c r="I252" s="6" t="str">
        <f aca="false">_xlfn.CONCAT("\x", G252, "\x", H252, "=", F252)</f>
        <v>\x25\x5B=꿋</v>
      </c>
      <c r="M252" s="7" t="s">
        <v>229</v>
      </c>
      <c r="N252" s="6" t="str">
        <f aca="false">_xlfn.CONCAT("\x", DEC2HEX(D252+44, 2), "\x", H252, "=", M252)</f>
        <v>\x2D\x5B=席</v>
      </c>
    </row>
    <row r="253" customFormat="false" ht="14.15" hidden="false" customHeight="false" outlineLevel="0" collapsed="false">
      <c r="A253" s="6" t="str">
        <f aca="false">DEC2HEX(ROW()-1, 2) &amp; "=0x" &amp; DEC2HEX(ROW()-1, 2) &amp; ", "</f>
        <v>FC=0xFC, </v>
      </c>
      <c r="C253" s="6" t="n">
        <f aca="false">MOD(ROW()-1, 208)</f>
        <v>44</v>
      </c>
      <c r="D253" s="6" t="n">
        <f aca="false">INT((ROW()-1)/208)</f>
        <v>1</v>
      </c>
      <c r="F253" s="6" t="str">
        <f aca="false">MID(VLOOKUP(D253,$P$1:$Q$13,2,0), 1 + C253,1)</f>
        <v>꿍</v>
      </c>
      <c r="G253" s="6" t="str">
        <f aca="false">DEC2HEX(D253+36, 2)</f>
        <v>25</v>
      </c>
      <c r="H253" s="6" t="str">
        <f aca="false">DEC2HEX(C253+48,2)</f>
        <v>5C</v>
      </c>
      <c r="I253" s="6" t="str">
        <f aca="false">_xlfn.CONCAT("\x", G253, "\x", H253, "=", F253)</f>
        <v>\x25\x5C=꿍</v>
      </c>
      <c r="M253" s="7" t="s">
        <v>230</v>
      </c>
      <c r="N253" s="6" t="str">
        <f aca="false">_xlfn.CONCAT("\x", DEC2HEX(D253+44, 2), "\x", H253, "=", M253)</f>
        <v>\x2D\x5C=石</v>
      </c>
    </row>
    <row r="254" customFormat="false" ht="14.15" hidden="false" customHeight="false" outlineLevel="0" collapsed="false">
      <c r="A254" s="6" t="str">
        <f aca="false">DEC2HEX(ROW()-1, 2) &amp; "=0x" &amp; DEC2HEX(ROW()-1, 2) &amp; ", "</f>
        <v>FD=0xFD, </v>
      </c>
      <c r="C254" s="6" t="n">
        <f aca="false">MOD(ROW()-1, 208)</f>
        <v>45</v>
      </c>
      <c r="D254" s="6" t="n">
        <f aca="false">INT((ROW()-1)/208)</f>
        <v>1</v>
      </c>
      <c r="F254" s="6" t="str">
        <f aca="false">MID(VLOOKUP(D254,$P$1:$Q$13,2,0), 1 + C254,1)</f>
        <v>꿎</v>
      </c>
      <c r="G254" s="6" t="str">
        <f aca="false">DEC2HEX(D254+36, 2)</f>
        <v>25</v>
      </c>
      <c r="H254" s="6" t="str">
        <f aca="false">DEC2HEX(C254+48,2)</f>
        <v>5D</v>
      </c>
      <c r="I254" s="6" t="str">
        <f aca="false">_xlfn.CONCAT("\x", G254, "\x", H254, "=", F254)</f>
        <v>\x25\x5D=꿎</v>
      </c>
      <c r="M254" s="7" t="s">
        <v>231</v>
      </c>
      <c r="N254" s="6" t="str">
        <f aca="false">_xlfn.CONCAT("\x", DEC2HEX(D254+44, 2), "\x", H254, "=", M254)</f>
        <v>\x2D\x5D=跡</v>
      </c>
    </row>
    <row r="255" customFormat="false" ht="14.15" hidden="false" customHeight="false" outlineLevel="0" collapsed="false">
      <c r="A255" s="6" t="str">
        <f aca="false">DEC2HEX(ROW()-1, 2) &amp; "=0x" &amp; DEC2HEX(ROW()-1, 2) &amp; ", "</f>
        <v>FE=0xFE, </v>
      </c>
      <c r="C255" s="6" t="n">
        <f aca="false">MOD(ROW()-1, 208)</f>
        <v>46</v>
      </c>
      <c r="D255" s="6" t="n">
        <f aca="false">INT((ROW()-1)/208)</f>
        <v>1</v>
      </c>
      <c r="F255" s="6" t="str">
        <f aca="false">MID(VLOOKUP(D255,$P$1:$Q$13,2,0), 1 + C255,1)</f>
        <v>꿔</v>
      </c>
      <c r="G255" s="6" t="str">
        <f aca="false">DEC2HEX(D255+36, 2)</f>
        <v>25</v>
      </c>
      <c r="H255" s="6" t="str">
        <f aca="false">DEC2HEX(C255+48,2)</f>
        <v>5E</v>
      </c>
      <c r="I255" s="6" t="str">
        <f aca="false">_xlfn.CONCAT("\x", G255, "\x", H255, "=", F255)</f>
        <v>\x25\x5E=꿔</v>
      </c>
      <c r="M255" s="7" t="s">
        <v>232</v>
      </c>
      <c r="N255" s="6" t="str">
        <f aca="false">_xlfn.CONCAT("\x", DEC2HEX(D255+44, 2), "\x", H255, "=", M255)</f>
        <v>\x2D\x5E=切</v>
      </c>
    </row>
    <row r="256" customFormat="false" ht="14.15" hidden="false" customHeight="false" outlineLevel="0" collapsed="false">
      <c r="A256" s="6" t="str">
        <f aca="false">DEC2HEX(ROW()-1, 2) &amp; "=0x" &amp; DEC2HEX(ROW()-1, 2) &amp; ", "</f>
        <v>FF=0xFF, </v>
      </c>
      <c r="C256" s="6" t="n">
        <f aca="false">MOD(ROW()-1, 208)</f>
        <v>47</v>
      </c>
      <c r="D256" s="6" t="n">
        <f aca="false">INT((ROW()-1)/208)</f>
        <v>1</v>
      </c>
      <c r="F256" s="6" t="str">
        <f aca="false">MID(VLOOKUP(D256,$P$1:$Q$13,2,0), 1 + C256,1)</f>
        <v>꿜</v>
      </c>
      <c r="G256" s="6" t="str">
        <f aca="false">DEC2HEX(D256+36, 2)</f>
        <v>25</v>
      </c>
      <c r="H256" s="6" t="str">
        <f aca="false">DEC2HEX(C256+48,2)</f>
        <v>5F</v>
      </c>
      <c r="I256" s="6" t="str">
        <f aca="false">_xlfn.CONCAT("\x", G256, "\x", H256, "=", F256)</f>
        <v>\x25\x5F=꿜</v>
      </c>
      <c r="M256" s="7" t="s">
        <v>233</v>
      </c>
      <c r="N256" s="6" t="str">
        <f aca="false">_xlfn.CONCAT("\x", DEC2HEX(D256+44, 2), "\x", H256, "=", M256)</f>
        <v>\x2D\x5F=接</v>
      </c>
    </row>
    <row r="257" customFormat="false" ht="12.8" hidden="false" customHeight="true" outlineLevel="0" collapsed="false">
      <c r="C257" s="6" t="n">
        <f aca="false">MOD(ROW()-1, 208)</f>
        <v>48</v>
      </c>
      <c r="D257" s="6" t="n">
        <f aca="false">INT((ROW()-1)/208)</f>
        <v>1</v>
      </c>
      <c r="F257" s="6" t="str">
        <f aca="false">MID(VLOOKUP(D257,$P$1:$Q$13,2,0), 1 + C257,1)</f>
        <v>꿨</v>
      </c>
      <c r="G257" s="6" t="str">
        <f aca="false">DEC2HEX(D257+36, 2)</f>
        <v>25</v>
      </c>
      <c r="H257" s="6" t="str">
        <f aca="false">DEC2HEX(C257+48,2)</f>
        <v>60</v>
      </c>
      <c r="I257" s="6" t="str">
        <f aca="false">_xlfn.CONCAT("\x", G257, "\x", H257, "=", F257)</f>
        <v>\x25\x60=꿨</v>
      </c>
      <c r="M257" s="7" t="s">
        <v>234</v>
      </c>
      <c r="N257" s="6" t="str">
        <f aca="false">_xlfn.CONCAT("\x", DEC2HEX(D257+44, 2), "\x", H257, "=", M257)</f>
        <v>\x2D\x60=設</v>
      </c>
    </row>
    <row r="258" customFormat="false" ht="12.8" hidden="false" customHeight="true" outlineLevel="0" collapsed="false">
      <c r="C258" s="6" t="n">
        <f aca="false">MOD(ROW()-1, 208)</f>
        <v>49</v>
      </c>
      <c r="D258" s="6" t="n">
        <f aca="false">INT((ROW()-1)/208)</f>
        <v>1</v>
      </c>
      <c r="F258" s="6" t="str">
        <f aca="false">MID(VLOOKUP(D258,$P$1:$Q$13,2,0), 1 + C258,1)</f>
        <v>꿩</v>
      </c>
      <c r="G258" s="6" t="str">
        <f aca="false">DEC2HEX(D258+36, 2)</f>
        <v>25</v>
      </c>
      <c r="H258" s="6" t="str">
        <f aca="false">DEC2HEX(C258+48,2)</f>
        <v>61</v>
      </c>
      <c r="I258" s="6" t="str">
        <f aca="false">_xlfn.CONCAT("\x", G258, "\x", H258, "=", F258)</f>
        <v>\x25\x61=꿩</v>
      </c>
      <c r="M258" s="7" t="s">
        <v>235</v>
      </c>
      <c r="N258" s="6" t="str">
        <f aca="false">_xlfn.CONCAT("\x", DEC2HEX(D258+44, 2), "\x", H258, "=", M258)</f>
        <v>\x2D\x61=先</v>
      </c>
    </row>
    <row r="259" customFormat="false" ht="12.8" hidden="false" customHeight="true" outlineLevel="0" collapsed="false">
      <c r="C259" s="6" t="n">
        <f aca="false">MOD(ROW()-1, 208)</f>
        <v>50</v>
      </c>
      <c r="D259" s="6" t="n">
        <f aca="false">INT((ROW()-1)/208)</f>
        <v>1</v>
      </c>
      <c r="F259" s="6" t="str">
        <f aca="false">MID(VLOOKUP(D259,$P$1:$Q$13,2,0), 1 + C259,1)</f>
        <v>꿰</v>
      </c>
      <c r="G259" s="6" t="str">
        <f aca="false">DEC2HEX(D259+36, 2)</f>
        <v>25</v>
      </c>
      <c r="H259" s="6" t="str">
        <f aca="false">DEC2HEX(C259+48,2)</f>
        <v>62</v>
      </c>
      <c r="I259" s="6" t="str">
        <f aca="false">_xlfn.CONCAT("\x", G259, "\x", H259, "=", F259)</f>
        <v>\x25\x62=꿰</v>
      </c>
      <c r="M259" s="7" t="s">
        <v>236</v>
      </c>
      <c r="N259" s="6" t="str">
        <f aca="false">_xlfn.CONCAT("\x", DEC2HEX(D259+44, 2), "\x", H259, "=", M259)</f>
        <v>\x2D\x62=宣</v>
      </c>
    </row>
    <row r="260" customFormat="false" ht="12.8" hidden="false" customHeight="true" outlineLevel="0" collapsed="false">
      <c r="C260" s="6" t="n">
        <f aca="false">MOD(ROW()-1, 208)</f>
        <v>51</v>
      </c>
      <c r="D260" s="6" t="n">
        <f aca="false">INT((ROW()-1)/208)</f>
        <v>1</v>
      </c>
      <c r="F260" s="6" t="str">
        <f aca="false">MID(VLOOKUP(D260,$P$1:$Q$13,2,0), 1 + C260,1)</f>
        <v>꿱</v>
      </c>
      <c r="G260" s="6" t="str">
        <f aca="false">DEC2HEX(D260+36, 2)</f>
        <v>25</v>
      </c>
      <c r="H260" s="6" t="str">
        <f aca="false">DEC2HEX(C260+48,2)</f>
        <v>63</v>
      </c>
      <c r="I260" s="6" t="str">
        <f aca="false">_xlfn.CONCAT("\x", G260, "\x", H260, "=", F260)</f>
        <v>\x25\x63=꿱</v>
      </c>
      <c r="M260" s="7" t="s">
        <v>237</v>
      </c>
      <c r="N260" s="6" t="str">
        <f aca="false">_xlfn.CONCAT("\x", DEC2HEX(D260+44, 2), "\x", H260, "=", M260)</f>
        <v>\x2D\x63=専</v>
      </c>
    </row>
    <row r="261" customFormat="false" ht="12.8" hidden="false" customHeight="true" outlineLevel="0" collapsed="false">
      <c r="C261" s="6" t="n">
        <f aca="false">MOD(ROW()-1, 208)</f>
        <v>52</v>
      </c>
      <c r="D261" s="6" t="n">
        <f aca="false">INT((ROW()-1)/208)</f>
        <v>1</v>
      </c>
      <c r="F261" s="6" t="str">
        <f aca="false">MID(VLOOKUP(D261,$P$1:$Q$13,2,0), 1 + C261,1)</f>
        <v>꿴</v>
      </c>
      <c r="G261" s="6" t="str">
        <f aca="false">DEC2HEX(D261+36, 2)</f>
        <v>25</v>
      </c>
      <c r="H261" s="6" t="str">
        <f aca="false">DEC2HEX(C261+48,2)</f>
        <v>64</v>
      </c>
      <c r="I261" s="6" t="str">
        <f aca="false">_xlfn.CONCAT("\x", G261, "\x", H261, "=", F261)</f>
        <v>\x25\x64=꿴</v>
      </c>
      <c r="M261" s="7" t="s">
        <v>238</v>
      </c>
      <c r="N261" s="6" t="str">
        <f aca="false">_xlfn.CONCAT("\x", DEC2HEX(D261+44, 2), "\x", H261, "=", M261)</f>
        <v>\x2D\x64=戦</v>
      </c>
    </row>
    <row r="262" customFormat="false" ht="12.8" hidden="false" customHeight="true" outlineLevel="0" collapsed="false">
      <c r="C262" s="6" t="n">
        <f aca="false">MOD(ROW()-1, 208)</f>
        <v>53</v>
      </c>
      <c r="D262" s="6" t="n">
        <f aca="false">INT((ROW()-1)/208)</f>
        <v>1</v>
      </c>
      <c r="F262" s="6" t="str">
        <f aca="false">MID(VLOOKUP(D262,$P$1:$Q$13,2,0), 1 + C262,1)</f>
        <v>꿸</v>
      </c>
      <c r="G262" s="6" t="str">
        <f aca="false">DEC2HEX(D262+36, 2)</f>
        <v>25</v>
      </c>
      <c r="H262" s="6" t="str">
        <f aca="false">DEC2HEX(C262+48,2)</f>
        <v>65</v>
      </c>
      <c r="I262" s="6" t="str">
        <f aca="false">_xlfn.CONCAT("\x", G262, "\x", H262, "=", F262)</f>
        <v>\x25\x65=꿸</v>
      </c>
      <c r="M262" s="7" t="s">
        <v>239</v>
      </c>
      <c r="N262" s="6" t="str">
        <f aca="false">_xlfn.CONCAT("\x", DEC2HEX(D262+44, 2), "\x", H262, "=", M262)</f>
        <v>\x2D\x65=泉</v>
      </c>
    </row>
    <row r="263" customFormat="false" ht="12.8" hidden="false" customHeight="true" outlineLevel="0" collapsed="false">
      <c r="C263" s="6" t="n">
        <f aca="false">MOD(ROW()-1, 208)</f>
        <v>54</v>
      </c>
      <c r="D263" s="6" t="n">
        <f aca="false">INT((ROW()-1)/208)</f>
        <v>1</v>
      </c>
      <c r="F263" s="6" t="str">
        <f aca="false">MID(VLOOKUP(D263,$P$1:$Q$13,2,0), 1 + C263,1)</f>
        <v>뀀</v>
      </c>
      <c r="G263" s="6" t="str">
        <f aca="false">DEC2HEX(D263+36, 2)</f>
        <v>25</v>
      </c>
      <c r="H263" s="6" t="str">
        <f aca="false">DEC2HEX(C263+48,2)</f>
        <v>66</v>
      </c>
      <c r="I263" s="6" t="str">
        <f aca="false">_xlfn.CONCAT("\x", G263, "\x", H263, "=", F263)</f>
        <v>\x25\x66=뀀</v>
      </c>
      <c r="M263" s="7" t="s">
        <v>240</v>
      </c>
      <c r="N263" s="6" t="str">
        <f aca="false">_xlfn.CONCAT("\x", DEC2HEX(D263+44, 2), "\x", H263, "=", M263)</f>
        <v>\x2D\x66=線</v>
      </c>
    </row>
    <row r="264" customFormat="false" ht="12.8" hidden="false" customHeight="true" outlineLevel="0" collapsed="false">
      <c r="C264" s="6" t="n">
        <f aca="false">MOD(ROW()-1, 208)</f>
        <v>55</v>
      </c>
      <c r="D264" s="6" t="n">
        <f aca="false">INT((ROW()-1)/208)</f>
        <v>1</v>
      </c>
      <c r="F264" s="6" t="str">
        <f aca="false">MID(VLOOKUP(D264,$P$1:$Q$13,2,0), 1 + C264,1)</f>
        <v>뀁</v>
      </c>
      <c r="G264" s="6" t="str">
        <f aca="false">DEC2HEX(D264+36, 2)</f>
        <v>25</v>
      </c>
      <c r="H264" s="6" t="str">
        <f aca="false">DEC2HEX(C264+48,2)</f>
        <v>67</v>
      </c>
      <c r="I264" s="6" t="str">
        <f aca="false">_xlfn.CONCAT("\x", G264, "\x", H264, "=", F264)</f>
        <v>\x25\x67=뀁</v>
      </c>
      <c r="M264" s="7" t="s">
        <v>241</v>
      </c>
      <c r="N264" s="6" t="str">
        <f aca="false">_xlfn.CONCAT("\x", DEC2HEX(D264+44, 2), "\x", H264, "=", M264)</f>
        <v>\x2D\x67=船</v>
      </c>
    </row>
    <row r="265" customFormat="false" ht="12.8" hidden="false" customHeight="true" outlineLevel="0" collapsed="false">
      <c r="C265" s="6" t="n">
        <f aca="false">MOD(ROW()-1, 208)</f>
        <v>56</v>
      </c>
      <c r="D265" s="6" t="n">
        <f aca="false">INT((ROW()-1)/208)</f>
        <v>1</v>
      </c>
      <c r="F265" s="6" t="str">
        <f aca="false">MID(VLOOKUP(D265,$P$1:$Q$13,2,0), 1 + C265,1)</f>
        <v>뀄</v>
      </c>
      <c r="G265" s="6" t="str">
        <f aca="false">DEC2HEX(D265+36, 2)</f>
        <v>25</v>
      </c>
      <c r="H265" s="6" t="str">
        <f aca="false">DEC2HEX(C265+48,2)</f>
        <v>68</v>
      </c>
      <c r="I265" s="6" t="str">
        <f aca="false">_xlfn.CONCAT("\x", G265, "\x", H265, "=", F265)</f>
        <v>\x25\x68=뀄</v>
      </c>
      <c r="M265" s="7" t="s">
        <v>242</v>
      </c>
      <c r="N265" s="6" t="str">
        <f aca="false">_xlfn.CONCAT("\x", DEC2HEX(D265+44, 2), "\x", H265, "=", M265)</f>
        <v>\x2D\x68=選</v>
      </c>
    </row>
    <row r="266" customFormat="false" ht="12.8" hidden="false" customHeight="true" outlineLevel="0" collapsed="false">
      <c r="C266" s="6" t="n">
        <f aca="false">MOD(ROW()-1, 208)</f>
        <v>57</v>
      </c>
      <c r="D266" s="6" t="n">
        <f aca="false">INT((ROW()-1)/208)</f>
        <v>1</v>
      </c>
      <c r="F266" s="6" t="str">
        <f aca="false">MID(VLOOKUP(D266,$P$1:$Q$13,2,0), 1 + C266,1)</f>
        <v>뀌</v>
      </c>
      <c r="G266" s="6" t="str">
        <f aca="false">DEC2HEX(D266+36, 2)</f>
        <v>25</v>
      </c>
      <c r="H266" s="6" t="str">
        <f aca="false">DEC2HEX(C266+48,2)</f>
        <v>69</v>
      </c>
      <c r="I266" s="6" t="str">
        <f aca="false">_xlfn.CONCAT("\x", G266, "\x", H266, "=", F266)</f>
        <v>\x25\x69=뀌</v>
      </c>
      <c r="M266" s="7" t="s">
        <v>243</v>
      </c>
      <c r="N266" s="6" t="str">
        <f aca="false">_xlfn.CONCAT("\x", DEC2HEX(D266+44, 2), "\x", H266, "=", M266)</f>
        <v>\x2D\x69=銭</v>
      </c>
    </row>
    <row r="267" customFormat="false" ht="12.8" hidden="false" customHeight="true" outlineLevel="0" collapsed="false">
      <c r="C267" s="6" t="n">
        <f aca="false">MOD(ROW()-1, 208)</f>
        <v>58</v>
      </c>
      <c r="D267" s="6" t="n">
        <f aca="false">INT((ROW()-1)/208)</f>
        <v>1</v>
      </c>
      <c r="F267" s="6" t="str">
        <f aca="false">MID(VLOOKUP(D267,$P$1:$Q$13,2,0), 1 + C267,1)</f>
        <v>뀐</v>
      </c>
      <c r="G267" s="6" t="str">
        <f aca="false">DEC2HEX(D267+36, 2)</f>
        <v>25</v>
      </c>
      <c r="H267" s="6" t="str">
        <f aca="false">DEC2HEX(C267+48,2)</f>
        <v>6A</v>
      </c>
      <c r="I267" s="6" t="str">
        <f aca="false">_xlfn.CONCAT("\x", G267, "\x", H267, "=", F267)</f>
        <v>\x25\x6A=뀐</v>
      </c>
      <c r="M267" s="7" t="s">
        <v>244</v>
      </c>
      <c r="N267" s="6" t="str">
        <f aca="false">_xlfn.CONCAT("\x", DEC2HEX(D267+44, 2), "\x", H267, "=", M267)</f>
        <v>\x2D\x6A=前</v>
      </c>
    </row>
    <row r="268" customFormat="false" ht="12.8" hidden="false" customHeight="true" outlineLevel="0" collapsed="false">
      <c r="C268" s="6" t="n">
        <f aca="false">MOD(ROW()-1, 208)</f>
        <v>59</v>
      </c>
      <c r="D268" s="6" t="n">
        <f aca="false">INT((ROW()-1)/208)</f>
        <v>1</v>
      </c>
      <c r="F268" s="6" t="str">
        <f aca="false">MID(VLOOKUP(D268,$P$1:$Q$13,2,0), 1 + C268,1)</f>
        <v>뀔</v>
      </c>
      <c r="G268" s="6" t="str">
        <f aca="false">DEC2HEX(D268+36, 2)</f>
        <v>25</v>
      </c>
      <c r="H268" s="6" t="str">
        <f aca="false">DEC2HEX(C268+48,2)</f>
        <v>6B</v>
      </c>
      <c r="I268" s="6" t="str">
        <f aca="false">_xlfn.CONCAT("\x", G268, "\x", H268, "=", F268)</f>
        <v>\x25\x6B=뀔</v>
      </c>
      <c r="M268" s="7" t="s">
        <v>245</v>
      </c>
      <c r="N268" s="6" t="str">
        <f aca="false">_xlfn.CONCAT("\x", DEC2HEX(D268+44, 2), "\x", H268, "=", M268)</f>
        <v>\x2D\x6B=全</v>
      </c>
    </row>
    <row r="269" customFormat="false" ht="12.8" hidden="false" customHeight="true" outlineLevel="0" collapsed="false">
      <c r="C269" s="6" t="n">
        <f aca="false">MOD(ROW()-1, 208)</f>
        <v>60</v>
      </c>
      <c r="D269" s="6" t="n">
        <f aca="false">INT((ROW()-1)/208)</f>
        <v>1</v>
      </c>
      <c r="F269" s="6" t="str">
        <f aca="false">MID(VLOOKUP(D269,$P$1:$Q$13,2,0), 1 + C269,1)</f>
        <v>뀜</v>
      </c>
      <c r="G269" s="6" t="str">
        <f aca="false">DEC2HEX(D269+36, 2)</f>
        <v>25</v>
      </c>
      <c r="H269" s="6" t="str">
        <f aca="false">DEC2HEX(C269+48,2)</f>
        <v>6C</v>
      </c>
      <c r="I269" s="6" t="str">
        <f aca="false">_xlfn.CONCAT("\x", G269, "\x", H269, "=", F269)</f>
        <v>\x25\x6C=뀜</v>
      </c>
      <c r="M269" s="7" t="s">
        <v>246</v>
      </c>
      <c r="N269" s="6" t="str">
        <f aca="false">_xlfn.CONCAT("\x", DEC2HEX(D269+44, 2), "\x", H269, "=", M269)</f>
        <v>\x2D\x6C=僧</v>
      </c>
    </row>
    <row r="270" customFormat="false" ht="12.8" hidden="false" customHeight="true" outlineLevel="0" collapsed="false">
      <c r="C270" s="6" t="n">
        <f aca="false">MOD(ROW()-1, 208)</f>
        <v>61</v>
      </c>
      <c r="D270" s="6" t="n">
        <f aca="false">INT((ROW()-1)/208)</f>
        <v>1</v>
      </c>
      <c r="F270" s="6" t="str">
        <f aca="false">MID(VLOOKUP(D270,$P$1:$Q$13,2,0), 1 + C270,1)</f>
        <v>뀝</v>
      </c>
      <c r="G270" s="6" t="str">
        <f aca="false">DEC2HEX(D270+36, 2)</f>
        <v>25</v>
      </c>
      <c r="H270" s="6" t="str">
        <f aca="false">DEC2HEX(C270+48,2)</f>
        <v>6D</v>
      </c>
      <c r="I270" s="6" t="str">
        <f aca="false">_xlfn.CONCAT("\x", G270, "\x", H270, "=", F270)</f>
        <v>\x25\x6D=뀝</v>
      </c>
      <c r="M270" s="7" t="s">
        <v>247</v>
      </c>
      <c r="N270" s="6" t="str">
        <f aca="false">_xlfn.CONCAT("\x", DEC2HEX(D270+44, 2), "\x", H270, "=", M270)</f>
        <v>\x2D\x6D=倉</v>
      </c>
    </row>
    <row r="271" customFormat="false" ht="12.8" hidden="false" customHeight="true" outlineLevel="0" collapsed="false">
      <c r="C271" s="6" t="n">
        <f aca="false">MOD(ROW()-1, 208)</f>
        <v>62</v>
      </c>
      <c r="D271" s="6" t="n">
        <f aca="false">INT((ROW()-1)/208)</f>
        <v>1</v>
      </c>
      <c r="F271" s="6" t="str">
        <f aca="false">MID(VLOOKUP(D271,$P$1:$Q$13,2,0), 1 + C271,1)</f>
        <v>뀨</v>
      </c>
      <c r="G271" s="6" t="str">
        <f aca="false">DEC2HEX(D271+36, 2)</f>
        <v>25</v>
      </c>
      <c r="H271" s="6" t="str">
        <f aca="false">DEC2HEX(C271+48,2)</f>
        <v>6E</v>
      </c>
      <c r="I271" s="6" t="str">
        <f aca="false">_xlfn.CONCAT("\x", G271, "\x", H271, "=", F271)</f>
        <v>\x25\x6E=뀨</v>
      </c>
      <c r="M271" s="7" t="s">
        <v>248</v>
      </c>
      <c r="N271" s="6" t="str">
        <f aca="false">_xlfn.CONCAT("\x", DEC2HEX(D271+44, 2), "\x", H271, "=", M271)</f>
        <v>\x2D\x6E=操</v>
      </c>
    </row>
    <row r="272" customFormat="false" ht="12.8" hidden="false" customHeight="true" outlineLevel="0" collapsed="false">
      <c r="C272" s="6" t="n">
        <f aca="false">MOD(ROW()-1, 208)</f>
        <v>63</v>
      </c>
      <c r="D272" s="6" t="n">
        <f aca="false">INT((ROW()-1)/208)</f>
        <v>1</v>
      </c>
      <c r="F272" s="6" t="str">
        <f aca="false">MID(VLOOKUP(D272,$P$1:$Q$13,2,0), 1 + C272,1)</f>
        <v>끄</v>
      </c>
      <c r="G272" s="6" t="str">
        <f aca="false">DEC2HEX(D272+36, 2)</f>
        <v>25</v>
      </c>
      <c r="H272" s="6" t="str">
        <f aca="false">DEC2HEX(C272+48,2)</f>
        <v>6F</v>
      </c>
      <c r="I272" s="6" t="str">
        <f aca="false">_xlfn.CONCAT("\x", G272, "\x", H272, "=", F272)</f>
        <v>\x25\x6F=끄</v>
      </c>
      <c r="M272" s="7" t="s">
        <v>249</v>
      </c>
      <c r="N272" s="6" t="str">
        <f aca="false">_xlfn.CONCAT("\x", DEC2HEX(D272+44, 2), "\x", H272, "=", M272)</f>
        <v>\x2D\x6F=装</v>
      </c>
    </row>
    <row r="273" customFormat="false" ht="12.8" hidden="false" customHeight="true" outlineLevel="0" collapsed="false">
      <c r="C273" s="6" t="n">
        <f aca="false">MOD(ROW()-1, 208)</f>
        <v>64</v>
      </c>
      <c r="D273" s="6" t="n">
        <f aca="false">INT((ROW()-1)/208)</f>
        <v>1</v>
      </c>
      <c r="F273" s="6" t="str">
        <f aca="false">MID(VLOOKUP(D273,$P$1:$Q$13,2,0), 1 + C273,1)</f>
        <v>끅</v>
      </c>
      <c r="G273" s="6" t="str">
        <f aca="false">DEC2HEX(D273+36, 2)</f>
        <v>25</v>
      </c>
      <c r="H273" s="6" t="str">
        <f aca="false">DEC2HEX(C273+48,2)</f>
        <v>70</v>
      </c>
      <c r="I273" s="6" t="str">
        <f aca="false">_xlfn.CONCAT("\x", G273, "\x", H273, "=", F273)</f>
        <v>\x25\x70=끅</v>
      </c>
      <c r="M273" s="7" t="s">
        <v>250</v>
      </c>
      <c r="N273" s="6" t="str">
        <f aca="false">_xlfn.CONCAT("\x", DEC2HEX(D273+44, 2), "\x", H273, "=", M273)</f>
        <v>\x2D\x70=像</v>
      </c>
    </row>
    <row r="274" customFormat="false" ht="12.8" hidden="false" customHeight="true" outlineLevel="0" collapsed="false">
      <c r="C274" s="6" t="n">
        <f aca="false">MOD(ROW()-1, 208)</f>
        <v>65</v>
      </c>
      <c r="D274" s="6" t="n">
        <f aca="false">INT((ROW()-1)/208)</f>
        <v>1</v>
      </c>
      <c r="F274" s="6" t="str">
        <f aca="false">MID(VLOOKUP(D274,$P$1:$Q$13,2,0), 1 + C274,1)</f>
        <v>끈</v>
      </c>
      <c r="G274" s="6" t="str">
        <f aca="false">DEC2HEX(D274+36, 2)</f>
        <v>25</v>
      </c>
      <c r="H274" s="6" t="str">
        <f aca="false">DEC2HEX(C274+48,2)</f>
        <v>71</v>
      </c>
      <c r="I274" s="6" t="str">
        <f aca="false">_xlfn.CONCAT("\x", G274, "\x", H274, "=", F274)</f>
        <v>\x25\x71=끈</v>
      </c>
      <c r="M274" s="7" t="s">
        <v>251</v>
      </c>
      <c r="N274" s="6" t="str">
        <f aca="false">_xlfn.CONCAT("\x", DEC2HEX(D274+44, 2), "\x", H274, "=", M274)</f>
        <v>\x2D\x71=増</v>
      </c>
    </row>
    <row r="275" customFormat="false" ht="12.8" hidden="false" customHeight="true" outlineLevel="0" collapsed="false">
      <c r="C275" s="6" t="n">
        <f aca="false">MOD(ROW()-1, 208)</f>
        <v>66</v>
      </c>
      <c r="D275" s="6" t="n">
        <f aca="false">INT((ROW()-1)/208)</f>
        <v>1</v>
      </c>
      <c r="F275" s="6" t="str">
        <f aca="false">MID(VLOOKUP(D275,$P$1:$Q$13,2,0), 1 + C275,1)</f>
        <v>끊</v>
      </c>
      <c r="G275" s="6" t="str">
        <f aca="false">DEC2HEX(D275+36, 2)</f>
        <v>25</v>
      </c>
      <c r="H275" s="6" t="str">
        <f aca="false">DEC2HEX(C275+48,2)</f>
        <v>72</v>
      </c>
      <c r="I275" s="6" t="str">
        <f aca="false">_xlfn.CONCAT("\x", G275, "\x", H275, "=", F275)</f>
        <v>\x25\x72=끊</v>
      </c>
      <c r="M275" s="7" t="s">
        <v>252</v>
      </c>
      <c r="N275" s="6" t="str">
        <f aca="false">_xlfn.CONCAT("\x", DEC2HEX(D275+44, 2), "\x", H275, "=", M275)</f>
        <v>\x2D\x72=造</v>
      </c>
    </row>
    <row r="276" customFormat="false" ht="12.8" hidden="false" customHeight="true" outlineLevel="0" collapsed="false">
      <c r="C276" s="6" t="n">
        <f aca="false">MOD(ROW()-1, 208)</f>
        <v>67</v>
      </c>
      <c r="D276" s="6" t="n">
        <f aca="false">INT((ROW()-1)/208)</f>
        <v>1</v>
      </c>
      <c r="F276" s="6" t="str">
        <f aca="false">MID(VLOOKUP(D276,$P$1:$Q$13,2,0), 1 + C276,1)</f>
        <v>끌</v>
      </c>
      <c r="G276" s="6" t="str">
        <f aca="false">DEC2HEX(D276+36, 2)</f>
        <v>25</v>
      </c>
      <c r="H276" s="6" t="str">
        <f aca="false">DEC2HEX(C276+48,2)</f>
        <v>73</v>
      </c>
      <c r="I276" s="6" t="str">
        <f aca="false">_xlfn.CONCAT("\x", G276, "\x", H276, "=", F276)</f>
        <v>\x25\x73=끌</v>
      </c>
      <c r="M276" s="7" t="s">
        <v>253</v>
      </c>
      <c r="N276" s="6" t="str">
        <f aca="false">_xlfn.CONCAT("\x", DEC2HEX(D276+44, 2), "\x", H276, "=", M276)</f>
        <v>\x2D\x73=即</v>
      </c>
    </row>
    <row r="277" customFormat="false" ht="12.8" hidden="false" customHeight="true" outlineLevel="0" collapsed="false">
      <c r="C277" s="6" t="n">
        <f aca="false">MOD(ROW()-1, 208)</f>
        <v>68</v>
      </c>
      <c r="D277" s="6" t="n">
        <f aca="false">INT((ROW()-1)/208)</f>
        <v>1</v>
      </c>
      <c r="F277" s="6" t="str">
        <f aca="false">MID(VLOOKUP(D277,$P$1:$Q$13,2,0), 1 + C277,1)</f>
        <v>끎</v>
      </c>
      <c r="G277" s="6" t="str">
        <f aca="false">DEC2HEX(D277+36, 2)</f>
        <v>25</v>
      </c>
      <c r="H277" s="6" t="str">
        <f aca="false">DEC2HEX(C277+48,2)</f>
        <v>74</v>
      </c>
      <c r="I277" s="6" t="str">
        <f aca="false">_xlfn.CONCAT("\x", G277, "\x", H277, "=", F277)</f>
        <v>\x25\x74=끎</v>
      </c>
      <c r="M277" s="7" t="s">
        <v>254</v>
      </c>
      <c r="N277" s="6" t="str">
        <f aca="false">_xlfn.CONCAT("\x", DEC2HEX(D277+44, 2), "\x", H277, "=", M277)</f>
        <v>\x2D\x74=息</v>
      </c>
    </row>
    <row r="278" customFormat="false" ht="12.8" hidden="false" customHeight="true" outlineLevel="0" collapsed="false">
      <c r="C278" s="6" t="n">
        <f aca="false">MOD(ROW()-1, 208)</f>
        <v>69</v>
      </c>
      <c r="D278" s="6" t="n">
        <f aca="false">INT((ROW()-1)/208)</f>
        <v>1</v>
      </c>
      <c r="F278" s="6" t="str">
        <f aca="false">MID(VLOOKUP(D278,$P$1:$Q$13,2,0), 1 + C278,1)</f>
        <v>끓</v>
      </c>
      <c r="G278" s="6" t="str">
        <f aca="false">DEC2HEX(D278+36, 2)</f>
        <v>25</v>
      </c>
      <c r="H278" s="6" t="str">
        <f aca="false">DEC2HEX(C278+48,2)</f>
        <v>75</v>
      </c>
      <c r="I278" s="6" t="str">
        <f aca="false">_xlfn.CONCAT("\x", G278, "\x", H278, "=", F278)</f>
        <v>\x25\x75=끓</v>
      </c>
      <c r="M278" s="7" t="s">
        <v>255</v>
      </c>
      <c r="N278" s="6" t="str">
        <f aca="false">_xlfn.CONCAT("\x", DEC2HEX(D278+44, 2), "\x", H278, "=", M278)</f>
        <v>\x2D\x75=束</v>
      </c>
    </row>
    <row r="279" customFormat="false" ht="12.8" hidden="false" customHeight="true" outlineLevel="0" collapsed="false">
      <c r="C279" s="6" t="n">
        <f aca="false">MOD(ROW()-1, 208)</f>
        <v>70</v>
      </c>
      <c r="D279" s="6" t="n">
        <f aca="false">INT((ROW()-1)/208)</f>
        <v>1</v>
      </c>
      <c r="F279" s="6" t="str">
        <f aca="false">MID(VLOOKUP(D279,$P$1:$Q$13,2,0), 1 + C279,1)</f>
        <v>끔</v>
      </c>
      <c r="G279" s="6" t="str">
        <f aca="false">DEC2HEX(D279+36, 2)</f>
        <v>25</v>
      </c>
      <c r="H279" s="6" t="str">
        <f aca="false">DEC2HEX(C279+48,2)</f>
        <v>76</v>
      </c>
      <c r="I279" s="6" t="str">
        <f aca="false">_xlfn.CONCAT("\x", G279, "\x", H279, "=", F279)</f>
        <v>\x25\x76=끔</v>
      </c>
      <c r="M279" s="7" t="s">
        <v>256</v>
      </c>
      <c r="N279" s="6" t="str">
        <f aca="false">_xlfn.CONCAT("\x", DEC2HEX(D279+44, 2), "\x", H279, "=", M279)</f>
        <v>\x2D\x76=足</v>
      </c>
    </row>
    <row r="280" customFormat="false" ht="12.8" hidden="false" customHeight="true" outlineLevel="0" collapsed="false">
      <c r="C280" s="6" t="n">
        <f aca="false">MOD(ROW()-1, 208)</f>
        <v>71</v>
      </c>
      <c r="D280" s="6" t="n">
        <f aca="false">INT((ROW()-1)/208)</f>
        <v>1</v>
      </c>
      <c r="F280" s="6" t="str">
        <f aca="false">MID(VLOOKUP(D280,$P$1:$Q$13,2,0), 1 + C280,1)</f>
        <v>끕</v>
      </c>
      <c r="G280" s="6" t="str">
        <f aca="false">DEC2HEX(D280+36, 2)</f>
        <v>25</v>
      </c>
      <c r="H280" s="6" t="str">
        <f aca="false">DEC2HEX(C280+48,2)</f>
        <v>77</v>
      </c>
      <c r="I280" s="6" t="str">
        <f aca="false">_xlfn.CONCAT("\x", G280, "\x", H280, "=", F280)</f>
        <v>\x25\x77=끕</v>
      </c>
      <c r="M280" s="7" t="s">
        <v>257</v>
      </c>
      <c r="N280" s="6" t="str">
        <f aca="false">_xlfn.CONCAT("\x", DEC2HEX(D280+44, 2), "\x", H280, "=", M280)</f>
        <v>\x2D\x77=属</v>
      </c>
    </row>
    <row r="281" customFormat="false" ht="12.8" hidden="false" customHeight="true" outlineLevel="0" collapsed="false">
      <c r="C281" s="6" t="n">
        <f aca="false">MOD(ROW()-1, 208)</f>
        <v>72</v>
      </c>
      <c r="D281" s="6" t="n">
        <f aca="false">INT((ROW()-1)/208)</f>
        <v>1</v>
      </c>
      <c r="F281" s="6" t="str">
        <f aca="false">MID(VLOOKUP(D281,$P$1:$Q$13,2,0), 1 + C281,1)</f>
        <v>끗</v>
      </c>
      <c r="G281" s="6" t="str">
        <f aca="false">DEC2HEX(D281+36, 2)</f>
        <v>25</v>
      </c>
      <c r="H281" s="6" t="str">
        <f aca="false">DEC2HEX(C281+48,2)</f>
        <v>78</v>
      </c>
      <c r="I281" s="6" t="str">
        <f aca="false">_xlfn.CONCAT("\x", G281, "\x", H281, "=", F281)</f>
        <v>\x25\x78=끗</v>
      </c>
      <c r="M281" s="7" t="s">
        <v>258</v>
      </c>
      <c r="N281" s="6" t="str">
        <f aca="false">_xlfn.CONCAT("\x", DEC2HEX(D281+44, 2), "\x", H281, "=", M281)</f>
        <v>\x2D\x78=続</v>
      </c>
    </row>
    <row r="282" customFormat="false" ht="12.8" hidden="false" customHeight="true" outlineLevel="0" collapsed="false">
      <c r="C282" s="6" t="n">
        <f aca="false">MOD(ROW()-1, 208)</f>
        <v>73</v>
      </c>
      <c r="D282" s="6" t="n">
        <f aca="false">INT((ROW()-1)/208)</f>
        <v>1</v>
      </c>
      <c r="F282" s="6" t="str">
        <f aca="false">MID(VLOOKUP(D282,$P$1:$Q$13,2,0), 1 + C282,1)</f>
        <v>끙</v>
      </c>
      <c r="G282" s="6" t="str">
        <f aca="false">DEC2HEX(D282+36, 2)</f>
        <v>25</v>
      </c>
      <c r="H282" s="6" t="str">
        <f aca="false">DEC2HEX(C282+48,2)</f>
        <v>79</v>
      </c>
      <c r="I282" s="6" t="str">
        <f aca="false">_xlfn.CONCAT("\x", G282, "\x", H282, "=", F282)</f>
        <v>\x25\x79=끙</v>
      </c>
      <c r="M282" s="7" t="s">
        <v>259</v>
      </c>
      <c r="N282" s="6" t="str">
        <f aca="false">_xlfn.CONCAT("\x", DEC2HEX(D282+44, 2), "\x", H282, "=", M282)</f>
        <v>\x2D\x79=存</v>
      </c>
    </row>
    <row r="283" customFormat="false" ht="12.8" hidden="false" customHeight="true" outlineLevel="0" collapsed="false">
      <c r="C283" s="6" t="n">
        <f aca="false">MOD(ROW()-1, 208)</f>
        <v>74</v>
      </c>
      <c r="D283" s="6" t="n">
        <f aca="false">INT((ROW()-1)/208)</f>
        <v>1</v>
      </c>
      <c r="F283" s="6" t="str">
        <f aca="false">MID(VLOOKUP(D283,$P$1:$Q$13,2,0), 1 + C283,1)</f>
        <v>끝</v>
      </c>
      <c r="G283" s="6" t="str">
        <f aca="false">DEC2HEX(D283+36, 2)</f>
        <v>25</v>
      </c>
      <c r="H283" s="6" t="str">
        <f aca="false">DEC2HEX(C283+48,2)</f>
        <v>7A</v>
      </c>
      <c r="I283" s="6" t="str">
        <f aca="false">_xlfn.CONCAT("\x", G283, "\x", H283, "=", F283)</f>
        <v>\x25\x7A=끝</v>
      </c>
      <c r="M283" s="7" t="s">
        <v>260</v>
      </c>
      <c r="N283" s="6" t="str">
        <f aca="false">_xlfn.CONCAT("\x", DEC2HEX(D283+44, 2), "\x", H283, "=", M283)</f>
        <v>\x2D\x7A=村</v>
      </c>
    </row>
    <row r="284" customFormat="false" ht="12.8" hidden="false" customHeight="true" outlineLevel="0" collapsed="false">
      <c r="C284" s="6" t="n">
        <f aca="false">MOD(ROW()-1, 208)</f>
        <v>75</v>
      </c>
      <c r="D284" s="6" t="n">
        <f aca="false">INT((ROW()-1)/208)</f>
        <v>1</v>
      </c>
      <c r="F284" s="6" t="str">
        <f aca="false">MID(VLOOKUP(D284,$P$1:$Q$13,2,0), 1 + C284,1)</f>
        <v>끼</v>
      </c>
      <c r="G284" s="6" t="str">
        <f aca="false">DEC2HEX(D284+36, 2)</f>
        <v>25</v>
      </c>
      <c r="H284" s="6" t="str">
        <f aca="false">DEC2HEX(C284+48,2)</f>
        <v>7B</v>
      </c>
      <c r="I284" s="6" t="str">
        <f aca="false">_xlfn.CONCAT("\x", G284, "\x", H284, "=", F284)</f>
        <v>\x25\x7B=끼</v>
      </c>
      <c r="M284" s="7" t="s">
        <v>261</v>
      </c>
      <c r="N284" s="6" t="str">
        <f aca="false">_xlfn.CONCAT("\x", DEC2HEX(D284+44, 2), "\x", H284, "=", M284)</f>
        <v>\x2D\x7B=他</v>
      </c>
    </row>
    <row r="285" customFormat="false" ht="12.8" hidden="false" customHeight="true" outlineLevel="0" collapsed="false">
      <c r="C285" s="6" t="n">
        <f aca="false">MOD(ROW()-1, 208)</f>
        <v>76</v>
      </c>
      <c r="D285" s="6" t="n">
        <f aca="false">INT((ROW()-1)/208)</f>
        <v>1</v>
      </c>
      <c r="F285" s="6" t="str">
        <f aca="false">MID(VLOOKUP(D285,$P$1:$Q$13,2,0), 1 + C285,1)</f>
        <v>끽</v>
      </c>
      <c r="G285" s="6" t="str">
        <f aca="false">DEC2HEX(D285+36, 2)</f>
        <v>25</v>
      </c>
      <c r="H285" s="6" t="str">
        <f aca="false">DEC2HEX(C285+48,2)</f>
        <v>7C</v>
      </c>
      <c r="I285" s="6" t="str">
        <f aca="false">_xlfn.CONCAT("\x", G285, "\x", H285, "=", F285)</f>
        <v>\x25\x7C=끽</v>
      </c>
      <c r="M285" s="7" t="s">
        <v>262</v>
      </c>
      <c r="N285" s="6" t="str">
        <f aca="false">_xlfn.CONCAT("\x", DEC2HEX(D285+44, 2), "\x", H285, "=", M285)</f>
        <v>\x2D\x7C=多</v>
      </c>
    </row>
    <row r="286" customFormat="false" ht="12.8" hidden="false" customHeight="true" outlineLevel="0" collapsed="false">
      <c r="C286" s="6" t="n">
        <f aca="false">MOD(ROW()-1, 208)</f>
        <v>77</v>
      </c>
      <c r="D286" s="6" t="n">
        <f aca="false">INT((ROW()-1)/208)</f>
        <v>1</v>
      </c>
      <c r="F286" s="6" t="str">
        <f aca="false">MID(VLOOKUP(D286,$P$1:$Q$13,2,0), 1 + C286,1)</f>
        <v>낀</v>
      </c>
      <c r="G286" s="6" t="str">
        <f aca="false">DEC2HEX(D286+36, 2)</f>
        <v>25</v>
      </c>
      <c r="H286" s="6" t="str">
        <f aca="false">DEC2HEX(C286+48,2)</f>
        <v>7D</v>
      </c>
      <c r="I286" s="6" t="str">
        <f aca="false">_xlfn.CONCAT("\x", G286, "\x", H286, "=", F286)</f>
        <v>\x25\x7D=낀</v>
      </c>
      <c r="M286" s="7" t="s">
        <v>263</v>
      </c>
      <c r="N286" s="6" t="str">
        <f aca="false">_xlfn.CONCAT("\x", DEC2HEX(D286+44, 2), "\x", H286, "=", M286)</f>
        <v>\x2D\x7D=舵</v>
      </c>
    </row>
    <row r="287" customFormat="false" ht="12.8" hidden="false" customHeight="true" outlineLevel="0" collapsed="false">
      <c r="C287" s="6" t="n">
        <f aca="false">MOD(ROW()-1, 208)</f>
        <v>78</v>
      </c>
      <c r="D287" s="6" t="n">
        <f aca="false">INT((ROW()-1)/208)</f>
        <v>1</v>
      </c>
      <c r="F287" s="6" t="str">
        <f aca="false">MID(VLOOKUP(D287,$P$1:$Q$13,2,0), 1 + C287,1)</f>
        <v>낄</v>
      </c>
      <c r="G287" s="6" t="str">
        <f aca="false">DEC2HEX(D287+36, 2)</f>
        <v>25</v>
      </c>
      <c r="H287" s="6" t="str">
        <f aca="false">DEC2HEX(C287+48,2)</f>
        <v>7E</v>
      </c>
      <c r="I287" s="6" t="str">
        <f aca="false">_xlfn.CONCAT("\x", G287, "\x", H287, "=", F287)</f>
        <v>\x25\x7E=낄</v>
      </c>
      <c r="M287" s="7" t="s">
        <v>264</v>
      </c>
      <c r="N287" s="6" t="str">
        <f aca="false">_xlfn.CONCAT("\x", DEC2HEX(D287+44, 2), "\x", H287, "=", M287)</f>
        <v>\x2D\x7E=体</v>
      </c>
    </row>
    <row r="288" customFormat="false" ht="12.8" hidden="false" customHeight="true" outlineLevel="0" collapsed="false">
      <c r="C288" s="6" t="n">
        <f aca="false">MOD(ROW()-1, 208)</f>
        <v>79</v>
      </c>
      <c r="D288" s="6" t="n">
        <f aca="false">INT((ROW()-1)/208)</f>
        <v>1</v>
      </c>
      <c r="F288" s="6" t="str">
        <f aca="false">MID(VLOOKUP(D288,$P$1:$Q$13,2,0), 1 + C288,1)</f>
        <v>낌</v>
      </c>
      <c r="G288" s="6" t="str">
        <f aca="false">DEC2HEX(D288+36, 2)</f>
        <v>25</v>
      </c>
      <c r="H288" s="6" t="str">
        <f aca="false">DEC2HEX(C288+48,2)</f>
        <v>7F</v>
      </c>
      <c r="I288" s="6" t="str">
        <f aca="false">_xlfn.CONCAT("\x", G288, "\x", H288, "=", F288)</f>
        <v>\x25\x7F=낌</v>
      </c>
      <c r="M288" s="7" t="s">
        <v>265</v>
      </c>
      <c r="N288" s="6" t="str">
        <f aca="false">_xlfn.CONCAT("\x", DEC2HEX(D288+44, 2), "\x", H288, "=", M288)</f>
        <v>\x2D\x7F=対</v>
      </c>
    </row>
    <row r="289" customFormat="false" ht="12.8" hidden="false" customHeight="true" outlineLevel="0" collapsed="false">
      <c r="C289" s="6" t="n">
        <f aca="false">MOD(ROW()-1, 208)</f>
        <v>80</v>
      </c>
      <c r="D289" s="6" t="n">
        <f aca="false">INT((ROW()-1)/208)</f>
        <v>1</v>
      </c>
      <c r="F289" s="6" t="str">
        <f aca="false">MID(VLOOKUP(D289,$P$1:$Q$13,2,0), 1 + C289,1)</f>
        <v>낍</v>
      </c>
      <c r="G289" s="6" t="str">
        <f aca="false">DEC2HEX(D289+36, 2)</f>
        <v>25</v>
      </c>
      <c r="H289" s="6" t="str">
        <f aca="false">DEC2HEX(C289+48,2)</f>
        <v>80</v>
      </c>
      <c r="I289" s="6" t="str">
        <f aca="false">_xlfn.CONCAT("\x", G289, "\x", H289, "=", F289)</f>
        <v>\x25\x80=낍</v>
      </c>
      <c r="M289" s="7" t="s">
        <v>266</v>
      </c>
      <c r="N289" s="6" t="str">
        <f aca="false">_xlfn.CONCAT("\x", DEC2HEX(D289+44, 2), "\x", H289, "=", M289)</f>
        <v>\x2D\x80=態</v>
      </c>
    </row>
    <row r="290" customFormat="false" ht="12.8" hidden="false" customHeight="true" outlineLevel="0" collapsed="false">
      <c r="C290" s="6" t="n">
        <f aca="false">MOD(ROW()-1, 208)</f>
        <v>81</v>
      </c>
      <c r="D290" s="6" t="n">
        <f aca="false">INT((ROW()-1)/208)</f>
        <v>1</v>
      </c>
      <c r="F290" s="6" t="str">
        <f aca="false">MID(VLOOKUP(D290,$P$1:$Q$13,2,0), 1 + C290,1)</f>
        <v>낏</v>
      </c>
      <c r="G290" s="6" t="str">
        <f aca="false">DEC2HEX(D290+36, 2)</f>
        <v>25</v>
      </c>
      <c r="H290" s="6" t="str">
        <f aca="false">DEC2HEX(C290+48,2)</f>
        <v>81</v>
      </c>
      <c r="I290" s="6" t="str">
        <f aca="false">_xlfn.CONCAT("\x", G290, "\x", H290, "=", F290)</f>
        <v>\x25\x81=낏</v>
      </c>
      <c r="M290" s="7" t="s">
        <v>267</v>
      </c>
      <c r="N290" s="6" t="str">
        <f aca="false">_xlfn.CONCAT("\x", DEC2HEX(D290+44, 2), "\x", H290, "=", M290)</f>
        <v>\x2D\x81=隊</v>
      </c>
    </row>
    <row r="291" customFormat="false" ht="12.8" hidden="false" customHeight="true" outlineLevel="0" collapsed="false">
      <c r="C291" s="6" t="n">
        <f aca="false">MOD(ROW()-1, 208)</f>
        <v>82</v>
      </c>
      <c r="D291" s="6" t="n">
        <f aca="false">INT((ROW()-1)/208)</f>
        <v>1</v>
      </c>
      <c r="F291" s="6" t="str">
        <f aca="false">MID(VLOOKUP(D291,$P$1:$Q$13,2,0), 1 + C291,1)</f>
        <v>낑</v>
      </c>
      <c r="G291" s="6" t="str">
        <f aca="false">DEC2HEX(D291+36, 2)</f>
        <v>25</v>
      </c>
      <c r="H291" s="6" t="str">
        <f aca="false">DEC2HEX(C291+48,2)</f>
        <v>82</v>
      </c>
      <c r="I291" s="6" t="str">
        <f aca="false">_xlfn.CONCAT("\x", G291, "\x", H291, "=", F291)</f>
        <v>\x25\x82=낑</v>
      </c>
      <c r="M291" s="7" t="s">
        <v>268</v>
      </c>
      <c r="N291" s="6" t="str">
        <f aca="false">_xlfn.CONCAT("\x", DEC2HEX(D291+44, 2), "\x", H291, "=", M291)</f>
        <v>\x2D\x82=代</v>
      </c>
    </row>
    <row r="292" customFormat="false" ht="12.8" hidden="false" customHeight="true" outlineLevel="0" collapsed="false">
      <c r="C292" s="6" t="n">
        <f aca="false">MOD(ROW()-1, 208)</f>
        <v>83</v>
      </c>
      <c r="D292" s="6" t="n">
        <f aca="false">INT((ROW()-1)/208)</f>
        <v>1</v>
      </c>
      <c r="F292" s="6" t="str">
        <f aca="false">MID(VLOOKUP(D292,$P$1:$Q$13,2,0), 1 + C292,1)</f>
        <v>나</v>
      </c>
      <c r="G292" s="6" t="str">
        <f aca="false">DEC2HEX(D292+36, 2)</f>
        <v>25</v>
      </c>
      <c r="H292" s="6" t="str">
        <f aca="false">DEC2HEX(C292+48,2)</f>
        <v>83</v>
      </c>
      <c r="I292" s="6" t="str">
        <f aca="false">_xlfn.CONCAT("\x", G292, "\x", H292, "=", F292)</f>
        <v>\x25\x83=나</v>
      </c>
      <c r="M292" s="7" t="s">
        <v>269</v>
      </c>
      <c r="N292" s="6" t="str">
        <f aca="false">_xlfn.CONCAT("\x", DEC2HEX(D292+44, 2), "\x", H292, "=", M292)</f>
        <v>\x2D\x83=台</v>
      </c>
    </row>
    <row r="293" customFormat="false" ht="12.8" hidden="false" customHeight="true" outlineLevel="0" collapsed="false">
      <c r="C293" s="6" t="n">
        <f aca="false">MOD(ROW()-1, 208)</f>
        <v>84</v>
      </c>
      <c r="D293" s="6" t="n">
        <f aca="false">INT((ROW()-1)/208)</f>
        <v>1</v>
      </c>
      <c r="F293" s="6" t="str">
        <f aca="false">MID(VLOOKUP(D293,$P$1:$Q$13,2,0), 1 + C293,1)</f>
        <v>낙</v>
      </c>
      <c r="G293" s="6" t="str">
        <f aca="false">DEC2HEX(D293+36, 2)</f>
        <v>25</v>
      </c>
      <c r="H293" s="6" t="str">
        <f aca="false">DEC2HEX(C293+48,2)</f>
        <v>84</v>
      </c>
      <c r="I293" s="6" t="str">
        <f aca="false">_xlfn.CONCAT("\x", G293, "\x", H293, "=", F293)</f>
        <v>\x25\x84=낙</v>
      </c>
      <c r="M293" s="7" t="s">
        <v>270</v>
      </c>
      <c r="N293" s="6" t="str">
        <f aca="false">_xlfn.CONCAT("\x", DEC2HEX(D293+44, 2), "\x", H293, "=", M293)</f>
        <v>\x2D\x84=大</v>
      </c>
    </row>
    <row r="294" customFormat="false" ht="12.8" hidden="false" customHeight="true" outlineLevel="0" collapsed="false">
      <c r="C294" s="6" t="n">
        <f aca="false">MOD(ROW()-1, 208)</f>
        <v>85</v>
      </c>
      <c r="D294" s="6" t="n">
        <f aca="false">INT((ROW()-1)/208)</f>
        <v>1</v>
      </c>
      <c r="F294" s="6" t="str">
        <f aca="false">MID(VLOOKUP(D294,$P$1:$Q$13,2,0), 1 + C294,1)</f>
        <v>낚</v>
      </c>
      <c r="G294" s="6" t="str">
        <f aca="false">DEC2HEX(D294+36, 2)</f>
        <v>25</v>
      </c>
      <c r="H294" s="6" t="str">
        <f aca="false">DEC2HEX(C294+48,2)</f>
        <v>85</v>
      </c>
      <c r="I294" s="6" t="str">
        <f aca="false">_xlfn.CONCAT("\x", G294, "\x", H294, "=", F294)</f>
        <v>\x25\x85=낚</v>
      </c>
      <c r="M294" s="7" t="s">
        <v>271</v>
      </c>
      <c r="N294" s="6" t="str">
        <f aca="false">_xlfn.CONCAT("\x", DEC2HEX(D294+44, 2), "\x", H294, "=", M294)</f>
        <v>\x2D\x85=第</v>
      </c>
    </row>
    <row r="295" customFormat="false" ht="12.8" hidden="false" customHeight="true" outlineLevel="0" collapsed="false">
      <c r="C295" s="6" t="n">
        <f aca="false">MOD(ROW()-1, 208)</f>
        <v>86</v>
      </c>
      <c r="D295" s="6" t="n">
        <f aca="false">INT((ROW()-1)/208)</f>
        <v>1</v>
      </c>
      <c r="F295" s="6" t="str">
        <f aca="false">MID(VLOOKUP(D295,$P$1:$Q$13,2,0), 1 + C295,1)</f>
        <v>난</v>
      </c>
      <c r="G295" s="6" t="str">
        <f aca="false">DEC2HEX(D295+36, 2)</f>
        <v>25</v>
      </c>
      <c r="H295" s="6" t="str">
        <f aca="false">DEC2HEX(C295+48,2)</f>
        <v>86</v>
      </c>
      <c r="I295" s="6" t="str">
        <f aca="false">_xlfn.CONCAT("\x", G295, "\x", H295, "=", F295)</f>
        <v>\x25\x86=난</v>
      </c>
      <c r="M295" s="7" t="s">
        <v>272</v>
      </c>
      <c r="N295" s="6" t="str">
        <f aca="false">_xlfn.CONCAT("\x", DEC2HEX(D295+44, 2), "\x", H295, "=", M295)</f>
        <v>\x2D\x86=滝</v>
      </c>
    </row>
    <row r="296" customFormat="false" ht="12.8" hidden="false" customHeight="true" outlineLevel="0" collapsed="false">
      <c r="C296" s="6" t="n">
        <f aca="false">MOD(ROW()-1, 208)</f>
        <v>87</v>
      </c>
      <c r="D296" s="6" t="n">
        <f aca="false">INT((ROW()-1)/208)</f>
        <v>1</v>
      </c>
      <c r="F296" s="6" t="str">
        <f aca="false">MID(VLOOKUP(D296,$P$1:$Q$13,2,0), 1 + C296,1)</f>
        <v>낟</v>
      </c>
      <c r="G296" s="6" t="str">
        <f aca="false">DEC2HEX(D296+36, 2)</f>
        <v>25</v>
      </c>
      <c r="H296" s="6" t="str">
        <f aca="false">DEC2HEX(C296+48,2)</f>
        <v>87</v>
      </c>
      <c r="I296" s="6" t="str">
        <f aca="false">_xlfn.CONCAT("\x", G296, "\x", H296, "=", F296)</f>
        <v>\x25\x87=낟</v>
      </c>
      <c r="M296" s="7" t="s">
        <v>273</v>
      </c>
      <c r="N296" s="6" t="str">
        <f aca="false">_xlfn.CONCAT("\x", DEC2HEX(D296+44, 2), "\x", H296, "=", M296)</f>
        <v>\x2D\x87=択</v>
      </c>
    </row>
    <row r="297" customFormat="false" ht="12.8" hidden="false" customHeight="true" outlineLevel="0" collapsed="false">
      <c r="C297" s="6" t="n">
        <f aca="false">MOD(ROW()-1, 208)</f>
        <v>88</v>
      </c>
      <c r="D297" s="6" t="n">
        <f aca="false">INT((ROW()-1)/208)</f>
        <v>1</v>
      </c>
      <c r="F297" s="6" t="str">
        <f aca="false">MID(VLOOKUP(D297,$P$1:$Q$13,2,0), 1 + C297,1)</f>
        <v>날</v>
      </c>
      <c r="G297" s="6" t="str">
        <f aca="false">DEC2HEX(D297+36, 2)</f>
        <v>25</v>
      </c>
      <c r="H297" s="6" t="str">
        <f aca="false">DEC2HEX(C297+48,2)</f>
        <v>88</v>
      </c>
      <c r="I297" s="6" t="str">
        <f aca="false">_xlfn.CONCAT("\x", G297, "\x", H297, "=", F297)</f>
        <v>\x25\x88=날</v>
      </c>
      <c r="M297" s="7" t="s">
        <v>274</v>
      </c>
      <c r="N297" s="6" t="str">
        <f aca="false">_xlfn.CONCAT("\x", DEC2HEX(D297+44, 2), "\x", H297, "=", M297)</f>
        <v>\x2D\x88=託</v>
      </c>
    </row>
    <row r="298" customFormat="false" ht="12.8" hidden="false" customHeight="true" outlineLevel="0" collapsed="false">
      <c r="C298" s="6" t="n">
        <f aca="false">MOD(ROW()-1, 208)</f>
        <v>89</v>
      </c>
      <c r="D298" s="6" t="n">
        <f aca="false">INT((ROW()-1)/208)</f>
        <v>1</v>
      </c>
      <c r="F298" s="6" t="str">
        <f aca="false">MID(VLOOKUP(D298,$P$1:$Q$13,2,0), 1 + C298,1)</f>
        <v>낡</v>
      </c>
      <c r="G298" s="6" t="str">
        <f aca="false">DEC2HEX(D298+36, 2)</f>
        <v>25</v>
      </c>
      <c r="H298" s="6" t="str">
        <f aca="false">DEC2HEX(C298+48,2)</f>
        <v>89</v>
      </c>
      <c r="I298" s="6" t="str">
        <f aca="false">_xlfn.CONCAT("\x", G298, "\x", H298, "=", F298)</f>
        <v>\x25\x89=낡</v>
      </c>
      <c r="M298" s="7" t="s">
        <v>275</v>
      </c>
      <c r="N298" s="6" t="str">
        <f aca="false">_xlfn.CONCAT("\x", DEC2HEX(D298+44, 2), "\x", H298, "=", M298)</f>
        <v>\x2D\x89=誰</v>
      </c>
    </row>
    <row r="299" customFormat="false" ht="12.8" hidden="false" customHeight="true" outlineLevel="0" collapsed="false">
      <c r="C299" s="6" t="n">
        <f aca="false">MOD(ROW()-1, 208)</f>
        <v>90</v>
      </c>
      <c r="D299" s="6" t="n">
        <f aca="false">INT((ROW()-1)/208)</f>
        <v>1</v>
      </c>
      <c r="F299" s="6" t="str">
        <f aca="false">MID(VLOOKUP(D299,$P$1:$Q$13,2,0), 1 + C299,1)</f>
        <v>낢</v>
      </c>
      <c r="G299" s="6" t="str">
        <f aca="false">DEC2HEX(D299+36, 2)</f>
        <v>25</v>
      </c>
      <c r="H299" s="6" t="str">
        <f aca="false">DEC2HEX(C299+48,2)</f>
        <v>8A</v>
      </c>
      <c r="I299" s="6" t="str">
        <f aca="false">_xlfn.CONCAT("\x", G299, "\x", H299, "=", F299)</f>
        <v>\x25\x8A=낢</v>
      </c>
      <c r="M299" s="7" t="s">
        <v>276</v>
      </c>
      <c r="N299" s="6" t="str">
        <f aca="false">_xlfn.CONCAT("\x", DEC2HEX(D299+44, 2), "\x", H299, "=", M299)</f>
        <v>\x2D\x8A=単</v>
      </c>
    </row>
    <row r="300" customFormat="false" ht="12.8" hidden="false" customHeight="true" outlineLevel="0" collapsed="false">
      <c r="C300" s="6" t="n">
        <f aca="false">MOD(ROW()-1, 208)</f>
        <v>91</v>
      </c>
      <c r="D300" s="6" t="n">
        <f aca="false">INT((ROW()-1)/208)</f>
        <v>1</v>
      </c>
      <c r="F300" s="6" t="str">
        <f aca="false">MID(VLOOKUP(D300,$P$1:$Q$13,2,0), 1 + C300,1)</f>
        <v>남</v>
      </c>
      <c r="G300" s="6" t="str">
        <f aca="false">DEC2HEX(D300+36, 2)</f>
        <v>25</v>
      </c>
      <c r="H300" s="6" t="str">
        <f aca="false">DEC2HEX(C300+48,2)</f>
        <v>8B</v>
      </c>
      <c r="I300" s="6" t="str">
        <f aca="false">_xlfn.CONCAT("\x", G300, "\x", H300, "=", F300)</f>
        <v>\x25\x8B=남</v>
      </c>
      <c r="M300" s="7" t="s">
        <v>277</v>
      </c>
      <c r="N300" s="6" t="str">
        <f aca="false">_xlfn.CONCAT("\x", DEC2HEX(D300+44, 2), "\x", H300, "=", M300)</f>
        <v>\x2D\x8B=弾</v>
      </c>
    </row>
    <row r="301" customFormat="false" ht="12.8" hidden="false" customHeight="true" outlineLevel="0" collapsed="false">
      <c r="C301" s="6" t="n">
        <f aca="false">MOD(ROW()-1, 208)</f>
        <v>92</v>
      </c>
      <c r="D301" s="6" t="n">
        <f aca="false">INT((ROW()-1)/208)</f>
        <v>1</v>
      </c>
      <c r="F301" s="6" t="str">
        <f aca="false">MID(VLOOKUP(D301,$P$1:$Q$13,2,0), 1 + C301,1)</f>
        <v>납</v>
      </c>
      <c r="G301" s="6" t="str">
        <f aca="false">DEC2HEX(D301+36, 2)</f>
        <v>25</v>
      </c>
      <c r="H301" s="6" t="str">
        <f aca="false">DEC2HEX(C301+48,2)</f>
        <v>8C</v>
      </c>
      <c r="I301" s="6" t="str">
        <f aca="false">_xlfn.CONCAT("\x", G301, "\x", H301, "=", F301)</f>
        <v>\x25\x8C=납</v>
      </c>
      <c r="M301" s="7" t="s">
        <v>278</v>
      </c>
      <c r="N301" s="6" t="str">
        <f aca="false">_xlfn.CONCAT("\x", DEC2HEX(D301+44, 2), "\x", H301, "=", M301)</f>
        <v>\x2D\x8C=断</v>
      </c>
    </row>
    <row r="302" customFormat="false" ht="12.8" hidden="false" customHeight="true" outlineLevel="0" collapsed="false">
      <c r="C302" s="6" t="n">
        <f aca="false">MOD(ROW()-1, 208)</f>
        <v>93</v>
      </c>
      <c r="D302" s="6" t="n">
        <f aca="false">INT((ROW()-1)/208)</f>
        <v>1</v>
      </c>
      <c r="F302" s="6" t="str">
        <f aca="false">MID(VLOOKUP(D302,$P$1:$Q$13,2,0), 1 + C302,1)</f>
        <v>낫</v>
      </c>
      <c r="G302" s="6" t="str">
        <f aca="false">DEC2HEX(D302+36, 2)</f>
        <v>25</v>
      </c>
      <c r="H302" s="6" t="str">
        <f aca="false">DEC2HEX(C302+48,2)</f>
        <v>8D</v>
      </c>
      <c r="I302" s="6" t="str">
        <f aca="false">_xlfn.CONCAT("\x", G302, "\x", H302, "=", F302)</f>
        <v>\x25\x8D=낫</v>
      </c>
      <c r="M302" s="7" t="s">
        <v>279</v>
      </c>
      <c r="N302" s="6" t="str">
        <f aca="false">_xlfn.CONCAT("\x", DEC2HEX(D302+44, 2), "\x", H302, "=", M302)</f>
        <v>\x2D\x8D=段</v>
      </c>
    </row>
    <row r="303" customFormat="false" ht="12.8" hidden="false" customHeight="true" outlineLevel="0" collapsed="false">
      <c r="C303" s="6" t="n">
        <f aca="false">MOD(ROW()-1, 208)</f>
        <v>94</v>
      </c>
      <c r="D303" s="6" t="n">
        <f aca="false">INT((ROW()-1)/208)</f>
        <v>1</v>
      </c>
      <c r="F303" s="6" t="str">
        <f aca="false">MID(VLOOKUP(D303,$P$1:$Q$13,2,0), 1 + C303,1)</f>
        <v>났</v>
      </c>
      <c r="G303" s="6" t="str">
        <f aca="false">DEC2HEX(D303+36, 2)</f>
        <v>25</v>
      </c>
      <c r="H303" s="6" t="str">
        <f aca="false">DEC2HEX(C303+48,2)</f>
        <v>8E</v>
      </c>
      <c r="I303" s="6" t="str">
        <f aca="false">_xlfn.CONCAT("\x", G303, "\x", H303, "=", F303)</f>
        <v>\x25\x8E=났</v>
      </c>
      <c r="M303" s="7" t="s">
        <v>280</v>
      </c>
      <c r="N303" s="6" t="str">
        <f aca="false">_xlfn.CONCAT("\x", DEC2HEX(D303+44, 2), "\x", H303, "=", M303)</f>
        <v>\x2D\x8E=男</v>
      </c>
    </row>
    <row r="304" customFormat="false" ht="12.8" hidden="false" customHeight="true" outlineLevel="0" collapsed="false">
      <c r="C304" s="6" t="n">
        <f aca="false">MOD(ROW()-1, 208)</f>
        <v>95</v>
      </c>
      <c r="D304" s="6" t="n">
        <f aca="false">INT((ROW()-1)/208)</f>
        <v>1</v>
      </c>
      <c r="F304" s="6" t="str">
        <f aca="false">MID(VLOOKUP(D304,$P$1:$Q$13,2,0), 1 + C304,1)</f>
        <v>낭</v>
      </c>
      <c r="G304" s="6" t="str">
        <f aca="false">DEC2HEX(D304+36, 2)</f>
        <v>25</v>
      </c>
      <c r="H304" s="6" t="str">
        <f aca="false">DEC2HEX(C304+48,2)</f>
        <v>8F</v>
      </c>
      <c r="I304" s="6" t="str">
        <f aca="false">_xlfn.CONCAT("\x", G304, "\x", H304, "=", F304)</f>
        <v>\x25\x8F=낭</v>
      </c>
      <c r="M304" s="7" t="s">
        <v>281</v>
      </c>
      <c r="N304" s="6" t="str">
        <f aca="false">_xlfn.CONCAT("\x", DEC2HEX(D304+44, 2), "\x", H304, "=", M304)</f>
        <v>\x2D\x8F=知</v>
      </c>
    </row>
    <row r="305" customFormat="false" ht="12.8" hidden="false" customHeight="true" outlineLevel="0" collapsed="false">
      <c r="C305" s="6" t="n">
        <f aca="false">MOD(ROW()-1, 208)</f>
        <v>96</v>
      </c>
      <c r="D305" s="6" t="n">
        <f aca="false">INT((ROW()-1)/208)</f>
        <v>1</v>
      </c>
      <c r="F305" s="6" t="str">
        <f aca="false">MID(VLOOKUP(D305,$P$1:$Q$13,2,0), 1 + C305,1)</f>
        <v>낮</v>
      </c>
      <c r="G305" s="6" t="str">
        <f aca="false">DEC2HEX(D305+36, 2)</f>
        <v>25</v>
      </c>
      <c r="H305" s="6" t="str">
        <f aca="false">DEC2HEX(C305+48,2)</f>
        <v>90</v>
      </c>
      <c r="I305" s="6" t="str">
        <f aca="false">_xlfn.CONCAT("\x", G305, "\x", H305, "=", F305)</f>
        <v>\x25\x90=낮</v>
      </c>
      <c r="M305" s="7" t="s">
        <v>282</v>
      </c>
      <c r="N305" s="6" t="str">
        <f aca="false">_xlfn.CONCAT("\x", DEC2HEX(D305+44, 2), "\x", H305, "=", M305)</f>
        <v>\x2D\x90=地</v>
      </c>
    </row>
    <row r="306" customFormat="false" ht="12.8" hidden="false" customHeight="true" outlineLevel="0" collapsed="false">
      <c r="C306" s="6" t="n">
        <f aca="false">MOD(ROW()-1, 208)</f>
        <v>97</v>
      </c>
      <c r="D306" s="6" t="n">
        <f aca="false">INT((ROW()-1)/208)</f>
        <v>1</v>
      </c>
      <c r="F306" s="6" t="str">
        <f aca="false">MID(VLOOKUP(D306,$P$1:$Q$13,2,0), 1 + C306,1)</f>
        <v>낯</v>
      </c>
      <c r="G306" s="6" t="str">
        <f aca="false">DEC2HEX(D306+36, 2)</f>
        <v>25</v>
      </c>
      <c r="H306" s="6" t="str">
        <f aca="false">DEC2HEX(C306+48,2)</f>
        <v>91</v>
      </c>
      <c r="I306" s="6" t="str">
        <f aca="false">_xlfn.CONCAT("\x", G306, "\x", H306, "=", F306)</f>
        <v>\x25\x91=낯</v>
      </c>
      <c r="M306" s="7" t="s">
        <v>283</v>
      </c>
      <c r="N306" s="6" t="str">
        <f aca="false">_xlfn.CONCAT("\x", DEC2HEX(D306+44, 2), "\x", H306, "=", M306)</f>
        <v>\x2D\x91=置</v>
      </c>
    </row>
    <row r="307" customFormat="false" ht="12.8" hidden="false" customHeight="true" outlineLevel="0" collapsed="false">
      <c r="C307" s="6" t="n">
        <f aca="false">MOD(ROW()-1, 208)</f>
        <v>98</v>
      </c>
      <c r="D307" s="6" t="n">
        <f aca="false">INT((ROW()-1)/208)</f>
        <v>1</v>
      </c>
      <c r="F307" s="6" t="str">
        <f aca="false">MID(VLOOKUP(D307,$P$1:$Q$13,2,0), 1 + C307,1)</f>
        <v>낱</v>
      </c>
      <c r="G307" s="6" t="str">
        <f aca="false">DEC2HEX(D307+36, 2)</f>
        <v>25</v>
      </c>
      <c r="H307" s="6" t="str">
        <f aca="false">DEC2HEX(C307+48,2)</f>
        <v>92</v>
      </c>
      <c r="I307" s="6" t="str">
        <f aca="false">_xlfn.CONCAT("\x", G307, "\x", H307, "=", F307)</f>
        <v>\x25\x92=낱</v>
      </c>
      <c r="M307" s="7" t="s">
        <v>284</v>
      </c>
      <c r="N307" s="6" t="str">
        <f aca="false">_xlfn.CONCAT("\x", DEC2HEX(D307+44, 2), "\x", H307, "=", M307)</f>
        <v>\x2D\x92=着</v>
      </c>
    </row>
    <row r="308" customFormat="false" ht="12.8" hidden="false" customHeight="true" outlineLevel="0" collapsed="false">
      <c r="C308" s="6" t="n">
        <f aca="false">MOD(ROW()-1, 208)</f>
        <v>99</v>
      </c>
      <c r="D308" s="6" t="n">
        <f aca="false">INT((ROW()-1)/208)</f>
        <v>1</v>
      </c>
      <c r="F308" s="6" t="str">
        <f aca="false">MID(VLOOKUP(D308,$P$1:$Q$13,2,0), 1 + C308,1)</f>
        <v>낳</v>
      </c>
      <c r="G308" s="6" t="str">
        <f aca="false">DEC2HEX(D308+36, 2)</f>
        <v>25</v>
      </c>
      <c r="H308" s="6" t="str">
        <f aca="false">DEC2HEX(C308+48,2)</f>
        <v>93</v>
      </c>
      <c r="I308" s="6" t="str">
        <f aca="false">_xlfn.CONCAT("\x", G308, "\x", H308, "=", F308)</f>
        <v>\x25\x93=낳</v>
      </c>
      <c r="M308" s="7" t="s">
        <v>285</v>
      </c>
      <c r="N308" s="6" t="str">
        <f aca="false">_xlfn.CONCAT("\x", DEC2HEX(D308+44, 2), "\x", H308, "=", M308)</f>
        <v>\x2D\x93=中</v>
      </c>
    </row>
    <row r="309" customFormat="false" ht="12.8" hidden="false" customHeight="true" outlineLevel="0" collapsed="false">
      <c r="C309" s="6" t="n">
        <f aca="false">MOD(ROW()-1, 208)</f>
        <v>100</v>
      </c>
      <c r="D309" s="6" t="n">
        <f aca="false">INT((ROW()-1)/208)</f>
        <v>1</v>
      </c>
      <c r="F309" s="6" t="str">
        <f aca="false">MID(VLOOKUP(D309,$P$1:$Q$13,2,0), 1 + C309,1)</f>
        <v>내</v>
      </c>
      <c r="G309" s="6" t="str">
        <f aca="false">DEC2HEX(D309+36, 2)</f>
        <v>25</v>
      </c>
      <c r="H309" s="6" t="str">
        <f aca="false">DEC2HEX(C309+48,2)</f>
        <v>94</v>
      </c>
      <c r="I309" s="6" t="str">
        <f aca="false">_xlfn.CONCAT("\x", G309, "\x", H309, "=", F309)</f>
        <v>\x25\x94=내</v>
      </c>
      <c r="M309" s="7" t="s">
        <v>286</v>
      </c>
      <c r="N309" s="6" t="str">
        <f aca="false">_xlfn.CONCAT("\x", DEC2HEX(D309+44, 2), "\x", H309, "=", M309)</f>
        <v>\x2D\x94=仲</v>
      </c>
    </row>
    <row r="310" customFormat="false" ht="12.8" hidden="false" customHeight="true" outlineLevel="0" collapsed="false">
      <c r="C310" s="6" t="n">
        <f aca="false">MOD(ROW()-1, 208)</f>
        <v>101</v>
      </c>
      <c r="D310" s="6" t="n">
        <f aca="false">INT((ROW()-1)/208)</f>
        <v>1</v>
      </c>
      <c r="F310" s="6" t="str">
        <f aca="false">MID(VLOOKUP(D310,$P$1:$Q$13,2,0), 1 + C310,1)</f>
        <v>낵</v>
      </c>
      <c r="G310" s="6" t="str">
        <f aca="false">DEC2HEX(D310+36, 2)</f>
        <v>25</v>
      </c>
      <c r="H310" s="6" t="str">
        <f aca="false">DEC2HEX(C310+48,2)</f>
        <v>95</v>
      </c>
      <c r="I310" s="6" t="str">
        <f aca="false">_xlfn.CONCAT("\x", G310, "\x", H310, "=", F310)</f>
        <v>\x25\x95=낵</v>
      </c>
      <c r="M310" s="7" t="s">
        <v>287</v>
      </c>
      <c r="N310" s="6" t="str">
        <f aca="false">_xlfn.CONCAT("\x", DEC2HEX(D310+44, 2), "\x", H310, "=", M310)</f>
        <v>\x2D\x95=挑</v>
      </c>
    </row>
    <row r="311" customFormat="false" ht="12.8" hidden="false" customHeight="true" outlineLevel="0" collapsed="false">
      <c r="C311" s="6" t="n">
        <f aca="false">MOD(ROW()-1, 208)</f>
        <v>102</v>
      </c>
      <c r="D311" s="6" t="n">
        <f aca="false">INT((ROW()-1)/208)</f>
        <v>1</v>
      </c>
      <c r="F311" s="6" t="str">
        <f aca="false">MID(VLOOKUP(D311,$P$1:$Q$13,2,0), 1 + C311,1)</f>
        <v>낸</v>
      </c>
      <c r="G311" s="6" t="str">
        <f aca="false">DEC2HEX(D311+36, 2)</f>
        <v>25</v>
      </c>
      <c r="H311" s="6" t="str">
        <f aca="false">DEC2HEX(C311+48,2)</f>
        <v>96</v>
      </c>
      <c r="I311" s="6" t="str">
        <f aca="false">_xlfn.CONCAT("\x", G311, "\x", H311, "=", F311)</f>
        <v>\x25\x96=낸</v>
      </c>
      <c r="M311" s="7" t="s">
        <v>288</v>
      </c>
      <c r="N311" s="6" t="str">
        <f aca="false">_xlfn.CONCAT("\x", DEC2HEX(D311+44, 2), "\x", H311, "=", M311)</f>
        <v>\x2D\x96=町</v>
      </c>
    </row>
    <row r="312" customFormat="false" ht="12.8" hidden="false" customHeight="true" outlineLevel="0" collapsed="false">
      <c r="C312" s="6" t="n">
        <f aca="false">MOD(ROW()-1, 208)</f>
        <v>103</v>
      </c>
      <c r="D312" s="6" t="n">
        <f aca="false">INT((ROW()-1)/208)</f>
        <v>1</v>
      </c>
      <c r="F312" s="6" t="str">
        <f aca="false">MID(VLOOKUP(D312,$P$1:$Q$13,2,0), 1 + C312,1)</f>
        <v>낼</v>
      </c>
      <c r="G312" s="6" t="str">
        <f aca="false">DEC2HEX(D312+36, 2)</f>
        <v>25</v>
      </c>
      <c r="H312" s="6" t="str">
        <f aca="false">DEC2HEX(C312+48,2)</f>
        <v>97</v>
      </c>
      <c r="I312" s="6" t="str">
        <f aca="false">_xlfn.CONCAT("\x", G312, "\x", H312, "=", F312)</f>
        <v>\x25\x97=낼</v>
      </c>
      <c r="M312" s="7" t="s">
        <v>289</v>
      </c>
      <c r="N312" s="6" t="str">
        <f aca="false">_xlfn.CONCAT("\x", DEC2HEX(D312+44, 2), "\x", H312, "=", M312)</f>
        <v>\x2D\x97=調</v>
      </c>
    </row>
    <row r="313" customFormat="false" ht="12.8" hidden="false" customHeight="true" outlineLevel="0" collapsed="false">
      <c r="C313" s="6" t="n">
        <f aca="false">MOD(ROW()-1, 208)</f>
        <v>104</v>
      </c>
      <c r="D313" s="6" t="n">
        <f aca="false">INT((ROW()-1)/208)</f>
        <v>1</v>
      </c>
      <c r="F313" s="6" t="str">
        <f aca="false">MID(VLOOKUP(D313,$P$1:$Q$13,2,0), 1 + C313,1)</f>
        <v>냄</v>
      </c>
      <c r="G313" s="6" t="str">
        <f aca="false">DEC2HEX(D313+36, 2)</f>
        <v>25</v>
      </c>
      <c r="H313" s="6" t="str">
        <f aca="false">DEC2HEX(C313+48,2)</f>
        <v>98</v>
      </c>
      <c r="I313" s="6" t="str">
        <f aca="false">_xlfn.CONCAT("\x", G313, "\x", H313, "=", F313)</f>
        <v>\x25\x98=냄</v>
      </c>
      <c r="M313" s="7" t="s">
        <v>290</v>
      </c>
      <c r="N313" s="6" t="str">
        <f aca="false">_xlfn.CONCAT("\x", DEC2HEX(D313+44, 2), "\x", H313, "=", M313)</f>
        <v>\x2D\x98=超</v>
      </c>
    </row>
    <row r="314" customFormat="false" ht="12.8" hidden="false" customHeight="true" outlineLevel="0" collapsed="false">
      <c r="C314" s="6" t="n">
        <f aca="false">MOD(ROW()-1, 208)</f>
        <v>105</v>
      </c>
      <c r="D314" s="6" t="n">
        <f aca="false">INT((ROW()-1)/208)</f>
        <v>1</v>
      </c>
      <c r="F314" s="6" t="str">
        <f aca="false">MID(VLOOKUP(D314,$P$1:$Q$13,2,0), 1 + C314,1)</f>
        <v>냅</v>
      </c>
      <c r="G314" s="6" t="str">
        <f aca="false">DEC2HEX(D314+36, 2)</f>
        <v>25</v>
      </c>
      <c r="H314" s="6" t="str">
        <f aca="false">DEC2HEX(C314+48,2)</f>
        <v>99</v>
      </c>
      <c r="I314" s="6" t="str">
        <f aca="false">_xlfn.CONCAT("\x", G314, "\x", H314, "=", F314)</f>
        <v>\x25\x99=냅</v>
      </c>
      <c r="M314" s="7" t="s">
        <v>291</v>
      </c>
      <c r="N314" s="6" t="str">
        <f aca="false">_xlfn.CONCAT("\x", DEC2HEX(D314+44, 2), "\x", H314, "=", M314)</f>
        <v>\x2D\x99=長</v>
      </c>
    </row>
    <row r="315" customFormat="false" ht="12.8" hidden="false" customHeight="true" outlineLevel="0" collapsed="false">
      <c r="C315" s="6" t="n">
        <f aca="false">MOD(ROW()-1, 208)</f>
        <v>106</v>
      </c>
      <c r="D315" s="6" t="n">
        <f aca="false">INT((ROW()-1)/208)</f>
        <v>1</v>
      </c>
      <c r="F315" s="6" t="str">
        <f aca="false">MID(VLOOKUP(D315,$P$1:$Q$13,2,0), 1 + C315,1)</f>
        <v>냇</v>
      </c>
      <c r="G315" s="6" t="str">
        <f aca="false">DEC2HEX(D315+36, 2)</f>
        <v>25</v>
      </c>
      <c r="H315" s="6" t="str">
        <f aca="false">DEC2HEX(C315+48,2)</f>
        <v>9A</v>
      </c>
      <c r="I315" s="6" t="str">
        <f aca="false">_xlfn.CONCAT("\x", G315, "\x", H315, "=", F315)</f>
        <v>\x25\x9A=냇</v>
      </c>
      <c r="M315" s="7" t="s">
        <v>292</v>
      </c>
      <c r="N315" s="6" t="str">
        <f aca="false">_xlfn.CONCAT("\x", DEC2HEX(D315+44, 2), "\x", H315, "=", M315)</f>
        <v>\x2D\x9A=頂</v>
      </c>
    </row>
    <row r="316" customFormat="false" ht="12.8" hidden="false" customHeight="true" outlineLevel="0" collapsed="false">
      <c r="C316" s="6" t="n">
        <f aca="false">MOD(ROW()-1, 208)</f>
        <v>107</v>
      </c>
      <c r="D316" s="6" t="n">
        <f aca="false">INT((ROW()-1)/208)</f>
        <v>1</v>
      </c>
      <c r="F316" s="6" t="str">
        <f aca="false">MID(VLOOKUP(D316,$P$1:$Q$13,2,0), 1 + C316,1)</f>
        <v>냈</v>
      </c>
      <c r="G316" s="6" t="str">
        <f aca="false">DEC2HEX(D316+36, 2)</f>
        <v>25</v>
      </c>
      <c r="H316" s="6" t="str">
        <f aca="false">DEC2HEX(C316+48,2)</f>
        <v>9B</v>
      </c>
      <c r="I316" s="6" t="str">
        <f aca="false">_xlfn.CONCAT("\x", G316, "\x", H316, "=", F316)</f>
        <v>\x25\x9B=냈</v>
      </c>
      <c r="M316" s="7" t="s">
        <v>293</v>
      </c>
      <c r="N316" s="6" t="str">
        <f aca="false">_xlfn.CONCAT("\x", DEC2HEX(D316+44, 2), "\x", H316, "=", M316)</f>
        <v>\x2D\x9B=直</v>
      </c>
    </row>
    <row r="317" customFormat="false" ht="12.8" hidden="false" customHeight="true" outlineLevel="0" collapsed="false">
      <c r="C317" s="6" t="n">
        <f aca="false">MOD(ROW()-1, 208)</f>
        <v>108</v>
      </c>
      <c r="D317" s="6" t="n">
        <f aca="false">INT((ROW()-1)/208)</f>
        <v>1</v>
      </c>
      <c r="F317" s="6" t="str">
        <f aca="false">MID(VLOOKUP(D317,$P$1:$Q$13,2,0), 1 + C317,1)</f>
        <v>냉</v>
      </c>
      <c r="G317" s="6" t="str">
        <f aca="false">DEC2HEX(D317+36, 2)</f>
        <v>25</v>
      </c>
      <c r="H317" s="6" t="str">
        <f aca="false">DEC2HEX(C317+48,2)</f>
        <v>9C</v>
      </c>
      <c r="I317" s="6" t="str">
        <f aca="false">_xlfn.CONCAT("\x", G317, "\x", H317, "=", F317)</f>
        <v>\x25\x9C=냉</v>
      </c>
      <c r="M317" s="7" t="s">
        <v>294</v>
      </c>
      <c r="N317" s="6" t="str">
        <f aca="false">_xlfn.CONCAT("\x", DEC2HEX(D317+44, 2), "\x", H317, "=", M317)</f>
        <v>\x2D\x9C=沈</v>
      </c>
    </row>
    <row r="318" customFormat="false" ht="12.8" hidden="false" customHeight="true" outlineLevel="0" collapsed="false">
      <c r="C318" s="6" t="n">
        <f aca="false">MOD(ROW()-1, 208)</f>
        <v>109</v>
      </c>
      <c r="D318" s="6" t="n">
        <f aca="false">INT((ROW()-1)/208)</f>
        <v>1</v>
      </c>
      <c r="F318" s="6" t="str">
        <f aca="false">MID(VLOOKUP(D318,$P$1:$Q$13,2,0), 1 + C318,1)</f>
        <v>냐</v>
      </c>
      <c r="G318" s="6" t="str">
        <f aca="false">DEC2HEX(D318+36, 2)</f>
        <v>25</v>
      </c>
      <c r="H318" s="6" t="str">
        <f aca="false">DEC2HEX(C318+48,2)</f>
        <v>9D</v>
      </c>
      <c r="I318" s="6" t="str">
        <f aca="false">_xlfn.CONCAT("\x", G318, "\x", H318, "=", F318)</f>
        <v>\x25\x9D=냐</v>
      </c>
      <c r="M318" s="7" t="s">
        <v>295</v>
      </c>
      <c r="N318" s="6" t="str">
        <f aca="false">_xlfn.CONCAT("\x", DEC2HEX(D318+44, 2), "\x", H318, "=", M318)</f>
        <v>\x2D\x9D=追</v>
      </c>
    </row>
    <row r="319" customFormat="false" ht="12.8" hidden="false" customHeight="true" outlineLevel="0" collapsed="false">
      <c r="C319" s="6" t="n">
        <f aca="false">MOD(ROW()-1, 208)</f>
        <v>110</v>
      </c>
      <c r="D319" s="6" t="n">
        <f aca="false">INT((ROW()-1)/208)</f>
        <v>1</v>
      </c>
      <c r="F319" s="6" t="str">
        <f aca="false">MID(VLOOKUP(D319,$P$1:$Q$13,2,0), 1 + C319,1)</f>
        <v>냑</v>
      </c>
      <c r="G319" s="6" t="str">
        <f aca="false">DEC2HEX(D319+36, 2)</f>
        <v>25</v>
      </c>
      <c r="H319" s="6" t="str">
        <f aca="false">DEC2HEX(C319+48,2)</f>
        <v>9E</v>
      </c>
      <c r="I319" s="6" t="str">
        <f aca="false">_xlfn.CONCAT("\x", G319, "\x", H319, "=", F319)</f>
        <v>\x25\x9E=냑</v>
      </c>
      <c r="M319" s="7" t="s">
        <v>296</v>
      </c>
      <c r="N319" s="6" t="str">
        <f aca="false">_xlfn.CONCAT("\x", DEC2HEX(D319+44, 2), "\x", H319, "=", M319)</f>
        <v>\x2D\x9E=通</v>
      </c>
    </row>
    <row r="320" customFormat="false" ht="12.8" hidden="false" customHeight="true" outlineLevel="0" collapsed="false">
      <c r="C320" s="6" t="n">
        <f aca="false">MOD(ROW()-1, 208)</f>
        <v>111</v>
      </c>
      <c r="D320" s="6" t="n">
        <f aca="false">INT((ROW()-1)/208)</f>
        <v>1</v>
      </c>
      <c r="F320" s="6" t="str">
        <f aca="false">MID(VLOOKUP(D320,$P$1:$Q$13,2,0), 1 + C320,1)</f>
        <v>냔</v>
      </c>
      <c r="G320" s="6" t="str">
        <f aca="false">DEC2HEX(D320+36, 2)</f>
        <v>25</v>
      </c>
      <c r="H320" s="6" t="str">
        <f aca="false">DEC2HEX(C320+48,2)</f>
        <v>9F</v>
      </c>
      <c r="I320" s="6" t="str">
        <f aca="false">_xlfn.CONCAT("\x", G320, "\x", H320, "=", F320)</f>
        <v>\x25\x9F=냔</v>
      </c>
      <c r="M320" s="7" t="s">
        <v>297</v>
      </c>
      <c r="N320" s="6" t="str">
        <f aca="false">_xlfn.CONCAT("\x", DEC2HEX(D320+44, 2), "\x", H320, "=", M320)</f>
        <v>\x2D\x9F=定</v>
      </c>
    </row>
    <row r="321" customFormat="false" ht="12.8" hidden="false" customHeight="true" outlineLevel="0" collapsed="false">
      <c r="C321" s="6" t="n">
        <f aca="false">MOD(ROW()-1, 208)</f>
        <v>112</v>
      </c>
      <c r="D321" s="6" t="n">
        <f aca="false">INT((ROW()-1)/208)</f>
        <v>1</v>
      </c>
      <c r="F321" s="6" t="str">
        <f aca="false">MID(VLOOKUP(D321,$P$1:$Q$13,2,0), 1 + C321,1)</f>
        <v>냘</v>
      </c>
      <c r="G321" s="6" t="str">
        <f aca="false">DEC2HEX(D321+36, 2)</f>
        <v>25</v>
      </c>
      <c r="H321" s="6" t="str">
        <f aca="false">DEC2HEX(C321+48,2)</f>
        <v>A0</v>
      </c>
      <c r="I321" s="6" t="str">
        <f aca="false">_xlfn.CONCAT("\x", G321, "\x", H321, "=", F321)</f>
        <v>\x25\xA0=냘</v>
      </c>
      <c r="M321" s="7" t="s">
        <v>298</v>
      </c>
      <c r="N321" s="6" t="str">
        <f aca="false">_xlfn.CONCAT("\x", DEC2HEX(D321+44, 2), "\x", H321, "=", M321)</f>
        <v>\x2D\xA0=底</v>
      </c>
    </row>
    <row r="322" customFormat="false" ht="12.8" hidden="false" customHeight="true" outlineLevel="0" collapsed="false">
      <c r="C322" s="6" t="n">
        <f aca="false">MOD(ROW()-1, 208)</f>
        <v>113</v>
      </c>
      <c r="D322" s="6" t="n">
        <f aca="false">INT((ROW()-1)/208)</f>
        <v>1</v>
      </c>
      <c r="F322" s="6" t="str">
        <f aca="false">MID(VLOOKUP(D322,$P$1:$Q$13,2,0), 1 + C322,1)</f>
        <v>냠</v>
      </c>
      <c r="G322" s="6" t="str">
        <f aca="false">DEC2HEX(D322+36, 2)</f>
        <v>25</v>
      </c>
      <c r="H322" s="6" t="str">
        <f aca="false">DEC2HEX(C322+48,2)</f>
        <v>A1</v>
      </c>
      <c r="I322" s="6" t="str">
        <f aca="false">_xlfn.CONCAT("\x", G322, "\x", H322, "=", F322)</f>
        <v>\x25\xA1=냠</v>
      </c>
      <c r="M322" s="7" t="s">
        <v>299</v>
      </c>
      <c r="N322" s="6" t="str">
        <f aca="false">_xlfn.CONCAT("\x", DEC2HEX(D322+44, 2), "\x", H322, "=", M322)</f>
        <v>\x2D\xA1=庭</v>
      </c>
    </row>
    <row r="323" customFormat="false" ht="12.8" hidden="false" customHeight="true" outlineLevel="0" collapsed="false">
      <c r="C323" s="6" t="n">
        <f aca="false">MOD(ROW()-1, 208)</f>
        <v>114</v>
      </c>
      <c r="D323" s="6" t="n">
        <f aca="false">INT((ROW()-1)/208)</f>
        <v>1</v>
      </c>
      <c r="F323" s="6" t="str">
        <f aca="false">MID(VLOOKUP(D323,$P$1:$Q$13,2,0), 1 + C323,1)</f>
        <v>냥</v>
      </c>
      <c r="G323" s="6" t="str">
        <f aca="false">DEC2HEX(D323+36, 2)</f>
        <v>25</v>
      </c>
      <c r="H323" s="6" t="str">
        <f aca="false">DEC2HEX(C323+48,2)</f>
        <v>A2</v>
      </c>
      <c r="I323" s="6" t="str">
        <f aca="false">_xlfn.CONCAT("\x", G323, "\x", H323, "=", F323)</f>
        <v>\x25\xA2=냥</v>
      </c>
      <c r="M323" s="7" t="s">
        <v>300</v>
      </c>
      <c r="N323" s="6" t="str">
        <f aca="false">_xlfn.CONCAT("\x", DEC2HEX(D323+44, 2), "\x", H323, "=", M323)</f>
        <v>\x2D\xA2=程</v>
      </c>
    </row>
    <row r="324" customFormat="false" ht="12.8" hidden="false" customHeight="true" outlineLevel="0" collapsed="false">
      <c r="C324" s="6" t="n">
        <f aca="false">MOD(ROW()-1, 208)</f>
        <v>115</v>
      </c>
      <c r="D324" s="6" t="n">
        <f aca="false">INT((ROW()-1)/208)</f>
        <v>1</v>
      </c>
      <c r="F324" s="6" t="str">
        <f aca="false">MID(VLOOKUP(D324,$P$1:$Q$13,2,0), 1 + C324,1)</f>
        <v>너</v>
      </c>
      <c r="G324" s="6" t="str">
        <f aca="false">DEC2HEX(D324+36, 2)</f>
        <v>25</v>
      </c>
      <c r="H324" s="6" t="str">
        <f aca="false">DEC2HEX(C324+48,2)</f>
        <v>A3</v>
      </c>
      <c r="I324" s="6" t="str">
        <f aca="false">_xlfn.CONCAT("\x", G324, "\x", H324, "=", F324)</f>
        <v>\x25\xA3=너</v>
      </c>
      <c r="M324" s="7" t="s">
        <v>301</v>
      </c>
      <c r="N324" s="6" t="str">
        <f aca="false">_xlfn.CONCAT("\x", DEC2HEX(D324+44, 2), "\x", H324, "=", M324)</f>
        <v>\x2D\xA3=艇</v>
      </c>
    </row>
    <row r="325" customFormat="false" ht="12.8" hidden="false" customHeight="true" outlineLevel="0" collapsed="false">
      <c r="C325" s="6" t="n">
        <f aca="false">MOD(ROW()-1, 208)</f>
        <v>116</v>
      </c>
      <c r="D325" s="6" t="n">
        <f aca="false">INT((ROW()-1)/208)</f>
        <v>1</v>
      </c>
      <c r="F325" s="6" t="str">
        <f aca="false">MID(VLOOKUP(D325,$P$1:$Q$13,2,0), 1 + C325,1)</f>
        <v>넉</v>
      </c>
      <c r="G325" s="6" t="str">
        <f aca="false">DEC2HEX(D325+36, 2)</f>
        <v>25</v>
      </c>
      <c r="H325" s="6" t="str">
        <f aca="false">DEC2HEX(C325+48,2)</f>
        <v>A4</v>
      </c>
      <c r="I325" s="6" t="str">
        <f aca="false">_xlfn.CONCAT("\x", G325, "\x", H325, "=", F325)</f>
        <v>\x25\xA4=넉</v>
      </c>
      <c r="M325" s="7" t="s">
        <v>302</v>
      </c>
      <c r="N325" s="6" t="str">
        <f aca="false">_xlfn.CONCAT("\x", DEC2HEX(D325+44, 2), "\x", H325, "=", M325)</f>
        <v>\x2D\xA4=敵</v>
      </c>
    </row>
    <row r="326" customFormat="false" ht="12.8" hidden="false" customHeight="true" outlineLevel="0" collapsed="false">
      <c r="C326" s="6" t="n">
        <f aca="false">MOD(ROW()-1, 208)</f>
        <v>117</v>
      </c>
      <c r="D326" s="6" t="n">
        <f aca="false">INT((ROW()-1)/208)</f>
        <v>1</v>
      </c>
      <c r="F326" s="6" t="str">
        <f aca="false">MID(VLOOKUP(D326,$P$1:$Q$13,2,0), 1 + C326,1)</f>
        <v>넋</v>
      </c>
      <c r="G326" s="6" t="str">
        <f aca="false">DEC2HEX(D326+36, 2)</f>
        <v>25</v>
      </c>
      <c r="H326" s="6" t="str">
        <f aca="false">DEC2HEX(C326+48,2)</f>
        <v>A5</v>
      </c>
      <c r="I326" s="6" t="str">
        <f aca="false">_xlfn.CONCAT("\x", G326, "\x", H326, "=", F326)</f>
        <v>\x25\xA5=넋</v>
      </c>
      <c r="M326" s="7" t="s">
        <v>303</v>
      </c>
      <c r="N326" s="6" t="str">
        <f aca="false">_xlfn.CONCAT("\x", DEC2HEX(D326+44, 2), "\x", H326, "=", M326)</f>
        <v>\x2D\xA5=的</v>
      </c>
    </row>
    <row r="327" customFormat="false" ht="12.8" hidden="false" customHeight="true" outlineLevel="0" collapsed="false">
      <c r="C327" s="6" t="n">
        <f aca="false">MOD(ROW()-1, 208)</f>
        <v>118</v>
      </c>
      <c r="D327" s="6" t="n">
        <f aca="false">INT((ROW()-1)/208)</f>
        <v>1</v>
      </c>
      <c r="F327" s="6" t="str">
        <f aca="false">MID(VLOOKUP(D327,$P$1:$Q$13,2,0), 1 + C327,1)</f>
        <v>넌</v>
      </c>
      <c r="G327" s="6" t="str">
        <f aca="false">DEC2HEX(D327+36, 2)</f>
        <v>25</v>
      </c>
      <c r="H327" s="6" t="str">
        <f aca="false">DEC2HEX(C327+48,2)</f>
        <v>A6</v>
      </c>
      <c r="I327" s="6" t="str">
        <f aca="false">_xlfn.CONCAT("\x", G327, "\x", H327, "=", F327)</f>
        <v>\x25\xA6=넌</v>
      </c>
      <c r="M327" s="7" t="s">
        <v>304</v>
      </c>
      <c r="N327" s="6" t="str">
        <f aca="false">_xlfn.CONCAT("\x", DEC2HEX(D327+44, 2), "\x", H327, "=", M327)</f>
        <v>\x2D\xA6=鉄</v>
      </c>
    </row>
    <row r="328" customFormat="false" ht="12.8" hidden="false" customHeight="true" outlineLevel="0" collapsed="false">
      <c r="C328" s="6" t="n">
        <f aca="false">MOD(ROW()-1, 208)</f>
        <v>119</v>
      </c>
      <c r="D328" s="6" t="n">
        <f aca="false">INT((ROW()-1)/208)</f>
        <v>1</v>
      </c>
      <c r="F328" s="6" t="str">
        <f aca="false">MID(VLOOKUP(D328,$P$1:$Q$13,2,0), 1 + C328,1)</f>
        <v>널</v>
      </c>
      <c r="G328" s="6" t="str">
        <f aca="false">DEC2HEX(D328+36, 2)</f>
        <v>25</v>
      </c>
      <c r="H328" s="6" t="str">
        <f aca="false">DEC2HEX(C328+48,2)</f>
        <v>A7</v>
      </c>
      <c r="I328" s="6" t="str">
        <f aca="false">_xlfn.CONCAT("\x", G328, "\x", H328, "=", F328)</f>
        <v>\x25\xA7=널</v>
      </c>
      <c r="M328" s="7" t="s">
        <v>305</v>
      </c>
      <c r="N328" s="6" t="str">
        <f aca="false">_xlfn.CONCAT("\x", DEC2HEX(D328+44, 2), "\x", H328, "=", M328)</f>
        <v>\x2D\xA7=点</v>
      </c>
    </row>
    <row r="329" customFormat="false" ht="12.8" hidden="false" customHeight="true" outlineLevel="0" collapsed="false">
      <c r="C329" s="6" t="n">
        <f aca="false">MOD(ROW()-1, 208)</f>
        <v>120</v>
      </c>
      <c r="D329" s="6" t="n">
        <f aca="false">INT((ROW()-1)/208)</f>
        <v>1</v>
      </c>
      <c r="F329" s="6" t="str">
        <f aca="false">MID(VLOOKUP(D329,$P$1:$Q$13,2,0), 1 + C329,1)</f>
        <v>넒</v>
      </c>
      <c r="G329" s="6" t="str">
        <f aca="false">DEC2HEX(D329+36, 2)</f>
        <v>25</v>
      </c>
      <c r="H329" s="6" t="str">
        <f aca="false">DEC2HEX(C329+48,2)</f>
        <v>A8</v>
      </c>
      <c r="I329" s="6" t="str">
        <f aca="false">_xlfn.CONCAT("\x", G329, "\x", H329, "=", F329)</f>
        <v>\x25\xA8=넒</v>
      </c>
      <c r="M329" s="7" t="s">
        <v>306</v>
      </c>
      <c r="N329" s="6" t="str">
        <f aca="false">_xlfn.CONCAT("\x", DEC2HEX(D329+44, 2), "\x", H329, "=", M329)</f>
        <v>\x2D\xA8=電</v>
      </c>
    </row>
    <row r="330" customFormat="false" ht="12.8" hidden="false" customHeight="true" outlineLevel="0" collapsed="false">
      <c r="C330" s="6" t="n">
        <f aca="false">MOD(ROW()-1, 208)</f>
        <v>121</v>
      </c>
      <c r="D330" s="6" t="n">
        <f aca="false">INT((ROW()-1)/208)</f>
        <v>1</v>
      </c>
      <c r="F330" s="6" t="str">
        <f aca="false">MID(VLOOKUP(D330,$P$1:$Q$13,2,0), 1 + C330,1)</f>
        <v>넓</v>
      </c>
      <c r="G330" s="6" t="str">
        <f aca="false">DEC2HEX(D330+36, 2)</f>
        <v>25</v>
      </c>
      <c r="H330" s="6" t="str">
        <f aca="false">DEC2HEX(C330+48,2)</f>
        <v>A9</v>
      </c>
      <c r="I330" s="6" t="str">
        <f aca="false">_xlfn.CONCAT("\x", G330, "\x", H330, "=", F330)</f>
        <v>\x25\xA9=넓</v>
      </c>
      <c r="M330" s="7" t="s">
        <v>307</v>
      </c>
      <c r="N330" s="6" t="str">
        <f aca="false">_xlfn.CONCAT("\x", DEC2HEX(D330+44, 2), "\x", H330, "=", M330)</f>
        <v>\x2D\xA9=渡</v>
      </c>
    </row>
    <row r="331" customFormat="false" ht="12.8" hidden="false" customHeight="true" outlineLevel="0" collapsed="false">
      <c r="C331" s="6" t="n">
        <f aca="false">MOD(ROW()-1, 208)</f>
        <v>122</v>
      </c>
      <c r="D331" s="6" t="n">
        <f aca="false">INT((ROW()-1)/208)</f>
        <v>1</v>
      </c>
      <c r="F331" s="6" t="str">
        <f aca="false">MID(VLOOKUP(D331,$P$1:$Q$13,2,0), 1 + C331,1)</f>
        <v>넘</v>
      </c>
      <c r="G331" s="6" t="str">
        <f aca="false">DEC2HEX(D331+36, 2)</f>
        <v>25</v>
      </c>
      <c r="H331" s="6" t="str">
        <f aca="false">DEC2HEX(C331+48,2)</f>
        <v>AA</v>
      </c>
      <c r="I331" s="6" t="str">
        <f aca="false">_xlfn.CONCAT("\x", G331, "\x", H331, "=", F331)</f>
        <v>\x25\xAA=넘</v>
      </c>
      <c r="M331" s="7" t="s">
        <v>308</v>
      </c>
      <c r="N331" s="6" t="str">
        <f aca="false">_xlfn.CONCAT("\x", DEC2HEX(D331+44, 2), "\x", H331, "=", M331)</f>
        <v>\x2D\xAA=登</v>
      </c>
    </row>
    <row r="332" customFormat="false" ht="12.8" hidden="false" customHeight="true" outlineLevel="0" collapsed="false">
      <c r="C332" s="6" t="n">
        <f aca="false">MOD(ROW()-1, 208)</f>
        <v>123</v>
      </c>
      <c r="D332" s="6" t="n">
        <f aca="false">INT((ROW()-1)/208)</f>
        <v>1</v>
      </c>
      <c r="F332" s="6" t="str">
        <f aca="false">MID(VLOOKUP(D332,$P$1:$Q$13,2,0), 1 + C332,1)</f>
        <v>넙</v>
      </c>
      <c r="G332" s="6" t="str">
        <f aca="false">DEC2HEX(D332+36, 2)</f>
        <v>25</v>
      </c>
      <c r="H332" s="6" t="str">
        <f aca="false">DEC2HEX(C332+48,2)</f>
        <v>AB</v>
      </c>
      <c r="I332" s="6" t="str">
        <f aca="false">_xlfn.CONCAT("\x", G332, "\x", H332, "=", F332)</f>
        <v>\x25\xAB=넙</v>
      </c>
      <c r="M332" s="7" t="s">
        <v>309</v>
      </c>
      <c r="N332" s="6" t="str">
        <f aca="false">_xlfn.CONCAT("\x", DEC2HEX(D332+44, 2), "\x", H332, "=", M332)</f>
        <v>\x2D\xAB=倒</v>
      </c>
    </row>
    <row r="333" customFormat="false" ht="12.8" hidden="false" customHeight="true" outlineLevel="0" collapsed="false">
      <c r="C333" s="6" t="n">
        <f aca="false">MOD(ROW()-1, 208)</f>
        <v>124</v>
      </c>
      <c r="D333" s="6" t="n">
        <f aca="false">INT((ROW()-1)/208)</f>
        <v>1</v>
      </c>
      <c r="F333" s="6" t="str">
        <f aca="false">MID(VLOOKUP(D333,$P$1:$Q$13,2,0), 1 + C333,1)</f>
        <v>넛</v>
      </c>
      <c r="G333" s="6" t="str">
        <f aca="false">DEC2HEX(D333+36, 2)</f>
        <v>25</v>
      </c>
      <c r="H333" s="6" t="str">
        <f aca="false">DEC2HEX(C333+48,2)</f>
        <v>AC</v>
      </c>
      <c r="I333" s="6" t="str">
        <f aca="false">_xlfn.CONCAT("\x", G333, "\x", H333, "=", F333)</f>
        <v>\x25\xAC=넛</v>
      </c>
      <c r="M333" s="7" t="s">
        <v>310</v>
      </c>
      <c r="N333" s="6" t="str">
        <f aca="false">_xlfn.CONCAT("\x", DEC2HEX(D333+44, 2), "\x", H333, "=", M333)</f>
        <v>\x2D\xAC=刀</v>
      </c>
    </row>
    <row r="334" customFormat="false" ht="12.8" hidden="false" customHeight="true" outlineLevel="0" collapsed="false">
      <c r="C334" s="6" t="n">
        <f aca="false">MOD(ROW()-1, 208)</f>
        <v>125</v>
      </c>
      <c r="D334" s="6" t="n">
        <f aca="false">INT((ROW()-1)/208)</f>
        <v>1</v>
      </c>
      <c r="F334" s="6" t="str">
        <f aca="false">MID(VLOOKUP(D334,$P$1:$Q$13,2,0), 1 + C334,1)</f>
        <v>넜</v>
      </c>
      <c r="G334" s="6" t="str">
        <f aca="false">DEC2HEX(D334+36, 2)</f>
        <v>25</v>
      </c>
      <c r="H334" s="6" t="str">
        <f aca="false">DEC2HEX(C334+48,2)</f>
        <v>AD</v>
      </c>
      <c r="I334" s="6" t="str">
        <f aca="false">_xlfn.CONCAT("\x", G334, "\x", H334, "=", F334)</f>
        <v>\x25\xAD=넜</v>
      </c>
      <c r="M334" s="7" t="s">
        <v>311</v>
      </c>
      <c r="N334" s="6" t="str">
        <f aca="false">_xlfn.CONCAT("\x", DEC2HEX(D334+44, 2), "\x", H334, "=", M334)</f>
        <v>\x2D\xAD=塔</v>
      </c>
    </row>
    <row r="335" customFormat="false" ht="12.8" hidden="false" customHeight="true" outlineLevel="0" collapsed="false">
      <c r="C335" s="6" t="n">
        <f aca="false">MOD(ROW()-1, 208)</f>
        <v>126</v>
      </c>
      <c r="D335" s="6" t="n">
        <f aca="false">INT((ROW()-1)/208)</f>
        <v>1</v>
      </c>
      <c r="F335" s="6" t="str">
        <f aca="false">MID(VLOOKUP(D335,$P$1:$Q$13,2,0), 1 + C335,1)</f>
        <v>넝</v>
      </c>
      <c r="G335" s="6" t="str">
        <f aca="false">DEC2HEX(D335+36, 2)</f>
        <v>25</v>
      </c>
      <c r="H335" s="6" t="str">
        <f aca="false">DEC2HEX(C335+48,2)</f>
        <v>AE</v>
      </c>
      <c r="I335" s="6" t="str">
        <f aca="false">_xlfn.CONCAT("\x", G335, "\x", H335, "=", F335)</f>
        <v>\x25\xAE=넝</v>
      </c>
      <c r="M335" s="7" t="s">
        <v>312</v>
      </c>
      <c r="N335" s="6" t="str">
        <f aca="false">_xlfn.CONCAT("\x", DEC2HEX(D335+44, 2), "\x", H335, "=", M335)</f>
        <v>\x2D\xAE=鳥</v>
      </c>
    </row>
    <row r="336" customFormat="false" ht="12.8" hidden="false" customHeight="true" outlineLevel="0" collapsed="false">
      <c r="C336" s="6" t="n">
        <f aca="false">MOD(ROW()-1, 208)</f>
        <v>127</v>
      </c>
      <c r="D336" s="6" t="n">
        <f aca="false">INT((ROW()-1)/208)</f>
        <v>1</v>
      </c>
      <c r="F336" s="6" t="str">
        <f aca="false">MID(VLOOKUP(D336,$P$1:$Q$13,2,0), 1 + C336,1)</f>
        <v>넣</v>
      </c>
      <c r="G336" s="6" t="str">
        <f aca="false">DEC2HEX(D336+36, 2)</f>
        <v>25</v>
      </c>
      <c r="H336" s="6" t="str">
        <f aca="false">DEC2HEX(C336+48,2)</f>
        <v>AF</v>
      </c>
      <c r="I336" s="6" t="str">
        <f aca="false">_xlfn.CONCAT("\x", G336, "\x", H336, "=", F336)</f>
        <v>\x25\xAF=넣</v>
      </c>
      <c r="M336" s="7" t="s">
        <v>313</v>
      </c>
      <c r="N336" s="6" t="str">
        <f aca="false">_xlfn.CONCAT("\x", DEC2HEX(D336+44, 2), "\x", H336, "=", M336)</f>
        <v>\x2D\xAF=投</v>
      </c>
    </row>
    <row r="337" customFormat="false" ht="12.8" hidden="false" customHeight="true" outlineLevel="0" collapsed="false">
      <c r="C337" s="6" t="n">
        <f aca="false">MOD(ROW()-1, 208)</f>
        <v>128</v>
      </c>
      <c r="D337" s="6" t="n">
        <f aca="false">INT((ROW()-1)/208)</f>
        <v>1</v>
      </c>
      <c r="F337" s="6" t="str">
        <f aca="false">MID(VLOOKUP(D337,$P$1:$Q$13,2,0), 1 + C337,1)</f>
        <v>네</v>
      </c>
      <c r="G337" s="6" t="str">
        <f aca="false">DEC2HEX(D337+36, 2)</f>
        <v>25</v>
      </c>
      <c r="H337" s="6" t="str">
        <f aca="false">DEC2HEX(C337+48,2)</f>
        <v>B0</v>
      </c>
      <c r="I337" s="6" t="str">
        <f aca="false">_xlfn.CONCAT("\x", G337, "\x", H337, "=", F337)</f>
        <v>\x25\xB0=네</v>
      </c>
      <c r="M337" s="7" t="s">
        <v>314</v>
      </c>
      <c r="N337" s="6" t="str">
        <f aca="false">_xlfn.CONCAT("\x", DEC2HEX(D337+44, 2), "\x", H337, "=", M337)</f>
        <v>\x2D\xB0=盗</v>
      </c>
    </row>
    <row r="338" customFormat="false" ht="12.8" hidden="false" customHeight="true" outlineLevel="0" collapsed="false">
      <c r="C338" s="6" t="n">
        <f aca="false">MOD(ROW()-1, 208)</f>
        <v>129</v>
      </c>
      <c r="D338" s="6" t="n">
        <f aca="false">INT((ROW()-1)/208)</f>
        <v>1</v>
      </c>
      <c r="F338" s="6" t="str">
        <f aca="false">MID(VLOOKUP(D338,$P$1:$Q$13,2,0), 1 + C338,1)</f>
        <v>넥</v>
      </c>
      <c r="G338" s="6" t="str">
        <f aca="false">DEC2HEX(D338+36, 2)</f>
        <v>25</v>
      </c>
      <c r="H338" s="6" t="str">
        <f aca="false">DEC2HEX(C338+48,2)</f>
        <v>B1</v>
      </c>
      <c r="I338" s="6" t="str">
        <f aca="false">_xlfn.CONCAT("\x", G338, "\x", H338, "=", F338)</f>
        <v>\x25\xB1=넥</v>
      </c>
      <c r="M338" s="7" t="s">
        <v>315</v>
      </c>
      <c r="N338" s="6" t="str">
        <f aca="false">_xlfn.CONCAT("\x", DEC2HEX(D338+44, 2), "\x", H338, "=", M338)</f>
        <v>\x2D\xB1=討</v>
      </c>
    </row>
    <row r="339" customFormat="false" ht="12.8" hidden="false" customHeight="true" outlineLevel="0" collapsed="false">
      <c r="C339" s="6" t="n">
        <f aca="false">MOD(ROW()-1, 208)</f>
        <v>130</v>
      </c>
      <c r="D339" s="6" t="n">
        <f aca="false">INT((ROW()-1)/208)</f>
        <v>1</v>
      </c>
      <c r="F339" s="6" t="str">
        <f aca="false">MID(VLOOKUP(D339,$P$1:$Q$13,2,0), 1 + C339,1)</f>
        <v>넨</v>
      </c>
      <c r="G339" s="6" t="str">
        <f aca="false">DEC2HEX(D339+36, 2)</f>
        <v>25</v>
      </c>
      <c r="H339" s="6" t="str">
        <f aca="false">DEC2HEX(C339+48,2)</f>
        <v>B2</v>
      </c>
      <c r="I339" s="6" t="str">
        <f aca="false">_xlfn.CONCAT("\x", G339, "\x", H339, "=", F339)</f>
        <v>\x25\xB2=넨</v>
      </c>
      <c r="M339" s="7" t="s">
        <v>316</v>
      </c>
      <c r="N339" s="6" t="str">
        <f aca="false">_xlfn.CONCAT("\x", DEC2HEX(D339+44, 2), "\x", H339, "=", M339)</f>
        <v>\x2D\xB2=逃</v>
      </c>
    </row>
    <row r="340" customFormat="false" ht="12.8" hidden="false" customHeight="true" outlineLevel="0" collapsed="false">
      <c r="C340" s="6" t="n">
        <f aca="false">MOD(ROW()-1, 208)</f>
        <v>131</v>
      </c>
      <c r="D340" s="6" t="n">
        <f aca="false">INT((ROW()-1)/208)</f>
        <v>1</v>
      </c>
      <c r="F340" s="6" t="str">
        <f aca="false">MID(VLOOKUP(D340,$P$1:$Q$13,2,0), 1 + C340,1)</f>
        <v>넬</v>
      </c>
      <c r="G340" s="6" t="str">
        <f aca="false">DEC2HEX(D340+36, 2)</f>
        <v>25</v>
      </c>
      <c r="H340" s="6" t="str">
        <f aca="false">DEC2HEX(C340+48,2)</f>
        <v>B3</v>
      </c>
      <c r="I340" s="6" t="str">
        <f aca="false">_xlfn.CONCAT("\x", G340, "\x", H340, "=", F340)</f>
        <v>\x25\xB3=넬</v>
      </c>
      <c r="M340" s="7" t="s">
        <v>317</v>
      </c>
      <c r="N340" s="6" t="str">
        <f aca="false">_xlfn.CONCAT("\x", DEC2HEX(D340+44, 2), "\x", H340, "=", M340)</f>
        <v>\x2D\xB3=闘</v>
      </c>
    </row>
    <row r="341" customFormat="false" ht="12.8" hidden="false" customHeight="true" outlineLevel="0" collapsed="false">
      <c r="C341" s="6" t="n">
        <f aca="false">MOD(ROW()-1, 208)</f>
        <v>132</v>
      </c>
      <c r="D341" s="6" t="n">
        <f aca="false">INT((ROW()-1)/208)</f>
        <v>1</v>
      </c>
      <c r="F341" s="6" t="str">
        <f aca="false">MID(VLOOKUP(D341,$P$1:$Q$13,2,0), 1 + C341,1)</f>
        <v>넴</v>
      </c>
      <c r="G341" s="6" t="str">
        <f aca="false">DEC2HEX(D341+36, 2)</f>
        <v>25</v>
      </c>
      <c r="H341" s="6" t="str">
        <f aca="false">DEC2HEX(C341+48,2)</f>
        <v>B4</v>
      </c>
      <c r="I341" s="6" t="str">
        <f aca="false">_xlfn.CONCAT("\x", G341, "\x", H341, "=", F341)</f>
        <v>\x25\xB4=넴</v>
      </c>
      <c r="M341" s="7" t="s">
        <v>318</v>
      </c>
      <c r="N341" s="6" t="str">
        <f aca="false">_xlfn.CONCAT("\x", DEC2HEX(D341+44, 2), "\x", H341, "=", M341)</f>
        <v>\x2D\xB4=動</v>
      </c>
    </row>
    <row r="342" customFormat="false" ht="12.8" hidden="false" customHeight="true" outlineLevel="0" collapsed="false">
      <c r="C342" s="6" t="n">
        <f aca="false">MOD(ROW()-1, 208)</f>
        <v>133</v>
      </c>
      <c r="D342" s="6" t="n">
        <f aca="false">INT((ROW()-1)/208)</f>
        <v>1</v>
      </c>
      <c r="F342" s="6" t="str">
        <f aca="false">MID(VLOOKUP(D342,$P$1:$Q$13,2,0), 1 + C342,1)</f>
        <v>넵</v>
      </c>
      <c r="G342" s="6" t="str">
        <f aca="false">DEC2HEX(D342+36, 2)</f>
        <v>25</v>
      </c>
      <c r="H342" s="6" t="str">
        <f aca="false">DEC2HEX(C342+48,2)</f>
        <v>B5</v>
      </c>
      <c r="I342" s="6" t="str">
        <f aca="false">_xlfn.CONCAT("\x", G342, "\x", H342, "=", F342)</f>
        <v>\x25\xB5=넵</v>
      </c>
      <c r="M342" s="7" t="s">
        <v>319</v>
      </c>
      <c r="N342" s="6" t="str">
        <f aca="false">_xlfn.CONCAT("\x", DEC2HEX(D342+44, 2), "\x", H342, "=", M342)</f>
        <v>\x2D\xB5=堂</v>
      </c>
    </row>
    <row r="343" customFormat="false" ht="12.8" hidden="false" customHeight="true" outlineLevel="0" collapsed="false">
      <c r="C343" s="6" t="n">
        <f aca="false">MOD(ROW()-1, 208)</f>
        <v>134</v>
      </c>
      <c r="D343" s="6" t="n">
        <f aca="false">INT((ROW()-1)/208)</f>
        <v>1</v>
      </c>
      <c r="F343" s="6" t="str">
        <f aca="false">MID(VLOOKUP(D343,$P$1:$Q$13,2,0), 1 + C343,1)</f>
        <v>넷</v>
      </c>
      <c r="G343" s="6" t="str">
        <f aca="false">DEC2HEX(D343+36, 2)</f>
        <v>25</v>
      </c>
      <c r="H343" s="6" t="str">
        <f aca="false">DEC2HEX(C343+48,2)</f>
        <v>B6</v>
      </c>
      <c r="I343" s="6" t="str">
        <f aca="false">_xlfn.CONCAT("\x", G343, "\x", H343, "=", F343)</f>
        <v>\x25\xB6=넷</v>
      </c>
      <c r="M343" s="7" t="s">
        <v>320</v>
      </c>
      <c r="N343" s="6" t="str">
        <f aca="false">_xlfn.CONCAT("\x", DEC2HEX(D343+44, 2), "\x", H343, "=", M343)</f>
        <v>\x2D\xB6=洞</v>
      </c>
    </row>
    <row r="344" customFormat="false" ht="12.8" hidden="false" customHeight="true" outlineLevel="0" collapsed="false">
      <c r="C344" s="6" t="n">
        <f aca="false">MOD(ROW()-1, 208)</f>
        <v>135</v>
      </c>
      <c r="D344" s="6" t="n">
        <f aca="false">INT((ROW()-1)/208)</f>
        <v>1</v>
      </c>
      <c r="F344" s="6" t="str">
        <f aca="false">MID(VLOOKUP(D344,$P$1:$Q$13,2,0), 1 + C344,1)</f>
        <v>넸</v>
      </c>
      <c r="G344" s="6" t="str">
        <f aca="false">DEC2HEX(D344+36, 2)</f>
        <v>25</v>
      </c>
      <c r="H344" s="6" t="str">
        <f aca="false">DEC2HEX(C344+48,2)</f>
        <v>B7</v>
      </c>
      <c r="I344" s="6" t="str">
        <f aca="false">_xlfn.CONCAT("\x", G344, "\x", H344, "=", F344)</f>
        <v>\x25\xB7=넸</v>
      </c>
      <c r="M344" s="7" t="s">
        <v>321</v>
      </c>
      <c r="N344" s="6" t="str">
        <f aca="false">_xlfn.CONCAT("\x", DEC2HEX(D344+44, 2), "\x", H344, "=", M344)</f>
        <v>\x2D\xB7=道</v>
      </c>
    </row>
    <row r="345" customFormat="false" ht="12.8" hidden="false" customHeight="true" outlineLevel="0" collapsed="false">
      <c r="C345" s="6" t="n">
        <f aca="false">MOD(ROW()-1, 208)</f>
        <v>136</v>
      </c>
      <c r="D345" s="6" t="n">
        <f aca="false">INT((ROW()-1)/208)</f>
        <v>1</v>
      </c>
      <c r="F345" s="6" t="str">
        <f aca="false">MID(VLOOKUP(D345,$P$1:$Q$13,2,0), 1 + C345,1)</f>
        <v>넹</v>
      </c>
      <c r="G345" s="6" t="str">
        <f aca="false">DEC2HEX(D345+36, 2)</f>
        <v>25</v>
      </c>
      <c r="H345" s="6" t="str">
        <f aca="false">DEC2HEX(C345+48,2)</f>
        <v>B8</v>
      </c>
      <c r="I345" s="6" t="str">
        <f aca="false">_xlfn.CONCAT("\x", G345, "\x", H345, "=", F345)</f>
        <v>\x25\xB8=넹</v>
      </c>
      <c r="M345" s="7" t="s">
        <v>322</v>
      </c>
      <c r="N345" s="6" t="str">
        <f aca="false">_xlfn.CONCAT("\x", DEC2HEX(D345+44, 2), "\x", H345, "=", M345)</f>
        <v>\x2D\xB8=峠</v>
      </c>
    </row>
    <row r="346" customFormat="false" ht="12.8" hidden="false" customHeight="true" outlineLevel="0" collapsed="false">
      <c r="C346" s="6" t="n">
        <f aca="false">MOD(ROW()-1, 208)</f>
        <v>137</v>
      </c>
      <c r="D346" s="6" t="n">
        <f aca="false">INT((ROW()-1)/208)</f>
        <v>1</v>
      </c>
      <c r="F346" s="6" t="str">
        <f aca="false">MID(VLOOKUP(D346,$P$1:$Q$13,2,0), 1 + C346,1)</f>
        <v>녀</v>
      </c>
      <c r="G346" s="6" t="str">
        <f aca="false">DEC2HEX(D346+36, 2)</f>
        <v>25</v>
      </c>
      <c r="H346" s="6" t="str">
        <f aca="false">DEC2HEX(C346+48,2)</f>
        <v>B9</v>
      </c>
      <c r="I346" s="6" t="str">
        <f aca="false">_xlfn.CONCAT("\x", G346, "\x", H346, "=", F346)</f>
        <v>\x25\xB9=녀</v>
      </c>
      <c r="M346" s="7" t="s">
        <v>323</v>
      </c>
      <c r="N346" s="6" t="str">
        <f aca="false">_xlfn.CONCAT("\x", DEC2HEX(D346+44, 2), "\x", H346, "=", M346)</f>
        <v>\x2D\xB9=特</v>
      </c>
    </row>
    <row r="347" customFormat="false" ht="12.8" hidden="false" customHeight="true" outlineLevel="0" collapsed="false">
      <c r="C347" s="6" t="n">
        <f aca="false">MOD(ROW()-1, 208)</f>
        <v>138</v>
      </c>
      <c r="D347" s="6" t="n">
        <f aca="false">INT((ROW()-1)/208)</f>
        <v>1</v>
      </c>
      <c r="F347" s="6" t="str">
        <f aca="false">MID(VLOOKUP(D347,$P$1:$Q$13,2,0), 1 + C347,1)</f>
        <v>녁</v>
      </c>
      <c r="G347" s="6" t="str">
        <f aca="false">DEC2HEX(D347+36, 2)</f>
        <v>25</v>
      </c>
      <c r="H347" s="6" t="str">
        <f aca="false">DEC2HEX(C347+48,2)</f>
        <v>BA</v>
      </c>
      <c r="I347" s="6" t="str">
        <f aca="false">_xlfn.CONCAT("\x", G347, "\x", H347, "=", F347)</f>
        <v>\x25\xBA=녁</v>
      </c>
      <c r="M347" s="7" t="s">
        <v>324</v>
      </c>
      <c r="N347" s="6" t="str">
        <f aca="false">_xlfn.CONCAT("\x", DEC2HEX(D347+44, 2), "\x", H347, "=", M347)</f>
        <v>\x2D\xBA=毒</v>
      </c>
    </row>
    <row r="348" customFormat="false" ht="12.8" hidden="false" customHeight="true" outlineLevel="0" collapsed="false">
      <c r="C348" s="6" t="n">
        <f aca="false">MOD(ROW()-1, 208)</f>
        <v>139</v>
      </c>
      <c r="D348" s="6" t="n">
        <f aca="false">INT((ROW()-1)/208)</f>
        <v>1</v>
      </c>
      <c r="F348" s="6" t="str">
        <f aca="false">MID(VLOOKUP(D348,$P$1:$Q$13,2,0), 1 + C348,1)</f>
        <v>년</v>
      </c>
      <c r="G348" s="6" t="str">
        <f aca="false">DEC2HEX(D348+36, 2)</f>
        <v>25</v>
      </c>
      <c r="H348" s="6" t="str">
        <f aca="false">DEC2HEX(C348+48,2)</f>
        <v>BB</v>
      </c>
      <c r="I348" s="6" t="str">
        <f aca="false">_xlfn.CONCAT("\x", G348, "\x", H348, "=", F348)</f>
        <v>\x25\xBB=년</v>
      </c>
      <c r="M348" s="7" t="s">
        <v>325</v>
      </c>
      <c r="N348" s="6" t="str">
        <f aca="false">_xlfn.CONCAT("\x", DEC2HEX(D348+44, 2), "\x", H348, "=", M348)</f>
        <v>\x2D\xBB=突</v>
      </c>
    </row>
    <row r="349" customFormat="false" ht="12.8" hidden="false" customHeight="true" outlineLevel="0" collapsed="false">
      <c r="C349" s="6" t="n">
        <f aca="false">MOD(ROW()-1, 208)</f>
        <v>140</v>
      </c>
      <c r="D349" s="6" t="n">
        <f aca="false">INT((ROW()-1)/208)</f>
        <v>1</v>
      </c>
      <c r="F349" s="6" t="str">
        <f aca="false">MID(VLOOKUP(D349,$P$1:$Q$13,2,0), 1 + C349,1)</f>
        <v>녈</v>
      </c>
      <c r="G349" s="6" t="str">
        <f aca="false">DEC2HEX(D349+36, 2)</f>
        <v>25</v>
      </c>
      <c r="H349" s="6" t="str">
        <f aca="false">DEC2HEX(C349+48,2)</f>
        <v>BC</v>
      </c>
      <c r="I349" s="6" t="str">
        <f aca="false">_xlfn.CONCAT("\x", G349, "\x", H349, "=", F349)</f>
        <v>\x25\xBC=녈</v>
      </c>
      <c r="M349" s="7" t="s">
        <v>326</v>
      </c>
      <c r="N349" s="6" t="str">
        <f aca="false">_xlfn.CONCAT("\x", DEC2HEX(D349+44, 2), "\x", H349, "=", M349)</f>
        <v>\x2D\xBC=内</v>
      </c>
    </row>
    <row r="350" customFormat="false" ht="12.8" hidden="false" customHeight="true" outlineLevel="0" collapsed="false">
      <c r="C350" s="6" t="n">
        <f aca="false">MOD(ROW()-1, 208)</f>
        <v>141</v>
      </c>
      <c r="D350" s="6" t="n">
        <f aca="false">INT((ROW()-1)/208)</f>
        <v>1</v>
      </c>
      <c r="F350" s="6" t="str">
        <f aca="false">MID(VLOOKUP(D350,$P$1:$Q$13,2,0), 1 + C350,1)</f>
        <v>념</v>
      </c>
      <c r="G350" s="6" t="str">
        <f aca="false">DEC2HEX(D350+36, 2)</f>
        <v>25</v>
      </c>
      <c r="H350" s="6" t="str">
        <f aca="false">DEC2HEX(C350+48,2)</f>
        <v>BD</v>
      </c>
      <c r="I350" s="6" t="str">
        <f aca="false">_xlfn.CONCAT("\x", G350, "\x", H350, "=", F350)</f>
        <v>\x25\xBD=념</v>
      </c>
      <c r="M350" s="7" t="s">
        <v>327</v>
      </c>
      <c r="N350" s="6" t="str">
        <f aca="false">_xlfn.CONCAT("\x", DEC2HEX(D350+44, 2), "\x", H350, "=", M350)</f>
        <v>\x2D\xBD=南</v>
      </c>
    </row>
    <row r="351" customFormat="false" ht="12.8" hidden="false" customHeight="true" outlineLevel="0" collapsed="false">
      <c r="C351" s="6" t="n">
        <f aca="false">MOD(ROW()-1, 208)</f>
        <v>142</v>
      </c>
      <c r="D351" s="6" t="n">
        <f aca="false">INT((ROW()-1)/208)</f>
        <v>1</v>
      </c>
      <c r="F351" s="6" t="str">
        <f aca="false">MID(VLOOKUP(D351,$P$1:$Q$13,2,0), 1 + C351,1)</f>
        <v>녑</v>
      </c>
      <c r="G351" s="6" t="str">
        <f aca="false">DEC2HEX(D351+36, 2)</f>
        <v>25</v>
      </c>
      <c r="H351" s="6" t="str">
        <f aca="false">DEC2HEX(C351+48,2)</f>
        <v>BE</v>
      </c>
      <c r="I351" s="6" t="str">
        <f aca="false">_xlfn.CONCAT("\x", G351, "\x", H351, "=", F351)</f>
        <v>\x25\xBE=녑</v>
      </c>
      <c r="M351" s="7" t="s">
        <v>328</v>
      </c>
      <c r="N351" s="6" t="str">
        <f aca="false">_xlfn.CONCAT("\x", DEC2HEX(D351+44, 2), "\x", H351, "=", M351)</f>
        <v>\x2D\xBE=二</v>
      </c>
    </row>
    <row r="352" customFormat="false" ht="12.8" hidden="false" customHeight="true" outlineLevel="0" collapsed="false">
      <c r="C352" s="6" t="n">
        <f aca="false">MOD(ROW()-1, 208)</f>
        <v>143</v>
      </c>
      <c r="D352" s="6" t="n">
        <f aca="false">INT((ROW()-1)/208)</f>
        <v>1</v>
      </c>
      <c r="F352" s="6" t="str">
        <f aca="false">MID(VLOOKUP(D352,$P$1:$Q$13,2,0), 1 + C352,1)</f>
        <v>녔</v>
      </c>
      <c r="G352" s="6" t="str">
        <f aca="false">DEC2HEX(D352+36, 2)</f>
        <v>25</v>
      </c>
      <c r="H352" s="6" t="str">
        <f aca="false">DEC2HEX(C352+48,2)</f>
        <v>BF</v>
      </c>
      <c r="I352" s="6" t="str">
        <f aca="false">_xlfn.CONCAT("\x", G352, "\x", H352, "=", F352)</f>
        <v>\x25\xBF=녔</v>
      </c>
      <c r="M352" s="7" t="s">
        <v>329</v>
      </c>
      <c r="N352" s="6" t="str">
        <f aca="false">_xlfn.CONCAT("\x", DEC2HEX(D352+44, 2), "\x", H352, "=", M352)</f>
        <v>\x2D\xBF=入</v>
      </c>
    </row>
    <row r="353" customFormat="false" ht="12.8" hidden="false" customHeight="true" outlineLevel="0" collapsed="false">
      <c r="C353" s="6" t="n">
        <f aca="false">MOD(ROW()-1, 208)</f>
        <v>144</v>
      </c>
      <c r="D353" s="6" t="n">
        <f aca="false">INT((ROW()-1)/208)</f>
        <v>1</v>
      </c>
      <c r="F353" s="6" t="str">
        <f aca="false">MID(VLOOKUP(D353,$P$1:$Q$13,2,0), 1 + C353,1)</f>
        <v>녕</v>
      </c>
      <c r="G353" s="6" t="str">
        <f aca="false">DEC2HEX(D353+36, 2)</f>
        <v>25</v>
      </c>
      <c r="H353" s="6" t="str">
        <f aca="false">DEC2HEX(C353+48,2)</f>
        <v>C0</v>
      </c>
      <c r="I353" s="6" t="str">
        <f aca="false">_xlfn.CONCAT("\x", G353, "\x", H353, "=", F353)</f>
        <v>\x25\xC0=녕</v>
      </c>
      <c r="M353" s="7" t="s">
        <v>330</v>
      </c>
      <c r="N353" s="6" t="str">
        <f aca="false">_xlfn.CONCAT("\x", DEC2HEX(D353+44, 2), "\x", H353, "=", M353)</f>
        <v>\x2D\xC0=認</v>
      </c>
    </row>
    <row r="354" customFormat="false" ht="12.8" hidden="false" customHeight="true" outlineLevel="0" collapsed="false">
      <c r="C354" s="6" t="n">
        <f aca="false">MOD(ROW()-1, 208)</f>
        <v>145</v>
      </c>
      <c r="D354" s="6" t="n">
        <f aca="false">INT((ROW()-1)/208)</f>
        <v>1</v>
      </c>
      <c r="F354" s="6" t="str">
        <f aca="false">MID(VLOOKUP(D354,$P$1:$Q$13,2,0), 1 + C354,1)</f>
        <v>녘</v>
      </c>
      <c r="G354" s="6" t="str">
        <f aca="false">DEC2HEX(D354+36, 2)</f>
        <v>25</v>
      </c>
      <c r="H354" s="6" t="str">
        <f aca="false">DEC2HEX(C354+48,2)</f>
        <v>C1</v>
      </c>
      <c r="I354" s="6" t="str">
        <f aca="false">_xlfn.CONCAT("\x", G354, "\x", H354, "=", F354)</f>
        <v>\x25\xC1=녘</v>
      </c>
      <c r="M354" s="7" t="s">
        <v>331</v>
      </c>
      <c r="N354" s="6" t="str">
        <f aca="false">_xlfn.CONCAT("\x", DEC2HEX(D354+44, 2), "\x", H354, "=", M354)</f>
        <v>\x2D\xC1=年</v>
      </c>
    </row>
    <row r="355" customFormat="false" ht="12.8" hidden="false" customHeight="true" outlineLevel="0" collapsed="false">
      <c r="C355" s="6" t="n">
        <f aca="false">MOD(ROW()-1, 208)</f>
        <v>146</v>
      </c>
      <c r="D355" s="6" t="n">
        <f aca="false">INT((ROW()-1)/208)</f>
        <v>1</v>
      </c>
      <c r="F355" s="6" t="str">
        <f aca="false">MID(VLOOKUP(D355,$P$1:$Q$13,2,0), 1 + C355,1)</f>
        <v>녜</v>
      </c>
      <c r="G355" s="6" t="str">
        <f aca="false">DEC2HEX(D355+36, 2)</f>
        <v>25</v>
      </c>
      <c r="H355" s="6" t="str">
        <f aca="false">DEC2HEX(C355+48,2)</f>
        <v>C2</v>
      </c>
      <c r="I355" s="6" t="str">
        <f aca="false">_xlfn.CONCAT("\x", G355, "\x", H355, "=", F355)</f>
        <v>\x25\xC2=녜</v>
      </c>
      <c r="M355" s="7" t="s">
        <v>332</v>
      </c>
      <c r="N355" s="6" t="str">
        <f aca="false">_xlfn.CONCAT("\x", DEC2HEX(D355+44, 2), "\x", H355, "=", M355)</f>
        <v>\x2D\xC2=念</v>
      </c>
    </row>
    <row r="356" customFormat="false" ht="12.8" hidden="false" customHeight="true" outlineLevel="0" collapsed="false">
      <c r="C356" s="6" t="n">
        <f aca="false">MOD(ROW()-1, 208)</f>
        <v>147</v>
      </c>
      <c r="D356" s="6" t="n">
        <f aca="false">INT((ROW()-1)/208)</f>
        <v>1</v>
      </c>
      <c r="F356" s="6" t="str">
        <f aca="false">MID(VLOOKUP(D356,$P$1:$Q$13,2,0), 1 + C356,1)</f>
        <v>녠</v>
      </c>
      <c r="G356" s="6" t="str">
        <f aca="false">DEC2HEX(D356+36, 2)</f>
        <v>25</v>
      </c>
      <c r="H356" s="6" t="str">
        <f aca="false">DEC2HEX(C356+48,2)</f>
        <v>C3</v>
      </c>
      <c r="I356" s="6" t="str">
        <f aca="false">_xlfn.CONCAT("\x", G356, "\x", H356, "=", F356)</f>
        <v>\x25\xC3=녠</v>
      </c>
      <c r="M356" s="7" t="s">
        <v>333</v>
      </c>
      <c r="N356" s="6" t="str">
        <f aca="false">_xlfn.CONCAT("\x", DEC2HEX(D356+44, 2), "\x", H356, "=", M356)</f>
        <v>\x2D\xC3=能</v>
      </c>
    </row>
    <row r="357" customFormat="false" ht="12.8" hidden="false" customHeight="true" outlineLevel="0" collapsed="false">
      <c r="C357" s="6" t="n">
        <f aca="false">MOD(ROW()-1, 208)</f>
        <v>148</v>
      </c>
      <c r="D357" s="6" t="n">
        <f aca="false">INT((ROW()-1)/208)</f>
        <v>1</v>
      </c>
      <c r="F357" s="6" t="str">
        <f aca="false">MID(VLOOKUP(D357,$P$1:$Q$13,2,0), 1 + C357,1)</f>
        <v>노</v>
      </c>
      <c r="G357" s="6" t="str">
        <f aca="false">DEC2HEX(D357+36, 2)</f>
        <v>25</v>
      </c>
      <c r="H357" s="6" t="str">
        <f aca="false">DEC2HEX(C357+48,2)</f>
        <v>C4</v>
      </c>
      <c r="I357" s="6" t="str">
        <f aca="false">_xlfn.CONCAT("\x", G357, "\x", H357, "=", F357)</f>
        <v>\x25\xC4=노</v>
      </c>
      <c r="M357" s="7" t="s">
        <v>334</v>
      </c>
      <c r="N357" s="6" t="str">
        <f aca="false">_xlfn.CONCAT("\x", DEC2HEX(D357+44, 2), "\x", H357, "=", M357)</f>
        <v>\x2D\xC4=拝</v>
      </c>
    </row>
    <row r="358" customFormat="false" ht="12.8" hidden="false" customHeight="true" outlineLevel="0" collapsed="false">
      <c r="C358" s="6" t="n">
        <f aca="false">MOD(ROW()-1, 208)</f>
        <v>149</v>
      </c>
      <c r="D358" s="6" t="n">
        <f aca="false">INT((ROW()-1)/208)</f>
        <v>1</v>
      </c>
      <c r="F358" s="6" t="str">
        <f aca="false">MID(VLOOKUP(D358,$P$1:$Q$13,2,0), 1 + C358,1)</f>
        <v>녹</v>
      </c>
      <c r="G358" s="6" t="str">
        <f aca="false">DEC2HEX(D358+36, 2)</f>
        <v>25</v>
      </c>
      <c r="H358" s="6" t="str">
        <f aca="false">DEC2HEX(C358+48,2)</f>
        <v>C5</v>
      </c>
      <c r="I358" s="6" t="str">
        <f aca="false">_xlfn.CONCAT("\x", G358, "\x", H358, "=", F358)</f>
        <v>\x25\xC5=녹</v>
      </c>
      <c r="M358" s="7" t="s">
        <v>335</v>
      </c>
      <c r="N358" s="6" t="str">
        <f aca="false">_xlfn.CONCAT("\x", DEC2HEX(D358+44, 2), "\x", H358, "=", M358)</f>
        <v>\x2D\xC5=敗</v>
      </c>
    </row>
    <row r="359" customFormat="false" ht="12.8" hidden="false" customHeight="true" outlineLevel="0" collapsed="false">
      <c r="C359" s="6" t="n">
        <f aca="false">MOD(ROW()-1, 208)</f>
        <v>150</v>
      </c>
      <c r="D359" s="6" t="n">
        <f aca="false">INT((ROW()-1)/208)</f>
        <v>1</v>
      </c>
      <c r="F359" s="6" t="str">
        <f aca="false">MID(VLOOKUP(D359,$P$1:$Q$13,2,0), 1 + C359,1)</f>
        <v>논</v>
      </c>
      <c r="G359" s="6" t="str">
        <f aca="false">DEC2HEX(D359+36, 2)</f>
        <v>25</v>
      </c>
      <c r="H359" s="6" t="str">
        <f aca="false">DEC2HEX(C359+48,2)</f>
        <v>C6</v>
      </c>
      <c r="I359" s="6" t="str">
        <f aca="false">_xlfn.CONCAT("\x", G359, "\x", H359, "=", F359)</f>
        <v>\x25\xC6=논</v>
      </c>
      <c r="M359" s="7" t="s">
        <v>336</v>
      </c>
      <c r="N359" s="6" t="str">
        <f aca="false">_xlfn.CONCAT("\x", DEC2HEX(D359+44, 2), "\x", H359, "=", M359)</f>
        <v>\x2D\xC6=背</v>
      </c>
    </row>
    <row r="360" customFormat="false" ht="12.8" hidden="false" customHeight="true" outlineLevel="0" collapsed="false">
      <c r="C360" s="6" t="n">
        <f aca="false">MOD(ROW()-1, 208)</f>
        <v>151</v>
      </c>
      <c r="D360" s="6" t="n">
        <f aca="false">INT((ROW()-1)/208)</f>
        <v>1</v>
      </c>
      <c r="F360" s="6" t="str">
        <f aca="false">MID(VLOOKUP(D360,$P$1:$Q$13,2,0), 1 + C360,1)</f>
        <v>놀</v>
      </c>
      <c r="G360" s="6" t="str">
        <f aca="false">DEC2HEX(D360+36, 2)</f>
        <v>25</v>
      </c>
      <c r="H360" s="6" t="str">
        <f aca="false">DEC2HEX(C360+48,2)</f>
        <v>C7</v>
      </c>
      <c r="I360" s="6" t="str">
        <f aca="false">_xlfn.CONCAT("\x", G360, "\x", H360, "=", F360)</f>
        <v>\x25\xC7=놀</v>
      </c>
      <c r="M360" s="7" t="s">
        <v>337</v>
      </c>
      <c r="N360" s="6" t="str">
        <f aca="false">_xlfn.CONCAT("\x", DEC2HEX(D360+44, 2), "\x", H360, "=", M360)</f>
        <v>\x2D\xC7=倍</v>
      </c>
    </row>
    <row r="361" customFormat="false" ht="12.8" hidden="false" customHeight="true" outlineLevel="0" collapsed="false">
      <c r="C361" s="6" t="n">
        <f aca="false">MOD(ROW()-1, 208)</f>
        <v>152</v>
      </c>
      <c r="D361" s="6" t="n">
        <f aca="false">INT((ROW()-1)/208)</f>
        <v>1</v>
      </c>
      <c r="F361" s="6" t="str">
        <f aca="false">MID(VLOOKUP(D361,$P$1:$Q$13,2,0), 1 + C361,1)</f>
        <v>놂</v>
      </c>
      <c r="G361" s="6" t="str">
        <f aca="false">DEC2HEX(D361+36, 2)</f>
        <v>25</v>
      </c>
      <c r="H361" s="6" t="str">
        <f aca="false">DEC2HEX(C361+48,2)</f>
        <v>C8</v>
      </c>
      <c r="I361" s="6" t="str">
        <f aca="false">_xlfn.CONCAT("\x", G361, "\x", H361, "=", F361)</f>
        <v>\x25\xC8=놂</v>
      </c>
      <c r="M361" s="7" t="s">
        <v>338</v>
      </c>
      <c r="N361" s="6" t="str">
        <f aca="false">_xlfn.CONCAT("\x", DEC2HEX(D361+44, 2), "\x", H361, "=", M361)</f>
        <v>\x2D\xC8=白</v>
      </c>
    </row>
    <row r="362" customFormat="false" ht="12.8" hidden="false" customHeight="true" outlineLevel="0" collapsed="false">
      <c r="C362" s="6" t="n">
        <f aca="false">MOD(ROW()-1, 208)</f>
        <v>153</v>
      </c>
      <c r="D362" s="6" t="n">
        <f aca="false">INT((ROW()-1)/208)</f>
        <v>1</v>
      </c>
      <c r="F362" s="6" t="str">
        <f aca="false">MID(VLOOKUP(D362,$P$1:$Q$13,2,0), 1 + C362,1)</f>
        <v>놈</v>
      </c>
      <c r="G362" s="6" t="str">
        <f aca="false">DEC2HEX(D362+36, 2)</f>
        <v>25</v>
      </c>
      <c r="H362" s="6" t="str">
        <f aca="false">DEC2HEX(C362+48,2)</f>
        <v>C9</v>
      </c>
      <c r="I362" s="6" t="str">
        <f aca="false">_xlfn.CONCAT("\x", G362, "\x", H362, "=", F362)</f>
        <v>\x25\xC9=놈</v>
      </c>
      <c r="M362" s="7" t="s">
        <v>339</v>
      </c>
      <c r="N362" s="6" t="str">
        <f aca="false">_xlfn.CONCAT("\x", DEC2HEX(D362+44, 2), "\x", H362, "=", M362)</f>
        <v>\x2D\xC9=漠</v>
      </c>
    </row>
    <row r="363" customFormat="false" ht="12.8" hidden="false" customHeight="true" outlineLevel="0" collapsed="false">
      <c r="C363" s="6" t="n">
        <f aca="false">MOD(ROW()-1, 208)</f>
        <v>154</v>
      </c>
      <c r="D363" s="6" t="n">
        <f aca="false">INT((ROW()-1)/208)</f>
        <v>1</v>
      </c>
      <c r="F363" s="6" t="str">
        <f aca="false">MID(VLOOKUP(D363,$P$1:$Q$13,2,0), 1 + C363,1)</f>
        <v>놉</v>
      </c>
      <c r="G363" s="6" t="str">
        <f aca="false">DEC2HEX(D363+36, 2)</f>
        <v>25</v>
      </c>
      <c r="H363" s="6" t="str">
        <f aca="false">DEC2HEX(C363+48,2)</f>
        <v>CA</v>
      </c>
      <c r="I363" s="6" t="str">
        <f aca="false">_xlfn.CONCAT("\x", G363, "\x", H363, "=", F363)</f>
        <v>\x25\xCA=놉</v>
      </c>
      <c r="M363" s="7" t="s">
        <v>340</v>
      </c>
      <c r="N363" s="6" t="str">
        <f aca="false">_xlfn.CONCAT("\x", DEC2HEX(D363+44, 2), "\x", H363, "=", M363)</f>
        <v>\x2D\xCA=爆</v>
      </c>
    </row>
    <row r="364" customFormat="false" ht="12.8" hidden="false" customHeight="true" outlineLevel="0" collapsed="false">
      <c r="C364" s="6" t="n">
        <f aca="false">MOD(ROW()-1, 208)</f>
        <v>155</v>
      </c>
      <c r="D364" s="6" t="n">
        <f aca="false">INT((ROW()-1)/208)</f>
        <v>1</v>
      </c>
      <c r="F364" s="6" t="str">
        <f aca="false">MID(VLOOKUP(D364,$P$1:$Q$13,2,0), 1 + C364,1)</f>
        <v>놋</v>
      </c>
      <c r="G364" s="6" t="str">
        <f aca="false">DEC2HEX(D364+36, 2)</f>
        <v>25</v>
      </c>
      <c r="H364" s="6" t="str">
        <f aca="false">DEC2HEX(C364+48,2)</f>
        <v>CB</v>
      </c>
      <c r="I364" s="6" t="str">
        <f aca="false">_xlfn.CONCAT("\x", G364, "\x", H364, "=", F364)</f>
        <v>\x25\xCB=놋</v>
      </c>
      <c r="M364" s="7" t="s">
        <v>341</v>
      </c>
      <c r="N364" s="6" t="str">
        <f aca="false">_xlfn.CONCAT("\x", DEC2HEX(D364+44, 2), "\x", H364, "=", M364)</f>
        <v>\x2D\xCB=発</v>
      </c>
    </row>
    <row r="365" customFormat="false" ht="12.8" hidden="false" customHeight="true" outlineLevel="0" collapsed="false">
      <c r="C365" s="6" t="n">
        <f aca="false">MOD(ROW()-1, 208)</f>
        <v>156</v>
      </c>
      <c r="D365" s="6" t="n">
        <f aca="false">INT((ROW()-1)/208)</f>
        <v>1</v>
      </c>
      <c r="F365" s="6" t="str">
        <f aca="false">MID(VLOOKUP(D365,$P$1:$Q$13,2,0), 1 + C365,1)</f>
        <v>농</v>
      </c>
      <c r="G365" s="6" t="str">
        <f aca="false">DEC2HEX(D365+36, 2)</f>
        <v>25</v>
      </c>
      <c r="H365" s="6" t="str">
        <f aca="false">DEC2HEX(C365+48,2)</f>
        <v>CC</v>
      </c>
      <c r="I365" s="6" t="str">
        <f aca="false">_xlfn.CONCAT("\x", G365, "\x", H365, "=", F365)</f>
        <v>\x25\xCC=농</v>
      </c>
      <c r="M365" s="7" t="s">
        <v>342</v>
      </c>
      <c r="N365" s="6" t="str">
        <f aca="false">_xlfn.CONCAT("\x", DEC2HEX(D365+44, 2), "\x", H365, "=", M365)</f>
        <v>\x2D\xCC=伐</v>
      </c>
    </row>
    <row r="366" customFormat="false" ht="12.8" hidden="false" customHeight="true" outlineLevel="0" collapsed="false">
      <c r="C366" s="6" t="n">
        <f aca="false">MOD(ROW()-1, 208)</f>
        <v>157</v>
      </c>
      <c r="D366" s="6" t="n">
        <f aca="false">INT((ROW()-1)/208)</f>
        <v>1</v>
      </c>
      <c r="F366" s="6" t="str">
        <f aca="false">MID(VLOOKUP(D366,$P$1:$Q$13,2,0), 1 + C366,1)</f>
        <v>높</v>
      </c>
      <c r="G366" s="6" t="str">
        <f aca="false">DEC2HEX(D366+36, 2)</f>
        <v>25</v>
      </c>
      <c r="H366" s="6" t="str">
        <f aca="false">DEC2HEX(C366+48,2)</f>
        <v>CD</v>
      </c>
      <c r="I366" s="6" t="str">
        <f aca="false">_xlfn.CONCAT("\x", G366, "\x", H366, "=", F366)</f>
        <v>\x25\xCD=높</v>
      </c>
      <c r="M366" s="7" t="s">
        <v>343</v>
      </c>
      <c r="N366" s="6" t="str">
        <f aca="false">_xlfn.CONCAT("\x", DEC2HEX(D366+44, 2), "\x", H366, "=", M366)</f>
        <v>\x2D\xCD=抜</v>
      </c>
    </row>
    <row r="367" customFormat="false" ht="12.8" hidden="false" customHeight="true" outlineLevel="0" collapsed="false">
      <c r="C367" s="6" t="n">
        <f aca="false">MOD(ROW()-1, 208)</f>
        <v>158</v>
      </c>
      <c r="D367" s="6" t="n">
        <f aca="false">INT((ROW()-1)/208)</f>
        <v>1</v>
      </c>
      <c r="F367" s="6" t="str">
        <f aca="false">MID(VLOOKUP(D367,$P$1:$Q$13,2,0), 1 + C367,1)</f>
        <v>놓</v>
      </c>
      <c r="G367" s="6" t="str">
        <f aca="false">DEC2HEX(D367+36, 2)</f>
        <v>25</v>
      </c>
      <c r="H367" s="6" t="str">
        <f aca="false">DEC2HEX(C367+48,2)</f>
        <v>CE</v>
      </c>
      <c r="I367" s="6" t="str">
        <f aca="false">_xlfn.CONCAT("\x", G367, "\x", H367, "=", F367)</f>
        <v>\x25\xCE=놓</v>
      </c>
      <c r="M367" s="7" t="s">
        <v>344</v>
      </c>
      <c r="N367" s="6" t="str">
        <f aca="false">_xlfn.CONCAT("\x", DEC2HEX(D367+44, 2), "\x", H367, "=", M367)</f>
        <v>\x2D\xCE=判</v>
      </c>
    </row>
    <row r="368" customFormat="false" ht="12.8" hidden="false" customHeight="true" outlineLevel="0" collapsed="false">
      <c r="C368" s="6" t="n">
        <f aca="false">MOD(ROW()-1, 208)</f>
        <v>159</v>
      </c>
      <c r="D368" s="6" t="n">
        <f aca="false">INT((ROW()-1)/208)</f>
        <v>1</v>
      </c>
      <c r="F368" s="6" t="str">
        <f aca="false">MID(VLOOKUP(D368,$P$1:$Q$13,2,0), 1 + C368,1)</f>
        <v>놔</v>
      </c>
      <c r="G368" s="6" t="str">
        <f aca="false">DEC2HEX(D368+36, 2)</f>
        <v>25</v>
      </c>
      <c r="H368" s="6" t="str">
        <f aca="false">DEC2HEX(C368+48,2)</f>
        <v>CF</v>
      </c>
      <c r="I368" s="6" t="str">
        <f aca="false">_xlfn.CONCAT("\x", G368, "\x", H368, "=", F368)</f>
        <v>\x25\xCF=놔</v>
      </c>
      <c r="M368" s="7" t="s">
        <v>345</v>
      </c>
      <c r="N368" s="6" t="str">
        <f aca="false">_xlfn.CONCAT("\x", DEC2HEX(D368+44, 2), "\x", H368, "=", M368)</f>
        <v>\x2D\xCF=半</v>
      </c>
    </row>
    <row r="369" customFormat="false" ht="12.8" hidden="false" customHeight="true" outlineLevel="0" collapsed="false">
      <c r="C369" s="6" t="n">
        <f aca="false">MOD(ROW()-1, 208)</f>
        <v>160</v>
      </c>
      <c r="D369" s="6" t="n">
        <f aca="false">INT((ROW()-1)/208)</f>
        <v>1</v>
      </c>
      <c r="F369" s="6" t="str">
        <f aca="false">MID(VLOOKUP(D369,$P$1:$Q$13,2,0), 1 + C369,1)</f>
        <v>놘</v>
      </c>
      <c r="G369" s="6" t="str">
        <f aca="false">DEC2HEX(D369+36, 2)</f>
        <v>25</v>
      </c>
      <c r="H369" s="6" t="str">
        <f aca="false">DEC2HEX(C369+48,2)</f>
        <v>D0</v>
      </c>
      <c r="I369" s="6" t="str">
        <f aca="false">_xlfn.CONCAT("\x", G369, "\x", H369, "=", F369)</f>
        <v>\x25\xD0=놘</v>
      </c>
      <c r="M369" s="7" t="s">
        <v>346</v>
      </c>
      <c r="N369" s="6" t="str">
        <f aca="false">_xlfn.CONCAT("\x", DEC2HEX(D369+44, 2), "\x", H369, "=", M369)</f>
        <v>\x2D\xD0=反</v>
      </c>
    </row>
    <row r="370" customFormat="false" ht="12.8" hidden="false" customHeight="true" outlineLevel="0" collapsed="false">
      <c r="C370" s="6" t="n">
        <f aca="false">MOD(ROW()-1, 208)</f>
        <v>161</v>
      </c>
      <c r="D370" s="6" t="n">
        <f aca="false">INT((ROW()-1)/208)</f>
        <v>1</v>
      </c>
      <c r="F370" s="6" t="str">
        <f aca="false">MID(VLOOKUP(D370,$P$1:$Q$13,2,0), 1 + C370,1)</f>
        <v>놜</v>
      </c>
      <c r="G370" s="6" t="str">
        <f aca="false">DEC2HEX(D370+36, 2)</f>
        <v>25</v>
      </c>
      <c r="H370" s="6" t="str">
        <f aca="false">DEC2HEX(C370+48,2)</f>
        <v>D1</v>
      </c>
      <c r="I370" s="6" t="str">
        <f aca="false">_xlfn.CONCAT("\x", G370, "\x", H370, "=", F370)</f>
        <v>\x25\xD1=놜</v>
      </c>
      <c r="M370" s="7" t="s">
        <v>347</v>
      </c>
      <c r="N370" s="6" t="str">
        <f aca="false">_xlfn.CONCAT("\x", DEC2HEX(D370+44, 2), "\x", H370, "=", M370)</f>
        <v>\x2D\xD1=板</v>
      </c>
    </row>
    <row r="371" customFormat="false" ht="12.8" hidden="false" customHeight="true" outlineLevel="0" collapsed="false">
      <c r="C371" s="6" t="n">
        <f aca="false">MOD(ROW()-1, 208)</f>
        <v>162</v>
      </c>
      <c r="D371" s="6" t="n">
        <f aca="false">INT((ROW()-1)/208)</f>
        <v>1</v>
      </c>
      <c r="F371" s="6" t="str">
        <f aca="false">MID(VLOOKUP(D371,$P$1:$Q$13,2,0), 1 + C371,1)</f>
        <v>놨</v>
      </c>
      <c r="G371" s="6" t="str">
        <f aca="false">DEC2HEX(D371+36, 2)</f>
        <v>25</v>
      </c>
      <c r="H371" s="6" t="str">
        <f aca="false">DEC2HEX(C371+48,2)</f>
        <v>D2</v>
      </c>
      <c r="I371" s="6" t="str">
        <f aca="false">_xlfn.CONCAT("\x", G371, "\x", H371, "=", F371)</f>
        <v>\x25\xD2=놨</v>
      </c>
      <c r="M371" s="7" t="s">
        <v>348</v>
      </c>
      <c r="N371" s="6" t="str">
        <f aca="false">_xlfn.CONCAT("\x", DEC2HEX(D371+44, 2), "\x", H371, "=", M371)</f>
        <v>\x2D\xD2=般</v>
      </c>
    </row>
    <row r="372" customFormat="false" ht="12.8" hidden="false" customHeight="true" outlineLevel="0" collapsed="false">
      <c r="C372" s="6" t="n">
        <f aca="false">MOD(ROW()-1, 208)</f>
        <v>163</v>
      </c>
      <c r="D372" s="6" t="n">
        <f aca="false">INT((ROW()-1)/208)</f>
        <v>1</v>
      </c>
      <c r="F372" s="6" t="str">
        <f aca="false">MID(VLOOKUP(D372,$P$1:$Q$13,2,0), 1 + C372,1)</f>
        <v>뇌</v>
      </c>
      <c r="G372" s="6" t="str">
        <f aca="false">DEC2HEX(D372+36, 2)</f>
        <v>25</v>
      </c>
      <c r="H372" s="6" t="str">
        <f aca="false">DEC2HEX(C372+48,2)</f>
        <v>D3</v>
      </c>
      <c r="I372" s="6" t="str">
        <f aca="false">_xlfn.CONCAT("\x", G372, "\x", H372, "=", F372)</f>
        <v>\x25\xD3=뇌</v>
      </c>
      <c r="M372" s="7" t="s">
        <v>349</v>
      </c>
      <c r="N372" s="6" t="str">
        <f aca="false">_xlfn.CONCAT("\x", DEC2HEX(D372+44, 2), "\x", H372, "=", M372)</f>
        <v>\x2D\xD3=番</v>
      </c>
    </row>
    <row r="373" customFormat="false" ht="12.8" hidden="false" customHeight="true" outlineLevel="0" collapsed="false">
      <c r="C373" s="6" t="n">
        <f aca="false">MOD(ROW()-1, 208)</f>
        <v>164</v>
      </c>
      <c r="D373" s="6" t="n">
        <f aca="false">INT((ROW()-1)/208)</f>
        <v>1</v>
      </c>
      <c r="F373" s="6" t="str">
        <f aca="false">MID(VLOOKUP(D373,$P$1:$Q$13,2,0), 1 + C373,1)</f>
        <v>뇐</v>
      </c>
      <c r="G373" s="6" t="str">
        <f aca="false">DEC2HEX(D373+36, 2)</f>
        <v>25</v>
      </c>
      <c r="H373" s="6" t="str">
        <f aca="false">DEC2HEX(C373+48,2)</f>
        <v>D4</v>
      </c>
      <c r="I373" s="6" t="str">
        <f aca="false">_xlfn.CONCAT("\x", G373, "\x", H373, "=", F373)</f>
        <v>\x25\xD4=뇐</v>
      </c>
      <c r="M373" s="7" t="s">
        <v>350</v>
      </c>
      <c r="N373" s="6" t="str">
        <f aca="false">_xlfn.CONCAT("\x", DEC2HEX(D373+44, 2), "\x", H373, "=", M373)</f>
        <v>\x2D\xD4=盤</v>
      </c>
    </row>
    <row r="374" customFormat="false" ht="12.8" hidden="false" customHeight="true" outlineLevel="0" collapsed="false">
      <c r="C374" s="6" t="n">
        <f aca="false">MOD(ROW()-1, 208)</f>
        <v>165</v>
      </c>
      <c r="D374" s="6" t="n">
        <f aca="false">INT((ROW()-1)/208)</f>
        <v>1</v>
      </c>
      <c r="F374" s="6" t="str">
        <f aca="false">MID(VLOOKUP(D374,$P$1:$Q$13,2,0), 1 + C374,1)</f>
        <v>뇔</v>
      </c>
      <c r="G374" s="6" t="str">
        <f aca="false">DEC2HEX(D374+36, 2)</f>
        <v>25</v>
      </c>
      <c r="H374" s="6" t="str">
        <f aca="false">DEC2HEX(C374+48,2)</f>
        <v>D5</v>
      </c>
      <c r="I374" s="6" t="str">
        <f aca="false">_xlfn.CONCAT("\x", G374, "\x", H374, "=", F374)</f>
        <v>\x25\xD5=뇔</v>
      </c>
      <c r="M374" s="7" t="s">
        <v>351</v>
      </c>
      <c r="N374" s="6" t="str">
        <f aca="false">_xlfn.CONCAT("\x", DEC2HEX(D374+44, 2), "\x", H374, "=", M374)</f>
        <v>\x2D\xD5=費</v>
      </c>
    </row>
    <row r="375" customFormat="false" ht="12.8" hidden="false" customHeight="true" outlineLevel="0" collapsed="false">
      <c r="C375" s="6" t="n">
        <f aca="false">MOD(ROW()-1, 208)</f>
        <v>166</v>
      </c>
      <c r="D375" s="6" t="n">
        <f aca="false">INT((ROW()-1)/208)</f>
        <v>1</v>
      </c>
      <c r="F375" s="6" t="str">
        <f aca="false">MID(VLOOKUP(D375,$P$1:$Q$13,2,0), 1 + C375,1)</f>
        <v>뇜</v>
      </c>
      <c r="G375" s="6" t="str">
        <f aca="false">DEC2HEX(D375+36, 2)</f>
        <v>25</v>
      </c>
      <c r="H375" s="6" t="str">
        <f aca="false">DEC2HEX(C375+48,2)</f>
        <v>D6</v>
      </c>
      <c r="I375" s="6" t="str">
        <f aca="false">_xlfn.CONCAT("\x", G375, "\x", H375, "=", F375)</f>
        <v>\x25\xD6=뇜</v>
      </c>
      <c r="M375" s="7" t="s">
        <v>352</v>
      </c>
      <c r="N375" s="6" t="str">
        <f aca="false">_xlfn.CONCAT("\x", DEC2HEX(D375+44, 2), "\x", H375, "=", M375)</f>
        <v>\x2D\xD6=避</v>
      </c>
    </row>
    <row r="376" customFormat="false" ht="12.8" hidden="false" customHeight="true" outlineLevel="0" collapsed="false">
      <c r="C376" s="6" t="n">
        <f aca="false">MOD(ROW()-1, 208)</f>
        <v>167</v>
      </c>
      <c r="D376" s="6" t="n">
        <f aca="false">INT((ROW()-1)/208)</f>
        <v>1</v>
      </c>
      <c r="F376" s="6" t="str">
        <f aca="false">MID(VLOOKUP(D376,$P$1:$Q$13,2,0), 1 + C376,1)</f>
        <v>뇝</v>
      </c>
      <c r="G376" s="6" t="str">
        <f aca="false">DEC2HEX(D376+36, 2)</f>
        <v>25</v>
      </c>
      <c r="H376" s="6" t="str">
        <f aca="false">DEC2HEX(C376+48,2)</f>
        <v>D7</v>
      </c>
      <c r="I376" s="6" t="str">
        <f aca="false">_xlfn.CONCAT("\x", G376, "\x", H376, "=", F376)</f>
        <v>\x25\xD7=뇝</v>
      </c>
      <c r="M376" s="7" t="s">
        <v>353</v>
      </c>
      <c r="N376" s="6" t="str">
        <f aca="false">_xlfn.CONCAT("\x", DEC2HEX(D376+44, 2), "\x", H376, "=", M376)</f>
        <v>\x2D\xD7=非</v>
      </c>
    </row>
    <row r="377" customFormat="false" ht="12.8" hidden="false" customHeight="true" outlineLevel="0" collapsed="false">
      <c r="C377" s="6" t="n">
        <f aca="false">MOD(ROW()-1, 208)</f>
        <v>168</v>
      </c>
      <c r="D377" s="6" t="n">
        <f aca="false">INT((ROW()-1)/208)</f>
        <v>1</v>
      </c>
      <c r="F377" s="6" t="str">
        <f aca="false">MID(VLOOKUP(D377,$P$1:$Q$13,2,0), 1 + C377,1)</f>
        <v>뇟</v>
      </c>
      <c r="G377" s="6" t="str">
        <f aca="false">DEC2HEX(D377+36, 2)</f>
        <v>25</v>
      </c>
      <c r="H377" s="6" t="str">
        <f aca="false">DEC2HEX(C377+48,2)</f>
        <v>D8</v>
      </c>
      <c r="I377" s="6" t="str">
        <f aca="false">_xlfn.CONCAT("\x", G377, "\x", H377, "=", F377)</f>
        <v>\x25\xD8=뇟</v>
      </c>
      <c r="M377" s="7" t="s">
        <v>354</v>
      </c>
      <c r="N377" s="6" t="str">
        <f aca="false">_xlfn.CONCAT("\x", DEC2HEX(D377+44, 2), "\x", H377, "=", M377)</f>
        <v>\x2D\xD8=飛</v>
      </c>
    </row>
    <row r="378" customFormat="false" ht="12.8" hidden="false" customHeight="true" outlineLevel="0" collapsed="false">
      <c r="C378" s="6" t="n">
        <f aca="false">MOD(ROW()-1, 208)</f>
        <v>169</v>
      </c>
      <c r="D378" s="6" t="n">
        <f aca="false">INT((ROW()-1)/208)</f>
        <v>1</v>
      </c>
      <c r="F378" s="6" t="str">
        <f aca="false">MID(VLOOKUP(D378,$P$1:$Q$13,2,0), 1 + C378,1)</f>
        <v>뇨</v>
      </c>
      <c r="G378" s="6" t="str">
        <f aca="false">DEC2HEX(D378+36, 2)</f>
        <v>25</v>
      </c>
      <c r="H378" s="6" t="str">
        <f aca="false">DEC2HEX(C378+48,2)</f>
        <v>D9</v>
      </c>
      <c r="I378" s="6" t="str">
        <f aca="false">_xlfn.CONCAT("\x", G378, "\x", H378, "=", F378)</f>
        <v>\x25\xD9=뇨</v>
      </c>
      <c r="M378" s="7" t="s">
        <v>355</v>
      </c>
      <c r="N378" s="6" t="str">
        <f aca="false">_xlfn.CONCAT("\x", DEC2HEX(D378+44, 2), "\x", H378, "=", M378)</f>
        <v>\x2D\xD9=備</v>
      </c>
    </row>
    <row r="379" customFormat="false" ht="12.8" hidden="false" customHeight="true" outlineLevel="0" collapsed="false">
      <c r="C379" s="6" t="n">
        <f aca="false">MOD(ROW()-1, 208)</f>
        <v>170</v>
      </c>
      <c r="D379" s="6" t="n">
        <f aca="false">INT((ROW()-1)/208)</f>
        <v>1</v>
      </c>
      <c r="F379" s="6" t="str">
        <f aca="false">MID(VLOOKUP(D379,$P$1:$Q$13,2,0), 1 + C379,1)</f>
        <v>뇩</v>
      </c>
      <c r="G379" s="6" t="str">
        <f aca="false">DEC2HEX(D379+36, 2)</f>
        <v>25</v>
      </c>
      <c r="H379" s="6" t="str">
        <f aca="false">DEC2HEX(C379+48,2)</f>
        <v>DA</v>
      </c>
      <c r="I379" s="6" t="str">
        <f aca="false">_xlfn.CONCAT("\x", G379, "\x", H379, "=", F379)</f>
        <v>\x25\xDA=뇩</v>
      </c>
      <c r="M379" s="7" t="s">
        <v>356</v>
      </c>
      <c r="N379" s="6" t="str">
        <f aca="false">_xlfn.CONCAT("\x", DEC2HEX(D379+44, 2), "\x", H379, "=", M379)</f>
        <v>\x2D\xDA=尾</v>
      </c>
    </row>
    <row r="380" customFormat="false" ht="12.8" hidden="false" customHeight="true" outlineLevel="0" collapsed="false">
      <c r="C380" s="6" t="n">
        <f aca="false">MOD(ROW()-1, 208)</f>
        <v>171</v>
      </c>
      <c r="D380" s="6" t="n">
        <f aca="false">INT((ROW()-1)/208)</f>
        <v>1</v>
      </c>
      <c r="F380" s="6" t="str">
        <f aca="false">MID(VLOOKUP(D380,$P$1:$Q$13,2,0), 1 + C380,1)</f>
        <v>뇬</v>
      </c>
      <c r="G380" s="6" t="str">
        <f aca="false">DEC2HEX(D380+36, 2)</f>
        <v>25</v>
      </c>
      <c r="H380" s="6" t="str">
        <f aca="false">DEC2HEX(C380+48,2)</f>
        <v>DB</v>
      </c>
      <c r="I380" s="6" t="str">
        <f aca="false">_xlfn.CONCAT("\x", G380, "\x", H380, "=", F380)</f>
        <v>\x25\xDB=뇬</v>
      </c>
      <c r="M380" s="7" t="s">
        <v>357</v>
      </c>
      <c r="N380" s="6" t="str">
        <f aca="false">_xlfn.CONCAT("\x", DEC2HEX(D380+44, 2), "\x", H380, "=", M380)</f>
        <v>\x2D\xDB=必</v>
      </c>
    </row>
    <row r="381" customFormat="false" ht="12.8" hidden="false" customHeight="true" outlineLevel="0" collapsed="false">
      <c r="C381" s="6" t="n">
        <f aca="false">MOD(ROW()-1, 208)</f>
        <v>172</v>
      </c>
      <c r="D381" s="6" t="n">
        <f aca="false">INT((ROW()-1)/208)</f>
        <v>1</v>
      </c>
      <c r="F381" s="6" t="str">
        <f aca="false">MID(VLOOKUP(D381,$P$1:$Q$13,2,0), 1 + C381,1)</f>
        <v>뇰</v>
      </c>
      <c r="G381" s="6" t="str">
        <f aca="false">DEC2HEX(D381+36, 2)</f>
        <v>25</v>
      </c>
      <c r="H381" s="6" t="str">
        <f aca="false">DEC2HEX(C381+48,2)</f>
        <v>DC</v>
      </c>
      <c r="I381" s="6" t="str">
        <f aca="false">_xlfn.CONCAT("\x", G381, "\x", H381, "=", F381)</f>
        <v>\x25\xDC=뇰</v>
      </c>
      <c r="M381" s="7" t="s">
        <v>358</v>
      </c>
      <c r="N381" s="6" t="str">
        <f aca="false">_xlfn.CONCAT("\x", DEC2HEX(D381+44, 2), "\x", H381, "=", M381)</f>
        <v>\x2D\xDC=氷</v>
      </c>
    </row>
    <row r="382" customFormat="false" ht="12.8" hidden="false" customHeight="true" outlineLevel="0" collapsed="false">
      <c r="C382" s="6" t="n">
        <f aca="false">MOD(ROW()-1, 208)</f>
        <v>173</v>
      </c>
      <c r="D382" s="6" t="n">
        <f aca="false">INT((ROW()-1)/208)</f>
        <v>1</v>
      </c>
      <c r="F382" s="6" t="str">
        <f aca="false">MID(VLOOKUP(D382,$P$1:$Q$13,2,0), 1 + C382,1)</f>
        <v>뇹</v>
      </c>
      <c r="G382" s="6" t="str">
        <f aca="false">DEC2HEX(D382+36, 2)</f>
        <v>25</v>
      </c>
      <c r="H382" s="6" t="str">
        <f aca="false">DEC2HEX(C382+48,2)</f>
        <v>DD</v>
      </c>
      <c r="I382" s="6" t="str">
        <f aca="false">_xlfn.CONCAT("\x", G382, "\x", H382, "=", F382)</f>
        <v>\x25\xDD=뇹</v>
      </c>
      <c r="M382" s="7" t="s">
        <v>359</v>
      </c>
      <c r="N382" s="6" t="str">
        <f aca="false">_xlfn.CONCAT("\x", DEC2HEX(D382+44, 2), "\x", H382, "=", M382)</f>
        <v>\x2D\xDD=漂</v>
      </c>
    </row>
    <row r="383" customFormat="false" ht="12.8" hidden="false" customHeight="true" outlineLevel="0" collapsed="false">
      <c r="C383" s="6" t="n">
        <f aca="false">MOD(ROW()-1, 208)</f>
        <v>174</v>
      </c>
      <c r="D383" s="6" t="n">
        <f aca="false">INT((ROW()-1)/208)</f>
        <v>1</v>
      </c>
      <c r="F383" s="6" t="str">
        <f aca="false">MID(VLOOKUP(D383,$P$1:$Q$13,2,0), 1 + C383,1)</f>
        <v>뇻</v>
      </c>
      <c r="G383" s="6" t="str">
        <f aca="false">DEC2HEX(D383+36, 2)</f>
        <v>25</v>
      </c>
      <c r="H383" s="6" t="str">
        <f aca="false">DEC2HEX(C383+48,2)</f>
        <v>DE</v>
      </c>
      <c r="I383" s="6" t="str">
        <f aca="false">_xlfn.CONCAT("\x", G383, "\x", H383, "=", F383)</f>
        <v>\x25\xDE=뇻</v>
      </c>
      <c r="M383" s="7" t="s">
        <v>360</v>
      </c>
      <c r="N383" s="6" t="str">
        <f aca="false">_xlfn.CONCAT("\x", DEC2HEX(D383+44, 2), "\x", H383, "=", M383)</f>
        <v>\x2D\xDE=表</v>
      </c>
    </row>
    <row r="384" customFormat="false" ht="12.8" hidden="false" customHeight="true" outlineLevel="0" collapsed="false">
      <c r="C384" s="6" t="n">
        <f aca="false">MOD(ROW()-1, 208)</f>
        <v>175</v>
      </c>
      <c r="D384" s="6" t="n">
        <f aca="false">INT((ROW()-1)/208)</f>
        <v>1</v>
      </c>
      <c r="F384" s="6" t="str">
        <f aca="false">MID(VLOOKUP(D384,$P$1:$Q$13,2,0), 1 + C384,1)</f>
        <v>뇽</v>
      </c>
      <c r="G384" s="6" t="str">
        <f aca="false">DEC2HEX(D384+36, 2)</f>
        <v>25</v>
      </c>
      <c r="H384" s="6" t="str">
        <f aca="false">DEC2HEX(C384+48,2)</f>
        <v>DF</v>
      </c>
      <c r="I384" s="6" t="str">
        <f aca="false">_xlfn.CONCAT("\x", G384, "\x", H384, "=", F384)</f>
        <v>\x25\xDF=뇽</v>
      </c>
      <c r="M384" s="7" t="s">
        <v>361</v>
      </c>
      <c r="N384" s="6" t="str">
        <f aca="false">_xlfn.CONCAT("\x", DEC2HEX(D384+44, 2), "\x", H384, "=", M384)</f>
        <v>\x2D\xDF=浜</v>
      </c>
    </row>
    <row r="385" customFormat="false" ht="12.8" hidden="false" customHeight="true" outlineLevel="0" collapsed="false">
      <c r="C385" s="6" t="n">
        <f aca="false">MOD(ROW()-1, 208)</f>
        <v>176</v>
      </c>
      <c r="D385" s="6" t="n">
        <f aca="false">INT((ROW()-1)/208)</f>
        <v>1</v>
      </c>
      <c r="F385" s="6" t="str">
        <f aca="false">MID(VLOOKUP(D385,$P$1:$Q$13,2,0), 1 + C385,1)</f>
        <v>누</v>
      </c>
      <c r="G385" s="6" t="str">
        <f aca="false">DEC2HEX(D385+36, 2)</f>
        <v>25</v>
      </c>
      <c r="H385" s="6" t="str">
        <f aca="false">DEC2HEX(C385+48,2)</f>
        <v>E0</v>
      </c>
      <c r="I385" s="6" t="str">
        <f aca="false">_xlfn.CONCAT("\x", G385, "\x", H385, "=", F385)</f>
        <v>\x25\xE0=누</v>
      </c>
      <c r="M385" s="7" t="s">
        <v>362</v>
      </c>
      <c r="N385" s="6" t="str">
        <f aca="false">_xlfn.CONCAT("\x", DEC2HEX(D385+44, 2), "\x", H385, "=", M385)</f>
        <v>\x2D\xE0=不</v>
      </c>
    </row>
    <row r="386" customFormat="false" ht="12.8" hidden="false" customHeight="true" outlineLevel="0" collapsed="false">
      <c r="C386" s="6" t="n">
        <f aca="false">MOD(ROW()-1, 208)</f>
        <v>177</v>
      </c>
      <c r="D386" s="6" t="n">
        <f aca="false">INT((ROW()-1)/208)</f>
        <v>1</v>
      </c>
      <c r="F386" s="6" t="str">
        <f aca="false">MID(VLOOKUP(D386,$P$1:$Q$13,2,0), 1 + C386,1)</f>
        <v>눅</v>
      </c>
      <c r="G386" s="6" t="str">
        <f aca="false">DEC2HEX(D386+36, 2)</f>
        <v>25</v>
      </c>
      <c r="H386" s="6" t="str">
        <f aca="false">DEC2HEX(C386+48,2)</f>
        <v>E1</v>
      </c>
      <c r="I386" s="6" t="str">
        <f aca="false">_xlfn.CONCAT("\x", G386, "\x", H386, "=", F386)</f>
        <v>\x25\xE1=눅</v>
      </c>
      <c r="M386" s="7" t="s">
        <v>363</v>
      </c>
      <c r="N386" s="6" t="str">
        <f aca="false">_xlfn.CONCAT("\x", DEC2HEX(D386+44, 2), "\x", H386, "=", M386)</f>
        <v>\x2D\xE1=付</v>
      </c>
    </row>
    <row r="387" customFormat="false" ht="12.8" hidden="false" customHeight="true" outlineLevel="0" collapsed="false">
      <c r="C387" s="6" t="n">
        <f aca="false">MOD(ROW()-1, 208)</f>
        <v>178</v>
      </c>
      <c r="D387" s="6" t="n">
        <f aca="false">INT((ROW()-1)/208)</f>
        <v>1</v>
      </c>
      <c r="F387" s="6" t="str">
        <f aca="false">MID(VLOOKUP(D387,$P$1:$Q$13,2,0), 1 + C387,1)</f>
        <v>눈</v>
      </c>
      <c r="G387" s="6" t="str">
        <f aca="false">DEC2HEX(D387+36, 2)</f>
        <v>25</v>
      </c>
      <c r="H387" s="6" t="str">
        <f aca="false">DEC2HEX(C387+48,2)</f>
        <v>E2</v>
      </c>
      <c r="I387" s="6" t="str">
        <f aca="false">_xlfn.CONCAT("\x", G387, "\x", H387, "=", F387)</f>
        <v>\x25\xE2=눈</v>
      </c>
      <c r="M387" s="7" t="s">
        <v>364</v>
      </c>
      <c r="N387" s="6" t="str">
        <f aca="false">_xlfn.CONCAT("\x", DEC2HEX(D387+44, 2), "\x", H387, "=", M387)</f>
        <v>\x2D\xE2=敷</v>
      </c>
    </row>
    <row r="388" customFormat="false" ht="12.8" hidden="false" customHeight="true" outlineLevel="0" collapsed="false">
      <c r="C388" s="6" t="n">
        <f aca="false">MOD(ROW()-1, 208)</f>
        <v>179</v>
      </c>
      <c r="D388" s="6" t="n">
        <f aca="false">INT((ROW()-1)/208)</f>
        <v>1</v>
      </c>
      <c r="F388" s="6" t="str">
        <f aca="false">MID(VLOOKUP(D388,$P$1:$Q$13,2,0), 1 + C388,1)</f>
        <v>눋</v>
      </c>
      <c r="G388" s="6" t="str">
        <f aca="false">DEC2HEX(D388+36, 2)</f>
        <v>25</v>
      </c>
      <c r="H388" s="6" t="str">
        <f aca="false">DEC2HEX(C388+48,2)</f>
        <v>E3</v>
      </c>
      <c r="I388" s="6" t="str">
        <f aca="false">_xlfn.CONCAT("\x", G388, "\x", H388, "=", F388)</f>
        <v>\x25\xE3=눋</v>
      </c>
      <c r="M388" s="7" t="s">
        <v>365</v>
      </c>
      <c r="N388" s="6" t="str">
        <f aca="false">_xlfn.CONCAT("\x", DEC2HEX(D388+44, 2), "\x", H388, "=", M388)</f>
        <v>\x2D\xE3=武</v>
      </c>
    </row>
    <row r="389" customFormat="false" ht="12.8" hidden="false" customHeight="true" outlineLevel="0" collapsed="false">
      <c r="C389" s="6" t="n">
        <f aca="false">MOD(ROW()-1, 208)</f>
        <v>180</v>
      </c>
      <c r="D389" s="6" t="n">
        <f aca="false">INT((ROW()-1)/208)</f>
        <v>1</v>
      </c>
      <c r="F389" s="6" t="str">
        <f aca="false">MID(VLOOKUP(D389,$P$1:$Q$13,2,0), 1 + C389,1)</f>
        <v>눌</v>
      </c>
      <c r="G389" s="6" t="str">
        <f aca="false">DEC2HEX(D389+36, 2)</f>
        <v>25</v>
      </c>
      <c r="H389" s="6" t="str">
        <f aca="false">DEC2HEX(C389+48,2)</f>
        <v>E4</v>
      </c>
      <c r="I389" s="6" t="str">
        <f aca="false">_xlfn.CONCAT("\x", G389, "\x", H389, "=", F389)</f>
        <v>\x25\xE4=눌</v>
      </c>
      <c r="M389" s="7" t="s">
        <v>366</v>
      </c>
      <c r="N389" s="6" t="str">
        <f aca="false">_xlfn.CONCAT("\x", DEC2HEX(D389+44, 2), "\x", H389, "=", M389)</f>
        <v>\x2D\xE4=部</v>
      </c>
    </row>
    <row r="390" customFormat="false" ht="12.8" hidden="false" customHeight="true" outlineLevel="0" collapsed="false">
      <c r="C390" s="6" t="n">
        <f aca="false">MOD(ROW()-1, 208)</f>
        <v>181</v>
      </c>
      <c r="D390" s="6" t="n">
        <f aca="false">INT((ROW()-1)/208)</f>
        <v>1</v>
      </c>
      <c r="F390" s="6" t="str">
        <f aca="false">MID(VLOOKUP(D390,$P$1:$Q$13,2,0), 1 + C390,1)</f>
        <v>눔</v>
      </c>
      <c r="G390" s="6" t="str">
        <f aca="false">DEC2HEX(D390+36, 2)</f>
        <v>25</v>
      </c>
      <c r="H390" s="6" t="str">
        <f aca="false">DEC2HEX(C390+48,2)</f>
        <v>E5</v>
      </c>
      <c r="I390" s="6" t="str">
        <f aca="false">_xlfn.CONCAT("\x", G390, "\x", H390, "=", F390)</f>
        <v>\x25\xE5=눔</v>
      </c>
      <c r="M390" s="7" t="s">
        <v>367</v>
      </c>
      <c r="N390" s="6" t="str">
        <f aca="false">_xlfn.CONCAT("\x", DEC2HEX(D390+44, 2), "\x", H390, "=", M390)</f>
        <v>\x2D\xE5=復</v>
      </c>
    </row>
    <row r="391" customFormat="false" ht="12.8" hidden="false" customHeight="true" outlineLevel="0" collapsed="false">
      <c r="C391" s="6" t="n">
        <f aca="false">MOD(ROW()-1, 208)</f>
        <v>182</v>
      </c>
      <c r="D391" s="6" t="n">
        <f aca="false">INT((ROW()-1)/208)</f>
        <v>1</v>
      </c>
      <c r="F391" s="6" t="str">
        <f aca="false">MID(VLOOKUP(D391,$P$1:$Q$13,2,0), 1 + C391,1)</f>
        <v>눕</v>
      </c>
      <c r="G391" s="6" t="str">
        <f aca="false">DEC2HEX(D391+36, 2)</f>
        <v>25</v>
      </c>
      <c r="H391" s="6" t="str">
        <f aca="false">DEC2HEX(C391+48,2)</f>
        <v>E6</v>
      </c>
      <c r="I391" s="6" t="str">
        <f aca="false">_xlfn.CONCAT("\x", G391, "\x", H391, "=", F391)</f>
        <v>\x25\xE6=눕</v>
      </c>
      <c r="M391" s="7" t="s">
        <v>368</v>
      </c>
      <c r="N391" s="6" t="str">
        <f aca="false">_xlfn.CONCAT("\x", DEC2HEX(D391+44, 2), "\x", H391, "=", M391)</f>
        <v>\x2D\xE6=物</v>
      </c>
    </row>
    <row r="392" customFormat="false" ht="12.8" hidden="false" customHeight="true" outlineLevel="0" collapsed="false">
      <c r="C392" s="6" t="n">
        <f aca="false">MOD(ROW()-1, 208)</f>
        <v>183</v>
      </c>
      <c r="D392" s="6" t="n">
        <f aca="false">INT((ROW()-1)/208)</f>
        <v>1</v>
      </c>
      <c r="F392" s="6" t="str">
        <f aca="false">MID(VLOOKUP(D392,$P$1:$Q$13,2,0), 1 + C392,1)</f>
        <v>눗</v>
      </c>
      <c r="G392" s="6" t="str">
        <f aca="false">DEC2HEX(D392+36, 2)</f>
        <v>25</v>
      </c>
      <c r="H392" s="6" t="str">
        <f aca="false">DEC2HEX(C392+48,2)</f>
        <v>E7</v>
      </c>
      <c r="I392" s="6" t="str">
        <f aca="false">_xlfn.CONCAT("\x", G392, "\x", H392, "=", F392)</f>
        <v>\x25\xE7=눗</v>
      </c>
      <c r="M392" s="7" t="s">
        <v>369</v>
      </c>
      <c r="N392" s="6" t="str">
        <f aca="false">_xlfn.CONCAT("\x", DEC2HEX(D392+44, 2), "\x", H392, "=", M392)</f>
        <v>\x2D\xE7=分</v>
      </c>
    </row>
    <row r="393" customFormat="false" ht="12.8" hidden="false" customHeight="true" outlineLevel="0" collapsed="false">
      <c r="C393" s="6" t="n">
        <f aca="false">MOD(ROW()-1, 208)</f>
        <v>184</v>
      </c>
      <c r="D393" s="6" t="n">
        <f aca="false">INT((ROW()-1)/208)</f>
        <v>1</v>
      </c>
      <c r="F393" s="6" t="str">
        <f aca="false">MID(VLOOKUP(D393,$P$1:$Q$13,2,0), 1 + C393,1)</f>
        <v>눙</v>
      </c>
      <c r="G393" s="6" t="str">
        <f aca="false">DEC2HEX(D393+36, 2)</f>
        <v>25</v>
      </c>
      <c r="H393" s="6" t="str">
        <f aca="false">DEC2HEX(C393+48,2)</f>
        <v>E8</v>
      </c>
      <c r="I393" s="6" t="str">
        <f aca="false">_xlfn.CONCAT("\x", G393, "\x", H393, "=", F393)</f>
        <v>\x25\xE8=눙</v>
      </c>
      <c r="M393" s="7" t="s">
        <v>370</v>
      </c>
      <c r="N393" s="6" t="str">
        <f aca="false">_xlfn.CONCAT("\x", DEC2HEX(D393+44, 2), "\x", H393, "=", M393)</f>
        <v>\x2D\xE8=兵</v>
      </c>
    </row>
    <row r="394" customFormat="false" ht="12.8" hidden="false" customHeight="true" outlineLevel="0" collapsed="false">
      <c r="C394" s="6" t="n">
        <f aca="false">MOD(ROW()-1, 208)</f>
        <v>185</v>
      </c>
      <c r="D394" s="6" t="n">
        <f aca="false">INT((ROW()-1)/208)</f>
        <v>1</v>
      </c>
      <c r="F394" s="6" t="str">
        <f aca="false">MID(VLOOKUP(D394,$P$1:$Q$13,2,0), 1 + C394,1)</f>
        <v>눠</v>
      </c>
      <c r="G394" s="6" t="str">
        <f aca="false">DEC2HEX(D394+36, 2)</f>
        <v>25</v>
      </c>
      <c r="H394" s="6" t="str">
        <f aca="false">DEC2HEX(C394+48,2)</f>
        <v>E9</v>
      </c>
      <c r="I394" s="6" t="str">
        <f aca="false">_xlfn.CONCAT("\x", G394, "\x", H394, "=", F394)</f>
        <v>\x25\xE9=눠</v>
      </c>
      <c r="M394" s="7" t="s">
        <v>371</v>
      </c>
      <c r="N394" s="6" t="str">
        <f aca="false">_xlfn.CONCAT("\x", DEC2HEX(D394+44, 2), "\x", H394, "=", M394)</f>
        <v>\x2D\xE9=平</v>
      </c>
    </row>
    <row r="395" customFormat="false" ht="12.8" hidden="false" customHeight="true" outlineLevel="0" collapsed="false">
      <c r="C395" s="6" t="n">
        <f aca="false">MOD(ROW()-1, 208)</f>
        <v>186</v>
      </c>
      <c r="D395" s="6" t="n">
        <f aca="false">INT((ROW()-1)/208)</f>
        <v>1</v>
      </c>
      <c r="F395" s="6" t="str">
        <f aca="false">MID(VLOOKUP(D395,$P$1:$Q$13,2,0), 1 + C395,1)</f>
        <v>눴</v>
      </c>
      <c r="G395" s="6" t="str">
        <f aca="false">DEC2HEX(D395+36, 2)</f>
        <v>25</v>
      </c>
      <c r="H395" s="6" t="str">
        <f aca="false">DEC2HEX(C395+48,2)</f>
        <v>EA</v>
      </c>
      <c r="I395" s="6" t="str">
        <f aca="false">_xlfn.CONCAT("\x", G395, "\x", H395, "=", F395)</f>
        <v>\x25\xEA=눴</v>
      </c>
      <c r="M395" s="7" t="s">
        <v>372</v>
      </c>
      <c r="N395" s="6" t="str">
        <f aca="false">_xlfn.CONCAT("\x", DEC2HEX(D395+44, 2), "\x", H395, "=", M395)</f>
        <v>\x2D\xEA=壁</v>
      </c>
    </row>
    <row r="396" customFormat="false" ht="12.8" hidden="false" customHeight="true" outlineLevel="0" collapsed="false">
      <c r="C396" s="6" t="n">
        <f aca="false">MOD(ROW()-1, 208)</f>
        <v>187</v>
      </c>
      <c r="D396" s="6" t="n">
        <f aca="false">INT((ROW()-1)/208)</f>
        <v>1</v>
      </c>
      <c r="F396" s="6" t="str">
        <f aca="false">MID(VLOOKUP(D396,$P$1:$Q$13,2,0), 1 + C396,1)</f>
        <v>눼</v>
      </c>
      <c r="G396" s="6" t="str">
        <f aca="false">DEC2HEX(D396+36, 2)</f>
        <v>25</v>
      </c>
      <c r="H396" s="6" t="str">
        <f aca="false">DEC2HEX(C396+48,2)</f>
        <v>EB</v>
      </c>
      <c r="I396" s="6" t="str">
        <f aca="false">_xlfn.CONCAT("\x", G396, "\x", H396, "=", F396)</f>
        <v>\x25\xEB=눼</v>
      </c>
      <c r="M396" s="7" t="s">
        <v>373</v>
      </c>
      <c r="N396" s="6" t="str">
        <f aca="false">_xlfn.CONCAT("\x", DEC2HEX(D396+44, 2), "\x", H396, "=", M396)</f>
        <v>\x2D\xEB=変</v>
      </c>
    </row>
    <row r="397" customFormat="false" ht="12.8" hidden="false" customHeight="true" outlineLevel="0" collapsed="false">
      <c r="C397" s="6" t="n">
        <f aca="false">MOD(ROW()-1, 208)</f>
        <v>188</v>
      </c>
      <c r="D397" s="6" t="n">
        <f aca="false">INT((ROW()-1)/208)</f>
        <v>1</v>
      </c>
      <c r="F397" s="6" t="str">
        <f aca="false">MID(VLOOKUP(D397,$P$1:$Q$13,2,0), 1 + C397,1)</f>
        <v>뉘</v>
      </c>
      <c r="G397" s="6" t="str">
        <f aca="false">DEC2HEX(D397+36, 2)</f>
        <v>25</v>
      </c>
      <c r="H397" s="6" t="str">
        <f aca="false">DEC2HEX(C397+48,2)</f>
        <v>EC</v>
      </c>
      <c r="I397" s="6" t="str">
        <f aca="false">_xlfn.CONCAT("\x", G397, "\x", H397, "=", F397)</f>
        <v>\x25\xEC=뉘</v>
      </c>
      <c r="M397" s="7" t="s">
        <v>374</v>
      </c>
      <c r="N397" s="6" t="str">
        <f aca="false">_xlfn.CONCAT("\x", DEC2HEX(D397+44, 2), "\x", H397, "=", M397)</f>
        <v>\x2D\xEC=辺</v>
      </c>
    </row>
    <row r="398" customFormat="false" ht="12.8" hidden="false" customHeight="true" outlineLevel="0" collapsed="false">
      <c r="C398" s="6" t="n">
        <f aca="false">MOD(ROW()-1, 208)</f>
        <v>189</v>
      </c>
      <c r="D398" s="6" t="n">
        <f aca="false">INT((ROW()-1)/208)</f>
        <v>1</v>
      </c>
      <c r="F398" s="6" t="str">
        <f aca="false">MID(VLOOKUP(D398,$P$1:$Q$13,2,0), 1 + C398,1)</f>
        <v>뉜</v>
      </c>
      <c r="G398" s="6" t="str">
        <f aca="false">DEC2HEX(D398+36, 2)</f>
        <v>25</v>
      </c>
      <c r="H398" s="6" t="str">
        <f aca="false">DEC2HEX(C398+48,2)</f>
        <v>ED</v>
      </c>
      <c r="I398" s="6" t="str">
        <f aca="false">_xlfn.CONCAT("\x", G398, "\x", H398, "=", F398)</f>
        <v>\x25\xED=뉜</v>
      </c>
      <c r="M398" s="7" t="s">
        <v>375</v>
      </c>
      <c r="N398" s="6" t="str">
        <f aca="false">_xlfn.CONCAT("\x", DEC2HEX(D398+44, 2), "\x", H398, "=", M398)</f>
        <v>\x2D\xED=歩</v>
      </c>
    </row>
    <row r="399" customFormat="false" ht="12.8" hidden="false" customHeight="true" outlineLevel="0" collapsed="false">
      <c r="C399" s="6" t="n">
        <f aca="false">MOD(ROW()-1, 208)</f>
        <v>190</v>
      </c>
      <c r="D399" s="6" t="n">
        <f aca="false">INT((ROW()-1)/208)</f>
        <v>1</v>
      </c>
      <c r="F399" s="6" t="str">
        <f aca="false">MID(VLOOKUP(D399,$P$1:$Q$13,2,0), 1 + C399,1)</f>
        <v>뉠</v>
      </c>
      <c r="G399" s="6" t="str">
        <f aca="false">DEC2HEX(D399+36, 2)</f>
        <v>25</v>
      </c>
      <c r="H399" s="6" t="str">
        <f aca="false">DEC2HEX(C399+48,2)</f>
        <v>EE</v>
      </c>
      <c r="I399" s="6" t="str">
        <f aca="false">_xlfn.CONCAT("\x", G399, "\x", H399, "=", F399)</f>
        <v>\x25\xEE=뉠</v>
      </c>
      <c r="M399" s="7" t="s">
        <v>376</v>
      </c>
      <c r="N399" s="6" t="str">
        <f aca="false">_xlfn.CONCAT("\x", DEC2HEX(D399+44, 2), "\x", H399, "=", M399)</f>
        <v>\x2D\xEE=補</v>
      </c>
    </row>
    <row r="400" customFormat="false" ht="12.8" hidden="false" customHeight="true" outlineLevel="0" collapsed="false">
      <c r="C400" s="6" t="n">
        <f aca="false">MOD(ROW()-1, 208)</f>
        <v>191</v>
      </c>
      <c r="D400" s="6" t="n">
        <f aca="false">INT((ROW()-1)/208)</f>
        <v>1</v>
      </c>
      <c r="F400" s="6" t="str">
        <f aca="false">MID(VLOOKUP(D400,$P$1:$Q$13,2,0), 1 + C400,1)</f>
        <v>뉨</v>
      </c>
      <c r="G400" s="6" t="str">
        <f aca="false">DEC2HEX(D400+36, 2)</f>
        <v>25</v>
      </c>
      <c r="H400" s="6" t="str">
        <f aca="false">DEC2HEX(C400+48,2)</f>
        <v>EF</v>
      </c>
      <c r="I400" s="6" t="str">
        <f aca="false">_xlfn.CONCAT("\x", G400, "\x", H400, "=", F400)</f>
        <v>\x25\xEF=뉨</v>
      </c>
      <c r="M400" s="7" t="s">
        <v>377</v>
      </c>
      <c r="N400" s="6" t="str">
        <f aca="false">_xlfn.CONCAT("\x", DEC2HEX(D400+44, 2), "\x", H400, "=", M400)</f>
        <v>\x2D\xEF=報</v>
      </c>
    </row>
    <row r="401" customFormat="false" ht="12.8" hidden="false" customHeight="true" outlineLevel="0" collapsed="false">
      <c r="C401" s="6" t="n">
        <f aca="false">MOD(ROW()-1, 208)</f>
        <v>192</v>
      </c>
      <c r="D401" s="6" t="n">
        <f aca="false">INT((ROW()-1)/208)</f>
        <v>1</v>
      </c>
      <c r="F401" s="6" t="str">
        <f aca="false">MID(VLOOKUP(D401,$P$1:$Q$13,2,0), 1 + C401,1)</f>
        <v>뉩</v>
      </c>
      <c r="G401" s="6" t="str">
        <f aca="false">DEC2HEX(D401+36, 2)</f>
        <v>25</v>
      </c>
      <c r="H401" s="6" t="str">
        <f aca="false">DEC2HEX(C401+48,2)</f>
        <v>F0</v>
      </c>
      <c r="I401" s="6" t="str">
        <f aca="false">_xlfn.CONCAT("\x", G401, "\x", H401, "=", F401)</f>
        <v>\x25\xF0=뉩</v>
      </c>
      <c r="M401" s="7" t="s">
        <v>378</v>
      </c>
      <c r="N401" s="6" t="str">
        <f aca="false">_xlfn.CONCAT("\x", DEC2HEX(D401+44, 2), "\x", H401, "=", M401)</f>
        <v>\x2D\xF0=宝</v>
      </c>
    </row>
    <row r="402" customFormat="false" ht="12.8" hidden="false" customHeight="true" outlineLevel="0" collapsed="false">
      <c r="C402" s="6" t="n">
        <f aca="false">MOD(ROW()-1, 208)</f>
        <v>193</v>
      </c>
      <c r="D402" s="6" t="n">
        <f aca="false">INT((ROW()-1)/208)</f>
        <v>1</v>
      </c>
      <c r="F402" s="6" t="str">
        <f aca="false">MID(VLOOKUP(D402,$P$1:$Q$13,2,0), 1 + C402,1)</f>
        <v>뉴</v>
      </c>
      <c r="G402" s="6" t="str">
        <f aca="false">DEC2HEX(D402+36, 2)</f>
        <v>25</v>
      </c>
      <c r="H402" s="6" t="str">
        <f aca="false">DEC2HEX(C402+48,2)</f>
        <v>F1</v>
      </c>
      <c r="I402" s="6" t="str">
        <f aca="false">_xlfn.CONCAT("\x", G402, "\x", H402, "=", F402)</f>
        <v>\x25\xF1=뉴</v>
      </c>
      <c r="M402" s="7" t="s">
        <v>379</v>
      </c>
      <c r="N402" s="6" t="str">
        <f aca="false">_xlfn.CONCAT("\x", DEC2HEX(D402+44, 2), "\x", H402, "=", M402)</f>
        <v>\x2D\xF1=方</v>
      </c>
    </row>
    <row r="403" customFormat="false" ht="12.8" hidden="false" customHeight="true" outlineLevel="0" collapsed="false">
      <c r="C403" s="6" t="n">
        <f aca="false">MOD(ROW()-1, 208)</f>
        <v>194</v>
      </c>
      <c r="D403" s="6" t="n">
        <f aca="false">INT((ROW()-1)/208)</f>
        <v>1</v>
      </c>
      <c r="F403" s="6" t="str">
        <f aca="false">MID(VLOOKUP(D403,$P$1:$Q$13,2,0), 1 + C403,1)</f>
        <v>뉵</v>
      </c>
      <c r="G403" s="6" t="str">
        <f aca="false">DEC2HEX(D403+36, 2)</f>
        <v>25</v>
      </c>
      <c r="H403" s="6" t="str">
        <f aca="false">DEC2HEX(C403+48,2)</f>
        <v>F2</v>
      </c>
      <c r="I403" s="6" t="str">
        <f aca="false">_xlfn.CONCAT("\x", G403, "\x", H403, "=", F403)</f>
        <v>\x25\xF2=뉵</v>
      </c>
      <c r="M403" s="7" t="s">
        <v>380</v>
      </c>
      <c r="N403" s="6" t="str">
        <f aca="false">_xlfn.CONCAT("\x", DEC2HEX(D403+44, 2), "\x", H403, "=", M403)</f>
        <v>\x2D\xF2=法</v>
      </c>
    </row>
    <row r="404" customFormat="false" ht="12.8" hidden="false" customHeight="true" outlineLevel="0" collapsed="false">
      <c r="C404" s="6" t="n">
        <f aca="false">MOD(ROW()-1, 208)</f>
        <v>195</v>
      </c>
      <c r="D404" s="6" t="n">
        <f aca="false">INT((ROW()-1)/208)</f>
        <v>1</v>
      </c>
      <c r="F404" s="6" t="str">
        <f aca="false">MID(VLOOKUP(D404,$P$1:$Q$13,2,0), 1 + C404,1)</f>
        <v>뉼</v>
      </c>
      <c r="G404" s="6" t="str">
        <f aca="false">DEC2HEX(D404+36, 2)</f>
        <v>25</v>
      </c>
      <c r="H404" s="6" t="str">
        <f aca="false">DEC2HEX(C404+48,2)</f>
        <v>F3</v>
      </c>
      <c r="I404" s="6" t="str">
        <f aca="false">_xlfn.CONCAT("\x", G404, "\x", H404, "=", F404)</f>
        <v>\x25\xF3=뉼</v>
      </c>
      <c r="M404" s="7" t="s">
        <v>381</v>
      </c>
      <c r="N404" s="6" t="str">
        <f aca="false">_xlfn.CONCAT("\x", DEC2HEX(D404+44, 2), "\x", H404, "=", M404)</f>
        <v>\x2D\xF3=砲</v>
      </c>
    </row>
    <row r="405" customFormat="false" ht="12.8" hidden="false" customHeight="true" outlineLevel="0" collapsed="false">
      <c r="C405" s="6" t="n">
        <f aca="false">MOD(ROW()-1, 208)</f>
        <v>196</v>
      </c>
      <c r="D405" s="6" t="n">
        <f aca="false">INT((ROW()-1)/208)</f>
        <v>1</v>
      </c>
      <c r="F405" s="6" t="str">
        <f aca="false">MID(VLOOKUP(D405,$P$1:$Q$13,2,0), 1 + C405,1)</f>
        <v>늄</v>
      </c>
      <c r="G405" s="6" t="str">
        <f aca="false">DEC2HEX(D405+36, 2)</f>
        <v>25</v>
      </c>
      <c r="H405" s="6" t="str">
        <f aca="false">DEC2HEX(C405+48,2)</f>
        <v>F4</v>
      </c>
      <c r="I405" s="6" t="str">
        <f aca="false">_xlfn.CONCAT("\x", G405, "\x", H405, "=", F405)</f>
        <v>\x25\xF4=늄</v>
      </c>
      <c r="M405" s="7" t="s">
        <v>382</v>
      </c>
      <c r="N405" s="6" t="str">
        <f aca="false">_xlfn.CONCAT("\x", DEC2HEX(D405+44, 2), "\x", H405, "=", M405)</f>
        <v>\x2D\xF4=防</v>
      </c>
    </row>
    <row r="406" customFormat="false" ht="12.8" hidden="false" customHeight="true" outlineLevel="0" collapsed="false">
      <c r="C406" s="6" t="n">
        <f aca="false">MOD(ROW()-1, 208)</f>
        <v>197</v>
      </c>
      <c r="D406" s="6" t="n">
        <f aca="false">INT((ROW()-1)/208)</f>
        <v>1</v>
      </c>
      <c r="F406" s="6" t="str">
        <f aca="false">MID(VLOOKUP(D406,$P$1:$Q$13,2,0), 1 + C406,1)</f>
        <v>늅</v>
      </c>
      <c r="G406" s="6" t="str">
        <f aca="false">DEC2HEX(D406+36, 2)</f>
        <v>25</v>
      </c>
      <c r="H406" s="6" t="str">
        <f aca="false">DEC2HEX(C406+48,2)</f>
        <v>F5</v>
      </c>
      <c r="I406" s="6" t="str">
        <f aca="false">_xlfn.CONCAT("\x", G406, "\x", H406, "=", F406)</f>
        <v>\x25\xF5=늅</v>
      </c>
      <c r="M406" s="7" t="s">
        <v>383</v>
      </c>
      <c r="N406" s="6" t="str">
        <f aca="false">_xlfn.CONCAT("\x", DEC2HEX(D406+44, 2), "\x", H406, "=", M406)</f>
        <v>\x2D\xF5=北</v>
      </c>
    </row>
    <row r="407" customFormat="false" ht="12.8" hidden="false" customHeight="true" outlineLevel="0" collapsed="false">
      <c r="C407" s="6" t="n">
        <f aca="false">MOD(ROW()-1, 208)</f>
        <v>198</v>
      </c>
      <c r="D407" s="6" t="n">
        <f aca="false">INT((ROW()-1)/208)</f>
        <v>1</v>
      </c>
      <c r="F407" s="6" t="str">
        <f aca="false">MID(VLOOKUP(D407,$P$1:$Q$13,2,0), 1 + C407,1)</f>
        <v>늉</v>
      </c>
      <c r="G407" s="6" t="str">
        <f aca="false">DEC2HEX(D407+36, 2)</f>
        <v>25</v>
      </c>
      <c r="H407" s="6" t="str">
        <f aca="false">DEC2HEX(C407+48,2)</f>
        <v>F6</v>
      </c>
      <c r="I407" s="6" t="str">
        <f aca="false">_xlfn.CONCAT("\x", G407, "\x", H407, "=", F407)</f>
        <v>\x25\xF6=늉</v>
      </c>
      <c r="M407" s="7" t="s">
        <v>384</v>
      </c>
      <c r="N407" s="6" t="str">
        <f aca="false">_xlfn.CONCAT("\x", DEC2HEX(D407+44, 2), "\x", H407, "=", M407)</f>
        <v>\x2D\xF6=堀</v>
      </c>
    </row>
    <row r="408" customFormat="false" ht="12.8" hidden="false" customHeight="true" outlineLevel="0" collapsed="false">
      <c r="C408" s="6" t="n">
        <f aca="false">MOD(ROW()-1, 208)</f>
        <v>199</v>
      </c>
      <c r="D408" s="6" t="n">
        <f aca="false">INT((ROW()-1)/208)</f>
        <v>1</v>
      </c>
      <c r="F408" s="6" t="str">
        <f aca="false">MID(VLOOKUP(D408,$P$1:$Q$13,2,0), 1 + C408,1)</f>
        <v>느</v>
      </c>
      <c r="G408" s="6" t="str">
        <f aca="false">DEC2HEX(D408+36, 2)</f>
        <v>25</v>
      </c>
      <c r="H408" s="6" t="str">
        <f aca="false">DEC2HEX(C408+48,2)</f>
        <v>F7</v>
      </c>
      <c r="I408" s="6" t="str">
        <f aca="false">_xlfn.CONCAT("\x", G408, "\x", H408, "=", F408)</f>
        <v>\x25\xF7=느</v>
      </c>
      <c r="M408" s="7" t="s">
        <v>385</v>
      </c>
      <c r="N408" s="6" t="str">
        <f aca="false">_xlfn.CONCAT("\x", DEC2HEX(D408+44, 2), "\x", H408, "=", M408)</f>
        <v>\x2D\xF7=本</v>
      </c>
    </row>
    <row r="409" customFormat="false" ht="12.8" hidden="false" customHeight="true" outlineLevel="0" collapsed="false">
      <c r="C409" s="6" t="n">
        <f aca="false">MOD(ROW()-1, 208)</f>
        <v>200</v>
      </c>
      <c r="D409" s="6" t="n">
        <f aca="false">INT((ROW()-1)/208)</f>
        <v>1</v>
      </c>
      <c r="F409" s="6" t="str">
        <f aca="false">MID(VLOOKUP(D409,$P$1:$Q$13,2,0), 1 + C409,1)</f>
        <v>늑</v>
      </c>
      <c r="G409" s="6" t="str">
        <f aca="false">DEC2HEX(D409+36, 2)</f>
        <v>25</v>
      </c>
      <c r="H409" s="6" t="str">
        <f aca="false">DEC2HEX(C409+48,2)</f>
        <v>F8</v>
      </c>
      <c r="I409" s="6" t="str">
        <f aca="false">_xlfn.CONCAT("\x", G409, "\x", H409, "=", F409)</f>
        <v>\x25\xF8=늑</v>
      </c>
      <c r="M409" s="7" t="s">
        <v>386</v>
      </c>
      <c r="N409" s="6" t="str">
        <f aca="false">_xlfn.CONCAT("\x", DEC2HEX(D409+44, 2), "\x", H409, "=", M409)</f>
        <v>\x2D\xF8=魔</v>
      </c>
    </row>
    <row r="410" customFormat="false" ht="12.8" hidden="false" customHeight="true" outlineLevel="0" collapsed="false">
      <c r="C410" s="6" t="n">
        <f aca="false">MOD(ROW()-1, 208)</f>
        <v>201</v>
      </c>
      <c r="D410" s="6" t="n">
        <f aca="false">INT((ROW()-1)/208)</f>
        <v>1</v>
      </c>
      <c r="F410" s="6" t="str">
        <f aca="false">MID(VLOOKUP(D410,$P$1:$Q$13,2,0), 1 + C410,1)</f>
        <v>는</v>
      </c>
      <c r="G410" s="6" t="str">
        <f aca="false">DEC2HEX(D410+36, 2)</f>
        <v>25</v>
      </c>
      <c r="H410" s="6" t="str">
        <f aca="false">DEC2HEX(C410+48,2)</f>
        <v>F9</v>
      </c>
      <c r="I410" s="6" t="str">
        <f aca="false">_xlfn.CONCAT("\x", G410, "\x", H410, "=", F410)</f>
        <v>\x25\xF9=는</v>
      </c>
      <c r="M410" s="7" t="s">
        <v>387</v>
      </c>
      <c r="N410" s="6" t="str">
        <f aca="false">_xlfn.CONCAT("\x", DEC2HEX(D410+44, 2), "\x", H410, "=", M410)</f>
        <v>\x2D\xF9=幕</v>
      </c>
    </row>
    <row r="411" customFormat="false" ht="12.8" hidden="false" customHeight="true" outlineLevel="0" collapsed="false">
      <c r="C411" s="6" t="n">
        <f aca="false">MOD(ROW()-1, 208)</f>
        <v>202</v>
      </c>
      <c r="D411" s="6" t="n">
        <f aca="false">INT((ROW()-1)/208)</f>
        <v>1</v>
      </c>
      <c r="F411" s="6" t="str">
        <f aca="false">MID(VLOOKUP(D411,$P$1:$Q$13,2,0), 1 + C411,1)</f>
        <v>늘</v>
      </c>
      <c r="G411" s="6" t="str">
        <f aca="false">DEC2HEX(D411+36, 2)</f>
        <v>25</v>
      </c>
      <c r="H411" s="6" t="str">
        <f aca="false">DEC2HEX(C411+48,2)</f>
        <v>FA</v>
      </c>
      <c r="I411" s="6" t="str">
        <f aca="false">_xlfn.CONCAT("\x", G411, "\x", H411, "=", F411)</f>
        <v>\x25\xFA=늘</v>
      </c>
      <c r="M411" s="7" t="s">
        <v>388</v>
      </c>
      <c r="N411" s="6" t="str">
        <f aca="false">_xlfn.CONCAT("\x", DEC2HEX(D411+44, 2), "\x", H411, "=", M411)</f>
        <v>\x2D\xFA=万</v>
      </c>
    </row>
    <row r="412" customFormat="false" ht="12.8" hidden="false" customHeight="true" outlineLevel="0" collapsed="false">
      <c r="C412" s="6" t="n">
        <f aca="false">MOD(ROW()-1, 208)</f>
        <v>203</v>
      </c>
      <c r="D412" s="6" t="n">
        <f aca="false">INT((ROW()-1)/208)</f>
        <v>1</v>
      </c>
      <c r="F412" s="6" t="str">
        <f aca="false">MID(VLOOKUP(D412,$P$1:$Q$13,2,0), 1 + C412,1)</f>
        <v>늙</v>
      </c>
      <c r="G412" s="6" t="str">
        <f aca="false">DEC2HEX(D412+36, 2)</f>
        <v>25</v>
      </c>
      <c r="H412" s="6" t="str">
        <f aca="false">DEC2HEX(C412+48,2)</f>
        <v>FB</v>
      </c>
      <c r="I412" s="6" t="str">
        <f aca="false">_xlfn.CONCAT("\x", G412, "\x", H412, "=", F412)</f>
        <v>\x25\xFB=늙</v>
      </c>
      <c r="M412" s="7" t="s">
        <v>389</v>
      </c>
      <c r="N412" s="6" t="str">
        <f aca="false">_xlfn.CONCAT("\x", DEC2HEX(D412+44, 2), "\x", H412, "=", M412)</f>
        <v>\x2D\xFB=満</v>
      </c>
    </row>
    <row r="413" customFormat="false" ht="12.8" hidden="false" customHeight="true" outlineLevel="0" collapsed="false">
      <c r="C413" s="6" t="n">
        <f aca="false">MOD(ROW()-1, 208)</f>
        <v>204</v>
      </c>
      <c r="D413" s="6" t="n">
        <f aca="false">INT((ROW()-1)/208)</f>
        <v>1</v>
      </c>
      <c r="F413" s="6" t="str">
        <f aca="false">MID(VLOOKUP(D413,$P$1:$Q$13,2,0), 1 + C413,1)</f>
        <v>늚</v>
      </c>
      <c r="G413" s="6" t="str">
        <f aca="false">DEC2HEX(D413+36, 2)</f>
        <v>25</v>
      </c>
      <c r="H413" s="6" t="str">
        <f aca="false">DEC2HEX(C413+48,2)</f>
        <v>FC</v>
      </c>
      <c r="I413" s="6" t="str">
        <f aca="false">_xlfn.CONCAT("\x", G413, "\x", H413, "=", F413)</f>
        <v>\x25\xFC=늚</v>
      </c>
      <c r="M413" s="7" t="s">
        <v>390</v>
      </c>
      <c r="N413" s="6" t="str">
        <f aca="false">_xlfn.CONCAT("\x", DEC2HEX(D413+44, 2), "\x", H413, "=", M413)</f>
        <v>\x2D\xFC=味</v>
      </c>
    </row>
    <row r="414" customFormat="false" ht="12.8" hidden="false" customHeight="true" outlineLevel="0" collapsed="false">
      <c r="C414" s="6" t="n">
        <f aca="false">MOD(ROW()-1, 208)</f>
        <v>205</v>
      </c>
      <c r="D414" s="6" t="n">
        <f aca="false">INT((ROW()-1)/208)</f>
        <v>1</v>
      </c>
      <c r="F414" s="6" t="str">
        <f aca="false">MID(VLOOKUP(D414,$P$1:$Q$13,2,0), 1 + C414,1)</f>
        <v>늠</v>
      </c>
      <c r="G414" s="6" t="str">
        <f aca="false">DEC2HEX(D414+36, 2)</f>
        <v>25</v>
      </c>
      <c r="H414" s="6" t="str">
        <f aca="false">DEC2HEX(C414+48,2)</f>
        <v>FD</v>
      </c>
      <c r="I414" s="6" t="str">
        <f aca="false">_xlfn.CONCAT("\x", G414, "\x", H414, "=", F414)</f>
        <v>\x25\xFD=늠</v>
      </c>
      <c r="M414" s="7" t="s">
        <v>391</v>
      </c>
      <c r="N414" s="6" t="str">
        <f aca="false">_xlfn.CONCAT("\x", DEC2HEX(D414+44, 2), "\x", H414, "=", M414)</f>
        <v>\x2D\xFD=未</v>
      </c>
    </row>
    <row r="415" customFormat="false" ht="12.8" hidden="false" customHeight="true" outlineLevel="0" collapsed="false">
      <c r="C415" s="6" t="n">
        <f aca="false">MOD(ROW()-1, 208)</f>
        <v>206</v>
      </c>
      <c r="D415" s="6" t="n">
        <f aca="false">INT((ROW()-1)/208)</f>
        <v>1</v>
      </c>
      <c r="F415" s="6" t="str">
        <f aca="false">MID(VLOOKUP(D415,$P$1:$Q$13,2,0), 1 + C415,1)</f>
        <v>늡</v>
      </c>
      <c r="G415" s="6" t="str">
        <f aca="false">DEC2HEX(D415+36, 2)</f>
        <v>25</v>
      </c>
      <c r="H415" s="6" t="str">
        <f aca="false">DEC2HEX(C415+48,2)</f>
        <v>FE</v>
      </c>
      <c r="I415" s="6" t="str">
        <f aca="false">_xlfn.CONCAT("\x", G415, "\x", H415, "=", F415)</f>
        <v>\x25\xFE=늡</v>
      </c>
      <c r="M415" s="7" t="s">
        <v>392</v>
      </c>
      <c r="N415" s="6" t="str">
        <f aca="false">_xlfn.CONCAT("\x", DEC2HEX(D415+44, 2), "\x", H415, "=", M415)</f>
        <v>\x2D\xFE=民</v>
      </c>
    </row>
    <row r="416" customFormat="false" ht="12.8" hidden="false" customHeight="true" outlineLevel="0" collapsed="false">
      <c r="C416" s="6" t="n">
        <f aca="false">MOD(ROW()-1, 208)</f>
        <v>207</v>
      </c>
      <c r="D416" s="6" t="n">
        <f aca="false">INT((ROW()-1)/208)</f>
        <v>1</v>
      </c>
      <c r="F416" s="6" t="str">
        <f aca="false">MID(VLOOKUP(D416,$P$1:$Q$13,2,0), 1 + C416,1)</f>
        <v>늣</v>
      </c>
      <c r="G416" s="6" t="str">
        <f aca="false">DEC2HEX(D416+36, 2)</f>
        <v>25</v>
      </c>
      <c r="H416" s="6" t="str">
        <f aca="false">DEC2HEX(C416+48,2)</f>
        <v>FF</v>
      </c>
      <c r="I416" s="6" t="str">
        <f aca="false">_xlfn.CONCAT("\x", G416, "\x", H416, "=", F416)</f>
        <v>\x25\xFF=늣</v>
      </c>
      <c r="M416" s="7" t="s">
        <v>393</v>
      </c>
      <c r="N416" s="6" t="str">
        <f aca="false">_xlfn.CONCAT("\x", DEC2HEX(D416+44, 2), "\x", H416, "=", M416)</f>
        <v>\x2D\xFF=眠</v>
      </c>
    </row>
    <row r="417" customFormat="false" ht="12.8" hidden="false" customHeight="true" outlineLevel="0" collapsed="false">
      <c r="C417" s="6" t="n">
        <f aca="false">MOD(ROW()-1, 208)</f>
        <v>0</v>
      </c>
      <c r="D417" s="6" t="n">
        <f aca="false">INT((ROW()-1)/208)</f>
        <v>2</v>
      </c>
      <c r="F417" s="6" t="str">
        <f aca="false">MID(VLOOKUP(D417,$P$1:$Q$13,2,0), 1 + C417,1)</f>
        <v>능</v>
      </c>
      <c r="G417" s="6" t="str">
        <f aca="false">DEC2HEX(D417+36, 2)</f>
        <v>26</v>
      </c>
      <c r="H417" s="6" t="str">
        <f aca="false">DEC2HEX(C417+48,2)</f>
        <v>30</v>
      </c>
      <c r="I417" s="6" t="str">
        <f aca="false">_xlfn.CONCAT("\x", G417, "\x", H417, "=", F417)</f>
        <v>\x26\x30=능</v>
      </c>
      <c r="M417" s="7" t="s">
        <v>394</v>
      </c>
      <c r="N417" s="6" t="str">
        <f aca="false">_xlfn.CONCAT("\x", DEC2HEX(D417+44, 2), "\x", H417, "=", M417)</f>
        <v>\x2E\x30=無</v>
      </c>
    </row>
    <row r="418" customFormat="false" ht="12.8" hidden="false" customHeight="true" outlineLevel="0" collapsed="false">
      <c r="C418" s="6" t="n">
        <f aca="false">MOD(ROW()-1, 208)</f>
        <v>1</v>
      </c>
      <c r="D418" s="6" t="n">
        <f aca="false">INT((ROW()-1)/208)</f>
        <v>2</v>
      </c>
      <c r="F418" s="6" t="str">
        <f aca="false">MID(VLOOKUP(D418,$P$1:$Q$13,2,0), 1 + C418,1)</f>
        <v>늦</v>
      </c>
      <c r="G418" s="6" t="str">
        <f aca="false">DEC2HEX(D418+36, 2)</f>
        <v>26</v>
      </c>
      <c r="H418" s="6" t="str">
        <f aca="false">DEC2HEX(C418+48,2)</f>
        <v>31</v>
      </c>
      <c r="I418" s="6" t="str">
        <f aca="false">_xlfn.CONCAT("\x", G418, "\x", H418, "=", F418)</f>
        <v>\x26\x31=늦</v>
      </c>
      <c r="M418" s="7" t="s">
        <v>395</v>
      </c>
      <c r="N418" s="6" t="str">
        <f aca="false">_xlfn.CONCAT("\x", DEC2HEX(D418+44, 2), "\x", H418, "=", M418)</f>
        <v>\x2E\x31=名</v>
      </c>
    </row>
    <row r="419" customFormat="false" ht="12.8" hidden="false" customHeight="true" outlineLevel="0" collapsed="false">
      <c r="C419" s="6" t="n">
        <f aca="false">MOD(ROW()-1, 208)</f>
        <v>2</v>
      </c>
      <c r="D419" s="6" t="n">
        <f aca="false">INT((ROW()-1)/208)</f>
        <v>2</v>
      </c>
      <c r="F419" s="6" t="str">
        <f aca="false">MID(VLOOKUP(D419,$P$1:$Q$13,2,0), 1 + C419,1)</f>
        <v>늪</v>
      </c>
      <c r="G419" s="6" t="str">
        <f aca="false">DEC2HEX(D419+36, 2)</f>
        <v>26</v>
      </c>
      <c r="H419" s="6" t="str">
        <f aca="false">DEC2HEX(C419+48,2)</f>
        <v>32</v>
      </c>
      <c r="I419" s="6" t="str">
        <f aca="false">_xlfn.CONCAT("\x", G419, "\x", H419, "=", F419)</f>
        <v>\x26\x32=늪</v>
      </c>
      <c r="M419" s="7" t="s">
        <v>396</v>
      </c>
      <c r="N419" s="6" t="str">
        <f aca="false">_xlfn.CONCAT("\x", DEC2HEX(D419+44, 2), "\x", H419, "=", M419)</f>
        <v>\x2E\x32=命</v>
      </c>
    </row>
    <row r="420" customFormat="false" ht="12.8" hidden="false" customHeight="true" outlineLevel="0" collapsed="false">
      <c r="C420" s="6" t="n">
        <f aca="false">MOD(ROW()-1, 208)</f>
        <v>3</v>
      </c>
      <c r="D420" s="6" t="n">
        <f aca="false">INT((ROW()-1)/208)</f>
        <v>2</v>
      </c>
      <c r="F420" s="6" t="str">
        <f aca="false">MID(VLOOKUP(D420,$P$1:$Q$13,2,0), 1 + C420,1)</f>
        <v>늬</v>
      </c>
      <c r="G420" s="6" t="str">
        <f aca="false">DEC2HEX(D420+36, 2)</f>
        <v>26</v>
      </c>
      <c r="H420" s="6" t="str">
        <f aca="false">DEC2HEX(C420+48,2)</f>
        <v>33</v>
      </c>
      <c r="I420" s="6" t="str">
        <f aca="false">_xlfn.CONCAT("\x", G420, "\x", H420, "=", F420)</f>
        <v>\x26\x33=늬</v>
      </c>
      <c r="M420" s="7" t="s">
        <v>397</v>
      </c>
      <c r="N420" s="6" t="str">
        <f aca="false">_xlfn.CONCAT("\x", DEC2HEX(D420+44, 2), "\x", H420, "=", M420)</f>
        <v>\x2E\x33=迷</v>
      </c>
    </row>
    <row r="421" customFormat="false" ht="12.8" hidden="false" customHeight="true" outlineLevel="0" collapsed="false">
      <c r="C421" s="6" t="n">
        <f aca="false">MOD(ROW()-1, 208)</f>
        <v>4</v>
      </c>
      <c r="D421" s="6" t="n">
        <f aca="false">INT((ROW()-1)/208)</f>
        <v>2</v>
      </c>
      <c r="F421" s="6" t="str">
        <f aca="false">MID(VLOOKUP(D421,$P$1:$Q$13,2,0), 1 + C421,1)</f>
        <v>늰</v>
      </c>
      <c r="G421" s="6" t="str">
        <f aca="false">DEC2HEX(D421+36, 2)</f>
        <v>26</v>
      </c>
      <c r="H421" s="6" t="str">
        <f aca="false">DEC2HEX(C421+48,2)</f>
        <v>34</v>
      </c>
      <c r="I421" s="6" t="str">
        <f aca="false">_xlfn.CONCAT("\x", G421, "\x", H421, "=", F421)</f>
        <v>\x26\x34=늰</v>
      </c>
      <c r="M421" s="7" t="s">
        <v>398</v>
      </c>
      <c r="N421" s="6" t="str">
        <f aca="false">_xlfn.CONCAT("\x", DEC2HEX(D421+44, 2), "\x", H421, "=", M421)</f>
        <v>\x2E\x34=面</v>
      </c>
    </row>
    <row r="422" customFormat="false" ht="12.8" hidden="false" customHeight="true" outlineLevel="0" collapsed="false">
      <c r="C422" s="6" t="n">
        <f aca="false">MOD(ROW()-1, 208)</f>
        <v>5</v>
      </c>
      <c r="D422" s="6" t="n">
        <f aca="false">INT((ROW()-1)/208)</f>
        <v>2</v>
      </c>
      <c r="F422" s="6" t="str">
        <f aca="false">MID(VLOOKUP(D422,$P$1:$Q$13,2,0), 1 + C422,1)</f>
        <v>늴</v>
      </c>
      <c r="G422" s="6" t="str">
        <f aca="false">DEC2HEX(D422+36, 2)</f>
        <v>26</v>
      </c>
      <c r="H422" s="6" t="str">
        <f aca="false">DEC2HEX(C422+48,2)</f>
        <v>35</v>
      </c>
      <c r="I422" s="6" t="str">
        <f aca="false">_xlfn.CONCAT("\x", G422, "\x", H422, "=", F422)</f>
        <v>\x26\x35=늴</v>
      </c>
      <c r="M422" s="7" t="s">
        <v>399</v>
      </c>
      <c r="N422" s="6" t="str">
        <f aca="false">_xlfn.CONCAT("\x", DEC2HEX(D422+44, 2), "\x", H422, "=", M422)</f>
        <v>\x2E\x35=黙</v>
      </c>
    </row>
    <row r="423" customFormat="false" ht="12.8" hidden="false" customHeight="true" outlineLevel="0" collapsed="false">
      <c r="C423" s="6" t="n">
        <f aca="false">MOD(ROW()-1, 208)</f>
        <v>6</v>
      </c>
      <c r="D423" s="6" t="n">
        <f aca="false">INT((ROW()-1)/208)</f>
        <v>2</v>
      </c>
      <c r="F423" s="6" t="str">
        <f aca="false">MID(VLOOKUP(D423,$P$1:$Q$13,2,0), 1 + C423,1)</f>
        <v>니</v>
      </c>
      <c r="G423" s="6" t="str">
        <f aca="false">DEC2HEX(D423+36, 2)</f>
        <v>26</v>
      </c>
      <c r="H423" s="6" t="str">
        <f aca="false">DEC2HEX(C423+48,2)</f>
        <v>36</v>
      </c>
      <c r="I423" s="6" t="str">
        <f aca="false">_xlfn.CONCAT("\x", G423, "\x", H423, "=", F423)</f>
        <v>\x26\x36=니</v>
      </c>
      <c r="M423" s="7" t="s">
        <v>400</v>
      </c>
      <c r="N423" s="6" t="str">
        <f aca="false">_xlfn.CONCAT("\x", DEC2HEX(D423+44, 2), "\x", H423, "=", M423)</f>
        <v>\x2E\x36=目</v>
      </c>
    </row>
    <row r="424" customFormat="false" ht="12.8" hidden="false" customHeight="true" outlineLevel="0" collapsed="false">
      <c r="C424" s="6" t="n">
        <f aca="false">MOD(ROW()-1, 208)</f>
        <v>7</v>
      </c>
      <c r="D424" s="6" t="n">
        <f aca="false">INT((ROW()-1)/208)</f>
        <v>2</v>
      </c>
      <c r="F424" s="6" t="str">
        <f aca="false">MID(VLOOKUP(D424,$P$1:$Q$13,2,0), 1 + C424,1)</f>
        <v>닉</v>
      </c>
      <c r="G424" s="6" t="str">
        <f aca="false">DEC2HEX(D424+36, 2)</f>
        <v>26</v>
      </c>
      <c r="H424" s="6" t="str">
        <f aca="false">DEC2HEX(C424+48,2)</f>
        <v>37</v>
      </c>
      <c r="I424" s="6" t="str">
        <f aca="false">_xlfn.CONCAT("\x", G424, "\x", H424, "=", F424)</f>
        <v>\x26\x37=닉</v>
      </c>
      <c r="M424" s="7" t="s">
        <v>401</v>
      </c>
      <c r="N424" s="6" t="str">
        <f aca="false">_xlfn.CONCAT("\x", DEC2HEX(D424+44, 2), "\x", H424, "=", M424)</f>
        <v>\x2E\x37=戻</v>
      </c>
    </row>
    <row r="425" customFormat="false" ht="12.8" hidden="false" customHeight="true" outlineLevel="0" collapsed="false">
      <c r="C425" s="6" t="n">
        <f aca="false">MOD(ROW()-1, 208)</f>
        <v>8</v>
      </c>
      <c r="D425" s="6" t="n">
        <f aca="false">INT((ROW()-1)/208)</f>
        <v>2</v>
      </c>
      <c r="F425" s="6" t="str">
        <f aca="false">MID(VLOOKUP(D425,$P$1:$Q$13,2,0), 1 + C425,1)</f>
        <v>닌</v>
      </c>
      <c r="G425" s="6" t="str">
        <f aca="false">DEC2HEX(D425+36, 2)</f>
        <v>26</v>
      </c>
      <c r="H425" s="6" t="str">
        <f aca="false">DEC2HEX(C425+48,2)</f>
        <v>38</v>
      </c>
      <c r="I425" s="6" t="str">
        <f aca="false">_xlfn.CONCAT("\x", G425, "\x", H425, "=", F425)</f>
        <v>\x26\x38=닌</v>
      </c>
      <c r="M425" s="7" t="s">
        <v>402</v>
      </c>
      <c r="N425" s="6" t="str">
        <f aca="false">_xlfn.CONCAT("\x", DEC2HEX(D425+44, 2), "\x", H425, "=", M425)</f>
        <v>\x2E\x38=門</v>
      </c>
    </row>
    <row r="426" customFormat="false" ht="12.8" hidden="false" customHeight="true" outlineLevel="0" collapsed="false">
      <c r="C426" s="6" t="n">
        <f aca="false">MOD(ROW()-1, 208)</f>
        <v>9</v>
      </c>
      <c r="D426" s="6" t="n">
        <f aca="false">INT((ROW()-1)/208)</f>
        <v>2</v>
      </c>
      <c r="F426" s="6" t="str">
        <f aca="false">MID(VLOOKUP(D426,$P$1:$Q$13,2,0), 1 + C426,1)</f>
        <v>닐</v>
      </c>
      <c r="G426" s="6" t="str">
        <f aca="false">DEC2HEX(D426+36, 2)</f>
        <v>26</v>
      </c>
      <c r="H426" s="6" t="str">
        <f aca="false">DEC2HEX(C426+48,2)</f>
        <v>39</v>
      </c>
      <c r="I426" s="6" t="str">
        <f aca="false">_xlfn.CONCAT("\x", G426, "\x", H426, "=", F426)</f>
        <v>\x26\x39=닐</v>
      </c>
      <c r="M426" s="7" t="s">
        <v>403</v>
      </c>
      <c r="N426" s="6" t="str">
        <f aca="false">_xlfn.CONCAT("\x", DEC2HEX(D426+44, 2), "\x", H426, "=", M426)</f>
        <v>\x2E\x39=薬</v>
      </c>
    </row>
    <row r="427" customFormat="false" ht="12.8" hidden="false" customHeight="true" outlineLevel="0" collapsed="false">
      <c r="C427" s="6" t="n">
        <f aca="false">MOD(ROW()-1, 208)</f>
        <v>10</v>
      </c>
      <c r="D427" s="6" t="n">
        <f aca="false">INT((ROW()-1)/208)</f>
        <v>2</v>
      </c>
      <c r="F427" s="6" t="str">
        <f aca="false">MID(VLOOKUP(D427,$P$1:$Q$13,2,0), 1 + C427,1)</f>
        <v>닒</v>
      </c>
      <c r="G427" s="6" t="str">
        <f aca="false">DEC2HEX(D427+36, 2)</f>
        <v>26</v>
      </c>
      <c r="H427" s="6" t="str">
        <f aca="false">DEC2HEX(C427+48,2)</f>
        <v>3A</v>
      </c>
      <c r="I427" s="6" t="str">
        <f aca="false">_xlfn.CONCAT("\x", G427, "\x", H427, "=", F427)</f>
        <v>\x26\x3A=닒</v>
      </c>
      <c r="M427" s="7" t="s">
        <v>404</v>
      </c>
      <c r="N427" s="6" t="str">
        <f aca="false">_xlfn.CONCAT("\x", DEC2HEX(D427+44, 2), "\x", H427, "=", M427)</f>
        <v>\x2E\x3A=与</v>
      </c>
    </row>
    <row r="428" customFormat="false" ht="12.8" hidden="false" customHeight="true" outlineLevel="0" collapsed="false">
      <c r="C428" s="6" t="n">
        <f aca="false">MOD(ROW()-1, 208)</f>
        <v>11</v>
      </c>
      <c r="D428" s="6" t="n">
        <f aca="false">INT((ROW()-1)/208)</f>
        <v>2</v>
      </c>
      <c r="F428" s="6" t="str">
        <f aca="false">MID(VLOOKUP(D428,$P$1:$Q$13,2,0), 1 + C428,1)</f>
        <v>님</v>
      </c>
      <c r="G428" s="6" t="str">
        <f aca="false">DEC2HEX(D428+36, 2)</f>
        <v>26</v>
      </c>
      <c r="H428" s="6" t="str">
        <f aca="false">DEC2HEX(C428+48,2)</f>
        <v>3B</v>
      </c>
      <c r="I428" s="6" t="str">
        <f aca="false">_xlfn.CONCAT("\x", G428, "\x", H428, "=", F428)</f>
        <v>\x26\x3B=님</v>
      </c>
      <c r="M428" s="7" t="s">
        <v>405</v>
      </c>
      <c r="N428" s="6" t="str">
        <f aca="false">_xlfn.CONCAT("\x", DEC2HEX(D428+44, 2), "\x", H428, "=", M428)</f>
        <v>\x2E\x3B=容</v>
      </c>
    </row>
    <row r="429" customFormat="false" ht="12.8" hidden="false" customHeight="true" outlineLevel="0" collapsed="false">
      <c r="C429" s="6" t="n">
        <f aca="false">MOD(ROW()-1, 208)</f>
        <v>12</v>
      </c>
      <c r="D429" s="6" t="n">
        <f aca="false">INT((ROW()-1)/208)</f>
        <v>2</v>
      </c>
      <c r="F429" s="6" t="str">
        <f aca="false">MID(VLOOKUP(D429,$P$1:$Q$13,2,0), 1 + C429,1)</f>
        <v>닙</v>
      </c>
      <c r="G429" s="6" t="str">
        <f aca="false">DEC2HEX(D429+36, 2)</f>
        <v>26</v>
      </c>
      <c r="H429" s="6" t="str">
        <f aca="false">DEC2HEX(C429+48,2)</f>
        <v>3C</v>
      </c>
      <c r="I429" s="6" t="str">
        <f aca="false">_xlfn.CONCAT("\x", G429, "\x", H429, "=", F429)</f>
        <v>\x26\x3C=닙</v>
      </c>
      <c r="M429" s="7" t="s">
        <v>406</v>
      </c>
      <c r="N429" s="6" t="str">
        <f aca="false">_xlfn.CONCAT("\x", DEC2HEX(D429+44, 2), "\x", H429, "=", M429)</f>
        <v>\x2E\x3C=様</v>
      </c>
    </row>
    <row r="430" customFormat="false" ht="12.8" hidden="false" customHeight="true" outlineLevel="0" collapsed="false">
      <c r="C430" s="6" t="n">
        <f aca="false">MOD(ROW()-1, 208)</f>
        <v>13</v>
      </c>
      <c r="D430" s="6" t="n">
        <f aca="false">INT((ROW()-1)/208)</f>
        <v>2</v>
      </c>
      <c r="F430" s="6" t="str">
        <f aca="false">MID(VLOOKUP(D430,$P$1:$Q$13,2,0), 1 + C430,1)</f>
        <v>닛</v>
      </c>
      <c r="G430" s="6" t="str">
        <f aca="false">DEC2HEX(D430+36, 2)</f>
        <v>26</v>
      </c>
      <c r="H430" s="6" t="str">
        <f aca="false">DEC2HEX(C430+48,2)</f>
        <v>3D</v>
      </c>
      <c r="I430" s="6" t="str">
        <f aca="false">_xlfn.CONCAT("\x", G430, "\x", H430, "=", F430)</f>
        <v>\x26\x3D=닛</v>
      </c>
      <c r="M430" s="7" t="s">
        <v>407</v>
      </c>
      <c r="N430" s="6" t="str">
        <f aca="false">_xlfn.CONCAT("\x", DEC2HEX(D430+44, 2), "\x", H430, "=", M430)</f>
        <v>\x2E\x3D=用</v>
      </c>
    </row>
    <row r="431" customFormat="false" ht="12.8" hidden="false" customHeight="true" outlineLevel="0" collapsed="false">
      <c r="C431" s="6" t="n">
        <f aca="false">MOD(ROW()-1, 208)</f>
        <v>14</v>
      </c>
      <c r="D431" s="6" t="n">
        <f aca="false">INT((ROW()-1)/208)</f>
        <v>2</v>
      </c>
      <c r="F431" s="6" t="str">
        <f aca="false">MID(VLOOKUP(D431,$P$1:$Q$13,2,0), 1 + C431,1)</f>
        <v>닝</v>
      </c>
      <c r="G431" s="6" t="str">
        <f aca="false">DEC2HEX(D431+36, 2)</f>
        <v>26</v>
      </c>
      <c r="H431" s="6" t="str">
        <f aca="false">DEC2HEX(C431+48,2)</f>
        <v>3E</v>
      </c>
      <c r="I431" s="6" t="str">
        <f aca="false">_xlfn.CONCAT("\x", G431, "\x", H431, "=", F431)</f>
        <v>\x26\x3E=닝</v>
      </c>
      <c r="M431" s="7" t="s">
        <v>408</v>
      </c>
      <c r="N431" s="6" t="str">
        <f aca="false">_xlfn.CONCAT("\x", DEC2HEX(D431+44, 2), "\x", H431, "=", M431)</f>
        <v>\x2E\x3E=要</v>
      </c>
    </row>
    <row r="432" customFormat="false" ht="12.8" hidden="false" customHeight="true" outlineLevel="0" collapsed="false">
      <c r="C432" s="6" t="n">
        <f aca="false">MOD(ROW()-1, 208)</f>
        <v>15</v>
      </c>
      <c r="D432" s="6" t="n">
        <f aca="false">INT((ROW()-1)/208)</f>
        <v>2</v>
      </c>
      <c r="F432" s="6" t="str">
        <f aca="false">MID(VLOOKUP(D432,$P$1:$Q$13,2,0), 1 + C432,1)</f>
        <v>닢</v>
      </c>
      <c r="G432" s="6" t="str">
        <f aca="false">DEC2HEX(D432+36, 2)</f>
        <v>26</v>
      </c>
      <c r="H432" s="6" t="str">
        <f aca="false">DEC2HEX(C432+48,2)</f>
        <v>3F</v>
      </c>
      <c r="I432" s="6" t="str">
        <f aca="false">_xlfn.CONCAT("\x", G432, "\x", H432, "=", F432)</f>
        <v>\x26\x3F=닢</v>
      </c>
      <c r="M432" s="7" t="s">
        <v>409</v>
      </c>
      <c r="N432" s="6" t="str">
        <f aca="false">_xlfn.CONCAT("\x", DEC2HEX(D432+44, 2), "\x", H432, "=", M432)</f>
        <v>\x2E\x3F=雷</v>
      </c>
    </row>
    <row r="433" customFormat="false" ht="12.8" hidden="false" customHeight="true" outlineLevel="0" collapsed="false">
      <c r="C433" s="6" t="n">
        <f aca="false">MOD(ROW()-1, 208)</f>
        <v>16</v>
      </c>
      <c r="D433" s="6" t="n">
        <f aca="false">INT((ROW()-1)/208)</f>
        <v>2</v>
      </c>
      <c r="F433" s="6" t="str">
        <f aca="false">MID(VLOOKUP(D433,$P$1:$Q$13,2,0), 1 + C433,1)</f>
        <v>다</v>
      </c>
      <c r="G433" s="6" t="str">
        <f aca="false">DEC2HEX(D433+36, 2)</f>
        <v>26</v>
      </c>
      <c r="H433" s="6" t="str">
        <f aca="false">DEC2HEX(C433+48,2)</f>
        <v>40</v>
      </c>
      <c r="I433" s="6" t="str">
        <f aca="false">_xlfn.CONCAT("\x", G433, "\x", H433, "=", F433)</f>
        <v>\x26\x40=다</v>
      </c>
      <c r="M433" s="7" t="s">
        <v>410</v>
      </c>
      <c r="N433" s="6" t="str">
        <f aca="false">_xlfn.CONCAT("\x", DEC2HEX(D433+44, 2), "\x", H433, "=", M433)</f>
        <v>\x2E\x40=絡</v>
      </c>
    </row>
    <row r="434" customFormat="false" ht="12.8" hidden="false" customHeight="true" outlineLevel="0" collapsed="false">
      <c r="C434" s="6" t="n">
        <f aca="false">MOD(ROW()-1, 208)</f>
        <v>17</v>
      </c>
      <c r="D434" s="6" t="n">
        <f aca="false">INT((ROW()-1)/208)</f>
        <v>2</v>
      </c>
      <c r="F434" s="6" t="str">
        <f aca="false">MID(VLOOKUP(D434,$P$1:$Q$13,2,0), 1 + C434,1)</f>
        <v>닥</v>
      </c>
      <c r="G434" s="6" t="str">
        <f aca="false">DEC2HEX(D434+36, 2)</f>
        <v>26</v>
      </c>
      <c r="H434" s="6" t="str">
        <f aca="false">DEC2HEX(C434+48,2)</f>
        <v>41</v>
      </c>
      <c r="I434" s="6" t="str">
        <f aca="false">_xlfn.CONCAT("\x", G434, "\x", H434, "=", F434)</f>
        <v>\x26\x41=닥</v>
      </c>
      <c r="M434" s="7" t="s">
        <v>411</v>
      </c>
      <c r="N434" s="6" t="str">
        <f aca="false">_xlfn.CONCAT("\x", DEC2HEX(D434+44, 2), "\x", H434, "=", M434)</f>
        <v>\x2E\x41=落</v>
      </c>
    </row>
    <row r="435" customFormat="false" ht="12.8" hidden="false" customHeight="true" outlineLevel="0" collapsed="false">
      <c r="C435" s="6" t="n">
        <f aca="false">MOD(ROW()-1, 208)</f>
        <v>18</v>
      </c>
      <c r="D435" s="6" t="n">
        <f aca="false">INT((ROW()-1)/208)</f>
        <v>2</v>
      </c>
      <c r="F435" s="6" t="str">
        <f aca="false">MID(VLOOKUP(D435,$P$1:$Q$13,2,0), 1 + C435,1)</f>
        <v>닦</v>
      </c>
      <c r="G435" s="6" t="str">
        <f aca="false">DEC2HEX(D435+36, 2)</f>
        <v>26</v>
      </c>
      <c r="H435" s="6" t="str">
        <f aca="false">DEC2HEX(C435+48,2)</f>
        <v>42</v>
      </c>
      <c r="I435" s="6" t="str">
        <f aca="false">_xlfn.CONCAT("\x", G435, "\x", H435, "=", F435)</f>
        <v>\x26\x42=닦</v>
      </c>
      <c r="M435" s="7" t="s">
        <v>412</v>
      </c>
      <c r="N435" s="6" t="str">
        <f aca="false">_xlfn.CONCAT("\x", DEC2HEX(D435+44, 2), "\x", H435, "=", M435)</f>
        <v>\x2E\x42=乱</v>
      </c>
    </row>
    <row r="436" customFormat="false" ht="12.8" hidden="false" customHeight="true" outlineLevel="0" collapsed="false">
      <c r="C436" s="6" t="n">
        <f aca="false">MOD(ROW()-1, 208)</f>
        <v>19</v>
      </c>
      <c r="D436" s="6" t="n">
        <f aca="false">INT((ROW()-1)/208)</f>
        <v>2</v>
      </c>
      <c r="F436" s="6" t="str">
        <f aca="false">MID(VLOOKUP(D436,$P$1:$Q$13,2,0), 1 + C436,1)</f>
        <v>단</v>
      </c>
      <c r="G436" s="6" t="str">
        <f aca="false">DEC2HEX(D436+36, 2)</f>
        <v>26</v>
      </c>
      <c r="H436" s="6" t="str">
        <f aca="false">DEC2HEX(C436+48,2)</f>
        <v>43</v>
      </c>
      <c r="I436" s="6" t="str">
        <f aca="false">_xlfn.CONCAT("\x", G436, "\x", H436, "=", F436)</f>
        <v>\x26\x43=단</v>
      </c>
      <c r="M436" s="7" t="s">
        <v>413</v>
      </c>
      <c r="N436" s="6" t="str">
        <f aca="false">_xlfn.CONCAT("\x", DEC2HEX(D436+44, 2), "\x", H436, "=", M436)</f>
        <v>\x2E\x43=覧</v>
      </c>
    </row>
    <row r="437" customFormat="false" ht="12.8" hidden="false" customHeight="true" outlineLevel="0" collapsed="false">
      <c r="C437" s="6" t="n">
        <f aca="false">MOD(ROW()-1, 208)</f>
        <v>20</v>
      </c>
      <c r="D437" s="6" t="n">
        <f aca="false">INT((ROW()-1)/208)</f>
        <v>2</v>
      </c>
      <c r="F437" s="6" t="str">
        <f aca="false">MID(VLOOKUP(D437,$P$1:$Q$13,2,0), 1 + C437,1)</f>
        <v>닫</v>
      </c>
      <c r="G437" s="6" t="str">
        <f aca="false">DEC2HEX(D437+36, 2)</f>
        <v>26</v>
      </c>
      <c r="H437" s="6" t="str">
        <f aca="false">DEC2HEX(C437+48,2)</f>
        <v>44</v>
      </c>
      <c r="I437" s="6" t="str">
        <f aca="false">_xlfn.CONCAT("\x", G437, "\x", H437, "=", F437)</f>
        <v>\x26\x44=닫</v>
      </c>
      <c r="M437" s="7" t="s">
        <v>414</v>
      </c>
      <c r="N437" s="6" t="str">
        <f aca="false">_xlfn.CONCAT("\x", DEC2HEX(D437+44, 2), "\x", H437, "=", M437)</f>
        <v>\x2E\x44=理</v>
      </c>
    </row>
    <row r="438" customFormat="false" ht="12.8" hidden="false" customHeight="true" outlineLevel="0" collapsed="false">
      <c r="C438" s="6" t="n">
        <f aca="false">MOD(ROW()-1, 208)</f>
        <v>21</v>
      </c>
      <c r="D438" s="6" t="n">
        <f aca="false">INT((ROW()-1)/208)</f>
        <v>2</v>
      </c>
      <c r="F438" s="6" t="str">
        <f aca="false">MID(VLOOKUP(D438,$P$1:$Q$13,2,0), 1 + C438,1)</f>
        <v>달</v>
      </c>
      <c r="G438" s="6" t="str">
        <f aca="false">DEC2HEX(D438+36, 2)</f>
        <v>26</v>
      </c>
      <c r="H438" s="6" t="str">
        <f aca="false">DEC2HEX(C438+48,2)</f>
        <v>45</v>
      </c>
      <c r="I438" s="6" t="str">
        <f aca="false">_xlfn.CONCAT("\x", G438, "\x", H438, "=", F438)</f>
        <v>\x26\x45=달</v>
      </c>
      <c r="M438" s="7" t="s">
        <v>415</v>
      </c>
      <c r="N438" s="6" t="str">
        <f aca="false">_xlfn.CONCAT("\x", DEC2HEX(D438+44, 2), "\x", H438, "=", M438)</f>
        <v>\x2E\x45=離</v>
      </c>
    </row>
    <row r="439" customFormat="false" ht="12.8" hidden="false" customHeight="true" outlineLevel="0" collapsed="false">
      <c r="C439" s="6" t="n">
        <f aca="false">MOD(ROW()-1, 208)</f>
        <v>22</v>
      </c>
      <c r="D439" s="6" t="n">
        <f aca="false">INT((ROW()-1)/208)</f>
        <v>2</v>
      </c>
      <c r="F439" s="6" t="str">
        <f aca="false">MID(VLOOKUP(D439,$P$1:$Q$13,2,0), 1 + C439,1)</f>
        <v>닭</v>
      </c>
      <c r="G439" s="6" t="str">
        <f aca="false">DEC2HEX(D439+36, 2)</f>
        <v>26</v>
      </c>
      <c r="H439" s="6" t="str">
        <f aca="false">DEC2HEX(C439+48,2)</f>
        <v>46</v>
      </c>
      <c r="I439" s="6" t="str">
        <f aca="false">_xlfn.CONCAT("\x", G439, "\x", H439, "=", F439)</f>
        <v>\x26\x46=닭</v>
      </c>
      <c r="M439" s="7" t="s">
        <v>416</v>
      </c>
      <c r="N439" s="6" t="str">
        <f aca="false">_xlfn.CONCAT("\x", DEC2HEX(D439+44, 2), "\x", H439, "=", M439)</f>
        <v>\x2E\x46=陸</v>
      </c>
    </row>
    <row r="440" customFormat="false" ht="12.8" hidden="false" customHeight="true" outlineLevel="0" collapsed="false">
      <c r="C440" s="6" t="n">
        <f aca="false">MOD(ROW()-1, 208)</f>
        <v>23</v>
      </c>
      <c r="D440" s="6" t="n">
        <f aca="false">INT((ROW()-1)/208)</f>
        <v>2</v>
      </c>
      <c r="F440" s="6" t="str">
        <f aca="false">MID(VLOOKUP(D440,$P$1:$Q$13,2,0), 1 + C440,1)</f>
        <v>닮</v>
      </c>
      <c r="G440" s="6" t="str">
        <f aca="false">DEC2HEX(D440+36, 2)</f>
        <v>26</v>
      </c>
      <c r="H440" s="6" t="str">
        <f aca="false">DEC2HEX(C440+48,2)</f>
        <v>47</v>
      </c>
      <c r="I440" s="6" t="str">
        <f aca="false">_xlfn.CONCAT("\x", G440, "\x", H440, "=", F440)</f>
        <v>\x26\x47=닮</v>
      </c>
      <c r="M440" s="7" t="s">
        <v>417</v>
      </c>
      <c r="N440" s="6" t="str">
        <f aca="false">_xlfn.CONCAT("\x", DEC2HEX(D440+44, 2), "\x", H440, "=", M440)</f>
        <v>\x2E\x47=率</v>
      </c>
    </row>
    <row r="441" customFormat="false" ht="12.8" hidden="false" customHeight="true" outlineLevel="0" collapsed="false">
      <c r="C441" s="6" t="n">
        <f aca="false">MOD(ROW()-1, 208)</f>
        <v>24</v>
      </c>
      <c r="D441" s="6" t="n">
        <f aca="false">INT((ROW()-1)/208)</f>
        <v>2</v>
      </c>
      <c r="F441" s="6" t="str">
        <f aca="false">MID(VLOOKUP(D441,$P$1:$Q$13,2,0), 1 + C441,1)</f>
        <v>닯</v>
      </c>
      <c r="G441" s="6" t="str">
        <f aca="false">DEC2HEX(D441+36, 2)</f>
        <v>26</v>
      </c>
      <c r="H441" s="6" t="str">
        <f aca="false">DEC2HEX(C441+48,2)</f>
        <v>48</v>
      </c>
      <c r="I441" s="6" t="str">
        <f aca="false">_xlfn.CONCAT("\x", G441, "\x", H441, "=", F441)</f>
        <v>\x26\x48=닯</v>
      </c>
      <c r="M441" s="7" t="s">
        <v>418</v>
      </c>
      <c r="N441" s="6" t="str">
        <f aca="false">_xlfn.CONCAT("\x", DEC2HEX(D441+44, 2), "\x", H441, "=", M441)</f>
        <v>\x2E\x48=流</v>
      </c>
    </row>
    <row r="442" customFormat="false" ht="12.8" hidden="false" customHeight="true" outlineLevel="0" collapsed="false">
      <c r="C442" s="6" t="n">
        <f aca="false">MOD(ROW()-1, 208)</f>
        <v>25</v>
      </c>
      <c r="D442" s="6" t="n">
        <f aca="false">INT((ROW()-1)/208)</f>
        <v>2</v>
      </c>
      <c r="F442" s="6" t="str">
        <f aca="false">MID(VLOOKUP(D442,$P$1:$Q$13,2,0), 1 + C442,1)</f>
        <v>닳</v>
      </c>
      <c r="G442" s="6" t="str">
        <f aca="false">DEC2HEX(D442+36, 2)</f>
        <v>26</v>
      </c>
      <c r="H442" s="6" t="str">
        <f aca="false">DEC2HEX(C442+48,2)</f>
        <v>49</v>
      </c>
      <c r="I442" s="6" t="str">
        <f aca="false">_xlfn.CONCAT("\x", G442, "\x", H442, "=", F442)</f>
        <v>\x26\x49=닳</v>
      </c>
      <c r="M442" s="7" t="s">
        <v>419</v>
      </c>
      <c r="N442" s="6" t="str">
        <f aca="false">_xlfn.CONCAT("\x", DEC2HEX(D442+44, 2), "\x", H442, "=", M442)</f>
        <v>\x2E\x49=竜</v>
      </c>
    </row>
    <row r="443" customFormat="false" ht="12.8" hidden="false" customHeight="true" outlineLevel="0" collapsed="false">
      <c r="C443" s="6" t="n">
        <f aca="false">MOD(ROW()-1, 208)</f>
        <v>26</v>
      </c>
      <c r="D443" s="6" t="n">
        <f aca="false">INT((ROW()-1)/208)</f>
        <v>2</v>
      </c>
      <c r="F443" s="6" t="str">
        <f aca="false">MID(VLOOKUP(D443,$P$1:$Q$13,2,0), 1 + C443,1)</f>
        <v>담</v>
      </c>
      <c r="G443" s="6" t="str">
        <f aca="false">DEC2HEX(D443+36, 2)</f>
        <v>26</v>
      </c>
      <c r="H443" s="6" t="str">
        <f aca="false">DEC2HEX(C443+48,2)</f>
        <v>4A</v>
      </c>
      <c r="I443" s="6" t="str">
        <f aca="false">_xlfn.CONCAT("\x", G443, "\x", H443, "=", F443)</f>
        <v>\x26\x4A=담</v>
      </c>
      <c r="M443" s="7" t="s">
        <v>420</v>
      </c>
      <c r="N443" s="6" t="str">
        <f aca="false">_xlfn.CONCAT("\x", DEC2HEX(D443+44, 2), "\x", H443, "=", M443)</f>
        <v>\x2E\x4A=旅</v>
      </c>
    </row>
    <row r="444" customFormat="false" ht="12.8" hidden="false" customHeight="true" outlineLevel="0" collapsed="false">
      <c r="C444" s="6" t="n">
        <f aca="false">MOD(ROW()-1, 208)</f>
        <v>27</v>
      </c>
      <c r="D444" s="6" t="n">
        <f aca="false">INT((ROW()-1)/208)</f>
        <v>2</v>
      </c>
      <c r="F444" s="6" t="str">
        <f aca="false">MID(VLOOKUP(D444,$P$1:$Q$13,2,0), 1 + C444,1)</f>
        <v>답</v>
      </c>
      <c r="G444" s="6" t="str">
        <f aca="false">DEC2HEX(D444+36, 2)</f>
        <v>26</v>
      </c>
      <c r="H444" s="6" t="str">
        <f aca="false">DEC2HEX(C444+48,2)</f>
        <v>4B</v>
      </c>
      <c r="I444" s="6" t="str">
        <f aca="false">_xlfn.CONCAT("\x", G444, "\x", H444, "=", F444)</f>
        <v>\x26\x4B=답</v>
      </c>
      <c r="M444" s="7" t="s">
        <v>421</v>
      </c>
      <c r="N444" s="6" t="str">
        <f aca="false">_xlfn.CONCAT("\x", DEC2HEX(D444+44, 2), "\x", H444, "=", M444)</f>
        <v>\x2E\x4B=了</v>
      </c>
    </row>
    <row r="445" customFormat="false" ht="12.8" hidden="false" customHeight="true" outlineLevel="0" collapsed="false">
      <c r="C445" s="6" t="n">
        <f aca="false">MOD(ROW()-1, 208)</f>
        <v>28</v>
      </c>
      <c r="D445" s="6" t="n">
        <f aca="false">INT((ROW()-1)/208)</f>
        <v>2</v>
      </c>
      <c r="F445" s="6" t="str">
        <f aca="false">MID(VLOOKUP(D445,$P$1:$Q$13,2,0), 1 + C445,1)</f>
        <v>닷</v>
      </c>
      <c r="G445" s="6" t="str">
        <f aca="false">DEC2HEX(D445+36, 2)</f>
        <v>26</v>
      </c>
      <c r="H445" s="6" t="str">
        <f aca="false">DEC2HEX(C445+48,2)</f>
        <v>4C</v>
      </c>
      <c r="I445" s="6" t="str">
        <f aca="false">_xlfn.CONCAT("\x", G445, "\x", H445, "=", F445)</f>
        <v>\x26\x4C=닷</v>
      </c>
      <c r="M445" s="7" t="s">
        <v>422</v>
      </c>
      <c r="N445" s="6" t="str">
        <f aca="false">_xlfn.CONCAT("\x", DEC2HEX(D445+44, 2), "\x", H445, "=", M445)</f>
        <v>\x2E\x4C=量</v>
      </c>
    </row>
    <row r="446" customFormat="false" ht="12.8" hidden="false" customHeight="true" outlineLevel="0" collapsed="false">
      <c r="C446" s="6" t="n">
        <f aca="false">MOD(ROW()-1, 208)</f>
        <v>29</v>
      </c>
      <c r="D446" s="6" t="n">
        <f aca="false">INT((ROW()-1)/208)</f>
        <v>2</v>
      </c>
      <c r="F446" s="6" t="str">
        <f aca="false">MID(VLOOKUP(D446,$P$1:$Q$13,2,0), 1 + C446,1)</f>
        <v>닸</v>
      </c>
      <c r="G446" s="6" t="str">
        <f aca="false">DEC2HEX(D446+36, 2)</f>
        <v>26</v>
      </c>
      <c r="H446" s="6" t="str">
        <f aca="false">DEC2HEX(C446+48,2)</f>
        <v>4D</v>
      </c>
      <c r="I446" s="6" t="str">
        <f aca="false">_xlfn.CONCAT("\x", G446, "\x", H446, "=", F446)</f>
        <v>\x26\x4D=닸</v>
      </c>
      <c r="M446" s="7" t="s">
        <v>423</v>
      </c>
      <c r="N446" s="6" t="str">
        <f aca="false">_xlfn.CONCAT("\x", DEC2HEX(D446+44, 2), "\x", H446, "=", M446)</f>
        <v>\x2E\x4D=力</v>
      </c>
    </row>
    <row r="447" customFormat="false" ht="12.8" hidden="false" customHeight="true" outlineLevel="0" collapsed="false">
      <c r="C447" s="6" t="n">
        <f aca="false">MOD(ROW()-1, 208)</f>
        <v>30</v>
      </c>
      <c r="D447" s="6" t="n">
        <f aca="false">INT((ROW()-1)/208)</f>
        <v>2</v>
      </c>
      <c r="F447" s="6" t="str">
        <f aca="false">MID(VLOOKUP(D447,$P$1:$Q$13,2,0), 1 + C447,1)</f>
        <v>당</v>
      </c>
      <c r="G447" s="6" t="str">
        <f aca="false">DEC2HEX(D447+36, 2)</f>
        <v>26</v>
      </c>
      <c r="H447" s="6" t="str">
        <f aca="false">DEC2HEX(C447+48,2)</f>
        <v>4E</v>
      </c>
      <c r="I447" s="6" t="str">
        <f aca="false">_xlfn.CONCAT("\x", G447, "\x", H447, "=", F447)</f>
        <v>\x26\x4E=당</v>
      </c>
      <c r="M447" s="7" t="s">
        <v>424</v>
      </c>
      <c r="N447" s="6" t="str">
        <f aca="false">_xlfn.CONCAT("\x", DEC2HEX(D447+44, 2), "\x", H447, "=", M447)</f>
        <v>\x2E\x4E=令</v>
      </c>
    </row>
    <row r="448" customFormat="false" ht="12.8" hidden="false" customHeight="true" outlineLevel="0" collapsed="false">
      <c r="C448" s="6" t="n">
        <f aca="false">MOD(ROW()-1, 208)</f>
        <v>31</v>
      </c>
      <c r="D448" s="6" t="n">
        <f aca="false">INT((ROW()-1)/208)</f>
        <v>2</v>
      </c>
      <c r="F448" s="6" t="str">
        <f aca="false">MID(VLOOKUP(D448,$P$1:$Q$13,2,0), 1 + C448,1)</f>
        <v>닺</v>
      </c>
      <c r="G448" s="6" t="str">
        <f aca="false">DEC2HEX(D448+36, 2)</f>
        <v>26</v>
      </c>
      <c r="H448" s="6" t="str">
        <f aca="false">DEC2HEX(C448+48,2)</f>
        <v>4F</v>
      </c>
      <c r="I448" s="6" t="str">
        <f aca="false">_xlfn.CONCAT("\x", G448, "\x", H448, "=", F448)</f>
        <v>\x26\x4F=닺</v>
      </c>
      <c r="M448" s="7" t="s">
        <v>425</v>
      </c>
      <c r="N448" s="6" t="str">
        <f aca="false">_xlfn.CONCAT("\x", DEC2HEX(D448+44, 2), "\x", H448, "=", M448)</f>
        <v>\x2E\x4F=冷</v>
      </c>
    </row>
    <row r="449" customFormat="false" ht="12.8" hidden="false" customHeight="true" outlineLevel="0" collapsed="false">
      <c r="C449" s="6" t="n">
        <f aca="false">MOD(ROW()-1, 208)</f>
        <v>32</v>
      </c>
      <c r="D449" s="6" t="n">
        <f aca="false">INT((ROW()-1)/208)</f>
        <v>2</v>
      </c>
      <c r="F449" s="6" t="str">
        <f aca="false">MID(VLOOKUP(D449,$P$1:$Q$13,2,0), 1 + C449,1)</f>
        <v>닻</v>
      </c>
      <c r="G449" s="6" t="str">
        <f aca="false">DEC2HEX(D449+36, 2)</f>
        <v>26</v>
      </c>
      <c r="H449" s="6" t="str">
        <f aca="false">DEC2HEX(C449+48,2)</f>
        <v>50</v>
      </c>
      <c r="I449" s="6" t="str">
        <f aca="false">_xlfn.CONCAT("\x", G449, "\x", H449, "=", F449)</f>
        <v>\x26\x50=닻</v>
      </c>
      <c r="M449" s="7" t="s">
        <v>426</v>
      </c>
      <c r="N449" s="6" t="str">
        <f aca="false">_xlfn.CONCAT("\x", DEC2HEX(D449+44, 2), "\x", H449, "=", M449)</f>
        <v>\x2E\x50=礼</v>
      </c>
    </row>
    <row r="450" customFormat="false" ht="12.8" hidden="false" customHeight="true" outlineLevel="0" collapsed="false">
      <c r="C450" s="6" t="n">
        <f aca="false">MOD(ROW()-1, 208)</f>
        <v>33</v>
      </c>
      <c r="D450" s="6" t="n">
        <f aca="false">INT((ROW()-1)/208)</f>
        <v>2</v>
      </c>
      <c r="F450" s="6" t="str">
        <f aca="false">MID(VLOOKUP(D450,$P$1:$Q$13,2,0), 1 + C450,1)</f>
        <v>닿</v>
      </c>
      <c r="G450" s="6" t="str">
        <f aca="false">DEC2HEX(D450+36, 2)</f>
        <v>26</v>
      </c>
      <c r="H450" s="6" t="str">
        <f aca="false">DEC2HEX(C450+48,2)</f>
        <v>51</v>
      </c>
      <c r="I450" s="6" t="str">
        <f aca="false">_xlfn.CONCAT("\x", G450, "\x", H450, "=", F450)</f>
        <v>\x26\x51=닿</v>
      </c>
      <c r="M450" s="7" t="s">
        <v>427</v>
      </c>
      <c r="N450" s="6" t="str">
        <f aca="false">_xlfn.CONCAT("\x", DEC2HEX(D450+44, 2), "\x", H450, "=", M450)</f>
        <v>\x2E\x51=練</v>
      </c>
    </row>
    <row r="451" customFormat="false" ht="12.8" hidden="false" customHeight="true" outlineLevel="0" collapsed="false">
      <c r="C451" s="6" t="n">
        <f aca="false">MOD(ROW()-1, 208)</f>
        <v>34</v>
      </c>
      <c r="D451" s="6" t="n">
        <f aca="false">INT((ROW()-1)/208)</f>
        <v>2</v>
      </c>
      <c r="F451" s="6" t="str">
        <f aca="false">MID(VLOOKUP(D451,$P$1:$Q$13,2,0), 1 + C451,1)</f>
        <v>대</v>
      </c>
      <c r="G451" s="6" t="str">
        <f aca="false">DEC2HEX(D451+36, 2)</f>
        <v>26</v>
      </c>
      <c r="H451" s="6" t="str">
        <f aca="false">DEC2HEX(C451+48,2)</f>
        <v>52</v>
      </c>
      <c r="I451" s="6" t="str">
        <f aca="false">_xlfn.CONCAT("\x", G451, "\x", H451, "=", F451)</f>
        <v>\x26\x52=대</v>
      </c>
      <c r="M451" s="7" t="s">
        <v>428</v>
      </c>
      <c r="N451" s="6" t="str">
        <f aca="false">_xlfn.CONCAT("\x", DEC2HEX(D451+44, 2), "\x", H451, "=", M451)</f>
        <v>\x2E\x52=連</v>
      </c>
    </row>
    <row r="452" customFormat="false" ht="12.8" hidden="false" customHeight="true" outlineLevel="0" collapsed="false">
      <c r="C452" s="6" t="n">
        <f aca="false">MOD(ROW()-1, 208)</f>
        <v>35</v>
      </c>
      <c r="D452" s="6" t="n">
        <f aca="false">INT((ROW()-1)/208)</f>
        <v>2</v>
      </c>
      <c r="F452" s="6" t="str">
        <f aca="false">MID(VLOOKUP(D452,$P$1:$Q$13,2,0), 1 + C452,1)</f>
        <v>댁</v>
      </c>
      <c r="G452" s="6" t="str">
        <f aca="false">DEC2HEX(D452+36, 2)</f>
        <v>26</v>
      </c>
      <c r="H452" s="6" t="str">
        <f aca="false">DEC2HEX(C452+48,2)</f>
        <v>53</v>
      </c>
      <c r="I452" s="6" t="str">
        <f aca="false">_xlfn.CONCAT("\x", G452, "\x", H452, "=", F452)</f>
        <v>\x26\x53=댁</v>
      </c>
      <c r="M452" s="7" t="s">
        <v>429</v>
      </c>
      <c r="N452" s="6" t="str">
        <f aca="false">_xlfn.CONCAT("\x", DEC2HEX(D452+44, 2), "\x", H452, "=", M452)</f>
        <v>\x2E\x53=路</v>
      </c>
    </row>
    <row r="453" customFormat="false" ht="12.8" hidden="false" customHeight="true" outlineLevel="0" collapsed="false">
      <c r="C453" s="6" t="n">
        <f aca="false">MOD(ROW()-1, 208)</f>
        <v>36</v>
      </c>
      <c r="D453" s="6" t="n">
        <f aca="false">INT((ROW()-1)/208)</f>
        <v>2</v>
      </c>
      <c r="F453" s="6" t="str">
        <f aca="false">MID(VLOOKUP(D453,$P$1:$Q$13,2,0), 1 + C453,1)</f>
        <v>댄</v>
      </c>
      <c r="G453" s="6" t="str">
        <f aca="false">DEC2HEX(D453+36, 2)</f>
        <v>26</v>
      </c>
      <c r="H453" s="6" t="str">
        <f aca="false">DEC2HEX(C453+48,2)</f>
        <v>54</v>
      </c>
      <c r="I453" s="6" t="str">
        <f aca="false">_xlfn.CONCAT("\x", G453, "\x", H453, "=", F453)</f>
        <v>\x26\x54=댄</v>
      </c>
      <c r="M453" s="7" t="s">
        <v>430</v>
      </c>
      <c r="N453" s="6" t="str">
        <f aca="false">_xlfn.CONCAT("\x", DEC2HEX(D453+44, 2), "\x", H453, "=", M453)</f>
        <v>\x2E\x54=廊</v>
      </c>
    </row>
    <row r="454" customFormat="false" ht="12.8" hidden="false" customHeight="true" outlineLevel="0" collapsed="false">
      <c r="C454" s="6" t="n">
        <f aca="false">MOD(ROW()-1, 208)</f>
        <v>37</v>
      </c>
      <c r="D454" s="6" t="n">
        <f aca="false">INT((ROW()-1)/208)</f>
        <v>2</v>
      </c>
      <c r="F454" s="6" t="str">
        <f aca="false">MID(VLOOKUP(D454,$P$1:$Q$13,2,0), 1 + C454,1)</f>
        <v>댈</v>
      </c>
      <c r="G454" s="6" t="str">
        <f aca="false">DEC2HEX(D454+36, 2)</f>
        <v>26</v>
      </c>
      <c r="H454" s="6" t="str">
        <f aca="false">DEC2HEX(C454+48,2)</f>
        <v>55</v>
      </c>
      <c r="I454" s="6" t="str">
        <f aca="false">_xlfn.CONCAT("\x", G454, "\x", H454, "=", F454)</f>
        <v>\x26\x55=댈</v>
      </c>
      <c r="M454" s="7" t="s">
        <v>431</v>
      </c>
      <c r="N454" s="6" t="str">
        <f aca="false">_xlfn.CONCAT("\x", DEC2HEX(D454+44, 2), "\x", H454, "=", M454)</f>
        <v>\x2E\x55=牢</v>
      </c>
    </row>
    <row r="455" customFormat="false" ht="12.8" hidden="false" customHeight="true" outlineLevel="0" collapsed="false">
      <c r="C455" s="6" t="n">
        <f aca="false">MOD(ROW()-1, 208)</f>
        <v>38</v>
      </c>
      <c r="D455" s="6" t="n">
        <f aca="false">INT((ROW()-1)/208)</f>
        <v>2</v>
      </c>
      <c r="F455" s="6" t="str">
        <f aca="false">MID(VLOOKUP(D455,$P$1:$Q$13,2,0), 1 + C455,1)</f>
        <v>댐</v>
      </c>
      <c r="G455" s="6" t="str">
        <f aca="false">DEC2HEX(D455+36, 2)</f>
        <v>26</v>
      </c>
      <c r="H455" s="6" t="str">
        <f aca="false">DEC2HEX(C455+48,2)</f>
        <v>56</v>
      </c>
      <c r="I455" s="6" t="str">
        <f aca="false">_xlfn.CONCAT("\x", G455, "\x", H455, "=", F455)</f>
        <v>\x26\x56=댐</v>
      </c>
      <c r="M455" s="7" t="s">
        <v>432</v>
      </c>
      <c r="N455" s="6" t="str">
        <f aca="false">_xlfn.CONCAT("\x", DEC2HEX(D455+44, 2), "\x", H455, "=", M455)</f>
        <v>\x2E\x56=録</v>
      </c>
    </row>
    <row r="456" customFormat="false" ht="12.8" hidden="false" customHeight="true" outlineLevel="0" collapsed="false">
      <c r="C456" s="6" t="n">
        <f aca="false">MOD(ROW()-1, 208)</f>
        <v>39</v>
      </c>
      <c r="D456" s="6" t="n">
        <f aca="false">INT((ROW()-1)/208)</f>
        <v>2</v>
      </c>
      <c r="F456" s="6" t="str">
        <f aca="false">MID(VLOOKUP(D456,$P$1:$Q$13,2,0), 1 + C456,1)</f>
        <v>댑</v>
      </c>
      <c r="G456" s="6" t="str">
        <f aca="false">DEC2HEX(D456+36, 2)</f>
        <v>26</v>
      </c>
      <c r="H456" s="6" t="str">
        <f aca="false">DEC2HEX(C456+48,2)</f>
        <v>57</v>
      </c>
      <c r="I456" s="6" t="str">
        <f aca="false">_xlfn.CONCAT("\x", G456, "\x", H456, "=", F456)</f>
        <v>\x26\x57=댑</v>
      </c>
      <c r="M456" s="7" t="s">
        <v>433</v>
      </c>
      <c r="N456" s="6" t="str">
        <f aca="false">_xlfn.CONCAT("\x", DEC2HEX(D456+44, 2), "\x", H456, "=", M456)</f>
        <v>\x2E\x57=話</v>
      </c>
    </row>
    <row r="457" customFormat="false" ht="12.8" hidden="false" customHeight="true" outlineLevel="0" collapsed="false">
      <c r="C457" s="6" t="n">
        <f aca="false">MOD(ROW()-1, 208)</f>
        <v>40</v>
      </c>
      <c r="D457" s="6" t="n">
        <f aca="false">INT((ROW()-1)/208)</f>
        <v>2</v>
      </c>
      <c r="F457" s="6" t="str">
        <f aca="false">MID(VLOOKUP(D457,$P$1:$Q$13,2,0), 1 + C457,1)</f>
        <v>댓</v>
      </c>
      <c r="G457" s="6" t="str">
        <f aca="false">DEC2HEX(D457+36, 2)</f>
        <v>26</v>
      </c>
      <c r="H457" s="6" t="str">
        <f aca="false">DEC2HEX(C457+48,2)</f>
        <v>58</v>
      </c>
      <c r="I457" s="6" t="str">
        <f aca="false">_xlfn.CONCAT("\x", G457, "\x", H457, "=", F457)</f>
        <v>\x26\x58=댓</v>
      </c>
      <c r="M457" s="7" t="s">
        <v>434</v>
      </c>
      <c r="N457" s="6" t="str">
        <f aca="false">_xlfn.CONCAT("\x", DEC2HEX(D457+44, 2), "\x", H457, "=", M457)</f>
        <v>\x2E\x58=榴</v>
      </c>
    </row>
    <row r="458" customFormat="false" ht="12.8" hidden="false" customHeight="true" outlineLevel="0" collapsed="false">
      <c r="C458" s="6" t="n">
        <f aca="false">MOD(ROW()-1, 208)</f>
        <v>41</v>
      </c>
      <c r="D458" s="6" t="n">
        <f aca="false">INT((ROW()-1)/208)</f>
        <v>2</v>
      </c>
      <c r="F458" s="6" t="str">
        <f aca="false">MID(VLOOKUP(D458,$P$1:$Q$13,2,0), 1 + C458,1)</f>
        <v>댔</v>
      </c>
      <c r="G458" s="6" t="str">
        <f aca="false">DEC2HEX(D458+36, 2)</f>
        <v>26</v>
      </c>
      <c r="H458" s="6" t="str">
        <f aca="false">DEC2HEX(C458+48,2)</f>
        <v>59</v>
      </c>
      <c r="I458" s="6" t="str">
        <f aca="false">_xlfn.CONCAT("\x", G458, "\x", H458, "=", F458)</f>
        <v>\x26\x59=댔</v>
      </c>
      <c r="M458" s="7" t="s">
        <v>435</v>
      </c>
      <c r="N458" s="6" t="str">
        <f aca="false">_xlfn.CONCAT("\x", DEC2HEX(D458+44, 2), "\x", H458, "=", M458)</f>
        <v>\x2E\x59=々</v>
      </c>
    </row>
    <row r="459" customFormat="false" ht="12.8" hidden="false" customHeight="true" outlineLevel="0" collapsed="false">
      <c r="C459" s="6" t="n">
        <f aca="false">MOD(ROW()-1, 208)</f>
        <v>42</v>
      </c>
      <c r="D459" s="6" t="n">
        <f aca="false">INT((ROW()-1)/208)</f>
        <v>2</v>
      </c>
      <c r="F459" s="6" t="str">
        <f aca="false">MID(VLOOKUP(D459,$P$1:$Q$13,2,0), 1 + C459,1)</f>
        <v>댕</v>
      </c>
      <c r="G459" s="6" t="str">
        <f aca="false">DEC2HEX(D459+36, 2)</f>
        <v>26</v>
      </c>
      <c r="H459" s="6" t="str">
        <f aca="false">DEC2HEX(C459+48,2)</f>
        <v>5A</v>
      </c>
      <c r="I459" s="6" t="str">
        <f aca="false">_xlfn.CONCAT("\x", G459, "\x", H459, "=", F459)</f>
        <v>\x26\x5A=댕</v>
      </c>
      <c r="M459" s="7" t="s">
        <v>436</v>
      </c>
      <c r="N459" s="6" t="str">
        <f aca="false">_xlfn.CONCAT("\x", DEC2HEX(D459+44, 2), "\x", H459, "=", M459)</f>
        <v>\x2E\x5A=総</v>
      </c>
    </row>
    <row r="460" customFormat="false" ht="12.8" hidden="false" customHeight="true" outlineLevel="0" collapsed="false">
      <c r="C460" s="6" t="n">
        <f aca="false">MOD(ROW()-1, 208)</f>
        <v>43</v>
      </c>
      <c r="D460" s="6" t="n">
        <f aca="false">INT((ROW()-1)/208)</f>
        <v>2</v>
      </c>
      <c r="F460" s="6" t="str">
        <f aca="false">MID(VLOOKUP(D460,$P$1:$Q$13,2,0), 1 + C460,1)</f>
        <v>댜</v>
      </c>
      <c r="G460" s="6" t="str">
        <f aca="false">DEC2HEX(D460+36, 2)</f>
        <v>26</v>
      </c>
      <c r="H460" s="6" t="str">
        <f aca="false">DEC2HEX(C460+48,2)</f>
        <v>5B</v>
      </c>
      <c r="I460" s="6" t="str">
        <f aca="false">_xlfn.CONCAT("\x", G460, "\x", H460, "=", F460)</f>
        <v>\x26\x5B=댜</v>
      </c>
      <c r="M460" s="7" t="s">
        <v>437</v>
      </c>
      <c r="N460" s="6" t="str">
        <f aca="false">_xlfn.CONCAT("\x", DEC2HEX(D460+44, 2), "\x", H460, "=", M460)</f>
        <v>\x2E\x5B=老</v>
      </c>
    </row>
    <row r="461" customFormat="false" ht="12.8" hidden="false" customHeight="true" outlineLevel="0" collapsed="false">
      <c r="C461" s="6" t="n">
        <f aca="false">MOD(ROW()-1, 208)</f>
        <v>44</v>
      </c>
      <c r="D461" s="6" t="n">
        <f aca="false">INT((ROW()-1)/208)</f>
        <v>2</v>
      </c>
      <c r="F461" s="6" t="str">
        <f aca="false">MID(VLOOKUP(D461,$P$1:$Q$13,2,0), 1 + C461,1)</f>
        <v>더</v>
      </c>
      <c r="G461" s="6" t="str">
        <f aca="false">DEC2HEX(D461+36, 2)</f>
        <v>26</v>
      </c>
      <c r="H461" s="6" t="str">
        <f aca="false">DEC2HEX(C461+48,2)</f>
        <v>5C</v>
      </c>
      <c r="I461" s="6" t="str">
        <f aca="false">_xlfn.CONCAT("\x", G461, "\x", H461, "=", F461)</f>
        <v>\x26\x5C=더</v>
      </c>
      <c r="M461" s="7" t="s">
        <v>438</v>
      </c>
      <c r="N461" s="6" t="str">
        <f aca="false">_xlfn.CONCAT("\x", DEC2HEX(D461+44, 2), "\x", H461, "=", M461)</f>
        <v>\x2E\x5C=教</v>
      </c>
    </row>
    <row r="462" customFormat="false" ht="12.8" hidden="false" customHeight="true" outlineLevel="0" collapsed="false">
      <c r="C462" s="6" t="n">
        <f aca="false">MOD(ROW()-1, 208)</f>
        <v>45</v>
      </c>
      <c r="D462" s="6" t="n">
        <f aca="false">INT((ROW()-1)/208)</f>
        <v>2</v>
      </c>
      <c r="F462" s="6" t="str">
        <f aca="false">MID(VLOOKUP(D462,$P$1:$Q$13,2,0), 1 + C462,1)</f>
        <v>덕</v>
      </c>
      <c r="G462" s="6" t="str">
        <f aca="false">DEC2HEX(D462+36, 2)</f>
        <v>26</v>
      </c>
      <c r="H462" s="6" t="str">
        <f aca="false">DEC2HEX(C462+48,2)</f>
        <v>5D</v>
      </c>
      <c r="I462" s="6" t="str">
        <f aca="false">_xlfn.CONCAT("\x", G462, "\x", H462, "=", F462)</f>
        <v>\x26\x5D=덕</v>
      </c>
      <c r="M462" s="7" t="s">
        <v>439</v>
      </c>
      <c r="N462" s="6" t="str">
        <f aca="false">_xlfn.CONCAT("\x", DEC2HEX(D462+44, 2), "\x", H462, "=", M462)</f>
        <v>\x2E\x5D=族</v>
      </c>
    </row>
    <row r="463" customFormat="false" ht="12.8" hidden="false" customHeight="true" outlineLevel="0" collapsed="false">
      <c r="C463" s="6" t="n">
        <f aca="false">MOD(ROW()-1, 208)</f>
        <v>46</v>
      </c>
      <c r="D463" s="6" t="n">
        <f aca="false">INT((ROW()-1)/208)</f>
        <v>2</v>
      </c>
      <c r="F463" s="6" t="str">
        <f aca="false">MID(VLOOKUP(D463,$P$1:$Q$13,2,0), 1 + C463,1)</f>
        <v>덖</v>
      </c>
      <c r="G463" s="6" t="str">
        <f aca="false">DEC2HEX(D463+36, 2)</f>
        <v>26</v>
      </c>
      <c r="H463" s="6" t="str">
        <f aca="false">DEC2HEX(C463+48,2)</f>
        <v>5E</v>
      </c>
      <c r="I463" s="6" t="str">
        <f aca="false">_xlfn.CONCAT("\x", G463, "\x", H463, "=", F463)</f>
        <v>\x26\x5E=덖</v>
      </c>
      <c r="M463" s="7" t="s">
        <v>440</v>
      </c>
      <c r="N463" s="6" t="str">
        <f aca="false">_xlfn.CONCAT("\x", DEC2HEX(D463+44, 2), "\x", H463, "=", M463)</f>
        <v>\x2E\x5E=語</v>
      </c>
    </row>
    <row r="464" customFormat="false" ht="12.8" hidden="false" customHeight="true" outlineLevel="0" collapsed="false">
      <c r="C464" s="6" t="n">
        <f aca="false">MOD(ROW()-1, 208)</f>
        <v>47</v>
      </c>
      <c r="D464" s="6" t="n">
        <f aca="false">INT((ROW()-1)/208)</f>
        <v>2</v>
      </c>
      <c r="F464" s="6" t="str">
        <f aca="false">MID(VLOOKUP(D464,$P$1:$Q$13,2,0), 1 + C464,1)</f>
        <v>던</v>
      </c>
      <c r="G464" s="6" t="str">
        <f aca="false">DEC2HEX(D464+36, 2)</f>
        <v>26</v>
      </c>
      <c r="H464" s="6" t="str">
        <f aca="false">DEC2HEX(C464+48,2)</f>
        <v>5F</v>
      </c>
      <c r="I464" s="6" t="str">
        <f aca="false">_xlfn.CONCAT("\x", G464, "\x", H464, "=", F464)</f>
        <v>\x26\x5F=던</v>
      </c>
      <c r="M464" s="7" t="s">
        <v>441</v>
      </c>
      <c r="N464" s="6" t="str">
        <f aca="false">_xlfn.CONCAT("\x", DEC2HEX(D464+44, 2), "\x", H464, "=", M464)</f>
        <v>\x2E\x5F=兄</v>
      </c>
    </row>
    <row r="465" customFormat="false" ht="12.8" hidden="false" customHeight="true" outlineLevel="0" collapsed="false">
      <c r="C465" s="6" t="n">
        <f aca="false">MOD(ROW()-1, 208)</f>
        <v>48</v>
      </c>
      <c r="D465" s="6" t="n">
        <f aca="false">INT((ROW()-1)/208)</f>
        <v>2</v>
      </c>
      <c r="F465" s="6" t="str">
        <f aca="false">MID(VLOOKUP(D465,$P$1:$Q$13,2,0), 1 + C465,1)</f>
        <v>덛</v>
      </c>
      <c r="G465" s="6" t="str">
        <f aca="false">DEC2HEX(D465+36, 2)</f>
        <v>26</v>
      </c>
      <c r="H465" s="6" t="str">
        <f aca="false">DEC2HEX(C465+48,2)</f>
        <v>60</v>
      </c>
      <c r="I465" s="6" t="str">
        <f aca="false">_xlfn.CONCAT("\x", G465, "\x", H465, "=", F465)</f>
        <v>\x26\x60=덛</v>
      </c>
      <c r="M465" s="7" t="s">
        <v>442</v>
      </c>
      <c r="N465" s="6" t="str">
        <f aca="false">_xlfn.CONCAT("\x", DEC2HEX(D465+44, 2), "\x", H465, "=", M465)</f>
        <v>\x2E\x60=貴</v>
      </c>
    </row>
    <row r="466" customFormat="false" ht="12.8" hidden="false" customHeight="true" outlineLevel="0" collapsed="false">
      <c r="C466" s="6" t="n">
        <f aca="false">MOD(ROW()-1, 208)</f>
        <v>49</v>
      </c>
      <c r="D466" s="6" t="n">
        <f aca="false">INT((ROW()-1)/208)</f>
        <v>2</v>
      </c>
      <c r="F466" s="6" t="str">
        <f aca="false">MID(VLOOKUP(D466,$P$1:$Q$13,2,0), 1 + C466,1)</f>
        <v>덜</v>
      </c>
      <c r="G466" s="6" t="str">
        <f aca="false">DEC2HEX(D466+36, 2)</f>
        <v>26</v>
      </c>
      <c r="H466" s="6" t="str">
        <f aca="false">DEC2HEX(C466+48,2)</f>
        <v>61</v>
      </c>
      <c r="I466" s="6" t="str">
        <f aca="false">_xlfn.CONCAT("\x", G466, "\x", H466, "=", F466)</f>
        <v>\x26\x61=덜</v>
      </c>
      <c r="M466" s="7" t="s">
        <v>443</v>
      </c>
      <c r="N466" s="6" t="str">
        <f aca="false">_xlfn.CONCAT("\x", DEC2HEX(D466+44, 2), "\x", H466, "=", M466)</f>
        <v>\x2E\x61=勝</v>
      </c>
    </row>
    <row r="467" customFormat="false" ht="12.8" hidden="false" customHeight="true" outlineLevel="0" collapsed="false">
      <c r="C467" s="6" t="n">
        <f aca="false">MOD(ROW()-1, 208)</f>
        <v>50</v>
      </c>
      <c r="D467" s="6" t="n">
        <f aca="false">INT((ROW()-1)/208)</f>
        <v>2</v>
      </c>
      <c r="F467" s="6" t="str">
        <f aca="false">MID(VLOOKUP(D467,$P$1:$Q$13,2,0), 1 + C467,1)</f>
        <v>덞</v>
      </c>
      <c r="G467" s="6" t="str">
        <f aca="false">DEC2HEX(D467+36, 2)</f>
        <v>26</v>
      </c>
      <c r="H467" s="6" t="str">
        <f aca="false">DEC2HEX(C467+48,2)</f>
        <v>62</v>
      </c>
      <c r="I467" s="6" t="str">
        <f aca="false">_xlfn.CONCAT("\x", G467, "\x", H467, "=", F467)</f>
        <v>\x26\x62=덞</v>
      </c>
      <c r="M467" s="7" t="s">
        <v>444</v>
      </c>
      <c r="N467" s="6" t="str">
        <f aca="false">_xlfn.CONCAT("\x", DEC2HEX(D467+44, 2), "\x", H467, "=", M467)</f>
        <v>\x2E\x62=遠</v>
      </c>
    </row>
    <row r="468" customFormat="false" ht="12.8" hidden="false" customHeight="true" outlineLevel="0" collapsed="false">
      <c r="C468" s="6" t="n">
        <f aca="false">MOD(ROW()-1, 208)</f>
        <v>51</v>
      </c>
      <c r="D468" s="6" t="n">
        <f aca="false">INT((ROW()-1)/208)</f>
        <v>2</v>
      </c>
      <c r="F468" s="6" t="str">
        <f aca="false">MID(VLOOKUP(D468,$P$1:$Q$13,2,0), 1 + C468,1)</f>
        <v>덟</v>
      </c>
      <c r="G468" s="6" t="str">
        <f aca="false">DEC2HEX(D468+36, 2)</f>
        <v>26</v>
      </c>
      <c r="H468" s="6" t="str">
        <f aca="false">DEC2HEX(C468+48,2)</f>
        <v>63</v>
      </c>
      <c r="I468" s="6" t="str">
        <f aca="false">_xlfn.CONCAT("\x", G468, "\x", H468, "=", F468)</f>
        <v>\x26\x63=덟</v>
      </c>
      <c r="M468" s="7" t="s">
        <v>445</v>
      </c>
      <c r="N468" s="6" t="str">
        <f aca="false">_xlfn.CONCAT("\x", DEC2HEX(D468+44, 2), "\x", H468, "=", M468)</f>
        <v>\x2E\x63=衝</v>
      </c>
    </row>
    <row r="469" customFormat="false" ht="12.8" hidden="false" customHeight="true" outlineLevel="0" collapsed="false">
      <c r="C469" s="6" t="n">
        <f aca="false">MOD(ROW()-1, 208)</f>
        <v>52</v>
      </c>
      <c r="D469" s="6" t="n">
        <f aca="false">INT((ROW()-1)/208)</f>
        <v>2</v>
      </c>
      <c r="F469" s="6" t="str">
        <f aca="false">MID(VLOOKUP(D469,$P$1:$Q$13,2,0), 1 + C469,1)</f>
        <v>덤</v>
      </c>
      <c r="G469" s="6" t="str">
        <f aca="false">DEC2HEX(D469+36, 2)</f>
        <v>26</v>
      </c>
      <c r="H469" s="6" t="str">
        <f aca="false">DEC2HEX(C469+48,2)</f>
        <v>64</v>
      </c>
      <c r="I469" s="6" t="str">
        <f aca="false">_xlfn.CONCAT("\x", G469, "\x", H469, "=", F469)</f>
        <v>\x26\x64=덤</v>
      </c>
      <c r="M469" s="7" t="s">
        <v>446</v>
      </c>
      <c r="N469" s="6" t="str">
        <f aca="false">_xlfn.CONCAT("\x", DEC2HEX(D469+44, 2), "\x", H469, "=", M469)</f>
        <v>\x2E\x64=波</v>
      </c>
    </row>
    <row r="470" customFormat="false" ht="12.8" hidden="false" customHeight="true" outlineLevel="0" collapsed="false">
      <c r="C470" s="6" t="n">
        <f aca="false">MOD(ROW()-1, 208)</f>
        <v>53</v>
      </c>
      <c r="D470" s="6" t="n">
        <f aca="false">INT((ROW()-1)/208)</f>
        <v>2</v>
      </c>
      <c r="F470" s="6" t="str">
        <f aca="false">MID(VLOOKUP(D470,$P$1:$Q$13,2,0), 1 + C470,1)</f>
        <v>덥</v>
      </c>
      <c r="G470" s="6" t="str">
        <f aca="false">DEC2HEX(D470+36, 2)</f>
        <v>26</v>
      </c>
      <c r="H470" s="6" t="str">
        <f aca="false">DEC2HEX(C470+48,2)</f>
        <v>65</v>
      </c>
      <c r="I470" s="6" t="str">
        <f aca="false">_xlfn.CONCAT("\x", G470, "\x", H470, "=", F470)</f>
        <v>\x26\x65=덥</v>
      </c>
      <c r="M470" s="7" t="s">
        <v>447</v>
      </c>
      <c r="N470" s="6" t="str">
        <f aca="false">_xlfn.CONCAT("\x", DEC2HEX(D470+44, 2), "\x", H470, "=", M470)</f>
        <v>\x2E\x65=準</v>
      </c>
    </row>
    <row r="471" customFormat="false" ht="12.8" hidden="false" customHeight="true" outlineLevel="0" collapsed="false">
      <c r="C471" s="6" t="n">
        <f aca="false">MOD(ROW()-1, 208)</f>
        <v>54</v>
      </c>
      <c r="D471" s="6" t="n">
        <f aca="false">INT((ROW()-1)/208)</f>
        <v>2</v>
      </c>
      <c r="F471" s="6" t="str">
        <f aca="false">MID(VLOOKUP(D471,$P$1:$Q$13,2,0), 1 + C471,1)</f>
        <v>덧</v>
      </c>
      <c r="G471" s="6" t="str">
        <f aca="false">DEC2HEX(D471+36, 2)</f>
        <v>26</v>
      </c>
      <c r="H471" s="6" t="str">
        <f aca="false">DEC2HEX(C471+48,2)</f>
        <v>66</v>
      </c>
      <c r="I471" s="6" t="str">
        <f aca="false">_xlfn.CONCAT("\x", G471, "\x", H471, "=", F471)</f>
        <v>\x26\x66=덧</v>
      </c>
      <c r="M471" s="7" t="s">
        <v>448</v>
      </c>
      <c r="N471" s="6" t="str">
        <f aca="false">_xlfn.CONCAT("\x", DEC2HEX(D471+44, 2), "\x", H471, "=", M471)</f>
        <v>\x2E\x66=明</v>
      </c>
    </row>
    <row r="472" customFormat="false" ht="12.8" hidden="false" customHeight="true" outlineLevel="0" collapsed="false">
      <c r="C472" s="6" t="n">
        <f aca="false">MOD(ROW()-1, 208)</f>
        <v>55</v>
      </c>
      <c r="D472" s="6" t="n">
        <f aca="false">INT((ROW()-1)/208)</f>
        <v>2</v>
      </c>
      <c r="F472" s="6" t="str">
        <f aca="false">MID(VLOOKUP(D472,$P$1:$Q$13,2,0), 1 + C472,1)</f>
        <v>덩</v>
      </c>
      <c r="G472" s="6" t="str">
        <f aca="false">DEC2HEX(D472+36, 2)</f>
        <v>26</v>
      </c>
      <c r="H472" s="6" t="str">
        <f aca="false">DEC2HEX(C472+48,2)</f>
        <v>67</v>
      </c>
      <c r="I472" s="6" t="str">
        <f aca="false">_xlfn.CONCAT("\x", G472, "\x", H472, "=", F472)</f>
        <v>\x26\x67=덩</v>
      </c>
      <c r="M472" s="7" t="s">
        <v>449</v>
      </c>
      <c r="N472" s="6" t="str">
        <f aca="false">_xlfn.CONCAT("\x", DEC2HEX(D472+44, 2), "\x", H472, "=", M472)</f>
        <v>\x2E\x67=志</v>
      </c>
    </row>
    <row r="473" customFormat="false" ht="12.8" hidden="false" customHeight="true" outlineLevel="0" collapsed="false">
      <c r="C473" s="6" t="n">
        <f aca="false">MOD(ROW()-1, 208)</f>
        <v>56</v>
      </c>
      <c r="D473" s="6" t="n">
        <f aca="false">INT((ROW()-1)/208)</f>
        <v>2</v>
      </c>
      <c r="F473" s="6" t="str">
        <f aca="false">MID(VLOOKUP(D473,$P$1:$Q$13,2,0), 1 + C473,1)</f>
        <v>덫</v>
      </c>
      <c r="G473" s="6" t="str">
        <f aca="false">DEC2HEX(D473+36, 2)</f>
        <v>26</v>
      </c>
      <c r="H473" s="6" t="str">
        <f aca="false">DEC2HEX(C473+48,2)</f>
        <v>68</v>
      </c>
      <c r="I473" s="6" t="str">
        <f aca="false">_xlfn.CONCAT("\x", G473, "\x", H473, "=", F473)</f>
        <v>\x26\x68=덫</v>
      </c>
      <c r="M473" s="7" t="s">
        <v>450</v>
      </c>
      <c r="N473" s="6" t="str">
        <f aca="false">_xlfn.CONCAT("\x", DEC2HEX(D473+44, 2), "\x", H473, "=", M473)</f>
        <v>\x2E\x68=憤</v>
      </c>
    </row>
    <row r="474" customFormat="false" ht="12.8" hidden="false" customHeight="true" outlineLevel="0" collapsed="false">
      <c r="C474" s="6" t="n">
        <f aca="false">MOD(ROW()-1, 208)</f>
        <v>57</v>
      </c>
      <c r="D474" s="6" t="n">
        <f aca="false">INT((ROW()-1)/208)</f>
        <v>2</v>
      </c>
      <c r="F474" s="6" t="str">
        <f aca="false">MID(VLOOKUP(D474,$P$1:$Q$13,2,0), 1 + C474,1)</f>
        <v>덮</v>
      </c>
      <c r="G474" s="6" t="str">
        <f aca="false">DEC2HEX(D474+36, 2)</f>
        <v>26</v>
      </c>
      <c r="H474" s="6" t="str">
        <f aca="false">DEC2HEX(C474+48,2)</f>
        <v>69</v>
      </c>
      <c r="I474" s="6" t="str">
        <f aca="false">_xlfn.CONCAT("\x", G474, "\x", H474, "=", F474)</f>
        <v>\x26\x69=덮</v>
      </c>
      <c r="M474" s="7" t="s">
        <v>451</v>
      </c>
      <c r="N474" s="6" t="str">
        <f aca="false">_xlfn.CONCAT("\x", DEC2HEX(D474+44, 2), "\x", H474, "=", M474)</f>
        <v>\x2E\x69=怒</v>
      </c>
    </row>
    <row r="475" customFormat="false" ht="12.8" hidden="false" customHeight="true" outlineLevel="0" collapsed="false">
      <c r="C475" s="6" t="n">
        <f aca="false">MOD(ROW()-1, 208)</f>
        <v>58</v>
      </c>
      <c r="D475" s="6" t="n">
        <f aca="false">INT((ROW()-1)/208)</f>
        <v>2</v>
      </c>
      <c r="F475" s="6" t="str">
        <f aca="false">MID(VLOOKUP(D475,$P$1:$Q$13,2,0), 1 + C475,1)</f>
        <v>데</v>
      </c>
      <c r="G475" s="6" t="str">
        <f aca="false">DEC2HEX(D475+36, 2)</f>
        <v>26</v>
      </c>
      <c r="H475" s="6" t="str">
        <f aca="false">DEC2HEX(C475+48,2)</f>
        <v>6A</v>
      </c>
      <c r="I475" s="6" t="str">
        <f aca="false">_xlfn.CONCAT("\x", G475, "\x", H475, "=", F475)</f>
        <v>\x26\x6A=데</v>
      </c>
      <c r="M475" s="7" t="s">
        <v>452</v>
      </c>
      <c r="N475" s="6" t="str">
        <f aca="false">_xlfn.CONCAT("\x", DEC2HEX(D475+44, 2), "\x", H475, "=", M475)</f>
        <v>\x2E\x6A=苦</v>
      </c>
    </row>
    <row r="476" customFormat="false" ht="12.8" hidden="false" customHeight="true" outlineLevel="0" collapsed="false">
      <c r="C476" s="6" t="n">
        <f aca="false">MOD(ROW()-1, 208)</f>
        <v>59</v>
      </c>
      <c r="D476" s="6" t="n">
        <f aca="false">INT((ROW()-1)/208)</f>
        <v>2</v>
      </c>
      <c r="F476" s="6" t="str">
        <f aca="false">MID(VLOOKUP(D476,$P$1:$Q$13,2,0), 1 + C476,1)</f>
        <v>덱</v>
      </c>
      <c r="G476" s="6" t="str">
        <f aca="false">DEC2HEX(D476+36, 2)</f>
        <v>26</v>
      </c>
      <c r="H476" s="6" t="str">
        <f aca="false">DEC2HEX(C476+48,2)</f>
        <v>6B</v>
      </c>
      <c r="I476" s="6" t="str">
        <f aca="false">_xlfn.CONCAT("\x", G476, "\x", H476, "=", F476)</f>
        <v>\x26\x6B=덱</v>
      </c>
      <c r="M476" s="7" t="s">
        <v>453</v>
      </c>
      <c r="N476" s="6" t="str">
        <f aca="false">_xlfn.CONCAT("\x", DEC2HEX(D476+44, 2), "\x", H476, "=", M476)</f>
        <v>\x2E\x6B=肉</v>
      </c>
    </row>
    <row r="477" customFormat="false" ht="12.8" hidden="false" customHeight="true" outlineLevel="0" collapsed="false">
      <c r="C477" s="6" t="n">
        <f aca="false">MOD(ROW()-1, 208)</f>
        <v>60</v>
      </c>
      <c r="D477" s="6" t="n">
        <f aca="false">INT((ROW()-1)/208)</f>
        <v>2</v>
      </c>
      <c r="F477" s="6" t="str">
        <f aca="false">MID(VLOOKUP(D477,$P$1:$Q$13,2,0), 1 + C477,1)</f>
        <v>덴</v>
      </c>
      <c r="G477" s="6" t="str">
        <f aca="false">DEC2HEX(D477+36, 2)</f>
        <v>26</v>
      </c>
      <c r="H477" s="6" t="str">
        <f aca="false">DEC2HEX(C477+48,2)</f>
        <v>6C</v>
      </c>
      <c r="I477" s="6" t="str">
        <f aca="false">_xlfn.CONCAT("\x", G477, "\x", H477, "=", F477)</f>
        <v>\x26\x6C=덴</v>
      </c>
      <c r="M477" s="7" t="s">
        <v>454</v>
      </c>
      <c r="N477" s="6" t="str">
        <f aca="false">_xlfn.CONCAT("\x", DEC2HEX(D477+44, 2), "\x", H477, "=", M477)</f>
        <v>\x2E\x6C=慈</v>
      </c>
    </row>
    <row r="478" customFormat="false" ht="12.8" hidden="false" customHeight="true" outlineLevel="0" collapsed="false">
      <c r="C478" s="6" t="n">
        <f aca="false">MOD(ROW()-1, 208)</f>
        <v>61</v>
      </c>
      <c r="D478" s="6" t="n">
        <f aca="false">INT((ROW()-1)/208)</f>
        <v>2</v>
      </c>
      <c r="F478" s="6" t="str">
        <f aca="false">MID(VLOOKUP(D478,$P$1:$Q$13,2,0), 1 + C478,1)</f>
        <v>델</v>
      </c>
      <c r="G478" s="6" t="str">
        <f aca="false">DEC2HEX(D478+36, 2)</f>
        <v>26</v>
      </c>
      <c r="H478" s="6" t="str">
        <f aca="false">DEC2HEX(C478+48,2)</f>
        <v>6D</v>
      </c>
      <c r="I478" s="6" t="str">
        <f aca="false">_xlfn.CONCAT("\x", G478, "\x", H478, "=", F478)</f>
        <v>\x26\x6D=델</v>
      </c>
      <c r="M478" s="7" t="s">
        <v>455</v>
      </c>
      <c r="N478" s="6" t="str">
        <f aca="false">_xlfn.CONCAT("\x", DEC2HEX(D478+44, 2), "\x", H478, "=", M478)</f>
        <v>\x2E\x6D=愛</v>
      </c>
    </row>
    <row r="479" customFormat="false" ht="12.8" hidden="false" customHeight="true" outlineLevel="0" collapsed="false">
      <c r="C479" s="6" t="n">
        <f aca="false">MOD(ROW()-1, 208)</f>
        <v>62</v>
      </c>
      <c r="D479" s="6" t="n">
        <f aca="false">INT((ROW()-1)/208)</f>
        <v>2</v>
      </c>
      <c r="F479" s="6" t="str">
        <f aca="false">MID(VLOOKUP(D479,$P$1:$Q$13,2,0), 1 + C479,1)</f>
        <v>뎀</v>
      </c>
      <c r="G479" s="6" t="str">
        <f aca="false">DEC2HEX(D479+36, 2)</f>
        <v>26</v>
      </c>
      <c r="H479" s="6" t="str">
        <f aca="false">DEC2HEX(C479+48,2)</f>
        <v>6E</v>
      </c>
      <c r="I479" s="6" t="str">
        <f aca="false">_xlfn.CONCAT("\x", G479, "\x", H479, "=", F479)</f>
        <v>\x26\x6E=뎀</v>
      </c>
      <c r="M479" s="7" t="s">
        <v>456</v>
      </c>
      <c r="N479" s="6" t="str">
        <f aca="false">_xlfn.CONCAT("\x", DEC2HEX(D479+44, 2), "\x", H479, "=", M479)</f>
        <v>\x2E\x6E=策</v>
      </c>
    </row>
    <row r="480" customFormat="false" ht="12.8" hidden="false" customHeight="true" outlineLevel="0" collapsed="false">
      <c r="C480" s="6" t="n">
        <f aca="false">MOD(ROW()-1, 208)</f>
        <v>63</v>
      </c>
      <c r="D480" s="6" t="n">
        <f aca="false">INT((ROW()-1)/208)</f>
        <v>2</v>
      </c>
      <c r="F480" s="6" t="str">
        <f aca="false">MID(VLOOKUP(D480,$P$1:$Q$13,2,0), 1 + C480,1)</f>
        <v>뎁</v>
      </c>
      <c r="G480" s="6" t="str">
        <f aca="false">DEC2HEX(D480+36, 2)</f>
        <v>26</v>
      </c>
      <c r="H480" s="6" t="str">
        <f aca="false">DEC2HEX(C480+48,2)</f>
        <v>6F</v>
      </c>
      <c r="I480" s="6" t="str">
        <f aca="false">_xlfn.CONCAT("\x", G480, "\x", H480, "=", F480)</f>
        <v>\x26\x6F=뎁</v>
      </c>
      <c r="M480" s="7" t="s">
        <v>457</v>
      </c>
      <c r="N480" s="6" t="str">
        <f aca="false">_xlfn.CONCAT("\x", DEC2HEX(D480+44, 2), "\x", H480, "=", M480)</f>
        <v>\x2E\x6F=略</v>
      </c>
    </row>
    <row r="481" customFormat="false" ht="12.8" hidden="false" customHeight="true" outlineLevel="0" collapsed="false">
      <c r="C481" s="6" t="n">
        <f aca="false">MOD(ROW()-1, 208)</f>
        <v>64</v>
      </c>
      <c r="D481" s="6" t="n">
        <f aca="false">INT((ROW()-1)/208)</f>
        <v>2</v>
      </c>
      <c r="F481" s="6" t="str">
        <f aca="false">MID(VLOOKUP(D481,$P$1:$Q$13,2,0), 1 + C481,1)</f>
        <v>뎃</v>
      </c>
      <c r="G481" s="6" t="str">
        <f aca="false">DEC2HEX(D481+36, 2)</f>
        <v>26</v>
      </c>
      <c r="H481" s="6" t="str">
        <f aca="false">DEC2HEX(C481+48,2)</f>
        <v>70</v>
      </c>
      <c r="I481" s="6" t="str">
        <f aca="false">_xlfn.CONCAT("\x", G481, "\x", H481, "=", F481)</f>
        <v>\x26\x70=뎃</v>
      </c>
      <c r="M481" s="7" t="s">
        <v>458</v>
      </c>
      <c r="N481" s="6" t="str">
        <f aca="false">_xlfn.CONCAT("\x", DEC2HEX(D481+44, 2), "\x", H481, "=", M481)</f>
        <v>\x2E\x70=華</v>
      </c>
    </row>
    <row r="482" customFormat="false" ht="12.8" hidden="false" customHeight="true" outlineLevel="0" collapsed="false">
      <c r="C482" s="6" t="n">
        <f aca="false">MOD(ROW()-1, 208)</f>
        <v>65</v>
      </c>
      <c r="D482" s="6" t="n">
        <f aca="false">INT((ROW()-1)/208)</f>
        <v>2</v>
      </c>
      <c r="F482" s="6" t="str">
        <f aca="false">MID(VLOOKUP(D482,$P$1:$Q$13,2,0), 1 + C482,1)</f>
        <v>뎄</v>
      </c>
      <c r="G482" s="6" t="str">
        <f aca="false">DEC2HEX(D482+36, 2)</f>
        <v>26</v>
      </c>
      <c r="H482" s="6" t="str">
        <f aca="false">DEC2HEX(C482+48,2)</f>
        <v>71</v>
      </c>
      <c r="I482" s="6" t="str">
        <f aca="false">_xlfn.CONCAT("\x", G482, "\x", H482, "=", F482)</f>
        <v>\x26\x71=뎄</v>
      </c>
      <c r="M482" s="7" t="s">
        <v>459</v>
      </c>
      <c r="N482" s="6" t="str">
        <f aca="false">_xlfn.CONCAT("\x", DEC2HEX(D482+44, 2), "\x", H482, "=", M482)</f>
        <v>\x2E\x71=麗</v>
      </c>
    </row>
    <row r="483" customFormat="false" ht="12.8" hidden="false" customHeight="true" outlineLevel="0" collapsed="false">
      <c r="C483" s="6" t="n">
        <f aca="false">MOD(ROW()-1, 208)</f>
        <v>66</v>
      </c>
      <c r="D483" s="6" t="n">
        <f aca="false">INT((ROW()-1)/208)</f>
        <v>2</v>
      </c>
      <c r="F483" s="6" t="str">
        <f aca="false">MID(VLOOKUP(D483,$P$1:$Q$13,2,0), 1 + C483,1)</f>
        <v>뎅</v>
      </c>
      <c r="G483" s="6" t="str">
        <f aca="false">DEC2HEX(D483+36, 2)</f>
        <v>26</v>
      </c>
      <c r="H483" s="6" t="str">
        <f aca="false">DEC2HEX(C483+48,2)</f>
        <v>72</v>
      </c>
      <c r="I483" s="6" t="str">
        <f aca="false">_xlfn.CONCAT("\x", G483, "\x", H483, "=", F483)</f>
        <v>\x26\x72=뎅</v>
      </c>
      <c r="M483" s="7" t="s">
        <v>460</v>
      </c>
      <c r="N483" s="6" t="str">
        <f aca="false">_xlfn.CONCAT("\x", DEC2HEX(D483+44, 2), "\x", H483, "=", M483)</f>
        <v>\x2E\x72=悲</v>
      </c>
    </row>
    <row r="484" customFormat="false" ht="12.8" hidden="false" customHeight="true" outlineLevel="0" collapsed="false">
      <c r="C484" s="6" t="n">
        <f aca="false">MOD(ROW()-1, 208)</f>
        <v>67</v>
      </c>
      <c r="D484" s="6" t="n">
        <f aca="false">INT((ROW()-1)/208)</f>
        <v>2</v>
      </c>
      <c r="F484" s="6" t="str">
        <f aca="false">MID(VLOOKUP(D484,$P$1:$Q$13,2,0), 1 + C484,1)</f>
        <v>뎌</v>
      </c>
      <c r="G484" s="6" t="str">
        <f aca="false">DEC2HEX(D484+36, 2)</f>
        <v>26</v>
      </c>
      <c r="H484" s="6" t="str">
        <f aca="false">DEC2HEX(C484+48,2)</f>
        <v>73</v>
      </c>
      <c r="I484" s="6" t="str">
        <f aca="false">_xlfn.CONCAT("\x", G484, "\x", H484, "=", F484)</f>
        <v>\x26\x73=뎌</v>
      </c>
      <c r="M484" s="7" t="s">
        <v>461</v>
      </c>
      <c r="N484" s="6" t="str">
        <f aca="false">_xlfn.CONCAT("\x", DEC2HEX(D484+44, 2), "\x", H484, "=", M484)</f>
        <v>\x2E\x73=哀</v>
      </c>
    </row>
    <row r="485" customFormat="false" ht="12.8" hidden="false" customHeight="true" outlineLevel="0" collapsed="false">
      <c r="C485" s="6" t="n">
        <f aca="false">MOD(ROW()-1, 208)</f>
        <v>68</v>
      </c>
      <c r="D485" s="6" t="n">
        <f aca="false">INT((ROW()-1)/208)</f>
        <v>2</v>
      </c>
      <c r="F485" s="6" t="str">
        <f aca="false">MID(VLOOKUP(D485,$P$1:$Q$13,2,0), 1 + C485,1)</f>
        <v>뎐</v>
      </c>
      <c r="G485" s="6" t="str">
        <f aca="false">DEC2HEX(D485+36, 2)</f>
        <v>26</v>
      </c>
      <c r="H485" s="6" t="str">
        <f aca="false">DEC2HEX(C485+48,2)</f>
        <v>74</v>
      </c>
      <c r="I485" s="6" t="str">
        <f aca="false">_xlfn.CONCAT("\x", G485, "\x", H485, "=", F485)</f>
        <v>\x26\x74=뎐</v>
      </c>
      <c r="M485" s="7" t="s">
        <v>462</v>
      </c>
      <c r="N485" s="6" t="str">
        <f aca="false">_xlfn.CONCAT("\x", DEC2HEX(D485+44, 2), "\x", H485, "=", M485)</f>
        <v>\x2E\x74=凱</v>
      </c>
    </row>
    <row r="486" customFormat="false" ht="12.8" hidden="false" customHeight="true" outlineLevel="0" collapsed="false">
      <c r="C486" s="6" t="n">
        <f aca="false">MOD(ROW()-1, 208)</f>
        <v>69</v>
      </c>
      <c r="D486" s="6" t="n">
        <f aca="false">INT((ROW()-1)/208)</f>
        <v>2</v>
      </c>
      <c r="F486" s="6" t="str">
        <f aca="false">MID(VLOOKUP(D486,$P$1:$Q$13,2,0), 1 + C486,1)</f>
        <v>뎔</v>
      </c>
      <c r="G486" s="6" t="str">
        <f aca="false">DEC2HEX(D486+36, 2)</f>
        <v>26</v>
      </c>
      <c r="H486" s="6" t="str">
        <f aca="false">DEC2HEX(C486+48,2)</f>
        <v>75</v>
      </c>
      <c r="I486" s="6" t="str">
        <f aca="false">_xlfn.CONCAT("\x", G486, "\x", H486, "=", F486)</f>
        <v>\x26\x75=뎔</v>
      </c>
      <c r="M486" s="7" t="s">
        <v>463</v>
      </c>
      <c r="N486" s="6" t="str">
        <f aca="false">_xlfn.CONCAT("\x", DEC2HEX(D486+44, 2), "\x", H486, "=", M486)</f>
        <v>\x2E\x75=歌</v>
      </c>
    </row>
    <row r="487" customFormat="false" ht="12.8" hidden="false" customHeight="true" outlineLevel="0" collapsed="false">
      <c r="C487" s="6" t="n">
        <f aca="false">MOD(ROW()-1, 208)</f>
        <v>70</v>
      </c>
      <c r="D487" s="6" t="n">
        <f aca="false">INT((ROW()-1)/208)</f>
        <v>2</v>
      </c>
      <c r="F487" s="6" t="str">
        <f aca="false">MID(VLOOKUP(D487,$P$1:$Q$13,2,0), 1 + C487,1)</f>
        <v>뎠</v>
      </c>
      <c r="G487" s="6" t="str">
        <f aca="false">DEC2HEX(D487+36, 2)</f>
        <v>26</v>
      </c>
      <c r="H487" s="6" t="str">
        <f aca="false">DEC2HEX(C487+48,2)</f>
        <v>76</v>
      </c>
      <c r="I487" s="6" t="str">
        <f aca="false">_xlfn.CONCAT("\x", G487, "\x", H487, "=", F487)</f>
        <v>\x26\x76=뎠</v>
      </c>
      <c r="M487" s="7" t="s">
        <v>464</v>
      </c>
      <c r="N487" s="6" t="str">
        <f aca="false">_xlfn.CONCAT("\x", DEC2HEX(D487+44, 2), "\x", H487, "=", M487)</f>
        <v>\x2E\x76=英</v>
      </c>
    </row>
    <row r="488" customFormat="false" ht="12.8" hidden="false" customHeight="true" outlineLevel="0" collapsed="false">
      <c r="C488" s="6" t="n">
        <f aca="false">MOD(ROW()-1, 208)</f>
        <v>71</v>
      </c>
      <c r="D488" s="6" t="n">
        <f aca="false">INT((ROW()-1)/208)</f>
        <v>2</v>
      </c>
      <c r="F488" s="6" t="str">
        <f aca="false">MID(VLOOKUP(D488,$P$1:$Q$13,2,0), 1 + C488,1)</f>
        <v>뎡</v>
      </c>
      <c r="G488" s="6" t="str">
        <f aca="false">DEC2HEX(D488+36, 2)</f>
        <v>26</v>
      </c>
      <c r="H488" s="6" t="str">
        <f aca="false">DEC2HEX(C488+48,2)</f>
        <v>77</v>
      </c>
      <c r="I488" s="6" t="str">
        <f aca="false">_xlfn.CONCAT("\x", G488, "\x", H488, "=", F488)</f>
        <v>\x26\x77=뎡</v>
      </c>
      <c r="M488" s="7" t="s">
        <v>465</v>
      </c>
      <c r="N488" s="6" t="str">
        <f aca="false">_xlfn.CONCAT("\x", DEC2HEX(D488+44, 2), "\x", H488, "=", M488)</f>
        <v>\x2E\x77=雄</v>
      </c>
    </row>
    <row r="489" customFormat="false" ht="12.8" hidden="false" customHeight="true" outlineLevel="0" collapsed="false">
      <c r="C489" s="6" t="n">
        <f aca="false">MOD(ROW()-1, 208)</f>
        <v>72</v>
      </c>
      <c r="D489" s="6" t="n">
        <f aca="false">INT((ROW()-1)/208)</f>
        <v>2</v>
      </c>
      <c r="F489" s="6" t="str">
        <f aca="false">MID(VLOOKUP(D489,$P$1:$Q$13,2,0), 1 + C489,1)</f>
        <v>뎨</v>
      </c>
      <c r="G489" s="6" t="str">
        <f aca="false">DEC2HEX(D489+36, 2)</f>
        <v>26</v>
      </c>
      <c r="H489" s="6" t="str">
        <f aca="false">DEC2HEX(C489+48,2)</f>
        <v>78</v>
      </c>
      <c r="I489" s="6" t="str">
        <f aca="false">_xlfn.CONCAT("\x", G489, "\x", H489, "=", F489)</f>
        <v>\x26\x78=뎨</v>
      </c>
      <c r="M489" s="7" t="s">
        <v>466</v>
      </c>
      <c r="N489" s="6" t="str">
        <f aca="false">_xlfn.CONCAT("\x", DEC2HEX(D489+44, 2), "\x", H489, "=", M489)</f>
        <v>\x2E\x78=磐</v>
      </c>
    </row>
    <row r="490" customFormat="false" ht="12.8" hidden="false" customHeight="true" outlineLevel="0" collapsed="false">
      <c r="C490" s="6" t="n">
        <f aca="false">MOD(ROW()-1, 208)</f>
        <v>73</v>
      </c>
      <c r="D490" s="6" t="n">
        <f aca="false">INT((ROW()-1)/208)</f>
        <v>2</v>
      </c>
      <c r="F490" s="6" t="str">
        <f aca="false">MID(VLOOKUP(D490,$P$1:$Q$13,2,0), 1 + C490,1)</f>
        <v>뎬</v>
      </c>
      <c r="G490" s="6" t="str">
        <f aca="false">DEC2HEX(D490+36, 2)</f>
        <v>26</v>
      </c>
      <c r="H490" s="6" t="str">
        <f aca="false">DEC2HEX(C490+48,2)</f>
        <v>79</v>
      </c>
      <c r="I490" s="6" t="str">
        <f aca="false">_xlfn.CONCAT("\x", G490, "\x", H490, "=", F490)</f>
        <v>\x26\x79=뎬</v>
      </c>
      <c r="M490" s="7" t="s">
        <v>467</v>
      </c>
      <c r="N490" s="6" t="str">
        <f aca="false">_xlfn.CONCAT("\x", DEC2HEX(D490+44, 2), "\x", H490, "=", M490)</f>
        <v>\x2E\x79=利</v>
      </c>
    </row>
    <row r="491" customFormat="false" ht="12.8" hidden="false" customHeight="true" outlineLevel="0" collapsed="false">
      <c r="C491" s="6" t="n">
        <f aca="false">MOD(ROW()-1, 208)</f>
        <v>74</v>
      </c>
      <c r="D491" s="6" t="n">
        <f aca="false">INT((ROW()-1)/208)</f>
        <v>2</v>
      </c>
      <c r="F491" s="6" t="str">
        <f aca="false">MID(VLOOKUP(D491,$P$1:$Q$13,2,0), 1 + C491,1)</f>
        <v>도</v>
      </c>
      <c r="G491" s="6" t="str">
        <f aca="false">DEC2HEX(D491+36, 2)</f>
        <v>26</v>
      </c>
      <c r="H491" s="6" t="str">
        <f aca="false">DEC2HEX(C491+48,2)</f>
        <v>7A</v>
      </c>
      <c r="I491" s="6" t="str">
        <f aca="false">_xlfn.CONCAT("\x", G491, "\x", H491, "=", F491)</f>
        <v>\x26\x7A=도</v>
      </c>
      <c r="M491" s="7" t="s">
        <v>468</v>
      </c>
      <c r="N491" s="6" t="str">
        <f aca="false">_xlfn.CONCAT("\x", DEC2HEX(D491+44, 2), "\x", H491, "=", M491)</f>
        <v>\x2E\x7A=恥</v>
      </c>
    </row>
    <row r="492" customFormat="false" ht="12.8" hidden="false" customHeight="true" outlineLevel="0" collapsed="false">
      <c r="C492" s="6" t="n">
        <f aca="false">MOD(ROW()-1, 208)</f>
        <v>75</v>
      </c>
      <c r="D492" s="6" t="n">
        <f aca="false">INT((ROW()-1)/208)</f>
        <v>2</v>
      </c>
      <c r="F492" s="6" t="str">
        <f aca="false">MID(VLOOKUP(D492,$P$1:$Q$13,2,0), 1 + C492,1)</f>
        <v>독</v>
      </c>
      <c r="G492" s="6" t="str">
        <f aca="false">DEC2HEX(D492+36, 2)</f>
        <v>26</v>
      </c>
      <c r="H492" s="6" t="str">
        <f aca="false">DEC2HEX(C492+48,2)</f>
        <v>7B</v>
      </c>
      <c r="I492" s="6" t="str">
        <f aca="false">_xlfn.CONCAT("\x", G492, "\x", H492, "=", F492)</f>
        <v>\x26\x7B=독</v>
      </c>
      <c r="M492" s="7" t="s">
        <v>469</v>
      </c>
      <c r="N492" s="6" t="str">
        <f aca="false">_xlfn.CONCAT("\x", DEC2HEX(D492+44, 2), "\x", H492, "=", M492)</f>
        <v>\x2E\x7B=辱</v>
      </c>
    </row>
    <row r="493" customFormat="false" ht="12.8" hidden="false" customHeight="true" outlineLevel="0" collapsed="false">
      <c r="C493" s="6" t="n">
        <f aca="false">MOD(ROW()-1, 208)</f>
        <v>76</v>
      </c>
      <c r="D493" s="6" t="n">
        <f aca="false">INT((ROW()-1)/208)</f>
        <v>2</v>
      </c>
      <c r="F493" s="6" t="str">
        <f aca="false">MID(VLOOKUP(D493,$P$1:$Q$13,2,0), 1 + C493,1)</f>
        <v>돈</v>
      </c>
      <c r="G493" s="6" t="str">
        <f aca="false">DEC2HEX(D493+36, 2)</f>
        <v>26</v>
      </c>
      <c r="H493" s="6" t="str">
        <f aca="false">DEC2HEX(C493+48,2)</f>
        <v>7C</v>
      </c>
      <c r="I493" s="6" t="str">
        <f aca="false">_xlfn.CONCAT("\x", G493, "\x", H493, "=", F493)</f>
        <v>\x26\x7C=돈</v>
      </c>
      <c r="M493" s="7" t="s">
        <v>470</v>
      </c>
      <c r="N493" s="6" t="str">
        <f aca="false">_xlfn.CONCAT("\x", DEC2HEX(D493+44, 2), "\x", H493, "=", M493)</f>
        <v>\x2E\x7C=峙</v>
      </c>
    </row>
    <row r="494" customFormat="false" ht="12.8" hidden="false" customHeight="true" outlineLevel="0" collapsed="false">
      <c r="C494" s="6" t="n">
        <f aca="false">MOD(ROW()-1, 208)</f>
        <v>77</v>
      </c>
      <c r="D494" s="6" t="n">
        <f aca="false">INT((ROW()-1)/208)</f>
        <v>2</v>
      </c>
      <c r="F494" s="6" t="str">
        <f aca="false">MID(VLOOKUP(D494,$P$1:$Q$13,2,0), 1 + C494,1)</f>
        <v>돋</v>
      </c>
      <c r="G494" s="6" t="str">
        <f aca="false">DEC2HEX(D494+36, 2)</f>
        <v>26</v>
      </c>
      <c r="H494" s="6" t="str">
        <f aca="false">DEC2HEX(C494+48,2)</f>
        <v>7D</v>
      </c>
      <c r="I494" s="6" t="str">
        <f aca="false">_xlfn.CONCAT("\x", G494, "\x", H494, "=", F494)</f>
        <v>\x26\x7D=돋</v>
      </c>
      <c r="M494" s="7" t="s">
        <v>471</v>
      </c>
      <c r="N494" s="6" t="str">
        <f aca="false">_xlfn.CONCAT("\x", DEC2HEX(D494+44, 2), "\x", H494, "=", M494)</f>
        <v>\x2E\x7D=危</v>
      </c>
    </row>
    <row r="495" customFormat="false" ht="12.8" hidden="false" customHeight="true" outlineLevel="0" collapsed="false">
      <c r="C495" s="6" t="n">
        <f aca="false">MOD(ROW()-1, 208)</f>
        <v>78</v>
      </c>
      <c r="D495" s="6" t="n">
        <f aca="false">INT((ROW()-1)/208)</f>
        <v>2</v>
      </c>
      <c r="F495" s="6" t="str">
        <f aca="false">MID(VLOOKUP(D495,$P$1:$Q$13,2,0), 1 + C495,1)</f>
        <v>돌</v>
      </c>
      <c r="G495" s="6" t="str">
        <f aca="false">DEC2HEX(D495+36, 2)</f>
        <v>26</v>
      </c>
      <c r="H495" s="6" t="str">
        <f aca="false">DEC2HEX(C495+48,2)</f>
        <v>7E</v>
      </c>
      <c r="I495" s="6" t="str">
        <f aca="false">_xlfn.CONCAT("\x", G495, "\x", H495, "=", F495)</f>
        <v>\x26\x7E=돌</v>
      </c>
      <c r="M495" s="7" t="s">
        <v>472</v>
      </c>
      <c r="N495" s="6" t="str">
        <f aca="false">_xlfn.CONCAT("\x", DEC2HEX(D495+44, 2), "\x", H495, "=", M495)</f>
        <v>\x2E\x7E=孤</v>
      </c>
    </row>
    <row r="496" customFormat="false" ht="12.8" hidden="false" customHeight="true" outlineLevel="0" collapsed="false">
      <c r="C496" s="6" t="n">
        <f aca="false">MOD(ROW()-1, 208)</f>
        <v>79</v>
      </c>
      <c r="D496" s="6" t="n">
        <f aca="false">INT((ROW()-1)/208)</f>
        <v>2</v>
      </c>
      <c r="F496" s="6" t="str">
        <f aca="false">MID(VLOOKUP(D496,$P$1:$Q$13,2,0), 1 + C496,1)</f>
        <v>돎</v>
      </c>
      <c r="G496" s="6" t="str">
        <f aca="false">DEC2HEX(D496+36, 2)</f>
        <v>26</v>
      </c>
      <c r="H496" s="6" t="str">
        <f aca="false">DEC2HEX(C496+48,2)</f>
        <v>7F</v>
      </c>
      <c r="I496" s="6" t="str">
        <f aca="false">_xlfn.CONCAT("\x", G496, "\x", H496, "=", F496)</f>
        <v>\x26\x7F=돎</v>
      </c>
      <c r="M496" s="7" t="s">
        <v>473</v>
      </c>
      <c r="N496" s="6" t="str">
        <f aca="false">_xlfn.CONCAT("\x", DEC2HEX(D496+44, 2), "\x", H496, "=", M496)</f>
        <v>\x2E\x7F=窮</v>
      </c>
    </row>
    <row r="497" customFormat="false" ht="12.8" hidden="false" customHeight="true" outlineLevel="0" collapsed="false">
      <c r="C497" s="6" t="n">
        <f aca="false">MOD(ROW()-1, 208)</f>
        <v>80</v>
      </c>
      <c r="D497" s="6" t="n">
        <f aca="false">INT((ROW()-1)/208)</f>
        <v>2</v>
      </c>
      <c r="F497" s="6" t="str">
        <f aca="false">MID(VLOOKUP(D497,$P$1:$Q$13,2,0), 1 + C497,1)</f>
        <v>돐</v>
      </c>
      <c r="G497" s="6" t="str">
        <f aca="false">DEC2HEX(D497+36, 2)</f>
        <v>26</v>
      </c>
      <c r="H497" s="6" t="str">
        <f aca="false">DEC2HEX(C497+48,2)</f>
        <v>80</v>
      </c>
      <c r="I497" s="6" t="str">
        <f aca="false">_xlfn.CONCAT("\x", G497, "\x", H497, "=", F497)</f>
        <v>\x26\x80=돐</v>
      </c>
      <c r="M497" s="7" t="s">
        <v>474</v>
      </c>
      <c r="N497" s="6" t="str">
        <f aca="false">_xlfn.CONCAT("\x", DEC2HEX(D497+44, 2), "\x", H497, "=", M497)</f>
        <v>\x2E\x80=霊</v>
      </c>
    </row>
    <row r="498" customFormat="false" ht="12.8" hidden="false" customHeight="true" outlineLevel="0" collapsed="false">
      <c r="C498" s="6" t="n">
        <f aca="false">MOD(ROW()-1, 208)</f>
        <v>81</v>
      </c>
      <c r="D498" s="6" t="n">
        <f aca="false">INT((ROW()-1)/208)</f>
        <v>2</v>
      </c>
      <c r="F498" s="6" t="str">
        <f aca="false">MID(VLOOKUP(D498,$P$1:$Q$13,2,0), 1 + C498,1)</f>
        <v>돔</v>
      </c>
      <c r="G498" s="6" t="str">
        <f aca="false">DEC2HEX(D498+36, 2)</f>
        <v>26</v>
      </c>
      <c r="H498" s="6" t="str">
        <f aca="false">DEC2HEX(C498+48,2)</f>
        <v>81</v>
      </c>
      <c r="I498" s="6" t="str">
        <f aca="false">_xlfn.CONCAT("\x", G498, "\x", H498, "=", F498)</f>
        <v>\x26\x81=돔</v>
      </c>
      <c r="M498" s="7" t="s">
        <v>475</v>
      </c>
      <c r="N498" s="6" t="str">
        <f aca="false">_xlfn.CONCAT("\x", DEC2HEX(D498+44, 2), "\x", H498, "=", M498)</f>
        <v>\x2E\x81=射</v>
      </c>
    </row>
    <row r="499" customFormat="false" ht="12.8" hidden="false" customHeight="true" outlineLevel="0" collapsed="false">
      <c r="C499" s="6" t="n">
        <f aca="false">MOD(ROW()-1, 208)</f>
        <v>82</v>
      </c>
      <c r="D499" s="6" t="n">
        <f aca="false">INT((ROW()-1)/208)</f>
        <v>2</v>
      </c>
      <c r="F499" s="6" t="str">
        <f aca="false">MID(VLOOKUP(D499,$P$1:$Q$13,2,0), 1 + C499,1)</f>
        <v>돕</v>
      </c>
      <c r="G499" s="6" t="str">
        <f aca="false">DEC2HEX(D499+36, 2)</f>
        <v>26</v>
      </c>
      <c r="H499" s="6" t="str">
        <f aca="false">DEC2HEX(C499+48,2)</f>
        <v>82</v>
      </c>
      <c r="I499" s="6" t="str">
        <f aca="false">_xlfn.CONCAT("\x", G499, "\x", H499, "=", F499)</f>
        <v>\x26\x82=돕</v>
      </c>
      <c r="M499" s="7" t="s">
        <v>476</v>
      </c>
      <c r="N499" s="6" t="str">
        <f aca="false">_xlfn.CONCAT("\x", DEC2HEX(D499+44, 2), "\x", H499, "=", M499)</f>
        <v>\x2E\x82=打</v>
      </c>
    </row>
    <row r="500" customFormat="false" ht="12.8" hidden="false" customHeight="true" outlineLevel="0" collapsed="false">
      <c r="C500" s="6" t="n">
        <f aca="false">MOD(ROW()-1, 208)</f>
        <v>83</v>
      </c>
      <c r="D500" s="6" t="n">
        <f aca="false">INT((ROW()-1)/208)</f>
        <v>2</v>
      </c>
      <c r="F500" s="6" t="str">
        <f aca="false">MID(VLOOKUP(D500,$P$1:$Q$13,2,0), 1 + C500,1)</f>
        <v>돗</v>
      </c>
      <c r="G500" s="6" t="str">
        <f aca="false">DEC2HEX(D500+36, 2)</f>
        <v>26</v>
      </c>
      <c r="H500" s="6" t="str">
        <f aca="false">DEC2HEX(C500+48,2)</f>
        <v>83</v>
      </c>
      <c r="I500" s="6" t="str">
        <f aca="false">_xlfn.CONCAT("\x", G500, "\x", H500, "=", F500)</f>
        <v>\x26\x83=돗</v>
      </c>
      <c r="M500" s="7" t="s">
        <v>477</v>
      </c>
      <c r="N500" s="6" t="str">
        <f aca="false">_xlfn.CONCAT("\x", DEC2HEX(D500+44, 2), "\x", H500, "=", M500)</f>
        <v>\x2E\x83=少</v>
      </c>
    </row>
    <row r="501" customFormat="false" ht="12.8" hidden="false" customHeight="true" outlineLevel="0" collapsed="false">
      <c r="C501" s="6" t="n">
        <f aca="false">MOD(ROW()-1, 208)</f>
        <v>84</v>
      </c>
      <c r="D501" s="6" t="n">
        <f aca="false">INT((ROW()-1)/208)</f>
        <v>2</v>
      </c>
      <c r="F501" s="6" t="str">
        <f aca="false">MID(VLOOKUP(D501,$P$1:$Q$13,2,0), 1 + C501,1)</f>
        <v>동</v>
      </c>
      <c r="G501" s="6" t="str">
        <f aca="false">DEC2HEX(D501+36, 2)</f>
        <v>26</v>
      </c>
      <c r="H501" s="6" t="str">
        <f aca="false">DEC2HEX(C501+48,2)</f>
        <v>84</v>
      </c>
      <c r="I501" s="6" t="str">
        <f aca="false">_xlfn.CONCAT("\x", G501, "\x", H501, "=", F501)</f>
        <v>\x26\x84=동</v>
      </c>
      <c r="M501" s="7" t="s">
        <v>478</v>
      </c>
      <c r="N501" s="6" t="str">
        <f aca="false">_xlfn.CONCAT("\x", DEC2HEX(D501+44, 2), "\x", H501, "=", M501)</f>
        <v>\x2E\x84=天</v>
      </c>
    </row>
    <row r="502" customFormat="false" ht="12.8" hidden="false" customHeight="true" outlineLevel="0" collapsed="false">
      <c r="C502" s="6" t="n">
        <f aca="false">MOD(ROW()-1, 208)</f>
        <v>85</v>
      </c>
      <c r="D502" s="6" t="n">
        <f aca="false">INT((ROW()-1)/208)</f>
        <v>2</v>
      </c>
      <c r="F502" s="6" t="str">
        <f aca="false">MID(VLOOKUP(D502,$P$1:$Q$13,2,0), 1 + C502,1)</f>
        <v>돛</v>
      </c>
      <c r="G502" s="6" t="str">
        <f aca="false">DEC2HEX(D502+36, 2)</f>
        <v>26</v>
      </c>
      <c r="H502" s="6" t="str">
        <f aca="false">DEC2HEX(C502+48,2)</f>
        <v>85</v>
      </c>
      <c r="I502" s="6" t="str">
        <f aca="false">_xlfn.CONCAT("\x", G502, "\x", H502, "=", F502)</f>
        <v>\x26\x85=돛</v>
      </c>
      <c r="M502" s="7" t="s">
        <v>479</v>
      </c>
      <c r="N502" s="6" t="str">
        <f aca="false">_xlfn.CONCAT("\x", DEC2HEX(D502+44, 2), "\x", H502, "=", M502)</f>
        <v>\x2E\x85=柄</v>
      </c>
    </row>
    <row r="503" customFormat="false" ht="12.8" hidden="false" customHeight="true" outlineLevel="0" collapsed="false">
      <c r="C503" s="6" t="n">
        <f aca="false">MOD(ROW()-1, 208)</f>
        <v>86</v>
      </c>
      <c r="D503" s="6" t="n">
        <f aca="false">INT((ROW()-1)/208)</f>
        <v>2</v>
      </c>
      <c r="F503" s="6" t="str">
        <f aca="false">MID(VLOOKUP(D503,$P$1:$Q$13,2,0), 1 + C503,1)</f>
        <v>돝</v>
      </c>
      <c r="G503" s="6" t="str">
        <f aca="false">DEC2HEX(D503+36, 2)</f>
        <v>26</v>
      </c>
      <c r="H503" s="6" t="str">
        <f aca="false">DEC2HEX(C503+48,2)</f>
        <v>86</v>
      </c>
      <c r="I503" s="6" t="str">
        <f aca="false">_xlfn.CONCAT("\x", G503, "\x", H503, "=", F503)</f>
        <v>\x26\x86=돝</v>
      </c>
      <c r="M503" s="7" t="s">
        <v>480</v>
      </c>
      <c r="N503" s="6" t="str">
        <f aca="false">_xlfn.CONCAT("\x", DEC2HEX(D503+44, 2), "\x", H503, "=", M503)</f>
        <v>\x2E\x86=脇</v>
      </c>
    </row>
    <row r="504" customFormat="false" ht="12.8" hidden="false" customHeight="true" outlineLevel="0" collapsed="false">
      <c r="C504" s="6" t="n">
        <f aca="false">MOD(ROW()-1, 208)</f>
        <v>87</v>
      </c>
      <c r="D504" s="6" t="n">
        <f aca="false">INT((ROW()-1)/208)</f>
        <v>2</v>
      </c>
      <c r="F504" s="6" t="str">
        <f aca="false">MID(VLOOKUP(D504,$P$1:$Q$13,2,0), 1 + C504,1)</f>
        <v>돠</v>
      </c>
      <c r="G504" s="6" t="str">
        <f aca="false">DEC2HEX(D504+36, 2)</f>
        <v>26</v>
      </c>
      <c r="H504" s="6" t="str">
        <f aca="false">DEC2HEX(C504+48,2)</f>
        <v>87</v>
      </c>
      <c r="I504" s="6" t="str">
        <f aca="false">_xlfn.CONCAT("\x", G504, "\x", H504, "=", F504)</f>
        <v>\x26\x87=돠</v>
      </c>
      <c r="M504" s="7" t="s">
        <v>481</v>
      </c>
      <c r="N504" s="6" t="str">
        <f aca="false">_xlfn.CONCAT("\x", DEC2HEX(D504+44, 2), "\x", H504, "=", M504)</f>
        <v>\x2E\x87=差</v>
      </c>
    </row>
    <row r="505" customFormat="false" ht="12.8" hidden="false" customHeight="true" outlineLevel="0" collapsed="false">
      <c r="C505" s="6" t="n">
        <f aca="false">MOD(ROW()-1, 208)</f>
        <v>88</v>
      </c>
      <c r="D505" s="6" t="n">
        <f aca="false">INT((ROW()-1)/208)</f>
        <v>2</v>
      </c>
      <c r="F505" s="6" t="str">
        <f aca="false">MID(VLOOKUP(D505,$P$1:$Q$13,2,0), 1 + C505,1)</f>
        <v>돤</v>
      </c>
      <c r="G505" s="6" t="str">
        <f aca="false">DEC2HEX(D505+36, 2)</f>
        <v>26</v>
      </c>
      <c r="H505" s="6" t="str">
        <f aca="false">DEC2HEX(C505+48,2)</f>
        <v>88</v>
      </c>
      <c r="I505" s="6" t="str">
        <f aca="false">_xlfn.CONCAT("\x", G505, "\x", H505, "=", F505)</f>
        <v>\x26\x88=돤</v>
      </c>
      <c r="M505" s="7" t="s">
        <v>482</v>
      </c>
      <c r="N505" s="6" t="str">
        <f aca="false">_xlfn.CONCAT("\x", DEC2HEX(D505+44, 2), "\x", H505, "=", M505)</f>
        <v>\x2E\x88=伝</v>
      </c>
    </row>
    <row r="506" customFormat="false" ht="12.8" hidden="false" customHeight="true" outlineLevel="0" collapsed="false">
      <c r="C506" s="6" t="n">
        <f aca="false">MOD(ROW()-1, 208)</f>
        <v>89</v>
      </c>
      <c r="D506" s="6" t="n">
        <f aca="false">INT((ROW()-1)/208)</f>
        <v>2</v>
      </c>
      <c r="F506" s="6" t="str">
        <f aca="false">MID(VLOOKUP(D506,$P$1:$Q$13,2,0), 1 + C506,1)</f>
        <v>돨</v>
      </c>
      <c r="G506" s="6" t="str">
        <f aca="false">DEC2HEX(D506+36, 2)</f>
        <v>26</v>
      </c>
      <c r="H506" s="6" t="str">
        <f aca="false">DEC2HEX(C506+48,2)</f>
        <v>89</v>
      </c>
      <c r="I506" s="6" t="str">
        <f aca="false">_xlfn.CONCAT("\x", G506, "\x", H506, "=", F506)</f>
        <v>\x26\x89=돨</v>
      </c>
      <c r="M506" s="7" t="s">
        <v>483</v>
      </c>
      <c r="N506" s="6" t="str">
        <f aca="false">_xlfn.CONCAT("\x", DEC2HEX(D506+44, 2), "\x", H506, "=", M506)</f>
        <v>\x2E\x89=説</v>
      </c>
    </row>
    <row r="507" customFormat="false" ht="12.8" hidden="false" customHeight="true" outlineLevel="0" collapsed="false">
      <c r="C507" s="6" t="n">
        <f aca="false">MOD(ROW()-1, 208)</f>
        <v>90</v>
      </c>
      <c r="D507" s="6" t="n">
        <f aca="false">INT((ROW()-1)/208)</f>
        <v>2</v>
      </c>
      <c r="F507" s="6" t="str">
        <f aca="false">MID(VLOOKUP(D507,$P$1:$Q$13,2,0), 1 + C507,1)</f>
        <v>돼</v>
      </c>
      <c r="G507" s="6" t="str">
        <f aca="false">DEC2HEX(D507+36, 2)</f>
        <v>26</v>
      </c>
      <c r="H507" s="6" t="str">
        <f aca="false">DEC2HEX(C507+48,2)</f>
        <v>8A</v>
      </c>
      <c r="I507" s="6" t="str">
        <f aca="false">_xlfn.CONCAT("\x", G507, "\x", H507, "=", F507)</f>
        <v>\x26\x8A=돼</v>
      </c>
      <c r="M507" s="7" t="s">
        <v>484</v>
      </c>
      <c r="N507" s="6" t="str">
        <f aca="false">_xlfn.CONCAT("\x", DEC2HEX(D507+44, 2), "\x", H507, "=", M507)</f>
        <v>\x2E\x8A=強</v>
      </c>
    </row>
    <row r="508" customFormat="false" ht="12.8" hidden="false" customHeight="true" outlineLevel="0" collapsed="false">
      <c r="C508" s="6" t="n">
        <f aca="false">MOD(ROW()-1, 208)</f>
        <v>91</v>
      </c>
      <c r="D508" s="6" t="n">
        <f aca="false">INT((ROW()-1)/208)</f>
        <v>2</v>
      </c>
      <c r="F508" s="6" t="str">
        <f aca="false">MID(VLOOKUP(D508,$P$1:$Q$13,2,0), 1 + C508,1)</f>
        <v>됐</v>
      </c>
      <c r="G508" s="6" t="str">
        <f aca="false">DEC2HEX(D508+36, 2)</f>
        <v>26</v>
      </c>
      <c r="H508" s="6" t="str">
        <f aca="false">DEC2HEX(C508+48,2)</f>
        <v>8B</v>
      </c>
      <c r="I508" s="6" t="str">
        <f aca="false">_xlfn.CONCAT("\x", G508, "\x", H508, "=", F508)</f>
        <v>\x26\x8B=됐</v>
      </c>
      <c r="M508" s="7" t="s">
        <v>485</v>
      </c>
      <c r="N508" s="6" t="str">
        <f aca="false">_xlfn.CONCAT("\x", DEC2HEX(D508+44, 2), "\x", H508, "=", M508)</f>
        <v>\x2E\x8B=三</v>
      </c>
    </row>
    <row r="509" customFormat="false" ht="12.8" hidden="false" customHeight="true" outlineLevel="0" collapsed="false">
      <c r="C509" s="6" t="n">
        <f aca="false">MOD(ROW()-1, 208)</f>
        <v>92</v>
      </c>
      <c r="D509" s="6" t="n">
        <f aca="false">INT((ROW()-1)/208)</f>
        <v>2</v>
      </c>
      <c r="F509" s="6" t="str">
        <f aca="false">MID(VLOOKUP(D509,$P$1:$Q$13,2,0), 1 + C509,1)</f>
        <v>되</v>
      </c>
      <c r="G509" s="6" t="str">
        <f aca="false">DEC2HEX(D509+36, 2)</f>
        <v>26</v>
      </c>
      <c r="H509" s="6" t="str">
        <f aca="false">DEC2HEX(C509+48,2)</f>
        <v>8C</v>
      </c>
      <c r="I509" s="6" t="str">
        <f aca="false">_xlfn.CONCAT("\x", G509, "\x", H509, "=", F509)</f>
        <v>\x26\x8C=되</v>
      </c>
      <c r="M509" s="7" t="s">
        <v>486</v>
      </c>
      <c r="N509" s="6" t="str">
        <f aca="false">_xlfn.CONCAT("\x", DEC2HEX(D509+44, 2), "\x", H509, "=", M509)</f>
        <v>\x2E\x8C=姉</v>
      </c>
    </row>
    <row r="510" customFormat="false" ht="12.8" hidden="false" customHeight="true" outlineLevel="0" collapsed="false">
      <c r="C510" s="6" t="n">
        <f aca="false">MOD(ROW()-1, 208)</f>
        <v>93</v>
      </c>
      <c r="D510" s="6" t="n">
        <f aca="false">INT((ROW()-1)/208)</f>
        <v>2</v>
      </c>
      <c r="F510" s="6" t="str">
        <f aca="false">MID(VLOOKUP(D510,$P$1:$Q$13,2,0), 1 + C510,1)</f>
        <v>된</v>
      </c>
      <c r="G510" s="6" t="str">
        <f aca="false">DEC2HEX(D510+36, 2)</f>
        <v>26</v>
      </c>
      <c r="H510" s="6" t="str">
        <f aca="false">DEC2HEX(C510+48,2)</f>
        <v>8D</v>
      </c>
      <c r="I510" s="6" t="str">
        <f aca="false">_xlfn.CONCAT("\x", G510, "\x", H510, "=", F510)</f>
        <v>\x26\x8D=된</v>
      </c>
      <c r="M510" s="7" t="s">
        <v>487</v>
      </c>
      <c r="N510" s="6" t="str">
        <f aca="false">_xlfn.CONCAT("\x", DEC2HEX(D510+44, 2), "\x", H510, "=", M510)</f>
        <v>\x2E\x8D=妹</v>
      </c>
    </row>
    <row r="511" customFormat="false" ht="12.8" hidden="false" customHeight="true" outlineLevel="0" collapsed="false">
      <c r="C511" s="6" t="n">
        <f aca="false">MOD(ROW()-1, 208)</f>
        <v>94</v>
      </c>
      <c r="D511" s="6" t="n">
        <f aca="false">INT((ROW()-1)/208)</f>
        <v>2</v>
      </c>
      <c r="F511" s="6" t="str">
        <f aca="false">MID(VLOOKUP(D511,$P$1:$Q$13,2,0), 1 + C511,1)</f>
        <v>될</v>
      </c>
      <c r="G511" s="6" t="str">
        <f aca="false">DEC2HEX(D511+36, 2)</f>
        <v>26</v>
      </c>
      <c r="H511" s="6" t="str">
        <f aca="false">DEC2HEX(C511+48,2)</f>
        <v>8E</v>
      </c>
      <c r="I511" s="6" t="str">
        <f aca="false">_xlfn.CONCAT("\x", G511, "\x", H511, "=", F511)</f>
        <v>\x26\x8E=될</v>
      </c>
      <c r="M511" s="7" t="s">
        <v>488</v>
      </c>
      <c r="N511" s="6" t="str">
        <f aca="false">_xlfn.CONCAT("\x", DEC2HEX(D511+44, 2), "\x", H511, "=", M511)</f>
        <v>\x2E\x8E=注</v>
      </c>
    </row>
    <row r="512" customFormat="false" ht="12.8" hidden="false" customHeight="true" outlineLevel="0" collapsed="false">
      <c r="C512" s="6" t="n">
        <f aca="false">MOD(ROW()-1, 208)</f>
        <v>95</v>
      </c>
      <c r="D512" s="6" t="n">
        <f aca="false">INT((ROW()-1)/208)</f>
        <v>2</v>
      </c>
      <c r="F512" s="6" t="str">
        <f aca="false">MID(VLOOKUP(D512,$P$1:$Q$13,2,0), 1 + C512,1)</f>
        <v>됨</v>
      </c>
      <c r="G512" s="6" t="str">
        <f aca="false">DEC2HEX(D512+36, 2)</f>
        <v>26</v>
      </c>
      <c r="H512" s="6" t="str">
        <f aca="false">DEC2HEX(C512+48,2)</f>
        <v>8F</v>
      </c>
      <c r="I512" s="6" t="str">
        <f aca="false">_xlfn.CONCAT("\x", G512, "\x", H512, "=", F512)</f>
        <v>\x26\x8F=됨</v>
      </c>
      <c r="M512" s="7" t="s">
        <v>489</v>
      </c>
      <c r="N512" s="6" t="str">
        <f aca="false">_xlfn.CONCAT("\x", DEC2HEX(D512+44, 2), "\x", H512, "=", M512)</f>
        <v>\x2E\x8F=意</v>
      </c>
    </row>
    <row r="513" customFormat="false" ht="12.8" hidden="false" customHeight="true" outlineLevel="0" collapsed="false">
      <c r="C513" s="6" t="n">
        <f aca="false">MOD(ROW()-1, 208)</f>
        <v>96</v>
      </c>
      <c r="D513" s="6" t="n">
        <f aca="false">INT((ROW()-1)/208)</f>
        <v>2</v>
      </c>
      <c r="F513" s="6" t="str">
        <f aca="false">MID(VLOOKUP(D513,$P$1:$Q$13,2,0), 1 + C513,1)</f>
        <v>됩</v>
      </c>
      <c r="G513" s="6" t="str">
        <f aca="false">DEC2HEX(D513+36, 2)</f>
        <v>26</v>
      </c>
      <c r="H513" s="6" t="str">
        <f aca="false">DEC2HEX(C513+48,2)</f>
        <v>90</v>
      </c>
      <c r="I513" s="6" t="str">
        <f aca="false">_xlfn.CONCAT("\x", G513, "\x", H513, "=", F513)</f>
        <v>\x26\x90=됩</v>
      </c>
      <c r="M513" s="7" t="s">
        <v>490</v>
      </c>
      <c r="N513" s="6" t="str">
        <f aca="false">_xlfn.CONCAT("\x", DEC2HEX(D513+44, 2), "\x", H513, "=", M513)</f>
        <v>\x2E\x90=当</v>
      </c>
    </row>
    <row r="514" customFormat="false" ht="12.8" hidden="false" customHeight="true" outlineLevel="0" collapsed="false">
      <c r="C514" s="6" t="n">
        <f aca="false">MOD(ROW()-1, 208)</f>
        <v>97</v>
      </c>
      <c r="D514" s="6" t="n">
        <f aca="false">INT((ROW()-1)/208)</f>
        <v>2</v>
      </c>
      <c r="F514" s="6" t="str">
        <f aca="false">MID(VLOOKUP(D514,$P$1:$Q$13,2,0), 1 + C514,1)</f>
        <v>됫</v>
      </c>
      <c r="G514" s="6" t="str">
        <f aca="false">DEC2HEX(D514+36, 2)</f>
        <v>26</v>
      </c>
      <c r="H514" s="6" t="str">
        <f aca="false">DEC2HEX(C514+48,2)</f>
        <v>91</v>
      </c>
      <c r="I514" s="6" t="str">
        <f aca="false">_xlfn.CONCAT("\x", G514, "\x", H514, "=", F514)</f>
        <v>\x26\x91=됫</v>
      </c>
      <c r="M514" s="7" t="s">
        <v>491</v>
      </c>
      <c r="N514" s="6" t="str">
        <f aca="false">_xlfn.CONCAT("\x", DEC2HEX(D514+44, 2), "\x", H514, "=", M514)</f>
        <v>\x2E\x91=素</v>
      </c>
    </row>
    <row r="515" customFormat="false" ht="12.8" hidden="false" customHeight="true" outlineLevel="0" collapsed="false">
      <c r="C515" s="6" t="n">
        <f aca="false">MOD(ROW()-1, 208)</f>
        <v>98</v>
      </c>
      <c r="D515" s="6" t="n">
        <f aca="false">INT((ROW()-1)/208)</f>
        <v>2</v>
      </c>
      <c r="F515" s="6" t="str">
        <f aca="false">MID(VLOOKUP(D515,$P$1:$Q$13,2,0), 1 + C515,1)</f>
        <v>됴</v>
      </c>
      <c r="G515" s="6" t="str">
        <f aca="false">DEC2HEX(D515+36, 2)</f>
        <v>26</v>
      </c>
      <c r="H515" s="6" t="str">
        <f aca="false">DEC2HEX(C515+48,2)</f>
        <v>92</v>
      </c>
      <c r="I515" s="6" t="str">
        <f aca="false">_xlfn.CONCAT("\x", G515, "\x", H515, "=", F515)</f>
        <v>\x26\x92=됴</v>
      </c>
      <c r="M515" s="7" t="s">
        <v>492</v>
      </c>
      <c r="N515" s="6" t="str">
        <f aca="false">_xlfn.CONCAT("\x", DEC2HEX(D515+44, 2), "\x", H515, "=", M515)</f>
        <v>\x2E\x92=早</v>
      </c>
    </row>
    <row r="516" customFormat="false" ht="12.8" hidden="false" customHeight="true" outlineLevel="0" collapsed="false">
      <c r="C516" s="6" t="n">
        <f aca="false">MOD(ROW()-1, 208)</f>
        <v>99</v>
      </c>
      <c r="D516" s="6" t="n">
        <f aca="false">INT((ROW()-1)/208)</f>
        <v>2</v>
      </c>
      <c r="F516" s="6" t="str">
        <f aca="false">MID(VLOOKUP(D516,$P$1:$Q$13,2,0), 1 + C516,1)</f>
        <v>두</v>
      </c>
      <c r="G516" s="6" t="str">
        <f aca="false">DEC2HEX(D516+36, 2)</f>
        <v>26</v>
      </c>
      <c r="H516" s="6" t="str">
        <f aca="false">DEC2HEX(C516+48,2)</f>
        <v>93</v>
      </c>
      <c r="I516" s="6" t="str">
        <f aca="false">_xlfn.CONCAT("\x", G516, "\x", H516, "=", F516)</f>
        <v>\x26\x93=두</v>
      </c>
      <c r="M516" s="7" t="s">
        <v>493</v>
      </c>
      <c r="N516" s="6" t="str">
        <f aca="false">_xlfn.CONCAT("\x", DEC2HEX(D516+44, 2), "\x", H516, "=", M516)</f>
        <v>\x2E\x93=羅</v>
      </c>
    </row>
    <row r="517" customFormat="false" ht="12.8" hidden="false" customHeight="true" outlineLevel="0" collapsed="false">
      <c r="C517" s="6" t="n">
        <f aca="false">MOD(ROW()-1, 208)</f>
        <v>100</v>
      </c>
      <c r="D517" s="6" t="n">
        <f aca="false">INT((ROW()-1)/208)</f>
        <v>2</v>
      </c>
      <c r="F517" s="6" t="str">
        <f aca="false">MID(VLOOKUP(D517,$P$1:$Q$13,2,0), 1 + C517,1)</f>
        <v>둑</v>
      </c>
      <c r="G517" s="6" t="str">
        <f aca="false">DEC2HEX(D517+36, 2)</f>
        <v>26</v>
      </c>
      <c r="H517" s="6" t="str">
        <f aca="false">DEC2HEX(C517+48,2)</f>
        <v>94</v>
      </c>
      <c r="I517" s="6" t="str">
        <f aca="false">_xlfn.CONCAT("\x", G517, "\x", H517, "=", F517)</f>
        <v>\x26\x94=둑</v>
      </c>
      <c r="M517" s="7" t="s">
        <v>494</v>
      </c>
      <c r="N517" s="6" t="str">
        <f aca="false">_xlfn.CONCAT("\x", DEC2HEX(D517+44, 2), "\x", H517, "=", M517)</f>
        <v>\x2E\x94=覆</v>
      </c>
    </row>
    <row r="518" customFormat="false" ht="12.8" hidden="false" customHeight="true" outlineLevel="0" collapsed="false">
      <c r="C518" s="6" t="n">
        <f aca="false">MOD(ROW()-1, 208)</f>
        <v>101</v>
      </c>
      <c r="D518" s="6" t="n">
        <f aca="false">INT((ROW()-1)/208)</f>
        <v>2</v>
      </c>
      <c r="F518" s="6" t="str">
        <f aca="false">MID(VLOOKUP(D518,$P$1:$Q$13,2,0), 1 + C518,1)</f>
        <v>둔</v>
      </c>
      <c r="G518" s="6" t="str">
        <f aca="false">DEC2HEX(D518+36, 2)</f>
        <v>26</v>
      </c>
      <c r="H518" s="6" t="str">
        <f aca="false">DEC2HEX(C518+48,2)</f>
        <v>95</v>
      </c>
      <c r="I518" s="6" t="str">
        <f aca="false">_xlfn.CONCAT("\x", G518, "\x", H518, "=", F518)</f>
        <v>\x26\x95=둔</v>
      </c>
      <c r="M518" s="7" t="s">
        <v>495</v>
      </c>
      <c r="N518" s="6" t="str">
        <f aca="false">_xlfn.CONCAT("\x", DEC2HEX(D518+44, 2), "\x", H518, "=", M518)</f>
        <v>\x2E\x95=有</v>
      </c>
    </row>
    <row r="519" customFormat="false" ht="12.8" hidden="false" customHeight="true" outlineLevel="0" collapsed="false">
      <c r="C519" s="6" t="n">
        <f aca="false">MOD(ROW()-1, 208)</f>
        <v>102</v>
      </c>
      <c r="D519" s="6" t="n">
        <f aca="false">INT((ROW()-1)/208)</f>
        <v>2</v>
      </c>
      <c r="F519" s="6" t="str">
        <f aca="false">MID(VLOOKUP(D519,$P$1:$Q$13,2,0), 1 + C519,1)</f>
        <v>둘</v>
      </c>
      <c r="G519" s="6" t="str">
        <f aca="false">DEC2HEX(D519+36, 2)</f>
        <v>26</v>
      </c>
      <c r="H519" s="6" t="str">
        <f aca="false">DEC2HEX(C519+48,2)</f>
        <v>96</v>
      </c>
      <c r="I519" s="6" t="str">
        <f aca="false">_xlfn.CONCAT("\x", G519, "\x", H519, "=", F519)</f>
        <v>\x26\x96=둘</v>
      </c>
      <c r="M519" s="7" t="s">
        <v>496</v>
      </c>
      <c r="N519" s="6" t="str">
        <f aca="false">_xlfn.CONCAT("\x", DEC2HEX(D519+44, 2), "\x", H519, "=", M519)</f>
        <v>\x2E\x96=堅</v>
      </c>
    </row>
    <row r="520" customFormat="false" ht="12.8" hidden="false" customHeight="true" outlineLevel="0" collapsed="false">
      <c r="C520" s="6" t="n">
        <f aca="false">MOD(ROW()-1, 208)</f>
        <v>103</v>
      </c>
      <c r="D520" s="6" t="n">
        <f aca="false">INT((ROW()-1)/208)</f>
        <v>2</v>
      </c>
      <c r="F520" s="6" t="str">
        <f aca="false">MID(VLOOKUP(D520,$P$1:$Q$13,2,0), 1 + C520,1)</f>
        <v>둠</v>
      </c>
      <c r="G520" s="6" t="str">
        <f aca="false">DEC2HEX(D520+36, 2)</f>
        <v>26</v>
      </c>
      <c r="H520" s="6" t="str">
        <f aca="false">DEC2HEX(C520+48,2)</f>
        <v>97</v>
      </c>
      <c r="I520" s="6" t="str">
        <f aca="false">_xlfn.CONCAT("\x", G520, "\x", H520, "=", F520)</f>
        <v>\x26\x97=둠</v>
      </c>
      <c r="M520" s="7" t="s">
        <v>497</v>
      </c>
      <c r="N520" s="6" t="str">
        <f aca="false">_xlfn.CONCAT("\x", DEC2HEX(D520+44, 2), "\x", H520, "=", M520)</f>
        <v>\x2E\x97=破</v>
      </c>
    </row>
    <row r="521" customFormat="false" ht="12.8" hidden="false" customHeight="true" outlineLevel="0" collapsed="false">
      <c r="C521" s="6" t="n">
        <f aca="false">MOD(ROW()-1, 208)</f>
        <v>104</v>
      </c>
      <c r="D521" s="6" t="n">
        <f aca="false">INT((ROW()-1)/208)</f>
        <v>2</v>
      </c>
      <c r="F521" s="6" t="str">
        <f aca="false">MID(VLOOKUP(D521,$P$1:$Q$13,2,0), 1 + C521,1)</f>
        <v>둡</v>
      </c>
      <c r="G521" s="6" t="str">
        <f aca="false">DEC2HEX(D521+36, 2)</f>
        <v>26</v>
      </c>
      <c r="H521" s="6" t="str">
        <f aca="false">DEC2HEX(C521+48,2)</f>
        <v>98</v>
      </c>
      <c r="I521" s="6" t="str">
        <f aca="false">_xlfn.CONCAT("\x", G521, "\x", H521, "=", F521)</f>
        <v>\x26\x98=둡</v>
      </c>
      <c r="M521" s="7" t="s">
        <v>498</v>
      </c>
      <c r="N521" s="6" t="str">
        <f aca="false">_xlfn.CONCAT("\x", DEC2HEX(D521+44, 2), "\x", H521, "=", M521)</f>
        <v>\x2E\x98=識</v>
      </c>
    </row>
    <row r="522" customFormat="false" ht="12.8" hidden="false" customHeight="true" outlineLevel="0" collapsed="false">
      <c r="C522" s="6" t="n">
        <f aca="false">MOD(ROW()-1, 208)</f>
        <v>105</v>
      </c>
      <c r="D522" s="6" t="n">
        <f aca="false">INT((ROW()-1)/208)</f>
        <v>2</v>
      </c>
      <c r="F522" s="6" t="str">
        <f aca="false">MID(VLOOKUP(D522,$P$1:$Q$13,2,0), 1 + C522,1)</f>
        <v>둣</v>
      </c>
      <c r="G522" s="6" t="str">
        <f aca="false">DEC2HEX(D522+36, 2)</f>
        <v>26</v>
      </c>
      <c r="H522" s="6" t="str">
        <f aca="false">DEC2HEX(C522+48,2)</f>
        <v>99</v>
      </c>
      <c r="I522" s="6" t="str">
        <f aca="false">_xlfn.CONCAT("\x", G522, "\x", H522, "=", F522)</f>
        <v>\x26\x99=둣</v>
      </c>
      <c r="M522" s="7" t="s">
        <v>499</v>
      </c>
      <c r="N522" s="6" t="str">
        <f aca="false">_xlfn.CONCAT("\x", DEC2HEX(D522+44, 2), "\x", H522, "=", M522)</f>
        <v>\x2E\x99=限</v>
      </c>
    </row>
    <row r="523" customFormat="false" ht="12.8" hidden="false" customHeight="true" outlineLevel="0" collapsed="false">
      <c r="C523" s="6" t="n">
        <f aca="false">MOD(ROW()-1, 208)</f>
        <v>106</v>
      </c>
      <c r="D523" s="6" t="n">
        <f aca="false">INT((ROW()-1)/208)</f>
        <v>2</v>
      </c>
      <c r="F523" s="6" t="str">
        <f aca="false">MID(VLOOKUP(D523,$P$1:$Q$13,2,0), 1 + C523,1)</f>
        <v>둥</v>
      </c>
      <c r="G523" s="6" t="str">
        <f aca="false">DEC2HEX(D523+36, 2)</f>
        <v>26</v>
      </c>
      <c r="H523" s="6" t="str">
        <f aca="false">DEC2HEX(C523+48,2)</f>
        <v>9A</v>
      </c>
      <c r="I523" s="6" t="str">
        <f aca="false">_xlfn.CONCAT("\x", G523, "\x", H523, "=", F523)</f>
        <v>\x26\x9A=둥</v>
      </c>
      <c r="M523" s="7" t="s">
        <v>500</v>
      </c>
      <c r="N523" s="6" t="str">
        <f aca="false">_xlfn.CONCAT("\x", DEC2HEX(D523+44, 2), "\x", H523, "=", M523)</f>
        <v>\x2E\x9A=完</v>
      </c>
    </row>
    <row r="524" customFormat="false" ht="12.8" hidden="false" customHeight="true" outlineLevel="0" collapsed="false">
      <c r="C524" s="6" t="n">
        <f aca="false">MOD(ROW()-1, 208)</f>
        <v>107</v>
      </c>
      <c r="D524" s="6" t="n">
        <f aca="false">INT((ROW()-1)/208)</f>
        <v>2</v>
      </c>
      <c r="F524" s="6" t="str">
        <f aca="false">MID(VLOOKUP(D524,$P$1:$Q$13,2,0), 1 + C524,1)</f>
        <v>둬</v>
      </c>
      <c r="G524" s="6" t="str">
        <f aca="false">DEC2HEX(D524+36, 2)</f>
        <v>26</v>
      </c>
      <c r="H524" s="6" t="str">
        <f aca="false">DEC2HEX(C524+48,2)</f>
        <v>9B</v>
      </c>
      <c r="I524" s="6" t="str">
        <f aca="false">_xlfn.CONCAT("\x", G524, "\x", H524, "=", F524)</f>
        <v>\x26\x9B=둬</v>
      </c>
      <c r="M524" s="7" t="s">
        <v>501</v>
      </c>
      <c r="N524" s="6" t="str">
        <f aca="false">_xlfn.CONCAT("\x", DEC2HEX(D524+44, 2), "\x", H524, "=", M524)</f>
        <v>\x2E\x9B=心</v>
      </c>
    </row>
    <row r="525" customFormat="false" ht="12.8" hidden="false" customHeight="true" outlineLevel="0" collapsed="false">
      <c r="C525" s="6" t="n">
        <f aca="false">MOD(ROW()-1, 208)</f>
        <v>108</v>
      </c>
      <c r="D525" s="6" t="n">
        <f aca="false">INT((ROW()-1)/208)</f>
        <v>2</v>
      </c>
      <c r="F525" s="6" t="str">
        <f aca="false">MID(VLOOKUP(D525,$P$1:$Q$13,2,0), 1 + C525,1)</f>
        <v>뒀</v>
      </c>
      <c r="G525" s="6" t="str">
        <f aca="false">DEC2HEX(D525+36, 2)</f>
        <v>26</v>
      </c>
      <c r="H525" s="6" t="str">
        <f aca="false">DEC2HEX(C525+48,2)</f>
        <v>9C</v>
      </c>
      <c r="I525" s="6" t="str">
        <f aca="false">_xlfn.CONCAT("\x", G525, "\x", H525, "=", F525)</f>
        <v>\x26\x9C=뒀</v>
      </c>
      <c r="M525" s="7" t="s">
        <v>502</v>
      </c>
      <c r="N525" s="6" t="str">
        <f aca="false">_xlfn.CONCAT("\x", DEC2HEX(D525+44, 2), "\x", H525, "=", M525)</f>
        <v>\x2E\x9C=作</v>
      </c>
    </row>
    <row r="526" customFormat="false" ht="12.8" hidden="false" customHeight="true" outlineLevel="0" collapsed="false">
      <c r="C526" s="6" t="n">
        <f aca="false">MOD(ROW()-1, 208)</f>
        <v>109</v>
      </c>
      <c r="D526" s="6" t="n">
        <f aca="false">INT((ROW()-1)/208)</f>
        <v>2</v>
      </c>
      <c r="F526" s="6" t="str">
        <f aca="false">MID(VLOOKUP(D526,$P$1:$Q$13,2,0), 1 + C526,1)</f>
        <v>뒈</v>
      </c>
      <c r="G526" s="6" t="str">
        <f aca="false">DEC2HEX(D526+36, 2)</f>
        <v>26</v>
      </c>
      <c r="H526" s="6" t="str">
        <f aca="false">DEC2HEX(C526+48,2)</f>
        <v>9D</v>
      </c>
      <c r="I526" s="6" t="str">
        <f aca="false">_xlfn.CONCAT("\x", G526, "\x", H526, "=", F526)</f>
        <v>\x26\x9D=뒈</v>
      </c>
      <c r="M526" s="7" t="s">
        <v>503</v>
      </c>
      <c r="N526" s="6" t="str">
        <f aca="false">_xlfn.CONCAT("\x", DEC2HEX(D526+44, 2), "\x", H526, "=", M526)</f>
        <v>\x2E\x9D=辞</v>
      </c>
    </row>
    <row r="527" customFormat="false" ht="12.8" hidden="false" customHeight="true" outlineLevel="0" collapsed="false">
      <c r="C527" s="6" t="n">
        <f aca="false">MOD(ROW()-1, 208)</f>
        <v>110</v>
      </c>
      <c r="D527" s="6" t="n">
        <f aca="false">INT((ROW()-1)/208)</f>
        <v>2</v>
      </c>
      <c r="F527" s="6" t="str">
        <f aca="false">MID(VLOOKUP(D527,$P$1:$Q$13,2,0), 1 + C527,1)</f>
        <v>뒝</v>
      </c>
      <c r="G527" s="6" t="str">
        <f aca="false">DEC2HEX(D527+36, 2)</f>
        <v>26</v>
      </c>
      <c r="H527" s="6" t="str">
        <f aca="false">DEC2HEX(C527+48,2)</f>
        <v>9E</v>
      </c>
      <c r="I527" s="6" t="str">
        <f aca="false">_xlfn.CONCAT("\x", G527, "\x", H527, "=", F527)</f>
        <v>\x26\x9E=뒝</v>
      </c>
      <c r="M527" s="7" t="s">
        <v>504</v>
      </c>
      <c r="N527" s="6" t="str">
        <f aca="false">_xlfn.CONCAT("\x", DEC2HEX(D527+44, 2), "\x", H527, "=", M527)</f>
        <v>\x2E\x9E=巻</v>
      </c>
    </row>
    <row r="528" customFormat="false" ht="12.8" hidden="false" customHeight="true" outlineLevel="0" collapsed="false">
      <c r="C528" s="6" t="n">
        <f aca="false">MOD(ROW()-1, 208)</f>
        <v>111</v>
      </c>
      <c r="D528" s="6" t="n">
        <f aca="false">INT((ROW()-1)/208)</f>
        <v>2</v>
      </c>
      <c r="F528" s="6" t="str">
        <f aca="false">MID(VLOOKUP(D528,$P$1:$Q$13,2,0), 1 + C528,1)</f>
        <v>뒤</v>
      </c>
      <c r="G528" s="6" t="str">
        <f aca="false">DEC2HEX(D528+36, 2)</f>
        <v>26</v>
      </c>
      <c r="H528" s="6" t="str">
        <f aca="false">DEC2HEX(C528+48,2)</f>
        <v>9F</v>
      </c>
      <c r="I528" s="6" t="str">
        <f aca="false">_xlfn.CONCAT("\x", G528, "\x", H528, "=", F528)</f>
        <v>\x26\x9F=뒤</v>
      </c>
      <c r="M528" s="7" t="s">
        <v>505</v>
      </c>
      <c r="N528" s="6" t="str">
        <f aca="false">_xlfn.CONCAT("\x", DEC2HEX(D528+44, 2), "\x", H528, "=", M528)</f>
        <v>\x2E\x9F=撮</v>
      </c>
    </row>
    <row r="529" customFormat="false" ht="12.8" hidden="false" customHeight="true" outlineLevel="0" collapsed="false">
      <c r="C529" s="6" t="n">
        <f aca="false">MOD(ROW()-1, 208)</f>
        <v>112</v>
      </c>
      <c r="D529" s="6" t="n">
        <f aca="false">INT((ROW()-1)/208)</f>
        <v>2</v>
      </c>
      <c r="F529" s="6" t="str">
        <f aca="false">MID(VLOOKUP(D529,$P$1:$Q$13,2,0), 1 + C529,1)</f>
        <v>뒨</v>
      </c>
      <c r="G529" s="6" t="str">
        <f aca="false">DEC2HEX(D529+36, 2)</f>
        <v>26</v>
      </c>
      <c r="H529" s="6" t="str">
        <f aca="false">DEC2HEX(C529+48,2)</f>
        <v>A0</v>
      </c>
      <c r="I529" s="6" t="str">
        <f aca="false">_xlfn.CONCAT("\x", G529, "\x", H529, "=", F529)</f>
        <v>\x26\xA0=뒨</v>
      </c>
      <c r="M529" s="7" t="s">
        <v>506</v>
      </c>
      <c r="N529" s="6" t="str">
        <f aca="false">_xlfn.CONCAT("\x", DEC2HEX(D529+44, 2), "\x", H529, "=", M529)</f>
        <v>\x2E\xA0=影</v>
      </c>
    </row>
    <row r="530" customFormat="false" ht="12.8" hidden="false" customHeight="true" outlineLevel="0" collapsed="false">
      <c r="C530" s="6" t="n">
        <f aca="false">MOD(ROW()-1, 208)</f>
        <v>113</v>
      </c>
      <c r="D530" s="6" t="n">
        <f aca="false">INT((ROW()-1)/208)</f>
        <v>2</v>
      </c>
      <c r="F530" s="6" t="str">
        <f aca="false">MID(VLOOKUP(D530,$P$1:$Q$13,2,0), 1 + C530,1)</f>
        <v>뒬</v>
      </c>
      <c r="G530" s="6" t="str">
        <f aca="false">DEC2HEX(D530+36, 2)</f>
        <v>26</v>
      </c>
      <c r="H530" s="6" t="str">
        <f aca="false">DEC2HEX(C530+48,2)</f>
        <v>A1</v>
      </c>
      <c r="I530" s="6" t="str">
        <f aca="false">_xlfn.CONCAT("\x", G530, "\x", H530, "=", F530)</f>
        <v>\x26\xA1=뒬</v>
      </c>
      <c r="M530" s="7" t="s">
        <v>507</v>
      </c>
      <c r="N530" s="6" t="str">
        <f aca="false">_xlfn.CONCAT("\x", DEC2HEX(D530+44, 2), "\x", H530, "=", M530)</f>
        <v>\x2E\xA1=振</v>
      </c>
    </row>
    <row r="531" customFormat="false" ht="12.8" hidden="false" customHeight="true" outlineLevel="0" collapsed="false">
      <c r="C531" s="6" t="n">
        <f aca="false">MOD(ROW()-1, 208)</f>
        <v>114</v>
      </c>
      <c r="D531" s="6" t="n">
        <f aca="false">INT((ROW()-1)/208)</f>
        <v>2</v>
      </c>
      <c r="F531" s="6" t="str">
        <f aca="false">MID(VLOOKUP(D531,$P$1:$Q$13,2,0), 1 + C531,1)</f>
        <v>뒵</v>
      </c>
      <c r="G531" s="6" t="str">
        <f aca="false">DEC2HEX(D531+36, 2)</f>
        <v>26</v>
      </c>
      <c r="H531" s="6" t="str">
        <f aca="false">DEC2HEX(C531+48,2)</f>
        <v>A2</v>
      </c>
      <c r="I531" s="6" t="str">
        <f aca="false">_xlfn.CONCAT("\x", G531, "\x", H531, "=", F531)</f>
        <v>\x26\xA2=뒵</v>
      </c>
      <c r="M531" s="7" t="s">
        <v>508</v>
      </c>
      <c r="N531" s="6" t="str">
        <f aca="false">_xlfn.CONCAT("\x", DEC2HEX(D531+44, 2), "\x", H531, "=", M531)</f>
        <v>\x2E\xA2=以</v>
      </c>
    </row>
    <row r="532" customFormat="false" ht="12.8" hidden="false" customHeight="true" outlineLevel="0" collapsed="false">
      <c r="C532" s="6" t="n">
        <f aca="false">MOD(ROW()-1, 208)</f>
        <v>115</v>
      </c>
      <c r="D532" s="6" t="n">
        <f aca="false">INT((ROW()-1)/208)</f>
        <v>2</v>
      </c>
      <c r="F532" s="6" t="str">
        <f aca="false">MID(VLOOKUP(D532,$P$1:$Q$13,2,0), 1 + C532,1)</f>
        <v>뒷</v>
      </c>
      <c r="G532" s="6" t="str">
        <f aca="false">DEC2HEX(D532+36, 2)</f>
        <v>26</v>
      </c>
      <c r="H532" s="6" t="str">
        <f aca="false">DEC2HEX(C532+48,2)</f>
        <v>A3</v>
      </c>
      <c r="I532" s="6" t="str">
        <f aca="false">_xlfn.CONCAT("\x", G532, "\x", H532, "=", F532)</f>
        <v>\x26\xA3=뒷</v>
      </c>
      <c r="M532" s="7" t="s">
        <v>509</v>
      </c>
      <c r="N532" s="6" t="str">
        <f aca="false">_xlfn.CONCAT("\x", DEC2HEX(D532+44, 2), "\x", H532, "=", M532)</f>
        <v>\x2E\xA3=買</v>
      </c>
    </row>
    <row r="533" customFormat="false" ht="12.8" hidden="false" customHeight="true" outlineLevel="0" collapsed="false">
      <c r="C533" s="6" t="n">
        <f aca="false">MOD(ROW()-1, 208)</f>
        <v>116</v>
      </c>
      <c r="D533" s="6" t="n">
        <f aca="false">INT((ROW()-1)/208)</f>
        <v>2</v>
      </c>
      <c r="F533" s="6" t="str">
        <f aca="false">MID(VLOOKUP(D533,$P$1:$Q$13,2,0), 1 + C533,1)</f>
        <v>뒹</v>
      </c>
      <c r="G533" s="6" t="str">
        <f aca="false">DEC2HEX(D533+36, 2)</f>
        <v>26</v>
      </c>
      <c r="H533" s="6" t="str">
        <f aca="false">DEC2HEX(C533+48,2)</f>
        <v>A4</v>
      </c>
      <c r="I533" s="6" t="str">
        <f aca="false">_xlfn.CONCAT("\x", G533, "\x", H533, "=", F533)</f>
        <v>\x26\xA4=뒹</v>
      </c>
      <c r="M533" s="7" t="s">
        <v>510</v>
      </c>
      <c r="N533" s="6" t="str">
        <f aca="false">_xlfn.CONCAT("\x", DEC2HEX(D533+44, 2), "\x", H533, "=", M533)</f>
        <v>\x2E\xA4=売</v>
      </c>
    </row>
    <row r="534" customFormat="false" ht="12.8" hidden="false" customHeight="true" outlineLevel="0" collapsed="false">
      <c r="C534" s="6" t="n">
        <f aca="false">MOD(ROW()-1, 208)</f>
        <v>117</v>
      </c>
      <c r="D534" s="6" t="n">
        <f aca="false">INT((ROW()-1)/208)</f>
        <v>2</v>
      </c>
      <c r="F534" s="6" t="str">
        <f aca="false">MID(VLOOKUP(D534,$P$1:$Q$13,2,0), 1 + C534,1)</f>
        <v>듀</v>
      </c>
      <c r="G534" s="6" t="str">
        <f aca="false">DEC2HEX(D534+36, 2)</f>
        <v>26</v>
      </c>
      <c r="H534" s="6" t="str">
        <f aca="false">DEC2HEX(C534+48,2)</f>
        <v>A5</v>
      </c>
      <c r="I534" s="6" t="str">
        <f aca="false">_xlfn.CONCAT("\x", G534, "\x", H534, "=", F534)</f>
        <v>\x26\xA5=듀</v>
      </c>
      <c r="M534" s="7" t="s">
        <v>511</v>
      </c>
      <c r="N534" s="6" t="str">
        <f aca="false">_xlfn.CONCAT("\x", DEC2HEX(D534+44, 2), "\x", H534, "=", M534)</f>
        <v>\x2E\xA5=予</v>
      </c>
    </row>
    <row r="535" customFormat="false" ht="12.8" hidden="false" customHeight="true" outlineLevel="0" collapsed="false">
      <c r="C535" s="6" t="n">
        <f aca="false">MOD(ROW()-1, 208)</f>
        <v>118</v>
      </c>
      <c r="D535" s="6" t="n">
        <f aca="false">INT((ROW()-1)/208)</f>
        <v>2</v>
      </c>
      <c r="F535" s="6" t="str">
        <f aca="false">MID(VLOOKUP(D535,$P$1:$Q$13,2,0), 1 + C535,1)</f>
        <v>듄</v>
      </c>
      <c r="G535" s="6" t="str">
        <f aca="false">DEC2HEX(D535+36, 2)</f>
        <v>26</v>
      </c>
      <c r="H535" s="6" t="str">
        <f aca="false">DEC2HEX(C535+48,2)</f>
        <v>A6</v>
      </c>
      <c r="I535" s="6" t="str">
        <f aca="false">_xlfn.CONCAT("\x", G535, "\x", H535, "=", F535)</f>
        <v>\x26\xA6=듄</v>
      </c>
      <c r="M535" s="7" t="s">
        <v>512</v>
      </c>
      <c r="N535" s="6" t="str">
        <f aca="false">_xlfn.CONCAT("\x", DEC2HEX(D535+44, 2), "\x", H535, "=", M535)</f>
        <v>\x2E\xA6=帰</v>
      </c>
    </row>
    <row r="536" customFormat="false" ht="12.8" hidden="false" customHeight="true" outlineLevel="0" collapsed="false">
      <c r="C536" s="6" t="n">
        <f aca="false">MOD(ROW()-1, 208)</f>
        <v>119</v>
      </c>
      <c r="D536" s="6" t="n">
        <f aca="false">INT((ROW()-1)/208)</f>
        <v>2</v>
      </c>
      <c r="F536" s="6" t="str">
        <f aca="false">MID(VLOOKUP(D536,$P$1:$Q$13,2,0), 1 + C536,1)</f>
        <v>듈</v>
      </c>
      <c r="G536" s="6" t="str">
        <f aca="false">DEC2HEX(D536+36, 2)</f>
        <v>26</v>
      </c>
      <c r="H536" s="6" t="str">
        <f aca="false">DEC2HEX(C536+48,2)</f>
        <v>A7</v>
      </c>
      <c r="I536" s="6" t="str">
        <f aca="false">_xlfn.CONCAT("\x", G536, "\x", H536, "=", F536)</f>
        <v>\x26\xA7=듈</v>
      </c>
      <c r="M536" s="7" t="s">
        <v>513</v>
      </c>
      <c r="N536" s="6" t="str">
        <f aca="false">_xlfn.CONCAT("\x", DEC2HEX(D536+44, 2), "\x", H536, "=", M536)</f>
        <v>\x2E\xA7=極</v>
      </c>
    </row>
    <row r="537" customFormat="false" ht="12.8" hidden="false" customHeight="true" outlineLevel="0" collapsed="false">
      <c r="C537" s="6" t="n">
        <f aca="false">MOD(ROW()-1, 208)</f>
        <v>120</v>
      </c>
      <c r="D537" s="6" t="n">
        <f aca="false">INT((ROW()-1)/208)</f>
        <v>2</v>
      </c>
      <c r="F537" s="6" t="str">
        <f aca="false">MID(VLOOKUP(D537,$P$1:$Q$13,2,0), 1 + C537,1)</f>
        <v>듐</v>
      </c>
      <c r="G537" s="6" t="str">
        <f aca="false">DEC2HEX(D537+36, 2)</f>
        <v>26</v>
      </c>
      <c r="H537" s="6" t="str">
        <f aca="false">DEC2HEX(C537+48,2)</f>
        <v>A8</v>
      </c>
      <c r="I537" s="6" t="str">
        <f aca="false">_xlfn.CONCAT("\x", G537, "\x", H537, "=", F537)</f>
        <v>\x26\xA8=듐</v>
      </c>
      <c r="M537" s="7" t="s">
        <v>514</v>
      </c>
      <c r="N537" s="6" t="str">
        <f aca="false">_xlfn.CONCAT("\x", DEC2HEX(D537+44, 2), "\x", H537, "=", M537)</f>
        <v>\x2E\xA8=最</v>
      </c>
    </row>
    <row r="538" customFormat="false" ht="12.8" hidden="false" customHeight="true" outlineLevel="0" collapsed="false">
      <c r="C538" s="6" t="n">
        <f aca="false">MOD(ROW()-1, 208)</f>
        <v>121</v>
      </c>
      <c r="D538" s="6" t="n">
        <f aca="false">INT((ROW()-1)/208)</f>
        <v>2</v>
      </c>
      <c r="F538" s="6" t="str">
        <f aca="false">MID(VLOOKUP(D538,$P$1:$Q$13,2,0), 1 + C538,1)</f>
        <v>듕</v>
      </c>
      <c r="G538" s="6" t="str">
        <f aca="false">DEC2HEX(D538+36, 2)</f>
        <v>26</v>
      </c>
      <c r="H538" s="6" t="str">
        <f aca="false">DEC2HEX(C538+48,2)</f>
        <v>A9</v>
      </c>
      <c r="I538" s="6" t="str">
        <f aca="false">_xlfn.CONCAT("\x", G538, "\x", H538, "=", F538)</f>
        <v>\x26\xA9=듕</v>
      </c>
      <c r="M538" s="7" t="s">
        <v>515</v>
      </c>
      <c r="N538" s="6" t="str">
        <f aca="false">_xlfn.CONCAT("\x", DEC2HEX(D538+44, 2), "\x", H538, "=", M538)</f>
        <v>\x2E\xA9=星</v>
      </c>
    </row>
    <row r="539" customFormat="false" ht="12.8" hidden="false" customHeight="true" outlineLevel="0" collapsed="false">
      <c r="C539" s="6" t="n">
        <f aca="false">MOD(ROW()-1, 208)</f>
        <v>122</v>
      </c>
      <c r="D539" s="6" t="n">
        <f aca="false">INT((ROW()-1)/208)</f>
        <v>2</v>
      </c>
      <c r="F539" s="6" t="str">
        <f aca="false">MID(VLOOKUP(D539,$P$1:$Q$13,2,0), 1 + C539,1)</f>
        <v>드</v>
      </c>
      <c r="G539" s="6" t="str">
        <f aca="false">DEC2HEX(D539+36, 2)</f>
        <v>26</v>
      </c>
      <c r="H539" s="6" t="str">
        <f aca="false">DEC2HEX(C539+48,2)</f>
        <v>AA</v>
      </c>
      <c r="I539" s="6" t="str">
        <f aca="false">_xlfn.CONCAT("\x", G539, "\x", H539, "=", F539)</f>
        <v>\x26\xAA=드</v>
      </c>
      <c r="M539" s="7" t="s">
        <v>516</v>
      </c>
      <c r="N539" s="6" t="str">
        <f aca="false">_xlfn.CONCAT("\x", DEC2HEX(D539+44, 2), "\x", H539, "=", M539)</f>
        <v>\x2E\xAA=牙</v>
      </c>
    </row>
    <row r="540" customFormat="false" ht="12.8" hidden="false" customHeight="true" outlineLevel="0" collapsed="false">
      <c r="C540" s="6" t="n">
        <f aca="false">MOD(ROW()-1, 208)</f>
        <v>123</v>
      </c>
      <c r="D540" s="6" t="n">
        <f aca="false">INT((ROW()-1)/208)</f>
        <v>2</v>
      </c>
      <c r="F540" s="6" t="str">
        <f aca="false">MID(VLOOKUP(D540,$P$1:$Q$13,2,0), 1 + C540,1)</f>
        <v>득</v>
      </c>
      <c r="G540" s="6" t="str">
        <f aca="false">DEC2HEX(D540+36, 2)</f>
        <v>26</v>
      </c>
      <c r="H540" s="6" t="str">
        <f aca="false">DEC2HEX(C540+48,2)</f>
        <v>AB</v>
      </c>
      <c r="I540" s="6" t="str">
        <f aca="false">_xlfn.CONCAT("\x", G540, "\x", H540, "=", F540)</f>
        <v>\x26\xAB=득</v>
      </c>
      <c r="M540" s="7" t="s">
        <v>517</v>
      </c>
      <c r="N540" s="6" t="str">
        <f aca="false">_xlfn.CONCAT("\x", DEC2HEX(D540+44, 2), "\x", H540, "=", M540)</f>
        <v>\x2E\xAB=龍</v>
      </c>
    </row>
    <row r="541" customFormat="false" ht="12.8" hidden="false" customHeight="true" outlineLevel="0" collapsed="false">
      <c r="C541" s="6" t="n">
        <f aca="false">MOD(ROW()-1, 208)</f>
        <v>124</v>
      </c>
      <c r="D541" s="6" t="n">
        <f aca="false">INT((ROW()-1)/208)</f>
        <v>2</v>
      </c>
      <c r="F541" s="6" t="str">
        <f aca="false">MID(VLOOKUP(D541,$P$1:$Q$13,2,0), 1 + C541,1)</f>
        <v>든</v>
      </c>
      <c r="G541" s="6" t="str">
        <f aca="false">DEC2HEX(D541+36, 2)</f>
        <v>26</v>
      </c>
      <c r="H541" s="6" t="str">
        <f aca="false">DEC2HEX(C541+48,2)</f>
        <v>AC</v>
      </c>
      <c r="I541" s="6" t="str">
        <f aca="false">_xlfn.CONCAT("\x", G541, "\x", H541, "=", F541)</f>
        <v>\x26\xAC=든</v>
      </c>
      <c r="M541" s="7" t="s">
        <v>518</v>
      </c>
      <c r="N541" s="6" t="str">
        <f aca="false">_xlfn.CONCAT("\x", DEC2HEX(D541+44, 2), "\x", H541, "=", M541)</f>
        <v>\x2E\xAC=征</v>
      </c>
    </row>
    <row r="542" customFormat="false" ht="12.8" hidden="false" customHeight="true" outlineLevel="0" collapsed="false">
      <c r="C542" s="6" t="n">
        <f aca="false">MOD(ROW()-1, 208)</f>
        <v>125</v>
      </c>
      <c r="D542" s="6" t="n">
        <f aca="false">INT((ROW()-1)/208)</f>
        <v>2</v>
      </c>
      <c r="F542" s="6" t="str">
        <f aca="false">MID(VLOOKUP(D542,$P$1:$Q$13,2,0), 1 + C542,1)</f>
        <v>듣</v>
      </c>
      <c r="G542" s="6" t="str">
        <f aca="false">DEC2HEX(D542+36, 2)</f>
        <v>26</v>
      </c>
      <c r="H542" s="6" t="str">
        <f aca="false">DEC2HEX(C542+48,2)</f>
        <v>AD</v>
      </c>
      <c r="I542" s="6" t="str">
        <f aca="false">_xlfn.CONCAT("\x", G542, "\x", H542, "=", F542)</f>
        <v>\x26\xAD=듣</v>
      </c>
      <c r="M542" s="7" t="s">
        <v>519</v>
      </c>
      <c r="N542" s="6" t="str">
        <f aca="false">_xlfn.CONCAT("\x", DEC2HEX(D542+44, 2), "\x", H542, "=", M542)</f>
        <v>\x2E\xAD=陣</v>
      </c>
    </row>
    <row r="543" customFormat="false" ht="12.8" hidden="false" customHeight="true" outlineLevel="0" collapsed="false">
      <c r="C543" s="6" t="n">
        <f aca="false">MOD(ROW()-1, 208)</f>
        <v>126</v>
      </c>
      <c r="D543" s="6" t="n">
        <f aca="false">INT((ROW()-1)/208)</f>
        <v>2</v>
      </c>
      <c r="F543" s="6" t="str">
        <f aca="false">MID(VLOOKUP(D543,$P$1:$Q$13,2,0), 1 + C543,1)</f>
        <v>들</v>
      </c>
      <c r="G543" s="6" t="str">
        <f aca="false">DEC2HEX(D543+36, 2)</f>
        <v>26</v>
      </c>
      <c r="H543" s="6" t="str">
        <f aca="false">DEC2HEX(C543+48,2)</f>
        <v>AE</v>
      </c>
      <c r="I543" s="6" t="str">
        <f aca="false">_xlfn.CONCAT("\x", G543, "\x", H543, "=", F543)</f>
        <v>\x26\xAE=들</v>
      </c>
      <c r="M543" s="7" t="s">
        <v>520</v>
      </c>
      <c r="N543" s="6" t="str">
        <f aca="false">_xlfn.CONCAT("\x", DEC2HEX(D543+44, 2), "\x", H543, "=", M543)</f>
        <v>\x2E\xAE=風</v>
      </c>
    </row>
    <row r="544" customFormat="false" ht="12.8" hidden="false" customHeight="true" outlineLevel="0" collapsed="false">
      <c r="C544" s="6" t="n">
        <f aca="false">MOD(ROW()-1, 208)</f>
        <v>127</v>
      </c>
      <c r="D544" s="6" t="n">
        <f aca="false">INT((ROW()-1)/208)</f>
        <v>2</v>
      </c>
      <c r="F544" s="6" t="str">
        <f aca="false">MID(VLOOKUP(D544,$P$1:$Q$13,2,0), 1 + C544,1)</f>
        <v>듦</v>
      </c>
      <c r="G544" s="6" t="str">
        <f aca="false">DEC2HEX(D544+36, 2)</f>
        <v>26</v>
      </c>
      <c r="H544" s="6" t="str">
        <f aca="false">DEC2HEX(C544+48,2)</f>
        <v>AF</v>
      </c>
      <c r="I544" s="6" t="str">
        <f aca="false">_xlfn.CONCAT("\x", G544, "\x", H544, "=", F544)</f>
        <v>\x26\xAF=듦</v>
      </c>
      <c r="M544" s="7" t="s">
        <v>521</v>
      </c>
      <c r="N544" s="6" t="str">
        <f aca="false">_xlfn.CONCAT("\x", DEC2HEX(D544+44, 2), "\x", H544, "=", M544)</f>
        <v>\x2E\xAF=秘</v>
      </c>
    </row>
    <row r="545" customFormat="false" ht="12.8" hidden="false" customHeight="true" outlineLevel="0" collapsed="false">
      <c r="C545" s="6" t="n">
        <f aca="false">MOD(ROW()-1, 208)</f>
        <v>128</v>
      </c>
      <c r="D545" s="6" t="n">
        <f aca="false">INT((ROW()-1)/208)</f>
        <v>2</v>
      </c>
      <c r="F545" s="6" t="str">
        <f aca="false">MID(VLOOKUP(D545,$P$1:$Q$13,2,0), 1 + C545,1)</f>
        <v>듬</v>
      </c>
      <c r="G545" s="6" t="str">
        <f aca="false">DEC2HEX(D545+36, 2)</f>
        <v>26</v>
      </c>
      <c r="H545" s="6" t="str">
        <f aca="false">DEC2HEX(C545+48,2)</f>
        <v>B0</v>
      </c>
      <c r="I545" s="6" t="str">
        <f aca="false">_xlfn.CONCAT("\x", G545, "\x", H545, "=", F545)</f>
        <v>\x26\xB0=듬</v>
      </c>
      <c r="M545" s="7" t="s">
        <v>522</v>
      </c>
      <c r="N545" s="6" t="str">
        <f aca="false">_xlfn.CONCAT("\x", DEC2HEX(D545+44, 2), "\x", H545, "=", M545)</f>
        <v>\x2E\xB0=基</v>
      </c>
    </row>
    <row r="546" customFormat="false" ht="12.8" hidden="false" customHeight="true" outlineLevel="0" collapsed="false">
      <c r="C546" s="6" t="n">
        <f aca="false">MOD(ROW()-1, 208)</f>
        <v>129</v>
      </c>
      <c r="D546" s="6" t="n">
        <f aca="false">INT((ROW()-1)/208)</f>
        <v>2</v>
      </c>
      <c r="F546" s="6" t="str">
        <f aca="false">MID(VLOOKUP(D546,$P$1:$Q$13,2,0), 1 + C546,1)</f>
        <v>듭</v>
      </c>
      <c r="G546" s="6" t="str">
        <f aca="false">DEC2HEX(D546+36, 2)</f>
        <v>26</v>
      </c>
      <c r="H546" s="6" t="str">
        <f aca="false">DEC2HEX(C546+48,2)</f>
        <v>B1</v>
      </c>
      <c r="I546" s="6" t="str">
        <f aca="false">_xlfn.CONCAT("\x", G546, "\x", H546, "=", F546)</f>
        <v>\x26\xB1=듭</v>
      </c>
      <c r="M546" s="7" t="s">
        <v>523</v>
      </c>
      <c r="N546" s="6" t="str">
        <f aca="false">_xlfn.CONCAT("\x", DEC2HEX(D546+44, 2), "\x", H546, "=", M546)</f>
        <v>\x2E\xB1=可</v>
      </c>
    </row>
    <row r="547" customFormat="false" ht="12.8" hidden="false" customHeight="true" outlineLevel="0" collapsed="false">
      <c r="C547" s="6" t="n">
        <f aca="false">MOD(ROW()-1, 208)</f>
        <v>130</v>
      </c>
      <c r="D547" s="6" t="n">
        <f aca="false">INT((ROW()-1)/208)</f>
        <v>2</v>
      </c>
      <c r="F547" s="6" t="str">
        <f aca="false">MID(VLOOKUP(D547,$P$1:$Q$13,2,0), 1 + C547,1)</f>
        <v>듯</v>
      </c>
      <c r="G547" s="6" t="str">
        <f aca="false">DEC2HEX(D547+36, 2)</f>
        <v>26</v>
      </c>
      <c r="H547" s="6" t="str">
        <f aca="false">DEC2HEX(C547+48,2)</f>
        <v>B2</v>
      </c>
      <c r="I547" s="6" t="str">
        <f aca="false">_xlfn.CONCAT("\x", G547, "\x", H547, "=", F547)</f>
        <v>\x26\xB2=듯</v>
      </c>
      <c r="M547" s="7" t="s">
        <v>524</v>
      </c>
      <c r="N547" s="6" t="str">
        <f aca="false">_xlfn.CONCAT("\x", DEC2HEX(D547+44, 2), "\x", H547, "=", M547)</f>
        <v>\x2E\xB2=放</v>
      </c>
    </row>
    <row r="548" customFormat="false" ht="12.8" hidden="false" customHeight="true" outlineLevel="0" collapsed="false">
      <c r="C548" s="6" t="n">
        <f aca="false">MOD(ROW()-1, 208)</f>
        <v>131</v>
      </c>
      <c r="D548" s="6" t="n">
        <f aca="false">INT((ROW()-1)/208)</f>
        <v>2</v>
      </c>
      <c r="F548" s="6" t="str">
        <f aca="false">MID(VLOOKUP(D548,$P$1:$Q$13,2,0), 1 + C548,1)</f>
        <v>등</v>
      </c>
      <c r="G548" s="6" t="str">
        <f aca="false">DEC2HEX(D548+36, 2)</f>
        <v>26</v>
      </c>
      <c r="H548" s="6" t="str">
        <f aca="false">DEC2HEX(C548+48,2)</f>
        <v>B3</v>
      </c>
      <c r="I548" s="6" t="str">
        <f aca="false">_xlfn.CONCAT("\x", G548, "\x", H548, "=", F548)</f>
        <v>\x26\xB3=등</v>
      </c>
      <c r="M548" s="7" t="s">
        <v>525</v>
      </c>
      <c r="N548" s="6" t="str">
        <f aca="false">_xlfn.CONCAT("\x", DEC2HEX(D548+44, 2), "\x", H548, "=", M548)</f>
        <v>\x2E\xB3=解</v>
      </c>
    </row>
    <row r="549" customFormat="false" ht="12.8" hidden="false" customHeight="true" outlineLevel="0" collapsed="false">
      <c r="C549" s="6" t="n">
        <f aca="false">MOD(ROW()-1, 208)</f>
        <v>132</v>
      </c>
      <c r="D549" s="6" t="n">
        <f aca="false">INT((ROW()-1)/208)</f>
        <v>2</v>
      </c>
      <c r="F549" s="6" t="str">
        <f aca="false">MID(VLOOKUP(D549,$P$1:$Q$13,2,0), 1 + C549,1)</f>
        <v>듸</v>
      </c>
      <c r="G549" s="6" t="str">
        <f aca="false">DEC2HEX(D549+36, 2)</f>
        <v>26</v>
      </c>
      <c r="H549" s="6" t="str">
        <f aca="false">DEC2HEX(C549+48,2)</f>
        <v>B4</v>
      </c>
      <c r="I549" s="6" t="str">
        <f aca="false">_xlfn.CONCAT("\x", G549, "\x", H549, "=", F549)</f>
        <v>\x26\xB4=듸</v>
      </c>
      <c r="M549" s="7" t="s">
        <v>526</v>
      </c>
      <c r="N549" s="6" t="str">
        <f aca="false">_xlfn.CONCAT("\x", DEC2HEX(D549+44, 2), "\x", H549, "=", M549)</f>
        <v>\x2E\xB4=時</v>
      </c>
    </row>
    <row r="550" customFormat="false" ht="12.8" hidden="false" customHeight="true" outlineLevel="0" collapsed="false">
      <c r="C550" s="6" t="n">
        <f aca="false">MOD(ROW()-1, 208)</f>
        <v>133</v>
      </c>
      <c r="D550" s="6" t="n">
        <f aca="false">INT((ROW()-1)/208)</f>
        <v>2</v>
      </c>
      <c r="F550" s="6" t="str">
        <f aca="false">MID(VLOOKUP(D550,$P$1:$Q$13,2,0), 1 + C550,1)</f>
        <v>디</v>
      </c>
      <c r="G550" s="6" t="str">
        <f aca="false">DEC2HEX(D550+36, 2)</f>
        <v>26</v>
      </c>
      <c r="H550" s="6" t="str">
        <f aca="false">DEC2HEX(C550+48,2)</f>
        <v>B5</v>
      </c>
      <c r="I550" s="6" t="str">
        <f aca="false">_xlfn.CONCAT("\x", G550, "\x", H550, "=", F550)</f>
        <v>\x26\xB5=디</v>
      </c>
      <c r="M550" s="7" t="s">
        <v>527</v>
      </c>
      <c r="N550" s="6" t="str">
        <f aca="false">_xlfn.CONCAT("\x", DEC2HEX(D550+44, 2), "\x", H550, "=", M550)</f>
        <v>\x2E\xB5=封</v>
      </c>
    </row>
    <row r="551" customFormat="false" ht="12.8" hidden="false" customHeight="true" outlineLevel="0" collapsed="false">
      <c r="C551" s="6" t="n">
        <f aca="false">MOD(ROW()-1, 208)</f>
        <v>134</v>
      </c>
      <c r="D551" s="6" t="n">
        <f aca="false">INT((ROW()-1)/208)</f>
        <v>2</v>
      </c>
      <c r="F551" s="6" t="str">
        <f aca="false">MID(VLOOKUP(D551,$P$1:$Q$13,2,0), 1 + C551,1)</f>
        <v>딕</v>
      </c>
      <c r="G551" s="6" t="str">
        <f aca="false">DEC2HEX(D551+36, 2)</f>
        <v>26</v>
      </c>
      <c r="H551" s="6" t="str">
        <f aca="false">DEC2HEX(C551+48,2)</f>
        <v>B6</v>
      </c>
      <c r="I551" s="6" t="str">
        <f aca="false">_xlfn.CONCAT("\x", G551, "\x", H551, "=", F551)</f>
        <v>\x26\xB6=딕</v>
      </c>
      <c r="M551" s="7" t="s">
        <v>528</v>
      </c>
      <c r="N551" s="6" t="str">
        <f aca="false">_xlfn.CONCAT("\x", DEC2HEX(D551+44, 2), "\x", H551, "=", M551)</f>
        <v>\x2E\xB6=鈍</v>
      </c>
    </row>
    <row r="552" customFormat="false" ht="12.8" hidden="false" customHeight="true" outlineLevel="0" collapsed="false">
      <c r="C552" s="6" t="n">
        <f aca="false">MOD(ROW()-1, 208)</f>
        <v>135</v>
      </c>
      <c r="D552" s="6" t="n">
        <f aca="false">INT((ROW()-1)/208)</f>
        <v>2</v>
      </c>
      <c r="F552" s="6" t="str">
        <f aca="false">MID(VLOOKUP(D552,$P$1:$Q$13,2,0), 1 + C552,1)</f>
        <v>딘</v>
      </c>
      <c r="G552" s="6" t="str">
        <f aca="false">DEC2HEX(D552+36, 2)</f>
        <v>26</v>
      </c>
      <c r="H552" s="6" t="str">
        <f aca="false">DEC2HEX(C552+48,2)</f>
        <v>B7</v>
      </c>
      <c r="I552" s="6" t="str">
        <f aca="false">_xlfn.CONCAT("\x", G552, "\x", H552, "=", F552)</f>
        <v>\x26\xB7=딘</v>
      </c>
      <c r="M552" s="7" t="s">
        <v>529</v>
      </c>
      <c r="N552" s="6" t="str">
        <f aca="false">_xlfn.CONCAT("\x", DEC2HEX(D552+44, 2), "\x", H552, "=", M552)</f>
        <v>\x2E\xB7=頭</v>
      </c>
    </row>
    <row r="553" customFormat="false" ht="12.8" hidden="false" customHeight="true" outlineLevel="0" collapsed="false">
      <c r="C553" s="6" t="n">
        <f aca="false">MOD(ROW()-1, 208)</f>
        <v>136</v>
      </c>
      <c r="D553" s="6" t="n">
        <f aca="false">INT((ROW()-1)/208)</f>
        <v>2</v>
      </c>
      <c r="F553" s="6" t="str">
        <f aca="false">MID(VLOOKUP(D553,$P$1:$Q$13,2,0), 1 + C553,1)</f>
        <v>딛</v>
      </c>
      <c r="G553" s="6" t="str">
        <f aca="false">DEC2HEX(D553+36, 2)</f>
        <v>26</v>
      </c>
      <c r="H553" s="6" t="str">
        <f aca="false">DEC2HEX(C553+48,2)</f>
        <v>B8</v>
      </c>
      <c r="I553" s="6" t="str">
        <f aca="false">_xlfn.CONCAT("\x", G553, "\x", H553, "=", F553)</f>
        <v>\x26\xB8=딛</v>
      </c>
      <c r="M553" s="7" t="s">
        <v>530</v>
      </c>
      <c r="N553" s="6" t="str">
        <f aca="false">_xlfn.CONCAT("\x", DEC2HEX(D553+44, 2), "\x", H553, "=", M553)</f>
        <v>\x2E\xB8=怪</v>
      </c>
    </row>
    <row r="554" customFormat="false" ht="12.8" hidden="false" customHeight="true" outlineLevel="0" collapsed="false">
      <c r="C554" s="6" t="n">
        <f aca="false">MOD(ROW()-1, 208)</f>
        <v>137</v>
      </c>
      <c r="D554" s="6" t="n">
        <f aca="false">INT((ROW()-1)/208)</f>
        <v>2</v>
      </c>
      <c r="F554" s="6" t="str">
        <f aca="false">MID(VLOOKUP(D554,$P$1:$Q$13,2,0), 1 + C554,1)</f>
        <v>딜</v>
      </c>
      <c r="G554" s="6" t="str">
        <f aca="false">DEC2HEX(D554+36, 2)</f>
        <v>26</v>
      </c>
      <c r="H554" s="6" t="str">
        <f aca="false">DEC2HEX(C554+48,2)</f>
        <v>B9</v>
      </c>
      <c r="I554" s="6" t="str">
        <f aca="false">_xlfn.CONCAT("\x", G554, "\x", H554, "=", F554)</f>
        <v>\x26\xB9=딜</v>
      </c>
      <c r="M554" s="7" t="s">
        <v>531</v>
      </c>
      <c r="N554" s="6" t="str">
        <f aca="false">_xlfn.CONCAT("\x", DEC2HEX(D554+44, 2), "\x", H554, "=", M554)</f>
        <v>\x2E\xB9=音</v>
      </c>
    </row>
    <row r="555" customFormat="false" ht="12.8" hidden="false" customHeight="true" outlineLevel="0" collapsed="false">
      <c r="C555" s="6" t="n">
        <f aca="false">MOD(ROW()-1, 208)</f>
        <v>138</v>
      </c>
      <c r="D555" s="6" t="n">
        <f aca="false">INT((ROW()-1)/208)</f>
        <v>2</v>
      </c>
      <c r="F555" s="6" t="str">
        <f aca="false">MID(VLOOKUP(D555,$P$1:$Q$13,2,0), 1 + C555,1)</f>
        <v>딤</v>
      </c>
      <c r="G555" s="6" t="str">
        <f aca="false">DEC2HEX(D555+36, 2)</f>
        <v>26</v>
      </c>
      <c r="H555" s="6" t="str">
        <f aca="false">DEC2HEX(C555+48,2)</f>
        <v>BA</v>
      </c>
      <c r="I555" s="6" t="str">
        <f aca="false">_xlfn.CONCAT("\x", G555, "\x", H555, "=", F555)</f>
        <v>\x26\xBA=딤</v>
      </c>
      <c r="M555" s="7" t="s">
        <v>532</v>
      </c>
      <c r="N555" s="6" t="str">
        <f aca="false">_xlfn.CONCAT("\x", DEC2HEX(D555+44, 2), "\x", H555, "=", M555)</f>
        <v>\x2E\xBA=吐</v>
      </c>
    </row>
    <row r="556" customFormat="false" ht="12.8" hidden="false" customHeight="true" outlineLevel="0" collapsed="false">
      <c r="C556" s="6" t="n">
        <f aca="false">MOD(ROW()-1, 208)</f>
        <v>139</v>
      </c>
      <c r="D556" s="6" t="n">
        <f aca="false">INT((ROW()-1)/208)</f>
        <v>2</v>
      </c>
      <c r="F556" s="6" t="str">
        <f aca="false">MID(VLOOKUP(D556,$P$1:$Q$13,2,0), 1 + C556,1)</f>
        <v>딥</v>
      </c>
      <c r="G556" s="6" t="str">
        <f aca="false">DEC2HEX(D556+36, 2)</f>
        <v>26</v>
      </c>
      <c r="H556" s="6" t="str">
        <f aca="false">DEC2HEX(C556+48,2)</f>
        <v>BB</v>
      </c>
      <c r="I556" s="6" t="str">
        <f aca="false">_xlfn.CONCAT("\x", G556, "\x", H556, "=", F556)</f>
        <v>\x26\xBB=딥</v>
      </c>
      <c r="M556" s="7" t="s">
        <v>533</v>
      </c>
      <c r="N556" s="6" t="str">
        <f aca="false">_xlfn.CONCAT("\x", DEC2HEX(D556+44, 2), "\x", H556, "=", M556)</f>
        <v>\x2E\xBB=匹</v>
      </c>
    </row>
    <row r="557" customFormat="false" ht="12.8" hidden="false" customHeight="true" outlineLevel="0" collapsed="false">
      <c r="C557" s="6" t="n">
        <f aca="false">MOD(ROW()-1, 208)</f>
        <v>140</v>
      </c>
      <c r="D557" s="6" t="n">
        <f aca="false">INT((ROW()-1)/208)</f>
        <v>2</v>
      </c>
      <c r="F557" s="6" t="str">
        <f aca="false">MID(VLOOKUP(D557,$P$1:$Q$13,2,0), 1 + C557,1)</f>
        <v>딧</v>
      </c>
      <c r="G557" s="6" t="str">
        <f aca="false">DEC2HEX(D557+36, 2)</f>
        <v>26</v>
      </c>
      <c r="H557" s="6" t="str">
        <f aca="false">DEC2HEX(C557+48,2)</f>
        <v>BC</v>
      </c>
      <c r="I557" s="6" t="str">
        <f aca="false">_xlfn.CONCAT("\x", G557, "\x", H557, "=", F557)</f>
        <v>\x26\xBC=딧</v>
      </c>
      <c r="M557" s="7" t="s">
        <v>534</v>
      </c>
      <c r="N557" s="6" t="str">
        <f aca="false">_xlfn.CONCAT("\x", DEC2HEX(D557+44, 2), "\x", H557, "=", M557)</f>
        <v>\x2E\xBC=悪</v>
      </c>
    </row>
    <row r="558" customFormat="false" ht="12.8" hidden="false" customHeight="true" outlineLevel="0" collapsed="false">
      <c r="C558" s="6" t="n">
        <f aca="false">MOD(ROW()-1, 208)</f>
        <v>141</v>
      </c>
      <c r="D558" s="6" t="n">
        <f aca="false">INT((ROW()-1)/208)</f>
        <v>2</v>
      </c>
      <c r="F558" s="6" t="str">
        <f aca="false">MID(VLOOKUP(D558,$P$1:$Q$13,2,0), 1 + C558,1)</f>
        <v>딨</v>
      </c>
      <c r="G558" s="6" t="str">
        <f aca="false">DEC2HEX(D558+36, 2)</f>
        <v>26</v>
      </c>
      <c r="H558" s="6" t="str">
        <f aca="false">DEC2HEX(C558+48,2)</f>
        <v>BD</v>
      </c>
      <c r="I558" s="6" t="str">
        <f aca="false">_xlfn.CONCAT("\x", G558, "\x", H558, "=", F558)</f>
        <v>\x26\xBD=딨</v>
      </c>
      <c r="M558" s="7" t="s">
        <v>535</v>
      </c>
      <c r="N558" s="6" t="str">
        <f aca="false">_xlfn.CONCAT("\x", DEC2HEX(D558+44, 2), "\x", H558, "=", M558)</f>
        <v>\x2E\xBD=営</v>
      </c>
    </row>
    <row r="559" customFormat="false" ht="12.8" hidden="false" customHeight="true" outlineLevel="0" collapsed="false">
      <c r="C559" s="6" t="n">
        <f aca="false">MOD(ROW()-1, 208)</f>
        <v>142</v>
      </c>
      <c r="D559" s="6" t="n">
        <f aca="false">INT((ROW()-1)/208)</f>
        <v>2</v>
      </c>
      <c r="F559" s="6" t="str">
        <f aca="false">MID(VLOOKUP(D559,$P$1:$Q$13,2,0), 1 + C559,1)</f>
        <v>딩</v>
      </c>
      <c r="G559" s="6" t="str">
        <f aca="false">DEC2HEX(D559+36, 2)</f>
        <v>26</v>
      </c>
      <c r="H559" s="6" t="str">
        <f aca="false">DEC2HEX(C559+48,2)</f>
        <v>BE</v>
      </c>
      <c r="I559" s="6" t="str">
        <f aca="false">_xlfn.CONCAT("\x", G559, "\x", H559, "=", F559)</f>
        <v>\x26\xBE=딩</v>
      </c>
      <c r="M559" s="7" t="s">
        <v>536</v>
      </c>
      <c r="N559" s="6" t="str">
        <f aca="false">_xlfn.CONCAT("\x", DEC2HEX(D559+44, 2), "\x", H559, "=", M559)</f>
        <v>\x2E\xBE=官</v>
      </c>
    </row>
    <row r="560" customFormat="false" ht="12.8" hidden="false" customHeight="true" outlineLevel="0" collapsed="false">
      <c r="C560" s="6" t="n">
        <f aca="false">MOD(ROW()-1, 208)</f>
        <v>143</v>
      </c>
      <c r="D560" s="6" t="n">
        <f aca="false">INT((ROW()-1)/208)</f>
        <v>2</v>
      </c>
      <c r="F560" s="6" t="str">
        <f aca="false">MID(VLOOKUP(D560,$P$1:$Q$13,2,0), 1 + C560,1)</f>
        <v>딪</v>
      </c>
      <c r="G560" s="6" t="str">
        <f aca="false">DEC2HEX(D560+36, 2)</f>
        <v>26</v>
      </c>
      <c r="H560" s="6" t="str">
        <f aca="false">DEC2HEX(C560+48,2)</f>
        <v>BF</v>
      </c>
      <c r="I560" s="6" t="str">
        <f aca="false">_xlfn.CONCAT("\x", G560, "\x", H560, "=", F560)</f>
        <v>\x26\xBF=딪</v>
      </c>
      <c r="M560" s="7" t="s">
        <v>537</v>
      </c>
      <c r="N560" s="6" t="str">
        <f aca="false">_xlfn.CONCAT("\x", DEC2HEX(D560+44, 2), "\x", H560, "=", M560)</f>
        <v>\x2E\xBF=区</v>
      </c>
    </row>
    <row r="561" customFormat="false" ht="12.8" hidden="false" customHeight="true" outlineLevel="0" collapsed="false">
      <c r="C561" s="6" t="n">
        <f aca="false">MOD(ROW()-1, 208)</f>
        <v>144</v>
      </c>
      <c r="D561" s="6" t="n">
        <f aca="false">INT((ROW()-1)/208)</f>
        <v>2</v>
      </c>
      <c r="F561" s="6" t="str">
        <f aca="false">MID(VLOOKUP(D561,$P$1:$Q$13,2,0), 1 + C561,1)</f>
        <v>따</v>
      </c>
      <c r="G561" s="6" t="str">
        <f aca="false">DEC2HEX(D561+36, 2)</f>
        <v>26</v>
      </c>
      <c r="H561" s="6" t="str">
        <f aca="false">DEC2HEX(C561+48,2)</f>
        <v>C0</v>
      </c>
      <c r="I561" s="6" t="str">
        <f aca="false">_xlfn.CONCAT("\x", G561, "\x", H561, "=", F561)</f>
        <v>\x26\xC0=따</v>
      </c>
      <c r="M561" s="7" t="s">
        <v>538</v>
      </c>
      <c r="N561" s="6" t="str">
        <f aca="false">_xlfn.CONCAT("\x", DEC2HEX(D561+44, 2), "\x", H561, "=", M561)</f>
        <v>\x2E\xC0=訓</v>
      </c>
    </row>
    <row r="562" customFormat="false" ht="12.8" hidden="false" customHeight="true" outlineLevel="0" collapsed="false">
      <c r="C562" s="6" t="n">
        <f aca="false">MOD(ROW()-1, 208)</f>
        <v>145</v>
      </c>
      <c r="D562" s="6" t="n">
        <f aca="false">INT((ROW()-1)/208)</f>
        <v>2</v>
      </c>
      <c r="F562" s="6" t="str">
        <f aca="false">MID(VLOOKUP(D562,$P$1:$Q$13,2,0), 1 + C562,1)</f>
        <v>딱</v>
      </c>
      <c r="G562" s="6" t="str">
        <f aca="false">DEC2HEX(D562+36, 2)</f>
        <v>26</v>
      </c>
      <c r="H562" s="6" t="str">
        <f aca="false">DEC2HEX(C562+48,2)</f>
        <v>C1</v>
      </c>
      <c r="I562" s="6" t="str">
        <f aca="false">_xlfn.CONCAT("\x", G562, "\x", H562, "=", F562)</f>
        <v>\x26\xC1=딱</v>
      </c>
      <c r="M562" s="7" t="s">
        <v>539</v>
      </c>
      <c r="N562" s="6" t="str">
        <f aca="false">_xlfn.CONCAT("\x", DEC2HEX(D562+44, 2), "\x", H562, "=", M562)</f>
        <v>\x2E\xC1=群</v>
      </c>
    </row>
    <row r="563" customFormat="false" ht="12.8" hidden="false" customHeight="true" outlineLevel="0" collapsed="false">
      <c r="C563" s="6" t="n">
        <f aca="false">MOD(ROW()-1, 208)</f>
        <v>146</v>
      </c>
      <c r="D563" s="6" t="n">
        <f aca="false">INT((ROW()-1)/208)</f>
        <v>2</v>
      </c>
      <c r="F563" s="6" t="str">
        <f aca="false">MID(VLOOKUP(D563,$P$1:$Q$13,2,0), 1 + C563,1)</f>
        <v>딴</v>
      </c>
      <c r="G563" s="6" t="str">
        <f aca="false">DEC2HEX(D563+36, 2)</f>
        <v>26</v>
      </c>
      <c r="H563" s="6" t="str">
        <f aca="false">DEC2HEX(C563+48,2)</f>
        <v>C2</v>
      </c>
      <c r="I563" s="6" t="str">
        <f aca="false">_xlfn.CONCAT("\x", G563, "\x", H563, "=", F563)</f>
        <v>\x26\xC2=딴</v>
      </c>
      <c r="M563" s="7" t="s">
        <v>540</v>
      </c>
      <c r="N563" s="6" t="str">
        <f aca="false">_xlfn.CONCAT("\x", DEC2HEX(D563+44, 2), "\x", H563, "=", M563)</f>
        <v>\x2E\xC2=穴</v>
      </c>
    </row>
    <row r="564" customFormat="false" ht="12.8" hidden="false" customHeight="true" outlineLevel="0" collapsed="false">
      <c r="C564" s="6" t="n">
        <f aca="false">MOD(ROW()-1, 208)</f>
        <v>147</v>
      </c>
      <c r="D564" s="6" t="n">
        <f aca="false">INT((ROW()-1)/208)</f>
        <v>2</v>
      </c>
      <c r="F564" s="6" t="str">
        <f aca="false">MID(VLOOKUP(D564,$P$1:$Q$13,2,0), 1 + C564,1)</f>
        <v>딸</v>
      </c>
      <c r="G564" s="6" t="str">
        <f aca="false">DEC2HEX(D564+36, 2)</f>
        <v>26</v>
      </c>
      <c r="H564" s="6" t="str">
        <f aca="false">DEC2HEX(C564+48,2)</f>
        <v>C3</v>
      </c>
      <c r="I564" s="6" t="str">
        <f aca="false">_xlfn.CONCAT("\x", G564, "\x", H564, "=", F564)</f>
        <v>\x26\xC3=딸</v>
      </c>
      <c r="M564" s="7" t="s">
        <v>541</v>
      </c>
      <c r="N564" s="6" t="str">
        <f aca="false">_xlfn.CONCAT("\x", DEC2HEX(D564+44, 2), "\x", H564, "=", M564)</f>
        <v>\x2E\xC3=罪</v>
      </c>
    </row>
    <row r="565" customFormat="false" ht="12.8" hidden="false" customHeight="true" outlineLevel="0" collapsed="false">
      <c r="C565" s="6" t="n">
        <f aca="false">MOD(ROW()-1, 208)</f>
        <v>148</v>
      </c>
      <c r="D565" s="6" t="n">
        <f aca="false">INT((ROW()-1)/208)</f>
        <v>2</v>
      </c>
      <c r="F565" s="6" t="str">
        <f aca="false">MID(VLOOKUP(D565,$P$1:$Q$13,2,0), 1 + C565,1)</f>
        <v>땀</v>
      </c>
      <c r="G565" s="6" t="str">
        <f aca="false">DEC2HEX(D565+36, 2)</f>
        <v>26</v>
      </c>
      <c r="H565" s="6" t="str">
        <f aca="false">DEC2HEX(C565+48,2)</f>
        <v>C4</v>
      </c>
      <c r="I565" s="6" t="str">
        <f aca="false">_xlfn.CONCAT("\x", G565, "\x", H565, "=", F565)</f>
        <v>\x26\xC4=땀</v>
      </c>
      <c r="M565" s="7" t="s">
        <v>542</v>
      </c>
      <c r="N565" s="6" t="str">
        <f aca="false">_xlfn.CONCAT("\x", DEC2HEX(D565+44, 2), "\x", H565, "=", M565)</f>
        <v>\x2E\xC4=浄</v>
      </c>
    </row>
    <row r="566" customFormat="false" ht="12.8" hidden="false" customHeight="true" outlineLevel="0" collapsed="false">
      <c r="C566" s="6" t="n">
        <f aca="false">MOD(ROW()-1, 208)</f>
        <v>149</v>
      </c>
      <c r="D566" s="6" t="n">
        <f aca="false">INT((ROW()-1)/208)</f>
        <v>2</v>
      </c>
      <c r="F566" s="6" t="str">
        <f aca="false">MID(VLOOKUP(D566,$P$1:$Q$13,2,0), 1 + C566,1)</f>
        <v>땁</v>
      </c>
      <c r="G566" s="6" t="str">
        <f aca="false">DEC2HEX(D566+36, 2)</f>
        <v>26</v>
      </c>
      <c r="H566" s="6" t="str">
        <f aca="false">DEC2HEX(C566+48,2)</f>
        <v>C5</v>
      </c>
      <c r="I566" s="6" t="str">
        <f aca="false">_xlfn.CONCAT("\x", G566, "\x", H566, "=", F566)</f>
        <v>\x26\xC5=땁</v>
      </c>
      <c r="M566" s="7" t="s">
        <v>543</v>
      </c>
      <c r="N566" s="6" t="str">
        <f aca="false">_xlfn.CONCAT("\x", DEC2HEX(D566+44, 2), "\x", H566, "=", M566)</f>
        <v>\x2E\xC5=西</v>
      </c>
    </row>
    <row r="567" customFormat="false" ht="12.8" hidden="false" customHeight="true" outlineLevel="0" collapsed="false">
      <c r="C567" s="6" t="n">
        <f aca="false">MOD(ROW()-1, 208)</f>
        <v>150</v>
      </c>
      <c r="D567" s="6" t="n">
        <f aca="false">INT((ROW()-1)/208)</f>
        <v>2</v>
      </c>
      <c r="F567" s="6" t="str">
        <f aca="false">MID(VLOOKUP(D567,$P$1:$Q$13,2,0), 1 + C567,1)</f>
        <v>땃</v>
      </c>
      <c r="G567" s="6" t="str">
        <f aca="false">DEC2HEX(D567+36, 2)</f>
        <v>26</v>
      </c>
      <c r="H567" s="6" t="str">
        <f aca="false">DEC2HEX(C567+48,2)</f>
        <v>C6</v>
      </c>
      <c r="I567" s="6" t="str">
        <f aca="false">_xlfn.CONCAT("\x", G567, "\x", H567, "=", F567)</f>
        <v>\x26\xC6=땃</v>
      </c>
      <c r="M567" s="7" t="s">
        <v>544</v>
      </c>
      <c r="N567" s="6" t="str">
        <f aca="false">_xlfn.CONCAT("\x", DEC2HEX(D567+44, 2), "\x", H567, "=", M567)</f>
        <v>\x2E\xC6=谷</v>
      </c>
    </row>
    <row r="568" customFormat="false" ht="12.8" hidden="false" customHeight="true" outlineLevel="0" collapsed="false">
      <c r="C568" s="6" t="n">
        <f aca="false">MOD(ROW()-1, 208)</f>
        <v>151</v>
      </c>
      <c r="D568" s="6" t="n">
        <f aca="false">INT((ROW()-1)/208)</f>
        <v>2</v>
      </c>
      <c r="F568" s="6" t="str">
        <f aca="false">MID(VLOOKUP(D568,$P$1:$Q$13,2,0), 1 + C568,1)</f>
        <v>땄</v>
      </c>
      <c r="G568" s="6" t="str">
        <f aca="false">DEC2HEX(D568+36, 2)</f>
        <v>26</v>
      </c>
      <c r="H568" s="6" t="str">
        <f aca="false">DEC2HEX(C568+48,2)</f>
        <v>C7</v>
      </c>
      <c r="I568" s="6" t="str">
        <f aca="false">_xlfn.CONCAT("\x", G568, "\x", H568, "=", F568)</f>
        <v>\x26\xC7=땄</v>
      </c>
      <c r="M568" s="7" t="s">
        <v>545</v>
      </c>
      <c r="N568" s="6" t="str">
        <f aca="false">_xlfn.CONCAT("\x", DEC2HEX(D568+44, 2), "\x", H568, "=", M568)</f>
        <v>\x2E\xC7=端</v>
      </c>
    </row>
    <row r="569" customFormat="false" ht="12.8" hidden="false" customHeight="true" outlineLevel="0" collapsed="false">
      <c r="C569" s="6" t="n">
        <f aca="false">MOD(ROW()-1, 208)</f>
        <v>152</v>
      </c>
      <c r="D569" s="6" t="n">
        <f aca="false">INT((ROW()-1)/208)</f>
        <v>2</v>
      </c>
      <c r="F569" s="6" t="str">
        <f aca="false">MID(VLOOKUP(D569,$P$1:$Q$13,2,0), 1 + C569,1)</f>
        <v>땅</v>
      </c>
      <c r="G569" s="6" t="str">
        <f aca="false">DEC2HEX(D569+36, 2)</f>
        <v>26</v>
      </c>
      <c r="H569" s="6" t="str">
        <f aca="false">DEC2HEX(C569+48,2)</f>
        <v>C8</v>
      </c>
      <c r="I569" s="6" t="str">
        <f aca="false">_xlfn.CONCAT("\x", G569, "\x", H569, "=", F569)</f>
        <v>\x26\xC8=땅</v>
      </c>
      <c r="M569" s="7" t="s">
        <v>546</v>
      </c>
      <c r="N569" s="6" t="str">
        <f aca="false">_xlfn.CONCAT("\x", DEC2HEX(D569+44, 2), "\x", H569, "=", M569)</f>
        <v>\x2E\xC8=都</v>
      </c>
    </row>
    <row r="570" customFormat="false" ht="12.8" hidden="false" customHeight="true" outlineLevel="0" collapsed="false">
      <c r="C570" s="6" t="n">
        <f aca="false">MOD(ROW()-1, 208)</f>
        <v>153</v>
      </c>
      <c r="D570" s="6" t="n">
        <f aca="false">INT((ROW()-1)/208)</f>
        <v>2</v>
      </c>
      <c r="F570" s="6" t="str">
        <f aca="false">MID(VLOOKUP(D570,$P$1:$Q$13,2,0), 1 + C570,1)</f>
        <v>땋</v>
      </c>
      <c r="G570" s="6" t="str">
        <f aca="false">DEC2HEX(D570+36, 2)</f>
        <v>26</v>
      </c>
      <c r="H570" s="6" t="str">
        <f aca="false">DEC2HEX(C570+48,2)</f>
        <v>C9</v>
      </c>
      <c r="I570" s="6" t="str">
        <f aca="false">_xlfn.CONCAT("\x", G570, "\x", H570, "=", F570)</f>
        <v>\x26\xC9=땋</v>
      </c>
      <c r="M570" s="7" t="s">
        <v>547</v>
      </c>
      <c r="N570" s="6" t="str">
        <f aca="false">_xlfn.CONCAT("\x", DEC2HEX(D570+44, 2), "\x", H570, "=", M570)</f>
        <v>\x2E\xC9=東</v>
      </c>
    </row>
    <row r="571" customFormat="false" ht="12.8" hidden="false" customHeight="true" outlineLevel="0" collapsed="false">
      <c r="C571" s="6" t="n">
        <f aca="false">MOD(ROW()-1, 208)</f>
        <v>154</v>
      </c>
      <c r="D571" s="6" t="n">
        <f aca="false">INT((ROW()-1)/208)</f>
        <v>2</v>
      </c>
      <c r="F571" s="6" t="str">
        <f aca="false">MID(VLOOKUP(D571,$P$1:$Q$13,2,0), 1 + C571,1)</f>
        <v>때</v>
      </c>
      <c r="G571" s="6" t="str">
        <f aca="false">DEC2HEX(D571+36, 2)</f>
        <v>26</v>
      </c>
      <c r="H571" s="6" t="str">
        <f aca="false">DEC2HEX(C571+48,2)</f>
        <v>CA</v>
      </c>
      <c r="I571" s="6" t="str">
        <f aca="false">_xlfn.CONCAT("\x", G571, "\x", H571, "=", F571)</f>
        <v>\x26\xCA=때</v>
      </c>
      <c r="M571" s="7" t="s">
        <v>548</v>
      </c>
      <c r="N571" s="6" t="str">
        <f aca="false">_xlfn.CONCAT("\x", DEC2HEX(D571+44, 2), "\x", H571, "=", M571)</f>
        <v>\x2E\xCA=没</v>
      </c>
    </row>
    <row r="572" customFormat="false" ht="12.8" hidden="false" customHeight="true" outlineLevel="0" collapsed="false">
      <c r="C572" s="6" t="n">
        <f aca="false">MOD(ROW()-1, 208)</f>
        <v>155</v>
      </c>
      <c r="D572" s="6" t="n">
        <f aca="false">INT((ROW()-1)/208)</f>
        <v>2</v>
      </c>
      <c r="F572" s="6" t="str">
        <f aca="false">MID(VLOOKUP(D572,$P$1:$Q$13,2,0), 1 + C572,1)</f>
        <v>땍</v>
      </c>
      <c r="G572" s="6" t="str">
        <f aca="false">DEC2HEX(D572+36, 2)</f>
        <v>26</v>
      </c>
      <c r="H572" s="6" t="str">
        <f aca="false">DEC2HEX(C572+48,2)</f>
        <v>CB</v>
      </c>
      <c r="I572" s="6" t="str">
        <f aca="false">_xlfn.CONCAT("\x", G572, "\x", H572, "=", F572)</f>
        <v>\x26\xCB=땍</v>
      </c>
      <c r="M572" s="7" t="s">
        <v>549</v>
      </c>
      <c r="N572" s="6" t="str">
        <f aca="false">_xlfn.CONCAT("\x", DEC2HEX(D572+44, 2), "\x", H572, "=", M572)</f>
        <v>\x2E\xCB=夢</v>
      </c>
    </row>
    <row r="573" customFormat="false" ht="12.8" hidden="false" customHeight="true" outlineLevel="0" collapsed="false">
      <c r="C573" s="6" t="n">
        <f aca="false">MOD(ROW()-1, 208)</f>
        <v>156</v>
      </c>
      <c r="D573" s="6" t="n">
        <f aca="false">INT((ROW()-1)/208)</f>
        <v>2</v>
      </c>
      <c r="F573" s="6" t="str">
        <f aca="false">MID(VLOOKUP(D573,$P$1:$Q$13,2,0), 1 + C573,1)</f>
        <v>땐</v>
      </c>
      <c r="G573" s="6" t="str">
        <f aca="false">DEC2HEX(D573+36, 2)</f>
        <v>26</v>
      </c>
      <c r="H573" s="6" t="str">
        <f aca="false">DEC2HEX(C573+48,2)</f>
        <v>CC</v>
      </c>
      <c r="I573" s="6" t="str">
        <f aca="false">_xlfn.CONCAT("\x", G573, "\x", H573, "=", F573)</f>
        <v>\x26\xCC=땐</v>
      </c>
      <c r="M573" s="7" t="s">
        <v>550</v>
      </c>
      <c r="N573" s="6" t="str">
        <f aca="false">_xlfn.CONCAT("\x", DEC2HEX(D573+44, 2), "\x", H573, "=", M573)</f>
        <v>\x2E\xCC=野</v>
      </c>
    </row>
    <row r="574" customFormat="false" ht="12.8" hidden="false" customHeight="true" outlineLevel="0" collapsed="false">
      <c r="C574" s="6" t="n">
        <f aca="false">MOD(ROW()-1, 208)</f>
        <v>157</v>
      </c>
      <c r="D574" s="6" t="n">
        <f aca="false">INT((ROW()-1)/208)</f>
        <v>2</v>
      </c>
      <c r="F574" s="6" t="str">
        <f aca="false">MID(VLOOKUP(D574,$P$1:$Q$13,2,0), 1 + C574,1)</f>
        <v>땔</v>
      </c>
      <c r="G574" s="6" t="str">
        <f aca="false">DEC2HEX(D574+36, 2)</f>
        <v>26</v>
      </c>
      <c r="H574" s="6" t="str">
        <f aca="false">DEC2HEX(C574+48,2)</f>
        <v>CD</v>
      </c>
      <c r="I574" s="6" t="str">
        <f aca="false">_xlfn.CONCAT("\x", G574, "\x", H574, "=", F574)</f>
        <v>\x26\xCD=땔</v>
      </c>
      <c r="M574" s="7" t="s">
        <v>551</v>
      </c>
      <c r="N574" s="6" t="str">
        <f aca="false">_xlfn.CONCAT("\x", DEC2HEX(D574+44, 2), "\x", H574, "=", M574)</f>
        <v>\x2E\xCD=者</v>
      </c>
    </row>
    <row r="575" customFormat="false" ht="12.8" hidden="false" customHeight="true" outlineLevel="0" collapsed="false">
      <c r="C575" s="6" t="n">
        <f aca="false">MOD(ROW()-1, 208)</f>
        <v>158</v>
      </c>
      <c r="D575" s="6" t="n">
        <f aca="false">INT((ROW()-1)/208)</f>
        <v>2</v>
      </c>
      <c r="F575" s="6" t="str">
        <f aca="false">MID(VLOOKUP(D575,$P$1:$Q$13,2,0), 1 + C575,1)</f>
        <v>땜</v>
      </c>
      <c r="G575" s="6" t="str">
        <f aca="false">DEC2HEX(D575+36, 2)</f>
        <v>26</v>
      </c>
      <c r="H575" s="6" t="str">
        <f aca="false">DEC2HEX(C575+48,2)</f>
        <v>CE</v>
      </c>
      <c r="I575" s="6" t="str">
        <f aca="false">_xlfn.CONCAT("\x", G575, "\x", H575, "=", F575)</f>
        <v>\x26\xCE=땜</v>
      </c>
      <c r="M575" s="7" t="s">
        <v>552</v>
      </c>
      <c r="N575" s="6" t="str">
        <f aca="false">_xlfn.CONCAT("\x", DEC2HEX(D575+44, 2), "\x", H575, "=", M575)</f>
        <v>\x2E\xCE=画</v>
      </c>
    </row>
    <row r="576" customFormat="false" ht="12.8" hidden="false" customHeight="true" outlineLevel="0" collapsed="false">
      <c r="C576" s="6" t="n">
        <f aca="false">MOD(ROW()-1, 208)</f>
        <v>159</v>
      </c>
      <c r="D576" s="6" t="n">
        <f aca="false">INT((ROW()-1)/208)</f>
        <v>2</v>
      </c>
      <c r="F576" s="6" t="str">
        <f aca="false">MID(VLOOKUP(D576,$P$1:$Q$13,2,0), 1 + C576,1)</f>
        <v>땝</v>
      </c>
      <c r="G576" s="6" t="str">
        <f aca="false">DEC2HEX(D576+36, 2)</f>
        <v>26</v>
      </c>
      <c r="H576" s="6" t="str">
        <f aca="false">DEC2HEX(C576+48,2)</f>
        <v>CF</v>
      </c>
      <c r="I576" s="6" t="str">
        <f aca="false">_xlfn.CONCAT("\x", G576, "\x", H576, "=", F576)</f>
        <v>\x26\xCF=땝</v>
      </c>
      <c r="M576" s="7" t="s">
        <v>553</v>
      </c>
      <c r="N576" s="6" t="str">
        <f aca="false">_xlfn.CONCAT("\x", DEC2HEX(D576+44, 2), "\x", H576, "=", M576)</f>
        <v>\x2E\xCF=文</v>
      </c>
    </row>
    <row r="577" customFormat="false" ht="12.8" hidden="false" customHeight="true" outlineLevel="0" collapsed="false">
      <c r="C577" s="6" t="n">
        <f aca="false">MOD(ROW()-1, 208)</f>
        <v>160</v>
      </c>
      <c r="D577" s="6" t="n">
        <f aca="false">INT((ROW()-1)/208)</f>
        <v>2</v>
      </c>
      <c r="F577" s="6" t="str">
        <f aca="false">MID(VLOOKUP(D577,$P$1:$Q$13,2,0), 1 + C577,1)</f>
        <v>땟</v>
      </c>
      <c r="G577" s="6" t="str">
        <f aca="false">DEC2HEX(D577+36, 2)</f>
        <v>26</v>
      </c>
      <c r="H577" s="6" t="str">
        <f aca="false">DEC2HEX(C577+48,2)</f>
        <v>D0</v>
      </c>
      <c r="I577" s="6" t="str">
        <f aca="false">_xlfn.CONCAT("\x", G577, "\x", H577, "=", F577)</f>
        <v>\x26\xD0=땟</v>
      </c>
      <c r="M577" s="7" t="s">
        <v>554</v>
      </c>
      <c r="N577" s="6" t="str">
        <f aca="false">_xlfn.CONCAT("\x", DEC2HEX(D577+44, 2), "\x", H577, "=", M577)</f>
        <v>\x2E\xD0=済</v>
      </c>
    </row>
    <row r="578" customFormat="false" ht="12.8" hidden="false" customHeight="true" outlineLevel="0" collapsed="false">
      <c r="C578" s="6" t="n">
        <f aca="false">MOD(ROW()-1, 208)</f>
        <v>161</v>
      </c>
      <c r="D578" s="6" t="n">
        <f aca="false">INT((ROW()-1)/208)</f>
        <v>2</v>
      </c>
      <c r="F578" s="6" t="str">
        <f aca="false">MID(VLOOKUP(D578,$P$1:$Q$13,2,0), 1 + C578,1)</f>
        <v>땠</v>
      </c>
      <c r="G578" s="6" t="str">
        <f aca="false">DEC2HEX(D578+36, 2)</f>
        <v>26</v>
      </c>
      <c r="H578" s="6" t="str">
        <f aca="false">DEC2HEX(C578+48,2)</f>
        <v>D1</v>
      </c>
      <c r="I578" s="6" t="str">
        <f aca="false">_xlfn.CONCAT("\x", G578, "\x", H578, "=", F578)</f>
        <v>\x26\xD1=땠</v>
      </c>
      <c r="M578" s="7" t="s">
        <v>555</v>
      </c>
      <c r="N578" s="6" t="str">
        <f aca="false">_xlfn.CONCAT("\x", DEC2HEX(D578+44, 2), "\x", H578, "=", M578)</f>
        <v>\x2E\xD1=両</v>
      </c>
    </row>
    <row r="579" customFormat="false" ht="12.8" hidden="false" customHeight="true" outlineLevel="0" collapsed="false">
      <c r="C579" s="6" t="n">
        <f aca="false">MOD(ROW()-1, 208)</f>
        <v>162</v>
      </c>
      <c r="D579" s="6" t="n">
        <f aca="false">INT((ROW()-1)/208)</f>
        <v>2</v>
      </c>
      <c r="F579" s="6" t="str">
        <f aca="false">MID(VLOOKUP(D579,$P$1:$Q$13,2,0), 1 + C579,1)</f>
        <v>땡</v>
      </c>
      <c r="G579" s="6" t="str">
        <f aca="false">DEC2HEX(D579+36, 2)</f>
        <v>26</v>
      </c>
      <c r="H579" s="6" t="str">
        <f aca="false">DEC2HEX(C579+48,2)</f>
        <v>D2</v>
      </c>
      <c r="I579" s="6" t="str">
        <f aca="false">_xlfn.CONCAT("\x", G579, "\x", H579, "=", F579)</f>
        <v>\x26\xD2=땡</v>
      </c>
      <c r="M579" s="7" t="s">
        <v>556</v>
      </c>
      <c r="N579" s="6" t="str">
        <f aca="false">_xlfn.CONCAT("\x", DEC2HEX(D579+44, 2), "\x", H579, "=", M579)</f>
        <v>\x2E\xD2=除</v>
      </c>
    </row>
    <row r="580" customFormat="false" ht="12.8" hidden="false" customHeight="true" outlineLevel="0" collapsed="false">
      <c r="C580" s="6" t="n">
        <f aca="false">MOD(ROW()-1, 208)</f>
        <v>163</v>
      </c>
      <c r="D580" s="6" t="n">
        <f aca="false">INT((ROW()-1)/208)</f>
        <v>2</v>
      </c>
      <c r="F580" s="6" t="str">
        <f aca="false">MID(VLOOKUP(D580,$P$1:$Q$13,2,0), 1 + C580,1)</f>
        <v>떠</v>
      </c>
      <c r="G580" s="6" t="str">
        <f aca="false">DEC2HEX(D580+36, 2)</f>
        <v>26</v>
      </c>
      <c r="H580" s="6" t="str">
        <f aca="false">DEC2HEX(C580+48,2)</f>
        <v>D3</v>
      </c>
      <c r="I580" s="6" t="str">
        <f aca="false">_xlfn.CONCAT("\x", G580, "\x", H580, "=", F580)</f>
        <v>\x26\xD3=떠</v>
      </c>
      <c r="M580" s="7" t="s">
        <v>557</v>
      </c>
      <c r="N580" s="6" t="str">
        <f aca="false">_xlfn.CONCAT("\x", DEC2HEX(D580+44, 2), "\x", H580, "=", M580)</f>
        <v>\x2E\xD3=距</v>
      </c>
    </row>
    <row r="581" customFormat="false" ht="12.8" hidden="false" customHeight="true" outlineLevel="0" collapsed="false">
      <c r="C581" s="6" t="n">
        <f aca="false">MOD(ROW()-1, 208)</f>
        <v>164</v>
      </c>
      <c r="D581" s="6" t="n">
        <f aca="false">INT((ROW()-1)/208)</f>
        <v>2</v>
      </c>
      <c r="F581" s="6" t="str">
        <f aca="false">MID(VLOOKUP(D581,$P$1:$Q$13,2,0), 1 + C581,1)</f>
        <v>떡</v>
      </c>
      <c r="G581" s="6" t="str">
        <f aca="false">DEC2HEX(D581+36, 2)</f>
        <v>26</v>
      </c>
      <c r="H581" s="6" t="str">
        <f aca="false">DEC2HEX(C581+48,2)</f>
        <v>D4</v>
      </c>
      <c r="I581" s="6" t="str">
        <f aca="false">_xlfn.CONCAT("\x", G581, "\x", H581, "=", F581)</f>
        <v>\x26\xD4=떡</v>
      </c>
      <c r="M581" s="7" t="s">
        <v>558</v>
      </c>
      <c r="N581" s="6" t="str">
        <f aca="false">_xlfn.CONCAT("\x", DEC2HEX(D581+44, 2), "\x", H581, "=", M581)</f>
        <v>\x2E\xD4=速</v>
      </c>
    </row>
    <row r="582" customFormat="false" ht="12.8" hidden="false" customHeight="true" outlineLevel="0" collapsed="false">
      <c r="C582" s="6" t="n">
        <f aca="false">MOD(ROW()-1, 208)</f>
        <v>165</v>
      </c>
      <c r="D582" s="6" t="n">
        <f aca="false">INT((ROW()-1)/208)</f>
        <v>2</v>
      </c>
      <c r="F582" s="6" t="str">
        <f aca="false">MID(VLOOKUP(D582,$P$1:$Q$13,2,0), 1 + C582,1)</f>
        <v>떤</v>
      </c>
      <c r="G582" s="6" t="str">
        <f aca="false">DEC2HEX(D582+36, 2)</f>
        <v>26</v>
      </c>
      <c r="H582" s="6" t="str">
        <f aca="false">DEC2HEX(C582+48,2)</f>
        <v>D5</v>
      </c>
      <c r="I582" s="6" t="str">
        <f aca="false">_xlfn.CONCAT("\x", G582, "\x", H582, "=", F582)</f>
        <v>\x26\xD5=떤</v>
      </c>
      <c r="M582" s="7" t="s">
        <v>559</v>
      </c>
      <c r="N582" s="6" t="str">
        <f aca="false">_xlfn.CONCAT("\x", DEC2HEX(D582+44, 2), "\x", H582, "=", M582)</f>
        <v>\x2E\xD5=忘</v>
      </c>
    </row>
    <row r="583" customFormat="false" ht="12.8" hidden="false" customHeight="true" outlineLevel="0" collapsed="false">
      <c r="C583" s="6" t="n">
        <f aca="false">MOD(ROW()-1, 208)</f>
        <v>166</v>
      </c>
      <c r="D583" s="6" t="n">
        <f aca="false">INT((ROW()-1)/208)</f>
        <v>2</v>
      </c>
      <c r="F583" s="6" t="str">
        <f aca="false">MID(VLOOKUP(D583,$P$1:$Q$13,2,0), 1 + C583,1)</f>
        <v>떨</v>
      </c>
      <c r="G583" s="6" t="str">
        <f aca="false">DEC2HEX(D583+36, 2)</f>
        <v>26</v>
      </c>
      <c r="H583" s="6" t="str">
        <f aca="false">DEC2HEX(C583+48,2)</f>
        <v>D6</v>
      </c>
      <c r="I583" s="6" t="str">
        <f aca="false">_xlfn.CONCAT("\x", G583, "\x", H583, "=", F583)</f>
        <v>\x26\xD6=떨</v>
      </c>
      <c r="M583" s="7" t="s">
        <v>560</v>
      </c>
      <c r="N583" s="6" t="str">
        <f aca="false">_xlfn.CONCAT("\x", DEC2HEX(D583+44, 2), "\x", H583, "=", M583)</f>
        <v>\x2E\xD6=片</v>
      </c>
    </row>
    <row r="584" customFormat="false" ht="12.8" hidden="false" customHeight="true" outlineLevel="0" collapsed="false">
      <c r="C584" s="6" t="n">
        <f aca="false">MOD(ROW()-1, 208)</f>
        <v>167</v>
      </c>
      <c r="D584" s="6" t="n">
        <f aca="false">INT((ROW()-1)/208)</f>
        <v>2</v>
      </c>
      <c r="F584" s="6" t="str">
        <f aca="false">MID(VLOOKUP(D584,$P$1:$Q$13,2,0), 1 + C584,1)</f>
        <v>떪</v>
      </c>
      <c r="G584" s="6" t="str">
        <f aca="false">DEC2HEX(D584+36, 2)</f>
        <v>26</v>
      </c>
      <c r="H584" s="6" t="str">
        <f aca="false">DEC2HEX(C584+48,2)</f>
        <v>D7</v>
      </c>
      <c r="I584" s="6" t="str">
        <f aca="false">_xlfn.CONCAT("\x", G584, "\x", H584, "=", F584)</f>
        <v>\x26\xD7=떪</v>
      </c>
      <c r="M584" s="7" t="s">
        <v>561</v>
      </c>
      <c r="N584" s="6" t="str">
        <f aca="false">_xlfn.CONCAT("\x", DEC2HEX(D584+44, 2), "\x", H584, "=", M584)</f>
        <v>\x2E\xD7=械</v>
      </c>
    </row>
    <row r="585" customFormat="false" ht="12.8" hidden="false" customHeight="true" outlineLevel="0" collapsed="false">
      <c r="C585" s="6" t="n">
        <f aca="false">MOD(ROW()-1, 208)</f>
        <v>168</v>
      </c>
      <c r="D585" s="6" t="n">
        <f aca="false">INT((ROW()-1)/208)</f>
        <v>2</v>
      </c>
      <c r="F585" s="6" t="str">
        <f aca="false">MID(VLOOKUP(D585,$P$1:$Q$13,2,0), 1 + C585,1)</f>
        <v>떫</v>
      </c>
      <c r="G585" s="6" t="str">
        <f aca="false">DEC2HEX(D585+36, 2)</f>
        <v>26</v>
      </c>
      <c r="H585" s="6" t="str">
        <f aca="false">DEC2HEX(C585+48,2)</f>
        <v>D8</v>
      </c>
      <c r="I585" s="6" t="str">
        <f aca="false">_xlfn.CONCAT("\x", G585, "\x", H585, "=", F585)</f>
        <v>\x26\xD8=떫</v>
      </c>
      <c r="M585" s="7" t="s">
        <v>562</v>
      </c>
      <c r="N585" s="6" t="str">
        <f aca="false">_xlfn.CONCAT("\x", DEC2HEX(D585+44, 2), "\x", H585, "=", M585)</f>
        <v>\x2E\xD8=種</v>
      </c>
    </row>
    <row r="586" customFormat="false" ht="12.8" hidden="false" customHeight="true" outlineLevel="0" collapsed="false">
      <c r="C586" s="6" t="n">
        <f aca="false">MOD(ROW()-1, 208)</f>
        <v>169</v>
      </c>
      <c r="D586" s="6" t="n">
        <f aca="false">INT((ROW()-1)/208)</f>
        <v>2</v>
      </c>
      <c r="F586" s="6" t="str">
        <f aca="false">MID(VLOOKUP(D586,$P$1:$Q$13,2,0), 1 + C586,1)</f>
        <v>떰</v>
      </c>
      <c r="G586" s="6" t="str">
        <f aca="false">DEC2HEX(D586+36, 2)</f>
        <v>26</v>
      </c>
      <c r="H586" s="6" t="str">
        <f aca="false">DEC2HEX(C586+48,2)</f>
        <v>D9</v>
      </c>
      <c r="I586" s="6" t="str">
        <f aca="false">_xlfn.CONCAT("\x", G586, "\x", H586, "=", F586)</f>
        <v>\x26\xD9=떰</v>
      </c>
      <c r="M586" s="7" t="s">
        <v>563</v>
      </c>
      <c r="N586" s="6" t="str">
        <f aca="false">_xlfn.CONCAT("\x", DEC2HEX(D586+44, 2), "\x", H586, "=", M586)</f>
        <v>\x2E\xD9=禁</v>
      </c>
    </row>
    <row r="587" customFormat="false" ht="12.8" hidden="false" customHeight="true" outlineLevel="0" collapsed="false">
      <c r="C587" s="6" t="n">
        <f aca="false">MOD(ROW()-1, 208)</f>
        <v>170</v>
      </c>
      <c r="D587" s="6" t="n">
        <f aca="false">INT((ROW()-1)/208)</f>
        <v>2</v>
      </c>
      <c r="F587" s="6" t="str">
        <f aca="false">MID(VLOOKUP(D587,$P$1:$Q$13,2,0), 1 + C587,1)</f>
        <v>떱</v>
      </c>
      <c r="G587" s="6" t="str">
        <f aca="false">DEC2HEX(D587+36, 2)</f>
        <v>26</v>
      </c>
      <c r="H587" s="6" t="str">
        <f aca="false">DEC2HEX(C587+48,2)</f>
        <v>DA</v>
      </c>
      <c r="I587" s="6" t="str">
        <f aca="false">_xlfn.CONCAT("\x", G587, "\x", H587, "=", F587)</f>
        <v>\x26\xDA=떱</v>
      </c>
      <c r="M587" s="7" t="s">
        <v>564</v>
      </c>
      <c r="N587" s="6" t="str">
        <f aca="false">_xlfn.CONCAT("\x", DEC2HEX(D587+44, 2), "\x", H587, "=", M587)</f>
        <v>\x2E\xDA=修</v>
      </c>
    </row>
    <row r="588" customFormat="false" ht="12.8" hidden="false" customHeight="true" outlineLevel="0" collapsed="false">
      <c r="C588" s="6" t="n">
        <f aca="false">MOD(ROW()-1, 208)</f>
        <v>171</v>
      </c>
      <c r="D588" s="6" t="n">
        <f aca="false">INT((ROW()-1)/208)</f>
        <v>2</v>
      </c>
      <c r="F588" s="6" t="str">
        <f aca="false">MID(VLOOKUP(D588,$P$1:$Q$13,2,0), 1 + C588,1)</f>
        <v>떳</v>
      </c>
      <c r="G588" s="6" t="str">
        <f aca="false">DEC2HEX(D588+36, 2)</f>
        <v>26</v>
      </c>
      <c r="H588" s="6" t="str">
        <f aca="false">DEC2HEX(C588+48,2)</f>
        <v>DB</v>
      </c>
      <c r="I588" s="6" t="str">
        <f aca="false">_xlfn.CONCAT("\x", G588, "\x", H588, "=", F588)</f>
        <v>\x26\xDB=떳</v>
      </c>
      <c r="M588" s="7" t="s">
        <v>565</v>
      </c>
      <c r="N588" s="6" t="str">
        <f aca="false">_xlfn.CONCAT("\x", DEC2HEX(D588+44, 2), "\x", H588, "=", M588)</f>
        <v>\x2E\xDB=包</v>
      </c>
    </row>
    <row r="589" customFormat="false" ht="12.8" hidden="false" customHeight="true" outlineLevel="0" collapsed="false">
      <c r="C589" s="6" t="n">
        <f aca="false">MOD(ROW()-1, 208)</f>
        <v>172</v>
      </c>
      <c r="D589" s="6" t="n">
        <f aca="false">INT((ROW()-1)/208)</f>
        <v>2</v>
      </c>
      <c r="F589" s="6" t="str">
        <f aca="false">MID(VLOOKUP(D589,$P$1:$Q$13,2,0), 1 + C589,1)</f>
        <v>떴</v>
      </c>
      <c r="G589" s="6" t="str">
        <f aca="false">DEC2HEX(D589+36, 2)</f>
        <v>26</v>
      </c>
      <c r="H589" s="6" t="str">
        <f aca="false">DEC2HEX(C589+48,2)</f>
        <v>DC</v>
      </c>
      <c r="I589" s="6" t="str">
        <f aca="false">_xlfn.CONCAT("\x", G589, "\x", H589, "=", F589)</f>
        <v>\x26\xDC=떴</v>
      </c>
      <c r="M589" s="7" t="s">
        <v>566</v>
      </c>
      <c r="N589" s="6" t="str">
        <f aca="false">_xlfn.CONCAT("\x", DEC2HEX(D589+44, 2), "\x", H589, "=", M589)</f>
        <v>\x2E\xDC=実</v>
      </c>
    </row>
    <row r="590" customFormat="false" ht="12.8" hidden="false" customHeight="true" outlineLevel="0" collapsed="false">
      <c r="C590" s="6" t="n">
        <f aca="false">MOD(ROW()-1, 208)</f>
        <v>173</v>
      </c>
      <c r="D590" s="6" t="n">
        <f aca="false">INT((ROW()-1)/208)</f>
        <v>2</v>
      </c>
      <c r="F590" s="6" t="str">
        <f aca="false">MID(VLOOKUP(D590,$P$1:$Q$13,2,0), 1 + C590,1)</f>
        <v>떵</v>
      </c>
      <c r="G590" s="6" t="str">
        <f aca="false">DEC2HEX(D590+36, 2)</f>
        <v>26</v>
      </c>
      <c r="H590" s="6" t="str">
        <f aca="false">DEC2HEX(C590+48,2)</f>
        <v>DD</v>
      </c>
      <c r="I590" s="6" t="str">
        <f aca="false">_xlfn.CONCAT("\x", G590, "\x", H590, "=", F590)</f>
        <v>\x26\xDD=떵</v>
      </c>
      <c r="M590" s="7" t="s">
        <v>567</v>
      </c>
      <c r="N590" s="6" t="str">
        <f aca="false">_xlfn.CONCAT("\x", DEC2HEX(D590+44, 2), "\x", H590, "=", M590)</f>
        <v>\x2E\xDD=損</v>
      </c>
    </row>
    <row r="591" customFormat="false" ht="12.8" hidden="false" customHeight="true" outlineLevel="0" collapsed="false">
      <c r="C591" s="6" t="n">
        <f aca="false">MOD(ROW()-1, 208)</f>
        <v>174</v>
      </c>
      <c r="D591" s="6" t="n">
        <f aca="false">INT((ROW()-1)/208)</f>
        <v>2</v>
      </c>
      <c r="F591" s="6" t="str">
        <f aca="false">MID(VLOOKUP(D591,$P$1:$Q$13,2,0), 1 + C591,1)</f>
        <v>떻</v>
      </c>
      <c r="G591" s="6" t="str">
        <f aca="false">DEC2HEX(D591+36, 2)</f>
        <v>26</v>
      </c>
      <c r="H591" s="6" t="str">
        <f aca="false">DEC2HEX(C591+48,2)</f>
        <v>DE</v>
      </c>
      <c r="I591" s="6" t="str">
        <f aca="false">_xlfn.CONCAT("\x", G591, "\x", H591, "=", F591)</f>
        <v>\x26\xDE=떻</v>
      </c>
      <c r="M591" s="7" t="s">
        <v>568</v>
      </c>
      <c r="N591" s="6" t="str">
        <f aca="false">_xlfn.CONCAT("\x", DEC2HEX(D591+44, 2), "\x", H591, "=", M591)</f>
        <v>\x2E\xDE=丁</v>
      </c>
    </row>
    <row r="592" customFormat="false" ht="12.8" hidden="false" customHeight="true" outlineLevel="0" collapsed="false">
      <c r="C592" s="6" t="n">
        <f aca="false">MOD(ROW()-1, 208)</f>
        <v>175</v>
      </c>
      <c r="D592" s="6" t="n">
        <f aca="false">INT((ROW()-1)/208)</f>
        <v>2</v>
      </c>
      <c r="F592" s="6" t="str">
        <f aca="false">MID(VLOOKUP(D592,$P$1:$Q$13,2,0), 1 + C592,1)</f>
        <v>떼</v>
      </c>
      <c r="G592" s="6" t="str">
        <f aca="false">DEC2HEX(D592+36, 2)</f>
        <v>26</v>
      </c>
      <c r="H592" s="6" t="str">
        <f aca="false">DEC2HEX(C592+48,2)</f>
        <v>DF</v>
      </c>
      <c r="I592" s="6" t="str">
        <f aca="false">_xlfn.CONCAT("\x", G592, "\x", H592, "=", F592)</f>
        <v>\x26\xDF=떼</v>
      </c>
      <c r="M592" s="7" t="s">
        <v>569</v>
      </c>
      <c r="N592" s="6" t="str">
        <f aca="false">_xlfn.CONCAT("\x", DEC2HEX(D592+44, 2), "\x", H592, "=", M592)</f>
        <v>\x2E\xDF=植</v>
      </c>
    </row>
    <row r="593" customFormat="false" ht="12.8" hidden="false" customHeight="true" outlineLevel="0" collapsed="false">
      <c r="C593" s="6" t="n">
        <f aca="false">MOD(ROW()-1, 208)</f>
        <v>176</v>
      </c>
      <c r="D593" s="6" t="n">
        <f aca="false">INT((ROW()-1)/208)</f>
        <v>2</v>
      </c>
      <c r="F593" s="6" t="str">
        <f aca="false">MID(VLOOKUP(D593,$P$1:$Q$13,2,0), 1 + C593,1)</f>
        <v>떽</v>
      </c>
      <c r="G593" s="6" t="str">
        <f aca="false">DEC2HEX(D593+36, 2)</f>
        <v>26</v>
      </c>
      <c r="H593" s="6" t="str">
        <f aca="false">DEC2HEX(C593+48,2)</f>
        <v>E0</v>
      </c>
      <c r="I593" s="6" t="str">
        <f aca="false">_xlfn.CONCAT("\x", G593, "\x", H593, "=", F593)</f>
        <v>\x26\xE0=떽</v>
      </c>
      <c r="M593" s="7" t="s">
        <v>570</v>
      </c>
      <c r="N593" s="6" t="str">
        <f aca="false">_xlfn.CONCAT("\x", DEC2HEX(D593+44, 2), "\x", H593, "=", M593)</f>
        <v>\x2E\xE0=傷</v>
      </c>
    </row>
    <row r="594" customFormat="false" ht="12.8" hidden="false" customHeight="true" outlineLevel="0" collapsed="false">
      <c r="C594" s="6" t="n">
        <f aca="false">MOD(ROW()-1, 208)</f>
        <v>177</v>
      </c>
      <c r="D594" s="6" t="n">
        <f aca="false">INT((ROW()-1)/208)</f>
        <v>2</v>
      </c>
      <c r="F594" s="6" t="str">
        <f aca="false">MID(VLOOKUP(D594,$P$1:$Q$13,2,0), 1 + C594,1)</f>
        <v>뗀</v>
      </c>
      <c r="G594" s="6" t="str">
        <f aca="false">DEC2HEX(D594+36, 2)</f>
        <v>26</v>
      </c>
      <c r="H594" s="6" t="str">
        <f aca="false">DEC2HEX(C594+48,2)</f>
        <v>E1</v>
      </c>
      <c r="I594" s="6" t="str">
        <f aca="false">_xlfn.CONCAT("\x", G594, "\x", H594, "=", F594)</f>
        <v>\x26\xE1=뗀</v>
      </c>
      <c r="M594" s="7" t="s">
        <v>571</v>
      </c>
      <c r="N594" s="6" t="str">
        <f aca="false">_xlfn.CONCAT("\x", DEC2HEX(D594+44, 2), "\x", H594, "=", M594)</f>
        <v>\x2E\xE1=系</v>
      </c>
    </row>
    <row r="595" customFormat="false" ht="12.8" hidden="false" customHeight="true" outlineLevel="0" collapsed="false">
      <c r="C595" s="6" t="n">
        <f aca="false">MOD(ROW()-1, 208)</f>
        <v>178</v>
      </c>
      <c r="D595" s="6" t="n">
        <f aca="false">INT((ROW()-1)/208)</f>
        <v>2</v>
      </c>
      <c r="F595" s="6" t="str">
        <f aca="false">MID(VLOOKUP(D595,$P$1:$Q$13,2,0), 1 + C595,1)</f>
        <v>뗄</v>
      </c>
      <c r="G595" s="6" t="str">
        <f aca="false">DEC2HEX(D595+36, 2)</f>
        <v>26</v>
      </c>
      <c r="H595" s="6" t="str">
        <f aca="false">DEC2HEX(C595+48,2)</f>
        <v>E2</v>
      </c>
      <c r="I595" s="6" t="str">
        <f aca="false">_xlfn.CONCAT("\x", G595, "\x", H595, "=", F595)</f>
        <v>\x26\xE2=뗄</v>
      </c>
      <c r="M595" s="7" t="s">
        <v>572</v>
      </c>
      <c r="N595" s="6" t="str">
        <f aca="false">_xlfn.CONCAT("\x", DEC2HEX(D595+44, 2), "\x", H595, "=", M595)</f>
        <v>\x2E\xE2=込</v>
      </c>
    </row>
    <row r="596" customFormat="false" ht="12.8" hidden="false" customHeight="true" outlineLevel="0" collapsed="false">
      <c r="C596" s="6" t="n">
        <f aca="false">MOD(ROW()-1, 208)</f>
        <v>179</v>
      </c>
      <c r="D596" s="6" t="n">
        <f aca="false">INT((ROW()-1)/208)</f>
        <v>2</v>
      </c>
      <c r="F596" s="6" t="str">
        <f aca="false">MID(VLOOKUP(D596,$P$1:$Q$13,2,0), 1 + C596,1)</f>
        <v>뗌</v>
      </c>
      <c r="G596" s="6" t="str">
        <f aca="false">DEC2HEX(D596+36, 2)</f>
        <v>26</v>
      </c>
      <c r="H596" s="6" t="str">
        <f aca="false">DEC2HEX(C596+48,2)</f>
        <v>E3</v>
      </c>
      <c r="I596" s="6" t="str">
        <f aca="false">_xlfn.CONCAT("\x", G596, "\x", H596, "=", F596)</f>
        <v>\x26\xE3=뗌</v>
      </c>
      <c r="M596" s="7" t="s">
        <v>573</v>
      </c>
      <c r="N596" s="6" t="str">
        <f aca="false">_xlfn.CONCAT("\x", DEC2HEX(D596+44, 2), "\x", H596, "=", M596)</f>
        <v>\x2E\xE3=低</v>
      </c>
    </row>
    <row r="597" customFormat="false" ht="12.8" hidden="false" customHeight="true" outlineLevel="0" collapsed="false">
      <c r="C597" s="6" t="n">
        <f aca="false">MOD(ROW()-1, 208)</f>
        <v>180</v>
      </c>
      <c r="D597" s="6" t="n">
        <f aca="false">INT((ROW()-1)/208)</f>
        <v>2</v>
      </c>
      <c r="F597" s="6" t="str">
        <f aca="false">MID(VLOOKUP(D597,$P$1:$Q$13,2,0), 1 + C597,1)</f>
        <v>뗍</v>
      </c>
      <c r="G597" s="6" t="str">
        <f aca="false">DEC2HEX(D597+36, 2)</f>
        <v>26</v>
      </c>
      <c r="H597" s="6" t="str">
        <f aca="false">DEC2HEX(C597+48,2)</f>
        <v>E4</v>
      </c>
      <c r="I597" s="6" t="str">
        <f aca="false">_xlfn.CONCAT("\x", G597, "\x", H597, "=", F597)</f>
        <v>\x26\xE4=뗍</v>
      </c>
      <c r="M597" s="7" t="s">
        <v>574</v>
      </c>
      <c r="N597" s="6" t="str">
        <f aca="false">_xlfn.CONCAT("\x", DEC2HEX(D597+44, 2), "\x", H597, "=", M597)</f>
        <v>\x2E\xE4=複</v>
      </c>
    </row>
    <row r="598" customFormat="false" ht="12.8" hidden="false" customHeight="true" outlineLevel="0" collapsed="false">
      <c r="C598" s="6" t="n">
        <f aca="false">MOD(ROW()-1, 208)</f>
        <v>181</v>
      </c>
      <c r="D598" s="6" t="n">
        <f aca="false">INT((ROW()-1)/208)</f>
        <v>2</v>
      </c>
      <c r="F598" s="6" t="str">
        <f aca="false">MID(VLOOKUP(D598,$P$1:$Q$13,2,0), 1 + C598,1)</f>
        <v>뗏</v>
      </c>
      <c r="G598" s="6" t="str">
        <f aca="false">DEC2HEX(D598+36, 2)</f>
        <v>26</v>
      </c>
      <c r="H598" s="6" t="str">
        <f aca="false">DEC2HEX(C598+48,2)</f>
        <v>E5</v>
      </c>
      <c r="I598" s="6" t="str">
        <f aca="false">_xlfn.CONCAT("\x", G598, "\x", H598, "=", F598)</f>
        <v>\x26\xE5=뗏</v>
      </c>
      <c r="M598" s="7" t="s">
        <v>575</v>
      </c>
      <c r="N598" s="6" t="str">
        <f aca="false">_xlfn.CONCAT("\x", DEC2HEX(D598+44, 2), "\x", H598, "=", M598)</f>
        <v>\x2E\xE5=同</v>
      </c>
    </row>
    <row r="599" customFormat="false" ht="12.8" hidden="false" customHeight="true" outlineLevel="0" collapsed="false">
      <c r="C599" s="6" t="n">
        <f aca="false">MOD(ROW()-1, 208)</f>
        <v>182</v>
      </c>
      <c r="D599" s="6" t="n">
        <f aca="false">INT((ROW()-1)/208)</f>
        <v>2</v>
      </c>
      <c r="F599" s="6" t="str">
        <f aca="false">MID(VLOOKUP(D599,$P$1:$Q$13,2,0), 1 + C599,1)</f>
        <v>뗐</v>
      </c>
      <c r="G599" s="6" t="str">
        <f aca="false">DEC2HEX(D599+36, 2)</f>
        <v>26</v>
      </c>
      <c r="H599" s="6" t="str">
        <f aca="false">DEC2HEX(C599+48,2)</f>
        <v>E6</v>
      </c>
      <c r="I599" s="6" t="str">
        <f aca="false">_xlfn.CONCAT("\x", G599, "\x", H599, "=", F599)</f>
        <v>\x26\xE6=뗐</v>
      </c>
      <c r="M599" s="7" t="s">
        <v>576</v>
      </c>
      <c r="N599" s="6" t="str">
        <f aca="false">_xlfn.CONCAT("\x", DEC2HEX(D599+44, 2), "\x", H599, "=", M599)</f>
        <v>\x2E\xE6=起</v>
      </c>
    </row>
    <row r="600" customFormat="false" ht="12.8" hidden="false" customHeight="true" outlineLevel="0" collapsed="false">
      <c r="C600" s="6" t="n">
        <f aca="false">MOD(ROW()-1, 208)</f>
        <v>183</v>
      </c>
      <c r="D600" s="6" t="n">
        <f aca="false">INT((ROW()-1)/208)</f>
        <v>2</v>
      </c>
      <c r="F600" s="6" t="str">
        <f aca="false">MID(VLOOKUP(D600,$P$1:$Q$13,2,0), 1 + C600,1)</f>
        <v>뗑</v>
      </c>
      <c r="G600" s="6" t="str">
        <f aca="false">DEC2HEX(D600+36, 2)</f>
        <v>26</v>
      </c>
      <c r="H600" s="6" t="str">
        <f aca="false">DEC2HEX(C600+48,2)</f>
        <v>E7</v>
      </c>
      <c r="I600" s="6" t="str">
        <f aca="false">_xlfn.CONCAT("\x", G600, "\x", H600, "=", F600)</f>
        <v>\x26\xE7=뗑</v>
      </c>
      <c r="M600" s="7" t="s">
        <v>577</v>
      </c>
      <c r="N600" s="6" t="str">
        <f aca="false">_xlfn.CONCAT("\x", DEC2HEX(D600+44, 2), "\x", H600, "=", M600)</f>
        <v>\x2E\xE7=滅</v>
      </c>
    </row>
    <row r="601" customFormat="false" ht="12.8" hidden="false" customHeight="true" outlineLevel="0" collapsed="false">
      <c r="C601" s="6" t="n">
        <f aca="false">MOD(ROW()-1, 208)</f>
        <v>184</v>
      </c>
      <c r="D601" s="6" t="n">
        <f aca="false">INT((ROW()-1)/208)</f>
        <v>2</v>
      </c>
      <c r="F601" s="6" t="str">
        <f aca="false">MID(VLOOKUP(D601,$P$1:$Q$13,2,0), 1 + C601,1)</f>
        <v>뗘</v>
      </c>
      <c r="G601" s="6" t="str">
        <f aca="false">DEC2HEX(D601+36, 2)</f>
        <v>26</v>
      </c>
      <c r="H601" s="6" t="str">
        <f aca="false">DEC2HEX(C601+48,2)</f>
        <v>E8</v>
      </c>
      <c r="I601" s="6" t="str">
        <f aca="false">_xlfn.CONCAT("\x", G601, "\x", H601, "=", F601)</f>
        <v>\x26\xE8=뗘</v>
      </c>
      <c r="M601" s="7" t="s">
        <v>578</v>
      </c>
      <c r="N601" s="6" t="str">
        <f aca="false">_xlfn.CONCAT("\x", DEC2HEX(D601+44, 2), "\x", H601, "=", M601)</f>
        <v>\x2E\xE8=業</v>
      </c>
    </row>
    <row r="602" customFormat="false" ht="12.8" hidden="false" customHeight="true" outlineLevel="0" collapsed="false">
      <c r="C602" s="6" t="n">
        <f aca="false">MOD(ROW()-1, 208)</f>
        <v>185</v>
      </c>
      <c r="D602" s="6" t="n">
        <f aca="false">INT((ROW()-1)/208)</f>
        <v>2</v>
      </c>
      <c r="F602" s="6" t="str">
        <f aca="false">MID(VLOOKUP(D602,$P$1:$Q$13,2,0), 1 + C602,1)</f>
        <v>뗬</v>
      </c>
      <c r="G602" s="6" t="str">
        <f aca="false">DEC2HEX(D602+36, 2)</f>
        <v>26</v>
      </c>
      <c r="H602" s="6" t="str">
        <f aca="false">DEC2HEX(C602+48,2)</f>
        <v>E9</v>
      </c>
      <c r="I602" s="6" t="str">
        <f aca="false">_xlfn.CONCAT("\x", G602, "\x", H602, "=", F602)</f>
        <v>\x26\xE9=뗬</v>
      </c>
      <c r="M602" s="7" t="s">
        <v>579</v>
      </c>
      <c r="N602" s="6" t="str">
        <f aca="false">_xlfn.CONCAT("\x", DEC2HEX(D602+44, 2), "\x", H602, "=", M602)</f>
        <v>\x2E\xE9=測</v>
      </c>
    </row>
    <row r="603" customFormat="false" ht="12.8" hidden="false" customHeight="true" outlineLevel="0" collapsed="false">
      <c r="C603" s="6" t="n">
        <f aca="false">MOD(ROW()-1, 208)</f>
        <v>186</v>
      </c>
      <c r="D603" s="6" t="n">
        <f aca="false">INT((ROW()-1)/208)</f>
        <v>2</v>
      </c>
      <c r="F603" s="6" t="str">
        <f aca="false">MID(VLOOKUP(D603,$P$1:$Q$13,2,0), 1 + C603,1)</f>
        <v>또</v>
      </c>
      <c r="G603" s="6" t="str">
        <f aca="false">DEC2HEX(D603+36, 2)</f>
        <v>26</v>
      </c>
      <c r="H603" s="6" t="str">
        <f aca="false">DEC2HEX(C603+48,2)</f>
        <v>EA</v>
      </c>
      <c r="I603" s="6" t="str">
        <f aca="false">_xlfn.CONCAT("\x", G603, "\x", H603, "=", F603)</f>
        <v>\x26\xEA=또</v>
      </c>
      <c r="M603" s="7" t="s">
        <v>580</v>
      </c>
      <c r="N603" s="6" t="str">
        <f aca="false">_xlfn.CONCAT("\x", DEC2HEX(D603+44, 2), "\x", H603, "=", M603)</f>
        <v>\x2E\xEA=相</v>
      </c>
    </row>
    <row r="604" customFormat="false" ht="12.8" hidden="false" customHeight="true" outlineLevel="0" collapsed="false">
      <c r="C604" s="6" t="n">
        <f aca="false">MOD(ROW()-1, 208)</f>
        <v>187</v>
      </c>
      <c r="D604" s="6" t="n">
        <f aca="false">INT((ROW()-1)/208)</f>
        <v>2</v>
      </c>
      <c r="F604" s="6" t="str">
        <f aca="false">MID(VLOOKUP(D604,$P$1:$Q$13,2,0), 1 + C604,1)</f>
        <v>똑</v>
      </c>
      <c r="G604" s="6" t="str">
        <f aca="false">DEC2HEX(D604+36, 2)</f>
        <v>26</v>
      </c>
      <c r="H604" s="6" t="str">
        <f aca="false">DEC2HEX(C604+48,2)</f>
        <v>EB</v>
      </c>
      <c r="I604" s="6" t="str">
        <f aca="false">_xlfn.CONCAT("\x", G604, "\x", H604, "=", F604)</f>
        <v>\x26\xEB=똑</v>
      </c>
      <c r="M604" s="7" t="s">
        <v>581</v>
      </c>
      <c r="N604" s="6" t="str">
        <f aca="false">_xlfn.CONCAT("\x", DEC2HEX(D604+44, 2), "\x", H604, "=", M604)</f>
        <v>\x2E\xEB=重</v>
      </c>
    </row>
    <row r="605" customFormat="false" ht="12.8" hidden="false" customHeight="true" outlineLevel="0" collapsed="false">
      <c r="C605" s="6" t="n">
        <f aca="false">MOD(ROW()-1, 208)</f>
        <v>188</v>
      </c>
      <c r="D605" s="6" t="n">
        <f aca="false">INT((ROW()-1)/208)</f>
        <v>2</v>
      </c>
      <c r="F605" s="6" t="str">
        <f aca="false">MID(VLOOKUP(D605,$P$1:$Q$13,2,0), 1 + C605,1)</f>
        <v>똔</v>
      </c>
      <c r="G605" s="6" t="str">
        <f aca="false">DEC2HEX(D605+36, 2)</f>
        <v>26</v>
      </c>
      <c r="H605" s="6" t="str">
        <f aca="false">DEC2HEX(C605+48,2)</f>
        <v>EC</v>
      </c>
      <c r="I605" s="6" t="str">
        <f aca="false">_xlfn.CONCAT("\x", G605, "\x", H605, "=", F605)</f>
        <v>\x26\xEC=똔</v>
      </c>
      <c r="M605" s="7" t="s">
        <v>582</v>
      </c>
      <c r="N605" s="6" t="str">
        <f aca="false">_xlfn.CONCAT("\x", DEC2HEX(D605+44, 2), "\x", H605, "=", M605)</f>
        <v>\x2E\xEC=係</v>
      </c>
    </row>
    <row r="606" customFormat="false" ht="12.8" hidden="false" customHeight="true" outlineLevel="0" collapsed="false">
      <c r="C606" s="6" t="n">
        <f aca="false">MOD(ROW()-1, 208)</f>
        <v>189</v>
      </c>
      <c r="D606" s="6" t="n">
        <f aca="false">INT((ROW()-1)/208)</f>
        <v>2</v>
      </c>
      <c r="F606" s="6" t="str">
        <f aca="false">MID(VLOOKUP(D606,$P$1:$Q$13,2,0), 1 + C606,1)</f>
        <v>똘</v>
      </c>
      <c r="G606" s="6" t="str">
        <f aca="false">DEC2HEX(D606+36, 2)</f>
        <v>26</v>
      </c>
      <c r="H606" s="6" t="str">
        <f aca="false">DEC2HEX(C606+48,2)</f>
        <v>ED</v>
      </c>
      <c r="I606" s="6" t="str">
        <f aca="false">_xlfn.CONCAT("\x", G606, "\x", H606, "=", F606)</f>
        <v>\x26\xED=똘</v>
      </c>
      <c r="M606" s="7" t="s">
        <v>583</v>
      </c>
      <c r="N606" s="6" t="str">
        <f aca="false">_xlfn.CONCAT("\x", DEC2HEX(D606+44, 2), "\x", H606, "=", M606)</f>
        <v>\x2E\xED=関</v>
      </c>
    </row>
    <row r="607" customFormat="false" ht="12.8" hidden="false" customHeight="true" outlineLevel="0" collapsed="false">
      <c r="C607" s="6" t="n">
        <f aca="false">MOD(ROW()-1, 208)</f>
        <v>190</v>
      </c>
      <c r="D607" s="6" t="n">
        <f aca="false">INT((ROW()-1)/208)</f>
        <v>2</v>
      </c>
      <c r="F607" s="6" t="str">
        <f aca="false">MID(VLOOKUP(D607,$P$1:$Q$13,2,0), 1 + C607,1)</f>
        <v>똥</v>
      </c>
      <c r="G607" s="6" t="str">
        <f aca="false">DEC2HEX(D607+36, 2)</f>
        <v>26</v>
      </c>
      <c r="H607" s="6" t="str">
        <f aca="false">DEC2HEX(C607+48,2)</f>
        <v>EE</v>
      </c>
      <c r="I607" s="6" t="str">
        <f aca="false">_xlfn.CONCAT("\x", G607, "\x", H607, "=", F607)</f>
        <v>\x26\xEE=똥</v>
      </c>
      <c r="M607" s="7" t="s">
        <v>584</v>
      </c>
      <c r="N607" s="6" t="str">
        <f aca="false">_xlfn.CONCAT("\x", DEC2HEX(D607+44, 2), "\x", H607, "=", M607)</f>
        <v>\x2E\xEE=得</v>
      </c>
    </row>
    <row r="608" customFormat="false" ht="12.8" hidden="false" customHeight="true" outlineLevel="0" collapsed="false">
      <c r="C608" s="6" t="n">
        <f aca="false">MOD(ROW()-1, 208)</f>
        <v>191</v>
      </c>
      <c r="D608" s="6" t="n">
        <f aca="false">INT((ROW()-1)/208)</f>
        <v>2</v>
      </c>
      <c r="F608" s="6" t="str">
        <f aca="false">MID(VLOOKUP(D608,$P$1:$Q$13,2,0), 1 + C608,1)</f>
        <v>똬</v>
      </c>
      <c r="G608" s="6" t="str">
        <f aca="false">DEC2HEX(D608+36, 2)</f>
        <v>26</v>
      </c>
      <c r="H608" s="6" t="str">
        <f aca="false">DEC2HEX(C608+48,2)</f>
        <v>EF</v>
      </c>
      <c r="I608" s="6" t="str">
        <f aca="false">_xlfn.CONCAT("\x", G608, "\x", H608, "=", F608)</f>
        <v>\x26\xEF=똬</v>
      </c>
      <c r="M608" s="7" t="s">
        <v>585</v>
      </c>
      <c r="N608" s="6" t="str">
        <f aca="false">_xlfn.CONCAT("\x", DEC2HEX(D608+44, 2), "\x", H608, "=", M608)</f>
        <v>\x2E\xEF=助</v>
      </c>
    </row>
    <row r="609" customFormat="false" ht="12.8" hidden="false" customHeight="true" outlineLevel="0" collapsed="false">
      <c r="C609" s="6" t="n">
        <f aca="false">MOD(ROW()-1, 208)</f>
        <v>192</v>
      </c>
      <c r="D609" s="6" t="n">
        <f aca="false">INT((ROW()-1)/208)</f>
        <v>2</v>
      </c>
      <c r="F609" s="6" t="str">
        <f aca="false">MID(VLOOKUP(D609,$P$1:$Q$13,2,0), 1 + C609,1)</f>
        <v>똴</v>
      </c>
      <c r="G609" s="6" t="str">
        <f aca="false">DEC2HEX(D609+36, 2)</f>
        <v>26</v>
      </c>
      <c r="H609" s="6" t="str">
        <f aca="false">DEC2HEX(C609+48,2)</f>
        <v>F0</v>
      </c>
      <c r="I609" s="6" t="str">
        <f aca="false">_xlfn.CONCAT("\x", G609, "\x", H609, "=", F609)</f>
        <v>\x26\xF0=똴</v>
      </c>
      <c r="M609" s="7" t="s">
        <v>586</v>
      </c>
      <c r="N609" s="6" t="str">
        <f aca="false">_xlfn.CONCAT("\x", DEC2HEX(D609+44, 2), "\x", H609, "=", M609)</f>
        <v>\x2E\xF0=柱</v>
      </c>
    </row>
    <row r="610" customFormat="false" ht="12.8" hidden="false" customHeight="true" outlineLevel="0" collapsed="false">
      <c r="C610" s="6" t="n">
        <f aca="false">MOD(ROW()-1, 208)</f>
        <v>193</v>
      </c>
      <c r="D610" s="6" t="n">
        <f aca="false">INT((ROW()-1)/208)</f>
        <v>2</v>
      </c>
      <c r="F610" s="6" t="str">
        <f aca="false">MID(VLOOKUP(D610,$P$1:$Q$13,2,0), 1 + C610,1)</f>
        <v>뙈</v>
      </c>
      <c r="G610" s="6" t="str">
        <f aca="false">DEC2HEX(D610+36, 2)</f>
        <v>26</v>
      </c>
      <c r="H610" s="6" t="str">
        <f aca="false">DEC2HEX(C610+48,2)</f>
        <v>F1</v>
      </c>
      <c r="I610" s="6" t="str">
        <f aca="false">_xlfn.CONCAT("\x", G610, "\x", H610, "=", F610)</f>
        <v>\x26\xF1=뙈</v>
      </c>
      <c r="M610" s="7" t="s">
        <v>587</v>
      </c>
      <c r="N610" s="6" t="str">
        <f aca="false">_xlfn.CONCAT("\x", DEC2HEX(D610+44, 2), "\x", H610, "=", M610)</f>
        <v>\x2E\xF1=触</v>
      </c>
    </row>
    <row r="611" customFormat="false" ht="12.8" hidden="false" customHeight="true" outlineLevel="0" collapsed="false">
      <c r="C611" s="6" t="n">
        <f aca="false">MOD(ROW()-1, 208)</f>
        <v>194</v>
      </c>
      <c r="D611" s="6" t="n">
        <f aca="false">INT((ROW()-1)/208)</f>
        <v>2</v>
      </c>
      <c r="F611" s="6" t="str">
        <f aca="false">MID(VLOOKUP(D611,$P$1:$Q$13,2,0), 1 + C611,1)</f>
        <v>뙤</v>
      </c>
      <c r="G611" s="6" t="str">
        <f aca="false">DEC2HEX(D611+36, 2)</f>
        <v>26</v>
      </c>
      <c r="H611" s="6" t="str">
        <f aca="false">DEC2HEX(C611+48,2)</f>
        <v>F2</v>
      </c>
      <c r="I611" s="6" t="str">
        <f aca="false">_xlfn.CONCAT("\x", G611, "\x", H611, "=", F611)</f>
        <v>\x26\xF2=뙤</v>
      </c>
      <c r="M611" s="7" t="s">
        <v>588</v>
      </c>
      <c r="N611" s="6" t="str">
        <f aca="false">_xlfn.CONCAT("\x", DEC2HEX(D611+44, 2), "\x", H611, "=", M611)</f>
        <v>\x2E\xF2=転</v>
      </c>
    </row>
    <row r="612" customFormat="false" ht="12.8" hidden="false" customHeight="true" outlineLevel="0" collapsed="false">
      <c r="C612" s="6" t="n">
        <f aca="false">MOD(ROW()-1, 208)</f>
        <v>195</v>
      </c>
      <c r="D612" s="6" t="n">
        <f aca="false">INT((ROW()-1)/208)</f>
        <v>2</v>
      </c>
      <c r="F612" s="6" t="str">
        <f aca="false">MID(VLOOKUP(D612,$P$1:$Q$13,2,0), 1 + C612,1)</f>
        <v>뙨</v>
      </c>
      <c r="G612" s="6" t="str">
        <f aca="false">DEC2HEX(D612+36, 2)</f>
        <v>26</v>
      </c>
      <c r="H612" s="6" t="str">
        <f aca="false">DEC2HEX(C612+48,2)</f>
        <v>F3</v>
      </c>
      <c r="I612" s="6" t="str">
        <f aca="false">_xlfn.CONCAT("\x", G612, "\x", H612, "=", F612)</f>
        <v>\x26\xF3=뙨</v>
      </c>
      <c r="M612" s="7" t="s">
        <v>589</v>
      </c>
      <c r="N612" s="6" t="str">
        <f aca="false">_xlfn.CONCAT("\x", DEC2HEX(D612+44, 2), "\x", H612, "=", M612)</f>
        <v>\x2E\xF3=来</v>
      </c>
    </row>
    <row r="613" customFormat="false" ht="12.8" hidden="false" customHeight="true" outlineLevel="0" collapsed="false">
      <c r="C613" s="6" t="n">
        <f aca="false">MOD(ROW()-1, 208)</f>
        <v>196</v>
      </c>
      <c r="D613" s="6" t="n">
        <f aca="false">INT((ROW()-1)/208)</f>
        <v>2</v>
      </c>
      <c r="F613" s="6" t="str">
        <f aca="false">MID(VLOOKUP(D613,$P$1:$Q$13,2,0), 1 + C613,1)</f>
        <v>뚜</v>
      </c>
      <c r="G613" s="6" t="str">
        <f aca="false">DEC2HEX(D613+36, 2)</f>
        <v>26</v>
      </c>
      <c r="H613" s="6" t="str">
        <f aca="false">DEC2HEX(C613+48,2)</f>
        <v>F4</v>
      </c>
      <c r="I613" s="6" t="str">
        <f aca="false">_xlfn.CONCAT("\x", G613, "\x", H613, "=", F613)</f>
        <v>\x26\xF4=뚜</v>
      </c>
      <c r="M613" s="7" t="s">
        <v>590</v>
      </c>
      <c r="N613" s="6" t="str">
        <f aca="false">_xlfn.CONCAT("\x", DEC2HEX(D613+44, 2), "\x", H613, "=", M613)</f>
        <v>\x2E\xF4=向</v>
      </c>
    </row>
    <row r="614" customFormat="false" ht="12.8" hidden="false" customHeight="true" outlineLevel="0" collapsed="false">
      <c r="C614" s="6" t="n">
        <f aca="false">MOD(ROW()-1, 208)</f>
        <v>197</v>
      </c>
      <c r="D614" s="6" t="n">
        <f aca="false">INT((ROW()-1)/208)</f>
        <v>2</v>
      </c>
      <c r="F614" s="6" t="str">
        <f aca="false">MID(VLOOKUP(D614,$P$1:$Q$13,2,0), 1 + C614,1)</f>
        <v>뚝</v>
      </c>
      <c r="G614" s="6" t="str">
        <f aca="false">DEC2HEX(D614+36, 2)</f>
        <v>26</v>
      </c>
      <c r="H614" s="6" t="str">
        <f aca="false">DEC2HEX(C614+48,2)</f>
        <v>F5</v>
      </c>
      <c r="I614" s="6" t="str">
        <f aca="false">_xlfn.CONCAT("\x", G614, "\x", H614, "=", F614)</f>
        <v>\x26\xF5=뚝</v>
      </c>
      <c r="M614" s="7" t="s">
        <v>591</v>
      </c>
      <c r="N614" s="6" t="str">
        <f aca="false">_xlfn.CONCAT("\x", DEC2HEX(D614+44, 2), "\x", H614, "=", M614)</f>
        <v>\x2E\xF5=急</v>
      </c>
    </row>
    <row r="615" customFormat="false" ht="12.8" hidden="false" customHeight="true" outlineLevel="0" collapsed="false">
      <c r="C615" s="6" t="n">
        <f aca="false">MOD(ROW()-1, 208)</f>
        <v>198</v>
      </c>
      <c r="D615" s="6" t="n">
        <f aca="false">INT((ROW()-1)/208)</f>
        <v>2</v>
      </c>
      <c r="F615" s="6" t="str">
        <f aca="false">MID(VLOOKUP(D615,$P$1:$Q$13,2,0), 1 + C615,1)</f>
        <v>뚠</v>
      </c>
      <c r="G615" s="6" t="str">
        <f aca="false">DEC2HEX(D615+36, 2)</f>
        <v>26</v>
      </c>
      <c r="H615" s="6" t="str">
        <f aca="false">DEC2HEX(C615+48,2)</f>
        <v>F6</v>
      </c>
      <c r="I615" s="6" t="str">
        <f aca="false">_xlfn.CONCAT("\x", G615, "\x", H615, "=", F615)</f>
        <v>\x26\xF6=뚠</v>
      </c>
      <c r="M615" s="7" t="s">
        <v>592</v>
      </c>
      <c r="N615" s="6" t="str">
        <f aca="false">_xlfn.CONCAT("\x", DEC2HEX(D615+44, 2), "\x", H615, "=", M615)</f>
        <v>\x2E\xF6=浮</v>
      </c>
    </row>
    <row r="616" customFormat="false" ht="12.8" hidden="false" customHeight="true" outlineLevel="0" collapsed="false">
      <c r="C616" s="6" t="n">
        <f aca="false">MOD(ROW()-1, 208)</f>
        <v>199</v>
      </c>
      <c r="D616" s="6" t="n">
        <f aca="false">INT((ROW()-1)/208)</f>
        <v>2</v>
      </c>
      <c r="F616" s="6" t="str">
        <f aca="false">MID(VLOOKUP(D616,$P$1:$Q$13,2,0), 1 + C616,1)</f>
        <v>뚤</v>
      </c>
      <c r="G616" s="6" t="str">
        <f aca="false">DEC2HEX(D616+36, 2)</f>
        <v>26</v>
      </c>
      <c r="H616" s="6" t="str">
        <f aca="false">DEC2HEX(C616+48,2)</f>
        <v>F7</v>
      </c>
      <c r="I616" s="6" t="str">
        <f aca="false">_xlfn.CONCAT("\x", G616, "\x", H616, "=", F616)</f>
        <v>\x26\xF7=뚤</v>
      </c>
      <c r="M616" s="7" t="s">
        <v>593</v>
      </c>
      <c r="N616" s="6" t="str">
        <f aca="false">_xlfn.CONCAT("\x", DEC2HEX(D616+44, 2), "\x", H616, "=", M616)</f>
        <v>\x2E\xF7=腕</v>
      </c>
    </row>
    <row r="617" customFormat="false" ht="12.8" hidden="false" customHeight="true" outlineLevel="0" collapsed="false">
      <c r="C617" s="6" t="n">
        <f aca="false">MOD(ROW()-1, 208)</f>
        <v>200</v>
      </c>
      <c r="D617" s="6" t="n">
        <f aca="false">INT((ROW()-1)/208)</f>
        <v>2</v>
      </c>
      <c r="F617" s="6" t="str">
        <f aca="false">MID(VLOOKUP(D617,$P$1:$Q$13,2,0), 1 + C617,1)</f>
        <v>뚫</v>
      </c>
      <c r="G617" s="6" t="str">
        <f aca="false">DEC2HEX(D617+36, 2)</f>
        <v>26</v>
      </c>
      <c r="H617" s="6" t="str">
        <f aca="false">DEC2HEX(C617+48,2)</f>
        <v>F8</v>
      </c>
      <c r="I617" s="6" t="str">
        <f aca="false">_xlfn.CONCAT("\x", G617, "\x", H617, "=", F617)</f>
        <v>\x26\xF8=뚫</v>
      </c>
      <c r="M617" s="7" t="s">
        <v>594</v>
      </c>
      <c r="N617" s="6" t="str">
        <f aca="false">_xlfn.CONCAT("\x", DEC2HEX(D617+44, 2), "\x", H617, "=", M617)</f>
        <v>\x2E\xF8=液</v>
      </c>
    </row>
    <row r="618" customFormat="false" ht="12.8" hidden="false" customHeight="true" outlineLevel="0" collapsed="false">
      <c r="C618" s="6" t="n">
        <f aca="false">MOD(ROW()-1, 208)</f>
        <v>201</v>
      </c>
      <c r="D618" s="6" t="n">
        <f aca="false">INT((ROW()-1)/208)</f>
        <v>2</v>
      </c>
      <c r="F618" s="6" t="str">
        <f aca="false">MID(VLOOKUP(D618,$P$1:$Q$13,2,0), 1 + C618,1)</f>
        <v>뚬</v>
      </c>
      <c r="G618" s="6" t="str">
        <f aca="false">DEC2HEX(D618+36, 2)</f>
        <v>26</v>
      </c>
      <c r="H618" s="6" t="str">
        <f aca="false">DEC2HEX(C618+48,2)</f>
        <v>F9</v>
      </c>
      <c r="I618" s="6" t="str">
        <f aca="false">_xlfn.CONCAT("\x", G618, "\x", H618, "=", F618)</f>
        <v>\x26\xF9=뚬</v>
      </c>
      <c r="M618" s="7" t="s">
        <v>595</v>
      </c>
      <c r="N618" s="6" t="str">
        <f aca="false">_xlfn.CONCAT("\x", DEC2HEX(D618+44, 2), "\x", H618, "=", M618)</f>
        <v>\x2E\xF9=順</v>
      </c>
    </row>
    <row r="619" customFormat="false" ht="12.8" hidden="false" customHeight="true" outlineLevel="0" collapsed="false">
      <c r="C619" s="6" t="n">
        <f aca="false">MOD(ROW()-1, 208)</f>
        <v>202</v>
      </c>
      <c r="D619" s="6" t="n">
        <f aca="false">INT((ROW()-1)/208)</f>
        <v>2</v>
      </c>
      <c r="F619" s="6" t="str">
        <f aca="false">MID(VLOOKUP(D619,$P$1:$Q$13,2,0), 1 + C619,1)</f>
        <v>뚱</v>
      </c>
      <c r="G619" s="6" t="str">
        <f aca="false">DEC2HEX(D619+36, 2)</f>
        <v>26</v>
      </c>
      <c r="H619" s="6" t="str">
        <f aca="false">DEC2HEX(C619+48,2)</f>
        <v>FA</v>
      </c>
      <c r="I619" s="6" t="str">
        <f aca="false">_xlfn.CONCAT("\x", G619, "\x", H619, "=", F619)</f>
        <v>\x26\xFA=뚱</v>
      </c>
      <c r="M619" s="7" t="s">
        <v>596</v>
      </c>
      <c r="N619" s="6" t="str">
        <f aca="false">_xlfn.CONCAT("\x", DEC2HEX(D619+44, 2), "\x", H619, "=", M619)</f>
        <v>\x2E\xFA=今</v>
      </c>
    </row>
    <row r="620" customFormat="false" ht="12.8" hidden="false" customHeight="true" outlineLevel="0" collapsed="false">
      <c r="C620" s="6" t="n">
        <f aca="false">MOD(ROW()-1, 208)</f>
        <v>203</v>
      </c>
      <c r="D620" s="6" t="n">
        <f aca="false">INT((ROW()-1)/208)</f>
        <v>2</v>
      </c>
      <c r="F620" s="6" t="str">
        <f aca="false">MID(VLOOKUP(D620,$P$1:$Q$13,2,0), 1 + C620,1)</f>
        <v>뛔</v>
      </c>
      <c r="G620" s="6" t="str">
        <f aca="false">DEC2HEX(D620+36, 2)</f>
        <v>26</v>
      </c>
      <c r="H620" s="6" t="str">
        <f aca="false">DEC2HEX(C620+48,2)</f>
        <v>FB</v>
      </c>
      <c r="I620" s="6" t="str">
        <f aca="false">_xlfn.CONCAT("\x", G620, "\x", H620, "=", F620)</f>
        <v>\x26\xFB=뛔</v>
      </c>
      <c r="M620" s="7" t="s">
        <v>597</v>
      </c>
      <c r="N620" s="6" t="str">
        <f aca="false">_xlfn.CONCAT("\x", DEC2HEX(D620+44, 2), "\x", H620, "=", M620)</f>
        <v>\x2E\xFB=砕</v>
      </c>
    </row>
    <row r="621" customFormat="false" ht="12.8" hidden="false" customHeight="true" outlineLevel="0" collapsed="false">
      <c r="C621" s="6" t="n">
        <f aca="false">MOD(ROW()-1, 208)</f>
        <v>204</v>
      </c>
      <c r="D621" s="6" t="n">
        <f aca="false">INT((ROW()-1)/208)</f>
        <v>2</v>
      </c>
      <c r="F621" s="6" t="str">
        <f aca="false">MID(VLOOKUP(D621,$P$1:$Q$13,2,0), 1 + C621,1)</f>
        <v>뛰</v>
      </c>
      <c r="G621" s="6" t="str">
        <f aca="false">DEC2HEX(D621+36, 2)</f>
        <v>26</v>
      </c>
      <c r="H621" s="6" t="str">
        <f aca="false">DEC2HEX(C621+48,2)</f>
        <v>FC</v>
      </c>
      <c r="I621" s="6" t="str">
        <f aca="false">_xlfn.CONCAT("\x", G621, "\x", H621, "=", F621)</f>
        <v>\x26\xFC=뛰</v>
      </c>
      <c r="M621" s="7" t="s">
        <v>598</v>
      </c>
      <c r="N621" s="6" t="str">
        <f aca="false">_xlfn.CONCAT("\x", DEC2HEX(D621+44, 2), "\x", H621, "=", M621)</f>
        <v>\x2E\xFC=究</v>
      </c>
    </row>
    <row r="622" customFormat="false" ht="12.8" hidden="false" customHeight="true" outlineLevel="0" collapsed="false">
      <c r="C622" s="6" t="n">
        <f aca="false">MOD(ROW()-1, 208)</f>
        <v>205</v>
      </c>
      <c r="D622" s="6" t="n">
        <f aca="false">INT((ROW()-1)/208)</f>
        <v>2</v>
      </c>
      <c r="F622" s="6" t="str">
        <f aca="false">MID(VLOOKUP(D622,$P$1:$Q$13,2,0), 1 + C622,1)</f>
        <v>뛴</v>
      </c>
      <c r="G622" s="6" t="str">
        <f aca="false">DEC2HEX(D622+36, 2)</f>
        <v>26</v>
      </c>
      <c r="H622" s="6" t="str">
        <f aca="false">DEC2HEX(C622+48,2)</f>
        <v>FD</v>
      </c>
      <c r="I622" s="6" t="str">
        <f aca="false">_xlfn.CONCAT("\x", G622, "\x", H622, "=", F622)</f>
        <v>\x26\xFD=뛴</v>
      </c>
      <c r="M622" s="7" t="s">
        <v>599</v>
      </c>
      <c r="N622" s="6" t="str">
        <f aca="false">_xlfn.CONCAT("\x", DEC2HEX(D622+44, 2), "\x", H622, "=", M622)</f>
        <v>\x2E\xFD=充</v>
      </c>
    </row>
    <row r="623" customFormat="false" ht="12.8" hidden="false" customHeight="true" outlineLevel="0" collapsed="false">
      <c r="C623" s="6" t="n">
        <f aca="false">MOD(ROW()-1, 208)</f>
        <v>206</v>
      </c>
      <c r="D623" s="6" t="n">
        <f aca="false">INT((ROW()-1)/208)</f>
        <v>2</v>
      </c>
      <c r="F623" s="6" t="str">
        <f aca="false">MID(VLOOKUP(D623,$P$1:$Q$13,2,0), 1 + C623,1)</f>
        <v>뛸</v>
      </c>
      <c r="G623" s="6" t="str">
        <f aca="false">DEC2HEX(D623+36, 2)</f>
        <v>26</v>
      </c>
      <c r="H623" s="6" t="str">
        <f aca="false">DEC2HEX(C623+48,2)</f>
        <v>FE</v>
      </c>
      <c r="I623" s="6" t="str">
        <f aca="false">_xlfn.CONCAT("\x", G623, "\x", H623, "=", F623)</f>
        <v>\x26\xFE=뛸</v>
      </c>
      <c r="M623" s="7" t="s">
        <v>600</v>
      </c>
      <c r="N623" s="6" t="str">
        <f aca="false">_xlfn.CONCAT("\x", DEC2HEX(D623+44, 2), "\x", H623, "=", M623)</f>
        <v>\x2E\xFE=考</v>
      </c>
    </row>
    <row r="624" customFormat="false" ht="12.8" hidden="false" customHeight="true" outlineLevel="0" collapsed="false">
      <c r="C624" s="6" t="n">
        <f aca="false">MOD(ROW()-1, 208)</f>
        <v>207</v>
      </c>
      <c r="D624" s="6" t="n">
        <f aca="false">INT((ROW()-1)/208)</f>
        <v>2</v>
      </c>
      <c r="F624" s="6" t="str">
        <f aca="false">MID(VLOOKUP(D624,$P$1:$Q$13,2,0), 1 + C624,1)</f>
        <v>뜀</v>
      </c>
      <c r="G624" s="6" t="str">
        <f aca="false">DEC2HEX(D624+36, 2)</f>
        <v>26</v>
      </c>
      <c r="H624" s="6" t="str">
        <f aca="false">DEC2HEX(C624+48,2)</f>
        <v>FF</v>
      </c>
      <c r="I624" s="6" t="str">
        <f aca="false">_xlfn.CONCAT("\x", G624, "\x", H624, "=", F624)</f>
        <v>\x26\xFF=뜀</v>
      </c>
      <c r="M624" s="7" t="s">
        <v>601</v>
      </c>
      <c r="N624" s="6" t="str">
        <f aca="false">_xlfn.CONCAT("\x", DEC2HEX(D624+44, 2), "\x", H624, "=", M624)</f>
        <v>\x2E\xFF=刃</v>
      </c>
    </row>
    <row r="625" customFormat="false" ht="12.8" hidden="false" customHeight="true" outlineLevel="0" collapsed="false">
      <c r="C625" s="6" t="n">
        <f aca="false">MOD(ROW()-1, 208)</f>
        <v>0</v>
      </c>
      <c r="D625" s="6" t="n">
        <f aca="false">INT((ROW()-1)/208)</f>
        <v>3</v>
      </c>
      <c r="F625" s="6" t="str">
        <f aca="false">MID(VLOOKUP(D625,$P$1:$Q$13,2,0), 1 + C625,1)</f>
        <v>뜁</v>
      </c>
      <c r="G625" s="6" t="str">
        <f aca="false">DEC2HEX(D625+36, 2)</f>
        <v>27</v>
      </c>
      <c r="H625" s="6" t="str">
        <f aca="false">DEC2HEX(C625+48,2)</f>
        <v>30</v>
      </c>
      <c r="I625" s="6" t="str">
        <f aca="false">_xlfn.CONCAT("\x", G625, "\x", H625, "=", F625)</f>
        <v>\x27\x30=뜁</v>
      </c>
      <c r="M625" s="7" t="s">
        <v>602</v>
      </c>
      <c r="N625" s="6" t="str">
        <f aca="false">_xlfn.CONCAT("\x", DEC2HEX(D625+44, 2), "\x", H625, "=", M625)</f>
        <v>\x2F\x30=類</v>
      </c>
    </row>
    <row r="626" customFormat="false" ht="12.8" hidden="false" customHeight="true" outlineLevel="0" collapsed="false">
      <c r="C626" s="6" t="n">
        <f aca="false">MOD(ROW()-1, 208)</f>
        <v>1</v>
      </c>
      <c r="D626" s="6" t="n">
        <f aca="false">INT((ROW()-1)/208)</f>
        <v>3</v>
      </c>
      <c r="F626" s="6" t="str">
        <f aca="false">MID(VLOOKUP(D626,$P$1:$Q$13,2,0), 1 + C626,1)</f>
        <v>뜅</v>
      </c>
      <c r="G626" s="6" t="str">
        <f aca="false">DEC2HEX(D626+36, 2)</f>
        <v>27</v>
      </c>
      <c r="H626" s="6" t="str">
        <f aca="false">DEC2HEX(C626+48,2)</f>
        <v>31</v>
      </c>
      <c r="I626" s="6" t="str">
        <f aca="false">_xlfn.CONCAT("\x", G626, "\x", H626, "=", F626)</f>
        <v>\x27\x31=뜅</v>
      </c>
      <c r="M626" s="7" t="s">
        <v>603</v>
      </c>
      <c r="N626" s="6" t="str">
        <f aca="false">_xlfn.CONCAT("\x", DEC2HEX(D626+44, 2), "\x", H626, "=", M626)</f>
        <v>\x2F\x31=呪</v>
      </c>
    </row>
    <row r="627" customFormat="false" ht="12.8" hidden="false" customHeight="true" outlineLevel="0" collapsed="false">
      <c r="C627" s="6" t="n">
        <f aca="false">MOD(ROW()-1, 208)</f>
        <v>2</v>
      </c>
      <c r="D627" s="6" t="n">
        <f aca="false">INT((ROW()-1)/208)</f>
        <v>3</v>
      </c>
      <c r="F627" s="6" t="str">
        <f aca="false">MID(VLOOKUP(D627,$P$1:$Q$13,2,0), 1 + C627,1)</f>
        <v>뜨</v>
      </c>
      <c r="G627" s="6" t="str">
        <f aca="false">DEC2HEX(D627+36, 2)</f>
        <v>27</v>
      </c>
      <c r="H627" s="6" t="str">
        <f aca="false">DEC2HEX(C627+48,2)</f>
        <v>32</v>
      </c>
      <c r="I627" s="6" t="str">
        <f aca="false">_xlfn.CONCAT("\x", G627, "\x", H627, "=", F627)</f>
        <v>\x27\x32=뜨</v>
      </c>
      <c r="M627" s="7" t="s">
        <v>604</v>
      </c>
      <c r="N627" s="6" t="str">
        <f aca="false">_xlfn.CONCAT("\x", DEC2HEX(D627+44, 2), "\x", H627, "=", M627)</f>
        <v>\x2F\x32=〔</v>
      </c>
    </row>
    <row r="628" customFormat="false" ht="12.8" hidden="false" customHeight="true" outlineLevel="0" collapsed="false">
      <c r="C628" s="6" t="n">
        <f aca="false">MOD(ROW()-1, 208)</f>
        <v>3</v>
      </c>
      <c r="D628" s="6" t="n">
        <f aca="false">INT((ROW()-1)/208)</f>
        <v>3</v>
      </c>
      <c r="F628" s="6" t="str">
        <f aca="false">MID(VLOOKUP(D628,$P$1:$Q$13,2,0), 1 + C628,1)</f>
        <v>뜩</v>
      </c>
      <c r="G628" s="6" t="str">
        <f aca="false">DEC2HEX(D628+36, 2)</f>
        <v>27</v>
      </c>
      <c r="H628" s="6" t="str">
        <f aca="false">DEC2HEX(C628+48,2)</f>
        <v>33</v>
      </c>
      <c r="I628" s="6" t="str">
        <f aca="false">_xlfn.CONCAT("\x", G628, "\x", H628, "=", F628)</f>
        <v>\x27\x33=뜩</v>
      </c>
      <c r="M628" s="7" t="s">
        <v>605</v>
      </c>
      <c r="N628" s="6" t="str">
        <f aca="false">_xlfn.CONCAT("\x", DEC2HEX(D628+44, 2), "\x", H628, "=", M628)</f>
        <v>\x2F\x33=〕</v>
      </c>
    </row>
    <row r="629" customFormat="false" ht="12.8" hidden="false" customHeight="true" outlineLevel="0" collapsed="false">
      <c r="C629" s="6" t="n">
        <f aca="false">MOD(ROW()-1, 208)</f>
        <v>4</v>
      </c>
      <c r="D629" s="6" t="n">
        <f aca="false">INT((ROW()-1)/208)</f>
        <v>3</v>
      </c>
      <c r="F629" s="6" t="str">
        <f aca="false">MID(VLOOKUP(D629,$P$1:$Q$13,2,0), 1 + C629,1)</f>
        <v>뜬</v>
      </c>
      <c r="G629" s="6" t="str">
        <f aca="false">DEC2HEX(D629+36, 2)</f>
        <v>27</v>
      </c>
      <c r="H629" s="6" t="str">
        <f aca="false">DEC2HEX(C629+48,2)</f>
        <v>34</v>
      </c>
      <c r="I629" s="6" t="str">
        <f aca="false">_xlfn.CONCAT("\x", G629, "\x", H629, "=", F629)</f>
        <v>\x27\x34=뜬</v>
      </c>
      <c r="M629" s="7" t="s">
        <v>606</v>
      </c>
      <c r="N629" s="6" t="str">
        <f aca="false">_xlfn.CONCAT("\x", DEC2HEX(D629+44, 2), "\x", H629, "=", M629)</f>
        <v>\x2F\x34=魂</v>
      </c>
    </row>
    <row r="630" customFormat="false" ht="12.8" hidden="false" customHeight="true" outlineLevel="0" collapsed="false">
      <c r="C630" s="6" t="n">
        <f aca="false">MOD(ROW()-1, 208)</f>
        <v>5</v>
      </c>
      <c r="D630" s="6" t="n">
        <f aca="false">INT((ROW()-1)/208)</f>
        <v>3</v>
      </c>
      <c r="F630" s="6" t="str">
        <f aca="false">MID(VLOOKUP(D630,$P$1:$Q$13,2,0), 1 + C630,1)</f>
        <v>뜯</v>
      </c>
      <c r="G630" s="6" t="str">
        <f aca="false">DEC2HEX(D630+36, 2)</f>
        <v>27</v>
      </c>
      <c r="H630" s="6" t="str">
        <f aca="false">DEC2HEX(C630+48,2)</f>
        <v>35</v>
      </c>
      <c r="I630" s="6" t="str">
        <f aca="false">_xlfn.CONCAT("\x", G630, "\x", H630, "=", F630)</f>
        <v>\x27\x35=뜯</v>
      </c>
      <c r="M630" s="7" t="s">
        <v>607</v>
      </c>
      <c r="N630" s="6" t="str">
        <f aca="false">_xlfn.CONCAT("\x", DEC2HEX(D630+44, 2), "\x", H630, "=", M630)</f>
        <v>\x2F\x35=魚</v>
      </c>
    </row>
    <row r="631" customFormat="false" ht="12.8" hidden="false" customHeight="true" outlineLevel="0" collapsed="false">
      <c r="C631" s="6" t="n">
        <f aca="false">MOD(ROW()-1, 208)</f>
        <v>6</v>
      </c>
      <c r="D631" s="6" t="n">
        <f aca="false">INT((ROW()-1)/208)</f>
        <v>3</v>
      </c>
      <c r="F631" s="6" t="str">
        <f aca="false">MID(VLOOKUP(D631,$P$1:$Q$13,2,0), 1 + C631,1)</f>
        <v>뜰</v>
      </c>
      <c r="G631" s="6" t="str">
        <f aca="false">DEC2HEX(D631+36, 2)</f>
        <v>27</v>
      </c>
      <c r="H631" s="6" t="str">
        <f aca="false">DEC2HEX(C631+48,2)</f>
        <v>36</v>
      </c>
      <c r="I631" s="6" t="str">
        <f aca="false">_xlfn.CONCAT("\x", G631, "\x", H631, "=", F631)</f>
        <v>\x27\x36=뜰</v>
      </c>
      <c r="M631" s="7" t="s">
        <v>608</v>
      </c>
      <c r="N631" s="6" t="str">
        <f aca="false">_xlfn.CONCAT("\x", DEC2HEX(D631+44, 2), "\x", H631, "=", M631)</f>
        <v>\x2F\x36=徹</v>
      </c>
    </row>
    <row r="632" customFormat="false" ht="12.8" hidden="false" customHeight="true" outlineLevel="0" collapsed="false">
      <c r="C632" s="6" t="n">
        <f aca="false">MOD(ROW()-1, 208)</f>
        <v>7</v>
      </c>
      <c r="D632" s="6" t="n">
        <f aca="false">INT((ROW()-1)/208)</f>
        <v>3</v>
      </c>
      <c r="F632" s="6" t="str">
        <f aca="false">MID(VLOOKUP(D632,$P$1:$Q$13,2,0), 1 + C632,1)</f>
        <v>뜸</v>
      </c>
      <c r="G632" s="6" t="str">
        <f aca="false">DEC2HEX(D632+36, 2)</f>
        <v>27</v>
      </c>
      <c r="H632" s="6" t="str">
        <f aca="false">DEC2HEX(C632+48,2)</f>
        <v>37</v>
      </c>
      <c r="I632" s="6" t="str">
        <f aca="false">_xlfn.CONCAT("\x", G632, "\x", H632, "=", F632)</f>
        <v>\x27\x37=뜸</v>
      </c>
      <c r="M632" s="7" t="s">
        <v>609</v>
      </c>
      <c r="N632" s="6" t="str">
        <f aca="false">_xlfn.CONCAT("\x", DEC2HEX(D632+44, 2), "\x", H632, "=", M632)</f>
        <v>\x2F\x37=至</v>
      </c>
    </row>
    <row r="633" customFormat="false" ht="12.8" hidden="false" customHeight="true" outlineLevel="0" collapsed="false">
      <c r="C633" s="6" t="n">
        <f aca="false">MOD(ROW()-1, 208)</f>
        <v>8</v>
      </c>
      <c r="D633" s="6" t="n">
        <f aca="false">INT((ROW()-1)/208)</f>
        <v>3</v>
      </c>
      <c r="F633" s="6" t="str">
        <f aca="false">MID(VLOOKUP(D633,$P$1:$Q$13,2,0), 1 + C633,1)</f>
        <v>뜹</v>
      </c>
      <c r="G633" s="6" t="str">
        <f aca="false">DEC2HEX(D633+36, 2)</f>
        <v>27</v>
      </c>
      <c r="H633" s="6" t="str">
        <f aca="false">DEC2HEX(C633+48,2)</f>
        <v>38</v>
      </c>
      <c r="I633" s="6" t="str">
        <f aca="false">_xlfn.CONCAT("\x", G633, "\x", H633, "=", F633)</f>
        <v>\x27\x38=뜹</v>
      </c>
      <c r="M633" s="7" t="s">
        <v>610</v>
      </c>
      <c r="N633" s="6" t="str">
        <f aca="false">_xlfn.CONCAT("\x", DEC2HEX(D633+44, 2), "\x", H633, "=", M633)</f>
        <v>\x2F\x38=銀</v>
      </c>
    </row>
    <row r="634" customFormat="false" ht="12.8" hidden="false" customHeight="true" outlineLevel="0" collapsed="false">
      <c r="C634" s="6" t="n">
        <f aca="false">MOD(ROW()-1, 208)</f>
        <v>9</v>
      </c>
      <c r="D634" s="6" t="n">
        <f aca="false">INT((ROW()-1)/208)</f>
        <v>3</v>
      </c>
      <c r="F634" s="6" t="str">
        <f aca="false">MID(VLOOKUP(D634,$P$1:$Q$13,2,0), 1 + C634,1)</f>
        <v>뜻</v>
      </c>
      <c r="G634" s="6" t="str">
        <f aca="false">DEC2HEX(D634+36, 2)</f>
        <v>27</v>
      </c>
      <c r="H634" s="6" t="str">
        <f aca="false">DEC2HEX(C634+48,2)</f>
        <v>39</v>
      </c>
      <c r="I634" s="6" t="str">
        <f aca="false">_xlfn.CONCAT("\x", G634, "\x", H634, "=", F634)</f>
        <v>\x27\x39=뜻</v>
      </c>
      <c r="M634" s="7" t="s">
        <v>611</v>
      </c>
      <c r="N634" s="6" t="str">
        <f aca="false">_xlfn.CONCAT("\x", DEC2HEX(D634+44, 2), "\x", H634, "=", M634)</f>
        <v>\x2F\x39=計</v>
      </c>
    </row>
    <row r="635" customFormat="false" ht="12.8" hidden="false" customHeight="true" outlineLevel="0" collapsed="false">
      <c r="C635" s="6" t="n">
        <f aca="false">MOD(ROW()-1, 208)</f>
        <v>10</v>
      </c>
      <c r="D635" s="6" t="n">
        <f aca="false">INT((ROW()-1)/208)</f>
        <v>3</v>
      </c>
      <c r="F635" s="6" t="str">
        <f aca="false">MID(VLOOKUP(D635,$P$1:$Q$13,2,0), 1 + C635,1)</f>
        <v>띄</v>
      </c>
      <c r="G635" s="6" t="str">
        <f aca="false">DEC2HEX(D635+36, 2)</f>
        <v>27</v>
      </c>
      <c r="H635" s="6" t="str">
        <f aca="false">DEC2HEX(C635+48,2)</f>
        <v>3A</v>
      </c>
      <c r="I635" s="6" t="str">
        <f aca="false">_xlfn.CONCAT("\x", G635, "\x", H635, "=", F635)</f>
        <v>\x27\x3A=띄</v>
      </c>
      <c r="M635" s="7" t="s">
        <v>612</v>
      </c>
      <c r="N635" s="6" t="str">
        <f aca="false">_xlfn.CONCAT("\x", DEC2HEX(D635+44, 2), "\x", H635, "=", M635)</f>
        <v>\x2F\x3A=羽</v>
      </c>
    </row>
    <row r="636" customFormat="false" ht="12.8" hidden="false" customHeight="true" outlineLevel="0" collapsed="false">
      <c r="C636" s="6" t="n">
        <f aca="false">MOD(ROW()-1, 208)</f>
        <v>11</v>
      </c>
      <c r="D636" s="6" t="n">
        <f aca="false">INT((ROW()-1)/208)</f>
        <v>3</v>
      </c>
      <c r="F636" s="6" t="str">
        <f aca="false">MID(VLOOKUP(D636,$P$1:$Q$13,2,0), 1 + C636,1)</f>
        <v>띈</v>
      </c>
      <c r="G636" s="6" t="str">
        <f aca="false">DEC2HEX(D636+36, 2)</f>
        <v>27</v>
      </c>
      <c r="H636" s="6" t="str">
        <f aca="false">DEC2HEX(C636+48,2)</f>
        <v>3B</v>
      </c>
      <c r="I636" s="6" t="str">
        <f aca="false">_xlfn.CONCAT("\x", G636, "\x", H636, "=", F636)</f>
        <v>\x27\x3B=띈</v>
      </c>
      <c r="M636" s="7" t="s">
        <v>613</v>
      </c>
      <c r="N636" s="6" t="str">
        <f aca="false">_xlfn.CONCAT("\x", DEC2HEX(D636+44, 2), "\x", H636, "=", M636)</f>
        <v>\x2F\x3B=月</v>
      </c>
    </row>
    <row r="637" customFormat="false" ht="12.8" hidden="false" customHeight="true" outlineLevel="0" collapsed="false">
      <c r="C637" s="6" t="n">
        <f aca="false">MOD(ROW()-1, 208)</f>
        <v>12</v>
      </c>
      <c r="D637" s="6" t="n">
        <f aca="false">INT((ROW()-1)/208)</f>
        <v>3</v>
      </c>
      <c r="F637" s="6" t="str">
        <f aca="false">MID(VLOOKUP(D637,$P$1:$Q$13,2,0), 1 + C637,1)</f>
        <v>띌</v>
      </c>
      <c r="G637" s="6" t="str">
        <f aca="false">DEC2HEX(D637+36, 2)</f>
        <v>27</v>
      </c>
      <c r="H637" s="6" t="str">
        <f aca="false">DEC2HEX(C637+48,2)</f>
        <v>3C</v>
      </c>
      <c r="I637" s="6" t="str">
        <f aca="false">_xlfn.CONCAT("\x", G637, "\x", H637, "=", F637)</f>
        <v>\x27\x3C=띌</v>
      </c>
      <c r="M637" s="7" t="s">
        <v>614</v>
      </c>
      <c r="N637" s="6" t="str">
        <f aca="false">_xlfn.CONCAT("\x", DEC2HEX(D637+44, 2), "\x", H637, "=", M637)</f>
        <v>\x2F\x3C=生</v>
      </c>
    </row>
    <row r="638" customFormat="false" ht="12.8" hidden="false" customHeight="true" outlineLevel="0" collapsed="false">
      <c r="C638" s="6" t="n">
        <f aca="false">MOD(ROW()-1, 208)</f>
        <v>13</v>
      </c>
      <c r="D638" s="6" t="n">
        <f aca="false">INT((ROW()-1)/208)</f>
        <v>3</v>
      </c>
      <c r="F638" s="6" t="str">
        <f aca="false">MID(VLOOKUP(D638,$P$1:$Q$13,2,0), 1 + C638,1)</f>
        <v>띔</v>
      </c>
      <c r="G638" s="6" t="str">
        <f aca="false">DEC2HEX(D638+36, 2)</f>
        <v>27</v>
      </c>
      <c r="H638" s="6" t="str">
        <f aca="false">DEC2HEX(C638+48,2)</f>
        <v>3D</v>
      </c>
      <c r="I638" s="6" t="str">
        <f aca="false">_xlfn.CONCAT("\x", G638, "\x", H638, "=", F638)</f>
        <v>\x27\x3D=띔</v>
      </c>
      <c r="M638" s="7" t="s">
        <v>615</v>
      </c>
      <c r="N638" s="6" t="str">
        <f aca="false">_xlfn.CONCAT("\x", DEC2HEX(D638+44, 2), "\x", H638, "=", M638)</f>
        <v>\x2F\x3D=清</v>
      </c>
    </row>
    <row r="639" customFormat="false" ht="12.8" hidden="false" customHeight="true" outlineLevel="0" collapsed="false">
      <c r="C639" s="6" t="n">
        <f aca="false">MOD(ROW()-1, 208)</f>
        <v>14</v>
      </c>
      <c r="D639" s="6" t="n">
        <f aca="false">INT((ROW()-1)/208)</f>
        <v>3</v>
      </c>
      <c r="F639" s="6" t="str">
        <f aca="false">MID(VLOOKUP(D639,$P$1:$Q$13,2,0), 1 + C639,1)</f>
        <v>띕</v>
      </c>
      <c r="G639" s="6" t="str">
        <f aca="false">DEC2HEX(D639+36, 2)</f>
        <v>27</v>
      </c>
      <c r="H639" s="6" t="str">
        <f aca="false">DEC2HEX(C639+48,2)</f>
        <v>3E</v>
      </c>
      <c r="I639" s="6" t="str">
        <f aca="false">_xlfn.CONCAT("\x", G639, "\x", H639, "=", F639)</f>
        <v>\x27\x3E=띕</v>
      </c>
      <c r="M639" s="7" t="s">
        <v>616</v>
      </c>
      <c r="N639" s="6" t="str">
        <f aca="false">_xlfn.CONCAT("\x", DEC2HEX(D639+44, 2), "\x", H639, "=", M639)</f>
        <v>\x2F\x3E=塩</v>
      </c>
    </row>
    <row r="640" customFormat="false" ht="12.8" hidden="false" customHeight="true" outlineLevel="0" collapsed="false">
      <c r="C640" s="6" t="n">
        <f aca="false">MOD(ROW()-1, 208)</f>
        <v>15</v>
      </c>
      <c r="D640" s="6" t="n">
        <f aca="false">INT((ROW()-1)/208)</f>
        <v>3</v>
      </c>
      <c r="F640" s="6" t="str">
        <f aca="false">MID(VLOOKUP(D640,$P$1:$Q$13,2,0), 1 + C640,1)</f>
        <v>띠</v>
      </c>
      <c r="G640" s="6" t="str">
        <f aca="false">DEC2HEX(D640+36, 2)</f>
        <v>27</v>
      </c>
      <c r="H640" s="6" t="str">
        <f aca="false">DEC2HEX(C640+48,2)</f>
        <v>3F</v>
      </c>
      <c r="I640" s="6" t="str">
        <f aca="false">_xlfn.CONCAT("\x", G640, "\x", H640, "=", F640)</f>
        <v>\x27\x3F=띠</v>
      </c>
      <c r="M640" s="7" t="s">
        <v>617</v>
      </c>
      <c r="N640" s="6" t="str">
        <f aca="false">_xlfn.CONCAT("\x", DEC2HEX(D640+44, 2), "\x", H640, "=", M640)</f>
        <v>\x2F\x3F=日</v>
      </c>
    </row>
    <row r="641" customFormat="false" ht="12.8" hidden="false" customHeight="true" outlineLevel="0" collapsed="false">
      <c r="C641" s="6" t="n">
        <f aca="false">MOD(ROW()-1, 208)</f>
        <v>16</v>
      </c>
      <c r="D641" s="6" t="n">
        <f aca="false">INT((ROW()-1)/208)</f>
        <v>3</v>
      </c>
      <c r="F641" s="6" t="str">
        <f aca="false">MID(VLOOKUP(D641,$P$1:$Q$13,2,0), 1 + C641,1)</f>
        <v>띤</v>
      </c>
      <c r="G641" s="6" t="str">
        <f aca="false">DEC2HEX(D641+36, 2)</f>
        <v>27</v>
      </c>
      <c r="H641" s="6" t="str">
        <f aca="false">DEC2HEX(C641+48,2)</f>
        <v>40</v>
      </c>
      <c r="I641" s="6" t="str">
        <f aca="false">_xlfn.CONCAT("\x", G641, "\x", H641, "=", F641)</f>
        <v>\x27\x40=띤</v>
      </c>
      <c r="M641" s="7" t="s">
        <v>618</v>
      </c>
      <c r="N641" s="6" t="str">
        <f aca="false">_xlfn.CONCAT("\x", DEC2HEX(D641+44, 2), "\x", H641, "=", M641)</f>
        <v>\x2F\x40=扉</v>
      </c>
    </row>
    <row r="642" customFormat="false" ht="12.8" hidden="false" customHeight="true" outlineLevel="0" collapsed="false">
      <c r="C642" s="6" t="n">
        <f aca="false">MOD(ROW()-1, 208)</f>
        <v>17</v>
      </c>
      <c r="D642" s="6" t="n">
        <f aca="false">INT((ROW()-1)/208)</f>
        <v>3</v>
      </c>
      <c r="F642" s="6" t="str">
        <f aca="false">MID(VLOOKUP(D642,$P$1:$Q$13,2,0), 1 + C642,1)</f>
        <v>띨</v>
      </c>
      <c r="G642" s="6" t="str">
        <f aca="false">DEC2HEX(D642+36, 2)</f>
        <v>27</v>
      </c>
      <c r="H642" s="6" t="str">
        <f aca="false">DEC2HEX(C642+48,2)</f>
        <v>41</v>
      </c>
      <c r="I642" s="6" t="str">
        <f aca="false">_xlfn.CONCAT("\x", G642, "\x", H642, "=", F642)</f>
        <v>\x27\x41=띨</v>
      </c>
      <c r="M642" s="7" t="s">
        <v>619</v>
      </c>
      <c r="N642" s="6" t="str">
        <f aca="false">_xlfn.CONCAT("\x", DEC2HEX(D642+44, 2), "\x", H642, "=", M642)</f>
        <v>\x2F\x41=翼</v>
      </c>
    </row>
    <row r="643" customFormat="false" ht="12.8" hidden="false" customHeight="true" outlineLevel="0" collapsed="false">
      <c r="C643" s="6" t="n">
        <f aca="false">MOD(ROW()-1, 208)</f>
        <v>18</v>
      </c>
      <c r="D643" s="6" t="n">
        <f aca="false">INT((ROW()-1)/208)</f>
        <v>3</v>
      </c>
      <c r="F643" s="6" t="str">
        <f aca="false">MID(VLOOKUP(D643,$P$1:$Q$13,2,0), 1 + C643,1)</f>
        <v>띰</v>
      </c>
      <c r="G643" s="6" t="str">
        <f aca="false">DEC2HEX(D643+36, 2)</f>
        <v>27</v>
      </c>
      <c r="H643" s="6" t="str">
        <f aca="false">DEC2HEX(C643+48,2)</f>
        <v>42</v>
      </c>
      <c r="I643" s="6" t="str">
        <f aca="false">_xlfn.CONCAT("\x", G643, "\x", H643, "=", F643)</f>
        <v>\x27\x42=띰</v>
      </c>
      <c r="M643" s="7" t="s">
        <v>620</v>
      </c>
      <c r="N643" s="6" t="str">
        <f aca="false">_xlfn.CONCAT("\x", DEC2HEX(D643+44, 2), "\x", H643, "=", M643)</f>
        <v>\x2F\x42=負</v>
      </c>
    </row>
    <row r="644" customFormat="false" ht="12.8" hidden="false" customHeight="true" outlineLevel="0" collapsed="false">
      <c r="C644" s="6" t="n">
        <f aca="false">MOD(ROW()-1, 208)</f>
        <v>19</v>
      </c>
      <c r="D644" s="6" t="n">
        <f aca="false">INT((ROW()-1)/208)</f>
        <v>3</v>
      </c>
      <c r="F644" s="6" t="str">
        <f aca="false">MID(VLOOKUP(D644,$P$1:$Q$13,2,0), 1 + C644,1)</f>
        <v>띱</v>
      </c>
      <c r="G644" s="6" t="str">
        <f aca="false">DEC2HEX(D644+36, 2)</f>
        <v>27</v>
      </c>
      <c r="H644" s="6" t="str">
        <f aca="false">DEC2HEX(C644+48,2)</f>
        <v>43</v>
      </c>
      <c r="I644" s="6" t="str">
        <f aca="false">_xlfn.CONCAT("\x", G644, "\x", H644, "=", F644)</f>
        <v>\x27\x43=띱</v>
      </c>
      <c r="M644" s="7" t="s">
        <v>621</v>
      </c>
      <c r="N644" s="6" t="str">
        <f aca="false">_xlfn.CONCAT("\x", DEC2HEX(D644+44, 2), "\x", H644, "=", M644)</f>
        <v>\x2F\x43=逆</v>
      </c>
    </row>
    <row r="645" customFormat="false" ht="12.8" hidden="false" customHeight="true" outlineLevel="0" collapsed="false">
      <c r="C645" s="6" t="n">
        <f aca="false">MOD(ROW()-1, 208)</f>
        <v>20</v>
      </c>
      <c r="D645" s="6" t="n">
        <f aca="false">INT((ROW()-1)/208)</f>
        <v>3</v>
      </c>
      <c r="F645" s="6" t="str">
        <f aca="false">MID(VLOOKUP(D645,$P$1:$Q$13,2,0), 1 + C645,1)</f>
        <v>띳</v>
      </c>
      <c r="G645" s="6" t="str">
        <f aca="false">DEC2HEX(D645+36, 2)</f>
        <v>27</v>
      </c>
      <c r="H645" s="6" t="str">
        <f aca="false">DEC2HEX(C645+48,2)</f>
        <v>44</v>
      </c>
      <c r="I645" s="6" t="str">
        <f aca="false">_xlfn.CONCAT("\x", G645, "\x", H645, "=", F645)</f>
        <v>\x27\x44=띳</v>
      </c>
      <c r="M645" s="7" t="s">
        <v>622</v>
      </c>
      <c r="N645" s="6" t="str">
        <f aca="false">_xlfn.CONCAT("\x", DEC2HEX(D645+44, 2), "\x", H645, "=", M645)</f>
        <v>\x2F\x44=鏡</v>
      </c>
    </row>
    <row r="646" customFormat="false" ht="12.8" hidden="false" customHeight="true" outlineLevel="0" collapsed="false">
      <c r="C646" s="6" t="n">
        <f aca="false">MOD(ROW()-1, 208)</f>
        <v>21</v>
      </c>
      <c r="D646" s="6" t="n">
        <f aca="false">INT((ROW()-1)/208)</f>
        <v>3</v>
      </c>
      <c r="F646" s="6" t="str">
        <f aca="false">MID(VLOOKUP(D646,$P$1:$Q$13,2,0), 1 + C646,1)</f>
        <v>띵</v>
      </c>
      <c r="G646" s="6" t="str">
        <f aca="false">DEC2HEX(D646+36, 2)</f>
        <v>27</v>
      </c>
      <c r="H646" s="6" t="str">
        <f aca="false">DEC2HEX(C646+48,2)</f>
        <v>45</v>
      </c>
      <c r="I646" s="6" t="str">
        <f aca="false">_xlfn.CONCAT("\x", G646, "\x", H646, "=", F646)</f>
        <v>\x27\x45=띵</v>
      </c>
      <c r="M646" s="7" t="s">
        <v>623</v>
      </c>
      <c r="N646" s="6" t="str">
        <f aca="false">_xlfn.CONCAT("\x", DEC2HEX(D646+44, 2), "\x", H646, "=", M646)</f>
        <v>\x2F\x45=七</v>
      </c>
    </row>
    <row r="647" customFormat="false" ht="12.8" hidden="false" customHeight="true" outlineLevel="0" collapsed="false">
      <c r="C647" s="6" t="n">
        <f aca="false">MOD(ROW()-1, 208)</f>
        <v>22</v>
      </c>
      <c r="D647" s="6" t="n">
        <f aca="false">INT((ROW()-1)/208)</f>
        <v>3</v>
      </c>
      <c r="F647" s="6" t="str">
        <f aca="false">MID(VLOOKUP(D647,$P$1:$Q$13,2,0), 1 + C647,1)</f>
        <v>라</v>
      </c>
      <c r="G647" s="6" t="str">
        <f aca="false">DEC2HEX(D647+36, 2)</f>
        <v>27</v>
      </c>
      <c r="H647" s="6" t="str">
        <f aca="false">DEC2HEX(C647+48,2)</f>
        <v>46</v>
      </c>
      <c r="I647" s="6" t="str">
        <f aca="false">_xlfn.CONCAT("\x", G647, "\x", H647, "=", F647)</f>
        <v>\x27\x46=라</v>
      </c>
      <c r="M647" s="7" t="s">
        <v>624</v>
      </c>
      <c r="N647" s="6" t="str">
        <f aca="false">_xlfn.CONCAT("\x", DEC2HEX(D647+44, 2), "\x", H647, "=", M647)</f>
        <v>\x2F\x46=曜</v>
      </c>
    </row>
    <row r="648" customFormat="false" ht="12.8" hidden="false" customHeight="true" outlineLevel="0" collapsed="false">
      <c r="C648" s="6" t="n">
        <f aca="false">MOD(ROW()-1, 208)</f>
        <v>23</v>
      </c>
      <c r="D648" s="6" t="n">
        <f aca="false">INT((ROW()-1)/208)</f>
        <v>3</v>
      </c>
      <c r="F648" s="6" t="str">
        <f aca="false">MID(VLOOKUP(D648,$P$1:$Q$13,2,0), 1 + C648,1)</f>
        <v>락</v>
      </c>
      <c r="G648" s="6" t="str">
        <f aca="false">DEC2HEX(D648+36, 2)</f>
        <v>27</v>
      </c>
      <c r="H648" s="6" t="str">
        <f aca="false">DEC2HEX(C648+48,2)</f>
        <v>47</v>
      </c>
      <c r="I648" s="6" t="str">
        <f aca="false">_xlfn.CONCAT("\x", G648, "\x", H648, "=", F648)</f>
        <v>\x27\x47=락</v>
      </c>
      <c r="M648" s="7" t="s">
        <v>625</v>
      </c>
      <c r="N648" s="6" t="str">
        <f aca="false">_xlfn.CONCAT("\x", DEC2HEX(D648+44, 2), "\x", H648, "=", M648)</f>
        <v>\x2F\x47=輪</v>
      </c>
    </row>
    <row r="649" customFormat="false" ht="12.8" hidden="false" customHeight="true" outlineLevel="0" collapsed="false">
      <c r="C649" s="6" t="n">
        <f aca="false">MOD(ROW()-1, 208)</f>
        <v>24</v>
      </c>
      <c r="D649" s="6" t="n">
        <f aca="false">INT((ROW()-1)/208)</f>
        <v>3</v>
      </c>
      <c r="F649" s="6" t="str">
        <f aca="false">MID(VLOOKUP(D649,$P$1:$Q$13,2,0), 1 + C649,1)</f>
        <v>란</v>
      </c>
      <c r="G649" s="6" t="str">
        <f aca="false">DEC2HEX(D649+36, 2)</f>
        <v>27</v>
      </c>
      <c r="H649" s="6" t="str">
        <f aca="false">DEC2HEX(C649+48,2)</f>
        <v>48</v>
      </c>
      <c r="I649" s="6" t="str">
        <f aca="false">_xlfn.CONCAT("\x", G649, "\x", H649, "=", F649)</f>
        <v>\x27\x48=란</v>
      </c>
      <c r="M649" s="7" t="s">
        <v>626</v>
      </c>
      <c r="N649" s="6" t="str">
        <f aca="false">_xlfn.CONCAT("\x", DEC2HEX(D649+44, 2), "\x", H649, "=", M649)</f>
        <v>\x2F\x48=印</v>
      </c>
    </row>
    <row r="650" customFormat="false" ht="12.8" hidden="false" customHeight="true" outlineLevel="0" collapsed="false">
      <c r="C650" s="6" t="n">
        <f aca="false">MOD(ROW()-1, 208)</f>
        <v>25</v>
      </c>
      <c r="D650" s="6" t="n">
        <f aca="false">INT((ROW()-1)/208)</f>
        <v>3</v>
      </c>
      <c r="F650" s="6" t="str">
        <f aca="false">MID(VLOOKUP(D650,$P$1:$Q$13,2,0), 1 + C650,1)</f>
        <v>랄</v>
      </c>
      <c r="G650" s="6" t="str">
        <f aca="false">DEC2HEX(D650+36, 2)</f>
        <v>27</v>
      </c>
      <c r="H650" s="6" t="str">
        <f aca="false">DEC2HEX(C650+48,2)</f>
        <v>49</v>
      </c>
      <c r="I650" s="6" t="str">
        <f aca="false">_xlfn.CONCAT("\x", G650, "\x", H650, "=", F650)</f>
        <v>\x27\x49=랄</v>
      </c>
      <c r="M650" s="7" t="s">
        <v>627</v>
      </c>
      <c r="N650" s="6" t="str">
        <f aca="false">_xlfn.CONCAT("\x", DEC2HEX(D650+44, 2), "\x", H650, "=", M650)</f>
        <v>\x2F\x49=土</v>
      </c>
    </row>
    <row r="651" customFormat="false" ht="12.8" hidden="false" customHeight="true" outlineLevel="0" collapsed="false">
      <c r="C651" s="6" t="n">
        <f aca="false">MOD(ROW()-1, 208)</f>
        <v>26</v>
      </c>
      <c r="D651" s="6" t="n">
        <f aca="false">INT((ROW()-1)/208)</f>
        <v>3</v>
      </c>
      <c r="F651" s="6" t="str">
        <f aca="false">MID(VLOOKUP(D651,$P$1:$Q$13,2,0), 1 + C651,1)</f>
        <v>람</v>
      </c>
      <c r="G651" s="6" t="str">
        <f aca="false">DEC2HEX(D651+36, 2)</f>
        <v>27</v>
      </c>
      <c r="H651" s="6" t="str">
        <f aca="false">DEC2HEX(C651+48,2)</f>
        <v>4A</v>
      </c>
      <c r="I651" s="6" t="str">
        <f aca="false">_xlfn.CONCAT("\x", G651, "\x", H651, "=", F651)</f>
        <v>\x27\x4A=람</v>
      </c>
      <c r="M651" s="7" t="s">
        <v>628</v>
      </c>
      <c r="N651" s="6" t="str">
        <f aca="false">_xlfn.CONCAT("\x", DEC2HEX(D651+44, 2), "\x", H651, "=", M651)</f>
        <v>\x2F\x4A=木</v>
      </c>
    </row>
    <row r="652" customFormat="false" ht="12.8" hidden="false" customHeight="true" outlineLevel="0" collapsed="false">
      <c r="C652" s="6" t="n">
        <f aca="false">MOD(ROW()-1, 208)</f>
        <v>27</v>
      </c>
      <c r="D652" s="6" t="n">
        <f aca="false">INT((ROW()-1)/208)</f>
        <v>3</v>
      </c>
      <c r="F652" s="6" t="str">
        <f aca="false">MID(VLOOKUP(D652,$P$1:$Q$13,2,0), 1 + C652,1)</f>
        <v>랍</v>
      </c>
      <c r="G652" s="6" t="str">
        <f aca="false">DEC2HEX(D652+36, 2)</f>
        <v>27</v>
      </c>
      <c r="H652" s="6" t="str">
        <f aca="false">DEC2HEX(C652+48,2)</f>
        <v>4B</v>
      </c>
      <c r="I652" s="6" t="str">
        <f aca="false">_xlfn.CONCAT("\x", G652, "\x", H652, "=", F652)</f>
        <v>\x27\x4B=랍</v>
      </c>
      <c r="M652" s="7" t="s">
        <v>629</v>
      </c>
      <c r="N652" s="6" t="str">
        <f aca="false">_xlfn.CONCAT("\x", DEC2HEX(D652+44, 2), "\x", H652, "=", M652)</f>
        <v>\x2F\x4B=亡</v>
      </c>
    </row>
    <row r="653" customFormat="false" ht="12.8" hidden="false" customHeight="true" outlineLevel="0" collapsed="false">
      <c r="C653" s="6" t="n">
        <f aca="false">MOD(ROW()-1, 208)</f>
        <v>28</v>
      </c>
      <c r="D653" s="6" t="n">
        <f aca="false">INT((ROW()-1)/208)</f>
        <v>3</v>
      </c>
      <c r="F653" s="6" t="str">
        <f aca="false">MID(VLOOKUP(D653,$P$1:$Q$13,2,0), 1 + C653,1)</f>
        <v>랏</v>
      </c>
      <c r="G653" s="6" t="str">
        <f aca="false">DEC2HEX(D653+36, 2)</f>
        <v>27</v>
      </c>
      <c r="H653" s="6" t="str">
        <f aca="false">DEC2HEX(C653+48,2)</f>
        <v>4C</v>
      </c>
      <c r="I653" s="6" t="str">
        <f aca="false">_xlfn.CONCAT("\x", G653, "\x", H653, "=", F653)</f>
        <v>\x27\x4C=랏</v>
      </c>
      <c r="M653" s="7" t="s">
        <v>630</v>
      </c>
      <c r="N653" s="6" t="str">
        <f aca="false">_xlfn.CONCAT("\x", DEC2HEX(D653+44, 2), "\x", H653, "=", M653)</f>
        <v>\x2F\x4C=組</v>
      </c>
    </row>
    <row r="654" customFormat="false" ht="12.8" hidden="false" customHeight="true" outlineLevel="0" collapsed="false">
      <c r="C654" s="6" t="n">
        <f aca="false">MOD(ROW()-1, 208)</f>
        <v>29</v>
      </c>
      <c r="D654" s="6" t="n">
        <f aca="false">INT((ROW()-1)/208)</f>
        <v>3</v>
      </c>
      <c r="F654" s="6" t="str">
        <f aca="false">MID(VLOOKUP(D654,$P$1:$Q$13,2,0), 1 + C654,1)</f>
        <v>랐</v>
      </c>
      <c r="G654" s="6" t="str">
        <f aca="false">DEC2HEX(D654+36, 2)</f>
        <v>27</v>
      </c>
      <c r="H654" s="6" t="str">
        <f aca="false">DEC2HEX(C654+48,2)</f>
        <v>4D</v>
      </c>
      <c r="I654" s="6" t="str">
        <f aca="false">_xlfn.CONCAT("\x", G654, "\x", H654, "=", F654)</f>
        <v>\x27\x4D=랐</v>
      </c>
      <c r="M654" s="7" t="s">
        <v>631</v>
      </c>
      <c r="N654" s="6" t="str">
        <f aca="false">_xlfn.CONCAT("\x", DEC2HEX(D654+44, 2), "\x", H654, "=", M654)</f>
        <v>\x2F\x4D=押</v>
      </c>
    </row>
    <row r="655" customFormat="false" ht="12.8" hidden="false" customHeight="true" outlineLevel="0" collapsed="false">
      <c r="C655" s="6" t="n">
        <f aca="false">MOD(ROW()-1, 208)</f>
        <v>30</v>
      </c>
      <c r="D655" s="6" t="n">
        <f aca="false">INT((ROW()-1)/208)</f>
        <v>3</v>
      </c>
      <c r="F655" s="6" t="str">
        <f aca="false">MID(VLOOKUP(D655,$P$1:$Q$13,2,0), 1 + C655,1)</f>
        <v>랑</v>
      </c>
      <c r="G655" s="6" t="str">
        <f aca="false">DEC2HEX(D655+36, 2)</f>
        <v>27</v>
      </c>
      <c r="H655" s="6" t="str">
        <f aca="false">DEC2HEX(C655+48,2)</f>
        <v>4E</v>
      </c>
      <c r="I655" s="6" t="str">
        <f aca="false">_xlfn.CONCAT("\x", G655, "\x", H655, "=", F655)</f>
        <v>\x27\x4E=랑</v>
      </c>
      <c r="M655" s="7" t="s">
        <v>632</v>
      </c>
      <c r="N655" s="6" t="str">
        <f aca="false">_xlfn.CONCAT("\x", DEC2HEX(D655+44, 2), "\x", H655, "=", M655)</f>
        <v>\x2F\x4E=別</v>
      </c>
    </row>
    <row r="656" customFormat="false" ht="12.8" hidden="false" customHeight="true" outlineLevel="0" collapsed="false">
      <c r="C656" s="6" t="n">
        <f aca="false">MOD(ROW()-1, 208)</f>
        <v>31</v>
      </c>
      <c r="D656" s="6" t="n">
        <f aca="false">INT((ROW()-1)/208)</f>
        <v>3</v>
      </c>
      <c r="F656" s="6" t="str">
        <f aca="false">MID(VLOOKUP(D656,$P$1:$Q$13,2,0), 1 + C656,1)</f>
        <v>랒</v>
      </c>
      <c r="G656" s="6" t="str">
        <f aca="false">DEC2HEX(D656+36, 2)</f>
        <v>27</v>
      </c>
      <c r="H656" s="6" t="str">
        <f aca="false">DEC2HEX(C656+48,2)</f>
        <v>4F</v>
      </c>
      <c r="I656" s="6" t="str">
        <f aca="false">_xlfn.CONCAT("\x", G656, "\x", H656, "=", F656)</f>
        <v>\x27\x4F=랒</v>
      </c>
      <c r="M656" s="7" t="s">
        <v>633</v>
      </c>
      <c r="N656" s="6" t="str">
        <f aca="false">_xlfn.CONCAT("\x", DEC2HEX(D656+44, 2), "\x", H656, "=", M656)</f>
        <v>\x2F\x4F=側</v>
      </c>
    </row>
    <row r="657" customFormat="false" ht="12.8" hidden="false" customHeight="true" outlineLevel="0" collapsed="false">
      <c r="C657" s="6" t="n">
        <f aca="false">MOD(ROW()-1, 208)</f>
        <v>32</v>
      </c>
      <c r="D657" s="6" t="n">
        <f aca="false">INT((ROW()-1)/208)</f>
        <v>3</v>
      </c>
      <c r="F657" s="6" t="str">
        <f aca="false">MID(VLOOKUP(D657,$P$1:$Q$13,2,0), 1 + C657,1)</f>
        <v>랖</v>
      </c>
      <c r="G657" s="6" t="str">
        <f aca="false">DEC2HEX(D657+36, 2)</f>
        <v>27</v>
      </c>
      <c r="H657" s="6" t="str">
        <f aca="false">DEC2HEX(C657+48,2)</f>
        <v>50</v>
      </c>
      <c r="I657" s="6" t="str">
        <f aca="false">_xlfn.CONCAT("\x", G657, "\x", H657, "=", F657)</f>
        <v>\x27\x50=랖</v>
      </c>
      <c r="M657" s="7" t="s">
        <v>634</v>
      </c>
      <c r="N657" s="6" t="str">
        <f aca="false">_xlfn.CONCAT("\x", DEC2HEX(D657+44, 2), "\x", H657, "=", M657)</f>
        <v>\x2F\x50=源</v>
      </c>
    </row>
    <row r="658" customFormat="false" ht="12.8" hidden="false" customHeight="true" outlineLevel="0" collapsed="false">
      <c r="C658" s="6" t="n">
        <f aca="false">MOD(ROW()-1, 208)</f>
        <v>33</v>
      </c>
      <c r="D658" s="6" t="n">
        <f aca="false">INT((ROW()-1)/208)</f>
        <v>3</v>
      </c>
      <c r="F658" s="6" t="str">
        <f aca="false">MID(VLOOKUP(D658,$P$1:$Q$13,2,0), 1 + C658,1)</f>
        <v>랗</v>
      </c>
      <c r="G658" s="6" t="str">
        <f aca="false">DEC2HEX(D658+36, 2)</f>
        <v>27</v>
      </c>
      <c r="H658" s="6" t="str">
        <f aca="false">DEC2HEX(C658+48,2)</f>
        <v>51</v>
      </c>
      <c r="I658" s="6" t="str">
        <f aca="false">_xlfn.CONCAT("\x", G658, "\x", H658, "=", F658)</f>
        <v>\x27\x51=랗</v>
      </c>
      <c r="M658" s="7" t="s">
        <v>635</v>
      </c>
      <c r="N658" s="6" t="str">
        <f aca="false">_xlfn.CONCAT("\x", DEC2HEX(D658+44, 2), "\x", H658, "=", M658)</f>
        <v>\x2F\x51=泣</v>
      </c>
    </row>
    <row r="659" customFormat="false" ht="12.8" hidden="false" customHeight="true" outlineLevel="0" collapsed="false">
      <c r="C659" s="6" t="n">
        <f aca="false">MOD(ROW()-1, 208)</f>
        <v>34</v>
      </c>
      <c r="D659" s="6" t="n">
        <f aca="false">INT((ROW()-1)/208)</f>
        <v>3</v>
      </c>
      <c r="F659" s="6" t="str">
        <f aca="false">MID(VLOOKUP(D659,$P$1:$Q$13,2,0), 1 + C659,1)</f>
        <v>래</v>
      </c>
      <c r="G659" s="6" t="str">
        <f aca="false">DEC2HEX(D659+36, 2)</f>
        <v>27</v>
      </c>
      <c r="H659" s="6" t="str">
        <f aca="false">DEC2HEX(C659+48,2)</f>
        <v>52</v>
      </c>
      <c r="I659" s="6" t="str">
        <f aca="false">_xlfn.CONCAT("\x", G659, "\x", H659, "=", F659)</f>
        <v>\x27\x52=래</v>
      </c>
      <c r="M659" s="7" t="s">
        <v>636</v>
      </c>
      <c r="N659" s="6" t="str">
        <f aca="false">_xlfn.CONCAT("\x", DEC2HEX(D659+44, 2), "\x", H659, "=", M659)</f>
        <v>\x2F\x52=虫</v>
      </c>
    </row>
    <row r="660" customFormat="false" ht="12.8" hidden="false" customHeight="true" outlineLevel="0" collapsed="false">
      <c r="C660" s="6" t="n">
        <f aca="false">MOD(ROW()-1, 208)</f>
        <v>35</v>
      </c>
      <c r="D660" s="6" t="n">
        <f aca="false">INT((ROW()-1)/208)</f>
        <v>3</v>
      </c>
      <c r="F660" s="6" t="str">
        <f aca="false">MID(VLOOKUP(D660,$P$1:$Q$13,2,0), 1 + C660,1)</f>
        <v>랙</v>
      </c>
      <c r="G660" s="6" t="str">
        <f aca="false">DEC2HEX(D660+36, 2)</f>
        <v>27</v>
      </c>
      <c r="H660" s="6" t="str">
        <f aca="false">DEC2HEX(C660+48,2)</f>
        <v>53</v>
      </c>
      <c r="I660" s="6" t="str">
        <f aca="false">_xlfn.CONCAT("\x", G660, "\x", H660, "=", F660)</f>
        <v>\x27\x53=랙</v>
      </c>
      <c r="M660" s="7" t="s">
        <v>637</v>
      </c>
      <c r="N660" s="6" t="str">
        <f aca="false">_xlfn.CONCAT("\x", DEC2HEX(D660+44, 2), "\x", H660, "=", M660)</f>
        <v>\x2F\x53=父</v>
      </c>
    </row>
    <row r="661" customFormat="false" ht="12.8" hidden="false" customHeight="true" outlineLevel="0" collapsed="false">
      <c r="C661" s="6" t="n">
        <f aca="false">MOD(ROW()-1, 208)</f>
        <v>36</v>
      </c>
      <c r="D661" s="6" t="n">
        <f aca="false">INT((ROW()-1)/208)</f>
        <v>3</v>
      </c>
      <c r="F661" s="6" t="str">
        <f aca="false">MID(VLOOKUP(D661,$P$1:$Q$13,2,0), 1 + C661,1)</f>
        <v>랜</v>
      </c>
      <c r="G661" s="6" t="str">
        <f aca="false">DEC2HEX(D661+36, 2)</f>
        <v>27</v>
      </c>
      <c r="H661" s="6" t="str">
        <f aca="false">DEC2HEX(C661+48,2)</f>
        <v>54</v>
      </c>
      <c r="I661" s="6" t="str">
        <f aca="false">_xlfn.CONCAT("\x", G661, "\x", H661, "=", F661)</f>
        <v>\x27\x54=랜</v>
      </c>
      <c r="M661" s="7" t="s">
        <v>638</v>
      </c>
      <c r="N661" s="6" t="str">
        <f aca="false">_xlfn.CONCAT("\x", DEC2HEX(D661+44, 2), "\x", H661, "=", M661)</f>
        <v>\x2F\x54=言</v>
      </c>
    </row>
    <row r="662" customFormat="false" ht="12.8" hidden="false" customHeight="true" outlineLevel="0" collapsed="false">
      <c r="C662" s="6" t="n">
        <f aca="false">MOD(ROW()-1, 208)</f>
        <v>37</v>
      </c>
      <c r="D662" s="6" t="n">
        <f aca="false">INT((ROW()-1)/208)</f>
        <v>3</v>
      </c>
      <c r="F662" s="6" t="str">
        <f aca="false">MID(VLOOKUP(D662,$P$1:$Q$13,2,0), 1 + C662,1)</f>
        <v>랠</v>
      </c>
      <c r="G662" s="6" t="str">
        <f aca="false">DEC2HEX(D662+36, 2)</f>
        <v>27</v>
      </c>
      <c r="H662" s="6" t="str">
        <f aca="false">DEC2HEX(C662+48,2)</f>
        <v>55</v>
      </c>
      <c r="I662" s="6" t="str">
        <f aca="false">_xlfn.CONCAT("\x", G662, "\x", H662, "=", F662)</f>
        <v>\x27\x55=랠</v>
      </c>
      <c r="M662" s="7" t="s">
        <v>639</v>
      </c>
      <c r="N662" s="6" t="str">
        <f aca="false">_xlfn.CONCAT("\x", DEC2HEX(D662+44, 2), "\x", H662, "=", M662)</f>
        <v>\x2F\x55=宗</v>
      </c>
    </row>
    <row r="663" customFormat="false" ht="12.8" hidden="false" customHeight="true" outlineLevel="0" collapsed="false">
      <c r="C663" s="6" t="n">
        <f aca="false">MOD(ROW()-1, 208)</f>
        <v>38</v>
      </c>
      <c r="D663" s="6" t="n">
        <f aca="false">INT((ROW()-1)/208)</f>
        <v>3</v>
      </c>
      <c r="F663" s="6" t="str">
        <f aca="false">MID(VLOOKUP(D663,$P$1:$Q$13,2,0), 1 + C663,1)</f>
        <v>램</v>
      </c>
      <c r="G663" s="6" t="str">
        <f aca="false">DEC2HEX(D663+36, 2)</f>
        <v>27</v>
      </c>
      <c r="H663" s="6" t="str">
        <f aca="false">DEC2HEX(C663+48,2)</f>
        <v>56</v>
      </c>
      <c r="I663" s="6" t="str">
        <f aca="false">_xlfn.CONCAT("\x", G663, "\x", H663, "=", F663)</f>
        <v>\x27\x56=램</v>
      </c>
      <c r="M663" s="7" t="s">
        <v>640</v>
      </c>
      <c r="N663" s="6" t="str">
        <f aca="false">_xlfn.CONCAT("\x", DEC2HEX(D663+44, 2), "\x", H663, "=", M663)</f>
        <v>\x2F\x56=鬼</v>
      </c>
    </row>
    <row r="664" customFormat="false" ht="12.8" hidden="false" customHeight="true" outlineLevel="0" collapsed="false">
      <c r="C664" s="6" t="n">
        <f aca="false">MOD(ROW()-1, 208)</f>
        <v>39</v>
      </c>
      <c r="D664" s="6" t="n">
        <f aca="false">INT((ROW()-1)/208)</f>
        <v>3</v>
      </c>
      <c r="F664" s="6" t="str">
        <f aca="false">MID(VLOOKUP(D664,$P$1:$Q$13,2,0), 1 + C664,1)</f>
        <v>랩</v>
      </c>
      <c r="G664" s="6" t="str">
        <f aca="false">DEC2HEX(D664+36, 2)</f>
        <v>27</v>
      </c>
      <c r="H664" s="6" t="str">
        <f aca="false">DEC2HEX(C664+48,2)</f>
        <v>57</v>
      </c>
      <c r="I664" s="6" t="str">
        <f aca="false">_xlfn.CONCAT("\x", G664, "\x", H664, "=", F664)</f>
        <v>\x27\x57=랩</v>
      </c>
      <c r="M664" s="7" t="s">
        <v>641</v>
      </c>
      <c r="N664" s="6" t="str">
        <f aca="false">_xlfn.CONCAT("\x", DEC2HEX(D664+44, 2), "\x", H664, "=", M664)</f>
        <v>\x2F\x57=太</v>
      </c>
    </row>
    <row r="665" customFormat="false" ht="12.8" hidden="false" customHeight="true" outlineLevel="0" collapsed="false">
      <c r="C665" s="6" t="n">
        <f aca="false">MOD(ROW()-1, 208)</f>
        <v>40</v>
      </c>
      <c r="D665" s="6" t="n">
        <f aca="false">INT((ROW()-1)/208)</f>
        <v>3</v>
      </c>
      <c r="F665" s="6" t="str">
        <f aca="false">MID(VLOOKUP(D665,$P$1:$Q$13,2,0), 1 + C665,1)</f>
        <v>랫</v>
      </c>
      <c r="G665" s="6" t="str">
        <f aca="false">DEC2HEX(D665+36, 2)</f>
        <v>27</v>
      </c>
      <c r="H665" s="6" t="str">
        <f aca="false">DEC2HEX(C665+48,2)</f>
        <v>58</v>
      </c>
      <c r="I665" s="6" t="str">
        <f aca="false">_xlfn.CONCAT("\x", G665, "\x", H665, "=", F665)</f>
        <v>\x27\x58=랫</v>
      </c>
      <c r="M665" s="7" t="s">
        <v>642</v>
      </c>
      <c r="N665" s="6" t="str">
        <f aca="false">_xlfn.CONCAT("\x", DEC2HEX(D665+44, 2), "\x", H665, "=", M665)</f>
        <v>\x2F\x58=導</v>
      </c>
    </row>
    <row r="666" customFormat="false" ht="12.8" hidden="false" customHeight="true" outlineLevel="0" collapsed="false">
      <c r="C666" s="6" t="n">
        <f aca="false">MOD(ROW()-1, 208)</f>
        <v>41</v>
      </c>
      <c r="D666" s="6" t="n">
        <f aca="false">INT((ROW()-1)/208)</f>
        <v>3</v>
      </c>
      <c r="F666" s="6" t="str">
        <f aca="false">MID(VLOOKUP(D666,$P$1:$Q$13,2,0), 1 + C666,1)</f>
        <v>랬</v>
      </c>
      <c r="G666" s="6" t="str">
        <f aca="false">DEC2HEX(D666+36, 2)</f>
        <v>27</v>
      </c>
      <c r="H666" s="6" t="str">
        <f aca="false">DEC2HEX(C666+48,2)</f>
        <v>59</v>
      </c>
      <c r="I666" s="6" t="str">
        <f aca="false">_xlfn.CONCAT("\x", G666, "\x", H666, "=", F666)</f>
        <v>\x27\x59=랬</v>
      </c>
      <c r="M666" s="7" t="s">
        <v>643</v>
      </c>
      <c r="N666" s="6" t="str">
        <f aca="false">_xlfn.CONCAT("\x", DEC2HEX(D666+44, 2), "\x", H666, "=", M666)</f>
        <v>\x2F\x59=杖</v>
      </c>
    </row>
    <row r="667" customFormat="false" ht="12.8" hidden="false" customHeight="true" outlineLevel="0" collapsed="false">
      <c r="C667" s="6" t="n">
        <f aca="false">MOD(ROW()-1, 208)</f>
        <v>42</v>
      </c>
      <c r="D667" s="6" t="n">
        <f aca="false">INT((ROW()-1)/208)</f>
        <v>3</v>
      </c>
      <c r="F667" s="6" t="str">
        <f aca="false">MID(VLOOKUP(D667,$P$1:$Q$13,2,0), 1 + C667,1)</f>
        <v>랭</v>
      </c>
      <c r="G667" s="6" t="str">
        <f aca="false">DEC2HEX(D667+36, 2)</f>
        <v>27</v>
      </c>
      <c r="H667" s="6" t="str">
        <f aca="false">DEC2HEX(C667+48,2)</f>
        <v>5A</v>
      </c>
      <c r="I667" s="6" t="str">
        <f aca="false">_xlfn.CONCAT("\x", G667, "\x", H667, "=", F667)</f>
        <v>\x27\x5A=랭</v>
      </c>
      <c r="M667" s="7" t="s">
        <v>644</v>
      </c>
      <c r="N667" s="6" t="str">
        <f aca="false">_xlfn.CONCAT("\x", DEC2HEX(D667+44, 2), "\x", H667, "=", M667)</f>
        <v>\x2F\x5A=林</v>
      </c>
    </row>
    <row r="668" customFormat="false" ht="12.8" hidden="false" customHeight="true" outlineLevel="0" collapsed="false">
      <c r="C668" s="6" t="n">
        <f aca="false">MOD(ROW()-1, 208)</f>
        <v>43</v>
      </c>
      <c r="D668" s="6" t="n">
        <f aca="false">INT((ROW()-1)/208)</f>
        <v>3</v>
      </c>
      <c r="F668" s="6" t="str">
        <f aca="false">MID(VLOOKUP(D668,$P$1:$Q$13,2,0), 1 + C668,1)</f>
        <v>랴</v>
      </c>
      <c r="G668" s="6" t="str">
        <f aca="false">DEC2HEX(D668+36, 2)</f>
        <v>27</v>
      </c>
      <c r="H668" s="6" t="str">
        <f aca="false">DEC2HEX(C668+48,2)</f>
        <v>5B</v>
      </c>
      <c r="I668" s="6" t="str">
        <f aca="false">_xlfn.CONCAT("\x", G668, "\x", H668, "=", F668)</f>
        <v>\x27\x5B=랴</v>
      </c>
      <c r="M668" s="7" t="s">
        <v>645</v>
      </c>
      <c r="N668" s="6" t="str">
        <f aca="false">_xlfn.CONCAT("\x", DEC2HEX(D668+44, 2), "\x", H668, "=", M668)</f>
        <v>\x2F\x5B=叢</v>
      </c>
    </row>
    <row r="669" customFormat="false" ht="12.8" hidden="false" customHeight="true" outlineLevel="0" collapsed="false">
      <c r="C669" s="6" t="n">
        <f aca="false">MOD(ROW()-1, 208)</f>
        <v>44</v>
      </c>
      <c r="D669" s="6" t="n">
        <f aca="false">INT((ROW()-1)/208)</f>
        <v>3</v>
      </c>
      <c r="F669" s="6" t="str">
        <f aca="false">MID(VLOOKUP(D669,$P$1:$Q$13,2,0), 1 + C669,1)</f>
        <v>략</v>
      </c>
      <c r="G669" s="6" t="str">
        <f aca="false">DEC2HEX(D669+36, 2)</f>
        <v>27</v>
      </c>
      <c r="H669" s="6" t="str">
        <f aca="false">DEC2HEX(C669+48,2)</f>
        <v>5C</v>
      </c>
      <c r="I669" s="6" t="str">
        <f aca="false">_xlfn.CONCAT("\x", G669, "\x", H669, "=", F669)</f>
        <v>\x27\x5C=략</v>
      </c>
      <c r="M669" s="7" t="s">
        <v>646</v>
      </c>
      <c r="N669" s="6" t="str">
        <f aca="false">_xlfn.CONCAT("\x", DEC2HEX(D669+44, 2), "\x", H669, "=", M669)</f>
        <v>\x2F\x5C=軍</v>
      </c>
    </row>
    <row r="670" customFormat="false" ht="12.8" hidden="false" customHeight="true" outlineLevel="0" collapsed="false">
      <c r="C670" s="6" t="n">
        <f aca="false">MOD(ROW()-1, 208)</f>
        <v>45</v>
      </c>
      <c r="D670" s="6" t="n">
        <f aca="false">INT((ROW()-1)/208)</f>
        <v>3</v>
      </c>
      <c r="F670" s="6" t="str">
        <f aca="false">MID(VLOOKUP(D670,$P$1:$Q$13,2,0), 1 + C670,1)</f>
        <v>랸</v>
      </c>
      <c r="G670" s="6" t="str">
        <f aca="false">DEC2HEX(D670+36, 2)</f>
        <v>27</v>
      </c>
      <c r="H670" s="6" t="str">
        <f aca="false">DEC2HEX(C670+48,2)</f>
        <v>5D</v>
      </c>
      <c r="I670" s="6" t="str">
        <f aca="false">_xlfn.CONCAT("\x", G670, "\x", H670, "=", F670)</f>
        <v>\x27\x5D=랸</v>
      </c>
      <c r="M670" s="7" t="s">
        <v>647</v>
      </c>
      <c r="N670" s="6" t="str">
        <f aca="false">_xlfn.CONCAT("\x", DEC2HEX(D670+44, 2), "\x", H670, "=", M670)</f>
        <v>\x2F\x5D=世</v>
      </c>
    </row>
    <row r="671" customFormat="false" ht="12.8" hidden="false" customHeight="true" outlineLevel="0" collapsed="false">
      <c r="C671" s="6" t="n">
        <f aca="false">MOD(ROW()-1, 208)</f>
        <v>46</v>
      </c>
      <c r="D671" s="6" t="n">
        <f aca="false">INT((ROW()-1)/208)</f>
        <v>3</v>
      </c>
      <c r="F671" s="6" t="str">
        <f aca="false">MID(VLOOKUP(D671,$P$1:$Q$13,2,0), 1 + C671,1)</f>
        <v>럇</v>
      </c>
      <c r="G671" s="6" t="str">
        <f aca="false">DEC2HEX(D671+36, 2)</f>
        <v>27</v>
      </c>
      <c r="H671" s="6" t="str">
        <f aca="false">DEC2HEX(C671+48,2)</f>
        <v>5E</v>
      </c>
      <c r="I671" s="6" t="str">
        <f aca="false">_xlfn.CONCAT("\x", G671, "\x", H671, "=", F671)</f>
        <v>\x27\x5E=럇</v>
      </c>
      <c r="M671" s="7" t="s">
        <v>648</v>
      </c>
      <c r="N671" s="6" t="str">
        <f aca="false">_xlfn.CONCAT("\x", DEC2HEX(D671+44, 2), "\x", H671, "=", M671)</f>
        <v>\x2F\x5E=氏</v>
      </c>
    </row>
    <row r="672" customFormat="false" ht="12.8" hidden="false" customHeight="true" outlineLevel="0" collapsed="false">
      <c r="C672" s="6" t="n">
        <f aca="false">MOD(ROW()-1, 208)</f>
        <v>47</v>
      </c>
      <c r="D672" s="6" t="n">
        <f aca="false">INT((ROW()-1)/208)</f>
        <v>3</v>
      </c>
      <c r="F672" s="6" t="str">
        <f aca="false">MID(VLOOKUP(D672,$P$1:$Q$13,2,0), 1 + C672,1)</f>
        <v>량</v>
      </c>
      <c r="G672" s="6" t="str">
        <f aca="false">DEC2HEX(D672+36, 2)</f>
        <v>27</v>
      </c>
      <c r="H672" s="6" t="str">
        <f aca="false">DEC2HEX(C672+48,2)</f>
        <v>5F</v>
      </c>
      <c r="I672" s="6" t="str">
        <f aca="false">_xlfn.CONCAT("\x", G672, "\x", H672, "=", F672)</f>
        <v>\x27\x5F=량</v>
      </c>
      <c r="M672" s="7" t="s">
        <v>312</v>
      </c>
      <c r="N672" s="6" t="str">
        <f aca="false">_xlfn.CONCAT("\x", DEC2HEX(D672+44, 2), "\x", H672, "=", M672)</f>
        <v>\x2F\x5F=鳥</v>
      </c>
    </row>
    <row r="673" customFormat="false" ht="12.8" hidden="false" customHeight="true" outlineLevel="0" collapsed="false">
      <c r="C673" s="6" t="n">
        <f aca="false">MOD(ROW()-1, 208)</f>
        <v>48</v>
      </c>
      <c r="D673" s="6" t="n">
        <f aca="false">INT((ROW()-1)/208)</f>
        <v>3</v>
      </c>
      <c r="F673" s="6" t="str">
        <f aca="false">MID(VLOOKUP(D673,$P$1:$Q$13,2,0), 1 + C673,1)</f>
        <v>러</v>
      </c>
      <c r="G673" s="6" t="str">
        <f aca="false">DEC2HEX(D673+36, 2)</f>
        <v>27</v>
      </c>
      <c r="H673" s="6" t="str">
        <f aca="false">DEC2HEX(C673+48,2)</f>
        <v>60</v>
      </c>
      <c r="I673" s="6" t="str">
        <f aca="false">_xlfn.CONCAT("\x", G673, "\x", H673, "=", F673)</f>
        <v>\x27\x60=러</v>
      </c>
      <c r="M673" s="7" t="s">
        <v>649</v>
      </c>
      <c r="N673" s="6" t="str">
        <f aca="false">_xlfn.CONCAT("\x", DEC2HEX(D673+44, 2), "\x", H673, "=", M673)</f>
        <v>\x2F\x60=雪</v>
      </c>
    </row>
    <row r="674" customFormat="false" ht="12.8" hidden="false" customHeight="true" outlineLevel="0" collapsed="false">
      <c r="C674" s="6" t="n">
        <f aca="false">MOD(ROW()-1, 208)</f>
        <v>49</v>
      </c>
      <c r="D674" s="6" t="n">
        <f aca="false">INT((ROW()-1)/208)</f>
        <v>3</v>
      </c>
      <c r="F674" s="6" t="str">
        <f aca="false">MID(VLOOKUP(D674,$P$1:$Q$13,2,0), 1 + C674,1)</f>
        <v>럭</v>
      </c>
      <c r="G674" s="6" t="str">
        <f aca="false">DEC2HEX(D674+36, 2)</f>
        <v>27</v>
      </c>
      <c r="H674" s="6" t="str">
        <f aca="false">DEC2HEX(C674+48,2)</f>
        <v>61</v>
      </c>
      <c r="I674" s="6" t="str">
        <f aca="false">_xlfn.CONCAT("\x", G674, "\x", H674, "=", F674)</f>
        <v>\x27\x61=럭</v>
      </c>
      <c r="M674" s="7" t="s">
        <v>650</v>
      </c>
      <c r="N674" s="6" t="str">
        <f aca="false">_xlfn.CONCAT("\x", DEC2HEX(D674+44, 2), "\x", H674, "=", M674)</f>
        <v>\x2F\x61=雨</v>
      </c>
    </row>
    <row r="675" customFormat="false" ht="12.8" hidden="false" customHeight="true" outlineLevel="0" collapsed="false">
      <c r="C675" s="6" t="n">
        <f aca="false">MOD(ROW()-1, 208)</f>
        <v>50</v>
      </c>
      <c r="D675" s="6" t="n">
        <f aca="false">INT((ROW()-1)/208)</f>
        <v>3</v>
      </c>
      <c r="F675" s="6" t="str">
        <f aca="false">MID(VLOOKUP(D675,$P$1:$Q$13,2,0), 1 + C675,1)</f>
        <v>런</v>
      </c>
      <c r="G675" s="6" t="str">
        <f aca="false">DEC2HEX(D675+36, 2)</f>
        <v>27</v>
      </c>
      <c r="H675" s="6" t="str">
        <f aca="false">DEC2HEX(C675+48,2)</f>
        <v>62</v>
      </c>
      <c r="I675" s="6" t="str">
        <f aca="false">_xlfn.CONCAT("\x", G675, "\x", H675, "=", F675)</f>
        <v>\x27\x62=런</v>
      </c>
      <c r="M675" s="7" t="s">
        <v>651</v>
      </c>
      <c r="N675" s="6" t="str">
        <f aca="false">_xlfn.CONCAT("\x", DEC2HEX(D675+44, 2), "\x", H675, "=", M675)</f>
        <v>\x2F\x62=妖</v>
      </c>
    </row>
    <row r="676" customFormat="false" ht="12.8" hidden="false" customHeight="true" outlineLevel="0" collapsed="false">
      <c r="C676" s="6" t="n">
        <f aca="false">MOD(ROW()-1, 208)</f>
        <v>51</v>
      </c>
      <c r="D676" s="6" t="n">
        <f aca="false">INT((ROW()-1)/208)</f>
        <v>3</v>
      </c>
      <c r="F676" s="6" t="str">
        <f aca="false">MID(VLOOKUP(D676,$P$1:$Q$13,2,0), 1 + C676,1)</f>
        <v>럴</v>
      </c>
      <c r="G676" s="6" t="str">
        <f aca="false">DEC2HEX(D676+36, 2)</f>
        <v>27</v>
      </c>
      <c r="H676" s="6" t="str">
        <f aca="false">DEC2HEX(C676+48,2)</f>
        <v>63</v>
      </c>
      <c r="I676" s="6" t="str">
        <f aca="false">_xlfn.CONCAT("\x", G676, "\x", H676, "=", F676)</f>
        <v>\x27\x63=럴</v>
      </c>
      <c r="M676" s="7" t="s">
        <v>652</v>
      </c>
      <c r="N676" s="6" t="str">
        <f aca="false">_xlfn.CONCAT("\x", DEC2HEX(D676+44, 2), "\x", H676, "=", M676)</f>
        <v>\x2F\x63=真</v>
      </c>
    </row>
    <row r="677" customFormat="false" ht="12.8" hidden="false" customHeight="true" outlineLevel="0" collapsed="false">
      <c r="C677" s="6" t="n">
        <f aca="false">MOD(ROW()-1, 208)</f>
        <v>52</v>
      </c>
      <c r="D677" s="6" t="n">
        <f aca="false">INT((ROW()-1)/208)</f>
        <v>3</v>
      </c>
      <c r="F677" s="6" t="str">
        <f aca="false">MID(VLOOKUP(D677,$P$1:$Q$13,2,0), 1 + C677,1)</f>
        <v>럼</v>
      </c>
      <c r="G677" s="6" t="str">
        <f aca="false">DEC2HEX(D677+36, 2)</f>
        <v>27</v>
      </c>
      <c r="H677" s="6" t="str">
        <f aca="false">DEC2HEX(C677+48,2)</f>
        <v>64</v>
      </c>
      <c r="I677" s="6" t="str">
        <f aca="false">_xlfn.CONCAT("\x", G677, "\x", H677, "=", F677)</f>
        <v>\x27\x64=럼</v>
      </c>
      <c r="M677" s="7" t="s">
        <v>653</v>
      </c>
      <c r="N677" s="6" t="str">
        <f aca="false">_xlfn.CONCAT("\x", DEC2HEX(D677+44, 2), "\x", H677, "=", M677)</f>
        <v>\x2F\x64=想</v>
      </c>
    </row>
    <row r="678" customFormat="false" ht="12.8" hidden="false" customHeight="true" outlineLevel="0" collapsed="false">
      <c r="C678" s="6" t="n">
        <f aca="false">MOD(ROW()-1, 208)</f>
        <v>53</v>
      </c>
      <c r="D678" s="6" t="n">
        <f aca="false">INT((ROW()-1)/208)</f>
        <v>3</v>
      </c>
      <c r="F678" s="6" t="str">
        <f aca="false">MID(VLOOKUP(D678,$P$1:$Q$13,2,0), 1 + C678,1)</f>
        <v>럽</v>
      </c>
      <c r="G678" s="6" t="str">
        <f aca="false">DEC2HEX(D678+36, 2)</f>
        <v>27</v>
      </c>
      <c r="H678" s="6" t="str">
        <f aca="false">DEC2HEX(C678+48,2)</f>
        <v>65</v>
      </c>
      <c r="I678" s="6" t="str">
        <f aca="false">_xlfn.CONCAT("\x", G678, "\x", H678, "=", F678)</f>
        <v>\x27\x65=럽</v>
      </c>
      <c r="M678" s="7" t="s">
        <v>654</v>
      </c>
      <c r="N678" s="6" t="str">
        <f aca="false">_xlfn.CONCAT("\x", DEC2HEX(D678+44, 2), "\x", H678, "=", M678)</f>
        <v>\x2F\x65=五</v>
      </c>
    </row>
    <row r="679" customFormat="false" ht="12.8" hidden="false" customHeight="true" outlineLevel="0" collapsed="false">
      <c r="C679" s="6" t="n">
        <f aca="false">MOD(ROW()-1, 208)</f>
        <v>54</v>
      </c>
      <c r="D679" s="6" t="n">
        <f aca="false">INT((ROW()-1)/208)</f>
        <v>3</v>
      </c>
      <c r="F679" s="6" t="str">
        <f aca="false">MID(VLOOKUP(D679,$P$1:$Q$13,2,0), 1 + C679,1)</f>
        <v>럿</v>
      </c>
      <c r="G679" s="6" t="str">
        <f aca="false">DEC2HEX(D679+36, 2)</f>
        <v>27</v>
      </c>
      <c r="H679" s="6" t="str">
        <f aca="false">DEC2HEX(C679+48,2)</f>
        <v>66</v>
      </c>
      <c r="I679" s="6" t="str">
        <f aca="false">_xlfn.CONCAT("\x", G679, "\x", H679, "=", F679)</f>
        <v>\x27\x66=럿</v>
      </c>
      <c r="M679" s="7" t="s">
        <v>655</v>
      </c>
      <c r="N679" s="6" t="str">
        <f aca="false">_xlfn.CONCAT("\x", DEC2HEX(D679+44, 2), "\x", H679, "=", M679)</f>
        <v>\x2F\x66=菊</v>
      </c>
    </row>
    <row r="680" customFormat="false" ht="12.8" hidden="false" customHeight="true" outlineLevel="0" collapsed="false">
      <c r="C680" s="6" t="n">
        <f aca="false">MOD(ROW()-1, 208)</f>
        <v>55</v>
      </c>
      <c r="D680" s="6" t="n">
        <f aca="false">INT((ROW()-1)/208)</f>
        <v>3</v>
      </c>
      <c r="F680" s="6" t="str">
        <f aca="false">MID(VLOOKUP(D680,$P$1:$Q$13,2,0), 1 + C680,1)</f>
        <v>렀</v>
      </c>
      <c r="G680" s="6" t="str">
        <f aca="false">DEC2HEX(D680+36, 2)</f>
        <v>27</v>
      </c>
      <c r="H680" s="6" t="str">
        <f aca="false">DEC2HEX(C680+48,2)</f>
        <v>67</v>
      </c>
      <c r="I680" s="6" t="str">
        <f aca="false">_xlfn.CONCAT("\x", G680, "\x", H680, "=", F680)</f>
        <v>\x27\x67=렀</v>
      </c>
      <c r="M680" s="7" t="s">
        <v>656</v>
      </c>
      <c r="N680" s="6" t="str">
        <f aca="false">_xlfn.CONCAT("\x", DEC2HEX(D680+44, 2), "\x", H680, "=", M680)</f>
        <v>\x2F\x67=阿</v>
      </c>
    </row>
    <row r="681" customFormat="false" ht="12.8" hidden="false" customHeight="true" outlineLevel="0" collapsed="false">
      <c r="C681" s="6" t="n">
        <f aca="false">MOD(ROW()-1, 208)</f>
        <v>56</v>
      </c>
      <c r="D681" s="6" t="n">
        <f aca="false">INT((ROW()-1)/208)</f>
        <v>3</v>
      </c>
      <c r="F681" s="6" t="str">
        <f aca="false">MID(VLOOKUP(D681,$P$1:$Q$13,2,0), 1 + C681,1)</f>
        <v>렁</v>
      </c>
      <c r="G681" s="6" t="str">
        <f aca="false">DEC2HEX(D681+36, 2)</f>
        <v>27</v>
      </c>
      <c r="H681" s="6" t="str">
        <f aca="false">DEC2HEX(C681+48,2)</f>
        <v>68</v>
      </c>
      <c r="I681" s="6" t="str">
        <f aca="false">_xlfn.CONCAT("\x", G681, "\x", H681, "=", F681)</f>
        <v>\x27\x68=렁</v>
      </c>
      <c r="M681" s="7" t="s">
        <v>657</v>
      </c>
      <c r="N681" s="6" t="str">
        <f aca="false">_xlfn.CONCAT("\x", DEC2HEX(D681+44, 2), "\x", H681, "=", M681)</f>
        <v>\x2F\x68=虎</v>
      </c>
    </row>
    <row r="682" customFormat="false" ht="12.8" hidden="false" customHeight="true" outlineLevel="0" collapsed="false">
      <c r="C682" s="6" t="n">
        <f aca="false">MOD(ROW()-1, 208)</f>
        <v>57</v>
      </c>
      <c r="D682" s="6" t="n">
        <f aca="false">INT((ROW()-1)/208)</f>
        <v>3</v>
      </c>
      <c r="F682" s="6" t="str">
        <f aca="false">MID(VLOOKUP(D682,$P$1:$Q$13,2,0), 1 + C682,1)</f>
        <v>렇</v>
      </c>
      <c r="G682" s="6" t="str">
        <f aca="false">DEC2HEX(D682+36, 2)</f>
        <v>27</v>
      </c>
      <c r="H682" s="6" t="str">
        <f aca="false">DEC2HEX(C682+48,2)</f>
        <v>69</v>
      </c>
      <c r="I682" s="6" t="str">
        <f aca="false">_xlfn.CONCAT("\x", G682, "\x", H682, "=", F682)</f>
        <v>\x27\x69=렇</v>
      </c>
      <c r="M682" s="7" t="s">
        <v>658</v>
      </c>
      <c r="N682" s="6" t="str">
        <f aca="false">_xlfn.CONCAT("\x", DEC2HEX(D682+44, 2), "\x", H682, "=", M682)</f>
        <v>\x2F\x69=王</v>
      </c>
    </row>
    <row r="683" customFormat="false" ht="12.8" hidden="false" customHeight="true" outlineLevel="0" collapsed="false">
      <c r="C683" s="6" t="n">
        <f aca="false">MOD(ROW()-1, 208)</f>
        <v>58</v>
      </c>
      <c r="D683" s="6" t="n">
        <f aca="false">INT((ROW()-1)/208)</f>
        <v>3</v>
      </c>
      <c r="F683" s="6" t="str">
        <f aca="false">MID(VLOOKUP(D683,$P$1:$Q$13,2,0), 1 + C683,1)</f>
        <v>레</v>
      </c>
      <c r="G683" s="6" t="str">
        <f aca="false">DEC2HEX(D683+36, 2)</f>
        <v>27</v>
      </c>
      <c r="H683" s="6" t="str">
        <f aca="false">DEC2HEX(C683+48,2)</f>
        <v>6A</v>
      </c>
      <c r="I683" s="6" t="str">
        <f aca="false">_xlfn.CONCAT("\x", G683, "\x", H683, "=", F683)</f>
        <v>\x27\x6A=레</v>
      </c>
      <c r="M683" s="7" t="s">
        <v>659</v>
      </c>
      <c r="N683" s="6" t="str">
        <f aca="false">_xlfn.CONCAT("\x", DEC2HEX(D683+44, 2), "\x", H683, "=", M683)</f>
        <v>\x2F\x6A=活</v>
      </c>
    </row>
    <row r="684" customFormat="false" ht="12.8" hidden="false" customHeight="true" outlineLevel="0" collapsed="false">
      <c r="C684" s="6" t="n">
        <f aca="false">MOD(ROW()-1, 208)</f>
        <v>59</v>
      </c>
      <c r="D684" s="6" t="n">
        <f aca="false">INT((ROW()-1)/208)</f>
        <v>3</v>
      </c>
      <c r="F684" s="6" t="str">
        <f aca="false">MID(VLOOKUP(D684,$P$1:$Q$13,2,0), 1 + C684,1)</f>
        <v>렉</v>
      </c>
      <c r="G684" s="6" t="str">
        <f aca="false">DEC2HEX(D684+36, 2)</f>
        <v>27</v>
      </c>
      <c r="H684" s="6" t="str">
        <f aca="false">DEC2HEX(C684+48,2)</f>
        <v>6B</v>
      </c>
      <c r="I684" s="6" t="str">
        <f aca="false">_xlfn.CONCAT("\x", G684, "\x", H684, "=", F684)</f>
        <v>\x27\x6B=렉</v>
      </c>
      <c r="M684" s="7" t="s">
        <v>660</v>
      </c>
      <c r="N684" s="6" t="str">
        <f aca="false">_xlfn.CONCAT("\x", DEC2HEX(D684+44, 2), "\x", H684, "=", M684)</f>
        <v>\x2F\x6B=春</v>
      </c>
    </row>
    <row r="685" customFormat="false" ht="12.8" hidden="false" customHeight="true" outlineLevel="0" collapsed="false">
      <c r="C685" s="6" t="n">
        <f aca="false">MOD(ROW()-1, 208)</f>
        <v>60</v>
      </c>
      <c r="D685" s="6" t="n">
        <f aca="false">INT((ROW()-1)/208)</f>
        <v>3</v>
      </c>
      <c r="F685" s="6" t="str">
        <f aca="false">MID(VLOOKUP(D685,$P$1:$Q$13,2,0), 1 + C685,1)</f>
        <v>렌</v>
      </c>
      <c r="G685" s="6" t="str">
        <f aca="false">DEC2HEX(D685+36, 2)</f>
        <v>27</v>
      </c>
      <c r="H685" s="6" t="str">
        <f aca="false">DEC2HEX(C685+48,2)</f>
        <v>6C</v>
      </c>
      <c r="I685" s="6" t="str">
        <f aca="false">_xlfn.CONCAT("\x", G685, "\x", H685, "=", F685)</f>
        <v>\x27\x6C=렌</v>
      </c>
      <c r="M685" s="7" t="s">
        <v>661</v>
      </c>
      <c r="N685" s="6" t="str">
        <f aca="false">_xlfn.CONCAT("\x", DEC2HEX(D685+44, 2), "\x", H685, "=", M685)</f>
        <v>\x2F\x6C=桜</v>
      </c>
    </row>
    <row r="686" customFormat="false" ht="12.8" hidden="false" customHeight="true" outlineLevel="0" collapsed="false">
      <c r="C686" s="6" t="n">
        <f aca="false">MOD(ROW()-1, 208)</f>
        <v>61</v>
      </c>
      <c r="D686" s="6" t="n">
        <f aca="false">INT((ROW()-1)/208)</f>
        <v>3</v>
      </c>
      <c r="F686" s="6" t="str">
        <f aca="false">MID(VLOOKUP(D686,$P$1:$Q$13,2,0), 1 + C686,1)</f>
        <v>렐</v>
      </c>
      <c r="G686" s="6" t="str">
        <f aca="false">DEC2HEX(D686+36, 2)</f>
        <v>27</v>
      </c>
      <c r="H686" s="6" t="str">
        <f aca="false">DEC2HEX(C686+48,2)</f>
        <v>6D</v>
      </c>
      <c r="I686" s="6" t="str">
        <f aca="false">_xlfn.CONCAT("\x", G686, "\x", H686, "=", F686)</f>
        <v>\x27\x6D=렐</v>
      </c>
      <c r="M686" s="7" t="s">
        <v>662</v>
      </c>
      <c r="N686" s="6" t="str">
        <f aca="false">_xlfn.CONCAT("\x", DEC2HEX(D686+44, 2), "\x", H686, "=", M686)</f>
        <v>\x2F\x6D=十</v>
      </c>
    </row>
    <row r="687" customFormat="false" ht="12.8" hidden="false" customHeight="true" outlineLevel="0" collapsed="false">
      <c r="C687" s="6" t="n">
        <f aca="false">MOD(ROW()-1, 208)</f>
        <v>62</v>
      </c>
      <c r="D687" s="6" t="n">
        <f aca="false">INT((ROW()-1)/208)</f>
        <v>3</v>
      </c>
      <c r="F687" s="6" t="str">
        <f aca="false">MID(VLOOKUP(D687,$P$1:$Q$13,2,0), 1 + C687,1)</f>
        <v>렘</v>
      </c>
      <c r="G687" s="6" t="str">
        <f aca="false">DEC2HEX(D687+36, 2)</f>
        <v>27</v>
      </c>
      <c r="H687" s="6" t="str">
        <f aca="false">DEC2HEX(C687+48,2)</f>
        <v>6E</v>
      </c>
      <c r="I687" s="6" t="str">
        <f aca="false">_xlfn.CONCAT("\x", G687, "\x", H687, "=", F687)</f>
        <v>\x27\x6E=렘</v>
      </c>
      <c r="M687" s="7" t="s">
        <v>663</v>
      </c>
      <c r="N687" s="6" t="str">
        <f aca="false">_xlfn.CONCAT("\x", DEC2HEX(D687+44, 2), "\x", H687, "=", M687)</f>
        <v>\x2F\x6E=六</v>
      </c>
    </row>
    <row r="688" customFormat="false" ht="12.8" hidden="false" customHeight="true" outlineLevel="0" collapsed="false">
      <c r="C688" s="6" t="n">
        <f aca="false">MOD(ROW()-1, 208)</f>
        <v>63</v>
      </c>
      <c r="D688" s="6" t="n">
        <f aca="false">INT((ROW()-1)/208)</f>
        <v>3</v>
      </c>
      <c r="F688" s="6" t="str">
        <f aca="false">MID(VLOOKUP(D688,$P$1:$Q$13,2,0), 1 + C688,1)</f>
        <v>렙</v>
      </c>
      <c r="G688" s="6" t="str">
        <f aca="false">DEC2HEX(D688+36, 2)</f>
        <v>27</v>
      </c>
      <c r="H688" s="6" t="str">
        <f aca="false">DEC2HEX(C688+48,2)</f>
        <v>6F</v>
      </c>
      <c r="I688" s="6" t="str">
        <f aca="false">_xlfn.CONCAT("\x", G688, "\x", H688, "=", F688)</f>
        <v>\x27\x6F=렙</v>
      </c>
      <c r="M688" s="7" t="s">
        <v>664</v>
      </c>
      <c r="N688" s="6" t="str">
        <f aca="false">_xlfn.CONCAT("\x", DEC2HEX(D688+44, 2), "\x", H688, "=", M688)</f>
        <v>\x2F\x6F=剛</v>
      </c>
    </row>
    <row r="689" customFormat="false" ht="12.8" hidden="false" customHeight="true" outlineLevel="0" collapsed="false">
      <c r="C689" s="6" t="n">
        <f aca="false">MOD(ROW()-1, 208)</f>
        <v>64</v>
      </c>
      <c r="D689" s="6" t="n">
        <f aca="false">INT((ROW()-1)/208)</f>
        <v>3</v>
      </c>
      <c r="F689" s="6" t="str">
        <f aca="false">MID(VLOOKUP(D689,$P$1:$Q$13,2,0), 1 + C689,1)</f>
        <v>렛</v>
      </c>
      <c r="G689" s="6" t="str">
        <f aca="false">DEC2HEX(D689+36, 2)</f>
        <v>27</v>
      </c>
      <c r="H689" s="6" t="str">
        <f aca="false">DEC2HEX(C689+48,2)</f>
        <v>70</v>
      </c>
      <c r="I689" s="6" t="str">
        <f aca="false">_xlfn.CONCAT("\x", G689, "\x", H689, "=", F689)</f>
        <v>\x27\x70=렛</v>
      </c>
      <c r="M689" s="7" t="s">
        <v>665</v>
      </c>
      <c r="N689" s="6" t="str">
        <f aca="false">_xlfn.CONCAT("\x", DEC2HEX(D689+44, 2), "\x", H689, "=", M689)</f>
        <v>\x2F\x70=縛</v>
      </c>
    </row>
    <row r="690" customFormat="false" ht="12.8" hidden="false" customHeight="true" outlineLevel="0" collapsed="false">
      <c r="C690" s="6" t="n">
        <f aca="false">MOD(ROW()-1, 208)</f>
        <v>65</v>
      </c>
      <c r="D690" s="6" t="n">
        <f aca="false">INT((ROW()-1)/208)</f>
        <v>3</v>
      </c>
      <c r="F690" s="6" t="str">
        <f aca="false">MID(VLOOKUP(D690,$P$1:$Q$13,2,0), 1 + C690,1)</f>
        <v>렝</v>
      </c>
      <c r="G690" s="6" t="str">
        <f aca="false">DEC2HEX(D690+36, 2)</f>
        <v>27</v>
      </c>
      <c r="H690" s="6" t="str">
        <f aca="false">DEC2HEX(C690+48,2)</f>
        <v>71</v>
      </c>
      <c r="I690" s="6" t="str">
        <f aca="false">_xlfn.CONCAT("\x", G690, "\x", H690, "=", F690)</f>
        <v>\x27\x71=렝</v>
      </c>
      <c r="M690" s="7" t="s">
        <v>666</v>
      </c>
      <c r="N690" s="6" t="str">
        <f aca="false">_xlfn.CONCAT("\x", DEC2HEX(D690+44, 2), "\x", H690, "=", M690)</f>
        <v>\x2F\x71=百</v>
      </c>
    </row>
    <row r="691" customFormat="false" ht="12.8" hidden="false" customHeight="true" outlineLevel="0" collapsed="false">
      <c r="C691" s="6" t="n">
        <f aca="false">MOD(ROW()-1, 208)</f>
        <v>66</v>
      </c>
      <c r="D691" s="6" t="n">
        <f aca="false">INT((ROW()-1)/208)</f>
        <v>3</v>
      </c>
      <c r="F691" s="6" t="str">
        <f aca="false">MID(VLOOKUP(D691,$P$1:$Q$13,2,0), 1 + C691,1)</f>
        <v>려</v>
      </c>
      <c r="G691" s="6" t="str">
        <f aca="false">DEC2HEX(D691+36, 2)</f>
        <v>27</v>
      </c>
      <c r="H691" s="6" t="str">
        <f aca="false">DEC2HEX(C691+48,2)</f>
        <v>72</v>
      </c>
      <c r="I691" s="6" t="str">
        <f aca="false">_xlfn.CONCAT("\x", G691, "\x", H691, "=", F691)</f>
        <v>\x27\x72=려</v>
      </c>
      <c r="M691" s="7" t="s">
        <v>667</v>
      </c>
      <c r="N691" s="6" t="str">
        <f aca="false">_xlfn.CONCAT("\x", DEC2HEX(D691+44, 2), "\x", H691, "=", M691)</f>
        <v>\x2F\x72=丸</v>
      </c>
    </row>
    <row r="692" customFormat="false" ht="12.8" hidden="false" customHeight="true" outlineLevel="0" collapsed="false">
      <c r="C692" s="6" t="n">
        <f aca="false">MOD(ROW()-1, 208)</f>
        <v>67</v>
      </c>
      <c r="D692" s="6" t="n">
        <f aca="false">INT((ROW()-1)/208)</f>
        <v>3</v>
      </c>
      <c r="F692" s="6" t="str">
        <f aca="false">MID(VLOOKUP(D692,$P$1:$Q$13,2,0), 1 + C692,1)</f>
        <v>력</v>
      </c>
      <c r="G692" s="6" t="str">
        <f aca="false">DEC2HEX(D692+36, 2)</f>
        <v>27</v>
      </c>
      <c r="H692" s="6" t="str">
        <f aca="false">DEC2HEX(C692+48,2)</f>
        <v>73</v>
      </c>
      <c r="I692" s="6" t="str">
        <f aca="false">_xlfn.CONCAT("\x", G692, "\x", H692, "=", F692)</f>
        <v>\x27\x73=력</v>
      </c>
      <c r="M692" s="7" t="s">
        <v>668</v>
      </c>
      <c r="N692" s="6" t="str">
        <f aca="false">_xlfn.CONCAT("\x", DEC2HEX(D692+44, 2), "\x", H692, "=", M692)</f>
        <v>\x2F\x73=夜</v>
      </c>
    </row>
    <row r="693" customFormat="false" ht="12.8" hidden="false" customHeight="true" outlineLevel="0" collapsed="false">
      <c r="C693" s="6" t="n">
        <f aca="false">MOD(ROW()-1, 208)</f>
        <v>68</v>
      </c>
      <c r="D693" s="6" t="n">
        <f aca="false">INT((ROW()-1)/208)</f>
        <v>3</v>
      </c>
      <c r="F693" s="6" t="str">
        <f aca="false">MID(VLOOKUP(D693,$P$1:$Q$13,2,0), 1 + C693,1)</f>
        <v>련</v>
      </c>
      <c r="G693" s="6" t="str">
        <f aca="false">DEC2HEX(D693+36, 2)</f>
        <v>27</v>
      </c>
      <c r="H693" s="6" t="str">
        <f aca="false">DEC2HEX(C693+48,2)</f>
        <v>74</v>
      </c>
      <c r="I693" s="6" t="str">
        <f aca="false">_xlfn.CONCAT("\x", G693, "\x", H693, "=", F693)</f>
        <v>\x27\x74=련</v>
      </c>
      <c r="M693" s="7" t="s">
        <v>669</v>
      </c>
      <c r="N693" s="6" t="str">
        <f aca="false">_xlfn.CONCAT("\x", DEC2HEX(D693+44, 2), "\x", H693, "=", M693)</f>
        <v>\x2F\x74=陽</v>
      </c>
    </row>
    <row r="694" customFormat="false" ht="12.8" hidden="false" customHeight="true" outlineLevel="0" collapsed="false">
      <c r="C694" s="6" t="n">
        <f aca="false">MOD(ROW()-1, 208)</f>
        <v>69</v>
      </c>
      <c r="D694" s="6" t="n">
        <f aca="false">INT((ROW()-1)/208)</f>
        <v>3</v>
      </c>
      <c r="F694" s="6" t="str">
        <f aca="false">MID(VLOOKUP(D694,$P$1:$Q$13,2,0), 1 + C694,1)</f>
        <v>렬</v>
      </c>
      <c r="G694" s="6" t="str">
        <f aca="false">DEC2HEX(D694+36, 2)</f>
        <v>27</v>
      </c>
      <c r="H694" s="6" t="str">
        <f aca="false">DEC2HEX(C694+48,2)</f>
        <v>75</v>
      </c>
      <c r="I694" s="6" t="str">
        <f aca="false">_xlfn.CONCAT("\x", G694, "\x", H694, "=", F694)</f>
        <v>\x27\x75=렬</v>
      </c>
      <c r="M694" s="7" t="s">
        <v>670</v>
      </c>
      <c r="N694" s="6" t="str">
        <f aca="false">_xlfn.CONCAT("\x", DEC2HEX(D694+44, 2), "\x", H694, "=", M694)</f>
        <v>\x2F\x75=術</v>
      </c>
    </row>
    <row r="695" customFormat="false" ht="12.8" hidden="false" customHeight="true" outlineLevel="0" collapsed="false">
      <c r="C695" s="6" t="n">
        <f aca="false">MOD(ROW()-1, 208)</f>
        <v>70</v>
      </c>
      <c r="D695" s="6" t="n">
        <f aca="false">INT((ROW()-1)/208)</f>
        <v>3</v>
      </c>
      <c r="F695" s="6" t="str">
        <f aca="false">MID(VLOOKUP(D695,$P$1:$Q$13,2,0), 1 + C695,1)</f>
        <v>렴</v>
      </c>
      <c r="G695" s="6" t="str">
        <f aca="false">DEC2HEX(D695+36, 2)</f>
        <v>27</v>
      </c>
      <c r="H695" s="6" t="str">
        <f aca="false">DEC2HEX(C695+48,2)</f>
        <v>76</v>
      </c>
      <c r="I695" s="6" t="str">
        <f aca="false">_xlfn.CONCAT("\x", G695, "\x", H695, "=", F695)</f>
        <v>\x27\x76=렴</v>
      </c>
      <c r="M695" s="7" t="s">
        <v>671</v>
      </c>
      <c r="N695" s="6" t="str">
        <f aca="false">_xlfn.CONCAT("\x", DEC2HEX(D695+44, 2), "\x", H695, "=", M695)</f>
        <v>\x2F\x76=盾</v>
      </c>
    </row>
    <row r="696" customFormat="false" ht="12.8" hidden="false" customHeight="true" outlineLevel="0" collapsed="false">
      <c r="C696" s="6" t="n">
        <f aca="false">MOD(ROW()-1, 208)</f>
        <v>71</v>
      </c>
      <c r="D696" s="6" t="n">
        <f aca="false">INT((ROW()-1)/208)</f>
        <v>3</v>
      </c>
      <c r="F696" s="6" t="str">
        <f aca="false">MID(VLOOKUP(D696,$P$1:$Q$13,2,0), 1 + C696,1)</f>
        <v>렵</v>
      </c>
      <c r="G696" s="6" t="str">
        <f aca="false">DEC2HEX(D696+36, 2)</f>
        <v>27</v>
      </c>
      <c r="H696" s="6" t="str">
        <f aca="false">DEC2HEX(C696+48,2)</f>
        <v>77</v>
      </c>
      <c r="I696" s="6" t="str">
        <f aca="false">_xlfn.CONCAT("\x", G696, "\x", H696, "=", F696)</f>
        <v>\x27\x77=렵</v>
      </c>
      <c r="M696" s="7" t="s">
        <v>672</v>
      </c>
      <c r="N696" s="6" t="str">
        <f aca="false">_xlfn.CONCAT("\x", DEC2HEX(D696+44, 2), "\x", H696, "=", M696)</f>
        <v>\x2F\x77=神</v>
      </c>
    </row>
    <row r="697" customFormat="false" ht="12.8" hidden="false" customHeight="true" outlineLevel="0" collapsed="false">
      <c r="C697" s="6" t="n">
        <f aca="false">MOD(ROW()-1, 208)</f>
        <v>72</v>
      </c>
      <c r="D697" s="6" t="n">
        <f aca="false">INT((ROW()-1)/208)</f>
        <v>3</v>
      </c>
      <c r="F697" s="6" t="str">
        <f aca="false">MID(VLOOKUP(D697,$P$1:$Q$13,2,0), 1 + C697,1)</f>
        <v>렷</v>
      </c>
      <c r="G697" s="6" t="str">
        <f aca="false">DEC2HEX(D697+36, 2)</f>
        <v>27</v>
      </c>
      <c r="H697" s="6" t="str">
        <f aca="false">DEC2HEX(C697+48,2)</f>
        <v>78</v>
      </c>
      <c r="I697" s="6" t="str">
        <f aca="false">_xlfn.CONCAT("\x", G697, "\x", H697, "=", F697)</f>
        <v>\x27\x78=렷</v>
      </c>
      <c r="M697" s="7" t="s">
        <v>673</v>
      </c>
      <c r="N697" s="6" t="str">
        <f aca="false">_xlfn.CONCAT("\x", DEC2HEX(D697+44, 2), "\x", H697, "=", M697)</f>
        <v>\x2F\x78=八</v>
      </c>
    </row>
    <row r="698" customFormat="false" ht="12.8" hidden="false" customHeight="true" outlineLevel="0" collapsed="false">
      <c r="C698" s="6" t="n">
        <f aca="false">MOD(ROW()-1, 208)</f>
        <v>73</v>
      </c>
      <c r="D698" s="6" t="n">
        <f aca="false">INT((ROW()-1)/208)</f>
        <v>3</v>
      </c>
      <c r="F698" s="6" t="str">
        <f aca="false">MID(VLOOKUP(D698,$P$1:$Q$13,2,0), 1 + C698,1)</f>
        <v>렸</v>
      </c>
      <c r="G698" s="6" t="str">
        <f aca="false">DEC2HEX(D698+36, 2)</f>
        <v>27</v>
      </c>
      <c r="H698" s="6" t="str">
        <f aca="false">DEC2HEX(C698+48,2)</f>
        <v>79</v>
      </c>
      <c r="I698" s="6" t="str">
        <f aca="false">_xlfn.CONCAT("\x", G698, "\x", H698, "=", F698)</f>
        <v>\x27\x79=렸</v>
      </c>
      <c r="M698" s="7" t="s">
        <v>674</v>
      </c>
      <c r="N698" s="6" t="str">
        <f aca="false">_xlfn.CONCAT("\x", DEC2HEX(D698+44, 2), "\x", H698, "=", M698)</f>
        <v>\x2F\x79=救</v>
      </c>
    </row>
    <row r="699" customFormat="false" ht="12.8" hidden="false" customHeight="true" outlineLevel="0" collapsed="false">
      <c r="C699" s="6" t="n">
        <f aca="false">MOD(ROW()-1, 208)</f>
        <v>74</v>
      </c>
      <c r="D699" s="6" t="n">
        <f aca="false">INT((ROW()-1)/208)</f>
        <v>3</v>
      </c>
      <c r="F699" s="6" t="str">
        <f aca="false">MID(VLOOKUP(D699,$P$1:$Q$13,2,0), 1 + C699,1)</f>
        <v>령</v>
      </c>
      <c r="G699" s="6" t="str">
        <f aca="false">DEC2HEX(D699+36, 2)</f>
        <v>27</v>
      </c>
      <c r="H699" s="6" t="str">
        <f aca="false">DEC2HEX(C699+48,2)</f>
        <v>7A</v>
      </c>
      <c r="I699" s="6" t="str">
        <f aca="false">_xlfn.CONCAT("\x", G699, "\x", H699, "=", F699)</f>
        <v>\x27\x7A=령</v>
      </c>
      <c r="M699" s="7" t="s">
        <v>675</v>
      </c>
      <c r="N699" s="6" t="str">
        <f aca="false">_xlfn.CONCAT("\x", DEC2HEX(D699+44, 2), "\x", H699, "=", M699)</f>
        <v>\x2F\x7A=退</v>
      </c>
    </row>
    <row r="700" customFormat="false" ht="12.8" hidden="false" customHeight="true" outlineLevel="0" collapsed="false">
      <c r="C700" s="6" t="n">
        <f aca="false">MOD(ROW()-1, 208)</f>
        <v>75</v>
      </c>
      <c r="D700" s="6" t="n">
        <f aca="false">INT((ROW()-1)/208)</f>
        <v>3</v>
      </c>
      <c r="F700" s="6" t="str">
        <f aca="false">MID(VLOOKUP(D700,$P$1:$Q$13,2,0), 1 + C700,1)</f>
        <v>례</v>
      </c>
      <c r="G700" s="6" t="str">
        <f aca="false">DEC2HEX(D700+36, 2)</f>
        <v>27</v>
      </c>
      <c r="H700" s="6" t="str">
        <f aca="false">DEC2HEX(C700+48,2)</f>
        <v>7B</v>
      </c>
      <c r="I700" s="6" t="str">
        <f aca="false">_xlfn.CONCAT("\x", G700, "\x", H700, "=", F700)</f>
        <v>\x27\x7B=례</v>
      </c>
      <c r="M700" s="7" t="s">
        <v>676</v>
      </c>
      <c r="N700" s="6" t="str">
        <f aca="false">_xlfn.CONCAT("\x", DEC2HEX(D700+44, 2), "\x", H700, "=", M700)</f>
        <v>\x2F\x7B=紅</v>
      </c>
    </row>
    <row r="701" customFormat="false" ht="12.8" hidden="false" customHeight="true" outlineLevel="0" collapsed="false">
      <c r="C701" s="6" t="n">
        <f aca="false">MOD(ROW()-1, 208)</f>
        <v>76</v>
      </c>
      <c r="D701" s="6" t="n">
        <f aca="false">INT((ROW()-1)/208)</f>
        <v>3</v>
      </c>
      <c r="F701" s="6" t="str">
        <f aca="false">MID(VLOOKUP(D701,$P$1:$Q$13,2,0), 1 + C701,1)</f>
        <v>롄</v>
      </c>
      <c r="G701" s="6" t="str">
        <f aca="false">DEC2HEX(D701+36, 2)</f>
        <v>27</v>
      </c>
      <c r="H701" s="6" t="str">
        <f aca="false">DEC2HEX(C701+48,2)</f>
        <v>7C</v>
      </c>
      <c r="I701" s="6" t="str">
        <f aca="false">_xlfn.CONCAT("\x", G701, "\x", H701, "=", F701)</f>
        <v>\x27\x7C=롄</v>
      </c>
      <c r="M701" s="7" t="s">
        <v>677</v>
      </c>
      <c r="N701" s="6" t="str">
        <f aca="false">_xlfn.CONCAT("\x", DEC2HEX(D701+44, 2), "\x", H701, "=", M701)</f>
        <v>\x2F\x7C=屈</v>
      </c>
    </row>
    <row r="702" customFormat="false" ht="12.8" hidden="false" customHeight="true" outlineLevel="0" collapsed="false">
      <c r="C702" s="6" t="n">
        <f aca="false">MOD(ROW()-1, 208)</f>
        <v>77</v>
      </c>
      <c r="D702" s="6" t="n">
        <f aca="false">INT((ROW()-1)/208)</f>
        <v>3</v>
      </c>
      <c r="F702" s="6" t="str">
        <f aca="false">MID(VLOOKUP(D702,$P$1:$Q$13,2,0), 1 + C702,1)</f>
        <v>롑</v>
      </c>
      <c r="G702" s="6" t="str">
        <f aca="false">DEC2HEX(D702+36, 2)</f>
        <v>27</v>
      </c>
      <c r="H702" s="6" t="str">
        <f aca="false">DEC2HEX(C702+48,2)</f>
        <v>7D</v>
      </c>
      <c r="I702" s="6" t="str">
        <f aca="false">_xlfn.CONCAT("\x", G702, "\x", H702, "=", F702)</f>
        <v>\x27\x7D=롑</v>
      </c>
      <c r="M702" s="7" t="s">
        <v>678</v>
      </c>
      <c r="N702" s="6" t="str">
        <f aca="false">_xlfn.CONCAT("\x", DEC2HEX(D702+44, 2), "\x", H702, "=", M702)</f>
        <v>\x2F\x7D=探</v>
      </c>
    </row>
    <row r="703" customFormat="false" ht="12.8" hidden="false" customHeight="true" outlineLevel="0" collapsed="false">
      <c r="C703" s="6" t="n">
        <f aca="false">MOD(ROW()-1, 208)</f>
        <v>78</v>
      </c>
      <c r="D703" s="6" t="n">
        <f aca="false">INT((ROW()-1)/208)</f>
        <v>3</v>
      </c>
      <c r="F703" s="6" t="str">
        <f aca="false">MID(VLOOKUP(D703,$P$1:$Q$13,2,0), 1 + C703,1)</f>
        <v>롓</v>
      </c>
      <c r="G703" s="6" t="str">
        <f aca="false">DEC2HEX(D703+36, 2)</f>
        <v>27</v>
      </c>
      <c r="H703" s="6" t="str">
        <f aca="false">DEC2HEX(C703+48,2)</f>
        <v>7E</v>
      </c>
      <c r="I703" s="6" t="str">
        <f aca="false">_xlfn.CONCAT("\x", G703, "\x", H703, "=", F703)</f>
        <v>\x27\x7E=롓</v>
      </c>
      <c r="M703" s="7" t="s">
        <v>679</v>
      </c>
      <c r="N703" s="6" t="str">
        <f aca="false">_xlfn.CONCAT("\x", DEC2HEX(D703+44, 2), "\x", H703, "=", M703)</f>
        <v>\x2F\x7E=求</v>
      </c>
    </row>
    <row r="704" customFormat="false" ht="12.8" hidden="false" customHeight="true" outlineLevel="0" collapsed="false">
      <c r="C704" s="6" t="n">
        <f aca="false">MOD(ROW()-1, 208)</f>
        <v>79</v>
      </c>
      <c r="D704" s="6" t="n">
        <f aca="false">INT((ROW()-1)/208)</f>
        <v>3</v>
      </c>
      <c r="F704" s="6" t="str">
        <f aca="false">MID(VLOOKUP(D704,$P$1:$Q$13,2,0), 1 + C704,1)</f>
        <v>로</v>
      </c>
      <c r="G704" s="6" t="str">
        <f aca="false">DEC2HEX(D704+36, 2)</f>
        <v>27</v>
      </c>
      <c r="H704" s="6" t="str">
        <f aca="false">DEC2HEX(C704+48,2)</f>
        <v>7F</v>
      </c>
      <c r="I704" s="6" t="str">
        <f aca="false">_xlfn.CONCAT("\x", G704, "\x", H704, "=", F704)</f>
        <v>\x27\x7F=로</v>
      </c>
      <c r="M704" s="7" t="s">
        <v>680</v>
      </c>
      <c r="N704" s="6" t="str">
        <f aca="false">_xlfn.CONCAT("\x", DEC2HEX(D704+44, 2), "\x", H704, "=", M704)</f>
        <v>\x2F\x7F=希</v>
      </c>
    </row>
    <row r="705" customFormat="false" ht="12.8" hidden="false" customHeight="true" outlineLevel="0" collapsed="false">
      <c r="C705" s="6" t="n">
        <f aca="false">MOD(ROW()-1, 208)</f>
        <v>80</v>
      </c>
      <c r="D705" s="6" t="n">
        <f aca="false">INT((ROW()-1)/208)</f>
        <v>3</v>
      </c>
      <c r="F705" s="6" t="str">
        <f aca="false">MID(VLOOKUP(D705,$P$1:$Q$13,2,0), 1 + C705,1)</f>
        <v>록</v>
      </c>
      <c r="G705" s="6" t="str">
        <f aca="false">DEC2HEX(D705+36, 2)</f>
        <v>27</v>
      </c>
      <c r="H705" s="6" t="str">
        <f aca="false">DEC2HEX(C705+48,2)</f>
        <v>80</v>
      </c>
      <c r="I705" s="6" t="str">
        <f aca="false">_xlfn.CONCAT("\x", G705, "\x", H705, "=", F705)</f>
        <v>\x27\x80=록</v>
      </c>
      <c r="M705" s="7" t="s">
        <v>681</v>
      </c>
      <c r="N705" s="6" t="str">
        <f aca="false">_xlfn.CONCAT("\x", DEC2HEX(D705+44, 2), "\x", H705, "=", M705)</f>
        <v>\x2F\x80=望</v>
      </c>
    </row>
    <row r="706" customFormat="false" ht="12.8" hidden="false" customHeight="true" outlineLevel="0" collapsed="false">
      <c r="C706" s="6" t="n">
        <f aca="false">MOD(ROW()-1, 208)</f>
        <v>81</v>
      </c>
      <c r="D706" s="6" t="n">
        <f aca="false">INT((ROW()-1)/208)</f>
        <v>3</v>
      </c>
      <c r="F706" s="6" t="str">
        <f aca="false">MID(VLOOKUP(D706,$P$1:$Q$13,2,0), 1 + C706,1)</f>
        <v>론</v>
      </c>
      <c r="G706" s="6" t="str">
        <f aca="false">DEC2HEX(D706+36, 2)</f>
        <v>27</v>
      </c>
      <c r="H706" s="6" t="str">
        <f aca="false">DEC2HEX(C706+48,2)</f>
        <v>81</v>
      </c>
      <c r="I706" s="6" t="str">
        <f aca="false">_xlfn.CONCAT("\x", G706, "\x", H706, "=", F706)</f>
        <v>\x27\x81=론</v>
      </c>
      <c r="M706" s="7" t="s">
        <v>682</v>
      </c>
      <c r="N706" s="6" t="str">
        <f aca="false">_xlfn.CONCAT("\x", DEC2HEX(D706+44, 2), "\x", H706, "=", M706)</f>
        <v>\x2F\x81=精</v>
      </c>
    </row>
    <row r="707" customFormat="false" ht="12.8" hidden="false" customHeight="true" outlineLevel="0" collapsed="false">
      <c r="C707" s="6" t="n">
        <f aca="false">MOD(ROW()-1, 208)</f>
        <v>82</v>
      </c>
      <c r="D707" s="6" t="n">
        <f aca="false">INT((ROW()-1)/208)</f>
        <v>3</v>
      </c>
      <c r="F707" s="6" t="str">
        <f aca="false">MID(VLOOKUP(D707,$P$1:$Q$13,2,0), 1 + C707,1)</f>
        <v>롤</v>
      </c>
      <c r="G707" s="6" t="str">
        <f aca="false">DEC2HEX(D707+36, 2)</f>
        <v>27</v>
      </c>
      <c r="H707" s="6" t="str">
        <f aca="false">DEC2HEX(C707+48,2)</f>
        <v>82</v>
      </c>
      <c r="I707" s="6" t="str">
        <f aca="false">_xlfn.CONCAT("\x", G707, "\x", H707, "=", F707)</f>
        <v>\x27\x82=롤</v>
      </c>
      <c r="M707" s="7" t="s">
        <v>683</v>
      </c>
      <c r="N707" s="6" t="str">
        <f aca="false">_xlfn.CONCAT("\x", DEC2HEX(D707+44, 2), "\x", H707, "=", M707)</f>
        <v>\x2F\x82=虹</v>
      </c>
    </row>
    <row r="708" customFormat="false" ht="12.8" hidden="false" customHeight="true" outlineLevel="0" collapsed="false">
      <c r="C708" s="6" t="n">
        <f aca="false">MOD(ROW()-1, 208)</f>
        <v>83</v>
      </c>
      <c r="D708" s="6" t="n">
        <f aca="false">INT((ROW()-1)/208)</f>
        <v>3</v>
      </c>
      <c r="F708" s="6" t="str">
        <f aca="false">MID(VLOOKUP(D708,$P$1:$Q$13,2,0), 1 + C708,1)</f>
        <v>롬</v>
      </c>
      <c r="G708" s="6" t="str">
        <f aca="false">DEC2HEX(D708+36, 2)</f>
        <v>27</v>
      </c>
      <c r="H708" s="6" t="str">
        <f aca="false">DEC2HEX(C708+48,2)</f>
        <v>83</v>
      </c>
      <c r="I708" s="6" t="str">
        <f aca="false">_xlfn.CONCAT("\x", G708, "\x", H708, "=", F708)</f>
        <v>\x27\x83=롬</v>
      </c>
      <c r="M708" s="7" t="s">
        <v>684</v>
      </c>
      <c r="N708" s="6" t="str">
        <f aca="false">_xlfn.CONCAT("\x", DEC2HEX(D708+44, 2), "\x", H708, "=", M708)</f>
        <v>\x2F\x83=楽</v>
      </c>
    </row>
    <row r="709" customFormat="false" ht="12.8" hidden="false" customHeight="true" outlineLevel="0" collapsed="false">
      <c r="C709" s="6" t="n">
        <f aca="false">MOD(ROW()-1, 208)</f>
        <v>84</v>
      </c>
      <c r="D709" s="6" t="n">
        <f aca="false">INT((ROW()-1)/208)</f>
        <v>3</v>
      </c>
      <c r="F709" s="6" t="str">
        <f aca="false">MID(VLOOKUP(D709,$P$1:$Q$13,2,0), 1 + C709,1)</f>
        <v>롭</v>
      </c>
      <c r="G709" s="6" t="str">
        <f aca="false">DEC2HEX(D709+36, 2)</f>
        <v>27</v>
      </c>
      <c r="H709" s="6" t="str">
        <f aca="false">DEC2HEX(C709+48,2)</f>
        <v>84</v>
      </c>
      <c r="I709" s="6" t="str">
        <f aca="false">_xlfn.CONCAT("\x", G709, "\x", H709, "=", F709)</f>
        <v>\x27\x84=롭</v>
      </c>
      <c r="M709" s="7" t="s">
        <v>685</v>
      </c>
      <c r="N709" s="6" t="str">
        <f aca="false">_xlfn.CONCAT("\x", DEC2HEX(D709+44, 2), "\x", H709, "=", M709)</f>
        <v>\x2F\x84=邪</v>
      </c>
    </row>
    <row r="710" customFormat="false" ht="12.8" hidden="false" customHeight="true" outlineLevel="0" collapsed="false">
      <c r="C710" s="6" t="n">
        <f aca="false">MOD(ROW()-1, 208)</f>
        <v>85</v>
      </c>
      <c r="D710" s="6" t="n">
        <f aca="false">INT((ROW()-1)/208)</f>
        <v>3</v>
      </c>
      <c r="F710" s="6" t="str">
        <f aca="false">MID(VLOOKUP(D710,$P$1:$Q$13,2,0), 1 + C710,1)</f>
        <v>롯</v>
      </c>
      <c r="G710" s="6" t="str">
        <f aca="false">DEC2HEX(D710+36, 2)</f>
        <v>27</v>
      </c>
      <c r="H710" s="6" t="str">
        <f aca="false">DEC2HEX(C710+48,2)</f>
        <v>85</v>
      </c>
      <c r="I710" s="6" t="str">
        <f aca="false">_xlfn.CONCAT("\x", G710, "\x", H710, "=", F710)</f>
        <v>\x27\x85=롯</v>
      </c>
      <c r="M710" s="7" t="s">
        <v>686</v>
      </c>
      <c r="N710" s="6" t="str">
        <f aca="false">_xlfn.CONCAT("\x", DEC2HEX(D710+44, 2), "\x", H710, "=", M710)</f>
        <v>\x2F\x85=烈</v>
      </c>
    </row>
    <row r="711" customFormat="false" ht="12.8" hidden="false" customHeight="true" outlineLevel="0" collapsed="false">
      <c r="C711" s="6" t="n">
        <f aca="false">MOD(ROW()-1, 208)</f>
        <v>86</v>
      </c>
      <c r="D711" s="6" t="n">
        <f aca="false">INT((ROW()-1)/208)</f>
        <v>3</v>
      </c>
      <c r="F711" s="6" t="str">
        <f aca="false">MID(VLOOKUP(D711,$P$1:$Q$13,2,0), 1 + C711,1)</f>
        <v>롱</v>
      </c>
      <c r="G711" s="6" t="str">
        <f aca="false">DEC2HEX(D711+36, 2)</f>
        <v>27</v>
      </c>
      <c r="H711" s="6" t="str">
        <f aca="false">DEC2HEX(C711+48,2)</f>
        <v>86</v>
      </c>
      <c r="I711" s="6" t="str">
        <f aca="false">_xlfn.CONCAT("\x", G711, "\x", H711, "=", F711)</f>
        <v>\x27\x86=롱</v>
      </c>
      <c r="M711" s="7" t="s">
        <v>687</v>
      </c>
      <c r="N711" s="6" t="str">
        <f aca="false">_xlfn.CONCAT("\x", DEC2HEX(D711+44, 2), "\x", H711, "=", M711)</f>
        <v>\x2F\x86=静</v>
      </c>
    </row>
    <row r="712" customFormat="false" ht="12.8" hidden="false" customHeight="true" outlineLevel="0" collapsed="false">
      <c r="C712" s="6" t="n">
        <f aca="false">MOD(ROW()-1, 208)</f>
        <v>87</v>
      </c>
      <c r="D712" s="6" t="n">
        <f aca="false">INT((ROW()-1)/208)</f>
        <v>3</v>
      </c>
      <c r="F712" s="6" t="str">
        <f aca="false">MID(VLOOKUP(D712,$P$1:$Q$13,2,0), 1 + C712,1)</f>
        <v>롸</v>
      </c>
      <c r="G712" s="6" t="str">
        <f aca="false">DEC2HEX(D712+36, 2)</f>
        <v>27</v>
      </c>
      <c r="H712" s="6" t="str">
        <f aca="false">DEC2HEX(C712+48,2)</f>
        <v>87</v>
      </c>
      <c r="I712" s="6" t="str">
        <f aca="false">_xlfn.CONCAT("\x", G712, "\x", H712, "=", F712)</f>
        <v>\x27\x87=롸</v>
      </c>
      <c r="M712" s="7" t="s">
        <v>688</v>
      </c>
      <c r="N712" s="6" t="str">
        <f aca="false">_xlfn.CONCAT("\x", DEC2HEX(D712+44, 2), "\x", H712, "=", M712)</f>
        <v>\x2F\x87=冥</v>
      </c>
    </row>
    <row r="713" customFormat="false" ht="12.8" hidden="false" customHeight="true" outlineLevel="0" collapsed="false">
      <c r="C713" s="6" t="n">
        <f aca="false">MOD(ROW()-1, 208)</f>
        <v>88</v>
      </c>
      <c r="D713" s="6" t="n">
        <f aca="false">INT((ROW()-1)/208)</f>
        <v>3</v>
      </c>
      <c r="F713" s="6" t="str">
        <f aca="false">MID(VLOOKUP(D713,$P$1:$Q$13,2,0), 1 + C713,1)</f>
        <v>롼</v>
      </c>
      <c r="G713" s="6" t="str">
        <f aca="false">DEC2HEX(D713+36, 2)</f>
        <v>27</v>
      </c>
      <c r="H713" s="6" t="str">
        <f aca="false">DEC2HEX(C713+48,2)</f>
        <v>88</v>
      </c>
      <c r="I713" s="6" t="str">
        <f aca="false">_xlfn.CONCAT("\x", G713, "\x", H713, "=", F713)</f>
        <v>\x27\x88=롼</v>
      </c>
      <c r="M713" s="7" t="s">
        <v>689</v>
      </c>
      <c r="N713" s="6" t="str">
        <f aca="false">_xlfn.CONCAT("\x", DEC2HEX(D713+44, 2), "\x", H713, "=", M713)</f>
        <v>\x2F\x88=安</v>
      </c>
    </row>
    <row r="714" customFormat="false" ht="12.8" hidden="false" customHeight="true" outlineLevel="0" collapsed="false">
      <c r="C714" s="6" t="n">
        <f aca="false">MOD(ROW()-1, 208)</f>
        <v>89</v>
      </c>
      <c r="D714" s="6" t="n">
        <f aca="false">INT((ROW()-1)/208)</f>
        <v>3</v>
      </c>
      <c r="F714" s="6" t="str">
        <f aca="false">MID(VLOOKUP(D714,$P$1:$Q$13,2,0), 1 + C714,1)</f>
        <v>뢍</v>
      </c>
      <c r="G714" s="6" t="str">
        <f aca="false">DEC2HEX(D714+36, 2)</f>
        <v>27</v>
      </c>
      <c r="H714" s="6" t="str">
        <f aca="false">DEC2HEX(C714+48,2)</f>
        <v>89</v>
      </c>
      <c r="I714" s="6" t="str">
        <f aca="false">_xlfn.CONCAT("\x", G714, "\x", H714, "=", F714)</f>
        <v>\x27\x89=뢍</v>
      </c>
      <c r="M714" s="7" t="s">
        <v>690</v>
      </c>
      <c r="N714" s="6" t="str">
        <f aca="false">_xlfn.CONCAT("\x", DEC2HEX(D714+44, 2), "\x", H714, "=", M714)</f>
        <v>\x2F\x89=熱</v>
      </c>
    </row>
    <row r="715" customFormat="false" ht="12.8" hidden="false" customHeight="true" outlineLevel="0" collapsed="false">
      <c r="C715" s="6" t="n">
        <f aca="false">MOD(ROW()-1, 208)</f>
        <v>90</v>
      </c>
      <c r="D715" s="6" t="n">
        <f aca="false">INT((ROW()-1)/208)</f>
        <v>3</v>
      </c>
      <c r="F715" s="6" t="str">
        <f aca="false">MID(VLOOKUP(D715,$P$1:$Q$13,2,0), 1 + C715,1)</f>
        <v>뢨</v>
      </c>
      <c r="G715" s="6" t="str">
        <f aca="false">DEC2HEX(D715+36, 2)</f>
        <v>27</v>
      </c>
      <c r="H715" s="6" t="str">
        <f aca="false">DEC2HEX(C715+48,2)</f>
        <v>8A</v>
      </c>
      <c r="I715" s="6" t="str">
        <f aca="false">_xlfn.CONCAT("\x", G715, "\x", H715, "=", F715)</f>
        <v>\x27\x8A=뢨</v>
      </c>
      <c r="M715" s="7" t="s">
        <v>691</v>
      </c>
      <c r="N715" s="6" t="str">
        <f aca="false">_xlfn.CONCAT("\x", DEC2HEX(D715+44, 2), "\x", H715, "=", M715)</f>
        <v>\x2F\x8A=寒</v>
      </c>
    </row>
    <row r="716" customFormat="false" ht="12.8" hidden="false" customHeight="true" outlineLevel="0" collapsed="false">
      <c r="C716" s="6" t="n">
        <f aca="false">MOD(ROW()-1, 208)</f>
        <v>91</v>
      </c>
      <c r="D716" s="6" t="n">
        <f aca="false">INT((ROW()-1)/208)</f>
        <v>3</v>
      </c>
      <c r="F716" s="6" t="str">
        <f aca="false">MID(VLOOKUP(D716,$P$1:$Q$13,2,0), 1 + C716,1)</f>
        <v>뢰</v>
      </c>
      <c r="G716" s="6" t="str">
        <f aca="false">DEC2HEX(D716+36, 2)</f>
        <v>27</v>
      </c>
      <c r="H716" s="6" t="str">
        <f aca="false">DEC2HEX(C716+48,2)</f>
        <v>8B</v>
      </c>
      <c r="I716" s="6" t="str">
        <f aca="false">_xlfn.CONCAT("\x", G716, "\x", H716, "=", F716)</f>
        <v>\x27\x8B=뢰</v>
      </c>
      <c r="M716" s="7" t="s">
        <v>692</v>
      </c>
      <c r="N716" s="6" t="str">
        <f aca="false">_xlfn.CONCAT("\x", DEC2HEX(D716+44, 2), "\x", H716, "=", M716)</f>
        <v>\x2F\x8B=散</v>
      </c>
    </row>
    <row r="717" customFormat="false" ht="12.8" hidden="false" customHeight="true" outlineLevel="0" collapsed="false">
      <c r="C717" s="6" t="n">
        <f aca="false">MOD(ROW()-1, 208)</f>
        <v>92</v>
      </c>
      <c r="D717" s="6" t="n">
        <f aca="false">INT((ROW()-1)/208)</f>
        <v>3</v>
      </c>
      <c r="F717" s="6" t="str">
        <f aca="false">MID(VLOOKUP(D717,$P$1:$Q$13,2,0), 1 + C717,1)</f>
        <v>뢴</v>
      </c>
      <c r="G717" s="6" t="str">
        <f aca="false">DEC2HEX(D717+36, 2)</f>
        <v>27</v>
      </c>
      <c r="H717" s="6" t="str">
        <f aca="false">DEC2HEX(C717+48,2)</f>
        <v>8C</v>
      </c>
      <c r="I717" s="6" t="str">
        <f aca="false">_xlfn.CONCAT("\x", G717, "\x", H717, "=", F717)</f>
        <v>\x27\x8C=뢴</v>
      </c>
      <c r="M717" s="7" t="s">
        <v>693</v>
      </c>
      <c r="N717" s="6" t="str">
        <f aca="false">_xlfn.CONCAT("\x", DEC2HEX(D717+44, 2), "\x", H717, "=", M717)</f>
        <v>\x2F\x8C=達</v>
      </c>
    </row>
    <row r="718" customFormat="false" ht="12.8" hidden="false" customHeight="true" outlineLevel="0" collapsed="false">
      <c r="C718" s="6" t="n">
        <f aca="false">MOD(ROW()-1, 208)</f>
        <v>93</v>
      </c>
      <c r="D718" s="6" t="n">
        <f aca="false">INT((ROW()-1)/208)</f>
        <v>3</v>
      </c>
      <c r="F718" s="6" t="str">
        <f aca="false">MID(VLOOKUP(D718,$P$1:$Q$13,2,0), 1 + C718,1)</f>
        <v>뢸</v>
      </c>
      <c r="G718" s="6" t="str">
        <f aca="false">DEC2HEX(D718+36, 2)</f>
        <v>27</v>
      </c>
      <c r="H718" s="6" t="str">
        <f aca="false">DEC2HEX(C718+48,2)</f>
        <v>8D</v>
      </c>
      <c r="I718" s="6" t="str">
        <f aca="false">_xlfn.CONCAT("\x", G718, "\x", H718, "=", F718)</f>
        <v>\x27\x8D=뢸</v>
      </c>
      <c r="M718" s="7" t="s">
        <v>694</v>
      </c>
      <c r="N718" s="6" t="str">
        <f aca="false">_xlfn.CONCAT("\x", DEC2HEX(D718+44, 2), "\x", H718, "=", M718)</f>
        <v>\x2F\x8D=四</v>
      </c>
    </row>
    <row r="719" customFormat="false" ht="12.8" hidden="false" customHeight="true" outlineLevel="0" collapsed="false">
      <c r="C719" s="6" t="n">
        <f aca="false">MOD(ROW()-1, 208)</f>
        <v>94</v>
      </c>
      <c r="D719" s="6" t="n">
        <f aca="false">INT((ROW()-1)/208)</f>
        <v>3</v>
      </c>
      <c r="F719" s="6" t="str">
        <f aca="false">MID(VLOOKUP(D719,$P$1:$Q$13,2,0), 1 + C719,1)</f>
        <v>룀</v>
      </c>
      <c r="G719" s="6" t="str">
        <f aca="false">DEC2HEX(D719+36, 2)</f>
        <v>27</v>
      </c>
      <c r="H719" s="6" t="str">
        <f aca="false">DEC2HEX(C719+48,2)</f>
        <v>8E</v>
      </c>
      <c r="I719" s="6" t="str">
        <f aca="false">_xlfn.CONCAT("\x", G719, "\x", H719, "=", F719)</f>
        <v>\x27\x8E=룀</v>
      </c>
      <c r="M719" s="7" t="s">
        <v>695</v>
      </c>
      <c r="N719" s="6" t="str">
        <f aca="false">_xlfn.CONCAT("\x", DEC2HEX(D719+44, 2), "\x", H719, "=", M719)</f>
        <v>\x2F\x8E=緑</v>
      </c>
    </row>
    <row r="720" customFormat="false" ht="12.8" hidden="false" customHeight="true" outlineLevel="0" collapsed="false">
      <c r="C720" s="6" t="n">
        <f aca="false">MOD(ROW()-1, 208)</f>
        <v>95</v>
      </c>
      <c r="D720" s="6" t="n">
        <f aca="false">INT((ROW()-1)/208)</f>
        <v>3</v>
      </c>
      <c r="F720" s="6" t="str">
        <f aca="false">MID(VLOOKUP(D720,$P$1:$Q$13,2,0), 1 + C720,1)</f>
        <v>룁</v>
      </c>
      <c r="G720" s="6" t="str">
        <f aca="false">DEC2HEX(D720+36, 2)</f>
        <v>27</v>
      </c>
      <c r="H720" s="6" t="str">
        <f aca="false">DEC2HEX(C720+48,2)</f>
        <v>8F</v>
      </c>
      <c r="I720" s="6" t="str">
        <f aca="false">_xlfn.CONCAT("\x", G720, "\x", H720, "=", F720)</f>
        <v>\x27\x8F=룁</v>
      </c>
      <c r="M720" s="7" t="s">
        <v>696</v>
      </c>
      <c r="N720" s="6" t="str">
        <f aca="false">_xlfn.CONCAT("\x", DEC2HEX(D720+44, 2), "\x", H720, "=", M720)</f>
        <v>\x2F\x8F=栄</v>
      </c>
    </row>
    <row r="721" customFormat="false" ht="12.8" hidden="false" customHeight="true" outlineLevel="0" collapsed="false">
      <c r="C721" s="6" t="n">
        <f aca="false">MOD(ROW()-1, 208)</f>
        <v>96</v>
      </c>
      <c r="D721" s="6" t="n">
        <f aca="false">INT((ROW()-1)/208)</f>
        <v>3</v>
      </c>
      <c r="F721" s="6" t="str">
        <f aca="false">MID(VLOOKUP(D721,$P$1:$Q$13,2,0), 1 + C721,1)</f>
        <v>룃</v>
      </c>
      <c r="G721" s="6" t="str">
        <f aca="false">DEC2HEX(D721+36, 2)</f>
        <v>27</v>
      </c>
      <c r="H721" s="6" t="str">
        <f aca="false">DEC2HEX(C721+48,2)</f>
        <v>90</v>
      </c>
      <c r="I721" s="6" t="str">
        <f aca="false">_xlfn.CONCAT("\x", G721, "\x", H721, "=", F721)</f>
        <v>\x27\x90=룃</v>
      </c>
      <c r="M721" s="7" t="s">
        <v>697</v>
      </c>
      <c r="N721" s="6" t="str">
        <f aca="false">_xlfn.CONCAT("\x", DEC2HEX(D721+44, 2), "\x", H721, "=", M721)</f>
        <v>\x2F\x90=珠</v>
      </c>
    </row>
    <row r="722" customFormat="false" ht="12.8" hidden="false" customHeight="true" outlineLevel="0" collapsed="false">
      <c r="C722" s="6" t="n">
        <f aca="false">MOD(ROW()-1, 208)</f>
        <v>97</v>
      </c>
      <c r="D722" s="6" t="n">
        <f aca="false">INT((ROW()-1)/208)</f>
        <v>3</v>
      </c>
      <c r="F722" s="6" t="str">
        <f aca="false">MID(VLOOKUP(D722,$P$1:$Q$13,2,0), 1 + C722,1)</f>
        <v>룅</v>
      </c>
      <c r="G722" s="6" t="str">
        <f aca="false">DEC2HEX(D722+36, 2)</f>
        <v>27</v>
      </c>
      <c r="H722" s="6" t="str">
        <f aca="false">DEC2HEX(C722+48,2)</f>
        <v>91</v>
      </c>
      <c r="I722" s="6" t="str">
        <f aca="false">_xlfn.CONCAT("\x", G722, "\x", H722, "=", F722)</f>
        <v>\x27\x91=룅</v>
      </c>
      <c r="M722" s="7" t="s">
        <v>698</v>
      </c>
      <c r="N722" s="6" t="str">
        <f aca="false">_xlfn.CONCAT("\x", DEC2HEX(D722+44, 2), "\x", H722, "=", M722)</f>
        <v>\x2F\x91=爪</v>
      </c>
    </row>
    <row r="723" customFormat="false" ht="12.8" hidden="false" customHeight="true" outlineLevel="0" collapsed="false">
      <c r="C723" s="6" t="n">
        <f aca="false">MOD(ROW()-1, 208)</f>
        <v>98</v>
      </c>
      <c r="D723" s="6" t="n">
        <f aca="false">INT((ROW()-1)/208)</f>
        <v>3</v>
      </c>
      <c r="F723" s="6" t="str">
        <f aca="false">MID(VLOOKUP(D723,$P$1:$Q$13,2,0), 1 + C723,1)</f>
        <v>료</v>
      </c>
      <c r="G723" s="6" t="str">
        <f aca="false">DEC2HEX(D723+36, 2)</f>
        <v>27</v>
      </c>
      <c r="H723" s="6" t="str">
        <f aca="false">DEC2HEX(C723+48,2)</f>
        <v>92</v>
      </c>
      <c r="I723" s="6" t="str">
        <f aca="false">_xlfn.CONCAT("\x", G723, "\x", H723, "=", F723)</f>
        <v>\x27\x92=료</v>
      </c>
      <c r="M723" s="7" t="s">
        <v>699</v>
      </c>
      <c r="N723" s="6" t="str">
        <f aca="false">_xlfn.CONCAT("\x", DEC2HEX(D723+44, 2), "\x", H723, "=", M723)</f>
        <v>\x2F\x92=視</v>
      </c>
    </row>
    <row r="724" customFormat="false" ht="12.8" hidden="false" customHeight="true" outlineLevel="0" collapsed="false">
      <c r="C724" s="6" t="n">
        <f aca="false">MOD(ROW()-1, 208)</f>
        <v>99</v>
      </c>
      <c r="D724" s="6" t="n">
        <f aca="false">INT((ROW()-1)/208)</f>
        <v>3</v>
      </c>
      <c r="F724" s="6" t="str">
        <f aca="false">MID(VLOOKUP(D724,$P$1:$Q$13,2,0), 1 + C724,1)</f>
        <v>룐</v>
      </c>
      <c r="G724" s="6" t="str">
        <f aca="false">DEC2HEX(D724+36, 2)</f>
        <v>27</v>
      </c>
      <c r="H724" s="6" t="str">
        <f aca="false">DEC2HEX(C724+48,2)</f>
        <v>93</v>
      </c>
      <c r="I724" s="6" t="str">
        <f aca="false">_xlfn.CONCAT("\x", G724, "\x", H724, "=", F724)</f>
        <v>\x27\x93=룐</v>
      </c>
      <c r="M724" s="7" t="s">
        <v>700</v>
      </c>
      <c r="N724" s="6" t="str">
        <f aca="false">_xlfn.CONCAT("\x", DEC2HEX(D724+44, 2), "\x", H724, "=", M724)</f>
        <v>\x2F\x93=険</v>
      </c>
    </row>
    <row r="725" customFormat="false" ht="12.8" hidden="false" customHeight="true" outlineLevel="0" collapsed="false">
      <c r="C725" s="6" t="n">
        <f aca="false">MOD(ROW()-1, 208)</f>
        <v>100</v>
      </c>
      <c r="D725" s="6" t="n">
        <f aca="false">INT((ROW()-1)/208)</f>
        <v>3</v>
      </c>
      <c r="F725" s="6" t="str">
        <f aca="false">MID(VLOOKUP(D725,$P$1:$Q$13,2,0), 1 + C725,1)</f>
        <v>룔</v>
      </c>
      <c r="G725" s="6" t="str">
        <f aca="false">DEC2HEX(D725+36, 2)</f>
        <v>27</v>
      </c>
      <c r="H725" s="6" t="str">
        <f aca="false">DEC2HEX(C725+48,2)</f>
        <v>94</v>
      </c>
      <c r="I725" s="6" t="str">
        <f aca="false">_xlfn.CONCAT("\x", G725, "\x", H725, "=", F725)</f>
        <v>\x27\x94=룔</v>
      </c>
      <c r="M725" s="7" t="s">
        <v>701</v>
      </c>
      <c r="N725" s="6" t="str">
        <f aca="false">_xlfn.CONCAT("\x", DEC2HEX(D725+44, 2), "\x", H725, "=", M725)</f>
        <v>\x2F\x94=固</v>
      </c>
    </row>
    <row r="726" customFormat="false" ht="12.8" hidden="false" customHeight="true" outlineLevel="0" collapsed="false">
      <c r="C726" s="6" t="n">
        <f aca="false">MOD(ROW()-1, 208)</f>
        <v>101</v>
      </c>
      <c r="D726" s="6" t="n">
        <f aca="false">INT((ROW()-1)/208)</f>
        <v>3</v>
      </c>
      <c r="F726" s="6" t="str">
        <f aca="false">MID(VLOOKUP(D726,$P$1:$Q$13,2,0), 1 + C726,1)</f>
        <v>룝</v>
      </c>
      <c r="G726" s="6" t="str">
        <f aca="false">DEC2HEX(D726+36, 2)</f>
        <v>27</v>
      </c>
      <c r="H726" s="6" t="str">
        <f aca="false">DEC2HEX(C726+48,2)</f>
        <v>95</v>
      </c>
      <c r="I726" s="6" t="str">
        <f aca="false">_xlfn.CONCAT("\x", G726, "\x", H726, "=", F726)</f>
        <v>\x27\x95=룝</v>
      </c>
      <c r="M726" s="7" t="s">
        <v>702</v>
      </c>
      <c r="N726" s="6" t="str">
        <f aca="false">_xlfn.CONCAT("\x", DEC2HEX(D726+44, 2), "\x", H726, "=", M726)</f>
        <v>\x2F\x95=舞</v>
      </c>
    </row>
    <row r="727" customFormat="false" ht="12.8" hidden="false" customHeight="true" outlineLevel="0" collapsed="false">
      <c r="C727" s="6" t="n">
        <f aca="false">MOD(ROW()-1, 208)</f>
        <v>102</v>
      </c>
      <c r="D727" s="6" t="n">
        <f aca="false">INT((ROW()-1)/208)</f>
        <v>3</v>
      </c>
      <c r="F727" s="6" t="str">
        <f aca="false">MID(VLOOKUP(D727,$P$1:$Q$13,2,0), 1 + C727,1)</f>
        <v>룟</v>
      </c>
      <c r="G727" s="6" t="str">
        <f aca="false">DEC2HEX(D727+36, 2)</f>
        <v>27</v>
      </c>
      <c r="H727" s="6" t="str">
        <f aca="false">DEC2HEX(C727+48,2)</f>
        <v>96</v>
      </c>
      <c r="I727" s="6" t="str">
        <f aca="false">_xlfn.CONCAT("\x", G727, "\x", H727, "=", F727)</f>
        <v>\x27\x96=룟</v>
      </c>
      <c r="M727" s="7" t="s">
        <v>703</v>
      </c>
      <c r="N727" s="6" t="str">
        <f aca="false">_xlfn.CONCAT("\x", DEC2HEX(D727+44, 2), "\x", H727, "=", M727)</f>
        <v>\x2F\x96=串</v>
      </c>
    </row>
    <row r="728" customFormat="false" ht="12.8" hidden="false" customHeight="true" outlineLevel="0" collapsed="false">
      <c r="C728" s="6" t="n">
        <f aca="false">MOD(ROW()-1, 208)</f>
        <v>103</v>
      </c>
      <c r="D728" s="6" t="n">
        <f aca="false">INT((ROW()-1)/208)</f>
        <v>3</v>
      </c>
      <c r="F728" s="6" t="str">
        <f aca="false">MID(VLOOKUP(D728,$P$1:$Q$13,2,0), 1 + C728,1)</f>
        <v>룡</v>
      </c>
      <c r="G728" s="6" t="str">
        <f aca="false">DEC2HEX(D728+36, 2)</f>
        <v>27</v>
      </c>
      <c r="H728" s="6" t="str">
        <f aca="false">DEC2HEX(C728+48,2)</f>
        <v>97</v>
      </c>
      <c r="I728" s="6" t="str">
        <f aca="false">_xlfn.CONCAT("\x", G728, "\x", H728, "=", F728)</f>
        <v>\x27\x97=룡</v>
      </c>
      <c r="M728" s="7" t="s">
        <v>704</v>
      </c>
      <c r="N728" s="6" t="str">
        <f aca="false">_xlfn.CONCAT("\x", DEC2HEX(D728+44, 2), "\x", H728, "=", M728)</f>
        <v>\x2F\x97=刺</v>
      </c>
    </row>
    <row r="729" customFormat="false" ht="12.8" hidden="false" customHeight="true" outlineLevel="0" collapsed="false">
      <c r="C729" s="6" t="n">
        <f aca="false">MOD(ROW()-1, 208)</f>
        <v>104</v>
      </c>
      <c r="D729" s="6" t="n">
        <f aca="false">INT((ROW()-1)/208)</f>
        <v>3</v>
      </c>
      <c r="F729" s="6" t="str">
        <f aca="false">MID(VLOOKUP(D729,$P$1:$Q$13,2,0), 1 + C729,1)</f>
        <v>루</v>
      </c>
      <c r="G729" s="6" t="str">
        <f aca="false">DEC2HEX(D729+36, 2)</f>
        <v>27</v>
      </c>
      <c r="H729" s="6" t="str">
        <f aca="false">DEC2HEX(C729+48,2)</f>
        <v>98</v>
      </c>
      <c r="I729" s="6" t="str">
        <f aca="false">_xlfn.CONCAT("\x", G729, "\x", H729, "=", F729)</f>
        <v>\x27\x98=루</v>
      </c>
      <c r="M729" s="8" t="s">
        <v>705</v>
      </c>
      <c r="N729" s="6" t="str">
        <f aca="false">_xlfn.CONCAT("\x", DEC2HEX(D729+44, 2), "\x", H729, "=", M729)</f>
        <v>\x2F\x98='</v>
      </c>
    </row>
    <row r="730" customFormat="false" ht="12.8" hidden="false" customHeight="true" outlineLevel="0" collapsed="false">
      <c r="C730" s="6" t="n">
        <f aca="false">MOD(ROW()-1, 208)</f>
        <v>105</v>
      </c>
      <c r="D730" s="6" t="n">
        <f aca="false">INT((ROW()-1)/208)</f>
        <v>3</v>
      </c>
      <c r="F730" s="6" t="str">
        <f aca="false">MID(VLOOKUP(D730,$P$1:$Q$13,2,0), 1 + C730,1)</f>
        <v>룩</v>
      </c>
      <c r="G730" s="6" t="str">
        <f aca="false">DEC2HEX(D730+36, 2)</f>
        <v>27</v>
      </c>
      <c r="H730" s="6" t="str">
        <f aca="false">DEC2HEX(C730+48,2)</f>
        <v>99</v>
      </c>
      <c r="I730" s="6" t="str">
        <f aca="false">_xlfn.CONCAT("\x", G730, "\x", H730, "=", F730)</f>
        <v>\x27\x99=룩</v>
      </c>
      <c r="M730" s="7" t="s">
        <v>706</v>
      </c>
      <c r="N730" s="6" t="str">
        <f aca="false">_xlfn.CONCAT("\x", DEC2HEX(D730+44, 2), "\x", H730, "=", M730)</f>
        <v>\x2F\x99=問</v>
      </c>
    </row>
    <row r="731" customFormat="false" ht="12.8" hidden="false" customHeight="true" outlineLevel="0" collapsed="false">
      <c r="C731" s="6" t="n">
        <f aca="false">MOD(ROW()-1, 208)</f>
        <v>106</v>
      </c>
      <c r="D731" s="6" t="n">
        <f aca="false">INT((ROW()-1)/208)</f>
        <v>3</v>
      </c>
      <c r="F731" s="6" t="str">
        <f aca="false">MID(VLOOKUP(D731,$P$1:$Q$13,2,0), 1 + C731,1)</f>
        <v>룬</v>
      </c>
      <c r="G731" s="6" t="str">
        <f aca="false">DEC2HEX(D731+36, 2)</f>
        <v>27</v>
      </c>
      <c r="H731" s="6" t="str">
        <f aca="false">DEC2HEX(C731+48,2)</f>
        <v>9A</v>
      </c>
      <c r="I731" s="6" t="str">
        <f aca="false">_xlfn.CONCAT("\x", G731, "\x", H731, "=", F731)</f>
        <v>\x27\x9A=룬</v>
      </c>
      <c r="M731" s="7" t="s">
        <v>707</v>
      </c>
      <c r="N731" s="6" t="str">
        <f aca="false">_xlfn.CONCAT("\x", DEC2HEX(D731+44, 2), "\x", H731, "=", M731)</f>
        <v>\x2F\x9A=題</v>
      </c>
    </row>
    <row r="732" customFormat="false" ht="12.8" hidden="false" customHeight="true" outlineLevel="0" collapsed="false">
      <c r="C732" s="6" t="n">
        <f aca="false">MOD(ROW()-1, 208)</f>
        <v>107</v>
      </c>
      <c r="D732" s="6" t="n">
        <f aca="false">INT((ROW()-1)/208)</f>
        <v>3</v>
      </c>
      <c r="F732" s="6" t="str">
        <f aca="false">MID(VLOOKUP(D732,$P$1:$Q$13,2,0), 1 + C732,1)</f>
        <v>룰</v>
      </c>
      <c r="G732" s="6" t="str">
        <f aca="false">DEC2HEX(D732+36, 2)</f>
        <v>27</v>
      </c>
      <c r="H732" s="6" t="str">
        <f aca="false">DEC2HEX(C732+48,2)</f>
        <v>9B</v>
      </c>
      <c r="I732" s="6" t="str">
        <f aca="false">_xlfn.CONCAT("\x", G732, "\x", H732, "=", F732)</f>
        <v>\x27\x9B=룰</v>
      </c>
      <c r="M732" s="7" t="s">
        <v>708</v>
      </c>
      <c r="N732" s="6" t="str">
        <f aca="false">_xlfn.CONCAT("\x", DEC2HEX(D732+44, 2), "\x", H732, "=", M732)</f>
        <v>\x2F\x9B=配</v>
      </c>
    </row>
    <row r="733" customFormat="false" ht="12.8" hidden="false" customHeight="true" outlineLevel="0" collapsed="false">
      <c r="C733" s="6" t="n">
        <f aca="false">MOD(ROW()-1, 208)</f>
        <v>108</v>
      </c>
      <c r="D733" s="6" t="n">
        <f aca="false">INT((ROW()-1)/208)</f>
        <v>3</v>
      </c>
      <c r="F733" s="6" t="str">
        <f aca="false">MID(VLOOKUP(D733,$P$1:$Q$13,2,0), 1 + C733,1)</f>
        <v>룸</v>
      </c>
      <c r="G733" s="6" t="str">
        <f aca="false">DEC2HEX(D733+36, 2)</f>
        <v>27</v>
      </c>
      <c r="H733" s="6" t="str">
        <f aca="false">DEC2HEX(C733+48,2)</f>
        <v>9C</v>
      </c>
      <c r="I733" s="6" t="str">
        <f aca="false">_xlfn.CONCAT("\x", G733, "\x", H733, "=", F733)</f>
        <v>\x27\x9C=룸</v>
      </c>
      <c r="M733" s="7" t="s">
        <v>709</v>
      </c>
      <c r="N733" s="6" t="str">
        <f aca="false">_xlfn.CONCAT("\x", DEC2HEX(D733+44, 2), "\x", H733, "=", M733)</f>
        <v>\x2F\x9C=耳</v>
      </c>
    </row>
    <row r="734" customFormat="false" ht="12.8" hidden="false" customHeight="true" outlineLevel="0" collapsed="false">
      <c r="C734" s="6" t="n">
        <f aca="false">MOD(ROW()-1, 208)</f>
        <v>109</v>
      </c>
      <c r="D734" s="6" t="n">
        <f aca="false">INT((ROW()-1)/208)</f>
        <v>3</v>
      </c>
      <c r="F734" s="6" t="str">
        <f aca="false">MID(VLOOKUP(D734,$P$1:$Q$13,2,0), 1 + C734,1)</f>
        <v>룹</v>
      </c>
      <c r="G734" s="6" t="str">
        <f aca="false">DEC2HEX(D734+36, 2)</f>
        <v>27</v>
      </c>
      <c r="H734" s="6" t="str">
        <f aca="false">DEC2HEX(C734+48,2)</f>
        <v>9D</v>
      </c>
      <c r="I734" s="6" t="str">
        <f aca="false">_xlfn.CONCAT("\x", G734, "\x", H734, "=", F734)</f>
        <v>\x27\x9D=룹</v>
      </c>
      <c r="M734" s="7" t="s">
        <v>710</v>
      </c>
      <c r="N734" s="6" t="str">
        <f aca="false">_xlfn.CONCAT("\x", DEC2HEX(D734+44, 2), "\x", H734, "=", M734)</f>
        <v>\x2F\x9D=仕</v>
      </c>
    </row>
    <row r="735" customFormat="false" ht="12.8" hidden="false" customHeight="true" outlineLevel="0" collapsed="false">
      <c r="C735" s="6" t="n">
        <f aca="false">MOD(ROW()-1, 208)</f>
        <v>110</v>
      </c>
      <c r="D735" s="6" t="n">
        <f aca="false">INT((ROW()-1)/208)</f>
        <v>3</v>
      </c>
      <c r="F735" s="6" t="str">
        <f aca="false">MID(VLOOKUP(D735,$P$1:$Q$13,2,0), 1 + C735,1)</f>
        <v>룻</v>
      </c>
      <c r="G735" s="6" t="str">
        <f aca="false">DEC2HEX(D735+36, 2)</f>
        <v>27</v>
      </c>
      <c r="H735" s="6" t="str">
        <f aca="false">DEC2HEX(C735+48,2)</f>
        <v>9E</v>
      </c>
      <c r="I735" s="6" t="str">
        <f aca="false">_xlfn.CONCAT("\x", G735, "\x", H735, "=", F735)</f>
        <v>\x27\x9E=룻</v>
      </c>
      <c r="M735" s="7" t="s">
        <v>711</v>
      </c>
      <c r="N735" s="6" t="str">
        <f aca="false">_xlfn.CONCAT("\x", DEC2HEX(D735+44, 2), "\x", H735, "=", M735)</f>
        <v>\x2F\x9E=聞</v>
      </c>
    </row>
    <row r="736" customFormat="false" ht="12.8" hidden="false" customHeight="true" outlineLevel="0" collapsed="false">
      <c r="C736" s="6" t="n">
        <f aca="false">MOD(ROW()-1, 208)</f>
        <v>111</v>
      </c>
      <c r="D736" s="6" t="n">
        <f aca="false">INT((ROW()-1)/208)</f>
        <v>3</v>
      </c>
      <c r="F736" s="6" t="str">
        <f aca="false">MID(VLOOKUP(D736,$P$1:$Q$13,2,0), 1 + C736,1)</f>
        <v>룽</v>
      </c>
      <c r="G736" s="6" t="str">
        <f aca="false">DEC2HEX(D736+36, 2)</f>
        <v>27</v>
      </c>
      <c r="H736" s="6" t="str">
        <f aca="false">DEC2HEX(C736+48,2)</f>
        <v>9F</v>
      </c>
      <c r="I736" s="6" t="str">
        <f aca="false">_xlfn.CONCAT("\x", G736, "\x", H736, "=", F736)</f>
        <v>\x27\x9F=룽</v>
      </c>
      <c r="M736" s="7" t="s">
        <v>712</v>
      </c>
      <c r="N736" s="6" t="str">
        <f aca="false">_xlfn.CONCAT("\x", DEC2HEX(D736+44, 2), "\x", H736, "=", M736)</f>
        <v>\x2F\x9F=休</v>
      </c>
    </row>
    <row r="737" customFormat="false" ht="12.8" hidden="false" customHeight="true" outlineLevel="0" collapsed="false">
      <c r="C737" s="6" t="n">
        <f aca="false">MOD(ROW()-1, 208)</f>
        <v>112</v>
      </c>
      <c r="D737" s="6" t="n">
        <f aca="false">INT((ROW()-1)/208)</f>
        <v>3</v>
      </c>
      <c r="F737" s="6" t="str">
        <f aca="false">MID(VLOOKUP(D737,$P$1:$Q$13,2,0), 1 + C737,1)</f>
        <v>뤄</v>
      </c>
      <c r="G737" s="6" t="str">
        <f aca="false">DEC2HEX(D737+36, 2)</f>
        <v>27</v>
      </c>
      <c r="H737" s="6" t="str">
        <f aca="false">DEC2HEX(C737+48,2)</f>
        <v>A0</v>
      </c>
      <c r="I737" s="6" t="str">
        <f aca="false">_xlfn.CONCAT("\x", G737, "\x", H737, "=", F737)</f>
        <v>\x27\xA0=뤄</v>
      </c>
      <c r="M737" s="7" t="s">
        <v>713</v>
      </c>
      <c r="N737" s="6" t="str">
        <f aca="false">_xlfn.CONCAT("\x", DEC2HEX(D737+44, 2), "\x", H737, "=", M737)</f>
        <v>\x2F\xA0=叫</v>
      </c>
    </row>
    <row r="738" customFormat="false" ht="12.8" hidden="false" customHeight="true" outlineLevel="0" collapsed="false">
      <c r="C738" s="6" t="n">
        <f aca="false">MOD(ROW()-1, 208)</f>
        <v>113</v>
      </c>
      <c r="D738" s="6" t="n">
        <f aca="false">INT((ROW()-1)/208)</f>
        <v>3</v>
      </c>
      <c r="F738" s="6" t="str">
        <f aca="false">MID(VLOOKUP(D738,$P$1:$Q$13,2,0), 1 + C738,1)</f>
        <v>뤘</v>
      </c>
      <c r="G738" s="6" t="str">
        <f aca="false">DEC2HEX(D738+36, 2)</f>
        <v>27</v>
      </c>
      <c r="H738" s="6" t="str">
        <f aca="false">DEC2HEX(C738+48,2)</f>
        <v>A1</v>
      </c>
      <c r="I738" s="6" t="str">
        <f aca="false">_xlfn.CONCAT("\x", G738, "\x", H738, "=", F738)</f>
        <v>\x27\xA1=뤘</v>
      </c>
      <c r="M738" s="7" t="s">
        <v>714</v>
      </c>
      <c r="N738" s="6" t="str">
        <f aca="false">_xlfn.CONCAT("\x", DEC2HEX(D738+44, 2), "\x", H738, "=", M738)</f>
        <v>\x2F\xA1=俺</v>
      </c>
    </row>
    <row r="739" customFormat="false" ht="12.8" hidden="false" customHeight="true" outlineLevel="0" collapsed="false">
      <c r="C739" s="6" t="n">
        <f aca="false">MOD(ROW()-1, 208)</f>
        <v>114</v>
      </c>
      <c r="D739" s="6" t="n">
        <f aca="false">INT((ROW()-1)/208)</f>
        <v>3</v>
      </c>
      <c r="F739" s="6" t="str">
        <f aca="false">MID(VLOOKUP(D739,$P$1:$Q$13,2,0), 1 + C739,1)</f>
        <v>뤠</v>
      </c>
      <c r="G739" s="6" t="str">
        <f aca="false">DEC2HEX(D739+36, 2)</f>
        <v>27</v>
      </c>
      <c r="H739" s="6" t="str">
        <f aca="false">DEC2HEX(C739+48,2)</f>
        <v>A2</v>
      </c>
      <c r="I739" s="6" t="str">
        <f aca="false">_xlfn.CONCAT("\x", G739, "\x", H739, "=", F739)</f>
        <v>\x27\xA2=뤠</v>
      </c>
      <c r="M739" s="7" t="s">
        <v>715</v>
      </c>
      <c r="N739" s="6" t="str">
        <f aca="false">_xlfn.CONCAT("\x", DEC2HEX(D739+44, 2), "\x", H739, "=", M739)</f>
        <v>\x2F\xA2=私</v>
      </c>
    </row>
    <row r="740" customFormat="false" ht="12.8" hidden="false" customHeight="true" outlineLevel="0" collapsed="false">
      <c r="C740" s="6" t="n">
        <f aca="false">MOD(ROW()-1, 208)</f>
        <v>115</v>
      </c>
      <c r="D740" s="6" t="n">
        <f aca="false">INT((ROW()-1)/208)</f>
        <v>3</v>
      </c>
      <c r="F740" s="6" t="str">
        <f aca="false">MID(VLOOKUP(D740,$P$1:$Q$13,2,0), 1 + C740,1)</f>
        <v>뤼</v>
      </c>
      <c r="G740" s="6" t="str">
        <f aca="false">DEC2HEX(D740+36, 2)</f>
        <v>27</v>
      </c>
      <c r="H740" s="6" t="str">
        <f aca="false">DEC2HEX(C740+48,2)</f>
        <v>A3</v>
      </c>
      <c r="I740" s="6" t="str">
        <f aca="false">_xlfn.CONCAT("\x", G740, "\x", H740, "=", F740)</f>
        <v>\x27\xA3=뤼</v>
      </c>
      <c r="M740" s="7" t="s">
        <v>716</v>
      </c>
      <c r="N740" s="6" t="str">
        <f aca="false">_xlfn.CONCAT("\x", DEC2HEX(D740+44, 2), "\x", H740, "=", M740)</f>
        <v>\x2F\xA3=骨</v>
      </c>
    </row>
    <row r="741" customFormat="false" ht="12.8" hidden="false" customHeight="true" outlineLevel="0" collapsed="false">
      <c r="C741" s="6" t="n">
        <f aca="false">MOD(ROW()-1, 208)</f>
        <v>116</v>
      </c>
      <c r="D741" s="6" t="n">
        <f aca="false">INT((ROW()-1)/208)</f>
        <v>3</v>
      </c>
      <c r="F741" s="6" t="str">
        <f aca="false">MID(VLOOKUP(D741,$P$1:$Q$13,2,0), 1 + C741,1)</f>
        <v>뤽</v>
      </c>
      <c r="G741" s="6" t="str">
        <f aca="false">DEC2HEX(D741+36, 2)</f>
        <v>27</v>
      </c>
      <c r="H741" s="6" t="str">
        <f aca="false">DEC2HEX(C741+48,2)</f>
        <v>A4</v>
      </c>
      <c r="I741" s="6" t="str">
        <f aca="false">_xlfn.CONCAT("\x", G741, "\x", H741, "=", F741)</f>
        <v>\x27\xA4=뤽</v>
      </c>
      <c r="M741" s="7" t="s">
        <v>717</v>
      </c>
      <c r="N741" s="6" t="str">
        <f aca="false">_xlfn.CONCAT("\x", DEC2HEX(D741+44, 2), "\x", H741, "=", M741)</f>
        <v>\x2F\xA4=習</v>
      </c>
    </row>
    <row r="742" customFormat="false" ht="12.8" hidden="false" customHeight="true" outlineLevel="0" collapsed="false">
      <c r="C742" s="6" t="n">
        <f aca="false">MOD(ROW()-1, 208)</f>
        <v>117</v>
      </c>
      <c r="D742" s="6" t="n">
        <f aca="false">INT((ROW()-1)/208)</f>
        <v>3</v>
      </c>
      <c r="F742" s="6" t="str">
        <f aca="false">MID(VLOOKUP(D742,$P$1:$Q$13,2,0), 1 + C742,1)</f>
        <v>륀</v>
      </c>
      <c r="G742" s="6" t="str">
        <f aca="false">DEC2HEX(D742+36, 2)</f>
        <v>27</v>
      </c>
      <c r="H742" s="6" t="str">
        <f aca="false">DEC2HEX(C742+48,2)</f>
        <v>A5</v>
      </c>
      <c r="I742" s="6" t="str">
        <f aca="false">_xlfn.CONCAT("\x", G742, "\x", H742, "=", F742)</f>
        <v>\x27\xA5=륀</v>
      </c>
      <c r="M742" s="7" t="s">
        <v>718</v>
      </c>
      <c r="N742" s="6" t="str">
        <f aca="false">_xlfn.CONCAT("\x", DEC2HEX(D742+44, 2), "\x", H742, "=", M742)</f>
        <v>\x2F\xA5=昔</v>
      </c>
    </row>
    <row r="743" customFormat="false" ht="12.8" hidden="false" customHeight="true" outlineLevel="0" collapsed="false">
      <c r="C743" s="6" t="n">
        <f aca="false">MOD(ROW()-1, 208)</f>
        <v>118</v>
      </c>
      <c r="D743" s="6" t="n">
        <f aca="false">INT((ROW()-1)/208)</f>
        <v>3</v>
      </c>
      <c r="F743" s="6" t="str">
        <f aca="false">MID(VLOOKUP(D743,$P$1:$Q$13,2,0), 1 + C743,1)</f>
        <v>륄</v>
      </c>
      <c r="G743" s="6" t="str">
        <f aca="false">DEC2HEX(D743+36, 2)</f>
        <v>27</v>
      </c>
      <c r="H743" s="6" t="str">
        <f aca="false">DEC2HEX(C743+48,2)</f>
        <v>A6</v>
      </c>
      <c r="I743" s="6" t="str">
        <f aca="false">_xlfn.CONCAT("\x", G743, "\x", H743, "=", F743)</f>
        <v>\x27\xA6=륄</v>
      </c>
      <c r="M743" s="7" t="s">
        <v>719</v>
      </c>
      <c r="N743" s="6" t="str">
        <f aca="false">_xlfn.CONCAT("\x", DEC2HEX(D743+44, 2), "\x", H743, "=", M743)</f>
        <v>\x2F\xA6=信</v>
      </c>
    </row>
    <row r="744" customFormat="false" ht="12.8" hidden="false" customHeight="true" outlineLevel="0" collapsed="false">
      <c r="C744" s="6" t="n">
        <f aca="false">MOD(ROW()-1, 208)</f>
        <v>119</v>
      </c>
      <c r="D744" s="6" t="n">
        <f aca="false">INT((ROW()-1)/208)</f>
        <v>3</v>
      </c>
      <c r="F744" s="6" t="str">
        <f aca="false">MID(VLOOKUP(D744,$P$1:$Q$13,2,0), 1 + C744,1)</f>
        <v>륌</v>
      </c>
      <c r="G744" s="6" t="str">
        <f aca="false">DEC2HEX(D744+36, 2)</f>
        <v>27</v>
      </c>
      <c r="H744" s="6" t="str">
        <f aca="false">DEC2HEX(C744+48,2)</f>
        <v>A7</v>
      </c>
      <c r="I744" s="6" t="str">
        <f aca="false">_xlfn.CONCAT("\x", G744, "\x", H744, "=", F744)</f>
        <v>\x27\xA7=륌</v>
      </c>
      <c r="M744" s="7" t="s">
        <v>720</v>
      </c>
      <c r="N744" s="6" t="str">
        <f aca="false">_xlfn.CONCAT("\x", DEC2HEX(D744+44, 2), "\x", H744, "=", M744)</f>
        <v>\x2F\xA7=興</v>
      </c>
    </row>
    <row r="745" customFormat="false" ht="12.8" hidden="false" customHeight="true" outlineLevel="0" collapsed="false">
      <c r="C745" s="6" t="n">
        <f aca="false">MOD(ROW()-1, 208)</f>
        <v>120</v>
      </c>
      <c r="D745" s="6" t="n">
        <f aca="false">INT((ROW()-1)/208)</f>
        <v>3</v>
      </c>
      <c r="F745" s="6" t="str">
        <f aca="false">MID(VLOOKUP(D745,$P$1:$Q$13,2,0), 1 + C745,1)</f>
        <v>륏</v>
      </c>
      <c r="G745" s="6" t="str">
        <f aca="false">DEC2HEX(D745+36, 2)</f>
        <v>27</v>
      </c>
      <c r="H745" s="6" t="str">
        <f aca="false">DEC2HEX(C745+48,2)</f>
        <v>A8</v>
      </c>
      <c r="I745" s="6" t="str">
        <f aca="false">_xlfn.CONCAT("\x", G745, "\x", H745, "=", F745)</f>
        <v>\x27\xA8=륏</v>
      </c>
      <c r="M745" s="7" t="s">
        <v>721</v>
      </c>
      <c r="N745" s="6" t="str">
        <f aca="false">_xlfn.CONCAT("\x", DEC2HEX(D745+44, 2), "\x", H745, "=", M745)</f>
        <v>\x2F\xA8=奮</v>
      </c>
    </row>
    <row r="746" customFormat="false" ht="12.8" hidden="false" customHeight="true" outlineLevel="0" collapsed="false">
      <c r="C746" s="6" t="n">
        <f aca="false">MOD(ROW()-1, 208)</f>
        <v>121</v>
      </c>
      <c r="D746" s="6" t="n">
        <f aca="false">INT((ROW()-1)/208)</f>
        <v>3</v>
      </c>
      <c r="F746" s="6" t="str">
        <f aca="false">MID(VLOOKUP(D746,$P$1:$Q$13,2,0), 1 + C746,1)</f>
        <v>륑</v>
      </c>
      <c r="G746" s="6" t="str">
        <f aca="false">DEC2HEX(D746+36, 2)</f>
        <v>27</v>
      </c>
      <c r="H746" s="6" t="str">
        <f aca="false">DEC2HEX(C746+48,2)</f>
        <v>A9</v>
      </c>
      <c r="I746" s="6" t="str">
        <f aca="false">_xlfn.CONCAT("\x", G746, "\x", H746, "=", F746)</f>
        <v>\x27\xA9=륑</v>
      </c>
      <c r="M746" s="7" t="s">
        <v>722</v>
      </c>
      <c r="N746" s="6" t="str">
        <f aca="false">_xlfn.CONCAT("\x", DEC2HEX(D746+44, 2), "\x", H746, "=", M746)</f>
        <v>\x2F\xA9=許</v>
      </c>
    </row>
    <row r="747" customFormat="false" ht="12.8" hidden="false" customHeight="true" outlineLevel="0" collapsed="false">
      <c r="C747" s="6" t="n">
        <f aca="false">MOD(ROW()-1, 208)</f>
        <v>122</v>
      </c>
      <c r="D747" s="6" t="n">
        <f aca="false">INT((ROW()-1)/208)</f>
        <v>3</v>
      </c>
      <c r="F747" s="6" t="str">
        <f aca="false">MID(VLOOKUP(D747,$P$1:$Q$13,2,0), 1 + C747,1)</f>
        <v>류</v>
      </c>
      <c r="G747" s="6" t="str">
        <f aca="false">DEC2HEX(D747+36, 2)</f>
        <v>27</v>
      </c>
      <c r="H747" s="6" t="str">
        <f aca="false">DEC2HEX(C747+48,2)</f>
        <v>AA</v>
      </c>
      <c r="I747" s="6" t="str">
        <f aca="false">_xlfn.CONCAT("\x", G747, "\x", H747, "=", F747)</f>
        <v>\x27\xAA=류</v>
      </c>
      <c r="M747" s="7" t="s">
        <v>723</v>
      </c>
      <c r="N747" s="6" t="str">
        <f aca="false">_xlfn.CONCAT("\x", DEC2HEX(D747+44, 2), "\x", H747, "=", M747)</f>
        <v>\x2F\xAA=待</v>
      </c>
    </row>
    <row r="748" customFormat="false" ht="12.8" hidden="false" customHeight="true" outlineLevel="0" collapsed="false">
      <c r="C748" s="6" t="n">
        <f aca="false">MOD(ROW()-1, 208)</f>
        <v>123</v>
      </c>
      <c r="D748" s="6" t="n">
        <f aca="false">INT((ROW()-1)/208)</f>
        <v>3</v>
      </c>
      <c r="F748" s="6" t="str">
        <f aca="false">MID(VLOOKUP(D748,$P$1:$Q$13,2,0), 1 + C748,1)</f>
        <v>륙</v>
      </c>
      <c r="G748" s="6" t="str">
        <f aca="false">DEC2HEX(D748+36, 2)</f>
        <v>27</v>
      </c>
      <c r="H748" s="6" t="str">
        <f aca="false">DEC2HEX(C748+48,2)</f>
        <v>AB</v>
      </c>
      <c r="I748" s="6" t="str">
        <f aca="false">_xlfn.CONCAT("\x", G748, "\x", H748, "=", F748)</f>
        <v>\x27\xAB=륙</v>
      </c>
      <c r="M748" s="7" t="s">
        <v>724</v>
      </c>
      <c r="N748" s="6" t="str">
        <f aca="false">_xlfn.CONCAT("\x", DEC2HEX(D748+44, 2), "\x", H748, "=", M748)</f>
        <v>\x2F\xAB=句</v>
      </c>
    </row>
    <row r="749" customFormat="false" ht="12.8" hidden="false" customHeight="true" outlineLevel="0" collapsed="false">
      <c r="C749" s="6" t="n">
        <f aca="false">MOD(ROW()-1, 208)</f>
        <v>124</v>
      </c>
      <c r="D749" s="6" t="n">
        <f aca="false">INT((ROW()-1)/208)</f>
        <v>3</v>
      </c>
      <c r="F749" s="6" t="str">
        <f aca="false">MID(VLOOKUP(D749,$P$1:$Q$13,2,0), 1 + C749,1)</f>
        <v>륜</v>
      </c>
      <c r="G749" s="6" t="str">
        <f aca="false">DEC2HEX(D749+36, 2)</f>
        <v>27</v>
      </c>
      <c r="H749" s="6" t="str">
        <f aca="false">DEC2HEX(C749+48,2)</f>
        <v>AC</v>
      </c>
      <c r="I749" s="6" t="str">
        <f aca="false">_xlfn.CONCAT("\x", G749, "\x", H749, "=", F749)</f>
        <v>\x27\xAC=륜</v>
      </c>
      <c r="M749" s="7" t="s">
        <v>725</v>
      </c>
      <c r="N749" s="6" t="str">
        <f aca="false">_xlfn.CONCAT("\x", DEC2HEX(D749+44, 2), "\x", H749, "=", M749)</f>
        <v>\x2F\xAC=怖</v>
      </c>
    </row>
    <row r="750" customFormat="false" ht="12.8" hidden="false" customHeight="true" outlineLevel="0" collapsed="false">
      <c r="C750" s="6" t="n">
        <f aca="false">MOD(ROW()-1, 208)</f>
        <v>125</v>
      </c>
      <c r="D750" s="6" t="n">
        <f aca="false">INT((ROW()-1)/208)</f>
        <v>3</v>
      </c>
      <c r="F750" s="6" t="str">
        <f aca="false">MID(VLOOKUP(D750,$P$1:$Q$13,2,0), 1 + C750,1)</f>
        <v>률</v>
      </c>
      <c r="G750" s="6" t="str">
        <f aca="false">DEC2HEX(D750+36, 2)</f>
        <v>27</v>
      </c>
      <c r="H750" s="6" t="str">
        <f aca="false">DEC2HEX(C750+48,2)</f>
        <v>AD</v>
      </c>
      <c r="I750" s="6" t="str">
        <f aca="false">_xlfn.CONCAT("\x", G750, "\x", H750, "=", F750)</f>
        <v>\x27\xAD=률</v>
      </c>
      <c r="M750" s="7" t="s">
        <v>726</v>
      </c>
      <c r="N750" s="6" t="str">
        <f aca="false">_xlfn.CONCAT("\x", DEC2HEX(D750+44, 2), "\x", H750, "=", M750)</f>
        <v>\x2F\xAD=返</v>
      </c>
    </row>
    <row r="751" customFormat="false" ht="12.8" hidden="false" customHeight="true" outlineLevel="0" collapsed="false">
      <c r="C751" s="6" t="n">
        <f aca="false">MOD(ROW()-1, 208)</f>
        <v>126</v>
      </c>
      <c r="D751" s="6" t="n">
        <f aca="false">INT((ROW()-1)/208)</f>
        <v>3</v>
      </c>
      <c r="F751" s="6" t="str">
        <f aca="false">MID(VLOOKUP(D751,$P$1:$Q$13,2,0), 1 + C751,1)</f>
        <v>륨</v>
      </c>
      <c r="G751" s="6" t="str">
        <f aca="false">DEC2HEX(D751+36, 2)</f>
        <v>27</v>
      </c>
      <c r="H751" s="6" t="str">
        <f aca="false">DEC2HEX(C751+48,2)</f>
        <v>AE</v>
      </c>
      <c r="I751" s="6" t="str">
        <f aca="false">_xlfn.CONCAT("\x", G751, "\x", H751, "=", F751)</f>
        <v>\x27\xAE=륨</v>
      </c>
      <c r="M751" s="7" t="s">
        <v>727</v>
      </c>
      <c r="N751" s="6" t="str">
        <f aca="false">_xlfn.CONCAT("\x", DEC2HEX(D751+44, 2), "\x", H751, "=", M751)</f>
        <v>\x2F\xAE=貸</v>
      </c>
    </row>
    <row r="752" customFormat="false" ht="12.8" hidden="false" customHeight="true" outlineLevel="0" collapsed="false">
      <c r="C752" s="6" t="n">
        <f aca="false">MOD(ROW()-1, 208)</f>
        <v>127</v>
      </c>
      <c r="D752" s="6" t="n">
        <f aca="false">INT((ROW()-1)/208)</f>
        <v>3</v>
      </c>
      <c r="F752" s="6" t="str">
        <f aca="false">MID(VLOOKUP(D752,$P$1:$Q$13,2,0), 1 + C752,1)</f>
        <v>륩</v>
      </c>
      <c r="G752" s="6" t="str">
        <f aca="false">DEC2HEX(D752+36, 2)</f>
        <v>27</v>
      </c>
      <c r="H752" s="6" t="str">
        <f aca="false">DEC2HEX(C752+48,2)</f>
        <v>AF</v>
      </c>
      <c r="I752" s="6" t="str">
        <f aca="false">_xlfn.CONCAT("\x", G752, "\x", H752, "=", F752)</f>
        <v>\x27\xAF=륩</v>
      </c>
      <c r="M752" s="7" t="s">
        <v>728</v>
      </c>
      <c r="N752" s="6" t="str">
        <f aca="false">_xlfn.CONCAT("\x", DEC2HEX(D752+44, 2), "\x", H752, "=", M752)</f>
        <v>\x2F\xAF=凍</v>
      </c>
    </row>
    <row r="753" customFormat="false" ht="12.8" hidden="false" customHeight="true" outlineLevel="0" collapsed="false">
      <c r="C753" s="6" t="n">
        <f aca="false">MOD(ROW()-1, 208)</f>
        <v>128</v>
      </c>
      <c r="D753" s="6" t="n">
        <f aca="false">INT((ROW()-1)/208)</f>
        <v>3</v>
      </c>
      <c r="F753" s="6" t="str">
        <f aca="false">MID(VLOOKUP(D753,$P$1:$Q$13,2,0), 1 + C753,1)</f>
        <v>륫</v>
      </c>
      <c r="G753" s="6" t="str">
        <f aca="false">DEC2HEX(D753+36, 2)</f>
        <v>27</v>
      </c>
      <c r="H753" s="6" t="str">
        <f aca="false">DEC2HEX(C753+48,2)</f>
        <v>B0</v>
      </c>
      <c r="I753" s="6" t="str">
        <f aca="false">_xlfn.CONCAT("\x", G753, "\x", H753, "=", F753)</f>
        <v>\x27\xB0=륫</v>
      </c>
      <c r="M753" s="7" t="s">
        <v>729</v>
      </c>
      <c r="N753" s="6" t="str">
        <f aca="false">_xlfn.CONCAT("\x", DEC2HEX(D753+44, 2), "\x", H753, "=", M753)</f>
        <v>\x2F\xB0=援</v>
      </c>
    </row>
    <row r="754" customFormat="false" ht="12.8" hidden="false" customHeight="true" outlineLevel="0" collapsed="false">
      <c r="C754" s="6" t="n">
        <f aca="false">MOD(ROW()-1, 208)</f>
        <v>129</v>
      </c>
      <c r="D754" s="6" t="n">
        <f aca="false">INT((ROW()-1)/208)</f>
        <v>3</v>
      </c>
      <c r="F754" s="6" t="str">
        <f aca="false">MID(VLOOKUP(D754,$P$1:$Q$13,2,0), 1 + C754,1)</f>
        <v>륭</v>
      </c>
      <c r="G754" s="6" t="str">
        <f aca="false">DEC2HEX(D754+36, 2)</f>
        <v>27</v>
      </c>
      <c r="H754" s="6" t="str">
        <f aca="false">DEC2HEX(C754+48,2)</f>
        <v>B1</v>
      </c>
      <c r="I754" s="6" t="str">
        <f aca="false">_xlfn.CONCAT("\x", G754, "\x", H754, "=", F754)</f>
        <v>\x27\xB1=륭</v>
      </c>
      <c r="M754" s="7" t="s">
        <v>730</v>
      </c>
      <c r="N754" s="6" t="str">
        <f aca="false">_xlfn.CONCAT("\x", DEC2HEX(D754+44, 2), "\x", H754, "=", M754)</f>
        <v>\x2F\xB1=球</v>
      </c>
    </row>
    <row r="755" customFormat="false" ht="12.8" hidden="false" customHeight="true" outlineLevel="0" collapsed="false">
      <c r="C755" s="6" t="n">
        <f aca="false">MOD(ROW()-1, 208)</f>
        <v>130</v>
      </c>
      <c r="D755" s="6" t="n">
        <f aca="false">INT((ROW()-1)/208)</f>
        <v>3</v>
      </c>
      <c r="F755" s="6" t="str">
        <f aca="false">MID(VLOOKUP(D755,$P$1:$Q$13,2,0), 1 + C755,1)</f>
        <v>르</v>
      </c>
      <c r="G755" s="6" t="str">
        <f aca="false">DEC2HEX(D755+36, 2)</f>
        <v>27</v>
      </c>
      <c r="H755" s="6" t="str">
        <f aca="false">DEC2HEX(C755+48,2)</f>
        <v>B2</v>
      </c>
      <c r="I755" s="6" t="str">
        <f aca="false">_xlfn.CONCAT("\x", G755, "\x", H755, "=", F755)</f>
        <v>\x27\xB2=르</v>
      </c>
      <c r="M755" s="7" t="s">
        <v>731</v>
      </c>
      <c r="N755" s="6" t="str">
        <f aca="false">_xlfn.CONCAT("\x", DEC2HEX(D755+44, 2), "\x", H755, "=", M755)</f>
        <v>\x2F\xB2=結</v>
      </c>
    </row>
    <row r="756" customFormat="false" ht="12.8" hidden="false" customHeight="true" outlineLevel="0" collapsed="false">
      <c r="C756" s="6" t="n">
        <f aca="false">MOD(ROW()-1, 208)</f>
        <v>131</v>
      </c>
      <c r="D756" s="6" t="n">
        <f aca="false">INT((ROW()-1)/208)</f>
        <v>3</v>
      </c>
      <c r="F756" s="6" t="str">
        <f aca="false">MID(VLOOKUP(D756,$P$1:$Q$13,2,0), 1 + C756,1)</f>
        <v>륵</v>
      </c>
      <c r="G756" s="6" t="str">
        <f aca="false">DEC2HEX(D756+36, 2)</f>
        <v>27</v>
      </c>
      <c r="H756" s="6" t="str">
        <f aca="false">DEC2HEX(C756+48,2)</f>
        <v>B3</v>
      </c>
      <c r="I756" s="6" t="str">
        <f aca="false">_xlfn.CONCAT("\x", G756, "\x", H756, "=", F756)</f>
        <v>\x27\xB3=륵</v>
      </c>
      <c r="M756" s="7" t="s">
        <v>732</v>
      </c>
      <c r="N756" s="6" t="str">
        <f aca="false">_xlfn.CONCAT("\x", DEC2HEX(D756+44, 2), "\x", H756, "=", M756)</f>
        <v>\x2F\xB3=局</v>
      </c>
    </row>
    <row r="757" customFormat="false" ht="12.8" hidden="false" customHeight="true" outlineLevel="0" collapsed="false">
      <c r="C757" s="6" t="n">
        <f aca="false">MOD(ROW()-1, 208)</f>
        <v>132</v>
      </c>
      <c r="D757" s="6" t="n">
        <f aca="false">INT((ROW()-1)/208)</f>
        <v>3</v>
      </c>
      <c r="F757" s="6" t="str">
        <f aca="false">MID(VLOOKUP(D757,$P$1:$Q$13,2,0), 1 + C757,1)</f>
        <v>른</v>
      </c>
      <c r="G757" s="6" t="str">
        <f aca="false">DEC2HEX(D757+36, 2)</f>
        <v>27</v>
      </c>
      <c r="H757" s="6" t="str">
        <f aca="false">DEC2HEX(C757+48,2)</f>
        <v>B4</v>
      </c>
      <c r="I757" s="6" t="str">
        <f aca="false">_xlfn.CONCAT("\x", G757, "\x", H757, "=", F757)</f>
        <v>\x27\xB4=른</v>
      </c>
      <c r="M757" s="7" t="s">
        <v>733</v>
      </c>
      <c r="N757" s="6" t="str">
        <f aca="false">_xlfn.CONCAT("\x", DEC2HEX(D757+44, 2), "\x", H757, "=", M757)</f>
        <v>\x2F\xB4=悟</v>
      </c>
    </row>
    <row r="758" customFormat="false" ht="12.8" hidden="false" customHeight="true" outlineLevel="0" collapsed="false">
      <c r="C758" s="6" t="n">
        <f aca="false">MOD(ROW()-1, 208)</f>
        <v>133</v>
      </c>
      <c r="D758" s="6" t="n">
        <f aca="false">INT((ROW()-1)/208)</f>
        <v>3</v>
      </c>
      <c r="F758" s="6" t="str">
        <f aca="false">MID(VLOOKUP(D758,$P$1:$Q$13,2,0), 1 + C758,1)</f>
        <v>를</v>
      </c>
      <c r="G758" s="6" t="str">
        <f aca="false">DEC2HEX(D758+36, 2)</f>
        <v>27</v>
      </c>
      <c r="H758" s="6" t="str">
        <f aca="false">DEC2HEX(C758+48,2)</f>
        <v>B5</v>
      </c>
      <c r="I758" s="6" t="str">
        <f aca="false">_xlfn.CONCAT("\x", G758, "\x", H758, "=", F758)</f>
        <v>\x27\xB5=를</v>
      </c>
      <c r="M758" s="7" t="s">
        <v>734</v>
      </c>
      <c r="N758" s="6" t="str">
        <f aca="false">_xlfn.CONCAT("\x", DEC2HEX(D758+44, 2), "\x", H758, "=", M758)</f>
        <v>\x2F\xB5=姿</v>
      </c>
    </row>
    <row r="759" customFormat="false" ht="12.8" hidden="false" customHeight="true" outlineLevel="0" collapsed="false">
      <c r="C759" s="6" t="n">
        <f aca="false">MOD(ROW()-1, 208)</f>
        <v>134</v>
      </c>
      <c r="D759" s="6" t="n">
        <f aca="false">INT((ROW()-1)/208)</f>
        <v>3</v>
      </c>
      <c r="F759" s="6" t="str">
        <f aca="false">MID(VLOOKUP(D759,$P$1:$Q$13,2,0), 1 + C759,1)</f>
        <v>름</v>
      </c>
      <c r="G759" s="6" t="str">
        <f aca="false">DEC2HEX(D759+36, 2)</f>
        <v>27</v>
      </c>
      <c r="H759" s="6" t="str">
        <f aca="false">DEC2HEX(C759+48,2)</f>
        <v>B6</v>
      </c>
      <c r="I759" s="6" t="str">
        <f aca="false">_xlfn.CONCAT("\x", G759, "\x", H759, "=", F759)</f>
        <v>\x27\xB6=름</v>
      </c>
      <c r="M759" s="7" t="s">
        <v>735</v>
      </c>
      <c r="N759" s="6" t="str">
        <f aca="false">_xlfn.CONCAT("\x", DEC2HEX(D759+44, 2), "\x", H759, "=", M759)</f>
        <v>\x2F\xB6=件</v>
      </c>
    </row>
    <row r="760" customFormat="false" ht="12.8" hidden="false" customHeight="true" outlineLevel="0" collapsed="false">
      <c r="C760" s="6" t="n">
        <f aca="false">MOD(ROW()-1, 208)</f>
        <v>135</v>
      </c>
      <c r="D760" s="6" t="n">
        <f aca="false">INT((ROW()-1)/208)</f>
        <v>3</v>
      </c>
      <c r="F760" s="6" t="str">
        <f aca="false">MID(VLOOKUP(D760,$P$1:$Q$13,2,0), 1 + C760,1)</f>
        <v>릅</v>
      </c>
      <c r="G760" s="6" t="str">
        <f aca="false">DEC2HEX(D760+36, 2)</f>
        <v>27</v>
      </c>
      <c r="H760" s="6" t="str">
        <f aca="false">DEC2HEX(C760+48,2)</f>
        <v>B7</v>
      </c>
      <c r="I760" s="6" t="str">
        <f aca="false">_xlfn.CONCAT("\x", G760, "\x", H760, "=", F760)</f>
        <v>\x27\xB7=릅</v>
      </c>
      <c r="M760" s="7" t="s">
        <v>736</v>
      </c>
      <c r="N760" s="6" t="str">
        <f aca="false">_xlfn.CONCAT("\x", DEC2HEX(D760+44, 2), "\x", H760, "=", M760)</f>
        <v>\x2F\xB7=首</v>
      </c>
    </row>
    <row r="761" customFormat="false" ht="12.8" hidden="false" customHeight="true" outlineLevel="0" collapsed="false">
      <c r="C761" s="6" t="n">
        <f aca="false">MOD(ROW()-1, 208)</f>
        <v>136</v>
      </c>
      <c r="D761" s="6" t="n">
        <f aca="false">INT((ROW()-1)/208)</f>
        <v>3</v>
      </c>
      <c r="F761" s="6" t="str">
        <f aca="false">MID(VLOOKUP(D761,$P$1:$Q$13,2,0), 1 + C761,1)</f>
        <v>릇</v>
      </c>
      <c r="G761" s="6" t="str">
        <f aca="false">DEC2HEX(D761+36, 2)</f>
        <v>27</v>
      </c>
      <c r="H761" s="6" t="str">
        <f aca="false">DEC2HEX(C761+48,2)</f>
        <v>B8</v>
      </c>
      <c r="I761" s="6" t="str">
        <f aca="false">_xlfn.CONCAT("\x", G761, "\x", H761, "=", F761)</f>
        <v>\x27\xB8=릇</v>
      </c>
      <c r="M761" s="7" t="s">
        <v>737</v>
      </c>
      <c r="N761" s="6" t="str">
        <f aca="false">_xlfn.CONCAT("\x", DEC2HEX(D761+44, 2), "\x", H761, "=", M761)</f>
        <v>\x2F\xB8=感</v>
      </c>
    </row>
    <row r="762" customFormat="false" ht="12.8" hidden="false" customHeight="true" outlineLevel="0" collapsed="false">
      <c r="C762" s="6" t="n">
        <f aca="false">MOD(ROW()-1, 208)</f>
        <v>137</v>
      </c>
      <c r="D762" s="6" t="n">
        <f aca="false">INT((ROW()-1)/208)</f>
        <v>3</v>
      </c>
      <c r="F762" s="6" t="str">
        <f aca="false">MID(VLOOKUP(D762,$P$1:$Q$13,2,0), 1 + C762,1)</f>
        <v>릉</v>
      </c>
      <c r="G762" s="6" t="str">
        <f aca="false">DEC2HEX(D762+36, 2)</f>
        <v>27</v>
      </c>
      <c r="H762" s="6" t="str">
        <f aca="false">DEC2HEX(C762+48,2)</f>
        <v>B9</v>
      </c>
      <c r="I762" s="6" t="str">
        <f aca="false">_xlfn.CONCAT("\x", G762, "\x", H762, "=", F762)</f>
        <v>\x27\xB9=릉</v>
      </c>
      <c r="M762" s="7" t="s">
        <v>738</v>
      </c>
      <c r="N762" s="6" t="str">
        <f aca="false">_xlfn.CONCAT("\x", DEC2HEX(D762+44, 2), "\x", H762, "=", M762)</f>
        <v>\x2F\xB9=油</v>
      </c>
    </row>
    <row r="763" customFormat="false" ht="12.8" hidden="false" customHeight="true" outlineLevel="0" collapsed="false">
      <c r="C763" s="6" t="n">
        <f aca="false">MOD(ROW()-1, 208)</f>
        <v>138</v>
      </c>
      <c r="D763" s="6" t="n">
        <f aca="false">INT((ROW()-1)/208)</f>
        <v>3</v>
      </c>
      <c r="F763" s="6" t="str">
        <f aca="false">MID(VLOOKUP(D763,$P$1:$Q$13,2,0), 1 + C763,1)</f>
        <v>릊</v>
      </c>
      <c r="G763" s="6" t="str">
        <f aca="false">DEC2HEX(D763+36, 2)</f>
        <v>27</v>
      </c>
      <c r="H763" s="6" t="str">
        <f aca="false">DEC2HEX(C763+48,2)</f>
        <v>BA</v>
      </c>
      <c r="I763" s="6" t="str">
        <f aca="false">_xlfn.CONCAT("\x", G763, "\x", H763, "=", F763)</f>
        <v>\x27\xBA=릊</v>
      </c>
      <c r="M763" s="7" t="s">
        <v>739</v>
      </c>
      <c r="N763" s="6" t="str">
        <f aca="false">_xlfn.CONCAT("\x", DEC2HEX(D763+44, 2), "\x", H763, "=", M763)</f>
        <v>\x2F\xBA=紙</v>
      </c>
    </row>
    <row r="764" customFormat="false" ht="12.8" hidden="false" customHeight="true" outlineLevel="0" collapsed="false">
      <c r="C764" s="6" t="n">
        <f aca="false">MOD(ROW()-1, 208)</f>
        <v>139</v>
      </c>
      <c r="D764" s="6" t="n">
        <f aca="false">INT((ROW()-1)/208)</f>
        <v>3</v>
      </c>
      <c r="F764" s="6" t="str">
        <f aca="false">MID(VLOOKUP(D764,$P$1:$Q$13,2,0), 1 + C764,1)</f>
        <v>릍</v>
      </c>
      <c r="G764" s="6" t="str">
        <f aca="false">DEC2HEX(D764+36, 2)</f>
        <v>27</v>
      </c>
      <c r="H764" s="6" t="str">
        <f aca="false">DEC2HEX(C764+48,2)</f>
        <v>BB</v>
      </c>
      <c r="I764" s="6" t="str">
        <f aca="false">_xlfn.CONCAT("\x", G764, "\x", H764, "=", F764)</f>
        <v>\x27\xBB=릍</v>
      </c>
      <c r="M764" s="7" t="s">
        <v>740</v>
      </c>
      <c r="N764" s="6" t="str">
        <f aca="false">_xlfn.CONCAT("\x", DEC2HEX(D764+44, 2), "\x", H764, "=", M764)</f>
        <v>\x2F\xBB=良</v>
      </c>
    </row>
    <row r="765" customFormat="false" ht="12.8" hidden="false" customHeight="true" outlineLevel="0" collapsed="false">
      <c r="C765" s="6" t="n">
        <f aca="false">MOD(ROW()-1, 208)</f>
        <v>140</v>
      </c>
      <c r="D765" s="6" t="n">
        <f aca="false">INT((ROW()-1)/208)</f>
        <v>3</v>
      </c>
      <c r="F765" s="6" t="str">
        <f aca="false">MID(VLOOKUP(D765,$P$1:$Q$13,2,0), 1 + C765,1)</f>
        <v>릎</v>
      </c>
      <c r="G765" s="6" t="str">
        <f aca="false">DEC2HEX(D765+36, 2)</f>
        <v>27</v>
      </c>
      <c r="H765" s="6" t="str">
        <f aca="false">DEC2HEX(C765+48,2)</f>
        <v>BC</v>
      </c>
      <c r="I765" s="6" t="str">
        <f aca="false">_xlfn.CONCAT("\x", G765, "\x", H765, "=", F765)</f>
        <v>\x27\xBC=릎</v>
      </c>
      <c r="M765" s="7" t="s">
        <v>741</v>
      </c>
      <c r="N765" s="6" t="str">
        <f aca="false">_xlfn.CONCAT("\x", DEC2HEX(D765+44, 2), "\x", H765, "=", M765)</f>
        <v>\x2F\xBC=慢</v>
      </c>
    </row>
    <row r="766" customFormat="false" ht="12.8" hidden="false" customHeight="true" outlineLevel="0" collapsed="false">
      <c r="C766" s="6" t="n">
        <f aca="false">MOD(ROW()-1, 208)</f>
        <v>141</v>
      </c>
      <c r="D766" s="6" t="n">
        <f aca="false">INT((ROW()-1)/208)</f>
        <v>3</v>
      </c>
      <c r="F766" s="6" t="str">
        <f aca="false">MID(VLOOKUP(D766,$P$1:$Q$13,2,0), 1 + C766,1)</f>
        <v>리</v>
      </c>
      <c r="G766" s="6" t="str">
        <f aca="false">DEC2HEX(D766+36, 2)</f>
        <v>27</v>
      </c>
      <c r="H766" s="6" t="str">
        <f aca="false">DEC2HEX(C766+48,2)</f>
        <v>BD</v>
      </c>
      <c r="I766" s="6" t="str">
        <f aca="false">_xlfn.CONCAT("\x", G766, "\x", H766, "=", F766)</f>
        <v>\x27\xBD=리</v>
      </c>
      <c r="M766" s="7" t="s">
        <v>742</v>
      </c>
      <c r="N766" s="6" t="str">
        <f aca="false">_xlfn.CONCAT("\x", DEC2HEX(D766+44, 2), "\x", H766, "=", M766)</f>
        <v>\x2F\xBD=過</v>
      </c>
    </row>
    <row r="767" customFormat="false" ht="12.8" hidden="false" customHeight="true" outlineLevel="0" collapsed="false">
      <c r="C767" s="6" t="n">
        <f aca="false">MOD(ROW()-1, 208)</f>
        <v>142</v>
      </c>
      <c r="D767" s="6" t="n">
        <f aca="false">INT((ROW()-1)/208)</f>
        <v>3</v>
      </c>
      <c r="F767" s="6" t="str">
        <f aca="false">MID(VLOOKUP(D767,$P$1:$Q$13,2,0), 1 + C767,1)</f>
        <v>릭</v>
      </c>
      <c r="G767" s="6" t="str">
        <f aca="false">DEC2HEX(D767+36, 2)</f>
        <v>27</v>
      </c>
      <c r="H767" s="6" t="str">
        <f aca="false">DEC2HEX(C767+48,2)</f>
        <v>BE</v>
      </c>
      <c r="I767" s="6" t="str">
        <f aca="false">_xlfn.CONCAT("\x", G767, "\x", H767, "=", F767)</f>
        <v>\x27\xBE=릭</v>
      </c>
      <c r="M767" s="7" t="s">
        <v>743</v>
      </c>
      <c r="N767" s="6" t="str">
        <f aca="false">_xlfn.CONCAT("\x", DEC2HEX(D767+44, 2), "\x", H767, "=", M767)</f>
        <v>\x2F\xBE=食</v>
      </c>
    </row>
    <row r="768" customFormat="false" ht="12.8" hidden="false" customHeight="true" outlineLevel="0" collapsed="false">
      <c r="C768" s="6" t="n">
        <f aca="false">MOD(ROW()-1, 208)</f>
        <v>143</v>
      </c>
      <c r="D768" s="6" t="n">
        <f aca="false">INT((ROW()-1)/208)</f>
        <v>3</v>
      </c>
      <c r="F768" s="6" t="str">
        <f aca="false">MID(VLOOKUP(D768,$P$1:$Q$13,2,0), 1 + C768,1)</f>
        <v>린</v>
      </c>
      <c r="G768" s="6" t="str">
        <f aca="false">DEC2HEX(D768+36, 2)</f>
        <v>27</v>
      </c>
      <c r="H768" s="6" t="str">
        <f aca="false">DEC2HEX(C768+48,2)</f>
        <v>BF</v>
      </c>
      <c r="I768" s="6" t="str">
        <f aca="false">_xlfn.CONCAT("\x", G768, "\x", H768, "=", F768)</f>
        <v>\x27\xBF=린</v>
      </c>
      <c r="M768" s="7" t="s">
        <v>744</v>
      </c>
      <c r="N768" s="6" t="str">
        <f aca="false">_xlfn.CONCAT("\x", DEC2HEX(D768+44, 2), "\x", H768, "=", M768)</f>
        <v>\x2F\xBF=耐</v>
      </c>
    </row>
    <row r="769" customFormat="false" ht="12.8" hidden="false" customHeight="true" outlineLevel="0" collapsed="false">
      <c r="C769" s="6" t="n">
        <f aca="false">MOD(ROW()-1, 208)</f>
        <v>144</v>
      </c>
      <c r="D769" s="6" t="n">
        <f aca="false">INT((ROW()-1)/208)</f>
        <v>3</v>
      </c>
      <c r="F769" s="6" t="str">
        <f aca="false">MID(VLOOKUP(D769,$P$1:$Q$13,2,0), 1 + C769,1)</f>
        <v>릴</v>
      </c>
      <c r="G769" s="6" t="str">
        <f aca="false">DEC2HEX(D769+36, 2)</f>
        <v>27</v>
      </c>
      <c r="H769" s="6" t="str">
        <f aca="false">DEC2HEX(C769+48,2)</f>
        <v>C0</v>
      </c>
      <c r="I769" s="6" t="str">
        <f aca="false">_xlfn.CONCAT("\x", G769, "\x", H769, "=", F769)</f>
        <v>\x27\xC0=릴</v>
      </c>
      <c r="M769" s="7" t="s">
        <v>745</v>
      </c>
      <c r="N769" s="6" t="str">
        <f aca="false">_xlfn.CONCAT("\x", DEC2HEX(D769+44, 2), "\x", H769, "=", M769)</f>
        <v>\x2F\xC0=激</v>
      </c>
    </row>
    <row r="770" customFormat="false" ht="12.8" hidden="false" customHeight="true" outlineLevel="0" collapsed="false">
      <c r="C770" s="6" t="n">
        <f aca="false">MOD(ROW()-1, 208)</f>
        <v>145</v>
      </c>
      <c r="D770" s="6" t="n">
        <f aca="false">INT((ROW()-1)/208)</f>
        <v>3</v>
      </c>
      <c r="F770" s="6" t="str">
        <f aca="false">MID(VLOOKUP(D770,$P$1:$Q$13,2,0), 1 + C770,1)</f>
        <v>림</v>
      </c>
      <c r="G770" s="6" t="str">
        <f aca="false">DEC2HEX(D770+36, 2)</f>
        <v>27</v>
      </c>
      <c r="H770" s="6" t="str">
        <f aca="false">DEC2HEX(C770+48,2)</f>
        <v>C1</v>
      </c>
      <c r="I770" s="6" t="str">
        <f aca="false">_xlfn.CONCAT("\x", G770, "\x", H770, "=", F770)</f>
        <v>\x27\xC1=림</v>
      </c>
      <c r="M770" s="7" t="s">
        <v>746</v>
      </c>
      <c r="N770" s="6" t="str">
        <f aca="false">_xlfn.CONCAT("\x", DEC2HEX(D770+44, 2), "\x", H770, "=", M770)</f>
        <v>\x2F\xC1=謝</v>
      </c>
    </row>
    <row r="771" customFormat="false" ht="12.8" hidden="false" customHeight="true" outlineLevel="0" collapsed="false">
      <c r="C771" s="6" t="n">
        <f aca="false">MOD(ROW()-1, 208)</f>
        <v>146</v>
      </c>
      <c r="D771" s="6" t="n">
        <f aca="false">INT((ROW()-1)/208)</f>
        <v>3</v>
      </c>
      <c r="F771" s="6" t="str">
        <f aca="false">MID(VLOOKUP(D771,$P$1:$Q$13,2,0), 1 + C771,1)</f>
        <v>립</v>
      </c>
      <c r="G771" s="6" t="str">
        <f aca="false">DEC2HEX(D771+36, 2)</f>
        <v>27</v>
      </c>
      <c r="H771" s="6" t="str">
        <f aca="false">DEC2HEX(C771+48,2)</f>
        <v>C2</v>
      </c>
      <c r="I771" s="6" t="str">
        <f aca="false">_xlfn.CONCAT("\x", G771, "\x", H771, "=", F771)</f>
        <v>\x27\xC2=립</v>
      </c>
      <c r="M771" s="7" t="s">
        <v>747</v>
      </c>
      <c r="N771" s="6" t="str">
        <f aca="false">_xlfn.CONCAT("\x", DEC2HEX(D771+44, 2), "\x", H771, "=", M771)</f>
        <v>\x2F\xC2=走</v>
      </c>
    </row>
    <row r="772" customFormat="false" ht="12.8" hidden="false" customHeight="true" outlineLevel="0" collapsed="false">
      <c r="C772" s="6" t="n">
        <f aca="false">MOD(ROW()-1, 208)</f>
        <v>147</v>
      </c>
      <c r="D772" s="6" t="n">
        <f aca="false">INT((ROW()-1)/208)</f>
        <v>3</v>
      </c>
      <c r="F772" s="6" t="str">
        <f aca="false">MID(VLOOKUP(D772,$P$1:$Q$13,2,0), 1 + C772,1)</f>
        <v>릿</v>
      </c>
      <c r="G772" s="6" t="str">
        <f aca="false">DEC2HEX(D772+36, 2)</f>
        <v>27</v>
      </c>
      <c r="H772" s="6" t="str">
        <f aca="false">DEC2HEX(C772+48,2)</f>
        <v>C3</v>
      </c>
      <c r="I772" s="6" t="str">
        <f aca="false">_xlfn.CONCAT("\x", G772, "\x", H772, "=", F772)</f>
        <v>\x27\xC3=릿</v>
      </c>
      <c r="M772" s="7" t="s">
        <v>748</v>
      </c>
      <c r="N772" s="6" t="str">
        <f aca="false">_xlfn.CONCAT("\x", DEC2HEX(D772+44, 2), "\x", H772, "=", M772)</f>
        <v>\x2F\xC3=痛</v>
      </c>
    </row>
    <row r="773" customFormat="false" ht="12.8" hidden="false" customHeight="true" outlineLevel="0" collapsed="false">
      <c r="C773" s="6" t="n">
        <f aca="false">MOD(ROW()-1, 208)</f>
        <v>148</v>
      </c>
      <c r="D773" s="6" t="n">
        <f aca="false">INT((ROW()-1)/208)</f>
        <v>3</v>
      </c>
      <c r="F773" s="6" t="str">
        <f aca="false">MID(VLOOKUP(D773,$P$1:$Q$13,2,0), 1 + C773,1)</f>
        <v>링</v>
      </c>
      <c r="G773" s="6" t="str">
        <f aca="false">DEC2HEX(D773+36, 2)</f>
        <v>27</v>
      </c>
      <c r="H773" s="6" t="str">
        <f aca="false">DEC2HEX(C773+48,2)</f>
        <v>C4</v>
      </c>
      <c r="I773" s="6" t="str">
        <f aca="false">_xlfn.CONCAT("\x", G773, "\x", H773, "=", F773)</f>
        <v>\x27\xC4=링</v>
      </c>
      <c r="M773" s="7" t="s">
        <v>749</v>
      </c>
      <c r="N773" s="6" t="str">
        <f aca="false">_xlfn.CONCAT("\x", DEC2HEX(D773+44, 2), "\x", H773, "=", M773)</f>
        <v>\x2F\xC4=我</v>
      </c>
    </row>
    <row r="774" customFormat="false" ht="12.8" hidden="false" customHeight="true" outlineLevel="0" collapsed="false">
      <c r="C774" s="6" t="n">
        <f aca="false">MOD(ROW()-1, 208)</f>
        <v>149</v>
      </c>
      <c r="D774" s="6" t="n">
        <f aca="false">INT((ROW()-1)/208)</f>
        <v>3</v>
      </c>
      <c r="F774" s="6" t="str">
        <f aca="false">MID(VLOOKUP(D774,$P$1:$Q$13,2,0), 1 + C774,1)</f>
        <v>마</v>
      </c>
      <c r="G774" s="6" t="str">
        <f aca="false">DEC2HEX(D774+36, 2)</f>
        <v>27</v>
      </c>
      <c r="H774" s="6" t="str">
        <f aca="false">DEC2HEX(C774+48,2)</f>
        <v>C5</v>
      </c>
      <c r="I774" s="6" t="str">
        <f aca="false">_xlfn.CONCAT("\x", G774, "\x", H774, "=", F774)</f>
        <v>\x27\xC5=마</v>
      </c>
      <c r="M774" s="7" t="s">
        <v>750</v>
      </c>
      <c r="N774" s="6" t="str">
        <f aca="false">_xlfn.CONCAT("\x", DEC2HEX(D774+44, 2), "\x", H774, "=", M774)</f>
        <v>\x2F\xC5=約</v>
      </c>
    </row>
    <row r="775" customFormat="false" ht="12.8" hidden="false" customHeight="true" outlineLevel="0" collapsed="false">
      <c r="C775" s="6" t="n">
        <f aca="false">MOD(ROW()-1, 208)</f>
        <v>150</v>
      </c>
      <c r="D775" s="6" t="n">
        <f aca="false">INT((ROW()-1)/208)</f>
        <v>3</v>
      </c>
      <c r="F775" s="6" t="str">
        <f aca="false">MID(VLOOKUP(D775,$P$1:$Q$13,2,0), 1 + C775,1)</f>
        <v>막</v>
      </c>
      <c r="G775" s="6" t="str">
        <f aca="false">DEC2HEX(D775+36, 2)</f>
        <v>27</v>
      </c>
      <c r="H775" s="6" t="str">
        <f aca="false">DEC2HEX(C775+48,2)</f>
        <v>C6</v>
      </c>
      <c r="I775" s="6" t="str">
        <f aca="false">_xlfn.CONCAT("\x", G775, "\x", H775, "=", F775)</f>
        <v>\x27\xC6=막</v>
      </c>
      <c r="M775" s="7" t="s">
        <v>751</v>
      </c>
      <c r="N775" s="6" t="str">
        <f aca="false">_xlfn.CONCAT("\x", DEC2HEX(D775+44, 2), "\x", H775, "=", M775)</f>
        <v>\x2F\xC6=照</v>
      </c>
    </row>
    <row r="776" customFormat="false" ht="12.8" hidden="false" customHeight="true" outlineLevel="0" collapsed="false">
      <c r="C776" s="6" t="n">
        <f aca="false">MOD(ROW()-1, 208)</f>
        <v>151</v>
      </c>
      <c r="D776" s="6" t="n">
        <f aca="false">INT((ROW()-1)/208)</f>
        <v>3</v>
      </c>
      <c r="F776" s="6" t="str">
        <f aca="false">MID(VLOOKUP(D776,$P$1:$Q$13,2,0), 1 + C776,1)</f>
        <v>만</v>
      </c>
      <c r="G776" s="6" t="str">
        <f aca="false">DEC2HEX(D776+36, 2)</f>
        <v>27</v>
      </c>
      <c r="H776" s="6" t="str">
        <f aca="false">DEC2HEX(C776+48,2)</f>
        <v>C7</v>
      </c>
      <c r="I776" s="6" t="str">
        <f aca="false">_xlfn.CONCAT("\x", G776, "\x", H776, "=", F776)</f>
        <v>\x27\xC7=만</v>
      </c>
      <c r="M776" s="7" t="s">
        <v>752</v>
      </c>
      <c r="N776" s="6" t="str">
        <f aca="false">_xlfn.CONCAT("\x", DEC2HEX(D776+44, 2), "\x", H776, "=", M776)</f>
        <v>\x2F\xC7=詠</v>
      </c>
    </row>
    <row r="777" customFormat="false" ht="12.8" hidden="false" customHeight="true" outlineLevel="0" collapsed="false">
      <c r="C777" s="6" t="n">
        <f aca="false">MOD(ROW()-1, 208)</f>
        <v>152</v>
      </c>
      <c r="D777" s="6" t="n">
        <f aca="false">INT((ROW()-1)/208)</f>
        <v>3</v>
      </c>
      <c r="F777" s="6" t="str">
        <f aca="false">MID(VLOOKUP(D777,$P$1:$Q$13,2,0), 1 + C777,1)</f>
        <v>많</v>
      </c>
      <c r="G777" s="6" t="str">
        <f aca="false">DEC2HEX(D777+36, 2)</f>
        <v>27</v>
      </c>
      <c r="H777" s="6" t="str">
        <f aca="false">DEC2HEX(C777+48,2)</f>
        <v>C8</v>
      </c>
      <c r="I777" s="6" t="str">
        <f aca="false">_xlfn.CONCAT("\x", G777, "\x", H777, "=", F777)</f>
        <v>\x27\xC8=많</v>
      </c>
      <c r="M777" s="7" t="s">
        <v>753</v>
      </c>
      <c r="N777" s="6" t="str">
        <f aca="false">_xlfn.CONCAT("\x", DEC2HEX(D777+44, 2), "\x", H777, "=", M777)</f>
        <v>\x2F\xC8=唱</v>
      </c>
    </row>
    <row r="778" customFormat="false" ht="12.8" hidden="false" customHeight="true" outlineLevel="0" collapsed="false">
      <c r="C778" s="6" t="n">
        <f aca="false">MOD(ROW()-1, 208)</f>
        <v>153</v>
      </c>
      <c r="D778" s="6" t="n">
        <f aca="false">INT((ROW()-1)/208)</f>
        <v>3</v>
      </c>
      <c r="F778" s="6" t="str">
        <f aca="false">MID(VLOOKUP(D778,$P$1:$Q$13,2,0), 1 + C778,1)</f>
        <v>맏</v>
      </c>
      <c r="G778" s="6" t="str">
        <f aca="false">DEC2HEX(D778+36, 2)</f>
        <v>27</v>
      </c>
      <c r="H778" s="6" t="str">
        <f aca="false">DEC2HEX(C778+48,2)</f>
        <v>C9</v>
      </c>
      <c r="I778" s="6" t="str">
        <f aca="false">_xlfn.CONCAT("\x", G778, "\x", H778, "=", F778)</f>
        <v>\x27\xC9=맏</v>
      </c>
      <c r="M778" s="7" t="s">
        <v>754</v>
      </c>
      <c r="N778" s="6" t="str">
        <f aca="false">_xlfn.CONCAT("\x", DEC2HEX(D778+44, 2), "\x", H778, "=", M778)</f>
        <v>\x2F\xC9=嵐</v>
      </c>
    </row>
    <row r="779" customFormat="false" ht="12.8" hidden="false" customHeight="true" outlineLevel="0" collapsed="false">
      <c r="C779" s="6" t="n">
        <f aca="false">MOD(ROW()-1, 208)</f>
        <v>154</v>
      </c>
      <c r="D779" s="6" t="n">
        <f aca="false">INT((ROW()-1)/208)</f>
        <v>3</v>
      </c>
      <c r="F779" s="6" t="str">
        <f aca="false">MID(VLOOKUP(D779,$P$1:$Q$13,2,0), 1 + C779,1)</f>
        <v>말</v>
      </c>
      <c r="G779" s="6" t="str">
        <f aca="false">DEC2HEX(D779+36, 2)</f>
        <v>27</v>
      </c>
      <c r="H779" s="6" t="str">
        <f aca="false">DEC2HEX(C779+48,2)</f>
        <v>CA</v>
      </c>
      <c r="I779" s="6" t="str">
        <f aca="false">_xlfn.CONCAT("\x", G779, "\x", H779, "=", F779)</f>
        <v>\x27\xCA=말</v>
      </c>
      <c r="M779" s="7" t="s">
        <v>755</v>
      </c>
      <c r="N779" s="6" t="str">
        <f aca="false">_xlfn.CONCAT("\x", DEC2HEX(D779+44, 2), "\x", H779, "=", M779)</f>
        <v>\x2F\xCA=燃</v>
      </c>
    </row>
    <row r="780" customFormat="false" ht="12.8" hidden="false" customHeight="true" outlineLevel="0" collapsed="false">
      <c r="C780" s="6" t="n">
        <f aca="false">MOD(ROW()-1, 208)</f>
        <v>155</v>
      </c>
      <c r="D780" s="6" t="n">
        <f aca="false">INT((ROW()-1)/208)</f>
        <v>3</v>
      </c>
      <c r="F780" s="6" t="str">
        <f aca="false">MID(VLOOKUP(D780,$P$1:$Q$13,2,0), 1 + C780,1)</f>
        <v>맑</v>
      </c>
      <c r="G780" s="6" t="str">
        <f aca="false">DEC2HEX(D780+36, 2)</f>
        <v>27</v>
      </c>
      <c r="H780" s="6" t="str">
        <f aca="false">DEC2HEX(C780+48,2)</f>
        <v>CB</v>
      </c>
      <c r="I780" s="6" t="str">
        <f aca="false">_xlfn.CONCAT("\x", G780, "\x", H780, "=", F780)</f>
        <v>\x27\xCB=맑</v>
      </c>
      <c r="M780" s="7" t="s">
        <v>756</v>
      </c>
      <c r="N780" s="6" t="str">
        <f aca="false">_xlfn.CONCAT("\x", DEC2HEX(D780+44, 2), "\x", H780, "=", M780)</f>
        <v>\x2F\xCB=好</v>
      </c>
    </row>
    <row r="781" customFormat="false" ht="12.8" hidden="false" customHeight="true" outlineLevel="0" collapsed="false">
      <c r="C781" s="6" t="n">
        <f aca="false">MOD(ROW()-1, 208)</f>
        <v>156</v>
      </c>
      <c r="D781" s="6" t="n">
        <f aca="false">INT((ROW()-1)/208)</f>
        <v>3</v>
      </c>
      <c r="F781" s="6" t="str">
        <f aca="false">MID(VLOOKUP(D781,$P$1:$Q$13,2,0), 1 + C781,1)</f>
        <v>맒</v>
      </c>
      <c r="G781" s="6" t="str">
        <f aca="false">DEC2HEX(D781+36, 2)</f>
        <v>27</v>
      </c>
      <c r="H781" s="6" t="str">
        <f aca="false">DEC2HEX(C781+48,2)</f>
        <v>CC</v>
      </c>
      <c r="I781" s="6" t="str">
        <f aca="false">_xlfn.CONCAT("\x", G781, "\x", H781, "=", F781)</f>
        <v>\x27\xCC=맒</v>
      </c>
      <c r="M781" s="7" t="s">
        <v>757</v>
      </c>
      <c r="N781" s="6" t="str">
        <f aca="false">_xlfn.CONCAT("\x", DEC2HEX(D781+44, 2), "\x", H781, "=", M781)</f>
        <v>\x2F\xCC=血</v>
      </c>
    </row>
    <row r="782" customFormat="false" ht="12.8" hidden="false" customHeight="true" outlineLevel="0" collapsed="false">
      <c r="C782" s="6" t="n">
        <f aca="false">MOD(ROW()-1, 208)</f>
        <v>157</v>
      </c>
      <c r="D782" s="6" t="n">
        <f aca="false">INT((ROW()-1)/208)</f>
        <v>3</v>
      </c>
      <c r="F782" s="6" t="str">
        <f aca="false">MID(VLOOKUP(D782,$P$1:$Q$13,2,0), 1 + C782,1)</f>
        <v>맘</v>
      </c>
      <c r="G782" s="6" t="str">
        <f aca="false">DEC2HEX(D782+36, 2)</f>
        <v>27</v>
      </c>
      <c r="H782" s="6" t="str">
        <f aca="false">DEC2HEX(C782+48,2)</f>
        <v>CD</v>
      </c>
      <c r="I782" s="6" t="str">
        <f aca="false">_xlfn.CONCAT("\x", G782, "\x", H782, "=", F782)</f>
        <v>\x27\xCD=맘</v>
      </c>
      <c r="M782" s="7" t="s">
        <v>758</v>
      </c>
      <c r="N782" s="6" t="str">
        <f aca="false">_xlfn.CONCAT("\x", DEC2HEX(D782+44, 2), "\x", H782, "=", M782)</f>
        <v>\x2F\xCD=色</v>
      </c>
    </row>
    <row r="783" customFormat="false" ht="12.8" hidden="false" customHeight="true" outlineLevel="0" collapsed="false">
      <c r="C783" s="6" t="n">
        <f aca="false">MOD(ROW()-1, 208)</f>
        <v>158</v>
      </c>
      <c r="D783" s="6" t="n">
        <f aca="false">INT((ROW()-1)/208)</f>
        <v>3</v>
      </c>
      <c r="F783" s="6" t="str">
        <f aca="false">MID(VLOOKUP(D783,$P$1:$Q$13,2,0), 1 + C783,1)</f>
        <v>맙</v>
      </c>
      <c r="G783" s="6" t="str">
        <f aca="false">DEC2HEX(D783+36, 2)</f>
        <v>27</v>
      </c>
      <c r="H783" s="6" t="str">
        <f aca="false">DEC2HEX(C783+48,2)</f>
        <v>CE</v>
      </c>
      <c r="I783" s="6" t="str">
        <f aca="false">_xlfn.CONCAT("\x", G783, "\x", H783, "=", F783)</f>
        <v>\x27\xCE=맙</v>
      </c>
      <c r="M783" s="7" t="s">
        <v>759</v>
      </c>
      <c r="N783" s="6" t="str">
        <f aca="false">_xlfn.CONCAT("\x", DEC2HEX(D783+44, 2), "\x", H783, "=", M783)</f>
        <v>\x2F\xCE=瞬</v>
      </c>
    </row>
    <row r="784" customFormat="false" ht="12.8" hidden="false" customHeight="true" outlineLevel="0" collapsed="false">
      <c r="C784" s="6" t="n">
        <f aca="false">MOD(ROW()-1, 208)</f>
        <v>159</v>
      </c>
      <c r="D784" s="6" t="n">
        <f aca="false">INT((ROW()-1)/208)</f>
        <v>3</v>
      </c>
      <c r="F784" s="6" t="str">
        <f aca="false">MID(VLOOKUP(D784,$P$1:$Q$13,2,0), 1 + C784,1)</f>
        <v>맛</v>
      </c>
      <c r="G784" s="6" t="str">
        <f aca="false">DEC2HEX(D784+36, 2)</f>
        <v>27</v>
      </c>
      <c r="H784" s="6" t="str">
        <f aca="false">DEC2HEX(C784+48,2)</f>
        <v>CF</v>
      </c>
      <c r="I784" s="6" t="str">
        <f aca="false">_xlfn.CONCAT("\x", G784, "\x", H784, "=", F784)</f>
        <v>\x27\xCF=맛</v>
      </c>
      <c r="M784" s="7" t="s">
        <v>760</v>
      </c>
      <c r="N784" s="6" t="str">
        <f aca="false">_xlfn.CONCAT("\x", DEC2HEX(D784+44, 2), "\x", H784, "=", M784)</f>
        <v>\x2F\xCF=誓</v>
      </c>
    </row>
    <row r="785" customFormat="false" ht="12.8" hidden="false" customHeight="true" outlineLevel="0" collapsed="false">
      <c r="C785" s="6" t="n">
        <f aca="false">MOD(ROW()-1, 208)</f>
        <v>160</v>
      </c>
      <c r="D785" s="6" t="n">
        <f aca="false">INT((ROW()-1)/208)</f>
        <v>3</v>
      </c>
      <c r="F785" s="6" t="str">
        <f aca="false">MID(VLOOKUP(D785,$P$1:$Q$13,2,0), 1 + C785,1)</f>
        <v>망</v>
      </c>
      <c r="G785" s="6" t="str">
        <f aca="false">DEC2HEX(D785+36, 2)</f>
        <v>27</v>
      </c>
      <c r="H785" s="6" t="str">
        <f aca="false">DEC2HEX(C785+48,2)</f>
        <v>D0</v>
      </c>
      <c r="I785" s="6" t="str">
        <f aca="false">_xlfn.CONCAT("\x", G785, "\x", H785, "=", F785)</f>
        <v>\x27\xD0=망</v>
      </c>
      <c r="M785" s="7" t="s">
        <v>761</v>
      </c>
      <c r="N785" s="6" t="str">
        <f aca="false">_xlfn.CONCAT("\x", DEC2HEX(D785+44, 2), "\x", H785, "=", M785)</f>
        <v>\x2F\xD0=揮</v>
      </c>
    </row>
    <row r="786" customFormat="false" ht="12.8" hidden="false" customHeight="true" outlineLevel="0" collapsed="false">
      <c r="C786" s="6" t="n">
        <f aca="false">MOD(ROW()-1, 208)</f>
        <v>161</v>
      </c>
      <c r="D786" s="6" t="n">
        <f aca="false">INT((ROW()-1)/208)</f>
        <v>3</v>
      </c>
      <c r="F786" s="6" t="str">
        <f aca="false">MID(VLOOKUP(D786,$P$1:$Q$13,2,0), 1 + C786,1)</f>
        <v>맞</v>
      </c>
      <c r="G786" s="6" t="str">
        <f aca="false">DEC2HEX(D786+36, 2)</f>
        <v>27</v>
      </c>
      <c r="H786" s="6" t="str">
        <f aca="false">DEC2HEX(C786+48,2)</f>
        <v>D1</v>
      </c>
      <c r="I786" s="6" t="str">
        <f aca="false">_xlfn.CONCAT("\x", G786, "\x", H786, "=", F786)</f>
        <v>\x27\xD1=맞</v>
      </c>
      <c r="M786" s="7" t="s">
        <v>762</v>
      </c>
      <c r="N786" s="6" t="str">
        <f aca="false">_xlfn.CONCAT("\x", DEC2HEX(D786+44, 2), "\x", H786, "=", M786)</f>
        <v>\x2F\xD1=絶</v>
      </c>
    </row>
    <row r="787" customFormat="false" ht="12.8" hidden="false" customHeight="true" outlineLevel="0" collapsed="false">
      <c r="C787" s="6" t="n">
        <f aca="false">MOD(ROW()-1, 208)</f>
        <v>162</v>
      </c>
      <c r="D787" s="6" t="n">
        <f aca="false">INT((ROW()-1)/208)</f>
        <v>3</v>
      </c>
      <c r="F787" s="6" t="str">
        <f aca="false">MID(VLOOKUP(D787,$P$1:$Q$13,2,0), 1 + C787,1)</f>
        <v>맡</v>
      </c>
      <c r="G787" s="6" t="str">
        <f aca="false">DEC2HEX(D787+36, 2)</f>
        <v>27</v>
      </c>
      <c r="H787" s="6" t="str">
        <f aca="false">DEC2HEX(C787+48,2)</f>
        <v>D2</v>
      </c>
      <c r="I787" s="6" t="str">
        <f aca="false">_xlfn.CONCAT("\x", G787, "\x", H787, "=", F787)</f>
        <v>\x27\xD2=맡</v>
      </c>
      <c r="M787" s="7" t="s">
        <v>763</v>
      </c>
      <c r="N787" s="6" t="str">
        <f aca="false">_xlfn.CONCAT("\x", DEC2HEX(D787+44, 2), "\x", H787, "=", M787)</f>
        <v>\x2F\xD2=嫌</v>
      </c>
    </row>
    <row r="788" customFormat="false" ht="12.8" hidden="false" customHeight="true" outlineLevel="0" collapsed="false">
      <c r="C788" s="6" t="n">
        <f aca="false">MOD(ROW()-1, 208)</f>
        <v>163</v>
      </c>
      <c r="D788" s="6" t="n">
        <f aca="false">INT((ROW()-1)/208)</f>
        <v>3</v>
      </c>
      <c r="F788" s="6" t="str">
        <f aca="false">MID(VLOOKUP(D788,$P$1:$Q$13,2,0), 1 + C788,1)</f>
        <v>맣</v>
      </c>
      <c r="G788" s="6" t="str">
        <f aca="false">DEC2HEX(D788+36, 2)</f>
        <v>27</v>
      </c>
      <c r="H788" s="6" t="str">
        <f aca="false">DEC2HEX(C788+48,2)</f>
        <v>D3</v>
      </c>
      <c r="I788" s="6" t="str">
        <f aca="false">_xlfn.CONCAT("\x", G788, "\x", H788, "=", F788)</f>
        <v>\x27\xD3=맣</v>
      </c>
      <c r="M788" s="7" t="s">
        <v>764</v>
      </c>
      <c r="N788" s="6" t="str">
        <f aca="false">_xlfn.CONCAT("\x", DEC2HEX(D788+44, 2), "\x", H788, "=", M788)</f>
        <v>\x2F\xD3=将</v>
      </c>
    </row>
    <row r="789" customFormat="false" ht="12.8" hidden="false" customHeight="true" outlineLevel="0" collapsed="false">
      <c r="C789" s="6" t="n">
        <f aca="false">MOD(ROW()-1, 208)</f>
        <v>164</v>
      </c>
      <c r="D789" s="6" t="n">
        <f aca="false">INT((ROW()-1)/208)</f>
        <v>3</v>
      </c>
      <c r="F789" s="6" t="str">
        <f aca="false">MID(VLOOKUP(D789,$P$1:$Q$13,2,0), 1 + C789,1)</f>
        <v>매</v>
      </c>
      <c r="G789" s="6" t="str">
        <f aca="false">DEC2HEX(D789+36, 2)</f>
        <v>27</v>
      </c>
      <c r="H789" s="6" t="str">
        <f aca="false">DEC2HEX(C789+48,2)</f>
        <v>D4</v>
      </c>
      <c r="I789" s="6" t="str">
        <f aca="false">_xlfn.CONCAT("\x", G789, "\x", H789, "=", F789)</f>
        <v>\x27\xD4=매</v>
      </c>
      <c r="M789" s="7" t="s">
        <v>765</v>
      </c>
      <c r="N789" s="6" t="str">
        <f aca="false">_xlfn.CONCAT("\x", DEC2HEX(D789+44, 2), "\x", H789, "=", M789)</f>
        <v>\x2F\xD4=扱</v>
      </c>
    </row>
    <row r="790" customFormat="false" ht="12.8" hidden="false" customHeight="true" outlineLevel="0" collapsed="false">
      <c r="C790" s="6" t="n">
        <f aca="false">MOD(ROW()-1, 208)</f>
        <v>165</v>
      </c>
      <c r="D790" s="6" t="n">
        <f aca="false">INT((ROW()-1)/208)</f>
        <v>3</v>
      </c>
      <c r="F790" s="6" t="str">
        <f aca="false">MID(VLOOKUP(D790,$P$1:$Q$13,2,0), 1 + C790,1)</f>
        <v>맥</v>
      </c>
      <c r="G790" s="6" t="str">
        <f aca="false">DEC2HEX(D790+36, 2)</f>
        <v>27</v>
      </c>
      <c r="H790" s="6" t="str">
        <f aca="false">DEC2HEX(C790+48,2)</f>
        <v>D5</v>
      </c>
      <c r="I790" s="6" t="str">
        <f aca="false">_xlfn.CONCAT("\x", G790, "\x", H790, "=", F790)</f>
        <v>\x27\xD5=맥</v>
      </c>
      <c r="M790" s="7" t="s">
        <v>766</v>
      </c>
      <c r="N790" s="6" t="str">
        <f aca="false">_xlfn.CONCAT("\x", DEC2HEX(D790+44, 2), "\x", H790, "=", M790)</f>
        <v>\x2F\xD5=從</v>
      </c>
    </row>
    <row r="791" customFormat="false" ht="12.8" hidden="false" customHeight="true" outlineLevel="0" collapsed="false">
      <c r="C791" s="6" t="n">
        <f aca="false">MOD(ROW()-1, 208)</f>
        <v>166</v>
      </c>
      <c r="D791" s="6" t="n">
        <f aca="false">INT((ROW()-1)/208)</f>
        <v>3</v>
      </c>
      <c r="F791" s="6" t="str">
        <f aca="false">MID(VLOOKUP(D791,$P$1:$Q$13,2,0), 1 + C791,1)</f>
        <v>맨</v>
      </c>
      <c r="G791" s="6" t="str">
        <f aca="false">DEC2HEX(D791+36, 2)</f>
        <v>27</v>
      </c>
      <c r="H791" s="6" t="str">
        <f aca="false">DEC2HEX(C791+48,2)</f>
        <v>D6</v>
      </c>
      <c r="I791" s="6" t="str">
        <f aca="false">_xlfn.CONCAT("\x", G791, "\x", H791, "=", F791)</f>
        <v>\x27\xD6=맨</v>
      </c>
      <c r="M791" s="8"/>
      <c r="N791" s="6" t="str">
        <f aca="false">_xlfn.CONCAT("\x", DEC2HEX(D791+44, 2), "\x", H791, "=", M791)</f>
        <v>\x2F\xD6=</v>
      </c>
    </row>
    <row r="792" customFormat="false" ht="12.8" hidden="false" customHeight="true" outlineLevel="0" collapsed="false">
      <c r="C792" s="6" t="n">
        <f aca="false">MOD(ROW()-1, 208)</f>
        <v>167</v>
      </c>
      <c r="D792" s="6" t="n">
        <f aca="false">INT((ROW()-1)/208)</f>
        <v>3</v>
      </c>
      <c r="F792" s="6" t="str">
        <f aca="false">MID(VLOOKUP(D792,$P$1:$Q$13,2,0), 1 + C792,1)</f>
        <v>맬</v>
      </c>
      <c r="G792" s="6" t="str">
        <f aca="false">DEC2HEX(D792+36, 2)</f>
        <v>27</v>
      </c>
      <c r="H792" s="6" t="str">
        <f aca="false">DEC2HEX(C792+48,2)</f>
        <v>D7</v>
      </c>
      <c r="I792" s="6" t="str">
        <f aca="false">_xlfn.CONCAT("\x", G792, "\x", H792, "=", F792)</f>
        <v>\x27\xD7=맬</v>
      </c>
      <c r="M792" s="8"/>
      <c r="N792" s="6" t="str">
        <f aca="false">_xlfn.CONCAT("\x", DEC2HEX(D792+44, 2), "\x", H792, "=", M792)</f>
        <v>\x2F\xD7=</v>
      </c>
    </row>
    <row r="793" customFormat="false" ht="12.8" hidden="false" customHeight="true" outlineLevel="0" collapsed="false">
      <c r="C793" s="6" t="n">
        <f aca="false">MOD(ROW()-1, 208)</f>
        <v>168</v>
      </c>
      <c r="D793" s="6" t="n">
        <f aca="false">INT((ROW()-1)/208)</f>
        <v>3</v>
      </c>
      <c r="F793" s="6" t="str">
        <f aca="false">MID(VLOOKUP(D793,$P$1:$Q$13,2,0), 1 + C793,1)</f>
        <v>맴</v>
      </c>
      <c r="G793" s="6" t="str">
        <f aca="false">DEC2HEX(D793+36, 2)</f>
        <v>27</v>
      </c>
      <c r="H793" s="6" t="str">
        <f aca="false">DEC2HEX(C793+48,2)</f>
        <v>D8</v>
      </c>
      <c r="I793" s="6" t="str">
        <f aca="false">_xlfn.CONCAT("\x", G793, "\x", H793, "=", F793)</f>
        <v>\x27\xD8=맴</v>
      </c>
      <c r="M793" s="8"/>
      <c r="N793" s="6" t="str">
        <f aca="false">_xlfn.CONCAT("\x", DEC2HEX(D793+44, 2), "\x", H793, "=", M793)</f>
        <v>\x2F\xD8=</v>
      </c>
    </row>
    <row r="794" customFormat="false" ht="12.8" hidden="false" customHeight="true" outlineLevel="0" collapsed="false">
      <c r="C794" s="6" t="n">
        <f aca="false">MOD(ROW()-1, 208)</f>
        <v>169</v>
      </c>
      <c r="D794" s="6" t="n">
        <f aca="false">INT((ROW()-1)/208)</f>
        <v>3</v>
      </c>
      <c r="F794" s="6" t="str">
        <f aca="false">MID(VLOOKUP(D794,$P$1:$Q$13,2,0), 1 + C794,1)</f>
        <v>맵</v>
      </c>
      <c r="G794" s="6" t="str">
        <f aca="false">DEC2HEX(D794+36, 2)</f>
        <v>27</v>
      </c>
      <c r="H794" s="6" t="str">
        <f aca="false">DEC2HEX(C794+48,2)</f>
        <v>D9</v>
      </c>
      <c r="I794" s="6" t="str">
        <f aca="false">_xlfn.CONCAT("\x", G794, "\x", H794, "=", F794)</f>
        <v>\x27\xD9=맵</v>
      </c>
      <c r="M794" s="8"/>
      <c r="N794" s="6" t="str">
        <f aca="false">_xlfn.CONCAT("\x", DEC2HEX(D794+44, 2), "\x", H794, "=", M794)</f>
        <v>\x2F\xD9=</v>
      </c>
    </row>
    <row r="795" customFormat="false" ht="12.8" hidden="false" customHeight="true" outlineLevel="0" collapsed="false">
      <c r="C795" s="6" t="n">
        <f aca="false">MOD(ROW()-1, 208)</f>
        <v>170</v>
      </c>
      <c r="D795" s="6" t="n">
        <f aca="false">INT((ROW()-1)/208)</f>
        <v>3</v>
      </c>
      <c r="F795" s="6" t="str">
        <f aca="false">MID(VLOOKUP(D795,$P$1:$Q$13,2,0), 1 + C795,1)</f>
        <v>맷</v>
      </c>
      <c r="G795" s="6" t="str">
        <f aca="false">DEC2HEX(D795+36, 2)</f>
        <v>27</v>
      </c>
      <c r="H795" s="6" t="str">
        <f aca="false">DEC2HEX(C795+48,2)</f>
        <v>DA</v>
      </c>
      <c r="I795" s="6" t="str">
        <f aca="false">_xlfn.CONCAT("\x", G795, "\x", H795, "=", F795)</f>
        <v>\x27\xDA=맷</v>
      </c>
      <c r="M795" s="8"/>
      <c r="N795" s="6" t="str">
        <f aca="false">_xlfn.CONCAT("\x", DEC2HEX(D795+44, 2), "\x", H795, "=", M795)</f>
        <v>\x2F\xDA=</v>
      </c>
    </row>
    <row r="796" customFormat="false" ht="12.8" hidden="false" customHeight="true" outlineLevel="0" collapsed="false">
      <c r="C796" s="6" t="n">
        <f aca="false">MOD(ROW()-1, 208)</f>
        <v>171</v>
      </c>
      <c r="D796" s="6" t="n">
        <f aca="false">INT((ROW()-1)/208)</f>
        <v>3</v>
      </c>
      <c r="F796" s="6" t="str">
        <f aca="false">MID(VLOOKUP(D796,$P$1:$Q$13,2,0), 1 + C796,1)</f>
        <v>맸</v>
      </c>
      <c r="G796" s="6" t="str">
        <f aca="false">DEC2HEX(D796+36, 2)</f>
        <v>27</v>
      </c>
      <c r="H796" s="6" t="str">
        <f aca="false">DEC2HEX(C796+48,2)</f>
        <v>DB</v>
      </c>
      <c r="I796" s="6" t="str">
        <f aca="false">_xlfn.CONCAT("\x", G796, "\x", H796, "=", F796)</f>
        <v>\x27\xDB=맸</v>
      </c>
      <c r="M796" s="8"/>
      <c r="N796" s="6" t="str">
        <f aca="false">_xlfn.CONCAT("\x", DEC2HEX(D796+44, 2), "\x", H796, "=", M796)</f>
        <v>\x2F\xDB=</v>
      </c>
    </row>
    <row r="797" customFormat="false" ht="12.8" hidden="false" customHeight="true" outlineLevel="0" collapsed="false">
      <c r="C797" s="6" t="n">
        <f aca="false">MOD(ROW()-1, 208)</f>
        <v>172</v>
      </c>
      <c r="D797" s="6" t="n">
        <f aca="false">INT((ROW()-1)/208)</f>
        <v>3</v>
      </c>
      <c r="F797" s="6" t="str">
        <f aca="false">MID(VLOOKUP(D797,$P$1:$Q$13,2,0), 1 + C797,1)</f>
        <v>맹</v>
      </c>
      <c r="G797" s="6" t="str">
        <f aca="false">DEC2HEX(D797+36, 2)</f>
        <v>27</v>
      </c>
      <c r="H797" s="6" t="str">
        <f aca="false">DEC2HEX(C797+48,2)</f>
        <v>DC</v>
      </c>
      <c r="I797" s="6" t="str">
        <f aca="false">_xlfn.CONCAT("\x", G797, "\x", H797, "=", F797)</f>
        <v>\x27\xDC=맹</v>
      </c>
      <c r="M797" s="8"/>
      <c r="N797" s="6" t="str">
        <f aca="false">_xlfn.CONCAT("\x", DEC2HEX(D797+44, 2), "\x", H797, "=", M797)</f>
        <v>\x2F\xDC=</v>
      </c>
    </row>
    <row r="798" customFormat="false" ht="12.8" hidden="false" customHeight="true" outlineLevel="0" collapsed="false">
      <c r="C798" s="6" t="n">
        <f aca="false">MOD(ROW()-1, 208)</f>
        <v>173</v>
      </c>
      <c r="D798" s="6" t="n">
        <f aca="false">INT((ROW()-1)/208)</f>
        <v>3</v>
      </c>
      <c r="F798" s="6" t="str">
        <f aca="false">MID(VLOOKUP(D798,$P$1:$Q$13,2,0), 1 + C798,1)</f>
        <v>맺</v>
      </c>
      <c r="G798" s="6" t="str">
        <f aca="false">DEC2HEX(D798+36, 2)</f>
        <v>27</v>
      </c>
      <c r="H798" s="6" t="str">
        <f aca="false">DEC2HEX(C798+48,2)</f>
        <v>DD</v>
      </c>
      <c r="I798" s="6" t="str">
        <f aca="false">_xlfn.CONCAT("\x", G798, "\x", H798, "=", F798)</f>
        <v>\x27\xDD=맺</v>
      </c>
      <c r="M798" s="8"/>
      <c r="N798" s="6" t="str">
        <f aca="false">_xlfn.CONCAT("\x", DEC2HEX(D798+44, 2), "\x", H798, "=", M798)</f>
        <v>\x2F\xDD=</v>
      </c>
    </row>
    <row r="799" customFormat="false" ht="12.8" hidden="false" customHeight="true" outlineLevel="0" collapsed="false">
      <c r="C799" s="6" t="n">
        <f aca="false">MOD(ROW()-1, 208)</f>
        <v>174</v>
      </c>
      <c r="D799" s="6" t="n">
        <f aca="false">INT((ROW()-1)/208)</f>
        <v>3</v>
      </c>
      <c r="F799" s="6" t="str">
        <f aca="false">MID(VLOOKUP(D799,$P$1:$Q$13,2,0), 1 + C799,1)</f>
        <v>먀</v>
      </c>
      <c r="G799" s="6" t="str">
        <f aca="false">DEC2HEX(D799+36, 2)</f>
        <v>27</v>
      </c>
      <c r="H799" s="6" t="str">
        <f aca="false">DEC2HEX(C799+48,2)</f>
        <v>DE</v>
      </c>
      <c r="I799" s="6" t="str">
        <f aca="false">_xlfn.CONCAT("\x", G799, "\x", H799, "=", F799)</f>
        <v>\x27\xDE=먀</v>
      </c>
      <c r="M799" s="8"/>
      <c r="N799" s="6" t="str">
        <f aca="false">_xlfn.CONCAT("\x", DEC2HEX(D799+44, 2), "\x", H799, "=", M799)</f>
        <v>\x2F\xDE=</v>
      </c>
    </row>
    <row r="800" customFormat="false" ht="12.8" hidden="false" customHeight="true" outlineLevel="0" collapsed="false">
      <c r="C800" s="6" t="n">
        <f aca="false">MOD(ROW()-1, 208)</f>
        <v>175</v>
      </c>
      <c r="D800" s="6" t="n">
        <f aca="false">INT((ROW()-1)/208)</f>
        <v>3</v>
      </c>
      <c r="F800" s="6" t="str">
        <f aca="false">MID(VLOOKUP(D800,$P$1:$Q$13,2,0), 1 + C800,1)</f>
        <v>먁</v>
      </c>
      <c r="G800" s="6" t="str">
        <f aca="false">DEC2HEX(D800+36, 2)</f>
        <v>27</v>
      </c>
      <c r="H800" s="6" t="str">
        <f aca="false">DEC2HEX(C800+48,2)</f>
        <v>DF</v>
      </c>
      <c r="I800" s="6" t="str">
        <f aca="false">_xlfn.CONCAT("\x", G800, "\x", H800, "=", F800)</f>
        <v>\x27\xDF=먁</v>
      </c>
      <c r="M800" s="8"/>
      <c r="N800" s="6" t="str">
        <f aca="false">_xlfn.CONCAT("\x", DEC2HEX(D800+44, 2), "\x", H800, "=", M800)</f>
        <v>\x2F\xDF=</v>
      </c>
    </row>
    <row r="801" customFormat="false" ht="12.8" hidden="false" customHeight="true" outlineLevel="0" collapsed="false">
      <c r="C801" s="6" t="n">
        <f aca="false">MOD(ROW()-1, 208)</f>
        <v>176</v>
      </c>
      <c r="D801" s="6" t="n">
        <f aca="false">INT((ROW()-1)/208)</f>
        <v>3</v>
      </c>
      <c r="F801" s="6" t="str">
        <f aca="false">MID(VLOOKUP(D801,$P$1:$Q$13,2,0), 1 + C801,1)</f>
        <v>먈</v>
      </c>
      <c r="G801" s="6" t="str">
        <f aca="false">DEC2HEX(D801+36, 2)</f>
        <v>27</v>
      </c>
      <c r="H801" s="6" t="str">
        <f aca="false">DEC2HEX(C801+48,2)</f>
        <v>E0</v>
      </c>
      <c r="I801" s="6" t="str">
        <f aca="false">_xlfn.CONCAT("\x", G801, "\x", H801, "=", F801)</f>
        <v>\x27\xE0=먈</v>
      </c>
      <c r="M801" s="8"/>
      <c r="N801" s="6" t="str">
        <f aca="false">_xlfn.CONCAT("\x", DEC2HEX(D801+44, 2), "\x", H801, "=", M801)</f>
        <v>\x2F\xE0=</v>
      </c>
    </row>
    <row r="802" customFormat="false" ht="12.8" hidden="false" customHeight="true" outlineLevel="0" collapsed="false">
      <c r="C802" s="6" t="n">
        <f aca="false">MOD(ROW()-1, 208)</f>
        <v>177</v>
      </c>
      <c r="D802" s="6" t="n">
        <f aca="false">INT((ROW()-1)/208)</f>
        <v>3</v>
      </c>
      <c r="F802" s="6" t="str">
        <f aca="false">MID(VLOOKUP(D802,$P$1:$Q$13,2,0), 1 + C802,1)</f>
        <v>먕</v>
      </c>
      <c r="G802" s="6" t="str">
        <f aca="false">DEC2HEX(D802+36, 2)</f>
        <v>27</v>
      </c>
      <c r="H802" s="6" t="str">
        <f aca="false">DEC2HEX(C802+48,2)</f>
        <v>E1</v>
      </c>
      <c r="I802" s="6" t="str">
        <f aca="false">_xlfn.CONCAT("\x", G802, "\x", H802, "=", F802)</f>
        <v>\x27\xE1=먕</v>
      </c>
      <c r="M802" s="8"/>
      <c r="N802" s="6" t="str">
        <f aca="false">_xlfn.CONCAT("\x", DEC2HEX(D802+44, 2), "\x", H802, "=", M802)</f>
        <v>\x2F\xE1=</v>
      </c>
    </row>
    <row r="803" customFormat="false" ht="12.8" hidden="false" customHeight="true" outlineLevel="0" collapsed="false">
      <c r="C803" s="6" t="n">
        <f aca="false">MOD(ROW()-1, 208)</f>
        <v>178</v>
      </c>
      <c r="D803" s="6" t="n">
        <f aca="false">INT((ROW()-1)/208)</f>
        <v>3</v>
      </c>
      <c r="F803" s="6" t="str">
        <f aca="false">MID(VLOOKUP(D803,$P$1:$Q$13,2,0), 1 + C803,1)</f>
        <v>머</v>
      </c>
      <c r="G803" s="6" t="str">
        <f aca="false">DEC2HEX(D803+36, 2)</f>
        <v>27</v>
      </c>
      <c r="H803" s="6" t="str">
        <f aca="false">DEC2HEX(C803+48,2)</f>
        <v>E2</v>
      </c>
      <c r="I803" s="6" t="str">
        <f aca="false">_xlfn.CONCAT("\x", G803, "\x", H803, "=", F803)</f>
        <v>\x27\xE2=머</v>
      </c>
      <c r="M803" s="8"/>
      <c r="N803" s="6" t="str">
        <f aca="false">_xlfn.CONCAT("\x", DEC2HEX(D803+44, 2), "\x", H803, "=", M803)</f>
        <v>\x2F\xE2=</v>
      </c>
    </row>
    <row r="804" customFormat="false" ht="12.8" hidden="false" customHeight="true" outlineLevel="0" collapsed="false">
      <c r="C804" s="6" t="n">
        <f aca="false">MOD(ROW()-1, 208)</f>
        <v>179</v>
      </c>
      <c r="D804" s="6" t="n">
        <f aca="false">INT((ROW()-1)/208)</f>
        <v>3</v>
      </c>
      <c r="F804" s="6" t="str">
        <f aca="false">MID(VLOOKUP(D804,$P$1:$Q$13,2,0), 1 + C804,1)</f>
        <v>먹</v>
      </c>
      <c r="G804" s="6" t="str">
        <f aca="false">DEC2HEX(D804+36, 2)</f>
        <v>27</v>
      </c>
      <c r="H804" s="6" t="str">
        <f aca="false">DEC2HEX(C804+48,2)</f>
        <v>E3</v>
      </c>
      <c r="I804" s="6" t="str">
        <f aca="false">_xlfn.CONCAT("\x", G804, "\x", H804, "=", F804)</f>
        <v>\x27\xE3=먹</v>
      </c>
      <c r="M804" s="8"/>
      <c r="N804" s="6" t="str">
        <f aca="false">_xlfn.CONCAT("\x", DEC2HEX(D804+44, 2), "\x", H804, "=", M804)</f>
        <v>\x2F\xE3=</v>
      </c>
    </row>
    <row r="805" customFormat="false" ht="12.8" hidden="false" customHeight="true" outlineLevel="0" collapsed="false">
      <c r="C805" s="6" t="n">
        <f aca="false">MOD(ROW()-1, 208)</f>
        <v>180</v>
      </c>
      <c r="D805" s="6" t="n">
        <f aca="false">INT((ROW()-1)/208)</f>
        <v>3</v>
      </c>
      <c r="F805" s="6" t="str">
        <f aca="false">MID(VLOOKUP(D805,$P$1:$Q$13,2,0), 1 + C805,1)</f>
        <v>먼</v>
      </c>
      <c r="G805" s="6" t="str">
        <f aca="false">DEC2HEX(D805+36, 2)</f>
        <v>27</v>
      </c>
      <c r="H805" s="6" t="str">
        <f aca="false">DEC2HEX(C805+48,2)</f>
        <v>E4</v>
      </c>
      <c r="I805" s="6" t="str">
        <f aca="false">_xlfn.CONCAT("\x", G805, "\x", H805, "=", F805)</f>
        <v>\x27\xE4=먼</v>
      </c>
      <c r="M805" s="8"/>
      <c r="N805" s="6" t="str">
        <f aca="false">_xlfn.CONCAT("\x", DEC2HEX(D805+44, 2), "\x", H805, "=", M805)</f>
        <v>\x2F\xE4=</v>
      </c>
    </row>
    <row r="806" customFormat="false" ht="12.8" hidden="false" customHeight="true" outlineLevel="0" collapsed="false">
      <c r="C806" s="6" t="n">
        <f aca="false">MOD(ROW()-1, 208)</f>
        <v>181</v>
      </c>
      <c r="D806" s="6" t="n">
        <f aca="false">INT((ROW()-1)/208)</f>
        <v>3</v>
      </c>
      <c r="F806" s="6" t="str">
        <f aca="false">MID(VLOOKUP(D806,$P$1:$Q$13,2,0), 1 + C806,1)</f>
        <v>멀</v>
      </c>
      <c r="G806" s="6" t="str">
        <f aca="false">DEC2HEX(D806+36, 2)</f>
        <v>27</v>
      </c>
      <c r="H806" s="6" t="str">
        <f aca="false">DEC2HEX(C806+48,2)</f>
        <v>E5</v>
      </c>
      <c r="I806" s="6" t="str">
        <f aca="false">_xlfn.CONCAT("\x", G806, "\x", H806, "=", F806)</f>
        <v>\x27\xE5=멀</v>
      </c>
      <c r="M806" s="8"/>
      <c r="N806" s="6" t="str">
        <f aca="false">_xlfn.CONCAT("\x", DEC2HEX(D806+44, 2), "\x", H806, "=", M806)</f>
        <v>\x2F\xE5=</v>
      </c>
    </row>
    <row r="807" customFormat="false" ht="12.8" hidden="false" customHeight="true" outlineLevel="0" collapsed="false">
      <c r="C807" s="6" t="n">
        <f aca="false">MOD(ROW()-1, 208)</f>
        <v>182</v>
      </c>
      <c r="D807" s="6" t="n">
        <f aca="false">INT((ROW()-1)/208)</f>
        <v>3</v>
      </c>
      <c r="F807" s="6" t="str">
        <f aca="false">MID(VLOOKUP(D807,$P$1:$Q$13,2,0), 1 + C807,1)</f>
        <v>멂</v>
      </c>
      <c r="G807" s="6" t="str">
        <f aca="false">DEC2HEX(D807+36, 2)</f>
        <v>27</v>
      </c>
      <c r="H807" s="6" t="str">
        <f aca="false">DEC2HEX(C807+48,2)</f>
        <v>E6</v>
      </c>
      <c r="I807" s="6" t="str">
        <f aca="false">_xlfn.CONCAT("\x", G807, "\x", H807, "=", F807)</f>
        <v>\x27\xE6=멂</v>
      </c>
      <c r="M807" s="8"/>
      <c r="N807" s="6" t="str">
        <f aca="false">_xlfn.CONCAT("\x", DEC2HEX(D807+44, 2), "\x", H807, "=", M807)</f>
        <v>\x2F\xE6=</v>
      </c>
    </row>
    <row r="808" customFormat="false" ht="12.8" hidden="false" customHeight="true" outlineLevel="0" collapsed="false">
      <c r="C808" s="6" t="n">
        <f aca="false">MOD(ROW()-1, 208)</f>
        <v>183</v>
      </c>
      <c r="D808" s="6" t="n">
        <f aca="false">INT((ROW()-1)/208)</f>
        <v>3</v>
      </c>
      <c r="F808" s="6" t="str">
        <f aca="false">MID(VLOOKUP(D808,$P$1:$Q$13,2,0), 1 + C808,1)</f>
        <v>멈</v>
      </c>
      <c r="G808" s="6" t="str">
        <f aca="false">DEC2HEX(D808+36, 2)</f>
        <v>27</v>
      </c>
      <c r="H808" s="6" t="str">
        <f aca="false">DEC2HEX(C808+48,2)</f>
        <v>E7</v>
      </c>
      <c r="I808" s="6" t="str">
        <f aca="false">_xlfn.CONCAT("\x", G808, "\x", H808, "=", F808)</f>
        <v>\x27\xE7=멈</v>
      </c>
      <c r="M808" s="8"/>
      <c r="N808" s="6" t="str">
        <f aca="false">_xlfn.CONCAT("\x", DEC2HEX(D808+44, 2), "\x", H808, "=", M808)</f>
        <v>\x2F\xE7=</v>
      </c>
    </row>
    <row r="809" customFormat="false" ht="12.8" hidden="false" customHeight="true" outlineLevel="0" collapsed="false">
      <c r="C809" s="6" t="n">
        <f aca="false">MOD(ROW()-1, 208)</f>
        <v>184</v>
      </c>
      <c r="D809" s="6" t="n">
        <f aca="false">INT((ROW()-1)/208)</f>
        <v>3</v>
      </c>
      <c r="F809" s="6" t="str">
        <f aca="false">MID(VLOOKUP(D809,$P$1:$Q$13,2,0), 1 + C809,1)</f>
        <v>멉</v>
      </c>
      <c r="G809" s="6" t="str">
        <f aca="false">DEC2HEX(D809+36, 2)</f>
        <v>27</v>
      </c>
      <c r="H809" s="6" t="str">
        <f aca="false">DEC2HEX(C809+48,2)</f>
        <v>E8</v>
      </c>
      <c r="I809" s="6" t="str">
        <f aca="false">_xlfn.CONCAT("\x", G809, "\x", H809, "=", F809)</f>
        <v>\x27\xE8=멉</v>
      </c>
      <c r="M809" s="8"/>
      <c r="N809" s="6" t="str">
        <f aca="false">_xlfn.CONCAT("\x", DEC2HEX(D809+44, 2), "\x", H809, "=", M809)</f>
        <v>\x2F\xE8=</v>
      </c>
    </row>
    <row r="810" customFormat="false" ht="12.8" hidden="false" customHeight="true" outlineLevel="0" collapsed="false">
      <c r="C810" s="6" t="n">
        <f aca="false">MOD(ROW()-1, 208)</f>
        <v>185</v>
      </c>
      <c r="D810" s="6" t="n">
        <f aca="false">INT((ROW()-1)/208)</f>
        <v>3</v>
      </c>
      <c r="F810" s="6" t="str">
        <f aca="false">MID(VLOOKUP(D810,$P$1:$Q$13,2,0), 1 + C810,1)</f>
        <v>멋</v>
      </c>
      <c r="G810" s="6" t="str">
        <f aca="false">DEC2HEX(D810+36, 2)</f>
        <v>27</v>
      </c>
      <c r="H810" s="6" t="str">
        <f aca="false">DEC2HEX(C810+48,2)</f>
        <v>E9</v>
      </c>
      <c r="I810" s="6" t="str">
        <f aca="false">_xlfn.CONCAT("\x", G810, "\x", H810, "=", F810)</f>
        <v>\x27\xE9=멋</v>
      </c>
      <c r="M810" s="8"/>
      <c r="N810" s="6" t="str">
        <f aca="false">_xlfn.CONCAT("\x", DEC2HEX(D810+44, 2), "\x", H810, "=", M810)</f>
        <v>\x2F\xE9=</v>
      </c>
    </row>
    <row r="811" customFormat="false" ht="12.8" hidden="false" customHeight="true" outlineLevel="0" collapsed="false">
      <c r="C811" s="6" t="n">
        <f aca="false">MOD(ROW()-1, 208)</f>
        <v>186</v>
      </c>
      <c r="D811" s="6" t="n">
        <f aca="false">INT((ROW()-1)/208)</f>
        <v>3</v>
      </c>
      <c r="F811" s="6" t="str">
        <f aca="false">MID(VLOOKUP(D811,$P$1:$Q$13,2,0), 1 + C811,1)</f>
        <v>멍</v>
      </c>
      <c r="G811" s="6" t="str">
        <f aca="false">DEC2HEX(D811+36, 2)</f>
        <v>27</v>
      </c>
      <c r="H811" s="6" t="str">
        <f aca="false">DEC2HEX(C811+48,2)</f>
        <v>EA</v>
      </c>
      <c r="I811" s="6" t="str">
        <f aca="false">_xlfn.CONCAT("\x", G811, "\x", H811, "=", F811)</f>
        <v>\x27\xEA=멍</v>
      </c>
      <c r="M811" s="8"/>
      <c r="N811" s="6" t="str">
        <f aca="false">_xlfn.CONCAT("\x", DEC2HEX(D811+44, 2), "\x", H811, "=", M811)</f>
        <v>\x2F\xEA=</v>
      </c>
    </row>
    <row r="812" customFormat="false" ht="12.8" hidden="false" customHeight="true" outlineLevel="0" collapsed="false">
      <c r="C812" s="6" t="n">
        <f aca="false">MOD(ROW()-1, 208)</f>
        <v>187</v>
      </c>
      <c r="D812" s="6" t="n">
        <f aca="false">INT((ROW()-1)/208)</f>
        <v>3</v>
      </c>
      <c r="F812" s="6" t="str">
        <f aca="false">MID(VLOOKUP(D812,$P$1:$Q$13,2,0), 1 + C812,1)</f>
        <v>멎</v>
      </c>
      <c r="G812" s="6" t="str">
        <f aca="false">DEC2HEX(D812+36, 2)</f>
        <v>27</v>
      </c>
      <c r="H812" s="6" t="str">
        <f aca="false">DEC2HEX(C812+48,2)</f>
        <v>EB</v>
      </c>
      <c r="I812" s="6" t="str">
        <f aca="false">_xlfn.CONCAT("\x", G812, "\x", H812, "=", F812)</f>
        <v>\x27\xEB=멎</v>
      </c>
      <c r="M812" s="8"/>
      <c r="N812" s="6" t="str">
        <f aca="false">_xlfn.CONCAT("\x", DEC2HEX(D812+44, 2), "\x", H812, "=", M812)</f>
        <v>\x2F\xEB=</v>
      </c>
    </row>
    <row r="813" customFormat="false" ht="12.8" hidden="false" customHeight="true" outlineLevel="0" collapsed="false">
      <c r="C813" s="6" t="n">
        <f aca="false">MOD(ROW()-1, 208)</f>
        <v>188</v>
      </c>
      <c r="D813" s="6" t="n">
        <f aca="false">INT((ROW()-1)/208)</f>
        <v>3</v>
      </c>
      <c r="F813" s="6" t="str">
        <f aca="false">MID(VLOOKUP(D813,$P$1:$Q$13,2,0), 1 + C813,1)</f>
        <v>멓</v>
      </c>
      <c r="G813" s="6" t="str">
        <f aca="false">DEC2HEX(D813+36, 2)</f>
        <v>27</v>
      </c>
      <c r="H813" s="6" t="str">
        <f aca="false">DEC2HEX(C813+48,2)</f>
        <v>EC</v>
      </c>
      <c r="I813" s="6" t="str">
        <f aca="false">_xlfn.CONCAT("\x", G813, "\x", H813, "=", F813)</f>
        <v>\x27\xEC=멓</v>
      </c>
      <c r="M813" s="8"/>
      <c r="N813" s="6" t="str">
        <f aca="false">_xlfn.CONCAT("\x", DEC2HEX(D813+44, 2), "\x", H813, "=", M813)</f>
        <v>\x2F\xEC=</v>
      </c>
    </row>
    <row r="814" customFormat="false" ht="12.8" hidden="false" customHeight="true" outlineLevel="0" collapsed="false">
      <c r="C814" s="6" t="n">
        <f aca="false">MOD(ROW()-1, 208)</f>
        <v>189</v>
      </c>
      <c r="D814" s="6" t="n">
        <f aca="false">INT((ROW()-1)/208)</f>
        <v>3</v>
      </c>
      <c r="F814" s="6" t="str">
        <f aca="false">MID(VLOOKUP(D814,$P$1:$Q$13,2,0), 1 + C814,1)</f>
        <v>메</v>
      </c>
      <c r="G814" s="6" t="str">
        <f aca="false">DEC2HEX(D814+36, 2)</f>
        <v>27</v>
      </c>
      <c r="H814" s="6" t="str">
        <f aca="false">DEC2HEX(C814+48,2)</f>
        <v>ED</v>
      </c>
      <c r="I814" s="6" t="str">
        <f aca="false">_xlfn.CONCAT("\x", G814, "\x", H814, "=", F814)</f>
        <v>\x27\xED=메</v>
      </c>
      <c r="M814" s="8"/>
      <c r="N814" s="6" t="str">
        <f aca="false">_xlfn.CONCAT("\x", DEC2HEX(D814+44, 2), "\x", H814, "=", M814)</f>
        <v>\x2F\xED=</v>
      </c>
    </row>
    <row r="815" customFormat="false" ht="12.8" hidden="false" customHeight="true" outlineLevel="0" collapsed="false">
      <c r="C815" s="6" t="n">
        <f aca="false">MOD(ROW()-1, 208)</f>
        <v>190</v>
      </c>
      <c r="D815" s="6" t="n">
        <f aca="false">INT((ROW()-1)/208)</f>
        <v>3</v>
      </c>
      <c r="F815" s="6" t="str">
        <f aca="false">MID(VLOOKUP(D815,$P$1:$Q$13,2,0), 1 + C815,1)</f>
        <v>멕</v>
      </c>
      <c r="G815" s="6" t="str">
        <f aca="false">DEC2HEX(D815+36, 2)</f>
        <v>27</v>
      </c>
      <c r="H815" s="6" t="str">
        <f aca="false">DEC2HEX(C815+48,2)</f>
        <v>EE</v>
      </c>
      <c r="I815" s="6" t="str">
        <f aca="false">_xlfn.CONCAT("\x", G815, "\x", H815, "=", F815)</f>
        <v>\x27\xEE=멕</v>
      </c>
      <c r="M815" s="8"/>
      <c r="N815" s="6" t="str">
        <f aca="false">_xlfn.CONCAT("\x", DEC2HEX(D815+44, 2), "\x", H815, "=", M815)</f>
        <v>\x2F\xEE=</v>
      </c>
    </row>
    <row r="816" customFormat="false" ht="12.8" hidden="false" customHeight="true" outlineLevel="0" collapsed="false">
      <c r="C816" s="6" t="n">
        <f aca="false">MOD(ROW()-1, 208)</f>
        <v>191</v>
      </c>
      <c r="D816" s="6" t="n">
        <f aca="false">INT((ROW()-1)/208)</f>
        <v>3</v>
      </c>
      <c r="F816" s="6" t="str">
        <f aca="false">MID(VLOOKUP(D816,$P$1:$Q$13,2,0), 1 + C816,1)</f>
        <v>멘</v>
      </c>
      <c r="G816" s="6" t="str">
        <f aca="false">DEC2HEX(D816+36, 2)</f>
        <v>27</v>
      </c>
      <c r="H816" s="6" t="str">
        <f aca="false">DEC2HEX(C816+48,2)</f>
        <v>EF</v>
      </c>
      <c r="I816" s="6" t="str">
        <f aca="false">_xlfn.CONCAT("\x", G816, "\x", H816, "=", F816)</f>
        <v>\x27\xEF=멘</v>
      </c>
      <c r="M816" s="8"/>
      <c r="N816" s="6" t="str">
        <f aca="false">_xlfn.CONCAT("\x", DEC2HEX(D816+44, 2), "\x", H816, "=", M816)</f>
        <v>\x2F\xEF=</v>
      </c>
    </row>
    <row r="817" customFormat="false" ht="12.8" hidden="false" customHeight="true" outlineLevel="0" collapsed="false">
      <c r="C817" s="6" t="n">
        <f aca="false">MOD(ROW()-1, 208)</f>
        <v>192</v>
      </c>
      <c r="D817" s="6" t="n">
        <f aca="false">INT((ROW()-1)/208)</f>
        <v>3</v>
      </c>
      <c r="F817" s="6" t="str">
        <f aca="false">MID(VLOOKUP(D817,$P$1:$Q$13,2,0), 1 + C817,1)</f>
        <v>멜</v>
      </c>
      <c r="G817" s="6" t="str">
        <f aca="false">DEC2HEX(D817+36, 2)</f>
        <v>27</v>
      </c>
      <c r="H817" s="6" t="str">
        <f aca="false">DEC2HEX(C817+48,2)</f>
        <v>F0</v>
      </c>
      <c r="I817" s="6" t="str">
        <f aca="false">_xlfn.CONCAT("\x", G817, "\x", H817, "=", F817)</f>
        <v>\x27\xF0=멜</v>
      </c>
      <c r="M817" s="8"/>
      <c r="N817" s="6" t="str">
        <f aca="false">_xlfn.CONCAT("\x", DEC2HEX(D817+44, 2), "\x", H817, "=", M817)</f>
        <v>\x2F\xF0=</v>
      </c>
    </row>
    <row r="818" customFormat="false" ht="12.8" hidden="false" customHeight="true" outlineLevel="0" collapsed="false">
      <c r="C818" s="6" t="n">
        <f aca="false">MOD(ROW()-1, 208)</f>
        <v>193</v>
      </c>
      <c r="D818" s="6" t="n">
        <f aca="false">INT((ROW()-1)/208)</f>
        <v>3</v>
      </c>
      <c r="F818" s="6" t="str">
        <f aca="false">MID(VLOOKUP(D818,$P$1:$Q$13,2,0), 1 + C818,1)</f>
        <v>멤</v>
      </c>
      <c r="G818" s="6" t="str">
        <f aca="false">DEC2HEX(D818+36, 2)</f>
        <v>27</v>
      </c>
      <c r="H818" s="6" t="str">
        <f aca="false">DEC2HEX(C818+48,2)</f>
        <v>F1</v>
      </c>
      <c r="I818" s="6" t="str">
        <f aca="false">_xlfn.CONCAT("\x", G818, "\x", H818, "=", F818)</f>
        <v>\x27\xF1=멤</v>
      </c>
      <c r="M818" s="8"/>
      <c r="N818" s="6" t="str">
        <f aca="false">_xlfn.CONCAT("\x", DEC2HEX(D818+44, 2), "\x", H818, "=", M818)</f>
        <v>\x2F\xF1=</v>
      </c>
    </row>
    <row r="819" customFormat="false" ht="12.8" hidden="false" customHeight="true" outlineLevel="0" collapsed="false">
      <c r="C819" s="6" t="n">
        <f aca="false">MOD(ROW()-1, 208)</f>
        <v>194</v>
      </c>
      <c r="D819" s="6" t="n">
        <f aca="false">INT((ROW()-1)/208)</f>
        <v>3</v>
      </c>
      <c r="F819" s="6" t="str">
        <f aca="false">MID(VLOOKUP(D819,$P$1:$Q$13,2,0), 1 + C819,1)</f>
        <v>멥</v>
      </c>
      <c r="G819" s="6" t="str">
        <f aca="false">DEC2HEX(D819+36, 2)</f>
        <v>27</v>
      </c>
      <c r="H819" s="6" t="str">
        <f aca="false">DEC2HEX(C819+48,2)</f>
        <v>F2</v>
      </c>
      <c r="I819" s="6" t="str">
        <f aca="false">_xlfn.CONCAT("\x", G819, "\x", H819, "=", F819)</f>
        <v>\x27\xF2=멥</v>
      </c>
      <c r="M819" s="8"/>
      <c r="N819" s="6" t="str">
        <f aca="false">_xlfn.CONCAT("\x", DEC2HEX(D819+44, 2), "\x", H819, "=", M819)</f>
        <v>\x2F\xF2=</v>
      </c>
    </row>
    <row r="820" customFormat="false" ht="12.8" hidden="false" customHeight="true" outlineLevel="0" collapsed="false">
      <c r="C820" s="6" t="n">
        <f aca="false">MOD(ROW()-1, 208)</f>
        <v>195</v>
      </c>
      <c r="D820" s="6" t="n">
        <f aca="false">INT((ROW()-1)/208)</f>
        <v>3</v>
      </c>
      <c r="F820" s="6" t="str">
        <f aca="false">MID(VLOOKUP(D820,$P$1:$Q$13,2,0), 1 + C820,1)</f>
        <v>멧</v>
      </c>
      <c r="G820" s="6" t="str">
        <f aca="false">DEC2HEX(D820+36, 2)</f>
        <v>27</v>
      </c>
      <c r="H820" s="6" t="str">
        <f aca="false">DEC2HEX(C820+48,2)</f>
        <v>F3</v>
      </c>
      <c r="I820" s="6" t="str">
        <f aca="false">_xlfn.CONCAT("\x", G820, "\x", H820, "=", F820)</f>
        <v>\x27\xF3=멧</v>
      </c>
      <c r="M820" s="8"/>
      <c r="N820" s="6" t="str">
        <f aca="false">_xlfn.CONCAT("\x", DEC2HEX(D820+44, 2), "\x", H820, "=", M820)</f>
        <v>\x2F\xF3=</v>
      </c>
    </row>
    <row r="821" customFormat="false" ht="12.8" hidden="false" customHeight="true" outlineLevel="0" collapsed="false">
      <c r="C821" s="6" t="n">
        <f aca="false">MOD(ROW()-1, 208)</f>
        <v>196</v>
      </c>
      <c r="D821" s="6" t="n">
        <f aca="false">INT((ROW()-1)/208)</f>
        <v>3</v>
      </c>
      <c r="F821" s="6" t="str">
        <f aca="false">MID(VLOOKUP(D821,$P$1:$Q$13,2,0), 1 + C821,1)</f>
        <v>멨</v>
      </c>
      <c r="G821" s="6" t="str">
        <f aca="false">DEC2HEX(D821+36, 2)</f>
        <v>27</v>
      </c>
      <c r="H821" s="6" t="str">
        <f aca="false">DEC2HEX(C821+48,2)</f>
        <v>F4</v>
      </c>
      <c r="I821" s="6" t="str">
        <f aca="false">_xlfn.CONCAT("\x", G821, "\x", H821, "=", F821)</f>
        <v>\x27\xF4=멨</v>
      </c>
      <c r="M821" s="8"/>
      <c r="N821" s="6" t="str">
        <f aca="false">_xlfn.CONCAT("\x", DEC2HEX(D821+44, 2), "\x", H821, "=", M821)</f>
        <v>\x2F\xF4=</v>
      </c>
    </row>
    <row r="822" customFormat="false" ht="12.8" hidden="false" customHeight="true" outlineLevel="0" collapsed="false">
      <c r="C822" s="6" t="n">
        <f aca="false">MOD(ROW()-1, 208)</f>
        <v>197</v>
      </c>
      <c r="D822" s="6" t="n">
        <f aca="false">INT((ROW()-1)/208)</f>
        <v>3</v>
      </c>
      <c r="F822" s="6" t="str">
        <f aca="false">MID(VLOOKUP(D822,$P$1:$Q$13,2,0), 1 + C822,1)</f>
        <v>멩</v>
      </c>
      <c r="G822" s="6" t="str">
        <f aca="false">DEC2HEX(D822+36, 2)</f>
        <v>27</v>
      </c>
      <c r="H822" s="6" t="str">
        <f aca="false">DEC2HEX(C822+48,2)</f>
        <v>F5</v>
      </c>
      <c r="I822" s="6" t="str">
        <f aca="false">_xlfn.CONCAT("\x", G822, "\x", H822, "=", F822)</f>
        <v>\x27\xF5=멩</v>
      </c>
      <c r="M822" s="8"/>
      <c r="N822" s="6" t="str">
        <f aca="false">_xlfn.CONCAT("\x", DEC2HEX(D822+44, 2), "\x", H822, "=", M822)</f>
        <v>\x2F\xF5=</v>
      </c>
    </row>
    <row r="823" customFormat="false" ht="12.8" hidden="false" customHeight="true" outlineLevel="0" collapsed="false">
      <c r="C823" s="6" t="n">
        <f aca="false">MOD(ROW()-1, 208)</f>
        <v>198</v>
      </c>
      <c r="D823" s="6" t="n">
        <f aca="false">INT((ROW()-1)/208)</f>
        <v>3</v>
      </c>
      <c r="F823" s="6" t="str">
        <f aca="false">MID(VLOOKUP(D823,$P$1:$Q$13,2,0), 1 + C823,1)</f>
        <v>며</v>
      </c>
      <c r="G823" s="6" t="str">
        <f aca="false">DEC2HEX(D823+36, 2)</f>
        <v>27</v>
      </c>
      <c r="H823" s="6" t="str">
        <f aca="false">DEC2HEX(C823+48,2)</f>
        <v>F6</v>
      </c>
      <c r="I823" s="6" t="str">
        <f aca="false">_xlfn.CONCAT("\x", G823, "\x", H823, "=", F823)</f>
        <v>\x27\xF6=며</v>
      </c>
      <c r="M823" s="8"/>
      <c r="N823" s="6" t="str">
        <f aca="false">_xlfn.CONCAT("\x", DEC2HEX(D823+44, 2), "\x", H823, "=", M823)</f>
        <v>\x2F\xF6=</v>
      </c>
    </row>
    <row r="824" customFormat="false" ht="12.8" hidden="false" customHeight="true" outlineLevel="0" collapsed="false">
      <c r="C824" s="6" t="n">
        <f aca="false">MOD(ROW()-1, 208)</f>
        <v>199</v>
      </c>
      <c r="D824" s="6" t="n">
        <f aca="false">INT((ROW()-1)/208)</f>
        <v>3</v>
      </c>
      <c r="F824" s="6" t="str">
        <f aca="false">MID(VLOOKUP(D824,$P$1:$Q$13,2,0), 1 + C824,1)</f>
        <v>멱</v>
      </c>
      <c r="G824" s="6" t="str">
        <f aca="false">DEC2HEX(D824+36, 2)</f>
        <v>27</v>
      </c>
      <c r="H824" s="6" t="str">
        <f aca="false">DEC2HEX(C824+48,2)</f>
        <v>F7</v>
      </c>
      <c r="I824" s="6" t="str">
        <f aca="false">_xlfn.CONCAT("\x", G824, "\x", H824, "=", F824)</f>
        <v>\x27\xF7=멱</v>
      </c>
      <c r="M824" s="8"/>
      <c r="N824" s="6" t="str">
        <f aca="false">_xlfn.CONCAT("\x", DEC2HEX(D824+44, 2), "\x", H824, "=", M824)</f>
        <v>\x2F\xF7=</v>
      </c>
    </row>
    <row r="825" customFormat="false" ht="12.8" hidden="false" customHeight="true" outlineLevel="0" collapsed="false">
      <c r="C825" s="6" t="n">
        <f aca="false">MOD(ROW()-1, 208)</f>
        <v>200</v>
      </c>
      <c r="D825" s="6" t="n">
        <f aca="false">INT((ROW()-1)/208)</f>
        <v>3</v>
      </c>
      <c r="F825" s="6" t="str">
        <f aca="false">MID(VLOOKUP(D825,$P$1:$Q$13,2,0), 1 + C825,1)</f>
        <v>면</v>
      </c>
      <c r="G825" s="6" t="str">
        <f aca="false">DEC2HEX(D825+36, 2)</f>
        <v>27</v>
      </c>
      <c r="H825" s="6" t="str">
        <f aca="false">DEC2HEX(C825+48,2)</f>
        <v>F8</v>
      </c>
      <c r="I825" s="6" t="str">
        <f aca="false">_xlfn.CONCAT("\x", G825, "\x", H825, "=", F825)</f>
        <v>\x27\xF8=면</v>
      </c>
      <c r="M825" s="8"/>
      <c r="N825" s="6" t="str">
        <f aca="false">_xlfn.CONCAT("\x", DEC2HEX(D825+44, 2), "\x", H825, "=", M825)</f>
        <v>\x2F\xF8=</v>
      </c>
    </row>
    <row r="826" customFormat="false" ht="12.8" hidden="false" customHeight="true" outlineLevel="0" collapsed="false">
      <c r="C826" s="6" t="n">
        <f aca="false">MOD(ROW()-1, 208)</f>
        <v>201</v>
      </c>
      <c r="D826" s="6" t="n">
        <f aca="false">INT((ROW()-1)/208)</f>
        <v>3</v>
      </c>
      <c r="F826" s="6" t="str">
        <f aca="false">MID(VLOOKUP(D826,$P$1:$Q$13,2,0), 1 + C826,1)</f>
        <v>멸</v>
      </c>
      <c r="G826" s="6" t="str">
        <f aca="false">DEC2HEX(D826+36, 2)</f>
        <v>27</v>
      </c>
      <c r="H826" s="6" t="str">
        <f aca="false">DEC2HEX(C826+48,2)</f>
        <v>F9</v>
      </c>
      <c r="I826" s="6" t="str">
        <f aca="false">_xlfn.CONCAT("\x", G826, "\x", H826, "=", F826)</f>
        <v>\x27\xF9=멸</v>
      </c>
      <c r="M826" s="8"/>
      <c r="N826" s="6" t="str">
        <f aca="false">_xlfn.CONCAT("\x", DEC2HEX(D826+44, 2), "\x", H826, "=", M826)</f>
        <v>\x2F\xF9=</v>
      </c>
    </row>
    <row r="827" customFormat="false" ht="12.8" hidden="false" customHeight="true" outlineLevel="0" collapsed="false">
      <c r="C827" s="6" t="n">
        <f aca="false">MOD(ROW()-1, 208)</f>
        <v>202</v>
      </c>
      <c r="D827" s="6" t="n">
        <f aca="false">INT((ROW()-1)/208)</f>
        <v>3</v>
      </c>
      <c r="F827" s="6" t="str">
        <f aca="false">MID(VLOOKUP(D827,$P$1:$Q$13,2,0), 1 + C827,1)</f>
        <v>몃</v>
      </c>
      <c r="G827" s="6" t="str">
        <f aca="false">DEC2HEX(D827+36, 2)</f>
        <v>27</v>
      </c>
      <c r="H827" s="6" t="str">
        <f aca="false">DEC2HEX(C827+48,2)</f>
        <v>FA</v>
      </c>
      <c r="I827" s="6" t="str">
        <f aca="false">_xlfn.CONCAT("\x", G827, "\x", H827, "=", F827)</f>
        <v>\x27\xFA=몃</v>
      </c>
      <c r="M827" s="8"/>
      <c r="N827" s="6" t="str">
        <f aca="false">_xlfn.CONCAT("\x", DEC2HEX(D827+44, 2), "\x", H827, "=", M827)</f>
        <v>\x2F\xFA=</v>
      </c>
    </row>
    <row r="828" customFormat="false" ht="12.8" hidden="false" customHeight="true" outlineLevel="0" collapsed="false">
      <c r="C828" s="6" t="n">
        <f aca="false">MOD(ROW()-1, 208)</f>
        <v>203</v>
      </c>
      <c r="D828" s="6" t="n">
        <f aca="false">INT((ROW()-1)/208)</f>
        <v>3</v>
      </c>
      <c r="F828" s="6" t="str">
        <f aca="false">MID(VLOOKUP(D828,$P$1:$Q$13,2,0), 1 + C828,1)</f>
        <v>몄</v>
      </c>
      <c r="G828" s="6" t="str">
        <f aca="false">DEC2HEX(D828+36, 2)</f>
        <v>27</v>
      </c>
      <c r="H828" s="6" t="str">
        <f aca="false">DEC2HEX(C828+48,2)</f>
        <v>FB</v>
      </c>
      <c r="I828" s="6" t="str">
        <f aca="false">_xlfn.CONCAT("\x", G828, "\x", H828, "=", F828)</f>
        <v>\x27\xFB=몄</v>
      </c>
      <c r="M828" s="8"/>
      <c r="N828" s="6" t="str">
        <f aca="false">_xlfn.CONCAT("\x", DEC2HEX(D828+44, 2), "\x", H828, "=", M828)</f>
        <v>\x2F\xFB=</v>
      </c>
    </row>
    <row r="829" customFormat="false" ht="12.8" hidden="false" customHeight="true" outlineLevel="0" collapsed="false">
      <c r="C829" s="6" t="n">
        <f aca="false">MOD(ROW()-1, 208)</f>
        <v>204</v>
      </c>
      <c r="D829" s="6" t="n">
        <f aca="false">INT((ROW()-1)/208)</f>
        <v>3</v>
      </c>
      <c r="F829" s="6" t="str">
        <f aca="false">MID(VLOOKUP(D829,$P$1:$Q$13,2,0), 1 + C829,1)</f>
        <v>명</v>
      </c>
      <c r="G829" s="6" t="str">
        <f aca="false">DEC2HEX(D829+36, 2)</f>
        <v>27</v>
      </c>
      <c r="H829" s="6" t="str">
        <f aca="false">DEC2HEX(C829+48,2)</f>
        <v>FC</v>
      </c>
      <c r="I829" s="6" t="str">
        <f aca="false">_xlfn.CONCAT("\x", G829, "\x", H829, "=", F829)</f>
        <v>\x27\xFC=명</v>
      </c>
      <c r="M829" s="8"/>
      <c r="N829" s="6" t="str">
        <f aca="false">_xlfn.CONCAT("\x", DEC2HEX(D829+44, 2), "\x", H829, "=", M829)</f>
        <v>\x2F\xFC=</v>
      </c>
    </row>
    <row r="830" customFormat="false" ht="12.8" hidden="false" customHeight="true" outlineLevel="0" collapsed="false">
      <c r="C830" s="6" t="n">
        <f aca="false">MOD(ROW()-1, 208)</f>
        <v>205</v>
      </c>
      <c r="D830" s="6" t="n">
        <f aca="false">INT((ROW()-1)/208)</f>
        <v>3</v>
      </c>
      <c r="F830" s="6" t="str">
        <f aca="false">MID(VLOOKUP(D830,$P$1:$Q$13,2,0), 1 + C830,1)</f>
        <v>몇</v>
      </c>
      <c r="G830" s="6" t="str">
        <f aca="false">DEC2HEX(D830+36, 2)</f>
        <v>27</v>
      </c>
      <c r="H830" s="6" t="str">
        <f aca="false">DEC2HEX(C830+48,2)</f>
        <v>FD</v>
      </c>
      <c r="I830" s="6" t="str">
        <f aca="false">_xlfn.CONCAT("\x", G830, "\x", H830, "=", F830)</f>
        <v>\x27\xFD=몇</v>
      </c>
      <c r="M830" s="8"/>
      <c r="N830" s="6" t="str">
        <f aca="false">_xlfn.CONCAT("\x", DEC2HEX(D830+44, 2), "\x", H830, "=", M830)</f>
        <v>\x2F\xFD=</v>
      </c>
    </row>
    <row r="831" customFormat="false" ht="12.8" hidden="false" customHeight="true" outlineLevel="0" collapsed="false">
      <c r="C831" s="6" t="n">
        <f aca="false">MOD(ROW()-1, 208)</f>
        <v>206</v>
      </c>
      <c r="D831" s="6" t="n">
        <f aca="false">INT((ROW()-1)/208)</f>
        <v>3</v>
      </c>
      <c r="F831" s="6" t="str">
        <f aca="false">MID(VLOOKUP(D831,$P$1:$Q$13,2,0), 1 + C831,1)</f>
        <v>몌</v>
      </c>
      <c r="G831" s="6" t="str">
        <f aca="false">DEC2HEX(D831+36, 2)</f>
        <v>27</v>
      </c>
      <c r="H831" s="6" t="str">
        <f aca="false">DEC2HEX(C831+48,2)</f>
        <v>FE</v>
      </c>
      <c r="I831" s="6" t="str">
        <f aca="false">_xlfn.CONCAT("\x", G831, "\x", H831, "=", F831)</f>
        <v>\x27\xFE=몌</v>
      </c>
      <c r="M831" s="8"/>
      <c r="N831" s="6" t="str">
        <f aca="false">_xlfn.CONCAT("\x", DEC2HEX(D831+44, 2), "\x", H831, "=", M831)</f>
        <v>\x2F\xFE=</v>
      </c>
    </row>
    <row r="832" customFormat="false" ht="12.8" hidden="false" customHeight="true" outlineLevel="0" collapsed="false">
      <c r="C832" s="6" t="n">
        <f aca="false">MOD(ROW()-1, 208)</f>
        <v>207</v>
      </c>
      <c r="D832" s="6" t="n">
        <f aca="false">INT((ROW()-1)/208)</f>
        <v>3</v>
      </c>
      <c r="F832" s="6" t="str">
        <f aca="false">MID(VLOOKUP(D832,$P$1:$Q$13,2,0), 1 + C832,1)</f>
        <v>모</v>
      </c>
      <c r="G832" s="6" t="str">
        <f aca="false">DEC2HEX(D832+36, 2)</f>
        <v>27</v>
      </c>
      <c r="H832" s="6" t="str">
        <f aca="false">DEC2HEX(C832+48,2)</f>
        <v>FF</v>
      </c>
      <c r="I832" s="6" t="str">
        <f aca="false">_xlfn.CONCAT("\x", G832, "\x", H832, "=", F832)</f>
        <v>\x27\xFF=모</v>
      </c>
      <c r="M832" s="8"/>
      <c r="N832" s="6" t="str">
        <f aca="false">_xlfn.CONCAT("\x", DEC2HEX(D832+44, 2), "\x", H832, "=", M832)</f>
        <v>\x2F\xFF=</v>
      </c>
    </row>
    <row r="833" customFormat="false" ht="12.8" hidden="false" customHeight="true" outlineLevel="0" collapsed="false">
      <c r="C833" s="6" t="n">
        <f aca="false">MOD(ROW()-1, 208)</f>
        <v>0</v>
      </c>
      <c r="D833" s="6" t="n">
        <f aca="false">INT((ROW()-1)/208)</f>
        <v>4</v>
      </c>
      <c r="F833" s="6" t="str">
        <f aca="false">MID(VLOOKUP(D833,$P$1:$Q$13,2,0), 1 + C833,1)</f>
        <v>목</v>
      </c>
      <c r="G833" s="6" t="str">
        <f aca="false">DEC2HEX(D833+36, 2)</f>
        <v>28</v>
      </c>
      <c r="H833" s="6" t="str">
        <f aca="false">DEC2HEX(C833+48,2)</f>
        <v>30</v>
      </c>
      <c r="I833" s="6" t="str">
        <f aca="false">_xlfn.CONCAT("\x", G833, "\x", H833, "=", F833)</f>
        <v>\x28\x30=목</v>
      </c>
      <c r="M833" s="8"/>
    </row>
    <row r="834" customFormat="false" ht="12.8" hidden="false" customHeight="true" outlineLevel="0" collapsed="false">
      <c r="C834" s="6" t="n">
        <f aca="false">MOD(ROW()-1, 208)</f>
        <v>1</v>
      </c>
      <c r="D834" s="6" t="n">
        <f aca="false">INT((ROW()-1)/208)</f>
        <v>4</v>
      </c>
      <c r="F834" s="6" t="str">
        <f aca="false">MID(VLOOKUP(D834,$P$1:$Q$13,2,0), 1 + C834,1)</f>
        <v>몫</v>
      </c>
      <c r="G834" s="6" t="str">
        <f aca="false">DEC2HEX(D834+36, 2)</f>
        <v>28</v>
      </c>
      <c r="H834" s="6" t="str">
        <f aca="false">DEC2HEX(C834+48,2)</f>
        <v>31</v>
      </c>
      <c r="I834" s="6" t="str">
        <f aca="false">_xlfn.CONCAT("\x", G834, "\x", H834, "=", F834)</f>
        <v>\x28\x31=몫</v>
      </c>
      <c r="M834" s="8"/>
    </row>
    <row r="835" customFormat="false" ht="12.8" hidden="false" customHeight="true" outlineLevel="0" collapsed="false">
      <c r="C835" s="6" t="n">
        <f aca="false">MOD(ROW()-1, 208)</f>
        <v>2</v>
      </c>
      <c r="D835" s="6" t="n">
        <f aca="false">INT((ROW()-1)/208)</f>
        <v>4</v>
      </c>
      <c r="F835" s="6" t="str">
        <f aca="false">MID(VLOOKUP(D835,$P$1:$Q$13,2,0), 1 + C835,1)</f>
        <v>몬</v>
      </c>
      <c r="G835" s="6" t="str">
        <f aca="false">DEC2HEX(D835+36, 2)</f>
        <v>28</v>
      </c>
      <c r="H835" s="6" t="str">
        <f aca="false">DEC2HEX(C835+48,2)</f>
        <v>32</v>
      </c>
      <c r="I835" s="6" t="str">
        <f aca="false">_xlfn.CONCAT("\x", G835, "\x", H835, "=", F835)</f>
        <v>\x28\x32=몬</v>
      </c>
      <c r="M835" s="8"/>
    </row>
    <row r="836" customFormat="false" ht="12.8" hidden="false" customHeight="true" outlineLevel="0" collapsed="false">
      <c r="C836" s="6" t="n">
        <f aca="false">MOD(ROW()-1, 208)</f>
        <v>3</v>
      </c>
      <c r="D836" s="6" t="n">
        <f aca="false">INT((ROW()-1)/208)</f>
        <v>4</v>
      </c>
      <c r="F836" s="6" t="str">
        <f aca="false">MID(VLOOKUP(D836,$P$1:$Q$13,2,0), 1 + C836,1)</f>
        <v>몰</v>
      </c>
      <c r="G836" s="6" t="str">
        <f aca="false">DEC2HEX(D836+36, 2)</f>
        <v>28</v>
      </c>
      <c r="H836" s="6" t="str">
        <f aca="false">DEC2HEX(C836+48,2)</f>
        <v>33</v>
      </c>
      <c r="I836" s="6" t="str">
        <f aca="false">_xlfn.CONCAT("\x", G836, "\x", H836, "=", F836)</f>
        <v>\x28\x33=몰</v>
      </c>
      <c r="M836" s="8"/>
    </row>
    <row r="837" customFormat="false" ht="12.8" hidden="false" customHeight="true" outlineLevel="0" collapsed="false">
      <c r="C837" s="6" t="n">
        <f aca="false">MOD(ROW()-1, 208)</f>
        <v>4</v>
      </c>
      <c r="D837" s="6" t="n">
        <f aca="false">INT((ROW()-1)/208)</f>
        <v>4</v>
      </c>
      <c r="F837" s="6" t="str">
        <f aca="false">MID(VLOOKUP(D837,$P$1:$Q$13,2,0), 1 + C837,1)</f>
        <v>몲</v>
      </c>
      <c r="G837" s="6" t="str">
        <f aca="false">DEC2HEX(D837+36, 2)</f>
        <v>28</v>
      </c>
      <c r="H837" s="6" t="str">
        <f aca="false">DEC2HEX(C837+48,2)</f>
        <v>34</v>
      </c>
      <c r="I837" s="6" t="str">
        <f aca="false">_xlfn.CONCAT("\x", G837, "\x", H837, "=", F837)</f>
        <v>\x28\x34=몲</v>
      </c>
      <c r="M837" s="8"/>
    </row>
    <row r="838" customFormat="false" ht="12.8" hidden="false" customHeight="true" outlineLevel="0" collapsed="false">
      <c r="C838" s="6" t="n">
        <f aca="false">MOD(ROW()-1, 208)</f>
        <v>5</v>
      </c>
      <c r="D838" s="6" t="n">
        <f aca="false">INT((ROW()-1)/208)</f>
        <v>4</v>
      </c>
      <c r="F838" s="6" t="str">
        <f aca="false">MID(VLOOKUP(D838,$P$1:$Q$13,2,0), 1 + C838,1)</f>
        <v>몸</v>
      </c>
      <c r="G838" s="6" t="str">
        <f aca="false">DEC2HEX(D838+36, 2)</f>
        <v>28</v>
      </c>
      <c r="H838" s="6" t="str">
        <f aca="false">DEC2HEX(C838+48,2)</f>
        <v>35</v>
      </c>
      <c r="I838" s="6" t="str">
        <f aca="false">_xlfn.CONCAT("\x", G838, "\x", H838, "=", F838)</f>
        <v>\x28\x35=몸</v>
      </c>
      <c r="M838" s="8"/>
    </row>
    <row r="839" customFormat="false" ht="12.8" hidden="false" customHeight="true" outlineLevel="0" collapsed="false">
      <c r="C839" s="6" t="n">
        <f aca="false">MOD(ROW()-1, 208)</f>
        <v>6</v>
      </c>
      <c r="D839" s="6" t="n">
        <f aca="false">INT((ROW()-1)/208)</f>
        <v>4</v>
      </c>
      <c r="F839" s="6" t="str">
        <f aca="false">MID(VLOOKUP(D839,$P$1:$Q$13,2,0), 1 + C839,1)</f>
        <v>몹</v>
      </c>
      <c r="G839" s="6" t="str">
        <f aca="false">DEC2HEX(D839+36, 2)</f>
        <v>28</v>
      </c>
      <c r="H839" s="6" t="str">
        <f aca="false">DEC2HEX(C839+48,2)</f>
        <v>36</v>
      </c>
      <c r="I839" s="6" t="str">
        <f aca="false">_xlfn.CONCAT("\x", G839, "\x", H839, "=", F839)</f>
        <v>\x28\x36=몹</v>
      </c>
      <c r="M839" s="8"/>
    </row>
    <row r="840" customFormat="false" ht="12.8" hidden="false" customHeight="true" outlineLevel="0" collapsed="false">
      <c r="C840" s="6" t="n">
        <f aca="false">MOD(ROW()-1, 208)</f>
        <v>7</v>
      </c>
      <c r="D840" s="6" t="n">
        <f aca="false">INT((ROW()-1)/208)</f>
        <v>4</v>
      </c>
      <c r="F840" s="6" t="str">
        <f aca="false">MID(VLOOKUP(D840,$P$1:$Q$13,2,0), 1 + C840,1)</f>
        <v>못</v>
      </c>
      <c r="G840" s="6" t="str">
        <f aca="false">DEC2HEX(D840+36, 2)</f>
        <v>28</v>
      </c>
      <c r="H840" s="6" t="str">
        <f aca="false">DEC2HEX(C840+48,2)</f>
        <v>37</v>
      </c>
      <c r="I840" s="6" t="str">
        <f aca="false">_xlfn.CONCAT("\x", G840, "\x", H840, "=", F840)</f>
        <v>\x28\x37=못</v>
      </c>
      <c r="M840" s="8"/>
    </row>
    <row r="841" customFormat="false" ht="12.8" hidden="false" customHeight="true" outlineLevel="0" collapsed="false">
      <c r="C841" s="6" t="n">
        <f aca="false">MOD(ROW()-1, 208)</f>
        <v>8</v>
      </c>
      <c r="D841" s="6" t="n">
        <f aca="false">INT((ROW()-1)/208)</f>
        <v>4</v>
      </c>
      <c r="F841" s="6" t="str">
        <f aca="false">MID(VLOOKUP(D841,$P$1:$Q$13,2,0), 1 + C841,1)</f>
        <v>몽</v>
      </c>
      <c r="G841" s="6" t="str">
        <f aca="false">DEC2HEX(D841+36, 2)</f>
        <v>28</v>
      </c>
      <c r="H841" s="6" t="str">
        <f aca="false">DEC2HEX(C841+48,2)</f>
        <v>38</v>
      </c>
      <c r="I841" s="6" t="str">
        <f aca="false">_xlfn.CONCAT("\x", G841, "\x", H841, "=", F841)</f>
        <v>\x28\x38=몽</v>
      </c>
      <c r="M841" s="8"/>
    </row>
    <row r="842" customFormat="false" ht="12.8" hidden="false" customHeight="true" outlineLevel="0" collapsed="false">
      <c r="C842" s="6" t="n">
        <f aca="false">MOD(ROW()-1, 208)</f>
        <v>9</v>
      </c>
      <c r="D842" s="6" t="n">
        <f aca="false">INT((ROW()-1)/208)</f>
        <v>4</v>
      </c>
      <c r="F842" s="6" t="str">
        <f aca="false">MID(VLOOKUP(D842,$P$1:$Q$13,2,0), 1 + C842,1)</f>
        <v>뫄</v>
      </c>
      <c r="G842" s="6" t="str">
        <f aca="false">DEC2HEX(D842+36, 2)</f>
        <v>28</v>
      </c>
      <c r="H842" s="6" t="str">
        <f aca="false">DEC2HEX(C842+48,2)</f>
        <v>39</v>
      </c>
      <c r="I842" s="6" t="str">
        <f aca="false">_xlfn.CONCAT("\x", G842, "\x", H842, "=", F842)</f>
        <v>\x28\x39=뫄</v>
      </c>
      <c r="M842" s="8"/>
    </row>
    <row r="843" customFormat="false" ht="12.8" hidden="false" customHeight="true" outlineLevel="0" collapsed="false">
      <c r="C843" s="6" t="n">
        <f aca="false">MOD(ROW()-1, 208)</f>
        <v>10</v>
      </c>
      <c r="D843" s="6" t="n">
        <f aca="false">INT((ROW()-1)/208)</f>
        <v>4</v>
      </c>
      <c r="F843" s="6" t="str">
        <f aca="false">MID(VLOOKUP(D843,$P$1:$Q$13,2,0), 1 + C843,1)</f>
        <v>뫈</v>
      </c>
      <c r="G843" s="6" t="str">
        <f aca="false">DEC2HEX(D843+36, 2)</f>
        <v>28</v>
      </c>
      <c r="H843" s="6" t="str">
        <f aca="false">DEC2HEX(C843+48,2)</f>
        <v>3A</v>
      </c>
      <c r="I843" s="6" t="str">
        <f aca="false">_xlfn.CONCAT("\x", G843, "\x", H843, "=", F843)</f>
        <v>\x28\x3A=뫈</v>
      </c>
      <c r="M843" s="8"/>
    </row>
    <row r="844" customFormat="false" ht="12.8" hidden="false" customHeight="true" outlineLevel="0" collapsed="false">
      <c r="C844" s="6" t="n">
        <f aca="false">MOD(ROW()-1, 208)</f>
        <v>11</v>
      </c>
      <c r="D844" s="6" t="n">
        <f aca="false">INT((ROW()-1)/208)</f>
        <v>4</v>
      </c>
      <c r="F844" s="6" t="str">
        <f aca="false">MID(VLOOKUP(D844,$P$1:$Q$13,2,0), 1 + C844,1)</f>
        <v>뫘</v>
      </c>
      <c r="G844" s="6" t="str">
        <f aca="false">DEC2HEX(D844+36, 2)</f>
        <v>28</v>
      </c>
      <c r="H844" s="6" t="str">
        <f aca="false">DEC2HEX(C844+48,2)</f>
        <v>3B</v>
      </c>
      <c r="I844" s="6" t="str">
        <f aca="false">_xlfn.CONCAT("\x", G844, "\x", H844, "=", F844)</f>
        <v>\x28\x3B=뫘</v>
      </c>
      <c r="M844" s="8"/>
    </row>
    <row r="845" customFormat="false" ht="12.8" hidden="false" customHeight="true" outlineLevel="0" collapsed="false">
      <c r="C845" s="6" t="n">
        <f aca="false">MOD(ROW()-1, 208)</f>
        <v>12</v>
      </c>
      <c r="D845" s="6" t="n">
        <f aca="false">INT((ROW()-1)/208)</f>
        <v>4</v>
      </c>
      <c r="F845" s="6" t="str">
        <f aca="false">MID(VLOOKUP(D845,$P$1:$Q$13,2,0), 1 + C845,1)</f>
        <v>뫙</v>
      </c>
      <c r="G845" s="6" t="str">
        <f aca="false">DEC2HEX(D845+36, 2)</f>
        <v>28</v>
      </c>
      <c r="H845" s="6" t="str">
        <f aca="false">DEC2HEX(C845+48,2)</f>
        <v>3C</v>
      </c>
      <c r="I845" s="6" t="str">
        <f aca="false">_xlfn.CONCAT("\x", G845, "\x", H845, "=", F845)</f>
        <v>\x28\x3C=뫙</v>
      </c>
      <c r="M845" s="8"/>
    </row>
    <row r="846" customFormat="false" ht="12.8" hidden="false" customHeight="true" outlineLevel="0" collapsed="false">
      <c r="C846" s="6" t="n">
        <f aca="false">MOD(ROW()-1, 208)</f>
        <v>13</v>
      </c>
      <c r="D846" s="6" t="n">
        <f aca="false">INT((ROW()-1)/208)</f>
        <v>4</v>
      </c>
      <c r="F846" s="6" t="str">
        <f aca="false">MID(VLOOKUP(D846,$P$1:$Q$13,2,0), 1 + C846,1)</f>
        <v>뫼</v>
      </c>
      <c r="G846" s="6" t="str">
        <f aca="false">DEC2HEX(D846+36, 2)</f>
        <v>28</v>
      </c>
      <c r="H846" s="6" t="str">
        <f aca="false">DEC2HEX(C846+48,2)</f>
        <v>3D</v>
      </c>
      <c r="I846" s="6" t="str">
        <f aca="false">_xlfn.CONCAT("\x", G846, "\x", H846, "=", F846)</f>
        <v>\x28\x3D=뫼</v>
      </c>
      <c r="M846" s="8"/>
    </row>
    <row r="847" customFormat="false" ht="12.8" hidden="false" customHeight="true" outlineLevel="0" collapsed="false">
      <c r="C847" s="6" t="n">
        <f aca="false">MOD(ROW()-1, 208)</f>
        <v>14</v>
      </c>
      <c r="D847" s="6" t="n">
        <f aca="false">INT((ROW()-1)/208)</f>
        <v>4</v>
      </c>
      <c r="F847" s="6" t="str">
        <f aca="false">MID(VLOOKUP(D847,$P$1:$Q$13,2,0), 1 + C847,1)</f>
        <v>묀</v>
      </c>
      <c r="G847" s="6" t="str">
        <f aca="false">DEC2HEX(D847+36, 2)</f>
        <v>28</v>
      </c>
      <c r="H847" s="6" t="str">
        <f aca="false">DEC2HEX(C847+48,2)</f>
        <v>3E</v>
      </c>
      <c r="I847" s="6" t="str">
        <f aca="false">_xlfn.CONCAT("\x", G847, "\x", H847, "=", F847)</f>
        <v>\x28\x3E=묀</v>
      </c>
      <c r="M847" s="8"/>
    </row>
    <row r="848" customFormat="false" ht="12.8" hidden="false" customHeight="true" outlineLevel="0" collapsed="false">
      <c r="C848" s="6" t="n">
        <f aca="false">MOD(ROW()-1, 208)</f>
        <v>15</v>
      </c>
      <c r="D848" s="6" t="n">
        <f aca="false">INT((ROW()-1)/208)</f>
        <v>4</v>
      </c>
      <c r="F848" s="6" t="str">
        <f aca="false">MID(VLOOKUP(D848,$P$1:$Q$13,2,0), 1 + C848,1)</f>
        <v>묄</v>
      </c>
      <c r="G848" s="6" t="str">
        <f aca="false">DEC2HEX(D848+36, 2)</f>
        <v>28</v>
      </c>
      <c r="H848" s="6" t="str">
        <f aca="false">DEC2HEX(C848+48,2)</f>
        <v>3F</v>
      </c>
      <c r="I848" s="6" t="str">
        <f aca="false">_xlfn.CONCAT("\x", G848, "\x", H848, "=", F848)</f>
        <v>\x28\x3F=묄</v>
      </c>
      <c r="M848" s="8"/>
    </row>
    <row r="849" customFormat="false" ht="12.8" hidden="false" customHeight="true" outlineLevel="0" collapsed="false">
      <c r="C849" s="6" t="n">
        <f aca="false">MOD(ROW()-1, 208)</f>
        <v>16</v>
      </c>
      <c r="D849" s="6" t="n">
        <f aca="false">INT((ROW()-1)/208)</f>
        <v>4</v>
      </c>
      <c r="F849" s="6" t="str">
        <f aca="false">MID(VLOOKUP(D849,$P$1:$Q$13,2,0), 1 + C849,1)</f>
        <v>묍</v>
      </c>
      <c r="G849" s="6" t="str">
        <f aca="false">DEC2HEX(D849+36, 2)</f>
        <v>28</v>
      </c>
      <c r="H849" s="6" t="str">
        <f aca="false">DEC2HEX(C849+48,2)</f>
        <v>40</v>
      </c>
      <c r="I849" s="6" t="str">
        <f aca="false">_xlfn.CONCAT("\x", G849, "\x", H849, "=", F849)</f>
        <v>\x28\x40=묍</v>
      </c>
      <c r="M849" s="8"/>
    </row>
    <row r="850" customFormat="false" ht="12.8" hidden="false" customHeight="true" outlineLevel="0" collapsed="false">
      <c r="C850" s="6" t="n">
        <f aca="false">MOD(ROW()-1, 208)</f>
        <v>17</v>
      </c>
      <c r="D850" s="6" t="n">
        <f aca="false">INT((ROW()-1)/208)</f>
        <v>4</v>
      </c>
      <c r="F850" s="6" t="str">
        <f aca="false">MID(VLOOKUP(D850,$P$1:$Q$13,2,0), 1 + C850,1)</f>
        <v>묏</v>
      </c>
      <c r="G850" s="6" t="str">
        <f aca="false">DEC2HEX(D850+36, 2)</f>
        <v>28</v>
      </c>
      <c r="H850" s="6" t="str">
        <f aca="false">DEC2HEX(C850+48,2)</f>
        <v>41</v>
      </c>
      <c r="I850" s="6" t="str">
        <f aca="false">_xlfn.CONCAT("\x", G850, "\x", H850, "=", F850)</f>
        <v>\x28\x41=묏</v>
      </c>
      <c r="M850" s="8"/>
    </row>
    <row r="851" customFormat="false" ht="12.8" hidden="false" customHeight="true" outlineLevel="0" collapsed="false">
      <c r="C851" s="6" t="n">
        <f aca="false">MOD(ROW()-1, 208)</f>
        <v>18</v>
      </c>
      <c r="D851" s="6" t="n">
        <f aca="false">INT((ROW()-1)/208)</f>
        <v>4</v>
      </c>
      <c r="F851" s="6" t="str">
        <f aca="false">MID(VLOOKUP(D851,$P$1:$Q$13,2,0), 1 + C851,1)</f>
        <v>묑</v>
      </c>
      <c r="G851" s="6" t="str">
        <f aca="false">DEC2HEX(D851+36, 2)</f>
        <v>28</v>
      </c>
      <c r="H851" s="6" t="str">
        <f aca="false">DEC2HEX(C851+48,2)</f>
        <v>42</v>
      </c>
      <c r="I851" s="6" t="str">
        <f aca="false">_xlfn.CONCAT("\x", G851, "\x", H851, "=", F851)</f>
        <v>\x28\x42=묑</v>
      </c>
      <c r="M851" s="8"/>
    </row>
    <row r="852" customFormat="false" ht="12.8" hidden="false" customHeight="true" outlineLevel="0" collapsed="false">
      <c r="C852" s="6" t="n">
        <f aca="false">MOD(ROW()-1, 208)</f>
        <v>19</v>
      </c>
      <c r="D852" s="6" t="n">
        <f aca="false">INT((ROW()-1)/208)</f>
        <v>4</v>
      </c>
      <c r="F852" s="6" t="str">
        <f aca="false">MID(VLOOKUP(D852,$P$1:$Q$13,2,0), 1 + C852,1)</f>
        <v>묘</v>
      </c>
      <c r="G852" s="6" t="str">
        <f aca="false">DEC2HEX(D852+36, 2)</f>
        <v>28</v>
      </c>
      <c r="H852" s="6" t="str">
        <f aca="false">DEC2HEX(C852+48,2)</f>
        <v>43</v>
      </c>
      <c r="I852" s="6" t="str">
        <f aca="false">_xlfn.CONCAT("\x", G852, "\x", H852, "=", F852)</f>
        <v>\x28\x43=묘</v>
      </c>
      <c r="M852" s="8"/>
    </row>
    <row r="853" customFormat="false" ht="12.8" hidden="false" customHeight="true" outlineLevel="0" collapsed="false">
      <c r="C853" s="6" t="n">
        <f aca="false">MOD(ROW()-1, 208)</f>
        <v>20</v>
      </c>
      <c r="D853" s="6" t="n">
        <f aca="false">INT((ROW()-1)/208)</f>
        <v>4</v>
      </c>
      <c r="F853" s="6" t="str">
        <f aca="false">MID(VLOOKUP(D853,$P$1:$Q$13,2,0), 1 + C853,1)</f>
        <v>묜</v>
      </c>
      <c r="G853" s="6" t="str">
        <f aca="false">DEC2HEX(D853+36, 2)</f>
        <v>28</v>
      </c>
      <c r="H853" s="6" t="str">
        <f aca="false">DEC2HEX(C853+48,2)</f>
        <v>44</v>
      </c>
      <c r="I853" s="6" t="str">
        <f aca="false">_xlfn.CONCAT("\x", G853, "\x", H853, "=", F853)</f>
        <v>\x28\x44=묜</v>
      </c>
      <c r="M853" s="8"/>
    </row>
    <row r="854" customFormat="false" ht="12.8" hidden="false" customHeight="true" outlineLevel="0" collapsed="false">
      <c r="C854" s="6" t="n">
        <f aca="false">MOD(ROW()-1, 208)</f>
        <v>21</v>
      </c>
      <c r="D854" s="6" t="n">
        <f aca="false">INT((ROW()-1)/208)</f>
        <v>4</v>
      </c>
      <c r="F854" s="6" t="str">
        <f aca="false">MID(VLOOKUP(D854,$P$1:$Q$13,2,0), 1 + C854,1)</f>
        <v>묠</v>
      </c>
      <c r="G854" s="6" t="str">
        <f aca="false">DEC2HEX(D854+36, 2)</f>
        <v>28</v>
      </c>
      <c r="H854" s="6" t="str">
        <f aca="false">DEC2HEX(C854+48,2)</f>
        <v>45</v>
      </c>
      <c r="I854" s="6" t="str">
        <f aca="false">_xlfn.CONCAT("\x", G854, "\x", H854, "=", F854)</f>
        <v>\x28\x45=묠</v>
      </c>
      <c r="M854" s="8"/>
    </row>
    <row r="855" customFormat="false" ht="12.8" hidden="false" customHeight="true" outlineLevel="0" collapsed="false">
      <c r="C855" s="6" t="n">
        <f aca="false">MOD(ROW()-1, 208)</f>
        <v>22</v>
      </c>
      <c r="D855" s="6" t="n">
        <f aca="false">INT((ROW()-1)/208)</f>
        <v>4</v>
      </c>
      <c r="F855" s="6" t="str">
        <f aca="false">MID(VLOOKUP(D855,$P$1:$Q$13,2,0), 1 + C855,1)</f>
        <v>묩</v>
      </c>
      <c r="G855" s="6" t="str">
        <f aca="false">DEC2HEX(D855+36, 2)</f>
        <v>28</v>
      </c>
      <c r="H855" s="6" t="str">
        <f aca="false">DEC2HEX(C855+48,2)</f>
        <v>46</v>
      </c>
      <c r="I855" s="6" t="str">
        <f aca="false">_xlfn.CONCAT("\x", G855, "\x", H855, "=", F855)</f>
        <v>\x28\x46=묩</v>
      </c>
      <c r="M855" s="8"/>
    </row>
    <row r="856" customFormat="false" ht="12.8" hidden="false" customHeight="true" outlineLevel="0" collapsed="false">
      <c r="C856" s="6" t="n">
        <f aca="false">MOD(ROW()-1, 208)</f>
        <v>23</v>
      </c>
      <c r="D856" s="6" t="n">
        <f aca="false">INT((ROW()-1)/208)</f>
        <v>4</v>
      </c>
      <c r="F856" s="6" t="str">
        <f aca="false">MID(VLOOKUP(D856,$P$1:$Q$13,2,0), 1 + C856,1)</f>
        <v>묫</v>
      </c>
      <c r="G856" s="6" t="str">
        <f aca="false">DEC2HEX(D856+36, 2)</f>
        <v>28</v>
      </c>
      <c r="H856" s="6" t="str">
        <f aca="false">DEC2HEX(C856+48,2)</f>
        <v>47</v>
      </c>
      <c r="I856" s="6" t="str">
        <f aca="false">_xlfn.CONCAT("\x", G856, "\x", H856, "=", F856)</f>
        <v>\x28\x47=묫</v>
      </c>
      <c r="M856" s="8"/>
    </row>
    <row r="857" customFormat="false" ht="12.8" hidden="false" customHeight="true" outlineLevel="0" collapsed="false">
      <c r="C857" s="6" t="n">
        <f aca="false">MOD(ROW()-1, 208)</f>
        <v>24</v>
      </c>
      <c r="D857" s="6" t="n">
        <f aca="false">INT((ROW()-1)/208)</f>
        <v>4</v>
      </c>
      <c r="F857" s="6" t="str">
        <f aca="false">MID(VLOOKUP(D857,$P$1:$Q$13,2,0), 1 + C857,1)</f>
        <v>무</v>
      </c>
      <c r="G857" s="6" t="str">
        <f aca="false">DEC2HEX(D857+36, 2)</f>
        <v>28</v>
      </c>
      <c r="H857" s="6" t="str">
        <f aca="false">DEC2HEX(C857+48,2)</f>
        <v>48</v>
      </c>
      <c r="I857" s="6" t="str">
        <f aca="false">_xlfn.CONCAT("\x", G857, "\x", H857, "=", F857)</f>
        <v>\x28\x48=무</v>
      </c>
      <c r="M857" s="8"/>
    </row>
    <row r="858" customFormat="false" ht="12.8" hidden="false" customHeight="true" outlineLevel="0" collapsed="false">
      <c r="C858" s="6" t="n">
        <f aca="false">MOD(ROW()-1, 208)</f>
        <v>25</v>
      </c>
      <c r="D858" s="6" t="n">
        <f aca="false">INT((ROW()-1)/208)</f>
        <v>4</v>
      </c>
      <c r="F858" s="6" t="str">
        <f aca="false">MID(VLOOKUP(D858,$P$1:$Q$13,2,0), 1 + C858,1)</f>
        <v>묵</v>
      </c>
      <c r="G858" s="6" t="str">
        <f aca="false">DEC2HEX(D858+36, 2)</f>
        <v>28</v>
      </c>
      <c r="H858" s="6" t="str">
        <f aca="false">DEC2HEX(C858+48,2)</f>
        <v>49</v>
      </c>
      <c r="I858" s="6" t="str">
        <f aca="false">_xlfn.CONCAT("\x", G858, "\x", H858, "=", F858)</f>
        <v>\x28\x49=묵</v>
      </c>
      <c r="M858" s="8"/>
    </row>
    <row r="859" customFormat="false" ht="12.8" hidden="false" customHeight="true" outlineLevel="0" collapsed="false">
      <c r="C859" s="6" t="n">
        <f aca="false">MOD(ROW()-1, 208)</f>
        <v>26</v>
      </c>
      <c r="D859" s="6" t="n">
        <f aca="false">INT((ROW()-1)/208)</f>
        <v>4</v>
      </c>
      <c r="F859" s="6" t="str">
        <f aca="false">MID(VLOOKUP(D859,$P$1:$Q$13,2,0), 1 + C859,1)</f>
        <v>묶</v>
      </c>
      <c r="G859" s="6" t="str">
        <f aca="false">DEC2HEX(D859+36, 2)</f>
        <v>28</v>
      </c>
      <c r="H859" s="6" t="str">
        <f aca="false">DEC2HEX(C859+48,2)</f>
        <v>4A</v>
      </c>
      <c r="I859" s="6" t="str">
        <f aca="false">_xlfn.CONCAT("\x", G859, "\x", H859, "=", F859)</f>
        <v>\x28\x4A=묶</v>
      </c>
      <c r="M859" s="8"/>
    </row>
    <row r="860" customFormat="false" ht="12.8" hidden="false" customHeight="true" outlineLevel="0" collapsed="false">
      <c r="C860" s="6" t="n">
        <f aca="false">MOD(ROW()-1, 208)</f>
        <v>27</v>
      </c>
      <c r="D860" s="6" t="n">
        <f aca="false">INT((ROW()-1)/208)</f>
        <v>4</v>
      </c>
      <c r="F860" s="6" t="str">
        <f aca="false">MID(VLOOKUP(D860,$P$1:$Q$13,2,0), 1 + C860,1)</f>
        <v>문</v>
      </c>
      <c r="G860" s="6" t="str">
        <f aca="false">DEC2HEX(D860+36, 2)</f>
        <v>28</v>
      </c>
      <c r="H860" s="6" t="str">
        <f aca="false">DEC2HEX(C860+48,2)</f>
        <v>4B</v>
      </c>
      <c r="I860" s="6" t="str">
        <f aca="false">_xlfn.CONCAT("\x", G860, "\x", H860, "=", F860)</f>
        <v>\x28\x4B=문</v>
      </c>
      <c r="M860" s="8"/>
    </row>
    <row r="861" customFormat="false" ht="12.8" hidden="false" customHeight="true" outlineLevel="0" collapsed="false">
      <c r="C861" s="6" t="n">
        <f aca="false">MOD(ROW()-1, 208)</f>
        <v>28</v>
      </c>
      <c r="D861" s="6" t="n">
        <f aca="false">INT((ROW()-1)/208)</f>
        <v>4</v>
      </c>
      <c r="F861" s="6" t="str">
        <f aca="false">MID(VLOOKUP(D861,$P$1:$Q$13,2,0), 1 + C861,1)</f>
        <v>묻</v>
      </c>
      <c r="G861" s="6" t="str">
        <f aca="false">DEC2HEX(D861+36, 2)</f>
        <v>28</v>
      </c>
      <c r="H861" s="6" t="str">
        <f aca="false">DEC2HEX(C861+48,2)</f>
        <v>4C</v>
      </c>
      <c r="I861" s="6" t="str">
        <f aca="false">_xlfn.CONCAT("\x", G861, "\x", H861, "=", F861)</f>
        <v>\x28\x4C=묻</v>
      </c>
      <c r="M861" s="8"/>
    </row>
    <row r="862" customFormat="false" ht="12.8" hidden="false" customHeight="true" outlineLevel="0" collapsed="false">
      <c r="C862" s="6" t="n">
        <f aca="false">MOD(ROW()-1, 208)</f>
        <v>29</v>
      </c>
      <c r="D862" s="6" t="n">
        <f aca="false">INT((ROW()-1)/208)</f>
        <v>4</v>
      </c>
      <c r="F862" s="6" t="str">
        <f aca="false">MID(VLOOKUP(D862,$P$1:$Q$13,2,0), 1 + C862,1)</f>
        <v>물</v>
      </c>
      <c r="G862" s="6" t="str">
        <f aca="false">DEC2HEX(D862+36, 2)</f>
        <v>28</v>
      </c>
      <c r="H862" s="6" t="str">
        <f aca="false">DEC2HEX(C862+48,2)</f>
        <v>4D</v>
      </c>
      <c r="I862" s="6" t="str">
        <f aca="false">_xlfn.CONCAT("\x", G862, "\x", H862, "=", F862)</f>
        <v>\x28\x4D=물</v>
      </c>
      <c r="M862" s="8"/>
    </row>
    <row r="863" customFormat="false" ht="12.8" hidden="false" customHeight="true" outlineLevel="0" collapsed="false">
      <c r="C863" s="6" t="n">
        <f aca="false">MOD(ROW()-1, 208)</f>
        <v>30</v>
      </c>
      <c r="D863" s="6" t="n">
        <f aca="false">INT((ROW()-1)/208)</f>
        <v>4</v>
      </c>
      <c r="F863" s="6" t="str">
        <f aca="false">MID(VLOOKUP(D863,$P$1:$Q$13,2,0), 1 + C863,1)</f>
        <v>묽</v>
      </c>
      <c r="G863" s="6" t="str">
        <f aca="false">DEC2HEX(D863+36, 2)</f>
        <v>28</v>
      </c>
      <c r="H863" s="6" t="str">
        <f aca="false">DEC2HEX(C863+48,2)</f>
        <v>4E</v>
      </c>
      <c r="I863" s="6" t="str">
        <f aca="false">_xlfn.CONCAT("\x", G863, "\x", H863, "=", F863)</f>
        <v>\x28\x4E=묽</v>
      </c>
      <c r="M863" s="8"/>
    </row>
    <row r="864" customFormat="false" ht="12.8" hidden="false" customHeight="true" outlineLevel="0" collapsed="false">
      <c r="C864" s="6" t="n">
        <f aca="false">MOD(ROW()-1, 208)</f>
        <v>31</v>
      </c>
      <c r="D864" s="6" t="n">
        <f aca="false">INT((ROW()-1)/208)</f>
        <v>4</v>
      </c>
      <c r="F864" s="6" t="str">
        <f aca="false">MID(VLOOKUP(D864,$P$1:$Q$13,2,0), 1 + C864,1)</f>
        <v>묾</v>
      </c>
      <c r="G864" s="6" t="str">
        <f aca="false">DEC2HEX(D864+36, 2)</f>
        <v>28</v>
      </c>
      <c r="H864" s="6" t="str">
        <f aca="false">DEC2HEX(C864+48,2)</f>
        <v>4F</v>
      </c>
      <c r="I864" s="6" t="str">
        <f aca="false">_xlfn.CONCAT("\x", G864, "\x", H864, "=", F864)</f>
        <v>\x28\x4F=묾</v>
      </c>
      <c r="M864" s="8"/>
    </row>
    <row r="865" customFormat="false" ht="12.8" hidden="false" customHeight="true" outlineLevel="0" collapsed="false">
      <c r="C865" s="6" t="n">
        <f aca="false">MOD(ROW()-1, 208)</f>
        <v>32</v>
      </c>
      <c r="D865" s="6" t="n">
        <f aca="false">INT((ROW()-1)/208)</f>
        <v>4</v>
      </c>
      <c r="F865" s="6" t="str">
        <f aca="false">MID(VLOOKUP(D865,$P$1:$Q$13,2,0), 1 + C865,1)</f>
        <v>뭄</v>
      </c>
      <c r="G865" s="6" t="str">
        <f aca="false">DEC2HEX(D865+36, 2)</f>
        <v>28</v>
      </c>
      <c r="H865" s="6" t="str">
        <f aca="false">DEC2HEX(C865+48,2)</f>
        <v>50</v>
      </c>
      <c r="I865" s="6" t="str">
        <f aca="false">_xlfn.CONCAT("\x", G865, "\x", H865, "=", F865)</f>
        <v>\x28\x50=뭄</v>
      </c>
      <c r="M865" s="8"/>
    </row>
    <row r="866" customFormat="false" ht="12.8" hidden="false" customHeight="true" outlineLevel="0" collapsed="false">
      <c r="C866" s="6" t="n">
        <f aca="false">MOD(ROW()-1, 208)</f>
        <v>33</v>
      </c>
      <c r="D866" s="6" t="n">
        <f aca="false">INT((ROW()-1)/208)</f>
        <v>4</v>
      </c>
      <c r="F866" s="6" t="str">
        <f aca="false">MID(VLOOKUP(D866,$P$1:$Q$13,2,0), 1 + C866,1)</f>
        <v>뭅</v>
      </c>
      <c r="G866" s="6" t="str">
        <f aca="false">DEC2HEX(D866+36, 2)</f>
        <v>28</v>
      </c>
      <c r="H866" s="6" t="str">
        <f aca="false">DEC2HEX(C866+48,2)</f>
        <v>51</v>
      </c>
      <c r="I866" s="6" t="str">
        <f aca="false">_xlfn.CONCAT("\x", G866, "\x", H866, "=", F866)</f>
        <v>\x28\x51=뭅</v>
      </c>
      <c r="M866" s="8"/>
    </row>
    <row r="867" customFormat="false" ht="12.8" hidden="false" customHeight="true" outlineLevel="0" collapsed="false">
      <c r="C867" s="6" t="n">
        <f aca="false">MOD(ROW()-1, 208)</f>
        <v>34</v>
      </c>
      <c r="D867" s="6" t="n">
        <f aca="false">INT((ROW()-1)/208)</f>
        <v>4</v>
      </c>
      <c r="F867" s="6" t="str">
        <f aca="false">MID(VLOOKUP(D867,$P$1:$Q$13,2,0), 1 + C867,1)</f>
        <v>뭇</v>
      </c>
      <c r="G867" s="6" t="str">
        <f aca="false">DEC2HEX(D867+36, 2)</f>
        <v>28</v>
      </c>
      <c r="H867" s="6" t="str">
        <f aca="false">DEC2HEX(C867+48,2)</f>
        <v>52</v>
      </c>
      <c r="I867" s="6" t="str">
        <f aca="false">_xlfn.CONCAT("\x", G867, "\x", H867, "=", F867)</f>
        <v>\x28\x52=뭇</v>
      </c>
      <c r="M867" s="8"/>
    </row>
    <row r="868" customFormat="false" ht="12.8" hidden="false" customHeight="true" outlineLevel="0" collapsed="false">
      <c r="C868" s="6" t="n">
        <f aca="false">MOD(ROW()-1, 208)</f>
        <v>35</v>
      </c>
      <c r="D868" s="6" t="n">
        <f aca="false">INT((ROW()-1)/208)</f>
        <v>4</v>
      </c>
      <c r="F868" s="6" t="str">
        <f aca="false">MID(VLOOKUP(D868,$P$1:$Q$13,2,0), 1 + C868,1)</f>
        <v>뭉</v>
      </c>
      <c r="G868" s="6" t="str">
        <f aca="false">DEC2HEX(D868+36, 2)</f>
        <v>28</v>
      </c>
      <c r="H868" s="6" t="str">
        <f aca="false">DEC2HEX(C868+48,2)</f>
        <v>53</v>
      </c>
      <c r="I868" s="6" t="str">
        <f aca="false">_xlfn.CONCAT("\x", G868, "\x", H868, "=", F868)</f>
        <v>\x28\x53=뭉</v>
      </c>
      <c r="M868" s="8"/>
    </row>
    <row r="869" customFormat="false" ht="12.8" hidden="false" customHeight="true" outlineLevel="0" collapsed="false">
      <c r="C869" s="6" t="n">
        <f aca="false">MOD(ROW()-1, 208)</f>
        <v>36</v>
      </c>
      <c r="D869" s="6" t="n">
        <f aca="false">INT((ROW()-1)/208)</f>
        <v>4</v>
      </c>
      <c r="F869" s="6" t="str">
        <f aca="false">MID(VLOOKUP(D869,$P$1:$Q$13,2,0), 1 + C869,1)</f>
        <v>뭍</v>
      </c>
      <c r="G869" s="6" t="str">
        <f aca="false">DEC2HEX(D869+36, 2)</f>
        <v>28</v>
      </c>
      <c r="H869" s="6" t="str">
        <f aca="false">DEC2HEX(C869+48,2)</f>
        <v>54</v>
      </c>
      <c r="I869" s="6" t="str">
        <f aca="false">_xlfn.CONCAT("\x", G869, "\x", H869, "=", F869)</f>
        <v>\x28\x54=뭍</v>
      </c>
      <c r="M869" s="8"/>
    </row>
    <row r="870" customFormat="false" ht="12.8" hidden="false" customHeight="true" outlineLevel="0" collapsed="false">
      <c r="C870" s="6" t="n">
        <f aca="false">MOD(ROW()-1, 208)</f>
        <v>37</v>
      </c>
      <c r="D870" s="6" t="n">
        <f aca="false">INT((ROW()-1)/208)</f>
        <v>4</v>
      </c>
      <c r="F870" s="6" t="str">
        <f aca="false">MID(VLOOKUP(D870,$P$1:$Q$13,2,0), 1 + C870,1)</f>
        <v>뭏</v>
      </c>
      <c r="G870" s="6" t="str">
        <f aca="false">DEC2HEX(D870+36, 2)</f>
        <v>28</v>
      </c>
      <c r="H870" s="6" t="str">
        <f aca="false">DEC2HEX(C870+48,2)</f>
        <v>55</v>
      </c>
      <c r="I870" s="6" t="str">
        <f aca="false">_xlfn.CONCAT("\x", G870, "\x", H870, "=", F870)</f>
        <v>\x28\x55=뭏</v>
      </c>
      <c r="M870" s="8"/>
    </row>
    <row r="871" customFormat="false" ht="12.8" hidden="false" customHeight="true" outlineLevel="0" collapsed="false">
      <c r="C871" s="6" t="n">
        <f aca="false">MOD(ROW()-1, 208)</f>
        <v>38</v>
      </c>
      <c r="D871" s="6" t="n">
        <f aca="false">INT((ROW()-1)/208)</f>
        <v>4</v>
      </c>
      <c r="F871" s="6" t="str">
        <f aca="false">MID(VLOOKUP(D871,$P$1:$Q$13,2,0), 1 + C871,1)</f>
        <v>뭐</v>
      </c>
      <c r="G871" s="6" t="str">
        <f aca="false">DEC2HEX(D871+36, 2)</f>
        <v>28</v>
      </c>
      <c r="H871" s="6" t="str">
        <f aca="false">DEC2HEX(C871+48,2)</f>
        <v>56</v>
      </c>
      <c r="I871" s="6" t="str">
        <f aca="false">_xlfn.CONCAT("\x", G871, "\x", H871, "=", F871)</f>
        <v>\x28\x56=뭐</v>
      </c>
      <c r="M871" s="8"/>
    </row>
    <row r="872" customFormat="false" ht="12.8" hidden="false" customHeight="true" outlineLevel="0" collapsed="false">
      <c r="C872" s="6" t="n">
        <f aca="false">MOD(ROW()-1, 208)</f>
        <v>39</v>
      </c>
      <c r="D872" s="6" t="n">
        <f aca="false">INT((ROW()-1)/208)</f>
        <v>4</v>
      </c>
      <c r="F872" s="6" t="str">
        <f aca="false">MID(VLOOKUP(D872,$P$1:$Q$13,2,0), 1 + C872,1)</f>
        <v>뭔</v>
      </c>
      <c r="G872" s="6" t="str">
        <f aca="false">DEC2HEX(D872+36, 2)</f>
        <v>28</v>
      </c>
      <c r="H872" s="6" t="str">
        <f aca="false">DEC2HEX(C872+48,2)</f>
        <v>57</v>
      </c>
      <c r="I872" s="6" t="str">
        <f aca="false">_xlfn.CONCAT("\x", G872, "\x", H872, "=", F872)</f>
        <v>\x28\x57=뭔</v>
      </c>
      <c r="M872" s="8"/>
    </row>
    <row r="873" customFormat="false" ht="12.8" hidden="false" customHeight="true" outlineLevel="0" collapsed="false">
      <c r="C873" s="6" t="n">
        <f aca="false">MOD(ROW()-1, 208)</f>
        <v>40</v>
      </c>
      <c r="D873" s="6" t="n">
        <f aca="false">INT((ROW()-1)/208)</f>
        <v>4</v>
      </c>
      <c r="F873" s="6" t="str">
        <f aca="false">MID(VLOOKUP(D873,$P$1:$Q$13,2,0), 1 + C873,1)</f>
        <v>뭘</v>
      </c>
      <c r="G873" s="6" t="str">
        <f aca="false">DEC2HEX(D873+36, 2)</f>
        <v>28</v>
      </c>
      <c r="H873" s="6" t="str">
        <f aca="false">DEC2HEX(C873+48,2)</f>
        <v>58</v>
      </c>
      <c r="I873" s="6" t="str">
        <f aca="false">_xlfn.CONCAT("\x", G873, "\x", H873, "=", F873)</f>
        <v>\x28\x58=뭘</v>
      </c>
      <c r="M873" s="8"/>
    </row>
    <row r="874" customFormat="false" ht="12.8" hidden="false" customHeight="true" outlineLevel="0" collapsed="false">
      <c r="C874" s="6" t="n">
        <f aca="false">MOD(ROW()-1, 208)</f>
        <v>41</v>
      </c>
      <c r="D874" s="6" t="n">
        <f aca="false">INT((ROW()-1)/208)</f>
        <v>4</v>
      </c>
      <c r="F874" s="6" t="str">
        <f aca="false">MID(VLOOKUP(D874,$P$1:$Q$13,2,0), 1 + C874,1)</f>
        <v>뭡</v>
      </c>
      <c r="G874" s="6" t="str">
        <f aca="false">DEC2HEX(D874+36, 2)</f>
        <v>28</v>
      </c>
      <c r="H874" s="6" t="str">
        <f aca="false">DEC2HEX(C874+48,2)</f>
        <v>59</v>
      </c>
      <c r="I874" s="6" t="str">
        <f aca="false">_xlfn.CONCAT("\x", G874, "\x", H874, "=", F874)</f>
        <v>\x28\x59=뭡</v>
      </c>
      <c r="M874" s="8"/>
    </row>
    <row r="875" customFormat="false" ht="12.8" hidden="false" customHeight="true" outlineLevel="0" collapsed="false">
      <c r="C875" s="6" t="n">
        <f aca="false">MOD(ROW()-1, 208)</f>
        <v>42</v>
      </c>
      <c r="D875" s="6" t="n">
        <f aca="false">INT((ROW()-1)/208)</f>
        <v>4</v>
      </c>
      <c r="F875" s="6" t="str">
        <f aca="false">MID(VLOOKUP(D875,$P$1:$Q$13,2,0), 1 + C875,1)</f>
        <v>뭣</v>
      </c>
      <c r="G875" s="6" t="str">
        <f aca="false">DEC2HEX(D875+36, 2)</f>
        <v>28</v>
      </c>
      <c r="H875" s="6" t="str">
        <f aca="false">DEC2HEX(C875+48,2)</f>
        <v>5A</v>
      </c>
      <c r="I875" s="6" t="str">
        <f aca="false">_xlfn.CONCAT("\x", G875, "\x", H875, "=", F875)</f>
        <v>\x28\x5A=뭣</v>
      </c>
      <c r="M875" s="8"/>
    </row>
    <row r="876" customFormat="false" ht="12.8" hidden="false" customHeight="true" outlineLevel="0" collapsed="false">
      <c r="C876" s="6" t="n">
        <f aca="false">MOD(ROW()-1, 208)</f>
        <v>43</v>
      </c>
      <c r="D876" s="6" t="n">
        <f aca="false">INT((ROW()-1)/208)</f>
        <v>4</v>
      </c>
      <c r="F876" s="6" t="str">
        <f aca="false">MID(VLOOKUP(D876,$P$1:$Q$13,2,0), 1 + C876,1)</f>
        <v>뭬</v>
      </c>
      <c r="G876" s="6" t="str">
        <f aca="false">DEC2HEX(D876+36, 2)</f>
        <v>28</v>
      </c>
      <c r="H876" s="6" t="str">
        <f aca="false">DEC2HEX(C876+48,2)</f>
        <v>5B</v>
      </c>
      <c r="I876" s="6" t="str">
        <f aca="false">_xlfn.CONCAT("\x", G876, "\x", H876, "=", F876)</f>
        <v>\x28\x5B=뭬</v>
      </c>
      <c r="M876" s="8"/>
    </row>
    <row r="877" customFormat="false" ht="12.8" hidden="false" customHeight="true" outlineLevel="0" collapsed="false">
      <c r="C877" s="6" t="n">
        <f aca="false">MOD(ROW()-1, 208)</f>
        <v>44</v>
      </c>
      <c r="D877" s="6" t="n">
        <f aca="false">INT((ROW()-1)/208)</f>
        <v>4</v>
      </c>
      <c r="F877" s="6" t="str">
        <f aca="false">MID(VLOOKUP(D877,$P$1:$Q$13,2,0), 1 + C877,1)</f>
        <v>뮈</v>
      </c>
      <c r="G877" s="6" t="str">
        <f aca="false">DEC2HEX(D877+36, 2)</f>
        <v>28</v>
      </c>
      <c r="H877" s="6" t="str">
        <f aca="false">DEC2HEX(C877+48,2)</f>
        <v>5C</v>
      </c>
      <c r="I877" s="6" t="str">
        <f aca="false">_xlfn.CONCAT("\x", G877, "\x", H877, "=", F877)</f>
        <v>\x28\x5C=뮈</v>
      </c>
      <c r="M877" s="8"/>
    </row>
    <row r="878" customFormat="false" ht="12.8" hidden="false" customHeight="true" outlineLevel="0" collapsed="false">
      <c r="C878" s="6" t="n">
        <f aca="false">MOD(ROW()-1, 208)</f>
        <v>45</v>
      </c>
      <c r="D878" s="6" t="n">
        <f aca="false">INT((ROW()-1)/208)</f>
        <v>4</v>
      </c>
      <c r="F878" s="6" t="str">
        <f aca="false">MID(VLOOKUP(D878,$P$1:$Q$13,2,0), 1 + C878,1)</f>
        <v>뮌</v>
      </c>
      <c r="G878" s="6" t="str">
        <f aca="false">DEC2HEX(D878+36, 2)</f>
        <v>28</v>
      </c>
      <c r="H878" s="6" t="str">
        <f aca="false">DEC2HEX(C878+48,2)</f>
        <v>5D</v>
      </c>
      <c r="I878" s="6" t="str">
        <f aca="false">_xlfn.CONCAT("\x", G878, "\x", H878, "=", F878)</f>
        <v>\x28\x5D=뮌</v>
      </c>
      <c r="M878" s="8"/>
    </row>
    <row r="879" customFormat="false" ht="12.8" hidden="false" customHeight="true" outlineLevel="0" collapsed="false">
      <c r="C879" s="6" t="n">
        <f aca="false">MOD(ROW()-1, 208)</f>
        <v>46</v>
      </c>
      <c r="D879" s="6" t="n">
        <f aca="false">INT((ROW()-1)/208)</f>
        <v>4</v>
      </c>
      <c r="F879" s="6" t="str">
        <f aca="false">MID(VLOOKUP(D879,$P$1:$Q$13,2,0), 1 + C879,1)</f>
        <v>뮐</v>
      </c>
      <c r="G879" s="6" t="str">
        <f aca="false">DEC2HEX(D879+36, 2)</f>
        <v>28</v>
      </c>
      <c r="H879" s="6" t="str">
        <f aca="false">DEC2HEX(C879+48,2)</f>
        <v>5E</v>
      </c>
      <c r="I879" s="6" t="str">
        <f aca="false">_xlfn.CONCAT("\x", G879, "\x", H879, "=", F879)</f>
        <v>\x28\x5E=뮐</v>
      </c>
      <c r="M879" s="8"/>
    </row>
    <row r="880" customFormat="false" ht="12.8" hidden="false" customHeight="true" outlineLevel="0" collapsed="false">
      <c r="C880" s="6" t="n">
        <f aca="false">MOD(ROW()-1, 208)</f>
        <v>47</v>
      </c>
      <c r="D880" s="6" t="n">
        <f aca="false">INT((ROW()-1)/208)</f>
        <v>4</v>
      </c>
      <c r="F880" s="6" t="str">
        <f aca="false">MID(VLOOKUP(D880,$P$1:$Q$13,2,0), 1 + C880,1)</f>
        <v>뮤</v>
      </c>
      <c r="G880" s="6" t="str">
        <f aca="false">DEC2HEX(D880+36, 2)</f>
        <v>28</v>
      </c>
      <c r="H880" s="6" t="str">
        <f aca="false">DEC2HEX(C880+48,2)</f>
        <v>5F</v>
      </c>
      <c r="I880" s="6" t="str">
        <f aca="false">_xlfn.CONCAT("\x", G880, "\x", H880, "=", F880)</f>
        <v>\x28\x5F=뮤</v>
      </c>
      <c r="M880" s="8"/>
    </row>
    <row r="881" customFormat="false" ht="12.8" hidden="false" customHeight="true" outlineLevel="0" collapsed="false">
      <c r="C881" s="6" t="n">
        <f aca="false">MOD(ROW()-1, 208)</f>
        <v>48</v>
      </c>
      <c r="D881" s="6" t="n">
        <f aca="false">INT((ROW()-1)/208)</f>
        <v>4</v>
      </c>
      <c r="F881" s="6" t="str">
        <f aca="false">MID(VLOOKUP(D881,$P$1:$Q$13,2,0), 1 + C881,1)</f>
        <v>뮨</v>
      </c>
      <c r="G881" s="6" t="str">
        <f aca="false">DEC2HEX(D881+36, 2)</f>
        <v>28</v>
      </c>
      <c r="H881" s="6" t="str">
        <f aca="false">DEC2HEX(C881+48,2)</f>
        <v>60</v>
      </c>
      <c r="I881" s="6" t="str">
        <f aca="false">_xlfn.CONCAT("\x", G881, "\x", H881, "=", F881)</f>
        <v>\x28\x60=뮨</v>
      </c>
      <c r="M881" s="8"/>
    </row>
    <row r="882" customFormat="false" ht="12.8" hidden="false" customHeight="true" outlineLevel="0" collapsed="false">
      <c r="C882" s="6" t="n">
        <f aca="false">MOD(ROW()-1, 208)</f>
        <v>49</v>
      </c>
      <c r="D882" s="6" t="n">
        <f aca="false">INT((ROW()-1)/208)</f>
        <v>4</v>
      </c>
      <c r="F882" s="6" t="str">
        <f aca="false">MID(VLOOKUP(D882,$P$1:$Q$13,2,0), 1 + C882,1)</f>
        <v>뮬</v>
      </c>
      <c r="G882" s="6" t="str">
        <f aca="false">DEC2HEX(D882+36, 2)</f>
        <v>28</v>
      </c>
      <c r="H882" s="6" t="str">
        <f aca="false">DEC2HEX(C882+48,2)</f>
        <v>61</v>
      </c>
      <c r="I882" s="6" t="str">
        <f aca="false">_xlfn.CONCAT("\x", G882, "\x", H882, "=", F882)</f>
        <v>\x28\x61=뮬</v>
      </c>
      <c r="M882" s="8"/>
    </row>
    <row r="883" customFormat="false" ht="12.8" hidden="false" customHeight="true" outlineLevel="0" collapsed="false">
      <c r="C883" s="6" t="n">
        <f aca="false">MOD(ROW()-1, 208)</f>
        <v>50</v>
      </c>
      <c r="D883" s="6" t="n">
        <f aca="false">INT((ROW()-1)/208)</f>
        <v>4</v>
      </c>
      <c r="F883" s="6" t="str">
        <f aca="false">MID(VLOOKUP(D883,$P$1:$Q$13,2,0), 1 + C883,1)</f>
        <v>뮴</v>
      </c>
      <c r="G883" s="6" t="str">
        <f aca="false">DEC2HEX(D883+36, 2)</f>
        <v>28</v>
      </c>
      <c r="H883" s="6" t="str">
        <f aca="false">DEC2HEX(C883+48,2)</f>
        <v>62</v>
      </c>
      <c r="I883" s="6" t="str">
        <f aca="false">_xlfn.CONCAT("\x", G883, "\x", H883, "=", F883)</f>
        <v>\x28\x62=뮴</v>
      </c>
      <c r="M883" s="8"/>
    </row>
    <row r="884" customFormat="false" ht="12.8" hidden="false" customHeight="true" outlineLevel="0" collapsed="false">
      <c r="C884" s="6" t="n">
        <f aca="false">MOD(ROW()-1, 208)</f>
        <v>51</v>
      </c>
      <c r="D884" s="6" t="n">
        <f aca="false">INT((ROW()-1)/208)</f>
        <v>4</v>
      </c>
      <c r="F884" s="6" t="str">
        <f aca="false">MID(VLOOKUP(D884,$P$1:$Q$13,2,0), 1 + C884,1)</f>
        <v>뮷</v>
      </c>
      <c r="G884" s="6" t="str">
        <f aca="false">DEC2HEX(D884+36, 2)</f>
        <v>28</v>
      </c>
      <c r="H884" s="6" t="str">
        <f aca="false">DEC2HEX(C884+48,2)</f>
        <v>63</v>
      </c>
      <c r="I884" s="6" t="str">
        <f aca="false">_xlfn.CONCAT("\x", G884, "\x", H884, "=", F884)</f>
        <v>\x28\x63=뮷</v>
      </c>
      <c r="M884" s="8"/>
    </row>
    <row r="885" customFormat="false" ht="12.8" hidden="false" customHeight="true" outlineLevel="0" collapsed="false">
      <c r="C885" s="6" t="n">
        <f aca="false">MOD(ROW()-1, 208)</f>
        <v>52</v>
      </c>
      <c r="D885" s="6" t="n">
        <f aca="false">INT((ROW()-1)/208)</f>
        <v>4</v>
      </c>
      <c r="F885" s="6" t="str">
        <f aca="false">MID(VLOOKUP(D885,$P$1:$Q$13,2,0), 1 + C885,1)</f>
        <v>므</v>
      </c>
      <c r="G885" s="6" t="str">
        <f aca="false">DEC2HEX(D885+36, 2)</f>
        <v>28</v>
      </c>
      <c r="H885" s="6" t="str">
        <f aca="false">DEC2HEX(C885+48,2)</f>
        <v>64</v>
      </c>
      <c r="I885" s="6" t="str">
        <f aca="false">_xlfn.CONCAT("\x", G885, "\x", H885, "=", F885)</f>
        <v>\x28\x64=므</v>
      </c>
      <c r="M885" s="8"/>
    </row>
    <row r="886" customFormat="false" ht="12.8" hidden="false" customHeight="true" outlineLevel="0" collapsed="false">
      <c r="C886" s="6" t="n">
        <f aca="false">MOD(ROW()-1, 208)</f>
        <v>53</v>
      </c>
      <c r="D886" s="6" t="n">
        <f aca="false">INT((ROW()-1)/208)</f>
        <v>4</v>
      </c>
      <c r="F886" s="6" t="str">
        <f aca="false">MID(VLOOKUP(D886,$P$1:$Q$13,2,0), 1 + C886,1)</f>
        <v>믄</v>
      </c>
      <c r="G886" s="6" t="str">
        <f aca="false">DEC2HEX(D886+36, 2)</f>
        <v>28</v>
      </c>
      <c r="H886" s="6" t="str">
        <f aca="false">DEC2HEX(C886+48,2)</f>
        <v>65</v>
      </c>
      <c r="I886" s="6" t="str">
        <f aca="false">_xlfn.CONCAT("\x", G886, "\x", H886, "=", F886)</f>
        <v>\x28\x65=믄</v>
      </c>
      <c r="M886" s="8"/>
    </row>
    <row r="887" customFormat="false" ht="12.8" hidden="false" customHeight="true" outlineLevel="0" collapsed="false">
      <c r="C887" s="6" t="n">
        <f aca="false">MOD(ROW()-1, 208)</f>
        <v>54</v>
      </c>
      <c r="D887" s="6" t="n">
        <f aca="false">INT((ROW()-1)/208)</f>
        <v>4</v>
      </c>
      <c r="F887" s="6" t="str">
        <f aca="false">MID(VLOOKUP(D887,$P$1:$Q$13,2,0), 1 + C887,1)</f>
        <v>믈</v>
      </c>
      <c r="G887" s="6" t="str">
        <f aca="false">DEC2HEX(D887+36, 2)</f>
        <v>28</v>
      </c>
      <c r="H887" s="6" t="str">
        <f aca="false">DEC2HEX(C887+48,2)</f>
        <v>66</v>
      </c>
      <c r="I887" s="6" t="str">
        <f aca="false">_xlfn.CONCAT("\x", G887, "\x", H887, "=", F887)</f>
        <v>\x28\x66=믈</v>
      </c>
      <c r="M887" s="8"/>
    </row>
    <row r="888" customFormat="false" ht="12.8" hidden="false" customHeight="true" outlineLevel="0" collapsed="false">
      <c r="C888" s="6" t="n">
        <f aca="false">MOD(ROW()-1, 208)</f>
        <v>55</v>
      </c>
      <c r="D888" s="6" t="n">
        <f aca="false">INT((ROW()-1)/208)</f>
        <v>4</v>
      </c>
      <c r="F888" s="6" t="str">
        <f aca="false">MID(VLOOKUP(D888,$P$1:$Q$13,2,0), 1 + C888,1)</f>
        <v>믐</v>
      </c>
      <c r="G888" s="6" t="str">
        <f aca="false">DEC2HEX(D888+36, 2)</f>
        <v>28</v>
      </c>
      <c r="H888" s="6" t="str">
        <f aca="false">DEC2HEX(C888+48,2)</f>
        <v>67</v>
      </c>
      <c r="I888" s="6" t="str">
        <f aca="false">_xlfn.CONCAT("\x", G888, "\x", H888, "=", F888)</f>
        <v>\x28\x67=믐</v>
      </c>
      <c r="M888" s="8"/>
    </row>
    <row r="889" customFormat="false" ht="12.8" hidden="false" customHeight="true" outlineLevel="0" collapsed="false">
      <c r="C889" s="6" t="n">
        <f aca="false">MOD(ROW()-1, 208)</f>
        <v>56</v>
      </c>
      <c r="D889" s="6" t="n">
        <f aca="false">INT((ROW()-1)/208)</f>
        <v>4</v>
      </c>
      <c r="F889" s="6" t="str">
        <f aca="false">MID(VLOOKUP(D889,$P$1:$Q$13,2,0), 1 + C889,1)</f>
        <v>믓</v>
      </c>
      <c r="G889" s="6" t="str">
        <f aca="false">DEC2HEX(D889+36, 2)</f>
        <v>28</v>
      </c>
      <c r="H889" s="6" t="str">
        <f aca="false">DEC2HEX(C889+48,2)</f>
        <v>68</v>
      </c>
      <c r="I889" s="6" t="str">
        <f aca="false">_xlfn.CONCAT("\x", G889, "\x", H889, "=", F889)</f>
        <v>\x28\x68=믓</v>
      </c>
      <c r="M889" s="8"/>
    </row>
    <row r="890" customFormat="false" ht="12.8" hidden="false" customHeight="true" outlineLevel="0" collapsed="false">
      <c r="C890" s="6" t="n">
        <f aca="false">MOD(ROW()-1, 208)</f>
        <v>57</v>
      </c>
      <c r="D890" s="6" t="n">
        <f aca="false">INT((ROW()-1)/208)</f>
        <v>4</v>
      </c>
      <c r="F890" s="6" t="str">
        <f aca="false">MID(VLOOKUP(D890,$P$1:$Q$13,2,0), 1 + C890,1)</f>
        <v>미</v>
      </c>
      <c r="G890" s="6" t="str">
        <f aca="false">DEC2HEX(D890+36, 2)</f>
        <v>28</v>
      </c>
      <c r="H890" s="6" t="str">
        <f aca="false">DEC2HEX(C890+48,2)</f>
        <v>69</v>
      </c>
      <c r="I890" s="6" t="str">
        <f aca="false">_xlfn.CONCAT("\x", G890, "\x", H890, "=", F890)</f>
        <v>\x28\x69=미</v>
      </c>
      <c r="M890" s="8"/>
    </row>
    <row r="891" customFormat="false" ht="12.8" hidden="false" customHeight="true" outlineLevel="0" collapsed="false">
      <c r="C891" s="6" t="n">
        <f aca="false">MOD(ROW()-1, 208)</f>
        <v>58</v>
      </c>
      <c r="D891" s="6" t="n">
        <f aca="false">INT((ROW()-1)/208)</f>
        <v>4</v>
      </c>
      <c r="F891" s="6" t="str">
        <f aca="false">MID(VLOOKUP(D891,$P$1:$Q$13,2,0), 1 + C891,1)</f>
        <v>믹</v>
      </c>
      <c r="G891" s="6" t="str">
        <f aca="false">DEC2HEX(D891+36, 2)</f>
        <v>28</v>
      </c>
      <c r="H891" s="6" t="str">
        <f aca="false">DEC2HEX(C891+48,2)</f>
        <v>6A</v>
      </c>
      <c r="I891" s="6" t="str">
        <f aca="false">_xlfn.CONCAT("\x", G891, "\x", H891, "=", F891)</f>
        <v>\x28\x6A=믹</v>
      </c>
      <c r="M891" s="8"/>
    </row>
    <row r="892" customFormat="false" ht="12.8" hidden="false" customHeight="true" outlineLevel="0" collapsed="false">
      <c r="C892" s="6" t="n">
        <f aca="false">MOD(ROW()-1, 208)</f>
        <v>59</v>
      </c>
      <c r="D892" s="6" t="n">
        <f aca="false">INT((ROW()-1)/208)</f>
        <v>4</v>
      </c>
      <c r="F892" s="6" t="str">
        <f aca="false">MID(VLOOKUP(D892,$P$1:$Q$13,2,0), 1 + C892,1)</f>
        <v>민</v>
      </c>
      <c r="G892" s="6" t="str">
        <f aca="false">DEC2HEX(D892+36, 2)</f>
        <v>28</v>
      </c>
      <c r="H892" s="6" t="str">
        <f aca="false">DEC2HEX(C892+48,2)</f>
        <v>6B</v>
      </c>
      <c r="I892" s="6" t="str">
        <f aca="false">_xlfn.CONCAT("\x", G892, "\x", H892, "=", F892)</f>
        <v>\x28\x6B=민</v>
      </c>
      <c r="M892" s="8"/>
    </row>
    <row r="893" customFormat="false" ht="12.8" hidden="false" customHeight="true" outlineLevel="0" collapsed="false">
      <c r="C893" s="6" t="n">
        <f aca="false">MOD(ROW()-1, 208)</f>
        <v>60</v>
      </c>
      <c r="D893" s="6" t="n">
        <f aca="false">INT((ROW()-1)/208)</f>
        <v>4</v>
      </c>
      <c r="F893" s="6" t="str">
        <f aca="false">MID(VLOOKUP(D893,$P$1:$Q$13,2,0), 1 + C893,1)</f>
        <v>믿</v>
      </c>
      <c r="G893" s="6" t="str">
        <f aca="false">DEC2HEX(D893+36, 2)</f>
        <v>28</v>
      </c>
      <c r="H893" s="6" t="str">
        <f aca="false">DEC2HEX(C893+48,2)</f>
        <v>6C</v>
      </c>
      <c r="I893" s="6" t="str">
        <f aca="false">_xlfn.CONCAT("\x", G893, "\x", H893, "=", F893)</f>
        <v>\x28\x6C=믿</v>
      </c>
      <c r="M893" s="8"/>
    </row>
    <row r="894" customFormat="false" ht="12.8" hidden="false" customHeight="true" outlineLevel="0" collapsed="false">
      <c r="C894" s="6" t="n">
        <f aca="false">MOD(ROW()-1, 208)</f>
        <v>61</v>
      </c>
      <c r="D894" s="6" t="n">
        <f aca="false">INT((ROW()-1)/208)</f>
        <v>4</v>
      </c>
      <c r="F894" s="6" t="str">
        <f aca="false">MID(VLOOKUP(D894,$P$1:$Q$13,2,0), 1 + C894,1)</f>
        <v>밀</v>
      </c>
      <c r="G894" s="6" t="str">
        <f aca="false">DEC2HEX(D894+36, 2)</f>
        <v>28</v>
      </c>
      <c r="H894" s="6" t="str">
        <f aca="false">DEC2HEX(C894+48,2)</f>
        <v>6D</v>
      </c>
      <c r="I894" s="6" t="str">
        <f aca="false">_xlfn.CONCAT("\x", G894, "\x", H894, "=", F894)</f>
        <v>\x28\x6D=밀</v>
      </c>
      <c r="M894" s="8"/>
    </row>
    <row r="895" customFormat="false" ht="12.8" hidden="false" customHeight="true" outlineLevel="0" collapsed="false">
      <c r="C895" s="6" t="n">
        <f aca="false">MOD(ROW()-1, 208)</f>
        <v>62</v>
      </c>
      <c r="D895" s="6" t="n">
        <f aca="false">INT((ROW()-1)/208)</f>
        <v>4</v>
      </c>
      <c r="F895" s="6" t="str">
        <f aca="false">MID(VLOOKUP(D895,$P$1:$Q$13,2,0), 1 + C895,1)</f>
        <v>밂</v>
      </c>
      <c r="G895" s="6" t="str">
        <f aca="false">DEC2HEX(D895+36, 2)</f>
        <v>28</v>
      </c>
      <c r="H895" s="6" t="str">
        <f aca="false">DEC2HEX(C895+48,2)</f>
        <v>6E</v>
      </c>
      <c r="I895" s="6" t="str">
        <f aca="false">_xlfn.CONCAT("\x", G895, "\x", H895, "=", F895)</f>
        <v>\x28\x6E=밂</v>
      </c>
      <c r="M895" s="8"/>
    </row>
    <row r="896" customFormat="false" ht="12.8" hidden="false" customHeight="true" outlineLevel="0" collapsed="false">
      <c r="C896" s="6" t="n">
        <f aca="false">MOD(ROW()-1, 208)</f>
        <v>63</v>
      </c>
      <c r="D896" s="6" t="n">
        <f aca="false">INT((ROW()-1)/208)</f>
        <v>4</v>
      </c>
      <c r="F896" s="6" t="str">
        <f aca="false">MID(VLOOKUP(D896,$P$1:$Q$13,2,0), 1 + C896,1)</f>
        <v>밈</v>
      </c>
      <c r="G896" s="6" t="str">
        <f aca="false">DEC2HEX(D896+36, 2)</f>
        <v>28</v>
      </c>
      <c r="H896" s="6" t="str">
        <f aca="false">DEC2HEX(C896+48,2)</f>
        <v>6F</v>
      </c>
      <c r="I896" s="6" t="str">
        <f aca="false">_xlfn.CONCAT("\x", G896, "\x", H896, "=", F896)</f>
        <v>\x28\x6F=밈</v>
      </c>
      <c r="M896" s="8"/>
    </row>
    <row r="897" customFormat="false" ht="12.8" hidden="false" customHeight="true" outlineLevel="0" collapsed="false">
      <c r="C897" s="6" t="n">
        <f aca="false">MOD(ROW()-1, 208)</f>
        <v>64</v>
      </c>
      <c r="D897" s="6" t="n">
        <f aca="false">INT((ROW()-1)/208)</f>
        <v>4</v>
      </c>
      <c r="F897" s="6" t="str">
        <f aca="false">MID(VLOOKUP(D897,$P$1:$Q$13,2,0), 1 + C897,1)</f>
        <v>밉</v>
      </c>
      <c r="G897" s="6" t="str">
        <f aca="false">DEC2HEX(D897+36, 2)</f>
        <v>28</v>
      </c>
      <c r="H897" s="6" t="str">
        <f aca="false">DEC2HEX(C897+48,2)</f>
        <v>70</v>
      </c>
      <c r="I897" s="6" t="str">
        <f aca="false">_xlfn.CONCAT("\x", G897, "\x", H897, "=", F897)</f>
        <v>\x28\x70=밉</v>
      </c>
      <c r="M897" s="8"/>
    </row>
    <row r="898" customFormat="false" ht="12.8" hidden="false" customHeight="true" outlineLevel="0" collapsed="false">
      <c r="C898" s="6" t="n">
        <f aca="false">MOD(ROW()-1, 208)</f>
        <v>65</v>
      </c>
      <c r="D898" s="6" t="n">
        <f aca="false">INT((ROW()-1)/208)</f>
        <v>4</v>
      </c>
      <c r="F898" s="6" t="str">
        <f aca="false">MID(VLOOKUP(D898,$P$1:$Q$13,2,0), 1 + C898,1)</f>
        <v>밋</v>
      </c>
      <c r="G898" s="6" t="str">
        <f aca="false">DEC2HEX(D898+36, 2)</f>
        <v>28</v>
      </c>
      <c r="H898" s="6" t="str">
        <f aca="false">DEC2HEX(C898+48,2)</f>
        <v>71</v>
      </c>
      <c r="I898" s="6" t="str">
        <f aca="false">_xlfn.CONCAT("\x", G898, "\x", H898, "=", F898)</f>
        <v>\x28\x71=밋</v>
      </c>
      <c r="M898" s="8"/>
    </row>
    <row r="899" customFormat="false" ht="12.8" hidden="false" customHeight="true" outlineLevel="0" collapsed="false">
      <c r="C899" s="6" t="n">
        <f aca="false">MOD(ROW()-1, 208)</f>
        <v>66</v>
      </c>
      <c r="D899" s="6" t="n">
        <f aca="false">INT((ROW()-1)/208)</f>
        <v>4</v>
      </c>
      <c r="F899" s="6" t="str">
        <f aca="false">MID(VLOOKUP(D899,$P$1:$Q$13,2,0), 1 + C899,1)</f>
        <v>밌</v>
      </c>
      <c r="G899" s="6" t="str">
        <f aca="false">DEC2HEX(D899+36, 2)</f>
        <v>28</v>
      </c>
      <c r="H899" s="6" t="str">
        <f aca="false">DEC2HEX(C899+48,2)</f>
        <v>72</v>
      </c>
      <c r="I899" s="6" t="str">
        <f aca="false">_xlfn.CONCAT("\x", G899, "\x", H899, "=", F899)</f>
        <v>\x28\x72=밌</v>
      </c>
      <c r="M899" s="8"/>
    </row>
    <row r="900" customFormat="false" ht="12.8" hidden="false" customHeight="true" outlineLevel="0" collapsed="false">
      <c r="C900" s="6" t="n">
        <f aca="false">MOD(ROW()-1, 208)</f>
        <v>67</v>
      </c>
      <c r="D900" s="6" t="n">
        <f aca="false">INT((ROW()-1)/208)</f>
        <v>4</v>
      </c>
      <c r="F900" s="6" t="str">
        <f aca="false">MID(VLOOKUP(D900,$P$1:$Q$13,2,0), 1 + C900,1)</f>
        <v>밍</v>
      </c>
      <c r="G900" s="6" t="str">
        <f aca="false">DEC2HEX(D900+36, 2)</f>
        <v>28</v>
      </c>
      <c r="H900" s="6" t="str">
        <f aca="false">DEC2HEX(C900+48,2)</f>
        <v>73</v>
      </c>
      <c r="I900" s="6" t="str">
        <f aca="false">_xlfn.CONCAT("\x", G900, "\x", H900, "=", F900)</f>
        <v>\x28\x73=밍</v>
      </c>
      <c r="M900" s="8"/>
    </row>
    <row r="901" customFormat="false" ht="12.8" hidden="false" customHeight="true" outlineLevel="0" collapsed="false">
      <c r="C901" s="6" t="n">
        <f aca="false">MOD(ROW()-1, 208)</f>
        <v>68</v>
      </c>
      <c r="D901" s="6" t="n">
        <f aca="false">INT((ROW()-1)/208)</f>
        <v>4</v>
      </c>
      <c r="F901" s="6" t="str">
        <f aca="false">MID(VLOOKUP(D901,$P$1:$Q$13,2,0), 1 + C901,1)</f>
        <v>및</v>
      </c>
      <c r="G901" s="6" t="str">
        <f aca="false">DEC2HEX(D901+36, 2)</f>
        <v>28</v>
      </c>
      <c r="H901" s="6" t="str">
        <f aca="false">DEC2HEX(C901+48,2)</f>
        <v>74</v>
      </c>
      <c r="I901" s="6" t="str">
        <f aca="false">_xlfn.CONCAT("\x", G901, "\x", H901, "=", F901)</f>
        <v>\x28\x74=및</v>
      </c>
      <c r="M901" s="8"/>
    </row>
    <row r="902" customFormat="false" ht="12.8" hidden="false" customHeight="true" outlineLevel="0" collapsed="false">
      <c r="C902" s="6" t="n">
        <f aca="false">MOD(ROW()-1, 208)</f>
        <v>69</v>
      </c>
      <c r="D902" s="6" t="n">
        <f aca="false">INT((ROW()-1)/208)</f>
        <v>4</v>
      </c>
      <c r="F902" s="6" t="str">
        <f aca="false">MID(VLOOKUP(D902,$P$1:$Q$13,2,0), 1 + C902,1)</f>
        <v>밑</v>
      </c>
      <c r="G902" s="6" t="str">
        <f aca="false">DEC2HEX(D902+36, 2)</f>
        <v>28</v>
      </c>
      <c r="H902" s="6" t="str">
        <f aca="false">DEC2HEX(C902+48,2)</f>
        <v>75</v>
      </c>
      <c r="I902" s="6" t="str">
        <f aca="false">_xlfn.CONCAT("\x", G902, "\x", H902, "=", F902)</f>
        <v>\x28\x75=밑</v>
      </c>
      <c r="M902" s="8"/>
    </row>
    <row r="903" customFormat="false" ht="12.8" hidden="false" customHeight="true" outlineLevel="0" collapsed="false">
      <c r="C903" s="6" t="n">
        <f aca="false">MOD(ROW()-1, 208)</f>
        <v>70</v>
      </c>
      <c r="D903" s="6" t="n">
        <f aca="false">INT((ROW()-1)/208)</f>
        <v>4</v>
      </c>
      <c r="F903" s="6" t="str">
        <f aca="false">MID(VLOOKUP(D903,$P$1:$Q$13,2,0), 1 + C903,1)</f>
        <v>바</v>
      </c>
      <c r="G903" s="6" t="str">
        <f aca="false">DEC2HEX(D903+36, 2)</f>
        <v>28</v>
      </c>
      <c r="H903" s="6" t="str">
        <f aca="false">DEC2HEX(C903+48,2)</f>
        <v>76</v>
      </c>
      <c r="I903" s="6" t="str">
        <f aca="false">_xlfn.CONCAT("\x", G903, "\x", H903, "=", F903)</f>
        <v>\x28\x76=바</v>
      </c>
      <c r="M903" s="8"/>
    </row>
    <row r="904" customFormat="false" ht="12.8" hidden="false" customHeight="true" outlineLevel="0" collapsed="false">
      <c r="C904" s="6" t="n">
        <f aca="false">MOD(ROW()-1, 208)</f>
        <v>71</v>
      </c>
      <c r="D904" s="6" t="n">
        <f aca="false">INT((ROW()-1)/208)</f>
        <v>4</v>
      </c>
      <c r="F904" s="6" t="str">
        <f aca="false">MID(VLOOKUP(D904,$P$1:$Q$13,2,0), 1 + C904,1)</f>
        <v>박</v>
      </c>
      <c r="G904" s="6" t="str">
        <f aca="false">DEC2HEX(D904+36, 2)</f>
        <v>28</v>
      </c>
      <c r="H904" s="6" t="str">
        <f aca="false">DEC2HEX(C904+48,2)</f>
        <v>77</v>
      </c>
      <c r="I904" s="6" t="str">
        <f aca="false">_xlfn.CONCAT("\x", G904, "\x", H904, "=", F904)</f>
        <v>\x28\x77=박</v>
      </c>
      <c r="M904" s="8"/>
    </row>
    <row r="905" customFormat="false" ht="12.8" hidden="false" customHeight="true" outlineLevel="0" collapsed="false">
      <c r="C905" s="6" t="n">
        <f aca="false">MOD(ROW()-1, 208)</f>
        <v>72</v>
      </c>
      <c r="D905" s="6" t="n">
        <f aca="false">INT((ROW()-1)/208)</f>
        <v>4</v>
      </c>
      <c r="F905" s="6" t="str">
        <f aca="false">MID(VLOOKUP(D905,$P$1:$Q$13,2,0), 1 + C905,1)</f>
        <v>밖</v>
      </c>
      <c r="G905" s="6" t="str">
        <f aca="false">DEC2HEX(D905+36, 2)</f>
        <v>28</v>
      </c>
      <c r="H905" s="6" t="str">
        <f aca="false">DEC2HEX(C905+48,2)</f>
        <v>78</v>
      </c>
      <c r="I905" s="6" t="str">
        <f aca="false">_xlfn.CONCAT("\x", G905, "\x", H905, "=", F905)</f>
        <v>\x28\x78=밖</v>
      </c>
      <c r="M905" s="8"/>
    </row>
    <row r="906" customFormat="false" ht="12.8" hidden="false" customHeight="true" outlineLevel="0" collapsed="false">
      <c r="C906" s="6" t="n">
        <f aca="false">MOD(ROW()-1, 208)</f>
        <v>73</v>
      </c>
      <c r="D906" s="6" t="n">
        <f aca="false">INT((ROW()-1)/208)</f>
        <v>4</v>
      </c>
      <c r="F906" s="6" t="str">
        <f aca="false">MID(VLOOKUP(D906,$P$1:$Q$13,2,0), 1 + C906,1)</f>
        <v>밗</v>
      </c>
      <c r="G906" s="6" t="str">
        <f aca="false">DEC2HEX(D906+36, 2)</f>
        <v>28</v>
      </c>
      <c r="H906" s="6" t="str">
        <f aca="false">DEC2HEX(C906+48,2)</f>
        <v>79</v>
      </c>
      <c r="I906" s="6" t="str">
        <f aca="false">_xlfn.CONCAT("\x", G906, "\x", H906, "=", F906)</f>
        <v>\x28\x79=밗</v>
      </c>
      <c r="M906" s="8"/>
    </row>
    <row r="907" customFormat="false" ht="12.8" hidden="false" customHeight="true" outlineLevel="0" collapsed="false">
      <c r="C907" s="6" t="n">
        <f aca="false">MOD(ROW()-1, 208)</f>
        <v>74</v>
      </c>
      <c r="D907" s="6" t="n">
        <f aca="false">INT((ROW()-1)/208)</f>
        <v>4</v>
      </c>
      <c r="F907" s="6" t="str">
        <f aca="false">MID(VLOOKUP(D907,$P$1:$Q$13,2,0), 1 + C907,1)</f>
        <v>반</v>
      </c>
      <c r="G907" s="6" t="str">
        <f aca="false">DEC2HEX(D907+36, 2)</f>
        <v>28</v>
      </c>
      <c r="H907" s="6" t="str">
        <f aca="false">DEC2HEX(C907+48,2)</f>
        <v>7A</v>
      </c>
      <c r="I907" s="6" t="str">
        <f aca="false">_xlfn.CONCAT("\x", G907, "\x", H907, "=", F907)</f>
        <v>\x28\x7A=반</v>
      </c>
      <c r="M907" s="8"/>
    </row>
    <row r="908" customFormat="false" ht="12.8" hidden="false" customHeight="true" outlineLevel="0" collapsed="false">
      <c r="C908" s="6" t="n">
        <f aca="false">MOD(ROW()-1, 208)</f>
        <v>75</v>
      </c>
      <c r="D908" s="6" t="n">
        <f aca="false">INT((ROW()-1)/208)</f>
        <v>4</v>
      </c>
      <c r="F908" s="6" t="str">
        <f aca="false">MID(VLOOKUP(D908,$P$1:$Q$13,2,0), 1 + C908,1)</f>
        <v>받</v>
      </c>
      <c r="G908" s="6" t="str">
        <f aca="false">DEC2HEX(D908+36, 2)</f>
        <v>28</v>
      </c>
      <c r="H908" s="6" t="str">
        <f aca="false">DEC2HEX(C908+48,2)</f>
        <v>7B</v>
      </c>
      <c r="I908" s="6" t="str">
        <f aca="false">_xlfn.CONCAT("\x", G908, "\x", H908, "=", F908)</f>
        <v>\x28\x7B=받</v>
      </c>
      <c r="M908" s="8"/>
    </row>
    <row r="909" customFormat="false" ht="12.8" hidden="false" customHeight="true" outlineLevel="0" collapsed="false">
      <c r="C909" s="6" t="n">
        <f aca="false">MOD(ROW()-1, 208)</f>
        <v>76</v>
      </c>
      <c r="D909" s="6" t="n">
        <f aca="false">INT((ROW()-1)/208)</f>
        <v>4</v>
      </c>
      <c r="F909" s="6" t="str">
        <f aca="false">MID(VLOOKUP(D909,$P$1:$Q$13,2,0), 1 + C909,1)</f>
        <v>발</v>
      </c>
      <c r="G909" s="6" t="str">
        <f aca="false">DEC2HEX(D909+36, 2)</f>
        <v>28</v>
      </c>
      <c r="H909" s="6" t="str">
        <f aca="false">DEC2HEX(C909+48,2)</f>
        <v>7C</v>
      </c>
      <c r="I909" s="6" t="str">
        <f aca="false">_xlfn.CONCAT("\x", G909, "\x", H909, "=", F909)</f>
        <v>\x28\x7C=발</v>
      </c>
      <c r="M909" s="8"/>
    </row>
    <row r="910" customFormat="false" ht="12.8" hidden="false" customHeight="true" outlineLevel="0" collapsed="false">
      <c r="C910" s="6" t="n">
        <f aca="false">MOD(ROW()-1, 208)</f>
        <v>77</v>
      </c>
      <c r="D910" s="6" t="n">
        <f aca="false">INT((ROW()-1)/208)</f>
        <v>4</v>
      </c>
      <c r="F910" s="6" t="str">
        <f aca="false">MID(VLOOKUP(D910,$P$1:$Q$13,2,0), 1 + C910,1)</f>
        <v>밝</v>
      </c>
      <c r="G910" s="6" t="str">
        <f aca="false">DEC2HEX(D910+36, 2)</f>
        <v>28</v>
      </c>
      <c r="H910" s="6" t="str">
        <f aca="false">DEC2HEX(C910+48,2)</f>
        <v>7D</v>
      </c>
      <c r="I910" s="6" t="str">
        <f aca="false">_xlfn.CONCAT("\x", G910, "\x", H910, "=", F910)</f>
        <v>\x28\x7D=밝</v>
      </c>
      <c r="M910" s="8"/>
    </row>
    <row r="911" customFormat="false" ht="12.8" hidden="false" customHeight="true" outlineLevel="0" collapsed="false">
      <c r="C911" s="6" t="n">
        <f aca="false">MOD(ROW()-1, 208)</f>
        <v>78</v>
      </c>
      <c r="D911" s="6" t="n">
        <f aca="false">INT((ROW()-1)/208)</f>
        <v>4</v>
      </c>
      <c r="F911" s="6" t="str">
        <f aca="false">MID(VLOOKUP(D911,$P$1:$Q$13,2,0), 1 + C911,1)</f>
        <v>밞</v>
      </c>
      <c r="G911" s="6" t="str">
        <f aca="false">DEC2HEX(D911+36, 2)</f>
        <v>28</v>
      </c>
      <c r="H911" s="6" t="str">
        <f aca="false">DEC2HEX(C911+48,2)</f>
        <v>7E</v>
      </c>
      <c r="I911" s="6" t="str">
        <f aca="false">_xlfn.CONCAT("\x", G911, "\x", H911, "=", F911)</f>
        <v>\x28\x7E=밞</v>
      </c>
      <c r="M911" s="8"/>
    </row>
    <row r="912" customFormat="false" ht="12.8" hidden="false" customHeight="true" outlineLevel="0" collapsed="false">
      <c r="C912" s="6" t="n">
        <f aca="false">MOD(ROW()-1, 208)</f>
        <v>79</v>
      </c>
      <c r="D912" s="6" t="n">
        <f aca="false">INT((ROW()-1)/208)</f>
        <v>4</v>
      </c>
      <c r="F912" s="6" t="str">
        <f aca="false">MID(VLOOKUP(D912,$P$1:$Q$13,2,0), 1 + C912,1)</f>
        <v>밟</v>
      </c>
      <c r="G912" s="6" t="str">
        <f aca="false">DEC2HEX(D912+36, 2)</f>
        <v>28</v>
      </c>
      <c r="H912" s="6" t="str">
        <f aca="false">DEC2HEX(C912+48,2)</f>
        <v>7F</v>
      </c>
      <c r="I912" s="6" t="str">
        <f aca="false">_xlfn.CONCAT("\x", G912, "\x", H912, "=", F912)</f>
        <v>\x28\x7F=밟</v>
      </c>
      <c r="M912" s="8"/>
    </row>
    <row r="913" customFormat="false" ht="12.8" hidden="false" customHeight="true" outlineLevel="0" collapsed="false">
      <c r="C913" s="6" t="n">
        <f aca="false">MOD(ROW()-1, 208)</f>
        <v>80</v>
      </c>
      <c r="D913" s="6" t="n">
        <f aca="false">INT((ROW()-1)/208)</f>
        <v>4</v>
      </c>
      <c r="F913" s="6" t="str">
        <f aca="false">MID(VLOOKUP(D913,$P$1:$Q$13,2,0), 1 + C913,1)</f>
        <v>밤</v>
      </c>
      <c r="G913" s="6" t="str">
        <f aca="false">DEC2HEX(D913+36, 2)</f>
        <v>28</v>
      </c>
      <c r="H913" s="6" t="str">
        <f aca="false">DEC2HEX(C913+48,2)</f>
        <v>80</v>
      </c>
      <c r="I913" s="6" t="str">
        <f aca="false">_xlfn.CONCAT("\x", G913, "\x", H913, "=", F913)</f>
        <v>\x28\x80=밤</v>
      </c>
      <c r="M913" s="8"/>
    </row>
    <row r="914" customFormat="false" ht="12.8" hidden="false" customHeight="true" outlineLevel="0" collapsed="false">
      <c r="C914" s="6" t="n">
        <f aca="false">MOD(ROW()-1, 208)</f>
        <v>81</v>
      </c>
      <c r="D914" s="6" t="n">
        <f aca="false">INT((ROW()-1)/208)</f>
        <v>4</v>
      </c>
      <c r="F914" s="6" t="str">
        <f aca="false">MID(VLOOKUP(D914,$P$1:$Q$13,2,0), 1 + C914,1)</f>
        <v>밥</v>
      </c>
      <c r="G914" s="6" t="str">
        <f aca="false">DEC2HEX(D914+36, 2)</f>
        <v>28</v>
      </c>
      <c r="H914" s="6" t="str">
        <f aca="false">DEC2HEX(C914+48,2)</f>
        <v>81</v>
      </c>
      <c r="I914" s="6" t="str">
        <f aca="false">_xlfn.CONCAT("\x", G914, "\x", H914, "=", F914)</f>
        <v>\x28\x81=밥</v>
      </c>
      <c r="M914" s="8"/>
    </row>
    <row r="915" customFormat="false" ht="12.8" hidden="false" customHeight="true" outlineLevel="0" collapsed="false">
      <c r="C915" s="6" t="n">
        <f aca="false">MOD(ROW()-1, 208)</f>
        <v>82</v>
      </c>
      <c r="D915" s="6" t="n">
        <f aca="false">INT((ROW()-1)/208)</f>
        <v>4</v>
      </c>
      <c r="F915" s="6" t="str">
        <f aca="false">MID(VLOOKUP(D915,$P$1:$Q$13,2,0), 1 + C915,1)</f>
        <v>밧</v>
      </c>
      <c r="G915" s="6" t="str">
        <f aca="false">DEC2HEX(D915+36, 2)</f>
        <v>28</v>
      </c>
      <c r="H915" s="6" t="str">
        <f aca="false">DEC2HEX(C915+48,2)</f>
        <v>82</v>
      </c>
      <c r="I915" s="6" t="str">
        <f aca="false">_xlfn.CONCAT("\x", G915, "\x", H915, "=", F915)</f>
        <v>\x28\x82=밧</v>
      </c>
      <c r="M915" s="8"/>
    </row>
    <row r="916" customFormat="false" ht="12.8" hidden="false" customHeight="true" outlineLevel="0" collapsed="false">
      <c r="C916" s="6" t="n">
        <f aca="false">MOD(ROW()-1, 208)</f>
        <v>83</v>
      </c>
      <c r="D916" s="6" t="n">
        <f aca="false">INT((ROW()-1)/208)</f>
        <v>4</v>
      </c>
      <c r="F916" s="6" t="str">
        <f aca="false">MID(VLOOKUP(D916,$P$1:$Q$13,2,0), 1 + C916,1)</f>
        <v>방</v>
      </c>
      <c r="G916" s="6" t="str">
        <f aca="false">DEC2HEX(D916+36, 2)</f>
        <v>28</v>
      </c>
      <c r="H916" s="6" t="str">
        <f aca="false">DEC2HEX(C916+48,2)</f>
        <v>83</v>
      </c>
      <c r="I916" s="6" t="str">
        <f aca="false">_xlfn.CONCAT("\x", G916, "\x", H916, "=", F916)</f>
        <v>\x28\x83=방</v>
      </c>
      <c r="M916" s="8"/>
    </row>
    <row r="917" customFormat="false" ht="12.8" hidden="false" customHeight="true" outlineLevel="0" collapsed="false">
      <c r="C917" s="6" t="n">
        <f aca="false">MOD(ROW()-1, 208)</f>
        <v>84</v>
      </c>
      <c r="D917" s="6" t="n">
        <f aca="false">INT((ROW()-1)/208)</f>
        <v>4</v>
      </c>
      <c r="F917" s="6" t="str">
        <f aca="false">MID(VLOOKUP(D917,$P$1:$Q$13,2,0), 1 + C917,1)</f>
        <v>밭</v>
      </c>
      <c r="G917" s="6" t="str">
        <f aca="false">DEC2HEX(D917+36, 2)</f>
        <v>28</v>
      </c>
      <c r="H917" s="6" t="str">
        <f aca="false">DEC2HEX(C917+48,2)</f>
        <v>84</v>
      </c>
      <c r="I917" s="6" t="str">
        <f aca="false">_xlfn.CONCAT("\x", G917, "\x", H917, "=", F917)</f>
        <v>\x28\x84=밭</v>
      </c>
      <c r="M917" s="8"/>
    </row>
    <row r="918" customFormat="false" ht="12.8" hidden="false" customHeight="true" outlineLevel="0" collapsed="false">
      <c r="C918" s="6" t="n">
        <f aca="false">MOD(ROW()-1, 208)</f>
        <v>85</v>
      </c>
      <c r="D918" s="6" t="n">
        <f aca="false">INT((ROW()-1)/208)</f>
        <v>4</v>
      </c>
      <c r="F918" s="6" t="str">
        <f aca="false">MID(VLOOKUP(D918,$P$1:$Q$13,2,0), 1 + C918,1)</f>
        <v>배</v>
      </c>
      <c r="G918" s="6" t="str">
        <f aca="false">DEC2HEX(D918+36, 2)</f>
        <v>28</v>
      </c>
      <c r="H918" s="6" t="str">
        <f aca="false">DEC2HEX(C918+48,2)</f>
        <v>85</v>
      </c>
      <c r="I918" s="6" t="str">
        <f aca="false">_xlfn.CONCAT("\x", G918, "\x", H918, "=", F918)</f>
        <v>\x28\x85=배</v>
      </c>
      <c r="M918" s="8"/>
    </row>
    <row r="919" customFormat="false" ht="12.8" hidden="false" customHeight="true" outlineLevel="0" collapsed="false">
      <c r="C919" s="6" t="n">
        <f aca="false">MOD(ROW()-1, 208)</f>
        <v>86</v>
      </c>
      <c r="D919" s="6" t="n">
        <f aca="false">INT((ROW()-1)/208)</f>
        <v>4</v>
      </c>
      <c r="F919" s="6" t="str">
        <f aca="false">MID(VLOOKUP(D919,$P$1:$Q$13,2,0), 1 + C919,1)</f>
        <v>백</v>
      </c>
      <c r="G919" s="6" t="str">
        <f aca="false">DEC2HEX(D919+36, 2)</f>
        <v>28</v>
      </c>
      <c r="H919" s="6" t="str">
        <f aca="false">DEC2HEX(C919+48,2)</f>
        <v>86</v>
      </c>
      <c r="I919" s="6" t="str">
        <f aca="false">_xlfn.CONCAT("\x", G919, "\x", H919, "=", F919)</f>
        <v>\x28\x86=백</v>
      </c>
      <c r="M919" s="8"/>
    </row>
    <row r="920" customFormat="false" ht="12.8" hidden="false" customHeight="true" outlineLevel="0" collapsed="false">
      <c r="C920" s="6" t="n">
        <f aca="false">MOD(ROW()-1, 208)</f>
        <v>87</v>
      </c>
      <c r="D920" s="6" t="n">
        <f aca="false">INT((ROW()-1)/208)</f>
        <v>4</v>
      </c>
      <c r="F920" s="6" t="str">
        <f aca="false">MID(VLOOKUP(D920,$P$1:$Q$13,2,0), 1 + C920,1)</f>
        <v>밴</v>
      </c>
      <c r="G920" s="6" t="str">
        <f aca="false">DEC2HEX(D920+36, 2)</f>
        <v>28</v>
      </c>
      <c r="H920" s="6" t="str">
        <f aca="false">DEC2HEX(C920+48,2)</f>
        <v>87</v>
      </c>
      <c r="I920" s="6" t="str">
        <f aca="false">_xlfn.CONCAT("\x", G920, "\x", H920, "=", F920)</f>
        <v>\x28\x87=밴</v>
      </c>
      <c r="M920" s="8"/>
    </row>
    <row r="921" customFormat="false" ht="12.8" hidden="false" customHeight="true" outlineLevel="0" collapsed="false">
      <c r="C921" s="6" t="n">
        <f aca="false">MOD(ROW()-1, 208)</f>
        <v>88</v>
      </c>
      <c r="D921" s="6" t="n">
        <f aca="false">INT((ROW()-1)/208)</f>
        <v>4</v>
      </c>
      <c r="F921" s="6" t="str">
        <f aca="false">MID(VLOOKUP(D921,$P$1:$Q$13,2,0), 1 + C921,1)</f>
        <v>밸</v>
      </c>
      <c r="G921" s="6" t="str">
        <f aca="false">DEC2HEX(D921+36, 2)</f>
        <v>28</v>
      </c>
      <c r="H921" s="6" t="str">
        <f aca="false">DEC2HEX(C921+48,2)</f>
        <v>88</v>
      </c>
      <c r="I921" s="6" t="str">
        <f aca="false">_xlfn.CONCAT("\x", G921, "\x", H921, "=", F921)</f>
        <v>\x28\x88=밸</v>
      </c>
      <c r="M921" s="8"/>
    </row>
    <row r="922" customFormat="false" ht="12.8" hidden="false" customHeight="true" outlineLevel="0" collapsed="false">
      <c r="C922" s="6" t="n">
        <f aca="false">MOD(ROW()-1, 208)</f>
        <v>89</v>
      </c>
      <c r="D922" s="6" t="n">
        <f aca="false">INT((ROW()-1)/208)</f>
        <v>4</v>
      </c>
      <c r="F922" s="6" t="str">
        <f aca="false">MID(VLOOKUP(D922,$P$1:$Q$13,2,0), 1 + C922,1)</f>
        <v>뱀</v>
      </c>
      <c r="G922" s="6" t="str">
        <f aca="false">DEC2HEX(D922+36, 2)</f>
        <v>28</v>
      </c>
      <c r="H922" s="6" t="str">
        <f aca="false">DEC2HEX(C922+48,2)</f>
        <v>89</v>
      </c>
      <c r="I922" s="6" t="str">
        <f aca="false">_xlfn.CONCAT("\x", G922, "\x", H922, "=", F922)</f>
        <v>\x28\x89=뱀</v>
      </c>
      <c r="M922" s="8"/>
    </row>
    <row r="923" customFormat="false" ht="12.8" hidden="false" customHeight="true" outlineLevel="0" collapsed="false">
      <c r="C923" s="6" t="n">
        <f aca="false">MOD(ROW()-1, 208)</f>
        <v>90</v>
      </c>
      <c r="D923" s="6" t="n">
        <f aca="false">INT((ROW()-1)/208)</f>
        <v>4</v>
      </c>
      <c r="F923" s="6" t="str">
        <f aca="false">MID(VLOOKUP(D923,$P$1:$Q$13,2,0), 1 + C923,1)</f>
        <v>뱁</v>
      </c>
      <c r="G923" s="6" t="str">
        <f aca="false">DEC2HEX(D923+36, 2)</f>
        <v>28</v>
      </c>
      <c r="H923" s="6" t="str">
        <f aca="false">DEC2HEX(C923+48,2)</f>
        <v>8A</v>
      </c>
      <c r="I923" s="6" t="str">
        <f aca="false">_xlfn.CONCAT("\x", G923, "\x", H923, "=", F923)</f>
        <v>\x28\x8A=뱁</v>
      </c>
      <c r="M923" s="8"/>
    </row>
    <row r="924" customFormat="false" ht="12.8" hidden="false" customHeight="true" outlineLevel="0" collapsed="false">
      <c r="C924" s="6" t="n">
        <f aca="false">MOD(ROW()-1, 208)</f>
        <v>91</v>
      </c>
      <c r="D924" s="6" t="n">
        <f aca="false">INT((ROW()-1)/208)</f>
        <v>4</v>
      </c>
      <c r="F924" s="6" t="str">
        <f aca="false">MID(VLOOKUP(D924,$P$1:$Q$13,2,0), 1 + C924,1)</f>
        <v>뱃</v>
      </c>
      <c r="G924" s="6" t="str">
        <f aca="false">DEC2HEX(D924+36, 2)</f>
        <v>28</v>
      </c>
      <c r="H924" s="6" t="str">
        <f aca="false">DEC2HEX(C924+48,2)</f>
        <v>8B</v>
      </c>
      <c r="I924" s="6" t="str">
        <f aca="false">_xlfn.CONCAT("\x", G924, "\x", H924, "=", F924)</f>
        <v>\x28\x8B=뱃</v>
      </c>
      <c r="M924" s="8"/>
    </row>
    <row r="925" customFormat="false" ht="12.8" hidden="false" customHeight="true" outlineLevel="0" collapsed="false">
      <c r="C925" s="6" t="n">
        <f aca="false">MOD(ROW()-1, 208)</f>
        <v>92</v>
      </c>
      <c r="D925" s="6" t="n">
        <f aca="false">INT((ROW()-1)/208)</f>
        <v>4</v>
      </c>
      <c r="F925" s="6" t="str">
        <f aca="false">MID(VLOOKUP(D925,$P$1:$Q$13,2,0), 1 + C925,1)</f>
        <v>뱄</v>
      </c>
      <c r="G925" s="6" t="str">
        <f aca="false">DEC2HEX(D925+36, 2)</f>
        <v>28</v>
      </c>
      <c r="H925" s="6" t="str">
        <f aca="false">DEC2HEX(C925+48,2)</f>
        <v>8C</v>
      </c>
      <c r="I925" s="6" t="str">
        <f aca="false">_xlfn.CONCAT("\x", G925, "\x", H925, "=", F925)</f>
        <v>\x28\x8C=뱄</v>
      </c>
      <c r="M925" s="8"/>
    </row>
    <row r="926" customFormat="false" ht="12.8" hidden="false" customHeight="true" outlineLevel="0" collapsed="false">
      <c r="C926" s="6" t="n">
        <f aca="false">MOD(ROW()-1, 208)</f>
        <v>93</v>
      </c>
      <c r="D926" s="6" t="n">
        <f aca="false">INT((ROW()-1)/208)</f>
        <v>4</v>
      </c>
      <c r="F926" s="6" t="str">
        <f aca="false">MID(VLOOKUP(D926,$P$1:$Q$13,2,0), 1 + C926,1)</f>
        <v>뱅</v>
      </c>
      <c r="G926" s="6" t="str">
        <f aca="false">DEC2HEX(D926+36, 2)</f>
        <v>28</v>
      </c>
      <c r="H926" s="6" t="str">
        <f aca="false">DEC2HEX(C926+48,2)</f>
        <v>8D</v>
      </c>
      <c r="I926" s="6" t="str">
        <f aca="false">_xlfn.CONCAT("\x", G926, "\x", H926, "=", F926)</f>
        <v>\x28\x8D=뱅</v>
      </c>
      <c r="M926" s="8"/>
    </row>
    <row r="927" customFormat="false" ht="12.8" hidden="false" customHeight="true" outlineLevel="0" collapsed="false">
      <c r="C927" s="6" t="n">
        <f aca="false">MOD(ROW()-1, 208)</f>
        <v>94</v>
      </c>
      <c r="D927" s="6" t="n">
        <f aca="false">INT((ROW()-1)/208)</f>
        <v>4</v>
      </c>
      <c r="F927" s="6" t="str">
        <f aca="false">MID(VLOOKUP(D927,$P$1:$Q$13,2,0), 1 + C927,1)</f>
        <v>뱉</v>
      </c>
      <c r="G927" s="6" t="str">
        <f aca="false">DEC2HEX(D927+36, 2)</f>
        <v>28</v>
      </c>
      <c r="H927" s="6" t="str">
        <f aca="false">DEC2HEX(C927+48,2)</f>
        <v>8E</v>
      </c>
      <c r="I927" s="6" t="str">
        <f aca="false">_xlfn.CONCAT("\x", G927, "\x", H927, "=", F927)</f>
        <v>\x28\x8E=뱉</v>
      </c>
      <c r="M927" s="8"/>
    </row>
    <row r="928" customFormat="false" ht="12.8" hidden="false" customHeight="true" outlineLevel="0" collapsed="false">
      <c r="C928" s="6" t="n">
        <f aca="false">MOD(ROW()-1, 208)</f>
        <v>95</v>
      </c>
      <c r="D928" s="6" t="n">
        <f aca="false">INT((ROW()-1)/208)</f>
        <v>4</v>
      </c>
      <c r="F928" s="6" t="str">
        <f aca="false">MID(VLOOKUP(D928,$P$1:$Q$13,2,0), 1 + C928,1)</f>
        <v>뱌</v>
      </c>
      <c r="G928" s="6" t="str">
        <f aca="false">DEC2HEX(D928+36, 2)</f>
        <v>28</v>
      </c>
      <c r="H928" s="6" t="str">
        <f aca="false">DEC2HEX(C928+48,2)</f>
        <v>8F</v>
      </c>
      <c r="I928" s="6" t="str">
        <f aca="false">_xlfn.CONCAT("\x", G928, "\x", H928, "=", F928)</f>
        <v>\x28\x8F=뱌</v>
      </c>
      <c r="M928" s="8"/>
    </row>
    <row r="929" customFormat="false" ht="12.8" hidden="false" customHeight="true" outlineLevel="0" collapsed="false">
      <c r="C929" s="6" t="n">
        <f aca="false">MOD(ROW()-1, 208)</f>
        <v>96</v>
      </c>
      <c r="D929" s="6" t="n">
        <f aca="false">INT((ROW()-1)/208)</f>
        <v>4</v>
      </c>
      <c r="F929" s="6" t="str">
        <f aca="false">MID(VLOOKUP(D929,$P$1:$Q$13,2,0), 1 + C929,1)</f>
        <v>뱍</v>
      </c>
      <c r="G929" s="6" t="str">
        <f aca="false">DEC2HEX(D929+36, 2)</f>
        <v>28</v>
      </c>
      <c r="H929" s="6" t="str">
        <f aca="false">DEC2HEX(C929+48,2)</f>
        <v>90</v>
      </c>
      <c r="I929" s="6" t="str">
        <f aca="false">_xlfn.CONCAT("\x", G929, "\x", H929, "=", F929)</f>
        <v>\x28\x90=뱍</v>
      </c>
      <c r="M929" s="8"/>
    </row>
    <row r="930" customFormat="false" ht="12.8" hidden="false" customHeight="true" outlineLevel="0" collapsed="false">
      <c r="C930" s="6" t="n">
        <f aca="false">MOD(ROW()-1, 208)</f>
        <v>97</v>
      </c>
      <c r="D930" s="6" t="n">
        <f aca="false">INT((ROW()-1)/208)</f>
        <v>4</v>
      </c>
      <c r="F930" s="6" t="str">
        <f aca="false">MID(VLOOKUP(D930,$P$1:$Q$13,2,0), 1 + C930,1)</f>
        <v>뱐</v>
      </c>
      <c r="G930" s="6" t="str">
        <f aca="false">DEC2HEX(D930+36, 2)</f>
        <v>28</v>
      </c>
      <c r="H930" s="6" t="str">
        <f aca="false">DEC2HEX(C930+48,2)</f>
        <v>91</v>
      </c>
      <c r="I930" s="6" t="str">
        <f aca="false">_xlfn.CONCAT("\x", G930, "\x", H930, "=", F930)</f>
        <v>\x28\x91=뱐</v>
      </c>
      <c r="M930" s="8"/>
    </row>
    <row r="931" customFormat="false" ht="12.8" hidden="false" customHeight="true" outlineLevel="0" collapsed="false">
      <c r="C931" s="6" t="n">
        <f aca="false">MOD(ROW()-1, 208)</f>
        <v>98</v>
      </c>
      <c r="D931" s="6" t="n">
        <f aca="false">INT((ROW()-1)/208)</f>
        <v>4</v>
      </c>
      <c r="F931" s="6" t="str">
        <f aca="false">MID(VLOOKUP(D931,$P$1:$Q$13,2,0), 1 + C931,1)</f>
        <v>뱝</v>
      </c>
      <c r="G931" s="6" t="str">
        <f aca="false">DEC2HEX(D931+36, 2)</f>
        <v>28</v>
      </c>
      <c r="H931" s="6" t="str">
        <f aca="false">DEC2HEX(C931+48,2)</f>
        <v>92</v>
      </c>
      <c r="I931" s="6" t="str">
        <f aca="false">_xlfn.CONCAT("\x", G931, "\x", H931, "=", F931)</f>
        <v>\x28\x92=뱝</v>
      </c>
      <c r="M931" s="8"/>
    </row>
    <row r="932" customFormat="false" ht="12.8" hidden="false" customHeight="true" outlineLevel="0" collapsed="false">
      <c r="C932" s="6" t="n">
        <f aca="false">MOD(ROW()-1, 208)</f>
        <v>99</v>
      </c>
      <c r="D932" s="6" t="n">
        <f aca="false">INT((ROW()-1)/208)</f>
        <v>4</v>
      </c>
      <c r="F932" s="6" t="str">
        <f aca="false">MID(VLOOKUP(D932,$P$1:$Q$13,2,0), 1 + C932,1)</f>
        <v>버</v>
      </c>
      <c r="G932" s="6" t="str">
        <f aca="false">DEC2HEX(D932+36, 2)</f>
        <v>28</v>
      </c>
      <c r="H932" s="6" t="str">
        <f aca="false">DEC2HEX(C932+48,2)</f>
        <v>93</v>
      </c>
      <c r="I932" s="6" t="str">
        <f aca="false">_xlfn.CONCAT("\x", G932, "\x", H932, "=", F932)</f>
        <v>\x28\x93=버</v>
      </c>
      <c r="M932" s="8"/>
    </row>
    <row r="933" customFormat="false" ht="12.8" hidden="false" customHeight="true" outlineLevel="0" collapsed="false">
      <c r="C933" s="6" t="n">
        <f aca="false">MOD(ROW()-1, 208)</f>
        <v>100</v>
      </c>
      <c r="D933" s="6" t="n">
        <f aca="false">INT((ROW()-1)/208)</f>
        <v>4</v>
      </c>
      <c r="F933" s="6" t="str">
        <f aca="false">MID(VLOOKUP(D933,$P$1:$Q$13,2,0), 1 + C933,1)</f>
        <v>벅</v>
      </c>
      <c r="G933" s="6" t="str">
        <f aca="false">DEC2HEX(D933+36, 2)</f>
        <v>28</v>
      </c>
      <c r="H933" s="6" t="str">
        <f aca="false">DEC2HEX(C933+48,2)</f>
        <v>94</v>
      </c>
      <c r="I933" s="6" t="str">
        <f aca="false">_xlfn.CONCAT("\x", G933, "\x", H933, "=", F933)</f>
        <v>\x28\x94=벅</v>
      </c>
      <c r="M933" s="8"/>
    </row>
    <row r="934" customFormat="false" ht="12.8" hidden="false" customHeight="true" outlineLevel="0" collapsed="false">
      <c r="C934" s="6" t="n">
        <f aca="false">MOD(ROW()-1, 208)</f>
        <v>101</v>
      </c>
      <c r="D934" s="6" t="n">
        <f aca="false">INT((ROW()-1)/208)</f>
        <v>4</v>
      </c>
      <c r="F934" s="6" t="str">
        <f aca="false">MID(VLOOKUP(D934,$P$1:$Q$13,2,0), 1 + C934,1)</f>
        <v>번</v>
      </c>
      <c r="G934" s="6" t="str">
        <f aca="false">DEC2HEX(D934+36, 2)</f>
        <v>28</v>
      </c>
      <c r="H934" s="6" t="str">
        <f aca="false">DEC2HEX(C934+48,2)</f>
        <v>95</v>
      </c>
      <c r="I934" s="6" t="str">
        <f aca="false">_xlfn.CONCAT("\x", G934, "\x", H934, "=", F934)</f>
        <v>\x28\x95=번</v>
      </c>
      <c r="M934" s="8"/>
    </row>
    <row r="935" customFormat="false" ht="12.8" hidden="false" customHeight="true" outlineLevel="0" collapsed="false">
      <c r="C935" s="6" t="n">
        <f aca="false">MOD(ROW()-1, 208)</f>
        <v>102</v>
      </c>
      <c r="D935" s="6" t="n">
        <f aca="false">INT((ROW()-1)/208)</f>
        <v>4</v>
      </c>
      <c r="F935" s="6" t="str">
        <f aca="false">MID(VLOOKUP(D935,$P$1:$Q$13,2,0), 1 + C935,1)</f>
        <v>벋</v>
      </c>
      <c r="G935" s="6" t="str">
        <f aca="false">DEC2HEX(D935+36, 2)</f>
        <v>28</v>
      </c>
      <c r="H935" s="6" t="str">
        <f aca="false">DEC2HEX(C935+48,2)</f>
        <v>96</v>
      </c>
      <c r="I935" s="6" t="str">
        <f aca="false">_xlfn.CONCAT("\x", G935, "\x", H935, "=", F935)</f>
        <v>\x28\x96=벋</v>
      </c>
      <c r="M935" s="8"/>
    </row>
    <row r="936" customFormat="false" ht="12.8" hidden="false" customHeight="true" outlineLevel="0" collapsed="false">
      <c r="C936" s="6" t="n">
        <f aca="false">MOD(ROW()-1, 208)</f>
        <v>103</v>
      </c>
      <c r="D936" s="6" t="n">
        <f aca="false">INT((ROW()-1)/208)</f>
        <v>4</v>
      </c>
      <c r="F936" s="6" t="str">
        <f aca="false">MID(VLOOKUP(D936,$P$1:$Q$13,2,0), 1 + C936,1)</f>
        <v>벌</v>
      </c>
      <c r="G936" s="6" t="str">
        <f aca="false">DEC2HEX(D936+36, 2)</f>
        <v>28</v>
      </c>
      <c r="H936" s="6" t="str">
        <f aca="false">DEC2HEX(C936+48,2)</f>
        <v>97</v>
      </c>
      <c r="I936" s="6" t="str">
        <f aca="false">_xlfn.CONCAT("\x", G936, "\x", H936, "=", F936)</f>
        <v>\x28\x97=벌</v>
      </c>
      <c r="M936" s="8"/>
    </row>
    <row r="937" customFormat="false" ht="12.8" hidden="false" customHeight="true" outlineLevel="0" collapsed="false">
      <c r="C937" s="6" t="n">
        <f aca="false">MOD(ROW()-1, 208)</f>
        <v>104</v>
      </c>
      <c r="D937" s="6" t="n">
        <f aca="false">INT((ROW()-1)/208)</f>
        <v>4</v>
      </c>
      <c r="F937" s="6" t="str">
        <f aca="false">MID(VLOOKUP(D937,$P$1:$Q$13,2,0), 1 + C937,1)</f>
        <v>벎</v>
      </c>
      <c r="G937" s="6" t="str">
        <f aca="false">DEC2HEX(D937+36, 2)</f>
        <v>28</v>
      </c>
      <c r="H937" s="6" t="str">
        <f aca="false">DEC2HEX(C937+48,2)</f>
        <v>98</v>
      </c>
      <c r="I937" s="6" t="str">
        <f aca="false">_xlfn.CONCAT("\x", G937, "\x", H937, "=", F937)</f>
        <v>\x28\x98=벎</v>
      </c>
      <c r="M937" s="8"/>
    </row>
    <row r="938" customFormat="false" ht="12.8" hidden="false" customHeight="true" outlineLevel="0" collapsed="false">
      <c r="C938" s="6" t="n">
        <f aca="false">MOD(ROW()-1, 208)</f>
        <v>105</v>
      </c>
      <c r="D938" s="6" t="n">
        <f aca="false">INT((ROW()-1)/208)</f>
        <v>4</v>
      </c>
      <c r="F938" s="6" t="str">
        <f aca="false">MID(VLOOKUP(D938,$P$1:$Q$13,2,0), 1 + C938,1)</f>
        <v>범</v>
      </c>
      <c r="G938" s="6" t="str">
        <f aca="false">DEC2HEX(D938+36, 2)</f>
        <v>28</v>
      </c>
      <c r="H938" s="6" t="str">
        <f aca="false">DEC2HEX(C938+48,2)</f>
        <v>99</v>
      </c>
      <c r="I938" s="6" t="str">
        <f aca="false">_xlfn.CONCAT("\x", G938, "\x", H938, "=", F938)</f>
        <v>\x28\x99=범</v>
      </c>
      <c r="M938" s="8"/>
    </row>
    <row r="939" customFormat="false" ht="12.8" hidden="false" customHeight="true" outlineLevel="0" collapsed="false">
      <c r="C939" s="6" t="n">
        <f aca="false">MOD(ROW()-1, 208)</f>
        <v>106</v>
      </c>
      <c r="D939" s="6" t="n">
        <f aca="false">INT((ROW()-1)/208)</f>
        <v>4</v>
      </c>
      <c r="F939" s="6" t="str">
        <f aca="false">MID(VLOOKUP(D939,$P$1:$Q$13,2,0), 1 + C939,1)</f>
        <v>법</v>
      </c>
      <c r="G939" s="6" t="str">
        <f aca="false">DEC2HEX(D939+36, 2)</f>
        <v>28</v>
      </c>
      <c r="H939" s="6" t="str">
        <f aca="false">DEC2HEX(C939+48,2)</f>
        <v>9A</v>
      </c>
      <c r="I939" s="6" t="str">
        <f aca="false">_xlfn.CONCAT("\x", G939, "\x", H939, "=", F939)</f>
        <v>\x28\x9A=법</v>
      </c>
      <c r="M939" s="8"/>
    </row>
    <row r="940" customFormat="false" ht="12.8" hidden="false" customHeight="true" outlineLevel="0" collapsed="false">
      <c r="C940" s="6" t="n">
        <f aca="false">MOD(ROW()-1, 208)</f>
        <v>107</v>
      </c>
      <c r="D940" s="6" t="n">
        <f aca="false">INT((ROW()-1)/208)</f>
        <v>4</v>
      </c>
      <c r="F940" s="6" t="str">
        <f aca="false">MID(VLOOKUP(D940,$P$1:$Q$13,2,0), 1 + C940,1)</f>
        <v>벗</v>
      </c>
      <c r="G940" s="6" t="str">
        <f aca="false">DEC2HEX(D940+36, 2)</f>
        <v>28</v>
      </c>
      <c r="H940" s="6" t="str">
        <f aca="false">DEC2HEX(C940+48,2)</f>
        <v>9B</v>
      </c>
      <c r="I940" s="6" t="str">
        <f aca="false">_xlfn.CONCAT("\x", G940, "\x", H940, "=", F940)</f>
        <v>\x28\x9B=벗</v>
      </c>
      <c r="M940" s="8"/>
    </row>
    <row r="941" customFormat="false" ht="12.8" hidden="false" customHeight="true" outlineLevel="0" collapsed="false">
      <c r="C941" s="6" t="n">
        <f aca="false">MOD(ROW()-1, 208)</f>
        <v>108</v>
      </c>
      <c r="D941" s="6" t="n">
        <f aca="false">INT((ROW()-1)/208)</f>
        <v>4</v>
      </c>
      <c r="F941" s="6" t="str">
        <f aca="false">MID(VLOOKUP(D941,$P$1:$Q$13,2,0), 1 + C941,1)</f>
        <v>벙</v>
      </c>
      <c r="G941" s="6" t="str">
        <f aca="false">DEC2HEX(D941+36, 2)</f>
        <v>28</v>
      </c>
      <c r="H941" s="6" t="str">
        <f aca="false">DEC2HEX(C941+48,2)</f>
        <v>9C</v>
      </c>
      <c r="I941" s="6" t="str">
        <f aca="false">_xlfn.CONCAT("\x", G941, "\x", H941, "=", F941)</f>
        <v>\x28\x9C=벙</v>
      </c>
      <c r="M941" s="8"/>
    </row>
    <row r="942" customFormat="false" ht="12.8" hidden="false" customHeight="true" outlineLevel="0" collapsed="false">
      <c r="C942" s="6" t="n">
        <f aca="false">MOD(ROW()-1, 208)</f>
        <v>109</v>
      </c>
      <c r="D942" s="6" t="n">
        <f aca="false">INT((ROW()-1)/208)</f>
        <v>4</v>
      </c>
      <c r="F942" s="6" t="str">
        <f aca="false">MID(VLOOKUP(D942,$P$1:$Q$13,2,0), 1 + C942,1)</f>
        <v>벚</v>
      </c>
      <c r="G942" s="6" t="str">
        <f aca="false">DEC2HEX(D942+36, 2)</f>
        <v>28</v>
      </c>
      <c r="H942" s="6" t="str">
        <f aca="false">DEC2HEX(C942+48,2)</f>
        <v>9D</v>
      </c>
      <c r="I942" s="6" t="str">
        <f aca="false">_xlfn.CONCAT("\x", G942, "\x", H942, "=", F942)</f>
        <v>\x28\x9D=벚</v>
      </c>
      <c r="M942" s="8"/>
    </row>
    <row r="943" customFormat="false" ht="12.8" hidden="false" customHeight="true" outlineLevel="0" collapsed="false">
      <c r="C943" s="6" t="n">
        <f aca="false">MOD(ROW()-1, 208)</f>
        <v>110</v>
      </c>
      <c r="D943" s="6" t="n">
        <f aca="false">INT((ROW()-1)/208)</f>
        <v>4</v>
      </c>
      <c r="F943" s="6" t="str">
        <f aca="false">MID(VLOOKUP(D943,$P$1:$Q$13,2,0), 1 + C943,1)</f>
        <v>베</v>
      </c>
      <c r="G943" s="6" t="str">
        <f aca="false">DEC2HEX(D943+36, 2)</f>
        <v>28</v>
      </c>
      <c r="H943" s="6" t="str">
        <f aca="false">DEC2HEX(C943+48,2)</f>
        <v>9E</v>
      </c>
      <c r="I943" s="6" t="str">
        <f aca="false">_xlfn.CONCAT("\x", G943, "\x", H943, "=", F943)</f>
        <v>\x28\x9E=베</v>
      </c>
      <c r="M943" s="8"/>
    </row>
    <row r="944" customFormat="false" ht="12.8" hidden="false" customHeight="true" outlineLevel="0" collapsed="false">
      <c r="C944" s="6" t="n">
        <f aca="false">MOD(ROW()-1, 208)</f>
        <v>111</v>
      </c>
      <c r="D944" s="6" t="n">
        <f aca="false">INT((ROW()-1)/208)</f>
        <v>4</v>
      </c>
      <c r="F944" s="6" t="str">
        <f aca="false">MID(VLOOKUP(D944,$P$1:$Q$13,2,0), 1 + C944,1)</f>
        <v>벡</v>
      </c>
      <c r="G944" s="6" t="str">
        <f aca="false">DEC2HEX(D944+36, 2)</f>
        <v>28</v>
      </c>
      <c r="H944" s="6" t="str">
        <f aca="false">DEC2HEX(C944+48,2)</f>
        <v>9F</v>
      </c>
      <c r="I944" s="6" t="str">
        <f aca="false">_xlfn.CONCAT("\x", G944, "\x", H944, "=", F944)</f>
        <v>\x28\x9F=벡</v>
      </c>
      <c r="M944" s="8"/>
    </row>
    <row r="945" customFormat="false" ht="12.8" hidden="false" customHeight="true" outlineLevel="0" collapsed="false">
      <c r="C945" s="6" t="n">
        <f aca="false">MOD(ROW()-1, 208)</f>
        <v>112</v>
      </c>
      <c r="D945" s="6" t="n">
        <f aca="false">INT((ROW()-1)/208)</f>
        <v>4</v>
      </c>
      <c r="F945" s="6" t="str">
        <f aca="false">MID(VLOOKUP(D945,$P$1:$Q$13,2,0), 1 + C945,1)</f>
        <v>벤</v>
      </c>
      <c r="G945" s="6" t="str">
        <f aca="false">DEC2HEX(D945+36, 2)</f>
        <v>28</v>
      </c>
      <c r="H945" s="6" t="str">
        <f aca="false">DEC2HEX(C945+48,2)</f>
        <v>A0</v>
      </c>
      <c r="I945" s="6" t="str">
        <f aca="false">_xlfn.CONCAT("\x", G945, "\x", H945, "=", F945)</f>
        <v>\x28\xA0=벤</v>
      </c>
      <c r="M945" s="8"/>
    </row>
    <row r="946" customFormat="false" ht="12.8" hidden="false" customHeight="true" outlineLevel="0" collapsed="false">
      <c r="C946" s="6" t="n">
        <f aca="false">MOD(ROW()-1, 208)</f>
        <v>113</v>
      </c>
      <c r="D946" s="6" t="n">
        <f aca="false">INT((ROW()-1)/208)</f>
        <v>4</v>
      </c>
      <c r="F946" s="6" t="str">
        <f aca="false">MID(VLOOKUP(D946,$P$1:$Q$13,2,0), 1 + C946,1)</f>
        <v>벧</v>
      </c>
      <c r="G946" s="6" t="str">
        <f aca="false">DEC2HEX(D946+36, 2)</f>
        <v>28</v>
      </c>
      <c r="H946" s="6" t="str">
        <f aca="false">DEC2HEX(C946+48,2)</f>
        <v>A1</v>
      </c>
      <c r="I946" s="6" t="str">
        <f aca="false">_xlfn.CONCAT("\x", G946, "\x", H946, "=", F946)</f>
        <v>\x28\xA1=벧</v>
      </c>
      <c r="M946" s="8"/>
    </row>
    <row r="947" customFormat="false" ht="12.8" hidden="false" customHeight="true" outlineLevel="0" collapsed="false">
      <c r="C947" s="6" t="n">
        <f aca="false">MOD(ROW()-1, 208)</f>
        <v>114</v>
      </c>
      <c r="D947" s="6" t="n">
        <f aca="false">INT((ROW()-1)/208)</f>
        <v>4</v>
      </c>
      <c r="F947" s="6" t="str">
        <f aca="false">MID(VLOOKUP(D947,$P$1:$Q$13,2,0), 1 + C947,1)</f>
        <v>벨</v>
      </c>
      <c r="G947" s="6" t="str">
        <f aca="false">DEC2HEX(D947+36, 2)</f>
        <v>28</v>
      </c>
      <c r="H947" s="6" t="str">
        <f aca="false">DEC2HEX(C947+48,2)</f>
        <v>A2</v>
      </c>
      <c r="I947" s="6" t="str">
        <f aca="false">_xlfn.CONCAT("\x", G947, "\x", H947, "=", F947)</f>
        <v>\x28\xA2=벨</v>
      </c>
      <c r="M947" s="8"/>
    </row>
    <row r="948" customFormat="false" ht="12.8" hidden="false" customHeight="true" outlineLevel="0" collapsed="false">
      <c r="C948" s="6" t="n">
        <f aca="false">MOD(ROW()-1, 208)</f>
        <v>115</v>
      </c>
      <c r="D948" s="6" t="n">
        <f aca="false">INT((ROW()-1)/208)</f>
        <v>4</v>
      </c>
      <c r="F948" s="6" t="str">
        <f aca="false">MID(VLOOKUP(D948,$P$1:$Q$13,2,0), 1 + C948,1)</f>
        <v>벰</v>
      </c>
      <c r="G948" s="6" t="str">
        <f aca="false">DEC2HEX(D948+36, 2)</f>
        <v>28</v>
      </c>
      <c r="H948" s="6" t="str">
        <f aca="false">DEC2HEX(C948+48,2)</f>
        <v>A3</v>
      </c>
      <c r="I948" s="6" t="str">
        <f aca="false">_xlfn.CONCAT("\x", G948, "\x", H948, "=", F948)</f>
        <v>\x28\xA3=벰</v>
      </c>
      <c r="M948" s="8"/>
    </row>
    <row r="949" customFormat="false" ht="12.8" hidden="false" customHeight="true" outlineLevel="0" collapsed="false">
      <c r="C949" s="6" t="n">
        <f aca="false">MOD(ROW()-1, 208)</f>
        <v>116</v>
      </c>
      <c r="D949" s="6" t="n">
        <f aca="false">INT((ROW()-1)/208)</f>
        <v>4</v>
      </c>
      <c r="F949" s="6" t="str">
        <f aca="false">MID(VLOOKUP(D949,$P$1:$Q$13,2,0), 1 + C949,1)</f>
        <v>벱</v>
      </c>
      <c r="G949" s="6" t="str">
        <f aca="false">DEC2HEX(D949+36, 2)</f>
        <v>28</v>
      </c>
      <c r="H949" s="6" t="str">
        <f aca="false">DEC2HEX(C949+48,2)</f>
        <v>A4</v>
      </c>
      <c r="I949" s="6" t="str">
        <f aca="false">_xlfn.CONCAT("\x", G949, "\x", H949, "=", F949)</f>
        <v>\x28\xA4=벱</v>
      </c>
      <c r="M949" s="8"/>
    </row>
    <row r="950" customFormat="false" ht="12.8" hidden="false" customHeight="true" outlineLevel="0" collapsed="false">
      <c r="C950" s="6" t="n">
        <f aca="false">MOD(ROW()-1, 208)</f>
        <v>117</v>
      </c>
      <c r="D950" s="6" t="n">
        <f aca="false">INT((ROW()-1)/208)</f>
        <v>4</v>
      </c>
      <c r="F950" s="6" t="str">
        <f aca="false">MID(VLOOKUP(D950,$P$1:$Q$13,2,0), 1 + C950,1)</f>
        <v>벳</v>
      </c>
      <c r="G950" s="6" t="str">
        <f aca="false">DEC2HEX(D950+36, 2)</f>
        <v>28</v>
      </c>
      <c r="H950" s="6" t="str">
        <f aca="false">DEC2HEX(C950+48,2)</f>
        <v>A5</v>
      </c>
      <c r="I950" s="6" t="str">
        <f aca="false">_xlfn.CONCAT("\x", G950, "\x", H950, "=", F950)</f>
        <v>\x28\xA5=벳</v>
      </c>
      <c r="M950" s="8"/>
    </row>
    <row r="951" customFormat="false" ht="12.8" hidden="false" customHeight="true" outlineLevel="0" collapsed="false">
      <c r="C951" s="6" t="n">
        <f aca="false">MOD(ROW()-1, 208)</f>
        <v>118</v>
      </c>
      <c r="D951" s="6" t="n">
        <f aca="false">INT((ROW()-1)/208)</f>
        <v>4</v>
      </c>
      <c r="F951" s="6" t="str">
        <f aca="false">MID(VLOOKUP(D951,$P$1:$Q$13,2,0), 1 + C951,1)</f>
        <v>벴</v>
      </c>
      <c r="G951" s="6" t="str">
        <f aca="false">DEC2HEX(D951+36, 2)</f>
        <v>28</v>
      </c>
      <c r="H951" s="6" t="str">
        <f aca="false">DEC2HEX(C951+48,2)</f>
        <v>A6</v>
      </c>
      <c r="I951" s="6" t="str">
        <f aca="false">_xlfn.CONCAT("\x", G951, "\x", H951, "=", F951)</f>
        <v>\x28\xA6=벴</v>
      </c>
      <c r="M951" s="8"/>
    </row>
    <row r="952" customFormat="false" ht="12.8" hidden="false" customHeight="true" outlineLevel="0" collapsed="false">
      <c r="C952" s="6" t="n">
        <f aca="false">MOD(ROW()-1, 208)</f>
        <v>119</v>
      </c>
      <c r="D952" s="6" t="n">
        <f aca="false">INT((ROW()-1)/208)</f>
        <v>4</v>
      </c>
      <c r="F952" s="6" t="str">
        <f aca="false">MID(VLOOKUP(D952,$P$1:$Q$13,2,0), 1 + C952,1)</f>
        <v>벵</v>
      </c>
      <c r="G952" s="6" t="str">
        <f aca="false">DEC2HEX(D952+36, 2)</f>
        <v>28</v>
      </c>
      <c r="H952" s="6" t="str">
        <f aca="false">DEC2HEX(C952+48,2)</f>
        <v>A7</v>
      </c>
      <c r="I952" s="6" t="str">
        <f aca="false">_xlfn.CONCAT("\x", G952, "\x", H952, "=", F952)</f>
        <v>\x28\xA7=벵</v>
      </c>
      <c r="M952" s="8"/>
    </row>
    <row r="953" customFormat="false" ht="12.8" hidden="false" customHeight="true" outlineLevel="0" collapsed="false">
      <c r="C953" s="6" t="n">
        <f aca="false">MOD(ROW()-1, 208)</f>
        <v>120</v>
      </c>
      <c r="D953" s="6" t="n">
        <f aca="false">INT((ROW()-1)/208)</f>
        <v>4</v>
      </c>
      <c r="F953" s="6" t="str">
        <f aca="false">MID(VLOOKUP(D953,$P$1:$Q$13,2,0), 1 + C953,1)</f>
        <v>벼</v>
      </c>
      <c r="G953" s="6" t="str">
        <f aca="false">DEC2HEX(D953+36, 2)</f>
        <v>28</v>
      </c>
      <c r="H953" s="6" t="str">
        <f aca="false">DEC2HEX(C953+48,2)</f>
        <v>A8</v>
      </c>
      <c r="I953" s="6" t="str">
        <f aca="false">_xlfn.CONCAT("\x", G953, "\x", H953, "=", F953)</f>
        <v>\x28\xA8=벼</v>
      </c>
      <c r="M953" s="8"/>
    </row>
    <row r="954" customFormat="false" ht="12.8" hidden="false" customHeight="true" outlineLevel="0" collapsed="false">
      <c r="C954" s="6" t="n">
        <f aca="false">MOD(ROW()-1, 208)</f>
        <v>121</v>
      </c>
      <c r="D954" s="6" t="n">
        <f aca="false">INT((ROW()-1)/208)</f>
        <v>4</v>
      </c>
      <c r="F954" s="6" t="str">
        <f aca="false">MID(VLOOKUP(D954,$P$1:$Q$13,2,0), 1 + C954,1)</f>
        <v>벽</v>
      </c>
      <c r="G954" s="6" t="str">
        <f aca="false">DEC2HEX(D954+36, 2)</f>
        <v>28</v>
      </c>
      <c r="H954" s="6" t="str">
        <f aca="false">DEC2HEX(C954+48,2)</f>
        <v>A9</v>
      </c>
      <c r="I954" s="6" t="str">
        <f aca="false">_xlfn.CONCAT("\x", G954, "\x", H954, "=", F954)</f>
        <v>\x28\xA9=벽</v>
      </c>
      <c r="M954" s="8"/>
    </row>
    <row r="955" customFormat="false" ht="12.8" hidden="false" customHeight="true" outlineLevel="0" collapsed="false">
      <c r="C955" s="6" t="n">
        <f aca="false">MOD(ROW()-1, 208)</f>
        <v>122</v>
      </c>
      <c r="D955" s="6" t="n">
        <f aca="false">INT((ROW()-1)/208)</f>
        <v>4</v>
      </c>
      <c r="F955" s="6" t="str">
        <f aca="false">MID(VLOOKUP(D955,$P$1:$Q$13,2,0), 1 + C955,1)</f>
        <v>변</v>
      </c>
      <c r="G955" s="6" t="str">
        <f aca="false">DEC2HEX(D955+36, 2)</f>
        <v>28</v>
      </c>
      <c r="H955" s="6" t="str">
        <f aca="false">DEC2HEX(C955+48,2)</f>
        <v>AA</v>
      </c>
      <c r="I955" s="6" t="str">
        <f aca="false">_xlfn.CONCAT("\x", G955, "\x", H955, "=", F955)</f>
        <v>\x28\xAA=변</v>
      </c>
      <c r="M955" s="8"/>
    </row>
    <row r="956" customFormat="false" ht="12.8" hidden="false" customHeight="true" outlineLevel="0" collapsed="false">
      <c r="C956" s="6" t="n">
        <f aca="false">MOD(ROW()-1, 208)</f>
        <v>123</v>
      </c>
      <c r="D956" s="6" t="n">
        <f aca="false">INT((ROW()-1)/208)</f>
        <v>4</v>
      </c>
      <c r="F956" s="6" t="str">
        <f aca="false">MID(VLOOKUP(D956,$P$1:$Q$13,2,0), 1 + C956,1)</f>
        <v>별</v>
      </c>
      <c r="G956" s="6" t="str">
        <f aca="false">DEC2HEX(D956+36, 2)</f>
        <v>28</v>
      </c>
      <c r="H956" s="6" t="str">
        <f aca="false">DEC2HEX(C956+48,2)</f>
        <v>AB</v>
      </c>
      <c r="I956" s="6" t="str">
        <f aca="false">_xlfn.CONCAT("\x", G956, "\x", H956, "=", F956)</f>
        <v>\x28\xAB=별</v>
      </c>
      <c r="M956" s="8"/>
    </row>
    <row r="957" customFormat="false" ht="12.8" hidden="false" customHeight="true" outlineLevel="0" collapsed="false">
      <c r="C957" s="6" t="n">
        <f aca="false">MOD(ROW()-1, 208)</f>
        <v>124</v>
      </c>
      <c r="D957" s="6" t="n">
        <f aca="false">INT((ROW()-1)/208)</f>
        <v>4</v>
      </c>
      <c r="F957" s="6" t="str">
        <f aca="false">MID(VLOOKUP(D957,$P$1:$Q$13,2,0), 1 + C957,1)</f>
        <v>볍</v>
      </c>
      <c r="G957" s="6" t="str">
        <f aca="false">DEC2HEX(D957+36, 2)</f>
        <v>28</v>
      </c>
      <c r="H957" s="6" t="str">
        <f aca="false">DEC2HEX(C957+48,2)</f>
        <v>AC</v>
      </c>
      <c r="I957" s="6" t="str">
        <f aca="false">_xlfn.CONCAT("\x", G957, "\x", H957, "=", F957)</f>
        <v>\x28\xAC=볍</v>
      </c>
      <c r="M957" s="8"/>
    </row>
    <row r="958" customFormat="false" ht="12.8" hidden="false" customHeight="true" outlineLevel="0" collapsed="false">
      <c r="C958" s="6" t="n">
        <f aca="false">MOD(ROW()-1, 208)</f>
        <v>125</v>
      </c>
      <c r="D958" s="6" t="n">
        <f aca="false">INT((ROW()-1)/208)</f>
        <v>4</v>
      </c>
      <c r="F958" s="6" t="str">
        <f aca="false">MID(VLOOKUP(D958,$P$1:$Q$13,2,0), 1 + C958,1)</f>
        <v>볏</v>
      </c>
      <c r="G958" s="6" t="str">
        <f aca="false">DEC2HEX(D958+36, 2)</f>
        <v>28</v>
      </c>
      <c r="H958" s="6" t="str">
        <f aca="false">DEC2HEX(C958+48,2)</f>
        <v>AD</v>
      </c>
      <c r="I958" s="6" t="str">
        <f aca="false">_xlfn.CONCAT("\x", G958, "\x", H958, "=", F958)</f>
        <v>\x28\xAD=볏</v>
      </c>
      <c r="M958" s="8"/>
    </row>
    <row r="959" customFormat="false" ht="12.8" hidden="false" customHeight="true" outlineLevel="0" collapsed="false">
      <c r="C959" s="6" t="n">
        <f aca="false">MOD(ROW()-1, 208)</f>
        <v>126</v>
      </c>
      <c r="D959" s="6" t="n">
        <f aca="false">INT((ROW()-1)/208)</f>
        <v>4</v>
      </c>
      <c r="F959" s="6" t="str">
        <f aca="false">MID(VLOOKUP(D959,$P$1:$Q$13,2,0), 1 + C959,1)</f>
        <v>볐</v>
      </c>
      <c r="G959" s="6" t="str">
        <f aca="false">DEC2HEX(D959+36, 2)</f>
        <v>28</v>
      </c>
      <c r="H959" s="6" t="str">
        <f aca="false">DEC2HEX(C959+48,2)</f>
        <v>AE</v>
      </c>
      <c r="I959" s="6" t="str">
        <f aca="false">_xlfn.CONCAT("\x", G959, "\x", H959, "=", F959)</f>
        <v>\x28\xAE=볐</v>
      </c>
      <c r="M959" s="8"/>
    </row>
    <row r="960" customFormat="false" ht="12.8" hidden="false" customHeight="true" outlineLevel="0" collapsed="false">
      <c r="C960" s="6" t="n">
        <f aca="false">MOD(ROW()-1, 208)</f>
        <v>127</v>
      </c>
      <c r="D960" s="6" t="n">
        <f aca="false">INT((ROW()-1)/208)</f>
        <v>4</v>
      </c>
      <c r="F960" s="6" t="str">
        <f aca="false">MID(VLOOKUP(D960,$P$1:$Q$13,2,0), 1 + C960,1)</f>
        <v>병</v>
      </c>
      <c r="G960" s="6" t="str">
        <f aca="false">DEC2HEX(D960+36, 2)</f>
        <v>28</v>
      </c>
      <c r="H960" s="6" t="str">
        <f aca="false">DEC2HEX(C960+48,2)</f>
        <v>AF</v>
      </c>
      <c r="I960" s="6" t="str">
        <f aca="false">_xlfn.CONCAT("\x", G960, "\x", H960, "=", F960)</f>
        <v>\x28\xAF=병</v>
      </c>
      <c r="M960" s="8"/>
    </row>
    <row r="961" customFormat="false" ht="12.8" hidden="false" customHeight="true" outlineLevel="0" collapsed="false">
      <c r="C961" s="6" t="n">
        <f aca="false">MOD(ROW()-1, 208)</f>
        <v>128</v>
      </c>
      <c r="D961" s="6" t="n">
        <f aca="false">INT((ROW()-1)/208)</f>
        <v>4</v>
      </c>
      <c r="F961" s="6" t="str">
        <f aca="false">MID(VLOOKUP(D961,$P$1:$Q$13,2,0), 1 + C961,1)</f>
        <v>볕</v>
      </c>
      <c r="G961" s="6" t="str">
        <f aca="false">DEC2HEX(D961+36, 2)</f>
        <v>28</v>
      </c>
      <c r="H961" s="6" t="str">
        <f aca="false">DEC2HEX(C961+48,2)</f>
        <v>B0</v>
      </c>
      <c r="I961" s="6" t="str">
        <f aca="false">_xlfn.CONCAT("\x", G961, "\x", H961, "=", F961)</f>
        <v>\x28\xB0=볕</v>
      </c>
      <c r="M961" s="8"/>
    </row>
    <row r="962" customFormat="false" ht="12.8" hidden="false" customHeight="true" outlineLevel="0" collapsed="false">
      <c r="C962" s="6" t="n">
        <f aca="false">MOD(ROW()-1, 208)</f>
        <v>129</v>
      </c>
      <c r="D962" s="6" t="n">
        <f aca="false">INT((ROW()-1)/208)</f>
        <v>4</v>
      </c>
      <c r="F962" s="6" t="str">
        <f aca="false">MID(VLOOKUP(D962,$P$1:$Q$13,2,0), 1 + C962,1)</f>
        <v>볘</v>
      </c>
      <c r="G962" s="6" t="str">
        <f aca="false">DEC2HEX(D962+36, 2)</f>
        <v>28</v>
      </c>
      <c r="H962" s="6" t="str">
        <f aca="false">DEC2HEX(C962+48,2)</f>
        <v>B1</v>
      </c>
      <c r="I962" s="6" t="str">
        <f aca="false">_xlfn.CONCAT("\x", G962, "\x", H962, "=", F962)</f>
        <v>\x28\xB1=볘</v>
      </c>
      <c r="M962" s="8"/>
    </row>
    <row r="963" customFormat="false" ht="12.8" hidden="false" customHeight="true" outlineLevel="0" collapsed="false">
      <c r="C963" s="6" t="n">
        <f aca="false">MOD(ROW()-1, 208)</f>
        <v>130</v>
      </c>
      <c r="D963" s="6" t="n">
        <f aca="false">INT((ROW()-1)/208)</f>
        <v>4</v>
      </c>
      <c r="F963" s="6" t="str">
        <f aca="false">MID(VLOOKUP(D963,$P$1:$Q$13,2,0), 1 + C963,1)</f>
        <v>볜</v>
      </c>
      <c r="G963" s="6" t="str">
        <f aca="false">DEC2HEX(D963+36, 2)</f>
        <v>28</v>
      </c>
      <c r="H963" s="6" t="str">
        <f aca="false">DEC2HEX(C963+48,2)</f>
        <v>B2</v>
      </c>
      <c r="I963" s="6" t="str">
        <f aca="false">_xlfn.CONCAT("\x", G963, "\x", H963, "=", F963)</f>
        <v>\x28\xB2=볜</v>
      </c>
      <c r="M963" s="8"/>
    </row>
    <row r="964" customFormat="false" ht="12.8" hidden="false" customHeight="true" outlineLevel="0" collapsed="false">
      <c r="C964" s="6" t="n">
        <f aca="false">MOD(ROW()-1, 208)</f>
        <v>131</v>
      </c>
      <c r="D964" s="6" t="n">
        <f aca="false">INT((ROW()-1)/208)</f>
        <v>4</v>
      </c>
      <c r="F964" s="6" t="str">
        <f aca="false">MID(VLOOKUP(D964,$P$1:$Q$13,2,0), 1 + C964,1)</f>
        <v>보</v>
      </c>
      <c r="G964" s="6" t="str">
        <f aca="false">DEC2HEX(D964+36, 2)</f>
        <v>28</v>
      </c>
      <c r="H964" s="6" t="str">
        <f aca="false">DEC2HEX(C964+48,2)</f>
        <v>B3</v>
      </c>
      <c r="I964" s="6" t="str">
        <f aca="false">_xlfn.CONCAT("\x", G964, "\x", H964, "=", F964)</f>
        <v>\x28\xB3=보</v>
      </c>
      <c r="M964" s="8"/>
    </row>
    <row r="965" customFormat="false" ht="12.8" hidden="false" customHeight="true" outlineLevel="0" collapsed="false">
      <c r="C965" s="6" t="n">
        <f aca="false">MOD(ROW()-1, 208)</f>
        <v>132</v>
      </c>
      <c r="D965" s="6" t="n">
        <f aca="false">INT((ROW()-1)/208)</f>
        <v>4</v>
      </c>
      <c r="F965" s="6" t="str">
        <f aca="false">MID(VLOOKUP(D965,$P$1:$Q$13,2,0), 1 + C965,1)</f>
        <v>복</v>
      </c>
      <c r="G965" s="6" t="str">
        <f aca="false">DEC2HEX(D965+36, 2)</f>
        <v>28</v>
      </c>
      <c r="H965" s="6" t="str">
        <f aca="false">DEC2HEX(C965+48,2)</f>
        <v>B4</v>
      </c>
      <c r="I965" s="6" t="str">
        <f aca="false">_xlfn.CONCAT("\x", G965, "\x", H965, "=", F965)</f>
        <v>\x28\xB4=복</v>
      </c>
      <c r="M965" s="8"/>
    </row>
    <row r="966" customFormat="false" ht="12.8" hidden="false" customHeight="true" outlineLevel="0" collapsed="false">
      <c r="C966" s="6" t="n">
        <f aca="false">MOD(ROW()-1, 208)</f>
        <v>133</v>
      </c>
      <c r="D966" s="6" t="n">
        <f aca="false">INT((ROW()-1)/208)</f>
        <v>4</v>
      </c>
      <c r="F966" s="6" t="str">
        <f aca="false">MID(VLOOKUP(D966,$P$1:$Q$13,2,0), 1 + C966,1)</f>
        <v>볶</v>
      </c>
      <c r="G966" s="6" t="str">
        <f aca="false">DEC2HEX(D966+36, 2)</f>
        <v>28</v>
      </c>
      <c r="H966" s="6" t="str">
        <f aca="false">DEC2HEX(C966+48,2)</f>
        <v>B5</v>
      </c>
      <c r="I966" s="6" t="str">
        <f aca="false">_xlfn.CONCAT("\x", G966, "\x", H966, "=", F966)</f>
        <v>\x28\xB5=볶</v>
      </c>
      <c r="M966" s="8"/>
    </row>
    <row r="967" customFormat="false" ht="12.8" hidden="false" customHeight="true" outlineLevel="0" collapsed="false">
      <c r="C967" s="6" t="n">
        <f aca="false">MOD(ROW()-1, 208)</f>
        <v>134</v>
      </c>
      <c r="D967" s="6" t="n">
        <f aca="false">INT((ROW()-1)/208)</f>
        <v>4</v>
      </c>
      <c r="F967" s="6" t="str">
        <f aca="false">MID(VLOOKUP(D967,$P$1:$Q$13,2,0), 1 + C967,1)</f>
        <v>본</v>
      </c>
      <c r="G967" s="6" t="str">
        <f aca="false">DEC2HEX(D967+36, 2)</f>
        <v>28</v>
      </c>
      <c r="H967" s="6" t="str">
        <f aca="false">DEC2HEX(C967+48,2)</f>
        <v>B6</v>
      </c>
      <c r="I967" s="6" t="str">
        <f aca="false">_xlfn.CONCAT("\x", G967, "\x", H967, "=", F967)</f>
        <v>\x28\xB6=본</v>
      </c>
      <c r="M967" s="8"/>
    </row>
    <row r="968" customFormat="false" ht="12.8" hidden="false" customHeight="true" outlineLevel="0" collapsed="false">
      <c r="C968" s="6" t="n">
        <f aca="false">MOD(ROW()-1, 208)</f>
        <v>135</v>
      </c>
      <c r="D968" s="6" t="n">
        <f aca="false">INT((ROW()-1)/208)</f>
        <v>4</v>
      </c>
      <c r="F968" s="6" t="str">
        <f aca="false">MID(VLOOKUP(D968,$P$1:$Q$13,2,0), 1 + C968,1)</f>
        <v>볼</v>
      </c>
      <c r="G968" s="6" t="str">
        <f aca="false">DEC2HEX(D968+36, 2)</f>
        <v>28</v>
      </c>
      <c r="H968" s="6" t="str">
        <f aca="false">DEC2HEX(C968+48,2)</f>
        <v>B7</v>
      </c>
      <c r="I968" s="6" t="str">
        <f aca="false">_xlfn.CONCAT("\x", G968, "\x", H968, "=", F968)</f>
        <v>\x28\xB7=볼</v>
      </c>
      <c r="M968" s="8"/>
    </row>
    <row r="969" customFormat="false" ht="12.8" hidden="false" customHeight="true" outlineLevel="0" collapsed="false">
      <c r="C969" s="6" t="n">
        <f aca="false">MOD(ROW()-1, 208)</f>
        <v>136</v>
      </c>
      <c r="D969" s="6" t="n">
        <f aca="false">INT((ROW()-1)/208)</f>
        <v>4</v>
      </c>
      <c r="F969" s="6" t="str">
        <f aca="false">MID(VLOOKUP(D969,$P$1:$Q$13,2,0), 1 + C969,1)</f>
        <v>봄</v>
      </c>
      <c r="G969" s="6" t="str">
        <f aca="false">DEC2HEX(D969+36, 2)</f>
        <v>28</v>
      </c>
      <c r="H969" s="6" t="str">
        <f aca="false">DEC2HEX(C969+48,2)</f>
        <v>B8</v>
      </c>
      <c r="I969" s="6" t="str">
        <f aca="false">_xlfn.CONCAT("\x", G969, "\x", H969, "=", F969)</f>
        <v>\x28\xB8=봄</v>
      </c>
      <c r="M969" s="8"/>
    </row>
    <row r="970" customFormat="false" ht="12.8" hidden="false" customHeight="true" outlineLevel="0" collapsed="false">
      <c r="C970" s="6" t="n">
        <f aca="false">MOD(ROW()-1, 208)</f>
        <v>137</v>
      </c>
      <c r="D970" s="6" t="n">
        <f aca="false">INT((ROW()-1)/208)</f>
        <v>4</v>
      </c>
      <c r="F970" s="6" t="str">
        <f aca="false">MID(VLOOKUP(D970,$P$1:$Q$13,2,0), 1 + C970,1)</f>
        <v>봅</v>
      </c>
      <c r="G970" s="6" t="str">
        <f aca="false">DEC2HEX(D970+36, 2)</f>
        <v>28</v>
      </c>
      <c r="H970" s="6" t="str">
        <f aca="false">DEC2HEX(C970+48,2)</f>
        <v>B9</v>
      </c>
      <c r="I970" s="6" t="str">
        <f aca="false">_xlfn.CONCAT("\x", G970, "\x", H970, "=", F970)</f>
        <v>\x28\xB9=봅</v>
      </c>
      <c r="M970" s="8"/>
    </row>
    <row r="971" customFormat="false" ht="12.8" hidden="false" customHeight="true" outlineLevel="0" collapsed="false">
      <c r="C971" s="6" t="n">
        <f aca="false">MOD(ROW()-1, 208)</f>
        <v>138</v>
      </c>
      <c r="D971" s="6" t="n">
        <f aca="false">INT((ROW()-1)/208)</f>
        <v>4</v>
      </c>
      <c r="F971" s="6" t="str">
        <f aca="false">MID(VLOOKUP(D971,$P$1:$Q$13,2,0), 1 + C971,1)</f>
        <v>봇</v>
      </c>
      <c r="G971" s="6" t="str">
        <f aca="false">DEC2HEX(D971+36, 2)</f>
        <v>28</v>
      </c>
      <c r="H971" s="6" t="str">
        <f aca="false">DEC2HEX(C971+48,2)</f>
        <v>BA</v>
      </c>
      <c r="I971" s="6" t="str">
        <f aca="false">_xlfn.CONCAT("\x", G971, "\x", H971, "=", F971)</f>
        <v>\x28\xBA=봇</v>
      </c>
      <c r="M971" s="8"/>
    </row>
    <row r="972" customFormat="false" ht="12.8" hidden="false" customHeight="true" outlineLevel="0" collapsed="false">
      <c r="C972" s="6" t="n">
        <f aca="false">MOD(ROW()-1, 208)</f>
        <v>139</v>
      </c>
      <c r="D972" s="6" t="n">
        <f aca="false">INT((ROW()-1)/208)</f>
        <v>4</v>
      </c>
      <c r="F972" s="6" t="str">
        <f aca="false">MID(VLOOKUP(D972,$P$1:$Q$13,2,0), 1 + C972,1)</f>
        <v>봉</v>
      </c>
      <c r="G972" s="6" t="str">
        <f aca="false">DEC2HEX(D972+36, 2)</f>
        <v>28</v>
      </c>
      <c r="H972" s="6" t="str">
        <f aca="false">DEC2HEX(C972+48,2)</f>
        <v>BB</v>
      </c>
      <c r="I972" s="6" t="str">
        <f aca="false">_xlfn.CONCAT("\x", G972, "\x", H972, "=", F972)</f>
        <v>\x28\xBB=봉</v>
      </c>
      <c r="M972" s="8"/>
    </row>
    <row r="973" customFormat="false" ht="12.8" hidden="false" customHeight="true" outlineLevel="0" collapsed="false">
      <c r="C973" s="6" t="n">
        <f aca="false">MOD(ROW()-1, 208)</f>
        <v>140</v>
      </c>
      <c r="D973" s="6" t="n">
        <f aca="false">INT((ROW()-1)/208)</f>
        <v>4</v>
      </c>
      <c r="F973" s="6" t="str">
        <f aca="false">MID(VLOOKUP(D973,$P$1:$Q$13,2,0), 1 + C973,1)</f>
        <v>봐</v>
      </c>
      <c r="G973" s="6" t="str">
        <f aca="false">DEC2HEX(D973+36, 2)</f>
        <v>28</v>
      </c>
      <c r="H973" s="6" t="str">
        <f aca="false">DEC2HEX(C973+48,2)</f>
        <v>BC</v>
      </c>
      <c r="I973" s="6" t="str">
        <f aca="false">_xlfn.CONCAT("\x", G973, "\x", H973, "=", F973)</f>
        <v>\x28\xBC=봐</v>
      </c>
      <c r="M973" s="8"/>
    </row>
    <row r="974" customFormat="false" ht="12.8" hidden="false" customHeight="true" outlineLevel="0" collapsed="false">
      <c r="C974" s="6" t="n">
        <f aca="false">MOD(ROW()-1, 208)</f>
        <v>141</v>
      </c>
      <c r="D974" s="6" t="n">
        <f aca="false">INT((ROW()-1)/208)</f>
        <v>4</v>
      </c>
      <c r="F974" s="6" t="str">
        <f aca="false">MID(VLOOKUP(D974,$P$1:$Q$13,2,0), 1 + C974,1)</f>
        <v>봔</v>
      </c>
      <c r="G974" s="6" t="str">
        <f aca="false">DEC2HEX(D974+36, 2)</f>
        <v>28</v>
      </c>
      <c r="H974" s="6" t="str">
        <f aca="false">DEC2HEX(C974+48,2)</f>
        <v>BD</v>
      </c>
      <c r="I974" s="6" t="str">
        <f aca="false">_xlfn.CONCAT("\x", G974, "\x", H974, "=", F974)</f>
        <v>\x28\xBD=봔</v>
      </c>
      <c r="M974" s="8"/>
    </row>
    <row r="975" customFormat="false" ht="12.8" hidden="false" customHeight="true" outlineLevel="0" collapsed="false">
      <c r="C975" s="6" t="n">
        <f aca="false">MOD(ROW()-1, 208)</f>
        <v>142</v>
      </c>
      <c r="D975" s="6" t="n">
        <f aca="false">INT((ROW()-1)/208)</f>
        <v>4</v>
      </c>
      <c r="F975" s="6" t="str">
        <f aca="false">MID(VLOOKUP(D975,$P$1:$Q$13,2,0), 1 + C975,1)</f>
        <v>봤</v>
      </c>
      <c r="G975" s="6" t="str">
        <f aca="false">DEC2HEX(D975+36, 2)</f>
        <v>28</v>
      </c>
      <c r="H975" s="6" t="str">
        <f aca="false">DEC2HEX(C975+48,2)</f>
        <v>BE</v>
      </c>
      <c r="I975" s="6" t="str">
        <f aca="false">_xlfn.CONCAT("\x", G975, "\x", H975, "=", F975)</f>
        <v>\x28\xBE=봤</v>
      </c>
      <c r="M975" s="8"/>
    </row>
    <row r="976" customFormat="false" ht="12.8" hidden="false" customHeight="true" outlineLevel="0" collapsed="false">
      <c r="C976" s="6" t="n">
        <f aca="false">MOD(ROW()-1, 208)</f>
        <v>143</v>
      </c>
      <c r="D976" s="6" t="n">
        <f aca="false">INT((ROW()-1)/208)</f>
        <v>4</v>
      </c>
      <c r="F976" s="6" t="str">
        <f aca="false">MID(VLOOKUP(D976,$P$1:$Q$13,2,0), 1 + C976,1)</f>
        <v>봬</v>
      </c>
      <c r="G976" s="6" t="str">
        <f aca="false">DEC2HEX(D976+36, 2)</f>
        <v>28</v>
      </c>
      <c r="H976" s="6" t="str">
        <f aca="false">DEC2HEX(C976+48,2)</f>
        <v>BF</v>
      </c>
      <c r="I976" s="6" t="str">
        <f aca="false">_xlfn.CONCAT("\x", G976, "\x", H976, "=", F976)</f>
        <v>\x28\xBF=봬</v>
      </c>
      <c r="M976" s="8"/>
    </row>
    <row r="977" customFormat="false" ht="12.8" hidden="false" customHeight="true" outlineLevel="0" collapsed="false">
      <c r="C977" s="6" t="n">
        <f aca="false">MOD(ROW()-1, 208)</f>
        <v>144</v>
      </c>
      <c r="D977" s="6" t="n">
        <f aca="false">INT((ROW()-1)/208)</f>
        <v>4</v>
      </c>
      <c r="F977" s="6" t="str">
        <f aca="false">MID(VLOOKUP(D977,$P$1:$Q$13,2,0), 1 + C977,1)</f>
        <v>뵀</v>
      </c>
      <c r="G977" s="6" t="str">
        <f aca="false">DEC2HEX(D977+36, 2)</f>
        <v>28</v>
      </c>
      <c r="H977" s="6" t="str">
        <f aca="false">DEC2HEX(C977+48,2)</f>
        <v>C0</v>
      </c>
      <c r="I977" s="6" t="str">
        <f aca="false">_xlfn.CONCAT("\x", G977, "\x", H977, "=", F977)</f>
        <v>\x28\xC0=뵀</v>
      </c>
      <c r="M977" s="8"/>
    </row>
    <row r="978" customFormat="false" ht="12.8" hidden="false" customHeight="true" outlineLevel="0" collapsed="false">
      <c r="C978" s="6" t="n">
        <f aca="false">MOD(ROW()-1, 208)</f>
        <v>145</v>
      </c>
      <c r="D978" s="6" t="n">
        <f aca="false">INT((ROW()-1)/208)</f>
        <v>4</v>
      </c>
      <c r="F978" s="6" t="str">
        <f aca="false">MID(VLOOKUP(D978,$P$1:$Q$13,2,0), 1 + C978,1)</f>
        <v>뵈</v>
      </c>
      <c r="G978" s="6" t="str">
        <f aca="false">DEC2HEX(D978+36, 2)</f>
        <v>28</v>
      </c>
      <c r="H978" s="6" t="str">
        <f aca="false">DEC2HEX(C978+48,2)</f>
        <v>C1</v>
      </c>
      <c r="I978" s="6" t="str">
        <f aca="false">_xlfn.CONCAT("\x", G978, "\x", H978, "=", F978)</f>
        <v>\x28\xC1=뵈</v>
      </c>
      <c r="M978" s="8"/>
    </row>
    <row r="979" customFormat="false" ht="12.8" hidden="false" customHeight="true" outlineLevel="0" collapsed="false">
      <c r="C979" s="6" t="n">
        <f aca="false">MOD(ROW()-1, 208)</f>
        <v>146</v>
      </c>
      <c r="D979" s="6" t="n">
        <f aca="false">INT((ROW()-1)/208)</f>
        <v>4</v>
      </c>
      <c r="F979" s="6" t="str">
        <f aca="false">MID(VLOOKUP(D979,$P$1:$Q$13,2,0), 1 + C979,1)</f>
        <v>뵉</v>
      </c>
      <c r="G979" s="6" t="str">
        <f aca="false">DEC2HEX(D979+36, 2)</f>
        <v>28</v>
      </c>
      <c r="H979" s="6" t="str">
        <f aca="false">DEC2HEX(C979+48,2)</f>
        <v>C2</v>
      </c>
      <c r="I979" s="6" t="str">
        <f aca="false">_xlfn.CONCAT("\x", G979, "\x", H979, "=", F979)</f>
        <v>\x28\xC2=뵉</v>
      </c>
      <c r="M979" s="8"/>
    </row>
    <row r="980" customFormat="false" ht="12.8" hidden="false" customHeight="true" outlineLevel="0" collapsed="false">
      <c r="C980" s="6" t="n">
        <f aca="false">MOD(ROW()-1, 208)</f>
        <v>147</v>
      </c>
      <c r="D980" s="6" t="n">
        <f aca="false">INT((ROW()-1)/208)</f>
        <v>4</v>
      </c>
      <c r="F980" s="6" t="str">
        <f aca="false">MID(VLOOKUP(D980,$P$1:$Q$13,2,0), 1 + C980,1)</f>
        <v>뵌</v>
      </c>
      <c r="G980" s="6" t="str">
        <f aca="false">DEC2HEX(D980+36, 2)</f>
        <v>28</v>
      </c>
      <c r="H980" s="6" t="str">
        <f aca="false">DEC2HEX(C980+48,2)</f>
        <v>C3</v>
      </c>
      <c r="I980" s="6" t="str">
        <f aca="false">_xlfn.CONCAT("\x", G980, "\x", H980, "=", F980)</f>
        <v>\x28\xC3=뵌</v>
      </c>
      <c r="M980" s="8"/>
    </row>
    <row r="981" customFormat="false" ht="12.8" hidden="false" customHeight="true" outlineLevel="0" collapsed="false">
      <c r="C981" s="6" t="n">
        <f aca="false">MOD(ROW()-1, 208)</f>
        <v>148</v>
      </c>
      <c r="D981" s="6" t="n">
        <f aca="false">INT((ROW()-1)/208)</f>
        <v>4</v>
      </c>
      <c r="F981" s="6" t="str">
        <f aca="false">MID(VLOOKUP(D981,$P$1:$Q$13,2,0), 1 + C981,1)</f>
        <v>뵐</v>
      </c>
      <c r="G981" s="6" t="str">
        <f aca="false">DEC2HEX(D981+36, 2)</f>
        <v>28</v>
      </c>
      <c r="H981" s="6" t="str">
        <f aca="false">DEC2HEX(C981+48,2)</f>
        <v>C4</v>
      </c>
      <c r="I981" s="6" t="str">
        <f aca="false">_xlfn.CONCAT("\x", G981, "\x", H981, "=", F981)</f>
        <v>\x28\xC4=뵐</v>
      </c>
      <c r="M981" s="8"/>
    </row>
    <row r="982" customFormat="false" ht="12.8" hidden="false" customHeight="true" outlineLevel="0" collapsed="false">
      <c r="C982" s="6" t="n">
        <f aca="false">MOD(ROW()-1, 208)</f>
        <v>149</v>
      </c>
      <c r="D982" s="6" t="n">
        <f aca="false">INT((ROW()-1)/208)</f>
        <v>4</v>
      </c>
      <c r="F982" s="6" t="str">
        <f aca="false">MID(VLOOKUP(D982,$P$1:$Q$13,2,0), 1 + C982,1)</f>
        <v>뵘</v>
      </c>
      <c r="G982" s="6" t="str">
        <f aca="false">DEC2HEX(D982+36, 2)</f>
        <v>28</v>
      </c>
      <c r="H982" s="6" t="str">
        <f aca="false">DEC2HEX(C982+48,2)</f>
        <v>C5</v>
      </c>
      <c r="I982" s="6" t="str">
        <f aca="false">_xlfn.CONCAT("\x", G982, "\x", H982, "=", F982)</f>
        <v>\x28\xC5=뵘</v>
      </c>
      <c r="M982" s="8"/>
    </row>
    <row r="983" customFormat="false" ht="12.8" hidden="false" customHeight="true" outlineLevel="0" collapsed="false">
      <c r="C983" s="6" t="n">
        <f aca="false">MOD(ROW()-1, 208)</f>
        <v>150</v>
      </c>
      <c r="D983" s="6" t="n">
        <f aca="false">INT((ROW()-1)/208)</f>
        <v>4</v>
      </c>
      <c r="F983" s="6" t="str">
        <f aca="false">MID(VLOOKUP(D983,$P$1:$Q$13,2,0), 1 + C983,1)</f>
        <v>뵙</v>
      </c>
      <c r="G983" s="6" t="str">
        <f aca="false">DEC2HEX(D983+36, 2)</f>
        <v>28</v>
      </c>
      <c r="H983" s="6" t="str">
        <f aca="false">DEC2HEX(C983+48,2)</f>
        <v>C6</v>
      </c>
      <c r="I983" s="6" t="str">
        <f aca="false">_xlfn.CONCAT("\x", G983, "\x", H983, "=", F983)</f>
        <v>\x28\xC6=뵙</v>
      </c>
      <c r="M983" s="8"/>
    </row>
    <row r="984" customFormat="false" ht="12.8" hidden="false" customHeight="true" outlineLevel="0" collapsed="false">
      <c r="C984" s="6" t="n">
        <f aca="false">MOD(ROW()-1, 208)</f>
        <v>151</v>
      </c>
      <c r="D984" s="6" t="n">
        <f aca="false">INT((ROW()-1)/208)</f>
        <v>4</v>
      </c>
      <c r="F984" s="6" t="str">
        <f aca="false">MID(VLOOKUP(D984,$P$1:$Q$13,2,0), 1 + C984,1)</f>
        <v>뵤</v>
      </c>
      <c r="G984" s="6" t="str">
        <f aca="false">DEC2HEX(D984+36, 2)</f>
        <v>28</v>
      </c>
      <c r="H984" s="6" t="str">
        <f aca="false">DEC2HEX(C984+48,2)</f>
        <v>C7</v>
      </c>
      <c r="I984" s="6" t="str">
        <f aca="false">_xlfn.CONCAT("\x", G984, "\x", H984, "=", F984)</f>
        <v>\x28\xC7=뵤</v>
      </c>
      <c r="M984" s="8"/>
    </row>
    <row r="985" customFormat="false" ht="12.8" hidden="false" customHeight="true" outlineLevel="0" collapsed="false">
      <c r="C985" s="6" t="n">
        <f aca="false">MOD(ROW()-1, 208)</f>
        <v>152</v>
      </c>
      <c r="D985" s="6" t="n">
        <f aca="false">INT((ROW()-1)/208)</f>
        <v>4</v>
      </c>
      <c r="F985" s="6" t="str">
        <f aca="false">MID(VLOOKUP(D985,$P$1:$Q$13,2,0), 1 + C985,1)</f>
        <v>뵨</v>
      </c>
      <c r="G985" s="6" t="str">
        <f aca="false">DEC2HEX(D985+36, 2)</f>
        <v>28</v>
      </c>
      <c r="H985" s="6" t="str">
        <f aca="false">DEC2HEX(C985+48,2)</f>
        <v>C8</v>
      </c>
      <c r="I985" s="6" t="str">
        <f aca="false">_xlfn.CONCAT("\x", G985, "\x", H985, "=", F985)</f>
        <v>\x28\xC8=뵨</v>
      </c>
      <c r="M985" s="8"/>
    </row>
    <row r="986" customFormat="false" ht="12.8" hidden="false" customHeight="true" outlineLevel="0" collapsed="false">
      <c r="C986" s="6" t="n">
        <f aca="false">MOD(ROW()-1, 208)</f>
        <v>153</v>
      </c>
      <c r="D986" s="6" t="n">
        <f aca="false">INT((ROW()-1)/208)</f>
        <v>4</v>
      </c>
      <c r="F986" s="6" t="str">
        <f aca="false">MID(VLOOKUP(D986,$P$1:$Q$13,2,0), 1 + C986,1)</f>
        <v>부</v>
      </c>
      <c r="G986" s="6" t="str">
        <f aca="false">DEC2HEX(D986+36, 2)</f>
        <v>28</v>
      </c>
      <c r="H986" s="6" t="str">
        <f aca="false">DEC2HEX(C986+48,2)</f>
        <v>C9</v>
      </c>
      <c r="I986" s="6" t="str">
        <f aca="false">_xlfn.CONCAT("\x", G986, "\x", H986, "=", F986)</f>
        <v>\x28\xC9=부</v>
      </c>
      <c r="M986" s="8"/>
    </row>
    <row r="987" customFormat="false" ht="12.8" hidden="false" customHeight="true" outlineLevel="0" collapsed="false">
      <c r="C987" s="6" t="n">
        <f aca="false">MOD(ROW()-1, 208)</f>
        <v>154</v>
      </c>
      <c r="D987" s="6" t="n">
        <f aca="false">INT((ROW()-1)/208)</f>
        <v>4</v>
      </c>
      <c r="F987" s="6" t="str">
        <f aca="false">MID(VLOOKUP(D987,$P$1:$Q$13,2,0), 1 + C987,1)</f>
        <v>북</v>
      </c>
      <c r="G987" s="6" t="str">
        <f aca="false">DEC2HEX(D987+36, 2)</f>
        <v>28</v>
      </c>
      <c r="H987" s="6" t="str">
        <f aca="false">DEC2HEX(C987+48,2)</f>
        <v>CA</v>
      </c>
      <c r="I987" s="6" t="str">
        <f aca="false">_xlfn.CONCAT("\x", G987, "\x", H987, "=", F987)</f>
        <v>\x28\xCA=북</v>
      </c>
      <c r="M987" s="8"/>
    </row>
    <row r="988" customFormat="false" ht="12.8" hidden="false" customHeight="true" outlineLevel="0" collapsed="false">
      <c r="C988" s="6" t="n">
        <f aca="false">MOD(ROW()-1, 208)</f>
        <v>155</v>
      </c>
      <c r="D988" s="6" t="n">
        <f aca="false">INT((ROW()-1)/208)</f>
        <v>4</v>
      </c>
      <c r="F988" s="6" t="str">
        <f aca="false">MID(VLOOKUP(D988,$P$1:$Q$13,2,0), 1 + C988,1)</f>
        <v>분</v>
      </c>
      <c r="G988" s="6" t="str">
        <f aca="false">DEC2HEX(D988+36, 2)</f>
        <v>28</v>
      </c>
      <c r="H988" s="6" t="str">
        <f aca="false">DEC2HEX(C988+48,2)</f>
        <v>CB</v>
      </c>
      <c r="I988" s="6" t="str">
        <f aca="false">_xlfn.CONCAT("\x", G988, "\x", H988, "=", F988)</f>
        <v>\x28\xCB=분</v>
      </c>
      <c r="M988" s="8"/>
    </row>
    <row r="989" customFormat="false" ht="12.8" hidden="false" customHeight="true" outlineLevel="0" collapsed="false">
      <c r="C989" s="6" t="n">
        <f aca="false">MOD(ROW()-1, 208)</f>
        <v>156</v>
      </c>
      <c r="D989" s="6" t="n">
        <f aca="false">INT((ROW()-1)/208)</f>
        <v>4</v>
      </c>
      <c r="F989" s="6" t="str">
        <f aca="false">MID(VLOOKUP(D989,$P$1:$Q$13,2,0), 1 + C989,1)</f>
        <v>붇</v>
      </c>
      <c r="G989" s="6" t="str">
        <f aca="false">DEC2HEX(D989+36, 2)</f>
        <v>28</v>
      </c>
      <c r="H989" s="6" t="str">
        <f aca="false">DEC2HEX(C989+48,2)</f>
        <v>CC</v>
      </c>
      <c r="I989" s="6" t="str">
        <f aca="false">_xlfn.CONCAT("\x", G989, "\x", H989, "=", F989)</f>
        <v>\x28\xCC=붇</v>
      </c>
      <c r="M989" s="8"/>
    </row>
    <row r="990" customFormat="false" ht="12.8" hidden="false" customHeight="true" outlineLevel="0" collapsed="false">
      <c r="C990" s="6" t="n">
        <f aca="false">MOD(ROW()-1, 208)</f>
        <v>157</v>
      </c>
      <c r="D990" s="6" t="n">
        <f aca="false">INT((ROW()-1)/208)</f>
        <v>4</v>
      </c>
      <c r="F990" s="6" t="str">
        <f aca="false">MID(VLOOKUP(D990,$P$1:$Q$13,2,0), 1 + C990,1)</f>
        <v>불</v>
      </c>
      <c r="G990" s="6" t="str">
        <f aca="false">DEC2HEX(D990+36, 2)</f>
        <v>28</v>
      </c>
      <c r="H990" s="6" t="str">
        <f aca="false">DEC2HEX(C990+48,2)</f>
        <v>CD</v>
      </c>
      <c r="I990" s="6" t="str">
        <f aca="false">_xlfn.CONCAT("\x", G990, "\x", H990, "=", F990)</f>
        <v>\x28\xCD=불</v>
      </c>
      <c r="M990" s="8"/>
    </row>
    <row r="991" customFormat="false" ht="12.8" hidden="false" customHeight="true" outlineLevel="0" collapsed="false">
      <c r="C991" s="6" t="n">
        <f aca="false">MOD(ROW()-1, 208)</f>
        <v>158</v>
      </c>
      <c r="D991" s="6" t="n">
        <f aca="false">INT((ROW()-1)/208)</f>
        <v>4</v>
      </c>
      <c r="F991" s="6" t="str">
        <f aca="false">MID(VLOOKUP(D991,$P$1:$Q$13,2,0), 1 + C991,1)</f>
        <v>붉</v>
      </c>
      <c r="G991" s="6" t="str">
        <f aca="false">DEC2HEX(D991+36, 2)</f>
        <v>28</v>
      </c>
      <c r="H991" s="6" t="str">
        <f aca="false">DEC2HEX(C991+48,2)</f>
        <v>CE</v>
      </c>
      <c r="I991" s="6" t="str">
        <f aca="false">_xlfn.CONCAT("\x", G991, "\x", H991, "=", F991)</f>
        <v>\x28\xCE=붉</v>
      </c>
      <c r="M991" s="8"/>
    </row>
    <row r="992" customFormat="false" ht="12.8" hidden="false" customHeight="true" outlineLevel="0" collapsed="false">
      <c r="C992" s="6" t="n">
        <f aca="false">MOD(ROW()-1, 208)</f>
        <v>159</v>
      </c>
      <c r="D992" s="6" t="n">
        <f aca="false">INT((ROW()-1)/208)</f>
        <v>4</v>
      </c>
      <c r="F992" s="6" t="str">
        <f aca="false">MID(VLOOKUP(D992,$P$1:$Q$13,2,0), 1 + C992,1)</f>
        <v>붊</v>
      </c>
      <c r="G992" s="6" t="str">
        <f aca="false">DEC2HEX(D992+36, 2)</f>
        <v>28</v>
      </c>
      <c r="H992" s="6" t="str">
        <f aca="false">DEC2HEX(C992+48,2)</f>
        <v>CF</v>
      </c>
      <c r="I992" s="6" t="str">
        <f aca="false">_xlfn.CONCAT("\x", G992, "\x", H992, "=", F992)</f>
        <v>\x28\xCF=붊</v>
      </c>
      <c r="M992" s="8"/>
    </row>
    <row r="993" customFormat="false" ht="12.8" hidden="false" customHeight="true" outlineLevel="0" collapsed="false">
      <c r="C993" s="6" t="n">
        <f aca="false">MOD(ROW()-1, 208)</f>
        <v>160</v>
      </c>
      <c r="D993" s="6" t="n">
        <f aca="false">INT((ROW()-1)/208)</f>
        <v>4</v>
      </c>
      <c r="F993" s="6" t="str">
        <f aca="false">MID(VLOOKUP(D993,$P$1:$Q$13,2,0), 1 + C993,1)</f>
        <v>붐</v>
      </c>
      <c r="G993" s="6" t="str">
        <f aca="false">DEC2HEX(D993+36, 2)</f>
        <v>28</v>
      </c>
      <c r="H993" s="6" t="str">
        <f aca="false">DEC2HEX(C993+48,2)</f>
        <v>D0</v>
      </c>
      <c r="I993" s="6" t="str">
        <f aca="false">_xlfn.CONCAT("\x", G993, "\x", H993, "=", F993)</f>
        <v>\x28\xD0=붐</v>
      </c>
      <c r="M993" s="8"/>
    </row>
    <row r="994" customFormat="false" ht="12.8" hidden="false" customHeight="true" outlineLevel="0" collapsed="false">
      <c r="C994" s="6" t="n">
        <f aca="false">MOD(ROW()-1, 208)</f>
        <v>161</v>
      </c>
      <c r="D994" s="6" t="n">
        <f aca="false">INT((ROW()-1)/208)</f>
        <v>4</v>
      </c>
      <c r="F994" s="6" t="str">
        <f aca="false">MID(VLOOKUP(D994,$P$1:$Q$13,2,0), 1 + C994,1)</f>
        <v>붑</v>
      </c>
      <c r="G994" s="6" t="str">
        <f aca="false">DEC2HEX(D994+36, 2)</f>
        <v>28</v>
      </c>
      <c r="H994" s="6" t="str">
        <f aca="false">DEC2HEX(C994+48,2)</f>
        <v>D1</v>
      </c>
      <c r="I994" s="6" t="str">
        <f aca="false">_xlfn.CONCAT("\x", G994, "\x", H994, "=", F994)</f>
        <v>\x28\xD1=붑</v>
      </c>
      <c r="M994" s="8"/>
    </row>
    <row r="995" customFormat="false" ht="12.8" hidden="false" customHeight="true" outlineLevel="0" collapsed="false">
      <c r="C995" s="6" t="n">
        <f aca="false">MOD(ROW()-1, 208)</f>
        <v>162</v>
      </c>
      <c r="D995" s="6" t="n">
        <f aca="false">INT((ROW()-1)/208)</f>
        <v>4</v>
      </c>
      <c r="F995" s="6" t="str">
        <f aca="false">MID(VLOOKUP(D995,$P$1:$Q$13,2,0), 1 + C995,1)</f>
        <v>붓</v>
      </c>
      <c r="G995" s="6" t="str">
        <f aca="false">DEC2HEX(D995+36, 2)</f>
        <v>28</v>
      </c>
      <c r="H995" s="6" t="str">
        <f aca="false">DEC2HEX(C995+48,2)</f>
        <v>D2</v>
      </c>
      <c r="I995" s="6" t="str">
        <f aca="false">_xlfn.CONCAT("\x", G995, "\x", H995, "=", F995)</f>
        <v>\x28\xD2=붓</v>
      </c>
      <c r="M995" s="8"/>
    </row>
    <row r="996" customFormat="false" ht="12.8" hidden="false" customHeight="true" outlineLevel="0" collapsed="false">
      <c r="C996" s="6" t="n">
        <f aca="false">MOD(ROW()-1, 208)</f>
        <v>163</v>
      </c>
      <c r="D996" s="6" t="n">
        <f aca="false">INT((ROW()-1)/208)</f>
        <v>4</v>
      </c>
      <c r="F996" s="6" t="str">
        <f aca="false">MID(VLOOKUP(D996,$P$1:$Q$13,2,0), 1 + C996,1)</f>
        <v>붕</v>
      </c>
      <c r="G996" s="6" t="str">
        <f aca="false">DEC2HEX(D996+36, 2)</f>
        <v>28</v>
      </c>
      <c r="H996" s="6" t="str">
        <f aca="false">DEC2HEX(C996+48,2)</f>
        <v>D3</v>
      </c>
      <c r="I996" s="6" t="str">
        <f aca="false">_xlfn.CONCAT("\x", G996, "\x", H996, "=", F996)</f>
        <v>\x28\xD3=붕</v>
      </c>
      <c r="M996" s="8"/>
    </row>
    <row r="997" customFormat="false" ht="12.8" hidden="false" customHeight="true" outlineLevel="0" collapsed="false">
      <c r="C997" s="6" t="n">
        <f aca="false">MOD(ROW()-1, 208)</f>
        <v>164</v>
      </c>
      <c r="D997" s="6" t="n">
        <f aca="false">INT((ROW()-1)/208)</f>
        <v>4</v>
      </c>
      <c r="F997" s="6" t="str">
        <f aca="false">MID(VLOOKUP(D997,$P$1:$Q$13,2,0), 1 + C997,1)</f>
        <v>붙</v>
      </c>
      <c r="G997" s="6" t="str">
        <f aca="false">DEC2HEX(D997+36, 2)</f>
        <v>28</v>
      </c>
      <c r="H997" s="6" t="str">
        <f aca="false">DEC2HEX(C997+48,2)</f>
        <v>D4</v>
      </c>
      <c r="I997" s="6" t="str">
        <f aca="false">_xlfn.CONCAT("\x", G997, "\x", H997, "=", F997)</f>
        <v>\x28\xD4=붙</v>
      </c>
      <c r="M997" s="8"/>
    </row>
    <row r="998" customFormat="false" ht="12.8" hidden="false" customHeight="true" outlineLevel="0" collapsed="false">
      <c r="C998" s="6" t="n">
        <f aca="false">MOD(ROW()-1, 208)</f>
        <v>165</v>
      </c>
      <c r="D998" s="6" t="n">
        <f aca="false">INT((ROW()-1)/208)</f>
        <v>4</v>
      </c>
      <c r="F998" s="6" t="str">
        <f aca="false">MID(VLOOKUP(D998,$P$1:$Q$13,2,0), 1 + C998,1)</f>
        <v>붚</v>
      </c>
      <c r="G998" s="6" t="str">
        <f aca="false">DEC2HEX(D998+36, 2)</f>
        <v>28</v>
      </c>
      <c r="H998" s="6" t="str">
        <f aca="false">DEC2HEX(C998+48,2)</f>
        <v>D5</v>
      </c>
      <c r="I998" s="6" t="str">
        <f aca="false">_xlfn.CONCAT("\x", G998, "\x", H998, "=", F998)</f>
        <v>\x28\xD5=붚</v>
      </c>
      <c r="M998" s="8"/>
    </row>
    <row r="999" customFormat="false" ht="12.8" hidden="false" customHeight="true" outlineLevel="0" collapsed="false">
      <c r="C999" s="6" t="n">
        <f aca="false">MOD(ROW()-1, 208)</f>
        <v>166</v>
      </c>
      <c r="D999" s="6" t="n">
        <f aca="false">INT((ROW()-1)/208)</f>
        <v>4</v>
      </c>
      <c r="F999" s="6" t="str">
        <f aca="false">MID(VLOOKUP(D999,$P$1:$Q$13,2,0), 1 + C999,1)</f>
        <v>붜</v>
      </c>
      <c r="G999" s="6" t="str">
        <f aca="false">DEC2HEX(D999+36, 2)</f>
        <v>28</v>
      </c>
      <c r="H999" s="6" t="str">
        <f aca="false">DEC2HEX(C999+48,2)</f>
        <v>D6</v>
      </c>
      <c r="I999" s="6" t="str">
        <f aca="false">_xlfn.CONCAT("\x", G999, "\x", H999, "=", F999)</f>
        <v>\x28\xD6=붜</v>
      </c>
      <c r="M999" s="8"/>
    </row>
    <row r="1000" customFormat="false" ht="12.8" hidden="false" customHeight="true" outlineLevel="0" collapsed="false">
      <c r="C1000" s="6" t="n">
        <f aca="false">MOD(ROW()-1, 208)</f>
        <v>167</v>
      </c>
      <c r="D1000" s="6" t="n">
        <f aca="false">INT((ROW()-1)/208)</f>
        <v>4</v>
      </c>
      <c r="F1000" s="6" t="str">
        <f aca="false">MID(VLOOKUP(D1000,$P$1:$Q$13,2,0), 1 + C1000,1)</f>
        <v>붤</v>
      </c>
      <c r="G1000" s="6" t="str">
        <f aca="false">DEC2HEX(D1000+36, 2)</f>
        <v>28</v>
      </c>
      <c r="H1000" s="6" t="str">
        <f aca="false">DEC2HEX(C1000+48,2)</f>
        <v>D7</v>
      </c>
      <c r="I1000" s="6" t="str">
        <f aca="false">_xlfn.CONCAT("\x", G1000, "\x", H1000, "=", F1000)</f>
        <v>\x28\xD7=붤</v>
      </c>
      <c r="M1000" s="8"/>
    </row>
    <row r="1001" customFormat="false" ht="12.8" hidden="false" customHeight="true" outlineLevel="0" collapsed="false">
      <c r="C1001" s="6" t="n">
        <f aca="false">MOD(ROW()-1, 208)</f>
        <v>168</v>
      </c>
      <c r="D1001" s="6" t="n">
        <f aca="false">INT((ROW()-1)/208)</f>
        <v>4</v>
      </c>
      <c r="F1001" s="6" t="str">
        <f aca="false">MID(VLOOKUP(D1001,$P$1:$Q$13,2,0), 1 + C1001,1)</f>
        <v>붰</v>
      </c>
      <c r="G1001" s="6" t="str">
        <f aca="false">DEC2HEX(D1001+36, 2)</f>
        <v>28</v>
      </c>
      <c r="H1001" s="6" t="str">
        <f aca="false">DEC2HEX(C1001+48,2)</f>
        <v>D8</v>
      </c>
      <c r="I1001" s="6" t="str">
        <f aca="false">_xlfn.CONCAT("\x", G1001, "\x", H1001, "=", F1001)</f>
        <v>\x28\xD8=붰</v>
      </c>
      <c r="M1001" s="8"/>
    </row>
    <row r="1002" customFormat="false" ht="12.8" hidden="false" customHeight="true" outlineLevel="0" collapsed="false">
      <c r="C1002" s="6" t="n">
        <f aca="false">MOD(ROW()-1, 208)</f>
        <v>169</v>
      </c>
      <c r="D1002" s="6" t="n">
        <f aca="false">INT((ROW()-1)/208)</f>
        <v>4</v>
      </c>
      <c r="F1002" s="6" t="str">
        <f aca="false">MID(VLOOKUP(D1002,$P$1:$Q$13,2,0), 1 + C1002,1)</f>
        <v>붸</v>
      </c>
      <c r="G1002" s="6" t="str">
        <f aca="false">DEC2HEX(D1002+36, 2)</f>
        <v>28</v>
      </c>
      <c r="H1002" s="6" t="str">
        <f aca="false">DEC2HEX(C1002+48,2)</f>
        <v>D9</v>
      </c>
      <c r="I1002" s="6" t="str">
        <f aca="false">_xlfn.CONCAT("\x", G1002, "\x", H1002, "=", F1002)</f>
        <v>\x28\xD9=붸</v>
      </c>
      <c r="M1002" s="8"/>
    </row>
    <row r="1003" customFormat="false" ht="12.8" hidden="false" customHeight="true" outlineLevel="0" collapsed="false">
      <c r="C1003" s="6" t="n">
        <f aca="false">MOD(ROW()-1, 208)</f>
        <v>170</v>
      </c>
      <c r="D1003" s="6" t="n">
        <f aca="false">INT((ROW()-1)/208)</f>
        <v>4</v>
      </c>
      <c r="F1003" s="6" t="str">
        <f aca="false">MID(VLOOKUP(D1003,$P$1:$Q$13,2,0), 1 + C1003,1)</f>
        <v>뷔</v>
      </c>
      <c r="G1003" s="6" t="str">
        <f aca="false">DEC2HEX(D1003+36, 2)</f>
        <v>28</v>
      </c>
      <c r="H1003" s="6" t="str">
        <f aca="false">DEC2HEX(C1003+48,2)</f>
        <v>DA</v>
      </c>
      <c r="I1003" s="6" t="str">
        <f aca="false">_xlfn.CONCAT("\x", G1003, "\x", H1003, "=", F1003)</f>
        <v>\x28\xDA=뷔</v>
      </c>
      <c r="M1003" s="8"/>
    </row>
    <row r="1004" customFormat="false" ht="12.8" hidden="false" customHeight="true" outlineLevel="0" collapsed="false">
      <c r="C1004" s="6" t="n">
        <f aca="false">MOD(ROW()-1, 208)</f>
        <v>171</v>
      </c>
      <c r="D1004" s="6" t="n">
        <f aca="false">INT((ROW()-1)/208)</f>
        <v>4</v>
      </c>
      <c r="F1004" s="6" t="str">
        <f aca="false">MID(VLOOKUP(D1004,$P$1:$Q$13,2,0), 1 + C1004,1)</f>
        <v>뷕</v>
      </c>
      <c r="G1004" s="6" t="str">
        <f aca="false">DEC2HEX(D1004+36, 2)</f>
        <v>28</v>
      </c>
      <c r="H1004" s="6" t="str">
        <f aca="false">DEC2HEX(C1004+48,2)</f>
        <v>DB</v>
      </c>
      <c r="I1004" s="6" t="str">
        <f aca="false">_xlfn.CONCAT("\x", G1004, "\x", H1004, "=", F1004)</f>
        <v>\x28\xDB=뷕</v>
      </c>
      <c r="M1004" s="8"/>
    </row>
    <row r="1005" customFormat="false" ht="12.8" hidden="false" customHeight="true" outlineLevel="0" collapsed="false">
      <c r="C1005" s="6" t="n">
        <f aca="false">MOD(ROW()-1, 208)</f>
        <v>172</v>
      </c>
      <c r="D1005" s="6" t="n">
        <f aca="false">INT((ROW()-1)/208)</f>
        <v>4</v>
      </c>
      <c r="F1005" s="6" t="str">
        <f aca="false">MID(VLOOKUP(D1005,$P$1:$Q$13,2,0), 1 + C1005,1)</f>
        <v>뷘</v>
      </c>
      <c r="G1005" s="6" t="str">
        <f aca="false">DEC2HEX(D1005+36, 2)</f>
        <v>28</v>
      </c>
      <c r="H1005" s="6" t="str">
        <f aca="false">DEC2HEX(C1005+48,2)</f>
        <v>DC</v>
      </c>
      <c r="I1005" s="6" t="str">
        <f aca="false">_xlfn.CONCAT("\x", G1005, "\x", H1005, "=", F1005)</f>
        <v>\x28\xDC=뷘</v>
      </c>
      <c r="M1005" s="8"/>
    </row>
    <row r="1006" customFormat="false" ht="12.8" hidden="false" customHeight="true" outlineLevel="0" collapsed="false">
      <c r="C1006" s="6" t="n">
        <f aca="false">MOD(ROW()-1, 208)</f>
        <v>173</v>
      </c>
      <c r="D1006" s="6" t="n">
        <f aca="false">INT((ROW()-1)/208)</f>
        <v>4</v>
      </c>
      <c r="F1006" s="6" t="str">
        <f aca="false">MID(VLOOKUP(D1006,$P$1:$Q$13,2,0), 1 + C1006,1)</f>
        <v>뷜</v>
      </c>
      <c r="G1006" s="6" t="str">
        <f aca="false">DEC2HEX(D1006+36, 2)</f>
        <v>28</v>
      </c>
      <c r="H1006" s="6" t="str">
        <f aca="false">DEC2HEX(C1006+48,2)</f>
        <v>DD</v>
      </c>
      <c r="I1006" s="6" t="str">
        <f aca="false">_xlfn.CONCAT("\x", G1006, "\x", H1006, "=", F1006)</f>
        <v>\x28\xDD=뷜</v>
      </c>
      <c r="M1006" s="8"/>
    </row>
    <row r="1007" customFormat="false" ht="12.8" hidden="false" customHeight="true" outlineLevel="0" collapsed="false">
      <c r="C1007" s="6" t="n">
        <f aca="false">MOD(ROW()-1, 208)</f>
        <v>174</v>
      </c>
      <c r="D1007" s="6" t="n">
        <f aca="false">INT((ROW()-1)/208)</f>
        <v>4</v>
      </c>
      <c r="F1007" s="6" t="str">
        <f aca="false">MID(VLOOKUP(D1007,$P$1:$Q$13,2,0), 1 + C1007,1)</f>
        <v>뷩</v>
      </c>
      <c r="G1007" s="6" t="str">
        <f aca="false">DEC2HEX(D1007+36, 2)</f>
        <v>28</v>
      </c>
      <c r="H1007" s="6" t="str">
        <f aca="false">DEC2HEX(C1007+48,2)</f>
        <v>DE</v>
      </c>
      <c r="I1007" s="6" t="str">
        <f aca="false">_xlfn.CONCAT("\x", G1007, "\x", H1007, "=", F1007)</f>
        <v>\x28\xDE=뷩</v>
      </c>
      <c r="M1007" s="8"/>
    </row>
    <row r="1008" customFormat="false" ht="12.8" hidden="false" customHeight="true" outlineLevel="0" collapsed="false">
      <c r="C1008" s="6" t="n">
        <f aca="false">MOD(ROW()-1, 208)</f>
        <v>175</v>
      </c>
      <c r="D1008" s="6" t="n">
        <f aca="false">INT((ROW()-1)/208)</f>
        <v>4</v>
      </c>
      <c r="F1008" s="6" t="str">
        <f aca="false">MID(VLOOKUP(D1008,$P$1:$Q$13,2,0), 1 + C1008,1)</f>
        <v>뷰</v>
      </c>
      <c r="G1008" s="6" t="str">
        <f aca="false">DEC2HEX(D1008+36, 2)</f>
        <v>28</v>
      </c>
      <c r="H1008" s="6" t="str">
        <f aca="false">DEC2HEX(C1008+48,2)</f>
        <v>DF</v>
      </c>
      <c r="I1008" s="6" t="str">
        <f aca="false">_xlfn.CONCAT("\x", G1008, "\x", H1008, "=", F1008)</f>
        <v>\x28\xDF=뷰</v>
      </c>
      <c r="M1008" s="8"/>
    </row>
    <row r="1009" customFormat="false" ht="12.8" hidden="false" customHeight="true" outlineLevel="0" collapsed="false">
      <c r="C1009" s="6" t="n">
        <f aca="false">MOD(ROW()-1, 208)</f>
        <v>176</v>
      </c>
      <c r="D1009" s="6" t="n">
        <f aca="false">INT((ROW()-1)/208)</f>
        <v>4</v>
      </c>
      <c r="F1009" s="6" t="str">
        <f aca="false">MID(VLOOKUP(D1009,$P$1:$Q$13,2,0), 1 + C1009,1)</f>
        <v>뷴</v>
      </c>
      <c r="G1009" s="6" t="str">
        <f aca="false">DEC2HEX(D1009+36, 2)</f>
        <v>28</v>
      </c>
      <c r="H1009" s="6" t="str">
        <f aca="false">DEC2HEX(C1009+48,2)</f>
        <v>E0</v>
      </c>
      <c r="I1009" s="6" t="str">
        <f aca="false">_xlfn.CONCAT("\x", G1009, "\x", H1009, "=", F1009)</f>
        <v>\x28\xE0=뷴</v>
      </c>
      <c r="M1009" s="8"/>
    </row>
    <row r="1010" customFormat="false" ht="12.8" hidden="false" customHeight="true" outlineLevel="0" collapsed="false">
      <c r="C1010" s="6" t="n">
        <f aca="false">MOD(ROW()-1, 208)</f>
        <v>177</v>
      </c>
      <c r="D1010" s="6" t="n">
        <f aca="false">INT((ROW()-1)/208)</f>
        <v>4</v>
      </c>
      <c r="F1010" s="6" t="str">
        <f aca="false">MID(VLOOKUP(D1010,$P$1:$Q$13,2,0), 1 + C1010,1)</f>
        <v>뷸</v>
      </c>
      <c r="G1010" s="6" t="str">
        <f aca="false">DEC2HEX(D1010+36, 2)</f>
        <v>28</v>
      </c>
      <c r="H1010" s="6" t="str">
        <f aca="false">DEC2HEX(C1010+48,2)</f>
        <v>E1</v>
      </c>
      <c r="I1010" s="6" t="str">
        <f aca="false">_xlfn.CONCAT("\x", G1010, "\x", H1010, "=", F1010)</f>
        <v>\x28\xE1=뷸</v>
      </c>
      <c r="M1010" s="8"/>
    </row>
    <row r="1011" customFormat="false" ht="12.8" hidden="false" customHeight="true" outlineLevel="0" collapsed="false">
      <c r="C1011" s="6" t="n">
        <f aca="false">MOD(ROW()-1, 208)</f>
        <v>178</v>
      </c>
      <c r="D1011" s="6" t="n">
        <f aca="false">INT((ROW()-1)/208)</f>
        <v>4</v>
      </c>
      <c r="F1011" s="6" t="str">
        <f aca="false">MID(VLOOKUP(D1011,$P$1:$Q$13,2,0), 1 + C1011,1)</f>
        <v>븀</v>
      </c>
      <c r="G1011" s="6" t="str">
        <f aca="false">DEC2HEX(D1011+36, 2)</f>
        <v>28</v>
      </c>
      <c r="H1011" s="6" t="str">
        <f aca="false">DEC2HEX(C1011+48,2)</f>
        <v>E2</v>
      </c>
      <c r="I1011" s="6" t="str">
        <f aca="false">_xlfn.CONCAT("\x", G1011, "\x", H1011, "=", F1011)</f>
        <v>\x28\xE2=븀</v>
      </c>
      <c r="M1011" s="8"/>
    </row>
    <row r="1012" customFormat="false" ht="12.8" hidden="false" customHeight="true" outlineLevel="0" collapsed="false">
      <c r="C1012" s="6" t="n">
        <f aca="false">MOD(ROW()-1, 208)</f>
        <v>179</v>
      </c>
      <c r="D1012" s="6" t="n">
        <f aca="false">INT((ROW()-1)/208)</f>
        <v>4</v>
      </c>
      <c r="F1012" s="6" t="str">
        <f aca="false">MID(VLOOKUP(D1012,$P$1:$Q$13,2,0), 1 + C1012,1)</f>
        <v>븃</v>
      </c>
      <c r="G1012" s="6" t="str">
        <f aca="false">DEC2HEX(D1012+36, 2)</f>
        <v>28</v>
      </c>
      <c r="H1012" s="6" t="str">
        <f aca="false">DEC2HEX(C1012+48,2)</f>
        <v>E3</v>
      </c>
      <c r="I1012" s="6" t="str">
        <f aca="false">_xlfn.CONCAT("\x", G1012, "\x", H1012, "=", F1012)</f>
        <v>\x28\xE3=븃</v>
      </c>
      <c r="M1012" s="8"/>
    </row>
    <row r="1013" customFormat="false" ht="12.8" hidden="false" customHeight="true" outlineLevel="0" collapsed="false">
      <c r="C1013" s="6" t="n">
        <f aca="false">MOD(ROW()-1, 208)</f>
        <v>180</v>
      </c>
      <c r="D1013" s="6" t="n">
        <f aca="false">INT((ROW()-1)/208)</f>
        <v>4</v>
      </c>
      <c r="F1013" s="6" t="str">
        <f aca="false">MID(VLOOKUP(D1013,$P$1:$Q$13,2,0), 1 + C1013,1)</f>
        <v>븅</v>
      </c>
      <c r="G1013" s="6" t="str">
        <f aca="false">DEC2HEX(D1013+36, 2)</f>
        <v>28</v>
      </c>
      <c r="H1013" s="6" t="str">
        <f aca="false">DEC2HEX(C1013+48,2)</f>
        <v>E4</v>
      </c>
      <c r="I1013" s="6" t="str">
        <f aca="false">_xlfn.CONCAT("\x", G1013, "\x", H1013, "=", F1013)</f>
        <v>\x28\xE4=븅</v>
      </c>
      <c r="M1013" s="8"/>
    </row>
    <row r="1014" customFormat="false" ht="12.8" hidden="false" customHeight="true" outlineLevel="0" collapsed="false">
      <c r="C1014" s="6" t="n">
        <f aca="false">MOD(ROW()-1, 208)</f>
        <v>181</v>
      </c>
      <c r="D1014" s="6" t="n">
        <f aca="false">INT((ROW()-1)/208)</f>
        <v>4</v>
      </c>
      <c r="F1014" s="6" t="str">
        <f aca="false">MID(VLOOKUP(D1014,$P$1:$Q$13,2,0), 1 + C1014,1)</f>
        <v>브</v>
      </c>
      <c r="G1014" s="6" t="str">
        <f aca="false">DEC2HEX(D1014+36, 2)</f>
        <v>28</v>
      </c>
      <c r="H1014" s="6" t="str">
        <f aca="false">DEC2HEX(C1014+48,2)</f>
        <v>E5</v>
      </c>
      <c r="I1014" s="6" t="str">
        <f aca="false">_xlfn.CONCAT("\x", G1014, "\x", H1014, "=", F1014)</f>
        <v>\x28\xE5=브</v>
      </c>
      <c r="M1014" s="8"/>
    </row>
    <row r="1015" customFormat="false" ht="12.8" hidden="false" customHeight="true" outlineLevel="0" collapsed="false">
      <c r="C1015" s="6" t="n">
        <f aca="false">MOD(ROW()-1, 208)</f>
        <v>182</v>
      </c>
      <c r="D1015" s="6" t="n">
        <f aca="false">INT((ROW()-1)/208)</f>
        <v>4</v>
      </c>
      <c r="F1015" s="6" t="str">
        <f aca="false">MID(VLOOKUP(D1015,$P$1:$Q$13,2,0), 1 + C1015,1)</f>
        <v>븍</v>
      </c>
      <c r="G1015" s="6" t="str">
        <f aca="false">DEC2HEX(D1015+36, 2)</f>
        <v>28</v>
      </c>
      <c r="H1015" s="6" t="str">
        <f aca="false">DEC2HEX(C1015+48,2)</f>
        <v>E6</v>
      </c>
      <c r="I1015" s="6" t="str">
        <f aca="false">_xlfn.CONCAT("\x", G1015, "\x", H1015, "=", F1015)</f>
        <v>\x28\xE6=븍</v>
      </c>
      <c r="M1015" s="8"/>
    </row>
    <row r="1016" customFormat="false" ht="12.8" hidden="false" customHeight="true" outlineLevel="0" collapsed="false">
      <c r="C1016" s="6" t="n">
        <f aca="false">MOD(ROW()-1, 208)</f>
        <v>183</v>
      </c>
      <c r="D1016" s="6" t="n">
        <f aca="false">INT((ROW()-1)/208)</f>
        <v>4</v>
      </c>
      <c r="F1016" s="6" t="str">
        <f aca="false">MID(VLOOKUP(D1016,$P$1:$Q$13,2,0), 1 + C1016,1)</f>
        <v>븐</v>
      </c>
      <c r="G1016" s="6" t="str">
        <f aca="false">DEC2HEX(D1016+36, 2)</f>
        <v>28</v>
      </c>
      <c r="H1016" s="6" t="str">
        <f aca="false">DEC2HEX(C1016+48,2)</f>
        <v>E7</v>
      </c>
      <c r="I1016" s="6" t="str">
        <f aca="false">_xlfn.CONCAT("\x", G1016, "\x", H1016, "=", F1016)</f>
        <v>\x28\xE7=븐</v>
      </c>
      <c r="M1016" s="8"/>
    </row>
    <row r="1017" customFormat="false" ht="12.8" hidden="false" customHeight="true" outlineLevel="0" collapsed="false">
      <c r="C1017" s="6" t="n">
        <f aca="false">MOD(ROW()-1, 208)</f>
        <v>184</v>
      </c>
      <c r="D1017" s="6" t="n">
        <f aca="false">INT((ROW()-1)/208)</f>
        <v>4</v>
      </c>
      <c r="F1017" s="6" t="str">
        <f aca="false">MID(VLOOKUP(D1017,$P$1:$Q$13,2,0), 1 + C1017,1)</f>
        <v>블</v>
      </c>
      <c r="G1017" s="6" t="str">
        <f aca="false">DEC2HEX(D1017+36, 2)</f>
        <v>28</v>
      </c>
      <c r="H1017" s="6" t="str">
        <f aca="false">DEC2HEX(C1017+48,2)</f>
        <v>E8</v>
      </c>
      <c r="I1017" s="6" t="str">
        <f aca="false">_xlfn.CONCAT("\x", G1017, "\x", H1017, "=", F1017)</f>
        <v>\x28\xE8=블</v>
      </c>
      <c r="M1017" s="8"/>
    </row>
    <row r="1018" customFormat="false" ht="12.8" hidden="false" customHeight="true" outlineLevel="0" collapsed="false">
      <c r="C1018" s="6" t="n">
        <f aca="false">MOD(ROW()-1, 208)</f>
        <v>185</v>
      </c>
      <c r="D1018" s="6" t="n">
        <f aca="false">INT((ROW()-1)/208)</f>
        <v>4</v>
      </c>
      <c r="F1018" s="6" t="str">
        <f aca="false">MID(VLOOKUP(D1018,$P$1:$Q$13,2,0), 1 + C1018,1)</f>
        <v>븜</v>
      </c>
      <c r="G1018" s="6" t="str">
        <f aca="false">DEC2HEX(D1018+36, 2)</f>
        <v>28</v>
      </c>
      <c r="H1018" s="6" t="str">
        <f aca="false">DEC2HEX(C1018+48,2)</f>
        <v>E9</v>
      </c>
      <c r="I1018" s="6" t="str">
        <f aca="false">_xlfn.CONCAT("\x", G1018, "\x", H1018, "=", F1018)</f>
        <v>\x28\xE9=븜</v>
      </c>
      <c r="M1018" s="8"/>
    </row>
    <row r="1019" customFormat="false" ht="12.8" hidden="false" customHeight="true" outlineLevel="0" collapsed="false">
      <c r="C1019" s="6" t="n">
        <f aca="false">MOD(ROW()-1, 208)</f>
        <v>186</v>
      </c>
      <c r="D1019" s="6" t="n">
        <f aca="false">INT((ROW()-1)/208)</f>
        <v>4</v>
      </c>
      <c r="F1019" s="6" t="str">
        <f aca="false">MID(VLOOKUP(D1019,$P$1:$Q$13,2,0), 1 + C1019,1)</f>
        <v>븝</v>
      </c>
      <c r="G1019" s="6" t="str">
        <f aca="false">DEC2HEX(D1019+36, 2)</f>
        <v>28</v>
      </c>
      <c r="H1019" s="6" t="str">
        <f aca="false">DEC2HEX(C1019+48,2)</f>
        <v>EA</v>
      </c>
      <c r="I1019" s="6" t="str">
        <f aca="false">_xlfn.CONCAT("\x", G1019, "\x", H1019, "=", F1019)</f>
        <v>\x28\xEA=븝</v>
      </c>
      <c r="M1019" s="8"/>
    </row>
    <row r="1020" customFormat="false" ht="12.8" hidden="false" customHeight="true" outlineLevel="0" collapsed="false">
      <c r="C1020" s="6" t="n">
        <f aca="false">MOD(ROW()-1, 208)</f>
        <v>187</v>
      </c>
      <c r="D1020" s="6" t="n">
        <f aca="false">INT((ROW()-1)/208)</f>
        <v>4</v>
      </c>
      <c r="F1020" s="6" t="str">
        <f aca="false">MID(VLOOKUP(D1020,$P$1:$Q$13,2,0), 1 + C1020,1)</f>
        <v>븟</v>
      </c>
      <c r="G1020" s="6" t="str">
        <f aca="false">DEC2HEX(D1020+36, 2)</f>
        <v>28</v>
      </c>
      <c r="H1020" s="6" t="str">
        <f aca="false">DEC2HEX(C1020+48,2)</f>
        <v>EB</v>
      </c>
      <c r="I1020" s="6" t="str">
        <f aca="false">_xlfn.CONCAT("\x", G1020, "\x", H1020, "=", F1020)</f>
        <v>\x28\xEB=븟</v>
      </c>
      <c r="M1020" s="8"/>
    </row>
    <row r="1021" customFormat="false" ht="12.8" hidden="false" customHeight="true" outlineLevel="0" collapsed="false">
      <c r="C1021" s="6" t="n">
        <f aca="false">MOD(ROW()-1, 208)</f>
        <v>188</v>
      </c>
      <c r="D1021" s="6" t="n">
        <f aca="false">INT((ROW()-1)/208)</f>
        <v>4</v>
      </c>
      <c r="F1021" s="6" t="str">
        <f aca="false">MID(VLOOKUP(D1021,$P$1:$Q$13,2,0), 1 + C1021,1)</f>
        <v>비</v>
      </c>
      <c r="G1021" s="6" t="str">
        <f aca="false">DEC2HEX(D1021+36, 2)</f>
        <v>28</v>
      </c>
      <c r="H1021" s="6" t="str">
        <f aca="false">DEC2HEX(C1021+48,2)</f>
        <v>EC</v>
      </c>
      <c r="I1021" s="6" t="str">
        <f aca="false">_xlfn.CONCAT("\x", G1021, "\x", H1021, "=", F1021)</f>
        <v>\x28\xEC=비</v>
      </c>
      <c r="M1021" s="8"/>
    </row>
    <row r="1022" customFormat="false" ht="12.8" hidden="false" customHeight="true" outlineLevel="0" collapsed="false">
      <c r="C1022" s="6" t="n">
        <f aca="false">MOD(ROW()-1, 208)</f>
        <v>189</v>
      </c>
      <c r="D1022" s="6" t="n">
        <f aca="false">INT((ROW()-1)/208)</f>
        <v>4</v>
      </c>
      <c r="F1022" s="6" t="str">
        <f aca="false">MID(VLOOKUP(D1022,$P$1:$Q$13,2,0), 1 + C1022,1)</f>
        <v>빅</v>
      </c>
      <c r="G1022" s="6" t="str">
        <f aca="false">DEC2HEX(D1022+36, 2)</f>
        <v>28</v>
      </c>
      <c r="H1022" s="6" t="str">
        <f aca="false">DEC2HEX(C1022+48,2)</f>
        <v>ED</v>
      </c>
      <c r="I1022" s="6" t="str">
        <f aca="false">_xlfn.CONCAT("\x", G1022, "\x", H1022, "=", F1022)</f>
        <v>\x28\xED=빅</v>
      </c>
      <c r="M1022" s="8"/>
    </row>
    <row r="1023" customFormat="false" ht="12.8" hidden="false" customHeight="true" outlineLevel="0" collapsed="false">
      <c r="C1023" s="6" t="n">
        <f aca="false">MOD(ROW()-1, 208)</f>
        <v>190</v>
      </c>
      <c r="D1023" s="6" t="n">
        <f aca="false">INT((ROW()-1)/208)</f>
        <v>4</v>
      </c>
      <c r="F1023" s="6" t="str">
        <f aca="false">MID(VLOOKUP(D1023,$P$1:$Q$13,2,0), 1 + C1023,1)</f>
        <v>빈</v>
      </c>
      <c r="G1023" s="6" t="str">
        <f aca="false">DEC2HEX(D1023+36, 2)</f>
        <v>28</v>
      </c>
      <c r="H1023" s="6" t="str">
        <f aca="false">DEC2HEX(C1023+48,2)</f>
        <v>EE</v>
      </c>
      <c r="I1023" s="6" t="str">
        <f aca="false">_xlfn.CONCAT("\x", G1023, "\x", H1023, "=", F1023)</f>
        <v>\x28\xEE=빈</v>
      </c>
      <c r="M1023" s="8"/>
    </row>
    <row r="1024" customFormat="false" ht="12.8" hidden="false" customHeight="true" outlineLevel="0" collapsed="false">
      <c r="C1024" s="6" t="n">
        <f aca="false">MOD(ROW()-1, 208)</f>
        <v>191</v>
      </c>
      <c r="D1024" s="6" t="n">
        <f aca="false">INT((ROW()-1)/208)</f>
        <v>4</v>
      </c>
      <c r="F1024" s="6" t="str">
        <f aca="false">MID(VLOOKUP(D1024,$P$1:$Q$13,2,0), 1 + C1024,1)</f>
        <v>빌</v>
      </c>
      <c r="G1024" s="6" t="str">
        <f aca="false">DEC2HEX(D1024+36, 2)</f>
        <v>28</v>
      </c>
      <c r="H1024" s="6" t="str">
        <f aca="false">DEC2HEX(C1024+48,2)</f>
        <v>EF</v>
      </c>
      <c r="I1024" s="6" t="str">
        <f aca="false">_xlfn.CONCAT("\x", G1024, "\x", H1024, "=", F1024)</f>
        <v>\x28\xEF=빌</v>
      </c>
      <c r="M1024" s="8"/>
    </row>
    <row r="1025" customFormat="false" ht="12.8" hidden="false" customHeight="true" outlineLevel="0" collapsed="false">
      <c r="C1025" s="6" t="n">
        <f aca="false">MOD(ROW()-1, 208)</f>
        <v>192</v>
      </c>
      <c r="D1025" s="6" t="n">
        <f aca="false">INT((ROW()-1)/208)</f>
        <v>4</v>
      </c>
      <c r="F1025" s="6" t="str">
        <f aca="false">MID(VLOOKUP(D1025,$P$1:$Q$13,2,0), 1 + C1025,1)</f>
        <v>빎</v>
      </c>
      <c r="G1025" s="6" t="str">
        <f aca="false">DEC2HEX(D1025+36, 2)</f>
        <v>28</v>
      </c>
      <c r="H1025" s="6" t="str">
        <f aca="false">DEC2HEX(C1025+48,2)</f>
        <v>F0</v>
      </c>
      <c r="I1025" s="6" t="str">
        <f aca="false">_xlfn.CONCAT("\x", G1025, "\x", H1025, "=", F1025)</f>
        <v>\x28\xF0=빎</v>
      </c>
      <c r="M1025" s="8"/>
    </row>
    <row r="1026" customFormat="false" ht="12.8" hidden="false" customHeight="true" outlineLevel="0" collapsed="false">
      <c r="C1026" s="6" t="n">
        <f aca="false">MOD(ROW()-1, 208)</f>
        <v>193</v>
      </c>
      <c r="D1026" s="6" t="n">
        <f aca="false">INT((ROW()-1)/208)</f>
        <v>4</v>
      </c>
      <c r="F1026" s="6" t="str">
        <f aca="false">MID(VLOOKUP(D1026,$P$1:$Q$13,2,0), 1 + C1026,1)</f>
        <v>빔</v>
      </c>
      <c r="G1026" s="6" t="str">
        <f aca="false">DEC2HEX(D1026+36, 2)</f>
        <v>28</v>
      </c>
      <c r="H1026" s="6" t="str">
        <f aca="false">DEC2HEX(C1026+48,2)</f>
        <v>F1</v>
      </c>
      <c r="I1026" s="6" t="str">
        <f aca="false">_xlfn.CONCAT("\x", G1026, "\x", H1026, "=", F1026)</f>
        <v>\x28\xF1=빔</v>
      </c>
      <c r="M1026" s="8"/>
    </row>
    <row r="1027" customFormat="false" ht="12.8" hidden="false" customHeight="true" outlineLevel="0" collapsed="false">
      <c r="C1027" s="6" t="n">
        <f aca="false">MOD(ROW()-1, 208)</f>
        <v>194</v>
      </c>
      <c r="D1027" s="6" t="n">
        <f aca="false">INT((ROW()-1)/208)</f>
        <v>4</v>
      </c>
      <c r="F1027" s="6" t="str">
        <f aca="false">MID(VLOOKUP(D1027,$P$1:$Q$13,2,0), 1 + C1027,1)</f>
        <v>빕</v>
      </c>
      <c r="G1027" s="6" t="str">
        <f aca="false">DEC2HEX(D1027+36, 2)</f>
        <v>28</v>
      </c>
      <c r="H1027" s="6" t="str">
        <f aca="false">DEC2HEX(C1027+48,2)</f>
        <v>F2</v>
      </c>
      <c r="I1027" s="6" t="str">
        <f aca="false">_xlfn.CONCAT("\x", G1027, "\x", H1027, "=", F1027)</f>
        <v>\x28\xF2=빕</v>
      </c>
      <c r="M1027" s="8"/>
    </row>
    <row r="1028" customFormat="false" ht="12.8" hidden="false" customHeight="true" outlineLevel="0" collapsed="false">
      <c r="C1028" s="6" t="n">
        <f aca="false">MOD(ROW()-1, 208)</f>
        <v>195</v>
      </c>
      <c r="D1028" s="6" t="n">
        <f aca="false">INT((ROW()-1)/208)</f>
        <v>4</v>
      </c>
      <c r="F1028" s="6" t="str">
        <f aca="false">MID(VLOOKUP(D1028,$P$1:$Q$13,2,0), 1 + C1028,1)</f>
        <v>빗</v>
      </c>
      <c r="G1028" s="6" t="str">
        <f aca="false">DEC2HEX(D1028+36, 2)</f>
        <v>28</v>
      </c>
      <c r="H1028" s="6" t="str">
        <f aca="false">DEC2HEX(C1028+48,2)</f>
        <v>F3</v>
      </c>
      <c r="I1028" s="6" t="str">
        <f aca="false">_xlfn.CONCAT("\x", G1028, "\x", H1028, "=", F1028)</f>
        <v>\x28\xF3=빗</v>
      </c>
      <c r="M1028" s="8"/>
    </row>
    <row r="1029" customFormat="false" ht="12.8" hidden="false" customHeight="true" outlineLevel="0" collapsed="false">
      <c r="C1029" s="6" t="n">
        <f aca="false">MOD(ROW()-1, 208)</f>
        <v>196</v>
      </c>
      <c r="D1029" s="6" t="n">
        <f aca="false">INT((ROW()-1)/208)</f>
        <v>4</v>
      </c>
      <c r="F1029" s="6" t="str">
        <f aca="false">MID(VLOOKUP(D1029,$P$1:$Q$13,2,0), 1 + C1029,1)</f>
        <v>빙</v>
      </c>
      <c r="G1029" s="6" t="str">
        <f aca="false">DEC2HEX(D1029+36, 2)</f>
        <v>28</v>
      </c>
      <c r="H1029" s="6" t="str">
        <f aca="false">DEC2HEX(C1029+48,2)</f>
        <v>F4</v>
      </c>
      <c r="I1029" s="6" t="str">
        <f aca="false">_xlfn.CONCAT("\x", G1029, "\x", H1029, "=", F1029)</f>
        <v>\x28\xF4=빙</v>
      </c>
      <c r="M1029" s="8"/>
    </row>
    <row r="1030" customFormat="false" ht="12.8" hidden="false" customHeight="true" outlineLevel="0" collapsed="false">
      <c r="C1030" s="6" t="n">
        <f aca="false">MOD(ROW()-1, 208)</f>
        <v>197</v>
      </c>
      <c r="D1030" s="6" t="n">
        <f aca="false">INT((ROW()-1)/208)</f>
        <v>4</v>
      </c>
      <c r="F1030" s="6" t="str">
        <f aca="false">MID(VLOOKUP(D1030,$P$1:$Q$13,2,0), 1 + C1030,1)</f>
        <v>빚</v>
      </c>
      <c r="G1030" s="6" t="str">
        <f aca="false">DEC2HEX(D1030+36, 2)</f>
        <v>28</v>
      </c>
      <c r="H1030" s="6" t="str">
        <f aca="false">DEC2HEX(C1030+48,2)</f>
        <v>F5</v>
      </c>
      <c r="I1030" s="6" t="str">
        <f aca="false">_xlfn.CONCAT("\x", G1030, "\x", H1030, "=", F1030)</f>
        <v>\x28\xF5=빚</v>
      </c>
      <c r="M1030" s="8"/>
    </row>
    <row r="1031" customFormat="false" ht="12.8" hidden="false" customHeight="true" outlineLevel="0" collapsed="false">
      <c r="C1031" s="6" t="n">
        <f aca="false">MOD(ROW()-1, 208)</f>
        <v>198</v>
      </c>
      <c r="D1031" s="6" t="n">
        <f aca="false">INT((ROW()-1)/208)</f>
        <v>4</v>
      </c>
      <c r="F1031" s="6" t="str">
        <f aca="false">MID(VLOOKUP(D1031,$P$1:$Q$13,2,0), 1 + C1031,1)</f>
        <v>빛</v>
      </c>
      <c r="G1031" s="6" t="str">
        <f aca="false">DEC2HEX(D1031+36, 2)</f>
        <v>28</v>
      </c>
      <c r="H1031" s="6" t="str">
        <f aca="false">DEC2HEX(C1031+48,2)</f>
        <v>F6</v>
      </c>
      <c r="I1031" s="6" t="str">
        <f aca="false">_xlfn.CONCAT("\x", G1031, "\x", H1031, "=", F1031)</f>
        <v>\x28\xF6=빛</v>
      </c>
      <c r="M1031" s="8"/>
    </row>
    <row r="1032" customFormat="false" ht="12.8" hidden="false" customHeight="true" outlineLevel="0" collapsed="false">
      <c r="C1032" s="6" t="n">
        <f aca="false">MOD(ROW()-1, 208)</f>
        <v>199</v>
      </c>
      <c r="D1032" s="6" t="n">
        <f aca="false">INT((ROW()-1)/208)</f>
        <v>4</v>
      </c>
      <c r="F1032" s="6" t="str">
        <f aca="false">MID(VLOOKUP(D1032,$P$1:$Q$13,2,0), 1 + C1032,1)</f>
        <v>빠</v>
      </c>
      <c r="G1032" s="6" t="str">
        <f aca="false">DEC2HEX(D1032+36, 2)</f>
        <v>28</v>
      </c>
      <c r="H1032" s="6" t="str">
        <f aca="false">DEC2HEX(C1032+48,2)</f>
        <v>F7</v>
      </c>
      <c r="I1032" s="6" t="str">
        <f aca="false">_xlfn.CONCAT("\x", G1032, "\x", H1032, "=", F1032)</f>
        <v>\x28\xF7=빠</v>
      </c>
      <c r="M1032" s="8"/>
    </row>
    <row r="1033" customFormat="false" ht="12.8" hidden="false" customHeight="true" outlineLevel="0" collapsed="false">
      <c r="C1033" s="6" t="n">
        <f aca="false">MOD(ROW()-1, 208)</f>
        <v>200</v>
      </c>
      <c r="D1033" s="6" t="n">
        <f aca="false">INT((ROW()-1)/208)</f>
        <v>4</v>
      </c>
      <c r="F1033" s="6" t="str">
        <f aca="false">MID(VLOOKUP(D1033,$P$1:$Q$13,2,0), 1 + C1033,1)</f>
        <v>빡</v>
      </c>
      <c r="G1033" s="6" t="str">
        <f aca="false">DEC2HEX(D1033+36, 2)</f>
        <v>28</v>
      </c>
      <c r="H1033" s="6" t="str">
        <f aca="false">DEC2HEX(C1033+48,2)</f>
        <v>F8</v>
      </c>
      <c r="I1033" s="6" t="str">
        <f aca="false">_xlfn.CONCAT("\x", G1033, "\x", H1033, "=", F1033)</f>
        <v>\x28\xF8=빡</v>
      </c>
      <c r="M1033" s="8"/>
    </row>
    <row r="1034" customFormat="false" ht="12.8" hidden="false" customHeight="true" outlineLevel="0" collapsed="false">
      <c r="C1034" s="6" t="n">
        <f aca="false">MOD(ROW()-1, 208)</f>
        <v>201</v>
      </c>
      <c r="D1034" s="6" t="n">
        <f aca="false">INT((ROW()-1)/208)</f>
        <v>4</v>
      </c>
      <c r="F1034" s="6" t="str">
        <f aca="false">MID(VLOOKUP(D1034,$P$1:$Q$13,2,0), 1 + C1034,1)</f>
        <v>빤</v>
      </c>
      <c r="G1034" s="6" t="str">
        <f aca="false">DEC2HEX(D1034+36, 2)</f>
        <v>28</v>
      </c>
      <c r="H1034" s="6" t="str">
        <f aca="false">DEC2HEX(C1034+48,2)</f>
        <v>F9</v>
      </c>
      <c r="I1034" s="6" t="str">
        <f aca="false">_xlfn.CONCAT("\x", G1034, "\x", H1034, "=", F1034)</f>
        <v>\x28\xF9=빤</v>
      </c>
      <c r="M1034" s="8"/>
    </row>
    <row r="1035" customFormat="false" ht="12.8" hidden="false" customHeight="true" outlineLevel="0" collapsed="false">
      <c r="C1035" s="6" t="n">
        <f aca="false">MOD(ROW()-1, 208)</f>
        <v>202</v>
      </c>
      <c r="D1035" s="6" t="n">
        <f aca="false">INT((ROW()-1)/208)</f>
        <v>4</v>
      </c>
      <c r="F1035" s="6" t="str">
        <f aca="false">MID(VLOOKUP(D1035,$P$1:$Q$13,2,0), 1 + C1035,1)</f>
        <v>빨</v>
      </c>
      <c r="G1035" s="6" t="str">
        <f aca="false">DEC2HEX(D1035+36, 2)</f>
        <v>28</v>
      </c>
      <c r="H1035" s="6" t="str">
        <f aca="false">DEC2HEX(C1035+48,2)</f>
        <v>FA</v>
      </c>
      <c r="I1035" s="6" t="str">
        <f aca="false">_xlfn.CONCAT("\x", G1035, "\x", H1035, "=", F1035)</f>
        <v>\x28\xFA=빨</v>
      </c>
      <c r="M1035" s="8"/>
    </row>
    <row r="1036" customFormat="false" ht="12.8" hidden="false" customHeight="true" outlineLevel="0" collapsed="false">
      <c r="C1036" s="6" t="n">
        <f aca="false">MOD(ROW()-1, 208)</f>
        <v>203</v>
      </c>
      <c r="D1036" s="6" t="n">
        <f aca="false">INT((ROW()-1)/208)</f>
        <v>4</v>
      </c>
      <c r="F1036" s="6" t="str">
        <f aca="false">MID(VLOOKUP(D1036,$P$1:$Q$13,2,0), 1 + C1036,1)</f>
        <v>빪</v>
      </c>
      <c r="G1036" s="6" t="str">
        <f aca="false">DEC2HEX(D1036+36, 2)</f>
        <v>28</v>
      </c>
      <c r="H1036" s="6" t="str">
        <f aca="false">DEC2HEX(C1036+48,2)</f>
        <v>FB</v>
      </c>
      <c r="I1036" s="6" t="str">
        <f aca="false">_xlfn.CONCAT("\x", G1036, "\x", H1036, "=", F1036)</f>
        <v>\x28\xFB=빪</v>
      </c>
      <c r="M1036" s="8"/>
    </row>
    <row r="1037" customFormat="false" ht="12.8" hidden="false" customHeight="true" outlineLevel="0" collapsed="false">
      <c r="C1037" s="6" t="n">
        <f aca="false">MOD(ROW()-1, 208)</f>
        <v>204</v>
      </c>
      <c r="D1037" s="6" t="n">
        <f aca="false">INT((ROW()-1)/208)</f>
        <v>4</v>
      </c>
      <c r="F1037" s="6" t="str">
        <f aca="false">MID(VLOOKUP(D1037,$P$1:$Q$13,2,0), 1 + C1037,1)</f>
        <v>빰</v>
      </c>
      <c r="G1037" s="6" t="str">
        <f aca="false">DEC2HEX(D1037+36, 2)</f>
        <v>28</v>
      </c>
      <c r="H1037" s="6" t="str">
        <f aca="false">DEC2HEX(C1037+48,2)</f>
        <v>FC</v>
      </c>
      <c r="I1037" s="6" t="str">
        <f aca="false">_xlfn.CONCAT("\x", G1037, "\x", H1037, "=", F1037)</f>
        <v>\x28\xFC=빰</v>
      </c>
      <c r="M1037" s="8"/>
    </row>
    <row r="1038" customFormat="false" ht="12.8" hidden="false" customHeight="true" outlineLevel="0" collapsed="false">
      <c r="C1038" s="6" t="n">
        <f aca="false">MOD(ROW()-1, 208)</f>
        <v>205</v>
      </c>
      <c r="D1038" s="6" t="n">
        <f aca="false">INT((ROW()-1)/208)</f>
        <v>4</v>
      </c>
      <c r="F1038" s="6" t="str">
        <f aca="false">MID(VLOOKUP(D1038,$P$1:$Q$13,2,0), 1 + C1038,1)</f>
        <v>빱</v>
      </c>
      <c r="G1038" s="6" t="str">
        <f aca="false">DEC2HEX(D1038+36, 2)</f>
        <v>28</v>
      </c>
      <c r="H1038" s="6" t="str">
        <f aca="false">DEC2HEX(C1038+48,2)</f>
        <v>FD</v>
      </c>
      <c r="I1038" s="6" t="str">
        <f aca="false">_xlfn.CONCAT("\x", G1038, "\x", H1038, "=", F1038)</f>
        <v>\x28\xFD=빱</v>
      </c>
      <c r="M1038" s="8"/>
    </row>
    <row r="1039" customFormat="false" ht="12.8" hidden="false" customHeight="true" outlineLevel="0" collapsed="false">
      <c r="C1039" s="6" t="n">
        <f aca="false">MOD(ROW()-1, 208)</f>
        <v>206</v>
      </c>
      <c r="D1039" s="6" t="n">
        <f aca="false">INT((ROW()-1)/208)</f>
        <v>4</v>
      </c>
      <c r="F1039" s="6" t="str">
        <f aca="false">MID(VLOOKUP(D1039,$P$1:$Q$13,2,0), 1 + C1039,1)</f>
        <v>빳</v>
      </c>
      <c r="G1039" s="6" t="str">
        <f aca="false">DEC2HEX(D1039+36, 2)</f>
        <v>28</v>
      </c>
      <c r="H1039" s="6" t="str">
        <f aca="false">DEC2HEX(C1039+48,2)</f>
        <v>FE</v>
      </c>
      <c r="I1039" s="6" t="str">
        <f aca="false">_xlfn.CONCAT("\x", G1039, "\x", H1039, "=", F1039)</f>
        <v>\x28\xFE=빳</v>
      </c>
      <c r="M1039" s="8"/>
    </row>
    <row r="1040" customFormat="false" ht="12.8" hidden="false" customHeight="true" outlineLevel="0" collapsed="false">
      <c r="C1040" s="6" t="n">
        <f aca="false">MOD(ROW()-1, 208)</f>
        <v>207</v>
      </c>
      <c r="D1040" s="6" t="n">
        <f aca="false">INT((ROW()-1)/208)</f>
        <v>4</v>
      </c>
      <c r="F1040" s="6" t="str">
        <f aca="false">MID(VLOOKUP(D1040,$P$1:$Q$13,2,0), 1 + C1040,1)</f>
        <v>빴</v>
      </c>
      <c r="G1040" s="6" t="str">
        <f aca="false">DEC2HEX(D1040+36, 2)</f>
        <v>28</v>
      </c>
      <c r="H1040" s="6" t="str">
        <f aca="false">DEC2HEX(C1040+48,2)</f>
        <v>FF</v>
      </c>
      <c r="I1040" s="6" t="str">
        <f aca="false">_xlfn.CONCAT("\x", G1040, "\x", H1040, "=", F1040)</f>
        <v>\x28\xFF=빴</v>
      </c>
      <c r="M1040" s="8"/>
    </row>
    <row r="1041" customFormat="false" ht="12.8" hidden="false" customHeight="true" outlineLevel="0" collapsed="false">
      <c r="C1041" s="6" t="n">
        <f aca="false">MOD(ROW()-1, 208)</f>
        <v>0</v>
      </c>
      <c r="D1041" s="6" t="n">
        <f aca="false">INT((ROW()-1)/208)</f>
        <v>5</v>
      </c>
      <c r="F1041" s="6" t="str">
        <f aca="false">MID(VLOOKUP(D1041,$P$1:$Q$13,2,0), 1 + C1041,1)</f>
        <v>빵</v>
      </c>
      <c r="G1041" s="6" t="str">
        <f aca="false">DEC2HEX(D1041+36, 2)</f>
        <v>29</v>
      </c>
      <c r="H1041" s="6" t="str">
        <f aca="false">DEC2HEX(C1041+48,2)</f>
        <v>30</v>
      </c>
      <c r="I1041" s="6" t="str">
        <f aca="false">_xlfn.CONCAT("\x", G1041, "\x", H1041, "=", F1041)</f>
        <v>\x29\x30=빵</v>
      </c>
      <c r="M1041" s="8"/>
    </row>
    <row r="1042" customFormat="false" ht="12.8" hidden="false" customHeight="true" outlineLevel="0" collapsed="false">
      <c r="C1042" s="6" t="n">
        <f aca="false">MOD(ROW()-1, 208)</f>
        <v>1</v>
      </c>
      <c r="D1042" s="6" t="n">
        <f aca="false">INT((ROW()-1)/208)</f>
        <v>5</v>
      </c>
      <c r="F1042" s="6" t="str">
        <f aca="false">MID(VLOOKUP(D1042,$P$1:$Q$13,2,0), 1 + C1042,1)</f>
        <v>빻</v>
      </c>
      <c r="G1042" s="6" t="str">
        <f aca="false">DEC2HEX(D1042+36, 2)</f>
        <v>29</v>
      </c>
      <c r="H1042" s="6" t="str">
        <f aca="false">DEC2HEX(C1042+48,2)</f>
        <v>31</v>
      </c>
      <c r="I1042" s="6" t="str">
        <f aca="false">_xlfn.CONCAT("\x", G1042, "\x", H1042, "=", F1042)</f>
        <v>\x29\x31=빻</v>
      </c>
      <c r="M1042" s="8"/>
    </row>
    <row r="1043" customFormat="false" ht="12.8" hidden="false" customHeight="true" outlineLevel="0" collapsed="false">
      <c r="C1043" s="6" t="n">
        <f aca="false">MOD(ROW()-1, 208)</f>
        <v>2</v>
      </c>
      <c r="D1043" s="6" t="n">
        <f aca="false">INT((ROW()-1)/208)</f>
        <v>5</v>
      </c>
      <c r="F1043" s="6" t="str">
        <f aca="false">MID(VLOOKUP(D1043,$P$1:$Q$13,2,0), 1 + C1043,1)</f>
        <v>빼</v>
      </c>
      <c r="G1043" s="6" t="str">
        <f aca="false">DEC2HEX(D1043+36, 2)</f>
        <v>29</v>
      </c>
      <c r="H1043" s="6" t="str">
        <f aca="false">DEC2HEX(C1043+48,2)</f>
        <v>32</v>
      </c>
      <c r="I1043" s="6" t="str">
        <f aca="false">_xlfn.CONCAT("\x", G1043, "\x", H1043, "=", F1043)</f>
        <v>\x29\x32=빼</v>
      </c>
      <c r="M1043" s="8"/>
    </row>
    <row r="1044" customFormat="false" ht="12.8" hidden="false" customHeight="true" outlineLevel="0" collapsed="false">
      <c r="C1044" s="6" t="n">
        <f aca="false">MOD(ROW()-1, 208)</f>
        <v>3</v>
      </c>
      <c r="D1044" s="6" t="n">
        <f aca="false">INT((ROW()-1)/208)</f>
        <v>5</v>
      </c>
      <c r="F1044" s="6" t="str">
        <f aca="false">MID(VLOOKUP(D1044,$P$1:$Q$13,2,0), 1 + C1044,1)</f>
        <v>빽</v>
      </c>
      <c r="G1044" s="6" t="str">
        <f aca="false">DEC2HEX(D1044+36, 2)</f>
        <v>29</v>
      </c>
      <c r="H1044" s="6" t="str">
        <f aca="false">DEC2HEX(C1044+48,2)</f>
        <v>33</v>
      </c>
      <c r="I1044" s="6" t="str">
        <f aca="false">_xlfn.CONCAT("\x", G1044, "\x", H1044, "=", F1044)</f>
        <v>\x29\x33=빽</v>
      </c>
      <c r="M1044" s="8"/>
    </row>
    <row r="1045" customFormat="false" ht="12.8" hidden="false" customHeight="true" outlineLevel="0" collapsed="false">
      <c r="C1045" s="6" t="n">
        <f aca="false">MOD(ROW()-1, 208)</f>
        <v>4</v>
      </c>
      <c r="D1045" s="6" t="n">
        <f aca="false">INT((ROW()-1)/208)</f>
        <v>5</v>
      </c>
      <c r="F1045" s="6" t="str">
        <f aca="false">MID(VLOOKUP(D1045,$P$1:$Q$13,2,0), 1 + C1045,1)</f>
        <v>뺀</v>
      </c>
      <c r="G1045" s="6" t="str">
        <f aca="false">DEC2HEX(D1045+36, 2)</f>
        <v>29</v>
      </c>
      <c r="H1045" s="6" t="str">
        <f aca="false">DEC2HEX(C1045+48,2)</f>
        <v>34</v>
      </c>
      <c r="I1045" s="6" t="str">
        <f aca="false">_xlfn.CONCAT("\x", G1045, "\x", H1045, "=", F1045)</f>
        <v>\x29\x34=뺀</v>
      </c>
      <c r="M1045" s="8"/>
    </row>
    <row r="1046" customFormat="false" ht="12.8" hidden="false" customHeight="true" outlineLevel="0" collapsed="false">
      <c r="C1046" s="6" t="n">
        <f aca="false">MOD(ROW()-1, 208)</f>
        <v>5</v>
      </c>
      <c r="D1046" s="6" t="n">
        <f aca="false">INT((ROW()-1)/208)</f>
        <v>5</v>
      </c>
      <c r="F1046" s="6" t="str">
        <f aca="false">MID(VLOOKUP(D1046,$P$1:$Q$13,2,0), 1 + C1046,1)</f>
        <v>뺄</v>
      </c>
      <c r="G1046" s="6" t="str">
        <f aca="false">DEC2HEX(D1046+36, 2)</f>
        <v>29</v>
      </c>
      <c r="H1046" s="6" t="str">
        <f aca="false">DEC2HEX(C1046+48,2)</f>
        <v>35</v>
      </c>
      <c r="I1046" s="6" t="str">
        <f aca="false">_xlfn.CONCAT("\x", G1046, "\x", H1046, "=", F1046)</f>
        <v>\x29\x35=뺄</v>
      </c>
      <c r="M1046" s="8"/>
    </row>
    <row r="1047" customFormat="false" ht="12.8" hidden="false" customHeight="true" outlineLevel="0" collapsed="false">
      <c r="C1047" s="6" t="n">
        <f aca="false">MOD(ROW()-1, 208)</f>
        <v>6</v>
      </c>
      <c r="D1047" s="6" t="n">
        <f aca="false">INT((ROW()-1)/208)</f>
        <v>5</v>
      </c>
      <c r="F1047" s="6" t="str">
        <f aca="false">MID(VLOOKUP(D1047,$P$1:$Q$13,2,0), 1 + C1047,1)</f>
        <v>뺌</v>
      </c>
      <c r="G1047" s="6" t="str">
        <f aca="false">DEC2HEX(D1047+36, 2)</f>
        <v>29</v>
      </c>
      <c r="H1047" s="6" t="str">
        <f aca="false">DEC2HEX(C1047+48,2)</f>
        <v>36</v>
      </c>
      <c r="I1047" s="6" t="str">
        <f aca="false">_xlfn.CONCAT("\x", G1047, "\x", H1047, "=", F1047)</f>
        <v>\x29\x36=뺌</v>
      </c>
      <c r="M1047" s="8"/>
    </row>
    <row r="1048" customFormat="false" ht="12.8" hidden="false" customHeight="true" outlineLevel="0" collapsed="false">
      <c r="C1048" s="6" t="n">
        <f aca="false">MOD(ROW()-1, 208)</f>
        <v>7</v>
      </c>
      <c r="D1048" s="6" t="n">
        <f aca="false">INT((ROW()-1)/208)</f>
        <v>5</v>
      </c>
      <c r="F1048" s="6" t="str">
        <f aca="false">MID(VLOOKUP(D1048,$P$1:$Q$13,2,0), 1 + C1048,1)</f>
        <v>뺍</v>
      </c>
      <c r="G1048" s="6" t="str">
        <f aca="false">DEC2HEX(D1048+36, 2)</f>
        <v>29</v>
      </c>
      <c r="H1048" s="6" t="str">
        <f aca="false">DEC2HEX(C1048+48,2)</f>
        <v>37</v>
      </c>
      <c r="I1048" s="6" t="str">
        <f aca="false">_xlfn.CONCAT("\x", G1048, "\x", H1048, "=", F1048)</f>
        <v>\x29\x37=뺍</v>
      </c>
      <c r="M1048" s="8"/>
    </row>
    <row r="1049" customFormat="false" ht="12.8" hidden="false" customHeight="true" outlineLevel="0" collapsed="false">
      <c r="C1049" s="6" t="n">
        <f aca="false">MOD(ROW()-1, 208)</f>
        <v>8</v>
      </c>
      <c r="D1049" s="6" t="n">
        <f aca="false">INT((ROW()-1)/208)</f>
        <v>5</v>
      </c>
      <c r="F1049" s="6" t="str">
        <f aca="false">MID(VLOOKUP(D1049,$P$1:$Q$13,2,0), 1 + C1049,1)</f>
        <v>뺏</v>
      </c>
      <c r="G1049" s="6" t="str">
        <f aca="false">DEC2HEX(D1049+36, 2)</f>
        <v>29</v>
      </c>
      <c r="H1049" s="6" t="str">
        <f aca="false">DEC2HEX(C1049+48,2)</f>
        <v>38</v>
      </c>
      <c r="I1049" s="6" t="str">
        <f aca="false">_xlfn.CONCAT("\x", G1049, "\x", H1049, "=", F1049)</f>
        <v>\x29\x38=뺏</v>
      </c>
      <c r="M1049" s="8"/>
    </row>
    <row r="1050" customFormat="false" ht="12.8" hidden="false" customHeight="true" outlineLevel="0" collapsed="false">
      <c r="C1050" s="6" t="n">
        <f aca="false">MOD(ROW()-1, 208)</f>
        <v>9</v>
      </c>
      <c r="D1050" s="6" t="n">
        <f aca="false">INT((ROW()-1)/208)</f>
        <v>5</v>
      </c>
      <c r="F1050" s="6" t="str">
        <f aca="false">MID(VLOOKUP(D1050,$P$1:$Q$13,2,0), 1 + C1050,1)</f>
        <v>뺐</v>
      </c>
      <c r="G1050" s="6" t="str">
        <f aca="false">DEC2HEX(D1050+36, 2)</f>
        <v>29</v>
      </c>
      <c r="H1050" s="6" t="str">
        <f aca="false">DEC2HEX(C1050+48,2)</f>
        <v>39</v>
      </c>
      <c r="I1050" s="6" t="str">
        <f aca="false">_xlfn.CONCAT("\x", G1050, "\x", H1050, "=", F1050)</f>
        <v>\x29\x39=뺐</v>
      </c>
      <c r="M1050" s="8"/>
    </row>
    <row r="1051" customFormat="false" ht="12.8" hidden="false" customHeight="true" outlineLevel="0" collapsed="false">
      <c r="C1051" s="6" t="n">
        <f aca="false">MOD(ROW()-1, 208)</f>
        <v>10</v>
      </c>
      <c r="D1051" s="6" t="n">
        <f aca="false">INT((ROW()-1)/208)</f>
        <v>5</v>
      </c>
      <c r="F1051" s="6" t="str">
        <f aca="false">MID(VLOOKUP(D1051,$P$1:$Q$13,2,0), 1 + C1051,1)</f>
        <v>뺑</v>
      </c>
      <c r="G1051" s="6" t="str">
        <f aca="false">DEC2HEX(D1051+36, 2)</f>
        <v>29</v>
      </c>
      <c r="H1051" s="6" t="str">
        <f aca="false">DEC2HEX(C1051+48,2)</f>
        <v>3A</v>
      </c>
      <c r="I1051" s="6" t="str">
        <f aca="false">_xlfn.CONCAT("\x", G1051, "\x", H1051, "=", F1051)</f>
        <v>\x29\x3A=뺑</v>
      </c>
      <c r="M1051" s="8"/>
    </row>
    <row r="1052" customFormat="false" ht="12.8" hidden="false" customHeight="true" outlineLevel="0" collapsed="false">
      <c r="C1052" s="6" t="n">
        <f aca="false">MOD(ROW()-1, 208)</f>
        <v>11</v>
      </c>
      <c r="D1052" s="6" t="n">
        <f aca="false">INT((ROW()-1)/208)</f>
        <v>5</v>
      </c>
      <c r="F1052" s="6" t="str">
        <f aca="false">MID(VLOOKUP(D1052,$P$1:$Q$13,2,0), 1 + C1052,1)</f>
        <v>뺘</v>
      </c>
      <c r="G1052" s="6" t="str">
        <f aca="false">DEC2HEX(D1052+36, 2)</f>
        <v>29</v>
      </c>
      <c r="H1052" s="6" t="str">
        <f aca="false">DEC2HEX(C1052+48,2)</f>
        <v>3B</v>
      </c>
      <c r="I1052" s="6" t="str">
        <f aca="false">_xlfn.CONCAT("\x", G1052, "\x", H1052, "=", F1052)</f>
        <v>\x29\x3B=뺘</v>
      </c>
      <c r="M1052" s="8"/>
    </row>
    <row r="1053" customFormat="false" ht="12.8" hidden="false" customHeight="true" outlineLevel="0" collapsed="false">
      <c r="C1053" s="6" t="n">
        <f aca="false">MOD(ROW()-1, 208)</f>
        <v>12</v>
      </c>
      <c r="D1053" s="6" t="n">
        <f aca="false">INT((ROW()-1)/208)</f>
        <v>5</v>
      </c>
      <c r="F1053" s="6" t="str">
        <f aca="false">MID(VLOOKUP(D1053,$P$1:$Q$13,2,0), 1 + C1053,1)</f>
        <v>뺙</v>
      </c>
      <c r="G1053" s="6" t="str">
        <f aca="false">DEC2HEX(D1053+36, 2)</f>
        <v>29</v>
      </c>
      <c r="H1053" s="6" t="str">
        <f aca="false">DEC2HEX(C1053+48,2)</f>
        <v>3C</v>
      </c>
      <c r="I1053" s="6" t="str">
        <f aca="false">_xlfn.CONCAT("\x", G1053, "\x", H1053, "=", F1053)</f>
        <v>\x29\x3C=뺙</v>
      </c>
      <c r="M1053" s="8"/>
    </row>
    <row r="1054" customFormat="false" ht="12.8" hidden="false" customHeight="true" outlineLevel="0" collapsed="false">
      <c r="C1054" s="6" t="n">
        <f aca="false">MOD(ROW()-1, 208)</f>
        <v>13</v>
      </c>
      <c r="D1054" s="6" t="n">
        <f aca="false">INT((ROW()-1)/208)</f>
        <v>5</v>
      </c>
      <c r="F1054" s="6" t="str">
        <f aca="false">MID(VLOOKUP(D1054,$P$1:$Q$13,2,0), 1 + C1054,1)</f>
        <v>뺨</v>
      </c>
      <c r="G1054" s="6" t="str">
        <f aca="false">DEC2HEX(D1054+36, 2)</f>
        <v>29</v>
      </c>
      <c r="H1054" s="6" t="str">
        <f aca="false">DEC2HEX(C1054+48,2)</f>
        <v>3D</v>
      </c>
      <c r="I1054" s="6" t="str">
        <f aca="false">_xlfn.CONCAT("\x", G1054, "\x", H1054, "=", F1054)</f>
        <v>\x29\x3D=뺨</v>
      </c>
      <c r="M1054" s="8"/>
    </row>
    <row r="1055" customFormat="false" ht="12.8" hidden="false" customHeight="true" outlineLevel="0" collapsed="false">
      <c r="C1055" s="6" t="n">
        <f aca="false">MOD(ROW()-1, 208)</f>
        <v>14</v>
      </c>
      <c r="D1055" s="6" t="n">
        <f aca="false">INT((ROW()-1)/208)</f>
        <v>5</v>
      </c>
      <c r="F1055" s="6" t="str">
        <f aca="false">MID(VLOOKUP(D1055,$P$1:$Q$13,2,0), 1 + C1055,1)</f>
        <v>뻐</v>
      </c>
      <c r="G1055" s="6" t="str">
        <f aca="false">DEC2HEX(D1055+36, 2)</f>
        <v>29</v>
      </c>
      <c r="H1055" s="6" t="str">
        <f aca="false">DEC2HEX(C1055+48,2)</f>
        <v>3E</v>
      </c>
      <c r="I1055" s="6" t="str">
        <f aca="false">_xlfn.CONCAT("\x", G1055, "\x", H1055, "=", F1055)</f>
        <v>\x29\x3E=뻐</v>
      </c>
      <c r="M1055" s="8"/>
    </row>
    <row r="1056" customFormat="false" ht="12.8" hidden="false" customHeight="true" outlineLevel="0" collapsed="false">
      <c r="C1056" s="6" t="n">
        <f aca="false">MOD(ROW()-1, 208)</f>
        <v>15</v>
      </c>
      <c r="D1056" s="6" t="n">
        <f aca="false">INT((ROW()-1)/208)</f>
        <v>5</v>
      </c>
      <c r="F1056" s="6" t="str">
        <f aca="false">MID(VLOOKUP(D1056,$P$1:$Q$13,2,0), 1 + C1056,1)</f>
        <v>뻑</v>
      </c>
      <c r="G1056" s="6" t="str">
        <f aca="false">DEC2HEX(D1056+36, 2)</f>
        <v>29</v>
      </c>
      <c r="H1056" s="6" t="str">
        <f aca="false">DEC2HEX(C1056+48,2)</f>
        <v>3F</v>
      </c>
      <c r="I1056" s="6" t="str">
        <f aca="false">_xlfn.CONCAT("\x", G1056, "\x", H1056, "=", F1056)</f>
        <v>\x29\x3F=뻑</v>
      </c>
      <c r="M1056" s="8"/>
    </row>
    <row r="1057" customFormat="false" ht="12.8" hidden="false" customHeight="true" outlineLevel="0" collapsed="false">
      <c r="C1057" s="6" t="n">
        <f aca="false">MOD(ROW()-1, 208)</f>
        <v>16</v>
      </c>
      <c r="D1057" s="6" t="n">
        <f aca="false">INT((ROW()-1)/208)</f>
        <v>5</v>
      </c>
      <c r="F1057" s="6" t="str">
        <f aca="false">MID(VLOOKUP(D1057,$P$1:$Q$13,2,0), 1 + C1057,1)</f>
        <v>뻔</v>
      </c>
      <c r="G1057" s="6" t="str">
        <f aca="false">DEC2HEX(D1057+36, 2)</f>
        <v>29</v>
      </c>
      <c r="H1057" s="6" t="str">
        <f aca="false">DEC2HEX(C1057+48,2)</f>
        <v>40</v>
      </c>
      <c r="I1057" s="6" t="str">
        <f aca="false">_xlfn.CONCAT("\x", G1057, "\x", H1057, "=", F1057)</f>
        <v>\x29\x40=뻔</v>
      </c>
      <c r="M1057" s="8"/>
    </row>
    <row r="1058" customFormat="false" ht="12.8" hidden="false" customHeight="true" outlineLevel="0" collapsed="false">
      <c r="C1058" s="6" t="n">
        <f aca="false">MOD(ROW()-1, 208)</f>
        <v>17</v>
      </c>
      <c r="D1058" s="6" t="n">
        <f aca="false">INT((ROW()-1)/208)</f>
        <v>5</v>
      </c>
      <c r="F1058" s="6" t="str">
        <f aca="false">MID(VLOOKUP(D1058,$P$1:$Q$13,2,0), 1 + C1058,1)</f>
        <v>뻗</v>
      </c>
      <c r="G1058" s="6" t="str">
        <f aca="false">DEC2HEX(D1058+36, 2)</f>
        <v>29</v>
      </c>
      <c r="H1058" s="6" t="str">
        <f aca="false">DEC2HEX(C1058+48,2)</f>
        <v>41</v>
      </c>
      <c r="I1058" s="6" t="str">
        <f aca="false">_xlfn.CONCAT("\x", G1058, "\x", H1058, "=", F1058)</f>
        <v>\x29\x41=뻗</v>
      </c>
      <c r="M1058" s="8"/>
    </row>
    <row r="1059" customFormat="false" ht="12.8" hidden="false" customHeight="true" outlineLevel="0" collapsed="false">
      <c r="C1059" s="6" t="n">
        <f aca="false">MOD(ROW()-1, 208)</f>
        <v>18</v>
      </c>
      <c r="D1059" s="6" t="n">
        <f aca="false">INT((ROW()-1)/208)</f>
        <v>5</v>
      </c>
      <c r="F1059" s="6" t="str">
        <f aca="false">MID(VLOOKUP(D1059,$P$1:$Q$13,2,0), 1 + C1059,1)</f>
        <v>뻘</v>
      </c>
      <c r="G1059" s="6" t="str">
        <f aca="false">DEC2HEX(D1059+36, 2)</f>
        <v>29</v>
      </c>
      <c r="H1059" s="6" t="str">
        <f aca="false">DEC2HEX(C1059+48,2)</f>
        <v>42</v>
      </c>
      <c r="I1059" s="6" t="str">
        <f aca="false">_xlfn.CONCAT("\x", G1059, "\x", H1059, "=", F1059)</f>
        <v>\x29\x42=뻘</v>
      </c>
      <c r="M1059" s="8"/>
    </row>
    <row r="1060" customFormat="false" ht="12.8" hidden="false" customHeight="true" outlineLevel="0" collapsed="false">
      <c r="C1060" s="6" t="n">
        <f aca="false">MOD(ROW()-1, 208)</f>
        <v>19</v>
      </c>
      <c r="D1060" s="6" t="n">
        <f aca="false">INT((ROW()-1)/208)</f>
        <v>5</v>
      </c>
      <c r="F1060" s="6" t="str">
        <f aca="false">MID(VLOOKUP(D1060,$P$1:$Q$13,2,0), 1 + C1060,1)</f>
        <v>뻠</v>
      </c>
      <c r="G1060" s="6" t="str">
        <f aca="false">DEC2HEX(D1060+36, 2)</f>
        <v>29</v>
      </c>
      <c r="H1060" s="6" t="str">
        <f aca="false">DEC2HEX(C1060+48,2)</f>
        <v>43</v>
      </c>
      <c r="I1060" s="6" t="str">
        <f aca="false">_xlfn.CONCAT("\x", G1060, "\x", H1060, "=", F1060)</f>
        <v>\x29\x43=뻠</v>
      </c>
      <c r="M1060" s="8"/>
    </row>
    <row r="1061" customFormat="false" ht="12.8" hidden="false" customHeight="true" outlineLevel="0" collapsed="false">
      <c r="C1061" s="6" t="n">
        <f aca="false">MOD(ROW()-1, 208)</f>
        <v>20</v>
      </c>
      <c r="D1061" s="6" t="n">
        <f aca="false">INT((ROW()-1)/208)</f>
        <v>5</v>
      </c>
      <c r="F1061" s="6" t="str">
        <f aca="false">MID(VLOOKUP(D1061,$P$1:$Q$13,2,0), 1 + C1061,1)</f>
        <v>뻣</v>
      </c>
      <c r="G1061" s="6" t="str">
        <f aca="false">DEC2HEX(D1061+36, 2)</f>
        <v>29</v>
      </c>
      <c r="H1061" s="6" t="str">
        <f aca="false">DEC2HEX(C1061+48,2)</f>
        <v>44</v>
      </c>
      <c r="I1061" s="6" t="str">
        <f aca="false">_xlfn.CONCAT("\x", G1061, "\x", H1061, "=", F1061)</f>
        <v>\x29\x44=뻣</v>
      </c>
      <c r="M1061" s="8"/>
    </row>
    <row r="1062" customFormat="false" ht="12.8" hidden="false" customHeight="true" outlineLevel="0" collapsed="false">
      <c r="C1062" s="6" t="n">
        <f aca="false">MOD(ROW()-1, 208)</f>
        <v>21</v>
      </c>
      <c r="D1062" s="6" t="n">
        <f aca="false">INT((ROW()-1)/208)</f>
        <v>5</v>
      </c>
      <c r="F1062" s="6" t="str">
        <f aca="false">MID(VLOOKUP(D1062,$P$1:$Q$13,2,0), 1 + C1062,1)</f>
        <v>뻤</v>
      </c>
      <c r="G1062" s="6" t="str">
        <f aca="false">DEC2HEX(D1062+36, 2)</f>
        <v>29</v>
      </c>
      <c r="H1062" s="6" t="str">
        <f aca="false">DEC2HEX(C1062+48,2)</f>
        <v>45</v>
      </c>
      <c r="I1062" s="6" t="str">
        <f aca="false">_xlfn.CONCAT("\x", G1062, "\x", H1062, "=", F1062)</f>
        <v>\x29\x45=뻤</v>
      </c>
      <c r="M1062" s="8"/>
    </row>
    <row r="1063" customFormat="false" ht="12.8" hidden="false" customHeight="true" outlineLevel="0" collapsed="false">
      <c r="C1063" s="6" t="n">
        <f aca="false">MOD(ROW()-1, 208)</f>
        <v>22</v>
      </c>
      <c r="D1063" s="6" t="n">
        <f aca="false">INT((ROW()-1)/208)</f>
        <v>5</v>
      </c>
      <c r="F1063" s="6" t="str">
        <f aca="false">MID(VLOOKUP(D1063,$P$1:$Q$13,2,0), 1 + C1063,1)</f>
        <v>뻥</v>
      </c>
      <c r="G1063" s="6" t="str">
        <f aca="false">DEC2HEX(D1063+36, 2)</f>
        <v>29</v>
      </c>
      <c r="H1063" s="6" t="str">
        <f aca="false">DEC2HEX(C1063+48,2)</f>
        <v>46</v>
      </c>
      <c r="I1063" s="6" t="str">
        <f aca="false">_xlfn.CONCAT("\x", G1063, "\x", H1063, "=", F1063)</f>
        <v>\x29\x46=뻥</v>
      </c>
      <c r="M1063" s="8"/>
    </row>
    <row r="1064" customFormat="false" ht="12.8" hidden="false" customHeight="true" outlineLevel="0" collapsed="false">
      <c r="C1064" s="6" t="n">
        <f aca="false">MOD(ROW()-1, 208)</f>
        <v>23</v>
      </c>
      <c r="D1064" s="6" t="n">
        <f aca="false">INT((ROW()-1)/208)</f>
        <v>5</v>
      </c>
      <c r="F1064" s="6" t="str">
        <f aca="false">MID(VLOOKUP(D1064,$P$1:$Q$13,2,0), 1 + C1064,1)</f>
        <v>뻬</v>
      </c>
      <c r="G1064" s="6" t="str">
        <f aca="false">DEC2HEX(D1064+36, 2)</f>
        <v>29</v>
      </c>
      <c r="H1064" s="6" t="str">
        <f aca="false">DEC2HEX(C1064+48,2)</f>
        <v>47</v>
      </c>
      <c r="I1064" s="6" t="str">
        <f aca="false">_xlfn.CONCAT("\x", G1064, "\x", H1064, "=", F1064)</f>
        <v>\x29\x47=뻬</v>
      </c>
      <c r="M1064" s="8"/>
    </row>
    <row r="1065" customFormat="false" ht="12.8" hidden="false" customHeight="true" outlineLevel="0" collapsed="false">
      <c r="C1065" s="6" t="n">
        <f aca="false">MOD(ROW()-1, 208)</f>
        <v>24</v>
      </c>
      <c r="D1065" s="6" t="n">
        <f aca="false">INT((ROW()-1)/208)</f>
        <v>5</v>
      </c>
      <c r="F1065" s="6" t="str">
        <f aca="false">MID(VLOOKUP(D1065,$P$1:$Q$13,2,0), 1 + C1065,1)</f>
        <v>뼁</v>
      </c>
      <c r="G1065" s="6" t="str">
        <f aca="false">DEC2HEX(D1065+36, 2)</f>
        <v>29</v>
      </c>
      <c r="H1065" s="6" t="str">
        <f aca="false">DEC2HEX(C1065+48,2)</f>
        <v>48</v>
      </c>
      <c r="I1065" s="6" t="str">
        <f aca="false">_xlfn.CONCAT("\x", G1065, "\x", H1065, "=", F1065)</f>
        <v>\x29\x48=뼁</v>
      </c>
      <c r="M1065" s="8"/>
    </row>
    <row r="1066" customFormat="false" ht="12.8" hidden="false" customHeight="true" outlineLevel="0" collapsed="false">
      <c r="C1066" s="6" t="n">
        <f aca="false">MOD(ROW()-1, 208)</f>
        <v>25</v>
      </c>
      <c r="D1066" s="6" t="n">
        <f aca="false">INT((ROW()-1)/208)</f>
        <v>5</v>
      </c>
      <c r="F1066" s="6" t="str">
        <f aca="false">MID(VLOOKUP(D1066,$P$1:$Q$13,2,0), 1 + C1066,1)</f>
        <v>뼈</v>
      </c>
      <c r="G1066" s="6" t="str">
        <f aca="false">DEC2HEX(D1066+36, 2)</f>
        <v>29</v>
      </c>
      <c r="H1066" s="6" t="str">
        <f aca="false">DEC2HEX(C1066+48,2)</f>
        <v>49</v>
      </c>
      <c r="I1066" s="6" t="str">
        <f aca="false">_xlfn.CONCAT("\x", G1066, "\x", H1066, "=", F1066)</f>
        <v>\x29\x49=뼈</v>
      </c>
      <c r="M1066" s="8"/>
    </row>
    <row r="1067" customFormat="false" ht="12.8" hidden="false" customHeight="true" outlineLevel="0" collapsed="false">
      <c r="C1067" s="6" t="n">
        <f aca="false">MOD(ROW()-1, 208)</f>
        <v>26</v>
      </c>
      <c r="D1067" s="6" t="n">
        <f aca="false">INT((ROW()-1)/208)</f>
        <v>5</v>
      </c>
      <c r="F1067" s="6" t="str">
        <f aca="false">MID(VLOOKUP(D1067,$P$1:$Q$13,2,0), 1 + C1067,1)</f>
        <v>뼉</v>
      </c>
      <c r="G1067" s="6" t="str">
        <f aca="false">DEC2HEX(D1067+36, 2)</f>
        <v>29</v>
      </c>
      <c r="H1067" s="6" t="str">
        <f aca="false">DEC2HEX(C1067+48,2)</f>
        <v>4A</v>
      </c>
      <c r="I1067" s="6" t="str">
        <f aca="false">_xlfn.CONCAT("\x", G1067, "\x", H1067, "=", F1067)</f>
        <v>\x29\x4A=뼉</v>
      </c>
      <c r="M1067" s="8"/>
    </row>
    <row r="1068" customFormat="false" ht="12.8" hidden="false" customHeight="true" outlineLevel="0" collapsed="false">
      <c r="C1068" s="6" t="n">
        <f aca="false">MOD(ROW()-1, 208)</f>
        <v>27</v>
      </c>
      <c r="D1068" s="6" t="n">
        <f aca="false">INT((ROW()-1)/208)</f>
        <v>5</v>
      </c>
      <c r="F1068" s="6" t="str">
        <f aca="false">MID(VLOOKUP(D1068,$P$1:$Q$13,2,0), 1 + C1068,1)</f>
        <v>뼘</v>
      </c>
      <c r="G1068" s="6" t="str">
        <f aca="false">DEC2HEX(D1068+36, 2)</f>
        <v>29</v>
      </c>
      <c r="H1068" s="6" t="str">
        <f aca="false">DEC2HEX(C1068+48,2)</f>
        <v>4B</v>
      </c>
      <c r="I1068" s="6" t="str">
        <f aca="false">_xlfn.CONCAT("\x", G1068, "\x", H1068, "=", F1068)</f>
        <v>\x29\x4B=뼘</v>
      </c>
      <c r="M1068" s="8"/>
    </row>
    <row r="1069" customFormat="false" ht="12.8" hidden="false" customHeight="true" outlineLevel="0" collapsed="false">
      <c r="C1069" s="6" t="n">
        <f aca="false">MOD(ROW()-1, 208)</f>
        <v>28</v>
      </c>
      <c r="D1069" s="6" t="n">
        <f aca="false">INT((ROW()-1)/208)</f>
        <v>5</v>
      </c>
      <c r="F1069" s="6" t="str">
        <f aca="false">MID(VLOOKUP(D1069,$P$1:$Q$13,2,0), 1 + C1069,1)</f>
        <v>뼙</v>
      </c>
      <c r="G1069" s="6" t="str">
        <f aca="false">DEC2HEX(D1069+36, 2)</f>
        <v>29</v>
      </c>
      <c r="H1069" s="6" t="str">
        <f aca="false">DEC2HEX(C1069+48,2)</f>
        <v>4C</v>
      </c>
      <c r="I1069" s="6" t="str">
        <f aca="false">_xlfn.CONCAT("\x", G1069, "\x", H1069, "=", F1069)</f>
        <v>\x29\x4C=뼙</v>
      </c>
      <c r="M1069" s="8"/>
    </row>
    <row r="1070" customFormat="false" ht="12.8" hidden="false" customHeight="true" outlineLevel="0" collapsed="false">
      <c r="C1070" s="6" t="n">
        <f aca="false">MOD(ROW()-1, 208)</f>
        <v>29</v>
      </c>
      <c r="D1070" s="6" t="n">
        <f aca="false">INT((ROW()-1)/208)</f>
        <v>5</v>
      </c>
      <c r="F1070" s="6" t="str">
        <f aca="false">MID(VLOOKUP(D1070,$P$1:$Q$13,2,0), 1 + C1070,1)</f>
        <v>뼛</v>
      </c>
      <c r="G1070" s="6" t="str">
        <f aca="false">DEC2HEX(D1070+36, 2)</f>
        <v>29</v>
      </c>
      <c r="H1070" s="6" t="str">
        <f aca="false">DEC2HEX(C1070+48,2)</f>
        <v>4D</v>
      </c>
      <c r="I1070" s="6" t="str">
        <f aca="false">_xlfn.CONCAT("\x", G1070, "\x", H1070, "=", F1070)</f>
        <v>\x29\x4D=뼛</v>
      </c>
      <c r="M1070" s="8"/>
    </row>
    <row r="1071" customFormat="false" ht="12.8" hidden="false" customHeight="true" outlineLevel="0" collapsed="false">
      <c r="C1071" s="6" t="n">
        <f aca="false">MOD(ROW()-1, 208)</f>
        <v>30</v>
      </c>
      <c r="D1071" s="6" t="n">
        <f aca="false">INT((ROW()-1)/208)</f>
        <v>5</v>
      </c>
      <c r="F1071" s="6" t="str">
        <f aca="false">MID(VLOOKUP(D1071,$P$1:$Q$13,2,0), 1 + C1071,1)</f>
        <v>뼜</v>
      </c>
      <c r="G1071" s="6" t="str">
        <f aca="false">DEC2HEX(D1071+36, 2)</f>
        <v>29</v>
      </c>
      <c r="H1071" s="6" t="str">
        <f aca="false">DEC2HEX(C1071+48,2)</f>
        <v>4E</v>
      </c>
      <c r="I1071" s="6" t="str">
        <f aca="false">_xlfn.CONCAT("\x", G1071, "\x", H1071, "=", F1071)</f>
        <v>\x29\x4E=뼜</v>
      </c>
      <c r="M1071" s="8"/>
    </row>
    <row r="1072" customFormat="false" ht="12.8" hidden="false" customHeight="true" outlineLevel="0" collapsed="false">
      <c r="C1072" s="6" t="n">
        <f aca="false">MOD(ROW()-1, 208)</f>
        <v>31</v>
      </c>
      <c r="D1072" s="6" t="n">
        <f aca="false">INT((ROW()-1)/208)</f>
        <v>5</v>
      </c>
      <c r="F1072" s="6" t="str">
        <f aca="false">MID(VLOOKUP(D1072,$P$1:$Q$13,2,0), 1 + C1072,1)</f>
        <v>뼝</v>
      </c>
      <c r="G1072" s="6" t="str">
        <f aca="false">DEC2HEX(D1072+36, 2)</f>
        <v>29</v>
      </c>
      <c r="H1072" s="6" t="str">
        <f aca="false">DEC2HEX(C1072+48,2)</f>
        <v>4F</v>
      </c>
      <c r="I1072" s="6" t="str">
        <f aca="false">_xlfn.CONCAT("\x", G1072, "\x", H1072, "=", F1072)</f>
        <v>\x29\x4F=뼝</v>
      </c>
      <c r="M1072" s="8"/>
    </row>
    <row r="1073" customFormat="false" ht="12.8" hidden="false" customHeight="true" outlineLevel="0" collapsed="false">
      <c r="C1073" s="6" t="n">
        <f aca="false">MOD(ROW()-1, 208)</f>
        <v>32</v>
      </c>
      <c r="D1073" s="6" t="n">
        <f aca="false">INT((ROW()-1)/208)</f>
        <v>5</v>
      </c>
      <c r="F1073" s="6" t="str">
        <f aca="false">MID(VLOOKUP(D1073,$P$1:$Q$13,2,0), 1 + C1073,1)</f>
        <v>뽀</v>
      </c>
      <c r="G1073" s="6" t="str">
        <f aca="false">DEC2HEX(D1073+36, 2)</f>
        <v>29</v>
      </c>
      <c r="H1073" s="6" t="str">
        <f aca="false">DEC2HEX(C1073+48,2)</f>
        <v>50</v>
      </c>
      <c r="I1073" s="6" t="str">
        <f aca="false">_xlfn.CONCAT("\x", G1073, "\x", H1073, "=", F1073)</f>
        <v>\x29\x50=뽀</v>
      </c>
      <c r="M1073" s="8"/>
    </row>
    <row r="1074" customFormat="false" ht="12.8" hidden="false" customHeight="true" outlineLevel="0" collapsed="false">
      <c r="C1074" s="6" t="n">
        <f aca="false">MOD(ROW()-1, 208)</f>
        <v>33</v>
      </c>
      <c r="D1074" s="6" t="n">
        <f aca="false">INT((ROW()-1)/208)</f>
        <v>5</v>
      </c>
      <c r="F1074" s="6" t="str">
        <f aca="false">MID(VLOOKUP(D1074,$P$1:$Q$13,2,0), 1 + C1074,1)</f>
        <v>뽁</v>
      </c>
      <c r="G1074" s="6" t="str">
        <f aca="false">DEC2HEX(D1074+36, 2)</f>
        <v>29</v>
      </c>
      <c r="H1074" s="6" t="str">
        <f aca="false">DEC2HEX(C1074+48,2)</f>
        <v>51</v>
      </c>
      <c r="I1074" s="6" t="str">
        <f aca="false">_xlfn.CONCAT("\x", G1074, "\x", H1074, "=", F1074)</f>
        <v>\x29\x51=뽁</v>
      </c>
      <c r="M1074" s="8"/>
    </row>
    <row r="1075" customFormat="false" ht="12.8" hidden="false" customHeight="true" outlineLevel="0" collapsed="false">
      <c r="C1075" s="6" t="n">
        <f aca="false">MOD(ROW()-1, 208)</f>
        <v>34</v>
      </c>
      <c r="D1075" s="6" t="n">
        <f aca="false">INT((ROW()-1)/208)</f>
        <v>5</v>
      </c>
      <c r="F1075" s="6" t="str">
        <f aca="false">MID(VLOOKUP(D1075,$P$1:$Q$13,2,0), 1 + C1075,1)</f>
        <v>뽄</v>
      </c>
      <c r="G1075" s="6" t="str">
        <f aca="false">DEC2HEX(D1075+36, 2)</f>
        <v>29</v>
      </c>
      <c r="H1075" s="6" t="str">
        <f aca="false">DEC2HEX(C1075+48,2)</f>
        <v>52</v>
      </c>
      <c r="I1075" s="6" t="str">
        <f aca="false">_xlfn.CONCAT("\x", G1075, "\x", H1075, "=", F1075)</f>
        <v>\x29\x52=뽄</v>
      </c>
      <c r="M1075" s="8"/>
    </row>
    <row r="1076" customFormat="false" ht="12.8" hidden="false" customHeight="true" outlineLevel="0" collapsed="false">
      <c r="C1076" s="6" t="n">
        <f aca="false">MOD(ROW()-1, 208)</f>
        <v>35</v>
      </c>
      <c r="D1076" s="6" t="n">
        <f aca="false">INT((ROW()-1)/208)</f>
        <v>5</v>
      </c>
      <c r="F1076" s="6" t="str">
        <f aca="false">MID(VLOOKUP(D1076,$P$1:$Q$13,2,0), 1 + C1076,1)</f>
        <v>뽈</v>
      </c>
      <c r="G1076" s="6" t="str">
        <f aca="false">DEC2HEX(D1076+36, 2)</f>
        <v>29</v>
      </c>
      <c r="H1076" s="6" t="str">
        <f aca="false">DEC2HEX(C1076+48,2)</f>
        <v>53</v>
      </c>
      <c r="I1076" s="6" t="str">
        <f aca="false">_xlfn.CONCAT("\x", G1076, "\x", H1076, "=", F1076)</f>
        <v>\x29\x53=뽈</v>
      </c>
      <c r="M1076" s="8"/>
    </row>
    <row r="1077" customFormat="false" ht="12.8" hidden="false" customHeight="true" outlineLevel="0" collapsed="false">
      <c r="C1077" s="6" t="n">
        <f aca="false">MOD(ROW()-1, 208)</f>
        <v>36</v>
      </c>
      <c r="D1077" s="6" t="n">
        <f aca="false">INT((ROW()-1)/208)</f>
        <v>5</v>
      </c>
      <c r="F1077" s="6" t="str">
        <f aca="false">MID(VLOOKUP(D1077,$P$1:$Q$13,2,0), 1 + C1077,1)</f>
        <v>뽐</v>
      </c>
      <c r="G1077" s="6" t="str">
        <f aca="false">DEC2HEX(D1077+36, 2)</f>
        <v>29</v>
      </c>
      <c r="H1077" s="6" t="str">
        <f aca="false">DEC2HEX(C1077+48,2)</f>
        <v>54</v>
      </c>
      <c r="I1077" s="6" t="str">
        <f aca="false">_xlfn.CONCAT("\x", G1077, "\x", H1077, "=", F1077)</f>
        <v>\x29\x54=뽐</v>
      </c>
      <c r="M1077" s="8"/>
    </row>
    <row r="1078" customFormat="false" ht="12.8" hidden="false" customHeight="true" outlineLevel="0" collapsed="false">
      <c r="C1078" s="6" t="n">
        <f aca="false">MOD(ROW()-1, 208)</f>
        <v>37</v>
      </c>
      <c r="D1078" s="6" t="n">
        <f aca="false">INT((ROW()-1)/208)</f>
        <v>5</v>
      </c>
      <c r="F1078" s="6" t="str">
        <f aca="false">MID(VLOOKUP(D1078,$P$1:$Q$13,2,0), 1 + C1078,1)</f>
        <v>뽑</v>
      </c>
      <c r="G1078" s="6" t="str">
        <f aca="false">DEC2HEX(D1078+36, 2)</f>
        <v>29</v>
      </c>
      <c r="H1078" s="6" t="str">
        <f aca="false">DEC2HEX(C1078+48,2)</f>
        <v>55</v>
      </c>
      <c r="I1078" s="6" t="str">
        <f aca="false">_xlfn.CONCAT("\x", G1078, "\x", H1078, "=", F1078)</f>
        <v>\x29\x55=뽑</v>
      </c>
      <c r="M1078" s="8"/>
    </row>
    <row r="1079" customFormat="false" ht="12.8" hidden="false" customHeight="true" outlineLevel="0" collapsed="false">
      <c r="C1079" s="6" t="n">
        <f aca="false">MOD(ROW()-1, 208)</f>
        <v>38</v>
      </c>
      <c r="D1079" s="6" t="n">
        <f aca="false">INT((ROW()-1)/208)</f>
        <v>5</v>
      </c>
      <c r="F1079" s="6" t="str">
        <f aca="false">MID(VLOOKUP(D1079,$P$1:$Q$13,2,0), 1 + C1079,1)</f>
        <v>뽕</v>
      </c>
      <c r="G1079" s="6" t="str">
        <f aca="false">DEC2HEX(D1079+36, 2)</f>
        <v>29</v>
      </c>
      <c r="H1079" s="6" t="str">
        <f aca="false">DEC2HEX(C1079+48,2)</f>
        <v>56</v>
      </c>
      <c r="I1079" s="6" t="str">
        <f aca="false">_xlfn.CONCAT("\x", G1079, "\x", H1079, "=", F1079)</f>
        <v>\x29\x56=뽕</v>
      </c>
      <c r="M1079" s="8"/>
    </row>
    <row r="1080" customFormat="false" ht="12.8" hidden="false" customHeight="true" outlineLevel="0" collapsed="false">
      <c r="C1080" s="6" t="n">
        <f aca="false">MOD(ROW()-1, 208)</f>
        <v>39</v>
      </c>
      <c r="D1080" s="6" t="n">
        <f aca="false">INT((ROW()-1)/208)</f>
        <v>5</v>
      </c>
      <c r="F1080" s="6" t="str">
        <f aca="false">MID(VLOOKUP(D1080,$P$1:$Q$13,2,0), 1 + C1080,1)</f>
        <v>뾔</v>
      </c>
      <c r="G1080" s="6" t="str">
        <f aca="false">DEC2HEX(D1080+36, 2)</f>
        <v>29</v>
      </c>
      <c r="H1080" s="6" t="str">
        <f aca="false">DEC2HEX(C1080+48,2)</f>
        <v>57</v>
      </c>
      <c r="I1080" s="6" t="str">
        <f aca="false">_xlfn.CONCAT("\x", G1080, "\x", H1080, "=", F1080)</f>
        <v>\x29\x57=뾔</v>
      </c>
      <c r="M1080" s="8"/>
    </row>
    <row r="1081" customFormat="false" ht="12.8" hidden="false" customHeight="true" outlineLevel="0" collapsed="false">
      <c r="C1081" s="6" t="n">
        <f aca="false">MOD(ROW()-1, 208)</f>
        <v>40</v>
      </c>
      <c r="D1081" s="6" t="n">
        <f aca="false">INT((ROW()-1)/208)</f>
        <v>5</v>
      </c>
      <c r="F1081" s="6" t="str">
        <f aca="false">MID(VLOOKUP(D1081,$P$1:$Q$13,2,0), 1 + C1081,1)</f>
        <v>뾰</v>
      </c>
      <c r="G1081" s="6" t="str">
        <f aca="false">DEC2HEX(D1081+36, 2)</f>
        <v>29</v>
      </c>
      <c r="H1081" s="6" t="str">
        <f aca="false">DEC2HEX(C1081+48,2)</f>
        <v>58</v>
      </c>
      <c r="I1081" s="6" t="str">
        <f aca="false">_xlfn.CONCAT("\x", G1081, "\x", H1081, "=", F1081)</f>
        <v>\x29\x58=뾰</v>
      </c>
      <c r="M1081" s="8"/>
    </row>
    <row r="1082" customFormat="false" ht="12.8" hidden="false" customHeight="true" outlineLevel="0" collapsed="false">
      <c r="C1082" s="6" t="n">
        <f aca="false">MOD(ROW()-1, 208)</f>
        <v>41</v>
      </c>
      <c r="D1082" s="6" t="n">
        <f aca="false">INT((ROW()-1)/208)</f>
        <v>5</v>
      </c>
      <c r="F1082" s="6" t="str">
        <f aca="false">MID(VLOOKUP(D1082,$P$1:$Q$13,2,0), 1 + C1082,1)</f>
        <v>뿅</v>
      </c>
      <c r="G1082" s="6" t="str">
        <f aca="false">DEC2HEX(D1082+36, 2)</f>
        <v>29</v>
      </c>
      <c r="H1082" s="6" t="str">
        <f aca="false">DEC2HEX(C1082+48,2)</f>
        <v>59</v>
      </c>
      <c r="I1082" s="6" t="str">
        <f aca="false">_xlfn.CONCAT("\x", G1082, "\x", H1082, "=", F1082)</f>
        <v>\x29\x59=뿅</v>
      </c>
      <c r="M1082" s="8"/>
    </row>
    <row r="1083" customFormat="false" ht="12.8" hidden="false" customHeight="true" outlineLevel="0" collapsed="false">
      <c r="C1083" s="6" t="n">
        <f aca="false">MOD(ROW()-1, 208)</f>
        <v>42</v>
      </c>
      <c r="D1083" s="6" t="n">
        <f aca="false">INT((ROW()-1)/208)</f>
        <v>5</v>
      </c>
      <c r="F1083" s="6" t="str">
        <f aca="false">MID(VLOOKUP(D1083,$P$1:$Q$13,2,0), 1 + C1083,1)</f>
        <v>뿌</v>
      </c>
      <c r="G1083" s="6" t="str">
        <f aca="false">DEC2HEX(D1083+36, 2)</f>
        <v>29</v>
      </c>
      <c r="H1083" s="6" t="str">
        <f aca="false">DEC2HEX(C1083+48,2)</f>
        <v>5A</v>
      </c>
      <c r="I1083" s="6" t="str">
        <f aca="false">_xlfn.CONCAT("\x", G1083, "\x", H1083, "=", F1083)</f>
        <v>\x29\x5A=뿌</v>
      </c>
      <c r="M1083" s="8"/>
    </row>
    <row r="1084" customFormat="false" ht="12.8" hidden="false" customHeight="true" outlineLevel="0" collapsed="false">
      <c r="C1084" s="6" t="n">
        <f aca="false">MOD(ROW()-1, 208)</f>
        <v>43</v>
      </c>
      <c r="D1084" s="6" t="n">
        <f aca="false">INT((ROW()-1)/208)</f>
        <v>5</v>
      </c>
      <c r="F1084" s="6" t="str">
        <f aca="false">MID(VLOOKUP(D1084,$P$1:$Q$13,2,0), 1 + C1084,1)</f>
        <v>뿍</v>
      </c>
      <c r="G1084" s="6" t="str">
        <f aca="false">DEC2HEX(D1084+36, 2)</f>
        <v>29</v>
      </c>
      <c r="H1084" s="6" t="str">
        <f aca="false">DEC2HEX(C1084+48,2)</f>
        <v>5B</v>
      </c>
      <c r="I1084" s="6" t="str">
        <f aca="false">_xlfn.CONCAT("\x", G1084, "\x", H1084, "=", F1084)</f>
        <v>\x29\x5B=뿍</v>
      </c>
      <c r="M1084" s="8"/>
    </row>
    <row r="1085" customFormat="false" ht="12.8" hidden="false" customHeight="true" outlineLevel="0" collapsed="false">
      <c r="C1085" s="6" t="n">
        <f aca="false">MOD(ROW()-1, 208)</f>
        <v>44</v>
      </c>
      <c r="D1085" s="6" t="n">
        <f aca="false">INT((ROW()-1)/208)</f>
        <v>5</v>
      </c>
      <c r="F1085" s="6" t="str">
        <f aca="false">MID(VLOOKUP(D1085,$P$1:$Q$13,2,0), 1 + C1085,1)</f>
        <v>뿐</v>
      </c>
      <c r="G1085" s="6" t="str">
        <f aca="false">DEC2HEX(D1085+36, 2)</f>
        <v>29</v>
      </c>
      <c r="H1085" s="6" t="str">
        <f aca="false">DEC2HEX(C1085+48,2)</f>
        <v>5C</v>
      </c>
      <c r="I1085" s="6" t="str">
        <f aca="false">_xlfn.CONCAT("\x", G1085, "\x", H1085, "=", F1085)</f>
        <v>\x29\x5C=뿐</v>
      </c>
      <c r="M1085" s="8"/>
    </row>
    <row r="1086" customFormat="false" ht="12.8" hidden="false" customHeight="true" outlineLevel="0" collapsed="false">
      <c r="C1086" s="6" t="n">
        <f aca="false">MOD(ROW()-1, 208)</f>
        <v>45</v>
      </c>
      <c r="D1086" s="6" t="n">
        <f aca="false">INT((ROW()-1)/208)</f>
        <v>5</v>
      </c>
      <c r="F1086" s="6" t="str">
        <f aca="false">MID(VLOOKUP(D1086,$P$1:$Q$13,2,0), 1 + C1086,1)</f>
        <v>뿔</v>
      </c>
      <c r="G1086" s="6" t="str">
        <f aca="false">DEC2HEX(D1086+36, 2)</f>
        <v>29</v>
      </c>
      <c r="H1086" s="6" t="str">
        <f aca="false">DEC2HEX(C1086+48,2)</f>
        <v>5D</v>
      </c>
      <c r="I1086" s="6" t="str">
        <f aca="false">_xlfn.CONCAT("\x", G1086, "\x", H1086, "=", F1086)</f>
        <v>\x29\x5D=뿔</v>
      </c>
      <c r="M1086" s="8"/>
    </row>
    <row r="1087" customFormat="false" ht="12.8" hidden="false" customHeight="true" outlineLevel="0" collapsed="false">
      <c r="C1087" s="6" t="n">
        <f aca="false">MOD(ROW()-1, 208)</f>
        <v>46</v>
      </c>
      <c r="D1087" s="6" t="n">
        <f aca="false">INT((ROW()-1)/208)</f>
        <v>5</v>
      </c>
      <c r="F1087" s="6" t="str">
        <f aca="false">MID(VLOOKUP(D1087,$P$1:$Q$13,2,0), 1 + C1087,1)</f>
        <v>뿜</v>
      </c>
      <c r="G1087" s="6" t="str">
        <f aca="false">DEC2HEX(D1087+36, 2)</f>
        <v>29</v>
      </c>
      <c r="H1087" s="6" t="str">
        <f aca="false">DEC2HEX(C1087+48,2)</f>
        <v>5E</v>
      </c>
      <c r="I1087" s="6" t="str">
        <f aca="false">_xlfn.CONCAT("\x", G1087, "\x", H1087, "=", F1087)</f>
        <v>\x29\x5E=뿜</v>
      </c>
      <c r="M1087" s="8"/>
    </row>
    <row r="1088" customFormat="false" ht="12.8" hidden="false" customHeight="true" outlineLevel="0" collapsed="false">
      <c r="C1088" s="6" t="n">
        <f aca="false">MOD(ROW()-1, 208)</f>
        <v>47</v>
      </c>
      <c r="D1088" s="6" t="n">
        <f aca="false">INT((ROW()-1)/208)</f>
        <v>5</v>
      </c>
      <c r="F1088" s="6" t="str">
        <f aca="false">MID(VLOOKUP(D1088,$P$1:$Q$13,2,0), 1 + C1088,1)</f>
        <v>뿟</v>
      </c>
      <c r="G1088" s="6" t="str">
        <f aca="false">DEC2HEX(D1088+36, 2)</f>
        <v>29</v>
      </c>
      <c r="H1088" s="6" t="str">
        <f aca="false">DEC2HEX(C1088+48,2)</f>
        <v>5F</v>
      </c>
      <c r="I1088" s="6" t="str">
        <f aca="false">_xlfn.CONCAT("\x", G1088, "\x", H1088, "=", F1088)</f>
        <v>\x29\x5F=뿟</v>
      </c>
      <c r="M1088" s="8"/>
    </row>
    <row r="1089" customFormat="false" ht="12.8" hidden="false" customHeight="true" outlineLevel="0" collapsed="false">
      <c r="C1089" s="6" t="n">
        <f aca="false">MOD(ROW()-1, 208)</f>
        <v>48</v>
      </c>
      <c r="D1089" s="6" t="n">
        <f aca="false">INT((ROW()-1)/208)</f>
        <v>5</v>
      </c>
      <c r="F1089" s="6" t="str">
        <f aca="false">MID(VLOOKUP(D1089,$P$1:$Q$13,2,0), 1 + C1089,1)</f>
        <v>뿡</v>
      </c>
      <c r="G1089" s="6" t="str">
        <f aca="false">DEC2HEX(D1089+36, 2)</f>
        <v>29</v>
      </c>
      <c r="H1089" s="6" t="str">
        <f aca="false">DEC2HEX(C1089+48,2)</f>
        <v>60</v>
      </c>
      <c r="I1089" s="6" t="str">
        <f aca="false">_xlfn.CONCAT("\x", G1089, "\x", H1089, "=", F1089)</f>
        <v>\x29\x60=뿡</v>
      </c>
      <c r="M1089" s="8"/>
    </row>
    <row r="1090" customFormat="false" ht="12.8" hidden="false" customHeight="true" outlineLevel="0" collapsed="false">
      <c r="C1090" s="6" t="n">
        <f aca="false">MOD(ROW()-1, 208)</f>
        <v>49</v>
      </c>
      <c r="D1090" s="6" t="n">
        <f aca="false">INT((ROW()-1)/208)</f>
        <v>5</v>
      </c>
      <c r="F1090" s="6" t="str">
        <f aca="false">MID(VLOOKUP(D1090,$P$1:$Q$13,2,0), 1 + C1090,1)</f>
        <v>쀼</v>
      </c>
      <c r="G1090" s="6" t="str">
        <f aca="false">DEC2HEX(D1090+36, 2)</f>
        <v>29</v>
      </c>
      <c r="H1090" s="6" t="str">
        <f aca="false">DEC2HEX(C1090+48,2)</f>
        <v>61</v>
      </c>
      <c r="I1090" s="6" t="str">
        <f aca="false">_xlfn.CONCAT("\x", G1090, "\x", H1090, "=", F1090)</f>
        <v>\x29\x61=쀼</v>
      </c>
      <c r="M1090" s="8"/>
    </row>
    <row r="1091" customFormat="false" ht="12.8" hidden="false" customHeight="true" outlineLevel="0" collapsed="false">
      <c r="C1091" s="6" t="n">
        <f aca="false">MOD(ROW()-1, 208)</f>
        <v>50</v>
      </c>
      <c r="D1091" s="6" t="n">
        <f aca="false">INT((ROW()-1)/208)</f>
        <v>5</v>
      </c>
      <c r="F1091" s="6" t="str">
        <f aca="false">MID(VLOOKUP(D1091,$P$1:$Q$13,2,0), 1 + C1091,1)</f>
        <v>쁑</v>
      </c>
      <c r="G1091" s="6" t="str">
        <f aca="false">DEC2HEX(D1091+36, 2)</f>
        <v>29</v>
      </c>
      <c r="H1091" s="6" t="str">
        <f aca="false">DEC2HEX(C1091+48,2)</f>
        <v>62</v>
      </c>
      <c r="I1091" s="6" t="str">
        <f aca="false">_xlfn.CONCAT("\x", G1091, "\x", H1091, "=", F1091)</f>
        <v>\x29\x62=쁑</v>
      </c>
      <c r="M1091" s="8"/>
    </row>
    <row r="1092" customFormat="false" ht="12.8" hidden="false" customHeight="true" outlineLevel="0" collapsed="false">
      <c r="C1092" s="6" t="n">
        <f aca="false">MOD(ROW()-1, 208)</f>
        <v>51</v>
      </c>
      <c r="D1092" s="6" t="n">
        <f aca="false">INT((ROW()-1)/208)</f>
        <v>5</v>
      </c>
      <c r="F1092" s="6" t="str">
        <f aca="false">MID(VLOOKUP(D1092,$P$1:$Q$13,2,0), 1 + C1092,1)</f>
        <v>쁘</v>
      </c>
      <c r="G1092" s="6" t="str">
        <f aca="false">DEC2HEX(D1092+36, 2)</f>
        <v>29</v>
      </c>
      <c r="H1092" s="6" t="str">
        <f aca="false">DEC2HEX(C1092+48,2)</f>
        <v>63</v>
      </c>
      <c r="I1092" s="6" t="str">
        <f aca="false">_xlfn.CONCAT("\x", G1092, "\x", H1092, "=", F1092)</f>
        <v>\x29\x63=쁘</v>
      </c>
      <c r="M1092" s="8"/>
    </row>
    <row r="1093" customFormat="false" ht="12.8" hidden="false" customHeight="true" outlineLevel="0" collapsed="false">
      <c r="C1093" s="6" t="n">
        <f aca="false">MOD(ROW()-1, 208)</f>
        <v>52</v>
      </c>
      <c r="D1093" s="6" t="n">
        <f aca="false">INT((ROW()-1)/208)</f>
        <v>5</v>
      </c>
      <c r="F1093" s="6" t="str">
        <f aca="false">MID(VLOOKUP(D1093,$P$1:$Q$13,2,0), 1 + C1093,1)</f>
        <v>쁜</v>
      </c>
      <c r="G1093" s="6" t="str">
        <f aca="false">DEC2HEX(D1093+36, 2)</f>
        <v>29</v>
      </c>
      <c r="H1093" s="6" t="str">
        <f aca="false">DEC2HEX(C1093+48,2)</f>
        <v>64</v>
      </c>
      <c r="I1093" s="6" t="str">
        <f aca="false">_xlfn.CONCAT("\x", G1093, "\x", H1093, "=", F1093)</f>
        <v>\x29\x64=쁜</v>
      </c>
      <c r="M1093" s="8"/>
    </row>
    <row r="1094" customFormat="false" ht="12.8" hidden="false" customHeight="true" outlineLevel="0" collapsed="false">
      <c r="C1094" s="6" t="n">
        <f aca="false">MOD(ROW()-1, 208)</f>
        <v>53</v>
      </c>
      <c r="D1094" s="6" t="n">
        <f aca="false">INT((ROW()-1)/208)</f>
        <v>5</v>
      </c>
      <c r="F1094" s="6" t="str">
        <f aca="false">MID(VLOOKUP(D1094,$P$1:$Q$13,2,0), 1 + C1094,1)</f>
        <v>쁠</v>
      </c>
      <c r="G1094" s="6" t="str">
        <f aca="false">DEC2HEX(D1094+36, 2)</f>
        <v>29</v>
      </c>
      <c r="H1094" s="6" t="str">
        <f aca="false">DEC2HEX(C1094+48,2)</f>
        <v>65</v>
      </c>
      <c r="I1094" s="6" t="str">
        <f aca="false">_xlfn.CONCAT("\x", G1094, "\x", H1094, "=", F1094)</f>
        <v>\x29\x65=쁠</v>
      </c>
      <c r="M1094" s="8"/>
    </row>
    <row r="1095" customFormat="false" ht="12.8" hidden="false" customHeight="true" outlineLevel="0" collapsed="false">
      <c r="C1095" s="6" t="n">
        <f aca="false">MOD(ROW()-1, 208)</f>
        <v>54</v>
      </c>
      <c r="D1095" s="6" t="n">
        <f aca="false">INT((ROW()-1)/208)</f>
        <v>5</v>
      </c>
      <c r="F1095" s="6" t="str">
        <f aca="false">MID(VLOOKUP(D1095,$P$1:$Q$13,2,0), 1 + C1095,1)</f>
        <v>쁨</v>
      </c>
      <c r="G1095" s="6" t="str">
        <f aca="false">DEC2HEX(D1095+36, 2)</f>
        <v>29</v>
      </c>
      <c r="H1095" s="6" t="str">
        <f aca="false">DEC2HEX(C1095+48,2)</f>
        <v>66</v>
      </c>
      <c r="I1095" s="6" t="str">
        <f aca="false">_xlfn.CONCAT("\x", G1095, "\x", H1095, "=", F1095)</f>
        <v>\x29\x66=쁨</v>
      </c>
      <c r="M1095" s="8"/>
    </row>
    <row r="1096" customFormat="false" ht="12.8" hidden="false" customHeight="true" outlineLevel="0" collapsed="false">
      <c r="C1096" s="6" t="n">
        <f aca="false">MOD(ROW()-1, 208)</f>
        <v>55</v>
      </c>
      <c r="D1096" s="6" t="n">
        <f aca="false">INT((ROW()-1)/208)</f>
        <v>5</v>
      </c>
      <c r="F1096" s="6" t="str">
        <f aca="false">MID(VLOOKUP(D1096,$P$1:$Q$13,2,0), 1 + C1096,1)</f>
        <v>쁩</v>
      </c>
      <c r="G1096" s="6" t="str">
        <f aca="false">DEC2HEX(D1096+36, 2)</f>
        <v>29</v>
      </c>
      <c r="H1096" s="6" t="str">
        <f aca="false">DEC2HEX(C1096+48,2)</f>
        <v>67</v>
      </c>
      <c r="I1096" s="6" t="str">
        <f aca="false">_xlfn.CONCAT("\x", G1096, "\x", H1096, "=", F1096)</f>
        <v>\x29\x67=쁩</v>
      </c>
      <c r="M1096" s="8"/>
    </row>
    <row r="1097" customFormat="false" ht="12.8" hidden="false" customHeight="true" outlineLevel="0" collapsed="false">
      <c r="C1097" s="6" t="n">
        <f aca="false">MOD(ROW()-1, 208)</f>
        <v>56</v>
      </c>
      <c r="D1097" s="6" t="n">
        <f aca="false">INT((ROW()-1)/208)</f>
        <v>5</v>
      </c>
      <c r="F1097" s="6" t="str">
        <f aca="false">MID(VLOOKUP(D1097,$P$1:$Q$13,2,0), 1 + C1097,1)</f>
        <v>삐</v>
      </c>
      <c r="G1097" s="6" t="str">
        <f aca="false">DEC2HEX(D1097+36, 2)</f>
        <v>29</v>
      </c>
      <c r="H1097" s="6" t="str">
        <f aca="false">DEC2HEX(C1097+48,2)</f>
        <v>68</v>
      </c>
      <c r="I1097" s="6" t="str">
        <f aca="false">_xlfn.CONCAT("\x", G1097, "\x", H1097, "=", F1097)</f>
        <v>\x29\x68=삐</v>
      </c>
      <c r="M1097" s="8"/>
    </row>
    <row r="1098" customFormat="false" ht="12.8" hidden="false" customHeight="true" outlineLevel="0" collapsed="false">
      <c r="C1098" s="6" t="n">
        <f aca="false">MOD(ROW()-1, 208)</f>
        <v>57</v>
      </c>
      <c r="D1098" s="6" t="n">
        <f aca="false">INT((ROW()-1)/208)</f>
        <v>5</v>
      </c>
      <c r="F1098" s="6" t="str">
        <f aca="false">MID(VLOOKUP(D1098,$P$1:$Q$13,2,0), 1 + C1098,1)</f>
        <v>삑</v>
      </c>
      <c r="G1098" s="6" t="str">
        <f aca="false">DEC2HEX(D1098+36, 2)</f>
        <v>29</v>
      </c>
      <c r="H1098" s="6" t="str">
        <f aca="false">DEC2HEX(C1098+48,2)</f>
        <v>69</v>
      </c>
      <c r="I1098" s="6" t="str">
        <f aca="false">_xlfn.CONCAT("\x", G1098, "\x", H1098, "=", F1098)</f>
        <v>\x29\x69=삑</v>
      </c>
      <c r="M1098" s="8"/>
    </row>
    <row r="1099" customFormat="false" ht="12.8" hidden="false" customHeight="true" outlineLevel="0" collapsed="false">
      <c r="C1099" s="6" t="n">
        <f aca="false">MOD(ROW()-1, 208)</f>
        <v>58</v>
      </c>
      <c r="D1099" s="6" t="n">
        <f aca="false">INT((ROW()-1)/208)</f>
        <v>5</v>
      </c>
      <c r="F1099" s="6" t="str">
        <f aca="false">MID(VLOOKUP(D1099,$P$1:$Q$13,2,0), 1 + C1099,1)</f>
        <v>삔</v>
      </c>
      <c r="G1099" s="6" t="str">
        <f aca="false">DEC2HEX(D1099+36, 2)</f>
        <v>29</v>
      </c>
      <c r="H1099" s="6" t="str">
        <f aca="false">DEC2HEX(C1099+48,2)</f>
        <v>6A</v>
      </c>
      <c r="I1099" s="6" t="str">
        <f aca="false">_xlfn.CONCAT("\x", G1099, "\x", H1099, "=", F1099)</f>
        <v>\x29\x6A=삔</v>
      </c>
      <c r="M1099" s="8"/>
    </row>
    <row r="1100" customFormat="false" ht="12.8" hidden="false" customHeight="true" outlineLevel="0" collapsed="false">
      <c r="C1100" s="6" t="n">
        <f aca="false">MOD(ROW()-1, 208)</f>
        <v>59</v>
      </c>
      <c r="D1100" s="6" t="n">
        <f aca="false">INT((ROW()-1)/208)</f>
        <v>5</v>
      </c>
      <c r="F1100" s="6" t="str">
        <f aca="false">MID(VLOOKUP(D1100,$P$1:$Q$13,2,0), 1 + C1100,1)</f>
        <v>삘</v>
      </c>
      <c r="G1100" s="6" t="str">
        <f aca="false">DEC2HEX(D1100+36, 2)</f>
        <v>29</v>
      </c>
      <c r="H1100" s="6" t="str">
        <f aca="false">DEC2HEX(C1100+48,2)</f>
        <v>6B</v>
      </c>
      <c r="I1100" s="6" t="str">
        <f aca="false">_xlfn.CONCAT("\x", G1100, "\x", H1100, "=", F1100)</f>
        <v>\x29\x6B=삘</v>
      </c>
      <c r="M1100" s="8"/>
    </row>
    <row r="1101" customFormat="false" ht="12.8" hidden="false" customHeight="true" outlineLevel="0" collapsed="false">
      <c r="C1101" s="6" t="n">
        <f aca="false">MOD(ROW()-1, 208)</f>
        <v>60</v>
      </c>
      <c r="D1101" s="6" t="n">
        <f aca="false">INT((ROW()-1)/208)</f>
        <v>5</v>
      </c>
      <c r="F1101" s="6" t="str">
        <f aca="false">MID(VLOOKUP(D1101,$P$1:$Q$13,2,0), 1 + C1101,1)</f>
        <v>삠</v>
      </c>
      <c r="G1101" s="6" t="str">
        <f aca="false">DEC2HEX(D1101+36, 2)</f>
        <v>29</v>
      </c>
      <c r="H1101" s="6" t="str">
        <f aca="false">DEC2HEX(C1101+48,2)</f>
        <v>6C</v>
      </c>
      <c r="I1101" s="6" t="str">
        <f aca="false">_xlfn.CONCAT("\x", G1101, "\x", H1101, "=", F1101)</f>
        <v>\x29\x6C=삠</v>
      </c>
      <c r="M1101" s="8"/>
    </row>
    <row r="1102" customFormat="false" ht="12.8" hidden="false" customHeight="true" outlineLevel="0" collapsed="false">
      <c r="C1102" s="6" t="n">
        <f aca="false">MOD(ROW()-1, 208)</f>
        <v>61</v>
      </c>
      <c r="D1102" s="6" t="n">
        <f aca="false">INT((ROW()-1)/208)</f>
        <v>5</v>
      </c>
      <c r="F1102" s="6" t="str">
        <f aca="false">MID(VLOOKUP(D1102,$P$1:$Q$13,2,0), 1 + C1102,1)</f>
        <v>삡</v>
      </c>
      <c r="G1102" s="6" t="str">
        <f aca="false">DEC2HEX(D1102+36, 2)</f>
        <v>29</v>
      </c>
      <c r="H1102" s="6" t="str">
        <f aca="false">DEC2HEX(C1102+48,2)</f>
        <v>6D</v>
      </c>
      <c r="I1102" s="6" t="str">
        <f aca="false">_xlfn.CONCAT("\x", G1102, "\x", H1102, "=", F1102)</f>
        <v>\x29\x6D=삡</v>
      </c>
      <c r="M1102" s="8"/>
    </row>
    <row r="1103" customFormat="false" ht="12.8" hidden="false" customHeight="true" outlineLevel="0" collapsed="false">
      <c r="C1103" s="6" t="n">
        <f aca="false">MOD(ROW()-1, 208)</f>
        <v>62</v>
      </c>
      <c r="D1103" s="6" t="n">
        <f aca="false">INT((ROW()-1)/208)</f>
        <v>5</v>
      </c>
      <c r="F1103" s="6" t="str">
        <f aca="false">MID(VLOOKUP(D1103,$P$1:$Q$13,2,0), 1 + C1103,1)</f>
        <v>삣</v>
      </c>
      <c r="G1103" s="6" t="str">
        <f aca="false">DEC2HEX(D1103+36, 2)</f>
        <v>29</v>
      </c>
      <c r="H1103" s="6" t="str">
        <f aca="false">DEC2HEX(C1103+48,2)</f>
        <v>6E</v>
      </c>
      <c r="I1103" s="6" t="str">
        <f aca="false">_xlfn.CONCAT("\x", G1103, "\x", H1103, "=", F1103)</f>
        <v>\x29\x6E=삣</v>
      </c>
      <c r="M1103" s="8"/>
    </row>
    <row r="1104" customFormat="false" ht="12.8" hidden="false" customHeight="true" outlineLevel="0" collapsed="false">
      <c r="C1104" s="6" t="n">
        <f aca="false">MOD(ROW()-1, 208)</f>
        <v>63</v>
      </c>
      <c r="D1104" s="6" t="n">
        <f aca="false">INT((ROW()-1)/208)</f>
        <v>5</v>
      </c>
      <c r="F1104" s="6" t="str">
        <f aca="false">MID(VLOOKUP(D1104,$P$1:$Q$13,2,0), 1 + C1104,1)</f>
        <v>삥</v>
      </c>
      <c r="G1104" s="6" t="str">
        <f aca="false">DEC2HEX(D1104+36, 2)</f>
        <v>29</v>
      </c>
      <c r="H1104" s="6" t="str">
        <f aca="false">DEC2HEX(C1104+48,2)</f>
        <v>6F</v>
      </c>
      <c r="I1104" s="6" t="str">
        <f aca="false">_xlfn.CONCAT("\x", G1104, "\x", H1104, "=", F1104)</f>
        <v>\x29\x6F=삥</v>
      </c>
      <c r="M1104" s="8"/>
    </row>
    <row r="1105" customFormat="false" ht="12.8" hidden="false" customHeight="true" outlineLevel="0" collapsed="false">
      <c r="C1105" s="6" t="n">
        <f aca="false">MOD(ROW()-1, 208)</f>
        <v>64</v>
      </c>
      <c r="D1105" s="6" t="n">
        <f aca="false">INT((ROW()-1)/208)</f>
        <v>5</v>
      </c>
      <c r="F1105" s="6" t="str">
        <f aca="false">MID(VLOOKUP(D1105,$P$1:$Q$13,2,0), 1 + C1105,1)</f>
        <v>사</v>
      </c>
      <c r="G1105" s="6" t="str">
        <f aca="false">DEC2HEX(D1105+36, 2)</f>
        <v>29</v>
      </c>
      <c r="H1105" s="6" t="str">
        <f aca="false">DEC2HEX(C1105+48,2)</f>
        <v>70</v>
      </c>
      <c r="I1105" s="6" t="str">
        <f aca="false">_xlfn.CONCAT("\x", G1105, "\x", H1105, "=", F1105)</f>
        <v>\x29\x70=사</v>
      </c>
      <c r="M1105" s="8"/>
    </row>
    <row r="1106" customFormat="false" ht="12.8" hidden="false" customHeight="true" outlineLevel="0" collapsed="false">
      <c r="C1106" s="6" t="n">
        <f aca="false">MOD(ROW()-1, 208)</f>
        <v>65</v>
      </c>
      <c r="D1106" s="6" t="n">
        <f aca="false">INT((ROW()-1)/208)</f>
        <v>5</v>
      </c>
      <c r="F1106" s="6" t="str">
        <f aca="false">MID(VLOOKUP(D1106,$P$1:$Q$13,2,0), 1 + C1106,1)</f>
        <v>삭</v>
      </c>
      <c r="G1106" s="6" t="str">
        <f aca="false">DEC2HEX(D1106+36, 2)</f>
        <v>29</v>
      </c>
      <c r="H1106" s="6" t="str">
        <f aca="false">DEC2HEX(C1106+48,2)</f>
        <v>71</v>
      </c>
      <c r="I1106" s="6" t="str">
        <f aca="false">_xlfn.CONCAT("\x", G1106, "\x", H1106, "=", F1106)</f>
        <v>\x29\x71=삭</v>
      </c>
      <c r="M1106" s="8"/>
    </row>
    <row r="1107" customFormat="false" ht="12.8" hidden="false" customHeight="true" outlineLevel="0" collapsed="false">
      <c r="C1107" s="6" t="n">
        <f aca="false">MOD(ROW()-1, 208)</f>
        <v>66</v>
      </c>
      <c r="D1107" s="6" t="n">
        <f aca="false">INT((ROW()-1)/208)</f>
        <v>5</v>
      </c>
      <c r="F1107" s="6" t="str">
        <f aca="false">MID(VLOOKUP(D1107,$P$1:$Q$13,2,0), 1 + C1107,1)</f>
        <v>삯</v>
      </c>
      <c r="G1107" s="6" t="str">
        <f aca="false">DEC2HEX(D1107+36, 2)</f>
        <v>29</v>
      </c>
      <c r="H1107" s="6" t="str">
        <f aca="false">DEC2HEX(C1107+48,2)</f>
        <v>72</v>
      </c>
      <c r="I1107" s="6" t="str">
        <f aca="false">_xlfn.CONCAT("\x", G1107, "\x", H1107, "=", F1107)</f>
        <v>\x29\x72=삯</v>
      </c>
      <c r="M1107" s="8"/>
    </row>
    <row r="1108" customFormat="false" ht="12.8" hidden="false" customHeight="true" outlineLevel="0" collapsed="false">
      <c r="C1108" s="6" t="n">
        <f aca="false">MOD(ROW()-1, 208)</f>
        <v>67</v>
      </c>
      <c r="D1108" s="6" t="n">
        <f aca="false">INT((ROW()-1)/208)</f>
        <v>5</v>
      </c>
      <c r="F1108" s="6" t="str">
        <f aca="false">MID(VLOOKUP(D1108,$P$1:$Q$13,2,0), 1 + C1108,1)</f>
        <v>산</v>
      </c>
      <c r="G1108" s="6" t="str">
        <f aca="false">DEC2HEX(D1108+36, 2)</f>
        <v>29</v>
      </c>
      <c r="H1108" s="6" t="str">
        <f aca="false">DEC2HEX(C1108+48,2)</f>
        <v>73</v>
      </c>
      <c r="I1108" s="6" t="str">
        <f aca="false">_xlfn.CONCAT("\x", G1108, "\x", H1108, "=", F1108)</f>
        <v>\x29\x73=산</v>
      </c>
      <c r="M1108" s="8"/>
    </row>
    <row r="1109" customFormat="false" ht="12.8" hidden="false" customHeight="true" outlineLevel="0" collapsed="false">
      <c r="C1109" s="6" t="n">
        <f aca="false">MOD(ROW()-1, 208)</f>
        <v>68</v>
      </c>
      <c r="D1109" s="6" t="n">
        <f aca="false">INT((ROW()-1)/208)</f>
        <v>5</v>
      </c>
      <c r="F1109" s="6" t="str">
        <f aca="false">MID(VLOOKUP(D1109,$P$1:$Q$13,2,0), 1 + C1109,1)</f>
        <v>삳</v>
      </c>
      <c r="G1109" s="6" t="str">
        <f aca="false">DEC2HEX(D1109+36, 2)</f>
        <v>29</v>
      </c>
      <c r="H1109" s="6" t="str">
        <f aca="false">DEC2HEX(C1109+48,2)</f>
        <v>74</v>
      </c>
      <c r="I1109" s="6" t="str">
        <f aca="false">_xlfn.CONCAT("\x", G1109, "\x", H1109, "=", F1109)</f>
        <v>\x29\x74=삳</v>
      </c>
      <c r="M1109" s="8"/>
    </row>
    <row r="1110" customFormat="false" ht="12.8" hidden="false" customHeight="true" outlineLevel="0" collapsed="false">
      <c r="C1110" s="6" t="n">
        <f aca="false">MOD(ROW()-1, 208)</f>
        <v>69</v>
      </c>
      <c r="D1110" s="6" t="n">
        <f aca="false">INT((ROW()-1)/208)</f>
        <v>5</v>
      </c>
      <c r="F1110" s="6" t="str">
        <f aca="false">MID(VLOOKUP(D1110,$P$1:$Q$13,2,0), 1 + C1110,1)</f>
        <v>살</v>
      </c>
      <c r="G1110" s="6" t="str">
        <f aca="false">DEC2HEX(D1110+36, 2)</f>
        <v>29</v>
      </c>
      <c r="H1110" s="6" t="str">
        <f aca="false">DEC2HEX(C1110+48,2)</f>
        <v>75</v>
      </c>
      <c r="I1110" s="6" t="str">
        <f aca="false">_xlfn.CONCAT("\x", G1110, "\x", H1110, "=", F1110)</f>
        <v>\x29\x75=살</v>
      </c>
      <c r="M1110" s="8"/>
    </row>
    <row r="1111" customFormat="false" ht="12.8" hidden="false" customHeight="true" outlineLevel="0" collapsed="false">
      <c r="C1111" s="6" t="n">
        <f aca="false">MOD(ROW()-1, 208)</f>
        <v>70</v>
      </c>
      <c r="D1111" s="6" t="n">
        <f aca="false">INT((ROW()-1)/208)</f>
        <v>5</v>
      </c>
      <c r="F1111" s="6" t="str">
        <f aca="false">MID(VLOOKUP(D1111,$P$1:$Q$13,2,0), 1 + C1111,1)</f>
        <v>삵</v>
      </c>
      <c r="G1111" s="6" t="str">
        <f aca="false">DEC2HEX(D1111+36, 2)</f>
        <v>29</v>
      </c>
      <c r="H1111" s="6" t="str">
        <f aca="false">DEC2HEX(C1111+48,2)</f>
        <v>76</v>
      </c>
      <c r="I1111" s="6" t="str">
        <f aca="false">_xlfn.CONCAT("\x", G1111, "\x", H1111, "=", F1111)</f>
        <v>\x29\x76=삵</v>
      </c>
      <c r="M1111" s="8"/>
    </row>
    <row r="1112" customFormat="false" ht="12.8" hidden="false" customHeight="true" outlineLevel="0" collapsed="false">
      <c r="C1112" s="6" t="n">
        <f aca="false">MOD(ROW()-1, 208)</f>
        <v>71</v>
      </c>
      <c r="D1112" s="6" t="n">
        <f aca="false">INT((ROW()-1)/208)</f>
        <v>5</v>
      </c>
      <c r="F1112" s="6" t="str">
        <f aca="false">MID(VLOOKUP(D1112,$P$1:$Q$13,2,0), 1 + C1112,1)</f>
        <v>삶</v>
      </c>
      <c r="G1112" s="6" t="str">
        <f aca="false">DEC2HEX(D1112+36, 2)</f>
        <v>29</v>
      </c>
      <c r="H1112" s="6" t="str">
        <f aca="false">DEC2HEX(C1112+48,2)</f>
        <v>77</v>
      </c>
      <c r="I1112" s="6" t="str">
        <f aca="false">_xlfn.CONCAT("\x", G1112, "\x", H1112, "=", F1112)</f>
        <v>\x29\x77=삶</v>
      </c>
      <c r="M1112" s="8"/>
    </row>
    <row r="1113" customFormat="false" ht="12.8" hidden="false" customHeight="true" outlineLevel="0" collapsed="false">
      <c r="C1113" s="6" t="n">
        <f aca="false">MOD(ROW()-1, 208)</f>
        <v>72</v>
      </c>
      <c r="D1113" s="6" t="n">
        <f aca="false">INT((ROW()-1)/208)</f>
        <v>5</v>
      </c>
      <c r="F1113" s="6" t="str">
        <f aca="false">MID(VLOOKUP(D1113,$P$1:$Q$13,2,0), 1 + C1113,1)</f>
        <v>삼</v>
      </c>
      <c r="G1113" s="6" t="str">
        <f aca="false">DEC2HEX(D1113+36, 2)</f>
        <v>29</v>
      </c>
      <c r="H1113" s="6" t="str">
        <f aca="false">DEC2HEX(C1113+48,2)</f>
        <v>78</v>
      </c>
      <c r="I1113" s="6" t="str">
        <f aca="false">_xlfn.CONCAT("\x", G1113, "\x", H1113, "=", F1113)</f>
        <v>\x29\x78=삼</v>
      </c>
      <c r="M1113" s="8"/>
    </row>
    <row r="1114" customFormat="false" ht="12.8" hidden="false" customHeight="true" outlineLevel="0" collapsed="false">
      <c r="C1114" s="6" t="n">
        <f aca="false">MOD(ROW()-1, 208)</f>
        <v>73</v>
      </c>
      <c r="D1114" s="6" t="n">
        <f aca="false">INT((ROW()-1)/208)</f>
        <v>5</v>
      </c>
      <c r="F1114" s="6" t="str">
        <f aca="false">MID(VLOOKUP(D1114,$P$1:$Q$13,2,0), 1 + C1114,1)</f>
        <v>삽</v>
      </c>
      <c r="G1114" s="6" t="str">
        <f aca="false">DEC2HEX(D1114+36, 2)</f>
        <v>29</v>
      </c>
      <c r="H1114" s="6" t="str">
        <f aca="false">DEC2HEX(C1114+48,2)</f>
        <v>79</v>
      </c>
      <c r="I1114" s="6" t="str">
        <f aca="false">_xlfn.CONCAT("\x", G1114, "\x", H1114, "=", F1114)</f>
        <v>\x29\x79=삽</v>
      </c>
      <c r="M1114" s="8"/>
    </row>
    <row r="1115" customFormat="false" ht="12.8" hidden="false" customHeight="true" outlineLevel="0" collapsed="false">
      <c r="C1115" s="6" t="n">
        <f aca="false">MOD(ROW()-1, 208)</f>
        <v>74</v>
      </c>
      <c r="D1115" s="6" t="n">
        <f aca="false">INT((ROW()-1)/208)</f>
        <v>5</v>
      </c>
      <c r="F1115" s="6" t="str">
        <f aca="false">MID(VLOOKUP(D1115,$P$1:$Q$13,2,0), 1 + C1115,1)</f>
        <v>삿</v>
      </c>
      <c r="G1115" s="6" t="str">
        <f aca="false">DEC2HEX(D1115+36, 2)</f>
        <v>29</v>
      </c>
      <c r="H1115" s="6" t="str">
        <f aca="false">DEC2HEX(C1115+48,2)</f>
        <v>7A</v>
      </c>
      <c r="I1115" s="6" t="str">
        <f aca="false">_xlfn.CONCAT("\x", G1115, "\x", H1115, "=", F1115)</f>
        <v>\x29\x7A=삿</v>
      </c>
      <c r="M1115" s="8"/>
    </row>
    <row r="1116" customFormat="false" ht="12.8" hidden="false" customHeight="true" outlineLevel="0" collapsed="false">
      <c r="C1116" s="6" t="n">
        <f aca="false">MOD(ROW()-1, 208)</f>
        <v>75</v>
      </c>
      <c r="D1116" s="6" t="n">
        <f aca="false">INT((ROW()-1)/208)</f>
        <v>5</v>
      </c>
      <c r="F1116" s="6" t="str">
        <f aca="false">MID(VLOOKUP(D1116,$P$1:$Q$13,2,0), 1 + C1116,1)</f>
        <v>샀</v>
      </c>
      <c r="G1116" s="6" t="str">
        <f aca="false">DEC2HEX(D1116+36, 2)</f>
        <v>29</v>
      </c>
      <c r="H1116" s="6" t="str">
        <f aca="false">DEC2HEX(C1116+48,2)</f>
        <v>7B</v>
      </c>
      <c r="I1116" s="6" t="str">
        <f aca="false">_xlfn.CONCAT("\x", G1116, "\x", H1116, "=", F1116)</f>
        <v>\x29\x7B=샀</v>
      </c>
      <c r="M1116" s="8"/>
    </row>
    <row r="1117" customFormat="false" ht="12.8" hidden="false" customHeight="true" outlineLevel="0" collapsed="false">
      <c r="C1117" s="6" t="n">
        <f aca="false">MOD(ROW()-1, 208)</f>
        <v>76</v>
      </c>
      <c r="D1117" s="6" t="n">
        <f aca="false">INT((ROW()-1)/208)</f>
        <v>5</v>
      </c>
      <c r="F1117" s="6" t="str">
        <f aca="false">MID(VLOOKUP(D1117,$P$1:$Q$13,2,0), 1 + C1117,1)</f>
        <v>상</v>
      </c>
      <c r="G1117" s="6" t="str">
        <f aca="false">DEC2HEX(D1117+36, 2)</f>
        <v>29</v>
      </c>
      <c r="H1117" s="6" t="str">
        <f aca="false">DEC2HEX(C1117+48,2)</f>
        <v>7C</v>
      </c>
      <c r="I1117" s="6" t="str">
        <f aca="false">_xlfn.CONCAT("\x", G1117, "\x", H1117, "=", F1117)</f>
        <v>\x29\x7C=상</v>
      </c>
      <c r="M1117" s="8"/>
    </row>
    <row r="1118" customFormat="false" ht="12.8" hidden="false" customHeight="true" outlineLevel="0" collapsed="false">
      <c r="C1118" s="6" t="n">
        <f aca="false">MOD(ROW()-1, 208)</f>
        <v>77</v>
      </c>
      <c r="D1118" s="6" t="n">
        <f aca="false">INT((ROW()-1)/208)</f>
        <v>5</v>
      </c>
      <c r="F1118" s="6" t="str">
        <f aca="false">MID(VLOOKUP(D1118,$P$1:$Q$13,2,0), 1 + C1118,1)</f>
        <v>샅</v>
      </c>
      <c r="G1118" s="6" t="str">
        <f aca="false">DEC2HEX(D1118+36, 2)</f>
        <v>29</v>
      </c>
      <c r="H1118" s="6" t="str">
        <f aca="false">DEC2HEX(C1118+48,2)</f>
        <v>7D</v>
      </c>
      <c r="I1118" s="6" t="str">
        <f aca="false">_xlfn.CONCAT("\x", G1118, "\x", H1118, "=", F1118)</f>
        <v>\x29\x7D=샅</v>
      </c>
      <c r="M1118" s="8"/>
    </row>
    <row r="1119" customFormat="false" ht="12.8" hidden="false" customHeight="true" outlineLevel="0" collapsed="false">
      <c r="C1119" s="6" t="n">
        <f aca="false">MOD(ROW()-1, 208)</f>
        <v>78</v>
      </c>
      <c r="D1119" s="6" t="n">
        <f aca="false">INT((ROW()-1)/208)</f>
        <v>5</v>
      </c>
      <c r="F1119" s="6" t="str">
        <f aca="false">MID(VLOOKUP(D1119,$P$1:$Q$13,2,0), 1 + C1119,1)</f>
        <v>새</v>
      </c>
      <c r="G1119" s="6" t="str">
        <f aca="false">DEC2HEX(D1119+36, 2)</f>
        <v>29</v>
      </c>
      <c r="H1119" s="6" t="str">
        <f aca="false">DEC2HEX(C1119+48,2)</f>
        <v>7E</v>
      </c>
      <c r="I1119" s="6" t="str">
        <f aca="false">_xlfn.CONCAT("\x", G1119, "\x", H1119, "=", F1119)</f>
        <v>\x29\x7E=새</v>
      </c>
      <c r="M1119" s="8"/>
    </row>
    <row r="1120" customFormat="false" ht="12.8" hidden="false" customHeight="true" outlineLevel="0" collapsed="false">
      <c r="C1120" s="6" t="n">
        <f aca="false">MOD(ROW()-1, 208)</f>
        <v>79</v>
      </c>
      <c r="D1120" s="6" t="n">
        <f aca="false">INT((ROW()-1)/208)</f>
        <v>5</v>
      </c>
      <c r="F1120" s="6" t="str">
        <f aca="false">MID(VLOOKUP(D1120,$P$1:$Q$13,2,0), 1 + C1120,1)</f>
        <v>색</v>
      </c>
      <c r="G1120" s="6" t="str">
        <f aca="false">DEC2HEX(D1120+36, 2)</f>
        <v>29</v>
      </c>
      <c r="H1120" s="6" t="str">
        <f aca="false">DEC2HEX(C1120+48,2)</f>
        <v>7F</v>
      </c>
      <c r="I1120" s="6" t="str">
        <f aca="false">_xlfn.CONCAT("\x", G1120, "\x", H1120, "=", F1120)</f>
        <v>\x29\x7F=색</v>
      </c>
      <c r="M1120" s="8"/>
    </row>
    <row r="1121" customFormat="false" ht="12.8" hidden="false" customHeight="true" outlineLevel="0" collapsed="false">
      <c r="C1121" s="6" t="n">
        <f aca="false">MOD(ROW()-1, 208)</f>
        <v>80</v>
      </c>
      <c r="D1121" s="6" t="n">
        <f aca="false">INT((ROW()-1)/208)</f>
        <v>5</v>
      </c>
      <c r="F1121" s="6" t="str">
        <f aca="false">MID(VLOOKUP(D1121,$P$1:$Q$13,2,0), 1 + C1121,1)</f>
        <v>샌</v>
      </c>
      <c r="G1121" s="6" t="str">
        <f aca="false">DEC2HEX(D1121+36, 2)</f>
        <v>29</v>
      </c>
      <c r="H1121" s="6" t="str">
        <f aca="false">DEC2HEX(C1121+48,2)</f>
        <v>80</v>
      </c>
      <c r="I1121" s="6" t="str">
        <f aca="false">_xlfn.CONCAT("\x", G1121, "\x", H1121, "=", F1121)</f>
        <v>\x29\x80=샌</v>
      </c>
      <c r="M1121" s="8"/>
    </row>
    <row r="1122" customFormat="false" ht="12.8" hidden="false" customHeight="true" outlineLevel="0" collapsed="false">
      <c r="C1122" s="6" t="n">
        <f aca="false">MOD(ROW()-1, 208)</f>
        <v>81</v>
      </c>
      <c r="D1122" s="6" t="n">
        <f aca="false">INT((ROW()-1)/208)</f>
        <v>5</v>
      </c>
      <c r="F1122" s="6" t="str">
        <f aca="false">MID(VLOOKUP(D1122,$P$1:$Q$13,2,0), 1 + C1122,1)</f>
        <v>샐</v>
      </c>
      <c r="G1122" s="6" t="str">
        <f aca="false">DEC2HEX(D1122+36, 2)</f>
        <v>29</v>
      </c>
      <c r="H1122" s="6" t="str">
        <f aca="false">DEC2HEX(C1122+48,2)</f>
        <v>81</v>
      </c>
      <c r="I1122" s="6" t="str">
        <f aca="false">_xlfn.CONCAT("\x", G1122, "\x", H1122, "=", F1122)</f>
        <v>\x29\x81=샐</v>
      </c>
      <c r="M1122" s="8"/>
    </row>
    <row r="1123" customFormat="false" ht="12.8" hidden="false" customHeight="true" outlineLevel="0" collapsed="false">
      <c r="C1123" s="6" t="n">
        <f aca="false">MOD(ROW()-1, 208)</f>
        <v>82</v>
      </c>
      <c r="D1123" s="6" t="n">
        <f aca="false">INT((ROW()-1)/208)</f>
        <v>5</v>
      </c>
      <c r="F1123" s="6" t="str">
        <f aca="false">MID(VLOOKUP(D1123,$P$1:$Q$13,2,0), 1 + C1123,1)</f>
        <v>샘</v>
      </c>
      <c r="G1123" s="6" t="str">
        <f aca="false">DEC2HEX(D1123+36, 2)</f>
        <v>29</v>
      </c>
      <c r="H1123" s="6" t="str">
        <f aca="false">DEC2HEX(C1123+48,2)</f>
        <v>82</v>
      </c>
      <c r="I1123" s="6" t="str">
        <f aca="false">_xlfn.CONCAT("\x", G1123, "\x", H1123, "=", F1123)</f>
        <v>\x29\x82=샘</v>
      </c>
      <c r="M1123" s="8"/>
    </row>
    <row r="1124" customFormat="false" ht="12.8" hidden="false" customHeight="true" outlineLevel="0" collapsed="false">
      <c r="C1124" s="6" t="n">
        <f aca="false">MOD(ROW()-1, 208)</f>
        <v>83</v>
      </c>
      <c r="D1124" s="6" t="n">
        <f aca="false">INT((ROW()-1)/208)</f>
        <v>5</v>
      </c>
      <c r="F1124" s="6" t="str">
        <f aca="false">MID(VLOOKUP(D1124,$P$1:$Q$13,2,0), 1 + C1124,1)</f>
        <v>샙</v>
      </c>
      <c r="G1124" s="6" t="str">
        <f aca="false">DEC2HEX(D1124+36, 2)</f>
        <v>29</v>
      </c>
      <c r="H1124" s="6" t="str">
        <f aca="false">DEC2HEX(C1124+48,2)</f>
        <v>83</v>
      </c>
      <c r="I1124" s="6" t="str">
        <f aca="false">_xlfn.CONCAT("\x", G1124, "\x", H1124, "=", F1124)</f>
        <v>\x29\x83=샙</v>
      </c>
      <c r="M1124" s="8"/>
    </row>
    <row r="1125" customFormat="false" ht="12.8" hidden="false" customHeight="true" outlineLevel="0" collapsed="false">
      <c r="C1125" s="6" t="n">
        <f aca="false">MOD(ROW()-1, 208)</f>
        <v>84</v>
      </c>
      <c r="D1125" s="6" t="n">
        <f aca="false">INT((ROW()-1)/208)</f>
        <v>5</v>
      </c>
      <c r="F1125" s="6" t="str">
        <f aca="false">MID(VLOOKUP(D1125,$P$1:$Q$13,2,0), 1 + C1125,1)</f>
        <v>샛</v>
      </c>
      <c r="G1125" s="6" t="str">
        <f aca="false">DEC2HEX(D1125+36, 2)</f>
        <v>29</v>
      </c>
      <c r="H1125" s="6" t="str">
        <f aca="false">DEC2HEX(C1125+48,2)</f>
        <v>84</v>
      </c>
      <c r="I1125" s="6" t="str">
        <f aca="false">_xlfn.CONCAT("\x", G1125, "\x", H1125, "=", F1125)</f>
        <v>\x29\x84=샛</v>
      </c>
      <c r="M1125" s="8"/>
    </row>
    <row r="1126" customFormat="false" ht="12.8" hidden="false" customHeight="true" outlineLevel="0" collapsed="false">
      <c r="C1126" s="6" t="n">
        <f aca="false">MOD(ROW()-1, 208)</f>
        <v>85</v>
      </c>
      <c r="D1126" s="6" t="n">
        <f aca="false">INT((ROW()-1)/208)</f>
        <v>5</v>
      </c>
      <c r="F1126" s="6" t="str">
        <f aca="false">MID(VLOOKUP(D1126,$P$1:$Q$13,2,0), 1 + C1126,1)</f>
        <v>샜</v>
      </c>
      <c r="G1126" s="6" t="str">
        <f aca="false">DEC2HEX(D1126+36, 2)</f>
        <v>29</v>
      </c>
      <c r="H1126" s="6" t="str">
        <f aca="false">DEC2HEX(C1126+48,2)</f>
        <v>85</v>
      </c>
      <c r="I1126" s="6" t="str">
        <f aca="false">_xlfn.CONCAT("\x", G1126, "\x", H1126, "=", F1126)</f>
        <v>\x29\x85=샜</v>
      </c>
      <c r="M1126" s="8"/>
    </row>
    <row r="1127" customFormat="false" ht="12.8" hidden="false" customHeight="true" outlineLevel="0" collapsed="false">
      <c r="C1127" s="6" t="n">
        <f aca="false">MOD(ROW()-1, 208)</f>
        <v>86</v>
      </c>
      <c r="D1127" s="6" t="n">
        <f aca="false">INT((ROW()-1)/208)</f>
        <v>5</v>
      </c>
      <c r="F1127" s="6" t="str">
        <f aca="false">MID(VLOOKUP(D1127,$P$1:$Q$13,2,0), 1 + C1127,1)</f>
        <v>생</v>
      </c>
      <c r="G1127" s="6" t="str">
        <f aca="false">DEC2HEX(D1127+36, 2)</f>
        <v>29</v>
      </c>
      <c r="H1127" s="6" t="str">
        <f aca="false">DEC2HEX(C1127+48,2)</f>
        <v>86</v>
      </c>
      <c r="I1127" s="6" t="str">
        <f aca="false">_xlfn.CONCAT("\x", G1127, "\x", H1127, "=", F1127)</f>
        <v>\x29\x86=생</v>
      </c>
      <c r="M1127" s="8"/>
    </row>
    <row r="1128" customFormat="false" ht="12.8" hidden="false" customHeight="true" outlineLevel="0" collapsed="false">
      <c r="C1128" s="6" t="n">
        <f aca="false">MOD(ROW()-1, 208)</f>
        <v>87</v>
      </c>
      <c r="D1128" s="6" t="n">
        <f aca="false">INT((ROW()-1)/208)</f>
        <v>5</v>
      </c>
      <c r="F1128" s="6" t="str">
        <f aca="false">MID(VLOOKUP(D1128,$P$1:$Q$13,2,0), 1 + C1128,1)</f>
        <v>샤</v>
      </c>
      <c r="G1128" s="6" t="str">
        <f aca="false">DEC2HEX(D1128+36, 2)</f>
        <v>29</v>
      </c>
      <c r="H1128" s="6" t="str">
        <f aca="false">DEC2HEX(C1128+48,2)</f>
        <v>87</v>
      </c>
      <c r="I1128" s="6" t="str">
        <f aca="false">_xlfn.CONCAT("\x", G1128, "\x", H1128, "=", F1128)</f>
        <v>\x29\x87=샤</v>
      </c>
      <c r="M1128" s="8"/>
    </row>
    <row r="1129" customFormat="false" ht="12.8" hidden="false" customHeight="true" outlineLevel="0" collapsed="false">
      <c r="C1129" s="6" t="n">
        <f aca="false">MOD(ROW()-1, 208)</f>
        <v>88</v>
      </c>
      <c r="D1129" s="6" t="n">
        <f aca="false">INT((ROW()-1)/208)</f>
        <v>5</v>
      </c>
      <c r="F1129" s="6" t="str">
        <f aca="false">MID(VLOOKUP(D1129,$P$1:$Q$13,2,0), 1 + C1129,1)</f>
        <v>샥</v>
      </c>
      <c r="G1129" s="6" t="str">
        <f aca="false">DEC2HEX(D1129+36, 2)</f>
        <v>29</v>
      </c>
      <c r="H1129" s="6" t="str">
        <f aca="false">DEC2HEX(C1129+48,2)</f>
        <v>88</v>
      </c>
      <c r="I1129" s="6" t="str">
        <f aca="false">_xlfn.CONCAT("\x", G1129, "\x", H1129, "=", F1129)</f>
        <v>\x29\x88=샥</v>
      </c>
      <c r="M1129" s="8"/>
    </row>
    <row r="1130" customFormat="false" ht="12.8" hidden="false" customHeight="true" outlineLevel="0" collapsed="false">
      <c r="C1130" s="6" t="n">
        <f aca="false">MOD(ROW()-1, 208)</f>
        <v>89</v>
      </c>
      <c r="D1130" s="6" t="n">
        <f aca="false">INT((ROW()-1)/208)</f>
        <v>5</v>
      </c>
      <c r="F1130" s="6" t="str">
        <f aca="false">MID(VLOOKUP(D1130,$P$1:$Q$13,2,0), 1 + C1130,1)</f>
        <v>샨</v>
      </c>
      <c r="G1130" s="6" t="str">
        <f aca="false">DEC2HEX(D1130+36, 2)</f>
        <v>29</v>
      </c>
      <c r="H1130" s="6" t="str">
        <f aca="false">DEC2HEX(C1130+48,2)</f>
        <v>89</v>
      </c>
      <c r="I1130" s="6" t="str">
        <f aca="false">_xlfn.CONCAT("\x", G1130, "\x", H1130, "=", F1130)</f>
        <v>\x29\x89=샨</v>
      </c>
      <c r="M1130" s="8"/>
    </row>
    <row r="1131" customFormat="false" ht="12.8" hidden="false" customHeight="true" outlineLevel="0" collapsed="false">
      <c r="C1131" s="6" t="n">
        <f aca="false">MOD(ROW()-1, 208)</f>
        <v>90</v>
      </c>
      <c r="D1131" s="6" t="n">
        <f aca="false">INT((ROW()-1)/208)</f>
        <v>5</v>
      </c>
      <c r="F1131" s="6" t="str">
        <f aca="false">MID(VLOOKUP(D1131,$P$1:$Q$13,2,0), 1 + C1131,1)</f>
        <v>샬</v>
      </c>
      <c r="G1131" s="6" t="str">
        <f aca="false">DEC2HEX(D1131+36, 2)</f>
        <v>29</v>
      </c>
      <c r="H1131" s="6" t="str">
        <f aca="false">DEC2HEX(C1131+48,2)</f>
        <v>8A</v>
      </c>
      <c r="I1131" s="6" t="str">
        <f aca="false">_xlfn.CONCAT("\x", G1131, "\x", H1131, "=", F1131)</f>
        <v>\x29\x8A=샬</v>
      </c>
      <c r="M1131" s="8"/>
    </row>
    <row r="1132" customFormat="false" ht="12.8" hidden="false" customHeight="true" outlineLevel="0" collapsed="false">
      <c r="C1132" s="6" t="n">
        <f aca="false">MOD(ROW()-1, 208)</f>
        <v>91</v>
      </c>
      <c r="D1132" s="6" t="n">
        <f aca="false">INT((ROW()-1)/208)</f>
        <v>5</v>
      </c>
      <c r="F1132" s="6" t="str">
        <f aca="false">MID(VLOOKUP(D1132,$P$1:$Q$13,2,0), 1 + C1132,1)</f>
        <v>샴</v>
      </c>
      <c r="G1132" s="6" t="str">
        <f aca="false">DEC2HEX(D1132+36, 2)</f>
        <v>29</v>
      </c>
      <c r="H1132" s="6" t="str">
        <f aca="false">DEC2HEX(C1132+48,2)</f>
        <v>8B</v>
      </c>
      <c r="I1132" s="6" t="str">
        <f aca="false">_xlfn.CONCAT("\x", G1132, "\x", H1132, "=", F1132)</f>
        <v>\x29\x8B=샴</v>
      </c>
      <c r="M1132" s="8"/>
    </row>
    <row r="1133" customFormat="false" ht="12.8" hidden="false" customHeight="true" outlineLevel="0" collapsed="false">
      <c r="C1133" s="6" t="n">
        <f aca="false">MOD(ROW()-1, 208)</f>
        <v>92</v>
      </c>
      <c r="D1133" s="6" t="n">
        <f aca="false">INT((ROW()-1)/208)</f>
        <v>5</v>
      </c>
      <c r="F1133" s="6" t="str">
        <f aca="false">MID(VLOOKUP(D1133,$P$1:$Q$13,2,0), 1 + C1133,1)</f>
        <v>샵</v>
      </c>
      <c r="G1133" s="6" t="str">
        <f aca="false">DEC2HEX(D1133+36, 2)</f>
        <v>29</v>
      </c>
      <c r="H1133" s="6" t="str">
        <f aca="false">DEC2HEX(C1133+48,2)</f>
        <v>8C</v>
      </c>
      <c r="I1133" s="6" t="str">
        <f aca="false">_xlfn.CONCAT("\x", G1133, "\x", H1133, "=", F1133)</f>
        <v>\x29\x8C=샵</v>
      </c>
      <c r="M1133" s="8"/>
    </row>
    <row r="1134" customFormat="false" ht="12.8" hidden="false" customHeight="true" outlineLevel="0" collapsed="false">
      <c r="C1134" s="6" t="n">
        <f aca="false">MOD(ROW()-1, 208)</f>
        <v>93</v>
      </c>
      <c r="D1134" s="6" t="n">
        <f aca="false">INT((ROW()-1)/208)</f>
        <v>5</v>
      </c>
      <c r="F1134" s="6" t="str">
        <f aca="false">MID(VLOOKUP(D1134,$P$1:$Q$13,2,0), 1 + C1134,1)</f>
        <v>샷</v>
      </c>
      <c r="G1134" s="6" t="str">
        <f aca="false">DEC2HEX(D1134+36, 2)</f>
        <v>29</v>
      </c>
      <c r="H1134" s="6" t="str">
        <f aca="false">DEC2HEX(C1134+48,2)</f>
        <v>8D</v>
      </c>
      <c r="I1134" s="6" t="str">
        <f aca="false">_xlfn.CONCAT("\x", G1134, "\x", H1134, "=", F1134)</f>
        <v>\x29\x8D=샷</v>
      </c>
      <c r="M1134" s="8"/>
    </row>
    <row r="1135" customFormat="false" ht="12.8" hidden="false" customHeight="true" outlineLevel="0" collapsed="false">
      <c r="C1135" s="6" t="n">
        <f aca="false">MOD(ROW()-1, 208)</f>
        <v>94</v>
      </c>
      <c r="D1135" s="6" t="n">
        <f aca="false">INT((ROW()-1)/208)</f>
        <v>5</v>
      </c>
      <c r="F1135" s="6" t="str">
        <f aca="false">MID(VLOOKUP(D1135,$P$1:$Q$13,2,0), 1 + C1135,1)</f>
        <v>샹</v>
      </c>
      <c r="G1135" s="6" t="str">
        <f aca="false">DEC2HEX(D1135+36, 2)</f>
        <v>29</v>
      </c>
      <c r="H1135" s="6" t="str">
        <f aca="false">DEC2HEX(C1135+48,2)</f>
        <v>8E</v>
      </c>
      <c r="I1135" s="6" t="str">
        <f aca="false">_xlfn.CONCAT("\x", G1135, "\x", H1135, "=", F1135)</f>
        <v>\x29\x8E=샹</v>
      </c>
      <c r="M1135" s="8"/>
    </row>
    <row r="1136" customFormat="false" ht="12.8" hidden="false" customHeight="true" outlineLevel="0" collapsed="false">
      <c r="C1136" s="6" t="n">
        <f aca="false">MOD(ROW()-1, 208)</f>
        <v>95</v>
      </c>
      <c r="D1136" s="6" t="n">
        <f aca="false">INT((ROW()-1)/208)</f>
        <v>5</v>
      </c>
      <c r="F1136" s="6" t="str">
        <f aca="false">MID(VLOOKUP(D1136,$P$1:$Q$13,2,0), 1 + C1136,1)</f>
        <v>섀</v>
      </c>
      <c r="G1136" s="6" t="str">
        <f aca="false">DEC2HEX(D1136+36, 2)</f>
        <v>29</v>
      </c>
      <c r="H1136" s="6" t="str">
        <f aca="false">DEC2HEX(C1136+48,2)</f>
        <v>8F</v>
      </c>
      <c r="I1136" s="6" t="str">
        <f aca="false">_xlfn.CONCAT("\x", G1136, "\x", H1136, "=", F1136)</f>
        <v>\x29\x8F=섀</v>
      </c>
      <c r="M1136" s="8"/>
    </row>
    <row r="1137" customFormat="false" ht="12.8" hidden="false" customHeight="true" outlineLevel="0" collapsed="false">
      <c r="C1137" s="6" t="n">
        <f aca="false">MOD(ROW()-1, 208)</f>
        <v>96</v>
      </c>
      <c r="D1137" s="6" t="n">
        <f aca="false">INT((ROW()-1)/208)</f>
        <v>5</v>
      </c>
      <c r="F1137" s="6" t="str">
        <f aca="false">MID(VLOOKUP(D1137,$P$1:$Q$13,2,0), 1 + C1137,1)</f>
        <v>섄</v>
      </c>
      <c r="G1137" s="6" t="str">
        <f aca="false">DEC2HEX(D1137+36, 2)</f>
        <v>29</v>
      </c>
      <c r="H1137" s="6" t="str">
        <f aca="false">DEC2HEX(C1137+48,2)</f>
        <v>90</v>
      </c>
      <c r="I1137" s="6" t="str">
        <f aca="false">_xlfn.CONCAT("\x", G1137, "\x", H1137, "=", F1137)</f>
        <v>\x29\x90=섄</v>
      </c>
      <c r="M1137" s="8"/>
    </row>
    <row r="1138" customFormat="false" ht="12.8" hidden="false" customHeight="true" outlineLevel="0" collapsed="false">
      <c r="C1138" s="6" t="n">
        <f aca="false">MOD(ROW()-1, 208)</f>
        <v>97</v>
      </c>
      <c r="D1138" s="6" t="n">
        <f aca="false">INT((ROW()-1)/208)</f>
        <v>5</v>
      </c>
      <c r="F1138" s="6" t="str">
        <f aca="false">MID(VLOOKUP(D1138,$P$1:$Q$13,2,0), 1 + C1138,1)</f>
        <v>섈</v>
      </c>
      <c r="G1138" s="6" t="str">
        <f aca="false">DEC2HEX(D1138+36, 2)</f>
        <v>29</v>
      </c>
      <c r="H1138" s="6" t="str">
        <f aca="false">DEC2HEX(C1138+48,2)</f>
        <v>91</v>
      </c>
      <c r="I1138" s="6" t="str">
        <f aca="false">_xlfn.CONCAT("\x", G1138, "\x", H1138, "=", F1138)</f>
        <v>\x29\x91=섈</v>
      </c>
      <c r="M1138" s="8"/>
    </row>
    <row r="1139" customFormat="false" ht="12.8" hidden="false" customHeight="true" outlineLevel="0" collapsed="false">
      <c r="C1139" s="6" t="n">
        <f aca="false">MOD(ROW()-1, 208)</f>
        <v>98</v>
      </c>
      <c r="D1139" s="6" t="n">
        <f aca="false">INT((ROW()-1)/208)</f>
        <v>5</v>
      </c>
      <c r="F1139" s="6" t="str">
        <f aca="false">MID(VLOOKUP(D1139,$P$1:$Q$13,2,0), 1 + C1139,1)</f>
        <v>섐</v>
      </c>
      <c r="G1139" s="6" t="str">
        <f aca="false">DEC2HEX(D1139+36, 2)</f>
        <v>29</v>
      </c>
      <c r="H1139" s="6" t="str">
        <f aca="false">DEC2HEX(C1139+48,2)</f>
        <v>92</v>
      </c>
      <c r="I1139" s="6" t="str">
        <f aca="false">_xlfn.CONCAT("\x", G1139, "\x", H1139, "=", F1139)</f>
        <v>\x29\x92=섐</v>
      </c>
      <c r="M1139" s="8"/>
    </row>
    <row r="1140" customFormat="false" ht="12.8" hidden="false" customHeight="true" outlineLevel="0" collapsed="false">
      <c r="C1140" s="6" t="n">
        <f aca="false">MOD(ROW()-1, 208)</f>
        <v>99</v>
      </c>
      <c r="D1140" s="6" t="n">
        <f aca="false">INT((ROW()-1)/208)</f>
        <v>5</v>
      </c>
      <c r="F1140" s="6" t="str">
        <f aca="false">MID(VLOOKUP(D1140,$P$1:$Q$13,2,0), 1 + C1140,1)</f>
        <v>섕</v>
      </c>
      <c r="G1140" s="6" t="str">
        <f aca="false">DEC2HEX(D1140+36, 2)</f>
        <v>29</v>
      </c>
      <c r="H1140" s="6" t="str">
        <f aca="false">DEC2HEX(C1140+48,2)</f>
        <v>93</v>
      </c>
      <c r="I1140" s="6" t="str">
        <f aca="false">_xlfn.CONCAT("\x", G1140, "\x", H1140, "=", F1140)</f>
        <v>\x29\x93=섕</v>
      </c>
      <c r="M1140" s="8"/>
    </row>
    <row r="1141" customFormat="false" ht="12.8" hidden="false" customHeight="true" outlineLevel="0" collapsed="false">
      <c r="C1141" s="6" t="n">
        <f aca="false">MOD(ROW()-1, 208)</f>
        <v>100</v>
      </c>
      <c r="D1141" s="6" t="n">
        <f aca="false">INT((ROW()-1)/208)</f>
        <v>5</v>
      </c>
      <c r="F1141" s="6" t="str">
        <f aca="false">MID(VLOOKUP(D1141,$P$1:$Q$13,2,0), 1 + C1141,1)</f>
        <v>서</v>
      </c>
      <c r="G1141" s="6" t="str">
        <f aca="false">DEC2HEX(D1141+36, 2)</f>
        <v>29</v>
      </c>
      <c r="H1141" s="6" t="str">
        <f aca="false">DEC2HEX(C1141+48,2)</f>
        <v>94</v>
      </c>
      <c r="I1141" s="6" t="str">
        <f aca="false">_xlfn.CONCAT("\x", G1141, "\x", H1141, "=", F1141)</f>
        <v>\x29\x94=서</v>
      </c>
      <c r="M1141" s="8"/>
    </row>
    <row r="1142" customFormat="false" ht="12.8" hidden="false" customHeight="true" outlineLevel="0" collapsed="false">
      <c r="C1142" s="6" t="n">
        <f aca="false">MOD(ROW()-1, 208)</f>
        <v>101</v>
      </c>
      <c r="D1142" s="6" t="n">
        <f aca="false">INT((ROW()-1)/208)</f>
        <v>5</v>
      </c>
      <c r="F1142" s="6" t="str">
        <f aca="false">MID(VLOOKUP(D1142,$P$1:$Q$13,2,0), 1 + C1142,1)</f>
        <v>석</v>
      </c>
      <c r="G1142" s="6" t="str">
        <f aca="false">DEC2HEX(D1142+36, 2)</f>
        <v>29</v>
      </c>
      <c r="H1142" s="6" t="str">
        <f aca="false">DEC2HEX(C1142+48,2)</f>
        <v>95</v>
      </c>
      <c r="I1142" s="6" t="str">
        <f aca="false">_xlfn.CONCAT("\x", G1142, "\x", H1142, "=", F1142)</f>
        <v>\x29\x95=석</v>
      </c>
      <c r="M1142" s="8"/>
    </row>
    <row r="1143" customFormat="false" ht="12.8" hidden="false" customHeight="true" outlineLevel="0" collapsed="false">
      <c r="C1143" s="6" t="n">
        <f aca="false">MOD(ROW()-1, 208)</f>
        <v>102</v>
      </c>
      <c r="D1143" s="6" t="n">
        <f aca="false">INT((ROW()-1)/208)</f>
        <v>5</v>
      </c>
      <c r="F1143" s="6" t="str">
        <f aca="false">MID(VLOOKUP(D1143,$P$1:$Q$13,2,0), 1 + C1143,1)</f>
        <v>섞</v>
      </c>
      <c r="G1143" s="6" t="str">
        <f aca="false">DEC2HEX(D1143+36, 2)</f>
        <v>29</v>
      </c>
      <c r="H1143" s="6" t="str">
        <f aca="false">DEC2HEX(C1143+48,2)</f>
        <v>96</v>
      </c>
      <c r="I1143" s="6" t="str">
        <f aca="false">_xlfn.CONCAT("\x", G1143, "\x", H1143, "=", F1143)</f>
        <v>\x29\x96=섞</v>
      </c>
      <c r="M1143" s="8"/>
    </row>
    <row r="1144" customFormat="false" ht="12.8" hidden="false" customHeight="true" outlineLevel="0" collapsed="false">
      <c r="C1144" s="6" t="n">
        <f aca="false">MOD(ROW()-1, 208)</f>
        <v>103</v>
      </c>
      <c r="D1144" s="6" t="n">
        <f aca="false">INT((ROW()-1)/208)</f>
        <v>5</v>
      </c>
      <c r="F1144" s="6" t="str">
        <f aca="false">MID(VLOOKUP(D1144,$P$1:$Q$13,2,0), 1 + C1144,1)</f>
        <v>섟</v>
      </c>
      <c r="G1144" s="6" t="str">
        <f aca="false">DEC2HEX(D1144+36, 2)</f>
        <v>29</v>
      </c>
      <c r="H1144" s="6" t="str">
        <f aca="false">DEC2HEX(C1144+48,2)</f>
        <v>97</v>
      </c>
      <c r="I1144" s="6" t="str">
        <f aca="false">_xlfn.CONCAT("\x", G1144, "\x", H1144, "=", F1144)</f>
        <v>\x29\x97=섟</v>
      </c>
      <c r="M1144" s="8"/>
    </row>
    <row r="1145" customFormat="false" ht="12.8" hidden="false" customHeight="true" outlineLevel="0" collapsed="false">
      <c r="C1145" s="6" t="n">
        <f aca="false">MOD(ROW()-1, 208)</f>
        <v>104</v>
      </c>
      <c r="D1145" s="6" t="n">
        <f aca="false">INT((ROW()-1)/208)</f>
        <v>5</v>
      </c>
      <c r="F1145" s="6" t="str">
        <f aca="false">MID(VLOOKUP(D1145,$P$1:$Q$13,2,0), 1 + C1145,1)</f>
        <v>선</v>
      </c>
      <c r="G1145" s="6" t="str">
        <f aca="false">DEC2HEX(D1145+36, 2)</f>
        <v>29</v>
      </c>
      <c r="H1145" s="6" t="str">
        <f aca="false">DEC2HEX(C1145+48,2)</f>
        <v>98</v>
      </c>
      <c r="I1145" s="6" t="str">
        <f aca="false">_xlfn.CONCAT("\x", G1145, "\x", H1145, "=", F1145)</f>
        <v>\x29\x98=선</v>
      </c>
      <c r="M1145" s="8"/>
    </row>
    <row r="1146" customFormat="false" ht="12.8" hidden="false" customHeight="true" outlineLevel="0" collapsed="false">
      <c r="C1146" s="6" t="n">
        <f aca="false">MOD(ROW()-1, 208)</f>
        <v>105</v>
      </c>
      <c r="D1146" s="6" t="n">
        <f aca="false">INT((ROW()-1)/208)</f>
        <v>5</v>
      </c>
      <c r="F1146" s="6" t="str">
        <f aca="false">MID(VLOOKUP(D1146,$P$1:$Q$13,2,0), 1 + C1146,1)</f>
        <v>섣</v>
      </c>
      <c r="G1146" s="6" t="str">
        <f aca="false">DEC2HEX(D1146+36, 2)</f>
        <v>29</v>
      </c>
      <c r="H1146" s="6" t="str">
        <f aca="false">DEC2HEX(C1146+48,2)</f>
        <v>99</v>
      </c>
      <c r="I1146" s="6" t="str">
        <f aca="false">_xlfn.CONCAT("\x", G1146, "\x", H1146, "=", F1146)</f>
        <v>\x29\x99=섣</v>
      </c>
      <c r="M1146" s="8"/>
    </row>
    <row r="1147" customFormat="false" ht="12.8" hidden="false" customHeight="true" outlineLevel="0" collapsed="false">
      <c r="C1147" s="6" t="n">
        <f aca="false">MOD(ROW()-1, 208)</f>
        <v>106</v>
      </c>
      <c r="D1147" s="6" t="n">
        <f aca="false">INT((ROW()-1)/208)</f>
        <v>5</v>
      </c>
      <c r="F1147" s="6" t="str">
        <f aca="false">MID(VLOOKUP(D1147,$P$1:$Q$13,2,0), 1 + C1147,1)</f>
        <v>설</v>
      </c>
      <c r="G1147" s="6" t="str">
        <f aca="false">DEC2HEX(D1147+36, 2)</f>
        <v>29</v>
      </c>
      <c r="H1147" s="6" t="str">
        <f aca="false">DEC2HEX(C1147+48,2)</f>
        <v>9A</v>
      </c>
      <c r="I1147" s="6" t="str">
        <f aca="false">_xlfn.CONCAT("\x", G1147, "\x", H1147, "=", F1147)</f>
        <v>\x29\x9A=설</v>
      </c>
      <c r="M1147" s="8"/>
    </row>
    <row r="1148" customFormat="false" ht="12.8" hidden="false" customHeight="true" outlineLevel="0" collapsed="false">
      <c r="C1148" s="6" t="n">
        <f aca="false">MOD(ROW()-1, 208)</f>
        <v>107</v>
      </c>
      <c r="D1148" s="6" t="n">
        <f aca="false">INT((ROW()-1)/208)</f>
        <v>5</v>
      </c>
      <c r="F1148" s="6" t="str">
        <f aca="false">MID(VLOOKUP(D1148,$P$1:$Q$13,2,0), 1 + C1148,1)</f>
        <v>섦</v>
      </c>
      <c r="G1148" s="6" t="str">
        <f aca="false">DEC2HEX(D1148+36, 2)</f>
        <v>29</v>
      </c>
      <c r="H1148" s="6" t="str">
        <f aca="false">DEC2HEX(C1148+48,2)</f>
        <v>9B</v>
      </c>
      <c r="I1148" s="6" t="str">
        <f aca="false">_xlfn.CONCAT("\x", G1148, "\x", H1148, "=", F1148)</f>
        <v>\x29\x9B=섦</v>
      </c>
      <c r="M1148" s="8"/>
    </row>
    <row r="1149" customFormat="false" ht="12.8" hidden="false" customHeight="true" outlineLevel="0" collapsed="false">
      <c r="C1149" s="6" t="n">
        <f aca="false">MOD(ROW()-1, 208)</f>
        <v>108</v>
      </c>
      <c r="D1149" s="6" t="n">
        <f aca="false">INT((ROW()-1)/208)</f>
        <v>5</v>
      </c>
      <c r="F1149" s="6" t="str">
        <f aca="false">MID(VLOOKUP(D1149,$P$1:$Q$13,2,0), 1 + C1149,1)</f>
        <v>섧</v>
      </c>
      <c r="G1149" s="6" t="str">
        <f aca="false">DEC2HEX(D1149+36, 2)</f>
        <v>29</v>
      </c>
      <c r="H1149" s="6" t="str">
        <f aca="false">DEC2HEX(C1149+48,2)</f>
        <v>9C</v>
      </c>
      <c r="I1149" s="6" t="str">
        <f aca="false">_xlfn.CONCAT("\x", G1149, "\x", H1149, "=", F1149)</f>
        <v>\x29\x9C=섧</v>
      </c>
      <c r="M1149" s="8"/>
    </row>
    <row r="1150" customFormat="false" ht="12.8" hidden="false" customHeight="true" outlineLevel="0" collapsed="false">
      <c r="C1150" s="6" t="n">
        <f aca="false">MOD(ROW()-1, 208)</f>
        <v>109</v>
      </c>
      <c r="D1150" s="6" t="n">
        <f aca="false">INT((ROW()-1)/208)</f>
        <v>5</v>
      </c>
      <c r="F1150" s="6" t="str">
        <f aca="false">MID(VLOOKUP(D1150,$P$1:$Q$13,2,0), 1 + C1150,1)</f>
        <v>섬</v>
      </c>
      <c r="G1150" s="6" t="str">
        <f aca="false">DEC2HEX(D1150+36, 2)</f>
        <v>29</v>
      </c>
      <c r="H1150" s="6" t="str">
        <f aca="false">DEC2HEX(C1150+48,2)</f>
        <v>9D</v>
      </c>
      <c r="I1150" s="6" t="str">
        <f aca="false">_xlfn.CONCAT("\x", G1150, "\x", H1150, "=", F1150)</f>
        <v>\x29\x9D=섬</v>
      </c>
      <c r="M1150" s="8"/>
    </row>
    <row r="1151" customFormat="false" ht="12.8" hidden="false" customHeight="true" outlineLevel="0" collapsed="false">
      <c r="C1151" s="6" t="n">
        <f aca="false">MOD(ROW()-1, 208)</f>
        <v>110</v>
      </c>
      <c r="D1151" s="6" t="n">
        <f aca="false">INT((ROW()-1)/208)</f>
        <v>5</v>
      </c>
      <c r="F1151" s="6" t="str">
        <f aca="false">MID(VLOOKUP(D1151,$P$1:$Q$13,2,0), 1 + C1151,1)</f>
        <v>섭</v>
      </c>
      <c r="G1151" s="6" t="str">
        <f aca="false">DEC2HEX(D1151+36, 2)</f>
        <v>29</v>
      </c>
      <c r="H1151" s="6" t="str">
        <f aca="false">DEC2HEX(C1151+48,2)</f>
        <v>9E</v>
      </c>
      <c r="I1151" s="6" t="str">
        <f aca="false">_xlfn.CONCAT("\x", G1151, "\x", H1151, "=", F1151)</f>
        <v>\x29\x9E=섭</v>
      </c>
      <c r="M1151" s="8"/>
    </row>
    <row r="1152" customFormat="false" ht="12.8" hidden="false" customHeight="true" outlineLevel="0" collapsed="false">
      <c r="C1152" s="6" t="n">
        <f aca="false">MOD(ROW()-1, 208)</f>
        <v>111</v>
      </c>
      <c r="D1152" s="6" t="n">
        <f aca="false">INT((ROW()-1)/208)</f>
        <v>5</v>
      </c>
      <c r="F1152" s="6" t="str">
        <f aca="false">MID(VLOOKUP(D1152,$P$1:$Q$13,2,0), 1 + C1152,1)</f>
        <v>섯</v>
      </c>
      <c r="G1152" s="6" t="str">
        <f aca="false">DEC2HEX(D1152+36, 2)</f>
        <v>29</v>
      </c>
      <c r="H1152" s="6" t="str">
        <f aca="false">DEC2HEX(C1152+48,2)</f>
        <v>9F</v>
      </c>
      <c r="I1152" s="6" t="str">
        <f aca="false">_xlfn.CONCAT("\x", G1152, "\x", H1152, "=", F1152)</f>
        <v>\x29\x9F=섯</v>
      </c>
      <c r="M1152" s="8"/>
    </row>
    <row r="1153" customFormat="false" ht="12.8" hidden="false" customHeight="true" outlineLevel="0" collapsed="false">
      <c r="C1153" s="6" t="n">
        <f aca="false">MOD(ROW()-1, 208)</f>
        <v>112</v>
      </c>
      <c r="D1153" s="6" t="n">
        <f aca="false">INT((ROW()-1)/208)</f>
        <v>5</v>
      </c>
      <c r="F1153" s="6" t="str">
        <f aca="false">MID(VLOOKUP(D1153,$P$1:$Q$13,2,0), 1 + C1153,1)</f>
        <v>섰</v>
      </c>
      <c r="G1153" s="6" t="str">
        <f aca="false">DEC2HEX(D1153+36, 2)</f>
        <v>29</v>
      </c>
      <c r="H1153" s="6" t="str">
        <f aca="false">DEC2HEX(C1153+48,2)</f>
        <v>A0</v>
      </c>
      <c r="I1153" s="6" t="str">
        <f aca="false">_xlfn.CONCAT("\x", G1153, "\x", H1153, "=", F1153)</f>
        <v>\x29\xA0=섰</v>
      </c>
      <c r="M1153" s="8"/>
    </row>
    <row r="1154" customFormat="false" ht="12.8" hidden="false" customHeight="true" outlineLevel="0" collapsed="false">
      <c r="C1154" s="6" t="n">
        <f aca="false">MOD(ROW()-1, 208)</f>
        <v>113</v>
      </c>
      <c r="D1154" s="6" t="n">
        <f aca="false">INT((ROW()-1)/208)</f>
        <v>5</v>
      </c>
      <c r="F1154" s="6" t="str">
        <f aca="false">MID(VLOOKUP(D1154,$P$1:$Q$13,2,0), 1 + C1154,1)</f>
        <v>성</v>
      </c>
      <c r="G1154" s="6" t="str">
        <f aca="false">DEC2HEX(D1154+36, 2)</f>
        <v>29</v>
      </c>
      <c r="H1154" s="6" t="str">
        <f aca="false">DEC2HEX(C1154+48,2)</f>
        <v>A1</v>
      </c>
      <c r="I1154" s="6" t="str">
        <f aca="false">_xlfn.CONCAT("\x", G1154, "\x", H1154, "=", F1154)</f>
        <v>\x29\xA1=성</v>
      </c>
      <c r="M1154" s="8"/>
    </row>
    <row r="1155" customFormat="false" ht="12.8" hidden="false" customHeight="true" outlineLevel="0" collapsed="false">
      <c r="C1155" s="6" t="n">
        <f aca="false">MOD(ROW()-1, 208)</f>
        <v>114</v>
      </c>
      <c r="D1155" s="6" t="n">
        <f aca="false">INT((ROW()-1)/208)</f>
        <v>5</v>
      </c>
      <c r="F1155" s="6" t="str">
        <f aca="false">MID(VLOOKUP(D1155,$P$1:$Q$13,2,0), 1 + C1155,1)</f>
        <v>섶</v>
      </c>
      <c r="G1155" s="6" t="str">
        <f aca="false">DEC2HEX(D1155+36, 2)</f>
        <v>29</v>
      </c>
      <c r="H1155" s="6" t="str">
        <f aca="false">DEC2HEX(C1155+48,2)</f>
        <v>A2</v>
      </c>
      <c r="I1155" s="6" t="str">
        <f aca="false">_xlfn.CONCAT("\x", G1155, "\x", H1155, "=", F1155)</f>
        <v>\x29\xA2=섶</v>
      </c>
      <c r="M1155" s="8"/>
    </row>
    <row r="1156" customFormat="false" ht="12.8" hidden="false" customHeight="true" outlineLevel="0" collapsed="false">
      <c r="C1156" s="6" t="n">
        <f aca="false">MOD(ROW()-1, 208)</f>
        <v>115</v>
      </c>
      <c r="D1156" s="6" t="n">
        <f aca="false">INT((ROW()-1)/208)</f>
        <v>5</v>
      </c>
      <c r="F1156" s="6" t="str">
        <f aca="false">MID(VLOOKUP(D1156,$P$1:$Q$13,2,0), 1 + C1156,1)</f>
        <v>세</v>
      </c>
      <c r="G1156" s="6" t="str">
        <f aca="false">DEC2HEX(D1156+36, 2)</f>
        <v>29</v>
      </c>
      <c r="H1156" s="6" t="str">
        <f aca="false">DEC2HEX(C1156+48,2)</f>
        <v>A3</v>
      </c>
      <c r="I1156" s="6" t="str">
        <f aca="false">_xlfn.CONCAT("\x", G1156, "\x", H1156, "=", F1156)</f>
        <v>\x29\xA3=세</v>
      </c>
      <c r="M1156" s="8"/>
    </row>
    <row r="1157" customFormat="false" ht="12.8" hidden="false" customHeight="true" outlineLevel="0" collapsed="false">
      <c r="C1157" s="6" t="n">
        <f aca="false">MOD(ROW()-1, 208)</f>
        <v>116</v>
      </c>
      <c r="D1157" s="6" t="n">
        <f aca="false">INT((ROW()-1)/208)</f>
        <v>5</v>
      </c>
      <c r="F1157" s="6" t="str">
        <f aca="false">MID(VLOOKUP(D1157,$P$1:$Q$13,2,0), 1 + C1157,1)</f>
        <v>섹</v>
      </c>
      <c r="G1157" s="6" t="str">
        <f aca="false">DEC2HEX(D1157+36, 2)</f>
        <v>29</v>
      </c>
      <c r="H1157" s="6" t="str">
        <f aca="false">DEC2HEX(C1157+48,2)</f>
        <v>A4</v>
      </c>
      <c r="I1157" s="6" t="str">
        <f aca="false">_xlfn.CONCAT("\x", G1157, "\x", H1157, "=", F1157)</f>
        <v>\x29\xA4=섹</v>
      </c>
      <c r="M1157" s="8"/>
    </row>
    <row r="1158" customFormat="false" ht="12.8" hidden="false" customHeight="true" outlineLevel="0" collapsed="false">
      <c r="C1158" s="6" t="n">
        <f aca="false">MOD(ROW()-1, 208)</f>
        <v>117</v>
      </c>
      <c r="D1158" s="6" t="n">
        <f aca="false">INT((ROW()-1)/208)</f>
        <v>5</v>
      </c>
      <c r="F1158" s="6" t="str">
        <f aca="false">MID(VLOOKUP(D1158,$P$1:$Q$13,2,0), 1 + C1158,1)</f>
        <v>센</v>
      </c>
      <c r="G1158" s="6" t="str">
        <f aca="false">DEC2HEX(D1158+36, 2)</f>
        <v>29</v>
      </c>
      <c r="H1158" s="6" t="str">
        <f aca="false">DEC2HEX(C1158+48,2)</f>
        <v>A5</v>
      </c>
      <c r="I1158" s="6" t="str">
        <f aca="false">_xlfn.CONCAT("\x", G1158, "\x", H1158, "=", F1158)</f>
        <v>\x29\xA5=센</v>
      </c>
      <c r="M1158" s="8"/>
    </row>
    <row r="1159" customFormat="false" ht="12.8" hidden="false" customHeight="true" outlineLevel="0" collapsed="false">
      <c r="C1159" s="6" t="n">
        <f aca="false">MOD(ROW()-1, 208)</f>
        <v>118</v>
      </c>
      <c r="D1159" s="6" t="n">
        <f aca="false">INT((ROW()-1)/208)</f>
        <v>5</v>
      </c>
      <c r="F1159" s="6" t="str">
        <f aca="false">MID(VLOOKUP(D1159,$P$1:$Q$13,2,0), 1 + C1159,1)</f>
        <v>셀</v>
      </c>
      <c r="G1159" s="6" t="str">
        <f aca="false">DEC2HEX(D1159+36, 2)</f>
        <v>29</v>
      </c>
      <c r="H1159" s="6" t="str">
        <f aca="false">DEC2HEX(C1159+48,2)</f>
        <v>A6</v>
      </c>
      <c r="I1159" s="6" t="str">
        <f aca="false">_xlfn.CONCAT("\x", G1159, "\x", H1159, "=", F1159)</f>
        <v>\x29\xA6=셀</v>
      </c>
      <c r="M1159" s="8"/>
    </row>
    <row r="1160" customFormat="false" ht="12.8" hidden="false" customHeight="true" outlineLevel="0" collapsed="false">
      <c r="C1160" s="6" t="n">
        <f aca="false">MOD(ROW()-1, 208)</f>
        <v>119</v>
      </c>
      <c r="D1160" s="6" t="n">
        <f aca="false">INT((ROW()-1)/208)</f>
        <v>5</v>
      </c>
      <c r="F1160" s="6" t="str">
        <f aca="false">MID(VLOOKUP(D1160,$P$1:$Q$13,2,0), 1 + C1160,1)</f>
        <v>셈</v>
      </c>
      <c r="G1160" s="6" t="str">
        <f aca="false">DEC2HEX(D1160+36, 2)</f>
        <v>29</v>
      </c>
      <c r="H1160" s="6" t="str">
        <f aca="false">DEC2HEX(C1160+48,2)</f>
        <v>A7</v>
      </c>
      <c r="I1160" s="6" t="str">
        <f aca="false">_xlfn.CONCAT("\x", G1160, "\x", H1160, "=", F1160)</f>
        <v>\x29\xA7=셈</v>
      </c>
      <c r="M1160" s="8"/>
    </row>
    <row r="1161" customFormat="false" ht="12.8" hidden="false" customHeight="true" outlineLevel="0" collapsed="false">
      <c r="C1161" s="6" t="n">
        <f aca="false">MOD(ROW()-1, 208)</f>
        <v>120</v>
      </c>
      <c r="D1161" s="6" t="n">
        <f aca="false">INT((ROW()-1)/208)</f>
        <v>5</v>
      </c>
      <c r="F1161" s="6" t="str">
        <f aca="false">MID(VLOOKUP(D1161,$P$1:$Q$13,2,0), 1 + C1161,1)</f>
        <v>셉</v>
      </c>
      <c r="G1161" s="6" t="str">
        <f aca="false">DEC2HEX(D1161+36, 2)</f>
        <v>29</v>
      </c>
      <c r="H1161" s="6" t="str">
        <f aca="false">DEC2HEX(C1161+48,2)</f>
        <v>A8</v>
      </c>
      <c r="I1161" s="6" t="str">
        <f aca="false">_xlfn.CONCAT("\x", G1161, "\x", H1161, "=", F1161)</f>
        <v>\x29\xA8=셉</v>
      </c>
      <c r="M1161" s="8"/>
    </row>
    <row r="1162" customFormat="false" ht="12.8" hidden="false" customHeight="true" outlineLevel="0" collapsed="false">
      <c r="C1162" s="6" t="n">
        <f aca="false">MOD(ROW()-1, 208)</f>
        <v>121</v>
      </c>
      <c r="D1162" s="6" t="n">
        <f aca="false">INT((ROW()-1)/208)</f>
        <v>5</v>
      </c>
      <c r="F1162" s="6" t="str">
        <f aca="false">MID(VLOOKUP(D1162,$P$1:$Q$13,2,0), 1 + C1162,1)</f>
        <v>셋</v>
      </c>
      <c r="G1162" s="6" t="str">
        <f aca="false">DEC2HEX(D1162+36, 2)</f>
        <v>29</v>
      </c>
      <c r="H1162" s="6" t="str">
        <f aca="false">DEC2HEX(C1162+48,2)</f>
        <v>A9</v>
      </c>
      <c r="I1162" s="6" t="str">
        <f aca="false">_xlfn.CONCAT("\x", G1162, "\x", H1162, "=", F1162)</f>
        <v>\x29\xA9=셋</v>
      </c>
      <c r="M1162" s="8"/>
    </row>
    <row r="1163" customFormat="false" ht="12.8" hidden="false" customHeight="true" outlineLevel="0" collapsed="false">
      <c r="C1163" s="6" t="n">
        <f aca="false">MOD(ROW()-1, 208)</f>
        <v>122</v>
      </c>
      <c r="D1163" s="6" t="n">
        <f aca="false">INT((ROW()-1)/208)</f>
        <v>5</v>
      </c>
      <c r="F1163" s="6" t="str">
        <f aca="false">MID(VLOOKUP(D1163,$P$1:$Q$13,2,0), 1 + C1163,1)</f>
        <v>셌</v>
      </c>
      <c r="G1163" s="6" t="str">
        <f aca="false">DEC2HEX(D1163+36, 2)</f>
        <v>29</v>
      </c>
      <c r="H1163" s="6" t="str">
        <f aca="false">DEC2HEX(C1163+48,2)</f>
        <v>AA</v>
      </c>
      <c r="I1163" s="6" t="str">
        <f aca="false">_xlfn.CONCAT("\x", G1163, "\x", H1163, "=", F1163)</f>
        <v>\x29\xAA=셌</v>
      </c>
      <c r="M1163" s="8"/>
    </row>
    <row r="1164" customFormat="false" ht="12.8" hidden="false" customHeight="true" outlineLevel="0" collapsed="false">
      <c r="C1164" s="6" t="n">
        <f aca="false">MOD(ROW()-1, 208)</f>
        <v>123</v>
      </c>
      <c r="D1164" s="6" t="n">
        <f aca="false">INT((ROW()-1)/208)</f>
        <v>5</v>
      </c>
      <c r="F1164" s="6" t="str">
        <f aca="false">MID(VLOOKUP(D1164,$P$1:$Q$13,2,0), 1 + C1164,1)</f>
        <v>셍</v>
      </c>
      <c r="G1164" s="6" t="str">
        <f aca="false">DEC2HEX(D1164+36, 2)</f>
        <v>29</v>
      </c>
      <c r="H1164" s="6" t="str">
        <f aca="false">DEC2HEX(C1164+48,2)</f>
        <v>AB</v>
      </c>
      <c r="I1164" s="6" t="str">
        <f aca="false">_xlfn.CONCAT("\x", G1164, "\x", H1164, "=", F1164)</f>
        <v>\x29\xAB=셍</v>
      </c>
      <c r="M1164" s="8"/>
    </row>
    <row r="1165" customFormat="false" ht="12.8" hidden="false" customHeight="true" outlineLevel="0" collapsed="false">
      <c r="C1165" s="6" t="n">
        <f aca="false">MOD(ROW()-1, 208)</f>
        <v>124</v>
      </c>
      <c r="D1165" s="6" t="n">
        <f aca="false">INT((ROW()-1)/208)</f>
        <v>5</v>
      </c>
      <c r="F1165" s="6" t="str">
        <f aca="false">MID(VLOOKUP(D1165,$P$1:$Q$13,2,0), 1 + C1165,1)</f>
        <v>셔</v>
      </c>
      <c r="G1165" s="6" t="str">
        <f aca="false">DEC2HEX(D1165+36, 2)</f>
        <v>29</v>
      </c>
      <c r="H1165" s="6" t="str">
        <f aca="false">DEC2HEX(C1165+48,2)</f>
        <v>AC</v>
      </c>
      <c r="I1165" s="6" t="str">
        <f aca="false">_xlfn.CONCAT("\x", G1165, "\x", H1165, "=", F1165)</f>
        <v>\x29\xAC=셔</v>
      </c>
      <c r="M1165" s="8"/>
    </row>
    <row r="1166" customFormat="false" ht="12.8" hidden="false" customHeight="true" outlineLevel="0" collapsed="false">
      <c r="C1166" s="6" t="n">
        <f aca="false">MOD(ROW()-1, 208)</f>
        <v>125</v>
      </c>
      <c r="D1166" s="6" t="n">
        <f aca="false">INT((ROW()-1)/208)</f>
        <v>5</v>
      </c>
      <c r="F1166" s="6" t="str">
        <f aca="false">MID(VLOOKUP(D1166,$P$1:$Q$13,2,0), 1 + C1166,1)</f>
        <v>셕</v>
      </c>
      <c r="G1166" s="6" t="str">
        <f aca="false">DEC2HEX(D1166+36, 2)</f>
        <v>29</v>
      </c>
      <c r="H1166" s="6" t="str">
        <f aca="false">DEC2HEX(C1166+48,2)</f>
        <v>AD</v>
      </c>
      <c r="I1166" s="6" t="str">
        <f aca="false">_xlfn.CONCAT("\x", G1166, "\x", H1166, "=", F1166)</f>
        <v>\x29\xAD=셕</v>
      </c>
      <c r="M1166" s="8"/>
    </row>
    <row r="1167" customFormat="false" ht="12.8" hidden="false" customHeight="true" outlineLevel="0" collapsed="false">
      <c r="C1167" s="6" t="n">
        <f aca="false">MOD(ROW()-1, 208)</f>
        <v>126</v>
      </c>
      <c r="D1167" s="6" t="n">
        <f aca="false">INT((ROW()-1)/208)</f>
        <v>5</v>
      </c>
      <c r="F1167" s="6" t="str">
        <f aca="false">MID(VLOOKUP(D1167,$P$1:$Q$13,2,0), 1 + C1167,1)</f>
        <v>션</v>
      </c>
      <c r="G1167" s="6" t="str">
        <f aca="false">DEC2HEX(D1167+36, 2)</f>
        <v>29</v>
      </c>
      <c r="H1167" s="6" t="str">
        <f aca="false">DEC2HEX(C1167+48,2)</f>
        <v>AE</v>
      </c>
      <c r="I1167" s="6" t="str">
        <f aca="false">_xlfn.CONCAT("\x", G1167, "\x", H1167, "=", F1167)</f>
        <v>\x29\xAE=션</v>
      </c>
      <c r="M1167" s="8"/>
    </row>
    <row r="1168" customFormat="false" ht="12.8" hidden="false" customHeight="true" outlineLevel="0" collapsed="false">
      <c r="C1168" s="6" t="n">
        <f aca="false">MOD(ROW()-1, 208)</f>
        <v>127</v>
      </c>
      <c r="D1168" s="6" t="n">
        <f aca="false">INT((ROW()-1)/208)</f>
        <v>5</v>
      </c>
      <c r="F1168" s="6" t="str">
        <f aca="false">MID(VLOOKUP(D1168,$P$1:$Q$13,2,0), 1 + C1168,1)</f>
        <v>셜</v>
      </c>
      <c r="G1168" s="6" t="str">
        <f aca="false">DEC2HEX(D1168+36, 2)</f>
        <v>29</v>
      </c>
      <c r="H1168" s="6" t="str">
        <f aca="false">DEC2HEX(C1168+48,2)</f>
        <v>AF</v>
      </c>
      <c r="I1168" s="6" t="str">
        <f aca="false">_xlfn.CONCAT("\x", G1168, "\x", H1168, "=", F1168)</f>
        <v>\x29\xAF=셜</v>
      </c>
      <c r="M1168" s="8"/>
    </row>
    <row r="1169" customFormat="false" ht="12.8" hidden="false" customHeight="true" outlineLevel="0" collapsed="false">
      <c r="C1169" s="6" t="n">
        <f aca="false">MOD(ROW()-1, 208)</f>
        <v>128</v>
      </c>
      <c r="D1169" s="6" t="n">
        <f aca="false">INT((ROW()-1)/208)</f>
        <v>5</v>
      </c>
      <c r="F1169" s="6" t="str">
        <f aca="false">MID(VLOOKUP(D1169,$P$1:$Q$13,2,0), 1 + C1169,1)</f>
        <v>셤</v>
      </c>
      <c r="G1169" s="6" t="str">
        <f aca="false">DEC2HEX(D1169+36, 2)</f>
        <v>29</v>
      </c>
      <c r="H1169" s="6" t="str">
        <f aca="false">DEC2HEX(C1169+48,2)</f>
        <v>B0</v>
      </c>
      <c r="I1169" s="6" t="str">
        <f aca="false">_xlfn.CONCAT("\x", G1169, "\x", H1169, "=", F1169)</f>
        <v>\x29\xB0=셤</v>
      </c>
      <c r="M1169" s="8"/>
    </row>
    <row r="1170" customFormat="false" ht="12.8" hidden="false" customHeight="true" outlineLevel="0" collapsed="false">
      <c r="C1170" s="6" t="n">
        <f aca="false">MOD(ROW()-1, 208)</f>
        <v>129</v>
      </c>
      <c r="D1170" s="6" t="n">
        <f aca="false">INT((ROW()-1)/208)</f>
        <v>5</v>
      </c>
      <c r="F1170" s="6" t="str">
        <f aca="false">MID(VLOOKUP(D1170,$P$1:$Q$13,2,0), 1 + C1170,1)</f>
        <v>셥</v>
      </c>
      <c r="G1170" s="6" t="str">
        <f aca="false">DEC2HEX(D1170+36, 2)</f>
        <v>29</v>
      </c>
      <c r="H1170" s="6" t="str">
        <f aca="false">DEC2HEX(C1170+48,2)</f>
        <v>B1</v>
      </c>
      <c r="I1170" s="6" t="str">
        <f aca="false">_xlfn.CONCAT("\x", G1170, "\x", H1170, "=", F1170)</f>
        <v>\x29\xB1=셥</v>
      </c>
      <c r="M1170" s="8"/>
    </row>
    <row r="1171" customFormat="false" ht="12.8" hidden="false" customHeight="true" outlineLevel="0" collapsed="false">
      <c r="C1171" s="6" t="n">
        <f aca="false">MOD(ROW()-1, 208)</f>
        <v>130</v>
      </c>
      <c r="D1171" s="6" t="n">
        <f aca="false">INT((ROW()-1)/208)</f>
        <v>5</v>
      </c>
      <c r="F1171" s="6" t="str">
        <f aca="false">MID(VLOOKUP(D1171,$P$1:$Q$13,2,0), 1 + C1171,1)</f>
        <v>셧</v>
      </c>
      <c r="G1171" s="6" t="str">
        <f aca="false">DEC2HEX(D1171+36, 2)</f>
        <v>29</v>
      </c>
      <c r="H1171" s="6" t="str">
        <f aca="false">DEC2HEX(C1171+48,2)</f>
        <v>B2</v>
      </c>
      <c r="I1171" s="6" t="str">
        <f aca="false">_xlfn.CONCAT("\x", G1171, "\x", H1171, "=", F1171)</f>
        <v>\x29\xB2=셧</v>
      </c>
      <c r="M1171" s="8"/>
    </row>
    <row r="1172" customFormat="false" ht="12.8" hidden="false" customHeight="true" outlineLevel="0" collapsed="false">
      <c r="C1172" s="6" t="n">
        <f aca="false">MOD(ROW()-1, 208)</f>
        <v>131</v>
      </c>
      <c r="D1172" s="6" t="n">
        <f aca="false">INT((ROW()-1)/208)</f>
        <v>5</v>
      </c>
      <c r="F1172" s="6" t="str">
        <f aca="false">MID(VLOOKUP(D1172,$P$1:$Q$13,2,0), 1 + C1172,1)</f>
        <v>셨</v>
      </c>
      <c r="G1172" s="6" t="str">
        <f aca="false">DEC2HEX(D1172+36, 2)</f>
        <v>29</v>
      </c>
      <c r="H1172" s="6" t="str">
        <f aca="false">DEC2HEX(C1172+48,2)</f>
        <v>B3</v>
      </c>
      <c r="I1172" s="6" t="str">
        <f aca="false">_xlfn.CONCAT("\x", G1172, "\x", H1172, "=", F1172)</f>
        <v>\x29\xB3=셨</v>
      </c>
      <c r="M1172" s="8"/>
    </row>
    <row r="1173" customFormat="false" ht="12.8" hidden="false" customHeight="true" outlineLevel="0" collapsed="false">
      <c r="C1173" s="6" t="n">
        <f aca="false">MOD(ROW()-1, 208)</f>
        <v>132</v>
      </c>
      <c r="D1173" s="6" t="n">
        <f aca="false">INT((ROW()-1)/208)</f>
        <v>5</v>
      </c>
      <c r="F1173" s="6" t="str">
        <f aca="false">MID(VLOOKUP(D1173,$P$1:$Q$13,2,0), 1 + C1173,1)</f>
        <v>셩</v>
      </c>
      <c r="G1173" s="6" t="str">
        <f aca="false">DEC2HEX(D1173+36, 2)</f>
        <v>29</v>
      </c>
      <c r="H1173" s="6" t="str">
        <f aca="false">DEC2HEX(C1173+48,2)</f>
        <v>B4</v>
      </c>
      <c r="I1173" s="6" t="str">
        <f aca="false">_xlfn.CONCAT("\x", G1173, "\x", H1173, "=", F1173)</f>
        <v>\x29\xB4=셩</v>
      </c>
      <c r="M1173" s="8"/>
    </row>
    <row r="1174" customFormat="false" ht="12.8" hidden="false" customHeight="true" outlineLevel="0" collapsed="false">
      <c r="C1174" s="6" t="n">
        <f aca="false">MOD(ROW()-1, 208)</f>
        <v>133</v>
      </c>
      <c r="D1174" s="6" t="n">
        <f aca="false">INT((ROW()-1)/208)</f>
        <v>5</v>
      </c>
      <c r="F1174" s="6" t="str">
        <f aca="false">MID(VLOOKUP(D1174,$P$1:$Q$13,2,0), 1 + C1174,1)</f>
        <v>셰</v>
      </c>
      <c r="G1174" s="6" t="str">
        <f aca="false">DEC2HEX(D1174+36, 2)</f>
        <v>29</v>
      </c>
      <c r="H1174" s="6" t="str">
        <f aca="false">DEC2HEX(C1174+48,2)</f>
        <v>B5</v>
      </c>
      <c r="I1174" s="6" t="str">
        <f aca="false">_xlfn.CONCAT("\x", G1174, "\x", H1174, "=", F1174)</f>
        <v>\x29\xB5=셰</v>
      </c>
      <c r="M1174" s="8"/>
    </row>
    <row r="1175" customFormat="false" ht="12.8" hidden="false" customHeight="true" outlineLevel="0" collapsed="false">
      <c r="C1175" s="6" t="n">
        <f aca="false">MOD(ROW()-1, 208)</f>
        <v>134</v>
      </c>
      <c r="D1175" s="6" t="n">
        <f aca="false">INT((ROW()-1)/208)</f>
        <v>5</v>
      </c>
      <c r="F1175" s="6" t="str">
        <f aca="false">MID(VLOOKUP(D1175,$P$1:$Q$13,2,0), 1 + C1175,1)</f>
        <v>셴</v>
      </c>
      <c r="G1175" s="6" t="str">
        <f aca="false">DEC2HEX(D1175+36, 2)</f>
        <v>29</v>
      </c>
      <c r="H1175" s="6" t="str">
        <f aca="false">DEC2HEX(C1175+48,2)</f>
        <v>B6</v>
      </c>
      <c r="I1175" s="6" t="str">
        <f aca="false">_xlfn.CONCAT("\x", G1175, "\x", H1175, "=", F1175)</f>
        <v>\x29\xB6=셴</v>
      </c>
      <c r="M1175" s="8"/>
    </row>
    <row r="1176" customFormat="false" ht="12.8" hidden="false" customHeight="true" outlineLevel="0" collapsed="false">
      <c r="C1176" s="6" t="n">
        <f aca="false">MOD(ROW()-1, 208)</f>
        <v>135</v>
      </c>
      <c r="D1176" s="6" t="n">
        <f aca="false">INT((ROW()-1)/208)</f>
        <v>5</v>
      </c>
      <c r="F1176" s="6" t="str">
        <f aca="false">MID(VLOOKUP(D1176,$P$1:$Q$13,2,0), 1 + C1176,1)</f>
        <v>셸</v>
      </c>
      <c r="G1176" s="6" t="str">
        <f aca="false">DEC2HEX(D1176+36, 2)</f>
        <v>29</v>
      </c>
      <c r="H1176" s="6" t="str">
        <f aca="false">DEC2HEX(C1176+48,2)</f>
        <v>B7</v>
      </c>
      <c r="I1176" s="6" t="str">
        <f aca="false">_xlfn.CONCAT("\x", G1176, "\x", H1176, "=", F1176)</f>
        <v>\x29\xB7=셸</v>
      </c>
      <c r="M1176" s="8"/>
    </row>
    <row r="1177" customFormat="false" ht="12.8" hidden="false" customHeight="true" outlineLevel="0" collapsed="false">
      <c r="C1177" s="6" t="n">
        <f aca="false">MOD(ROW()-1, 208)</f>
        <v>136</v>
      </c>
      <c r="D1177" s="6" t="n">
        <f aca="false">INT((ROW()-1)/208)</f>
        <v>5</v>
      </c>
      <c r="F1177" s="6" t="str">
        <f aca="false">MID(VLOOKUP(D1177,$P$1:$Q$13,2,0), 1 + C1177,1)</f>
        <v>솅</v>
      </c>
      <c r="G1177" s="6" t="str">
        <f aca="false">DEC2HEX(D1177+36, 2)</f>
        <v>29</v>
      </c>
      <c r="H1177" s="6" t="str">
        <f aca="false">DEC2HEX(C1177+48,2)</f>
        <v>B8</v>
      </c>
      <c r="I1177" s="6" t="str">
        <f aca="false">_xlfn.CONCAT("\x", G1177, "\x", H1177, "=", F1177)</f>
        <v>\x29\xB8=솅</v>
      </c>
      <c r="M1177" s="8"/>
    </row>
    <row r="1178" customFormat="false" ht="12.8" hidden="false" customHeight="true" outlineLevel="0" collapsed="false">
      <c r="C1178" s="6" t="n">
        <f aca="false">MOD(ROW()-1, 208)</f>
        <v>137</v>
      </c>
      <c r="D1178" s="6" t="n">
        <f aca="false">INT((ROW()-1)/208)</f>
        <v>5</v>
      </c>
      <c r="F1178" s="6" t="str">
        <f aca="false">MID(VLOOKUP(D1178,$P$1:$Q$13,2,0), 1 + C1178,1)</f>
        <v>소</v>
      </c>
      <c r="G1178" s="6" t="str">
        <f aca="false">DEC2HEX(D1178+36, 2)</f>
        <v>29</v>
      </c>
      <c r="H1178" s="6" t="str">
        <f aca="false">DEC2HEX(C1178+48,2)</f>
        <v>B9</v>
      </c>
      <c r="I1178" s="6" t="str">
        <f aca="false">_xlfn.CONCAT("\x", G1178, "\x", H1178, "=", F1178)</f>
        <v>\x29\xB9=소</v>
      </c>
      <c r="M1178" s="8"/>
    </row>
    <row r="1179" customFormat="false" ht="12.8" hidden="false" customHeight="true" outlineLevel="0" collapsed="false">
      <c r="C1179" s="6" t="n">
        <f aca="false">MOD(ROW()-1, 208)</f>
        <v>138</v>
      </c>
      <c r="D1179" s="6" t="n">
        <f aca="false">INT((ROW()-1)/208)</f>
        <v>5</v>
      </c>
      <c r="F1179" s="6" t="str">
        <f aca="false">MID(VLOOKUP(D1179,$P$1:$Q$13,2,0), 1 + C1179,1)</f>
        <v>속</v>
      </c>
      <c r="G1179" s="6" t="str">
        <f aca="false">DEC2HEX(D1179+36, 2)</f>
        <v>29</v>
      </c>
      <c r="H1179" s="6" t="str">
        <f aca="false">DEC2HEX(C1179+48,2)</f>
        <v>BA</v>
      </c>
      <c r="I1179" s="6" t="str">
        <f aca="false">_xlfn.CONCAT("\x", G1179, "\x", H1179, "=", F1179)</f>
        <v>\x29\xBA=속</v>
      </c>
      <c r="M1179" s="8"/>
    </row>
    <row r="1180" customFormat="false" ht="12.8" hidden="false" customHeight="true" outlineLevel="0" collapsed="false">
      <c r="C1180" s="6" t="n">
        <f aca="false">MOD(ROW()-1, 208)</f>
        <v>139</v>
      </c>
      <c r="D1180" s="6" t="n">
        <f aca="false">INT((ROW()-1)/208)</f>
        <v>5</v>
      </c>
      <c r="F1180" s="6" t="str">
        <f aca="false">MID(VLOOKUP(D1180,$P$1:$Q$13,2,0), 1 + C1180,1)</f>
        <v>솎</v>
      </c>
      <c r="G1180" s="6" t="str">
        <f aca="false">DEC2HEX(D1180+36, 2)</f>
        <v>29</v>
      </c>
      <c r="H1180" s="6" t="str">
        <f aca="false">DEC2HEX(C1180+48,2)</f>
        <v>BB</v>
      </c>
      <c r="I1180" s="6" t="str">
        <f aca="false">_xlfn.CONCAT("\x", G1180, "\x", H1180, "=", F1180)</f>
        <v>\x29\xBB=솎</v>
      </c>
      <c r="M1180" s="8"/>
    </row>
    <row r="1181" customFormat="false" ht="12.8" hidden="false" customHeight="true" outlineLevel="0" collapsed="false">
      <c r="C1181" s="6" t="n">
        <f aca="false">MOD(ROW()-1, 208)</f>
        <v>140</v>
      </c>
      <c r="D1181" s="6" t="n">
        <f aca="false">INT((ROW()-1)/208)</f>
        <v>5</v>
      </c>
      <c r="F1181" s="6" t="str">
        <f aca="false">MID(VLOOKUP(D1181,$P$1:$Q$13,2,0), 1 + C1181,1)</f>
        <v>손</v>
      </c>
      <c r="G1181" s="6" t="str">
        <f aca="false">DEC2HEX(D1181+36, 2)</f>
        <v>29</v>
      </c>
      <c r="H1181" s="6" t="str">
        <f aca="false">DEC2HEX(C1181+48,2)</f>
        <v>BC</v>
      </c>
      <c r="I1181" s="6" t="str">
        <f aca="false">_xlfn.CONCAT("\x", G1181, "\x", H1181, "=", F1181)</f>
        <v>\x29\xBC=손</v>
      </c>
      <c r="M1181" s="8"/>
    </row>
    <row r="1182" customFormat="false" ht="12.8" hidden="false" customHeight="true" outlineLevel="0" collapsed="false">
      <c r="C1182" s="6" t="n">
        <f aca="false">MOD(ROW()-1, 208)</f>
        <v>141</v>
      </c>
      <c r="D1182" s="6" t="n">
        <f aca="false">INT((ROW()-1)/208)</f>
        <v>5</v>
      </c>
      <c r="F1182" s="6" t="str">
        <f aca="false">MID(VLOOKUP(D1182,$P$1:$Q$13,2,0), 1 + C1182,1)</f>
        <v>솔</v>
      </c>
      <c r="G1182" s="6" t="str">
        <f aca="false">DEC2HEX(D1182+36, 2)</f>
        <v>29</v>
      </c>
      <c r="H1182" s="6" t="str">
        <f aca="false">DEC2HEX(C1182+48,2)</f>
        <v>BD</v>
      </c>
      <c r="I1182" s="6" t="str">
        <f aca="false">_xlfn.CONCAT("\x", G1182, "\x", H1182, "=", F1182)</f>
        <v>\x29\xBD=솔</v>
      </c>
      <c r="M1182" s="8"/>
    </row>
    <row r="1183" customFormat="false" ht="12.8" hidden="false" customHeight="true" outlineLevel="0" collapsed="false">
      <c r="C1183" s="6" t="n">
        <f aca="false">MOD(ROW()-1, 208)</f>
        <v>142</v>
      </c>
      <c r="D1183" s="6" t="n">
        <f aca="false">INT((ROW()-1)/208)</f>
        <v>5</v>
      </c>
      <c r="F1183" s="6" t="str">
        <f aca="false">MID(VLOOKUP(D1183,$P$1:$Q$13,2,0), 1 + C1183,1)</f>
        <v>솖</v>
      </c>
      <c r="G1183" s="6" t="str">
        <f aca="false">DEC2HEX(D1183+36, 2)</f>
        <v>29</v>
      </c>
      <c r="H1183" s="6" t="str">
        <f aca="false">DEC2HEX(C1183+48,2)</f>
        <v>BE</v>
      </c>
      <c r="I1183" s="6" t="str">
        <f aca="false">_xlfn.CONCAT("\x", G1183, "\x", H1183, "=", F1183)</f>
        <v>\x29\xBE=솖</v>
      </c>
      <c r="M1183" s="8"/>
    </row>
    <row r="1184" customFormat="false" ht="12.8" hidden="false" customHeight="true" outlineLevel="0" collapsed="false">
      <c r="C1184" s="6" t="n">
        <f aca="false">MOD(ROW()-1, 208)</f>
        <v>143</v>
      </c>
      <c r="D1184" s="6" t="n">
        <f aca="false">INT((ROW()-1)/208)</f>
        <v>5</v>
      </c>
      <c r="F1184" s="6" t="str">
        <f aca="false">MID(VLOOKUP(D1184,$P$1:$Q$13,2,0), 1 + C1184,1)</f>
        <v>솜</v>
      </c>
      <c r="G1184" s="6" t="str">
        <f aca="false">DEC2HEX(D1184+36, 2)</f>
        <v>29</v>
      </c>
      <c r="H1184" s="6" t="str">
        <f aca="false">DEC2HEX(C1184+48,2)</f>
        <v>BF</v>
      </c>
      <c r="I1184" s="6" t="str">
        <f aca="false">_xlfn.CONCAT("\x", G1184, "\x", H1184, "=", F1184)</f>
        <v>\x29\xBF=솜</v>
      </c>
      <c r="M1184" s="8"/>
    </row>
    <row r="1185" customFormat="false" ht="12.8" hidden="false" customHeight="true" outlineLevel="0" collapsed="false">
      <c r="C1185" s="6" t="n">
        <f aca="false">MOD(ROW()-1, 208)</f>
        <v>144</v>
      </c>
      <c r="D1185" s="6" t="n">
        <f aca="false">INT((ROW()-1)/208)</f>
        <v>5</v>
      </c>
      <c r="F1185" s="6" t="str">
        <f aca="false">MID(VLOOKUP(D1185,$P$1:$Q$13,2,0), 1 + C1185,1)</f>
        <v>솝</v>
      </c>
      <c r="G1185" s="6" t="str">
        <f aca="false">DEC2HEX(D1185+36, 2)</f>
        <v>29</v>
      </c>
      <c r="H1185" s="6" t="str">
        <f aca="false">DEC2HEX(C1185+48,2)</f>
        <v>C0</v>
      </c>
      <c r="I1185" s="6" t="str">
        <f aca="false">_xlfn.CONCAT("\x", G1185, "\x", H1185, "=", F1185)</f>
        <v>\x29\xC0=솝</v>
      </c>
      <c r="M1185" s="8"/>
    </row>
    <row r="1186" customFormat="false" ht="12.8" hidden="false" customHeight="true" outlineLevel="0" collapsed="false">
      <c r="C1186" s="6" t="n">
        <f aca="false">MOD(ROW()-1, 208)</f>
        <v>145</v>
      </c>
      <c r="D1186" s="6" t="n">
        <f aca="false">INT((ROW()-1)/208)</f>
        <v>5</v>
      </c>
      <c r="F1186" s="6" t="str">
        <f aca="false">MID(VLOOKUP(D1186,$P$1:$Q$13,2,0), 1 + C1186,1)</f>
        <v>솟</v>
      </c>
      <c r="G1186" s="6" t="str">
        <f aca="false">DEC2HEX(D1186+36, 2)</f>
        <v>29</v>
      </c>
      <c r="H1186" s="6" t="str">
        <f aca="false">DEC2HEX(C1186+48,2)</f>
        <v>C1</v>
      </c>
      <c r="I1186" s="6" t="str">
        <f aca="false">_xlfn.CONCAT("\x", G1186, "\x", H1186, "=", F1186)</f>
        <v>\x29\xC1=솟</v>
      </c>
      <c r="M1186" s="8"/>
    </row>
    <row r="1187" customFormat="false" ht="12.8" hidden="false" customHeight="true" outlineLevel="0" collapsed="false">
      <c r="C1187" s="6" t="n">
        <f aca="false">MOD(ROW()-1, 208)</f>
        <v>146</v>
      </c>
      <c r="D1187" s="6" t="n">
        <f aca="false">INT((ROW()-1)/208)</f>
        <v>5</v>
      </c>
      <c r="F1187" s="6" t="str">
        <f aca="false">MID(VLOOKUP(D1187,$P$1:$Q$13,2,0), 1 + C1187,1)</f>
        <v>송</v>
      </c>
      <c r="G1187" s="6" t="str">
        <f aca="false">DEC2HEX(D1187+36, 2)</f>
        <v>29</v>
      </c>
      <c r="H1187" s="6" t="str">
        <f aca="false">DEC2HEX(C1187+48,2)</f>
        <v>C2</v>
      </c>
      <c r="I1187" s="6" t="str">
        <f aca="false">_xlfn.CONCAT("\x", G1187, "\x", H1187, "=", F1187)</f>
        <v>\x29\xC2=송</v>
      </c>
      <c r="M1187" s="8"/>
    </row>
    <row r="1188" customFormat="false" ht="12.8" hidden="false" customHeight="true" outlineLevel="0" collapsed="false">
      <c r="C1188" s="6" t="n">
        <f aca="false">MOD(ROW()-1, 208)</f>
        <v>147</v>
      </c>
      <c r="D1188" s="6" t="n">
        <f aca="false">INT((ROW()-1)/208)</f>
        <v>5</v>
      </c>
      <c r="F1188" s="6" t="str">
        <f aca="false">MID(VLOOKUP(D1188,$P$1:$Q$13,2,0), 1 + C1188,1)</f>
        <v>솥</v>
      </c>
      <c r="G1188" s="6" t="str">
        <f aca="false">DEC2HEX(D1188+36, 2)</f>
        <v>29</v>
      </c>
      <c r="H1188" s="6" t="str">
        <f aca="false">DEC2HEX(C1188+48,2)</f>
        <v>C3</v>
      </c>
      <c r="I1188" s="6" t="str">
        <f aca="false">_xlfn.CONCAT("\x", G1188, "\x", H1188, "=", F1188)</f>
        <v>\x29\xC3=솥</v>
      </c>
      <c r="M1188" s="8"/>
    </row>
    <row r="1189" customFormat="false" ht="12.8" hidden="false" customHeight="true" outlineLevel="0" collapsed="false">
      <c r="C1189" s="6" t="n">
        <f aca="false">MOD(ROW()-1, 208)</f>
        <v>148</v>
      </c>
      <c r="D1189" s="6" t="n">
        <f aca="false">INT((ROW()-1)/208)</f>
        <v>5</v>
      </c>
      <c r="F1189" s="6" t="str">
        <f aca="false">MID(VLOOKUP(D1189,$P$1:$Q$13,2,0), 1 + C1189,1)</f>
        <v>솨</v>
      </c>
      <c r="G1189" s="6" t="str">
        <f aca="false">DEC2HEX(D1189+36, 2)</f>
        <v>29</v>
      </c>
      <c r="H1189" s="6" t="str">
        <f aca="false">DEC2HEX(C1189+48,2)</f>
        <v>C4</v>
      </c>
      <c r="I1189" s="6" t="str">
        <f aca="false">_xlfn.CONCAT("\x", G1189, "\x", H1189, "=", F1189)</f>
        <v>\x29\xC4=솨</v>
      </c>
      <c r="M1189" s="8"/>
    </row>
    <row r="1190" customFormat="false" ht="12.8" hidden="false" customHeight="true" outlineLevel="0" collapsed="false">
      <c r="C1190" s="6" t="n">
        <f aca="false">MOD(ROW()-1, 208)</f>
        <v>149</v>
      </c>
      <c r="D1190" s="6" t="n">
        <f aca="false">INT((ROW()-1)/208)</f>
        <v>5</v>
      </c>
      <c r="F1190" s="6" t="str">
        <f aca="false">MID(VLOOKUP(D1190,$P$1:$Q$13,2,0), 1 + C1190,1)</f>
        <v>솩</v>
      </c>
      <c r="G1190" s="6" t="str">
        <f aca="false">DEC2HEX(D1190+36, 2)</f>
        <v>29</v>
      </c>
      <c r="H1190" s="6" t="str">
        <f aca="false">DEC2HEX(C1190+48,2)</f>
        <v>C5</v>
      </c>
      <c r="I1190" s="6" t="str">
        <f aca="false">_xlfn.CONCAT("\x", G1190, "\x", H1190, "=", F1190)</f>
        <v>\x29\xC5=솩</v>
      </c>
      <c r="M1190" s="8"/>
    </row>
    <row r="1191" customFormat="false" ht="12.8" hidden="false" customHeight="true" outlineLevel="0" collapsed="false">
      <c r="C1191" s="6" t="n">
        <f aca="false">MOD(ROW()-1, 208)</f>
        <v>150</v>
      </c>
      <c r="D1191" s="6" t="n">
        <f aca="false">INT((ROW()-1)/208)</f>
        <v>5</v>
      </c>
      <c r="F1191" s="6" t="str">
        <f aca="false">MID(VLOOKUP(D1191,$P$1:$Q$13,2,0), 1 + C1191,1)</f>
        <v>솬</v>
      </c>
      <c r="G1191" s="6" t="str">
        <f aca="false">DEC2HEX(D1191+36, 2)</f>
        <v>29</v>
      </c>
      <c r="H1191" s="6" t="str">
        <f aca="false">DEC2HEX(C1191+48,2)</f>
        <v>C6</v>
      </c>
      <c r="I1191" s="6" t="str">
        <f aca="false">_xlfn.CONCAT("\x", G1191, "\x", H1191, "=", F1191)</f>
        <v>\x29\xC6=솬</v>
      </c>
      <c r="M1191" s="8"/>
    </row>
    <row r="1192" customFormat="false" ht="12.8" hidden="false" customHeight="true" outlineLevel="0" collapsed="false">
      <c r="C1192" s="6" t="n">
        <f aca="false">MOD(ROW()-1, 208)</f>
        <v>151</v>
      </c>
      <c r="D1192" s="6" t="n">
        <f aca="false">INT((ROW()-1)/208)</f>
        <v>5</v>
      </c>
      <c r="F1192" s="6" t="str">
        <f aca="false">MID(VLOOKUP(D1192,$P$1:$Q$13,2,0), 1 + C1192,1)</f>
        <v>솰</v>
      </c>
      <c r="G1192" s="6" t="str">
        <f aca="false">DEC2HEX(D1192+36, 2)</f>
        <v>29</v>
      </c>
      <c r="H1192" s="6" t="str">
        <f aca="false">DEC2HEX(C1192+48,2)</f>
        <v>C7</v>
      </c>
      <c r="I1192" s="6" t="str">
        <f aca="false">_xlfn.CONCAT("\x", G1192, "\x", H1192, "=", F1192)</f>
        <v>\x29\xC7=솰</v>
      </c>
      <c r="M1192" s="8"/>
    </row>
    <row r="1193" customFormat="false" ht="12.8" hidden="false" customHeight="true" outlineLevel="0" collapsed="false">
      <c r="C1193" s="6" t="n">
        <f aca="false">MOD(ROW()-1, 208)</f>
        <v>152</v>
      </c>
      <c r="D1193" s="6" t="n">
        <f aca="false">INT((ROW()-1)/208)</f>
        <v>5</v>
      </c>
      <c r="F1193" s="6" t="str">
        <f aca="false">MID(VLOOKUP(D1193,$P$1:$Q$13,2,0), 1 + C1193,1)</f>
        <v>솽</v>
      </c>
      <c r="G1193" s="6" t="str">
        <f aca="false">DEC2HEX(D1193+36, 2)</f>
        <v>29</v>
      </c>
      <c r="H1193" s="6" t="str">
        <f aca="false">DEC2HEX(C1193+48,2)</f>
        <v>C8</v>
      </c>
      <c r="I1193" s="6" t="str">
        <f aca="false">_xlfn.CONCAT("\x", G1193, "\x", H1193, "=", F1193)</f>
        <v>\x29\xC8=솽</v>
      </c>
      <c r="M1193" s="8"/>
    </row>
    <row r="1194" customFormat="false" ht="12.8" hidden="false" customHeight="true" outlineLevel="0" collapsed="false">
      <c r="C1194" s="6" t="n">
        <f aca="false">MOD(ROW()-1, 208)</f>
        <v>153</v>
      </c>
      <c r="D1194" s="6" t="n">
        <f aca="false">INT((ROW()-1)/208)</f>
        <v>5</v>
      </c>
      <c r="F1194" s="6" t="str">
        <f aca="false">MID(VLOOKUP(D1194,$P$1:$Q$13,2,0), 1 + C1194,1)</f>
        <v>쇄</v>
      </c>
      <c r="G1194" s="6" t="str">
        <f aca="false">DEC2HEX(D1194+36, 2)</f>
        <v>29</v>
      </c>
      <c r="H1194" s="6" t="str">
        <f aca="false">DEC2HEX(C1194+48,2)</f>
        <v>C9</v>
      </c>
      <c r="I1194" s="6" t="str">
        <f aca="false">_xlfn.CONCAT("\x", G1194, "\x", H1194, "=", F1194)</f>
        <v>\x29\xC9=쇄</v>
      </c>
      <c r="M1194" s="8"/>
    </row>
    <row r="1195" customFormat="false" ht="12.8" hidden="false" customHeight="true" outlineLevel="0" collapsed="false">
      <c r="C1195" s="6" t="n">
        <f aca="false">MOD(ROW()-1, 208)</f>
        <v>154</v>
      </c>
      <c r="D1195" s="6" t="n">
        <f aca="false">INT((ROW()-1)/208)</f>
        <v>5</v>
      </c>
      <c r="F1195" s="6" t="str">
        <f aca="false">MID(VLOOKUP(D1195,$P$1:$Q$13,2,0), 1 + C1195,1)</f>
        <v>쇈</v>
      </c>
      <c r="G1195" s="6" t="str">
        <f aca="false">DEC2HEX(D1195+36, 2)</f>
        <v>29</v>
      </c>
      <c r="H1195" s="6" t="str">
        <f aca="false">DEC2HEX(C1195+48,2)</f>
        <v>CA</v>
      </c>
      <c r="I1195" s="6" t="str">
        <f aca="false">_xlfn.CONCAT("\x", G1195, "\x", H1195, "=", F1195)</f>
        <v>\x29\xCA=쇈</v>
      </c>
      <c r="M1195" s="8"/>
    </row>
    <row r="1196" customFormat="false" ht="12.8" hidden="false" customHeight="true" outlineLevel="0" collapsed="false">
      <c r="C1196" s="6" t="n">
        <f aca="false">MOD(ROW()-1, 208)</f>
        <v>155</v>
      </c>
      <c r="D1196" s="6" t="n">
        <f aca="false">INT((ROW()-1)/208)</f>
        <v>5</v>
      </c>
      <c r="F1196" s="6" t="str">
        <f aca="false">MID(VLOOKUP(D1196,$P$1:$Q$13,2,0), 1 + C1196,1)</f>
        <v>쇌</v>
      </c>
      <c r="G1196" s="6" t="str">
        <f aca="false">DEC2HEX(D1196+36, 2)</f>
        <v>29</v>
      </c>
      <c r="H1196" s="6" t="str">
        <f aca="false">DEC2HEX(C1196+48,2)</f>
        <v>CB</v>
      </c>
      <c r="I1196" s="6" t="str">
        <f aca="false">_xlfn.CONCAT("\x", G1196, "\x", H1196, "=", F1196)</f>
        <v>\x29\xCB=쇌</v>
      </c>
      <c r="M1196" s="8"/>
    </row>
    <row r="1197" customFormat="false" ht="12.8" hidden="false" customHeight="true" outlineLevel="0" collapsed="false">
      <c r="C1197" s="6" t="n">
        <f aca="false">MOD(ROW()-1, 208)</f>
        <v>156</v>
      </c>
      <c r="D1197" s="6" t="n">
        <f aca="false">INT((ROW()-1)/208)</f>
        <v>5</v>
      </c>
      <c r="F1197" s="6" t="str">
        <f aca="false">MID(VLOOKUP(D1197,$P$1:$Q$13,2,0), 1 + C1197,1)</f>
        <v>쇔</v>
      </c>
      <c r="G1197" s="6" t="str">
        <f aca="false">DEC2HEX(D1197+36, 2)</f>
        <v>29</v>
      </c>
      <c r="H1197" s="6" t="str">
        <f aca="false">DEC2HEX(C1197+48,2)</f>
        <v>CC</v>
      </c>
      <c r="I1197" s="6" t="str">
        <f aca="false">_xlfn.CONCAT("\x", G1197, "\x", H1197, "=", F1197)</f>
        <v>\x29\xCC=쇔</v>
      </c>
      <c r="M1197" s="8"/>
    </row>
    <row r="1198" customFormat="false" ht="12.8" hidden="false" customHeight="true" outlineLevel="0" collapsed="false">
      <c r="C1198" s="6" t="n">
        <f aca="false">MOD(ROW()-1, 208)</f>
        <v>157</v>
      </c>
      <c r="D1198" s="6" t="n">
        <f aca="false">INT((ROW()-1)/208)</f>
        <v>5</v>
      </c>
      <c r="F1198" s="6" t="str">
        <f aca="false">MID(VLOOKUP(D1198,$P$1:$Q$13,2,0), 1 + C1198,1)</f>
        <v>쇗</v>
      </c>
      <c r="G1198" s="6" t="str">
        <f aca="false">DEC2HEX(D1198+36, 2)</f>
        <v>29</v>
      </c>
      <c r="H1198" s="6" t="str">
        <f aca="false">DEC2HEX(C1198+48,2)</f>
        <v>CD</v>
      </c>
      <c r="I1198" s="6" t="str">
        <f aca="false">_xlfn.CONCAT("\x", G1198, "\x", H1198, "=", F1198)</f>
        <v>\x29\xCD=쇗</v>
      </c>
      <c r="M1198" s="8"/>
    </row>
    <row r="1199" customFormat="false" ht="12.8" hidden="false" customHeight="true" outlineLevel="0" collapsed="false">
      <c r="C1199" s="6" t="n">
        <f aca="false">MOD(ROW()-1, 208)</f>
        <v>158</v>
      </c>
      <c r="D1199" s="6" t="n">
        <f aca="false">INT((ROW()-1)/208)</f>
        <v>5</v>
      </c>
      <c r="F1199" s="6" t="str">
        <f aca="false">MID(VLOOKUP(D1199,$P$1:$Q$13,2,0), 1 + C1199,1)</f>
        <v>쇘</v>
      </c>
      <c r="G1199" s="6" t="str">
        <f aca="false">DEC2HEX(D1199+36, 2)</f>
        <v>29</v>
      </c>
      <c r="H1199" s="6" t="str">
        <f aca="false">DEC2HEX(C1199+48,2)</f>
        <v>CE</v>
      </c>
      <c r="I1199" s="6" t="str">
        <f aca="false">_xlfn.CONCAT("\x", G1199, "\x", H1199, "=", F1199)</f>
        <v>\x29\xCE=쇘</v>
      </c>
      <c r="M1199" s="8"/>
    </row>
    <row r="1200" customFormat="false" ht="12.8" hidden="false" customHeight="true" outlineLevel="0" collapsed="false">
      <c r="C1200" s="6" t="n">
        <f aca="false">MOD(ROW()-1, 208)</f>
        <v>159</v>
      </c>
      <c r="D1200" s="6" t="n">
        <f aca="false">INT((ROW()-1)/208)</f>
        <v>5</v>
      </c>
      <c r="F1200" s="6" t="str">
        <f aca="false">MID(VLOOKUP(D1200,$P$1:$Q$13,2,0), 1 + C1200,1)</f>
        <v>쇠</v>
      </c>
      <c r="G1200" s="6" t="str">
        <f aca="false">DEC2HEX(D1200+36, 2)</f>
        <v>29</v>
      </c>
      <c r="H1200" s="6" t="str">
        <f aca="false">DEC2HEX(C1200+48,2)</f>
        <v>CF</v>
      </c>
      <c r="I1200" s="6" t="str">
        <f aca="false">_xlfn.CONCAT("\x", G1200, "\x", H1200, "=", F1200)</f>
        <v>\x29\xCF=쇠</v>
      </c>
      <c r="M1200" s="8"/>
    </row>
    <row r="1201" customFormat="false" ht="12.8" hidden="false" customHeight="true" outlineLevel="0" collapsed="false">
      <c r="C1201" s="6" t="n">
        <f aca="false">MOD(ROW()-1, 208)</f>
        <v>160</v>
      </c>
      <c r="D1201" s="6" t="n">
        <f aca="false">INT((ROW()-1)/208)</f>
        <v>5</v>
      </c>
      <c r="F1201" s="6" t="str">
        <f aca="false">MID(VLOOKUP(D1201,$P$1:$Q$13,2,0), 1 + C1201,1)</f>
        <v>쇤</v>
      </c>
      <c r="G1201" s="6" t="str">
        <f aca="false">DEC2HEX(D1201+36, 2)</f>
        <v>29</v>
      </c>
      <c r="H1201" s="6" t="str">
        <f aca="false">DEC2HEX(C1201+48,2)</f>
        <v>D0</v>
      </c>
      <c r="I1201" s="6" t="str">
        <f aca="false">_xlfn.CONCAT("\x", G1201, "\x", H1201, "=", F1201)</f>
        <v>\x29\xD0=쇤</v>
      </c>
      <c r="M1201" s="8"/>
    </row>
    <row r="1202" customFormat="false" ht="12.8" hidden="false" customHeight="true" outlineLevel="0" collapsed="false">
      <c r="C1202" s="6" t="n">
        <f aca="false">MOD(ROW()-1, 208)</f>
        <v>161</v>
      </c>
      <c r="D1202" s="6" t="n">
        <f aca="false">INT((ROW()-1)/208)</f>
        <v>5</v>
      </c>
      <c r="F1202" s="6" t="str">
        <f aca="false">MID(VLOOKUP(D1202,$P$1:$Q$13,2,0), 1 + C1202,1)</f>
        <v>쇨</v>
      </c>
      <c r="G1202" s="6" t="str">
        <f aca="false">DEC2HEX(D1202+36, 2)</f>
        <v>29</v>
      </c>
      <c r="H1202" s="6" t="str">
        <f aca="false">DEC2HEX(C1202+48,2)</f>
        <v>D1</v>
      </c>
      <c r="I1202" s="6" t="str">
        <f aca="false">_xlfn.CONCAT("\x", G1202, "\x", H1202, "=", F1202)</f>
        <v>\x29\xD1=쇨</v>
      </c>
      <c r="M1202" s="8"/>
    </row>
    <row r="1203" customFormat="false" ht="12.8" hidden="false" customHeight="true" outlineLevel="0" collapsed="false">
      <c r="C1203" s="6" t="n">
        <f aca="false">MOD(ROW()-1, 208)</f>
        <v>162</v>
      </c>
      <c r="D1203" s="6" t="n">
        <f aca="false">INT((ROW()-1)/208)</f>
        <v>5</v>
      </c>
      <c r="F1203" s="6" t="str">
        <f aca="false">MID(VLOOKUP(D1203,$P$1:$Q$13,2,0), 1 + C1203,1)</f>
        <v>쇰</v>
      </c>
      <c r="G1203" s="6" t="str">
        <f aca="false">DEC2HEX(D1203+36, 2)</f>
        <v>29</v>
      </c>
      <c r="H1203" s="6" t="str">
        <f aca="false">DEC2HEX(C1203+48,2)</f>
        <v>D2</v>
      </c>
      <c r="I1203" s="6" t="str">
        <f aca="false">_xlfn.CONCAT("\x", G1203, "\x", H1203, "=", F1203)</f>
        <v>\x29\xD2=쇰</v>
      </c>
      <c r="M1203" s="8"/>
    </row>
    <row r="1204" customFormat="false" ht="12.8" hidden="false" customHeight="true" outlineLevel="0" collapsed="false">
      <c r="C1204" s="6" t="n">
        <f aca="false">MOD(ROW()-1, 208)</f>
        <v>163</v>
      </c>
      <c r="D1204" s="6" t="n">
        <f aca="false">INT((ROW()-1)/208)</f>
        <v>5</v>
      </c>
      <c r="F1204" s="6" t="str">
        <f aca="false">MID(VLOOKUP(D1204,$P$1:$Q$13,2,0), 1 + C1204,1)</f>
        <v>쇱</v>
      </c>
      <c r="G1204" s="6" t="str">
        <f aca="false">DEC2HEX(D1204+36, 2)</f>
        <v>29</v>
      </c>
      <c r="H1204" s="6" t="str">
        <f aca="false">DEC2HEX(C1204+48,2)</f>
        <v>D3</v>
      </c>
      <c r="I1204" s="6" t="str">
        <f aca="false">_xlfn.CONCAT("\x", G1204, "\x", H1204, "=", F1204)</f>
        <v>\x29\xD3=쇱</v>
      </c>
      <c r="M1204" s="8"/>
    </row>
    <row r="1205" customFormat="false" ht="12.8" hidden="false" customHeight="true" outlineLevel="0" collapsed="false">
      <c r="C1205" s="6" t="n">
        <f aca="false">MOD(ROW()-1, 208)</f>
        <v>164</v>
      </c>
      <c r="D1205" s="6" t="n">
        <f aca="false">INT((ROW()-1)/208)</f>
        <v>5</v>
      </c>
      <c r="F1205" s="6" t="str">
        <f aca="false">MID(VLOOKUP(D1205,$P$1:$Q$13,2,0), 1 + C1205,1)</f>
        <v>쇳</v>
      </c>
      <c r="G1205" s="6" t="str">
        <f aca="false">DEC2HEX(D1205+36, 2)</f>
        <v>29</v>
      </c>
      <c r="H1205" s="6" t="str">
        <f aca="false">DEC2HEX(C1205+48,2)</f>
        <v>D4</v>
      </c>
      <c r="I1205" s="6" t="str">
        <f aca="false">_xlfn.CONCAT("\x", G1205, "\x", H1205, "=", F1205)</f>
        <v>\x29\xD4=쇳</v>
      </c>
      <c r="M1205" s="8"/>
    </row>
    <row r="1206" customFormat="false" ht="12.8" hidden="false" customHeight="true" outlineLevel="0" collapsed="false">
      <c r="C1206" s="6" t="n">
        <f aca="false">MOD(ROW()-1, 208)</f>
        <v>165</v>
      </c>
      <c r="D1206" s="6" t="n">
        <f aca="false">INT((ROW()-1)/208)</f>
        <v>5</v>
      </c>
      <c r="F1206" s="6" t="str">
        <f aca="false">MID(VLOOKUP(D1206,$P$1:$Q$13,2,0), 1 + C1206,1)</f>
        <v>쇼</v>
      </c>
      <c r="G1206" s="6" t="str">
        <f aca="false">DEC2HEX(D1206+36, 2)</f>
        <v>29</v>
      </c>
      <c r="H1206" s="6" t="str">
        <f aca="false">DEC2HEX(C1206+48,2)</f>
        <v>D5</v>
      </c>
      <c r="I1206" s="6" t="str">
        <f aca="false">_xlfn.CONCAT("\x", G1206, "\x", H1206, "=", F1206)</f>
        <v>\x29\xD5=쇼</v>
      </c>
      <c r="M1206" s="8"/>
    </row>
    <row r="1207" customFormat="false" ht="12.8" hidden="false" customHeight="true" outlineLevel="0" collapsed="false">
      <c r="C1207" s="6" t="n">
        <f aca="false">MOD(ROW()-1, 208)</f>
        <v>166</v>
      </c>
      <c r="D1207" s="6" t="n">
        <f aca="false">INT((ROW()-1)/208)</f>
        <v>5</v>
      </c>
      <c r="F1207" s="6" t="str">
        <f aca="false">MID(VLOOKUP(D1207,$P$1:$Q$13,2,0), 1 + C1207,1)</f>
        <v>쇽</v>
      </c>
      <c r="G1207" s="6" t="str">
        <f aca="false">DEC2HEX(D1207+36, 2)</f>
        <v>29</v>
      </c>
      <c r="H1207" s="6" t="str">
        <f aca="false">DEC2HEX(C1207+48,2)</f>
        <v>D6</v>
      </c>
      <c r="I1207" s="6" t="str">
        <f aca="false">_xlfn.CONCAT("\x", G1207, "\x", H1207, "=", F1207)</f>
        <v>\x29\xD6=쇽</v>
      </c>
      <c r="M1207" s="8"/>
    </row>
    <row r="1208" customFormat="false" ht="12.8" hidden="false" customHeight="true" outlineLevel="0" collapsed="false">
      <c r="C1208" s="6" t="n">
        <f aca="false">MOD(ROW()-1, 208)</f>
        <v>167</v>
      </c>
      <c r="D1208" s="6" t="n">
        <f aca="false">INT((ROW()-1)/208)</f>
        <v>5</v>
      </c>
      <c r="F1208" s="6" t="str">
        <f aca="false">MID(VLOOKUP(D1208,$P$1:$Q$13,2,0), 1 + C1208,1)</f>
        <v>숀</v>
      </c>
      <c r="G1208" s="6" t="str">
        <f aca="false">DEC2HEX(D1208+36, 2)</f>
        <v>29</v>
      </c>
      <c r="H1208" s="6" t="str">
        <f aca="false">DEC2HEX(C1208+48,2)</f>
        <v>D7</v>
      </c>
      <c r="I1208" s="6" t="str">
        <f aca="false">_xlfn.CONCAT("\x", G1208, "\x", H1208, "=", F1208)</f>
        <v>\x29\xD7=숀</v>
      </c>
      <c r="M1208" s="8"/>
    </row>
    <row r="1209" customFormat="false" ht="12.8" hidden="false" customHeight="true" outlineLevel="0" collapsed="false">
      <c r="C1209" s="6" t="n">
        <f aca="false">MOD(ROW()-1, 208)</f>
        <v>168</v>
      </c>
      <c r="D1209" s="6" t="n">
        <f aca="false">INT((ROW()-1)/208)</f>
        <v>5</v>
      </c>
      <c r="F1209" s="6" t="str">
        <f aca="false">MID(VLOOKUP(D1209,$P$1:$Q$13,2,0), 1 + C1209,1)</f>
        <v>숄</v>
      </c>
      <c r="G1209" s="6" t="str">
        <f aca="false">DEC2HEX(D1209+36, 2)</f>
        <v>29</v>
      </c>
      <c r="H1209" s="6" t="str">
        <f aca="false">DEC2HEX(C1209+48,2)</f>
        <v>D8</v>
      </c>
      <c r="I1209" s="6" t="str">
        <f aca="false">_xlfn.CONCAT("\x", G1209, "\x", H1209, "=", F1209)</f>
        <v>\x29\xD8=숄</v>
      </c>
      <c r="M1209" s="8"/>
    </row>
    <row r="1210" customFormat="false" ht="12.8" hidden="false" customHeight="true" outlineLevel="0" collapsed="false">
      <c r="C1210" s="6" t="n">
        <f aca="false">MOD(ROW()-1, 208)</f>
        <v>169</v>
      </c>
      <c r="D1210" s="6" t="n">
        <f aca="false">INT((ROW()-1)/208)</f>
        <v>5</v>
      </c>
      <c r="F1210" s="6" t="str">
        <f aca="false">MID(VLOOKUP(D1210,$P$1:$Q$13,2,0), 1 + C1210,1)</f>
        <v>숌</v>
      </c>
      <c r="G1210" s="6" t="str">
        <f aca="false">DEC2HEX(D1210+36, 2)</f>
        <v>29</v>
      </c>
      <c r="H1210" s="6" t="str">
        <f aca="false">DEC2HEX(C1210+48,2)</f>
        <v>D9</v>
      </c>
      <c r="I1210" s="6" t="str">
        <f aca="false">_xlfn.CONCAT("\x", G1210, "\x", H1210, "=", F1210)</f>
        <v>\x29\xD9=숌</v>
      </c>
      <c r="M1210" s="8"/>
    </row>
    <row r="1211" customFormat="false" ht="12.8" hidden="false" customHeight="true" outlineLevel="0" collapsed="false">
      <c r="C1211" s="6" t="n">
        <f aca="false">MOD(ROW()-1, 208)</f>
        <v>170</v>
      </c>
      <c r="D1211" s="6" t="n">
        <f aca="false">INT((ROW()-1)/208)</f>
        <v>5</v>
      </c>
      <c r="F1211" s="6" t="str">
        <f aca="false">MID(VLOOKUP(D1211,$P$1:$Q$13,2,0), 1 + C1211,1)</f>
        <v>숍</v>
      </c>
      <c r="G1211" s="6" t="str">
        <f aca="false">DEC2HEX(D1211+36, 2)</f>
        <v>29</v>
      </c>
      <c r="H1211" s="6" t="str">
        <f aca="false">DEC2HEX(C1211+48,2)</f>
        <v>DA</v>
      </c>
      <c r="I1211" s="6" t="str">
        <f aca="false">_xlfn.CONCAT("\x", G1211, "\x", H1211, "=", F1211)</f>
        <v>\x29\xDA=숍</v>
      </c>
      <c r="M1211" s="8"/>
    </row>
    <row r="1212" customFormat="false" ht="12.8" hidden="false" customHeight="true" outlineLevel="0" collapsed="false">
      <c r="C1212" s="6" t="n">
        <f aca="false">MOD(ROW()-1, 208)</f>
        <v>171</v>
      </c>
      <c r="D1212" s="6" t="n">
        <f aca="false">INT((ROW()-1)/208)</f>
        <v>5</v>
      </c>
      <c r="F1212" s="6" t="str">
        <f aca="false">MID(VLOOKUP(D1212,$P$1:$Q$13,2,0), 1 + C1212,1)</f>
        <v>숏</v>
      </c>
      <c r="G1212" s="6" t="str">
        <f aca="false">DEC2HEX(D1212+36, 2)</f>
        <v>29</v>
      </c>
      <c r="H1212" s="6" t="str">
        <f aca="false">DEC2HEX(C1212+48,2)</f>
        <v>DB</v>
      </c>
      <c r="I1212" s="6" t="str">
        <f aca="false">_xlfn.CONCAT("\x", G1212, "\x", H1212, "=", F1212)</f>
        <v>\x29\xDB=숏</v>
      </c>
      <c r="M1212" s="8"/>
    </row>
    <row r="1213" customFormat="false" ht="12.8" hidden="false" customHeight="true" outlineLevel="0" collapsed="false">
      <c r="C1213" s="6" t="n">
        <f aca="false">MOD(ROW()-1, 208)</f>
        <v>172</v>
      </c>
      <c r="D1213" s="6" t="n">
        <f aca="false">INT((ROW()-1)/208)</f>
        <v>5</v>
      </c>
      <c r="F1213" s="6" t="str">
        <f aca="false">MID(VLOOKUP(D1213,$P$1:$Q$13,2,0), 1 + C1213,1)</f>
        <v>숑</v>
      </c>
      <c r="G1213" s="6" t="str">
        <f aca="false">DEC2HEX(D1213+36, 2)</f>
        <v>29</v>
      </c>
      <c r="H1213" s="6" t="str">
        <f aca="false">DEC2HEX(C1213+48,2)</f>
        <v>DC</v>
      </c>
      <c r="I1213" s="6" t="str">
        <f aca="false">_xlfn.CONCAT("\x", G1213, "\x", H1213, "=", F1213)</f>
        <v>\x29\xDC=숑</v>
      </c>
      <c r="M1213" s="8"/>
    </row>
    <row r="1214" customFormat="false" ht="12.8" hidden="false" customHeight="true" outlineLevel="0" collapsed="false">
      <c r="C1214" s="6" t="n">
        <f aca="false">MOD(ROW()-1, 208)</f>
        <v>173</v>
      </c>
      <c r="D1214" s="6" t="n">
        <f aca="false">INT((ROW()-1)/208)</f>
        <v>5</v>
      </c>
      <c r="F1214" s="6" t="str">
        <f aca="false">MID(VLOOKUP(D1214,$P$1:$Q$13,2,0), 1 + C1214,1)</f>
        <v>수</v>
      </c>
      <c r="G1214" s="6" t="str">
        <f aca="false">DEC2HEX(D1214+36, 2)</f>
        <v>29</v>
      </c>
      <c r="H1214" s="6" t="str">
        <f aca="false">DEC2HEX(C1214+48,2)</f>
        <v>DD</v>
      </c>
      <c r="I1214" s="6" t="str">
        <f aca="false">_xlfn.CONCAT("\x", G1214, "\x", H1214, "=", F1214)</f>
        <v>\x29\xDD=수</v>
      </c>
      <c r="M1214" s="8"/>
    </row>
    <row r="1215" customFormat="false" ht="12.8" hidden="false" customHeight="true" outlineLevel="0" collapsed="false">
      <c r="C1215" s="6" t="n">
        <f aca="false">MOD(ROW()-1, 208)</f>
        <v>174</v>
      </c>
      <c r="D1215" s="6" t="n">
        <f aca="false">INT((ROW()-1)/208)</f>
        <v>5</v>
      </c>
      <c r="F1215" s="6" t="str">
        <f aca="false">MID(VLOOKUP(D1215,$P$1:$Q$13,2,0), 1 + C1215,1)</f>
        <v>숙</v>
      </c>
      <c r="G1215" s="6" t="str">
        <f aca="false">DEC2HEX(D1215+36, 2)</f>
        <v>29</v>
      </c>
      <c r="H1215" s="6" t="str">
        <f aca="false">DEC2HEX(C1215+48,2)</f>
        <v>DE</v>
      </c>
      <c r="I1215" s="6" t="str">
        <f aca="false">_xlfn.CONCAT("\x", G1215, "\x", H1215, "=", F1215)</f>
        <v>\x29\xDE=숙</v>
      </c>
      <c r="M1215" s="8"/>
    </row>
    <row r="1216" customFormat="false" ht="12.8" hidden="false" customHeight="true" outlineLevel="0" collapsed="false">
      <c r="C1216" s="6" t="n">
        <f aca="false">MOD(ROW()-1, 208)</f>
        <v>175</v>
      </c>
      <c r="D1216" s="6" t="n">
        <f aca="false">INT((ROW()-1)/208)</f>
        <v>5</v>
      </c>
      <c r="F1216" s="6" t="str">
        <f aca="false">MID(VLOOKUP(D1216,$P$1:$Q$13,2,0), 1 + C1216,1)</f>
        <v>순</v>
      </c>
      <c r="G1216" s="6" t="str">
        <f aca="false">DEC2HEX(D1216+36, 2)</f>
        <v>29</v>
      </c>
      <c r="H1216" s="6" t="str">
        <f aca="false">DEC2HEX(C1216+48,2)</f>
        <v>DF</v>
      </c>
      <c r="I1216" s="6" t="str">
        <f aca="false">_xlfn.CONCAT("\x", G1216, "\x", H1216, "=", F1216)</f>
        <v>\x29\xDF=순</v>
      </c>
      <c r="M1216" s="8"/>
    </row>
    <row r="1217" customFormat="false" ht="12.8" hidden="false" customHeight="true" outlineLevel="0" collapsed="false">
      <c r="C1217" s="6" t="n">
        <f aca="false">MOD(ROW()-1, 208)</f>
        <v>176</v>
      </c>
      <c r="D1217" s="6" t="n">
        <f aca="false">INT((ROW()-1)/208)</f>
        <v>5</v>
      </c>
      <c r="F1217" s="6" t="str">
        <f aca="false">MID(VLOOKUP(D1217,$P$1:$Q$13,2,0), 1 + C1217,1)</f>
        <v>숟</v>
      </c>
      <c r="G1217" s="6" t="str">
        <f aca="false">DEC2HEX(D1217+36, 2)</f>
        <v>29</v>
      </c>
      <c r="H1217" s="6" t="str">
        <f aca="false">DEC2HEX(C1217+48,2)</f>
        <v>E0</v>
      </c>
      <c r="I1217" s="6" t="str">
        <f aca="false">_xlfn.CONCAT("\x", G1217, "\x", H1217, "=", F1217)</f>
        <v>\x29\xE0=숟</v>
      </c>
      <c r="M1217" s="8"/>
    </row>
    <row r="1218" customFormat="false" ht="12.8" hidden="false" customHeight="true" outlineLevel="0" collapsed="false">
      <c r="C1218" s="6" t="n">
        <f aca="false">MOD(ROW()-1, 208)</f>
        <v>177</v>
      </c>
      <c r="D1218" s="6" t="n">
        <f aca="false">INT((ROW()-1)/208)</f>
        <v>5</v>
      </c>
      <c r="F1218" s="6" t="str">
        <f aca="false">MID(VLOOKUP(D1218,$P$1:$Q$13,2,0), 1 + C1218,1)</f>
        <v>술</v>
      </c>
      <c r="G1218" s="6" t="str">
        <f aca="false">DEC2HEX(D1218+36, 2)</f>
        <v>29</v>
      </c>
      <c r="H1218" s="6" t="str">
        <f aca="false">DEC2HEX(C1218+48,2)</f>
        <v>E1</v>
      </c>
      <c r="I1218" s="6" t="str">
        <f aca="false">_xlfn.CONCAT("\x", G1218, "\x", H1218, "=", F1218)</f>
        <v>\x29\xE1=술</v>
      </c>
      <c r="M1218" s="8"/>
    </row>
    <row r="1219" customFormat="false" ht="12.8" hidden="false" customHeight="true" outlineLevel="0" collapsed="false">
      <c r="C1219" s="6" t="n">
        <f aca="false">MOD(ROW()-1, 208)</f>
        <v>178</v>
      </c>
      <c r="D1219" s="6" t="n">
        <f aca="false">INT((ROW()-1)/208)</f>
        <v>5</v>
      </c>
      <c r="F1219" s="6" t="str">
        <f aca="false">MID(VLOOKUP(D1219,$P$1:$Q$13,2,0), 1 + C1219,1)</f>
        <v>숨</v>
      </c>
      <c r="G1219" s="6" t="str">
        <f aca="false">DEC2HEX(D1219+36, 2)</f>
        <v>29</v>
      </c>
      <c r="H1219" s="6" t="str">
        <f aca="false">DEC2HEX(C1219+48,2)</f>
        <v>E2</v>
      </c>
      <c r="I1219" s="6" t="str">
        <f aca="false">_xlfn.CONCAT("\x", G1219, "\x", H1219, "=", F1219)</f>
        <v>\x29\xE2=숨</v>
      </c>
      <c r="M1219" s="8"/>
    </row>
    <row r="1220" customFormat="false" ht="12.8" hidden="false" customHeight="true" outlineLevel="0" collapsed="false">
      <c r="C1220" s="6" t="n">
        <f aca="false">MOD(ROW()-1, 208)</f>
        <v>179</v>
      </c>
      <c r="D1220" s="6" t="n">
        <f aca="false">INT((ROW()-1)/208)</f>
        <v>5</v>
      </c>
      <c r="F1220" s="6" t="str">
        <f aca="false">MID(VLOOKUP(D1220,$P$1:$Q$13,2,0), 1 + C1220,1)</f>
        <v>숩</v>
      </c>
      <c r="G1220" s="6" t="str">
        <f aca="false">DEC2HEX(D1220+36, 2)</f>
        <v>29</v>
      </c>
      <c r="H1220" s="6" t="str">
        <f aca="false">DEC2HEX(C1220+48,2)</f>
        <v>E3</v>
      </c>
      <c r="I1220" s="6" t="str">
        <f aca="false">_xlfn.CONCAT("\x", G1220, "\x", H1220, "=", F1220)</f>
        <v>\x29\xE3=숩</v>
      </c>
      <c r="M1220" s="8"/>
    </row>
    <row r="1221" customFormat="false" ht="12.8" hidden="false" customHeight="true" outlineLevel="0" collapsed="false">
      <c r="C1221" s="6" t="n">
        <f aca="false">MOD(ROW()-1, 208)</f>
        <v>180</v>
      </c>
      <c r="D1221" s="6" t="n">
        <f aca="false">INT((ROW()-1)/208)</f>
        <v>5</v>
      </c>
      <c r="F1221" s="6" t="str">
        <f aca="false">MID(VLOOKUP(D1221,$P$1:$Q$13,2,0), 1 + C1221,1)</f>
        <v>숫</v>
      </c>
      <c r="G1221" s="6" t="str">
        <f aca="false">DEC2HEX(D1221+36, 2)</f>
        <v>29</v>
      </c>
      <c r="H1221" s="6" t="str">
        <f aca="false">DEC2HEX(C1221+48,2)</f>
        <v>E4</v>
      </c>
      <c r="I1221" s="6" t="str">
        <f aca="false">_xlfn.CONCAT("\x", G1221, "\x", H1221, "=", F1221)</f>
        <v>\x29\xE4=숫</v>
      </c>
      <c r="M1221" s="8"/>
    </row>
    <row r="1222" customFormat="false" ht="12.8" hidden="false" customHeight="true" outlineLevel="0" collapsed="false">
      <c r="C1222" s="6" t="n">
        <f aca="false">MOD(ROW()-1, 208)</f>
        <v>181</v>
      </c>
      <c r="D1222" s="6" t="n">
        <f aca="false">INT((ROW()-1)/208)</f>
        <v>5</v>
      </c>
      <c r="F1222" s="6" t="str">
        <f aca="false">MID(VLOOKUP(D1222,$P$1:$Q$13,2,0), 1 + C1222,1)</f>
        <v>숭</v>
      </c>
      <c r="G1222" s="6" t="str">
        <f aca="false">DEC2HEX(D1222+36, 2)</f>
        <v>29</v>
      </c>
      <c r="H1222" s="6" t="str">
        <f aca="false">DEC2HEX(C1222+48,2)</f>
        <v>E5</v>
      </c>
      <c r="I1222" s="6" t="str">
        <f aca="false">_xlfn.CONCAT("\x", G1222, "\x", H1222, "=", F1222)</f>
        <v>\x29\xE5=숭</v>
      </c>
      <c r="M1222" s="8"/>
    </row>
    <row r="1223" customFormat="false" ht="12.8" hidden="false" customHeight="true" outlineLevel="0" collapsed="false">
      <c r="C1223" s="6" t="n">
        <f aca="false">MOD(ROW()-1, 208)</f>
        <v>182</v>
      </c>
      <c r="D1223" s="6" t="n">
        <f aca="false">INT((ROW()-1)/208)</f>
        <v>5</v>
      </c>
      <c r="F1223" s="6" t="str">
        <f aca="false">MID(VLOOKUP(D1223,$P$1:$Q$13,2,0), 1 + C1223,1)</f>
        <v>숯</v>
      </c>
      <c r="G1223" s="6" t="str">
        <f aca="false">DEC2HEX(D1223+36, 2)</f>
        <v>29</v>
      </c>
      <c r="H1223" s="6" t="str">
        <f aca="false">DEC2HEX(C1223+48,2)</f>
        <v>E6</v>
      </c>
      <c r="I1223" s="6" t="str">
        <f aca="false">_xlfn.CONCAT("\x", G1223, "\x", H1223, "=", F1223)</f>
        <v>\x29\xE6=숯</v>
      </c>
      <c r="M1223" s="8"/>
    </row>
    <row r="1224" customFormat="false" ht="12.8" hidden="false" customHeight="true" outlineLevel="0" collapsed="false">
      <c r="C1224" s="6" t="n">
        <f aca="false">MOD(ROW()-1, 208)</f>
        <v>183</v>
      </c>
      <c r="D1224" s="6" t="n">
        <f aca="false">INT((ROW()-1)/208)</f>
        <v>5</v>
      </c>
      <c r="F1224" s="6" t="str">
        <f aca="false">MID(VLOOKUP(D1224,$P$1:$Q$13,2,0), 1 + C1224,1)</f>
        <v>숱</v>
      </c>
      <c r="G1224" s="6" t="str">
        <f aca="false">DEC2HEX(D1224+36, 2)</f>
        <v>29</v>
      </c>
      <c r="H1224" s="6" t="str">
        <f aca="false">DEC2HEX(C1224+48,2)</f>
        <v>E7</v>
      </c>
      <c r="I1224" s="6" t="str">
        <f aca="false">_xlfn.CONCAT("\x", G1224, "\x", H1224, "=", F1224)</f>
        <v>\x29\xE7=숱</v>
      </c>
      <c r="M1224" s="8"/>
    </row>
    <row r="1225" customFormat="false" ht="12.8" hidden="false" customHeight="true" outlineLevel="0" collapsed="false">
      <c r="C1225" s="6" t="n">
        <f aca="false">MOD(ROW()-1, 208)</f>
        <v>184</v>
      </c>
      <c r="D1225" s="6" t="n">
        <f aca="false">INT((ROW()-1)/208)</f>
        <v>5</v>
      </c>
      <c r="F1225" s="6" t="str">
        <f aca="false">MID(VLOOKUP(D1225,$P$1:$Q$13,2,0), 1 + C1225,1)</f>
        <v>숲</v>
      </c>
      <c r="G1225" s="6" t="str">
        <f aca="false">DEC2HEX(D1225+36, 2)</f>
        <v>29</v>
      </c>
      <c r="H1225" s="6" t="str">
        <f aca="false">DEC2HEX(C1225+48,2)</f>
        <v>E8</v>
      </c>
      <c r="I1225" s="6" t="str">
        <f aca="false">_xlfn.CONCAT("\x", G1225, "\x", H1225, "=", F1225)</f>
        <v>\x29\xE8=숲</v>
      </c>
      <c r="M1225" s="8"/>
    </row>
    <row r="1226" customFormat="false" ht="12.8" hidden="false" customHeight="true" outlineLevel="0" collapsed="false">
      <c r="C1226" s="6" t="n">
        <f aca="false">MOD(ROW()-1, 208)</f>
        <v>185</v>
      </c>
      <c r="D1226" s="6" t="n">
        <f aca="false">INT((ROW()-1)/208)</f>
        <v>5</v>
      </c>
      <c r="F1226" s="6" t="str">
        <f aca="false">MID(VLOOKUP(D1226,$P$1:$Q$13,2,0), 1 + C1226,1)</f>
        <v>숴</v>
      </c>
      <c r="G1226" s="6" t="str">
        <f aca="false">DEC2HEX(D1226+36, 2)</f>
        <v>29</v>
      </c>
      <c r="H1226" s="6" t="str">
        <f aca="false">DEC2HEX(C1226+48,2)</f>
        <v>E9</v>
      </c>
      <c r="I1226" s="6" t="str">
        <f aca="false">_xlfn.CONCAT("\x", G1226, "\x", H1226, "=", F1226)</f>
        <v>\x29\xE9=숴</v>
      </c>
      <c r="M1226" s="8"/>
    </row>
    <row r="1227" customFormat="false" ht="12.8" hidden="false" customHeight="true" outlineLevel="0" collapsed="false">
      <c r="C1227" s="6" t="n">
        <f aca="false">MOD(ROW()-1, 208)</f>
        <v>186</v>
      </c>
      <c r="D1227" s="6" t="n">
        <f aca="false">INT((ROW()-1)/208)</f>
        <v>5</v>
      </c>
      <c r="F1227" s="6" t="str">
        <f aca="false">MID(VLOOKUP(D1227,$P$1:$Q$13,2,0), 1 + C1227,1)</f>
        <v>쉈</v>
      </c>
      <c r="G1227" s="6" t="str">
        <f aca="false">DEC2HEX(D1227+36, 2)</f>
        <v>29</v>
      </c>
      <c r="H1227" s="6" t="str">
        <f aca="false">DEC2HEX(C1227+48,2)</f>
        <v>EA</v>
      </c>
      <c r="I1227" s="6" t="str">
        <f aca="false">_xlfn.CONCAT("\x", G1227, "\x", H1227, "=", F1227)</f>
        <v>\x29\xEA=쉈</v>
      </c>
      <c r="M1227" s="8"/>
    </row>
    <row r="1228" customFormat="false" ht="12.8" hidden="false" customHeight="true" outlineLevel="0" collapsed="false">
      <c r="C1228" s="6" t="n">
        <f aca="false">MOD(ROW()-1, 208)</f>
        <v>187</v>
      </c>
      <c r="D1228" s="6" t="n">
        <f aca="false">INT((ROW()-1)/208)</f>
        <v>5</v>
      </c>
      <c r="F1228" s="6" t="str">
        <f aca="false">MID(VLOOKUP(D1228,$P$1:$Q$13,2,0), 1 + C1228,1)</f>
        <v>쉐</v>
      </c>
      <c r="G1228" s="6" t="str">
        <f aca="false">DEC2HEX(D1228+36, 2)</f>
        <v>29</v>
      </c>
      <c r="H1228" s="6" t="str">
        <f aca="false">DEC2HEX(C1228+48,2)</f>
        <v>EB</v>
      </c>
      <c r="I1228" s="6" t="str">
        <f aca="false">_xlfn.CONCAT("\x", G1228, "\x", H1228, "=", F1228)</f>
        <v>\x29\xEB=쉐</v>
      </c>
      <c r="M1228" s="8"/>
    </row>
    <row r="1229" customFormat="false" ht="12.8" hidden="false" customHeight="true" outlineLevel="0" collapsed="false">
      <c r="C1229" s="6" t="n">
        <f aca="false">MOD(ROW()-1, 208)</f>
        <v>188</v>
      </c>
      <c r="D1229" s="6" t="n">
        <f aca="false">INT((ROW()-1)/208)</f>
        <v>5</v>
      </c>
      <c r="F1229" s="6" t="str">
        <f aca="false">MID(VLOOKUP(D1229,$P$1:$Q$13,2,0), 1 + C1229,1)</f>
        <v>쉑</v>
      </c>
      <c r="G1229" s="6" t="str">
        <f aca="false">DEC2HEX(D1229+36, 2)</f>
        <v>29</v>
      </c>
      <c r="H1229" s="6" t="str">
        <f aca="false">DEC2HEX(C1229+48,2)</f>
        <v>EC</v>
      </c>
      <c r="I1229" s="6" t="str">
        <f aca="false">_xlfn.CONCAT("\x", G1229, "\x", H1229, "=", F1229)</f>
        <v>\x29\xEC=쉑</v>
      </c>
      <c r="M1229" s="8"/>
    </row>
    <row r="1230" customFormat="false" ht="12.8" hidden="false" customHeight="true" outlineLevel="0" collapsed="false">
      <c r="C1230" s="6" t="n">
        <f aca="false">MOD(ROW()-1, 208)</f>
        <v>189</v>
      </c>
      <c r="D1230" s="6" t="n">
        <f aca="false">INT((ROW()-1)/208)</f>
        <v>5</v>
      </c>
      <c r="F1230" s="6" t="str">
        <f aca="false">MID(VLOOKUP(D1230,$P$1:$Q$13,2,0), 1 + C1230,1)</f>
        <v>쉔</v>
      </c>
      <c r="G1230" s="6" t="str">
        <f aca="false">DEC2HEX(D1230+36, 2)</f>
        <v>29</v>
      </c>
      <c r="H1230" s="6" t="str">
        <f aca="false">DEC2HEX(C1230+48,2)</f>
        <v>ED</v>
      </c>
      <c r="I1230" s="6" t="str">
        <f aca="false">_xlfn.CONCAT("\x", G1230, "\x", H1230, "=", F1230)</f>
        <v>\x29\xED=쉔</v>
      </c>
      <c r="M1230" s="8"/>
    </row>
    <row r="1231" customFormat="false" ht="12.8" hidden="false" customHeight="true" outlineLevel="0" collapsed="false">
      <c r="C1231" s="6" t="n">
        <f aca="false">MOD(ROW()-1, 208)</f>
        <v>190</v>
      </c>
      <c r="D1231" s="6" t="n">
        <f aca="false">INT((ROW()-1)/208)</f>
        <v>5</v>
      </c>
      <c r="F1231" s="6" t="str">
        <f aca="false">MID(VLOOKUP(D1231,$P$1:$Q$13,2,0), 1 + C1231,1)</f>
        <v>쉘</v>
      </c>
      <c r="G1231" s="6" t="str">
        <f aca="false">DEC2HEX(D1231+36, 2)</f>
        <v>29</v>
      </c>
      <c r="H1231" s="6" t="str">
        <f aca="false">DEC2HEX(C1231+48,2)</f>
        <v>EE</v>
      </c>
      <c r="I1231" s="6" t="str">
        <f aca="false">_xlfn.CONCAT("\x", G1231, "\x", H1231, "=", F1231)</f>
        <v>\x29\xEE=쉘</v>
      </c>
      <c r="M1231" s="8"/>
    </row>
    <row r="1232" customFormat="false" ht="12.8" hidden="false" customHeight="true" outlineLevel="0" collapsed="false">
      <c r="C1232" s="6" t="n">
        <f aca="false">MOD(ROW()-1, 208)</f>
        <v>191</v>
      </c>
      <c r="D1232" s="6" t="n">
        <f aca="false">INT((ROW()-1)/208)</f>
        <v>5</v>
      </c>
      <c r="F1232" s="6" t="str">
        <f aca="false">MID(VLOOKUP(D1232,$P$1:$Q$13,2,0), 1 + C1232,1)</f>
        <v>쉠</v>
      </c>
      <c r="G1232" s="6" t="str">
        <f aca="false">DEC2HEX(D1232+36, 2)</f>
        <v>29</v>
      </c>
      <c r="H1232" s="6" t="str">
        <f aca="false">DEC2HEX(C1232+48,2)</f>
        <v>EF</v>
      </c>
      <c r="I1232" s="6" t="str">
        <f aca="false">_xlfn.CONCAT("\x", G1232, "\x", H1232, "=", F1232)</f>
        <v>\x29\xEF=쉠</v>
      </c>
      <c r="M1232" s="8"/>
    </row>
    <row r="1233" customFormat="false" ht="12.8" hidden="false" customHeight="true" outlineLevel="0" collapsed="false">
      <c r="C1233" s="6" t="n">
        <f aca="false">MOD(ROW()-1, 208)</f>
        <v>192</v>
      </c>
      <c r="D1233" s="6" t="n">
        <f aca="false">INT((ROW()-1)/208)</f>
        <v>5</v>
      </c>
      <c r="F1233" s="6" t="str">
        <f aca="false">MID(VLOOKUP(D1233,$P$1:$Q$13,2,0), 1 + C1233,1)</f>
        <v>쉥</v>
      </c>
      <c r="G1233" s="6" t="str">
        <f aca="false">DEC2HEX(D1233+36, 2)</f>
        <v>29</v>
      </c>
      <c r="H1233" s="6" t="str">
        <f aca="false">DEC2HEX(C1233+48,2)</f>
        <v>F0</v>
      </c>
      <c r="I1233" s="6" t="str">
        <f aca="false">_xlfn.CONCAT("\x", G1233, "\x", H1233, "=", F1233)</f>
        <v>\x29\xF0=쉥</v>
      </c>
      <c r="M1233" s="8"/>
    </row>
    <row r="1234" customFormat="false" ht="12.8" hidden="false" customHeight="true" outlineLevel="0" collapsed="false">
      <c r="C1234" s="6" t="n">
        <f aca="false">MOD(ROW()-1, 208)</f>
        <v>193</v>
      </c>
      <c r="D1234" s="6" t="n">
        <f aca="false">INT((ROW()-1)/208)</f>
        <v>5</v>
      </c>
      <c r="F1234" s="6" t="str">
        <f aca="false">MID(VLOOKUP(D1234,$P$1:$Q$13,2,0), 1 + C1234,1)</f>
        <v>쉬</v>
      </c>
      <c r="G1234" s="6" t="str">
        <f aca="false">DEC2HEX(D1234+36, 2)</f>
        <v>29</v>
      </c>
      <c r="H1234" s="6" t="str">
        <f aca="false">DEC2HEX(C1234+48,2)</f>
        <v>F1</v>
      </c>
      <c r="I1234" s="6" t="str">
        <f aca="false">_xlfn.CONCAT("\x", G1234, "\x", H1234, "=", F1234)</f>
        <v>\x29\xF1=쉬</v>
      </c>
      <c r="M1234" s="8"/>
    </row>
    <row r="1235" customFormat="false" ht="12.8" hidden="false" customHeight="true" outlineLevel="0" collapsed="false">
      <c r="C1235" s="6" t="n">
        <f aca="false">MOD(ROW()-1, 208)</f>
        <v>194</v>
      </c>
      <c r="D1235" s="6" t="n">
        <f aca="false">INT((ROW()-1)/208)</f>
        <v>5</v>
      </c>
      <c r="F1235" s="6" t="str">
        <f aca="false">MID(VLOOKUP(D1235,$P$1:$Q$13,2,0), 1 + C1235,1)</f>
        <v>쉭</v>
      </c>
      <c r="G1235" s="6" t="str">
        <f aca="false">DEC2HEX(D1235+36, 2)</f>
        <v>29</v>
      </c>
      <c r="H1235" s="6" t="str">
        <f aca="false">DEC2HEX(C1235+48,2)</f>
        <v>F2</v>
      </c>
      <c r="I1235" s="6" t="str">
        <f aca="false">_xlfn.CONCAT("\x", G1235, "\x", H1235, "=", F1235)</f>
        <v>\x29\xF2=쉭</v>
      </c>
      <c r="M1235" s="8"/>
    </row>
    <row r="1236" customFormat="false" ht="12.8" hidden="false" customHeight="true" outlineLevel="0" collapsed="false">
      <c r="C1236" s="6" t="n">
        <f aca="false">MOD(ROW()-1, 208)</f>
        <v>195</v>
      </c>
      <c r="D1236" s="6" t="n">
        <f aca="false">INT((ROW()-1)/208)</f>
        <v>5</v>
      </c>
      <c r="F1236" s="6" t="str">
        <f aca="false">MID(VLOOKUP(D1236,$P$1:$Q$13,2,0), 1 + C1236,1)</f>
        <v>쉰</v>
      </c>
      <c r="G1236" s="6" t="str">
        <f aca="false">DEC2HEX(D1236+36, 2)</f>
        <v>29</v>
      </c>
      <c r="H1236" s="6" t="str">
        <f aca="false">DEC2HEX(C1236+48,2)</f>
        <v>F3</v>
      </c>
      <c r="I1236" s="6" t="str">
        <f aca="false">_xlfn.CONCAT("\x", G1236, "\x", H1236, "=", F1236)</f>
        <v>\x29\xF3=쉰</v>
      </c>
      <c r="M1236" s="8"/>
    </row>
    <row r="1237" customFormat="false" ht="12.8" hidden="false" customHeight="true" outlineLevel="0" collapsed="false">
      <c r="C1237" s="6" t="n">
        <f aca="false">MOD(ROW()-1, 208)</f>
        <v>196</v>
      </c>
      <c r="D1237" s="6" t="n">
        <f aca="false">INT((ROW()-1)/208)</f>
        <v>5</v>
      </c>
      <c r="F1237" s="6" t="str">
        <f aca="false">MID(VLOOKUP(D1237,$P$1:$Q$13,2,0), 1 + C1237,1)</f>
        <v>쉴</v>
      </c>
      <c r="G1237" s="6" t="str">
        <f aca="false">DEC2HEX(D1237+36, 2)</f>
        <v>29</v>
      </c>
      <c r="H1237" s="6" t="str">
        <f aca="false">DEC2HEX(C1237+48,2)</f>
        <v>F4</v>
      </c>
      <c r="I1237" s="6" t="str">
        <f aca="false">_xlfn.CONCAT("\x", G1237, "\x", H1237, "=", F1237)</f>
        <v>\x29\xF4=쉴</v>
      </c>
      <c r="M1237" s="8"/>
    </row>
    <row r="1238" customFormat="false" ht="12.8" hidden="false" customHeight="true" outlineLevel="0" collapsed="false">
      <c r="C1238" s="6" t="n">
        <f aca="false">MOD(ROW()-1, 208)</f>
        <v>197</v>
      </c>
      <c r="D1238" s="6" t="n">
        <f aca="false">INT((ROW()-1)/208)</f>
        <v>5</v>
      </c>
      <c r="F1238" s="6" t="str">
        <f aca="false">MID(VLOOKUP(D1238,$P$1:$Q$13,2,0), 1 + C1238,1)</f>
        <v>쉼</v>
      </c>
      <c r="G1238" s="6" t="str">
        <f aca="false">DEC2HEX(D1238+36, 2)</f>
        <v>29</v>
      </c>
      <c r="H1238" s="6" t="str">
        <f aca="false">DEC2HEX(C1238+48,2)</f>
        <v>F5</v>
      </c>
      <c r="I1238" s="6" t="str">
        <f aca="false">_xlfn.CONCAT("\x", G1238, "\x", H1238, "=", F1238)</f>
        <v>\x29\xF5=쉼</v>
      </c>
      <c r="M1238" s="8"/>
    </row>
    <row r="1239" customFormat="false" ht="12.8" hidden="false" customHeight="true" outlineLevel="0" collapsed="false">
      <c r="C1239" s="6" t="n">
        <f aca="false">MOD(ROW()-1, 208)</f>
        <v>198</v>
      </c>
      <c r="D1239" s="6" t="n">
        <f aca="false">INT((ROW()-1)/208)</f>
        <v>5</v>
      </c>
      <c r="F1239" s="6" t="str">
        <f aca="false">MID(VLOOKUP(D1239,$P$1:$Q$13,2,0), 1 + C1239,1)</f>
        <v>쉽</v>
      </c>
      <c r="G1239" s="6" t="str">
        <f aca="false">DEC2HEX(D1239+36, 2)</f>
        <v>29</v>
      </c>
      <c r="H1239" s="6" t="str">
        <f aca="false">DEC2HEX(C1239+48,2)</f>
        <v>F6</v>
      </c>
      <c r="I1239" s="6" t="str">
        <f aca="false">_xlfn.CONCAT("\x", G1239, "\x", H1239, "=", F1239)</f>
        <v>\x29\xF6=쉽</v>
      </c>
      <c r="M1239" s="8"/>
    </row>
    <row r="1240" customFormat="false" ht="12.8" hidden="false" customHeight="true" outlineLevel="0" collapsed="false">
      <c r="C1240" s="6" t="n">
        <f aca="false">MOD(ROW()-1, 208)</f>
        <v>199</v>
      </c>
      <c r="D1240" s="6" t="n">
        <f aca="false">INT((ROW()-1)/208)</f>
        <v>5</v>
      </c>
      <c r="F1240" s="6" t="str">
        <f aca="false">MID(VLOOKUP(D1240,$P$1:$Q$13,2,0), 1 + C1240,1)</f>
        <v>쉿</v>
      </c>
      <c r="G1240" s="6" t="str">
        <f aca="false">DEC2HEX(D1240+36, 2)</f>
        <v>29</v>
      </c>
      <c r="H1240" s="6" t="str">
        <f aca="false">DEC2HEX(C1240+48,2)</f>
        <v>F7</v>
      </c>
      <c r="I1240" s="6" t="str">
        <f aca="false">_xlfn.CONCAT("\x", G1240, "\x", H1240, "=", F1240)</f>
        <v>\x29\xF7=쉿</v>
      </c>
      <c r="M1240" s="8"/>
    </row>
    <row r="1241" customFormat="false" ht="12.8" hidden="false" customHeight="true" outlineLevel="0" collapsed="false">
      <c r="C1241" s="6" t="n">
        <f aca="false">MOD(ROW()-1, 208)</f>
        <v>200</v>
      </c>
      <c r="D1241" s="6" t="n">
        <f aca="false">INT((ROW()-1)/208)</f>
        <v>5</v>
      </c>
      <c r="F1241" s="6" t="str">
        <f aca="false">MID(VLOOKUP(D1241,$P$1:$Q$13,2,0), 1 + C1241,1)</f>
        <v>슁</v>
      </c>
      <c r="G1241" s="6" t="str">
        <f aca="false">DEC2HEX(D1241+36, 2)</f>
        <v>29</v>
      </c>
      <c r="H1241" s="6" t="str">
        <f aca="false">DEC2HEX(C1241+48,2)</f>
        <v>F8</v>
      </c>
      <c r="I1241" s="6" t="str">
        <f aca="false">_xlfn.CONCAT("\x", G1241, "\x", H1241, "=", F1241)</f>
        <v>\x29\xF8=슁</v>
      </c>
      <c r="M1241" s="8"/>
    </row>
    <row r="1242" customFormat="false" ht="12.8" hidden="false" customHeight="true" outlineLevel="0" collapsed="false">
      <c r="C1242" s="6" t="n">
        <f aca="false">MOD(ROW()-1, 208)</f>
        <v>201</v>
      </c>
      <c r="D1242" s="6" t="n">
        <f aca="false">INT((ROW()-1)/208)</f>
        <v>5</v>
      </c>
      <c r="F1242" s="6" t="str">
        <f aca="false">MID(VLOOKUP(D1242,$P$1:$Q$13,2,0), 1 + C1242,1)</f>
        <v>슈</v>
      </c>
      <c r="G1242" s="6" t="str">
        <f aca="false">DEC2HEX(D1242+36, 2)</f>
        <v>29</v>
      </c>
      <c r="H1242" s="6" t="str">
        <f aca="false">DEC2HEX(C1242+48,2)</f>
        <v>F9</v>
      </c>
      <c r="I1242" s="6" t="str">
        <f aca="false">_xlfn.CONCAT("\x", G1242, "\x", H1242, "=", F1242)</f>
        <v>\x29\xF9=슈</v>
      </c>
      <c r="M1242" s="8"/>
    </row>
    <row r="1243" customFormat="false" ht="12.8" hidden="false" customHeight="true" outlineLevel="0" collapsed="false">
      <c r="C1243" s="6" t="n">
        <f aca="false">MOD(ROW()-1, 208)</f>
        <v>202</v>
      </c>
      <c r="D1243" s="6" t="n">
        <f aca="false">INT((ROW()-1)/208)</f>
        <v>5</v>
      </c>
      <c r="F1243" s="6" t="str">
        <f aca="false">MID(VLOOKUP(D1243,$P$1:$Q$13,2,0), 1 + C1243,1)</f>
        <v>슉</v>
      </c>
      <c r="G1243" s="6" t="str">
        <f aca="false">DEC2HEX(D1243+36, 2)</f>
        <v>29</v>
      </c>
      <c r="H1243" s="6" t="str">
        <f aca="false">DEC2HEX(C1243+48,2)</f>
        <v>FA</v>
      </c>
      <c r="I1243" s="6" t="str">
        <f aca="false">_xlfn.CONCAT("\x", G1243, "\x", H1243, "=", F1243)</f>
        <v>\x29\xFA=슉</v>
      </c>
      <c r="M1243" s="8"/>
    </row>
    <row r="1244" customFormat="false" ht="12.8" hidden="false" customHeight="true" outlineLevel="0" collapsed="false">
      <c r="C1244" s="6" t="n">
        <f aca="false">MOD(ROW()-1, 208)</f>
        <v>203</v>
      </c>
      <c r="D1244" s="6" t="n">
        <f aca="false">INT((ROW()-1)/208)</f>
        <v>5</v>
      </c>
      <c r="F1244" s="6" t="str">
        <f aca="false">MID(VLOOKUP(D1244,$P$1:$Q$13,2,0), 1 + C1244,1)</f>
        <v>슐</v>
      </c>
      <c r="G1244" s="6" t="str">
        <f aca="false">DEC2HEX(D1244+36, 2)</f>
        <v>29</v>
      </c>
      <c r="H1244" s="6" t="str">
        <f aca="false">DEC2HEX(C1244+48,2)</f>
        <v>FB</v>
      </c>
      <c r="I1244" s="6" t="str">
        <f aca="false">_xlfn.CONCAT("\x", G1244, "\x", H1244, "=", F1244)</f>
        <v>\x29\xFB=슐</v>
      </c>
      <c r="M1244" s="8"/>
    </row>
    <row r="1245" customFormat="false" ht="12.8" hidden="false" customHeight="true" outlineLevel="0" collapsed="false">
      <c r="C1245" s="6" t="n">
        <f aca="false">MOD(ROW()-1, 208)</f>
        <v>204</v>
      </c>
      <c r="D1245" s="6" t="n">
        <f aca="false">INT((ROW()-1)/208)</f>
        <v>5</v>
      </c>
      <c r="F1245" s="6" t="str">
        <f aca="false">MID(VLOOKUP(D1245,$P$1:$Q$13,2,0), 1 + C1245,1)</f>
        <v>슘</v>
      </c>
      <c r="G1245" s="6" t="str">
        <f aca="false">DEC2HEX(D1245+36, 2)</f>
        <v>29</v>
      </c>
      <c r="H1245" s="6" t="str">
        <f aca="false">DEC2HEX(C1245+48,2)</f>
        <v>FC</v>
      </c>
      <c r="I1245" s="6" t="str">
        <f aca="false">_xlfn.CONCAT("\x", G1245, "\x", H1245, "=", F1245)</f>
        <v>\x29\xFC=슘</v>
      </c>
      <c r="M1245" s="8"/>
    </row>
    <row r="1246" customFormat="false" ht="12.8" hidden="false" customHeight="true" outlineLevel="0" collapsed="false">
      <c r="C1246" s="6" t="n">
        <f aca="false">MOD(ROW()-1, 208)</f>
        <v>205</v>
      </c>
      <c r="D1246" s="6" t="n">
        <f aca="false">INT((ROW()-1)/208)</f>
        <v>5</v>
      </c>
      <c r="F1246" s="6" t="str">
        <f aca="false">MID(VLOOKUP(D1246,$P$1:$Q$13,2,0), 1 + C1246,1)</f>
        <v>슛</v>
      </c>
      <c r="G1246" s="6" t="str">
        <f aca="false">DEC2HEX(D1246+36, 2)</f>
        <v>29</v>
      </c>
      <c r="H1246" s="6" t="str">
        <f aca="false">DEC2HEX(C1246+48,2)</f>
        <v>FD</v>
      </c>
      <c r="I1246" s="6" t="str">
        <f aca="false">_xlfn.CONCAT("\x", G1246, "\x", H1246, "=", F1246)</f>
        <v>\x29\xFD=슛</v>
      </c>
      <c r="M1246" s="8"/>
    </row>
    <row r="1247" customFormat="false" ht="12.8" hidden="false" customHeight="true" outlineLevel="0" collapsed="false">
      <c r="C1247" s="6" t="n">
        <f aca="false">MOD(ROW()-1, 208)</f>
        <v>206</v>
      </c>
      <c r="D1247" s="6" t="n">
        <f aca="false">INT((ROW()-1)/208)</f>
        <v>5</v>
      </c>
      <c r="F1247" s="6" t="str">
        <f aca="false">MID(VLOOKUP(D1247,$P$1:$Q$13,2,0), 1 + C1247,1)</f>
        <v>슝</v>
      </c>
      <c r="G1247" s="6" t="str">
        <f aca="false">DEC2HEX(D1247+36, 2)</f>
        <v>29</v>
      </c>
      <c r="H1247" s="6" t="str">
        <f aca="false">DEC2HEX(C1247+48,2)</f>
        <v>FE</v>
      </c>
      <c r="I1247" s="6" t="str">
        <f aca="false">_xlfn.CONCAT("\x", G1247, "\x", H1247, "=", F1247)</f>
        <v>\x29\xFE=슝</v>
      </c>
      <c r="M1247" s="8"/>
    </row>
    <row r="1248" customFormat="false" ht="12.8" hidden="false" customHeight="true" outlineLevel="0" collapsed="false">
      <c r="C1248" s="6" t="n">
        <f aca="false">MOD(ROW()-1, 208)</f>
        <v>207</v>
      </c>
      <c r="D1248" s="6" t="n">
        <f aca="false">INT((ROW()-1)/208)</f>
        <v>5</v>
      </c>
      <c r="F1248" s="6" t="str">
        <f aca="false">MID(VLOOKUP(D1248,$P$1:$Q$13,2,0), 1 + C1248,1)</f>
        <v>스</v>
      </c>
      <c r="G1248" s="6" t="str">
        <f aca="false">DEC2HEX(D1248+36, 2)</f>
        <v>29</v>
      </c>
      <c r="H1248" s="6" t="str">
        <f aca="false">DEC2HEX(C1248+48,2)</f>
        <v>FF</v>
      </c>
      <c r="I1248" s="6" t="str">
        <f aca="false">_xlfn.CONCAT("\x", G1248, "\x", H1248, "=", F1248)</f>
        <v>\x29\xFF=스</v>
      </c>
      <c r="M1248" s="8"/>
    </row>
    <row r="1249" customFormat="false" ht="12.8" hidden="false" customHeight="true" outlineLevel="0" collapsed="false">
      <c r="C1249" s="6" t="n">
        <f aca="false">MOD(ROW()-1, 208)</f>
        <v>0</v>
      </c>
      <c r="D1249" s="6" t="n">
        <f aca="false">INT((ROW()-1)/208)</f>
        <v>6</v>
      </c>
      <c r="F1249" s="6" t="str">
        <f aca="false">MID(VLOOKUP(D1249,$P$1:$Q$13,2,0), 1 + C1249,1)</f>
        <v>슥</v>
      </c>
      <c r="G1249" s="6" t="str">
        <f aca="false">DEC2HEX(D1249+36, 2)</f>
        <v>2A</v>
      </c>
      <c r="H1249" s="6" t="str">
        <f aca="false">DEC2HEX(C1249+48,2)</f>
        <v>30</v>
      </c>
      <c r="I1249" s="6" t="str">
        <f aca="false">_xlfn.CONCAT("\x", G1249, "\x", H1249, "=", F1249)</f>
        <v>\x2A\x30=슥</v>
      </c>
      <c r="M1249" s="8"/>
    </row>
    <row r="1250" customFormat="false" ht="12.8" hidden="false" customHeight="true" outlineLevel="0" collapsed="false">
      <c r="C1250" s="6" t="n">
        <f aca="false">MOD(ROW()-1, 208)</f>
        <v>1</v>
      </c>
      <c r="D1250" s="6" t="n">
        <f aca="false">INT((ROW()-1)/208)</f>
        <v>6</v>
      </c>
      <c r="F1250" s="6" t="str">
        <f aca="false">MID(VLOOKUP(D1250,$P$1:$Q$13,2,0), 1 + C1250,1)</f>
        <v>슨</v>
      </c>
      <c r="G1250" s="6" t="str">
        <f aca="false">DEC2HEX(D1250+36, 2)</f>
        <v>2A</v>
      </c>
      <c r="H1250" s="6" t="str">
        <f aca="false">DEC2HEX(C1250+48,2)</f>
        <v>31</v>
      </c>
      <c r="I1250" s="6" t="str">
        <f aca="false">_xlfn.CONCAT("\x", G1250, "\x", H1250, "=", F1250)</f>
        <v>\x2A\x31=슨</v>
      </c>
      <c r="M1250" s="8"/>
    </row>
    <row r="1251" customFormat="false" ht="12.8" hidden="false" customHeight="true" outlineLevel="0" collapsed="false">
      <c r="C1251" s="6" t="n">
        <f aca="false">MOD(ROW()-1, 208)</f>
        <v>2</v>
      </c>
      <c r="D1251" s="6" t="n">
        <f aca="false">INT((ROW()-1)/208)</f>
        <v>6</v>
      </c>
      <c r="F1251" s="6" t="str">
        <f aca="false">MID(VLOOKUP(D1251,$P$1:$Q$13,2,0), 1 + C1251,1)</f>
        <v>슬</v>
      </c>
      <c r="G1251" s="6" t="str">
        <f aca="false">DEC2HEX(D1251+36, 2)</f>
        <v>2A</v>
      </c>
      <c r="H1251" s="6" t="str">
        <f aca="false">DEC2HEX(C1251+48,2)</f>
        <v>32</v>
      </c>
      <c r="I1251" s="6" t="str">
        <f aca="false">_xlfn.CONCAT("\x", G1251, "\x", H1251, "=", F1251)</f>
        <v>\x2A\x32=슬</v>
      </c>
      <c r="M1251" s="8"/>
    </row>
    <row r="1252" customFormat="false" ht="12.8" hidden="false" customHeight="true" outlineLevel="0" collapsed="false">
      <c r="C1252" s="6" t="n">
        <f aca="false">MOD(ROW()-1, 208)</f>
        <v>3</v>
      </c>
      <c r="D1252" s="6" t="n">
        <f aca="false">INT((ROW()-1)/208)</f>
        <v>6</v>
      </c>
      <c r="F1252" s="6" t="str">
        <f aca="false">MID(VLOOKUP(D1252,$P$1:$Q$13,2,0), 1 + C1252,1)</f>
        <v>슭</v>
      </c>
      <c r="G1252" s="6" t="str">
        <f aca="false">DEC2HEX(D1252+36, 2)</f>
        <v>2A</v>
      </c>
      <c r="H1252" s="6" t="str">
        <f aca="false">DEC2HEX(C1252+48,2)</f>
        <v>33</v>
      </c>
      <c r="I1252" s="6" t="str">
        <f aca="false">_xlfn.CONCAT("\x", G1252, "\x", H1252, "=", F1252)</f>
        <v>\x2A\x33=슭</v>
      </c>
      <c r="M1252" s="8"/>
    </row>
    <row r="1253" customFormat="false" ht="12.8" hidden="false" customHeight="true" outlineLevel="0" collapsed="false">
      <c r="C1253" s="6" t="n">
        <f aca="false">MOD(ROW()-1, 208)</f>
        <v>4</v>
      </c>
      <c r="D1253" s="6" t="n">
        <f aca="false">INT((ROW()-1)/208)</f>
        <v>6</v>
      </c>
      <c r="F1253" s="6" t="str">
        <f aca="false">MID(VLOOKUP(D1253,$P$1:$Q$13,2,0), 1 + C1253,1)</f>
        <v>슴</v>
      </c>
      <c r="G1253" s="6" t="str">
        <f aca="false">DEC2HEX(D1253+36, 2)</f>
        <v>2A</v>
      </c>
      <c r="H1253" s="6" t="str">
        <f aca="false">DEC2HEX(C1253+48,2)</f>
        <v>34</v>
      </c>
      <c r="I1253" s="6" t="str">
        <f aca="false">_xlfn.CONCAT("\x", G1253, "\x", H1253, "=", F1253)</f>
        <v>\x2A\x34=슴</v>
      </c>
      <c r="M1253" s="8"/>
    </row>
    <row r="1254" customFormat="false" ht="12.8" hidden="false" customHeight="true" outlineLevel="0" collapsed="false">
      <c r="C1254" s="6" t="n">
        <f aca="false">MOD(ROW()-1, 208)</f>
        <v>5</v>
      </c>
      <c r="D1254" s="6" t="n">
        <f aca="false">INT((ROW()-1)/208)</f>
        <v>6</v>
      </c>
      <c r="F1254" s="6" t="str">
        <f aca="false">MID(VLOOKUP(D1254,$P$1:$Q$13,2,0), 1 + C1254,1)</f>
        <v>습</v>
      </c>
      <c r="G1254" s="6" t="str">
        <f aca="false">DEC2HEX(D1254+36, 2)</f>
        <v>2A</v>
      </c>
      <c r="H1254" s="6" t="str">
        <f aca="false">DEC2HEX(C1254+48,2)</f>
        <v>35</v>
      </c>
      <c r="I1254" s="6" t="str">
        <f aca="false">_xlfn.CONCAT("\x", G1254, "\x", H1254, "=", F1254)</f>
        <v>\x2A\x35=습</v>
      </c>
      <c r="M1254" s="8"/>
    </row>
    <row r="1255" customFormat="false" ht="12.8" hidden="false" customHeight="true" outlineLevel="0" collapsed="false">
      <c r="C1255" s="6" t="n">
        <f aca="false">MOD(ROW()-1, 208)</f>
        <v>6</v>
      </c>
      <c r="D1255" s="6" t="n">
        <f aca="false">INT((ROW()-1)/208)</f>
        <v>6</v>
      </c>
      <c r="F1255" s="6" t="str">
        <f aca="false">MID(VLOOKUP(D1255,$P$1:$Q$13,2,0), 1 + C1255,1)</f>
        <v>슷</v>
      </c>
      <c r="G1255" s="6" t="str">
        <f aca="false">DEC2HEX(D1255+36, 2)</f>
        <v>2A</v>
      </c>
      <c r="H1255" s="6" t="str">
        <f aca="false">DEC2HEX(C1255+48,2)</f>
        <v>36</v>
      </c>
      <c r="I1255" s="6" t="str">
        <f aca="false">_xlfn.CONCAT("\x", G1255, "\x", H1255, "=", F1255)</f>
        <v>\x2A\x36=슷</v>
      </c>
      <c r="M1255" s="8"/>
    </row>
    <row r="1256" customFormat="false" ht="12.8" hidden="false" customHeight="true" outlineLevel="0" collapsed="false">
      <c r="C1256" s="6" t="n">
        <f aca="false">MOD(ROW()-1, 208)</f>
        <v>7</v>
      </c>
      <c r="D1256" s="6" t="n">
        <f aca="false">INT((ROW()-1)/208)</f>
        <v>6</v>
      </c>
      <c r="F1256" s="6" t="str">
        <f aca="false">MID(VLOOKUP(D1256,$P$1:$Q$13,2,0), 1 + C1256,1)</f>
        <v>승</v>
      </c>
      <c r="G1256" s="6" t="str">
        <f aca="false">DEC2HEX(D1256+36, 2)</f>
        <v>2A</v>
      </c>
      <c r="H1256" s="6" t="str">
        <f aca="false">DEC2HEX(C1256+48,2)</f>
        <v>37</v>
      </c>
      <c r="I1256" s="6" t="str">
        <f aca="false">_xlfn.CONCAT("\x", G1256, "\x", H1256, "=", F1256)</f>
        <v>\x2A\x37=승</v>
      </c>
      <c r="M1256" s="8"/>
    </row>
    <row r="1257" customFormat="false" ht="12.8" hidden="false" customHeight="true" outlineLevel="0" collapsed="false">
      <c r="C1257" s="6" t="n">
        <f aca="false">MOD(ROW()-1, 208)</f>
        <v>8</v>
      </c>
      <c r="D1257" s="6" t="n">
        <f aca="false">INT((ROW()-1)/208)</f>
        <v>6</v>
      </c>
      <c r="F1257" s="6" t="str">
        <f aca="false">MID(VLOOKUP(D1257,$P$1:$Q$13,2,0), 1 + C1257,1)</f>
        <v>시</v>
      </c>
      <c r="G1257" s="6" t="str">
        <f aca="false">DEC2HEX(D1257+36, 2)</f>
        <v>2A</v>
      </c>
      <c r="H1257" s="6" t="str">
        <f aca="false">DEC2HEX(C1257+48,2)</f>
        <v>38</v>
      </c>
      <c r="I1257" s="6" t="str">
        <f aca="false">_xlfn.CONCAT("\x", G1257, "\x", H1257, "=", F1257)</f>
        <v>\x2A\x38=시</v>
      </c>
      <c r="M1257" s="8"/>
    </row>
    <row r="1258" customFormat="false" ht="12.8" hidden="false" customHeight="true" outlineLevel="0" collapsed="false">
      <c r="C1258" s="6" t="n">
        <f aca="false">MOD(ROW()-1, 208)</f>
        <v>9</v>
      </c>
      <c r="D1258" s="6" t="n">
        <f aca="false">INT((ROW()-1)/208)</f>
        <v>6</v>
      </c>
      <c r="F1258" s="6" t="str">
        <f aca="false">MID(VLOOKUP(D1258,$P$1:$Q$13,2,0), 1 + C1258,1)</f>
        <v>식</v>
      </c>
      <c r="G1258" s="6" t="str">
        <f aca="false">DEC2HEX(D1258+36, 2)</f>
        <v>2A</v>
      </c>
      <c r="H1258" s="6" t="str">
        <f aca="false">DEC2HEX(C1258+48,2)</f>
        <v>39</v>
      </c>
      <c r="I1258" s="6" t="str">
        <f aca="false">_xlfn.CONCAT("\x", G1258, "\x", H1258, "=", F1258)</f>
        <v>\x2A\x39=식</v>
      </c>
      <c r="M1258" s="8"/>
    </row>
    <row r="1259" customFormat="false" ht="12.8" hidden="false" customHeight="true" outlineLevel="0" collapsed="false">
      <c r="C1259" s="6" t="n">
        <f aca="false">MOD(ROW()-1, 208)</f>
        <v>10</v>
      </c>
      <c r="D1259" s="6" t="n">
        <f aca="false">INT((ROW()-1)/208)</f>
        <v>6</v>
      </c>
      <c r="F1259" s="6" t="str">
        <f aca="false">MID(VLOOKUP(D1259,$P$1:$Q$13,2,0), 1 + C1259,1)</f>
        <v>신</v>
      </c>
      <c r="G1259" s="6" t="str">
        <f aca="false">DEC2HEX(D1259+36, 2)</f>
        <v>2A</v>
      </c>
      <c r="H1259" s="6" t="str">
        <f aca="false">DEC2HEX(C1259+48,2)</f>
        <v>3A</v>
      </c>
      <c r="I1259" s="6" t="str">
        <f aca="false">_xlfn.CONCAT("\x", G1259, "\x", H1259, "=", F1259)</f>
        <v>\x2A\x3A=신</v>
      </c>
      <c r="M1259" s="8"/>
    </row>
    <row r="1260" customFormat="false" ht="12.8" hidden="false" customHeight="true" outlineLevel="0" collapsed="false">
      <c r="C1260" s="6" t="n">
        <f aca="false">MOD(ROW()-1, 208)</f>
        <v>11</v>
      </c>
      <c r="D1260" s="6" t="n">
        <f aca="false">INT((ROW()-1)/208)</f>
        <v>6</v>
      </c>
      <c r="F1260" s="6" t="str">
        <f aca="false">MID(VLOOKUP(D1260,$P$1:$Q$13,2,0), 1 + C1260,1)</f>
        <v>싣</v>
      </c>
      <c r="G1260" s="6" t="str">
        <f aca="false">DEC2HEX(D1260+36, 2)</f>
        <v>2A</v>
      </c>
      <c r="H1260" s="6" t="str">
        <f aca="false">DEC2HEX(C1260+48,2)</f>
        <v>3B</v>
      </c>
      <c r="I1260" s="6" t="str">
        <f aca="false">_xlfn.CONCAT("\x", G1260, "\x", H1260, "=", F1260)</f>
        <v>\x2A\x3B=싣</v>
      </c>
      <c r="M1260" s="8"/>
    </row>
    <row r="1261" customFormat="false" ht="12.8" hidden="false" customHeight="true" outlineLevel="0" collapsed="false">
      <c r="C1261" s="6" t="n">
        <f aca="false">MOD(ROW()-1, 208)</f>
        <v>12</v>
      </c>
      <c r="D1261" s="6" t="n">
        <f aca="false">INT((ROW()-1)/208)</f>
        <v>6</v>
      </c>
      <c r="F1261" s="6" t="str">
        <f aca="false">MID(VLOOKUP(D1261,$P$1:$Q$13,2,0), 1 + C1261,1)</f>
        <v>실</v>
      </c>
      <c r="G1261" s="6" t="str">
        <f aca="false">DEC2HEX(D1261+36, 2)</f>
        <v>2A</v>
      </c>
      <c r="H1261" s="6" t="str">
        <f aca="false">DEC2HEX(C1261+48,2)</f>
        <v>3C</v>
      </c>
      <c r="I1261" s="6" t="str">
        <f aca="false">_xlfn.CONCAT("\x", G1261, "\x", H1261, "=", F1261)</f>
        <v>\x2A\x3C=실</v>
      </c>
      <c r="M1261" s="8"/>
    </row>
    <row r="1262" customFormat="false" ht="12.8" hidden="false" customHeight="true" outlineLevel="0" collapsed="false">
      <c r="C1262" s="6" t="n">
        <f aca="false">MOD(ROW()-1, 208)</f>
        <v>13</v>
      </c>
      <c r="D1262" s="6" t="n">
        <f aca="false">INT((ROW()-1)/208)</f>
        <v>6</v>
      </c>
      <c r="F1262" s="6" t="str">
        <f aca="false">MID(VLOOKUP(D1262,$P$1:$Q$13,2,0), 1 + C1262,1)</f>
        <v>싫</v>
      </c>
      <c r="G1262" s="6" t="str">
        <f aca="false">DEC2HEX(D1262+36, 2)</f>
        <v>2A</v>
      </c>
      <c r="H1262" s="6" t="str">
        <f aca="false">DEC2HEX(C1262+48,2)</f>
        <v>3D</v>
      </c>
      <c r="I1262" s="6" t="str">
        <f aca="false">_xlfn.CONCAT("\x", G1262, "\x", H1262, "=", F1262)</f>
        <v>\x2A\x3D=싫</v>
      </c>
      <c r="M1262" s="8"/>
    </row>
    <row r="1263" customFormat="false" ht="12.8" hidden="false" customHeight="true" outlineLevel="0" collapsed="false">
      <c r="C1263" s="6" t="n">
        <f aca="false">MOD(ROW()-1, 208)</f>
        <v>14</v>
      </c>
      <c r="D1263" s="6" t="n">
        <f aca="false">INT((ROW()-1)/208)</f>
        <v>6</v>
      </c>
      <c r="F1263" s="6" t="str">
        <f aca="false">MID(VLOOKUP(D1263,$P$1:$Q$13,2,0), 1 + C1263,1)</f>
        <v>심</v>
      </c>
      <c r="G1263" s="6" t="str">
        <f aca="false">DEC2HEX(D1263+36, 2)</f>
        <v>2A</v>
      </c>
      <c r="H1263" s="6" t="str">
        <f aca="false">DEC2HEX(C1263+48,2)</f>
        <v>3E</v>
      </c>
      <c r="I1263" s="6" t="str">
        <f aca="false">_xlfn.CONCAT("\x", G1263, "\x", H1263, "=", F1263)</f>
        <v>\x2A\x3E=심</v>
      </c>
      <c r="M1263" s="8"/>
    </row>
    <row r="1264" customFormat="false" ht="12.8" hidden="false" customHeight="true" outlineLevel="0" collapsed="false">
      <c r="C1264" s="6" t="n">
        <f aca="false">MOD(ROW()-1, 208)</f>
        <v>15</v>
      </c>
      <c r="D1264" s="6" t="n">
        <f aca="false">INT((ROW()-1)/208)</f>
        <v>6</v>
      </c>
      <c r="F1264" s="6" t="str">
        <f aca="false">MID(VLOOKUP(D1264,$P$1:$Q$13,2,0), 1 + C1264,1)</f>
        <v>십</v>
      </c>
      <c r="G1264" s="6" t="str">
        <f aca="false">DEC2HEX(D1264+36, 2)</f>
        <v>2A</v>
      </c>
      <c r="H1264" s="6" t="str">
        <f aca="false">DEC2HEX(C1264+48,2)</f>
        <v>3F</v>
      </c>
      <c r="I1264" s="6" t="str">
        <f aca="false">_xlfn.CONCAT("\x", G1264, "\x", H1264, "=", F1264)</f>
        <v>\x2A\x3F=십</v>
      </c>
      <c r="M1264" s="8"/>
    </row>
    <row r="1265" customFormat="false" ht="12.8" hidden="false" customHeight="true" outlineLevel="0" collapsed="false">
      <c r="C1265" s="6" t="n">
        <f aca="false">MOD(ROW()-1, 208)</f>
        <v>16</v>
      </c>
      <c r="D1265" s="6" t="n">
        <f aca="false">INT((ROW()-1)/208)</f>
        <v>6</v>
      </c>
      <c r="F1265" s="6" t="str">
        <f aca="false">MID(VLOOKUP(D1265,$P$1:$Q$13,2,0), 1 + C1265,1)</f>
        <v>싯</v>
      </c>
      <c r="G1265" s="6" t="str">
        <f aca="false">DEC2HEX(D1265+36, 2)</f>
        <v>2A</v>
      </c>
      <c r="H1265" s="6" t="str">
        <f aca="false">DEC2HEX(C1265+48,2)</f>
        <v>40</v>
      </c>
      <c r="I1265" s="6" t="str">
        <f aca="false">_xlfn.CONCAT("\x", G1265, "\x", H1265, "=", F1265)</f>
        <v>\x2A\x40=싯</v>
      </c>
      <c r="M1265" s="8"/>
    </row>
    <row r="1266" customFormat="false" ht="12.8" hidden="false" customHeight="true" outlineLevel="0" collapsed="false">
      <c r="C1266" s="6" t="n">
        <f aca="false">MOD(ROW()-1, 208)</f>
        <v>17</v>
      </c>
      <c r="D1266" s="6" t="n">
        <f aca="false">INT((ROW()-1)/208)</f>
        <v>6</v>
      </c>
      <c r="F1266" s="6" t="str">
        <f aca="false">MID(VLOOKUP(D1266,$P$1:$Q$13,2,0), 1 + C1266,1)</f>
        <v>싱</v>
      </c>
      <c r="G1266" s="6" t="str">
        <f aca="false">DEC2HEX(D1266+36, 2)</f>
        <v>2A</v>
      </c>
      <c r="H1266" s="6" t="str">
        <f aca="false">DEC2HEX(C1266+48,2)</f>
        <v>41</v>
      </c>
      <c r="I1266" s="6" t="str">
        <f aca="false">_xlfn.CONCAT("\x", G1266, "\x", H1266, "=", F1266)</f>
        <v>\x2A\x41=싱</v>
      </c>
      <c r="M1266" s="8"/>
    </row>
    <row r="1267" customFormat="false" ht="12.8" hidden="false" customHeight="true" outlineLevel="0" collapsed="false">
      <c r="C1267" s="6" t="n">
        <f aca="false">MOD(ROW()-1, 208)</f>
        <v>18</v>
      </c>
      <c r="D1267" s="6" t="n">
        <f aca="false">INT((ROW()-1)/208)</f>
        <v>6</v>
      </c>
      <c r="F1267" s="6" t="str">
        <f aca="false">MID(VLOOKUP(D1267,$P$1:$Q$13,2,0), 1 + C1267,1)</f>
        <v>싶</v>
      </c>
      <c r="G1267" s="6" t="str">
        <f aca="false">DEC2HEX(D1267+36, 2)</f>
        <v>2A</v>
      </c>
      <c r="H1267" s="6" t="str">
        <f aca="false">DEC2HEX(C1267+48,2)</f>
        <v>42</v>
      </c>
      <c r="I1267" s="6" t="str">
        <f aca="false">_xlfn.CONCAT("\x", G1267, "\x", H1267, "=", F1267)</f>
        <v>\x2A\x42=싶</v>
      </c>
      <c r="M1267" s="8"/>
    </row>
    <row r="1268" customFormat="false" ht="12.8" hidden="false" customHeight="true" outlineLevel="0" collapsed="false">
      <c r="C1268" s="6" t="n">
        <f aca="false">MOD(ROW()-1, 208)</f>
        <v>19</v>
      </c>
      <c r="D1268" s="6" t="n">
        <f aca="false">INT((ROW()-1)/208)</f>
        <v>6</v>
      </c>
      <c r="F1268" s="6" t="str">
        <f aca="false">MID(VLOOKUP(D1268,$P$1:$Q$13,2,0), 1 + C1268,1)</f>
        <v>싸</v>
      </c>
      <c r="G1268" s="6" t="str">
        <f aca="false">DEC2HEX(D1268+36, 2)</f>
        <v>2A</v>
      </c>
      <c r="H1268" s="6" t="str">
        <f aca="false">DEC2HEX(C1268+48,2)</f>
        <v>43</v>
      </c>
      <c r="I1268" s="6" t="str">
        <f aca="false">_xlfn.CONCAT("\x", G1268, "\x", H1268, "=", F1268)</f>
        <v>\x2A\x43=싸</v>
      </c>
      <c r="M1268" s="8"/>
    </row>
    <row r="1269" customFormat="false" ht="12.8" hidden="false" customHeight="true" outlineLevel="0" collapsed="false">
      <c r="C1269" s="6" t="n">
        <f aca="false">MOD(ROW()-1, 208)</f>
        <v>20</v>
      </c>
      <c r="D1269" s="6" t="n">
        <f aca="false">INT((ROW()-1)/208)</f>
        <v>6</v>
      </c>
      <c r="F1269" s="6" t="str">
        <f aca="false">MID(VLOOKUP(D1269,$P$1:$Q$13,2,0), 1 + C1269,1)</f>
        <v>싹</v>
      </c>
      <c r="G1269" s="6" t="str">
        <f aca="false">DEC2HEX(D1269+36, 2)</f>
        <v>2A</v>
      </c>
      <c r="H1269" s="6" t="str">
        <f aca="false">DEC2HEX(C1269+48,2)</f>
        <v>44</v>
      </c>
      <c r="I1269" s="6" t="str">
        <f aca="false">_xlfn.CONCAT("\x", G1269, "\x", H1269, "=", F1269)</f>
        <v>\x2A\x44=싹</v>
      </c>
      <c r="M1269" s="8"/>
    </row>
    <row r="1270" customFormat="false" ht="12.8" hidden="false" customHeight="true" outlineLevel="0" collapsed="false">
      <c r="C1270" s="6" t="n">
        <f aca="false">MOD(ROW()-1, 208)</f>
        <v>21</v>
      </c>
      <c r="D1270" s="6" t="n">
        <f aca="false">INT((ROW()-1)/208)</f>
        <v>6</v>
      </c>
      <c r="F1270" s="6" t="str">
        <f aca="false">MID(VLOOKUP(D1270,$P$1:$Q$13,2,0), 1 + C1270,1)</f>
        <v>싻</v>
      </c>
      <c r="G1270" s="6" t="str">
        <f aca="false">DEC2HEX(D1270+36, 2)</f>
        <v>2A</v>
      </c>
      <c r="H1270" s="6" t="str">
        <f aca="false">DEC2HEX(C1270+48,2)</f>
        <v>45</v>
      </c>
      <c r="I1270" s="6" t="str">
        <f aca="false">_xlfn.CONCAT("\x", G1270, "\x", H1270, "=", F1270)</f>
        <v>\x2A\x45=싻</v>
      </c>
      <c r="M1270" s="8"/>
    </row>
    <row r="1271" customFormat="false" ht="12.8" hidden="false" customHeight="true" outlineLevel="0" collapsed="false">
      <c r="C1271" s="6" t="n">
        <f aca="false">MOD(ROW()-1, 208)</f>
        <v>22</v>
      </c>
      <c r="D1271" s="6" t="n">
        <f aca="false">INT((ROW()-1)/208)</f>
        <v>6</v>
      </c>
      <c r="F1271" s="6" t="str">
        <f aca="false">MID(VLOOKUP(D1271,$P$1:$Q$13,2,0), 1 + C1271,1)</f>
        <v>싼</v>
      </c>
      <c r="G1271" s="6" t="str">
        <f aca="false">DEC2HEX(D1271+36, 2)</f>
        <v>2A</v>
      </c>
      <c r="H1271" s="6" t="str">
        <f aca="false">DEC2HEX(C1271+48,2)</f>
        <v>46</v>
      </c>
      <c r="I1271" s="6" t="str">
        <f aca="false">_xlfn.CONCAT("\x", G1271, "\x", H1271, "=", F1271)</f>
        <v>\x2A\x46=싼</v>
      </c>
      <c r="M1271" s="8"/>
    </row>
    <row r="1272" customFormat="false" ht="12.8" hidden="false" customHeight="true" outlineLevel="0" collapsed="false">
      <c r="C1272" s="6" t="n">
        <f aca="false">MOD(ROW()-1, 208)</f>
        <v>23</v>
      </c>
      <c r="D1272" s="6" t="n">
        <f aca="false">INT((ROW()-1)/208)</f>
        <v>6</v>
      </c>
      <c r="F1272" s="6" t="str">
        <f aca="false">MID(VLOOKUP(D1272,$P$1:$Q$13,2,0), 1 + C1272,1)</f>
        <v>쌀</v>
      </c>
      <c r="G1272" s="6" t="str">
        <f aca="false">DEC2HEX(D1272+36, 2)</f>
        <v>2A</v>
      </c>
      <c r="H1272" s="6" t="str">
        <f aca="false">DEC2HEX(C1272+48,2)</f>
        <v>47</v>
      </c>
      <c r="I1272" s="6" t="str">
        <f aca="false">_xlfn.CONCAT("\x", G1272, "\x", H1272, "=", F1272)</f>
        <v>\x2A\x47=쌀</v>
      </c>
      <c r="M1272" s="8"/>
    </row>
    <row r="1273" customFormat="false" ht="12.8" hidden="false" customHeight="true" outlineLevel="0" collapsed="false">
      <c r="C1273" s="6" t="n">
        <f aca="false">MOD(ROW()-1, 208)</f>
        <v>24</v>
      </c>
      <c r="D1273" s="6" t="n">
        <f aca="false">INT((ROW()-1)/208)</f>
        <v>6</v>
      </c>
      <c r="F1273" s="6" t="str">
        <f aca="false">MID(VLOOKUP(D1273,$P$1:$Q$13,2,0), 1 + C1273,1)</f>
        <v>쌈</v>
      </c>
      <c r="G1273" s="6" t="str">
        <f aca="false">DEC2HEX(D1273+36, 2)</f>
        <v>2A</v>
      </c>
      <c r="H1273" s="6" t="str">
        <f aca="false">DEC2HEX(C1273+48,2)</f>
        <v>48</v>
      </c>
      <c r="I1273" s="6" t="str">
        <f aca="false">_xlfn.CONCAT("\x", G1273, "\x", H1273, "=", F1273)</f>
        <v>\x2A\x48=쌈</v>
      </c>
      <c r="M1273" s="8"/>
    </row>
    <row r="1274" customFormat="false" ht="12.8" hidden="false" customHeight="true" outlineLevel="0" collapsed="false">
      <c r="C1274" s="6" t="n">
        <f aca="false">MOD(ROW()-1, 208)</f>
        <v>25</v>
      </c>
      <c r="D1274" s="6" t="n">
        <f aca="false">INT((ROW()-1)/208)</f>
        <v>6</v>
      </c>
      <c r="F1274" s="6" t="str">
        <f aca="false">MID(VLOOKUP(D1274,$P$1:$Q$13,2,0), 1 + C1274,1)</f>
        <v>쌉</v>
      </c>
      <c r="G1274" s="6" t="str">
        <f aca="false">DEC2HEX(D1274+36, 2)</f>
        <v>2A</v>
      </c>
      <c r="H1274" s="6" t="str">
        <f aca="false">DEC2HEX(C1274+48,2)</f>
        <v>49</v>
      </c>
      <c r="I1274" s="6" t="str">
        <f aca="false">_xlfn.CONCAT("\x", G1274, "\x", H1274, "=", F1274)</f>
        <v>\x2A\x49=쌉</v>
      </c>
      <c r="M1274" s="8"/>
    </row>
    <row r="1275" customFormat="false" ht="12.8" hidden="false" customHeight="true" outlineLevel="0" collapsed="false">
      <c r="C1275" s="6" t="n">
        <f aca="false">MOD(ROW()-1, 208)</f>
        <v>26</v>
      </c>
      <c r="D1275" s="6" t="n">
        <f aca="false">INT((ROW()-1)/208)</f>
        <v>6</v>
      </c>
      <c r="F1275" s="6" t="str">
        <f aca="false">MID(VLOOKUP(D1275,$P$1:$Q$13,2,0), 1 + C1275,1)</f>
        <v>쌌</v>
      </c>
      <c r="G1275" s="6" t="str">
        <f aca="false">DEC2HEX(D1275+36, 2)</f>
        <v>2A</v>
      </c>
      <c r="H1275" s="6" t="str">
        <f aca="false">DEC2HEX(C1275+48,2)</f>
        <v>4A</v>
      </c>
      <c r="I1275" s="6" t="str">
        <f aca="false">_xlfn.CONCAT("\x", G1275, "\x", H1275, "=", F1275)</f>
        <v>\x2A\x4A=쌌</v>
      </c>
      <c r="M1275" s="8"/>
    </row>
    <row r="1276" customFormat="false" ht="12.8" hidden="false" customHeight="true" outlineLevel="0" collapsed="false">
      <c r="C1276" s="6" t="n">
        <f aca="false">MOD(ROW()-1, 208)</f>
        <v>27</v>
      </c>
      <c r="D1276" s="6" t="n">
        <f aca="false">INT((ROW()-1)/208)</f>
        <v>6</v>
      </c>
      <c r="F1276" s="6" t="str">
        <f aca="false">MID(VLOOKUP(D1276,$P$1:$Q$13,2,0), 1 + C1276,1)</f>
        <v>쌍</v>
      </c>
      <c r="G1276" s="6" t="str">
        <f aca="false">DEC2HEX(D1276+36, 2)</f>
        <v>2A</v>
      </c>
      <c r="H1276" s="6" t="str">
        <f aca="false">DEC2HEX(C1276+48,2)</f>
        <v>4B</v>
      </c>
      <c r="I1276" s="6" t="str">
        <f aca="false">_xlfn.CONCAT("\x", G1276, "\x", H1276, "=", F1276)</f>
        <v>\x2A\x4B=쌍</v>
      </c>
      <c r="M1276" s="8"/>
    </row>
    <row r="1277" customFormat="false" ht="12.8" hidden="false" customHeight="true" outlineLevel="0" collapsed="false">
      <c r="C1277" s="6" t="n">
        <f aca="false">MOD(ROW()-1, 208)</f>
        <v>28</v>
      </c>
      <c r="D1277" s="6" t="n">
        <f aca="false">INT((ROW()-1)/208)</f>
        <v>6</v>
      </c>
      <c r="F1277" s="6" t="str">
        <f aca="false">MID(VLOOKUP(D1277,$P$1:$Q$13,2,0), 1 + C1277,1)</f>
        <v>쌓</v>
      </c>
      <c r="G1277" s="6" t="str">
        <f aca="false">DEC2HEX(D1277+36, 2)</f>
        <v>2A</v>
      </c>
      <c r="H1277" s="6" t="str">
        <f aca="false">DEC2HEX(C1277+48,2)</f>
        <v>4C</v>
      </c>
      <c r="I1277" s="6" t="str">
        <f aca="false">_xlfn.CONCAT("\x", G1277, "\x", H1277, "=", F1277)</f>
        <v>\x2A\x4C=쌓</v>
      </c>
      <c r="M1277" s="8"/>
    </row>
    <row r="1278" customFormat="false" ht="12.8" hidden="false" customHeight="true" outlineLevel="0" collapsed="false">
      <c r="C1278" s="6" t="n">
        <f aca="false">MOD(ROW()-1, 208)</f>
        <v>29</v>
      </c>
      <c r="D1278" s="6" t="n">
        <f aca="false">INT((ROW()-1)/208)</f>
        <v>6</v>
      </c>
      <c r="F1278" s="6" t="str">
        <f aca="false">MID(VLOOKUP(D1278,$P$1:$Q$13,2,0), 1 + C1278,1)</f>
        <v>쌔</v>
      </c>
      <c r="G1278" s="6" t="str">
        <f aca="false">DEC2HEX(D1278+36, 2)</f>
        <v>2A</v>
      </c>
      <c r="H1278" s="6" t="str">
        <f aca="false">DEC2HEX(C1278+48,2)</f>
        <v>4D</v>
      </c>
      <c r="I1278" s="6" t="str">
        <f aca="false">_xlfn.CONCAT("\x", G1278, "\x", H1278, "=", F1278)</f>
        <v>\x2A\x4D=쌔</v>
      </c>
      <c r="M1278" s="8"/>
    </row>
    <row r="1279" customFormat="false" ht="12.8" hidden="false" customHeight="true" outlineLevel="0" collapsed="false">
      <c r="C1279" s="6" t="n">
        <f aca="false">MOD(ROW()-1, 208)</f>
        <v>30</v>
      </c>
      <c r="D1279" s="6" t="n">
        <f aca="false">INT((ROW()-1)/208)</f>
        <v>6</v>
      </c>
      <c r="F1279" s="6" t="str">
        <f aca="false">MID(VLOOKUP(D1279,$P$1:$Q$13,2,0), 1 + C1279,1)</f>
        <v>쌕</v>
      </c>
      <c r="G1279" s="6" t="str">
        <f aca="false">DEC2HEX(D1279+36, 2)</f>
        <v>2A</v>
      </c>
      <c r="H1279" s="6" t="str">
        <f aca="false">DEC2HEX(C1279+48,2)</f>
        <v>4E</v>
      </c>
      <c r="I1279" s="6" t="str">
        <f aca="false">_xlfn.CONCAT("\x", G1279, "\x", H1279, "=", F1279)</f>
        <v>\x2A\x4E=쌕</v>
      </c>
      <c r="M1279" s="8"/>
    </row>
    <row r="1280" customFormat="false" ht="12.8" hidden="false" customHeight="true" outlineLevel="0" collapsed="false">
      <c r="C1280" s="6" t="n">
        <f aca="false">MOD(ROW()-1, 208)</f>
        <v>31</v>
      </c>
      <c r="D1280" s="6" t="n">
        <f aca="false">INT((ROW()-1)/208)</f>
        <v>6</v>
      </c>
      <c r="F1280" s="6" t="str">
        <f aca="false">MID(VLOOKUP(D1280,$P$1:$Q$13,2,0), 1 + C1280,1)</f>
        <v>쌘</v>
      </c>
      <c r="G1280" s="6" t="str">
        <f aca="false">DEC2HEX(D1280+36, 2)</f>
        <v>2A</v>
      </c>
      <c r="H1280" s="6" t="str">
        <f aca="false">DEC2HEX(C1280+48,2)</f>
        <v>4F</v>
      </c>
      <c r="I1280" s="6" t="str">
        <f aca="false">_xlfn.CONCAT("\x", G1280, "\x", H1280, "=", F1280)</f>
        <v>\x2A\x4F=쌘</v>
      </c>
      <c r="M1280" s="8"/>
    </row>
    <row r="1281" customFormat="false" ht="12.8" hidden="false" customHeight="true" outlineLevel="0" collapsed="false">
      <c r="C1281" s="6" t="n">
        <f aca="false">MOD(ROW()-1, 208)</f>
        <v>32</v>
      </c>
      <c r="D1281" s="6" t="n">
        <f aca="false">INT((ROW()-1)/208)</f>
        <v>6</v>
      </c>
      <c r="F1281" s="6" t="str">
        <f aca="false">MID(VLOOKUP(D1281,$P$1:$Q$13,2,0), 1 + C1281,1)</f>
        <v>쌜</v>
      </c>
      <c r="G1281" s="6" t="str">
        <f aca="false">DEC2HEX(D1281+36, 2)</f>
        <v>2A</v>
      </c>
      <c r="H1281" s="6" t="str">
        <f aca="false">DEC2HEX(C1281+48,2)</f>
        <v>50</v>
      </c>
      <c r="I1281" s="6" t="str">
        <f aca="false">_xlfn.CONCAT("\x", G1281, "\x", H1281, "=", F1281)</f>
        <v>\x2A\x50=쌜</v>
      </c>
      <c r="M1281" s="8"/>
    </row>
    <row r="1282" customFormat="false" ht="12.8" hidden="false" customHeight="true" outlineLevel="0" collapsed="false">
      <c r="C1282" s="6" t="n">
        <f aca="false">MOD(ROW()-1, 208)</f>
        <v>33</v>
      </c>
      <c r="D1282" s="6" t="n">
        <f aca="false">INT((ROW()-1)/208)</f>
        <v>6</v>
      </c>
      <c r="F1282" s="6" t="str">
        <f aca="false">MID(VLOOKUP(D1282,$P$1:$Q$13,2,0), 1 + C1282,1)</f>
        <v>쌤</v>
      </c>
      <c r="G1282" s="6" t="str">
        <f aca="false">DEC2HEX(D1282+36, 2)</f>
        <v>2A</v>
      </c>
      <c r="H1282" s="6" t="str">
        <f aca="false">DEC2HEX(C1282+48,2)</f>
        <v>51</v>
      </c>
      <c r="I1282" s="6" t="str">
        <f aca="false">_xlfn.CONCAT("\x", G1282, "\x", H1282, "=", F1282)</f>
        <v>\x2A\x51=쌤</v>
      </c>
      <c r="M1282" s="8"/>
    </row>
    <row r="1283" customFormat="false" ht="12.8" hidden="false" customHeight="true" outlineLevel="0" collapsed="false">
      <c r="C1283" s="6" t="n">
        <f aca="false">MOD(ROW()-1, 208)</f>
        <v>34</v>
      </c>
      <c r="D1283" s="6" t="n">
        <f aca="false">INT((ROW()-1)/208)</f>
        <v>6</v>
      </c>
      <c r="F1283" s="6" t="str">
        <f aca="false">MID(VLOOKUP(D1283,$P$1:$Q$13,2,0), 1 + C1283,1)</f>
        <v>쌥</v>
      </c>
      <c r="G1283" s="6" t="str">
        <f aca="false">DEC2HEX(D1283+36, 2)</f>
        <v>2A</v>
      </c>
      <c r="H1283" s="6" t="str">
        <f aca="false">DEC2HEX(C1283+48,2)</f>
        <v>52</v>
      </c>
      <c r="I1283" s="6" t="str">
        <f aca="false">_xlfn.CONCAT("\x", G1283, "\x", H1283, "=", F1283)</f>
        <v>\x2A\x52=쌥</v>
      </c>
      <c r="M1283" s="8"/>
    </row>
    <row r="1284" customFormat="false" ht="12.8" hidden="false" customHeight="true" outlineLevel="0" collapsed="false">
      <c r="C1284" s="6" t="n">
        <f aca="false">MOD(ROW()-1, 208)</f>
        <v>35</v>
      </c>
      <c r="D1284" s="6" t="n">
        <f aca="false">INT((ROW()-1)/208)</f>
        <v>6</v>
      </c>
      <c r="F1284" s="6" t="str">
        <f aca="false">MID(VLOOKUP(D1284,$P$1:$Q$13,2,0), 1 + C1284,1)</f>
        <v>쌨</v>
      </c>
      <c r="G1284" s="6" t="str">
        <f aca="false">DEC2HEX(D1284+36, 2)</f>
        <v>2A</v>
      </c>
      <c r="H1284" s="6" t="str">
        <f aca="false">DEC2HEX(C1284+48,2)</f>
        <v>53</v>
      </c>
      <c r="I1284" s="6" t="str">
        <f aca="false">_xlfn.CONCAT("\x", G1284, "\x", H1284, "=", F1284)</f>
        <v>\x2A\x53=쌨</v>
      </c>
      <c r="M1284" s="8"/>
    </row>
    <row r="1285" customFormat="false" ht="12.8" hidden="false" customHeight="true" outlineLevel="0" collapsed="false">
      <c r="C1285" s="6" t="n">
        <f aca="false">MOD(ROW()-1, 208)</f>
        <v>36</v>
      </c>
      <c r="D1285" s="6" t="n">
        <f aca="false">INT((ROW()-1)/208)</f>
        <v>6</v>
      </c>
      <c r="F1285" s="6" t="str">
        <f aca="false">MID(VLOOKUP(D1285,$P$1:$Q$13,2,0), 1 + C1285,1)</f>
        <v>쌩</v>
      </c>
      <c r="G1285" s="6" t="str">
        <f aca="false">DEC2HEX(D1285+36, 2)</f>
        <v>2A</v>
      </c>
      <c r="H1285" s="6" t="str">
        <f aca="false">DEC2HEX(C1285+48,2)</f>
        <v>54</v>
      </c>
      <c r="I1285" s="6" t="str">
        <f aca="false">_xlfn.CONCAT("\x", G1285, "\x", H1285, "=", F1285)</f>
        <v>\x2A\x54=쌩</v>
      </c>
      <c r="M1285" s="8"/>
    </row>
    <row r="1286" customFormat="false" ht="12.8" hidden="false" customHeight="true" outlineLevel="0" collapsed="false">
      <c r="C1286" s="6" t="n">
        <f aca="false">MOD(ROW()-1, 208)</f>
        <v>37</v>
      </c>
      <c r="D1286" s="6" t="n">
        <f aca="false">INT((ROW()-1)/208)</f>
        <v>6</v>
      </c>
      <c r="F1286" s="6" t="str">
        <f aca="false">MID(VLOOKUP(D1286,$P$1:$Q$13,2,0), 1 + C1286,1)</f>
        <v>썅</v>
      </c>
      <c r="G1286" s="6" t="str">
        <f aca="false">DEC2HEX(D1286+36, 2)</f>
        <v>2A</v>
      </c>
      <c r="H1286" s="6" t="str">
        <f aca="false">DEC2HEX(C1286+48,2)</f>
        <v>55</v>
      </c>
      <c r="I1286" s="6" t="str">
        <f aca="false">_xlfn.CONCAT("\x", G1286, "\x", H1286, "=", F1286)</f>
        <v>\x2A\x55=썅</v>
      </c>
      <c r="M1286" s="8"/>
    </row>
    <row r="1287" customFormat="false" ht="12.8" hidden="false" customHeight="true" outlineLevel="0" collapsed="false">
      <c r="C1287" s="6" t="n">
        <f aca="false">MOD(ROW()-1, 208)</f>
        <v>38</v>
      </c>
      <c r="D1287" s="6" t="n">
        <f aca="false">INT((ROW()-1)/208)</f>
        <v>6</v>
      </c>
      <c r="F1287" s="6" t="str">
        <f aca="false">MID(VLOOKUP(D1287,$P$1:$Q$13,2,0), 1 + C1287,1)</f>
        <v>써</v>
      </c>
      <c r="G1287" s="6" t="str">
        <f aca="false">DEC2HEX(D1287+36, 2)</f>
        <v>2A</v>
      </c>
      <c r="H1287" s="6" t="str">
        <f aca="false">DEC2HEX(C1287+48,2)</f>
        <v>56</v>
      </c>
      <c r="I1287" s="6" t="str">
        <f aca="false">_xlfn.CONCAT("\x", G1287, "\x", H1287, "=", F1287)</f>
        <v>\x2A\x56=써</v>
      </c>
      <c r="M1287" s="8"/>
    </row>
    <row r="1288" customFormat="false" ht="12.8" hidden="false" customHeight="true" outlineLevel="0" collapsed="false">
      <c r="C1288" s="6" t="n">
        <f aca="false">MOD(ROW()-1, 208)</f>
        <v>39</v>
      </c>
      <c r="D1288" s="6" t="n">
        <f aca="false">INT((ROW()-1)/208)</f>
        <v>6</v>
      </c>
      <c r="F1288" s="6" t="str">
        <f aca="false">MID(VLOOKUP(D1288,$P$1:$Q$13,2,0), 1 + C1288,1)</f>
        <v>썩</v>
      </c>
      <c r="G1288" s="6" t="str">
        <f aca="false">DEC2HEX(D1288+36, 2)</f>
        <v>2A</v>
      </c>
      <c r="H1288" s="6" t="str">
        <f aca="false">DEC2HEX(C1288+48,2)</f>
        <v>57</v>
      </c>
      <c r="I1288" s="6" t="str">
        <f aca="false">_xlfn.CONCAT("\x", G1288, "\x", H1288, "=", F1288)</f>
        <v>\x2A\x57=썩</v>
      </c>
      <c r="M1288" s="8"/>
    </row>
    <row r="1289" customFormat="false" ht="12.8" hidden="false" customHeight="true" outlineLevel="0" collapsed="false">
      <c r="C1289" s="6" t="n">
        <f aca="false">MOD(ROW()-1, 208)</f>
        <v>40</v>
      </c>
      <c r="D1289" s="6" t="n">
        <f aca="false">INT((ROW()-1)/208)</f>
        <v>6</v>
      </c>
      <c r="F1289" s="6" t="str">
        <f aca="false">MID(VLOOKUP(D1289,$P$1:$Q$13,2,0), 1 + C1289,1)</f>
        <v>썬</v>
      </c>
      <c r="G1289" s="6" t="str">
        <f aca="false">DEC2HEX(D1289+36, 2)</f>
        <v>2A</v>
      </c>
      <c r="H1289" s="6" t="str">
        <f aca="false">DEC2HEX(C1289+48,2)</f>
        <v>58</v>
      </c>
      <c r="I1289" s="6" t="str">
        <f aca="false">_xlfn.CONCAT("\x", G1289, "\x", H1289, "=", F1289)</f>
        <v>\x2A\x58=썬</v>
      </c>
      <c r="M1289" s="8"/>
    </row>
    <row r="1290" customFormat="false" ht="12.8" hidden="false" customHeight="true" outlineLevel="0" collapsed="false">
      <c r="C1290" s="6" t="n">
        <f aca="false">MOD(ROW()-1, 208)</f>
        <v>41</v>
      </c>
      <c r="D1290" s="6" t="n">
        <f aca="false">INT((ROW()-1)/208)</f>
        <v>6</v>
      </c>
      <c r="F1290" s="6" t="str">
        <f aca="false">MID(VLOOKUP(D1290,$P$1:$Q$13,2,0), 1 + C1290,1)</f>
        <v>썰</v>
      </c>
      <c r="G1290" s="6" t="str">
        <f aca="false">DEC2HEX(D1290+36, 2)</f>
        <v>2A</v>
      </c>
      <c r="H1290" s="6" t="str">
        <f aca="false">DEC2HEX(C1290+48,2)</f>
        <v>59</v>
      </c>
      <c r="I1290" s="6" t="str">
        <f aca="false">_xlfn.CONCAT("\x", G1290, "\x", H1290, "=", F1290)</f>
        <v>\x2A\x59=썰</v>
      </c>
      <c r="M1290" s="8"/>
    </row>
    <row r="1291" customFormat="false" ht="12.8" hidden="false" customHeight="true" outlineLevel="0" collapsed="false">
      <c r="C1291" s="6" t="n">
        <f aca="false">MOD(ROW()-1, 208)</f>
        <v>42</v>
      </c>
      <c r="D1291" s="6" t="n">
        <f aca="false">INT((ROW()-1)/208)</f>
        <v>6</v>
      </c>
      <c r="F1291" s="6" t="str">
        <f aca="false">MID(VLOOKUP(D1291,$P$1:$Q$13,2,0), 1 + C1291,1)</f>
        <v>썲</v>
      </c>
      <c r="G1291" s="6" t="str">
        <f aca="false">DEC2HEX(D1291+36, 2)</f>
        <v>2A</v>
      </c>
      <c r="H1291" s="6" t="str">
        <f aca="false">DEC2HEX(C1291+48,2)</f>
        <v>5A</v>
      </c>
      <c r="I1291" s="6" t="str">
        <f aca="false">_xlfn.CONCAT("\x", G1291, "\x", H1291, "=", F1291)</f>
        <v>\x2A\x5A=썲</v>
      </c>
      <c r="M1291" s="8"/>
    </row>
    <row r="1292" customFormat="false" ht="12.8" hidden="false" customHeight="true" outlineLevel="0" collapsed="false">
      <c r="C1292" s="6" t="n">
        <f aca="false">MOD(ROW()-1, 208)</f>
        <v>43</v>
      </c>
      <c r="D1292" s="6" t="n">
        <f aca="false">INT((ROW()-1)/208)</f>
        <v>6</v>
      </c>
      <c r="F1292" s="6" t="str">
        <f aca="false">MID(VLOOKUP(D1292,$P$1:$Q$13,2,0), 1 + C1292,1)</f>
        <v>썸</v>
      </c>
      <c r="G1292" s="6" t="str">
        <f aca="false">DEC2HEX(D1292+36, 2)</f>
        <v>2A</v>
      </c>
      <c r="H1292" s="6" t="str">
        <f aca="false">DEC2HEX(C1292+48,2)</f>
        <v>5B</v>
      </c>
      <c r="I1292" s="6" t="str">
        <f aca="false">_xlfn.CONCAT("\x", G1292, "\x", H1292, "=", F1292)</f>
        <v>\x2A\x5B=썸</v>
      </c>
      <c r="M1292" s="8"/>
    </row>
    <row r="1293" customFormat="false" ht="12.8" hidden="false" customHeight="true" outlineLevel="0" collapsed="false">
      <c r="C1293" s="6" t="n">
        <f aca="false">MOD(ROW()-1, 208)</f>
        <v>44</v>
      </c>
      <c r="D1293" s="6" t="n">
        <f aca="false">INT((ROW()-1)/208)</f>
        <v>6</v>
      </c>
      <c r="F1293" s="6" t="str">
        <f aca="false">MID(VLOOKUP(D1293,$P$1:$Q$13,2,0), 1 + C1293,1)</f>
        <v>썹</v>
      </c>
      <c r="G1293" s="6" t="str">
        <f aca="false">DEC2HEX(D1293+36, 2)</f>
        <v>2A</v>
      </c>
      <c r="H1293" s="6" t="str">
        <f aca="false">DEC2HEX(C1293+48,2)</f>
        <v>5C</v>
      </c>
      <c r="I1293" s="6" t="str">
        <f aca="false">_xlfn.CONCAT("\x", G1293, "\x", H1293, "=", F1293)</f>
        <v>\x2A\x5C=썹</v>
      </c>
      <c r="M1293" s="8"/>
    </row>
    <row r="1294" customFormat="false" ht="12.8" hidden="false" customHeight="true" outlineLevel="0" collapsed="false">
      <c r="C1294" s="6" t="n">
        <f aca="false">MOD(ROW()-1, 208)</f>
        <v>45</v>
      </c>
      <c r="D1294" s="6" t="n">
        <f aca="false">INT((ROW()-1)/208)</f>
        <v>6</v>
      </c>
      <c r="F1294" s="6" t="str">
        <f aca="false">MID(VLOOKUP(D1294,$P$1:$Q$13,2,0), 1 + C1294,1)</f>
        <v>썼</v>
      </c>
      <c r="G1294" s="6" t="str">
        <f aca="false">DEC2HEX(D1294+36, 2)</f>
        <v>2A</v>
      </c>
      <c r="H1294" s="6" t="str">
        <f aca="false">DEC2HEX(C1294+48,2)</f>
        <v>5D</v>
      </c>
      <c r="I1294" s="6" t="str">
        <f aca="false">_xlfn.CONCAT("\x", G1294, "\x", H1294, "=", F1294)</f>
        <v>\x2A\x5D=썼</v>
      </c>
      <c r="M1294" s="8"/>
    </row>
    <row r="1295" customFormat="false" ht="12.8" hidden="false" customHeight="true" outlineLevel="0" collapsed="false">
      <c r="C1295" s="6" t="n">
        <f aca="false">MOD(ROW()-1, 208)</f>
        <v>46</v>
      </c>
      <c r="D1295" s="6" t="n">
        <f aca="false">INT((ROW()-1)/208)</f>
        <v>6</v>
      </c>
      <c r="F1295" s="6" t="str">
        <f aca="false">MID(VLOOKUP(D1295,$P$1:$Q$13,2,0), 1 + C1295,1)</f>
        <v>썽</v>
      </c>
      <c r="G1295" s="6" t="str">
        <f aca="false">DEC2HEX(D1295+36, 2)</f>
        <v>2A</v>
      </c>
      <c r="H1295" s="6" t="str">
        <f aca="false">DEC2HEX(C1295+48,2)</f>
        <v>5E</v>
      </c>
      <c r="I1295" s="6" t="str">
        <f aca="false">_xlfn.CONCAT("\x", G1295, "\x", H1295, "=", F1295)</f>
        <v>\x2A\x5E=썽</v>
      </c>
      <c r="M1295" s="8"/>
    </row>
    <row r="1296" customFormat="false" ht="12.8" hidden="false" customHeight="true" outlineLevel="0" collapsed="false">
      <c r="C1296" s="6" t="n">
        <f aca="false">MOD(ROW()-1, 208)</f>
        <v>47</v>
      </c>
      <c r="D1296" s="6" t="n">
        <f aca="false">INT((ROW()-1)/208)</f>
        <v>6</v>
      </c>
      <c r="F1296" s="6" t="str">
        <f aca="false">MID(VLOOKUP(D1296,$P$1:$Q$13,2,0), 1 + C1296,1)</f>
        <v>쎄</v>
      </c>
      <c r="G1296" s="6" t="str">
        <f aca="false">DEC2HEX(D1296+36, 2)</f>
        <v>2A</v>
      </c>
      <c r="H1296" s="6" t="str">
        <f aca="false">DEC2HEX(C1296+48,2)</f>
        <v>5F</v>
      </c>
      <c r="I1296" s="6" t="str">
        <f aca="false">_xlfn.CONCAT("\x", G1296, "\x", H1296, "=", F1296)</f>
        <v>\x2A\x5F=쎄</v>
      </c>
      <c r="M1296" s="8"/>
    </row>
    <row r="1297" customFormat="false" ht="12.8" hidden="false" customHeight="true" outlineLevel="0" collapsed="false">
      <c r="C1297" s="6" t="n">
        <f aca="false">MOD(ROW()-1, 208)</f>
        <v>48</v>
      </c>
      <c r="D1297" s="6" t="n">
        <f aca="false">INT((ROW()-1)/208)</f>
        <v>6</v>
      </c>
      <c r="F1297" s="6" t="str">
        <f aca="false">MID(VLOOKUP(D1297,$P$1:$Q$13,2,0), 1 + C1297,1)</f>
        <v>쎈</v>
      </c>
      <c r="G1297" s="6" t="str">
        <f aca="false">DEC2HEX(D1297+36, 2)</f>
        <v>2A</v>
      </c>
      <c r="H1297" s="6" t="str">
        <f aca="false">DEC2HEX(C1297+48,2)</f>
        <v>60</v>
      </c>
      <c r="I1297" s="6" t="str">
        <f aca="false">_xlfn.CONCAT("\x", G1297, "\x", H1297, "=", F1297)</f>
        <v>\x2A\x60=쎈</v>
      </c>
      <c r="M1297" s="8"/>
    </row>
    <row r="1298" customFormat="false" ht="12.8" hidden="false" customHeight="true" outlineLevel="0" collapsed="false">
      <c r="C1298" s="6" t="n">
        <f aca="false">MOD(ROW()-1, 208)</f>
        <v>49</v>
      </c>
      <c r="D1298" s="6" t="n">
        <f aca="false">INT((ROW()-1)/208)</f>
        <v>6</v>
      </c>
      <c r="F1298" s="6" t="str">
        <f aca="false">MID(VLOOKUP(D1298,$P$1:$Q$13,2,0), 1 + C1298,1)</f>
        <v>쎌</v>
      </c>
      <c r="G1298" s="6" t="str">
        <f aca="false">DEC2HEX(D1298+36, 2)</f>
        <v>2A</v>
      </c>
      <c r="H1298" s="6" t="str">
        <f aca="false">DEC2HEX(C1298+48,2)</f>
        <v>61</v>
      </c>
      <c r="I1298" s="6" t="str">
        <f aca="false">_xlfn.CONCAT("\x", G1298, "\x", H1298, "=", F1298)</f>
        <v>\x2A\x61=쎌</v>
      </c>
      <c r="M1298" s="8"/>
    </row>
    <row r="1299" customFormat="false" ht="12.8" hidden="false" customHeight="true" outlineLevel="0" collapsed="false">
      <c r="C1299" s="6" t="n">
        <f aca="false">MOD(ROW()-1, 208)</f>
        <v>50</v>
      </c>
      <c r="D1299" s="6" t="n">
        <f aca="false">INT((ROW()-1)/208)</f>
        <v>6</v>
      </c>
      <c r="F1299" s="6" t="str">
        <f aca="false">MID(VLOOKUP(D1299,$P$1:$Q$13,2,0), 1 + C1299,1)</f>
        <v>쏀</v>
      </c>
      <c r="G1299" s="6" t="str">
        <f aca="false">DEC2HEX(D1299+36, 2)</f>
        <v>2A</v>
      </c>
      <c r="H1299" s="6" t="str">
        <f aca="false">DEC2HEX(C1299+48,2)</f>
        <v>62</v>
      </c>
      <c r="I1299" s="6" t="str">
        <f aca="false">_xlfn.CONCAT("\x", G1299, "\x", H1299, "=", F1299)</f>
        <v>\x2A\x62=쏀</v>
      </c>
      <c r="M1299" s="8"/>
    </row>
    <row r="1300" customFormat="false" ht="12.8" hidden="false" customHeight="true" outlineLevel="0" collapsed="false">
      <c r="C1300" s="6" t="n">
        <f aca="false">MOD(ROW()-1, 208)</f>
        <v>51</v>
      </c>
      <c r="D1300" s="6" t="n">
        <f aca="false">INT((ROW()-1)/208)</f>
        <v>6</v>
      </c>
      <c r="F1300" s="6" t="str">
        <f aca="false">MID(VLOOKUP(D1300,$P$1:$Q$13,2,0), 1 + C1300,1)</f>
        <v>쏘</v>
      </c>
      <c r="G1300" s="6" t="str">
        <f aca="false">DEC2HEX(D1300+36, 2)</f>
        <v>2A</v>
      </c>
      <c r="H1300" s="6" t="str">
        <f aca="false">DEC2HEX(C1300+48,2)</f>
        <v>63</v>
      </c>
      <c r="I1300" s="6" t="str">
        <f aca="false">_xlfn.CONCAT("\x", G1300, "\x", H1300, "=", F1300)</f>
        <v>\x2A\x63=쏘</v>
      </c>
      <c r="M1300" s="8"/>
    </row>
    <row r="1301" customFormat="false" ht="12.8" hidden="false" customHeight="true" outlineLevel="0" collapsed="false">
      <c r="C1301" s="6" t="n">
        <f aca="false">MOD(ROW()-1, 208)</f>
        <v>52</v>
      </c>
      <c r="D1301" s="6" t="n">
        <f aca="false">INT((ROW()-1)/208)</f>
        <v>6</v>
      </c>
      <c r="F1301" s="6" t="str">
        <f aca="false">MID(VLOOKUP(D1301,$P$1:$Q$13,2,0), 1 + C1301,1)</f>
        <v>쏙</v>
      </c>
      <c r="G1301" s="6" t="str">
        <f aca="false">DEC2HEX(D1301+36, 2)</f>
        <v>2A</v>
      </c>
      <c r="H1301" s="6" t="str">
        <f aca="false">DEC2HEX(C1301+48,2)</f>
        <v>64</v>
      </c>
      <c r="I1301" s="6" t="str">
        <f aca="false">_xlfn.CONCAT("\x", G1301, "\x", H1301, "=", F1301)</f>
        <v>\x2A\x64=쏙</v>
      </c>
      <c r="M1301" s="8"/>
    </row>
    <row r="1302" customFormat="false" ht="12.8" hidden="false" customHeight="true" outlineLevel="0" collapsed="false">
      <c r="C1302" s="6" t="n">
        <f aca="false">MOD(ROW()-1, 208)</f>
        <v>53</v>
      </c>
      <c r="D1302" s="6" t="n">
        <f aca="false">INT((ROW()-1)/208)</f>
        <v>6</v>
      </c>
      <c r="F1302" s="6" t="str">
        <f aca="false">MID(VLOOKUP(D1302,$P$1:$Q$13,2,0), 1 + C1302,1)</f>
        <v>쏜</v>
      </c>
      <c r="G1302" s="6" t="str">
        <f aca="false">DEC2HEX(D1302+36, 2)</f>
        <v>2A</v>
      </c>
      <c r="H1302" s="6" t="str">
        <f aca="false">DEC2HEX(C1302+48,2)</f>
        <v>65</v>
      </c>
      <c r="I1302" s="6" t="str">
        <f aca="false">_xlfn.CONCAT("\x", G1302, "\x", H1302, "=", F1302)</f>
        <v>\x2A\x65=쏜</v>
      </c>
      <c r="M1302" s="8"/>
    </row>
    <row r="1303" customFormat="false" ht="12.8" hidden="false" customHeight="true" outlineLevel="0" collapsed="false">
      <c r="C1303" s="6" t="n">
        <f aca="false">MOD(ROW()-1, 208)</f>
        <v>54</v>
      </c>
      <c r="D1303" s="6" t="n">
        <f aca="false">INT((ROW()-1)/208)</f>
        <v>6</v>
      </c>
      <c r="F1303" s="6" t="str">
        <f aca="false">MID(VLOOKUP(D1303,$P$1:$Q$13,2,0), 1 + C1303,1)</f>
        <v>쏟</v>
      </c>
      <c r="G1303" s="6" t="str">
        <f aca="false">DEC2HEX(D1303+36, 2)</f>
        <v>2A</v>
      </c>
      <c r="H1303" s="6" t="str">
        <f aca="false">DEC2HEX(C1303+48,2)</f>
        <v>66</v>
      </c>
      <c r="I1303" s="6" t="str">
        <f aca="false">_xlfn.CONCAT("\x", G1303, "\x", H1303, "=", F1303)</f>
        <v>\x2A\x66=쏟</v>
      </c>
      <c r="M1303" s="8"/>
    </row>
    <row r="1304" customFormat="false" ht="12.8" hidden="false" customHeight="true" outlineLevel="0" collapsed="false">
      <c r="C1304" s="6" t="n">
        <f aca="false">MOD(ROW()-1, 208)</f>
        <v>55</v>
      </c>
      <c r="D1304" s="6" t="n">
        <f aca="false">INT((ROW()-1)/208)</f>
        <v>6</v>
      </c>
      <c r="F1304" s="6" t="str">
        <f aca="false">MID(VLOOKUP(D1304,$P$1:$Q$13,2,0), 1 + C1304,1)</f>
        <v>쏠</v>
      </c>
      <c r="G1304" s="6" t="str">
        <f aca="false">DEC2HEX(D1304+36, 2)</f>
        <v>2A</v>
      </c>
      <c r="H1304" s="6" t="str">
        <f aca="false">DEC2HEX(C1304+48,2)</f>
        <v>67</v>
      </c>
      <c r="I1304" s="6" t="str">
        <f aca="false">_xlfn.CONCAT("\x", G1304, "\x", H1304, "=", F1304)</f>
        <v>\x2A\x67=쏠</v>
      </c>
      <c r="M1304" s="8"/>
    </row>
    <row r="1305" customFormat="false" ht="12.8" hidden="false" customHeight="true" outlineLevel="0" collapsed="false">
      <c r="C1305" s="6" t="n">
        <f aca="false">MOD(ROW()-1, 208)</f>
        <v>56</v>
      </c>
      <c r="D1305" s="6" t="n">
        <f aca="false">INT((ROW()-1)/208)</f>
        <v>6</v>
      </c>
      <c r="F1305" s="6" t="str">
        <f aca="false">MID(VLOOKUP(D1305,$P$1:$Q$13,2,0), 1 + C1305,1)</f>
        <v>쏢</v>
      </c>
      <c r="G1305" s="6" t="str">
        <f aca="false">DEC2HEX(D1305+36, 2)</f>
        <v>2A</v>
      </c>
      <c r="H1305" s="6" t="str">
        <f aca="false">DEC2HEX(C1305+48,2)</f>
        <v>68</v>
      </c>
      <c r="I1305" s="6" t="str">
        <f aca="false">_xlfn.CONCAT("\x", G1305, "\x", H1305, "=", F1305)</f>
        <v>\x2A\x68=쏢</v>
      </c>
      <c r="M1305" s="8"/>
    </row>
    <row r="1306" customFormat="false" ht="12.8" hidden="false" customHeight="true" outlineLevel="0" collapsed="false">
      <c r="C1306" s="6" t="n">
        <f aca="false">MOD(ROW()-1, 208)</f>
        <v>57</v>
      </c>
      <c r="D1306" s="6" t="n">
        <f aca="false">INT((ROW()-1)/208)</f>
        <v>6</v>
      </c>
      <c r="F1306" s="6" t="str">
        <f aca="false">MID(VLOOKUP(D1306,$P$1:$Q$13,2,0), 1 + C1306,1)</f>
        <v>쏨</v>
      </c>
      <c r="G1306" s="6" t="str">
        <f aca="false">DEC2HEX(D1306+36, 2)</f>
        <v>2A</v>
      </c>
      <c r="H1306" s="6" t="str">
        <f aca="false">DEC2HEX(C1306+48,2)</f>
        <v>69</v>
      </c>
      <c r="I1306" s="6" t="str">
        <f aca="false">_xlfn.CONCAT("\x", G1306, "\x", H1306, "=", F1306)</f>
        <v>\x2A\x69=쏨</v>
      </c>
      <c r="M1306" s="8"/>
    </row>
    <row r="1307" customFormat="false" ht="12.8" hidden="false" customHeight="true" outlineLevel="0" collapsed="false">
      <c r="C1307" s="6" t="n">
        <f aca="false">MOD(ROW()-1, 208)</f>
        <v>58</v>
      </c>
      <c r="D1307" s="6" t="n">
        <f aca="false">INT((ROW()-1)/208)</f>
        <v>6</v>
      </c>
      <c r="F1307" s="6" t="str">
        <f aca="false">MID(VLOOKUP(D1307,$P$1:$Q$13,2,0), 1 + C1307,1)</f>
        <v>쏩</v>
      </c>
      <c r="G1307" s="6" t="str">
        <f aca="false">DEC2HEX(D1307+36, 2)</f>
        <v>2A</v>
      </c>
      <c r="H1307" s="6" t="str">
        <f aca="false">DEC2HEX(C1307+48,2)</f>
        <v>6A</v>
      </c>
      <c r="I1307" s="6" t="str">
        <f aca="false">_xlfn.CONCAT("\x", G1307, "\x", H1307, "=", F1307)</f>
        <v>\x2A\x6A=쏩</v>
      </c>
      <c r="M1307" s="8"/>
    </row>
    <row r="1308" customFormat="false" ht="12.8" hidden="false" customHeight="true" outlineLevel="0" collapsed="false">
      <c r="C1308" s="6" t="n">
        <f aca="false">MOD(ROW()-1, 208)</f>
        <v>59</v>
      </c>
      <c r="D1308" s="6" t="n">
        <f aca="false">INT((ROW()-1)/208)</f>
        <v>6</v>
      </c>
      <c r="F1308" s="6" t="str">
        <f aca="false">MID(VLOOKUP(D1308,$P$1:$Q$13,2,0), 1 + C1308,1)</f>
        <v>쏭</v>
      </c>
      <c r="G1308" s="6" t="str">
        <f aca="false">DEC2HEX(D1308+36, 2)</f>
        <v>2A</v>
      </c>
      <c r="H1308" s="6" t="str">
        <f aca="false">DEC2HEX(C1308+48,2)</f>
        <v>6B</v>
      </c>
      <c r="I1308" s="6" t="str">
        <f aca="false">_xlfn.CONCAT("\x", G1308, "\x", H1308, "=", F1308)</f>
        <v>\x2A\x6B=쏭</v>
      </c>
      <c r="M1308" s="8"/>
    </row>
    <row r="1309" customFormat="false" ht="12.8" hidden="false" customHeight="true" outlineLevel="0" collapsed="false">
      <c r="C1309" s="6" t="n">
        <f aca="false">MOD(ROW()-1, 208)</f>
        <v>60</v>
      </c>
      <c r="D1309" s="6" t="n">
        <f aca="false">INT((ROW()-1)/208)</f>
        <v>6</v>
      </c>
      <c r="F1309" s="6" t="str">
        <f aca="false">MID(VLOOKUP(D1309,$P$1:$Q$13,2,0), 1 + C1309,1)</f>
        <v>쏴</v>
      </c>
      <c r="G1309" s="6" t="str">
        <f aca="false">DEC2HEX(D1309+36, 2)</f>
        <v>2A</v>
      </c>
      <c r="H1309" s="6" t="str">
        <f aca="false">DEC2HEX(C1309+48,2)</f>
        <v>6C</v>
      </c>
      <c r="I1309" s="6" t="str">
        <f aca="false">_xlfn.CONCAT("\x", G1309, "\x", H1309, "=", F1309)</f>
        <v>\x2A\x6C=쏴</v>
      </c>
      <c r="M1309" s="8"/>
    </row>
    <row r="1310" customFormat="false" ht="12.8" hidden="false" customHeight="true" outlineLevel="0" collapsed="false">
      <c r="C1310" s="6" t="n">
        <f aca="false">MOD(ROW()-1, 208)</f>
        <v>61</v>
      </c>
      <c r="D1310" s="6" t="n">
        <f aca="false">INT((ROW()-1)/208)</f>
        <v>6</v>
      </c>
      <c r="F1310" s="6" t="str">
        <f aca="false">MID(VLOOKUP(D1310,$P$1:$Q$13,2,0), 1 + C1310,1)</f>
        <v>쏵</v>
      </c>
      <c r="G1310" s="6" t="str">
        <f aca="false">DEC2HEX(D1310+36, 2)</f>
        <v>2A</v>
      </c>
      <c r="H1310" s="6" t="str">
        <f aca="false">DEC2HEX(C1310+48,2)</f>
        <v>6D</v>
      </c>
      <c r="I1310" s="6" t="str">
        <f aca="false">_xlfn.CONCAT("\x", G1310, "\x", H1310, "=", F1310)</f>
        <v>\x2A\x6D=쏵</v>
      </c>
      <c r="M1310" s="8"/>
    </row>
    <row r="1311" customFormat="false" ht="12.8" hidden="false" customHeight="true" outlineLevel="0" collapsed="false">
      <c r="C1311" s="6" t="n">
        <f aca="false">MOD(ROW()-1, 208)</f>
        <v>62</v>
      </c>
      <c r="D1311" s="6" t="n">
        <f aca="false">INT((ROW()-1)/208)</f>
        <v>6</v>
      </c>
      <c r="F1311" s="6" t="str">
        <f aca="false">MID(VLOOKUP(D1311,$P$1:$Q$13,2,0), 1 + C1311,1)</f>
        <v>쏸</v>
      </c>
      <c r="G1311" s="6" t="str">
        <f aca="false">DEC2HEX(D1311+36, 2)</f>
        <v>2A</v>
      </c>
      <c r="H1311" s="6" t="str">
        <f aca="false">DEC2HEX(C1311+48,2)</f>
        <v>6E</v>
      </c>
      <c r="I1311" s="6" t="str">
        <f aca="false">_xlfn.CONCAT("\x", G1311, "\x", H1311, "=", F1311)</f>
        <v>\x2A\x6E=쏸</v>
      </c>
      <c r="M1311" s="8"/>
    </row>
    <row r="1312" customFormat="false" ht="12.8" hidden="false" customHeight="true" outlineLevel="0" collapsed="false">
      <c r="C1312" s="6" t="n">
        <f aca="false">MOD(ROW()-1, 208)</f>
        <v>63</v>
      </c>
      <c r="D1312" s="6" t="n">
        <f aca="false">INT((ROW()-1)/208)</f>
        <v>6</v>
      </c>
      <c r="F1312" s="6" t="str">
        <f aca="false">MID(VLOOKUP(D1312,$P$1:$Q$13,2,0), 1 + C1312,1)</f>
        <v>쐈</v>
      </c>
      <c r="G1312" s="6" t="str">
        <f aca="false">DEC2HEX(D1312+36, 2)</f>
        <v>2A</v>
      </c>
      <c r="H1312" s="6" t="str">
        <f aca="false">DEC2HEX(C1312+48,2)</f>
        <v>6F</v>
      </c>
      <c r="I1312" s="6" t="str">
        <f aca="false">_xlfn.CONCAT("\x", G1312, "\x", H1312, "=", F1312)</f>
        <v>\x2A\x6F=쐈</v>
      </c>
      <c r="M1312" s="8"/>
    </row>
    <row r="1313" customFormat="false" ht="12.8" hidden="false" customHeight="true" outlineLevel="0" collapsed="false">
      <c r="C1313" s="6" t="n">
        <f aca="false">MOD(ROW()-1, 208)</f>
        <v>64</v>
      </c>
      <c r="D1313" s="6" t="n">
        <f aca="false">INT((ROW()-1)/208)</f>
        <v>6</v>
      </c>
      <c r="F1313" s="6" t="str">
        <f aca="false">MID(VLOOKUP(D1313,$P$1:$Q$13,2,0), 1 + C1313,1)</f>
        <v>쐐</v>
      </c>
      <c r="G1313" s="6" t="str">
        <f aca="false">DEC2HEX(D1313+36, 2)</f>
        <v>2A</v>
      </c>
      <c r="H1313" s="6" t="str">
        <f aca="false">DEC2HEX(C1313+48,2)</f>
        <v>70</v>
      </c>
      <c r="I1313" s="6" t="str">
        <f aca="false">_xlfn.CONCAT("\x", G1313, "\x", H1313, "=", F1313)</f>
        <v>\x2A\x70=쐐</v>
      </c>
      <c r="M1313" s="8"/>
    </row>
    <row r="1314" customFormat="false" ht="12.8" hidden="false" customHeight="true" outlineLevel="0" collapsed="false">
      <c r="C1314" s="6" t="n">
        <f aca="false">MOD(ROW()-1, 208)</f>
        <v>65</v>
      </c>
      <c r="D1314" s="6" t="n">
        <f aca="false">INT((ROW()-1)/208)</f>
        <v>6</v>
      </c>
      <c r="F1314" s="6" t="str">
        <f aca="false">MID(VLOOKUP(D1314,$P$1:$Q$13,2,0), 1 + C1314,1)</f>
        <v>쐤</v>
      </c>
      <c r="G1314" s="6" t="str">
        <f aca="false">DEC2HEX(D1314+36, 2)</f>
        <v>2A</v>
      </c>
      <c r="H1314" s="6" t="str">
        <f aca="false">DEC2HEX(C1314+48,2)</f>
        <v>71</v>
      </c>
      <c r="I1314" s="6" t="str">
        <f aca="false">_xlfn.CONCAT("\x", G1314, "\x", H1314, "=", F1314)</f>
        <v>\x2A\x71=쐤</v>
      </c>
      <c r="M1314" s="8"/>
    </row>
    <row r="1315" customFormat="false" ht="12.8" hidden="false" customHeight="true" outlineLevel="0" collapsed="false">
      <c r="C1315" s="6" t="n">
        <f aca="false">MOD(ROW()-1, 208)</f>
        <v>66</v>
      </c>
      <c r="D1315" s="6" t="n">
        <f aca="false">INT((ROW()-1)/208)</f>
        <v>6</v>
      </c>
      <c r="F1315" s="6" t="str">
        <f aca="false">MID(VLOOKUP(D1315,$P$1:$Q$13,2,0), 1 + C1315,1)</f>
        <v>쐬</v>
      </c>
      <c r="G1315" s="6" t="str">
        <f aca="false">DEC2HEX(D1315+36, 2)</f>
        <v>2A</v>
      </c>
      <c r="H1315" s="6" t="str">
        <f aca="false">DEC2HEX(C1315+48,2)</f>
        <v>72</v>
      </c>
      <c r="I1315" s="6" t="str">
        <f aca="false">_xlfn.CONCAT("\x", G1315, "\x", H1315, "=", F1315)</f>
        <v>\x2A\x72=쐬</v>
      </c>
      <c r="M1315" s="8"/>
    </row>
    <row r="1316" customFormat="false" ht="12.8" hidden="false" customHeight="true" outlineLevel="0" collapsed="false">
      <c r="C1316" s="6" t="n">
        <f aca="false">MOD(ROW()-1, 208)</f>
        <v>67</v>
      </c>
      <c r="D1316" s="6" t="n">
        <f aca="false">INT((ROW()-1)/208)</f>
        <v>6</v>
      </c>
      <c r="F1316" s="6" t="str">
        <f aca="false">MID(VLOOKUP(D1316,$P$1:$Q$13,2,0), 1 + C1316,1)</f>
        <v>쐰</v>
      </c>
      <c r="G1316" s="6" t="str">
        <f aca="false">DEC2HEX(D1316+36, 2)</f>
        <v>2A</v>
      </c>
      <c r="H1316" s="6" t="str">
        <f aca="false">DEC2HEX(C1316+48,2)</f>
        <v>73</v>
      </c>
      <c r="I1316" s="6" t="str">
        <f aca="false">_xlfn.CONCAT("\x", G1316, "\x", H1316, "=", F1316)</f>
        <v>\x2A\x73=쐰</v>
      </c>
      <c r="M1316" s="8"/>
    </row>
    <row r="1317" customFormat="false" ht="12.8" hidden="false" customHeight="true" outlineLevel="0" collapsed="false">
      <c r="C1317" s="6" t="n">
        <f aca="false">MOD(ROW()-1, 208)</f>
        <v>68</v>
      </c>
      <c r="D1317" s="6" t="n">
        <f aca="false">INT((ROW()-1)/208)</f>
        <v>6</v>
      </c>
      <c r="F1317" s="6" t="str">
        <f aca="false">MID(VLOOKUP(D1317,$P$1:$Q$13,2,0), 1 + C1317,1)</f>
        <v>쐴</v>
      </c>
      <c r="G1317" s="6" t="str">
        <f aca="false">DEC2HEX(D1317+36, 2)</f>
        <v>2A</v>
      </c>
      <c r="H1317" s="6" t="str">
        <f aca="false">DEC2HEX(C1317+48,2)</f>
        <v>74</v>
      </c>
      <c r="I1317" s="6" t="str">
        <f aca="false">_xlfn.CONCAT("\x", G1317, "\x", H1317, "=", F1317)</f>
        <v>\x2A\x74=쐴</v>
      </c>
      <c r="M1317" s="8"/>
    </row>
    <row r="1318" customFormat="false" ht="12.8" hidden="false" customHeight="true" outlineLevel="0" collapsed="false">
      <c r="C1318" s="6" t="n">
        <f aca="false">MOD(ROW()-1, 208)</f>
        <v>69</v>
      </c>
      <c r="D1318" s="6" t="n">
        <f aca="false">INT((ROW()-1)/208)</f>
        <v>6</v>
      </c>
      <c r="F1318" s="6" t="str">
        <f aca="false">MID(VLOOKUP(D1318,$P$1:$Q$13,2,0), 1 + C1318,1)</f>
        <v>쐼</v>
      </c>
      <c r="G1318" s="6" t="str">
        <f aca="false">DEC2HEX(D1318+36, 2)</f>
        <v>2A</v>
      </c>
      <c r="H1318" s="6" t="str">
        <f aca="false">DEC2HEX(C1318+48,2)</f>
        <v>75</v>
      </c>
      <c r="I1318" s="6" t="str">
        <f aca="false">_xlfn.CONCAT("\x", G1318, "\x", H1318, "=", F1318)</f>
        <v>\x2A\x75=쐼</v>
      </c>
      <c r="M1318" s="8"/>
    </row>
    <row r="1319" customFormat="false" ht="12.8" hidden="false" customHeight="true" outlineLevel="0" collapsed="false">
      <c r="C1319" s="6" t="n">
        <f aca="false">MOD(ROW()-1, 208)</f>
        <v>70</v>
      </c>
      <c r="D1319" s="6" t="n">
        <f aca="false">INT((ROW()-1)/208)</f>
        <v>6</v>
      </c>
      <c r="F1319" s="6" t="str">
        <f aca="false">MID(VLOOKUP(D1319,$P$1:$Q$13,2,0), 1 + C1319,1)</f>
        <v>쐽</v>
      </c>
      <c r="G1319" s="6" t="str">
        <f aca="false">DEC2HEX(D1319+36, 2)</f>
        <v>2A</v>
      </c>
      <c r="H1319" s="6" t="str">
        <f aca="false">DEC2HEX(C1319+48,2)</f>
        <v>76</v>
      </c>
      <c r="I1319" s="6" t="str">
        <f aca="false">_xlfn.CONCAT("\x", G1319, "\x", H1319, "=", F1319)</f>
        <v>\x2A\x76=쐽</v>
      </c>
      <c r="M1319" s="8"/>
    </row>
    <row r="1320" customFormat="false" ht="12.8" hidden="false" customHeight="true" outlineLevel="0" collapsed="false">
      <c r="C1320" s="6" t="n">
        <f aca="false">MOD(ROW()-1, 208)</f>
        <v>71</v>
      </c>
      <c r="D1320" s="6" t="n">
        <f aca="false">INT((ROW()-1)/208)</f>
        <v>6</v>
      </c>
      <c r="F1320" s="6" t="str">
        <f aca="false">MID(VLOOKUP(D1320,$P$1:$Q$13,2,0), 1 + C1320,1)</f>
        <v>쑈</v>
      </c>
      <c r="G1320" s="6" t="str">
        <f aca="false">DEC2HEX(D1320+36, 2)</f>
        <v>2A</v>
      </c>
      <c r="H1320" s="6" t="str">
        <f aca="false">DEC2HEX(C1320+48,2)</f>
        <v>77</v>
      </c>
      <c r="I1320" s="6" t="str">
        <f aca="false">_xlfn.CONCAT("\x", G1320, "\x", H1320, "=", F1320)</f>
        <v>\x2A\x77=쑈</v>
      </c>
      <c r="M1320" s="8"/>
    </row>
    <row r="1321" customFormat="false" ht="12.8" hidden="false" customHeight="true" outlineLevel="0" collapsed="false">
      <c r="C1321" s="6" t="n">
        <f aca="false">MOD(ROW()-1, 208)</f>
        <v>72</v>
      </c>
      <c r="D1321" s="6" t="n">
        <f aca="false">INT((ROW()-1)/208)</f>
        <v>6</v>
      </c>
      <c r="F1321" s="6" t="str">
        <f aca="false">MID(VLOOKUP(D1321,$P$1:$Q$13,2,0), 1 + C1321,1)</f>
        <v>쑤</v>
      </c>
      <c r="G1321" s="6" t="str">
        <f aca="false">DEC2HEX(D1321+36, 2)</f>
        <v>2A</v>
      </c>
      <c r="H1321" s="6" t="str">
        <f aca="false">DEC2HEX(C1321+48,2)</f>
        <v>78</v>
      </c>
      <c r="I1321" s="6" t="str">
        <f aca="false">_xlfn.CONCAT("\x", G1321, "\x", H1321, "=", F1321)</f>
        <v>\x2A\x78=쑤</v>
      </c>
      <c r="M1321" s="8"/>
    </row>
    <row r="1322" customFormat="false" ht="12.8" hidden="false" customHeight="true" outlineLevel="0" collapsed="false">
      <c r="C1322" s="6" t="n">
        <f aca="false">MOD(ROW()-1, 208)</f>
        <v>73</v>
      </c>
      <c r="D1322" s="6" t="n">
        <f aca="false">INT((ROW()-1)/208)</f>
        <v>6</v>
      </c>
      <c r="F1322" s="6" t="str">
        <f aca="false">MID(VLOOKUP(D1322,$P$1:$Q$13,2,0), 1 + C1322,1)</f>
        <v>쑥</v>
      </c>
      <c r="G1322" s="6" t="str">
        <f aca="false">DEC2HEX(D1322+36, 2)</f>
        <v>2A</v>
      </c>
      <c r="H1322" s="6" t="str">
        <f aca="false">DEC2HEX(C1322+48,2)</f>
        <v>79</v>
      </c>
      <c r="I1322" s="6" t="str">
        <f aca="false">_xlfn.CONCAT("\x", G1322, "\x", H1322, "=", F1322)</f>
        <v>\x2A\x79=쑥</v>
      </c>
      <c r="M1322" s="8"/>
    </row>
    <row r="1323" customFormat="false" ht="12.8" hidden="false" customHeight="true" outlineLevel="0" collapsed="false">
      <c r="C1323" s="6" t="n">
        <f aca="false">MOD(ROW()-1, 208)</f>
        <v>74</v>
      </c>
      <c r="D1323" s="6" t="n">
        <f aca="false">INT((ROW()-1)/208)</f>
        <v>6</v>
      </c>
      <c r="F1323" s="6" t="str">
        <f aca="false">MID(VLOOKUP(D1323,$P$1:$Q$13,2,0), 1 + C1323,1)</f>
        <v>쑨</v>
      </c>
      <c r="G1323" s="6" t="str">
        <f aca="false">DEC2HEX(D1323+36, 2)</f>
        <v>2A</v>
      </c>
      <c r="H1323" s="6" t="str">
        <f aca="false">DEC2HEX(C1323+48,2)</f>
        <v>7A</v>
      </c>
      <c r="I1323" s="6" t="str">
        <f aca="false">_xlfn.CONCAT("\x", G1323, "\x", H1323, "=", F1323)</f>
        <v>\x2A\x7A=쑨</v>
      </c>
      <c r="M1323" s="8"/>
    </row>
    <row r="1324" customFormat="false" ht="12.8" hidden="false" customHeight="true" outlineLevel="0" collapsed="false">
      <c r="C1324" s="6" t="n">
        <f aca="false">MOD(ROW()-1, 208)</f>
        <v>75</v>
      </c>
      <c r="D1324" s="6" t="n">
        <f aca="false">INT((ROW()-1)/208)</f>
        <v>6</v>
      </c>
      <c r="F1324" s="6" t="str">
        <f aca="false">MID(VLOOKUP(D1324,$P$1:$Q$13,2,0), 1 + C1324,1)</f>
        <v>쑬</v>
      </c>
      <c r="G1324" s="6" t="str">
        <f aca="false">DEC2HEX(D1324+36, 2)</f>
        <v>2A</v>
      </c>
      <c r="H1324" s="6" t="str">
        <f aca="false">DEC2HEX(C1324+48,2)</f>
        <v>7B</v>
      </c>
      <c r="I1324" s="6" t="str">
        <f aca="false">_xlfn.CONCAT("\x", G1324, "\x", H1324, "=", F1324)</f>
        <v>\x2A\x7B=쑬</v>
      </c>
      <c r="M1324" s="8"/>
    </row>
    <row r="1325" customFormat="false" ht="12.8" hidden="false" customHeight="true" outlineLevel="0" collapsed="false">
      <c r="C1325" s="6" t="n">
        <f aca="false">MOD(ROW()-1, 208)</f>
        <v>76</v>
      </c>
      <c r="D1325" s="6" t="n">
        <f aca="false">INT((ROW()-1)/208)</f>
        <v>6</v>
      </c>
      <c r="F1325" s="6" t="str">
        <f aca="false">MID(VLOOKUP(D1325,$P$1:$Q$13,2,0), 1 + C1325,1)</f>
        <v>쑴</v>
      </c>
      <c r="G1325" s="6" t="str">
        <f aca="false">DEC2HEX(D1325+36, 2)</f>
        <v>2A</v>
      </c>
      <c r="H1325" s="6" t="str">
        <f aca="false">DEC2HEX(C1325+48,2)</f>
        <v>7C</v>
      </c>
      <c r="I1325" s="6" t="str">
        <f aca="false">_xlfn.CONCAT("\x", G1325, "\x", H1325, "=", F1325)</f>
        <v>\x2A\x7C=쑴</v>
      </c>
      <c r="M1325" s="8"/>
    </row>
    <row r="1326" customFormat="false" ht="12.8" hidden="false" customHeight="true" outlineLevel="0" collapsed="false">
      <c r="C1326" s="6" t="n">
        <f aca="false">MOD(ROW()-1, 208)</f>
        <v>77</v>
      </c>
      <c r="D1326" s="6" t="n">
        <f aca="false">INT((ROW()-1)/208)</f>
        <v>6</v>
      </c>
      <c r="F1326" s="6" t="str">
        <f aca="false">MID(VLOOKUP(D1326,$P$1:$Q$13,2,0), 1 + C1326,1)</f>
        <v>쑵</v>
      </c>
      <c r="G1326" s="6" t="str">
        <f aca="false">DEC2HEX(D1326+36, 2)</f>
        <v>2A</v>
      </c>
      <c r="H1326" s="6" t="str">
        <f aca="false">DEC2HEX(C1326+48,2)</f>
        <v>7D</v>
      </c>
      <c r="I1326" s="6" t="str">
        <f aca="false">_xlfn.CONCAT("\x", G1326, "\x", H1326, "=", F1326)</f>
        <v>\x2A\x7D=쑵</v>
      </c>
      <c r="M1326" s="8"/>
    </row>
    <row r="1327" customFormat="false" ht="12.8" hidden="false" customHeight="true" outlineLevel="0" collapsed="false">
      <c r="C1327" s="6" t="n">
        <f aca="false">MOD(ROW()-1, 208)</f>
        <v>78</v>
      </c>
      <c r="D1327" s="6" t="n">
        <f aca="false">INT((ROW()-1)/208)</f>
        <v>6</v>
      </c>
      <c r="F1327" s="6" t="str">
        <f aca="false">MID(VLOOKUP(D1327,$P$1:$Q$13,2,0), 1 + C1327,1)</f>
        <v>쑹</v>
      </c>
      <c r="G1327" s="6" t="str">
        <f aca="false">DEC2HEX(D1327+36, 2)</f>
        <v>2A</v>
      </c>
      <c r="H1327" s="6" t="str">
        <f aca="false">DEC2HEX(C1327+48,2)</f>
        <v>7E</v>
      </c>
      <c r="I1327" s="6" t="str">
        <f aca="false">_xlfn.CONCAT("\x", G1327, "\x", H1327, "=", F1327)</f>
        <v>\x2A\x7E=쑹</v>
      </c>
      <c r="M1327" s="8"/>
    </row>
    <row r="1328" customFormat="false" ht="12.8" hidden="false" customHeight="true" outlineLevel="0" collapsed="false">
      <c r="C1328" s="6" t="n">
        <f aca="false">MOD(ROW()-1, 208)</f>
        <v>79</v>
      </c>
      <c r="D1328" s="6" t="n">
        <f aca="false">INT((ROW()-1)/208)</f>
        <v>6</v>
      </c>
      <c r="F1328" s="6" t="str">
        <f aca="false">MID(VLOOKUP(D1328,$P$1:$Q$13,2,0), 1 + C1328,1)</f>
        <v>쒀</v>
      </c>
      <c r="G1328" s="6" t="str">
        <f aca="false">DEC2HEX(D1328+36, 2)</f>
        <v>2A</v>
      </c>
      <c r="H1328" s="6" t="str">
        <f aca="false">DEC2HEX(C1328+48,2)</f>
        <v>7F</v>
      </c>
      <c r="I1328" s="6" t="str">
        <f aca="false">_xlfn.CONCAT("\x", G1328, "\x", H1328, "=", F1328)</f>
        <v>\x2A\x7F=쒀</v>
      </c>
      <c r="M1328" s="8"/>
    </row>
    <row r="1329" customFormat="false" ht="12.8" hidden="false" customHeight="true" outlineLevel="0" collapsed="false">
      <c r="C1329" s="6" t="n">
        <f aca="false">MOD(ROW()-1, 208)</f>
        <v>80</v>
      </c>
      <c r="D1329" s="6" t="n">
        <f aca="false">INT((ROW()-1)/208)</f>
        <v>6</v>
      </c>
      <c r="F1329" s="6" t="str">
        <f aca="false">MID(VLOOKUP(D1329,$P$1:$Q$13,2,0), 1 + C1329,1)</f>
        <v>쒔</v>
      </c>
      <c r="G1329" s="6" t="str">
        <f aca="false">DEC2HEX(D1329+36, 2)</f>
        <v>2A</v>
      </c>
      <c r="H1329" s="6" t="str">
        <f aca="false">DEC2HEX(C1329+48,2)</f>
        <v>80</v>
      </c>
      <c r="I1329" s="6" t="str">
        <f aca="false">_xlfn.CONCAT("\x", G1329, "\x", H1329, "=", F1329)</f>
        <v>\x2A\x80=쒔</v>
      </c>
      <c r="M1329" s="8"/>
    </row>
    <row r="1330" customFormat="false" ht="12.8" hidden="false" customHeight="true" outlineLevel="0" collapsed="false">
      <c r="C1330" s="6" t="n">
        <f aca="false">MOD(ROW()-1, 208)</f>
        <v>81</v>
      </c>
      <c r="D1330" s="6" t="n">
        <f aca="false">INT((ROW()-1)/208)</f>
        <v>6</v>
      </c>
      <c r="F1330" s="6" t="str">
        <f aca="false">MID(VLOOKUP(D1330,$P$1:$Q$13,2,0), 1 + C1330,1)</f>
        <v>쒜</v>
      </c>
      <c r="G1330" s="6" t="str">
        <f aca="false">DEC2HEX(D1330+36, 2)</f>
        <v>2A</v>
      </c>
      <c r="H1330" s="6" t="str">
        <f aca="false">DEC2HEX(C1330+48,2)</f>
        <v>81</v>
      </c>
      <c r="I1330" s="6" t="str">
        <f aca="false">_xlfn.CONCAT("\x", G1330, "\x", H1330, "=", F1330)</f>
        <v>\x2A\x81=쒜</v>
      </c>
      <c r="M1330" s="8"/>
    </row>
    <row r="1331" customFormat="false" ht="12.8" hidden="false" customHeight="true" outlineLevel="0" collapsed="false">
      <c r="C1331" s="6" t="n">
        <f aca="false">MOD(ROW()-1, 208)</f>
        <v>82</v>
      </c>
      <c r="D1331" s="6" t="n">
        <f aca="false">INT((ROW()-1)/208)</f>
        <v>6</v>
      </c>
      <c r="F1331" s="6" t="str">
        <f aca="false">MID(VLOOKUP(D1331,$P$1:$Q$13,2,0), 1 + C1331,1)</f>
        <v>쒸</v>
      </c>
      <c r="G1331" s="6" t="str">
        <f aca="false">DEC2HEX(D1331+36, 2)</f>
        <v>2A</v>
      </c>
      <c r="H1331" s="6" t="str">
        <f aca="false">DEC2HEX(C1331+48,2)</f>
        <v>82</v>
      </c>
      <c r="I1331" s="6" t="str">
        <f aca="false">_xlfn.CONCAT("\x", G1331, "\x", H1331, "=", F1331)</f>
        <v>\x2A\x82=쒸</v>
      </c>
      <c r="M1331" s="8"/>
    </row>
    <row r="1332" customFormat="false" ht="12.8" hidden="false" customHeight="true" outlineLevel="0" collapsed="false">
      <c r="C1332" s="6" t="n">
        <f aca="false">MOD(ROW()-1, 208)</f>
        <v>83</v>
      </c>
      <c r="D1332" s="6" t="n">
        <f aca="false">INT((ROW()-1)/208)</f>
        <v>6</v>
      </c>
      <c r="F1332" s="6" t="str">
        <f aca="false">MID(VLOOKUP(D1332,$P$1:$Q$13,2,0), 1 + C1332,1)</f>
        <v>쒼</v>
      </c>
      <c r="G1332" s="6" t="str">
        <f aca="false">DEC2HEX(D1332+36, 2)</f>
        <v>2A</v>
      </c>
      <c r="H1332" s="6" t="str">
        <f aca="false">DEC2HEX(C1332+48,2)</f>
        <v>83</v>
      </c>
      <c r="I1332" s="6" t="str">
        <f aca="false">_xlfn.CONCAT("\x", G1332, "\x", H1332, "=", F1332)</f>
        <v>\x2A\x83=쒼</v>
      </c>
      <c r="M1332" s="8"/>
    </row>
    <row r="1333" customFormat="false" ht="12.8" hidden="false" customHeight="true" outlineLevel="0" collapsed="false">
      <c r="C1333" s="6" t="n">
        <f aca="false">MOD(ROW()-1, 208)</f>
        <v>84</v>
      </c>
      <c r="D1333" s="6" t="n">
        <f aca="false">INT((ROW()-1)/208)</f>
        <v>6</v>
      </c>
      <c r="F1333" s="6" t="str">
        <f aca="false">MID(VLOOKUP(D1333,$P$1:$Q$13,2,0), 1 + C1333,1)</f>
        <v>쓩</v>
      </c>
      <c r="G1333" s="6" t="str">
        <f aca="false">DEC2HEX(D1333+36, 2)</f>
        <v>2A</v>
      </c>
      <c r="H1333" s="6" t="str">
        <f aca="false">DEC2HEX(C1333+48,2)</f>
        <v>84</v>
      </c>
      <c r="I1333" s="6" t="str">
        <f aca="false">_xlfn.CONCAT("\x", G1333, "\x", H1333, "=", F1333)</f>
        <v>\x2A\x84=쓩</v>
      </c>
      <c r="M1333" s="8"/>
    </row>
    <row r="1334" customFormat="false" ht="12.8" hidden="false" customHeight="true" outlineLevel="0" collapsed="false">
      <c r="C1334" s="6" t="n">
        <f aca="false">MOD(ROW()-1, 208)</f>
        <v>85</v>
      </c>
      <c r="D1334" s="6" t="n">
        <f aca="false">INT((ROW()-1)/208)</f>
        <v>6</v>
      </c>
      <c r="F1334" s="6" t="str">
        <f aca="false">MID(VLOOKUP(D1334,$P$1:$Q$13,2,0), 1 + C1334,1)</f>
        <v>쓰</v>
      </c>
      <c r="G1334" s="6" t="str">
        <f aca="false">DEC2HEX(D1334+36, 2)</f>
        <v>2A</v>
      </c>
      <c r="H1334" s="6" t="str">
        <f aca="false">DEC2HEX(C1334+48,2)</f>
        <v>85</v>
      </c>
      <c r="I1334" s="6" t="str">
        <f aca="false">_xlfn.CONCAT("\x", G1334, "\x", H1334, "=", F1334)</f>
        <v>\x2A\x85=쓰</v>
      </c>
      <c r="M1334" s="8"/>
    </row>
    <row r="1335" customFormat="false" ht="12.8" hidden="false" customHeight="true" outlineLevel="0" collapsed="false">
      <c r="C1335" s="6" t="n">
        <f aca="false">MOD(ROW()-1, 208)</f>
        <v>86</v>
      </c>
      <c r="D1335" s="6" t="n">
        <f aca="false">INT((ROW()-1)/208)</f>
        <v>6</v>
      </c>
      <c r="F1335" s="6" t="str">
        <f aca="false">MID(VLOOKUP(D1335,$P$1:$Q$13,2,0), 1 + C1335,1)</f>
        <v>쓱</v>
      </c>
      <c r="G1335" s="6" t="str">
        <f aca="false">DEC2HEX(D1335+36, 2)</f>
        <v>2A</v>
      </c>
      <c r="H1335" s="6" t="str">
        <f aca="false">DEC2HEX(C1335+48,2)</f>
        <v>86</v>
      </c>
      <c r="I1335" s="6" t="str">
        <f aca="false">_xlfn.CONCAT("\x", G1335, "\x", H1335, "=", F1335)</f>
        <v>\x2A\x86=쓱</v>
      </c>
      <c r="M1335" s="8"/>
    </row>
    <row r="1336" customFormat="false" ht="12.8" hidden="false" customHeight="true" outlineLevel="0" collapsed="false">
      <c r="C1336" s="6" t="n">
        <f aca="false">MOD(ROW()-1, 208)</f>
        <v>87</v>
      </c>
      <c r="D1336" s="6" t="n">
        <f aca="false">INT((ROW()-1)/208)</f>
        <v>6</v>
      </c>
      <c r="F1336" s="6" t="str">
        <f aca="false">MID(VLOOKUP(D1336,$P$1:$Q$13,2,0), 1 + C1336,1)</f>
        <v>쓴</v>
      </c>
      <c r="G1336" s="6" t="str">
        <f aca="false">DEC2HEX(D1336+36, 2)</f>
        <v>2A</v>
      </c>
      <c r="H1336" s="6" t="str">
        <f aca="false">DEC2HEX(C1336+48,2)</f>
        <v>87</v>
      </c>
      <c r="I1336" s="6" t="str">
        <f aca="false">_xlfn.CONCAT("\x", G1336, "\x", H1336, "=", F1336)</f>
        <v>\x2A\x87=쓴</v>
      </c>
      <c r="M1336" s="8"/>
    </row>
    <row r="1337" customFormat="false" ht="12.8" hidden="false" customHeight="true" outlineLevel="0" collapsed="false">
      <c r="C1337" s="6" t="n">
        <f aca="false">MOD(ROW()-1, 208)</f>
        <v>88</v>
      </c>
      <c r="D1337" s="6" t="n">
        <f aca="false">INT((ROW()-1)/208)</f>
        <v>6</v>
      </c>
      <c r="F1337" s="6" t="str">
        <f aca="false">MID(VLOOKUP(D1337,$P$1:$Q$13,2,0), 1 + C1337,1)</f>
        <v>쓸</v>
      </c>
      <c r="G1337" s="6" t="str">
        <f aca="false">DEC2HEX(D1337+36, 2)</f>
        <v>2A</v>
      </c>
      <c r="H1337" s="6" t="str">
        <f aca="false">DEC2HEX(C1337+48,2)</f>
        <v>88</v>
      </c>
      <c r="I1337" s="6" t="str">
        <f aca="false">_xlfn.CONCAT("\x", G1337, "\x", H1337, "=", F1337)</f>
        <v>\x2A\x88=쓸</v>
      </c>
      <c r="M1337" s="8"/>
    </row>
    <row r="1338" customFormat="false" ht="12.8" hidden="false" customHeight="true" outlineLevel="0" collapsed="false">
      <c r="C1338" s="6" t="n">
        <f aca="false">MOD(ROW()-1, 208)</f>
        <v>89</v>
      </c>
      <c r="D1338" s="6" t="n">
        <f aca="false">INT((ROW()-1)/208)</f>
        <v>6</v>
      </c>
      <c r="F1338" s="6" t="str">
        <f aca="false">MID(VLOOKUP(D1338,$P$1:$Q$13,2,0), 1 + C1338,1)</f>
        <v>쓺</v>
      </c>
      <c r="G1338" s="6" t="str">
        <f aca="false">DEC2HEX(D1338+36, 2)</f>
        <v>2A</v>
      </c>
      <c r="H1338" s="6" t="str">
        <f aca="false">DEC2HEX(C1338+48,2)</f>
        <v>89</v>
      </c>
      <c r="I1338" s="6" t="str">
        <f aca="false">_xlfn.CONCAT("\x", G1338, "\x", H1338, "=", F1338)</f>
        <v>\x2A\x89=쓺</v>
      </c>
      <c r="M1338" s="8"/>
    </row>
    <row r="1339" customFormat="false" ht="12.8" hidden="false" customHeight="true" outlineLevel="0" collapsed="false">
      <c r="C1339" s="6" t="n">
        <f aca="false">MOD(ROW()-1, 208)</f>
        <v>90</v>
      </c>
      <c r="D1339" s="6" t="n">
        <f aca="false">INT((ROW()-1)/208)</f>
        <v>6</v>
      </c>
      <c r="F1339" s="6" t="str">
        <f aca="false">MID(VLOOKUP(D1339,$P$1:$Q$13,2,0), 1 + C1339,1)</f>
        <v>쓿</v>
      </c>
      <c r="G1339" s="6" t="str">
        <f aca="false">DEC2HEX(D1339+36, 2)</f>
        <v>2A</v>
      </c>
      <c r="H1339" s="6" t="str">
        <f aca="false">DEC2HEX(C1339+48,2)</f>
        <v>8A</v>
      </c>
      <c r="I1339" s="6" t="str">
        <f aca="false">_xlfn.CONCAT("\x", G1339, "\x", H1339, "=", F1339)</f>
        <v>\x2A\x8A=쓿</v>
      </c>
      <c r="M1339" s="8"/>
    </row>
    <row r="1340" customFormat="false" ht="12.8" hidden="false" customHeight="true" outlineLevel="0" collapsed="false">
      <c r="C1340" s="6" t="n">
        <f aca="false">MOD(ROW()-1, 208)</f>
        <v>91</v>
      </c>
      <c r="D1340" s="6" t="n">
        <f aca="false">INT((ROW()-1)/208)</f>
        <v>6</v>
      </c>
      <c r="F1340" s="6" t="str">
        <f aca="false">MID(VLOOKUP(D1340,$P$1:$Q$13,2,0), 1 + C1340,1)</f>
        <v>씀</v>
      </c>
      <c r="G1340" s="6" t="str">
        <f aca="false">DEC2HEX(D1340+36, 2)</f>
        <v>2A</v>
      </c>
      <c r="H1340" s="6" t="str">
        <f aca="false">DEC2HEX(C1340+48,2)</f>
        <v>8B</v>
      </c>
      <c r="I1340" s="6" t="str">
        <f aca="false">_xlfn.CONCAT("\x", G1340, "\x", H1340, "=", F1340)</f>
        <v>\x2A\x8B=씀</v>
      </c>
      <c r="M1340" s="8"/>
    </row>
    <row r="1341" customFormat="false" ht="12.8" hidden="false" customHeight="true" outlineLevel="0" collapsed="false">
      <c r="C1341" s="6" t="n">
        <f aca="false">MOD(ROW()-1, 208)</f>
        <v>92</v>
      </c>
      <c r="D1341" s="6" t="n">
        <f aca="false">INT((ROW()-1)/208)</f>
        <v>6</v>
      </c>
      <c r="F1341" s="6" t="str">
        <f aca="false">MID(VLOOKUP(D1341,$P$1:$Q$13,2,0), 1 + C1341,1)</f>
        <v>씁</v>
      </c>
      <c r="G1341" s="6" t="str">
        <f aca="false">DEC2HEX(D1341+36, 2)</f>
        <v>2A</v>
      </c>
      <c r="H1341" s="6" t="str">
        <f aca="false">DEC2HEX(C1341+48,2)</f>
        <v>8C</v>
      </c>
      <c r="I1341" s="6" t="str">
        <f aca="false">_xlfn.CONCAT("\x", G1341, "\x", H1341, "=", F1341)</f>
        <v>\x2A\x8C=씁</v>
      </c>
      <c r="M1341" s="8"/>
    </row>
    <row r="1342" customFormat="false" ht="12.8" hidden="false" customHeight="true" outlineLevel="0" collapsed="false">
      <c r="C1342" s="6" t="n">
        <f aca="false">MOD(ROW()-1, 208)</f>
        <v>93</v>
      </c>
      <c r="D1342" s="6" t="n">
        <f aca="false">INT((ROW()-1)/208)</f>
        <v>6</v>
      </c>
      <c r="F1342" s="6" t="str">
        <f aca="false">MID(VLOOKUP(D1342,$P$1:$Q$13,2,0), 1 + C1342,1)</f>
        <v>씌</v>
      </c>
      <c r="G1342" s="6" t="str">
        <f aca="false">DEC2HEX(D1342+36, 2)</f>
        <v>2A</v>
      </c>
      <c r="H1342" s="6" t="str">
        <f aca="false">DEC2HEX(C1342+48,2)</f>
        <v>8D</v>
      </c>
      <c r="I1342" s="6" t="str">
        <f aca="false">_xlfn.CONCAT("\x", G1342, "\x", H1342, "=", F1342)</f>
        <v>\x2A\x8D=씌</v>
      </c>
      <c r="M1342" s="8"/>
    </row>
    <row r="1343" customFormat="false" ht="12.8" hidden="false" customHeight="true" outlineLevel="0" collapsed="false">
      <c r="C1343" s="6" t="n">
        <f aca="false">MOD(ROW()-1, 208)</f>
        <v>94</v>
      </c>
      <c r="D1343" s="6" t="n">
        <f aca="false">INT((ROW()-1)/208)</f>
        <v>6</v>
      </c>
      <c r="F1343" s="6" t="str">
        <f aca="false">MID(VLOOKUP(D1343,$P$1:$Q$13,2,0), 1 + C1343,1)</f>
        <v>씐</v>
      </c>
      <c r="G1343" s="6" t="str">
        <f aca="false">DEC2HEX(D1343+36, 2)</f>
        <v>2A</v>
      </c>
      <c r="H1343" s="6" t="str">
        <f aca="false">DEC2HEX(C1343+48,2)</f>
        <v>8E</v>
      </c>
      <c r="I1343" s="6" t="str">
        <f aca="false">_xlfn.CONCAT("\x", G1343, "\x", H1343, "=", F1343)</f>
        <v>\x2A\x8E=씐</v>
      </c>
      <c r="M1343" s="8"/>
    </row>
    <row r="1344" customFormat="false" ht="12.8" hidden="false" customHeight="true" outlineLevel="0" collapsed="false">
      <c r="C1344" s="6" t="n">
        <f aca="false">MOD(ROW()-1, 208)</f>
        <v>95</v>
      </c>
      <c r="D1344" s="6" t="n">
        <f aca="false">INT((ROW()-1)/208)</f>
        <v>6</v>
      </c>
      <c r="F1344" s="6" t="str">
        <f aca="false">MID(VLOOKUP(D1344,$P$1:$Q$13,2,0), 1 + C1344,1)</f>
        <v>씔</v>
      </c>
      <c r="G1344" s="6" t="str">
        <f aca="false">DEC2HEX(D1344+36, 2)</f>
        <v>2A</v>
      </c>
      <c r="H1344" s="6" t="str">
        <f aca="false">DEC2HEX(C1344+48,2)</f>
        <v>8F</v>
      </c>
      <c r="I1344" s="6" t="str">
        <f aca="false">_xlfn.CONCAT("\x", G1344, "\x", H1344, "=", F1344)</f>
        <v>\x2A\x8F=씔</v>
      </c>
      <c r="M1344" s="8"/>
    </row>
    <row r="1345" customFormat="false" ht="12.8" hidden="false" customHeight="true" outlineLevel="0" collapsed="false">
      <c r="C1345" s="6" t="n">
        <f aca="false">MOD(ROW()-1, 208)</f>
        <v>96</v>
      </c>
      <c r="D1345" s="6" t="n">
        <f aca="false">INT((ROW()-1)/208)</f>
        <v>6</v>
      </c>
      <c r="F1345" s="6" t="str">
        <f aca="false">MID(VLOOKUP(D1345,$P$1:$Q$13,2,0), 1 + C1345,1)</f>
        <v>씜</v>
      </c>
      <c r="G1345" s="6" t="str">
        <f aca="false">DEC2HEX(D1345+36, 2)</f>
        <v>2A</v>
      </c>
      <c r="H1345" s="6" t="str">
        <f aca="false">DEC2HEX(C1345+48,2)</f>
        <v>90</v>
      </c>
      <c r="I1345" s="6" t="str">
        <f aca="false">_xlfn.CONCAT("\x", G1345, "\x", H1345, "=", F1345)</f>
        <v>\x2A\x90=씜</v>
      </c>
      <c r="M1345" s="8"/>
    </row>
    <row r="1346" customFormat="false" ht="12.8" hidden="false" customHeight="true" outlineLevel="0" collapsed="false">
      <c r="C1346" s="6" t="n">
        <f aca="false">MOD(ROW()-1, 208)</f>
        <v>97</v>
      </c>
      <c r="D1346" s="6" t="n">
        <f aca="false">INT((ROW()-1)/208)</f>
        <v>6</v>
      </c>
      <c r="F1346" s="6" t="str">
        <f aca="false">MID(VLOOKUP(D1346,$P$1:$Q$13,2,0), 1 + C1346,1)</f>
        <v>씨</v>
      </c>
      <c r="G1346" s="6" t="str">
        <f aca="false">DEC2HEX(D1346+36, 2)</f>
        <v>2A</v>
      </c>
      <c r="H1346" s="6" t="str">
        <f aca="false">DEC2HEX(C1346+48,2)</f>
        <v>91</v>
      </c>
      <c r="I1346" s="6" t="str">
        <f aca="false">_xlfn.CONCAT("\x", G1346, "\x", H1346, "=", F1346)</f>
        <v>\x2A\x91=씨</v>
      </c>
      <c r="M1346" s="8"/>
    </row>
    <row r="1347" customFormat="false" ht="12.8" hidden="false" customHeight="true" outlineLevel="0" collapsed="false">
      <c r="C1347" s="6" t="n">
        <f aca="false">MOD(ROW()-1, 208)</f>
        <v>98</v>
      </c>
      <c r="D1347" s="6" t="n">
        <f aca="false">INT((ROW()-1)/208)</f>
        <v>6</v>
      </c>
      <c r="F1347" s="6" t="str">
        <f aca="false">MID(VLOOKUP(D1347,$P$1:$Q$13,2,0), 1 + C1347,1)</f>
        <v>씩</v>
      </c>
      <c r="G1347" s="6" t="str">
        <f aca="false">DEC2HEX(D1347+36, 2)</f>
        <v>2A</v>
      </c>
      <c r="H1347" s="6" t="str">
        <f aca="false">DEC2HEX(C1347+48,2)</f>
        <v>92</v>
      </c>
      <c r="I1347" s="6" t="str">
        <f aca="false">_xlfn.CONCAT("\x", G1347, "\x", H1347, "=", F1347)</f>
        <v>\x2A\x92=씩</v>
      </c>
      <c r="M1347" s="8"/>
    </row>
    <row r="1348" customFormat="false" ht="12.8" hidden="false" customHeight="true" outlineLevel="0" collapsed="false">
      <c r="C1348" s="6" t="n">
        <f aca="false">MOD(ROW()-1, 208)</f>
        <v>99</v>
      </c>
      <c r="D1348" s="6" t="n">
        <f aca="false">INT((ROW()-1)/208)</f>
        <v>6</v>
      </c>
      <c r="F1348" s="6" t="str">
        <f aca="false">MID(VLOOKUP(D1348,$P$1:$Q$13,2,0), 1 + C1348,1)</f>
        <v>씬</v>
      </c>
      <c r="G1348" s="6" t="str">
        <f aca="false">DEC2HEX(D1348+36, 2)</f>
        <v>2A</v>
      </c>
      <c r="H1348" s="6" t="str">
        <f aca="false">DEC2HEX(C1348+48,2)</f>
        <v>93</v>
      </c>
      <c r="I1348" s="6" t="str">
        <f aca="false">_xlfn.CONCAT("\x", G1348, "\x", H1348, "=", F1348)</f>
        <v>\x2A\x93=씬</v>
      </c>
      <c r="M1348" s="8"/>
    </row>
    <row r="1349" customFormat="false" ht="12.8" hidden="false" customHeight="true" outlineLevel="0" collapsed="false">
      <c r="C1349" s="6" t="n">
        <f aca="false">MOD(ROW()-1, 208)</f>
        <v>100</v>
      </c>
      <c r="D1349" s="6" t="n">
        <f aca="false">INT((ROW()-1)/208)</f>
        <v>6</v>
      </c>
      <c r="F1349" s="6" t="str">
        <f aca="false">MID(VLOOKUP(D1349,$P$1:$Q$13,2,0), 1 + C1349,1)</f>
        <v>씰</v>
      </c>
      <c r="G1349" s="6" t="str">
        <f aca="false">DEC2HEX(D1349+36, 2)</f>
        <v>2A</v>
      </c>
      <c r="H1349" s="6" t="str">
        <f aca="false">DEC2HEX(C1349+48,2)</f>
        <v>94</v>
      </c>
      <c r="I1349" s="6" t="str">
        <f aca="false">_xlfn.CONCAT("\x", G1349, "\x", H1349, "=", F1349)</f>
        <v>\x2A\x94=씰</v>
      </c>
      <c r="M1349" s="8"/>
    </row>
    <row r="1350" customFormat="false" ht="12.8" hidden="false" customHeight="true" outlineLevel="0" collapsed="false">
      <c r="C1350" s="6" t="n">
        <f aca="false">MOD(ROW()-1, 208)</f>
        <v>101</v>
      </c>
      <c r="D1350" s="6" t="n">
        <f aca="false">INT((ROW()-1)/208)</f>
        <v>6</v>
      </c>
      <c r="F1350" s="6" t="str">
        <f aca="false">MID(VLOOKUP(D1350,$P$1:$Q$13,2,0), 1 + C1350,1)</f>
        <v>씸</v>
      </c>
      <c r="G1350" s="6" t="str">
        <f aca="false">DEC2HEX(D1350+36, 2)</f>
        <v>2A</v>
      </c>
      <c r="H1350" s="6" t="str">
        <f aca="false">DEC2HEX(C1350+48,2)</f>
        <v>95</v>
      </c>
      <c r="I1350" s="6" t="str">
        <f aca="false">_xlfn.CONCAT("\x", G1350, "\x", H1350, "=", F1350)</f>
        <v>\x2A\x95=씸</v>
      </c>
      <c r="M1350" s="8"/>
    </row>
    <row r="1351" customFormat="false" ht="12.8" hidden="false" customHeight="true" outlineLevel="0" collapsed="false">
      <c r="C1351" s="6" t="n">
        <f aca="false">MOD(ROW()-1, 208)</f>
        <v>102</v>
      </c>
      <c r="D1351" s="6" t="n">
        <f aca="false">INT((ROW()-1)/208)</f>
        <v>6</v>
      </c>
      <c r="F1351" s="6" t="str">
        <f aca="false">MID(VLOOKUP(D1351,$P$1:$Q$13,2,0), 1 + C1351,1)</f>
        <v>씹</v>
      </c>
      <c r="G1351" s="6" t="str">
        <f aca="false">DEC2HEX(D1351+36, 2)</f>
        <v>2A</v>
      </c>
      <c r="H1351" s="6" t="str">
        <f aca="false">DEC2HEX(C1351+48,2)</f>
        <v>96</v>
      </c>
      <c r="I1351" s="6" t="str">
        <f aca="false">_xlfn.CONCAT("\x", G1351, "\x", H1351, "=", F1351)</f>
        <v>\x2A\x96=씹</v>
      </c>
      <c r="M1351" s="8"/>
    </row>
    <row r="1352" customFormat="false" ht="12.8" hidden="false" customHeight="true" outlineLevel="0" collapsed="false">
      <c r="C1352" s="6" t="n">
        <f aca="false">MOD(ROW()-1, 208)</f>
        <v>103</v>
      </c>
      <c r="D1352" s="6" t="n">
        <f aca="false">INT((ROW()-1)/208)</f>
        <v>6</v>
      </c>
      <c r="F1352" s="6" t="str">
        <f aca="false">MID(VLOOKUP(D1352,$P$1:$Q$13,2,0), 1 + C1352,1)</f>
        <v>씻</v>
      </c>
      <c r="G1352" s="6" t="str">
        <f aca="false">DEC2HEX(D1352+36, 2)</f>
        <v>2A</v>
      </c>
      <c r="H1352" s="6" t="str">
        <f aca="false">DEC2HEX(C1352+48,2)</f>
        <v>97</v>
      </c>
      <c r="I1352" s="6" t="str">
        <f aca="false">_xlfn.CONCAT("\x", G1352, "\x", H1352, "=", F1352)</f>
        <v>\x2A\x97=씻</v>
      </c>
      <c r="M1352" s="8"/>
    </row>
    <row r="1353" customFormat="false" ht="12.8" hidden="false" customHeight="true" outlineLevel="0" collapsed="false">
      <c r="C1353" s="6" t="n">
        <f aca="false">MOD(ROW()-1, 208)</f>
        <v>104</v>
      </c>
      <c r="D1353" s="6" t="n">
        <f aca="false">INT((ROW()-1)/208)</f>
        <v>6</v>
      </c>
      <c r="F1353" s="6" t="str">
        <f aca="false">MID(VLOOKUP(D1353,$P$1:$Q$13,2,0), 1 + C1353,1)</f>
        <v>씽</v>
      </c>
      <c r="G1353" s="6" t="str">
        <f aca="false">DEC2HEX(D1353+36, 2)</f>
        <v>2A</v>
      </c>
      <c r="H1353" s="6" t="str">
        <f aca="false">DEC2HEX(C1353+48,2)</f>
        <v>98</v>
      </c>
      <c r="I1353" s="6" t="str">
        <f aca="false">_xlfn.CONCAT("\x", G1353, "\x", H1353, "=", F1353)</f>
        <v>\x2A\x98=씽</v>
      </c>
      <c r="M1353" s="8"/>
    </row>
    <row r="1354" customFormat="false" ht="12.8" hidden="false" customHeight="true" outlineLevel="0" collapsed="false">
      <c r="C1354" s="6" t="n">
        <f aca="false">MOD(ROW()-1, 208)</f>
        <v>105</v>
      </c>
      <c r="D1354" s="6" t="n">
        <f aca="false">INT((ROW()-1)/208)</f>
        <v>6</v>
      </c>
      <c r="F1354" s="6" t="str">
        <f aca="false">MID(VLOOKUP(D1354,$P$1:$Q$13,2,0), 1 + C1354,1)</f>
        <v>아</v>
      </c>
      <c r="G1354" s="6" t="str">
        <f aca="false">DEC2HEX(D1354+36, 2)</f>
        <v>2A</v>
      </c>
      <c r="H1354" s="6" t="str">
        <f aca="false">DEC2HEX(C1354+48,2)</f>
        <v>99</v>
      </c>
      <c r="I1354" s="6" t="str">
        <f aca="false">_xlfn.CONCAT("\x", G1354, "\x", H1354, "=", F1354)</f>
        <v>\x2A\x99=아</v>
      </c>
      <c r="M1354" s="8"/>
    </row>
    <row r="1355" customFormat="false" ht="12.8" hidden="false" customHeight="true" outlineLevel="0" collapsed="false">
      <c r="C1355" s="6" t="n">
        <f aca="false">MOD(ROW()-1, 208)</f>
        <v>106</v>
      </c>
      <c r="D1355" s="6" t="n">
        <f aca="false">INT((ROW()-1)/208)</f>
        <v>6</v>
      </c>
      <c r="F1355" s="6" t="str">
        <f aca="false">MID(VLOOKUP(D1355,$P$1:$Q$13,2,0), 1 + C1355,1)</f>
        <v>악</v>
      </c>
      <c r="G1355" s="6" t="str">
        <f aca="false">DEC2HEX(D1355+36, 2)</f>
        <v>2A</v>
      </c>
      <c r="H1355" s="6" t="str">
        <f aca="false">DEC2HEX(C1355+48,2)</f>
        <v>9A</v>
      </c>
      <c r="I1355" s="6" t="str">
        <f aca="false">_xlfn.CONCAT("\x", G1355, "\x", H1355, "=", F1355)</f>
        <v>\x2A\x9A=악</v>
      </c>
      <c r="M1355" s="8"/>
    </row>
    <row r="1356" customFormat="false" ht="12.8" hidden="false" customHeight="true" outlineLevel="0" collapsed="false">
      <c r="C1356" s="6" t="n">
        <f aca="false">MOD(ROW()-1, 208)</f>
        <v>107</v>
      </c>
      <c r="D1356" s="6" t="n">
        <f aca="false">INT((ROW()-1)/208)</f>
        <v>6</v>
      </c>
      <c r="F1356" s="6" t="str">
        <f aca="false">MID(VLOOKUP(D1356,$P$1:$Q$13,2,0), 1 + C1356,1)</f>
        <v>안</v>
      </c>
      <c r="G1356" s="6" t="str">
        <f aca="false">DEC2HEX(D1356+36, 2)</f>
        <v>2A</v>
      </c>
      <c r="H1356" s="6" t="str">
        <f aca="false">DEC2HEX(C1356+48,2)</f>
        <v>9B</v>
      </c>
      <c r="I1356" s="6" t="str">
        <f aca="false">_xlfn.CONCAT("\x", G1356, "\x", H1356, "=", F1356)</f>
        <v>\x2A\x9B=안</v>
      </c>
      <c r="M1356" s="8"/>
    </row>
    <row r="1357" customFormat="false" ht="12.8" hidden="false" customHeight="true" outlineLevel="0" collapsed="false">
      <c r="C1357" s="6" t="n">
        <f aca="false">MOD(ROW()-1, 208)</f>
        <v>108</v>
      </c>
      <c r="D1357" s="6" t="n">
        <f aca="false">INT((ROW()-1)/208)</f>
        <v>6</v>
      </c>
      <c r="F1357" s="6" t="str">
        <f aca="false">MID(VLOOKUP(D1357,$P$1:$Q$13,2,0), 1 + C1357,1)</f>
        <v>앉</v>
      </c>
      <c r="G1357" s="6" t="str">
        <f aca="false">DEC2HEX(D1357+36, 2)</f>
        <v>2A</v>
      </c>
      <c r="H1357" s="6" t="str">
        <f aca="false">DEC2HEX(C1357+48,2)</f>
        <v>9C</v>
      </c>
      <c r="I1357" s="6" t="str">
        <f aca="false">_xlfn.CONCAT("\x", G1357, "\x", H1357, "=", F1357)</f>
        <v>\x2A\x9C=앉</v>
      </c>
      <c r="M1357" s="8"/>
    </row>
    <row r="1358" customFormat="false" ht="12.8" hidden="false" customHeight="true" outlineLevel="0" collapsed="false">
      <c r="C1358" s="6" t="n">
        <f aca="false">MOD(ROW()-1, 208)</f>
        <v>109</v>
      </c>
      <c r="D1358" s="6" t="n">
        <f aca="false">INT((ROW()-1)/208)</f>
        <v>6</v>
      </c>
      <c r="F1358" s="6" t="str">
        <f aca="false">MID(VLOOKUP(D1358,$P$1:$Q$13,2,0), 1 + C1358,1)</f>
        <v>않</v>
      </c>
      <c r="G1358" s="6" t="str">
        <f aca="false">DEC2HEX(D1358+36, 2)</f>
        <v>2A</v>
      </c>
      <c r="H1358" s="6" t="str">
        <f aca="false">DEC2HEX(C1358+48,2)</f>
        <v>9D</v>
      </c>
      <c r="I1358" s="6" t="str">
        <f aca="false">_xlfn.CONCAT("\x", G1358, "\x", H1358, "=", F1358)</f>
        <v>\x2A\x9D=않</v>
      </c>
      <c r="M1358" s="8"/>
    </row>
    <row r="1359" customFormat="false" ht="12.8" hidden="false" customHeight="true" outlineLevel="0" collapsed="false">
      <c r="C1359" s="6" t="n">
        <f aca="false">MOD(ROW()-1, 208)</f>
        <v>110</v>
      </c>
      <c r="D1359" s="6" t="n">
        <f aca="false">INT((ROW()-1)/208)</f>
        <v>6</v>
      </c>
      <c r="F1359" s="6" t="str">
        <f aca="false">MID(VLOOKUP(D1359,$P$1:$Q$13,2,0), 1 + C1359,1)</f>
        <v>알</v>
      </c>
      <c r="G1359" s="6" t="str">
        <f aca="false">DEC2HEX(D1359+36, 2)</f>
        <v>2A</v>
      </c>
      <c r="H1359" s="6" t="str">
        <f aca="false">DEC2HEX(C1359+48,2)</f>
        <v>9E</v>
      </c>
      <c r="I1359" s="6" t="str">
        <f aca="false">_xlfn.CONCAT("\x", G1359, "\x", H1359, "=", F1359)</f>
        <v>\x2A\x9E=알</v>
      </c>
      <c r="M1359" s="8"/>
    </row>
    <row r="1360" customFormat="false" ht="12.8" hidden="false" customHeight="true" outlineLevel="0" collapsed="false">
      <c r="C1360" s="6" t="n">
        <f aca="false">MOD(ROW()-1, 208)</f>
        <v>111</v>
      </c>
      <c r="D1360" s="6" t="n">
        <f aca="false">INT((ROW()-1)/208)</f>
        <v>6</v>
      </c>
      <c r="F1360" s="6" t="str">
        <f aca="false">MID(VLOOKUP(D1360,$P$1:$Q$13,2,0), 1 + C1360,1)</f>
        <v>앍</v>
      </c>
      <c r="G1360" s="6" t="str">
        <f aca="false">DEC2HEX(D1360+36, 2)</f>
        <v>2A</v>
      </c>
      <c r="H1360" s="6" t="str">
        <f aca="false">DEC2HEX(C1360+48,2)</f>
        <v>9F</v>
      </c>
      <c r="I1360" s="6" t="str">
        <f aca="false">_xlfn.CONCAT("\x", G1360, "\x", H1360, "=", F1360)</f>
        <v>\x2A\x9F=앍</v>
      </c>
      <c r="M1360" s="8"/>
    </row>
    <row r="1361" customFormat="false" ht="12.8" hidden="false" customHeight="true" outlineLevel="0" collapsed="false">
      <c r="C1361" s="6" t="n">
        <f aca="false">MOD(ROW()-1, 208)</f>
        <v>112</v>
      </c>
      <c r="D1361" s="6" t="n">
        <f aca="false">INT((ROW()-1)/208)</f>
        <v>6</v>
      </c>
      <c r="F1361" s="6" t="str">
        <f aca="false">MID(VLOOKUP(D1361,$P$1:$Q$13,2,0), 1 + C1361,1)</f>
        <v>앎</v>
      </c>
      <c r="G1361" s="6" t="str">
        <f aca="false">DEC2HEX(D1361+36, 2)</f>
        <v>2A</v>
      </c>
      <c r="H1361" s="6" t="str">
        <f aca="false">DEC2HEX(C1361+48,2)</f>
        <v>A0</v>
      </c>
      <c r="I1361" s="6" t="str">
        <f aca="false">_xlfn.CONCAT("\x", G1361, "\x", H1361, "=", F1361)</f>
        <v>\x2A\xA0=앎</v>
      </c>
      <c r="M1361" s="8"/>
    </row>
    <row r="1362" customFormat="false" ht="12.8" hidden="false" customHeight="true" outlineLevel="0" collapsed="false">
      <c r="C1362" s="6" t="n">
        <f aca="false">MOD(ROW()-1, 208)</f>
        <v>113</v>
      </c>
      <c r="D1362" s="6" t="n">
        <f aca="false">INT((ROW()-1)/208)</f>
        <v>6</v>
      </c>
      <c r="F1362" s="6" t="str">
        <f aca="false">MID(VLOOKUP(D1362,$P$1:$Q$13,2,0), 1 + C1362,1)</f>
        <v>앓</v>
      </c>
      <c r="G1362" s="6" t="str">
        <f aca="false">DEC2HEX(D1362+36, 2)</f>
        <v>2A</v>
      </c>
      <c r="H1362" s="6" t="str">
        <f aca="false">DEC2HEX(C1362+48,2)</f>
        <v>A1</v>
      </c>
      <c r="I1362" s="6" t="str">
        <f aca="false">_xlfn.CONCAT("\x", G1362, "\x", H1362, "=", F1362)</f>
        <v>\x2A\xA1=앓</v>
      </c>
      <c r="M1362" s="8"/>
    </row>
    <row r="1363" customFormat="false" ht="12.8" hidden="false" customHeight="true" outlineLevel="0" collapsed="false">
      <c r="C1363" s="6" t="n">
        <f aca="false">MOD(ROW()-1, 208)</f>
        <v>114</v>
      </c>
      <c r="D1363" s="6" t="n">
        <f aca="false">INT((ROW()-1)/208)</f>
        <v>6</v>
      </c>
      <c r="F1363" s="6" t="str">
        <f aca="false">MID(VLOOKUP(D1363,$P$1:$Q$13,2,0), 1 + C1363,1)</f>
        <v>암</v>
      </c>
      <c r="G1363" s="6" t="str">
        <f aca="false">DEC2HEX(D1363+36, 2)</f>
        <v>2A</v>
      </c>
      <c r="H1363" s="6" t="str">
        <f aca="false">DEC2HEX(C1363+48,2)</f>
        <v>A2</v>
      </c>
      <c r="I1363" s="6" t="str">
        <f aca="false">_xlfn.CONCAT("\x", G1363, "\x", H1363, "=", F1363)</f>
        <v>\x2A\xA2=암</v>
      </c>
      <c r="M1363" s="8"/>
    </row>
    <row r="1364" customFormat="false" ht="12.8" hidden="false" customHeight="true" outlineLevel="0" collapsed="false">
      <c r="C1364" s="6" t="n">
        <f aca="false">MOD(ROW()-1, 208)</f>
        <v>115</v>
      </c>
      <c r="D1364" s="6" t="n">
        <f aca="false">INT((ROW()-1)/208)</f>
        <v>6</v>
      </c>
      <c r="F1364" s="6" t="str">
        <f aca="false">MID(VLOOKUP(D1364,$P$1:$Q$13,2,0), 1 + C1364,1)</f>
        <v>압</v>
      </c>
      <c r="G1364" s="6" t="str">
        <f aca="false">DEC2HEX(D1364+36, 2)</f>
        <v>2A</v>
      </c>
      <c r="H1364" s="6" t="str">
        <f aca="false">DEC2HEX(C1364+48,2)</f>
        <v>A3</v>
      </c>
      <c r="I1364" s="6" t="str">
        <f aca="false">_xlfn.CONCAT("\x", G1364, "\x", H1364, "=", F1364)</f>
        <v>\x2A\xA3=압</v>
      </c>
      <c r="M1364" s="8"/>
    </row>
    <row r="1365" customFormat="false" ht="12.8" hidden="false" customHeight="true" outlineLevel="0" collapsed="false">
      <c r="C1365" s="6" t="n">
        <f aca="false">MOD(ROW()-1, 208)</f>
        <v>116</v>
      </c>
      <c r="D1365" s="6" t="n">
        <f aca="false">INT((ROW()-1)/208)</f>
        <v>6</v>
      </c>
      <c r="F1365" s="6" t="str">
        <f aca="false">MID(VLOOKUP(D1365,$P$1:$Q$13,2,0), 1 + C1365,1)</f>
        <v>앗</v>
      </c>
      <c r="G1365" s="6" t="str">
        <f aca="false">DEC2HEX(D1365+36, 2)</f>
        <v>2A</v>
      </c>
      <c r="H1365" s="6" t="str">
        <f aca="false">DEC2HEX(C1365+48,2)</f>
        <v>A4</v>
      </c>
      <c r="I1365" s="6" t="str">
        <f aca="false">_xlfn.CONCAT("\x", G1365, "\x", H1365, "=", F1365)</f>
        <v>\x2A\xA4=앗</v>
      </c>
      <c r="M1365" s="8"/>
    </row>
    <row r="1366" customFormat="false" ht="12.8" hidden="false" customHeight="true" outlineLevel="0" collapsed="false">
      <c r="C1366" s="6" t="n">
        <f aca="false">MOD(ROW()-1, 208)</f>
        <v>117</v>
      </c>
      <c r="D1366" s="6" t="n">
        <f aca="false">INT((ROW()-1)/208)</f>
        <v>6</v>
      </c>
      <c r="F1366" s="6" t="str">
        <f aca="false">MID(VLOOKUP(D1366,$P$1:$Q$13,2,0), 1 + C1366,1)</f>
        <v>았</v>
      </c>
      <c r="G1366" s="6" t="str">
        <f aca="false">DEC2HEX(D1366+36, 2)</f>
        <v>2A</v>
      </c>
      <c r="H1366" s="6" t="str">
        <f aca="false">DEC2HEX(C1366+48,2)</f>
        <v>A5</v>
      </c>
      <c r="I1366" s="6" t="str">
        <f aca="false">_xlfn.CONCAT("\x", G1366, "\x", H1366, "=", F1366)</f>
        <v>\x2A\xA5=았</v>
      </c>
      <c r="M1366" s="8"/>
    </row>
    <row r="1367" customFormat="false" ht="12.8" hidden="false" customHeight="true" outlineLevel="0" collapsed="false">
      <c r="C1367" s="6" t="n">
        <f aca="false">MOD(ROW()-1, 208)</f>
        <v>118</v>
      </c>
      <c r="D1367" s="6" t="n">
        <f aca="false">INT((ROW()-1)/208)</f>
        <v>6</v>
      </c>
      <c r="F1367" s="6" t="str">
        <f aca="false">MID(VLOOKUP(D1367,$P$1:$Q$13,2,0), 1 + C1367,1)</f>
        <v>앙</v>
      </c>
      <c r="G1367" s="6" t="str">
        <f aca="false">DEC2HEX(D1367+36, 2)</f>
        <v>2A</v>
      </c>
      <c r="H1367" s="6" t="str">
        <f aca="false">DEC2HEX(C1367+48,2)</f>
        <v>A6</v>
      </c>
      <c r="I1367" s="6" t="str">
        <f aca="false">_xlfn.CONCAT("\x", G1367, "\x", H1367, "=", F1367)</f>
        <v>\x2A\xA6=앙</v>
      </c>
      <c r="M1367" s="8"/>
    </row>
    <row r="1368" customFormat="false" ht="12.8" hidden="false" customHeight="true" outlineLevel="0" collapsed="false">
      <c r="C1368" s="6" t="n">
        <f aca="false">MOD(ROW()-1, 208)</f>
        <v>119</v>
      </c>
      <c r="D1368" s="6" t="n">
        <f aca="false">INT((ROW()-1)/208)</f>
        <v>6</v>
      </c>
      <c r="F1368" s="6" t="str">
        <f aca="false">MID(VLOOKUP(D1368,$P$1:$Q$13,2,0), 1 + C1368,1)</f>
        <v>앝</v>
      </c>
      <c r="G1368" s="6" t="str">
        <f aca="false">DEC2HEX(D1368+36, 2)</f>
        <v>2A</v>
      </c>
      <c r="H1368" s="6" t="str">
        <f aca="false">DEC2HEX(C1368+48,2)</f>
        <v>A7</v>
      </c>
      <c r="I1368" s="6" t="str">
        <f aca="false">_xlfn.CONCAT("\x", G1368, "\x", H1368, "=", F1368)</f>
        <v>\x2A\xA7=앝</v>
      </c>
      <c r="M1368" s="8"/>
    </row>
    <row r="1369" customFormat="false" ht="12.8" hidden="false" customHeight="true" outlineLevel="0" collapsed="false">
      <c r="C1369" s="6" t="n">
        <f aca="false">MOD(ROW()-1, 208)</f>
        <v>120</v>
      </c>
      <c r="D1369" s="6" t="n">
        <f aca="false">INT((ROW()-1)/208)</f>
        <v>6</v>
      </c>
      <c r="F1369" s="6" t="str">
        <f aca="false">MID(VLOOKUP(D1369,$P$1:$Q$13,2,0), 1 + C1369,1)</f>
        <v>앞</v>
      </c>
      <c r="G1369" s="6" t="str">
        <f aca="false">DEC2HEX(D1369+36, 2)</f>
        <v>2A</v>
      </c>
      <c r="H1369" s="6" t="str">
        <f aca="false">DEC2HEX(C1369+48,2)</f>
        <v>A8</v>
      </c>
      <c r="I1369" s="6" t="str">
        <f aca="false">_xlfn.CONCAT("\x", G1369, "\x", H1369, "=", F1369)</f>
        <v>\x2A\xA8=앞</v>
      </c>
      <c r="M1369" s="8"/>
    </row>
    <row r="1370" customFormat="false" ht="12.8" hidden="false" customHeight="true" outlineLevel="0" collapsed="false">
      <c r="C1370" s="6" t="n">
        <f aca="false">MOD(ROW()-1, 208)</f>
        <v>121</v>
      </c>
      <c r="D1370" s="6" t="n">
        <f aca="false">INT((ROW()-1)/208)</f>
        <v>6</v>
      </c>
      <c r="F1370" s="6" t="str">
        <f aca="false">MID(VLOOKUP(D1370,$P$1:$Q$13,2,0), 1 + C1370,1)</f>
        <v>애</v>
      </c>
      <c r="G1370" s="6" t="str">
        <f aca="false">DEC2HEX(D1370+36, 2)</f>
        <v>2A</v>
      </c>
      <c r="H1370" s="6" t="str">
        <f aca="false">DEC2HEX(C1370+48,2)</f>
        <v>A9</v>
      </c>
      <c r="I1370" s="6" t="str">
        <f aca="false">_xlfn.CONCAT("\x", G1370, "\x", H1370, "=", F1370)</f>
        <v>\x2A\xA9=애</v>
      </c>
      <c r="M1370" s="8"/>
    </row>
    <row r="1371" customFormat="false" ht="12.8" hidden="false" customHeight="true" outlineLevel="0" collapsed="false">
      <c r="C1371" s="6" t="n">
        <f aca="false">MOD(ROW()-1, 208)</f>
        <v>122</v>
      </c>
      <c r="D1371" s="6" t="n">
        <f aca="false">INT((ROW()-1)/208)</f>
        <v>6</v>
      </c>
      <c r="F1371" s="6" t="str">
        <f aca="false">MID(VLOOKUP(D1371,$P$1:$Q$13,2,0), 1 + C1371,1)</f>
        <v>액</v>
      </c>
      <c r="G1371" s="6" t="str">
        <f aca="false">DEC2HEX(D1371+36, 2)</f>
        <v>2A</v>
      </c>
      <c r="H1371" s="6" t="str">
        <f aca="false">DEC2HEX(C1371+48,2)</f>
        <v>AA</v>
      </c>
      <c r="I1371" s="6" t="str">
        <f aca="false">_xlfn.CONCAT("\x", G1371, "\x", H1371, "=", F1371)</f>
        <v>\x2A\xAA=액</v>
      </c>
      <c r="M1371" s="8"/>
    </row>
    <row r="1372" customFormat="false" ht="12.8" hidden="false" customHeight="true" outlineLevel="0" collapsed="false">
      <c r="C1372" s="6" t="n">
        <f aca="false">MOD(ROW()-1, 208)</f>
        <v>123</v>
      </c>
      <c r="D1372" s="6" t="n">
        <f aca="false">INT((ROW()-1)/208)</f>
        <v>6</v>
      </c>
      <c r="F1372" s="6" t="str">
        <f aca="false">MID(VLOOKUP(D1372,$P$1:$Q$13,2,0), 1 + C1372,1)</f>
        <v>앤</v>
      </c>
      <c r="G1372" s="6" t="str">
        <f aca="false">DEC2HEX(D1372+36, 2)</f>
        <v>2A</v>
      </c>
      <c r="H1372" s="6" t="str">
        <f aca="false">DEC2HEX(C1372+48,2)</f>
        <v>AB</v>
      </c>
      <c r="I1372" s="6" t="str">
        <f aca="false">_xlfn.CONCAT("\x", G1372, "\x", H1372, "=", F1372)</f>
        <v>\x2A\xAB=앤</v>
      </c>
      <c r="M1372" s="8"/>
    </row>
    <row r="1373" customFormat="false" ht="12.8" hidden="false" customHeight="true" outlineLevel="0" collapsed="false">
      <c r="C1373" s="6" t="n">
        <f aca="false">MOD(ROW()-1, 208)</f>
        <v>124</v>
      </c>
      <c r="D1373" s="6" t="n">
        <f aca="false">INT((ROW()-1)/208)</f>
        <v>6</v>
      </c>
      <c r="F1373" s="6" t="str">
        <f aca="false">MID(VLOOKUP(D1373,$P$1:$Q$13,2,0), 1 + C1373,1)</f>
        <v>앨</v>
      </c>
      <c r="G1373" s="6" t="str">
        <f aca="false">DEC2HEX(D1373+36, 2)</f>
        <v>2A</v>
      </c>
      <c r="H1373" s="6" t="str">
        <f aca="false">DEC2HEX(C1373+48,2)</f>
        <v>AC</v>
      </c>
      <c r="I1373" s="6" t="str">
        <f aca="false">_xlfn.CONCAT("\x", G1373, "\x", H1373, "=", F1373)</f>
        <v>\x2A\xAC=앨</v>
      </c>
      <c r="M1373" s="8"/>
    </row>
    <row r="1374" customFormat="false" ht="12.8" hidden="false" customHeight="true" outlineLevel="0" collapsed="false">
      <c r="C1374" s="6" t="n">
        <f aca="false">MOD(ROW()-1, 208)</f>
        <v>125</v>
      </c>
      <c r="D1374" s="6" t="n">
        <f aca="false">INT((ROW()-1)/208)</f>
        <v>6</v>
      </c>
      <c r="F1374" s="6" t="str">
        <f aca="false">MID(VLOOKUP(D1374,$P$1:$Q$13,2,0), 1 + C1374,1)</f>
        <v>앰</v>
      </c>
      <c r="G1374" s="6" t="str">
        <f aca="false">DEC2HEX(D1374+36, 2)</f>
        <v>2A</v>
      </c>
      <c r="H1374" s="6" t="str">
        <f aca="false">DEC2HEX(C1374+48,2)</f>
        <v>AD</v>
      </c>
      <c r="I1374" s="6" t="str">
        <f aca="false">_xlfn.CONCAT("\x", G1374, "\x", H1374, "=", F1374)</f>
        <v>\x2A\xAD=앰</v>
      </c>
      <c r="M1374" s="8"/>
    </row>
    <row r="1375" customFormat="false" ht="12.8" hidden="false" customHeight="true" outlineLevel="0" collapsed="false">
      <c r="C1375" s="6" t="n">
        <f aca="false">MOD(ROW()-1, 208)</f>
        <v>126</v>
      </c>
      <c r="D1375" s="6" t="n">
        <f aca="false">INT((ROW()-1)/208)</f>
        <v>6</v>
      </c>
      <c r="F1375" s="6" t="str">
        <f aca="false">MID(VLOOKUP(D1375,$P$1:$Q$13,2,0), 1 + C1375,1)</f>
        <v>앱</v>
      </c>
      <c r="G1375" s="6" t="str">
        <f aca="false">DEC2HEX(D1375+36, 2)</f>
        <v>2A</v>
      </c>
      <c r="H1375" s="6" t="str">
        <f aca="false">DEC2HEX(C1375+48,2)</f>
        <v>AE</v>
      </c>
      <c r="I1375" s="6" t="str">
        <f aca="false">_xlfn.CONCAT("\x", G1375, "\x", H1375, "=", F1375)</f>
        <v>\x2A\xAE=앱</v>
      </c>
      <c r="M1375" s="8"/>
    </row>
    <row r="1376" customFormat="false" ht="12.8" hidden="false" customHeight="true" outlineLevel="0" collapsed="false">
      <c r="C1376" s="6" t="n">
        <f aca="false">MOD(ROW()-1, 208)</f>
        <v>127</v>
      </c>
      <c r="D1376" s="6" t="n">
        <f aca="false">INT((ROW()-1)/208)</f>
        <v>6</v>
      </c>
      <c r="F1376" s="6" t="str">
        <f aca="false">MID(VLOOKUP(D1376,$P$1:$Q$13,2,0), 1 + C1376,1)</f>
        <v>앳</v>
      </c>
      <c r="G1376" s="6" t="str">
        <f aca="false">DEC2HEX(D1376+36, 2)</f>
        <v>2A</v>
      </c>
      <c r="H1376" s="6" t="str">
        <f aca="false">DEC2HEX(C1376+48,2)</f>
        <v>AF</v>
      </c>
      <c r="I1376" s="6" t="str">
        <f aca="false">_xlfn.CONCAT("\x", G1376, "\x", H1376, "=", F1376)</f>
        <v>\x2A\xAF=앳</v>
      </c>
      <c r="M1376" s="8"/>
    </row>
    <row r="1377" customFormat="false" ht="12.8" hidden="false" customHeight="true" outlineLevel="0" collapsed="false">
      <c r="C1377" s="6" t="n">
        <f aca="false">MOD(ROW()-1, 208)</f>
        <v>128</v>
      </c>
      <c r="D1377" s="6" t="n">
        <f aca="false">INT((ROW()-1)/208)</f>
        <v>6</v>
      </c>
      <c r="F1377" s="6" t="str">
        <f aca="false">MID(VLOOKUP(D1377,$P$1:$Q$13,2,0), 1 + C1377,1)</f>
        <v>앴</v>
      </c>
      <c r="G1377" s="6" t="str">
        <f aca="false">DEC2HEX(D1377+36, 2)</f>
        <v>2A</v>
      </c>
      <c r="H1377" s="6" t="str">
        <f aca="false">DEC2HEX(C1377+48,2)</f>
        <v>B0</v>
      </c>
      <c r="I1377" s="6" t="str">
        <f aca="false">_xlfn.CONCAT("\x", G1377, "\x", H1377, "=", F1377)</f>
        <v>\x2A\xB0=앴</v>
      </c>
      <c r="M1377" s="8"/>
    </row>
    <row r="1378" customFormat="false" ht="12.8" hidden="false" customHeight="true" outlineLevel="0" collapsed="false">
      <c r="C1378" s="6" t="n">
        <f aca="false">MOD(ROW()-1, 208)</f>
        <v>129</v>
      </c>
      <c r="D1378" s="6" t="n">
        <f aca="false">INT((ROW()-1)/208)</f>
        <v>6</v>
      </c>
      <c r="F1378" s="6" t="str">
        <f aca="false">MID(VLOOKUP(D1378,$P$1:$Q$13,2,0), 1 + C1378,1)</f>
        <v>앵</v>
      </c>
      <c r="G1378" s="6" t="str">
        <f aca="false">DEC2HEX(D1378+36, 2)</f>
        <v>2A</v>
      </c>
      <c r="H1378" s="6" t="str">
        <f aca="false">DEC2HEX(C1378+48,2)</f>
        <v>B1</v>
      </c>
      <c r="I1378" s="6" t="str">
        <f aca="false">_xlfn.CONCAT("\x", G1378, "\x", H1378, "=", F1378)</f>
        <v>\x2A\xB1=앵</v>
      </c>
      <c r="M1378" s="8"/>
    </row>
    <row r="1379" customFormat="false" ht="12.8" hidden="false" customHeight="true" outlineLevel="0" collapsed="false">
      <c r="C1379" s="6" t="n">
        <f aca="false">MOD(ROW()-1, 208)</f>
        <v>130</v>
      </c>
      <c r="D1379" s="6" t="n">
        <f aca="false">INT((ROW()-1)/208)</f>
        <v>6</v>
      </c>
      <c r="F1379" s="6" t="str">
        <f aca="false">MID(VLOOKUP(D1379,$P$1:$Q$13,2,0), 1 + C1379,1)</f>
        <v>야</v>
      </c>
      <c r="G1379" s="6" t="str">
        <f aca="false">DEC2HEX(D1379+36, 2)</f>
        <v>2A</v>
      </c>
      <c r="H1379" s="6" t="str">
        <f aca="false">DEC2HEX(C1379+48,2)</f>
        <v>B2</v>
      </c>
      <c r="I1379" s="6" t="str">
        <f aca="false">_xlfn.CONCAT("\x", G1379, "\x", H1379, "=", F1379)</f>
        <v>\x2A\xB2=야</v>
      </c>
      <c r="M1379" s="8"/>
    </row>
    <row r="1380" customFormat="false" ht="12.8" hidden="false" customHeight="true" outlineLevel="0" collapsed="false">
      <c r="C1380" s="6" t="n">
        <f aca="false">MOD(ROW()-1, 208)</f>
        <v>131</v>
      </c>
      <c r="D1380" s="6" t="n">
        <f aca="false">INT((ROW()-1)/208)</f>
        <v>6</v>
      </c>
      <c r="F1380" s="6" t="str">
        <f aca="false">MID(VLOOKUP(D1380,$P$1:$Q$13,2,0), 1 + C1380,1)</f>
        <v>약</v>
      </c>
      <c r="G1380" s="6" t="str">
        <f aca="false">DEC2HEX(D1380+36, 2)</f>
        <v>2A</v>
      </c>
      <c r="H1380" s="6" t="str">
        <f aca="false">DEC2HEX(C1380+48,2)</f>
        <v>B3</v>
      </c>
      <c r="I1380" s="6" t="str">
        <f aca="false">_xlfn.CONCAT("\x", G1380, "\x", H1380, "=", F1380)</f>
        <v>\x2A\xB3=약</v>
      </c>
      <c r="M1380" s="8"/>
    </row>
    <row r="1381" customFormat="false" ht="12.8" hidden="false" customHeight="true" outlineLevel="0" collapsed="false">
      <c r="C1381" s="6" t="n">
        <f aca="false">MOD(ROW()-1, 208)</f>
        <v>132</v>
      </c>
      <c r="D1381" s="6" t="n">
        <f aca="false">INT((ROW()-1)/208)</f>
        <v>6</v>
      </c>
      <c r="F1381" s="6" t="str">
        <f aca="false">MID(VLOOKUP(D1381,$P$1:$Q$13,2,0), 1 + C1381,1)</f>
        <v>얀</v>
      </c>
      <c r="G1381" s="6" t="str">
        <f aca="false">DEC2HEX(D1381+36, 2)</f>
        <v>2A</v>
      </c>
      <c r="H1381" s="6" t="str">
        <f aca="false">DEC2HEX(C1381+48,2)</f>
        <v>B4</v>
      </c>
      <c r="I1381" s="6" t="str">
        <f aca="false">_xlfn.CONCAT("\x", G1381, "\x", H1381, "=", F1381)</f>
        <v>\x2A\xB4=얀</v>
      </c>
      <c r="M1381" s="8"/>
    </row>
    <row r="1382" customFormat="false" ht="12.8" hidden="false" customHeight="true" outlineLevel="0" collapsed="false">
      <c r="C1382" s="6" t="n">
        <f aca="false">MOD(ROW()-1, 208)</f>
        <v>133</v>
      </c>
      <c r="D1382" s="6" t="n">
        <f aca="false">INT((ROW()-1)/208)</f>
        <v>6</v>
      </c>
      <c r="F1382" s="6" t="str">
        <f aca="false">MID(VLOOKUP(D1382,$P$1:$Q$13,2,0), 1 + C1382,1)</f>
        <v>얄</v>
      </c>
      <c r="G1382" s="6" t="str">
        <f aca="false">DEC2HEX(D1382+36, 2)</f>
        <v>2A</v>
      </c>
      <c r="H1382" s="6" t="str">
        <f aca="false">DEC2HEX(C1382+48,2)</f>
        <v>B5</v>
      </c>
      <c r="I1382" s="6" t="str">
        <f aca="false">_xlfn.CONCAT("\x", G1382, "\x", H1382, "=", F1382)</f>
        <v>\x2A\xB5=얄</v>
      </c>
      <c r="M1382" s="8"/>
    </row>
    <row r="1383" customFormat="false" ht="12.8" hidden="false" customHeight="true" outlineLevel="0" collapsed="false">
      <c r="C1383" s="6" t="n">
        <f aca="false">MOD(ROW()-1, 208)</f>
        <v>134</v>
      </c>
      <c r="D1383" s="6" t="n">
        <f aca="false">INT((ROW()-1)/208)</f>
        <v>6</v>
      </c>
      <c r="F1383" s="6" t="str">
        <f aca="false">MID(VLOOKUP(D1383,$P$1:$Q$13,2,0), 1 + C1383,1)</f>
        <v>얇</v>
      </c>
      <c r="G1383" s="6" t="str">
        <f aca="false">DEC2HEX(D1383+36, 2)</f>
        <v>2A</v>
      </c>
      <c r="H1383" s="6" t="str">
        <f aca="false">DEC2HEX(C1383+48,2)</f>
        <v>B6</v>
      </c>
      <c r="I1383" s="6" t="str">
        <f aca="false">_xlfn.CONCAT("\x", G1383, "\x", H1383, "=", F1383)</f>
        <v>\x2A\xB6=얇</v>
      </c>
      <c r="M1383" s="8"/>
    </row>
    <row r="1384" customFormat="false" ht="12.8" hidden="false" customHeight="true" outlineLevel="0" collapsed="false">
      <c r="C1384" s="6" t="n">
        <f aca="false">MOD(ROW()-1, 208)</f>
        <v>135</v>
      </c>
      <c r="D1384" s="6" t="n">
        <f aca="false">INT((ROW()-1)/208)</f>
        <v>6</v>
      </c>
      <c r="F1384" s="6" t="str">
        <f aca="false">MID(VLOOKUP(D1384,$P$1:$Q$13,2,0), 1 + C1384,1)</f>
        <v>얌</v>
      </c>
      <c r="G1384" s="6" t="str">
        <f aca="false">DEC2HEX(D1384+36, 2)</f>
        <v>2A</v>
      </c>
      <c r="H1384" s="6" t="str">
        <f aca="false">DEC2HEX(C1384+48,2)</f>
        <v>B7</v>
      </c>
      <c r="I1384" s="6" t="str">
        <f aca="false">_xlfn.CONCAT("\x", G1384, "\x", H1384, "=", F1384)</f>
        <v>\x2A\xB7=얌</v>
      </c>
      <c r="M1384" s="8"/>
    </row>
    <row r="1385" customFormat="false" ht="12.8" hidden="false" customHeight="true" outlineLevel="0" collapsed="false">
      <c r="C1385" s="6" t="n">
        <f aca="false">MOD(ROW()-1, 208)</f>
        <v>136</v>
      </c>
      <c r="D1385" s="6" t="n">
        <f aca="false">INT((ROW()-1)/208)</f>
        <v>6</v>
      </c>
      <c r="F1385" s="6" t="str">
        <f aca="false">MID(VLOOKUP(D1385,$P$1:$Q$13,2,0), 1 + C1385,1)</f>
        <v>얍</v>
      </c>
      <c r="G1385" s="6" t="str">
        <f aca="false">DEC2HEX(D1385+36, 2)</f>
        <v>2A</v>
      </c>
      <c r="H1385" s="6" t="str">
        <f aca="false">DEC2HEX(C1385+48,2)</f>
        <v>B8</v>
      </c>
      <c r="I1385" s="6" t="str">
        <f aca="false">_xlfn.CONCAT("\x", G1385, "\x", H1385, "=", F1385)</f>
        <v>\x2A\xB8=얍</v>
      </c>
      <c r="M1385" s="8"/>
    </row>
    <row r="1386" customFormat="false" ht="12.8" hidden="false" customHeight="true" outlineLevel="0" collapsed="false">
      <c r="C1386" s="6" t="n">
        <f aca="false">MOD(ROW()-1, 208)</f>
        <v>137</v>
      </c>
      <c r="D1386" s="6" t="n">
        <f aca="false">INT((ROW()-1)/208)</f>
        <v>6</v>
      </c>
      <c r="F1386" s="6" t="str">
        <f aca="false">MID(VLOOKUP(D1386,$P$1:$Q$13,2,0), 1 + C1386,1)</f>
        <v>얏</v>
      </c>
      <c r="G1386" s="6" t="str">
        <f aca="false">DEC2HEX(D1386+36, 2)</f>
        <v>2A</v>
      </c>
      <c r="H1386" s="6" t="str">
        <f aca="false">DEC2HEX(C1386+48,2)</f>
        <v>B9</v>
      </c>
      <c r="I1386" s="6" t="str">
        <f aca="false">_xlfn.CONCAT("\x", G1386, "\x", H1386, "=", F1386)</f>
        <v>\x2A\xB9=얏</v>
      </c>
      <c r="M1386" s="8"/>
    </row>
    <row r="1387" customFormat="false" ht="12.8" hidden="false" customHeight="true" outlineLevel="0" collapsed="false">
      <c r="C1387" s="6" t="n">
        <f aca="false">MOD(ROW()-1, 208)</f>
        <v>138</v>
      </c>
      <c r="D1387" s="6" t="n">
        <f aca="false">INT((ROW()-1)/208)</f>
        <v>6</v>
      </c>
      <c r="F1387" s="6" t="str">
        <f aca="false">MID(VLOOKUP(D1387,$P$1:$Q$13,2,0), 1 + C1387,1)</f>
        <v>양</v>
      </c>
      <c r="G1387" s="6" t="str">
        <f aca="false">DEC2HEX(D1387+36, 2)</f>
        <v>2A</v>
      </c>
      <c r="H1387" s="6" t="str">
        <f aca="false">DEC2HEX(C1387+48,2)</f>
        <v>BA</v>
      </c>
      <c r="I1387" s="6" t="str">
        <f aca="false">_xlfn.CONCAT("\x", G1387, "\x", H1387, "=", F1387)</f>
        <v>\x2A\xBA=양</v>
      </c>
      <c r="M1387" s="8"/>
    </row>
    <row r="1388" customFormat="false" ht="12.8" hidden="false" customHeight="true" outlineLevel="0" collapsed="false">
      <c r="C1388" s="6" t="n">
        <f aca="false">MOD(ROW()-1, 208)</f>
        <v>139</v>
      </c>
      <c r="D1388" s="6" t="n">
        <f aca="false">INT((ROW()-1)/208)</f>
        <v>6</v>
      </c>
      <c r="F1388" s="6" t="str">
        <f aca="false">MID(VLOOKUP(D1388,$P$1:$Q$13,2,0), 1 + C1388,1)</f>
        <v>얕</v>
      </c>
      <c r="G1388" s="6" t="str">
        <f aca="false">DEC2HEX(D1388+36, 2)</f>
        <v>2A</v>
      </c>
      <c r="H1388" s="6" t="str">
        <f aca="false">DEC2HEX(C1388+48,2)</f>
        <v>BB</v>
      </c>
      <c r="I1388" s="6" t="str">
        <f aca="false">_xlfn.CONCAT("\x", G1388, "\x", H1388, "=", F1388)</f>
        <v>\x2A\xBB=얕</v>
      </c>
      <c r="M1388" s="8"/>
    </row>
    <row r="1389" customFormat="false" ht="12.8" hidden="false" customHeight="true" outlineLevel="0" collapsed="false">
      <c r="C1389" s="6" t="n">
        <f aca="false">MOD(ROW()-1, 208)</f>
        <v>140</v>
      </c>
      <c r="D1389" s="6" t="n">
        <f aca="false">INT((ROW()-1)/208)</f>
        <v>6</v>
      </c>
      <c r="F1389" s="6" t="str">
        <f aca="false">MID(VLOOKUP(D1389,$P$1:$Q$13,2,0), 1 + C1389,1)</f>
        <v>얗</v>
      </c>
      <c r="G1389" s="6" t="str">
        <f aca="false">DEC2HEX(D1389+36, 2)</f>
        <v>2A</v>
      </c>
      <c r="H1389" s="6" t="str">
        <f aca="false">DEC2HEX(C1389+48,2)</f>
        <v>BC</v>
      </c>
      <c r="I1389" s="6" t="str">
        <f aca="false">_xlfn.CONCAT("\x", G1389, "\x", H1389, "=", F1389)</f>
        <v>\x2A\xBC=얗</v>
      </c>
      <c r="M1389" s="8"/>
    </row>
    <row r="1390" customFormat="false" ht="12.8" hidden="false" customHeight="true" outlineLevel="0" collapsed="false">
      <c r="C1390" s="6" t="n">
        <f aca="false">MOD(ROW()-1, 208)</f>
        <v>141</v>
      </c>
      <c r="D1390" s="6" t="n">
        <f aca="false">INT((ROW()-1)/208)</f>
        <v>6</v>
      </c>
      <c r="F1390" s="6" t="str">
        <f aca="false">MID(VLOOKUP(D1390,$P$1:$Q$13,2,0), 1 + C1390,1)</f>
        <v>얘</v>
      </c>
      <c r="G1390" s="6" t="str">
        <f aca="false">DEC2HEX(D1390+36, 2)</f>
        <v>2A</v>
      </c>
      <c r="H1390" s="6" t="str">
        <f aca="false">DEC2HEX(C1390+48,2)</f>
        <v>BD</v>
      </c>
      <c r="I1390" s="6" t="str">
        <f aca="false">_xlfn.CONCAT("\x", G1390, "\x", H1390, "=", F1390)</f>
        <v>\x2A\xBD=얘</v>
      </c>
      <c r="M1390" s="8"/>
    </row>
    <row r="1391" customFormat="false" ht="12.8" hidden="false" customHeight="true" outlineLevel="0" collapsed="false">
      <c r="C1391" s="6" t="n">
        <f aca="false">MOD(ROW()-1, 208)</f>
        <v>142</v>
      </c>
      <c r="D1391" s="6" t="n">
        <f aca="false">INT((ROW()-1)/208)</f>
        <v>6</v>
      </c>
      <c r="F1391" s="6" t="str">
        <f aca="false">MID(VLOOKUP(D1391,$P$1:$Q$13,2,0), 1 + C1391,1)</f>
        <v>얜</v>
      </c>
      <c r="G1391" s="6" t="str">
        <f aca="false">DEC2HEX(D1391+36, 2)</f>
        <v>2A</v>
      </c>
      <c r="H1391" s="6" t="str">
        <f aca="false">DEC2HEX(C1391+48,2)</f>
        <v>BE</v>
      </c>
      <c r="I1391" s="6" t="str">
        <f aca="false">_xlfn.CONCAT("\x", G1391, "\x", H1391, "=", F1391)</f>
        <v>\x2A\xBE=얜</v>
      </c>
      <c r="M1391" s="8"/>
    </row>
    <row r="1392" customFormat="false" ht="12.8" hidden="false" customHeight="true" outlineLevel="0" collapsed="false">
      <c r="C1392" s="6" t="n">
        <f aca="false">MOD(ROW()-1, 208)</f>
        <v>143</v>
      </c>
      <c r="D1392" s="6" t="n">
        <f aca="false">INT((ROW()-1)/208)</f>
        <v>6</v>
      </c>
      <c r="F1392" s="6" t="str">
        <f aca="false">MID(VLOOKUP(D1392,$P$1:$Q$13,2,0), 1 + C1392,1)</f>
        <v>얠</v>
      </c>
      <c r="G1392" s="6" t="str">
        <f aca="false">DEC2HEX(D1392+36, 2)</f>
        <v>2A</v>
      </c>
      <c r="H1392" s="6" t="str">
        <f aca="false">DEC2HEX(C1392+48,2)</f>
        <v>BF</v>
      </c>
      <c r="I1392" s="6" t="str">
        <f aca="false">_xlfn.CONCAT("\x", G1392, "\x", H1392, "=", F1392)</f>
        <v>\x2A\xBF=얠</v>
      </c>
      <c r="M1392" s="8"/>
    </row>
    <row r="1393" customFormat="false" ht="12.8" hidden="false" customHeight="true" outlineLevel="0" collapsed="false">
      <c r="C1393" s="6" t="n">
        <f aca="false">MOD(ROW()-1, 208)</f>
        <v>144</v>
      </c>
      <c r="D1393" s="6" t="n">
        <f aca="false">INT((ROW()-1)/208)</f>
        <v>6</v>
      </c>
      <c r="F1393" s="6" t="str">
        <f aca="false">MID(VLOOKUP(D1393,$P$1:$Q$13,2,0), 1 + C1393,1)</f>
        <v>얩</v>
      </c>
      <c r="G1393" s="6" t="str">
        <f aca="false">DEC2HEX(D1393+36, 2)</f>
        <v>2A</v>
      </c>
      <c r="H1393" s="6" t="str">
        <f aca="false">DEC2HEX(C1393+48,2)</f>
        <v>C0</v>
      </c>
      <c r="I1393" s="6" t="str">
        <f aca="false">_xlfn.CONCAT("\x", G1393, "\x", H1393, "=", F1393)</f>
        <v>\x2A\xC0=얩</v>
      </c>
      <c r="M1393" s="8"/>
    </row>
    <row r="1394" customFormat="false" ht="12.8" hidden="false" customHeight="true" outlineLevel="0" collapsed="false">
      <c r="C1394" s="6" t="n">
        <f aca="false">MOD(ROW()-1, 208)</f>
        <v>145</v>
      </c>
      <c r="D1394" s="6" t="n">
        <f aca="false">INT((ROW()-1)/208)</f>
        <v>6</v>
      </c>
      <c r="F1394" s="6" t="str">
        <f aca="false">MID(VLOOKUP(D1394,$P$1:$Q$13,2,0), 1 + C1394,1)</f>
        <v>어</v>
      </c>
      <c r="G1394" s="6" t="str">
        <f aca="false">DEC2HEX(D1394+36, 2)</f>
        <v>2A</v>
      </c>
      <c r="H1394" s="6" t="str">
        <f aca="false">DEC2HEX(C1394+48,2)</f>
        <v>C1</v>
      </c>
      <c r="I1394" s="6" t="str">
        <f aca="false">_xlfn.CONCAT("\x", G1394, "\x", H1394, "=", F1394)</f>
        <v>\x2A\xC1=어</v>
      </c>
      <c r="M1394" s="8"/>
    </row>
    <row r="1395" customFormat="false" ht="12.8" hidden="false" customHeight="true" outlineLevel="0" collapsed="false">
      <c r="C1395" s="6" t="n">
        <f aca="false">MOD(ROW()-1, 208)</f>
        <v>146</v>
      </c>
      <c r="D1395" s="6" t="n">
        <f aca="false">INT((ROW()-1)/208)</f>
        <v>6</v>
      </c>
      <c r="F1395" s="6" t="str">
        <f aca="false">MID(VLOOKUP(D1395,$P$1:$Q$13,2,0), 1 + C1395,1)</f>
        <v>억</v>
      </c>
      <c r="G1395" s="6" t="str">
        <f aca="false">DEC2HEX(D1395+36, 2)</f>
        <v>2A</v>
      </c>
      <c r="H1395" s="6" t="str">
        <f aca="false">DEC2HEX(C1395+48,2)</f>
        <v>C2</v>
      </c>
      <c r="I1395" s="6" t="str">
        <f aca="false">_xlfn.CONCAT("\x", G1395, "\x", H1395, "=", F1395)</f>
        <v>\x2A\xC2=억</v>
      </c>
      <c r="M1395" s="8"/>
    </row>
    <row r="1396" customFormat="false" ht="12.8" hidden="false" customHeight="true" outlineLevel="0" collapsed="false">
      <c r="C1396" s="6" t="n">
        <f aca="false">MOD(ROW()-1, 208)</f>
        <v>147</v>
      </c>
      <c r="D1396" s="6" t="n">
        <f aca="false">INT((ROW()-1)/208)</f>
        <v>6</v>
      </c>
      <c r="F1396" s="6" t="str">
        <f aca="false">MID(VLOOKUP(D1396,$P$1:$Q$13,2,0), 1 + C1396,1)</f>
        <v>언</v>
      </c>
      <c r="G1396" s="6" t="str">
        <f aca="false">DEC2HEX(D1396+36, 2)</f>
        <v>2A</v>
      </c>
      <c r="H1396" s="6" t="str">
        <f aca="false">DEC2HEX(C1396+48,2)</f>
        <v>C3</v>
      </c>
      <c r="I1396" s="6" t="str">
        <f aca="false">_xlfn.CONCAT("\x", G1396, "\x", H1396, "=", F1396)</f>
        <v>\x2A\xC3=언</v>
      </c>
      <c r="M1396" s="8"/>
    </row>
    <row r="1397" customFormat="false" ht="12.8" hidden="false" customHeight="true" outlineLevel="0" collapsed="false">
      <c r="C1397" s="6" t="n">
        <f aca="false">MOD(ROW()-1, 208)</f>
        <v>148</v>
      </c>
      <c r="D1397" s="6" t="n">
        <f aca="false">INT((ROW()-1)/208)</f>
        <v>6</v>
      </c>
      <c r="F1397" s="6" t="str">
        <f aca="false">MID(VLOOKUP(D1397,$P$1:$Q$13,2,0), 1 + C1397,1)</f>
        <v>얹</v>
      </c>
      <c r="G1397" s="6" t="str">
        <f aca="false">DEC2HEX(D1397+36, 2)</f>
        <v>2A</v>
      </c>
      <c r="H1397" s="6" t="str">
        <f aca="false">DEC2HEX(C1397+48,2)</f>
        <v>C4</v>
      </c>
      <c r="I1397" s="6" t="str">
        <f aca="false">_xlfn.CONCAT("\x", G1397, "\x", H1397, "=", F1397)</f>
        <v>\x2A\xC4=얹</v>
      </c>
      <c r="M1397" s="8"/>
    </row>
    <row r="1398" customFormat="false" ht="12.8" hidden="false" customHeight="true" outlineLevel="0" collapsed="false">
      <c r="C1398" s="6" t="n">
        <f aca="false">MOD(ROW()-1, 208)</f>
        <v>149</v>
      </c>
      <c r="D1398" s="6" t="n">
        <f aca="false">INT((ROW()-1)/208)</f>
        <v>6</v>
      </c>
      <c r="F1398" s="6" t="str">
        <f aca="false">MID(VLOOKUP(D1398,$P$1:$Q$13,2,0), 1 + C1398,1)</f>
        <v>얻</v>
      </c>
      <c r="G1398" s="6" t="str">
        <f aca="false">DEC2HEX(D1398+36, 2)</f>
        <v>2A</v>
      </c>
      <c r="H1398" s="6" t="str">
        <f aca="false">DEC2HEX(C1398+48,2)</f>
        <v>C5</v>
      </c>
      <c r="I1398" s="6" t="str">
        <f aca="false">_xlfn.CONCAT("\x", G1398, "\x", H1398, "=", F1398)</f>
        <v>\x2A\xC5=얻</v>
      </c>
      <c r="M1398" s="8"/>
    </row>
    <row r="1399" customFormat="false" ht="12.8" hidden="false" customHeight="true" outlineLevel="0" collapsed="false">
      <c r="C1399" s="6" t="n">
        <f aca="false">MOD(ROW()-1, 208)</f>
        <v>150</v>
      </c>
      <c r="D1399" s="6" t="n">
        <f aca="false">INT((ROW()-1)/208)</f>
        <v>6</v>
      </c>
      <c r="F1399" s="6" t="str">
        <f aca="false">MID(VLOOKUP(D1399,$P$1:$Q$13,2,0), 1 + C1399,1)</f>
        <v>얼</v>
      </c>
      <c r="G1399" s="6" t="str">
        <f aca="false">DEC2HEX(D1399+36, 2)</f>
        <v>2A</v>
      </c>
      <c r="H1399" s="6" t="str">
        <f aca="false">DEC2HEX(C1399+48,2)</f>
        <v>C6</v>
      </c>
      <c r="I1399" s="6" t="str">
        <f aca="false">_xlfn.CONCAT("\x", G1399, "\x", H1399, "=", F1399)</f>
        <v>\x2A\xC6=얼</v>
      </c>
      <c r="M1399" s="8"/>
    </row>
    <row r="1400" customFormat="false" ht="12.8" hidden="false" customHeight="true" outlineLevel="0" collapsed="false">
      <c r="C1400" s="6" t="n">
        <f aca="false">MOD(ROW()-1, 208)</f>
        <v>151</v>
      </c>
      <c r="D1400" s="6" t="n">
        <f aca="false">INT((ROW()-1)/208)</f>
        <v>6</v>
      </c>
      <c r="F1400" s="6" t="str">
        <f aca="false">MID(VLOOKUP(D1400,$P$1:$Q$13,2,0), 1 + C1400,1)</f>
        <v>얽</v>
      </c>
      <c r="G1400" s="6" t="str">
        <f aca="false">DEC2HEX(D1400+36, 2)</f>
        <v>2A</v>
      </c>
      <c r="H1400" s="6" t="str">
        <f aca="false">DEC2HEX(C1400+48,2)</f>
        <v>C7</v>
      </c>
      <c r="I1400" s="6" t="str">
        <f aca="false">_xlfn.CONCAT("\x", G1400, "\x", H1400, "=", F1400)</f>
        <v>\x2A\xC7=얽</v>
      </c>
      <c r="M1400" s="8"/>
    </row>
    <row r="1401" customFormat="false" ht="12.8" hidden="false" customHeight="true" outlineLevel="0" collapsed="false">
      <c r="C1401" s="6" t="n">
        <f aca="false">MOD(ROW()-1, 208)</f>
        <v>152</v>
      </c>
      <c r="D1401" s="6" t="n">
        <f aca="false">INT((ROW()-1)/208)</f>
        <v>6</v>
      </c>
      <c r="F1401" s="6" t="str">
        <f aca="false">MID(VLOOKUP(D1401,$P$1:$Q$13,2,0), 1 + C1401,1)</f>
        <v>얾</v>
      </c>
      <c r="G1401" s="6" t="str">
        <f aca="false">DEC2HEX(D1401+36, 2)</f>
        <v>2A</v>
      </c>
      <c r="H1401" s="6" t="str">
        <f aca="false">DEC2HEX(C1401+48,2)</f>
        <v>C8</v>
      </c>
      <c r="I1401" s="6" t="str">
        <f aca="false">_xlfn.CONCAT("\x", G1401, "\x", H1401, "=", F1401)</f>
        <v>\x2A\xC8=얾</v>
      </c>
      <c r="M1401" s="8"/>
    </row>
    <row r="1402" customFormat="false" ht="12.8" hidden="false" customHeight="true" outlineLevel="0" collapsed="false">
      <c r="C1402" s="6" t="n">
        <f aca="false">MOD(ROW()-1, 208)</f>
        <v>153</v>
      </c>
      <c r="D1402" s="6" t="n">
        <f aca="false">INT((ROW()-1)/208)</f>
        <v>6</v>
      </c>
      <c r="F1402" s="6" t="str">
        <f aca="false">MID(VLOOKUP(D1402,$P$1:$Q$13,2,0), 1 + C1402,1)</f>
        <v>엄</v>
      </c>
      <c r="G1402" s="6" t="str">
        <f aca="false">DEC2HEX(D1402+36, 2)</f>
        <v>2A</v>
      </c>
      <c r="H1402" s="6" t="str">
        <f aca="false">DEC2HEX(C1402+48,2)</f>
        <v>C9</v>
      </c>
      <c r="I1402" s="6" t="str">
        <f aca="false">_xlfn.CONCAT("\x", G1402, "\x", H1402, "=", F1402)</f>
        <v>\x2A\xC9=엄</v>
      </c>
      <c r="M1402" s="8"/>
    </row>
    <row r="1403" customFormat="false" ht="12.8" hidden="false" customHeight="true" outlineLevel="0" collapsed="false">
      <c r="C1403" s="6" t="n">
        <f aca="false">MOD(ROW()-1, 208)</f>
        <v>154</v>
      </c>
      <c r="D1403" s="6" t="n">
        <f aca="false">INT((ROW()-1)/208)</f>
        <v>6</v>
      </c>
      <c r="F1403" s="6" t="str">
        <f aca="false">MID(VLOOKUP(D1403,$P$1:$Q$13,2,0), 1 + C1403,1)</f>
        <v>업</v>
      </c>
      <c r="G1403" s="6" t="str">
        <f aca="false">DEC2HEX(D1403+36, 2)</f>
        <v>2A</v>
      </c>
      <c r="H1403" s="6" t="str">
        <f aca="false">DEC2HEX(C1403+48,2)</f>
        <v>CA</v>
      </c>
      <c r="I1403" s="6" t="str">
        <f aca="false">_xlfn.CONCAT("\x", G1403, "\x", H1403, "=", F1403)</f>
        <v>\x2A\xCA=업</v>
      </c>
      <c r="M1403" s="8"/>
    </row>
    <row r="1404" customFormat="false" ht="12.8" hidden="false" customHeight="true" outlineLevel="0" collapsed="false">
      <c r="C1404" s="6" t="n">
        <f aca="false">MOD(ROW()-1, 208)</f>
        <v>155</v>
      </c>
      <c r="D1404" s="6" t="n">
        <f aca="false">INT((ROW()-1)/208)</f>
        <v>6</v>
      </c>
      <c r="F1404" s="6" t="str">
        <f aca="false">MID(VLOOKUP(D1404,$P$1:$Q$13,2,0), 1 + C1404,1)</f>
        <v>없</v>
      </c>
      <c r="G1404" s="6" t="str">
        <f aca="false">DEC2HEX(D1404+36, 2)</f>
        <v>2A</v>
      </c>
      <c r="H1404" s="6" t="str">
        <f aca="false">DEC2HEX(C1404+48,2)</f>
        <v>CB</v>
      </c>
      <c r="I1404" s="6" t="str">
        <f aca="false">_xlfn.CONCAT("\x", G1404, "\x", H1404, "=", F1404)</f>
        <v>\x2A\xCB=없</v>
      </c>
      <c r="M1404" s="8"/>
    </row>
    <row r="1405" customFormat="false" ht="12.8" hidden="false" customHeight="true" outlineLevel="0" collapsed="false">
      <c r="C1405" s="6" t="n">
        <f aca="false">MOD(ROW()-1, 208)</f>
        <v>156</v>
      </c>
      <c r="D1405" s="6" t="n">
        <f aca="false">INT((ROW()-1)/208)</f>
        <v>6</v>
      </c>
      <c r="F1405" s="6" t="str">
        <f aca="false">MID(VLOOKUP(D1405,$P$1:$Q$13,2,0), 1 + C1405,1)</f>
        <v>엇</v>
      </c>
      <c r="G1405" s="6" t="str">
        <f aca="false">DEC2HEX(D1405+36, 2)</f>
        <v>2A</v>
      </c>
      <c r="H1405" s="6" t="str">
        <f aca="false">DEC2HEX(C1405+48,2)</f>
        <v>CC</v>
      </c>
      <c r="I1405" s="6" t="str">
        <f aca="false">_xlfn.CONCAT("\x", G1405, "\x", H1405, "=", F1405)</f>
        <v>\x2A\xCC=엇</v>
      </c>
      <c r="M1405" s="8"/>
    </row>
    <row r="1406" customFormat="false" ht="12.8" hidden="false" customHeight="true" outlineLevel="0" collapsed="false">
      <c r="C1406" s="6" t="n">
        <f aca="false">MOD(ROW()-1, 208)</f>
        <v>157</v>
      </c>
      <c r="D1406" s="6" t="n">
        <f aca="false">INT((ROW()-1)/208)</f>
        <v>6</v>
      </c>
      <c r="F1406" s="6" t="str">
        <f aca="false">MID(VLOOKUP(D1406,$P$1:$Q$13,2,0), 1 + C1406,1)</f>
        <v>었</v>
      </c>
      <c r="G1406" s="6" t="str">
        <f aca="false">DEC2HEX(D1406+36, 2)</f>
        <v>2A</v>
      </c>
      <c r="H1406" s="6" t="str">
        <f aca="false">DEC2HEX(C1406+48,2)</f>
        <v>CD</v>
      </c>
      <c r="I1406" s="6" t="str">
        <f aca="false">_xlfn.CONCAT("\x", G1406, "\x", H1406, "=", F1406)</f>
        <v>\x2A\xCD=었</v>
      </c>
      <c r="M1406" s="8"/>
    </row>
    <row r="1407" customFormat="false" ht="12.8" hidden="false" customHeight="true" outlineLevel="0" collapsed="false">
      <c r="C1407" s="6" t="n">
        <f aca="false">MOD(ROW()-1, 208)</f>
        <v>158</v>
      </c>
      <c r="D1407" s="6" t="n">
        <f aca="false">INT((ROW()-1)/208)</f>
        <v>6</v>
      </c>
      <c r="F1407" s="6" t="str">
        <f aca="false">MID(VLOOKUP(D1407,$P$1:$Q$13,2,0), 1 + C1407,1)</f>
        <v>엉</v>
      </c>
      <c r="G1407" s="6" t="str">
        <f aca="false">DEC2HEX(D1407+36, 2)</f>
        <v>2A</v>
      </c>
      <c r="H1407" s="6" t="str">
        <f aca="false">DEC2HEX(C1407+48,2)</f>
        <v>CE</v>
      </c>
      <c r="I1407" s="6" t="str">
        <f aca="false">_xlfn.CONCAT("\x", G1407, "\x", H1407, "=", F1407)</f>
        <v>\x2A\xCE=엉</v>
      </c>
      <c r="M1407" s="8"/>
    </row>
    <row r="1408" customFormat="false" ht="12.8" hidden="false" customHeight="true" outlineLevel="0" collapsed="false">
      <c r="C1408" s="6" t="n">
        <f aca="false">MOD(ROW()-1, 208)</f>
        <v>159</v>
      </c>
      <c r="D1408" s="6" t="n">
        <f aca="false">INT((ROW()-1)/208)</f>
        <v>6</v>
      </c>
      <c r="F1408" s="6" t="str">
        <f aca="false">MID(VLOOKUP(D1408,$P$1:$Q$13,2,0), 1 + C1408,1)</f>
        <v>엊</v>
      </c>
      <c r="G1408" s="6" t="str">
        <f aca="false">DEC2HEX(D1408+36, 2)</f>
        <v>2A</v>
      </c>
      <c r="H1408" s="6" t="str">
        <f aca="false">DEC2HEX(C1408+48,2)</f>
        <v>CF</v>
      </c>
      <c r="I1408" s="6" t="str">
        <f aca="false">_xlfn.CONCAT("\x", G1408, "\x", H1408, "=", F1408)</f>
        <v>\x2A\xCF=엊</v>
      </c>
      <c r="M1408" s="8"/>
    </row>
    <row r="1409" customFormat="false" ht="12.8" hidden="false" customHeight="true" outlineLevel="0" collapsed="false">
      <c r="C1409" s="6" t="n">
        <f aca="false">MOD(ROW()-1, 208)</f>
        <v>160</v>
      </c>
      <c r="D1409" s="6" t="n">
        <f aca="false">INT((ROW()-1)/208)</f>
        <v>6</v>
      </c>
      <c r="F1409" s="6" t="str">
        <f aca="false">MID(VLOOKUP(D1409,$P$1:$Q$13,2,0), 1 + C1409,1)</f>
        <v>엌</v>
      </c>
      <c r="G1409" s="6" t="str">
        <f aca="false">DEC2HEX(D1409+36, 2)</f>
        <v>2A</v>
      </c>
      <c r="H1409" s="6" t="str">
        <f aca="false">DEC2HEX(C1409+48,2)</f>
        <v>D0</v>
      </c>
      <c r="I1409" s="6" t="str">
        <f aca="false">_xlfn.CONCAT("\x", G1409, "\x", H1409, "=", F1409)</f>
        <v>\x2A\xD0=엌</v>
      </c>
      <c r="M1409" s="8"/>
    </row>
    <row r="1410" customFormat="false" ht="12.8" hidden="false" customHeight="true" outlineLevel="0" collapsed="false">
      <c r="C1410" s="6" t="n">
        <f aca="false">MOD(ROW()-1, 208)</f>
        <v>161</v>
      </c>
      <c r="D1410" s="6" t="n">
        <f aca="false">INT((ROW()-1)/208)</f>
        <v>6</v>
      </c>
      <c r="F1410" s="6" t="str">
        <f aca="false">MID(VLOOKUP(D1410,$P$1:$Q$13,2,0), 1 + C1410,1)</f>
        <v>엎</v>
      </c>
      <c r="G1410" s="6" t="str">
        <f aca="false">DEC2HEX(D1410+36, 2)</f>
        <v>2A</v>
      </c>
      <c r="H1410" s="6" t="str">
        <f aca="false">DEC2HEX(C1410+48,2)</f>
        <v>D1</v>
      </c>
      <c r="I1410" s="6" t="str">
        <f aca="false">_xlfn.CONCAT("\x", G1410, "\x", H1410, "=", F1410)</f>
        <v>\x2A\xD1=엎</v>
      </c>
      <c r="M1410" s="8"/>
    </row>
    <row r="1411" customFormat="false" ht="12.8" hidden="false" customHeight="true" outlineLevel="0" collapsed="false">
      <c r="C1411" s="6" t="n">
        <f aca="false">MOD(ROW()-1, 208)</f>
        <v>162</v>
      </c>
      <c r="D1411" s="6" t="n">
        <f aca="false">INT((ROW()-1)/208)</f>
        <v>6</v>
      </c>
      <c r="F1411" s="6" t="str">
        <f aca="false">MID(VLOOKUP(D1411,$P$1:$Q$13,2,0), 1 + C1411,1)</f>
        <v>에</v>
      </c>
      <c r="G1411" s="6" t="str">
        <f aca="false">DEC2HEX(D1411+36, 2)</f>
        <v>2A</v>
      </c>
      <c r="H1411" s="6" t="str">
        <f aca="false">DEC2HEX(C1411+48,2)</f>
        <v>D2</v>
      </c>
      <c r="I1411" s="6" t="str">
        <f aca="false">_xlfn.CONCAT("\x", G1411, "\x", H1411, "=", F1411)</f>
        <v>\x2A\xD2=에</v>
      </c>
      <c r="M1411" s="8"/>
    </row>
    <row r="1412" customFormat="false" ht="12.8" hidden="false" customHeight="true" outlineLevel="0" collapsed="false">
      <c r="C1412" s="6" t="n">
        <f aca="false">MOD(ROW()-1, 208)</f>
        <v>163</v>
      </c>
      <c r="D1412" s="6" t="n">
        <f aca="false">INT((ROW()-1)/208)</f>
        <v>6</v>
      </c>
      <c r="F1412" s="6" t="str">
        <f aca="false">MID(VLOOKUP(D1412,$P$1:$Q$13,2,0), 1 + C1412,1)</f>
        <v>엑</v>
      </c>
      <c r="G1412" s="6" t="str">
        <f aca="false">DEC2HEX(D1412+36, 2)</f>
        <v>2A</v>
      </c>
      <c r="H1412" s="6" t="str">
        <f aca="false">DEC2HEX(C1412+48,2)</f>
        <v>D3</v>
      </c>
      <c r="I1412" s="6" t="str">
        <f aca="false">_xlfn.CONCAT("\x", G1412, "\x", H1412, "=", F1412)</f>
        <v>\x2A\xD3=엑</v>
      </c>
      <c r="M1412" s="8"/>
    </row>
    <row r="1413" customFormat="false" ht="12.8" hidden="false" customHeight="true" outlineLevel="0" collapsed="false">
      <c r="C1413" s="6" t="n">
        <f aca="false">MOD(ROW()-1, 208)</f>
        <v>164</v>
      </c>
      <c r="D1413" s="6" t="n">
        <f aca="false">INT((ROW()-1)/208)</f>
        <v>6</v>
      </c>
      <c r="F1413" s="6" t="str">
        <f aca="false">MID(VLOOKUP(D1413,$P$1:$Q$13,2,0), 1 + C1413,1)</f>
        <v>엔</v>
      </c>
      <c r="G1413" s="6" t="str">
        <f aca="false">DEC2HEX(D1413+36, 2)</f>
        <v>2A</v>
      </c>
      <c r="H1413" s="6" t="str">
        <f aca="false">DEC2HEX(C1413+48,2)</f>
        <v>D4</v>
      </c>
      <c r="I1413" s="6" t="str">
        <f aca="false">_xlfn.CONCAT("\x", G1413, "\x", H1413, "=", F1413)</f>
        <v>\x2A\xD4=엔</v>
      </c>
      <c r="M1413" s="8"/>
    </row>
    <row r="1414" customFormat="false" ht="12.8" hidden="false" customHeight="true" outlineLevel="0" collapsed="false">
      <c r="C1414" s="6" t="n">
        <f aca="false">MOD(ROW()-1, 208)</f>
        <v>165</v>
      </c>
      <c r="D1414" s="6" t="n">
        <f aca="false">INT((ROW()-1)/208)</f>
        <v>6</v>
      </c>
      <c r="F1414" s="6" t="str">
        <f aca="false">MID(VLOOKUP(D1414,$P$1:$Q$13,2,0), 1 + C1414,1)</f>
        <v>엘</v>
      </c>
      <c r="G1414" s="6" t="str">
        <f aca="false">DEC2HEX(D1414+36, 2)</f>
        <v>2A</v>
      </c>
      <c r="H1414" s="6" t="str">
        <f aca="false">DEC2HEX(C1414+48,2)</f>
        <v>D5</v>
      </c>
      <c r="I1414" s="6" t="str">
        <f aca="false">_xlfn.CONCAT("\x", G1414, "\x", H1414, "=", F1414)</f>
        <v>\x2A\xD5=엘</v>
      </c>
      <c r="M1414" s="8"/>
    </row>
    <row r="1415" customFormat="false" ht="12.8" hidden="false" customHeight="true" outlineLevel="0" collapsed="false">
      <c r="C1415" s="6" t="n">
        <f aca="false">MOD(ROW()-1, 208)</f>
        <v>166</v>
      </c>
      <c r="D1415" s="6" t="n">
        <f aca="false">INT((ROW()-1)/208)</f>
        <v>6</v>
      </c>
      <c r="F1415" s="6" t="str">
        <f aca="false">MID(VLOOKUP(D1415,$P$1:$Q$13,2,0), 1 + C1415,1)</f>
        <v>엠</v>
      </c>
      <c r="G1415" s="6" t="str">
        <f aca="false">DEC2HEX(D1415+36, 2)</f>
        <v>2A</v>
      </c>
      <c r="H1415" s="6" t="str">
        <f aca="false">DEC2HEX(C1415+48,2)</f>
        <v>D6</v>
      </c>
      <c r="I1415" s="6" t="str">
        <f aca="false">_xlfn.CONCAT("\x", G1415, "\x", H1415, "=", F1415)</f>
        <v>\x2A\xD6=엠</v>
      </c>
      <c r="M1415" s="8"/>
    </row>
    <row r="1416" customFormat="false" ht="12.8" hidden="false" customHeight="true" outlineLevel="0" collapsed="false">
      <c r="C1416" s="6" t="n">
        <f aca="false">MOD(ROW()-1, 208)</f>
        <v>167</v>
      </c>
      <c r="D1416" s="6" t="n">
        <f aca="false">INT((ROW()-1)/208)</f>
        <v>6</v>
      </c>
      <c r="F1416" s="6" t="str">
        <f aca="false">MID(VLOOKUP(D1416,$P$1:$Q$13,2,0), 1 + C1416,1)</f>
        <v>엡</v>
      </c>
      <c r="G1416" s="6" t="str">
        <f aca="false">DEC2HEX(D1416+36, 2)</f>
        <v>2A</v>
      </c>
      <c r="H1416" s="6" t="str">
        <f aca="false">DEC2HEX(C1416+48,2)</f>
        <v>D7</v>
      </c>
      <c r="I1416" s="6" t="str">
        <f aca="false">_xlfn.CONCAT("\x", G1416, "\x", H1416, "=", F1416)</f>
        <v>\x2A\xD7=엡</v>
      </c>
      <c r="M1416" s="8"/>
    </row>
    <row r="1417" customFormat="false" ht="12.8" hidden="false" customHeight="true" outlineLevel="0" collapsed="false">
      <c r="C1417" s="6" t="n">
        <f aca="false">MOD(ROW()-1, 208)</f>
        <v>168</v>
      </c>
      <c r="D1417" s="6" t="n">
        <f aca="false">INT((ROW()-1)/208)</f>
        <v>6</v>
      </c>
      <c r="F1417" s="6" t="str">
        <f aca="false">MID(VLOOKUP(D1417,$P$1:$Q$13,2,0), 1 + C1417,1)</f>
        <v>엣</v>
      </c>
      <c r="G1417" s="6" t="str">
        <f aca="false">DEC2HEX(D1417+36, 2)</f>
        <v>2A</v>
      </c>
      <c r="H1417" s="6" t="str">
        <f aca="false">DEC2HEX(C1417+48,2)</f>
        <v>D8</v>
      </c>
      <c r="I1417" s="6" t="str">
        <f aca="false">_xlfn.CONCAT("\x", G1417, "\x", H1417, "=", F1417)</f>
        <v>\x2A\xD8=엣</v>
      </c>
      <c r="M1417" s="8"/>
    </row>
    <row r="1418" customFormat="false" ht="12.8" hidden="false" customHeight="true" outlineLevel="0" collapsed="false">
      <c r="C1418" s="6" t="n">
        <f aca="false">MOD(ROW()-1, 208)</f>
        <v>169</v>
      </c>
      <c r="D1418" s="6" t="n">
        <f aca="false">INT((ROW()-1)/208)</f>
        <v>6</v>
      </c>
      <c r="F1418" s="6" t="str">
        <f aca="false">MID(VLOOKUP(D1418,$P$1:$Q$13,2,0), 1 + C1418,1)</f>
        <v>엥</v>
      </c>
      <c r="G1418" s="6" t="str">
        <f aca="false">DEC2HEX(D1418+36, 2)</f>
        <v>2A</v>
      </c>
      <c r="H1418" s="6" t="str">
        <f aca="false">DEC2HEX(C1418+48,2)</f>
        <v>D9</v>
      </c>
      <c r="I1418" s="6" t="str">
        <f aca="false">_xlfn.CONCAT("\x", G1418, "\x", H1418, "=", F1418)</f>
        <v>\x2A\xD9=엥</v>
      </c>
      <c r="M1418" s="8"/>
    </row>
    <row r="1419" customFormat="false" ht="12.8" hidden="false" customHeight="true" outlineLevel="0" collapsed="false">
      <c r="C1419" s="6" t="n">
        <f aca="false">MOD(ROW()-1, 208)</f>
        <v>170</v>
      </c>
      <c r="D1419" s="6" t="n">
        <f aca="false">INT((ROW()-1)/208)</f>
        <v>6</v>
      </c>
      <c r="F1419" s="6" t="str">
        <f aca="false">MID(VLOOKUP(D1419,$P$1:$Q$13,2,0), 1 + C1419,1)</f>
        <v>여</v>
      </c>
      <c r="G1419" s="6" t="str">
        <f aca="false">DEC2HEX(D1419+36, 2)</f>
        <v>2A</v>
      </c>
      <c r="H1419" s="6" t="str">
        <f aca="false">DEC2HEX(C1419+48,2)</f>
        <v>DA</v>
      </c>
      <c r="I1419" s="6" t="str">
        <f aca="false">_xlfn.CONCAT("\x", G1419, "\x", H1419, "=", F1419)</f>
        <v>\x2A\xDA=여</v>
      </c>
      <c r="M1419" s="8"/>
    </row>
    <row r="1420" customFormat="false" ht="12.8" hidden="false" customHeight="true" outlineLevel="0" collapsed="false">
      <c r="C1420" s="6" t="n">
        <f aca="false">MOD(ROW()-1, 208)</f>
        <v>171</v>
      </c>
      <c r="D1420" s="6" t="n">
        <f aca="false">INT((ROW()-1)/208)</f>
        <v>6</v>
      </c>
      <c r="F1420" s="6" t="str">
        <f aca="false">MID(VLOOKUP(D1420,$P$1:$Q$13,2,0), 1 + C1420,1)</f>
        <v>역</v>
      </c>
      <c r="G1420" s="6" t="str">
        <f aca="false">DEC2HEX(D1420+36, 2)</f>
        <v>2A</v>
      </c>
      <c r="H1420" s="6" t="str">
        <f aca="false">DEC2HEX(C1420+48,2)</f>
        <v>DB</v>
      </c>
      <c r="I1420" s="6" t="str">
        <f aca="false">_xlfn.CONCAT("\x", G1420, "\x", H1420, "=", F1420)</f>
        <v>\x2A\xDB=역</v>
      </c>
      <c r="M1420" s="8"/>
    </row>
    <row r="1421" customFormat="false" ht="12.8" hidden="false" customHeight="true" outlineLevel="0" collapsed="false">
      <c r="C1421" s="6" t="n">
        <f aca="false">MOD(ROW()-1, 208)</f>
        <v>172</v>
      </c>
      <c r="D1421" s="6" t="n">
        <f aca="false">INT((ROW()-1)/208)</f>
        <v>6</v>
      </c>
      <c r="F1421" s="6" t="str">
        <f aca="false">MID(VLOOKUP(D1421,$P$1:$Q$13,2,0), 1 + C1421,1)</f>
        <v>엮</v>
      </c>
      <c r="G1421" s="6" t="str">
        <f aca="false">DEC2HEX(D1421+36, 2)</f>
        <v>2A</v>
      </c>
      <c r="H1421" s="6" t="str">
        <f aca="false">DEC2HEX(C1421+48,2)</f>
        <v>DC</v>
      </c>
      <c r="I1421" s="6" t="str">
        <f aca="false">_xlfn.CONCAT("\x", G1421, "\x", H1421, "=", F1421)</f>
        <v>\x2A\xDC=엮</v>
      </c>
      <c r="M1421" s="8"/>
    </row>
    <row r="1422" customFormat="false" ht="12.8" hidden="false" customHeight="true" outlineLevel="0" collapsed="false">
      <c r="C1422" s="6" t="n">
        <f aca="false">MOD(ROW()-1, 208)</f>
        <v>173</v>
      </c>
      <c r="D1422" s="6" t="n">
        <f aca="false">INT((ROW()-1)/208)</f>
        <v>6</v>
      </c>
      <c r="F1422" s="6" t="str">
        <f aca="false">MID(VLOOKUP(D1422,$P$1:$Q$13,2,0), 1 + C1422,1)</f>
        <v>연</v>
      </c>
      <c r="G1422" s="6" t="str">
        <f aca="false">DEC2HEX(D1422+36, 2)</f>
        <v>2A</v>
      </c>
      <c r="H1422" s="6" t="str">
        <f aca="false">DEC2HEX(C1422+48,2)</f>
        <v>DD</v>
      </c>
      <c r="I1422" s="6" t="str">
        <f aca="false">_xlfn.CONCAT("\x", G1422, "\x", H1422, "=", F1422)</f>
        <v>\x2A\xDD=연</v>
      </c>
      <c r="M1422" s="8"/>
    </row>
    <row r="1423" customFormat="false" ht="12.8" hidden="false" customHeight="true" outlineLevel="0" collapsed="false">
      <c r="C1423" s="6" t="n">
        <f aca="false">MOD(ROW()-1, 208)</f>
        <v>174</v>
      </c>
      <c r="D1423" s="6" t="n">
        <f aca="false">INT((ROW()-1)/208)</f>
        <v>6</v>
      </c>
      <c r="F1423" s="6" t="str">
        <f aca="false">MID(VLOOKUP(D1423,$P$1:$Q$13,2,0), 1 + C1423,1)</f>
        <v>열</v>
      </c>
      <c r="G1423" s="6" t="str">
        <f aca="false">DEC2HEX(D1423+36, 2)</f>
        <v>2A</v>
      </c>
      <c r="H1423" s="6" t="str">
        <f aca="false">DEC2HEX(C1423+48,2)</f>
        <v>DE</v>
      </c>
      <c r="I1423" s="6" t="str">
        <f aca="false">_xlfn.CONCAT("\x", G1423, "\x", H1423, "=", F1423)</f>
        <v>\x2A\xDE=열</v>
      </c>
      <c r="M1423" s="8"/>
    </row>
    <row r="1424" customFormat="false" ht="12.8" hidden="false" customHeight="true" outlineLevel="0" collapsed="false">
      <c r="C1424" s="6" t="n">
        <f aca="false">MOD(ROW()-1, 208)</f>
        <v>175</v>
      </c>
      <c r="D1424" s="6" t="n">
        <f aca="false">INT((ROW()-1)/208)</f>
        <v>6</v>
      </c>
      <c r="F1424" s="6" t="str">
        <f aca="false">MID(VLOOKUP(D1424,$P$1:$Q$13,2,0), 1 + C1424,1)</f>
        <v>엶</v>
      </c>
      <c r="G1424" s="6" t="str">
        <f aca="false">DEC2HEX(D1424+36, 2)</f>
        <v>2A</v>
      </c>
      <c r="H1424" s="6" t="str">
        <f aca="false">DEC2HEX(C1424+48,2)</f>
        <v>DF</v>
      </c>
      <c r="I1424" s="6" t="str">
        <f aca="false">_xlfn.CONCAT("\x", G1424, "\x", H1424, "=", F1424)</f>
        <v>\x2A\xDF=엶</v>
      </c>
      <c r="M1424" s="8"/>
    </row>
    <row r="1425" customFormat="false" ht="12.8" hidden="false" customHeight="true" outlineLevel="0" collapsed="false">
      <c r="C1425" s="6" t="n">
        <f aca="false">MOD(ROW()-1, 208)</f>
        <v>176</v>
      </c>
      <c r="D1425" s="6" t="n">
        <f aca="false">INT((ROW()-1)/208)</f>
        <v>6</v>
      </c>
      <c r="F1425" s="6" t="str">
        <f aca="false">MID(VLOOKUP(D1425,$P$1:$Q$13,2,0), 1 + C1425,1)</f>
        <v>엷</v>
      </c>
      <c r="G1425" s="6" t="str">
        <f aca="false">DEC2HEX(D1425+36, 2)</f>
        <v>2A</v>
      </c>
      <c r="H1425" s="6" t="str">
        <f aca="false">DEC2HEX(C1425+48,2)</f>
        <v>E0</v>
      </c>
      <c r="I1425" s="6" t="str">
        <f aca="false">_xlfn.CONCAT("\x", G1425, "\x", H1425, "=", F1425)</f>
        <v>\x2A\xE0=엷</v>
      </c>
      <c r="M1425" s="8"/>
    </row>
    <row r="1426" customFormat="false" ht="12.8" hidden="false" customHeight="true" outlineLevel="0" collapsed="false">
      <c r="C1426" s="6" t="n">
        <f aca="false">MOD(ROW()-1, 208)</f>
        <v>177</v>
      </c>
      <c r="D1426" s="6" t="n">
        <f aca="false">INT((ROW()-1)/208)</f>
        <v>6</v>
      </c>
      <c r="F1426" s="6" t="str">
        <f aca="false">MID(VLOOKUP(D1426,$P$1:$Q$13,2,0), 1 + C1426,1)</f>
        <v>염</v>
      </c>
      <c r="G1426" s="6" t="str">
        <f aca="false">DEC2HEX(D1426+36, 2)</f>
        <v>2A</v>
      </c>
      <c r="H1426" s="6" t="str">
        <f aca="false">DEC2HEX(C1426+48,2)</f>
        <v>E1</v>
      </c>
      <c r="I1426" s="6" t="str">
        <f aca="false">_xlfn.CONCAT("\x", G1426, "\x", H1426, "=", F1426)</f>
        <v>\x2A\xE1=염</v>
      </c>
      <c r="M1426" s="8"/>
    </row>
    <row r="1427" customFormat="false" ht="12.8" hidden="false" customHeight="true" outlineLevel="0" collapsed="false">
      <c r="C1427" s="6" t="n">
        <f aca="false">MOD(ROW()-1, 208)</f>
        <v>178</v>
      </c>
      <c r="D1427" s="6" t="n">
        <f aca="false">INT((ROW()-1)/208)</f>
        <v>6</v>
      </c>
      <c r="F1427" s="6" t="str">
        <f aca="false">MID(VLOOKUP(D1427,$P$1:$Q$13,2,0), 1 + C1427,1)</f>
        <v>엽</v>
      </c>
      <c r="G1427" s="6" t="str">
        <f aca="false">DEC2HEX(D1427+36, 2)</f>
        <v>2A</v>
      </c>
      <c r="H1427" s="6" t="str">
        <f aca="false">DEC2HEX(C1427+48,2)</f>
        <v>E2</v>
      </c>
      <c r="I1427" s="6" t="str">
        <f aca="false">_xlfn.CONCAT("\x", G1427, "\x", H1427, "=", F1427)</f>
        <v>\x2A\xE2=엽</v>
      </c>
      <c r="M1427" s="8"/>
    </row>
    <row r="1428" customFormat="false" ht="12.8" hidden="false" customHeight="true" outlineLevel="0" collapsed="false">
      <c r="C1428" s="6" t="n">
        <f aca="false">MOD(ROW()-1, 208)</f>
        <v>179</v>
      </c>
      <c r="D1428" s="6" t="n">
        <f aca="false">INT((ROW()-1)/208)</f>
        <v>6</v>
      </c>
      <c r="F1428" s="6" t="str">
        <f aca="false">MID(VLOOKUP(D1428,$P$1:$Q$13,2,0), 1 + C1428,1)</f>
        <v>엾</v>
      </c>
      <c r="G1428" s="6" t="str">
        <f aca="false">DEC2HEX(D1428+36, 2)</f>
        <v>2A</v>
      </c>
      <c r="H1428" s="6" t="str">
        <f aca="false">DEC2HEX(C1428+48,2)</f>
        <v>E3</v>
      </c>
      <c r="I1428" s="6" t="str">
        <f aca="false">_xlfn.CONCAT("\x", G1428, "\x", H1428, "=", F1428)</f>
        <v>\x2A\xE3=엾</v>
      </c>
      <c r="M1428" s="8"/>
    </row>
    <row r="1429" customFormat="false" ht="12.8" hidden="false" customHeight="true" outlineLevel="0" collapsed="false">
      <c r="C1429" s="6" t="n">
        <f aca="false">MOD(ROW()-1, 208)</f>
        <v>180</v>
      </c>
      <c r="D1429" s="6" t="n">
        <f aca="false">INT((ROW()-1)/208)</f>
        <v>6</v>
      </c>
      <c r="F1429" s="6" t="str">
        <f aca="false">MID(VLOOKUP(D1429,$P$1:$Q$13,2,0), 1 + C1429,1)</f>
        <v>엿</v>
      </c>
      <c r="G1429" s="6" t="str">
        <f aca="false">DEC2HEX(D1429+36, 2)</f>
        <v>2A</v>
      </c>
      <c r="H1429" s="6" t="str">
        <f aca="false">DEC2HEX(C1429+48,2)</f>
        <v>E4</v>
      </c>
      <c r="I1429" s="6" t="str">
        <f aca="false">_xlfn.CONCAT("\x", G1429, "\x", H1429, "=", F1429)</f>
        <v>\x2A\xE4=엿</v>
      </c>
      <c r="M1429" s="8"/>
    </row>
    <row r="1430" customFormat="false" ht="12.8" hidden="false" customHeight="true" outlineLevel="0" collapsed="false">
      <c r="C1430" s="6" t="n">
        <f aca="false">MOD(ROW()-1, 208)</f>
        <v>181</v>
      </c>
      <c r="D1430" s="6" t="n">
        <f aca="false">INT((ROW()-1)/208)</f>
        <v>6</v>
      </c>
      <c r="F1430" s="6" t="str">
        <f aca="false">MID(VLOOKUP(D1430,$P$1:$Q$13,2,0), 1 + C1430,1)</f>
        <v>였</v>
      </c>
      <c r="G1430" s="6" t="str">
        <f aca="false">DEC2HEX(D1430+36, 2)</f>
        <v>2A</v>
      </c>
      <c r="H1430" s="6" t="str">
        <f aca="false">DEC2HEX(C1430+48,2)</f>
        <v>E5</v>
      </c>
      <c r="I1430" s="6" t="str">
        <f aca="false">_xlfn.CONCAT("\x", G1430, "\x", H1430, "=", F1430)</f>
        <v>\x2A\xE5=였</v>
      </c>
      <c r="M1430" s="8"/>
    </row>
    <row r="1431" customFormat="false" ht="12.8" hidden="false" customHeight="true" outlineLevel="0" collapsed="false">
      <c r="C1431" s="6" t="n">
        <f aca="false">MOD(ROW()-1, 208)</f>
        <v>182</v>
      </c>
      <c r="D1431" s="6" t="n">
        <f aca="false">INT((ROW()-1)/208)</f>
        <v>6</v>
      </c>
      <c r="F1431" s="6" t="str">
        <f aca="false">MID(VLOOKUP(D1431,$P$1:$Q$13,2,0), 1 + C1431,1)</f>
        <v>영</v>
      </c>
      <c r="G1431" s="6" t="str">
        <f aca="false">DEC2HEX(D1431+36, 2)</f>
        <v>2A</v>
      </c>
      <c r="H1431" s="6" t="str">
        <f aca="false">DEC2HEX(C1431+48,2)</f>
        <v>E6</v>
      </c>
      <c r="I1431" s="6" t="str">
        <f aca="false">_xlfn.CONCAT("\x", G1431, "\x", H1431, "=", F1431)</f>
        <v>\x2A\xE6=영</v>
      </c>
      <c r="M1431" s="8"/>
    </row>
    <row r="1432" customFormat="false" ht="12.8" hidden="false" customHeight="true" outlineLevel="0" collapsed="false">
      <c r="C1432" s="6" t="n">
        <f aca="false">MOD(ROW()-1, 208)</f>
        <v>183</v>
      </c>
      <c r="D1432" s="6" t="n">
        <f aca="false">INT((ROW()-1)/208)</f>
        <v>6</v>
      </c>
      <c r="F1432" s="6" t="str">
        <f aca="false">MID(VLOOKUP(D1432,$P$1:$Q$13,2,0), 1 + C1432,1)</f>
        <v>옅</v>
      </c>
      <c r="G1432" s="6" t="str">
        <f aca="false">DEC2HEX(D1432+36, 2)</f>
        <v>2A</v>
      </c>
      <c r="H1432" s="6" t="str">
        <f aca="false">DEC2HEX(C1432+48,2)</f>
        <v>E7</v>
      </c>
      <c r="I1432" s="6" t="str">
        <f aca="false">_xlfn.CONCAT("\x", G1432, "\x", H1432, "=", F1432)</f>
        <v>\x2A\xE7=옅</v>
      </c>
      <c r="M1432" s="8"/>
    </row>
    <row r="1433" customFormat="false" ht="12.8" hidden="false" customHeight="true" outlineLevel="0" collapsed="false">
      <c r="C1433" s="6" t="n">
        <f aca="false">MOD(ROW()-1, 208)</f>
        <v>184</v>
      </c>
      <c r="D1433" s="6" t="n">
        <f aca="false">INT((ROW()-1)/208)</f>
        <v>6</v>
      </c>
      <c r="F1433" s="6" t="str">
        <f aca="false">MID(VLOOKUP(D1433,$P$1:$Q$13,2,0), 1 + C1433,1)</f>
        <v>옆</v>
      </c>
      <c r="G1433" s="6" t="str">
        <f aca="false">DEC2HEX(D1433+36, 2)</f>
        <v>2A</v>
      </c>
      <c r="H1433" s="6" t="str">
        <f aca="false">DEC2HEX(C1433+48,2)</f>
        <v>E8</v>
      </c>
      <c r="I1433" s="6" t="str">
        <f aca="false">_xlfn.CONCAT("\x", G1433, "\x", H1433, "=", F1433)</f>
        <v>\x2A\xE8=옆</v>
      </c>
      <c r="M1433" s="8"/>
    </row>
    <row r="1434" customFormat="false" ht="12.8" hidden="false" customHeight="true" outlineLevel="0" collapsed="false">
      <c r="C1434" s="6" t="n">
        <f aca="false">MOD(ROW()-1, 208)</f>
        <v>185</v>
      </c>
      <c r="D1434" s="6" t="n">
        <f aca="false">INT((ROW()-1)/208)</f>
        <v>6</v>
      </c>
      <c r="F1434" s="6" t="str">
        <f aca="false">MID(VLOOKUP(D1434,$P$1:$Q$13,2,0), 1 + C1434,1)</f>
        <v>옇</v>
      </c>
      <c r="G1434" s="6" t="str">
        <f aca="false">DEC2HEX(D1434+36, 2)</f>
        <v>2A</v>
      </c>
      <c r="H1434" s="6" t="str">
        <f aca="false">DEC2HEX(C1434+48,2)</f>
        <v>E9</v>
      </c>
      <c r="I1434" s="6" t="str">
        <f aca="false">_xlfn.CONCAT("\x", G1434, "\x", H1434, "=", F1434)</f>
        <v>\x2A\xE9=옇</v>
      </c>
      <c r="M1434" s="8"/>
    </row>
    <row r="1435" customFormat="false" ht="12.8" hidden="false" customHeight="true" outlineLevel="0" collapsed="false">
      <c r="C1435" s="6" t="n">
        <f aca="false">MOD(ROW()-1, 208)</f>
        <v>186</v>
      </c>
      <c r="D1435" s="6" t="n">
        <f aca="false">INT((ROW()-1)/208)</f>
        <v>6</v>
      </c>
      <c r="F1435" s="6" t="str">
        <f aca="false">MID(VLOOKUP(D1435,$P$1:$Q$13,2,0), 1 + C1435,1)</f>
        <v>예</v>
      </c>
      <c r="G1435" s="6" t="str">
        <f aca="false">DEC2HEX(D1435+36, 2)</f>
        <v>2A</v>
      </c>
      <c r="H1435" s="6" t="str">
        <f aca="false">DEC2HEX(C1435+48,2)</f>
        <v>EA</v>
      </c>
      <c r="I1435" s="6" t="str">
        <f aca="false">_xlfn.CONCAT("\x", G1435, "\x", H1435, "=", F1435)</f>
        <v>\x2A\xEA=예</v>
      </c>
      <c r="M1435" s="8"/>
    </row>
    <row r="1436" customFormat="false" ht="12.8" hidden="false" customHeight="true" outlineLevel="0" collapsed="false">
      <c r="C1436" s="6" t="n">
        <f aca="false">MOD(ROW()-1, 208)</f>
        <v>187</v>
      </c>
      <c r="D1436" s="6" t="n">
        <f aca="false">INT((ROW()-1)/208)</f>
        <v>6</v>
      </c>
      <c r="F1436" s="6" t="str">
        <f aca="false">MID(VLOOKUP(D1436,$P$1:$Q$13,2,0), 1 + C1436,1)</f>
        <v>옌</v>
      </c>
      <c r="G1436" s="6" t="str">
        <f aca="false">DEC2HEX(D1436+36, 2)</f>
        <v>2A</v>
      </c>
      <c r="H1436" s="6" t="str">
        <f aca="false">DEC2HEX(C1436+48,2)</f>
        <v>EB</v>
      </c>
      <c r="I1436" s="6" t="str">
        <f aca="false">_xlfn.CONCAT("\x", G1436, "\x", H1436, "=", F1436)</f>
        <v>\x2A\xEB=옌</v>
      </c>
      <c r="M1436" s="8"/>
    </row>
    <row r="1437" customFormat="false" ht="12.8" hidden="false" customHeight="true" outlineLevel="0" collapsed="false">
      <c r="C1437" s="6" t="n">
        <f aca="false">MOD(ROW()-1, 208)</f>
        <v>188</v>
      </c>
      <c r="D1437" s="6" t="n">
        <f aca="false">INT((ROW()-1)/208)</f>
        <v>6</v>
      </c>
      <c r="F1437" s="6" t="str">
        <f aca="false">MID(VLOOKUP(D1437,$P$1:$Q$13,2,0), 1 + C1437,1)</f>
        <v>옐</v>
      </c>
      <c r="G1437" s="6" t="str">
        <f aca="false">DEC2HEX(D1437+36, 2)</f>
        <v>2A</v>
      </c>
      <c r="H1437" s="6" t="str">
        <f aca="false">DEC2HEX(C1437+48,2)</f>
        <v>EC</v>
      </c>
      <c r="I1437" s="6" t="str">
        <f aca="false">_xlfn.CONCAT("\x", G1437, "\x", H1437, "=", F1437)</f>
        <v>\x2A\xEC=옐</v>
      </c>
      <c r="M1437" s="8"/>
    </row>
    <row r="1438" customFormat="false" ht="12.8" hidden="false" customHeight="true" outlineLevel="0" collapsed="false">
      <c r="C1438" s="6" t="n">
        <f aca="false">MOD(ROW()-1, 208)</f>
        <v>189</v>
      </c>
      <c r="D1438" s="6" t="n">
        <f aca="false">INT((ROW()-1)/208)</f>
        <v>6</v>
      </c>
      <c r="F1438" s="6" t="str">
        <f aca="false">MID(VLOOKUP(D1438,$P$1:$Q$13,2,0), 1 + C1438,1)</f>
        <v>옘</v>
      </c>
      <c r="G1438" s="6" t="str">
        <f aca="false">DEC2HEX(D1438+36, 2)</f>
        <v>2A</v>
      </c>
      <c r="H1438" s="6" t="str">
        <f aca="false">DEC2HEX(C1438+48,2)</f>
        <v>ED</v>
      </c>
      <c r="I1438" s="6" t="str">
        <f aca="false">_xlfn.CONCAT("\x", G1438, "\x", H1438, "=", F1438)</f>
        <v>\x2A\xED=옘</v>
      </c>
      <c r="M1438" s="8"/>
    </row>
    <row r="1439" customFormat="false" ht="12.8" hidden="false" customHeight="true" outlineLevel="0" collapsed="false">
      <c r="C1439" s="6" t="n">
        <f aca="false">MOD(ROW()-1, 208)</f>
        <v>190</v>
      </c>
      <c r="D1439" s="6" t="n">
        <f aca="false">INT((ROW()-1)/208)</f>
        <v>6</v>
      </c>
      <c r="F1439" s="6" t="str">
        <f aca="false">MID(VLOOKUP(D1439,$P$1:$Q$13,2,0), 1 + C1439,1)</f>
        <v>옙</v>
      </c>
      <c r="G1439" s="6" t="str">
        <f aca="false">DEC2HEX(D1439+36, 2)</f>
        <v>2A</v>
      </c>
      <c r="H1439" s="6" t="str">
        <f aca="false">DEC2HEX(C1439+48,2)</f>
        <v>EE</v>
      </c>
      <c r="I1439" s="6" t="str">
        <f aca="false">_xlfn.CONCAT("\x", G1439, "\x", H1439, "=", F1439)</f>
        <v>\x2A\xEE=옙</v>
      </c>
      <c r="M1439" s="8"/>
    </row>
    <row r="1440" customFormat="false" ht="12.8" hidden="false" customHeight="true" outlineLevel="0" collapsed="false">
      <c r="C1440" s="6" t="n">
        <f aca="false">MOD(ROW()-1, 208)</f>
        <v>191</v>
      </c>
      <c r="D1440" s="6" t="n">
        <f aca="false">INT((ROW()-1)/208)</f>
        <v>6</v>
      </c>
      <c r="F1440" s="6" t="str">
        <f aca="false">MID(VLOOKUP(D1440,$P$1:$Q$13,2,0), 1 + C1440,1)</f>
        <v>옛</v>
      </c>
      <c r="G1440" s="6" t="str">
        <f aca="false">DEC2HEX(D1440+36, 2)</f>
        <v>2A</v>
      </c>
      <c r="H1440" s="6" t="str">
        <f aca="false">DEC2HEX(C1440+48,2)</f>
        <v>EF</v>
      </c>
      <c r="I1440" s="6" t="str">
        <f aca="false">_xlfn.CONCAT("\x", G1440, "\x", H1440, "=", F1440)</f>
        <v>\x2A\xEF=옛</v>
      </c>
      <c r="M1440" s="8"/>
    </row>
    <row r="1441" customFormat="false" ht="12.8" hidden="false" customHeight="true" outlineLevel="0" collapsed="false">
      <c r="C1441" s="6" t="n">
        <f aca="false">MOD(ROW()-1, 208)</f>
        <v>192</v>
      </c>
      <c r="D1441" s="6" t="n">
        <f aca="false">INT((ROW()-1)/208)</f>
        <v>6</v>
      </c>
      <c r="F1441" s="6" t="str">
        <f aca="false">MID(VLOOKUP(D1441,$P$1:$Q$13,2,0), 1 + C1441,1)</f>
        <v>옜</v>
      </c>
      <c r="G1441" s="6" t="str">
        <f aca="false">DEC2HEX(D1441+36, 2)</f>
        <v>2A</v>
      </c>
      <c r="H1441" s="6" t="str">
        <f aca="false">DEC2HEX(C1441+48,2)</f>
        <v>F0</v>
      </c>
      <c r="I1441" s="6" t="str">
        <f aca="false">_xlfn.CONCAT("\x", G1441, "\x", H1441, "=", F1441)</f>
        <v>\x2A\xF0=옜</v>
      </c>
      <c r="M1441" s="8"/>
    </row>
    <row r="1442" customFormat="false" ht="12.8" hidden="false" customHeight="true" outlineLevel="0" collapsed="false">
      <c r="C1442" s="6" t="n">
        <f aca="false">MOD(ROW()-1, 208)</f>
        <v>193</v>
      </c>
      <c r="D1442" s="6" t="n">
        <f aca="false">INT((ROW()-1)/208)</f>
        <v>6</v>
      </c>
      <c r="F1442" s="6" t="str">
        <f aca="false">MID(VLOOKUP(D1442,$P$1:$Q$13,2,0), 1 + C1442,1)</f>
        <v>오</v>
      </c>
      <c r="G1442" s="6" t="str">
        <f aca="false">DEC2HEX(D1442+36, 2)</f>
        <v>2A</v>
      </c>
      <c r="H1442" s="6" t="str">
        <f aca="false">DEC2HEX(C1442+48,2)</f>
        <v>F1</v>
      </c>
      <c r="I1442" s="6" t="str">
        <f aca="false">_xlfn.CONCAT("\x", G1442, "\x", H1442, "=", F1442)</f>
        <v>\x2A\xF1=오</v>
      </c>
      <c r="M1442" s="8"/>
    </row>
    <row r="1443" customFormat="false" ht="12.8" hidden="false" customHeight="true" outlineLevel="0" collapsed="false">
      <c r="C1443" s="6" t="n">
        <f aca="false">MOD(ROW()-1, 208)</f>
        <v>194</v>
      </c>
      <c r="D1443" s="6" t="n">
        <f aca="false">INT((ROW()-1)/208)</f>
        <v>6</v>
      </c>
      <c r="F1443" s="6" t="str">
        <f aca="false">MID(VLOOKUP(D1443,$P$1:$Q$13,2,0), 1 + C1443,1)</f>
        <v>옥</v>
      </c>
      <c r="G1443" s="6" t="str">
        <f aca="false">DEC2HEX(D1443+36, 2)</f>
        <v>2A</v>
      </c>
      <c r="H1443" s="6" t="str">
        <f aca="false">DEC2HEX(C1443+48,2)</f>
        <v>F2</v>
      </c>
      <c r="I1443" s="6" t="str">
        <f aca="false">_xlfn.CONCAT("\x", G1443, "\x", H1443, "=", F1443)</f>
        <v>\x2A\xF2=옥</v>
      </c>
      <c r="M1443" s="8"/>
    </row>
    <row r="1444" customFormat="false" ht="12.8" hidden="false" customHeight="true" outlineLevel="0" collapsed="false">
      <c r="C1444" s="6" t="n">
        <f aca="false">MOD(ROW()-1, 208)</f>
        <v>195</v>
      </c>
      <c r="D1444" s="6" t="n">
        <f aca="false">INT((ROW()-1)/208)</f>
        <v>6</v>
      </c>
      <c r="F1444" s="6" t="str">
        <f aca="false">MID(VLOOKUP(D1444,$P$1:$Q$13,2,0), 1 + C1444,1)</f>
        <v>온</v>
      </c>
      <c r="G1444" s="6" t="str">
        <f aca="false">DEC2HEX(D1444+36, 2)</f>
        <v>2A</v>
      </c>
      <c r="H1444" s="6" t="str">
        <f aca="false">DEC2HEX(C1444+48,2)</f>
        <v>F3</v>
      </c>
      <c r="I1444" s="6" t="str">
        <f aca="false">_xlfn.CONCAT("\x", G1444, "\x", H1444, "=", F1444)</f>
        <v>\x2A\xF3=온</v>
      </c>
      <c r="M1444" s="8"/>
    </row>
    <row r="1445" customFormat="false" ht="12.8" hidden="false" customHeight="true" outlineLevel="0" collapsed="false">
      <c r="C1445" s="6" t="n">
        <f aca="false">MOD(ROW()-1, 208)</f>
        <v>196</v>
      </c>
      <c r="D1445" s="6" t="n">
        <f aca="false">INT((ROW()-1)/208)</f>
        <v>6</v>
      </c>
      <c r="F1445" s="6" t="str">
        <f aca="false">MID(VLOOKUP(D1445,$P$1:$Q$13,2,0), 1 + C1445,1)</f>
        <v>올</v>
      </c>
      <c r="G1445" s="6" t="str">
        <f aca="false">DEC2HEX(D1445+36, 2)</f>
        <v>2A</v>
      </c>
      <c r="H1445" s="6" t="str">
        <f aca="false">DEC2HEX(C1445+48,2)</f>
        <v>F4</v>
      </c>
      <c r="I1445" s="6" t="str">
        <f aca="false">_xlfn.CONCAT("\x", G1445, "\x", H1445, "=", F1445)</f>
        <v>\x2A\xF4=올</v>
      </c>
      <c r="M1445" s="8"/>
    </row>
    <row r="1446" customFormat="false" ht="12.8" hidden="false" customHeight="true" outlineLevel="0" collapsed="false">
      <c r="C1446" s="6" t="n">
        <f aca="false">MOD(ROW()-1, 208)</f>
        <v>197</v>
      </c>
      <c r="D1446" s="6" t="n">
        <f aca="false">INT((ROW()-1)/208)</f>
        <v>6</v>
      </c>
      <c r="F1446" s="6" t="str">
        <f aca="false">MID(VLOOKUP(D1446,$P$1:$Q$13,2,0), 1 + C1446,1)</f>
        <v>옭</v>
      </c>
      <c r="G1446" s="6" t="str">
        <f aca="false">DEC2HEX(D1446+36, 2)</f>
        <v>2A</v>
      </c>
      <c r="H1446" s="6" t="str">
        <f aca="false">DEC2HEX(C1446+48,2)</f>
        <v>F5</v>
      </c>
      <c r="I1446" s="6" t="str">
        <f aca="false">_xlfn.CONCAT("\x", G1446, "\x", H1446, "=", F1446)</f>
        <v>\x2A\xF5=옭</v>
      </c>
      <c r="M1446" s="8"/>
    </row>
    <row r="1447" customFormat="false" ht="12.8" hidden="false" customHeight="true" outlineLevel="0" collapsed="false">
      <c r="C1447" s="6" t="n">
        <f aca="false">MOD(ROW()-1, 208)</f>
        <v>198</v>
      </c>
      <c r="D1447" s="6" t="n">
        <f aca="false">INT((ROW()-1)/208)</f>
        <v>6</v>
      </c>
      <c r="F1447" s="6" t="str">
        <f aca="false">MID(VLOOKUP(D1447,$P$1:$Q$13,2,0), 1 + C1447,1)</f>
        <v>옮</v>
      </c>
      <c r="G1447" s="6" t="str">
        <f aca="false">DEC2HEX(D1447+36, 2)</f>
        <v>2A</v>
      </c>
      <c r="H1447" s="6" t="str">
        <f aca="false">DEC2HEX(C1447+48,2)</f>
        <v>F6</v>
      </c>
      <c r="I1447" s="6" t="str">
        <f aca="false">_xlfn.CONCAT("\x", G1447, "\x", H1447, "=", F1447)</f>
        <v>\x2A\xF6=옮</v>
      </c>
      <c r="M1447" s="8"/>
    </row>
    <row r="1448" customFormat="false" ht="12.8" hidden="false" customHeight="true" outlineLevel="0" collapsed="false">
      <c r="C1448" s="6" t="n">
        <f aca="false">MOD(ROW()-1, 208)</f>
        <v>199</v>
      </c>
      <c r="D1448" s="6" t="n">
        <f aca="false">INT((ROW()-1)/208)</f>
        <v>6</v>
      </c>
      <c r="F1448" s="6" t="str">
        <f aca="false">MID(VLOOKUP(D1448,$P$1:$Q$13,2,0), 1 + C1448,1)</f>
        <v>옰</v>
      </c>
      <c r="G1448" s="6" t="str">
        <f aca="false">DEC2HEX(D1448+36, 2)</f>
        <v>2A</v>
      </c>
      <c r="H1448" s="6" t="str">
        <f aca="false">DEC2HEX(C1448+48,2)</f>
        <v>F7</v>
      </c>
      <c r="I1448" s="6" t="str">
        <f aca="false">_xlfn.CONCAT("\x", G1448, "\x", H1448, "=", F1448)</f>
        <v>\x2A\xF7=옰</v>
      </c>
      <c r="M1448" s="8"/>
    </row>
    <row r="1449" customFormat="false" ht="12.8" hidden="false" customHeight="true" outlineLevel="0" collapsed="false">
      <c r="C1449" s="6" t="n">
        <f aca="false">MOD(ROW()-1, 208)</f>
        <v>200</v>
      </c>
      <c r="D1449" s="6" t="n">
        <f aca="false">INT((ROW()-1)/208)</f>
        <v>6</v>
      </c>
      <c r="F1449" s="6" t="str">
        <f aca="false">MID(VLOOKUP(D1449,$P$1:$Q$13,2,0), 1 + C1449,1)</f>
        <v>옳</v>
      </c>
      <c r="G1449" s="6" t="str">
        <f aca="false">DEC2HEX(D1449+36, 2)</f>
        <v>2A</v>
      </c>
      <c r="H1449" s="6" t="str">
        <f aca="false">DEC2HEX(C1449+48,2)</f>
        <v>F8</v>
      </c>
      <c r="I1449" s="6" t="str">
        <f aca="false">_xlfn.CONCAT("\x", G1449, "\x", H1449, "=", F1449)</f>
        <v>\x2A\xF8=옳</v>
      </c>
      <c r="M1449" s="8"/>
    </row>
    <row r="1450" customFormat="false" ht="12.8" hidden="false" customHeight="true" outlineLevel="0" collapsed="false">
      <c r="C1450" s="6" t="n">
        <f aca="false">MOD(ROW()-1, 208)</f>
        <v>201</v>
      </c>
      <c r="D1450" s="6" t="n">
        <f aca="false">INT((ROW()-1)/208)</f>
        <v>6</v>
      </c>
      <c r="F1450" s="6" t="str">
        <f aca="false">MID(VLOOKUP(D1450,$P$1:$Q$13,2,0), 1 + C1450,1)</f>
        <v>옴</v>
      </c>
      <c r="G1450" s="6" t="str">
        <f aca="false">DEC2HEX(D1450+36, 2)</f>
        <v>2A</v>
      </c>
      <c r="H1450" s="6" t="str">
        <f aca="false">DEC2HEX(C1450+48,2)</f>
        <v>F9</v>
      </c>
      <c r="I1450" s="6" t="str">
        <f aca="false">_xlfn.CONCAT("\x", G1450, "\x", H1450, "=", F1450)</f>
        <v>\x2A\xF9=옴</v>
      </c>
      <c r="M1450" s="8"/>
    </row>
    <row r="1451" customFormat="false" ht="12.8" hidden="false" customHeight="true" outlineLevel="0" collapsed="false">
      <c r="C1451" s="6" t="n">
        <f aca="false">MOD(ROW()-1, 208)</f>
        <v>202</v>
      </c>
      <c r="D1451" s="6" t="n">
        <f aca="false">INT((ROW()-1)/208)</f>
        <v>6</v>
      </c>
      <c r="F1451" s="6" t="str">
        <f aca="false">MID(VLOOKUP(D1451,$P$1:$Q$13,2,0), 1 + C1451,1)</f>
        <v>옵</v>
      </c>
      <c r="G1451" s="6" t="str">
        <f aca="false">DEC2HEX(D1451+36, 2)</f>
        <v>2A</v>
      </c>
      <c r="H1451" s="6" t="str">
        <f aca="false">DEC2HEX(C1451+48,2)</f>
        <v>FA</v>
      </c>
      <c r="I1451" s="6" t="str">
        <f aca="false">_xlfn.CONCAT("\x", G1451, "\x", H1451, "=", F1451)</f>
        <v>\x2A\xFA=옵</v>
      </c>
      <c r="M1451" s="8"/>
    </row>
    <row r="1452" customFormat="false" ht="12.8" hidden="false" customHeight="true" outlineLevel="0" collapsed="false">
      <c r="C1452" s="6" t="n">
        <f aca="false">MOD(ROW()-1, 208)</f>
        <v>203</v>
      </c>
      <c r="D1452" s="6" t="n">
        <f aca="false">INT((ROW()-1)/208)</f>
        <v>6</v>
      </c>
      <c r="F1452" s="6" t="str">
        <f aca="false">MID(VLOOKUP(D1452,$P$1:$Q$13,2,0), 1 + C1452,1)</f>
        <v>옷</v>
      </c>
      <c r="G1452" s="6" t="str">
        <f aca="false">DEC2HEX(D1452+36, 2)</f>
        <v>2A</v>
      </c>
      <c r="H1452" s="6" t="str">
        <f aca="false">DEC2HEX(C1452+48,2)</f>
        <v>FB</v>
      </c>
      <c r="I1452" s="6" t="str">
        <f aca="false">_xlfn.CONCAT("\x", G1452, "\x", H1452, "=", F1452)</f>
        <v>\x2A\xFB=옷</v>
      </c>
      <c r="M1452" s="8"/>
    </row>
    <row r="1453" customFormat="false" ht="12.8" hidden="false" customHeight="true" outlineLevel="0" collapsed="false">
      <c r="C1453" s="6" t="n">
        <f aca="false">MOD(ROW()-1, 208)</f>
        <v>204</v>
      </c>
      <c r="D1453" s="6" t="n">
        <f aca="false">INT((ROW()-1)/208)</f>
        <v>6</v>
      </c>
      <c r="F1453" s="6" t="str">
        <f aca="false">MID(VLOOKUP(D1453,$P$1:$Q$13,2,0), 1 + C1453,1)</f>
        <v>옹</v>
      </c>
      <c r="G1453" s="6" t="str">
        <f aca="false">DEC2HEX(D1453+36, 2)</f>
        <v>2A</v>
      </c>
      <c r="H1453" s="6" t="str">
        <f aca="false">DEC2HEX(C1453+48,2)</f>
        <v>FC</v>
      </c>
      <c r="I1453" s="6" t="str">
        <f aca="false">_xlfn.CONCAT("\x", G1453, "\x", H1453, "=", F1453)</f>
        <v>\x2A\xFC=옹</v>
      </c>
      <c r="M1453" s="8"/>
    </row>
    <row r="1454" customFormat="false" ht="12.8" hidden="false" customHeight="true" outlineLevel="0" collapsed="false">
      <c r="C1454" s="6" t="n">
        <f aca="false">MOD(ROW()-1, 208)</f>
        <v>205</v>
      </c>
      <c r="D1454" s="6" t="n">
        <f aca="false">INT((ROW()-1)/208)</f>
        <v>6</v>
      </c>
      <c r="F1454" s="6" t="str">
        <f aca="false">MID(VLOOKUP(D1454,$P$1:$Q$13,2,0), 1 + C1454,1)</f>
        <v>옻</v>
      </c>
      <c r="G1454" s="6" t="str">
        <f aca="false">DEC2HEX(D1454+36, 2)</f>
        <v>2A</v>
      </c>
      <c r="H1454" s="6" t="str">
        <f aca="false">DEC2HEX(C1454+48,2)</f>
        <v>FD</v>
      </c>
      <c r="I1454" s="6" t="str">
        <f aca="false">_xlfn.CONCAT("\x", G1454, "\x", H1454, "=", F1454)</f>
        <v>\x2A\xFD=옻</v>
      </c>
      <c r="M1454" s="8"/>
    </row>
    <row r="1455" customFormat="false" ht="12.8" hidden="false" customHeight="true" outlineLevel="0" collapsed="false">
      <c r="C1455" s="6" t="n">
        <f aca="false">MOD(ROW()-1, 208)</f>
        <v>206</v>
      </c>
      <c r="D1455" s="6" t="n">
        <f aca="false">INT((ROW()-1)/208)</f>
        <v>6</v>
      </c>
      <c r="F1455" s="6" t="str">
        <f aca="false">MID(VLOOKUP(D1455,$P$1:$Q$13,2,0), 1 + C1455,1)</f>
        <v>와</v>
      </c>
      <c r="G1455" s="6" t="str">
        <f aca="false">DEC2HEX(D1455+36, 2)</f>
        <v>2A</v>
      </c>
      <c r="H1455" s="6" t="str">
        <f aca="false">DEC2HEX(C1455+48,2)</f>
        <v>FE</v>
      </c>
      <c r="I1455" s="6" t="str">
        <f aca="false">_xlfn.CONCAT("\x", G1455, "\x", H1455, "=", F1455)</f>
        <v>\x2A\xFE=와</v>
      </c>
      <c r="M1455" s="8"/>
    </row>
    <row r="1456" customFormat="false" ht="12.8" hidden="false" customHeight="true" outlineLevel="0" collapsed="false">
      <c r="C1456" s="6" t="n">
        <f aca="false">MOD(ROW()-1, 208)</f>
        <v>207</v>
      </c>
      <c r="D1456" s="6" t="n">
        <f aca="false">INT((ROW()-1)/208)</f>
        <v>6</v>
      </c>
      <c r="F1456" s="6" t="str">
        <f aca="false">MID(VLOOKUP(D1456,$P$1:$Q$13,2,0), 1 + C1456,1)</f>
        <v>왁</v>
      </c>
      <c r="G1456" s="6" t="str">
        <f aca="false">DEC2HEX(D1456+36, 2)</f>
        <v>2A</v>
      </c>
      <c r="H1456" s="6" t="str">
        <f aca="false">DEC2HEX(C1456+48,2)</f>
        <v>FF</v>
      </c>
      <c r="I1456" s="6" t="str">
        <f aca="false">_xlfn.CONCAT("\x", G1456, "\x", H1456, "=", F1456)</f>
        <v>\x2A\xFF=왁</v>
      </c>
      <c r="M1456" s="8"/>
    </row>
    <row r="1457" customFormat="false" ht="12.8" hidden="false" customHeight="true" outlineLevel="0" collapsed="false">
      <c r="C1457" s="6" t="n">
        <f aca="false">MOD(ROW()-1, 208)</f>
        <v>0</v>
      </c>
      <c r="D1457" s="6" t="n">
        <f aca="false">INT((ROW()-1)/208)</f>
        <v>7</v>
      </c>
      <c r="F1457" s="6" t="str">
        <f aca="false">MID(VLOOKUP(D1457,$P$1:$Q$13,2,0), 1 + C1457,1)</f>
        <v>완</v>
      </c>
      <c r="G1457" s="6" t="str">
        <f aca="false">DEC2HEX(D1457+36, 2)</f>
        <v>2B</v>
      </c>
      <c r="H1457" s="6" t="str">
        <f aca="false">DEC2HEX(C1457+48,2)</f>
        <v>30</v>
      </c>
      <c r="I1457" s="6" t="str">
        <f aca="false">_xlfn.CONCAT("\x", G1457, "\x", H1457, "=", F1457)</f>
        <v>\x2B\x30=완</v>
      </c>
      <c r="M1457" s="8"/>
    </row>
    <row r="1458" customFormat="false" ht="12.8" hidden="false" customHeight="true" outlineLevel="0" collapsed="false">
      <c r="C1458" s="6" t="n">
        <f aca="false">MOD(ROW()-1, 208)</f>
        <v>1</v>
      </c>
      <c r="D1458" s="6" t="n">
        <f aca="false">INT((ROW()-1)/208)</f>
        <v>7</v>
      </c>
      <c r="F1458" s="6" t="str">
        <f aca="false">MID(VLOOKUP(D1458,$P$1:$Q$13,2,0), 1 + C1458,1)</f>
        <v>왈</v>
      </c>
      <c r="G1458" s="6" t="str">
        <f aca="false">DEC2HEX(D1458+36, 2)</f>
        <v>2B</v>
      </c>
      <c r="H1458" s="6" t="str">
        <f aca="false">DEC2HEX(C1458+48,2)</f>
        <v>31</v>
      </c>
      <c r="I1458" s="6" t="str">
        <f aca="false">_xlfn.CONCAT("\x", G1458, "\x", H1458, "=", F1458)</f>
        <v>\x2B\x31=왈</v>
      </c>
      <c r="M1458" s="8"/>
    </row>
    <row r="1459" customFormat="false" ht="12.8" hidden="false" customHeight="true" outlineLevel="0" collapsed="false">
      <c r="C1459" s="6" t="n">
        <f aca="false">MOD(ROW()-1, 208)</f>
        <v>2</v>
      </c>
      <c r="D1459" s="6" t="n">
        <f aca="false">INT((ROW()-1)/208)</f>
        <v>7</v>
      </c>
      <c r="F1459" s="6" t="str">
        <f aca="false">MID(VLOOKUP(D1459,$P$1:$Q$13,2,0), 1 + C1459,1)</f>
        <v>왐</v>
      </c>
      <c r="G1459" s="6" t="str">
        <f aca="false">DEC2HEX(D1459+36, 2)</f>
        <v>2B</v>
      </c>
      <c r="H1459" s="6" t="str">
        <f aca="false">DEC2HEX(C1459+48,2)</f>
        <v>32</v>
      </c>
      <c r="I1459" s="6" t="str">
        <f aca="false">_xlfn.CONCAT("\x", G1459, "\x", H1459, "=", F1459)</f>
        <v>\x2B\x32=왐</v>
      </c>
      <c r="M1459" s="8"/>
    </row>
    <row r="1460" customFormat="false" ht="12.8" hidden="false" customHeight="true" outlineLevel="0" collapsed="false">
      <c r="C1460" s="6" t="n">
        <f aca="false">MOD(ROW()-1, 208)</f>
        <v>3</v>
      </c>
      <c r="D1460" s="6" t="n">
        <f aca="false">INT((ROW()-1)/208)</f>
        <v>7</v>
      </c>
      <c r="F1460" s="6" t="str">
        <f aca="false">MID(VLOOKUP(D1460,$P$1:$Q$13,2,0), 1 + C1460,1)</f>
        <v>왑</v>
      </c>
      <c r="G1460" s="6" t="str">
        <f aca="false">DEC2HEX(D1460+36, 2)</f>
        <v>2B</v>
      </c>
      <c r="H1460" s="6" t="str">
        <f aca="false">DEC2HEX(C1460+48,2)</f>
        <v>33</v>
      </c>
      <c r="I1460" s="6" t="str">
        <f aca="false">_xlfn.CONCAT("\x", G1460, "\x", H1460, "=", F1460)</f>
        <v>\x2B\x33=왑</v>
      </c>
      <c r="M1460" s="8"/>
    </row>
    <row r="1461" customFormat="false" ht="12.8" hidden="false" customHeight="true" outlineLevel="0" collapsed="false">
      <c r="C1461" s="6" t="n">
        <f aca="false">MOD(ROW()-1, 208)</f>
        <v>4</v>
      </c>
      <c r="D1461" s="6" t="n">
        <f aca="false">INT((ROW()-1)/208)</f>
        <v>7</v>
      </c>
      <c r="F1461" s="6" t="str">
        <f aca="false">MID(VLOOKUP(D1461,$P$1:$Q$13,2,0), 1 + C1461,1)</f>
        <v>왓</v>
      </c>
      <c r="G1461" s="6" t="str">
        <f aca="false">DEC2HEX(D1461+36, 2)</f>
        <v>2B</v>
      </c>
      <c r="H1461" s="6" t="str">
        <f aca="false">DEC2HEX(C1461+48,2)</f>
        <v>34</v>
      </c>
      <c r="I1461" s="6" t="str">
        <f aca="false">_xlfn.CONCAT("\x", G1461, "\x", H1461, "=", F1461)</f>
        <v>\x2B\x34=왓</v>
      </c>
      <c r="M1461" s="8"/>
    </row>
    <row r="1462" customFormat="false" ht="12.8" hidden="false" customHeight="true" outlineLevel="0" collapsed="false">
      <c r="C1462" s="6" t="n">
        <f aca="false">MOD(ROW()-1, 208)</f>
        <v>5</v>
      </c>
      <c r="D1462" s="6" t="n">
        <f aca="false">INT((ROW()-1)/208)</f>
        <v>7</v>
      </c>
      <c r="F1462" s="6" t="str">
        <f aca="false">MID(VLOOKUP(D1462,$P$1:$Q$13,2,0), 1 + C1462,1)</f>
        <v>왔</v>
      </c>
      <c r="G1462" s="6" t="str">
        <f aca="false">DEC2HEX(D1462+36, 2)</f>
        <v>2B</v>
      </c>
      <c r="H1462" s="6" t="str">
        <f aca="false">DEC2HEX(C1462+48,2)</f>
        <v>35</v>
      </c>
      <c r="I1462" s="6" t="str">
        <f aca="false">_xlfn.CONCAT("\x", G1462, "\x", H1462, "=", F1462)</f>
        <v>\x2B\x35=왔</v>
      </c>
      <c r="M1462" s="8"/>
    </row>
    <row r="1463" customFormat="false" ht="12.8" hidden="false" customHeight="true" outlineLevel="0" collapsed="false">
      <c r="C1463" s="6" t="n">
        <f aca="false">MOD(ROW()-1, 208)</f>
        <v>6</v>
      </c>
      <c r="D1463" s="6" t="n">
        <f aca="false">INT((ROW()-1)/208)</f>
        <v>7</v>
      </c>
      <c r="F1463" s="6" t="str">
        <f aca="false">MID(VLOOKUP(D1463,$P$1:$Q$13,2,0), 1 + C1463,1)</f>
        <v>왕</v>
      </c>
      <c r="G1463" s="6" t="str">
        <f aca="false">DEC2HEX(D1463+36, 2)</f>
        <v>2B</v>
      </c>
      <c r="H1463" s="6" t="str">
        <f aca="false">DEC2HEX(C1463+48,2)</f>
        <v>36</v>
      </c>
      <c r="I1463" s="6" t="str">
        <f aca="false">_xlfn.CONCAT("\x", G1463, "\x", H1463, "=", F1463)</f>
        <v>\x2B\x36=왕</v>
      </c>
      <c r="M1463" s="8"/>
    </row>
    <row r="1464" customFormat="false" ht="12.8" hidden="false" customHeight="true" outlineLevel="0" collapsed="false">
      <c r="C1464" s="6" t="n">
        <f aca="false">MOD(ROW()-1, 208)</f>
        <v>7</v>
      </c>
      <c r="D1464" s="6" t="n">
        <f aca="false">INT((ROW()-1)/208)</f>
        <v>7</v>
      </c>
      <c r="F1464" s="6" t="str">
        <f aca="false">MID(VLOOKUP(D1464,$P$1:$Q$13,2,0), 1 + C1464,1)</f>
        <v>왜</v>
      </c>
      <c r="G1464" s="6" t="str">
        <f aca="false">DEC2HEX(D1464+36, 2)</f>
        <v>2B</v>
      </c>
      <c r="H1464" s="6" t="str">
        <f aca="false">DEC2HEX(C1464+48,2)</f>
        <v>37</v>
      </c>
      <c r="I1464" s="6" t="str">
        <f aca="false">_xlfn.CONCAT("\x", G1464, "\x", H1464, "=", F1464)</f>
        <v>\x2B\x37=왜</v>
      </c>
      <c r="M1464" s="8"/>
    </row>
    <row r="1465" customFormat="false" ht="12.8" hidden="false" customHeight="true" outlineLevel="0" collapsed="false">
      <c r="C1465" s="6" t="n">
        <f aca="false">MOD(ROW()-1, 208)</f>
        <v>8</v>
      </c>
      <c r="D1465" s="6" t="n">
        <f aca="false">INT((ROW()-1)/208)</f>
        <v>7</v>
      </c>
      <c r="F1465" s="6" t="str">
        <f aca="false">MID(VLOOKUP(D1465,$P$1:$Q$13,2,0), 1 + C1465,1)</f>
        <v>왝</v>
      </c>
      <c r="G1465" s="6" t="str">
        <f aca="false">DEC2HEX(D1465+36, 2)</f>
        <v>2B</v>
      </c>
      <c r="H1465" s="6" t="str">
        <f aca="false">DEC2HEX(C1465+48,2)</f>
        <v>38</v>
      </c>
      <c r="I1465" s="6" t="str">
        <f aca="false">_xlfn.CONCAT("\x", G1465, "\x", H1465, "=", F1465)</f>
        <v>\x2B\x38=왝</v>
      </c>
      <c r="M1465" s="8"/>
    </row>
    <row r="1466" customFormat="false" ht="12.8" hidden="false" customHeight="true" outlineLevel="0" collapsed="false">
      <c r="C1466" s="6" t="n">
        <f aca="false">MOD(ROW()-1, 208)</f>
        <v>9</v>
      </c>
      <c r="D1466" s="6" t="n">
        <f aca="false">INT((ROW()-1)/208)</f>
        <v>7</v>
      </c>
      <c r="F1466" s="6" t="str">
        <f aca="false">MID(VLOOKUP(D1466,$P$1:$Q$13,2,0), 1 + C1466,1)</f>
        <v>왠</v>
      </c>
      <c r="G1466" s="6" t="str">
        <f aca="false">DEC2HEX(D1466+36, 2)</f>
        <v>2B</v>
      </c>
      <c r="H1466" s="6" t="str">
        <f aca="false">DEC2HEX(C1466+48,2)</f>
        <v>39</v>
      </c>
      <c r="I1466" s="6" t="str">
        <f aca="false">_xlfn.CONCAT("\x", G1466, "\x", H1466, "=", F1466)</f>
        <v>\x2B\x39=왠</v>
      </c>
      <c r="M1466" s="8"/>
    </row>
    <row r="1467" customFormat="false" ht="12.8" hidden="false" customHeight="true" outlineLevel="0" collapsed="false">
      <c r="C1467" s="6" t="n">
        <f aca="false">MOD(ROW()-1, 208)</f>
        <v>10</v>
      </c>
      <c r="D1467" s="6" t="n">
        <f aca="false">INT((ROW()-1)/208)</f>
        <v>7</v>
      </c>
      <c r="F1467" s="6" t="str">
        <f aca="false">MID(VLOOKUP(D1467,$P$1:$Q$13,2,0), 1 + C1467,1)</f>
        <v>왬</v>
      </c>
      <c r="G1467" s="6" t="str">
        <f aca="false">DEC2HEX(D1467+36, 2)</f>
        <v>2B</v>
      </c>
      <c r="H1467" s="6" t="str">
        <f aca="false">DEC2HEX(C1467+48,2)</f>
        <v>3A</v>
      </c>
      <c r="I1467" s="6" t="str">
        <f aca="false">_xlfn.CONCAT("\x", G1467, "\x", H1467, "=", F1467)</f>
        <v>\x2B\x3A=왬</v>
      </c>
      <c r="M1467" s="8"/>
    </row>
    <row r="1468" customFormat="false" ht="12.8" hidden="false" customHeight="true" outlineLevel="0" collapsed="false">
      <c r="C1468" s="6" t="n">
        <f aca="false">MOD(ROW()-1, 208)</f>
        <v>11</v>
      </c>
      <c r="D1468" s="6" t="n">
        <f aca="false">INT((ROW()-1)/208)</f>
        <v>7</v>
      </c>
      <c r="F1468" s="6" t="str">
        <f aca="false">MID(VLOOKUP(D1468,$P$1:$Q$13,2,0), 1 + C1468,1)</f>
        <v>왯</v>
      </c>
      <c r="G1468" s="6" t="str">
        <f aca="false">DEC2HEX(D1468+36, 2)</f>
        <v>2B</v>
      </c>
      <c r="H1468" s="6" t="str">
        <f aca="false">DEC2HEX(C1468+48,2)</f>
        <v>3B</v>
      </c>
      <c r="I1468" s="6" t="str">
        <f aca="false">_xlfn.CONCAT("\x", G1468, "\x", H1468, "=", F1468)</f>
        <v>\x2B\x3B=왯</v>
      </c>
      <c r="M1468" s="8"/>
    </row>
    <row r="1469" customFormat="false" ht="12.8" hidden="false" customHeight="true" outlineLevel="0" collapsed="false">
      <c r="C1469" s="6" t="n">
        <f aca="false">MOD(ROW()-1, 208)</f>
        <v>12</v>
      </c>
      <c r="D1469" s="6" t="n">
        <f aca="false">INT((ROW()-1)/208)</f>
        <v>7</v>
      </c>
      <c r="F1469" s="6" t="str">
        <f aca="false">MID(VLOOKUP(D1469,$P$1:$Q$13,2,0), 1 + C1469,1)</f>
        <v>왱</v>
      </c>
      <c r="G1469" s="6" t="str">
        <f aca="false">DEC2HEX(D1469+36, 2)</f>
        <v>2B</v>
      </c>
      <c r="H1469" s="6" t="str">
        <f aca="false">DEC2HEX(C1469+48,2)</f>
        <v>3C</v>
      </c>
      <c r="I1469" s="6" t="str">
        <f aca="false">_xlfn.CONCAT("\x", G1469, "\x", H1469, "=", F1469)</f>
        <v>\x2B\x3C=왱</v>
      </c>
      <c r="M1469" s="8"/>
    </row>
    <row r="1470" customFormat="false" ht="12.8" hidden="false" customHeight="true" outlineLevel="0" collapsed="false">
      <c r="C1470" s="6" t="n">
        <f aca="false">MOD(ROW()-1, 208)</f>
        <v>13</v>
      </c>
      <c r="D1470" s="6" t="n">
        <f aca="false">INT((ROW()-1)/208)</f>
        <v>7</v>
      </c>
      <c r="F1470" s="6" t="str">
        <f aca="false">MID(VLOOKUP(D1470,$P$1:$Q$13,2,0), 1 + C1470,1)</f>
        <v>외</v>
      </c>
      <c r="G1470" s="6" t="str">
        <f aca="false">DEC2HEX(D1470+36, 2)</f>
        <v>2B</v>
      </c>
      <c r="H1470" s="6" t="str">
        <f aca="false">DEC2HEX(C1470+48,2)</f>
        <v>3D</v>
      </c>
      <c r="I1470" s="6" t="str">
        <f aca="false">_xlfn.CONCAT("\x", G1470, "\x", H1470, "=", F1470)</f>
        <v>\x2B\x3D=외</v>
      </c>
      <c r="M1470" s="8"/>
    </row>
    <row r="1471" customFormat="false" ht="12.8" hidden="false" customHeight="true" outlineLevel="0" collapsed="false">
      <c r="C1471" s="6" t="n">
        <f aca="false">MOD(ROW()-1, 208)</f>
        <v>14</v>
      </c>
      <c r="D1471" s="6" t="n">
        <f aca="false">INT((ROW()-1)/208)</f>
        <v>7</v>
      </c>
      <c r="F1471" s="6" t="str">
        <f aca="false">MID(VLOOKUP(D1471,$P$1:$Q$13,2,0), 1 + C1471,1)</f>
        <v>왹</v>
      </c>
      <c r="G1471" s="6" t="str">
        <f aca="false">DEC2HEX(D1471+36, 2)</f>
        <v>2B</v>
      </c>
      <c r="H1471" s="6" t="str">
        <f aca="false">DEC2HEX(C1471+48,2)</f>
        <v>3E</v>
      </c>
      <c r="I1471" s="6" t="str">
        <f aca="false">_xlfn.CONCAT("\x", G1471, "\x", H1471, "=", F1471)</f>
        <v>\x2B\x3E=왹</v>
      </c>
      <c r="M1471" s="8"/>
    </row>
    <row r="1472" customFormat="false" ht="12.8" hidden="false" customHeight="true" outlineLevel="0" collapsed="false">
      <c r="C1472" s="6" t="n">
        <f aca="false">MOD(ROW()-1, 208)</f>
        <v>15</v>
      </c>
      <c r="D1472" s="6" t="n">
        <f aca="false">INT((ROW()-1)/208)</f>
        <v>7</v>
      </c>
      <c r="F1472" s="6" t="str">
        <f aca="false">MID(VLOOKUP(D1472,$P$1:$Q$13,2,0), 1 + C1472,1)</f>
        <v>왼</v>
      </c>
      <c r="G1472" s="6" t="str">
        <f aca="false">DEC2HEX(D1472+36, 2)</f>
        <v>2B</v>
      </c>
      <c r="H1472" s="6" t="str">
        <f aca="false">DEC2HEX(C1472+48,2)</f>
        <v>3F</v>
      </c>
      <c r="I1472" s="6" t="str">
        <f aca="false">_xlfn.CONCAT("\x", G1472, "\x", H1472, "=", F1472)</f>
        <v>\x2B\x3F=왼</v>
      </c>
      <c r="M1472" s="8"/>
    </row>
    <row r="1473" customFormat="false" ht="12.8" hidden="false" customHeight="true" outlineLevel="0" collapsed="false">
      <c r="C1473" s="6" t="n">
        <f aca="false">MOD(ROW()-1, 208)</f>
        <v>16</v>
      </c>
      <c r="D1473" s="6" t="n">
        <f aca="false">INT((ROW()-1)/208)</f>
        <v>7</v>
      </c>
      <c r="F1473" s="6" t="str">
        <f aca="false">MID(VLOOKUP(D1473,$P$1:$Q$13,2,0), 1 + C1473,1)</f>
        <v>욀</v>
      </c>
      <c r="G1473" s="6" t="str">
        <f aca="false">DEC2HEX(D1473+36, 2)</f>
        <v>2B</v>
      </c>
      <c r="H1473" s="6" t="str">
        <f aca="false">DEC2HEX(C1473+48,2)</f>
        <v>40</v>
      </c>
      <c r="I1473" s="6" t="str">
        <f aca="false">_xlfn.CONCAT("\x", G1473, "\x", H1473, "=", F1473)</f>
        <v>\x2B\x40=욀</v>
      </c>
      <c r="M1473" s="8"/>
    </row>
    <row r="1474" customFormat="false" ht="12.8" hidden="false" customHeight="true" outlineLevel="0" collapsed="false">
      <c r="C1474" s="6" t="n">
        <f aca="false">MOD(ROW()-1, 208)</f>
        <v>17</v>
      </c>
      <c r="D1474" s="6" t="n">
        <f aca="false">INT((ROW()-1)/208)</f>
        <v>7</v>
      </c>
      <c r="F1474" s="6" t="str">
        <f aca="false">MID(VLOOKUP(D1474,$P$1:$Q$13,2,0), 1 + C1474,1)</f>
        <v>욈</v>
      </c>
      <c r="G1474" s="6" t="str">
        <f aca="false">DEC2HEX(D1474+36, 2)</f>
        <v>2B</v>
      </c>
      <c r="H1474" s="6" t="str">
        <f aca="false">DEC2HEX(C1474+48,2)</f>
        <v>41</v>
      </c>
      <c r="I1474" s="6" t="str">
        <f aca="false">_xlfn.CONCAT("\x", G1474, "\x", H1474, "=", F1474)</f>
        <v>\x2B\x41=욈</v>
      </c>
      <c r="M1474" s="8"/>
    </row>
    <row r="1475" customFormat="false" ht="12.8" hidden="false" customHeight="true" outlineLevel="0" collapsed="false">
      <c r="C1475" s="6" t="n">
        <f aca="false">MOD(ROW()-1, 208)</f>
        <v>18</v>
      </c>
      <c r="D1475" s="6" t="n">
        <f aca="false">INT((ROW()-1)/208)</f>
        <v>7</v>
      </c>
      <c r="F1475" s="6" t="str">
        <f aca="false">MID(VLOOKUP(D1475,$P$1:$Q$13,2,0), 1 + C1475,1)</f>
        <v>욉</v>
      </c>
      <c r="G1475" s="6" t="str">
        <f aca="false">DEC2HEX(D1475+36, 2)</f>
        <v>2B</v>
      </c>
      <c r="H1475" s="6" t="str">
        <f aca="false">DEC2HEX(C1475+48,2)</f>
        <v>42</v>
      </c>
      <c r="I1475" s="6" t="str">
        <f aca="false">_xlfn.CONCAT("\x", G1475, "\x", H1475, "=", F1475)</f>
        <v>\x2B\x42=욉</v>
      </c>
      <c r="M1475" s="8"/>
    </row>
    <row r="1476" customFormat="false" ht="12.8" hidden="false" customHeight="true" outlineLevel="0" collapsed="false">
      <c r="C1476" s="6" t="n">
        <f aca="false">MOD(ROW()-1, 208)</f>
        <v>19</v>
      </c>
      <c r="D1476" s="6" t="n">
        <f aca="false">INT((ROW()-1)/208)</f>
        <v>7</v>
      </c>
      <c r="F1476" s="6" t="str">
        <f aca="false">MID(VLOOKUP(D1476,$P$1:$Q$13,2,0), 1 + C1476,1)</f>
        <v>욋</v>
      </c>
      <c r="G1476" s="6" t="str">
        <f aca="false">DEC2HEX(D1476+36, 2)</f>
        <v>2B</v>
      </c>
      <c r="H1476" s="6" t="str">
        <f aca="false">DEC2HEX(C1476+48,2)</f>
        <v>43</v>
      </c>
      <c r="I1476" s="6" t="str">
        <f aca="false">_xlfn.CONCAT("\x", G1476, "\x", H1476, "=", F1476)</f>
        <v>\x2B\x43=욋</v>
      </c>
      <c r="M1476" s="8"/>
    </row>
    <row r="1477" customFormat="false" ht="12.8" hidden="false" customHeight="true" outlineLevel="0" collapsed="false">
      <c r="C1477" s="6" t="n">
        <f aca="false">MOD(ROW()-1, 208)</f>
        <v>20</v>
      </c>
      <c r="D1477" s="6" t="n">
        <f aca="false">INT((ROW()-1)/208)</f>
        <v>7</v>
      </c>
      <c r="F1477" s="6" t="str">
        <f aca="false">MID(VLOOKUP(D1477,$P$1:$Q$13,2,0), 1 + C1477,1)</f>
        <v>욍</v>
      </c>
      <c r="G1477" s="6" t="str">
        <f aca="false">DEC2HEX(D1477+36, 2)</f>
        <v>2B</v>
      </c>
      <c r="H1477" s="6" t="str">
        <f aca="false">DEC2HEX(C1477+48,2)</f>
        <v>44</v>
      </c>
      <c r="I1477" s="6" t="str">
        <f aca="false">_xlfn.CONCAT("\x", G1477, "\x", H1477, "=", F1477)</f>
        <v>\x2B\x44=욍</v>
      </c>
      <c r="M1477" s="8"/>
    </row>
    <row r="1478" customFormat="false" ht="12.8" hidden="false" customHeight="true" outlineLevel="0" collapsed="false">
      <c r="C1478" s="6" t="n">
        <f aca="false">MOD(ROW()-1, 208)</f>
        <v>21</v>
      </c>
      <c r="D1478" s="6" t="n">
        <f aca="false">INT((ROW()-1)/208)</f>
        <v>7</v>
      </c>
      <c r="F1478" s="6" t="str">
        <f aca="false">MID(VLOOKUP(D1478,$P$1:$Q$13,2,0), 1 + C1478,1)</f>
        <v>요</v>
      </c>
      <c r="G1478" s="6" t="str">
        <f aca="false">DEC2HEX(D1478+36, 2)</f>
        <v>2B</v>
      </c>
      <c r="H1478" s="6" t="str">
        <f aca="false">DEC2HEX(C1478+48,2)</f>
        <v>45</v>
      </c>
      <c r="I1478" s="6" t="str">
        <f aca="false">_xlfn.CONCAT("\x", G1478, "\x", H1478, "=", F1478)</f>
        <v>\x2B\x45=요</v>
      </c>
      <c r="M1478" s="8"/>
    </row>
    <row r="1479" customFormat="false" ht="12.8" hidden="false" customHeight="true" outlineLevel="0" collapsed="false">
      <c r="C1479" s="6" t="n">
        <f aca="false">MOD(ROW()-1, 208)</f>
        <v>22</v>
      </c>
      <c r="D1479" s="6" t="n">
        <f aca="false">INT((ROW()-1)/208)</f>
        <v>7</v>
      </c>
      <c r="F1479" s="6" t="str">
        <f aca="false">MID(VLOOKUP(D1479,$P$1:$Q$13,2,0), 1 + C1479,1)</f>
        <v>욕</v>
      </c>
      <c r="G1479" s="6" t="str">
        <f aca="false">DEC2HEX(D1479+36, 2)</f>
        <v>2B</v>
      </c>
      <c r="H1479" s="6" t="str">
        <f aca="false">DEC2HEX(C1479+48,2)</f>
        <v>46</v>
      </c>
      <c r="I1479" s="6" t="str">
        <f aca="false">_xlfn.CONCAT("\x", G1479, "\x", H1479, "=", F1479)</f>
        <v>\x2B\x46=욕</v>
      </c>
      <c r="M1479" s="8"/>
    </row>
    <row r="1480" customFormat="false" ht="12.8" hidden="false" customHeight="true" outlineLevel="0" collapsed="false">
      <c r="C1480" s="6" t="n">
        <f aca="false">MOD(ROW()-1, 208)</f>
        <v>23</v>
      </c>
      <c r="D1480" s="6" t="n">
        <f aca="false">INT((ROW()-1)/208)</f>
        <v>7</v>
      </c>
      <c r="F1480" s="6" t="str">
        <f aca="false">MID(VLOOKUP(D1480,$P$1:$Q$13,2,0), 1 + C1480,1)</f>
        <v>욘</v>
      </c>
      <c r="G1480" s="6" t="str">
        <f aca="false">DEC2HEX(D1480+36, 2)</f>
        <v>2B</v>
      </c>
      <c r="H1480" s="6" t="str">
        <f aca="false">DEC2HEX(C1480+48,2)</f>
        <v>47</v>
      </c>
      <c r="I1480" s="6" t="str">
        <f aca="false">_xlfn.CONCAT("\x", G1480, "\x", H1480, "=", F1480)</f>
        <v>\x2B\x47=욘</v>
      </c>
      <c r="M1480" s="8"/>
    </row>
    <row r="1481" customFormat="false" ht="12.8" hidden="false" customHeight="true" outlineLevel="0" collapsed="false">
      <c r="C1481" s="6" t="n">
        <f aca="false">MOD(ROW()-1, 208)</f>
        <v>24</v>
      </c>
      <c r="D1481" s="6" t="n">
        <f aca="false">INT((ROW()-1)/208)</f>
        <v>7</v>
      </c>
      <c r="F1481" s="6" t="str">
        <f aca="false">MID(VLOOKUP(D1481,$P$1:$Q$13,2,0), 1 + C1481,1)</f>
        <v>욜</v>
      </c>
      <c r="G1481" s="6" t="str">
        <f aca="false">DEC2HEX(D1481+36, 2)</f>
        <v>2B</v>
      </c>
      <c r="H1481" s="6" t="str">
        <f aca="false">DEC2HEX(C1481+48,2)</f>
        <v>48</v>
      </c>
      <c r="I1481" s="6" t="str">
        <f aca="false">_xlfn.CONCAT("\x", G1481, "\x", H1481, "=", F1481)</f>
        <v>\x2B\x48=욜</v>
      </c>
      <c r="M1481" s="8"/>
    </row>
    <row r="1482" customFormat="false" ht="12.8" hidden="false" customHeight="true" outlineLevel="0" collapsed="false">
      <c r="C1482" s="6" t="n">
        <f aca="false">MOD(ROW()-1, 208)</f>
        <v>25</v>
      </c>
      <c r="D1482" s="6" t="n">
        <f aca="false">INT((ROW()-1)/208)</f>
        <v>7</v>
      </c>
      <c r="F1482" s="6" t="str">
        <f aca="false">MID(VLOOKUP(D1482,$P$1:$Q$13,2,0), 1 + C1482,1)</f>
        <v>욤</v>
      </c>
      <c r="G1482" s="6" t="str">
        <f aca="false">DEC2HEX(D1482+36, 2)</f>
        <v>2B</v>
      </c>
      <c r="H1482" s="6" t="str">
        <f aca="false">DEC2HEX(C1482+48,2)</f>
        <v>49</v>
      </c>
      <c r="I1482" s="6" t="str">
        <f aca="false">_xlfn.CONCAT("\x", G1482, "\x", H1482, "=", F1482)</f>
        <v>\x2B\x49=욤</v>
      </c>
      <c r="M1482" s="8"/>
    </row>
    <row r="1483" customFormat="false" ht="12.8" hidden="false" customHeight="true" outlineLevel="0" collapsed="false">
      <c r="C1483" s="6" t="n">
        <f aca="false">MOD(ROW()-1, 208)</f>
        <v>26</v>
      </c>
      <c r="D1483" s="6" t="n">
        <f aca="false">INT((ROW()-1)/208)</f>
        <v>7</v>
      </c>
      <c r="F1483" s="6" t="str">
        <f aca="false">MID(VLOOKUP(D1483,$P$1:$Q$13,2,0), 1 + C1483,1)</f>
        <v>욥</v>
      </c>
      <c r="G1483" s="6" t="str">
        <f aca="false">DEC2HEX(D1483+36, 2)</f>
        <v>2B</v>
      </c>
      <c r="H1483" s="6" t="str">
        <f aca="false">DEC2HEX(C1483+48,2)</f>
        <v>4A</v>
      </c>
      <c r="I1483" s="6" t="str">
        <f aca="false">_xlfn.CONCAT("\x", G1483, "\x", H1483, "=", F1483)</f>
        <v>\x2B\x4A=욥</v>
      </c>
      <c r="M1483" s="8"/>
    </row>
    <row r="1484" customFormat="false" ht="12.8" hidden="false" customHeight="true" outlineLevel="0" collapsed="false">
      <c r="C1484" s="6" t="n">
        <f aca="false">MOD(ROW()-1, 208)</f>
        <v>27</v>
      </c>
      <c r="D1484" s="6" t="n">
        <f aca="false">INT((ROW()-1)/208)</f>
        <v>7</v>
      </c>
      <c r="F1484" s="6" t="str">
        <f aca="false">MID(VLOOKUP(D1484,$P$1:$Q$13,2,0), 1 + C1484,1)</f>
        <v>욧</v>
      </c>
      <c r="G1484" s="6" t="str">
        <f aca="false">DEC2HEX(D1484+36, 2)</f>
        <v>2B</v>
      </c>
      <c r="H1484" s="6" t="str">
        <f aca="false">DEC2HEX(C1484+48,2)</f>
        <v>4B</v>
      </c>
      <c r="I1484" s="6" t="str">
        <f aca="false">_xlfn.CONCAT("\x", G1484, "\x", H1484, "=", F1484)</f>
        <v>\x2B\x4B=욧</v>
      </c>
      <c r="M1484" s="8"/>
    </row>
    <row r="1485" customFormat="false" ht="12.8" hidden="false" customHeight="true" outlineLevel="0" collapsed="false">
      <c r="C1485" s="6" t="n">
        <f aca="false">MOD(ROW()-1, 208)</f>
        <v>28</v>
      </c>
      <c r="D1485" s="6" t="n">
        <f aca="false">INT((ROW()-1)/208)</f>
        <v>7</v>
      </c>
      <c r="F1485" s="6" t="str">
        <f aca="false">MID(VLOOKUP(D1485,$P$1:$Q$13,2,0), 1 + C1485,1)</f>
        <v>용</v>
      </c>
      <c r="G1485" s="6" t="str">
        <f aca="false">DEC2HEX(D1485+36, 2)</f>
        <v>2B</v>
      </c>
      <c r="H1485" s="6" t="str">
        <f aca="false">DEC2HEX(C1485+48,2)</f>
        <v>4C</v>
      </c>
      <c r="I1485" s="6" t="str">
        <f aca="false">_xlfn.CONCAT("\x", G1485, "\x", H1485, "=", F1485)</f>
        <v>\x2B\x4C=용</v>
      </c>
      <c r="M1485" s="8"/>
    </row>
    <row r="1486" customFormat="false" ht="12.8" hidden="false" customHeight="true" outlineLevel="0" collapsed="false">
      <c r="C1486" s="6" t="n">
        <f aca="false">MOD(ROW()-1, 208)</f>
        <v>29</v>
      </c>
      <c r="D1486" s="6" t="n">
        <f aca="false">INT((ROW()-1)/208)</f>
        <v>7</v>
      </c>
      <c r="F1486" s="6" t="str">
        <f aca="false">MID(VLOOKUP(D1486,$P$1:$Q$13,2,0), 1 + C1486,1)</f>
        <v>우</v>
      </c>
      <c r="G1486" s="6" t="str">
        <f aca="false">DEC2HEX(D1486+36, 2)</f>
        <v>2B</v>
      </c>
      <c r="H1486" s="6" t="str">
        <f aca="false">DEC2HEX(C1486+48,2)</f>
        <v>4D</v>
      </c>
      <c r="I1486" s="6" t="str">
        <f aca="false">_xlfn.CONCAT("\x", G1486, "\x", H1486, "=", F1486)</f>
        <v>\x2B\x4D=우</v>
      </c>
      <c r="M1486" s="8"/>
    </row>
    <row r="1487" customFormat="false" ht="12.8" hidden="false" customHeight="true" outlineLevel="0" collapsed="false">
      <c r="C1487" s="6" t="n">
        <f aca="false">MOD(ROW()-1, 208)</f>
        <v>30</v>
      </c>
      <c r="D1487" s="6" t="n">
        <f aca="false">INT((ROW()-1)/208)</f>
        <v>7</v>
      </c>
      <c r="F1487" s="6" t="str">
        <f aca="false">MID(VLOOKUP(D1487,$P$1:$Q$13,2,0), 1 + C1487,1)</f>
        <v>욱</v>
      </c>
      <c r="G1487" s="6" t="str">
        <f aca="false">DEC2HEX(D1487+36, 2)</f>
        <v>2B</v>
      </c>
      <c r="H1487" s="6" t="str">
        <f aca="false">DEC2HEX(C1487+48,2)</f>
        <v>4E</v>
      </c>
      <c r="I1487" s="6" t="str">
        <f aca="false">_xlfn.CONCAT("\x", G1487, "\x", H1487, "=", F1487)</f>
        <v>\x2B\x4E=욱</v>
      </c>
      <c r="M1487" s="8"/>
    </row>
    <row r="1488" customFormat="false" ht="12.8" hidden="false" customHeight="true" outlineLevel="0" collapsed="false">
      <c r="C1488" s="6" t="n">
        <f aca="false">MOD(ROW()-1, 208)</f>
        <v>31</v>
      </c>
      <c r="D1488" s="6" t="n">
        <f aca="false">INT((ROW()-1)/208)</f>
        <v>7</v>
      </c>
      <c r="F1488" s="6" t="str">
        <f aca="false">MID(VLOOKUP(D1488,$P$1:$Q$13,2,0), 1 + C1488,1)</f>
        <v>운</v>
      </c>
      <c r="G1488" s="6" t="str">
        <f aca="false">DEC2HEX(D1488+36, 2)</f>
        <v>2B</v>
      </c>
      <c r="H1488" s="6" t="str">
        <f aca="false">DEC2HEX(C1488+48,2)</f>
        <v>4F</v>
      </c>
      <c r="I1488" s="6" t="str">
        <f aca="false">_xlfn.CONCAT("\x", G1488, "\x", H1488, "=", F1488)</f>
        <v>\x2B\x4F=운</v>
      </c>
      <c r="M1488" s="8"/>
    </row>
    <row r="1489" customFormat="false" ht="12.8" hidden="false" customHeight="true" outlineLevel="0" collapsed="false">
      <c r="C1489" s="6" t="n">
        <f aca="false">MOD(ROW()-1, 208)</f>
        <v>32</v>
      </c>
      <c r="D1489" s="6" t="n">
        <f aca="false">INT((ROW()-1)/208)</f>
        <v>7</v>
      </c>
      <c r="F1489" s="6" t="str">
        <f aca="false">MID(VLOOKUP(D1489,$P$1:$Q$13,2,0), 1 + C1489,1)</f>
        <v>울</v>
      </c>
      <c r="G1489" s="6" t="str">
        <f aca="false">DEC2HEX(D1489+36, 2)</f>
        <v>2B</v>
      </c>
      <c r="H1489" s="6" t="str">
        <f aca="false">DEC2HEX(C1489+48,2)</f>
        <v>50</v>
      </c>
      <c r="I1489" s="6" t="str">
        <f aca="false">_xlfn.CONCAT("\x", G1489, "\x", H1489, "=", F1489)</f>
        <v>\x2B\x50=울</v>
      </c>
      <c r="M1489" s="8"/>
    </row>
    <row r="1490" customFormat="false" ht="12.8" hidden="false" customHeight="true" outlineLevel="0" collapsed="false">
      <c r="C1490" s="6" t="n">
        <f aca="false">MOD(ROW()-1, 208)</f>
        <v>33</v>
      </c>
      <c r="D1490" s="6" t="n">
        <f aca="false">INT((ROW()-1)/208)</f>
        <v>7</v>
      </c>
      <c r="F1490" s="6" t="str">
        <f aca="false">MID(VLOOKUP(D1490,$P$1:$Q$13,2,0), 1 + C1490,1)</f>
        <v>욹</v>
      </c>
      <c r="G1490" s="6" t="str">
        <f aca="false">DEC2HEX(D1490+36, 2)</f>
        <v>2B</v>
      </c>
      <c r="H1490" s="6" t="str">
        <f aca="false">DEC2HEX(C1490+48,2)</f>
        <v>51</v>
      </c>
      <c r="I1490" s="6" t="str">
        <f aca="false">_xlfn.CONCAT("\x", G1490, "\x", H1490, "=", F1490)</f>
        <v>\x2B\x51=욹</v>
      </c>
      <c r="M1490" s="8"/>
    </row>
    <row r="1491" customFormat="false" ht="12.8" hidden="false" customHeight="true" outlineLevel="0" collapsed="false">
      <c r="C1491" s="6" t="n">
        <f aca="false">MOD(ROW()-1, 208)</f>
        <v>34</v>
      </c>
      <c r="D1491" s="6" t="n">
        <f aca="false">INT((ROW()-1)/208)</f>
        <v>7</v>
      </c>
      <c r="F1491" s="6" t="str">
        <f aca="false">MID(VLOOKUP(D1491,$P$1:$Q$13,2,0), 1 + C1491,1)</f>
        <v>욺</v>
      </c>
      <c r="G1491" s="6" t="str">
        <f aca="false">DEC2HEX(D1491+36, 2)</f>
        <v>2B</v>
      </c>
      <c r="H1491" s="6" t="str">
        <f aca="false">DEC2HEX(C1491+48,2)</f>
        <v>52</v>
      </c>
      <c r="I1491" s="6" t="str">
        <f aca="false">_xlfn.CONCAT("\x", G1491, "\x", H1491, "=", F1491)</f>
        <v>\x2B\x52=욺</v>
      </c>
      <c r="M1491" s="8"/>
    </row>
    <row r="1492" customFormat="false" ht="12.8" hidden="false" customHeight="true" outlineLevel="0" collapsed="false">
      <c r="C1492" s="6" t="n">
        <f aca="false">MOD(ROW()-1, 208)</f>
        <v>35</v>
      </c>
      <c r="D1492" s="6" t="n">
        <f aca="false">INT((ROW()-1)/208)</f>
        <v>7</v>
      </c>
      <c r="F1492" s="6" t="str">
        <f aca="false">MID(VLOOKUP(D1492,$P$1:$Q$13,2,0), 1 + C1492,1)</f>
        <v>움</v>
      </c>
      <c r="G1492" s="6" t="str">
        <f aca="false">DEC2HEX(D1492+36, 2)</f>
        <v>2B</v>
      </c>
      <c r="H1492" s="6" t="str">
        <f aca="false">DEC2HEX(C1492+48,2)</f>
        <v>53</v>
      </c>
      <c r="I1492" s="6" t="str">
        <f aca="false">_xlfn.CONCAT("\x", G1492, "\x", H1492, "=", F1492)</f>
        <v>\x2B\x53=움</v>
      </c>
      <c r="M1492" s="8"/>
    </row>
    <row r="1493" customFormat="false" ht="12.8" hidden="false" customHeight="true" outlineLevel="0" collapsed="false">
      <c r="C1493" s="6" t="n">
        <f aca="false">MOD(ROW()-1, 208)</f>
        <v>36</v>
      </c>
      <c r="D1493" s="6" t="n">
        <f aca="false">INT((ROW()-1)/208)</f>
        <v>7</v>
      </c>
      <c r="F1493" s="6" t="str">
        <f aca="false">MID(VLOOKUP(D1493,$P$1:$Q$13,2,0), 1 + C1493,1)</f>
        <v>웁</v>
      </c>
      <c r="G1493" s="6" t="str">
        <f aca="false">DEC2HEX(D1493+36, 2)</f>
        <v>2B</v>
      </c>
      <c r="H1493" s="6" t="str">
        <f aca="false">DEC2HEX(C1493+48,2)</f>
        <v>54</v>
      </c>
      <c r="I1493" s="6" t="str">
        <f aca="false">_xlfn.CONCAT("\x", G1493, "\x", H1493, "=", F1493)</f>
        <v>\x2B\x54=웁</v>
      </c>
      <c r="M1493" s="8"/>
    </row>
    <row r="1494" customFormat="false" ht="12.8" hidden="false" customHeight="true" outlineLevel="0" collapsed="false">
      <c r="C1494" s="6" t="n">
        <f aca="false">MOD(ROW()-1, 208)</f>
        <v>37</v>
      </c>
      <c r="D1494" s="6" t="n">
        <f aca="false">INT((ROW()-1)/208)</f>
        <v>7</v>
      </c>
      <c r="F1494" s="6" t="str">
        <f aca="false">MID(VLOOKUP(D1494,$P$1:$Q$13,2,0), 1 + C1494,1)</f>
        <v>웃</v>
      </c>
      <c r="G1494" s="6" t="str">
        <f aca="false">DEC2HEX(D1494+36, 2)</f>
        <v>2B</v>
      </c>
      <c r="H1494" s="6" t="str">
        <f aca="false">DEC2HEX(C1494+48,2)</f>
        <v>55</v>
      </c>
      <c r="I1494" s="6" t="str">
        <f aca="false">_xlfn.CONCAT("\x", G1494, "\x", H1494, "=", F1494)</f>
        <v>\x2B\x55=웃</v>
      </c>
      <c r="M1494" s="8"/>
    </row>
    <row r="1495" customFormat="false" ht="12.8" hidden="false" customHeight="true" outlineLevel="0" collapsed="false">
      <c r="C1495" s="6" t="n">
        <f aca="false">MOD(ROW()-1, 208)</f>
        <v>38</v>
      </c>
      <c r="D1495" s="6" t="n">
        <f aca="false">INT((ROW()-1)/208)</f>
        <v>7</v>
      </c>
      <c r="F1495" s="6" t="str">
        <f aca="false">MID(VLOOKUP(D1495,$P$1:$Q$13,2,0), 1 + C1495,1)</f>
        <v>웅</v>
      </c>
      <c r="G1495" s="6" t="str">
        <f aca="false">DEC2HEX(D1495+36, 2)</f>
        <v>2B</v>
      </c>
      <c r="H1495" s="6" t="str">
        <f aca="false">DEC2HEX(C1495+48,2)</f>
        <v>56</v>
      </c>
      <c r="I1495" s="6" t="str">
        <f aca="false">_xlfn.CONCAT("\x", G1495, "\x", H1495, "=", F1495)</f>
        <v>\x2B\x56=웅</v>
      </c>
      <c r="M1495" s="8"/>
    </row>
    <row r="1496" customFormat="false" ht="12.8" hidden="false" customHeight="true" outlineLevel="0" collapsed="false">
      <c r="C1496" s="6" t="n">
        <f aca="false">MOD(ROW()-1, 208)</f>
        <v>39</v>
      </c>
      <c r="D1496" s="6" t="n">
        <f aca="false">INT((ROW()-1)/208)</f>
        <v>7</v>
      </c>
      <c r="F1496" s="6" t="str">
        <f aca="false">MID(VLOOKUP(D1496,$P$1:$Q$13,2,0), 1 + C1496,1)</f>
        <v>워</v>
      </c>
      <c r="G1496" s="6" t="str">
        <f aca="false">DEC2HEX(D1496+36, 2)</f>
        <v>2B</v>
      </c>
      <c r="H1496" s="6" t="str">
        <f aca="false">DEC2HEX(C1496+48,2)</f>
        <v>57</v>
      </c>
      <c r="I1496" s="6" t="str">
        <f aca="false">_xlfn.CONCAT("\x", G1496, "\x", H1496, "=", F1496)</f>
        <v>\x2B\x57=워</v>
      </c>
      <c r="M1496" s="8"/>
    </row>
    <row r="1497" customFormat="false" ht="12.8" hidden="false" customHeight="true" outlineLevel="0" collapsed="false">
      <c r="C1497" s="6" t="n">
        <f aca="false">MOD(ROW()-1, 208)</f>
        <v>40</v>
      </c>
      <c r="D1497" s="6" t="n">
        <f aca="false">INT((ROW()-1)/208)</f>
        <v>7</v>
      </c>
      <c r="F1497" s="6" t="str">
        <f aca="false">MID(VLOOKUP(D1497,$P$1:$Q$13,2,0), 1 + C1497,1)</f>
        <v>웍</v>
      </c>
      <c r="G1497" s="6" t="str">
        <f aca="false">DEC2HEX(D1497+36, 2)</f>
        <v>2B</v>
      </c>
      <c r="H1497" s="6" t="str">
        <f aca="false">DEC2HEX(C1497+48,2)</f>
        <v>58</v>
      </c>
      <c r="I1497" s="6" t="str">
        <f aca="false">_xlfn.CONCAT("\x", G1497, "\x", H1497, "=", F1497)</f>
        <v>\x2B\x58=웍</v>
      </c>
      <c r="M1497" s="8"/>
    </row>
    <row r="1498" customFormat="false" ht="12.8" hidden="false" customHeight="true" outlineLevel="0" collapsed="false">
      <c r="C1498" s="6" t="n">
        <f aca="false">MOD(ROW()-1, 208)</f>
        <v>41</v>
      </c>
      <c r="D1498" s="6" t="n">
        <f aca="false">INT((ROW()-1)/208)</f>
        <v>7</v>
      </c>
      <c r="F1498" s="6" t="str">
        <f aca="false">MID(VLOOKUP(D1498,$P$1:$Q$13,2,0), 1 + C1498,1)</f>
        <v>원</v>
      </c>
      <c r="G1498" s="6" t="str">
        <f aca="false">DEC2HEX(D1498+36, 2)</f>
        <v>2B</v>
      </c>
      <c r="H1498" s="6" t="str">
        <f aca="false">DEC2HEX(C1498+48,2)</f>
        <v>59</v>
      </c>
      <c r="I1498" s="6" t="str">
        <f aca="false">_xlfn.CONCAT("\x", G1498, "\x", H1498, "=", F1498)</f>
        <v>\x2B\x59=원</v>
      </c>
      <c r="M1498" s="8"/>
    </row>
    <row r="1499" customFormat="false" ht="12.8" hidden="false" customHeight="true" outlineLevel="0" collapsed="false">
      <c r="C1499" s="6" t="n">
        <f aca="false">MOD(ROW()-1, 208)</f>
        <v>42</v>
      </c>
      <c r="D1499" s="6" t="n">
        <f aca="false">INT((ROW()-1)/208)</f>
        <v>7</v>
      </c>
      <c r="F1499" s="6" t="str">
        <f aca="false">MID(VLOOKUP(D1499,$P$1:$Q$13,2,0), 1 + C1499,1)</f>
        <v>월</v>
      </c>
      <c r="G1499" s="6" t="str">
        <f aca="false">DEC2HEX(D1499+36, 2)</f>
        <v>2B</v>
      </c>
      <c r="H1499" s="6" t="str">
        <f aca="false">DEC2HEX(C1499+48,2)</f>
        <v>5A</v>
      </c>
      <c r="I1499" s="6" t="str">
        <f aca="false">_xlfn.CONCAT("\x", G1499, "\x", H1499, "=", F1499)</f>
        <v>\x2B\x5A=월</v>
      </c>
      <c r="M1499" s="8"/>
    </row>
    <row r="1500" customFormat="false" ht="12.8" hidden="false" customHeight="true" outlineLevel="0" collapsed="false">
      <c r="C1500" s="6" t="n">
        <f aca="false">MOD(ROW()-1, 208)</f>
        <v>43</v>
      </c>
      <c r="D1500" s="6" t="n">
        <f aca="false">INT((ROW()-1)/208)</f>
        <v>7</v>
      </c>
      <c r="F1500" s="6" t="str">
        <f aca="false">MID(VLOOKUP(D1500,$P$1:$Q$13,2,0), 1 + C1500,1)</f>
        <v>웜</v>
      </c>
      <c r="G1500" s="6" t="str">
        <f aca="false">DEC2HEX(D1500+36, 2)</f>
        <v>2B</v>
      </c>
      <c r="H1500" s="6" t="str">
        <f aca="false">DEC2HEX(C1500+48,2)</f>
        <v>5B</v>
      </c>
      <c r="I1500" s="6" t="str">
        <f aca="false">_xlfn.CONCAT("\x", G1500, "\x", H1500, "=", F1500)</f>
        <v>\x2B\x5B=웜</v>
      </c>
      <c r="M1500" s="8"/>
    </row>
    <row r="1501" customFormat="false" ht="12.8" hidden="false" customHeight="true" outlineLevel="0" collapsed="false">
      <c r="C1501" s="6" t="n">
        <f aca="false">MOD(ROW()-1, 208)</f>
        <v>44</v>
      </c>
      <c r="D1501" s="6" t="n">
        <f aca="false">INT((ROW()-1)/208)</f>
        <v>7</v>
      </c>
      <c r="F1501" s="6" t="str">
        <f aca="false">MID(VLOOKUP(D1501,$P$1:$Q$13,2,0), 1 + C1501,1)</f>
        <v>웝</v>
      </c>
      <c r="G1501" s="6" t="str">
        <f aca="false">DEC2HEX(D1501+36, 2)</f>
        <v>2B</v>
      </c>
      <c r="H1501" s="6" t="str">
        <f aca="false">DEC2HEX(C1501+48,2)</f>
        <v>5C</v>
      </c>
      <c r="I1501" s="6" t="str">
        <f aca="false">_xlfn.CONCAT("\x", G1501, "\x", H1501, "=", F1501)</f>
        <v>\x2B\x5C=웝</v>
      </c>
      <c r="M1501" s="8"/>
    </row>
    <row r="1502" customFormat="false" ht="12.8" hidden="false" customHeight="true" outlineLevel="0" collapsed="false">
      <c r="C1502" s="6" t="n">
        <f aca="false">MOD(ROW()-1, 208)</f>
        <v>45</v>
      </c>
      <c r="D1502" s="6" t="n">
        <f aca="false">INT((ROW()-1)/208)</f>
        <v>7</v>
      </c>
      <c r="F1502" s="6" t="str">
        <f aca="false">MID(VLOOKUP(D1502,$P$1:$Q$13,2,0), 1 + C1502,1)</f>
        <v>웠</v>
      </c>
      <c r="G1502" s="6" t="str">
        <f aca="false">DEC2HEX(D1502+36, 2)</f>
        <v>2B</v>
      </c>
      <c r="H1502" s="6" t="str">
        <f aca="false">DEC2HEX(C1502+48,2)</f>
        <v>5D</v>
      </c>
      <c r="I1502" s="6" t="str">
        <f aca="false">_xlfn.CONCAT("\x", G1502, "\x", H1502, "=", F1502)</f>
        <v>\x2B\x5D=웠</v>
      </c>
      <c r="M1502" s="8"/>
    </row>
    <row r="1503" customFormat="false" ht="12.8" hidden="false" customHeight="true" outlineLevel="0" collapsed="false">
      <c r="C1503" s="6" t="n">
        <f aca="false">MOD(ROW()-1, 208)</f>
        <v>46</v>
      </c>
      <c r="D1503" s="6" t="n">
        <f aca="false">INT((ROW()-1)/208)</f>
        <v>7</v>
      </c>
      <c r="F1503" s="6" t="str">
        <f aca="false">MID(VLOOKUP(D1503,$P$1:$Q$13,2,0), 1 + C1503,1)</f>
        <v>웡</v>
      </c>
      <c r="G1503" s="6" t="str">
        <f aca="false">DEC2HEX(D1503+36, 2)</f>
        <v>2B</v>
      </c>
      <c r="H1503" s="6" t="str">
        <f aca="false">DEC2HEX(C1503+48,2)</f>
        <v>5E</v>
      </c>
      <c r="I1503" s="6" t="str">
        <f aca="false">_xlfn.CONCAT("\x", G1503, "\x", H1503, "=", F1503)</f>
        <v>\x2B\x5E=웡</v>
      </c>
      <c r="M1503" s="8"/>
    </row>
    <row r="1504" customFormat="false" ht="12.8" hidden="false" customHeight="true" outlineLevel="0" collapsed="false">
      <c r="C1504" s="6" t="n">
        <f aca="false">MOD(ROW()-1, 208)</f>
        <v>47</v>
      </c>
      <c r="D1504" s="6" t="n">
        <f aca="false">INT((ROW()-1)/208)</f>
        <v>7</v>
      </c>
      <c r="F1504" s="6" t="str">
        <f aca="false">MID(VLOOKUP(D1504,$P$1:$Q$13,2,0), 1 + C1504,1)</f>
        <v>웨</v>
      </c>
      <c r="G1504" s="6" t="str">
        <f aca="false">DEC2HEX(D1504+36, 2)</f>
        <v>2B</v>
      </c>
      <c r="H1504" s="6" t="str">
        <f aca="false">DEC2HEX(C1504+48,2)</f>
        <v>5F</v>
      </c>
      <c r="I1504" s="6" t="str">
        <f aca="false">_xlfn.CONCAT("\x", G1504, "\x", H1504, "=", F1504)</f>
        <v>\x2B\x5F=웨</v>
      </c>
      <c r="M1504" s="8"/>
    </row>
    <row r="1505" customFormat="false" ht="12.8" hidden="false" customHeight="true" outlineLevel="0" collapsed="false">
      <c r="C1505" s="6" t="n">
        <f aca="false">MOD(ROW()-1, 208)</f>
        <v>48</v>
      </c>
      <c r="D1505" s="6" t="n">
        <f aca="false">INT((ROW()-1)/208)</f>
        <v>7</v>
      </c>
      <c r="F1505" s="6" t="str">
        <f aca="false">MID(VLOOKUP(D1505,$P$1:$Q$13,2,0), 1 + C1505,1)</f>
        <v>웩</v>
      </c>
      <c r="G1505" s="6" t="str">
        <f aca="false">DEC2HEX(D1505+36, 2)</f>
        <v>2B</v>
      </c>
      <c r="H1505" s="6" t="str">
        <f aca="false">DEC2HEX(C1505+48,2)</f>
        <v>60</v>
      </c>
      <c r="I1505" s="6" t="str">
        <f aca="false">_xlfn.CONCAT("\x", G1505, "\x", H1505, "=", F1505)</f>
        <v>\x2B\x60=웩</v>
      </c>
      <c r="M1505" s="8"/>
    </row>
    <row r="1506" customFormat="false" ht="12.8" hidden="false" customHeight="true" outlineLevel="0" collapsed="false">
      <c r="C1506" s="6" t="n">
        <f aca="false">MOD(ROW()-1, 208)</f>
        <v>49</v>
      </c>
      <c r="D1506" s="6" t="n">
        <f aca="false">INT((ROW()-1)/208)</f>
        <v>7</v>
      </c>
      <c r="F1506" s="6" t="str">
        <f aca="false">MID(VLOOKUP(D1506,$P$1:$Q$13,2,0), 1 + C1506,1)</f>
        <v>웬</v>
      </c>
      <c r="G1506" s="6" t="str">
        <f aca="false">DEC2HEX(D1506+36, 2)</f>
        <v>2B</v>
      </c>
      <c r="H1506" s="6" t="str">
        <f aca="false">DEC2HEX(C1506+48,2)</f>
        <v>61</v>
      </c>
      <c r="I1506" s="6" t="str">
        <f aca="false">_xlfn.CONCAT("\x", G1506, "\x", H1506, "=", F1506)</f>
        <v>\x2B\x61=웬</v>
      </c>
      <c r="M1506" s="8"/>
    </row>
    <row r="1507" customFormat="false" ht="12.8" hidden="false" customHeight="true" outlineLevel="0" collapsed="false">
      <c r="C1507" s="6" t="n">
        <f aca="false">MOD(ROW()-1, 208)</f>
        <v>50</v>
      </c>
      <c r="D1507" s="6" t="n">
        <f aca="false">INT((ROW()-1)/208)</f>
        <v>7</v>
      </c>
      <c r="F1507" s="6" t="str">
        <f aca="false">MID(VLOOKUP(D1507,$P$1:$Q$13,2,0), 1 + C1507,1)</f>
        <v>웰</v>
      </c>
      <c r="G1507" s="6" t="str">
        <f aca="false">DEC2HEX(D1507+36, 2)</f>
        <v>2B</v>
      </c>
      <c r="H1507" s="6" t="str">
        <f aca="false">DEC2HEX(C1507+48,2)</f>
        <v>62</v>
      </c>
      <c r="I1507" s="6" t="str">
        <f aca="false">_xlfn.CONCAT("\x", G1507, "\x", H1507, "=", F1507)</f>
        <v>\x2B\x62=웰</v>
      </c>
      <c r="M1507" s="8"/>
    </row>
    <row r="1508" customFormat="false" ht="12.8" hidden="false" customHeight="true" outlineLevel="0" collapsed="false">
      <c r="C1508" s="6" t="n">
        <f aca="false">MOD(ROW()-1, 208)</f>
        <v>51</v>
      </c>
      <c r="D1508" s="6" t="n">
        <f aca="false">INT((ROW()-1)/208)</f>
        <v>7</v>
      </c>
      <c r="F1508" s="6" t="str">
        <f aca="false">MID(VLOOKUP(D1508,$P$1:$Q$13,2,0), 1 + C1508,1)</f>
        <v>웸</v>
      </c>
      <c r="G1508" s="6" t="str">
        <f aca="false">DEC2HEX(D1508+36, 2)</f>
        <v>2B</v>
      </c>
      <c r="H1508" s="6" t="str">
        <f aca="false">DEC2HEX(C1508+48,2)</f>
        <v>63</v>
      </c>
      <c r="I1508" s="6" t="str">
        <f aca="false">_xlfn.CONCAT("\x", G1508, "\x", H1508, "=", F1508)</f>
        <v>\x2B\x63=웸</v>
      </c>
      <c r="M1508" s="8"/>
    </row>
    <row r="1509" customFormat="false" ht="12.8" hidden="false" customHeight="true" outlineLevel="0" collapsed="false">
      <c r="C1509" s="6" t="n">
        <f aca="false">MOD(ROW()-1, 208)</f>
        <v>52</v>
      </c>
      <c r="D1509" s="6" t="n">
        <f aca="false">INT((ROW()-1)/208)</f>
        <v>7</v>
      </c>
      <c r="F1509" s="6" t="str">
        <f aca="false">MID(VLOOKUP(D1509,$P$1:$Q$13,2,0), 1 + C1509,1)</f>
        <v>웹</v>
      </c>
      <c r="G1509" s="6" t="str">
        <f aca="false">DEC2HEX(D1509+36, 2)</f>
        <v>2B</v>
      </c>
      <c r="H1509" s="6" t="str">
        <f aca="false">DEC2HEX(C1509+48,2)</f>
        <v>64</v>
      </c>
      <c r="I1509" s="6" t="str">
        <f aca="false">_xlfn.CONCAT("\x", G1509, "\x", H1509, "=", F1509)</f>
        <v>\x2B\x64=웹</v>
      </c>
      <c r="M1509" s="8"/>
    </row>
    <row r="1510" customFormat="false" ht="12.8" hidden="false" customHeight="true" outlineLevel="0" collapsed="false">
      <c r="C1510" s="6" t="n">
        <f aca="false">MOD(ROW()-1, 208)</f>
        <v>53</v>
      </c>
      <c r="D1510" s="6" t="n">
        <f aca="false">INT((ROW()-1)/208)</f>
        <v>7</v>
      </c>
      <c r="F1510" s="6" t="str">
        <f aca="false">MID(VLOOKUP(D1510,$P$1:$Q$13,2,0), 1 + C1510,1)</f>
        <v>웽</v>
      </c>
      <c r="G1510" s="6" t="str">
        <f aca="false">DEC2HEX(D1510+36, 2)</f>
        <v>2B</v>
      </c>
      <c r="H1510" s="6" t="str">
        <f aca="false">DEC2HEX(C1510+48,2)</f>
        <v>65</v>
      </c>
      <c r="I1510" s="6" t="str">
        <f aca="false">_xlfn.CONCAT("\x", G1510, "\x", H1510, "=", F1510)</f>
        <v>\x2B\x65=웽</v>
      </c>
      <c r="M1510" s="8"/>
    </row>
    <row r="1511" customFormat="false" ht="12.8" hidden="false" customHeight="true" outlineLevel="0" collapsed="false">
      <c r="C1511" s="6" t="n">
        <f aca="false">MOD(ROW()-1, 208)</f>
        <v>54</v>
      </c>
      <c r="D1511" s="6" t="n">
        <f aca="false">INT((ROW()-1)/208)</f>
        <v>7</v>
      </c>
      <c r="F1511" s="6" t="str">
        <f aca="false">MID(VLOOKUP(D1511,$P$1:$Q$13,2,0), 1 + C1511,1)</f>
        <v>위</v>
      </c>
      <c r="G1511" s="6" t="str">
        <f aca="false">DEC2HEX(D1511+36, 2)</f>
        <v>2B</v>
      </c>
      <c r="H1511" s="6" t="str">
        <f aca="false">DEC2HEX(C1511+48,2)</f>
        <v>66</v>
      </c>
      <c r="I1511" s="6" t="str">
        <f aca="false">_xlfn.CONCAT("\x", G1511, "\x", H1511, "=", F1511)</f>
        <v>\x2B\x66=위</v>
      </c>
      <c r="M1511" s="8"/>
    </row>
    <row r="1512" customFormat="false" ht="12.8" hidden="false" customHeight="true" outlineLevel="0" collapsed="false">
      <c r="C1512" s="6" t="n">
        <f aca="false">MOD(ROW()-1, 208)</f>
        <v>55</v>
      </c>
      <c r="D1512" s="6" t="n">
        <f aca="false">INT((ROW()-1)/208)</f>
        <v>7</v>
      </c>
      <c r="F1512" s="6" t="str">
        <f aca="false">MID(VLOOKUP(D1512,$P$1:$Q$13,2,0), 1 + C1512,1)</f>
        <v>윅</v>
      </c>
      <c r="G1512" s="6" t="str">
        <f aca="false">DEC2HEX(D1512+36, 2)</f>
        <v>2B</v>
      </c>
      <c r="H1512" s="6" t="str">
        <f aca="false">DEC2HEX(C1512+48,2)</f>
        <v>67</v>
      </c>
      <c r="I1512" s="6" t="str">
        <f aca="false">_xlfn.CONCAT("\x", G1512, "\x", H1512, "=", F1512)</f>
        <v>\x2B\x67=윅</v>
      </c>
      <c r="M1512" s="8"/>
    </row>
    <row r="1513" customFormat="false" ht="12.8" hidden="false" customHeight="true" outlineLevel="0" collapsed="false">
      <c r="C1513" s="6" t="n">
        <f aca="false">MOD(ROW()-1, 208)</f>
        <v>56</v>
      </c>
      <c r="D1513" s="6" t="n">
        <f aca="false">INT((ROW()-1)/208)</f>
        <v>7</v>
      </c>
      <c r="F1513" s="6" t="str">
        <f aca="false">MID(VLOOKUP(D1513,$P$1:$Q$13,2,0), 1 + C1513,1)</f>
        <v>윈</v>
      </c>
      <c r="G1513" s="6" t="str">
        <f aca="false">DEC2HEX(D1513+36, 2)</f>
        <v>2B</v>
      </c>
      <c r="H1513" s="6" t="str">
        <f aca="false">DEC2HEX(C1513+48,2)</f>
        <v>68</v>
      </c>
      <c r="I1513" s="6" t="str">
        <f aca="false">_xlfn.CONCAT("\x", G1513, "\x", H1513, "=", F1513)</f>
        <v>\x2B\x68=윈</v>
      </c>
      <c r="M1513" s="8"/>
    </row>
    <row r="1514" customFormat="false" ht="12.8" hidden="false" customHeight="true" outlineLevel="0" collapsed="false">
      <c r="C1514" s="6" t="n">
        <f aca="false">MOD(ROW()-1, 208)</f>
        <v>57</v>
      </c>
      <c r="D1514" s="6" t="n">
        <f aca="false">INT((ROW()-1)/208)</f>
        <v>7</v>
      </c>
      <c r="F1514" s="6" t="str">
        <f aca="false">MID(VLOOKUP(D1514,$P$1:$Q$13,2,0), 1 + C1514,1)</f>
        <v>윌</v>
      </c>
      <c r="G1514" s="6" t="str">
        <f aca="false">DEC2HEX(D1514+36, 2)</f>
        <v>2B</v>
      </c>
      <c r="H1514" s="6" t="str">
        <f aca="false">DEC2HEX(C1514+48,2)</f>
        <v>69</v>
      </c>
      <c r="I1514" s="6" t="str">
        <f aca="false">_xlfn.CONCAT("\x", G1514, "\x", H1514, "=", F1514)</f>
        <v>\x2B\x69=윌</v>
      </c>
      <c r="M1514" s="8"/>
    </row>
    <row r="1515" customFormat="false" ht="12.8" hidden="false" customHeight="true" outlineLevel="0" collapsed="false">
      <c r="C1515" s="6" t="n">
        <f aca="false">MOD(ROW()-1, 208)</f>
        <v>58</v>
      </c>
      <c r="D1515" s="6" t="n">
        <f aca="false">INT((ROW()-1)/208)</f>
        <v>7</v>
      </c>
      <c r="F1515" s="6" t="str">
        <f aca="false">MID(VLOOKUP(D1515,$P$1:$Q$13,2,0), 1 + C1515,1)</f>
        <v>윔</v>
      </c>
      <c r="G1515" s="6" t="str">
        <f aca="false">DEC2HEX(D1515+36, 2)</f>
        <v>2B</v>
      </c>
      <c r="H1515" s="6" t="str">
        <f aca="false">DEC2HEX(C1515+48,2)</f>
        <v>6A</v>
      </c>
      <c r="I1515" s="6" t="str">
        <f aca="false">_xlfn.CONCAT("\x", G1515, "\x", H1515, "=", F1515)</f>
        <v>\x2B\x6A=윔</v>
      </c>
      <c r="M1515" s="8"/>
    </row>
    <row r="1516" customFormat="false" ht="12.8" hidden="false" customHeight="true" outlineLevel="0" collapsed="false">
      <c r="C1516" s="6" t="n">
        <f aca="false">MOD(ROW()-1, 208)</f>
        <v>59</v>
      </c>
      <c r="D1516" s="6" t="n">
        <f aca="false">INT((ROW()-1)/208)</f>
        <v>7</v>
      </c>
      <c r="F1516" s="6" t="str">
        <f aca="false">MID(VLOOKUP(D1516,$P$1:$Q$13,2,0), 1 + C1516,1)</f>
        <v>윕</v>
      </c>
      <c r="G1516" s="6" t="str">
        <f aca="false">DEC2HEX(D1516+36, 2)</f>
        <v>2B</v>
      </c>
      <c r="H1516" s="6" t="str">
        <f aca="false">DEC2HEX(C1516+48,2)</f>
        <v>6B</v>
      </c>
      <c r="I1516" s="6" t="str">
        <f aca="false">_xlfn.CONCAT("\x", G1516, "\x", H1516, "=", F1516)</f>
        <v>\x2B\x6B=윕</v>
      </c>
      <c r="M1516" s="8"/>
    </row>
    <row r="1517" customFormat="false" ht="12.8" hidden="false" customHeight="true" outlineLevel="0" collapsed="false">
      <c r="C1517" s="6" t="n">
        <f aca="false">MOD(ROW()-1, 208)</f>
        <v>60</v>
      </c>
      <c r="D1517" s="6" t="n">
        <f aca="false">INT((ROW()-1)/208)</f>
        <v>7</v>
      </c>
      <c r="F1517" s="6" t="str">
        <f aca="false">MID(VLOOKUP(D1517,$P$1:$Q$13,2,0), 1 + C1517,1)</f>
        <v>윗</v>
      </c>
      <c r="G1517" s="6" t="str">
        <f aca="false">DEC2HEX(D1517+36, 2)</f>
        <v>2B</v>
      </c>
      <c r="H1517" s="6" t="str">
        <f aca="false">DEC2HEX(C1517+48,2)</f>
        <v>6C</v>
      </c>
      <c r="I1517" s="6" t="str">
        <f aca="false">_xlfn.CONCAT("\x", G1517, "\x", H1517, "=", F1517)</f>
        <v>\x2B\x6C=윗</v>
      </c>
      <c r="M1517" s="8"/>
    </row>
    <row r="1518" customFormat="false" ht="12.8" hidden="false" customHeight="true" outlineLevel="0" collapsed="false">
      <c r="C1518" s="6" t="n">
        <f aca="false">MOD(ROW()-1, 208)</f>
        <v>61</v>
      </c>
      <c r="D1518" s="6" t="n">
        <f aca="false">INT((ROW()-1)/208)</f>
        <v>7</v>
      </c>
      <c r="F1518" s="6" t="str">
        <f aca="false">MID(VLOOKUP(D1518,$P$1:$Q$13,2,0), 1 + C1518,1)</f>
        <v>윙</v>
      </c>
      <c r="G1518" s="6" t="str">
        <f aca="false">DEC2HEX(D1518+36, 2)</f>
        <v>2B</v>
      </c>
      <c r="H1518" s="6" t="str">
        <f aca="false">DEC2HEX(C1518+48,2)</f>
        <v>6D</v>
      </c>
      <c r="I1518" s="6" t="str">
        <f aca="false">_xlfn.CONCAT("\x", G1518, "\x", H1518, "=", F1518)</f>
        <v>\x2B\x6D=윙</v>
      </c>
      <c r="M1518" s="8"/>
    </row>
    <row r="1519" customFormat="false" ht="12.8" hidden="false" customHeight="true" outlineLevel="0" collapsed="false">
      <c r="C1519" s="6" t="n">
        <f aca="false">MOD(ROW()-1, 208)</f>
        <v>62</v>
      </c>
      <c r="D1519" s="6" t="n">
        <f aca="false">INT((ROW()-1)/208)</f>
        <v>7</v>
      </c>
      <c r="F1519" s="6" t="str">
        <f aca="false">MID(VLOOKUP(D1519,$P$1:$Q$13,2,0), 1 + C1519,1)</f>
        <v>유</v>
      </c>
      <c r="G1519" s="6" t="str">
        <f aca="false">DEC2HEX(D1519+36, 2)</f>
        <v>2B</v>
      </c>
      <c r="H1519" s="6" t="str">
        <f aca="false">DEC2HEX(C1519+48,2)</f>
        <v>6E</v>
      </c>
      <c r="I1519" s="6" t="str">
        <f aca="false">_xlfn.CONCAT("\x", G1519, "\x", H1519, "=", F1519)</f>
        <v>\x2B\x6E=유</v>
      </c>
      <c r="M1519" s="8"/>
    </row>
    <row r="1520" customFormat="false" ht="12.8" hidden="false" customHeight="true" outlineLevel="0" collapsed="false">
      <c r="C1520" s="6" t="n">
        <f aca="false">MOD(ROW()-1, 208)</f>
        <v>63</v>
      </c>
      <c r="D1520" s="6" t="n">
        <f aca="false">INT((ROW()-1)/208)</f>
        <v>7</v>
      </c>
      <c r="F1520" s="6" t="str">
        <f aca="false">MID(VLOOKUP(D1520,$P$1:$Q$13,2,0), 1 + C1520,1)</f>
        <v>육</v>
      </c>
      <c r="G1520" s="6" t="str">
        <f aca="false">DEC2HEX(D1520+36, 2)</f>
        <v>2B</v>
      </c>
      <c r="H1520" s="6" t="str">
        <f aca="false">DEC2HEX(C1520+48,2)</f>
        <v>6F</v>
      </c>
      <c r="I1520" s="6" t="str">
        <f aca="false">_xlfn.CONCAT("\x", G1520, "\x", H1520, "=", F1520)</f>
        <v>\x2B\x6F=육</v>
      </c>
      <c r="M1520" s="8"/>
    </row>
    <row r="1521" customFormat="false" ht="12.8" hidden="false" customHeight="true" outlineLevel="0" collapsed="false">
      <c r="C1521" s="6" t="n">
        <f aca="false">MOD(ROW()-1, 208)</f>
        <v>64</v>
      </c>
      <c r="D1521" s="6" t="n">
        <f aca="false">INT((ROW()-1)/208)</f>
        <v>7</v>
      </c>
      <c r="F1521" s="6" t="str">
        <f aca="false">MID(VLOOKUP(D1521,$P$1:$Q$13,2,0), 1 + C1521,1)</f>
        <v>윤</v>
      </c>
      <c r="G1521" s="6" t="str">
        <f aca="false">DEC2HEX(D1521+36, 2)</f>
        <v>2B</v>
      </c>
      <c r="H1521" s="6" t="str">
        <f aca="false">DEC2HEX(C1521+48,2)</f>
        <v>70</v>
      </c>
      <c r="I1521" s="6" t="str">
        <f aca="false">_xlfn.CONCAT("\x", G1521, "\x", H1521, "=", F1521)</f>
        <v>\x2B\x70=윤</v>
      </c>
      <c r="M1521" s="8"/>
    </row>
    <row r="1522" customFormat="false" ht="12.8" hidden="false" customHeight="true" outlineLevel="0" collapsed="false">
      <c r="C1522" s="6" t="n">
        <f aca="false">MOD(ROW()-1, 208)</f>
        <v>65</v>
      </c>
      <c r="D1522" s="6" t="n">
        <f aca="false">INT((ROW()-1)/208)</f>
        <v>7</v>
      </c>
      <c r="F1522" s="6" t="str">
        <f aca="false">MID(VLOOKUP(D1522,$P$1:$Q$13,2,0), 1 + C1522,1)</f>
        <v>율</v>
      </c>
      <c r="G1522" s="6" t="str">
        <f aca="false">DEC2HEX(D1522+36, 2)</f>
        <v>2B</v>
      </c>
      <c r="H1522" s="6" t="str">
        <f aca="false">DEC2HEX(C1522+48,2)</f>
        <v>71</v>
      </c>
      <c r="I1522" s="6" t="str">
        <f aca="false">_xlfn.CONCAT("\x", G1522, "\x", H1522, "=", F1522)</f>
        <v>\x2B\x71=율</v>
      </c>
      <c r="M1522" s="8"/>
    </row>
    <row r="1523" customFormat="false" ht="12.8" hidden="false" customHeight="true" outlineLevel="0" collapsed="false">
      <c r="C1523" s="6" t="n">
        <f aca="false">MOD(ROW()-1, 208)</f>
        <v>66</v>
      </c>
      <c r="D1523" s="6" t="n">
        <f aca="false">INT((ROW()-1)/208)</f>
        <v>7</v>
      </c>
      <c r="F1523" s="6" t="str">
        <f aca="false">MID(VLOOKUP(D1523,$P$1:$Q$13,2,0), 1 + C1523,1)</f>
        <v>윰</v>
      </c>
      <c r="G1523" s="6" t="str">
        <f aca="false">DEC2HEX(D1523+36, 2)</f>
        <v>2B</v>
      </c>
      <c r="H1523" s="6" t="str">
        <f aca="false">DEC2HEX(C1523+48,2)</f>
        <v>72</v>
      </c>
      <c r="I1523" s="6" t="str">
        <f aca="false">_xlfn.CONCAT("\x", G1523, "\x", H1523, "=", F1523)</f>
        <v>\x2B\x72=윰</v>
      </c>
      <c r="M1523" s="8"/>
    </row>
    <row r="1524" customFormat="false" ht="12.8" hidden="false" customHeight="true" outlineLevel="0" collapsed="false">
      <c r="C1524" s="6" t="n">
        <f aca="false">MOD(ROW()-1, 208)</f>
        <v>67</v>
      </c>
      <c r="D1524" s="6" t="n">
        <f aca="false">INT((ROW()-1)/208)</f>
        <v>7</v>
      </c>
      <c r="F1524" s="6" t="str">
        <f aca="false">MID(VLOOKUP(D1524,$P$1:$Q$13,2,0), 1 + C1524,1)</f>
        <v>윱</v>
      </c>
      <c r="G1524" s="6" t="str">
        <f aca="false">DEC2HEX(D1524+36, 2)</f>
        <v>2B</v>
      </c>
      <c r="H1524" s="6" t="str">
        <f aca="false">DEC2HEX(C1524+48,2)</f>
        <v>73</v>
      </c>
      <c r="I1524" s="6" t="str">
        <f aca="false">_xlfn.CONCAT("\x", G1524, "\x", H1524, "=", F1524)</f>
        <v>\x2B\x73=윱</v>
      </c>
      <c r="M1524" s="8"/>
    </row>
    <row r="1525" customFormat="false" ht="12.8" hidden="false" customHeight="true" outlineLevel="0" collapsed="false">
      <c r="C1525" s="6" t="n">
        <f aca="false">MOD(ROW()-1, 208)</f>
        <v>68</v>
      </c>
      <c r="D1525" s="6" t="n">
        <f aca="false">INT((ROW()-1)/208)</f>
        <v>7</v>
      </c>
      <c r="F1525" s="6" t="str">
        <f aca="false">MID(VLOOKUP(D1525,$P$1:$Q$13,2,0), 1 + C1525,1)</f>
        <v>윳</v>
      </c>
      <c r="G1525" s="6" t="str">
        <f aca="false">DEC2HEX(D1525+36, 2)</f>
        <v>2B</v>
      </c>
      <c r="H1525" s="6" t="str">
        <f aca="false">DEC2HEX(C1525+48,2)</f>
        <v>74</v>
      </c>
      <c r="I1525" s="6" t="str">
        <f aca="false">_xlfn.CONCAT("\x", G1525, "\x", H1525, "=", F1525)</f>
        <v>\x2B\x74=윳</v>
      </c>
      <c r="M1525" s="8"/>
    </row>
    <row r="1526" customFormat="false" ht="12.8" hidden="false" customHeight="true" outlineLevel="0" collapsed="false">
      <c r="C1526" s="6" t="n">
        <f aca="false">MOD(ROW()-1, 208)</f>
        <v>69</v>
      </c>
      <c r="D1526" s="6" t="n">
        <f aca="false">INT((ROW()-1)/208)</f>
        <v>7</v>
      </c>
      <c r="F1526" s="6" t="str">
        <f aca="false">MID(VLOOKUP(D1526,$P$1:$Q$13,2,0), 1 + C1526,1)</f>
        <v>융</v>
      </c>
      <c r="G1526" s="6" t="str">
        <f aca="false">DEC2HEX(D1526+36, 2)</f>
        <v>2B</v>
      </c>
      <c r="H1526" s="6" t="str">
        <f aca="false">DEC2HEX(C1526+48,2)</f>
        <v>75</v>
      </c>
      <c r="I1526" s="6" t="str">
        <f aca="false">_xlfn.CONCAT("\x", G1526, "\x", H1526, "=", F1526)</f>
        <v>\x2B\x75=융</v>
      </c>
      <c r="M1526" s="8"/>
    </row>
    <row r="1527" customFormat="false" ht="12.8" hidden="false" customHeight="true" outlineLevel="0" collapsed="false">
      <c r="C1527" s="6" t="n">
        <f aca="false">MOD(ROW()-1, 208)</f>
        <v>70</v>
      </c>
      <c r="D1527" s="6" t="n">
        <f aca="false">INT((ROW()-1)/208)</f>
        <v>7</v>
      </c>
      <c r="F1527" s="6" t="str">
        <f aca="false">MID(VLOOKUP(D1527,$P$1:$Q$13,2,0), 1 + C1527,1)</f>
        <v>윷</v>
      </c>
      <c r="G1527" s="6" t="str">
        <f aca="false">DEC2HEX(D1527+36, 2)</f>
        <v>2B</v>
      </c>
      <c r="H1527" s="6" t="str">
        <f aca="false">DEC2HEX(C1527+48,2)</f>
        <v>76</v>
      </c>
      <c r="I1527" s="6" t="str">
        <f aca="false">_xlfn.CONCAT("\x", G1527, "\x", H1527, "=", F1527)</f>
        <v>\x2B\x76=윷</v>
      </c>
      <c r="M1527" s="8"/>
    </row>
    <row r="1528" customFormat="false" ht="12.8" hidden="false" customHeight="true" outlineLevel="0" collapsed="false">
      <c r="C1528" s="6" t="n">
        <f aca="false">MOD(ROW()-1, 208)</f>
        <v>71</v>
      </c>
      <c r="D1528" s="6" t="n">
        <f aca="false">INT((ROW()-1)/208)</f>
        <v>7</v>
      </c>
      <c r="F1528" s="6" t="str">
        <f aca="false">MID(VLOOKUP(D1528,$P$1:$Q$13,2,0), 1 + C1528,1)</f>
        <v>으</v>
      </c>
      <c r="G1528" s="6" t="str">
        <f aca="false">DEC2HEX(D1528+36, 2)</f>
        <v>2B</v>
      </c>
      <c r="H1528" s="6" t="str">
        <f aca="false">DEC2HEX(C1528+48,2)</f>
        <v>77</v>
      </c>
      <c r="I1528" s="6" t="str">
        <f aca="false">_xlfn.CONCAT("\x", G1528, "\x", H1528, "=", F1528)</f>
        <v>\x2B\x77=으</v>
      </c>
      <c r="M1528" s="8"/>
    </row>
    <row r="1529" customFormat="false" ht="12.8" hidden="false" customHeight="true" outlineLevel="0" collapsed="false">
      <c r="C1529" s="6" t="n">
        <f aca="false">MOD(ROW()-1, 208)</f>
        <v>72</v>
      </c>
      <c r="D1529" s="6" t="n">
        <f aca="false">INT((ROW()-1)/208)</f>
        <v>7</v>
      </c>
      <c r="F1529" s="6" t="str">
        <f aca="false">MID(VLOOKUP(D1529,$P$1:$Q$13,2,0), 1 + C1529,1)</f>
        <v>윽</v>
      </c>
      <c r="G1529" s="6" t="str">
        <f aca="false">DEC2HEX(D1529+36, 2)</f>
        <v>2B</v>
      </c>
      <c r="H1529" s="6" t="str">
        <f aca="false">DEC2HEX(C1529+48,2)</f>
        <v>78</v>
      </c>
      <c r="I1529" s="6" t="str">
        <f aca="false">_xlfn.CONCAT("\x", G1529, "\x", H1529, "=", F1529)</f>
        <v>\x2B\x78=윽</v>
      </c>
      <c r="M1529" s="8"/>
    </row>
    <row r="1530" customFormat="false" ht="12.8" hidden="false" customHeight="true" outlineLevel="0" collapsed="false">
      <c r="C1530" s="6" t="n">
        <f aca="false">MOD(ROW()-1, 208)</f>
        <v>73</v>
      </c>
      <c r="D1530" s="6" t="n">
        <f aca="false">INT((ROW()-1)/208)</f>
        <v>7</v>
      </c>
      <c r="F1530" s="6" t="str">
        <f aca="false">MID(VLOOKUP(D1530,$P$1:$Q$13,2,0), 1 + C1530,1)</f>
        <v>은</v>
      </c>
      <c r="G1530" s="6" t="str">
        <f aca="false">DEC2HEX(D1530+36, 2)</f>
        <v>2B</v>
      </c>
      <c r="H1530" s="6" t="str">
        <f aca="false">DEC2HEX(C1530+48,2)</f>
        <v>79</v>
      </c>
      <c r="I1530" s="6" t="str">
        <f aca="false">_xlfn.CONCAT("\x", G1530, "\x", H1530, "=", F1530)</f>
        <v>\x2B\x79=은</v>
      </c>
      <c r="M1530" s="8"/>
    </row>
    <row r="1531" customFormat="false" ht="12.8" hidden="false" customHeight="true" outlineLevel="0" collapsed="false">
      <c r="C1531" s="6" t="n">
        <f aca="false">MOD(ROW()-1, 208)</f>
        <v>74</v>
      </c>
      <c r="D1531" s="6" t="n">
        <f aca="false">INT((ROW()-1)/208)</f>
        <v>7</v>
      </c>
      <c r="F1531" s="6" t="str">
        <f aca="false">MID(VLOOKUP(D1531,$P$1:$Q$13,2,0), 1 + C1531,1)</f>
        <v>을</v>
      </c>
      <c r="G1531" s="6" t="str">
        <f aca="false">DEC2HEX(D1531+36, 2)</f>
        <v>2B</v>
      </c>
      <c r="H1531" s="6" t="str">
        <f aca="false">DEC2HEX(C1531+48,2)</f>
        <v>7A</v>
      </c>
      <c r="I1531" s="6" t="str">
        <f aca="false">_xlfn.CONCAT("\x", G1531, "\x", H1531, "=", F1531)</f>
        <v>\x2B\x7A=을</v>
      </c>
      <c r="M1531" s="8"/>
    </row>
    <row r="1532" customFormat="false" ht="12.8" hidden="false" customHeight="true" outlineLevel="0" collapsed="false">
      <c r="C1532" s="6" t="n">
        <f aca="false">MOD(ROW()-1, 208)</f>
        <v>75</v>
      </c>
      <c r="D1532" s="6" t="n">
        <f aca="false">INT((ROW()-1)/208)</f>
        <v>7</v>
      </c>
      <c r="F1532" s="6" t="str">
        <f aca="false">MID(VLOOKUP(D1532,$P$1:$Q$13,2,0), 1 + C1532,1)</f>
        <v>읊</v>
      </c>
      <c r="G1532" s="6" t="str">
        <f aca="false">DEC2HEX(D1532+36, 2)</f>
        <v>2B</v>
      </c>
      <c r="H1532" s="6" t="str">
        <f aca="false">DEC2HEX(C1532+48,2)</f>
        <v>7B</v>
      </c>
      <c r="I1532" s="6" t="str">
        <f aca="false">_xlfn.CONCAT("\x", G1532, "\x", H1532, "=", F1532)</f>
        <v>\x2B\x7B=읊</v>
      </c>
      <c r="M1532" s="8"/>
    </row>
    <row r="1533" customFormat="false" ht="12.8" hidden="false" customHeight="true" outlineLevel="0" collapsed="false">
      <c r="C1533" s="6" t="n">
        <f aca="false">MOD(ROW()-1, 208)</f>
        <v>76</v>
      </c>
      <c r="D1533" s="6" t="n">
        <f aca="false">INT((ROW()-1)/208)</f>
        <v>7</v>
      </c>
      <c r="F1533" s="6" t="str">
        <f aca="false">MID(VLOOKUP(D1533,$P$1:$Q$13,2,0), 1 + C1533,1)</f>
        <v>음</v>
      </c>
      <c r="G1533" s="6" t="str">
        <f aca="false">DEC2HEX(D1533+36, 2)</f>
        <v>2B</v>
      </c>
      <c r="H1533" s="6" t="str">
        <f aca="false">DEC2HEX(C1533+48,2)</f>
        <v>7C</v>
      </c>
      <c r="I1533" s="6" t="str">
        <f aca="false">_xlfn.CONCAT("\x", G1533, "\x", H1533, "=", F1533)</f>
        <v>\x2B\x7C=음</v>
      </c>
      <c r="M1533" s="8"/>
    </row>
    <row r="1534" customFormat="false" ht="12.8" hidden="false" customHeight="true" outlineLevel="0" collapsed="false">
      <c r="C1534" s="6" t="n">
        <f aca="false">MOD(ROW()-1, 208)</f>
        <v>77</v>
      </c>
      <c r="D1534" s="6" t="n">
        <f aca="false">INT((ROW()-1)/208)</f>
        <v>7</v>
      </c>
      <c r="F1534" s="6" t="str">
        <f aca="false">MID(VLOOKUP(D1534,$P$1:$Q$13,2,0), 1 + C1534,1)</f>
        <v>읍</v>
      </c>
      <c r="G1534" s="6" t="str">
        <f aca="false">DEC2HEX(D1534+36, 2)</f>
        <v>2B</v>
      </c>
      <c r="H1534" s="6" t="str">
        <f aca="false">DEC2HEX(C1534+48,2)</f>
        <v>7D</v>
      </c>
      <c r="I1534" s="6" t="str">
        <f aca="false">_xlfn.CONCAT("\x", G1534, "\x", H1534, "=", F1534)</f>
        <v>\x2B\x7D=읍</v>
      </c>
      <c r="M1534" s="8"/>
    </row>
    <row r="1535" customFormat="false" ht="12.8" hidden="false" customHeight="true" outlineLevel="0" collapsed="false">
      <c r="C1535" s="6" t="n">
        <f aca="false">MOD(ROW()-1, 208)</f>
        <v>78</v>
      </c>
      <c r="D1535" s="6" t="n">
        <f aca="false">INT((ROW()-1)/208)</f>
        <v>7</v>
      </c>
      <c r="F1535" s="6" t="str">
        <f aca="false">MID(VLOOKUP(D1535,$P$1:$Q$13,2,0), 1 + C1535,1)</f>
        <v>읏</v>
      </c>
      <c r="G1535" s="6" t="str">
        <f aca="false">DEC2HEX(D1535+36, 2)</f>
        <v>2B</v>
      </c>
      <c r="H1535" s="6" t="str">
        <f aca="false">DEC2HEX(C1535+48,2)</f>
        <v>7E</v>
      </c>
      <c r="I1535" s="6" t="str">
        <f aca="false">_xlfn.CONCAT("\x", G1535, "\x", H1535, "=", F1535)</f>
        <v>\x2B\x7E=읏</v>
      </c>
      <c r="M1535" s="8"/>
    </row>
    <row r="1536" customFormat="false" ht="12.8" hidden="false" customHeight="true" outlineLevel="0" collapsed="false">
      <c r="C1536" s="6" t="n">
        <f aca="false">MOD(ROW()-1, 208)</f>
        <v>79</v>
      </c>
      <c r="D1536" s="6" t="n">
        <f aca="false">INT((ROW()-1)/208)</f>
        <v>7</v>
      </c>
      <c r="F1536" s="6" t="str">
        <f aca="false">MID(VLOOKUP(D1536,$P$1:$Q$13,2,0), 1 + C1536,1)</f>
        <v>응</v>
      </c>
      <c r="G1536" s="6" t="str">
        <f aca="false">DEC2HEX(D1536+36, 2)</f>
        <v>2B</v>
      </c>
      <c r="H1536" s="6" t="str">
        <f aca="false">DEC2HEX(C1536+48,2)</f>
        <v>7F</v>
      </c>
      <c r="I1536" s="6" t="str">
        <f aca="false">_xlfn.CONCAT("\x", G1536, "\x", H1536, "=", F1536)</f>
        <v>\x2B\x7F=응</v>
      </c>
      <c r="M1536" s="8"/>
    </row>
    <row r="1537" customFormat="false" ht="12.8" hidden="false" customHeight="true" outlineLevel="0" collapsed="false">
      <c r="C1537" s="6" t="n">
        <f aca="false">MOD(ROW()-1, 208)</f>
        <v>80</v>
      </c>
      <c r="D1537" s="6" t="n">
        <f aca="false">INT((ROW()-1)/208)</f>
        <v>7</v>
      </c>
      <c r="F1537" s="6" t="str">
        <f aca="false">MID(VLOOKUP(D1537,$P$1:$Q$13,2,0), 1 + C1537,1)</f>
        <v>읒</v>
      </c>
      <c r="G1537" s="6" t="str">
        <f aca="false">DEC2HEX(D1537+36, 2)</f>
        <v>2B</v>
      </c>
      <c r="H1537" s="6" t="str">
        <f aca="false">DEC2HEX(C1537+48,2)</f>
        <v>80</v>
      </c>
      <c r="I1537" s="6" t="str">
        <f aca="false">_xlfn.CONCAT("\x", G1537, "\x", H1537, "=", F1537)</f>
        <v>\x2B\x80=읒</v>
      </c>
      <c r="M1537" s="8"/>
    </row>
    <row r="1538" customFormat="false" ht="12.8" hidden="false" customHeight="true" outlineLevel="0" collapsed="false">
      <c r="C1538" s="6" t="n">
        <f aca="false">MOD(ROW()-1, 208)</f>
        <v>81</v>
      </c>
      <c r="D1538" s="6" t="n">
        <f aca="false">INT((ROW()-1)/208)</f>
        <v>7</v>
      </c>
      <c r="F1538" s="6" t="str">
        <f aca="false">MID(VLOOKUP(D1538,$P$1:$Q$13,2,0), 1 + C1538,1)</f>
        <v>읓</v>
      </c>
      <c r="G1538" s="6" t="str">
        <f aca="false">DEC2HEX(D1538+36, 2)</f>
        <v>2B</v>
      </c>
      <c r="H1538" s="6" t="str">
        <f aca="false">DEC2HEX(C1538+48,2)</f>
        <v>81</v>
      </c>
      <c r="I1538" s="6" t="str">
        <f aca="false">_xlfn.CONCAT("\x", G1538, "\x", H1538, "=", F1538)</f>
        <v>\x2B\x81=읓</v>
      </c>
      <c r="M1538" s="8"/>
    </row>
    <row r="1539" customFormat="false" ht="12.8" hidden="false" customHeight="true" outlineLevel="0" collapsed="false">
      <c r="C1539" s="6" t="n">
        <f aca="false">MOD(ROW()-1, 208)</f>
        <v>82</v>
      </c>
      <c r="D1539" s="6" t="n">
        <f aca="false">INT((ROW()-1)/208)</f>
        <v>7</v>
      </c>
      <c r="F1539" s="6" t="str">
        <f aca="false">MID(VLOOKUP(D1539,$P$1:$Q$13,2,0), 1 + C1539,1)</f>
        <v>읔</v>
      </c>
      <c r="G1539" s="6" t="str">
        <f aca="false">DEC2HEX(D1539+36, 2)</f>
        <v>2B</v>
      </c>
      <c r="H1539" s="6" t="str">
        <f aca="false">DEC2HEX(C1539+48,2)</f>
        <v>82</v>
      </c>
      <c r="I1539" s="6" t="str">
        <f aca="false">_xlfn.CONCAT("\x", G1539, "\x", H1539, "=", F1539)</f>
        <v>\x2B\x82=읔</v>
      </c>
      <c r="M1539" s="8"/>
    </row>
    <row r="1540" customFormat="false" ht="12.8" hidden="false" customHeight="true" outlineLevel="0" collapsed="false">
      <c r="C1540" s="6" t="n">
        <f aca="false">MOD(ROW()-1, 208)</f>
        <v>83</v>
      </c>
      <c r="D1540" s="6" t="n">
        <f aca="false">INT((ROW()-1)/208)</f>
        <v>7</v>
      </c>
      <c r="F1540" s="6" t="str">
        <f aca="false">MID(VLOOKUP(D1540,$P$1:$Q$13,2,0), 1 + C1540,1)</f>
        <v>읕</v>
      </c>
      <c r="G1540" s="6" t="str">
        <f aca="false">DEC2HEX(D1540+36, 2)</f>
        <v>2B</v>
      </c>
      <c r="H1540" s="6" t="str">
        <f aca="false">DEC2HEX(C1540+48,2)</f>
        <v>83</v>
      </c>
      <c r="I1540" s="6" t="str">
        <f aca="false">_xlfn.CONCAT("\x", G1540, "\x", H1540, "=", F1540)</f>
        <v>\x2B\x83=읕</v>
      </c>
      <c r="M1540" s="8"/>
    </row>
    <row r="1541" customFormat="false" ht="12.8" hidden="false" customHeight="true" outlineLevel="0" collapsed="false">
      <c r="C1541" s="6" t="n">
        <f aca="false">MOD(ROW()-1, 208)</f>
        <v>84</v>
      </c>
      <c r="D1541" s="6" t="n">
        <f aca="false">INT((ROW()-1)/208)</f>
        <v>7</v>
      </c>
      <c r="F1541" s="6" t="str">
        <f aca="false">MID(VLOOKUP(D1541,$P$1:$Q$13,2,0), 1 + C1541,1)</f>
        <v>읖</v>
      </c>
      <c r="G1541" s="6" t="str">
        <f aca="false">DEC2HEX(D1541+36, 2)</f>
        <v>2B</v>
      </c>
      <c r="H1541" s="6" t="str">
        <f aca="false">DEC2HEX(C1541+48,2)</f>
        <v>84</v>
      </c>
      <c r="I1541" s="6" t="str">
        <f aca="false">_xlfn.CONCAT("\x", G1541, "\x", H1541, "=", F1541)</f>
        <v>\x2B\x84=읖</v>
      </c>
      <c r="M1541" s="8"/>
    </row>
    <row r="1542" customFormat="false" ht="12.8" hidden="false" customHeight="true" outlineLevel="0" collapsed="false">
      <c r="C1542" s="6" t="n">
        <f aca="false">MOD(ROW()-1, 208)</f>
        <v>85</v>
      </c>
      <c r="D1542" s="6" t="n">
        <f aca="false">INT((ROW()-1)/208)</f>
        <v>7</v>
      </c>
      <c r="F1542" s="6" t="str">
        <f aca="false">MID(VLOOKUP(D1542,$P$1:$Q$13,2,0), 1 + C1542,1)</f>
        <v>읗</v>
      </c>
      <c r="G1542" s="6" t="str">
        <f aca="false">DEC2HEX(D1542+36, 2)</f>
        <v>2B</v>
      </c>
      <c r="H1542" s="6" t="str">
        <f aca="false">DEC2HEX(C1542+48,2)</f>
        <v>85</v>
      </c>
      <c r="I1542" s="6" t="str">
        <f aca="false">_xlfn.CONCAT("\x", G1542, "\x", H1542, "=", F1542)</f>
        <v>\x2B\x85=읗</v>
      </c>
      <c r="M1542" s="8"/>
    </row>
    <row r="1543" customFormat="false" ht="12.8" hidden="false" customHeight="true" outlineLevel="0" collapsed="false">
      <c r="C1543" s="6" t="n">
        <f aca="false">MOD(ROW()-1, 208)</f>
        <v>86</v>
      </c>
      <c r="D1543" s="6" t="n">
        <f aca="false">INT((ROW()-1)/208)</f>
        <v>7</v>
      </c>
      <c r="F1543" s="6" t="str">
        <f aca="false">MID(VLOOKUP(D1543,$P$1:$Q$13,2,0), 1 + C1543,1)</f>
        <v>의</v>
      </c>
      <c r="G1543" s="6" t="str">
        <f aca="false">DEC2HEX(D1543+36, 2)</f>
        <v>2B</v>
      </c>
      <c r="H1543" s="6" t="str">
        <f aca="false">DEC2HEX(C1543+48,2)</f>
        <v>86</v>
      </c>
      <c r="I1543" s="6" t="str">
        <f aca="false">_xlfn.CONCAT("\x", G1543, "\x", H1543, "=", F1543)</f>
        <v>\x2B\x86=의</v>
      </c>
      <c r="M1543" s="8"/>
    </row>
    <row r="1544" customFormat="false" ht="12.8" hidden="false" customHeight="true" outlineLevel="0" collapsed="false">
      <c r="C1544" s="6" t="n">
        <f aca="false">MOD(ROW()-1, 208)</f>
        <v>87</v>
      </c>
      <c r="D1544" s="6" t="n">
        <f aca="false">INT((ROW()-1)/208)</f>
        <v>7</v>
      </c>
      <c r="F1544" s="6" t="str">
        <f aca="false">MID(VLOOKUP(D1544,$P$1:$Q$13,2,0), 1 + C1544,1)</f>
        <v>읜</v>
      </c>
      <c r="G1544" s="6" t="str">
        <f aca="false">DEC2HEX(D1544+36, 2)</f>
        <v>2B</v>
      </c>
      <c r="H1544" s="6" t="str">
        <f aca="false">DEC2HEX(C1544+48,2)</f>
        <v>87</v>
      </c>
      <c r="I1544" s="6" t="str">
        <f aca="false">_xlfn.CONCAT("\x", G1544, "\x", H1544, "=", F1544)</f>
        <v>\x2B\x87=읜</v>
      </c>
      <c r="M1544" s="8"/>
    </row>
    <row r="1545" customFormat="false" ht="12.8" hidden="false" customHeight="true" outlineLevel="0" collapsed="false">
      <c r="C1545" s="6" t="n">
        <f aca="false">MOD(ROW()-1, 208)</f>
        <v>88</v>
      </c>
      <c r="D1545" s="6" t="n">
        <f aca="false">INT((ROW()-1)/208)</f>
        <v>7</v>
      </c>
      <c r="F1545" s="6" t="str">
        <f aca="false">MID(VLOOKUP(D1545,$P$1:$Q$13,2,0), 1 + C1545,1)</f>
        <v>읠</v>
      </c>
      <c r="G1545" s="6" t="str">
        <f aca="false">DEC2HEX(D1545+36, 2)</f>
        <v>2B</v>
      </c>
      <c r="H1545" s="6" t="str">
        <f aca="false">DEC2HEX(C1545+48,2)</f>
        <v>88</v>
      </c>
      <c r="I1545" s="6" t="str">
        <f aca="false">_xlfn.CONCAT("\x", G1545, "\x", H1545, "=", F1545)</f>
        <v>\x2B\x88=읠</v>
      </c>
      <c r="M1545" s="8"/>
    </row>
    <row r="1546" customFormat="false" ht="12.8" hidden="false" customHeight="true" outlineLevel="0" collapsed="false">
      <c r="C1546" s="6" t="n">
        <f aca="false">MOD(ROW()-1, 208)</f>
        <v>89</v>
      </c>
      <c r="D1546" s="6" t="n">
        <f aca="false">INT((ROW()-1)/208)</f>
        <v>7</v>
      </c>
      <c r="F1546" s="6" t="str">
        <f aca="false">MID(VLOOKUP(D1546,$P$1:$Q$13,2,0), 1 + C1546,1)</f>
        <v>읨</v>
      </c>
      <c r="G1546" s="6" t="str">
        <f aca="false">DEC2HEX(D1546+36, 2)</f>
        <v>2B</v>
      </c>
      <c r="H1546" s="6" t="str">
        <f aca="false">DEC2HEX(C1546+48,2)</f>
        <v>89</v>
      </c>
      <c r="I1546" s="6" t="str">
        <f aca="false">_xlfn.CONCAT("\x", G1546, "\x", H1546, "=", F1546)</f>
        <v>\x2B\x89=읨</v>
      </c>
      <c r="M1546" s="8"/>
    </row>
    <row r="1547" customFormat="false" ht="12.8" hidden="false" customHeight="true" outlineLevel="0" collapsed="false">
      <c r="C1547" s="6" t="n">
        <f aca="false">MOD(ROW()-1, 208)</f>
        <v>90</v>
      </c>
      <c r="D1547" s="6" t="n">
        <f aca="false">INT((ROW()-1)/208)</f>
        <v>7</v>
      </c>
      <c r="F1547" s="6" t="str">
        <f aca="false">MID(VLOOKUP(D1547,$P$1:$Q$13,2,0), 1 + C1547,1)</f>
        <v>읫</v>
      </c>
      <c r="G1547" s="6" t="str">
        <f aca="false">DEC2HEX(D1547+36, 2)</f>
        <v>2B</v>
      </c>
      <c r="H1547" s="6" t="str">
        <f aca="false">DEC2HEX(C1547+48,2)</f>
        <v>8A</v>
      </c>
      <c r="I1547" s="6" t="str">
        <f aca="false">_xlfn.CONCAT("\x", G1547, "\x", H1547, "=", F1547)</f>
        <v>\x2B\x8A=읫</v>
      </c>
      <c r="M1547" s="8"/>
    </row>
    <row r="1548" customFormat="false" ht="12.8" hidden="false" customHeight="true" outlineLevel="0" collapsed="false">
      <c r="C1548" s="6" t="n">
        <f aca="false">MOD(ROW()-1, 208)</f>
        <v>91</v>
      </c>
      <c r="D1548" s="6" t="n">
        <f aca="false">INT((ROW()-1)/208)</f>
        <v>7</v>
      </c>
      <c r="F1548" s="6" t="str">
        <f aca="false">MID(VLOOKUP(D1548,$P$1:$Q$13,2,0), 1 + C1548,1)</f>
        <v>이</v>
      </c>
      <c r="G1548" s="6" t="str">
        <f aca="false">DEC2HEX(D1548+36, 2)</f>
        <v>2B</v>
      </c>
      <c r="H1548" s="6" t="str">
        <f aca="false">DEC2HEX(C1548+48,2)</f>
        <v>8B</v>
      </c>
      <c r="I1548" s="6" t="str">
        <f aca="false">_xlfn.CONCAT("\x", G1548, "\x", H1548, "=", F1548)</f>
        <v>\x2B\x8B=이</v>
      </c>
      <c r="M1548" s="8"/>
    </row>
    <row r="1549" customFormat="false" ht="12.8" hidden="false" customHeight="true" outlineLevel="0" collapsed="false">
      <c r="C1549" s="6" t="n">
        <f aca="false">MOD(ROW()-1, 208)</f>
        <v>92</v>
      </c>
      <c r="D1549" s="6" t="n">
        <f aca="false">INT((ROW()-1)/208)</f>
        <v>7</v>
      </c>
      <c r="F1549" s="6" t="str">
        <f aca="false">MID(VLOOKUP(D1549,$P$1:$Q$13,2,0), 1 + C1549,1)</f>
        <v>익</v>
      </c>
      <c r="G1549" s="6" t="str">
        <f aca="false">DEC2HEX(D1549+36, 2)</f>
        <v>2B</v>
      </c>
      <c r="H1549" s="6" t="str">
        <f aca="false">DEC2HEX(C1549+48,2)</f>
        <v>8C</v>
      </c>
      <c r="I1549" s="6" t="str">
        <f aca="false">_xlfn.CONCAT("\x", G1549, "\x", H1549, "=", F1549)</f>
        <v>\x2B\x8C=익</v>
      </c>
      <c r="M1549" s="8"/>
    </row>
    <row r="1550" customFormat="false" ht="12.8" hidden="false" customHeight="true" outlineLevel="0" collapsed="false">
      <c r="C1550" s="6" t="n">
        <f aca="false">MOD(ROW()-1, 208)</f>
        <v>93</v>
      </c>
      <c r="D1550" s="6" t="n">
        <f aca="false">INT((ROW()-1)/208)</f>
        <v>7</v>
      </c>
      <c r="F1550" s="6" t="str">
        <f aca="false">MID(VLOOKUP(D1550,$P$1:$Q$13,2,0), 1 + C1550,1)</f>
        <v>인</v>
      </c>
      <c r="G1550" s="6" t="str">
        <f aca="false">DEC2HEX(D1550+36, 2)</f>
        <v>2B</v>
      </c>
      <c r="H1550" s="6" t="str">
        <f aca="false">DEC2HEX(C1550+48,2)</f>
        <v>8D</v>
      </c>
      <c r="I1550" s="6" t="str">
        <f aca="false">_xlfn.CONCAT("\x", G1550, "\x", H1550, "=", F1550)</f>
        <v>\x2B\x8D=인</v>
      </c>
      <c r="M1550" s="8"/>
    </row>
    <row r="1551" customFormat="false" ht="12.8" hidden="false" customHeight="true" outlineLevel="0" collapsed="false">
      <c r="C1551" s="6" t="n">
        <f aca="false">MOD(ROW()-1, 208)</f>
        <v>94</v>
      </c>
      <c r="D1551" s="6" t="n">
        <f aca="false">INT((ROW()-1)/208)</f>
        <v>7</v>
      </c>
      <c r="F1551" s="6" t="str">
        <f aca="false">MID(VLOOKUP(D1551,$P$1:$Q$13,2,0), 1 + C1551,1)</f>
        <v>일</v>
      </c>
      <c r="G1551" s="6" t="str">
        <f aca="false">DEC2HEX(D1551+36, 2)</f>
        <v>2B</v>
      </c>
      <c r="H1551" s="6" t="str">
        <f aca="false">DEC2HEX(C1551+48,2)</f>
        <v>8E</v>
      </c>
      <c r="I1551" s="6" t="str">
        <f aca="false">_xlfn.CONCAT("\x", G1551, "\x", H1551, "=", F1551)</f>
        <v>\x2B\x8E=일</v>
      </c>
      <c r="M1551" s="8"/>
    </row>
    <row r="1552" customFormat="false" ht="12.8" hidden="false" customHeight="true" outlineLevel="0" collapsed="false">
      <c r="C1552" s="6" t="n">
        <f aca="false">MOD(ROW()-1, 208)</f>
        <v>95</v>
      </c>
      <c r="D1552" s="6" t="n">
        <f aca="false">INT((ROW()-1)/208)</f>
        <v>7</v>
      </c>
      <c r="F1552" s="6" t="str">
        <f aca="false">MID(VLOOKUP(D1552,$P$1:$Q$13,2,0), 1 + C1552,1)</f>
        <v>읽</v>
      </c>
      <c r="G1552" s="6" t="str">
        <f aca="false">DEC2HEX(D1552+36, 2)</f>
        <v>2B</v>
      </c>
      <c r="H1552" s="6" t="str">
        <f aca="false">DEC2HEX(C1552+48,2)</f>
        <v>8F</v>
      </c>
      <c r="I1552" s="6" t="str">
        <f aca="false">_xlfn.CONCAT("\x", G1552, "\x", H1552, "=", F1552)</f>
        <v>\x2B\x8F=읽</v>
      </c>
      <c r="M1552" s="8"/>
    </row>
    <row r="1553" customFormat="false" ht="12.8" hidden="false" customHeight="true" outlineLevel="0" collapsed="false">
      <c r="C1553" s="6" t="n">
        <f aca="false">MOD(ROW()-1, 208)</f>
        <v>96</v>
      </c>
      <c r="D1553" s="6" t="n">
        <f aca="false">INT((ROW()-1)/208)</f>
        <v>7</v>
      </c>
      <c r="F1553" s="6" t="str">
        <f aca="false">MID(VLOOKUP(D1553,$P$1:$Q$13,2,0), 1 + C1553,1)</f>
        <v>읾</v>
      </c>
      <c r="G1553" s="6" t="str">
        <f aca="false">DEC2HEX(D1553+36, 2)</f>
        <v>2B</v>
      </c>
      <c r="H1553" s="6" t="str">
        <f aca="false">DEC2HEX(C1553+48,2)</f>
        <v>90</v>
      </c>
      <c r="I1553" s="6" t="str">
        <f aca="false">_xlfn.CONCAT("\x", G1553, "\x", H1553, "=", F1553)</f>
        <v>\x2B\x90=읾</v>
      </c>
      <c r="M1553" s="8"/>
    </row>
    <row r="1554" customFormat="false" ht="12.8" hidden="false" customHeight="true" outlineLevel="0" collapsed="false">
      <c r="C1554" s="6" t="n">
        <f aca="false">MOD(ROW()-1, 208)</f>
        <v>97</v>
      </c>
      <c r="D1554" s="6" t="n">
        <f aca="false">INT((ROW()-1)/208)</f>
        <v>7</v>
      </c>
      <c r="F1554" s="6" t="str">
        <f aca="false">MID(VLOOKUP(D1554,$P$1:$Q$13,2,0), 1 + C1554,1)</f>
        <v>잃</v>
      </c>
      <c r="G1554" s="6" t="str">
        <f aca="false">DEC2HEX(D1554+36, 2)</f>
        <v>2B</v>
      </c>
      <c r="H1554" s="6" t="str">
        <f aca="false">DEC2HEX(C1554+48,2)</f>
        <v>91</v>
      </c>
      <c r="I1554" s="6" t="str">
        <f aca="false">_xlfn.CONCAT("\x", G1554, "\x", H1554, "=", F1554)</f>
        <v>\x2B\x91=잃</v>
      </c>
      <c r="M1554" s="8"/>
    </row>
    <row r="1555" customFormat="false" ht="12.8" hidden="false" customHeight="true" outlineLevel="0" collapsed="false">
      <c r="C1555" s="6" t="n">
        <f aca="false">MOD(ROW()-1, 208)</f>
        <v>98</v>
      </c>
      <c r="D1555" s="6" t="n">
        <f aca="false">INT((ROW()-1)/208)</f>
        <v>7</v>
      </c>
      <c r="F1555" s="6" t="str">
        <f aca="false">MID(VLOOKUP(D1555,$P$1:$Q$13,2,0), 1 + C1555,1)</f>
        <v>임</v>
      </c>
      <c r="G1555" s="6" t="str">
        <f aca="false">DEC2HEX(D1555+36, 2)</f>
        <v>2B</v>
      </c>
      <c r="H1555" s="6" t="str">
        <f aca="false">DEC2HEX(C1555+48,2)</f>
        <v>92</v>
      </c>
      <c r="I1555" s="6" t="str">
        <f aca="false">_xlfn.CONCAT("\x", G1555, "\x", H1555, "=", F1555)</f>
        <v>\x2B\x92=임</v>
      </c>
      <c r="M1555" s="8"/>
    </row>
    <row r="1556" customFormat="false" ht="12.8" hidden="false" customHeight="true" outlineLevel="0" collapsed="false">
      <c r="C1556" s="6" t="n">
        <f aca="false">MOD(ROW()-1, 208)</f>
        <v>99</v>
      </c>
      <c r="D1556" s="6" t="n">
        <f aca="false">INT((ROW()-1)/208)</f>
        <v>7</v>
      </c>
      <c r="F1556" s="6" t="str">
        <f aca="false">MID(VLOOKUP(D1556,$P$1:$Q$13,2,0), 1 + C1556,1)</f>
        <v>입</v>
      </c>
      <c r="G1556" s="6" t="str">
        <f aca="false">DEC2HEX(D1556+36, 2)</f>
        <v>2B</v>
      </c>
      <c r="H1556" s="6" t="str">
        <f aca="false">DEC2HEX(C1556+48,2)</f>
        <v>93</v>
      </c>
      <c r="I1556" s="6" t="str">
        <f aca="false">_xlfn.CONCAT("\x", G1556, "\x", H1556, "=", F1556)</f>
        <v>\x2B\x93=입</v>
      </c>
      <c r="M1556" s="8"/>
    </row>
    <row r="1557" customFormat="false" ht="12.8" hidden="false" customHeight="true" outlineLevel="0" collapsed="false">
      <c r="C1557" s="6" t="n">
        <f aca="false">MOD(ROW()-1, 208)</f>
        <v>100</v>
      </c>
      <c r="D1557" s="6" t="n">
        <f aca="false">INT((ROW()-1)/208)</f>
        <v>7</v>
      </c>
      <c r="F1557" s="6" t="str">
        <f aca="false">MID(VLOOKUP(D1557,$P$1:$Q$13,2,0), 1 + C1557,1)</f>
        <v>잇</v>
      </c>
      <c r="G1557" s="6" t="str">
        <f aca="false">DEC2HEX(D1557+36, 2)</f>
        <v>2B</v>
      </c>
      <c r="H1557" s="6" t="str">
        <f aca="false">DEC2HEX(C1557+48,2)</f>
        <v>94</v>
      </c>
      <c r="I1557" s="6" t="str">
        <f aca="false">_xlfn.CONCAT("\x", G1557, "\x", H1557, "=", F1557)</f>
        <v>\x2B\x94=잇</v>
      </c>
      <c r="M1557" s="8"/>
    </row>
    <row r="1558" customFormat="false" ht="12.8" hidden="false" customHeight="true" outlineLevel="0" collapsed="false">
      <c r="C1558" s="6" t="n">
        <f aca="false">MOD(ROW()-1, 208)</f>
        <v>101</v>
      </c>
      <c r="D1558" s="6" t="n">
        <f aca="false">INT((ROW()-1)/208)</f>
        <v>7</v>
      </c>
      <c r="F1558" s="6" t="str">
        <f aca="false">MID(VLOOKUP(D1558,$P$1:$Q$13,2,0), 1 + C1558,1)</f>
        <v>있</v>
      </c>
      <c r="G1558" s="6" t="str">
        <f aca="false">DEC2HEX(D1558+36, 2)</f>
        <v>2B</v>
      </c>
      <c r="H1558" s="6" t="str">
        <f aca="false">DEC2HEX(C1558+48,2)</f>
        <v>95</v>
      </c>
      <c r="I1558" s="6" t="str">
        <f aca="false">_xlfn.CONCAT("\x", G1558, "\x", H1558, "=", F1558)</f>
        <v>\x2B\x95=있</v>
      </c>
      <c r="M1558" s="8"/>
    </row>
    <row r="1559" customFormat="false" ht="12.8" hidden="false" customHeight="true" outlineLevel="0" collapsed="false">
      <c r="C1559" s="6" t="n">
        <f aca="false">MOD(ROW()-1, 208)</f>
        <v>102</v>
      </c>
      <c r="D1559" s="6" t="n">
        <f aca="false">INT((ROW()-1)/208)</f>
        <v>7</v>
      </c>
      <c r="F1559" s="6" t="str">
        <f aca="false">MID(VLOOKUP(D1559,$P$1:$Q$13,2,0), 1 + C1559,1)</f>
        <v>잉</v>
      </c>
      <c r="G1559" s="6" t="str">
        <f aca="false">DEC2HEX(D1559+36, 2)</f>
        <v>2B</v>
      </c>
      <c r="H1559" s="6" t="str">
        <f aca="false">DEC2HEX(C1559+48,2)</f>
        <v>96</v>
      </c>
      <c r="I1559" s="6" t="str">
        <f aca="false">_xlfn.CONCAT("\x", G1559, "\x", H1559, "=", F1559)</f>
        <v>\x2B\x96=잉</v>
      </c>
      <c r="M1559" s="8"/>
    </row>
    <row r="1560" customFormat="false" ht="12.8" hidden="false" customHeight="true" outlineLevel="0" collapsed="false">
      <c r="C1560" s="6" t="n">
        <f aca="false">MOD(ROW()-1, 208)</f>
        <v>103</v>
      </c>
      <c r="D1560" s="6" t="n">
        <f aca="false">INT((ROW()-1)/208)</f>
        <v>7</v>
      </c>
      <c r="F1560" s="6" t="str">
        <f aca="false">MID(VLOOKUP(D1560,$P$1:$Q$13,2,0), 1 + C1560,1)</f>
        <v>잊</v>
      </c>
      <c r="G1560" s="6" t="str">
        <f aca="false">DEC2HEX(D1560+36, 2)</f>
        <v>2B</v>
      </c>
      <c r="H1560" s="6" t="str">
        <f aca="false">DEC2HEX(C1560+48,2)</f>
        <v>97</v>
      </c>
      <c r="I1560" s="6" t="str">
        <f aca="false">_xlfn.CONCAT("\x", G1560, "\x", H1560, "=", F1560)</f>
        <v>\x2B\x97=잊</v>
      </c>
      <c r="M1560" s="8"/>
    </row>
    <row r="1561" customFormat="false" ht="12.8" hidden="false" customHeight="true" outlineLevel="0" collapsed="false">
      <c r="C1561" s="6" t="n">
        <f aca="false">MOD(ROW()-1, 208)</f>
        <v>104</v>
      </c>
      <c r="D1561" s="6" t="n">
        <f aca="false">INT((ROW()-1)/208)</f>
        <v>7</v>
      </c>
      <c r="F1561" s="6" t="str">
        <f aca="false">MID(VLOOKUP(D1561,$P$1:$Q$13,2,0), 1 + C1561,1)</f>
        <v>잎</v>
      </c>
      <c r="G1561" s="6" t="str">
        <f aca="false">DEC2HEX(D1561+36, 2)</f>
        <v>2B</v>
      </c>
      <c r="H1561" s="6" t="str">
        <f aca="false">DEC2HEX(C1561+48,2)</f>
        <v>98</v>
      </c>
      <c r="I1561" s="6" t="str">
        <f aca="false">_xlfn.CONCAT("\x", G1561, "\x", H1561, "=", F1561)</f>
        <v>\x2B\x98=잎</v>
      </c>
      <c r="M1561" s="8"/>
    </row>
    <row r="1562" customFormat="false" ht="12.8" hidden="false" customHeight="true" outlineLevel="0" collapsed="false">
      <c r="C1562" s="6" t="n">
        <f aca="false">MOD(ROW()-1, 208)</f>
        <v>105</v>
      </c>
      <c r="D1562" s="6" t="n">
        <f aca="false">INT((ROW()-1)/208)</f>
        <v>7</v>
      </c>
      <c r="F1562" s="6" t="str">
        <f aca="false">MID(VLOOKUP(D1562,$P$1:$Q$13,2,0), 1 + C1562,1)</f>
        <v>자</v>
      </c>
      <c r="G1562" s="6" t="str">
        <f aca="false">DEC2HEX(D1562+36, 2)</f>
        <v>2B</v>
      </c>
      <c r="H1562" s="6" t="str">
        <f aca="false">DEC2HEX(C1562+48,2)</f>
        <v>99</v>
      </c>
      <c r="I1562" s="6" t="str">
        <f aca="false">_xlfn.CONCAT("\x", G1562, "\x", H1562, "=", F1562)</f>
        <v>\x2B\x99=자</v>
      </c>
      <c r="M1562" s="8"/>
    </row>
    <row r="1563" customFormat="false" ht="12.8" hidden="false" customHeight="true" outlineLevel="0" collapsed="false">
      <c r="C1563" s="6" t="n">
        <f aca="false">MOD(ROW()-1, 208)</f>
        <v>106</v>
      </c>
      <c r="D1563" s="6" t="n">
        <f aca="false">INT((ROW()-1)/208)</f>
        <v>7</v>
      </c>
      <c r="F1563" s="6" t="str">
        <f aca="false">MID(VLOOKUP(D1563,$P$1:$Q$13,2,0), 1 + C1563,1)</f>
        <v>작</v>
      </c>
      <c r="G1563" s="6" t="str">
        <f aca="false">DEC2HEX(D1563+36, 2)</f>
        <v>2B</v>
      </c>
      <c r="H1563" s="6" t="str">
        <f aca="false">DEC2HEX(C1563+48,2)</f>
        <v>9A</v>
      </c>
      <c r="I1563" s="6" t="str">
        <f aca="false">_xlfn.CONCAT("\x", G1563, "\x", H1563, "=", F1563)</f>
        <v>\x2B\x9A=작</v>
      </c>
      <c r="M1563" s="8"/>
    </row>
    <row r="1564" customFormat="false" ht="12.8" hidden="false" customHeight="true" outlineLevel="0" collapsed="false">
      <c r="C1564" s="6" t="n">
        <f aca="false">MOD(ROW()-1, 208)</f>
        <v>107</v>
      </c>
      <c r="D1564" s="6" t="n">
        <f aca="false">INT((ROW()-1)/208)</f>
        <v>7</v>
      </c>
      <c r="F1564" s="6" t="str">
        <f aca="false">MID(VLOOKUP(D1564,$P$1:$Q$13,2,0), 1 + C1564,1)</f>
        <v>잔</v>
      </c>
      <c r="G1564" s="6" t="str">
        <f aca="false">DEC2HEX(D1564+36, 2)</f>
        <v>2B</v>
      </c>
      <c r="H1564" s="6" t="str">
        <f aca="false">DEC2HEX(C1564+48,2)</f>
        <v>9B</v>
      </c>
      <c r="I1564" s="6" t="str">
        <f aca="false">_xlfn.CONCAT("\x", G1564, "\x", H1564, "=", F1564)</f>
        <v>\x2B\x9B=잔</v>
      </c>
      <c r="M1564" s="8"/>
    </row>
    <row r="1565" customFormat="false" ht="12.8" hidden="false" customHeight="true" outlineLevel="0" collapsed="false">
      <c r="C1565" s="6" t="n">
        <f aca="false">MOD(ROW()-1, 208)</f>
        <v>108</v>
      </c>
      <c r="D1565" s="6" t="n">
        <f aca="false">INT((ROW()-1)/208)</f>
        <v>7</v>
      </c>
      <c r="F1565" s="6" t="str">
        <f aca="false">MID(VLOOKUP(D1565,$P$1:$Q$13,2,0), 1 + C1565,1)</f>
        <v>잖</v>
      </c>
      <c r="G1565" s="6" t="str">
        <f aca="false">DEC2HEX(D1565+36, 2)</f>
        <v>2B</v>
      </c>
      <c r="H1565" s="6" t="str">
        <f aca="false">DEC2HEX(C1565+48,2)</f>
        <v>9C</v>
      </c>
      <c r="I1565" s="6" t="str">
        <f aca="false">_xlfn.CONCAT("\x", G1565, "\x", H1565, "=", F1565)</f>
        <v>\x2B\x9C=잖</v>
      </c>
      <c r="M1565" s="8"/>
    </row>
    <row r="1566" customFormat="false" ht="12.8" hidden="false" customHeight="true" outlineLevel="0" collapsed="false">
      <c r="C1566" s="6" t="n">
        <f aca="false">MOD(ROW()-1, 208)</f>
        <v>109</v>
      </c>
      <c r="D1566" s="6" t="n">
        <f aca="false">INT((ROW()-1)/208)</f>
        <v>7</v>
      </c>
      <c r="F1566" s="6" t="str">
        <f aca="false">MID(VLOOKUP(D1566,$P$1:$Q$13,2,0), 1 + C1566,1)</f>
        <v>잗</v>
      </c>
      <c r="G1566" s="6" t="str">
        <f aca="false">DEC2HEX(D1566+36, 2)</f>
        <v>2B</v>
      </c>
      <c r="H1566" s="6" t="str">
        <f aca="false">DEC2HEX(C1566+48,2)</f>
        <v>9D</v>
      </c>
      <c r="I1566" s="6" t="str">
        <f aca="false">_xlfn.CONCAT("\x", G1566, "\x", H1566, "=", F1566)</f>
        <v>\x2B\x9D=잗</v>
      </c>
      <c r="M1566" s="8"/>
    </row>
    <row r="1567" customFormat="false" ht="12.8" hidden="false" customHeight="true" outlineLevel="0" collapsed="false">
      <c r="C1567" s="6" t="n">
        <f aca="false">MOD(ROW()-1, 208)</f>
        <v>110</v>
      </c>
      <c r="D1567" s="6" t="n">
        <f aca="false">INT((ROW()-1)/208)</f>
        <v>7</v>
      </c>
      <c r="F1567" s="6" t="str">
        <f aca="false">MID(VLOOKUP(D1567,$P$1:$Q$13,2,0), 1 + C1567,1)</f>
        <v>잘</v>
      </c>
      <c r="G1567" s="6" t="str">
        <f aca="false">DEC2HEX(D1567+36, 2)</f>
        <v>2B</v>
      </c>
      <c r="H1567" s="6" t="str">
        <f aca="false">DEC2HEX(C1567+48,2)</f>
        <v>9E</v>
      </c>
      <c r="I1567" s="6" t="str">
        <f aca="false">_xlfn.CONCAT("\x", G1567, "\x", H1567, "=", F1567)</f>
        <v>\x2B\x9E=잘</v>
      </c>
      <c r="M1567" s="8"/>
    </row>
    <row r="1568" customFormat="false" ht="12.8" hidden="false" customHeight="true" outlineLevel="0" collapsed="false">
      <c r="C1568" s="6" t="n">
        <f aca="false">MOD(ROW()-1, 208)</f>
        <v>111</v>
      </c>
      <c r="D1568" s="6" t="n">
        <f aca="false">INT((ROW()-1)/208)</f>
        <v>7</v>
      </c>
      <c r="F1568" s="6" t="str">
        <f aca="false">MID(VLOOKUP(D1568,$P$1:$Q$13,2,0), 1 + C1568,1)</f>
        <v>잚</v>
      </c>
      <c r="G1568" s="6" t="str">
        <f aca="false">DEC2HEX(D1568+36, 2)</f>
        <v>2B</v>
      </c>
      <c r="H1568" s="6" t="str">
        <f aca="false">DEC2HEX(C1568+48,2)</f>
        <v>9F</v>
      </c>
      <c r="I1568" s="6" t="str">
        <f aca="false">_xlfn.CONCAT("\x", G1568, "\x", H1568, "=", F1568)</f>
        <v>\x2B\x9F=잚</v>
      </c>
      <c r="M1568" s="8"/>
    </row>
    <row r="1569" customFormat="false" ht="12.8" hidden="false" customHeight="true" outlineLevel="0" collapsed="false">
      <c r="C1569" s="6" t="n">
        <f aca="false">MOD(ROW()-1, 208)</f>
        <v>112</v>
      </c>
      <c r="D1569" s="6" t="n">
        <f aca="false">INT((ROW()-1)/208)</f>
        <v>7</v>
      </c>
      <c r="F1569" s="6" t="str">
        <f aca="false">MID(VLOOKUP(D1569,$P$1:$Q$13,2,0), 1 + C1569,1)</f>
        <v>잠</v>
      </c>
      <c r="G1569" s="6" t="str">
        <f aca="false">DEC2HEX(D1569+36, 2)</f>
        <v>2B</v>
      </c>
      <c r="H1569" s="6" t="str">
        <f aca="false">DEC2HEX(C1569+48,2)</f>
        <v>A0</v>
      </c>
      <c r="I1569" s="6" t="str">
        <f aca="false">_xlfn.CONCAT("\x", G1569, "\x", H1569, "=", F1569)</f>
        <v>\x2B\xA0=잠</v>
      </c>
      <c r="M1569" s="8"/>
    </row>
    <row r="1570" customFormat="false" ht="12.8" hidden="false" customHeight="true" outlineLevel="0" collapsed="false">
      <c r="C1570" s="6" t="n">
        <f aca="false">MOD(ROW()-1, 208)</f>
        <v>113</v>
      </c>
      <c r="D1570" s="6" t="n">
        <f aca="false">INT((ROW()-1)/208)</f>
        <v>7</v>
      </c>
      <c r="F1570" s="6" t="str">
        <f aca="false">MID(VLOOKUP(D1570,$P$1:$Q$13,2,0), 1 + C1570,1)</f>
        <v>잡</v>
      </c>
      <c r="G1570" s="6" t="str">
        <f aca="false">DEC2HEX(D1570+36, 2)</f>
        <v>2B</v>
      </c>
      <c r="H1570" s="6" t="str">
        <f aca="false">DEC2HEX(C1570+48,2)</f>
        <v>A1</v>
      </c>
      <c r="I1570" s="6" t="str">
        <f aca="false">_xlfn.CONCAT("\x", G1570, "\x", H1570, "=", F1570)</f>
        <v>\x2B\xA1=잡</v>
      </c>
      <c r="M1570" s="8"/>
    </row>
    <row r="1571" customFormat="false" ht="12.8" hidden="false" customHeight="true" outlineLevel="0" collapsed="false">
      <c r="C1571" s="6" t="n">
        <f aca="false">MOD(ROW()-1, 208)</f>
        <v>114</v>
      </c>
      <c r="D1571" s="6" t="n">
        <f aca="false">INT((ROW()-1)/208)</f>
        <v>7</v>
      </c>
      <c r="F1571" s="6" t="str">
        <f aca="false">MID(VLOOKUP(D1571,$P$1:$Q$13,2,0), 1 + C1571,1)</f>
        <v>잣</v>
      </c>
      <c r="G1571" s="6" t="str">
        <f aca="false">DEC2HEX(D1571+36, 2)</f>
        <v>2B</v>
      </c>
      <c r="H1571" s="6" t="str">
        <f aca="false">DEC2HEX(C1571+48,2)</f>
        <v>A2</v>
      </c>
      <c r="I1571" s="6" t="str">
        <f aca="false">_xlfn.CONCAT("\x", G1571, "\x", H1571, "=", F1571)</f>
        <v>\x2B\xA2=잣</v>
      </c>
      <c r="M1571" s="8"/>
    </row>
    <row r="1572" customFormat="false" ht="12.8" hidden="false" customHeight="true" outlineLevel="0" collapsed="false">
      <c r="C1572" s="6" t="n">
        <f aca="false">MOD(ROW()-1, 208)</f>
        <v>115</v>
      </c>
      <c r="D1572" s="6" t="n">
        <f aca="false">INT((ROW()-1)/208)</f>
        <v>7</v>
      </c>
      <c r="F1572" s="6" t="str">
        <f aca="false">MID(VLOOKUP(D1572,$P$1:$Q$13,2,0), 1 + C1572,1)</f>
        <v>잤</v>
      </c>
      <c r="G1572" s="6" t="str">
        <f aca="false">DEC2HEX(D1572+36, 2)</f>
        <v>2B</v>
      </c>
      <c r="H1572" s="6" t="str">
        <f aca="false">DEC2HEX(C1572+48,2)</f>
        <v>A3</v>
      </c>
      <c r="I1572" s="6" t="str">
        <f aca="false">_xlfn.CONCAT("\x", G1572, "\x", H1572, "=", F1572)</f>
        <v>\x2B\xA3=잤</v>
      </c>
      <c r="M1572" s="8"/>
    </row>
    <row r="1573" customFormat="false" ht="12.8" hidden="false" customHeight="true" outlineLevel="0" collapsed="false">
      <c r="C1573" s="6" t="n">
        <f aca="false">MOD(ROW()-1, 208)</f>
        <v>116</v>
      </c>
      <c r="D1573" s="6" t="n">
        <f aca="false">INT((ROW()-1)/208)</f>
        <v>7</v>
      </c>
      <c r="F1573" s="6" t="str">
        <f aca="false">MID(VLOOKUP(D1573,$P$1:$Q$13,2,0), 1 + C1573,1)</f>
        <v>장</v>
      </c>
      <c r="G1573" s="6" t="str">
        <f aca="false">DEC2HEX(D1573+36, 2)</f>
        <v>2B</v>
      </c>
      <c r="H1573" s="6" t="str">
        <f aca="false">DEC2HEX(C1573+48,2)</f>
        <v>A4</v>
      </c>
      <c r="I1573" s="6" t="str">
        <f aca="false">_xlfn.CONCAT("\x", G1573, "\x", H1573, "=", F1573)</f>
        <v>\x2B\xA4=장</v>
      </c>
      <c r="M1573" s="8"/>
    </row>
    <row r="1574" customFormat="false" ht="12.8" hidden="false" customHeight="true" outlineLevel="0" collapsed="false">
      <c r="C1574" s="6" t="n">
        <f aca="false">MOD(ROW()-1, 208)</f>
        <v>117</v>
      </c>
      <c r="D1574" s="6" t="n">
        <f aca="false">INT((ROW()-1)/208)</f>
        <v>7</v>
      </c>
      <c r="F1574" s="6" t="str">
        <f aca="false">MID(VLOOKUP(D1574,$P$1:$Q$13,2,0), 1 + C1574,1)</f>
        <v>잦</v>
      </c>
      <c r="G1574" s="6" t="str">
        <f aca="false">DEC2HEX(D1574+36, 2)</f>
        <v>2B</v>
      </c>
      <c r="H1574" s="6" t="str">
        <f aca="false">DEC2HEX(C1574+48,2)</f>
        <v>A5</v>
      </c>
      <c r="I1574" s="6" t="str">
        <f aca="false">_xlfn.CONCAT("\x", G1574, "\x", H1574, "=", F1574)</f>
        <v>\x2B\xA5=잦</v>
      </c>
      <c r="M1574" s="8"/>
    </row>
    <row r="1575" customFormat="false" ht="12.8" hidden="false" customHeight="true" outlineLevel="0" collapsed="false">
      <c r="C1575" s="6" t="n">
        <f aca="false">MOD(ROW()-1, 208)</f>
        <v>118</v>
      </c>
      <c r="D1575" s="6" t="n">
        <f aca="false">INT((ROW()-1)/208)</f>
        <v>7</v>
      </c>
      <c r="F1575" s="6" t="str">
        <f aca="false">MID(VLOOKUP(D1575,$P$1:$Q$13,2,0), 1 + C1575,1)</f>
        <v>재</v>
      </c>
      <c r="G1575" s="6" t="str">
        <f aca="false">DEC2HEX(D1575+36, 2)</f>
        <v>2B</v>
      </c>
      <c r="H1575" s="6" t="str">
        <f aca="false">DEC2HEX(C1575+48,2)</f>
        <v>A6</v>
      </c>
      <c r="I1575" s="6" t="str">
        <f aca="false">_xlfn.CONCAT("\x", G1575, "\x", H1575, "=", F1575)</f>
        <v>\x2B\xA6=재</v>
      </c>
      <c r="M1575" s="8"/>
    </row>
    <row r="1576" customFormat="false" ht="12.8" hidden="false" customHeight="true" outlineLevel="0" collapsed="false">
      <c r="C1576" s="6" t="n">
        <f aca="false">MOD(ROW()-1, 208)</f>
        <v>119</v>
      </c>
      <c r="D1576" s="6" t="n">
        <f aca="false">INT((ROW()-1)/208)</f>
        <v>7</v>
      </c>
      <c r="F1576" s="6" t="str">
        <f aca="false">MID(VLOOKUP(D1576,$P$1:$Q$13,2,0), 1 + C1576,1)</f>
        <v>잭</v>
      </c>
      <c r="G1576" s="6" t="str">
        <f aca="false">DEC2HEX(D1576+36, 2)</f>
        <v>2B</v>
      </c>
      <c r="H1576" s="6" t="str">
        <f aca="false">DEC2HEX(C1576+48,2)</f>
        <v>A7</v>
      </c>
      <c r="I1576" s="6" t="str">
        <f aca="false">_xlfn.CONCAT("\x", G1576, "\x", H1576, "=", F1576)</f>
        <v>\x2B\xA7=잭</v>
      </c>
      <c r="M1576" s="8"/>
    </row>
    <row r="1577" customFormat="false" ht="12.8" hidden="false" customHeight="true" outlineLevel="0" collapsed="false">
      <c r="C1577" s="6" t="n">
        <f aca="false">MOD(ROW()-1, 208)</f>
        <v>120</v>
      </c>
      <c r="D1577" s="6" t="n">
        <f aca="false">INT((ROW()-1)/208)</f>
        <v>7</v>
      </c>
      <c r="F1577" s="6" t="str">
        <f aca="false">MID(VLOOKUP(D1577,$P$1:$Q$13,2,0), 1 + C1577,1)</f>
        <v>잰</v>
      </c>
      <c r="G1577" s="6" t="str">
        <f aca="false">DEC2HEX(D1577+36, 2)</f>
        <v>2B</v>
      </c>
      <c r="H1577" s="6" t="str">
        <f aca="false">DEC2HEX(C1577+48,2)</f>
        <v>A8</v>
      </c>
      <c r="I1577" s="6" t="str">
        <f aca="false">_xlfn.CONCAT("\x", G1577, "\x", H1577, "=", F1577)</f>
        <v>\x2B\xA8=잰</v>
      </c>
      <c r="M1577" s="8"/>
    </row>
    <row r="1578" customFormat="false" ht="12.8" hidden="false" customHeight="true" outlineLevel="0" collapsed="false">
      <c r="C1578" s="6" t="n">
        <f aca="false">MOD(ROW()-1, 208)</f>
        <v>121</v>
      </c>
      <c r="D1578" s="6" t="n">
        <f aca="false">INT((ROW()-1)/208)</f>
        <v>7</v>
      </c>
      <c r="F1578" s="6" t="str">
        <f aca="false">MID(VLOOKUP(D1578,$P$1:$Q$13,2,0), 1 + C1578,1)</f>
        <v>잴</v>
      </c>
      <c r="G1578" s="6" t="str">
        <f aca="false">DEC2HEX(D1578+36, 2)</f>
        <v>2B</v>
      </c>
      <c r="H1578" s="6" t="str">
        <f aca="false">DEC2HEX(C1578+48,2)</f>
        <v>A9</v>
      </c>
      <c r="I1578" s="6" t="str">
        <f aca="false">_xlfn.CONCAT("\x", G1578, "\x", H1578, "=", F1578)</f>
        <v>\x2B\xA9=잴</v>
      </c>
      <c r="M1578" s="8"/>
    </row>
    <row r="1579" customFormat="false" ht="12.8" hidden="false" customHeight="true" outlineLevel="0" collapsed="false">
      <c r="C1579" s="6" t="n">
        <f aca="false">MOD(ROW()-1, 208)</f>
        <v>122</v>
      </c>
      <c r="D1579" s="6" t="n">
        <f aca="false">INT((ROW()-1)/208)</f>
        <v>7</v>
      </c>
      <c r="F1579" s="6" t="str">
        <f aca="false">MID(VLOOKUP(D1579,$P$1:$Q$13,2,0), 1 + C1579,1)</f>
        <v>잼</v>
      </c>
      <c r="G1579" s="6" t="str">
        <f aca="false">DEC2HEX(D1579+36, 2)</f>
        <v>2B</v>
      </c>
      <c r="H1579" s="6" t="str">
        <f aca="false">DEC2HEX(C1579+48,2)</f>
        <v>AA</v>
      </c>
      <c r="I1579" s="6" t="str">
        <f aca="false">_xlfn.CONCAT("\x", G1579, "\x", H1579, "=", F1579)</f>
        <v>\x2B\xAA=잼</v>
      </c>
      <c r="M1579" s="8"/>
    </row>
    <row r="1580" customFormat="false" ht="12.8" hidden="false" customHeight="true" outlineLevel="0" collapsed="false">
      <c r="C1580" s="6" t="n">
        <f aca="false">MOD(ROW()-1, 208)</f>
        <v>123</v>
      </c>
      <c r="D1580" s="6" t="n">
        <f aca="false">INT((ROW()-1)/208)</f>
        <v>7</v>
      </c>
      <c r="F1580" s="6" t="str">
        <f aca="false">MID(VLOOKUP(D1580,$P$1:$Q$13,2,0), 1 + C1580,1)</f>
        <v>잽</v>
      </c>
      <c r="G1580" s="6" t="str">
        <f aca="false">DEC2HEX(D1580+36, 2)</f>
        <v>2B</v>
      </c>
      <c r="H1580" s="6" t="str">
        <f aca="false">DEC2HEX(C1580+48,2)</f>
        <v>AB</v>
      </c>
      <c r="I1580" s="6" t="str">
        <f aca="false">_xlfn.CONCAT("\x", G1580, "\x", H1580, "=", F1580)</f>
        <v>\x2B\xAB=잽</v>
      </c>
      <c r="M1580" s="8"/>
    </row>
    <row r="1581" customFormat="false" ht="12.8" hidden="false" customHeight="true" outlineLevel="0" collapsed="false">
      <c r="C1581" s="6" t="n">
        <f aca="false">MOD(ROW()-1, 208)</f>
        <v>124</v>
      </c>
      <c r="D1581" s="6" t="n">
        <f aca="false">INT((ROW()-1)/208)</f>
        <v>7</v>
      </c>
      <c r="F1581" s="6" t="str">
        <f aca="false">MID(VLOOKUP(D1581,$P$1:$Q$13,2,0), 1 + C1581,1)</f>
        <v>잿</v>
      </c>
      <c r="G1581" s="6" t="str">
        <f aca="false">DEC2HEX(D1581+36, 2)</f>
        <v>2B</v>
      </c>
      <c r="H1581" s="6" t="str">
        <f aca="false">DEC2HEX(C1581+48,2)</f>
        <v>AC</v>
      </c>
      <c r="I1581" s="6" t="str">
        <f aca="false">_xlfn.CONCAT("\x", G1581, "\x", H1581, "=", F1581)</f>
        <v>\x2B\xAC=잿</v>
      </c>
      <c r="M1581" s="8"/>
    </row>
    <row r="1582" customFormat="false" ht="12.8" hidden="false" customHeight="true" outlineLevel="0" collapsed="false">
      <c r="C1582" s="6" t="n">
        <f aca="false">MOD(ROW()-1, 208)</f>
        <v>125</v>
      </c>
      <c r="D1582" s="6" t="n">
        <f aca="false">INT((ROW()-1)/208)</f>
        <v>7</v>
      </c>
      <c r="F1582" s="6" t="str">
        <f aca="false">MID(VLOOKUP(D1582,$P$1:$Q$13,2,0), 1 + C1582,1)</f>
        <v>쟀</v>
      </c>
      <c r="G1582" s="6" t="str">
        <f aca="false">DEC2HEX(D1582+36, 2)</f>
        <v>2B</v>
      </c>
      <c r="H1582" s="6" t="str">
        <f aca="false">DEC2HEX(C1582+48,2)</f>
        <v>AD</v>
      </c>
      <c r="I1582" s="6" t="str">
        <f aca="false">_xlfn.CONCAT("\x", G1582, "\x", H1582, "=", F1582)</f>
        <v>\x2B\xAD=쟀</v>
      </c>
      <c r="M1582" s="8"/>
    </row>
    <row r="1583" customFormat="false" ht="12.8" hidden="false" customHeight="true" outlineLevel="0" collapsed="false">
      <c r="C1583" s="6" t="n">
        <f aca="false">MOD(ROW()-1, 208)</f>
        <v>126</v>
      </c>
      <c r="D1583" s="6" t="n">
        <f aca="false">INT((ROW()-1)/208)</f>
        <v>7</v>
      </c>
      <c r="F1583" s="6" t="str">
        <f aca="false">MID(VLOOKUP(D1583,$P$1:$Q$13,2,0), 1 + C1583,1)</f>
        <v>쟁</v>
      </c>
      <c r="G1583" s="6" t="str">
        <f aca="false">DEC2HEX(D1583+36, 2)</f>
        <v>2B</v>
      </c>
      <c r="H1583" s="6" t="str">
        <f aca="false">DEC2HEX(C1583+48,2)</f>
        <v>AE</v>
      </c>
      <c r="I1583" s="6" t="str">
        <f aca="false">_xlfn.CONCAT("\x", G1583, "\x", H1583, "=", F1583)</f>
        <v>\x2B\xAE=쟁</v>
      </c>
      <c r="M1583" s="8"/>
    </row>
    <row r="1584" customFormat="false" ht="12.8" hidden="false" customHeight="true" outlineLevel="0" collapsed="false">
      <c r="C1584" s="6" t="n">
        <f aca="false">MOD(ROW()-1, 208)</f>
        <v>127</v>
      </c>
      <c r="D1584" s="6" t="n">
        <f aca="false">INT((ROW()-1)/208)</f>
        <v>7</v>
      </c>
      <c r="F1584" s="6" t="str">
        <f aca="false">MID(VLOOKUP(D1584,$P$1:$Q$13,2,0), 1 + C1584,1)</f>
        <v>쟈</v>
      </c>
      <c r="G1584" s="6" t="str">
        <f aca="false">DEC2HEX(D1584+36, 2)</f>
        <v>2B</v>
      </c>
      <c r="H1584" s="6" t="str">
        <f aca="false">DEC2HEX(C1584+48,2)</f>
        <v>AF</v>
      </c>
      <c r="I1584" s="6" t="str">
        <f aca="false">_xlfn.CONCAT("\x", G1584, "\x", H1584, "=", F1584)</f>
        <v>\x2B\xAF=쟈</v>
      </c>
      <c r="M1584" s="8"/>
    </row>
    <row r="1585" customFormat="false" ht="12.8" hidden="false" customHeight="true" outlineLevel="0" collapsed="false">
      <c r="C1585" s="6" t="n">
        <f aca="false">MOD(ROW()-1, 208)</f>
        <v>128</v>
      </c>
      <c r="D1585" s="6" t="n">
        <f aca="false">INT((ROW()-1)/208)</f>
        <v>7</v>
      </c>
      <c r="F1585" s="6" t="str">
        <f aca="false">MID(VLOOKUP(D1585,$P$1:$Q$13,2,0), 1 + C1585,1)</f>
        <v>쟉</v>
      </c>
      <c r="G1585" s="6" t="str">
        <f aca="false">DEC2HEX(D1585+36, 2)</f>
        <v>2B</v>
      </c>
      <c r="H1585" s="6" t="str">
        <f aca="false">DEC2HEX(C1585+48,2)</f>
        <v>B0</v>
      </c>
      <c r="I1585" s="6" t="str">
        <f aca="false">_xlfn.CONCAT("\x", G1585, "\x", H1585, "=", F1585)</f>
        <v>\x2B\xB0=쟉</v>
      </c>
      <c r="M1585" s="8"/>
    </row>
    <row r="1586" customFormat="false" ht="12.8" hidden="false" customHeight="true" outlineLevel="0" collapsed="false">
      <c r="C1586" s="6" t="n">
        <f aca="false">MOD(ROW()-1, 208)</f>
        <v>129</v>
      </c>
      <c r="D1586" s="6" t="n">
        <f aca="false">INT((ROW()-1)/208)</f>
        <v>7</v>
      </c>
      <c r="F1586" s="6" t="str">
        <f aca="false">MID(VLOOKUP(D1586,$P$1:$Q$13,2,0), 1 + C1586,1)</f>
        <v>쟌</v>
      </c>
      <c r="G1586" s="6" t="str">
        <f aca="false">DEC2HEX(D1586+36, 2)</f>
        <v>2B</v>
      </c>
      <c r="H1586" s="6" t="str">
        <f aca="false">DEC2HEX(C1586+48,2)</f>
        <v>B1</v>
      </c>
      <c r="I1586" s="6" t="str">
        <f aca="false">_xlfn.CONCAT("\x", G1586, "\x", H1586, "=", F1586)</f>
        <v>\x2B\xB1=쟌</v>
      </c>
      <c r="M1586" s="8"/>
    </row>
    <row r="1587" customFormat="false" ht="12.8" hidden="false" customHeight="true" outlineLevel="0" collapsed="false">
      <c r="C1587" s="6" t="n">
        <f aca="false">MOD(ROW()-1, 208)</f>
        <v>130</v>
      </c>
      <c r="D1587" s="6" t="n">
        <f aca="false">INT((ROW()-1)/208)</f>
        <v>7</v>
      </c>
      <c r="F1587" s="6" t="str">
        <f aca="false">MID(VLOOKUP(D1587,$P$1:$Q$13,2,0), 1 + C1587,1)</f>
        <v>쟎</v>
      </c>
      <c r="G1587" s="6" t="str">
        <f aca="false">DEC2HEX(D1587+36, 2)</f>
        <v>2B</v>
      </c>
      <c r="H1587" s="6" t="str">
        <f aca="false">DEC2HEX(C1587+48,2)</f>
        <v>B2</v>
      </c>
      <c r="I1587" s="6" t="str">
        <f aca="false">_xlfn.CONCAT("\x", G1587, "\x", H1587, "=", F1587)</f>
        <v>\x2B\xB2=쟎</v>
      </c>
      <c r="M1587" s="8"/>
    </row>
    <row r="1588" customFormat="false" ht="12.8" hidden="false" customHeight="true" outlineLevel="0" collapsed="false">
      <c r="C1588" s="6" t="n">
        <f aca="false">MOD(ROW()-1, 208)</f>
        <v>131</v>
      </c>
      <c r="D1588" s="6" t="n">
        <f aca="false">INT((ROW()-1)/208)</f>
        <v>7</v>
      </c>
      <c r="F1588" s="6" t="str">
        <f aca="false">MID(VLOOKUP(D1588,$P$1:$Q$13,2,0), 1 + C1588,1)</f>
        <v>쟐</v>
      </c>
      <c r="G1588" s="6" t="str">
        <f aca="false">DEC2HEX(D1588+36, 2)</f>
        <v>2B</v>
      </c>
      <c r="H1588" s="6" t="str">
        <f aca="false">DEC2HEX(C1588+48,2)</f>
        <v>B3</v>
      </c>
      <c r="I1588" s="6" t="str">
        <f aca="false">_xlfn.CONCAT("\x", G1588, "\x", H1588, "=", F1588)</f>
        <v>\x2B\xB3=쟐</v>
      </c>
      <c r="M1588" s="8"/>
    </row>
    <row r="1589" customFormat="false" ht="12.8" hidden="false" customHeight="true" outlineLevel="0" collapsed="false">
      <c r="C1589" s="6" t="n">
        <f aca="false">MOD(ROW()-1, 208)</f>
        <v>132</v>
      </c>
      <c r="D1589" s="6" t="n">
        <f aca="false">INT((ROW()-1)/208)</f>
        <v>7</v>
      </c>
      <c r="F1589" s="6" t="str">
        <f aca="false">MID(VLOOKUP(D1589,$P$1:$Q$13,2,0), 1 + C1589,1)</f>
        <v>쟘</v>
      </c>
      <c r="G1589" s="6" t="str">
        <f aca="false">DEC2HEX(D1589+36, 2)</f>
        <v>2B</v>
      </c>
      <c r="H1589" s="6" t="str">
        <f aca="false">DEC2HEX(C1589+48,2)</f>
        <v>B4</v>
      </c>
      <c r="I1589" s="6" t="str">
        <f aca="false">_xlfn.CONCAT("\x", G1589, "\x", H1589, "=", F1589)</f>
        <v>\x2B\xB4=쟘</v>
      </c>
      <c r="M1589" s="8"/>
    </row>
    <row r="1590" customFormat="false" ht="12.8" hidden="false" customHeight="true" outlineLevel="0" collapsed="false">
      <c r="C1590" s="6" t="n">
        <f aca="false">MOD(ROW()-1, 208)</f>
        <v>133</v>
      </c>
      <c r="D1590" s="6" t="n">
        <f aca="false">INT((ROW()-1)/208)</f>
        <v>7</v>
      </c>
      <c r="F1590" s="6" t="str">
        <f aca="false">MID(VLOOKUP(D1590,$P$1:$Q$13,2,0), 1 + C1590,1)</f>
        <v>쟝</v>
      </c>
      <c r="G1590" s="6" t="str">
        <f aca="false">DEC2HEX(D1590+36, 2)</f>
        <v>2B</v>
      </c>
      <c r="H1590" s="6" t="str">
        <f aca="false">DEC2HEX(C1590+48,2)</f>
        <v>B5</v>
      </c>
      <c r="I1590" s="6" t="str">
        <f aca="false">_xlfn.CONCAT("\x", G1590, "\x", H1590, "=", F1590)</f>
        <v>\x2B\xB5=쟝</v>
      </c>
      <c r="M1590" s="8"/>
    </row>
    <row r="1591" customFormat="false" ht="12.8" hidden="false" customHeight="true" outlineLevel="0" collapsed="false">
      <c r="C1591" s="6" t="n">
        <f aca="false">MOD(ROW()-1, 208)</f>
        <v>134</v>
      </c>
      <c r="D1591" s="6" t="n">
        <f aca="false">INT((ROW()-1)/208)</f>
        <v>7</v>
      </c>
      <c r="F1591" s="6" t="str">
        <f aca="false">MID(VLOOKUP(D1591,$P$1:$Q$13,2,0), 1 + C1591,1)</f>
        <v>쟤</v>
      </c>
      <c r="G1591" s="6" t="str">
        <f aca="false">DEC2HEX(D1591+36, 2)</f>
        <v>2B</v>
      </c>
      <c r="H1591" s="6" t="str">
        <f aca="false">DEC2HEX(C1591+48,2)</f>
        <v>B6</v>
      </c>
      <c r="I1591" s="6" t="str">
        <f aca="false">_xlfn.CONCAT("\x", G1591, "\x", H1591, "=", F1591)</f>
        <v>\x2B\xB6=쟤</v>
      </c>
      <c r="M1591" s="8"/>
    </row>
    <row r="1592" customFormat="false" ht="12.8" hidden="false" customHeight="true" outlineLevel="0" collapsed="false">
      <c r="C1592" s="6" t="n">
        <f aca="false">MOD(ROW()-1, 208)</f>
        <v>135</v>
      </c>
      <c r="D1592" s="6" t="n">
        <f aca="false">INT((ROW()-1)/208)</f>
        <v>7</v>
      </c>
      <c r="F1592" s="6" t="str">
        <f aca="false">MID(VLOOKUP(D1592,$P$1:$Q$13,2,0), 1 + C1592,1)</f>
        <v>쟨</v>
      </c>
      <c r="G1592" s="6" t="str">
        <f aca="false">DEC2HEX(D1592+36, 2)</f>
        <v>2B</v>
      </c>
      <c r="H1592" s="6" t="str">
        <f aca="false">DEC2HEX(C1592+48,2)</f>
        <v>B7</v>
      </c>
      <c r="I1592" s="6" t="str">
        <f aca="false">_xlfn.CONCAT("\x", G1592, "\x", H1592, "=", F1592)</f>
        <v>\x2B\xB7=쟨</v>
      </c>
      <c r="M1592" s="8"/>
    </row>
    <row r="1593" customFormat="false" ht="12.8" hidden="false" customHeight="true" outlineLevel="0" collapsed="false">
      <c r="C1593" s="6" t="n">
        <f aca="false">MOD(ROW()-1, 208)</f>
        <v>136</v>
      </c>
      <c r="D1593" s="6" t="n">
        <f aca="false">INT((ROW()-1)/208)</f>
        <v>7</v>
      </c>
      <c r="F1593" s="6" t="str">
        <f aca="false">MID(VLOOKUP(D1593,$P$1:$Q$13,2,0), 1 + C1593,1)</f>
        <v>쟬</v>
      </c>
      <c r="G1593" s="6" t="str">
        <f aca="false">DEC2HEX(D1593+36, 2)</f>
        <v>2B</v>
      </c>
      <c r="H1593" s="6" t="str">
        <f aca="false">DEC2HEX(C1593+48,2)</f>
        <v>B8</v>
      </c>
      <c r="I1593" s="6" t="str">
        <f aca="false">_xlfn.CONCAT("\x", G1593, "\x", H1593, "=", F1593)</f>
        <v>\x2B\xB8=쟬</v>
      </c>
      <c r="M1593" s="8"/>
    </row>
    <row r="1594" customFormat="false" ht="12.8" hidden="false" customHeight="true" outlineLevel="0" collapsed="false">
      <c r="C1594" s="6" t="n">
        <f aca="false">MOD(ROW()-1, 208)</f>
        <v>137</v>
      </c>
      <c r="D1594" s="6" t="n">
        <f aca="false">INT((ROW()-1)/208)</f>
        <v>7</v>
      </c>
      <c r="F1594" s="6" t="str">
        <f aca="false">MID(VLOOKUP(D1594,$P$1:$Q$13,2,0), 1 + C1594,1)</f>
        <v>저</v>
      </c>
      <c r="G1594" s="6" t="str">
        <f aca="false">DEC2HEX(D1594+36, 2)</f>
        <v>2B</v>
      </c>
      <c r="H1594" s="6" t="str">
        <f aca="false">DEC2HEX(C1594+48,2)</f>
        <v>B9</v>
      </c>
      <c r="I1594" s="6" t="str">
        <f aca="false">_xlfn.CONCAT("\x", G1594, "\x", H1594, "=", F1594)</f>
        <v>\x2B\xB9=저</v>
      </c>
      <c r="M1594" s="8"/>
    </row>
    <row r="1595" customFormat="false" ht="12.8" hidden="false" customHeight="true" outlineLevel="0" collapsed="false">
      <c r="C1595" s="6" t="n">
        <f aca="false">MOD(ROW()-1, 208)</f>
        <v>138</v>
      </c>
      <c r="D1595" s="6" t="n">
        <f aca="false">INT((ROW()-1)/208)</f>
        <v>7</v>
      </c>
      <c r="F1595" s="6" t="str">
        <f aca="false">MID(VLOOKUP(D1595,$P$1:$Q$13,2,0), 1 + C1595,1)</f>
        <v>적</v>
      </c>
      <c r="G1595" s="6" t="str">
        <f aca="false">DEC2HEX(D1595+36, 2)</f>
        <v>2B</v>
      </c>
      <c r="H1595" s="6" t="str">
        <f aca="false">DEC2HEX(C1595+48,2)</f>
        <v>BA</v>
      </c>
      <c r="I1595" s="6" t="str">
        <f aca="false">_xlfn.CONCAT("\x", G1595, "\x", H1595, "=", F1595)</f>
        <v>\x2B\xBA=적</v>
      </c>
      <c r="M1595" s="8"/>
    </row>
    <row r="1596" customFormat="false" ht="12.8" hidden="false" customHeight="true" outlineLevel="0" collapsed="false">
      <c r="C1596" s="6" t="n">
        <f aca="false">MOD(ROW()-1, 208)</f>
        <v>139</v>
      </c>
      <c r="D1596" s="6" t="n">
        <f aca="false">INT((ROW()-1)/208)</f>
        <v>7</v>
      </c>
      <c r="F1596" s="6" t="str">
        <f aca="false">MID(VLOOKUP(D1596,$P$1:$Q$13,2,0), 1 + C1596,1)</f>
        <v>전</v>
      </c>
      <c r="G1596" s="6" t="str">
        <f aca="false">DEC2HEX(D1596+36, 2)</f>
        <v>2B</v>
      </c>
      <c r="H1596" s="6" t="str">
        <f aca="false">DEC2HEX(C1596+48,2)</f>
        <v>BB</v>
      </c>
      <c r="I1596" s="6" t="str">
        <f aca="false">_xlfn.CONCAT("\x", G1596, "\x", H1596, "=", F1596)</f>
        <v>\x2B\xBB=전</v>
      </c>
      <c r="M1596" s="8"/>
    </row>
    <row r="1597" customFormat="false" ht="12.8" hidden="false" customHeight="true" outlineLevel="0" collapsed="false">
      <c r="C1597" s="6" t="n">
        <f aca="false">MOD(ROW()-1, 208)</f>
        <v>140</v>
      </c>
      <c r="D1597" s="6" t="n">
        <f aca="false">INT((ROW()-1)/208)</f>
        <v>7</v>
      </c>
      <c r="F1597" s="6" t="str">
        <f aca="false">MID(VLOOKUP(D1597,$P$1:$Q$13,2,0), 1 + C1597,1)</f>
        <v>절</v>
      </c>
      <c r="G1597" s="6" t="str">
        <f aca="false">DEC2HEX(D1597+36, 2)</f>
        <v>2B</v>
      </c>
      <c r="H1597" s="6" t="str">
        <f aca="false">DEC2HEX(C1597+48,2)</f>
        <v>BC</v>
      </c>
      <c r="I1597" s="6" t="str">
        <f aca="false">_xlfn.CONCAT("\x", G1597, "\x", H1597, "=", F1597)</f>
        <v>\x2B\xBC=절</v>
      </c>
      <c r="M1597" s="8"/>
    </row>
    <row r="1598" customFormat="false" ht="12.8" hidden="false" customHeight="true" outlineLevel="0" collapsed="false">
      <c r="C1598" s="6" t="n">
        <f aca="false">MOD(ROW()-1, 208)</f>
        <v>141</v>
      </c>
      <c r="D1598" s="6" t="n">
        <f aca="false">INT((ROW()-1)/208)</f>
        <v>7</v>
      </c>
      <c r="F1598" s="6" t="str">
        <f aca="false">MID(VLOOKUP(D1598,$P$1:$Q$13,2,0), 1 + C1598,1)</f>
        <v>젊</v>
      </c>
      <c r="G1598" s="6" t="str">
        <f aca="false">DEC2HEX(D1598+36, 2)</f>
        <v>2B</v>
      </c>
      <c r="H1598" s="6" t="str">
        <f aca="false">DEC2HEX(C1598+48,2)</f>
        <v>BD</v>
      </c>
      <c r="I1598" s="6" t="str">
        <f aca="false">_xlfn.CONCAT("\x", G1598, "\x", H1598, "=", F1598)</f>
        <v>\x2B\xBD=젊</v>
      </c>
      <c r="M1598" s="8"/>
    </row>
    <row r="1599" customFormat="false" ht="12.8" hidden="false" customHeight="true" outlineLevel="0" collapsed="false">
      <c r="C1599" s="6" t="n">
        <f aca="false">MOD(ROW()-1, 208)</f>
        <v>142</v>
      </c>
      <c r="D1599" s="6" t="n">
        <f aca="false">INT((ROW()-1)/208)</f>
        <v>7</v>
      </c>
      <c r="F1599" s="6" t="str">
        <f aca="false">MID(VLOOKUP(D1599,$P$1:$Q$13,2,0), 1 + C1599,1)</f>
        <v>점</v>
      </c>
      <c r="G1599" s="6" t="str">
        <f aca="false">DEC2HEX(D1599+36, 2)</f>
        <v>2B</v>
      </c>
      <c r="H1599" s="6" t="str">
        <f aca="false">DEC2HEX(C1599+48,2)</f>
        <v>BE</v>
      </c>
      <c r="I1599" s="6" t="str">
        <f aca="false">_xlfn.CONCAT("\x", G1599, "\x", H1599, "=", F1599)</f>
        <v>\x2B\xBE=점</v>
      </c>
      <c r="M1599" s="8"/>
    </row>
    <row r="1600" customFormat="false" ht="12.8" hidden="false" customHeight="true" outlineLevel="0" collapsed="false">
      <c r="C1600" s="6" t="n">
        <f aca="false">MOD(ROW()-1, 208)</f>
        <v>143</v>
      </c>
      <c r="D1600" s="6" t="n">
        <f aca="false">INT((ROW()-1)/208)</f>
        <v>7</v>
      </c>
      <c r="F1600" s="6" t="str">
        <f aca="false">MID(VLOOKUP(D1600,$P$1:$Q$13,2,0), 1 + C1600,1)</f>
        <v>접</v>
      </c>
      <c r="G1600" s="6" t="str">
        <f aca="false">DEC2HEX(D1600+36, 2)</f>
        <v>2B</v>
      </c>
      <c r="H1600" s="6" t="str">
        <f aca="false">DEC2HEX(C1600+48,2)</f>
        <v>BF</v>
      </c>
      <c r="I1600" s="6" t="str">
        <f aca="false">_xlfn.CONCAT("\x", G1600, "\x", H1600, "=", F1600)</f>
        <v>\x2B\xBF=접</v>
      </c>
      <c r="M1600" s="8"/>
    </row>
    <row r="1601" customFormat="false" ht="12.8" hidden="false" customHeight="true" outlineLevel="0" collapsed="false">
      <c r="C1601" s="6" t="n">
        <f aca="false">MOD(ROW()-1, 208)</f>
        <v>144</v>
      </c>
      <c r="D1601" s="6" t="n">
        <f aca="false">INT((ROW()-1)/208)</f>
        <v>7</v>
      </c>
      <c r="F1601" s="6" t="str">
        <f aca="false">MID(VLOOKUP(D1601,$P$1:$Q$13,2,0), 1 + C1601,1)</f>
        <v>젓</v>
      </c>
      <c r="G1601" s="6" t="str">
        <f aca="false">DEC2HEX(D1601+36, 2)</f>
        <v>2B</v>
      </c>
      <c r="H1601" s="6" t="str">
        <f aca="false">DEC2HEX(C1601+48,2)</f>
        <v>C0</v>
      </c>
      <c r="I1601" s="6" t="str">
        <f aca="false">_xlfn.CONCAT("\x", G1601, "\x", H1601, "=", F1601)</f>
        <v>\x2B\xC0=젓</v>
      </c>
      <c r="M1601" s="8"/>
    </row>
    <row r="1602" customFormat="false" ht="12.8" hidden="false" customHeight="true" outlineLevel="0" collapsed="false">
      <c r="C1602" s="6" t="n">
        <f aca="false">MOD(ROW()-1, 208)</f>
        <v>145</v>
      </c>
      <c r="D1602" s="6" t="n">
        <f aca="false">INT((ROW()-1)/208)</f>
        <v>7</v>
      </c>
      <c r="F1602" s="6" t="str">
        <f aca="false">MID(VLOOKUP(D1602,$P$1:$Q$13,2,0), 1 + C1602,1)</f>
        <v>정</v>
      </c>
      <c r="G1602" s="6" t="str">
        <f aca="false">DEC2HEX(D1602+36, 2)</f>
        <v>2B</v>
      </c>
      <c r="H1602" s="6" t="str">
        <f aca="false">DEC2HEX(C1602+48,2)</f>
        <v>C1</v>
      </c>
      <c r="I1602" s="6" t="str">
        <f aca="false">_xlfn.CONCAT("\x", G1602, "\x", H1602, "=", F1602)</f>
        <v>\x2B\xC1=정</v>
      </c>
      <c r="M1602" s="8"/>
    </row>
    <row r="1603" customFormat="false" ht="12.8" hidden="false" customHeight="true" outlineLevel="0" collapsed="false">
      <c r="C1603" s="6" t="n">
        <f aca="false">MOD(ROW()-1, 208)</f>
        <v>146</v>
      </c>
      <c r="D1603" s="6" t="n">
        <f aca="false">INT((ROW()-1)/208)</f>
        <v>7</v>
      </c>
      <c r="F1603" s="6" t="str">
        <f aca="false">MID(VLOOKUP(D1603,$P$1:$Q$13,2,0), 1 + C1603,1)</f>
        <v>젖</v>
      </c>
      <c r="G1603" s="6" t="str">
        <f aca="false">DEC2HEX(D1603+36, 2)</f>
        <v>2B</v>
      </c>
      <c r="H1603" s="6" t="str">
        <f aca="false">DEC2HEX(C1603+48,2)</f>
        <v>C2</v>
      </c>
      <c r="I1603" s="6" t="str">
        <f aca="false">_xlfn.CONCAT("\x", G1603, "\x", H1603, "=", F1603)</f>
        <v>\x2B\xC2=젖</v>
      </c>
      <c r="M1603" s="8"/>
    </row>
    <row r="1604" customFormat="false" ht="12.8" hidden="false" customHeight="true" outlineLevel="0" collapsed="false">
      <c r="C1604" s="6" t="n">
        <f aca="false">MOD(ROW()-1, 208)</f>
        <v>147</v>
      </c>
      <c r="D1604" s="6" t="n">
        <f aca="false">INT((ROW()-1)/208)</f>
        <v>7</v>
      </c>
      <c r="F1604" s="6" t="str">
        <f aca="false">MID(VLOOKUP(D1604,$P$1:$Q$13,2,0), 1 + C1604,1)</f>
        <v>제</v>
      </c>
      <c r="G1604" s="6" t="str">
        <f aca="false">DEC2HEX(D1604+36, 2)</f>
        <v>2B</v>
      </c>
      <c r="H1604" s="6" t="str">
        <f aca="false">DEC2HEX(C1604+48,2)</f>
        <v>C3</v>
      </c>
      <c r="I1604" s="6" t="str">
        <f aca="false">_xlfn.CONCAT("\x", G1604, "\x", H1604, "=", F1604)</f>
        <v>\x2B\xC3=제</v>
      </c>
      <c r="M1604" s="8"/>
    </row>
    <row r="1605" customFormat="false" ht="12.8" hidden="false" customHeight="true" outlineLevel="0" collapsed="false">
      <c r="C1605" s="6" t="n">
        <f aca="false">MOD(ROW()-1, 208)</f>
        <v>148</v>
      </c>
      <c r="D1605" s="6" t="n">
        <f aca="false">INT((ROW()-1)/208)</f>
        <v>7</v>
      </c>
      <c r="F1605" s="6" t="str">
        <f aca="false">MID(VLOOKUP(D1605,$P$1:$Q$13,2,0), 1 + C1605,1)</f>
        <v>젝</v>
      </c>
      <c r="G1605" s="6" t="str">
        <f aca="false">DEC2HEX(D1605+36, 2)</f>
        <v>2B</v>
      </c>
      <c r="H1605" s="6" t="str">
        <f aca="false">DEC2HEX(C1605+48,2)</f>
        <v>C4</v>
      </c>
      <c r="I1605" s="6" t="str">
        <f aca="false">_xlfn.CONCAT("\x", G1605, "\x", H1605, "=", F1605)</f>
        <v>\x2B\xC4=젝</v>
      </c>
      <c r="M1605" s="8"/>
    </row>
    <row r="1606" customFormat="false" ht="12.8" hidden="false" customHeight="true" outlineLevel="0" collapsed="false">
      <c r="C1606" s="6" t="n">
        <f aca="false">MOD(ROW()-1, 208)</f>
        <v>149</v>
      </c>
      <c r="D1606" s="6" t="n">
        <f aca="false">INT((ROW()-1)/208)</f>
        <v>7</v>
      </c>
      <c r="F1606" s="6" t="str">
        <f aca="false">MID(VLOOKUP(D1606,$P$1:$Q$13,2,0), 1 + C1606,1)</f>
        <v>젠</v>
      </c>
      <c r="G1606" s="6" t="str">
        <f aca="false">DEC2HEX(D1606+36, 2)</f>
        <v>2B</v>
      </c>
      <c r="H1606" s="6" t="str">
        <f aca="false">DEC2HEX(C1606+48,2)</f>
        <v>C5</v>
      </c>
      <c r="I1606" s="6" t="str">
        <f aca="false">_xlfn.CONCAT("\x", G1606, "\x", H1606, "=", F1606)</f>
        <v>\x2B\xC5=젠</v>
      </c>
      <c r="M1606" s="8"/>
    </row>
    <row r="1607" customFormat="false" ht="12.8" hidden="false" customHeight="true" outlineLevel="0" collapsed="false">
      <c r="C1607" s="6" t="n">
        <f aca="false">MOD(ROW()-1, 208)</f>
        <v>150</v>
      </c>
      <c r="D1607" s="6" t="n">
        <f aca="false">INT((ROW()-1)/208)</f>
        <v>7</v>
      </c>
      <c r="F1607" s="6" t="str">
        <f aca="false">MID(VLOOKUP(D1607,$P$1:$Q$13,2,0), 1 + C1607,1)</f>
        <v>젤</v>
      </c>
      <c r="G1607" s="6" t="str">
        <f aca="false">DEC2HEX(D1607+36, 2)</f>
        <v>2B</v>
      </c>
      <c r="H1607" s="6" t="str">
        <f aca="false">DEC2HEX(C1607+48,2)</f>
        <v>C6</v>
      </c>
      <c r="I1607" s="6" t="str">
        <f aca="false">_xlfn.CONCAT("\x", G1607, "\x", H1607, "=", F1607)</f>
        <v>\x2B\xC6=젤</v>
      </c>
      <c r="M1607" s="8"/>
    </row>
    <row r="1608" customFormat="false" ht="12.8" hidden="false" customHeight="true" outlineLevel="0" collapsed="false">
      <c r="C1608" s="6" t="n">
        <f aca="false">MOD(ROW()-1, 208)</f>
        <v>151</v>
      </c>
      <c r="D1608" s="6" t="n">
        <f aca="false">INT((ROW()-1)/208)</f>
        <v>7</v>
      </c>
      <c r="F1608" s="6" t="str">
        <f aca="false">MID(VLOOKUP(D1608,$P$1:$Q$13,2,0), 1 + C1608,1)</f>
        <v>젬</v>
      </c>
      <c r="G1608" s="6" t="str">
        <f aca="false">DEC2HEX(D1608+36, 2)</f>
        <v>2B</v>
      </c>
      <c r="H1608" s="6" t="str">
        <f aca="false">DEC2HEX(C1608+48,2)</f>
        <v>C7</v>
      </c>
      <c r="I1608" s="6" t="str">
        <f aca="false">_xlfn.CONCAT("\x", G1608, "\x", H1608, "=", F1608)</f>
        <v>\x2B\xC7=젬</v>
      </c>
      <c r="M1608" s="8"/>
    </row>
    <row r="1609" customFormat="false" ht="12.8" hidden="false" customHeight="true" outlineLevel="0" collapsed="false">
      <c r="C1609" s="6" t="n">
        <f aca="false">MOD(ROW()-1, 208)</f>
        <v>152</v>
      </c>
      <c r="D1609" s="6" t="n">
        <f aca="false">INT((ROW()-1)/208)</f>
        <v>7</v>
      </c>
      <c r="F1609" s="6" t="str">
        <f aca="false">MID(VLOOKUP(D1609,$P$1:$Q$13,2,0), 1 + C1609,1)</f>
        <v>젭</v>
      </c>
      <c r="G1609" s="6" t="str">
        <f aca="false">DEC2HEX(D1609+36, 2)</f>
        <v>2B</v>
      </c>
      <c r="H1609" s="6" t="str">
        <f aca="false">DEC2HEX(C1609+48,2)</f>
        <v>C8</v>
      </c>
      <c r="I1609" s="6" t="str">
        <f aca="false">_xlfn.CONCAT("\x", G1609, "\x", H1609, "=", F1609)</f>
        <v>\x2B\xC8=젭</v>
      </c>
      <c r="M1609" s="8"/>
    </row>
    <row r="1610" customFormat="false" ht="12.8" hidden="false" customHeight="true" outlineLevel="0" collapsed="false">
      <c r="C1610" s="6" t="n">
        <f aca="false">MOD(ROW()-1, 208)</f>
        <v>153</v>
      </c>
      <c r="D1610" s="6" t="n">
        <f aca="false">INT((ROW()-1)/208)</f>
        <v>7</v>
      </c>
      <c r="F1610" s="6" t="str">
        <f aca="false">MID(VLOOKUP(D1610,$P$1:$Q$13,2,0), 1 + C1610,1)</f>
        <v>젯</v>
      </c>
      <c r="G1610" s="6" t="str">
        <f aca="false">DEC2HEX(D1610+36, 2)</f>
        <v>2B</v>
      </c>
      <c r="H1610" s="6" t="str">
        <f aca="false">DEC2HEX(C1610+48,2)</f>
        <v>C9</v>
      </c>
      <c r="I1610" s="6" t="str">
        <f aca="false">_xlfn.CONCAT("\x", G1610, "\x", H1610, "=", F1610)</f>
        <v>\x2B\xC9=젯</v>
      </c>
      <c r="M1610" s="8"/>
    </row>
    <row r="1611" customFormat="false" ht="12.8" hidden="false" customHeight="true" outlineLevel="0" collapsed="false">
      <c r="C1611" s="6" t="n">
        <f aca="false">MOD(ROW()-1, 208)</f>
        <v>154</v>
      </c>
      <c r="D1611" s="6" t="n">
        <f aca="false">INT((ROW()-1)/208)</f>
        <v>7</v>
      </c>
      <c r="F1611" s="6" t="str">
        <f aca="false">MID(VLOOKUP(D1611,$P$1:$Q$13,2,0), 1 + C1611,1)</f>
        <v>젱</v>
      </c>
      <c r="G1611" s="6" t="str">
        <f aca="false">DEC2HEX(D1611+36, 2)</f>
        <v>2B</v>
      </c>
      <c r="H1611" s="6" t="str">
        <f aca="false">DEC2HEX(C1611+48,2)</f>
        <v>CA</v>
      </c>
      <c r="I1611" s="6" t="str">
        <f aca="false">_xlfn.CONCAT("\x", G1611, "\x", H1611, "=", F1611)</f>
        <v>\x2B\xCA=젱</v>
      </c>
      <c r="M1611" s="8"/>
    </row>
    <row r="1612" customFormat="false" ht="12.8" hidden="false" customHeight="true" outlineLevel="0" collapsed="false">
      <c r="C1612" s="6" t="n">
        <f aca="false">MOD(ROW()-1, 208)</f>
        <v>155</v>
      </c>
      <c r="D1612" s="6" t="n">
        <f aca="false">INT((ROW()-1)/208)</f>
        <v>7</v>
      </c>
      <c r="F1612" s="6" t="str">
        <f aca="false">MID(VLOOKUP(D1612,$P$1:$Q$13,2,0), 1 + C1612,1)</f>
        <v>져</v>
      </c>
      <c r="G1612" s="6" t="str">
        <f aca="false">DEC2HEX(D1612+36, 2)</f>
        <v>2B</v>
      </c>
      <c r="H1612" s="6" t="str">
        <f aca="false">DEC2HEX(C1612+48,2)</f>
        <v>CB</v>
      </c>
      <c r="I1612" s="6" t="str">
        <f aca="false">_xlfn.CONCAT("\x", G1612, "\x", H1612, "=", F1612)</f>
        <v>\x2B\xCB=져</v>
      </c>
      <c r="M1612" s="8"/>
    </row>
    <row r="1613" customFormat="false" ht="12.8" hidden="false" customHeight="true" outlineLevel="0" collapsed="false">
      <c r="C1613" s="6" t="n">
        <f aca="false">MOD(ROW()-1, 208)</f>
        <v>156</v>
      </c>
      <c r="D1613" s="6" t="n">
        <f aca="false">INT((ROW()-1)/208)</f>
        <v>7</v>
      </c>
      <c r="F1613" s="6" t="str">
        <f aca="false">MID(VLOOKUP(D1613,$P$1:$Q$13,2,0), 1 + C1613,1)</f>
        <v>젼</v>
      </c>
      <c r="G1613" s="6" t="str">
        <f aca="false">DEC2HEX(D1613+36, 2)</f>
        <v>2B</v>
      </c>
      <c r="H1613" s="6" t="str">
        <f aca="false">DEC2HEX(C1613+48,2)</f>
        <v>CC</v>
      </c>
      <c r="I1613" s="6" t="str">
        <f aca="false">_xlfn.CONCAT("\x", G1613, "\x", H1613, "=", F1613)</f>
        <v>\x2B\xCC=젼</v>
      </c>
      <c r="M1613" s="8"/>
    </row>
    <row r="1614" customFormat="false" ht="12.8" hidden="false" customHeight="true" outlineLevel="0" collapsed="false">
      <c r="C1614" s="6" t="n">
        <f aca="false">MOD(ROW()-1, 208)</f>
        <v>157</v>
      </c>
      <c r="D1614" s="6" t="n">
        <f aca="false">INT((ROW()-1)/208)</f>
        <v>7</v>
      </c>
      <c r="F1614" s="6" t="str">
        <f aca="false">MID(VLOOKUP(D1614,$P$1:$Q$13,2,0), 1 + C1614,1)</f>
        <v>졀</v>
      </c>
      <c r="G1614" s="6" t="str">
        <f aca="false">DEC2HEX(D1614+36, 2)</f>
        <v>2B</v>
      </c>
      <c r="H1614" s="6" t="str">
        <f aca="false">DEC2HEX(C1614+48,2)</f>
        <v>CD</v>
      </c>
      <c r="I1614" s="6" t="str">
        <f aca="false">_xlfn.CONCAT("\x", G1614, "\x", H1614, "=", F1614)</f>
        <v>\x2B\xCD=졀</v>
      </c>
      <c r="M1614" s="8"/>
    </row>
    <row r="1615" customFormat="false" ht="12.8" hidden="false" customHeight="true" outlineLevel="0" collapsed="false">
      <c r="C1615" s="6" t="n">
        <f aca="false">MOD(ROW()-1, 208)</f>
        <v>158</v>
      </c>
      <c r="D1615" s="6" t="n">
        <f aca="false">INT((ROW()-1)/208)</f>
        <v>7</v>
      </c>
      <c r="F1615" s="6" t="str">
        <f aca="false">MID(VLOOKUP(D1615,$P$1:$Q$13,2,0), 1 + C1615,1)</f>
        <v>졈</v>
      </c>
      <c r="G1615" s="6" t="str">
        <f aca="false">DEC2HEX(D1615+36, 2)</f>
        <v>2B</v>
      </c>
      <c r="H1615" s="6" t="str">
        <f aca="false">DEC2HEX(C1615+48,2)</f>
        <v>CE</v>
      </c>
      <c r="I1615" s="6" t="str">
        <f aca="false">_xlfn.CONCAT("\x", G1615, "\x", H1615, "=", F1615)</f>
        <v>\x2B\xCE=졈</v>
      </c>
      <c r="M1615" s="8"/>
    </row>
    <row r="1616" customFormat="false" ht="12.8" hidden="false" customHeight="true" outlineLevel="0" collapsed="false">
      <c r="C1616" s="6" t="n">
        <f aca="false">MOD(ROW()-1, 208)</f>
        <v>159</v>
      </c>
      <c r="D1616" s="6" t="n">
        <f aca="false">INT((ROW()-1)/208)</f>
        <v>7</v>
      </c>
      <c r="F1616" s="6" t="str">
        <f aca="false">MID(VLOOKUP(D1616,$P$1:$Q$13,2,0), 1 + C1616,1)</f>
        <v>졉</v>
      </c>
      <c r="G1616" s="6" t="str">
        <f aca="false">DEC2HEX(D1616+36, 2)</f>
        <v>2B</v>
      </c>
      <c r="H1616" s="6" t="str">
        <f aca="false">DEC2HEX(C1616+48,2)</f>
        <v>CF</v>
      </c>
      <c r="I1616" s="6" t="str">
        <f aca="false">_xlfn.CONCAT("\x", G1616, "\x", H1616, "=", F1616)</f>
        <v>\x2B\xCF=졉</v>
      </c>
      <c r="M1616" s="8"/>
    </row>
    <row r="1617" customFormat="false" ht="12.8" hidden="false" customHeight="true" outlineLevel="0" collapsed="false">
      <c r="C1617" s="6" t="n">
        <f aca="false">MOD(ROW()-1, 208)</f>
        <v>160</v>
      </c>
      <c r="D1617" s="6" t="n">
        <f aca="false">INT((ROW()-1)/208)</f>
        <v>7</v>
      </c>
      <c r="F1617" s="6" t="str">
        <f aca="false">MID(VLOOKUP(D1617,$P$1:$Q$13,2,0), 1 + C1617,1)</f>
        <v>졌</v>
      </c>
      <c r="G1617" s="6" t="str">
        <f aca="false">DEC2HEX(D1617+36, 2)</f>
        <v>2B</v>
      </c>
      <c r="H1617" s="6" t="str">
        <f aca="false">DEC2HEX(C1617+48,2)</f>
        <v>D0</v>
      </c>
      <c r="I1617" s="6" t="str">
        <f aca="false">_xlfn.CONCAT("\x", G1617, "\x", H1617, "=", F1617)</f>
        <v>\x2B\xD0=졌</v>
      </c>
      <c r="M1617" s="8"/>
    </row>
    <row r="1618" customFormat="false" ht="12.8" hidden="false" customHeight="true" outlineLevel="0" collapsed="false">
      <c r="C1618" s="6" t="n">
        <f aca="false">MOD(ROW()-1, 208)</f>
        <v>161</v>
      </c>
      <c r="D1618" s="6" t="n">
        <f aca="false">INT((ROW()-1)/208)</f>
        <v>7</v>
      </c>
      <c r="F1618" s="6" t="str">
        <f aca="false">MID(VLOOKUP(D1618,$P$1:$Q$13,2,0), 1 + C1618,1)</f>
        <v>졍</v>
      </c>
      <c r="G1618" s="6" t="str">
        <f aca="false">DEC2HEX(D1618+36, 2)</f>
        <v>2B</v>
      </c>
      <c r="H1618" s="6" t="str">
        <f aca="false">DEC2HEX(C1618+48,2)</f>
        <v>D1</v>
      </c>
      <c r="I1618" s="6" t="str">
        <f aca="false">_xlfn.CONCAT("\x", G1618, "\x", H1618, "=", F1618)</f>
        <v>\x2B\xD1=졍</v>
      </c>
      <c r="M1618" s="8"/>
    </row>
    <row r="1619" customFormat="false" ht="12.8" hidden="false" customHeight="true" outlineLevel="0" collapsed="false">
      <c r="C1619" s="6" t="n">
        <f aca="false">MOD(ROW()-1, 208)</f>
        <v>162</v>
      </c>
      <c r="D1619" s="6" t="n">
        <f aca="false">INT((ROW()-1)/208)</f>
        <v>7</v>
      </c>
      <c r="F1619" s="6" t="str">
        <f aca="false">MID(VLOOKUP(D1619,$P$1:$Q$13,2,0), 1 + C1619,1)</f>
        <v>졔</v>
      </c>
      <c r="G1619" s="6" t="str">
        <f aca="false">DEC2HEX(D1619+36, 2)</f>
        <v>2B</v>
      </c>
      <c r="H1619" s="6" t="str">
        <f aca="false">DEC2HEX(C1619+48,2)</f>
        <v>D2</v>
      </c>
      <c r="I1619" s="6" t="str">
        <f aca="false">_xlfn.CONCAT("\x", G1619, "\x", H1619, "=", F1619)</f>
        <v>\x2B\xD2=졔</v>
      </c>
      <c r="M1619" s="8"/>
    </row>
    <row r="1620" customFormat="false" ht="12.8" hidden="false" customHeight="true" outlineLevel="0" collapsed="false">
      <c r="C1620" s="6" t="n">
        <f aca="false">MOD(ROW()-1, 208)</f>
        <v>163</v>
      </c>
      <c r="D1620" s="6" t="n">
        <f aca="false">INT((ROW()-1)/208)</f>
        <v>7</v>
      </c>
      <c r="F1620" s="6" t="str">
        <f aca="false">MID(VLOOKUP(D1620,$P$1:$Q$13,2,0), 1 + C1620,1)</f>
        <v>조</v>
      </c>
      <c r="G1620" s="6" t="str">
        <f aca="false">DEC2HEX(D1620+36, 2)</f>
        <v>2B</v>
      </c>
      <c r="H1620" s="6" t="str">
        <f aca="false">DEC2HEX(C1620+48,2)</f>
        <v>D3</v>
      </c>
      <c r="I1620" s="6" t="str">
        <f aca="false">_xlfn.CONCAT("\x", G1620, "\x", H1620, "=", F1620)</f>
        <v>\x2B\xD3=조</v>
      </c>
      <c r="M1620" s="8"/>
    </row>
    <row r="1621" customFormat="false" ht="12.8" hidden="false" customHeight="true" outlineLevel="0" collapsed="false">
      <c r="C1621" s="6" t="n">
        <f aca="false">MOD(ROW()-1, 208)</f>
        <v>164</v>
      </c>
      <c r="D1621" s="6" t="n">
        <f aca="false">INT((ROW()-1)/208)</f>
        <v>7</v>
      </c>
      <c r="F1621" s="6" t="str">
        <f aca="false">MID(VLOOKUP(D1621,$P$1:$Q$13,2,0), 1 + C1621,1)</f>
        <v>족</v>
      </c>
      <c r="G1621" s="6" t="str">
        <f aca="false">DEC2HEX(D1621+36, 2)</f>
        <v>2B</v>
      </c>
      <c r="H1621" s="6" t="str">
        <f aca="false">DEC2HEX(C1621+48,2)</f>
        <v>D4</v>
      </c>
      <c r="I1621" s="6" t="str">
        <f aca="false">_xlfn.CONCAT("\x", G1621, "\x", H1621, "=", F1621)</f>
        <v>\x2B\xD4=족</v>
      </c>
      <c r="M1621" s="8"/>
    </row>
    <row r="1622" customFormat="false" ht="12.8" hidden="false" customHeight="true" outlineLevel="0" collapsed="false">
      <c r="C1622" s="6" t="n">
        <f aca="false">MOD(ROW()-1, 208)</f>
        <v>165</v>
      </c>
      <c r="D1622" s="6" t="n">
        <f aca="false">INT((ROW()-1)/208)</f>
        <v>7</v>
      </c>
      <c r="F1622" s="6" t="str">
        <f aca="false">MID(VLOOKUP(D1622,$P$1:$Q$13,2,0), 1 + C1622,1)</f>
        <v>존</v>
      </c>
      <c r="G1622" s="6" t="str">
        <f aca="false">DEC2HEX(D1622+36, 2)</f>
        <v>2B</v>
      </c>
      <c r="H1622" s="6" t="str">
        <f aca="false">DEC2HEX(C1622+48,2)</f>
        <v>D5</v>
      </c>
      <c r="I1622" s="6" t="str">
        <f aca="false">_xlfn.CONCAT("\x", G1622, "\x", H1622, "=", F1622)</f>
        <v>\x2B\xD5=존</v>
      </c>
      <c r="M1622" s="8"/>
    </row>
    <row r="1623" customFormat="false" ht="12.8" hidden="false" customHeight="true" outlineLevel="0" collapsed="false">
      <c r="C1623" s="6" t="n">
        <f aca="false">MOD(ROW()-1, 208)</f>
        <v>166</v>
      </c>
      <c r="D1623" s="6" t="n">
        <f aca="false">INT((ROW()-1)/208)</f>
        <v>7</v>
      </c>
      <c r="F1623" s="6" t="str">
        <f aca="false">MID(VLOOKUP(D1623,$P$1:$Q$13,2,0), 1 + C1623,1)</f>
        <v>졸</v>
      </c>
      <c r="G1623" s="6" t="str">
        <f aca="false">DEC2HEX(D1623+36, 2)</f>
        <v>2B</v>
      </c>
      <c r="H1623" s="6" t="str">
        <f aca="false">DEC2HEX(C1623+48,2)</f>
        <v>D6</v>
      </c>
      <c r="I1623" s="6" t="str">
        <f aca="false">_xlfn.CONCAT("\x", G1623, "\x", H1623, "=", F1623)</f>
        <v>\x2B\xD6=졸</v>
      </c>
      <c r="M1623" s="8"/>
    </row>
    <row r="1624" customFormat="false" ht="12.8" hidden="false" customHeight="true" outlineLevel="0" collapsed="false">
      <c r="C1624" s="6" t="n">
        <f aca="false">MOD(ROW()-1, 208)</f>
        <v>167</v>
      </c>
      <c r="D1624" s="6" t="n">
        <f aca="false">INT((ROW()-1)/208)</f>
        <v>7</v>
      </c>
      <c r="F1624" s="6" t="str">
        <f aca="false">MID(VLOOKUP(D1624,$P$1:$Q$13,2,0), 1 + C1624,1)</f>
        <v>졺</v>
      </c>
      <c r="G1624" s="6" t="str">
        <f aca="false">DEC2HEX(D1624+36, 2)</f>
        <v>2B</v>
      </c>
      <c r="H1624" s="6" t="str">
        <f aca="false">DEC2HEX(C1624+48,2)</f>
        <v>D7</v>
      </c>
      <c r="I1624" s="6" t="str">
        <f aca="false">_xlfn.CONCAT("\x", G1624, "\x", H1624, "=", F1624)</f>
        <v>\x2B\xD7=졺</v>
      </c>
      <c r="M1624" s="8"/>
    </row>
    <row r="1625" customFormat="false" ht="12.8" hidden="false" customHeight="true" outlineLevel="0" collapsed="false">
      <c r="C1625" s="6" t="n">
        <f aca="false">MOD(ROW()-1, 208)</f>
        <v>168</v>
      </c>
      <c r="D1625" s="6" t="n">
        <f aca="false">INT((ROW()-1)/208)</f>
        <v>7</v>
      </c>
      <c r="F1625" s="6" t="str">
        <f aca="false">MID(VLOOKUP(D1625,$P$1:$Q$13,2,0), 1 + C1625,1)</f>
        <v>좀</v>
      </c>
      <c r="G1625" s="6" t="str">
        <f aca="false">DEC2HEX(D1625+36, 2)</f>
        <v>2B</v>
      </c>
      <c r="H1625" s="6" t="str">
        <f aca="false">DEC2HEX(C1625+48,2)</f>
        <v>D8</v>
      </c>
      <c r="I1625" s="6" t="str">
        <f aca="false">_xlfn.CONCAT("\x", G1625, "\x", H1625, "=", F1625)</f>
        <v>\x2B\xD8=좀</v>
      </c>
      <c r="M1625" s="8"/>
    </row>
    <row r="1626" customFormat="false" ht="12.8" hidden="false" customHeight="true" outlineLevel="0" collapsed="false">
      <c r="C1626" s="6" t="n">
        <f aca="false">MOD(ROW()-1, 208)</f>
        <v>169</v>
      </c>
      <c r="D1626" s="6" t="n">
        <f aca="false">INT((ROW()-1)/208)</f>
        <v>7</v>
      </c>
      <c r="F1626" s="6" t="str">
        <f aca="false">MID(VLOOKUP(D1626,$P$1:$Q$13,2,0), 1 + C1626,1)</f>
        <v>좁</v>
      </c>
      <c r="G1626" s="6" t="str">
        <f aca="false">DEC2HEX(D1626+36, 2)</f>
        <v>2B</v>
      </c>
      <c r="H1626" s="6" t="str">
        <f aca="false">DEC2HEX(C1626+48,2)</f>
        <v>D9</v>
      </c>
      <c r="I1626" s="6" t="str">
        <f aca="false">_xlfn.CONCAT("\x", G1626, "\x", H1626, "=", F1626)</f>
        <v>\x2B\xD9=좁</v>
      </c>
      <c r="M1626" s="8"/>
    </row>
    <row r="1627" customFormat="false" ht="12.8" hidden="false" customHeight="true" outlineLevel="0" collapsed="false">
      <c r="C1627" s="6" t="n">
        <f aca="false">MOD(ROW()-1, 208)</f>
        <v>170</v>
      </c>
      <c r="D1627" s="6" t="n">
        <f aca="false">INT((ROW()-1)/208)</f>
        <v>7</v>
      </c>
      <c r="F1627" s="6" t="str">
        <f aca="false">MID(VLOOKUP(D1627,$P$1:$Q$13,2,0), 1 + C1627,1)</f>
        <v>좃</v>
      </c>
      <c r="G1627" s="6" t="str">
        <f aca="false">DEC2HEX(D1627+36, 2)</f>
        <v>2B</v>
      </c>
      <c r="H1627" s="6" t="str">
        <f aca="false">DEC2HEX(C1627+48,2)</f>
        <v>DA</v>
      </c>
      <c r="I1627" s="6" t="str">
        <f aca="false">_xlfn.CONCAT("\x", G1627, "\x", H1627, "=", F1627)</f>
        <v>\x2B\xDA=좃</v>
      </c>
      <c r="M1627" s="8"/>
    </row>
    <row r="1628" customFormat="false" ht="12.8" hidden="false" customHeight="true" outlineLevel="0" collapsed="false">
      <c r="C1628" s="6" t="n">
        <f aca="false">MOD(ROW()-1, 208)</f>
        <v>171</v>
      </c>
      <c r="D1628" s="6" t="n">
        <f aca="false">INT((ROW()-1)/208)</f>
        <v>7</v>
      </c>
      <c r="F1628" s="6" t="str">
        <f aca="false">MID(VLOOKUP(D1628,$P$1:$Q$13,2,0), 1 + C1628,1)</f>
        <v>종</v>
      </c>
      <c r="G1628" s="6" t="str">
        <f aca="false">DEC2HEX(D1628+36, 2)</f>
        <v>2B</v>
      </c>
      <c r="H1628" s="6" t="str">
        <f aca="false">DEC2HEX(C1628+48,2)</f>
        <v>DB</v>
      </c>
      <c r="I1628" s="6" t="str">
        <f aca="false">_xlfn.CONCAT("\x", G1628, "\x", H1628, "=", F1628)</f>
        <v>\x2B\xDB=종</v>
      </c>
      <c r="M1628" s="8"/>
    </row>
    <row r="1629" customFormat="false" ht="12.8" hidden="false" customHeight="true" outlineLevel="0" collapsed="false">
      <c r="C1629" s="6" t="n">
        <f aca="false">MOD(ROW()-1, 208)</f>
        <v>172</v>
      </c>
      <c r="D1629" s="6" t="n">
        <f aca="false">INT((ROW()-1)/208)</f>
        <v>7</v>
      </c>
      <c r="F1629" s="6" t="str">
        <f aca="false">MID(VLOOKUP(D1629,$P$1:$Q$13,2,0), 1 + C1629,1)</f>
        <v>좆</v>
      </c>
      <c r="G1629" s="6" t="str">
        <f aca="false">DEC2HEX(D1629+36, 2)</f>
        <v>2B</v>
      </c>
      <c r="H1629" s="6" t="str">
        <f aca="false">DEC2HEX(C1629+48,2)</f>
        <v>DC</v>
      </c>
      <c r="I1629" s="6" t="str">
        <f aca="false">_xlfn.CONCAT("\x", G1629, "\x", H1629, "=", F1629)</f>
        <v>\x2B\xDC=좆</v>
      </c>
      <c r="M1629" s="8"/>
    </row>
    <row r="1630" customFormat="false" ht="12.8" hidden="false" customHeight="true" outlineLevel="0" collapsed="false">
      <c r="C1630" s="6" t="n">
        <f aca="false">MOD(ROW()-1, 208)</f>
        <v>173</v>
      </c>
      <c r="D1630" s="6" t="n">
        <f aca="false">INT((ROW()-1)/208)</f>
        <v>7</v>
      </c>
      <c r="F1630" s="6" t="str">
        <f aca="false">MID(VLOOKUP(D1630,$P$1:$Q$13,2,0), 1 + C1630,1)</f>
        <v>좇</v>
      </c>
      <c r="G1630" s="6" t="str">
        <f aca="false">DEC2HEX(D1630+36, 2)</f>
        <v>2B</v>
      </c>
      <c r="H1630" s="6" t="str">
        <f aca="false">DEC2HEX(C1630+48,2)</f>
        <v>DD</v>
      </c>
      <c r="I1630" s="6" t="str">
        <f aca="false">_xlfn.CONCAT("\x", G1630, "\x", H1630, "=", F1630)</f>
        <v>\x2B\xDD=좇</v>
      </c>
      <c r="M1630" s="8"/>
    </row>
    <row r="1631" customFormat="false" ht="12.8" hidden="false" customHeight="true" outlineLevel="0" collapsed="false">
      <c r="C1631" s="6" t="n">
        <f aca="false">MOD(ROW()-1, 208)</f>
        <v>174</v>
      </c>
      <c r="D1631" s="6" t="n">
        <f aca="false">INT((ROW()-1)/208)</f>
        <v>7</v>
      </c>
      <c r="F1631" s="6" t="str">
        <f aca="false">MID(VLOOKUP(D1631,$P$1:$Q$13,2,0), 1 + C1631,1)</f>
        <v>좋</v>
      </c>
      <c r="G1631" s="6" t="str">
        <f aca="false">DEC2HEX(D1631+36, 2)</f>
        <v>2B</v>
      </c>
      <c r="H1631" s="6" t="str">
        <f aca="false">DEC2HEX(C1631+48,2)</f>
        <v>DE</v>
      </c>
      <c r="I1631" s="6" t="str">
        <f aca="false">_xlfn.CONCAT("\x", G1631, "\x", H1631, "=", F1631)</f>
        <v>\x2B\xDE=좋</v>
      </c>
      <c r="M1631" s="8"/>
    </row>
    <row r="1632" customFormat="false" ht="12.8" hidden="false" customHeight="true" outlineLevel="0" collapsed="false">
      <c r="C1632" s="6" t="n">
        <f aca="false">MOD(ROW()-1, 208)</f>
        <v>175</v>
      </c>
      <c r="D1632" s="6" t="n">
        <f aca="false">INT((ROW()-1)/208)</f>
        <v>7</v>
      </c>
      <c r="F1632" s="6" t="str">
        <f aca="false">MID(VLOOKUP(D1632,$P$1:$Q$13,2,0), 1 + C1632,1)</f>
        <v>좌</v>
      </c>
      <c r="G1632" s="6" t="str">
        <f aca="false">DEC2HEX(D1632+36, 2)</f>
        <v>2B</v>
      </c>
      <c r="H1632" s="6" t="str">
        <f aca="false">DEC2HEX(C1632+48,2)</f>
        <v>DF</v>
      </c>
      <c r="I1632" s="6" t="str">
        <f aca="false">_xlfn.CONCAT("\x", G1632, "\x", H1632, "=", F1632)</f>
        <v>\x2B\xDF=좌</v>
      </c>
      <c r="M1632" s="8"/>
    </row>
    <row r="1633" customFormat="false" ht="12.8" hidden="false" customHeight="true" outlineLevel="0" collapsed="false">
      <c r="C1633" s="6" t="n">
        <f aca="false">MOD(ROW()-1, 208)</f>
        <v>176</v>
      </c>
      <c r="D1633" s="6" t="n">
        <f aca="false">INT((ROW()-1)/208)</f>
        <v>7</v>
      </c>
      <c r="F1633" s="6" t="str">
        <f aca="false">MID(VLOOKUP(D1633,$P$1:$Q$13,2,0), 1 + C1633,1)</f>
        <v>좍</v>
      </c>
      <c r="G1633" s="6" t="str">
        <f aca="false">DEC2HEX(D1633+36, 2)</f>
        <v>2B</v>
      </c>
      <c r="H1633" s="6" t="str">
        <f aca="false">DEC2HEX(C1633+48,2)</f>
        <v>E0</v>
      </c>
      <c r="I1633" s="6" t="str">
        <f aca="false">_xlfn.CONCAT("\x", G1633, "\x", H1633, "=", F1633)</f>
        <v>\x2B\xE0=좍</v>
      </c>
      <c r="M1633" s="8"/>
    </row>
    <row r="1634" customFormat="false" ht="12.8" hidden="false" customHeight="true" outlineLevel="0" collapsed="false">
      <c r="C1634" s="6" t="n">
        <f aca="false">MOD(ROW()-1, 208)</f>
        <v>177</v>
      </c>
      <c r="D1634" s="6" t="n">
        <f aca="false">INT((ROW()-1)/208)</f>
        <v>7</v>
      </c>
      <c r="F1634" s="6" t="str">
        <f aca="false">MID(VLOOKUP(D1634,$P$1:$Q$13,2,0), 1 + C1634,1)</f>
        <v>좔</v>
      </c>
      <c r="G1634" s="6" t="str">
        <f aca="false">DEC2HEX(D1634+36, 2)</f>
        <v>2B</v>
      </c>
      <c r="H1634" s="6" t="str">
        <f aca="false">DEC2HEX(C1634+48,2)</f>
        <v>E1</v>
      </c>
      <c r="I1634" s="6" t="str">
        <f aca="false">_xlfn.CONCAT("\x", G1634, "\x", H1634, "=", F1634)</f>
        <v>\x2B\xE1=좔</v>
      </c>
      <c r="M1634" s="8"/>
    </row>
    <row r="1635" customFormat="false" ht="12.8" hidden="false" customHeight="true" outlineLevel="0" collapsed="false">
      <c r="C1635" s="6" t="n">
        <f aca="false">MOD(ROW()-1, 208)</f>
        <v>178</v>
      </c>
      <c r="D1635" s="6" t="n">
        <f aca="false">INT((ROW()-1)/208)</f>
        <v>7</v>
      </c>
      <c r="F1635" s="6" t="str">
        <f aca="false">MID(VLOOKUP(D1635,$P$1:$Q$13,2,0), 1 + C1635,1)</f>
        <v>좝</v>
      </c>
      <c r="G1635" s="6" t="str">
        <f aca="false">DEC2HEX(D1635+36, 2)</f>
        <v>2B</v>
      </c>
      <c r="H1635" s="6" t="str">
        <f aca="false">DEC2HEX(C1635+48,2)</f>
        <v>E2</v>
      </c>
      <c r="I1635" s="6" t="str">
        <f aca="false">_xlfn.CONCAT("\x", G1635, "\x", H1635, "=", F1635)</f>
        <v>\x2B\xE2=좝</v>
      </c>
      <c r="M1635" s="8"/>
    </row>
    <row r="1636" customFormat="false" ht="12.8" hidden="false" customHeight="true" outlineLevel="0" collapsed="false">
      <c r="C1636" s="6" t="n">
        <f aca="false">MOD(ROW()-1, 208)</f>
        <v>179</v>
      </c>
      <c r="D1636" s="6" t="n">
        <f aca="false">INT((ROW()-1)/208)</f>
        <v>7</v>
      </c>
      <c r="F1636" s="6" t="str">
        <f aca="false">MID(VLOOKUP(D1636,$P$1:$Q$13,2,0), 1 + C1636,1)</f>
        <v>좟</v>
      </c>
      <c r="G1636" s="6" t="str">
        <f aca="false">DEC2HEX(D1636+36, 2)</f>
        <v>2B</v>
      </c>
      <c r="H1636" s="6" t="str">
        <f aca="false">DEC2HEX(C1636+48,2)</f>
        <v>E3</v>
      </c>
      <c r="I1636" s="6" t="str">
        <f aca="false">_xlfn.CONCAT("\x", G1636, "\x", H1636, "=", F1636)</f>
        <v>\x2B\xE3=좟</v>
      </c>
      <c r="M1636" s="8"/>
    </row>
    <row r="1637" customFormat="false" ht="12.8" hidden="false" customHeight="true" outlineLevel="0" collapsed="false">
      <c r="C1637" s="6" t="n">
        <f aca="false">MOD(ROW()-1, 208)</f>
        <v>180</v>
      </c>
      <c r="D1637" s="6" t="n">
        <f aca="false">INT((ROW()-1)/208)</f>
        <v>7</v>
      </c>
      <c r="F1637" s="6" t="str">
        <f aca="false">MID(VLOOKUP(D1637,$P$1:$Q$13,2,0), 1 + C1637,1)</f>
        <v>좡</v>
      </c>
      <c r="G1637" s="6" t="str">
        <f aca="false">DEC2HEX(D1637+36, 2)</f>
        <v>2B</v>
      </c>
      <c r="H1637" s="6" t="str">
        <f aca="false">DEC2HEX(C1637+48,2)</f>
        <v>E4</v>
      </c>
      <c r="I1637" s="6" t="str">
        <f aca="false">_xlfn.CONCAT("\x", G1637, "\x", H1637, "=", F1637)</f>
        <v>\x2B\xE4=좡</v>
      </c>
      <c r="M1637" s="8"/>
    </row>
    <row r="1638" customFormat="false" ht="12.8" hidden="false" customHeight="true" outlineLevel="0" collapsed="false">
      <c r="C1638" s="6" t="n">
        <f aca="false">MOD(ROW()-1, 208)</f>
        <v>181</v>
      </c>
      <c r="D1638" s="6" t="n">
        <f aca="false">INT((ROW()-1)/208)</f>
        <v>7</v>
      </c>
      <c r="F1638" s="6" t="str">
        <f aca="false">MID(VLOOKUP(D1638,$P$1:$Q$13,2,0), 1 + C1638,1)</f>
        <v>좨</v>
      </c>
      <c r="G1638" s="6" t="str">
        <f aca="false">DEC2HEX(D1638+36, 2)</f>
        <v>2B</v>
      </c>
      <c r="H1638" s="6" t="str">
        <f aca="false">DEC2HEX(C1638+48,2)</f>
        <v>E5</v>
      </c>
      <c r="I1638" s="6" t="str">
        <f aca="false">_xlfn.CONCAT("\x", G1638, "\x", H1638, "=", F1638)</f>
        <v>\x2B\xE5=좨</v>
      </c>
      <c r="M1638" s="8"/>
    </row>
    <row r="1639" customFormat="false" ht="12.8" hidden="false" customHeight="true" outlineLevel="0" collapsed="false">
      <c r="C1639" s="6" t="n">
        <f aca="false">MOD(ROW()-1, 208)</f>
        <v>182</v>
      </c>
      <c r="D1639" s="6" t="n">
        <f aca="false">INT((ROW()-1)/208)</f>
        <v>7</v>
      </c>
      <c r="F1639" s="6" t="str">
        <f aca="false">MID(VLOOKUP(D1639,$P$1:$Q$13,2,0), 1 + C1639,1)</f>
        <v>좼</v>
      </c>
      <c r="G1639" s="6" t="str">
        <f aca="false">DEC2HEX(D1639+36, 2)</f>
        <v>2B</v>
      </c>
      <c r="H1639" s="6" t="str">
        <f aca="false">DEC2HEX(C1639+48,2)</f>
        <v>E6</v>
      </c>
      <c r="I1639" s="6" t="str">
        <f aca="false">_xlfn.CONCAT("\x", G1639, "\x", H1639, "=", F1639)</f>
        <v>\x2B\xE6=좼</v>
      </c>
      <c r="M1639" s="8"/>
    </row>
    <row r="1640" customFormat="false" ht="12.8" hidden="false" customHeight="true" outlineLevel="0" collapsed="false">
      <c r="C1640" s="6" t="n">
        <f aca="false">MOD(ROW()-1, 208)</f>
        <v>183</v>
      </c>
      <c r="D1640" s="6" t="n">
        <f aca="false">INT((ROW()-1)/208)</f>
        <v>7</v>
      </c>
      <c r="F1640" s="6" t="str">
        <f aca="false">MID(VLOOKUP(D1640,$P$1:$Q$13,2,0), 1 + C1640,1)</f>
        <v>좽</v>
      </c>
      <c r="G1640" s="6" t="str">
        <f aca="false">DEC2HEX(D1640+36, 2)</f>
        <v>2B</v>
      </c>
      <c r="H1640" s="6" t="str">
        <f aca="false">DEC2HEX(C1640+48,2)</f>
        <v>E7</v>
      </c>
      <c r="I1640" s="6" t="str">
        <f aca="false">_xlfn.CONCAT("\x", G1640, "\x", H1640, "=", F1640)</f>
        <v>\x2B\xE7=좽</v>
      </c>
      <c r="M1640" s="8"/>
    </row>
    <row r="1641" customFormat="false" ht="12.8" hidden="false" customHeight="true" outlineLevel="0" collapsed="false">
      <c r="C1641" s="6" t="n">
        <f aca="false">MOD(ROW()-1, 208)</f>
        <v>184</v>
      </c>
      <c r="D1641" s="6" t="n">
        <f aca="false">INT((ROW()-1)/208)</f>
        <v>7</v>
      </c>
      <c r="F1641" s="6" t="str">
        <f aca="false">MID(VLOOKUP(D1641,$P$1:$Q$13,2,0), 1 + C1641,1)</f>
        <v>죄</v>
      </c>
      <c r="G1641" s="6" t="str">
        <f aca="false">DEC2HEX(D1641+36, 2)</f>
        <v>2B</v>
      </c>
      <c r="H1641" s="6" t="str">
        <f aca="false">DEC2HEX(C1641+48,2)</f>
        <v>E8</v>
      </c>
      <c r="I1641" s="6" t="str">
        <f aca="false">_xlfn.CONCAT("\x", G1641, "\x", H1641, "=", F1641)</f>
        <v>\x2B\xE8=죄</v>
      </c>
      <c r="M1641" s="8"/>
    </row>
    <row r="1642" customFormat="false" ht="12.8" hidden="false" customHeight="true" outlineLevel="0" collapsed="false">
      <c r="C1642" s="6" t="n">
        <f aca="false">MOD(ROW()-1, 208)</f>
        <v>185</v>
      </c>
      <c r="D1642" s="6" t="n">
        <f aca="false">INT((ROW()-1)/208)</f>
        <v>7</v>
      </c>
      <c r="F1642" s="6" t="str">
        <f aca="false">MID(VLOOKUP(D1642,$P$1:$Q$13,2,0), 1 + C1642,1)</f>
        <v>죈</v>
      </c>
      <c r="G1642" s="6" t="str">
        <f aca="false">DEC2HEX(D1642+36, 2)</f>
        <v>2B</v>
      </c>
      <c r="H1642" s="6" t="str">
        <f aca="false">DEC2HEX(C1642+48,2)</f>
        <v>E9</v>
      </c>
      <c r="I1642" s="6" t="str">
        <f aca="false">_xlfn.CONCAT("\x", G1642, "\x", H1642, "=", F1642)</f>
        <v>\x2B\xE9=죈</v>
      </c>
      <c r="M1642" s="8"/>
    </row>
    <row r="1643" customFormat="false" ht="12.8" hidden="false" customHeight="true" outlineLevel="0" collapsed="false">
      <c r="C1643" s="6" t="n">
        <f aca="false">MOD(ROW()-1, 208)</f>
        <v>186</v>
      </c>
      <c r="D1643" s="6" t="n">
        <f aca="false">INT((ROW()-1)/208)</f>
        <v>7</v>
      </c>
      <c r="F1643" s="6" t="str">
        <f aca="false">MID(VLOOKUP(D1643,$P$1:$Q$13,2,0), 1 + C1643,1)</f>
        <v>죌</v>
      </c>
      <c r="G1643" s="6" t="str">
        <f aca="false">DEC2HEX(D1643+36, 2)</f>
        <v>2B</v>
      </c>
      <c r="H1643" s="6" t="str">
        <f aca="false">DEC2HEX(C1643+48,2)</f>
        <v>EA</v>
      </c>
      <c r="I1643" s="6" t="str">
        <f aca="false">_xlfn.CONCAT("\x", G1643, "\x", H1643, "=", F1643)</f>
        <v>\x2B\xEA=죌</v>
      </c>
      <c r="M1643" s="8"/>
    </row>
    <row r="1644" customFormat="false" ht="12.8" hidden="false" customHeight="true" outlineLevel="0" collapsed="false">
      <c r="C1644" s="6" t="n">
        <f aca="false">MOD(ROW()-1, 208)</f>
        <v>187</v>
      </c>
      <c r="D1644" s="6" t="n">
        <f aca="false">INT((ROW()-1)/208)</f>
        <v>7</v>
      </c>
      <c r="F1644" s="6" t="str">
        <f aca="false">MID(VLOOKUP(D1644,$P$1:$Q$13,2,0), 1 + C1644,1)</f>
        <v>죔</v>
      </c>
      <c r="G1644" s="6" t="str">
        <f aca="false">DEC2HEX(D1644+36, 2)</f>
        <v>2B</v>
      </c>
      <c r="H1644" s="6" t="str">
        <f aca="false">DEC2HEX(C1644+48,2)</f>
        <v>EB</v>
      </c>
      <c r="I1644" s="6" t="str">
        <f aca="false">_xlfn.CONCAT("\x", G1644, "\x", H1644, "=", F1644)</f>
        <v>\x2B\xEB=죔</v>
      </c>
      <c r="M1644" s="8"/>
    </row>
    <row r="1645" customFormat="false" ht="12.8" hidden="false" customHeight="true" outlineLevel="0" collapsed="false">
      <c r="C1645" s="6" t="n">
        <f aca="false">MOD(ROW()-1, 208)</f>
        <v>188</v>
      </c>
      <c r="D1645" s="6" t="n">
        <f aca="false">INT((ROW()-1)/208)</f>
        <v>7</v>
      </c>
      <c r="F1645" s="6" t="str">
        <f aca="false">MID(VLOOKUP(D1645,$P$1:$Q$13,2,0), 1 + C1645,1)</f>
        <v>죕</v>
      </c>
      <c r="G1645" s="6" t="str">
        <f aca="false">DEC2HEX(D1645+36, 2)</f>
        <v>2B</v>
      </c>
      <c r="H1645" s="6" t="str">
        <f aca="false">DEC2HEX(C1645+48,2)</f>
        <v>EC</v>
      </c>
      <c r="I1645" s="6" t="str">
        <f aca="false">_xlfn.CONCAT("\x", G1645, "\x", H1645, "=", F1645)</f>
        <v>\x2B\xEC=죕</v>
      </c>
      <c r="M1645" s="8"/>
    </row>
    <row r="1646" customFormat="false" ht="12.8" hidden="false" customHeight="true" outlineLevel="0" collapsed="false">
      <c r="C1646" s="6" t="n">
        <f aca="false">MOD(ROW()-1, 208)</f>
        <v>189</v>
      </c>
      <c r="D1646" s="6" t="n">
        <f aca="false">INT((ROW()-1)/208)</f>
        <v>7</v>
      </c>
      <c r="F1646" s="6" t="str">
        <f aca="false">MID(VLOOKUP(D1646,$P$1:$Q$13,2,0), 1 + C1646,1)</f>
        <v>죗</v>
      </c>
      <c r="G1646" s="6" t="str">
        <f aca="false">DEC2HEX(D1646+36, 2)</f>
        <v>2B</v>
      </c>
      <c r="H1646" s="6" t="str">
        <f aca="false">DEC2HEX(C1646+48,2)</f>
        <v>ED</v>
      </c>
      <c r="I1646" s="6" t="str">
        <f aca="false">_xlfn.CONCAT("\x", G1646, "\x", H1646, "=", F1646)</f>
        <v>\x2B\xED=죗</v>
      </c>
      <c r="M1646" s="8"/>
    </row>
    <row r="1647" customFormat="false" ht="12.8" hidden="false" customHeight="true" outlineLevel="0" collapsed="false">
      <c r="C1647" s="6" t="n">
        <f aca="false">MOD(ROW()-1, 208)</f>
        <v>190</v>
      </c>
      <c r="D1647" s="6" t="n">
        <f aca="false">INT((ROW()-1)/208)</f>
        <v>7</v>
      </c>
      <c r="F1647" s="6" t="str">
        <f aca="false">MID(VLOOKUP(D1647,$P$1:$Q$13,2,0), 1 + C1647,1)</f>
        <v>죙</v>
      </c>
      <c r="G1647" s="6" t="str">
        <f aca="false">DEC2HEX(D1647+36, 2)</f>
        <v>2B</v>
      </c>
      <c r="H1647" s="6" t="str">
        <f aca="false">DEC2HEX(C1647+48,2)</f>
        <v>EE</v>
      </c>
      <c r="I1647" s="6" t="str">
        <f aca="false">_xlfn.CONCAT("\x", G1647, "\x", H1647, "=", F1647)</f>
        <v>\x2B\xEE=죙</v>
      </c>
      <c r="M1647" s="8"/>
    </row>
    <row r="1648" customFormat="false" ht="12.8" hidden="false" customHeight="true" outlineLevel="0" collapsed="false">
      <c r="C1648" s="6" t="n">
        <f aca="false">MOD(ROW()-1, 208)</f>
        <v>191</v>
      </c>
      <c r="D1648" s="6" t="n">
        <f aca="false">INT((ROW()-1)/208)</f>
        <v>7</v>
      </c>
      <c r="F1648" s="6" t="str">
        <f aca="false">MID(VLOOKUP(D1648,$P$1:$Q$13,2,0), 1 + C1648,1)</f>
        <v>죠</v>
      </c>
      <c r="G1648" s="6" t="str">
        <f aca="false">DEC2HEX(D1648+36, 2)</f>
        <v>2B</v>
      </c>
      <c r="H1648" s="6" t="str">
        <f aca="false">DEC2HEX(C1648+48,2)</f>
        <v>EF</v>
      </c>
      <c r="I1648" s="6" t="str">
        <f aca="false">_xlfn.CONCAT("\x", G1648, "\x", H1648, "=", F1648)</f>
        <v>\x2B\xEF=죠</v>
      </c>
      <c r="M1648" s="8"/>
    </row>
    <row r="1649" customFormat="false" ht="12.8" hidden="false" customHeight="true" outlineLevel="0" collapsed="false">
      <c r="C1649" s="6" t="n">
        <f aca="false">MOD(ROW()-1, 208)</f>
        <v>192</v>
      </c>
      <c r="D1649" s="6" t="n">
        <f aca="false">INT((ROW()-1)/208)</f>
        <v>7</v>
      </c>
      <c r="F1649" s="6" t="str">
        <f aca="false">MID(VLOOKUP(D1649,$P$1:$Q$13,2,0), 1 + C1649,1)</f>
        <v>죡</v>
      </c>
      <c r="G1649" s="6" t="str">
        <f aca="false">DEC2HEX(D1649+36, 2)</f>
        <v>2B</v>
      </c>
      <c r="H1649" s="6" t="str">
        <f aca="false">DEC2HEX(C1649+48,2)</f>
        <v>F0</v>
      </c>
      <c r="I1649" s="6" t="str">
        <f aca="false">_xlfn.CONCAT("\x", G1649, "\x", H1649, "=", F1649)</f>
        <v>\x2B\xF0=죡</v>
      </c>
      <c r="M1649" s="8"/>
    </row>
    <row r="1650" customFormat="false" ht="12.8" hidden="false" customHeight="true" outlineLevel="0" collapsed="false">
      <c r="C1650" s="6" t="n">
        <f aca="false">MOD(ROW()-1, 208)</f>
        <v>193</v>
      </c>
      <c r="D1650" s="6" t="n">
        <f aca="false">INT((ROW()-1)/208)</f>
        <v>7</v>
      </c>
      <c r="F1650" s="6" t="str">
        <f aca="false">MID(VLOOKUP(D1650,$P$1:$Q$13,2,0), 1 + C1650,1)</f>
        <v>죤</v>
      </c>
      <c r="G1650" s="6" t="str">
        <f aca="false">DEC2HEX(D1650+36, 2)</f>
        <v>2B</v>
      </c>
      <c r="H1650" s="6" t="str">
        <f aca="false">DEC2HEX(C1650+48,2)</f>
        <v>F1</v>
      </c>
      <c r="I1650" s="6" t="str">
        <f aca="false">_xlfn.CONCAT("\x", G1650, "\x", H1650, "=", F1650)</f>
        <v>\x2B\xF1=죤</v>
      </c>
      <c r="M1650" s="8"/>
    </row>
    <row r="1651" customFormat="false" ht="12.8" hidden="false" customHeight="true" outlineLevel="0" collapsed="false">
      <c r="C1651" s="6" t="n">
        <f aca="false">MOD(ROW()-1, 208)</f>
        <v>194</v>
      </c>
      <c r="D1651" s="6" t="n">
        <f aca="false">INT((ROW()-1)/208)</f>
        <v>7</v>
      </c>
      <c r="F1651" s="6" t="str">
        <f aca="false">MID(VLOOKUP(D1651,$P$1:$Q$13,2,0), 1 + C1651,1)</f>
        <v>죵</v>
      </c>
      <c r="G1651" s="6" t="str">
        <f aca="false">DEC2HEX(D1651+36, 2)</f>
        <v>2B</v>
      </c>
      <c r="H1651" s="6" t="str">
        <f aca="false">DEC2HEX(C1651+48,2)</f>
        <v>F2</v>
      </c>
      <c r="I1651" s="6" t="str">
        <f aca="false">_xlfn.CONCAT("\x", G1651, "\x", H1651, "=", F1651)</f>
        <v>\x2B\xF2=죵</v>
      </c>
      <c r="M1651" s="8"/>
    </row>
    <row r="1652" customFormat="false" ht="12.8" hidden="false" customHeight="true" outlineLevel="0" collapsed="false">
      <c r="C1652" s="6" t="n">
        <f aca="false">MOD(ROW()-1, 208)</f>
        <v>195</v>
      </c>
      <c r="D1652" s="6" t="n">
        <f aca="false">INT((ROW()-1)/208)</f>
        <v>7</v>
      </c>
      <c r="F1652" s="6" t="str">
        <f aca="false">MID(VLOOKUP(D1652,$P$1:$Q$13,2,0), 1 + C1652,1)</f>
        <v>주</v>
      </c>
      <c r="G1652" s="6" t="str">
        <f aca="false">DEC2HEX(D1652+36, 2)</f>
        <v>2B</v>
      </c>
      <c r="H1652" s="6" t="str">
        <f aca="false">DEC2HEX(C1652+48,2)</f>
        <v>F3</v>
      </c>
      <c r="I1652" s="6" t="str">
        <f aca="false">_xlfn.CONCAT("\x", G1652, "\x", H1652, "=", F1652)</f>
        <v>\x2B\xF3=주</v>
      </c>
      <c r="M1652" s="8"/>
    </row>
    <row r="1653" customFormat="false" ht="12.8" hidden="false" customHeight="true" outlineLevel="0" collapsed="false">
      <c r="C1653" s="6" t="n">
        <f aca="false">MOD(ROW()-1, 208)</f>
        <v>196</v>
      </c>
      <c r="D1653" s="6" t="n">
        <f aca="false">INT((ROW()-1)/208)</f>
        <v>7</v>
      </c>
      <c r="F1653" s="6" t="str">
        <f aca="false">MID(VLOOKUP(D1653,$P$1:$Q$13,2,0), 1 + C1653,1)</f>
        <v>죽</v>
      </c>
      <c r="G1653" s="6" t="str">
        <f aca="false">DEC2HEX(D1653+36, 2)</f>
        <v>2B</v>
      </c>
      <c r="H1653" s="6" t="str">
        <f aca="false">DEC2HEX(C1653+48,2)</f>
        <v>F4</v>
      </c>
      <c r="I1653" s="6" t="str">
        <f aca="false">_xlfn.CONCAT("\x", G1653, "\x", H1653, "=", F1653)</f>
        <v>\x2B\xF4=죽</v>
      </c>
      <c r="M1653" s="8"/>
    </row>
    <row r="1654" customFormat="false" ht="12.8" hidden="false" customHeight="true" outlineLevel="0" collapsed="false">
      <c r="C1654" s="6" t="n">
        <f aca="false">MOD(ROW()-1, 208)</f>
        <v>197</v>
      </c>
      <c r="D1654" s="6" t="n">
        <f aca="false">INT((ROW()-1)/208)</f>
        <v>7</v>
      </c>
      <c r="F1654" s="6" t="str">
        <f aca="false">MID(VLOOKUP(D1654,$P$1:$Q$13,2,0), 1 + C1654,1)</f>
        <v>준</v>
      </c>
      <c r="G1654" s="6" t="str">
        <f aca="false">DEC2HEX(D1654+36, 2)</f>
        <v>2B</v>
      </c>
      <c r="H1654" s="6" t="str">
        <f aca="false">DEC2HEX(C1654+48,2)</f>
        <v>F5</v>
      </c>
      <c r="I1654" s="6" t="str">
        <f aca="false">_xlfn.CONCAT("\x", G1654, "\x", H1654, "=", F1654)</f>
        <v>\x2B\xF5=준</v>
      </c>
      <c r="M1654" s="8"/>
    </row>
    <row r="1655" customFormat="false" ht="12.8" hidden="false" customHeight="true" outlineLevel="0" collapsed="false">
      <c r="C1655" s="6" t="n">
        <f aca="false">MOD(ROW()-1, 208)</f>
        <v>198</v>
      </c>
      <c r="D1655" s="6" t="n">
        <f aca="false">INT((ROW()-1)/208)</f>
        <v>7</v>
      </c>
      <c r="F1655" s="6" t="str">
        <f aca="false">MID(VLOOKUP(D1655,$P$1:$Q$13,2,0), 1 + C1655,1)</f>
        <v>줄</v>
      </c>
      <c r="G1655" s="6" t="str">
        <f aca="false">DEC2HEX(D1655+36, 2)</f>
        <v>2B</v>
      </c>
      <c r="H1655" s="6" t="str">
        <f aca="false">DEC2HEX(C1655+48,2)</f>
        <v>F6</v>
      </c>
      <c r="I1655" s="6" t="str">
        <f aca="false">_xlfn.CONCAT("\x", G1655, "\x", H1655, "=", F1655)</f>
        <v>\x2B\xF6=줄</v>
      </c>
      <c r="M1655" s="8"/>
    </row>
    <row r="1656" customFormat="false" ht="12.8" hidden="false" customHeight="true" outlineLevel="0" collapsed="false">
      <c r="C1656" s="6" t="n">
        <f aca="false">MOD(ROW()-1, 208)</f>
        <v>199</v>
      </c>
      <c r="D1656" s="6" t="n">
        <f aca="false">INT((ROW()-1)/208)</f>
        <v>7</v>
      </c>
      <c r="F1656" s="6" t="str">
        <f aca="false">MID(VLOOKUP(D1656,$P$1:$Q$13,2,0), 1 + C1656,1)</f>
        <v>줅</v>
      </c>
      <c r="G1656" s="6" t="str">
        <f aca="false">DEC2HEX(D1656+36, 2)</f>
        <v>2B</v>
      </c>
      <c r="H1656" s="6" t="str">
        <f aca="false">DEC2HEX(C1656+48,2)</f>
        <v>F7</v>
      </c>
      <c r="I1656" s="6" t="str">
        <f aca="false">_xlfn.CONCAT("\x", G1656, "\x", H1656, "=", F1656)</f>
        <v>\x2B\xF7=줅</v>
      </c>
      <c r="M1656" s="8"/>
    </row>
    <row r="1657" customFormat="false" ht="12.8" hidden="false" customHeight="true" outlineLevel="0" collapsed="false">
      <c r="C1657" s="6" t="n">
        <f aca="false">MOD(ROW()-1, 208)</f>
        <v>200</v>
      </c>
      <c r="D1657" s="6" t="n">
        <f aca="false">INT((ROW()-1)/208)</f>
        <v>7</v>
      </c>
      <c r="F1657" s="6" t="str">
        <f aca="false">MID(VLOOKUP(D1657,$P$1:$Q$13,2,0), 1 + C1657,1)</f>
        <v>줆</v>
      </c>
      <c r="G1657" s="6" t="str">
        <f aca="false">DEC2HEX(D1657+36, 2)</f>
        <v>2B</v>
      </c>
      <c r="H1657" s="6" t="str">
        <f aca="false">DEC2HEX(C1657+48,2)</f>
        <v>F8</v>
      </c>
      <c r="I1657" s="6" t="str">
        <f aca="false">_xlfn.CONCAT("\x", G1657, "\x", H1657, "=", F1657)</f>
        <v>\x2B\xF8=줆</v>
      </c>
      <c r="M1657" s="8"/>
    </row>
    <row r="1658" customFormat="false" ht="12.8" hidden="false" customHeight="true" outlineLevel="0" collapsed="false">
      <c r="C1658" s="6" t="n">
        <f aca="false">MOD(ROW()-1, 208)</f>
        <v>201</v>
      </c>
      <c r="D1658" s="6" t="n">
        <f aca="false">INT((ROW()-1)/208)</f>
        <v>7</v>
      </c>
      <c r="F1658" s="6" t="str">
        <f aca="false">MID(VLOOKUP(D1658,$P$1:$Q$13,2,0), 1 + C1658,1)</f>
        <v>줌</v>
      </c>
      <c r="G1658" s="6" t="str">
        <f aca="false">DEC2HEX(D1658+36, 2)</f>
        <v>2B</v>
      </c>
      <c r="H1658" s="6" t="str">
        <f aca="false">DEC2HEX(C1658+48,2)</f>
        <v>F9</v>
      </c>
      <c r="I1658" s="6" t="str">
        <f aca="false">_xlfn.CONCAT("\x", G1658, "\x", H1658, "=", F1658)</f>
        <v>\x2B\xF9=줌</v>
      </c>
      <c r="M1658" s="8"/>
    </row>
    <row r="1659" customFormat="false" ht="12.8" hidden="false" customHeight="true" outlineLevel="0" collapsed="false">
      <c r="C1659" s="6" t="n">
        <f aca="false">MOD(ROW()-1, 208)</f>
        <v>202</v>
      </c>
      <c r="D1659" s="6" t="n">
        <f aca="false">INT((ROW()-1)/208)</f>
        <v>7</v>
      </c>
      <c r="F1659" s="6" t="str">
        <f aca="false">MID(VLOOKUP(D1659,$P$1:$Q$13,2,0), 1 + C1659,1)</f>
        <v>줍</v>
      </c>
      <c r="G1659" s="6" t="str">
        <f aca="false">DEC2HEX(D1659+36, 2)</f>
        <v>2B</v>
      </c>
      <c r="H1659" s="6" t="str">
        <f aca="false">DEC2HEX(C1659+48,2)</f>
        <v>FA</v>
      </c>
      <c r="I1659" s="6" t="str">
        <f aca="false">_xlfn.CONCAT("\x", G1659, "\x", H1659, "=", F1659)</f>
        <v>\x2B\xFA=줍</v>
      </c>
      <c r="M1659" s="8"/>
    </row>
    <row r="1660" customFormat="false" ht="12.8" hidden="false" customHeight="true" outlineLevel="0" collapsed="false">
      <c r="C1660" s="6" t="n">
        <f aca="false">MOD(ROW()-1, 208)</f>
        <v>203</v>
      </c>
      <c r="D1660" s="6" t="n">
        <f aca="false">INT((ROW()-1)/208)</f>
        <v>7</v>
      </c>
      <c r="F1660" s="6" t="str">
        <f aca="false">MID(VLOOKUP(D1660,$P$1:$Q$13,2,0), 1 + C1660,1)</f>
        <v>줏</v>
      </c>
      <c r="G1660" s="6" t="str">
        <f aca="false">DEC2HEX(D1660+36, 2)</f>
        <v>2B</v>
      </c>
      <c r="H1660" s="6" t="str">
        <f aca="false">DEC2HEX(C1660+48,2)</f>
        <v>FB</v>
      </c>
      <c r="I1660" s="6" t="str">
        <f aca="false">_xlfn.CONCAT("\x", G1660, "\x", H1660, "=", F1660)</f>
        <v>\x2B\xFB=줏</v>
      </c>
      <c r="M1660" s="8"/>
    </row>
    <row r="1661" customFormat="false" ht="12.8" hidden="false" customHeight="true" outlineLevel="0" collapsed="false">
      <c r="C1661" s="6" t="n">
        <f aca="false">MOD(ROW()-1, 208)</f>
        <v>204</v>
      </c>
      <c r="D1661" s="6" t="n">
        <f aca="false">INT((ROW()-1)/208)</f>
        <v>7</v>
      </c>
      <c r="F1661" s="6" t="str">
        <f aca="false">MID(VLOOKUP(D1661,$P$1:$Q$13,2,0), 1 + C1661,1)</f>
        <v>중</v>
      </c>
      <c r="G1661" s="6" t="str">
        <f aca="false">DEC2HEX(D1661+36, 2)</f>
        <v>2B</v>
      </c>
      <c r="H1661" s="6" t="str">
        <f aca="false">DEC2HEX(C1661+48,2)</f>
        <v>FC</v>
      </c>
      <c r="I1661" s="6" t="str">
        <f aca="false">_xlfn.CONCAT("\x", G1661, "\x", H1661, "=", F1661)</f>
        <v>\x2B\xFC=중</v>
      </c>
      <c r="M1661" s="8"/>
    </row>
    <row r="1662" customFormat="false" ht="12.8" hidden="false" customHeight="true" outlineLevel="0" collapsed="false">
      <c r="C1662" s="6" t="n">
        <f aca="false">MOD(ROW()-1, 208)</f>
        <v>205</v>
      </c>
      <c r="D1662" s="6" t="n">
        <f aca="false">INT((ROW()-1)/208)</f>
        <v>7</v>
      </c>
      <c r="F1662" s="6" t="str">
        <f aca="false">MID(VLOOKUP(D1662,$P$1:$Q$13,2,0), 1 + C1662,1)</f>
        <v>줘</v>
      </c>
      <c r="G1662" s="6" t="str">
        <f aca="false">DEC2HEX(D1662+36, 2)</f>
        <v>2B</v>
      </c>
      <c r="H1662" s="6" t="str">
        <f aca="false">DEC2HEX(C1662+48,2)</f>
        <v>FD</v>
      </c>
      <c r="I1662" s="6" t="str">
        <f aca="false">_xlfn.CONCAT("\x", G1662, "\x", H1662, "=", F1662)</f>
        <v>\x2B\xFD=줘</v>
      </c>
      <c r="M1662" s="8"/>
    </row>
    <row r="1663" customFormat="false" ht="12.8" hidden="false" customHeight="true" outlineLevel="0" collapsed="false">
      <c r="C1663" s="6" t="n">
        <f aca="false">MOD(ROW()-1, 208)</f>
        <v>206</v>
      </c>
      <c r="D1663" s="6" t="n">
        <f aca="false">INT((ROW()-1)/208)</f>
        <v>7</v>
      </c>
      <c r="F1663" s="6" t="str">
        <f aca="false">MID(VLOOKUP(D1663,$P$1:$Q$13,2,0), 1 + C1663,1)</f>
        <v>줬</v>
      </c>
      <c r="G1663" s="6" t="str">
        <f aca="false">DEC2HEX(D1663+36, 2)</f>
        <v>2B</v>
      </c>
      <c r="H1663" s="6" t="str">
        <f aca="false">DEC2HEX(C1663+48,2)</f>
        <v>FE</v>
      </c>
      <c r="I1663" s="6" t="str">
        <f aca="false">_xlfn.CONCAT("\x", G1663, "\x", H1663, "=", F1663)</f>
        <v>\x2B\xFE=줬</v>
      </c>
      <c r="M1663" s="8"/>
    </row>
    <row r="1664" customFormat="false" ht="12.8" hidden="false" customHeight="true" outlineLevel="0" collapsed="false">
      <c r="C1664" s="6" t="n">
        <f aca="false">MOD(ROW()-1, 208)</f>
        <v>207</v>
      </c>
      <c r="D1664" s="6" t="n">
        <f aca="false">INT((ROW()-1)/208)</f>
        <v>7</v>
      </c>
      <c r="F1664" s="6" t="str">
        <f aca="false">MID(VLOOKUP(D1664,$P$1:$Q$13,2,0), 1 + C1664,1)</f>
        <v>줴</v>
      </c>
      <c r="G1664" s="6" t="str">
        <f aca="false">DEC2HEX(D1664+36, 2)</f>
        <v>2B</v>
      </c>
      <c r="H1664" s="6" t="str">
        <f aca="false">DEC2HEX(C1664+48,2)</f>
        <v>FF</v>
      </c>
      <c r="I1664" s="6" t="str">
        <f aca="false">_xlfn.CONCAT("\x", G1664, "\x", H1664, "=", F1664)</f>
        <v>\x2B\xFF=줴</v>
      </c>
      <c r="M1664" s="8"/>
    </row>
    <row r="1665" customFormat="false" ht="12.8" hidden="false" customHeight="true" outlineLevel="0" collapsed="false">
      <c r="C1665" s="6" t="n">
        <f aca="false">MOD(ROW()-1, 208)</f>
        <v>0</v>
      </c>
      <c r="D1665" s="6" t="n">
        <f aca="false">INT((ROW()-1)/208)</f>
        <v>8</v>
      </c>
      <c r="F1665" s="6" t="str">
        <f aca="false">MID(VLOOKUP(D1665,$P$1:$Q$13,2,0), 1 + C1665,1)</f>
        <v>A</v>
      </c>
      <c r="G1665" s="6" t="str">
        <f aca="false">DEC2HEX(D1665+36, 2)</f>
        <v>2C</v>
      </c>
      <c r="H1665" s="6" t="str">
        <f aca="false">DEC2HEX(C1665+48,2)</f>
        <v>30</v>
      </c>
      <c r="I1665" s="6" t="str">
        <f aca="false">_xlfn.CONCAT("\x", G1665, "\x", H1665, "=", F1665)</f>
        <v>\x2C\x30=A</v>
      </c>
      <c r="M1665" s="8"/>
    </row>
    <row r="1666" customFormat="false" ht="12.8" hidden="false" customHeight="true" outlineLevel="0" collapsed="false">
      <c r="C1666" s="6" t="n">
        <f aca="false">MOD(ROW()-1, 208)</f>
        <v>1</v>
      </c>
      <c r="D1666" s="6" t="n">
        <f aca="false">INT((ROW()-1)/208)</f>
        <v>8</v>
      </c>
      <c r="F1666" s="6" t="str">
        <f aca="false">MID(VLOOKUP(D1666,$P$1:$Q$13,2,0), 1 + C1666,1)</f>
        <v>B</v>
      </c>
      <c r="G1666" s="6" t="str">
        <f aca="false">DEC2HEX(D1666+36, 2)</f>
        <v>2C</v>
      </c>
      <c r="H1666" s="6" t="str">
        <f aca="false">DEC2HEX(C1666+48,2)</f>
        <v>31</v>
      </c>
      <c r="I1666" s="6" t="str">
        <f aca="false">_xlfn.CONCAT("\x", G1666, "\x", H1666, "=", F1666)</f>
        <v>\x2C\x31=B</v>
      </c>
      <c r="M1666" s="8"/>
    </row>
    <row r="1667" customFormat="false" ht="12.8" hidden="false" customHeight="true" outlineLevel="0" collapsed="false">
      <c r="C1667" s="6" t="n">
        <f aca="false">MOD(ROW()-1, 208)</f>
        <v>2</v>
      </c>
      <c r="D1667" s="6" t="n">
        <f aca="false">INT((ROW()-1)/208)</f>
        <v>8</v>
      </c>
      <c r="F1667" s="6" t="str">
        <f aca="false">MID(VLOOKUP(D1667,$P$1:$Q$13,2,0), 1 + C1667,1)</f>
        <v>C</v>
      </c>
      <c r="G1667" s="6" t="str">
        <f aca="false">DEC2HEX(D1667+36, 2)</f>
        <v>2C</v>
      </c>
      <c r="H1667" s="6" t="str">
        <f aca="false">DEC2HEX(C1667+48,2)</f>
        <v>32</v>
      </c>
      <c r="I1667" s="6" t="str">
        <f aca="false">_xlfn.CONCAT("\x", G1667, "\x", H1667, "=", F1667)</f>
        <v>\x2C\x32=C</v>
      </c>
      <c r="M1667" s="8"/>
    </row>
    <row r="1668" customFormat="false" ht="12.8" hidden="false" customHeight="true" outlineLevel="0" collapsed="false">
      <c r="C1668" s="6" t="n">
        <f aca="false">MOD(ROW()-1, 208)</f>
        <v>3</v>
      </c>
      <c r="D1668" s="6" t="n">
        <f aca="false">INT((ROW()-1)/208)</f>
        <v>8</v>
      </c>
      <c r="F1668" s="6" t="str">
        <f aca="false">MID(VLOOKUP(D1668,$P$1:$Q$13,2,0), 1 + C1668,1)</f>
        <v>D</v>
      </c>
      <c r="G1668" s="6" t="str">
        <f aca="false">DEC2HEX(D1668+36, 2)</f>
        <v>2C</v>
      </c>
      <c r="H1668" s="6" t="str">
        <f aca="false">DEC2HEX(C1668+48,2)</f>
        <v>33</v>
      </c>
      <c r="I1668" s="6" t="str">
        <f aca="false">_xlfn.CONCAT("\x", G1668, "\x", H1668, "=", F1668)</f>
        <v>\x2C\x33=D</v>
      </c>
      <c r="M1668" s="8"/>
    </row>
    <row r="1669" customFormat="false" ht="12.8" hidden="false" customHeight="true" outlineLevel="0" collapsed="false">
      <c r="C1669" s="6" t="n">
        <f aca="false">MOD(ROW()-1, 208)</f>
        <v>4</v>
      </c>
      <c r="D1669" s="6" t="n">
        <f aca="false">INT((ROW()-1)/208)</f>
        <v>8</v>
      </c>
      <c r="F1669" s="6" t="str">
        <f aca="false">MID(VLOOKUP(D1669,$P$1:$Q$13,2,0), 1 + C1669,1)</f>
        <v>E</v>
      </c>
      <c r="G1669" s="6" t="str">
        <f aca="false">DEC2HEX(D1669+36, 2)</f>
        <v>2C</v>
      </c>
      <c r="H1669" s="6" t="str">
        <f aca="false">DEC2HEX(C1669+48,2)</f>
        <v>34</v>
      </c>
      <c r="I1669" s="6" t="str">
        <f aca="false">_xlfn.CONCAT("\x", G1669, "\x", H1669, "=", F1669)</f>
        <v>\x2C\x34=E</v>
      </c>
      <c r="M1669" s="8"/>
    </row>
    <row r="1670" customFormat="false" ht="12.8" hidden="false" customHeight="true" outlineLevel="0" collapsed="false">
      <c r="C1670" s="6" t="n">
        <f aca="false">MOD(ROW()-1, 208)</f>
        <v>5</v>
      </c>
      <c r="D1670" s="6" t="n">
        <f aca="false">INT((ROW()-1)/208)</f>
        <v>8</v>
      </c>
      <c r="F1670" s="6" t="str">
        <f aca="false">MID(VLOOKUP(D1670,$P$1:$Q$13,2,0), 1 + C1670,1)</f>
        <v>F</v>
      </c>
      <c r="G1670" s="6" t="str">
        <f aca="false">DEC2HEX(D1670+36, 2)</f>
        <v>2C</v>
      </c>
      <c r="H1670" s="6" t="str">
        <f aca="false">DEC2HEX(C1670+48,2)</f>
        <v>35</v>
      </c>
      <c r="I1670" s="6" t="str">
        <f aca="false">_xlfn.CONCAT("\x", G1670, "\x", H1670, "=", F1670)</f>
        <v>\x2C\x35=F</v>
      </c>
      <c r="M1670" s="8"/>
    </row>
    <row r="1671" customFormat="false" ht="12.8" hidden="false" customHeight="true" outlineLevel="0" collapsed="false">
      <c r="C1671" s="6" t="n">
        <f aca="false">MOD(ROW()-1, 208)</f>
        <v>6</v>
      </c>
      <c r="D1671" s="6" t="n">
        <f aca="false">INT((ROW()-1)/208)</f>
        <v>8</v>
      </c>
      <c r="F1671" s="6" t="str">
        <f aca="false">MID(VLOOKUP(D1671,$P$1:$Q$13,2,0), 1 + C1671,1)</f>
        <v>G</v>
      </c>
      <c r="G1671" s="6" t="str">
        <f aca="false">DEC2HEX(D1671+36, 2)</f>
        <v>2C</v>
      </c>
      <c r="H1671" s="6" t="str">
        <f aca="false">DEC2HEX(C1671+48,2)</f>
        <v>36</v>
      </c>
      <c r="I1671" s="6" t="str">
        <f aca="false">_xlfn.CONCAT("\x", G1671, "\x", H1671, "=", F1671)</f>
        <v>\x2C\x36=G</v>
      </c>
      <c r="M1671" s="8"/>
    </row>
    <row r="1672" customFormat="false" ht="12.8" hidden="false" customHeight="true" outlineLevel="0" collapsed="false">
      <c r="C1672" s="6" t="n">
        <f aca="false">MOD(ROW()-1, 208)</f>
        <v>7</v>
      </c>
      <c r="D1672" s="6" t="n">
        <f aca="false">INT((ROW()-1)/208)</f>
        <v>8</v>
      </c>
      <c r="F1672" s="6" t="str">
        <f aca="false">MID(VLOOKUP(D1672,$P$1:$Q$13,2,0), 1 + C1672,1)</f>
        <v>H</v>
      </c>
      <c r="G1672" s="6" t="str">
        <f aca="false">DEC2HEX(D1672+36, 2)</f>
        <v>2C</v>
      </c>
      <c r="H1672" s="6" t="str">
        <f aca="false">DEC2HEX(C1672+48,2)</f>
        <v>37</v>
      </c>
      <c r="I1672" s="6" t="str">
        <f aca="false">_xlfn.CONCAT("\x", G1672, "\x", H1672, "=", F1672)</f>
        <v>\x2C\x37=H</v>
      </c>
      <c r="M1672" s="8"/>
    </row>
    <row r="1673" customFormat="false" ht="12.8" hidden="false" customHeight="true" outlineLevel="0" collapsed="false">
      <c r="C1673" s="6" t="n">
        <f aca="false">MOD(ROW()-1, 208)</f>
        <v>8</v>
      </c>
      <c r="D1673" s="6" t="n">
        <f aca="false">INT((ROW()-1)/208)</f>
        <v>8</v>
      </c>
      <c r="F1673" s="6" t="str">
        <f aca="false">MID(VLOOKUP(D1673,$P$1:$Q$13,2,0), 1 + C1673,1)</f>
        <v>I</v>
      </c>
      <c r="G1673" s="6" t="str">
        <f aca="false">DEC2HEX(D1673+36, 2)</f>
        <v>2C</v>
      </c>
      <c r="H1673" s="6" t="str">
        <f aca="false">DEC2HEX(C1673+48,2)</f>
        <v>38</v>
      </c>
      <c r="I1673" s="6" t="str">
        <f aca="false">_xlfn.CONCAT("\x", G1673, "\x", H1673, "=", F1673)</f>
        <v>\x2C\x38=I</v>
      </c>
      <c r="M1673" s="8"/>
    </row>
    <row r="1674" customFormat="false" ht="12.8" hidden="false" customHeight="true" outlineLevel="0" collapsed="false">
      <c r="C1674" s="6" t="n">
        <f aca="false">MOD(ROW()-1, 208)</f>
        <v>9</v>
      </c>
      <c r="D1674" s="6" t="n">
        <f aca="false">INT((ROW()-1)/208)</f>
        <v>8</v>
      </c>
      <c r="F1674" s="6" t="str">
        <f aca="false">MID(VLOOKUP(D1674,$P$1:$Q$13,2,0), 1 + C1674,1)</f>
        <v>J</v>
      </c>
      <c r="G1674" s="6" t="str">
        <f aca="false">DEC2HEX(D1674+36, 2)</f>
        <v>2C</v>
      </c>
      <c r="H1674" s="6" t="str">
        <f aca="false">DEC2HEX(C1674+48,2)</f>
        <v>39</v>
      </c>
      <c r="I1674" s="6" t="str">
        <f aca="false">_xlfn.CONCAT("\x", G1674, "\x", H1674, "=", F1674)</f>
        <v>\x2C\x39=J</v>
      </c>
      <c r="M1674" s="8"/>
    </row>
    <row r="1675" customFormat="false" ht="12.8" hidden="false" customHeight="true" outlineLevel="0" collapsed="false">
      <c r="C1675" s="6" t="n">
        <f aca="false">MOD(ROW()-1, 208)</f>
        <v>10</v>
      </c>
      <c r="D1675" s="6" t="n">
        <f aca="false">INT((ROW()-1)/208)</f>
        <v>8</v>
      </c>
      <c r="F1675" s="6" t="str">
        <f aca="false">MID(VLOOKUP(D1675,$P$1:$Q$13,2,0), 1 + C1675,1)</f>
        <v>K</v>
      </c>
      <c r="G1675" s="6" t="str">
        <f aca="false">DEC2HEX(D1675+36, 2)</f>
        <v>2C</v>
      </c>
      <c r="H1675" s="6" t="str">
        <f aca="false">DEC2HEX(C1675+48,2)</f>
        <v>3A</v>
      </c>
      <c r="I1675" s="6" t="str">
        <f aca="false">_xlfn.CONCAT("\x", G1675, "\x", H1675, "=", F1675)</f>
        <v>\x2C\x3A=K</v>
      </c>
      <c r="M1675" s="8"/>
    </row>
    <row r="1676" customFormat="false" ht="12.8" hidden="false" customHeight="true" outlineLevel="0" collapsed="false">
      <c r="C1676" s="6" t="n">
        <f aca="false">MOD(ROW()-1, 208)</f>
        <v>11</v>
      </c>
      <c r="D1676" s="6" t="n">
        <f aca="false">INT((ROW()-1)/208)</f>
        <v>8</v>
      </c>
      <c r="F1676" s="6" t="str">
        <f aca="false">MID(VLOOKUP(D1676,$P$1:$Q$13,2,0), 1 + C1676,1)</f>
        <v>L</v>
      </c>
      <c r="G1676" s="6" t="str">
        <f aca="false">DEC2HEX(D1676+36, 2)</f>
        <v>2C</v>
      </c>
      <c r="H1676" s="6" t="str">
        <f aca="false">DEC2HEX(C1676+48,2)</f>
        <v>3B</v>
      </c>
      <c r="I1676" s="6" t="str">
        <f aca="false">_xlfn.CONCAT("\x", G1676, "\x", H1676, "=", F1676)</f>
        <v>\x2C\x3B=L</v>
      </c>
      <c r="M1676" s="8"/>
    </row>
    <row r="1677" customFormat="false" ht="12.8" hidden="false" customHeight="true" outlineLevel="0" collapsed="false">
      <c r="C1677" s="6" t="n">
        <f aca="false">MOD(ROW()-1, 208)</f>
        <v>12</v>
      </c>
      <c r="D1677" s="6" t="n">
        <f aca="false">INT((ROW()-1)/208)</f>
        <v>8</v>
      </c>
      <c r="F1677" s="6" t="str">
        <f aca="false">MID(VLOOKUP(D1677,$P$1:$Q$13,2,0), 1 + C1677,1)</f>
        <v>M</v>
      </c>
      <c r="G1677" s="6" t="str">
        <f aca="false">DEC2HEX(D1677+36, 2)</f>
        <v>2C</v>
      </c>
      <c r="H1677" s="6" t="str">
        <f aca="false">DEC2HEX(C1677+48,2)</f>
        <v>3C</v>
      </c>
      <c r="I1677" s="6" t="str">
        <f aca="false">_xlfn.CONCAT("\x", G1677, "\x", H1677, "=", F1677)</f>
        <v>\x2C\x3C=M</v>
      </c>
      <c r="M1677" s="8"/>
    </row>
    <row r="1678" customFormat="false" ht="12.8" hidden="false" customHeight="true" outlineLevel="0" collapsed="false">
      <c r="C1678" s="6" t="n">
        <f aca="false">MOD(ROW()-1, 208)</f>
        <v>13</v>
      </c>
      <c r="D1678" s="6" t="n">
        <f aca="false">INT((ROW()-1)/208)</f>
        <v>8</v>
      </c>
      <c r="F1678" s="6" t="str">
        <f aca="false">MID(VLOOKUP(D1678,$P$1:$Q$13,2,0), 1 + C1678,1)</f>
        <v>N</v>
      </c>
      <c r="G1678" s="6" t="str">
        <f aca="false">DEC2HEX(D1678+36, 2)</f>
        <v>2C</v>
      </c>
      <c r="H1678" s="6" t="str">
        <f aca="false">DEC2HEX(C1678+48,2)</f>
        <v>3D</v>
      </c>
      <c r="I1678" s="6" t="str">
        <f aca="false">_xlfn.CONCAT("\x", G1678, "\x", H1678, "=", F1678)</f>
        <v>\x2C\x3D=N</v>
      </c>
      <c r="M1678" s="8"/>
    </row>
    <row r="1679" customFormat="false" ht="12.8" hidden="false" customHeight="true" outlineLevel="0" collapsed="false">
      <c r="C1679" s="6" t="n">
        <f aca="false">MOD(ROW()-1, 208)</f>
        <v>14</v>
      </c>
      <c r="D1679" s="6" t="n">
        <f aca="false">INT((ROW()-1)/208)</f>
        <v>8</v>
      </c>
      <c r="F1679" s="6" t="str">
        <f aca="false">MID(VLOOKUP(D1679,$P$1:$Q$13,2,0), 1 + C1679,1)</f>
        <v>O</v>
      </c>
      <c r="G1679" s="6" t="str">
        <f aca="false">DEC2HEX(D1679+36, 2)</f>
        <v>2C</v>
      </c>
      <c r="H1679" s="6" t="str">
        <f aca="false">DEC2HEX(C1679+48,2)</f>
        <v>3E</v>
      </c>
      <c r="I1679" s="6" t="str">
        <f aca="false">_xlfn.CONCAT("\x", G1679, "\x", H1679, "=", F1679)</f>
        <v>\x2C\x3E=O</v>
      </c>
      <c r="M1679" s="8"/>
    </row>
    <row r="1680" customFormat="false" ht="12.8" hidden="false" customHeight="true" outlineLevel="0" collapsed="false">
      <c r="C1680" s="6" t="n">
        <f aca="false">MOD(ROW()-1, 208)</f>
        <v>15</v>
      </c>
      <c r="D1680" s="6" t="n">
        <f aca="false">INT((ROW()-1)/208)</f>
        <v>8</v>
      </c>
      <c r="F1680" s="6" t="str">
        <f aca="false">MID(VLOOKUP(D1680,$P$1:$Q$13,2,0), 1 + C1680,1)</f>
        <v>P</v>
      </c>
      <c r="G1680" s="6" t="str">
        <f aca="false">DEC2HEX(D1680+36, 2)</f>
        <v>2C</v>
      </c>
      <c r="H1680" s="6" t="str">
        <f aca="false">DEC2HEX(C1680+48,2)</f>
        <v>3F</v>
      </c>
      <c r="I1680" s="6" t="str">
        <f aca="false">_xlfn.CONCAT("\x", G1680, "\x", H1680, "=", F1680)</f>
        <v>\x2C\x3F=P</v>
      </c>
      <c r="M1680" s="8"/>
    </row>
    <row r="1681" customFormat="false" ht="12.8" hidden="false" customHeight="true" outlineLevel="0" collapsed="false">
      <c r="C1681" s="6" t="n">
        <f aca="false">MOD(ROW()-1, 208)</f>
        <v>16</v>
      </c>
      <c r="D1681" s="6" t="n">
        <f aca="false">INT((ROW()-1)/208)</f>
        <v>8</v>
      </c>
      <c r="F1681" s="6" t="str">
        <f aca="false">MID(VLOOKUP(D1681,$P$1:$Q$13,2,0), 1 + C1681,1)</f>
        <v>Q</v>
      </c>
      <c r="G1681" s="6" t="str">
        <f aca="false">DEC2HEX(D1681+36, 2)</f>
        <v>2C</v>
      </c>
      <c r="H1681" s="6" t="str">
        <f aca="false">DEC2HEX(C1681+48,2)</f>
        <v>40</v>
      </c>
      <c r="I1681" s="6" t="str">
        <f aca="false">_xlfn.CONCAT("\x", G1681, "\x", H1681, "=", F1681)</f>
        <v>\x2C\x40=Q</v>
      </c>
      <c r="M1681" s="8"/>
    </row>
    <row r="1682" customFormat="false" ht="12.8" hidden="false" customHeight="true" outlineLevel="0" collapsed="false">
      <c r="C1682" s="6" t="n">
        <f aca="false">MOD(ROW()-1, 208)</f>
        <v>17</v>
      </c>
      <c r="D1682" s="6" t="n">
        <f aca="false">INT((ROW()-1)/208)</f>
        <v>8</v>
      </c>
      <c r="F1682" s="6" t="str">
        <f aca="false">MID(VLOOKUP(D1682,$P$1:$Q$13,2,0), 1 + C1682,1)</f>
        <v>R</v>
      </c>
      <c r="G1682" s="6" t="str">
        <f aca="false">DEC2HEX(D1682+36, 2)</f>
        <v>2C</v>
      </c>
      <c r="H1682" s="6" t="str">
        <f aca="false">DEC2HEX(C1682+48,2)</f>
        <v>41</v>
      </c>
      <c r="I1682" s="6" t="str">
        <f aca="false">_xlfn.CONCAT("\x", G1682, "\x", H1682, "=", F1682)</f>
        <v>\x2C\x41=R</v>
      </c>
      <c r="M1682" s="8"/>
    </row>
    <row r="1683" customFormat="false" ht="12.8" hidden="false" customHeight="true" outlineLevel="0" collapsed="false">
      <c r="C1683" s="6" t="n">
        <f aca="false">MOD(ROW()-1, 208)</f>
        <v>18</v>
      </c>
      <c r="D1683" s="6" t="n">
        <f aca="false">INT((ROW()-1)/208)</f>
        <v>8</v>
      </c>
      <c r="F1683" s="6" t="str">
        <f aca="false">MID(VLOOKUP(D1683,$P$1:$Q$13,2,0), 1 + C1683,1)</f>
        <v>S</v>
      </c>
      <c r="G1683" s="6" t="str">
        <f aca="false">DEC2HEX(D1683+36, 2)</f>
        <v>2C</v>
      </c>
      <c r="H1683" s="6" t="str">
        <f aca="false">DEC2HEX(C1683+48,2)</f>
        <v>42</v>
      </c>
      <c r="I1683" s="6" t="str">
        <f aca="false">_xlfn.CONCAT("\x", G1683, "\x", H1683, "=", F1683)</f>
        <v>\x2C\x42=S</v>
      </c>
      <c r="M1683" s="8"/>
    </row>
    <row r="1684" customFormat="false" ht="12.8" hidden="false" customHeight="true" outlineLevel="0" collapsed="false">
      <c r="C1684" s="6" t="n">
        <f aca="false">MOD(ROW()-1, 208)</f>
        <v>19</v>
      </c>
      <c r="D1684" s="6" t="n">
        <f aca="false">INT((ROW()-1)/208)</f>
        <v>8</v>
      </c>
      <c r="F1684" s="6" t="str">
        <f aca="false">MID(VLOOKUP(D1684,$P$1:$Q$13,2,0), 1 + C1684,1)</f>
        <v>T</v>
      </c>
      <c r="G1684" s="6" t="str">
        <f aca="false">DEC2HEX(D1684+36, 2)</f>
        <v>2C</v>
      </c>
      <c r="H1684" s="6" t="str">
        <f aca="false">DEC2HEX(C1684+48,2)</f>
        <v>43</v>
      </c>
      <c r="I1684" s="6" t="str">
        <f aca="false">_xlfn.CONCAT("\x", G1684, "\x", H1684, "=", F1684)</f>
        <v>\x2C\x43=T</v>
      </c>
      <c r="M1684" s="8"/>
    </row>
    <row r="1685" customFormat="false" ht="12.8" hidden="false" customHeight="true" outlineLevel="0" collapsed="false">
      <c r="C1685" s="6" t="n">
        <f aca="false">MOD(ROW()-1, 208)</f>
        <v>20</v>
      </c>
      <c r="D1685" s="6" t="n">
        <f aca="false">INT((ROW()-1)/208)</f>
        <v>8</v>
      </c>
      <c r="F1685" s="6" t="str">
        <f aca="false">MID(VLOOKUP(D1685,$P$1:$Q$13,2,0), 1 + C1685,1)</f>
        <v>U</v>
      </c>
      <c r="G1685" s="6" t="str">
        <f aca="false">DEC2HEX(D1685+36, 2)</f>
        <v>2C</v>
      </c>
      <c r="H1685" s="6" t="str">
        <f aca="false">DEC2HEX(C1685+48,2)</f>
        <v>44</v>
      </c>
      <c r="I1685" s="6" t="str">
        <f aca="false">_xlfn.CONCAT("\x", G1685, "\x", H1685, "=", F1685)</f>
        <v>\x2C\x44=U</v>
      </c>
      <c r="M1685" s="8"/>
    </row>
    <row r="1686" customFormat="false" ht="12.8" hidden="false" customHeight="true" outlineLevel="0" collapsed="false">
      <c r="C1686" s="6" t="n">
        <f aca="false">MOD(ROW()-1, 208)</f>
        <v>21</v>
      </c>
      <c r="D1686" s="6" t="n">
        <f aca="false">INT((ROW()-1)/208)</f>
        <v>8</v>
      </c>
      <c r="F1686" s="6" t="str">
        <f aca="false">MID(VLOOKUP(D1686,$P$1:$Q$13,2,0), 1 + C1686,1)</f>
        <v>V</v>
      </c>
      <c r="G1686" s="6" t="str">
        <f aca="false">DEC2HEX(D1686+36, 2)</f>
        <v>2C</v>
      </c>
      <c r="H1686" s="6" t="str">
        <f aca="false">DEC2HEX(C1686+48,2)</f>
        <v>45</v>
      </c>
      <c r="I1686" s="6" t="str">
        <f aca="false">_xlfn.CONCAT("\x", G1686, "\x", H1686, "=", F1686)</f>
        <v>\x2C\x45=V</v>
      </c>
      <c r="M1686" s="8"/>
    </row>
    <row r="1687" customFormat="false" ht="12.8" hidden="false" customHeight="true" outlineLevel="0" collapsed="false">
      <c r="C1687" s="6" t="n">
        <f aca="false">MOD(ROW()-1, 208)</f>
        <v>22</v>
      </c>
      <c r="D1687" s="6" t="n">
        <f aca="false">INT((ROW()-1)/208)</f>
        <v>8</v>
      </c>
      <c r="F1687" s="6" t="str">
        <f aca="false">MID(VLOOKUP(D1687,$P$1:$Q$13,2,0), 1 + C1687,1)</f>
        <v>W</v>
      </c>
      <c r="G1687" s="6" t="str">
        <f aca="false">DEC2HEX(D1687+36, 2)</f>
        <v>2C</v>
      </c>
      <c r="H1687" s="6" t="str">
        <f aca="false">DEC2HEX(C1687+48,2)</f>
        <v>46</v>
      </c>
      <c r="I1687" s="6" t="str">
        <f aca="false">_xlfn.CONCAT("\x", G1687, "\x", H1687, "=", F1687)</f>
        <v>\x2C\x46=W</v>
      </c>
      <c r="M1687" s="8"/>
    </row>
    <row r="1688" customFormat="false" ht="12.8" hidden="false" customHeight="true" outlineLevel="0" collapsed="false">
      <c r="C1688" s="6" t="n">
        <f aca="false">MOD(ROW()-1, 208)</f>
        <v>23</v>
      </c>
      <c r="D1688" s="6" t="n">
        <f aca="false">INT((ROW()-1)/208)</f>
        <v>8</v>
      </c>
      <c r="F1688" s="6" t="str">
        <f aca="false">MID(VLOOKUP(D1688,$P$1:$Q$13,2,0), 1 + C1688,1)</f>
        <v>X</v>
      </c>
      <c r="G1688" s="6" t="str">
        <f aca="false">DEC2HEX(D1688+36, 2)</f>
        <v>2C</v>
      </c>
      <c r="H1688" s="6" t="str">
        <f aca="false">DEC2HEX(C1688+48,2)</f>
        <v>47</v>
      </c>
      <c r="I1688" s="6" t="str">
        <f aca="false">_xlfn.CONCAT("\x", G1688, "\x", H1688, "=", F1688)</f>
        <v>\x2C\x47=X</v>
      </c>
      <c r="M1688" s="8"/>
    </row>
    <row r="1689" customFormat="false" ht="12.8" hidden="false" customHeight="true" outlineLevel="0" collapsed="false">
      <c r="C1689" s="6" t="n">
        <f aca="false">MOD(ROW()-1, 208)</f>
        <v>24</v>
      </c>
      <c r="D1689" s="6" t="n">
        <f aca="false">INT((ROW()-1)/208)</f>
        <v>8</v>
      </c>
      <c r="F1689" s="6" t="str">
        <f aca="false">MID(VLOOKUP(D1689,$P$1:$Q$13,2,0), 1 + C1689,1)</f>
        <v>Y</v>
      </c>
      <c r="G1689" s="6" t="str">
        <f aca="false">DEC2HEX(D1689+36, 2)</f>
        <v>2C</v>
      </c>
      <c r="H1689" s="6" t="str">
        <f aca="false">DEC2HEX(C1689+48,2)</f>
        <v>48</v>
      </c>
      <c r="I1689" s="6" t="str">
        <f aca="false">_xlfn.CONCAT("\x", G1689, "\x", H1689, "=", F1689)</f>
        <v>\x2C\x48=Y</v>
      </c>
      <c r="M1689" s="8"/>
    </row>
    <row r="1690" customFormat="false" ht="12.8" hidden="false" customHeight="true" outlineLevel="0" collapsed="false">
      <c r="C1690" s="6" t="n">
        <f aca="false">MOD(ROW()-1, 208)</f>
        <v>25</v>
      </c>
      <c r="D1690" s="6" t="n">
        <f aca="false">INT((ROW()-1)/208)</f>
        <v>8</v>
      </c>
      <c r="F1690" s="6" t="str">
        <f aca="false">MID(VLOOKUP(D1690,$P$1:$Q$13,2,0), 1 + C1690,1)</f>
        <v>Z</v>
      </c>
      <c r="G1690" s="6" t="str">
        <f aca="false">DEC2HEX(D1690+36, 2)</f>
        <v>2C</v>
      </c>
      <c r="H1690" s="6" t="str">
        <f aca="false">DEC2HEX(C1690+48,2)</f>
        <v>49</v>
      </c>
      <c r="I1690" s="6" t="str">
        <f aca="false">_xlfn.CONCAT("\x", G1690, "\x", H1690, "=", F1690)</f>
        <v>\x2C\x49=Z</v>
      </c>
      <c r="M1690" s="8"/>
    </row>
    <row r="1691" customFormat="false" ht="12.8" hidden="false" customHeight="true" outlineLevel="0" collapsed="false">
      <c r="C1691" s="6" t="n">
        <f aca="false">MOD(ROW()-1, 208)</f>
        <v>26</v>
      </c>
      <c r="D1691" s="6" t="n">
        <f aca="false">INT((ROW()-1)/208)</f>
        <v>8</v>
      </c>
      <c r="F1691" s="6" t="str">
        <f aca="false">MID(VLOOKUP(D1691,$P$1:$Q$13,2,0), 1 + C1691,1)</f>
        <v>a</v>
      </c>
      <c r="G1691" s="6" t="str">
        <f aca="false">DEC2HEX(D1691+36, 2)</f>
        <v>2C</v>
      </c>
      <c r="H1691" s="6" t="str">
        <f aca="false">DEC2HEX(C1691+48,2)</f>
        <v>4A</v>
      </c>
      <c r="I1691" s="6" t="str">
        <f aca="false">_xlfn.CONCAT("\x", G1691, "\x", H1691, "=", F1691)</f>
        <v>\x2C\x4A=a</v>
      </c>
      <c r="M1691" s="8"/>
    </row>
    <row r="1692" customFormat="false" ht="12.8" hidden="false" customHeight="true" outlineLevel="0" collapsed="false">
      <c r="C1692" s="6" t="n">
        <f aca="false">MOD(ROW()-1, 208)</f>
        <v>27</v>
      </c>
      <c r="D1692" s="6" t="n">
        <f aca="false">INT((ROW()-1)/208)</f>
        <v>8</v>
      </c>
      <c r="F1692" s="6" t="str">
        <f aca="false">MID(VLOOKUP(D1692,$P$1:$Q$13,2,0), 1 + C1692,1)</f>
        <v>b</v>
      </c>
      <c r="G1692" s="6" t="str">
        <f aca="false">DEC2HEX(D1692+36, 2)</f>
        <v>2C</v>
      </c>
      <c r="H1692" s="6" t="str">
        <f aca="false">DEC2HEX(C1692+48,2)</f>
        <v>4B</v>
      </c>
      <c r="I1692" s="6" t="str">
        <f aca="false">_xlfn.CONCAT("\x", G1692, "\x", H1692, "=", F1692)</f>
        <v>\x2C\x4B=b</v>
      </c>
      <c r="M1692" s="8"/>
    </row>
    <row r="1693" customFormat="false" ht="12.8" hidden="false" customHeight="true" outlineLevel="0" collapsed="false">
      <c r="C1693" s="6" t="n">
        <f aca="false">MOD(ROW()-1, 208)</f>
        <v>28</v>
      </c>
      <c r="D1693" s="6" t="n">
        <f aca="false">INT((ROW()-1)/208)</f>
        <v>8</v>
      </c>
      <c r="F1693" s="6" t="str">
        <f aca="false">MID(VLOOKUP(D1693,$P$1:$Q$13,2,0), 1 + C1693,1)</f>
        <v>c</v>
      </c>
      <c r="G1693" s="6" t="str">
        <f aca="false">DEC2HEX(D1693+36, 2)</f>
        <v>2C</v>
      </c>
      <c r="H1693" s="6" t="str">
        <f aca="false">DEC2HEX(C1693+48,2)</f>
        <v>4C</v>
      </c>
      <c r="I1693" s="6" t="str">
        <f aca="false">_xlfn.CONCAT("\x", G1693, "\x", H1693, "=", F1693)</f>
        <v>\x2C\x4C=c</v>
      </c>
      <c r="M1693" s="8"/>
    </row>
    <row r="1694" customFormat="false" ht="12.8" hidden="false" customHeight="true" outlineLevel="0" collapsed="false">
      <c r="C1694" s="6" t="n">
        <f aca="false">MOD(ROW()-1, 208)</f>
        <v>29</v>
      </c>
      <c r="D1694" s="6" t="n">
        <f aca="false">INT((ROW()-1)/208)</f>
        <v>8</v>
      </c>
      <c r="F1694" s="6" t="str">
        <f aca="false">MID(VLOOKUP(D1694,$P$1:$Q$13,2,0), 1 + C1694,1)</f>
        <v>d</v>
      </c>
      <c r="G1694" s="6" t="str">
        <f aca="false">DEC2HEX(D1694+36, 2)</f>
        <v>2C</v>
      </c>
      <c r="H1694" s="6" t="str">
        <f aca="false">DEC2HEX(C1694+48,2)</f>
        <v>4D</v>
      </c>
      <c r="I1694" s="6" t="str">
        <f aca="false">_xlfn.CONCAT("\x", G1694, "\x", H1694, "=", F1694)</f>
        <v>\x2C\x4D=d</v>
      </c>
      <c r="M1694" s="8"/>
    </row>
    <row r="1695" customFormat="false" ht="12.8" hidden="false" customHeight="true" outlineLevel="0" collapsed="false">
      <c r="C1695" s="6" t="n">
        <f aca="false">MOD(ROW()-1, 208)</f>
        <v>30</v>
      </c>
      <c r="D1695" s="6" t="n">
        <f aca="false">INT((ROW()-1)/208)</f>
        <v>8</v>
      </c>
      <c r="F1695" s="6" t="str">
        <f aca="false">MID(VLOOKUP(D1695,$P$1:$Q$13,2,0), 1 + C1695,1)</f>
        <v>e</v>
      </c>
      <c r="G1695" s="6" t="str">
        <f aca="false">DEC2HEX(D1695+36, 2)</f>
        <v>2C</v>
      </c>
      <c r="H1695" s="6" t="str">
        <f aca="false">DEC2HEX(C1695+48,2)</f>
        <v>4E</v>
      </c>
      <c r="I1695" s="6" t="str">
        <f aca="false">_xlfn.CONCAT("\x", G1695, "\x", H1695, "=", F1695)</f>
        <v>\x2C\x4E=e</v>
      </c>
      <c r="M1695" s="8"/>
    </row>
    <row r="1696" customFormat="false" ht="12.8" hidden="false" customHeight="true" outlineLevel="0" collapsed="false">
      <c r="C1696" s="6" t="n">
        <f aca="false">MOD(ROW()-1, 208)</f>
        <v>31</v>
      </c>
      <c r="D1696" s="6" t="n">
        <f aca="false">INT((ROW()-1)/208)</f>
        <v>8</v>
      </c>
      <c r="F1696" s="6" t="str">
        <f aca="false">MID(VLOOKUP(D1696,$P$1:$Q$13,2,0), 1 + C1696,1)</f>
        <v>f</v>
      </c>
      <c r="G1696" s="6" t="str">
        <f aca="false">DEC2HEX(D1696+36, 2)</f>
        <v>2C</v>
      </c>
      <c r="H1696" s="6" t="str">
        <f aca="false">DEC2HEX(C1696+48,2)</f>
        <v>4F</v>
      </c>
      <c r="I1696" s="6" t="str">
        <f aca="false">_xlfn.CONCAT("\x", G1696, "\x", H1696, "=", F1696)</f>
        <v>\x2C\x4F=f</v>
      </c>
      <c r="M1696" s="8"/>
    </row>
    <row r="1697" customFormat="false" ht="12.8" hidden="false" customHeight="true" outlineLevel="0" collapsed="false">
      <c r="C1697" s="6" t="n">
        <f aca="false">MOD(ROW()-1, 208)</f>
        <v>32</v>
      </c>
      <c r="D1697" s="6" t="n">
        <f aca="false">INT((ROW()-1)/208)</f>
        <v>8</v>
      </c>
      <c r="F1697" s="6" t="str">
        <f aca="false">MID(VLOOKUP(D1697,$P$1:$Q$13,2,0), 1 + C1697,1)</f>
        <v>g</v>
      </c>
      <c r="G1697" s="6" t="str">
        <f aca="false">DEC2HEX(D1697+36, 2)</f>
        <v>2C</v>
      </c>
      <c r="H1697" s="6" t="str">
        <f aca="false">DEC2HEX(C1697+48,2)</f>
        <v>50</v>
      </c>
      <c r="I1697" s="6" t="str">
        <f aca="false">_xlfn.CONCAT("\x", G1697, "\x", H1697, "=", F1697)</f>
        <v>\x2C\x50=g</v>
      </c>
      <c r="M1697" s="8"/>
    </row>
    <row r="1698" customFormat="false" ht="12.8" hidden="false" customHeight="true" outlineLevel="0" collapsed="false">
      <c r="C1698" s="6" t="n">
        <f aca="false">MOD(ROW()-1, 208)</f>
        <v>33</v>
      </c>
      <c r="D1698" s="6" t="n">
        <f aca="false">INT((ROW()-1)/208)</f>
        <v>8</v>
      </c>
      <c r="F1698" s="6" t="str">
        <f aca="false">MID(VLOOKUP(D1698,$P$1:$Q$13,2,0), 1 + C1698,1)</f>
        <v>h</v>
      </c>
      <c r="G1698" s="6" t="str">
        <f aca="false">DEC2HEX(D1698+36, 2)</f>
        <v>2C</v>
      </c>
      <c r="H1698" s="6" t="str">
        <f aca="false">DEC2HEX(C1698+48,2)</f>
        <v>51</v>
      </c>
      <c r="I1698" s="6" t="str">
        <f aca="false">_xlfn.CONCAT("\x", G1698, "\x", H1698, "=", F1698)</f>
        <v>\x2C\x51=h</v>
      </c>
      <c r="M1698" s="8"/>
    </row>
    <row r="1699" customFormat="false" ht="12.8" hidden="false" customHeight="true" outlineLevel="0" collapsed="false">
      <c r="C1699" s="6" t="n">
        <f aca="false">MOD(ROW()-1, 208)</f>
        <v>34</v>
      </c>
      <c r="D1699" s="6" t="n">
        <f aca="false">INT((ROW()-1)/208)</f>
        <v>8</v>
      </c>
      <c r="F1699" s="6" t="str">
        <f aca="false">MID(VLOOKUP(D1699,$P$1:$Q$13,2,0), 1 + C1699,1)</f>
        <v>i</v>
      </c>
      <c r="G1699" s="6" t="str">
        <f aca="false">DEC2HEX(D1699+36, 2)</f>
        <v>2C</v>
      </c>
      <c r="H1699" s="6" t="str">
        <f aca="false">DEC2HEX(C1699+48,2)</f>
        <v>52</v>
      </c>
      <c r="I1699" s="6" t="str">
        <f aca="false">_xlfn.CONCAT("\x", G1699, "\x", H1699, "=", F1699)</f>
        <v>\x2C\x52=i</v>
      </c>
      <c r="M1699" s="8"/>
    </row>
    <row r="1700" customFormat="false" ht="12.8" hidden="false" customHeight="true" outlineLevel="0" collapsed="false">
      <c r="C1700" s="6" t="n">
        <f aca="false">MOD(ROW()-1, 208)</f>
        <v>35</v>
      </c>
      <c r="D1700" s="6" t="n">
        <f aca="false">INT((ROW()-1)/208)</f>
        <v>8</v>
      </c>
      <c r="F1700" s="6" t="str">
        <f aca="false">MID(VLOOKUP(D1700,$P$1:$Q$13,2,0), 1 + C1700,1)</f>
        <v>j</v>
      </c>
      <c r="G1700" s="6" t="str">
        <f aca="false">DEC2HEX(D1700+36, 2)</f>
        <v>2C</v>
      </c>
      <c r="H1700" s="6" t="str">
        <f aca="false">DEC2HEX(C1700+48,2)</f>
        <v>53</v>
      </c>
      <c r="I1700" s="6" t="str">
        <f aca="false">_xlfn.CONCAT("\x", G1700, "\x", H1700, "=", F1700)</f>
        <v>\x2C\x53=j</v>
      </c>
      <c r="M1700" s="8"/>
    </row>
    <row r="1701" customFormat="false" ht="12.8" hidden="false" customHeight="true" outlineLevel="0" collapsed="false">
      <c r="C1701" s="6" t="n">
        <f aca="false">MOD(ROW()-1, 208)</f>
        <v>36</v>
      </c>
      <c r="D1701" s="6" t="n">
        <f aca="false">INT((ROW()-1)/208)</f>
        <v>8</v>
      </c>
      <c r="F1701" s="6" t="str">
        <f aca="false">MID(VLOOKUP(D1701,$P$1:$Q$13,2,0), 1 + C1701,1)</f>
        <v>k</v>
      </c>
      <c r="G1701" s="6" t="str">
        <f aca="false">DEC2HEX(D1701+36, 2)</f>
        <v>2C</v>
      </c>
      <c r="H1701" s="6" t="str">
        <f aca="false">DEC2HEX(C1701+48,2)</f>
        <v>54</v>
      </c>
      <c r="I1701" s="6" t="str">
        <f aca="false">_xlfn.CONCAT("\x", G1701, "\x", H1701, "=", F1701)</f>
        <v>\x2C\x54=k</v>
      </c>
      <c r="M1701" s="8"/>
    </row>
    <row r="1702" customFormat="false" ht="12.8" hidden="false" customHeight="true" outlineLevel="0" collapsed="false">
      <c r="C1702" s="6" t="n">
        <f aca="false">MOD(ROW()-1, 208)</f>
        <v>37</v>
      </c>
      <c r="D1702" s="6" t="n">
        <f aca="false">INT((ROW()-1)/208)</f>
        <v>8</v>
      </c>
      <c r="F1702" s="6" t="str">
        <f aca="false">MID(VLOOKUP(D1702,$P$1:$Q$13,2,0), 1 + C1702,1)</f>
        <v>l</v>
      </c>
      <c r="G1702" s="6" t="str">
        <f aca="false">DEC2HEX(D1702+36, 2)</f>
        <v>2C</v>
      </c>
      <c r="H1702" s="6" t="str">
        <f aca="false">DEC2HEX(C1702+48,2)</f>
        <v>55</v>
      </c>
      <c r="I1702" s="6" t="str">
        <f aca="false">_xlfn.CONCAT("\x", G1702, "\x", H1702, "=", F1702)</f>
        <v>\x2C\x55=l</v>
      </c>
      <c r="M1702" s="8"/>
    </row>
    <row r="1703" customFormat="false" ht="12.8" hidden="false" customHeight="true" outlineLevel="0" collapsed="false">
      <c r="C1703" s="6" t="n">
        <f aca="false">MOD(ROW()-1, 208)</f>
        <v>38</v>
      </c>
      <c r="D1703" s="6" t="n">
        <f aca="false">INT((ROW()-1)/208)</f>
        <v>8</v>
      </c>
      <c r="F1703" s="6" t="str">
        <f aca="false">MID(VLOOKUP(D1703,$P$1:$Q$13,2,0), 1 + C1703,1)</f>
        <v>m</v>
      </c>
      <c r="G1703" s="6" t="str">
        <f aca="false">DEC2HEX(D1703+36, 2)</f>
        <v>2C</v>
      </c>
      <c r="H1703" s="6" t="str">
        <f aca="false">DEC2HEX(C1703+48,2)</f>
        <v>56</v>
      </c>
      <c r="I1703" s="6" t="str">
        <f aca="false">_xlfn.CONCAT("\x", G1703, "\x", H1703, "=", F1703)</f>
        <v>\x2C\x56=m</v>
      </c>
      <c r="M1703" s="8"/>
    </row>
    <row r="1704" customFormat="false" ht="12.8" hidden="false" customHeight="true" outlineLevel="0" collapsed="false">
      <c r="C1704" s="6" t="n">
        <f aca="false">MOD(ROW()-1, 208)</f>
        <v>39</v>
      </c>
      <c r="D1704" s="6" t="n">
        <f aca="false">INT((ROW()-1)/208)</f>
        <v>8</v>
      </c>
      <c r="F1704" s="6" t="str">
        <f aca="false">MID(VLOOKUP(D1704,$P$1:$Q$13,2,0), 1 + C1704,1)</f>
        <v>n</v>
      </c>
      <c r="G1704" s="6" t="str">
        <f aca="false">DEC2HEX(D1704+36, 2)</f>
        <v>2C</v>
      </c>
      <c r="H1704" s="6" t="str">
        <f aca="false">DEC2HEX(C1704+48,2)</f>
        <v>57</v>
      </c>
      <c r="I1704" s="6" t="str">
        <f aca="false">_xlfn.CONCAT("\x", G1704, "\x", H1704, "=", F1704)</f>
        <v>\x2C\x57=n</v>
      </c>
      <c r="M1704" s="8"/>
    </row>
    <row r="1705" customFormat="false" ht="12.8" hidden="false" customHeight="true" outlineLevel="0" collapsed="false">
      <c r="C1705" s="6" t="n">
        <f aca="false">MOD(ROW()-1, 208)</f>
        <v>40</v>
      </c>
      <c r="D1705" s="6" t="n">
        <f aca="false">INT((ROW()-1)/208)</f>
        <v>8</v>
      </c>
      <c r="F1705" s="6" t="str">
        <f aca="false">MID(VLOOKUP(D1705,$P$1:$Q$13,2,0), 1 + C1705,1)</f>
        <v>o</v>
      </c>
      <c r="G1705" s="6" t="str">
        <f aca="false">DEC2HEX(D1705+36, 2)</f>
        <v>2C</v>
      </c>
      <c r="H1705" s="6" t="str">
        <f aca="false">DEC2HEX(C1705+48,2)</f>
        <v>58</v>
      </c>
      <c r="I1705" s="6" t="str">
        <f aca="false">_xlfn.CONCAT("\x", G1705, "\x", H1705, "=", F1705)</f>
        <v>\x2C\x58=o</v>
      </c>
      <c r="M1705" s="8"/>
    </row>
    <row r="1706" customFormat="false" ht="12.8" hidden="false" customHeight="true" outlineLevel="0" collapsed="false">
      <c r="C1706" s="6" t="n">
        <f aca="false">MOD(ROW()-1, 208)</f>
        <v>41</v>
      </c>
      <c r="D1706" s="6" t="n">
        <f aca="false">INT((ROW()-1)/208)</f>
        <v>8</v>
      </c>
      <c r="F1706" s="6" t="str">
        <f aca="false">MID(VLOOKUP(D1706,$P$1:$Q$13,2,0), 1 + C1706,1)</f>
        <v>p</v>
      </c>
      <c r="G1706" s="6" t="str">
        <f aca="false">DEC2HEX(D1706+36, 2)</f>
        <v>2C</v>
      </c>
      <c r="H1706" s="6" t="str">
        <f aca="false">DEC2HEX(C1706+48,2)</f>
        <v>59</v>
      </c>
      <c r="I1706" s="6" t="str">
        <f aca="false">_xlfn.CONCAT("\x", G1706, "\x", H1706, "=", F1706)</f>
        <v>\x2C\x59=p</v>
      </c>
      <c r="M1706" s="8"/>
    </row>
    <row r="1707" customFormat="false" ht="12.8" hidden="false" customHeight="true" outlineLevel="0" collapsed="false">
      <c r="C1707" s="6" t="n">
        <f aca="false">MOD(ROW()-1, 208)</f>
        <v>42</v>
      </c>
      <c r="D1707" s="6" t="n">
        <f aca="false">INT((ROW()-1)/208)</f>
        <v>8</v>
      </c>
      <c r="F1707" s="6" t="str">
        <f aca="false">MID(VLOOKUP(D1707,$P$1:$Q$13,2,0), 1 + C1707,1)</f>
        <v>q</v>
      </c>
      <c r="G1707" s="6" t="str">
        <f aca="false">DEC2HEX(D1707+36, 2)</f>
        <v>2C</v>
      </c>
      <c r="H1707" s="6" t="str">
        <f aca="false">DEC2HEX(C1707+48,2)</f>
        <v>5A</v>
      </c>
      <c r="I1707" s="6" t="str">
        <f aca="false">_xlfn.CONCAT("\x", G1707, "\x", H1707, "=", F1707)</f>
        <v>\x2C\x5A=q</v>
      </c>
      <c r="M1707" s="8"/>
    </row>
    <row r="1708" customFormat="false" ht="12.8" hidden="false" customHeight="true" outlineLevel="0" collapsed="false">
      <c r="C1708" s="6" t="n">
        <f aca="false">MOD(ROW()-1, 208)</f>
        <v>43</v>
      </c>
      <c r="D1708" s="6" t="n">
        <f aca="false">INT((ROW()-1)/208)</f>
        <v>8</v>
      </c>
      <c r="F1708" s="6" t="str">
        <f aca="false">MID(VLOOKUP(D1708,$P$1:$Q$13,2,0), 1 + C1708,1)</f>
        <v>r</v>
      </c>
      <c r="G1708" s="6" t="str">
        <f aca="false">DEC2HEX(D1708+36, 2)</f>
        <v>2C</v>
      </c>
      <c r="H1708" s="6" t="str">
        <f aca="false">DEC2HEX(C1708+48,2)</f>
        <v>5B</v>
      </c>
      <c r="I1708" s="6" t="str">
        <f aca="false">_xlfn.CONCAT("\x", G1708, "\x", H1708, "=", F1708)</f>
        <v>\x2C\x5B=r</v>
      </c>
      <c r="M1708" s="8"/>
    </row>
    <row r="1709" customFormat="false" ht="12.8" hidden="false" customHeight="true" outlineLevel="0" collapsed="false">
      <c r="C1709" s="6" t="n">
        <f aca="false">MOD(ROW()-1, 208)</f>
        <v>44</v>
      </c>
      <c r="D1709" s="6" t="n">
        <f aca="false">INT((ROW()-1)/208)</f>
        <v>8</v>
      </c>
      <c r="F1709" s="6" t="str">
        <f aca="false">MID(VLOOKUP(D1709,$P$1:$Q$13,2,0), 1 + C1709,1)</f>
        <v>s</v>
      </c>
      <c r="G1709" s="6" t="str">
        <f aca="false">DEC2HEX(D1709+36, 2)</f>
        <v>2C</v>
      </c>
      <c r="H1709" s="6" t="str">
        <f aca="false">DEC2HEX(C1709+48,2)</f>
        <v>5C</v>
      </c>
      <c r="I1709" s="6" t="str">
        <f aca="false">_xlfn.CONCAT("\x", G1709, "\x", H1709, "=", F1709)</f>
        <v>\x2C\x5C=s</v>
      </c>
      <c r="M1709" s="8"/>
    </row>
    <row r="1710" customFormat="false" ht="12.8" hidden="false" customHeight="true" outlineLevel="0" collapsed="false">
      <c r="C1710" s="6" t="n">
        <f aca="false">MOD(ROW()-1, 208)</f>
        <v>45</v>
      </c>
      <c r="D1710" s="6" t="n">
        <f aca="false">INT((ROW()-1)/208)</f>
        <v>8</v>
      </c>
      <c r="F1710" s="6" t="str">
        <f aca="false">MID(VLOOKUP(D1710,$P$1:$Q$13,2,0), 1 + C1710,1)</f>
        <v>t</v>
      </c>
      <c r="G1710" s="6" t="str">
        <f aca="false">DEC2HEX(D1710+36, 2)</f>
        <v>2C</v>
      </c>
      <c r="H1710" s="6" t="str">
        <f aca="false">DEC2HEX(C1710+48,2)</f>
        <v>5D</v>
      </c>
      <c r="I1710" s="6" t="str">
        <f aca="false">_xlfn.CONCAT("\x", G1710, "\x", H1710, "=", F1710)</f>
        <v>\x2C\x5D=t</v>
      </c>
      <c r="M1710" s="8"/>
    </row>
    <row r="1711" customFormat="false" ht="12.8" hidden="false" customHeight="true" outlineLevel="0" collapsed="false">
      <c r="C1711" s="6" t="n">
        <f aca="false">MOD(ROW()-1, 208)</f>
        <v>46</v>
      </c>
      <c r="D1711" s="6" t="n">
        <f aca="false">INT((ROW()-1)/208)</f>
        <v>8</v>
      </c>
      <c r="F1711" s="6" t="str">
        <f aca="false">MID(VLOOKUP(D1711,$P$1:$Q$13,2,0), 1 + C1711,1)</f>
        <v>u</v>
      </c>
      <c r="G1711" s="6" t="str">
        <f aca="false">DEC2HEX(D1711+36, 2)</f>
        <v>2C</v>
      </c>
      <c r="H1711" s="6" t="str">
        <f aca="false">DEC2HEX(C1711+48,2)</f>
        <v>5E</v>
      </c>
      <c r="I1711" s="6" t="str">
        <f aca="false">_xlfn.CONCAT("\x", G1711, "\x", H1711, "=", F1711)</f>
        <v>\x2C\x5E=u</v>
      </c>
      <c r="M1711" s="8"/>
    </row>
    <row r="1712" customFormat="false" ht="12.8" hidden="false" customHeight="true" outlineLevel="0" collapsed="false">
      <c r="C1712" s="6" t="n">
        <f aca="false">MOD(ROW()-1, 208)</f>
        <v>47</v>
      </c>
      <c r="D1712" s="6" t="n">
        <f aca="false">INT((ROW()-1)/208)</f>
        <v>8</v>
      </c>
      <c r="F1712" s="6" t="str">
        <f aca="false">MID(VLOOKUP(D1712,$P$1:$Q$13,2,0), 1 + C1712,1)</f>
        <v>v</v>
      </c>
      <c r="G1712" s="6" t="str">
        <f aca="false">DEC2HEX(D1712+36, 2)</f>
        <v>2C</v>
      </c>
      <c r="H1712" s="6" t="str">
        <f aca="false">DEC2HEX(C1712+48,2)</f>
        <v>5F</v>
      </c>
      <c r="I1712" s="6" t="str">
        <f aca="false">_xlfn.CONCAT("\x", G1712, "\x", H1712, "=", F1712)</f>
        <v>\x2C\x5F=v</v>
      </c>
      <c r="M1712" s="8"/>
    </row>
    <row r="1713" customFormat="false" ht="12.8" hidden="false" customHeight="true" outlineLevel="0" collapsed="false">
      <c r="C1713" s="6" t="n">
        <f aca="false">MOD(ROW()-1, 208)</f>
        <v>48</v>
      </c>
      <c r="D1713" s="6" t="n">
        <f aca="false">INT((ROW()-1)/208)</f>
        <v>8</v>
      </c>
      <c r="F1713" s="6" t="str">
        <f aca="false">MID(VLOOKUP(D1713,$P$1:$Q$13,2,0), 1 + C1713,1)</f>
        <v>w</v>
      </c>
      <c r="G1713" s="6" t="str">
        <f aca="false">DEC2HEX(D1713+36, 2)</f>
        <v>2C</v>
      </c>
      <c r="H1713" s="6" t="str">
        <f aca="false">DEC2HEX(C1713+48,2)</f>
        <v>60</v>
      </c>
      <c r="I1713" s="6" t="str">
        <f aca="false">_xlfn.CONCAT("\x", G1713, "\x", H1713, "=", F1713)</f>
        <v>\x2C\x60=w</v>
      </c>
      <c r="M1713" s="8"/>
    </row>
    <row r="1714" customFormat="false" ht="12.8" hidden="false" customHeight="true" outlineLevel="0" collapsed="false">
      <c r="C1714" s="6" t="n">
        <f aca="false">MOD(ROW()-1, 208)</f>
        <v>49</v>
      </c>
      <c r="D1714" s="6" t="n">
        <f aca="false">INT((ROW()-1)/208)</f>
        <v>8</v>
      </c>
      <c r="F1714" s="6" t="str">
        <f aca="false">MID(VLOOKUP(D1714,$P$1:$Q$13,2,0), 1 + C1714,1)</f>
        <v>x</v>
      </c>
      <c r="G1714" s="6" t="str">
        <f aca="false">DEC2HEX(D1714+36, 2)</f>
        <v>2C</v>
      </c>
      <c r="H1714" s="6" t="str">
        <f aca="false">DEC2HEX(C1714+48,2)</f>
        <v>61</v>
      </c>
      <c r="I1714" s="6" t="str">
        <f aca="false">_xlfn.CONCAT("\x", G1714, "\x", H1714, "=", F1714)</f>
        <v>\x2C\x61=x</v>
      </c>
      <c r="M1714" s="8"/>
    </row>
    <row r="1715" customFormat="false" ht="12.8" hidden="false" customHeight="true" outlineLevel="0" collapsed="false">
      <c r="C1715" s="6" t="n">
        <f aca="false">MOD(ROW()-1, 208)</f>
        <v>50</v>
      </c>
      <c r="D1715" s="6" t="n">
        <f aca="false">INT((ROW()-1)/208)</f>
        <v>8</v>
      </c>
      <c r="F1715" s="6" t="str">
        <f aca="false">MID(VLOOKUP(D1715,$P$1:$Q$13,2,0), 1 + C1715,1)</f>
        <v>y</v>
      </c>
      <c r="G1715" s="6" t="str">
        <f aca="false">DEC2HEX(D1715+36, 2)</f>
        <v>2C</v>
      </c>
      <c r="H1715" s="6" t="str">
        <f aca="false">DEC2HEX(C1715+48,2)</f>
        <v>62</v>
      </c>
      <c r="I1715" s="6" t="str">
        <f aca="false">_xlfn.CONCAT("\x", G1715, "\x", H1715, "=", F1715)</f>
        <v>\x2C\x62=y</v>
      </c>
      <c r="M1715" s="8"/>
    </row>
    <row r="1716" customFormat="false" ht="12.8" hidden="false" customHeight="true" outlineLevel="0" collapsed="false">
      <c r="C1716" s="6" t="n">
        <f aca="false">MOD(ROW()-1, 208)</f>
        <v>51</v>
      </c>
      <c r="D1716" s="6" t="n">
        <f aca="false">INT((ROW()-1)/208)</f>
        <v>8</v>
      </c>
      <c r="F1716" s="6" t="str">
        <f aca="false">MID(VLOOKUP(D1716,$P$1:$Q$13,2,0), 1 + C1716,1)</f>
        <v>z</v>
      </c>
      <c r="G1716" s="6" t="str">
        <f aca="false">DEC2HEX(D1716+36, 2)</f>
        <v>2C</v>
      </c>
      <c r="H1716" s="6" t="str">
        <f aca="false">DEC2HEX(C1716+48,2)</f>
        <v>63</v>
      </c>
      <c r="I1716" s="6" t="str">
        <f aca="false">_xlfn.CONCAT("\x", G1716, "\x", H1716, "=", F1716)</f>
        <v>\x2C\x63=z</v>
      </c>
      <c r="M1716" s="8"/>
    </row>
    <row r="1717" customFormat="false" ht="12.8" hidden="false" customHeight="true" outlineLevel="0" collapsed="false">
      <c r="C1717" s="6" t="n">
        <f aca="false">MOD(ROW()-1, 208)</f>
        <v>52</v>
      </c>
      <c r="D1717" s="6" t="n">
        <f aca="false">INT((ROW()-1)/208)</f>
        <v>8</v>
      </c>
      <c r="F1717" s="6" t="str">
        <f aca="false">MID(VLOOKUP(D1717,$P$1:$Q$13,2,0), 1 + C1717,1)</f>
        <v>쥐</v>
      </c>
      <c r="G1717" s="6" t="str">
        <f aca="false">DEC2HEX(D1717+36, 2)</f>
        <v>2C</v>
      </c>
      <c r="H1717" s="6" t="str">
        <f aca="false">DEC2HEX(C1717+48,2)</f>
        <v>64</v>
      </c>
      <c r="I1717" s="6" t="str">
        <f aca="false">_xlfn.CONCAT("\x", G1717, "\x", H1717, "=", F1717)</f>
        <v>\x2C\x64=쥐</v>
      </c>
      <c r="M1717" s="8"/>
    </row>
    <row r="1718" customFormat="false" ht="12.8" hidden="false" customHeight="true" outlineLevel="0" collapsed="false">
      <c r="C1718" s="6" t="n">
        <f aca="false">MOD(ROW()-1, 208)</f>
        <v>53</v>
      </c>
      <c r="D1718" s="6" t="n">
        <f aca="false">INT((ROW()-1)/208)</f>
        <v>8</v>
      </c>
      <c r="F1718" s="6" t="str">
        <f aca="false">MID(VLOOKUP(D1718,$P$1:$Q$13,2,0), 1 + C1718,1)</f>
        <v>쥑</v>
      </c>
      <c r="G1718" s="6" t="str">
        <f aca="false">DEC2HEX(D1718+36, 2)</f>
        <v>2C</v>
      </c>
      <c r="H1718" s="6" t="str">
        <f aca="false">DEC2HEX(C1718+48,2)</f>
        <v>65</v>
      </c>
      <c r="I1718" s="6" t="str">
        <f aca="false">_xlfn.CONCAT("\x", G1718, "\x", H1718, "=", F1718)</f>
        <v>\x2C\x65=쥑</v>
      </c>
      <c r="M1718" s="8"/>
    </row>
    <row r="1719" customFormat="false" ht="12.8" hidden="false" customHeight="true" outlineLevel="0" collapsed="false">
      <c r="C1719" s="6" t="n">
        <f aca="false">MOD(ROW()-1, 208)</f>
        <v>54</v>
      </c>
      <c r="D1719" s="6" t="n">
        <f aca="false">INT((ROW()-1)/208)</f>
        <v>8</v>
      </c>
      <c r="F1719" s="6" t="str">
        <f aca="false">MID(VLOOKUP(D1719,$P$1:$Q$13,2,0), 1 + C1719,1)</f>
        <v>쥔</v>
      </c>
      <c r="G1719" s="6" t="str">
        <f aca="false">DEC2HEX(D1719+36, 2)</f>
        <v>2C</v>
      </c>
      <c r="H1719" s="6" t="str">
        <f aca="false">DEC2HEX(C1719+48,2)</f>
        <v>66</v>
      </c>
      <c r="I1719" s="6" t="str">
        <f aca="false">_xlfn.CONCAT("\x", G1719, "\x", H1719, "=", F1719)</f>
        <v>\x2C\x66=쥔</v>
      </c>
      <c r="M1719" s="8"/>
    </row>
    <row r="1720" customFormat="false" ht="12.8" hidden="false" customHeight="true" outlineLevel="0" collapsed="false">
      <c r="C1720" s="6" t="n">
        <f aca="false">MOD(ROW()-1, 208)</f>
        <v>55</v>
      </c>
      <c r="D1720" s="6" t="n">
        <f aca="false">INT((ROW()-1)/208)</f>
        <v>8</v>
      </c>
      <c r="F1720" s="6" t="str">
        <f aca="false">MID(VLOOKUP(D1720,$P$1:$Q$13,2,0), 1 + C1720,1)</f>
        <v>쥘</v>
      </c>
      <c r="G1720" s="6" t="str">
        <f aca="false">DEC2HEX(D1720+36, 2)</f>
        <v>2C</v>
      </c>
      <c r="H1720" s="6" t="str">
        <f aca="false">DEC2HEX(C1720+48,2)</f>
        <v>67</v>
      </c>
      <c r="I1720" s="6" t="str">
        <f aca="false">_xlfn.CONCAT("\x", G1720, "\x", H1720, "=", F1720)</f>
        <v>\x2C\x67=쥘</v>
      </c>
      <c r="M1720" s="8"/>
    </row>
    <row r="1721" customFormat="false" ht="12.8" hidden="false" customHeight="true" outlineLevel="0" collapsed="false">
      <c r="C1721" s="6" t="n">
        <f aca="false">MOD(ROW()-1, 208)</f>
        <v>56</v>
      </c>
      <c r="D1721" s="6" t="n">
        <f aca="false">INT((ROW()-1)/208)</f>
        <v>8</v>
      </c>
      <c r="F1721" s="6" t="str">
        <f aca="false">MID(VLOOKUP(D1721,$P$1:$Q$13,2,0), 1 + C1721,1)</f>
        <v>쥠</v>
      </c>
      <c r="G1721" s="6" t="str">
        <f aca="false">DEC2HEX(D1721+36, 2)</f>
        <v>2C</v>
      </c>
      <c r="H1721" s="6" t="str">
        <f aca="false">DEC2HEX(C1721+48,2)</f>
        <v>68</v>
      </c>
      <c r="I1721" s="6" t="str">
        <f aca="false">_xlfn.CONCAT("\x", G1721, "\x", H1721, "=", F1721)</f>
        <v>\x2C\x68=쥠</v>
      </c>
      <c r="M1721" s="8"/>
    </row>
    <row r="1722" customFormat="false" ht="12.8" hidden="false" customHeight="true" outlineLevel="0" collapsed="false">
      <c r="C1722" s="6" t="n">
        <f aca="false">MOD(ROW()-1, 208)</f>
        <v>57</v>
      </c>
      <c r="D1722" s="6" t="n">
        <f aca="false">INT((ROW()-1)/208)</f>
        <v>8</v>
      </c>
      <c r="F1722" s="6" t="str">
        <f aca="false">MID(VLOOKUP(D1722,$P$1:$Q$13,2,0), 1 + C1722,1)</f>
        <v>쥡</v>
      </c>
      <c r="G1722" s="6" t="str">
        <f aca="false">DEC2HEX(D1722+36, 2)</f>
        <v>2C</v>
      </c>
      <c r="H1722" s="6" t="str">
        <f aca="false">DEC2HEX(C1722+48,2)</f>
        <v>69</v>
      </c>
      <c r="I1722" s="6" t="str">
        <f aca="false">_xlfn.CONCAT("\x", G1722, "\x", H1722, "=", F1722)</f>
        <v>\x2C\x69=쥡</v>
      </c>
      <c r="M1722" s="8"/>
    </row>
    <row r="1723" customFormat="false" ht="12.8" hidden="false" customHeight="true" outlineLevel="0" collapsed="false">
      <c r="C1723" s="6" t="n">
        <f aca="false">MOD(ROW()-1, 208)</f>
        <v>58</v>
      </c>
      <c r="D1723" s="6" t="n">
        <f aca="false">INT((ROW()-1)/208)</f>
        <v>8</v>
      </c>
      <c r="F1723" s="6" t="str">
        <f aca="false">MID(VLOOKUP(D1723,$P$1:$Q$13,2,0), 1 + C1723,1)</f>
        <v>쥣</v>
      </c>
      <c r="G1723" s="6" t="str">
        <f aca="false">DEC2HEX(D1723+36, 2)</f>
        <v>2C</v>
      </c>
      <c r="H1723" s="6" t="str">
        <f aca="false">DEC2HEX(C1723+48,2)</f>
        <v>6A</v>
      </c>
      <c r="I1723" s="6" t="str">
        <f aca="false">_xlfn.CONCAT("\x", G1723, "\x", H1723, "=", F1723)</f>
        <v>\x2C\x6A=쥣</v>
      </c>
      <c r="M1723" s="8"/>
    </row>
    <row r="1724" customFormat="false" ht="12.8" hidden="false" customHeight="true" outlineLevel="0" collapsed="false">
      <c r="C1724" s="6" t="n">
        <f aca="false">MOD(ROW()-1, 208)</f>
        <v>59</v>
      </c>
      <c r="D1724" s="6" t="n">
        <f aca="false">INT((ROW()-1)/208)</f>
        <v>8</v>
      </c>
      <c r="F1724" s="6" t="str">
        <f aca="false">MID(VLOOKUP(D1724,$P$1:$Q$13,2,0), 1 + C1724,1)</f>
        <v>쥬</v>
      </c>
      <c r="G1724" s="6" t="str">
        <f aca="false">DEC2HEX(D1724+36, 2)</f>
        <v>2C</v>
      </c>
      <c r="H1724" s="6" t="str">
        <f aca="false">DEC2HEX(C1724+48,2)</f>
        <v>6B</v>
      </c>
      <c r="I1724" s="6" t="str">
        <f aca="false">_xlfn.CONCAT("\x", G1724, "\x", H1724, "=", F1724)</f>
        <v>\x2C\x6B=쥬</v>
      </c>
      <c r="M1724" s="8"/>
    </row>
    <row r="1725" customFormat="false" ht="12.8" hidden="false" customHeight="true" outlineLevel="0" collapsed="false">
      <c r="C1725" s="6" t="n">
        <f aca="false">MOD(ROW()-1, 208)</f>
        <v>60</v>
      </c>
      <c r="D1725" s="6" t="n">
        <f aca="false">INT((ROW()-1)/208)</f>
        <v>8</v>
      </c>
      <c r="F1725" s="6" t="str">
        <f aca="false">MID(VLOOKUP(D1725,$P$1:$Q$13,2,0), 1 + C1725,1)</f>
        <v>쥰</v>
      </c>
      <c r="G1725" s="6" t="str">
        <f aca="false">DEC2HEX(D1725+36, 2)</f>
        <v>2C</v>
      </c>
      <c r="H1725" s="6" t="str">
        <f aca="false">DEC2HEX(C1725+48,2)</f>
        <v>6C</v>
      </c>
      <c r="I1725" s="6" t="str">
        <f aca="false">_xlfn.CONCAT("\x", G1725, "\x", H1725, "=", F1725)</f>
        <v>\x2C\x6C=쥰</v>
      </c>
      <c r="M1725" s="8"/>
    </row>
    <row r="1726" customFormat="false" ht="12.8" hidden="false" customHeight="true" outlineLevel="0" collapsed="false">
      <c r="C1726" s="6" t="n">
        <f aca="false">MOD(ROW()-1, 208)</f>
        <v>61</v>
      </c>
      <c r="D1726" s="6" t="n">
        <f aca="false">INT((ROW()-1)/208)</f>
        <v>8</v>
      </c>
      <c r="F1726" s="6" t="str">
        <f aca="false">MID(VLOOKUP(D1726,$P$1:$Q$13,2,0), 1 + C1726,1)</f>
        <v>쥴</v>
      </c>
      <c r="G1726" s="6" t="str">
        <f aca="false">DEC2HEX(D1726+36, 2)</f>
        <v>2C</v>
      </c>
      <c r="H1726" s="6" t="str">
        <f aca="false">DEC2HEX(C1726+48,2)</f>
        <v>6D</v>
      </c>
      <c r="I1726" s="6" t="str">
        <f aca="false">_xlfn.CONCAT("\x", G1726, "\x", H1726, "=", F1726)</f>
        <v>\x2C\x6D=쥴</v>
      </c>
      <c r="M1726" s="8"/>
    </row>
    <row r="1727" customFormat="false" ht="12.8" hidden="false" customHeight="true" outlineLevel="0" collapsed="false">
      <c r="C1727" s="6" t="n">
        <f aca="false">MOD(ROW()-1, 208)</f>
        <v>62</v>
      </c>
      <c r="D1727" s="6" t="n">
        <f aca="false">INT((ROW()-1)/208)</f>
        <v>8</v>
      </c>
      <c r="F1727" s="6" t="str">
        <f aca="false">MID(VLOOKUP(D1727,$P$1:$Q$13,2,0), 1 + C1727,1)</f>
        <v>쥼</v>
      </c>
      <c r="G1727" s="6" t="str">
        <f aca="false">DEC2HEX(D1727+36, 2)</f>
        <v>2C</v>
      </c>
      <c r="H1727" s="6" t="str">
        <f aca="false">DEC2HEX(C1727+48,2)</f>
        <v>6E</v>
      </c>
      <c r="I1727" s="6" t="str">
        <f aca="false">_xlfn.CONCAT("\x", G1727, "\x", H1727, "=", F1727)</f>
        <v>\x2C\x6E=쥼</v>
      </c>
      <c r="M1727" s="8"/>
    </row>
    <row r="1728" customFormat="false" ht="12.8" hidden="false" customHeight="true" outlineLevel="0" collapsed="false">
      <c r="C1728" s="6" t="n">
        <f aca="false">MOD(ROW()-1, 208)</f>
        <v>63</v>
      </c>
      <c r="D1728" s="6" t="n">
        <f aca="false">INT((ROW()-1)/208)</f>
        <v>8</v>
      </c>
      <c r="F1728" s="6" t="str">
        <f aca="false">MID(VLOOKUP(D1728,$P$1:$Q$13,2,0), 1 + C1728,1)</f>
        <v>즈</v>
      </c>
      <c r="G1728" s="6" t="str">
        <f aca="false">DEC2HEX(D1728+36, 2)</f>
        <v>2C</v>
      </c>
      <c r="H1728" s="6" t="str">
        <f aca="false">DEC2HEX(C1728+48,2)</f>
        <v>6F</v>
      </c>
      <c r="I1728" s="6" t="str">
        <f aca="false">_xlfn.CONCAT("\x", G1728, "\x", H1728, "=", F1728)</f>
        <v>\x2C\x6F=즈</v>
      </c>
      <c r="M1728" s="8"/>
    </row>
    <row r="1729" customFormat="false" ht="12.8" hidden="false" customHeight="true" outlineLevel="0" collapsed="false">
      <c r="C1729" s="6" t="n">
        <f aca="false">MOD(ROW()-1, 208)</f>
        <v>64</v>
      </c>
      <c r="D1729" s="6" t="n">
        <f aca="false">INT((ROW()-1)/208)</f>
        <v>8</v>
      </c>
      <c r="F1729" s="6" t="str">
        <f aca="false">MID(VLOOKUP(D1729,$P$1:$Q$13,2,0), 1 + C1729,1)</f>
        <v>즉</v>
      </c>
      <c r="G1729" s="6" t="str">
        <f aca="false">DEC2HEX(D1729+36, 2)</f>
        <v>2C</v>
      </c>
      <c r="H1729" s="6" t="str">
        <f aca="false">DEC2HEX(C1729+48,2)</f>
        <v>70</v>
      </c>
      <c r="I1729" s="6" t="str">
        <f aca="false">_xlfn.CONCAT("\x", G1729, "\x", H1729, "=", F1729)</f>
        <v>\x2C\x70=즉</v>
      </c>
      <c r="M1729" s="8"/>
    </row>
    <row r="1730" customFormat="false" ht="12.8" hidden="false" customHeight="true" outlineLevel="0" collapsed="false">
      <c r="C1730" s="6" t="n">
        <f aca="false">MOD(ROW()-1, 208)</f>
        <v>65</v>
      </c>
      <c r="D1730" s="6" t="n">
        <f aca="false">INT((ROW()-1)/208)</f>
        <v>8</v>
      </c>
      <c r="F1730" s="6" t="str">
        <f aca="false">MID(VLOOKUP(D1730,$P$1:$Q$13,2,0), 1 + C1730,1)</f>
        <v>즌</v>
      </c>
      <c r="G1730" s="6" t="str">
        <f aca="false">DEC2HEX(D1730+36, 2)</f>
        <v>2C</v>
      </c>
      <c r="H1730" s="6" t="str">
        <f aca="false">DEC2HEX(C1730+48,2)</f>
        <v>71</v>
      </c>
      <c r="I1730" s="6" t="str">
        <f aca="false">_xlfn.CONCAT("\x", G1730, "\x", H1730, "=", F1730)</f>
        <v>\x2C\x71=즌</v>
      </c>
      <c r="M1730" s="8"/>
    </row>
    <row r="1731" customFormat="false" ht="12.8" hidden="false" customHeight="true" outlineLevel="0" collapsed="false">
      <c r="C1731" s="6" t="n">
        <f aca="false">MOD(ROW()-1, 208)</f>
        <v>66</v>
      </c>
      <c r="D1731" s="6" t="n">
        <f aca="false">INT((ROW()-1)/208)</f>
        <v>8</v>
      </c>
      <c r="F1731" s="6" t="str">
        <f aca="false">MID(VLOOKUP(D1731,$P$1:$Q$13,2,0), 1 + C1731,1)</f>
        <v>즐</v>
      </c>
      <c r="G1731" s="6" t="str">
        <f aca="false">DEC2HEX(D1731+36, 2)</f>
        <v>2C</v>
      </c>
      <c r="H1731" s="6" t="str">
        <f aca="false">DEC2HEX(C1731+48,2)</f>
        <v>72</v>
      </c>
      <c r="I1731" s="6" t="str">
        <f aca="false">_xlfn.CONCAT("\x", G1731, "\x", H1731, "=", F1731)</f>
        <v>\x2C\x72=즐</v>
      </c>
      <c r="M1731" s="8"/>
    </row>
    <row r="1732" customFormat="false" ht="12.8" hidden="false" customHeight="true" outlineLevel="0" collapsed="false">
      <c r="C1732" s="6" t="n">
        <f aca="false">MOD(ROW()-1, 208)</f>
        <v>67</v>
      </c>
      <c r="D1732" s="6" t="n">
        <f aca="false">INT((ROW()-1)/208)</f>
        <v>8</v>
      </c>
      <c r="F1732" s="6" t="str">
        <f aca="false">MID(VLOOKUP(D1732,$P$1:$Q$13,2,0), 1 + C1732,1)</f>
        <v>즘</v>
      </c>
      <c r="G1732" s="6" t="str">
        <f aca="false">DEC2HEX(D1732+36, 2)</f>
        <v>2C</v>
      </c>
      <c r="H1732" s="6" t="str">
        <f aca="false">DEC2HEX(C1732+48,2)</f>
        <v>73</v>
      </c>
      <c r="I1732" s="6" t="str">
        <f aca="false">_xlfn.CONCAT("\x", G1732, "\x", H1732, "=", F1732)</f>
        <v>\x2C\x73=즘</v>
      </c>
      <c r="M1732" s="8"/>
    </row>
    <row r="1733" customFormat="false" ht="12.8" hidden="false" customHeight="true" outlineLevel="0" collapsed="false">
      <c r="C1733" s="6" t="n">
        <f aca="false">MOD(ROW()-1, 208)</f>
        <v>68</v>
      </c>
      <c r="D1733" s="6" t="n">
        <f aca="false">INT((ROW()-1)/208)</f>
        <v>8</v>
      </c>
      <c r="F1733" s="6" t="str">
        <f aca="false">MID(VLOOKUP(D1733,$P$1:$Q$13,2,0), 1 + C1733,1)</f>
        <v>즙</v>
      </c>
      <c r="G1733" s="6" t="str">
        <f aca="false">DEC2HEX(D1733+36, 2)</f>
        <v>2C</v>
      </c>
      <c r="H1733" s="6" t="str">
        <f aca="false">DEC2HEX(C1733+48,2)</f>
        <v>74</v>
      </c>
      <c r="I1733" s="6" t="str">
        <f aca="false">_xlfn.CONCAT("\x", G1733, "\x", H1733, "=", F1733)</f>
        <v>\x2C\x74=즙</v>
      </c>
      <c r="M1733" s="8"/>
    </row>
    <row r="1734" customFormat="false" ht="12.8" hidden="false" customHeight="true" outlineLevel="0" collapsed="false">
      <c r="C1734" s="6" t="n">
        <f aca="false">MOD(ROW()-1, 208)</f>
        <v>69</v>
      </c>
      <c r="D1734" s="6" t="n">
        <f aca="false">INT((ROW()-1)/208)</f>
        <v>8</v>
      </c>
      <c r="F1734" s="6" t="str">
        <f aca="false">MID(VLOOKUP(D1734,$P$1:$Q$13,2,0), 1 + C1734,1)</f>
        <v>즛</v>
      </c>
      <c r="G1734" s="6" t="str">
        <f aca="false">DEC2HEX(D1734+36, 2)</f>
        <v>2C</v>
      </c>
      <c r="H1734" s="6" t="str">
        <f aca="false">DEC2HEX(C1734+48,2)</f>
        <v>75</v>
      </c>
      <c r="I1734" s="6" t="str">
        <f aca="false">_xlfn.CONCAT("\x", G1734, "\x", H1734, "=", F1734)</f>
        <v>\x2C\x75=즛</v>
      </c>
      <c r="M1734" s="8"/>
    </row>
    <row r="1735" customFormat="false" ht="12.8" hidden="false" customHeight="true" outlineLevel="0" collapsed="false">
      <c r="C1735" s="6" t="n">
        <f aca="false">MOD(ROW()-1, 208)</f>
        <v>70</v>
      </c>
      <c r="D1735" s="6" t="n">
        <f aca="false">INT((ROW()-1)/208)</f>
        <v>8</v>
      </c>
      <c r="F1735" s="6" t="str">
        <f aca="false">MID(VLOOKUP(D1735,$P$1:$Q$13,2,0), 1 + C1735,1)</f>
        <v>증</v>
      </c>
      <c r="G1735" s="6" t="str">
        <f aca="false">DEC2HEX(D1735+36, 2)</f>
        <v>2C</v>
      </c>
      <c r="H1735" s="6" t="str">
        <f aca="false">DEC2HEX(C1735+48,2)</f>
        <v>76</v>
      </c>
      <c r="I1735" s="6" t="str">
        <f aca="false">_xlfn.CONCAT("\x", G1735, "\x", H1735, "=", F1735)</f>
        <v>\x2C\x76=증</v>
      </c>
      <c r="M1735" s="8"/>
    </row>
    <row r="1736" customFormat="false" ht="12.8" hidden="false" customHeight="true" outlineLevel="0" collapsed="false">
      <c r="C1736" s="6" t="n">
        <f aca="false">MOD(ROW()-1, 208)</f>
        <v>71</v>
      </c>
      <c r="D1736" s="6" t="n">
        <f aca="false">INT((ROW()-1)/208)</f>
        <v>8</v>
      </c>
      <c r="F1736" s="6" t="str">
        <f aca="false">MID(VLOOKUP(D1736,$P$1:$Q$13,2,0), 1 + C1736,1)</f>
        <v>지</v>
      </c>
      <c r="G1736" s="6" t="str">
        <f aca="false">DEC2HEX(D1736+36, 2)</f>
        <v>2C</v>
      </c>
      <c r="H1736" s="6" t="str">
        <f aca="false">DEC2HEX(C1736+48,2)</f>
        <v>77</v>
      </c>
      <c r="I1736" s="6" t="str">
        <f aca="false">_xlfn.CONCAT("\x", G1736, "\x", H1736, "=", F1736)</f>
        <v>\x2C\x77=지</v>
      </c>
      <c r="M1736" s="8"/>
    </row>
    <row r="1737" customFormat="false" ht="12.8" hidden="false" customHeight="true" outlineLevel="0" collapsed="false">
      <c r="C1737" s="6" t="n">
        <f aca="false">MOD(ROW()-1, 208)</f>
        <v>72</v>
      </c>
      <c r="D1737" s="6" t="n">
        <f aca="false">INT((ROW()-1)/208)</f>
        <v>8</v>
      </c>
      <c r="F1737" s="6" t="str">
        <f aca="false">MID(VLOOKUP(D1737,$P$1:$Q$13,2,0), 1 + C1737,1)</f>
        <v>직</v>
      </c>
      <c r="G1737" s="6" t="str">
        <f aca="false">DEC2HEX(D1737+36, 2)</f>
        <v>2C</v>
      </c>
      <c r="H1737" s="6" t="str">
        <f aca="false">DEC2HEX(C1737+48,2)</f>
        <v>78</v>
      </c>
      <c r="I1737" s="6" t="str">
        <f aca="false">_xlfn.CONCAT("\x", G1737, "\x", H1737, "=", F1737)</f>
        <v>\x2C\x78=직</v>
      </c>
      <c r="M1737" s="8"/>
    </row>
    <row r="1738" customFormat="false" ht="12.8" hidden="false" customHeight="true" outlineLevel="0" collapsed="false">
      <c r="C1738" s="6" t="n">
        <f aca="false">MOD(ROW()-1, 208)</f>
        <v>73</v>
      </c>
      <c r="D1738" s="6" t="n">
        <f aca="false">INT((ROW()-1)/208)</f>
        <v>8</v>
      </c>
      <c r="F1738" s="6" t="str">
        <f aca="false">MID(VLOOKUP(D1738,$P$1:$Q$13,2,0), 1 + C1738,1)</f>
        <v>진</v>
      </c>
      <c r="G1738" s="6" t="str">
        <f aca="false">DEC2HEX(D1738+36, 2)</f>
        <v>2C</v>
      </c>
      <c r="H1738" s="6" t="str">
        <f aca="false">DEC2HEX(C1738+48,2)</f>
        <v>79</v>
      </c>
      <c r="I1738" s="6" t="str">
        <f aca="false">_xlfn.CONCAT("\x", G1738, "\x", H1738, "=", F1738)</f>
        <v>\x2C\x79=진</v>
      </c>
      <c r="M1738" s="8"/>
    </row>
    <row r="1739" customFormat="false" ht="12.8" hidden="false" customHeight="true" outlineLevel="0" collapsed="false">
      <c r="C1739" s="6" t="n">
        <f aca="false">MOD(ROW()-1, 208)</f>
        <v>74</v>
      </c>
      <c r="D1739" s="6" t="n">
        <f aca="false">INT((ROW()-1)/208)</f>
        <v>8</v>
      </c>
      <c r="F1739" s="6" t="str">
        <f aca="false">MID(VLOOKUP(D1739,$P$1:$Q$13,2,0), 1 + C1739,1)</f>
        <v>짇</v>
      </c>
      <c r="G1739" s="6" t="str">
        <f aca="false">DEC2HEX(D1739+36, 2)</f>
        <v>2C</v>
      </c>
      <c r="H1739" s="6" t="str">
        <f aca="false">DEC2HEX(C1739+48,2)</f>
        <v>7A</v>
      </c>
      <c r="I1739" s="6" t="str">
        <f aca="false">_xlfn.CONCAT("\x", G1739, "\x", H1739, "=", F1739)</f>
        <v>\x2C\x7A=짇</v>
      </c>
      <c r="M1739" s="8"/>
    </row>
    <row r="1740" customFormat="false" ht="12.8" hidden="false" customHeight="true" outlineLevel="0" collapsed="false">
      <c r="C1740" s="6" t="n">
        <f aca="false">MOD(ROW()-1, 208)</f>
        <v>75</v>
      </c>
      <c r="D1740" s="6" t="n">
        <f aca="false">INT((ROW()-1)/208)</f>
        <v>8</v>
      </c>
      <c r="F1740" s="6" t="str">
        <f aca="false">MID(VLOOKUP(D1740,$P$1:$Q$13,2,0), 1 + C1740,1)</f>
        <v>질</v>
      </c>
      <c r="G1740" s="6" t="str">
        <f aca="false">DEC2HEX(D1740+36, 2)</f>
        <v>2C</v>
      </c>
      <c r="H1740" s="6" t="str">
        <f aca="false">DEC2HEX(C1740+48,2)</f>
        <v>7B</v>
      </c>
      <c r="I1740" s="6" t="str">
        <f aca="false">_xlfn.CONCAT("\x", G1740, "\x", H1740, "=", F1740)</f>
        <v>\x2C\x7B=질</v>
      </c>
      <c r="M1740" s="8"/>
    </row>
    <row r="1741" customFormat="false" ht="12.8" hidden="false" customHeight="true" outlineLevel="0" collapsed="false">
      <c r="C1741" s="6" t="n">
        <f aca="false">MOD(ROW()-1, 208)</f>
        <v>76</v>
      </c>
      <c r="D1741" s="6" t="n">
        <f aca="false">INT((ROW()-1)/208)</f>
        <v>8</v>
      </c>
      <c r="F1741" s="6" t="str">
        <f aca="false">MID(VLOOKUP(D1741,$P$1:$Q$13,2,0), 1 + C1741,1)</f>
        <v>짊</v>
      </c>
      <c r="G1741" s="6" t="str">
        <f aca="false">DEC2HEX(D1741+36, 2)</f>
        <v>2C</v>
      </c>
      <c r="H1741" s="6" t="str">
        <f aca="false">DEC2HEX(C1741+48,2)</f>
        <v>7C</v>
      </c>
      <c r="I1741" s="6" t="str">
        <f aca="false">_xlfn.CONCAT("\x", G1741, "\x", H1741, "=", F1741)</f>
        <v>\x2C\x7C=짊</v>
      </c>
      <c r="M1741" s="8"/>
    </row>
    <row r="1742" customFormat="false" ht="12.8" hidden="false" customHeight="true" outlineLevel="0" collapsed="false">
      <c r="C1742" s="6" t="n">
        <f aca="false">MOD(ROW()-1, 208)</f>
        <v>77</v>
      </c>
      <c r="D1742" s="6" t="n">
        <f aca="false">INT((ROW()-1)/208)</f>
        <v>8</v>
      </c>
      <c r="F1742" s="6" t="str">
        <f aca="false">MID(VLOOKUP(D1742,$P$1:$Q$13,2,0), 1 + C1742,1)</f>
        <v>짐</v>
      </c>
      <c r="G1742" s="6" t="str">
        <f aca="false">DEC2HEX(D1742+36, 2)</f>
        <v>2C</v>
      </c>
      <c r="H1742" s="6" t="str">
        <f aca="false">DEC2HEX(C1742+48,2)</f>
        <v>7D</v>
      </c>
      <c r="I1742" s="6" t="str">
        <f aca="false">_xlfn.CONCAT("\x", G1742, "\x", H1742, "=", F1742)</f>
        <v>\x2C\x7D=짐</v>
      </c>
      <c r="M1742" s="8"/>
    </row>
    <row r="1743" customFormat="false" ht="12.8" hidden="false" customHeight="true" outlineLevel="0" collapsed="false">
      <c r="C1743" s="6" t="n">
        <f aca="false">MOD(ROW()-1, 208)</f>
        <v>78</v>
      </c>
      <c r="D1743" s="6" t="n">
        <f aca="false">INT((ROW()-1)/208)</f>
        <v>8</v>
      </c>
      <c r="F1743" s="6" t="str">
        <f aca="false">MID(VLOOKUP(D1743,$P$1:$Q$13,2,0), 1 + C1743,1)</f>
        <v>집</v>
      </c>
      <c r="G1743" s="6" t="str">
        <f aca="false">DEC2HEX(D1743+36, 2)</f>
        <v>2C</v>
      </c>
      <c r="H1743" s="6" t="str">
        <f aca="false">DEC2HEX(C1743+48,2)</f>
        <v>7E</v>
      </c>
      <c r="I1743" s="6" t="str">
        <f aca="false">_xlfn.CONCAT("\x", G1743, "\x", H1743, "=", F1743)</f>
        <v>\x2C\x7E=집</v>
      </c>
      <c r="M1743" s="8"/>
    </row>
    <row r="1744" customFormat="false" ht="12.8" hidden="false" customHeight="true" outlineLevel="0" collapsed="false">
      <c r="C1744" s="6" t="n">
        <f aca="false">MOD(ROW()-1, 208)</f>
        <v>79</v>
      </c>
      <c r="D1744" s="6" t="n">
        <f aca="false">INT((ROW()-1)/208)</f>
        <v>8</v>
      </c>
      <c r="F1744" s="6" t="str">
        <f aca="false">MID(VLOOKUP(D1744,$P$1:$Q$13,2,0), 1 + C1744,1)</f>
        <v>짓</v>
      </c>
      <c r="G1744" s="6" t="str">
        <f aca="false">DEC2HEX(D1744+36, 2)</f>
        <v>2C</v>
      </c>
      <c r="H1744" s="6" t="str">
        <f aca="false">DEC2HEX(C1744+48,2)</f>
        <v>7F</v>
      </c>
      <c r="I1744" s="6" t="str">
        <f aca="false">_xlfn.CONCAT("\x", G1744, "\x", H1744, "=", F1744)</f>
        <v>\x2C\x7F=짓</v>
      </c>
      <c r="M1744" s="8"/>
    </row>
    <row r="1745" customFormat="false" ht="12.8" hidden="false" customHeight="true" outlineLevel="0" collapsed="false">
      <c r="C1745" s="6" t="n">
        <f aca="false">MOD(ROW()-1, 208)</f>
        <v>80</v>
      </c>
      <c r="D1745" s="6" t="n">
        <f aca="false">INT((ROW()-1)/208)</f>
        <v>8</v>
      </c>
      <c r="F1745" s="6" t="str">
        <f aca="false">MID(VLOOKUP(D1745,$P$1:$Q$13,2,0), 1 + C1745,1)</f>
        <v>징</v>
      </c>
      <c r="G1745" s="6" t="str">
        <f aca="false">DEC2HEX(D1745+36, 2)</f>
        <v>2C</v>
      </c>
      <c r="H1745" s="6" t="str">
        <f aca="false">DEC2HEX(C1745+48,2)</f>
        <v>80</v>
      </c>
      <c r="I1745" s="6" t="str">
        <f aca="false">_xlfn.CONCAT("\x", G1745, "\x", H1745, "=", F1745)</f>
        <v>\x2C\x80=징</v>
      </c>
      <c r="M1745" s="8"/>
    </row>
    <row r="1746" customFormat="false" ht="12.8" hidden="false" customHeight="true" outlineLevel="0" collapsed="false">
      <c r="C1746" s="6" t="n">
        <f aca="false">MOD(ROW()-1, 208)</f>
        <v>81</v>
      </c>
      <c r="D1746" s="6" t="n">
        <f aca="false">INT((ROW()-1)/208)</f>
        <v>8</v>
      </c>
      <c r="F1746" s="6" t="str">
        <f aca="false">MID(VLOOKUP(D1746,$P$1:$Q$13,2,0), 1 + C1746,1)</f>
        <v>짖</v>
      </c>
      <c r="G1746" s="6" t="str">
        <f aca="false">DEC2HEX(D1746+36, 2)</f>
        <v>2C</v>
      </c>
      <c r="H1746" s="6" t="str">
        <f aca="false">DEC2HEX(C1746+48,2)</f>
        <v>81</v>
      </c>
      <c r="I1746" s="6" t="str">
        <f aca="false">_xlfn.CONCAT("\x", G1746, "\x", H1746, "=", F1746)</f>
        <v>\x2C\x81=짖</v>
      </c>
      <c r="M1746" s="8"/>
    </row>
    <row r="1747" customFormat="false" ht="12.8" hidden="false" customHeight="true" outlineLevel="0" collapsed="false">
      <c r="C1747" s="6" t="n">
        <f aca="false">MOD(ROW()-1, 208)</f>
        <v>82</v>
      </c>
      <c r="D1747" s="6" t="n">
        <f aca="false">INT((ROW()-1)/208)</f>
        <v>8</v>
      </c>
      <c r="F1747" s="6" t="str">
        <f aca="false">MID(VLOOKUP(D1747,$P$1:$Q$13,2,0), 1 + C1747,1)</f>
        <v>짙</v>
      </c>
      <c r="G1747" s="6" t="str">
        <f aca="false">DEC2HEX(D1747+36, 2)</f>
        <v>2C</v>
      </c>
      <c r="H1747" s="6" t="str">
        <f aca="false">DEC2HEX(C1747+48,2)</f>
        <v>82</v>
      </c>
      <c r="I1747" s="6" t="str">
        <f aca="false">_xlfn.CONCAT("\x", G1747, "\x", H1747, "=", F1747)</f>
        <v>\x2C\x82=짙</v>
      </c>
      <c r="M1747" s="8"/>
    </row>
    <row r="1748" customFormat="false" ht="12.8" hidden="false" customHeight="true" outlineLevel="0" collapsed="false">
      <c r="C1748" s="6" t="n">
        <f aca="false">MOD(ROW()-1, 208)</f>
        <v>83</v>
      </c>
      <c r="D1748" s="6" t="n">
        <f aca="false">INT((ROW()-1)/208)</f>
        <v>8</v>
      </c>
      <c r="F1748" s="6" t="str">
        <f aca="false">MID(VLOOKUP(D1748,$P$1:$Q$13,2,0), 1 + C1748,1)</f>
        <v>짚</v>
      </c>
      <c r="G1748" s="6" t="str">
        <f aca="false">DEC2HEX(D1748+36, 2)</f>
        <v>2C</v>
      </c>
      <c r="H1748" s="6" t="str">
        <f aca="false">DEC2HEX(C1748+48,2)</f>
        <v>83</v>
      </c>
      <c r="I1748" s="6" t="str">
        <f aca="false">_xlfn.CONCAT("\x", G1748, "\x", H1748, "=", F1748)</f>
        <v>\x2C\x83=짚</v>
      </c>
      <c r="M1748" s="8"/>
    </row>
    <row r="1749" customFormat="false" ht="12.8" hidden="false" customHeight="true" outlineLevel="0" collapsed="false">
      <c r="C1749" s="6" t="n">
        <f aca="false">MOD(ROW()-1, 208)</f>
        <v>84</v>
      </c>
      <c r="D1749" s="6" t="n">
        <f aca="false">INT((ROW()-1)/208)</f>
        <v>8</v>
      </c>
      <c r="F1749" s="6" t="str">
        <f aca="false">MID(VLOOKUP(D1749,$P$1:$Q$13,2,0), 1 + C1749,1)</f>
        <v>짜</v>
      </c>
      <c r="G1749" s="6" t="str">
        <f aca="false">DEC2HEX(D1749+36, 2)</f>
        <v>2C</v>
      </c>
      <c r="H1749" s="6" t="str">
        <f aca="false">DEC2HEX(C1749+48,2)</f>
        <v>84</v>
      </c>
      <c r="I1749" s="6" t="str">
        <f aca="false">_xlfn.CONCAT("\x", G1749, "\x", H1749, "=", F1749)</f>
        <v>\x2C\x84=짜</v>
      </c>
      <c r="M1749" s="8"/>
    </row>
    <row r="1750" customFormat="false" ht="12.8" hidden="false" customHeight="true" outlineLevel="0" collapsed="false">
      <c r="C1750" s="6" t="n">
        <f aca="false">MOD(ROW()-1, 208)</f>
        <v>85</v>
      </c>
      <c r="D1750" s="6" t="n">
        <f aca="false">INT((ROW()-1)/208)</f>
        <v>8</v>
      </c>
      <c r="F1750" s="6" t="str">
        <f aca="false">MID(VLOOKUP(D1750,$P$1:$Q$13,2,0), 1 + C1750,1)</f>
        <v>짝</v>
      </c>
      <c r="G1750" s="6" t="str">
        <f aca="false">DEC2HEX(D1750+36, 2)</f>
        <v>2C</v>
      </c>
      <c r="H1750" s="6" t="str">
        <f aca="false">DEC2HEX(C1750+48,2)</f>
        <v>85</v>
      </c>
      <c r="I1750" s="6" t="str">
        <f aca="false">_xlfn.CONCAT("\x", G1750, "\x", H1750, "=", F1750)</f>
        <v>\x2C\x85=짝</v>
      </c>
      <c r="M1750" s="8"/>
    </row>
    <row r="1751" customFormat="false" ht="12.8" hidden="false" customHeight="true" outlineLevel="0" collapsed="false">
      <c r="C1751" s="6" t="n">
        <f aca="false">MOD(ROW()-1, 208)</f>
        <v>86</v>
      </c>
      <c r="D1751" s="6" t="n">
        <f aca="false">INT((ROW()-1)/208)</f>
        <v>8</v>
      </c>
      <c r="F1751" s="6" t="str">
        <f aca="false">MID(VLOOKUP(D1751,$P$1:$Q$13,2,0), 1 + C1751,1)</f>
        <v>짠</v>
      </c>
      <c r="G1751" s="6" t="str">
        <f aca="false">DEC2HEX(D1751+36, 2)</f>
        <v>2C</v>
      </c>
      <c r="H1751" s="6" t="str">
        <f aca="false">DEC2HEX(C1751+48,2)</f>
        <v>86</v>
      </c>
      <c r="I1751" s="6" t="str">
        <f aca="false">_xlfn.CONCAT("\x", G1751, "\x", H1751, "=", F1751)</f>
        <v>\x2C\x86=짠</v>
      </c>
      <c r="M1751" s="8"/>
    </row>
    <row r="1752" customFormat="false" ht="12.8" hidden="false" customHeight="true" outlineLevel="0" collapsed="false">
      <c r="C1752" s="6" t="n">
        <f aca="false">MOD(ROW()-1, 208)</f>
        <v>87</v>
      </c>
      <c r="D1752" s="6" t="n">
        <f aca="false">INT((ROW()-1)/208)</f>
        <v>8</v>
      </c>
      <c r="F1752" s="6" t="str">
        <f aca="false">MID(VLOOKUP(D1752,$P$1:$Q$13,2,0), 1 + C1752,1)</f>
        <v>짢</v>
      </c>
      <c r="G1752" s="6" t="str">
        <f aca="false">DEC2HEX(D1752+36, 2)</f>
        <v>2C</v>
      </c>
      <c r="H1752" s="6" t="str">
        <f aca="false">DEC2HEX(C1752+48,2)</f>
        <v>87</v>
      </c>
      <c r="I1752" s="6" t="str">
        <f aca="false">_xlfn.CONCAT("\x", G1752, "\x", H1752, "=", F1752)</f>
        <v>\x2C\x87=짢</v>
      </c>
      <c r="M1752" s="8"/>
    </row>
    <row r="1753" customFormat="false" ht="12.8" hidden="false" customHeight="true" outlineLevel="0" collapsed="false">
      <c r="C1753" s="6" t="n">
        <f aca="false">MOD(ROW()-1, 208)</f>
        <v>88</v>
      </c>
      <c r="D1753" s="6" t="n">
        <f aca="false">INT((ROW()-1)/208)</f>
        <v>8</v>
      </c>
      <c r="F1753" s="6" t="str">
        <f aca="false">MID(VLOOKUP(D1753,$P$1:$Q$13,2,0), 1 + C1753,1)</f>
        <v>짤</v>
      </c>
      <c r="G1753" s="6" t="str">
        <f aca="false">DEC2HEX(D1753+36, 2)</f>
        <v>2C</v>
      </c>
      <c r="H1753" s="6" t="str">
        <f aca="false">DEC2HEX(C1753+48,2)</f>
        <v>88</v>
      </c>
      <c r="I1753" s="6" t="str">
        <f aca="false">_xlfn.CONCAT("\x", G1753, "\x", H1753, "=", F1753)</f>
        <v>\x2C\x88=짤</v>
      </c>
      <c r="M1753" s="8"/>
    </row>
    <row r="1754" customFormat="false" ht="12.8" hidden="false" customHeight="true" outlineLevel="0" collapsed="false">
      <c r="C1754" s="6" t="n">
        <f aca="false">MOD(ROW()-1, 208)</f>
        <v>89</v>
      </c>
      <c r="D1754" s="6" t="n">
        <f aca="false">INT((ROW()-1)/208)</f>
        <v>8</v>
      </c>
      <c r="F1754" s="6" t="str">
        <f aca="false">MID(VLOOKUP(D1754,$P$1:$Q$13,2,0), 1 + C1754,1)</f>
        <v>짧</v>
      </c>
      <c r="G1754" s="6" t="str">
        <f aca="false">DEC2HEX(D1754+36, 2)</f>
        <v>2C</v>
      </c>
      <c r="H1754" s="6" t="str">
        <f aca="false">DEC2HEX(C1754+48,2)</f>
        <v>89</v>
      </c>
      <c r="I1754" s="6" t="str">
        <f aca="false">_xlfn.CONCAT("\x", G1754, "\x", H1754, "=", F1754)</f>
        <v>\x2C\x89=짧</v>
      </c>
      <c r="M1754" s="8"/>
    </row>
    <row r="1755" customFormat="false" ht="12.8" hidden="false" customHeight="true" outlineLevel="0" collapsed="false">
      <c r="C1755" s="6" t="n">
        <f aca="false">MOD(ROW()-1, 208)</f>
        <v>90</v>
      </c>
      <c r="D1755" s="6" t="n">
        <f aca="false">INT((ROW()-1)/208)</f>
        <v>8</v>
      </c>
      <c r="F1755" s="6" t="str">
        <f aca="false">MID(VLOOKUP(D1755,$P$1:$Q$13,2,0), 1 + C1755,1)</f>
        <v>짬</v>
      </c>
      <c r="G1755" s="6" t="str">
        <f aca="false">DEC2HEX(D1755+36, 2)</f>
        <v>2C</v>
      </c>
      <c r="H1755" s="6" t="str">
        <f aca="false">DEC2HEX(C1755+48,2)</f>
        <v>8A</v>
      </c>
      <c r="I1755" s="6" t="str">
        <f aca="false">_xlfn.CONCAT("\x", G1755, "\x", H1755, "=", F1755)</f>
        <v>\x2C\x8A=짬</v>
      </c>
      <c r="M1755" s="8"/>
    </row>
    <row r="1756" customFormat="false" ht="12.8" hidden="false" customHeight="true" outlineLevel="0" collapsed="false">
      <c r="C1756" s="6" t="n">
        <f aca="false">MOD(ROW()-1, 208)</f>
        <v>91</v>
      </c>
      <c r="D1756" s="6" t="n">
        <f aca="false">INT((ROW()-1)/208)</f>
        <v>8</v>
      </c>
      <c r="F1756" s="6" t="str">
        <f aca="false">MID(VLOOKUP(D1756,$P$1:$Q$13,2,0), 1 + C1756,1)</f>
        <v>짭</v>
      </c>
      <c r="G1756" s="6" t="str">
        <f aca="false">DEC2HEX(D1756+36, 2)</f>
        <v>2C</v>
      </c>
      <c r="H1756" s="6" t="str">
        <f aca="false">DEC2HEX(C1756+48,2)</f>
        <v>8B</v>
      </c>
      <c r="I1756" s="6" t="str">
        <f aca="false">_xlfn.CONCAT("\x", G1756, "\x", H1756, "=", F1756)</f>
        <v>\x2C\x8B=짭</v>
      </c>
      <c r="M1756" s="8"/>
    </row>
    <row r="1757" customFormat="false" ht="12.8" hidden="false" customHeight="true" outlineLevel="0" collapsed="false">
      <c r="C1757" s="6" t="n">
        <f aca="false">MOD(ROW()-1, 208)</f>
        <v>92</v>
      </c>
      <c r="D1757" s="6" t="n">
        <f aca="false">INT((ROW()-1)/208)</f>
        <v>8</v>
      </c>
      <c r="F1757" s="6" t="str">
        <f aca="false">MID(VLOOKUP(D1757,$P$1:$Q$13,2,0), 1 + C1757,1)</f>
        <v>짯</v>
      </c>
      <c r="G1757" s="6" t="str">
        <f aca="false">DEC2HEX(D1757+36, 2)</f>
        <v>2C</v>
      </c>
      <c r="H1757" s="6" t="str">
        <f aca="false">DEC2HEX(C1757+48,2)</f>
        <v>8C</v>
      </c>
      <c r="I1757" s="6" t="str">
        <f aca="false">_xlfn.CONCAT("\x", G1757, "\x", H1757, "=", F1757)</f>
        <v>\x2C\x8C=짯</v>
      </c>
      <c r="M1757" s="8"/>
    </row>
    <row r="1758" customFormat="false" ht="12.8" hidden="false" customHeight="true" outlineLevel="0" collapsed="false">
      <c r="C1758" s="6" t="n">
        <f aca="false">MOD(ROW()-1, 208)</f>
        <v>93</v>
      </c>
      <c r="D1758" s="6" t="n">
        <f aca="false">INT((ROW()-1)/208)</f>
        <v>8</v>
      </c>
      <c r="F1758" s="6" t="str">
        <f aca="false">MID(VLOOKUP(D1758,$P$1:$Q$13,2,0), 1 + C1758,1)</f>
        <v>짰</v>
      </c>
      <c r="G1758" s="6" t="str">
        <f aca="false">DEC2HEX(D1758+36, 2)</f>
        <v>2C</v>
      </c>
      <c r="H1758" s="6" t="str">
        <f aca="false">DEC2HEX(C1758+48,2)</f>
        <v>8D</v>
      </c>
      <c r="I1758" s="6" t="str">
        <f aca="false">_xlfn.CONCAT("\x", G1758, "\x", H1758, "=", F1758)</f>
        <v>\x2C\x8D=짰</v>
      </c>
      <c r="M1758" s="8"/>
    </row>
    <row r="1759" customFormat="false" ht="12.8" hidden="false" customHeight="true" outlineLevel="0" collapsed="false">
      <c r="C1759" s="6" t="n">
        <f aca="false">MOD(ROW()-1, 208)</f>
        <v>94</v>
      </c>
      <c r="D1759" s="6" t="n">
        <f aca="false">INT((ROW()-1)/208)</f>
        <v>8</v>
      </c>
      <c r="F1759" s="6" t="str">
        <f aca="false">MID(VLOOKUP(D1759,$P$1:$Q$13,2,0), 1 + C1759,1)</f>
        <v>짱</v>
      </c>
      <c r="G1759" s="6" t="str">
        <f aca="false">DEC2HEX(D1759+36, 2)</f>
        <v>2C</v>
      </c>
      <c r="H1759" s="6" t="str">
        <f aca="false">DEC2HEX(C1759+48,2)</f>
        <v>8E</v>
      </c>
      <c r="I1759" s="6" t="str">
        <f aca="false">_xlfn.CONCAT("\x", G1759, "\x", H1759, "=", F1759)</f>
        <v>\x2C\x8E=짱</v>
      </c>
      <c r="M1759" s="8"/>
    </row>
    <row r="1760" customFormat="false" ht="12.8" hidden="false" customHeight="true" outlineLevel="0" collapsed="false">
      <c r="C1760" s="6" t="n">
        <f aca="false">MOD(ROW()-1, 208)</f>
        <v>95</v>
      </c>
      <c r="D1760" s="6" t="n">
        <f aca="false">INT((ROW()-1)/208)</f>
        <v>8</v>
      </c>
      <c r="F1760" s="6" t="str">
        <f aca="false">MID(VLOOKUP(D1760,$P$1:$Q$13,2,0), 1 + C1760,1)</f>
        <v>째</v>
      </c>
      <c r="G1760" s="6" t="str">
        <f aca="false">DEC2HEX(D1760+36, 2)</f>
        <v>2C</v>
      </c>
      <c r="H1760" s="6" t="str">
        <f aca="false">DEC2HEX(C1760+48,2)</f>
        <v>8F</v>
      </c>
      <c r="I1760" s="6" t="str">
        <f aca="false">_xlfn.CONCAT("\x", G1760, "\x", H1760, "=", F1760)</f>
        <v>\x2C\x8F=째</v>
      </c>
      <c r="M1760" s="8"/>
    </row>
    <row r="1761" customFormat="false" ht="12.8" hidden="false" customHeight="true" outlineLevel="0" collapsed="false">
      <c r="C1761" s="6" t="n">
        <f aca="false">MOD(ROW()-1, 208)</f>
        <v>96</v>
      </c>
      <c r="D1761" s="6" t="n">
        <f aca="false">INT((ROW()-1)/208)</f>
        <v>8</v>
      </c>
      <c r="F1761" s="6" t="str">
        <f aca="false">MID(VLOOKUP(D1761,$P$1:$Q$13,2,0), 1 + C1761,1)</f>
        <v>짹</v>
      </c>
      <c r="G1761" s="6" t="str">
        <f aca="false">DEC2HEX(D1761+36, 2)</f>
        <v>2C</v>
      </c>
      <c r="H1761" s="6" t="str">
        <f aca="false">DEC2HEX(C1761+48,2)</f>
        <v>90</v>
      </c>
      <c r="I1761" s="6" t="str">
        <f aca="false">_xlfn.CONCAT("\x", G1761, "\x", H1761, "=", F1761)</f>
        <v>\x2C\x90=짹</v>
      </c>
      <c r="M1761" s="8"/>
    </row>
    <row r="1762" customFormat="false" ht="12.8" hidden="false" customHeight="true" outlineLevel="0" collapsed="false">
      <c r="C1762" s="6" t="n">
        <f aca="false">MOD(ROW()-1, 208)</f>
        <v>97</v>
      </c>
      <c r="D1762" s="6" t="n">
        <f aca="false">INT((ROW()-1)/208)</f>
        <v>8</v>
      </c>
      <c r="F1762" s="6" t="str">
        <f aca="false">MID(VLOOKUP(D1762,$P$1:$Q$13,2,0), 1 + C1762,1)</f>
        <v>짼</v>
      </c>
      <c r="G1762" s="6" t="str">
        <f aca="false">DEC2HEX(D1762+36, 2)</f>
        <v>2C</v>
      </c>
      <c r="H1762" s="6" t="str">
        <f aca="false">DEC2HEX(C1762+48,2)</f>
        <v>91</v>
      </c>
      <c r="I1762" s="6" t="str">
        <f aca="false">_xlfn.CONCAT("\x", G1762, "\x", H1762, "=", F1762)</f>
        <v>\x2C\x91=짼</v>
      </c>
      <c r="M1762" s="8"/>
    </row>
    <row r="1763" customFormat="false" ht="12.8" hidden="false" customHeight="true" outlineLevel="0" collapsed="false">
      <c r="C1763" s="6" t="n">
        <f aca="false">MOD(ROW()-1, 208)</f>
        <v>98</v>
      </c>
      <c r="D1763" s="6" t="n">
        <f aca="false">INT((ROW()-1)/208)</f>
        <v>8</v>
      </c>
      <c r="F1763" s="6" t="str">
        <f aca="false">MID(VLOOKUP(D1763,$P$1:$Q$13,2,0), 1 + C1763,1)</f>
        <v>쨀</v>
      </c>
      <c r="G1763" s="6" t="str">
        <f aca="false">DEC2HEX(D1763+36, 2)</f>
        <v>2C</v>
      </c>
      <c r="H1763" s="6" t="str">
        <f aca="false">DEC2HEX(C1763+48,2)</f>
        <v>92</v>
      </c>
      <c r="I1763" s="6" t="str">
        <f aca="false">_xlfn.CONCAT("\x", G1763, "\x", H1763, "=", F1763)</f>
        <v>\x2C\x92=쨀</v>
      </c>
      <c r="M1763" s="8"/>
    </row>
    <row r="1764" customFormat="false" ht="12.8" hidden="false" customHeight="true" outlineLevel="0" collapsed="false">
      <c r="C1764" s="6" t="n">
        <f aca="false">MOD(ROW()-1, 208)</f>
        <v>99</v>
      </c>
      <c r="D1764" s="6" t="n">
        <f aca="false">INT((ROW()-1)/208)</f>
        <v>8</v>
      </c>
      <c r="F1764" s="6" t="str">
        <f aca="false">MID(VLOOKUP(D1764,$P$1:$Q$13,2,0), 1 + C1764,1)</f>
        <v>쨈</v>
      </c>
      <c r="G1764" s="6" t="str">
        <f aca="false">DEC2HEX(D1764+36, 2)</f>
        <v>2C</v>
      </c>
      <c r="H1764" s="6" t="str">
        <f aca="false">DEC2HEX(C1764+48,2)</f>
        <v>93</v>
      </c>
      <c r="I1764" s="6" t="str">
        <f aca="false">_xlfn.CONCAT("\x", G1764, "\x", H1764, "=", F1764)</f>
        <v>\x2C\x93=쨈</v>
      </c>
      <c r="M1764" s="8"/>
    </row>
    <row r="1765" customFormat="false" ht="12.8" hidden="false" customHeight="true" outlineLevel="0" collapsed="false">
      <c r="C1765" s="6" t="n">
        <f aca="false">MOD(ROW()-1, 208)</f>
        <v>100</v>
      </c>
      <c r="D1765" s="6" t="n">
        <f aca="false">INT((ROW()-1)/208)</f>
        <v>8</v>
      </c>
      <c r="F1765" s="6" t="str">
        <f aca="false">MID(VLOOKUP(D1765,$P$1:$Q$13,2,0), 1 + C1765,1)</f>
        <v>쨉</v>
      </c>
      <c r="G1765" s="6" t="str">
        <f aca="false">DEC2HEX(D1765+36, 2)</f>
        <v>2C</v>
      </c>
      <c r="H1765" s="6" t="str">
        <f aca="false">DEC2HEX(C1765+48,2)</f>
        <v>94</v>
      </c>
      <c r="I1765" s="6" t="str">
        <f aca="false">_xlfn.CONCAT("\x", G1765, "\x", H1765, "=", F1765)</f>
        <v>\x2C\x94=쨉</v>
      </c>
      <c r="M1765" s="8"/>
    </row>
    <row r="1766" customFormat="false" ht="12.8" hidden="false" customHeight="true" outlineLevel="0" collapsed="false">
      <c r="C1766" s="6" t="n">
        <f aca="false">MOD(ROW()-1, 208)</f>
        <v>101</v>
      </c>
      <c r="D1766" s="6" t="n">
        <f aca="false">INT((ROW()-1)/208)</f>
        <v>8</v>
      </c>
      <c r="F1766" s="6" t="str">
        <f aca="false">MID(VLOOKUP(D1766,$P$1:$Q$13,2,0), 1 + C1766,1)</f>
        <v>쨋</v>
      </c>
      <c r="G1766" s="6" t="str">
        <f aca="false">DEC2HEX(D1766+36, 2)</f>
        <v>2C</v>
      </c>
      <c r="H1766" s="6" t="str">
        <f aca="false">DEC2HEX(C1766+48,2)</f>
        <v>95</v>
      </c>
      <c r="I1766" s="6" t="str">
        <f aca="false">_xlfn.CONCAT("\x", G1766, "\x", H1766, "=", F1766)</f>
        <v>\x2C\x95=쨋</v>
      </c>
      <c r="M1766" s="8"/>
    </row>
    <row r="1767" customFormat="false" ht="12.8" hidden="false" customHeight="true" outlineLevel="0" collapsed="false">
      <c r="C1767" s="6" t="n">
        <f aca="false">MOD(ROW()-1, 208)</f>
        <v>102</v>
      </c>
      <c r="D1767" s="6" t="n">
        <f aca="false">INT((ROW()-1)/208)</f>
        <v>8</v>
      </c>
      <c r="F1767" s="6" t="str">
        <f aca="false">MID(VLOOKUP(D1767,$P$1:$Q$13,2,0), 1 + C1767,1)</f>
        <v>쨌</v>
      </c>
      <c r="G1767" s="6" t="str">
        <f aca="false">DEC2HEX(D1767+36, 2)</f>
        <v>2C</v>
      </c>
      <c r="H1767" s="6" t="str">
        <f aca="false">DEC2HEX(C1767+48,2)</f>
        <v>96</v>
      </c>
      <c r="I1767" s="6" t="str">
        <f aca="false">_xlfn.CONCAT("\x", G1767, "\x", H1767, "=", F1767)</f>
        <v>\x2C\x96=쨌</v>
      </c>
      <c r="M1767" s="8"/>
    </row>
    <row r="1768" customFormat="false" ht="12.8" hidden="false" customHeight="true" outlineLevel="0" collapsed="false">
      <c r="C1768" s="6" t="n">
        <f aca="false">MOD(ROW()-1, 208)</f>
        <v>103</v>
      </c>
      <c r="D1768" s="6" t="n">
        <f aca="false">INT((ROW()-1)/208)</f>
        <v>8</v>
      </c>
      <c r="F1768" s="6" t="str">
        <f aca="false">MID(VLOOKUP(D1768,$P$1:$Q$13,2,0), 1 + C1768,1)</f>
        <v>쨍</v>
      </c>
      <c r="G1768" s="6" t="str">
        <f aca="false">DEC2HEX(D1768+36, 2)</f>
        <v>2C</v>
      </c>
      <c r="H1768" s="6" t="str">
        <f aca="false">DEC2HEX(C1768+48,2)</f>
        <v>97</v>
      </c>
      <c r="I1768" s="6" t="str">
        <f aca="false">_xlfn.CONCAT("\x", G1768, "\x", H1768, "=", F1768)</f>
        <v>\x2C\x97=쨍</v>
      </c>
      <c r="M1768" s="8"/>
    </row>
    <row r="1769" customFormat="false" ht="12.8" hidden="false" customHeight="true" outlineLevel="0" collapsed="false">
      <c r="C1769" s="6" t="n">
        <f aca="false">MOD(ROW()-1, 208)</f>
        <v>104</v>
      </c>
      <c r="D1769" s="6" t="n">
        <f aca="false">INT((ROW()-1)/208)</f>
        <v>8</v>
      </c>
      <c r="F1769" s="6" t="str">
        <f aca="false">MID(VLOOKUP(D1769,$P$1:$Q$13,2,0), 1 + C1769,1)</f>
        <v>쨔</v>
      </c>
      <c r="G1769" s="6" t="str">
        <f aca="false">DEC2HEX(D1769+36, 2)</f>
        <v>2C</v>
      </c>
      <c r="H1769" s="6" t="str">
        <f aca="false">DEC2HEX(C1769+48,2)</f>
        <v>98</v>
      </c>
      <c r="I1769" s="6" t="str">
        <f aca="false">_xlfn.CONCAT("\x", G1769, "\x", H1769, "=", F1769)</f>
        <v>\x2C\x98=쨔</v>
      </c>
      <c r="M1769" s="8"/>
    </row>
    <row r="1770" customFormat="false" ht="12.8" hidden="false" customHeight="true" outlineLevel="0" collapsed="false">
      <c r="C1770" s="6" t="n">
        <f aca="false">MOD(ROW()-1, 208)</f>
        <v>105</v>
      </c>
      <c r="D1770" s="6" t="n">
        <f aca="false">INT((ROW()-1)/208)</f>
        <v>8</v>
      </c>
      <c r="F1770" s="6" t="str">
        <f aca="false">MID(VLOOKUP(D1770,$P$1:$Q$13,2,0), 1 + C1770,1)</f>
        <v>쨘</v>
      </c>
      <c r="G1770" s="6" t="str">
        <f aca="false">DEC2HEX(D1770+36, 2)</f>
        <v>2C</v>
      </c>
      <c r="H1770" s="6" t="str">
        <f aca="false">DEC2HEX(C1770+48,2)</f>
        <v>99</v>
      </c>
      <c r="I1770" s="6" t="str">
        <f aca="false">_xlfn.CONCAT("\x", G1770, "\x", H1770, "=", F1770)</f>
        <v>\x2C\x99=쨘</v>
      </c>
      <c r="M1770" s="8"/>
    </row>
    <row r="1771" customFormat="false" ht="12.8" hidden="false" customHeight="true" outlineLevel="0" collapsed="false">
      <c r="C1771" s="6" t="n">
        <f aca="false">MOD(ROW()-1, 208)</f>
        <v>106</v>
      </c>
      <c r="D1771" s="6" t="n">
        <f aca="false">INT((ROW()-1)/208)</f>
        <v>8</v>
      </c>
      <c r="F1771" s="6" t="str">
        <f aca="false">MID(VLOOKUP(D1771,$P$1:$Q$13,2,0), 1 + C1771,1)</f>
        <v>쨩</v>
      </c>
      <c r="G1771" s="6" t="str">
        <f aca="false">DEC2HEX(D1771+36, 2)</f>
        <v>2C</v>
      </c>
      <c r="H1771" s="6" t="str">
        <f aca="false">DEC2HEX(C1771+48,2)</f>
        <v>9A</v>
      </c>
      <c r="I1771" s="6" t="str">
        <f aca="false">_xlfn.CONCAT("\x", G1771, "\x", H1771, "=", F1771)</f>
        <v>\x2C\x9A=쨩</v>
      </c>
      <c r="M1771" s="8"/>
    </row>
    <row r="1772" customFormat="false" ht="12.8" hidden="false" customHeight="true" outlineLevel="0" collapsed="false">
      <c r="C1772" s="6" t="n">
        <f aca="false">MOD(ROW()-1, 208)</f>
        <v>107</v>
      </c>
      <c r="D1772" s="6" t="n">
        <f aca="false">INT((ROW()-1)/208)</f>
        <v>8</v>
      </c>
      <c r="F1772" s="6" t="str">
        <f aca="false">MID(VLOOKUP(D1772,$P$1:$Q$13,2,0), 1 + C1772,1)</f>
        <v>쩌</v>
      </c>
      <c r="G1772" s="6" t="str">
        <f aca="false">DEC2HEX(D1772+36, 2)</f>
        <v>2C</v>
      </c>
      <c r="H1772" s="6" t="str">
        <f aca="false">DEC2HEX(C1772+48,2)</f>
        <v>9B</v>
      </c>
      <c r="I1772" s="6" t="str">
        <f aca="false">_xlfn.CONCAT("\x", G1772, "\x", H1772, "=", F1772)</f>
        <v>\x2C\x9B=쩌</v>
      </c>
      <c r="M1772" s="8"/>
    </row>
    <row r="1773" customFormat="false" ht="12.8" hidden="false" customHeight="true" outlineLevel="0" collapsed="false">
      <c r="C1773" s="6" t="n">
        <f aca="false">MOD(ROW()-1, 208)</f>
        <v>108</v>
      </c>
      <c r="D1773" s="6" t="n">
        <f aca="false">INT((ROW()-1)/208)</f>
        <v>8</v>
      </c>
      <c r="F1773" s="6" t="str">
        <f aca="false">MID(VLOOKUP(D1773,$P$1:$Q$13,2,0), 1 + C1773,1)</f>
        <v>쩍</v>
      </c>
      <c r="G1773" s="6" t="str">
        <f aca="false">DEC2HEX(D1773+36, 2)</f>
        <v>2C</v>
      </c>
      <c r="H1773" s="6" t="str">
        <f aca="false">DEC2HEX(C1773+48,2)</f>
        <v>9C</v>
      </c>
      <c r="I1773" s="6" t="str">
        <f aca="false">_xlfn.CONCAT("\x", G1773, "\x", H1773, "=", F1773)</f>
        <v>\x2C\x9C=쩍</v>
      </c>
      <c r="M1773" s="8"/>
    </row>
    <row r="1774" customFormat="false" ht="12.8" hidden="false" customHeight="true" outlineLevel="0" collapsed="false">
      <c r="C1774" s="6" t="n">
        <f aca="false">MOD(ROW()-1, 208)</f>
        <v>109</v>
      </c>
      <c r="D1774" s="6" t="n">
        <f aca="false">INT((ROW()-1)/208)</f>
        <v>8</v>
      </c>
      <c r="F1774" s="6" t="str">
        <f aca="false">MID(VLOOKUP(D1774,$P$1:$Q$13,2,0), 1 + C1774,1)</f>
        <v>쩐</v>
      </c>
      <c r="G1774" s="6" t="str">
        <f aca="false">DEC2HEX(D1774+36, 2)</f>
        <v>2C</v>
      </c>
      <c r="H1774" s="6" t="str">
        <f aca="false">DEC2HEX(C1774+48,2)</f>
        <v>9D</v>
      </c>
      <c r="I1774" s="6" t="str">
        <f aca="false">_xlfn.CONCAT("\x", G1774, "\x", H1774, "=", F1774)</f>
        <v>\x2C\x9D=쩐</v>
      </c>
      <c r="M1774" s="8"/>
    </row>
    <row r="1775" customFormat="false" ht="12.8" hidden="false" customHeight="true" outlineLevel="0" collapsed="false">
      <c r="C1775" s="6" t="n">
        <f aca="false">MOD(ROW()-1, 208)</f>
        <v>110</v>
      </c>
      <c r="D1775" s="6" t="n">
        <f aca="false">INT((ROW()-1)/208)</f>
        <v>8</v>
      </c>
      <c r="F1775" s="6" t="str">
        <f aca="false">MID(VLOOKUP(D1775,$P$1:$Q$13,2,0), 1 + C1775,1)</f>
        <v>쩔</v>
      </c>
      <c r="G1775" s="6" t="str">
        <f aca="false">DEC2HEX(D1775+36, 2)</f>
        <v>2C</v>
      </c>
      <c r="H1775" s="6" t="str">
        <f aca="false">DEC2HEX(C1775+48,2)</f>
        <v>9E</v>
      </c>
      <c r="I1775" s="6" t="str">
        <f aca="false">_xlfn.CONCAT("\x", G1775, "\x", H1775, "=", F1775)</f>
        <v>\x2C\x9E=쩔</v>
      </c>
      <c r="M1775" s="8"/>
    </row>
    <row r="1776" customFormat="false" ht="12.8" hidden="false" customHeight="true" outlineLevel="0" collapsed="false">
      <c r="C1776" s="6" t="n">
        <f aca="false">MOD(ROW()-1, 208)</f>
        <v>111</v>
      </c>
      <c r="D1776" s="6" t="n">
        <f aca="false">INT((ROW()-1)/208)</f>
        <v>8</v>
      </c>
      <c r="F1776" s="6" t="str">
        <f aca="false">MID(VLOOKUP(D1776,$P$1:$Q$13,2,0), 1 + C1776,1)</f>
        <v>쩜</v>
      </c>
      <c r="G1776" s="6" t="str">
        <f aca="false">DEC2HEX(D1776+36, 2)</f>
        <v>2C</v>
      </c>
      <c r="H1776" s="6" t="str">
        <f aca="false">DEC2HEX(C1776+48,2)</f>
        <v>9F</v>
      </c>
      <c r="I1776" s="6" t="str">
        <f aca="false">_xlfn.CONCAT("\x", G1776, "\x", H1776, "=", F1776)</f>
        <v>\x2C\x9F=쩜</v>
      </c>
      <c r="M1776" s="8"/>
    </row>
    <row r="1777" customFormat="false" ht="12.8" hidden="false" customHeight="true" outlineLevel="0" collapsed="false">
      <c r="C1777" s="6" t="n">
        <f aca="false">MOD(ROW()-1, 208)</f>
        <v>112</v>
      </c>
      <c r="D1777" s="6" t="n">
        <f aca="false">INT((ROW()-1)/208)</f>
        <v>8</v>
      </c>
      <c r="F1777" s="6" t="str">
        <f aca="false">MID(VLOOKUP(D1777,$P$1:$Q$13,2,0), 1 + C1777,1)</f>
        <v>쩝</v>
      </c>
      <c r="G1777" s="6" t="str">
        <f aca="false">DEC2HEX(D1777+36, 2)</f>
        <v>2C</v>
      </c>
      <c r="H1777" s="6" t="str">
        <f aca="false">DEC2HEX(C1777+48,2)</f>
        <v>A0</v>
      </c>
      <c r="I1777" s="6" t="str">
        <f aca="false">_xlfn.CONCAT("\x", G1777, "\x", H1777, "=", F1777)</f>
        <v>\x2C\xA0=쩝</v>
      </c>
      <c r="M1777" s="8"/>
    </row>
    <row r="1778" customFormat="false" ht="12.8" hidden="false" customHeight="true" outlineLevel="0" collapsed="false">
      <c r="C1778" s="6" t="n">
        <f aca="false">MOD(ROW()-1, 208)</f>
        <v>113</v>
      </c>
      <c r="D1778" s="6" t="n">
        <f aca="false">INT((ROW()-1)/208)</f>
        <v>8</v>
      </c>
      <c r="F1778" s="6" t="str">
        <f aca="false">MID(VLOOKUP(D1778,$P$1:$Q$13,2,0), 1 + C1778,1)</f>
        <v>쩟</v>
      </c>
      <c r="G1778" s="6" t="str">
        <f aca="false">DEC2HEX(D1778+36, 2)</f>
        <v>2C</v>
      </c>
      <c r="H1778" s="6" t="str">
        <f aca="false">DEC2HEX(C1778+48,2)</f>
        <v>A1</v>
      </c>
      <c r="I1778" s="6" t="str">
        <f aca="false">_xlfn.CONCAT("\x", G1778, "\x", H1778, "=", F1778)</f>
        <v>\x2C\xA1=쩟</v>
      </c>
      <c r="M1778" s="8"/>
    </row>
    <row r="1779" customFormat="false" ht="12.8" hidden="false" customHeight="true" outlineLevel="0" collapsed="false">
      <c r="C1779" s="6" t="n">
        <f aca="false">MOD(ROW()-1, 208)</f>
        <v>114</v>
      </c>
      <c r="D1779" s="6" t="n">
        <f aca="false">INT((ROW()-1)/208)</f>
        <v>8</v>
      </c>
      <c r="F1779" s="6" t="str">
        <f aca="false">MID(VLOOKUP(D1779,$P$1:$Q$13,2,0), 1 + C1779,1)</f>
        <v>쩠</v>
      </c>
      <c r="G1779" s="6" t="str">
        <f aca="false">DEC2HEX(D1779+36, 2)</f>
        <v>2C</v>
      </c>
      <c r="H1779" s="6" t="str">
        <f aca="false">DEC2HEX(C1779+48,2)</f>
        <v>A2</v>
      </c>
      <c r="I1779" s="6" t="str">
        <f aca="false">_xlfn.CONCAT("\x", G1779, "\x", H1779, "=", F1779)</f>
        <v>\x2C\xA2=쩠</v>
      </c>
      <c r="M1779" s="8"/>
    </row>
    <row r="1780" customFormat="false" ht="12.8" hidden="false" customHeight="true" outlineLevel="0" collapsed="false">
      <c r="C1780" s="6" t="n">
        <f aca="false">MOD(ROW()-1, 208)</f>
        <v>115</v>
      </c>
      <c r="D1780" s="6" t="n">
        <f aca="false">INT((ROW()-1)/208)</f>
        <v>8</v>
      </c>
      <c r="F1780" s="6" t="str">
        <f aca="false">MID(VLOOKUP(D1780,$P$1:$Q$13,2,0), 1 + C1780,1)</f>
        <v>쩡</v>
      </c>
      <c r="G1780" s="6" t="str">
        <f aca="false">DEC2HEX(D1780+36, 2)</f>
        <v>2C</v>
      </c>
      <c r="H1780" s="6" t="str">
        <f aca="false">DEC2HEX(C1780+48,2)</f>
        <v>A3</v>
      </c>
      <c r="I1780" s="6" t="str">
        <f aca="false">_xlfn.CONCAT("\x", G1780, "\x", H1780, "=", F1780)</f>
        <v>\x2C\xA3=쩡</v>
      </c>
      <c r="M1780" s="8"/>
    </row>
    <row r="1781" customFormat="false" ht="12.8" hidden="false" customHeight="true" outlineLevel="0" collapsed="false">
      <c r="C1781" s="6" t="n">
        <f aca="false">MOD(ROW()-1, 208)</f>
        <v>116</v>
      </c>
      <c r="D1781" s="6" t="n">
        <f aca="false">INT((ROW()-1)/208)</f>
        <v>8</v>
      </c>
      <c r="F1781" s="6" t="str">
        <f aca="false">MID(VLOOKUP(D1781,$P$1:$Q$13,2,0), 1 + C1781,1)</f>
        <v>쩨</v>
      </c>
      <c r="G1781" s="6" t="str">
        <f aca="false">DEC2HEX(D1781+36, 2)</f>
        <v>2C</v>
      </c>
      <c r="H1781" s="6" t="str">
        <f aca="false">DEC2HEX(C1781+48,2)</f>
        <v>A4</v>
      </c>
      <c r="I1781" s="6" t="str">
        <f aca="false">_xlfn.CONCAT("\x", G1781, "\x", H1781, "=", F1781)</f>
        <v>\x2C\xA4=쩨</v>
      </c>
      <c r="M1781" s="8"/>
    </row>
    <row r="1782" customFormat="false" ht="12.8" hidden="false" customHeight="true" outlineLevel="0" collapsed="false">
      <c r="C1782" s="6" t="n">
        <f aca="false">MOD(ROW()-1, 208)</f>
        <v>117</v>
      </c>
      <c r="D1782" s="6" t="n">
        <f aca="false">INT((ROW()-1)/208)</f>
        <v>8</v>
      </c>
      <c r="F1782" s="6" t="str">
        <f aca="false">MID(VLOOKUP(D1782,$P$1:$Q$13,2,0), 1 + C1782,1)</f>
        <v>쩽</v>
      </c>
      <c r="G1782" s="6" t="str">
        <f aca="false">DEC2HEX(D1782+36, 2)</f>
        <v>2C</v>
      </c>
      <c r="H1782" s="6" t="str">
        <f aca="false">DEC2HEX(C1782+48,2)</f>
        <v>A5</v>
      </c>
      <c r="I1782" s="6" t="str">
        <f aca="false">_xlfn.CONCAT("\x", G1782, "\x", H1782, "=", F1782)</f>
        <v>\x2C\xA5=쩽</v>
      </c>
      <c r="M1782" s="8"/>
    </row>
    <row r="1783" customFormat="false" ht="12.8" hidden="false" customHeight="true" outlineLevel="0" collapsed="false">
      <c r="C1783" s="6" t="n">
        <f aca="false">MOD(ROW()-1, 208)</f>
        <v>118</v>
      </c>
      <c r="D1783" s="6" t="n">
        <f aca="false">INT((ROW()-1)/208)</f>
        <v>8</v>
      </c>
      <c r="F1783" s="6" t="str">
        <f aca="false">MID(VLOOKUP(D1783,$P$1:$Q$13,2,0), 1 + C1783,1)</f>
        <v>쪄</v>
      </c>
      <c r="G1783" s="6" t="str">
        <f aca="false">DEC2HEX(D1783+36, 2)</f>
        <v>2C</v>
      </c>
      <c r="H1783" s="6" t="str">
        <f aca="false">DEC2HEX(C1783+48,2)</f>
        <v>A6</v>
      </c>
      <c r="I1783" s="6" t="str">
        <f aca="false">_xlfn.CONCAT("\x", G1783, "\x", H1783, "=", F1783)</f>
        <v>\x2C\xA6=쪄</v>
      </c>
      <c r="M1783" s="8"/>
    </row>
    <row r="1784" customFormat="false" ht="12.8" hidden="false" customHeight="true" outlineLevel="0" collapsed="false">
      <c r="C1784" s="6" t="n">
        <f aca="false">MOD(ROW()-1, 208)</f>
        <v>119</v>
      </c>
      <c r="D1784" s="6" t="n">
        <f aca="false">INT((ROW()-1)/208)</f>
        <v>8</v>
      </c>
      <c r="F1784" s="6" t="str">
        <f aca="false">MID(VLOOKUP(D1784,$P$1:$Q$13,2,0), 1 + C1784,1)</f>
        <v>쪘</v>
      </c>
      <c r="G1784" s="6" t="str">
        <f aca="false">DEC2HEX(D1784+36, 2)</f>
        <v>2C</v>
      </c>
      <c r="H1784" s="6" t="str">
        <f aca="false">DEC2HEX(C1784+48,2)</f>
        <v>A7</v>
      </c>
      <c r="I1784" s="6" t="str">
        <f aca="false">_xlfn.CONCAT("\x", G1784, "\x", H1784, "=", F1784)</f>
        <v>\x2C\xA7=쪘</v>
      </c>
      <c r="M1784" s="8"/>
    </row>
    <row r="1785" customFormat="false" ht="12.8" hidden="false" customHeight="true" outlineLevel="0" collapsed="false">
      <c r="C1785" s="6" t="n">
        <f aca="false">MOD(ROW()-1, 208)</f>
        <v>120</v>
      </c>
      <c r="D1785" s="6" t="n">
        <f aca="false">INT((ROW()-1)/208)</f>
        <v>8</v>
      </c>
      <c r="F1785" s="6" t="str">
        <f aca="false">MID(VLOOKUP(D1785,$P$1:$Q$13,2,0), 1 + C1785,1)</f>
        <v>쪼</v>
      </c>
      <c r="G1785" s="6" t="str">
        <f aca="false">DEC2HEX(D1785+36, 2)</f>
        <v>2C</v>
      </c>
      <c r="H1785" s="6" t="str">
        <f aca="false">DEC2HEX(C1785+48,2)</f>
        <v>A8</v>
      </c>
      <c r="I1785" s="6" t="str">
        <f aca="false">_xlfn.CONCAT("\x", G1785, "\x", H1785, "=", F1785)</f>
        <v>\x2C\xA8=쪼</v>
      </c>
      <c r="M1785" s="8"/>
    </row>
    <row r="1786" customFormat="false" ht="12.8" hidden="false" customHeight="true" outlineLevel="0" collapsed="false">
      <c r="C1786" s="6" t="n">
        <f aca="false">MOD(ROW()-1, 208)</f>
        <v>121</v>
      </c>
      <c r="D1786" s="6" t="n">
        <f aca="false">INT((ROW()-1)/208)</f>
        <v>8</v>
      </c>
      <c r="F1786" s="6" t="str">
        <f aca="false">MID(VLOOKUP(D1786,$P$1:$Q$13,2,0), 1 + C1786,1)</f>
        <v>쪽</v>
      </c>
      <c r="G1786" s="6" t="str">
        <f aca="false">DEC2HEX(D1786+36, 2)</f>
        <v>2C</v>
      </c>
      <c r="H1786" s="6" t="str">
        <f aca="false">DEC2HEX(C1786+48,2)</f>
        <v>A9</v>
      </c>
      <c r="I1786" s="6" t="str">
        <f aca="false">_xlfn.CONCAT("\x", G1786, "\x", H1786, "=", F1786)</f>
        <v>\x2C\xA9=쪽</v>
      </c>
      <c r="M1786" s="8"/>
    </row>
    <row r="1787" customFormat="false" ht="12.8" hidden="false" customHeight="true" outlineLevel="0" collapsed="false">
      <c r="C1787" s="6" t="n">
        <f aca="false">MOD(ROW()-1, 208)</f>
        <v>122</v>
      </c>
      <c r="D1787" s="6" t="n">
        <f aca="false">INT((ROW()-1)/208)</f>
        <v>8</v>
      </c>
      <c r="F1787" s="6" t="str">
        <f aca="false">MID(VLOOKUP(D1787,$P$1:$Q$13,2,0), 1 + C1787,1)</f>
        <v>쫀</v>
      </c>
      <c r="G1787" s="6" t="str">
        <f aca="false">DEC2HEX(D1787+36, 2)</f>
        <v>2C</v>
      </c>
      <c r="H1787" s="6" t="str">
        <f aca="false">DEC2HEX(C1787+48,2)</f>
        <v>AA</v>
      </c>
      <c r="I1787" s="6" t="str">
        <f aca="false">_xlfn.CONCAT("\x", G1787, "\x", H1787, "=", F1787)</f>
        <v>\x2C\xAA=쫀</v>
      </c>
      <c r="M1787" s="8"/>
    </row>
    <row r="1788" customFormat="false" ht="12.8" hidden="false" customHeight="true" outlineLevel="0" collapsed="false">
      <c r="C1788" s="6" t="n">
        <f aca="false">MOD(ROW()-1, 208)</f>
        <v>123</v>
      </c>
      <c r="D1788" s="6" t="n">
        <f aca="false">INT((ROW()-1)/208)</f>
        <v>8</v>
      </c>
      <c r="F1788" s="6" t="str">
        <f aca="false">MID(VLOOKUP(D1788,$P$1:$Q$13,2,0), 1 + C1788,1)</f>
        <v>쫄</v>
      </c>
      <c r="G1788" s="6" t="str">
        <f aca="false">DEC2HEX(D1788+36, 2)</f>
        <v>2C</v>
      </c>
      <c r="H1788" s="6" t="str">
        <f aca="false">DEC2HEX(C1788+48,2)</f>
        <v>AB</v>
      </c>
      <c r="I1788" s="6" t="str">
        <f aca="false">_xlfn.CONCAT("\x", G1788, "\x", H1788, "=", F1788)</f>
        <v>\x2C\xAB=쫄</v>
      </c>
      <c r="M1788" s="8"/>
    </row>
    <row r="1789" customFormat="false" ht="12.8" hidden="false" customHeight="true" outlineLevel="0" collapsed="false">
      <c r="C1789" s="6" t="n">
        <f aca="false">MOD(ROW()-1, 208)</f>
        <v>124</v>
      </c>
      <c r="D1789" s="6" t="n">
        <f aca="false">INT((ROW()-1)/208)</f>
        <v>8</v>
      </c>
      <c r="F1789" s="6" t="str">
        <f aca="false">MID(VLOOKUP(D1789,$P$1:$Q$13,2,0), 1 + C1789,1)</f>
        <v>쫌</v>
      </c>
      <c r="G1789" s="6" t="str">
        <f aca="false">DEC2HEX(D1789+36, 2)</f>
        <v>2C</v>
      </c>
      <c r="H1789" s="6" t="str">
        <f aca="false">DEC2HEX(C1789+48,2)</f>
        <v>AC</v>
      </c>
      <c r="I1789" s="6" t="str">
        <f aca="false">_xlfn.CONCAT("\x", G1789, "\x", H1789, "=", F1789)</f>
        <v>\x2C\xAC=쫌</v>
      </c>
      <c r="M1789" s="8"/>
    </row>
    <row r="1790" customFormat="false" ht="12.8" hidden="false" customHeight="true" outlineLevel="0" collapsed="false">
      <c r="C1790" s="6" t="n">
        <f aca="false">MOD(ROW()-1, 208)</f>
        <v>125</v>
      </c>
      <c r="D1790" s="6" t="n">
        <f aca="false">INT((ROW()-1)/208)</f>
        <v>8</v>
      </c>
      <c r="F1790" s="6" t="str">
        <f aca="false">MID(VLOOKUP(D1790,$P$1:$Q$13,2,0), 1 + C1790,1)</f>
        <v>쫍</v>
      </c>
      <c r="G1790" s="6" t="str">
        <f aca="false">DEC2HEX(D1790+36, 2)</f>
        <v>2C</v>
      </c>
      <c r="H1790" s="6" t="str">
        <f aca="false">DEC2HEX(C1790+48,2)</f>
        <v>AD</v>
      </c>
      <c r="I1790" s="6" t="str">
        <f aca="false">_xlfn.CONCAT("\x", G1790, "\x", H1790, "=", F1790)</f>
        <v>\x2C\xAD=쫍</v>
      </c>
      <c r="M1790" s="8"/>
    </row>
    <row r="1791" customFormat="false" ht="12.8" hidden="false" customHeight="true" outlineLevel="0" collapsed="false">
      <c r="C1791" s="6" t="n">
        <f aca="false">MOD(ROW()-1, 208)</f>
        <v>126</v>
      </c>
      <c r="D1791" s="6" t="n">
        <f aca="false">INT((ROW()-1)/208)</f>
        <v>8</v>
      </c>
      <c r="F1791" s="6" t="str">
        <f aca="false">MID(VLOOKUP(D1791,$P$1:$Q$13,2,0), 1 + C1791,1)</f>
        <v>쫏</v>
      </c>
      <c r="G1791" s="6" t="str">
        <f aca="false">DEC2HEX(D1791+36, 2)</f>
        <v>2C</v>
      </c>
      <c r="H1791" s="6" t="str">
        <f aca="false">DEC2HEX(C1791+48,2)</f>
        <v>AE</v>
      </c>
      <c r="I1791" s="6" t="str">
        <f aca="false">_xlfn.CONCAT("\x", G1791, "\x", H1791, "=", F1791)</f>
        <v>\x2C\xAE=쫏</v>
      </c>
      <c r="M1791" s="8"/>
    </row>
    <row r="1792" customFormat="false" ht="12.8" hidden="false" customHeight="true" outlineLevel="0" collapsed="false">
      <c r="C1792" s="6" t="n">
        <f aca="false">MOD(ROW()-1, 208)</f>
        <v>127</v>
      </c>
      <c r="D1792" s="6" t="n">
        <f aca="false">INT((ROW()-1)/208)</f>
        <v>8</v>
      </c>
      <c r="F1792" s="6" t="str">
        <f aca="false">MID(VLOOKUP(D1792,$P$1:$Q$13,2,0), 1 + C1792,1)</f>
        <v>쫑</v>
      </c>
      <c r="G1792" s="6" t="str">
        <f aca="false">DEC2HEX(D1792+36, 2)</f>
        <v>2C</v>
      </c>
      <c r="H1792" s="6" t="str">
        <f aca="false">DEC2HEX(C1792+48,2)</f>
        <v>AF</v>
      </c>
      <c r="I1792" s="6" t="str">
        <f aca="false">_xlfn.CONCAT("\x", G1792, "\x", H1792, "=", F1792)</f>
        <v>\x2C\xAF=쫑</v>
      </c>
      <c r="M1792" s="8"/>
    </row>
    <row r="1793" customFormat="false" ht="12.8" hidden="false" customHeight="true" outlineLevel="0" collapsed="false">
      <c r="C1793" s="6" t="n">
        <f aca="false">MOD(ROW()-1, 208)</f>
        <v>128</v>
      </c>
      <c r="D1793" s="6" t="n">
        <f aca="false">INT((ROW()-1)/208)</f>
        <v>8</v>
      </c>
      <c r="F1793" s="6" t="str">
        <f aca="false">MID(VLOOKUP(D1793,$P$1:$Q$13,2,0), 1 + C1793,1)</f>
        <v>쫓</v>
      </c>
      <c r="G1793" s="6" t="str">
        <f aca="false">DEC2HEX(D1793+36, 2)</f>
        <v>2C</v>
      </c>
      <c r="H1793" s="6" t="str">
        <f aca="false">DEC2HEX(C1793+48,2)</f>
        <v>B0</v>
      </c>
      <c r="I1793" s="6" t="str">
        <f aca="false">_xlfn.CONCAT("\x", G1793, "\x", H1793, "=", F1793)</f>
        <v>\x2C\xB0=쫓</v>
      </c>
      <c r="M1793" s="8"/>
    </row>
    <row r="1794" customFormat="false" ht="12.8" hidden="false" customHeight="true" outlineLevel="0" collapsed="false">
      <c r="C1794" s="6" t="n">
        <f aca="false">MOD(ROW()-1, 208)</f>
        <v>129</v>
      </c>
      <c r="D1794" s="6" t="n">
        <f aca="false">INT((ROW()-1)/208)</f>
        <v>8</v>
      </c>
      <c r="F1794" s="6" t="str">
        <f aca="false">MID(VLOOKUP(D1794,$P$1:$Q$13,2,0), 1 + C1794,1)</f>
        <v>쫘</v>
      </c>
      <c r="G1794" s="6" t="str">
        <f aca="false">DEC2HEX(D1794+36, 2)</f>
        <v>2C</v>
      </c>
      <c r="H1794" s="6" t="str">
        <f aca="false">DEC2HEX(C1794+48,2)</f>
        <v>B1</v>
      </c>
      <c r="I1794" s="6" t="str">
        <f aca="false">_xlfn.CONCAT("\x", G1794, "\x", H1794, "=", F1794)</f>
        <v>\x2C\xB1=쫘</v>
      </c>
      <c r="M1794" s="8"/>
    </row>
    <row r="1795" customFormat="false" ht="12.8" hidden="false" customHeight="true" outlineLevel="0" collapsed="false">
      <c r="C1795" s="6" t="n">
        <f aca="false">MOD(ROW()-1, 208)</f>
        <v>130</v>
      </c>
      <c r="D1795" s="6" t="n">
        <f aca="false">INT((ROW()-1)/208)</f>
        <v>8</v>
      </c>
      <c r="F1795" s="6" t="str">
        <f aca="false">MID(VLOOKUP(D1795,$P$1:$Q$13,2,0), 1 + C1795,1)</f>
        <v>쫙</v>
      </c>
      <c r="G1795" s="6" t="str">
        <f aca="false">DEC2HEX(D1795+36, 2)</f>
        <v>2C</v>
      </c>
      <c r="H1795" s="6" t="str">
        <f aca="false">DEC2HEX(C1795+48,2)</f>
        <v>B2</v>
      </c>
      <c r="I1795" s="6" t="str">
        <f aca="false">_xlfn.CONCAT("\x", G1795, "\x", H1795, "=", F1795)</f>
        <v>\x2C\xB2=쫙</v>
      </c>
      <c r="M1795" s="8"/>
    </row>
    <row r="1796" customFormat="false" ht="12.8" hidden="false" customHeight="true" outlineLevel="0" collapsed="false">
      <c r="C1796" s="6" t="n">
        <f aca="false">MOD(ROW()-1, 208)</f>
        <v>131</v>
      </c>
      <c r="D1796" s="6" t="n">
        <f aca="false">INT((ROW()-1)/208)</f>
        <v>8</v>
      </c>
      <c r="F1796" s="6" t="str">
        <f aca="false">MID(VLOOKUP(D1796,$P$1:$Q$13,2,0), 1 + C1796,1)</f>
        <v>쫠</v>
      </c>
      <c r="G1796" s="6" t="str">
        <f aca="false">DEC2HEX(D1796+36, 2)</f>
        <v>2C</v>
      </c>
      <c r="H1796" s="6" t="str">
        <f aca="false">DEC2HEX(C1796+48,2)</f>
        <v>B3</v>
      </c>
      <c r="I1796" s="6" t="str">
        <f aca="false">_xlfn.CONCAT("\x", G1796, "\x", H1796, "=", F1796)</f>
        <v>\x2C\xB3=쫠</v>
      </c>
      <c r="M1796" s="8"/>
    </row>
    <row r="1797" customFormat="false" ht="12.8" hidden="false" customHeight="true" outlineLevel="0" collapsed="false">
      <c r="C1797" s="6" t="n">
        <f aca="false">MOD(ROW()-1, 208)</f>
        <v>132</v>
      </c>
      <c r="D1797" s="6" t="n">
        <f aca="false">INT((ROW()-1)/208)</f>
        <v>8</v>
      </c>
      <c r="F1797" s="6" t="str">
        <f aca="false">MID(VLOOKUP(D1797,$P$1:$Q$13,2,0), 1 + C1797,1)</f>
        <v>쫬</v>
      </c>
      <c r="G1797" s="6" t="str">
        <f aca="false">DEC2HEX(D1797+36, 2)</f>
        <v>2C</v>
      </c>
      <c r="H1797" s="6" t="str">
        <f aca="false">DEC2HEX(C1797+48,2)</f>
        <v>B4</v>
      </c>
      <c r="I1797" s="6" t="str">
        <f aca="false">_xlfn.CONCAT("\x", G1797, "\x", H1797, "=", F1797)</f>
        <v>\x2C\xB4=쫬</v>
      </c>
      <c r="M1797" s="8"/>
    </row>
    <row r="1798" customFormat="false" ht="12.8" hidden="false" customHeight="true" outlineLevel="0" collapsed="false">
      <c r="C1798" s="6" t="n">
        <f aca="false">MOD(ROW()-1, 208)</f>
        <v>133</v>
      </c>
      <c r="D1798" s="6" t="n">
        <f aca="false">INT((ROW()-1)/208)</f>
        <v>8</v>
      </c>
      <c r="F1798" s="6" t="str">
        <f aca="false">MID(VLOOKUP(D1798,$P$1:$Q$13,2,0), 1 + C1798,1)</f>
        <v>쫴</v>
      </c>
      <c r="G1798" s="6" t="str">
        <f aca="false">DEC2HEX(D1798+36, 2)</f>
        <v>2C</v>
      </c>
      <c r="H1798" s="6" t="str">
        <f aca="false">DEC2HEX(C1798+48,2)</f>
        <v>B5</v>
      </c>
      <c r="I1798" s="6" t="str">
        <f aca="false">_xlfn.CONCAT("\x", G1798, "\x", H1798, "=", F1798)</f>
        <v>\x2C\xB5=쫴</v>
      </c>
      <c r="M1798" s="8"/>
    </row>
    <row r="1799" customFormat="false" ht="12.8" hidden="false" customHeight="true" outlineLevel="0" collapsed="false">
      <c r="C1799" s="6" t="n">
        <f aca="false">MOD(ROW()-1, 208)</f>
        <v>134</v>
      </c>
      <c r="D1799" s="6" t="n">
        <f aca="false">INT((ROW()-1)/208)</f>
        <v>8</v>
      </c>
      <c r="F1799" s="6" t="str">
        <f aca="false">MID(VLOOKUP(D1799,$P$1:$Q$13,2,0), 1 + C1799,1)</f>
        <v>쬈</v>
      </c>
      <c r="G1799" s="6" t="str">
        <f aca="false">DEC2HEX(D1799+36, 2)</f>
        <v>2C</v>
      </c>
      <c r="H1799" s="6" t="str">
        <f aca="false">DEC2HEX(C1799+48,2)</f>
        <v>B6</v>
      </c>
      <c r="I1799" s="6" t="str">
        <f aca="false">_xlfn.CONCAT("\x", G1799, "\x", H1799, "=", F1799)</f>
        <v>\x2C\xB6=쬈</v>
      </c>
      <c r="M1799" s="8"/>
    </row>
    <row r="1800" customFormat="false" ht="12.8" hidden="false" customHeight="true" outlineLevel="0" collapsed="false">
      <c r="C1800" s="6" t="n">
        <f aca="false">MOD(ROW()-1, 208)</f>
        <v>135</v>
      </c>
      <c r="D1800" s="6" t="n">
        <f aca="false">INT((ROW()-1)/208)</f>
        <v>8</v>
      </c>
      <c r="F1800" s="6" t="str">
        <f aca="false">MID(VLOOKUP(D1800,$P$1:$Q$13,2,0), 1 + C1800,1)</f>
        <v>쬐</v>
      </c>
      <c r="G1800" s="6" t="str">
        <f aca="false">DEC2HEX(D1800+36, 2)</f>
        <v>2C</v>
      </c>
      <c r="H1800" s="6" t="str">
        <f aca="false">DEC2HEX(C1800+48,2)</f>
        <v>B7</v>
      </c>
      <c r="I1800" s="6" t="str">
        <f aca="false">_xlfn.CONCAT("\x", G1800, "\x", H1800, "=", F1800)</f>
        <v>\x2C\xB7=쬐</v>
      </c>
      <c r="M1800" s="8"/>
    </row>
    <row r="1801" customFormat="false" ht="12.8" hidden="false" customHeight="true" outlineLevel="0" collapsed="false">
      <c r="C1801" s="6" t="n">
        <f aca="false">MOD(ROW()-1, 208)</f>
        <v>136</v>
      </c>
      <c r="D1801" s="6" t="n">
        <f aca="false">INT((ROW()-1)/208)</f>
        <v>8</v>
      </c>
      <c r="F1801" s="6" t="str">
        <f aca="false">MID(VLOOKUP(D1801,$P$1:$Q$13,2,0), 1 + C1801,1)</f>
        <v>쬔</v>
      </c>
      <c r="G1801" s="6" t="str">
        <f aca="false">DEC2HEX(D1801+36, 2)</f>
        <v>2C</v>
      </c>
      <c r="H1801" s="6" t="str">
        <f aca="false">DEC2HEX(C1801+48,2)</f>
        <v>B8</v>
      </c>
      <c r="I1801" s="6" t="str">
        <f aca="false">_xlfn.CONCAT("\x", G1801, "\x", H1801, "=", F1801)</f>
        <v>\x2C\xB8=쬔</v>
      </c>
      <c r="M1801" s="8"/>
    </row>
    <row r="1802" customFormat="false" ht="12.8" hidden="false" customHeight="true" outlineLevel="0" collapsed="false">
      <c r="C1802" s="6" t="n">
        <f aca="false">MOD(ROW()-1, 208)</f>
        <v>137</v>
      </c>
      <c r="D1802" s="6" t="n">
        <f aca="false">INT((ROW()-1)/208)</f>
        <v>8</v>
      </c>
      <c r="F1802" s="6" t="str">
        <f aca="false">MID(VLOOKUP(D1802,$P$1:$Q$13,2,0), 1 + C1802,1)</f>
        <v>쬘</v>
      </c>
      <c r="G1802" s="6" t="str">
        <f aca="false">DEC2HEX(D1802+36, 2)</f>
        <v>2C</v>
      </c>
      <c r="H1802" s="6" t="str">
        <f aca="false">DEC2HEX(C1802+48,2)</f>
        <v>B9</v>
      </c>
      <c r="I1802" s="6" t="str">
        <f aca="false">_xlfn.CONCAT("\x", G1802, "\x", H1802, "=", F1802)</f>
        <v>\x2C\xB9=쬘</v>
      </c>
      <c r="M1802" s="8"/>
    </row>
    <row r="1803" customFormat="false" ht="12.8" hidden="false" customHeight="true" outlineLevel="0" collapsed="false">
      <c r="C1803" s="6" t="n">
        <f aca="false">MOD(ROW()-1, 208)</f>
        <v>138</v>
      </c>
      <c r="D1803" s="6" t="n">
        <f aca="false">INT((ROW()-1)/208)</f>
        <v>8</v>
      </c>
      <c r="F1803" s="6" t="str">
        <f aca="false">MID(VLOOKUP(D1803,$P$1:$Q$13,2,0), 1 + C1803,1)</f>
        <v>쬠</v>
      </c>
      <c r="G1803" s="6" t="str">
        <f aca="false">DEC2HEX(D1803+36, 2)</f>
        <v>2C</v>
      </c>
      <c r="H1803" s="6" t="str">
        <f aca="false">DEC2HEX(C1803+48,2)</f>
        <v>BA</v>
      </c>
      <c r="I1803" s="6" t="str">
        <f aca="false">_xlfn.CONCAT("\x", G1803, "\x", H1803, "=", F1803)</f>
        <v>\x2C\xBA=쬠</v>
      </c>
      <c r="M1803" s="8"/>
    </row>
    <row r="1804" customFormat="false" ht="12.8" hidden="false" customHeight="true" outlineLevel="0" collapsed="false">
      <c r="C1804" s="6" t="n">
        <f aca="false">MOD(ROW()-1, 208)</f>
        <v>139</v>
      </c>
      <c r="D1804" s="6" t="n">
        <f aca="false">INT((ROW()-1)/208)</f>
        <v>8</v>
      </c>
      <c r="F1804" s="6" t="str">
        <f aca="false">MID(VLOOKUP(D1804,$P$1:$Q$13,2,0), 1 + C1804,1)</f>
        <v>쬡</v>
      </c>
      <c r="G1804" s="6" t="str">
        <f aca="false">DEC2HEX(D1804+36, 2)</f>
        <v>2C</v>
      </c>
      <c r="H1804" s="6" t="str">
        <f aca="false">DEC2HEX(C1804+48,2)</f>
        <v>BB</v>
      </c>
      <c r="I1804" s="6" t="str">
        <f aca="false">_xlfn.CONCAT("\x", G1804, "\x", H1804, "=", F1804)</f>
        <v>\x2C\xBB=쬡</v>
      </c>
      <c r="M1804" s="8"/>
    </row>
    <row r="1805" customFormat="false" ht="12.8" hidden="false" customHeight="true" outlineLevel="0" collapsed="false">
      <c r="C1805" s="6" t="n">
        <f aca="false">MOD(ROW()-1, 208)</f>
        <v>140</v>
      </c>
      <c r="D1805" s="6" t="n">
        <f aca="false">INT((ROW()-1)/208)</f>
        <v>8</v>
      </c>
      <c r="F1805" s="6" t="str">
        <f aca="false">MID(VLOOKUP(D1805,$P$1:$Q$13,2,0), 1 + C1805,1)</f>
        <v>쭁</v>
      </c>
      <c r="G1805" s="6" t="str">
        <f aca="false">DEC2HEX(D1805+36, 2)</f>
        <v>2C</v>
      </c>
      <c r="H1805" s="6" t="str">
        <f aca="false">DEC2HEX(C1805+48,2)</f>
        <v>BC</v>
      </c>
      <c r="I1805" s="6" t="str">
        <f aca="false">_xlfn.CONCAT("\x", G1805, "\x", H1805, "=", F1805)</f>
        <v>\x2C\xBC=쭁</v>
      </c>
      <c r="M1805" s="8"/>
    </row>
    <row r="1806" customFormat="false" ht="12.8" hidden="false" customHeight="true" outlineLevel="0" collapsed="false">
      <c r="C1806" s="6" t="n">
        <f aca="false">MOD(ROW()-1, 208)</f>
        <v>141</v>
      </c>
      <c r="D1806" s="6" t="n">
        <f aca="false">INT((ROW()-1)/208)</f>
        <v>8</v>
      </c>
      <c r="F1806" s="6" t="str">
        <f aca="false">MID(VLOOKUP(D1806,$P$1:$Q$13,2,0), 1 + C1806,1)</f>
        <v>쭈</v>
      </c>
      <c r="G1806" s="6" t="str">
        <f aca="false">DEC2HEX(D1806+36, 2)</f>
        <v>2C</v>
      </c>
      <c r="H1806" s="6" t="str">
        <f aca="false">DEC2HEX(C1806+48,2)</f>
        <v>BD</v>
      </c>
      <c r="I1806" s="6" t="str">
        <f aca="false">_xlfn.CONCAT("\x", G1806, "\x", H1806, "=", F1806)</f>
        <v>\x2C\xBD=쭈</v>
      </c>
      <c r="M1806" s="8"/>
    </row>
    <row r="1807" customFormat="false" ht="12.8" hidden="false" customHeight="true" outlineLevel="0" collapsed="false">
      <c r="C1807" s="6" t="n">
        <f aca="false">MOD(ROW()-1, 208)</f>
        <v>142</v>
      </c>
      <c r="D1807" s="6" t="n">
        <f aca="false">INT((ROW()-1)/208)</f>
        <v>8</v>
      </c>
      <c r="F1807" s="6" t="str">
        <f aca="false">MID(VLOOKUP(D1807,$P$1:$Q$13,2,0), 1 + C1807,1)</f>
        <v>쭉</v>
      </c>
      <c r="G1807" s="6" t="str">
        <f aca="false">DEC2HEX(D1807+36, 2)</f>
        <v>2C</v>
      </c>
      <c r="H1807" s="6" t="str">
        <f aca="false">DEC2HEX(C1807+48,2)</f>
        <v>BE</v>
      </c>
      <c r="I1807" s="6" t="str">
        <f aca="false">_xlfn.CONCAT("\x", G1807, "\x", H1807, "=", F1807)</f>
        <v>\x2C\xBE=쭉</v>
      </c>
      <c r="M1807" s="8"/>
    </row>
    <row r="1808" customFormat="false" ht="12.8" hidden="false" customHeight="true" outlineLevel="0" collapsed="false">
      <c r="C1808" s="6" t="n">
        <f aca="false">MOD(ROW()-1, 208)</f>
        <v>143</v>
      </c>
      <c r="D1808" s="6" t="n">
        <f aca="false">INT((ROW()-1)/208)</f>
        <v>8</v>
      </c>
      <c r="F1808" s="6" t="str">
        <f aca="false">MID(VLOOKUP(D1808,$P$1:$Q$13,2,0), 1 + C1808,1)</f>
        <v>쭌</v>
      </c>
      <c r="G1808" s="6" t="str">
        <f aca="false">DEC2HEX(D1808+36, 2)</f>
        <v>2C</v>
      </c>
      <c r="H1808" s="6" t="str">
        <f aca="false">DEC2HEX(C1808+48,2)</f>
        <v>BF</v>
      </c>
      <c r="I1808" s="6" t="str">
        <f aca="false">_xlfn.CONCAT("\x", G1808, "\x", H1808, "=", F1808)</f>
        <v>\x2C\xBF=쭌</v>
      </c>
      <c r="M1808" s="8"/>
    </row>
    <row r="1809" customFormat="false" ht="12.8" hidden="false" customHeight="true" outlineLevel="0" collapsed="false">
      <c r="C1809" s="6" t="n">
        <f aca="false">MOD(ROW()-1, 208)</f>
        <v>144</v>
      </c>
      <c r="D1809" s="6" t="n">
        <f aca="false">INT((ROW()-1)/208)</f>
        <v>8</v>
      </c>
      <c r="F1809" s="6" t="str">
        <f aca="false">MID(VLOOKUP(D1809,$P$1:$Q$13,2,0), 1 + C1809,1)</f>
        <v>쭐</v>
      </c>
      <c r="G1809" s="6" t="str">
        <f aca="false">DEC2HEX(D1809+36, 2)</f>
        <v>2C</v>
      </c>
      <c r="H1809" s="6" t="str">
        <f aca="false">DEC2HEX(C1809+48,2)</f>
        <v>C0</v>
      </c>
      <c r="I1809" s="6" t="str">
        <f aca="false">_xlfn.CONCAT("\x", G1809, "\x", H1809, "=", F1809)</f>
        <v>\x2C\xC0=쭐</v>
      </c>
      <c r="M1809" s="8"/>
    </row>
    <row r="1810" customFormat="false" ht="12.8" hidden="false" customHeight="true" outlineLevel="0" collapsed="false">
      <c r="C1810" s="6" t="n">
        <f aca="false">MOD(ROW()-1, 208)</f>
        <v>145</v>
      </c>
      <c r="D1810" s="6" t="n">
        <f aca="false">INT((ROW()-1)/208)</f>
        <v>8</v>
      </c>
      <c r="F1810" s="6" t="str">
        <f aca="false">MID(VLOOKUP(D1810,$P$1:$Q$13,2,0), 1 + C1810,1)</f>
        <v>쭘</v>
      </c>
      <c r="G1810" s="6" t="str">
        <f aca="false">DEC2HEX(D1810+36, 2)</f>
        <v>2C</v>
      </c>
      <c r="H1810" s="6" t="str">
        <f aca="false">DEC2HEX(C1810+48,2)</f>
        <v>C1</v>
      </c>
      <c r="I1810" s="6" t="str">
        <f aca="false">_xlfn.CONCAT("\x", G1810, "\x", H1810, "=", F1810)</f>
        <v>\x2C\xC1=쭘</v>
      </c>
      <c r="M1810" s="8"/>
    </row>
    <row r="1811" customFormat="false" ht="12.8" hidden="false" customHeight="true" outlineLevel="0" collapsed="false">
      <c r="C1811" s="6" t="n">
        <f aca="false">MOD(ROW()-1, 208)</f>
        <v>146</v>
      </c>
      <c r="D1811" s="6" t="n">
        <f aca="false">INT((ROW()-1)/208)</f>
        <v>8</v>
      </c>
      <c r="F1811" s="6" t="str">
        <f aca="false">MID(VLOOKUP(D1811,$P$1:$Q$13,2,0), 1 + C1811,1)</f>
        <v>쭙</v>
      </c>
      <c r="G1811" s="6" t="str">
        <f aca="false">DEC2HEX(D1811+36, 2)</f>
        <v>2C</v>
      </c>
      <c r="H1811" s="6" t="str">
        <f aca="false">DEC2HEX(C1811+48,2)</f>
        <v>C2</v>
      </c>
      <c r="I1811" s="6" t="str">
        <f aca="false">_xlfn.CONCAT("\x", G1811, "\x", H1811, "=", F1811)</f>
        <v>\x2C\xC2=쭙</v>
      </c>
      <c r="M1811" s="8"/>
    </row>
    <row r="1812" customFormat="false" ht="12.8" hidden="false" customHeight="true" outlineLevel="0" collapsed="false">
      <c r="C1812" s="6" t="n">
        <f aca="false">MOD(ROW()-1, 208)</f>
        <v>147</v>
      </c>
      <c r="D1812" s="6" t="n">
        <f aca="false">INT((ROW()-1)/208)</f>
        <v>8</v>
      </c>
      <c r="F1812" s="6" t="str">
        <f aca="false">MID(VLOOKUP(D1812,$P$1:$Q$13,2,0), 1 + C1812,1)</f>
        <v>쭝</v>
      </c>
      <c r="G1812" s="6" t="str">
        <f aca="false">DEC2HEX(D1812+36, 2)</f>
        <v>2C</v>
      </c>
      <c r="H1812" s="6" t="str">
        <f aca="false">DEC2HEX(C1812+48,2)</f>
        <v>C3</v>
      </c>
      <c r="I1812" s="6" t="str">
        <f aca="false">_xlfn.CONCAT("\x", G1812, "\x", H1812, "=", F1812)</f>
        <v>\x2C\xC3=쭝</v>
      </c>
      <c r="M1812" s="8"/>
    </row>
    <row r="1813" customFormat="false" ht="12.8" hidden="false" customHeight="true" outlineLevel="0" collapsed="false">
      <c r="C1813" s="6" t="n">
        <f aca="false">MOD(ROW()-1, 208)</f>
        <v>148</v>
      </c>
      <c r="D1813" s="6" t="n">
        <f aca="false">INT((ROW()-1)/208)</f>
        <v>8</v>
      </c>
      <c r="F1813" s="6" t="str">
        <f aca="false">MID(VLOOKUP(D1813,$P$1:$Q$13,2,0), 1 + C1813,1)</f>
        <v>쭤</v>
      </c>
      <c r="G1813" s="6" t="str">
        <f aca="false">DEC2HEX(D1813+36, 2)</f>
        <v>2C</v>
      </c>
      <c r="H1813" s="6" t="str">
        <f aca="false">DEC2HEX(C1813+48,2)</f>
        <v>C4</v>
      </c>
      <c r="I1813" s="6" t="str">
        <f aca="false">_xlfn.CONCAT("\x", G1813, "\x", H1813, "=", F1813)</f>
        <v>\x2C\xC4=쭤</v>
      </c>
      <c r="M1813" s="8"/>
    </row>
    <row r="1814" customFormat="false" ht="12.8" hidden="false" customHeight="true" outlineLevel="0" collapsed="false">
      <c r="C1814" s="6" t="n">
        <f aca="false">MOD(ROW()-1, 208)</f>
        <v>149</v>
      </c>
      <c r="D1814" s="6" t="n">
        <f aca="false">INT((ROW()-1)/208)</f>
        <v>8</v>
      </c>
      <c r="F1814" s="6" t="str">
        <f aca="false">MID(VLOOKUP(D1814,$P$1:$Q$13,2,0), 1 + C1814,1)</f>
        <v>쭸</v>
      </c>
      <c r="G1814" s="6" t="str">
        <f aca="false">DEC2HEX(D1814+36, 2)</f>
        <v>2C</v>
      </c>
      <c r="H1814" s="6" t="str">
        <f aca="false">DEC2HEX(C1814+48,2)</f>
        <v>C5</v>
      </c>
      <c r="I1814" s="6" t="str">
        <f aca="false">_xlfn.CONCAT("\x", G1814, "\x", H1814, "=", F1814)</f>
        <v>\x2C\xC5=쭸</v>
      </c>
      <c r="M1814" s="8"/>
    </row>
    <row r="1815" customFormat="false" ht="12.8" hidden="false" customHeight="true" outlineLevel="0" collapsed="false">
      <c r="C1815" s="6" t="n">
        <f aca="false">MOD(ROW()-1, 208)</f>
        <v>150</v>
      </c>
      <c r="D1815" s="6" t="n">
        <f aca="false">INT((ROW()-1)/208)</f>
        <v>8</v>
      </c>
      <c r="F1815" s="6" t="str">
        <f aca="false">MID(VLOOKUP(D1815,$P$1:$Q$13,2,0), 1 + C1815,1)</f>
        <v>쭹</v>
      </c>
      <c r="G1815" s="6" t="str">
        <f aca="false">DEC2HEX(D1815+36, 2)</f>
        <v>2C</v>
      </c>
      <c r="H1815" s="6" t="str">
        <f aca="false">DEC2HEX(C1815+48,2)</f>
        <v>C6</v>
      </c>
      <c r="I1815" s="6" t="str">
        <f aca="false">_xlfn.CONCAT("\x", G1815, "\x", H1815, "=", F1815)</f>
        <v>\x2C\xC6=쭹</v>
      </c>
      <c r="M1815" s="8"/>
    </row>
    <row r="1816" customFormat="false" ht="12.8" hidden="false" customHeight="true" outlineLevel="0" collapsed="false">
      <c r="C1816" s="6" t="n">
        <f aca="false">MOD(ROW()-1, 208)</f>
        <v>151</v>
      </c>
      <c r="D1816" s="6" t="n">
        <f aca="false">INT((ROW()-1)/208)</f>
        <v>8</v>
      </c>
      <c r="F1816" s="6" t="str">
        <f aca="false">MID(VLOOKUP(D1816,$P$1:$Q$13,2,0), 1 + C1816,1)</f>
        <v>쮜</v>
      </c>
      <c r="G1816" s="6" t="str">
        <f aca="false">DEC2HEX(D1816+36, 2)</f>
        <v>2C</v>
      </c>
      <c r="H1816" s="6" t="str">
        <f aca="false">DEC2HEX(C1816+48,2)</f>
        <v>C7</v>
      </c>
      <c r="I1816" s="6" t="str">
        <f aca="false">_xlfn.CONCAT("\x", G1816, "\x", H1816, "=", F1816)</f>
        <v>\x2C\xC7=쮜</v>
      </c>
      <c r="M1816" s="8"/>
    </row>
    <row r="1817" customFormat="false" ht="12.8" hidden="false" customHeight="true" outlineLevel="0" collapsed="false">
      <c r="C1817" s="6" t="n">
        <f aca="false">MOD(ROW()-1, 208)</f>
        <v>152</v>
      </c>
      <c r="D1817" s="6" t="n">
        <f aca="false">INT((ROW()-1)/208)</f>
        <v>8</v>
      </c>
      <c r="F1817" s="6" t="str">
        <f aca="false">MID(VLOOKUP(D1817,$P$1:$Q$13,2,0), 1 + C1817,1)</f>
        <v>쮸</v>
      </c>
      <c r="G1817" s="6" t="str">
        <f aca="false">DEC2HEX(D1817+36, 2)</f>
        <v>2C</v>
      </c>
      <c r="H1817" s="6" t="str">
        <f aca="false">DEC2HEX(C1817+48,2)</f>
        <v>C8</v>
      </c>
      <c r="I1817" s="6" t="str">
        <f aca="false">_xlfn.CONCAT("\x", G1817, "\x", H1817, "=", F1817)</f>
        <v>\x2C\xC8=쮸</v>
      </c>
      <c r="M1817" s="8"/>
    </row>
    <row r="1818" customFormat="false" ht="12.8" hidden="false" customHeight="true" outlineLevel="0" collapsed="false">
      <c r="C1818" s="6" t="n">
        <f aca="false">MOD(ROW()-1, 208)</f>
        <v>153</v>
      </c>
      <c r="D1818" s="6" t="n">
        <f aca="false">INT((ROW()-1)/208)</f>
        <v>8</v>
      </c>
      <c r="F1818" s="6" t="str">
        <f aca="false">MID(VLOOKUP(D1818,$P$1:$Q$13,2,0), 1 + C1818,1)</f>
        <v>쯔</v>
      </c>
      <c r="G1818" s="6" t="str">
        <f aca="false">DEC2HEX(D1818+36, 2)</f>
        <v>2C</v>
      </c>
      <c r="H1818" s="6" t="str">
        <f aca="false">DEC2HEX(C1818+48,2)</f>
        <v>C9</v>
      </c>
      <c r="I1818" s="6" t="str">
        <f aca="false">_xlfn.CONCAT("\x", G1818, "\x", H1818, "=", F1818)</f>
        <v>\x2C\xC9=쯔</v>
      </c>
      <c r="M1818" s="8"/>
    </row>
    <row r="1819" customFormat="false" ht="12.8" hidden="false" customHeight="true" outlineLevel="0" collapsed="false">
      <c r="C1819" s="6" t="n">
        <f aca="false">MOD(ROW()-1, 208)</f>
        <v>154</v>
      </c>
      <c r="D1819" s="6" t="n">
        <f aca="false">INT((ROW()-1)/208)</f>
        <v>8</v>
      </c>
      <c r="F1819" s="6" t="str">
        <f aca="false">MID(VLOOKUP(D1819,$P$1:$Q$13,2,0), 1 + C1819,1)</f>
        <v>쯤</v>
      </c>
      <c r="G1819" s="6" t="str">
        <f aca="false">DEC2HEX(D1819+36, 2)</f>
        <v>2C</v>
      </c>
      <c r="H1819" s="6" t="str">
        <f aca="false">DEC2HEX(C1819+48,2)</f>
        <v>CA</v>
      </c>
      <c r="I1819" s="6" t="str">
        <f aca="false">_xlfn.CONCAT("\x", G1819, "\x", H1819, "=", F1819)</f>
        <v>\x2C\xCA=쯤</v>
      </c>
      <c r="M1819" s="8"/>
    </row>
    <row r="1820" customFormat="false" ht="12.8" hidden="false" customHeight="true" outlineLevel="0" collapsed="false">
      <c r="C1820" s="6" t="n">
        <f aca="false">MOD(ROW()-1, 208)</f>
        <v>155</v>
      </c>
      <c r="D1820" s="6" t="n">
        <f aca="false">INT((ROW()-1)/208)</f>
        <v>8</v>
      </c>
      <c r="F1820" s="6" t="str">
        <f aca="false">MID(VLOOKUP(D1820,$P$1:$Q$13,2,0), 1 + C1820,1)</f>
        <v>쯧</v>
      </c>
      <c r="G1820" s="6" t="str">
        <f aca="false">DEC2HEX(D1820+36, 2)</f>
        <v>2C</v>
      </c>
      <c r="H1820" s="6" t="str">
        <f aca="false">DEC2HEX(C1820+48,2)</f>
        <v>CB</v>
      </c>
      <c r="I1820" s="6" t="str">
        <f aca="false">_xlfn.CONCAT("\x", G1820, "\x", H1820, "=", F1820)</f>
        <v>\x2C\xCB=쯧</v>
      </c>
      <c r="M1820" s="8"/>
    </row>
    <row r="1821" customFormat="false" ht="12.8" hidden="false" customHeight="true" outlineLevel="0" collapsed="false">
      <c r="C1821" s="6" t="n">
        <f aca="false">MOD(ROW()-1, 208)</f>
        <v>156</v>
      </c>
      <c r="D1821" s="6" t="n">
        <f aca="false">INT((ROW()-1)/208)</f>
        <v>8</v>
      </c>
      <c r="F1821" s="6" t="str">
        <f aca="false">MID(VLOOKUP(D1821,$P$1:$Q$13,2,0), 1 + C1821,1)</f>
        <v>쯩</v>
      </c>
      <c r="G1821" s="6" t="str">
        <f aca="false">DEC2HEX(D1821+36, 2)</f>
        <v>2C</v>
      </c>
      <c r="H1821" s="6" t="str">
        <f aca="false">DEC2HEX(C1821+48,2)</f>
        <v>CC</v>
      </c>
      <c r="I1821" s="6" t="str">
        <f aca="false">_xlfn.CONCAT("\x", G1821, "\x", H1821, "=", F1821)</f>
        <v>\x2C\xCC=쯩</v>
      </c>
      <c r="M1821" s="8"/>
    </row>
    <row r="1822" customFormat="false" ht="12.8" hidden="false" customHeight="true" outlineLevel="0" collapsed="false">
      <c r="C1822" s="6" t="n">
        <f aca="false">MOD(ROW()-1, 208)</f>
        <v>157</v>
      </c>
      <c r="D1822" s="6" t="n">
        <f aca="false">INT((ROW()-1)/208)</f>
        <v>8</v>
      </c>
      <c r="F1822" s="6" t="str">
        <f aca="false">MID(VLOOKUP(D1822,$P$1:$Q$13,2,0), 1 + C1822,1)</f>
        <v>찌</v>
      </c>
      <c r="G1822" s="6" t="str">
        <f aca="false">DEC2HEX(D1822+36, 2)</f>
        <v>2C</v>
      </c>
      <c r="H1822" s="6" t="str">
        <f aca="false">DEC2HEX(C1822+48,2)</f>
        <v>CD</v>
      </c>
      <c r="I1822" s="6" t="str">
        <f aca="false">_xlfn.CONCAT("\x", G1822, "\x", H1822, "=", F1822)</f>
        <v>\x2C\xCD=찌</v>
      </c>
      <c r="M1822" s="8"/>
    </row>
    <row r="1823" customFormat="false" ht="12.8" hidden="false" customHeight="true" outlineLevel="0" collapsed="false">
      <c r="C1823" s="6" t="n">
        <f aca="false">MOD(ROW()-1, 208)</f>
        <v>158</v>
      </c>
      <c r="D1823" s="6" t="n">
        <f aca="false">INT((ROW()-1)/208)</f>
        <v>8</v>
      </c>
      <c r="F1823" s="6" t="str">
        <f aca="false">MID(VLOOKUP(D1823,$P$1:$Q$13,2,0), 1 + C1823,1)</f>
        <v>찍</v>
      </c>
      <c r="G1823" s="6" t="str">
        <f aca="false">DEC2HEX(D1823+36, 2)</f>
        <v>2C</v>
      </c>
      <c r="H1823" s="6" t="str">
        <f aca="false">DEC2HEX(C1823+48,2)</f>
        <v>CE</v>
      </c>
      <c r="I1823" s="6" t="str">
        <f aca="false">_xlfn.CONCAT("\x", G1823, "\x", H1823, "=", F1823)</f>
        <v>\x2C\xCE=찍</v>
      </c>
      <c r="M1823" s="8"/>
    </row>
    <row r="1824" customFormat="false" ht="12.8" hidden="false" customHeight="true" outlineLevel="0" collapsed="false">
      <c r="C1824" s="6" t="n">
        <f aca="false">MOD(ROW()-1, 208)</f>
        <v>159</v>
      </c>
      <c r="D1824" s="6" t="n">
        <f aca="false">INT((ROW()-1)/208)</f>
        <v>8</v>
      </c>
      <c r="F1824" s="6" t="str">
        <f aca="false">MID(VLOOKUP(D1824,$P$1:$Q$13,2,0), 1 + C1824,1)</f>
        <v>찐</v>
      </c>
      <c r="G1824" s="6" t="str">
        <f aca="false">DEC2HEX(D1824+36, 2)</f>
        <v>2C</v>
      </c>
      <c r="H1824" s="6" t="str">
        <f aca="false">DEC2HEX(C1824+48,2)</f>
        <v>CF</v>
      </c>
      <c r="I1824" s="6" t="str">
        <f aca="false">_xlfn.CONCAT("\x", G1824, "\x", H1824, "=", F1824)</f>
        <v>\x2C\xCF=찐</v>
      </c>
      <c r="M1824" s="8"/>
    </row>
    <row r="1825" customFormat="false" ht="12.8" hidden="false" customHeight="true" outlineLevel="0" collapsed="false">
      <c r="C1825" s="6" t="n">
        <f aca="false">MOD(ROW()-1, 208)</f>
        <v>160</v>
      </c>
      <c r="D1825" s="6" t="n">
        <f aca="false">INT((ROW()-1)/208)</f>
        <v>8</v>
      </c>
      <c r="F1825" s="6" t="str">
        <f aca="false">MID(VLOOKUP(D1825,$P$1:$Q$13,2,0), 1 + C1825,1)</f>
        <v>찔</v>
      </c>
      <c r="G1825" s="6" t="str">
        <f aca="false">DEC2HEX(D1825+36, 2)</f>
        <v>2C</v>
      </c>
      <c r="H1825" s="6" t="str">
        <f aca="false">DEC2HEX(C1825+48,2)</f>
        <v>D0</v>
      </c>
      <c r="I1825" s="6" t="str">
        <f aca="false">_xlfn.CONCAT("\x", G1825, "\x", H1825, "=", F1825)</f>
        <v>\x2C\xD0=찔</v>
      </c>
      <c r="M1825" s="8"/>
    </row>
    <row r="1826" customFormat="false" ht="12.8" hidden="false" customHeight="true" outlineLevel="0" collapsed="false">
      <c r="C1826" s="6" t="n">
        <f aca="false">MOD(ROW()-1, 208)</f>
        <v>161</v>
      </c>
      <c r="D1826" s="6" t="n">
        <f aca="false">INT((ROW()-1)/208)</f>
        <v>8</v>
      </c>
      <c r="F1826" s="6" t="str">
        <f aca="false">MID(VLOOKUP(D1826,$P$1:$Q$13,2,0), 1 + C1826,1)</f>
        <v>찜</v>
      </c>
      <c r="G1826" s="6" t="str">
        <f aca="false">DEC2HEX(D1826+36, 2)</f>
        <v>2C</v>
      </c>
      <c r="H1826" s="6" t="str">
        <f aca="false">DEC2HEX(C1826+48,2)</f>
        <v>D1</v>
      </c>
      <c r="I1826" s="6" t="str">
        <f aca="false">_xlfn.CONCAT("\x", G1826, "\x", H1826, "=", F1826)</f>
        <v>\x2C\xD1=찜</v>
      </c>
      <c r="M1826" s="8"/>
    </row>
    <row r="1827" customFormat="false" ht="12.8" hidden="false" customHeight="true" outlineLevel="0" collapsed="false">
      <c r="C1827" s="6" t="n">
        <f aca="false">MOD(ROW()-1, 208)</f>
        <v>162</v>
      </c>
      <c r="D1827" s="6" t="n">
        <f aca="false">INT((ROW()-1)/208)</f>
        <v>8</v>
      </c>
      <c r="F1827" s="6" t="str">
        <f aca="false">MID(VLOOKUP(D1827,$P$1:$Q$13,2,0), 1 + C1827,1)</f>
        <v>찝</v>
      </c>
      <c r="G1827" s="6" t="str">
        <f aca="false">DEC2HEX(D1827+36, 2)</f>
        <v>2C</v>
      </c>
      <c r="H1827" s="6" t="str">
        <f aca="false">DEC2HEX(C1827+48,2)</f>
        <v>D2</v>
      </c>
      <c r="I1827" s="6" t="str">
        <f aca="false">_xlfn.CONCAT("\x", G1827, "\x", H1827, "=", F1827)</f>
        <v>\x2C\xD2=찝</v>
      </c>
      <c r="M1827" s="8"/>
    </row>
    <row r="1828" customFormat="false" ht="12.8" hidden="false" customHeight="true" outlineLevel="0" collapsed="false">
      <c r="C1828" s="6" t="n">
        <f aca="false">MOD(ROW()-1, 208)</f>
        <v>163</v>
      </c>
      <c r="D1828" s="6" t="n">
        <f aca="false">INT((ROW()-1)/208)</f>
        <v>8</v>
      </c>
      <c r="F1828" s="6" t="str">
        <f aca="false">MID(VLOOKUP(D1828,$P$1:$Q$13,2,0), 1 + C1828,1)</f>
        <v>찡</v>
      </c>
      <c r="G1828" s="6" t="str">
        <f aca="false">DEC2HEX(D1828+36, 2)</f>
        <v>2C</v>
      </c>
      <c r="H1828" s="6" t="str">
        <f aca="false">DEC2HEX(C1828+48,2)</f>
        <v>D3</v>
      </c>
      <c r="I1828" s="6" t="str">
        <f aca="false">_xlfn.CONCAT("\x", G1828, "\x", H1828, "=", F1828)</f>
        <v>\x2C\xD3=찡</v>
      </c>
      <c r="M1828" s="8"/>
    </row>
    <row r="1829" customFormat="false" ht="12.8" hidden="false" customHeight="true" outlineLevel="0" collapsed="false">
      <c r="C1829" s="6" t="n">
        <f aca="false">MOD(ROW()-1, 208)</f>
        <v>164</v>
      </c>
      <c r="D1829" s="6" t="n">
        <f aca="false">INT((ROW()-1)/208)</f>
        <v>8</v>
      </c>
      <c r="F1829" s="6" t="str">
        <f aca="false">MID(VLOOKUP(D1829,$P$1:$Q$13,2,0), 1 + C1829,1)</f>
        <v>찢</v>
      </c>
      <c r="G1829" s="6" t="str">
        <f aca="false">DEC2HEX(D1829+36, 2)</f>
        <v>2C</v>
      </c>
      <c r="H1829" s="6" t="str">
        <f aca="false">DEC2HEX(C1829+48,2)</f>
        <v>D4</v>
      </c>
      <c r="I1829" s="6" t="str">
        <f aca="false">_xlfn.CONCAT("\x", G1829, "\x", H1829, "=", F1829)</f>
        <v>\x2C\xD4=찢</v>
      </c>
      <c r="M1829" s="8"/>
    </row>
    <row r="1830" customFormat="false" ht="12.8" hidden="false" customHeight="true" outlineLevel="0" collapsed="false">
      <c r="C1830" s="6" t="n">
        <f aca="false">MOD(ROW()-1, 208)</f>
        <v>165</v>
      </c>
      <c r="D1830" s="6" t="n">
        <f aca="false">INT((ROW()-1)/208)</f>
        <v>8</v>
      </c>
      <c r="F1830" s="6" t="str">
        <f aca="false">MID(VLOOKUP(D1830,$P$1:$Q$13,2,0), 1 + C1830,1)</f>
        <v>찧</v>
      </c>
      <c r="G1830" s="6" t="str">
        <f aca="false">DEC2HEX(D1830+36, 2)</f>
        <v>2C</v>
      </c>
      <c r="H1830" s="6" t="str">
        <f aca="false">DEC2HEX(C1830+48,2)</f>
        <v>D5</v>
      </c>
      <c r="I1830" s="6" t="str">
        <f aca="false">_xlfn.CONCAT("\x", G1830, "\x", H1830, "=", F1830)</f>
        <v>\x2C\xD5=찧</v>
      </c>
      <c r="M1830" s="8"/>
    </row>
    <row r="1831" customFormat="false" ht="12.8" hidden="false" customHeight="true" outlineLevel="0" collapsed="false">
      <c r="C1831" s="6" t="n">
        <f aca="false">MOD(ROW()-1, 208)</f>
        <v>166</v>
      </c>
      <c r="D1831" s="6" t="n">
        <f aca="false">INT((ROW()-1)/208)</f>
        <v>8</v>
      </c>
      <c r="F1831" s="6" t="str">
        <f aca="false">MID(VLOOKUP(D1831,$P$1:$Q$13,2,0), 1 + C1831,1)</f>
        <v>차</v>
      </c>
      <c r="G1831" s="6" t="str">
        <f aca="false">DEC2HEX(D1831+36, 2)</f>
        <v>2C</v>
      </c>
      <c r="H1831" s="6" t="str">
        <f aca="false">DEC2HEX(C1831+48,2)</f>
        <v>D6</v>
      </c>
      <c r="I1831" s="6" t="str">
        <f aca="false">_xlfn.CONCAT("\x", G1831, "\x", H1831, "=", F1831)</f>
        <v>\x2C\xD6=차</v>
      </c>
      <c r="M1831" s="8"/>
    </row>
    <row r="1832" customFormat="false" ht="12.8" hidden="false" customHeight="true" outlineLevel="0" collapsed="false">
      <c r="C1832" s="6" t="n">
        <f aca="false">MOD(ROW()-1, 208)</f>
        <v>167</v>
      </c>
      <c r="D1832" s="6" t="n">
        <f aca="false">INT((ROW()-1)/208)</f>
        <v>8</v>
      </c>
      <c r="F1832" s="6" t="str">
        <f aca="false">MID(VLOOKUP(D1832,$P$1:$Q$13,2,0), 1 + C1832,1)</f>
        <v>착</v>
      </c>
      <c r="G1832" s="6" t="str">
        <f aca="false">DEC2HEX(D1832+36, 2)</f>
        <v>2C</v>
      </c>
      <c r="H1832" s="6" t="str">
        <f aca="false">DEC2HEX(C1832+48,2)</f>
        <v>D7</v>
      </c>
      <c r="I1832" s="6" t="str">
        <f aca="false">_xlfn.CONCAT("\x", G1832, "\x", H1832, "=", F1832)</f>
        <v>\x2C\xD7=착</v>
      </c>
      <c r="M1832" s="8"/>
    </row>
    <row r="1833" customFormat="false" ht="12.8" hidden="false" customHeight="true" outlineLevel="0" collapsed="false">
      <c r="C1833" s="6" t="n">
        <f aca="false">MOD(ROW()-1, 208)</f>
        <v>168</v>
      </c>
      <c r="D1833" s="6" t="n">
        <f aca="false">INT((ROW()-1)/208)</f>
        <v>8</v>
      </c>
      <c r="F1833" s="6" t="str">
        <f aca="false">MID(VLOOKUP(D1833,$P$1:$Q$13,2,0), 1 + C1833,1)</f>
        <v>찬</v>
      </c>
      <c r="G1833" s="6" t="str">
        <f aca="false">DEC2HEX(D1833+36, 2)</f>
        <v>2C</v>
      </c>
      <c r="H1833" s="6" t="str">
        <f aca="false">DEC2HEX(C1833+48,2)</f>
        <v>D8</v>
      </c>
      <c r="I1833" s="6" t="str">
        <f aca="false">_xlfn.CONCAT("\x", G1833, "\x", H1833, "=", F1833)</f>
        <v>\x2C\xD8=찬</v>
      </c>
      <c r="M1833" s="8"/>
    </row>
    <row r="1834" customFormat="false" ht="12.8" hidden="false" customHeight="true" outlineLevel="0" collapsed="false">
      <c r="C1834" s="6" t="n">
        <f aca="false">MOD(ROW()-1, 208)</f>
        <v>169</v>
      </c>
      <c r="D1834" s="6" t="n">
        <f aca="false">INT((ROW()-1)/208)</f>
        <v>8</v>
      </c>
      <c r="F1834" s="6" t="str">
        <f aca="false">MID(VLOOKUP(D1834,$P$1:$Q$13,2,0), 1 + C1834,1)</f>
        <v>찮</v>
      </c>
      <c r="G1834" s="6" t="str">
        <f aca="false">DEC2HEX(D1834+36, 2)</f>
        <v>2C</v>
      </c>
      <c r="H1834" s="6" t="str">
        <f aca="false">DEC2HEX(C1834+48,2)</f>
        <v>D9</v>
      </c>
      <c r="I1834" s="6" t="str">
        <f aca="false">_xlfn.CONCAT("\x", G1834, "\x", H1834, "=", F1834)</f>
        <v>\x2C\xD9=찮</v>
      </c>
      <c r="M1834" s="8"/>
    </row>
    <row r="1835" customFormat="false" ht="12.8" hidden="false" customHeight="true" outlineLevel="0" collapsed="false">
      <c r="C1835" s="6" t="n">
        <f aca="false">MOD(ROW()-1, 208)</f>
        <v>170</v>
      </c>
      <c r="D1835" s="6" t="n">
        <f aca="false">INT((ROW()-1)/208)</f>
        <v>8</v>
      </c>
      <c r="F1835" s="6" t="str">
        <f aca="false">MID(VLOOKUP(D1835,$P$1:$Q$13,2,0), 1 + C1835,1)</f>
        <v>찰</v>
      </c>
      <c r="G1835" s="6" t="str">
        <f aca="false">DEC2HEX(D1835+36, 2)</f>
        <v>2C</v>
      </c>
      <c r="H1835" s="6" t="str">
        <f aca="false">DEC2HEX(C1835+48,2)</f>
        <v>DA</v>
      </c>
      <c r="I1835" s="6" t="str">
        <f aca="false">_xlfn.CONCAT("\x", G1835, "\x", H1835, "=", F1835)</f>
        <v>\x2C\xDA=찰</v>
      </c>
      <c r="M1835" s="8"/>
    </row>
    <row r="1836" customFormat="false" ht="12.8" hidden="false" customHeight="true" outlineLevel="0" collapsed="false">
      <c r="C1836" s="6" t="n">
        <f aca="false">MOD(ROW()-1, 208)</f>
        <v>171</v>
      </c>
      <c r="D1836" s="6" t="n">
        <f aca="false">INT((ROW()-1)/208)</f>
        <v>8</v>
      </c>
      <c r="F1836" s="6" t="str">
        <f aca="false">MID(VLOOKUP(D1836,$P$1:$Q$13,2,0), 1 + C1836,1)</f>
        <v>참</v>
      </c>
      <c r="G1836" s="6" t="str">
        <f aca="false">DEC2HEX(D1836+36, 2)</f>
        <v>2C</v>
      </c>
      <c r="H1836" s="6" t="str">
        <f aca="false">DEC2HEX(C1836+48,2)</f>
        <v>DB</v>
      </c>
      <c r="I1836" s="6" t="str">
        <f aca="false">_xlfn.CONCAT("\x", G1836, "\x", H1836, "=", F1836)</f>
        <v>\x2C\xDB=참</v>
      </c>
      <c r="M1836" s="8"/>
    </row>
    <row r="1837" customFormat="false" ht="12.8" hidden="false" customHeight="true" outlineLevel="0" collapsed="false">
      <c r="C1837" s="6" t="n">
        <f aca="false">MOD(ROW()-1, 208)</f>
        <v>172</v>
      </c>
      <c r="D1837" s="6" t="n">
        <f aca="false">INT((ROW()-1)/208)</f>
        <v>8</v>
      </c>
      <c r="F1837" s="6" t="str">
        <f aca="false">MID(VLOOKUP(D1837,$P$1:$Q$13,2,0), 1 + C1837,1)</f>
        <v>찹</v>
      </c>
      <c r="G1837" s="6" t="str">
        <f aca="false">DEC2HEX(D1837+36, 2)</f>
        <v>2C</v>
      </c>
      <c r="H1837" s="6" t="str">
        <f aca="false">DEC2HEX(C1837+48,2)</f>
        <v>DC</v>
      </c>
      <c r="I1837" s="6" t="str">
        <f aca="false">_xlfn.CONCAT("\x", G1837, "\x", H1837, "=", F1837)</f>
        <v>\x2C\xDC=찹</v>
      </c>
      <c r="M1837" s="8"/>
    </row>
    <row r="1838" customFormat="false" ht="12.8" hidden="false" customHeight="true" outlineLevel="0" collapsed="false">
      <c r="C1838" s="6" t="n">
        <f aca="false">MOD(ROW()-1, 208)</f>
        <v>173</v>
      </c>
      <c r="D1838" s="6" t="n">
        <f aca="false">INT((ROW()-1)/208)</f>
        <v>8</v>
      </c>
      <c r="F1838" s="6" t="str">
        <f aca="false">MID(VLOOKUP(D1838,$P$1:$Q$13,2,0), 1 + C1838,1)</f>
        <v>찻</v>
      </c>
      <c r="G1838" s="6" t="str">
        <f aca="false">DEC2HEX(D1838+36, 2)</f>
        <v>2C</v>
      </c>
      <c r="H1838" s="6" t="str">
        <f aca="false">DEC2HEX(C1838+48,2)</f>
        <v>DD</v>
      </c>
      <c r="I1838" s="6" t="str">
        <f aca="false">_xlfn.CONCAT("\x", G1838, "\x", H1838, "=", F1838)</f>
        <v>\x2C\xDD=찻</v>
      </c>
      <c r="M1838" s="8"/>
    </row>
    <row r="1839" customFormat="false" ht="12.8" hidden="false" customHeight="true" outlineLevel="0" collapsed="false">
      <c r="C1839" s="6" t="n">
        <f aca="false">MOD(ROW()-1, 208)</f>
        <v>174</v>
      </c>
      <c r="D1839" s="6" t="n">
        <f aca="false">INT((ROW()-1)/208)</f>
        <v>8</v>
      </c>
      <c r="F1839" s="6" t="str">
        <f aca="false">MID(VLOOKUP(D1839,$P$1:$Q$13,2,0), 1 + C1839,1)</f>
        <v>찼</v>
      </c>
      <c r="G1839" s="6" t="str">
        <f aca="false">DEC2HEX(D1839+36, 2)</f>
        <v>2C</v>
      </c>
      <c r="H1839" s="6" t="str">
        <f aca="false">DEC2HEX(C1839+48,2)</f>
        <v>DE</v>
      </c>
      <c r="I1839" s="6" t="str">
        <f aca="false">_xlfn.CONCAT("\x", G1839, "\x", H1839, "=", F1839)</f>
        <v>\x2C\xDE=찼</v>
      </c>
      <c r="M1839" s="8"/>
    </row>
    <row r="1840" customFormat="false" ht="12.8" hidden="false" customHeight="true" outlineLevel="0" collapsed="false">
      <c r="C1840" s="6" t="n">
        <f aca="false">MOD(ROW()-1, 208)</f>
        <v>175</v>
      </c>
      <c r="D1840" s="6" t="n">
        <f aca="false">INT((ROW()-1)/208)</f>
        <v>8</v>
      </c>
      <c r="F1840" s="6" t="str">
        <f aca="false">MID(VLOOKUP(D1840,$P$1:$Q$13,2,0), 1 + C1840,1)</f>
        <v>창</v>
      </c>
      <c r="G1840" s="6" t="str">
        <f aca="false">DEC2HEX(D1840+36, 2)</f>
        <v>2C</v>
      </c>
      <c r="H1840" s="6" t="str">
        <f aca="false">DEC2HEX(C1840+48,2)</f>
        <v>DF</v>
      </c>
      <c r="I1840" s="6" t="str">
        <f aca="false">_xlfn.CONCAT("\x", G1840, "\x", H1840, "=", F1840)</f>
        <v>\x2C\xDF=창</v>
      </c>
      <c r="M1840" s="8"/>
    </row>
    <row r="1841" customFormat="false" ht="12.8" hidden="false" customHeight="true" outlineLevel="0" collapsed="false">
      <c r="C1841" s="6" t="n">
        <f aca="false">MOD(ROW()-1, 208)</f>
        <v>176</v>
      </c>
      <c r="D1841" s="6" t="n">
        <f aca="false">INT((ROW()-1)/208)</f>
        <v>8</v>
      </c>
      <c r="F1841" s="6" t="str">
        <f aca="false">MID(VLOOKUP(D1841,$P$1:$Q$13,2,0), 1 + C1841,1)</f>
        <v>찾</v>
      </c>
      <c r="G1841" s="6" t="str">
        <f aca="false">DEC2HEX(D1841+36, 2)</f>
        <v>2C</v>
      </c>
      <c r="H1841" s="6" t="str">
        <f aca="false">DEC2HEX(C1841+48,2)</f>
        <v>E0</v>
      </c>
      <c r="I1841" s="6" t="str">
        <f aca="false">_xlfn.CONCAT("\x", G1841, "\x", H1841, "=", F1841)</f>
        <v>\x2C\xE0=찾</v>
      </c>
      <c r="M1841" s="8"/>
    </row>
    <row r="1842" customFormat="false" ht="12.8" hidden="false" customHeight="true" outlineLevel="0" collapsed="false">
      <c r="C1842" s="6" t="n">
        <f aca="false">MOD(ROW()-1, 208)</f>
        <v>177</v>
      </c>
      <c r="D1842" s="6" t="n">
        <f aca="false">INT((ROW()-1)/208)</f>
        <v>8</v>
      </c>
      <c r="F1842" s="6" t="str">
        <f aca="false">MID(VLOOKUP(D1842,$P$1:$Q$13,2,0), 1 + C1842,1)</f>
        <v>채</v>
      </c>
      <c r="G1842" s="6" t="str">
        <f aca="false">DEC2HEX(D1842+36, 2)</f>
        <v>2C</v>
      </c>
      <c r="H1842" s="6" t="str">
        <f aca="false">DEC2HEX(C1842+48,2)</f>
        <v>E1</v>
      </c>
      <c r="I1842" s="6" t="str">
        <f aca="false">_xlfn.CONCAT("\x", G1842, "\x", H1842, "=", F1842)</f>
        <v>\x2C\xE1=채</v>
      </c>
      <c r="M1842" s="8"/>
    </row>
    <row r="1843" customFormat="false" ht="12.8" hidden="false" customHeight="true" outlineLevel="0" collapsed="false">
      <c r="C1843" s="6" t="n">
        <f aca="false">MOD(ROW()-1, 208)</f>
        <v>178</v>
      </c>
      <c r="D1843" s="6" t="n">
        <f aca="false">INT((ROW()-1)/208)</f>
        <v>8</v>
      </c>
      <c r="F1843" s="6" t="str">
        <f aca="false">MID(VLOOKUP(D1843,$P$1:$Q$13,2,0), 1 + C1843,1)</f>
        <v>책</v>
      </c>
      <c r="G1843" s="6" t="str">
        <f aca="false">DEC2HEX(D1843+36, 2)</f>
        <v>2C</v>
      </c>
      <c r="H1843" s="6" t="str">
        <f aca="false">DEC2HEX(C1843+48,2)</f>
        <v>E2</v>
      </c>
      <c r="I1843" s="6" t="str">
        <f aca="false">_xlfn.CONCAT("\x", G1843, "\x", H1843, "=", F1843)</f>
        <v>\x2C\xE2=책</v>
      </c>
      <c r="M1843" s="8"/>
    </row>
    <row r="1844" customFormat="false" ht="12.8" hidden="false" customHeight="true" outlineLevel="0" collapsed="false">
      <c r="C1844" s="6" t="n">
        <f aca="false">MOD(ROW()-1, 208)</f>
        <v>179</v>
      </c>
      <c r="D1844" s="6" t="n">
        <f aca="false">INT((ROW()-1)/208)</f>
        <v>8</v>
      </c>
      <c r="F1844" s="6" t="str">
        <f aca="false">MID(VLOOKUP(D1844,$P$1:$Q$13,2,0), 1 + C1844,1)</f>
        <v>챈</v>
      </c>
      <c r="G1844" s="6" t="str">
        <f aca="false">DEC2HEX(D1844+36, 2)</f>
        <v>2C</v>
      </c>
      <c r="H1844" s="6" t="str">
        <f aca="false">DEC2HEX(C1844+48,2)</f>
        <v>E3</v>
      </c>
      <c r="I1844" s="6" t="str">
        <f aca="false">_xlfn.CONCAT("\x", G1844, "\x", H1844, "=", F1844)</f>
        <v>\x2C\xE3=챈</v>
      </c>
      <c r="M1844" s="8"/>
    </row>
    <row r="1845" customFormat="false" ht="12.8" hidden="false" customHeight="true" outlineLevel="0" collapsed="false">
      <c r="C1845" s="6" t="n">
        <f aca="false">MOD(ROW()-1, 208)</f>
        <v>180</v>
      </c>
      <c r="D1845" s="6" t="n">
        <f aca="false">INT((ROW()-1)/208)</f>
        <v>8</v>
      </c>
      <c r="F1845" s="6" t="str">
        <f aca="false">MID(VLOOKUP(D1845,$P$1:$Q$13,2,0), 1 + C1845,1)</f>
        <v>챌</v>
      </c>
      <c r="G1845" s="6" t="str">
        <f aca="false">DEC2HEX(D1845+36, 2)</f>
        <v>2C</v>
      </c>
      <c r="H1845" s="6" t="str">
        <f aca="false">DEC2HEX(C1845+48,2)</f>
        <v>E4</v>
      </c>
      <c r="I1845" s="6" t="str">
        <f aca="false">_xlfn.CONCAT("\x", G1845, "\x", H1845, "=", F1845)</f>
        <v>\x2C\xE4=챌</v>
      </c>
      <c r="M1845" s="8"/>
    </row>
    <row r="1846" customFormat="false" ht="12.8" hidden="false" customHeight="true" outlineLevel="0" collapsed="false">
      <c r="C1846" s="6" t="n">
        <f aca="false">MOD(ROW()-1, 208)</f>
        <v>181</v>
      </c>
      <c r="D1846" s="6" t="n">
        <f aca="false">INT((ROW()-1)/208)</f>
        <v>8</v>
      </c>
      <c r="F1846" s="6" t="str">
        <f aca="false">MID(VLOOKUP(D1846,$P$1:$Q$13,2,0), 1 + C1846,1)</f>
        <v>챔</v>
      </c>
      <c r="G1846" s="6" t="str">
        <f aca="false">DEC2HEX(D1846+36, 2)</f>
        <v>2C</v>
      </c>
      <c r="H1846" s="6" t="str">
        <f aca="false">DEC2HEX(C1846+48,2)</f>
        <v>E5</v>
      </c>
      <c r="I1846" s="6" t="str">
        <f aca="false">_xlfn.CONCAT("\x", G1846, "\x", H1846, "=", F1846)</f>
        <v>\x2C\xE5=챔</v>
      </c>
      <c r="M1846" s="8"/>
    </row>
    <row r="1847" customFormat="false" ht="12.8" hidden="false" customHeight="true" outlineLevel="0" collapsed="false">
      <c r="C1847" s="6" t="n">
        <f aca="false">MOD(ROW()-1, 208)</f>
        <v>182</v>
      </c>
      <c r="D1847" s="6" t="n">
        <f aca="false">INT((ROW()-1)/208)</f>
        <v>8</v>
      </c>
      <c r="F1847" s="6" t="str">
        <f aca="false">MID(VLOOKUP(D1847,$P$1:$Q$13,2,0), 1 + C1847,1)</f>
        <v>챕</v>
      </c>
      <c r="G1847" s="6" t="str">
        <f aca="false">DEC2HEX(D1847+36, 2)</f>
        <v>2C</v>
      </c>
      <c r="H1847" s="6" t="str">
        <f aca="false">DEC2HEX(C1847+48,2)</f>
        <v>E6</v>
      </c>
      <c r="I1847" s="6" t="str">
        <f aca="false">_xlfn.CONCAT("\x", G1847, "\x", H1847, "=", F1847)</f>
        <v>\x2C\xE6=챕</v>
      </c>
      <c r="M1847" s="8"/>
    </row>
    <row r="1848" customFormat="false" ht="12.8" hidden="false" customHeight="true" outlineLevel="0" collapsed="false">
      <c r="C1848" s="6" t="n">
        <f aca="false">MOD(ROW()-1, 208)</f>
        <v>183</v>
      </c>
      <c r="D1848" s="6" t="n">
        <f aca="false">INT((ROW()-1)/208)</f>
        <v>8</v>
      </c>
      <c r="F1848" s="6" t="str">
        <f aca="false">MID(VLOOKUP(D1848,$P$1:$Q$13,2,0), 1 + C1848,1)</f>
        <v>챗</v>
      </c>
      <c r="G1848" s="6" t="str">
        <f aca="false">DEC2HEX(D1848+36, 2)</f>
        <v>2C</v>
      </c>
      <c r="H1848" s="6" t="str">
        <f aca="false">DEC2HEX(C1848+48,2)</f>
        <v>E7</v>
      </c>
      <c r="I1848" s="6" t="str">
        <f aca="false">_xlfn.CONCAT("\x", G1848, "\x", H1848, "=", F1848)</f>
        <v>\x2C\xE7=챗</v>
      </c>
      <c r="M1848" s="8"/>
    </row>
    <row r="1849" customFormat="false" ht="12.8" hidden="false" customHeight="true" outlineLevel="0" collapsed="false">
      <c r="C1849" s="6" t="n">
        <f aca="false">MOD(ROW()-1, 208)</f>
        <v>184</v>
      </c>
      <c r="D1849" s="6" t="n">
        <f aca="false">INT((ROW()-1)/208)</f>
        <v>8</v>
      </c>
      <c r="F1849" s="6" t="str">
        <f aca="false">MID(VLOOKUP(D1849,$P$1:$Q$13,2,0), 1 + C1849,1)</f>
        <v>챘</v>
      </c>
      <c r="G1849" s="6" t="str">
        <f aca="false">DEC2HEX(D1849+36, 2)</f>
        <v>2C</v>
      </c>
      <c r="H1849" s="6" t="str">
        <f aca="false">DEC2HEX(C1849+48,2)</f>
        <v>E8</v>
      </c>
      <c r="I1849" s="6" t="str">
        <f aca="false">_xlfn.CONCAT("\x", G1849, "\x", H1849, "=", F1849)</f>
        <v>\x2C\xE8=챘</v>
      </c>
      <c r="M1849" s="8"/>
    </row>
    <row r="1850" customFormat="false" ht="12.8" hidden="false" customHeight="true" outlineLevel="0" collapsed="false">
      <c r="C1850" s="6" t="n">
        <f aca="false">MOD(ROW()-1, 208)</f>
        <v>185</v>
      </c>
      <c r="D1850" s="6" t="n">
        <f aca="false">INT((ROW()-1)/208)</f>
        <v>8</v>
      </c>
      <c r="F1850" s="6" t="str">
        <f aca="false">MID(VLOOKUP(D1850,$P$1:$Q$13,2,0), 1 + C1850,1)</f>
        <v>챙</v>
      </c>
      <c r="G1850" s="6" t="str">
        <f aca="false">DEC2HEX(D1850+36, 2)</f>
        <v>2C</v>
      </c>
      <c r="H1850" s="6" t="str">
        <f aca="false">DEC2HEX(C1850+48,2)</f>
        <v>E9</v>
      </c>
      <c r="I1850" s="6" t="str">
        <f aca="false">_xlfn.CONCAT("\x", G1850, "\x", H1850, "=", F1850)</f>
        <v>\x2C\xE9=챙</v>
      </c>
      <c r="M1850" s="8"/>
    </row>
    <row r="1851" customFormat="false" ht="12.8" hidden="false" customHeight="true" outlineLevel="0" collapsed="false">
      <c r="C1851" s="6" t="n">
        <f aca="false">MOD(ROW()-1, 208)</f>
        <v>186</v>
      </c>
      <c r="D1851" s="6" t="n">
        <f aca="false">INT((ROW()-1)/208)</f>
        <v>8</v>
      </c>
      <c r="F1851" s="6" t="str">
        <f aca="false">MID(VLOOKUP(D1851,$P$1:$Q$13,2,0), 1 + C1851,1)</f>
        <v>챠</v>
      </c>
      <c r="G1851" s="6" t="str">
        <f aca="false">DEC2HEX(D1851+36, 2)</f>
        <v>2C</v>
      </c>
      <c r="H1851" s="6" t="str">
        <f aca="false">DEC2HEX(C1851+48,2)</f>
        <v>EA</v>
      </c>
      <c r="I1851" s="6" t="str">
        <f aca="false">_xlfn.CONCAT("\x", G1851, "\x", H1851, "=", F1851)</f>
        <v>\x2C\xEA=챠</v>
      </c>
      <c r="M1851" s="8"/>
    </row>
    <row r="1852" customFormat="false" ht="12.8" hidden="false" customHeight="true" outlineLevel="0" collapsed="false">
      <c r="C1852" s="6" t="n">
        <f aca="false">MOD(ROW()-1, 208)</f>
        <v>187</v>
      </c>
      <c r="D1852" s="6" t="n">
        <f aca="false">INT((ROW()-1)/208)</f>
        <v>8</v>
      </c>
      <c r="F1852" s="6" t="str">
        <f aca="false">MID(VLOOKUP(D1852,$P$1:$Q$13,2,0), 1 + C1852,1)</f>
        <v>챤</v>
      </c>
      <c r="G1852" s="6" t="str">
        <f aca="false">DEC2HEX(D1852+36, 2)</f>
        <v>2C</v>
      </c>
      <c r="H1852" s="6" t="str">
        <f aca="false">DEC2HEX(C1852+48,2)</f>
        <v>EB</v>
      </c>
      <c r="I1852" s="6" t="str">
        <f aca="false">_xlfn.CONCAT("\x", G1852, "\x", H1852, "=", F1852)</f>
        <v>\x2C\xEB=챤</v>
      </c>
      <c r="M1852" s="8"/>
    </row>
    <row r="1853" customFormat="false" ht="12.8" hidden="false" customHeight="true" outlineLevel="0" collapsed="false">
      <c r="C1853" s="6" t="n">
        <f aca="false">MOD(ROW()-1, 208)</f>
        <v>188</v>
      </c>
      <c r="D1853" s="6" t="n">
        <f aca="false">INT((ROW()-1)/208)</f>
        <v>8</v>
      </c>
      <c r="F1853" s="6" t="str">
        <f aca="false">MID(VLOOKUP(D1853,$P$1:$Q$13,2,0), 1 + C1853,1)</f>
        <v>챦</v>
      </c>
      <c r="G1853" s="6" t="str">
        <f aca="false">DEC2HEX(D1853+36, 2)</f>
        <v>2C</v>
      </c>
      <c r="H1853" s="6" t="str">
        <f aca="false">DEC2HEX(C1853+48,2)</f>
        <v>EC</v>
      </c>
      <c r="I1853" s="6" t="str">
        <f aca="false">_xlfn.CONCAT("\x", G1853, "\x", H1853, "=", F1853)</f>
        <v>\x2C\xEC=챦</v>
      </c>
      <c r="M1853" s="8"/>
    </row>
    <row r="1854" customFormat="false" ht="12.8" hidden="false" customHeight="true" outlineLevel="0" collapsed="false">
      <c r="C1854" s="6" t="n">
        <f aca="false">MOD(ROW()-1, 208)</f>
        <v>189</v>
      </c>
      <c r="D1854" s="6" t="n">
        <f aca="false">INT((ROW()-1)/208)</f>
        <v>8</v>
      </c>
      <c r="F1854" s="6" t="str">
        <f aca="false">MID(VLOOKUP(D1854,$P$1:$Q$13,2,0), 1 + C1854,1)</f>
        <v>챨</v>
      </c>
      <c r="G1854" s="6" t="str">
        <f aca="false">DEC2HEX(D1854+36, 2)</f>
        <v>2C</v>
      </c>
      <c r="H1854" s="6" t="str">
        <f aca="false">DEC2HEX(C1854+48,2)</f>
        <v>ED</v>
      </c>
      <c r="I1854" s="6" t="str">
        <f aca="false">_xlfn.CONCAT("\x", G1854, "\x", H1854, "=", F1854)</f>
        <v>\x2C\xED=챨</v>
      </c>
      <c r="M1854" s="8"/>
    </row>
    <row r="1855" customFormat="false" ht="12.8" hidden="false" customHeight="true" outlineLevel="0" collapsed="false">
      <c r="C1855" s="6" t="n">
        <f aca="false">MOD(ROW()-1, 208)</f>
        <v>190</v>
      </c>
      <c r="D1855" s="6" t="n">
        <f aca="false">INT((ROW()-1)/208)</f>
        <v>8</v>
      </c>
      <c r="F1855" s="6" t="str">
        <f aca="false">MID(VLOOKUP(D1855,$P$1:$Q$13,2,0), 1 + C1855,1)</f>
        <v>챰</v>
      </c>
      <c r="G1855" s="6" t="str">
        <f aca="false">DEC2HEX(D1855+36, 2)</f>
        <v>2C</v>
      </c>
      <c r="H1855" s="6" t="str">
        <f aca="false">DEC2HEX(C1855+48,2)</f>
        <v>EE</v>
      </c>
      <c r="I1855" s="6" t="str">
        <f aca="false">_xlfn.CONCAT("\x", G1855, "\x", H1855, "=", F1855)</f>
        <v>\x2C\xEE=챰</v>
      </c>
      <c r="M1855" s="8"/>
    </row>
    <row r="1856" customFormat="false" ht="12.8" hidden="false" customHeight="true" outlineLevel="0" collapsed="false">
      <c r="C1856" s="6" t="n">
        <f aca="false">MOD(ROW()-1, 208)</f>
        <v>191</v>
      </c>
      <c r="D1856" s="6" t="n">
        <f aca="false">INT((ROW()-1)/208)</f>
        <v>8</v>
      </c>
      <c r="F1856" s="6" t="str">
        <f aca="false">MID(VLOOKUP(D1856,$P$1:$Q$13,2,0), 1 + C1856,1)</f>
        <v>챵</v>
      </c>
      <c r="G1856" s="6" t="str">
        <f aca="false">DEC2HEX(D1856+36, 2)</f>
        <v>2C</v>
      </c>
      <c r="H1856" s="6" t="str">
        <f aca="false">DEC2HEX(C1856+48,2)</f>
        <v>EF</v>
      </c>
      <c r="I1856" s="6" t="str">
        <f aca="false">_xlfn.CONCAT("\x", G1856, "\x", H1856, "=", F1856)</f>
        <v>\x2C\xEF=챵</v>
      </c>
      <c r="M1856" s="8"/>
    </row>
    <row r="1857" customFormat="false" ht="12.8" hidden="false" customHeight="true" outlineLevel="0" collapsed="false">
      <c r="C1857" s="6" t="n">
        <f aca="false">MOD(ROW()-1, 208)</f>
        <v>192</v>
      </c>
      <c r="D1857" s="6" t="n">
        <f aca="false">INT((ROW()-1)/208)</f>
        <v>8</v>
      </c>
      <c r="F1857" s="6" t="str">
        <f aca="false">MID(VLOOKUP(D1857,$P$1:$Q$13,2,0), 1 + C1857,1)</f>
        <v>처</v>
      </c>
      <c r="G1857" s="6" t="str">
        <f aca="false">DEC2HEX(D1857+36, 2)</f>
        <v>2C</v>
      </c>
      <c r="H1857" s="6" t="str">
        <f aca="false">DEC2HEX(C1857+48,2)</f>
        <v>F0</v>
      </c>
      <c r="I1857" s="6" t="str">
        <f aca="false">_xlfn.CONCAT("\x", G1857, "\x", H1857, "=", F1857)</f>
        <v>\x2C\xF0=처</v>
      </c>
      <c r="M1857" s="8"/>
    </row>
    <row r="1858" customFormat="false" ht="12.8" hidden="false" customHeight="true" outlineLevel="0" collapsed="false">
      <c r="C1858" s="6" t="n">
        <f aca="false">MOD(ROW()-1, 208)</f>
        <v>193</v>
      </c>
      <c r="D1858" s="6" t="n">
        <f aca="false">INT((ROW()-1)/208)</f>
        <v>8</v>
      </c>
      <c r="F1858" s="6" t="str">
        <f aca="false">MID(VLOOKUP(D1858,$P$1:$Q$13,2,0), 1 + C1858,1)</f>
        <v>척</v>
      </c>
      <c r="G1858" s="6" t="str">
        <f aca="false">DEC2HEX(D1858+36, 2)</f>
        <v>2C</v>
      </c>
      <c r="H1858" s="6" t="str">
        <f aca="false">DEC2HEX(C1858+48,2)</f>
        <v>F1</v>
      </c>
      <c r="I1858" s="6" t="str">
        <f aca="false">_xlfn.CONCAT("\x", G1858, "\x", H1858, "=", F1858)</f>
        <v>\x2C\xF1=척</v>
      </c>
      <c r="M1858" s="8"/>
    </row>
    <row r="1859" customFormat="false" ht="12.8" hidden="false" customHeight="true" outlineLevel="0" collapsed="false">
      <c r="C1859" s="6" t="n">
        <f aca="false">MOD(ROW()-1, 208)</f>
        <v>194</v>
      </c>
      <c r="D1859" s="6" t="n">
        <f aca="false">INT((ROW()-1)/208)</f>
        <v>8</v>
      </c>
      <c r="F1859" s="6" t="str">
        <f aca="false">MID(VLOOKUP(D1859,$P$1:$Q$13,2,0), 1 + C1859,1)</f>
        <v>천</v>
      </c>
      <c r="G1859" s="6" t="str">
        <f aca="false">DEC2HEX(D1859+36, 2)</f>
        <v>2C</v>
      </c>
      <c r="H1859" s="6" t="str">
        <f aca="false">DEC2HEX(C1859+48,2)</f>
        <v>F2</v>
      </c>
      <c r="I1859" s="6" t="str">
        <f aca="false">_xlfn.CONCAT("\x", G1859, "\x", H1859, "=", F1859)</f>
        <v>\x2C\xF2=천</v>
      </c>
      <c r="M1859" s="8"/>
    </row>
    <row r="1860" customFormat="false" ht="12.8" hidden="false" customHeight="true" outlineLevel="0" collapsed="false">
      <c r="C1860" s="6" t="n">
        <f aca="false">MOD(ROW()-1, 208)</f>
        <v>195</v>
      </c>
      <c r="D1860" s="6" t="n">
        <f aca="false">INT((ROW()-1)/208)</f>
        <v>8</v>
      </c>
      <c r="F1860" s="6" t="str">
        <f aca="false">MID(VLOOKUP(D1860,$P$1:$Q$13,2,0), 1 + C1860,1)</f>
        <v>철</v>
      </c>
      <c r="G1860" s="6" t="str">
        <f aca="false">DEC2HEX(D1860+36, 2)</f>
        <v>2C</v>
      </c>
      <c r="H1860" s="6" t="str">
        <f aca="false">DEC2HEX(C1860+48,2)</f>
        <v>F3</v>
      </c>
      <c r="I1860" s="6" t="str">
        <f aca="false">_xlfn.CONCAT("\x", G1860, "\x", H1860, "=", F1860)</f>
        <v>\x2C\xF3=철</v>
      </c>
      <c r="M1860" s="8"/>
    </row>
    <row r="1861" customFormat="false" ht="12.8" hidden="false" customHeight="true" outlineLevel="0" collapsed="false">
      <c r="C1861" s="6" t="n">
        <f aca="false">MOD(ROW()-1, 208)</f>
        <v>196</v>
      </c>
      <c r="D1861" s="6" t="n">
        <f aca="false">INT((ROW()-1)/208)</f>
        <v>8</v>
      </c>
      <c r="F1861" s="6" t="str">
        <f aca="false">MID(VLOOKUP(D1861,$P$1:$Q$13,2,0), 1 + C1861,1)</f>
        <v>첨</v>
      </c>
      <c r="G1861" s="6" t="str">
        <f aca="false">DEC2HEX(D1861+36, 2)</f>
        <v>2C</v>
      </c>
      <c r="H1861" s="6" t="str">
        <f aca="false">DEC2HEX(C1861+48,2)</f>
        <v>F4</v>
      </c>
      <c r="I1861" s="6" t="str">
        <f aca="false">_xlfn.CONCAT("\x", G1861, "\x", H1861, "=", F1861)</f>
        <v>\x2C\xF4=첨</v>
      </c>
      <c r="M1861" s="8"/>
    </row>
    <row r="1862" customFormat="false" ht="12.8" hidden="false" customHeight="true" outlineLevel="0" collapsed="false">
      <c r="C1862" s="6" t="n">
        <f aca="false">MOD(ROW()-1, 208)</f>
        <v>197</v>
      </c>
      <c r="D1862" s="6" t="n">
        <f aca="false">INT((ROW()-1)/208)</f>
        <v>8</v>
      </c>
      <c r="F1862" s="6" t="str">
        <f aca="false">MID(VLOOKUP(D1862,$P$1:$Q$13,2,0), 1 + C1862,1)</f>
        <v>첩</v>
      </c>
      <c r="G1862" s="6" t="str">
        <f aca="false">DEC2HEX(D1862+36, 2)</f>
        <v>2C</v>
      </c>
      <c r="H1862" s="6" t="str">
        <f aca="false">DEC2HEX(C1862+48,2)</f>
        <v>F5</v>
      </c>
      <c r="I1862" s="6" t="str">
        <f aca="false">_xlfn.CONCAT("\x", G1862, "\x", H1862, "=", F1862)</f>
        <v>\x2C\xF5=첩</v>
      </c>
      <c r="M1862" s="8"/>
    </row>
    <row r="1863" customFormat="false" ht="12.8" hidden="false" customHeight="true" outlineLevel="0" collapsed="false">
      <c r="C1863" s="6" t="n">
        <f aca="false">MOD(ROW()-1, 208)</f>
        <v>198</v>
      </c>
      <c r="D1863" s="6" t="n">
        <f aca="false">INT((ROW()-1)/208)</f>
        <v>8</v>
      </c>
      <c r="F1863" s="6" t="str">
        <f aca="false">MID(VLOOKUP(D1863,$P$1:$Q$13,2,0), 1 + C1863,1)</f>
        <v>첫</v>
      </c>
      <c r="G1863" s="6" t="str">
        <f aca="false">DEC2HEX(D1863+36, 2)</f>
        <v>2C</v>
      </c>
      <c r="H1863" s="6" t="str">
        <f aca="false">DEC2HEX(C1863+48,2)</f>
        <v>F6</v>
      </c>
      <c r="I1863" s="6" t="str">
        <f aca="false">_xlfn.CONCAT("\x", G1863, "\x", H1863, "=", F1863)</f>
        <v>\x2C\xF6=첫</v>
      </c>
      <c r="M1863" s="8"/>
    </row>
    <row r="1864" customFormat="false" ht="12.8" hidden="false" customHeight="true" outlineLevel="0" collapsed="false">
      <c r="C1864" s="6" t="n">
        <f aca="false">MOD(ROW()-1, 208)</f>
        <v>199</v>
      </c>
      <c r="D1864" s="6" t="n">
        <f aca="false">INT((ROW()-1)/208)</f>
        <v>8</v>
      </c>
      <c r="F1864" s="6" t="str">
        <f aca="false">MID(VLOOKUP(D1864,$P$1:$Q$13,2,0), 1 + C1864,1)</f>
        <v>첬</v>
      </c>
      <c r="G1864" s="6" t="str">
        <f aca="false">DEC2HEX(D1864+36, 2)</f>
        <v>2C</v>
      </c>
      <c r="H1864" s="6" t="str">
        <f aca="false">DEC2HEX(C1864+48,2)</f>
        <v>F7</v>
      </c>
      <c r="I1864" s="6" t="str">
        <f aca="false">_xlfn.CONCAT("\x", G1864, "\x", H1864, "=", F1864)</f>
        <v>\x2C\xF7=첬</v>
      </c>
      <c r="M1864" s="8"/>
    </row>
    <row r="1865" customFormat="false" ht="12.8" hidden="false" customHeight="true" outlineLevel="0" collapsed="false">
      <c r="C1865" s="6" t="n">
        <f aca="false">MOD(ROW()-1, 208)</f>
        <v>200</v>
      </c>
      <c r="D1865" s="6" t="n">
        <f aca="false">INT((ROW()-1)/208)</f>
        <v>8</v>
      </c>
      <c r="F1865" s="6" t="str">
        <f aca="false">MID(VLOOKUP(D1865,$P$1:$Q$13,2,0), 1 + C1865,1)</f>
        <v>청</v>
      </c>
      <c r="G1865" s="6" t="str">
        <f aca="false">DEC2HEX(D1865+36, 2)</f>
        <v>2C</v>
      </c>
      <c r="H1865" s="6" t="str">
        <f aca="false">DEC2HEX(C1865+48,2)</f>
        <v>F8</v>
      </c>
      <c r="I1865" s="6" t="str">
        <f aca="false">_xlfn.CONCAT("\x", G1865, "\x", H1865, "=", F1865)</f>
        <v>\x2C\xF8=청</v>
      </c>
      <c r="M1865" s="8"/>
    </row>
    <row r="1866" customFormat="false" ht="12.8" hidden="false" customHeight="true" outlineLevel="0" collapsed="false">
      <c r="C1866" s="6" t="n">
        <f aca="false">MOD(ROW()-1, 208)</f>
        <v>201</v>
      </c>
      <c r="D1866" s="6" t="n">
        <f aca="false">INT((ROW()-1)/208)</f>
        <v>8</v>
      </c>
      <c r="F1866" s="6" t="str">
        <f aca="false">MID(VLOOKUP(D1866,$P$1:$Q$13,2,0), 1 + C1866,1)</f>
        <v>체</v>
      </c>
      <c r="G1866" s="6" t="str">
        <f aca="false">DEC2HEX(D1866+36, 2)</f>
        <v>2C</v>
      </c>
      <c r="H1866" s="6" t="str">
        <f aca="false">DEC2HEX(C1866+48,2)</f>
        <v>F9</v>
      </c>
      <c r="I1866" s="6" t="str">
        <f aca="false">_xlfn.CONCAT("\x", G1866, "\x", H1866, "=", F1866)</f>
        <v>\x2C\xF9=체</v>
      </c>
      <c r="M1866" s="8"/>
    </row>
    <row r="1867" customFormat="false" ht="12.8" hidden="false" customHeight="true" outlineLevel="0" collapsed="false">
      <c r="C1867" s="6" t="n">
        <f aca="false">MOD(ROW()-1, 208)</f>
        <v>202</v>
      </c>
      <c r="D1867" s="6" t="n">
        <f aca="false">INT((ROW()-1)/208)</f>
        <v>8</v>
      </c>
      <c r="F1867" s="6" t="str">
        <f aca="false">MID(VLOOKUP(D1867,$P$1:$Q$13,2,0), 1 + C1867,1)</f>
        <v>첵</v>
      </c>
      <c r="G1867" s="6" t="str">
        <f aca="false">DEC2HEX(D1867+36, 2)</f>
        <v>2C</v>
      </c>
      <c r="H1867" s="6" t="str">
        <f aca="false">DEC2HEX(C1867+48,2)</f>
        <v>FA</v>
      </c>
      <c r="I1867" s="6" t="str">
        <f aca="false">_xlfn.CONCAT("\x", G1867, "\x", H1867, "=", F1867)</f>
        <v>\x2C\xFA=첵</v>
      </c>
      <c r="M1867" s="8"/>
    </row>
    <row r="1868" customFormat="false" ht="12.8" hidden="false" customHeight="true" outlineLevel="0" collapsed="false">
      <c r="C1868" s="6" t="n">
        <f aca="false">MOD(ROW()-1, 208)</f>
        <v>203</v>
      </c>
      <c r="D1868" s="6" t="n">
        <f aca="false">INT((ROW()-1)/208)</f>
        <v>8</v>
      </c>
      <c r="F1868" s="6" t="str">
        <f aca="false">MID(VLOOKUP(D1868,$P$1:$Q$13,2,0), 1 + C1868,1)</f>
        <v>첸</v>
      </c>
      <c r="G1868" s="6" t="str">
        <f aca="false">DEC2HEX(D1868+36, 2)</f>
        <v>2C</v>
      </c>
      <c r="H1868" s="6" t="str">
        <f aca="false">DEC2HEX(C1868+48,2)</f>
        <v>FB</v>
      </c>
      <c r="I1868" s="6" t="str">
        <f aca="false">_xlfn.CONCAT("\x", G1868, "\x", H1868, "=", F1868)</f>
        <v>\x2C\xFB=첸</v>
      </c>
      <c r="M1868" s="8"/>
    </row>
    <row r="1869" customFormat="false" ht="12.8" hidden="false" customHeight="true" outlineLevel="0" collapsed="false">
      <c r="C1869" s="6" t="n">
        <f aca="false">MOD(ROW()-1, 208)</f>
        <v>204</v>
      </c>
      <c r="D1869" s="6" t="n">
        <f aca="false">INT((ROW()-1)/208)</f>
        <v>8</v>
      </c>
      <c r="F1869" s="6" t="str">
        <f aca="false">MID(VLOOKUP(D1869,$P$1:$Q$13,2,0), 1 + C1869,1)</f>
        <v>첼</v>
      </c>
      <c r="G1869" s="6" t="str">
        <f aca="false">DEC2HEX(D1869+36, 2)</f>
        <v>2C</v>
      </c>
      <c r="H1869" s="6" t="str">
        <f aca="false">DEC2HEX(C1869+48,2)</f>
        <v>FC</v>
      </c>
      <c r="I1869" s="6" t="str">
        <f aca="false">_xlfn.CONCAT("\x", G1869, "\x", H1869, "=", F1869)</f>
        <v>\x2C\xFC=첼</v>
      </c>
      <c r="M1869" s="8"/>
    </row>
    <row r="1870" customFormat="false" ht="12.8" hidden="false" customHeight="true" outlineLevel="0" collapsed="false">
      <c r="C1870" s="6" t="n">
        <f aca="false">MOD(ROW()-1, 208)</f>
        <v>205</v>
      </c>
      <c r="D1870" s="6" t="n">
        <f aca="false">INT((ROW()-1)/208)</f>
        <v>8</v>
      </c>
      <c r="F1870" s="6" t="str">
        <f aca="false">MID(VLOOKUP(D1870,$P$1:$Q$13,2,0), 1 + C1870,1)</f>
        <v>쳄</v>
      </c>
      <c r="G1870" s="6" t="str">
        <f aca="false">DEC2HEX(D1870+36, 2)</f>
        <v>2C</v>
      </c>
      <c r="H1870" s="6" t="str">
        <f aca="false">DEC2HEX(C1870+48,2)</f>
        <v>FD</v>
      </c>
      <c r="I1870" s="6" t="str">
        <f aca="false">_xlfn.CONCAT("\x", G1870, "\x", H1870, "=", F1870)</f>
        <v>\x2C\xFD=쳄</v>
      </c>
      <c r="M1870" s="8"/>
    </row>
    <row r="1871" customFormat="false" ht="12.8" hidden="false" customHeight="true" outlineLevel="0" collapsed="false">
      <c r="C1871" s="6" t="n">
        <f aca="false">MOD(ROW()-1, 208)</f>
        <v>206</v>
      </c>
      <c r="D1871" s="6" t="n">
        <f aca="false">INT((ROW()-1)/208)</f>
        <v>8</v>
      </c>
      <c r="F1871" s="6" t="str">
        <f aca="false">MID(VLOOKUP(D1871,$P$1:$Q$13,2,0), 1 + C1871,1)</f>
        <v>쳅</v>
      </c>
      <c r="G1871" s="6" t="str">
        <f aca="false">DEC2HEX(D1871+36, 2)</f>
        <v>2C</v>
      </c>
      <c r="H1871" s="6" t="str">
        <f aca="false">DEC2HEX(C1871+48,2)</f>
        <v>FE</v>
      </c>
      <c r="I1871" s="6" t="str">
        <f aca="false">_xlfn.CONCAT("\x", G1871, "\x", H1871, "=", F1871)</f>
        <v>\x2C\xFE=쳅</v>
      </c>
      <c r="M1871" s="8"/>
    </row>
    <row r="1872" customFormat="false" ht="12.8" hidden="false" customHeight="true" outlineLevel="0" collapsed="false">
      <c r="C1872" s="6" t="n">
        <f aca="false">MOD(ROW()-1, 208)</f>
        <v>207</v>
      </c>
      <c r="D1872" s="6" t="n">
        <f aca="false">INT((ROW()-1)/208)</f>
        <v>8</v>
      </c>
      <c r="F1872" s="6" t="str">
        <f aca="false">MID(VLOOKUP(D1872,$P$1:$Q$13,2,0), 1 + C1872,1)</f>
        <v>쳇</v>
      </c>
      <c r="G1872" s="6" t="str">
        <f aca="false">DEC2HEX(D1872+36, 2)</f>
        <v>2C</v>
      </c>
      <c r="H1872" s="6" t="str">
        <f aca="false">DEC2HEX(C1872+48,2)</f>
        <v>FF</v>
      </c>
      <c r="I1872" s="6" t="str">
        <f aca="false">_xlfn.CONCAT("\x", G1872, "\x", H1872, "=", F1872)</f>
        <v>\x2C\xFF=쳇</v>
      </c>
      <c r="M1872" s="8"/>
    </row>
    <row r="1873" customFormat="false" ht="12.8" hidden="false" customHeight="true" outlineLevel="0" collapsed="false">
      <c r="C1873" s="6" t="n">
        <f aca="false">MOD(ROW()-1, 208)</f>
        <v>0</v>
      </c>
      <c r="D1873" s="6" t="n">
        <f aca="false">INT((ROW()-1)/208)</f>
        <v>9</v>
      </c>
      <c r="F1873" s="6" t="str">
        <f aca="false">MID(VLOOKUP(D1873,$P$1:$Q$13,2,0), 1 + C1873,1)</f>
        <v>쳉</v>
      </c>
      <c r="G1873" s="6" t="str">
        <f aca="false">DEC2HEX(D1873+36, 2)</f>
        <v>2D</v>
      </c>
      <c r="H1873" s="6" t="str">
        <f aca="false">DEC2HEX(C1873+48,2)</f>
        <v>30</v>
      </c>
      <c r="I1873" s="6" t="str">
        <f aca="false">_xlfn.CONCAT("\x", G1873, "\x", H1873, "=", F1873)</f>
        <v>\x2D\x30=쳉</v>
      </c>
      <c r="M1873" s="8"/>
    </row>
    <row r="1874" customFormat="false" ht="12.8" hidden="false" customHeight="true" outlineLevel="0" collapsed="false">
      <c r="C1874" s="6" t="n">
        <f aca="false">MOD(ROW()-1, 208)</f>
        <v>1</v>
      </c>
      <c r="D1874" s="6" t="n">
        <f aca="false">INT((ROW()-1)/208)</f>
        <v>9</v>
      </c>
      <c r="F1874" s="6" t="str">
        <f aca="false">MID(VLOOKUP(D1874,$P$1:$Q$13,2,0), 1 + C1874,1)</f>
        <v>쳐</v>
      </c>
      <c r="G1874" s="6" t="str">
        <f aca="false">DEC2HEX(D1874+36, 2)</f>
        <v>2D</v>
      </c>
      <c r="H1874" s="6" t="str">
        <f aca="false">DEC2HEX(C1874+48,2)</f>
        <v>31</v>
      </c>
      <c r="I1874" s="6" t="str">
        <f aca="false">_xlfn.CONCAT("\x", G1874, "\x", H1874, "=", F1874)</f>
        <v>\x2D\x31=쳐</v>
      </c>
      <c r="M1874" s="8"/>
    </row>
    <row r="1875" customFormat="false" ht="12.8" hidden="false" customHeight="true" outlineLevel="0" collapsed="false">
      <c r="C1875" s="6" t="n">
        <f aca="false">MOD(ROW()-1, 208)</f>
        <v>2</v>
      </c>
      <c r="D1875" s="6" t="n">
        <f aca="false">INT((ROW()-1)/208)</f>
        <v>9</v>
      </c>
      <c r="F1875" s="6" t="str">
        <f aca="false">MID(VLOOKUP(D1875,$P$1:$Q$13,2,0), 1 + C1875,1)</f>
        <v>쳔</v>
      </c>
      <c r="G1875" s="6" t="str">
        <f aca="false">DEC2HEX(D1875+36, 2)</f>
        <v>2D</v>
      </c>
      <c r="H1875" s="6" t="str">
        <f aca="false">DEC2HEX(C1875+48,2)</f>
        <v>32</v>
      </c>
      <c r="I1875" s="6" t="str">
        <f aca="false">_xlfn.CONCAT("\x", G1875, "\x", H1875, "=", F1875)</f>
        <v>\x2D\x32=쳔</v>
      </c>
      <c r="M1875" s="8"/>
    </row>
    <row r="1876" customFormat="false" ht="12.8" hidden="false" customHeight="true" outlineLevel="0" collapsed="false">
      <c r="C1876" s="6" t="n">
        <f aca="false">MOD(ROW()-1, 208)</f>
        <v>3</v>
      </c>
      <c r="D1876" s="6" t="n">
        <f aca="false">INT((ROW()-1)/208)</f>
        <v>9</v>
      </c>
      <c r="F1876" s="6" t="str">
        <f aca="false">MID(VLOOKUP(D1876,$P$1:$Q$13,2,0), 1 + C1876,1)</f>
        <v>쳤</v>
      </c>
      <c r="G1876" s="6" t="str">
        <f aca="false">DEC2HEX(D1876+36, 2)</f>
        <v>2D</v>
      </c>
      <c r="H1876" s="6" t="str">
        <f aca="false">DEC2HEX(C1876+48,2)</f>
        <v>33</v>
      </c>
      <c r="I1876" s="6" t="str">
        <f aca="false">_xlfn.CONCAT("\x", G1876, "\x", H1876, "=", F1876)</f>
        <v>\x2D\x33=쳤</v>
      </c>
      <c r="M1876" s="8"/>
    </row>
    <row r="1877" customFormat="false" ht="12.8" hidden="false" customHeight="true" outlineLevel="0" collapsed="false">
      <c r="C1877" s="6" t="n">
        <f aca="false">MOD(ROW()-1, 208)</f>
        <v>4</v>
      </c>
      <c r="D1877" s="6" t="n">
        <f aca="false">INT((ROW()-1)/208)</f>
        <v>9</v>
      </c>
      <c r="F1877" s="6" t="str">
        <f aca="false">MID(VLOOKUP(D1877,$P$1:$Q$13,2,0), 1 + C1877,1)</f>
        <v>쳬</v>
      </c>
      <c r="G1877" s="6" t="str">
        <f aca="false">DEC2HEX(D1877+36, 2)</f>
        <v>2D</v>
      </c>
      <c r="H1877" s="6" t="str">
        <f aca="false">DEC2HEX(C1877+48,2)</f>
        <v>34</v>
      </c>
      <c r="I1877" s="6" t="str">
        <f aca="false">_xlfn.CONCAT("\x", G1877, "\x", H1877, "=", F1877)</f>
        <v>\x2D\x34=쳬</v>
      </c>
      <c r="M1877" s="8"/>
    </row>
    <row r="1878" customFormat="false" ht="12.8" hidden="false" customHeight="true" outlineLevel="0" collapsed="false">
      <c r="C1878" s="6" t="n">
        <f aca="false">MOD(ROW()-1, 208)</f>
        <v>5</v>
      </c>
      <c r="D1878" s="6" t="n">
        <f aca="false">INT((ROW()-1)/208)</f>
        <v>9</v>
      </c>
      <c r="F1878" s="6" t="str">
        <f aca="false">MID(VLOOKUP(D1878,$P$1:$Q$13,2,0), 1 + C1878,1)</f>
        <v>쳰</v>
      </c>
      <c r="G1878" s="6" t="str">
        <f aca="false">DEC2HEX(D1878+36, 2)</f>
        <v>2D</v>
      </c>
      <c r="H1878" s="6" t="str">
        <f aca="false">DEC2HEX(C1878+48,2)</f>
        <v>35</v>
      </c>
      <c r="I1878" s="6" t="str">
        <f aca="false">_xlfn.CONCAT("\x", G1878, "\x", H1878, "=", F1878)</f>
        <v>\x2D\x35=쳰</v>
      </c>
      <c r="M1878" s="8"/>
    </row>
    <row r="1879" customFormat="false" ht="12.8" hidden="false" customHeight="true" outlineLevel="0" collapsed="false">
      <c r="C1879" s="6" t="n">
        <f aca="false">MOD(ROW()-1, 208)</f>
        <v>6</v>
      </c>
      <c r="D1879" s="6" t="n">
        <f aca="false">INT((ROW()-1)/208)</f>
        <v>9</v>
      </c>
      <c r="F1879" s="6" t="str">
        <f aca="false">MID(VLOOKUP(D1879,$P$1:$Q$13,2,0), 1 + C1879,1)</f>
        <v>촁</v>
      </c>
      <c r="G1879" s="6" t="str">
        <f aca="false">DEC2HEX(D1879+36, 2)</f>
        <v>2D</v>
      </c>
      <c r="H1879" s="6" t="str">
        <f aca="false">DEC2HEX(C1879+48,2)</f>
        <v>36</v>
      </c>
      <c r="I1879" s="6" t="str">
        <f aca="false">_xlfn.CONCAT("\x", G1879, "\x", H1879, "=", F1879)</f>
        <v>\x2D\x36=촁</v>
      </c>
      <c r="M1879" s="8"/>
    </row>
    <row r="1880" customFormat="false" ht="12.8" hidden="false" customHeight="true" outlineLevel="0" collapsed="false">
      <c r="C1880" s="6" t="n">
        <f aca="false">MOD(ROW()-1, 208)</f>
        <v>7</v>
      </c>
      <c r="D1880" s="6" t="n">
        <f aca="false">INT((ROW()-1)/208)</f>
        <v>9</v>
      </c>
      <c r="F1880" s="6" t="str">
        <f aca="false">MID(VLOOKUP(D1880,$P$1:$Q$13,2,0), 1 + C1880,1)</f>
        <v>초</v>
      </c>
      <c r="G1880" s="6" t="str">
        <f aca="false">DEC2HEX(D1880+36, 2)</f>
        <v>2D</v>
      </c>
      <c r="H1880" s="6" t="str">
        <f aca="false">DEC2HEX(C1880+48,2)</f>
        <v>37</v>
      </c>
      <c r="I1880" s="6" t="str">
        <f aca="false">_xlfn.CONCAT("\x", G1880, "\x", H1880, "=", F1880)</f>
        <v>\x2D\x37=초</v>
      </c>
      <c r="M1880" s="8"/>
    </row>
    <row r="1881" customFormat="false" ht="12.8" hidden="false" customHeight="true" outlineLevel="0" collapsed="false">
      <c r="C1881" s="6" t="n">
        <f aca="false">MOD(ROW()-1, 208)</f>
        <v>8</v>
      </c>
      <c r="D1881" s="6" t="n">
        <f aca="false">INT((ROW()-1)/208)</f>
        <v>9</v>
      </c>
      <c r="F1881" s="6" t="str">
        <f aca="false">MID(VLOOKUP(D1881,$P$1:$Q$13,2,0), 1 + C1881,1)</f>
        <v>촉</v>
      </c>
      <c r="G1881" s="6" t="str">
        <f aca="false">DEC2HEX(D1881+36, 2)</f>
        <v>2D</v>
      </c>
      <c r="H1881" s="6" t="str">
        <f aca="false">DEC2HEX(C1881+48,2)</f>
        <v>38</v>
      </c>
      <c r="I1881" s="6" t="str">
        <f aca="false">_xlfn.CONCAT("\x", G1881, "\x", H1881, "=", F1881)</f>
        <v>\x2D\x38=촉</v>
      </c>
      <c r="M1881" s="8"/>
    </row>
    <row r="1882" customFormat="false" ht="12.8" hidden="false" customHeight="true" outlineLevel="0" collapsed="false">
      <c r="C1882" s="6" t="n">
        <f aca="false">MOD(ROW()-1, 208)</f>
        <v>9</v>
      </c>
      <c r="D1882" s="6" t="n">
        <f aca="false">INT((ROW()-1)/208)</f>
        <v>9</v>
      </c>
      <c r="F1882" s="6" t="str">
        <f aca="false">MID(VLOOKUP(D1882,$P$1:$Q$13,2,0), 1 + C1882,1)</f>
        <v>촌</v>
      </c>
      <c r="G1882" s="6" t="str">
        <f aca="false">DEC2HEX(D1882+36, 2)</f>
        <v>2D</v>
      </c>
      <c r="H1882" s="6" t="str">
        <f aca="false">DEC2HEX(C1882+48,2)</f>
        <v>39</v>
      </c>
      <c r="I1882" s="6" t="str">
        <f aca="false">_xlfn.CONCAT("\x", G1882, "\x", H1882, "=", F1882)</f>
        <v>\x2D\x39=촌</v>
      </c>
      <c r="M1882" s="8"/>
    </row>
    <row r="1883" customFormat="false" ht="12.8" hidden="false" customHeight="true" outlineLevel="0" collapsed="false">
      <c r="C1883" s="6" t="n">
        <f aca="false">MOD(ROW()-1, 208)</f>
        <v>10</v>
      </c>
      <c r="D1883" s="6" t="n">
        <f aca="false">INT((ROW()-1)/208)</f>
        <v>9</v>
      </c>
      <c r="F1883" s="6" t="str">
        <f aca="false">MID(VLOOKUP(D1883,$P$1:$Q$13,2,0), 1 + C1883,1)</f>
        <v>촐</v>
      </c>
      <c r="G1883" s="6" t="str">
        <f aca="false">DEC2HEX(D1883+36, 2)</f>
        <v>2D</v>
      </c>
      <c r="H1883" s="6" t="str">
        <f aca="false">DEC2HEX(C1883+48,2)</f>
        <v>3A</v>
      </c>
      <c r="I1883" s="6" t="str">
        <f aca="false">_xlfn.CONCAT("\x", G1883, "\x", H1883, "=", F1883)</f>
        <v>\x2D\x3A=촐</v>
      </c>
      <c r="M1883" s="8"/>
    </row>
    <row r="1884" customFormat="false" ht="12.8" hidden="false" customHeight="true" outlineLevel="0" collapsed="false">
      <c r="C1884" s="6" t="n">
        <f aca="false">MOD(ROW()-1, 208)</f>
        <v>11</v>
      </c>
      <c r="D1884" s="6" t="n">
        <f aca="false">INT((ROW()-1)/208)</f>
        <v>9</v>
      </c>
      <c r="F1884" s="6" t="str">
        <f aca="false">MID(VLOOKUP(D1884,$P$1:$Q$13,2,0), 1 + C1884,1)</f>
        <v>촘</v>
      </c>
      <c r="G1884" s="6" t="str">
        <f aca="false">DEC2HEX(D1884+36, 2)</f>
        <v>2D</v>
      </c>
      <c r="H1884" s="6" t="str">
        <f aca="false">DEC2HEX(C1884+48,2)</f>
        <v>3B</v>
      </c>
      <c r="I1884" s="6" t="str">
        <f aca="false">_xlfn.CONCAT("\x", G1884, "\x", H1884, "=", F1884)</f>
        <v>\x2D\x3B=촘</v>
      </c>
      <c r="M1884" s="8"/>
    </row>
    <row r="1885" customFormat="false" ht="12.8" hidden="false" customHeight="true" outlineLevel="0" collapsed="false">
      <c r="C1885" s="6" t="n">
        <f aca="false">MOD(ROW()-1, 208)</f>
        <v>12</v>
      </c>
      <c r="D1885" s="6" t="n">
        <f aca="false">INT((ROW()-1)/208)</f>
        <v>9</v>
      </c>
      <c r="F1885" s="6" t="str">
        <f aca="false">MID(VLOOKUP(D1885,$P$1:$Q$13,2,0), 1 + C1885,1)</f>
        <v>촙</v>
      </c>
      <c r="G1885" s="6" t="str">
        <f aca="false">DEC2HEX(D1885+36, 2)</f>
        <v>2D</v>
      </c>
      <c r="H1885" s="6" t="str">
        <f aca="false">DEC2HEX(C1885+48,2)</f>
        <v>3C</v>
      </c>
      <c r="I1885" s="6" t="str">
        <f aca="false">_xlfn.CONCAT("\x", G1885, "\x", H1885, "=", F1885)</f>
        <v>\x2D\x3C=촙</v>
      </c>
      <c r="M1885" s="8"/>
    </row>
    <row r="1886" customFormat="false" ht="12.8" hidden="false" customHeight="true" outlineLevel="0" collapsed="false">
      <c r="C1886" s="6" t="n">
        <f aca="false">MOD(ROW()-1, 208)</f>
        <v>13</v>
      </c>
      <c r="D1886" s="6" t="n">
        <f aca="false">INT((ROW()-1)/208)</f>
        <v>9</v>
      </c>
      <c r="F1886" s="6" t="str">
        <f aca="false">MID(VLOOKUP(D1886,$P$1:$Q$13,2,0), 1 + C1886,1)</f>
        <v>촛</v>
      </c>
      <c r="G1886" s="6" t="str">
        <f aca="false">DEC2HEX(D1886+36, 2)</f>
        <v>2D</v>
      </c>
      <c r="H1886" s="6" t="str">
        <f aca="false">DEC2HEX(C1886+48,2)</f>
        <v>3D</v>
      </c>
      <c r="I1886" s="6" t="str">
        <f aca="false">_xlfn.CONCAT("\x", G1886, "\x", H1886, "=", F1886)</f>
        <v>\x2D\x3D=촛</v>
      </c>
      <c r="M1886" s="8"/>
    </row>
    <row r="1887" customFormat="false" ht="12.8" hidden="false" customHeight="true" outlineLevel="0" collapsed="false">
      <c r="C1887" s="6" t="n">
        <f aca="false">MOD(ROW()-1, 208)</f>
        <v>14</v>
      </c>
      <c r="D1887" s="6" t="n">
        <f aca="false">INT((ROW()-1)/208)</f>
        <v>9</v>
      </c>
      <c r="F1887" s="6" t="str">
        <f aca="false">MID(VLOOKUP(D1887,$P$1:$Q$13,2,0), 1 + C1887,1)</f>
        <v>총</v>
      </c>
      <c r="G1887" s="6" t="str">
        <f aca="false">DEC2HEX(D1887+36, 2)</f>
        <v>2D</v>
      </c>
      <c r="H1887" s="6" t="str">
        <f aca="false">DEC2HEX(C1887+48,2)</f>
        <v>3E</v>
      </c>
      <c r="I1887" s="6" t="str">
        <f aca="false">_xlfn.CONCAT("\x", G1887, "\x", H1887, "=", F1887)</f>
        <v>\x2D\x3E=총</v>
      </c>
      <c r="M1887" s="8"/>
    </row>
    <row r="1888" customFormat="false" ht="12.8" hidden="false" customHeight="true" outlineLevel="0" collapsed="false">
      <c r="C1888" s="6" t="n">
        <f aca="false">MOD(ROW()-1, 208)</f>
        <v>15</v>
      </c>
      <c r="D1888" s="6" t="n">
        <f aca="false">INT((ROW()-1)/208)</f>
        <v>9</v>
      </c>
      <c r="F1888" s="6" t="str">
        <f aca="false">MID(VLOOKUP(D1888,$P$1:$Q$13,2,0), 1 + C1888,1)</f>
        <v>촤</v>
      </c>
      <c r="G1888" s="6" t="str">
        <f aca="false">DEC2HEX(D1888+36, 2)</f>
        <v>2D</v>
      </c>
      <c r="H1888" s="6" t="str">
        <f aca="false">DEC2HEX(C1888+48,2)</f>
        <v>3F</v>
      </c>
      <c r="I1888" s="6" t="str">
        <f aca="false">_xlfn.CONCAT("\x", G1888, "\x", H1888, "=", F1888)</f>
        <v>\x2D\x3F=촤</v>
      </c>
      <c r="M1888" s="8"/>
    </row>
    <row r="1889" customFormat="false" ht="12.8" hidden="false" customHeight="true" outlineLevel="0" collapsed="false">
      <c r="C1889" s="6" t="n">
        <f aca="false">MOD(ROW()-1, 208)</f>
        <v>16</v>
      </c>
      <c r="D1889" s="6" t="n">
        <f aca="false">INT((ROW()-1)/208)</f>
        <v>9</v>
      </c>
      <c r="F1889" s="6" t="str">
        <f aca="false">MID(VLOOKUP(D1889,$P$1:$Q$13,2,0), 1 + C1889,1)</f>
        <v>촨</v>
      </c>
      <c r="G1889" s="6" t="str">
        <f aca="false">DEC2HEX(D1889+36, 2)</f>
        <v>2D</v>
      </c>
      <c r="H1889" s="6" t="str">
        <f aca="false">DEC2HEX(C1889+48,2)</f>
        <v>40</v>
      </c>
      <c r="I1889" s="6" t="str">
        <f aca="false">_xlfn.CONCAT("\x", G1889, "\x", H1889, "=", F1889)</f>
        <v>\x2D\x40=촨</v>
      </c>
      <c r="M1889" s="8"/>
    </row>
    <row r="1890" customFormat="false" ht="12.8" hidden="false" customHeight="true" outlineLevel="0" collapsed="false">
      <c r="C1890" s="6" t="n">
        <f aca="false">MOD(ROW()-1, 208)</f>
        <v>17</v>
      </c>
      <c r="D1890" s="6" t="n">
        <f aca="false">INT((ROW()-1)/208)</f>
        <v>9</v>
      </c>
      <c r="F1890" s="6" t="str">
        <f aca="false">MID(VLOOKUP(D1890,$P$1:$Q$13,2,0), 1 + C1890,1)</f>
        <v>촬</v>
      </c>
      <c r="G1890" s="6" t="str">
        <f aca="false">DEC2HEX(D1890+36, 2)</f>
        <v>2D</v>
      </c>
      <c r="H1890" s="6" t="str">
        <f aca="false">DEC2HEX(C1890+48,2)</f>
        <v>41</v>
      </c>
      <c r="I1890" s="6" t="str">
        <f aca="false">_xlfn.CONCAT("\x", G1890, "\x", H1890, "=", F1890)</f>
        <v>\x2D\x41=촬</v>
      </c>
      <c r="M1890" s="8"/>
    </row>
    <row r="1891" customFormat="false" ht="12.8" hidden="false" customHeight="true" outlineLevel="0" collapsed="false">
      <c r="C1891" s="6" t="n">
        <f aca="false">MOD(ROW()-1, 208)</f>
        <v>18</v>
      </c>
      <c r="D1891" s="6" t="n">
        <f aca="false">INT((ROW()-1)/208)</f>
        <v>9</v>
      </c>
      <c r="F1891" s="6" t="str">
        <f aca="false">MID(VLOOKUP(D1891,$P$1:$Q$13,2,0), 1 + C1891,1)</f>
        <v>촹</v>
      </c>
      <c r="G1891" s="6" t="str">
        <f aca="false">DEC2HEX(D1891+36, 2)</f>
        <v>2D</v>
      </c>
      <c r="H1891" s="6" t="str">
        <f aca="false">DEC2HEX(C1891+48,2)</f>
        <v>42</v>
      </c>
      <c r="I1891" s="6" t="str">
        <f aca="false">_xlfn.CONCAT("\x", G1891, "\x", H1891, "=", F1891)</f>
        <v>\x2D\x42=촹</v>
      </c>
      <c r="M1891" s="8"/>
    </row>
    <row r="1892" customFormat="false" ht="12.8" hidden="false" customHeight="true" outlineLevel="0" collapsed="false">
      <c r="C1892" s="6" t="n">
        <f aca="false">MOD(ROW()-1, 208)</f>
        <v>19</v>
      </c>
      <c r="D1892" s="6" t="n">
        <f aca="false">INT((ROW()-1)/208)</f>
        <v>9</v>
      </c>
      <c r="F1892" s="6" t="str">
        <f aca="false">MID(VLOOKUP(D1892,$P$1:$Q$13,2,0), 1 + C1892,1)</f>
        <v>최</v>
      </c>
      <c r="G1892" s="6" t="str">
        <f aca="false">DEC2HEX(D1892+36, 2)</f>
        <v>2D</v>
      </c>
      <c r="H1892" s="6" t="str">
        <f aca="false">DEC2HEX(C1892+48,2)</f>
        <v>43</v>
      </c>
      <c r="I1892" s="6" t="str">
        <f aca="false">_xlfn.CONCAT("\x", G1892, "\x", H1892, "=", F1892)</f>
        <v>\x2D\x43=최</v>
      </c>
      <c r="M1892" s="8"/>
    </row>
    <row r="1893" customFormat="false" ht="12.8" hidden="false" customHeight="true" outlineLevel="0" collapsed="false">
      <c r="C1893" s="6" t="n">
        <f aca="false">MOD(ROW()-1, 208)</f>
        <v>20</v>
      </c>
      <c r="D1893" s="6" t="n">
        <f aca="false">INT((ROW()-1)/208)</f>
        <v>9</v>
      </c>
      <c r="F1893" s="6" t="str">
        <f aca="false">MID(VLOOKUP(D1893,$P$1:$Q$13,2,0), 1 + C1893,1)</f>
        <v>쵠</v>
      </c>
      <c r="G1893" s="6" t="str">
        <f aca="false">DEC2HEX(D1893+36, 2)</f>
        <v>2D</v>
      </c>
      <c r="H1893" s="6" t="str">
        <f aca="false">DEC2HEX(C1893+48,2)</f>
        <v>44</v>
      </c>
      <c r="I1893" s="6" t="str">
        <f aca="false">_xlfn.CONCAT("\x", G1893, "\x", H1893, "=", F1893)</f>
        <v>\x2D\x44=쵠</v>
      </c>
      <c r="M1893" s="8"/>
    </row>
    <row r="1894" customFormat="false" ht="12.8" hidden="false" customHeight="true" outlineLevel="0" collapsed="false">
      <c r="C1894" s="6" t="n">
        <f aca="false">MOD(ROW()-1, 208)</f>
        <v>21</v>
      </c>
      <c r="D1894" s="6" t="n">
        <f aca="false">INT((ROW()-1)/208)</f>
        <v>9</v>
      </c>
      <c r="F1894" s="6" t="str">
        <f aca="false">MID(VLOOKUP(D1894,$P$1:$Q$13,2,0), 1 + C1894,1)</f>
        <v>쵤</v>
      </c>
      <c r="G1894" s="6" t="str">
        <f aca="false">DEC2HEX(D1894+36, 2)</f>
        <v>2D</v>
      </c>
      <c r="H1894" s="6" t="str">
        <f aca="false">DEC2HEX(C1894+48,2)</f>
        <v>45</v>
      </c>
      <c r="I1894" s="6" t="str">
        <f aca="false">_xlfn.CONCAT("\x", G1894, "\x", H1894, "=", F1894)</f>
        <v>\x2D\x45=쵤</v>
      </c>
      <c r="M1894" s="8"/>
    </row>
    <row r="1895" customFormat="false" ht="12.8" hidden="false" customHeight="true" outlineLevel="0" collapsed="false">
      <c r="C1895" s="6" t="n">
        <f aca="false">MOD(ROW()-1, 208)</f>
        <v>22</v>
      </c>
      <c r="D1895" s="6" t="n">
        <f aca="false">INT((ROW()-1)/208)</f>
        <v>9</v>
      </c>
      <c r="F1895" s="6" t="str">
        <f aca="false">MID(VLOOKUP(D1895,$P$1:$Q$13,2,0), 1 + C1895,1)</f>
        <v>쵬</v>
      </c>
      <c r="G1895" s="6" t="str">
        <f aca="false">DEC2HEX(D1895+36, 2)</f>
        <v>2D</v>
      </c>
      <c r="H1895" s="6" t="str">
        <f aca="false">DEC2HEX(C1895+48,2)</f>
        <v>46</v>
      </c>
      <c r="I1895" s="6" t="str">
        <f aca="false">_xlfn.CONCAT("\x", G1895, "\x", H1895, "=", F1895)</f>
        <v>\x2D\x46=쵬</v>
      </c>
      <c r="M1895" s="8"/>
    </row>
    <row r="1896" customFormat="false" ht="12.8" hidden="false" customHeight="true" outlineLevel="0" collapsed="false">
      <c r="C1896" s="6" t="n">
        <f aca="false">MOD(ROW()-1, 208)</f>
        <v>23</v>
      </c>
      <c r="D1896" s="6" t="n">
        <f aca="false">INT((ROW()-1)/208)</f>
        <v>9</v>
      </c>
      <c r="F1896" s="6" t="str">
        <f aca="false">MID(VLOOKUP(D1896,$P$1:$Q$13,2,0), 1 + C1896,1)</f>
        <v>쵭</v>
      </c>
      <c r="G1896" s="6" t="str">
        <f aca="false">DEC2HEX(D1896+36, 2)</f>
        <v>2D</v>
      </c>
      <c r="H1896" s="6" t="str">
        <f aca="false">DEC2HEX(C1896+48,2)</f>
        <v>47</v>
      </c>
      <c r="I1896" s="6" t="str">
        <f aca="false">_xlfn.CONCAT("\x", G1896, "\x", H1896, "=", F1896)</f>
        <v>\x2D\x47=쵭</v>
      </c>
      <c r="M1896" s="8"/>
    </row>
    <row r="1897" customFormat="false" ht="12.8" hidden="false" customHeight="true" outlineLevel="0" collapsed="false">
      <c r="C1897" s="6" t="n">
        <f aca="false">MOD(ROW()-1, 208)</f>
        <v>24</v>
      </c>
      <c r="D1897" s="6" t="n">
        <f aca="false">INT((ROW()-1)/208)</f>
        <v>9</v>
      </c>
      <c r="F1897" s="6" t="str">
        <f aca="false">MID(VLOOKUP(D1897,$P$1:$Q$13,2,0), 1 + C1897,1)</f>
        <v>쵯</v>
      </c>
      <c r="G1897" s="6" t="str">
        <f aca="false">DEC2HEX(D1897+36, 2)</f>
        <v>2D</v>
      </c>
      <c r="H1897" s="6" t="str">
        <f aca="false">DEC2HEX(C1897+48,2)</f>
        <v>48</v>
      </c>
      <c r="I1897" s="6" t="str">
        <f aca="false">_xlfn.CONCAT("\x", G1897, "\x", H1897, "=", F1897)</f>
        <v>\x2D\x48=쵯</v>
      </c>
      <c r="M1897" s="8"/>
    </row>
    <row r="1898" customFormat="false" ht="12.8" hidden="false" customHeight="true" outlineLevel="0" collapsed="false">
      <c r="C1898" s="6" t="n">
        <f aca="false">MOD(ROW()-1, 208)</f>
        <v>25</v>
      </c>
      <c r="D1898" s="6" t="n">
        <f aca="false">INT((ROW()-1)/208)</f>
        <v>9</v>
      </c>
      <c r="F1898" s="6" t="str">
        <f aca="false">MID(VLOOKUP(D1898,$P$1:$Q$13,2,0), 1 + C1898,1)</f>
        <v>쵱</v>
      </c>
      <c r="G1898" s="6" t="str">
        <f aca="false">DEC2HEX(D1898+36, 2)</f>
        <v>2D</v>
      </c>
      <c r="H1898" s="6" t="str">
        <f aca="false">DEC2HEX(C1898+48,2)</f>
        <v>49</v>
      </c>
      <c r="I1898" s="6" t="str">
        <f aca="false">_xlfn.CONCAT("\x", G1898, "\x", H1898, "=", F1898)</f>
        <v>\x2D\x49=쵱</v>
      </c>
      <c r="M1898" s="8"/>
    </row>
    <row r="1899" customFormat="false" ht="12.8" hidden="false" customHeight="true" outlineLevel="0" collapsed="false">
      <c r="C1899" s="6" t="n">
        <f aca="false">MOD(ROW()-1, 208)</f>
        <v>26</v>
      </c>
      <c r="D1899" s="6" t="n">
        <f aca="false">INT((ROW()-1)/208)</f>
        <v>9</v>
      </c>
      <c r="F1899" s="6" t="str">
        <f aca="false">MID(VLOOKUP(D1899,$P$1:$Q$13,2,0), 1 + C1899,1)</f>
        <v>쵸</v>
      </c>
      <c r="G1899" s="6" t="str">
        <f aca="false">DEC2HEX(D1899+36, 2)</f>
        <v>2D</v>
      </c>
      <c r="H1899" s="6" t="str">
        <f aca="false">DEC2HEX(C1899+48,2)</f>
        <v>4A</v>
      </c>
      <c r="I1899" s="6" t="str">
        <f aca="false">_xlfn.CONCAT("\x", G1899, "\x", H1899, "=", F1899)</f>
        <v>\x2D\x4A=쵸</v>
      </c>
      <c r="M1899" s="8"/>
    </row>
    <row r="1900" customFormat="false" ht="12.8" hidden="false" customHeight="true" outlineLevel="0" collapsed="false">
      <c r="C1900" s="6" t="n">
        <f aca="false">MOD(ROW()-1, 208)</f>
        <v>27</v>
      </c>
      <c r="D1900" s="6" t="n">
        <f aca="false">INT((ROW()-1)/208)</f>
        <v>9</v>
      </c>
      <c r="F1900" s="6" t="str">
        <f aca="false">MID(VLOOKUP(D1900,$P$1:$Q$13,2,0), 1 + C1900,1)</f>
        <v>춈</v>
      </c>
      <c r="G1900" s="6" t="str">
        <f aca="false">DEC2HEX(D1900+36, 2)</f>
        <v>2D</v>
      </c>
      <c r="H1900" s="6" t="str">
        <f aca="false">DEC2HEX(C1900+48,2)</f>
        <v>4B</v>
      </c>
      <c r="I1900" s="6" t="str">
        <f aca="false">_xlfn.CONCAT("\x", G1900, "\x", H1900, "=", F1900)</f>
        <v>\x2D\x4B=춈</v>
      </c>
      <c r="M1900" s="8"/>
    </row>
    <row r="1901" customFormat="false" ht="12.8" hidden="false" customHeight="true" outlineLevel="0" collapsed="false">
      <c r="C1901" s="6" t="n">
        <f aca="false">MOD(ROW()-1, 208)</f>
        <v>28</v>
      </c>
      <c r="D1901" s="6" t="n">
        <f aca="false">INT((ROW()-1)/208)</f>
        <v>9</v>
      </c>
      <c r="F1901" s="6" t="str">
        <f aca="false">MID(VLOOKUP(D1901,$P$1:$Q$13,2,0), 1 + C1901,1)</f>
        <v>추</v>
      </c>
      <c r="G1901" s="6" t="str">
        <f aca="false">DEC2HEX(D1901+36, 2)</f>
        <v>2D</v>
      </c>
      <c r="H1901" s="6" t="str">
        <f aca="false">DEC2HEX(C1901+48,2)</f>
        <v>4C</v>
      </c>
      <c r="I1901" s="6" t="str">
        <f aca="false">_xlfn.CONCAT("\x", G1901, "\x", H1901, "=", F1901)</f>
        <v>\x2D\x4C=추</v>
      </c>
      <c r="M1901" s="8"/>
    </row>
    <row r="1902" customFormat="false" ht="12.8" hidden="false" customHeight="true" outlineLevel="0" collapsed="false">
      <c r="C1902" s="6" t="n">
        <f aca="false">MOD(ROW()-1, 208)</f>
        <v>29</v>
      </c>
      <c r="D1902" s="6" t="n">
        <f aca="false">INT((ROW()-1)/208)</f>
        <v>9</v>
      </c>
      <c r="F1902" s="6" t="str">
        <f aca="false">MID(VLOOKUP(D1902,$P$1:$Q$13,2,0), 1 + C1902,1)</f>
        <v>축</v>
      </c>
      <c r="G1902" s="6" t="str">
        <f aca="false">DEC2HEX(D1902+36, 2)</f>
        <v>2D</v>
      </c>
      <c r="H1902" s="6" t="str">
        <f aca="false">DEC2HEX(C1902+48,2)</f>
        <v>4D</v>
      </c>
      <c r="I1902" s="6" t="str">
        <f aca="false">_xlfn.CONCAT("\x", G1902, "\x", H1902, "=", F1902)</f>
        <v>\x2D\x4D=축</v>
      </c>
      <c r="M1902" s="8"/>
    </row>
    <row r="1903" customFormat="false" ht="12.8" hidden="false" customHeight="true" outlineLevel="0" collapsed="false">
      <c r="C1903" s="6" t="n">
        <f aca="false">MOD(ROW()-1, 208)</f>
        <v>30</v>
      </c>
      <c r="D1903" s="6" t="n">
        <f aca="false">INT((ROW()-1)/208)</f>
        <v>9</v>
      </c>
      <c r="F1903" s="6" t="str">
        <f aca="false">MID(VLOOKUP(D1903,$P$1:$Q$13,2,0), 1 + C1903,1)</f>
        <v>춘</v>
      </c>
      <c r="G1903" s="6" t="str">
        <f aca="false">DEC2HEX(D1903+36, 2)</f>
        <v>2D</v>
      </c>
      <c r="H1903" s="6" t="str">
        <f aca="false">DEC2HEX(C1903+48,2)</f>
        <v>4E</v>
      </c>
      <c r="I1903" s="6" t="str">
        <f aca="false">_xlfn.CONCAT("\x", G1903, "\x", H1903, "=", F1903)</f>
        <v>\x2D\x4E=춘</v>
      </c>
      <c r="M1903" s="8"/>
    </row>
    <row r="1904" customFormat="false" ht="12.8" hidden="false" customHeight="true" outlineLevel="0" collapsed="false">
      <c r="C1904" s="6" t="n">
        <f aca="false">MOD(ROW()-1, 208)</f>
        <v>31</v>
      </c>
      <c r="D1904" s="6" t="n">
        <f aca="false">INT((ROW()-1)/208)</f>
        <v>9</v>
      </c>
      <c r="F1904" s="6" t="str">
        <f aca="false">MID(VLOOKUP(D1904,$P$1:$Q$13,2,0), 1 + C1904,1)</f>
        <v>출</v>
      </c>
      <c r="G1904" s="6" t="str">
        <f aca="false">DEC2HEX(D1904+36, 2)</f>
        <v>2D</v>
      </c>
      <c r="H1904" s="6" t="str">
        <f aca="false">DEC2HEX(C1904+48,2)</f>
        <v>4F</v>
      </c>
      <c r="I1904" s="6" t="str">
        <f aca="false">_xlfn.CONCAT("\x", G1904, "\x", H1904, "=", F1904)</f>
        <v>\x2D\x4F=출</v>
      </c>
      <c r="M1904" s="8"/>
    </row>
    <row r="1905" customFormat="false" ht="12.8" hidden="false" customHeight="true" outlineLevel="0" collapsed="false">
      <c r="C1905" s="6" t="n">
        <f aca="false">MOD(ROW()-1, 208)</f>
        <v>32</v>
      </c>
      <c r="D1905" s="6" t="n">
        <f aca="false">INT((ROW()-1)/208)</f>
        <v>9</v>
      </c>
      <c r="F1905" s="6" t="str">
        <f aca="false">MID(VLOOKUP(D1905,$P$1:$Q$13,2,0), 1 + C1905,1)</f>
        <v>춤</v>
      </c>
      <c r="G1905" s="6" t="str">
        <f aca="false">DEC2HEX(D1905+36, 2)</f>
        <v>2D</v>
      </c>
      <c r="H1905" s="6" t="str">
        <f aca="false">DEC2HEX(C1905+48,2)</f>
        <v>50</v>
      </c>
      <c r="I1905" s="6" t="str">
        <f aca="false">_xlfn.CONCAT("\x", G1905, "\x", H1905, "=", F1905)</f>
        <v>\x2D\x50=춤</v>
      </c>
      <c r="M1905" s="8"/>
    </row>
    <row r="1906" customFormat="false" ht="12.8" hidden="false" customHeight="true" outlineLevel="0" collapsed="false">
      <c r="C1906" s="6" t="n">
        <f aca="false">MOD(ROW()-1, 208)</f>
        <v>33</v>
      </c>
      <c r="D1906" s="6" t="n">
        <f aca="false">INT((ROW()-1)/208)</f>
        <v>9</v>
      </c>
      <c r="F1906" s="6" t="str">
        <f aca="false">MID(VLOOKUP(D1906,$P$1:$Q$13,2,0), 1 + C1906,1)</f>
        <v>춥</v>
      </c>
      <c r="G1906" s="6" t="str">
        <f aca="false">DEC2HEX(D1906+36, 2)</f>
        <v>2D</v>
      </c>
      <c r="H1906" s="6" t="str">
        <f aca="false">DEC2HEX(C1906+48,2)</f>
        <v>51</v>
      </c>
      <c r="I1906" s="6" t="str">
        <f aca="false">_xlfn.CONCAT("\x", G1906, "\x", H1906, "=", F1906)</f>
        <v>\x2D\x51=춥</v>
      </c>
      <c r="M1906" s="8"/>
    </row>
    <row r="1907" customFormat="false" ht="12.8" hidden="false" customHeight="true" outlineLevel="0" collapsed="false">
      <c r="C1907" s="6" t="n">
        <f aca="false">MOD(ROW()-1, 208)</f>
        <v>34</v>
      </c>
      <c r="D1907" s="6" t="n">
        <f aca="false">INT((ROW()-1)/208)</f>
        <v>9</v>
      </c>
      <c r="F1907" s="6" t="str">
        <f aca="false">MID(VLOOKUP(D1907,$P$1:$Q$13,2,0), 1 + C1907,1)</f>
        <v>춧</v>
      </c>
      <c r="G1907" s="6" t="str">
        <f aca="false">DEC2HEX(D1907+36, 2)</f>
        <v>2D</v>
      </c>
      <c r="H1907" s="6" t="str">
        <f aca="false">DEC2HEX(C1907+48,2)</f>
        <v>52</v>
      </c>
      <c r="I1907" s="6" t="str">
        <f aca="false">_xlfn.CONCAT("\x", G1907, "\x", H1907, "=", F1907)</f>
        <v>\x2D\x52=춧</v>
      </c>
      <c r="M1907" s="8"/>
    </row>
    <row r="1908" customFormat="false" ht="12.8" hidden="false" customHeight="true" outlineLevel="0" collapsed="false">
      <c r="C1908" s="6" t="n">
        <f aca="false">MOD(ROW()-1, 208)</f>
        <v>35</v>
      </c>
      <c r="D1908" s="6" t="n">
        <f aca="false">INT((ROW()-1)/208)</f>
        <v>9</v>
      </c>
      <c r="F1908" s="6" t="str">
        <f aca="false">MID(VLOOKUP(D1908,$P$1:$Q$13,2,0), 1 + C1908,1)</f>
        <v>충</v>
      </c>
      <c r="G1908" s="6" t="str">
        <f aca="false">DEC2HEX(D1908+36, 2)</f>
        <v>2D</v>
      </c>
      <c r="H1908" s="6" t="str">
        <f aca="false">DEC2HEX(C1908+48,2)</f>
        <v>53</v>
      </c>
      <c r="I1908" s="6" t="str">
        <f aca="false">_xlfn.CONCAT("\x", G1908, "\x", H1908, "=", F1908)</f>
        <v>\x2D\x53=충</v>
      </c>
      <c r="M1908" s="8"/>
    </row>
    <row r="1909" customFormat="false" ht="12.8" hidden="false" customHeight="true" outlineLevel="0" collapsed="false">
      <c r="C1909" s="6" t="n">
        <f aca="false">MOD(ROW()-1, 208)</f>
        <v>36</v>
      </c>
      <c r="D1909" s="6" t="n">
        <f aca="false">INT((ROW()-1)/208)</f>
        <v>9</v>
      </c>
      <c r="F1909" s="6" t="str">
        <f aca="false">MID(VLOOKUP(D1909,$P$1:$Q$13,2,0), 1 + C1909,1)</f>
        <v>춰</v>
      </c>
      <c r="G1909" s="6" t="str">
        <f aca="false">DEC2HEX(D1909+36, 2)</f>
        <v>2D</v>
      </c>
      <c r="H1909" s="6" t="str">
        <f aca="false">DEC2HEX(C1909+48,2)</f>
        <v>54</v>
      </c>
      <c r="I1909" s="6" t="str">
        <f aca="false">_xlfn.CONCAT("\x", G1909, "\x", H1909, "=", F1909)</f>
        <v>\x2D\x54=춰</v>
      </c>
      <c r="M1909" s="8"/>
    </row>
    <row r="1910" customFormat="false" ht="12.8" hidden="false" customHeight="true" outlineLevel="0" collapsed="false">
      <c r="C1910" s="6" t="n">
        <f aca="false">MOD(ROW()-1, 208)</f>
        <v>37</v>
      </c>
      <c r="D1910" s="6" t="n">
        <f aca="false">INT((ROW()-1)/208)</f>
        <v>9</v>
      </c>
      <c r="F1910" s="6" t="str">
        <f aca="false">MID(VLOOKUP(D1910,$P$1:$Q$13,2,0), 1 + C1910,1)</f>
        <v>췄</v>
      </c>
      <c r="G1910" s="6" t="str">
        <f aca="false">DEC2HEX(D1910+36, 2)</f>
        <v>2D</v>
      </c>
      <c r="H1910" s="6" t="str">
        <f aca="false">DEC2HEX(C1910+48,2)</f>
        <v>55</v>
      </c>
      <c r="I1910" s="6" t="str">
        <f aca="false">_xlfn.CONCAT("\x", G1910, "\x", H1910, "=", F1910)</f>
        <v>\x2D\x55=췄</v>
      </c>
      <c r="M1910" s="8"/>
    </row>
    <row r="1911" customFormat="false" ht="12.8" hidden="false" customHeight="true" outlineLevel="0" collapsed="false">
      <c r="C1911" s="6" t="n">
        <f aca="false">MOD(ROW()-1, 208)</f>
        <v>38</v>
      </c>
      <c r="D1911" s="6" t="n">
        <f aca="false">INT((ROW()-1)/208)</f>
        <v>9</v>
      </c>
      <c r="F1911" s="6" t="str">
        <f aca="false">MID(VLOOKUP(D1911,$P$1:$Q$13,2,0), 1 + C1911,1)</f>
        <v>췌</v>
      </c>
      <c r="G1911" s="6" t="str">
        <f aca="false">DEC2HEX(D1911+36, 2)</f>
        <v>2D</v>
      </c>
      <c r="H1911" s="6" t="str">
        <f aca="false">DEC2HEX(C1911+48,2)</f>
        <v>56</v>
      </c>
      <c r="I1911" s="6" t="str">
        <f aca="false">_xlfn.CONCAT("\x", G1911, "\x", H1911, "=", F1911)</f>
        <v>\x2D\x56=췌</v>
      </c>
      <c r="M1911" s="8"/>
    </row>
    <row r="1912" customFormat="false" ht="12.8" hidden="false" customHeight="true" outlineLevel="0" collapsed="false">
      <c r="C1912" s="6" t="n">
        <f aca="false">MOD(ROW()-1, 208)</f>
        <v>39</v>
      </c>
      <c r="D1912" s="6" t="n">
        <f aca="false">INT((ROW()-1)/208)</f>
        <v>9</v>
      </c>
      <c r="F1912" s="6" t="str">
        <f aca="false">MID(VLOOKUP(D1912,$P$1:$Q$13,2,0), 1 + C1912,1)</f>
        <v>췐</v>
      </c>
      <c r="G1912" s="6" t="str">
        <f aca="false">DEC2HEX(D1912+36, 2)</f>
        <v>2D</v>
      </c>
      <c r="H1912" s="6" t="str">
        <f aca="false">DEC2HEX(C1912+48,2)</f>
        <v>57</v>
      </c>
      <c r="I1912" s="6" t="str">
        <f aca="false">_xlfn.CONCAT("\x", G1912, "\x", H1912, "=", F1912)</f>
        <v>\x2D\x57=췐</v>
      </c>
      <c r="M1912" s="8"/>
    </row>
    <row r="1913" customFormat="false" ht="12.8" hidden="false" customHeight="true" outlineLevel="0" collapsed="false">
      <c r="C1913" s="6" t="n">
        <f aca="false">MOD(ROW()-1, 208)</f>
        <v>40</v>
      </c>
      <c r="D1913" s="6" t="n">
        <f aca="false">INT((ROW()-1)/208)</f>
        <v>9</v>
      </c>
      <c r="F1913" s="6" t="str">
        <f aca="false">MID(VLOOKUP(D1913,$P$1:$Q$13,2,0), 1 + C1913,1)</f>
        <v>취</v>
      </c>
      <c r="G1913" s="6" t="str">
        <f aca="false">DEC2HEX(D1913+36, 2)</f>
        <v>2D</v>
      </c>
      <c r="H1913" s="6" t="str">
        <f aca="false">DEC2HEX(C1913+48,2)</f>
        <v>58</v>
      </c>
      <c r="I1913" s="6" t="str">
        <f aca="false">_xlfn.CONCAT("\x", G1913, "\x", H1913, "=", F1913)</f>
        <v>\x2D\x58=취</v>
      </c>
      <c r="M1913" s="8"/>
    </row>
    <row r="1914" customFormat="false" ht="12.8" hidden="false" customHeight="true" outlineLevel="0" collapsed="false">
      <c r="C1914" s="6" t="n">
        <f aca="false">MOD(ROW()-1, 208)</f>
        <v>41</v>
      </c>
      <c r="D1914" s="6" t="n">
        <f aca="false">INT((ROW()-1)/208)</f>
        <v>9</v>
      </c>
      <c r="F1914" s="6" t="str">
        <f aca="false">MID(VLOOKUP(D1914,$P$1:$Q$13,2,0), 1 + C1914,1)</f>
        <v>췬</v>
      </c>
      <c r="G1914" s="6" t="str">
        <f aca="false">DEC2HEX(D1914+36, 2)</f>
        <v>2D</v>
      </c>
      <c r="H1914" s="6" t="str">
        <f aca="false">DEC2HEX(C1914+48,2)</f>
        <v>59</v>
      </c>
      <c r="I1914" s="6" t="str">
        <f aca="false">_xlfn.CONCAT("\x", G1914, "\x", H1914, "=", F1914)</f>
        <v>\x2D\x59=췬</v>
      </c>
      <c r="M1914" s="8"/>
    </row>
    <row r="1915" customFormat="false" ht="12.8" hidden="false" customHeight="true" outlineLevel="0" collapsed="false">
      <c r="C1915" s="6" t="n">
        <f aca="false">MOD(ROW()-1, 208)</f>
        <v>42</v>
      </c>
      <c r="D1915" s="6" t="n">
        <f aca="false">INT((ROW()-1)/208)</f>
        <v>9</v>
      </c>
      <c r="F1915" s="6" t="str">
        <f aca="false">MID(VLOOKUP(D1915,$P$1:$Q$13,2,0), 1 + C1915,1)</f>
        <v>췰</v>
      </c>
      <c r="G1915" s="6" t="str">
        <f aca="false">DEC2HEX(D1915+36, 2)</f>
        <v>2D</v>
      </c>
      <c r="H1915" s="6" t="str">
        <f aca="false">DEC2HEX(C1915+48,2)</f>
        <v>5A</v>
      </c>
      <c r="I1915" s="6" t="str">
        <f aca="false">_xlfn.CONCAT("\x", G1915, "\x", H1915, "=", F1915)</f>
        <v>\x2D\x5A=췰</v>
      </c>
      <c r="M1915" s="8"/>
    </row>
    <row r="1916" customFormat="false" ht="12.8" hidden="false" customHeight="true" outlineLevel="0" collapsed="false">
      <c r="C1916" s="6" t="n">
        <f aca="false">MOD(ROW()-1, 208)</f>
        <v>43</v>
      </c>
      <c r="D1916" s="6" t="n">
        <f aca="false">INT((ROW()-1)/208)</f>
        <v>9</v>
      </c>
      <c r="F1916" s="6" t="str">
        <f aca="false">MID(VLOOKUP(D1916,$P$1:$Q$13,2,0), 1 + C1916,1)</f>
        <v>췸</v>
      </c>
      <c r="G1916" s="6" t="str">
        <f aca="false">DEC2HEX(D1916+36, 2)</f>
        <v>2D</v>
      </c>
      <c r="H1916" s="6" t="str">
        <f aca="false">DEC2HEX(C1916+48,2)</f>
        <v>5B</v>
      </c>
      <c r="I1916" s="6" t="str">
        <f aca="false">_xlfn.CONCAT("\x", G1916, "\x", H1916, "=", F1916)</f>
        <v>\x2D\x5B=췸</v>
      </c>
      <c r="M1916" s="8"/>
    </row>
    <row r="1917" customFormat="false" ht="12.8" hidden="false" customHeight="true" outlineLevel="0" collapsed="false">
      <c r="C1917" s="6" t="n">
        <f aca="false">MOD(ROW()-1, 208)</f>
        <v>44</v>
      </c>
      <c r="D1917" s="6" t="n">
        <f aca="false">INT((ROW()-1)/208)</f>
        <v>9</v>
      </c>
      <c r="F1917" s="6" t="str">
        <f aca="false">MID(VLOOKUP(D1917,$P$1:$Q$13,2,0), 1 + C1917,1)</f>
        <v>췹</v>
      </c>
      <c r="G1917" s="6" t="str">
        <f aca="false">DEC2HEX(D1917+36, 2)</f>
        <v>2D</v>
      </c>
      <c r="H1917" s="6" t="str">
        <f aca="false">DEC2HEX(C1917+48,2)</f>
        <v>5C</v>
      </c>
      <c r="I1917" s="6" t="str">
        <f aca="false">_xlfn.CONCAT("\x", G1917, "\x", H1917, "=", F1917)</f>
        <v>\x2D\x5C=췹</v>
      </c>
      <c r="M1917" s="8"/>
    </row>
    <row r="1918" customFormat="false" ht="12.8" hidden="false" customHeight="true" outlineLevel="0" collapsed="false">
      <c r="C1918" s="6" t="n">
        <f aca="false">MOD(ROW()-1, 208)</f>
        <v>45</v>
      </c>
      <c r="D1918" s="6" t="n">
        <f aca="false">INT((ROW()-1)/208)</f>
        <v>9</v>
      </c>
      <c r="F1918" s="6" t="str">
        <f aca="false">MID(VLOOKUP(D1918,$P$1:$Q$13,2,0), 1 + C1918,1)</f>
        <v>췻</v>
      </c>
      <c r="G1918" s="6" t="str">
        <f aca="false">DEC2HEX(D1918+36, 2)</f>
        <v>2D</v>
      </c>
      <c r="H1918" s="6" t="str">
        <f aca="false">DEC2HEX(C1918+48,2)</f>
        <v>5D</v>
      </c>
      <c r="I1918" s="6" t="str">
        <f aca="false">_xlfn.CONCAT("\x", G1918, "\x", H1918, "=", F1918)</f>
        <v>\x2D\x5D=췻</v>
      </c>
      <c r="M1918" s="8"/>
    </row>
    <row r="1919" customFormat="false" ht="12.8" hidden="false" customHeight="true" outlineLevel="0" collapsed="false">
      <c r="C1919" s="6" t="n">
        <f aca="false">MOD(ROW()-1, 208)</f>
        <v>46</v>
      </c>
      <c r="D1919" s="6" t="n">
        <f aca="false">INT((ROW()-1)/208)</f>
        <v>9</v>
      </c>
      <c r="F1919" s="6" t="str">
        <f aca="false">MID(VLOOKUP(D1919,$P$1:$Q$13,2,0), 1 + C1919,1)</f>
        <v>췽</v>
      </c>
      <c r="G1919" s="6" t="str">
        <f aca="false">DEC2HEX(D1919+36, 2)</f>
        <v>2D</v>
      </c>
      <c r="H1919" s="6" t="str">
        <f aca="false">DEC2HEX(C1919+48,2)</f>
        <v>5E</v>
      </c>
      <c r="I1919" s="6" t="str">
        <f aca="false">_xlfn.CONCAT("\x", G1919, "\x", H1919, "=", F1919)</f>
        <v>\x2D\x5E=췽</v>
      </c>
      <c r="M1919" s="8"/>
    </row>
    <row r="1920" customFormat="false" ht="12.8" hidden="false" customHeight="true" outlineLevel="0" collapsed="false">
      <c r="C1920" s="6" t="n">
        <f aca="false">MOD(ROW()-1, 208)</f>
        <v>47</v>
      </c>
      <c r="D1920" s="6" t="n">
        <f aca="false">INT((ROW()-1)/208)</f>
        <v>9</v>
      </c>
      <c r="F1920" s="6" t="str">
        <f aca="false">MID(VLOOKUP(D1920,$P$1:$Q$13,2,0), 1 + C1920,1)</f>
        <v>츄</v>
      </c>
      <c r="G1920" s="6" t="str">
        <f aca="false">DEC2HEX(D1920+36, 2)</f>
        <v>2D</v>
      </c>
      <c r="H1920" s="6" t="str">
        <f aca="false">DEC2HEX(C1920+48,2)</f>
        <v>5F</v>
      </c>
      <c r="I1920" s="6" t="str">
        <f aca="false">_xlfn.CONCAT("\x", G1920, "\x", H1920, "=", F1920)</f>
        <v>\x2D\x5F=츄</v>
      </c>
      <c r="M1920" s="8"/>
    </row>
    <row r="1921" customFormat="false" ht="12.8" hidden="false" customHeight="true" outlineLevel="0" collapsed="false">
      <c r="C1921" s="6" t="n">
        <f aca="false">MOD(ROW()-1, 208)</f>
        <v>48</v>
      </c>
      <c r="D1921" s="6" t="n">
        <f aca="false">INT((ROW()-1)/208)</f>
        <v>9</v>
      </c>
      <c r="F1921" s="6" t="str">
        <f aca="false">MID(VLOOKUP(D1921,$P$1:$Q$13,2,0), 1 + C1921,1)</f>
        <v>츈</v>
      </c>
      <c r="G1921" s="6" t="str">
        <f aca="false">DEC2HEX(D1921+36, 2)</f>
        <v>2D</v>
      </c>
      <c r="H1921" s="6" t="str">
        <f aca="false">DEC2HEX(C1921+48,2)</f>
        <v>60</v>
      </c>
      <c r="I1921" s="6" t="str">
        <f aca="false">_xlfn.CONCAT("\x", G1921, "\x", H1921, "=", F1921)</f>
        <v>\x2D\x60=츈</v>
      </c>
      <c r="M1921" s="8"/>
    </row>
    <row r="1922" customFormat="false" ht="12.8" hidden="false" customHeight="true" outlineLevel="0" collapsed="false">
      <c r="C1922" s="6" t="n">
        <f aca="false">MOD(ROW()-1, 208)</f>
        <v>49</v>
      </c>
      <c r="D1922" s="6" t="n">
        <f aca="false">INT((ROW()-1)/208)</f>
        <v>9</v>
      </c>
      <c r="F1922" s="6" t="str">
        <f aca="false">MID(VLOOKUP(D1922,$P$1:$Q$13,2,0), 1 + C1922,1)</f>
        <v>츌</v>
      </c>
      <c r="G1922" s="6" t="str">
        <f aca="false">DEC2HEX(D1922+36, 2)</f>
        <v>2D</v>
      </c>
      <c r="H1922" s="6" t="str">
        <f aca="false">DEC2HEX(C1922+48,2)</f>
        <v>61</v>
      </c>
      <c r="I1922" s="6" t="str">
        <f aca="false">_xlfn.CONCAT("\x", G1922, "\x", H1922, "=", F1922)</f>
        <v>\x2D\x61=츌</v>
      </c>
      <c r="M1922" s="8"/>
    </row>
    <row r="1923" customFormat="false" ht="12.8" hidden="false" customHeight="true" outlineLevel="0" collapsed="false">
      <c r="C1923" s="6" t="n">
        <f aca="false">MOD(ROW()-1, 208)</f>
        <v>50</v>
      </c>
      <c r="D1923" s="6" t="n">
        <f aca="false">INT((ROW()-1)/208)</f>
        <v>9</v>
      </c>
      <c r="F1923" s="6" t="str">
        <f aca="false">MID(VLOOKUP(D1923,$P$1:$Q$13,2,0), 1 + C1923,1)</f>
        <v>츔</v>
      </c>
      <c r="G1923" s="6" t="str">
        <f aca="false">DEC2HEX(D1923+36, 2)</f>
        <v>2D</v>
      </c>
      <c r="H1923" s="6" t="str">
        <f aca="false">DEC2HEX(C1923+48,2)</f>
        <v>62</v>
      </c>
      <c r="I1923" s="6" t="str">
        <f aca="false">_xlfn.CONCAT("\x", G1923, "\x", H1923, "=", F1923)</f>
        <v>\x2D\x62=츔</v>
      </c>
      <c r="M1923" s="8"/>
    </row>
    <row r="1924" customFormat="false" ht="12.8" hidden="false" customHeight="true" outlineLevel="0" collapsed="false">
      <c r="C1924" s="6" t="n">
        <f aca="false">MOD(ROW()-1, 208)</f>
        <v>51</v>
      </c>
      <c r="D1924" s="6" t="n">
        <f aca="false">INT((ROW()-1)/208)</f>
        <v>9</v>
      </c>
      <c r="F1924" s="6" t="str">
        <f aca="false">MID(VLOOKUP(D1924,$P$1:$Q$13,2,0), 1 + C1924,1)</f>
        <v>츙</v>
      </c>
      <c r="G1924" s="6" t="str">
        <f aca="false">DEC2HEX(D1924+36, 2)</f>
        <v>2D</v>
      </c>
      <c r="H1924" s="6" t="str">
        <f aca="false">DEC2HEX(C1924+48,2)</f>
        <v>63</v>
      </c>
      <c r="I1924" s="6" t="str">
        <f aca="false">_xlfn.CONCAT("\x", G1924, "\x", H1924, "=", F1924)</f>
        <v>\x2D\x63=츙</v>
      </c>
      <c r="M1924" s="8"/>
    </row>
    <row r="1925" customFormat="false" ht="12.8" hidden="false" customHeight="true" outlineLevel="0" collapsed="false">
      <c r="C1925" s="6" t="n">
        <f aca="false">MOD(ROW()-1, 208)</f>
        <v>52</v>
      </c>
      <c r="D1925" s="6" t="n">
        <f aca="false">INT((ROW()-1)/208)</f>
        <v>9</v>
      </c>
      <c r="F1925" s="6" t="str">
        <f aca="false">MID(VLOOKUP(D1925,$P$1:$Q$13,2,0), 1 + C1925,1)</f>
        <v>츠</v>
      </c>
      <c r="G1925" s="6" t="str">
        <f aca="false">DEC2HEX(D1925+36, 2)</f>
        <v>2D</v>
      </c>
      <c r="H1925" s="6" t="str">
        <f aca="false">DEC2HEX(C1925+48,2)</f>
        <v>64</v>
      </c>
      <c r="I1925" s="6" t="str">
        <f aca="false">_xlfn.CONCAT("\x", G1925, "\x", H1925, "=", F1925)</f>
        <v>\x2D\x64=츠</v>
      </c>
      <c r="M1925" s="8"/>
    </row>
    <row r="1926" customFormat="false" ht="12.8" hidden="false" customHeight="true" outlineLevel="0" collapsed="false">
      <c r="C1926" s="6" t="n">
        <f aca="false">MOD(ROW()-1, 208)</f>
        <v>53</v>
      </c>
      <c r="D1926" s="6" t="n">
        <f aca="false">INT((ROW()-1)/208)</f>
        <v>9</v>
      </c>
      <c r="F1926" s="6" t="str">
        <f aca="false">MID(VLOOKUP(D1926,$P$1:$Q$13,2,0), 1 + C1926,1)</f>
        <v>측</v>
      </c>
      <c r="G1926" s="6" t="str">
        <f aca="false">DEC2HEX(D1926+36, 2)</f>
        <v>2D</v>
      </c>
      <c r="H1926" s="6" t="str">
        <f aca="false">DEC2HEX(C1926+48,2)</f>
        <v>65</v>
      </c>
      <c r="I1926" s="6" t="str">
        <f aca="false">_xlfn.CONCAT("\x", G1926, "\x", H1926, "=", F1926)</f>
        <v>\x2D\x65=측</v>
      </c>
      <c r="M1926" s="8"/>
    </row>
    <row r="1927" customFormat="false" ht="12.8" hidden="false" customHeight="true" outlineLevel="0" collapsed="false">
      <c r="C1927" s="6" t="n">
        <f aca="false">MOD(ROW()-1, 208)</f>
        <v>54</v>
      </c>
      <c r="D1927" s="6" t="n">
        <f aca="false">INT((ROW()-1)/208)</f>
        <v>9</v>
      </c>
      <c r="F1927" s="6" t="str">
        <f aca="false">MID(VLOOKUP(D1927,$P$1:$Q$13,2,0), 1 + C1927,1)</f>
        <v>츤</v>
      </c>
      <c r="G1927" s="6" t="str">
        <f aca="false">DEC2HEX(D1927+36, 2)</f>
        <v>2D</v>
      </c>
      <c r="H1927" s="6" t="str">
        <f aca="false">DEC2HEX(C1927+48,2)</f>
        <v>66</v>
      </c>
      <c r="I1927" s="6" t="str">
        <f aca="false">_xlfn.CONCAT("\x", G1927, "\x", H1927, "=", F1927)</f>
        <v>\x2D\x66=츤</v>
      </c>
      <c r="M1927" s="8"/>
    </row>
    <row r="1928" customFormat="false" ht="12.8" hidden="false" customHeight="true" outlineLevel="0" collapsed="false">
      <c r="C1928" s="6" t="n">
        <f aca="false">MOD(ROW()-1, 208)</f>
        <v>55</v>
      </c>
      <c r="D1928" s="6" t="n">
        <f aca="false">INT((ROW()-1)/208)</f>
        <v>9</v>
      </c>
      <c r="F1928" s="6" t="str">
        <f aca="false">MID(VLOOKUP(D1928,$P$1:$Q$13,2,0), 1 + C1928,1)</f>
        <v>츨</v>
      </c>
      <c r="G1928" s="6" t="str">
        <f aca="false">DEC2HEX(D1928+36, 2)</f>
        <v>2D</v>
      </c>
      <c r="H1928" s="6" t="str">
        <f aca="false">DEC2HEX(C1928+48,2)</f>
        <v>67</v>
      </c>
      <c r="I1928" s="6" t="str">
        <f aca="false">_xlfn.CONCAT("\x", G1928, "\x", H1928, "=", F1928)</f>
        <v>\x2D\x67=츨</v>
      </c>
      <c r="M1928" s="8"/>
    </row>
    <row r="1929" customFormat="false" ht="12.8" hidden="false" customHeight="true" outlineLevel="0" collapsed="false">
      <c r="C1929" s="6" t="n">
        <f aca="false">MOD(ROW()-1, 208)</f>
        <v>56</v>
      </c>
      <c r="D1929" s="6" t="n">
        <f aca="false">INT((ROW()-1)/208)</f>
        <v>9</v>
      </c>
      <c r="F1929" s="6" t="str">
        <f aca="false">MID(VLOOKUP(D1929,$P$1:$Q$13,2,0), 1 + C1929,1)</f>
        <v>츰</v>
      </c>
      <c r="G1929" s="6" t="str">
        <f aca="false">DEC2HEX(D1929+36, 2)</f>
        <v>2D</v>
      </c>
      <c r="H1929" s="6" t="str">
        <f aca="false">DEC2HEX(C1929+48,2)</f>
        <v>68</v>
      </c>
      <c r="I1929" s="6" t="str">
        <f aca="false">_xlfn.CONCAT("\x", G1929, "\x", H1929, "=", F1929)</f>
        <v>\x2D\x68=츰</v>
      </c>
      <c r="M1929" s="8"/>
    </row>
    <row r="1930" customFormat="false" ht="12.8" hidden="false" customHeight="true" outlineLevel="0" collapsed="false">
      <c r="C1930" s="6" t="n">
        <f aca="false">MOD(ROW()-1, 208)</f>
        <v>57</v>
      </c>
      <c r="D1930" s="6" t="n">
        <f aca="false">INT((ROW()-1)/208)</f>
        <v>9</v>
      </c>
      <c r="F1930" s="6" t="str">
        <f aca="false">MID(VLOOKUP(D1930,$P$1:$Q$13,2,0), 1 + C1930,1)</f>
        <v>츱</v>
      </c>
      <c r="G1930" s="6" t="str">
        <f aca="false">DEC2HEX(D1930+36, 2)</f>
        <v>2D</v>
      </c>
      <c r="H1930" s="6" t="str">
        <f aca="false">DEC2HEX(C1930+48,2)</f>
        <v>69</v>
      </c>
      <c r="I1930" s="6" t="str">
        <f aca="false">_xlfn.CONCAT("\x", G1930, "\x", H1930, "=", F1930)</f>
        <v>\x2D\x69=츱</v>
      </c>
      <c r="M1930" s="8"/>
    </row>
    <row r="1931" customFormat="false" ht="12.8" hidden="false" customHeight="true" outlineLevel="0" collapsed="false">
      <c r="C1931" s="6" t="n">
        <f aca="false">MOD(ROW()-1, 208)</f>
        <v>58</v>
      </c>
      <c r="D1931" s="6" t="n">
        <f aca="false">INT((ROW()-1)/208)</f>
        <v>9</v>
      </c>
      <c r="F1931" s="6" t="str">
        <f aca="false">MID(VLOOKUP(D1931,$P$1:$Q$13,2,0), 1 + C1931,1)</f>
        <v>츳</v>
      </c>
      <c r="G1931" s="6" t="str">
        <f aca="false">DEC2HEX(D1931+36, 2)</f>
        <v>2D</v>
      </c>
      <c r="H1931" s="6" t="str">
        <f aca="false">DEC2HEX(C1931+48,2)</f>
        <v>6A</v>
      </c>
      <c r="I1931" s="6" t="str">
        <f aca="false">_xlfn.CONCAT("\x", G1931, "\x", H1931, "=", F1931)</f>
        <v>\x2D\x6A=츳</v>
      </c>
      <c r="M1931" s="8"/>
    </row>
    <row r="1932" customFormat="false" ht="12.8" hidden="false" customHeight="true" outlineLevel="0" collapsed="false">
      <c r="C1932" s="6" t="n">
        <f aca="false">MOD(ROW()-1, 208)</f>
        <v>59</v>
      </c>
      <c r="D1932" s="6" t="n">
        <f aca="false">INT((ROW()-1)/208)</f>
        <v>9</v>
      </c>
      <c r="F1932" s="6" t="str">
        <f aca="false">MID(VLOOKUP(D1932,$P$1:$Q$13,2,0), 1 + C1932,1)</f>
        <v>층</v>
      </c>
      <c r="G1932" s="6" t="str">
        <f aca="false">DEC2HEX(D1932+36, 2)</f>
        <v>2D</v>
      </c>
      <c r="H1932" s="6" t="str">
        <f aca="false">DEC2HEX(C1932+48,2)</f>
        <v>6B</v>
      </c>
      <c r="I1932" s="6" t="str">
        <f aca="false">_xlfn.CONCAT("\x", G1932, "\x", H1932, "=", F1932)</f>
        <v>\x2D\x6B=층</v>
      </c>
      <c r="M1932" s="8"/>
    </row>
    <row r="1933" customFormat="false" ht="12.8" hidden="false" customHeight="true" outlineLevel="0" collapsed="false">
      <c r="C1933" s="6" t="n">
        <f aca="false">MOD(ROW()-1, 208)</f>
        <v>60</v>
      </c>
      <c r="D1933" s="6" t="n">
        <f aca="false">INT((ROW()-1)/208)</f>
        <v>9</v>
      </c>
      <c r="F1933" s="6" t="str">
        <f aca="false">MID(VLOOKUP(D1933,$P$1:$Q$13,2,0), 1 + C1933,1)</f>
        <v>치</v>
      </c>
      <c r="G1933" s="6" t="str">
        <f aca="false">DEC2HEX(D1933+36, 2)</f>
        <v>2D</v>
      </c>
      <c r="H1933" s="6" t="str">
        <f aca="false">DEC2HEX(C1933+48,2)</f>
        <v>6C</v>
      </c>
      <c r="I1933" s="6" t="str">
        <f aca="false">_xlfn.CONCAT("\x", G1933, "\x", H1933, "=", F1933)</f>
        <v>\x2D\x6C=치</v>
      </c>
      <c r="M1933" s="8"/>
    </row>
    <row r="1934" customFormat="false" ht="12.8" hidden="false" customHeight="true" outlineLevel="0" collapsed="false">
      <c r="C1934" s="6" t="n">
        <f aca="false">MOD(ROW()-1, 208)</f>
        <v>61</v>
      </c>
      <c r="D1934" s="6" t="n">
        <f aca="false">INT((ROW()-1)/208)</f>
        <v>9</v>
      </c>
      <c r="F1934" s="6" t="str">
        <f aca="false">MID(VLOOKUP(D1934,$P$1:$Q$13,2,0), 1 + C1934,1)</f>
        <v>칙</v>
      </c>
      <c r="G1934" s="6" t="str">
        <f aca="false">DEC2HEX(D1934+36, 2)</f>
        <v>2D</v>
      </c>
      <c r="H1934" s="6" t="str">
        <f aca="false">DEC2HEX(C1934+48,2)</f>
        <v>6D</v>
      </c>
      <c r="I1934" s="6" t="str">
        <f aca="false">_xlfn.CONCAT("\x", G1934, "\x", H1934, "=", F1934)</f>
        <v>\x2D\x6D=칙</v>
      </c>
      <c r="M1934" s="8"/>
    </row>
    <row r="1935" customFormat="false" ht="12.8" hidden="false" customHeight="true" outlineLevel="0" collapsed="false">
      <c r="C1935" s="6" t="n">
        <f aca="false">MOD(ROW()-1, 208)</f>
        <v>62</v>
      </c>
      <c r="D1935" s="6" t="n">
        <f aca="false">INT((ROW()-1)/208)</f>
        <v>9</v>
      </c>
      <c r="F1935" s="6" t="str">
        <f aca="false">MID(VLOOKUP(D1935,$P$1:$Q$13,2,0), 1 + C1935,1)</f>
        <v>친</v>
      </c>
      <c r="G1935" s="6" t="str">
        <f aca="false">DEC2HEX(D1935+36, 2)</f>
        <v>2D</v>
      </c>
      <c r="H1935" s="6" t="str">
        <f aca="false">DEC2HEX(C1935+48,2)</f>
        <v>6E</v>
      </c>
      <c r="I1935" s="6" t="str">
        <f aca="false">_xlfn.CONCAT("\x", G1935, "\x", H1935, "=", F1935)</f>
        <v>\x2D\x6E=친</v>
      </c>
      <c r="M1935" s="8"/>
    </row>
    <row r="1936" customFormat="false" ht="12.8" hidden="false" customHeight="true" outlineLevel="0" collapsed="false">
      <c r="C1936" s="6" t="n">
        <f aca="false">MOD(ROW()-1, 208)</f>
        <v>63</v>
      </c>
      <c r="D1936" s="6" t="n">
        <f aca="false">INT((ROW()-1)/208)</f>
        <v>9</v>
      </c>
      <c r="F1936" s="6" t="str">
        <f aca="false">MID(VLOOKUP(D1936,$P$1:$Q$13,2,0), 1 + C1936,1)</f>
        <v>칟</v>
      </c>
      <c r="G1936" s="6" t="str">
        <f aca="false">DEC2HEX(D1936+36, 2)</f>
        <v>2D</v>
      </c>
      <c r="H1936" s="6" t="str">
        <f aca="false">DEC2HEX(C1936+48,2)</f>
        <v>6F</v>
      </c>
      <c r="I1936" s="6" t="str">
        <f aca="false">_xlfn.CONCAT("\x", G1936, "\x", H1936, "=", F1936)</f>
        <v>\x2D\x6F=칟</v>
      </c>
      <c r="M1936" s="8"/>
    </row>
    <row r="1937" customFormat="false" ht="12.8" hidden="false" customHeight="true" outlineLevel="0" collapsed="false">
      <c r="C1937" s="6" t="n">
        <f aca="false">MOD(ROW()-1, 208)</f>
        <v>64</v>
      </c>
      <c r="D1937" s="6" t="n">
        <f aca="false">INT((ROW()-1)/208)</f>
        <v>9</v>
      </c>
      <c r="F1937" s="6" t="str">
        <f aca="false">MID(VLOOKUP(D1937,$P$1:$Q$13,2,0), 1 + C1937,1)</f>
        <v>칠</v>
      </c>
      <c r="G1937" s="6" t="str">
        <f aca="false">DEC2HEX(D1937+36, 2)</f>
        <v>2D</v>
      </c>
      <c r="H1937" s="6" t="str">
        <f aca="false">DEC2HEX(C1937+48,2)</f>
        <v>70</v>
      </c>
      <c r="I1937" s="6" t="str">
        <f aca="false">_xlfn.CONCAT("\x", G1937, "\x", H1937, "=", F1937)</f>
        <v>\x2D\x70=칠</v>
      </c>
      <c r="M1937" s="8"/>
    </row>
    <row r="1938" customFormat="false" ht="12.8" hidden="false" customHeight="true" outlineLevel="0" collapsed="false">
      <c r="C1938" s="6" t="n">
        <f aca="false">MOD(ROW()-1, 208)</f>
        <v>65</v>
      </c>
      <c r="D1938" s="6" t="n">
        <f aca="false">INT((ROW()-1)/208)</f>
        <v>9</v>
      </c>
      <c r="F1938" s="6" t="str">
        <f aca="false">MID(VLOOKUP(D1938,$P$1:$Q$13,2,0), 1 + C1938,1)</f>
        <v>칡</v>
      </c>
      <c r="G1938" s="6" t="str">
        <f aca="false">DEC2HEX(D1938+36, 2)</f>
        <v>2D</v>
      </c>
      <c r="H1938" s="6" t="str">
        <f aca="false">DEC2HEX(C1938+48,2)</f>
        <v>71</v>
      </c>
      <c r="I1938" s="6" t="str">
        <f aca="false">_xlfn.CONCAT("\x", G1938, "\x", H1938, "=", F1938)</f>
        <v>\x2D\x71=칡</v>
      </c>
      <c r="M1938" s="8"/>
    </row>
    <row r="1939" customFormat="false" ht="12.8" hidden="false" customHeight="true" outlineLevel="0" collapsed="false">
      <c r="C1939" s="6" t="n">
        <f aca="false">MOD(ROW()-1, 208)</f>
        <v>66</v>
      </c>
      <c r="D1939" s="6" t="n">
        <f aca="false">INT((ROW()-1)/208)</f>
        <v>9</v>
      </c>
      <c r="F1939" s="6" t="str">
        <f aca="false">MID(VLOOKUP(D1939,$P$1:$Q$13,2,0), 1 + C1939,1)</f>
        <v>침</v>
      </c>
      <c r="G1939" s="6" t="str">
        <f aca="false">DEC2HEX(D1939+36, 2)</f>
        <v>2D</v>
      </c>
      <c r="H1939" s="6" t="str">
        <f aca="false">DEC2HEX(C1939+48,2)</f>
        <v>72</v>
      </c>
      <c r="I1939" s="6" t="str">
        <f aca="false">_xlfn.CONCAT("\x", G1939, "\x", H1939, "=", F1939)</f>
        <v>\x2D\x72=침</v>
      </c>
      <c r="M1939" s="8"/>
    </row>
    <row r="1940" customFormat="false" ht="12.8" hidden="false" customHeight="true" outlineLevel="0" collapsed="false">
      <c r="C1940" s="6" t="n">
        <f aca="false">MOD(ROW()-1, 208)</f>
        <v>67</v>
      </c>
      <c r="D1940" s="6" t="n">
        <f aca="false">INT((ROW()-1)/208)</f>
        <v>9</v>
      </c>
      <c r="F1940" s="6" t="str">
        <f aca="false">MID(VLOOKUP(D1940,$P$1:$Q$13,2,0), 1 + C1940,1)</f>
        <v>칩</v>
      </c>
      <c r="G1940" s="6" t="str">
        <f aca="false">DEC2HEX(D1940+36, 2)</f>
        <v>2D</v>
      </c>
      <c r="H1940" s="6" t="str">
        <f aca="false">DEC2HEX(C1940+48,2)</f>
        <v>73</v>
      </c>
      <c r="I1940" s="6" t="str">
        <f aca="false">_xlfn.CONCAT("\x", G1940, "\x", H1940, "=", F1940)</f>
        <v>\x2D\x73=칩</v>
      </c>
      <c r="M1940" s="8"/>
    </row>
    <row r="1941" customFormat="false" ht="12.8" hidden="false" customHeight="true" outlineLevel="0" collapsed="false">
      <c r="C1941" s="6" t="n">
        <f aca="false">MOD(ROW()-1, 208)</f>
        <v>68</v>
      </c>
      <c r="D1941" s="6" t="n">
        <f aca="false">INT((ROW()-1)/208)</f>
        <v>9</v>
      </c>
      <c r="F1941" s="6" t="str">
        <f aca="false">MID(VLOOKUP(D1941,$P$1:$Q$13,2,0), 1 + C1941,1)</f>
        <v>칫</v>
      </c>
      <c r="G1941" s="6" t="str">
        <f aca="false">DEC2HEX(D1941+36, 2)</f>
        <v>2D</v>
      </c>
      <c r="H1941" s="6" t="str">
        <f aca="false">DEC2HEX(C1941+48,2)</f>
        <v>74</v>
      </c>
      <c r="I1941" s="6" t="str">
        <f aca="false">_xlfn.CONCAT("\x", G1941, "\x", H1941, "=", F1941)</f>
        <v>\x2D\x74=칫</v>
      </c>
      <c r="M1941" s="8"/>
    </row>
    <row r="1942" customFormat="false" ht="12.8" hidden="false" customHeight="true" outlineLevel="0" collapsed="false">
      <c r="C1942" s="6" t="n">
        <f aca="false">MOD(ROW()-1, 208)</f>
        <v>69</v>
      </c>
      <c r="D1942" s="6" t="n">
        <f aca="false">INT((ROW()-1)/208)</f>
        <v>9</v>
      </c>
      <c r="F1942" s="6" t="str">
        <f aca="false">MID(VLOOKUP(D1942,$P$1:$Q$13,2,0), 1 + C1942,1)</f>
        <v>칭</v>
      </c>
      <c r="G1942" s="6" t="str">
        <f aca="false">DEC2HEX(D1942+36, 2)</f>
        <v>2D</v>
      </c>
      <c r="H1942" s="6" t="str">
        <f aca="false">DEC2HEX(C1942+48,2)</f>
        <v>75</v>
      </c>
      <c r="I1942" s="6" t="str">
        <f aca="false">_xlfn.CONCAT("\x", G1942, "\x", H1942, "=", F1942)</f>
        <v>\x2D\x75=칭</v>
      </c>
      <c r="M1942" s="8"/>
    </row>
    <row r="1943" customFormat="false" ht="12.8" hidden="false" customHeight="true" outlineLevel="0" collapsed="false">
      <c r="C1943" s="6" t="n">
        <f aca="false">MOD(ROW()-1, 208)</f>
        <v>70</v>
      </c>
      <c r="D1943" s="6" t="n">
        <f aca="false">INT((ROW()-1)/208)</f>
        <v>9</v>
      </c>
      <c r="F1943" s="6" t="str">
        <f aca="false">MID(VLOOKUP(D1943,$P$1:$Q$13,2,0), 1 + C1943,1)</f>
        <v>카</v>
      </c>
      <c r="G1943" s="6" t="str">
        <f aca="false">DEC2HEX(D1943+36, 2)</f>
        <v>2D</v>
      </c>
      <c r="H1943" s="6" t="str">
        <f aca="false">DEC2HEX(C1943+48,2)</f>
        <v>76</v>
      </c>
      <c r="I1943" s="6" t="str">
        <f aca="false">_xlfn.CONCAT("\x", G1943, "\x", H1943, "=", F1943)</f>
        <v>\x2D\x76=카</v>
      </c>
      <c r="M1943" s="8"/>
    </row>
    <row r="1944" customFormat="false" ht="12.8" hidden="false" customHeight="true" outlineLevel="0" collapsed="false">
      <c r="C1944" s="6" t="n">
        <f aca="false">MOD(ROW()-1, 208)</f>
        <v>71</v>
      </c>
      <c r="D1944" s="6" t="n">
        <f aca="false">INT((ROW()-1)/208)</f>
        <v>9</v>
      </c>
      <c r="F1944" s="6" t="str">
        <f aca="false">MID(VLOOKUP(D1944,$P$1:$Q$13,2,0), 1 + C1944,1)</f>
        <v>칵</v>
      </c>
      <c r="G1944" s="6" t="str">
        <f aca="false">DEC2HEX(D1944+36, 2)</f>
        <v>2D</v>
      </c>
      <c r="H1944" s="6" t="str">
        <f aca="false">DEC2HEX(C1944+48,2)</f>
        <v>77</v>
      </c>
      <c r="I1944" s="6" t="str">
        <f aca="false">_xlfn.CONCAT("\x", G1944, "\x", H1944, "=", F1944)</f>
        <v>\x2D\x77=칵</v>
      </c>
      <c r="M1944" s="8"/>
    </row>
    <row r="1945" customFormat="false" ht="12.8" hidden="false" customHeight="true" outlineLevel="0" collapsed="false">
      <c r="C1945" s="6" t="n">
        <f aca="false">MOD(ROW()-1, 208)</f>
        <v>72</v>
      </c>
      <c r="D1945" s="6" t="n">
        <f aca="false">INT((ROW()-1)/208)</f>
        <v>9</v>
      </c>
      <c r="F1945" s="6" t="str">
        <f aca="false">MID(VLOOKUP(D1945,$P$1:$Q$13,2,0), 1 + C1945,1)</f>
        <v>칸</v>
      </c>
      <c r="G1945" s="6" t="str">
        <f aca="false">DEC2HEX(D1945+36, 2)</f>
        <v>2D</v>
      </c>
      <c r="H1945" s="6" t="str">
        <f aca="false">DEC2HEX(C1945+48,2)</f>
        <v>78</v>
      </c>
      <c r="I1945" s="6" t="str">
        <f aca="false">_xlfn.CONCAT("\x", G1945, "\x", H1945, "=", F1945)</f>
        <v>\x2D\x78=칸</v>
      </c>
      <c r="M1945" s="8"/>
    </row>
    <row r="1946" customFormat="false" ht="12.8" hidden="false" customHeight="true" outlineLevel="0" collapsed="false">
      <c r="C1946" s="6" t="n">
        <f aca="false">MOD(ROW()-1, 208)</f>
        <v>73</v>
      </c>
      <c r="D1946" s="6" t="n">
        <f aca="false">INT((ROW()-1)/208)</f>
        <v>9</v>
      </c>
      <c r="F1946" s="6" t="str">
        <f aca="false">MID(VLOOKUP(D1946,$P$1:$Q$13,2,0), 1 + C1946,1)</f>
        <v>칼</v>
      </c>
      <c r="G1946" s="6" t="str">
        <f aca="false">DEC2HEX(D1946+36, 2)</f>
        <v>2D</v>
      </c>
      <c r="H1946" s="6" t="str">
        <f aca="false">DEC2HEX(C1946+48,2)</f>
        <v>79</v>
      </c>
      <c r="I1946" s="6" t="str">
        <f aca="false">_xlfn.CONCAT("\x", G1946, "\x", H1946, "=", F1946)</f>
        <v>\x2D\x79=칼</v>
      </c>
      <c r="M1946" s="8"/>
    </row>
    <row r="1947" customFormat="false" ht="12.8" hidden="false" customHeight="true" outlineLevel="0" collapsed="false">
      <c r="C1947" s="6" t="n">
        <f aca="false">MOD(ROW()-1, 208)</f>
        <v>74</v>
      </c>
      <c r="D1947" s="6" t="n">
        <f aca="false">INT((ROW()-1)/208)</f>
        <v>9</v>
      </c>
      <c r="F1947" s="6" t="str">
        <f aca="false">MID(VLOOKUP(D1947,$P$1:$Q$13,2,0), 1 + C1947,1)</f>
        <v>캄</v>
      </c>
      <c r="G1947" s="6" t="str">
        <f aca="false">DEC2HEX(D1947+36, 2)</f>
        <v>2D</v>
      </c>
      <c r="H1947" s="6" t="str">
        <f aca="false">DEC2HEX(C1947+48,2)</f>
        <v>7A</v>
      </c>
      <c r="I1947" s="6" t="str">
        <f aca="false">_xlfn.CONCAT("\x", G1947, "\x", H1947, "=", F1947)</f>
        <v>\x2D\x7A=캄</v>
      </c>
      <c r="M1947" s="8"/>
    </row>
    <row r="1948" customFormat="false" ht="12.8" hidden="false" customHeight="true" outlineLevel="0" collapsed="false">
      <c r="C1948" s="6" t="n">
        <f aca="false">MOD(ROW()-1, 208)</f>
        <v>75</v>
      </c>
      <c r="D1948" s="6" t="n">
        <f aca="false">INT((ROW()-1)/208)</f>
        <v>9</v>
      </c>
      <c r="F1948" s="6" t="str">
        <f aca="false">MID(VLOOKUP(D1948,$P$1:$Q$13,2,0), 1 + C1948,1)</f>
        <v>캅</v>
      </c>
      <c r="G1948" s="6" t="str">
        <f aca="false">DEC2HEX(D1948+36, 2)</f>
        <v>2D</v>
      </c>
      <c r="H1948" s="6" t="str">
        <f aca="false">DEC2HEX(C1948+48,2)</f>
        <v>7B</v>
      </c>
      <c r="I1948" s="6" t="str">
        <f aca="false">_xlfn.CONCAT("\x", G1948, "\x", H1948, "=", F1948)</f>
        <v>\x2D\x7B=캅</v>
      </c>
      <c r="M1948" s="8"/>
    </row>
    <row r="1949" customFormat="false" ht="12.8" hidden="false" customHeight="true" outlineLevel="0" collapsed="false">
      <c r="C1949" s="6" t="n">
        <f aca="false">MOD(ROW()-1, 208)</f>
        <v>76</v>
      </c>
      <c r="D1949" s="6" t="n">
        <f aca="false">INT((ROW()-1)/208)</f>
        <v>9</v>
      </c>
      <c r="F1949" s="6" t="str">
        <f aca="false">MID(VLOOKUP(D1949,$P$1:$Q$13,2,0), 1 + C1949,1)</f>
        <v>캇</v>
      </c>
      <c r="G1949" s="6" t="str">
        <f aca="false">DEC2HEX(D1949+36, 2)</f>
        <v>2D</v>
      </c>
      <c r="H1949" s="6" t="str">
        <f aca="false">DEC2HEX(C1949+48,2)</f>
        <v>7C</v>
      </c>
      <c r="I1949" s="6" t="str">
        <f aca="false">_xlfn.CONCAT("\x", G1949, "\x", H1949, "=", F1949)</f>
        <v>\x2D\x7C=캇</v>
      </c>
      <c r="M1949" s="8"/>
    </row>
    <row r="1950" customFormat="false" ht="12.8" hidden="false" customHeight="true" outlineLevel="0" collapsed="false">
      <c r="C1950" s="6" t="n">
        <f aca="false">MOD(ROW()-1, 208)</f>
        <v>77</v>
      </c>
      <c r="D1950" s="6" t="n">
        <f aca="false">INT((ROW()-1)/208)</f>
        <v>9</v>
      </c>
      <c r="F1950" s="6" t="str">
        <f aca="false">MID(VLOOKUP(D1950,$P$1:$Q$13,2,0), 1 + C1950,1)</f>
        <v>캉</v>
      </c>
      <c r="G1950" s="6" t="str">
        <f aca="false">DEC2HEX(D1950+36, 2)</f>
        <v>2D</v>
      </c>
      <c r="H1950" s="6" t="str">
        <f aca="false">DEC2HEX(C1950+48,2)</f>
        <v>7D</v>
      </c>
      <c r="I1950" s="6" t="str">
        <f aca="false">_xlfn.CONCAT("\x", G1950, "\x", H1950, "=", F1950)</f>
        <v>\x2D\x7D=캉</v>
      </c>
      <c r="M1950" s="8"/>
    </row>
    <row r="1951" customFormat="false" ht="12.8" hidden="false" customHeight="true" outlineLevel="0" collapsed="false">
      <c r="C1951" s="6" t="n">
        <f aca="false">MOD(ROW()-1, 208)</f>
        <v>78</v>
      </c>
      <c r="D1951" s="6" t="n">
        <f aca="false">INT((ROW()-1)/208)</f>
        <v>9</v>
      </c>
      <c r="F1951" s="6" t="str">
        <f aca="false">MID(VLOOKUP(D1951,$P$1:$Q$13,2,0), 1 + C1951,1)</f>
        <v>캐</v>
      </c>
      <c r="G1951" s="6" t="str">
        <f aca="false">DEC2HEX(D1951+36, 2)</f>
        <v>2D</v>
      </c>
      <c r="H1951" s="6" t="str">
        <f aca="false">DEC2HEX(C1951+48,2)</f>
        <v>7E</v>
      </c>
      <c r="I1951" s="6" t="str">
        <f aca="false">_xlfn.CONCAT("\x", G1951, "\x", H1951, "=", F1951)</f>
        <v>\x2D\x7E=캐</v>
      </c>
      <c r="M1951" s="8"/>
    </row>
    <row r="1952" customFormat="false" ht="12.8" hidden="false" customHeight="true" outlineLevel="0" collapsed="false">
      <c r="C1952" s="6" t="n">
        <f aca="false">MOD(ROW()-1, 208)</f>
        <v>79</v>
      </c>
      <c r="D1952" s="6" t="n">
        <f aca="false">INT((ROW()-1)/208)</f>
        <v>9</v>
      </c>
      <c r="F1952" s="6" t="str">
        <f aca="false">MID(VLOOKUP(D1952,$P$1:$Q$13,2,0), 1 + C1952,1)</f>
        <v>캑</v>
      </c>
      <c r="G1952" s="6" t="str">
        <f aca="false">DEC2HEX(D1952+36, 2)</f>
        <v>2D</v>
      </c>
      <c r="H1952" s="6" t="str">
        <f aca="false">DEC2HEX(C1952+48,2)</f>
        <v>7F</v>
      </c>
      <c r="I1952" s="6" t="str">
        <f aca="false">_xlfn.CONCAT("\x", G1952, "\x", H1952, "=", F1952)</f>
        <v>\x2D\x7F=캑</v>
      </c>
      <c r="M1952" s="8"/>
    </row>
    <row r="1953" customFormat="false" ht="12.8" hidden="false" customHeight="true" outlineLevel="0" collapsed="false">
      <c r="C1953" s="6" t="n">
        <f aca="false">MOD(ROW()-1, 208)</f>
        <v>80</v>
      </c>
      <c r="D1953" s="6" t="n">
        <f aca="false">INT((ROW()-1)/208)</f>
        <v>9</v>
      </c>
      <c r="F1953" s="6" t="str">
        <f aca="false">MID(VLOOKUP(D1953,$P$1:$Q$13,2,0), 1 + C1953,1)</f>
        <v>캔</v>
      </c>
      <c r="G1953" s="6" t="str">
        <f aca="false">DEC2HEX(D1953+36, 2)</f>
        <v>2D</v>
      </c>
      <c r="H1953" s="6" t="str">
        <f aca="false">DEC2HEX(C1953+48,2)</f>
        <v>80</v>
      </c>
      <c r="I1953" s="6" t="str">
        <f aca="false">_xlfn.CONCAT("\x", G1953, "\x", H1953, "=", F1953)</f>
        <v>\x2D\x80=캔</v>
      </c>
      <c r="M1953" s="8"/>
    </row>
    <row r="1954" customFormat="false" ht="12.8" hidden="false" customHeight="true" outlineLevel="0" collapsed="false">
      <c r="C1954" s="6" t="n">
        <f aca="false">MOD(ROW()-1, 208)</f>
        <v>81</v>
      </c>
      <c r="D1954" s="6" t="n">
        <f aca="false">INT((ROW()-1)/208)</f>
        <v>9</v>
      </c>
      <c r="F1954" s="6" t="str">
        <f aca="false">MID(VLOOKUP(D1954,$P$1:$Q$13,2,0), 1 + C1954,1)</f>
        <v>캘</v>
      </c>
      <c r="G1954" s="6" t="str">
        <f aca="false">DEC2HEX(D1954+36, 2)</f>
        <v>2D</v>
      </c>
      <c r="H1954" s="6" t="str">
        <f aca="false">DEC2HEX(C1954+48,2)</f>
        <v>81</v>
      </c>
      <c r="I1954" s="6" t="str">
        <f aca="false">_xlfn.CONCAT("\x", G1954, "\x", H1954, "=", F1954)</f>
        <v>\x2D\x81=캘</v>
      </c>
      <c r="M1954" s="8"/>
    </row>
    <row r="1955" customFormat="false" ht="12.8" hidden="false" customHeight="true" outlineLevel="0" collapsed="false">
      <c r="C1955" s="6" t="n">
        <f aca="false">MOD(ROW()-1, 208)</f>
        <v>82</v>
      </c>
      <c r="D1955" s="6" t="n">
        <f aca="false">INT((ROW()-1)/208)</f>
        <v>9</v>
      </c>
      <c r="F1955" s="6" t="str">
        <f aca="false">MID(VLOOKUP(D1955,$P$1:$Q$13,2,0), 1 + C1955,1)</f>
        <v>캠</v>
      </c>
      <c r="G1955" s="6" t="str">
        <f aca="false">DEC2HEX(D1955+36, 2)</f>
        <v>2D</v>
      </c>
      <c r="H1955" s="6" t="str">
        <f aca="false">DEC2HEX(C1955+48,2)</f>
        <v>82</v>
      </c>
      <c r="I1955" s="6" t="str">
        <f aca="false">_xlfn.CONCAT("\x", G1955, "\x", H1955, "=", F1955)</f>
        <v>\x2D\x82=캠</v>
      </c>
      <c r="M1955" s="8"/>
    </row>
    <row r="1956" customFormat="false" ht="12.8" hidden="false" customHeight="true" outlineLevel="0" collapsed="false">
      <c r="C1956" s="6" t="n">
        <f aca="false">MOD(ROW()-1, 208)</f>
        <v>83</v>
      </c>
      <c r="D1956" s="6" t="n">
        <f aca="false">INT((ROW()-1)/208)</f>
        <v>9</v>
      </c>
      <c r="F1956" s="6" t="str">
        <f aca="false">MID(VLOOKUP(D1956,$P$1:$Q$13,2,0), 1 + C1956,1)</f>
        <v>캡</v>
      </c>
      <c r="G1956" s="6" t="str">
        <f aca="false">DEC2HEX(D1956+36, 2)</f>
        <v>2D</v>
      </c>
      <c r="H1956" s="6" t="str">
        <f aca="false">DEC2HEX(C1956+48,2)</f>
        <v>83</v>
      </c>
      <c r="I1956" s="6" t="str">
        <f aca="false">_xlfn.CONCAT("\x", G1956, "\x", H1956, "=", F1956)</f>
        <v>\x2D\x83=캡</v>
      </c>
      <c r="M1956" s="8"/>
    </row>
    <row r="1957" customFormat="false" ht="12.8" hidden="false" customHeight="true" outlineLevel="0" collapsed="false">
      <c r="C1957" s="6" t="n">
        <f aca="false">MOD(ROW()-1, 208)</f>
        <v>84</v>
      </c>
      <c r="D1957" s="6" t="n">
        <f aca="false">INT((ROW()-1)/208)</f>
        <v>9</v>
      </c>
      <c r="F1957" s="6" t="str">
        <f aca="false">MID(VLOOKUP(D1957,$P$1:$Q$13,2,0), 1 + C1957,1)</f>
        <v>캣</v>
      </c>
      <c r="G1957" s="6" t="str">
        <f aca="false">DEC2HEX(D1957+36, 2)</f>
        <v>2D</v>
      </c>
      <c r="H1957" s="6" t="str">
        <f aca="false">DEC2HEX(C1957+48,2)</f>
        <v>84</v>
      </c>
      <c r="I1957" s="6" t="str">
        <f aca="false">_xlfn.CONCAT("\x", G1957, "\x", H1957, "=", F1957)</f>
        <v>\x2D\x84=캣</v>
      </c>
      <c r="M1957" s="8"/>
    </row>
    <row r="1958" customFormat="false" ht="12.8" hidden="false" customHeight="true" outlineLevel="0" collapsed="false">
      <c r="C1958" s="6" t="n">
        <f aca="false">MOD(ROW()-1, 208)</f>
        <v>85</v>
      </c>
      <c r="D1958" s="6" t="n">
        <f aca="false">INT((ROW()-1)/208)</f>
        <v>9</v>
      </c>
      <c r="F1958" s="6" t="str">
        <f aca="false">MID(VLOOKUP(D1958,$P$1:$Q$13,2,0), 1 + C1958,1)</f>
        <v>캤</v>
      </c>
      <c r="G1958" s="6" t="str">
        <f aca="false">DEC2HEX(D1958+36, 2)</f>
        <v>2D</v>
      </c>
      <c r="H1958" s="6" t="str">
        <f aca="false">DEC2HEX(C1958+48,2)</f>
        <v>85</v>
      </c>
      <c r="I1958" s="6" t="str">
        <f aca="false">_xlfn.CONCAT("\x", G1958, "\x", H1958, "=", F1958)</f>
        <v>\x2D\x85=캤</v>
      </c>
      <c r="M1958" s="8"/>
    </row>
    <row r="1959" customFormat="false" ht="12.8" hidden="false" customHeight="true" outlineLevel="0" collapsed="false">
      <c r="C1959" s="6" t="n">
        <f aca="false">MOD(ROW()-1, 208)</f>
        <v>86</v>
      </c>
      <c r="D1959" s="6" t="n">
        <f aca="false">INT((ROW()-1)/208)</f>
        <v>9</v>
      </c>
      <c r="F1959" s="6" t="str">
        <f aca="false">MID(VLOOKUP(D1959,$P$1:$Q$13,2,0), 1 + C1959,1)</f>
        <v>캥</v>
      </c>
      <c r="G1959" s="6" t="str">
        <f aca="false">DEC2HEX(D1959+36, 2)</f>
        <v>2D</v>
      </c>
      <c r="H1959" s="6" t="str">
        <f aca="false">DEC2HEX(C1959+48,2)</f>
        <v>86</v>
      </c>
      <c r="I1959" s="6" t="str">
        <f aca="false">_xlfn.CONCAT("\x", G1959, "\x", H1959, "=", F1959)</f>
        <v>\x2D\x86=캥</v>
      </c>
      <c r="M1959" s="8"/>
    </row>
    <row r="1960" customFormat="false" ht="12.8" hidden="false" customHeight="true" outlineLevel="0" collapsed="false">
      <c r="C1960" s="6" t="n">
        <f aca="false">MOD(ROW()-1, 208)</f>
        <v>87</v>
      </c>
      <c r="D1960" s="6" t="n">
        <f aca="false">INT((ROW()-1)/208)</f>
        <v>9</v>
      </c>
      <c r="F1960" s="6" t="str">
        <f aca="false">MID(VLOOKUP(D1960,$P$1:$Q$13,2,0), 1 + C1960,1)</f>
        <v>캬</v>
      </c>
      <c r="G1960" s="6" t="str">
        <f aca="false">DEC2HEX(D1960+36, 2)</f>
        <v>2D</v>
      </c>
      <c r="H1960" s="6" t="str">
        <f aca="false">DEC2HEX(C1960+48,2)</f>
        <v>87</v>
      </c>
      <c r="I1960" s="6" t="str">
        <f aca="false">_xlfn.CONCAT("\x", G1960, "\x", H1960, "=", F1960)</f>
        <v>\x2D\x87=캬</v>
      </c>
      <c r="M1960" s="8"/>
    </row>
    <row r="1961" customFormat="false" ht="12.8" hidden="false" customHeight="true" outlineLevel="0" collapsed="false">
      <c r="C1961" s="6" t="n">
        <f aca="false">MOD(ROW()-1, 208)</f>
        <v>88</v>
      </c>
      <c r="D1961" s="6" t="n">
        <f aca="false">INT((ROW()-1)/208)</f>
        <v>9</v>
      </c>
      <c r="F1961" s="6" t="str">
        <f aca="false">MID(VLOOKUP(D1961,$P$1:$Q$13,2,0), 1 + C1961,1)</f>
        <v>캭</v>
      </c>
      <c r="G1961" s="6" t="str">
        <f aca="false">DEC2HEX(D1961+36, 2)</f>
        <v>2D</v>
      </c>
      <c r="H1961" s="6" t="str">
        <f aca="false">DEC2HEX(C1961+48,2)</f>
        <v>88</v>
      </c>
      <c r="I1961" s="6" t="str">
        <f aca="false">_xlfn.CONCAT("\x", G1961, "\x", H1961, "=", F1961)</f>
        <v>\x2D\x88=캭</v>
      </c>
      <c r="M1961" s="8"/>
    </row>
    <row r="1962" customFormat="false" ht="12.8" hidden="false" customHeight="true" outlineLevel="0" collapsed="false">
      <c r="C1962" s="6" t="n">
        <f aca="false">MOD(ROW()-1, 208)</f>
        <v>89</v>
      </c>
      <c r="D1962" s="6" t="n">
        <f aca="false">INT((ROW()-1)/208)</f>
        <v>9</v>
      </c>
      <c r="F1962" s="6" t="str">
        <f aca="false">MID(VLOOKUP(D1962,$P$1:$Q$13,2,0), 1 + C1962,1)</f>
        <v>컁</v>
      </c>
      <c r="G1962" s="6" t="str">
        <f aca="false">DEC2HEX(D1962+36, 2)</f>
        <v>2D</v>
      </c>
      <c r="H1962" s="6" t="str">
        <f aca="false">DEC2HEX(C1962+48,2)</f>
        <v>89</v>
      </c>
      <c r="I1962" s="6" t="str">
        <f aca="false">_xlfn.CONCAT("\x", G1962, "\x", H1962, "=", F1962)</f>
        <v>\x2D\x89=컁</v>
      </c>
      <c r="M1962" s="8"/>
    </row>
    <row r="1963" customFormat="false" ht="12.8" hidden="false" customHeight="true" outlineLevel="0" collapsed="false">
      <c r="C1963" s="6" t="n">
        <f aca="false">MOD(ROW()-1, 208)</f>
        <v>90</v>
      </c>
      <c r="D1963" s="6" t="n">
        <f aca="false">INT((ROW()-1)/208)</f>
        <v>9</v>
      </c>
      <c r="F1963" s="6" t="str">
        <f aca="false">MID(VLOOKUP(D1963,$P$1:$Q$13,2,0), 1 + C1963,1)</f>
        <v>커</v>
      </c>
      <c r="G1963" s="6" t="str">
        <f aca="false">DEC2HEX(D1963+36, 2)</f>
        <v>2D</v>
      </c>
      <c r="H1963" s="6" t="str">
        <f aca="false">DEC2HEX(C1963+48,2)</f>
        <v>8A</v>
      </c>
      <c r="I1963" s="6" t="str">
        <f aca="false">_xlfn.CONCAT("\x", G1963, "\x", H1963, "=", F1963)</f>
        <v>\x2D\x8A=커</v>
      </c>
      <c r="M1963" s="8"/>
    </row>
    <row r="1964" customFormat="false" ht="12.8" hidden="false" customHeight="true" outlineLevel="0" collapsed="false">
      <c r="C1964" s="6" t="n">
        <f aca="false">MOD(ROW()-1, 208)</f>
        <v>91</v>
      </c>
      <c r="D1964" s="6" t="n">
        <f aca="false">INT((ROW()-1)/208)</f>
        <v>9</v>
      </c>
      <c r="F1964" s="6" t="str">
        <f aca="false">MID(VLOOKUP(D1964,$P$1:$Q$13,2,0), 1 + C1964,1)</f>
        <v>컥</v>
      </c>
      <c r="G1964" s="6" t="str">
        <f aca="false">DEC2HEX(D1964+36, 2)</f>
        <v>2D</v>
      </c>
      <c r="H1964" s="6" t="str">
        <f aca="false">DEC2HEX(C1964+48,2)</f>
        <v>8B</v>
      </c>
      <c r="I1964" s="6" t="str">
        <f aca="false">_xlfn.CONCAT("\x", G1964, "\x", H1964, "=", F1964)</f>
        <v>\x2D\x8B=컥</v>
      </c>
      <c r="M1964" s="8"/>
    </row>
    <row r="1965" customFormat="false" ht="12.8" hidden="false" customHeight="true" outlineLevel="0" collapsed="false">
      <c r="C1965" s="6" t="n">
        <f aca="false">MOD(ROW()-1, 208)</f>
        <v>92</v>
      </c>
      <c r="D1965" s="6" t="n">
        <f aca="false">INT((ROW()-1)/208)</f>
        <v>9</v>
      </c>
      <c r="F1965" s="6" t="str">
        <f aca="false">MID(VLOOKUP(D1965,$P$1:$Q$13,2,0), 1 + C1965,1)</f>
        <v>컨</v>
      </c>
      <c r="G1965" s="6" t="str">
        <f aca="false">DEC2HEX(D1965+36, 2)</f>
        <v>2D</v>
      </c>
      <c r="H1965" s="6" t="str">
        <f aca="false">DEC2HEX(C1965+48,2)</f>
        <v>8C</v>
      </c>
      <c r="I1965" s="6" t="str">
        <f aca="false">_xlfn.CONCAT("\x", G1965, "\x", H1965, "=", F1965)</f>
        <v>\x2D\x8C=컨</v>
      </c>
      <c r="M1965" s="8"/>
    </row>
    <row r="1966" customFormat="false" ht="12.8" hidden="false" customHeight="true" outlineLevel="0" collapsed="false">
      <c r="C1966" s="6" t="n">
        <f aca="false">MOD(ROW()-1, 208)</f>
        <v>93</v>
      </c>
      <c r="D1966" s="6" t="n">
        <f aca="false">INT((ROW()-1)/208)</f>
        <v>9</v>
      </c>
      <c r="F1966" s="6" t="str">
        <f aca="false">MID(VLOOKUP(D1966,$P$1:$Q$13,2,0), 1 + C1966,1)</f>
        <v>컫</v>
      </c>
      <c r="G1966" s="6" t="str">
        <f aca="false">DEC2HEX(D1966+36, 2)</f>
        <v>2D</v>
      </c>
      <c r="H1966" s="6" t="str">
        <f aca="false">DEC2HEX(C1966+48,2)</f>
        <v>8D</v>
      </c>
      <c r="I1966" s="6" t="str">
        <f aca="false">_xlfn.CONCAT("\x", G1966, "\x", H1966, "=", F1966)</f>
        <v>\x2D\x8D=컫</v>
      </c>
      <c r="M1966" s="8"/>
    </row>
    <row r="1967" customFormat="false" ht="12.8" hidden="false" customHeight="true" outlineLevel="0" collapsed="false">
      <c r="C1967" s="6" t="n">
        <f aca="false">MOD(ROW()-1, 208)</f>
        <v>94</v>
      </c>
      <c r="D1967" s="6" t="n">
        <f aca="false">INT((ROW()-1)/208)</f>
        <v>9</v>
      </c>
      <c r="F1967" s="6" t="str">
        <f aca="false">MID(VLOOKUP(D1967,$P$1:$Q$13,2,0), 1 + C1967,1)</f>
        <v>컬</v>
      </c>
      <c r="G1967" s="6" t="str">
        <f aca="false">DEC2HEX(D1967+36, 2)</f>
        <v>2D</v>
      </c>
      <c r="H1967" s="6" t="str">
        <f aca="false">DEC2HEX(C1967+48,2)</f>
        <v>8E</v>
      </c>
      <c r="I1967" s="6" t="str">
        <f aca="false">_xlfn.CONCAT("\x", G1967, "\x", H1967, "=", F1967)</f>
        <v>\x2D\x8E=컬</v>
      </c>
      <c r="M1967" s="8"/>
    </row>
    <row r="1968" customFormat="false" ht="12.8" hidden="false" customHeight="true" outlineLevel="0" collapsed="false">
      <c r="C1968" s="6" t="n">
        <f aca="false">MOD(ROW()-1, 208)</f>
        <v>95</v>
      </c>
      <c r="D1968" s="6" t="n">
        <f aca="false">INT((ROW()-1)/208)</f>
        <v>9</v>
      </c>
      <c r="F1968" s="6" t="str">
        <f aca="false">MID(VLOOKUP(D1968,$P$1:$Q$13,2,0), 1 + C1968,1)</f>
        <v>컴</v>
      </c>
      <c r="G1968" s="6" t="str">
        <f aca="false">DEC2HEX(D1968+36, 2)</f>
        <v>2D</v>
      </c>
      <c r="H1968" s="6" t="str">
        <f aca="false">DEC2HEX(C1968+48,2)</f>
        <v>8F</v>
      </c>
      <c r="I1968" s="6" t="str">
        <f aca="false">_xlfn.CONCAT("\x", G1968, "\x", H1968, "=", F1968)</f>
        <v>\x2D\x8F=컴</v>
      </c>
      <c r="M1968" s="8"/>
    </row>
    <row r="1969" customFormat="false" ht="12.8" hidden="false" customHeight="true" outlineLevel="0" collapsed="false">
      <c r="C1969" s="6" t="n">
        <f aca="false">MOD(ROW()-1, 208)</f>
        <v>96</v>
      </c>
      <c r="D1969" s="6" t="n">
        <f aca="false">INT((ROW()-1)/208)</f>
        <v>9</v>
      </c>
      <c r="F1969" s="6" t="str">
        <f aca="false">MID(VLOOKUP(D1969,$P$1:$Q$13,2,0), 1 + C1969,1)</f>
        <v>컵</v>
      </c>
      <c r="G1969" s="6" t="str">
        <f aca="false">DEC2HEX(D1969+36, 2)</f>
        <v>2D</v>
      </c>
      <c r="H1969" s="6" t="str">
        <f aca="false">DEC2HEX(C1969+48,2)</f>
        <v>90</v>
      </c>
      <c r="I1969" s="6" t="str">
        <f aca="false">_xlfn.CONCAT("\x", G1969, "\x", H1969, "=", F1969)</f>
        <v>\x2D\x90=컵</v>
      </c>
      <c r="M1969" s="8"/>
    </row>
    <row r="1970" customFormat="false" ht="12.8" hidden="false" customHeight="true" outlineLevel="0" collapsed="false">
      <c r="C1970" s="6" t="n">
        <f aca="false">MOD(ROW()-1, 208)</f>
        <v>97</v>
      </c>
      <c r="D1970" s="6" t="n">
        <f aca="false">INT((ROW()-1)/208)</f>
        <v>9</v>
      </c>
      <c r="F1970" s="6" t="str">
        <f aca="false">MID(VLOOKUP(D1970,$P$1:$Q$13,2,0), 1 + C1970,1)</f>
        <v>컷</v>
      </c>
      <c r="G1970" s="6" t="str">
        <f aca="false">DEC2HEX(D1970+36, 2)</f>
        <v>2D</v>
      </c>
      <c r="H1970" s="6" t="str">
        <f aca="false">DEC2HEX(C1970+48,2)</f>
        <v>91</v>
      </c>
      <c r="I1970" s="6" t="str">
        <f aca="false">_xlfn.CONCAT("\x", G1970, "\x", H1970, "=", F1970)</f>
        <v>\x2D\x91=컷</v>
      </c>
      <c r="M1970" s="8"/>
    </row>
    <row r="1971" customFormat="false" ht="12.8" hidden="false" customHeight="true" outlineLevel="0" collapsed="false">
      <c r="C1971" s="6" t="n">
        <f aca="false">MOD(ROW()-1, 208)</f>
        <v>98</v>
      </c>
      <c r="D1971" s="6" t="n">
        <f aca="false">INT((ROW()-1)/208)</f>
        <v>9</v>
      </c>
      <c r="F1971" s="6" t="str">
        <f aca="false">MID(VLOOKUP(D1971,$P$1:$Q$13,2,0), 1 + C1971,1)</f>
        <v>컸</v>
      </c>
      <c r="G1971" s="6" t="str">
        <f aca="false">DEC2HEX(D1971+36, 2)</f>
        <v>2D</v>
      </c>
      <c r="H1971" s="6" t="str">
        <f aca="false">DEC2HEX(C1971+48,2)</f>
        <v>92</v>
      </c>
      <c r="I1971" s="6" t="str">
        <f aca="false">_xlfn.CONCAT("\x", G1971, "\x", H1971, "=", F1971)</f>
        <v>\x2D\x92=컸</v>
      </c>
      <c r="M1971" s="8"/>
    </row>
    <row r="1972" customFormat="false" ht="12.8" hidden="false" customHeight="true" outlineLevel="0" collapsed="false">
      <c r="C1972" s="6" t="n">
        <f aca="false">MOD(ROW()-1, 208)</f>
        <v>99</v>
      </c>
      <c r="D1972" s="6" t="n">
        <f aca="false">INT((ROW()-1)/208)</f>
        <v>9</v>
      </c>
      <c r="F1972" s="6" t="str">
        <f aca="false">MID(VLOOKUP(D1972,$P$1:$Q$13,2,0), 1 + C1972,1)</f>
        <v>컹</v>
      </c>
      <c r="G1972" s="6" t="str">
        <f aca="false">DEC2HEX(D1972+36, 2)</f>
        <v>2D</v>
      </c>
      <c r="H1972" s="6" t="str">
        <f aca="false">DEC2HEX(C1972+48,2)</f>
        <v>93</v>
      </c>
      <c r="I1972" s="6" t="str">
        <f aca="false">_xlfn.CONCAT("\x", G1972, "\x", H1972, "=", F1972)</f>
        <v>\x2D\x93=컹</v>
      </c>
      <c r="M1972" s="8"/>
    </row>
    <row r="1973" customFormat="false" ht="12.8" hidden="false" customHeight="true" outlineLevel="0" collapsed="false">
      <c r="C1973" s="6" t="n">
        <f aca="false">MOD(ROW()-1, 208)</f>
        <v>100</v>
      </c>
      <c r="D1973" s="6" t="n">
        <f aca="false">INT((ROW()-1)/208)</f>
        <v>9</v>
      </c>
      <c r="F1973" s="6" t="str">
        <f aca="false">MID(VLOOKUP(D1973,$P$1:$Q$13,2,0), 1 + C1973,1)</f>
        <v>케</v>
      </c>
      <c r="G1973" s="6" t="str">
        <f aca="false">DEC2HEX(D1973+36, 2)</f>
        <v>2D</v>
      </c>
      <c r="H1973" s="6" t="str">
        <f aca="false">DEC2HEX(C1973+48,2)</f>
        <v>94</v>
      </c>
      <c r="I1973" s="6" t="str">
        <f aca="false">_xlfn.CONCAT("\x", G1973, "\x", H1973, "=", F1973)</f>
        <v>\x2D\x94=케</v>
      </c>
      <c r="M1973" s="8"/>
    </row>
    <row r="1974" customFormat="false" ht="12.8" hidden="false" customHeight="true" outlineLevel="0" collapsed="false">
      <c r="C1974" s="6" t="n">
        <f aca="false">MOD(ROW()-1, 208)</f>
        <v>101</v>
      </c>
      <c r="D1974" s="6" t="n">
        <f aca="false">INT((ROW()-1)/208)</f>
        <v>9</v>
      </c>
      <c r="F1974" s="6" t="str">
        <f aca="false">MID(VLOOKUP(D1974,$P$1:$Q$13,2,0), 1 + C1974,1)</f>
        <v>켁</v>
      </c>
      <c r="G1974" s="6" t="str">
        <f aca="false">DEC2HEX(D1974+36, 2)</f>
        <v>2D</v>
      </c>
      <c r="H1974" s="6" t="str">
        <f aca="false">DEC2HEX(C1974+48,2)</f>
        <v>95</v>
      </c>
      <c r="I1974" s="6" t="str">
        <f aca="false">_xlfn.CONCAT("\x", G1974, "\x", H1974, "=", F1974)</f>
        <v>\x2D\x95=켁</v>
      </c>
      <c r="M1974" s="8"/>
    </row>
    <row r="1975" customFormat="false" ht="12.8" hidden="false" customHeight="true" outlineLevel="0" collapsed="false">
      <c r="C1975" s="6" t="n">
        <f aca="false">MOD(ROW()-1, 208)</f>
        <v>102</v>
      </c>
      <c r="D1975" s="6" t="n">
        <f aca="false">INT((ROW()-1)/208)</f>
        <v>9</v>
      </c>
      <c r="F1975" s="6" t="str">
        <f aca="false">MID(VLOOKUP(D1975,$P$1:$Q$13,2,0), 1 + C1975,1)</f>
        <v>켄</v>
      </c>
      <c r="G1975" s="6" t="str">
        <f aca="false">DEC2HEX(D1975+36, 2)</f>
        <v>2D</v>
      </c>
      <c r="H1975" s="6" t="str">
        <f aca="false">DEC2HEX(C1975+48,2)</f>
        <v>96</v>
      </c>
      <c r="I1975" s="6" t="str">
        <f aca="false">_xlfn.CONCAT("\x", G1975, "\x", H1975, "=", F1975)</f>
        <v>\x2D\x96=켄</v>
      </c>
      <c r="M1975" s="8"/>
    </row>
    <row r="1976" customFormat="false" ht="12.8" hidden="false" customHeight="true" outlineLevel="0" collapsed="false">
      <c r="C1976" s="6" t="n">
        <f aca="false">MOD(ROW()-1, 208)</f>
        <v>103</v>
      </c>
      <c r="D1976" s="6" t="n">
        <f aca="false">INT((ROW()-1)/208)</f>
        <v>9</v>
      </c>
      <c r="F1976" s="6" t="str">
        <f aca="false">MID(VLOOKUP(D1976,$P$1:$Q$13,2,0), 1 + C1976,1)</f>
        <v>켈</v>
      </c>
      <c r="G1976" s="6" t="str">
        <f aca="false">DEC2HEX(D1976+36, 2)</f>
        <v>2D</v>
      </c>
      <c r="H1976" s="6" t="str">
        <f aca="false">DEC2HEX(C1976+48,2)</f>
        <v>97</v>
      </c>
      <c r="I1976" s="6" t="str">
        <f aca="false">_xlfn.CONCAT("\x", G1976, "\x", H1976, "=", F1976)</f>
        <v>\x2D\x97=켈</v>
      </c>
      <c r="M1976" s="8"/>
    </row>
    <row r="1977" customFormat="false" ht="12.8" hidden="false" customHeight="true" outlineLevel="0" collapsed="false">
      <c r="C1977" s="6" t="n">
        <f aca="false">MOD(ROW()-1, 208)</f>
        <v>104</v>
      </c>
      <c r="D1977" s="6" t="n">
        <f aca="false">INT((ROW()-1)/208)</f>
        <v>9</v>
      </c>
      <c r="F1977" s="6" t="str">
        <f aca="false">MID(VLOOKUP(D1977,$P$1:$Q$13,2,0), 1 + C1977,1)</f>
        <v>켐</v>
      </c>
      <c r="G1977" s="6" t="str">
        <f aca="false">DEC2HEX(D1977+36, 2)</f>
        <v>2D</v>
      </c>
      <c r="H1977" s="6" t="str">
        <f aca="false">DEC2HEX(C1977+48,2)</f>
        <v>98</v>
      </c>
      <c r="I1977" s="6" t="str">
        <f aca="false">_xlfn.CONCAT("\x", G1977, "\x", H1977, "=", F1977)</f>
        <v>\x2D\x98=켐</v>
      </c>
      <c r="M1977" s="8"/>
    </row>
    <row r="1978" customFormat="false" ht="12.8" hidden="false" customHeight="true" outlineLevel="0" collapsed="false">
      <c r="C1978" s="6" t="n">
        <f aca="false">MOD(ROW()-1, 208)</f>
        <v>105</v>
      </c>
      <c r="D1978" s="6" t="n">
        <f aca="false">INT((ROW()-1)/208)</f>
        <v>9</v>
      </c>
      <c r="F1978" s="6" t="str">
        <f aca="false">MID(VLOOKUP(D1978,$P$1:$Q$13,2,0), 1 + C1978,1)</f>
        <v>켑</v>
      </c>
      <c r="G1978" s="6" t="str">
        <f aca="false">DEC2HEX(D1978+36, 2)</f>
        <v>2D</v>
      </c>
      <c r="H1978" s="6" t="str">
        <f aca="false">DEC2HEX(C1978+48,2)</f>
        <v>99</v>
      </c>
      <c r="I1978" s="6" t="str">
        <f aca="false">_xlfn.CONCAT("\x", G1978, "\x", H1978, "=", F1978)</f>
        <v>\x2D\x99=켑</v>
      </c>
      <c r="M1978" s="8"/>
    </row>
    <row r="1979" customFormat="false" ht="12.8" hidden="false" customHeight="true" outlineLevel="0" collapsed="false">
      <c r="C1979" s="6" t="n">
        <f aca="false">MOD(ROW()-1, 208)</f>
        <v>106</v>
      </c>
      <c r="D1979" s="6" t="n">
        <f aca="false">INT((ROW()-1)/208)</f>
        <v>9</v>
      </c>
      <c r="F1979" s="6" t="str">
        <f aca="false">MID(VLOOKUP(D1979,$P$1:$Q$13,2,0), 1 + C1979,1)</f>
        <v>켓</v>
      </c>
      <c r="G1979" s="6" t="str">
        <f aca="false">DEC2HEX(D1979+36, 2)</f>
        <v>2D</v>
      </c>
      <c r="H1979" s="6" t="str">
        <f aca="false">DEC2HEX(C1979+48,2)</f>
        <v>9A</v>
      </c>
      <c r="I1979" s="6" t="str">
        <f aca="false">_xlfn.CONCAT("\x", G1979, "\x", H1979, "=", F1979)</f>
        <v>\x2D\x9A=켓</v>
      </c>
      <c r="M1979" s="8"/>
    </row>
    <row r="1980" customFormat="false" ht="12.8" hidden="false" customHeight="true" outlineLevel="0" collapsed="false">
      <c r="C1980" s="6" t="n">
        <f aca="false">MOD(ROW()-1, 208)</f>
        <v>107</v>
      </c>
      <c r="D1980" s="6" t="n">
        <f aca="false">INT((ROW()-1)/208)</f>
        <v>9</v>
      </c>
      <c r="F1980" s="6" t="str">
        <f aca="false">MID(VLOOKUP(D1980,$P$1:$Q$13,2,0), 1 + C1980,1)</f>
        <v>켕</v>
      </c>
      <c r="G1980" s="6" t="str">
        <f aca="false">DEC2HEX(D1980+36, 2)</f>
        <v>2D</v>
      </c>
      <c r="H1980" s="6" t="str">
        <f aca="false">DEC2HEX(C1980+48,2)</f>
        <v>9B</v>
      </c>
      <c r="I1980" s="6" t="str">
        <f aca="false">_xlfn.CONCAT("\x", G1980, "\x", H1980, "=", F1980)</f>
        <v>\x2D\x9B=켕</v>
      </c>
      <c r="M1980" s="8"/>
    </row>
    <row r="1981" customFormat="false" ht="12.8" hidden="false" customHeight="true" outlineLevel="0" collapsed="false">
      <c r="C1981" s="6" t="n">
        <f aca="false">MOD(ROW()-1, 208)</f>
        <v>108</v>
      </c>
      <c r="D1981" s="6" t="n">
        <f aca="false">INT((ROW()-1)/208)</f>
        <v>9</v>
      </c>
      <c r="F1981" s="6" t="str">
        <f aca="false">MID(VLOOKUP(D1981,$P$1:$Q$13,2,0), 1 + C1981,1)</f>
        <v>켜</v>
      </c>
      <c r="G1981" s="6" t="str">
        <f aca="false">DEC2HEX(D1981+36, 2)</f>
        <v>2D</v>
      </c>
      <c r="H1981" s="6" t="str">
        <f aca="false">DEC2HEX(C1981+48,2)</f>
        <v>9C</v>
      </c>
      <c r="I1981" s="6" t="str">
        <f aca="false">_xlfn.CONCAT("\x", G1981, "\x", H1981, "=", F1981)</f>
        <v>\x2D\x9C=켜</v>
      </c>
      <c r="M1981" s="8"/>
    </row>
    <row r="1982" customFormat="false" ht="12.8" hidden="false" customHeight="true" outlineLevel="0" collapsed="false">
      <c r="C1982" s="6" t="n">
        <f aca="false">MOD(ROW()-1, 208)</f>
        <v>109</v>
      </c>
      <c r="D1982" s="6" t="n">
        <f aca="false">INT((ROW()-1)/208)</f>
        <v>9</v>
      </c>
      <c r="F1982" s="6" t="str">
        <f aca="false">MID(VLOOKUP(D1982,$P$1:$Q$13,2,0), 1 + C1982,1)</f>
        <v>켠</v>
      </c>
      <c r="G1982" s="6" t="str">
        <f aca="false">DEC2HEX(D1982+36, 2)</f>
        <v>2D</v>
      </c>
      <c r="H1982" s="6" t="str">
        <f aca="false">DEC2HEX(C1982+48,2)</f>
        <v>9D</v>
      </c>
      <c r="I1982" s="6" t="str">
        <f aca="false">_xlfn.CONCAT("\x", G1982, "\x", H1982, "=", F1982)</f>
        <v>\x2D\x9D=켠</v>
      </c>
      <c r="M1982" s="8"/>
    </row>
    <row r="1983" customFormat="false" ht="12.8" hidden="false" customHeight="true" outlineLevel="0" collapsed="false">
      <c r="C1983" s="6" t="n">
        <f aca="false">MOD(ROW()-1, 208)</f>
        <v>110</v>
      </c>
      <c r="D1983" s="6" t="n">
        <f aca="false">INT((ROW()-1)/208)</f>
        <v>9</v>
      </c>
      <c r="F1983" s="6" t="str">
        <f aca="false">MID(VLOOKUP(D1983,$P$1:$Q$13,2,0), 1 + C1983,1)</f>
        <v>켤</v>
      </c>
      <c r="G1983" s="6" t="str">
        <f aca="false">DEC2HEX(D1983+36, 2)</f>
        <v>2D</v>
      </c>
      <c r="H1983" s="6" t="str">
        <f aca="false">DEC2HEX(C1983+48,2)</f>
        <v>9E</v>
      </c>
      <c r="I1983" s="6" t="str">
        <f aca="false">_xlfn.CONCAT("\x", G1983, "\x", H1983, "=", F1983)</f>
        <v>\x2D\x9E=켤</v>
      </c>
      <c r="M1983" s="8"/>
    </row>
    <row r="1984" customFormat="false" ht="12.8" hidden="false" customHeight="true" outlineLevel="0" collapsed="false">
      <c r="C1984" s="6" t="n">
        <f aca="false">MOD(ROW()-1, 208)</f>
        <v>111</v>
      </c>
      <c r="D1984" s="6" t="n">
        <f aca="false">INT((ROW()-1)/208)</f>
        <v>9</v>
      </c>
      <c r="F1984" s="6" t="str">
        <f aca="false">MID(VLOOKUP(D1984,$P$1:$Q$13,2,0), 1 + C1984,1)</f>
        <v>켬</v>
      </c>
      <c r="G1984" s="6" t="str">
        <f aca="false">DEC2HEX(D1984+36, 2)</f>
        <v>2D</v>
      </c>
      <c r="H1984" s="6" t="str">
        <f aca="false">DEC2HEX(C1984+48,2)</f>
        <v>9F</v>
      </c>
      <c r="I1984" s="6" t="str">
        <f aca="false">_xlfn.CONCAT("\x", G1984, "\x", H1984, "=", F1984)</f>
        <v>\x2D\x9F=켬</v>
      </c>
      <c r="M1984" s="8"/>
    </row>
    <row r="1985" customFormat="false" ht="12.8" hidden="false" customHeight="true" outlineLevel="0" collapsed="false">
      <c r="C1985" s="6" t="n">
        <f aca="false">MOD(ROW()-1, 208)</f>
        <v>112</v>
      </c>
      <c r="D1985" s="6" t="n">
        <f aca="false">INT((ROW()-1)/208)</f>
        <v>9</v>
      </c>
      <c r="F1985" s="6" t="str">
        <f aca="false">MID(VLOOKUP(D1985,$P$1:$Q$13,2,0), 1 + C1985,1)</f>
        <v>켭</v>
      </c>
      <c r="G1985" s="6" t="str">
        <f aca="false">DEC2HEX(D1985+36, 2)</f>
        <v>2D</v>
      </c>
      <c r="H1985" s="6" t="str">
        <f aca="false">DEC2HEX(C1985+48,2)</f>
        <v>A0</v>
      </c>
      <c r="I1985" s="6" t="str">
        <f aca="false">_xlfn.CONCAT("\x", G1985, "\x", H1985, "=", F1985)</f>
        <v>\x2D\xA0=켭</v>
      </c>
      <c r="M1985" s="8"/>
    </row>
    <row r="1986" customFormat="false" ht="12.8" hidden="false" customHeight="true" outlineLevel="0" collapsed="false">
      <c r="C1986" s="6" t="n">
        <f aca="false">MOD(ROW()-1, 208)</f>
        <v>113</v>
      </c>
      <c r="D1986" s="6" t="n">
        <f aca="false">INT((ROW()-1)/208)</f>
        <v>9</v>
      </c>
      <c r="F1986" s="6" t="str">
        <f aca="false">MID(VLOOKUP(D1986,$P$1:$Q$13,2,0), 1 + C1986,1)</f>
        <v>켯</v>
      </c>
      <c r="G1986" s="6" t="str">
        <f aca="false">DEC2HEX(D1986+36, 2)</f>
        <v>2D</v>
      </c>
      <c r="H1986" s="6" t="str">
        <f aca="false">DEC2HEX(C1986+48,2)</f>
        <v>A1</v>
      </c>
      <c r="I1986" s="6" t="str">
        <f aca="false">_xlfn.CONCAT("\x", G1986, "\x", H1986, "=", F1986)</f>
        <v>\x2D\xA1=켯</v>
      </c>
      <c r="M1986" s="8"/>
    </row>
    <row r="1987" customFormat="false" ht="12.8" hidden="false" customHeight="true" outlineLevel="0" collapsed="false">
      <c r="C1987" s="6" t="n">
        <f aca="false">MOD(ROW()-1, 208)</f>
        <v>114</v>
      </c>
      <c r="D1987" s="6" t="n">
        <f aca="false">INT((ROW()-1)/208)</f>
        <v>9</v>
      </c>
      <c r="F1987" s="6" t="str">
        <f aca="false">MID(VLOOKUP(D1987,$P$1:$Q$13,2,0), 1 + C1987,1)</f>
        <v>켰</v>
      </c>
      <c r="G1987" s="6" t="str">
        <f aca="false">DEC2HEX(D1987+36, 2)</f>
        <v>2D</v>
      </c>
      <c r="H1987" s="6" t="str">
        <f aca="false">DEC2HEX(C1987+48,2)</f>
        <v>A2</v>
      </c>
      <c r="I1987" s="6" t="str">
        <f aca="false">_xlfn.CONCAT("\x", G1987, "\x", H1987, "=", F1987)</f>
        <v>\x2D\xA2=켰</v>
      </c>
      <c r="M1987" s="8"/>
    </row>
    <row r="1988" customFormat="false" ht="12.8" hidden="false" customHeight="true" outlineLevel="0" collapsed="false">
      <c r="C1988" s="6" t="n">
        <f aca="false">MOD(ROW()-1, 208)</f>
        <v>115</v>
      </c>
      <c r="D1988" s="6" t="n">
        <f aca="false">INT((ROW()-1)/208)</f>
        <v>9</v>
      </c>
      <c r="F1988" s="6" t="str">
        <f aca="false">MID(VLOOKUP(D1988,$P$1:$Q$13,2,0), 1 + C1988,1)</f>
        <v>켱</v>
      </c>
      <c r="G1988" s="6" t="str">
        <f aca="false">DEC2HEX(D1988+36, 2)</f>
        <v>2D</v>
      </c>
      <c r="H1988" s="6" t="str">
        <f aca="false">DEC2HEX(C1988+48,2)</f>
        <v>A3</v>
      </c>
      <c r="I1988" s="6" t="str">
        <f aca="false">_xlfn.CONCAT("\x", G1988, "\x", H1988, "=", F1988)</f>
        <v>\x2D\xA3=켱</v>
      </c>
      <c r="M1988" s="8"/>
    </row>
    <row r="1989" customFormat="false" ht="12.8" hidden="false" customHeight="true" outlineLevel="0" collapsed="false">
      <c r="C1989" s="6" t="n">
        <f aca="false">MOD(ROW()-1, 208)</f>
        <v>116</v>
      </c>
      <c r="D1989" s="6" t="n">
        <f aca="false">INT((ROW()-1)/208)</f>
        <v>9</v>
      </c>
      <c r="F1989" s="6" t="str">
        <f aca="false">MID(VLOOKUP(D1989,$P$1:$Q$13,2,0), 1 + C1989,1)</f>
        <v>켸</v>
      </c>
      <c r="G1989" s="6" t="str">
        <f aca="false">DEC2HEX(D1989+36, 2)</f>
        <v>2D</v>
      </c>
      <c r="H1989" s="6" t="str">
        <f aca="false">DEC2HEX(C1989+48,2)</f>
        <v>A4</v>
      </c>
      <c r="I1989" s="6" t="str">
        <f aca="false">_xlfn.CONCAT("\x", G1989, "\x", H1989, "=", F1989)</f>
        <v>\x2D\xA4=켸</v>
      </c>
      <c r="M1989" s="8"/>
    </row>
    <row r="1990" customFormat="false" ht="12.8" hidden="false" customHeight="true" outlineLevel="0" collapsed="false">
      <c r="C1990" s="6" t="n">
        <f aca="false">MOD(ROW()-1, 208)</f>
        <v>117</v>
      </c>
      <c r="D1990" s="6" t="n">
        <f aca="false">INT((ROW()-1)/208)</f>
        <v>9</v>
      </c>
      <c r="F1990" s="6" t="str">
        <f aca="false">MID(VLOOKUP(D1990,$P$1:$Q$13,2,0), 1 + C1990,1)</f>
        <v>코</v>
      </c>
      <c r="G1990" s="6" t="str">
        <f aca="false">DEC2HEX(D1990+36, 2)</f>
        <v>2D</v>
      </c>
      <c r="H1990" s="6" t="str">
        <f aca="false">DEC2HEX(C1990+48,2)</f>
        <v>A5</v>
      </c>
      <c r="I1990" s="6" t="str">
        <f aca="false">_xlfn.CONCAT("\x", G1990, "\x", H1990, "=", F1990)</f>
        <v>\x2D\xA5=코</v>
      </c>
      <c r="M1990" s="8"/>
    </row>
    <row r="1991" customFormat="false" ht="12.8" hidden="false" customHeight="true" outlineLevel="0" collapsed="false">
      <c r="C1991" s="6" t="n">
        <f aca="false">MOD(ROW()-1, 208)</f>
        <v>118</v>
      </c>
      <c r="D1991" s="6" t="n">
        <f aca="false">INT((ROW()-1)/208)</f>
        <v>9</v>
      </c>
      <c r="F1991" s="6" t="str">
        <f aca="false">MID(VLOOKUP(D1991,$P$1:$Q$13,2,0), 1 + C1991,1)</f>
        <v>콕</v>
      </c>
      <c r="G1991" s="6" t="str">
        <f aca="false">DEC2HEX(D1991+36, 2)</f>
        <v>2D</v>
      </c>
      <c r="H1991" s="6" t="str">
        <f aca="false">DEC2HEX(C1991+48,2)</f>
        <v>A6</v>
      </c>
      <c r="I1991" s="6" t="str">
        <f aca="false">_xlfn.CONCAT("\x", G1991, "\x", H1991, "=", F1991)</f>
        <v>\x2D\xA6=콕</v>
      </c>
      <c r="M1991" s="8"/>
    </row>
    <row r="1992" customFormat="false" ht="12.8" hidden="false" customHeight="true" outlineLevel="0" collapsed="false">
      <c r="C1992" s="6" t="n">
        <f aca="false">MOD(ROW()-1, 208)</f>
        <v>119</v>
      </c>
      <c r="D1992" s="6" t="n">
        <f aca="false">INT((ROW()-1)/208)</f>
        <v>9</v>
      </c>
      <c r="F1992" s="6" t="str">
        <f aca="false">MID(VLOOKUP(D1992,$P$1:$Q$13,2,0), 1 + C1992,1)</f>
        <v>콘</v>
      </c>
      <c r="G1992" s="6" t="str">
        <f aca="false">DEC2HEX(D1992+36, 2)</f>
        <v>2D</v>
      </c>
      <c r="H1992" s="6" t="str">
        <f aca="false">DEC2HEX(C1992+48,2)</f>
        <v>A7</v>
      </c>
      <c r="I1992" s="6" t="str">
        <f aca="false">_xlfn.CONCAT("\x", G1992, "\x", H1992, "=", F1992)</f>
        <v>\x2D\xA7=콘</v>
      </c>
      <c r="M1992" s="8"/>
    </row>
    <row r="1993" customFormat="false" ht="12.8" hidden="false" customHeight="true" outlineLevel="0" collapsed="false">
      <c r="C1993" s="6" t="n">
        <f aca="false">MOD(ROW()-1, 208)</f>
        <v>120</v>
      </c>
      <c r="D1993" s="6" t="n">
        <f aca="false">INT((ROW()-1)/208)</f>
        <v>9</v>
      </c>
      <c r="F1993" s="6" t="str">
        <f aca="false">MID(VLOOKUP(D1993,$P$1:$Q$13,2,0), 1 + C1993,1)</f>
        <v>콜</v>
      </c>
      <c r="G1993" s="6" t="str">
        <f aca="false">DEC2HEX(D1993+36, 2)</f>
        <v>2D</v>
      </c>
      <c r="H1993" s="6" t="str">
        <f aca="false">DEC2HEX(C1993+48,2)</f>
        <v>A8</v>
      </c>
      <c r="I1993" s="6" t="str">
        <f aca="false">_xlfn.CONCAT("\x", G1993, "\x", H1993, "=", F1993)</f>
        <v>\x2D\xA8=콜</v>
      </c>
      <c r="M1993" s="8"/>
    </row>
    <row r="1994" customFormat="false" ht="12.8" hidden="false" customHeight="true" outlineLevel="0" collapsed="false">
      <c r="C1994" s="6" t="n">
        <f aca="false">MOD(ROW()-1, 208)</f>
        <v>121</v>
      </c>
      <c r="D1994" s="6" t="n">
        <f aca="false">INT((ROW()-1)/208)</f>
        <v>9</v>
      </c>
      <c r="F1994" s="6" t="str">
        <f aca="false">MID(VLOOKUP(D1994,$P$1:$Q$13,2,0), 1 + C1994,1)</f>
        <v>콤</v>
      </c>
      <c r="G1994" s="6" t="str">
        <f aca="false">DEC2HEX(D1994+36, 2)</f>
        <v>2D</v>
      </c>
      <c r="H1994" s="6" t="str">
        <f aca="false">DEC2HEX(C1994+48,2)</f>
        <v>A9</v>
      </c>
      <c r="I1994" s="6" t="str">
        <f aca="false">_xlfn.CONCAT("\x", G1994, "\x", H1994, "=", F1994)</f>
        <v>\x2D\xA9=콤</v>
      </c>
      <c r="M1994" s="8"/>
    </row>
    <row r="1995" customFormat="false" ht="12.8" hidden="false" customHeight="true" outlineLevel="0" collapsed="false">
      <c r="C1995" s="6" t="n">
        <f aca="false">MOD(ROW()-1, 208)</f>
        <v>122</v>
      </c>
      <c r="D1995" s="6" t="n">
        <f aca="false">INT((ROW()-1)/208)</f>
        <v>9</v>
      </c>
      <c r="F1995" s="6" t="str">
        <f aca="false">MID(VLOOKUP(D1995,$P$1:$Q$13,2,0), 1 + C1995,1)</f>
        <v>콥</v>
      </c>
      <c r="G1995" s="6" t="str">
        <f aca="false">DEC2HEX(D1995+36, 2)</f>
        <v>2D</v>
      </c>
      <c r="H1995" s="6" t="str">
        <f aca="false">DEC2HEX(C1995+48,2)</f>
        <v>AA</v>
      </c>
      <c r="I1995" s="6" t="str">
        <f aca="false">_xlfn.CONCAT("\x", G1995, "\x", H1995, "=", F1995)</f>
        <v>\x2D\xAA=콥</v>
      </c>
      <c r="M1995" s="8"/>
    </row>
    <row r="1996" customFormat="false" ht="12.8" hidden="false" customHeight="true" outlineLevel="0" collapsed="false">
      <c r="C1996" s="6" t="n">
        <f aca="false">MOD(ROW()-1, 208)</f>
        <v>123</v>
      </c>
      <c r="D1996" s="6" t="n">
        <f aca="false">INT((ROW()-1)/208)</f>
        <v>9</v>
      </c>
      <c r="F1996" s="6" t="str">
        <f aca="false">MID(VLOOKUP(D1996,$P$1:$Q$13,2,0), 1 + C1996,1)</f>
        <v>콧</v>
      </c>
      <c r="G1996" s="6" t="str">
        <f aca="false">DEC2HEX(D1996+36, 2)</f>
        <v>2D</v>
      </c>
      <c r="H1996" s="6" t="str">
        <f aca="false">DEC2HEX(C1996+48,2)</f>
        <v>AB</v>
      </c>
      <c r="I1996" s="6" t="str">
        <f aca="false">_xlfn.CONCAT("\x", G1996, "\x", H1996, "=", F1996)</f>
        <v>\x2D\xAB=콧</v>
      </c>
      <c r="M1996" s="8"/>
    </row>
    <row r="1997" customFormat="false" ht="12.8" hidden="false" customHeight="true" outlineLevel="0" collapsed="false">
      <c r="C1997" s="6" t="n">
        <f aca="false">MOD(ROW()-1, 208)</f>
        <v>124</v>
      </c>
      <c r="D1997" s="6" t="n">
        <f aca="false">INT((ROW()-1)/208)</f>
        <v>9</v>
      </c>
      <c r="F1997" s="6" t="str">
        <f aca="false">MID(VLOOKUP(D1997,$P$1:$Q$13,2,0), 1 + C1997,1)</f>
        <v>콩</v>
      </c>
      <c r="G1997" s="6" t="str">
        <f aca="false">DEC2HEX(D1997+36, 2)</f>
        <v>2D</v>
      </c>
      <c r="H1997" s="6" t="str">
        <f aca="false">DEC2HEX(C1997+48,2)</f>
        <v>AC</v>
      </c>
      <c r="I1997" s="6" t="str">
        <f aca="false">_xlfn.CONCAT("\x", G1997, "\x", H1997, "=", F1997)</f>
        <v>\x2D\xAC=콩</v>
      </c>
      <c r="M1997" s="8"/>
    </row>
    <row r="1998" customFormat="false" ht="12.8" hidden="false" customHeight="true" outlineLevel="0" collapsed="false">
      <c r="C1998" s="6" t="n">
        <f aca="false">MOD(ROW()-1, 208)</f>
        <v>125</v>
      </c>
      <c r="D1998" s="6" t="n">
        <f aca="false">INT((ROW()-1)/208)</f>
        <v>9</v>
      </c>
      <c r="F1998" s="6" t="str">
        <f aca="false">MID(VLOOKUP(D1998,$P$1:$Q$13,2,0), 1 + C1998,1)</f>
        <v>콰</v>
      </c>
      <c r="G1998" s="6" t="str">
        <f aca="false">DEC2HEX(D1998+36, 2)</f>
        <v>2D</v>
      </c>
      <c r="H1998" s="6" t="str">
        <f aca="false">DEC2HEX(C1998+48,2)</f>
        <v>AD</v>
      </c>
      <c r="I1998" s="6" t="str">
        <f aca="false">_xlfn.CONCAT("\x", G1998, "\x", H1998, "=", F1998)</f>
        <v>\x2D\xAD=콰</v>
      </c>
      <c r="M1998" s="8"/>
    </row>
    <row r="1999" customFormat="false" ht="12.8" hidden="false" customHeight="true" outlineLevel="0" collapsed="false">
      <c r="C1999" s="6" t="n">
        <f aca="false">MOD(ROW()-1, 208)</f>
        <v>126</v>
      </c>
      <c r="D1999" s="6" t="n">
        <f aca="false">INT((ROW()-1)/208)</f>
        <v>9</v>
      </c>
      <c r="F1999" s="6" t="str">
        <f aca="false">MID(VLOOKUP(D1999,$P$1:$Q$13,2,0), 1 + C1999,1)</f>
        <v>콱</v>
      </c>
      <c r="G1999" s="6" t="str">
        <f aca="false">DEC2HEX(D1999+36, 2)</f>
        <v>2D</v>
      </c>
      <c r="H1999" s="6" t="str">
        <f aca="false">DEC2HEX(C1999+48,2)</f>
        <v>AE</v>
      </c>
      <c r="I1999" s="6" t="str">
        <f aca="false">_xlfn.CONCAT("\x", G1999, "\x", H1999, "=", F1999)</f>
        <v>\x2D\xAE=콱</v>
      </c>
      <c r="M1999" s="8"/>
    </row>
    <row r="2000" customFormat="false" ht="12.8" hidden="false" customHeight="true" outlineLevel="0" collapsed="false">
      <c r="C2000" s="6" t="n">
        <f aca="false">MOD(ROW()-1, 208)</f>
        <v>127</v>
      </c>
      <c r="D2000" s="6" t="n">
        <f aca="false">INT((ROW()-1)/208)</f>
        <v>9</v>
      </c>
      <c r="F2000" s="6" t="str">
        <f aca="false">MID(VLOOKUP(D2000,$P$1:$Q$13,2,0), 1 + C2000,1)</f>
        <v>콴</v>
      </c>
      <c r="G2000" s="6" t="str">
        <f aca="false">DEC2HEX(D2000+36, 2)</f>
        <v>2D</v>
      </c>
      <c r="H2000" s="6" t="str">
        <f aca="false">DEC2HEX(C2000+48,2)</f>
        <v>AF</v>
      </c>
      <c r="I2000" s="6" t="str">
        <f aca="false">_xlfn.CONCAT("\x", G2000, "\x", H2000, "=", F2000)</f>
        <v>\x2D\xAF=콴</v>
      </c>
      <c r="M2000" s="8"/>
    </row>
    <row r="2001" customFormat="false" ht="12.8" hidden="false" customHeight="true" outlineLevel="0" collapsed="false">
      <c r="C2001" s="6" t="n">
        <f aca="false">MOD(ROW()-1, 208)</f>
        <v>128</v>
      </c>
      <c r="D2001" s="6" t="n">
        <f aca="false">INT((ROW()-1)/208)</f>
        <v>9</v>
      </c>
      <c r="F2001" s="6" t="str">
        <f aca="false">MID(VLOOKUP(D2001,$P$1:$Q$13,2,0), 1 + C2001,1)</f>
        <v>콸</v>
      </c>
      <c r="G2001" s="6" t="str">
        <f aca="false">DEC2HEX(D2001+36, 2)</f>
        <v>2D</v>
      </c>
      <c r="H2001" s="6" t="str">
        <f aca="false">DEC2HEX(C2001+48,2)</f>
        <v>B0</v>
      </c>
      <c r="I2001" s="6" t="str">
        <f aca="false">_xlfn.CONCAT("\x", G2001, "\x", H2001, "=", F2001)</f>
        <v>\x2D\xB0=콸</v>
      </c>
      <c r="M2001" s="8"/>
    </row>
    <row r="2002" customFormat="false" ht="12.8" hidden="false" customHeight="true" outlineLevel="0" collapsed="false">
      <c r="C2002" s="6" t="n">
        <f aca="false">MOD(ROW()-1, 208)</f>
        <v>129</v>
      </c>
      <c r="D2002" s="6" t="n">
        <f aca="false">INT((ROW()-1)/208)</f>
        <v>9</v>
      </c>
      <c r="F2002" s="6" t="str">
        <f aca="false">MID(VLOOKUP(D2002,$P$1:$Q$13,2,0), 1 + C2002,1)</f>
        <v>쾀</v>
      </c>
      <c r="G2002" s="6" t="str">
        <f aca="false">DEC2HEX(D2002+36, 2)</f>
        <v>2D</v>
      </c>
      <c r="H2002" s="6" t="str">
        <f aca="false">DEC2HEX(C2002+48,2)</f>
        <v>B1</v>
      </c>
      <c r="I2002" s="6" t="str">
        <f aca="false">_xlfn.CONCAT("\x", G2002, "\x", H2002, "=", F2002)</f>
        <v>\x2D\xB1=쾀</v>
      </c>
      <c r="M2002" s="8"/>
    </row>
    <row r="2003" customFormat="false" ht="12.8" hidden="false" customHeight="true" outlineLevel="0" collapsed="false">
      <c r="C2003" s="6" t="n">
        <f aca="false">MOD(ROW()-1, 208)</f>
        <v>130</v>
      </c>
      <c r="D2003" s="6" t="n">
        <f aca="false">INT((ROW()-1)/208)</f>
        <v>9</v>
      </c>
      <c r="F2003" s="6" t="str">
        <f aca="false">MID(VLOOKUP(D2003,$P$1:$Q$13,2,0), 1 + C2003,1)</f>
        <v>쾅</v>
      </c>
      <c r="G2003" s="6" t="str">
        <f aca="false">DEC2HEX(D2003+36, 2)</f>
        <v>2D</v>
      </c>
      <c r="H2003" s="6" t="str">
        <f aca="false">DEC2HEX(C2003+48,2)</f>
        <v>B2</v>
      </c>
      <c r="I2003" s="6" t="str">
        <f aca="false">_xlfn.CONCAT("\x", G2003, "\x", H2003, "=", F2003)</f>
        <v>\x2D\xB2=쾅</v>
      </c>
      <c r="M2003" s="8"/>
    </row>
    <row r="2004" customFormat="false" ht="12.8" hidden="false" customHeight="true" outlineLevel="0" collapsed="false">
      <c r="C2004" s="6" t="n">
        <f aca="false">MOD(ROW()-1, 208)</f>
        <v>131</v>
      </c>
      <c r="D2004" s="6" t="n">
        <f aca="false">INT((ROW()-1)/208)</f>
        <v>9</v>
      </c>
      <c r="F2004" s="6" t="str">
        <f aca="false">MID(VLOOKUP(D2004,$P$1:$Q$13,2,0), 1 + C2004,1)</f>
        <v>쾌</v>
      </c>
      <c r="G2004" s="6" t="str">
        <f aca="false">DEC2HEX(D2004+36, 2)</f>
        <v>2D</v>
      </c>
      <c r="H2004" s="6" t="str">
        <f aca="false">DEC2HEX(C2004+48,2)</f>
        <v>B3</v>
      </c>
      <c r="I2004" s="6" t="str">
        <f aca="false">_xlfn.CONCAT("\x", G2004, "\x", H2004, "=", F2004)</f>
        <v>\x2D\xB3=쾌</v>
      </c>
      <c r="M2004" s="8"/>
    </row>
    <row r="2005" customFormat="false" ht="12.8" hidden="false" customHeight="true" outlineLevel="0" collapsed="false">
      <c r="C2005" s="6" t="n">
        <f aca="false">MOD(ROW()-1, 208)</f>
        <v>132</v>
      </c>
      <c r="D2005" s="6" t="n">
        <f aca="false">INT((ROW()-1)/208)</f>
        <v>9</v>
      </c>
      <c r="F2005" s="6" t="str">
        <f aca="false">MID(VLOOKUP(D2005,$P$1:$Q$13,2,0), 1 + C2005,1)</f>
        <v>쾡</v>
      </c>
      <c r="G2005" s="6" t="str">
        <f aca="false">DEC2HEX(D2005+36, 2)</f>
        <v>2D</v>
      </c>
      <c r="H2005" s="6" t="str">
        <f aca="false">DEC2HEX(C2005+48,2)</f>
        <v>B4</v>
      </c>
      <c r="I2005" s="6" t="str">
        <f aca="false">_xlfn.CONCAT("\x", G2005, "\x", H2005, "=", F2005)</f>
        <v>\x2D\xB4=쾡</v>
      </c>
      <c r="M2005" s="8"/>
    </row>
    <row r="2006" customFormat="false" ht="12.8" hidden="false" customHeight="true" outlineLevel="0" collapsed="false">
      <c r="C2006" s="6" t="n">
        <f aca="false">MOD(ROW()-1, 208)</f>
        <v>133</v>
      </c>
      <c r="D2006" s="6" t="n">
        <f aca="false">INT((ROW()-1)/208)</f>
        <v>9</v>
      </c>
      <c r="F2006" s="6" t="str">
        <f aca="false">MID(VLOOKUP(D2006,$P$1:$Q$13,2,0), 1 + C2006,1)</f>
        <v>쾨</v>
      </c>
      <c r="G2006" s="6" t="str">
        <f aca="false">DEC2HEX(D2006+36, 2)</f>
        <v>2D</v>
      </c>
      <c r="H2006" s="6" t="str">
        <f aca="false">DEC2HEX(C2006+48,2)</f>
        <v>B5</v>
      </c>
      <c r="I2006" s="6" t="str">
        <f aca="false">_xlfn.CONCAT("\x", G2006, "\x", H2006, "=", F2006)</f>
        <v>\x2D\xB5=쾨</v>
      </c>
      <c r="M2006" s="8"/>
    </row>
    <row r="2007" customFormat="false" ht="12.8" hidden="false" customHeight="true" outlineLevel="0" collapsed="false">
      <c r="C2007" s="6" t="n">
        <f aca="false">MOD(ROW()-1, 208)</f>
        <v>134</v>
      </c>
      <c r="D2007" s="6" t="n">
        <f aca="false">INT((ROW()-1)/208)</f>
        <v>9</v>
      </c>
      <c r="F2007" s="6" t="str">
        <f aca="false">MID(VLOOKUP(D2007,$P$1:$Q$13,2,0), 1 + C2007,1)</f>
        <v>쾰</v>
      </c>
      <c r="G2007" s="6" t="str">
        <f aca="false">DEC2HEX(D2007+36, 2)</f>
        <v>2D</v>
      </c>
      <c r="H2007" s="6" t="str">
        <f aca="false">DEC2HEX(C2007+48,2)</f>
        <v>B6</v>
      </c>
      <c r="I2007" s="6" t="str">
        <f aca="false">_xlfn.CONCAT("\x", G2007, "\x", H2007, "=", F2007)</f>
        <v>\x2D\xB6=쾰</v>
      </c>
      <c r="M2007" s="8"/>
    </row>
    <row r="2008" customFormat="false" ht="12.8" hidden="false" customHeight="true" outlineLevel="0" collapsed="false">
      <c r="C2008" s="6" t="n">
        <f aca="false">MOD(ROW()-1, 208)</f>
        <v>135</v>
      </c>
      <c r="D2008" s="6" t="n">
        <f aca="false">INT((ROW()-1)/208)</f>
        <v>9</v>
      </c>
      <c r="F2008" s="6" t="str">
        <f aca="false">MID(VLOOKUP(D2008,$P$1:$Q$13,2,0), 1 + C2008,1)</f>
        <v>쿄</v>
      </c>
      <c r="G2008" s="6" t="str">
        <f aca="false">DEC2HEX(D2008+36, 2)</f>
        <v>2D</v>
      </c>
      <c r="H2008" s="6" t="str">
        <f aca="false">DEC2HEX(C2008+48,2)</f>
        <v>B7</v>
      </c>
      <c r="I2008" s="6" t="str">
        <f aca="false">_xlfn.CONCAT("\x", G2008, "\x", H2008, "=", F2008)</f>
        <v>\x2D\xB7=쿄</v>
      </c>
      <c r="M2008" s="8"/>
    </row>
    <row r="2009" customFormat="false" ht="12.8" hidden="false" customHeight="true" outlineLevel="0" collapsed="false">
      <c r="C2009" s="6" t="n">
        <f aca="false">MOD(ROW()-1, 208)</f>
        <v>136</v>
      </c>
      <c r="D2009" s="6" t="n">
        <f aca="false">INT((ROW()-1)/208)</f>
        <v>9</v>
      </c>
      <c r="F2009" s="6" t="str">
        <f aca="false">MID(VLOOKUP(D2009,$P$1:$Q$13,2,0), 1 + C2009,1)</f>
        <v>쿠</v>
      </c>
      <c r="G2009" s="6" t="str">
        <f aca="false">DEC2HEX(D2009+36, 2)</f>
        <v>2D</v>
      </c>
      <c r="H2009" s="6" t="str">
        <f aca="false">DEC2HEX(C2009+48,2)</f>
        <v>B8</v>
      </c>
      <c r="I2009" s="6" t="str">
        <f aca="false">_xlfn.CONCAT("\x", G2009, "\x", H2009, "=", F2009)</f>
        <v>\x2D\xB8=쿠</v>
      </c>
      <c r="M2009" s="8"/>
    </row>
    <row r="2010" customFormat="false" ht="12.8" hidden="false" customHeight="true" outlineLevel="0" collapsed="false">
      <c r="C2010" s="6" t="n">
        <f aca="false">MOD(ROW()-1, 208)</f>
        <v>137</v>
      </c>
      <c r="D2010" s="6" t="n">
        <f aca="false">INT((ROW()-1)/208)</f>
        <v>9</v>
      </c>
      <c r="F2010" s="6" t="str">
        <f aca="false">MID(VLOOKUP(D2010,$P$1:$Q$13,2,0), 1 + C2010,1)</f>
        <v>쿡</v>
      </c>
      <c r="G2010" s="6" t="str">
        <f aca="false">DEC2HEX(D2010+36, 2)</f>
        <v>2D</v>
      </c>
      <c r="H2010" s="6" t="str">
        <f aca="false">DEC2HEX(C2010+48,2)</f>
        <v>B9</v>
      </c>
      <c r="I2010" s="6" t="str">
        <f aca="false">_xlfn.CONCAT("\x", G2010, "\x", H2010, "=", F2010)</f>
        <v>\x2D\xB9=쿡</v>
      </c>
      <c r="M2010" s="8"/>
    </row>
    <row r="2011" customFormat="false" ht="12.8" hidden="false" customHeight="true" outlineLevel="0" collapsed="false">
      <c r="C2011" s="6" t="n">
        <f aca="false">MOD(ROW()-1, 208)</f>
        <v>138</v>
      </c>
      <c r="D2011" s="6" t="n">
        <f aca="false">INT((ROW()-1)/208)</f>
        <v>9</v>
      </c>
      <c r="F2011" s="6" t="str">
        <f aca="false">MID(VLOOKUP(D2011,$P$1:$Q$13,2,0), 1 + C2011,1)</f>
        <v>쿤</v>
      </c>
      <c r="G2011" s="6" t="str">
        <f aca="false">DEC2HEX(D2011+36, 2)</f>
        <v>2D</v>
      </c>
      <c r="H2011" s="6" t="str">
        <f aca="false">DEC2HEX(C2011+48,2)</f>
        <v>BA</v>
      </c>
      <c r="I2011" s="6" t="str">
        <f aca="false">_xlfn.CONCAT("\x", G2011, "\x", H2011, "=", F2011)</f>
        <v>\x2D\xBA=쿤</v>
      </c>
      <c r="M2011" s="8"/>
    </row>
    <row r="2012" customFormat="false" ht="12.8" hidden="false" customHeight="true" outlineLevel="0" collapsed="false">
      <c r="C2012" s="6" t="n">
        <f aca="false">MOD(ROW()-1, 208)</f>
        <v>139</v>
      </c>
      <c r="D2012" s="6" t="n">
        <f aca="false">INT((ROW()-1)/208)</f>
        <v>9</v>
      </c>
      <c r="F2012" s="6" t="str">
        <f aca="false">MID(VLOOKUP(D2012,$P$1:$Q$13,2,0), 1 + C2012,1)</f>
        <v>쿨</v>
      </c>
      <c r="G2012" s="6" t="str">
        <f aca="false">DEC2HEX(D2012+36, 2)</f>
        <v>2D</v>
      </c>
      <c r="H2012" s="6" t="str">
        <f aca="false">DEC2HEX(C2012+48,2)</f>
        <v>BB</v>
      </c>
      <c r="I2012" s="6" t="str">
        <f aca="false">_xlfn.CONCAT("\x", G2012, "\x", H2012, "=", F2012)</f>
        <v>\x2D\xBB=쿨</v>
      </c>
      <c r="M2012" s="8"/>
    </row>
    <row r="2013" customFormat="false" ht="12.8" hidden="false" customHeight="true" outlineLevel="0" collapsed="false">
      <c r="C2013" s="6" t="n">
        <f aca="false">MOD(ROW()-1, 208)</f>
        <v>140</v>
      </c>
      <c r="D2013" s="6" t="n">
        <f aca="false">INT((ROW()-1)/208)</f>
        <v>9</v>
      </c>
      <c r="F2013" s="6" t="str">
        <f aca="false">MID(VLOOKUP(D2013,$P$1:$Q$13,2,0), 1 + C2013,1)</f>
        <v>쿰</v>
      </c>
      <c r="G2013" s="6" t="str">
        <f aca="false">DEC2HEX(D2013+36, 2)</f>
        <v>2D</v>
      </c>
      <c r="H2013" s="6" t="str">
        <f aca="false">DEC2HEX(C2013+48,2)</f>
        <v>BC</v>
      </c>
      <c r="I2013" s="6" t="str">
        <f aca="false">_xlfn.CONCAT("\x", G2013, "\x", H2013, "=", F2013)</f>
        <v>\x2D\xBC=쿰</v>
      </c>
      <c r="M2013" s="8"/>
    </row>
    <row r="2014" customFormat="false" ht="12.8" hidden="false" customHeight="true" outlineLevel="0" collapsed="false">
      <c r="C2014" s="6" t="n">
        <f aca="false">MOD(ROW()-1, 208)</f>
        <v>141</v>
      </c>
      <c r="D2014" s="6" t="n">
        <f aca="false">INT((ROW()-1)/208)</f>
        <v>9</v>
      </c>
      <c r="F2014" s="6" t="str">
        <f aca="false">MID(VLOOKUP(D2014,$P$1:$Q$13,2,0), 1 + C2014,1)</f>
        <v>쿱</v>
      </c>
      <c r="G2014" s="6" t="str">
        <f aca="false">DEC2HEX(D2014+36, 2)</f>
        <v>2D</v>
      </c>
      <c r="H2014" s="6" t="str">
        <f aca="false">DEC2HEX(C2014+48,2)</f>
        <v>BD</v>
      </c>
      <c r="I2014" s="6" t="str">
        <f aca="false">_xlfn.CONCAT("\x", G2014, "\x", H2014, "=", F2014)</f>
        <v>\x2D\xBD=쿱</v>
      </c>
      <c r="M2014" s="8"/>
    </row>
    <row r="2015" customFormat="false" ht="12.8" hidden="false" customHeight="true" outlineLevel="0" collapsed="false">
      <c r="C2015" s="6" t="n">
        <f aca="false">MOD(ROW()-1, 208)</f>
        <v>142</v>
      </c>
      <c r="D2015" s="6" t="n">
        <f aca="false">INT((ROW()-1)/208)</f>
        <v>9</v>
      </c>
      <c r="F2015" s="6" t="str">
        <f aca="false">MID(VLOOKUP(D2015,$P$1:$Q$13,2,0), 1 + C2015,1)</f>
        <v>쿳</v>
      </c>
      <c r="G2015" s="6" t="str">
        <f aca="false">DEC2HEX(D2015+36, 2)</f>
        <v>2D</v>
      </c>
      <c r="H2015" s="6" t="str">
        <f aca="false">DEC2HEX(C2015+48,2)</f>
        <v>BE</v>
      </c>
      <c r="I2015" s="6" t="str">
        <f aca="false">_xlfn.CONCAT("\x", G2015, "\x", H2015, "=", F2015)</f>
        <v>\x2D\xBE=쿳</v>
      </c>
      <c r="M2015" s="8"/>
    </row>
    <row r="2016" customFormat="false" ht="12.8" hidden="false" customHeight="true" outlineLevel="0" collapsed="false">
      <c r="C2016" s="6" t="n">
        <f aca="false">MOD(ROW()-1, 208)</f>
        <v>143</v>
      </c>
      <c r="D2016" s="6" t="n">
        <f aca="false">INT((ROW()-1)/208)</f>
        <v>9</v>
      </c>
      <c r="F2016" s="6" t="str">
        <f aca="false">MID(VLOOKUP(D2016,$P$1:$Q$13,2,0), 1 + C2016,1)</f>
        <v>쿵</v>
      </c>
      <c r="G2016" s="6" t="str">
        <f aca="false">DEC2HEX(D2016+36, 2)</f>
        <v>2D</v>
      </c>
      <c r="H2016" s="6" t="str">
        <f aca="false">DEC2HEX(C2016+48,2)</f>
        <v>BF</v>
      </c>
      <c r="I2016" s="6" t="str">
        <f aca="false">_xlfn.CONCAT("\x", G2016, "\x", H2016, "=", F2016)</f>
        <v>\x2D\xBF=쿵</v>
      </c>
      <c r="M2016" s="8"/>
    </row>
    <row r="2017" customFormat="false" ht="12.8" hidden="false" customHeight="true" outlineLevel="0" collapsed="false">
      <c r="C2017" s="6" t="n">
        <f aca="false">MOD(ROW()-1, 208)</f>
        <v>144</v>
      </c>
      <c r="D2017" s="6" t="n">
        <f aca="false">INT((ROW()-1)/208)</f>
        <v>9</v>
      </c>
      <c r="F2017" s="6" t="str">
        <f aca="false">MID(VLOOKUP(D2017,$P$1:$Q$13,2,0), 1 + C2017,1)</f>
        <v>쿼</v>
      </c>
      <c r="G2017" s="6" t="str">
        <f aca="false">DEC2HEX(D2017+36, 2)</f>
        <v>2D</v>
      </c>
      <c r="H2017" s="6" t="str">
        <f aca="false">DEC2HEX(C2017+48,2)</f>
        <v>C0</v>
      </c>
      <c r="I2017" s="6" t="str">
        <f aca="false">_xlfn.CONCAT("\x", G2017, "\x", H2017, "=", F2017)</f>
        <v>\x2D\xC0=쿼</v>
      </c>
      <c r="M2017" s="8"/>
    </row>
    <row r="2018" customFormat="false" ht="12.8" hidden="false" customHeight="true" outlineLevel="0" collapsed="false">
      <c r="C2018" s="6" t="n">
        <f aca="false">MOD(ROW()-1, 208)</f>
        <v>145</v>
      </c>
      <c r="D2018" s="6" t="n">
        <f aca="false">INT((ROW()-1)/208)</f>
        <v>9</v>
      </c>
      <c r="F2018" s="6" t="str">
        <f aca="false">MID(VLOOKUP(D2018,$P$1:$Q$13,2,0), 1 + C2018,1)</f>
        <v>퀀</v>
      </c>
      <c r="G2018" s="6" t="str">
        <f aca="false">DEC2HEX(D2018+36, 2)</f>
        <v>2D</v>
      </c>
      <c r="H2018" s="6" t="str">
        <f aca="false">DEC2HEX(C2018+48,2)</f>
        <v>C1</v>
      </c>
      <c r="I2018" s="6" t="str">
        <f aca="false">_xlfn.CONCAT("\x", G2018, "\x", H2018, "=", F2018)</f>
        <v>\x2D\xC1=퀀</v>
      </c>
      <c r="M2018" s="8"/>
    </row>
    <row r="2019" customFormat="false" ht="12.8" hidden="false" customHeight="true" outlineLevel="0" collapsed="false">
      <c r="C2019" s="6" t="n">
        <f aca="false">MOD(ROW()-1, 208)</f>
        <v>146</v>
      </c>
      <c r="D2019" s="6" t="n">
        <f aca="false">INT((ROW()-1)/208)</f>
        <v>9</v>
      </c>
      <c r="F2019" s="6" t="str">
        <f aca="false">MID(VLOOKUP(D2019,$P$1:$Q$13,2,0), 1 + C2019,1)</f>
        <v>퀄</v>
      </c>
      <c r="G2019" s="6" t="str">
        <f aca="false">DEC2HEX(D2019+36, 2)</f>
        <v>2D</v>
      </c>
      <c r="H2019" s="6" t="str">
        <f aca="false">DEC2HEX(C2019+48,2)</f>
        <v>C2</v>
      </c>
      <c r="I2019" s="6" t="str">
        <f aca="false">_xlfn.CONCAT("\x", G2019, "\x", H2019, "=", F2019)</f>
        <v>\x2D\xC2=퀄</v>
      </c>
      <c r="M2019" s="8"/>
    </row>
    <row r="2020" customFormat="false" ht="12.8" hidden="false" customHeight="true" outlineLevel="0" collapsed="false">
      <c r="C2020" s="6" t="n">
        <f aca="false">MOD(ROW()-1, 208)</f>
        <v>147</v>
      </c>
      <c r="D2020" s="6" t="n">
        <f aca="false">INT((ROW()-1)/208)</f>
        <v>9</v>
      </c>
      <c r="F2020" s="6" t="str">
        <f aca="false">MID(VLOOKUP(D2020,$P$1:$Q$13,2,0), 1 + C2020,1)</f>
        <v>퀑</v>
      </c>
      <c r="G2020" s="6" t="str">
        <f aca="false">DEC2HEX(D2020+36, 2)</f>
        <v>2D</v>
      </c>
      <c r="H2020" s="6" t="str">
        <f aca="false">DEC2HEX(C2020+48,2)</f>
        <v>C3</v>
      </c>
      <c r="I2020" s="6" t="str">
        <f aca="false">_xlfn.CONCAT("\x", G2020, "\x", H2020, "=", F2020)</f>
        <v>\x2D\xC3=퀑</v>
      </c>
      <c r="M2020" s="8"/>
    </row>
    <row r="2021" customFormat="false" ht="12.8" hidden="false" customHeight="true" outlineLevel="0" collapsed="false">
      <c r="C2021" s="6" t="n">
        <f aca="false">MOD(ROW()-1, 208)</f>
        <v>148</v>
      </c>
      <c r="D2021" s="6" t="n">
        <f aca="false">INT((ROW()-1)/208)</f>
        <v>9</v>
      </c>
      <c r="F2021" s="6" t="str">
        <f aca="false">MID(VLOOKUP(D2021,$P$1:$Q$13,2,0), 1 + C2021,1)</f>
        <v>퀘</v>
      </c>
      <c r="G2021" s="6" t="str">
        <f aca="false">DEC2HEX(D2021+36, 2)</f>
        <v>2D</v>
      </c>
      <c r="H2021" s="6" t="str">
        <f aca="false">DEC2HEX(C2021+48,2)</f>
        <v>C4</v>
      </c>
      <c r="I2021" s="6" t="str">
        <f aca="false">_xlfn.CONCAT("\x", G2021, "\x", H2021, "=", F2021)</f>
        <v>\x2D\xC4=퀘</v>
      </c>
      <c r="M2021" s="8"/>
    </row>
    <row r="2022" customFormat="false" ht="12.8" hidden="false" customHeight="true" outlineLevel="0" collapsed="false">
      <c r="C2022" s="6" t="n">
        <f aca="false">MOD(ROW()-1, 208)</f>
        <v>149</v>
      </c>
      <c r="D2022" s="6" t="n">
        <f aca="false">INT((ROW()-1)/208)</f>
        <v>9</v>
      </c>
      <c r="F2022" s="6" t="str">
        <f aca="false">MID(VLOOKUP(D2022,$P$1:$Q$13,2,0), 1 + C2022,1)</f>
        <v>퀭</v>
      </c>
      <c r="G2022" s="6" t="str">
        <f aca="false">DEC2HEX(D2022+36, 2)</f>
        <v>2D</v>
      </c>
      <c r="H2022" s="6" t="str">
        <f aca="false">DEC2HEX(C2022+48,2)</f>
        <v>C5</v>
      </c>
      <c r="I2022" s="6" t="str">
        <f aca="false">_xlfn.CONCAT("\x", G2022, "\x", H2022, "=", F2022)</f>
        <v>\x2D\xC5=퀭</v>
      </c>
      <c r="M2022" s="8"/>
    </row>
    <row r="2023" customFormat="false" ht="12.8" hidden="false" customHeight="true" outlineLevel="0" collapsed="false">
      <c r="C2023" s="6" t="n">
        <f aca="false">MOD(ROW()-1, 208)</f>
        <v>150</v>
      </c>
      <c r="D2023" s="6" t="n">
        <f aca="false">INT((ROW()-1)/208)</f>
        <v>9</v>
      </c>
      <c r="F2023" s="6" t="str">
        <f aca="false">MID(VLOOKUP(D2023,$P$1:$Q$13,2,0), 1 + C2023,1)</f>
        <v>퀴</v>
      </c>
      <c r="G2023" s="6" t="str">
        <f aca="false">DEC2HEX(D2023+36, 2)</f>
        <v>2D</v>
      </c>
      <c r="H2023" s="6" t="str">
        <f aca="false">DEC2HEX(C2023+48,2)</f>
        <v>C6</v>
      </c>
      <c r="I2023" s="6" t="str">
        <f aca="false">_xlfn.CONCAT("\x", G2023, "\x", H2023, "=", F2023)</f>
        <v>\x2D\xC6=퀴</v>
      </c>
      <c r="M2023" s="8"/>
    </row>
    <row r="2024" customFormat="false" ht="12.8" hidden="false" customHeight="true" outlineLevel="0" collapsed="false">
      <c r="C2024" s="6" t="n">
        <f aca="false">MOD(ROW()-1, 208)</f>
        <v>151</v>
      </c>
      <c r="D2024" s="6" t="n">
        <f aca="false">INT((ROW()-1)/208)</f>
        <v>9</v>
      </c>
      <c r="F2024" s="6" t="str">
        <f aca="false">MID(VLOOKUP(D2024,$P$1:$Q$13,2,0), 1 + C2024,1)</f>
        <v>퀵</v>
      </c>
      <c r="G2024" s="6" t="str">
        <f aca="false">DEC2HEX(D2024+36, 2)</f>
        <v>2D</v>
      </c>
      <c r="H2024" s="6" t="str">
        <f aca="false">DEC2HEX(C2024+48,2)</f>
        <v>C7</v>
      </c>
      <c r="I2024" s="6" t="str">
        <f aca="false">_xlfn.CONCAT("\x", G2024, "\x", H2024, "=", F2024)</f>
        <v>\x2D\xC7=퀵</v>
      </c>
      <c r="M2024" s="8"/>
    </row>
    <row r="2025" customFormat="false" ht="12.8" hidden="false" customHeight="true" outlineLevel="0" collapsed="false">
      <c r="C2025" s="6" t="n">
        <f aca="false">MOD(ROW()-1, 208)</f>
        <v>152</v>
      </c>
      <c r="D2025" s="6" t="n">
        <f aca="false">INT((ROW()-1)/208)</f>
        <v>9</v>
      </c>
      <c r="F2025" s="6" t="str">
        <f aca="false">MID(VLOOKUP(D2025,$P$1:$Q$13,2,0), 1 + C2025,1)</f>
        <v>퀸</v>
      </c>
      <c r="G2025" s="6" t="str">
        <f aca="false">DEC2HEX(D2025+36, 2)</f>
        <v>2D</v>
      </c>
      <c r="H2025" s="6" t="str">
        <f aca="false">DEC2HEX(C2025+48,2)</f>
        <v>C8</v>
      </c>
      <c r="I2025" s="6" t="str">
        <f aca="false">_xlfn.CONCAT("\x", G2025, "\x", H2025, "=", F2025)</f>
        <v>\x2D\xC8=퀸</v>
      </c>
      <c r="M2025" s="8"/>
    </row>
    <row r="2026" customFormat="false" ht="12.8" hidden="false" customHeight="true" outlineLevel="0" collapsed="false">
      <c r="C2026" s="6" t="n">
        <f aca="false">MOD(ROW()-1, 208)</f>
        <v>153</v>
      </c>
      <c r="D2026" s="6" t="n">
        <f aca="false">INT((ROW()-1)/208)</f>
        <v>9</v>
      </c>
      <c r="F2026" s="6" t="str">
        <f aca="false">MID(VLOOKUP(D2026,$P$1:$Q$13,2,0), 1 + C2026,1)</f>
        <v>퀼</v>
      </c>
      <c r="G2026" s="6" t="str">
        <f aca="false">DEC2HEX(D2026+36, 2)</f>
        <v>2D</v>
      </c>
      <c r="H2026" s="6" t="str">
        <f aca="false">DEC2HEX(C2026+48,2)</f>
        <v>C9</v>
      </c>
      <c r="I2026" s="6" t="str">
        <f aca="false">_xlfn.CONCAT("\x", G2026, "\x", H2026, "=", F2026)</f>
        <v>\x2D\xC9=퀼</v>
      </c>
      <c r="M2026" s="8"/>
    </row>
    <row r="2027" customFormat="false" ht="12.8" hidden="false" customHeight="true" outlineLevel="0" collapsed="false">
      <c r="C2027" s="6" t="n">
        <f aca="false">MOD(ROW()-1, 208)</f>
        <v>154</v>
      </c>
      <c r="D2027" s="6" t="n">
        <f aca="false">INT((ROW()-1)/208)</f>
        <v>9</v>
      </c>
      <c r="F2027" s="6" t="str">
        <f aca="false">MID(VLOOKUP(D2027,$P$1:$Q$13,2,0), 1 + C2027,1)</f>
        <v>큄</v>
      </c>
      <c r="G2027" s="6" t="str">
        <f aca="false">DEC2HEX(D2027+36, 2)</f>
        <v>2D</v>
      </c>
      <c r="H2027" s="6" t="str">
        <f aca="false">DEC2HEX(C2027+48,2)</f>
        <v>CA</v>
      </c>
      <c r="I2027" s="6" t="str">
        <f aca="false">_xlfn.CONCAT("\x", G2027, "\x", H2027, "=", F2027)</f>
        <v>\x2D\xCA=큄</v>
      </c>
      <c r="M2027" s="8"/>
    </row>
    <row r="2028" customFormat="false" ht="12.8" hidden="false" customHeight="true" outlineLevel="0" collapsed="false">
      <c r="C2028" s="6" t="n">
        <f aca="false">MOD(ROW()-1, 208)</f>
        <v>155</v>
      </c>
      <c r="D2028" s="6" t="n">
        <f aca="false">INT((ROW()-1)/208)</f>
        <v>9</v>
      </c>
      <c r="F2028" s="6" t="str">
        <f aca="false">MID(VLOOKUP(D2028,$P$1:$Q$13,2,0), 1 + C2028,1)</f>
        <v>큅</v>
      </c>
      <c r="G2028" s="6" t="str">
        <f aca="false">DEC2HEX(D2028+36, 2)</f>
        <v>2D</v>
      </c>
      <c r="H2028" s="6" t="str">
        <f aca="false">DEC2HEX(C2028+48,2)</f>
        <v>CB</v>
      </c>
      <c r="I2028" s="6" t="str">
        <f aca="false">_xlfn.CONCAT("\x", G2028, "\x", H2028, "=", F2028)</f>
        <v>\x2D\xCB=큅</v>
      </c>
      <c r="M2028" s="8"/>
    </row>
    <row r="2029" customFormat="false" ht="12.8" hidden="false" customHeight="true" outlineLevel="0" collapsed="false">
      <c r="C2029" s="6" t="n">
        <f aca="false">MOD(ROW()-1, 208)</f>
        <v>156</v>
      </c>
      <c r="D2029" s="6" t="n">
        <f aca="false">INT((ROW()-1)/208)</f>
        <v>9</v>
      </c>
      <c r="F2029" s="6" t="str">
        <f aca="false">MID(VLOOKUP(D2029,$P$1:$Q$13,2,0), 1 + C2029,1)</f>
        <v>큇</v>
      </c>
      <c r="G2029" s="6" t="str">
        <f aca="false">DEC2HEX(D2029+36, 2)</f>
        <v>2D</v>
      </c>
      <c r="H2029" s="6" t="str">
        <f aca="false">DEC2HEX(C2029+48,2)</f>
        <v>CC</v>
      </c>
      <c r="I2029" s="6" t="str">
        <f aca="false">_xlfn.CONCAT("\x", G2029, "\x", H2029, "=", F2029)</f>
        <v>\x2D\xCC=큇</v>
      </c>
      <c r="M2029" s="8"/>
    </row>
    <row r="2030" customFormat="false" ht="12.8" hidden="false" customHeight="true" outlineLevel="0" collapsed="false">
      <c r="C2030" s="6" t="n">
        <f aca="false">MOD(ROW()-1, 208)</f>
        <v>157</v>
      </c>
      <c r="D2030" s="6" t="n">
        <f aca="false">INT((ROW()-1)/208)</f>
        <v>9</v>
      </c>
      <c r="F2030" s="6" t="str">
        <f aca="false">MID(VLOOKUP(D2030,$P$1:$Q$13,2,0), 1 + C2030,1)</f>
        <v>큉</v>
      </c>
      <c r="G2030" s="6" t="str">
        <f aca="false">DEC2HEX(D2030+36, 2)</f>
        <v>2D</v>
      </c>
      <c r="H2030" s="6" t="str">
        <f aca="false">DEC2HEX(C2030+48,2)</f>
        <v>CD</v>
      </c>
      <c r="I2030" s="6" t="str">
        <f aca="false">_xlfn.CONCAT("\x", G2030, "\x", H2030, "=", F2030)</f>
        <v>\x2D\xCD=큉</v>
      </c>
      <c r="M2030" s="8"/>
    </row>
    <row r="2031" customFormat="false" ht="12.8" hidden="false" customHeight="true" outlineLevel="0" collapsed="false">
      <c r="C2031" s="6" t="n">
        <f aca="false">MOD(ROW()-1, 208)</f>
        <v>158</v>
      </c>
      <c r="D2031" s="6" t="n">
        <f aca="false">INT((ROW()-1)/208)</f>
        <v>9</v>
      </c>
      <c r="F2031" s="6" t="str">
        <f aca="false">MID(VLOOKUP(D2031,$P$1:$Q$13,2,0), 1 + C2031,1)</f>
        <v>큐</v>
      </c>
      <c r="G2031" s="6" t="str">
        <f aca="false">DEC2HEX(D2031+36, 2)</f>
        <v>2D</v>
      </c>
      <c r="H2031" s="6" t="str">
        <f aca="false">DEC2HEX(C2031+48,2)</f>
        <v>CE</v>
      </c>
      <c r="I2031" s="6" t="str">
        <f aca="false">_xlfn.CONCAT("\x", G2031, "\x", H2031, "=", F2031)</f>
        <v>\x2D\xCE=큐</v>
      </c>
      <c r="M2031" s="8"/>
    </row>
    <row r="2032" customFormat="false" ht="12.8" hidden="false" customHeight="true" outlineLevel="0" collapsed="false">
      <c r="C2032" s="6" t="n">
        <f aca="false">MOD(ROW()-1, 208)</f>
        <v>159</v>
      </c>
      <c r="D2032" s="6" t="n">
        <f aca="false">INT((ROW()-1)/208)</f>
        <v>9</v>
      </c>
      <c r="F2032" s="6" t="str">
        <f aca="false">MID(VLOOKUP(D2032,$P$1:$Q$13,2,0), 1 + C2032,1)</f>
        <v>큔</v>
      </c>
      <c r="G2032" s="6" t="str">
        <f aca="false">DEC2HEX(D2032+36, 2)</f>
        <v>2D</v>
      </c>
      <c r="H2032" s="6" t="str">
        <f aca="false">DEC2HEX(C2032+48,2)</f>
        <v>CF</v>
      </c>
      <c r="I2032" s="6" t="str">
        <f aca="false">_xlfn.CONCAT("\x", G2032, "\x", H2032, "=", F2032)</f>
        <v>\x2D\xCF=큔</v>
      </c>
      <c r="M2032" s="8"/>
    </row>
    <row r="2033" customFormat="false" ht="12.8" hidden="false" customHeight="true" outlineLevel="0" collapsed="false">
      <c r="C2033" s="6" t="n">
        <f aca="false">MOD(ROW()-1, 208)</f>
        <v>160</v>
      </c>
      <c r="D2033" s="6" t="n">
        <f aca="false">INT((ROW()-1)/208)</f>
        <v>9</v>
      </c>
      <c r="F2033" s="6" t="str">
        <f aca="false">MID(VLOOKUP(D2033,$P$1:$Q$13,2,0), 1 + C2033,1)</f>
        <v>큘</v>
      </c>
      <c r="G2033" s="6" t="str">
        <f aca="false">DEC2HEX(D2033+36, 2)</f>
        <v>2D</v>
      </c>
      <c r="H2033" s="6" t="str">
        <f aca="false">DEC2HEX(C2033+48,2)</f>
        <v>D0</v>
      </c>
      <c r="I2033" s="6" t="str">
        <f aca="false">_xlfn.CONCAT("\x", G2033, "\x", H2033, "=", F2033)</f>
        <v>\x2D\xD0=큘</v>
      </c>
      <c r="M2033" s="8"/>
    </row>
    <row r="2034" customFormat="false" ht="12.8" hidden="false" customHeight="true" outlineLevel="0" collapsed="false">
      <c r="C2034" s="6" t="n">
        <f aca="false">MOD(ROW()-1, 208)</f>
        <v>161</v>
      </c>
      <c r="D2034" s="6" t="n">
        <f aca="false">INT((ROW()-1)/208)</f>
        <v>9</v>
      </c>
      <c r="F2034" s="6" t="str">
        <f aca="false">MID(VLOOKUP(D2034,$P$1:$Q$13,2,0), 1 + C2034,1)</f>
        <v>큠</v>
      </c>
      <c r="G2034" s="6" t="str">
        <f aca="false">DEC2HEX(D2034+36, 2)</f>
        <v>2D</v>
      </c>
      <c r="H2034" s="6" t="str">
        <f aca="false">DEC2HEX(C2034+48,2)</f>
        <v>D1</v>
      </c>
      <c r="I2034" s="6" t="str">
        <f aca="false">_xlfn.CONCAT("\x", G2034, "\x", H2034, "=", F2034)</f>
        <v>\x2D\xD1=큠</v>
      </c>
      <c r="M2034" s="8"/>
    </row>
    <row r="2035" customFormat="false" ht="12.8" hidden="false" customHeight="true" outlineLevel="0" collapsed="false">
      <c r="C2035" s="6" t="n">
        <f aca="false">MOD(ROW()-1, 208)</f>
        <v>162</v>
      </c>
      <c r="D2035" s="6" t="n">
        <f aca="false">INT((ROW()-1)/208)</f>
        <v>9</v>
      </c>
      <c r="F2035" s="6" t="str">
        <f aca="false">MID(VLOOKUP(D2035,$P$1:$Q$13,2,0), 1 + C2035,1)</f>
        <v>크</v>
      </c>
      <c r="G2035" s="6" t="str">
        <f aca="false">DEC2HEX(D2035+36, 2)</f>
        <v>2D</v>
      </c>
      <c r="H2035" s="6" t="str">
        <f aca="false">DEC2HEX(C2035+48,2)</f>
        <v>D2</v>
      </c>
      <c r="I2035" s="6" t="str">
        <f aca="false">_xlfn.CONCAT("\x", G2035, "\x", H2035, "=", F2035)</f>
        <v>\x2D\xD2=크</v>
      </c>
      <c r="M2035" s="8"/>
    </row>
    <row r="2036" customFormat="false" ht="12.8" hidden="false" customHeight="true" outlineLevel="0" collapsed="false">
      <c r="C2036" s="6" t="n">
        <f aca="false">MOD(ROW()-1, 208)</f>
        <v>163</v>
      </c>
      <c r="D2036" s="6" t="n">
        <f aca="false">INT((ROW()-1)/208)</f>
        <v>9</v>
      </c>
      <c r="F2036" s="6" t="str">
        <f aca="false">MID(VLOOKUP(D2036,$P$1:$Q$13,2,0), 1 + C2036,1)</f>
        <v>큭</v>
      </c>
      <c r="G2036" s="6" t="str">
        <f aca="false">DEC2HEX(D2036+36, 2)</f>
        <v>2D</v>
      </c>
      <c r="H2036" s="6" t="str">
        <f aca="false">DEC2HEX(C2036+48,2)</f>
        <v>D3</v>
      </c>
      <c r="I2036" s="6" t="str">
        <f aca="false">_xlfn.CONCAT("\x", G2036, "\x", H2036, "=", F2036)</f>
        <v>\x2D\xD3=큭</v>
      </c>
      <c r="M2036" s="8"/>
    </row>
    <row r="2037" customFormat="false" ht="12.8" hidden="false" customHeight="true" outlineLevel="0" collapsed="false">
      <c r="C2037" s="6" t="n">
        <f aca="false">MOD(ROW()-1, 208)</f>
        <v>164</v>
      </c>
      <c r="D2037" s="6" t="n">
        <f aca="false">INT((ROW()-1)/208)</f>
        <v>9</v>
      </c>
      <c r="F2037" s="6" t="str">
        <f aca="false">MID(VLOOKUP(D2037,$P$1:$Q$13,2,0), 1 + C2037,1)</f>
        <v>큰</v>
      </c>
      <c r="G2037" s="6" t="str">
        <f aca="false">DEC2HEX(D2037+36, 2)</f>
        <v>2D</v>
      </c>
      <c r="H2037" s="6" t="str">
        <f aca="false">DEC2HEX(C2037+48,2)</f>
        <v>D4</v>
      </c>
      <c r="I2037" s="6" t="str">
        <f aca="false">_xlfn.CONCAT("\x", G2037, "\x", H2037, "=", F2037)</f>
        <v>\x2D\xD4=큰</v>
      </c>
      <c r="M2037" s="8"/>
    </row>
    <row r="2038" customFormat="false" ht="12.8" hidden="false" customHeight="true" outlineLevel="0" collapsed="false">
      <c r="C2038" s="6" t="n">
        <f aca="false">MOD(ROW()-1, 208)</f>
        <v>165</v>
      </c>
      <c r="D2038" s="6" t="n">
        <f aca="false">INT((ROW()-1)/208)</f>
        <v>9</v>
      </c>
      <c r="F2038" s="6" t="str">
        <f aca="false">MID(VLOOKUP(D2038,$P$1:$Q$13,2,0), 1 + C2038,1)</f>
        <v>클</v>
      </c>
      <c r="G2038" s="6" t="str">
        <f aca="false">DEC2HEX(D2038+36, 2)</f>
        <v>2D</v>
      </c>
      <c r="H2038" s="6" t="str">
        <f aca="false">DEC2HEX(C2038+48,2)</f>
        <v>D5</v>
      </c>
      <c r="I2038" s="6" t="str">
        <f aca="false">_xlfn.CONCAT("\x", G2038, "\x", H2038, "=", F2038)</f>
        <v>\x2D\xD5=클</v>
      </c>
      <c r="M2038" s="8"/>
    </row>
    <row r="2039" customFormat="false" ht="12.8" hidden="false" customHeight="true" outlineLevel="0" collapsed="false">
      <c r="C2039" s="6" t="n">
        <f aca="false">MOD(ROW()-1, 208)</f>
        <v>166</v>
      </c>
      <c r="D2039" s="6" t="n">
        <f aca="false">INT((ROW()-1)/208)</f>
        <v>9</v>
      </c>
      <c r="F2039" s="6" t="str">
        <f aca="false">MID(VLOOKUP(D2039,$P$1:$Q$13,2,0), 1 + C2039,1)</f>
        <v>큼</v>
      </c>
      <c r="G2039" s="6" t="str">
        <f aca="false">DEC2HEX(D2039+36, 2)</f>
        <v>2D</v>
      </c>
      <c r="H2039" s="6" t="str">
        <f aca="false">DEC2HEX(C2039+48,2)</f>
        <v>D6</v>
      </c>
      <c r="I2039" s="6" t="str">
        <f aca="false">_xlfn.CONCAT("\x", G2039, "\x", H2039, "=", F2039)</f>
        <v>\x2D\xD6=큼</v>
      </c>
      <c r="M2039" s="8"/>
    </row>
    <row r="2040" customFormat="false" ht="12.8" hidden="false" customHeight="true" outlineLevel="0" collapsed="false">
      <c r="C2040" s="6" t="n">
        <f aca="false">MOD(ROW()-1, 208)</f>
        <v>167</v>
      </c>
      <c r="D2040" s="6" t="n">
        <f aca="false">INT((ROW()-1)/208)</f>
        <v>9</v>
      </c>
      <c r="F2040" s="6" t="str">
        <f aca="false">MID(VLOOKUP(D2040,$P$1:$Q$13,2,0), 1 + C2040,1)</f>
        <v>큽</v>
      </c>
      <c r="G2040" s="6" t="str">
        <f aca="false">DEC2HEX(D2040+36, 2)</f>
        <v>2D</v>
      </c>
      <c r="H2040" s="6" t="str">
        <f aca="false">DEC2HEX(C2040+48,2)</f>
        <v>D7</v>
      </c>
      <c r="I2040" s="6" t="str">
        <f aca="false">_xlfn.CONCAT("\x", G2040, "\x", H2040, "=", F2040)</f>
        <v>\x2D\xD7=큽</v>
      </c>
      <c r="M2040" s="8"/>
    </row>
    <row r="2041" customFormat="false" ht="12.8" hidden="false" customHeight="true" outlineLevel="0" collapsed="false">
      <c r="C2041" s="6" t="n">
        <f aca="false">MOD(ROW()-1, 208)</f>
        <v>168</v>
      </c>
      <c r="D2041" s="6" t="n">
        <f aca="false">INT((ROW()-1)/208)</f>
        <v>9</v>
      </c>
      <c r="F2041" s="6" t="str">
        <f aca="false">MID(VLOOKUP(D2041,$P$1:$Q$13,2,0), 1 + C2041,1)</f>
        <v>킁</v>
      </c>
      <c r="G2041" s="6" t="str">
        <f aca="false">DEC2HEX(D2041+36, 2)</f>
        <v>2D</v>
      </c>
      <c r="H2041" s="6" t="str">
        <f aca="false">DEC2HEX(C2041+48,2)</f>
        <v>D8</v>
      </c>
      <c r="I2041" s="6" t="str">
        <f aca="false">_xlfn.CONCAT("\x", G2041, "\x", H2041, "=", F2041)</f>
        <v>\x2D\xD8=킁</v>
      </c>
      <c r="M2041" s="8"/>
    </row>
    <row r="2042" customFormat="false" ht="12.8" hidden="false" customHeight="true" outlineLevel="0" collapsed="false">
      <c r="C2042" s="6" t="n">
        <f aca="false">MOD(ROW()-1, 208)</f>
        <v>169</v>
      </c>
      <c r="D2042" s="6" t="n">
        <f aca="false">INT((ROW()-1)/208)</f>
        <v>9</v>
      </c>
      <c r="F2042" s="6" t="str">
        <f aca="false">MID(VLOOKUP(D2042,$P$1:$Q$13,2,0), 1 + C2042,1)</f>
        <v>키</v>
      </c>
      <c r="G2042" s="6" t="str">
        <f aca="false">DEC2HEX(D2042+36, 2)</f>
        <v>2D</v>
      </c>
      <c r="H2042" s="6" t="str">
        <f aca="false">DEC2HEX(C2042+48,2)</f>
        <v>D9</v>
      </c>
      <c r="I2042" s="6" t="str">
        <f aca="false">_xlfn.CONCAT("\x", G2042, "\x", H2042, "=", F2042)</f>
        <v>\x2D\xD9=키</v>
      </c>
      <c r="M2042" s="8"/>
    </row>
    <row r="2043" customFormat="false" ht="12.8" hidden="false" customHeight="true" outlineLevel="0" collapsed="false">
      <c r="C2043" s="6" t="n">
        <f aca="false">MOD(ROW()-1, 208)</f>
        <v>170</v>
      </c>
      <c r="D2043" s="6" t="n">
        <f aca="false">INT((ROW()-1)/208)</f>
        <v>9</v>
      </c>
      <c r="F2043" s="6" t="str">
        <f aca="false">MID(VLOOKUP(D2043,$P$1:$Q$13,2,0), 1 + C2043,1)</f>
        <v>킥</v>
      </c>
      <c r="G2043" s="6" t="str">
        <f aca="false">DEC2HEX(D2043+36, 2)</f>
        <v>2D</v>
      </c>
      <c r="H2043" s="6" t="str">
        <f aca="false">DEC2HEX(C2043+48,2)</f>
        <v>DA</v>
      </c>
      <c r="I2043" s="6" t="str">
        <f aca="false">_xlfn.CONCAT("\x", G2043, "\x", H2043, "=", F2043)</f>
        <v>\x2D\xDA=킥</v>
      </c>
      <c r="M2043" s="8"/>
    </row>
    <row r="2044" customFormat="false" ht="12.8" hidden="false" customHeight="true" outlineLevel="0" collapsed="false">
      <c r="C2044" s="6" t="n">
        <f aca="false">MOD(ROW()-1, 208)</f>
        <v>171</v>
      </c>
      <c r="D2044" s="6" t="n">
        <f aca="false">INT((ROW()-1)/208)</f>
        <v>9</v>
      </c>
      <c r="F2044" s="6" t="str">
        <f aca="false">MID(VLOOKUP(D2044,$P$1:$Q$13,2,0), 1 + C2044,1)</f>
        <v>킨</v>
      </c>
      <c r="G2044" s="6" t="str">
        <f aca="false">DEC2HEX(D2044+36, 2)</f>
        <v>2D</v>
      </c>
      <c r="H2044" s="6" t="str">
        <f aca="false">DEC2HEX(C2044+48,2)</f>
        <v>DB</v>
      </c>
      <c r="I2044" s="6" t="str">
        <f aca="false">_xlfn.CONCAT("\x", G2044, "\x", H2044, "=", F2044)</f>
        <v>\x2D\xDB=킨</v>
      </c>
      <c r="M2044" s="8"/>
    </row>
    <row r="2045" customFormat="false" ht="12.8" hidden="false" customHeight="true" outlineLevel="0" collapsed="false">
      <c r="C2045" s="6" t="n">
        <f aca="false">MOD(ROW()-1, 208)</f>
        <v>172</v>
      </c>
      <c r="D2045" s="6" t="n">
        <f aca="false">INT((ROW()-1)/208)</f>
        <v>9</v>
      </c>
      <c r="F2045" s="6" t="str">
        <f aca="false">MID(VLOOKUP(D2045,$P$1:$Q$13,2,0), 1 + C2045,1)</f>
        <v>킬</v>
      </c>
      <c r="G2045" s="6" t="str">
        <f aca="false">DEC2HEX(D2045+36, 2)</f>
        <v>2D</v>
      </c>
      <c r="H2045" s="6" t="str">
        <f aca="false">DEC2HEX(C2045+48,2)</f>
        <v>DC</v>
      </c>
      <c r="I2045" s="6" t="str">
        <f aca="false">_xlfn.CONCAT("\x", G2045, "\x", H2045, "=", F2045)</f>
        <v>\x2D\xDC=킬</v>
      </c>
      <c r="M2045" s="8"/>
    </row>
    <row r="2046" customFormat="false" ht="12.8" hidden="false" customHeight="true" outlineLevel="0" collapsed="false">
      <c r="C2046" s="6" t="n">
        <f aca="false">MOD(ROW()-1, 208)</f>
        <v>173</v>
      </c>
      <c r="D2046" s="6" t="n">
        <f aca="false">INT((ROW()-1)/208)</f>
        <v>9</v>
      </c>
      <c r="F2046" s="6" t="str">
        <f aca="false">MID(VLOOKUP(D2046,$P$1:$Q$13,2,0), 1 + C2046,1)</f>
        <v>킴</v>
      </c>
      <c r="G2046" s="6" t="str">
        <f aca="false">DEC2HEX(D2046+36, 2)</f>
        <v>2D</v>
      </c>
      <c r="H2046" s="6" t="str">
        <f aca="false">DEC2HEX(C2046+48,2)</f>
        <v>DD</v>
      </c>
      <c r="I2046" s="6" t="str">
        <f aca="false">_xlfn.CONCAT("\x", G2046, "\x", H2046, "=", F2046)</f>
        <v>\x2D\xDD=킴</v>
      </c>
      <c r="M2046" s="8"/>
    </row>
    <row r="2047" customFormat="false" ht="12.8" hidden="false" customHeight="true" outlineLevel="0" collapsed="false">
      <c r="C2047" s="6" t="n">
        <f aca="false">MOD(ROW()-1, 208)</f>
        <v>174</v>
      </c>
      <c r="D2047" s="6" t="n">
        <f aca="false">INT((ROW()-1)/208)</f>
        <v>9</v>
      </c>
      <c r="F2047" s="6" t="str">
        <f aca="false">MID(VLOOKUP(D2047,$P$1:$Q$13,2,0), 1 + C2047,1)</f>
        <v>킵</v>
      </c>
      <c r="G2047" s="6" t="str">
        <f aca="false">DEC2HEX(D2047+36, 2)</f>
        <v>2D</v>
      </c>
      <c r="H2047" s="6" t="str">
        <f aca="false">DEC2HEX(C2047+48,2)</f>
        <v>DE</v>
      </c>
      <c r="I2047" s="6" t="str">
        <f aca="false">_xlfn.CONCAT("\x", G2047, "\x", H2047, "=", F2047)</f>
        <v>\x2D\xDE=킵</v>
      </c>
      <c r="M2047" s="8"/>
    </row>
    <row r="2048" customFormat="false" ht="12.8" hidden="false" customHeight="true" outlineLevel="0" collapsed="false">
      <c r="C2048" s="6" t="n">
        <f aca="false">MOD(ROW()-1, 208)</f>
        <v>175</v>
      </c>
      <c r="D2048" s="6" t="n">
        <f aca="false">INT((ROW()-1)/208)</f>
        <v>9</v>
      </c>
      <c r="F2048" s="6" t="str">
        <f aca="false">MID(VLOOKUP(D2048,$P$1:$Q$13,2,0), 1 + C2048,1)</f>
        <v>킷</v>
      </c>
      <c r="G2048" s="6" t="str">
        <f aca="false">DEC2HEX(D2048+36, 2)</f>
        <v>2D</v>
      </c>
      <c r="H2048" s="6" t="str">
        <f aca="false">DEC2HEX(C2048+48,2)</f>
        <v>DF</v>
      </c>
      <c r="I2048" s="6" t="str">
        <f aca="false">_xlfn.CONCAT("\x", G2048, "\x", H2048, "=", F2048)</f>
        <v>\x2D\xDF=킷</v>
      </c>
      <c r="M2048" s="8"/>
    </row>
    <row r="2049" customFormat="false" ht="12.8" hidden="false" customHeight="true" outlineLevel="0" collapsed="false">
      <c r="C2049" s="6" t="n">
        <f aca="false">MOD(ROW()-1, 208)</f>
        <v>176</v>
      </c>
      <c r="D2049" s="6" t="n">
        <f aca="false">INT((ROW()-1)/208)</f>
        <v>9</v>
      </c>
      <c r="F2049" s="6" t="str">
        <f aca="false">MID(VLOOKUP(D2049,$P$1:$Q$13,2,0), 1 + C2049,1)</f>
        <v>킹</v>
      </c>
      <c r="G2049" s="6" t="str">
        <f aca="false">DEC2HEX(D2049+36, 2)</f>
        <v>2D</v>
      </c>
      <c r="H2049" s="6" t="str">
        <f aca="false">DEC2HEX(C2049+48,2)</f>
        <v>E0</v>
      </c>
      <c r="I2049" s="6" t="str">
        <f aca="false">_xlfn.CONCAT("\x", G2049, "\x", H2049, "=", F2049)</f>
        <v>\x2D\xE0=킹</v>
      </c>
      <c r="M2049" s="8"/>
    </row>
    <row r="2050" customFormat="false" ht="12.8" hidden="false" customHeight="true" outlineLevel="0" collapsed="false">
      <c r="C2050" s="6" t="n">
        <f aca="false">MOD(ROW()-1, 208)</f>
        <v>177</v>
      </c>
      <c r="D2050" s="6" t="n">
        <f aca="false">INT((ROW()-1)/208)</f>
        <v>9</v>
      </c>
      <c r="F2050" s="6" t="str">
        <f aca="false">MID(VLOOKUP(D2050,$P$1:$Q$13,2,0), 1 + C2050,1)</f>
        <v>타</v>
      </c>
      <c r="G2050" s="6" t="str">
        <f aca="false">DEC2HEX(D2050+36, 2)</f>
        <v>2D</v>
      </c>
      <c r="H2050" s="6" t="str">
        <f aca="false">DEC2HEX(C2050+48,2)</f>
        <v>E1</v>
      </c>
      <c r="I2050" s="6" t="str">
        <f aca="false">_xlfn.CONCAT("\x", G2050, "\x", H2050, "=", F2050)</f>
        <v>\x2D\xE1=타</v>
      </c>
      <c r="M2050" s="8"/>
    </row>
    <row r="2051" customFormat="false" ht="12.8" hidden="false" customHeight="true" outlineLevel="0" collapsed="false">
      <c r="C2051" s="6" t="n">
        <f aca="false">MOD(ROW()-1, 208)</f>
        <v>178</v>
      </c>
      <c r="D2051" s="6" t="n">
        <f aca="false">INT((ROW()-1)/208)</f>
        <v>9</v>
      </c>
      <c r="F2051" s="6" t="str">
        <f aca="false">MID(VLOOKUP(D2051,$P$1:$Q$13,2,0), 1 + C2051,1)</f>
        <v>탁</v>
      </c>
      <c r="G2051" s="6" t="str">
        <f aca="false">DEC2HEX(D2051+36, 2)</f>
        <v>2D</v>
      </c>
      <c r="H2051" s="6" t="str">
        <f aca="false">DEC2HEX(C2051+48,2)</f>
        <v>E2</v>
      </c>
      <c r="I2051" s="6" t="str">
        <f aca="false">_xlfn.CONCAT("\x", G2051, "\x", H2051, "=", F2051)</f>
        <v>\x2D\xE2=탁</v>
      </c>
      <c r="M2051" s="8"/>
    </row>
    <row r="2052" customFormat="false" ht="12.8" hidden="false" customHeight="true" outlineLevel="0" collapsed="false">
      <c r="C2052" s="6" t="n">
        <f aca="false">MOD(ROW()-1, 208)</f>
        <v>179</v>
      </c>
      <c r="D2052" s="6" t="n">
        <f aca="false">INT((ROW()-1)/208)</f>
        <v>9</v>
      </c>
      <c r="F2052" s="6" t="str">
        <f aca="false">MID(VLOOKUP(D2052,$P$1:$Q$13,2,0), 1 + C2052,1)</f>
        <v>탄</v>
      </c>
      <c r="G2052" s="6" t="str">
        <f aca="false">DEC2HEX(D2052+36, 2)</f>
        <v>2D</v>
      </c>
      <c r="H2052" s="6" t="str">
        <f aca="false">DEC2HEX(C2052+48,2)</f>
        <v>E3</v>
      </c>
      <c r="I2052" s="6" t="str">
        <f aca="false">_xlfn.CONCAT("\x", G2052, "\x", H2052, "=", F2052)</f>
        <v>\x2D\xE3=탄</v>
      </c>
      <c r="M2052" s="8"/>
    </row>
    <row r="2053" customFormat="false" ht="12.8" hidden="false" customHeight="true" outlineLevel="0" collapsed="false">
      <c r="C2053" s="6" t="n">
        <f aca="false">MOD(ROW()-1, 208)</f>
        <v>180</v>
      </c>
      <c r="D2053" s="6" t="n">
        <f aca="false">INT((ROW()-1)/208)</f>
        <v>9</v>
      </c>
      <c r="F2053" s="6" t="str">
        <f aca="false">MID(VLOOKUP(D2053,$P$1:$Q$13,2,0), 1 + C2053,1)</f>
        <v>탈</v>
      </c>
      <c r="G2053" s="6" t="str">
        <f aca="false">DEC2HEX(D2053+36, 2)</f>
        <v>2D</v>
      </c>
      <c r="H2053" s="6" t="str">
        <f aca="false">DEC2HEX(C2053+48,2)</f>
        <v>E4</v>
      </c>
      <c r="I2053" s="6" t="str">
        <f aca="false">_xlfn.CONCAT("\x", G2053, "\x", H2053, "=", F2053)</f>
        <v>\x2D\xE4=탈</v>
      </c>
      <c r="M2053" s="8"/>
    </row>
    <row r="2054" customFormat="false" ht="12.8" hidden="false" customHeight="true" outlineLevel="0" collapsed="false">
      <c r="C2054" s="6" t="n">
        <f aca="false">MOD(ROW()-1, 208)</f>
        <v>181</v>
      </c>
      <c r="D2054" s="6" t="n">
        <f aca="false">INT((ROW()-1)/208)</f>
        <v>9</v>
      </c>
      <c r="F2054" s="6" t="str">
        <f aca="false">MID(VLOOKUP(D2054,$P$1:$Q$13,2,0), 1 + C2054,1)</f>
        <v>탉</v>
      </c>
      <c r="G2054" s="6" t="str">
        <f aca="false">DEC2HEX(D2054+36, 2)</f>
        <v>2D</v>
      </c>
      <c r="H2054" s="6" t="str">
        <f aca="false">DEC2HEX(C2054+48,2)</f>
        <v>E5</v>
      </c>
      <c r="I2054" s="6" t="str">
        <f aca="false">_xlfn.CONCAT("\x", G2054, "\x", H2054, "=", F2054)</f>
        <v>\x2D\xE5=탉</v>
      </c>
      <c r="M2054" s="8"/>
    </row>
    <row r="2055" customFormat="false" ht="12.8" hidden="false" customHeight="true" outlineLevel="0" collapsed="false">
      <c r="C2055" s="6" t="n">
        <f aca="false">MOD(ROW()-1, 208)</f>
        <v>182</v>
      </c>
      <c r="D2055" s="6" t="n">
        <f aca="false">INT((ROW()-1)/208)</f>
        <v>9</v>
      </c>
      <c r="F2055" s="6" t="str">
        <f aca="false">MID(VLOOKUP(D2055,$P$1:$Q$13,2,0), 1 + C2055,1)</f>
        <v>탐</v>
      </c>
      <c r="G2055" s="6" t="str">
        <f aca="false">DEC2HEX(D2055+36, 2)</f>
        <v>2D</v>
      </c>
      <c r="H2055" s="6" t="str">
        <f aca="false">DEC2HEX(C2055+48,2)</f>
        <v>E6</v>
      </c>
      <c r="I2055" s="6" t="str">
        <f aca="false">_xlfn.CONCAT("\x", G2055, "\x", H2055, "=", F2055)</f>
        <v>\x2D\xE6=탐</v>
      </c>
      <c r="M2055" s="8"/>
    </row>
    <row r="2056" customFormat="false" ht="12.8" hidden="false" customHeight="true" outlineLevel="0" collapsed="false">
      <c r="C2056" s="6" t="n">
        <f aca="false">MOD(ROW()-1, 208)</f>
        <v>183</v>
      </c>
      <c r="D2056" s="6" t="n">
        <f aca="false">INT((ROW()-1)/208)</f>
        <v>9</v>
      </c>
      <c r="F2056" s="6" t="str">
        <f aca="false">MID(VLOOKUP(D2056,$P$1:$Q$13,2,0), 1 + C2056,1)</f>
        <v>탑</v>
      </c>
      <c r="G2056" s="6" t="str">
        <f aca="false">DEC2HEX(D2056+36, 2)</f>
        <v>2D</v>
      </c>
      <c r="H2056" s="6" t="str">
        <f aca="false">DEC2HEX(C2056+48,2)</f>
        <v>E7</v>
      </c>
      <c r="I2056" s="6" t="str">
        <f aca="false">_xlfn.CONCAT("\x", G2056, "\x", H2056, "=", F2056)</f>
        <v>\x2D\xE7=탑</v>
      </c>
      <c r="M2056" s="8"/>
    </row>
    <row r="2057" customFormat="false" ht="12.8" hidden="false" customHeight="true" outlineLevel="0" collapsed="false">
      <c r="C2057" s="6" t="n">
        <f aca="false">MOD(ROW()-1, 208)</f>
        <v>184</v>
      </c>
      <c r="D2057" s="6" t="n">
        <f aca="false">INT((ROW()-1)/208)</f>
        <v>9</v>
      </c>
      <c r="F2057" s="6" t="str">
        <f aca="false">MID(VLOOKUP(D2057,$P$1:$Q$13,2,0), 1 + C2057,1)</f>
        <v>탓</v>
      </c>
      <c r="G2057" s="6" t="str">
        <f aca="false">DEC2HEX(D2057+36, 2)</f>
        <v>2D</v>
      </c>
      <c r="H2057" s="6" t="str">
        <f aca="false">DEC2HEX(C2057+48,2)</f>
        <v>E8</v>
      </c>
      <c r="I2057" s="6" t="str">
        <f aca="false">_xlfn.CONCAT("\x", G2057, "\x", H2057, "=", F2057)</f>
        <v>\x2D\xE8=탓</v>
      </c>
      <c r="M2057" s="8"/>
    </row>
    <row r="2058" customFormat="false" ht="12.8" hidden="false" customHeight="true" outlineLevel="0" collapsed="false">
      <c r="C2058" s="6" t="n">
        <f aca="false">MOD(ROW()-1, 208)</f>
        <v>185</v>
      </c>
      <c r="D2058" s="6" t="n">
        <f aca="false">INT((ROW()-1)/208)</f>
        <v>9</v>
      </c>
      <c r="F2058" s="6" t="str">
        <f aca="false">MID(VLOOKUP(D2058,$P$1:$Q$13,2,0), 1 + C2058,1)</f>
        <v>탔</v>
      </c>
      <c r="G2058" s="6" t="str">
        <f aca="false">DEC2HEX(D2058+36, 2)</f>
        <v>2D</v>
      </c>
      <c r="H2058" s="6" t="str">
        <f aca="false">DEC2HEX(C2058+48,2)</f>
        <v>E9</v>
      </c>
      <c r="I2058" s="6" t="str">
        <f aca="false">_xlfn.CONCAT("\x", G2058, "\x", H2058, "=", F2058)</f>
        <v>\x2D\xE9=탔</v>
      </c>
      <c r="M2058" s="8"/>
    </row>
    <row r="2059" customFormat="false" ht="12.8" hidden="false" customHeight="true" outlineLevel="0" collapsed="false">
      <c r="C2059" s="6" t="n">
        <f aca="false">MOD(ROW()-1, 208)</f>
        <v>186</v>
      </c>
      <c r="D2059" s="6" t="n">
        <f aca="false">INT((ROW()-1)/208)</f>
        <v>9</v>
      </c>
      <c r="F2059" s="6" t="str">
        <f aca="false">MID(VLOOKUP(D2059,$P$1:$Q$13,2,0), 1 + C2059,1)</f>
        <v>탕</v>
      </c>
      <c r="G2059" s="6" t="str">
        <f aca="false">DEC2HEX(D2059+36, 2)</f>
        <v>2D</v>
      </c>
      <c r="H2059" s="6" t="str">
        <f aca="false">DEC2HEX(C2059+48,2)</f>
        <v>EA</v>
      </c>
      <c r="I2059" s="6" t="str">
        <f aca="false">_xlfn.CONCAT("\x", G2059, "\x", H2059, "=", F2059)</f>
        <v>\x2D\xEA=탕</v>
      </c>
      <c r="M2059" s="8"/>
    </row>
    <row r="2060" customFormat="false" ht="12.8" hidden="false" customHeight="true" outlineLevel="0" collapsed="false">
      <c r="C2060" s="6" t="n">
        <f aca="false">MOD(ROW()-1, 208)</f>
        <v>187</v>
      </c>
      <c r="D2060" s="6" t="n">
        <f aca="false">INT((ROW()-1)/208)</f>
        <v>9</v>
      </c>
      <c r="F2060" s="6" t="str">
        <f aca="false">MID(VLOOKUP(D2060,$P$1:$Q$13,2,0), 1 + C2060,1)</f>
        <v>태</v>
      </c>
      <c r="G2060" s="6" t="str">
        <f aca="false">DEC2HEX(D2060+36, 2)</f>
        <v>2D</v>
      </c>
      <c r="H2060" s="6" t="str">
        <f aca="false">DEC2HEX(C2060+48,2)</f>
        <v>EB</v>
      </c>
      <c r="I2060" s="6" t="str">
        <f aca="false">_xlfn.CONCAT("\x", G2060, "\x", H2060, "=", F2060)</f>
        <v>\x2D\xEB=태</v>
      </c>
      <c r="M2060" s="8"/>
    </row>
    <row r="2061" customFormat="false" ht="12.8" hidden="false" customHeight="true" outlineLevel="0" collapsed="false">
      <c r="C2061" s="6" t="n">
        <f aca="false">MOD(ROW()-1, 208)</f>
        <v>188</v>
      </c>
      <c r="D2061" s="6" t="n">
        <f aca="false">INT((ROW()-1)/208)</f>
        <v>9</v>
      </c>
      <c r="F2061" s="6" t="str">
        <f aca="false">MID(VLOOKUP(D2061,$P$1:$Q$13,2,0), 1 + C2061,1)</f>
        <v>택</v>
      </c>
      <c r="G2061" s="6" t="str">
        <f aca="false">DEC2HEX(D2061+36, 2)</f>
        <v>2D</v>
      </c>
      <c r="H2061" s="6" t="str">
        <f aca="false">DEC2HEX(C2061+48,2)</f>
        <v>EC</v>
      </c>
      <c r="I2061" s="6" t="str">
        <f aca="false">_xlfn.CONCAT("\x", G2061, "\x", H2061, "=", F2061)</f>
        <v>\x2D\xEC=택</v>
      </c>
      <c r="M2061" s="8"/>
    </row>
    <row r="2062" customFormat="false" ht="12.8" hidden="false" customHeight="true" outlineLevel="0" collapsed="false">
      <c r="C2062" s="6" t="n">
        <f aca="false">MOD(ROW()-1, 208)</f>
        <v>189</v>
      </c>
      <c r="D2062" s="6" t="n">
        <f aca="false">INT((ROW()-1)/208)</f>
        <v>9</v>
      </c>
      <c r="F2062" s="6" t="str">
        <f aca="false">MID(VLOOKUP(D2062,$P$1:$Q$13,2,0), 1 + C2062,1)</f>
        <v>탠</v>
      </c>
      <c r="G2062" s="6" t="str">
        <f aca="false">DEC2HEX(D2062+36, 2)</f>
        <v>2D</v>
      </c>
      <c r="H2062" s="6" t="str">
        <f aca="false">DEC2HEX(C2062+48,2)</f>
        <v>ED</v>
      </c>
      <c r="I2062" s="6" t="str">
        <f aca="false">_xlfn.CONCAT("\x", G2062, "\x", H2062, "=", F2062)</f>
        <v>\x2D\xED=탠</v>
      </c>
      <c r="M2062" s="8"/>
    </row>
    <row r="2063" customFormat="false" ht="12.8" hidden="false" customHeight="true" outlineLevel="0" collapsed="false">
      <c r="C2063" s="6" t="n">
        <f aca="false">MOD(ROW()-1, 208)</f>
        <v>190</v>
      </c>
      <c r="D2063" s="6" t="n">
        <f aca="false">INT((ROW()-1)/208)</f>
        <v>9</v>
      </c>
      <c r="F2063" s="6" t="str">
        <f aca="false">MID(VLOOKUP(D2063,$P$1:$Q$13,2,0), 1 + C2063,1)</f>
        <v>탤</v>
      </c>
      <c r="G2063" s="6" t="str">
        <f aca="false">DEC2HEX(D2063+36, 2)</f>
        <v>2D</v>
      </c>
      <c r="H2063" s="6" t="str">
        <f aca="false">DEC2HEX(C2063+48,2)</f>
        <v>EE</v>
      </c>
      <c r="I2063" s="6" t="str">
        <f aca="false">_xlfn.CONCAT("\x", G2063, "\x", H2063, "=", F2063)</f>
        <v>\x2D\xEE=탤</v>
      </c>
      <c r="M2063" s="8"/>
    </row>
    <row r="2064" customFormat="false" ht="12.8" hidden="false" customHeight="true" outlineLevel="0" collapsed="false">
      <c r="C2064" s="6" t="n">
        <f aca="false">MOD(ROW()-1, 208)</f>
        <v>191</v>
      </c>
      <c r="D2064" s="6" t="n">
        <f aca="false">INT((ROW()-1)/208)</f>
        <v>9</v>
      </c>
      <c r="F2064" s="6" t="str">
        <f aca="false">MID(VLOOKUP(D2064,$P$1:$Q$13,2,0), 1 + C2064,1)</f>
        <v>탬</v>
      </c>
      <c r="G2064" s="6" t="str">
        <f aca="false">DEC2HEX(D2064+36, 2)</f>
        <v>2D</v>
      </c>
      <c r="H2064" s="6" t="str">
        <f aca="false">DEC2HEX(C2064+48,2)</f>
        <v>EF</v>
      </c>
      <c r="I2064" s="6" t="str">
        <f aca="false">_xlfn.CONCAT("\x", G2064, "\x", H2064, "=", F2064)</f>
        <v>\x2D\xEF=탬</v>
      </c>
      <c r="M2064" s="8"/>
    </row>
    <row r="2065" customFormat="false" ht="12.8" hidden="false" customHeight="true" outlineLevel="0" collapsed="false">
      <c r="C2065" s="6" t="n">
        <f aca="false">MOD(ROW()-1, 208)</f>
        <v>192</v>
      </c>
      <c r="D2065" s="6" t="n">
        <f aca="false">INT((ROW()-1)/208)</f>
        <v>9</v>
      </c>
      <c r="F2065" s="6" t="str">
        <f aca="false">MID(VLOOKUP(D2065,$P$1:$Q$13,2,0), 1 + C2065,1)</f>
        <v>탭</v>
      </c>
      <c r="G2065" s="6" t="str">
        <f aca="false">DEC2HEX(D2065+36, 2)</f>
        <v>2D</v>
      </c>
      <c r="H2065" s="6" t="str">
        <f aca="false">DEC2HEX(C2065+48,2)</f>
        <v>F0</v>
      </c>
      <c r="I2065" s="6" t="str">
        <f aca="false">_xlfn.CONCAT("\x", G2065, "\x", H2065, "=", F2065)</f>
        <v>\x2D\xF0=탭</v>
      </c>
      <c r="M2065" s="8"/>
    </row>
    <row r="2066" customFormat="false" ht="12.8" hidden="false" customHeight="true" outlineLevel="0" collapsed="false">
      <c r="C2066" s="6" t="n">
        <f aca="false">MOD(ROW()-1, 208)</f>
        <v>193</v>
      </c>
      <c r="D2066" s="6" t="n">
        <f aca="false">INT((ROW()-1)/208)</f>
        <v>9</v>
      </c>
      <c r="F2066" s="6" t="str">
        <f aca="false">MID(VLOOKUP(D2066,$P$1:$Q$13,2,0), 1 + C2066,1)</f>
        <v>탯</v>
      </c>
      <c r="G2066" s="6" t="str">
        <f aca="false">DEC2HEX(D2066+36, 2)</f>
        <v>2D</v>
      </c>
      <c r="H2066" s="6" t="str">
        <f aca="false">DEC2HEX(C2066+48,2)</f>
        <v>F1</v>
      </c>
      <c r="I2066" s="6" t="str">
        <f aca="false">_xlfn.CONCAT("\x", G2066, "\x", H2066, "=", F2066)</f>
        <v>\x2D\xF1=탯</v>
      </c>
      <c r="M2066" s="8"/>
    </row>
    <row r="2067" customFormat="false" ht="12.8" hidden="false" customHeight="true" outlineLevel="0" collapsed="false">
      <c r="C2067" s="6" t="n">
        <f aca="false">MOD(ROW()-1, 208)</f>
        <v>194</v>
      </c>
      <c r="D2067" s="6" t="n">
        <f aca="false">INT((ROW()-1)/208)</f>
        <v>9</v>
      </c>
      <c r="F2067" s="6" t="str">
        <f aca="false">MID(VLOOKUP(D2067,$P$1:$Q$13,2,0), 1 + C2067,1)</f>
        <v>탰</v>
      </c>
      <c r="G2067" s="6" t="str">
        <f aca="false">DEC2HEX(D2067+36, 2)</f>
        <v>2D</v>
      </c>
      <c r="H2067" s="6" t="str">
        <f aca="false">DEC2HEX(C2067+48,2)</f>
        <v>F2</v>
      </c>
      <c r="I2067" s="6" t="str">
        <f aca="false">_xlfn.CONCAT("\x", G2067, "\x", H2067, "=", F2067)</f>
        <v>\x2D\xF2=탰</v>
      </c>
      <c r="M2067" s="8"/>
    </row>
    <row r="2068" customFormat="false" ht="12.8" hidden="false" customHeight="true" outlineLevel="0" collapsed="false">
      <c r="C2068" s="6" t="n">
        <f aca="false">MOD(ROW()-1, 208)</f>
        <v>195</v>
      </c>
      <c r="D2068" s="6" t="n">
        <f aca="false">INT((ROW()-1)/208)</f>
        <v>9</v>
      </c>
      <c r="F2068" s="6" t="str">
        <f aca="false">MID(VLOOKUP(D2068,$P$1:$Q$13,2,0), 1 + C2068,1)</f>
        <v>탱</v>
      </c>
      <c r="G2068" s="6" t="str">
        <f aca="false">DEC2HEX(D2068+36, 2)</f>
        <v>2D</v>
      </c>
      <c r="H2068" s="6" t="str">
        <f aca="false">DEC2HEX(C2068+48,2)</f>
        <v>F3</v>
      </c>
      <c r="I2068" s="6" t="str">
        <f aca="false">_xlfn.CONCAT("\x", G2068, "\x", H2068, "=", F2068)</f>
        <v>\x2D\xF3=탱</v>
      </c>
      <c r="M2068" s="8"/>
    </row>
    <row r="2069" customFormat="false" ht="12.8" hidden="false" customHeight="true" outlineLevel="0" collapsed="false">
      <c r="C2069" s="6" t="n">
        <f aca="false">MOD(ROW()-1, 208)</f>
        <v>196</v>
      </c>
      <c r="D2069" s="6" t="n">
        <f aca="false">INT((ROW()-1)/208)</f>
        <v>9</v>
      </c>
      <c r="F2069" s="6" t="str">
        <f aca="false">MID(VLOOKUP(D2069,$P$1:$Q$13,2,0), 1 + C2069,1)</f>
        <v>탸</v>
      </c>
      <c r="G2069" s="6" t="str">
        <f aca="false">DEC2HEX(D2069+36, 2)</f>
        <v>2D</v>
      </c>
      <c r="H2069" s="6" t="str">
        <f aca="false">DEC2HEX(C2069+48,2)</f>
        <v>F4</v>
      </c>
      <c r="I2069" s="6" t="str">
        <f aca="false">_xlfn.CONCAT("\x", G2069, "\x", H2069, "=", F2069)</f>
        <v>\x2D\xF4=탸</v>
      </c>
      <c r="M2069" s="8"/>
    </row>
    <row r="2070" customFormat="false" ht="12.8" hidden="false" customHeight="true" outlineLevel="0" collapsed="false">
      <c r="C2070" s="6" t="n">
        <f aca="false">MOD(ROW()-1, 208)</f>
        <v>197</v>
      </c>
      <c r="D2070" s="6" t="n">
        <f aca="false">INT((ROW()-1)/208)</f>
        <v>9</v>
      </c>
      <c r="F2070" s="6" t="str">
        <f aca="false">MID(VLOOKUP(D2070,$P$1:$Q$13,2,0), 1 + C2070,1)</f>
        <v>턍</v>
      </c>
      <c r="G2070" s="6" t="str">
        <f aca="false">DEC2HEX(D2070+36, 2)</f>
        <v>2D</v>
      </c>
      <c r="H2070" s="6" t="str">
        <f aca="false">DEC2HEX(C2070+48,2)</f>
        <v>F5</v>
      </c>
      <c r="I2070" s="6" t="str">
        <f aca="false">_xlfn.CONCAT("\x", G2070, "\x", H2070, "=", F2070)</f>
        <v>\x2D\xF5=턍</v>
      </c>
      <c r="M2070" s="8"/>
    </row>
    <row r="2071" customFormat="false" ht="12.8" hidden="false" customHeight="true" outlineLevel="0" collapsed="false">
      <c r="C2071" s="6" t="n">
        <f aca="false">MOD(ROW()-1, 208)</f>
        <v>198</v>
      </c>
      <c r="D2071" s="6" t="n">
        <f aca="false">INT((ROW()-1)/208)</f>
        <v>9</v>
      </c>
      <c r="F2071" s="6" t="str">
        <f aca="false">MID(VLOOKUP(D2071,$P$1:$Q$13,2,0), 1 + C2071,1)</f>
        <v>터</v>
      </c>
      <c r="G2071" s="6" t="str">
        <f aca="false">DEC2HEX(D2071+36, 2)</f>
        <v>2D</v>
      </c>
      <c r="H2071" s="6" t="str">
        <f aca="false">DEC2HEX(C2071+48,2)</f>
        <v>F6</v>
      </c>
      <c r="I2071" s="6" t="str">
        <f aca="false">_xlfn.CONCAT("\x", G2071, "\x", H2071, "=", F2071)</f>
        <v>\x2D\xF6=터</v>
      </c>
      <c r="M2071" s="8"/>
    </row>
    <row r="2072" customFormat="false" ht="12.8" hidden="false" customHeight="true" outlineLevel="0" collapsed="false">
      <c r="C2072" s="6" t="n">
        <f aca="false">MOD(ROW()-1, 208)</f>
        <v>199</v>
      </c>
      <c r="D2072" s="6" t="n">
        <f aca="false">INT((ROW()-1)/208)</f>
        <v>9</v>
      </c>
      <c r="F2072" s="6" t="str">
        <f aca="false">MID(VLOOKUP(D2072,$P$1:$Q$13,2,0), 1 + C2072,1)</f>
        <v>턱</v>
      </c>
      <c r="G2072" s="6" t="str">
        <f aca="false">DEC2HEX(D2072+36, 2)</f>
        <v>2D</v>
      </c>
      <c r="H2072" s="6" t="str">
        <f aca="false">DEC2HEX(C2072+48,2)</f>
        <v>F7</v>
      </c>
      <c r="I2072" s="6" t="str">
        <f aca="false">_xlfn.CONCAT("\x", G2072, "\x", H2072, "=", F2072)</f>
        <v>\x2D\xF7=턱</v>
      </c>
      <c r="M2072" s="8"/>
    </row>
    <row r="2073" customFormat="false" ht="12.8" hidden="false" customHeight="true" outlineLevel="0" collapsed="false">
      <c r="C2073" s="6" t="n">
        <f aca="false">MOD(ROW()-1, 208)</f>
        <v>200</v>
      </c>
      <c r="D2073" s="6" t="n">
        <f aca="false">INT((ROW()-1)/208)</f>
        <v>9</v>
      </c>
      <c r="F2073" s="6" t="str">
        <f aca="false">MID(VLOOKUP(D2073,$P$1:$Q$13,2,0), 1 + C2073,1)</f>
        <v>턴</v>
      </c>
      <c r="G2073" s="6" t="str">
        <f aca="false">DEC2HEX(D2073+36, 2)</f>
        <v>2D</v>
      </c>
      <c r="H2073" s="6" t="str">
        <f aca="false">DEC2HEX(C2073+48,2)</f>
        <v>F8</v>
      </c>
      <c r="I2073" s="6" t="str">
        <f aca="false">_xlfn.CONCAT("\x", G2073, "\x", H2073, "=", F2073)</f>
        <v>\x2D\xF8=턴</v>
      </c>
      <c r="M2073" s="8"/>
    </row>
    <row r="2074" customFormat="false" ht="12.8" hidden="false" customHeight="true" outlineLevel="0" collapsed="false">
      <c r="C2074" s="6" t="n">
        <f aca="false">MOD(ROW()-1, 208)</f>
        <v>201</v>
      </c>
      <c r="D2074" s="6" t="n">
        <f aca="false">INT((ROW()-1)/208)</f>
        <v>9</v>
      </c>
      <c r="F2074" s="6" t="str">
        <f aca="false">MID(VLOOKUP(D2074,$P$1:$Q$13,2,0), 1 + C2074,1)</f>
        <v>털</v>
      </c>
      <c r="G2074" s="6" t="str">
        <f aca="false">DEC2HEX(D2074+36, 2)</f>
        <v>2D</v>
      </c>
      <c r="H2074" s="6" t="str">
        <f aca="false">DEC2HEX(C2074+48,2)</f>
        <v>F9</v>
      </c>
      <c r="I2074" s="6" t="str">
        <f aca="false">_xlfn.CONCAT("\x", G2074, "\x", H2074, "=", F2074)</f>
        <v>\x2D\xF9=털</v>
      </c>
      <c r="M2074" s="8"/>
    </row>
    <row r="2075" customFormat="false" ht="12.8" hidden="false" customHeight="true" outlineLevel="0" collapsed="false">
      <c r="C2075" s="6" t="n">
        <f aca="false">MOD(ROW()-1, 208)</f>
        <v>202</v>
      </c>
      <c r="D2075" s="6" t="n">
        <f aca="false">INT((ROW()-1)/208)</f>
        <v>9</v>
      </c>
      <c r="F2075" s="6" t="str">
        <f aca="false">MID(VLOOKUP(D2075,$P$1:$Q$13,2,0), 1 + C2075,1)</f>
        <v>턺</v>
      </c>
      <c r="G2075" s="6" t="str">
        <f aca="false">DEC2HEX(D2075+36, 2)</f>
        <v>2D</v>
      </c>
      <c r="H2075" s="6" t="str">
        <f aca="false">DEC2HEX(C2075+48,2)</f>
        <v>FA</v>
      </c>
      <c r="I2075" s="6" t="str">
        <f aca="false">_xlfn.CONCAT("\x", G2075, "\x", H2075, "=", F2075)</f>
        <v>\x2D\xFA=턺</v>
      </c>
      <c r="M2075" s="8"/>
    </row>
    <row r="2076" customFormat="false" ht="12.8" hidden="false" customHeight="true" outlineLevel="0" collapsed="false">
      <c r="C2076" s="6" t="n">
        <f aca="false">MOD(ROW()-1, 208)</f>
        <v>203</v>
      </c>
      <c r="D2076" s="6" t="n">
        <f aca="false">INT((ROW()-1)/208)</f>
        <v>9</v>
      </c>
      <c r="F2076" s="6" t="str">
        <f aca="false">MID(VLOOKUP(D2076,$P$1:$Q$13,2,0), 1 + C2076,1)</f>
        <v>텀</v>
      </c>
      <c r="G2076" s="6" t="str">
        <f aca="false">DEC2HEX(D2076+36, 2)</f>
        <v>2D</v>
      </c>
      <c r="H2076" s="6" t="str">
        <f aca="false">DEC2HEX(C2076+48,2)</f>
        <v>FB</v>
      </c>
      <c r="I2076" s="6" t="str">
        <f aca="false">_xlfn.CONCAT("\x", G2076, "\x", H2076, "=", F2076)</f>
        <v>\x2D\xFB=텀</v>
      </c>
      <c r="M2076" s="8"/>
    </row>
    <row r="2077" customFormat="false" ht="12.8" hidden="false" customHeight="true" outlineLevel="0" collapsed="false">
      <c r="C2077" s="6" t="n">
        <f aca="false">MOD(ROW()-1, 208)</f>
        <v>204</v>
      </c>
      <c r="D2077" s="6" t="n">
        <f aca="false">INT((ROW()-1)/208)</f>
        <v>9</v>
      </c>
      <c r="F2077" s="6" t="str">
        <f aca="false">MID(VLOOKUP(D2077,$P$1:$Q$13,2,0), 1 + C2077,1)</f>
        <v>텁</v>
      </c>
      <c r="G2077" s="6" t="str">
        <f aca="false">DEC2HEX(D2077+36, 2)</f>
        <v>2D</v>
      </c>
      <c r="H2077" s="6" t="str">
        <f aca="false">DEC2HEX(C2077+48,2)</f>
        <v>FC</v>
      </c>
      <c r="I2077" s="6" t="str">
        <f aca="false">_xlfn.CONCAT("\x", G2077, "\x", H2077, "=", F2077)</f>
        <v>\x2D\xFC=텁</v>
      </c>
      <c r="M2077" s="8"/>
    </row>
    <row r="2078" customFormat="false" ht="12.8" hidden="false" customHeight="true" outlineLevel="0" collapsed="false">
      <c r="C2078" s="6" t="n">
        <f aca="false">MOD(ROW()-1, 208)</f>
        <v>205</v>
      </c>
      <c r="D2078" s="6" t="n">
        <f aca="false">INT((ROW()-1)/208)</f>
        <v>9</v>
      </c>
      <c r="F2078" s="6" t="str">
        <f aca="false">MID(VLOOKUP(D2078,$P$1:$Q$13,2,0), 1 + C2078,1)</f>
        <v>텃</v>
      </c>
      <c r="G2078" s="6" t="str">
        <f aca="false">DEC2HEX(D2078+36, 2)</f>
        <v>2D</v>
      </c>
      <c r="H2078" s="6" t="str">
        <f aca="false">DEC2HEX(C2078+48,2)</f>
        <v>FD</v>
      </c>
      <c r="I2078" s="6" t="str">
        <f aca="false">_xlfn.CONCAT("\x", G2078, "\x", H2078, "=", F2078)</f>
        <v>\x2D\xFD=텃</v>
      </c>
      <c r="M2078" s="8"/>
    </row>
    <row r="2079" customFormat="false" ht="12.8" hidden="false" customHeight="true" outlineLevel="0" collapsed="false">
      <c r="C2079" s="6" t="n">
        <f aca="false">MOD(ROW()-1, 208)</f>
        <v>206</v>
      </c>
      <c r="D2079" s="6" t="n">
        <f aca="false">INT((ROW()-1)/208)</f>
        <v>9</v>
      </c>
      <c r="F2079" s="6" t="str">
        <f aca="false">MID(VLOOKUP(D2079,$P$1:$Q$13,2,0), 1 + C2079,1)</f>
        <v>텄</v>
      </c>
      <c r="G2079" s="6" t="str">
        <f aca="false">DEC2HEX(D2079+36, 2)</f>
        <v>2D</v>
      </c>
      <c r="H2079" s="6" t="str">
        <f aca="false">DEC2HEX(C2079+48,2)</f>
        <v>FE</v>
      </c>
      <c r="I2079" s="6" t="str">
        <f aca="false">_xlfn.CONCAT("\x", G2079, "\x", H2079, "=", F2079)</f>
        <v>\x2D\xFE=텄</v>
      </c>
      <c r="M2079" s="8"/>
    </row>
    <row r="2080" customFormat="false" ht="12.8" hidden="false" customHeight="true" outlineLevel="0" collapsed="false">
      <c r="C2080" s="6" t="n">
        <f aca="false">MOD(ROW()-1, 208)</f>
        <v>207</v>
      </c>
      <c r="D2080" s="6" t="n">
        <f aca="false">INT((ROW()-1)/208)</f>
        <v>9</v>
      </c>
      <c r="F2080" s="6" t="str">
        <f aca="false">MID(VLOOKUP(D2080,$P$1:$Q$13,2,0), 1 + C2080,1)</f>
        <v>텅</v>
      </c>
      <c r="G2080" s="6" t="str">
        <f aca="false">DEC2HEX(D2080+36, 2)</f>
        <v>2D</v>
      </c>
      <c r="H2080" s="6" t="str">
        <f aca="false">DEC2HEX(C2080+48,2)</f>
        <v>FF</v>
      </c>
      <c r="I2080" s="6" t="str">
        <f aca="false">_xlfn.CONCAT("\x", G2080, "\x", H2080, "=", F2080)</f>
        <v>\x2D\xFF=텅</v>
      </c>
      <c r="M2080" s="8"/>
    </row>
    <row r="2081" customFormat="false" ht="12.8" hidden="false" customHeight="true" outlineLevel="0" collapsed="false">
      <c r="C2081" s="6" t="n">
        <f aca="false">MOD(ROW()-1, 208)</f>
        <v>0</v>
      </c>
      <c r="D2081" s="6" t="n">
        <f aca="false">INT((ROW()-1)/208)</f>
        <v>10</v>
      </c>
      <c r="F2081" s="6" t="str">
        <f aca="false">MID(VLOOKUP(D2081,$P$1:$Q$13,2,0), 1 + C2081,1)</f>
        <v>테</v>
      </c>
      <c r="G2081" s="6" t="str">
        <f aca="false">DEC2HEX(D2081+36, 2)</f>
        <v>2E</v>
      </c>
      <c r="H2081" s="6" t="str">
        <f aca="false">DEC2HEX(C2081+48,2)</f>
        <v>30</v>
      </c>
      <c r="I2081" s="6" t="str">
        <f aca="false">_xlfn.CONCAT("\x", G2081, "\x", H2081, "=", F2081)</f>
        <v>\x2E\x30=테</v>
      </c>
      <c r="M2081" s="8"/>
    </row>
    <row r="2082" customFormat="false" ht="12.8" hidden="false" customHeight="true" outlineLevel="0" collapsed="false">
      <c r="C2082" s="6" t="n">
        <f aca="false">MOD(ROW()-1, 208)</f>
        <v>1</v>
      </c>
      <c r="D2082" s="6" t="n">
        <f aca="false">INT((ROW()-1)/208)</f>
        <v>10</v>
      </c>
      <c r="F2082" s="6" t="str">
        <f aca="false">MID(VLOOKUP(D2082,$P$1:$Q$13,2,0), 1 + C2082,1)</f>
        <v>텍</v>
      </c>
      <c r="G2082" s="6" t="str">
        <f aca="false">DEC2HEX(D2082+36, 2)</f>
        <v>2E</v>
      </c>
      <c r="H2082" s="6" t="str">
        <f aca="false">DEC2HEX(C2082+48,2)</f>
        <v>31</v>
      </c>
      <c r="I2082" s="6" t="str">
        <f aca="false">_xlfn.CONCAT("\x", G2082, "\x", H2082, "=", F2082)</f>
        <v>\x2E\x31=텍</v>
      </c>
      <c r="M2082" s="8"/>
    </row>
    <row r="2083" customFormat="false" ht="12.8" hidden="false" customHeight="true" outlineLevel="0" collapsed="false">
      <c r="C2083" s="6" t="n">
        <f aca="false">MOD(ROW()-1, 208)</f>
        <v>2</v>
      </c>
      <c r="D2083" s="6" t="n">
        <f aca="false">INT((ROW()-1)/208)</f>
        <v>10</v>
      </c>
      <c r="F2083" s="6" t="str">
        <f aca="false">MID(VLOOKUP(D2083,$P$1:$Q$13,2,0), 1 + C2083,1)</f>
        <v>텐</v>
      </c>
      <c r="G2083" s="6" t="str">
        <f aca="false">DEC2HEX(D2083+36, 2)</f>
        <v>2E</v>
      </c>
      <c r="H2083" s="6" t="str">
        <f aca="false">DEC2HEX(C2083+48,2)</f>
        <v>32</v>
      </c>
      <c r="I2083" s="6" t="str">
        <f aca="false">_xlfn.CONCAT("\x", G2083, "\x", H2083, "=", F2083)</f>
        <v>\x2E\x32=텐</v>
      </c>
      <c r="M2083" s="8"/>
    </row>
    <row r="2084" customFormat="false" ht="12.8" hidden="false" customHeight="true" outlineLevel="0" collapsed="false">
      <c r="C2084" s="6" t="n">
        <f aca="false">MOD(ROW()-1, 208)</f>
        <v>3</v>
      </c>
      <c r="D2084" s="6" t="n">
        <f aca="false">INT((ROW()-1)/208)</f>
        <v>10</v>
      </c>
      <c r="F2084" s="6" t="str">
        <f aca="false">MID(VLOOKUP(D2084,$P$1:$Q$13,2,0), 1 + C2084,1)</f>
        <v>텔</v>
      </c>
      <c r="G2084" s="6" t="str">
        <f aca="false">DEC2HEX(D2084+36, 2)</f>
        <v>2E</v>
      </c>
      <c r="H2084" s="6" t="str">
        <f aca="false">DEC2HEX(C2084+48,2)</f>
        <v>33</v>
      </c>
      <c r="I2084" s="6" t="str">
        <f aca="false">_xlfn.CONCAT("\x", G2084, "\x", H2084, "=", F2084)</f>
        <v>\x2E\x33=텔</v>
      </c>
      <c r="M2084" s="8"/>
    </row>
    <row r="2085" customFormat="false" ht="12.8" hidden="false" customHeight="true" outlineLevel="0" collapsed="false">
      <c r="C2085" s="6" t="n">
        <f aca="false">MOD(ROW()-1, 208)</f>
        <v>4</v>
      </c>
      <c r="D2085" s="6" t="n">
        <f aca="false">INT((ROW()-1)/208)</f>
        <v>10</v>
      </c>
      <c r="F2085" s="6" t="str">
        <f aca="false">MID(VLOOKUP(D2085,$P$1:$Q$13,2,0), 1 + C2085,1)</f>
        <v>템</v>
      </c>
      <c r="G2085" s="6" t="str">
        <f aca="false">DEC2HEX(D2085+36, 2)</f>
        <v>2E</v>
      </c>
      <c r="H2085" s="6" t="str">
        <f aca="false">DEC2HEX(C2085+48,2)</f>
        <v>34</v>
      </c>
      <c r="I2085" s="6" t="str">
        <f aca="false">_xlfn.CONCAT("\x", G2085, "\x", H2085, "=", F2085)</f>
        <v>\x2E\x34=템</v>
      </c>
      <c r="M2085" s="8"/>
    </row>
    <row r="2086" customFormat="false" ht="12.8" hidden="false" customHeight="true" outlineLevel="0" collapsed="false">
      <c r="C2086" s="6" t="n">
        <f aca="false">MOD(ROW()-1, 208)</f>
        <v>5</v>
      </c>
      <c r="D2086" s="6" t="n">
        <f aca="false">INT((ROW()-1)/208)</f>
        <v>10</v>
      </c>
      <c r="F2086" s="6" t="str">
        <f aca="false">MID(VLOOKUP(D2086,$P$1:$Q$13,2,0), 1 + C2086,1)</f>
        <v>텝</v>
      </c>
      <c r="G2086" s="6" t="str">
        <f aca="false">DEC2HEX(D2086+36, 2)</f>
        <v>2E</v>
      </c>
      <c r="H2086" s="6" t="str">
        <f aca="false">DEC2HEX(C2086+48,2)</f>
        <v>35</v>
      </c>
      <c r="I2086" s="6" t="str">
        <f aca="false">_xlfn.CONCAT("\x", G2086, "\x", H2086, "=", F2086)</f>
        <v>\x2E\x35=텝</v>
      </c>
      <c r="M2086" s="8"/>
    </row>
    <row r="2087" customFormat="false" ht="12.8" hidden="false" customHeight="true" outlineLevel="0" collapsed="false">
      <c r="C2087" s="6" t="n">
        <f aca="false">MOD(ROW()-1, 208)</f>
        <v>6</v>
      </c>
      <c r="D2087" s="6" t="n">
        <f aca="false">INT((ROW()-1)/208)</f>
        <v>10</v>
      </c>
      <c r="F2087" s="6" t="str">
        <f aca="false">MID(VLOOKUP(D2087,$P$1:$Q$13,2,0), 1 + C2087,1)</f>
        <v>텟</v>
      </c>
      <c r="G2087" s="6" t="str">
        <f aca="false">DEC2HEX(D2087+36, 2)</f>
        <v>2E</v>
      </c>
      <c r="H2087" s="6" t="str">
        <f aca="false">DEC2HEX(C2087+48,2)</f>
        <v>36</v>
      </c>
      <c r="I2087" s="6" t="str">
        <f aca="false">_xlfn.CONCAT("\x", G2087, "\x", H2087, "=", F2087)</f>
        <v>\x2E\x36=텟</v>
      </c>
      <c r="M2087" s="8"/>
    </row>
    <row r="2088" customFormat="false" ht="12.8" hidden="false" customHeight="true" outlineLevel="0" collapsed="false">
      <c r="C2088" s="6" t="n">
        <f aca="false">MOD(ROW()-1, 208)</f>
        <v>7</v>
      </c>
      <c r="D2088" s="6" t="n">
        <f aca="false">INT((ROW()-1)/208)</f>
        <v>10</v>
      </c>
      <c r="F2088" s="6" t="str">
        <f aca="false">MID(VLOOKUP(D2088,$P$1:$Q$13,2,0), 1 + C2088,1)</f>
        <v>텡</v>
      </c>
      <c r="G2088" s="6" t="str">
        <f aca="false">DEC2HEX(D2088+36, 2)</f>
        <v>2E</v>
      </c>
      <c r="H2088" s="6" t="str">
        <f aca="false">DEC2HEX(C2088+48,2)</f>
        <v>37</v>
      </c>
      <c r="I2088" s="6" t="str">
        <f aca="false">_xlfn.CONCAT("\x", G2088, "\x", H2088, "=", F2088)</f>
        <v>\x2E\x37=텡</v>
      </c>
      <c r="M2088" s="8"/>
    </row>
    <row r="2089" customFormat="false" ht="12.8" hidden="false" customHeight="true" outlineLevel="0" collapsed="false">
      <c r="C2089" s="6" t="n">
        <f aca="false">MOD(ROW()-1, 208)</f>
        <v>8</v>
      </c>
      <c r="D2089" s="6" t="n">
        <f aca="false">INT((ROW()-1)/208)</f>
        <v>10</v>
      </c>
      <c r="F2089" s="6" t="str">
        <f aca="false">MID(VLOOKUP(D2089,$P$1:$Q$13,2,0), 1 + C2089,1)</f>
        <v>텨</v>
      </c>
      <c r="G2089" s="6" t="str">
        <f aca="false">DEC2HEX(D2089+36, 2)</f>
        <v>2E</v>
      </c>
      <c r="H2089" s="6" t="str">
        <f aca="false">DEC2HEX(C2089+48,2)</f>
        <v>38</v>
      </c>
      <c r="I2089" s="6" t="str">
        <f aca="false">_xlfn.CONCAT("\x", G2089, "\x", H2089, "=", F2089)</f>
        <v>\x2E\x38=텨</v>
      </c>
      <c r="M2089" s="8"/>
    </row>
    <row r="2090" customFormat="false" ht="12.8" hidden="false" customHeight="true" outlineLevel="0" collapsed="false">
      <c r="C2090" s="6" t="n">
        <f aca="false">MOD(ROW()-1, 208)</f>
        <v>9</v>
      </c>
      <c r="D2090" s="6" t="n">
        <f aca="false">INT((ROW()-1)/208)</f>
        <v>10</v>
      </c>
      <c r="F2090" s="6" t="str">
        <f aca="false">MID(VLOOKUP(D2090,$P$1:$Q$13,2,0), 1 + C2090,1)</f>
        <v>텬</v>
      </c>
      <c r="G2090" s="6" t="str">
        <f aca="false">DEC2HEX(D2090+36, 2)</f>
        <v>2E</v>
      </c>
      <c r="H2090" s="6" t="str">
        <f aca="false">DEC2HEX(C2090+48,2)</f>
        <v>39</v>
      </c>
      <c r="I2090" s="6" t="str">
        <f aca="false">_xlfn.CONCAT("\x", G2090, "\x", H2090, "=", F2090)</f>
        <v>\x2E\x39=텬</v>
      </c>
      <c r="M2090" s="8"/>
    </row>
    <row r="2091" customFormat="false" ht="12.8" hidden="false" customHeight="true" outlineLevel="0" collapsed="false">
      <c r="C2091" s="6" t="n">
        <f aca="false">MOD(ROW()-1, 208)</f>
        <v>10</v>
      </c>
      <c r="D2091" s="6" t="n">
        <f aca="false">INT((ROW()-1)/208)</f>
        <v>10</v>
      </c>
      <c r="F2091" s="6" t="str">
        <f aca="false">MID(VLOOKUP(D2091,$P$1:$Q$13,2,0), 1 + C2091,1)</f>
        <v>텼</v>
      </c>
      <c r="G2091" s="6" t="str">
        <f aca="false">DEC2HEX(D2091+36, 2)</f>
        <v>2E</v>
      </c>
      <c r="H2091" s="6" t="str">
        <f aca="false">DEC2HEX(C2091+48,2)</f>
        <v>3A</v>
      </c>
      <c r="I2091" s="6" t="str">
        <f aca="false">_xlfn.CONCAT("\x", G2091, "\x", H2091, "=", F2091)</f>
        <v>\x2E\x3A=텼</v>
      </c>
      <c r="M2091" s="8"/>
    </row>
    <row r="2092" customFormat="false" ht="12.8" hidden="false" customHeight="true" outlineLevel="0" collapsed="false">
      <c r="C2092" s="6" t="n">
        <f aca="false">MOD(ROW()-1, 208)</f>
        <v>11</v>
      </c>
      <c r="D2092" s="6" t="n">
        <f aca="false">INT((ROW()-1)/208)</f>
        <v>10</v>
      </c>
      <c r="F2092" s="6" t="str">
        <f aca="false">MID(VLOOKUP(D2092,$P$1:$Q$13,2,0), 1 + C2092,1)</f>
        <v>톄</v>
      </c>
      <c r="G2092" s="6" t="str">
        <f aca="false">DEC2HEX(D2092+36, 2)</f>
        <v>2E</v>
      </c>
      <c r="H2092" s="6" t="str">
        <f aca="false">DEC2HEX(C2092+48,2)</f>
        <v>3B</v>
      </c>
      <c r="I2092" s="6" t="str">
        <f aca="false">_xlfn.CONCAT("\x", G2092, "\x", H2092, "=", F2092)</f>
        <v>\x2E\x3B=톄</v>
      </c>
      <c r="M2092" s="8"/>
    </row>
    <row r="2093" customFormat="false" ht="12.8" hidden="false" customHeight="true" outlineLevel="0" collapsed="false">
      <c r="C2093" s="6" t="n">
        <f aca="false">MOD(ROW()-1, 208)</f>
        <v>12</v>
      </c>
      <c r="D2093" s="6" t="n">
        <f aca="false">INT((ROW()-1)/208)</f>
        <v>10</v>
      </c>
      <c r="F2093" s="6" t="str">
        <f aca="false">MID(VLOOKUP(D2093,$P$1:$Q$13,2,0), 1 + C2093,1)</f>
        <v>톈</v>
      </c>
      <c r="G2093" s="6" t="str">
        <f aca="false">DEC2HEX(D2093+36, 2)</f>
        <v>2E</v>
      </c>
      <c r="H2093" s="6" t="str">
        <f aca="false">DEC2HEX(C2093+48,2)</f>
        <v>3C</v>
      </c>
      <c r="I2093" s="6" t="str">
        <f aca="false">_xlfn.CONCAT("\x", G2093, "\x", H2093, "=", F2093)</f>
        <v>\x2E\x3C=톈</v>
      </c>
      <c r="M2093" s="8"/>
    </row>
    <row r="2094" customFormat="false" ht="12.8" hidden="false" customHeight="true" outlineLevel="0" collapsed="false">
      <c r="C2094" s="6" t="n">
        <f aca="false">MOD(ROW()-1, 208)</f>
        <v>13</v>
      </c>
      <c r="D2094" s="6" t="n">
        <f aca="false">INT((ROW()-1)/208)</f>
        <v>10</v>
      </c>
      <c r="F2094" s="6" t="str">
        <f aca="false">MID(VLOOKUP(D2094,$P$1:$Q$13,2,0), 1 + C2094,1)</f>
        <v>토</v>
      </c>
      <c r="G2094" s="6" t="str">
        <f aca="false">DEC2HEX(D2094+36, 2)</f>
        <v>2E</v>
      </c>
      <c r="H2094" s="6" t="str">
        <f aca="false">DEC2HEX(C2094+48,2)</f>
        <v>3D</v>
      </c>
      <c r="I2094" s="6" t="str">
        <f aca="false">_xlfn.CONCAT("\x", G2094, "\x", H2094, "=", F2094)</f>
        <v>\x2E\x3D=토</v>
      </c>
      <c r="M2094" s="8"/>
    </row>
    <row r="2095" customFormat="false" ht="12.8" hidden="false" customHeight="true" outlineLevel="0" collapsed="false">
      <c r="C2095" s="6" t="n">
        <f aca="false">MOD(ROW()-1, 208)</f>
        <v>14</v>
      </c>
      <c r="D2095" s="6" t="n">
        <f aca="false">INT((ROW()-1)/208)</f>
        <v>10</v>
      </c>
      <c r="F2095" s="6" t="str">
        <f aca="false">MID(VLOOKUP(D2095,$P$1:$Q$13,2,0), 1 + C2095,1)</f>
        <v>톡</v>
      </c>
      <c r="G2095" s="6" t="str">
        <f aca="false">DEC2HEX(D2095+36, 2)</f>
        <v>2E</v>
      </c>
      <c r="H2095" s="6" t="str">
        <f aca="false">DEC2HEX(C2095+48,2)</f>
        <v>3E</v>
      </c>
      <c r="I2095" s="6" t="str">
        <f aca="false">_xlfn.CONCAT("\x", G2095, "\x", H2095, "=", F2095)</f>
        <v>\x2E\x3E=톡</v>
      </c>
      <c r="M2095" s="8"/>
    </row>
    <row r="2096" customFormat="false" ht="12.8" hidden="false" customHeight="true" outlineLevel="0" collapsed="false">
      <c r="C2096" s="6" t="n">
        <f aca="false">MOD(ROW()-1, 208)</f>
        <v>15</v>
      </c>
      <c r="D2096" s="6" t="n">
        <f aca="false">INT((ROW()-1)/208)</f>
        <v>10</v>
      </c>
      <c r="F2096" s="6" t="str">
        <f aca="false">MID(VLOOKUP(D2096,$P$1:$Q$13,2,0), 1 + C2096,1)</f>
        <v>톤</v>
      </c>
      <c r="G2096" s="6" t="str">
        <f aca="false">DEC2HEX(D2096+36, 2)</f>
        <v>2E</v>
      </c>
      <c r="H2096" s="6" t="str">
        <f aca="false">DEC2HEX(C2096+48,2)</f>
        <v>3F</v>
      </c>
      <c r="I2096" s="6" t="str">
        <f aca="false">_xlfn.CONCAT("\x", G2096, "\x", H2096, "=", F2096)</f>
        <v>\x2E\x3F=톤</v>
      </c>
      <c r="M2096" s="8"/>
    </row>
    <row r="2097" customFormat="false" ht="12.8" hidden="false" customHeight="true" outlineLevel="0" collapsed="false">
      <c r="C2097" s="6" t="n">
        <f aca="false">MOD(ROW()-1, 208)</f>
        <v>16</v>
      </c>
      <c r="D2097" s="6" t="n">
        <f aca="false">INT((ROW()-1)/208)</f>
        <v>10</v>
      </c>
      <c r="F2097" s="6" t="str">
        <f aca="false">MID(VLOOKUP(D2097,$P$1:$Q$13,2,0), 1 + C2097,1)</f>
        <v>톨</v>
      </c>
      <c r="G2097" s="6" t="str">
        <f aca="false">DEC2HEX(D2097+36, 2)</f>
        <v>2E</v>
      </c>
      <c r="H2097" s="6" t="str">
        <f aca="false">DEC2HEX(C2097+48,2)</f>
        <v>40</v>
      </c>
      <c r="I2097" s="6" t="str">
        <f aca="false">_xlfn.CONCAT("\x", G2097, "\x", H2097, "=", F2097)</f>
        <v>\x2E\x40=톨</v>
      </c>
      <c r="M2097" s="8"/>
    </row>
    <row r="2098" customFormat="false" ht="12.8" hidden="false" customHeight="true" outlineLevel="0" collapsed="false">
      <c r="C2098" s="6" t="n">
        <f aca="false">MOD(ROW()-1, 208)</f>
        <v>17</v>
      </c>
      <c r="D2098" s="6" t="n">
        <f aca="false">INT((ROW()-1)/208)</f>
        <v>10</v>
      </c>
      <c r="F2098" s="6" t="str">
        <f aca="false">MID(VLOOKUP(D2098,$P$1:$Q$13,2,0), 1 + C2098,1)</f>
        <v>톰</v>
      </c>
      <c r="G2098" s="6" t="str">
        <f aca="false">DEC2HEX(D2098+36, 2)</f>
        <v>2E</v>
      </c>
      <c r="H2098" s="6" t="str">
        <f aca="false">DEC2HEX(C2098+48,2)</f>
        <v>41</v>
      </c>
      <c r="I2098" s="6" t="str">
        <f aca="false">_xlfn.CONCAT("\x", G2098, "\x", H2098, "=", F2098)</f>
        <v>\x2E\x41=톰</v>
      </c>
      <c r="M2098" s="8"/>
    </row>
    <row r="2099" customFormat="false" ht="12.8" hidden="false" customHeight="true" outlineLevel="0" collapsed="false">
      <c r="C2099" s="6" t="n">
        <f aca="false">MOD(ROW()-1, 208)</f>
        <v>18</v>
      </c>
      <c r="D2099" s="6" t="n">
        <f aca="false">INT((ROW()-1)/208)</f>
        <v>10</v>
      </c>
      <c r="F2099" s="6" t="str">
        <f aca="false">MID(VLOOKUP(D2099,$P$1:$Q$13,2,0), 1 + C2099,1)</f>
        <v>톱</v>
      </c>
      <c r="G2099" s="6" t="str">
        <f aca="false">DEC2HEX(D2099+36, 2)</f>
        <v>2E</v>
      </c>
      <c r="H2099" s="6" t="str">
        <f aca="false">DEC2HEX(C2099+48,2)</f>
        <v>42</v>
      </c>
      <c r="I2099" s="6" t="str">
        <f aca="false">_xlfn.CONCAT("\x", G2099, "\x", H2099, "=", F2099)</f>
        <v>\x2E\x42=톱</v>
      </c>
      <c r="M2099" s="8"/>
    </row>
    <row r="2100" customFormat="false" ht="12.8" hidden="false" customHeight="true" outlineLevel="0" collapsed="false">
      <c r="C2100" s="6" t="n">
        <f aca="false">MOD(ROW()-1, 208)</f>
        <v>19</v>
      </c>
      <c r="D2100" s="6" t="n">
        <f aca="false">INT((ROW()-1)/208)</f>
        <v>10</v>
      </c>
      <c r="F2100" s="6" t="str">
        <f aca="false">MID(VLOOKUP(D2100,$P$1:$Q$13,2,0), 1 + C2100,1)</f>
        <v>톳</v>
      </c>
      <c r="G2100" s="6" t="str">
        <f aca="false">DEC2HEX(D2100+36, 2)</f>
        <v>2E</v>
      </c>
      <c r="H2100" s="6" t="str">
        <f aca="false">DEC2HEX(C2100+48,2)</f>
        <v>43</v>
      </c>
      <c r="I2100" s="6" t="str">
        <f aca="false">_xlfn.CONCAT("\x", G2100, "\x", H2100, "=", F2100)</f>
        <v>\x2E\x43=톳</v>
      </c>
      <c r="M2100" s="8"/>
    </row>
    <row r="2101" customFormat="false" ht="12.8" hidden="false" customHeight="true" outlineLevel="0" collapsed="false">
      <c r="C2101" s="6" t="n">
        <f aca="false">MOD(ROW()-1, 208)</f>
        <v>20</v>
      </c>
      <c r="D2101" s="6" t="n">
        <f aca="false">INT((ROW()-1)/208)</f>
        <v>10</v>
      </c>
      <c r="F2101" s="6" t="str">
        <f aca="false">MID(VLOOKUP(D2101,$P$1:$Q$13,2,0), 1 + C2101,1)</f>
        <v>통</v>
      </c>
      <c r="G2101" s="6" t="str">
        <f aca="false">DEC2HEX(D2101+36, 2)</f>
        <v>2E</v>
      </c>
      <c r="H2101" s="6" t="str">
        <f aca="false">DEC2HEX(C2101+48,2)</f>
        <v>44</v>
      </c>
      <c r="I2101" s="6" t="str">
        <f aca="false">_xlfn.CONCAT("\x", G2101, "\x", H2101, "=", F2101)</f>
        <v>\x2E\x44=통</v>
      </c>
      <c r="M2101" s="8"/>
    </row>
    <row r="2102" customFormat="false" ht="12.8" hidden="false" customHeight="true" outlineLevel="0" collapsed="false">
      <c r="C2102" s="6" t="n">
        <f aca="false">MOD(ROW()-1, 208)</f>
        <v>21</v>
      </c>
      <c r="D2102" s="6" t="n">
        <f aca="false">INT((ROW()-1)/208)</f>
        <v>10</v>
      </c>
      <c r="F2102" s="6" t="str">
        <f aca="false">MID(VLOOKUP(D2102,$P$1:$Q$13,2,0), 1 + C2102,1)</f>
        <v>톺</v>
      </c>
      <c r="G2102" s="6" t="str">
        <f aca="false">DEC2HEX(D2102+36, 2)</f>
        <v>2E</v>
      </c>
      <c r="H2102" s="6" t="str">
        <f aca="false">DEC2HEX(C2102+48,2)</f>
        <v>45</v>
      </c>
      <c r="I2102" s="6" t="str">
        <f aca="false">_xlfn.CONCAT("\x", G2102, "\x", H2102, "=", F2102)</f>
        <v>\x2E\x45=톺</v>
      </c>
      <c r="M2102" s="8"/>
    </row>
    <row r="2103" customFormat="false" ht="12.8" hidden="false" customHeight="true" outlineLevel="0" collapsed="false">
      <c r="C2103" s="6" t="n">
        <f aca="false">MOD(ROW()-1, 208)</f>
        <v>22</v>
      </c>
      <c r="D2103" s="6" t="n">
        <f aca="false">INT((ROW()-1)/208)</f>
        <v>10</v>
      </c>
      <c r="F2103" s="6" t="str">
        <f aca="false">MID(VLOOKUP(D2103,$P$1:$Q$13,2,0), 1 + C2103,1)</f>
        <v>톼</v>
      </c>
      <c r="G2103" s="6" t="str">
        <f aca="false">DEC2HEX(D2103+36, 2)</f>
        <v>2E</v>
      </c>
      <c r="H2103" s="6" t="str">
        <f aca="false">DEC2HEX(C2103+48,2)</f>
        <v>46</v>
      </c>
      <c r="I2103" s="6" t="str">
        <f aca="false">_xlfn.CONCAT("\x", G2103, "\x", H2103, "=", F2103)</f>
        <v>\x2E\x46=톼</v>
      </c>
      <c r="M2103" s="8"/>
    </row>
    <row r="2104" customFormat="false" ht="12.8" hidden="false" customHeight="true" outlineLevel="0" collapsed="false">
      <c r="C2104" s="6" t="n">
        <f aca="false">MOD(ROW()-1, 208)</f>
        <v>23</v>
      </c>
      <c r="D2104" s="6" t="n">
        <f aca="false">INT((ROW()-1)/208)</f>
        <v>10</v>
      </c>
      <c r="F2104" s="6" t="str">
        <f aca="false">MID(VLOOKUP(D2104,$P$1:$Q$13,2,0), 1 + C2104,1)</f>
        <v>퇀</v>
      </c>
      <c r="G2104" s="6" t="str">
        <f aca="false">DEC2HEX(D2104+36, 2)</f>
        <v>2E</v>
      </c>
      <c r="H2104" s="6" t="str">
        <f aca="false">DEC2HEX(C2104+48,2)</f>
        <v>47</v>
      </c>
      <c r="I2104" s="6" t="str">
        <f aca="false">_xlfn.CONCAT("\x", G2104, "\x", H2104, "=", F2104)</f>
        <v>\x2E\x47=퇀</v>
      </c>
      <c r="M2104" s="8"/>
    </row>
    <row r="2105" customFormat="false" ht="12.8" hidden="false" customHeight="true" outlineLevel="0" collapsed="false">
      <c r="C2105" s="6" t="n">
        <f aca="false">MOD(ROW()-1, 208)</f>
        <v>24</v>
      </c>
      <c r="D2105" s="6" t="n">
        <f aca="false">INT((ROW()-1)/208)</f>
        <v>10</v>
      </c>
      <c r="F2105" s="6" t="str">
        <f aca="false">MID(VLOOKUP(D2105,$P$1:$Q$13,2,0), 1 + C2105,1)</f>
        <v>퇘</v>
      </c>
      <c r="G2105" s="6" t="str">
        <f aca="false">DEC2HEX(D2105+36, 2)</f>
        <v>2E</v>
      </c>
      <c r="H2105" s="6" t="str">
        <f aca="false">DEC2HEX(C2105+48,2)</f>
        <v>48</v>
      </c>
      <c r="I2105" s="6" t="str">
        <f aca="false">_xlfn.CONCAT("\x", G2105, "\x", H2105, "=", F2105)</f>
        <v>\x2E\x48=퇘</v>
      </c>
      <c r="M2105" s="8"/>
    </row>
    <row r="2106" customFormat="false" ht="12.8" hidden="false" customHeight="true" outlineLevel="0" collapsed="false">
      <c r="C2106" s="6" t="n">
        <f aca="false">MOD(ROW()-1, 208)</f>
        <v>25</v>
      </c>
      <c r="D2106" s="6" t="n">
        <f aca="false">INT((ROW()-1)/208)</f>
        <v>10</v>
      </c>
      <c r="F2106" s="6" t="str">
        <f aca="false">MID(VLOOKUP(D2106,$P$1:$Q$13,2,0), 1 + C2106,1)</f>
        <v>퇴</v>
      </c>
      <c r="G2106" s="6" t="str">
        <f aca="false">DEC2HEX(D2106+36, 2)</f>
        <v>2E</v>
      </c>
      <c r="H2106" s="6" t="str">
        <f aca="false">DEC2HEX(C2106+48,2)</f>
        <v>49</v>
      </c>
      <c r="I2106" s="6" t="str">
        <f aca="false">_xlfn.CONCAT("\x", G2106, "\x", H2106, "=", F2106)</f>
        <v>\x2E\x49=퇴</v>
      </c>
      <c r="M2106" s="8"/>
    </row>
    <row r="2107" customFormat="false" ht="12.8" hidden="false" customHeight="true" outlineLevel="0" collapsed="false">
      <c r="C2107" s="6" t="n">
        <f aca="false">MOD(ROW()-1, 208)</f>
        <v>26</v>
      </c>
      <c r="D2107" s="6" t="n">
        <f aca="false">INT((ROW()-1)/208)</f>
        <v>10</v>
      </c>
      <c r="F2107" s="6" t="str">
        <f aca="false">MID(VLOOKUP(D2107,$P$1:$Q$13,2,0), 1 + C2107,1)</f>
        <v>퇸</v>
      </c>
      <c r="G2107" s="6" t="str">
        <f aca="false">DEC2HEX(D2107+36, 2)</f>
        <v>2E</v>
      </c>
      <c r="H2107" s="6" t="str">
        <f aca="false">DEC2HEX(C2107+48,2)</f>
        <v>4A</v>
      </c>
      <c r="I2107" s="6" t="str">
        <f aca="false">_xlfn.CONCAT("\x", G2107, "\x", H2107, "=", F2107)</f>
        <v>\x2E\x4A=퇸</v>
      </c>
      <c r="M2107" s="8"/>
    </row>
    <row r="2108" customFormat="false" ht="12.8" hidden="false" customHeight="true" outlineLevel="0" collapsed="false">
      <c r="C2108" s="6" t="n">
        <f aca="false">MOD(ROW()-1, 208)</f>
        <v>27</v>
      </c>
      <c r="D2108" s="6" t="n">
        <f aca="false">INT((ROW()-1)/208)</f>
        <v>10</v>
      </c>
      <c r="F2108" s="6" t="str">
        <f aca="false">MID(VLOOKUP(D2108,$P$1:$Q$13,2,0), 1 + C2108,1)</f>
        <v>툇</v>
      </c>
      <c r="G2108" s="6" t="str">
        <f aca="false">DEC2HEX(D2108+36, 2)</f>
        <v>2E</v>
      </c>
      <c r="H2108" s="6" t="str">
        <f aca="false">DEC2HEX(C2108+48,2)</f>
        <v>4B</v>
      </c>
      <c r="I2108" s="6" t="str">
        <f aca="false">_xlfn.CONCAT("\x", G2108, "\x", H2108, "=", F2108)</f>
        <v>\x2E\x4B=툇</v>
      </c>
      <c r="M2108" s="8"/>
    </row>
    <row r="2109" customFormat="false" ht="12.8" hidden="false" customHeight="true" outlineLevel="0" collapsed="false">
      <c r="C2109" s="6" t="n">
        <f aca="false">MOD(ROW()-1, 208)</f>
        <v>28</v>
      </c>
      <c r="D2109" s="6" t="n">
        <f aca="false">INT((ROW()-1)/208)</f>
        <v>10</v>
      </c>
      <c r="F2109" s="6" t="str">
        <f aca="false">MID(VLOOKUP(D2109,$P$1:$Q$13,2,0), 1 + C2109,1)</f>
        <v>툉</v>
      </c>
      <c r="G2109" s="6" t="str">
        <f aca="false">DEC2HEX(D2109+36, 2)</f>
        <v>2E</v>
      </c>
      <c r="H2109" s="6" t="str">
        <f aca="false">DEC2HEX(C2109+48,2)</f>
        <v>4C</v>
      </c>
      <c r="I2109" s="6" t="str">
        <f aca="false">_xlfn.CONCAT("\x", G2109, "\x", H2109, "=", F2109)</f>
        <v>\x2E\x4C=툉</v>
      </c>
      <c r="M2109" s="8"/>
    </row>
    <row r="2110" customFormat="false" ht="12.8" hidden="false" customHeight="true" outlineLevel="0" collapsed="false">
      <c r="C2110" s="6" t="n">
        <f aca="false">MOD(ROW()-1, 208)</f>
        <v>29</v>
      </c>
      <c r="D2110" s="6" t="n">
        <f aca="false">INT((ROW()-1)/208)</f>
        <v>10</v>
      </c>
      <c r="F2110" s="6" t="str">
        <f aca="false">MID(VLOOKUP(D2110,$P$1:$Q$13,2,0), 1 + C2110,1)</f>
        <v>툐</v>
      </c>
      <c r="G2110" s="6" t="str">
        <f aca="false">DEC2HEX(D2110+36, 2)</f>
        <v>2E</v>
      </c>
      <c r="H2110" s="6" t="str">
        <f aca="false">DEC2HEX(C2110+48,2)</f>
        <v>4D</v>
      </c>
      <c r="I2110" s="6" t="str">
        <f aca="false">_xlfn.CONCAT("\x", G2110, "\x", H2110, "=", F2110)</f>
        <v>\x2E\x4D=툐</v>
      </c>
      <c r="M2110" s="8"/>
    </row>
    <row r="2111" customFormat="false" ht="12.8" hidden="false" customHeight="true" outlineLevel="0" collapsed="false">
      <c r="C2111" s="6" t="n">
        <f aca="false">MOD(ROW()-1, 208)</f>
        <v>30</v>
      </c>
      <c r="D2111" s="6" t="n">
        <f aca="false">INT((ROW()-1)/208)</f>
        <v>10</v>
      </c>
      <c r="F2111" s="6" t="str">
        <f aca="false">MID(VLOOKUP(D2111,$P$1:$Q$13,2,0), 1 + C2111,1)</f>
        <v>투</v>
      </c>
      <c r="G2111" s="6" t="str">
        <f aca="false">DEC2HEX(D2111+36, 2)</f>
        <v>2E</v>
      </c>
      <c r="H2111" s="6" t="str">
        <f aca="false">DEC2HEX(C2111+48,2)</f>
        <v>4E</v>
      </c>
      <c r="I2111" s="6" t="str">
        <f aca="false">_xlfn.CONCAT("\x", G2111, "\x", H2111, "=", F2111)</f>
        <v>\x2E\x4E=투</v>
      </c>
      <c r="M2111" s="8"/>
    </row>
    <row r="2112" customFormat="false" ht="12.8" hidden="false" customHeight="true" outlineLevel="0" collapsed="false">
      <c r="C2112" s="6" t="n">
        <f aca="false">MOD(ROW()-1, 208)</f>
        <v>31</v>
      </c>
      <c r="D2112" s="6" t="n">
        <f aca="false">INT((ROW()-1)/208)</f>
        <v>10</v>
      </c>
      <c r="F2112" s="6" t="str">
        <f aca="false">MID(VLOOKUP(D2112,$P$1:$Q$13,2,0), 1 + C2112,1)</f>
        <v>툭</v>
      </c>
      <c r="G2112" s="6" t="str">
        <f aca="false">DEC2HEX(D2112+36, 2)</f>
        <v>2E</v>
      </c>
      <c r="H2112" s="6" t="str">
        <f aca="false">DEC2HEX(C2112+48,2)</f>
        <v>4F</v>
      </c>
      <c r="I2112" s="6" t="str">
        <f aca="false">_xlfn.CONCAT("\x", G2112, "\x", H2112, "=", F2112)</f>
        <v>\x2E\x4F=툭</v>
      </c>
      <c r="M2112" s="8"/>
    </row>
    <row r="2113" customFormat="false" ht="12.8" hidden="false" customHeight="true" outlineLevel="0" collapsed="false">
      <c r="C2113" s="6" t="n">
        <f aca="false">MOD(ROW()-1, 208)</f>
        <v>32</v>
      </c>
      <c r="D2113" s="6" t="n">
        <f aca="false">INT((ROW()-1)/208)</f>
        <v>10</v>
      </c>
      <c r="F2113" s="6" t="str">
        <f aca="false">MID(VLOOKUP(D2113,$P$1:$Q$13,2,0), 1 + C2113,1)</f>
        <v>툰</v>
      </c>
      <c r="G2113" s="6" t="str">
        <f aca="false">DEC2HEX(D2113+36, 2)</f>
        <v>2E</v>
      </c>
      <c r="H2113" s="6" t="str">
        <f aca="false">DEC2HEX(C2113+48,2)</f>
        <v>50</v>
      </c>
      <c r="I2113" s="6" t="str">
        <f aca="false">_xlfn.CONCAT("\x", G2113, "\x", H2113, "=", F2113)</f>
        <v>\x2E\x50=툰</v>
      </c>
      <c r="M2113" s="8"/>
    </row>
    <row r="2114" customFormat="false" ht="12.8" hidden="false" customHeight="true" outlineLevel="0" collapsed="false">
      <c r="C2114" s="6" t="n">
        <f aca="false">MOD(ROW()-1, 208)</f>
        <v>33</v>
      </c>
      <c r="D2114" s="6" t="n">
        <f aca="false">INT((ROW()-1)/208)</f>
        <v>10</v>
      </c>
      <c r="F2114" s="6" t="str">
        <f aca="false">MID(VLOOKUP(D2114,$P$1:$Q$13,2,0), 1 + C2114,1)</f>
        <v>툴</v>
      </c>
      <c r="G2114" s="6" t="str">
        <f aca="false">DEC2HEX(D2114+36, 2)</f>
        <v>2E</v>
      </c>
      <c r="H2114" s="6" t="str">
        <f aca="false">DEC2HEX(C2114+48,2)</f>
        <v>51</v>
      </c>
      <c r="I2114" s="6" t="str">
        <f aca="false">_xlfn.CONCAT("\x", G2114, "\x", H2114, "=", F2114)</f>
        <v>\x2E\x51=툴</v>
      </c>
      <c r="M2114" s="8"/>
    </row>
    <row r="2115" customFormat="false" ht="12.8" hidden="false" customHeight="true" outlineLevel="0" collapsed="false">
      <c r="C2115" s="6" t="n">
        <f aca="false">MOD(ROW()-1, 208)</f>
        <v>34</v>
      </c>
      <c r="D2115" s="6" t="n">
        <f aca="false">INT((ROW()-1)/208)</f>
        <v>10</v>
      </c>
      <c r="F2115" s="6" t="str">
        <f aca="false">MID(VLOOKUP(D2115,$P$1:$Q$13,2,0), 1 + C2115,1)</f>
        <v>툼</v>
      </c>
      <c r="G2115" s="6" t="str">
        <f aca="false">DEC2HEX(D2115+36, 2)</f>
        <v>2E</v>
      </c>
      <c r="H2115" s="6" t="str">
        <f aca="false">DEC2HEX(C2115+48,2)</f>
        <v>52</v>
      </c>
      <c r="I2115" s="6" t="str">
        <f aca="false">_xlfn.CONCAT("\x", G2115, "\x", H2115, "=", F2115)</f>
        <v>\x2E\x52=툼</v>
      </c>
      <c r="M2115" s="8"/>
    </row>
    <row r="2116" customFormat="false" ht="12.8" hidden="false" customHeight="true" outlineLevel="0" collapsed="false">
      <c r="C2116" s="6" t="n">
        <f aca="false">MOD(ROW()-1, 208)</f>
        <v>35</v>
      </c>
      <c r="D2116" s="6" t="n">
        <f aca="false">INT((ROW()-1)/208)</f>
        <v>10</v>
      </c>
      <c r="F2116" s="6" t="str">
        <f aca="false">MID(VLOOKUP(D2116,$P$1:$Q$13,2,0), 1 + C2116,1)</f>
        <v>툽</v>
      </c>
      <c r="G2116" s="6" t="str">
        <f aca="false">DEC2HEX(D2116+36, 2)</f>
        <v>2E</v>
      </c>
      <c r="H2116" s="6" t="str">
        <f aca="false">DEC2HEX(C2116+48,2)</f>
        <v>53</v>
      </c>
      <c r="I2116" s="6" t="str">
        <f aca="false">_xlfn.CONCAT("\x", G2116, "\x", H2116, "=", F2116)</f>
        <v>\x2E\x53=툽</v>
      </c>
      <c r="M2116" s="8"/>
    </row>
    <row r="2117" customFormat="false" ht="12.8" hidden="false" customHeight="true" outlineLevel="0" collapsed="false">
      <c r="C2117" s="6" t="n">
        <f aca="false">MOD(ROW()-1, 208)</f>
        <v>36</v>
      </c>
      <c r="D2117" s="6" t="n">
        <f aca="false">INT((ROW()-1)/208)</f>
        <v>10</v>
      </c>
      <c r="F2117" s="6" t="str">
        <f aca="false">MID(VLOOKUP(D2117,$P$1:$Q$13,2,0), 1 + C2117,1)</f>
        <v>툿</v>
      </c>
      <c r="G2117" s="6" t="str">
        <f aca="false">DEC2HEX(D2117+36, 2)</f>
        <v>2E</v>
      </c>
      <c r="H2117" s="6" t="str">
        <f aca="false">DEC2HEX(C2117+48,2)</f>
        <v>54</v>
      </c>
      <c r="I2117" s="6" t="str">
        <f aca="false">_xlfn.CONCAT("\x", G2117, "\x", H2117, "=", F2117)</f>
        <v>\x2E\x54=툿</v>
      </c>
      <c r="M2117" s="8"/>
    </row>
    <row r="2118" customFormat="false" ht="12.8" hidden="false" customHeight="true" outlineLevel="0" collapsed="false">
      <c r="C2118" s="6" t="n">
        <f aca="false">MOD(ROW()-1, 208)</f>
        <v>37</v>
      </c>
      <c r="D2118" s="6" t="n">
        <f aca="false">INT((ROW()-1)/208)</f>
        <v>10</v>
      </c>
      <c r="F2118" s="6" t="str">
        <f aca="false">MID(VLOOKUP(D2118,$P$1:$Q$13,2,0), 1 + C2118,1)</f>
        <v>퉁</v>
      </c>
      <c r="G2118" s="6" t="str">
        <f aca="false">DEC2HEX(D2118+36, 2)</f>
        <v>2E</v>
      </c>
      <c r="H2118" s="6" t="str">
        <f aca="false">DEC2HEX(C2118+48,2)</f>
        <v>55</v>
      </c>
      <c r="I2118" s="6" t="str">
        <f aca="false">_xlfn.CONCAT("\x", G2118, "\x", H2118, "=", F2118)</f>
        <v>\x2E\x55=퉁</v>
      </c>
      <c r="M2118" s="8"/>
    </row>
    <row r="2119" customFormat="false" ht="12.8" hidden="false" customHeight="true" outlineLevel="0" collapsed="false">
      <c r="C2119" s="6" t="n">
        <f aca="false">MOD(ROW()-1, 208)</f>
        <v>38</v>
      </c>
      <c r="D2119" s="6" t="n">
        <f aca="false">INT((ROW()-1)/208)</f>
        <v>10</v>
      </c>
      <c r="F2119" s="6" t="str">
        <f aca="false">MID(VLOOKUP(D2119,$P$1:$Q$13,2,0), 1 + C2119,1)</f>
        <v>퉈</v>
      </c>
      <c r="G2119" s="6" t="str">
        <f aca="false">DEC2HEX(D2119+36, 2)</f>
        <v>2E</v>
      </c>
      <c r="H2119" s="6" t="str">
        <f aca="false">DEC2HEX(C2119+48,2)</f>
        <v>56</v>
      </c>
      <c r="I2119" s="6" t="str">
        <f aca="false">_xlfn.CONCAT("\x", G2119, "\x", H2119, "=", F2119)</f>
        <v>\x2E\x56=퉈</v>
      </c>
      <c r="M2119" s="8"/>
    </row>
    <row r="2120" customFormat="false" ht="12.8" hidden="false" customHeight="true" outlineLevel="0" collapsed="false">
      <c r="C2120" s="6" t="n">
        <f aca="false">MOD(ROW()-1, 208)</f>
        <v>39</v>
      </c>
      <c r="D2120" s="6" t="n">
        <f aca="false">INT((ROW()-1)/208)</f>
        <v>10</v>
      </c>
      <c r="F2120" s="6" t="str">
        <f aca="false">MID(VLOOKUP(D2120,$P$1:$Q$13,2,0), 1 + C2120,1)</f>
        <v>퉜</v>
      </c>
      <c r="G2120" s="6" t="str">
        <f aca="false">DEC2HEX(D2120+36, 2)</f>
        <v>2E</v>
      </c>
      <c r="H2120" s="6" t="str">
        <f aca="false">DEC2HEX(C2120+48,2)</f>
        <v>57</v>
      </c>
      <c r="I2120" s="6" t="str">
        <f aca="false">_xlfn.CONCAT("\x", G2120, "\x", H2120, "=", F2120)</f>
        <v>\x2E\x57=퉜</v>
      </c>
      <c r="M2120" s="8"/>
    </row>
    <row r="2121" customFormat="false" ht="12.8" hidden="false" customHeight="true" outlineLevel="0" collapsed="false">
      <c r="C2121" s="6" t="n">
        <f aca="false">MOD(ROW()-1, 208)</f>
        <v>40</v>
      </c>
      <c r="D2121" s="6" t="n">
        <f aca="false">INT((ROW()-1)/208)</f>
        <v>10</v>
      </c>
      <c r="F2121" s="6" t="str">
        <f aca="false">MID(VLOOKUP(D2121,$P$1:$Q$13,2,0), 1 + C2121,1)</f>
        <v>퉤</v>
      </c>
      <c r="G2121" s="6" t="str">
        <f aca="false">DEC2HEX(D2121+36, 2)</f>
        <v>2E</v>
      </c>
      <c r="H2121" s="6" t="str">
        <f aca="false">DEC2HEX(C2121+48,2)</f>
        <v>58</v>
      </c>
      <c r="I2121" s="6" t="str">
        <f aca="false">_xlfn.CONCAT("\x", G2121, "\x", H2121, "=", F2121)</f>
        <v>\x2E\x58=퉤</v>
      </c>
      <c r="M2121" s="8"/>
    </row>
    <row r="2122" customFormat="false" ht="12.8" hidden="false" customHeight="true" outlineLevel="0" collapsed="false">
      <c r="C2122" s="6" t="n">
        <f aca="false">MOD(ROW()-1, 208)</f>
        <v>41</v>
      </c>
      <c r="D2122" s="6" t="n">
        <f aca="false">INT((ROW()-1)/208)</f>
        <v>10</v>
      </c>
      <c r="F2122" s="6" t="str">
        <f aca="false">MID(VLOOKUP(D2122,$P$1:$Q$13,2,0), 1 + C2122,1)</f>
        <v>튀</v>
      </c>
      <c r="G2122" s="6" t="str">
        <f aca="false">DEC2HEX(D2122+36, 2)</f>
        <v>2E</v>
      </c>
      <c r="H2122" s="6" t="str">
        <f aca="false">DEC2HEX(C2122+48,2)</f>
        <v>59</v>
      </c>
      <c r="I2122" s="6" t="str">
        <f aca="false">_xlfn.CONCAT("\x", G2122, "\x", H2122, "=", F2122)</f>
        <v>\x2E\x59=튀</v>
      </c>
      <c r="M2122" s="8"/>
    </row>
    <row r="2123" customFormat="false" ht="12.8" hidden="false" customHeight="true" outlineLevel="0" collapsed="false">
      <c r="C2123" s="6" t="n">
        <f aca="false">MOD(ROW()-1, 208)</f>
        <v>42</v>
      </c>
      <c r="D2123" s="6" t="n">
        <f aca="false">INT((ROW()-1)/208)</f>
        <v>10</v>
      </c>
      <c r="F2123" s="6" t="str">
        <f aca="false">MID(VLOOKUP(D2123,$P$1:$Q$13,2,0), 1 + C2123,1)</f>
        <v>튁</v>
      </c>
      <c r="G2123" s="6" t="str">
        <f aca="false">DEC2HEX(D2123+36, 2)</f>
        <v>2E</v>
      </c>
      <c r="H2123" s="6" t="str">
        <f aca="false">DEC2HEX(C2123+48,2)</f>
        <v>5A</v>
      </c>
      <c r="I2123" s="6" t="str">
        <f aca="false">_xlfn.CONCAT("\x", G2123, "\x", H2123, "=", F2123)</f>
        <v>\x2E\x5A=튁</v>
      </c>
      <c r="M2123" s="8"/>
    </row>
    <row r="2124" customFormat="false" ht="12.8" hidden="false" customHeight="true" outlineLevel="0" collapsed="false">
      <c r="C2124" s="6" t="n">
        <f aca="false">MOD(ROW()-1, 208)</f>
        <v>43</v>
      </c>
      <c r="D2124" s="6" t="n">
        <f aca="false">INT((ROW()-1)/208)</f>
        <v>10</v>
      </c>
      <c r="F2124" s="6" t="str">
        <f aca="false">MID(VLOOKUP(D2124,$P$1:$Q$13,2,0), 1 + C2124,1)</f>
        <v>튄</v>
      </c>
      <c r="G2124" s="6" t="str">
        <f aca="false">DEC2HEX(D2124+36, 2)</f>
        <v>2E</v>
      </c>
      <c r="H2124" s="6" t="str">
        <f aca="false">DEC2HEX(C2124+48,2)</f>
        <v>5B</v>
      </c>
      <c r="I2124" s="6" t="str">
        <f aca="false">_xlfn.CONCAT("\x", G2124, "\x", H2124, "=", F2124)</f>
        <v>\x2E\x5B=튄</v>
      </c>
      <c r="M2124" s="8"/>
    </row>
    <row r="2125" customFormat="false" ht="12.8" hidden="false" customHeight="true" outlineLevel="0" collapsed="false">
      <c r="C2125" s="6" t="n">
        <f aca="false">MOD(ROW()-1, 208)</f>
        <v>44</v>
      </c>
      <c r="D2125" s="6" t="n">
        <f aca="false">INT((ROW()-1)/208)</f>
        <v>10</v>
      </c>
      <c r="F2125" s="6" t="str">
        <f aca="false">MID(VLOOKUP(D2125,$P$1:$Q$13,2,0), 1 + C2125,1)</f>
        <v>튈</v>
      </c>
      <c r="G2125" s="6" t="str">
        <f aca="false">DEC2HEX(D2125+36, 2)</f>
        <v>2E</v>
      </c>
      <c r="H2125" s="6" t="str">
        <f aca="false">DEC2HEX(C2125+48,2)</f>
        <v>5C</v>
      </c>
      <c r="I2125" s="6" t="str">
        <f aca="false">_xlfn.CONCAT("\x", G2125, "\x", H2125, "=", F2125)</f>
        <v>\x2E\x5C=튈</v>
      </c>
      <c r="M2125" s="8"/>
    </row>
    <row r="2126" customFormat="false" ht="12.8" hidden="false" customHeight="true" outlineLevel="0" collapsed="false">
      <c r="C2126" s="6" t="n">
        <f aca="false">MOD(ROW()-1, 208)</f>
        <v>45</v>
      </c>
      <c r="D2126" s="6" t="n">
        <f aca="false">INT((ROW()-1)/208)</f>
        <v>10</v>
      </c>
      <c r="F2126" s="6" t="str">
        <f aca="false">MID(VLOOKUP(D2126,$P$1:$Q$13,2,0), 1 + C2126,1)</f>
        <v>튐</v>
      </c>
      <c r="G2126" s="6" t="str">
        <f aca="false">DEC2HEX(D2126+36, 2)</f>
        <v>2E</v>
      </c>
      <c r="H2126" s="6" t="str">
        <f aca="false">DEC2HEX(C2126+48,2)</f>
        <v>5D</v>
      </c>
      <c r="I2126" s="6" t="str">
        <f aca="false">_xlfn.CONCAT("\x", G2126, "\x", H2126, "=", F2126)</f>
        <v>\x2E\x5D=튐</v>
      </c>
      <c r="M2126" s="8"/>
    </row>
    <row r="2127" customFormat="false" ht="12.8" hidden="false" customHeight="true" outlineLevel="0" collapsed="false">
      <c r="C2127" s="6" t="n">
        <f aca="false">MOD(ROW()-1, 208)</f>
        <v>46</v>
      </c>
      <c r="D2127" s="6" t="n">
        <f aca="false">INT((ROW()-1)/208)</f>
        <v>10</v>
      </c>
      <c r="F2127" s="6" t="str">
        <f aca="false">MID(VLOOKUP(D2127,$P$1:$Q$13,2,0), 1 + C2127,1)</f>
        <v>튑</v>
      </c>
      <c r="G2127" s="6" t="str">
        <f aca="false">DEC2HEX(D2127+36, 2)</f>
        <v>2E</v>
      </c>
      <c r="H2127" s="6" t="str">
        <f aca="false">DEC2HEX(C2127+48,2)</f>
        <v>5E</v>
      </c>
      <c r="I2127" s="6" t="str">
        <f aca="false">_xlfn.CONCAT("\x", G2127, "\x", H2127, "=", F2127)</f>
        <v>\x2E\x5E=튑</v>
      </c>
      <c r="M2127" s="8"/>
    </row>
    <row r="2128" customFormat="false" ht="12.8" hidden="false" customHeight="true" outlineLevel="0" collapsed="false">
      <c r="C2128" s="6" t="n">
        <f aca="false">MOD(ROW()-1, 208)</f>
        <v>47</v>
      </c>
      <c r="D2128" s="6" t="n">
        <f aca="false">INT((ROW()-1)/208)</f>
        <v>10</v>
      </c>
      <c r="F2128" s="6" t="str">
        <f aca="false">MID(VLOOKUP(D2128,$P$1:$Q$13,2,0), 1 + C2128,1)</f>
        <v>튕</v>
      </c>
      <c r="G2128" s="6" t="str">
        <f aca="false">DEC2HEX(D2128+36, 2)</f>
        <v>2E</v>
      </c>
      <c r="H2128" s="6" t="str">
        <f aca="false">DEC2HEX(C2128+48,2)</f>
        <v>5F</v>
      </c>
      <c r="I2128" s="6" t="str">
        <f aca="false">_xlfn.CONCAT("\x", G2128, "\x", H2128, "=", F2128)</f>
        <v>\x2E\x5F=튕</v>
      </c>
      <c r="M2128" s="8"/>
    </row>
    <row r="2129" customFormat="false" ht="12.8" hidden="false" customHeight="true" outlineLevel="0" collapsed="false">
      <c r="C2129" s="6" t="n">
        <f aca="false">MOD(ROW()-1, 208)</f>
        <v>48</v>
      </c>
      <c r="D2129" s="6" t="n">
        <f aca="false">INT((ROW()-1)/208)</f>
        <v>10</v>
      </c>
      <c r="F2129" s="6" t="str">
        <f aca="false">MID(VLOOKUP(D2129,$P$1:$Q$13,2,0), 1 + C2129,1)</f>
        <v>튜</v>
      </c>
      <c r="G2129" s="6" t="str">
        <f aca="false">DEC2HEX(D2129+36, 2)</f>
        <v>2E</v>
      </c>
      <c r="H2129" s="6" t="str">
        <f aca="false">DEC2HEX(C2129+48,2)</f>
        <v>60</v>
      </c>
      <c r="I2129" s="6" t="str">
        <f aca="false">_xlfn.CONCAT("\x", G2129, "\x", H2129, "=", F2129)</f>
        <v>\x2E\x60=튜</v>
      </c>
      <c r="M2129" s="8"/>
    </row>
    <row r="2130" customFormat="false" ht="12.8" hidden="false" customHeight="true" outlineLevel="0" collapsed="false">
      <c r="C2130" s="6" t="n">
        <f aca="false">MOD(ROW()-1, 208)</f>
        <v>49</v>
      </c>
      <c r="D2130" s="6" t="n">
        <f aca="false">INT((ROW()-1)/208)</f>
        <v>10</v>
      </c>
      <c r="F2130" s="6" t="str">
        <f aca="false">MID(VLOOKUP(D2130,$P$1:$Q$13,2,0), 1 + C2130,1)</f>
        <v>튠</v>
      </c>
      <c r="G2130" s="6" t="str">
        <f aca="false">DEC2HEX(D2130+36, 2)</f>
        <v>2E</v>
      </c>
      <c r="H2130" s="6" t="str">
        <f aca="false">DEC2HEX(C2130+48,2)</f>
        <v>61</v>
      </c>
      <c r="I2130" s="6" t="str">
        <f aca="false">_xlfn.CONCAT("\x", G2130, "\x", H2130, "=", F2130)</f>
        <v>\x2E\x61=튠</v>
      </c>
      <c r="M2130" s="8"/>
    </row>
    <row r="2131" customFormat="false" ht="12.8" hidden="false" customHeight="true" outlineLevel="0" collapsed="false">
      <c r="C2131" s="6" t="n">
        <f aca="false">MOD(ROW()-1, 208)</f>
        <v>50</v>
      </c>
      <c r="D2131" s="6" t="n">
        <f aca="false">INT((ROW()-1)/208)</f>
        <v>10</v>
      </c>
      <c r="F2131" s="6" t="str">
        <f aca="false">MID(VLOOKUP(D2131,$P$1:$Q$13,2,0), 1 + C2131,1)</f>
        <v>튤</v>
      </c>
      <c r="G2131" s="6" t="str">
        <f aca="false">DEC2HEX(D2131+36, 2)</f>
        <v>2E</v>
      </c>
      <c r="H2131" s="6" t="str">
        <f aca="false">DEC2HEX(C2131+48,2)</f>
        <v>62</v>
      </c>
      <c r="I2131" s="6" t="str">
        <f aca="false">_xlfn.CONCAT("\x", G2131, "\x", H2131, "=", F2131)</f>
        <v>\x2E\x62=튤</v>
      </c>
      <c r="M2131" s="8"/>
    </row>
    <row r="2132" customFormat="false" ht="12.8" hidden="false" customHeight="true" outlineLevel="0" collapsed="false">
      <c r="C2132" s="6" t="n">
        <f aca="false">MOD(ROW()-1, 208)</f>
        <v>51</v>
      </c>
      <c r="D2132" s="6" t="n">
        <f aca="false">INT((ROW()-1)/208)</f>
        <v>10</v>
      </c>
      <c r="F2132" s="6" t="str">
        <f aca="false">MID(VLOOKUP(D2132,$P$1:$Q$13,2,0), 1 + C2132,1)</f>
        <v>튬</v>
      </c>
      <c r="G2132" s="6" t="str">
        <f aca="false">DEC2HEX(D2132+36, 2)</f>
        <v>2E</v>
      </c>
      <c r="H2132" s="6" t="str">
        <f aca="false">DEC2HEX(C2132+48,2)</f>
        <v>63</v>
      </c>
      <c r="I2132" s="6" t="str">
        <f aca="false">_xlfn.CONCAT("\x", G2132, "\x", H2132, "=", F2132)</f>
        <v>\x2E\x63=튬</v>
      </c>
      <c r="M2132" s="8"/>
    </row>
    <row r="2133" customFormat="false" ht="12.8" hidden="false" customHeight="true" outlineLevel="0" collapsed="false">
      <c r="C2133" s="6" t="n">
        <f aca="false">MOD(ROW()-1, 208)</f>
        <v>52</v>
      </c>
      <c r="D2133" s="6" t="n">
        <f aca="false">INT((ROW()-1)/208)</f>
        <v>10</v>
      </c>
      <c r="F2133" s="6" t="str">
        <f aca="false">MID(VLOOKUP(D2133,$P$1:$Q$13,2,0), 1 + C2133,1)</f>
        <v>튱</v>
      </c>
      <c r="G2133" s="6" t="str">
        <f aca="false">DEC2HEX(D2133+36, 2)</f>
        <v>2E</v>
      </c>
      <c r="H2133" s="6" t="str">
        <f aca="false">DEC2HEX(C2133+48,2)</f>
        <v>64</v>
      </c>
      <c r="I2133" s="6" t="str">
        <f aca="false">_xlfn.CONCAT("\x", G2133, "\x", H2133, "=", F2133)</f>
        <v>\x2E\x64=튱</v>
      </c>
      <c r="M2133" s="8"/>
    </row>
    <row r="2134" customFormat="false" ht="12.8" hidden="false" customHeight="true" outlineLevel="0" collapsed="false">
      <c r="C2134" s="6" t="n">
        <f aca="false">MOD(ROW()-1, 208)</f>
        <v>53</v>
      </c>
      <c r="D2134" s="6" t="n">
        <f aca="false">INT((ROW()-1)/208)</f>
        <v>10</v>
      </c>
      <c r="F2134" s="6" t="str">
        <f aca="false">MID(VLOOKUP(D2134,$P$1:$Q$13,2,0), 1 + C2134,1)</f>
        <v>트</v>
      </c>
      <c r="G2134" s="6" t="str">
        <f aca="false">DEC2HEX(D2134+36, 2)</f>
        <v>2E</v>
      </c>
      <c r="H2134" s="6" t="str">
        <f aca="false">DEC2HEX(C2134+48,2)</f>
        <v>65</v>
      </c>
      <c r="I2134" s="6" t="str">
        <f aca="false">_xlfn.CONCAT("\x", G2134, "\x", H2134, "=", F2134)</f>
        <v>\x2E\x65=트</v>
      </c>
      <c r="M2134" s="8"/>
    </row>
    <row r="2135" customFormat="false" ht="12.8" hidden="false" customHeight="true" outlineLevel="0" collapsed="false">
      <c r="C2135" s="6" t="n">
        <f aca="false">MOD(ROW()-1, 208)</f>
        <v>54</v>
      </c>
      <c r="D2135" s="6" t="n">
        <f aca="false">INT((ROW()-1)/208)</f>
        <v>10</v>
      </c>
      <c r="F2135" s="6" t="str">
        <f aca="false">MID(VLOOKUP(D2135,$P$1:$Q$13,2,0), 1 + C2135,1)</f>
        <v>특</v>
      </c>
      <c r="G2135" s="6" t="str">
        <f aca="false">DEC2HEX(D2135+36, 2)</f>
        <v>2E</v>
      </c>
      <c r="H2135" s="6" t="str">
        <f aca="false">DEC2HEX(C2135+48,2)</f>
        <v>66</v>
      </c>
      <c r="I2135" s="6" t="str">
        <f aca="false">_xlfn.CONCAT("\x", G2135, "\x", H2135, "=", F2135)</f>
        <v>\x2E\x66=특</v>
      </c>
      <c r="M2135" s="8"/>
    </row>
    <row r="2136" customFormat="false" ht="12.8" hidden="false" customHeight="true" outlineLevel="0" collapsed="false">
      <c r="C2136" s="6" t="n">
        <f aca="false">MOD(ROW()-1, 208)</f>
        <v>55</v>
      </c>
      <c r="D2136" s="6" t="n">
        <f aca="false">INT((ROW()-1)/208)</f>
        <v>10</v>
      </c>
      <c r="F2136" s="6" t="str">
        <f aca="false">MID(VLOOKUP(D2136,$P$1:$Q$13,2,0), 1 + C2136,1)</f>
        <v>튼</v>
      </c>
      <c r="G2136" s="6" t="str">
        <f aca="false">DEC2HEX(D2136+36, 2)</f>
        <v>2E</v>
      </c>
      <c r="H2136" s="6" t="str">
        <f aca="false">DEC2HEX(C2136+48,2)</f>
        <v>67</v>
      </c>
      <c r="I2136" s="6" t="str">
        <f aca="false">_xlfn.CONCAT("\x", G2136, "\x", H2136, "=", F2136)</f>
        <v>\x2E\x67=튼</v>
      </c>
      <c r="M2136" s="8"/>
    </row>
    <row r="2137" customFormat="false" ht="12.8" hidden="false" customHeight="true" outlineLevel="0" collapsed="false">
      <c r="C2137" s="6" t="n">
        <f aca="false">MOD(ROW()-1, 208)</f>
        <v>56</v>
      </c>
      <c r="D2137" s="6" t="n">
        <f aca="false">INT((ROW()-1)/208)</f>
        <v>10</v>
      </c>
      <c r="F2137" s="6" t="str">
        <f aca="false">MID(VLOOKUP(D2137,$P$1:$Q$13,2,0), 1 + C2137,1)</f>
        <v>튿</v>
      </c>
      <c r="G2137" s="6" t="str">
        <f aca="false">DEC2HEX(D2137+36, 2)</f>
        <v>2E</v>
      </c>
      <c r="H2137" s="6" t="str">
        <f aca="false">DEC2HEX(C2137+48,2)</f>
        <v>68</v>
      </c>
      <c r="I2137" s="6" t="str">
        <f aca="false">_xlfn.CONCAT("\x", G2137, "\x", H2137, "=", F2137)</f>
        <v>\x2E\x68=튿</v>
      </c>
      <c r="M2137" s="8"/>
    </row>
    <row r="2138" customFormat="false" ht="12.8" hidden="false" customHeight="true" outlineLevel="0" collapsed="false">
      <c r="C2138" s="6" t="n">
        <f aca="false">MOD(ROW()-1, 208)</f>
        <v>57</v>
      </c>
      <c r="D2138" s="6" t="n">
        <f aca="false">INT((ROW()-1)/208)</f>
        <v>10</v>
      </c>
      <c r="F2138" s="6" t="str">
        <f aca="false">MID(VLOOKUP(D2138,$P$1:$Q$13,2,0), 1 + C2138,1)</f>
        <v>틀</v>
      </c>
      <c r="G2138" s="6" t="str">
        <f aca="false">DEC2HEX(D2138+36, 2)</f>
        <v>2E</v>
      </c>
      <c r="H2138" s="6" t="str">
        <f aca="false">DEC2HEX(C2138+48,2)</f>
        <v>69</v>
      </c>
      <c r="I2138" s="6" t="str">
        <f aca="false">_xlfn.CONCAT("\x", G2138, "\x", H2138, "=", F2138)</f>
        <v>\x2E\x69=틀</v>
      </c>
      <c r="M2138" s="8"/>
    </row>
    <row r="2139" customFormat="false" ht="12.8" hidden="false" customHeight="true" outlineLevel="0" collapsed="false">
      <c r="C2139" s="6" t="n">
        <f aca="false">MOD(ROW()-1, 208)</f>
        <v>58</v>
      </c>
      <c r="D2139" s="6" t="n">
        <f aca="false">INT((ROW()-1)/208)</f>
        <v>10</v>
      </c>
      <c r="F2139" s="6" t="str">
        <f aca="false">MID(VLOOKUP(D2139,$P$1:$Q$13,2,0), 1 + C2139,1)</f>
        <v>틂</v>
      </c>
      <c r="G2139" s="6" t="str">
        <f aca="false">DEC2HEX(D2139+36, 2)</f>
        <v>2E</v>
      </c>
      <c r="H2139" s="6" t="str">
        <f aca="false">DEC2HEX(C2139+48,2)</f>
        <v>6A</v>
      </c>
      <c r="I2139" s="6" t="str">
        <f aca="false">_xlfn.CONCAT("\x", G2139, "\x", H2139, "=", F2139)</f>
        <v>\x2E\x6A=틂</v>
      </c>
      <c r="M2139" s="8"/>
    </row>
    <row r="2140" customFormat="false" ht="12.8" hidden="false" customHeight="true" outlineLevel="0" collapsed="false">
      <c r="C2140" s="6" t="n">
        <f aca="false">MOD(ROW()-1, 208)</f>
        <v>59</v>
      </c>
      <c r="D2140" s="6" t="n">
        <f aca="false">INT((ROW()-1)/208)</f>
        <v>10</v>
      </c>
      <c r="F2140" s="6" t="str">
        <f aca="false">MID(VLOOKUP(D2140,$P$1:$Q$13,2,0), 1 + C2140,1)</f>
        <v>틈</v>
      </c>
      <c r="G2140" s="6" t="str">
        <f aca="false">DEC2HEX(D2140+36, 2)</f>
        <v>2E</v>
      </c>
      <c r="H2140" s="6" t="str">
        <f aca="false">DEC2HEX(C2140+48,2)</f>
        <v>6B</v>
      </c>
      <c r="I2140" s="6" t="str">
        <f aca="false">_xlfn.CONCAT("\x", G2140, "\x", H2140, "=", F2140)</f>
        <v>\x2E\x6B=틈</v>
      </c>
      <c r="M2140" s="8"/>
    </row>
    <row r="2141" customFormat="false" ht="12.8" hidden="false" customHeight="true" outlineLevel="0" collapsed="false">
      <c r="C2141" s="6" t="n">
        <f aca="false">MOD(ROW()-1, 208)</f>
        <v>60</v>
      </c>
      <c r="D2141" s="6" t="n">
        <f aca="false">INT((ROW()-1)/208)</f>
        <v>10</v>
      </c>
      <c r="F2141" s="6" t="str">
        <f aca="false">MID(VLOOKUP(D2141,$P$1:$Q$13,2,0), 1 + C2141,1)</f>
        <v>틉</v>
      </c>
      <c r="G2141" s="6" t="str">
        <f aca="false">DEC2HEX(D2141+36, 2)</f>
        <v>2E</v>
      </c>
      <c r="H2141" s="6" t="str">
        <f aca="false">DEC2HEX(C2141+48,2)</f>
        <v>6C</v>
      </c>
      <c r="I2141" s="6" t="str">
        <f aca="false">_xlfn.CONCAT("\x", G2141, "\x", H2141, "=", F2141)</f>
        <v>\x2E\x6C=틉</v>
      </c>
      <c r="M2141" s="8"/>
    </row>
    <row r="2142" customFormat="false" ht="12.8" hidden="false" customHeight="true" outlineLevel="0" collapsed="false">
      <c r="C2142" s="6" t="n">
        <f aca="false">MOD(ROW()-1, 208)</f>
        <v>61</v>
      </c>
      <c r="D2142" s="6" t="n">
        <f aca="false">INT((ROW()-1)/208)</f>
        <v>10</v>
      </c>
      <c r="F2142" s="6" t="str">
        <f aca="false">MID(VLOOKUP(D2142,$P$1:$Q$13,2,0), 1 + C2142,1)</f>
        <v>틋</v>
      </c>
      <c r="G2142" s="6" t="str">
        <f aca="false">DEC2HEX(D2142+36, 2)</f>
        <v>2E</v>
      </c>
      <c r="H2142" s="6" t="str">
        <f aca="false">DEC2HEX(C2142+48,2)</f>
        <v>6D</v>
      </c>
      <c r="I2142" s="6" t="str">
        <f aca="false">_xlfn.CONCAT("\x", G2142, "\x", H2142, "=", F2142)</f>
        <v>\x2E\x6D=틋</v>
      </c>
      <c r="M2142" s="8"/>
    </row>
    <row r="2143" customFormat="false" ht="12.8" hidden="false" customHeight="true" outlineLevel="0" collapsed="false">
      <c r="C2143" s="6" t="n">
        <f aca="false">MOD(ROW()-1, 208)</f>
        <v>62</v>
      </c>
      <c r="D2143" s="6" t="n">
        <f aca="false">INT((ROW()-1)/208)</f>
        <v>10</v>
      </c>
      <c r="F2143" s="6" t="str">
        <f aca="false">MID(VLOOKUP(D2143,$P$1:$Q$13,2,0), 1 + C2143,1)</f>
        <v>틔</v>
      </c>
      <c r="G2143" s="6" t="str">
        <f aca="false">DEC2HEX(D2143+36, 2)</f>
        <v>2E</v>
      </c>
      <c r="H2143" s="6" t="str">
        <f aca="false">DEC2HEX(C2143+48,2)</f>
        <v>6E</v>
      </c>
      <c r="I2143" s="6" t="str">
        <f aca="false">_xlfn.CONCAT("\x", G2143, "\x", H2143, "=", F2143)</f>
        <v>\x2E\x6E=틔</v>
      </c>
      <c r="M2143" s="8"/>
    </row>
    <row r="2144" customFormat="false" ht="12.8" hidden="false" customHeight="true" outlineLevel="0" collapsed="false">
      <c r="C2144" s="6" t="n">
        <f aca="false">MOD(ROW()-1, 208)</f>
        <v>63</v>
      </c>
      <c r="D2144" s="6" t="n">
        <f aca="false">INT((ROW()-1)/208)</f>
        <v>10</v>
      </c>
      <c r="F2144" s="6" t="str">
        <f aca="false">MID(VLOOKUP(D2144,$P$1:$Q$13,2,0), 1 + C2144,1)</f>
        <v>틘</v>
      </c>
      <c r="G2144" s="6" t="str">
        <f aca="false">DEC2HEX(D2144+36, 2)</f>
        <v>2E</v>
      </c>
      <c r="H2144" s="6" t="str">
        <f aca="false">DEC2HEX(C2144+48,2)</f>
        <v>6F</v>
      </c>
      <c r="I2144" s="6" t="str">
        <f aca="false">_xlfn.CONCAT("\x", G2144, "\x", H2144, "=", F2144)</f>
        <v>\x2E\x6F=틘</v>
      </c>
      <c r="M2144" s="8"/>
    </row>
    <row r="2145" customFormat="false" ht="12.8" hidden="false" customHeight="true" outlineLevel="0" collapsed="false">
      <c r="C2145" s="6" t="n">
        <f aca="false">MOD(ROW()-1, 208)</f>
        <v>64</v>
      </c>
      <c r="D2145" s="6" t="n">
        <f aca="false">INT((ROW()-1)/208)</f>
        <v>10</v>
      </c>
      <c r="F2145" s="6" t="str">
        <f aca="false">MID(VLOOKUP(D2145,$P$1:$Q$13,2,0), 1 + C2145,1)</f>
        <v>틜</v>
      </c>
      <c r="G2145" s="6" t="str">
        <f aca="false">DEC2HEX(D2145+36, 2)</f>
        <v>2E</v>
      </c>
      <c r="H2145" s="6" t="str">
        <f aca="false">DEC2HEX(C2145+48,2)</f>
        <v>70</v>
      </c>
      <c r="I2145" s="6" t="str">
        <f aca="false">_xlfn.CONCAT("\x", G2145, "\x", H2145, "=", F2145)</f>
        <v>\x2E\x70=틜</v>
      </c>
      <c r="M2145" s="8"/>
    </row>
    <row r="2146" customFormat="false" ht="12.8" hidden="false" customHeight="true" outlineLevel="0" collapsed="false">
      <c r="C2146" s="6" t="n">
        <f aca="false">MOD(ROW()-1, 208)</f>
        <v>65</v>
      </c>
      <c r="D2146" s="6" t="n">
        <f aca="false">INT((ROW()-1)/208)</f>
        <v>10</v>
      </c>
      <c r="F2146" s="6" t="str">
        <f aca="false">MID(VLOOKUP(D2146,$P$1:$Q$13,2,0), 1 + C2146,1)</f>
        <v>틤</v>
      </c>
      <c r="G2146" s="6" t="str">
        <f aca="false">DEC2HEX(D2146+36, 2)</f>
        <v>2E</v>
      </c>
      <c r="H2146" s="6" t="str">
        <f aca="false">DEC2HEX(C2146+48,2)</f>
        <v>71</v>
      </c>
      <c r="I2146" s="6" t="str">
        <f aca="false">_xlfn.CONCAT("\x", G2146, "\x", H2146, "=", F2146)</f>
        <v>\x2E\x71=틤</v>
      </c>
      <c r="M2146" s="8"/>
    </row>
    <row r="2147" customFormat="false" ht="12.8" hidden="false" customHeight="true" outlineLevel="0" collapsed="false">
      <c r="C2147" s="6" t="n">
        <f aca="false">MOD(ROW()-1, 208)</f>
        <v>66</v>
      </c>
      <c r="D2147" s="6" t="n">
        <f aca="false">INT((ROW()-1)/208)</f>
        <v>10</v>
      </c>
      <c r="F2147" s="6" t="str">
        <f aca="false">MID(VLOOKUP(D2147,$P$1:$Q$13,2,0), 1 + C2147,1)</f>
        <v>틥</v>
      </c>
      <c r="G2147" s="6" t="str">
        <f aca="false">DEC2HEX(D2147+36, 2)</f>
        <v>2E</v>
      </c>
      <c r="H2147" s="6" t="str">
        <f aca="false">DEC2HEX(C2147+48,2)</f>
        <v>72</v>
      </c>
      <c r="I2147" s="6" t="str">
        <f aca="false">_xlfn.CONCAT("\x", G2147, "\x", H2147, "=", F2147)</f>
        <v>\x2E\x72=틥</v>
      </c>
      <c r="M2147" s="8"/>
    </row>
    <row r="2148" customFormat="false" ht="12.8" hidden="false" customHeight="true" outlineLevel="0" collapsed="false">
      <c r="C2148" s="6" t="n">
        <f aca="false">MOD(ROW()-1, 208)</f>
        <v>67</v>
      </c>
      <c r="D2148" s="6" t="n">
        <f aca="false">INT((ROW()-1)/208)</f>
        <v>10</v>
      </c>
      <c r="F2148" s="6" t="str">
        <f aca="false">MID(VLOOKUP(D2148,$P$1:$Q$13,2,0), 1 + C2148,1)</f>
        <v>티</v>
      </c>
      <c r="G2148" s="6" t="str">
        <f aca="false">DEC2HEX(D2148+36, 2)</f>
        <v>2E</v>
      </c>
      <c r="H2148" s="6" t="str">
        <f aca="false">DEC2HEX(C2148+48,2)</f>
        <v>73</v>
      </c>
      <c r="I2148" s="6" t="str">
        <f aca="false">_xlfn.CONCAT("\x", G2148, "\x", H2148, "=", F2148)</f>
        <v>\x2E\x73=티</v>
      </c>
      <c r="M2148" s="8"/>
    </row>
    <row r="2149" customFormat="false" ht="12.8" hidden="false" customHeight="true" outlineLevel="0" collapsed="false">
      <c r="C2149" s="6" t="n">
        <f aca="false">MOD(ROW()-1, 208)</f>
        <v>68</v>
      </c>
      <c r="D2149" s="6" t="n">
        <f aca="false">INT((ROW()-1)/208)</f>
        <v>10</v>
      </c>
      <c r="F2149" s="6" t="str">
        <f aca="false">MID(VLOOKUP(D2149,$P$1:$Q$13,2,0), 1 + C2149,1)</f>
        <v>틱</v>
      </c>
      <c r="G2149" s="6" t="str">
        <f aca="false">DEC2HEX(D2149+36, 2)</f>
        <v>2E</v>
      </c>
      <c r="H2149" s="6" t="str">
        <f aca="false">DEC2HEX(C2149+48,2)</f>
        <v>74</v>
      </c>
      <c r="I2149" s="6" t="str">
        <f aca="false">_xlfn.CONCAT("\x", G2149, "\x", H2149, "=", F2149)</f>
        <v>\x2E\x74=틱</v>
      </c>
      <c r="M2149" s="8"/>
    </row>
    <row r="2150" customFormat="false" ht="12.8" hidden="false" customHeight="true" outlineLevel="0" collapsed="false">
      <c r="C2150" s="6" t="n">
        <f aca="false">MOD(ROW()-1, 208)</f>
        <v>69</v>
      </c>
      <c r="D2150" s="6" t="n">
        <f aca="false">INT((ROW()-1)/208)</f>
        <v>10</v>
      </c>
      <c r="F2150" s="6" t="str">
        <f aca="false">MID(VLOOKUP(D2150,$P$1:$Q$13,2,0), 1 + C2150,1)</f>
        <v>틴</v>
      </c>
      <c r="G2150" s="6" t="str">
        <f aca="false">DEC2HEX(D2150+36, 2)</f>
        <v>2E</v>
      </c>
      <c r="H2150" s="6" t="str">
        <f aca="false">DEC2HEX(C2150+48,2)</f>
        <v>75</v>
      </c>
      <c r="I2150" s="6" t="str">
        <f aca="false">_xlfn.CONCAT("\x", G2150, "\x", H2150, "=", F2150)</f>
        <v>\x2E\x75=틴</v>
      </c>
      <c r="M2150" s="8"/>
    </row>
    <row r="2151" customFormat="false" ht="12.8" hidden="false" customHeight="true" outlineLevel="0" collapsed="false">
      <c r="C2151" s="6" t="n">
        <f aca="false">MOD(ROW()-1, 208)</f>
        <v>70</v>
      </c>
      <c r="D2151" s="6" t="n">
        <f aca="false">INT((ROW()-1)/208)</f>
        <v>10</v>
      </c>
      <c r="F2151" s="6" t="str">
        <f aca="false">MID(VLOOKUP(D2151,$P$1:$Q$13,2,0), 1 + C2151,1)</f>
        <v>틸</v>
      </c>
      <c r="G2151" s="6" t="str">
        <f aca="false">DEC2HEX(D2151+36, 2)</f>
        <v>2E</v>
      </c>
      <c r="H2151" s="6" t="str">
        <f aca="false">DEC2HEX(C2151+48,2)</f>
        <v>76</v>
      </c>
      <c r="I2151" s="6" t="str">
        <f aca="false">_xlfn.CONCAT("\x", G2151, "\x", H2151, "=", F2151)</f>
        <v>\x2E\x76=틸</v>
      </c>
      <c r="M2151" s="8"/>
    </row>
    <row r="2152" customFormat="false" ht="12.8" hidden="false" customHeight="true" outlineLevel="0" collapsed="false">
      <c r="C2152" s="6" t="n">
        <f aca="false">MOD(ROW()-1, 208)</f>
        <v>71</v>
      </c>
      <c r="D2152" s="6" t="n">
        <f aca="false">INT((ROW()-1)/208)</f>
        <v>10</v>
      </c>
      <c r="F2152" s="6" t="str">
        <f aca="false">MID(VLOOKUP(D2152,$P$1:$Q$13,2,0), 1 + C2152,1)</f>
        <v>팀</v>
      </c>
      <c r="G2152" s="6" t="str">
        <f aca="false">DEC2HEX(D2152+36, 2)</f>
        <v>2E</v>
      </c>
      <c r="H2152" s="6" t="str">
        <f aca="false">DEC2HEX(C2152+48,2)</f>
        <v>77</v>
      </c>
      <c r="I2152" s="6" t="str">
        <f aca="false">_xlfn.CONCAT("\x", G2152, "\x", H2152, "=", F2152)</f>
        <v>\x2E\x77=팀</v>
      </c>
      <c r="M2152" s="8"/>
    </row>
    <row r="2153" customFormat="false" ht="12.8" hidden="false" customHeight="true" outlineLevel="0" collapsed="false">
      <c r="C2153" s="6" t="n">
        <f aca="false">MOD(ROW()-1, 208)</f>
        <v>72</v>
      </c>
      <c r="D2153" s="6" t="n">
        <f aca="false">INT((ROW()-1)/208)</f>
        <v>10</v>
      </c>
      <c r="F2153" s="6" t="str">
        <f aca="false">MID(VLOOKUP(D2153,$P$1:$Q$13,2,0), 1 + C2153,1)</f>
        <v>팁</v>
      </c>
      <c r="G2153" s="6" t="str">
        <f aca="false">DEC2HEX(D2153+36, 2)</f>
        <v>2E</v>
      </c>
      <c r="H2153" s="6" t="str">
        <f aca="false">DEC2HEX(C2153+48,2)</f>
        <v>78</v>
      </c>
      <c r="I2153" s="6" t="str">
        <f aca="false">_xlfn.CONCAT("\x", G2153, "\x", H2153, "=", F2153)</f>
        <v>\x2E\x78=팁</v>
      </c>
      <c r="M2153" s="8"/>
    </row>
    <row r="2154" customFormat="false" ht="12.8" hidden="false" customHeight="true" outlineLevel="0" collapsed="false">
      <c r="C2154" s="6" t="n">
        <f aca="false">MOD(ROW()-1, 208)</f>
        <v>73</v>
      </c>
      <c r="D2154" s="6" t="n">
        <f aca="false">INT((ROW()-1)/208)</f>
        <v>10</v>
      </c>
      <c r="F2154" s="6" t="str">
        <f aca="false">MID(VLOOKUP(D2154,$P$1:$Q$13,2,0), 1 + C2154,1)</f>
        <v>팃</v>
      </c>
      <c r="G2154" s="6" t="str">
        <f aca="false">DEC2HEX(D2154+36, 2)</f>
        <v>2E</v>
      </c>
      <c r="H2154" s="6" t="str">
        <f aca="false">DEC2HEX(C2154+48,2)</f>
        <v>79</v>
      </c>
      <c r="I2154" s="6" t="str">
        <f aca="false">_xlfn.CONCAT("\x", G2154, "\x", H2154, "=", F2154)</f>
        <v>\x2E\x79=팃</v>
      </c>
      <c r="M2154" s="8"/>
    </row>
    <row r="2155" customFormat="false" ht="12.8" hidden="false" customHeight="true" outlineLevel="0" collapsed="false">
      <c r="C2155" s="6" t="n">
        <f aca="false">MOD(ROW()-1, 208)</f>
        <v>74</v>
      </c>
      <c r="D2155" s="6" t="n">
        <f aca="false">INT((ROW()-1)/208)</f>
        <v>10</v>
      </c>
      <c r="F2155" s="6" t="str">
        <f aca="false">MID(VLOOKUP(D2155,$P$1:$Q$13,2,0), 1 + C2155,1)</f>
        <v>팅</v>
      </c>
      <c r="G2155" s="6" t="str">
        <f aca="false">DEC2HEX(D2155+36, 2)</f>
        <v>2E</v>
      </c>
      <c r="H2155" s="6" t="str">
        <f aca="false">DEC2HEX(C2155+48,2)</f>
        <v>7A</v>
      </c>
      <c r="I2155" s="6" t="str">
        <f aca="false">_xlfn.CONCAT("\x", G2155, "\x", H2155, "=", F2155)</f>
        <v>\x2E\x7A=팅</v>
      </c>
      <c r="M2155" s="8"/>
    </row>
    <row r="2156" customFormat="false" ht="12.8" hidden="false" customHeight="true" outlineLevel="0" collapsed="false">
      <c r="C2156" s="6" t="n">
        <f aca="false">MOD(ROW()-1, 208)</f>
        <v>75</v>
      </c>
      <c r="D2156" s="6" t="n">
        <f aca="false">INT((ROW()-1)/208)</f>
        <v>10</v>
      </c>
      <c r="F2156" s="6" t="str">
        <f aca="false">MID(VLOOKUP(D2156,$P$1:$Q$13,2,0), 1 + C2156,1)</f>
        <v>파</v>
      </c>
      <c r="G2156" s="6" t="str">
        <f aca="false">DEC2HEX(D2156+36, 2)</f>
        <v>2E</v>
      </c>
      <c r="H2156" s="6" t="str">
        <f aca="false">DEC2HEX(C2156+48,2)</f>
        <v>7B</v>
      </c>
      <c r="I2156" s="6" t="str">
        <f aca="false">_xlfn.CONCAT("\x", G2156, "\x", H2156, "=", F2156)</f>
        <v>\x2E\x7B=파</v>
      </c>
      <c r="M2156" s="8"/>
    </row>
    <row r="2157" customFormat="false" ht="12.8" hidden="false" customHeight="true" outlineLevel="0" collapsed="false">
      <c r="C2157" s="6" t="n">
        <f aca="false">MOD(ROW()-1, 208)</f>
        <v>76</v>
      </c>
      <c r="D2157" s="6" t="n">
        <f aca="false">INT((ROW()-1)/208)</f>
        <v>10</v>
      </c>
      <c r="F2157" s="6" t="str">
        <f aca="false">MID(VLOOKUP(D2157,$P$1:$Q$13,2,0), 1 + C2157,1)</f>
        <v>팍</v>
      </c>
      <c r="G2157" s="6" t="str">
        <f aca="false">DEC2HEX(D2157+36, 2)</f>
        <v>2E</v>
      </c>
      <c r="H2157" s="6" t="str">
        <f aca="false">DEC2HEX(C2157+48,2)</f>
        <v>7C</v>
      </c>
      <c r="I2157" s="6" t="str">
        <f aca="false">_xlfn.CONCAT("\x", G2157, "\x", H2157, "=", F2157)</f>
        <v>\x2E\x7C=팍</v>
      </c>
      <c r="M2157" s="8"/>
    </row>
    <row r="2158" customFormat="false" ht="12.8" hidden="false" customHeight="true" outlineLevel="0" collapsed="false">
      <c r="C2158" s="6" t="n">
        <f aca="false">MOD(ROW()-1, 208)</f>
        <v>77</v>
      </c>
      <c r="D2158" s="6" t="n">
        <f aca="false">INT((ROW()-1)/208)</f>
        <v>10</v>
      </c>
      <c r="F2158" s="6" t="str">
        <f aca="false">MID(VLOOKUP(D2158,$P$1:$Q$13,2,0), 1 + C2158,1)</f>
        <v>팎</v>
      </c>
      <c r="G2158" s="6" t="str">
        <f aca="false">DEC2HEX(D2158+36, 2)</f>
        <v>2E</v>
      </c>
      <c r="H2158" s="6" t="str">
        <f aca="false">DEC2HEX(C2158+48,2)</f>
        <v>7D</v>
      </c>
      <c r="I2158" s="6" t="str">
        <f aca="false">_xlfn.CONCAT("\x", G2158, "\x", H2158, "=", F2158)</f>
        <v>\x2E\x7D=팎</v>
      </c>
      <c r="M2158" s="8"/>
    </row>
    <row r="2159" customFormat="false" ht="12.8" hidden="false" customHeight="true" outlineLevel="0" collapsed="false">
      <c r="C2159" s="6" t="n">
        <f aca="false">MOD(ROW()-1, 208)</f>
        <v>78</v>
      </c>
      <c r="D2159" s="6" t="n">
        <f aca="false">INT((ROW()-1)/208)</f>
        <v>10</v>
      </c>
      <c r="F2159" s="6" t="str">
        <f aca="false">MID(VLOOKUP(D2159,$P$1:$Q$13,2,0), 1 + C2159,1)</f>
        <v>판</v>
      </c>
      <c r="G2159" s="6" t="str">
        <f aca="false">DEC2HEX(D2159+36, 2)</f>
        <v>2E</v>
      </c>
      <c r="H2159" s="6" t="str">
        <f aca="false">DEC2HEX(C2159+48,2)</f>
        <v>7E</v>
      </c>
      <c r="I2159" s="6" t="str">
        <f aca="false">_xlfn.CONCAT("\x", G2159, "\x", H2159, "=", F2159)</f>
        <v>\x2E\x7E=판</v>
      </c>
      <c r="M2159" s="8"/>
    </row>
    <row r="2160" customFormat="false" ht="12.8" hidden="false" customHeight="true" outlineLevel="0" collapsed="false">
      <c r="C2160" s="6" t="n">
        <f aca="false">MOD(ROW()-1, 208)</f>
        <v>79</v>
      </c>
      <c r="D2160" s="6" t="n">
        <f aca="false">INT((ROW()-1)/208)</f>
        <v>10</v>
      </c>
      <c r="F2160" s="6" t="str">
        <f aca="false">MID(VLOOKUP(D2160,$P$1:$Q$13,2,0), 1 + C2160,1)</f>
        <v>팔</v>
      </c>
      <c r="G2160" s="6" t="str">
        <f aca="false">DEC2HEX(D2160+36, 2)</f>
        <v>2E</v>
      </c>
      <c r="H2160" s="6" t="str">
        <f aca="false">DEC2HEX(C2160+48,2)</f>
        <v>7F</v>
      </c>
      <c r="I2160" s="6" t="str">
        <f aca="false">_xlfn.CONCAT("\x", G2160, "\x", H2160, "=", F2160)</f>
        <v>\x2E\x7F=팔</v>
      </c>
      <c r="M2160" s="8"/>
    </row>
    <row r="2161" customFormat="false" ht="12.8" hidden="false" customHeight="true" outlineLevel="0" collapsed="false">
      <c r="C2161" s="6" t="n">
        <f aca="false">MOD(ROW()-1, 208)</f>
        <v>80</v>
      </c>
      <c r="D2161" s="6" t="n">
        <f aca="false">INT((ROW()-1)/208)</f>
        <v>10</v>
      </c>
      <c r="F2161" s="6" t="str">
        <f aca="false">MID(VLOOKUP(D2161,$P$1:$Q$13,2,0), 1 + C2161,1)</f>
        <v>팖</v>
      </c>
      <c r="G2161" s="6" t="str">
        <f aca="false">DEC2HEX(D2161+36, 2)</f>
        <v>2E</v>
      </c>
      <c r="H2161" s="6" t="str">
        <f aca="false">DEC2HEX(C2161+48,2)</f>
        <v>80</v>
      </c>
      <c r="I2161" s="6" t="str">
        <f aca="false">_xlfn.CONCAT("\x", G2161, "\x", H2161, "=", F2161)</f>
        <v>\x2E\x80=팖</v>
      </c>
      <c r="M2161" s="8"/>
    </row>
    <row r="2162" customFormat="false" ht="12.8" hidden="false" customHeight="true" outlineLevel="0" collapsed="false">
      <c r="C2162" s="6" t="n">
        <f aca="false">MOD(ROW()-1, 208)</f>
        <v>81</v>
      </c>
      <c r="D2162" s="6" t="n">
        <f aca="false">INT((ROW()-1)/208)</f>
        <v>10</v>
      </c>
      <c r="F2162" s="6" t="str">
        <f aca="false">MID(VLOOKUP(D2162,$P$1:$Q$13,2,0), 1 + C2162,1)</f>
        <v>팜</v>
      </c>
      <c r="G2162" s="6" t="str">
        <f aca="false">DEC2HEX(D2162+36, 2)</f>
        <v>2E</v>
      </c>
      <c r="H2162" s="6" t="str">
        <f aca="false">DEC2HEX(C2162+48,2)</f>
        <v>81</v>
      </c>
      <c r="I2162" s="6" t="str">
        <f aca="false">_xlfn.CONCAT("\x", G2162, "\x", H2162, "=", F2162)</f>
        <v>\x2E\x81=팜</v>
      </c>
      <c r="M2162" s="8"/>
    </row>
    <row r="2163" customFormat="false" ht="12.8" hidden="false" customHeight="true" outlineLevel="0" collapsed="false">
      <c r="C2163" s="6" t="n">
        <f aca="false">MOD(ROW()-1, 208)</f>
        <v>82</v>
      </c>
      <c r="D2163" s="6" t="n">
        <f aca="false">INT((ROW()-1)/208)</f>
        <v>10</v>
      </c>
      <c r="F2163" s="6" t="str">
        <f aca="false">MID(VLOOKUP(D2163,$P$1:$Q$13,2,0), 1 + C2163,1)</f>
        <v>팝</v>
      </c>
      <c r="G2163" s="6" t="str">
        <f aca="false">DEC2HEX(D2163+36, 2)</f>
        <v>2E</v>
      </c>
      <c r="H2163" s="6" t="str">
        <f aca="false">DEC2HEX(C2163+48,2)</f>
        <v>82</v>
      </c>
      <c r="I2163" s="6" t="str">
        <f aca="false">_xlfn.CONCAT("\x", G2163, "\x", H2163, "=", F2163)</f>
        <v>\x2E\x82=팝</v>
      </c>
      <c r="M2163" s="8"/>
    </row>
    <row r="2164" customFormat="false" ht="12.8" hidden="false" customHeight="true" outlineLevel="0" collapsed="false">
      <c r="C2164" s="6" t="n">
        <f aca="false">MOD(ROW()-1, 208)</f>
        <v>83</v>
      </c>
      <c r="D2164" s="6" t="n">
        <f aca="false">INT((ROW()-1)/208)</f>
        <v>10</v>
      </c>
      <c r="F2164" s="6" t="str">
        <f aca="false">MID(VLOOKUP(D2164,$P$1:$Q$13,2,0), 1 + C2164,1)</f>
        <v>팟</v>
      </c>
      <c r="G2164" s="6" t="str">
        <f aca="false">DEC2HEX(D2164+36, 2)</f>
        <v>2E</v>
      </c>
      <c r="H2164" s="6" t="str">
        <f aca="false">DEC2HEX(C2164+48,2)</f>
        <v>83</v>
      </c>
      <c r="I2164" s="6" t="str">
        <f aca="false">_xlfn.CONCAT("\x", G2164, "\x", H2164, "=", F2164)</f>
        <v>\x2E\x83=팟</v>
      </c>
      <c r="M2164" s="8"/>
    </row>
    <row r="2165" customFormat="false" ht="12.8" hidden="false" customHeight="true" outlineLevel="0" collapsed="false">
      <c r="C2165" s="6" t="n">
        <f aca="false">MOD(ROW()-1, 208)</f>
        <v>84</v>
      </c>
      <c r="D2165" s="6" t="n">
        <f aca="false">INT((ROW()-1)/208)</f>
        <v>10</v>
      </c>
      <c r="F2165" s="6" t="str">
        <f aca="false">MID(VLOOKUP(D2165,$P$1:$Q$13,2,0), 1 + C2165,1)</f>
        <v>팠</v>
      </c>
      <c r="G2165" s="6" t="str">
        <f aca="false">DEC2HEX(D2165+36, 2)</f>
        <v>2E</v>
      </c>
      <c r="H2165" s="6" t="str">
        <f aca="false">DEC2HEX(C2165+48,2)</f>
        <v>84</v>
      </c>
      <c r="I2165" s="6" t="str">
        <f aca="false">_xlfn.CONCAT("\x", G2165, "\x", H2165, "=", F2165)</f>
        <v>\x2E\x84=팠</v>
      </c>
      <c r="M2165" s="8"/>
    </row>
    <row r="2166" customFormat="false" ht="12.8" hidden="false" customHeight="true" outlineLevel="0" collapsed="false">
      <c r="C2166" s="6" t="n">
        <f aca="false">MOD(ROW()-1, 208)</f>
        <v>85</v>
      </c>
      <c r="D2166" s="6" t="n">
        <f aca="false">INT((ROW()-1)/208)</f>
        <v>10</v>
      </c>
      <c r="F2166" s="6" t="str">
        <f aca="false">MID(VLOOKUP(D2166,$P$1:$Q$13,2,0), 1 + C2166,1)</f>
        <v>팡</v>
      </c>
      <c r="G2166" s="6" t="str">
        <f aca="false">DEC2HEX(D2166+36, 2)</f>
        <v>2E</v>
      </c>
      <c r="H2166" s="6" t="str">
        <f aca="false">DEC2HEX(C2166+48,2)</f>
        <v>85</v>
      </c>
      <c r="I2166" s="6" t="str">
        <f aca="false">_xlfn.CONCAT("\x", G2166, "\x", H2166, "=", F2166)</f>
        <v>\x2E\x85=팡</v>
      </c>
      <c r="M2166" s="8"/>
    </row>
    <row r="2167" customFormat="false" ht="12.8" hidden="false" customHeight="true" outlineLevel="0" collapsed="false">
      <c r="C2167" s="6" t="n">
        <f aca="false">MOD(ROW()-1, 208)</f>
        <v>86</v>
      </c>
      <c r="D2167" s="6" t="n">
        <f aca="false">INT((ROW()-1)/208)</f>
        <v>10</v>
      </c>
      <c r="F2167" s="6" t="str">
        <f aca="false">MID(VLOOKUP(D2167,$P$1:$Q$13,2,0), 1 + C2167,1)</f>
        <v>팥</v>
      </c>
      <c r="G2167" s="6" t="str">
        <f aca="false">DEC2HEX(D2167+36, 2)</f>
        <v>2E</v>
      </c>
      <c r="H2167" s="6" t="str">
        <f aca="false">DEC2HEX(C2167+48,2)</f>
        <v>86</v>
      </c>
      <c r="I2167" s="6" t="str">
        <f aca="false">_xlfn.CONCAT("\x", G2167, "\x", H2167, "=", F2167)</f>
        <v>\x2E\x86=팥</v>
      </c>
      <c r="M2167" s="8"/>
    </row>
    <row r="2168" customFormat="false" ht="12.8" hidden="false" customHeight="true" outlineLevel="0" collapsed="false">
      <c r="C2168" s="6" t="n">
        <f aca="false">MOD(ROW()-1, 208)</f>
        <v>87</v>
      </c>
      <c r="D2168" s="6" t="n">
        <f aca="false">INT((ROW()-1)/208)</f>
        <v>10</v>
      </c>
      <c r="F2168" s="6" t="str">
        <f aca="false">MID(VLOOKUP(D2168,$P$1:$Q$13,2,0), 1 + C2168,1)</f>
        <v>패</v>
      </c>
      <c r="G2168" s="6" t="str">
        <f aca="false">DEC2HEX(D2168+36, 2)</f>
        <v>2E</v>
      </c>
      <c r="H2168" s="6" t="str">
        <f aca="false">DEC2HEX(C2168+48,2)</f>
        <v>87</v>
      </c>
      <c r="I2168" s="6" t="str">
        <f aca="false">_xlfn.CONCAT("\x", G2168, "\x", H2168, "=", F2168)</f>
        <v>\x2E\x87=패</v>
      </c>
      <c r="M2168" s="8"/>
    </row>
    <row r="2169" customFormat="false" ht="12.8" hidden="false" customHeight="true" outlineLevel="0" collapsed="false">
      <c r="C2169" s="6" t="n">
        <f aca="false">MOD(ROW()-1, 208)</f>
        <v>88</v>
      </c>
      <c r="D2169" s="6" t="n">
        <f aca="false">INT((ROW()-1)/208)</f>
        <v>10</v>
      </c>
      <c r="F2169" s="6" t="str">
        <f aca="false">MID(VLOOKUP(D2169,$P$1:$Q$13,2,0), 1 + C2169,1)</f>
        <v>팩</v>
      </c>
      <c r="G2169" s="6" t="str">
        <f aca="false">DEC2HEX(D2169+36, 2)</f>
        <v>2E</v>
      </c>
      <c r="H2169" s="6" t="str">
        <f aca="false">DEC2HEX(C2169+48,2)</f>
        <v>88</v>
      </c>
      <c r="I2169" s="6" t="str">
        <f aca="false">_xlfn.CONCAT("\x", G2169, "\x", H2169, "=", F2169)</f>
        <v>\x2E\x88=팩</v>
      </c>
      <c r="M2169" s="8"/>
    </row>
    <row r="2170" customFormat="false" ht="12.8" hidden="false" customHeight="true" outlineLevel="0" collapsed="false">
      <c r="C2170" s="6" t="n">
        <f aca="false">MOD(ROW()-1, 208)</f>
        <v>89</v>
      </c>
      <c r="D2170" s="6" t="n">
        <f aca="false">INT((ROW()-1)/208)</f>
        <v>10</v>
      </c>
      <c r="F2170" s="6" t="str">
        <f aca="false">MID(VLOOKUP(D2170,$P$1:$Q$13,2,0), 1 + C2170,1)</f>
        <v>팬</v>
      </c>
      <c r="G2170" s="6" t="str">
        <f aca="false">DEC2HEX(D2170+36, 2)</f>
        <v>2E</v>
      </c>
      <c r="H2170" s="6" t="str">
        <f aca="false">DEC2HEX(C2170+48,2)</f>
        <v>89</v>
      </c>
      <c r="I2170" s="6" t="str">
        <f aca="false">_xlfn.CONCAT("\x", G2170, "\x", H2170, "=", F2170)</f>
        <v>\x2E\x89=팬</v>
      </c>
      <c r="M2170" s="8"/>
    </row>
    <row r="2171" customFormat="false" ht="12.8" hidden="false" customHeight="true" outlineLevel="0" collapsed="false">
      <c r="C2171" s="6" t="n">
        <f aca="false">MOD(ROW()-1, 208)</f>
        <v>90</v>
      </c>
      <c r="D2171" s="6" t="n">
        <f aca="false">INT((ROW()-1)/208)</f>
        <v>10</v>
      </c>
      <c r="F2171" s="6" t="str">
        <f aca="false">MID(VLOOKUP(D2171,$P$1:$Q$13,2,0), 1 + C2171,1)</f>
        <v>팰</v>
      </c>
      <c r="G2171" s="6" t="str">
        <f aca="false">DEC2HEX(D2171+36, 2)</f>
        <v>2E</v>
      </c>
      <c r="H2171" s="6" t="str">
        <f aca="false">DEC2HEX(C2171+48,2)</f>
        <v>8A</v>
      </c>
      <c r="I2171" s="6" t="str">
        <f aca="false">_xlfn.CONCAT("\x", G2171, "\x", H2171, "=", F2171)</f>
        <v>\x2E\x8A=팰</v>
      </c>
      <c r="M2171" s="8"/>
    </row>
    <row r="2172" customFormat="false" ht="12.8" hidden="false" customHeight="true" outlineLevel="0" collapsed="false">
      <c r="C2172" s="6" t="n">
        <f aca="false">MOD(ROW()-1, 208)</f>
        <v>91</v>
      </c>
      <c r="D2172" s="6" t="n">
        <f aca="false">INT((ROW()-1)/208)</f>
        <v>10</v>
      </c>
      <c r="F2172" s="6" t="str">
        <f aca="false">MID(VLOOKUP(D2172,$P$1:$Q$13,2,0), 1 + C2172,1)</f>
        <v>팸</v>
      </c>
      <c r="G2172" s="6" t="str">
        <f aca="false">DEC2HEX(D2172+36, 2)</f>
        <v>2E</v>
      </c>
      <c r="H2172" s="6" t="str">
        <f aca="false">DEC2HEX(C2172+48,2)</f>
        <v>8B</v>
      </c>
      <c r="I2172" s="6" t="str">
        <f aca="false">_xlfn.CONCAT("\x", G2172, "\x", H2172, "=", F2172)</f>
        <v>\x2E\x8B=팸</v>
      </c>
      <c r="M2172" s="8"/>
    </row>
    <row r="2173" customFormat="false" ht="12.8" hidden="false" customHeight="true" outlineLevel="0" collapsed="false">
      <c r="C2173" s="6" t="n">
        <f aca="false">MOD(ROW()-1, 208)</f>
        <v>92</v>
      </c>
      <c r="D2173" s="6" t="n">
        <f aca="false">INT((ROW()-1)/208)</f>
        <v>10</v>
      </c>
      <c r="F2173" s="6" t="str">
        <f aca="false">MID(VLOOKUP(D2173,$P$1:$Q$13,2,0), 1 + C2173,1)</f>
        <v>팹</v>
      </c>
      <c r="G2173" s="6" t="str">
        <f aca="false">DEC2HEX(D2173+36, 2)</f>
        <v>2E</v>
      </c>
      <c r="H2173" s="6" t="str">
        <f aca="false">DEC2HEX(C2173+48,2)</f>
        <v>8C</v>
      </c>
      <c r="I2173" s="6" t="str">
        <f aca="false">_xlfn.CONCAT("\x", G2173, "\x", H2173, "=", F2173)</f>
        <v>\x2E\x8C=팹</v>
      </c>
      <c r="M2173" s="8"/>
    </row>
    <row r="2174" customFormat="false" ht="12.8" hidden="false" customHeight="true" outlineLevel="0" collapsed="false">
      <c r="C2174" s="6" t="n">
        <f aca="false">MOD(ROW()-1, 208)</f>
        <v>93</v>
      </c>
      <c r="D2174" s="6" t="n">
        <f aca="false">INT((ROW()-1)/208)</f>
        <v>10</v>
      </c>
      <c r="F2174" s="6" t="str">
        <f aca="false">MID(VLOOKUP(D2174,$P$1:$Q$13,2,0), 1 + C2174,1)</f>
        <v>팻</v>
      </c>
      <c r="G2174" s="6" t="str">
        <f aca="false">DEC2HEX(D2174+36, 2)</f>
        <v>2E</v>
      </c>
      <c r="H2174" s="6" t="str">
        <f aca="false">DEC2HEX(C2174+48,2)</f>
        <v>8D</v>
      </c>
      <c r="I2174" s="6" t="str">
        <f aca="false">_xlfn.CONCAT("\x", G2174, "\x", H2174, "=", F2174)</f>
        <v>\x2E\x8D=팻</v>
      </c>
      <c r="M2174" s="8"/>
    </row>
    <row r="2175" customFormat="false" ht="12.8" hidden="false" customHeight="true" outlineLevel="0" collapsed="false">
      <c r="C2175" s="6" t="n">
        <f aca="false">MOD(ROW()-1, 208)</f>
        <v>94</v>
      </c>
      <c r="D2175" s="6" t="n">
        <f aca="false">INT((ROW()-1)/208)</f>
        <v>10</v>
      </c>
      <c r="F2175" s="6" t="str">
        <f aca="false">MID(VLOOKUP(D2175,$P$1:$Q$13,2,0), 1 + C2175,1)</f>
        <v>팼</v>
      </c>
      <c r="G2175" s="6" t="str">
        <f aca="false">DEC2HEX(D2175+36, 2)</f>
        <v>2E</v>
      </c>
      <c r="H2175" s="6" t="str">
        <f aca="false">DEC2HEX(C2175+48,2)</f>
        <v>8E</v>
      </c>
      <c r="I2175" s="6" t="str">
        <f aca="false">_xlfn.CONCAT("\x", G2175, "\x", H2175, "=", F2175)</f>
        <v>\x2E\x8E=팼</v>
      </c>
      <c r="M2175" s="8"/>
    </row>
    <row r="2176" customFormat="false" ht="12.8" hidden="false" customHeight="true" outlineLevel="0" collapsed="false">
      <c r="C2176" s="6" t="n">
        <f aca="false">MOD(ROW()-1, 208)</f>
        <v>95</v>
      </c>
      <c r="D2176" s="6" t="n">
        <f aca="false">INT((ROW()-1)/208)</f>
        <v>10</v>
      </c>
      <c r="F2176" s="6" t="str">
        <f aca="false">MID(VLOOKUP(D2176,$P$1:$Q$13,2,0), 1 + C2176,1)</f>
        <v>팽</v>
      </c>
      <c r="G2176" s="6" t="str">
        <f aca="false">DEC2HEX(D2176+36, 2)</f>
        <v>2E</v>
      </c>
      <c r="H2176" s="6" t="str">
        <f aca="false">DEC2HEX(C2176+48,2)</f>
        <v>8F</v>
      </c>
      <c r="I2176" s="6" t="str">
        <f aca="false">_xlfn.CONCAT("\x", G2176, "\x", H2176, "=", F2176)</f>
        <v>\x2E\x8F=팽</v>
      </c>
      <c r="M2176" s="8"/>
    </row>
    <row r="2177" customFormat="false" ht="12.8" hidden="false" customHeight="true" outlineLevel="0" collapsed="false">
      <c r="C2177" s="6" t="n">
        <f aca="false">MOD(ROW()-1, 208)</f>
        <v>96</v>
      </c>
      <c r="D2177" s="6" t="n">
        <f aca="false">INT((ROW()-1)/208)</f>
        <v>10</v>
      </c>
      <c r="F2177" s="6" t="str">
        <f aca="false">MID(VLOOKUP(D2177,$P$1:$Q$13,2,0), 1 + C2177,1)</f>
        <v>퍄</v>
      </c>
      <c r="G2177" s="6" t="str">
        <f aca="false">DEC2HEX(D2177+36, 2)</f>
        <v>2E</v>
      </c>
      <c r="H2177" s="6" t="str">
        <f aca="false">DEC2HEX(C2177+48,2)</f>
        <v>90</v>
      </c>
      <c r="I2177" s="6" t="str">
        <f aca="false">_xlfn.CONCAT("\x", G2177, "\x", H2177, "=", F2177)</f>
        <v>\x2E\x90=퍄</v>
      </c>
      <c r="M2177" s="8"/>
    </row>
    <row r="2178" customFormat="false" ht="12.8" hidden="false" customHeight="true" outlineLevel="0" collapsed="false">
      <c r="C2178" s="6" t="n">
        <f aca="false">MOD(ROW()-1, 208)</f>
        <v>97</v>
      </c>
      <c r="D2178" s="6" t="n">
        <f aca="false">INT((ROW()-1)/208)</f>
        <v>10</v>
      </c>
      <c r="F2178" s="6" t="str">
        <f aca="false">MID(VLOOKUP(D2178,$P$1:$Q$13,2,0), 1 + C2178,1)</f>
        <v>퍅</v>
      </c>
      <c r="G2178" s="6" t="str">
        <f aca="false">DEC2HEX(D2178+36, 2)</f>
        <v>2E</v>
      </c>
      <c r="H2178" s="6" t="str">
        <f aca="false">DEC2HEX(C2178+48,2)</f>
        <v>91</v>
      </c>
      <c r="I2178" s="6" t="str">
        <f aca="false">_xlfn.CONCAT("\x", G2178, "\x", H2178, "=", F2178)</f>
        <v>\x2E\x91=퍅</v>
      </c>
      <c r="M2178" s="8"/>
    </row>
    <row r="2179" customFormat="false" ht="12.8" hidden="false" customHeight="true" outlineLevel="0" collapsed="false">
      <c r="C2179" s="6" t="n">
        <f aca="false">MOD(ROW()-1, 208)</f>
        <v>98</v>
      </c>
      <c r="D2179" s="6" t="n">
        <f aca="false">INT((ROW()-1)/208)</f>
        <v>10</v>
      </c>
      <c r="F2179" s="6" t="str">
        <f aca="false">MID(VLOOKUP(D2179,$P$1:$Q$13,2,0), 1 + C2179,1)</f>
        <v>퍼</v>
      </c>
      <c r="G2179" s="6" t="str">
        <f aca="false">DEC2HEX(D2179+36, 2)</f>
        <v>2E</v>
      </c>
      <c r="H2179" s="6" t="str">
        <f aca="false">DEC2HEX(C2179+48,2)</f>
        <v>92</v>
      </c>
      <c r="I2179" s="6" t="str">
        <f aca="false">_xlfn.CONCAT("\x", G2179, "\x", H2179, "=", F2179)</f>
        <v>\x2E\x92=퍼</v>
      </c>
      <c r="M2179" s="8"/>
    </row>
    <row r="2180" customFormat="false" ht="12.8" hidden="false" customHeight="true" outlineLevel="0" collapsed="false">
      <c r="C2180" s="6" t="n">
        <f aca="false">MOD(ROW()-1, 208)</f>
        <v>99</v>
      </c>
      <c r="D2180" s="6" t="n">
        <f aca="false">INT((ROW()-1)/208)</f>
        <v>10</v>
      </c>
      <c r="F2180" s="6" t="str">
        <f aca="false">MID(VLOOKUP(D2180,$P$1:$Q$13,2,0), 1 + C2180,1)</f>
        <v>퍽</v>
      </c>
      <c r="G2180" s="6" t="str">
        <f aca="false">DEC2HEX(D2180+36, 2)</f>
        <v>2E</v>
      </c>
      <c r="H2180" s="6" t="str">
        <f aca="false">DEC2HEX(C2180+48,2)</f>
        <v>93</v>
      </c>
      <c r="I2180" s="6" t="str">
        <f aca="false">_xlfn.CONCAT("\x", G2180, "\x", H2180, "=", F2180)</f>
        <v>\x2E\x93=퍽</v>
      </c>
      <c r="M2180" s="8"/>
    </row>
    <row r="2181" customFormat="false" ht="12.8" hidden="false" customHeight="true" outlineLevel="0" collapsed="false">
      <c r="C2181" s="6" t="n">
        <f aca="false">MOD(ROW()-1, 208)</f>
        <v>100</v>
      </c>
      <c r="D2181" s="6" t="n">
        <f aca="false">INT((ROW()-1)/208)</f>
        <v>10</v>
      </c>
      <c r="F2181" s="6" t="str">
        <f aca="false">MID(VLOOKUP(D2181,$P$1:$Q$13,2,0), 1 + C2181,1)</f>
        <v>펀</v>
      </c>
      <c r="G2181" s="6" t="str">
        <f aca="false">DEC2HEX(D2181+36, 2)</f>
        <v>2E</v>
      </c>
      <c r="H2181" s="6" t="str">
        <f aca="false">DEC2HEX(C2181+48,2)</f>
        <v>94</v>
      </c>
      <c r="I2181" s="6" t="str">
        <f aca="false">_xlfn.CONCAT("\x", G2181, "\x", H2181, "=", F2181)</f>
        <v>\x2E\x94=펀</v>
      </c>
      <c r="M2181" s="8"/>
    </row>
    <row r="2182" customFormat="false" ht="12.8" hidden="false" customHeight="true" outlineLevel="0" collapsed="false">
      <c r="C2182" s="6" t="n">
        <f aca="false">MOD(ROW()-1, 208)</f>
        <v>101</v>
      </c>
      <c r="D2182" s="6" t="n">
        <f aca="false">INT((ROW()-1)/208)</f>
        <v>10</v>
      </c>
      <c r="F2182" s="6" t="str">
        <f aca="false">MID(VLOOKUP(D2182,$P$1:$Q$13,2,0), 1 + C2182,1)</f>
        <v>펄</v>
      </c>
      <c r="G2182" s="6" t="str">
        <f aca="false">DEC2HEX(D2182+36, 2)</f>
        <v>2E</v>
      </c>
      <c r="H2182" s="6" t="str">
        <f aca="false">DEC2HEX(C2182+48,2)</f>
        <v>95</v>
      </c>
      <c r="I2182" s="6" t="str">
        <f aca="false">_xlfn.CONCAT("\x", G2182, "\x", H2182, "=", F2182)</f>
        <v>\x2E\x95=펄</v>
      </c>
      <c r="M2182" s="8"/>
    </row>
    <row r="2183" customFormat="false" ht="12.8" hidden="false" customHeight="true" outlineLevel="0" collapsed="false">
      <c r="C2183" s="6" t="n">
        <f aca="false">MOD(ROW()-1, 208)</f>
        <v>102</v>
      </c>
      <c r="D2183" s="6" t="n">
        <f aca="false">INT((ROW()-1)/208)</f>
        <v>10</v>
      </c>
      <c r="F2183" s="6" t="str">
        <f aca="false">MID(VLOOKUP(D2183,$P$1:$Q$13,2,0), 1 + C2183,1)</f>
        <v>펌</v>
      </c>
      <c r="G2183" s="6" t="str">
        <f aca="false">DEC2HEX(D2183+36, 2)</f>
        <v>2E</v>
      </c>
      <c r="H2183" s="6" t="str">
        <f aca="false">DEC2HEX(C2183+48,2)</f>
        <v>96</v>
      </c>
      <c r="I2183" s="6" t="str">
        <f aca="false">_xlfn.CONCAT("\x", G2183, "\x", H2183, "=", F2183)</f>
        <v>\x2E\x96=펌</v>
      </c>
      <c r="M2183" s="8"/>
    </row>
    <row r="2184" customFormat="false" ht="12.8" hidden="false" customHeight="true" outlineLevel="0" collapsed="false">
      <c r="C2184" s="6" t="n">
        <f aca="false">MOD(ROW()-1, 208)</f>
        <v>103</v>
      </c>
      <c r="D2184" s="6" t="n">
        <f aca="false">INT((ROW()-1)/208)</f>
        <v>10</v>
      </c>
      <c r="F2184" s="6" t="str">
        <f aca="false">MID(VLOOKUP(D2184,$P$1:$Q$13,2,0), 1 + C2184,1)</f>
        <v>펍</v>
      </c>
      <c r="G2184" s="6" t="str">
        <f aca="false">DEC2HEX(D2184+36, 2)</f>
        <v>2E</v>
      </c>
      <c r="H2184" s="6" t="str">
        <f aca="false">DEC2HEX(C2184+48,2)</f>
        <v>97</v>
      </c>
      <c r="I2184" s="6" t="str">
        <f aca="false">_xlfn.CONCAT("\x", G2184, "\x", H2184, "=", F2184)</f>
        <v>\x2E\x97=펍</v>
      </c>
      <c r="M2184" s="8"/>
    </row>
    <row r="2185" customFormat="false" ht="12.8" hidden="false" customHeight="true" outlineLevel="0" collapsed="false">
      <c r="C2185" s="6" t="n">
        <f aca="false">MOD(ROW()-1, 208)</f>
        <v>104</v>
      </c>
      <c r="D2185" s="6" t="n">
        <f aca="false">INT((ROW()-1)/208)</f>
        <v>10</v>
      </c>
      <c r="F2185" s="6" t="str">
        <f aca="false">MID(VLOOKUP(D2185,$P$1:$Q$13,2,0), 1 + C2185,1)</f>
        <v>펏</v>
      </c>
      <c r="G2185" s="6" t="str">
        <f aca="false">DEC2HEX(D2185+36, 2)</f>
        <v>2E</v>
      </c>
      <c r="H2185" s="6" t="str">
        <f aca="false">DEC2HEX(C2185+48,2)</f>
        <v>98</v>
      </c>
      <c r="I2185" s="6" t="str">
        <f aca="false">_xlfn.CONCAT("\x", G2185, "\x", H2185, "=", F2185)</f>
        <v>\x2E\x98=펏</v>
      </c>
      <c r="M2185" s="8"/>
    </row>
    <row r="2186" customFormat="false" ht="12.8" hidden="false" customHeight="true" outlineLevel="0" collapsed="false">
      <c r="C2186" s="6" t="n">
        <f aca="false">MOD(ROW()-1, 208)</f>
        <v>105</v>
      </c>
      <c r="D2186" s="6" t="n">
        <f aca="false">INT((ROW()-1)/208)</f>
        <v>10</v>
      </c>
      <c r="F2186" s="6" t="str">
        <f aca="false">MID(VLOOKUP(D2186,$P$1:$Q$13,2,0), 1 + C2186,1)</f>
        <v>펐</v>
      </c>
      <c r="G2186" s="6" t="str">
        <f aca="false">DEC2HEX(D2186+36, 2)</f>
        <v>2E</v>
      </c>
      <c r="H2186" s="6" t="str">
        <f aca="false">DEC2HEX(C2186+48,2)</f>
        <v>99</v>
      </c>
      <c r="I2186" s="6" t="str">
        <f aca="false">_xlfn.CONCAT("\x", G2186, "\x", H2186, "=", F2186)</f>
        <v>\x2E\x99=펐</v>
      </c>
      <c r="M2186" s="8"/>
    </row>
    <row r="2187" customFormat="false" ht="12.8" hidden="false" customHeight="true" outlineLevel="0" collapsed="false">
      <c r="C2187" s="6" t="n">
        <f aca="false">MOD(ROW()-1, 208)</f>
        <v>106</v>
      </c>
      <c r="D2187" s="6" t="n">
        <f aca="false">INT((ROW()-1)/208)</f>
        <v>10</v>
      </c>
      <c r="F2187" s="6" t="str">
        <f aca="false">MID(VLOOKUP(D2187,$P$1:$Q$13,2,0), 1 + C2187,1)</f>
        <v>펑</v>
      </c>
      <c r="G2187" s="6" t="str">
        <f aca="false">DEC2HEX(D2187+36, 2)</f>
        <v>2E</v>
      </c>
      <c r="H2187" s="6" t="str">
        <f aca="false">DEC2HEX(C2187+48,2)</f>
        <v>9A</v>
      </c>
      <c r="I2187" s="6" t="str">
        <f aca="false">_xlfn.CONCAT("\x", G2187, "\x", H2187, "=", F2187)</f>
        <v>\x2E\x9A=펑</v>
      </c>
      <c r="M2187" s="8"/>
    </row>
    <row r="2188" customFormat="false" ht="12.8" hidden="false" customHeight="true" outlineLevel="0" collapsed="false">
      <c r="C2188" s="6" t="n">
        <f aca="false">MOD(ROW()-1, 208)</f>
        <v>107</v>
      </c>
      <c r="D2188" s="6" t="n">
        <f aca="false">INT((ROW()-1)/208)</f>
        <v>10</v>
      </c>
      <c r="F2188" s="6" t="str">
        <f aca="false">MID(VLOOKUP(D2188,$P$1:$Q$13,2,0), 1 + C2188,1)</f>
        <v>페</v>
      </c>
      <c r="G2188" s="6" t="str">
        <f aca="false">DEC2HEX(D2188+36, 2)</f>
        <v>2E</v>
      </c>
      <c r="H2188" s="6" t="str">
        <f aca="false">DEC2HEX(C2188+48,2)</f>
        <v>9B</v>
      </c>
      <c r="I2188" s="6" t="str">
        <f aca="false">_xlfn.CONCAT("\x", G2188, "\x", H2188, "=", F2188)</f>
        <v>\x2E\x9B=페</v>
      </c>
      <c r="M2188" s="8"/>
    </row>
    <row r="2189" customFormat="false" ht="12.8" hidden="false" customHeight="true" outlineLevel="0" collapsed="false">
      <c r="C2189" s="6" t="n">
        <f aca="false">MOD(ROW()-1, 208)</f>
        <v>108</v>
      </c>
      <c r="D2189" s="6" t="n">
        <f aca="false">INT((ROW()-1)/208)</f>
        <v>10</v>
      </c>
      <c r="F2189" s="6" t="str">
        <f aca="false">MID(VLOOKUP(D2189,$P$1:$Q$13,2,0), 1 + C2189,1)</f>
        <v>펙</v>
      </c>
      <c r="G2189" s="6" t="str">
        <f aca="false">DEC2HEX(D2189+36, 2)</f>
        <v>2E</v>
      </c>
      <c r="H2189" s="6" t="str">
        <f aca="false">DEC2HEX(C2189+48,2)</f>
        <v>9C</v>
      </c>
      <c r="I2189" s="6" t="str">
        <f aca="false">_xlfn.CONCAT("\x", G2189, "\x", H2189, "=", F2189)</f>
        <v>\x2E\x9C=펙</v>
      </c>
      <c r="M2189" s="8"/>
    </row>
    <row r="2190" customFormat="false" ht="12.8" hidden="false" customHeight="true" outlineLevel="0" collapsed="false">
      <c r="C2190" s="6" t="n">
        <f aca="false">MOD(ROW()-1, 208)</f>
        <v>109</v>
      </c>
      <c r="D2190" s="6" t="n">
        <f aca="false">INT((ROW()-1)/208)</f>
        <v>10</v>
      </c>
      <c r="F2190" s="6" t="str">
        <f aca="false">MID(VLOOKUP(D2190,$P$1:$Q$13,2,0), 1 + C2190,1)</f>
        <v>펜</v>
      </c>
      <c r="G2190" s="6" t="str">
        <f aca="false">DEC2HEX(D2190+36, 2)</f>
        <v>2E</v>
      </c>
      <c r="H2190" s="6" t="str">
        <f aca="false">DEC2HEX(C2190+48,2)</f>
        <v>9D</v>
      </c>
      <c r="I2190" s="6" t="str">
        <f aca="false">_xlfn.CONCAT("\x", G2190, "\x", H2190, "=", F2190)</f>
        <v>\x2E\x9D=펜</v>
      </c>
      <c r="M2190" s="8"/>
    </row>
    <row r="2191" customFormat="false" ht="12.8" hidden="false" customHeight="true" outlineLevel="0" collapsed="false">
      <c r="C2191" s="6" t="n">
        <f aca="false">MOD(ROW()-1, 208)</f>
        <v>110</v>
      </c>
      <c r="D2191" s="6" t="n">
        <f aca="false">INT((ROW()-1)/208)</f>
        <v>10</v>
      </c>
      <c r="F2191" s="6" t="str">
        <f aca="false">MID(VLOOKUP(D2191,$P$1:$Q$13,2,0), 1 + C2191,1)</f>
        <v>펠</v>
      </c>
      <c r="G2191" s="6" t="str">
        <f aca="false">DEC2HEX(D2191+36, 2)</f>
        <v>2E</v>
      </c>
      <c r="H2191" s="6" t="str">
        <f aca="false">DEC2HEX(C2191+48,2)</f>
        <v>9E</v>
      </c>
      <c r="I2191" s="6" t="str">
        <f aca="false">_xlfn.CONCAT("\x", G2191, "\x", H2191, "=", F2191)</f>
        <v>\x2E\x9E=펠</v>
      </c>
      <c r="M2191" s="8"/>
    </row>
    <row r="2192" customFormat="false" ht="12.8" hidden="false" customHeight="true" outlineLevel="0" collapsed="false">
      <c r="C2192" s="6" t="n">
        <f aca="false">MOD(ROW()-1, 208)</f>
        <v>111</v>
      </c>
      <c r="D2192" s="6" t="n">
        <f aca="false">INT((ROW()-1)/208)</f>
        <v>10</v>
      </c>
      <c r="F2192" s="6" t="str">
        <f aca="false">MID(VLOOKUP(D2192,$P$1:$Q$13,2,0), 1 + C2192,1)</f>
        <v>펨</v>
      </c>
      <c r="G2192" s="6" t="str">
        <f aca="false">DEC2HEX(D2192+36, 2)</f>
        <v>2E</v>
      </c>
      <c r="H2192" s="6" t="str">
        <f aca="false">DEC2HEX(C2192+48,2)</f>
        <v>9F</v>
      </c>
      <c r="I2192" s="6" t="str">
        <f aca="false">_xlfn.CONCAT("\x", G2192, "\x", H2192, "=", F2192)</f>
        <v>\x2E\x9F=펨</v>
      </c>
      <c r="M2192" s="8"/>
    </row>
    <row r="2193" customFormat="false" ht="12.8" hidden="false" customHeight="true" outlineLevel="0" collapsed="false">
      <c r="C2193" s="6" t="n">
        <f aca="false">MOD(ROW()-1, 208)</f>
        <v>112</v>
      </c>
      <c r="D2193" s="6" t="n">
        <f aca="false">INT((ROW()-1)/208)</f>
        <v>10</v>
      </c>
      <c r="F2193" s="6" t="str">
        <f aca="false">MID(VLOOKUP(D2193,$P$1:$Q$13,2,0), 1 + C2193,1)</f>
        <v>펩</v>
      </c>
      <c r="G2193" s="6" t="str">
        <f aca="false">DEC2HEX(D2193+36, 2)</f>
        <v>2E</v>
      </c>
      <c r="H2193" s="6" t="str">
        <f aca="false">DEC2HEX(C2193+48,2)</f>
        <v>A0</v>
      </c>
      <c r="I2193" s="6" t="str">
        <f aca="false">_xlfn.CONCAT("\x", G2193, "\x", H2193, "=", F2193)</f>
        <v>\x2E\xA0=펩</v>
      </c>
      <c r="M2193" s="8"/>
    </row>
    <row r="2194" customFormat="false" ht="12.8" hidden="false" customHeight="true" outlineLevel="0" collapsed="false">
      <c r="C2194" s="6" t="n">
        <f aca="false">MOD(ROW()-1, 208)</f>
        <v>113</v>
      </c>
      <c r="D2194" s="6" t="n">
        <f aca="false">INT((ROW()-1)/208)</f>
        <v>10</v>
      </c>
      <c r="F2194" s="6" t="str">
        <f aca="false">MID(VLOOKUP(D2194,$P$1:$Q$13,2,0), 1 + C2194,1)</f>
        <v>펫</v>
      </c>
      <c r="G2194" s="6" t="str">
        <f aca="false">DEC2HEX(D2194+36, 2)</f>
        <v>2E</v>
      </c>
      <c r="H2194" s="6" t="str">
        <f aca="false">DEC2HEX(C2194+48,2)</f>
        <v>A1</v>
      </c>
      <c r="I2194" s="6" t="str">
        <f aca="false">_xlfn.CONCAT("\x", G2194, "\x", H2194, "=", F2194)</f>
        <v>\x2E\xA1=펫</v>
      </c>
      <c r="M2194" s="8"/>
    </row>
    <row r="2195" customFormat="false" ht="12.8" hidden="false" customHeight="true" outlineLevel="0" collapsed="false">
      <c r="C2195" s="6" t="n">
        <f aca="false">MOD(ROW()-1, 208)</f>
        <v>114</v>
      </c>
      <c r="D2195" s="6" t="n">
        <f aca="false">INT((ROW()-1)/208)</f>
        <v>10</v>
      </c>
      <c r="F2195" s="6" t="str">
        <f aca="false">MID(VLOOKUP(D2195,$P$1:$Q$13,2,0), 1 + C2195,1)</f>
        <v>펭</v>
      </c>
      <c r="G2195" s="6" t="str">
        <f aca="false">DEC2HEX(D2195+36, 2)</f>
        <v>2E</v>
      </c>
      <c r="H2195" s="6" t="str">
        <f aca="false">DEC2HEX(C2195+48,2)</f>
        <v>A2</v>
      </c>
      <c r="I2195" s="6" t="str">
        <f aca="false">_xlfn.CONCAT("\x", G2195, "\x", H2195, "=", F2195)</f>
        <v>\x2E\xA2=펭</v>
      </c>
      <c r="M2195" s="8"/>
    </row>
    <row r="2196" customFormat="false" ht="12.8" hidden="false" customHeight="true" outlineLevel="0" collapsed="false">
      <c r="C2196" s="6" t="n">
        <f aca="false">MOD(ROW()-1, 208)</f>
        <v>115</v>
      </c>
      <c r="D2196" s="6" t="n">
        <f aca="false">INT((ROW()-1)/208)</f>
        <v>10</v>
      </c>
      <c r="F2196" s="6" t="str">
        <f aca="false">MID(VLOOKUP(D2196,$P$1:$Q$13,2,0), 1 + C2196,1)</f>
        <v>펴</v>
      </c>
      <c r="G2196" s="6" t="str">
        <f aca="false">DEC2HEX(D2196+36, 2)</f>
        <v>2E</v>
      </c>
      <c r="H2196" s="6" t="str">
        <f aca="false">DEC2HEX(C2196+48,2)</f>
        <v>A3</v>
      </c>
      <c r="I2196" s="6" t="str">
        <f aca="false">_xlfn.CONCAT("\x", G2196, "\x", H2196, "=", F2196)</f>
        <v>\x2E\xA3=펴</v>
      </c>
      <c r="M2196" s="8"/>
    </row>
    <row r="2197" customFormat="false" ht="12.8" hidden="false" customHeight="true" outlineLevel="0" collapsed="false">
      <c r="C2197" s="6" t="n">
        <f aca="false">MOD(ROW()-1, 208)</f>
        <v>116</v>
      </c>
      <c r="D2197" s="6" t="n">
        <f aca="false">INT((ROW()-1)/208)</f>
        <v>10</v>
      </c>
      <c r="F2197" s="6" t="str">
        <f aca="false">MID(VLOOKUP(D2197,$P$1:$Q$13,2,0), 1 + C2197,1)</f>
        <v>편</v>
      </c>
      <c r="G2197" s="6" t="str">
        <f aca="false">DEC2HEX(D2197+36, 2)</f>
        <v>2E</v>
      </c>
      <c r="H2197" s="6" t="str">
        <f aca="false">DEC2HEX(C2197+48,2)</f>
        <v>A4</v>
      </c>
      <c r="I2197" s="6" t="str">
        <f aca="false">_xlfn.CONCAT("\x", G2197, "\x", H2197, "=", F2197)</f>
        <v>\x2E\xA4=편</v>
      </c>
      <c r="M2197" s="8"/>
    </row>
    <row r="2198" customFormat="false" ht="12.8" hidden="false" customHeight="true" outlineLevel="0" collapsed="false">
      <c r="C2198" s="6" t="n">
        <f aca="false">MOD(ROW()-1, 208)</f>
        <v>117</v>
      </c>
      <c r="D2198" s="6" t="n">
        <f aca="false">INT((ROW()-1)/208)</f>
        <v>10</v>
      </c>
      <c r="F2198" s="6" t="str">
        <f aca="false">MID(VLOOKUP(D2198,$P$1:$Q$13,2,0), 1 + C2198,1)</f>
        <v>펼</v>
      </c>
      <c r="G2198" s="6" t="str">
        <f aca="false">DEC2HEX(D2198+36, 2)</f>
        <v>2E</v>
      </c>
      <c r="H2198" s="6" t="str">
        <f aca="false">DEC2HEX(C2198+48,2)</f>
        <v>A5</v>
      </c>
      <c r="I2198" s="6" t="str">
        <f aca="false">_xlfn.CONCAT("\x", G2198, "\x", H2198, "=", F2198)</f>
        <v>\x2E\xA5=펼</v>
      </c>
      <c r="M2198" s="8"/>
    </row>
    <row r="2199" customFormat="false" ht="12.8" hidden="false" customHeight="true" outlineLevel="0" collapsed="false">
      <c r="C2199" s="6" t="n">
        <f aca="false">MOD(ROW()-1, 208)</f>
        <v>118</v>
      </c>
      <c r="D2199" s="6" t="n">
        <f aca="false">INT((ROW()-1)/208)</f>
        <v>10</v>
      </c>
      <c r="F2199" s="6" t="str">
        <f aca="false">MID(VLOOKUP(D2199,$P$1:$Q$13,2,0), 1 + C2199,1)</f>
        <v>폄</v>
      </c>
      <c r="G2199" s="6" t="str">
        <f aca="false">DEC2HEX(D2199+36, 2)</f>
        <v>2E</v>
      </c>
      <c r="H2199" s="6" t="str">
        <f aca="false">DEC2HEX(C2199+48,2)</f>
        <v>A6</v>
      </c>
      <c r="I2199" s="6" t="str">
        <f aca="false">_xlfn.CONCAT("\x", G2199, "\x", H2199, "=", F2199)</f>
        <v>\x2E\xA6=폄</v>
      </c>
      <c r="M2199" s="8"/>
    </row>
    <row r="2200" customFormat="false" ht="12.8" hidden="false" customHeight="true" outlineLevel="0" collapsed="false">
      <c r="C2200" s="6" t="n">
        <f aca="false">MOD(ROW()-1, 208)</f>
        <v>119</v>
      </c>
      <c r="D2200" s="6" t="n">
        <f aca="false">INT((ROW()-1)/208)</f>
        <v>10</v>
      </c>
      <c r="F2200" s="6" t="str">
        <f aca="false">MID(VLOOKUP(D2200,$P$1:$Q$13,2,0), 1 + C2200,1)</f>
        <v>폅</v>
      </c>
      <c r="G2200" s="6" t="str">
        <f aca="false">DEC2HEX(D2200+36, 2)</f>
        <v>2E</v>
      </c>
      <c r="H2200" s="6" t="str">
        <f aca="false">DEC2HEX(C2200+48,2)</f>
        <v>A7</v>
      </c>
      <c r="I2200" s="6" t="str">
        <f aca="false">_xlfn.CONCAT("\x", G2200, "\x", H2200, "=", F2200)</f>
        <v>\x2E\xA7=폅</v>
      </c>
      <c r="M2200" s="8"/>
    </row>
    <row r="2201" customFormat="false" ht="12.8" hidden="false" customHeight="true" outlineLevel="0" collapsed="false">
      <c r="C2201" s="6" t="n">
        <f aca="false">MOD(ROW()-1, 208)</f>
        <v>120</v>
      </c>
      <c r="D2201" s="6" t="n">
        <f aca="false">INT((ROW()-1)/208)</f>
        <v>10</v>
      </c>
      <c r="F2201" s="6" t="str">
        <f aca="false">MID(VLOOKUP(D2201,$P$1:$Q$13,2,0), 1 + C2201,1)</f>
        <v>폈</v>
      </c>
      <c r="G2201" s="6" t="str">
        <f aca="false">DEC2HEX(D2201+36, 2)</f>
        <v>2E</v>
      </c>
      <c r="H2201" s="6" t="str">
        <f aca="false">DEC2HEX(C2201+48,2)</f>
        <v>A8</v>
      </c>
      <c r="I2201" s="6" t="str">
        <f aca="false">_xlfn.CONCAT("\x", G2201, "\x", H2201, "=", F2201)</f>
        <v>\x2E\xA8=폈</v>
      </c>
      <c r="M2201" s="8"/>
    </row>
    <row r="2202" customFormat="false" ht="12.8" hidden="false" customHeight="true" outlineLevel="0" collapsed="false">
      <c r="C2202" s="6" t="n">
        <f aca="false">MOD(ROW()-1, 208)</f>
        <v>121</v>
      </c>
      <c r="D2202" s="6" t="n">
        <f aca="false">INT((ROW()-1)/208)</f>
        <v>10</v>
      </c>
      <c r="F2202" s="6" t="str">
        <f aca="false">MID(VLOOKUP(D2202,$P$1:$Q$13,2,0), 1 + C2202,1)</f>
        <v>평</v>
      </c>
      <c r="G2202" s="6" t="str">
        <f aca="false">DEC2HEX(D2202+36, 2)</f>
        <v>2E</v>
      </c>
      <c r="H2202" s="6" t="str">
        <f aca="false">DEC2HEX(C2202+48,2)</f>
        <v>A9</v>
      </c>
      <c r="I2202" s="6" t="str">
        <f aca="false">_xlfn.CONCAT("\x", G2202, "\x", H2202, "=", F2202)</f>
        <v>\x2E\xA9=평</v>
      </c>
      <c r="M2202" s="8"/>
    </row>
    <row r="2203" customFormat="false" ht="12.8" hidden="false" customHeight="true" outlineLevel="0" collapsed="false">
      <c r="C2203" s="6" t="n">
        <f aca="false">MOD(ROW()-1, 208)</f>
        <v>122</v>
      </c>
      <c r="D2203" s="6" t="n">
        <f aca="false">INT((ROW()-1)/208)</f>
        <v>10</v>
      </c>
      <c r="F2203" s="6" t="str">
        <f aca="false">MID(VLOOKUP(D2203,$P$1:$Q$13,2,0), 1 + C2203,1)</f>
        <v>폐</v>
      </c>
      <c r="G2203" s="6" t="str">
        <f aca="false">DEC2HEX(D2203+36, 2)</f>
        <v>2E</v>
      </c>
      <c r="H2203" s="6" t="str">
        <f aca="false">DEC2HEX(C2203+48,2)</f>
        <v>AA</v>
      </c>
      <c r="I2203" s="6" t="str">
        <f aca="false">_xlfn.CONCAT("\x", G2203, "\x", H2203, "=", F2203)</f>
        <v>\x2E\xAA=폐</v>
      </c>
      <c r="M2203" s="8"/>
    </row>
    <row r="2204" customFormat="false" ht="12.8" hidden="false" customHeight="true" outlineLevel="0" collapsed="false">
      <c r="C2204" s="6" t="n">
        <f aca="false">MOD(ROW()-1, 208)</f>
        <v>123</v>
      </c>
      <c r="D2204" s="6" t="n">
        <f aca="false">INT((ROW()-1)/208)</f>
        <v>10</v>
      </c>
      <c r="F2204" s="6" t="str">
        <f aca="false">MID(VLOOKUP(D2204,$P$1:$Q$13,2,0), 1 + C2204,1)</f>
        <v>폘</v>
      </c>
      <c r="G2204" s="6" t="str">
        <f aca="false">DEC2HEX(D2204+36, 2)</f>
        <v>2E</v>
      </c>
      <c r="H2204" s="6" t="str">
        <f aca="false">DEC2HEX(C2204+48,2)</f>
        <v>AB</v>
      </c>
      <c r="I2204" s="6" t="str">
        <f aca="false">_xlfn.CONCAT("\x", G2204, "\x", H2204, "=", F2204)</f>
        <v>\x2E\xAB=폘</v>
      </c>
      <c r="M2204" s="8"/>
    </row>
    <row r="2205" customFormat="false" ht="12.8" hidden="false" customHeight="true" outlineLevel="0" collapsed="false">
      <c r="C2205" s="6" t="n">
        <f aca="false">MOD(ROW()-1, 208)</f>
        <v>124</v>
      </c>
      <c r="D2205" s="6" t="n">
        <f aca="false">INT((ROW()-1)/208)</f>
        <v>10</v>
      </c>
      <c r="F2205" s="6" t="str">
        <f aca="false">MID(VLOOKUP(D2205,$P$1:$Q$13,2,0), 1 + C2205,1)</f>
        <v>폡</v>
      </c>
      <c r="G2205" s="6" t="str">
        <f aca="false">DEC2HEX(D2205+36, 2)</f>
        <v>2E</v>
      </c>
      <c r="H2205" s="6" t="str">
        <f aca="false">DEC2HEX(C2205+48,2)</f>
        <v>AC</v>
      </c>
      <c r="I2205" s="6" t="str">
        <f aca="false">_xlfn.CONCAT("\x", G2205, "\x", H2205, "=", F2205)</f>
        <v>\x2E\xAC=폡</v>
      </c>
      <c r="M2205" s="8"/>
    </row>
    <row r="2206" customFormat="false" ht="12.8" hidden="false" customHeight="true" outlineLevel="0" collapsed="false">
      <c r="C2206" s="6" t="n">
        <f aca="false">MOD(ROW()-1, 208)</f>
        <v>125</v>
      </c>
      <c r="D2206" s="6" t="n">
        <f aca="false">INT((ROW()-1)/208)</f>
        <v>10</v>
      </c>
      <c r="F2206" s="6" t="str">
        <f aca="false">MID(VLOOKUP(D2206,$P$1:$Q$13,2,0), 1 + C2206,1)</f>
        <v>폣</v>
      </c>
      <c r="G2206" s="6" t="str">
        <f aca="false">DEC2HEX(D2206+36, 2)</f>
        <v>2E</v>
      </c>
      <c r="H2206" s="6" t="str">
        <f aca="false">DEC2HEX(C2206+48,2)</f>
        <v>AD</v>
      </c>
      <c r="I2206" s="6" t="str">
        <f aca="false">_xlfn.CONCAT("\x", G2206, "\x", H2206, "=", F2206)</f>
        <v>\x2E\xAD=폣</v>
      </c>
      <c r="M2206" s="8"/>
    </row>
    <row r="2207" customFormat="false" ht="12.8" hidden="false" customHeight="true" outlineLevel="0" collapsed="false">
      <c r="C2207" s="6" t="n">
        <f aca="false">MOD(ROW()-1, 208)</f>
        <v>126</v>
      </c>
      <c r="D2207" s="6" t="n">
        <f aca="false">INT((ROW()-1)/208)</f>
        <v>10</v>
      </c>
      <c r="F2207" s="6" t="str">
        <f aca="false">MID(VLOOKUP(D2207,$P$1:$Q$13,2,0), 1 + C2207,1)</f>
        <v>포</v>
      </c>
      <c r="G2207" s="6" t="str">
        <f aca="false">DEC2HEX(D2207+36, 2)</f>
        <v>2E</v>
      </c>
      <c r="H2207" s="6" t="str">
        <f aca="false">DEC2HEX(C2207+48,2)</f>
        <v>AE</v>
      </c>
      <c r="I2207" s="6" t="str">
        <f aca="false">_xlfn.CONCAT("\x", G2207, "\x", H2207, "=", F2207)</f>
        <v>\x2E\xAE=포</v>
      </c>
      <c r="M2207" s="8"/>
    </row>
    <row r="2208" customFormat="false" ht="12.8" hidden="false" customHeight="true" outlineLevel="0" collapsed="false">
      <c r="C2208" s="6" t="n">
        <f aca="false">MOD(ROW()-1, 208)</f>
        <v>127</v>
      </c>
      <c r="D2208" s="6" t="n">
        <f aca="false">INT((ROW()-1)/208)</f>
        <v>10</v>
      </c>
      <c r="F2208" s="6" t="str">
        <f aca="false">MID(VLOOKUP(D2208,$P$1:$Q$13,2,0), 1 + C2208,1)</f>
        <v>폭</v>
      </c>
      <c r="G2208" s="6" t="str">
        <f aca="false">DEC2HEX(D2208+36, 2)</f>
        <v>2E</v>
      </c>
      <c r="H2208" s="6" t="str">
        <f aca="false">DEC2HEX(C2208+48,2)</f>
        <v>AF</v>
      </c>
      <c r="I2208" s="6" t="str">
        <f aca="false">_xlfn.CONCAT("\x", G2208, "\x", H2208, "=", F2208)</f>
        <v>\x2E\xAF=폭</v>
      </c>
      <c r="M2208" s="8"/>
    </row>
    <row r="2209" customFormat="false" ht="12.8" hidden="false" customHeight="true" outlineLevel="0" collapsed="false">
      <c r="C2209" s="6" t="n">
        <f aca="false">MOD(ROW()-1, 208)</f>
        <v>128</v>
      </c>
      <c r="D2209" s="6" t="n">
        <f aca="false">INT((ROW()-1)/208)</f>
        <v>10</v>
      </c>
      <c r="F2209" s="6" t="str">
        <f aca="false">MID(VLOOKUP(D2209,$P$1:$Q$13,2,0), 1 + C2209,1)</f>
        <v>폰</v>
      </c>
      <c r="G2209" s="6" t="str">
        <f aca="false">DEC2HEX(D2209+36, 2)</f>
        <v>2E</v>
      </c>
      <c r="H2209" s="6" t="str">
        <f aca="false">DEC2HEX(C2209+48,2)</f>
        <v>B0</v>
      </c>
      <c r="I2209" s="6" t="str">
        <f aca="false">_xlfn.CONCAT("\x", G2209, "\x", H2209, "=", F2209)</f>
        <v>\x2E\xB0=폰</v>
      </c>
      <c r="M2209" s="8"/>
    </row>
    <row r="2210" customFormat="false" ht="12.8" hidden="false" customHeight="true" outlineLevel="0" collapsed="false">
      <c r="C2210" s="6" t="n">
        <f aca="false">MOD(ROW()-1, 208)</f>
        <v>129</v>
      </c>
      <c r="D2210" s="6" t="n">
        <f aca="false">INT((ROW()-1)/208)</f>
        <v>10</v>
      </c>
      <c r="F2210" s="6" t="str">
        <f aca="false">MID(VLOOKUP(D2210,$P$1:$Q$13,2,0), 1 + C2210,1)</f>
        <v>폴</v>
      </c>
      <c r="G2210" s="6" t="str">
        <f aca="false">DEC2HEX(D2210+36, 2)</f>
        <v>2E</v>
      </c>
      <c r="H2210" s="6" t="str">
        <f aca="false">DEC2HEX(C2210+48,2)</f>
        <v>B1</v>
      </c>
      <c r="I2210" s="6" t="str">
        <f aca="false">_xlfn.CONCAT("\x", G2210, "\x", H2210, "=", F2210)</f>
        <v>\x2E\xB1=폴</v>
      </c>
      <c r="M2210" s="8"/>
    </row>
    <row r="2211" customFormat="false" ht="12.8" hidden="false" customHeight="true" outlineLevel="0" collapsed="false">
      <c r="C2211" s="6" t="n">
        <f aca="false">MOD(ROW()-1, 208)</f>
        <v>130</v>
      </c>
      <c r="D2211" s="6" t="n">
        <f aca="false">INT((ROW()-1)/208)</f>
        <v>10</v>
      </c>
      <c r="F2211" s="6" t="str">
        <f aca="false">MID(VLOOKUP(D2211,$P$1:$Q$13,2,0), 1 + C2211,1)</f>
        <v>폼</v>
      </c>
      <c r="G2211" s="6" t="str">
        <f aca="false">DEC2HEX(D2211+36, 2)</f>
        <v>2E</v>
      </c>
      <c r="H2211" s="6" t="str">
        <f aca="false">DEC2HEX(C2211+48,2)</f>
        <v>B2</v>
      </c>
      <c r="I2211" s="6" t="str">
        <f aca="false">_xlfn.CONCAT("\x", G2211, "\x", H2211, "=", F2211)</f>
        <v>\x2E\xB2=폼</v>
      </c>
      <c r="M2211" s="8"/>
    </row>
    <row r="2212" customFormat="false" ht="12.8" hidden="false" customHeight="true" outlineLevel="0" collapsed="false">
      <c r="C2212" s="6" t="n">
        <f aca="false">MOD(ROW()-1, 208)</f>
        <v>131</v>
      </c>
      <c r="D2212" s="6" t="n">
        <f aca="false">INT((ROW()-1)/208)</f>
        <v>10</v>
      </c>
      <c r="F2212" s="6" t="str">
        <f aca="false">MID(VLOOKUP(D2212,$P$1:$Q$13,2,0), 1 + C2212,1)</f>
        <v>폽</v>
      </c>
      <c r="G2212" s="6" t="str">
        <f aca="false">DEC2HEX(D2212+36, 2)</f>
        <v>2E</v>
      </c>
      <c r="H2212" s="6" t="str">
        <f aca="false">DEC2HEX(C2212+48,2)</f>
        <v>B3</v>
      </c>
      <c r="I2212" s="6" t="str">
        <f aca="false">_xlfn.CONCAT("\x", G2212, "\x", H2212, "=", F2212)</f>
        <v>\x2E\xB3=폽</v>
      </c>
      <c r="M2212" s="8"/>
    </row>
    <row r="2213" customFormat="false" ht="12.8" hidden="false" customHeight="true" outlineLevel="0" collapsed="false">
      <c r="C2213" s="6" t="n">
        <f aca="false">MOD(ROW()-1, 208)</f>
        <v>132</v>
      </c>
      <c r="D2213" s="6" t="n">
        <f aca="false">INT((ROW()-1)/208)</f>
        <v>10</v>
      </c>
      <c r="F2213" s="6" t="str">
        <f aca="false">MID(VLOOKUP(D2213,$P$1:$Q$13,2,0), 1 + C2213,1)</f>
        <v>폿</v>
      </c>
      <c r="G2213" s="6" t="str">
        <f aca="false">DEC2HEX(D2213+36, 2)</f>
        <v>2E</v>
      </c>
      <c r="H2213" s="6" t="str">
        <f aca="false">DEC2HEX(C2213+48,2)</f>
        <v>B4</v>
      </c>
      <c r="I2213" s="6" t="str">
        <f aca="false">_xlfn.CONCAT("\x", G2213, "\x", H2213, "=", F2213)</f>
        <v>\x2E\xB4=폿</v>
      </c>
      <c r="M2213" s="8"/>
    </row>
    <row r="2214" customFormat="false" ht="12.8" hidden="false" customHeight="true" outlineLevel="0" collapsed="false">
      <c r="C2214" s="6" t="n">
        <f aca="false">MOD(ROW()-1, 208)</f>
        <v>133</v>
      </c>
      <c r="D2214" s="6" t="n">
        <f aca="false">INT((ROW()-1)/208)</f>
        <v>10</v>
      </c>
      <c r="F2214" s="6" t="str">
        <f aca="false">MID(VLOOKUP(D2214,$P$1:$Q$13,2,0), 1 + C2214,1)</f>
        <v>퐁</v>
      </c>
      <c r="G2214" s="6" t="str">
        <f aca="false">DEC2HEX(D2214+36, 2)</f>
        <v>2E</v>
      </c>
      <c r="H2214" s="6" t="str">
        <f aca="false">DEC2HEX(C2214+48,2)</f>
        <v>B5</v>
      </c>
      <c r="I2214" s="6" t="str">
        <f aca="false">_xlfn.CONCAT("\x", G2214, "\x", H2214, "=", F2214)</f>
        <v>\x2E\xB5=퐁</v>
      </c>
      <c r="M2214" s="8"/>
    </row>
    <row r="2215" customFormat="false" ht="12.8" hidden="false" customHeight="true" outlineLevel="0" collapsed="false">
      <c r="C2215" s="6" t="n">
        <f aca="false">MOD(ROW()-1, 208)</f>
        <v>134</v>
      </c>
      <c r="D2215" s="6" t="n">
        <f aca="false">INT((ROW()-1)/208)</f>
        <v>10</v>
      </c>
      <c r="F2215" s="6" t="str">
        <f aca="false">MID(VLOOKUP(D2215,$P$1:$Q$13,2,0), 1 + C2215,1)</f>
        <v>퐈</v>
      </c>
      <c r="G2215" s="6" t="str">
        <f aca="false">DEC2HEX(D2215+36, 2)</f>
        <v>2E</v>
      </c>
      <c r="H2215" s="6" t="str">
        <f aca="false">DEC2HEX(C2215+48,2)</f>
        <v>B6</v>
      </c>
      <c r="I2215" s="6" t="str">
        <f aca="false">_xlfn.CONCAT("\x", G2215, "\x", H2215, "=", F2215)</f>
        <v>\x2E\xB6=퐈</v>
      </c>
      <c r="M2215" s="8"/>
    </row>
    <row r="2216" customFormat="false" ht="12.8" hidden="false" customHeight="true" outlineLevel="0" collapsed="false">
      <c r="C2216" s="6" t="n">
        <f aca="false">MOD(ROW()-1, 208)</f>
        <v>135</v>
      </c>
      <c r="D2216" s="6" t="n">
        <f aca="false">INT((ROW()-1)/208)</f>
        <v>10</v>
      </c>
      <c r="F2216" s="6" t="str">
        <f aca="false">MID(VLOOKUP(D2216,$P$1:$Q$13,2,0), 1 + C2216,1)</f>
        <v>퐝</v>
      </c>
      <c r="G2216" s="6" t="str">
        <f aca="false">DEC2HEX(D2216+36, 2)</f>
        <v>2E</v>
      </c>
      <c r="H2216" s="6" t="str">
        <f aca="false">DEC2HEX(C2216+48,2)</f>
        <v>B7</v>
      </c>
      <c r="I2216" s="6" t="str">
        <f aca="false">_xlfn.CONCAT("\x", G2216, "\x", H2216, "=", F2216)</f>
        <v>\x2E\xB7=퐝</v>
      </c>
      <c r="M2216" s="8"/>
    </row>
    <row r="2217" customFormat="false" ht="12.8" hidden="false" customHeight="true" outlineLevel="0" collapsed="false">
      <c r="C2217" s="6" t="n">
        <f aca="false">MOD(ROW()-1, 208)</f>
        <v>136</v>
      </c>
      <c r="D2217" s="6" t="n">
        <f aca="false">INT((ROW()-1)/208)</f>
        <v>10</v>
      </c>
      <c r="F2217" s="6" t="str">
        <f aca="false">MID(VLOOKUP(D2217,$P$1:$Q$13,2,0), 1 + C2217,1)</f>
        <v>푀</v>
      </c>
      <c r="G2217" s="6" t="str">
        <f aca="false">DEC2HEX(D2217+36, 2)</f>
        <v>2E</v>
      </c>
      <c r="H2217" s="6" t="str">
        <f aca="false">DEC2HEX(C2217+48,2)</f>
        <v>B8</v>
      </c>
      <c r="I2217" s="6" t="str">
        <f aca="false">_xlfn.CONCAT("\x", G2217, "\x", H2217, "=", F2217)</f>
        <v>\x2E\xB8=푀</v>
      </c>
      <c r="M2217" s="8"/>
    </row>
    <row r="2218" customFormat="false" ht="12.8" hidden="false" customHeight="true" outlineLevel="0" collapsed="false">
      <c r="C2218" s="6" t="n">
        <f aca="false">MOD(ROW()-1, 208)</f>
        <v>137</v>
      </c>
      <c r="D2218" s="6" t="n">
        <f aca="false">INT((ROW()-1)/208)</f>
        <v>10</v>
      </c>
      <c r="F2218" s="6" t="str">
        <f aca="false">MID(VLOOKUP(D2218,$P$1:$Q$13,2,0), 1 + C2218,1)</f>
        <v>푄</v>
      </c>
      <c r="G2218" s="6" t="str">
        <f aca="false">DEC2HEX(D2218+36, 2)</f>
        <v>2E</v>
      </c>
      <c r="H2218" s="6" t="str">
        <f aca="false">DEC2HEX(C2218+48,2)</f>
        <v>B9</v>
      </c>
      <c r="I2218" s="6" t="str">
        <f aca="false">_xlfn.CONCAT("\x", G2218, "\x", H2218, "=", F2218)</f>
        <v>\x2E\xB9=푄</v>
      </c>
      <c r="M2218" s="8"/>
    </row>
    <row r="2219" customFormat="false" ht="12.8" hidden="false" customHeight="true" outlineLevel="0" collapsed="false">
      <c r="C2219" s="6" t="n">
        <f aca="false">MOD(ROW()-1, 208)</f>
        <v>138</v>
      </c>
      <c r="D2219" s="6" t="n">
        <f aca="false">INT((ROW()-1)/208)</f>
        <v>10</v>
      </c>
      <c r="F2219" s="6" t="str">
        <f aca="false">MID(VLOOKUP(D2219,$P$1:$Q$13,2,0), 1 + C2219,1)</f>
        <v>표</v>
      </c>
      <c r="G2219" s="6" t="str">
        <f aca="false">DEC2HEX(D2219+36, 2)</f>
        <v>2E</v>
      </c>
      <c r="H2219" s="6" t="str">
        <f aca="false">DEC2HEX(C2219+48,2)</f>
        <v>BA</v>
      </c>
      <c r="I2219" s="6" t="str">
        <f aca="false">_xlfn.CONCAT("\x", G2219, "\x", H2219, "=", F2219)</f>
        <v>\x2E\xBA=표</v>
      </c>
      <c r="M2219" s="8"/>
    </row>
    <row r="2220" customFormat="false" ht="12.8" hidden="false" customHeight="true" outlineLevel="0" collapsed="false">
      <c r="C2220" s="6" t="n">
        <f aca="false">MOD(ROW()-1, 208)</f>
        <v>139</v>
      </c>
      <c r="D2220" s="6" t="n">
        <f aca="false">INT((ROW()-1)/208)</f>
        <v>10</v>
      </c>
      <c r="F2220" s="6" t="str">
        <f aca="false">MID(VLOOKUP(D2220,$P$1:$Q$13,2,0), 1 + C2220,1)</f>
        <v>푠</v>
      </c>
      <c r="G2220" s="6" t="str">
        <f aca="false">DEC2HEX(D2220+36, 2)</f>
        <v>2E</v>
      </c>
      <c r="H2220" s="6" t="str">
        <f aca="false">DEC2HEX(C2220+48,2)</f>
        <v>BB</v>
      </c>
      <c r="I2220" s="6" t="str">
        <f aca="false">_xlfn.CONCAT("\x", G2220, "\x", H2220, "=", F2220)</f>
        <v>\x2E\xBB=푠</v>
      </c>
      <c r="M2220" s="8"/>
    </row>
    <row r="2221" customFormat="false" ht="12.8" hidden="false" customHeight="true" outlineLevel="0" collapsed="false">
      <c r="C2221" s="6" t="n">
        <f aca="false">MOD(ROW()-1, 208)</f>
        <v>140</v>
      </c>
      <c r="D2221" s="6" t="n">
        <f aca="false">INT((ROW()-1)/208)</f>
        <v>10</v>
      </c>
      <c r="F2221" s="6" t="str">
        <f aca="false">MID(VLOOKUP(D2221,$P$1:$Q$13,2,0), 1 + C2221,1)</f>
        <v>푤</v>
      </c>
      <c r="G2221" s="6" t="str">
        <f aca="false">DEC2HEX(D2221+36, 2)</f>
        <v>2E</v>
      </c>
      <c r="H2221" s="6" t="str">
        <f aca="false">DEC2HEX(C2221+48,2)</f>
        <v>BC</v>
      </c>
      <c r="I2221" s="6" t="str">
        <f aca="false">_xlfn.CONCAT("\x", G2221, "\x", H2221, "=", F2221)</f>
        <v>\x2E\xBC=푤</v>
      </c>
      <c r="M2221" s="8"/>
    </row>
    <row r="2222" customFormat="false" ht="12.8" hidden="false" customHeight="true" outlineLevel="0" collapsed="false">
      <c r="C2222" s="6" t="n">
        <f aca="false">MOD(ROW()-1, 208)</f>
        <v>141</v>
      </c>
      <c r="D2222" s="6" t="n">
        <f aca="false">INT((ROW()-1)/208)</f>
        <v>10</v>
      </c>
      <c r="F2222" s="6" t="str">
        <f aca="false">MID(VLOOKUP(D2222,$P$1:$Q$13,2,0), 1 + C2222,1)</f>
        <v>푭</v>
      </c>
      <c r="G2222" s="6" t="str">
        <f aca="false">DEC2HEX(D2222+36, 2)</f>
        <v>2E</v>
      </c>
      <c r="H2222" s="6" t="str">
        <f aca="false">DEC2HEX(C2222+48,2)</f>
        <v>BD</v>
      </c>
      <c r="I2222" s="6" t="str">
        <f aca="false">_xlfn.CONCAT("\x", G2222, "\x", H2222, "=", F2222)</f>
        <v>\x2E\xBD=푭</v>
      </c>
      <c r="M2222" s="8"/>
    </row>
    <row r="2223" customFormat="false" ht="12.8" hidden="false" customHeight="true" outlineLevel="0" collapsed="false">
      <c r="C2223" s="6" t="n">
        <f aca="false">MOD(ROW()-1, 208)</f>
        <v>142</v>
      </c>
      <c r="D2223" s="6" t="n">
        <f aca="false">INT((ROW()-1)/208)</f>
        <v>10</v>
      </c>
      <c r="F2223" s="6" t="str">
        <f aca="false">MID(VLOOKUP(D2223,$P$1:$Q$13,2,0), 1 + C2223,1)</f>
        <v>푯</v>
      </c>
      <c r="G2223" s="6" t="str">
        <f aca="false">DEC2HEX(D2223+36, 2)</f>
        <v>2E</v>
      </c>
      <c r="H2223" s="6" t="str">
        <f aca="false">DEC2HEX(C2223+48,2)</f>
        <v>BE</v>
      </c>
      <c r="I2223" s="6" t="str">
        <f aca="false">_xlfn.CONCAT("\x", G2223, "\x", H2223, "=", F2223)</f>
        <v>\x2E\xBE=푯</v>
      </c>
      <c r="M2223" s="8"/>
    </row>
    <row r="2224" customFormat="false" ht="12.8" hidden="false" customHeight="true" outlineLevel="0" collapsed="false">
      <c r="C2224" s="6" t="n">
        <f aca="false">MOD(ROW()-1, 208)</f>
        <v>143</v>
      </c>
      <c r="D2224" s="6" t="n">
        <f aca="false">INT((ROW()-1)/208)</f>
        <v>10</v>
      </c>
      <c r="F2224" s="6" t="str">
        <f aca="false">MID(VLOOKUP(D2224,$P$1:$Q$13,2,0), 1 + C2224,1)</f>
        <v>푸</v>
      </c>
      <c r="G2224" s="6" t="str">
        <f aca="false">DEC2HEX(D2224+36, 2)</f>
        <v>2E</v>
      </c>
      <c r="H2224" s="6" t="str">
        <f aca="false">DEC2HEX(C2224+48,2)</f>
        <v>BF</v>
      </c>
      <c r="I2224" s="6" t="str">
        <f aca="false">_xlfn.CONCAT("\x", G2224, "\x", H2224, "=", F2224)</f>
        <v>\x2E\xBF=푸</v>
      </c>
      <c r="M2224" s="8"/>
    </row>
    <row r="2225" customFormat="false" ht="12.8" hidden="false" customHeight="true" outlineLevel="0" collapsed="false">
      <c r="C2225" s="6" t="n">
        <f aca="false">MOD(ROW()-1, 208)</f>
        <v>144</v>
      </c>
      <c r="D2225" s="6" t="n">
        <f aca="false">INT((ROW()-1)/208)</f>
        <v>10</v>
      </c>
      <c r="F2225" s="6" t="str">
        <f aca="false">MID(VLOOKUP(D2225,$P$1:$Q$13,2,0), 1 + C2225,1)</f>
        <v>푹</v>
      </c>
      <c r="G2225" s="6" t="str">
        <f aca="false">DEC2HEX(D2225+36, 2)</f>
        <v>2E</v>
      </c>
      <c r="H2225" s="6" t="str">
        <f aca="false">DEC2HEX(C2225+48,2)</f>
        <v>C0</v>
      </c>
      <c r="I2225" s="6" t="str">
        <f aca="false">_xlfn.CONCAT("\x", G2225, "\x", H2225, "=", F2225)</f>
        <v>\x2E\xC0=푹</v>
      </c>
      <c r="M2225" s="8"/>
    </row>
    <row r="2226" customFormat="false" ht="12.8" hidden="false" customHeight="true" outlineLevel="0" collapsed="false">
      <c r="C2226" s="6" t="n">
        <f aca="false">MOD(ROW()-1, 208)</f>
        <v>145</v>
      </c>
      <c r="D2226" s="6" t="n">
        <f aca="false">INT((ROW()-1)/208)</f>
        <v>10</v>
      </c>
      <c r="F2226" s="6" t="str">
        <f aca="false">MID(VLOOKUP(D2226,$P$1:$Q$13,2,0), 1 + C2226,1)</f>
        <v>푼</v>
      </c>
      <c r="G2226" s="6" t="str">
        <f aca="false">DEC2HEX(D2226+36, 2)</f>
        <v>2E</v>
      </c>
      <c r="H2226" s="6" t="str">
        <f aca="false">DEC2HEX(C2226+48,2)</f>
        <v>C1</v>
      </c>
      <c r="I2226" s="6" t="str">
        <f aca="false">_xlfn.CONCAT("\x", G2226, "\x", H2226, "=", F2226)</f>
        <v>\x2E\xC1=푼</v>
      </c>
      <c r="M2226" s="8"/>
    </row>
    <row r="2227" customFormat="false" ht="12.8" hidden="false" customHeight="true" outlineLevel="0" collapsed="false">
      <c r="C2227" s="6" t="n">
        <f aca="false">MOD(ROW()-1, 208)</f>
        <v>146</v>
      </c>
      <c r="D2227" s="6" t="n">
        <f aca="false">INT((ROW()-1)/208)</f>
        <v>10</v>
      </c>
      <c r="F2227" s="6" t="str">
        <f aca="false">MID(VLOOKUP(D2227,$P$1:$Q$13,2,0), 1 + C2227,1)</f>
        <v>푿</v>
      </c>
      <c r="G2227" s="6" t="str">
        <f aca="false">DEC2HEX(D2227+36, 2)</f>
        <v>2E</v>
      </c>
      <c r="H2227" s="6" t="str">
        <f aca="false">DEC2HEX(C2227+48,2)</f>
        <v>C2</v>
      </c>
      <c r="I2227" s="6" t="str">
        <f aca="false">_xlfn.CONCAT("\x", G2227, "\x", H2227, "=", F2227)</f>
        <v>\x2E\xC2=푿</v>
      </c>
      <c r="M2227" s="8"/>
    </row>
    <row r="2228" customFormat="false" ht="12.8" hidden="false" customHeight="true" outlineLevel="0" collapsed="false">
      <c r="C2228" s="6" t="n">
        <f aca="false">MOD(ROW()-1, 208)</f>
        <v>147</v>
      </c>
      <c r="D2228" s="6" t="n">
        <f aca="false">INT((ROW()-1)/208)</f>
        <v>10</v>
      </c>
      <c r="F2228" s="6" t="str">
        <f aca="false">MID(VLOOKUP(D2228,$P$1:$Q$13,2,0), 1 + C2228,1)</f>
        <v>풀</v>
      </c>
      <c r="G2228" s="6" t="str">
        <f aca="false">DEC2HEX(D2228+36, 2)</f>
        <v>2E</v>
      </c>
      <c r="H2228" s="6" t="str">
        <f aca="false">DEC2HEX(C2228+48,2)</f>
        <v>C3</v>
      </c>
      <c r="I2228" s="6" t="str">
        <f aca="false">_xlfn.CONCAT("\x", G2228, "\x", H2228, "=", F2228)</f>
        <v>\x2E\xC3=풀</v>
      </c>
      <c r="M2228" s="8"/>
    </row>
    <row r="2229" customFormat="false" ht="12.8" hidden="false" customHeight="true" outlineLevel="0" collapsed="false">
      <c r="C2229" s="6" t="n">
        <f aca="false">MOD(ROW()-1, 208)</f>
        <v>148</v>
      </c>
      <c r="D2229" s="6" t="n">
        <f aca="false">INT((ROW()-1)/208)</f>
        <v>10</v>
      </c>
      <c r="F2229" s="6" t="str">
        <f aca="false">MID(VLOOKUP(D2229,$P$1:$Q$13,2,0), 1 + C2229,1)</f>
        <v>풂</v>
      </c>
      <c r="G2229" s="6" t="str">
        <f aca="false">DEC2HEX(D2229+36, 2)</f>
        <v>2E</v>
      </c>
      <c r="H2229" s="6" t="str">
        <f aca="false">DEC2HEX(C2229+48,2)</f>
        <v>C4</v>
      </c>
      <c r="I2229" s="6" t="str">
        <f aca="false">_xlfn.CONCAT("\x", G2229, "\x", H2229, "=", F2229)</f>
        <v>\x2E\xC4=풂</v>
      </c>
      <c r="M2229" s="8"/>
    </row>
    <row r="2230" customFormat="false" ht="12.8" hidden="false" customHeight="true" outlineLevel="0" collapsed="false">
      <c r="C2230" s="6" t="n">
        <f aca="false">MOD(ROW()-1, 208)</f>
        <v>149</v>
      </c>
      <c r="D2230" s="6" t="n">
        <f aca="false">INT((ROW()-1)/208)</f>
        <v>10</v>
      </c>
      <c r="F2230" s="6" t="str">
        <f aca="false">MID(VLOOKUP(D2230,$P$1:$Q$13,2,0), 1 + C2230,1)</f>
        <v>품</v>
      </c>
      <c r="G2230" s="6" t="str">
        <f aca="false">DEC2HEX(D2230+36, 2)</f>
        <v>2E</v>
      </c>
      <c r="H2230" s="6" t="str">
        <f aca="false">DEC2HEX(C2230+48,2)</f>
        <v>C5</v>
      </c>
      <c r="I2230" s="6" t="str">
        <f aca="false">_xlfn.CONCAT("\x", G2230, "\x", H2230, "=", F2230)</f>
        <v>\x2E\xC5=품</v>
      </c>
      <c r="M2230" s="8"/>
    </row>
    <row r="2231" customFormat="false" ht="12.8" hidden="false" customHeight="true" outlineLevel="0" collapsed="false">
      <c r="C2231" s="6" t="n">
        <f aca="false">MOD(ROW()-1, 208)</f>
        <v>150</v>
      </c>
      <c r="D2231" s="6" t="n">
        <f aca="false">INT((ROW()-1)/208)</f>
        <v>10</v>
      </c>
      <c r="F2231" s="6" t="str">
        <f aca="false">MID(VLOOKUP(D2231,$P$1:$Q$13,2,0), 1 + C2231,1)</f>
        <v>풉</v>
      </c>
      <c r="G2231" s="6" t="str">
        <f aca="false">DEC2HEX(D2231+36, 2)</f>
        <v>2E</v>
      </c>
      <c r="H2231" s="6" t="str">
        <f aca="false">DEC2HEX(C2231+48,2)</f>
        <v>C6</v>
      </c>
      <c r="I2231" s="6" t="str">
        <f aca="false">_xlfn.CONCAT("\x", G2231, "\x", H2231, "=", F2231)</f>
        <v>\x2E\xC6=풉</v>
      </c>
      <c r="M2231" s="8"/>
    </row>
    <row r="2232" customFormat="false" ht="12.8" hidden="false" customHeight="true" outlineLevel="0" collapsed="false">
      <c r="C2232" s="6" t="n">
        <f aca="false">MOD(ROW()-1, 208)</f>
        <v>151</v>
      </c>
      <c r="D2232" s="6" t="n">
        <f aca="false">INT((ROW()-1)/208)</f>
        <v>10</v>
      </c>
      <c r="F2232" s="6" t="str">
        <f aca="false">MID(VLOOKUP(D2232,$P$1:$Q$13,2,0), 1 + C2232,1)</f>
        <v>풋</v>
      </c>
      <c r="G2232" s="6" t="str">
        <f aca="false">DEC2HEX(D2232+36, 2)</f>
        <v>2E</v>
      </c>
      <c r="H2232" s="6" t="str">
        <f aca="false">DEC2HEX(C2232+48,2)</f>
        <v>C7</v>
      </c>
      <c r="I2232" s="6" t="str">
        <f aca="false">_xlfn.CONCAT("\x", G2232, "\x", H2232, "=", F2232)</f>
        <v>\x2E\xC7=풋</v>
      </c>
      <c r="M2232" s="8"/>
    </row>
    <row r="2233" customFormat="false" ht="12.8" hidden="false" customHeight="true" outlineLevel="0" collapsed="false">
      <c r="C2233" s="6" t="n">
        <f aca="false">MOD(ROW()-1, 208)</f>
        <v>152</v>
      </c>
      <c r="D2233" s="6" t="n">
        <f aca="false">INT((ROW()-1)/208)</f>
        <v>10</v>
      </c>
      <c r="F2233" s="6" t="str">
        <f aca="false">MID(VLOOKUP(D2233,$P$1:$Q$13,2,0), 1 + C2233,1)</f>
        <v>풍</v>
      </c>
      <c r="G2233" s="6" t="str">
        <f aca="false">DEC2HEX(D2233+36, 2)</f>
        <v>2E</v>
      </c>
      <c r="H2233" s="6" t="str">
        <f aca="false">DEC2HEX(C2233+48,2)</f>
        <v>C8</v>
      </c>
      <c r="I2233" s="6" t="str">
        <f aca="false">_xlfn.CONCAT("\x", G2233, "\x", H2233, "=", F2233)</f>
        <v>\x2E\xC8=풍</v>
      </c>
      <c r="M2233" s="8"/>
    </row>
    <row r="2234" customFormat="false" ht="12.8" hidden="false" customHeight="true" outlineLevel="0" collapsed="false">
      <c r="C2234" s="6" t="n">
        <f aca="false">MOD(ROW()-1, 208)</f>
        <v>153</v>
      </c>
      <c r="D2234" s="6" t="n">
        <f aca="false">INT((ROW()-1)/208)</f>
        <v>10</v>
      </c>
      <c r="F2234" s="6" t="str">
        <f aca="false">MID(VLOOKUP(D2234,$P$1:$Q$13,2,0), 1 + C2234,1)</f>
        <v>풔</v>
      </c>
      <c r="G2234" s="6" t="str">
        <f aca="false">DEC2HEX(D2234+36, 2)</f>
        <v>2E</v>
      </c>
      <c r="H2234" s="6" t="str">
        <f aca="false">DEC2HEX(C2234+48,2)</f>
        <v>C9</v>
      </c>
      <c r="I2234" s="6" t="str">
        <f aca="false">_xlfn.CONCAT("\x", G2234, "\x", H2234, "=", F2234)</f>
        <v>\x2E\xC9=풔</v>
      </c>
      <c r="M2234" s="8"/>
    </row>
    <row r="2235" customFormat="false" ht="12.8" hidden="false" customHeight="true" outlineLevel="0" collapsed="false">
      <c r="C2235" s="6" t="n">
        <f aca="false">MOD(ROW()-1, 208)</f>
        <v>154</v>
      </c>
      <c r="D2235" s="6" t="n">
        <f aca="false">INT((ROW()-1)/208)</f>
        <v>10</v>
      </c>
      <c r="F2235" s="6" t="str">
        <f aca="false">MID(VLOOKUP(D2235,$P$1:$Q$13,2,0), 1 + C2235,1)</f>
        <v>풩</v>
      </c>
      <c r="G2235" s="6" t="str">
        <f aca="false">DEC2HEX(D2235+36, 2)</f>
        <v>2E</v>
      </c>
      <c r="H2235" s="6" t="str">
        <f aca="false">DEC2HEX(C2235+48,2)</f>
        <v>CA</v>
      </c>
      <c r="I2235" s="6" t="str">
        <f aca="false">_xlfn.CONCAT("\x", G2235, "\x", H2235, "=", F2235)</f>
        <v>\x2E\xCA=풩</v>
      </c>
      <c r="M2235" s="8"/>
    </row>
    <row r="2236" customFormat="false" ht="12.8" hidden="false" customHeight="true" outlineLevel="0" collapsed="false">
      <c r="C2236" s="6" t="n">
        <f aca="false">MOD(ROW()-1, 208)</f>
        <v>155</v>
      </c>
      <c r="D2236" s="6" t="n">
        <f aca="false">INT((ROW()-1)/208)</f>
        <v>10</v>
      </c>
      <c r="F2236" s="6" t="str">
        <f aca="false">MID(VLOOKUP(D2236,$P$1:$Q$13,2,0), 1 + C2236,1)</f>
        <v>퓌</v>
      </c>
      <c r="G2236" s="6" t="str">
        <f aca="false">DEC2HEX(D2236+36, 2)</f>
        <v>2E</v>
      </c>
      <c r="H2236" s="6" t="str">
        <f aca="false">DEC2HEX(C2236+48,2)</f>
        <v>CB</v>
      </c>
      <c r="I2236" s="6" t="str">
        <f aca="false">_xlfn.CONCAT("\x", G2236, "\x", H2236, "=", F2236)</f>
        <v>\x2E\xCB=퓌</v>
      </c>
      <c r="M2236" s="8"/>
    </row>
    <row r="2237" customFormat="false" ht="12.8" hidden="false" customHeight="true" outlineLevel="0" collapsed="false">
      <c r="C2237" s="6" t="n">
        <f aca="false">MOD(ROW()-1, 208)</f>
        <v>156</v>
      </c>
      <c r="D2237" s="6" t="n">
        <f aca="false">INT((ROW()-1)/208)</f>
        <v>10</v>
      </c>
      <c r="F2237" s="6" t="str">
        <f aca="false">MID(VLOOKUP(D2237,$P$1:$Q$13,2,0), 1 + C2237,1)</f>
        <v>퓐</v>
      </c>
      <c r="G2237" s="6" t="str">
        <f aca="false">DEC2HEX(D2237+36, 2)</f>
        <v>2E</v>
      </c>
      <c r="H2237" s="6" t="str">
        <f aca="false">DEC2HEX(C2237+48,2)</f>
        <v>CC</v>
      </c>
      <c r="I2237" s="6" t="str">
        <f aca="false">_xlfn.CONCAT("\x", G2237, "\x", H2237, "=", F2237)</f>
        <v>\x2E\xCC=퓐</v>
      </c>
      <c r="M2237" s="8"/>
    </row>
    <row r="2238" customFormat="false" ht="12.8" hidden="false" customHeight="true" outlineLevel="0" collapsed="false">
      <c r="C2238" s="6" t="n">
        <f aca="false">MOD(ROW()-1, 208)</f>
        <v>157</v>
      </c>
      <c r="D2238" s="6" t="n">
        <f aca="false">INT((ROW()-1)/208)</f>
        <v>10</v>
      </c>
      <c r="F2238" s="6" t="str">
        <f aca="false">MID(VLOOKUP(D2238,$P$1:$Q$13,2,0), 1 + C2238,1)</f>
        <v>퓔</v>
      </c>
      <c r="G2238" s="6" t="str">
        <f aca="false">DEC2HEX(D2238+36, 2)</f>
        <v>2E</v>
      </c>
      <c r="H2238" s="6" t="str">
        <f aca="false">DEC2HEX(C2238+48,2)</f>
        <v>CD</v>
      </c>
      <c r="I2238" s="6" t="str">
        <f aca="false">_xlfn.CONCAT("\x", G2238, "\x", H2238, "=", F2238)</f>
        <v>\x2E\xCD=퓔</v>
      </c>
      <c r="M2238" s="8"/>
    </row>
    <row r="2239" customFormat="false" ht="12.8" hidden="false" customHeight="true" outlineLevel="0" collapsed="false">
      <c r="C2239" s="6" t="n">
        <f aca="false">MOD(ROW()-1, 208)</f>
        <v>158</v>
      </c>
      <c r="D2239" s="6" t="n">
        <f aca="false">INT((ROW()-1)/208)</f>
        <v>10</v>
      </c>
      <c r="F2239" s="6" t="str">
        <f aca="false">MID(VLOOKUP(D2239,$P$1:$Q$13,2,0), 1 + C2239,1)</f>
        <v>퓜</v>
      </c>
      <c r="G2239" s="6" t="str">
        <f aca="false">DEC2HEX(D2239+36, 2)</f>
        <v>2E</v>
      </c>
      <c r="H2239" s="6" t="str">
        <f aca="false">DEC2HEX(C2239+48,2)</f>
        <v>CE</v>
      </c>
      <c r="I2239" s="6" t="str">
        <f aca="false">_xlfn.CONCAT("\x", G2239, "\x", H2239, "=", F2239)</f>
        <v>\x2E\xCE=퓜</v>
      </c>
      <c r="M2239" s="8"/>
    </row>
    <row r="2240" customFormat="false" ht="12.8" hidden="false" customHeight="true" outlineLevel="0" collapsed="false">
      <c r="C2240" s="6" t="n">
        <f aca="false">MOD(ROW()-1, 208)</f>
        <v>159</v>
      </c>
      <c r="D2240" s="6" t="n">
        <f aca="false">INT((ROW()-1)/208)</f>
        <v>10</v>
      </c>
      <c r="F2240" s="6" t="str">
        <f aca="false">MID(VLOOKUP(D2240,$P$1:$Q$13,2,0), 1 + C2240,1)</f>
        <v>퓟</v>
      </c>
      <c r="G2240" s="6" t="str">
        <f aca="false">DEC2HEX(D2240+36, 2)</f>
        <v>2E</v>
      </c>
      <c r="H2240" s="6" t="str">
        <f aca="false">DEC2HEX(C2240+48,2)</f>
        <v>CF</v>
      </c>
      <c r="I2240" s="6" t="str">
        <f aca="false">_xlfn.CONCAT("\x", G2240, "\x", H2240, "=", F2240)</f>
        <v>\x2E\xCF=퓟</v>
      </c>
      <c r="M2240" s="8"/>
    </row>
    <row r="2241" customFormat="false" ht="12.8" hidden="false" customHeight="true" outlineLevel="0" collapsed="false">
      <c r="C2241" s="6" t="n">
        <f aca="false">MOD(ROW()-1, 208)</f>
        <v>160</v>
      </c>
      <c r="D2241" s="6" t="n">
        <f aca="false">INT((ROW()-1)/208)</f>
        <v>10</v>
      </c>
      <c r="F2241" s="6" t="str">
        <f aca="false">MID(VLOOKUP(D2241,$P$1:$Q$13,2,0), 1 + C2241,1)</f>
        <v>퓨</v>
      </c>
      <c r="G2241" s="6" t="str">
        <f aca="false">DEC2HEX(D2241+36, 2)</f>
        <v>2E</v>
      </c>
      <c r="H2241" s="6" t="str">
        <f aca="false">DEC2HEX(C2241+48,2)</f>
        <v>D0</v>
      </c>
      <c r="I2241" s="6" t="str">
        <f aca="false">_xlfn.CONCAT("\x", G2241, "\x", H2241, "=", F2241)</f>
        <v>\x2E\xD0=퓨</v>
      </c>
      <c r="M2241" s="8"/>
    </row>
    <row r="2242" customFormat="false" ht="12.8" hidden="false" customHeight="true" outlineLevel="0" collapsed="false">
      <c r="C2242" s="6" t="n">
        <f aca="false">MOD(ROW()-1, 208)</f>
        <v>161</v>
      </c>
      <c r="D2242" s="6" t="n">
        <f aca="false">INT((ROW()-1)/208)</f>
        <v>10</v>
      </c>
      <c r="F2242" s="6" t="str">
        <f aca="false">MID(VLOOKUP(D2242,$P$1:$Q$13,2,0), 1 + C2242,1)</f>
        <v>퓬</v>
      </c>
      <c r="G2242" s="6" t="str">
        <f aca="false">DEC2HEX(D2242+36, 2)</f>
        <v>2E</v>
      </c>
      <c r="H2242" s="6" t="str">
        <f aca="false">DEC2HEX(C2242+48,2)</f>
        <v>D1</v>
      </c>
      <c r="I2242" s="6" t="str">
        <f aca="false">_xlfn.CONCAT("\x", G2242, "\x", H2242, "=", F2242)</f>
        <v>\x2E\xD1=퓬</v>
      </c>
      <c r="M2242" s="8"/>
    </row>
    <row r="2243" customFormat="false" ht="12.8" hidden="false" customHeight="true" outlineLevel="0" collapsed="false">
      <c r="C2243" s="6" t="n">
        <f aca="false">MOD(ROW()-1, 208)</f>
        <v>162</v>
      </c>
      <c r="D2243" s="6" t="n">
        <f aca="false">INT((ROW()-1)/208)</f>
        <v>10</v>
      </c>
      <c r="F2243" s="6" t="str">
        <f aca="false">MID(VLOOKUP(D2243,$P$1:$Q$13,2,0), 1 + C2243,1)</f>
        <v>퓰</v>
      </c>
      <c r="G2243" s="6" t="str">
        <f aca="false">DEC2HEX(D2243+36, 2)</f>
        <v>2E</v>
      </c>
      <c r="H2243" s="6" t="str">
        <f aca="false">DEC2HEX(C2243+48,2)</f>
        <v>D2</v>
      </c>
      <c r="I2243" s="6" t="str">
        <f aca="false">_xlfn.CONCAT("\x", G2243, "\x", H2243, "=", F2243)</f>
        <v>\x2E\xD2=퓰</v>
      </c>
      <c r="M2243" s="8"/>
    </row>
    <row r="2244" customFormat="false" ht="12.8" hidden="false" customHeight="true" outlineLevel="0" collapsed="false">
      <c r="C2244" s="6" t="n">
        <f aca="false">MOD(ROW()-1, 208)</f>
        <v>163</v>
      </c>
      <c r="D2244" s="6" t="n">
        <f aca="false">INT((ROW()-1)/208)</f>
        <v>10</v>
      </c>
      <c r="F2244" s="6" t="str">
        <f aca="false">MID(VLOOKUP(D2244,$P$1:$Q$13,2,0), 1 + C2244,1)</f>
        <v>퓸</v>
      </c>
      <c r="G2244" s="6" t="str">
        <f aca="false">DEC2HEX(D2244+36, 2)</f>
        <v>2E</v>
      </c>
      <c r="H2244" s="6" t="str">
        <f aca="false">DEC2HEX(C2244+48,2)</f>
        <v>D3</v>
      </c>
      <c r="I2244" s="6" t="str">
        <f aca="false">_xlfn.CONCAT("\x", G2244, "\x", H2244, "=", F2244)</f>
        <v>\x2E\xD3=퓸</v>
      </c>
      <c r="M2244" s="8"/>
    </row>
    <row r="2245" customFormat="false" ht="12.8" hidden="false" customHeight="true" outlineLevel="0" collapsed="false">
      <c r="C2245" s="6" t="n">
        <f aca="false">MOD(ROW()-1, 208)</f>
        <v>164</v>
      </c>
      <c r="D2245" s="6" t="n">
        <f aca="false">INT((ROW()-1)/208)</f>
        <v>10</v>
      </c>
      <c r="F2245" s="6" t="str">
        <f aca="false">MID(VLOOKUP(D2245,$P$1:$Q$13,2,0), 1 + C2245,1)</f>
        <v>퓻</v>
      </c>
      <c r="G2245" s="6" t="str">
        <f aca="false">DEC2HEX(D2245+36, 2)</f>
        <v>2E</v>
      </c>
      <c r="H2245" s="6" t="str">
        <f aca="false">DEC2HEX(C2245+48,2)</f>
        <v>D4</v>
      </c>
      <c r="I2245" s="6" t="str">
        <f aca="false">_xlfn.CONCAT("\x", G2245, "\x", H2245, "=", F2245)</f>
        <v>\x2E\xD4=퓻</v>
      </c>
      <c r="M2245" s="8"/>
    </row>
    <row r="2246" customFormat="false" ht="12.8" hidden="false" customHeight="true" outlineLevel="0" collapsed="false">
      <c r="C2246" s="6" t="n">
        <f aca="false">MOD(ROW()-1, 208)</f>
        <v>165</v>
      </c>
      <c r="D2246" s="6" t="n">
        <f aca="false">INT((ROW()-1)/208)</f>
        <v>10</v>
      </c>
      <c r="F2246" s="6" t="str">
        <f aca="false">MID(VLOOKUP(D2246,$P$1:$Q$13,2,0), 1 + C2246,1)</f>
        <v>퓽</v>
      </c>
      <c r="G2246" s="6" t="str">
        <f aca="false">DEC2HEX(D2246+36, 2)</f>
        <v>2E</v>
      </c>
      <c r="H2246" s="6" t="str">
        <f aca="false">DEC2HEX(C2246+48,2)</f>
        <v>D5</v>
      </c>
      <c r="I2246" s="6" t="str">
        <f aca="false">_xlfn.CONCAT("\x", G2246, "\x", H2246, "=", F2246)</f>
        <v>\x2E\xD5=퓽</v>
      </c>
      <c r="M2246" s="8"/>
    </row>
    <row r="2247" customFormat="false" ht="12.8" hidden="false" customHeight="true" outlineLevel="0" collapsed="false">
      <c r="C2247" s="6" t="n">
        <f aca="false">MOD(ROW()-1, 208)</f>
        <v>166</v>
      </c>
      <c r="D2247" s="6" t="n">
        <f aca="false">INT((ROW()-1)/208)</f>
        <v>10</v>
      </c>
      <c r="F2247" s="6" t="str">
        <f aca="false">MID(VLOOKUP(D2247,$P$1:$Q$13,2,0), 1 + C2247,1)</f>
        <v>프</v>
      </c>
      <c r="G2247" s="6" t="str">
        <f aca="false">DEC2HEX(D2247+36, 2)</f>
        <v>2E</v>
      </c>
      <c r="H2247" s="6" t="str">
        <f aca="false">DEC2HEX(C2247+48,2)</f>
        <v>D6</v>
      </c>
      <c r="I2247" s="6" t="str">
        <f aca="false">_xlfn.CONCAT("\x", G2247, "\x", H2247, "=", F2247)</f>
        <v>\x2E\xD6=프</v>
      </c>
      <c r="M2247" s="8"/>
    </row>
    <row r="2248" customFormat="false" ht="12.8" hidden="false" customHeight="true" outlineLevel="0" collapsed="false">
      <c r="C2248" s="6" t="n">
        <f aca="false">MOD(ROW()-1, 208)</f>
        <v>167</v>
      </c>
      <c r="D2248" s="6" t="n">
        <f aca="false">INT((ROW()-1)/208)</f>
        <v>10</v>
      </c>
      <c r="F2248" s="6" t="str">
        <f aca="false">MID(VLOOKUP(D2248,$P$1:$Q$13,2,0), 1 + C2248,1)</f>
        <v>픈</v>
      </c>
      <c r="G2248" s="6" t="str">
        <f aca="false">DEC2HEX(D2248+36, 2)</f>
        <v>2E</v>
      </c>
      <c r="H2248" s="6" t="str">
        <f aca="false">DEC2HEX(C2248+48,2)</f>
        <v>D7</v>
      </c>
      <c r="I2248" s="6" t="str">
        <f aca="false">_xlfn.CONCAT("\x", G2248, "\x", H2248, "=", F2248)</f>
        <v>\x2E\xD7=픈</v>
      </c>
      <c r="M2248" s="8"/>
    </row>
    <row r="2249" customFormat="false" ht="12.8" hidden="false" customHeight="true" outlineLevel="0" collapsed="false">
      <c r="C2249" s="6" t="n">
        <f aca="false">MOD(ROW()-1, 208)</f>
        <v>168</v>
      </c>
      <c r="D2249" s="6" t="n">
        <f aca="false">INT((ROW()-1)/208)</f>
        <v>10</v>
      </c>
      <c r="F2249" s="6" t="str">
        <f aca="false">MID(VLOOKUP(D2249,$P$1:$Q$13,2,0), 1 + C2249,1)</f>
        <v>플</v>
      </c>
      <c r="G2249" s="6" t="str">
        <f aca="false">DEC2HEX(D2249+36, 2)</f>
        <v>2E</v>
      </c>
      <c r="H2249" s="6" t="str">
        <f aca="false">DEC2HEX(C2249+48,2)</f>
        <v>D8</v>
      </c>
      <c r="I2249" s="6" t="str">
        <f aca="false">_xlfn.CONCAT("\x", G2249, "\x", H2249, "=", F2249)</f>
        <v>\x2E\xD8=플</v>
      </c>
      <c r="M2249" s="8"/>
    </row>
    <row r="2250" customFormat="false" ht="12.8" hidden="false" customHeight="true" outlineLevel="0" collapsed="false">
      <c r="C2250" s="6" t="n">
        <f aca="false">MOD(ROW()-1, 208)</f>
        <v>169</v>
      </c>
      <c r="D2250" s="6" t="n">
        <f aca="false">INT((ROW()-1)/208)</f>
        <v>10</v>
      </c>
      <c r="F2250" s="6" t="str">
        <f aca="false">MID(VLOOKUP(D2250,$P$1:$Q$13,2,0), 1 + C2250,1)</f>
        <v>픔</v>
      </c>
      <c r="G2250" s="6" t="str">
        <f aca="false">DEC2HEX(D2250+36, 2)</f>
        <v>2E</v>
      </c>
      <c r="H2250" s="6" t="str">
        <f aca="false">DEC2HEX(C2250+48,2)</f>
        <v>D9</v>
      </c>
      <c r="I2250" s="6" t="str">
        <f aca="false">_xlfn.CONCAT("\x", G2250, "\x", H2250, "=", F2250)</f>
        <v>\x2E\xD9=픔</v>
      </c>
      <c r="M2250" s="8"/>
    </row>
    <row r="2251" customFormat="false" ht="12.8" hidden="false" customHeight="true" outlineLevel="0" collapsed="false">
      <c r="C2251" s="6" t="n">
        <f aca="false">MOD(ROW()-1, 208)</f>
        <v>170</v>
      </c>
      <c r="D2251" s="6" t="n">
        <f aca="false">INT((ROW()-1)/208)</f>
        <v>10</v>
      </c>
      <c r="F2251" s="6" t="str">
        <f aca="false">MID(VLOOKUP(D2251,$P$1:$Q$13,2,0), 1 + C2251,1)</f>
        <v>픕</v>
      </c>
      <c r="G2251" s="6" t="str">
        <f aca="false">DEC2HEX(D2251+36, 2)</f>
        <v>2E</v>
      </c>
      <c r="H2251" s="6" t="str">
        <f aca="false">DEC2HEX(C2251+48,2)</f>
        <v>DA</v>
      </c>
      <c r="I2251" s="6" t="str">
        <f aca="false">_xlfn.CONCAT("\x", G2251, "\x", H2251, "=", F2251)</f>
        <v>\x2E\xDA=픕</v>
      </c>
      <c r="M2251" s="8"/>
    </row>
    <row r="2252" customFormat="false" ht="12.8" hidden="false" customHeight="true" outlineLevel="0" collapsed="false">
      <c r="C2252" s="6" t="n">
        <f aca="false">MOD(ROW()-1, 208)</f>
        <v>171</v>
      </c>
      <c r="D2252" s="6" t="n">
        <f aca="false">INT((ROW()-1)/208)</f>
        <v>10</v>
      </c>
      <c r="F2252" s="6" t="str">
        <f aca="false">MID(VLOOKUP(D2252,$P$1:$Q$13,2,0), 1 + C2252,1)</f>
        <v>픗</v>
      </c>
      <c r="G2252" s="6" t="str">
        <f aca="false">DEC2HEX(D2252+36, 2)</f>
        <v>2E</v>
      </c>
      <c r="H2252" s="6" t="str">
        <f aca="false">DEC2HEX(C2252+48,2)</f>
        <v>DB</v>
      </c>
      <c r="I2252" s="6" t="str">
        <f aca="false">_xlfn.CONCAT("\x", G2252, "\x", H2252, "=", F2252)</f>
        <v>\x2E\xDB=픗</v>
      </c>
      <c r="M2252" s="8"/>
    </row>
    <row r="2253" customFormat="false" ht="12.8" hidden="false" customHeight="true" outlineLevel="0" collapsed="false">
      <c r="C2253" s="6" t="n">
        <f aca="false">MOD(ROW()-1, 208)</f>
        <v>172</v>
      </c>
      <c r="D2253" s="6" t="n">
        <f aca="false">INT((ROW()-1)/208)</f>
        <v>10</v>
      </c>
      <c r="F2253" s="6" t="str">
        <f aca="false">MID(VLOOKUP(D2253,$P$1:$Q$13,2,0), 1 + C2253,1)</f>
        <v>피</v>
      </c>
      <c r="G2253" s="6" t="str">
        <f aca="false">DEC2HEX(D2253+36, 2)</f>
        <v>2E</v>
      </c>
      <c r="H2253" s="6" t="str">
        <f aca="false">DEC2HEX(C2253+48,2)</f>
        <v>DC</v>
      </c>
      <c r="I2253" s="6" t="str">
        <f aca="false">_xlfn.CONCAT("\x", G2253, "\x", H2253, "=", F2253)</f>
        <v>\x2E\xDC=피</v>
      </c>
      <c r="M2253" s="8"/>
    </row>
    <row r="2254" customFormat="false" ht="12.8" hidden="false" customHeight="true" outlineLevel="0" collapsed="false">
      <c r="C2254" s="6" t="n">
        <f aca="false">MOD(ROW()-1, 208)</f>
        <v>173</v>
      </c>
      <c r="D2254" s="6" t="n">
        <f aca="false">INT((ROW()-1)/208)</f>
        <v>10</v>
      </c>
      <c r="F2254" s="6" t="str">
        <f aca="false">MID(VLOOKUP(D2254,$P$1:$Q$13,2,0), 1 + C2254,1)</f>
        <v>픽</v>
      </c>
      <c r="G2254" s="6" t="str">
        <f aca="false">DEC2HEX(D2254+36, 2)</f>
        <v>2E</v>
      </c>
      <c r="H2254" s="6" t="str">
        <f aca="false">DEC2HEX(C2254+48,2)</f>
        <v>DD</v>
      </c>
      <c r="I2254" s="6" t="str">
        <f aca="false">_xlfn.CONCAT("\x", G2254, "\x", H2254, "=", F2254)</f>
        <v>\x2E\xDD=픽</v>
      </c>
      <c r="M2254" s="8"/>
    </row>
    <row r="2255" customFormat="false" ht="12.8" hidden="false" customHeight="true" outlineLevel="0" collapsed="false">
      <c r="C2255" s="6" t="n">
        <f aca="false">MOD(ROW()-1, 208)</f>
        <v>174</v>
      </c>
      <c r="D2255" s="6" t="n">
        <f aca="false">INT((ROW()-1)/208)</f>
        <v>10</v>
      </c>
      <c r="F2255" s="6" t="str">
        <f aca="false">MID(VLOOKUP(D2255,$P$1:$Q$13,2,0), 1 + C2255,1)</f>
        <v>핀</v>
      </c>
      <c r="G2255" s="6" t="str">
        <f aca="false">DEC2HEX(D2255+36, 2)</f>
        <v>2E</v>
      </c>
      <c r="H2255" s="6" t="str">
        <f aca="false">DEC2HEX(C2255+48,2)</f>
        <v>DE</v>
      </c>
      <c r="I2255" s="6" t="str">
        <f aca="false">_xlfn.CONCAT("\x", G2255, "\x", H2255, "=", F2255)</f>
        <v>\x2E\xDE=핀</v>
      </c>
      <c r="M2255" s="8"/>
    </row>
    <row r="2256" customFormat="false" ht="12.8" hidden="false" customHeight="true" outlineLevel="0" collapsed="false">
      <c r="C2256" s="6" t="n">
        <f aca="false">MOD(ROW()-1, 208)</f>
        <v>175</v>
      </c>
      <c r="D2256" s="6" t="n">
        <f aca="false">INT((ROW()-1)/208)</f>
        <v>10</v>
      </c>
      <c r="F2256" s="6" t="str">
        <f aca="false">MID(VLOOKUP(D2256,$P$1:$Q$13,2,0), 1 + C2256,1)</f>
        <v>필</v>
      </c>
      <c r="G2256" s="6" t="str">
        <f aca="false">DEC2HEX(D2256+36, 2)</f>
        <v>2E</v>
      </c>
      <c r="H2256" s="6" t="str">
        <f aca="false">DEC2HEX(C2256+48,2)</f>
        <v>DF</v>
      </c>
      <c r="I2256" s="6" t="str">
        <f aca="false">_xlfn.CONCAT("\x", G2256, "\x", H2256, "=", F2256)</f>
        <v>\x2E\xDF=필</v>
      </c>
      <c r="M2256" s="8"/>
    </row>
    <row r="2257" customFormat="false" ht="12.8" hidden="false" customHeight="true" outlineLevel="0" collapsed="false">
      <c r="C2257" s="6" t="n">
        <f aca="false">MOD(ROW()-1, 208)</f>
        <v>176</v>
      </c>
      <c r="D2257" s="6" t="n">
        <f aca="false">INT((ROW()-1)/208)</f>
        <v>10</v>
      </c>
      <c r="F2257" s="6" t="str">
        <f aca="false">MID(VLOOKUP(D2257,$P$1:$Q$13,2,0), 1 + C2257,1)</f>
        <v>핌</v>
      </c>
      <c r="G2257" s="6" t="str">
        <f aca="false">DEC2HEX(D2257+36, 2)</f>
        <v>2E</v>
      </c>
      <c r="H2257" s="6" t="str">
        <f aca="false">DEC2HEX(C2257+48,2)</f>
        <v>E0</v>
      </c>
      <c r="I2257" s="6" t="str">
        <f aca="false">_xlfn.CONCAT("\x", G2257, "\x", H2257, "=", F2257)</f>
        <v>\x2E\xE0=핌</v>
      </c>
      <c r="M2257" s="8"/>
    </row>
    <row r="2258" customFormat="false" ht="12.8" hidden="false" customHeight="true" outlineLevel="0" collapsed="false">
      <c r="C2258" s="6" t="n">
        <f aca="false">MOD(ROW()-1, 208)</f>
        <v>177</v>
      </c>
      <c r="D2258" s="6" t="n">
        <f aca="false">INT((ROW()-1)/208)</f>
        <v>10</v>
      </c>
      <c r="F2258" s="6" t="str">
        <f aca="false">MID(VLOOKUP(D2258,$P$1:$Q$13,2,0), 1 + C2258,1)</f>
        <v>핍</v>
      </c>
      <c r="G2258" s="6" t="str">
        <f aca="false">DEC2HEX(D2258+36, 2)</f>
        <v>2E</v>
      </c>
      <c r="H2258" s="6" t="str">
        <f aca="false">DEC2HEX(C2258+48,2)</f>
        <v>E1</v>
      </c>
      <c r="I2258" s="6" t="str">
        <f aca="false">_xlfn.CONCAT("\x", G2258, "\x", H2258, "=", F2258)</f>
        <v>\x2E\xE1=핍</v>
      </c>
      <c r="M2258" s="8"/>
    </row>
    <row r="2259" customFormat="false" ht="12.8" hidden="false" customHeight="true" outlineLevel="0" collapsed="false">
      <c r="C2259" s="6" t="n">
        <f aca="false">MOD(ROW()-1, 208)</f>
        <v>178</v>
      </c>
      <c r="D2259" s="6" t="n">
        <f aca="false">INT((ROW()-1)/208)</f>
        <v>10</v>
      </c>
      <c r="F2259" s="6" t="str">
        <f aca="false">MID(VLOOKUP(D2259,$P$1:$Q$13,2,0), 1 + C2259,1)</f>
        <v>핏</v>
      </c>
      <c r="G2259" s="6" t="str">
        <f aca="false">DEC2HEX(D2259+36, 2)</f>
        <v>2E</v>
      </c>
      <c r="H2259" s="6" t="str">
        <f aca="false">DEC2HEX(C2259+48,2)</f>
        <v>E2</v>
      </c>
      <c r="I2259" s="6" t="str">
        <f aca="false">_xlfn.CONCAT("\x", G2259, "\x", H2259, "=", F2259)</f>
        <v>\x2E\xE2=핏</v>
      </c>
      <c r="M2259" s="8"/>
    </row>
    <row r="2260" customFormat="false" ht="12.8" hidden="false" customHeight="true" outlineLevel="0" collapsed="false">
      <c r="C2260" s="6" t="n">
        <f aca="false">MOD(ROW()-1, 208)</f>
        <v>179</v>
      </c>
      <c r="D2260" s="6" t="n">
        <f aca="false">INT((ROW()-1)/208)</f>
        <v>10</v>
      </c>
      <c r="F2260" s="6" t="str">
        <f aca="false">MID(VLOOKUP(D2260,$P$1:$Q$13,2,0), 1 + C2260,1)</f>
        <v>핑</v>
      </c>
      <c r="G2260" s="6" t="str">
        <f aca="false">DEC2HEX(D2260+36, 2)</f>
        <v>2E</v>
      </c>
      <c r="H2260" s="6" t="str">
        <f aca="false">DEC2HEX(C2260+48,2)</f>
        <v>E3</v>
      </c>
      <c r="I2260" s="6" t="str">
        <f aca="false">_xlfn.CONCAT("\x", G2260, "\x", H2260, "=", F2260)</f>
        <v>\x2E\xE3=핑</v>
      </c>
      <c r="M2260" s="8"/>
    </row>
    <row r="2261" customFormat="false" ht="12.8" hidden="false" customHeight="true" outlineLevel="0" collapsed="false">
      <c r="C2261" s="6" t="n">
        <f aca="false">MOD(ROW()-1, 208)</f>
        <v>180</v>
      </c>
      <c r="D2261" s="6" t="n">
        <f aca="false">INT((ROW()-1)/208)</f>
        <v>10</v>
      </c>
      <c r="F2261" s="6" t="str">
        <f aca="false">MID(VLOOKUP(D2261,$P$1:$Q$13,2,0), 1 + C2261,1)</f>
        <v>하</v>
      </c>
      <c r="G2261" s="6" t="str">
        <f aca="false">DEC2HEX(D2261+36, 2)</f>
        <v>2E</v>
      </c>
      <c r="H2261" s="6" t="str">
        <f aca="false">DEC2HEX(C2261+48,2)</f>
        <v>E4</v>
      </c>
      <c r="I2261" s="6" t="str">
        <f aca="false">_xlfn.CONCAT("\x", G2261, "\x", H2261, "=", F2261)</f>
        <v>\x2E\xE4=하</v>
      </c>
      <c r="M2261" s="8"/>
    </row>
    <row r="2262" customFormat="false" ht="12.8" hidden="false" customHeight="true" outlineLevel="0" collapsed="false">
      <c r="C2262" s="6" t="n">
        <f aca="false">MOD(ROW()-1, 208)</f>
        <v>181</v>
      </c>
      <c r="D2262" s="6" t="n">
        <f aca="false">INT((ROW()-1)/208)</f>
        <v>10</v>
      </c>
      <c r="F2262" s="6" t="str">
        <f aca="false">MID(VLOOKUP(D2262,$P$1:$Q$13,2,0), 1 + C2262,1)</f>
        <v>학</v>
      </c>
      <c r="G2262" s="6" t="str">
        <f aca="false">DEC2HEX(D2262+36, 2)</f>
        <v>2E</v>
      </c>
      <c r="H2262" s="6" t="str">
        <f aca="false">DEC2HEX(C2262+48,2)</f>
        <v>E5</v>
      </c>
      <c r="I2262" s="6" t="str">
        <f aca="false">_xlfn.CONCAT("\x", G2262, "\x", H2262, "=", F2262)</f>
        <v>\x2E\xE5=학</v>
      </c>
      <c r="M2262" s="8"/>
    </row>
    <row r="2263" customFormat="false" ht="12.8" hidden="false" customHeight="true" outlineLevel="0" collapsed="false">
      <c r="C2263" s="6" t="n">
        <f aca="false">MOD(ROW()-1, 208)</f>
        <v>182</v>
      </c>
      <c r="D2263" s="6" t="n">
        <f aca="false">INT((ROW()-1)/208)</f>
        <v>10</v>
      </c>
      <c r="F2263" s="6" t="str">
        <f aca="false">MID(VLOOKUP(D2263,$P$1:$Q$13,2,0), 1 + C2263,1)</f>
        <v>한</v>
      </c>
      <c r="G2263" s="6" t="str">
        <f aca="false">DEC2HEX(D2263+36, 2)</f>
        <v>2E</v>
      </c>
      <c r="H2263" s="6" t="str">
        <f aca="false">DEC2HEX(C2263+48,2)</f>
        <v>E6</v>
      </c>
      <c r="I2263" s="6" t="str">
        <f aca="false">_xlfn.CONCAT("\x", G2263, "\x", H2263, "=", F2263)</f>
        <v>\x2E\xE6=한</v>
      </c>
      <c r="M2263" s="8"/>
    </row>
    <row r="2264" customFormat="false" ht="12.8" hidden="false" customHeight="true" outlineLevel="0" collapsed="false">
      <c r="C2264" s="6" t="n">
        <f aca="false">MOD(ROW()-1, 208)</f>
        <v>183</v>
      </c>
      <c r="D2264" s="6" t="n">
        <f aca="false">INT((ROW()-1)/208)</f>
        <v>10</v>
      </c>
      <c r="F2264" s="6" t="str">
        <f aca="false">MID(VLOOKUP(D2264,$P$1:$Q$13,2,0), 1 + C2264,1)</f>
        <v>할</v>
      </c>
      <c r="G2264" s="6" t="str">
        <f aca="false">DEC2HEX(D2264+36, 2)</f>
        <v>2E</v>
      </c>
      <c r="H2264" s="6" t="str">
        <f aca="false">DEC2HEX(C2264+48,2)</f>
        <v>E7</v>
      </c>
      <c r="I2264" s="6" t="str">
        <f aca="false">_xlfn.CONCAT("\x", G2264, "\x", H2264, "=", F2264)</f>
        <v>\x2E\xE7=할</v>
      </c>
      <c r="M2264" s="8"/>
    </row>
    <row r="2265" customFormat="false" ht="12.8" hidden="false" customHeight="true" outlineLevel="0" collapsed="false">
      <c r="C2265" s="6" t="n">
        <f aca="false">MOD(ROW()-1, 208)</f>
        <v>184</v>
      </c>
      <c r="D2265" s="6" t="n">
        <f aca="false">INT((ROW()-1)/208)</f>
        <v>10</v>
      </c>
      <c r="F2265" s="6" t="str">
        <f aca="false">MID(VLOOKUP(D2265,$P$1:$Q$13,2,0), 1 + C2265,1)</f>
        <v>핥</v>
      </c>
      <c r="G2265" s="6" t="str">
        <f aca="false">DEC2HEX(D2265+36, 2)</f>
        <v>2E</v>
      </c>
      <c r="H2265" s="6" t="str">
        <f aca="false">DEC2HEX(C2265+48,2)</f>
        <v>E8</v>
      </c>
      <c r="I2265" s="6" t="str">
        <f aca="false">_xlfn.CONCAT("\x", G2265, "\x", H2265, "=", F2265)</f>
        <v>\x2E\xE8=핥</v>
      </c>
      <c r="M2265" s="8"/>
    </row>
    <row r="2266" customFormat="false" ht="12.8" hidden="false" customHeight="true" outlineLevel="0" collapsed="false">
      <c r="C2266" s="6" t="n">
        <f aca="false">MOD(ROW()-1, 208)</f>
        <v>185</v>
      </c>
      <c r="D2266" s="6" t="n">
        <f aca="false">INT((ROW()-1)/208)</f>
        <v>10</v>
      </c>
      <c r="F2266" s="6" t="str">
        <f aca="false">MID(VLOOKUP(D2266,$P$1:$Q$13,2,0), 1 + C2266,1)</f>
        <v>함</v>
      </c>
      <c r="G2266" s="6" t="str">
        <f aca="false">DEC2HEX(D2266+36, 2)</f>
        <v>2E</v>
      </c>
      <c r="H2266" s="6" t="str">
        <f aca="false">DEC2HEX(C2266+48,2)</f>
        <v>E9</v>
      </c>
      <c r="I2266" s="6" t="str">
        <f aca="false">_xlfn.CONCAT("\x", G2266, "\x", H2266, "=", F2266)</f>
        <v>\x2E\xE9=함</v>
      </c>
      <c r="M2266" s="8"/>
    </row>
    <row r="2267" customFormat="false" ht="12.8" hidden="false" customHeight="true" outlineLevel="0" collapsed="false">
      <c r="C2267" s="6" t="n">
        <f aca="false">MOD(ROW()-1, 208)</f>
        <v>186</v>
      </c>
      <c r="D2267" s="6" t="n">
        <f aca="false">INT((ROW()-1)/208)</f>
        <v>10</v>
      </c>
      <c r="F2267" s="6" t="str">
        <f aca="false">MID(VLOOKUP(D2267,$P$1:$Q$13,2,0), 1 + C2267,1)</f>
        <v>합</v>
      </c>
      <c r="G2267" s="6" t="str">
        <f aca="false">DEC2HEX(D2267+36, 2)</f>
        <v>2E</v>
      </c>
      <c r="H2267" s="6" t="str">
        <f aca="false">DEC2HEX(C2267+48,2)</f>
        <v>EA</v>
      </c>
      <c r="I2267" s="6" t="str">
        <f aca="false">_xlfn.CONCAT("\x", G2267, "\x", H2267, "=", F2267)</f>
        <v>\x2E\xEA=합</v>
      </c>
      <c r="M2267" s="8"/>
    </row>
    <row r="2268" customFormat="false" ht="12.8" hidden="false" customHeight="true" outlineLevel="0" collapsed="false">
      <c r="C2268" s="6" t="n">
        <f aca="false">MOD(ROW()-1, 208)</f>
        <v>187</v>
      </c>
      <c r="D2268" s="6" t="n">
        <f aca="false">INT((ROW()-1)/208)</f>
        <v>10</v>
      </c>
      <c r="F2268" s="6" t="str">
        <f aca="false">MID(VLOOKUP(D2268,$P$1:$Q$13,2,0), 1 + C2268,1)</f>
        <v>핫</v>
      </c>
      <c r="G2268" s="6" t="str">
        <f aca="false">DEC2HEX(D2268+36, 2)</f>
        <v>2E</v>
      </c>
      <c r="H2268" s="6" t="str">
        <f aca="false">DEC2HEX(C2268+48,2)</f>
        <v>EB</v>
      </c>
      <c r="I2268" s="6" t="str">
        <f aca="false">_xlfn.CONCAT("\x", G2268, "\x", H2268, "=", F2268)</f>
        <v>\x2E\xEB=핫</v>
      </c>
      <c r="M2268" s="8"/>
    </row>
    <row r="2269" customFormat="false" ht="12.8" hidden="false" customHeight="true" outlineLevel="0" collapsed="false">
      <c r="C2269" s="6" t="n">
        <f aca="false">MOD(ROW()-1, 208)</f>
        <v>188</v>
      </c>
      <c r="D2269" s="6" t="n">
        <f aca="false">INT((ROW()-1)/208)</f>
        <v>10</v>
      </c>
      <c r="F2269" s="6" t="str">
        <f aca="false">MID(VLOOKUP(D2269,$P$1:$Q$13,2,0), 1 + C2269,1)</f>
        <v>항</v>
      </c>
      <c r="G2269" s="6" t="str">
        <f aca="false">DEC2HEX(D2269+36, 2)</f>
        <v>2E</v>
      </c>
      <c r="H2269" s="6" t="str">
        <f aca="false">DEC2HEX(C2269+48,2)</f>
        <v>EC</v>
      </c>
      <c r="I2269" s="6" t="str">
        <f aca="false">_xlfn.CONCAT("\x", G2269, "\x", H2269, "=", F2269)</f>
        <v>\x2E\xEC=항</v>
      </c>
      <c r="M2269" s="8"/>
    </row>
    <row r="2270" customFormat="false" ht="12.8" hidden="false" customHeight="true" outlineLevel="0" collapsed="false">
      <c r="C2270" s="6" t="n">
        <f aca="false">MOD(ROW()-1, 208)</f>
        <v>189</v>
      </c>
      <c r="D2270" s="6" t="n">
        <f aca="false">INT((ROW()-1)/208)</f>
        <v>10</v>
      </c>
      <c r="F2270" s="6" t="str">
        <f aca="false">MID(VLOOKUP(D2270,$P$1:$Q$13,2,0), 1 + C2270,1)</f>
        <v>해</v>
      </c>
      <c r="G2270" s="6" t="str">
        <f aca="false">DEC2HEX(D2270+36, 2)</f>
        <v>2E</v>
      </c>
      <c r="H2270" s="6" t="str">
        <f aca="false">DEC2HEX(C2270+48,2)</f>
        <v>ED</v>
      </c>
      <c r="I2270" s="6" t="str">
        <f aca="false">_xlfn.CONCAT("\x", G2270, "\x", H2270, "=", F2270)</f>
        <v>\x2E\xED=해</v>
      </c>
      <c r="M2270" s="8"/>
    </row>
    <row r="2271" customFormat="false" ht="12.8" hidden="false" customHeight="true" outlineLevel="0" collapsed="false">
      <c r="C2271" s="6" t="n">
        <f aca="false">MOD(ROW()-1, 208)</f>
        <v>190</v>
      </c>
      <c r="D2271" s="6" t="n">
        <f aca="false">INT((ROW()-1)/208)</f>
        <v>10</v>
      </c>
      <c r="F2271" s="6" t="str">
        <f aca="false">MID(VLOOKUP(D2271,$P$1:$Q$13,2,0), 1 + C2271,1)</f>
        <v>핵</v>
      </c>
      <c r="G2271" s="6" t="str">
        <f aca="false">DEC2HEX(D2271+36, 2)</f>
        <v>2E</v>
      </c>
      <c r="H2271" s="6" t="str">
        <f aca="false">DEC2HEX(C2271+48,2)</f>
        <v>EE</v>
      </c>
      <c r="I2271" s="6" t="str">
        <f aca="false">_xlfn.CONCAT("\x", G2271, "\x", H2271, "=", F2271)</f>
        <v>\x2E\xEE=핵</v>
      </c>
      <c r="M2271" s="8"/>
    </row>
    <row r="2272" customFormat="false" ht="12.8" hidden="false" customHeight="true" outlineLevel="0" collapsed="false">
      <c r="C2272" s="6" t="n">
        <f aca="false">MOD(ROW()-1, 208)</f>
        <v>191</v>
      </c>
      <c r="D2272" s="6" t="n">
        <f aca="false">INT((ROW()-1)/208)</f>
        <v>10</v>
      </c>
      <c r="F2272" s="6" t="str">
        <f aca="false">MID(VLOOKUP(D2272,$P$1:$Q$13,2,0), 1 + C2272,1)</f>
        <v>핸</v>
      </c>
      <c r="G2272" s="6" t="str">
        <f aca="false">DEC2HEX(D2272+36, 2)</f>
        <v>2E</v>
      </c>
      <c r="H2272" s="6" t="str">
        <f aca="false">DEC2HEX(C2272+48,2)</f>
        <v>EF</v>
      </c>
      <c r="I2272" s="6" t="str">
        <f aca="false">_xlfn.CONCAT("\x", G2272, "\x", H2272, "=", F2272)</f>
        <v>\x2E\xEF=핸</v>
      </c>
      <c r="M2272" s="8"/>
    </row>
    <row r="2273" customFormat="false" ht="12.8" hidden="false" customHeight="true" outlineLevel="0" collapsed="false">
      <c r="C2273" s="6" t="n">
        <f aca="false">MOD(ROW()-1, 208)</f>
        <v>192</v>
      </c>
      <c r="D2273" s="6" t="n">
        <f aca="false">INT((ROW()-1)/208)</f>
        <v>10</v>
      </c>
      <c r="F2273" s="6" t="str">
        <f aca="false">MID(VLOOKUP(D2273,$P$1:$Q$13,2,0), 1 + C2273,1)</f>
        <v>핼</v>
      </c>
      <c r="G2273" s="6" t="str">
        <f aca="false">DEC2HEX(D2273+36, 2)</f>
        <v>2E</v>
      </c>
      <c r="H2273" s="6" t="str">
        <f aca="false">DEC2HEX(C2273+48,2)</f>
        <v>F0</v>
      </c>
      <c r="I2273" s="6" t="str">
        <f aca="false">_xlfn.CONCAT("\x", G2273, "\x", H2273, "=", F2273)</f>
        <v>\x2E\xF0=핼</v>
      </c>
      <c r="M2273" s="8"/>
    </row>
    <row r="2274" customFormat="false" ht="12.8" hidden="false" customHeight="true" outlineLevel="0" collapsed="false">
      <c r="C2274" s="6" t="n">
        <f aca="false">MOD(ROW()-1, 208)</f>
        <v>193</v>
      </c>
      <c r="D2274" s="6" t="n">
        <f aca="false">INT((ROW()-1)/208)</f>
        <v>10</v>
      </c>
      <c r="F2274" s="6" t="str">
        <f aca="false">MID(VLOOKUP(D2274,$P$1:$Q$13,2,0), 1 + C2274,1)</f>
        <v>햄</v>
      </c>
      <c r="G2274" s="6" t="str">
        <f aca="false">DEC2HEX(D2274+36, 2)</f>
        <v>2E</v>
      </c>
      <c r="H2274" s="6" t="str">
        <f aca="false">DEC2HEX(C2274+48,2)</f>
        <v>F1</v>
      </c>
      <c r="I2274" s="6" t="str">
        <f aca="false">_xlfn.CONCAT("\x", G2274, "\x", H2274, "=", F2274)</f>
        <v>\x2E\xF1=햄</v>
      </c>
      <c r="M2274" s="8"/>
    </row>
    <row r="2275" customFormat="false" ht="12.8" hidden="false" customHeight="true" outlineLevel="0" collapsed="false">
      <c r="C2275" s="6" t="n">
        <f aca="false">MOD(ROW()-1, 208)</f>
        <v>194</v>
      </c>
      <c r="D2275" s="6" t="n">
        <f aca="false">INT((ROW()-1)/208)</f>
        <v>10</v>
      </c>
      <c r="F2275" s="6" t="str">
        <f aca="false">MID(VLOOKUP(D2275,$P$1:$Q$13,2,0), 1 + C2275,1)</f>
        <v>햅</v>
      </c>
      <c r="G2275" s="6" t="str">
        <f aca="false">DEC2HEX(D2275+36, 2)</f>
        <v>2E</v>
      </c>
      <c r="H2275" s="6" t="str">
        <f aca="false">DEC2HEX(C2275+48,2)</f>
        <v>F2</v>
      </c>
      <c r="I2275" s="6" t="str">
        <f aca="false">_xlfn.CONCAT("\x", G2275, "\x", H2275, "=", F2275)</f>
        <v>\x2E\xF2=햅</v>
      </c>
      <c r="M2275" s="8"/>
    </row>
    <row r="2276" customFormat="false" ht="12.8" hidden="false" customHeight="true" outlineLevel="0" collapsed="false">
      <c r="C2276" s="6" t="n">
        <f aca="false">MOD(ROW()-1, 208)</f>
        <v>195</v>
      </c>
      <c r="D2276" s="6" t="n">
        <f aca="false">INT((ROW()-1)/208)</f>
        <v>10</v>
      </c>
      <c r="F2276" s="6" t="str">
        <f aca="false">MID(VLOOKUP(D2276,$P$1:$Q$13,2,0), 1 + C2276,1)</f>
        <v>햇</v>
      </c>
      <c r="G2276" s="6" t="str">
        <f aca="false">DEC2HEX(D2276+36, 2)</f>
        <v>2E</v>
      </c>
      <c r="H2276" s="6" t="str">
        <f aca="false">DEC2HEX(C2276+48,2)</f>
        <v>F3</v>
      </c>
      <c r="I2276" s="6" t="str">
        <f aca="false">_xlfn.CONCAT("\x", G2276, "\x", H2276, "=", F2276)</f>
        <v>\x2E\xF3=햇</v>
      </c>
      <c r="M2276" s="8"/>
    </row>
    <row r="2277" customFormat="false" ht="12.8" hidden="false" customHeight="true" outlineLevel="0" collapsed="false">
      <c r="C2277" s="6" t="n">
        <f aca="false">MOD(ROW()-1, 208)</f>
        <v>196</v>
      </c>
      <c r="D2277" s="6" t="n">
        <f aca="false">INT((ROW()-1)/208)</f>
        <v>10</v>
      </c>
      <c r="F2277" s="6" t="str">
        <f aca="false">MID(VLOOKUP(D2277,$P$1:$Q$13,2,0), 1 + C2277,1)</f>
        <v>했</v>
      </c>
      <c r="G2277" s="6" t="str">
        <f aca="false">DEC2HEX(D2277+36, 2)</f>
        <v>2E</v>
      </c>
      <c r="H2277" s="6" t="str">
        <f aca="false">DEC2HEX(C2277+48,2)</f>
        <v>F4</v>
      </c>
      <c r="I2277" s="6" t="str">
        <f aca="false">_xlfn.CONCAT("\x", G2277, "\x", H2277, "=", F2277)</f>
        <v>\x2E\xF4=했</v>
      </c>
      <c r="M2277" s="8"/>
    </row>
    <row r="2278" customFormat="false" ht="12.8" hidden="false" customHeight="true" outlineLevel="0" collapsed="false">
      <c r="C2278" s="6" t="n">
        <f aca="false">MOD(ROW()-1, 208)</f>
        <v>197</v>
      </c>
      <c r="D2278" s="6" t="n">
        <f aca="false">INT((ROW()-1)/208)</f>
        <v>10</v>
      </c>
      <c r="F2278" s="6" t="str">
        <f aca="false">MID(VLOOKUP(D2278,$P$1:$Q$13,2,0), 1 + C2278,1)</f>
        <v>행</v>
      </c>
      <c r="G2278" s="6" t="str">
        <f aca="false">DEC2HEX(D2278+36, 2)</f>
        <v>2E</v>
      </c>
      <c r="H2278" s="6" t="str">
        <f aca="false">DEC2HEX(C2278+48,2)</f>
        <v>F5</v>
      </c>
      <c r="I2278" s="6" t="str">
        <f aca="false">_xlfn.CONCAT("\x", G2278, "\x", H2278, "=", F2278)</f>
        <v>\x2E\xF5=행</v>
      </c>
      <c r="M2278" s="8"/>
    </row>
    <row r="2279" customFormat="false" ht="12.8" hidden="false" customHeight="true" outlineLevel="0" collapsed="false">
      <c r="C2279" s="6" t="n">
        <f aca="false">MOD(ROW()-1, 208)</f>
        <v>198</v>
      </c>
      <c r="D2279" s="6" t="n">
        <f aca="false">INT((ROW()-1)/208)</f>
        <v>10</v>
      </c>
      <c r="F2279" s="6" t="str">
        <f aca="false">MID(VLOOKUP(D2279,$P$1:$Q$13,2,0), 1 + C2279,1)</f>
        <v>햐</v>
      </c>
      <c r="G2279" s="6" t="str">
        <f aca="false">DEC2HEX(D2279+36, 2)</f>
        <v>2E</v>
      </c>
      <c r="H2279" s="6" t="str">
        <f aca="false">DEC2HEX(C2279+48,2)</f>
        <v>F6</v>
      </c>
      <c r="I2279" s="6" t="str">
        <f aca="false">_xlfn.CONCAT("\x", G2279, "\x", H2279, "=", F2279)</f>
        <v>\x2E\xF6=햐</v>
      </c>
      <c r="M2279" s="8"/>
    </row>
    <row r="2280" customFormat="false" ht="12.8" hidden="false" customHeight="true" outlineLevel="0" collapsed="false">
      <c r="C2280" s="6" t="n">
        <f aca="false">MOD(ROW()-1, 208)</f>
        <v>199</v>
      </c>
      <c r="D2280" s="6" t="n">
        <f aca="false">INT((ROW()-1)/208)</f>
        <v>10</v>
      </c>
      <c r="F2280" s="6" t="str">
        <f aca="false">MID(VLOOKUP(D2280,$P$1:$Q$13,2,0), 1 + C2280,1)</f>
        <v>향</v>
      </c>
      <c r="G2280" s="6" t="str">
        <f aca="false">DEC2HEX(D2280+36, 2)</f>
        <v>2E</v>
      </c>
      <c r="H2280" s="6" t="str">
        <f aca="false">DEC2HEX(C2280+48,2)</f>
        <v>F7</v>
      </c>
      <c r="I2280" s="6" t="str">
        <f aca="false">_xlfn.CONCAT("\x", G2280, "\x", H2280, "=", F2280)</f>
        <v>\x2E\xF7=향</v>
      </c>
      <c r="M2280" s="8"/>
    </row>
    <row r="2281" customFormat="false" ht="12.8" hidden="false" customHeight="true" outlineLevel="0" collapsed="false">
      <c r="C2281" s="6" t="n">
        <f aca="false">MOD(ROW()-1, 208)</f>
        <v>200</v>
      </c>
      <c r="D2281" s="6" t="n">
        <f aca="false">INT((ROW()-1)/208)</f>
        <v>10</v>
      </c>
      <c r="F2281" s="6" t="str">
        <f aca="false">MID(VLOOKUP(D2281,$P$1:$Q$13,2,0), 1 + C2281,1)</f>
        <v>허</v>
      </c>
      <c r="G2281" s="6" t="str">
        <f aca="false">DEC2HEX(D2281+36, 2)</f>
        <v>2E</v>
      </c>
      <c r="H2281" s="6" t="str">
        <f aca="false">DEC2HEX(C2281+48,2)</f>
        <v>F8</v>
      </c>
      <c r="I2281" s="6" t="str">
        <f aca="false">_xlfn.CONCAT("\x", G2281, "\x", H2281, "=", F2281)</f>
        <v>\x2E\xF8=허</v>
      </c>
      <c r="M2281" s="8"/>
    </row>
    <row r="2282" customFormat="false" ht="12.8" hidden="false" customHeight="true" outlineLevel="0" collapsed="false">
      <c r="C2282" s="6" t="n">
        <f aca="false">MOD(ROW()-1, 208)</f>
        <v>201</v>
      </c>
      <c r="D2282" s="6" t="n">
        <f aca="false">INT((ROW()-1)/208)</f>
        <v>10</v>
      </c>
      <c r="F2282" s="6" t="str">
        <f aca="false">MID(VLOOKUP(D2282,$P$1:$Q$13,2,0), 1 + C2282,1)</f>
        <v>헉</v>
      </c>
      <c r="G2282" s="6" t="str">
        <f aca="false">DEC2HEX(D2282+36, 2)</f>
        <v>2E</v>
      </c>
      <c r="H2282" s="6" t="str">
        <f aca="false">DEC2HEX(C2282+48,2)</f>
        <v>F9</v>
      </c>
      <c r="I2282" s="6" t="str">
        <f aca="false">_xlfn.CONCAT("\x", G2282, "\x", H2282, "=", F2282)</f>
        <v>\x2E\xF9=헉</v>
      </c>
      <c r="M2282" s="8"/>
    </row>
    <row r="2283" customFormat="false" ht="12.8" hidden="false" customHeight="true" outlineLevel="0" collapsed="false">
      <c r="C2283" s="6" t="n">
        <f aca="false">MOD(ROW()-1, 208)</f>
        <v>202</v>
      </c>
      <c r="D2283" s="6" t="n">
        <f aca="false">INT((ROW()-1)/208)</f>
        <v>10</v>
      </c>
      <c r="F2283" s="6" t="str">
        <f aca="false">MID(VLOOKUP(D2283,$P$1:$Q$13,2,0), 1 + C2283,1)</f>
        <v>헌</v>
      </c>
      <c r="G2283" s="6" t="str">
        <f aca="false">DEC2HEX(D2283+36, 2)</f>
        <v>2E</v>
      </c>
      <c r="H2283" s="6" t="str">
        <f aca="false">DEC2HEX(C2283+48,2)</f>
        <v>FA</v>
      </c>
      <c r="I2283" s="6" t="str">
        <f aca="false">_xlfn.CONCAT("\x", G2283, "\x", H2283, "=", F2283)</f>
        <v>\x2E\xFA=헌</v>
      </c>
      <c r="M2283" s="8"/>
    </row>
    <row r="2284" customFormat="false" ht="12.8" hidden="false" customHeight="true" outlineLevel="0" collapsed="false">
      <c r="C2284" s="6" t="n">
        <f aca="false">MOD(ROW()-1, 208)</f>
        <v>203</v>
      </c>
      <c r="D2284" s="6" t="n">
        <f aca="false">INT((ROW()-1)/208)</f>
        <v>10</v>
      </c>
      <c r="F2284" s="6" t="str">
        <f aca="false">MID(VLOOKUP(D2284,$P$1:$Q$13,2,0), 1 + C2284,1)</f>
        <v>헐</v>
      </c>
      <c r="G2284" s="6" t="str">
        <f aca="false">DEC2HEX(D2284+36, 2)</f>
        <v>2E</v>
      </c>
      <c r="H2284" s="6" t="str">
        <f aca="false">DEC2HEX(C2284+48,2)</f>
        <v>FB</v>
      </c>
      <c r="I2284" s="6" t="str">
        <f aca="false">_xlfn.CONCAT("\x", G2284, "\x", H2284, "=", F2284)</f>
        <v>\x2E\xFB=헐</v>
      </c>
      <c r="M2284" s="8"/>
    </row>
    <row r="2285" customFormat="false" ht="12.8" hidden="false" customHeight="true" outlineLevel="0" collapsed="false">
      <c r="C2285" s="6" t="n">
        <f aca="false">MOD(ROW()-1, 208)</f>
        <v>204</v>
      </c>
      <c r="D2285" s="6" t="n">
        <f aca="false">INT((ROW()-1)/208)</f>
        <v>10</v>
      </c>
      <c r="F2285" s="6" t="str">
        <f aca="false">MID(VLOOKUP(D2285,$P$1:$Q$13,2,0), 1 + C2285,1)</f>
        <v>헒</v>
      </c>
      <c r="G2285" s="6" t="str">
        <f aca="false">DEC2HEX(D2285+36, 2)</f>
        <v>2E</v>
      </c>
      <c r="H2285" s="6" t="str">
        <f aca="false">DEC2HEX(C2285+48,2)</f>
        <v>FC</v>
      </c>
      <c r="I2285" s="6" t="str">
        <f aca="false">_xlfn.CONCAT("\x", G2285, "\x", H2285, "=", F2285)</f>
        <v>\x2E\xFC=헒</v>
      </c>
      <c r="M2285" s="8"/>
    </row>
    <row r="2286" customFormat="false" ht="12.8" hidden="false" customHeight="true" outlineLevel="0" collapsed="false">
      <c r="C2286" s="6" t="n">
        <f aca="false">MOD(ROW()-1, 208)</f>
        <v>205</v>
      </c>
      <c r="D2286" s="6" t="n">
        <f aca="false">INT((ROW()-1)/208)</f>
        <v>10</v>
      </c>
      <c r="F2286" s="6" t="str">
        <f aca="false">MID(VLOOKUP(D2286,$P$1:$Q$13,2,0), 1 + C2286,1)</f>
        <v>험</v>
      </c>
      <c r="G2286" s="6" t="str">
        <f aca="false">DEC2HEX(D2286+36, 2)</f>
        <v>2E</v>
      </c>
      <c r="H2286" s="6" t="str">
        <f aca="false">DEC2HEX(C2286+48,2)</f>
        <v>FD</v>
      </c>
      <c r="I2286" s="6" t="str">
        <f aca="false">_xlfn.CONCAT("\x", G2286, "\x", H2286, "=", F2286)</f>
        <v>\x2E\xFD=험</v>
      </c>
      <c r="M2286" s="8"/>
    </row>
    <row r="2287" customFormat="false" ht="12.8" hidden="false" customHeight="true" outlineLevel="0" collapsed="false">
      <c r="C2287" s="6" t="n">
        <f aca="false">MOD(ROW()-1, 208)</f>
        <v>206</v>
      </c>
      <c r="D2287" s="6" t="n">
        <f aca="false">INT((ROW()-1)/208)</f>
        <v>10</v>
      </c>
      <c r="F2287" s="6" t="str">
        <f aca="false">MID(VLOOKUP(D2287,$P$1:$Q$13,2,0), 1 + C2287,1)</f>
        <v>헙</v>
      </c>
      <c r="G2287" s="6" t="str">
        <f aca="false">DEC2HEX(D2287+36, 2)</f>
        <v>2E</v>
      </c>
      <c r="H2287" s="6" t="str">
        <f aca="false">DEC2HEX(C2287+48,2)</f>
        <v>FE</v>
      </c>
      <c r="I2287" s="6" t="str">
        <f aca="false">_xlfn.CONCAT("\x", G2287, "\x", H2287, "=", F2287)</f>
        <v>\x2E\xFE=헙</v>
      </c>
      <c r="M2287" s="8"/>
    </row>
    <row r="2288" customFormat="false" ht="12.8" hidden="false" customHeight="true" outlineLevel="0" collapsed="false">
      <c r="C2288" s="6" t="n">
        <f aca="false">MOD(ROW()-1, 208)</f>
        <v>207</v>
      </c>
      <c r="D2288" s="6" t="n">
        <f aca="false">INT((ROW()-1)/208)</f>
        <v>10</v>
      </c>
      <c r="F2288" s="6" t="str">
        <f aca="false">MID(VLOOKUP(D2288,$P$1:$Q$13,2,0), 1 + C2288,1)</f>
        <v>헛</v>
      </c>
      <c r="G2288" s="6" t="str">
        <f aca="false">DEC2HEX(D2288+36, 2)</f>
        <v>2E</v>
      </c>
      <c r="H2288" s="6" t="str">
        <f aca="false">DEC2HEX(C2288+48,2)</f>
        <v>FF</v>
      </c>
      <c r="I2288" s="6" t="str">
        <f aca="false">_xlfn.CONCAT("\x", G2288, "\x", H2288, "=", F2288)</f>
        <v>\x2E\xFF=헛</v>
      </c>
      <c r="M2288" s="8"/>
    </row>
    <row r="2289" customFormat="false" ht="12.8" hidden="false" customHeight="true" outlineLevel="0" collapsed="false">
      <c r="C2289" s="6" t="n">
        <f aca="false">MOD(ROW()-1, 208)</f>
        <v>0</v>
      </c>
      <c r="D2289" s="6" t="n">
        <f aca="false">INT((ROW()-1)/208)</f>
        <v>11</v>
      </c>
      <c r="F2289" s="6" t="str">
        <f aca="false">MID(VLOOKUP(D2289,$P$1:$Q$13,2,0), 1 + C2289,1)</f>
        <v>헝</v>
      </c>
      <c r="G2289" s="6" t="str">
        <f aca="false">DEC2HEX(D2289+36, 2)</f>
        <v>2F</v>
      </c>
      <c r="H2289" s="6" t="str">
        <f aca="false">DEC2HEX(C2289+48,2)</f>
        <v>30</v>
      </c>
      <c r="I2289" s="6" t="str">
        <f aca="false">_xlfn.CONCAT("\x", G2289, "\x", H2289, "=", F2289)</f>
        <v>\x2F\x30=헝</v>
      </c>
      <c r="M2289" s="8"/>
    </row>
    <row r="2290" customFormat="false" ht="12.8" hidden="false" customHeight="true" outlineLevel="0" collapsed="false">
      <c r="C2290" s="6" t="n">
        <f aca="false">MOD(ROW()-1, 208)</f>
        <v>1</v>
      </c>
      <c r="D2290" s="6" t="n">
        <f aca="false">INT((ROW()-1)/208)</f>
        <v>11</v>
      </c>
      <c r="F2290" s="6" t="str">
        <f aca="false">MID(VLOOKUP(D2290,$P$1:$Q$13,2,0), 1 + C2290,1)</f>
        <v>헤</v>
      </c>
      <c r="G2290" s="6" t="str">
        <f aca="false">DEC2HEX(D2290+36, 2)</f>
        <v>2F</v>
      </c>
      <c r="H2290" s="6" t="str">
        <f aca="false">DEC2HEX(C2290+48,2)</f>
        <v>31</v>
      </c>
      <c r="I2290" s="6" t="str">
        <f aca="false">_xlfn.CONCAT("\x", G2290, "\x", H2290, "=", F2290)</f>
        <v>\x2F\x31=헤</v>
      </c>
      <c r="M2290" s="8"/>
    </row>
    <row r="2291" customFormat="false" ht="12.8" hidden="false" customHeight="true" outlineLevel="0" collapsed="false">
      <c r="C2291" s="6" t="n">
        <f aca="false">MOD(ROW()-1, 208)</f>
        <v>2</v>
      </c>
      <c r="D2291" s="6" t="n">
        <f aca="false">INT((ROW()-1)/208)</f>
        <v>11</v>
      </c>
      <c r="F2291" s="6" t="str">
        <f aca="false">MID(VLOOKUP(D2291,$P$1:$Q$13,2,0), 1 + C2291,1)</f>
        <v>〔</v>
      </c>
      <c r="G2291" s="6" t="str">
        <f aca="false">DEC2HEX(D2291+36, 2)</f>
        <v>2F</v>
      </c>
      <c r="H2291" s="6" t="str">
        <f aca="false">DEC2HEX(C2291+48,2)</f>
        <v>32</v>
      </c>
      <c r="I2291" s="6" t="str">
        <f aca="false">_xlfn.CONCAT("\x", G2291, "\x", H2291, "=", F2291)</f>
        <v>\x2F\x32=〔</v>
      </c>
      <c r="M2291" s="8"/>
    </row>
    <row r="2292" customFormat="false" ht="12.8" hidden="false" customHeight="true" outlineLevel="0" collapsed="false">
      <c r="C2292" s="6" t="n">
        <f aca="false">MOD(ROW()-1, 208)</f>
        <v>3</v>
      </c>
      <c r="D2292" s="6" t="n">
        <f aca="false">INT((ROW()-1)/208)</f>
        <v>11</v>
      </c>
      <c r="F2292" s="6" t="str">
        <f aca="false">MID(VLOOKUP(D2292,$P$1:$Q$13,2,0), 1 + C2292,1)</f>
        <v>〕</v>
      </c>
      <c r="G2292" s="6" t="str">
        <f aca="false">DEC2HEX(D2292+36, 2)</f>
        <v>2F</v>
      </c>
      <c r="H2292" s="6" t="str">
        <f aca="false">DEC2HEX(C2292+48,2)</f>
        <v>33</v>
      </c>
      <c r="I2292" s="6" t="str">
        <f aca="false">_xlfn.CONCAT("\x", G2292, "\x", H2292, "=", F2292)</f>
        <v>\x2F\x33=〕</v>
      </c>
      <c r="M2292" s="8"/>
    </row>
    <row r="2293" customFormat="false" ht="12.8" hidden="false" customHeight="true" outlineLevel="0" collapsed="false">
      <c r="C2293" s="6" t="n">
        <f aca="false">MOD(ROW()-1, 208)</f>
        <v>4</v>
      </c>
      <c r="D2293" s="6" t="n">
        <f aca="false">INT((ROW()-1)/208)</f>
        <v>11</v>
      </c>
      <c r="F2293" s="6" t="str">
        <f aca="false">MID(VLOOKUP(D2293,$P$1:$Q$13,2,0), 1 + C2293,1)</f>
        <v>헥</v>
      </c>
      <c r="G2293" s="6" t="str">
        <f aca="false">DEC2HEX(D2293+36, 2)</f>
        <v>2F</v>
      </c>
      <c r="H2293" s="6" t="str">
        <f aca="false">DEC2HEX(C2293+48,2)</f>
        <v>34</v>
      </c>
      <c r="I2293" s="6" t="str">
        <f aca="false">_xlfn.CONCAT("\x", G2293, "\x", H2293, "=", F2293)</f>
        <v>\x2F\x34=헥</v>
      </c>
      <c r="M2293" s="8"/>
    </row>
    <row r="2294" customFormat="false" ht="12.8" hidden="false" customHeight="true" outlineLevel="0" collapsed="false">
      <c r="C2294" s="6" t="n">
        <f aca="false">MOD(ROW()-1, 208)</f>
        <v>5</v>
      </c>
      <c r="D2294" s="6" t="n">
        <f aca="false">INT((ROW()-1)/208)</f>
        <v>11</v>
      </c>
      <c r="F2294" s="6" t="str">
        <f aca="false">MID(VLOOKUP(D2294,$P$1:$Q$13,2,0), 1 + C2294,1)</f>
        <v>헨</v>
      </c>
      <c r="G2294" s="6" t="str">
        <f aca="false">DEC2HEX(D2294+36, 2)</f>
        <v>2F</v>
      </c>
      <c r="H2294" s="6" t="str">
        <f aca="false">DEC2HEX(C2294+48,2)</f>
        <v>35</v>
      </c>
      <c r="I2294" s="6" t="str">
        <f aca="false">_xlfn.CONCAT("\x", G2294, "\x", H2294, "=", F2294)</f>
        <v>\x2F\x35=헨</v>
      </c>
      <c r="M2294" s="8"/>
    </row>
    <row r="2295" customFormat="false" ht="12.8" hidden="false" customHeight="true" outlineLevel="0" collapsed="false">
      <c r="C2295" s="6" t="n">
        <f aca="false">MOD(ROW()-1, 208)</f>
        <v>6</v>
      </c>
      <c r="D2295" s="6" t="n">
        <f aca="false">INT((ROW()-1)/208)</f>
        <v>11</v>
      </c>
      <c r="F2295" s="6" t="str">
        <f aca="false">MID(VLOOKUP(D2295,$P$1:$Q$13,2,0), 1 + C2295,1)</f>
        <v>헬</v>
      </c>
      <c r="G2295" s="6" t="str">
        <f aca="false">DEC2HEX(D2295+36, 2)</f>
        <v>2F</v>
      </c>
      <c r="H2295" s="6" t="str">
        <f aca="false">DEC2HEX(C2295+48,2)</f>
        <v>36</v>
      </c>
      <c r="I2295" s="6" t="str">
        <f aca="false">_xlfn.CONCAT("\x", G2295, "\x", H2295, "=", F2295)</f>
        <v>\x2F\x36=헬</v>
      </c>
      <c r="M2295" s="8"/>
    </row>
    <row r="2296" customFormat="false" ht="12.8" hidden="false" customHeight="true" outlineLevel="0" collapsed="false">
      <c r="C2296" s="6" t="n">
        <f aca="false">MOD(ROW()-1, 208)</f>
        <v>7</v>
      </c>
      <c r="D2296" s="6" t="n">
        <f aca="false">INT((ROW()-1)/208)</f>
        <v>11</v>
      </c>
      <c r="F2296" s="6" t="str">
        <f aca="false">MID(VLOOKUP(D2296,$P$1:$Q$13,2,0), 1 + C2296,1)</f>
        <v>헴</v>
      </c>
      <c r="G2296" s="6" t="str">
        <f aca="false">DEC2HEX(D2296+36, 2)</f>
        <v>2F</v>
      </c>
      <c r="H2296" s="6" t="str">
        <f aca="false">DEC2HEX(C2296+48,2)</f>
        <v>37</v>
      </c>
      <c r="I2296" s="6" t="str">
        <f aca="false">_xlfn.CONCAT("\x", G2296, "\x", H2296, "=", F2296)</f>
        <v>\x2F\x37=헴</v>
      </c>
      <c r="M2296" s="8"/>
    </row>
    <row r="2297" customFormat="false" ht="12.8" hidden="false" customHeight="true" outlineLevel="0" collapsed="false">
      <c r="C2297" s="6" t="n">
        <f aca="false">MOD(ROW()-1, 208)</f>
        <v>8</v>
      </c>
      <c r="D2297" s="6" t="n">
        <f aca="false">INT((ROW()-1)/208)</f>
        <v>11</v>
      </c>
      <c r="F2297" s="6" t="str">
        <f aca="false">MID(VLOOKUP(D2297,$P$1:$Q$13,2,0), 1 + C2297,1)</f>
        <v>헵</v>
      </c>
      <c r="G2297" s="6" t="str">
        <f aca="false">DEC2HEX(D2297+36, 2)</f>
        <v>2F</v>
      </c>
      <c r="H2297" s="6" t="str">
        <f aca="false">DEC2HEX(C2297+48,2)</f>
        <v>38</v>
      </c>
      <c r="I2297" s="6" t="str">
        <f aca="false">_xlfn.CONCAT("\x", G2297, "\x", H2297, "=", F2297)</f>
        <v>\x2F\x38=헵</v>
      </c>
      <c r="M2297" s="8"/>
    </row>
    <row r="2298" customFormat="false" ht="12.8" hidden="false" customHeight="true" outlineLevel="0" collapsed="false">
      <c r="C2298" s="6" t="n">
        <f aca="false">MOD(ROW()-1, 208)</f>
        <v>9</v>
      </c>
      <c r="D2298" s="6" t="n">
        <f aca="false">INT((ROW()-1)/208)</f>
        <v>11</v>
      </c>
      <c r="F2298" s="6" t="str">
        <f aca="false">MID(VLOOKUP(D2298,$P$1:$Q$13,2,0), 1 + C2298,1)</f>
        <v>헷</v>
      </c>
      <c r="G2298" s="6" t="str">
        <f aca="false">DEC2HEX(D2298+36, 2)</f>
        <v>2F</v>
      </c>
      <c r="H2298" s="6" t="str">
        <f aca="false">DEC2HEX(C2298+48,2)</f>
        <v>39</v>
      </c>
      <c r="I2298" s="6" t="str">
        <f aca="false">_xlfn.CONCAT("\x", G2298, "\x", H2298, "=", F2298)</f>
        <v>\x2F\x39=헷</v>
      </c>
      <c r="M2298" s="8"/>
    </row>
    <row r="2299" customFormat="false" ht="12.8" hidden="false" customHeight="true" outlineLevel="0" collapsed="false">
      <c r="C2299" s="6" t="n">
        <f aca="false">MOD(ROW()-1, 208)</f>
        <v>10</v>
      </c>
      <c r="D2299" s="6" t="n">
        <f aca="false">INT((ROW()-1)/208)</f>
        <v>11</v>
      </c>
      <c r="F2299" s="6" t="str">
        <f aca="false">MID(VLOOKUP(D2299,$P$1:$Q$13,2,0), 1 + C2299,1)</f>
        <v>헹</v>
      </c>
      <c r="G2299" s="6" t="str">
        <f aca="false">DEC2HEX(D2299+36, 2)</f>
        <v>2F</v>
      </c>
      <c r="H2299" s="6" t="str">
        <f aca="false">DEC2HEX(C2299+48,2)</f>
        <v>3A</v>
      </c>
      <c r="I2299" s="6" t="str">
        <f aca="false">_xlfn.CONCAT("\x", G2299, "\x", H2299, "=", F2299)</f>
        <v>\x2F\x3A=헹</v>
      </c>
      <c r="M2299" s="8"/>
    </row>
    <row r="2300" customFormat="false" ht="12.8" hidden="false" customHeight="true" outlineLevel="0" collapsed="false">
      <c r="C2300" s="6" t="n">
        <f aca="false">MOD(ROW()-1, 208)</f>
        <v>11</v>
      </c>
      <c r="D2300" s="6" t="n">
        <f aca="false">INT((ROW()-1)/208)</f>
        <v>11</v>
      </c>
      <c r="F2300" s="6" t="str">
        <f aca="false">MID(VLOOKUP(D2300,$P$1:$Q$13,2,0), 1 + C2300,1)</f>
        <v>혀</v>
      </c>
      <c r="G2300" s="6" t="str">
        <f aca="false">DEC2HEX(D2300+36, 2)</f>
        <v>2F</v>
      </c>
      <c r="H2300" s="6" t="str">
        <f aca="false">DEC2HEX(C2300+48,2)</f>
        <v>3B</v>
      </c>
      <c r="I2300" s="6" t="str">
        <f aca="false">_xlfn.CONCAT("\x", G2300, "\x", H2300, "=", F2300)</f>
        <v>\x2F\x3B=혀</v>
      </c>
      <c r="M2300" s="8"/>
    </row>
    <row r="2301" customFormat="false" ht="12.8" hidden="false" customHeight="true" outlineLevel="0" collapsed="false">
      <c r="C2301" s="6" t="n">
        <f aca="false">MOD(ROW()-1, 208)</f>
        <v>12</v>
      </c>
      <c r="D2301" s="6" t="n">
        <f aca="false">INT((ROW()-1)/208)</f>
        <v>11</v>
      </c>
      <c r="F2301" s="6" t="str">
        <f aca="false">MID(VLOOKUP(D2301,$P$1:$Q$13,2,0), 1 + C2301,1)</f>
        <v>혁</v>
      </c>
      <c r="G2301" s="6" t="str">
        <f aca="false">DEC2HEX(D2301+36, 2)</f>
        <v>2F</v>
      </c>
      <c r="H2301" s="6" t="str">
        <f aca="false">DEC2HEX(C2301+48,2)</f>
        <v>3C</v>
      </c>
      <c r="I2301" s="6" t="str">
        <f aca="false">_xlfn.CONCAT("\x", G2301, "\x", H2301, "=", F2301)</f>
        <v>\x2F\x3C=혁</v>
      </c>
      <c r="M2301" s="8"/>
    </row>
    <row r="2302" customFormat="false" ht="12.8" hidden="false" customHeight="true" outlineLevel="0" collapsed="false">
      <c r="C2302" s="6" t="n">
        <f aca="false">MOD(ROW()-1, 208)</f>
        <v>13</v>
      </c>
      <c r="D2302" s="6" t="n">
        <f aca="false">INT((ROW()-1)/208)</f>
        <v>11</v>
      </c>
      <c r="F2302" s="6" t="str">
        <f aca="false">MID(VLOOKUP(D2302,$P$1:$Q$13,2,0), 1 + C2302,1)</f>
        <v>현</v>
      </c>
      <c r="G2302" s="6" t="str">
        <f aca="false">DEC2HEX(D2302+36, 2)</f>
        <v>2F</v>
      </c>
      <c r="H2302" s="6" t="str">
        <f aca="false">DEC2HEX(C2302+48,2)</f>
        <v>3D</v>
      </c>
      <c r="I2302" s="6" t="str">
        <f aca="false">_xlfn.CONCAT("\x", G2302, "\x", H2302, "=", F2302)</f>
        <v>\x2F\x3D=현</v>
      </c>
      <c r="M2302" s="8"/>
    </row>
    <row r="2303" customFormat="false" ht="12.8" hidden="false" customHeight="true" outlineLevel="0" collapsed="false">
      <c r="C2303" s="6" t="n">
        <f aca="false">MOD(ROW()-1, 208)</f>
        <v>14</v>
      </c>
      <c r="D2303" s="6" t="n">
        <f aca="false">INT((ROW()-1)/208)</f>
        <v>11</v>
      </c>
      <c r="F2303" s="6" t="str">
        <f aca="false">MID(VLOOKUP(D2303,$P$1:$Q$13,2,0), 1 + C2303,1)</f>
        <v>혈</v>
      </c>
      <c r="G2303" s="6" t="str">
        <f aca="false">DEC2HEX(D2303+36, 2)</f>
        <v>2F</v>
      </c>
      <c r="H2303" s="6" t="str">
        <f aca="false">DEC2HEX(C2303+48,2)</f>
        <v>3E</v>
      </c>
      <c r="I2303" s="6" t="str">
        <f aca="false">_xlfn.CONCAT("\x", G2303, "\x", H2303, "=", F2303)</f>
        <v>\x2F\x3E=혈</v>
      </c>
      <c r="M2303" s="8"/>
    </row>
    <row r="2304" customFormat="false" ht="12.8" hidden="false" customHeight="true" outlineLevel="0" collapsed="false">
      <c r="C2304" s="6" t="n">
        <f aca="false">MOD(ROW()-1, 208)</f>
        <v>15</v>
      </c>
      <c r="D2304" s="6" t="n">
        <f aca="false">INT((ROW()-1)/208)</f>
        <v>11</v>
      </c>
      <c r="F2304" s="6" t="str">
        <f aca="false">MID(VLOOKUP(D2304,$P$1:$Q$13,2,0), 1 + C2304,1)</f>
        <v>혐</v>
      </c>
      <c r="G2304" s="6" t="str">
        <f aca="false">DEC2HEX(D2304+36, 2)</f>
        <v>2F</v>
      </c>
      <c r="H2304" s="6" t="str">
        <f aca="false">DEC2HEX(C2304+48,2)</f>
        <v>3F</v>
      </c>
      <c r="I2304" s="6" t="str">
        <f aca="false">_xlfn.CONCAT("\x", G2304, "\x", H2304, "=", F2304)</f>
        <v>\x2F\x3F=혐</v>
      </c>
      <c r="M2304" s="8"/>
    </row>
    <row r="2305" customFormat="false" ht="12.8" hidden="false" customHeight="true" outlineLevel="0" collapsed="false">
      <c r="C2305" s="6" t="n">
        <f aca="false">MOD(ROW()-1, 208)</f>
        <v>16</v>
      </c>
      <c r="D2305" s="6" t="n">
        <f aca="false">INT((ROW()-1)/208)</f>
        <v>11</v>
      </c>
      <c r="F2305" s="6" t="str">
        <f aca="false">MID(VLOOKUP(D2305,$P$1:$Q$13,2,0), 1 + C2305,1)</f>
        <v>협</v>
      </c>
      <c r="G2305" s="6" t="str">
        <f aca="false">DEC2HEX(D2305+36, 2)</f>
        <v>2F</v>
      </c>
      <c r="H2305" s="6" t="str">
        <f aca="false">DEC2HEX(C2305+48,2)</f>
        <v>40</v>
      </c>
      <c r="I2305" s="6" t="str">
        <f aca="false">_xlfn.CONCAT("\x", G2305, "\x", H2305, "=", F2305)</f>
        <v>\x2F\x40=협</v>
      </c>
      <c r="M2305" s="8"/>
    </row>
    <row r="2306" customFormat="false" ht="12.8" hidden="false" customHeight="true" outlineLevel="0" collapsed="false">
      <c r="C2306" s="6" t="n">
        <f aca="false">MOD(ROW()-1, 208)</f>
        <v>17</v>
      </c>
      <c r="D2306" s="6" t="n">
        <f aca="false">INT((ROW()-1)/208)</f>
        <v>11</v>
      </c>
      <c r="F2306" s="6" t="str">
        <f aca="false">MID(VLOOKUP(D2306,$P$1:$Q$13,2,0), 1 + C2306,1)</f>
        <v>혓</v>
      </c>
      <c r="G2306" s="6" t="str">
        <f aca="false">DEC2HEX(D2306+36, 2)</f>
        <v>2F</v>
      </c>
      <c r="H2306" s="6" t="str">
        <f aca="false">DEC2HEX(C2306+48,2)</f>
        <v>41</v>
      </c>
      <c r="I2306" s="6" t="str">
        <f aca="false">_xlfn.CONCAT("\x", G2306, "\x", H2306, "=", F2306)</f>
        <v>\x2F\x41=혓</v>
      </c>
      <c r="M2306" s="8"/>
    </row>
    <row r="2307" customFormat="false" ht="12.8" hidden="false" customHeight="true" outlineLevel="0" collapsed="false">
      <c r="C2307" s="6" t="n">
        <f aca="false">MOD(ROW()-1, 208)</f>
        <v>18</v>
      </c>
      <c r="D2307" s="6" t="n">
        <f aca="false">INT((ROW()-1)/208)</f>
        <v>11</v>
      </c>
      <c r="F2307" s="6" t="str">
        <f aca="false">MID(VLOOKUP(D2307,$P$1:$Q$13,2,0), 1 + C2307,1)</f>
        <v>혔</v>
      </c>
      <c r="G2307" s="6" t="str">
        <f aca="false">DEC2HEX(D2307+36, 2)</f>
        <v>2F</v>
      </c>
      <c r="H2307" s="6" t="str">
        <f aca="false">DEC2HEX(C2307+48,2)</f>
        <v>42</v>
      </c>
      <c r="I2307" s="6" t="str">
        <f aca="false">_xlfn.CONCAT("\x", G2307, "\x", H2307, "=", F2307)</f>
        <v>\x2F\x42=혔</v>
      </c>
      <c r="M2307" s="8"/>
    </row>
    <row r="2308" customFormat="false" ht="12.8" hidden="false" customHeight="true" outlineLevel="0" collapsed="false">
      <c r="C2308" s="6" t="n">
        <f aca="false">MOD(ROW()-1, 208)</f>
        <v>19</v>
      </c>
      <c r="D2308" s="6" t="n">
        <f aca="false">INT((ROW()-1)/208)</f>
        <v>11</v>
      </c>
      <c r="F2308" s="6" t="str">
        <f aca="false">MID(VLOOKUP(D2308,$P$1:$Q$13,2,0), 1 + C2308,1)</f>
        <v>형</v>
      </c>
      <c r="G2308" s="6" t="str">
        <f aca="false">DEC2HEX(D2308+36, 2)</f>
        <v>2F</v>
      </c>
      <c r="H2308" s="6" t="str">
        <f aca="false">DEC2HEX(C2308+48,2)</f>
        <v>43</v>
      </c>
      <c r="I2308" s="6" t="str">
        <f aca="false">_xlfn.CONCAT("\x", G2308, "\x", H2308, "=", F2308)</f>
        <v>\x2F\x43=형</v>
      </c>
      <c r="M2308" s="8"/>
    </row>
    <row r="2309" customFormat="false" ht="12.8" hidden="false" customHeight="true" outlineLevel="0" collapsed="false">
      <c r="C2309" s="6" t="n">
        <f aca="false">MOD(ROW()-1, 208)</f>
        <v>20</v>
      </c>
      <c r="D2309" s="6" t="n">
        <f aca="false">INT((ROW()-1)/208)</f>
        <v>11</v>
      </c>
      <c r="F2309" s="6" t="str">
        <f aca="false">MID(VLOOKUP(D2309,$P$1:$Q$13,2,0), 1 + C2309,1)</f>
        <v>혜</v>
      </c>
      <c r="G2309" s="6" t="str">
        <f aca="false">DEC2HEX(D2309+36, 2)</f>
        <v>2F</v>
      </c>
      <c r="H2309" s="6" t="str">
        <f aca="false">DEC2HEX(C2309+48,2)</f>
        <v>44</v>
      </c>
      <c r="I2309" s="6" t="str">
        <f aca="false">_xlfn.CONCAT("\x", G2309, "\x", H2309, "=", F2309)</f>
        <v>\x2F\x44=혜</v>
      </c>
      <c r="M2309" s="8"/>
    </row>
    <row r="2310" customFormat="false" ht="12.8" hidden="false" customHeight="true" outlineLevel="0" collapsed="false">
      <c r="C2310" s="6" t="n">
        <f aca="false">MOD(ROW()-1, 208)</f>
        <v>21</v>
      </c>
      <c r="D2310" s="6" t="n">
        <f aca="false">INT((ROW()-1)/208)</f>
        <v>11</v>
      </c>
      <c r="F2310" s="6" t="str">
        <f aca="false">MID(VLOOKUP(D2310,$P$1:$Q$13,2,0), 1 + C2310,1)</f>
        <v>혠</v>
      </c>
      <c r="G2310" s="6" t="str">
        <f aca="false">DEC2HEX(D2310+36, 2)</f>
        <v>2F</v>
      </c>
      <c r="H2310" s="6" t="str">
        <f aca="false">DEC2HEX(C2310+48,2)</f>
        <v>45</v>
      </c>
      <c r="I2310" s="6" t="str">
        <f aca="false">_xlfn.CONCAT("\x", G2310, "\x", H2310, "=", F2310)</f>
        <v>\x2F\x45=혠</v>
      </c>
      <c r="M2310" s="8"/>
    </row>
    <row r="2311" customFormat="false" ht="12.8" hidden="false" customHeight="true" outlineLevel="0" collapsed="false">
      <c r="C2311" s="6" t="n">
        <f aca="false">MOD(ROW()-1, 208)</f>
        <v>22</v>
      </c>
      <c r="D2311" s="6" t="n">
        <f aca="false">INT((ROW()-1)/208)</f>
        <v>11</v>
      </c>
      <c r="F2311" s="6" t="str">
        <f aca="false">MID(VLOOKUP(D2311,$P$1:$Q$13,2,0), 1 + C2311,1)</f>
        <v>혤</v>
      </c>
      <c r="G2311" s="6" t="str">
        <f aca="false">DEC2HEX(D2311+36, 2)</f>
        <v>2F</v>
      </c>
      <c r="H2311" s="6" t="str">
        <f aca="false">DEC2HEX(C2311+48,2)</f>
        <v>46</v>
      </c>
      <c r="I2311" s="6" t="str">
        <f aca="false">_xlfn.CONCAT("\x", G2311, "\x", H2311, "=", F2311)</f>
        <v>\x2F\x46=혤</v>
      </c>
      <c r="M2311" s="8"/>
    </row>
    <row r="2312" customFormat="false" ht="12.8" hidden="false" customHeight="true" outlineLevel="0" collapsed="false">
      <c r="C2312" s="6" t="n">
        <f aca="false">MOD(ROW()-1, 208)</f>
        <v>23</v>
      </c>
      <c r="D2312" s="6" t="n">
        <f aca="false">INT((ROW()-1)/208)</f>
        <v>11</v>
      </c>
      <c r="F2312" s="6" t="str">
        <f aca="false">MID(VLOOKUP(D2312,$P$1:$Q$13,2,0), 1 + C2312,1)</f>
        <v>혭</v>
      </c>
      <c r="G2312" s="6" t="str">
        <f aca="false">DEC2HEX(D2312+36, 2)</f>
        <v>2F</v>
      </c>
      <c r="H2312" s="6" t="str">
        <f aca="false">DEC2HEX(C2312+48,2)</f>
        <v>47</v>
      </c>
      <c r="I2312" s="6" t="str">
        <f aca="false">_xlfn.CONCAT("\x", G2312, "\x", H2312, "=", F2312)</f>
        <v>\x2F\x47=혭</v>
      </c>
      <c r="M2312" s="8"/>
    </row>
    <row r="2313" customFormat="false" ht="12.8" hidden="false" customHeight="true" outlineLevel="0" collapsed="false">
      <c r="C2313" s="6" t="n">
        <f aca="false">MOD(ROW()-1, 208)</f>
        <v>24</v>
      </c>
      <c r="D2313" s="6" t="n">
        <f aca="false">INT((ROW()-1)/208)</f>
        <v>11</v>
      </c>
      <c r="F2313" s="6" t="str">
        <f aca="false">MID(VLOOKUP(D2313,$P$1:$Q$13,2,0), 1 + C2313,1)</f>
        <v>호</v>
      </c>
      <c r="G2313" s="6" t="str">
        <f aca="false">DEC2HEX(D2313+36, 2)</f>
        <v>2F</v>
      </c>
      <c r="H2313" s="6" t="str">
        <f aca="false">DEC2HEX(C2313+48,2)</f>
        <v>48</v>
      </c>
      <c r="I2313" s="6" t="str">
        <f aca="false">_xlfn.CONCAT("\x", G2313, "\x", H2313, "=", F2313)</f>
        <v>\x2F\x48=호</v>
      </c>
      <c r="M2313" s="8"/>
    </row>
    <row r="2314" customFormat="false" ht="12.8" hidden="false" customHeight="true" outlineLevel="0" collapsed="false">
      <c r="C2314" s="6" t="n">
        <f aca="false">MOD(ROW()-1, 208)</f>
        <v>25</v>
      </c>
      <c r="D2314" s="6" t="n">
        <f aca="false">INT((ROW()-1)/208)</f>
        <v>11</v>
      </c>
      <c r="F2314" s="6" t="str">
        <f aca="false">MID(VLOOKUP(D2314,$P$1:$Q$13,2,0), 1 + C2314,1)</f>
        <v>혹</v>
      </c>
      <c r="G2314" s="6" t="str">
        <f aca="false">DEC2HEX(D2314+36, 2)</f>
        <v>2F</v>
      </c>
      <c r="H2314" s="6" t="str">
        <f aca="false">DEC2HEX(C2314+48,2)</f>
        <v>49</v>
      </c>
      <c r="I2314" s="6" t="str">
        <f aca="false">_xlfn.CONCAT("\x", G2314, "\x", H2314, "=", F2314)</f>
        <v>\x2F\x49=혹</v>
      </c>
      <c r="M2314" s="8"/>
    </row>
    <row r="2315" customFormat="false" ht="12.8" hidden="false" customHeight="true" outlineLevel="0" collapsed="false">
      <c r="C2315" s="6" t="n">
        <f aca="false">MOD(ROW()-1, 208)</f>
        <v>26</v>
      </c>
      <c r="D2315" s="6" t="n">
        <f aca="false">INT((ROW()-1)/208)</f>
        <v>11</v>
      </c>
      <c r="F2315" s="6" t="str">
        <f aca="false">MID(VLOOKUP(D2315,$P$1:$Q$13,2,0), 1 + C2315,1)</f>
        <v>혼</v>
      </c>
      <c r="G2315" s="6" t="str">
        <f aca="false">DEC2HEX(D2315+36, 2)</f>
        <v>2F</v>
      </c>
      <c r="H2315" s="6" t="str">
        <f aca="false">DEC2HEX(C2315+48,2)</f>
        <v>4A</v>
      </c>
      <c r="I2315" s="6" t="str">
        <f aca="false">_xlfn.CONCAT("\x", G2315, "\x", H2315, "=", F2315)</f>
        <v>\x2F\x4A=혼</v>
      </c>
      <c r="M2315" s="8"/>
    </row>
    <row r="2316" customFormat="false" ht="12.8" hidden="false" customHeight="true" outlineLevel="0" collapsed="false">
      <c r="C2316" s="6" t="n">
        <f aca="false">MOD(ROW()-1, 208)</f>
        <v>27</v>
      </c>
      <c r="D2316" s="6" t="n">
        <f aca="false">INT((ROW()-1)/208)</f>
        <v>11</v>
      </c>
      <c r="F2316" s="6" t="str">
        <f aca="false">MID(VLOOKUP(D2316,$P$1:$Q$13,2,0), 1 + C2316,1)</f>
        <v>홀</v>
      </c>
      <c r="G2316" s="6" t="str">
        <f aca="false">DEC2HEX(D2316+36, 2)</f>
        <v>2F</v>
      </c>
      <c r="H2316" s="6" t="str">
        <f aca="false">DEC2HEX(C2316+48,2)</f>
        <v>4B</v>
      </c>
      <c r="I2316" s="6" t="str">
        <f aca="false">_xlfn.CONCAT("\x", G2316, "\x", H2316, "=", F2316)</f>
        <v>\x2F\x4B=홀</v>
      </c>
      <c r="M2316" s="8"/>
    </row>
    <row r="2317" customFormat="false" ht="12.8" hidden="false" customHeight="true" outlineLevel="0" collapsed="false">
      <c r="C2317" s="6" t="n">
        <f aca="false">MOD(ROW()-1, 208)</f>
        <v>28</v>
      </c>
      <c r="D2317" s="6" t="n">
        <f aca="false">INT((ROW()-1)/208)</f>
        <v>11</v>
      </c>
      <c r="F2317" s="6" t="str">
        <f aca="false">MID(VLOOKUP(D2317,$P$1:$Q$13,2,0), 1 + C2317,1)</f>
        <v>홅</v>
      </c>
      <c r="G2317" s="6" t="str">
        <f aca="false">DEC2HEX(D2317+36, 2)</f>
        <v>2F</v>
      </c>
      <c r="H2317" s="6" t="str">
        <f aca="false">DEC2HEX(C2317+48,2)</f>
        <v>4C</v>
      </c>
      <c r="I2317" s="6" t="str">
        <f aca="false">_xlfn.CONCAT("\x", G2317, "\x", H2317, "=", F2317)</f>
        <v>\x2F\x4C=홅</v>
      </c>
      <c r="M2317" s="8"/>
    </row>
    <row r="2318" customFormat="false" ht="12.8" hidden="false" customHeight="true" outlineLevel="0" collapsed="false">
      <c r="C2318" s="6" t="n">
        <f aca="false">MOD(ROW()-1, 208)</f>
        <v>29</v>
      </c>
      <c r="D2318" s="6" t="n">
        <f aca="false">INT((ROW()-1)/208)</f>
        <v>11</v>
      </c>
      <c r="F2318" s="6" t="str">
        <f aca="false">MID(VLOOKUP(D2318,$P$1:$Q$13,2,0), 1 + C2318,1)</f>
        <v>홈</v>
      </c>
      <c r="G2318" s="6" t="str">
        <f aca="false">DEC2HEX(D2318+36, 2)</f>
        <v>2F</v>
      </c>
      <c r="H2318" s="6" t="str">
        <f aca="false">DEC2HEX(C2318+48,2)</f>
        <v>4D</v>
      </c>
      <c r="I2318" s="6" t="str">
        <f aca="false">_xlfn.CONCAT("\x", G2318, "\x", H2318, "=", F2318)</f>
        <v>\x2F\x4D=홈</v>
      </c>
      <c r="M2318" s="8"/>
    </row>
    <row r="2319" customFormat="false" ht="12.8" hidden="false" customHeight="true" outlineLevel="0" collapsed="false">
      <c r="C2319" s="6" t="n">
        <f aca="false">MOD(ROW()-1, 208)</f>
        <v>30</v>
      </c>
      <c r="D2319" s="6" t="n">
        <f aca="false">INT((ROW()-1)/208)</f>
        <v>11</v>
      </c>
      <c r="F2319" s="6" t="str">
        <f aca="false">MID(VLOOKUP(D2319,$P$1:$Q$13,2,0), 1 + C2319,1)</f>
        <v>홉</v>
      </c>
      <c r="G2319" s="6" t="str">
        <f aca="false">DEC2HEX(D2319+36, 2)</f>
        <v>2F</v>
      </c>
      <c r="H2319" s="6" t="str">
        <f aca="false">DEC2HEX(C2319+48,2)</f>
        <v>4E</v>
      </c>
      <c r="I2319" s="6" t="str">
        <f aca="false">_xlfn.CONCAT("\x", G2319, "\x", H2319, "=", F2319)</f>
        <v>\x2F\x4E=홉</v>
      </c>
      <c r="M2319" s="8"/>
    </row>
    <row r="2320" customFormat="false" ht="12.8" hidden="false" customHeight="true" outlineLevel="0" collapsed="false">
      <c r="C2320" s="6" t="n">
        <f aca="false">MOD(ROW()-1, 208)</f>
        <v>31</v>
      </c>
      <c r="D2320" s="6" t="n">
        <f aca="false">INT((ROW()-1)/208)</f>
        <v>11</v>
      </c>
      <c r="F2320" s="6" t="str">
        <f aca="false">MID(VLOOKUP(D2320,$P$1:$Q$13,2,0), 1 + C2320,1)</f>
        <v>홋</v>
      </c>
      <c r="G2320" s="6" t="str">
        <f aca="false">DEC2HEX(D2320+36, 2)</f>
        <v>2F</v>
      </c>
      <c r="H2320" s="6" t="str">
        <f aca="false">DEC2HEX(C2320+48,2)</f>
        <v>4F</v>
      </c>
      <c r="I2320" s="6" t="str">
        <f aca="false">_xlfn.CONCAT("\x", G2320, "\x", H2320, "=", F2320)</f>
        <v>\x2F\x4F=홋</v>
      </c>
      <c r="M2320" s="8"/>
    </row>
    <row r="2321" customFormat="false" ht="12.8" hidden="false" customHeight="true" outlineLevel="0" collapsed="false">
      <c r="C2321" s="6" t="n">
        <f aca="false">MOD(ROW()-1, 208)</f>
        <v>32</v>
      </c>
      <c r="D2321" s="6" t="n">
        <f aca="false">INT((ROW()-1)/208)</f>
        <v>11</v>
      </c>
      <c r="F2321" s="6" t="str">
        <f aca="false">MID(VLOOKUP(D2321,$P$1:$Q$13,2,0), 1 + C2321,1)</f>
        <v>홍</v>
      </c>
      <c r="G2321" s="6" t="str">
        <f aca="false">DEC2HEX(D2321+36, 2)</f>
        <v>2F</v>
      </c>
      <c r="H2321" s="6" t="str">
        <f aca="false">DEC2HEX(C2321+48,2)</f>
        <v>50</v>
      </c>
      <c r="I2321" s="6" t="str">
        <f aca="false">_xlfn.CONCAT("\x", G2321, "\x", H2321, "=", F2321)</f>
        <v>\x2F\x50=홍</v>
      </c>
      <c r="M2321" s="8"/>
    </row>
    <row r="2322" customFormat="false" ht="12.8" hidden="false" customHeight="true" outlineLevel="0" collapsed="false">
      <c r="C2322" s="6" t="n">
        <f aca="false">MOD(ROW()-1, 208)</f>
        <v>33</v>
      </c>
      <c r="D2322" s="6" t="n">
        <f aca="false">INT((ROW()-1)/208)</f>
        <v>11</v>
      </c>
      <c r="F2322" s="6" t="str">
        <f aca="false">MID(VLOOKUP(D2322,$P$1:$Q$13,2,0), 1 + C2322,1)</f>
        <v>홑</v>
      </c>
      <c r="G2322" s="6" t="str">
        <f aca="false">DEC2HEX(D2322+36, 2)</f>
        <v>2F</v>
      </c>
      <c r="H2322" s="6" t="str">
        <f aca="false">DEC2HEX(C2322+48,2)</f>
        <v>51</v>
      </c>
      <c r="I2322" s="6" t="str">
        <f aca="false">_xlfn.CONCAT("\x", G2322, "\x", H2322, "=", F2322)</f>
        <v>\x2F\x51=홑</v>
      </c>
      <c r="M2322" s="8"/>
    </row>
    <row r="2323" customFormat="false" ht="12.8" hidden="false" customHeight="true" outlineLevel="0" collapsed="false">
      <c r="C2323" s="6" t="n">
        <f aca="false">MOD(ROW()-1, 208)</f>
        <v>34</v>
      </c>
      <c r="D2323" s="6" t="n">
        <f aca="false">INT((ROW()-1)/208)</f>
        <v>11</v>
      </c>
      <c r="F2323" s="6" t="str">
        <f aca="false">MID(VLOOKUP(D2323,$P$1:$Q$13,2,0), 1 + C2323,1)</f>
        <v>화</v>
      </c>
      <c r="G2323" s="6" t="str">
        <f aca="false">DEC2HEX(D2323+36, 2)</f>
        <v>2F</v>
      </c>
      <c r="H2323" s="6" t="str">
        <f aca="false">DEC2HEX(C2323+48,2)</f>
        <v>52</v>
      </c>
      <c r="I2323" s="6" t="str">
        <f aca="false">_xlfn.CONCAT("\x", G2323, "\x", H2323, "=", F2323)</f>
        <v>\x2F\x52=화</v>
      </c>
      <c r="M2323" s="8"/>
    </row>
    <row r="2324" customFormat="false" ht="12.8" hidden="false" customHeight="true" outlineLevel="0" collapsed="false">
      <c r="C2324" s="6" t="n">
        <f aca="false">MOD(ROW()-1, 208)</f>
        <v>35</v>
      </c>
      <c r="D2324" s="6" t="n">
        <f aca="false">INT((ROW()-1)/208)</f>
        <v>11</v>
      </c>
      <c r="F2324" s="6" t="str">
        <f aca="false">MID(VLOOKUP(D2324,$P$1:$Q$13,2,0), 1 + C2324,1)</f>
        <v>확</v>
      </c>
      <c r="G2324" s="6" t="str">
        <f aca="false">DEC2HEX(D2324+36, 2)</f>
        <v>2F</v>
      </c>
      <c r="H2324" s="6" t="str">
        <f aca="false">DEC2HEX(C2324+48,2)</f>
        <v>53</v>
      </c>
      <c r="I2324" s="6" t="str">
        <f aca="false">_xlfn.CONCAT("\x", G2324, "\x", H2324, "=", F2324)</f>
        <v>\x2F\x53=확</v>
      </c>
      <c r="M2324" s="8"/>
    </row>
    <row r="2325" customFormat="false" ht="12.8" hidden="false" customHeight="true" outlineLevel="0" collapsed="false">
      <c r="C2325" s="6" t="n">
        <f aca="false">MOD(ROW()-1, 208)</f>
        <v>36</v>
      </c>
      <c r="D2325" s="6" t="n">
        <f aca="false">INT((ROW()-1)/208)</f>
        <v>11</v>
      </c>
      <c r="F2325" s="6" t="str">
        <f aca="false">MID(VLOOKUP(D2325,$P$1:$Q$13,2,0), 1 + C2325,1)</f>
        <v>환</v>
      </c>
      <c r="G2325" s="6" t="str">
        <f aca="false">DEC2HEX(D2325+36, 2)</f>
        <v>2F</v>
      </c>
      <c r="H2325" s="6" t="str">
        <f aca="false">DEC2HEX(C2325+48,2)</f>
        <v>54</v>
      </c>
      <c r="I2325" s="6" t="str">
        <f aca="false">_xlfn.CONCAT("\x", G2325, "\x", H2325, "=", F2325)</f>
        <v>\x2F\x54=환</v>
      </c>
      <c r="M2325" s="8"/>
    </row>
    <row r="2326" customFormat="false" ht="12.8" hidden="false" customHeight="true" outlineLevel="0" collapsed="false">
      <c r="C2326" s="6" t="n">
        <f aca="false">MOD(ROW()-1, 208)</f>
        <v>37</v>
      </c>
      <c r="D2326" s="6" t="n">
        <f aca="false">INT((ROW()-1)/208)</f>
        <v>11</v>
      </c>
      <c r="F2326" s="6" t="str">
        <f aca="false">MID(VLOOKUP(D2326,$P$1:$Q$13,2,0), 1 + C2326,1)</f>
        <v>활</v>
      </c>
      <c r="G2326" s="6" t="str">
        <f aca="false">DEC2HEX(D2326+36, 2)</f>
        <v>2F</v>
      </c>
      <c r="H2326" s="6" t="str">
        <f aca="false">DEC2HEX(C2326+48,2)</f>
        <v>55</v>
      </c>
      <c r="I2326" s="6" t="str">
        <f aca="false">_xlfn.CONCAT("\x", G2326, "\x", H2326, "=", F2326)</f>
        <v>\x2F\x55=활</v>
      </c>
      <c r="M2326" s="8"/>
    </row>
    <row r="2327" customFormat="false" ht="12.8" hidden="false" customHeight="true" outlineLevel="0" collapsed="false">
      <c r="C2327" s="6" t="n">
        <f aca="false">MOD(ROW()-1, 208)</f>
        <v>38</v>
      </c>
      <c r="D2327" s="6" t="n">
        <f aca="false">INT((ROW()-1)/208)</f>
        <v>11</v>
      </c>
      <c r="F2327" s="6" t="str">
        <f aca="false">MID(VLOOKUP(D2327,$P$1:$Q$13,2,0), 1 + C2327,1)</f>
        <v>홧</v>
      </c>
      <c r="G2327" s="6" t="str">
        <f aca="false">DEC2HEX(D2327+36, 2)</f>
        <v>2F</v>
      </c>
      <c r="H2327" s="6" t="str">
        <f aca="false">DEC2HEX(C2327+48,2)</f>
        <v>56</v>
      </c>
      <c r="I2327" s="6" t="str">
        <f aca="false">_xlfn.CONCAT("\x", G2327, "\x", H2327, "=", F2327)</f>
        <v>\x2F\x56=홧</v>
      </c>
      <c r="M2327" s="8"/>
    </row>
    <row r="2328" customFormat="false" ht="12.8" hidden="false" customHeight="true" outlineLevel="0" collapsed="false">
      <c r="C2328" s="6" t="n">
        <f aca="false">MOD(ROW()-1, 208)</f>
        <v>39</v>
      </c>
      <c r="D2328" s="6" t="n">
        <f aca="false">INT((ROW()-1)/208)</f>
        <v>11</v>
      </c>
      <c r="F2328" s="6" t="str">
        <f aca="false">MID(VLOOKUP(D2328,$P$1:$Q$13,2,0), 1 + C2328,1)</f>
        <v>황</v>
      </c>
      <c r="G2328" s="6" t="str">
        <f aca="false">DEC2HEX(D2328+36, 2)</f>
        <v>2F</v>
      </c>
      <c r="H2328" s="6" t="str">
        <f aca="false">DEC2HEX(C2328+48,2)</f>
        <v>57</v>
      </c>
      <c r="I2328" s="6" t="str">
        <f aca="false">_xlfn.CONCAT("\x", G2328, "\x", H2328, "=", F2328)</f>
        <v>\x2F\x57=황</v>
      </c>
      <c r="M2328" s="8"/>
    </row>
    <row r="2329" customFormat="false" ht="12.8" hidden="false" customHeight="true" outlineLevel="0" collapsed="false">
      <c r="C2329" s="6" t="n">
        <f aca="false">MOD(ROW()-1, 208)</f>
        <v>40</v>
      </c>
      <c r="D2329" s="6" t="n">
        <f aca="false">INT((ROW()-1)/208)</f>
        <v>11</v>
      </c>
      <c r="F2329" s="6" t="str">
        <f aca="false">MID(VLOOKUP(D2329,$P$1:$Q$13,2,0), 1 + C2329,1)</f>
        <v>홰</v>
      </c>
      <c r="G2329" s="6" t="str">
        <f aca="false">DEC2HEX(D2329+36, 2)</f>
        <v>2F</v>
      </c>
      <c r="H2329" s="6" t="str">
        <f aca="false">DEC2HEX(C2329+48,2)</f>
        <v>58</v>
      </c>
      <c r="I2329" s="6" t="str">
        <f aca="false">_xlfn.CONCAT("\x", G2329, "\x", H2329, "=", F2329)</f>
        <v>\x2F\x58=홰</v>
      </c>
      <c r="M2329" s="8"/>
    </row>
    <row r="2330" customFormat="false" ht="12.8" hidden="false" customHeight="true" outlineLevel="0" collapsed="false">
      <c r="C2330" s="6" t="n">
        <f aca="false">MOD(ROW()-1, 208)</f>
        <v>41</v>
      </c>
      <c r="D2330" s="6" t="n">
        <f aca="false">INT((ROW()-1)/208)</f>
        <v>11</v>
      </c>
      <c r="F2330" s="6" t="str">
        <f aca="false">MID(VLOOKUP(D2330,$P$1:$Q$13,2,0), 1 + C2330,1)</f>
        <v>홱</v>
      </c>
      <c r="G2330" s="6" t="str">
        <f aca="false">DEC2HEX(D2330+36, 2)</f>
        <v>2F</v>
      </c>
      <c r="H2330" s="6" t="str">
        <f aca="false">DEC2HEX(C2330+48,2)</f>
        <v>59</v>
      </c>
      <c r="I2330" s="6" t="str">
        <f aca="false">_xlfn.CONCAT("\x", G2330, "\x", H2330, "=", F2330)</f>
        <v>\x2F\x59=홱</v>
      </c>
      <c r="M2330" s="8"/>
    </row>
    <row r="2331" customFormat="false" ht="12.8" hidden="false" customHeight="true" outlineLevel="0" collapsed="false">
      <c r="C2331" s="6" t="n">
        <f aca="false">MOD(ROW()-1, 208)</f>
        <v>42</v>
      </c>
      <c r="D2331" s="6" t="n">
        <f aca="false">INT((ROW()-1)/208)</f>
        <v>11</v>
      </c>
      <c r="F2331" s="6" t="str">
        <f aca="false">MID(VLOOKUP(D2331,$P$1:$Q$13,2,0), 1 + C2331,1)</f>
        <v>홴</v>
      </c>
      <c r="G2331" s="6" t="str">
        <f aca="false">DEC2HEX(D2331+36, 2)</f>
        <v>2F</v>
      </c>
      <c r="H2331" s="6" t="str">
        <f aca="false">DEC2HEX(C2331+48,2)</f>
        <v>5A</v>
      </c>
      <c r="I2331" s="6" t="str">
        <f aca="false">_xlfn.CONCAT("\x", G2331, "\x", H2331, "=", F2331)</f>
        <v>\x2F\x5A=홴</v>
      </c>
      <c r="M2331" s="8"/>
    </row>
    <row r="2332" customFormat="false" ht="12.8" hidden="false" customHeight="true" outlineLevel="0" collapsed="false">
      <c r="C2332" s="6" t="n">
        <f aca="false">MOD(ROW()-1, 208)</f>
        <v>43</v>
      </c>
      <c r="D2332" s="6" t="n">
        <f aca="false">INT((ROW()-1)/208)</f>
        <v>11</v>
      </c>
      <c r="F2332" s="6" t="str">
        <f aca="false">MID(VLOOKUP(D2332,$P$1:$Q$13,2,0), 1 + C2332,1)</f>
        <v>횃</v>
      </c>
      <c r="G2332" s="6" t="str">
        <f aca="false">DEC2HEX(D2332+36, 2)</f>
        <v>2F</v>
      </c>
      <c r="H2332" s="6" t="str">
        <f aca="false">DEC2HEX(C2332+48,2)</f>
        <v>5B</v>
      </c>
      <c r="I2332" s="6" t="str">
        <f aca="false">_xlfn.CONCAT("\x", G2332, "\x", H2332, "=", F2332)</f>
        <v>\x2F\x5B=횃</v>
      </c>
      <c r="M2332" s="8"/>
    </row>
    <row r="2333" customFormat="false" ht="12.8" hidden="false" customHeight="true" outlineLevel="0" collapsed="false">
      <c r="C2333" s="6" t="n">
        <f aca="false">MOD(ROW()-1, 208)</f>
        <v>44</v>
      </c>
      <c r="D2333" s="6" t="n">
        <f aca="false">INT((ROW()-1)/208)</f>
        <v>11</v>
      </c>
      <c r="F2333" s="6" t="str">
        <f aca="false">MID(VLOOKUP(D2333,$P$1:$Q$13,2,0), 1 + C2333,1)</f>
        <v>횅</v>
      </c>
      <c r="G2333" s="6" t="str">
        <f aca="false">DEC2HEX(D2333+36, 2)</f>
        <v>2F</v>
      </c>
      <c r="H2333" s="6" t="str">
        <f aca="false">DEC2HEX(C2333+48,2)</f>
        <v>5C</v>
      </c>
      <c r="I2333" s="6" t="str">
        <f aca="false">_xlfn.CONCAT("\x", G2333, "\x", H2333, "=", F2333)</f>
        <v>\x2F\x5C=횅</v>
      </c>
      <c r="M2333" s="8"/>
    </row>
    <row r="2334" customFormat="false" ht="12.8" hidden="false" customHeight="true" outlineLevel="0" collapsed="false">
      <c r="C2334" s="6" t="n">
        <f aca="false">MOD(ROW()-1, 208)</f>
        <v>45</v>
      </c>
      <c r="D2334" s="6" t="n">
        <f aca="false">INT((ROW()-1)/208)</f>
        <v>11</v>
      </c>
      <c r="F2334" s="6" t="str">
        <f aca="false">MID(VLOOKUP(D2334,$P$1:$Q$13,2,0), 1 + C2334,1)</f>
        <v>회</v>
      </c>
      <c r="G2334" s="6" t="str">
        <f aca="false">DEC2HEX(D2334+36, 2)</f>
        <v>2F</v>
      </c>
      <c r="H2334" s="6" t="str">
        <f aca="false">DEC2HEX(C2334+48,2)</f>
        <v>5D</v>
      </c>
      <c r="I2334" s="6" t="str">
        <f aca="false">_xlfn.CONCAT("\x", G2334, "\x", H2334, "=", F2334)</f>
        <v>\x2F\x5D=회</v>
      </c>
      <c r="M2334" s="8"/>
    </row>
    <row r="2335" customFormat="false" ht="12.8" hidden="false" customHeight="true" outlineLevel="0" collapsed="false">
      <c r="C2335" s="6" t="n">
        <f aca="false">MOD(ROW()-1, 208)</f>
        <v>46</v>
      </c>
      <c r="D2335" s="6" t="n">
        <f aca="false">INT((ROW()-1)/208)</f>
        <v>11</v>
      </c>
      <c r="F2335" s="6" t="str">
        <f aca="false">MID(VLOOKUP(D2335,$P$1:$Q$13,2,0), 1 + C2335,1)</f>
        <v>획</v>
      </c>
      <c r="G2335" s="6" t="str">
        <f aca="false">DEC2HEX(D2335+36, 2)</f>
        <v>2F</v>
      </c>
      <c r="H2335" s="6" t="str">
        <f aca="false">DEC2HEX(C2335+48,2)</f>
        <v>5E</v>
      </c>
      <c r="I2335" s="6" t="str">
        <f aca="false">_xlfn.CONCAT("\x", G2335, "\x", H2335, "=", F2335)</f>
        <v>\x2F\x5E=획</v>
      </c>
      <c r="M2335" s="8"/>
    </row>
    <row r="2336" customFormat="false" ht="12.8" hidden="false" customHeight="true" outlineLevel="0" collapsed="false">
      <c r="C2336" s="6" t="n">
        <f aca="false">MOD(ROW()-1, 208)</f>
        <v>47</v>
      </c>
      <c r="D2336" s="6" t="n">
        <f aca="false">INT((ROW()-1)/208)</f>
        <v>11</v>
      </c>
      <c r="F2336" s="6" t="str">
        <f aca="false">MID(VLOOKUP(D2336,$P$1:$Q$13,2,0), 1 + C2336,1)</f>
        <v>횐</v>
      </c>
      <c r="G2336" s="6" t="str">
        <f aca="false">DEC2HEX(D2336+36, 2)</f>
        <v>2F</v>
      </c>
      <c r="H2336" s="6" t="str">
        <f aca="false">DEC2HEX(C2336+48,2)</f>
        <v>5F</v>
      </c>
      <c r="I2336" s="6" t="str">
        <f aca="false">_xlfn.CONCAT("\x", G2336, "\x", H2336, "=", F2336)</f>
        <v>\x2F\x5F=횐</v>
      </c>
      <c r="M2336" s="8"/>
    </row>
    <row r="2337" customFormat="false" ht="12.8" hidden="false" customHeight="true" outlineLevel="0" collapsed="false">
      <c r="C2337" s="6" t="n">
        <f aca="false">MOD(ROW()-1, 208)</f>
        <v>48</v>
      </c>
      <c r="D2337" s="6" t="n">
        <f aca="false">INT((ROW()-1)/208)</f>
        <v>11</v>
      </c>
      <c r="F2337" s="6" t="str">
        <f aca="false">MID(VLOOKUP(D2337,$P$1:$Q$13,2,0), 1 + C2337,1)</f>
        <v>횔</v>
      </c>
      <c r="G2337" s="6" t="str">
        <f aca="false">DEC2HEX(D2337+36, 2)</f>
        <v>2F</v>
      </c>
      <c r="H2337" s="6" t="str">
        <f aca="false">DEC2HEX(C2337+48,2)</f>
        <v>60</v>
      </c>
      <c r="I2337" s="6" t="str">
        <f aca="false">_xlfn.CONCAT("\x", G2337, "\x", H2337, "=", F2337)</f>
        <v>\x2F\x60=횔</v>
      </c>
      <c r="M2337" s="8"/>
    </row>
    <row r="2338" customFormat="false" ht="12.8" hidden="false" customHeight="true" outlineLevel="0" collapsed="false">
      <c r="C2338" s="6" t="n">
        <f aca="false">MOD(ROW()-1, 208)</f>
        <v>49</v>
      </c>
      <c r="D2338" s="6" t="n">
        <f aca="false">INT((ROW()-1)/208)</f>
        <v>11</v>
      </c>
      <c r="F2338" s="6" t="str">
        <f aca="false">MID(VLOOKUP(D2338,$P$1:$Q$13,2,0), 1 + C2338,1)</f>
        <v>횝</v>
      </c>
      <c r="G2338" s="6" t="str">
        <f aca="false">DEC2HEX(D2338+36, 2)</f>
        <v>2F</v>
      </c>
      <c r="H2338" s="6" t="str">
        <f aca="false">DEC2HEX(C2338+48,2)</f>
        <v>61</v>
      </c>
      <c r="I2338" s="6" t="str">
        <f aca="false">_xlfn.CONCAT("\x", G2338, "\x", H2338, "=", F2338)</f>
        <v>\x2F\x61=횝</v>
      </c>
      <c r="M2338" s="8"/>
    </row>
    <row r="2339" customFormat="false" ht="12.8" hidden="false" customHeight="true" outlineLevel="0" collapsed="false">
      <c r="C2339" s="6" t="n">
        <f aca="false">MOD(ROW()-1, 208)</f>
        <v>50</v>
      </c>
      <c r="D2339" s="6" t="n">
        <f aca="false">INT((ROW()-1)/208)</f>
        <v>11</v>
      </c>
      <c r="F2339" s="6" t="str">
        <f aca="false">MID(VLOOKUP(D2339,$P$1:$Q$13,2,0), 1 + C2339,1)</f>
        <v>횟</v>
      </c>
      <c r="G2339" s="6" t="str">
        <f aca="false">DEC2HEX(D2339+36, 2)</f>
        <v>2F</v>
      </c>
      <c r="H2339" s="6" t="str">
        <f aca="false">DEC2HEX(C2339+48,2)</f>
        <v>62</v>
      </c>
      <c r="I2339" s="6" t="str">
        <f aca="false">_xlfn.CONCAT("\x", G2339, "\x", H2339, "=", F2339)</f>
        <v>\x2F\x62=횟</v>
      </c>
      <c r="M2339" s="8"/>
    </row>
    <row r="2340" customFormat="false" ht="12.8" hidden="false" customHeight="true" outlineLevel="0" collapsed="false">
      <c r="C2340" s="6" t="n">
        <f aca="false">MOD(ROW()-1, 208)</f>
        <v>51</v>
      </c>
      <c r="D2340" s="6" t="n">
        <f aca="false">INT((ROW()-1)/208)</f>
        <v>11</v>
      </c>
      <c r="F2340" s="6" t="str">
        <f aca="false">MID(VLOOKUP(D2340,$P$1:$Q$13,2,0), 1 + C2340,1)</f>
        <v>횡</v>
      </c>
      <c r="G2340" s="6" t="str">
        <f aca="false">DEC2HEX(D2340+36, 2)</f>
        <v>2F</v>
      </c>
      <c r="H2340" s="6" t="str">
        <f aca="false">DEC2HEX(C2340+48,2)</f>
        <v>63</v>
      </c>
      <c r="I2340" s="6" t="str">
        <f aca="false">_xlfn.CONCAT("\x", G2340, "\x", H2340, "=", F2340)</f>
        <v>\x2F\x63=횡</v>
      </c>
      <c r="M2340" s="8"/>
    </row>
    <row r="2341" customFormat="false" ht="12.8" hidden="false" customHeight="true" outlineLevel="0" collapsed="false">
      <c r="C2341" s="6" t="n">
        <f aca="false">MOD(ROW()-1, 208)</f>
        <v>52</v>
      </c>
      <c r="D2341" s="6" t="n">
        <f aca="false">INT((ROW()-1)/208)</f>
        <v>11</v>
      </c>
      <c r="F2341" s="6" t="str">
        <f aca="false">MID(VLOOKUP(D2341,$P$1:$Q$13,2,0), 1 + C2341,1)</f>
        <v>효</v>
      </c>
      <c r="G2341" s="6" t="str">
        <f aca="false">DEC2HEX(D2341+36, 2)</f>
        <v>2F</v>
      </c>
      <c r="H2341" s="6" t="str">
        <f aca="false">DEC2HEX(C2341+48,2)</f>
        <v>64</v>
      </c>
      <c r="I2341" s="6" t="str">
        <f aca="false">_xlfn.CONCAT("\x", G2341, "\x", H2341, "=", F2341)</f>
        <v>\x2F\x64=효</v>
      </c>
      <c r="M2341" s="8"/>
    </row>
    <row r="2342" customFormat="false" ht="12.8" hidden="false" customHeight="true" outlineLevel="0" collapsed="false">
      <c r="C2342" s="6" t="n">
        <f aca="false">MOD(ROW()-1, 208)</f>
        <v>53</v>
      </c>
      <c r="D2342" s="6" t="n">
        <f aca="false">INT((ROW()-1)/208)</f>
        <v>11</v>
      </c>
      <c r="F2342" s="6" t="str">
        <f aca="false">MID(VLOOKUP(D2342,$P$1:$Q$13,2,0), 1 + C2342,1)</f>
        <v>횬</v>
      </c>
      <c r="G2342" s="6" t="str">
        <f aca="false">DEC2HEX(D2342+36, 2)</f>
        <v>2F</v>
      </c>
      <c r="H2342" s="6" t="str">
        <f aca="false">DEC2HEX(C2342+48,2)</f>
        <v>65</v>
      </c>
      <c r="I2342" s="6" t="str">
        <f aca="false">_xlfn.CONCAT("\x", G2342, "\x", H2342, "=", F2342)</f>
        <v>\x2F\x65=횬</v>
      </c>
      <c r="M2342" s="8"/>
    </row>
    <row r="2343" customFormat="false" ht="12.8" hidden="false" customHeight="true" outlineLevel="0" collapsed="false">
      <c r="C2343" s="6" t="n">
        <f aca="false">MOD(ROW()-1, 208)</f>
        <v>54</v>
      </c>
      <c r="D2343" s="6" t="n">
        <f aca="false">INT((ROW()-1)/208)</f>
        <v>11</v>
      </c>
      <c r="F2343" s="6" t="str">
        <f aca="false">MID(VLOOKUP(D2343,$P$1:$Q$13,2,0), 1 + C2343,1)</f>
        <v>횰</v>
      </c>
      <c r="G2343" s="6" t="str">
        <f aca="false">DEC2HEX(D2343+36, 2)</f>
        <v>2F</v>
      </c>
      <c r="H2343" s="6" t="str">
        <f aca="false">DEC2HEX(C2343+48,2)</f>
        <v>66</v>
      </c>
      <c r="I2343" s="6" t="str">
        <f aca="false">_xlfn.CONCAT("\x", G2343, "\x", H2343, "=", F2343)</f>
        <v>\x2F\x66=횰</v>
      </c>
      <c r="M2343" s="8"/>
    </row>
    <row r="2344" customFormat="false" ht="12.8" hidden="false" customHeight="true" outlineLevel="0" collapsed="false">
      <c r="C2344" s="6" t="n">
        <f aca="false">MOD(ROW()-1, 208)</f>
        <v>55</v>
      </c>
      <c r="D2344" s="6" t="n">
        <f aca="false">INT((ROW()-1)/208)</f>
        <v>11</v>
      </c>
      <c r="F2344" s="6" t="str">
        <f aca="false">MID(VLOOKUP(D2344,$P$1:$Q$13,2,0), 1 + C2344,1)</f>
        <v>횹</v>
      </c>
      <c r="G2344" s="6" t="str">
        <f aca="false">DEC2HEX(D2344+36, 2)</f>
        <v>2F</v>
      </c>
      <c r="H2344" s="6" t="str">
        <f aca="false">DEC2HEX(C2344+48,2)</f>
        <v>67</v>
      </c>
      <c r="I2344" s="6" t="str">
        <f aca="false">_xlfn.CONCAT("\x", G2344, "\x", H2344, "=", F2344)</f>
        <v>\x2F\x67=횹</v>
      </c>
      <c r="M2344" s="8"/>
    </row>
    <row r="2345" customFormat="false" ht="12.8" hidden="false" customHeight="true" outlineLevel="0" collapsed="false">
      <c r="C2345" s="6" t="n">
        <f aca="false">MOD(ROW()-1, 208)</f>
        <v>56</v>
      </c>
      <c r="D2345" s="6" t="n">
        <f aca="false">INT((ROW()-1)/208)</f>
        <v>11</v>
      </c>
      <c r="F2345" s="6" t="str">
        <f aca="false">MID(VLOOKUP(D2345,$P$1:$Q$13,2,0), 1 + C2345,1)</f>
        <v>횻</v>
      </c>
      <c r="G2345" s="6" t="str">
        <f aca="false">DEC2HEX(D2345+36, 2)</f>
        <v>2F</v>
      </c>
      <c r="H2345" s="6" t="str">
        <f aca="false">DEC2HEX(C2345+48,2)</f>
        <v>68</v>
      </c>
      <c r="I2345" s="6" t="str">
        <f aca="false">_xlfn.CONCAT("\x", G2345, "\x", H2345, "=", F2345)</f>
        <v>\x2F\x68=횻</v>
      </c>
      <c r="M2345" s="8"/>
    </row>
    <row r="2346" customFormat="false" ht="12.8" hidden="false" customHeight="true" outlineLevel="0" collapsed="false">
      <c r="C2346" s="6" t="n">
        <f aca="false">MOD(ROW()-1, 208)</f>
        <v>57</v>
      </c>
      <c r="D2346" s="6" t="n">
        <f aca="false">INT((ROW()-1)/208)</f>
        <v>11</v>
      </c>
      <c r="F2346" s="6" t="str">
        <f aca="false">MID(VLOOKUP(D2346,$P$1:$Q$13,2,0), 1 + C2346,1)</f>
        <v>후</v>
      </c>
      <c r="G2346" s="6" t="str">
        <f aca="false">DEC2HEX(D2346+36, 2)</f>
        <v>2F</v>
      </c>
      <c r="H2346" s="6" t="str">
        <f aca="false">DEC2HEX(C2346+48,2)</f>
        <v>69</v>
      </c>
      <c r="I2346" s="6" t="str">
        <f aca="false">_xlfn.CONCAT("\x", G2346, "\x", H2346, "=", F2346)</f>
        <v>\x2F\x69=후</v>
      </c>
      <c r="M2346" s="8"/>
    </row>
    <row r="2347" customFormat="false" ht="12.8" hidden="false" customHeight="true" outlineLevel="0" collapsed="false">
      <c r="C2347" s="6" t="n">
        <f aca="false">MOD(ROW()-1, 208)</f>
        <v>58</v>
      </c>
      <c r="D2347" s="6" t="n">
        <f aca="false">INT((ROW()-1)/208)</f>
        <v>11</v>
      </c>
      <c r="F2347" s="6" t="str">
        <f aca="false">MID(VLOOKUP(D2347,$P$1:$Q$13,2,0), 1 + C2347,1)</f>
        <v>훅</v>
      </c>
      <c r="G2347" s="6" t="str">
        <f aca="false">DEC2HEX(D2347+36, 2)</f>
        <v>2F</v>
      </c>
      <c r="H2347" s="6" t="str">
        <f aca="false">DEC2HEX(C2347+48,2)</f>
        <v>6A</v>
      </c>
      <c r="I2347" s="6" t="str">
        <f aca="false">_xlfn.CONCAT("\x", G2347, "\x", H2347, "=", F2347)</f>
        <v>\x2F\x6A=훅</v>
      </c>
      <c r="M2347" s="8"/>
    </row>
    <row r="2348" customFormat="false" ht="12.8" hidden="false" customHeight="true" outlineLevel="0" collapsed="false">
      <c r="C2348" s="6" t="n">
        <f aca="false">MOD(ROW()-1, 208)</f>
        <v>59</v>
      </c>
      <c r="D2348" s="6" t="n">
        <f aca="false">INT((ROW()-1)/208)</f>
        <v>11</v>
      </c>
      <c r="F2348" s="6" t="str">
        <f aca="false">MID(VLOOKUP(D2348,$P$1:$Q$13,2,0), 1 + C2348,1)</f>
        <v>훈</v>
      </c>
      <c r="G2348" s="6" t="str">
        <f aca="false">DEC2HEX(D2348+36, 2)</f>
        <v>2F</v>
      </c>
      <c r="H2348" s="6" t="str">
        <f aca="false">DEC2HEX(C2348+48,2)</f>
        <v>6B</v>
      </c>
      <c r="I2348" s="6" t="str">
        <f aca="false">_xlfn.CONCAT("\x", G2348, "\x", H2348, "=", F2348)</f>
        <v>\x2F\x6B=훈</v>
      </c>
      <c r="M2348" s="8"/>
    </row>
    <row r="2349" customFormat="false" ht="12.8" hidden="false" customHeight="true" outlineLevel="0" collapsed="false">
      <c r="C2349" s="6" t="n">
        <f aca="false">MOD(ROW()-1, 208)</f>
        <v>60</v>
      </c>
      <c r="D2349" s="6" t="n">
        <f aca="false">INT((ROW()-1)/208)</f>
        <v>11</v>
      </c>
      <c r="F2349" s="6" t="str">
        <f aca="false">MID(VLOOKUP(D2349,$P$1:$Q$13,2,0), 1 + C2349,1)</f>
        <v>훌</v>
      </c>
      <c r="G2349" s="6" t="str">
        <f aca="false">DEC2HEX(D2349+36, 2)</f>
        <v>2F</v>
      </c>
      <c r="H2349" s="6" t="str">
        <f aca="false">DEC2HEX(C2349+48,2)</f>
        <v>6C</v>
      </c>
      <c r="I2349" s="6" t="str">
        <f aca="false">_xlfn.CONCAT("\x", G2349, "\x", H2349, "=", F2349)</f>
        <v>\x2F\x6C=훌</v>
      </c>
      <c r="M2349" s="8"/>
    </row>
    <row r="2350" customFormat="false" ht="12.8" hidden="false" customHeight="true" outlineLevel="0" collapsed="false">
      <c r="C2350" s="6" t="n">
        <f aca="false">MOD(ROW()-1, 208)</f>
        <v>61</v>
      </c>
      <c r="D2350" s="6" t="n">
        <f aca="false">INT((ROW()-1)/208)</f>
        <v>11</v>
      </c>
      <c r="F2350" s="6" t="str">
        <f aca="false">MID(VLOOKUP(D2350,$P$1:$Q$13,2,0), 1 + C2350,1)</f>
        <v>훑</v>
      </c>
      <c r="G2350" s="6" t="str">
        <f aca="false">DEC2HEX(D2350+36, 2)</f>
        <v>2F</v>
      </c>
      <c r="H2350" s="6" t="str">
        <f aca="false">DEC2HEX(C2350+48,2)</f>
        <v>6D</v>
      </c>
      <c r="I2350" s="6" t="str">
        <f aca="false">_xlfn.CONCAT("\x", G2350, "\x", H2350, "=", F2350)</f>
        <v>\x2F\x6D=훑</v>
      </c>
      <c r="M2350" s="8"/>
    </row>
    <row r="2351" customFormat="false" ht="12.8" hidden="false" customHeight="true" outlineLevel="0" collapsed="false">
      <c r="C2351" s="6" t="n">
        <f aca="false">MOD(ROW()-1, 208)</f>
        <v>62</v>
      </c>
      <c r="D2351" s="6" t="n">
        <f aca="false">INT((ROW()-1)/208)</f>
        <v>11</v>
      </c>
      <c r="F2351" s="6" t="str">
        <f aca="false">MID(VLOOKUP(D2351,$P$1:$Q$13,2,0), 1 + C2351,1)</f>
        <v>훔</v>
      </c>
      <c r="G2351" s="6" t="str">
        <f aca="false">DEC2HEX(D2351+36, 2)</f>
        <v>2F</v>
      </c>
      <c r="H2351" s="6" t="str">
        <f aca="false">DEC2HEX(C2351+48,2)</f>
        <v>6E</v>
      </c>
      <c r="I2351" s="6" t="str">
        <f aca="false">_xlfn.CONCAT("\x", G2351, "\x", H2351, "=", F2351)</f>
        <v>\x2F\x6E=훔</v>
      </c>
      <c r="M2351" s="8"/>
    </row>
    <row r="2352" customFormat="false" ht="12.8" hidden="false" customHeight="true" outlineLevel="0" collapsed="false">
      <c r="C2352" s="6" t="n">
        <f aca="false">MOD(ROW()-1, 208)</f>
        <v>63</v>
      </c>
      <c r="D2352" s="6" t="n">
        <f aca="false">INT((ROW()-1)/208)</f>
        <v>11</v>
      </c>
      <c r="F2352" s="6" t="str">
        <f aca="false">MID(VLOOKUP(D2352,$P$1:$Q$13,2,0), 1 + C2352,1)</f>
        <v>훗</v>
      </c>
      <c r="G2352" s="6" t="str">
        <f aca="false">DEC2HEX(D2352+36, 2)</f>
        <v>2F</v>
      </c>
      <c r="H2352" s="6" t="str">
        <f aca="false">DEC2HEX(C2352+48,2)</f>
        <v>6F</v>
      </c>
      <c r="I2352" s="6" t="str">
        <f aca="false">_xlfn.CONCAT("\x", G2352, "\x", H2352, "=", F2352)</f>
        <v>\x2F\x6F=훗</v>
      </c>
      <c r="M2352" s="8"/>
    </row>
    <row r="2353" customFormat="false" ht="12.8" hidden="false" customHeight="true" outlineLevel="0" collapsed="false">
      <c r="C2353" s="6" t="n">
        <f aca="false">MOD(ROW()-1, 208)</f>
        <v>64</v>
      </c>
      <c r="D2353" s="6" t="n">
        <f aca="false">INT((ROW()-1)/208)</f>
        <v>11</v>
      </c>
      <c r="F2353" s="6" t="str">
        <f aca="false">MID(VLOOKUP(D2353,$P$1:$Q$13,2,0), 1 + C2353,1)</f>
        <v>훙</v>
      </c>
      <c r="G2353" s="6" t="str">
        <f aca="false">DEC2HEX(D2353+36, 2)</f>
        <v>2F</v>
      </c>
      <c r="H2353" s="6" t="str">
        <f aca="false">DEC2HEX(C2353+48,2)</f>
        <v>70</v>
      </c>
      <c r="I2353" s="6" t="str">
        <f aca="false">_xlfn.CONCAT("\x", G2353, "\x", H2353, "=", F2353)</f>
        <v>\x2F\x70=훙</v>
      </c>
      <c r="M2353" s="8"/>
    </row>
    <row r="2354" customFormat="false" ht="12.8" hidden="false" customHeight="true" outlineLevel="0" collapsed="false">
      <c r="C2354" s="6" t="n">
        <f aca="false">MOD(ROW()-1, 208)</f>
        <v>65</v>
      </c>
      <c r="D2354" s="6" t="n">
        <f aca="false">INT((ROW()-1)/208)</f>
        <v>11</v>
      </c>
      <c r="F2354" s="6" t="str">
        <f aca="false">MID(VLOOKUP(D2354,$P$1:$Q$13,2,0), 1 + C2354,1)</f>
        <v>훠</v>
      </c>
      <c r="G2354" s="6" t="str">
        <f aca="false">DEC2HEX(D2354+36, 2)</f>
        <v>2F</v>
      </c>
      <c r="H2354" s="6" t="str">
        <f aca="false">DEC2HEX(C2354+48,2)</f>
        <v>71</v>
      </c>
      <c r="I2354" s="6" t="str">
        <f aca="false">_xlfn.CONCAT("\x", G2354, "\x", H2354, "=", F2354)</f>
        <v>\x2F\x71=훠</v>
      </c>
      <c r="M2354" s="8"/>
    </row>
    <row r="2355" customFormat="false" ht="12.8" hidden="false" customHeight="true" outlineLevel="0" collapsed="false">
      <c r="C2355" s="6" t="n">
        <f aca="false">MOD(ROW()-1, 208)</f>
        <v>66</v>
      </c>
      <c r="D2355" s="6" t="n">
        <f aca="false">INT((ROW()-1)/208)</f>
        <v>11</v>
      </c>
      <c r="F2355" s="6" t="str">
        <f aca="false">MID(VLOOKUP(D2355,$P$1:$Q$13,2,0), 1 + C2355,1)</f>
        <v>훤</v>
      </c>
      <c r="G2355" s="6" t="str">
        <f aca="false">DEC2HEX(D2355+36, 2)</f>
        <v>2F</v>
      </c>
      <c r="H2355" s="6" t="str">
        <f aca="false">DEC2HEX(C2355+48,2)</f>
        <v>72</v>
      </c>
      <c r="I2355" s="6" t="str">
        <f aca="false">_xlfn.CONCAT("\x", G2355, "\x", H2355, "=", F2355)</f>
        <v>\x2F\x72=훤</v>
      </c>
      <c r="M2355" s="8"/>
    </row>
    <row r="2356" customFormat="false" ht="12.8" hidden="false" customHeight="true" outlineLevel="0" collapsed="false">
      <c r="C2356" s="6" t="n">
        <f aca="false">MOD(ROW()-1, 208)</f>
        <v>67</v>
      </c>
      <c r="D2356" s="6" t="n">
        <f aca="false">INT((ROW()-1)/208)</f>
        <v>11</v>
      </c>
      <c r="F2356" s="6" t="str">
        <f aca="false">MID(VLOOKUP(D2356,$P$1:$Q$13,2,0), 1 + C2356,1)</f>
        <v>훨</v>
      </c>
      <c r="G2356" s="6" t="str">
        <f aca="false">DEC2HEX(D2356+36, 2)</f>
        <v>2F</v>
      </c>
      <c r="H2356" s="6" t="str">
        <f aca="false">DEC2HEX(C2356+48,2)</f>
        <v>73</v>
      </c>
      <c r="I2356" s="6" t="str">
        <f aca="false">_xlfn.CONCAT("\x", G2356, "\x", H2356, "=", F2356)</f>
        <v>\x2F\x73=훨</v>
      </c>
      <c r="M2356" s="8"/>
    </row>
    <row r="2357" customFormat="false" ht="12.8" hidden="false" customHeight="true" outlineLevel="0" collapsed="false">
      <c r="C2357" s="6" t="n">
        <f aca="false">MOD(ROW()-1, 208)</f>
        <v>68</v>
      </c>
      <c r="D2357" s="6" t="n">
        <f aca="false">INT((ROW()-1)/208)</f>
        <v>11</v>
      </c>
      <c r="F2357" s="6" t="str">
        <f aca="false">MID(VLOOKUP(D2357,$P$1:$Q$13,2,0), 1 + C2357,1)</f>
        <v>훰</v>
      </c>
      <c r="G2357" s="6" t="str">
        <f aca="false">DEC2HEX(D2357+36, 2)</f>
        <v>2F</v>
      </c>
      <c r="H2357" s="6" t="str">
        <f aca="false">DEC2HEX(C2357+48,2)</f>
        <v>74</v>
      </c>
      <c r="I2357" s="6" t="str">
        <f aca="false">_xlfn.CONCAT("\x", G2357, "\x", H2357, "=", F2357)</f>
        <v>\x2F\x74=훰</v>
      </c>
      <c r="M2357" s="8"/>
    </row>
    <row r="2358" customFormat="false" ht="12.8" hidden="false" customHeight="true" outlineLevel="0" collapsed="false">
      <c r="C2358" s="6" t="n">
        <f aca="false">MOD(ROW()-1, 208)</f>
        <v>69</v>
      </c>
      <c r="D2358" s="6" t="n">
        <f aca="false">INT((ROW()-1)/208)</f>
        <v>11</v>
      </c>
      <c r="F2358" s="6" t="str">
        <f aca="false">MID(VLOOKUP(D2358,$P$1:$Q$13,2,0), 1 + C2358,1)</f>
        <v>훵</v>
      </c>
      <c r="G2358" s="6" t="str">
        <f aca="false">DEC2HEX(D2358+36, 2)</f>
        <v>2F</v>
      </c>
      <c r="H2358" s="6" t="str">
        <f aca="false">DEC2HEX(C2358+48,2)</f>
        <v>75</v>
      </c>
      <c r="I2358" s="6" t="str">
        <f aca="false">_xlfn.CONCAT("\x", G2358, "\x", H2358, "=", F2358)</f>
        <v>\x2F\x75=훵</v>
      </c>
      <c r="M2358" s="8"/>
    </row>
    <row r="2359" customFormat="false" ht="12.8" hidden="false" customHeight="true" outlineLevel="0" collapsed="false">
      <c r="C2359" s="6" t="n">
        <f aca="false">MOD(ROW()-1, 208)</f>
        <v>70</v>
      </c>
      <c r="D2359" s="6" t="n">
        <f aca="false">INT((ROW()-1)/208)</f>
        <v>11</v>
      </c>
      <c r="F2359" s="6" t="str">
        <f aca="false">MID(VLOOKUP(D2359,$P$1:$Q$13,2,0), 1 + C2359,1)</f>
        <v>훼</v>
      </c>
      <c r="G2359" s="6" t="str">
        <f aca="false">DEC2HEX(D2359+36, 2)</f>
        <v>2F</v>
      </c>
      <c r="H2359" s="6" t="str">
        <f aca="false">DEC2HEX(C2359+48,2)</f>
        <v>76</v>
      </c>
      <c r="I2359" s="6" t="str">
        <f aca="false">_xlfn.CONCAT("\x", G2359, "\x", H2359, "=", F2359)</f>
        <v>\x2F\x76=훼</v>
      </c>
      <c r="M2359" s="8"/>
    </row>
    <row r="2360" customFormat="false" ht="12.8" hidden="false" customHeight="true" outlineLevel="0" collapsed="false">
      <c r="C2360" s="6" t="n">
        <f aca="false">MOD(ROW()-1, 208)</f>
        <v>71</v>
      </c>
      <c r="D2360" s="6" t="n">
        <f aca="false">INT((ROW()-1)/208)</f>
        <v>11</v>
      </c>
      <c r="F2360" s="6" t="str">
        <f aca="false">MID(VLOOKUP(D2360,$P$1:$Q$13,2,0), 1 + C2360,1)</f>
        <v>훽</v>
      </c>
      <c r="G2360" s="6" t="str">
        <f aca="false">DEC2HEX(D2360+36, 2)</f>
        <v>2F</v>
      </c>
      <c r="H2360" s="6" t="str">
        <f aca="false">DEC2HEX(C2360+48,2)</f>
        <v>77</v>
      </c>
      <c r="I2360" s="6" t="str">
        <f aca="false">_xlfn.CONCAT("\x", G2360, "\x", H2360, "=", F2360)</f>
        <v>\x2F\x77=훽</v>
      </c>
      <c r="M2360" s="8"/>
    </row>
    <row r="2361" customFormat="false" ht="12.8" hidden="false" customHeight="true" outlineLevel="0" collapsed="false">
      <c r="C2361" s="6" t="n">
        <f aca="false">MOD(ROW()-1, 208)</f>
        <v>72</v>
      </c>
      <c r="D2361" s="6" t="n">
        <f aca="false">INT((ROW()-1)/208)</f>
        <v>11</v>
      </c>
      <c r="F2361" s="6" t="str">
        <f aca="false">MID(VLOOKUP(D2361,$P$1:$Q$13,2,0), 1 + C2361,1)</f>
        <v>휀</v>
      </c>
      <c r="G2361" s="6" t="str">
        <f aca="false">DEC2HEX(D2361+36, 2)</f>
        <v>2F</v>
      </c>
      <c r="H2361" s="6" t="str">
        <f aca="false">DEC2HEX(C2361+48,2)</f>
        <v>78</v>
      </c>
      <c r="I2361" s="6" t="str">
        <f aca="false">_xlfn.CONCAT("\x", G2361, "\x", H2361, "=", F2361)</f>
        <v>\x2F\x78=휀</v>
      </c>
      <c r="M2361" s="8"/>
    </row>
    <row r="2362" customFormat="false" ht="12.8" hidden="false" customHeight="true" outlineLevel="0" collapsed="false">
      <c r="C2362" s="6" t="n">
        <f aca="false">MOD(ROW()-1, 208)</f>
        <v>73</v>
      </c>
      <c r="D2362" s="6" t="n">
        <f aca="false">INT((ROW()-1)/208)</f>
        <v>11</v>
      </c>
      <c r="F2362" s="6" t="str">
        <f aca="false">MID(VLOOKUP(D2362,$P$1:$Q$13,2,0), 1 + C2362,1)</f>
        <v>휄</v>
      </c>
      <c r="G2362" s="6" t="str">
        <f aca="false">DEC2HEX(D2362+36, 2)</f>
        <v>2F</v>
      </c>
      <c r="H2362" s="6" t="str">
        <f aca="false">DEC2HEX(C2362+48,2)</f>
        <v>79</v>
      </c>
      <c r="I2362" s="6" t="str">
        <f aca="false">_xlfn.CONCAT("\x", G2362, "\x", H2362, "=", F2362)</f>
        <v>\x2F\x79=휄</v>
      </c>
      <c r="M2362" s="8"/>
    </row>
    <row r="2363" customFormat="false" ht="12.8" hidden="false" customHeight="true" outlineLevel="0" collapsed="false">
      <c r="C2363" s="6" t="n">
        <f aca="false">MOD(ROW()-1, 208)</f>
        <v>74</v>
      </c>
      <c r="D2363" s="6" t="n">
        <f aca="false">INT((ROW()-1)/208)</f>
        <v>11</v>
      </c>
      <c r="F2363" s="6" t="str">
        <f aca="false">MID(VLOOKUP(D2363,$P$1:$Q$13,2,0), 1 + C2363,1)</f>
        <v>휑</v>
      </c>
      <c r="G2363" s="6" t="str">
        <f aca="false">DEC2HEX(D2363+36, 2)</f>
        <v>2F</v>
      </c>
      <c r="H2363" s="6" t="str">
        <f aca="false">DEC2HEX(C2363+48,2)</f>
        <v>7A</v>
      </c>
      <c r="I2363" s="6" t="str">
        <f aca="false">_xlfn.CONCAT("\x", G2363, "\x", H2363, "=", F2363)</f>
        <v>\x2F\x7A=휑</v>
      </c>
      <c r="M2363" s="8"/>
    </row>
    <row r="2364" customFormat="false" ht="12.8" hidden="false" customHeight="true" outlineLevel="0" collapsed="false">
      <c r="C2364" s="6" t="n">
        <f aca="false">MOD(ROW()-1, 208)</f>
        <v>75</v>
      </c>
      <c r="D2364" s="6" t="n">
        <f aca="false">INT((ROW()-1)/208)</f>
        <v>11</v>
      </c>
      <c r="F2364" s="6" t="str">
        <f aca="false">MID(VLOOKUP(D2364,$P$1:$Q$13,2,0), 1 + C2364,1)</f>
        <v>휘</v>
      </c>
      <c r="G2364" s="6" t="str">
        <f aca="false">DEC2HEX(D2364+36, 2)</f>
        <v>2F</v>
      </c>
      <c r="H2364" s="6" t="str">
        <f aca="false">DEC2HEX(C2364+48,2)</f>
        <v>7B</v>
      </c>
      <c r="I2364" s="6" t="str">
        <f aca="false">_xlfn.CONCAT("\x", G2364, "\x", H2364, "=", F2364)</f>
        <v>\x2F\x7B=휘</v>
      </c>
      <c r="M2364" s="8"/>
    </row>
    <row r="2365" customFormat="false" ht="12.8" hidden="false" customHeight="true" outlineLevel="0" collapsed="false">
      <c r="C2365" s="6" t="n">
        <f aca="false">MOD(ROW()-1, 208)</f>
        <v>76</v>
      </c>
      <c r="D2365" s="6" t="n">
        <f aca="false">INT((ROW()-1)/208)</f>
        <v>11</v>
      </c>
      <c r="F2365" s="6" t="str">
        <f aca="false">MID(VLOOKUP(D2365,$P$1:$Q$13,2,0), 1 + C2365,1)</f>
        <v>휙</v>
      </c>
      <c r="G2365" s="6" t="str">
        <f aca="false">DEC2HEX(D2365+36, 2)</f>
        <v>2F</v>
      </c>
      <c r="H2365" s="6" t="str">
        <f aca="false">DEC2HEX(C2365+48,2)</f>
        <v>7C</v>
      </c>
      <c r="I2365" s="6" t="str">
        <f aca="false">_xlfn.CONCAT("\x", G2365, "\x", H2365, "=", F2365)</f>
        <v>\x2F\x7C=휙</v>
      </c>
      <c r="M2365" s="8"/>
    </row>
    <row r="2366" customFormat="false" ht="12.8" hidden="false" customHeight="true" outlineLevel="0" collapsed="false">
      <c r="C2366" s="6" t="n">
        <f aca="false">MOD(ROW()-1, 208)</f>
        <v>77</v>
      </c>
      <c r="D2366" s="6" t="n">
        <f aca="false">INT((ROW()-1)/208)</f>
        <v>11</v>
      </c>
      <c r="F2366" s="6" t="str">
        <f aca="false">MID(VLOOKUP(D2366,$P$1:$Q$13,2,0), 1 + C2366,1)</f>
        <v>휜</v>
      </c>
      <c r="G2366" s="6" t="str">
        <f aca="false">DEC2HEX(D2366+36, 2)</f>
        <v>2F</v>
      </c>
      <c r="H2366" s="6" t="str">
        <f aca="false">DEC2HEX(C2366+48,2)</f>
        <v>7D</v>
      </c>
      <c r="I2366" s="6" t="str">
        <f aca="false">_xlfn.CONCAT("\x", G2366, "\x", H2366, "=", F2366)</f>
        <v>\x2F\x7D=휜</v>
      </c>
      <c r="M2366" s="8"/>
    </row>
    <row r="2367" customFormat="false" ht="12.8" hidden="false" customHeight="true" outlineLevel="0" collapsed="false">
      <c r="C2367" s="6" t="n">
        <f aca="false">MOD(ROW()-1, 208)</f>
        <v>78</v>
      </c>
      <c r="D2367" s="6" t="n">
        <f aca="false">INT((ROW()-1)/208)</f>
        <v>11</v>
      </c>
      <c r="F2367" s="6" t="str">
        <f aca="false">MID(VLOOKUP(D2367,$P$1:$Q$13,2,0), 1 + C2367,1)</f>
        <v>휠</v>
      </c>
      <c r="G2367" s="6" t="str">
        <f aca="false">DEC2HEX(D2367+36, 2)</f>
        <v>2F</v>
      </c>
      <c r="H2367" s="6" t="str">
        <f aca="false">DEC2HEX(C2367+48,2)</f>
        <v>7E</v>
      </c>
      <c r="I2367" s="6" t="str">
        <f aca="false">_xlfn.CONCAT("\x", G2367, "\x", H2367, "=", F2367)</f>
        <v>\x2F\x7E=휠</v>
      </c>
      <c r="M2367" s="8"/>
    </row>
    <row r="2368" customFormat="false" ht="12.8" hidden="false" customHeight="true" outlineLevel="0" collapsed="false">
      <c r="C2368" s="6" t="n">
        <f aca="false">MOD(ROW()-1, 208)</f>
        <v>79</v>
      </c>
      <c r="D2368" s="6" t="n">
        <f aca="false">INT((ROW()-1)/208)</f>
        <v>11</v>
      </c>
      <c r="F2368" s="6" t="str">
        <f aca="false">MID(VLOOKUP(D2368,$P$1:$Q$13,2,0), 1 + C2368,1)</f>
        <v>휨</v>
      </c>
      <c r="G2368" s="6" t="str">
        <f aca="false">DEC2HEX(D2368+36, 2)</f>
        <v>2F</v>
      </c>
      <c r="H2368" s="6" t="str">
        <f aca="false">DEC2HEX(C2368+48,2)</f>
        <v>7F</v>
      </c>
      <c r="I2368" s="6" t="str">
        <f aca="false">_xlfn.CONCAT("\x", G2368, "\x", H2368, "=", F2368)</f>
        <v>\x2F\x7F=휨</v>
      </c>
      <c r="M2368" s="8"/>
    </row>
    <row r="2369" customFormat="false" ht="12.8" hidden="false" customHeight="true" outlineLevel="0" collapsed="false">
      <c r="C2369" s="6" t="n">
        <f aca="false">MOD(ROW()-1, 208)</f>
        <v>80</v>
      </c>
      <c r="D2369" s="6" t="n">
        <f aca="false">INT((ROW()-1)/208)</f>
        <v>11</v>
      </c>
      <c r="F2369" s="6" t="str">
        <f aca="false">MID(VLOOKUP(D2369,$P$1:$Q$13,2,0), 1 + C2369,1)</f>
        <v>휩</v>
      </c>
      <c r="G2369" s="6" t="str">
        <f aca="false">DEC2HEX(D2369+36, 2)</f>
        <v>2F</v>
      </c>
      <c r="H2369" s="6" t="str">
        <f aca="false">DEC2HEX(C2369+48,2)</f>
        <v>80</v>
      </c>
      <c r="I2369" s="6" t="str">
        <f aca="false">_xlfn.CONCAT("\x", G2369, "\x", H2369, "=", F2369)</f>
        <v>\x2F\x80=휩</v>
      </c>
      <c r="M2369" s="8"/>
    </row>
    <row r="2370" customFormat="false" ht="12.8" hidden="false" customHeight="true" outlineLevel="0" collapsed="false">
      <c r="C2370" s="6" t="n">
        <f aca="false">MOD(ROW()-1, 208)</f>
        <v>81</v>
      </c>
      <c r="D2370" s="6" t="n">
        <f aca="false">INT((ROW()-1)/208)</f>
        <v>11</v>
      </c>
      <c r="F2370" s="6" t="str">
        <f aca="false">MID(VLOOKUP(D2370,$P$1:$Q$13,2,0), 1 + C2370,1)</f>
        <v>휫</v>
      </c>
      <c r="G2370" s="6" t="str">
        <f aca="false">DEC2HEX(D2370+36, 2)</f>
        <v>2F</v>
      </c>
      <c r="H2370" s="6" t="str">
        <f aca="false">DEC2HEX(C2370+48,2)</f>
        <v>81</v>
      </c>
      <c r="I2370" s="6" t="str">
        <f aca="false">_xlfn.CONCAT("\x", G2370, "\x", H2370, "=", F2370)</f>
        <v>\x2F\x81=휫</v>
      </c>
      <c r="M2370" s="8"/>
    </row>
    <row r="2371" customFormat="false" ht="12.8" hidden="false" customHeight="true" outlineLevel="0" collapsed="false">
      <c r="C2371" s="6" t="n">
        <f aca="false">MOD(ROW()-1, 208)</f>
        <v>82</v>
      </c>
      <c r="D2371" s="6" t="n">
        <f aca="false">INT((ROW()-1)/208)</f>
        <v>11</v>
      </c>
      <c r="F2371" s="6" t="str">
        <f aca="false">MID(VLOOKUP(D2371,$P$1:$Q$13,2,0), 1 + C2371,1)</f>
        <v>휭</v>
      </c>
      <c r="G2371" s="6" t="str">
        <f aca="false">DEC2HEX(D2371+36, 2)</f>
        <v>2F</v>
      </c>
      <c r="H2371" s="6" t="str">
        <f aca="false">DEC2HEX(C2371+48,2)</f>
        <v>82</v>
      </c>
      <c r="I2371" s="6" t="str">
        <f aca="false">_xlfn.CONCAT("\x", G2371, "\x", H2371, "=", F2371)</f>
        <v>\x2F\x82=휭</v>
      </c>
      <c r="M2371" s="8"/>
    </row>
    <row r="2372" customFormat="false" ht="12.8" hidden="false" customHeight="true" outlineLevel="0" collapsed="false">
      <c r="C2372" s="6" t="n">
        <f aca="false">MOD(ROW()-1, 208)</f>
        <v>83</v>
      </c>
      <c r="D2372" s="6" t="n">
        <f aca="false">INT((ROW()-1)/208)</f>
        <v>11</v>
      </c>
      <c r="F2372" s="6" t="str">
        <f aca="false">MID(VLOOKUP(D2372,$P$1:$Q$13,2,0), 1 + C2372,1)</f>
        <v>휴</v>
      </c>
      <c r="G2372" s="6" t="str">
        <f aca="false">DEC2HEX(D2372+36, 2)</f>
        <v>2F</v>
      </c>
      <c r="H2372" s="6" t="str">
        <f aca="false">DEC2HEX(C2372+48,2)</f>
        <v>83</v>
      </c>
      <c r="I2372" s="6" t="str">
        <f aca="false">_xlfn.CONCAT("\x", G2372, "\x", H2372, "=", F2372)</f>
        <v>\x2F\x83=휴</v>
      </c>
      <c r="M2372" s="8"/>
    </row>
    <row r="2373" customFormat="false" ht="12.8" hidden="false" customHeight="true" outlineLevel="0" collapsed="false">
      <c r="C2373" s="6" t="n">
        <f aca="false">MOD(ROW()-1, 208)</f>
        <v>84</v>
      </c>
      <c r="D2373" s="6" t="n">
        <f aca="false">INT((ROW()-1)/208)</f>
        <v>11</v>
      </c>
      <c r="F2373" s="6" t="str">
        <f aca="false">MID(VLOOKUP(D2373,$P$1:$Q$13,2,0), 1 + C2373,1)</f>
        <v>휵</v>
      </c>
      <c r="G2373" s="6" t="str">
        <f aca="false">DEC2HEX(D2373+36, 2)</f>
        <v>2F</v>
      </c>
      <c r="H2373" s="6" t="str">
        <f aca="false">DEC2HEX(C2373+48,2)</f>
        <v>84</v>
      </c>
      <c r="I2373" s="6" t="str">
        <f aca="false">_xlfn.CONCAT("\x", G2373, "\x", H2373, "=", F2373)</f>
        <v>\x2F\x84=휵</v>
      </c>
      <c r="M2373" s="8"/>
    </row>
    <row r="2374" customFormat="false" ht="12.8" hidden="false" customHeight="true" outlineLevel="0" collapsed="false">
      <c r="C2374" s="6" t="n">
        <f aca="false">MOD(ROW()-1, 208)</f>
        <v>85</v>
      </c>
      <c r="D2374" s="6" t="n">
        <f aca="false">INT((ROW()-1)/208)</f>
        <v>11</v>
      </c>
      <c r="F2374" s="6" t="str">
        <f aca="false">MID(VLOOKUP(D2374,$P$1:$Q$13,2,0), 1 + C2374,1)</f>
        <v>휸</v>
      </c>
      <c r="G2374" s="6" t="str">
        <f aca="false">DEC2HEX(D2374+36, 2)</f>
        <v>2F</v>
      </c>
      <c r="H2374" s="6" t="str">
        <f aca="false">DEC2HEX(C2374+48,2)</f>
        <v>85</v>
      </c>
      <c r="I2374" s="6" t="str">
        <f aca="false">_xlfn.CONCAT("\x", G2374, "\x", H2374, "=", F2374)</f>
        <v>\x2F\x85=휸</v>
      </c>
      <c r="M2374" s="8"/>
    </row>
    <row r="2375" customFormat="false" ht="12.8" hidden="false" customHeight="true" outlineLevel="0" collapsed="false">
      <c r="C2375" s="6" t="n">
        <f aca="false">MOD(ROW()-1, 208)</f>
        <v>86</v>
      </c>
      <c r="D2375" s="6" t="n">
        <f aca="false">INT((ROW()-1)/208)</f>
        <v>11</v>
      </c>
      <c r="F2375" s="6" t="str">
        <f aca="false">MID(VLOOKUP(D2375,$P$1:$Q$13,2,0), 1 + C2375,1)</f>
        <v>휼</v>
      </c>
      <c r="G2375" s="6" t="str">
        <f aca="false">DEC2HEX(D2375+36, 2)</f>
        <v>2F</v>
      </c>
      <c r="H2375" s="6" t="str">
        <f aca="false">DEC2HEX(C2375+48,2)</f>
        <v>86</v>
      </c>
      <c r="I2375" s="6" t="str">
        <f aca="false">_xlfn.CONCAT("\x", G2375, "\x", H2375, "=", F2375)</f>
        <v>\x2F\x86=휼</v>
      </c>
      <c r="M2375" s="8"/>
    </row>
    <row r="2376" customFormat="false" ht="12.8" hidden="false" customHeight="true" outlineLevel="0" collapsed="false">
      <c r="C2376" s="6" t="n">
        <f aca="false">MOD(ROW()-1, 208)</f>
        <v>87</v>
      </c>
      <c r="D2376" s="6" t="n">
        <f aca="false">INT((ROW()-1)/208)</f>
        <v>11</v>
      </c>
      <c r="F2376" s="6" t="str">
        <f aca="false">MID(VLOOKUP(D2376,$P$1:$Q$13,2,0), 1 + C2376,1)</f>
        <v>흄</v>
      </c>
      <c r="G2376" s="6" t="str">
        <f aca="false">DEC2HEX(D2376+36, 2)</f>
        <v>2F</v>
      </c>
      <c r="H2376" s="6" t="str">
        <f aca="false">DEC2HEX(C2376+48,2)</f>
        <v>87</v>
      </c>
      <c r="I2376" s="6" t="str">
        <f aca="false">_xlfn.CONCAT("\x", G2376, "\x", H2376, "=", F2376)</f>
        <v>\x2F\x87=흄</v>
      </c>
      <c r="M2376" s="8"/>
    </row>
    <row r="2377" customFormat="false" ht="12.8" hidden="false" customHeight="true" outlineLevel="0" collapsed="false">
      <c r="C2377" s="6" t="n">
        <f aca="false">MOD(ROW()-1, 208)</f>
        <v>88</v>
      </c>
      <c r="D2377" s="6" t="n">
        <f aca="false">INT((ROW()-1)/208)</f>
        <v>11</v>
      </c>
      <c r="F2377" s="6" t="str">
        <f aca="false">MID(VLOOKUP(D2377,$P$1:$Q$13,2,0), 1 + C2377,1)</f>
        <v>흇</v>
      </c>
      <c r="G2377" s="6" t="str">
        <f aca="false">DEC2HEX(D2377+36, 2)</f>
        <v>2F</v>
      </c>
      <c r="H2377" s="6" t="str">
        <f aca="false">DEC2HEX(C2377+48,2)</f>
        <v>88</v>
      </c>
      <c r="I2377" s="6" t="str">
        <f aca="false">_xlfn.CONCAT("\x", G2377, "\x", H2377, "=", F2377)</f>
        <v>\x2F\x88=흇</v>
      </c>
      <c r="M2377" s="8"/>
    </row>
    <row r="2378" customFormat="false" ht="12.8" hidden="false" customHeight="true" outlineLevel="0" collapsed="false">
      <c r="C2378" s="6" t="n">
        <f aca="false">MOD(ROW()-1, 208)</f>
        <v>89</v>
      </c>
      <c r="D2378" s="6" t="n">
        <f aca="false">INT((ROW()-1)/208)</f>
        <v>11</v>
      </c>
      <c r="F2378" s="6" t="str">
        <f aca="false">MID(VLOOKUP(D2378,$P$1:$Q$13,2,0), 1 + C2378,1)</f>
        <v>흉</v>
      </c>
      <c r="G2378" s="6" t="str">
        <f aca="false">DEC2HEX(D2378+36, 2)</f>
        <v>2F</v>
      </c>
      <c r="H2378" s="6" t="str">
        <f aca="false">DEC2HEX(C2378+48,2)</f>
        <v>89</v>
      </c>
      <c r="I2378" s="6" t="str">
        <f aca="false">_xlfn.CONCAT("\x", G2378, "\x", H2378, "=", F2378)</f>
        <v>\x2F\x89=흉</v>
      </c>
      <c r="M2378" s="8"/>
    </row>
    <row r="2379" customFormat="false" ht="12.8" hidden="false" customHeight="true" outlineLevel="0" collapsed="false">
      <c r="C2379" s="6" t="n">
        <f aca="false">MOD(ROW()-1, 208)</f>
        <v>90</v>
      </c>
      <c r="D2379" s="6" t="n">
        <f aca="false">INT((ROW()-1)/208)</f>
        <v>11</v>
      </c>
      <c r="F2379" s="6" t="str">
        <f aca="false">MID(VLOOKUP(D2379,$P$1:$Q$13,2,0), 1 + C2379,1)</f>
        <v>흐</v>
      </c>
      <c r="G2379" s="6" t="str">
        <f aca="false">DEC2HEX(D2379+36, 2)</f>
        <v>2F</v>
      </c>
      <c r="H2379" s="6" t="str">
        <f aca="false">DEC2HEX(C2379+48,2)</f>
        <v>8A</v>
      </c>
      <c r="I2379" s="6" t="str">
        <f aca="false">_xlfn.CONCAT("\x", G2379, "\x", H2379, "=", F2379)</f>
        <v>\x2F\x8A=흐</v>
      </c>
      <c r="M2379" s="8"/>
    </row>
    <row r="2380" customFormat="false" ht="12.8" hidden="false" customHeight="true" outlineLevel="0" collapsed="false">
      <c r="C2380" s="6" t="n">
        <f aca="false">MOD(ROW()-1, 208)</f>
        <v>91</v>
      </c>
      <c r="D2380" s="6" t="n">
        <f aca="false">INT((ROW()-1)/208)</f>
        <v>11</v>
      </c>
      <c r="F2380" s="6" t="str">
        <f aca="false">MID(VLOOKUP(D2380,$P$1:$Q$13,2,0), 1 + C2380,1)</f>
        <v>흑</v>
      </c>
      <c r="G2380" s="6" t="str">
        <f aca="false">DEC2HEX(D2380+36, 2)</f>
        <v>2F</v>
      </c>
      <c r="H2380" s="6" t="str">
        <f aca="false">DEC2HEX(C2380+48,2)</f>
        <v>8B</v>
      </c>
      <c r="I2380" s="6" t="str">
        <f aca="false">_xlfn.CONCAT("\x", G2380, "\x", H2380, "=", F2380)</f>
        <v>\x2F\x8B=흑</v>
      </c>
      <c r="M2380" s="8"/>
    </row>
    <row r="2381" customFormat="false" ht="12.8" hidden="false" customHeight="true" outlineLevel="0" collapsed="false">
      <c r="C2381" s="6" t="n">
        <f aca="false">MOD(ROW()-1, 208)</f>
        <v>92</v>
      </c>
      <c r="D2381" s="6" t="n">
        <f aca="false">INT((ROW()-1)/208)</f>
        <v>11</v>
      </c>
      <c r="F2381" s="6" t="str">
        <f aca="false">MID(VLOOKUP(D2381,$P$1:$Q$13,2,0), 1 + C2381,1)</f>
        <v>흔</v>
      </c>
      <c r="G2381" s="6" t="str">
        <f aca="false">DEC2HEX(D2381+36, 2)</f>
        <v>2F</v>
      </c>
      <c r="H2381" s="6" t="str">
        <f aca="false">DEC2HEX(C2381+48,2)</f>
        <v>8C</v>
      </c>
      <c r="I2381" s="6" t="str">
        <f aca="false">_xlfn.CONCAT("\x", G2381, "\x", H2381, "=", F2381)</f>
        <v>\x2F\x8C=흔</v>
      </c>
      <c r="M2381" s="8"/>
    </row>
    <row r="2382" customFormat="false" ht="12.8" hidden="false" customHeight="true" outlineLevel="0" collapsed="false">
      <c r="C2382" s="6" t="n">
        <f aca="false">MOD(ROW()-1, 208)</f>
        <v>93</v>
      </c>
      <c r="D2382" s="6" t="n">
        <f aca="false">INT((ROW()-1)/208)</f>
        <v>11</v>
      </c>
      <c r="F2382" s="6" t="str">
        <f aca="false">MID(VLOOKUP(D2382,$P$1:$Q$13,2,0), 1 + C2382,1)</f>
        <v>흖</v>
      </c>
      <c r="G2382" s="6" t="str">
        <f aca="false">DEC2HEX(D2382+36, 2)</f>
        <v>2F</v>
      </c>
      <c r="H2382" s="6" t="str">
        <f aca="false">DEC2HEX(C2382+48,2)</f>
        <v>8D</v>
      </c>
      <c r="I2382" s="6" t="str">
        <f aca="false">_xlfn.CONCAT("\x", G2382, "\x", H2382, "=", F2382)</f>
        <v>\x2F\x8D=흖</v>
      </c>
      <c r="M2382" s="8"/>
    </row>
    <row r="2383" customFormat="false" ht="12.8" hidden="false" customHeight="true" outlineLevel="0" collapsed="false">
      <c r="C2383" s="6" t="n">
        <f aca="false">MOD(ROW()-1, 208)</f>
        <v>94</v>
      </c>
      <c r="D2383" s="6" t="n">
        <f aca="false">INT((ROW()-1)/208)</f>
        <v>11</v>
      </c>
      <c r="F2383" s="6" t="str">
        <f aca="false">MID(VLOOKUP(D2383,$P$1:$Q$13,2,0), 1 + C2383,1)</f>
        <v>흗</v>
      </c>
      <c r="G2383" s="6" t="str">
        <f aca="false">DEC2HEX(D2383+36, 2)</f>
        <v>2F</v>
      </c>
      <c r="H2383" s="6" t="str">
        <f aca="false">DEC2HEX(C2383+48,2)</f>
        <v>8E</v>
      </c>
      <c r="I2383" s="6" t="str">
        <f aca="false">_xlfn.CONCAT("\x", G2383, "\x", H2383, "=", F2383)</f>
        <v>\x2F\x8E=흗</v>
      </c>
      <c r="M2383" s="8"/>
    </row>
    <row r="2384" customFormat="false" ht="12.8" hidden="false" customHeight="true" outlineLevel="0" collapsed="false">
      <c r="C2384" s="6" t="n">
        <f aca="false">MOD(ROW()-1, 208)</f>
        <v>95</v>
      </c>
      <c r="D2384" s="6" t="n">
        <f aca="false">INT((ROW()-1)/208)</f>
        <v>11</v>
      </c>
      <c r="F2384" s="6" t="str">
        <f aca="false">MID(VLOOKUP(D2384,$P$1:$Q$13,2,0), 1 + C2384,1)</f>
        <v>흘</v>
      </c>
      <c r="G2384" s="6" t="str">
        <f aca="false">DEC2HEX(D2384+36, 2)</f>
        <v>2F</v>
      </c>
      <c r="H2384" s="6" t="str">
        <f aca="false">DEC2HEX(C2384+48,2)</f>
        <v>8F</v>
      </c>
      <c r="I2384" s="6" t="str">
        <f aca="false">_xlfn.CONCAT("\x", G2384, "\x", H2384, "=", F2384)</f>
        <v>\x2F\x8F=흘</v>
      </c>
      <c r="M2384" s="8"/>
    </row>
    <row r="2385" customFormat="false" ht="12.8" hidden="false" customHeight="true" outlineLevel="0" collapsed="false">
      <c r="C2385" s="6" t="n">
        <f aca="false">MOD(ROW()-1, 208)</f>
        <v>96</v>
      </c>
      <c r="D2385" s="6" t="n">
        <f aca="false">INT((ROW()-1)/208)</f>
        <v>11</v>
      </c>
      <c r="F2385" s="6" t="str">
        <f aca="false">MID(VLOOKUP(D2385,$P$1:$Q$13,2,0), 1 + C2385,1)</f>
        <v>흙</v>
      </c>
      <c r="G2385" s="6" t="str">
        <f aca="false">DEC2HEX(D2385+36, 2)</f>
        <v>2F</v>
      </c>
      <c r="H2385" s="6" t="str">
        <f aca="false">DEC2HEX(C2385+48,2)</f>
        <v>90</v>
      </c>
      <c r="I2385" s="6" t="str">
        <f aca="false">_xlfn.CONCAT("\x", G2385, "\x", H2385, "=", F2385)</f>
        <v>\x2F\x90=흙</v>
      </c>
      <c r="M2385" s="8"/>
    </row>
    <row r="2386" customFormat="false" ht="12.8" hidden="false" customHeight="true" outlineLevel="0" collapsed="false">
      <c r="C2386" s="6" t="n">
        <f aca="false">MOD(ROW()-1, 208)</f>
        <v>97</v>
      </c>
      <c r="D2386" s="6" t="n">
        <f aca="false">INT((ROW()-1)/208)</f>
        <v>11</v>
      </c>
      <c r="F2386" s="6" t="str">
        <f aca="false">MID(VLOOKUP(D2386,$P$1:$Q$13,2,0), 1 + C2386,1)</f>
        <v>흠</v>
      </c>
      <c r="G2386" s="6" t="str">
        <f aca="false">DEC2HEX(D2386+36, 2)</f>
        <v>2F</v>
      </c>
      <c r="H2386" s="6" t="str">
        <f aca="false">DEC2HEX(C2386+48,2)</f>
        <v>91</v>
      </c>
      <c r="I2386" s="6" t="str">
        <f aca="false">_xlfn.CONCAT("\x", G2386, "\x", H2386, "=", F2386)</f>
        <v>\x2F\x91=흠</v>
      </c>
      <c r="M2386" s="8"/>
    </row>
    <row r="2387" customFormat="false" ht="12.8" hidden="false" customHeight="true" outlineLevel="0" collapsed="false">
      <c r="C2387" s="6" t="n">
        <f aca="false">MOD(ROW()-1, 208)</f>
        <v>98</v>
      </c>
      <c r="D2387" s="6" t="n">
        <f aca="false">INT((ROW()-1)/208)</f>
        <v>11</v>
      </c>
      <c r="F2387" s="6" t="str">
        <f aca="false">MID(VLOOKUP(D2387,$P$1:$Q$13,2,0), 1 + C2387,1)</f>
        <v>흡</v>
      </c>
      <c r="G2387" s="6" t="str">
        <f aca="false">DEC2HEX(D2387+36, 2)</f>
        <v>2F</v>
      </c>
      <c r="H2387" s="6" t="str">
        <f aca="false">DEC2HEX(C2387+48,2)</f>
        <v>92</v>
      </c>
      <c r="I2387" s="6" t="str">
        <f aca="false">_xlfn.CONCAT("\x", G2387, "\x", H2387, "=", F2387)</f>
        <v>\x2F\x92=흡</v>
      </c>
      <c r="M2387" s="8"/>
    </row>
    <row r="2388" customFormat="false" ht="12.8" hidden="false" customHeight="true" outlineLevel="0" collapsed="false">
      <c r="C2388" s="6" t="n">
        <f aca="false">MOD(ROW()-1, 208)</f>
        <v>99</v>
      </c>
      <c r="D2388" s="6" t="n">
        <f aca="false">INT((ROW()-1)/208)</f>
        <v>11</v>
      </c>
      <c r="F2388" s="6" t="str">
        <f aca="false">MID(VLOOKUP(D2388,$P$1:$Q$13,2,0), 1 + C2388,1)</f>
        <v>흣</v>
      </c>
      <c r="G2388" s="6" t="str">
        <f aca="false">DEC2HEX(D2388+36, 2)</f>
        <v>2F</v>
      </c>
      <c r="H2388" s="6" t="str">
        <f aca="false">DEC2HEX(C2388+48,2)</f>
        <v>93</v>
      </c>
      <c r="I2388" s="6" t="str">
        <f aca="false">_xlfn.CONCAT("\x", G2388, "\x", H2388, "=", F2388)</f>
        <v>\x2F\x93=흣</v>
      </c>
      <c r="M2388" s="8"/>
    </row>
    <row r="2389" customFormat="false" ht="12.8" hidden="false" customHeight="true" outlineLevel="0" collapsed="false">
      <c r="C2389" s="6" t="n">
        <f aca="false">MOD(ROW()-1, 208)</f>
        <v>100</v>
      </c>
      <c r="D2389" s="6" t="n">
        <f aca="false">INT((ROW()-1)/208)</f>
        <v>11</v>
      </c>
      <c r="F2389" s="6" t="str">
        <f aca="false">MID(VLOOKUP(D2389,$P$1:$Q$13,2,0), 1 + C2389,1)</f>
        <v>흥</v>
      </c>
      <c r="G2389" s="6" t="str">
        <f aca="false">DEC2HEX(D2389+36, 2)</f>
        <v>2F</v>
      </c>
      <c r="H2389" s="6" t="str">
        <f aca="false">DEC2HEX(C2389+48,2)</f>
        <v>94</v>
      </c>
      <c r="I2389" s="6" t="str">
        <f aca="false">_xlfn.CONCAT("\x", G2389, "\x", H2389, "=", F2389)</f>
        <v>\x2F\x94=흥</v>
      </c>
      <c r="M2389" s="8"/>
    </row>
    <row r="2390" customFormat="false" ht="12.8" hidden="false" customHeight="true" outlineLevel="0" collapsed="false">
      <c r="C2390" s="6" t="n">
        <f aca="false">MOD(ROW()-1, 208)</f>
        <v>101</v>
      </c>
      <c r="D2390" s="6" t="n">
        <f aca="false">INT((ROW()-1)/208)</f>
        <v>11</v>
      </c>
      <c r="F2390" s="6" t="str">
        <f aca="false">MID(VLOOKUP(D2390,$P$1:$Q$13,2,0), 1 + C2390,1)</f>
        <v>흩</v>
      </c>
      <c r="G2390" s="6" t="str">
        <f aca="false">DEC2HEX(D2390+36, 2)</f>
        <v>2F</v>
      </c>
      <c r="H2390" s="6" t="str">
        <f aca="false">DEC2HEX(C2390+48,2)</f>
        <v>95</v>
      </c>
      <c r="I2390" s="6" t="str">
        <f aca="false">_xlfn.CONCAT("\x", G2390, "\x", H2390, "=", F2390)</f>
        <v>\x2F\x95=흩</v>
      </c>
      <c r="M2390" s="8"/>
    </row>
    <row r="2391" customFormat="false" ht="12.8" hidden="false" customHeight="true" outlineLevel="0" collapsed="false">
      <c r="C2391" s="6" t="n">
        <f aca="false">MOD(ROW()-1, 208)</f>
        <v>102</v>
      </c>
      <c r="D2391" s="6" t="n">
        <f aca="false">INT((ROW()-1)/208)</f>
        <v>11</v>
      </c>
      <c r="F2391" s="6" t="str">
        <f aca="false">MID(VLOOKUP(D2391,$P$1:$Q$13,2,0), 1 + C2391,1)</f>
        <v>희</v>
      </c>
      <c r="G2391" s="6" t="str">
        <f aca="false">DEC2HEX(D2391+36, 2)</f>
        <v>2F</v>
      </c>
      <c r="H2391" s="6" t="str">
        <f aca="false">DEC2HEX(C2391+48,2)</f>
        <v>96</v>
      </c>
      <c r="I2391" s="6" t="str">
        <f aca="false">_xlfn.CONCAT("\x", G2391, "\x", H2391, "=", F2391)</f>
        <v>\x2F\x96=희</v>
      </c>
      <c r="M2391" s="8"/>
    </row>
    <row r="2392" customFormat="false" ht="12.8" hidden="false" customHeight="true" outlineLevel="0" collapsed="false">
      <c r="C2392" s="6" t="n">
        <f aca="false">MOD(ROW()-1, 208)</f>
        <v>103</v>
      </c>
      <c r="D2392" s="6" t="n">
        <f aca="false">INT((ROW()-1)/208)</f>
        <v>11</v>
      </c>
      <c r="F2392" s="6" t="str">
        <f aca="false">MID(VLOOKUP(D2392,$P$1:$Q$13,2,0), 1 + C2392,1)</f>
        <v>흰</v>
      </c>
      <c r="G2392" s="6" t="str">
        <f aca="false">DEC2HEX(D2392+36, 2)</f>
        <v>2F</v>
      </c>
      <c r="H2392" s="6" t="str">
        <f aca="false">DEC2HEX(C2392+48,2)</f>
        <v>97</v>
      </c>
      <c r="I2392" s="6" t="str">
        <f aca="false">_xlfn.CONCAT("\x", G2392, "\x", H2392, "=", F2392)</f>
        <v>\x2F\x97=흰</v>
      </c>
      <c r="M2392" s="8"/>
    </row>
    <row r="2393" customFormat="false" ht="12.8" hidden="false" customHeight="true" outlineLevel="0" collapsed="false">
      <c r="C2393" s="6" t="n">
        <f aca="false">MOD(ROW()-1, 208)</f>
        <v>104</v>
      </c>
      <c r="D2393" s="6" t="n">
        <f aca="false">INT((ROW()-1)/208)</f>
        <v>11</v>
      </c>
      <c r="F2393" s="6" t="str">
        <f aca="false">MID(VLOOKUP(D2393,$P$1:$Q$13,2,0), 1 + C2393,1)</f>
        <v>'</v>
      </c>
      <c r="G2393" s="6" t="str">
        <f aca="false">DEC2HEX(D2393+36, 2)</f>
        <v>2F</v>
      </c>
      <c r="H2393" s="6" t="str">
        <f aca="false">DEC2HEX(C2393+48,2)</f>
        <v>98</v>
      </c>
      <c r="I2393" s="6" t="str">
        <f aca="false">_xlfn.CONCAT("\x", G2393, "\x", H2393, "=", F2393)</f>
        <v>\x2F\x98='</v>
      </c>
      <c r="M2393" s="8"/>
    </row>
    <row r="2394" customFormat="false" ht="12.8" hidden="false" customHeight="true" outlineLevel="0" collapsed="false">
      <c r="C2394" s="6" t="n">
        <f aca="false">MOD(ROW()-1, 208)</f>
        <v>105</v>
      </c>
      <c r="D2394" s="6" t="n">
        <f aca="false">INT((ROW()-1)/208)</f>
        <v>11</v>
      </c>
      <c r="F2394" s="6" t="str">
        <f aca="false">MID(VLOOKUP(D2394,$P$1:$Q$13,2,0), 1 + C2394,1)</f>
        <v>흴</v>
      </c>
      <c r="G2394" s="6" t="str">
        <f aca="false">DEC2HEX(D2394+36, 2)</f>
        <v>2F</v>
      </c>
      <c r="H2394" s="6" t="str">
        <f aca="false">DEC2HEX(C2394+48,2)</f>
        <v>99</v>
      </c>
      <c r="I2394" s="6" t="str">
        <f aca="false">_xlfn.CONCAT("\x", G2394, "\x", H2394, "=", F2394)</f>
        <v>\x2F\x99=흴</v>
      </c>
      <c r="M2394" s="8"/>
    </row>
    <row r="2395" customFormat="false" ht="12.8" hidden="false" customHeight="true" outlineLevel="0" collapsed="false">
      <c r="C2395" s="6" t="n">
        <f aca="false">MOD(ROW()-1, 208)</f>
        <v>106</v>
      </c>
      <c r="D2395" s="6" t="n">
        <f aca="false">INT((ROW()-1)/208)</f>
        <v>11</v>
      </c>
      <c r="F2395" s="6" t="str">
        <f aca="false">MID(VLOOKUP(D2395,$P$1:$Q$13,2,0), 1 + C2395,1)</f>
        <v>흼</v>
      </c>
      <c r="G2395" s="6" t="str">
        <f aca="false">DEC2HEX(D2395+36, 2)</f>
        <v>2F</v>
      </c>
      <c r="H2395" s="6" t="str">
        <f aca="false">DEC2HEX(C2395+48,2)</f>
        <v>9A</v>
      </c>
      <c r="I2395" s="6" t="str">
        <f aca="false">_xlfn.CONCAT("\x", G2395, "\x", H2395, "=", F2395)</f>
        <v>\x2F\x9A=흼</v>
      </c>
      <c r="M2395" s="8"/>
    </row>
    <row r="2396" customFormat="false" ht="12.8" hidden="false" customHeight="true" outlineLevel="0" collapsed="false">
      <c r="C2396" s="6" t="n">
        <f aca="false">MOD(ROW()-1, 208)</f>
        <v>107</v>
      </c>
      <c r="D2396" s="6" t="n">
        <f aca="false">INT((ROW()-1)/208)</f>
        <v>11</v>
      </c>
      <c r="F2396" s="6" t="str">
        <f aca="false">MID(VLOOKUP(D2396,$P$1:$Q$13,2,0), 1 + C2396,1)</f>
        <v>흽</v>
      </c>
      <c r="G2396" s="6" t="str">
        <f aca="false">DEC2HEX(D2396+36, 2)</f>
        <v>2F</v>
      </c>
      <c r="H2396" s="6" t="str">
        <f aca="false">DEC2HEX(C2396+48,2)</f>
        <v>9B</v>
      </c>
      <c r="I2396" s="6" t="str">
        <f aca="false">_xlfn.CONCAT("\x", G2396, "\x", H2396, "=", F2396)</f>
        <v>\x2F\x9B=흽</v>
      </c>
      <c r="M2396" s="8"/>
    </row>
    <row r="2397" customFormat="false" ht="12.8" hidden="false" customHeight="true" outlineLevel="0" collapsed="false">
      <c r="C2397" s="6" t="n">
        <f aca="false">MOD(ROW()-1, 208)</f>
        <v>108</v>
      </c>
      <c r="D2397" s="6" t="n">
        <f aca="false">INT((ROW()-1)/208)</f>
        <v>11</v>
      </c>
      <c r="F2397" s="6" t="str">
        <f aca="false">MID(VLOOKUP(D2397,$P$1:$Q$13,2,0), 1 + C2397,1)</f>
        <v>힁</v>
      </c>
      <c r="G2397" s="6" t="str">
        <f aca="false">DEC2HEX(D2397+36, 2)</f>
        <v>2F</v>
      </c>
      <c r="H2397" s="6" t="str">
        <f aca="false">DEC2HEX(C2397+48,2)</f>
        <v>9C</v>
      </c>
      <c r="I2397" s="6" t="str">
        <f aca="false">_xlfn.CONCAT("\x", G2397, "\x", H2397, "=", F2397)</f>
        <v>\x2F\x9C=힁</v>
      </c>
      <c r="M2397" s="8"/>
    </row>
    <row r="2398" customFormat="false" ht="12.8" hidden="false" customHeight="true" outlineLevel="0" collapsed="false">
      <c r="C2398" s="6" t="n">
        <f aca="false">MOD(ROW()-1, 208)</f>
        <v>109</v>
      </c>
      <c r="D2398" s="6" t="n">
        <f aca="false">INT((ROW()-1)/208)</f>
        <v>11</v>
      </c>
      <c r="F2398" s="6" t="str">
        <f aca="false">MID(VLOOKUP(D2398,$P$1:$Q$13,2,0), 1 + C2398,1)</f>
        <v>히</v>
      </c>
      <c r="G2398" s="6" t="str">
        <f aca="false">DEC2HEX(D2398+36, 2)</f>
        <v>2F</v>
      </c>
      <c r="H2398" s="6" t="str">
        <f aca="false">DEC2HEX(C2398+48,2)</f>
        <v>9D</v>
      </c>
      <c r="I2398" s="6" t="str">
        <f aca="false">_xlfn.CONCAT("\x", G2398, "\x", H2398, "=", F2398)</f>
        <v>\x2F\x9D=히</v>
      </c>
      <c r="M2398" s="8"/>
    </row>
    <row r="2399" customFormat="false" ht="12.8" hidden="false" customHeight="true" outlineLevel="0" collapsed="false">
      <c r="C2399" s="6" t="n">
        <f aca="false">MOD(ROW()-1, 208)</f>
        <v>110</v>
      </c>
      <c r="D2399" s="6" t="n">
        <f aca="false">INT((ROW()-1)/208)</f>
        <v>11</v>
      </c>
      <c r="F2399" s="6" t="str">
        <f aca="false">MID(VLOOKUP(D2399,$P$1:$Q$13,2,0), 1 + C2399,1)</f>
        <v>힉</v>
      </c>
      <c r="G2399" s="6" t="str">
        <f aca="false">DEC2HEX(D2399+36, 2)</f>
        <v>2F</v>
      </c>
      <c r="H2399" s="6" t="str">
        <f aca="false">DEC2HEX(C2399+48,2)</f>
        <v>9E</v>
      </c>
      <c r="I2399" s="6" t="str">
        <f aca="false">_xlfn.CONCAT("\x", G2399, "\x", H2399, "=", F2399)</f>
        <v>\x2F\x9E=힉</v>
      </c>
      <c r="M2399" s="8"/>
    </row>
    <row r="2400" customFormat="false" ht="12.8" hidden="false" customHeight="true" outlineLevel="0" collapsed="false">
      <c r="C2400" s="6" t="n">
        <f aca="false">MOD(ROW()-1, 208)</f>
        <v>111</v>
      </c>
      <c r="D2400" s="6" t="n">
        <f aca="false">INT((ROW()-1)/208)</f>
        <v>11</v>
      </c>
      <c r="F2400" s="6" t="str">
        <f aca="false">MID(VLOOKUP(D2400,$P$1:$Q$13,2,0), 1 + C2400,1)</f>
        <v>힌</v>
      </c>
      <c r="G2400" s="6" t="str">
        <f aca="false">DEC2HEX(D2400+36, 2)</f>
        <v>2F</v>
      </c>
      <c r="H2400" s="6" t="str">
        <f aca="false">DEC2HEX(C2400+48,2)</f>
        <v>9F</v>
      </c>
      <c r="I2400" s="6" t="str">
        <f aca="false">_xlfn.CONCAT("\x", G2400, "\x", H2400, "=", F2400)</f>
        <v>\x2F\x9F=힌</v>
      </c>
      <c r="M2400" s="8"/>
    </row>
    <row r="2401" customFormat="false" ht="12.8" hidden="false" customHeight="true" outlineLevel="0" collapsed="false">
      <c r="C2401" s="6" t="n">
        <f aca="false">MOD(ROW()-1, 208)</f>
        <v>112</v>
      </c>
      <c r="D2401" s="6" t="n">
        <f aca="false">INT((ROW()-1)/208)</f>
        <v>11</v>
      </c>
      <c r="F2401" s="6" t="str">
        <f aca="false">MID(VLOOKUP(D2401,$P$1:$Q$13,2,0), 1 + C2401,1)</f>
        <v>힐</v>
      </c>
      <c r="G2401" s="6" t="str">
        <f aca="false">DEC2HEX(D2401+36, 2)</f>
        <v>2F</v>
      </c>
      <c r="H2401" s="6" t="str">
        <f aca="false">DEC2HEX(C2401+48,2)</f>
        <v>A0</v>
      </c>
      <c r="I2401" s="6" t="str">
        <f aca="false">_xlfn.CONCAT("\x", G2401, "\x", H2401, "=", F2401)</f>
        <v>\x2F\xA0=힐</v>
      </c>
      <c r="M2401" s="8"/>
    </row>
    <row r="2402" customFormat="false" ht="12.8" hidden="false" customHeight="true" outlineLevel="0" collapsed="false">
      <c r="C2402" s="6" t="n">
        <f aca="false">MOD(ROW()-1, 208)</f>
        <v>113</v>
      </c>
      <c r="D2402" s="6" t="n">
        <f aca="false">INT((ROW()-1)/208)</f>
        <v>11</v>
      </c>
      <c r="F2402" s="6" t="str">
        <f aca="false">MID(VLOOKUP(D2402,$P$1:$Q$13,2,0), 1 + C2402,1)</f>
        <v>힘</v>
      </c>
      <c r="G2402" s="6" t="str">
        <f aca="false">DEC2HEX(D2402+36, 2)</f>
        <v>2F</v>
      </c>
      <c r="H2402" s="6" t="str">
        <f aca="false">DEC2HEX(C2402+48,2)</f>
        <v>A1</v>
      </c>
      <c r="I2402" s="6" t="str">
        <f aca="false">_xlfn.CONCAT("\x", G2402, "\x", H2402, "=", F2402)</f>
        <v>\x2F\xA1=힘</v>
      </c>
      <c r="M2402" s="8"/>
    </row>
    <row r="2403" customFormat="false" ht="12.8" hidden="false" customHeight="true" outlineLevel="0" collapsed="false">
      <c r="C2403" s="6" t="n">
        <f aca="false">MOD(ROW()-1, 208)</f>
        <v>114</v>
      </c>
      <c r="D2403" s="6" t="n">
        <f aca="false">INT((ROW()-1)/208)</f>
        <v>11</v>
      </c>
      <c r="F2403" s="6" t="str">
        <f aca="false">MID(VLOOKUP(D2403,$P$1:$Q$13,2,0), 1 + C2403,1)</f>
        <v>힙</v>
      </c>
      <c r="G2403" s="6" t="str">
        <f aca="false">DEC2HEX(D2403+36, 2)</f>
        <v>2F</v>
      </c>
      <c r="H2403" s="6" t="str">
        <f aca="false">DEC2HEX(C2403+48,2)</f>
        <v>A2</v>
      </c>
      <c r="I2403" s="6" t="str">
        <f aca="false">_xlfn.CONCAT("\x", G2403, "\x", H2403, "=", F2403)</f>
        <v>\x2F\xA2=힙</v>
      </c>
      <c r="M2403" s="8"/>
    </row>
    <row r="2404" customFormat="false" ht="12.8" hidden="false" customHeight="true" outlineLevel="0" collapsed="false">
      <c r="C2404" s="6" t="n">
        <f aca="false">MOD(ROW()-1, 208)</f>
        <v>115</v>
      </c>
      <c r="D2404" s="6" t="n">
        <f aca="false">INT((ROW()-1)/208)</f>
        <v>11</v>
      </c>
      <c r="F2404" s="6" t="str">
        <f aca="false">MID(VLOOKUP(D2404,$P$1:$Q$13,2,0), 1 + C2404,1)</f>
        <v>힛</v>
      </c>
      <c r="G2404" s="6" t="str">
        <f aca="false">DEC2HEX(D2404+36, 2)</f>
        <v>2F</v>
      </c>
      <c r="H2404" s="6" t="str">
        <f aca="false">DEC2HEX(C2404+48,2)</f>
        <v>A3</v>
      </c>
      <c r="I2404" s="6" t="str">
        <f aca="false">_xlfn.CONCAT("\x", G2404, "\x", H2404, "=", F2404)</f>
        <v>\x2F\xA3=힛</v>
      </c>
      <c r="M2404" s="8"/>
    </row>
    <row r="2405" customFormat="false" ht="12.8" hidden="false" customHeight="true" outlineLevel="0" collapsed="false">
      <c r="C2405" s="6" t="n">
        <f aca="false">MOD(ROW()-1, 208)</f>
        <v>116</v>
      </c>
      <c r="D2405" s="6" t="n">
        <f aca="false">INT((ROW()-1)/208)</f>
        <v>11</v>
      </c>
      <c r="F2405" s="6" t="str">
        <f aca="false">MID(VLOOKUP(D2405,$P$1:$Q$13,2,0), 1 + C2405,1)</f>
        <v>힝</v>
      </c>
      <c r="G2405" s="6" t="str">
        <f aca="false">DEC2HEX(D2405+36, 2)</f>
        <v>2F</v>
      </c>
      <c r="H2405" s="6" t="str">
        <f aca="false">DEC2HEX(C2405+48,2)</f>
        <v>A4</v>
      </c>
      <c r="I2405" s="6" t="str">
        <f aca="false">_xlfn.CONCAT("\x", G2405, "\x", H2405, "=", F2405)</f>
        <v>\x2F\xA4=힝</v>
      </c>
      <c r="M2405" s="8"/>
    </row>
    <row r="2406" customFormat="false" ht="12.8" hidden="false" customHeight="true" outlineLevel="0" collapsed="false">
      <c r="M2406" s="8"/>
    </row>
    <row r="2407" customFormat="false" ht="12.8" hidden="false" customHeight="true" outlineLevel="0" collapsed="false">
      <c r="M2407" s="8"/>
    </row>
    <row r="2408" customFormat="false" ht="12.8" hidden="false" customHeight="true" outlineLevel="0" collapsed="false">
      <c r="M2408" s="8"/>
    </row>
    <row r="2409" customFormat="false" ht="12.8" hidden="false" customHeight="true" outlineLevel="0" collapsed="false">
      <c r="M2409" s="8"/>
    </row>
    <row r="2410" customFormat="false" ht="12.8" hidden="false" customHeight="true" outlineLevel="0" collapsed="false">
      <c r="M2410" s="8"/>
    </row>
    <row r="2411" customFormat="false" ht="12.8" hidden="false" customHeight="true" outlineLevel="0" collapsed="false">
      <c r="M2411" s="8"/>
    </row>
    <row r="2412" customFormat="false" ht="12.8" hidden="false" customHeight="true" outlineLevel="0" collapsed="false">
      <c r="M2412" s="8"/>
    </row>
    <row r="2413" customFormat="false" ht="12.8" hidden="false" customHeight="true" outlineLevel="0" collapsed="false">
      <c r="M2413" s="8"/>
    </row>
    <row r="2414" customFormat="false" ht="12.8" hidden="false" customHeight="true" outlineLevel="0" collapsed="false">
      <c r="M2414" s="8"/>
    </row>
    <row r="2415" customFormat="false" ht="12.8" hidden="false" customHeight="true" outlineLevel="0" collapsed="false">
      <c r="M2415" s="8"/>
    </row>
    <row r="2416" customFormat="false" ht="12.8" hidden="false" customHeight="true" outlineLevel="0" collapsed="false">
      <c r="M2416" s="8"/>
    </row>
    <row r="2417" customFormat="false" ht="12.8" hidden="false" customHeight="true" outlineLevel="0" collapsed="false">
      <c r="M2417" s="8"/>
    </row>
    <row r="2418" customFormat="false" ht="12.8" hidden="false" customHeight="true" outlineLevel="0" collapsed="false">
      <c r="M2418" s="8"/>
    </row>
    <row r="2419" customFormat="false" ht="12.8" hidden="false" customHeight="true" outlineLevel="0" collapsed="false">
      <c r="M2419" s="8"/>
    </row>
    <row r="2420" customFormat="false" ht="12.8" hidden="false" customHeight="true" outlineLevel="0" collapsed="false">
      <c r="M2420" s="8"/>
    </row>
    <row r="2421" customFormat="false" ht="12.8" hidden="false" customHeight="true" outlineLevel="0" collapsed="false">
      <c r="M2421" s="8"/>
    </row>
    <row r="2422" customFormat="false" ht="12.8" hidden="false" customHeight="true" outlineLevel="0" collapsed="false">
      <c r="M2422" s="8"/>
    </row>
    <row r="2423" customFormat="false" ht="12.8" hidden="false" customHeight="true" outlineLevel="0" collapsed="false">
      <c r="M2423" s="8"/>
    </row>
    <row r="2424" customFormat="false" ht="12.8" hidden="false" customHeight="true" outlineLevel="0" collapsed="false">
      <c r="M2424" s="8"/>
    </row>
    <row r="2425" customFormat="false" ht="12.8" hidden="false" customHeight="true" outlineLevel="0" collapsed="false">
      <c r="M2425" s="8"/>
    </row>
    <row r="2426" customFormat="false" ht="12.8" hidden="false" customHeight="true" outlineLevel="0" collapsed="false">
      <c r="M2426" s="8"/>
    </row>
    <row r="2427" customFormat="false" ht="12.8" hidden="false" customHeight="true" outlineLevel="0" collapsed="false">
      <c r="M2427" s="8"/>
    </row>
    <row r="2428" customFormat="false" ht="12.8" hidden="false" customHeight="true" outlineLevel="0" collapsed="false">
      <c r="M2428" s="8"/>
    </row>
    <row r="2429" customFormat="false" ht="12.8" hidden="false" customHeight="true" outlineLevel="0" collapsed="false">
      <c r="M2429" s="8"/>
    </row>
    <row r="2430" customFormat="false" ht="12.8" hidden="false" customHeight="true" outlineLevel="0" collapsed="false">
      <c r="M2430" s="8"/>
    </row>
    <row r="2431" customFormat="false" ht="12.8" hidden="false" customHeight="true" outlineLevel="0" collapsed="false">
      <c r="M2431" s="8"/>
    </row>
    <row r="2432" customFormat="false" ht="12.8" hidden="false" customHeight="true" outlineLevel="0" collapsed="false">
      <c r="M2432" s="8"/>
    </row>
    <row r="2433" customFormat="false" ht="12.8" hidden="false" customHeight="true" outlineLevel="0" collapsed="false">
      <c r="M2433" s="8"/>
    </row>
    <row r="2434" customFormat="false" ht="12.8" hidden="false" customHeight="true" outlineLevel="0" collapsed="false">
      <c r="M2434" s="8"/>
    </row>
    <row r="2435" customFormat="false" ht="12.8" hidden="false" customHeight="true" outlineLevel="0" collapsed="false">
      <c r="M2435" s="8"/>
    </row>
    <row r="2436" customFormat="false" ht="12.8" hidden="false" customHeight="true" outlineLevel="0" collapsed="false">
      <c r="M2436" s="8"/>
    </row>
    <row r="2437" customFormat="false" ht="12.8" hidden="false" customHeight="true" outlineLevel="0" collapsed="false">
      <c r="M2437" s="8"/>
    </row>
    <row r="2438" customFormat="false" ht="12.8" hidden="false" customHeight="true" outlineLevel="0" collapsed="false">
      <c r="M2438" s="8"/>
    </row>
    <row r="2439" customFormat="false" ht="12.8" hidden="false" customHeight="true" outlineLevel="0" collapsed="false">
      <c r="M2439" s="8"/>
    </row>
    <row r="2440" customFormat="false" ht="12.8" hidden="false" customHeight="true" outlineLevel="0" collapsed="false">
      <c r="M2440" s="8"/>
    </row>
    <row r="2441" customFormat="false" ht="12.8" hidden="false" customHeight="true" outlineLevel="0" collapsed="false">
      <c r="M2441" s="8"/>
    </row>
    <row r="2442" customFormat="false" ht="12.8" hidden="false" customHeight="true" outlineLevel="0" collapsed="false">
      <c r="M2442" s="8"/>
    </row>
    <row r="2443" customFormat="false" ht="12.8" hidden="false" customHeight="true" outlineLevel="0" collapsed="false">
      <c r="M2443" s="8"/>
    </row>
    <row r="2444" customFormat="false" ht="12.8" hidden="false" customHeight="true" outlineLevel="0" collapsed="false">
      <c r="M2444" s="8"/>
    </row>
    <row r="2445" customFormat="false" ht="12.8" hidden="false" customHeight="true" outlineLevel="0" collapsed="false">
      <c r="M2445" s="8"/>
    </row>
    <row r="2446" customFormat="false" ht="12.8" hidden="false" customHeight="true" outlineLevel="0" collapsed="false">
      <c r="M2446" s="8"/>
    </row>
    <row r="2447" customFormat="false" ht="12.8" hidden="false" customHeight="true" outlineLevel="0" collapsed="false">
      <c r="M2447" s="8"/>
    </row>
    <row r="2448" customFormat="false" ht="12.8" hidden="false" customHeight="true" outlineLevel="0" collapsed="false">
      <c r="M2448" s="8"/>
    </row>
    <row r="2449" customFormat="false" ht="12.8" hidden="false" customHeight="true" outlineLevel="0" collapsed="false">
      <c r="M2449" s="8"/>
    </row>
    <row r="2450" customFormat="false" ht="12.8" hidden="false" customHeight="true" outlineLevel="0" collapsed="false">
      <c r="M2450" s="8"/>
    </row>
    <row r="2451" customFormat="false" ht="12.8" hidden="false" customHeight="true" outlineLevel="0" collapsed="false">
      <c r="M2451" s="8"/>
    </row>
    <row r="2452" customFormat="false" ht="12.8" hidden="false" customHeight="true" outlineLevel="0" collapsed="false">
      <c r="M2452" s="8"/>
    </row>
    <row r="2453" customFormat="false" ht="12.8" hidden="false" customHeight="true" outlineLevel="0" collapsed="false">
      <c r="M2453" s="8"/>
    </row>
    <row r="2454" customFormat="false" ht="12.8" hidden="false" customHeight="true" outlineLevel="0" collapsed="false">
      <c r="M2454" s="8"/>
    </row>
    <row r="2455" customFormat="false" ht="12.8" hidden="false" customHeight="true" outlineLevel="0" collapsed="false">
      <c r="M2455" s="8"/>
    </row>
    <row r="2456" customFormat="false" ht="12.8" hidden="false" customHeight="true" outlineLevel="0" collapsed="false">
      <c r="M2456" s="8"/>
    </row>
    <row r="2457" customFormat="false" ht="12.8" hidden="false" customHeight="true" outlineLevel="0" collapsed="false">
      <c r="M2457" s="8"/>
    </row>
    <row r="2458" customFormat="false" ht="12.8" hidden="false" customHeight="true" outlineLevel="0" collapsed="false">
      <c r="M2458" s="8"/>
    </row>
    <row r="2459" customFormat="false" ht="12.8" hidden="false" customHeight="true" outlineLevel="0" collapsed="false">
      <c r="M2459" s="8"/>
    </row>
    <row r="2460" customFormat="false" ht="12.8" hidden="false" customHeight="true" outlineLevel="0" collapsed="false">
      <c r="M2460" s="8"/>
    </row>
    <row r="2461" customFormat="false" ht="12.8" hidden="false" customHeight="true" outlineLevel="0" collapsed="false">
      <c r="M2461" s="8"/>
    </row>
    <row r="2462" customFormat="false" ht="12.8" hidden="false" customHeight="true" outlineLevel="0" collapsed="false">
      <c r="M2462" s="8"/>
    </row>
    <row r="2463" customFormat="false" ht="12.8" hidden="false" customHeight="true" outlineLevel="0" collapsed="false">
      <c r="M2463" s="8"/>
    </row>
    <row r="2464" customFormat="false" ht="12.8" hidden="false" customHeight="true" outlineLevel="0" collapsed="false">
      <c r="M2464" s="8"/>
    </row>
    <row r="2465" customFormat="false" ht="12.8" hidden="false" customHeight="true" outlineLevel="0" collapsed="false">
      <c r="M2465" s="8"/>
    </row>
    <row r="2466" customFormat="false" ht="12.8" hidden="false" customHeight="true" outlineLevel="0" collapsed="false">
      <c r="M2466" s="8"/>
    </row>
    <row r="2467" customFormat="false" ht="12.8" hidden="false" customHeight="true" outlineLevel="0" collapsed="false">
      <c r="M2467" s="8"/>
    </row>
    <row r="2468" customFormat="false" ht="12.8" hidden="false" customHeight="true" outlineLevel="0" collapsed="false">
      <c r="M2468" s="8"/>
    </row>
    <row r="2469" customFormat="false" ht="12.8" hidden="false" customHeight="true" outlineLevel="0" collapsed="false">
      <c r="M2469" s="8"/>
    </row>
    <row r="2470" customFormat="false" ht="12.8" hidden="false" customHeight="true" outlineLevel="0" collapsed="false">
      <c r="M2470" s="8"/>
    </row>
    <row r="2471" customFormat="false" ht="12.8" hidden="false" customHeight="true" outlineLevel="0" collapsed="false">
      <c r="M2471" s="8"/>
    </row>
    <row r="2472" customFormat="false" ht="12.8" hidden="false" customHeight="true" outlineLevel="0" collapsed="false">
      <c r="M2472" s="8"/>
    </row>
    <row r="2473" customFormat="false" ht="12.8" hidden="false" customHeight="true" outlineLevel="0" collapsed="false">
      <c r="M2473" s="8"/>
    </row>
    <row r="2474" customFormat="false" ht="12.8" hidden="false" customHeight="true" outlineLevel="0" collapsed="false">
      <c r="M2474" s="8"/>
    </row>
    <row r="2475" customFormat="false" ht="12.8" hidden="false" customHeight="true" outlineLevel="0" collapsed="false">
      <c r="M2475" s="8"/>
    </row>
    <row r="2476" customFormat="false" ht="12.8" hidden="false" customHeight="true" outlineLevel="0" collapsed="false">
      <c r="M2476" s="8"/>
    </row>
    <row r="2477" customFormat="false" ht="12.8" hidden="false" customHeight="true" outlineLevel="0" collapsed="false">
      <c r="M2477" s="8"/>
    </row>
    <row r="2478" customFormat="false" ht="12.8" hidden="false" customHeight="true" outlineLevel="0" collapsed="false">
      <c r="M2478" s="8"/>
    </row>
    <row r="2479" customFormat="false" ht="12.8" hidden="false" customHeight="true" outlineLevel="0" collapsed="false">
      <c r="M2479" s="8"/>
    </row>
    <row r="2480" customFormat="false" ht="12.8" hidden="false" customHeight="true" outlineLevel="0" collapsed="false">
      <c r="M2480" s="8"/>
    </row>
    <row r="2481" customFormat="false" ht="12.8" hidden="false" customHeight="true" outlineLevel="0" collapsed="false">
      <c r="M2481" s="8"/>
    </row>
    <row r="2482" customFormat="false" ht="12.8" hidden="false" customHeight="true" outlineLevel="0" collapsed="false">
      <c r="M2482" s="8"/>
    </row>
    <row r="2483" customFormat="false" ht="12.8" hidden="false" customHeight="true" outlineLevel="0" collapsed="false">
      <c r="M2483" s="8"/>
    </row>
    <row r="2484" customFormat="false" ht="12.8" hidden="false" customHeight="true" outlineLevel="0" collapsed="false">
      <c r="M2484" s="8"/>
    </row>
    <row r="2485" customFormat="false" ht="12.8" hidden="false" customHeight="true" outlineLevel="0" collapsed="false">
      <c r="M2485" s="8"/>
    </row>
    <row r="2486" customFormat="false" ht="12.8" hidden="false" customHeight="true" outlineLevel="0" collapsed="false">
      <c r="M2486" s="8"/>
    </row>
    <row r="2487" customFormat="false" ht="12.8" hidden="false" customHeight="true" outlineLevel="0" collapsed="false">
      <c r="M2487" s="8"/>
    </row>
    <row r="2488" customFormat="false" ht="12.8" hidden="false" customHeight="true" outlineLevel="0" collapsed="false">
      <c r="M2488" s="8"/>
    </row>
    <row r="2489" customFormat="false" ht="12.8" hidden="false" customHeight="true" outlineLevel="0" collapsed="false">
      <c r="M2489" s="8"/>
    </row>
    <row r="2490" customFormat="false" ht="12.8" hidden="false" customHeight="true" outlineLevel="0" collapsed="false">
      <c r="M2490" s="8"/>
    </row>
    <row r="2491" customFormat="false" ht="12.8" hidden="false" customHeight="true" outlineLevel="0" collapsed="false">
      <c r="M2491" s="8"/>
    </row>
    <row r="2492" customFormat="false" ht="12.8" hidden="false" customHeight="true" outlineLevel="0" collapsed="false">
      <c r="M2492" s="8"/>
    </row>
    <row r="2493" customFormat="false" ht="12.8" hidden="false" customHeight="true" outlineLevel="0" collapsed="false">
      <c r="M2493" s="8"/>
    </row>
    <row r="2494" customFormat="false" ht="12.8" hidden="false" customHeight="true" outlineLevel="0" collapsed="false">
      <c r="M2494" s="8"/>
    </row>
    <row r="2495" customFormat="false" ht="12.8" hidden="false" customHeight="true" outlineLevel="0" collapsed="false">
      <c r="M2495" s="8"/>
    </row>
    <row r="2496" customFormat="false" ht="12.8" hidden="false" customHeight="true" outlineLevel="0" collapsed="false">
      <c r="M2496" s="8"/>
    </row>
    <row r="2497" customFormat="false" ht="12.8" hidden="false" customHeight="true" outlineLevel="0" collapsed="false">
      <c r="M2497" s="8"/>
    </row>
    <row r="2498" customFormat="false" ht="12.8" hidden="false" customHeight="true" outlineLevel="0" collapsed="false">
      <c r="M2498" s="8"/>
    </row>
    <row r="2499" customFormat="false" ht="12.8" hidden="false" customHeight="true" outlineLevel="0" collapsed="false">
      <c r="M2499" s="8"/>
    </row>
    <row r="2500" customFormat="false" ht="12.8" hidden="false" customHeight="true" outlineLevel="0" collapsed="false">
      <c r="M2500" s="8"/>
    </row>
    <row r="2501" customFormat="false" ht="12.8" hidden="false" customHeight="true" outlineLevel="0" collapsed="false">
      <c r="M2501" s="8"/>
    </row>
    <row r="2502" customFormat="false" ht="12.8" hidden="false" customHeight="true" outlineLevel="0" collapsed="false">
      <c r="M2502" s="8"/>
    </row>
    <row r="2503" customFormat="false" ht="12.8" hidden="false" customHeight="true" outlineLevel="0" collapsed="false">
      <c r="M2503" s="8"/>
    </row>
    <row r="2504" customFormat="false" ht="12.8" hidden="false" customHeight="true" outlineLevel="0" collapsed="false">
      <c r="M2504" s="8"/>
    </row>
    <row r="2505" customFormat="false" ht="12.8" hidden="false" customHeight="true" outlineLevel="0" collapsed="false">
      <c r="M2505" s="8"/>
    </row>
    <row r="2506" customFormat="false" ht="12.8" hidden="false" customHeight="true" outlineLevel="0" collapsed="false">
      <c r="M2506" s="8"/>
    </row>
    <row r="2507" customFormat="false" ht="12.8" hidden="false" customHeight="true" outlineLevel="0" collapsed="false">
      <c r="M2507" s="8"/>
    </row>
    <row r="2508" customFormat="false" ht="12.8" hidden="false" customHeight="true" outlineLevel="0" collapsed="false">
      <c r="M2508" s="8"/>
    </row>
    <row r="2509" customFormat="false" ht="12.8" hidden="false" customHeight="true" outlineLevel="0" collapsed="false">
      <c r="M2509" s="8"/>
    </row>
    <row r="2510" customFormat="false" ht="12.8" hidden="false" customHeight="true" outlineLevel="0" collapsed="false">
      <c r="M2510" s="8"/>
    </row>
    <row r="2511" customFormat="false" ht="12.8" hidden="false" customHeight="true" outlineLevel="0" collapsed="false">
      <c r="M2511" s="8"/>
    </row>
    <row r="2512" customFormat="false" ht="12.8" hidden="false" customHeight="true" outlineLevel="0" collapsed="false">
      <c r="M2512" s="8"/>
    </row>
    <row r="2513" customFormat="false" ht="12.8" hidden="false" customHeight="true" outlineLevel="0" collapsed="false">
      <c r="M2513" s="8"/>
    </row>
    <row r="2514" customFormat="false" ht="12.8" hidden="false" customHeight="true" outlineLevel="0" collapsed="false">
      <c r="M2514" s="8"/>
    </row>
    <row r="2515" customFormat="false" ht="12.8" hidden="false" customHeight="true" outlineLevel="0" collapsed="false">
      <c r="M2515" s="8"/>
    </row>
    <row r="2516" customFormat="false" ht="12.8" hidden="false" customHeight="true" outlineLevel="0" collapsed="false">
      <c r="M2516" s="8"/>
    </row>
    <row r="2517" customFormat="false" ht="12.8" hidden="false" customHeight="true" outlineLevel="0" collapsed="false">
      <c r="M2517" s="8"/>
    </row>
    <row r="2518" customFormat="false" ht="12.8" hidden="false" customHeight="true" outlineLevel="0" collapsed="false">
      <c r="M2518" s="8"/>
    </row>
    <row r="2519" customFormat="false" ht="12.8" hidden="false" customHeight="true" outlineLevel="0" collapsed="false">
      <c r="M2519" s="8"/>
    </row>
    <row r="2520" customFormat="false" ht="12.8" hidden="false" customHeight="true" outlineLevel="0" collapsed="false">
      <c r="M2520" s="8"/>
    </row>
    <row r="2521" customFormat="false" ht="12.8" hidden="false" customHeight="true" outlineLevel="0" collapsed="false">
      <c r="M2521" s="8"/>
    </row>
    <row r="2522" customFormat="false" ht="12.8" hidden="false" customHeight="true" outlineLevel="0" collapsed="false">
      <c r="M2522" s="8"/>
    </row>
    <row r="2523" customFormat="false" ht="12.8" hidden="false" customHeight="true" outlineLevel="0" collapsed="false">
      <c r="M2523" s="8"/>
    </row>
    <row r="2524" customFormat="false" ht="12.8" hidden="false" customHeight="true" outlineLevel="0" collapsed="false">
      <c r="M2524" s="8"/>
    </row>
    <row r="2525" customFormat="false" ht="12.8" hidden="false" customHeight="true" outlineLevel="0" collapsed="false">
      <c r="M2525" s="8"/>
    </row>
    <row r="2526" customFormat="false" ht="12.8" hidden="false" customHeight="true" outlineLevel="0" collapsed="false">
      <c r="M2526" s="8"/>
    </row>
    <row r="2527" customFormat="false" ht="12.8" hidden="false" customHeight="true" outlineLevel="0" collapsed="false">
      <c r="M2527" s="8"/>
    </row>
    <row r="2528" customFormat="false" ht="12.8" hidden="false" customHeight="true" outlineLevel="0" collapsed="false">
      <c r="M2528" s="8"/>
    </row>
    <row r="2529" customFormat="false" ht="12.8" hidden="false" customHeight="true" outlineLevel="0" collapsed="false">
      <c r="M2529" s="8"/>
    </row>
    <row r="2530" customFormat="false" ht="12.8" hidden="false" customHeight="true" outlineLevel="0" collapsed="false">
      <c r="M2530" s="8"/>
    </row>
    <row r="2531" customFormat="false" ht="12.8" hidden="false" customHeight="true" outlineLevel="0" collapsed="false">
      <c r="M2531" s="8"/>
    </row>
    <row r="2532" customFormat="false" ht="12.8" hidden="false" customHeight="true" outlineLevel="0" collapsed="false">
      <c r="M2532" s="8"/>
    </row>
    <row r="2533" customFormat="false" ht="12.8" hidden="false" customHeight="true" outlineLevel="0" collapsed="false">
      <c r="M2533" s="8"/>
    </row>
    <row r="2534" customFormat="false" ht="12.8" hidden="false" customHeight="true" outlineLevel="0" collapsed="false">
      <c r="M2534" s="8"/>
    </row>
    <row r="2535" customFormat="false" ht="12.8" hidden="false" customHeight="true" outlineLevel="0" collapsed="false">
      <c r="M2535" s="8"/>
    </row>
    <row r="2536" customFormat="false" ht="12.8" hidden="false" customHeight="true" outlineLevel="0" collapsed="false">
      <c r="M2536" s="8"/>
    </row>
    <row r="2537" customFormat="false" ht="12.8" hidden="false" customHeight="true" outlineLevel="0" collapsed="false">
      <c r="M2537" s="8"/>
    </row>
    <row r="2538" customFormat="false" ht="12.8" hidden="false" customHeight="true" outlineLevel="0" collapsed="false">
      <c r="M2538" s="8"/>
    </row>
    <row r="2539" customFormat="false" ht="12.8" hidden="false" customHeight="true" outlineLevel="0" collapsed="false">
      <c r="M2539" s="8"/>
    </row>
    <row r="2540" customFormat="false" ht="12.8" hidden="false" customHeight="true" outlineLevel="0" collapsed="false">
      <c r="M2540" s="8"/>
    </row>
    <row r="2541" customFormat="false" ht="12.8" hidden="false" customHeight="true" outlineLevel="0" collapsed="false">
      <c r="M2541" s="8"/>
    </row>
    <row r="2542" customFormat="false" ht="12.8" hidden="false" customHeight="true" outlineLevel="0" collapsed="false">
      <c r="M2542" s="8"/>
    </row>
    <row r="2543" customFormat="false" ht="12.8" hidden="false" customHeight="true" outlineLevel="0" collapsed="false">
      <c r="M2543" s="8"/>
    </row>
    <row r="2544" customFormat="false" ht="12.8" hidden="false" customHeight="true" outlineLevel="0" collapsed="false">
      <c r="M2544" s="8"/>
    </row>
    <row r="2545" customFormat="false" ht="12.8" hidden="false" customHeight="true" outlineLevel="0" collapsed="false">
      <c r="M2545" s="8"/>
    </row>
    <row r="2546" customFormat="false" ht="12.8" hidden="false" customHeight="true" outlineLevel="0" collapsed="false">
      <c r="M2546" s="8"/>
    </row>
    <row r="2547" customFormat="false" ht="12.8" hidden="false" customHeight="true" outlineLevel="0" collapsed="false">
      <c r="M2547" s="8"/>
    </row>
    <row r="2548" customFormat="false" ht="12.8" hidden="false" customHeight="true" outlineLevel="0" collapsed="false">
      <c r="M2548" s="8"/>
    </row>
    <row r="2549" customFormat="false" ht="12.8" hidden="false" customHeight="true" outlineLevel="0" collapsed="false">
      <c r="M2549" s="8"/>
    </row>
    <row r="2550" customFormat="false" ht="12.8" hidden="false" customHeight="true" outlineLevel="0" collapsed="false">
      <c r="M2550" s="8"/>
    </row>
    <row r="2551" customFormat="false" ht="12.8" hidden="false" customHeight="true" outlineLevel="0" collapsed="false">
      <c r="M2551" s="8"/>
    </row>
    <row r="2552" customFormat="false" ht="12.8" hidden="false" customHeight="true" outlineLevel="0" collapsed="false">
      <c r="M2552" s="8"/>
    </row>
    <row r="2553" customFormat="false" ht="12.8" hidden="false" customHeight="true" outlineLevel="0" collapsed="false">
      <c r="M2553" s="8"/>
    </row>
    <row r="2554" customFormat="false" ht="12.8" hidden="false" customHeight="true" outlineLevel="0" collapsed="false">
      <c r="M2554" s="8"/>
    </row>
    <row r="2555" customFormat="false" ht="12.8" hidden="false" customHeight="true" outlineLevel="0" collapsed="false">
      <c r="M2555" s="8"/>
    </row>
    <row r="2556" customFormat="false" ht="12.8" hidden="false" customHeight="true" outlineLevel="0" collapsed="false">
      <c r="M2556" s="8"/>
    </row>
    <row r="2557" customFormat="false" ht="12.8" hidden="false" customHeight="true" outlineLevel="0" collapsed="false">
      <c r="M2557" s="8"/>
    </row>
    <row r="2558" customFormat="false" ht="12.8" hidden="false" customHeight="true" outlineLevel="0" collapsed="false">
      <c r="M2558" s="8"/>
    </row>
    <row r="2559" customFormat="false" ht="12.8" hidden="false" customHeight="true" outlineLevel="0" collapsed="false">
      <c r="M2559" s="8"/>
    </row>
    <row r="2560" customFormat="false" ht="12.8" hidden="false" customHeight="true" outlineLevel="0" collapsed="false">
      <c r="M2560" s="8"/>
    </row>
    <row r="2561" customFormat="false" ht="12.8" hidden="false" customHeight="true" outlineLevel="0" collapsed="false">
      <c r="M2561" s="8"/>
    </row>
    <row r="2562" customFormat="false" ht="12.8" hidden="false" customHeight="true" outlineLevel="0" collapsed="false">
      <c r="M2562" s="8"/>
    </row>
    <row r="2563" customFormat="false" ht="12.8" hidden="false" customHeight="true" outlineLevel="0" collapsed="false">
      <c r="M2563" s="8"/>
    </row>
    <row r="2564" customFormat="false" ht="12.8" hidden="false" customHeight="true" outlineLevel="0" collapsed="false">
      <c r="M2564" s="8"/>
    </row>
    <row r="2565" customFormat="false" ht="12.8" hidden="false" customHeight="true" outlineLevel="0" collapsed="false">
      <c r="M2565" s="8"/>
    </row>
    <row r="2566" customFormat="false" ht="12.8" hidden="false" customHeight="true" outlineLevel="0" collapsed="false">
      <c r="M2566" s="8"/>
    </row>
    <row r="2567" customFormat="false" ht="12.8" hidden="false" customHeight="true" outlineLevel="0" collapsed="false">
      <c r="M2567" s="8"/>
    </row>
    <row r="2568" customFormat="false" ht="12.8" hidden="false" customHeight="true" outlineLevel="0" collapsed="false">
      <c r="M2568" s="8"/>
    </row>
    <row r="2569" customFormat="false" ht="12.8" hidden="false" customHeight="true" outlineLevel="0" collapsed="false">
      <c r="M2569" s="8"/>
    </row>
    <row r="2570" customFormat="false" ht="12.8" hidden="false" customHeight="true" outlineLevel="0" collapsed="false">
      <c r="M2570" s="8"/>
    </row>
    <row r="2571" customFormat="false" ht="12.8" hidden="false" customHeight="true" outlineLevel="0" collapsed="false">
      <c r="M2571" s="8"/>
    </row>
    <row r="2572" customFormat="false" ht="12.8" hidden="false" customHeight="true" outlineLevel="0" collapsed="false">
      <c r="M2572" s="8"/>
    </row>
    <row r="2573" customFormat="false" ht="12.8" hidden="false" customHeight="true" outlineLevel="0" collapsed="false">
      <c r="M2573" s="8"/>
    </row>
    <row r="2574" customFormat="false" ht="12.8" hidden="false" customHeight="true" outlineLevel="0" collapsed="false">
      <c r="M2574" s="8"/>
    </row>
    <row r="2575" customFormat="false" ht="12.8" hidden="false" customHeight="true" outlineLevel="0" collapsed="false">
      <c r="M2575" s="8"/>
    </row>
    <row r="2576" customFormat="false" ht="12.8" hidden="false" customHeight="true" outlineLevel="0" collapsed="false">
      <c r="M2576" s="8"/>
    </row>
    <row r="2577" customFormat="false" ht="12.8" hidden="false" customHeight="true" outlineLevel="0" collapsed="false">
      <c r="M2577" s="8"/>
    </row>
    <row r="2578" customFormat="false" ht="12.8" hidden="false" customHeight="true" outlineLevel="0" collapsed="false">
      <c r="M2578" s="8"/>
    </row>
    <row r="2579" customFormat="false" ht="12.8" hidden="false" customHeight="true" outlineLevel="0" collapsed="false">
      <c r="M2579" s="8"/>
    </row>
    <row r="2580" customFormat="false" ht="12.8" hidden="false" customHeight="true" outlineLevel="0" collapsed="false">
      <c r="M2580" s="8"/>
    </row>
    <row r="2581" customFormat="false" ht="12.8" hidden="false" customHeight="true" outlineLevel="0" collapsed="false">
      <c r="M2581" s="8"/>
    </row>
    <row r="2582" customFormat="false" ht="12.8" hidden="false" customHeight="true" outlineLevel="0" collapsed="false">
      <c r="M2582" s="8"/>
    </row>
    <row r="2583" customFormat="false" ht="12.8" hidden="false" customHeight="true" outlineLevel="0" collapsed="false">
      <c r="M2583" s="8"/>
    </row>
    <row r="2584" customFormat="false" ht="12.8" hidden="false" customHeight="true" outlineLevel="0" collapsed="false">
      <c r="M2584" s="8"/>
    </row>
    <row r="2585" customFormat="false" ht="12.8" hidden="false" customHeight="true" outlineLevel="0" collapsed="false">
      <c r="M2585" s="8"/>
    </row>
    <row r="2586" customFormat="false" ht="12.8" hidden="false" customHeight="true" outlineLevel="0" collapsed="false">
      <c r="M2586" s="8"/>
    </row>
    <row r="2587" customFormat="false" ht="12.8" hidden="false" customHeight="true" outlineLevel="0" collapsed="false">
      <c r="M2587" s="8"/>
    </row>
    <row r="2588" customFormat="false" ht="12.8" hidden="false" customHeight="true" outlineLevel="0" collapsed="false">
      <c r="M2588" s="8"/>
    </row>
    <row r="2589" customFormat="false" ht="12.8" hidden="false" customHeight="true" outlineLevel="0" collapsed="false">
      <c r="M2589" s="8"/>
    </row>
    <row r="2590" customFormat="false" ht="12.8" hidden="false" customHeight="true" outlineLevel="0" collapsed="false">
      <c r="M2590" s="8"/>
    </row>
    <row r="2591" customFormat="false" ht="12.8" hidden="false" customHeight="true" outlineLevel="0" collapsed="false">
      <c r="M2591" s="8"/>
    </row>
    <row r="2592" customFormat="false" ht="12.8" hidden="false" customHeight="true" outlineLevel="0" collapsed="false">
      <c r="M2592" s="8"/>
    </row>
    <row r="2593" customFormat="false" ht="12.8" hidden="false" customHeight="true" outlineLevel="0" collapsed="false">
      <c r="M2593" s="8"/>
    </row>
    <row r="2594" customFormat="false" ht="12.8" hidden="false" customHeight="true" outlineLevel="0" collapsed="false">
      <c r="M2594" s="8"/>
    </row>
    <row r="2595" customFormat="false" ht="12.8" hidden="false" customHeight="true" outlineLevel="0" collapsed="false">
      <c r="M2595" s="8"/>
    </row>
    <row r="2596" customFormat="false" ht="12.8" hidden="false" customHeight="true" outlineLevel="0" collapsed="false">
      <c r="M2596" s="8"/>
    </row>
    <row r="2597" customFormat="false" ht="12.8" hidden="false" customHeight="true" outlineLevel="0" collapsed="false">
      <c r="M2597" s="8"/>
    </row>
    <row r="2598" customFormat="false" ht="12.8" hidden="false" customHeight="true" outlineLevel="0" collapsed="false">
      <c r="M2598" s="8"/>
    </row>
    <row r="2599" customFormat="false" ht="12.8" hidden="false" customHeight="true" outlineLevel="0" collapsed="false">
      <c r="M2599" s="8"/>
    </row>
    <row r="2600" customFormat="false" ht="12.8" hidden="false" customHeight="true" outlineLevel="0" collapsed="false">
      <c r="M2600" s="8"/>
    </row>
    <row r="2601" customFormat="false" ht="12.8" hidden="false" customHeight="true" outlineLevel="0" collapsed="false">
      <c r="M2601" s="8"/>
    </row>
    <row r="2602" customFormat="false" ht="12.8" hidden="false" customHeight="true" outlineLevel="0" collapsed="false">
      <c r="M2602" s="8"/>
    </row>
    <row r="2603" customFormat="false" ht="12.8" hidden="false" customHeight="true" outlineLevel="0" collapsed="false">
      <c r="M2603" s="8"/>
    </row>
    <row r="2604" customFormat="false" ht="12.8" hidden="false" customHeight="true" outlineLevel="0" collapsed="false">
      <c r="M2604" s="8"/>
    </row>
    <row r="2605" customFormat="false" ht="12.8" hidden="false" customHeight="true" outlineLevel="0" collapsed="false">
      <c r="M2605" s="8"/>
    </row>
    <row r="2606" customFormat="false" ht="12.8" hidden="false" customHeight="true" outlineLevel="0" collapsed="false">
      <c r="M2606" s="8"/>
    </row>
    <row r="2607" customFormat="false" ht="12.8" hidden="false" customHeight="true" outlineLevel="0" collapsed="false">
      <c r="M2607" s="8"/>
    </row>
    <row r="2608" customFormat="false" ht="12.8" hidden="false" customHeight="true" outlineLevel="0" collapsed="false">
      <c r="M2608" s="8"/>
    </row>
    <row r="2609" customFormat="false" ht="12.8" hidden="false" customHeight="true" outlineLevel="0" collapsed="false">
      <c r="M2609" s="8"/>
    </row>
    <row r="2610" customFormat="false" ht="12.8" hidden="false" customHeight="true" outlineLevel="0" collapsed="false">
      <c r="M2610" s="8"/>
    </row>
    <row r="2611" customFormat="false" ht="12.8" hidden="false" customHeight="true" outlineLevel="0" collapsed="false">
      <c r="M2611" s="8"/>
    </row>
    <row r="2612" customFormat="false" ht="12.8" hidden="false" customHeight="true" outlineLevel="0" collapsed="false">
      <c r="M2612" s="8"/>
    </row>
    <row r="2613" customFormat="false" ht="12.8" hidden="false" customHeight="true" outlineLevel="0" collapsed="false">
      <c r="M2613" s="8"/>
    </row>
    <row r="2614" customFormat="false" ht="12.8" hidden="false" customHeight="true" outlineLevel="0" collapsed="false">
      <c r="M2614" s="8"/>
    </row>
    <row r="2615" customFormat="false" ht="12.8" hidden="false" customHeight="true" outlineLevel="0" collapsed="false">
      <c r="M2615" s="8"/>
    </row>
    <row r="2616" customFormat="false" ht="12.8" hidden="false" customHeight="true" outlineLevel="0" collapsed="false">
      <c r="M2616" s="8"/>
    </row>
    <row r="2617" customFormat="false" ht="12.8" hidden="false" customHeight="true" outlineLevel="0" collapsed="false">
      <c r="M2617" s="8"/>
    </row>
    <row r="2618" customFormat="false" ht="12.8" hidden="false" customHeight="true" outlineLevel="0" collapsed="false">
      <c r="M2618" s="8"/>
    </row>
    <row r="2619" customFormat="false" ht="12.8" hidden="false" customHeight="true" outlineLevel="0" collapsed="false">
      <c r="M2619" s="8"/>
    </row>
    <row r="2620" customFormat="false" ht="12.8" hidden="false" customHeight="true" outlineLevel="0" collapsed="false">
      <c r="M2620" s="8"/>
    </row>
    <row r="2621" customFormat="false" ht="12.8" hidden="false" customHeight="true" outlineLevel="0" collapsed="false">
      <c r="M2621" s="8"/>
    </row>
    <row r="2622" customFormat="false" ht="12.8" hidden="false" customHeight="true" outlineLevel="0" collapsed="false">
      <c r="M2622" s="8"/>
    </row>
    <row r="2623" customFormat="false" ht="12.8" hidden="false" customHeight="true" outlineLevel="0" collapsed="false">
      <c r="M2623" s="8"/>
    </row>
    <row r="2624" customFormat="false" ht="12.8" hidden="false" customHeight="true" outlineLevel="0" collapsed="false">
      <c r="M2624" s="8"/>
    </row>
    <row r="2625" customFormat="false" ht="12.8" hidden="false" customHeight="true" outlineLevel="0" collapsed="false">
      <c r="M2625" s="8"/>
    </row>
    <row r="2626" customFormat="false" ht="12.8" hidden="false" customHeight="true" outlineLevel="0" collapsed="false">
      <c r="M2626" s="8"/>
    </row>
    <row r="2627" customFormat="false" ht="12.8" hidden="false" customHeight="true" outlineLevel="0" collapsed="false">
      <c r="M2627" s="8"/>
    </row>
    <row r="2628" customFormat="false" ht="12.8" hidden="false" customHeight="true" outlineLevel="0" collapsed="false">
      <c r="M2628" s="8"/>
    </row>
    <row r="2629" customFormat="false" ht="12.8" hidden="false" customHeight="true" outlineLevel="0" collapsed="false">
      <c r="M2629" s="8"/>
    </row>
    <row r="2630" customFormat="false" ht="12.8" hidden="false" customHeight="true" outlineLevel="0" collapsed="false">
      <c r="M2630" s="8"/>
    </row>
    <row r="2631" customFormat="false" ht="12.8" hidden="false" customHeight="true" outlineLevel="0" collapsed="false">
      <c r="M2631" s="8"/>
    </row>
    <row r="2632" customFormat="false" ht="12.8" hidden="false" customHeight="true" outlineLevel="0" collapsed="false">
      <c r="M2632" s="8"/>
    </row>
    <row r="2633" customFormat="false" ht="12.8" hidden="false" customHeight="true" outlineLevel="0" collapsed="false">
      <c r="M2633" s="8"/>
    </row>
    <row r="2634" customFormat="false" ht="12.8" hidden="false" customHeight="true" outlineLevel="0" collapsed="false">
      <c r="M2634" s="8"/>
    </row>
    <row r="2635" customFormat="false" ht="12.8" hidden="false" customHeight="true" outlineLevel="0" collapsed="false">
      <c r="M2635" s="8"/>
    </row>
    <row r="2636" customFormat="false" ht="12.8" hidden="false" customHeight="true" outlineLevel="0" collapsed="false">
      <c r="M2636" s="8"/>
    </row>
    <row r="2637" customFormat="false" ht="12.8" hidden="false" customHeight="true" outlineLevel="0" collapsed="false">
      <c r="M2637" s="8"/>
    </row>
    <row r="2638" customFormat="false" ht="12.8" hidden="false" customHeight="true" outlineLevel="0" collapsed="false">
      <c r="M2638" s="8"/>
    </row>
    <row r="2639" customFormat="false" ht="12.8" hidden="false" customHeight="true" outlineLevel="0" collapsed="false">
      <c r="M2639" s="8"/>
    </row>
    <row r="2640" customFormat="false" ht="12.8" hidden="false" customHeight="true" outlineLevel="0" collapsed="false">
      <c r="M2640" s="8"/>
    </row>
    <row r="2641" customFormat="false" ht="12.8" hidden="false" customHeight="true" outlineLevel="0" collapsed="false">
      <c r="M2641" s="8"/>
    </row>
    <row r="2642" customFormat="false" ht="12.8" hidden="false" customHeight="true" outlineLevel="0" collapsed="false">
      <c r="M2642" s="8"/>
    </row>
    <row r="2643" customFormat="false" ht="12.8" hidden="false" customHeight="true" outlineLevel="0" collapsed="false">
      <c r="M2643" s="8"/>
    </row>
    <row r="2644" customFormat="false" ht="12.8" hidden="false" customHeight="true" outlineLevel="0" collapsed="false">
      <c r="M2644" s="8"/>
    </row>
    <row r="2645" customFormat="false" ht="12.8" hidden="false" customHeight="true" outlineLevel="0" collapsed="false">
      <c r="M2645" s="8"/>
    </row>
    <row r="2646" customFormat="false" ht="12.8" hidden="false" customHeight="true" outlineLevel="0" collapsed="false">
      <c r="M2646" s="8"/>
    </row>
    <row r="2647" customFormat="false" ht="12.8" hidden="false" customHeight="true" outlineLevel="0" collapsed="false">
      <c r="M2647" s="8"/>
    </row>
    <row r="2648" customFormat="false" ht="12.8" hidden="false" customHeight="true" outlineLevel="0" collapsed="false">
      <c r="M2648" s="8"/>
    </row>
    <row r="2649" customFormat="false" ht="12.8" hidden="false" customHeight="true" outlineLevel="0" collapsed="false">
      <c r="M2649" s="8"/>
    </row>
    <row r="2650" customFormat="false" ht="12.8" hidden="false" customHeight="true" outlineLevel="0" collapsed="false">
      <c r="M2650" s="8"/>
    </row>
    <row r="2651" customFormat="false" ht="12.8" hidden="false" customHeight="true" outlineLevel="0" collapsed="false">
      <c r="M2651" s="8"/>
    </row>
    <row r="2652" customFormat="false" ht="12.8" hidden="false" customHeight="true" outlineLevel="0" collapsed="false">
      <c r="M2652" s="8"/>
    </row>
    <row r="2653" customFormat="false" ht="12.8" hidden="false" customHeight="true" outlineLevel="0" collapsed="false">
      <c r="M2653" s="8"/>
    </row>
    <row r="2654" customFormat="false" ht="12.8" hidden="false" customHeight="true" outlineLevel="0" collapsed="false">
      <c r="M2654" s="8"/>
    </row>
    <row r="2655" customFormat="false" ht="12.8" hidden="false" customHeight="true" outlineLevel="0" collapsed="false">
      <c r="M2655" s="8"/>
    </row>
    <row r="2656" customFormat="false" ht="12.8" hidden="false" customHeight="true" outlineLevel="0" collapsed="false">
      <c r="M2656" s="8"/>
    </row>
    <row r="2657" customFormat="false" ht="12.8" hidden="false" customHeight="true" outlineLevel="0" collapsed="false">
      <c r="M2657" s="8"/>
    </row>
    <row r="2658" customFormat="false" ht="12.8" hidden="false" customHeight="true" outlineLevel="0" collapsed="false">
      <c r="M2658" s="8"/>
    </row>
    <row r="2659" customFormat="false" ht="12.8" hidden="false" customHeight="true" outlineLevel="0" collapsed="false">
      <c r="M2659" s="8"/>
    </row>
    <row r="2660" customFormat="false" ht="12.8" hidden="false" customHeight="true" outlineLevel="0" collapsed="false">
      <c r="M2660" s="8"/>
    </row>
    <row r="2661" customFormat="false" ht="12.8" hidden="false" customHeight="true" outlineLevel="0" collapsed="false">
      <c r="M2661" s="8"/>
    </row>
    <row r="2662" customFormat="false" ht="12.8" hidden="false" customHeight="true" outlineLevel="0" collapsed="false">
      <c r="M2662" s="8"/>
    </row>
    <row r="2663" customFormat="false" ht="12.8" hidden="false" customHeight="true" outlineLevel="0" collapsed="false">
      <c r="M2663" s="8"/>
    </row>
    <row r="2664" customFormat="false" ht="12.8" hidden="false" customHeight="true" outlineLevel="0" collapsed="false">
      <c r="M2664" s="8"/>
    </row>
    <row r="2665" customFormat="false" ht="12.8" hidden="false" customHeight="true" outlineLevel="0" collapsed="false">
      <c r="M2665" s="8"/>
    </row>
    <row r="2666" customFormat="false" ht="12.8" hidden="false" customHeight="true" outlineLevel="0" collapsed="false">
      <c r="M2666" s="8"/>
    </row>
    <row r="2667" customFormat="false" ht="12.8" hidden="false" customHeight="true" outlineLevel="0" collapsed="false">
      <c r="M2667" s="8"/>
    </row>
    <row r="2668" customFormat="false" ht="12.8" hidden="false" customHeight="true" outlineLevel="0" collapsed="false">
      <c r="M2668" s="8"/>
    </row>
    <row r="2669" customFormat="false" ht="12.8" hidden="false" customHeight="true" outlineLevel="0" collapsed="false">
      <c r="M2669" s="8"/>
    </row>
    <row r="2670" customFormat="false" ht="12.8" hidden="false" customHeight="true" outlineLevel="0" collapsed="false">
      <c r="M2670" s="8"/>
    </row>
    <row r="2671" customFormat="false" ht="12.8" hidden="false" customHeight="true" outlineLevel="0" collapsed="false">
      <c r="M2671" s="8"/>
    </row>
    <row r="2672" customFormat="false" ht="12.8" hidden="false" customHeight="true" outlineLevel="0" collapsed="false">
      <c r="M2672" s="8"/>
    </row>
    <row r="2673" customFormat="false" ht="12.8" hidden="false" customHeight="true" outlineLevel="0" collapsed="false">
      <c r="M2673" s="8"/>
    </row>
    <row r="2674" customFormat="false" ht="12.8" hidden="false" customHeight="true" outlineLevel="0" collapsed="false">
      <c r="M2674" s="8"/>
    </row>
    <row r="2675" customFormat="false" ht="12.8" hidden="false" customHeight="true" outlineLevel="0" collapsed="false">
      <c r="M2675" s="8"/>
    </row>
    <row r="2676" customFormat="false" ht="12.8" hidden="false" customHeight="true" outlineLevel="0" collapsed="false">
      <c r="M2676" s="8"/>
    </row>
    <row r="2677" customFormat="false" ht="12.8" hidden="false" customHeight="true" outlineLevel="0" collapsed="false">
      <c r="M2677" s="8"/>
    </row>
    <row r="2678" customFormat="false" ht="12.8" hidden="false" customHeight="true" outlineLevel="0" collapsed="false">
      <c r="M2678" s="8"/>
    </row>
    <row r="2679" customFormat="false" ht="12.8" hidden="false" customHeight="true" outlineLevel="0" collapsed="false">
      <c r="M2679" s="8"/>
    </row>
    <row r="2680" customFormat="false" ht="12.8" hidden="false" customHeight="true" outlineLevel="0" collapsed="false">
      <c r="M2680" s="8"/>
    </row>
    <row r="2681" customFormat="false" ht="12.8" hidden="false" customHeight="true" outlineLevel="0" collapsed="false">
      <c r="M2681" s="8"/>
    </row>
    <row r="2682" customFormat="false" ht="12.8" hidden="false" customHeight="true" outlineLevel="0" collapsed="false">
      <c r="M2682" s="8"/>
    </row>
    <row r="2683" customFormat="false" ht="12.8" hidden="false" customHeight="true" outlineLevel="0" collapsed="false">
      <c r="M2683" s="8"/>
    </row>
    <row r="2684" customFormat="false" ht="12.8" hidden="false" customHeight="true" outlineLevel="0" collapsed="false">
      <c r="M2684" s="8"/>
    </row>
    <row r="2685" customFormat="false" ht="12.8" hidden="false" customHeight="true" outlineLevel="0" collapsed="false">
      <c r="M2685" s="8"/>
    </row>
    <row r="2686" customFormat="false" ht="12.8" hidden="false" customHeight="true" outlineLevel="0" collapsed="false">
      <c r="M2686" s="8"/>
    </row>
    <row r="2687" customFormat="false" ht="12.8" hidden="false" customHeight="true" outlineLevel="0" collapsed="false">
      <c r="M2687" s="8"/>
    </row>
    <row r="2688" customFormat="false" ht="12.8" hidden="false" customHeight="true" outlineLevel="0" collapsed="false">
      <c r="M2688" s="8"/>
    </row>
    <row r="2689" customFormat="false" ht="12.8" hidden="false" customHeight="true" outlineLevel="0" collapsed="false">
      <c r="M2689" s="8"/>
    </row>
    <row r="2690" customFormat="false" ht="12.8" hidden="false" customHeight="true" outlineLevel="0" collapsed="false">
      <c r="M2690" s="8"/>
    </row>
    <row r="2691" customFormat="false" ht="12.8" hidden="false" customHeight="true" outlineLevel="0" collapsed="false">
      <c r="M2691" s="8"/>
    </row>
    <row r="2692" customFormat="false" ht="12.8" hidden="false" customHeight="true" outlineLevel="0" collapsed="false">
      <c r="M2692" s="8"/>
    </row>
    <row r="2693" customFormat="false" ht="12.8" hidden="false" customHeight="true" outlineLevel="0" collapsed="false">
      <c r="M2693" s="8"/>
    </row>
    <row r="2694" customFormat="false" ht="12.8" hidden="false" customHeight="true" outlineLevel="0" collapsed="false">
      <c r="M2694" s="8"/>
    </row>
    <row r="2695" customFormat="false" ht="12.8" hidden="false" customHeight="true" outlineLevel="0" collapsed="false">
      <c r="M2695" s="8"/>
    </row>
    <row r="2696" customFormat="false" ht="12.8" hidden="false" customHeight="true" outlineLevel="0" collapsed="false">
      <c r="M2696" s="8"/>
    </row>
    <row r="2697" customFormat="false" ht="12.8" hidden="false" customHeight="true" outlineLevel="0" collapsed="false">
      <c r="M2697" s="8"/>
    </row>
    <row r="2698" customFormat="false" ht="12.8" hidden="false" customHeight="true" outlineLevel="0" collapsed="false">
      <c r="M2698" s="8"/>
    </row>
    <row r="2699" customFormat="false" ht="12.8" hidden="false" customHeight="true" outlineLevel="0" collapsed="false">
      <c r="M2699" s="8"/>
    </row>
    <row r="2700" customFormat="false" ht="12.8" hidden="false" customHeight="true" outlineLevel="0" collapsed="false">
      <c r="M2700" s="8"/>
    </row>
    <row r="2701" customFormat="false" ht="12.8" hidden="false" customHeight="true" outlineLevel="0" collapsed="false">
      <c r="M2701" s="8"/>
    </row>
    <row r="2702" customFormat="false" ht="12.8" hidden="false" customHeight="true" outlineLevel="0" collapsed="false">
      <c r="M2702" s="8"/>
    </row>
    <row r="2703" customFormat="false" ht="12.8" hidden="false" customHeight="true" outlineLevel="0" collapsed="false">
      <c r="M2703" s="8"/>
    </row>
    <row r="2704" customFormat="false" ht="12.8" hidden="false" customHeight="true" outlineLevel="0" collapsed="false">
      <c r="M2704" s="8"/>
    </row>
    <row r="2705" customFormat="false" ht="12.8" hidden="false" customHeight="true" outlineLevel="0" collapsed="false">
      <c r="M2705" s="8"/>
    </row>
    <row r="2706" customFormat="false" ht="12.8" hidden="false" customHeight="true" outlineLevel="0" collapsed="false">
      <c r="M2706" s="8"/>
    </row>
    <row r="2707" customFormat="false" ht="12.8" hidden="false" customHeight="true" outlineLevel="0" collapsed="false">
      <c r="M2707" s="8"/>
    </row>
    <row r="2708" customFormat="false" ht="12.8" hidden="false" customHeight="true" outlineLevel="0" collapsed="false">
      <c r="M2708" s="8"/>
    </row>
    <row r="2709" customFormat="false" ht="12.8" hidden="false" customHeight="true" outlineLevel="0" collapsed="false">
      <c r="M2709" s="8"/>
    </row>
    <row r="2710" customFormat="false" ht="12.8" hidden="false" customHeight="true" outlineLevel="0" collapsed="false">
      <c r="M2710" s="8"/>
    </row>
    <row r="2711" customFormat="false" ht="12.8" hidden="false" customHeight="true" outlineLevel="0" collapsed="false">
      <c r="M2711" s="8"/>
    </row>
    <row r="2712" customFormat="false" ht="12.8" hidden="false" customHeight="true" outlineLevel="0" collapsed="false">
      <c r="M2712" s="8"/>
    </row>
    <row r="2713" customFormat="false" ht="12.8" hidden="false" customHeight="true" outlineLevel="0" collapsed="false">
      <c r="M2713" s="8"/>
    </row>
    <row r="2714" customFormat="false" ht="12.8" hidden="false" customHeight="true" outlineLevel="0" collapsed="false">
      <c r="M2714" s="8"/>
    </row>
    <row r="2715" customFormat="false" ht="12.8" hidden="false" customHeight="true" outlineLevel="0" collapsed="false">
      <c r="M2715" s="8"/>
    </row>
    <row r="2716" customFormat="false" ht="12.8" hidden="false" customHeight="true" outlineLevel="0" collapsed="false">
      <c r="M2716" s="8"/>
    </row>
    <row r="2717" customFormat="false" ht="12.8" hidden="false" customHeight="true" outlineLevel="0" collapsed="false">
      <c r="M2717" s="8"/>
    </row>
    <row r="2718" customFormat="false" ht="12.8" hidden="false" customHeight="true" outlineLevel="0" collapsed="false">
      <c r="M2718" s="8"/>
    </row>
    <row r="2719" customFormat="false" ht="12.8" hidden="false" customHeight="true" outlineLevel="0" collapsed="false">
      <c r="M2719" s="8"/>
    </row>
    <row r="2720" customFormat="false" ht="12.8" hidden="false" customHeight="true" outlineLevel="0" collapsed="false">
      <c r="M2720" s="8"/>
    </row>
    <row r="2721" customFormat="false" ht="12.8" hidden="false" customHeight="true" outlineLevel="0" collapsed="false">
      <c r="M2721" s="8"/>
    </row>
    <row r="2722" customFormat="false" ht="12.8" hidden="false" customHeight="true" outlineLevel="0" collapsed="false">
      <c r="M2722" s="8"/>
    </row>
    <row r="2723" customFormat="false" ht="12.8" hidden="false" customHeight="true" outlineLevel="0" collapsed="false">
      <c r="M2723" s="8"/>
    </row>
    <row r="2724" customFormat="false" ht="12.8" hidden="false" customHeight="true" outlineLevel="0" collapsed="false">
      <c r="M2724" s="8"/>
    </row>
    <row r="2725" customFormat="false" ht="12.8" hidden="false" customHeight="true" outlineLevel="0" collapsed="false">
      <c r="M2725" s="8"/>
    </row>
    <row r="2726" customFormat="false" ht="12.8" hidden="false" customHeight="true" outlineLevel="0" collapsed="false">
      <c r="M2726" s="8"/>
    </row>
    <row r="2727" customFormat="false" ht="12.8" hidden="false" customHeight="true" outlineLevel="0" collapsed="false">
      <c r="M2727" s="8"/>
    </row>
    <row r="2728" customFormat="false" ht="12.8" hidden="false" customHeight="true" outlineLevel="0" collapsed="false">
      <c r="M2728" s="8"/>
    </row>
    <row r="2729" customFormat="false" ht="12.8" hidden="false" customHeight="true" outlineLevel="0" collapsed="false">
      <c r="M2729" s="8"/>
    </row>
    <row r="2730" customFormat="false" ht="12.8" hidden="false" customHeight="true" outlineLevel="0" collapsed="false">
      <c r="M2730" s="8"/>
    </row>
    <row r="2731" customFormat="false" ht="12.8" hidden="false" customHeight="true" outlineLevel="0" collapsed="false">
      <c r="M2731" s="8"/>
    </row>
    <row r="2732" customFormat="false" ht="12.8" hidden="false" customHeight="true" outlineLevel="0" collapsed="false">
      <c r="M2732" s="8"/>
    </row>
    <row r="2733" customFormat="false" ht="12.8" hidden="false" customHeight="true" outlineLevel="0" collapsed="false">
      <c r="M2733" s="8"/>
    </row>
    <row r="2734" customFormat="false" ht="12.8" hidden="false" customHeight="true" outlineLevel="0" collapsed="false">
      <c r="M2734" s="8"/>
    </row>
    <row r="2735" customFormat="false" ht="12.8" hidden="false" customHeight="true" outlineLevel="0" collapsed="false">
      <c r="M2735" s="8"/>
    </row>
    <row r="2736" customFormat="false" ht="12.8" hidden="false" customHeight="true" outlineLevel="0" collapsed="false">
      <c r="M2736" s="8"/>
    </row>
    <row r="2737" customFormat="false" ht="12.8" hidden="false" customHeight="true" outlineLevel="0" collapsed="false">
      <c r="M2737" s="8"/>
    </row>
    <row r="2738" customFormat="false" ht="12.8" hidden="false" customHeight="true" outlineLevel="0" collapsed="false">
      <c r="M2738" s="8"/>
    </row>
    <row r="2739" customFormat="false" ht="12.8" hidden="false" customHeight="true" outlineLevel="0" collapsed="false">
      <c r="M2739" s="8"/>
    </row>
    <row r="2740" customFormat="false" ht="12.8" hidden="false" customHeight="true" outlineLevel="0" collapsed="false">
      <c r="M2740" s="8"/>
    </row>
    <row r="2741" customFormat="false" ht="12.8" hidden="false" customHeight="true" outlineLevel="0" collapsed="false">
      <c r="M2741" s="8"/>
    </row>
    <row r="2742" customFormat="false" ht="12.8" hidden="false" customHeight="true" outlineLevel="0" collapsed="false">
      <c r="M2742" s="8"/>
    </row>
    <row r="2743" customFormat="false" ht="12.8" hidden="false" customHeight="true" outlineLevel="0" collapsed="false">
      <c r="M2743" s="8"/>
    </row>
    <row r="2744" customFormat="false" ht="12.8" hidden="false" customHeight="true" outlineLevel="0" collapsed="false">
      <c r="M2744" s="8"/>
    </row>
    <row r="2745" customFormat="false" ht="12.8" hidden="false" customHeight="true" outlineLevel="0" collapsed="false">
      <c r="M2745" s="8"/>
    </row>
    <row r="2746" customFormat="false" ht="12.8" hidden="false" customHeight="true" outlineLevel="0" collapsed="false">
      <c r="M2746" s="8"/>
    </row>
    <row r="2747" customFormat="false" ht="12.8" hidden="false" customHeight="true" outlineLevel="0" collapsed="false">
      <c r="M2747" s="8"/>
    </row>
    <row r="2748" customFormat="false" ht="12.8" hidden="false" customHeight="true" outlineLevel="0" collapsed="false">
      <c r="M2748" s="8"/>
    </row>
    <row r="2749" customFormat="false" ht="12.8" hidden="false" customHeight="true" outlineLevel="0" collapsed="false">
      <c r="M2749" s="8"/>
    </row>
    <row r="2750" customFormat="false" ht="12.8" hidden="false" customHeight="true" outlineLevel="0" collapsed="false">
      <c r="M2750" s="8"/>
    </row>
    <row r="2751" customFormat="false" ht="12.8" hidden="false" customHeight="true" outlineLevel="0" collapsed="false">
      <c r="M2751" s="8"/>
    </row>
    <row r="2752" customFormat="false" ht="12.8" hidden="false" customHeight="true" outlineLevel="0" collapsed="false">
      <c r="M2752" s="8"/>
    </row>
    <row r="2753" customFormat="false" ht="12.8" hidden="false" customHeight="true" outlineLevel="0" collapsed="false">
      <c r="M2753" s="8"/>
    </row>
    <row r="2754" customFormat="false" ht="12.8" hidden="false" customHeight="true" outlineLevel="0" collapsed="false">
      <c r="M2754" s="8"/>
    </row>
    <row r="2755" customFormat="false" ht="12.8" hidden="false" customHeight="true" outlineLevel="0" collapsed="false">
      <c r="M2755" s="8"/>
    </row>
    <row r="2756" customFormat="false" ht="12.8" hidden="false" customHeight="true" outlineLevel="0" collapsed="false">
      <c r="M2756" s="8"/>
    </row>
    <row r="2757" customFormat="false" ht="12.8" hidden="false" customHeight="true" outlineLevel="0" collapsed="false">
      <c r="M2757" s="8"/>
    </row>
    <row r="2758" customFormat="false" ht="12.8" hidden="false" customHeight="true" outlineLevel="0" collapsed="false">
      <c r="M2758" s="8"/>
    </row>
    <row r="2759" customFormat="false" ht="12.8" hidden="false" customHeight="true" outlineLevel="0" collapsed="false">
      <c r="M2759" s="8"/>
    </row>
    <row r="2760" customFormat="false" ht="12.8" hidden="false" customHeight="true" outlineLevel="0" collapsed="false">
      <c r="M2760" s="8"/>
    </row>
    <row r="2761" customFormat="false" ht="12.8" hidden="false" customHeight="true" outlineLevel="0" collapsed="false">
      <c r="M2761" s="8"/>
    </row>
    <row r="2762" customFormat="false" ht="12.8" hidden="false" customHeight="true" outlineLevel="0" collapsed="false">
      <c r="M2762" s="8"/>
    </row>
    <row r="2763" customFormat="false" ht="12.8" hidden="false" customHeight="true" outlineLevel="0" collapsed="false">
      <c r="M2763" s="8"/>
    </row>
    <row r="2764" customFormat="false" ht="12.8" hidden="false" customHeight="true" outlineLevel="0" collapsed="false">
      <c r="M2764" s="8"/>
    </row>
    <row r="2765" customFormat="false" ht="12.8" hidden="false" customHeight="true" outlineLevel="0" collapsed="false">
      <c r="M2765" s="8"/>
    </row>
    <row r="2766" customFormat="false" ht="12.8" hidden="false" customHeight="true" outlineLevel="0" collapsed="false">
      <c r="M2766" s="8"/>
    </row>
    <row r="2767" customFormat="false" ht="12.8" hidden="false" customHeight="true" outlineLevel="0" collapsed="false">
      <c r="M2767" s="8"/>
    </row>
    <row r="2768" customFormat="false" ht="12.8" hidden="false" customHeight="true" outlineLevel="0" collapsed="false">
      <c r="M2768" s="8"/>
    </row>
    <row r="2769" customFormat="false" ht="12.8" hidden="false" customHeight="true" outlineLevel="0" collapsed="false">
      <c r="M2769" s="8"/>
    </row>
    <row r="2770" customFormat="false" ht="12.8" hidden="false" customHeight="true" outlineLevel="0" collapsed="false">
      <c r="M2770" s="8"/>
    </row>
    <row r="2771" customFormat="false" ht="12.8" hidden="false" customHeight="true" outlineLevel="0" collapsed="false">
      <c r="M2771" s="8"/>
    </row>
    <row r="2772" customFormat="false" ht="12.8" hidden="false" customHeight="true" outlineLevel="0" collapsed="false">
      <c r="M2772" s="8"/>
    </row>
    <row r="2773" customFormat="false" ht="12.8" hidden="false" customHeight="true" outlineLevel="0" collapsed="false">
      <c r="M2773" s="8"/>
    </row>
    <row r="2774" customFormat="false" ht="12.8" hidden="false" customHeight="true" outlineLevel="0" collapsed="false">
      <c r="M2774" s="8"/>
    </row>
    <row r="2775" customFormat="false" ht="12.8" hidden="false" customHeight="true" outlineLevel="0" collapsed="false">
      <c r="M2775" s="8"/>
    </row>
    <row r="2776" customFormat="false" ht="12.8" hidden="false" customHeight="true" outlineLevel="0" collapsed="false">
      <c r="M2776" s="8"/>
    </row>
    <row r="2777" customFormat="false" ht="12.8" hidden="false" customHeight="true" outlineLevel="0" collapsed="false">
      <c r="M2777" s="8"/>
    </row>
    <row r="2778" customFormat="false" ht="12.8" hidden="false" customHeight="true" outlineLevel="0" collapsed="false">
      <c r="M2778" s="8"/>
    </row>
    <row r="2779" customFormat="false" ht="12.8" hidden="false" customHeight="true" outlineLevel="0" collapsed="false">
      <c r="M2779" s="8"/>
    </row>
    <row r="2780" customFormat="false" ht="12.8" hidden="false" customHeight="true" outlineLevel="0" collapsed="false">
      <c r="M2780" s="8"/>
    </row>
    <row r="2781" customFormat="false" ht="12.8" hidden="false" customHeight="true" outlineLevel="0" collapsed="false">
      <c r="M2781" s="8"/>
    </row>
    <row r="2782" customFormat="false" ht="12.8" hidden="false" customHeight="true" outlineLevel="0" collapsed="false">
      <c r="M2782" s="8"/>
    </row>
    <row r="2783" customFormat="false" ht="12.8" hidden="false" customHeight="true" outlineLevel="0" collapsed="false">
      <c r="M2783" s="8"/>
    </row>
    <row r="2784" customFormat="false" ht="12.8" hidden="false" customHeight="true" outlineLevel="0" collapsed="false">
      <c r="M2784" s="8"/>
    </row>
    <row r="2785" customFormat="false" ht="12.8" hidden="false" customHeight="true" outlineLevel="0" collapsed="false">
      <c r="M2785" s="8"/>
    </row>
    <row r="2786" customFormat="false" ht="12.8" hidden="false" customHeight="true" outlineLevel="0" collapsed="false">
      <c r="M2786" s="8"/>
    </row>
    <row r="2787" customFormat="false" ht="12.8" hidden="false" customHeight="true" outlineLevel="0" collapsed="false">
      <c r="M2787" s="8"/>
    </row>
    <row r="2788" customFormat="false" ht="12.8" hidden="false" customHeight="true" outlineLevel="0" collapsed="false">
      <c r="M2788" s="8"/>
    </row>
    <row r="2789" customFormat="false" ht="12.8" hidden="false" customHeight="true" outlineLevel="0" collapsed="false">
      <c r="M2789" s="8"/>
    </row>
    <row r="2790" customFormat="false" ht="12.8" hidden="false" customHeight="true" outlineLevel="0" collapsed="false">
      <c r="M2790" s="8"/>
    </row>
    <row r="2791" customFormat="false" ht="12.8" hidden="false" customHeight="true" outlineLevel="0" collapsed="false">
      <c r="M2791" s="8"/>
    </row>
    <row r="2792" customFormat="false" ht="12.8" hidden="false" customHeight="true" outlineLevel="0" collapsed="false">
      <c r="M2792" s="8"/>
    </row>
    <row r="2793" customFormat="false" ht="12.8" hidden="false" customHeight="true" outlineLevel="0" collapsed="false">
      <c r="M2793" s="8"/>
    </row>
    <row r="2794" customFormat="false" ht="12.8" hidden="false" customHeight="true" outlineLevel="0" collapsed="false">
      <c r="M2794" s="8"/>
    </row>
    <row r="2795" customFormat="false" ht="12.8" hidden="false" customHeight="true" outlineLevel="0" collapsed="false">
      <c r="M2795" s="8"/>
    </row>
    <row r="2796" customFormat="false" ht="12.8" hidden="false" customHeight="true" outlineLevel="0" collapsed="false">
      <c r="M2796" s="8"/>
    </row>
    <row r="2797" customFormat="false" ht="12.8" hidden="false" customHeight="true" outlineLevel="0" collapsed="false">
      <c r="M2797" s="8"/>
    </row>
    <row r="2798" customFormat="false" ht="12.8" hidden="false" customHeight="true" outlineLevel="0" collapsed="false">
      <c r="M2798" s="8"/>
    </row>
    <row r="2799" customFormat="false" ht="12.8" hidden="false" customHeight="true" outlineLevel="0" collapsed="false">
      <c r="M2799" s="8"/>
    </row>
    <row r="2800" customFormat="false" ht="12.8" hidden="false" customHeight="true" outlineLevel="0" collapsed="false">
      <c r="M2800" s="8"/>
    </row>
    <row r="2801" customFormat="false" ht="12.8" hidden="false" customHeight="true" outlineLevel="0" collapsed="false">
      <c r="M2801" s="8"/>
    </row>
    <row r="2802" customFormat="false" ht="12.8" hidden="false" customHeight="true" outlineLevel="0" collapsed="false">
      <c r="M2802" s="8"/>
    </row>
    <row r="2803" customFormat="false" ht="12.8" hidden="false" customHeight="true" outlineLevel="0" collapsed="false">
      <c r="M2803" s="8"/>
    </row>
    <row r="2804" customFormat="false" ht="12.8" hidden="false" customHeight="true" outlineLevel="0" collapsed="false">
      <c r="M2804" s="8"/>
    </row>
    <row r="2805" customFormat="false" ht="12.8" hidden="false" customHeight="true" outlineLevel="0" collapsed="false">
      <c r="M2805" s="8"/>
    </row>
    <row r="2806" customFormat="false" ht="12.8" hidden="false" customHeight="true" outlineLevel="0" collapsed="false">
      <c r="M2806" s="8"/>
    </row>
    <row r="2807" customFormat="false" ht="12.8" hidden="false" customHeight="true" outlineLevel="0" collapsed="false">
      <c r="M2807" s="8"/>
    </row>
    <row r="2808" customFormat="false" ht="12.8" hidden="false" customHeight="true" outlineLevel="0" collapsed="false">
      <c r="M2808" s="8"/>
    </row>
    <row r="2809" customFormat="false" ht="12.8" hidden="false" customHeight="true" outlineLevel="0" collapsed="false">
      <c r="M2809" s="8"/>
    </row>
    <row r="2810" customFormat="false" ht="12.8" hidden="false" customHeight="true" outlineLevel="0" collapsed="false">
      <c r="M2810" s="8"/>
    </row>
    <row r="2811" customFormat="false" ht="12.8" hidden="false" customHeight="true" outlineLevel="0" collapsed="false">
      <c r="M2811" s="8"/>
    </row>
    <row r="2812" customFormat="false" ht="12.8" hidden="false" customHeight="true" outlineLevel="0" collapsed="false">
      <c r="M2812" s="8"/>
    </row>
    <row r="2813" customFormat="false" ht="12.8" hidden="false" customHeight="true" outlineLevel="0" collapsed="false">
      <c r="M2813" s="8"/>
    </row>
    <row r="2814" customFormat="false" ht="12.8" hidden="false" customHeight="true" outlineLevel="0" collapsed="false">
      <c r="M2814" s="8"/>
    </row>
    <row r="2815" customFormat="false" ht="12.8" hidden="false" customHeight="true" outlineLevel="0" collapsed="false">
      <c r="M2815" s="8"/>
    </row>
    <row r="2816" customFormat="false" ht="12.8" hidden="false" customHeight="true" outlineLevel="0" collapsed="false">
      <c r="M2816" s="8"/>
    </row>
    <row r="2817" customFormat="false" ht="12.8" hidden="false" customHeight="true" outlineLevel="0" collapsed="false">
      <c r="M2817" s="8"/>
    </row>
    <row r="2818" customFormat="false" ht="12.8" hidden="false" customHeight="true" outlineLevel="0" collapsed="false">
      <c r="M2818" s="8"/>
    </row>
    <row r="2819" customFormat="false" ht="12.8" hidden="false" customHeight="true" outlineLevel="0" collapsed="false">
      <c r="M2819" s="8"/>
    </row>
    <row r="2820" customFormat="false" ht="12.8" hidden="false" customHeight="true" outlineLevel="0" collapsed="false">
      <c r="M2820" s="8"/>
    </row>
    <row r="2821" customFormat="false" ht="12.8" hidden="false" customHeight="true" outlineLevel="0" collapsed="false">
      <c r="M2821" s="8"/>
    </row>
    <row r="2822" customFormat="false" ht="12.8" hidden="false" customHeight="true" outlineLevel="0" collapsed="false">
      <c r="M2822" s="8"/>
    </row>
    <row r="2823" customFormat="false" ht="12.8" hidden="false" customHeight="true" outlineLevel="0" collapsed="false">
      <c r="M2823" s="8"/>
    </row>
    <row r="2824" customFormat="false" ht="12.8" hidden="false" customHeight="true" outlineLevel="0" collapsed="false">
      <c r="M2824" s="8"/>
    </row>
    <row r="2825" customFormat="false" ht="12.8" hidden="false" customHeight="true" outlineLevel="0" collapsed="false">
      <c r="M2825" s="8"/>
    </row>
    <row r="2826" customFormat="false" ht="12.8" hidden="false" customHeight="true" outlineLevel="0" collapsed="false">
      <c r="M2826" s="8"/>
    </row>
    <row r="2827" customFormat="false" ht="12.8" hidden="false" customHeight="true" outlineLevel="0" collapsed="false">
      <c r="M2827" s="8"/>
    </row>
    <row r="2828" customFormat="false" ht="12.8" hidden="false" customHeight="true" outlineLevel="0" collapsed="false">
      <c r="M2828" s="8"/>
    </row>
    <row r="2829" customFormat="false" ht="12.8" hidden="false" customHeight="true" outlineLevel="0" collapsed="false">
      <c r="M2829" s="8"/>
    </row>
    <row r="2830" customFormat="false" ht="12.8" hidden="false" customHeight="true" outlineLevel="0" collapsed="false">
      <c r="M2830" s="8"/>
    </row>
    <row r="2831" customFormat="false" ht="12.8" hidden="false" customHeight="true" outlineLevel="0" collapsed="false">
      <c r="M2831" s="8"/>
    </row>
    <row r="2832" customFormat="false" ht="12.8" hidden="false" customHeight="true" outlineLevel="0" collapsed="false">
      <c r="M2832" s="8"/>
    </row>
    <row r="2833" customFormat="false" ht="12.8" hidden="false" customHeight="true" outlineLevel="0" collapsed="false">
      <c r="M2833" s="8"/>
    </row>
    <row r="2834" customFormat="false" ht="12.8" hidden="false" customHeight="true" outlineLevel="0" collapsed="false">
      <c r="M2834" s="8"/>
    </row>
    <row r="2835" customFormat="false" ht="12.8" hidden="false" customHeight="true" outlineLevel="0" collapsed="false">
      <c r="M2835" s="8"/>
    </row>
    <row r="2836" customFormat="false" ht="12.8" hidden="false" customHeight="true" outlineLevel="0" collapsed="false">
      <c r="M2836" s="8"/>
    </row>
    <row r="2837" customFormat="false" ht="12.8" hidden="false" customHeight="true" outlineLevel="0" collapsed="false">
      <c r="M2837" s="8"/>
    </row>
    <row r="2838" customFormat="false" ht="12.8" hidden="false" customHeight="true" outlineLevel="0" collapsed="false">
      <c r="M2838" s="8"/>
    </row>
    <row r="2839" customFormat="false" ht="12.8" hidden="false" customHeight="true" outlineLevel="0" collapsed="false">
      <c r="M2839" s="8"/>
    </row>
    <row r="2840" customFormat="false" ht="12.8" hidden="false" customHeight="true" outlineLevel="0" collapsed="false">
      <c r="M2840" s="8"/>
    </row>
    <row r="2841" customFormat="false" ht="12.8" hidden="false" customHeight="true" outlineLevel="0" collapsed="false">
      <c r="M2841" s="8"/>
    </row>
    <row r="2842" customFormat="false" ht="12.8" hidden="false" customHeight="true" outlineLevel="0" collapsed="false">
      <c r="M2842" s="8"/>
    </row>
    <row r="2843" customFormat="false" ht="12.8" hidden="false" customHeight="true" outlineLevel="0" collapsed="false">
      <c r="M2843" s="8"/>
    </row>
    <row r="2844" customFormat="false" ht="12.8" hidden="false" customHeight="true" outlineLevel="0" collapsed="false">
      <c r="M2844" s="8"/>
    </row>
    <row r="2845" customFormat="false" ht="12.8" hidden="false" customHeight="true" outlineLevel="0" collapsed="false">
      <c r="M2845" s="8"/>
    </row>
    <row r="2846" customFormat="false" ht="12.8" hidden="false" customHeight="true" outlineLevel="0" collapsed="false">
      <c r="M2846" s="8"/>
    </row>
    <row r="2847" customFormat="false" ht="12.8" hidden="false" customHeight="true" outlineLevel="0" collapsed="false">
      <c r="M2847" s="8"/>
    </row>
    <row r="2848" customFormat="false" ht="12.8" hidden="false" customHeight="true" outlineLevel="0" collapsed="false">
      <c r="M2848" s="8"/>
    </row>
    <row r="2849" customFormat="false" ht="12.8" hidden="false" customHeight="true" outlineLevel="0" collapsed="false">
      <c r="M2849" s="8"/>
    </row>
    <row r="2850" customFormat="false" ht="12.8" hidden="false" customHeight="true" outlineLevel="0" collapsed="false">
      <c r="M2850" s="8"/>
    </row>
    <row r="2851" customFormat="false" ht="12.8" hidden="false" customHeight="true" outlineLevel="0" collapsed="false">
      <c r="M2851" s="8"/>
    </row>
    <row r="2852" customFormat="false" ht="12.8" hidden="false" customHeight="true" outlineLevel="0" collapsed="false">
      <c r="M2852" s="8"/>
    </row>
    <row r="2853" customFormat="false" ht="12.8" hidden="false" customHeight="true" outlineLevel="0" collapsed="false">
      <c r="M2853" s="8"/>
    </row>
    <row r="2854" customFormat="false" ht="12.8" hidden="false" customHeight="true" outlineLevel="0" collapsed="false">
      <c r="M2854" s="8"/>
    </row>
    <row r="2855" customFormat="false" ht="12.8" hidden="false" customHeight="true" outlineLevel="0" collapsed="false">
      <c r="M2855" s="8"/>
    </row>
    <row r="2856" customFormat="false" ht="12.8" hidden="false" customHeight="true" outlineLevel="0" collapsed="false">
      <c r="M2856" s="8"/>
    </row>
    <row r="2857" customFormat="false" ht="12.8" hidden="false" customHeight="true" outlineLevel="0" collapsed="false">
      <c r="M2857" s="8"/>
    </row>
    <row r="2858" customFormat="false" ht="12.8" hidden="false" customHeight="true" outlineLevel="0" collapsed="false">
      <c r="M2858" s="8"/>
    </row>
    <row r="2859" customFormat="false" ht="12.8" hidden="false" customHeight="true" outlineLevel="0" collapsed="false">
      <c r="M2859" s="8"/>
    </row>
    <row r="2860" customFormat="false" ht="12.8" hidden="false" customHeight="true" outlineLevel="0" collapsed="false">
      <c r="M2860" s="8"/>
    </row>
    <row r="2861" customFormat="false" ht="12.8" hidden="false" customHeight="true" outlineLevel="0" collapsed="false">
      <c r="M2861" s="8"/>
    </row>
    <row r="2862" customFormat="false" ht="12.8" hidden="false" customHeight="true" outlineLevel="0" collapsed="false">
      <c r="M2862" s="8"/>
    </row>
    <row r="2863" customFormat="false" ht="12.8" hidden="false" customHeight="true" outlineLevel="0" collapsed="false">
      <c r="M2863" s="8"/>
    </row>
    <row r="2864" customFormat="false" ht="12.8" hidden="false" customHeight="true" outlineLevel="0" collapsed="false">
      <c r="M2864" s="8"/>
    </row>
    <row r="2865" customFormat="false" ht="12.8" hidden="false" customHeight="true" outlineLevel="0" collapsed="false">
      <c r="M2865" s="8"/>
    </row>
    <row r="2866" customFormat="false" ht="12.8" hidden="false" customHeight="true" outlineLevel="0" collapsed="false">
      <c r="M2866" s="8"/>
    </row>
    <row r="2867" customFormat="false" ht="12.8" hidden="false" customHeight="true" outlineLevel="0" collapsed="false">
      <c r="M2867" s="8"/>
    </row>
    <row r="2868" customFormat="false" ht="12.8" hidden="false" customHeight="true" outlineLevel="0" collapsed="false">
      <c r="M2868" s="8"/>
    </row>
    <row r="2869" customFormat="false" ht="12.8" hidden="false" customHeight="true" outlineLevel="0" collapsed="false">
      <c r="M2869" s="8"/>
    </row>
    <row r="2870" customFormat="false" ht="12.8" hidden="false" customHeight="true" outlineLevel="0" collapsed="false">
      <c r="M2870" s="8"/>
    </row>
    <row r="2871" customFormat="false" ht="12.8" hidden="false" customHeight="true" outlineLevel="0" collapsed="false">
      <c r="M2871" s="8"/>
    </row>
    <row r="2872" customFormat="false" ht="12.8" hidden="false" customHeight="true" outlineLevel="0" collapsed="false">
      <c r="M2872" s="8"/>
    </row>
    <row r="2873" customFormat="false" ht="12.8" hidden="false" customHeight="true" outlineLevel="0" collapsed="false">
      <c r="M2873" s="8"/>
    </row>
    <row r="2874" customFormat="false" ht="12.8" hidden="false" customHeight="true" outlineLevel="0" collapsed="false">
      <c r="M2874" s="8"/>
    </row>
    <row r="2875" customFormat="false" ht="12.8" hidden="false" customHeight="true" outlineLevel="0" collapsed="false">
      <c r="M2875" s="8"/>
    </row>
    <row r="2876" customFormat="false" ht="12.8" hidden="false" customHeight="true" outlineLevel="0" collapsed="false">
      <c r="M2876" s="8"/>
    </row>
    <row r="2877" customFormat="false" ht="12.8" hidden="false" customHeight="true" outlineLevel="0" collapsed="false">
      <c r="M2877" s="8"/>
    </row>
    <row r="2878" customFormat="false" ht="12.8" hidden="false" customHeight="true" outlineLevel="0" collapsed="false">
      <c r="M2878" s="8"/>
    </row>
    <row r="2879" customFormat="false" ht="12.8" hidden="false" customHeight="true" outlineLevel="0" collapsed="false">
      <c r="M2879" s="8"/>
    </row>
    <row r="2880" customFormat="false" ht="12.8" hidden="false" customHeight="true" outlineLevel="0" collapsed="false">
      <c r="M2880" s="8"/>
    </row>
    <row r="2881" customFormat="false" ht="12.8" hidden="false" customHeight="true" outlineLevel="0" collapsed="false">
      <c r="M2881" s="8"/>
    </row>
    <row r="2882" customFormat="false" ht="12.8" hidden="false" customHeight="true" outlineLevel="0" collapsed="false">
      <c r="M2882" s="8"/>
    </row>
    <row r="2883" customFormat="false" ht="12.8" hidden="false" customHeight="true" outlineLevel="0" collapsed="false">
      <c r="M2883" s="8"/>
    </row>
    <row r="2884" customFormat="false" ht="12.8" hidden="false" customHeight="true" outlineLevel="0" collapsed="false">
      <c r="M2884" s="8"/>
    </row>
    <row r="2885" customFormat="false" ht="12.8" hidden="false" customHeight="true" outlineLevel="0" collapsed="false">
      <c r="M2885" s="8"/>
    </row>
    <row r="2886" customFormat="false" ht="12.8" hidden="false" customHeight="true" outlineLevel="0" collapsed="false">
      <c r="M2886" s="8"/>
    </row>
    <row r="2887" customFormat="false" ht="12.8" hidden="false" customHeight="true" outlineLevel="0" collapsed="false">
      <c r="M2887" s="8"/>
    </row>
    <row r="2888" customFormat="false" ht="12.8" hidden="false" customHeight="true" outlineLevel="0" collapsed="false">
      <c r="M2888" s="8"/>
    </row>
    <row r="2889" customFormat="false" ht="12.8" hidden="false" customHeight="true" outlineLevel="0" collapsed="false">
      <c r="M2889" s="8"/>
    </row>
    <row r="2890" customFormat="false" ht="12.8" hidden="false" customHeight="true" outlineLevel="0" collapsed="false">
      <c r="M2890" s="8"/>
    </row>
    <row r="2891" customFormat="false" ht="12.8" hidden="false" customHeight="true" outlineLevel="0" collapsed="false">
      <c r="M2891" s="8"/>
    </row>
    <row r="2892" customFormat="false" ht="12.8" hidden="false" customHeight="true" outlineLevel="0" collapsed="false">
      <c r="M2892" s="8"/>
    </row>
    <row r="2893" customFormat="false" ht="12.8" hidden="false" customHeight="true" outlineLevel="0" collapsed="false">
      <c r="M2893" s="8"/>
    </row>
    <row r="2894" customFormat="false" ht="12.8" hidden="false" customHeight="true" outlineLevel="0" collapsed="false">
      <c r="M2894" s="8"/>
    </row>
    <row r="2895" customFormat="false" ht="12.8" hidden="false" customHeight="true" outlineLevel="0" collapsed="false">
      <c r="M2895" s="8"/>
    </row>
    <row r="2896" customFormat="false" ht="12.8" hidden="false" customHeight="true" outlineLevel="0" collapsed="false">
      <c r="M2896" s="8"/>
    </row>
    <row r="2897" customFormat="false" ht="12.8" hidden="false" customHeight="true" outlineLevel="0" collapsed="false">
      <c r="M2897" s="8"/>
    </row>
    <row r="2898" customFormat="false" ht="12.8" hidden="false" customHeight="true" outlineLevel="0" collapsed="false">
      <c r="M2898" s="8"/>
    </row>
    <row r="2899" customFormat="false" ht="12.8" hidden="false" customHeight="true" outlineLevel="0" collapsed="false">
      <c r="M2899" s="8"/>
    </row>
    <row r="2900" customFormat="false" ht="12.8" hidden="false" customHeight="true" outlineLevel="0" collapsed="false">
      <c r="M2900" s="8"/>
    </row>
    <row r="2901" customFormat="false" ht="12.8" hidden="false" customHeight="true" outlineLevel="0" collapsed="false">
      <c r="M2901" s="8"/>
    </row>
    <row r="2902" customFormat="false" ht="12.8" hidden="false" customHeight="true" outlineLevel="0" collapsed="false">
      <c r="M2902" s="8"/>
    </row>
    <row r="2903" customFormat="false" ht="12.8" hidden="false" customHeight="true" outlineLevel="0" collapsed="false">
      <c r="M2903" s="8"/>
    </row>
    <row r="2904" customFormat="false" ht="12.8" hidden="false" customHeight="true" outlineLevel="0" collapsed="false">
      <c r="M2904" s="8"/>
    </row>
    <row r="2905" customFormat="false" ht="12.8" hidden="false" customHeight="true" outlineLevel="0" collapsed="false">
      <c r="M2905" s="8"/>
    </row>
    <row r="2906" customFormat="false" ht="12.8" hidden="false" customHeight="true" outlineLevel="0" collapsed="false">
      <c r="M2906" s="8"/>
    </row>
    <row r="2907" customFormat="false" ht="12.8" hidden="false" customHeight="true" outlineLevel="0" collapsed="false">
      <c r="M2907" s="8"/>
    </row>
    <row r="2908" customFormat="false" ht="12.8" hidden="false" customHeight="true" outlineLevel="0" collapsed="false">
      <c r="M2908" s="8"/>
    </row>
    <row r="2909" customFormat="false" ht="12.8" hidden="false" customHeight="true" outlineLevel="0" collapsed="false">
      <c r="M2909" s="8"/>
    </row>
    <row r="2910" customFormat="false" ht="12.8" hidden="false" customHeight="true" outlineLevel="0" collapsed="false">
      <c r="M2910" s="8"/>
    </row>
    <row r="2911" customFormat="false" ht="12.8" hidden="false" customHeight="true" outlineLevel="0" collapsed="false">
      <c r="M2911" s="8"/>
    </row>
    <row r="2912" customFormat="false" ht="12.8" hidden="false" customHeight="true" outlineLevel="0" collapsed="false">
      <c r="M2912" s="8"/>
    </row>
    <row r="2913" customFormat="false" ht="12.8" hidden="false" customHeight="true" outlineLevel="0" collapsed="false">
      <c r="M2913" s="8"/>
    </row>
    <row r="2914" customFormat="false" ht="12.8" hidden="false" customHeight="true" outlineLevel="0" collapsed="false">
      <c r="M2914" s="8"/>
    </row>
    <row r="2915" customFormat="false" ht="12.8" hidden="false" customHeight="true" outlineLevel="0" collapsed="false">
      <c r="M2915" s="8"/>
    </row>
    <row r="2916" customFormat="false" ht="12.8" hidden="false" customHeight="true" outlineLevel="0" collapsed="false">
      <c r="M2916" s="8"/>
    </row>
    <row r="2917" customFormat="false" ht="12.8" hidden="false" customHeight="true" outlineLevel="0" collapsed="false">
      <c r="M2917" s="8"/>
    </row>
    <row r="2918" customFormat="false" ht="12.8" hidden="false" customHeight="true" outlineLevel="0" collapsed="false">
      <c r="M2918" s="8"/>
    </row>
    <row r="2919" customFormat="false" ht="12.8" hidden="false" customHeight="true" outlineLevel="0" collapsed="false">
      <c r="M2919" s="8"/>
    </row>
    <row r="2920" customFormat="false" ht="12.8" hidden="false" customHeight="true" outlineLevel="0" collapsed="false">
      <c r="M2920" s="8"/>
    </row>
    <row r="2921" customFormat="false" ht="12.8" hidden="false" customHeight="true" outlineLevel="0" collapsed="false">
      <c r="M2921" s="8"/>
    </row>
    <row r="2922" customFormat="false" ht="12.8" hidden="false" customHeight="true" outlineLevel="0" collapsed="false">
      <c r="M2922" s="8"/>
    </row>
    <row r="2923" customFormat="false" ht="12.8" hidden="false" customHeight="true" outlineLevel="0" collapsed="false">
      <c r="M2923" s="8"/>
    </row>
    <row r="2924" customFormat="false" ht="12.8" hidden="false" customHeight="true" outlineLevel="0" collapsed="false">
      <c r="M2924" s="8"/>
    </row>
    <row r="2925" customFormat="false" ht="12.8" hidden="false" customHeight="true" outlineLevel="0" collapsed="false">
      <c r="M2925" s="8"/>
    </row>
    <row r="2926" customFormat="false" ht="12.8" hidden="false" customHeight="true" outlineLevel="0" collapsed="false">
      <c r="M2926" s="8"/>
    </row>
    <row r="2927" customFormat="false" ht="12.8" hidden="false" customHeight="true" outlineLevel="0" collapsed="false">
      <c r="M2927" s="8"/>
    </row>
    <row r="2928" customFormat="false" ht="12.8" hidden="false" customHeight="true" outlineLevel="0" collapsed="false">
      <c r="M2928" s="8"/>
    </row>
    <row r="2929" customFormat="false" ht="12.8" hidden="false" customHeight="true" outlineLevel="0" collapsed="false">
      <c r="M2929" s="8"/>
    </row>
    <row r="2930" customFormat="false" ht="12.8" hidden="false" customHeight="true" outlineLevel="0" collapsed="false">
      <c r="M2930" s="8"/>
    </row>
    <row r="2931" customFormat="false" ht="12.8" hidden="false" customHeight="true" outlineLevel="0" collapsed="false">
      <c r="M2931" s="8"/>
    </row>
    <row r="2932" customFormat="false" ht="12.8" hidden="false" customHeight="true" outlineLevel="0" collapsed="false">
      <c r="M2932" s="8"/>
    </row>
    <row r="2933" customFormat="false" ht="12.8" hidden="false" customHeight="true" outlineLevel="0" collapsed="false">
      <c r="M2933" s="8"/>
    </row>
    <row r="2934" customFormat="false" ht="12.8" hidden="false" customHeight="true" outlineLevel="0" collapsed="false">
      <c r="M2934" s="8"/>
    </row>
    <row r="2935" customFormat="false" ht="12.8" hidden="false" customHeight="true" outlineLevel="0" collapsed="false">
      <c r="M2935" s="8"/>
    </row>
    <row r="2936" customFormat="false" ht="12.8" hidden="false" customHeight="true" outlineLevel="0" collapsed="false">
      <c r="M2936" s="8"/>
    </row>
    <row r="2937" customFormat="false" ht="12.8" hidden="false" customHeight="true" outlineLevel="0" collapsed="false">
      <c r="M2937" s="8"/>
    </row>
    <row r="2938" customFormat="false" ht="12.8" hidden="false" customHeight="true" outlineLevel="0" collapsed="false">
      <c r="M2938" s="8"/>
    </row>
    <row r="2939" customFormat="false" ht="12.8" hidden="false" customHeight="true" outlineLevel="0" collapsed="false">
      <c r="M2939" s="8"/>
    </row>
    <row r="2940" customFormat="false" ht="12.8" hidden="false" customHeight="true" outlineLevel="0" collapsed="false">
      <c r="M2940" s="8"/>
    </row>
    <row r="2941" customFormat="false" ht="12.8" hidden="false" customHeight="true" outlineLevel="0" collapsed="false">
      <c r="M2941" s="8"/>
    </row>
    <row r="2942" customFormat="false" ht="12.8" hidden="false" customHeight="true" outlineLevel="0" collapsed="false">
      <c r="M2942" s="8"/>
    </row>
    <row r="2943" customFormat="false" ht="12.8" hidden="false" customHeight="true" outlineLevel="0" collapsed="false">
      <c r="M2943" s="8"/>
    </row>
    <row r="2944" customFormat="false" ht="12.8" hidden="false" customHeight="true" outlineLevel="0" collapsed="false">
      <c r="M2944" s="8"/>
    </row>
    <row r="2945" customFormat="false" ht="12.8" hidden="false" customHeight="true" outlineLevel="0" collapsed="false">
      <c r="M2945" s="8"/>
    </row>
    <row r="2946" customFormat="false" ht="12.8" hidden="false" customHeight="true" outlineLevel="0" collapsed="false">
      <c r="M2946" s="8"/>
    </row>
    <row r="2947" customFormat="false" ht="12.8" hidden="false" customHeight="true" outlineLevel="0" collapsed="false">
      <c r="M2947" s="8"/>
    </row>
    <row r="2948" customFormat="false" ht="12.8" hidden="false" customHeight="true" outlineLevel="0" collapsed="false">
      <c r="M2948" s="8"/>
    </row>
    <row r="2949" customFormat="false" ht="12.8" hidden="false" customHeight="true" outlineLevel="0" collapsed="false">
      <c r="M2949" s="8"/>
    </row>
    <row r="2950" customFormat="false" ht="12.8" hidden="false" customHeight="true" outlineLevel="0" collapsed="false">
      <c r="M2950" s="8"/>
    </row>
    <row r="2951" customFormat="false" ht="12.8" hidden="false" customHeight="true" outlineLevel="0" collapsed="false">
      <c r="M2951" s="8"/>
    </row>
    <row r="2952" customFormat="false" ht="12.8" hidden="false" customHeight="true" outlineLevel="0" collapsed="false">
      <c r="M2952" s="8"/>
    </row>
    <row r="2953" customFormat="false" ht="12.8" hidden="false" customHeight="true" outlineLevel="0" collapsed="false">
      <c r="M2953" s="8"/>
    </row>
    <row r="2954" customFormat="false" ht="12.8" hidden="false" customHeight="true" outlineLevel="0" collapsed="false">
      <c r="M2954" s="8"/>
    </row>
    <row r="2955" customFormat="false" ht="12.8" hidden="false" customHeight="true" outlineLevel="0" collapsed="false">
      <c r="M2955" s="8"/>
    </row>
    <row r="2956" customFormat="false" ht="12.8" hidden="false" customHeight="true" outlineLevel="0" collapsed="false">
      <c r="M2956" s="8"/>
    </row>
    <row r="2957" customFormat="false" ht="12.8" hidden="false" customHeight="true" outlineLevel="0" collapsed="false">
      <c r="M2957" s="8"/>
    </row>
    <row r="2958" customFormat="false" ht="12.8" hidden="false" customHeight="true" outlineLevel="0" collapsed="false">
      <c r="M2958" s="8"/>
    </row>
    <row r="2959" customFormat="false" ht="12.8" hidden="false" customHeight="true" outlineLevel="0" collapsed="false">
      <c r="M2959" s="8"/>
    </row>
    <row r="2960" customFormat="false" ht="12.8" hidden="false" customHeight="true" outlineLevel="0" collapsed="false">
      <c r="M2960" s="8"/>
    </row>
    <row r="2961" customFormat="false" ht="12.8" hidden="false" customHeight="true" outlineLevel="0" collapsed="false">
      <c r="M2961" s="8"/>
    </row>
    <row r="2962" customFormat="false" ht="12.8" hidden="false" customHeight="true" outlineLevel="0" collapsed="false">
      <c r="M2962" s="8"/>
    </row>
    <row r="2963" customFormat="false" ht="12.8" hidden="false" customHeight="true" outlineLevel="0" collapsed="false">
      <c r="M2963" s="8"/>
    </row>
    <row r="2964" customFormat="false" ht="12.8" hidden="false" customHeight="true" outlineLevel="0" collapsed="false">
      <c r="M2964" s="8"/>
    </row>
    <row r="2965" customFormat="false" ht="12.8" hidden="false" customHeight="true" outlineLevel="0" collapsed="false">
      <c r="M2965" s="8"/>
    </row>
    <row r="2966" customFormat="false" ht="12.8" hidden="false" customHeight="true" outlineLevel="0" collapsed="false">
      <c r="M2966" s="8"/>
    </row>
    <row r="2967" customFormat="false" ht="12.8" hidden="false" customHeight="true" outlineLevel="0" collapsed="false">
      <c r="M2967" s="8"/>
    </row>
    <row r="2968" customFormat="false" ht="12.8" hidden="false" customHeight="true" outlineLevel="0" collapsed="false">
      <c r="M2968" s="8"/>
    </row>
    <row r="2969" customFormat="false" ht="12.8" hidden="false" customHeight="true" outlineLevel="0" collapsed="false">
      <c r="M2969" s="8"/>
    </row>
    <row r="2970" customFormat="false" ht="12.8" hidden="false" customHeight="true" outlineLevel="0" collapsed="false">
      <c r="M2970" s="8"/>
    </row>
    <row r="2971" customFormat="false" ht="12.8" hidden="false" customHeight="true" outlineLevel="0" collapsed="false">
      <c r="M2971" s="8"/>
    </row>
    <row r="2972" customFormat="false" ht="12.8" hidden="false" customHeight="true" outlineLevel="0" collapsed="false">
      <c r="M2972" s="8"/>
    </row>
    <row r="2973" customFormat="false" ht="12.8" hidden="false" customHeight="true" outlineLevel="0" collapsed="false">
      <c r="M2973" s="8"/>
    </row>
    <row r="2974" customFormat="false" ht="12.8" hidden="false" customHeight="true" outlineLevel="0" collapsed="false">
      <c r="M2974" s="8"/>
    </row>
    <row r="2975" customFormat="false" ht="12.8" hidden="false" customHeight="true" outlineLevel="0" collapsed="false">
      <c r="M2975" s="8"/>
    </row>
    <row r="2976" customFormat="false" ht="12.8" hidden="false" customHeight="true" outlineLevel="0" collapsed="false">
      <c r="M2976" s="8"/>
    </row>
    <row r="2977" customFormat="false" ht="12.8" hidden="false" customHeight="true" outlineLevel="0" collapsed="false">
      <c r="M2977" s="8"/>
    </row>
    <row r="2978" customFormat="false" ht="12.8" hidden="false" customHeight="true" outlineLevel="0" collapsed="false">
      <c r="M2978" s="8"/>
    </row>
    <row r="2979" customFormat="false" ht="12.8" hidden="false" customHeight="true" outlineLevel="0" collapsed="false">
      <c r="M2979" s="8"/>
    </row>
    <row r="2980" customFormat="false" ht="12.8" hidden="false" customHeight="true" outlineLevel="0" collapsed="false">
      <c r="M2980" s="8"/>
    </row>
    <row r="2981" customFormat="false" ht="12.8" hidden="false" customHeight="true" outlineLevel="0" collapsed="false">
      <c r="M2981" s="8"/>
    </row>
    <row r="2982" customFormat="false" ht="12.8" hidden="false" customHeight="true" outlineLevel="0" collapsed="false">
      <c r="M2982" s="8"/>
    </row>
    <row r="2983" customFormat="false" ht="12.8" hidden="false" customHeight="true" outlineLevel="0" collapsed="false">
      <c r="M2983" s="8"/>
    </row>
    <row r="2984" customFormat="false" ht="12.8" hidden="false" customHeight="true" outlineLevel="0" collapsed="false">
      <c r="M2984" s="8"/>
    </row>
    <row r="2985" customFormat="false" ht="12.8" hidden="false" customHeight="true" outlineLevel="0" collapsed="false">
      <c r="M2985" s="8"/>
    </row>
    <row r="2986" customFormat="false" ht="12.8" hidden="false" customHeight="true" outlineLevel="0" collapsed="false">
      <c r="M2986" s="8"/>
    </row>
    <row r="2987" customFormat="false" ht="12.8" hidden="false" customHeight="true" outlineLevel="0" collapsed="false">
      <c r="M2987" s="8"/>
    </row>
    <row r="2988" customFormat="false" ht="12.8" hidden="false" customHeight="true" outlineLevel="0" collapsed="false">
      <c r="M2988" s="8"/>
    </row>
    <row r="2989" customFormat="false" ht="12.8" hidden="false" customHeight="true" outlineLevel="0" collapsed="false">
      <c r="M2989" s="8"/>
    </row>
    <row r="2990" customFormat="false" ht="12.8" hidden="false" customHeight="true" outlineLevel="0" collapsed="false">
      <c r="M2990" s="8"/>
    </row>
    <row r="2991" customFormat="false" ht="12.8" hidden="false" customHeight="true" outlineLevel="0" collapsed="false">
      <c r="M2991" s="8"/>
    </row>
    <row r="2992" customFormat="false" ht="12.8" hidden="false" customHeight="true" outlineLevel="0" collapsed="false">
      <c r="M2992" s="8"/>
    </row>
    <row r="2993" customFormat="false" ht="12.8" hidden="false" customHeight="true" outlineLevel="0" collapsed="false">
      <c r="M2993" s="8"/>
    </row>
    <row r="2994" customFormat="false" ht="12.8" hidden="false" customHeight="true" outlineLevel="0" collapsed="false">
      <c r="M2994" s="8"/>
    </row>
    <row r="2995" customFormat="false" ht="12.8" hidden="false" customHeight="true" outlineLevel="0" collapsed="false">
      <c r="M2995" s="8"/>
    </row>
    <row r="2996" customFormat="false" ht="12.8" hidden="false" customHeight="true" outlineLevel="0" collapsed="false">
      <c r="M2996" s="8"/>
    </row>
    <row r="2997" customFormat="false" ht="12.8" hidden="false" customHeight="true" outlineLevel="0" collapsed="false">
      <c r="M2997" s="8"/>
    </row>
    <row r="2998" customFormat="false" ht="12.8" hidden="false" customHeight="true" outlineLevel="0" collapsed="false">
      <c r="M2998" s="8"/>
    </row>
    <row r="2999" customFormat="false" ht="12.8" hidden="false" customHeight="true" outlineLevel="0" collapsed="false">
      <c r="M2999" s="8"/>
    </row>
    <row r="3000" customFormat="false" ht="12.8" hidden="false" customHeight="true" outlineLevel="0" collapsed="false">
      <c r="M3000" s="8"/>
    </row>
    <row r="3001" customFormat="false" ht="12.8" hidden="false" customHeight="true" outlineLevel="0" collapsed="false">
      <c r="M3001" s="8"/>
    </row>
    <row r="3002" customFormat="false" ht="12.8" hidden="false" customHeight="true" outlineLevel="0" collapsed="false">
      <c r="M3002" s="8"/>
    </row>
    <row r="3003" customFormat="false" ht="12.8" hidden="false" customHeight="true" outlineLevel="0" collapsed="false">
      <c r="M3003" s="8"/>
    </row>
    <row r="3004" customFormat="false" ht="12.8" hidden="false" customHeight="true" outlineLevel="0" collapsed="false">
      <c r="M3004" s="8"/>
    </row>
    <row r="3005" customFormat="false" ht="12.8" hidden="false" customHeight="true" outlineLevel="0" collapsed="false">
      <c r="M3005" s="8"/>
    </row>
    <row r="3006" customFormat="false" ht="12.8" hidden="false" customHeight="true" outlineLevel="0" collapsed="false">
      <c r="M3006" s="8"/>
    </row>
    <row r="3007" customFormat="false" ht="12.8" hidden="false" customHeight="true" outlineLevel="0" collapsed="false">
      <c r="M3007" s="8"/>
    </row>
    <row r="3008" customFormat="false" ht="12.8" hidden="false" customHeight="true" outlineLevel="0" collapsed="false">
      <c r="M3008" s="8"/>
    </row>
    <row r="3009" customFormat="false" ht="12.8" hidden="false" customHeight="true" outlineLevel="0" collapsed="false">
      <c r="M3009" s="8"/>
    </row>
    <row r="3010" customFormat="false" ht="12.8" hidden="false" customHeight="true" outlineLevel="0" collapsed="false">
      <c r="M3010" s="8"/>
    </row>
    <row r="3011" customFormat="false" ht="12.8" hidden="false" customHeight="true" outlineLevel="0" collapsed="false">
      <c r="M3011" s="8"/>
    </row>
    <row r="3012" customFormat="false" ht="12.8" hidden="false" customHeight="true" outlineLevel="0" collapsed="false">
      <c r="M3012" s="8"/>
    </row>
    <row r="3013" customFormat="false" ht="12.8" hidden="false" customHeight="true" outlineLevel="0" collapsed="false">
      <c r="M3013" s="8"/>
    </row>
    <row r="3014" customFormat="false" ht="12.8" hidden="false" customHeight="true" outlineLevel="0" collapsed="false">
      <c r="M3014" s="8"/>
    </row>
    <row r="3015" customFormat="false" ht="12.8" hidden="false" customHeight="true" outlineLevel="0" collapsed="false">
      <c r="M3015" s="8"/>
    </row>
    <row r="3016" customFormat="false" ht="12.8" hidden="false" customHeight="true" outlineLevel="0" collapsed="false">
      <c r="M3016" s="8"/>
    </row>
    <row r="3017" customFormat="false" ht="12.8" hidden="false" customHeight="true" outlineLevel="0" collapsed="false">
      <c r="M3017" s="8"/>
    </row>
    <row r="3018" customFormat="false" ht="12.8" hidden="false" customHeight="true" outlineLevel="0" collapsed="false">
      <c r="M3018" s="8"/>
    </row>
    <row r="3019" customFormat="false" ht="12.8" hidden="false" customHeight="true" outlineLevel="0" collapsed="false">
      <c r="M3019" s="8"/>
    </row>
    <row r="3020" customFormat="false" ht="12.8" hidden="false" customHeight="true" outlineLevel="0" collapsed="false">
      <c r="M3020" s="8"/>
    </row>
    <row r="3021" customFormat="false" ht="12.8" hidden="false" customHeight="true" outlineLevel="0" collapsed="false">
      <c r="M3021" s="8"/>
    </row>
    <row r="3022" customFormat="false" ht="12.8" hidden="false" customHeight="true" outlineLevel="0" collapsed="false">
      <c r="M3022" s="8"/>
    </row>
    <row r="3023" customFormat="false" ht="12.8" hidden="false" customHeight="true" outlineLevel="0" collapsed="false">
      <c r="M3023" s="8"/>
    </row>
    <row r="3024" customFormat="false" ht="12.8" hidden="false" customHeight="true" outlineLevel="0" collapsed="false">
      <c r="M3024" s="8"/>
    </row>
    <row r="3025" customFormat="false" ht="12.8" hidden="false" customHeight="true" outlineLevel="0" collapsed="false">
      <c r="M3025" s="8"/>
    </row>
    <row r="3026" customFormat="false" ht="12.8" hidden="false" customHeight="true" outlineLevel="0" collapsed="false">
      <c r="M3026" s="8"/>
    </row>
    <row r="3027" customFormat="false" ht="12.8" hidden="false" customHeight="true" outlineLevel="0" collapsed="false">
      <c r="M3027" s="8"/>
    </row>
    <row r="3028" customFormat="false" ht="12.8" hidden="false" customHeight="true" outlineLevel="0" collapsed="false">
      <c r="M3028" s="8"/>
    </row>
    <row r="3029" customFormat="false" ht="12.8" hidden="false" customHeight="true" outlineLevel="0" collapsed="false">
      <c r="M3029" s="8"/>
    </row>
    <row r="3030" customFormat="false" ht="12.8" hidden="false" customHeight="true" outlineLevel="0" collapsed="false">
      <c r="M3030" s="8"/>
    </row>
    <row r="3031" customFormat="false" ht="12.8" hidden="false" customHeight="true" outlineLevel="0" collapsed="false">
      <c r="M3031" s="8"/>
    </row>
    <row r="3032" customFormat="false" ht="12.8" hidden="false" customHeight="true" outlineLevel="0" collapsed="false">
      <c r="M3032" s="8"/>
    </row>
    <row r="3033" customFormat="false" ht="12.8" hidden="false" customHeight="true" outlineLevel="0" collapsed="false">
      <c r="M3033" s="8"/>
    </row>
    <row r="3034" customFormat="false" ht="12.8" hidden="false" customHeight="true" outlineLevel="0" collapsed="false">
      <c r="M3034" s="8"/>
    </row>
    <row r="3035" customFormat="false" ht="12.8" hidden="false" customHeight="true" outlineLevel="0" collapsed="false">
      <c r="M3035" s="8"/>
    </row>
    <row r="3036" customFormat="false" ht="12.8" hidden="false" customHeight="true" outlineLevel="0" collapsed="false">
      <c r="M3036" s="8"/>
    </row>
    <row r="3037" customFormat="false" ht="12.8" hidden="false" customHeight="true" outlineLevel="0" collapsed="false">
      <c r="M3037" s="8"/>
    </row>
    <row r="3038" customFormat="false" ht="12.8" hidden="false" customHeight="true" outlineLevel="0" collapsed="false">
      <c r="M3038" s="8"/>
    </row>
    <row r="3039" customFormat="false" ht="12.8" hidden="false" customHeight="true" outlineLevel="0" collapsed="false">
      <c r="M3039" s="8"/>
    </row>
    <row r="3040" customFormat="false" ht="12.8" hidden="false" customHeight="true" outlineLevel="0" collapsed="false">
      <c r="M3040" s="8"/>
    </row>
    <row r="3041" customFormat="false" ht="12.8" hidden="false" customHeight="true" outlineLevel="0" collapsed="false">
      <c r="M3041" s="8"/>
    </row>
    <row r="3042" customFormat="false" ht="12.8" hidden="false" customHeight="true" outlineLevel="0" collapsed="false">
      <c r="M3042" s="8"/>
    </row>
    <row r="3043" customFormat="false" ht="12.8" hidden="false" customHeight="true" outlineLevel="0" collapsed="false">
      <c r="M3043" s="8"/>
    </row>
    <row r="3044" customFormat="false" ht="12.8" hidden="false" customHeight="true" outlineLevel="0" collapsed="false">
      <c r="M3044" s="8"/>
    </row>
    <row r="3045" customFormat="false" ht="12.8" hidden="false" customHeight="true" outlineLevel="0" collapsed="false">
      <c r="M3045" s="8"/>
    </row>
    <row r="3046" customFormat="false" ht="12.8" hidden="false" customHeight="true" outlineLevel="0" collapsed="false">
      <c r="M3046" s="8"/>
    </row>
    <row r="3047" customFormat="false" ht="12.8" hidden="false" customHeight="true" outlineLevel="0" collapsed="false">
      <c r="M3047" s="8"/>
    </row>
    <row r="3048" customFormat="false" ht="12.8" hidden="false" customHeight="true" outlineLevel="0" collapsed="false">
      <c r="M3048" s="8"/>
    </row>
    <row r="3049" customFormat="false" ht="12.8" hidden="false" customHeight="true" outlineLevel="0" collapsed="false">
      <c r="M3049" s="8"/>
    </row>
    <row r="3050" customFormat="false" ht="12.8" hidden="false" customHeight="true" outlineLevel="0" collapsed="false">
      <c r="M3050" s="8"/>
    </row>
    <row r="3051" customFormat="false" ht="12.8" hidden="false" customHeight="true" outlineLevel="0" collapsed="false">
      <c r="M3051" s="8"/>
    </row>
    <row r="3052" customFormat="false" ht="12.8" hidden="false" customHeight="true" outlineLevel="0" collapsed="false">
      <c r="M3052" s="8"/>
    </row>
    <row r="3053" customFormat="false" ht="12.8" hidden="false" customHeight="true" outlineLevel="0" collapsed="false">
      <c r="M3053" s="8"/>
    </row>
    <row r="3054" customFormat="false" ht="12.8" hidden="false" customHeight="true" outlineLevel="0" collapsed="false">
      <c r="M3054" s="8"/>
    </row>
    <row r="3055" customFormat="false" ht="12.8" hidden="false" customHeight="true" outlineLevel="0" collapsed="false">
      <c r="M3055" s="8"/>
    </row>
    <row r="3056" customFormat="false" ht="12.8" hidden="false" customHeight="true" outlineLevel="0" collapsed="false">
      <c r="M3056" s="8"/>
    </row>
    <row r="3057" customFormat="false" ht="12.8" hidden="false" customHeight="true" outlineLevel="0" collapsed="false">
      <c r="M3057" s="8"/>
    </row>
    <row r="3058" customFormat="false" ht="12.8" hidden="false" customHeight="true" outlineLevel="0" collapsed="false">
      <c r="M3058" s="8"/>
    </row>
    <row r="3059" customFormat="false" ht="12.8" hidden="false" customHeight="true" outlineLevel="0" collapsed="false">
      <c r="M3059" s="8"/>
    </row>
    <row r="3060" customFormat="false" ht="12.8" hidden="false" customHeight="true" outlineLevel="0" collapsed="false">
      <c r="M3060" s="8"/>
    </row>
    <row r="3061" customFormat="false" ht="12.8" hidden="false" customHeight="true" outlineLevel="0" collapsed="false">
      <c r="M3061" s="8"/>
    </row>
    <row r="3062" customFormat="false" ht="12.8" hidden="false" customHeight="true" outlineLevel="0" collapsed="false">
      <c r="M3062" s="8"/>
    </row>
    <row r="3063" customFormat="false" ht="12.8" hidden="false" customHeight="true" outlineLevel="0" collapsed="false">
      <c r="M3063" s="8"/>
    </row>
    <row r="3064" customFormat="false" ht="12.8" hidden="false" customHeight="true" outlineLevel="0" collapsed="false">
      <c r="M3064" s="8"/>
    </row>
    <row r="3065" customFormat="false" ht="12.8" hidden="false" customHeight="true" outlineLevel="0" collapsed="false">
      <c r="M3065" s="8"/>
    </row>
    <row r="3066" customFormat="false" ht="12.8" hidden="false" customHeight="true" outlineLevel="0" collapsed="false">
      <c r="M3066" s="8"/>
    </row>
    <row r="3067" customFormat="false" ht="12.8" hidden="false" customHeight="true" outlineLevel="0" collapsed="false">
      <c r="M3067" s="8"/>
    </row>
    <row r="3068" customFormat="false" ht="12.8" hidden="false" customHeight="true" outlineLevel="0" collapsed="false">
      <c r="M3068" s="8"/>
    </row>
    <row r="3069" customFormat="false" ht="12.8" hidden="false" customHeight="true" outlineLevel="0" collapsed="false">
      <c r="M3069" s="8"/>
    </row>
    <row r="3070" customFormat="false" ht="12.8" hidden="false" customHeight="true" outlineLevel="0" collapsed="false">
      <c r="M3070" s="8"/>
    </row>
    <row r="3071" customFormat="false" ht="12.8" hidden="false" customHeight="true" outlineLevel="0" collapsed="false">
      <c r="M3071" s="8"/>
    </row>
    <row r="3072" customFormat="false" ht="12.8" hidden="false" customHeight="true" outlineLevel="0" collapsed="false">
      <c r="M3072" s="8"/>
    </row>
    <row r="3073" customFormat="false" ht="12.8" hidden="false" customHeight="true" outlineLevel="0" collapsed="false">
      <c r="M3073" s="8"/>
    </row>
    <row r="3074" customFormat="false" ht="12.8" hidden="false" customHeight="true" outlineLevel="0" collapsed="false">
      <c r="M3074" s="8"/>
    </row>
    <row r="3075" customFormat="false" ht="12.8" hidden="false" customHeight="true" outlineLevel="0" collapsed="false">
      <c r="M3075" s="8"/>
    </row>
    <row r="3076" customFormat="false" ht="12.8" hidden="false" customHeight="true" outlineLevel="0" collapsed="false">
      <c r="M3076" s="8"/>
    </row>
    <row r="3077" customFormat="false" ht="12.8" hidden="false" customHeight="true" outlineLevel="0" collapsed="false">
      <c r="M3077" s="8"/>
    </row>
    <row r="3078" customFormat="false" ht="12.8" hidden="false" customHeight="true" outlineLevel="0" collapsed="false">
      <c r="M3078" s="8"/>
    </row>
    <row r="3079" customFormat="false" ht="12.8" hidden="false" customHeight="true" outlineLevel="0" collapsed="false">
      <c r="M3079" s="8"/>
    </row>
    <row r="3080" customFormat="false" ht="12.8" hidden="false" customHeight="true" outlineLevel="0" collapsed="false">
      <c r="M3080" s="8"/>
    </row>
    <row r="3081" customFormat="false" ht="12.8" hidden="false" customHeight="true" outlineLevel="0" collapsed="false">
      <c r="M3081" s="8"/>
    </row>
    <row r="3082" customFormat="false" ht="12.8" hidden="false" customHeight="true" outlineLevel="0" collapsed="false">
      <c r="M3082" s="8"/>
    </row>
    <row r="3083" customFormat="false" ht="12.8" hidden="false" customHeight="true" outlineLevel="0" collapsed="false">
      <c r="M3083" s="8"/>
    </row>
    <row r="3084" customFormat="false" ht="12.8" hidden="false" customHeight="true" outlineLevel="0" collapsed="false">
      <c r="M3084" s="8"/>
    </row>
    <row r="3085" customFormat="false" ht="12.8" hidden="false" customHeight="true" outlineLevel="0" collapsed="false">
      <c r="M3085" s="8"/>
    </row>
    <row r="3086" customFormat="false" ht="12.8" hidden="false" customHeight="true" outlineLevel="0" collapsed="false">
      <c r="M3086" s="8"/>
    </row>
    <row r="3087" customFormat="false" ht="12.8" hidden="false" customHeight="true" outlineLevel="0" collapsed="false">
      <c r="M3087" s="8"/>
    </row>
    <row r="3088" customFormat="false" ht="12.8" hidden="false" customHeight="true" outlineLevel="0" collapsed="false">
      <c r="M3088" s="8"/>
    </row>
    <row r="3089" customFormat="false" ht="12.8" hidden="false" customHeight="true" outlineLevel="0" collapsed="false">
      <c r="M3089" s="8"/>
    </row>
    <row r="3090" customFormat="false" ht="12.8" hidden="false" customHeight="true" outlineLevel="0" collapsed="false">
      <c r="M3090" s="8"/>
    </row>
    <row r="3091" customFormat="false" ht="12.8" hidden="false" customHeight="true" outlineLevel="0" collapsed="false">
      <c r="M3091" s="8"/>
    </row>
    <row r="3092" customFormat="false" ht="12.8" hidden="false" customHeight="true" outlineLevel="0" collapsed="false">
      <c r="M3092" s="8"/>
    </row>
    <row r="3093" customFormat="false" ht="12.8" hidden="false" customHeight="true" outlineLevel="0" collapsed="false">
      <c r="M3093" s="8"/>
    </row>
    <row r="3094" customFormat="false" ht="12.8" hidden="false" customHeight="true" outlineLevel="0" collapsed="false">
      <c r="M3094" s="8"/>
    </row>
    <row r="3095" customFormat="false" ht="12.8" hidden="false" customHeight="true" outlineLevel="0" collapsed="false">
      <c r="M3095" s="8"/>
    </row>
    <row r="3096" customFormat="false" ht="12.8" hidden="false" customHeight="true" outlineLevel="0" collapsed="false">
      <c r="M3096" s="8"/>
    </row>
    <row r="3097" customFormat="false" ht="12.8" hidden="false" customHeight="true" outlineLevel="0" collapsed="false">
      <c r="M3097" s="8"/>
    </row>
    <row r="3098" customFormat="false" ht="12.8" hidden="false" customHeight="true" outlineLevel="0" collapsed="false">
      <c r="M3098" s="8"/>
    </row>
    <row r="3099" customFormat="false" ht="12.8" hidden="false" customHeight="true" outlineLevel="0" collapsed="false">
      <c r="M3099" s="8"/>
    </row>
    <row r="3100" customFormat="false" ht="12.8" hidden="false" customHeight="true" outlineLevel="0" collapsed="false">
      <c r="M3100" s="8"/>
    </row>
    <row r="3101" customFormat="false" ht="12.8" hidden="false" customHeight="true" outlineLevel="0" collapsed="false">
      <c r="M3101" s="8"/>
    </row>
    <row r="3102" customFormat="false" ht="12.8" hidden="false" customHeight="true" outlineLevel="0" collapsed="false">
      <c r="M3102" s="8"/>
    </row>
    <row r="3103" customFormat="false" ht="12.8" hidden="false" customHeight="true" outlineLevel="0" collapsed="false">
      <c r="M3103" s="8"/>
    </row>
    <row r="3104" customFormat="false" ht="12.8" hidden="false" customHeight="true" outlineLevel="0" collapsed="false">
      <c r="M3104" s="8"/>
    </row>
    <row r="3105" customFormat="false" ht="12.8" hidden="false" customHeight="true" outlineLevel="0" collapsed="false">
      <c r="M3105" s="8"/>
    </row>
    <row r="3106" customFormat="false" ht="12.8" hidden="false" customHeight="true" outlineLevel="0" collapsed="false">
      <c r="M3106" s="8"/>
    </row>
    <row r="3107" customFormat="false" ht="12.8" hidden="false" customHeight="true" outlineLevel="0" collapsed="false">
      <c r="M3107" s="8"/>
    </row>
    <row r="3108" customFormat="false" ht="12.8" hidden="false" customHeight="true" outlineLevel="0" collapsed="false">
      <c r="M3108" s="8"/>
    </row>
    <row r="3109" customFormat="false" ht="12.8" hidden="false" customHeight="true" outlineLevel="0" collapsed="false">
      <c r="M3109" s="8"/>
    </row>
    <row r="3110" customFormat="false" ht="12.8" hidden="false" customHeight="true" outlineLevel="0" collapsed="false">
      <c r="M3110" s="8"/>
    </row>
    <row r="3111" customFormat="false" ht="12.8" hidden="false" customHeight="true" outlineLevel="0" collapsed="false">
      <c r="M3111" s="8"/>
    </row>
    <row r="3112" customFormat="false" ht="12.8" hidden="false" customHeight="true" outlineLevel="0" collapsed="false">
      <c r="M3112" s="8"/>
    </row>
    <row r="3113" customFormat="false" ht="12.8" hidden="false" customHeight="true" outlineLevel="0" collapsed="false">
      <c r="M3113" s="8"/>
    </row>
    <row r="3114" customFormat="false" ht="12.8" hidden="false" customHeight="true" outlineLevel="0" collapsed="false">
      <c r="M3114" s="8"/>
    </row>
    <row r="3115" customFormat="false" ht="12.8" hidden="false" customHeight="true" outlineLevel="0" collapsed="false">
      <c r="M3115" s="8"/>
    </row>
    <row r="3116" customFormat="false" ht="12.8" hidden="false" customHeight="true" outlineLevel="0" collapsed="false">
      <c r="M3116" s="8"/>
    </row>
    <row r="3117" customFormat="false" ht="12.8" hidden="false" customHeight="true" outlineLevel="0" collapsed="false">
      <c r="M3117" s="8"/>
    </row>
    <row r="3118" customFormat="false" ht="12.8" hidden="false" customHeight="true" outlineLevel="0" collapsed="false">
      <c r="M3118" s="8"/>
    </row>
    <row r="3119" customFormat="false" ht="12.8" hidden="false" customHeight="true" outlineLevel="0" collapsed="false">
      <c r="M3119" s="8"/>
    </row>
    <row r="3120" customFormat="false" ht="12.8" hidden="false" customHeight="true" outlineLevel="0" collapsed="false">
      <c r="M3120" s="8"/>
    </row>
    <row r="3121" customFormat="false" ht="12.8" hidden="false" customHeight="true" outlineLevel="0" collapsed="false">
      <c r="M3121" s="8"/>
    </row>
    <row r="3122" customFormat="false" ht="12.8" hidden="false" customHeight="true" outlineLevel="0" collapsed="false">
      <c r="M3122" s="8"/>
    </row>
    <row r="3123" customFormat="false" ht="12.8" hidden="false" customHeight="true" outlineLevel="0" collapsed="false">
      <c r="M3123" s="8"/>
    </row>
    <row r="3124" customFormat="false" ht="12.8" hidden="false" customHeight="true" outlineLevel="0" collapsed="false">
      <c r="M3124" s="8"/>
    </row>
    <row r="3125" customFormat="false" ht="12.8" hidden="false" customHeight="true" outlineLevel="0" collapsed="false">
      <c r="M3125" s="8"/>
    </row>
    <row r="3126" customFormat="false" ht="12.8" hidden="false" customHeight="true" outlineLevel="0" collapsed="false">
      <c r="M3126" s="8"/>
    </row>
    <row r="3127" customFormat="false" ht="12.8" hidden="false" customHeight="true" outlineLevel="0" collapsed="false">
      <c r="M3127" s="8"/>
    </row>
    <row r="3128" customFormat="false" ht="12.8" hidden="false" customHeight="true" outlineLevel="0" collapsed="false">
      <c r="M3128" s="8"/>
    </row>
    <row r="3129" customFormat="false" ht="12.8" hidden="false" customHeight="true" outlineLevel="0" collapsed="false">
      <c r="M3129" s="8"/>
    </row>
    <row r="3130" customFormat="false" ht="12.8" hidden="false" customHeight="true" outlineLevel="0" collapsed="false">
      <c r="M3130" s="8"/>
    </row>
    <row r="3131" customFormat="false" ht="12.8" hidden="false" customHeight="true" outlineLevel="0" collapsed="false">
      <c r="M3131" s="8"/>
    </row>
    <row r="3132" customFormat="false" ht="12.8" hidden="false" customHeight="true" outlineLevel="0" collapsed="false">
      <c r="M3132" s="8"/>
    </row>
    <row r="3133" customFormat="false" ht="12.8" hidden="false" customHeight="true" outlineLevel="0" collapsed="false">
      <c r="M3133" s="8"/>
    </row>
    <row r="3134" customFormat="false" ht="12.8" hidden="false" customHeight="true" outlineLevel="0" collapsed="false">
      <c r="M3134" s="8"/>
    </row>
    <row r="3135" customFormat="false" ht="12.8" hidden="false" customHeight="true" outlineLevel="0" collapsed="false">
      <c r="M3135" s="8"/>
    </row>
    <row r="3136" customFormat="false" ht="12.8" hidden="false" customHeight="true" outlineLevel="0" collapsed="false">
      <c r="M3136" s="8"/>
    </row>
    <row r="3137" customFormat="false" ht="12.8" hidden="false" customHeight="true" outlineLevel="0" collapsed="false">
      <c r="M3137" s="8"/>
    </row>
    <row r="3138" customFormat="false" ht="12.8" hidden="false" customHeight="true" outlineLevel="0" collapsed="false">
      <c r="M3138" s="8"/>
    </row>
    <row r="3139" customFormat="false" ht="12.8" hidden="false" customHeight="true" outlineLevel="0" collapsed="false">
      <c r="M3139" s="8"/>
    </row>
    <row r="3140" customFormat="false" ht="12.8" hidden="false" customHeight="true" outlineLevel="0" collapsed="false">
      <c r="M3140" s="8"/>
    </row>
    <row r="3141" customFormat="false" ht="12.8" hidden="false" customHeight="true" outlineLevel="0" collapsed="false">
      <c r="M3141" s="8"/>
    </row>
    <row r="3142" customFormat="false" ht="12.8" hidden="false" customHeight="true" outlineLevel="0" collapsed="false">
      <c r="M3142" s="8"/>
    </row>
    <row r="3143" customFormat="false" ht="12.8" hidden="false" customHeight="true" outlineLevel="0" collapsed="false">
      <c r="M3143" s="8"/>
    </row>
    <row r="3144" customFormat="false" ht="12.8" hidden="false" customHeight="true" outlineLevel="0" collapsed="false">
      <c r="M3144" s="8"/>
    </row>
    <row r="3145" customFormat="false" ht="12.8" hidden="false" customHeight="true" outlineLevel="0" collapsed="false">
      <c r="M3145" s="8"/>
    </row>
    <row r="3146" customFormat="false" ht="12.8" hidden="false" customHeight="true" outlineLevel="0" collapsed="false">
      <c r="M3146" s="8"/>
    </row>
    <row r="3147" customFormat="false" ht="12.8" hidden="false" customHeight="true" outlineLevel="0" collapsed="false">
      <c r="M3147" s="8"/>
    </row>
    <row r="3148" customFormat="false" ht="12.8" hidden="false" customHeight="true" outlineLevel="0" collapsed="false">
      <c r="M3148" s="8"/>
    </row>
    <row r="3149" customFormat="false" ht="12.8" hidden="false" customHeight="true" outlineLevel="0" collapsed="false">
      <c r="M3149" s="8"/>
    </row>
    <row r="3150" customFormat="false" ht="12.8" hidden="false" customHeight="true" outlineLevel="0" collapsed="false">
      <c r="M3150" s="8"/>
    </row>
    <row r="3151" customFormat="false" ht="12.8" hidden="false" customHeight="true" outlineLevel="0" collapsed="false">
      <c r="M3151" s="8"/>
    </row>
    <row r="3152" customFormat="false" ht="12.8" hidden="false" customHeight="true" outlineLevel="0" collapsed="false">
      <c r="M3152" s="8"/>
    </row>
    <row r="3153" customFormat="false" ht="12.8" hidden="false" customHeight="true" outlineLevel="0" collapsed="false">
      <c r="M3153" s="8"/>
    </row>
    <row r="3154" customFormat="false" ht="12.8" hidden="false" customHeight="true" outlineLevel="0" collapsed="false">
      <c r="M3154" s="8"/>
    </row>
    <row r="3155" customFormat="false" ht="12.8" hidden="false" customHeight="true" outlineLevel="0" collapsed="false">
      <c r="M3155" s="8"/>
    </row>
    <row r="3156" customFormat="false" ht="12.8" hidden="false" customHeight="true" outlineLevel="0" collapsed="false">
      <c r="M3156" s="8"/>
    </row>
    <row r="3157" customFormat="false" ht="12.8" hidden="false" customHeight="true" outlineLevel="0" collapsed="false">
      <c r="M3157" s="8"/>
    </row>
    <row r="3158" customFormat="false" ht="12.8" hidden="false" customHeight="true" outlineLevel="0" collapsed="false">
      <c r="M3158" s="8"/>
    </row>
    <row r="3159" customFormat="false" ht="12.8" hidden="false" customHeight="true" outlineLevel="0" collapsed="false">
      <c r="M3159" s="8"/>
    </row>
    <row r="3160" customFormat="false" ht="12.8" hidden="false" customHeight="true" outlineLevel="0" collapsed="false">
      <c r="M3160" s="8"/>
    </row>
    <row r="3161" customFormat="false" ht="12.8" hidden="false" customHeight="true" outlineLevel="0" collapsed="false">
      <c r="M3161" s="8"/>
    </row>
    <row r="3162" customFormat="false" ht="12.8" hidden="false" customHeight="true" outlineLevel="0" collapsed="false">
      <c r="M3162" s="8"/>
    </row>
    <row r="3163" customFormat="false" ht="12.8" hidden="false" customHeight="true" outlineLevel="0" collapsed="false">
      <c r="M3163" s="8"/>
    </row>
    <row r="3164" customFormat="false" ht="12.8" hidden="false" customHeight="true" outlineLevel="0" collapsed="false">
      <c r="M3164" s="8"/>
    </row>
    <row r="3165" customFormat="false" ht="12.8" hidden="false" customHeight="true" outlineLevel="0" collapsed="false">
      <c r="M3165" s="8"/>
    </row>
    <row r="3166" customFormat="false" ht="12.8" hidden="false" customHeight="true" outlineLevel="0" collapsed="false">
      <c r="M3166" s="8"/>
    </row>
    <row r="3167" customFormat="false" ht="12.8" hidden="false" customHeight="true" outlineLevel="0" collapsed="false">
      <c r="M3167" s="8"/>
    </row>
    <row r="3168" customFormat="false" ht="12.8" hidden="false" customHeight="true" outlineLevel="0" collapsed="false">
      <c r="M3168" s="8"/>
    </row>
    <row r="3169" customFormat="false" ht="12.8" hidden="false" customHeight="true" outlineLevel="0" collapsed="false">
      <c r="M3169" s="8"/>
    </row>
    <row r="3170" customFormat="false" ht="12.8" hidden="false" customHeight="true" outlineLevel="0" collapsed="false">
      <c r="M3170" s="8"/>
    </row>
    <row r="3171" customFormat="false" ht="12.8" hidden="false" customHeight="true" outlineLevel="0" collapsed="false">
      <c r="M3171" s="8"/>
    </row>
    <row r="3172" customFormat="false" ht="12.8" hidden="false" customHeight="true" outlineLevel="0" collapsed="false">
      <c r="M3172" s="8"/>
    </row>
    <row r="3173" customFormat="false" ht="12.8" hidden="false" customHeight="true" outlineLevel="0" collapsed="false">
      <c r="M3173" s="8"/>
    </row>
    <row r="3174" customFormat="false" ht="12.8" hidden="false" customHeight="true" outlineLevel="0" collapsed="false">
      <c r="M3174" s="8"/>
    </row>
    <row r="3175" customFormat="false" ht="12.8" hidden="false" customHeight="true" outlineLevel="0" collapsed="false">
      <c r="M3175" s="8"/>
    </row>
    <row r="3176" customFormat="false" ht="12.8" hidden="false" customHeight="true" outlineLevel="0" collapsed="false">
      <c r="M3176" s="8"/>
    </row>
    <row r="3177" customFormat="false" ht="12.8" hidden="false" customHeight="true" outlineLevel="0" collapsed="false">
      <c r="M3177" s="8"/>
    </row>
    <row r="3178" customFormat="false" ht="12.8" hidden="false" customHeight="true" outlineLevel="0" collapsed="false">
      <c r="M3178" s="8"/>
    </row>
    <row r="3179" customFormat="false" ht="12.8" hidden="false" customHeight="true" outlineLevel="0" collapsed="false">
      <c r="M3179" s="8"/>
    </row>
    <row r="3180" customFormat="false" ht="12.8" hidden="false" customHeight="true" outlineLevel="0" collapsed="false">
      <c r="M3180" s="8"/>
    </row>
    <row r="3181" customFormat="false" ht="12.8" hidden="false" customHeight="true" outlineLevel="0" collapsed="false">
      <c r="M3181" s="8"/>
    </row>
    <row r="3182" customFormat="false" ht="12.8" hidden="false" customHeight="true" outlineLevel="0" collapsed="false">
      <c r="M3182" s="8"/>
    </row>
    <row r="3183" customFormat="false" ht="12.8" hidden="false" customHeight="true" outlineLevel="0" collapsed="false">
      <c r="M3183" s="8"/>
    </row>
    <row r="3184" customFormat="false" ht="12.8" hidden="false" customHeight="true" outlineLevel="0" collapsed="false">
      <c r="M3184" s="8"/>
    </row>
    <row r="3185" customFormat="false" ht="12.8" hidden="false" customHeight="true" outlineLevel="0" collapsed="false">
      <c r="M3185" s="8"/>
    </row>
    <row r="3186" customFormat="false" ht="12.8" hidden="false" customHeight="true" outlineLevel="0" collapsed="false">
      <c r="M3186" s="8"/>
    </row>
    <row r="3187" customFormat="false" ht="12.8" hidden="false" customHeight="true" outlineLevel="0" collapsed="false">
      <c r="M3187" s="8"/>
    </row>
    <row r="3188" customFormat="false" ht="12.8" hidden="false" customHeight="true" outlineLevel="0" collapsed="false">
      <c r="M3188" s="8"/>
    </row>
    <row r="3189" customFormat="false" ht="12.8" hidden="false" customHeight="true" outlineLevel="0" collapsed="false">
      <c r="M3189" s="8"/>
    </row>
    <row r="3190" customFormat="false" ht="12.8" hidden="false" customHeight="true" outlineLevel="0" collapsed="false">
      <c r="M3190" s="8"/>
    </row>
    <row r="3191" customFormat="false" ht="12.8" hidden="false" customHeight="true" outlineLevel="0" collapsed="false">
      <c r="M3191" s="8"/>
    </row>
    <row r="3192" customFormat="false" ht="12.8" hidden="false" customHeight="true" outlineLevel="0" collapsed="false">
      <c r="M3192" s="8"/>
    </row>
    <row r="3193" customFormat="false" ht="12.8" hidden="false" customHeight="true" outlineLevel="0" collapsed="false">
      <c r="M3193" s="8"/>
    </row>
    <row r="3194" customFormat="false" ht="12.8" hidden="false" customHeight="true" outlineLevel="0" collapsed="false">
      <c r="M3194" s="8"/>
    </row>
    <row r="3195" customFormat="false" ht="12.8" hidden="false" customHeight="true" outlineLevel="0" collapsed="false">
      <c r="M3195" s="8"/>
    </row>
    <row r="3196" customFormat="false" ht="12.8" hidden="false" customHeight="true" outlineLevel="0" collapsed="false">
      <c r="M3196" s="8"/>
    </row>
    <row r="3197" customFormat="false" ht="12.8" hidden="false" customHeight="true" outlineLevel="0" collapsed="false">
      <c r="M3197" s="8"/>
    </row>
    <row r="3198" customFormat="false" ht="12.8" hidden="false" customHeight="true" outlineLevel="0" collapsed="false">
      <c r="M3198" s="8"/>
    </row>
    <row r="3199" customFormat="false" ht="12.8" hidden="false" customHeight="true" outlineLevel="0" collapsed="false">
      <c r="M3199" s="8"/>
    </row>
    <row r="3200" customFormat="false" ht="12.8" hidden="false" customHeight="true" outlineLevel="0" collapsed="false">
      <c r="M3200" s="8"/>
    </row>
    <row r="3201" customFormat="false" ht="12.8" hidden="false" customHeight="true" outlineLevel="0" collapsed="false">
      <c r="M3201" s="8"/>
    </row>
    <row r="3202" customFormat="false" ht="12.8" hidden="false" customHeight="true" outlineLevel="0" collapsed="false">
      <c r="M3202" s="8"/>
    </row>
    <row r="3203" customFormat="false" ht="12.8" hidden="false" customHeight="true" outlineLevel="0" collapsed="false">
      <c r="M3203" s="8"/>
    </row>
    <row r="3204" customFormat="false" ht="12.8" hidden="false" customHeight="true" outlineLevel="0" collapsed="false">
      <c r="M3204" s="8"/>
    </row>
    <row r="3205" customFormat="false" ht="12.8" hidden="false" customHeight="true" outlineLevel="0" collapsed="false">
      <c r="M3205" s="8"/>
    </row>
    <row r="3206" customFormat="false" ht="12.8" hidden="false" customHeight="true" outlineLevel="0" collapsed="false">
      <c r="M3206" s="8"/>
    </row>
    <row r="3207" customFormat="false" ht="12.8" hidden="false" customHeight="true" outlineLevel="0" collapsed="false">
      <c r="M3207" s="8"/>
    </row>
    <row r="3208" customFormat="false" ht="12.8" hidden="false" customHeight="true" outlineLevel="0" collapsed="false">
      <c r="M3208" s="8"/>
    </row>
    <row r="3209" customFormat="false" ht="12.8" hidden="false" customHeight="true" outlineLevel="0" collapsed="false">
      <c r="M3209" s="8"/>
    </row>
    <row r="3210" customFormat="false" ht="12.8" hidden="false" customHeight="true" outlineLevel="0" collapsed="false">
      <c r="M3210" s="8"/>
    </row>
    <row r="3211" customFormat="false" ht="12.8" hidden="false" customHeight="true" outlineLevel="0" collapsed="false">
      <c r="M3211" s="8"/>
    </row>
    <row r="3212" customFormat="false" ht="12.8" hidden="false" customHeight="true" outlineLevel="0" collapsed="false">
      <c r="M3212" s="8"/>
    </row>
    <row r="3213" customFormat="false" ht="12.8" hidden="false" customHeight="true" outlineLevel="0" collapsed="false">
      <c r="M3213" s="8"/>
    </row>
    <row r="3214" customFormat="false" ht="12.8" hidden="false" customHeight="true" outlineLevel="0" collapsed="false">
      <c r="M3214" s="8"/>
    </row>
    <row r="3215" customFormat="false" ht="12.8" hidden="false" customHeight="true" outlineLevel="0" collapsed="false">
      <c r="M3215" s="8"/>
    </row>
    <row r="3216" customFormat="false" ht="12.8" hidden="false" customHeight="true" outlineLevel="0" collapsed="false">
      <c r="M3216" s="8"/>
    </row>
    <row r="3217" customFormat="false" ht="12.8" hidden="false" customHeight="true" outlineLevel="0" collapsed="false">
      <c r="M3217" s="8"/>
    </row>
    <row r="3218" customFormat="false" ht="12.8" hidden="false" customHeight="true" outlineLevel="0" collapsed="false">
      <c r="M3218" s="8"/>
    </row>
    <row r="3219" customFormat="false" ht="12.8" hidden="false" customHeight="true" outlineLevel="0" collapsed="false">
      <c r="M3219" s="8"/>
    </row>
    <row r="3220" customFormat="false" ht="12.8" hidden="false" customHeight="true" outlineLevel="0" collapsed="false">
      <c r="M3220" s="8"/>
    </row>
    <row r="3221" customFormat="false" ht="12.8" hidden="false" customHeight="true" outlineLevel="0" collapsed="false">
      <c r="M3221" s="8"/>
    </row>
    <row r="3222" customFormat="false" ht="12.8" hidden="false" customHeight="true" outlineLevel="0" collapsed="false">
      <c r="M3222" s="8"/>
    </row>
    <row r="3223" customFormat="false" ht="12.8" hidden="false" customHeight="true" outlineLevel="0" collapsed="false">
      <c r="M3223" s="8"/>
    </row>
    <row r="3224" customFormat="false" ht="12.8" hidden="false" customHeight="true" outlineLevel="0" collapsed="false">
      <c r="M3224" s="8"/>
    </row>
    <row r="3225" customFormat="false" ht="12.8" hidden="false" customHeight="true" outlineLevel="0" collapsed="false">
      <c r="M3225" s="8"/>
    </row>
    <row r="3226" customFormat="false" ht="12.8" hidden="false" customHeight="true" outlineLevel="0" collapsed="false">
      <c r="M3226" s="8"/>
    </row>
    <row r="3227" customFormat="false" ht="12.8" hidden="false" customHeight="true" outlineLevel="0" collapsed="false">
      <c r="M3227" s="8"/>
    </row>
    <row r="3228" customFormat="false" ht="12.8" hidden="false" customHeight="true" outlineLevel="0" collapsed="false">
      <c r="M3228" s="8"/>
    </row>
    <row r="3229" customFormat="false" ht="12.8" hidden="false" customHeight="true" outlineLevel="0" collapsed="false">
      <c r="M3229" s="8"/>
    </row>
    <row r="3230" customFormat="false" ht="12.8" hidden="false" customHeight="true" outlineLevel="0" collapsed="false">
      <c r="M3230" s="8"/>
    </row>
    <row r="3231" customFormat="false" ht="12.8" hidden="false" customHeight="true" outlineLevel="0" collapsed="false">
      <c r="M3231" s="8"/>
    </row>
    <row r="3232" customFormat="false" ht="12.8" hidden="false" customHeight="true" outlineLevel="0" collapsed="false">
      <c r="M3232" s="8"/>
    </row>
    <row r="3233" customFormat="false" ht="12.8" hidden="false" customHeight="true" outlineLevel="0" collapsed="false">
      <c r="M3233" s="8"/>
    </row>
    <row r="3234" customFormat="false" ht="12.8" hidden="false" customHeight="true" outlineLevel="0" collapsed="false">
      <c r="M3234" s="8"/>
    </row>
    <row r="3235" customFormat="false" ht="12.8" hidden="false" customHeight="true" outlineLevel="0" collapsed="false">
      <c r="M3235" s="8"/>
    </row>
    <row r="3236" customFormat="false" ht="12.8" hidden="false" customHeight="true" outlineLevel="0" collapsed="false">
      <c r="M3236" s="8"/>
    </row>
    <row r="3237" customFormat="false" ht="12.8" hidden="false" customHeight="true" outlineLevel="0" collapsed="false">
      <c r="M3237" s="8"/>
    </row>
    <row r="3238" customFormat="false" ht="12.8" hidden="false" customHeight="true" outlineLevel="0" collapsed="false">
      <c r="M3238" s="8"/>
    </row>
    <row r="3239" customFormat="false" ht="12.8" hidden="false" customHeight="true" outlineLevel="0" collapsed="false">
      <c r="M3239" s="8"/>
    </row>
    <row r="3240" customFormat="false" ht="12.8" hidden="false" customHeight="true" outlineLevel="0" collapsed="false">
      <c r="M3240" s="8"/>
    </row>
    <row r="3241" customFormat="false" ht="12.8" hidden="false" customHeight="true" outlineLevel="0" collapsed="false">
      <c r="M3241" s="8"/>
    </row>
    <row r="3242" customFormat="false" ht="12.8" hidden="false" customHeight="true" outlineLevel="0" collapsed="false">
      <c r="M3242" s="8"/>
    </row>
    <row r="3243" customFormat="false" ht="12.8" hidden="false" customHeight="true" outlineLevel="0" collapsed="false">
      <c r="M3243" s="8"/>
    </row>
    <row r="3244" customFormat="false" ht="12.8" hidden="false" customHeight="true" outlineLevel="0" collapsed="false">
      <c r="M3244" s="8"/>
    </row>
    <row r="3245" customFormat="false" ht="12.8" hidden="false" customHeight="true" outlineLevel="0" collapsed="false">
      <c r="M3245" s="8"/>
    </row>
    <row r="3246" customFormat="false" ht="12.8" hidden="false" customHeight="true" outlineLevel="0" collapsed="false">
      <c r="M3246" s="8"/>
    </row>
    <row r="3247" customFormat="false" ht="12.8" hidden="false" customHeight="true" outlineLevel="0" collapsed="false">
      <c r="M3247" s="8"/>
    </row>
    <row r="3248" customFormat="false" ht="12.8" hidden="false" customHeight="true" outlineLevel="0" collapsed="false">
      <c r="M3248" s="8"/>
    </row>
    <row r="3249" customFormat="false" ht="12.8" hidden="false" customHeight="true" outlineLevel="0" collapsed="false">
      <c r="M3249" s="8"/>
    </row>
    <row r="3250" customFormat="false" ht="12.8" hidden="false" customHeight="true" outlineLevel="0" collapsed="false">
      <c r="M3250" s="8"/>
    </row>
    <row r="3251" customFormat="false" ht="12.8" hidden="false" customHeight="true" outlineLevel="0" collapsed="false">
      <c r="M3251" s="8"/>
    </row>
    <row r="3252" customFormat="false" ht="12.8" hidden="false" customHeight="true" outlineLevel="0" collapsed="false">
      <c r="M3252" s="8"/>
    </row>
    <row r="3253" customFormat="false" ht="12.8" hidden="false" customHeight="true" outlineLevel="0" collapsed="false">
      <c r="M3253" s="8"/>
    </row>
    <row r="3254" customFormat="false" ht="12.8" hidden="false" customHeight="true" outlineLevel="0" collapsed="false">
      <c r="M3254" s="8"/>
    </row>
    <row r="3255" customFormat="false" ht="12.8" hidden="false" customHeight="true" outlineLevel="0" collapsed="false">
      <c r="M3255" s="8"/>
    </row>
    <row r="3256" customFormat="false" ht="12.8" hidden="false" customHeight="true" outlineLevel="0" collapsed="false">
      <c r="M3256" s="8"/>
    </row>
    <row r="3257" customFormat="false" ht="12.8" hidden="false" customHeight="true" outlineLevel="0" collapsed="false">
      <c r="M3257" s="8"/>
    </row>
    <row r="3258" customFormat="false" ht="12.8" hidden="false" customHeight="true" outlineLevel="0" collapsed="false">
      <c r="M3258" s="8"/>
    </row>
    <row r="3259" customFormat="false" ht="12.8" hidden="false" customHeight="true" outlineLevel="0" collapsed="false">
      <c r="M3259" s="8"/>
    </row>
    <row r="3260" customFormat="false" ht="12.8" hidden="false" customHeight="true" outlineLevel="0" collapsed="false">
      <c r="M3260" s="8"/>
    </row>
    <row r="3261" customFormat="false" ht="12.8" hidden="false" customHeight="true" outlineLevel="0" collapsed="false">
      <c r="M3261" s="8"/>
    </row>
    <row r="3262" customFormat="false" ht="12.8" hidden="false" customHeight="true" outlineLevel="0" collapsed="false">
      <c r="M3262" s="8"/>
    </row>
    <row r="3263" customFormat="false" ht="12.8" hidden="false" customHeight="true" outlineLevel="0" collapsed="false">
      <c r="M3263" s="8"/>
    </row>
    <row r="3264" customFormat="false" ht="12.8" hidden="false" customHeight="true" outlineLevel="0" collapsed="false">
      <c r="M3264" s="8"/>
    </row>
    <row r="3265" customFormat="false" ht="12.8" hidden="false" customHeight="true" outlineLevel="0" collapsed="false">
      <c r="M3265" s="8"/>
    </row>
    <row r="3266" customFormat="false" ht="12.8" hidden="false" customHeight="true" outlineLevel="0" collapsed="false">
      <c r="M3266" s="8"/>
    </row>
    <row r="3267" customFormat="false" ht="12.8" hidden="false" customHeight="true" outlineLevel="0" collapsed="false">
      <c r="M3267" s="8"/>
    </row>
    <row r="3268" customFormat="false" ht="12.8" hidden="false" customHeight="true" outlineLevel="0" collapsed="false">
      <c r="M3268" s="8"/>
    </row>
    <row r="3269" customFormat="false" ht="12.8" hidden="false" customHeight="true" outlineLevel="0" collapsed="false">
      <c r="M3269" s="8"/>
    </row>
    <row r="3270" customFormat="false" ht="12.8" hidden="false" customHeight="true" outlineLevel="0" collapsed="false">
      <c r="M3270" s="8"/>
    </row>
    <row r="3271" customFormat="false" ht="12.8" hidden="false" customHeight="true" outlineLevel="0" collapsed="false">
      <c r="M3271" s="8"/>
    </row>
    <row r="3272" customFormat="false" ht="12.8" hidden="false" customHeight="true" outlineLevel="0" collapsed="false">
      <c r="M3272" s="8"/>
    </row>
    <row r="3273" customFormat="false" ht="12.8" hidden="false" customHeight="true" outlineLevel="0" collapsed="false">
      <c r="M3273" s="8"/>
    </row>
    <row r="3274" customFormat="false" ht="12.8" hidden="false" customHeight="true" outlineLevel="0" collapsed="false">
      <c r="M3274" s="8"/>
    </row>
    <row r="3275" customFormat="false" ht="12.8" hidden="false" customHeight="true" outlineLevel="0" collapsed="false">
      <c r="M3275" s="8"/>
    </row>
    <row r="3276" customFormat="false" ht="12.8" hidden="false" customHeight="true" outlineLevel="0" collapsed="false">
      <c r="M3276" s="8"/>
    </row>
    <row r="3277" customFormat="false" ht="12.8" hidden="false" customHeight="true" outlineLevel="0" collapsed="false">
      <c r="M3277" s="8"/>
    </row>
    <row r="3278" customFormat="false" ht="12.8" hidden="false" customHeight="true" outlineLevel="0" collapsed="false">
      <c r="M3278" s="8"/>
    </row>
    <row r="3279" customFormat="false" ht="12.8" hidden="false" customHeight="true" outlineLevel="0" collapsed="false">
      <c r="M3279" s="8"/>
    </row>
    <row r="3280" customFormat="false" ht="12.8" hidden="false" customHeight="true" outlineLevel="0" collapsed="false">
      <c r="M3280" s="8"/>
    </row>
    <row r="3281" customFormat="false" ht="12.8" hidden="false" customHeight="true" outlineLevel="0" collapsed="false">
      <c r="M3281" s="8"/>
    </row>
    <row r="3282" customFormat="false" ht="12.8" hidden="false" customHeight="true" outlineLevel="0" collapsed="false">
      <c r="M3282" s="8"/>
    </row>
    <row r="3283" customFormat="false" ht="12.8" hidden="false" customHeight="true" outlineLevel="0" collapsed="false">
      <c r="M3283" s="8"/>
    </row>
    <row r="3284" customFormat="false" ht="12.8" hidden="false" customHeight="true" outlineLevel="0" collapsed="false">
      <c r="M3284" s="8"/>
    </row>
    <row r="3285" customFormat="false" ht="12.8" hidden="false" customHeight="true" outlineLevel="0" collapsed="false">
      <c r="M3285" s="8"/>
    </row>
    <row r="3286" customFormat="false" ht="12.8" hidden="false" customHeight="true" outlineLevel="0" collapsed="false">
      <c r="M3286" s="8"/>
    </row>
    <row r="3287" customFormat="false" ht="12.8" hidden="false" customHeight="true" outlineLevel="0" collapsed="false">
      <c r="M3287" s="8"/>
    </row>
    <row r="3288" customFormat="false" ht="12.8" hidden="false" customHeight="true" outlineLevel="0" collapsed="false">
      <c r="M3288" s="8"/>
    </row>
    <row r="3289" customFormat="false" ht="12.8" hidden="false" customHeight="true" outlineLevel="0" collapsed="false">
      <c r="M3289" s="8"/>
    </row>
    <row r="3290" customFormat="false" ht="12.8" hidden="false" customHeight="true" outlineLevel="0" collapsed="false">
      <c r="M3290" s="8"/>
    </row>
    <row r="3291" customFormat="false" ht="12.8" hidden="false" customHeight="true" outlineLevel="0" collapsed="false">
      <c r="M3291" s="8"/>
    </row>
    <row r="3292" customFormat="false" ht="12.8" hidden="false" customHeight="true" outlineLevel="0" collapsed="false">
      <c r="M3292" s="8"/>
    </row>
    <row r="3293" customFormat="false" ht="12.8" hidden="false" customHeight="true" outlineLevel="0" collapsed="false">
      <c r="M3293" s="8"/>
    </row>
    <row r="3294" customFormat="false" ht="12.8" hidden="false" customHeight="true" outlineLevel="0" collapsed="false">
      <c r="M3294" s="8"/>
    </row>
    <row r="3295" customFormat="false" ht="12.8" hidden="false" customHeight="true" outlineLevel="0" collapsed="false">
      <c r="M3295" s="8"/>
    </row>
    <row r="3296" customFormat="false" ht="12.8" hidden="false" customHeight="true" outlineLevel="0" collapsed="false">
      <c r="M3296" s="8"/>
    </row>
    <row r="3297" customFormat="false" ht="12.8" hidden="false" customHeight="true" outlineLevel="0" collapsed="false">
      <c r="M3297" s="8"/>
    </row>
    <row r="3298" customFormat="false" ht="12.8" hidden="false" customHeight="true" outlineLevel="0" collapsed="false">
      <c r="M3298" s="8"/>
    </row>
    <row r="3299" customFormat="false" ht="12.8" hidden="false" customHeight="true" outlineLevel="0" collapsed="false">
      <c r="M3299" s="8"/>
    </row>
    <row r="3300" customFormat="false" ht="12.8" hidden="false" customHeight="true" outlineLevel="0" collapsed="false">
      <c r="M3300" s="8"/>
    </row>
    <row r="3301" customFormat="false" ht="12.8" hidden="false" customHeight="true" outlineLevel="0" collapsed="false">
      <c r="M3301" s="8"/>
    </row>
    <row r="3302" customFormat="false" ht="12.8" hidden="false" customHeight="true" outlineLevel="0" collapsed="false">
      <c r="M3302" s="8"/>
    </row>
    <row r="3303" customFormat="false" ht="12.8" hidden="false" customHeight="true" outlineLevel="0" collapsed="false">
      <c r="M3303" s="8"/>
    </row>
    <row r="3304" customFormat="false" ht="12.8" hidden="false" customHeight="true" outlineLevel="0" collapsed="false">
      <c r="M3304" s="8"/>
    </row>
    <row r="3305" customFormat="false" ht="12.8" hidden="false" customHeight="true" outlineLevel="0" collapsed="false">
      <c r="M3305" s="8"/>
    </row>
    <row r="3306" customFormat="false" ht="12.8" hidden="false" customHeight="true" outlineLevel="0" collapsed="false">
      <c r="M3306" s="8"/>
    </row>
    <row r="3307" customFormat="false" ht="12.8" hidden="false" customHeight="true" outlineLevel="0" collapsed="false">
      <c r="M3307" s="8"/>
    </row>
    <row r="3308" customFormat="false" ht="12.8" hidden="false" customHeight="true" outlineLevel="0" collapsed="false">
      <c r="M3308" s="8"/>
    </row>
    <row r="3309" customFormat="false" ht="12.8" hidden="false" customHeight="true" outlineLevel="0" collapsed="false">
      <c r="M3309" s="8"/>
    </row>
    <row r="3310" customFormat="false" ht="12.8" hidden="false" customHeight="true" outlineLevel="0" collapsed="false">
      <c r="M3310" s="8"/>
    </row>
    <row r="3311" customFormat="false" ht="12.8" hidden="false" customHeight="true" outlineLevel="0" collapsed="false">
      <c r="M3311" s="8"/>
    </row>
    <row r="3312" customFormat="false" ht="12.8" hidden="false" customHeight="true" outlineLevel="0" collapsed="false">
      <c r="M3312" s="8"/>
    </row>
    <row r="3313" customFormat="false" ht="12.8" hidden="false" customHeight="true" outlineLevel="0" collapsed="false">
      <c r="M3313" s="8"/>
    </row>
    <row r="3314" customFormat="false" ht="12.8" hidden="false" customHeight="true" outlineLevel="0" collapsed="false">
      <c r="M3314" s="8"/>
    </row>
    <row r="3315" customFormat="false" ht="12.8" hidden="false" customHeight="true" outlineLevel="0" collapsed="false">
      <c r="M3315" s="8"/>
    </row>
    <row r="3316" customFormat="false" ht="12.8" hidden="false" customHeight="true" outlineLevel="0" collapsed="false">
      <c r="M3316" s="8"/>
    </row>
    <row r="3317" customFormat="false" ht="12.8" hidden="false" customHeight="true" outlineLevel="0" collapsed="false">
      <c r="M3317" s="8"/>
    </row>
    <row r="3318" customFormat="false" ht="12.8" hidden="false" customHeight="true" outlineLevel="0" collapsed="false">
      <c r="M3318" s="8"/>
    </row>
    <row r="3319" customFormat="false" ht="12.8" hidden="false" customHeight="true" outlineLevel="0" collapsed="false">
      <c r="M3319" s="8"/>
    </row>
    <row r="3320" customFormat="false" ht="12.8" hidden="false" customHeight="true" outlineLevel="0" collapsed="false">
      <c r="M3320" s="8"/>
    </row>
    <row r="3321" customFormat="false" ht="12.8" hidden="false" customHeight="true" outlineLevel="0" collapsed="false">
      <c r="M3321" s="8"/>
    </row>
    <row r="3322" customFormat="false" ht="12.8" hidden="false" customHeight="true" outlineLevel="0" collapsed="false">
      <c r="M3322" s="8"/>
    </row>
    <row r="3323" customFormat="false" ht="12.8" hidden="false" customHeight="true" outlineLevel="0" collapsed="false">
      <c r="M3323" s="8"/>
    </row>
    <row r="3324" customFormat="false" ht="12.8" hidden="false" customHeight="true" outlineLevel="0" collapsed="false">
      <c r="M3324" s="8"/>
    </row>
    <row r="3325" customFormat="false" ht="12.8" hidden="false" customHeight="true" outlineLevel="0" collapsed="false">
      <c r="M3325" s="8"/>
    </row>
    <row r="3326" customFormat="false" ht="12.8" hidden="false" customHeight="true" outlineLevel="0" collapsed="false">
      <c r="M3326" s="8"/>
    </row>
    <row r="3327" customFormat="false" ht="12.8" hidden="false" customHeight="true" outlineLevel="0" collapsed="false">
      <c r="M3327" s="8"/>
    </row>
    <row r="3328" customFormat="false" ht="12.8" hidden="false" customHeight="true" outlineLevel="0" collapsed="false">
      <c r="M3328" s="8"/>
    </row>
    <row r="3329" customFormat="false" ht="12.8" hidden="false" customHeight="true" outlineLevel="0" collapsed="false">
      <c r="M3329" s="8"/>
    </row>
    <row r="3330" customFormat="false" ht="12.8" hidden="false" customHeight="true" outlineLevel="0" collapsed="false">
      <c r="M3330" s="8"/>
    </row>
    <row r="3331" customFormat="false" ht="12.8" hidden="false" customHeight="true" outlineLevel="0" collapsed="false">
      <c r="M3331" s="8"/>
    </row>
    <row r="3332" customFormat="false" ht="12.8" hidden="false" customHeight="true" outlineLevel="0" collapsed="false">
      <c r="M3332" s="8"/>
    </row>
    <row r="3333" customFormat="false" ht="12.8" hidden="false" customHeight="true" outlineLevel="0" collapsed="false">
      <c r="M3333" s="8"/>
    </row>
    <row r="3334" customFormat="false" ht="12.8" hidden="false" customHeight="true" outlineLevel="0" collapsed="false">
      <c r="M3334" s="8"/>
    </row>
    <row r="3335" customFormat="false" ht="12.8" hidden="false" customHeight="true" outlineLevel="0" collapsed="false">
      <c r="M3335" s="8"/>
    </row>
    <row r="3336" customFormat="false" ht="12.8" hidden="false" customHeight="true" outlineLevel="0" collapsed="false">
      <c r="M3336" s="8"/>
    </row>
    <row r="3337" customFormat="false" ht="12.8" hidden="false" customHeight="true" outlineLevel="0" collapsed="false">
      <c r="M3337" s="8"/>
    </row>
    <row r="3338" customFormat="false" ht="12.8" hidden="false" customHeight="true" outlineLevel="0" collapsed="false">
      <c r="M3338" s="8"/>
    </row>
    <row r="3339" customFormat="false" ht="12.8" hidden="false" customHeight="true" outlineLevel="0" collapsed="false">
      <c r="M3339" s="8"/>
    </row>
    <row r="3340" customFormat="false" ht="12.8" hidden="false" customHeight="true" outlineLevel="0" collapsed="false">
      <c r="M3340" s="8"/>
    </row>
    <row r="3341" customFormat="false" ht="12.8" hidden="false" customHeight="true" outlineLevel="0" collapsed="false">
      <c r="M3341" s="8"/>
    </row>
    <row r="3342" customFormat="false" ht="12.8" hidden="false" customHeight="true" outlineLevel="0" collapsed="false">
      <c r="M3342" s="8"/>
    </row>
    <row r="3343" customFormat="false" ht="12.8" hidden="false" customHeight="true" outlineLevel="0" collapsed="false">
      <c r="M3343" s="8"/>
    </row>
    <row r="3344" customFormat="false" ht="12.8" hidden="false" customHeight="true" outlineLevel="0" collapsed="false">
      <c r="M3344" s="8"/>
    </row>
    <row r="3345" customFormat="false" ht="12.8" hidden="false" customHeight="true" outlineLevel="0" collapsed="false">
      <c r="M3345" s="8"/>
    </row>
    <row r="3346" customFormat="false" ht="12.8" hidden="false" customHeight="true" outlineLevel="0" collapsed="false">
      <c r="M3346" s="8"/>
    </row>
    <row r="3347" customFormat="false" ht="12.8" hidden="false" customHeight="true" outlineLevel="0" collapsed="false">
      <c r="M3347" s="8"/>
    </row>
    <row r="3348" customFormat="false" ht="12.8" hidden="false" customHeight="true" outlineLevel="0" collapsed="false">
      <c r="M3348" s="8"/>
    </row>
    <row r="3349" customFormat="false" ht="12.8" hidden="false" customHeight="true" outlineLevel="0" collapsed="false">
      <c r="M3349" s="8"/>
    </row>
    <row r="3350" customFormat="false" ht="12.8" hidden="false" customHeight="true" outlineLevel="0" collapsed="false">
      <c r="M3350" s="8"/>
    </row>
    <row r="3351" customFormat="false" ht="12.8" hidden="false" customHeight="true" outlineLevel="0" collapsed="false">
      <c r="M3351" s="8"/>
    </row>
    <row r="3352" customFormat="false" ht="12.8" hidden="false" customHeight="true" outlineLevel="0" collapsed="false">
      <c r="M3352" s="8"/>
    </row>
    <row r="3353" customFormat="false" ht="12.8" hidden="false" customHeight="true" outlineLevel="0" collapsed="false">
      <c r="M3353" s="8"/>
    </row>
    <row r="3354" customFormat="false" ht="12.8" hidden="false" customHeight="true" outlineLevel="0" collapsed="false">
      <c r="M3354" s="8"/>
    </row>
    <row r="3355" customFormat="false" ht="12.8" hidden="false" customHeight="true" outlineLevel="0" collapsed="false">
      <c r="M3355" s="8"/>
    </row>
    <row r="3356" customFormat="false" ht="12.8" hidden="false" customHeight="true" outlineLevel="0" collapsed="false">
      <c r="M3356" s="8"/>
    </row>
    <row r="3357" customFormat="false" ht="12.8" hidden="false" customHeight="true" outlineLevel="0" collapsed="false">
      <c r="M3357" s="8"/>
    </row>
    <row r="3358" customFormat="false" ht="12.8" hidden="false" customHeight="true" outlineLevel="0" collapsed="false">
      <c r="M3358" s="8"/>
    </row>
    <row r="3359" customFormat="false" ht="12.8" hidden="false" customHeight="true" outlineLevel="0" collapsed="false">
      <c r="M3359" s="8"/>
    </row>
    <row r="3360" customFormat="false" ht="12.8" hidden="false" customHeight="true" outlineLevel="0" collapsed="false">
      <c r="M3360" s="8"/>
    </row>
    <row r="3361" customFormat="false" ht="12.8" hidden="false" customHeight="true" outlineLevel="0" collapsed="false">
      <c r="M3361" s="8"/>
    </row>
    <row r="3362" customFormat="false" ht="12.8" hidden="false" customHeight="true" outlineLevel="0" collapsed="false">
      <c r="M3362" s="8"/>
    </row>
    <row r="3363" customFormat="false" ht="12.8" hidden="false" customHeight="true" outlineLevel="0" collapsed="false">
      <c r="M3363" s="8"/>
    </row>
    <row r="3364" customFormat="false" ht="12.8" hidden="false" customHeight="true" outlineLevel="0" collapsed="false">
      <c r="M3364" s="8"/>
    </row>
    <row r="3365" customFormat="false" ht="12.8" hidden="false" customHeight="true" outlineLevel="0" collapsed="false">
      <c r="M3365" s="8"/>
    </row>
    <row r="3366" customFormat="false" ht="12.8" hidden="false" customHeight="true" outlineLevel="0" collapsed="false">
      <c r="M3366" s="8"/>
    </row>
    <row r="3367" customFormat="false" ht="12.8" hidden="false" customHeight="true" outlineLevel="0" collapsed="false">
      <c r="M3367" s="8"/>
    </row>
    <row r="3368" customFormat="false" ht="12.8" hidden="false" customHeight="true" outlineLevel="0" collapsed="false">
      <c r="M3368" s="8"/>
    </row>
    <row r="3369" customFormat="false" ht="12.8" hidden="false" customHeight="true" outlineLevel="0" collapsed="false">
      <c r="M3369" s="8"/>
    </row>
    <row r="3370" customFormat="false" ht="12.8" hidden="false" customHeight="true" outlineLevel="0" collapsed="false">
      <c r="M3370" s="8"/>
    </row>
    <row r="3371" customFormat="false" ht="12.8" hidden="false" customHeight="true" outlineLevel="0" collapsed="false">
      <c r="M3371" s="8"/>
    </row>
    <row r="3372" customFormat="false" ht="12.8" hidden="false" customHeight="true" outlineLevel="0" collapsed="false">
      <c r="M3372" s="8"/>
    </row>
    <row r="3373" customFormat="false" ht="12.8" hidden="false" customHeight="true" outlineLevel="0" collapsed="false">
      <c r="M3373" s="8"/>
    </row>
    <row r="3374" customFormat="false" ht="12.8" hidden="false" customHeight="true" outlineLevel="0" collapsed="false">
      <c r="M3374" s="8"/>
    </row>
    <row r="3375" customFormat="false" ht="12.8" hidden="false" customHeight="true" outlineLevel="0" collapsed="false">
      <c r="M3375" s="8"/>
    </row>
    <row r="3376" customFormat="false" ht="12.8" hidden="false" customHeight="true" outlineLevel="0" collapsed="false">
      <c r="M3376" s="8"/>
    </row>
    <row r="3377" customFormat="false" ht="12.8" hidden="false" customHeight="true" outlineLevel="0" collapsed="false">
      <c r="M3377" s="8"/>
    </row>
    <row r="3378" customFormat="false" ht="12.8" hidden="false" customHeight="true" outlineLevel="0" collapsed="false">
      <c r="M3378" s="8"/>
    </row>
    <row r="3379" customFormat="false" ht="12.8" hidden="false" customHeight="true" outlineLevel="0" collapsed="false">
      <c r="M3379" s="8"/>
    </row>
    <row r="3380" customFormat="false" ht="12.8" hidden="false" customHeight="true" outlineLevel="0" collapsed="false">
      <c r="M3380" s="8"/>
    </row>
    <row r="3381" customFormat="false" ht="12.8" hidden="false" customHeight="true" outlineLevel="0" collapsed="false">
      <c r="M3381" s="8"/>
    </row>
    <row r="3382" customFormat="false" ht="12.8" hidden="false" customHeight="true" outlineLevel="0" collapsed="false">
      <c r="M3382" s="8"/>
    </row>
    <row r="3383" customFormat="false" ht="12.8" hidden="false" customHeight="true" outlineLevel="0" collapsed="false">
      <c r="M3383" s="8"/>
    </row>
    <row r="3384" customFormat="false" ht="12.8" hidden="false" customHeight="true" outlineLevel="0" collapsed="false">
      <c r="M3384" s="8"/>
    </row>
    <row r="3385" customFormat="false" ht="12.8" hidden="false" customHeight="true" outlineLevel="0" collapsed="false">
      <c r="M3385" s="8"/>
    </row>
    <row r="3386" customFormat="false" ht="12.8" hidden="false" customHeight="true" outlineLevel="0" collapsed="false">
      <c r="M3386" s="8"/>
    </row>
    <row r="3387" customFormat="false" ht="12.8" hidden="false" customHeight="true" outlineLevel="0" collapsed="false">
      <c r="M3387" s="8"/>
    </row>
    <row r="3388" customFormat="false" ht="12.8" hidden="false" customHeight="true" outlineLevel="0" collapsed="false">
      <c r="M3388" s="8"/>
    </row>
    <row r="3389" customFormat="false" ht="12.8" hidden="false" customHeight="true" outlineLevel="0" collapsed="false">
      <c r="M3389" s="8"/>
    </row>
    <row r="3390" customFormat="false" ht="12.8" hidden="false" customHeight="true" outlineLevel="0" collapsed="false">
      <c r="M3390" s="8"/>
    </row>
    <row r="3391" customFormat="false" ht="12.8" hidden="false" customHeight="true" outlineLevel="0" collapsed="false">
      <c r="M3391" s="8"/>
    </row>
    <row r="3392" customFormat="false" ht="12.8" hidden="false" customHeight="true" outlineLevel="0" collapsed="false">
      <c r="M3392" s="8"/>
    </row>
    <row r="3393" customFormat="false" ht="12.8" hidden="false" customHeight="true" outlineLevel="0" collapsed="false">
      <c r="M3393" s="8"/>
    </row>
    <row r="3394" customFormat="false" ht="12.8" hidden="false" customHeight="true" outlineLevel="0" collapsed="false">
      <c r="M3394" s="8"/>
    </row>
    <row r="3395" customFormat="false" ht="12.8" hidden="false" customHeight="true" outlineLevel="0" collapsed="false">
      <c r="M3395" s="8"/>
    </row>
    <row r="3396" customFormat="false" ht="12.8" hidden="false" customHeight="true" outlineLevel="0" collapsed="false">
      <c r="M3396" s="8"/>
    </row>
    <row r="3397" customFormat="false" ht="12.8" hidden="false" customHeight="true" outlineLevel="0" collapsed="false">
      <c r="M3397" s="8"/>
    </row>
    <row r="3398" customFormat="false" ht="12.8" hidden="false" customHeight="true" outlineLevel="0" collapsed="false">
      <c r="M3398" s="8"/>
    </row>
    <row r="3399" customFormat="false" ht="12.8" hidden="false" customHeight="true" outlineLevel="0" collapsed="false">
      <c r="M3399" s="8"/>
    </row>
    <row r="3400" customFormat="false" ht="12.8" hidden="false" customHeight="true" outlineLevel="0" collapsed="false">
      <c r="M3400" s="8"/>
    </row>
    <row r="3401" customFormat="false" ht="12.8" hidden="false" customHeight="true" outlineLevel="0" collapsed="false">
      <c r="M3401" s="8"/>
    </row>
    <row r="3402" customFormat="false" ht="12.8" hidden="false" customHeight="true" outlineLevel="0" collapsed="false">
      <c r="M3402"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Roman,보통"&amp;12&amp;A</oddHeader>
    <oddFooter>&amp;C&amp;"Times New Roman,보통"&amp;12페이지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240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Q1" activeCellId="0" sqref="Q1"/>
    </sheetView>
  </sheetViews>
  <sheetFormatPr defaultColWidth="11.640625" defaultRowHeight="17.9" customHeight="true" zeroHeight="false" outlineLevelRow="0" outlineLevelCol="0"/>
  <cols>
    <col collapsed="false" customWidth="true" hidden="false" outlineLevel="0" max="1" min="1" style="9" width="5.76"/>
    <col collapsed="false" customWidth="true" hidden="false" outlineLevel="0" max="2" min="2" style="9" width="9.88"/>
    <col collapsed="false" customWidth="true" hidden="false" outlineLevel="0" max="5" min="3" style="9" width="5.75"/>
    <col collapsed="false" customWidth="true" hidden="false" outlineLevel="0" max="7" min="6" style="9" width="6.78"/>
    <col collapsed="false" customWidth="true" hidden="false" outlineLevel="0" max="8" min="8" style="9" width="7.82"/>
    <col collapsed="false" customWidth="true" hidden="false" outlineLevel="0" max="9" min="9" style="9" width="6.06"/>
    <col collapsed="false" customWidth="true" hidden="false" outlineLevel="0" max="10" min="10" style="10" width="3.1"/>
    <col collapsed="false" customWidth="true" hidden="false" outlineLevel="0" max="12" min="11" style="9" width="7.82"/>
    <col collapsed="false" customWidth="true" hidden="false" outlineLevel="0" max="13" min="13" style="11" width="2.8"/>
    <col collapsed="false" customWidth="true" hidden="false" outlineLevel="0" max="15" min="14" style="10" width="3.68"/>
    <col collapsed="false" customWidth="true" hidden="false" outlineLevel="0" max="16" min="16" style="12" width="2.8"/>
    <col collapsed="false" customWidth="true" hidden="false" outlineLevel="0" max="17" min="17" style="9" width="39.87"/>
    <col collapsed="false" customWidth="true" hidden="false" outlineLevel="0" max="18" min="18" style="9" width="2.52"/>
    <col collapsed="false" customWidth="true" hidden="false" outlineLevel="0" max="22" min="19" style="9" width="7.73"/>
    <col collapsed="false" customWidth="true" hidden="false" outlineLevel="0" max="23" min="23" style="9" width="2.38"/>
    <col collapsed="false" customWidth="true" hidden="false" outlineLevel="0" max="27" min="24" style="9" width="7.73"/>
    <col collapsed="false" customWidth="true" hidden="false" outlineLevel="0" max="28" min="28" style="9" width="3.64"/>
    <col collapsed="false" customWidth="true" hidden="false" outlineLevel="0" max="29" min="29" style="9" width="2.24"/>
    <col collapsed="false" customWidth="true" hidden="false" outlineLevel="0" max="30" min="30" style="9" width="9.53"/>
    <col collapsed="false" customWidth="true" hidden="false" outlineLevel="0" max="61" min="31" style="9" width="3.64"/>
    <col collapsed="false" customWidth="false" hidden="false" outlineLevel="0" max="112" min="62" style="9" width="11.64"/>
    <col collapsed="false" customWidth="false" hidden="false" outlineLevel="0" max="141" min="113" style="13" width="11.64"/>
    <col collapsed="false" customWidth="false" hidden="false" outlineLevel="0" max="16384" min="142" style="9" width="11.64"/>
  </cols>
  <sheetData>
    <row r="1" customFormat="false" ht="17.9" hidden="false" customHeight="true" outlineLevel="0" collapsed="false">
      <c r="A1" s="14" t="s">
        <v>767</v>
      </c>
      <c r="B1" s="14" t="s">
        <v>768</v>
      </c>
      <c r="C1" s="14" t="s">
        <v>769</v>
      </c>
      <c r="D1" s="14" t="s">
        <v>770</v>
      </c>
      <c r="E1" s="14" t="s">
        <v>771</v>
      </c>
      <c r="F1" s="14" t="s">
        <v>772</v>
      </c>
      <c r="G1" s="14" t="s">
        <v>773</v>
      </c>
      <c r="H1" s="14" t="s">
        <v>774</v>
      </c>
      <c r="I1" s="14" t="n">
        <f aca="false">COUNTIF($I$2:$I$2406, 0)</f>
        <v>13</v>
      </c>
      <c r="K1" s="14" t="s">
        <v>775</v>
      </c>
      <c r="L1" s="14" t="s">
        <v>776</v>
      </c>
      <c r="Q1" s="15" t="s">
        <v>777</v>
      </c>
      <c r="S1" s="14" t="s">
        <v>769</v>
      </c>
      <c r="T1" s="14" t="s">
        <v>778</v>
      </c>
      <c r="U1" s="14" t="s">
        <v>779</v>
      </c>
      <c r="V1" s="14" t="s">
        <v>780</v>
      </c>
      <c r="X1" s="14" t="s">
        <v>770</v>
      </c>
      <c r="Y1" s="14" t="s">
        <v>778</v>
      </c>
      <c r="Z1" s="14" t="s">
        <v>779</v>
      </c>
      <c r="AA1" s="14" t="s">
        <v>780</v>
      </c>
    </row>
    <row r="2" customFormat="false" ht="17.9" hidden="false" customHeight="true" outlineLevel="0" collapsed="false">
      <c r="A2" s="16" t="s">
        <v>781</v>
      </c>
      <c r="B2" s="16" t="n">
        <f aca="false">IF(_xlfn.UNICODE(A2)&lt;44032,-1,_xlfn.UNICODE(A2)-44032)</f>
        <v>0</v>
      </c>
      <c r="C2" s="16" t="n">
        <f aca="false">IF(B2=-1,-1,INT((B2/28)/21))</f>
        <v>0</v>
      </c>
      <c r="D2" s="16" t="n">
        <f aca="false">IF(B2=-1, -1, MOD(INT(B2/28),21))</f>
        <v>0</v>
      </c>
      <c r="E2" s="16" t="n">
        <f aca="false">IF(B2=-1, -1, VLOOKUP(MOD(B2,28), $T$24:$U$52,2))</f>
        <v>0</v>
      </c>
      <c r="F2" s="16" t="n">
        <f aca="false">IF($B2=-1, -1, VLOOKUP(C2,$T$1:$V$20, 2))</f>
        <v>7</v>
      </c>
      <c r="G2" s="16" t="n">
        <f aca="false">IF($B2=-1, -1, VLOOKUP(D2,$Y$1:$Z$22,2))</f>
        <v>13</v>
      </c>
      <c r="H2" s="16" t="str">
        <f aca="false">_xlfn.UNICHAR(((F2*21)+G2)*28+44032)</f>
        <v>부</v>
      </c>
      <c r="I2" s="16" t="n">
        <f aca="false">IF(B2=-1, 1, COUNTIF($A$2:$A$3000, H2))</f>
        <v>1</v>
      </c>
      <c r="J2" s="10" t="str">
        <f aca="false">_xlfn.CONCAT(A2, ",",H2,",",I2)</f>
        <v>가,부,1</v>
      </c>
      <c r="K2" s="16" t="n">
        <f aca="false">IF(B2=-1,-1,VLOOKUP(C2,$T$1:$V$20,3))</f>
        <v>1</v>
      </c>
      <c r="L2" s="16" t="n">
        <f aca="false">IF(B2=-1,-1,VLOOKUP(D2,$Y$1:$AA$22,3))</f>
        <v>2</v>
      </c>
      <c r="N2" s="10" t="str">
        <f aca="false">_xlfn.UNICHAR(((C2*21)+G2)*28+44032)</f>
        <v>구</v>
      </c>
      <c r="O2" s="10" t="str">
        <f aca="false">_xlfn.UNICHAR(((F2*21)+D2)*28+44032)</f>
        <v>바</v>
      </c>
      <c r="P2" s="12" t="n">
        <f aca="false">COUNTIF($A$2:$A$3000, N2) + COUNTIF($A$2:$A$3000, O2)</f>
        <v>2</v>
      </c>
      <c r="Q2" s="16" t="str">
        <f aca="false">IF(OR(B2=-1,I2=0, P2&lt;&gt;2), "albhed_dummy", _xlfn.CONCAT("albhed ", RIGHT("  " &amp; K2,2),", ", RIGHT("  " &amp; L2,2), ", " ,"""",H2,""", ", """",N2,""", ","""",O2,""""," ; ", A2))</f>
        <v>albhed  1,  2, "부", "구", "바" ; 가</v>
      </c>
      <c r="S2" s="16" t="s">
        <v>782</v>
      </c>
      <c r="T2" s="16" t="n">
        <v>0</v>
      </c>
      <c r="U2" s="16" t="n">
        <v>7</v>
      </c>
      <c r="V2" s="16" t="n">
        <v>1</v>
      </c>
      <c r="W2" s="17"/>
      <c r="X2" s="16" t="s">
        <v>783</v>
      </c>
      <c r="Y2" s="16" t="n">
        <v>0</v>
      </c>
      <c r="Z2" s="16" t="n">
        <v>13</v>
      </c>
      <c r="AA2" s="16" t="n">
        <v>2</v>
      </c>
      <c r="AB2" s="17"/>
      <c r="AC2" s="17"/>
      <c r="AD2" s="14" t="s">
        <v>784</v>
      </c>
      <c r="AE2" s="16" t="s">
        <v>785</v>
      </c>
      <c r="AF2" s="16" t="s">
        <v>786</v>
      </c>
      <c r="AG2" s="16" t="s">
        <v>787</v>
      </c>
      <c r="AH2" s="16" t="s">
        <v>788</v>
      </c>
      <c r="AI2" s="16" t="s">
        <v>789</v>
      </c>
      <c r="AJ2" s="16" t="s">
        <v>790</v>
      </c>
      <c r="AK2" s="16" t="s">
        <v>791</v>
      </c>
      <c r="AL2" s="16" t="s">
        <v>792</v>
      </c>
      <c r="AM2" s="16" t="s">
        <v>793</v>
      </c>
      <c r="AN2" s="16" t="s">
        <v>794</v>
      </c>
      <c r="AO2" s="16" t="s">
        <v>795</v>
      </c>
      <c r="AP2" s="16"/>
      <c r="AQ2" s="16" t="s">
        <v>796</v>
      </c>
      <c r="AR2" s="16" t="s">
        <v>797</v>
      </c>
      <c r="AS2" s="16" t="s">
        <v>786</v>
      </c>
      <c r="AT2" s="16" t="s">
        <v>798</v>
      </c>
      <c r="AU2" s="16" t="s">
        <v>789</v>
      </c>
      <c r="AV2" s="16"/>
      <c r="AW2" s="16"/>
      <c r="AX2" s="16"/>
      <c r="AY2" s="16"/>
      <c r="AZ2" s="16"/>
      <c r="BA2" s="16"/>
      <c r="BB2" s="16"/>
      <c r="BC2" s="16"/>
      <c r="BD2" s="16"/>
      <c r="BE2" s="16"/>
      <c r="BF2" s="16"/>
      <c r="BG2" s="16"/>
      <c r="BH2" s="16"/>
      <c r="BI2" s="16"/>
    </row>
    <row r="3" customFormat="false" ht="17.9" hidden="false" customHeight="true" outlineLevel="0" collapsed="false">
      <c r="A3" s="16" t="s">
        <v>799</v>
      </c>
      <c r="B3" s="16" t="n">
        <f aca="false">IF(_xlfn.UNICODE(A3)&lt;44032,-1,_xlfn.UNICODE(A3)-44032)</f>
        <v>1</v>
      </c>
      <c r="C3" s="16" t="n">
        <f aca="false">IF(B3=-1,-1,INT((B3/28)/21))</f>
        <v>0</v>
      </c>
      <c r="D3" s="16" t="n">
        <f aca="false">IF(B3=-1, -1, MOD(INT(B3/28),21))</f>
        <v>0</v>
      </c>
      <c r="E3" s="16" t="n">
        <f aca="false">IF(B3=-1, -1, VLOOKUP(MOD(B3,28), $T$24:$U$52,2))</f>
        <v>1</v>
      </c>
      <c r="F3" s="16" t="n">
        <f aca="false">IF($B3=-1, -1, VLOOKUP(C3,$T$1:$V$20, 2))</f>
        <v>7</v>
      </c>
      <c r="G3" s="16" t="n">
        <f aca="false">IF($B3=-1, -1, VLOOKUP(D3,$Y$1:$Z$22,2))</f>
        <v>13</v>
      </c>
      <c r="H3" s="16" t="str">
        <f aca="false">_xlfn.UNICHAR(((F3*21)+G3)*28+44032)</f>
        <v>부</v>
      </c>
      <c r="I3" s="16" t="n">
        <f aca="false">IF(B3=-1, 1, COUNTIF($A$2:$A$3000, H3))</f>
        <v>1</v>
      </c>
      <c r="J3" s="10" t="str">
        <f aca="false">_xlfn.CONCAT(A3, ",",H3,",",I3)</f>
        <v>각,부,1</v>
      </c>
      <c r="K3" s="16" t="n">
        <f aca="false">IF(B3=-1,-1,VLOOKUP(C3,$T$1:$V$20,3))</f>
        <v>1</v>
      </c>
      <c r="L3" s="16" t="n">
        <f aca="false">IF(B3=-1,-1,VLOOKUP(D3,$Y$1:$AA$22,3))</f>
        <v>2</v>
      </c>
      <c r="N3" s="10" t="str">
        <f aca="false">_xlfn.UNICHAR(((C3*21)+G3)*28+44032)</f>
        <v>구</v>
      </c>
      <c r="O3" s="10" t="str">
        <f aca="false">_xlfn.UNICHAR(((F3*21)+D3)*28+44032)</f>
        <v>바</v>
      </c>
      <c r="P3" s="12" t="n">
        <f aca="false">COUNTIF($A$2:$A$3000, N3) + COUNTIF($A$2:$A$3000, O3)</f>
        <v>2</v>
      </c>
      <c r="Q3" s="16" t="str">
        <f aca="false">IF(OR(B3=-1,I3=0, P3&lt;&gt;2), "albhed_dummy", _xlfn.CONCAT("albhed ", RIGHT("  " &amp; K3,2),", ", RIGHT("  " &amp; L3,2), ", " ,"""",H3,""", ", """",N3,""", ","""",O3,""""," ; ", A3))</f>
        <v>albhed  1,  2, "부", "구", "바" ; 각</v>
      </c>
      <c r="S3" s="16" t="s">
        <v>800</v>
      </c>
      <c r="T3" s="16" t="n">
        <v>1</v>
      </c>
      <c r="U3" s="16" t="n">
        <v>8</v>
      </c>
      <c r="V3" s="16" t="n">
        <v>1</v>
      </c>
      <c r="W3" s="17"/>
      <c r="X3" s="16" t="s">
        <v>801</v>
      </c>
      <c r="Y3" s="16" t="n">
        <v>1</v>
      </c>
      <c r="Z3" s="16" t="n">
        <v>18</v>
      </c>
      <c r="AA3" s="16" t="n">
        <v>10</v>
      </c>
      <c r="AB3" s="17"/>
      <c r="AC3" s="17"/>
      <c r="AD3" s="14" t="s">
        <v>774</v>
      </c>
      <c r="AE3" s="16" t="str">
        <f aca="false">VLOOKUP(AE$2,$A$1:$I$2406,8,0)</f>
        <v>허</v>
      </c>
      <c r="AF3" s="16" t="str">
        <f aca="false">VLOOKUP(AF$2,$A$1:$I$2406,8,0)</f>
        <v>체</v>
      </c>
      <c r="AG3" s="16" t="str">
        <f aca="false">VLOOKUP(AG$2,$A$1:$I$2406,8,0)</f>
        <v>두</v>
      </c>
      <c r="AH3" s="16" t="str">
        <f aca="false">VLOOKUP(AH$2,$A$1:$I$2406,8,0)</f>
        <v>우</v>
      </c>
      <c r="AI3" s="16" t="str">
        <f aca="false">VLOOKUP(AI$2,$A$1:$I$2406,8,0)</f>
        <v>게</v>
      </c>
      <c r="AJ3" s="16" t="str">
        <f aca="false">VLOOKUP(AJ$2,$A$1:$I$2406,8,0)</f>
        <v>로</v>
      </c>
      <c r="AK3" s="16" t="str">
        <f aca="false">VLOOKUP(AK$2,$A$1:$I$2406,8,0)</f>
        <v>보</v>
      </c>
      <c r="AL3" s="16" t="str">
        <f aca="false">VLOOKUP(AL$2,$A$1:$I$2406,8,0)</f>
        <v>라</v>
      </c>
      <c r="AM3" s="16" t="str">
        <f aca="false">VLOOKUP(AM$2,$A$1:$I$2406,8,0)</f>
        <v>체</v>
      </c>
      <c r="AN3" s="16" t="str">
        <f aca="false">VLOOKUP(AN$2,$A$1:$I$2406,8,0)</f>
        <v>제</v>
      </c>
      <c r="AO3" s="16" t="str">
        <f aca="false">VLOOKUP(AO$2,$A$1:$I$2406,8,0)</f>
        <v>요</v>
      </c>
      <c r="AP3" s="16" t="e">
        <f aca="false">VLOOKUP(AP$2,$A$1:$I$2406,8,0)</f>
        <v>#N/A</v>
      </c>
      <c r="AQ3" s="16" t="str">
        <f aca="false">VLOOKUP(AQ$2,$A$1:$I$2406,8,0)</f>
        <v>제</v>
      </c>
      <c r="AR3" s="16" t="str">
        <f aca="false">VLOOKUP(AR$2,$A$1:$I$2406,8,0)</f>
        <v>러</v>
      </c>
      <c r="AS3" s="16" t="str">
        <f aca="false">VLOOKUP(AS$2,$A$1:$I$2406,8,0)</f>
        <v>체</v>
      </c>
      <c r="AT3" s="16" t="str">
        <f aca="false">VLOOKUP(AT$2,$A$1:$I$2406,8,0)</f>
        <v>코</v>
      </c>
      <c r="AU3" s="16" t="str">
        <f aca="false">VLOOKUP(AU$2,$A$1:$I$2406,8,0)</f>
        <v>게</v>
      </c>
      <c r="AV3" s="16" t="e">
        <f aca="false">VLOOKUP(AV$2,$A$1:$I$2406,8,0)</f>
        <v>#N/A</v>
      </c>
      <c r="AW3" s="16" t="e">
        <f aca="false">VLOOKUP(AW$2,$A$1:$I$2406,8,0)</f>
        <v>#N/A</v>
      </c>
      <c r="AX3" s="16" t="e">
        <f aca="false">VLOOKUP(AX$2,$A$1:$I$2406,8,0)</f>
        <v>#N/A</v>
      </c>
      <c r="AY3" s="16" t="e">
        <f aca="false">VLOOKUP(AY$2,$A$1:$I$2406,8,0)</f>
        <v>#N/A</v>
      </c>
      <c r="AZ3" s="16" t="e">
        <f aca="false">VLOOKUP(AZ$2,$A$1:$I$2406,8,0)</f>
        <v>#N/A</v>
      </c>
      <c r="BA3" s="16" t="e">
        <f aca="false">VLOOKUP(BA$2,$A$1:$I$2406,8,0)</f>
        <v>#N/A</v>
      </c>
      <c r="BB3" s="16" t="e">
        <f aca="false">VLOOKUP(BB$2,$A$1:$I$2406,8,0)</f>
        <v>#N/A</v>
      </c>
      <c r="BC3" s="16" t="e">
        <f aca="false">VLOOKUP(BC$2,$A$1:$I$2406,8,0)</f>
        <v>#N/A</v>
      </c>
      <c r="BD3" s="16" t="e">
        <f aca="false">VLOOKUP(BD$2,$A$1:$I$2406,8,0)</f>
        <v>#N/A</v>
      </c>
      <c r="BE3" s="16" t="e">
        <f aca="false">VLOOKUP(BE$2,$A$1:$I$2406,8,0)</f>
        <v>#N/A</v>
      </c>
      <c r="BF3" s="16" t="e">
        <f aca="false">VLOOKUP(BF$2,$A$1:$I$2406,8,0)</f>
        <v>#N/A</v>
      </c>
      <c r="BG3" s="16" t="e">
        <f aca="false">VLOOKUP(BG$2,$A$1:$I$2406,8,0)</f>
        <v>#N/A</v>
      </c>
      <c r="BH3" s="16" t="e">
        <f aca="false">VLOOKUP(BH$2,$A$1:$I$2406,8,0)</f>
        <v>#N/A</v>
      </c>
      <c r="BI3" s="16" t="e">
        <f aca="false">VLOOKUP(BI$2,$A$1:$I$2406,8,0)</f>
        <v>#N/A</v>
      </c>
    </row>
    <row r="4" customFormat="false" ht="17.9" hidden="false" customHeight="true" outlineLevel="0" collapsed="false">
      <c r="A4" s="16" t="s">
        <v>802</v>
      </c>
      <c r="B4" s="16" t="n">
        <f aca="false">IF(_xlfn.UNICODE(A4)&lt;44032,-1,_xlfn.UNICODE(A4)-44032)</f>
        <v>4</v>
      </c>
      <c r="C4" s="16" t="n">
        <f aca="false">IF(B4=-1,-1,INT((B4/28)/21))</f>
        <v>0</v>
      </c>
      <c r="D4" s="16" t="n">
        <f aca="false">IF(B4=-1, -1, MOD(INT(B4/28),21))</f>
        <v>0</v>
      </c>
      <c r="E4" s="16" t="n">
        <f aca="false">IF(B4=-1, -1, VLOOKUP(MOD(B4,28), $T$24:$U$52,2))</f>
        <v>4</v>
      </c>
      <c r="F4" s="16" t="n">
        <f aca="false">IF($B4=-1, -1, VLOOKUP(C4,$T$1:$V$20, 2))</f>
        <v>7</v>
      </c>
      <c r="G4" s="16" t="n">
        <f aca="false">IF($B4=-1, -1, VLOOKUP(D4,$Y$1:$Z$22,2))</f>
        <v>13</v>
      </c>
      <c r="H4" s="16" t="str">
        <f aca="false">_xlfn.UNICHAR(((F4*21)+G4)*28+44032)</f>
        <v>부</v>
      </c>
      <c r="I4" s="16" t="n">
        <f aca="false">IF(B4=-1, 1, COUNTIF($A$2:$A$3000, H4))</f>
        <v>1</v>
      </c>
      <c r="J4" s="10" t="str">
        <f aca="false">_xlfn.CONCAT(A4, ",",H4,",",I4)</f>
        <v>간,부,1</v>
      </c>
      <c r="K4" s="16" t="n">
        <f aca="false">IF(B4=-1,-1,VLOOKUP(C4,$T$1:$V$20,3))</f>
        <v>1</v>
      </c>
      <c r="L4" s="16" t="n">
        <f aca="false">IF(B4=-1,-1,VLOOKUP(D4,$Y$1:$AA$22,3))</f>
        <v>2</v>
      </c>
      <c r="N4" s="10" t="str">
        <f aca="false">_xlfn.UNICHAR(((C4*21)+G4)*28+44032)</f>
        <v>구</v>
      </c>
      <c r="O4" s="10" t="str">
        <f aca="false">_xlfn.UNICHAR(((F4*21)+D4)*28+44032)</f>
        <v>바</v>
      </c>
      <c r="P4" s="12" t="n">
        <f aca="false">COUNTIF($A$2:$A$3000, N4) + COUNTIF($A$2:$A$3000, O4)</f>
        <v>2</v>
      </c>
      <c r="Q4" s="16" t="str">
        <f aca="false">IF(OR(B4=-1,I4=0, P4&lt;&gt;2), "albhed_dummy", _xlfn.CONCAT("albhed ", RIGHT("  " &amp; K4,2),", ", RIGHT("  " &amp; L4,2), ", " ,"""",H4,""", ", """",N4,""", ","""",O4,""""," ; ", A4))</f>
        <v>albhed  1,  2, "부", "구", "바" ; 간</v>
      </c>
      <c r="S4" s="16" t="s">
        <v>803</v>
      </c>
      <c r="T4" s="16" t="n">
        <v>2</v>
      </c>
      <c r="U4" s="16" t="n">
        <v>18</v>
      </c>
      <c r="V4" s="16" t="n">
        <v>3</v>
      </c>
      <c r="W4" s="17"/>
      <c r="X4" s="16" t="s">
        <v>804</v>
      </c>
      <c r="Y4" s="16" t="n">
        <v>2</v>
      </c>
      <c r="Z4" s="16" t="n">
        <v>17</v>
      </c>
      <c r="AA4" s="16" t="n">
        <v>2</v>
      </c>
      <c r="AB4" s="17"/>
      <c r="AC4" s="17"/>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row>
    <row r="5" customFormat="false" ht="17.9" hidden="false" customHeight="true" outlineLevel="0" collapsed="false">
      <c r="A5" s="16" t="s">
        <v>805</v>
      </c>
      <c r="B5" s="16" t="n">
        <f aca="false">IF(_xlfn.UNICODE(A5)&lt;44032,-1,_xlfn.UNICODE(A5)-44032)</f>
        <v>7</v>
      </c>
      <c r="C5" s="16" t="n">
        <f aca="false">IF(B5=-1,-1,INT((B5/28)/21))</f>
        <v>0</v>
      </c>
      <c r="D5" s="16" t="n">
        <f aca="false">IF(B5=-1, -1, MOD(INT(B5/28),21))</f>
        <v>0</v>
      </c>
      <c r="E5" s="16" t="n">
        <f aca="false">IF(B5=-1, -1, VLOOKUP(MOD(B5,28), $T$24:$U$52,2))</f>
        <v>19</v>
      </c>
      <c r="F5" s="16" t="n">
        <f aca="false">IF($B5=-1, -1, VLOOKUP(C5,$T$1:$V$20, 2))</f>
        <v>7</v>
      </c>
      <c r="G5" s="16" t="n">
        <f aca="false">IF($B5=-1, -1, VLOOKUP(D5,$Y$1:$Z$22,2))</f>
        <v>13</v>
      </c>
      <c r="H5" s="16" t="str">
        <f aca="false">_xlfn.UNICHAR(((F5*21)+G5)*28+44032)</f>
        <v>부</v>
      </c>
      <c r="I5" s="16" t="n">
        <f aca="false">IF(B5=-1, 1, COUNTIF($A$2:$A$3000, H5))</f>
        <v>1</v>
      </c>
      <c r="J5" s="10" t="str">
        <f aca="false">_xlfn.CONCAT(A5, ",",H5,",",I5)</f>
        <v>갇,부,1</v>
      </c>
      <c r="K5" s="16" t="n">
        <f aca="false">IF(B5=-1,-1,VLOOKUP(C5,$T$1:$V$20,3))</f>
        <v>1</v>
      </c>
      <c r="L5" s="16" t="n">
        <f aca="false">IF(B5=-1,-1,VLOOKUP(D5,$Y$1:$AA$22,3))</f>
        <v>2</v>
      </c>
      <c r="N5" s="10" t="str">
        <f aca="false">_xlfn.UNICHAR(((C5*21)+G5)*28+44032)</f>
        <v>구</v>
      </c>
      <c r="O5" s="10" t="str">
        <f aca="false">_xlfn.UNICHAR(((F5*21)+D5)*28+44032)</f>
        <v>바</v>
      </c>
      <c r="P5" s="12" t="n">
        <f aca="false">COUNTIF($A$2:$A$3000, N5) + COUNTIF($A$2:$A$3000, O5)</f>
        <v>2</v>
      </c>
      <c r="Q5" s="16" t="str">
        <f aca="false">IF(OR(B5=-1,I5=0, P5&lt;&gt;2), "albhed_dummy", _xlfn.CONCAT("albhed ", RIGHT("  " &amp; K5,2),", ", RIGHT("  " &amp; L5,2), ", " ,"""",H5,""", ", """",N5,""", ","""",O5,""""," ; ", A5))</f>
        <v>albhed  1,  2, "부", "구", "바" ; 갇</v>
      </c>
      <c r="S5" s="16" t="s">
        <v>806</v>
      </c>
      <c r="T5" s="16" t="n">
        <v>3</v>
      </c>
      <c r="U5" s="16" t="n">
        <v>9</v>
      </c>
      <c r="V5" s="16" t="n">
        <v>5</v>
      </c>
      <c r="W5" s="17"/>
      <c r="X5" s="16" t="s">
        <v>807</v>
      </c>
      <c r="Y5" s="16" t="n">
        <v>3</v>
      </c>
      <c r="Z5" s="16" t="n">
        <v>18</v>
      </c>
      <c r="AA5" s="16" t="n">
        <v>14</v>
      </c>
      <c r="AB5" s="17"/>
      <c r="AC5" s="17"/>
      <c r="AD5" s="14" t="s">
        <v>784</v>
      </c>
      <c r="AE5" s="16" t="s">
        <v>808</v>
      </c>
      <c r="AF5" s="16" t="s">
        <v>809</v>
      </c>
      <c r="AG5" s="16" t="s">
        <v>810</v>
      </c>
      <c r="AH5" s="16" t="s">
        <v>811</v>
      </c>
      <c r="AI5" s="16" t="s">
        <v>812</v>
      </c>
      <c r="AJ5" s="16"/>
      <c r="AK5" s="16" t="s">
        <v>813</v>
      </c>
      <c r="AL5" s="16" t="s">
        <v>789</v>
      </c>
      <c r="AM5" s="16" t="s">
        <v>814</v>
      </c>
      <c r="AN5" s="16"/>
      <c r="AO5" s="16" t="s">
        <v>815</v>
      </c>
      <c r="AP5" s="16" t="s">
        <v>816</v>
      </c>
      <c r="AQ5" s="16" t="s">
        <v>817</v>
      </c>
      <c r="AR5" s="16" t="s">
        <v>818</v>
      </c>
      <c r="AS5" s="16"/>
      <c r="AT5" s="16" t="s">
        <v>819</v>
      </c>
      <c r="AU5" s="16" t="s">
        <v>818</v>
      </c>
      <c r="AV5" s="16"/>
      <c r="AW5" s="16" t="s">
        <v>820</v>
      </c>
      <c r="AX5" s="16" t="s">
        <v>821</v>
      </c>
      <c r="AY5" s="16"/>
      <c r="AZ5" s="16" t="s">
        <v>822</v>
      </c>
      <c r="BA5" s="16"/>
      <c r="BB5" s="16" t="s">
        <v>823</v>
      </c>
      <c r="BC5" s="16" t="s">
        <v>824</v>
      </c>
      <c r="BD5" s="16" t="s">
        <v>825</v>
      </c>
      <c r="BE5" s="16"/>
      <c r="BF5" s="16" t="s">
        <v>826</v>
      </c>
      <c r="BG5" s="16" t="s">
        <v>827</v>
      </c>
      <c r="BH5" s="16"/>
      <c r="BI5" s="16"/>
    </row>
    <row r="6" customFormat="false" ht="17.9" hidden="false" customHeight="true" outlineLevel="0" collapsed="false">
      <c r="A6" s="16" t="s">
        <v>828</v>
      </c>
      <c r="B6" s="16" t="n">
        <f aca="false">IF(_xlfn.UNICODE(A6)&lt;44032,-1,_xlfn.UNICODE(A6)-44032)</f>
        <v>8</v>
      </c>
      <c r="C6" s="16" t="n">
        <f aca="false">IF(B6=-1,-1,INT((B6/28)/21))</f>
        <v>0</v>
      </c>
      <c r="D6" s="16" t="n">
        <f aca="false">IF(B6=-1, -1, MOD(INT(B6/28),21))</f>
        <v>0</v>
      </c>
      <c r="E6" s="16" t="n">
        <f aca="false">IF(B6=-1, -1, VLOOKUP(MOD(B6,28), $T$24:$U$52,2))</f>
        <v>8</v>
      </c>
      <c r="F6" s="16" t="n">
        <f aca="false">IF($B6=-1, -1, VLOOKUP(C6,$T$1:$V$20, 2))</f>
        <v>7</v>
      </c>
      <c r="G6" s="16" t="n">
        <f aca="false">IF($B6=-1, -1, VLOOKUP(D6,$Y$1:$Z$22,2))</f>
        <v>13</v>
      </c>
      <c r="H6" s="16" t="str">
        <f aca="false">_xlfn.UNICHAR(((F6*21)+G6)*28+44032)</f>
        <v>부</v>
      </c>
      <c r="I6" s="16" t="n">
        <f aca="false">IF(B6=-1, 1, COUNTIF($A$2:$A$3000, H6))</f>
        <v>1</v>
      </c>
      <c r="J6" s="10" t="str">
        <f aca="false">_xlfn.CONCAT(A6, ",",H6,",",I6)</f>
        <v>갈,부,1</v>
      </c>
      <c r="K6" s="16" t="n">
        <f aca="false">IF(B6=-1,-1,VLOOKUP(C6,$T$1:$V$20,3))</f>
        <v>1</v>
      </c>
      <c r="L6" s="16" t="n">
        <f aca="false">IF(B6=-1,-1,VLOOKUP(D6,$Y$1:$AA$22,3))</f>
        <v>2</v>
      </c>
      <c r="N6" s="10" t="str">
        <f aca="false">_xlfn.UNICHAR(((C6*21)+G6)*28+44032)</f>
        <v>구</v>
      </c>
      <c r="O6" s="10" t="str">
        <f aca="false">_xlfn.UNICHAR(((F6*21)+D6)*28+44032)</f>
        <v>바</v>
      </c>
      <c r="P6" s="12" t="n">
        <f aca="false">COUNTIF($A$2:$A$3000, N6) + COUNTIF($A$2:$A$3000, O6)</f>
        <v>2</v>
      </c>
      <c r="Q6" s="16" t="str">
        <f aca="false">IF(OR(B6=-1,I6=0, P6&lt;&gt;2), "albhed_dummy", _xlfn.CONCAT("albhed ", RIGHT("  " &amp; K6,2),", ", RIGHT("  " &amp; L6,2), ", " ,"""",H6,""", ", """",N6,""", ","""",O6,""""," ; ", A6))</f>
        <v>albhed  1,  2, "부", "구", "바" ; 갈</v>
      </c>
      <c r="S6" s="16" t="s">
        <v>829</v>
      </c>
      <c r="T6" s="16" t="n">
        <v>4</v>
      </c>
      <c r="U6" s="16" t="n">
        <v>10</v>
      </c>
      <c r="V6" s="16" t="n">
        <v>5</v>
      </c>
      <c r="W6" s="17"/>
      <c r="X6" s="16" t="s">
        <v>830</v>
      </c>
      <c r="Y6" s="16" t="n">
        <v>4</v>
      </c>
      <c r="Z6" s="16" t="n">
        <v>8</v>
      </c>
      <c r="AA6" s="16" t="n">
        <v>4</v>
      </c>
      <c r="AB6" s="17"/>
      <c r="AC6" s="17"/>
      <c r="AD6" s="14" t="s">
        <v>774</v>
      </c>
      <c r="AE6" s="16" t="str">
        <f aca="false">VLOOKUP(AE$5,$A$1:$I$2406,8,0)</f>
        <v>쿠</v>
      </c>
      <c r="AF6" s="16" t="str">
        <f aca="false">VLOOKUP(AF$5,$A$1:$I$2406,8,0)</f>
        <v>효</v>
      </c>
      <c r="AG6" s="16" t="str">
        <f aca="false">VLOOKUP(AG$5,$A$1:$I$2406,8,0)</f>
        <v>투</v>
      </c>
      <c r="AH6" s="16" t="str">
        <f aca="false">VLOOKUP(AH$5,$A$1:$I$2406,8,0)</f>
        <v>그</v>
      </c>
      <c r="AI6" s="16" t="str">
        <f aca="false">VLOOKUP(AI$5,$A$1:$I$2406,8,0)</f>
        <v>켜</v>
      </c>
      <c r="AJ6" s="16" t="e">
        <f aca="false">VLOOKUP(AJ$5,$A$1:$I$2406,8,0)</f>
        <v>#N/A</v>
      </c>
      <c r="AK6" s="16" t="str">
        <f aca="false">VLOOKUP(AK$5,$A$1:$I$2406,8,0)</f>
        <v>르</v>
      </c>
      <c r="AL6" s="16" t="str">
        <f aca="false">VLOOKUP(AL$5,$A$1:$I$2406,8,0)</f>
        <v>게</v>
      </c>
      <c r="AM6" s="16" t="str">
        <f aca="false">VLOOKUP(AM$5,$A$1:$I$2406,8,0)</f>
        <v>레</v>
      </c>
      <c r="AN6" s="16" t="e">
        <f aca="false">VLOOKUP(AN$5,$A$1:$I$2406,8,0)</f>
        <v>#N/A</v>
      </c>
      <c r="AO6" s="16" t="str">
        <f aca="false">VLOOKUP(AO$5,$A$1:$I$2406,8,0)</f>
        <v>케</v>
      </c>
      <c r="AP6" s="16" t="str">
        <f aca="false">VLOOKUP(AP$5,$A$1:$I$2406,8,0)</f>
        <v>게</v>
      </c>
      <c r="AQ6" s="16" t="str">
        <f aca="false">VLOOKUP(AQ$5,$A$1:$I$2406,8,0)</f>
        <v>헤</v>
      </c>
      <c r="AR6" s="16" t="str">
        <f aca="false">VLOOKUP(AR$5,$A$1:$I$2406,8,0)</f>
        <v>수</v>
      </c>
      <c r="AS6" s="16" t="e">
        <f aca="false">VLOOKUP(AS$5,$A$1:$I$2406,8,0)</f>
        <v>#N/A</v>
      </c>
      <c r="AT6" s="16" t="str">
        <f aca="false">VLOOKUP(AT$5,$A$1:$I$2406,8,0)</f>
        <v>코</v>
      </c>
      <c r="AU6" s="16" t="str">
        <f aca="false">VLOOKUP(AU$5,$A$1:$I$2406,8,0)</f>
        <v>수</v>
      </c>
      <c r="AV6" s="16" t="e">
        <f aca="false">VLOOKUP(AV$5,$A$1:$I$2406,8,0)</f>
        <v>#N/A</v>
      </c>
      <c r="AW6" s="16" t="str">
        <f aca="false">VLOOKUP(AW$5,$A$1:$I$2406,8,0)</f>
        <v>후</v>
      </c>
      <c r="AX6" s="16" t="str">
        <f aca="false">VLOOKUP(AX$5,$A$1:$I$2406,8,0)</f>
        <v>키</v>
      </c>
      <c r="AY6" s="16" t="e">
        <f aca="false">VLOOKUP(AY$5,$A$1:$I$2406,8,0)</f>
        <v>#N/A</v>
      </c>
      <c r="AZ6" s="16" t="str">
        <f aca="false">VLOOKUP(AZ$5,$A$1:$I$2406,8,0)</f>
        <v>키</v>
      </c>
      <c r="BA6" s="16" t="e">
        <f aca="false">VLOOKUP(BA$5,$A$1:$I$2406,8,0)</f>
        <v>#N/A</v>
      </c>
      <c r="BB6" s="16" t="str">
        <f aca="false">VLOOKUP(BB$5,$A$1:$I$2406,8,0)</f>
        <v>키</v>
      </c>
      <c r="BC6" s="16" t="str">
        <f aca="false">VLOOKUP(BC$5,$A$1:$I$2406,8,0)</f>
        <v>키</v>
      </c>
      <c r="BD6" s="16" t="str">
        <f aca="false">VLOOKUP(BD$5,$A$1:$I$2406,8,0)</f>
        <v>키</v>
      </c>
      <c r="BE6" s="16" t="e">
        <f aca="false">VLOOKUP(BE$5,$A$1:$I$2406,8,0)</f>
        <v>#N/A</v>
      </c>
      <c r="BF6" s="16" t="str">
        <f aca="false">VLOOKUP(BF$5,$A$1:$I$2406,8,0)</f>
        <v>케</v>
      </c>
      <c r="BG6" s="16" t="str">
        <f aca="false">VLOOKUP(BG$5,$A$1:$I$2406,8,0)</f>
        <v>케</v>
      </c>
      <c r="BH6" s="16" t="e">
        <f aca="false">VLOOKUP(BH$5,$A$1:$I$2406,8,0)</f>
        <v>#N/A</v>
      </c>
      <c r="BI6" s="16" t="e">
        <f aca="false">VLOOKUP(BI$5,$A$1:$I$2406,8,0)</f>
        <v>#N/A</v>
      </c>
    </row>
    <row r="7" customFormat="false" ht="17.9" hidden="false" customHeight="true" outlineLevel="0" collapsed="false">
      <c r="A7" s="16" t="s">
        <v>831</v>
      </c>
      <c r="B7" s="16" t="n">
        <f aca="false">IF(_xlfn.UNICODE(A7)&lt;44032,-1,_xlfn.UNICODE(A7)-44032)</f>
        <v>9</v>
      </c>
      <c r="C7" s="16" t="n">
        <f aca="false">IF(B7=-1,-1,INT((B7/28)/21))</f>
        <v>0</v>
      </c>
      <c r="D7" s="16" t="n">
        <f aca="false">IF(B7=-1, -1, MOD(INT(B7/28),21))</f>
        <v>0</v>
      </c>
      <c r="E7" s="16" t="n">
        <f aca="false">IF(B7=-1, -1, VLOOKUP(MOD(B7,28), $T$24:$U$52,2))</f>
        <v>8</v>
      </c>
      <c r="F7" s="16" t="n">
        <f aca="false">IF($B7=-1, -1, VLOOKUP(C7,$T$1:$V$20, 2))</f>
        <v>7</v>
      </c>
      <c r="G7" s="16" t="n">
        <f aca="false">IF($B7=-1, -1, VLOOKUP(D7,$Y$1:$Z$22,2))</f>
        <v>13</v>
      </c>
      <c r="H7" s="16" t="str">
        <f aca="false">_xlfn.UNICHAR(((F7*21)+G7)*28+44032)</f>
        <v>부</v>
      </c>
      <c r="I7" s="16" t="n">
        <f aca="false">IF(B7=-1, 1, COUNTIF($A$2:$A$3000, H7))</f>
        <v>1</v>
      </c>
      <c r="J7" s="10" t="str">
        <f aca="false">_xlfn.CONCAT(A7, ",",H7,",",I7)</f>
        <v>갉,부,1</v>
      </c>
      <c r="K7" s="16" t="n">
        <f aca="false">IF(B7=-1,-1,VLOOKUP(C7,$T$1:$V$20,3))</f>
        <v>1</v>
      </c>
      <c r="L7" s="16" t="n">
        <f aca="false">IF(B7=-1,-1,VLOOKUP(D7,$Y$1:$AA$22,3))</f>
        <v>2</v>
      </c>
      <c r="N7" s="10" t="str">
        <f aca="false">_xlfn.UNICHAR(((C7*21)+G7)*28+44032)</f>
        <v>구</v>
      </c>
      <c r="O7" s="10" t="str">
        <f aca="false">_xlfn.UNICHAR(((F7*21)+D7)*28+44032)</f>
        <v>바</v>
      </c>
      <c r="P7" s="12" t="n">
        <f aca="false">COUNTIF($A$2:$A$3000, N7) + COUNTIF($A$2:$A$3000, O7)</f>
        <v>2</v>
      </c>
      <c r="Q7" s="16" t="str">
        <f aca="false">IF(OR(B7=-1,I7=0, P7&lt;&gt;2), "albhed_dummy", _xlfn.CONCAT("albhed ", RIGHT("  " &amp; K7,2),", ", RIGHT("  " &amp; L7,2), ", " ,"""",H7,""", ", """",N7,""", ","""",O7,""""," ; ", A7))</f>
        <v>albhed  1,  2, "부", "구", "바" ; 갉</v>
      </c>
      <c r="S7" s="16" t="s">
        <v>832</v>
      </c>
      <c r="T7" s="16" t="n">
        <v>5</v>
      </c>
      <c r="U7" s="16" t="n">
        <v>14</v>
      </c>
      <c r="V7" s="16" t="n">
        <v>7</v>
      </c>
      <c r="W7" s="17"/>
      <c r="X7" s="16" t="s">
        <v>833</v>
      </c>
      <c r="Y7" s="16" t="n">
        <v>5</v>
      </c>
      <c r="Z7" s="16" t="n">
        <v>18</v>
      </c>
      <c r="AA7" s="16" t="n">
        <v>10</v>
      </c>
      <c r="AB7" s="17"/>
      <c r="AC7" s="17"/>
      <c r="AD7" s="11"/>
      <c r="AE7" s="11"/>
      <c r="AF7" s="11"/>
      <c r="AG7" s="11"/>
      <c r="AH7" s="11"/>
      <c r="AI7" s="11"/>
      <c r="AJ7" s="11"/>
    </row>
    <row r="8" customFormat="false" ht="17.9" hidden="false" customHeight="true" outlineLevel="0" collapsed="false">
      <c r="A8" s="16" t="s">
        <v>834</v>
      </c>
      <c r="B8" s="16" t="n">
        <f aca="false">IF(_xlfn.UNICODE(A8)&lt;44032,-1,_xlfn.UNICODE(A8)-44032)</f>
        <v>10</v>
      </c>
      <c r="C8" s="16" t="n">
        <f aca="false">IF(B8=-1,-1,INT((B8/28)/21))</f>
        <v>0</v>
      </c>
      <c r="D8" s="16" t="n">
        <f aca="false">IF(B8=-1, -1, MOD(INT(B8/28),21))</f>
        <v>0</v>
      </c>
      <c r="E8" s="16" t="n">
        <f aca="false">IF(B8=-1, -1, VLOOKUP(MOD(B8,28), $T$24:$U$52,2))</f>
        <v>8</v>
      </c>
      <c r="F8" s="16" t="n">
        <f aca="false">IF($B8=-1, -1, VLOOKUP(C8,$T$1:$V$20, 2))</f>
        <v>7</v>
      </c>
      <c r="G8" s="16" t="n">
        <f aca="false">IF($B8=-1, -1, VLOOKUP(D8,$Y$1:$Z$22,2))</f>
        <v>13</v>
      </c>
      <c r="H8" s="16" t="str">
        <f aca="false">_xlfn.UNICHAR(((F8*21)+G8)*28+44032)</f>
        <v>부</v>
      </c>
      <c r="I8" s="16" t="n">
        <f aca="false">IF(B8=-1, 1, COUNTIF($A$2:$A$3000, H8))</f>
        <v>1</v>
      </c>
      <c r="J8" s="10" t="str">
        <f aca="false">_xlfn.CONCAT(A8, ",",H8,",",I8)</f>
        <v>갊,부,1</v>
      </c>
      <c r="K8" s="16" t="n">
        <f aca="false">IF(B8=-1,-1,VLOOKUP(C8,$T$1:$V$20,3))</f>
        <v>1</v>
      </c>
      <c r="L8" s="16" t="n">
        <f aca="false">IF(B8=-1,-1,VLOOKUP(D8,$Y$1:$AA$22,3))</f>
        <v>2</v>
      </c>
      <c r="N8" s="10" t="str">
        <f aca="false">_xlfn.UNICHAR(((C8*21)+G8)*28+44032)</f>
        <v>구</v>
      </c>
      <c r="O8" s="10" t="str">
        <f aca="false">_xlfn.UNICHAR(((F8*21)+D8)*28+44032)</f>
        <v>바</v>
      </c>
      <c r="P8" s="12" t="n">
        <f aca="false">COUNTIF($A$2:$A$3000, N8) + COUNTIF($A$2:$A$3000, O8)</f>
        <v>2</v>
      </c>
      <c r="Q8" s="16" t="str">
        <f aca="false">IF(OR(B8=-1,I8=0, P8&lt;&gt;2), "albhed_dummy", _xlfn.CONCAT("albhed ", RIGHT("  " &amp; K8,2),", ", RIGHT("  " &amp; L8,2), ", " ,"""",H8,""", ", """",N8,""", ","""",O8,""""," ; ", A8))</f>
        <v>albhed  1,  2, "부", "구", "바" ; 갊</v>
      </c>
      <c r="S8" s="16" t="s">
        <v>835</v>
      </c>
      <c r="T8" s="16" t="n">
        <v>6</v>
      </c>
      <c r="U8" s="16" t="n">
        <v>11</v>
      </c>
      <c r="V8" s="16" t="n">
        <v>9</v>
      </c>
      <c r="W8" s="17"/>
      <c r="X8" s="16" t="s">
        <v>836</v>
      </c>
      <c r="Y8" s="16" t="n">
        <v>6</v>
      </c>
      <c r="Z8" s="16" t="n">
        <v>12</v>
      </c>
      <c r="AA8" s="16" t="n">
        <v>4</v>
      </c>
      <c r="AB8" s="17"/>
      <c r="AC8" s="17"/>
      <c r="AE8" s="14" t="s">
        <v>779</v>
      </c>
      <c r="AF8" s="14"/>
      <c r="AG8" s="14"/>
      <c r="AH8" s="14" t="s">
        <v>778</v>
      </c>
      <c r="AI8" s="14"/>
      <c r="AJ8" s="14"/>
    </row>
    <row r="9" customFormat="false" ht="17.9" hidden="false" customHeight="true" outlineLevel="0" collapsed="false">
      <c r="A9" s="16" t="s">
        <v>837</v>
      </c>
      <c r="B9" s="16" t="n">
        <f aca="false">IF(_xlfn.UNICODE(A9)&lt;44032,-1,_xlfn.UNICODE(A9)-44032)</f>
        <v>16</v>
      </c>
      <c r="C9" s="16" t="n">
        <f aca="false">IF(B9=-1,-1,INT((B9/28)/21))</f>
        <v>0</v>
      </c>
      <c r="D9" s="16" t="n">
        <f aca="false">IF(B9=-1, -1, MOD(INT(B9/28),21))</f>
        <v>0</v>
      </c>
      <c r="E9" s="16" t="n">
        <f aca="false">IF(B9=-1, -1, VLOOKUP(MOD(B9,28), $T$24:$U$52,2))</f>
        <v>16</v>
      </c>
      <c r="F9" s="16" t="n">
        <f aca="false">IF($B9=-1, -1, VLOOKUP(C9,$T$1:$V$20, 2))</f>
        <v>7</v>
      </c>
      <c r="G9" s="16" t="n">
        <f aca="false">IF($B9=-1, -1, VLOOKUP(D9,$Y$1:$Z$22,2))</f>
        <v>13</v>
      </c>
      <c r="H9" s="16" t="str">
        <f aca="false">_xlfn.UNICHAR(((F9*21)+G9)*28+44032)</f>
        <v>부</v>
      </c>
      <c r="I9" s="16" t="n">
        <f aca="false">IF(B9=-1, 1, COUNTIF($A$2:$A$3000, H9))</f>
        <v>1</v>
      </c>
      <c r="J9" s="10" t="str">
        <f aca="false">_xlfn.CONCAT(A9, ",",H9,",",I9)</f>
        <v>감,부,1</v>
      </c>
      <c r="K9" s="16" t="n">
        <f aca="false">IF(B9=-1,-1,VLOOKUP(C9,$T$1:$V$20,3))</f>
        <v>1</v>
      </c>
      <c r="L9" s="16" t="n">
        <f aca="false">IF(B9=-1,-1,VLOOKUP(D9,$Y$1:$AA$22,3))</f>
        <v>2</v>
      </c>
      <c r="N9" s="10" t="str">
        <f aca="false">_xlfn.UNICHAR(((C9*21)+G9)*28+44032)</f>
        <v>구</v>
      </c>
      <c r="O9" s="10" t="str">
        <f aca="false">_xlfn.UNICHAR(((F9*21)+D9)*28+44032)</f>
        <v>바</v>
      </c>
      <c r="P9" s="12" t="n">
        <f aca="false">COUNTIF($A$2:$A$3000, N9) + COUNTIF($A$2:$A$3000, O9)</f>
        <v>2</v>
      </c>
      <c r="Q9" s="16" t="str">
        <f aca="false">IF(OR(B9=-1,I9=0, P9&lt;&gt;2), "albhed_dummy", _xlfn.CONCAT("albhed ", RIGHT("  " &amp; K9,2),", ", RIGHT("  " &amp; L9,2), ", " ,"""",H9,""", ", """",N9,""", ","""",O9,""""," ; ", A9))</f>
        <v>albhed  1,  2, "부", "구", "바" ; 감</v>
      </c>
      <c r="S9" s="16" t="s">
        <v>838</v>
      </c>
      <c r="T9" s="16" t="n">
        <v>7</v>
      </c>
      <c r="U9" s="16" t="n">
        <v>12</v>
      </c>
      <c r="V9" s="16" t="n">
        <v>11</v>
      </c>
      <c r="W9" s="17"/>
      <c r="X9" s="16" t="s">
        <v>839</v>
      </c>
      <c r="Y9" s="16" t="n">
        <v>7</v>
      </c>
      <c r="Z9" s="16" t="n">
        <v>18</v>
      </c>
      <c r="AA9" s="16" t="n">
        <v>14</v>
      </c>
      <c r="AB9" s="17"/>
      <c r="AC9" s="17"/>
      <c r="AD9" s="14" t="n">
        <v>1</v>
      </c>
      <c r="AE9" s="16" t="s">
        <v>840</v>
      </c>
      <c r="AF9" s="16"/>
      <c r="AG9" s="16"/>
      <c r="AH9" s="16" t="s">
        <v>841</v>
      </c>
      <c r="AI9" s="16"/>
      <c r="AJ9" s="16"/>
    </row>
    <row r="10" customFormat="false" ht="17.9" hidden="false" customHeight="true" outlineLevel="0" collapsed="false">
      <c r="A10" s="16" t="s">
        <v>842</v>
      </c>
      <c r="B10" s="16" t="n">
        <f aca="false">IF(_xlfn.UNICODE(A10)&lt;44032,-1,_xlfn.UNICODE(A10)-44032)</f>
        <v>17</v>
      </c>
      <c r="C10" s="16" t="n">
        <f aca="false">IF(B10=-1,-1,INT((B10/28)/21))</f>
        <v>0</v>
      </c>
      <c r="D10" s="16" t="n">
        <f aca="false">IF(B10=-1, -1, MOD(INT(B10/28),21))</f>
        <v>0</v>
      </c>
      <c r="E10" s="16" t="n">
        <f aca="false">IF(B10=-1, -1, VLOOKUP(MOD(B10,28), $T$24:$U$52,2))</f>
        <v>17</v>
      </c>
      <c r="F10" s="16" t="n">
        <f aca="false">IF($B10=-1, -1, VLOOKUP(C10,$T$1:$V$20, 2))</f>
        <v>7</v>
      </c>
      <c r="G10" s="16" t="n">
        <f aca="false">IF($B10=-1, -1, VLOOKUP(D10,$Y$1:$Z$22,2))</f>
        <v>13</v>
      </c>
      <c r="H10" s="16" t="str">
        <f aca="false">_xlfn.UNICHAR(((F10*21)+G10)*28+44032)</f>
        <v>부</v>
      </c>
      <c r="I10" s="16" t="n">
        <f aca="false">IF(B10=-1, 1, COUNTIF($A$2:$A$3000, H10))</f>
        <v>1</v>
      </c>
      <c r="J10" s="10" t="str">
        <f aca="false">_xlfn.CONCAT(A10, ",",H10,",",I10)</f>
        <v>갑,부,1</v>
      </c>
      <c r="K10" s="16" t="n">
        <f aca="false">IF(B10=-1,-1,VLOOKUP(C10,$T$1:$V$20,3))</f>
        <v>1</v>
      </c>
      <c r="L10" s="16" t="n">
        <f aca="false">IF(B10=-1,-1,VLOOKUP(D10,$Y$1:$AA$22,3))</f>
        <v>2</v>
      </c>
      <c r="N10" s="10" t="str">
        <f aca="false">_xlfn.UNICHAR(((C10*21)+G10)*28+44032)</f>
        <v>구</v>
      </c>
      <c r="O10" s="10" t="str">
        <f aca="false">_xlfn.UNICHAR(((F10*21)+D10)*28+44032)</f>
        <v>바</v>
      </c>
      <c r="P10" s="12" t="n">
        <f aca="false">COUNTIF($A$2:$A$3000, N10) + COUNTIF($A$2:$A$3000, O10)</f>
        <v>2</v>
      </c>
      <c r="Q10" s="16" t="str">
        <f aca="false">IF(OR(B10=-1,I10=0, P10&lt;&gt;2), "albhed_dummy", _xlfn.CONCAT("albhed ", RIGHT("  " &amp; K10,2),", ", RIGHT("  " &amp; L10,2), ", " ,"""",H10,""", ", """",N10,""", ","""",O10,""""," ; ", A10))</f>
        <v>albhed  1,  2, "부", "구", "바" ; 갑</v>
      </c>
      <c r="S10" s="16" t="s">
        <v>843</v>
      </c>
      <c r="T10" s="16" t="n">
        <v>8</v>
      </c>
      <c r="U10" s="16" t="n">
        <v>13</v>
      </c>
      <c r="V10" s="16" t="n">
        <v>11</v>
      </c>
      <c r="W10" s="17"/>
      <c r="X10" s="16" t="s">
        <v>844</v>
      </c>
      <c r="Y10" s="16" t="n">
        <v>8</v>
      </c>
      <c r="Z10" s="16" t="n">
        <v>4</v>
      </c>
      <c r="AA10" s="16" t="n">
        <v>8</v>
      </c>
      <c r="AB10" s="17"/>
      <c r="AC10" s="17"/>
      <c r="AD10" s="14" t="n">
        <v>2</v>
      </c>
      <c r="AE10" s="16" t="s">
        <v>845</v>
      </c>
      <c r="AF10" s="16"/>
      <c r="AG10" s="16"/>
      <c r="AH10" s="16" t="s">
        <v>846</v>
      </c>
      <c r="AI10" s="16"/>
      <c r="AJ10" s="16"/>
    </row>
    <row r="11" customFormat="false" ht="17.9" hidden="false" customHeight="true" outlineLevel="0" collapsed="false">
      <c r="A11" s="16" t="s">
        <v>847</v>
      </c>
      <c r="B11" s="16" t="n">
        <f aca="false">IF(_xlfn.UNICODE(A11)&lt;44032,-1,_xlfn.UNICODE(A11)-44032)</f>
        <v>18</v>
      </c>
      <c r="C11" s="16" t="n">
        <f aca="false">IF(B11=-1,-1,INT((B11/28)/21))</f>
        <v>0</v>
      </c>
      <c r="D11" s="16" t="n">
        <f aca="false">IF(B11=-1, -1, MOD(INT(B11/28),21))</f>
        <v>0</v>
      </c>
      <c r="E11" s="16" t="n">
        <f aca="false">IF(B11=-1, -1, VLOOKUP(MOD(B11,28), $T$24:$U$52,2))</f>
        <v>17</v>
      </c>
      <c r="F11" s="16" t="n">
        <f aca="false">IF($B11=-1, -1, VLOOKUP(C11,$T$1:$V$20, 2))</f>
        <v>7</v>
      </c>
      <c r="G11" s="16" t="n">
        <f aca="false">IF($B11=-1, -1, VLOOKUP(D11,$Y$1:$Z$22,2))</f>
        <v>13</v>
      </c>
      <c r="H11" s="16" t="str">
        <f aca="false">_xlfn.UNICHAR(((F11*21)+G11)*28+44032)</f>
        <v>부</v>
      </c>
      <c r="I11" s="16" t="n">
        <f aca="false">IF(B11=-1, 1, COUNTIF($A$2:$A$3000, H11))</f>
        <v>1</v>
      </c>
      <c r="J11" s="10" t="str">
        <f aca="false">_xlfn.CONCAT(A11, ",",H11,",",I11)</f>
        <v>값,부,1</v>
      </c>
      <c r="K11" s="16" t="n">
        <f aca="false">IF(B11=-1,-1,VLOOKUP(C11,$T$1:$V$20,3))</f>
        <v>1</v>
      </c>
      <c r="L11" s="16" t="n">
        <f aca="false">IF(B11=-1,-1,VLOOKUP(D11,$Y$1:$AA$22,3))</f>
        <v>2</v>
      </c>
      <c r="N11" s="10" t="str">
        <f aca="false">_xlfn.UNICHAR(((C11*21)+G11)*28+44032)</f>
        <v>구</v>
      </c>
      <c r="O11" s="10" t="str">
        <f aca="false">_xlfn.UNICHAR(((F11*21)+D11)*28+44032)</f>
        <v>바</v>
      </c>
      <c r="P11" s="12" t="n">
        <f aca="false">COUNTIF($A$2:$A$3000, N11) + COUNTIF($A$2:$A$3000, O11)</f>
        <v>2</v>
      </c>
      <c r="Q11" s="16" t="str">
        <f aca="false">IF(OR(B11=-1,I11=0, P11&lt;&gt;2), "albhed_dummy", _xlfn.CONCAT("albhed ", RIGHT("  " &amp; K11,2),", ", RIGHT("  " &amp; L11,2), ", " ,"""",H11,""", ", """",N11,""", ","""",O11,""""," ; ", A11))</f>
        <v>albhed  1,  2, "부", "구", "바" ; 값</v>
      </c>
      <c r="S11" s="16" t="s">
        <v>848</v>
      </c>
      <c r="T11" s="16" t="n">
        <v>9</v>
      </c>
      <c r="U11" s="16" t="n">
        <v>0</v>
      </c>
      <c r="V11" s="16" t="n">
        <v>13</v>
      </c>
      <c r="W11" s="17"/>
      <c r="X11" s="16" t="s">
        <v>849</v>
      </c>
      <c r="Y11" s="16" t="n">
        <v>9</v>
      </c>
      <c r="Z11" s="16" t="n">
        <v>20</v>
      </c>
      <c r="AA11" s="16" t="n">
        <v>12</v>
      </c>
      <c r="AB11" s="17"/>
      <c r="AC11" s="17"/>
      <c r="AD11" s="14" t="n">
        <v>3</v>
      </c>
      <c r="AE11" s="16" t="s">
        <v>850</v>
      </c>
      <c r="AF11" s="16"/>
      <c r="AG11" s="16"/>
      <c r="AH11" s="16" t="s">
        <v>803</v>
      </c>
      <c r="AI11" s="16"/>
      <c r="AJ11" s="16"/>
      <c r="AS11" s="13"/>
      <c r="AT11" s="13"/>
      <c r="AU11" s="13"/>
      <c r="AV11" s="13"/>
      <c r="AW11" s="13"/>
    </row>
    <row r="12" customFormat="false" ht="17.9" hidden="false" customHeight="true" outlineLevel="0" collapsed="false">
      <c r="A12" s="16" t="s">
        <v>851</v>
      </c>
      <c r="B12" s="16" t="n">
        <f aca="false">IF(_xlfn.UNICODE(A12)&lt;44032,-1,_xlfn.UNICODE(A12)-44032)</f>
        <v>19</v>
      </c>
      <c r="C12" s="16" t="n">
        <f aca="false">IF(B12=-1,-1,INT((B12/28)/21))</f>
        <v>0</v>
      </c>
      <c r="D12" s="16" t="n">
        <f aca="false">IF(B12=-1, -1, MOD(INT(B12/28),21))</f>
        <v>0</v>
      </c>
      <c r="E12" s="16" t="n">
        <f aca="false">IF(B12=-1, -1, VLOOKUP(MOD(B12,28), $T$24:$U$52,2))</f>
        <v>19</v>
      </c>
      <c r="F12" s="16" t="n">
        <f aca="false">IF($B12=-1, -1, VLOOKUP(C12,$T$1:$V$20, 2))</f>
        <v>7</v>
      </c>
      <c r="G12" s="16" t="n">
        <f aca="false">IF($B12=-1, -1, VLOOKUP(D12,$Y$1:$Z$22,2))</f>
        <v>13</v>
      </c>
      <c r="H12" s="16" t="str">
        <f aca="false">_xlfn.UNICHAR(((F12*21)+G12)*28+44032)</f>
        <v>부</v>
      </c>
      <c r="I12" s="16" t="n">
        <f aca="false">IF(B12=-1, 1, COUNTIF($A$2:$A$3000, H12))</f>
        <v>1</v>
      </c>
      <c r="J12" s="10" t="str">
        <f aca="false">_xlfn.CONCAT(A12, ",",H12,",",I12)</f>
        <v>갓,부,1</v>
      </c>
      <c r="K12" s="16" t="n">
        <f aca="false">IF(B12=-1,-1,VLOOKUP(C12,$T$1:$V$20,3))</f>
        <v>1</v>
      </c>
      <c r="L12" s="16" t="n">
        <f aca="false">IF(B12=-1,-1,VLOOKUP(D12,$Y$1:$AA$22,3))</f>
        <v>2</v>
      </c>
      <c r="N12" s="10" t="str">
        <f aca="false">_xlfn.UNICHAR(((C12*21)+G12)*28+44032)</f>
        <v>구</v>
      </c>
      <c r="O12" s="10" t="str">
        <f aca="false">_xlfn.UNICHAR(((F12*21)+D12)*28+44032)</f>
        <v>바</v>
      </c>
      <c r="P12" s="12" t="n">
        <f aca="false">COUNTIF($A$2:$A$3000, N12) + COUNTIF($A$2:$A$3000, O12)</f>
        <v>2</v>
      </c>
      <c r="Q12" s="16" t="str">
        <f aca="false">IF(OR(B12=-1,I12=0, P12&lt;&gt;2), "albhed_dummy", _xlfn.CONCAT("albhed ", RIGHT("  " &amp; K12,2),", ", RIGHT("  " &amp; L12,2), ", " ,"""",H12,""", ", """",N12,""", ","""",O12,""""," ; ", A12))</f>
        <v>albhed  1,  2, "부", "구", "바" ; 갓</v>
      </c>
      <c r="S12" s="16" t="s">
        <v>852</v>
      </c>
      <c r="T12" s="16" t="n">
        <v>10</v>
      </c>
      <c r="U12" s="16" t="n">
        <v>1</v>
      </c>
      <c r="V12" s="16" t="n">
        <v>13</v>
      </c>
      <c r="W12" s="17"/>
      <c r="X12" s="16" t="s">
        <v>853</v>
      </c>
      <c r="Y12" s="16" t="n">
        <v>10</v>
      </c>
      <c r="Z12" s="16" t="n">
        <v>20</v>
      </c>
      <c r="AA12" s="16" t="n">
        <v>12</v>
      </c>
      <c r="AB12" s="17"/>
      <c r="AC12" s="17"/>
      <c r="AD12" s="14" t="n">
        <v>4</v>
      </c>
      <c r="AE12" s="16" t="s">
        <v>854</v>
      </c>
      <c r="AF12" s="16"/>
      <c r="AG12" s="16"/>
      <c r="AH12" s="16" t="s">
        <v>855</v>
      </c>
      <c r="AI12" s="16"/>
      <c r="AJ12" s="16"/>
      <c r="AS12" s="13"/>
      <c r="AT12" s="13"/>
      <c r="AU12" s="13"/>
      <c r="AV12" s="13"/>
      <c r="AW12" s="13"/>
    </row>
    <row r="13" customFormat="false" ht="17.9" hidden="false" customHeight="true" outlineLevel="0" collapsed="false">
      <c r="A13" s="16" t="s">
        <v>856</v>
      </c>
      <c r="B13" s="16" t="n">
        <f aca="false">IF(_xlfn.UNICODE(A13)&lt;44032,-1,_xlfn.UNICODE(A13)-44032)</f>
        <v>20</v>
      </c>
      <c r="C13" s="16" t="n">
        <f aca="false">IF(B13=-1,-1,INT((B13/28)/21))</f>
        <v>0</v>
      </c>
      <c r="D13" s="16" t="n">
        <f aca="false">IF(B13=-1, -1, MOD(INT(B13/28),21))</f>
        <v>0</v>
      </c>
      <c r="E13" s="16" t="n">
        <f aca="false">IF(B13=-1, -1, VLOOKUP(MOD(B13,28), $T$24:$U$52,2))</f>
        <v>19</v>
      </c>
      <c r="F13" s="16" t="n">
        <f aca="false">IF($B13=-1, -1, VLOOKUP(C13,$T$1:$V$20, 2))</f>
        <v>7</v>
      </c>
      <c r="G13" s="16" t="n">
        <f aca="false">IF($B13=-1, -1, VLOOKUP(D13,$Y$1:$Z$22,2))</f>
        <v>13</v>
      </c>
      <c r="H13" s="16" t="str">
        <f aca="false">_xlfn.UNICHAR(((F13*21)+G13)*28+44032)</f>
        <v>부</v>
      </c>
      <c r="I13" s="16" t="n">
        <f aca="false">IF(B13=-1, 1, COUNTIF($A$2:$A$3000, H13))</f>
        <v>1</v>
      </c>
      <c r="J13" s="10" t="str">
        <f aca="false">_xlfn.CONCAT(A13, ",",H13,",",I13)</f>
        <v>갔,부,1</v>
      </c>
      <c r="K13" s="16" t="n">
        <f aca="false">IF(B13=-1,-1,VLOOKUP(C13,$T$1:$V$20,3))</f>
        <v>1</v>
      </c>
      <c r="L13" s="16" t="n">
        <f aca="false">IF(B13=-1,-1,VLOOKUP(D13,$Y$1:$AA$22,3))</f>
        <v>2</v>
      </c>
      <c r="N13" s="10" t="str">
        <f aca="false">_xlfn.UNICHAR(((C13*21)+G13)*28+44032)</f>
        <v>구</v>
      </c>
      <c r="O13" s="10" t="str">
        <f aca="false">_xlfn.UNICHAR(((F13*21)+D13)*28+44032)</f>
        <v>바</v>
      </c>
      <c r="P13" s="12" t="n">
        <f aca="false">COUNTIF($A$2:$A$3000, N13) + COUNTIF($A$2:$A$3000, O13)</f>
        <v>2</v>
      </c>
      <c r="Q13" s="16" t="str">
        <f aca="false">IF(OR(B13=-1,I13=0, P13&lt;&gt;2), "albhed_dummy", _xlfn.CONCAT("albhed ", RIGHT("  " &amp; K13,2),", ", RIGHT("  " &amp; L13,2), ", " ,"""",H13,""", ", """",N13,""", ","""",O13,""""," ; ", A13))</f>
        <v>albhed  1,  2, "부", "구", "바" ; 갔</v>
      </c>
      <c r="S13" s="16" t="s">
        <v>857</v>
      </c>
      <c r="T13" s="16" t="n">
        <v>11</v>
      </c>
      <c r="U13" s="16" t="n">
        <v>15</v>
      </c>
      <c r="V13" s="16" t="n">
        <v>15</v>
      </c>
      <c r="W13" s="17"/>
      <c r="X13" s="16" t="s">
        <v>858</v>
      </c>
      <c r="Y13" s="16" t="n">
        <v>11</v>
      </c>
      <c r="Z13" s="16" t="n">
        <v>20</v>
      </c>
      <c r="AA13" s="16" t="n">
        <v>22</v>
      </c>
      <c r="AB13" s="17"/>
      <c r="AC13" s="17"/>
      <c r="AD13" s="14" t="n">
        <v>5</v>
      </c>
      <c r="AE13" s="16" t="s">
        <v>859</v>
      </c>
      <c r="AF13" s="16"/>
      <c r="AG13" s="16"/>
      <c r="AH13" s="16" t="s">
        <v>860</v>
      </c>
      <c r="AI13" s="16"/>
      <c r="AJ13" s="16"/>
      <c r="AS13" s="13"/>
      <c r="AT13" s="13"/>
      <c r="AU13" s="13"/>
      <c r="AV13" s="13"/>
      <c r="AW13" s="13"/>
    </row>
    <row r="14" customFormat="false" ht="17.9" hidden="false" customHeight="true" outlineLevel="0" collapsed="false">
      <c r="A14" s="16" t="s">
        <v>861</v>
      </c>
      <c r="B14" s="16" t="n">
        <f aca="false">IF(_xlfn.UNICODE(A14)&lt;44032,-1,_xlfn.UNICODE(A14)-44032)</f>
        <v>21</v>
      </c>
      <c r="C14" s="16" t="n">
        <f aca="false">IF(B14=-1,-1,INT((B14/28)/21))</f>
        <v>0</v>
      </c>
      <c r="D14" s="16" t="n">
        <f aca="false">IF(B14=-1, -1, MOD(INT(B14/28),21))</f>
        <v>0</v>
      </c>
      <c r="E14" s="16" t="n">
        <f aca="false">IF(B14=-1, -1, VLOOKUP(MOD(B14,28), $T$24:$U$52,2))</f>
        <v>21</v>
      </c>
      <c r="F14" s="16" t="n">
        <f aca="false">IF($B14=-1, -1, VLOOKUP(C14,$T$1:$V$20, 2))</f>
        <v>7</v>
      </c>
      <c r="G14" s="16" t="n">
        <f aca="false">IF($B14=-1, -1, VLOOKUP(D14,$Y$1:$Z$22,2))</f>
        <v>13</v>
      </c>
      <c r="H14" s="16" t="str">
        <f aca="false">_xlfn.UNICHAR(((F14*21)+G14)*28+44032)</f>
        <v>부</v>
      </c>
      <c r="I14" s="16" t="n">
        <f aca="false">IF(B14=-1, 1, COUNTIF($A$2:$A$3000, H14))</f>
        <v>1</v>
      </c>
      <c r="J14" s="10" t="str">
        <f aca="false">_xlfn.CONCAT(A14, ",",H14,",",I14)</f>
        <v>강,부,1</v>
      </c>
      <c r="K14" s="16" t="n">
        <f aca="false">IF(B14=-1,-1,VLOOKUP(C14,$T$1:$V$20,3))</f>
        <v>1</v>
      </c>
      <c r="L14" s="16" t="n">
        <f aca="false">IF(B14=-1,-1,VLOOKUP(D14,$Y$1:$AA$22,3))</f>
        <v>2</v>
      </c>
      <c r="N14" s="10" t="str">
        <f aca="false">_xlfn.UNICHAR(((C14*21)+G14)*28+44032)</f>
        <v>구</v>
      </c>
      <c r="O14" s="10" t="str">
        <f aca="false">_xlfn.UNICHAR(((F14*21)+D14)*28+44032)</f>
        <v>바</v>
      </c>
      <c r="P14" s="12" t="n">
        <f aca="false">COUNTIF($A$2:$A$3000, N14) + COUNTIF($A$2:$A$3000, O14)</f>
        <v>2</v>
      </c>
      <c r="Q14" s="16" t="str">
        <f aca="false">IF(OR(B14=-1,I14=0, P14&lt;&gt;2), "albhed_dummy", _xlfn.CONCAT("albhed ", RIGHT("  " &amp; K14,2),", ", RIGHT("  " &amp; L14,2), ", " ,"""",H14,""", ", """",N14,""", ","""",O14,""""," ; ", A14))</f>
        <v>albhed  1,  2, "부", "구", "바" ; 강</v>
      </c>
      <c r="S14" s="16" t="s">
        <v>862</v>
      </c>
      <c r="T14" s="16" t="n">
        <v>12</v>
      </c>
      <c r="U14" s="16" t="n">
        <v>3</v>
      </c>
      <c r="V14" s="16" t="n">
        <v>17</v>
      </c>
      <c r="W14" s="17"/>
      <c r="X14" s="16" t="s">
        <v>863</v>
      </c>
      <c r="Y14" s="16" t="n">
        <v>12</v>
      </c>
      <c r="Z14" s="16" t="n">
        <v>6</v>
      </c>
      <c r="AA14" s="16" t="n">
        <v>8</v>
      </c>
      <c r="AB14" s="17"/>
      <c r="AC14" s="17"/>
      <c r="AD14" s="14" t="n">
        <v>6</v>
      </c>
      <c r="AE14" s="16" t="s">
        <v>846</v>
      </c>
      <c r="AF14" s="16"/>
      <c r="AG14" s="16"/>
      <c r="AH14" s="16" t="s">
        <v>845</v>
      </c>
      <c r="AI14" s="16"/>
      <c r="AJ14" s="16"/>
      <c r="AS14" s="13"/>
      <c r="AT14" s="13"/>
      <c r="AU14" s="13"/>
      <c r="AV14" s="13"/>
      <c r="AW14" s="13"/>
    </row>
    <row r="15" customFormat="false" ht="17.9" hidden="false" customHeight="true" outlineLevel="0" collapsed="false">
      <c r="A15" s="16" t="s">
        <v>864</v>
      </c>
      <c r="B15" s="16" t="n">
        <f aca="false">IF(_xlfn.UNICODE(A15)&lt;44032,-1,_xlfn.UNICODE(A15)-44032)</f>
        <v>22</v>
      </c>
      <c r="C15" s="16" t="n">
        <f aca="false">IF(B15=-1,-1,INT((B15/28)/21))</f>
        <v>0</v>
      </c>
      <c r="D15" s="16" t="n">
        <f aca="false">IF(B15=-1, -1, MOD(INT(B15/28),21))</f>
        <v>0</v>
      </c>
      <c r="E15" s="16" t="n">
        <f aca="false">IF(B15=-1, -1, VLOOKUP(MOD(B15,28), $T$24:$U$52,2))</f>
        <v>19</v>
      </c>
      <c r="F15" s="16" t="n">
        <f aca="false">IF($B15=-1, -1, VLOOKUP(C15,$T$1:$V$20, 2))</f>
        <v>7</v>
      </c>
      <c r="G15" s="16" t="n">
        <f aca="false">IF($B15=-1, -1, VLOOKUP(D15,$Y$1:$Z$22,2))</f>
        <v>13</v>
      </c>
      <c r="H15" s="16" t="str">
        <f aca="false">_xlfn.UNICHAR(((F15*21)+G15)*28+44032)</f>
        <v>부</v>
      </c>
      <c r="I15" s="16" t="n">
        <f aca="false">IF(B15=-1, 1, COUNTIF($A$2:$A$3000, H15))</f>
        <v>1</v>
      </c>
      <c r="J15" s="10" t="str">
        <f aca="false">_xlfn.CONCAT(A15, ",",H15,",",I15)</f>
        <v>갖,부,1</v>
      </c>
      <c r="K15" s="16" t="n">
        <f aca="false">IF(B15=-1,-1,VLOOKUP(C15,$T$1:$V$20,3))</f>
        <v>1</v>
      </c>
      <c r="L15" s="16" t="n">
        <f aca="false">IF(B15=-1,-1,VLOOKUP(D15,$Y$1:$AA$22,3))</f>
        <v>2</v>
      </c>
      <c r="N15" s="10" t="str">
        <f aca="false">_xlfn.UNICHAR(((C15*21)+G15)*28+44032)</f>
        <v>구</v>
      </c>
      <c r="O15" s="10" t="str">
        <f aca="false">_xlfn.UNICHAR(((F15*21)+D15)*28+44032)</f>
        <v>바</v>
      </c>
      <c r="P15" s="12" t="n">
        <f aca="false">COUNTIF($A$2:$A$3000, N15) + COUNTIF($A$2:$A$3000, O15)</f>
        <v>2</v>
      </c>
      <c r="Q15" s="16" t="str">
        <f aca="false">IF(OR(B15=-1,I15=0, P15&lt;&gt;2), "albhed_dummy", _xlfn.CONCAT("albhed ", RIGHT("  " &amp; K15,2),", ", RIGHT("  " &amp; L15,2), ", " ,"""",H15,""", ", """",N15,""", ","""",O15,""""," ; ", A15))</f>
        <v>albhed  1,  2, "부", "구", "바" ; 갖</v>
      </c>
      <c r="S15" s="16" t="s">
        <v>865</v>
      </c>
      <c r="T15" s="16" t="n">
        <v>13</v>
      </c>
      <c r="U15" s="16" t="n">
        <v>4</v>
      </c>
      <c r="V15" s="16" t="n">
        <v>17</v>
      </c>
      <c r="W15" s="17"/>
      <c r="X15" s="16" t="s">
        <v>866</v>
      </c>
      <c r="Y15" s="16" t="n">
        <v>13</v>
      </c>
      <c r="Z15" s="16" t="n">
        <v>0</v>
      </c>
      <c r="AA15" s="16" t="n">
        <v>6</v>
      </c>
      <c r="AB15" s="17"/>
      <c r="AC15" s="17"/>
      <c r="AD15" s="14" t="n">
        <v>7</v>
      </c>
      <c r="AE15" s="16" t="s">
        <v>867</v>
      </c>
      <c r="AF15" s="16"/>
      <c r="AG15" s="16"/>
      <c r="AH15" s="16" t="s">
        <v>832</v>
      </c>
      <c r="AI15" s="16"/>
      <c r="AJ15" s="16"/>
      <c r="AS15" s="13"/>
      <c r="AT15" s="13"/>
      <c r="AU15" s="13"/>
      <c r="AV15" s="13"/>
      <c r="AW15" s="13"/>
    </row>
    <row r="16" customFormat="false" ht="17.9" hidden="false" customHeight="true" outlineLevel="0" collapsed="false">
      <c r="A16" s="16" t="s">
        <v>868</v>
      </c>
      <c r="B16" s="16" t="n">
        <f aca="false">IF(_xlfn.UNICODE(A16)&lt;44032,-1,_xlfn.UNICODE(A16)-44032)</f>
        <v>23</v>
      </c>
      <c r="C16" s="16" t="n">
        <f aca="false">IF(B16=-1,-1,INT((B16/28)/21))</f>
        <v>0</v>
      </c>
      <c r="D16" s="16" t="n">
        <f aca="false">IF(B16=-1, -1, MOD(INT(B16/28),21))</f>
        <v>0</v>
      </c>
      <c r="E16" s="16" t="n">
        <f aca="false">IF(B16=-1, -1, VLOOKUP(MOD(B16,28), $T$24:$U$52,2))</f>
        <v>19</v>
      </c>
      <c r="F16" s="16" t="n">
        <f aca="false">IF($B16=-1, -1, VLOOKUP(C16,$T$1:$V$20, 2))</f>
        <v>7</v>
      </c>
      <c r="G16" s="16" t="n">
        <f aca="false">IF($B16=-1, -1, VLOOKUP(D16,$Y$1:$Z$22,2))</f>
        <v>13</v>
      </c>
      <c r="H16" s="16" t="str">
        <f aca="false">_xlfn.UNICHAR(((F16*21)+G16)*28+44032)</f>
        <v>부</v>
      </c>
      <c r="I16" s="16" t="n">
        <f aca="false">IF(B16=-1, 1, COUNTIF($A$2:$A$3000, H16))</f>
        <v>1</v>
      </c>
      <c r="J16" s="10" t="str">
        <f aca="false">_xlfn.CONCAT(A16, ",",H16,",",I16)</f>
        <v>갗,부,1</v>
      </c>
      <c r="K16" s="16" t="n">
        <f aca="false">IF(B16=-1,-1,VLOOKUP(C16,$T$1:$V$20,3))</f>
        <v>1</v>
      </c>
      <c r="L16" s="16" t="n">
        <f aca="false">IF(B16=-1,-1,VLOOKUP(D16,$Y$1:$AA$22,3))</f>
        <v>2</v>
      </c>
      <c r="N16" s="10" t="str">
        <f aca="false">_xlfn.UNICHAR(((C16*21)+G16)*28+44032)</f>
        <v>구</v>
      </c>
      <c r="O16" s="10" t="str">
        <f aca="false">_xlfn.UNICHAR(((F16*21)+D16)*28+44032)</f>
        <v>바</v>
      </c>
      <c r="P16" s="12" t="n">
        <f aca="false">COUNTIF($A$2:$A$3000, N16) + COUNTIF($A$2:$A$3000, O16)</f>
        <v>2</v>
      </c>
      <c r="Q16" s="16" t="str">
        <f aca="false">IF(OR(B16=-1,I16=0, P16&lt;&gt;2), "albhed_dummy", _xlfn.CONCAT("albhed ", RIGHT("  " &amp; K16,2),", ", RIGHT("  " &amp; L16,2), ", " ,"""",H16,""", ", """",N16,""", ","""",O16,""""," ; ", A16))</f>
        <v>albhed  1,  2, "부", "구", "바" ; 갗</v>
      </c>
      <c r="S16" s="16" t="s">
        <v>867</v>
      </c>
      <c r="T16" s="16" t="n">
        <v>14</v>
      </c>
      <c r="U16" s="16" t="n">
        <v>17</v>
      </c>
      <c r="V16" s="16" t="n">
        <v>19</v>
      </c>
      <c r="W16" s="17"/>
      <c r="X16" s="16" t="s">
        <v>869</v>
      </c>
      <c r="Y16" s="16" t="n">
        <v>14</v>
      </c>
      <c r="Z16" s="16" t="n">
        <v>20</v>
      </c>
      <c r="AA16" s="16" t="n">
        <v>16</v>
      </c>
      <c r="AB16" s="17"/>
      <c r="AC16" s="17"/>
      <c r="AD16" s="14" t="n">
        <v>8</v>
      </c>
      <c r="AE16" s="16" t="s">
        <v>855</v>
      </c>
      <c r="AF16" s="16"/>
      <c r="AG16" s="16"/>
      <c r="AH16" s="16" t="s">
        <v>854</v>
      </c>
      <c r="AI16" s="16"/>
      <c r="AJ16" s="16"/>
      <c r="AS16" s="13"/>
      <c r="AT16" s="13"/>
      <c r="AU16" s="13"/>
      <c r="AV16" s="13"/>
      <c r="AW16" s="13"/>
    </row>
    <row r="17" customFormat="false" ht="17.9" hidden="false" customHeight="true" outlineLevel="0" collapsed="false">
      <c r="A17" s="16" t="s">
        <v>870</v>
      </c>
      <c r="B17" s="16" t="n">
        <f aca="false">IF(_xlfn.UNICODE(A17)&lt;44032,-1,_xlfn.UNICODE(A17)-44032)</f>
        <v>25</v>
      </c>
      <c r="C17" s="16" t="n">
        <f aca="false">IF(B17=-1,-1,INT((B17/28)/21))</f>
        <v>0</v>
      </c>
      <c r="D17" s="16" t="n">
        <f aca="false">IF(B17=-1, -1, MOD(INT(B17/28),21))</f>
        <v>0</v>
      </c>
      <c r="E17" s="16" t="n">
        <f aca="false">IF(B17=-1, -1, VLOOKUP(MOD(B17,28), $T$24:$U$52,2))</f>
        <v>19</v>
      </c>
      <c r="F17" s="16" t="n">
        <f aca="false">IF($B17=-1, -1, VLOOKUP(C17,$T$1:$V$20, 2))</f>
        <v>7</v>
      </c>
      <c r="G17" s="16" t="n">
        <f aca="false">IF($B17=-1, -1, VLOOKUP(D17,$Y$1:$Z$22,2))</f>
        <v>13</v>
      </c>
      <c r="H17" s="16" t="str">
        <f aca="false">_xlfn.UNICHAR(((F17*21)+G17)*28+44032)</f>
        <v>부</v>
      </c>
      <c r="I17" s="16" t="n">
        <f aca="false">IF(B17=-1, 1, COUNTIF($A$2:$A$3000, H17))</f>
        <v>1</v>
      </c>
      <c r="J17" s="10" t="str">
        <f aca="false">_xlfn.CONCAT(A17, ",",H17,",",I17)</f>
        <v>같,부,1</v>
      </c>
      <c r="K17" s="16" t="n">
        <f aca="false">IF(B17=-1,-1,VLOOKUP(C17,$T$1:$V$20,3))</f>
        <v>1</v>
      </c>
      <c r="L17" s="16" t="n">
        <f aca="false">IF(B17=-1,-1,VLOOKUP(D17,$Y$1:$AA$22,3))</f>
        <v>2</v>
      </c>
      <c r="N17" s="10" t="str">
        <f aca="false">_xlfn.UNICHAR(((C17*21)+G17)*28+44032)</f>
        <v>구</v>
      </c>
      <c r="O17" s="10" t="str">
        <f aca="false">_xlfn.UNICHAR(((F17*21)+D17)*28+44032)</f>
        <v>바</v>
      </c>
      <c r="P17" s="12" t="n">
        <f aca="false">COUNTIF($A$2:$A$3000, N17) + COUNTIF($A$2:$A$3000, O17)</f>
        <v>2</v>
      </c>
      <c r="Q17" s="16" t="str">
        <f aca="false">IF(OR(B17=-1,I17=0, P17&lt;&gt;2), "albhed_dummy", _xlfn.CONCAT("albhed ", RIGHT("  " &amp; K17,2),", ", RIGHT("  " &amp; L17,2), ", " ,"""",H17,""", ", """",N17,""", ","""",O17,""""," ; ", A17))</f>
        <v>albhed  1,  2, "부", "구", "바" ; 같</v>
      </c>
      <c r="S17" s="16" t="s">
        <v>871</v>
      </c>
      <c r="T17" s="16" t="n">
        <v>15</v>
      </c>
      <c r="U17" s="16" t="n">
        <v>2</v>
      </c>
      <c r="V17" s="16" t="n">
        <v>21</v>
      </c>
      <c r="W17" s="17"/>
      <c r="X17" s="16" t="s">
        <v>872</v>
      </c>
      <c r="Y17" s="16" t="n">
        <v>15</v>
      </c>
      <c r="Z17" s="16" t="n">
        <v>20</v>
      </c>
      <c r="AA17" s="16" t="n">
        <v>16</v>
      </c>
      <c r="AB17" s="17"/>
      <c r="AC17" s="17"/>
      <c r="AD17" s="14" t="n">
        <v>9</v>
      </c>
      <c r="AE17" s="16" t="s">
        <v>857</v>
      </c>
      <c r="AF17" s="16"/>
      <c r="AG17" s="16"/>
      <c r="AH17" s="16" t="s">
        <v>835</v>
      </c>
      <c r="AI17" s="16"/>
      <c r="AJ17" s="16"/>
      <c r="AS17" s="13"/>
      <c r="AT17" s="13"/>
      <c r="AU17" s="13"/>
      <c r="AV17" s="13"/>
      <c r="AW17" s="13"/>
    </row>
    <row r="18" customFormat="false" ht="17.9" hidden="false" customHeight="true" outlineLevel="0" collapsed="false">
      <c r="A18" s="16" t="s">
        <v>873</v>
      </c>
      <c r="B18" s="16" t="n">
        <f aca="false">IF(_xlfn.UNICODE(A18)&lt;44032,-1,_xlfn.UNICODE(A18)-44032)</f>
        <v>26</v>
      </c>
      <c r="C18" s="16" t="n">
        <f aca="false">IF(B18=-1,-1,INT((B18/28)/21))</f>
        <v>0</v>
      </c>
      <c r="D18" s="16" t="n">
        <f aca="false">IF(B18=-1, -1, MOD(INT(B18/28),21))</f>
        <v>0</v>
      </c>
      <c r="E18" s="16" t="n">
        <f aca="false">IF(B18=-1, -1, VLOOKUP(MOD(B18,28), $T$24:$U$52,2))</f>
        <v>17</v>
      </c>
      <c r="F18" s="16" t="n">
        <f aca="false">IF($B18=-1, -1, VLOOKUP(C18,$T$1:$V$20, 2))</f>
        <v>7</v>
      </c>
      <c r="G18" s="16" t="n">
        <f aca="false">IF($B18=-1, -1, VLOOKUP(D18,$Y$1:$Z$22,2))</f>
        <v>13</v>
      </c>
      <c r="H18" s="16" t="str">
        <f aca="false">_xlfn.UNICHAR(((F18*21)+G18)*28+44032)</f>
        <v>부</v>
      </c>
      <c r="I18" s="16" t="n">
        <f aca="false">IF(B18=-1, 1, COUNTIF($A$2:$A$3000, H18))</f>
        <v>1</v>
      </c>
      <c r="J18" s="10" t="str">
        <f aca="false">_xlfn.CONCAT(A18, ",",H18,",",I18)</f>
        <v>갚,부,1</v>
      </c>
      <c r="K18" s="16" t="n">
        <f aca="false">IF(B18=-1,-1,VLOOKUP(C18,$T$1:$V$20,3))</f>
        <v>1</v>
      </c>
      <c r="L18" s="16" t="n">
        <f aca="false">IF(B18=-1,-1,VLOOKUP(D18,$Y$1:$AA$22,3))</f>
        <v>2</v>
      </c>
      <c r="N18" s="10" t="str">
        <f aca="false">_xlfn.UNICHAR(((C18*21)+G18)*28+44032)</f>
        <v>구</v>
      </c>
      <c r="O18" s="10" t="str">
        <f aca="false">_xlfn.UNICHAR(((F18*21)+D18)*28+44032)</f>
        <v>바</v>
      </c>
      <c r="P18" s="12" t="n">
        <f aca="false">COUNTIF($A$2:$A$3000, N18) + COUNTIF($A$2:$A$3000, O18)</f>
        <v>2</v>
      </c>
      <c r="Q18" s="16" t="str">
        <f aca="false">IF(OR(B18=-1,I18=0, P18&lt;&gt;2), "albhed_dummy", _xlfn.CONCAT("albhed ", RIGHT("  " &amp; K18,2),", ", RIGHT("  " &amp; L18,2), ", " ,"""",H18,""", ", """",N18,""", ","""",O18,""""," ; ", A18))</f>
        <v>albhed  1,  2, "부", "구", "바" ; 갚</v>
      </c>
      <c r="S18" s="16" t="s">
        <v>874</v>
      </c>
      <c r="T18" s="16" t="n">
        <v>16</v>
      </c>
      <c r="U18" s="16" t="n">
        <v>5</v>
      </c>
      <c r="V18" s="16" t="n">
        <v>23</v>
      </c>
      <c r="W18" s="17"/>
      <c r="X18" s="16" t="s">
        <v>875</v>
      </c>
      <c r="Y18" s="16" t="n">
        <v>16</v>
      </c>
      <c r="Z18" s="16" t="n">
        <v>20</v>
      </c>
      <c r="AA18" s="16" t="n">
        <v>22</v>
      </c>
      <c r="AB18" s="17"/>
      <c r="AC18" s="17"/>
      <c r="AD18" s="14" t="n">
        <v>10</v>
      </c>
      <c r="AE18" s="16" t="s">
        <v>876</v>
      </c>
      <c r="AF18" s="16"/>
      <c r="AG18" s="16"/>
      <c r="AH18" s="16" t="s">
        <v>877</v>
      </c>
      <c r="AI18" s="16"/>
      <c r="AJ18" s="16"/>
      <c r="AS18" s="13"/>
      <c r="AT18" s="13"/>
      <c r="AU18" s="13"/>
      <c r="AV18" s="13"/>
      <c r="AW18" s="13"/>
    </row>
    <row r="19" customFormat="false" ht="17.9" hidden="false" customHeight="true" outlineLevel="0" collapsed="false">
      <c r="A19" s="16" t="s">
        <v>878</v>
      </c>
      <c r="B19" s="16" t="n">
        <f aca="false">IF(_xlfn.UNICODE(A19)&lt;44032,-1,_xlfn.UNICODE(A19)-44032)</f>
        <v>27</v>
      </c>
      <c r="C19" s="16" t="n">
        <f aca="false">IF(B19=-1,-1,INT((B19/28)/21))</f>
        <v>0</v>
      </c>
      <c r="D19" s="16" t="n">
        <f aca="false">IF(B19=-1, -1, MOD(INT(B19/28),21))</f>
        <v>0</v>
      </c>
      <c r="E19" s="16" t="n">
        <f aca="false">IF(B19=-1, -1, VLOOKUP(MOD(B19,28), $T$24:$U$52,2))</f>
        <v>19</v>
      </c>
      <c r="F19" s="16" t="n">
        <f aca="false">IF($B19=-1, -1, VLOOKUP(C19,$T$1:$V$20, 2))</f>
        <v>7</v>
      </c>
      <c r="G19" s="16" t="n">
        <f aca="false">IF($B19=-1, -1, VLOOKUP(D19,$Y$1:$Z$22,2))</f>
        <v>13</v>
      </c>
      <c r="H19" s="16" t="str">
        <f aca="false">_xlfn.UNICHAR(((F19*21)+G19)*28+44032)</f>
        <v>부</v>
      </c>
      <c r="I19" s="16" t="n">
        <f aca="false">IF(B19=-1, 1, COUNTIF($A$2:$A$3000, H19))</f>
        <v>1</v>
      </c>
      <c r="J19" s="10" t="str">
        <f aca="false">_xlfn.CONCAT(A19, ",",H19,",",I19)</f>
        <v>갛,부,1</v>
      </c>
      <c r="K19" s="16" t="n">
        <f aca="false">IF(B19=-1,-1,VLOOKUP(C19,$T$1:$V$20,3))</f>
        <v>1</v>
      </c>
      <c r="L19" s="16" t="n">
        <f aca="false">IF(B19=-1,-1,VLOOKUP(D19,$Y$1:$AA$22,3))</f>
        <v>2</v>
      </c>
      <c r="N19" s="10" t="str">
        <f aca="false">_xlfn.UNICHAR(((C19*21)+G19)*28+44032)</f>
        <v>구</v>
      </c>
      <c r="O19" s="10" t="str">
        <f aca="false">_xlfn.UNICHAR(((F19*21)+D19)*28+44032)</f>
        <v>바</v>
      </c>
      <c r="P19" s="12" t="n">
        <f aca="false">COUNTIF($A$2:$A$3000, N19) + COUNTIF($A$2:$A$3000, O19)</f>
        <v>2</v>
      </c>
      <c r="Q19" s="16" t="str">
        <f aca="false">IF(OR(B19=-1,I19=0, P19&lt;&gt;2), "albhed_dummy", _xlfn.CONCAT("albhed ", RIGHT("  " &amp; K19,2),", ", RIGHT("  " &amp; L19,2), ", " ,"""",H19,""", ", """",N19,""", ","""",O19,""""," ; ", A19))</f>
        <v>albhed  1,  2, "부", "구", "바" ; 갛</v>
      </c>
      <c r="S19" s="16" t="s">
        <v>879</v>
      </c>
      <c r="T19" s="16" t="n">
        <v>17</v>
      </c>
      <c r="U19" s="16" t="n">
        <v>6</v>
      </c>
      <c r="V19" s="16" t="n">
        <v>25</v>
      </c>
      <c r="W19" s="17"/>
      <c r="X19" s="16" t="s">
        <v>880</v>
      </c>
      <c r="Y19" s="16" t="n">
        <v>17</v>
      </c>
      <c r="Z19" s="16" t="n">
        <v>2</v>
      </c>
      <c r="AA19" s="16" t="n">
        <v>6</v>
      </c>
      <c r="AB19" s="17"/>
      <c r="AC19" s="17"/>
      <c r="AD19" s="14" t="n">
        <v>11</v>
      </c>
      <c r="AE19" s="16" t="s">
        <v>881</v>
      </c>
      <c r="AF19" s="16"/>
      <c r="AG19" s="16"/>
      <c r="AH19" s="16" t="s">
        <v>840</v>
      </c>
      <c r="AI19" s="16"/>
      <c r="AJ19" s="16"/>
      <c r="AS19" s="13"/>
      <c r="AT19" s="13"/>
      <c r="AU19" s="13"/>
      <c r="AV19" s="13"/>
      <c r="AW19" s="13"/>
    </row>
    <row r="20" customFormat="false" ht="17.9" hidden="false" customHeight="true" outlineLevel="0" collapsed="false">
      <c r="A20" s="16" t="s">
        <v>882</v>
      </c>
      <c r="B20" s="16" t="n">
        <f aca="false">IF(_xlfn.UNICODE(A20)&lt;44032,-1,_xlfn.UNICODE(A20)-44032)</f>
        <v>28</v>
      </c>
      <c r="C20" s="16" t="n">
        <f aca="false">IF(B20=-1,-1,INT((B20/28)/21))</f>
        <v>0</v>
      </c>
      <c r="D20" s="16" t="n">
        <f aca="false">IF(B20=-1, -1, MOD(INT(B20/28),21))</f>
        <v>1</v>
      </c>
      <c r="E20" s="16" t="n">
        <f aca="false">IF(B20=-1, -1, VLOOKUP(MOD(B20,28), $T$24:$U$52,2))</f>
        <v>0</v>
      </c>
      <c r="F20" s="16" t="n">
        <f aca="false">IF($B20=-1, -1, VLOOKUP(C20,$T$1:$V$20, 2))</f>
        <v>7</v>
      </c>
      <c r="G20" s="16" t="n">
        <f aca="false">IF($B20=-1, -1, VLOOKUP(D20,$Y$1:$Z$22,2))</f>
        <v>18</v>
      </c>
      <c r="H20" s="16" t="str">
        <f aca="false">_xlfn.UNICHAR(((F20*21)+G20)*28+44032)</f>
        <v>브</v>
      </c>
      <c r="I20" s="16" t="n">
        <f aca="false">IF(B20=-1, 1, COUNTIF($A$2:$A$3000, H20))</f>
        <v>1</v>
      </c>
      <c r="J20" s="10" t="str">
        <f aca="false">_xlfn.CONCAT(A20, ",",H20,",",I20)</f>
        <v>개,브,1</v>
      </c>
      <c r="K20" s="16" t="n">
        <f aca="false">IF(B20=-1,-1,VLOOKUP(C20,$T$1:$V$20,3))</f>
        <v>1</v>
      </c>
      <c r="L20" s="16" t="n">
        <f aca="false">IF(B20=-1,-1,VLOOKUP(D20,$Y$1:$AA$22,3))</f>
        <v>10</v>
      </c>
      <c r="N20" s="10" t="str">
        <f aca="false">_xlfn.UNICHAR(((C20*21)+G20)*28+44032)</f>
        <v>그</v>
      </c>
      <c r="O20" s="10" t="str">
        <f aca="false">_xlfn.UNICHAR(((F20*21)+D20)*28+44032)</f>
        <v>배</v>
      </c>
      <c r="P20" s="12" t="n">
        <f aca="false">COUNTIF($A$2:$A$3000, N20) + COUNTIF($A$2:$A$3000, O20)</f>
        <v>2</v>
      </c>
      <c r="Q20" s="16" t="str">
        <f aca="false">IF(OR(B20=-1,I20=0, P20&lt;&gt;2), "albhed_dummy", _xlfn.CONCAT("albhed ", RIGHT("  " &amp; K20,2),", ", RIGHT("  " &amp; L20,2), ", " ,"""",H20,""", ", """",N20,""", ","""",O20,""""," ; ", A20))</f>
        <v>albhed  1, 10, "브", "그", "배" ; 개</v>
      </c>
      <c r="S20" s="16" t="s">
        <v>850</v>
      </c>
      <c r="T20" s="16" t="n">
        <v>18</v>
      </c>
      <c r="U20" s="16" t="n">
        <v>16</v>
      </c>
      <c r="V20" s="16" t="n">
        <v>26</v>
      </c>
      <c r="W20" s="17"/>
      <c r="X20" s="16" t="s">
        <v>876</v>
      </c>
      <c r="Y20" s="16" t="n">
        <v>18</v>
      </c>
      <c r="Z20" s="16" t="n">
        <v>5</v>
      </c>
      <c r="AA20" s="16" t="n">
        <v>18</v>
      </c>
      <c r="AB20" s="17"/>
      <c r="AC20" s="17"/>
      <c r="AD20" s="14" t="n">
        <v>12</v>
      </c>
      <c r="AE20" s="16" t="s">
        <v>883</v>
      </c>
      <c r="AF20" s="16"/>
      <c r="AG20" s="16"/>
      <c r="AH20" s="16" t="s">
        <v>884</v>
      </c>
      <c r="AI20" s="16"/>
      <c r="AJ20" s="16"/>
      <c r="AS20" s="13"/>
      <c r="AT20" s="13"/>
      <c r="AU20" s="13"/>
      <c r="AV20" s="13"/>
      <c r="AW20" s="13"/>
    </row>
    <row r="21" customFormat="false" ht="17.9" hidden="false" customHeight="true" outlineLevel="0" collapsed="false">
      <c r="A21" s="16" t="s">
        <v>885</v>
      </c>
      <c r="B21" s="16" t="n">
        <f aca="false">IF(_xlfn.UNICODE(A21)&lt;44032,-1,_xlfn.UNICODE(A21)-44032)</f>
        <v>29</v>
      </c>
      <c r="C21" s="16" t="n">
        <f aca="false">IF(B21=-1,-1,INT((B21/28)/21))</f>
        <v>0</v>
      </c>
      <c r="D21" s="16" t="n">
        <f aca="false">IF(B21=-1, -1, MOD(INT(B21/28),21))</f>
        <v>1</v>
      </c>
      <c r="E21" s="16" t="n">
        <f aca="false">IF(B21=-1, -1, VLOOKUP(MOD(B21,28), $T$24:$U$52,2))</f>
        <v>1</v>
      </c>
      <c r="F21" s="16" t="n">
        <f aca="false">IF($B21=-1, -1, VLOOKUP(C21,$T$1:$V$20, 2))</f>
        <v>7</v>
      </c>
      <c r="G21" s="16" t="n">
        <f aca="false">IF($B21=-1, -1, VLOOKUP(D21,$Y$1:$Z$22,2))</f>
        <v>18</v>
      </c>
      <c r="H21" s="16" t="str">
        <f aca="false">_xlfn.UNICHAR(((F21*21)+G21)*28+44032)</f>
        <v>브</v>
      </c>
      <c r="I21" s="16" t="n">
        <f aca="false">IF(B21=-1, 1, COUNTIF($A$2:$A$3000, H21))</f>
        <v>1</v>
      </c>
      <c r="J21" s="10" t="str">
        <f aca="false">_xlfn.CONCAT(A21, ",",H21,",",I21)</f>
        <v>객,브,1</v>
      </c>
      <c r="K21" s="16" t="n">
        <f aca="false">IF(B21=-1,-1,VLOOKUP(C21,$T$1:$V$20,3))</f>
        <v>1</v>
      </c>
      <c r="L21" s="16" t="n">
        <f aca="false">IF(B21=-1,-1,VLOOKUP(D21,$Y$1:$AA$22,3))</f>
        <v>10</v>
      </c>
      <c r="N21" s="10" t="str">
        <f aca="false">_xlfn.UNICHAR(((C21*21)+G21)*28+44032)</f>
        <v>그</v>
      </c>
      <c r="O21" s="10" t="str">
        <f aca="false">_xlfn.UNICHAR(((F21*21)+D21)*28+44032)</f>
        <v>배</v>
      </c>
      <c r="P21" s="12" t="n">
        <f aca="false">COUNTIF($A$2:$A$3000, N21) + COUNTIF($A$2:$A$3000, O21)</f>
        <v>2</v>
      </c>
      <c r="Q21" s="16" t="str">
        <f aca="false">IF(OR(B21=-1,I21=0, P21&lt;&gt;2), "albhed_dummy", _xlfn.CONCAT("albhed ", RIGHT("  " &amp; K21,2),", ", RIGHT("  " &amp; L21,2), ", " ,"""",H21,""", ", """",N21,""", ","""",O21,""""," ; ", A21))</f>
        <v>albhed  1, 10, "브", "그", "배" ; 객</v>
      </c>
      <c r="S21" s="16"/>
      <c r="T21" s="16"/>
      <c r="U21" s="16"/>
      <c r="V21" s="16"/>
      <c r="X21" s="16" t="s">
        <v>886</v>
      </c>
      <c r="Y21" s="16" t="n">
        <v>19</v>
      </c>
      <c r="Z21" s="16" t="n">
        <v>5</v>
      </c>
      <c r="AA21" s="16" t="n">
        <v>24</v>
      </c>
      <c r="AB21" s="17"/>
      <c r="AC21" s="17"/>
      <c r="AD21" s="14" t="n">
        <v>13</v>
      </c>
      <c r="AE21" s="16" t="s">
        <v>841</v>
      </c>
      <c r="AF21" s="16"/>
      <c r="AG21" s="16"/>
      <c r="AH21" s="16" t="s">
        <v>859</v>
      </c>
      <c r="AI21" s="16"/>
      <c r="AJ21" s="16"/>
      <c r="AS21" s="13"/>
      <c r="AT21" s="13"/>
      <c r="AU21" s="13"/>
      <c r="AV21" s="13"/>
      <c r="AW21" s="13"/>
    </row>
    <row r="22" customFormat="false" ht="17.9" hidden="false" customHeight="true" outlineLevel="0" collapsed="false">
      <c r="A22" s="16" t="s">
        <v>887</v>
      </c>
      <c r="B22" s="16" t="n">
        <f aca="false">IF(_xlfn.UNICODE(A22)&lt;44032,-1,_xlfn.UNICODE(A22)-44032)</f>
        <v>32</v>
      </c>
      <c r="C22" s="16" t="n">
        <f aca="false">IF(B22=-1,-1,INT((B22/28)/21))</f>
        <v>0</v>
      </c>
      <c r="D22" s="16" t="n">
        <f aca="false">IF(B22=-1, -1, MOD(INT(B22/28),21))</f>
        <v>1</v>
      </c>
      <c r="E22" s="16" t="n">
        <f aca="false">IF(B22=-1, -1, VLOOKUP(MOD(B22,28), $T$24:$U$52,2))</f>
        <v>4</v>
      </c>
      <c r="F22" s="16" t="n">
        <f aca="false">IF($B22=-1, -1, VLOOKUP(C22,$T$1:$V$20, 2))</f>
        <v>7</v>
      </c>
      <c r="G22" s="16" t="n">
        <f aca="false">IF($B22=-1, -1, VLOOKUP(D22,$Y$1:$Z$22,2))</f>
        <v>18</v>
      </c>
      <c r="H22" s="16" t="str">
        <f aca="false">_xlfn.UNICHAR(((F22*21)+G22)*28+44032)</f>
        <v>브</v>
      </c>
      <c r="I22" s="16" t="n">
        <f aca="false">IF(B22=-1, 1, COUNTIF($A$2:$A$3000, H22))</f>
        <v>1</v>
      </c>
      <c r="J22" s="10" t="str">
        <f aca="false">_xlfn.CONCAT(A22, ",",H22,",",I22)</f>
        <v>갠,브,1</v>
      </c>
      <c r="K22" s="16" t="n">
        <f aca="false">IF(B22=-1,-1,VLOOKUP(C22,$T$1:$V$20,3))</f>
        <v>1</v>
      </c>
      <c r="L22" s="16" t="n">
        <f aca="false">IF(B22=-1,-1,VLOOKUP(D22,$Y$1:$AA$22,3))</f>
        <v>10</v>
      </c>
      <c r="N22" s="10" t="str">
        <f aca="false">_xlfn.UNICHAR(((C22*21)+G22)*28+44032)</f>
        <v>그</v>
      </c>
      <c r="O22" s="10" t="str">
        <f aca="false">_xlfn.UNICHAR(((F22*21)+D22)*28+44032)</f>
        <v>배</v>
      </c>
      <c r="P22" s="12" t="n">
        <f aca="false">COUNTIF($A$2:$A$3000, N22) + COUNTIF($A$2:$A$3000, O22)</f>
        <v>2</v>
      </c>
      <c r="Q22" s="16" t="str">
        <f aca="false">IF(OR(B22=-1,I22=0, P22&lt;&gt;2), "albhed_dummy", _xlfn.CONCAT("albhed ", RIGHT("  " &amp; K22,2),", ", RIGHT("  " &amp; L22,2), ", " ,"""",H22,""", ", """",N22,""", ","""",O22,""""," ; ", A22))</f>
        <v>albhed  1, 10, "브", "그", "배" ; 갠</v>
      </c>
      <c r="S22" s="16"/>
      <c r="T22" s="16"/>
      <c r="U22" s="16"/>
      <c r="V22" s="16"/>
      <c r="X22" s="16" t="s">
        <v>883</v>
      </c>
      <c r="Y22" s="16" t="n">
        <v>20</v>
      </c>
      <c r="Z22" s="16" t="n">
        <v>5</v>
      </c>
      <c r="AA22" s="16" t="n">
        <v>20</v>
      </c>
      <c r="AB22" s="17"/>
      <c r="AC22" s="17"/>
      <c r="AD22" s="14" t="n">
        <v>14</v>
      </c>
      <c r="AE22" s="16" t="s">
        <v>876</v>
      </c>
      <c r="AF22" s="16"/>
      <c r="AG22" s="16"/>
      <c r="AH22" s="16" t="s">
        <v>888</v>
      </c>
      <c r="AI22" s="16"/>
      <c r="AJ22" s="16"/>
      <c r="AS22" s="13"/>
      <c r="AT22" s="13"/>
      <c r="AU22" s="13"/>
      <c r="AV22" s="13"/>
      <c r="AW22" s="13"/>
    </row>
    <row r="23" customFormat="false" ht="17.9" hidden="false" customHeight="true" outlineLevel="0" collapsed="false">
      <c r="A23" s="16" t="s">
        <v>889</v>
      </c>
      <c r="B23" s="16" t="n">
        <f aca="false">IF(_xlfn.UNICODE(A23)&lt;44032,-1,_xlfn.UNICODE(A23)-44032)</f>
        <v>36</v>
      </c>
      <c r="C23" s="16" t="n">
        <f aca="false">IF(B23=-1,-1,INT((B23/28)/21))</f>
        <v>0</v>
      </c>
      <c r="D23" s="16" t="n">
        <f aca="false">IF(B23=-1, -1, MOD(INT(B23/28),21))</f>
        <v>1</v>
      </c>
      <c r="E23" s="16" t="n">
        <f aca="false">IF(B23=-1, -1, VLOOKUP(MOD(B23,28), $T$24:$U$52,2))</f>
        <v>8</v>
      </c>
      <c r="F23" s="16" t="n">
        <f aca="false">IF($B23=-1, -1, VLOOKUP(C23,$T$1:$V$20, 2))</f>
        <v>7</v>
      </c>
      <c r="G23" s="16" t="n">
        <f aca="false">IF($B23=-1, -1, VLOOKUP(D23,$Y$1:$Z$22,2))</f>
        <v>18</v>
      </c>
      <c r="H23" s="16" t="str">
        <f aca="false">_xlfn.UNICHAR(((F23*21)+G23)*28+44032)</f>
        <v>브</v>
      </c>
      <c r="I23" s="16" t="n">
        <f aca="false">IF(B23=-1, 1, COUNTIF($A$2:$A$3000, H23))</f>
        <v>1</v>
      </c>
      <c r="J23" s="10" t="str">
        <f aca="false">_xlfn.CONCAT(A23, ",",H23,",",I23)</f>
        <v>갤,브,1</v>
      </c>
      <c r="K23" s="16" t="n">
        <f aca="false">IF(B23=-1,-1,VLOOKUP(C23,$T$1:$V$20,3))</f>
        <v>1</v>
      </c>
      <c r="L23" s="16" t="n">
        <f aca="false">IF(B23=-1,-1,VLOOKUP(D23,$Y$1:$AA$22,3))</f>
        <v>10</v>
      </c>
      <c r="N23" s="10" t="str">
        <f aca="false">_xlfn.UNICHAR(((C23*21)+G23)*28+44032)</f>
        <v>그</v>
      </c>
      <c r="O23" s="10" t="str">
        <f aca="false">_xlfn.UNICHAR(((F23*21)+D23)*28+44032)</f>
        <v>배</v>
      </c>
      <c r="P23" s="12" t="n">
        <f aca="false">COUNTIF($A$2:$A$3000, N23) + COUNTIF($A$2:$A$3000, O23)</f>
        <v>2</v>
      </c>
      <c r="Q23" s="16" t="str">
        <f aca="false">IF(OR(B23=-1,I23=0, P23&lt;&gt;2), "albhed_dummy", _xlfn.CONCAT("albhed ", RIGHT("  " &amp; K23,2),", ", RIGHT("  " &amp; L23,2), ", " ,"""",H23,""", ", """",N23,""", ","""",O23,""""," ; ", A23))</f>
        <v>albhed  1, 10, "브", "그", "배" ; 갤</v>
      </c>
      <c r="AC23" s="17"/>
      <c r="AD23" s="14" t="n">
        <v>15</v>
      </c>
      <c r="AE23" s="16" t="s">
        <v>871</v>
      </c>
      <c r="AF23" s="16"/>
      <c r="AG23" s="16"/>
      <c r="AH23" s="16" t="s">
        <v>857</v>
      </c>
      <c r="AI23" s="16"/>
      <c r="AJ23" s="16"/>
      <c r="AS23" s="13"/>
      <c r="AT23" s="13"/>
      <c r="AU23" s="13"/>
      <c r="AV23" s="13"/>
      <c r="AW23" s="13"/>
    </row>
    <row r="24" customFormat="false" ht="17.9" hidden="false" customHeight="true" outlineLevel="0" collapsed="false">
      <c r="A24" s="16" t="s">
        <v>890</v>
      </c>
      <c r="B24" s="16" t="n">
        <f aca="false">IF(_xlfn.UNICODE(A24)&lt;44032,-1,_xlfn.UNICODE(A24)-44032)</f>
        <v>44</v>
      </c>
      <c r="C24" s="16" t="n">
        <f aca="false">IF(B24=-1,-1,INT((B24/28)/21))</f>
        <v>0</v>
      </c>
      <c r="D24" s="16" t="n">
        <f aca="false">IF(B24=-1, -1, MOD(INT(B24/28),21))</f>
        <v>1</v>
      </c>
      <c r="E24" s="16" t="n">
        <f aca="false">IF(B24=-1, -1, VLOOKUP(MOD(B24,28), $T$24:$U$52,2))</f>
        <v>16</v>
      </c>
      <c r="F24" s="16" t="n">
        <f aca="false">IF($B24=-1, -1, VLOOKUP(C24,$T$1:$V$20, 2))</f>
        <v>7</v>
      </c>
      <c r="G24" s="16" t="n">
        <f aca="false">IF($B24=-1, -1, VLOOKUP(D24,$Y$1:$Z$22,2))</f>
        <v>18</v>
      </c>
      <c r="H24" s="16" t="str">
        <f aca="false">_xlfn.UNICHAR(((F24*21)+G24)*28+44032)</f>
        <v>브</v>
      </c>
      <c r="I24" s="16" t="n">
        <f aca="false">IF(B24=-1, 1, COUNTIF($A$2:$A$3000, H24))</f>
        <v>1</v>
      </c>
      <c r="J24" s="10" t="str">
        <f aca="false">_xlfn.CONCAT(A24, ",",H24,",",I24)</f>
        <v>갬,브,1</v>
      </c>
      <c r="K24" s="16" t="n">
        <f aca="false">IF(B24=-1,-1,VLOOKUP(C24,$T$1:$V$20,3))</f>
        <v>1</v>
      </c>
      <c r="L24" s="16" t="n">
        <f aca="false">IF(B24=-1,-1,VLOOKUP(D24,$Y$1:$AA$22,3))</f>
        <v>10</v>
      </c>
      <c r="N24" s="10" t="str">
        <f aca="false">_xlfn.UNICHAR(((C24*21)+G24)*28+44032)</f>
        <v>그</v>
      </c>
      <c r="O24" s="10" t="str">
        <f aca="false">_xlfn.UNICHAR(((F24*21)+D24)*28+44032)</f>
        <v>배</v>
      </c>
      <c r="P24" s="12" t="n">
        <f aca="false">COUNTIF($A$2:$A$3000, N24) + COUNTIF($A$2:$A$3000, O24)</f>
        <v>2</v>
      </c>
      <c r="Q24" s="16" t="str">
        <f aca="false">IF(OR(B24=-1,I24=0, P24&lt;&gt;2), "albhed_dummy", _xlfn.CONCAT("albhed ", RIGHT("  " &amp; K24,2),", ", RIGHT("  " &amp; L24,2), ", " ,"""",H24,""", ", """",N24,""", ","""",O24,""""," ; ", A24))</f>
        <v>albhed  1, 10, "브", "그", "배" ; 갬</v>
      </c>
      <c r="S24" s="14" t="s">
        <v>771</v>
      </c>
      <c r="T24" s="14" t="s">
        <v>778</v>
      </c>
      <c r="U24" s="14" t="s">
        <v>891</v>
      </c>
      <c r="V24" s="13"/>
      <c r="W24" s="13"/>
      <c r="X24" s="13"/>
      <c r="AC24" s="17"/>
      <c r="AD24" s="14" t="n">
        <v>16</v>
      </c>
      <c r="AE24" s="16" t="s">
        <v>883</v>
      </c>
      <c r="AF24" s="16"/>
      <c r="AG24" s="16"/>
      <c r="AH24" s="16" t="s">
        <v>892</v>
      </c>
      <c r="AI24" s="16"/>
      <c r="AJ24" s="16"/>
      <c r="AS24" s="13"/>
      <c r="AT24" s="13"/>
      <c r="AU24" s="13"/>
      <c r="AV24" s="13"/>
      <c r="AW24" s="13"/>
    </row>
    <row r="25" customFormat="false" ht="17.9" hidden="false" customHeight="true" outlineLevel="0" collapsed="false">
      <c r="A25" s="16" t="s">
        <v>893</v>
      </c>
      <c r="B25" s="16" t="n">
        <f aca="false">IF(_xlfn.UNICODE(A25)&lt;44032,-1,_xlfn.UNICODE(A25)-44032)</f>
        <v>45</v>
      </c>
      <c r="C25" s="16" t="n">
        <f aca="false">IF(B25=-1,-1,INT((B25/28)/21))</f>
        <v>0</v>
      </c>
      <c r="D25" s="16" t="n">
        <f aca="false">IF(B25=-1, -1, MOD(INT(B25/28),21))</f>
        <v>1</v>
      </c>
      <c r="E25" s="16" t="n">
        <f aca="false">IF(B25=-1, -1, VLOOKUP(MOD(B25,28), $T$24:$U$52,2))</f>
        <v>17</v>
      </c>
      <c r="F25" s="16" t="n">
        <f aca="false">IF($B25=-1, -1, VLOOKUP(C25,$T$1:$V$20, 2))</f>
        <v>7</v>
      </c>
      <c r="G25" s="16" t="n">
        <f aca="false">IF($B25=-1, -1, VLOOKUP(D25,$Y$1:$Z$22,2))</f>
        <v>18</v>
      </c>
      <c r="H25" s="16" t="str">
        <f aca="false">_xlfn.UNICHAR(((F25*21)+G25)*28+44032)</f>
        <v>브</v>
      </c>
      <c r="I25" s="16" t="n">
        <f aca="false">IF(B25=-1, 1, COUNTIF($A$2:$A$3000, H25))</f>
        <v>1</v>
      </c>
      <c r="J25" s="10" t="str">
        <f aca="false">_xlfn.CONCAT(A25, ",",H25,",",I25)</f>
        <v>갭,브,1</v>
      </c>
      <c r="K25" s="16" t="n">
        <f aca="false">IF(B25=-1,-1,VLOOKUP(C25,$T$1:$V$20,3))</f>
        <v>1</v>
      </c>
      <c r="L25" s="16" t="n">
        <f aca="false">IF(B25=-1,-1,VLOOKUP(D25,$Y$1:$AA$22,3))</f>
        <v>10</v>
      </c>
      <c r="N25" s="10" t="str">
        <f aca="false">_xlfn.UNICHAR(((C25*21)+G25)*28+44032)</f>
        <v>그</v>
      </c>
      <c r="O25" s="10" t="str">
        <f aca="false">_xlfn.UNICHAR(((F25*21)+D25)*28+44032)</f>
        <v>배</v>
      </c>
      <c r="P25" s="12" t="n">
        <f aca="false">COUNTIF($A$2:$A$3000, N25) + COUNTIF($A$2:$A$3000, O25)</f>
        <v>2</v>
      </c>
      <c r="Q25" s="16" t="str">
        <f aca="false">IF(OR(B25=-1,I25=0, P25&lt;&gt;2), "albhed_dummy", _xlfn.CONCAT("albhed ", RIGHT("  " &amp; K25,2),", ", RIGHT("  " &amp; L25,2), ", " ,"""",H25,""", ", """",N25,""", ","""",O25,""""," ; ", A25))</f>
        <v>albhed  1, 10, "브", "그", "배" ; 갭</v>
      </c>
      <c r="S25" s="18"/>
      <c r="T25" s="18" t="n">
        <v>0</v>
      </c>
      <c r="U25" s="18" t="n">
        <v>0</v>
      </c>
      <c r="V25" s="13"/>
      <c r="W25" s="13"/>
      <c r="X25" s="13"/>
      <c r="AC25" s="17"/>
      <c r="AD25" s="14" t="n">
        <v>17</v>
      </c>
      <c r="AE25" s="16" t="s">
        <v>860</v>
      </c>
      <c r="AF25" s="16"/>
      <c r="AG25" s="16"/>
      <c r="AH25" s="16" t="s">
        <v>881</v>
      </c>
      <c r="AI25" s="16"/>
      <c r="AJ25" s="16"/>
      <c r="AS25" s="13"/>
      <c r="AT25" s="13"/>
      <c r="AU25" s="13"/>
      <c r="AV25" s="13"/>
      <c r="AW25" s="13"/>
    </row>
    <row r="26" customFormat="false" ht="17.9" hidden="false" customHeight="true" outlineLevel="0" collapsed="false">
      <c r="A26" s="16" t="s">
        <v>894</v>
      </c>
      <c r="B26" s="16" t="n">
        <f aca="false">IF(_xlfn.UNICODE(A26)&lt;44032,-1,_xlfn.UNICODE(A26)-44032)</f>
        <v>47</v>
      </c>
      <c r="C26" s="16" t="n">
        <f aca="false">IF(B26=-1,-1,INT((B26/28)/21))</f>
        <v>0</v>
      </c>
      <c r="D26" s="16" t="n">
        <f aca="false">IF(B26=-1, -1, MOD(INT(B26/28),21))</f>
        <v>1</v>
      </c>
      <c r="E26" s="16" t="n">
        <f aca="false">IF(B26=-1, -1, VLOOKUP(MOD(B26,28), $T$24:$U$52,2))</f>
        <v>19</v>
      </c>
      <c r="F26" s="16" t="n">
        <f aca="false">IF($B26=-1, -1, VLOOKUP(C26,$T$1:$V$20, 2))</f>
        <v>7</v>
      </c>
      <c r="G26" s="16" t="n">
        <f aca="false">IF($B26=-1, -1, VLOOKUP(D26,$Y$1:$Z$22,2))</f>
        <v>18</v>
      </c>
      <c r="H26" s="16" t="str">
        <f aca="false">_xlfn.UNICHAR(((F26*21)+G26)*28+44032)</f>
        <v>브</v>
      </c>
      <c r="I26" s="16" t="n">
        <f aca="false">IF(B26=-1, 1, COUNTIF($A$2:$A$3000, H26))</f>
        <v>1</v>
      </c>
      <c r="J26" s="10" t="str">
        <f aca="false">_xlfn.CONCAT(A26, ",",H26,",",I26)</f>
        <v>갯,브,1</v>
      </c>
      <c r="K26" s="16" t="n">
        <f aca="false">IF(B26=-1,-1,VLOOKUP(C26,$T$1:$V$20,3))</f>
        <v>1</v>
      </c>
      <c r="L26" s="16" t="n">
        <f aca="false">IF(B26=-1,-1,VLOOKUP(D26,$Y$1:$AA$22,3))</f>
        <v>10</v>
      </c>
      <c r="N26" s="10" t="str">
        <f aca="false">_xlfn.UNICHAR(((C26*21)+G26)*28+44032)</f>
        <v>그</v>
      </c>
      <c r="O26" s="10" t="str">
        <f aca="false">_xlfn.UNICHAR(((F26*21)+D26)*28+44032)</f>
        <v>배</v>
      </c>
      <c r="P26" s="12" t="n">
        <f aca="false">COUNTIF($A$2:$A$3000, N26) + COUNTIF($A$2:$A$3000, O26)</f>
        <v>2</v>
      </c>
      <c r="Q26" s="16" t="str">
        <f aca="false">IF(OR(B26=-1,I26=0, P26&lt;&gt;2), "albhed_dummy", _xlfn.CONCAT("albhed ", RIGHT("  " &amp; K26,2),", ", RIGHT("  " &amp; L26,2), ", " ,"""",H26,""", ", """",N26,""", ","""",O26,""""," ; ", A26))</f>
        <v>albhed  1, 10, "브", "그", "배" ; 갯</v>
      </c>
      <c r="S26" s="18" t="s">
        <v>782</v>
      </c>
      <c r="T26" s="18" t="n">
        <v>1</v>
      </c>
      <c r="U26" s="18" t="n">
        <v>1</v>
      </c>
      <c r="V26" s="13"/>
      <c r="W26" s="13"/>
      <c r="X26" s="13"/>
      <c r="AC26" s="17"/>
      <c r="AD26" s="14" t="n">
        <v>18</v>
      </c>
      <c r="AE26" s="16" t="s">
        <v>833</v>
      </c>
      <c r="AF26" s="16"/>
      <c r="AG26" s="16"/>
      <c r="AH26" s="16" t="s">
        <v>876</v>
      </c>
      <c r="AI26" s="16"/>
      <c r="AJ26" s="16"/>
      <c r="AS26" s="13"/>
      <c r="AT26" s="13"/>
      <c r="AU26" s="13"/>
      <c r="AV26" s="13"/>
      <c r="AW26" s="13"/>
    </row>
    <row r="27" customFormat="false" ht="17.9" hidden="false" customHeight="true" outlineLevel="0" collapsed="false">
      <c r="A27" s="16" t="s">
        <v>895</v>
      </c>
      <c r="B27" s="16" t="n">
        <f aca="false">IF(_xlfn.UNICODE(A27)&lt;44032,-1,_xlfn.UNICODE(A27)-44032)</f>
        <v>48</v>
      </c>
      <c r="C27" s="16" t="n">
        <f aca="false">IF(B27=-1,-1,INT((B27/28)/21))</f>
        <v>0</v>
      </c>
      <c r="D27" s="16" t="n">
        <f aca="false">IF(B27=-1, -1, MOD(INT(B27/28),21))</f>
        <v>1</v>
      </c>
      <c r="E27" s="16" t="n">
        <f aca="false">IF(B27=-1, -1, VLOOKUP(MOD(B27,28), $T$24:$U$52,2))</f>
        <v>19</v>
      </c>
      <c r="F27" s="16" t="n">
        <f aca="false">IF($B27=-1, -1, VLOOKUP(C27,$T$1:$V$20, 2))</f>
        <v>7</v>
      </c>
      <c r="G27" s="16" t="n">
        <f aca="false">IF($B27=-1, -1, VLOOKUP(D27,$Y$1:$Z$22,2))</f>
        <v>18</v>
      </c>
      <c r="H27" s="16" t="str">
        <f aca="false">_xlfn.UNICHAR(((F27*21)+G27)*28+44032)</f>
        <v>브</v>
      </c>
      <c r="I27" s="16" t="n">
        <f aca="false">IF(B27=-1, 1, COUNTIF($A$2:$A$3000, H27))</f>
        <v>1</v>
      </c>
      <c r="J27" s="10" t="str">
        <f aca="false">_xlfn.CONCAT(A27, ",",H27,",",I27)</f>
        <v>갰,브,1</v>
      </c>
      <c r="K27" s="16" t="n">
        <f aca="false">IF(B27=-1,-1,VLOOKUP(C27,$T$1:$V$20,3))</f>
        <v>1</v>
      </c>
      <c r="L27" s="16" t="n">
        <f aca="false">IF(B27=-1,-1,VLOOKUP(D27,$Y$1:$AA$22,3))</f>
        <v>10</v>
      </c>
      <c r="N27" s="10" t="str">
        <f aca="false">_xlfn.UNICHAR(((C27*21)+G27)*28+44032)</f>
        <v>그</v>
      </c>
      <c r="O27" s="10" t="str">
        <f aca="false">_xlfn.UNICHAR(((F27*21)+D27)*28+44032)</f>
        <v>배</v>
      </c>
      <c r="P27" s="12" t="n">
        <f aca="false">COUNTIF($A$2:$A$3000, N27) + COUNTIF($A$2:$A$3000, O27)</f>
        <v>2</v>
      </c>
      <c r="Q27" s="16" t="str">
        <f aca="false">IF(OR(B27=-1,I27=0, P27&lt;&gt;2), "albhed_dummy", _xlfn.CONCAT("albhed ", RIGHT("  " &amp; K27,2),", ", RIGHT("  " &amp; L27,2), ", " ,"""",H27,""", ", """",N27,""", ","""",O27,""""," ; ", A27))</f>
        <v>albhed  1, 10, "브", "그", "배" ; 갰</v>
      </c>
      <c r="S27" s="18" t="s">
        <v>800</v>
      </c>
      <c r="T27" s="18" t="n">
        <v>2</v>
      </c>
      <c r="U27" s="18" t="n">
        <v>1</v>
      </c>
      <c r="V27" s="13"/>
      <c r="W27" s="13"/>
      <c r="X27" s="13"/>
      <c r="AC27" s="17"/>
      <c r="AD27" s="14" t="n">
        <v>19</v>
      </c>
      <c r="AE27" s="16" t="s">
        <v>879</v>
      </c>
      <c r="AF27" s="16"/>
      <c r="AG27" s="16"/>
      <c r="AH27" s="16" t="s">
        <v>867</v>
      </c>
      <c r="AI27" s="16"/>
      <c r="AJ27" s="16"/>
      <c r="AS27" s="13"/>
      <c r="AT27" s="13"/>
      <c r="AU27" s="13"/>
      <c r="AV27" s="13"/>
      <c r="AW27" s="13"/>
    </row>
    <row r="28" customFormat="false" ht="17.9" hidden="false" customHeight="true" outlineLevel="0" collapsed="false">
      <c r="A28" s="16" t="s">
        <v>896</v>
      </c>
      <c r="B28" s="16" t="n">
        <f aca="false">IF(_xlfn.UNICODE(A28)&lt;44032,-1,_xlfn.UNICODE(A28)-44032)</f>
        <v>49</v>
      </c>
      <c r="C28" s="16" t="n">
        <f aca="false">IF(B28=-1,-1,INT((B28/28)/21))</f>
        <v>0</v>
      </c>
      <c r="D28" s="16" t="n">
        <f aca="false">IF(B28=-1, -1, MOD(INT(B28/28),21))</f>
        <v>1</v>
      </c>
      <c r="E28" s="16" t="n">
        <f aca="false">IF(B28=-1, -1, VLOOKUP(MOD(B28,28), $T$24:$U$52,2))</f>
        <v>21</v>
      </c>
      <c r="F28" s="16" t="n">
        <f aca="false">IF($B28=-1, -1, VLOOKUP(C28,$T$1:$V$20, 2))</f>
        <v>7</v>
      </c>
      <c r="G28" s="16" t="n">
        <f aca="false">IF($B28=-1, -1, VLOOKUP(D28,$Y$1:$Z$22,2))</f>
        <v>18</v>
      </c>
      <c r="H28" s="16" t="str">
        <f aca="false">_xlfn.UNICHAR(((F28*21)+G28)*28+44032)</f>
        <v>브</v>
      </c>
      <c r="I28" s="16" t="n">
        <f aca="false">IF(B28=-1, 1, COUNTIF($A$2:$A$3000, H28))</f>
        <v>1</v>
      </c>
      <c r="J28" s="10" t="str">
        <f aca="false">_xlfn.CONCAT(A28, ",",H28,",",I28)</f>
        <v>갱,브,1</v>
      </c>
      <c r="K28" s="16" t="n">
        <f aca="false">IF(B28=-1,-1,VLOOKUP(C28,$T$1:$V$20,3))</f>
        <v>1</v>
      </c>
      <c r="L28" s="16" t="n">
        <f aca="false">IF(B28=-1,-1,VLOOKUP(D28,$Y$1:$AA$22,3))</f>
        <v>10</v>
      </c>
      <c r="N28" s="10" t="str">
        <f aca="false">_xlfn.UNICHAR(((C28*21)+G28)*28+44032)</f>
        <v>그</v>
      </c>
      <c r="O28" s="10" t="str">
        <f aca="false">_xlfn.UNICHAR(((F28*21)+D28)*28+44032)</f>
        <v>배</v>
      </c>
      <c r="P28" s="12" t="n">
        <f aca="false">COUNTIF($A$2:$A$3000, N28) + COUNTIF($A$2:$A$3000, O28)</f>
        <v>2</v>
      </c>
      <c r="Q28" s="16" t="str">
        <f aca="false">IF(OR(B28=-1,I28=0, P28&lt;&gt;2), "albhed_dummy", _xlfn.CONCAT("albhed ", RIGHT("  " &amp; K28,2),", ", RIGHT("  " &amp; L28,2), ", " ,"""",H28,""", ", """",N28,""", ","""",O28,""""," ; ", A28))</f>
        <v>albhed  1, 10, "브", "그", "배" ; 갱</v>
      </c>
      <c r="S28" s="18" t="s">
        <v>897</v>
      </c>
      <c r="T28" s="18" t="n">
        <v>3</v>
      </c>
      <c r="U28" s="18" t="n">
        <v>1</v>
      </c>
      <c r="V28" s="13"/>
      <c r="W28" s="13"/>
      <c r="X28" s="13"/>
      <c r="AC28" s="17"/>
      <c r="AD28" s="14" t="n">
        <v>20</v>
      </c>
      <c r="AE28" s="16" t="s">
        <v>833</v>
      </c>
      <c r="AF28" s="16"/>
      <c r="AG28" s="16"/>
      <c r="AH28" s="16" t="s">
        <v>883</v>
      </c>
      <c r="AI28" s="16"/>
      <c r="AJ28" s="16"/>
      <c r="AS28" s="13"/>
      <c r="AT28" s="13"/>
      <c r="AU28" s="13"/>
      <c r="AV28" s="13"/>
      <c r="AW28" s="13"/>
    </row>
    <row r="29" customFormat="false" ht="17.9" hidden="false" customHeight="true" outlineLevel="0" collapsed="false">
      <c r="A29" s="16" t="s">
        <v>898</v>
      </c>
      <c r="B29" s="16" t="n">
        <f aca="false">IF(_xlfn.UNICODE(A29)&lt;44032,-1,_xlfn.UNICODE(A29)-44032)</f>
        <v>56</v>
      </c>
      <c r="C29" s="16" t="n">
        <f aca="false">IF(B29=-1,-1,INT((B29/28)/21))</f>
        <v>0</v>
      </c>
      <c r="D29" s="16" t="n">
        <f aca="false">IF(B29=-1, -1, MOD(INT(B29/28),21))</f>
        <v>2</v>
      </c>
      <c r="E29" s="16" t="n">
        <f aca="false">IF(B29=-1, -1, VLOOKUP(MOD(B29,28), $T$24:$U$52,2))</f>
        <v>0</v>
      </c>
      <c r="F29" s="16" t="n">
        <f aca="false">IF($B29=-1, -1, VLOOKUP(C29,$T$1:$V$20, 2))</f>
        <v>7</v>
      </c>
      <c r="G29" s="16" t="n">
        <f aca="false">IF($B29=-1, -1, VLOOKUP(D29,$Y$1:$Z$22,2))</f>
        <v>17</v>
      </c>
      <c r="H29" s="16" t="str">
        <f aca="false">_xlfn.UNICHAR(((F29*21)+G29)*28+44032)</f>
        <v>뷰</v>
      </c>
      <c r="I29" s="16" t="n">
        <f aca="false">IF(B29=-1, 1, COUNTIF($A$2:$A$3000, H29))</f>
        <v>1</v>
      </c>
      <c r="J29" s="10" t="str">
        <f aca="false">_xlfn.CONCAT(A29, ",",H29,",",I29)</f>
        <v>갸,뷰,1</v>
      </c>
      <c r="K29" s="16" t="n">
        <f aca="false">IF(B29=-1,-1,VLOOKUP(C29,$T$1:$V$20,3))</f>
        <v>1</v>
      </c>
      <c r="L29" s="16" t="n">
        <f aca="false">IF(B29=-1,-1,VLOOKUP(D29,$Y$1:$AA$22,3))</f>
        <v>2</v>
      </c>
      <c r="N29" s="10" t="str">
        <f aca="false">_xlfn.UNICHAR(((C29*21)+G29)*28+44032)</f>
        <v>규</v>
      </c>
      <c r="O29" s="10" t="str">
        <f aca="false">_xlfn.UNICHAR(((F29*21)+D29)*28+44032)</f>
        <v>뱌</v>
      </c>
      <c r="P29" s="12" t="n">
        <f aca="false">COUNTIF($A$2:$A$3000, N29) + COUNTIF($A$2:$A$3000, O29)</f>
        <v>2</v>
      </c>
      <c r="Q29" s="16" t="str">
        <f aca="false">IF(OR(B29=-1,I29=0, P29&lt;&gt;2), "albhed_dummy", _xlfn.CONCAT("albhed ", RIGHT("  " &amp; K29,2),", ", RIGHT("  " &amp; L29,2), ", " ,"""",H29,""", ", """",N29,""", ","""",O29,""""," ; ", A29))</f>
        <v>albhed  1,  2, "뷰", "규", "뱌" ; 갸</v>
      </c>
      <c r="S29" s="18" t="s">
        <v>803</v>
      </c>
      <c r="T29" s="18" t="n">
        <v>4</v>
      </c>
      <c r="U29" s="18" t="n">
        <v>4</v>
      </c>
      <c r="V29" s="13"/>
      <c r="W29" s="13"/>
      <c r="X29" s="13"/>
      <c r="AD29" s="14" t="n">
        <v>21</v>
      </c>
      <c r="AE29" s="16" t="s">
        <v>803</v>
      </c>
      <c r="AF29" s="16"/>
      <c r="AG29" s="16"/>
      <c r="AH29" s="16" t="s">
        <v>871</v>
      </c>
      <c r="AI29" s="16"/>
      <c r="AJ29" s="16"/>
      <c r="AS29" s="13"/>
      <c r="AT29" s="13"/>
      <c r="AU29" s="13"/>
      <c r="AV29" s="13"/>
      <c r="AW29" s="13"/>
    </row>
    <row r="30" customFormat="false" ht="17.9" hidden="false" customHeight="true" outlineLevel="0" collapsed="false">
      <c r="A30" s="16" t="s">
        <v>899</v>
      </c>
      <c r="B30" s="16" t="n">
        <f aca="false">IF(_xlfn.UNICODE(A30)&lt;44032,-1,_xlfn.UNICODE(A30)-44032)</f>
        <v>57</v>
      </c>
      <c r="C30" s="16" t="n">
        <f aca="false">IF(B30=-1,-1,INT((B30/28)/21))</f>
        <v>0</v>
      </c>
      <c r="D30" s="16" t="n">
        <f aca="false">IF(B30=-1, -1, MOD(INT(B30/28),21))</f>
        <v>2</v>
      </c>
      <c r="E30" s="16" t="n">
        <f aca="false">IF(B30=-1, -1, VLOOKUP(MOD(B30,28), $T$24:$U$52,2))</f>
        <v>1</v>
      </c>
      <c r="F30" s="16" t="n">
        <f aca="false">IF($B30=-1, -1, VLOOKUP(C30,$T$1:$V$20, 2))</f>
        <v>7</v>
      </c>
      <c r="G30" s="16" t="n">
        <f aca="false">IF($B30=-1, -1, VLOOKUP(D30,$Y$1:$Z$22,2))</f>
        <v>17</v>
      </c>
      <c r="H30" s="16" t="str">
        <f aca="false">_xlfn.UNICHAR(((F30*21)+G30)*28+44032)</f>
        <v>뷰</v>
      </c>
      <c r="I30" s="16" t="n">
        <f aca="false">IF(B30=-1, 1, COUNTIF($A$2:$A$3000, H30))</f>
        <v>1</v>
      </c>
      <c r="J30" s="10" t="str">
        <f aca="false">_xlfn.CONCAT(A30, ",",H30,",",I30)</f>
        <v>갹,뷰,1</v>
      </c>
      <c r="K30" s="16" t="n">
        <f aca="false">IF(B30=-1,-1,VLOOKUP(C30,$T$1:$V$20,3))</f>
        <v>1</v>
      </c>
      <c r="L30" s="16" t="n">
        <f aca="false">IF(B30=-1,-1,VLOOKUP(D30,$Y$1:$AA$22,3))</f>
        <v>2</v>
      </c>
      <c r="N30" s="10" t="str">
        <f aca="false">_xlfn.UNICHAR(((C30*21)+G30)*28+44032)</f>
        <v>규</v>
      </c>
      <c r="O30" s="10" t="str">
        <f aca="false">_xlfn.UNICHAR(((F30*21)+D30)*28+44032)</f>
        <v>뱌</v>
      </c>
      <c r="P30" s="12" t="n">
        <f aca="false">COUNTIF($A$2:$A$3000, N30) + COUNTIF($A$2:$A$3000, O30)</f>
        <v>2</v>
      </c>
      <c r="Q30" s="16" t="str">
        <f aca="false">IF(OR(B30=-1,I30=0, P30&lt;&gt;2), "albhed_dummy", _xlfn.CONCAT("albhed ", RIGHT("  " &amp; K30,2),", ", RIGHT("  " &amp; L30,2), ", " ,"""",H30,""", ", """",N30,""", ","""",O30,""""," ; ", A30))</f>
        <v>albhed  1,  2, "뷰", "규", "뱌" ; 갹</v>
      </c>
      <c r="S30" s="18" t="s">
        <v>900</v>
      </c>
      <c r="T30" s="18" t="n">
        <v>5</v>
      </c>
      <c r="U30" s="18" t="n">
        <v>4</v>
      </c>
      <c r="V30" s="13"/>
      <c r="W30" s="13"/>
      <c r="X30" s="13"/>
      <c r="AD30" s="14" t="n">
        <v>22</v>
      </c>
      <c r="AE30" s="16" t="s">
        <v>883</v>
      </c>
      <c r="AF30" s="16"/>
      <c r="AG30" s="16"/>
      <c r="AH30" s="16" t="s">
        <v>901</v>
      </c>
      <c r="AI30" s="16"/>
      <c r="AJ30" s="16"/>
      <c r="AS30" s="13"/>
      <c r="AT30" s="13"/>
      <c r="AU30" s="13"/>
      <c r="AV30" s="13"/>
      <c r="AW30" s="13"/>
    </row>
    <row r="31" customFormat="false" ht="17.9" hidden="false" customHeight="true" outlineLevel="0" collapsed="false">
      <c r="A31" s="16" t="s">
        <v>902</v>
      </c>
      <c r="B31" s="16" t="n">
        <f aca="false">IF(_xlfn.UNICODE(A31)&lt;44032,-1,_xlfn.UNICODE(A31)-44032)</f>
        <v>60</v>
      </c>
      <c r="C31" s="16" t="n">
        <f aca="false">IF(B31=-1,-1,INT((B31/28)/21))</f>
        <v>0</v>
      </c>
      <c r="D31" s="16" t="n">
        <f aca="false">IF(B31=-1, -1, MOD(INT(B31/28),21))</f>
        <v>2</v>
      </c>
      <c r="E31" s="16" t="n">
        <f aca="false">IF(B31=-1, -1, VLOOKUP(MOD(B31,28), $T$24:$U$52,2))</f>
        <v>4</v>
      </c>
      <c r="F31" s="16" t="n">
        <f aca="false">IF($B31=-1, -1, VLOOKUP(C31,$T$1:$V$20, 2))</f>
        <v>7</v>
      </c>
      <c r="G31" s="16" t="n">
        <f aca="false">IF($B31=-1, -1, VLOOKUP(D31,$Y$1:$Z$22,2))</f>
        <v>17</v>
      </c>
      <c r="H31" s="16" t="str">
        <f aca="false">_xlfn.UNICHAR(((F31*21)+G31)*28+44032)</f>
        <v>뷰</v>
      </c>
      <c r="I31" s="16" t="n">
        <f aca="false">IF(B31=-1, 1, COUNTIF($A$2:$A$3000, H31))</f>
        <v>1</v>
      </c>
      <c r="J31" s="10" t="str">
        <f aca="false">_xlfn.CONCAT(A31, ",",H31,",",I31)</f>
        <v>갼,뷰,1</v>
      </c>
      <c r="K31" s="16" t="n">
        <f aca="false">IF(B31=-1,-1,VLOOKUP(C31,$T$1:$V$20,3))</f>
        <v>1</v>
      </c>
      <c r="L31" s="16" t="n">
        <f aca="false">IF(B31=-1,-1,VLOOKUP(D31,$Y$1:$AA$22,3))</f>
        <v>2</v>
      </c>
      <c r="N31" s="10" t="str">
        <f aca="false">_xlfn.UNICHAR(((C31*21)+G31)*28+44032)</f>
        <v>규</v>
      </c>
      <c r="O31" s="10" t="str">
        <f aca="false">_xlfn.UNICHAR(((F31*21)+D31)*28+44032)</f>
        <v>뱌</v>
      </c>
      <c r="P31" s="12" t="n">
        <f aca="false">COUNTIF($A$2:$A$3000, N31) + COUNTIF($A$2:$A$3000, O31)</f>
        <v>2</v>
      </c>
      <c r="Q31" s="16" t="str">
        <f aca="false">IF(OR(B31=-1,I31=0, P31&lt;&gt;2), "albhed_dummy", _xlfn.CONCAT("albhed ", RIGHT("  " &amp; K31,2),", ", RIGHT("  " &amp; L31,2), ", " ,"""",H31,""", ", """",N31,""", ","""",O31,""""," ; ", A31))</f>
        <v>albhed  1,  2, "뷰", "규", "뱌" ; 갼</v>
      </c>
      <c r="S31" s="18" t="s">
        <v>903</v>
      </c>
      <c r="T31" s="18" t="n">
        <v>6</v>
      </c>
      <c r="U31" s="18" t="n">
        <v>4</v>
      </c>
      <c r="V31" s="13"/>
      <c r="W31" s="13"/>
      <c r="X31" s="13"/>
      <c r="AD31" s="14" t="n">
        <v>23</v>
      </c>
      <c r="AE31" s="16" t="s">
        <v>832</v>
      </c>
      <c r="AF31" s="16"/>
      <c r="AG31" s="16"/>
      <c r="AH31" s="16" t="s">
        <v>874</v>
      </c>
      <c r="AI31" s="16"/>
      <c r="AJ31" s="16"/>
      <c r="AS31" s="13"/>
      <c r="AT31" s="13"/>
      <c r="AU31" s="13"/>
      <c r="AV31" s="13"/>
      <c r="AW31" s="13"/>
    </row>
    <row r="32" customFormat="false" ht="17.9" hidden="false" customHeight="true" outlineLevel="0" collapsed="false">
      <c r="A32" s="16" t="s">
        <v>904</v>
      </c>
      <c r="B32" s="16" t="n">
        <f aca="false">IF(_xlfn.UNICODE(A32)&lt;44032,-1,_xlfn.UNICODE(A32)-44032)</f>
        <v>64</v>
      </c>
      <c r="C32" s="16" t="n">
        <f aca="false">IF(B32=-1,-1,INT((B32/28)/21))</f>
        <v>0</v>
      </c>
      <c r="D32" s="16" t="n">
        <f aca="false">IF(B32=-1, -1, MOD(INT(B32/28),21))</f>
        <v>2</v>
      </c>
      <c r="E32" s="16" t="n">
        <f aca="false">IF(B32=-1, -1, VLOOKUP(MOD(B32,28), $T$24:$U$52,2))</f>
        <v>8</v>
      </c>
      <c r="F32" s="16" t="n">
        <f aca="false">IF($B32=-1, -1, VLOOKUP(C32,$T$1:$V$20, 2))</f>
        <v>7</v>
      </c>
      <c r="G32" s="16" t="n">
        <f aca="false">IF($B32=-1, -1, VLOOKUP(D32,$Y$1:$Z$22,2))</f>
        <v>17</v>
      </c>
      <c r="H32" s="16" t="str">
        <f aca="false">_xlfn.UNICHAR(((F32*21)+G32)*28+44032)</f>
        <v>뷰</v>
      </c>
      <c r="I32" s="16" t="n">
        <f aca="false">IF(B32=-1, 1, COUNTIF($A$2:$A$3000, H32))</f>
        <v>1</v>
      </c>
      <c r="J32" s="10" t="str">
        <f aca="false">_xlfn.CONCAT(A32, ",",H32,",",I32)</f>
        <v>걀,뷰,1</v>
      </c>
      <c r="K32" s="16" t="n">
        <f aca="false">IF(B32=-1,-1,VLOOKUP(C32,$T$1:$V$20,3))</f>
        <v>1</v>
      </c>
      <c r="L32" s="16" t="n">
        <f aca="false">IF(B32=-1,-1,VLOOKUP(D32,$Y$1:$AA$22,3))</f>
        <v>2</v>
      </c>
      <c r="N32" s="10" t="str">
        <f aca="false">_xlfn.UNICHAR(((C32*21)+G32)*28+44032)</f>
        <v>규</v>
      </c>
      <c r="O32" s="10" t="str">
        <f aca="false">_xlfn.UNICHAR(((F32*21)+D32)*28+44032)</f>
        <v>뱌</v>
      </c>
      <c r="P32" s="12" t="n">
        <f aca="false">COUNTIF($A$2:$A$3000, N32) + COUNTIF($A$2:$A$3000, O32)</f>
        <v>2</v>
      </c>
      <c r="Q32" s="16" t="str">
        <f aca="false">IF(OR(B32=-1,I32=0, P32&lt;&gt;2), "albhed_dummy", _xlfn.CONCAT("albhed ", RIGHT("  " &amp; K32,2),", ", RIGHT("  " &amp; L32,2), ", " ,"""",H32,""", ", """",N32,""", ","""",O32,""""," ; ", A32))</f>
        <v>albhed  1,  2, "뷰", "규", "뱌" ; 걀</v>
      </c>
      <c r="S32" s="18" t="s">
        <v>806</v>
      </c>
      <c r="T32" s="18" t="n">
        <v>7</v>
      </c>
      <c r="U32" s="18" t="n">
        <v>19</v>
      </c>
      <c r="V32" s="13"/>
      <c r="W32" s="13"/>
      <c r="X32" s="13"/>
      <c r="AD32" s="14" t="n">
        <v>24</v>
      </c>
      <c r="AE32" s="16" t="s">
        <v>833</v>
      </c>
      <c r="AF32" s="16"/>
      <c r="AG32" s="16"/>
      <c r="AH32" s="16" t="s">
        <v>886</v>
      </c>
      <c r="AI32" s="16"/>
      <c r="AJ32" s="16"/>
      <c r="AS32" s="13"/>
      <c r="AT32" s="13"/>
      <c r="AU32" s="13"/>
      <c r="AV32" s="13"/>
      <c r="AW32" s="13"/>
    </row>
    <row r="33" customFormat="false" ht="17.9" hidden="false" customHeight="true" outlineLevel="0" collapsed="false">
      <c r="A33" s="16" t="s">
        <v>905</v>
      </c>
      <c r="B33" s="16" t="n">
        <f aca="false">IF(_xlfn.UNICODE(A33)&lt;44032,-1,_xlfn.UNICODE(A33)-44032)</f>
        <v>75</v>
      </c>
      <c r="C33" s="16" t="n">
        <f aca="false">IF(B33=-1,-1,INT((B33/28)/21))</f>
        <v>0</v>
      </c>
      <c r="D33" s="16" t="n">
        <f aca="false">IF(B33=-1, -1, MOD(INT(B33/28),21))</f>
        <v>2</v>
      </c>
      <c r="E33" s="16" t="n">
        <f aca="false">IF(B33=-1, -1, VLOOKUP(MOD(B33,28), $T$24:$U$52,2))</f>
        <v>19</v>
      </c>
      <c r="F33" s="16" t="n">
        <f aca="false">IF($B33=-1, -1, VLOOKUP(C33,$T$1:$V$20, 2))</f>
        <v>7</v>
      </c>
      <c r="G33" s="16" t="n">
        <f aca="false">IF($B33=-1, -1, VLOOKUP(D33,$Y$1:$Z$22,2))</f>
        <v>17</v>
      </c>
      <c r="H33" s="16" t="str">
        <f aca="false">_xlfn.UNICHAR(((F33*21)+G33)*28+44032)</f>
        <v>뷰</v>
      </c>
      <c r="I33" s="16" t="n">
        <f aca="false">IF(B33=-1, 1, COUNTIF($A$2:$A$3000, H33))</f>
        <v>1</v>
      </c>
      <c r="J33" s="10" t="str">
        <f aca="false">_xlfn.CONCAT(A33, ",",H33,",",I33)</f>
        <v>걋,뷰,1</v>
      </c>
      <c r="K33" s="16" t="n">
        <f aca="false">IF(B33=-1,-1,VLOOKUP(C33,$T$1:$V$20,3))</f>
        <v>1</v>
      </c>
      <c r="L33" s="16" t="n">
        <f aca="false">IF(B33=-1,-1,VLOOKUP(D33,$Y$1:$AA$22,3))</f>
        <v>2</v>
      </c>
      <c r="N33" s="10" t="str">
        <f aca="false">_xlfn.UNICHAR(((C33*21)+G33)*28+44032)</f>
        <v>규</v>
      </c>
      <c r="O33" s="10" t="str">
        <f aca="false">_xlfn.UNICHAR(((F33*21)+D33)*28+44032)</f>
        <v>뱌</v>
      </c>
      <c r="P33" s="12" t="n">
        <f aca="false">COUNTIF($A$2:$A$3000, N33) + COUNTIF($A$2:$A$3000, O33)</f>
        <v>2</v>
      </c>
      <c r="Q33" s="16" t="str">
        <f aca="false">IF(OR(B33=-1,I33=0, P33&lt;&gt;2), "albhed_dummy", _xlfn.CONCAT("albhed ", RIGHT("  " &amp; K33,2),", ", RIGHT("  " &amp; L33,2), ", " ,"""",H33,""", ", """",N33,""", ","""",O33,""""," ; ", A33))</f>
        <v>albhed  1,  2, "뷰", "규", "뱌" ; 걋</v>
      </c>
      <c r="S33" s="18" t="s">
        <v>832</v>
      </c>
      <c r="T33" s="18" t="n">
        <v>8</v>
      </c>
      <c r="U33" s="18" t="n">
        <v>8</v>
      </c>
      <c r="V33" s="13"/>
      <c r="W33" s="13"/>
      <c r="X33" s="13"/>
      <c r="AD33" s="14" t="n">
        <v>25</v>
      </c>
      <c r="AE33" s="16" t="s">
        <v>835</v>
      </c>
      <c r="AF33" s="16"/>
      <c r="AG33" s="16"/>
      <c r="AH33" s="16" t="s">
        <v>879</v>
      </c>
      <c r="AI33" s="16"/>
      <c r="AJ33" s="16"/>
      <c r="AS33" s="13"/>
      <c r="AT33" s="13"/>
      <c r="AU33" s="13"/>
      <c r="AV33" s="13"/>
      <c r="AW33" s="13"/>
    </row>
    <row r="34" customFormat="false" ht="17.9" hidden="false" customHeight="true" outlineLevel="0" collapsed="false">
      <c r="A34" s="16" t="s">
        <v>906</v>
      </c>
      <c r="B34" s="16" t="n">
        <f aca="false">IF(_xlfn.UNICODE(A34)&lt;44032,-1,_xlfn.UNICODE(A34)-44032)</f>
        <v>77</v>
      </c>
      <c r="C34" s="16" t="n">
        <f aca="false">IF(B34=-1,-1,INT((B34/28)/21))</f>
        <v>0</v>
      </c>
      <c r="D34" s="16" t="n">
        <f aca="false">IF(B34=-1, -1, MOD(INT(B34/28),21))</f>
        <v>2</v>
      </c>
      <c r="E34" s="16" t="n">
        <f aca="false">IF(B34=-1, -1, VLOOKUP(MOD(B34,28), $T$24:$U$52,2))</f>
        <v>21</v>
      </c>
      <c r="F34" s="16" t="n">
        <f aca="false">IF($B34=-1, -1, VLOOKUP(C34,$T$1:$V$20, 2))</f>
        <v>7</v>
      </c>
      <c r="G34" s="16" t="n">
        <f aca="false">IF($B34=-1, -1, VLOOKUP(D34,$Y$1:$Z$22,2))</f>
        <v>17</v>
      </c>
      <c r="H34" s="16" t="str">
        <f aca="false">_xlfn.UNICHAR(((F34*21)+G34)*28+44032)</f>
        <v>뷰</v>
      </c>
      <c r="I34" s="16" t="n">
        <f aca="false">IF(B34=-1, 1, COUNTIF($A$2:$A$3000, H34))</f>
        <v>1</v>
      </c>
      <c r="J34" s="10" t="str">
        <f aca="false">_xlfn.CONCAT(A34, ",",H34,",",I34)</f>
        <v>걍,뷰,1</v>
      </c>
      <c r="K34" s="16" t="n">
        <f aca="false">IF(B34=-1,-1,VLOOKUP(C34,$T$1:$V$20,3))</f>
        <v>1</v>
      </c>
      <c r="L34" s="16" t="n">
        <f aca="false">IF(B34=-1,-1,VLOOKUP(D34,$Y$1:$AA$22,3))</f>
        <v>2</v>
      </c>
      <c r="N34" s="10" t="str">
        <f aca="false">_xlfn.UNICHAR(((C34*21)+G34)*28+44032)</f>
        <v>규</v>
      </c>
      <c r="O34" s="10" t="str">
        <f aca="false">_xlfn.UNICHAR(((F34*21)+D34)*28+44032)</f>
        <v>뱌</v>
      </c>
      <c r="P34" s="12" t="n">
        <f aca="false">COUNTIF($A$2:$A$3000, N34) + COUNTIF($A$2:$A$3000, O34)</f>
        <v>2</v>
      </c>
      <c r="Q34" s="16" t="str">
        <f aca="false">IF(OR(B34=-1,I34=0, P34&lt;&gt;2), "albhed_dummy", _xlfn.CONCAT("albhed ", RIGHT("  " &amp; K34,2),", ", RIGHT("  " &amp; L34,2), ", " ,"""",H34,""", ", """",N34,""", ","""",O34,""""," ; ", A34))</f>
        <v>albhed  1,  2, "뷰", "규", "뱌" ; 걍</v>
      </c>
      <c r="S34" s="18" t="s">
        <v>907</v>
      </c>
      <c r="T34" s="18" t="n">
        <v>9</v>
      </c>
      <c r="U34" s="18" t="n">
        <v>8</v>
      </c>
      <c r="V34" s="13"/>
      <c r="W34" s="13"/>
      <c r="X34" s="13"/>
      <c r="AD34" s="14" t="n">
        <v>26</v>
      </c>
      <c r="AE34" s="16" t="s">
        <v>874</v>
      </c>
      <c r="AF34" s="16"/>
      <c r="AG34" s="16"/>
      <c r="AH34" s="16" t="s">
        <v>850</v>
      </c>
      <c r="AI34" s="16"/>
      <c r="AJ34" s="16"/>
      <c r="AS34" s="13"/>
      <c r="AT34" s="13"/>
      <c r="AU34" s="13"/>
      <c r="AV34" s="13"/>
      <c r="AW34" s="13"/>
    </row>
    <row r="35" customFormat="false" ht="17.9" hidden="false" customHeight="true" outlineLevel="0" collapsed="false">
      <c r="A35" s="16" t="s">
        <v>908</v>
      </c>
      <c r="B35" s="16" t="n">
        <f aca="false">IF(_xlfn.UNICODE(A35)&lt;44032,-1,_xlfn.UNICODE(A35)-44032)</f>
        <v>84</v>
      </c>
      <c r="C35" s="16" t="n">
        <f aca="false">IF(B35=-1,-1,INT((B35/28)/21))</f>
        <v>0</v>
      </c>
      <c r="D35" s="16" t="n">
        <f aca="false">IF(B35=-1, -1, MOD(INT(B35/28),21))</f>
        <v>3</v>
      </c>
      <c r="E35" s="16" t="n">
        <f aca="false">IF(B35=-1, -1, VLOOKUP(MOD(B35,28), $T$24:$U$52,2))</f>
        <v>0</v>
      </c>
      <c r="F35" s="16" t="n">
        <f aca="false">IF($B35=-1, -1, VLOOKUP(C35,$T$1:$V$20, 2))</f>
        <v>7</v>
      </c>
      <c r="G35" s="16" t="n">
        <f aca="false">IF($B35=-1, -1, VLOOKUP(D35,$Y$1:$Z$22,2))</f>
        <v>18</v>
      </c>
      <c r="H35" s="16" t="str">
        <f aca="false">_xlfn.UNICHAR(((F35*21)+G35)*28+44032)</f>
        <v>브</v>
      </c>
      <c r="I35" s="16" t="n">
        <f aca="false">IF(B35=-1, 1, COUNTIF($A$2:$A$3000, H35))</f>
        <v>1</v>
      </c>
      <c r="J35" s="10" t="str">
        <f aca="false">_xlfn.CONCAT(A35, ",",H35,",",I35)</f>
        <v>걔,브,1</v>
      </c>
      <c r="K35" s="16" t="n">
        <f aca="false">IF(B35=-1,-1,VLOOKUP(C35,$T$1:$V$20,3))</f>
        <v>1</v>
      </c>
      <c r="L35" s="16" t="n">
        <f aca="false">IF(B35=-1,-1,VLOOKUP(D35,$Y$1:$AA$22,3))</f>
        <v>14</v>
      </c>
      <c r="N35" s="10" t="str">
        <f aca="false">_xlfn.UNICHAR(((C35*21)+G35)*28+44032)</f>
        <v>그</v>
      </c>
      <c r="O35" s="10" t="str">
        <f aca="false">_xlfn.UNICHAR(((F35*21)+D35)*28+44032)</f>
        <v>뱨</v>
      </c>
      <c r="P35" s="12" t="n">
        <f aca="false">COUNTIF($A$2:$A$3000, N35) + COUNTIF($A$2:$A$3000, O35)</f>
        <v>1</v>
      </c>
      <c r="Q35" s="16" t="str">
        <f aca="false">IF(OR(B35=-1,I35=0, P35&lt;&gt;2), "albhed_dummy", _xlfn.CONCAT("albhed ", RIGHT("  " &amp; K35,2),", ", RIGHT("  " &amp; L35,2), ", " ,"""",H35,""", ", """",N35,""", ","""",O35,""""," ; ", A35))</f>
        <v>albhed_dummy</v>
      </c>
      <c r="S35" s="18" t="s">
        <v>909</v>
      </c>
      <c r="T35" s="18" t="n">
        <v>10</v>
      </c>
      <c r="U35" s="18" t="n">
        <v>8</v>
      </c>
      <c r="V35" s="13"/>
      <c r="W35" s="13"/>
      <c r="X35" s="13"/>
      <c r="AD35" s="13"/>
      <c r="AE35" s="13"/>
      <c r="AF35" s="13"/>
      <c r="AG35" s="13"/>
      <c r="AH35" s="13"/>
      <c r="AI35" s="13"/>
      <c r="AJ35" s="13"/>
      <c r="AK35" s="13"/>
      <c r="AL35" s="13"/>
    </row>
    <row r="36" customFormat="false" ht="17.9" hidden="false" customHeight="true" outlineLevel="0" collapsed="false">
      <c r="A36" s="16" t="s">
        <v>910</v>
      </c>
      <c r="B36" s="16" t="n">
        <f aca="false">IF(_xlfn.UNICODE(A36)&lt;44032,-1,_xlfn.UNICODE(A36)-44032)</f>
        <v>88</v>
      </c>
      <c r="C36" s="16" t="n">
        <f aca="false">IF(B36=-1,-1,INT((B36/28)/21))</f>
        <v>0</v>
      </c>
      <c r="D36" s="16" t="n">
        <f aca="false">IF(B36=-1, -1, MOD(INT(B36/28),21))</f>
        <v>3</v>
      </c>
      <c r="E36" s="16" t="n">
        <f aca="false">IF(B36=-1, -1, VLOOKUP(MOD(B36,28), $T$24:$U$52,2))</f>
        <v>4</v>
      </c>
      <c r="F36" s="16" t="n">
        <f aca="false">IF($B36=-1, -1, VLOOKUP(C36,$T$1:$V$20, 2))</f>
        <v>7</v>
      </c>
      <c r="G36" s="16" t="n">
        <f aca="false">IF($B36=-1, -1, VLOOKUP(D36,$Y$1:$Z$22,2))</f>
        <v>18</v>
      </c>
      <c r="H36" s="16" t="str">
        <f aca="false">_xlfn.UNICHAR(((F36*21)+G36)*28+44032)</f>
        <v>브</v>
      </c>
      <c r="I36" s="16" t="n">
        <f aca="false">IF(B36=-1, 1, COUNTIF($A$2:$A$3000, H36))</f>
        <v>1</v>
      </c>
      <c r="J36" s="10" t="str">
        <f aca="false">_xlfn.CONCAT(A36, ",",H36,",",I36)</f>
        <v>걘,브,1</v>
      </c>
      <c r="K36" s="16" t="n">
        <f aca="false">IF(B36=-1,-1,VLOOKUP(C36,$T$1:$V$20,3))</f>
        <v>1</v>
      </c>
      <c r="L36" s="16" t="n">
        <f aca="false">IF(B36=-1,-1,VLOOKUP(D36,$Y$1:$AA$22,3))</f>
        <v>14</v>
      </c>
      <c r="N36" s="10" t="str">
        <f aca="false">_xlfn.UNICHAR(((C36*21)+G36)*28+44032)</f>
        <v>그</v>
      </c>
      <c r="O36" s="10" t="str">
        <f aca="false">_xlfn.UNICHAR(((F36*21)+D36)*28+44032)</f>
        <v>뱨</v>
      </c>
      <c r="P36" s="12" t="n">
        <f aca="false">COUNTIF($A$2:$A$3000, N36) + COUNTIF($A$2:$A$3000, O36)</f>
        <v>1</v>
      </c>
      <c r="Q36" s="16" t="str">
        <f aca="false">IF(OR(B36=-1,I36=0, P36&lt;&gt;2), "albhed_dummy", _xlfn.CONCAT("albhed ", RIGHT("  " &amp; K36,2),", ", RIGHT("  " &amp; L36,2), ", " ,"""",H36,""", ", """",N36,""", ","""",O36,""""," ; ", A36))</f>
        <v>albhed_dummy</v>
      </c>
      <c r="S36" s="18" t="s">
        <v>911</v>
      </c>
      <c r="T36" s="18" t="n">
        <v>11</v>
      </c>
      <c r="U36" s="18" t="n">
        <v>8</v>
      </c>
      <c r="V36" s="13"/>
      <c r="W36" s="13"/>
      <c r="X36" s="13"/>
      <c r="AD36" s="13"/>
      <c r="AE36" s="13"/>
      <c r="AF36" s="13"/>
      <c r="AG36" s="13"/>
      <c r="AH36" s="13"/>
      <c r="AI36" s="13"/>
      <c r="AJ36" s="13"/>
      <c r="AK36" s="13"/>
      <c r="AL36" s="13"/>
    </row>
    <row r="37" customFormat="false" ht="17.9" hidden="false" customHeight="true" outlineLevel="0" collapsed="false">
      <c r="A37" s="16" t="s">
        <v>912</v>
      </c>
      <c r="B37" s="16" t="n">
        <f aca="false">IF(_xlfn.UNICODE(A37)&lt;44032,-1,_xlfn.UNICODE(A37)-44032)</f>
        <v>92</v>
      </c>
      <c r="C37" s="16" t="n">
        <f aca="false">IF(B37=-1,-1,INT((B37/28)/21))</f>
        <v>0</v>
      </c>
      <c r="D37" s="16" t="n">
        <f aca="false">IF(B37=-1, -1, MOD(INT(B37/28),21))</f>
        <v>3</v>
      </c>
      <c r="E37" s="16" t="n">
        <f aca="false">IF(B37=-1, -1, VLOOKUP(MOD(B37,28), $T$24:$U$52,2))</f>
        <v>8</v>
      </c>
      <c r="F37" s="16" t="n">
        <f aca="false">IF($B37=-1, -1, VLOOKUP(C37,$T$1:$V$20, 2))</f>
        <v>7</v>
      </c>
      <c r="G37" s="16" t="n">
        <f aca="false">IF($B37=-1, -1, VLOOKUP(D37,$Y$1:$Z$22,2))</f>
        <v>18</v>
      </c>
      <c r="H37" s="16" t="str">
        <f aca="false">_xlfn.UNICHAR(((F37*21)+G37)*28+44032)</f>
        <v>브</v>
      </c>
      <c r="I37" s="16" t="n">
        <f aca="false">IF(B37=-1, 1, COUNTIF($A$2:$A$3000, H37))</f>
        <v>1</v>
      </c>
      <c r="J37" s="10" t="str">
        <f aca="false">_xlfn.CONCAT(A37, ",",H37,",",I37)</f>
        <v>걜,브,1</v>
      </c>
      <c r="K37" s="16" t="n">
        <f aca="false">IF(B37=-1,-1,VLOOKUP(C37,$T$1:$V$20,3))</f>
        <v>1</v>
      </c>
      <c r="L37" s="16" t="n">
        <f aca="false">IF(B37=-1,-1,VLOOKUP(D37,$Y$1:$AA$22,3))</f>
        <v>14</v>
      </c>
      <c r="N37" s="10" t="str">
        <f aca="false">_xlfn.UNICHAR(((C37*21)+G37)*28+44032)</f>
        <v>그</v>
      </c>
      <c r="O37" s="10" t="str">
        <f aca="false">_xlfn.UNICHAR(((F37*21)+D37)*28+44032)</f>
        <v>뱨</v>
      </c>
      <c r="P37" s="12" t="n">
        <f aca="false">COUNTIF($A$2:$A$3000, N37) + COUNTIF($A$2:$A$3000, O37)</f>
        <v>1</v>
      </c>
      <c r="Q37" s="16" t="str">
        <f aca="false">IF(OR(B37=-1,I37=0, P37&lt;&gt;2), "albhed_dummy", _xlfn.CONCAT("albhed ", RIGHT("  " &amp; K37,2),", ", RIGHT("  " &amp; L37,2), ", " ,"""",H37,""", ", """",N37,""", ","""",O37,""""," ; ", A37))</f>
        <v>albhed_dummy</v>
      </c>
      <c r="S37" s="18" t="s">
        <v>913</v>
      </c>
      <c r="T37" s="18" t="n">
        <v>12</v>
      </c>
      <c r="U37" s="18" t="n">
        <v>8</v>
      </c>
      <c r="V37" s="13"/>
      <c r="W37" s="13"/>
      <c r="X37" s="13"/>
    </row>
    <row r="38" customFormat="false" ht="17.9" hidden="false" customHeight="true" outlineLevel="0" collapsed="false">
      <c r="A38" s="16" t="s">
        <v>914</v>
      </c>
      <c r="B38" s="16" t="n">
        <f aca="false">IF(_xlfn.UNICODE(A38)&lt;44032,-1,_xlfn.UNICODE(A38)-44032)</f>
        <v>112</v>
      </c>
      <c r="C38" s="16" t="n">
        <f aca="false">IF(B38=-1,-1,INT((B38/28)/21))</f>
        <v>0</v>
      </c>
      <c r="D38" s="16" t="n">
        <f aca="false">IF(B38=-1, -1, MOD(INT(B38/28),21))</f>
        <v>4</v>
      </c>
      <c r="E38" s="16" t="n">
        <f aca="false">IF(B38=-1, -1, VLOOKUP(MOD(B38,28), $T$24:$U$52,2))</f>
        <v>0</v>
      </c>
      <c r="F38" s="16" t="n">
        <f aca="false">IF($B38=-1, -1, VLOOKUP(C38,$T$1:$V$20, 2))</f>
        <v>7</v>
      </c>
      <c r="G38" s="16" t="n">
        <f aca="false">IF($B38=-1, -1, VLOOKUP(D38,$Y$1:$Z$22,2))</f>
        <v>8</v>
      </c>
      <c r="H38" s="16" t="str">
        <f aca="false">_xlfn.UNICHAR(((F38*21)+G38)*28+44032)</f>
        <v>보</v>
      </c>
      <c r="I38" s="16" t="n">
        <f aca="false">IF(B38=-1, 1, COUNTIF($A$2:$A$3000, H38))</f>
        <v>1</v>
      </c>
      <c r="J38" s="10" t="str">
        <f aca="false">_xlfn.CONCAT(A38, ",",H38,",",I38)</f>
        <v>거,보,1</v>
      </c>
      <c r="K38" s="16" t="n">
        <f aca="false">IF(B38=-1,-1,VLOOKUP(C38,$T$1:$V$20,3))</f>
        <v>1</v>
      </c>
      <c r="L38" s="16" t="n">
        <f aca="false">IF(B38=-1,-1,VLOOKUP(D38,$Y$1:$AA$22,3))</f>
        <v>4</v>
      </c>
      <c r="N38" s="10" t="str">
        <f aca="false">_xlfn.UNICHAR(((C38*21)+G38)*28+44032)</f>
        <v>고</v>
      </c>
      <c r="O38" s="10" t="str">
        <f aca="false">_xlfn.UNICHAR(((F38*21)+D38)*28+44032)</f>
        <v>버</v>
      </c>
      <c r="P38" s="12" t="n">
        <f aca="false">COUNTIF($A$2:$A$3000, N38) + COUNTIF($A$2:$A$3000, O38)</f>
        <v>2</v>
      </c>
      <c r="Q38" s="16" t="str">
        <f aca="false">IF(OR(B38=-1,I38=0, P38&lt;&gt;2), "albhed_dummy", _xlfn.CONCAT("albhed ", RIGHT("  " &amp; K38,2),", ", RIGHT("  " &amp; L38,2), ", " ,"""",H38,""", ", """",N38,""", ","""",O38,""""," ; ", A38))</f>
        <v>albhed  1,  4, "보", "고", "버" ; 거</v>
      </c>
      <c r="S38" s="18" t="s">
        <v>915</v>
      </c>
      <c r="T38" s="18" t="n">
        <v>13</v>
      </c>
      <c r="U38" s="18" t="n">
        <v>8</v>
      </c>
      <c r="V38" s="13"/>
      <c r="W38" s="13"/>
      <c r="X38" s="13"/>
    </row>
    <row r="39" customFormat="false" ht="17.9" hidden="false" customHeight="true" outlineLevel="0" collapsed="false">
      <c r="A39" s="16" t="s">
        <v>916</v>
      </c>
      <c r="B39" s="16" t="n">
        <f aca="false">IF(_xlfn.UNICODE(A39)&lt;44032,-1,_xlfn.UNICODE(A39)-44032)</f>
        <v>113</v>
      </c>
      <c r="C39" s="16" t="n">
        <f aca="false">IF(B39=-1,-1,INT((B39/28)/21))</f>
        <v>0</v>
      </c>
      <c r="D39" s="16" t="n">
        <f aca="false">IF(B39=-1, -1, MOD(INT(B39/28),21))</f>
        <v>4</v>
      </c>
      <c r="E39" s="16" t="n">
        <f aca="false">IF(B39=-1, -1, VLOOKUP(MOD(B39,28), $T$24:$U$52,2))</f>
        <v>1</v>
      </c>
      <c r="F39" s="16" t="n">
        <f aca="false">IF($B39=-1, -1, VLOOKUP(C39,$T$1:$V$20, 2))</f>
        <v>7</v>
      </c>
      <c r="G39" s="16" t="n">
        <f aca="false">IF($B39=-1, -1, VLOOKUP(D39,$Y$1:$Z$22,2))</f>
        <v>8</v>
      </c>
      <c r="H39" s="16" t="str">
        <f aca="false">_xlfn.UNICHAR(((F39*21)+G39)*28+44032)</f>
        <v>보</v>
      </c>
      <c r="I39" s="16" t="n">
        <f aca="false">IF(B39=-1, 1, COUNTIF($A$2:$A$3000, H39))</f>
        <v>1</v>
      </c>
      <c r="J39" s="10" t="str">
        <f aca="false">_xlfn.CONCAT(A39, ",",H39,",",I39)</f>
        <v>걱,보,1</v>
      </c>
      <c r="K39" s="16" t="n">
        <f aca="false">IF(B39=-1,-1,VLOOKUP(C39,$T$1:$V$20,3))</f>
        <v>1</v>
      </c>
      <c r="L39" s="16" t="n">
        <f aca="false">IF(B39=-1,-1,VLOOKUP(D39,$Y$1:$AA$22,3))</f>
        <v>4</v>
      </c>
      <c r="N39" s="10" t="str">
        <f aca="false">_xlfn.UNICHAR(((C39*21)+G39)*28+44032)</f>
        <v>고</v>
      </c>
      <c r="O39" s="10" t="str">
        <f aca="false">_xlfn.UNICHAR(((F39*21)+D39)*28+44032)</f>
        <v>버</v>
      </c>
      <c r="P39" s="12" t="n">
        <f aca="false">COUNTIF($A$2:$A$3000, N39) + COUNTIF($A$2:$A$3000, O39)</f>
        <v>2</v>
      </c>
      <c r="Q39" s="16" t="str">
        <f aca="false">IF(OR(B39=-1,I39=0, P39&lt;&gt;2), "albhed_dummy", _xlfn.CONCAT("albhed ", RIGHT("  " &amp; K39,2),", ", RIGHT("  " &amp; L39,2), ", " ,"""",H39,""", ", """",N39,""", ","""",O39,""""," ; ", A39))</f>
        <v>albhed  1,  4, "보", "고", "버" ; 걱</v>
      </c>
      <c r="S39" s="18" t="s">
        <v>917</v>
      </c>
      <c r="T39" s="18" t="n">
        <v>14</v>
      </c>
      <c r="U39" s="18" t="n">
        <v>8</v>
      </c>
      <c r="V39" s="13"/>
      <c r="W39" s="13"/>
      <c r="X39" s="13"/>
    </row>
    <row r="40" customFormat="false" ht="17.9" hidden="false" customHeight="true" outlineLevel="0" collapsed="false">
      <c r="A40" s="16" t="s">
        <v>791</v>
      </c>
      <c r="B40" s="16" t="n">
        <f aca="false">IF(_xlfn.UNICODE(A40)&lt;44032,-1,_xlfn.UNICODE(A40)-44032)</f>
        <v>116</v>
      </c>
      <c r="C40" s="16" t="n">
        <f aca="false">IF(B40=-1,-1,INT((B40/28)/21))</f>
        <v>0</v>
      </c>
      <c r="D40" s="16" t="n">
        <f aca="false">IF(B40=-1, -1, MOD(INT(B40/28),21))</f>
        <v>4</v>
      </c>
      <c r="E40" s="16" t="n">
        <f aca="false">IF(B40=-1, -1, VLOOKUP(MOD(B40,28), $T$24:$U$52,2))</f>
        <v>4</v>
      </c>
      <c r="F40" s="16" t="n">
        <f aca="false">IF($B40=-1, -1, VLOOKUP(C40,$T$1:$V$20, 2))</f>
        <v>7</v>
      </c>
      <c r="G40" s="16" t="n">
        <f aca="false">IF($B40=-1, -1, VLOOKUP(D40,$Y$1:$Z$22,2))</f>
        <v>8</v>
      </c>
      <c r="H40" s="16" t="str">
        <f aca="false">_xlfn.UNICHAR(((F40*21)+G40)*28+44032)</f>
        <v>보</v>
      </c>
      <c r="I40" s="16" t="n">
        <f aca="false">IF(B40=-1, 1, COUNTIF($A$2:$A$3000, H40))</f>
        <v>1</v>
      </c>
      <c r="J40" s="10" t="str">
        <f aca="false">_xlfn.CONCAT(A40, ",",H40,",",I40)</f>
        <v>건,보,1</v>
      </c>
      <c r="K40" s="16" t="n">
        <f aca="false">IF(B40=-1,-1,VLOOKUP(C40,$T$1:$V$20,3))</f>
        <v>1</v>
      </c>
      <c r="L40" s="16" t="n">
        <f aca="false">IF(B40=-1,-1,VLOOKUP(D40,$Y$1:$AA$22,3))</f>
        <v>4</v>
      </c>
      <c r="N40" s="10" t="str">
        <f aca="false">_xlfn.UNICHAR(((C40*21)+G40)*28+44032)</f>
        <v>고</v>
      </c>
      <c r="O40" s="10" t="str">
        <f aca="false">_xlfn.UNICHAR(((F40*21)+D40)*28+44032)</f>
        <v>버</v>
      </c>
      <c r="P40" s="12" t="n">
        <f aca="false">COUNTIF($A$2:$A$3000, N40) + COUNTIF($A$2:$A$3000, O40)</f>
        <v>2</v>
      </c>
      <c r="Q40" s="16" t="str">
        <f aca="false">IF(OR(B40=-1,I40=0, P40&lt;&gt;2), "albhed_dummy", _xlfn.CONCAT("albhed ", RIGHT("  " &amp; K40,2),", ", RIGHT("  " &amp; L40,2), ", " ,"""",H40,""", ", """",N40,""", ","""",O40,""""," ; ", A40))</f>
        <v>albhed  1,  4, "보", "고", "버" ; 건</v>
      </c>
      <c r="S40" s="18" t="s">
        <v>918</v>
      </c>
      <c r="T40" s="18" t="n">
        <v>15</v>
      </c>
      <c r="U40" s="18" t="n">
        <v>8</v>
      </c>
      <c r="V40" s="13"/>
      <c r="W40" s="13"/>
      <c r="X40" s="13"/>
    </row>
    <row r="41" customFormat="false" ht="17.9" hidden="false" customHeight="true" outlineLevel="0" collapsed="false">
      <c r="A41" s="16" t="s">
        <v>919</v>
      </c>
      <c r="B41" s="16" t="n">
        <f aca="false">IF(_xlfn.UNICODE(A41)&lt;44032,-1,_xlfn.UNICODE(A41)-44032)</f>
        <v>119</v>
      </c>
      <c r="C41" s="16" t="n">
        <f aca="false">IF(B41=-1,-1,INT((B41/28)/21))</f>
        <v>0</v>
      </c>
      <c r="D41" s="16" t="n">
        <f aca="false">IF(B41=-1, -1, MOD(INT(B41/28),21))</f>
        <v>4</v>
      </c>
      <c r="E41" s="16" t="n">
        <f aca="false">IF(B41=-1, -1, VLOOKUP(MOD(B41,28), $T$24:$U$52,2))</f>
        <v>19</v>
      </c>
      <c r="F41" s="16" t="n">
        <f aca="false">IF($B41=-1, -1, VLOOKUP(C41,$T$1:$V$20, 2))</f>
        <v>7</v>
      </c>
      <c r="G41" s="16" t="n">
        <f aca="false">IF($B41=-1, -1, VLOOKUP(D41,$Y$1:$Z$22,2))</f>
        <v>8</v>
      </c>
      <c r="H41" s="16" t="str">
        <f aca="false">_xlfn.UNICHAR(((F41*21)+G41)*28+44032)</f>
        <v>보</v>
      </c>
      <c r="I41" s="16" t="n">
        <f aca="false">IF(B41=-1, 1, COUNTIF($A$2:$A$3000, H41))</f>
        <v>1</v>
      </c>
      <c r="J41" s="10" t="str">
        <f aca="false">_xlfn.CONCAT(A41, ",",H41,",",I41)</f>
        <v>걷,보,1</v>
      </c>
      <c r="K41" s="16" t="n">
        <f aca="false">IF(B41=-1,-1,VLOOKUP(C41,$T$1:$V$20,3))</f>
        <v>1</v>
      </c>
      <c r="L41" s="16" t="n">
        <f aca="false">IF(B41=-1,-1,VLOOKUP(D41,$Y$1:$AA$22,3))</f>
        <v>4</v>
      </c>
      <c r="N41" s="10" t="str">
        <f aca="false">_xlfn.UNICHAR(((C41*21)+G41)*28+44032)</f>
        <v>고</v>
      </c>
      <c r="O41" s="10" t="str">
        <f aca="false">_xlfn.UNICHAR(((F41*21)+D41)*28+44032)</f>
        <v>버</v>
      </c>
      <c r="P41" s="12" t="n">
        <f aca="false">COUNTIF($A$2:$A$3000, N41) + COUNTIF($A$2:$A$3000, O41)</f>
        <v>2</v>
      </c>
      <c r="Q41" s="16" t="str">
        <f aca="false">IF(OR(B41=-1,I41=0, P41&lt;&gt;2), "albhed_dummy", _xlfn.CONCAT("albhed ", RIGHT("  " &amp; K41,2),", ", RIGHT("  " &amp; L41,2), ", " ,"""",H41,""", ", """",N41,""", ","""",O41,""""," ; ", A41))</f>
        <v>albhed  1,  4, "보", "고", "버" ; 걷</v>
      </c>
      <c r="S41" s="18" t="s">
        <v>835</v>
      </c>
      <c r="T41" s="18" t="n">
        <v>16</v>
      </c>
      <c r="U41" s="18" t="n">
        <v>16</v>
      </c>
      <c r="V41" s="13"/>
      <c r="W41" s="13"/>
      <c r="X41" s="13"/>
    </row>
    <row r="42" customFormat="false" ht="17.9" hidden="false" customHeight="true" outlineLevel="0" collapsed="false">
      <c r="A42" s="16" t="s">
        <v>920</v>
      </c>
      <c r="B42" s="16" t="n">
        <f aca="false">IF(_xlfn.UNICODE(A42)&lt;44032,-1,_xlfn.UNICODE(A42)-44032)</f>
        <v>120</v>
      </c>
      <c r="C42" s="16" t="n">
        <f aca="false">IF(B42=-1,-1,INT((B42/28)/21))</f>
        <v>0</v>
      </c>
      <c r="D42" s="16" t="n">
        <f aca="false">IF(B42=-1, -1, MOD(INT(B42/28),21))</f>
        <v>4</v>
      </c>
      <c r="E42" s="16" t="n">
        <f aca="false">IF(B42=-1, -1, VLOOKUP(MOD(B42,28), $T$24:$U$52,2))</f>
        <v>8</v>
      </c>
      <c r="F42" s="16" t="n">
        <f aca="false">IF($B42=-1, -1, VLOOKUP(C42,$T$1:$V$20, 2))</f>
        <v>7</v>
      </c>
      <c r="G42" s="16" t="n">
        <f aca="false">IF($B42=-1, -1, VLOOKUP(D42,$Y$1:$Z$22,2))</f>
        <v>8</v>
      </c>
      <c r="H42" s="16" t="str">
        <f aca="false">_xlfn.UNICHAR(((F42*21)+G42)*28+44032)</f>
        <v>보</v>
      </c>
      <c r="I42" s="16" t="n">
        <f aca="false">IF(B42=-1, 1, COUNTIF($A$2:$A$3000, H42))</f>
        <v>1</v>
      </c>
      <c r="J42" s="10" t="str">
        <f aca="false">_xlfn.CONCAT(A42, ",",H42,",",I42)</f>
        <v>걸,보,1</v>
      </c>
      <c r="K42" s="16" t="n">
        <f aca="false">IF(B42=-1,-1,VLOOKUP(C42,$T$1:$V$20,3))</f>
        <v>1</v>
      </c>
      <c r="L42" s="16" t="n">
        <f aca="false">IF(B42=-1,-1,VLOOKUP(D42,$Y$1:$AA$22,3))</f>
        <v>4</v>
      </c>
      <c r="N42" s="10" t="str">
        <f aca="false">_xlfn.UNICHAR(((C42*21)+G42)*28+44032)</f>
        <v>고</v>
      </c>
      <c r="O42" s="10" t="str">
        <f aca="false">_xlfn.UNICHAR(((F42*21)+D42)*28+44032)</f>
        <v>버</v>
      </c>
      <c r="P42" s="12" t="n">
        <f aca="false">COUNTIF($A$2:$A$3000, N42) + COUNTIF($A$2:$A$3000, O42)</f>
        <v>2</v>
      </c>
      <c r="Q42" s="16" t="str">
        <f aca="false">IF(OR(B42=-1,I42=0, P42&lt;&gt;2), "albhed_dummy", _xlfn.CONCAT("albhed ", RIGHT("  " &amp; K42,2),", ", RIGHT("  " &amp; L42,2), ", " ,"""",H42,""", ", """",N42,""", ","""",O42,""""," ; ", A42))</f>
        <v>albhed  1,  4, "보", "고", "버" ; 걸</v>
      </c>
      <c r="S42" s="18" t="s">
        <v>838</v>
      </c>
      <c r="T42" s="18" t="n">
        <v>17</v>
      </c>
      <c r="U42" s="18" t="n">
        <v>17</v>
      </c>
      <c r="V42" s="13"/>
      <c r="W42" s="13"/>
      <c r="X42" s="13"/>
    </row>
    <row r="43" customFormat="false" ht="17.9" hidden="false" customHeight="true" outlineLevel="0" collapsed="false">
      <c r="A43" s="16" t="s">
        <v>921</v>
      </c>
      <c r="B43" s="16" t="n">
        <f aca="false">IF(_xlfn.UNICODE(A43)&lt;44032,-1,_xlfn.UNICODE(A43)-44032)</f>
        <v>122</v>
      </c>
      <c r="C43" s="16" t="n">
        <f aca="false">IF(B43=-1,-1,INT((B43/28)/21))</f>
        <v>0</v>
      </c>
      <c r="D43" s="16" t="n">
        <f aca="false">IF(B43=-1, -1, MOD(INT(B43/28),21))</f>
        <v>4</v>
      </c>
      <c r="E43" s="16" t="n">
        <f aca="false">IF(B43=-1, -1, VLOOKUP(MOD(B43,28), $T$24:$U$52,2))</f>
        <v>8</v>
      </c>
      <c r="F43" s="16" t="n">
        <f aca="false">IF($B43=-1, -1, VLOOKUP(C43,$T$1:$V$20, 2))</f>
        <v>7</v>
      </c>
      <c r="G43" s="16" t="n">
        <f aca="false">IF($B43=-1, -1, VLOOKUP(D43,$Y$1:$Z$22,2))</f>
        <v>8</v>
      </c>
      <c r="H43" s="16" t="str">
        <f aca="false">_xlfn.UNICHAR(((F43*21)+G43)*28+44032)</f>
        <v>보</v>
      </c>
      <c r="I43" s="16" t="n">
        <f aca="false">IF(B43=-1, 1, COUNTIF($A$2:$A$3000, H43))</f>
        <v>1</v>
      </c>
      <c r="J43" s="10" t="str">
        <f aca="false">_xlfn.CONCAT(A43, ",",H43,",",I43)</f>
        <v>걺,보,1</v>
      </c>
      <c r="K43" s="16" t="n">
        <f aca="false">IF(B43=-1,-1,VLOOKUP(C43,$T$1:$V$20,3))</f>
        <v>1</v>
      </c>
      <c r="L43" s="16" t="n">
        <f aca="false">IF(B43=-1,-1,VLOOKUP(D43,$Y$1:$AA$22,3))</f>
        <v>4</v>
      </c>
      <c r="N43" s="10" t="str">
        <f aca="false">_xlfn.UNICHAR(((C43*21)+G43)*28+44032)</f>
        <v>고</v>
      </c>
      <c r="O43" s="10" t="str">
        <f aca="false">_xlfn.UNICHAR(((F43*21)+D43)*28+44032)</f>
        <v>버</v>
      </c>
      <c r="P43" s="12" t="n">
        <f aca="false">COUNTIF($A$2:$A$3000, N43) + COUNTIF($A$2:$A$3000, O43)</f>
        <v>2</v>
      </c>
      <c r="Q43" s="16" t="str">
        <f aca="false">IF(OR(B43=-1,I43=0, P43&lt;&gt;2), "albhed_dummy", _xlfn.CONCAT("albhed ", RIGHT("  " &amp; K43,2),", ", RIGHT("  " &amp; L43,2), ", " ,"""",H43,""", ", """",N43,""", ","""",O43,""""," ; ", A43))</f>
        <v>albhed  1,  4, "보", "고", "버" ; 걺</v>
      </c>
      <c r="S43" s="18" t="s">
        <v>922</v>
      </c>
      <c r="T43" s="18" t="n">
        <v>18</v>
      </c>
      <c r="U43" s="18" t="n">
        <v>17</v>
      </c>
      <c r="V43" s="13"/>
      <c r="W43" s="13"/>
      <c r="X43" s="13"/>
    </row>
    <row r="44" customFormat="false" ht="17.9" hidden="false" customHeight="true" outlineLevel="0" collapsed="false">
      <c r="A44" s="16" t="s">
        <v>923</v>
      </c>
      <c r="B44" s="16" t="n">
        <f aca="false">IF(_xlfn.UNICODE(A44)&lt;44032,-1,_xlfn.UNICODE(A44)-44032)</f>
        <v>128</v>
      </c>
      <c r="C44" s="16" t="n">
        <f aca="false">IF(B44=-1,-1,INT((B44/28)/21))</f>
        <v>0</v>
      </c>
      <c r="D44" s="16" t="n">
        <f aca="false">IF(B44=-1, -1, MOD(INT(B44/28),21))</f>
        <v>4</v>
      </c>
      <c r="E44" s="16" t="n">
        <f aca="false">IF(B44=-1, -1, VLOOKUP(MOD(B44,28), $T$24:$U$52,2))</f>
        <v>16</v>
      </c>
      <c r="F44" s="16" t="n">
        <f aca="false">IF($B44=-1, -1, VLOOKUP(C44,$T$1:$V$20, 2))</f>
        <v>7</v>
      </c>
      <c r="G44" s="16" t="n">
        <f aca="false">IF($B44=-1, -1, VLOOKUP(D44,$Y$1:$Z$22,2))</f>
        <v>8</v>
      </c>
      <c r="H44" s="16" t="str">
        <f aca="false">_xlfn.UNICHAR(((F44*21)+G44)*28+44032)</f>
        <v>보</v>
      </c>
      <c r="I44" s="16" t="n">
        <f aca="false">IF(B44=-1, 1, COUNTIF($A$2:$A$3000, H44))</f>
        <v>1</v>
      </c>
      <c r="J44" s="10" t="str">
        <f aca="false">_xlfn.CONCAT(A44, ",",H44,",",I44)</f>
        <v>검,보,1</v>
      </c>
      <c r="K44" s="16" t="n">
        <f aca="false">IF(B44=-1,-1,VLOOKUP(C44,$T$1:$V$20,3))</f>
        <v>1</v>
      </c>
      <c r="L44" s="16" t="n">
        <f aca="false">IF(B44=-1,-1,VLOOKUP(D44,$Y$1:$AA$22,3))</f>
        <v>4</v>
      </c>
      <c r="N44" s="10" t="str">
        <f aca="false">_xlfn.UNICHAR(((C44*21)+G44)*28+44032)</f>
        <v>고</v>
      </c>
      <c r="O44" s="10" t="str">
        <f aca="false">_xlfn.UNICHAR(((F44*21)+D44)*28+44032)</f>
        <v>버</v>
      </c>
      <c r="P44" s="12" t="n">
        <f aca="false">COUNTIF($A$2:$A$3000, N44) + COUNTIF($A$2:$A$3000, O44)</f>
        <v>2</v>
      </c>
      <c r="Q44" s="16" t="str">
        <f aca="false">IF(OR(B44=-1,I44=0, P44&lt;&gt;2), "albhed_dummy", _xlfn.CONCAT("albhed ", RIGHT("  " &amp; K44,2),", ", RIGHT("  " &amp; L44,2), ", " ,"""",H44,""", ", """",N44,""", ","""",O44,""""," ; ", A44))</f>
        <v>albhed  1,  4, "보", "고", "버" ; 검</v>
      </c>
      <c r="S44" s="18" t="s">
        <v>848</v>
      </c>
      <c r="T44" s="18" t="n">
        <v>19</v>
      </c>
      <c r="U44" s="18" t="n">
        <v>19</v>
      </c>
      <c r="V44" s="13"/>
      <c r="W44" s="13"/>
      <c r="X44" s="13"/>
    </row>
    <row r="45" customFormat="false" ht="17.9" hidden="false" customHeight="true" outlineLevel="0" collapsed="false">
      <c r="A45" s="16" t="s">
        <v>924</v>
      </c>
      <c r="B45" s="16" t="n">
        <f aca="false">IF(_xlfn.UNICODE(A45)&lt;44032,-1,_xlfn.UNICODE(A45)-44032)</f>
        <v>129</v>
      </c>
      <c r="C45" s="16" t="n">
        <f aca="false">IF(B45=-1,-1,INT((B45/28)/21))</f>
        <v>0</v>
      </c>
      <c r="D45" s="16" t="n">
        <f aca="false">IF(B45=-1, -1, MOD(INT(B45/28),21))</f>
        <v>4</v>
      </c>
      <c r="E45" s="16" t="n">
        <f aca="false">IF(B45=-1, -1, VLOOKUP(MOD(B45,28), $T$24:$U$52,2))</f>
        <v>17</v>
      </c>
      <c r="F45" s="16" t="n">
        <f aca="false">IF($B45=-1, -1, VLOOKUP(C45,$T$1:$V$20, 2))</f>
        <v>7</v>
      </c>
      <c r="G45" s="16" t="n">
        <f aca="false">IF($B45=-1, -1, VLOOKUP(D45,$Y$1:$Z$22,2))</f>
        <v>8</v>
      </c>
      <c r="H45" s="16" t="str">
        <f aca="false">_xlfn.UNICHAR(((F45*21)+G45)*28+44032)</f>
        <v>보</v>
      </c>
      <c r="I45" s="16" t="n">
        <f aca="false">IF(B45=-1, 1, COUNTIF($A$2:$A$3000, H45))</f>
        <v>1</v>
      </c>
      <c r="J45" s="10" t="str">
        <f aca="false">_xlfn.CONCAT(A45, ",",H45,",",I45)</f>
        <v>겁,보,1</v>
      </c>
      <c r="K45" s="16" t="n">
        <f aca="false">IF(B45=-1,-1,VLOOKUP(C45,$T$1:$V$20,3))</f>
        <v>1</v>
      </c>
      <c r="L45" s="16" t="n">
        <f aca="false">IF(B45=-1,-1,VLOOKUP(D45,$Y$1:$AA$22,3))</f>
        <v>4</v>
      </c>
      <c r="N45" s="10" t="str">
        <f aca="false">_xlfn.UNICHAR(((C45*21)+G45)*28+44032)</f>
        <v>고</v>
      </c>
      <c r="O45" s="10" t="str">
        <f aca="false">_xlfn.UNICHAR(((F45*21)+D45)*28+44032)</f>
        <v>버</v>
      </c>
      <c r="P45" s="12" t="n">
        <f aca="false">COUNTIF($A$2:$A$3000, N45) + COUNTIF($A$2:$A$3000, O45)</f>
        <v>2</v>
      </c>
      <c r="Q45" s="16" t="str">
        <f aca="false">IF(OR(B45=-1,I45=0, P45&lt;&gt;2), "albhed_dummy", _xlfn.CONCAT("albhed ", RIGHT("  " &amp; K45,2),", ", RIGHT("  " &amp; L45,2), ", " ,"""",H45,""", ", """",N45,""", ","""",O45,""""," ; ", A45))</f>
        <v>albhed  1,  4, "보", "고", "버" ; 겁</v>
      </c>
      <c r="S45" s="18" t="s">
        <v>852</v>
      </c>
      <c r="T45" s="18" t="n">
        <v>20</v>
      </c>
      <c r="U45" s="18" t="n">
        <v>19</v>
      </c>
      <c r="V45" s="13"/>
      <c r="W45" s="13"/>
      <c r="X45" s="13"/>
    </row>
    <row r="46" customFormat="false" ht="17.9" hidden="false" customHeight="true" outlineLevel="0" collapsed="false">
      <c r="A46" s="16" t="s">
        <v>925</v>
      </c>
      <c r="B46" s="16" t="n">
        <f aca="false">IF(_xlfn.UNICODE(A46)&lt;44032,-1,_xlfn.UNICODE(A46)-44032)</f>
        <v>131</v>
      </c>
      <c r="C46" s="16" t="n">
        <f aca="false">IF(B46=-1,-1,INT((B46/28)/21))</f>
        <v>0</v>
      </c>
      <c r="D46" s="16" t="n">
        <f aca="false">IF(B46=-1, -1, MOD(INT(B46/28),21))</f>
        <v>4</v>
      </c>
      <c r="E46" s="16" t="n">
        <f aca="false">IF(B46=-1, -1, VLOOKUP(MOD(B46,28), $T$24:$U$52,2))</f>
        <v>19</v>
      </c>
      <c r="F46" s="16" t="n">
        <f aca="false">IF($B46=-1, -1, VLOOKUP(C46,$T$1:$V$20, 2))</f>
        <v>7</v>
      </c>
      <c r="G46" s="16" t="n">
        <f aca="false">IF($B46=-1, -1, VLOOKUP(D46,$Y$1:$Z$22,2))</f>
        <v>8</v>
      </c>
      <c r="H46" s="16" t="str">
        <f aca="false">_xlfn.UNICHAR(((F46*21)+G46)*28+44032)</f>
        <v>보</v>
      </c>
      <c r="I46" s="16" t="n">
        <f aca="false">IF(B46=-1, 1, COUNTIF($A$2:$A$3000, H46))</f>
        <v>1</v>
      </c>
      <c r="J46" s="10" t="str">
        <f aca="false">_xlfn.CONCAT(A46, ",",H46,",",I46)</f>
        <v>것,보,1</v>
      </c>
      <c r="K46" s="16" t="n">
        <f aca="false">IF(B46=-1,-1,VLOOKUP(C46,$T$1:$V$20,3))</f>
        <v>1</v>
      </c>
      <c r="L46" s="16" t="n">
        <f aca="false">IF(B46=-1,-1,VLOOKUP(D46,$Y$1:$AA$22,3))</f>
        <v>4</v>
      </c>
      <c r="N46" s="10" t="str">
        <f aca="false">_xlfn.UNICHAR(((C46*21)+G46)*28+44032)</f>
        <v>고</v>
      </c>
      <c r="O46" s="10" t="str">
        <f aca="false">_xlfn.UNICHAR(((F46*21)+D46)*28+44032)</f>
        <v>버</v>
      </c>
      <c r="P46" s="12" t="n">
        <f aca="false">COUNTIF($A$2:$A$3000, N46) + COUNTIF($A$2:$A$3000, O46)</f>
        <v>2</v>
      </c>
      <c r="Q46" s="16" t="str">
        <f aca="false">IF(OR(B46=-1,I46=0, P46&lt;&gt;2), "albhed_dummy", _xlfn.CONCAT("albhed ", RIGHT("  " &amp; K46,2),", ", RIGHT("  " &amp; L46,2), ", " ,"""",H46,""", ", """",N46,""", ","""",O46,""""," ; ", A46))</f>
        <v>albhed  1,  4, "보", "고", "버" ; 것</v>
      </c>
      <c r="S46" s="18" t="s">
        <v>857</v>
      </c>
      <c r="T46" s="18" t="n">
        <v>21</v>
      </c>
      <c r="U46" s="18" t="n">
        <v>21</v>
      </c>
      <c r="V46" s="13"/>
      <c r="W46" s="13"/>
      <c r="X46" s="13"/>
    </row>
    <row r="47" customFormat="false" ht="17.9" hidden="false" customHeight="true" outlineLevel="0" collapsed="false">
      <c r="A47" s="16" t="s">
        <v>926</v>
      </c>
      <c r="B47" s="16" t="n">
        <f aca="false">IF(_xlfn.UNICODE(A47)&lt;44032,-1,_xlfn.UNICODE(A47)-44032)</f>
        <v>132</v>
      </c>
      <c r="C47" s="16" t="n">
        <f aca="false">IF(B47=-1,-1,INT((B47/28)/21))</f>
        <v>0</v>
      </c>
      <c r="D47" s="16" t="n">
        <f aca="false">IF(B47=-1, -1, MOD(INT(B47/28),21))</f>
        <v>4</v>
      </c>
      <c r="E47" s="16" t="n">
        <f aca="false">IF(B47=-1, -1, VLOOKUP(MOD(B47,28), $T$24:$U$52,2))</f>
        <v>19</v>
      </c>
      <c r="F47" s="16" t="n">
        <f aca="false">IF($B47=-1, -1, VLOOKUP(C47,$T$1:$V$20, 2))</f>
        <v>7</v>
      </c>
      <c r="G47" s="16" t="n">
        <f aca="false">IF($B47=-1, -1, VLOOKUP(D47,$Y$1:$Z$22,2))</f>
        <v>8</v>
      </c>
      <c r="H47" s="16" t="str">
        <f aca="false">_xlfn.UNICHAR(((F47*21)+G47)*28+44032)</f>
        <v>보</v>
      </c>
      <c r="I47" s="16" t="n">
        <f aca="false">IF(B47=-1, 1, COUNTIF($A$2:$A$3000, H47))</f>
        <v>1</v>
      </c>
      <c r="J47" s="10" t="str">
        <f aca="false">_xlfn.CONCAT(A47, ",",H47,",",I47)</f>
        <v>겄,보,1</v>
      </c>
      <c r="K47" s="16" t="n">
        <f aca="false">IF(B47=-1,-1,VLOOKUP(C47,$T$1:$V$20,3))</f>
        <v>1</v>
      </c>
      <c r="L47" s="16" t="n">
        <f aca="false">IF(B47=-1,-1,VLOOKUP(D47,$Y$1:$AA$22,3))</f>
        <v>4</v>
      </c>
      <c r="N47" s="10" t="str">
        <f aca="false">_xlfn.UNICHAR(((C47*21)+G47)*28+44032)</f>
        <v>고</v>
      </c>
      <c r="O47" s="10" t="str">
        <f aca="false">_xlfn.UNICHAR(((F47*21)+D47)*28+44032)</f>
        <v>버</v>
      </c>
      <c r="P47" s="12" t="n">
        <f aca="false">COUNTIF($A$2:$A$3000, N47) + COUNTIF($A$2:$A$3000, O47)</f>
        <v>2</v>
      </c>
      <c r="Q47" s="16" t="str">
        <f aca="false">IF(OR(B47=-1,I47=0, P47&lt;&gt;2), "albhed_dummy", _xlfn.CONCAT("albhed ", RIGHT("  " &amp; K47,2),", ", RIGHT("  " &amp; L47,2), ", " ,"""",H47,""", ", """",N47,""", ","""",O47,""""," ; ", A47))</f>
        <v>albhed  1,  4, "보", "고", "버" ; 겄</v>
      </c>
      <c r="S47" s="18" t="s">
        <v>862</v>
      </c>
      <c r="T47" s="18" t="n">
        <v>22</v>
      </c>
      <c r="U47" s="18" t="n">
        <v>19</v>
      </c>
      <c r="V47" s="13"/>
      <c r="W47" s="13"/>
      <c r="X47" s="13"/>
    </row>
    <row r="48" customFormat="false" ht="17.9" hidden="false" customHeight="true" outlineLevel="0" collapsed="false">
      <c r="A48" s="16" t="s">
        <v>927</v>
      </c>
      <c r="B48" s="16" t="n">
        <f aca="false">IF(_xlfn.UNICODE(A48)&lt;44032,-1,_xlfn.UNICODE(A48)-44032)</f>
        <v>133</v>
      </c>
      <c r="C48" s="16" t="n">
        <f aca="false">IF(B48=-1,-1,INT((B48/28)/21))</f>
        <v>0</v>
      </c>
      <c r="D48" s="16" t="n">
        <f aca="false">IF(B48=-1, -1, MOD(INT(B48/28),21))</f>
        <v>4</v>
      </c>
      <c r="E48" s="16" t="n">
        <f aca="false">IF(B48=-1, -1, VLOOKUP(MOD(B48,28), $T$24:$U$52,2))</f>
        <v>21</v>
      </c>
      <c r="F48" s="16" t="n">
        <f aca="false">IF($B48=-1, -1, VLOOKUP(C48,$T$1:$V$20, 2))</f>
        <v>7</v>
      </c>
      <c r="G48" s="16" t="n">
        <f aca="false">IF($B48=-1, -1, VLOOKUP(D48,$Y$1:$Z$22,2))</f>
        <v>8</v>
      </c>
      <c r="H48" s="16" t="str">
        <f aca="false">_xlfn.UNICHAR(((F48*21)+G48)*28+44032)</f>
        <v>보</v>
      </c>
      <c r="I48" s="16" t="n">
        <f aca="false">IF(B48=-1, 1, COUNTIF($A$2:$A$3000, H48))</f>
        <v>1</v>
      </c>
      <c r="J48" s="10" t="str">
        <f aca="false">_xlfn.CONCAT(A48, ",",H48,",",I48)</f>
        <v>겅,보,1</v>
      </c>
      <c r="K48" s="16" t="n">
        <f aca="false">IF(B48=-1,-1,VLOOKUP(C48,$T$1:$V$20,3))</f>
        <v>1</v>
      </c>
      <c r="L48" s="16" t="n">
        <f aca="false">IF(B48=-1,-1,VLOOKUP(D48,$Y$1:$AA$22,3))</f>
        <v>4</v>
      </c>
      <c r="N48" s="10" t="str">
        <f aca="false">_xlfn.UNICHAR(((C48*21)+G48)*28+44032)</f>
        <v>고</v>
      </c>
      <c r="O48" s="10" t="str">
        <f aca="false">_xlfn.UNICHAR(((F48*21)+D48)*28+44032)</f>
        <v>버</v>
      </c>
      <c r="P48" s="12" t="n">
        <f aca="false">COUNTIF($A$2:$A$3000, N48) + COUNTIF($A$2:$A$3000, O48)</f>
        <v>2</v>
      </c>
      <c r="Q48" s="16" t="str">
        <f aca="false">IF(OR(B48=-1,I48=0, P48&lt;&gt;2), "albhed_dummy", _xlfn.CONCAT("albhed ", RIGHT("  " &amp; K48,2),", ", RIGHT("  " &amp; L48,2), ", " ,"""",H48,""", ", """",N48,""", ","""",O48,""""," ; ", A48))</f>
        <v>albhed  1,  4, "보", "고", "버" ; 겅</v>
      </c>
      <c r="S48" s="18" t="s">
        <v>867</v>
      </c>
      <c r="T48" s="18" t="n">
        <v>23</v>
      </c>
      <c r="U48" s="18" t="n">
        <v>19</v>
      </c>
      <c r="V48" s="13"/>
      <c r="W48" s="13"/>
      <c r="X48" s="13"/>
    </row>
    <row r="49" customFormat="false" ht="17.9" hidden="false" customHeight="true" outlineLevel="0" collapsed="false">
      <c r="A49" s="16" t="s">
        <v>928</v>
      </c>
      <c r="B49" s="16" t="n">
        <f aca="false">IF(_xlfn.UNICODE(A49)&lt;44032,-1,_xlfn.UNICODE(A49)-44032)</f>
        <v>134</v>
      </c>
      <c r="C49" s="16" t="n">
        <f aca="false">IF(B49=-1,-1,INT((B49/28)/21))</f>
        <v>0</v>
      </c>
      <c r="D49" s="16" t="n">
        <f aca="false">IF(B49=-1, -1, MOD(INT(B49/28),21))</f>
        <v>4</v>
      </c>
      <c r="E49" s="16" t="n">
        <f aca="false">IF(B49=-1, -1, VLOOKUP(MOD(B49,28), $T$24:$U$52,2))</f>
        <v>19</v>
      </c>
      <c r="F49" s="16" t="n">
        <f aca="false">IF($B49=-1, -1, VLOOKUP(C49,$T$1:$V$20, 2))</f>
        <v>7</v>
      </c>
      <c r="G49" s="16" t="n">
        <f aca="false">IF($B49=-1, -1, VLOOKUP(D49,$Y$1:$Z$22,2))</f>
        <v>8</v>
      </c>
      <c r="H49" s="16" t="str">
        <f aca="false">_xlfn.UNICHAR(((F49*21)+G49)*28+44032)</f>
        <v>보</v>
      </c>
      <c r="I49" s="16" t="n">
        <f aca="false">IF(B49=-1, 1, COUNTIF($A$2:$A$3000, H49))</f>
        <v>1</v>
      </c>
      <c r="J49" s="10" t="str">
        <f aca="false">_xlfn.CONCAT(A49, ",",H49,",",I49)</f>
        <v>겆,보,1</v>
      </c>
      <c r="K49" s="16" t="n">
        <f aca="false">IF(B49=-1,-1,VLOOKUP(C49,$T$1:$V$20,3))</f>
        <v>1</v>
      </c>
      <c r="L49" s="16" t="n">
        <f aca="false">IF(B49=-1,-1,VLOOKUP(D49,$Y$1:$AA$22,3))</f>
        <v>4</v>
      </c>
      <c r="N49" s="10" t="str">
        <f aca="false">_xlfn.UNICHAR(((C49*21)+G49)*28+44032)</f>
        <v>고</v>
      </c>
      <c r="O49" s="10" t="str">
        <f aca="false">_xlfn.UNICHAR(((F49*21)+D49)*28+44032)</f>
        <v>버</v>
      </c>
      <c r="P49" s="12" t="n">
        <f aca="false">COUNTIF($A$2:$A$3000, N49) + COUNTIF($A$2:$A$3000, O49)</f>
        <v>2</v>
      </c>
      <c r="Q49" s="16" t="str">
        <f aca="false">IF(OR(B49=-1,I49=0, P49&lt;&gt;2), "albhed_dummy", _xlfn.CONCAT("albhed ", RIGHT("  " &amp; K49,2),", ", RIGHT("  " &amp; L49,2), ", " ,"""",H49,""", ", """",N49,""", ","""",O49,""""," ; ", A49))</f>
        <v>albhed  1,  4, "보", "고", "버" ; 겆</v>
      </c>
      <c r="S49" s="18" t="s">
        <v>871</v>
      </c>
      <c r="T49" s="18" t="n">
        <v>24</v>
      </c>
      <c r="U49" s="18" t="n">
        <v>1</v>
      </c>
      <c r="V49" s="13"/>
      <c r="W49" s="13"/>
      <c r="X49" s="13"/>
    </row>
    <row r="50" customFormat="false" ht="17.9" hidden="false" customHeight="true" outlineLevel="0" collapsed="false">
      <c r="A50" s="16" t="s">
        <v>929</v>
      </c>
      <c r="B50" s="16" t="n">
        <f aca="false">IF(_xlfn.UNICODE(A50)&lt;44032,-1,_xlfn.UNICODE(A50)-44032)</f>
        <v>137</v>
      </c>
      <c r="C50" s="16" t="n">
        <f aca="false">IF(B50=-1,-1,INT((B50/28)/21))</f>
        <v>0</v>
      </c>
      <c r="D50" s="16" t="n">
        <f aca="false">IF(B50=-1, -1, MOD(INT(B50/28),21))</f>
        <v>4</v>
      </c>
      <c r="E50" s="16" t="n">
        <f aca="false">IF(B50=-1, -1, VLOOKUP(MOD(B50,28), $T$24:$U$52,2))</f>
        <v>19</v>
      </c>
      <c r="F50" s="16" t="n">
        <f aca="false">IF($B50=-1, -1, VLOOKUP(C50,$T$1:$V$20, 2))</f>
        <v>7</v>
      </c>
      <c r="G50" s="16" t="n">
        <f aca="false">IF($B50=-1, -1, VLOOKUP(D50,$Y$1:$Z$22,2))</f>
        <v>8</v>
      </c>
      <c r="H50" s="16" t="str">
        <f aca="false">_xlfn.UNICHAR(((F50*21)+G50)*28+44032)</f>
        <v>보</v>
      </c>
      <c r="I50" s="16" t="n">
        <f aca="false">IF(B50=-1, 1, COUNTIF($A$2:$A$3000, H50))</f>
        <v>1</v>
      </c>
      <c r="J50" s="10" t="str">
        <f aca="false">_xlfn.CONCAT(A50, ",",H50,",",I50)</f>
        <v>겉,보,1</v>
      </c>
      <c r="K50" s="16" t="n">
        <f aca="false">IF(B50=-1,-1,VLOOKUP(C50,$T$1:$V$20,3))</f>
        <v>1</v>
      </c>
      <c r="L50" s="16" t="n">
        <f aca="false">IF(B50=-1,-1,VLOOKUP(D50,$Y$1:$AA$22,3))</f>
        <v>4</v>
      </c>
      <c r="N50" s="10" t="str">
        <f aca="false">_xlfn.UNICHAR(((C50*21)+G50)*28+44032)</f>
        <v>고</v>
      </c>
      <c r="O50" s="10" t="str">
        <f aca="false">_xlfn.UNICHAR(((F50*21)+D50)*28+44032)</f>
        <v>버</v>
      </c>
      <c r="P50" s="12" t="n">
        <f aca="false">COUNTIF($A$2:$A$3000, N50) + COUNTIF($A$2:$A$3000, O50)</f>
        <v>2</v>
      </c>
      <c r="Q50" s="16" t="str">
        <f aca="false">IF(OR(B50=-1,I50=0, P50&lt;&gt;2), "albhed_dummy", _xlfn.CONCAT("albhed ", RIGHT("  " &amp; K50,2),", ", RIGHT("  " &amp; L50,2), ", " ,"""",H50,""", ", """",N50,""", ","""",O50,""""," ; ", A50))</f>
        <v>albhed  1,  4, "보", "고", "버" ; 겉</v>
      </c>
      <c r="S50" s="18" t="s">
        <v>874</v>
      </c>
      <c r="T50" s="18" t="n">
        <v>25</v>
      </c>
      <c r="U50" s="18" t="n">
        <v>19</v>
      </c>
      <c r="V50" s="13"/>
      <c r="W50" s="13"/>
      <c r="X50" s="13"/>
    </row>
    <row r="51" customFormat="false" ht="17.9" hidden="false" customHeight="true" outlineLevel="0" collapsed="false">
      <c r="A51" s="16" t="s">
        <v>930</v>
      </c>
      <c r="B51" s="16" t="n">
        <f aca="false">IF(_xlfn.UNICODE(A51)&lt;44032,-1,_xlfn.UNICODE(A51)-44032)</f>
        <v>138</v>
      </c>
      <c r="C51" s="16" t="n">
        <f aca="false">IF(B51=-1,-1,INT((B51/28)/21))</f>
        <v>0</v>
      </c>
      <c r="D51" s="16" t="n">
        <f aca="false">IF(B51=-1, -1, MOD(INT(B51/28),21))</f>
        <v>4</v>
      </c>
      <c r="E51" s="16" t="n">
        <f aca="false">IF(B51=-1, -1, VLOOKUP(MOD(B51,28), $T$24:$U$52,2))</f>
        <v>17</v>
      </c>
      <c r="F51" s="16" t="n">
        <f aca="false">IF($B51=-1, -1, VLOOKUP(C51,$T$1:$V$20, 2))</f>
        <v>7</v>
      </c>
      <c r="G51" s="16" t="n">
        <f aca="false">IF($B51=-1, -1, VLOOKUP(D51,$Y$1:$Z$22,2))</f>
        <v>8</v>
      </c>
      <c r="H51" s="16" t="str">
        <f aca="false">_xlfn.UNICHAR(((F51*21)+G51)*28+44032)</f>
        <v>보</v>
      </c>
      <c r="I51" s="16" t="n">
        <f aca="false">IF(B51=-1, 1, COUNTIF($A$2:$A$3000, H51))</f>
        <v>1</v>
      </c>
      <c r="J51" s="10" t="str">
        <f aca="false">_xlfn.CONCAT(A51, ",",H51,",",I51)</f>
        <v>겊,보,1</v>
      </c>
      <c r="K51" s="16" t="n">
        <f aca="false">IF(B51=-1,-1,VLOOKUP(C51,$T$1:$V$20,3))</f>
        <v>1</v>
      </c>
      <c r="L51" s="16" t="n">
        <f aca="false">IF(B51=-1,-1,VLOOKUP(D51,$Y$1:$AA$22,3))</f>
        <v>4</v>
      </c>
      <c r="N51" s="10" t="str">
        <f aca="false">_xlfn.UNICHAR(((C51*21)+G51)*28+44032)</f>
        <v>고</v>
      </c>
      <c r="O51" s="10" t="str">
        <f aca="false">_xlfn.UNICHAR(((F51*21)+D51)*28+44032)</f>
        <v>버</v>
      </c>
      <c r="P51" s="12" t="n">
        <f aca="false">COUNTIF($A$2:$A$3000, N51) + COUNTIF($A$2:$A$3000, O51)</f>
        <v>2</v>
      </c>
      <c r="Q51" s="16" t="str">
        <f aca="false">IF(OR(B51=-1,I51=0, P51&lt;&gt;2), "albhed_dummy", _xlfn.CONCAT("albhed ", RIGHT("  " &amp; K51,2),", ", RIGHT("  " &amp; L51,2), ", " ,"""",H51,""", ", """",N51,""", ","""",O51,""""," ; ", A51))</f>
        <v>albhed  1,  4, "보", "고", "버" ; 겊</v>
      </c>
      <c r="S51" s="18" t="s">
        <v>879</v>
      </c>
      <c r="T51" s="18" t="n">
        <v>26</v>
      </c>
      <c r="U51" s="18" t="n">
        <v>17</v>
      </c>
      <c r="V51" s="13"/>
      <c r="W51" s="13"/>
      <c r="X51" s="13"/>
    </row>
    <row r="52" customFormat="false" ht="17.9" hidden="false" customHeight="true" outlineLevel="0" collapsed="false">
      <c r="A52" s="16" t="s">
        <v>931</v>
      </c>
      <c r="B52" s="16" t="n">
        <f aca="false">IF(_xlfn.UNICODE(A52)&lt;44032,-1,_xlfn.UNICODE(A52)-44032)</f>
        <v>139</v>
      </c>
      <c r="C52" s="16" t="n">
        <f aca="false">IF(B52=-1,-1,INT((B52/28)/21))</f>
        <v>0</v>
      </c>
      <c r="D52" s="16" t="n">
        <f aca="false">IF(B52=-1, -1, MOD(INT(B52/28),21))</f>
        <v>4</v>
      </c>
      <c r="E52" s="16" t="n">
        <f aca="false">IF(B52=-1, -1, VLOOKUP(MOD(B52,28), $T$24:$U$52,2))</f>
        <v>19</v>
      </c>
      <c r="F52" s="16" t="n">
        <f aca="false">IF($B52=-1, -1, VLOOKUP(C52,$T$1:$V$20, 2))</f>
        <v>7</v>
      </c>
      <c r="G52" s="16" t="n">
        <f aca="false">IF($B52=-1, -1, VLOOKUP(D52,$Y$1:$Z$22,2))</f>
        <v>8</v>
      </c>
      <c r="H52" s="16" t="str">
        <f aca="false">_xlfn.UNICHAR(((F52*21)+G52)*28+44032)</f>
        <v>보</v>
      </c>
      <c r="I52" s="16" t="n">
        <f aca="false">IF(B52=-1, 1, COUNTIF($A$2:$A$3000, H52))</f>
        <v>1</v>
      </c>
      <c r="J52" s="10" t="str">
        <f aca="false">_xlfn.CONCAT(A52, ",",H52,",",I52)</f>
        <v>겋,보,1</v>
      </c>
      <c r="K52" s="16" t="n">
        <f aca="false">IF(B52=-1,-1,VLOOKUP(C52,$T$1:$V$20,3))</f>
        <v>1</v>
      </c>
      <c r="L52" s="16" t="n">
        <f aca="false">IF(B52=-1,-1,VLOOKUP(D52,$Y$1:$AA$22,3))</f>
        <v>4</v>
      </c>
      <c r="N52" s="10" t="str">
        <f aca="false">_xlfn.UNICHAR(((C52*21)+G52)*28+44032)</f>
        <v>고</v>
      </c>
      <c r="O52" s="10" t="str">
        <f aca="false">_xlfn.UNICHAR(((F52*21)+D52)*28+44032)</f>
        <v>버</v>
      </c>
      <c r="P52" s="12" t="n">
        <f aca="false">COUNTIF($A$2:$A$3000, N52) + COUNTIF($A$2:$A$3000, O52)</f>
        <v>2</v>
      </c>
      <c r="Q52" s="16" t="str">
        <f aca="false">IF(OR(B52=-1,I52=0, P52&lt;&gt;2), "albhed_dummy", _xlfn.CONCAT("albhed ", RIGHT("  " &amp; K52,2),", ", RIGHT("  " &amp; L52,2), ", " ,"""",H52,""", ", """",N52,""", ","""",O52,""""," ; ", A52))</f>
        <v>albhed  1,  4, "보", "고", "버" ; 겋</v>
      </c>
      <c r="S52" s="18" t="s">
        <v>850</v>
      </c>
      <c r="T52" s="18" t="n">
        <v>27</v>
      </c>
      <c r="U52" s="18" t="n">
        <v>19</v>
      </c>
      <c r="V52" s="13"/>
      <c r="W52" s="13"/>
      <c r="X52" s="13"/>
    </row>
    <row r="53" customFormat="false" ht="17.9" hidden="false" customHeight="true" outlineLevel="0" collapsed="false">
      <c r="A53" s="16" t="s">
        <v>932</v>
      </c>
      <c r="B53" s="16" t="n">
        <f aca="false">IF(_xlfn.UNICODE(A53)&lt;44032,-1,_xlfn.UNICODE(A53)-44032)</f>
        <v>140</v>
      </c>
      <c r="C53" s="16" t="n">
        <f aca="false">IF(B53=-1,-1,INT((B53/28)/21))</f>
        <v>0</v>
      </c>
      <c r="D53" s="16" t="n">
        <f aca="false">IF(B53=-1, -1, MOD(INT(B53/28),21))</f>
        <v>5</v>
      </c>
      <c r="E53" s="16" t="n">
        <f aca="false">IF(B53=-1, -1, VLOOKUP(MOD(B53,28), $T$24:$U$52,2))</f>
        <v>0</v>
      </c>
      <c r="F53" s="16" t="n">
        <f aca="false">IF($B53=-1, -1, VLOOKUP(C53,$T$1:$V$20, 2))</f>
        <v>7</v>
      </c>
      <c r="G53" s="16" t="n">
        <f aca="false">IF($B53=-1, -1, VLOOKUP(D53,$Y$1:$Z$22,2))</f>
        <v>18</v>
      </c>
      <c r="H53" s="16" t="str">
        <f aca="false">_xlfn.UNICHAR(((F53*21)+G53)*28+44032)</f>
        <v>브</v>
      </c>
      <c r="I53" s="16" t="n">
        <f aca="false">IF(B53=-1, 1, COUNTIF($A$2:$A$3000, H53))</f>
        <v>1</v>
      </c>
      <c r="J53" s="10" t="str">
        <f aca="false">_xlfn.CONCAT(A53, ",",H53,",",I53)</f>
        <v>게,브,1</v>
      </c>
      <c r="K53" s="16" t="n">
        <f aca="false">IF(B53=-1,-1,VLOOKUP(C53,$T$1:$V$20,3))</f>
        <v>1</v>
      </c>
      <c r="L53" s="16" t="n">
        <f aca="false">IF(B53=-1,-1,VLOOKUP(D53,$Y$1:$AA$22,3))</f>
        <v>10</v>
      </c>
      <c r="N53" s="10" t="str">
        <f aca="false">_xlfn.UNICHAR(((C53*21)+G53)*28+44032)</f>
        <v>그</v>
      </c>
      <c r="O53" s="10" t="str">
        <f aca="false">_xlfn.UNICHAR(((F53*21)+D53)*28+44032)</f>
        <v>베</v>
      </c>
      <c r="P53" s="12" t="n">
        <f aca="false">COUNTIF($A$2:$A$3000, N53) + COUNTIF($A$2:$A$3000, O53)</f>
        <v>2</v>
      </c>
      <c r="Q53" s="16" t="str">
        <f aca="false">IF(OR(B53=-1,I53=0, P53&lt;&gt;2), "albhed_dummy", _xlfn.CONCAT("albhed ", RIGHT("  " &amp; K53,2),", ", RIGHT("  " &amp; L53,2), ", " ,"""",H53,""", ", """",N53,""", ","""",O53,""""," ; ", A53))</f>
        <v>albhed  1, 10, "브", "그", "베" ; 게</v>
      </c>
    </row>
    <row r="54" customFormat="false" ht="17.9" hidden="false" customHeight="true" outlineLevel="0" collapsed="false">
      <c r="A54" s="16" t="s">
        <v>933</v>
      </c>
      <c r="B54" s="16" t="n">
        <f aca="false">IF(_xlfn.UNICODE(A54)&lt;44032,-1,_xlfn.UNICODE(A54)-44032)</f>
        <v>144</v>
      </c>
      <c r="C54" s="16" t="n">
        <f aca="false">IF(B54=-1,-1,INT((B54/28)/21))</f>
        <v>0</v>
      </c>
      <c r="D54" s="16" t="n">
        <f aca="false">IF(B54=-1, -1, MOD(INT(B54/28),21))</f>
        <v>5</v>
      </c>
      <c r="E54" s="16" t="n">
        <f aca="false">IF(B54=-1, -1, VLOOKUP(MOD(B54,28), $T$24:$U$52,2))</f>
        <v>4</v>
      </c>
      <c r="F54" s="16" t="n">
        <f aca="false">IF($B54=-1, -1, VLOOKUP(C54,$T$1:$V$20, 2))</f>
        <v>7</v>
      </c>
      <c r="G54" s="16" t="n">
        <f aca="false">IF($B54=-1, -1, VLOOKUP(D54,$Y$1:$Z$22,2))</f>
        <v>18</v>
      </c>
      <c r="H54" s="16" t="str">
        <f aca="false">_xlfn.UNICHAR(((F54*21)+G54)*28+44032)</f>
        <v>브</v>
      </c>
      <c r="I54" s="16" t="n">
        <f aca="false">IF(B54=-1, 1, COUNTIF($A$2:$A$3000, H54))</f>
        <v>1</v>
      </c>
      <c r="J54" s="10" t="str">
        <f aca="false">_xlfn.CONCAT(A54, ",",H54,",",I54)</f>
        <v>겐,브,1</v>
      </c>
      <c r="K54" s="16" t="n">
        <f aca="false">IF(B54=-1,-1,VLOOKUP(C54,$T$1:$V$20,3))</f>
        <v>1</v>
      </c>
      <c r="L54" s="16" t="n">
        <f aca="false">IF(B54=-1,-1,VLOOKUP(D54,$Y$1:$AA$22,3))</f>
        <v>10</v>
      </c>
      <c r="N54" s="10" t="str">
        <f aca="false">_xlfn.UNICHAR(((C54*21)+G54)*28+44032)</f>
        <v>그</v>
      </c>
      <c r="O54" s="10" t="str">
        <f aca="false">_xlfn.UNICHAR(((F54*21)+D54)*28+44032)</f>
        <v>베</v>
      </c>
      <c r="P54" s="12" t="n">
        <f aca="false">COUNTIF($A$2:$A$3000, N54) + COUNTIF($A$2:$A$3000, O54)</f>
        <v>2</v>
      </c>
      <c r="Q54" s="16" t="str">
        <f aca="false">IF(OR(B54=-1,I54=0, P54&lt;&gt;2), "albhed_dummy", _xlfn.CONCAT("albhed ", RIGHT("  " &amp; K54,2),", ", RIGHT("  " &amp; L54,2), ", " ,"""",H54,""", ", """",N54,""", ","""",O54,""""," ; ", A54))</f>
        <v>albhed  1, 10, "브", "그", "베" ; 겐</v>
      </c>
    </row>
    <row r="55" customFormat="false" ht="17.9" hidden="false" customHeight="true" outlineLevel="0" collapsed="false">
      <c r="A55" s="16" t="s">
        <v>934</v>
      </c>
      <c r="B55" s="16" t="n">
        <f aca="false">IF(_xlfn.UNICODE(A55)&lt;44032,-1,_xlfn.UNICODE(A55)-44032)</f>
        <v>148</v>
      </c>
      <c r="C55" s="16" t="n">
        <f aca="false">IF(B55=-1,-1,INT((B55/28)/21))</f>
        <v>0</v>
      </c>
      <c r="D55" s="16" t="n">
        <f aca="false">IF(B55=-1, -1, MOD(INT(B55/28),21))</f>
        <v>5</v>
      </c>
      <c r="E55" s="16" t="n">
        <f aca="false">IF(B55=-1, -1, VLOOKUP(MOD(B55,28), $T$24:$U$52,2))</f>
        <v>8</v>
      </c>
      <c r="F55" s="16" t="n">
        <f aca="false">IF($B55=-1, -1, VLOOKUP(C55,$T$1:$V$20, 2))</f>
        <v>7</v>
      </c>
      <c r="G55" s="16" t="n">
        <f aca="false">IF($B55=-1, -1, VLOOKUP(D55,$Y$1:$Z$22,2))</f>
        <v>18</v>
      </c>
      <c r="H55" s="16" t="str">
        <f aca="false">_xlfn.UNICHAR(((F55*21)+G55)*28+44032)</f>
        <v>브</v>
      </c>
      <c r="I55" s="16" t="n">
        <f aca="false">IF(B55=-1, 1, COUNTIF($A$2:$A$3000, H55))</f>
        <v>1</v>
      </c>
      <c r="J55" s="10" t="str">
        <f aca="false">_xlfn.CONCAT(A55, ",",H55,",",I55)</f>
        <v>겔,브,1</v>
      </c>
      <c r="K55" s="16" t="n">
        <f aca="false">IF(B55=-1,-1,VLOOKUP(C55,$T$1:$V$20,3))</f>
        <v>1</v>
      </c>
      <c r="L55" s="16" t="n">
        <f aca="false">IF(B55=-1,-1,VLOOKUP(D55,$Y$1:$AA$22,3))</f>
        <v>10</v>
      </c>
      <c r="N55" s="10" t="str">
        <f aca="false">_xlfn.UNICHAR(((C55*21)+G55)*28+44032)</f>
        <v>그</v>
      </c>
      <c r="O55" s="10" t="str">
        <f aca="false">_xlfn.UNICHAR(((F55*21)+D55)*28+44032)</f>
        <v>베</v>
      </c>
      <c r="P55" s="12" t="n">
        <f aca="false">COUNTIF($A$2:$A$3000, N55) + COUNTIF($A$2:$A$3000, O55)</f>
        <v>2</v>
      </c>
      <c r="Q55" s="16" t="str">
        <f aca="false">IF(OR(B55=-1,I55=0, P55&lt;&gt;2), "albhed_dummy", _xlfn.CONCAT("albhed ", RIGHT("  " &amp; K55,2),", ", RIGHT("  " &amp; L55,2), ", " ,"""",H55,""", ", """",N55,""", ","""",O55,""""," ; ", A55))</f>
        <v>albhed  1, 10, "브", "그", "베" ; 겔</v>
      </c>
    </row>
    <row r="56" customFormat="false" ht="17.9" hidden="false" customHeight="true" outlineLevel="0" collapsed="false">
      <c r="A56" s="16" t="s">
        <v>935</v>
      </c>
      <c r="B56" s="16" t="n">
        <f aca="false">IF(_xlfn.UNICODE(A56)&lt;44032,-1,_xlfn.UNICODE(A56)-44032)</f>
        <v>156</v>
      </c>
      <c r="C56" s="16" t="n">
        <f aca="false">IF(B56=-1,-1,INT((B56/28)/21))</f>
        <v>0</v>
      </c>
      <c r="D56" s="16" t="n">
        <f aca="false">IF(B56=-1, -1, MOD(INT(B56/28),21))</f>
        <v>5</v>
      </c>
      <c r="E56" s="16" t="n">
        <f aca="false">IF(B56=-1, -1, VLOOKUP(MOD(B56,28), $T$24:$U$52,2))</f>
        <v>16</v>
      </c>
      <c r="F56" s="16" t="n">
        <f aca="false">IF($B56=-1, -1, VLOOKUP(C56,$T$1:$V$20, 2))</f>
        <v>7</v>
      </c>
      <c r="G56" s="16" t="n">
        <f aca="false">IF($B56=-1, -1, VLOOKUP(D56,$Y$1:$Z$22,2))</f>
        <v>18</v>
      </c>
      <c r="H56" s="16" t="str">
        <f aca="false">_xlfn.UNICHAR(((F56*21)+G56)*28+44032)</f>
        <v>브</v>
      </c>
      <c r="I56" s="16" t="n">
        <f aca="false">IF(B56=-1, 1, COUNTIF($A$2:$A$3000, H56))</f>
        <v>1</v>
      </c>
      <c r="J56" s="10" t="str">
        <f aca="false">_xlfn.CONCAT(A56, ",",H56,",",I56)</f>
        <v>겜,브,1</v>
      </c>
      <c r="K56" s="16" t="n">
        <f aca="false">IF(B56=-1,-1,VLOOKUP(C56,$T$1:$V$20,3))</f>
        <v>1</v>
      </c>
      <c r="L56" s="16" t="n">
        <f aca="false">IF(B56=-1,-1,VLOOKUP(D56,$Y$1:$AA$22,3))</f>
        <v>10</v>
      </c>
      <c r="N56" s="10" t="str">
        <f aca="false">_xlfn.UNICHAR(((C56*21)+G56)*28+44032)</f>
        <v>그</v>
      </c>
      <c r="O56" s="10" t="str">
        <f aca="false">_xlfn.UNICHAR(((F56*21)+D56)*28+44032)</f>
        <v>베</v>
      </c>
      <c r="P56" s="12" t="n">
        <f aca="false">COUNTIF($A$2:$A$3000, N56) + COUNTIF($A$2:$A$3000, O56)</f>
        <v>2</v>
      </c>
      <c r="Q56" s="16" t="str">
        <f aca="false">IF(OR(B56=-1,I56=0, P56&lt;&gt;2), "albhed_dummy", _xlfn.CONCAT("albhed ", RIGHT("  " &amp; K56,2),", ", RIGHT("  " &amp; L56,2), ", " ,"""",H56,""", ", """",N56,""", ","""",O56,""""," ; ", A56))</f>
        <v>albhed  1, 10, "브", "그", "베" ; 겜</v>
      </c>
    </row>
    <row r="57" customFormat="false" ht="17.9" hidden="false" customHeight="true" outlineLevel="0" collapsed="false">
      <c r="A57" s="16" t="s">
        <v>936</v>
      </c>
      <c r="B57" s="16" t="n">
        <f aca="false">IF(_xlfn.UNICODE(A57)&lt;44032,-1,_xlfn.UNICODE(A57)-44032)</f>
        <v>157</v>
      </c>
      <c r="C57" s="16" t="n">
        <f aca="false">IF(B57=-1,-1,INT((B57/28)/21))</f>
        <v>0</v>
      </c>
      <c r="D57" s="16" t="n">
        <f aca="false">IF(B57=-1, -1, MOD(INT(B57/28),21))</f>
        <v>5</v>
      </c>
      <c r="E57" s="16" t="n">
        <f aca="false">IF(B57=-1, -1, VLOOKUP(MOD(B57,28), $T$24:$U$52,2))</f>
        <v>17</v>
      </c>
      <c r="F57" s="16" t="n">
        <f aca="false">IF($B57=-1, -1, VLOOKUP(C57,$T$1:$V$20, 2))</f>
        <v>7</v>
      </c>
      <c r="G57" s="16" t="n">
        <f aca="false">IF($B57=-1, -1, VLOOKUP(D57,$Y$1:$Z$22,2))</f>
        <v>18</v>
      </c>
      <c r="H57" s="16" t="str">
        <f aca="false">_xlfn.UNICHAR(((F57*21)+G57)*28+44032)</f>
        <v>브</v>
      </c>
      <c r="I57" s="16" t="n">
        <f aca="false">IF(B57=-1, 1, COUNTIF($A$2:$A$3000, H57))</f>
        <v>1</v>
      </c>
      <c r="J57" s="10" t="str">
        <f aca="false">_xlfn.CONCAT(A57, ",",H57,",",I57)</f>
        <v>겝,브,1</v>
      </c>
      <c r="K57" s="16" t="n">
        <f aca="false">IF(B57=-1,-1,VLOOKUP(C57,$T$1:$V$20,3))</f>
        <v>1</v>
      </c>
      <c r="L57" s="16" t="n">
        <f aca="false">IF(B57=-1,-1,VLOOKUP(D57,$Y$1:$AA$22,3))</f>
        <v>10</v>
      </c>
      <c r="N57" s="10" t="str">
        <f aca="false">_xlfn.UNICHAR(((C57*21)+G57)*28+44032)</f>
        <v>그</v>
      </c>
      <c r="O57" s="10" t="str">
        <f aca="false">_xlfn.UNICHAR(((F57*21)+D57)*28+44032)</f>
        <v>베</v>
      </c>
      <c r="P57" s="12" t="n">
        <f aca="false">COUNTIF($A$2:$A$3000, N57) + COUNTIF($A$2:$A$3000, O57)</f>
        <v>2</v>
      </c>
      <c r="Q57" s="16" t="str">
        <f aca="false">IF(OR(B57=-1,I57=0, P57&lt;&gt;2), "albhed_dummy", _xlfn.CONCAT("albhed ", RIGHT("  " &amp; K57,2),", ", RIGHT("  " &amp; L57,2), ", " ,"""",H57,""", ", """",N57,""", ","""",O57,""""," ; ", A57))</f>
        <v>albhed  1, 10, "브", "그", "베" ; 겝</v>
      </c>
    </row>
    <row r="58" customFormat="false" ht="17.9" hidden="false" customHeight="true" outlineLevel="0" collapsed="false">
      <c r="A58" s="16" t="s">
        <v>937</v>
      </c>
      <c r="B58" s="16" t="n">
        <f aca="false">IF(_xlfn.UNICODE(A58)&lt;44032,-1,_xlfn.UNICODE(A58)-44032)</f>
        <v>159</v>
      </c>
      <c r="C58" s="16" t="n">
        <f aca="false">IF(B58=-1,-1,INT((B58/28)/21))</f>
        <v>0</v>
      </c>
      <c r="D58" s="16" t="n">
        <f aca="false">IF(B58=-1, -1, MOD(INT(B58/28),21))</f>
        <v>5</v>
      </c>
      <c r="E58" s="16" t="n">
        <f aca="false">IF(B58=-1, -1, VLOOKUP(MOD(B58,28), $T$24:$U$52,2))</f>
        <v>19</v>
      </c>
      <c r="F58" s="16" t="n">
        <f aca="false">IF($B58=-1, -1, VLOOKUP(C58,$T$1:$V$20, 2))</f>
        <v>7</v>
      </c>
      <c r="G58" s="16" t="n">
        <f aca="false">IF($B58=-1, -1, VLOOKUP(D58,$Y$1:$Z$22,2))</f>
        <v>18</v>
      </c>
      <c r="H58" s="16" t="str">
        <f aca="false">_xlfn.UNICHAR(((F58*21)+G58)*28+44032)</f>
        <v>브</v>
      </c>
      <c r="I58" s="16" t="n">
        <f aca="false">IF(B58=-1, 1, COUNTIF($A$2:$A$3000, H58))</f>
        <v>1</v>
      </c>
      <c r="J58" s="10" t="str">
        <f aca="false">_xlfn.CONCAT(A58, ",",H58,",",I58)</f>
        <v>겟,브,1</v>
      </c>
      <c r="K58" s="16" t="n">
        <f aca="false">IF(B58=-1,-1,VLOOKUP(C58,$T$1:$V$20,3))</f>
        <v>1</v>
      </c>
      <c r="L58" s="16" t="n">
        <f aca="false">IF(B58=-1,-1,VLOOKUP(D58,$Y$1:$AA$22,3))</f>
        <v>10</v>
      </c>
      <c r="N58" s="10" t="str">
        <f aca="false">_xlfn.UNICHAR(((C58*21)+G58)*28+44032)</f>
        <v>그</v>
      </c>
      <c r="O58" s="10" t="str">
        <f aca="false">_xlfn.UNICHAR(((F58*21)+D58)*28+44032)</f>
        <v>베</v>
      </c>
      <c r="P58" s="12" t="n">
        <f aca="false">COUNTIF($A$2:$A$3000, N58) + COUNTIF($A$2:$A$3000, O58)</f>
        <v>2</v>
      </c>
      <c r="Q58" s="16" t="str">
        <f aca="false">IF(OR(B58=-1,I58=0, P58&lt;&gt;2), "albhed_dummy", _xlfn.CONCAT("albhed ", RIGHT("  " &amp; K58,2),", ", RIGHT("  " &amp; L58,2), ", " ,"""",H58,""", ", """",N58,""", ","""",O58,""""," ; ", A58))</f>
        <v>albhed  1, 10, "브", "그", "베" ; 겟</v>
      </c>
    </row>
    <row r="59" customFormat="false" ht="17.9" hidden="false" customHeight="true" outlineLevel="0" collapsed="false">
      <c r="A59" s="16" t="s">
        <v>938</v>
      </c>
      <c r="B59" s="16" t="n">
        <f aca="false">IF(_xlfn.UNICODE(A59)&lt;44032,-1,_xlfn.UNICODE(A59)-44032)</f>
        <v>160</v>
      </c>
      <c r="C59" s="16" t="n">
        <f aca="false">IF(B59=-1,-1,INT((B59/28)/21))</f>
        <v>0</v>
      </c>
      <c r="D59" s="16" t="n">
        <f aca="false">IF(B59=-1, -1, MOD(INT(B59/28),21))</f>
        <v>5</v>
      </c>
      <c r="E59" s="16" t="n">
        <f aca="false">IF(B59=-1, -1, VLOOKUP(MOD(B59,28), $T$24:$U$52,2))</f>
        <v>19</v>
      </c>
      <c r="F59" s="16" t="n">
        <f aca="false">IF($B59=-1, -1, VLOOKUP(C59,$T$1:$V$20, 2))</f>
        <v>7</v>
      </c>
      <c r="G59" s="16" t="n">
        <f aca="false">IF($B59=-1, -1, VLOOKUP(D59,$Y$1:$Z$22,2))</f>
        <v>18</v>
      </c>
      <c r="H59" s="16" t="str">
        <f aca="false">_xlfn.UNICHAR(((F59*21)+G59)*28+44032)</f>
        <v>브</v>
      </c>
      <c r="I59" s="16" t="n">
        <f aca="false">IF(B59=-1, 1, COUNTIF($A$2:$A$3000, H59))</f>
        <v>1</v>
      </c>
      <c r="J59" s="10" t="str">
        <f aca="false">_xlfn.CONCAT(A59, ",",H59,",",I59)</f>
        <v>겠,브,1</v>
      </c>
      <c r="K59" s="16" t="n">
        <f aca="false">IF(B59=-1,-1,VLOOKUP(C59,$T$1:$V$20,3))</f>
        <v>1</v>
      </c>
      <c r="L59" s="16" t="n">
        <f aca="false">IF(B59=-1,-1,VLOOKUP(D59,$Y$1:$AA$22,3))</f>
        <v>10</v>
      </c>
      <c r="N59" s="10" t="str">
        <f aca="false">_xlfn.UNICHAR(((C59*21)+G59)*28+44032)</f>
        <v>그</v>
      </c>
      <c r="O59" s="10" t="str">
        <f aca="false">_xlfn.UNICHAR(((F59*21)+D59)*28+44032)</f>
        <v>베</v>
      </c>
      <c r="P59" s="12" t="n">
        <f aca="false">COUNTIF($A$2:$A$3000, N59) + COUNTIF($A$2:$A$3000, O59)</f>
        <v>2</v>
      </c>
      <c r="Q59" s="16" t="str">
        <f aca="false">IF(OR(B59=-1,I59=0, P59&lt;&gt;2), "albhed_dummy", _xlfn.CONCAT("albhed ", RIGHT("  " &amp; K59,2),", ", RIGHT("  " &amp; L59,2), ", " ,"""",H59,""", ", """",N59,""", ","""",O59,""""," ; ", A59))</f>
        <v>albhed  1, 10, "브", "그", "베" ; 겠</v>
      </c>
    </row>
    <row r="60" customFormat="false" ht="17.9" hidden="false" customHeight="true" outlineLevel="0" collapsed="false">
      <c r="A60" s="16" t="s">
        <v>939</v>
      </c>
      <c r="B60" s="16" t="n">
        <f aca="false">IF(_xlfn.UNICODE(A60)&lt;44032,-1,_xlfn.UNICODE(A60)-44032)</f>
        <v>161</v>
      </c>
      <c r="C60" s="16" t="n">
        <f aca="false">IF(B60=-1,-1,INT((B60/28)/21))</f>
        <v>0</v>
      </c>
      <c r="D60" s="16" t="n">
        <f aca="false">IF(B60=-1, -1, MOD(INT(B60/28),21))</f>
        <v>5</v>
      </c>
      <c r="E60" s="16" t="n">
        <f aca="false">IF(B60=-1, -1, VLOOKUP(MOD(B60,28), $T$24:$U$52,2))</f>
        <v>21</v>
      </c>
      <c r="F60" s="16" t="n">
        <f aca="false">IF($B60=-1, -1, VLOOKUP(C60,$T$1:$V$20, 2))</f>
        <v>7</v>
      </c>
      <c r="G60" s="16" t="n">
        <f aca="false">IF($B60=-1, -1, VLOOKUP(D60,$Y$1:$Z$22,2))</f>
        <v>18</v>
      </c>
      <c r="H60" s="16" t="str">
        <f aca="false">_xlfn.UNICHAR(((F60*21)+G60)*28+44032)</f>
        <v>브</v>
      </c>
      <c r="I60" s="16" t="n">
        <f aca="false">IF(B60=-1, 1, COUNTIF($A$2:$A$3000, H60))</f>
        <v>1</v>
      </c>
      <c r="J60" s="10" t="str">
        <f aca="false">_xlfn.CONCAT(A60, ",",H60,",",I60)</f>
        <v>겡,브,1</v>
      </c>
      <c r="K60" s="16" t="n">
        <f aca="false">IF(B60=-1,-1,VLOOKUP(C60,$T$1:$V$20,3))</f>
        <v>1</v>
      </c>
      <c r="L60" s="16" t="n">
        <f aca="false">IF(B60=-1,-1,VLOOKUP(D60,$Y$1:$AA$22,3))</f>
        <v>10</v>
      </c>
      <c r="N60" s="10" t="str">
        <f aca="false">_xlfn.UNICHAR(((C60*21)+G60)*28+44032)</f>
        <v>그</v>
      </c>
      <c r="O60" s="10" t="str">
        <f aca="false">_xlfn.UNICHAR(((F60*21)+D60)*28+44032)</f>
        <v>베</v>
      </c>
      <c r="P60" s="12" t="n">
        <f aca="false">COUNTIF($A$2:$A$3000, N60) + COUNTIF($A$2:$A$3000, O60)</f>
        <v>2</v>
      </c>
      <c r="Q60" s="16" t="str">
        <f aca="false">IF(OR(B60=-1,I60=0, P60&lt;&gt;2), "albhed_dummy", _xlfn.CONCAT("albhed ", RIGHT("  " &amp; K60,2),", ", RIGHT("  " &amp; L60,2), ", " ,"""",H60,""", ", """",N60,""", ","""",O60,""""," ; ", A60))</f>
        <v>albhed  1, 10, "브", "그", "베" ; 겡</v>
      </c>
    </row>
    <row r="61" customFormat="false" ht="17.9" hidden="false" customHeight="true" outlineLevel="0" collapsed="false">
      <c r="A61" s="16" t="s">
        <v>940</v>
      </c>
      <c r="B61" s="16" t="n">
        <f aca="false">IF(_xlfn.UNICODE(A61)&lt;44032,-1,_xlfn.UNICODE(A61)-44032)</f>
        <v>168</v>
      </c>
      <c r="C61" s="16" t="n">
        <f aca="false">IF(B61=-1,-1,INT((B61/28)/21))</f>
        <v>0</v>
      </c>
      <c r="D61" s="16" t="n">
        <f aca="false">IF(B61=-1, -1, MOD(INT(B61/28),21))</f>
        <v>6</v>
      </c>
      <c r="E61" s="16" t="n">
        <f aca="false">IF(B61=-1, -1, VLOOKUP(MOD(B61,28), $T$24:$U$52,2))</f>
        <v>0</v>
      </c>
      <c r="F61" s="16" t="n">
        <f aca="false">IF($B61=-1, -1, VLOOKUP(C61,$T$1:$V$20, 2))</f>
        <v>7</v>
      </c>
      <c r="G61" s="16" t="n">
        <f aca="false">IF($B61=-1, -1, VLOOKUP(D61,$Y$1:$Z$22,2))</f>
        <v>12</v>
      </c>
      <c r="H61" s="16" t="str">
        <f aca="false">_xlfn.UNICHAR(((F61*21)+G61)*28+44032)</f>
        <v>뵤</v>
      </c>
      <c r="I61" s="16" t="n">
        <f aca="false">IF(B61=-1, 1, COUNTIF($A$2:$A$3000, H61))</f>
        <v>1</v>
      </c>
      <c r="J61" s="10" t="str">
        <f aca="false">_xlfn.CONCAT(A61, ",",H61,",",I61)</f>
        <v>겨,뵤,1</v>
      </c>
      <c r="K61" s="16" t="n">
        <f aca="false">IF(B61=-1,-1,VLOOKUP(C61,$T$1:$V$20,3))</f>
        <v>1</v>
      </c>
      <c r="L61" s="16" t="n">
        <f aca="false">IF(B61=-1,-1,VLOOKUP(D61,$Y$1:$AA$22,3))</f>
        <v>4</v>
      </c>
      <c r="N61" s="10" t="str">
        <f aca="false">_xlfn.UNICHAR(((C61*21)+G61)*28+44032)</f>
        <v>교</v>
      </c>
      <c r="O61" s="10" t="str">
        <f aca="false">_xlfn.UNICHAR(((F61*21)+D61)*28+44032)</f>
        <v>벼</v>
      </c>
      <c r="P61" s="12" t="n">
        <f aca="false">COUNTIF($A$2:$A$3000, N61) + COUNTIF($A$2:$A$3000, O61)</f>
        <v>2</v>
      </c>
      <c r="Q61" s="16" t="str">
        <f aca="false">IF(OR(B61=-1,I61=0, P61&lt;&gt;2), "albhed_dummy", _xlfn.CONCAT("albhed ", RIGHT("  " &amp; K61,2),", ", RIGHT("  " &amp; L61,2), ", " ,"""",H61,""", ", """",N61,""", ","""",O61,""""," ; ", A61))</f>
        <v>albhed  1,  4, "뵤", "교", "벼" ; 겨</v>
      </c>
    </row>
    <row r="62" customFormat="false" ht="17.9" hidden="false" customHeight="true" outlineLevel="0" collapsed="false">
      <c r="A62" s="16" t="s">
        <v>941</v>
      </c>
      <c r="B62" s="16" t="n">
        <f aca="false">IF(_xlfn.UNICODE(A62)&lt;44032,-1,_xlfn.UNICODE(A62)-44032)</f>
        <v>169</v>
      </c>
      <c r="C62" s="16" t="n">
        <f aca="false">IF(B62=-1,-1,INT((B62/28)/21))</f>
        <v>0</v>
      </c>
      <c r="D62" s="16" t="n">
        <f aca="false">IF(B62=-1, -1, MOD(INT(B62/28),21))</f>
        <v>6</v>
      </c>
      <c r="E62" s="16" t="n">
        <f aca="false">IF(B62=-1, -1, VLOOKUP(MOD(B62,28), $T$24:$U$52,2))</f>
        <v>1</v>
      </c>
      <c r="F62" s="16" t="n">
        <f aca="false">IF($B62=-1, -1, VLOOKUP(C62,$T$1:$V$20, 2))</f>
        <v>7</v>
      </c>
      <c r="G62" s="16" t="n">
        <f aca="false">IF($B62=-1, -1, VLOOKUP(D62,$Y$1:$Z$22,2))</f>
        <v>12</v>
      </c>
      <c r="H62" s="16" t="str">
        <f aca="false">_xlfn.UNICHAR(((F62*21)+G62)*28+44032)</f>
        <v>뵤</v>
      </c>
      <c r="I62" s="16" t="n">
        <f aca="false">IF(B62=-1, 1, COUNTIF($A$2:$A$3000, H62))</f>
        <v>1</v>
      </c>
      <c r="J62" s="10" t="str">
        <f aca="false">_xlfn.CONCAT(A62, ",",H62,",",I62)</f>
        <v>격,뵤,1</v>
      </c>
      <c r="K62" s="16" t="n">
        <f aca="false">IF(B62=-1,-1,VLOOKUP(C62,$T$1:$V$20,3))</f>
        <v>1</v>
      </c>
      <c r="L62" s="16" t="n">
        <f aca="false">IF(B62=-1,-1,VLOOKUP(D62,$Y$1:$AA$22,3))</f>
        <v>4</v>
      </c>
      <c r="N62" s="10" t="str">
        <f aca="false">_xlfn.UNICHAR(((C62*21)+G62)*28+44032)</f>
        <v>교</v>
      </c>
      <c r="O62" s="10" t="str">
        <f aca="false">_xlfn.UNICHAR(((F62*21)+D62)*28+44032)</f>
        <v>벼</v>
      </c>
      <c r="P62" s="12" t="n">
        <f aca="false">COUNTIF($A$2:$A$3000, N62) + COUNTIF($A$2:$A$3000, O62)</f>
        <v>2</v>
      </c>
      <c r="Q62" s="16" t="str">
        <f aca="false">IF(OR(B62=-1,I62=0, P62&lt;&gt;2), "albhed_dummy", _xlfn.CONCAT("albhed ", RIGHT("  " &amp; K62,2),", ", RIGHT("  " &amp; L62,2), ", " ,"""",H62,""", ", """",N62,""", ","""",O62,""""," ; ", A62))</f>
        <v>albhed  1,  4, "뵤", "교", "벼" ; 격</v>
      </c>
    </row>
    <row r="63" customFormat="false" ht="17.9" hidden="false" customHeight="true" outlineLevel="0" collapsed="false">
      <c r="A63" s="16" t="s">
        <v>942</v>
      </c>
      <c r="B63" s="16" t="n">
        <f aca="false">IF(_xlfn.UNICODE(A63)&lt;44032,-1,_xlfn.UNICODE(A63)-44032)</f>
        <v>170</v>
      </c>
      <c r="C63" s="16" t="n">
        <f aca="false">IF(B63=-1,-1,INT((B63/28)/21))</f>
        <v>0</v>
      </c>
      <c r="D63" s="16" t="n">
        <f aca="false">IF(B63=-1, -1, MOD(INT(B63/28),21))</f>
        <v>6</v>
      </c>
      <c r="E63" s="16" t="n">
        <f aca="false">IF(B63=-1, -1, VLOOKUP(MOD(B63,28), $T$24:$U$52,2))</f>
        <v>1</v>
      </c>
      <c r="F63" s="16" t="n">
        <f aca="false">IF($B63=-1, -1, VLOOKUP(C63,$T$1:$V$20, 2))</f>
        <v>7</v>
      </c>
      <c r="G63" s="16" t="n">
        <f aca="false">IF($B63=-1, -1, VLOOKUP(D63,$Y$1:$Z$22,2))</f>
        <v>12</v>
      </c>
      <c r="H63" s="16" t="str">
        <f aca="false">_xlfn.UNICHAR(((F63*21)+G63)*28+44032)</f>
        <v>뵤</v>
      </c>
      <c r="I63" s="16" t="n">
        <f aca="false">IF(B63=-1, 1, COUNTIF($A$2:$A$3000, H63))</f>
        <v>1</v>
      </c>
      <c r="J63" s="10" t="str">
        <f aca="false">_xlfn.CONCAT(A63, ",",H63,",",I63)</f>
        <v>겪,뵤,1</v>
      </c>
      <c r="K63" s="16" t="n">
        <f aca="false">IF(B63=-1,-1,VLOOKUP(C63,$T$1:$V$20,3))</f>
        <v>1</v>
      </c>
      <c r="L63" s="16" t="n">
        <f aca="false">IF(B63=-1,-1,VLOOKUP(D63,$Y$1:$AA$22,3))</f>
        <v>4</v>
      </c>
      <c r="N63" s="10" t="str">
        <f aca="false">_xlfn.UNICHAR(((C63*21)+G63)*28+44032)</f>
        <v>교</v>
      </c>
      <c r="O63" s="10" t="str">
        <f aca="false">_xlfn.UNICHAR(((F63*21)+D63)*28+44032)</f>
        <v>벼</v>
      </c>
      <c r="P63" s="12" t="n">
        <f aca="false">COUNTIF($A$2:$A$3000, N63) + COUNTIF($A$2:$A$3000, O63)</f>
        <v>2</v>
      </c>
      <c r="Q63" s="16" t="str">
        <f aca="false">IF(OR(B63=-1,I63=0, P63&lt;&gt;2), "albhed_dummy", _xlfn.CONCAT("albhed ", RIGHT("  " &amp; K63,2),", ", RIGHT("  " &amp; L63,2), ", " ,"""",H63,""", ", """",N63,""", ","""",O63,""""," ; ", A63))</f>
        <v>albhed  1,  4, "뵤", "교", "벼" ; 겪</v>
      </c>
    </row>
    <row r="64" customFormat="false" ht="17.9" hidden="false" customHeight="true" outlineLevel="0" collapsed="false">
      <c r="A64" s="16" t="s">
        <v>943</v>
      </c>
      <c r="B64" s="16" t="n">
        <f aca="false">IF(_xlfn.UNICODE(A64)&lt;44032,-1,_xlfn.UNICODE(A64)-44032)</f>
        <v>172</v>
      </c>
      <c r="C64" s="16" t="n">
        <f aca="false">IF(B64=-1,-1,INT((B64/28)/21))</f>
        <v>0</v>
      </c>
      <c r="D64" s="16" t="n">
        <f aca="false">IF(B64=-1, -1, MOD(INT(B64/28),21))</f>
        <v>6</v>
      </c>
      <c r="E64" s="16" t="n">
        <f aca="false">IF(B64=-1, -1, VLOOKUP(MOD(B64,28), $T$24:$U$52,2))</f>
        <v>4</v>
      </c>
      <c r="F64" s="16" t="n">
        <f aca="false">IF($B64=-1, -1, VLOOKUP(C64,$T$1:$V$20, 2))</f>
        <v>7</v>
      </c>
      <c r="G64" s="16" t="n">
        <f aca="false">IF($B64=-1, -1, VLOOKUP(D64,$Y$1:$Z$22,2))</f>
        <v>12</v>
      </c>
      <c r="H64" s="16" t="str">
        <f aca="false">_xlfn.UNICHAR(((F64*21)+G64)*28+44032)</f>
        <v>뵤</v>
      </c>
      <c r="I64" s="16" t="n">
        <f aca="false">IF(B64=-1, 1, COUNTIF($A$2:$A$3000, H64))</f>
        <v>1</v>
      </c>
      <c r="J64" s="10" t="str">
        <f aca="false">_xlfn.CONCAT(A64, ",",H64,",",I64)</f>
        <v>견,뵤,1</v>
      </c>
      <c r="K64" s="16" t="n">
        <f aca="false">IF(B64=-1,-1,VLOOKUP(C64,$T$1:$V$20,3))</f>
        <v>1</v>
      </c>
      <c r="L64" s="16" t="n">
        <f aca="false">IF(B64=-1,-1,VLOOKUP(D64,$Y$1:$AA$22,3))</f>
        <v>4</v>
      </c>
      <c r="N64" s="10" t="str">
        <f aca="false">_xlfn.UNICHAR(((C64*21)+G64)*28+44032)</f>
        <v>교</v>
      </c>
      <c r="O64" s="10" t="str">
        <f aca="false">_xlfn.UNICHAR(((F64*21)+D64)*28+44032)</f>
        <v>벼</v>
      </c>
      <c r="P64" s="12" t="n">
        <f aca="false">COUNTIF($A$2:$A$3000, N64) + COUNTIF($A$2:$A$3000, O64)</f>
        <v>2</v>
      </c>
      <c r="Q64" s="16" t="str">
        <f aca="false">IF(OR(B64=-1,I64=0, P64&lt;&gt;2), "albhed_dummy", _xlfn.CONCAT("albhed ", RIGHT("  " &amp; K64,2),", ", RIGHT("  " &amp; L64,2), ", " ,"""",H64,""", ", """",N64,""", ","""",O64,""""," ; ", A64))</f>
        <v>albhed  1,  4, "뵤", "교", "벼" ; 견</v>
      </c>
    </row>
    <row r="65" customFormat="false" ht="17.9" hidden="false" customHeight="true" outlineLevel="0" collapsed="false">
      <c r="A65" s="16" t="s">
        <v>944</v>
      </c>
      <c r="B65" s="16" t="n">
        <f aca="false">IF(_xlfn.UNICODE(A65)&lt;44032,-1,_xlfn.UNICODE(A65)-44032)</f>
        <v>175</v>
      </c>
      <c r="C65" s="16" t="n">
        <f aca="false">IF(B65=-1,-1,INT((B65/28)/21))</f>
        <v>0</v>
      </c>
      <c r="D65" s="16" t="n">
        <f aca="false">IF(B65=-1, -1, MOD(INT(B65/28),21))</f>
        <v>6</v>
      </c>
      <c r="E65" s="16" t="n">
        <f aca="false">IF(B65=-1, -1, VLOOKUP(MOD(B65,28), $T$24:$U$52,2))</f>
        <v>19</v>
      </c>
      <c r="F65" s="16" t="n">
        <f aca="false">IF($B65=-1, -1, VLOOKUP(C65,$T$1:$V$20, 2))</f>
        <v>7</v>
      </c>
      <c r="G65" s="16" t="n">
        <f aca="false">IF($B65=-1, -1, VLOOKUP(D65,$Y$1:$Z$22,2))</f>
        <v>12</v>
      </c>
      <c r="H65" s="16" t="str">
        <f aca="false">_xlfn.UNICHAR(((F65*21)+G65)*28+44032)</f>
        <v>뵤</v>
      </c>
      <c r="I65" s="16" t="n">
        <f aca="false">IF(B65=-1, 1, COUNTIF($A$2:$A$3000, H65))</f>
        <v>1</v>
      </c>
      <c r="J65" s="10" t="str">
        <f aca="false">_xlfn.CONCAT(A65, ",",H65,",",I65)</f>
        <v>겯,뵤,1</v>
      </c>
      <c r="K65" s="16" t="n">
        <f aca="false">IF(B65=-1,-1,VLOOKUP(C65,$T$1:$V$20,3))</f>
        <v>1</v>
      </c>
      <c r="L65" s="16" t="n">
        <f aca="false">IF(B65=-1,-1,VLOOKUP(D65,$Y$1:$AA$22,3))</f>
        <v>4</v>
      </c>
      <c r="N65" s="10" t="str">
        <f aca="false">_xlfn.UNICHAR(((C65*21)+G65)*28+44032)</f>
        <v>교</v>
      </c>
      <c r="O65" s="10" t="str">
        <f aca="false">_xlfn.UNICHAR(((F65*21)+D65)*28+44032)</f>
        <v>벼</v>
      </c>
      <c r="P65" s="12" t="n">
        <f aca="false">COUNTIF($A$2:$A$3000, N65) + COUNTIF($A$2:$A$3000, O65)</f>
        <v>2</v>
      </c>
      <c r="Q65" s="16" t="str">
        <f aca="false">IF(OR(B65=-1,I65=0, P65&lt;&gt;2), "albhed_dummy", _xlfn.CONCAT("albhed ", RIGHT("  " &amp; K65,2),", ", RIGHT("  " &amp; L65,2), ", " ,"""",H65,""", ", """",N65,""", ","""",O65,""""," ; ", A65))</f>
        <v>albhed  1,  4, "뵤", "교", "벼" ; 겯</v>
      </c>
    </row>
    <row r="66" customFormat="false" ht="17.9" hidden="false" customHeight="true" outlineLevel="0" collapsed="false">
      <c r="A66" s="16" t="s">
        <v>945</v>
      </c>
      <c r="B66" s="16" t="n">
        <f aca="false">IF(_xlfn.UNICODE(A66)&lt;44032,-1,_xlfn.UNICODE(A66)-44032)</f>
        <v>176</v>
      </c>
      <c r="C66" s="16" t="n">
        <f aca="false">IF(B66=-1,-1,INT((B66/28)/21))</f>
        <v>0</v>
      </c>
      <c r="D66" s="16" t="n">
        <f aca="false">IF(B66=-1, -1, MOD(INT(B66/28),21))</f>
        <v>6</v>
      </c>
      <c r="E66" s="16" t="n">
        <f aca="false">IF(B66=-1, -1, VLOOKUP(MOD(B66,28), $T$24:$U$52,2))</f>
        <v>8</v>
      </c>
      <c r="F66" s="16" t="n">
        <f aca="false">IF($B66=-1, -1, VLOOKUP(C66,$T$1:$V$20, 2))</f>
        <v>7</v>
      </c>
      <c r="G66" s="16" t="n">
        <f aca="false">IF($B66=-1, -1, VLOOKUP(D66,$Y$1:$Z$22,2))</f>
        <v>12</v>
      </c>
      <c r="H66" s="16" t="str">
        <f aca="false">_xlfn.UNICHAR(((F66*21)+G66)*28+44032)</f>
        <v>뵤</v>
      </c>
      <c r="I66" s="16" t="n">
        <f aca="false">IF(B66=-1, 1, COUNTIF($A$2:$A$3000, H66))</f>
        <v>1</v>
      </c>
      <c r="J66" s="10" t="str">
        <f aca="false">_xlfn.CONCAT(A66, ",",H66,",",I66)</f>
        <v>결,뵤,1</v>
      </c>
      <c r="K66" s="16" t="n">
        <f aca="false">IF(B66=-1,-1,VLOOKUP(C66,$T$1:$V$20,3))</f>
        <v>1</v>
      </c>
      <c r="L66" s="16" t="n">
        <f aca="false">IF(B66=-1,-1,VLOOKUP(D66,$Y$1:$AA$22,3))</f>
        <v>4</v>
      </c>
      <c r="N66" s="10" t="str">
        <f aca="false">_xlfn.UNICHAR(((C66*21)+G66)*28+44032)</f>
        <v>교</v>
      </c>
      <c r="O66" s="10" t="str">
        <f aca="false">_xlfn.UNICHAR(((F66*21)+D66)*28+44032)</f>
        <v>벼</v>
      </c>
      <c r="P66" s="12" t="n">
        <f aca="false">COUNTIF($A$2:$A$3000, N66) + COUNTIF($A$2:$A$3000, O66)</f>
        <v>2</v>
      </c>
      <c r="Q66" s="16" t="str">
        <f aca="false">IF(OR(B66=-1,I66=0, P66&lt;&gt;2), "albhed_dummy", _xlfn.CONCAT("albhed ", RIGHT("  " &amp; K66,2),", ", RIGHT("  " &amp; L66,2), ", " ,"""",H66,""", ", """",N66,""", ","""",O66,""""," ; ", A66))</f>
        <v>albhed  1,  4, "뵤", "교", "벼" ; 결</v>
      </c>
    </row>
    <row r="67" customFormat="false" ht="17.9" hidden="false" customHeight="true" outlineLevel="0" collapsed="false">
      <c r="A67" s="16" t="s">
        <v>946</v>
      </c>
      <c r="B67" s="16" t="n">
        <f aca="false">IF(_xlfn.UNICODE(A67)&lt;44032,-1,_xlfn.UNICODE(A67)-44032)</f>
        <v>184</v>
      </c>
      <c r="C67" s="16" t="n">
        <f aca="false">IF(B67=-1,-1,INT((B67/28)/21))</f>
        <v>0</v>
      </c>
      <c r="D67" s="16" t="n">
        <f aca="false">IF(B67=-1, -1, MOD(INT(B67/28),21))</f>
        <v>6</v>
      </c>
      <c r="E67" s="16" t="n">
        <f aca="false">IF(B67=-1, -1, VLOOKUP(MOD(B67,28), $T$24:$U$52,2))</f>
        <v>16</v>
      </c>
      <c r="F67" s="16" t="n">
        <f aca="false">IF($B67=-1, -1, VLOOKUP(C67,$T$1:$V$20, 2))</f>
        <v>7</v>
      </c>
      <c r="G67" s="16" t="n">
        <f aca="false">IF($B67=-1, -1, VLOOKUP(D67,$Y$1:$Z$22,2))</f>
        <v>12</v>
      </c>
      <c r="H67" s="16" t="str">
        <f aca="false">_xlfn.UNICHAR(((F67*21)+G67)*28+44032)</f>
        <v>뵤</v>
      </c>
      <c r="I67" s="16" t="n">
        <f aca="false">IF(B67=-1, 1, COUNTIF($A$2:$A$3000, H67))</f>
        <v>1</v>
      </c>
      <c r="J67" s="10" t="str">
        <f aca="false">_xlfn.CONCAT(A67, ",",H67,",",I67)</f>
        <v>겸,뵤,1</v>
      </c>
      <c r="K67" s="16" t="n">
        <f aca="false">IF(B67=-1,-1,VLOOKUP(C67,$T$1:$V$20,3))</f>
        <v>1</v>
      </c>
      <c r="L67" s="16" t="n">
        <f aca="false">IF(B67=-1,-1,VLOOKUP(D67,$Y$1:$AA$22,3))</f>
        <v>4</v>
      </c>
      <c r="N67" s="10" t="str">
        <f aca="false">_xlfn.UNICHAR(((C67*21)+G67)*28+44032)</f>
        <v>교</v>
      </c>
      <c r="O67" s="10" t="str">
        <f aca="false">_xlfn.UNICHAR(((F67*21)+D67)*28+44032)</f>
        <v>벼</v>
      </c>
      <c r="P67" s="12" t="n">
        <f aca="false">COUNTIF($A$2:$A$3000, N67) + COUNTIF($A$2:$A$3000, O67)</f>
        <v>2</v>
      </c>
      <c r="Q67" s="16" t="str">
        <f aca="false">IF(OR(B67=-1,I67=0, P67&lt;&gt;2), "albhed_dummy", _xlfn.CONCAT("albhed ", RIGHT("  " &amp; K67,2),", ", RIGHT("  " &amp; L67,2), ", " ,"""",H67,""", ", """",N67,""", ","""",O67,""""," ; ", A67))</f>
        <v>albhed  1,  4, "뵤", "교", "벼" ; 겸</v>
      </c>
    </row>
    <row r="68" customFormat="false" ht="17.9" hidden="false" customHeight="true" outlineLevel="0" collapsed="false">
      <c r="A68" s="16" t="s">
        <v>947</v>
      </c>
      <c r="B68" s="16" t="n">
        <f aca="false">IF(_xlfn.UNICODE(A68)&lt;44032,-1,_xlfn.UNICODE(A68)-44032)</f>
        <v>185</v>
      </c>
      <c r="C68" s="16" t="n">
        <f aca="false">IF(B68=-1,-1,INT((B68/28)/21))</f>
        <v>0</v>
      </c>
      <c r="D68" s="16" t="n">
        <f aca="false">IF(B68=-1, -1, MOD(INT(B68/28),21))</f>
        <v>6</v>
      </c>
      <c r="E68" s="16" t="n">
        <f aca="false">IF(B68=-1, -1, VLOOKUP(MOD(B68,28), $T$24:$U$52,2))</f>
        <v>17</v>
      </c>
      <c r="F68" s="16" t="n">
        <f aca="false">IF($B68=-1, -1, VLOOKUP(C68,$T$1:$V$20, 2))</f>
        <v>7</v>
      </c>
      <c r="G68" s="16" t="n">
        <f aca="false">IF($B68=-1, -1, VLOOKUP(D68,$Y$1:$Z$22,2))</f>
        <v>12</v>
      </c>
      <c r="H68" s="16" t="str">
        <f aca="false">_xlfn.UNICHAR(((F68*21)+G68)*28+44032)</f>
        <v>뵤</v>
      </c>
      <c r="I68" s="16" t="n">
        <f aca="false">IF(B68=-1, 1, COUNTIF($A$2:$A$3000, H68))</f>
        <v>1</v>
      </c>
      <c r="J68" s="10" t="str">
        <f aca="false">_xlfn.CONCAT(A68, ",",H68,",",I68)</f>
        <v>겹,뵤,1</v>
      </c>
      <c r="K68" s="16" t="n">
        <f aca="false">IF(B68=-1,-1,VLOOKUP(C68,$T$1:$V$20,3))</f>
        <v>1</v>
      </c>
      <c r="L68" s="16" t="n">
        <f aca="false">IF(B68=-1,-1,VLOOKUP(D68,$Y$1:$AA$22,3))</f>
        <v>4</v>
      </c>
      <c r="N68" s="10" t="str">
        <f aca="false">_xlfn.UNICHAR(((C68*21)+G68)*28+44032)</f>
        <v>교</v>
      </c>
      <c r="O68" s="10" t="str">
        <f aca="false">_xlfn.UNICHAR(((F68*21)+D68)*28+44032)</f>
        <v>벼</v>
      </c>
      <c r="P68" s="12" t="n">
        <f aca="false">COUNTIF($A$2:$A$3000, N68) + COUNTIF($A$2:$A$3000, O68)</f>
        <v>2</v>
      </c>
      <c r="Q68" s="16" t="str">
        <f aca="false">IF(OR(B68=-1,I68=0, P68&lt;&gt;2), "albhed_dummy", _xlfn.CONCAT("albhed ", RIGHT("  " &amp; K68,2),", ", RIGHT("  " &amp; L68,2), ", " ,"""",H68,""", ", """",N68,""", ","""",O68,""""," ; ", A68))</f>
        <v>albhed  1,  4, "뵤", "교", "벼" ; 겹</v>
      </c>
    </row>
    <row r="69" customFormat="false" ht="17.9" hidden="false" customHeight="true" outlineLevel="0" collapsed="false">
      <c r="A69" s="16" t="s">
        <v>948</v>
      </c>
      <c r="B69" s="16" t="n">
        <f aca="false">IF(_xlfn.UNICODE(A69)&lt;44032,-1,_xlfn.UNICODE(A69)-44032)</f>
        <v>187</v>
      </c>
      <c r="C69" s="16" t="n">
        <f aca="false">IF(B69=-1,-1,INT((B69/28)/21))</f>
        <v>0</v>
      </c>
      <c r="D69" s="16" t="n">
        <f aca="false">IF(B69=-1, -1, MOD(INT(B69/28),21))</f>
        <v>6</v>
      </c>
      <c r="E69" s="16" t="n">
        <f aca="false">IF(B69=-1, -1, VLOOKUP(MOD(B69,28), $T$24:$U$52,2))</f>
        <v>19</v>
      </c>
      <c r="F69" s="16" t="n">
        <f aca="false">IF($B69=-1, -1, VLOOKUP(C69,$T$1:$V$20, 2))</f>
        <v>7</v>
      </c>
      <c r="G69" s="16" t="n">
        <f aca="false">IF($B69=-1, -1, VLOOKUP(D69,$Y$1:$Z$22,2))</f>
        <v>12</v>
      </c>
      <c r="H69" s="16" t="str">
        <f aca="false">_xlfn.UNICHAR(((F69*21)+G69)*28+44032)</f>
        <v>뵤</v>
      </c>
      <c r="I69" s="16" t="n">
        <f aca="false">IF(B69=-1, 1, COUNTIF($A$2:$A$3000, H69))</f>
        <v>1</v>
      </c>
      <c r="J69" s="10" t="str">
        <f aca="false">_xlfn.CONCAT(A69, ",",H69,",",I69)</f>
        <v>겻,뵤,1</v>
      </c>
      <c r="K69" s="16" t="n">
        <f aca="false">IF(B69=-1,-1,VLOOKUP(C69,$T$1:$V$20,3))</f>
        <v>1</v>
      </c>
      <c r="L69" s="16" t="n">
        <f aca="false">IF(B69=-1,-1,VLOOKUP(D69,$Y$1:$AA$22,3))</f>
        <v>4</v>
      </c>
      <c r="N69" s="10" t="str">
        <f aca="false">_xlfn.UNICHAR(((C69*21)+G69)*28+44032)</f>
        <v>교</v>
      </c>
      <c r="O69" s="10" t="str">
        <f aca="false">_xlfn.UNICHAR(((F69*21)+D69)*28+44032)</f>
        <v>벼</v>
      </c>
      <c r="P69" s="12" t="n">
        <f aca="false">COUNTIF($A$2:$A$3000, N69) + COUNTIF($A$2:$A$3000, O69)</f>
        <v>2</v>
      </c>
      <c r="Q69" s="16" t="str">
        <f aca="false">IF(OR(B69=-1,I69=0, P69&lt;&gt;2), "albhed_dummy", _xlfn.CONCAT("albhed ", RIGHT("  " &amp; K69,2),", ", RIGHT("  " &amp; L69,2), ", " ,"""",H69,""", ", """",N69,""", ","""",O69,""""," ; ", A69))</f>
        <v>albhed  1,  4, "뵤", "교", "벼" ; 겻</v>
      </c>
    </row>
    <row r="70" customFormat="false" ht="17.9" hidden="false" customHeight="true" outlineLevel="0" collapsed="false">
      <c r="A70" s="16" t="s">
        <v>949</v>
      </c>
      <c r="B70" s="16" t="n">
        <f aca="false">IF(_xlfn.UNICODE(A70)&lt;44032,-1,_xlfn.UNICODE(A70)-44032)</f>
        <v>188</v>
      </c>
      <c r="C70" s="16" t="n">
        <f aca="false">IF(B70=-1,-1,INT((B70/28)/21))</f>
        <v>0</v>
      </c>
      <c r="D70" s="16" t="n">
        <f aca="false">IF(B70=-1, -1, MOD(INT(B70/28),21))</f>
        <v>6</v>
      </c>
      <c r="E70" s="16" t="n">
        <f aca="false">IF(B70=-1, -1, VLOOKUP(MOD(B70,28), $T$24:$U$52,2))</f>
        <v>19</v>
      </c>
      <c r="F70" s="16" t="n">
        <f aca="false">IF($B70=-1, -1, VLOOKUP(C70,$T$1:$V$20, 2))</f>
        <v>7</v>
      </c>
      <c r="G70" s="16" t="n">
        <f aca="false">IF($B70=-1, -1, VLOOKUP(D70,$Y$1:$Z$22,2))</f>
        <v>12</v>
      </c>
      <c r="H70" s="16" t="str">
        <f aca="false">_xlfn.UNICHAR(((F70*21)+G70)*28+44032)</f>
        <v>뵤</v>
      </c>
      <c r="I70" s="16" t="n">
        <f aca="false">IF(B70=-1, 1, COUNTIF($A$2:$A$3000, H70))</f>
        <v>1</v>
      </c>
      <c r="J70" s="10" t="str">
        <f aca="false">_xlfn.CONCAT(A70, ",",H70,",",I70)</f>
        <v>겼,뵤,1</v>
      </c>
      <c r="K70" s="16" t="n">
        <f aca="false">IF(B70=-1,-1,VLOOKUP(C70,$T$1:$V$20,3))</f>
        <v>1</v>
      </c>
      <c r="L70" s="16" t="n">
        <f aca="false">IF(B70=-1,-1,VLOOKUP(D70,$Y$1:$AA$22,3))</f>
        <v>4</v>
      </c>
      <c r="N70" s="10" t="str">
        <f aca="false">_xlfn.UNICHAR(((C70*21)+G70)*28+44032)</f>
        <v>교</v>
      </c>
      <c r="O70" s="10" t="str">
        <f aca="false">_xlfn.UNICHAR(((F70*21)+D70)*28+44032)</f>
        <v>벼</v>
      </c>
      <c r="P70" s="12" t="n">
        <f aca="false">COUNTIF($A$2:$A$3000, N70) + COUNTIF($A$2:$A$3000, O70)</f>
        <v>2</v>
      </c>
      <c r="Q70" s="16" t="str">
        <f aca="false">IF(OR(B70=-1,I70=0, P70&lt;&gt;2), "albhed_dummy", _xlfn.CONCAT("albhed ", RIGHT("  " &amp; K70,2),", ", RIGHT("  " &amp; L70,2), ", " ,"""",H70,""", ", """",N70,""", ","""",O70,""""," ; ", A70))</f>
        <v>albhed  1,  4, "뵤", "교", "벼" ; 겼</v>
      </c>
    </row>
    <row r="71" customFormat="false" ht="17.9" hidden="false" customHeight="true" outlineLevel="0" collapsed="false">
      <c r="A71" s="16" t="s">
        <v>950</v>
      </c>
      <c r="B71" s="16" t="n">
        <f aca="false">IF(_xlfn.UNICODE(A71)&lt;44032,-1,_xlfn.UNICODE(A71)-44032)</f>
        <v>189</v>
      </c>
      <c r="C71" s="16" t="n">
        <f aca="false">IF(B71=-1,-1,INT((B71/28)/21))</f>
        <v>0</v>
      </c>
      <c r="D71" s="16" t="n">
        <f aca="false">IF(B71=-1, -1, MOD(INT(B71/28),21))</f>
        <v>6</v>
      </c>
      <c r="E71" s="16" t="n">
        <f aca="false">IF(B71=-1, -1, VLOOKUP(MOD(B71,28), $T$24:$U$52,2))</f>
        <v>21</v>
      </c>
      <c r="F71" s="16" t="n">
        <f aca="false">IF($B71=-1, -1, VLOOKUP(C71,$T$1:$V$20, 2))</f>
        <v>7</v>
      </c>
      <c r="G71" s="16" t="n">
        <f aca="false">IF($B71=-1, -1, VLOOKUP(D71,$Y$1:$Z$22,2))</f>
        <v>12</v>
      </c>
      <c r="H71" s="16" t="str">
        <f aca="false">_xlfn.UNICHAR(((F71*21)+G71)*28+44032)</f>
        <v>뵤</v>
      </c>
      <c r="I71" s="16" t="n">
        <f aca="false">IF(B71=-1, 1, COUNTIF($A$2:$A$3000, H71))</f>
        <v>1</v>
      </c>
      <c r="J71" s="10" t="str">
        <f aca="false">_xlfn.CONCAT(A71, ",",H71,",",I71)</f>
        <v>경,뵤,1</v>
      </c>
      <c r="K71" s="16" t="n">
        <f aca="false">IF(B71=-1,-1,VLOOKUP(C71,$T$1:$V$20,3))</f>
        <v>1</v>
      </c>
      <c r="L71" s="16" t="n">
        <f aca="false">IF(B71=-1,-1,VLOOKUP(D71,$Y$1:$AA$22,3))</f>
        <v>4</v>
      </c>
      <c r="N71" s="10" t="str">
        <f aca="false">_xlfn.UNICHAR(((C71*21)+G71)*28+44032)</f>
        <v>교</v>
      </c>
      <c r="O71" s="10" t="str">
        <f aca="false">_xlfn.UNICHAR(((F71*21)+D71)*28+44032)</f>
        <v>벼</v>
      </c>
      <c r="P71" s="12" t="n">
        <f aca="false">COUNTIF($A$2:$A$3000, N71) + COUNTIF($A$2:$A$3000, O71)</f>
        <v>2</v>
      </c>
      <c r="Q71" s="16" t="str">
        <f aca="false">IF(OR(B71=-1,I71=0, P71&lt;&gt;2), "albhed_dummy", _xlfn.CONCAT("albhed ", RIGHT("  " &amp; K71,2),", ", RIGHT("  " &amp; L71,2), ", " ,"""",H71,""", ", """",N71,""", ","""",O71,""""," ; ", A71))</f>
        <v>albhed  1,  4, "뵤", "교", "벼" ; 경</v>
      </c>
    </row>
    <row r="72" customFormat="false" ht="17.9" hidden="false" customHeight="true" outlineLevel="0" collapsed="false">
      <c r="A72" s="16" t="s">
        <v>951</v>
      </c>
      <c r="B72" s="16" t="n">
        <f aca="false">IF(_xlfn.UNICODE(A72)&lt;44032,-1,_xlfn.UNICODE(A72)-44032)</f>
        <v>193</v>
      </c>
      <c r="C72" s="16" t="n">
        <f aca="false">IF(B72=-1,-1,INT((B72/28)/21))</f>
        <v>0</v>
      </c>
      <c r="D72" s="16" t="n">
        <f aca="false">IF(B72=-1, -1, MOD(INT(B72/28),21))</f>
        <v>6</v>
      </c>
      <c r="E72" s="16" t="n">
        <f aca="false">IF(B72=-1, -1, VLOOKUP(MOD(B72,28), $T$24:$U$52,2))</f>
        <v>19</v>
      </c>
      <c r="F72" s="16" t="n">
        <f aca="false">IF($B72=-1, -1, VLOOKUP(C72,$T$1:$V$20, 2))</f>
        <v>7</v>
      </c>
      <c r="G72" s="16" t="n">
        <f aca="false">IF($B72=-1, -1, VLOOKUP(D72,$Y$1:$Z$22,2))</f>
        <v>12</v>
      </c>
      <c r="H72" s="16" t="str">
        <f aca="false">_xlfn.UNICHAR(((F72*21)+G72)*28+44032)</f>
        <v>뵤</v>
      </c>
      <c r="I72" s="16" t="n">
        <f aca="false">IF(B72=-1, 1, COUNTIF($A$2:$A$3000, H72))</f>
        <v>1</v>
      </c>
      <c r="J72" s="10" t="str">
        <f aca="false">_xlfn.CONCAT(A72, ",",H72,",",I72)</f>
        <v>곁,뵤,1</v>
      </c>
      <c r="K72" s="16" t="n">
        <f aca="false">IF(B72=-1,-1,VLOOKUP(C72,$T$1:$V$20,3))</f>
        <v>1</v>
      </c>
      <c r="L72" s="16" t="n">
        <f aca="false">IF(B72=-1,-1,VLOOKUP(D72,$Y$1:$AA$22,3))</f>
        <v>4</v>
      </c>
      <c r="N72" s="10" t="str">
        <f aca="false">_xlfn.UNICHAR(((C72*21)+G72)*28+44032)</f>
        <v>교</v>
      </c>
      <c r="O72" s="10" t="str">
        <f aca="false">_xlfn.UNICHAR(((F72*21)+D72)*28+44032)</f>
        <v>벼</v>
      </c>
      <c r="P72" s="12" t="n">
        <f aca="false">COUNTIF($A$2:$A$3000, N72) + COUNTIF($A$2:$A$3000, O72)</f>
        <v>2</v>
      </c>
      <c r="Q72" s="16" t="str">
        <f aca="false">IF(OR(B72=-1,I72=0, P72&lt;&gt;2), "albhed_dummy", _xlfn.CONCAT("albhed ", RIGHT("  " &amp; K72,2),", ", RIGHT("  " &amp; L72,2), ", " ,"""",H72,""", ", """",N72,""", ","""",O72,""""," ; ", A72))</f>
        <v>albhed  1,  4, "뵤", "교", "벼" ; 곁</v>
      </c>
    </row>
    <row r="73" customFormat="false" ht="17.9" hidden="false" customHeight="true" outlineLevel="0" collapsed="false">
      <c r="A73" s="16" t="s">
        <v>952</v>
      </c>
      <c r="B73" s="16" t="n">
        <f aca="false">IF(_xlfn.UNICODE(A73)&lt;44032,-1,_xlfn.UNICODE(A73)-44032)</f>
        <v>196</v>
      </c>
      <c r="C73" s="16" t="n">
        <f aca="false">IF(B73=-1,-1,INT((B73/28)/21))</f>
        <v>0</v>
      </c>
      <c r="D73" s="16" t="n">
        <f aca="false">IF(B73=-1, -1, MOD(INT(B73/28),21))</f>
        <v>7</v>
      </c>
      <c r="E73" s="16" t="n">
        <f aca="false">IF(B73=-1, -1, VLOOKUP(MOD(B73,28), $T$24:$U$52,2))</f>
        <v>0</v>
      </c>
      <c r="F73" s="16" t="n">
        <f aca="false">IF($B73=-1, -1, VLOOKUP(C73,$T$1:$V$20, 2))</f>
        <v>7</v>
      </c>
      <c r="G73" s="16" t="n">
        <f aca="false">IF($B73=-1, -1, VLOOKUP(D73,$Y$1:$Z$22,2))</f>
        <v>18</v>
      </c>
      <c r="H73" s="16" t="str">
        <f aca="false">_xlfn.UNICHAR(((F73*21)+G73)*28+44032)</f>
        <v>브</v>
      </c>
      <c r="I73" s="16" t="n">
        <f aca="false">IF(B73=-1, 1, COUNTIF($A$2:$A$3000, H73))</f>
        <v>1</v>
      </c>
      <c r="J73" s="10" t="str">
        <f aca="false">_xlfn.CONCAT(A73, ",",H73,",",I73)</f>
        <v>계,브,1</v>
      </c>
      <c r="K73" s="16" t="n">
        <f aca="false">IF(B73=-1,-1,VLOOKUP(C73,$T$1:$V$20,3))</f>
        <v>1</v>
      </c>
      <c r="L73" s="16" t="n">
        <f aca="false">IF(B73=-1,-1,VLOOKUP(D73,$Y$1:$AA$22,3))</f>
        <v>14</v>
      </c>
      <c r="N73" s="10" t="str">
        <f aca="false">_xlfn.UNICHAR(((C73*21)+G73)*28+44032)</f>
        <v>그</v>
      </c>
      <c r="O73" s="10" t="str">
        <f aca="false">_xlfn.UNICHAR(((F73*21)+D73)*28+44032)</f>
        <v>볘</v>
      </c>
      <c r="P73" s="12" t="n">
        <f aca="false">COUNTIF($A$2:$A$3000, N73) + COUNTIF($A$2:$A$3000, O73)</f>
        <v>2</v>
      </c>
      <c r="Q73" s="16" t="str">
        <f aca="false">IF(OR(B73=-1,I73=0, P73&lt;&gt;2), "albhed_dummy", _xlfn.CONCAT("albhed ", RIGHT("  " &amp; K73,2),", ", RIGHT("  " &amp; L73,2), ", " ,"""",H73,""", ", """",N73,""", ","""",O73,""""," ; ", A73))</f>
        <v>albhed  1, 14, "브", "그", "볘" ; 계</v>
      </c>
    </row>
    <row r="74" customFormat="false" ht="17.9" hidden="false" customHeight="true" outlineLevel="0" collapsed="false">
      <c r="A74" s="16" t="s">
        <v>953</v>
      </c>
      <c r="B74" s="16" t="n">
        <f aca="false">IF(_xlfn.UNICODE(A74)&lt;44032,-1,_xlfn.UNICODE(A74)-44032)</f>
        <v>200</v>
      </c>
      <c r="C74" s="16" t="n">
        <f aca="false">IF(B74=-1,-1,INT((B74/28)/21))</f>
        <v>0</v>
      </c>
      <c r="D74" s="16" t="n">
        <f aca="false">IF(B74=-1, -1, MOD(INT(B74/28),21))</f>
        <v>7</v>
      </c>
      <c r="E74" s="16" t="n">
        <f aca="false">IF(B74=-1, -1, VLOOKUP(MOD(B74,28), $T$24:$U$52,2))</f>
        <v>4</v>
      </c>
      <c r="F74" s="16" t="n">
        <f aca="false">IF($B74=-1, -1, VLOOKUP(C74,$T$1:$V$20, 2))</f>
        <v>7</v>
      </c>
      <c r="G74" s="16" t="n">
        <f aca="false">IF($B74=-1, -1, VLOOKUP(D74,$Y$1:$Z$22,2))</f>
        <v>18</v>
      </c>
      <c r="H74" s="16" t="str">
        <f aca="false">_xlfn.UNICHAR(((F74*21)+G74)*28+44032)</f>
        <v>브</v>
      </c>
      <c r="I74" s="16" t="n">
        <f aca="false">IF(B74=-1, 1, COUNTIF($A$2:$A$3000, H74))</f>
        <v>1</v>
      </c>
      <c r="J74" s="10" t="str">
        <f aca="false">_xlfn.CONCAT(A74, ",",H74,",",I74)</f>
        <v>곈,브,1</v>
      </c>
      <c r="K74" s="16" t="n">
        <f aca="false">IF(B74=-1,-1,VLOOKUP(C74,$T$1:$V$20,3))</f>
        <v>1</v>
      </c>
      <c r="L74" s="16" t="n">
        <f aca="false">IF(B74=-1,-1,VLOOKUP(D74,$Y$1:$AA$22,3))</f>
        <v>14</v>
      </c>
      <c r="N74" s="10" t="str">
        <f aca="false">_xlfn.UNICHAR(((C74*21)+G74)*28+44032)</f>
        <v>그</v>
      </c>
      <c r="O74" s="10" t="str">
        <f aca="false">_xlfn.UNICHAR(((F74*21)+D74)*28+44032)</f>
        <v>볘</v>
      </c>
      <c r="P74" s="12" t="n">
        <f aca="false">COUNTIF($A$2:$A$3000, N74) + COUNTIF($A$2:$A$3000, O74)</f>
        <v>2</v>
      </c>
      <c r="Q74" s="16" t="str">
        <f aca="false">IF(OR(B74=-1,I74=0, P74&lt;&gt;2), "albhed_dummy", _xlfn.CONCAT("albhed ", RIGHT("  " &amp; K74,2),", ", RIGHT("  " &amp; L74,2), ", " ,"""",H74,""", ", """",N74,""", ","""",O74,""""," ; ", A74))</f>
        <v>albhed  1, 14, "브", "그", "볘" ; 곈</v>
      </c>
    </row>
    <row r="75" customFormat="false" ht="17.9" hidden="false" customHeight="true" outlineLevel="0" collapsed="false">
      <c r="A75" s="16" t="s">
        <v>954</v>
      </c>
      <c r="B75" s="16" t="n">
        <f aca="false">IF(_xlfn.UNICODE(A75)&lt;44032,-1,_xlfn.UNICODE(A75)-44032)</f>
        <v>204</v>
      </c>
      <c r="C75" s="16" t="n">
        <f aca="false">IF(B75=-1,-1,INT((B75/28)/21))</f>
        <v>0</v>
      </c>
      <c r="D75" s="16" t="n">
        <f aca="false">IF(B75=-1, -1, MOD(INT(B75/28),21))</f>
        <v>7</v>
      </c>
      <c r="E75" s="16" t="n">
        <f aca="false">IF(B75=-1, -1, VLOOKUP(MOD(B75,28), $T$24:$U$52,2))</f>
        <v>8</v>
      </c>
      <c r="F75" s="16" t="n">
        <f aca="false">IF($B75=-1, -1, VLOOKUP(C75,$T$1:$V$20, 2))</f>
        <v>7</v>
      </c>
      <c r="G75" s="16" t="n">
        <f aca="false">IF($B75=-1, -1, VLOOKUP(D75,$Y$1:$Z$22,2))</f>
        <v>18</v>
      </c>
      <c r="H75" s="16" t="str">
        <f aca="false">_xlfn.UNICHAR(((F75*21)+G75)*28+44032)</f>
        <v>브</v>
      </c>
      <c r="I75" s="16" t="n">
        <f aca="false">IF(B75=-1, 1, COUNTIF($A$2:$A$3000, H75))</f>
        <v>1</v>
      </c>
      <c r="J75" s="10" t="str">
        <f aca="false">_xlfn.CONCAT(A75, ",",H75,",",I75)</f>
        <v>곌,브,1</v>
      </c>
      <c r="K75" s="16" t="n">
        <f aca="false">IF(B75=-1,-1,VLOOKUP(C75,$T$1:$V$20,3))</f>
        <v>1</v>
      </c>
      <c r="L75" s="16" t="n">
        <f aca="false">IF(B75=-1,-1,VLOOKUP(D75,$Y$1:$AA$22,3))</f>
        <v>14</v>
      </c>
      <c r="N75" s="10" t="str">
        <f aca="false">_xlfn.UNICHAR(((C75*21)+G75)*28+44032)</f>
        <v>그</v>
      </c>
      <c r="O75" s="10" t="str">
        <f aca="false">_xlfn.UNICHAR(((F75*21)+D75)*28+44032)</f>
        <v>볘</v>
      </c>
      <c r="P75" s="12" t="n">
        <f aca="false">COUNTIF($A$2:$A$3000, N75) + COUNTIF($A$2:$A$3000, O75)</f>
        <v>2</v>
      </c>
      <c r="Q75" s="16" t="str">
        <f aca="false">IF(OR(B75=-1,I75=0, P75&lt;&gt;2), "albhed_dummy", _xlfn.CONCAT("albhed ", RIGHT("  " &amp; K75,2),", ", RIGHT("  " &amp; L75,2), ", " ,"""",H75,""", ", """",N75,""", ","""",O75,""""," ; ", A75))</f>
        <v>albhed  1, 14, "브", "그", "볘" ; 곌</v>
      </c>
    </row>
    <row r="76" customFormat="false" ht="17.9" hidden="false" customHeight="true" outlineLevel="0" collapsed="false">
      <c r="A76" s="16" t="s">
        <v>955</v>
      </c>
      <c r="B76" s="16" t="n">
        <f aca="false">IF(_xlfn.UNICODE(A76)&lt;44032,-1,_xlfn.UNICODE(A76)-44032)</f>
        <v>213</v>
      </c>
      <c r="C76" s="16" t="n">
        <f aca="false">IF(B76=-1,-1,INT((B76/28)/21))</f>
        <v>0</v>
      </c>
      <c r="D76" s="16" t="n">
        <f aca="false">IF(B76=-1, -1, MOD(INT(B76/28),21))</f>
        <v>7</v>
      </c>
      <c r="E76" s="16" t="n">
        <f aca="false">IF(B76=-1, -1, VLOOKUP(MOD(B76,28), $T$24:$U$52,2))</f>
        <v>17</v>
      </c>
      <c r="F76" s="16" t="n">
        <f aca="false">IF($B76=-1, -1, VLOOKUP(C76,$T$1:$V$20, 2))</f>
        <v>7</v>
      </c>
      <c r="G76" s="16" t="n">
        <f aca="false">IF($B76=-1, -1, VLOOKUP(D76,$Y$1:$Z$22,2))</f>
        <v>18</v>
      </c>
      <c r="H76" s="16" t="str">
        <f aca="false">_xlfn.UNICHAR(((F76*21)+G76)*28+44032)</f>
        <v>브</v>
      </c>
      <c r="I76" s="16" t="n">
        <f aca="false">IF(B76=-1, 1, COUNTIF($A$2:$A$3000, H76))</f>
        <v>1</v>
      </c>
      <c r="J76" s="10" t="str">
        <f aca="false">_xlfn.CONCAT(A76, ",",H76,",",I76)</f>
        <v>곕,브,1</v>
      </c>
      <c r="K76" s="16" t="n">
        <f aca="false">IF(B76=-1,-1,VLOOKUP(C76,$T$1:$V$20,3))</f>
        <v>1</v>
      </c>
      <c r="L76" s="16" t="n">
        <f aca="false">IF(B76=-1,-1,VLOOKUP(D76,$Y$1:$AA$22,3))</f>
        <v>14</v>
      </c>
      <c r="N76" s="10" t="str">
        <f aca="false">_xlfn.UNICHAR(((C76*21)+G76)*28+44032)</f>
        <v>그</v>
      </c>
      <c r="O76" s="10" t="str">
        <f aca="false">_xlfn.UNICHAR(((F76*21)+D76)*28+44032)</f>
        <v>볘</v>
      </c>
      <c r="P76" s="12" t="n">
        <f aca="false">COUNTIF($A$2:$A$3000, N76) + COUNTIF($A$2:$A$3000, O76)</f>
        <v>2</v>
      </c>
      <c r="Q76" s="16" t="str">
        <f aca="false">IF(OR(B76=-1,I76=0, P76&lt;&gt;2), "albhed_dummy", _xlfn.CONCAT("albhed ", RIGHT("  " &amp; K76,2),", ", RIGHT("  " &amp; L76,2), ", " ,"""",H76,""", ", """",N76,""", ","""",O76,""""," ; ", A76))</f>
        <v>albhed  1, 14, "브", "그", "볘" ; 곕</v>
      </c>
    </row>
    <row r="77" customFormat="false" ht="17.9" hidden="false" customHeight="true" outlineLevel="0" collapsed="false">
      <c r="A77" s="16" t="s">
        <v>956</v>
      </c>
      <c r="B77" s="16" t="n">
        <f aca="false">IF(_xlfn.UNICODE(A77)&lt;44032,-1,_xlfn.UNICODE(A77)-44032)</f>
        <v>215</v>
      </c>
      <c r="C77" s="16" t="n">
        <f aca="false">IF(B77=-1,-1,INT((B77/28)/21))</f>
        <v>0</v>
      </c>
      <c r="D77" s="16" t="n">
        <f aca="false">IF(B77=-1, -1, MOD(INT(B77/28),21))</f>
        <v>7</v>
      </c>
      <c r="E77" s="16" t="n">
        <f aca="false">IF(B77=-1, -1, VLOOKUP(MOD(B77,28), $T$24:$U$52,2))</f>
        <v>19</v>
      </c>
      <c r="F77" s="16" t="n">
        <f aca="false">IF($B77=-1, -1, VLOOKUP(C77,$T$1:$V$20, 2))</f>
        <v>7</v>
      </c>
      <c r="G77" s="16" t="n">
        <f aca="false">IF($B77=-1, -1, VLOOKUP(D77,$Y$1:$Z$22,2))</f>
        <v>18</v>
      </c>
      <c r="H77" s="16" t="str">
        <f aca="false">_xlfn.UNICHAR(((F77*21)+G77)*28+44032)</f>
        <v>브</v>
      </c>
      <c r="I77" s="16" t="n">
        <f aca="false">IF(B77=-1, 1, COUNTIF($A$2:$A$3000, H77))</f>
        <v>1</v>
      </c>
      <c r="J77" s="10" t="str">
        <f aca="false">_xlfn.CONCAT(A77, ",",H77,",",I77)</f>
        <v>곗,브,1</v>
      </c>
      <c r="K77" s="16" t="n">
        <f aca="false">IF(B77=-1,-1,VLOOKUP(C77,$T$1:$V$20,3))</f>
        <v>1</v>
      </c>
      <c r="L77" s="16" t="n">
        <f aca="false">IF(B77=-1,-1,VLOOKUP(D77,$Y$1:$AA$22,3))</f>
        <v>14</v>
      </c>
      <c r="N77" s="10" t="str">
        <f aca="false">_xlfn.UNICHAR(((C77*21)+G77)*28+44032)</f>
        <v>그</v>
      </c>
      <c r="O77" s="10" t="str">
        <f aca="false">_xlfn.UNICHAR(((F77*21)+D77)*28+44032)</f>
        <v>볘</v>
      </c>
      <c r="P77" s="12" t="n">
        <f aca="false">COUNTIF($A$2:$A$3000, N77) + COUNTIF($A$2:$A$3000, O77)</f>
        <v>2</v>
      </c>
      <c r="Q77" s="16" t="str">
        <f aca="false">IF(OR(B77=-1,I77=0, P77&lt;&gt;2), "albhed_dummy", _xlfn.CONCAT("albhed ", RIGHT("  " &amp; K77,2),", ", RIGHT("  " &amp; L77,2), ", " ,"""",H77,""", ", """",N77,""", ","""",O77,""""," ; ", A77))</f>
        <v>albhed  1, 14, "브", "그", "볘" ; 곗</v>
      </c>
    </row>
    <row r="78" customFormat="false" ht="17.9" hidden="false" customHeight="true" outlineLevel="0" collapsed="false">
      <c r="A78" s="16" t="s">
        <v>957</v>
      </c>
      <c r="B78" s="16" t="n">
        <f aca="false">IF(_xlfn.UNICODE(A78)&lt;44032,-1,_xlfn.UNICODE(A78)-44032)</f>
        <v>224</v>
      </c>
      <c r="C78" s="16" t="n">
        <f aca="false">IF(B78=-1,-1,INT((B78/28)/21))</f>
        <v>0</v>
      </c>
      <c r="D78" s="16" t="n">
        <f aca="false">IF(B78=-1, -1, MOD(INT(B78/28),21))</f>
        <v>8</v>
      </c>
      <c r="E78" s="16" t="n">
        <f aca="false">IF(B78=-1, -1, VLOOKUP(MOD(B78,28), $T$24:$U$52,2))</f>
        <v>0</v>
      </c>
      <c r="F78" s="16" t="n">
        <f aca="false">IF($B78=-1, -1, VLOOKUP(C78,$T$1:$V$20, 2))</f>
        <v>7</v>
      </c>
      <c r="G78" s="16" t="n">
        <f aca="false">IF($B78=-1, -1, VLOOKUP(D78,$Y$1:$Z$22,2))</f>
        <v>4</v>
      </c>
      <c r="H78" s="16" t="str">
        <f aca="false">_xlfn.UNICHAR(((F78*21)+G78)*28+44032)</f>
        <v>버</v>
      </c>
      <c r="I78" s="16" t="n">
        <f aca="false">IF(B78=-1, 1, COUNTIF($A$2:$A$3000, H78))</f>
        <v>1</v>
      </c>
      <c r="J78" s="10" t="str">
        <f aca="false">_xlfn.CONCAT(A78, ",",H78,",",I78)</f>
        <v>고,버,1</v>
      </c>
      <c r="K78" s="16" t="n">
        <f aca="false">IF(B78=-1,-1,VLOOKUP(C78,$T$1:$V$20,3))</f>
        <v>1</v>
      </c>
      <c r="L78" s="16" t="n">
        <f aca="false">IF(B78=-1,-1,VLOOKUP(D78,$Y$1:$AA$22,3))</f>
        <v>8</v>
      </c>
      <c r="N78" s="10" t="str">
        <f aca="false">_xlfn.UNICHAR(((C78*21)+G78)*28+44032)</f>
        <v>거</v>
      </c>
      <c r="O78" s="10" t="str">
        <f aca="false">_xlfn.UNICHAR(((F78*21)+D78)*28+44032)</f>
        <v>보</v>
      </c>
      <c r="P78" s="12" t="n">
        <f aca="false">COUNTIF($A$2:$A$3000, N78) + COUNTIF($A$2:$A$3000, O78)</f>
        <v>2</v>
      </c>
      <c r="Q78" s="16" t="str">
        <f aca="false">IF(OR(B78=-1,I78=0, P78&lt;&gt;2), "albhed_dummy", _xlfn.CONCAT("albhed ", RIGHT("  " &amp; K78,2),", ", RIGHT("  " &amp; L78,2), ", " ,"""",H78,""", ", """",N78,""", ","""",O78,""""," ; ", A78))</f>
        <v>albhed  1,  8, "버", "거", "보" ; 고</v>
      </c>
    </row>
    <row r="79" customFormat="false" ht="17.9" hidden="false" customHeight="true" outlineLevel="0" collapsed="false">
      <c r="A79" s="16" t="s">
        <v>958</v>
      </c>
      <c r="B79" s="16" t="n">
        <f aca="false">IF(_xlfn.UNICODE(A79)&lt;44032,-1,_xlfn.UNICODE(A79)-44032)</f>
        <v>225</v>
      </c>
      <c r="C79" s="16" t="n">
        <f aca="false">IF(B79=-1,-1,INT((B79/28)/21))</f>
        <v>0</v>
      </c>
      <c r="D79" s="16" t="n">
        <f aca="false">IF(B79=-1, -1, MOD(INT(B79/28),21))</f>
        <v>8</v>
      </c>
      <c r="E79" s="16" t="n">
        <f aca="false">IF(B79=-1, -1, VLOOKUP(MOD(B79,28), $T$24:$U$52,2))</f>
        <v>1</v>
      </c>
      <c r="F79" s="16" t="n">
        <f aca="false">IF($B79=-1, -1, VLOOKUP(C79,$T$1:$V$20, 2))</f>
        <v>7</v>
      </c>
      <c r="G79" s="16" t="n">
        <f aca="false">IF($B79=-1, -1, VLOOKUP(D79,$Y$1:$Z$22,2))</f>
        <v>4</v>
      </c>
      <c r="H79" s="16" t="str">
        <f aca="false">_xlfn.UNICHAR(((F79*21)+G79)*28+44032)</f>
        <v>버</v>
      </c>
      <c r="I79" s="16" t="n">
        <f aca="false">IF(B79=-1, 1, COUNTIF($A$2:$A$3000, H79))</f>
        <v>1</v>
      </c>
      <c r="J79" s="10" t="str">
        <f aca="false">_xlfn.CONCAT(A79, ",",H79,",",I79)</f>
        <v>곡,버,1</v>
      </c>
      <c r="K79" s="16" t="n">
        <f aca="false">IF(B79=-1,-1,VLOOKUP(C79,$T$1:$V$20,3))</f>
        <v>1</v>
      </c>
      <c r="L79" s="16" t="n">
        <f aca="false">IF(B79=-1,-1,VLOOKUP(D79,$Y$1:$AA$22,3))</f>
        <v>8</v>
      </c>
      <c r="N79" s="10" t="str">
        <f aca="false">_xlfn.UNICHAR(((C79*21)+G79)*28+44032)</f>
        <v>거</v>
      </c>
      <c r="O79" s="10" t="str">
        <f aca="false">_xlfn.UNICHAR(((F79*21)+D79)*28+44032)</f>
        <v>보</v>
      </c>
      <c r="P79" s="12" t="n">
        <f aca="false">COUNTIF($A$2:$A$3000, N79) + COUNTIF($A$2:$A$3000, O79)</f>
        <v>2</v>
      </c>
      <c r="Q79" s="16" t="str">
        <f aca="false">IF(OR(B79=-1,I79=0, P79&lt;&gt;2), "albhed_dummy", _xlfn.CONCAT("albhed ", RIGHT("  " &amp; K79,2),", ", RIGHT("  " &amp; L79,2), ", " ,"""",H79,""", ", """",N79,""", ","""",O79,""""," ; ", A79))</f>
        <v>albhed  1,  8, "버", "거", "보" ; 곡</v>
      </c>
    </row>
    <row r="80" customFormat="false" ht="17.9" hidden="false" customHeight="true" outlineLevel="0" collapsed="false">
      <c r="A80" s="16" t="s">
        <v>959</v>
      </c>
      <c r="B80" s="16" t="n">
        <f aca="false">IF(_xlfn.UNICODE(A80)&lt;44032,-1,_xlfn.UNICODE(A80)-44032)</f>
        <v>228</v>
      </c>
      <c r="C80" s="16" t="n">
        <f aca="false">IF(B80=-1,-1,INT((B80/28)/21))</f>
        <v>0</v>
      </c>
      <c r="D80" s="16" t="n">
        <f aca="false">IF(B80=-1, -1, MOD(INT(B80/28),21))</f>
        <v>8</v>
      </c>
      <c r="E80" s="16" t="n">
        <f aca="false">IF(B80=-1, -1, VLOOKUP(MOD(B80,28), $T$24:$U$52,2))</f>
        <v>4</v>
      </c>
      <c r="F80" s="16" t="n">
        <f aca="false">IF($B80=-1, -1, VLOOKUP(C80,$T$1:$V$20, 2))</f>
        <v>7</v>
      </c>
      <c r="G80" s="16" t="n">
        <f aca="false">IF($B80=-1, -1, VLOOKUP(D80,$Y$1:$Z$22,2))</f>
        <v>4</v>
      </c>
      <c r="H80" s="16" t="str">
        <f aca="false">_xlfn.UNICHAR(((F80*21)+G80)*28+44032)</f>
        <v>버</v>
      </c>
      <c r="I80" s="16" t="n">
        <f aca="false">IF(B80=-1, 1, COUNTIF($A$2:$A$3000, H80))</f>
        <v>1</v>
      </c>
      <c r="J80" s="10" t="str">
        <f aca="false">_xlfn.CONCAT(A80, ",",H80,",",I80)</f>
        <v>곤,버,1</v>
      </c>
      <c r="K80" s="16" t="n">
        <f aca="false">IF(B80=-1,-1,VLOOKUP(C80,$T$1:$V$20,3))</f>
        <v>1</v>
      </c>
      <c r="L80" s="16" t="n">
        <f aca="false">IF(B80=-1,-1,VLOOKUP(D80,$Y$1:$AA$22,3))</f>
        <v>8</v>
      </c>
      <c r="N80" s="10" t="str">
        <f aca="false">_xlfn.UNICHAR(((C80*21)+G80)*28+44032)</f>
        <v>거</v>
      </c>
      <c r="O80" s="10" t="str">
        <f aca="false">_xlfn.UNICHAR(((F80*21)+D80)*28+44032)</f>
        <v>보</v>
      </c>
      <c r="P80" s="12" t="n">
        <f aca="false">COUNTIF($A$2:$A$3000, N80) + COUNTIF($A$2:$A$3000, O80)</f>
        <v>2</v>
      </c>
      <c r="Q80" s="16" t="str">
        <f aca="false">IF(OR(B80=-1,I80=0, P80&lt;&gt;2), "albhed_dummy", _xlfn.CONCAT("albhed ", RIGHT("  " &amp; K80,2),", ", RIGHT("  " &amp; L80,2), ", " ,"""",H80,""", ", """",N80,""", ","""",O80,""""," ; ", A80))</f>
        <v>albhed  1,  8, "버", "거", "보" ; 곤</v>
      </c>
    </row>
    <row r="81" customFormat="false" ht="17.9" hidden="false" customHeight="true" outlineLevel="0" collapsed="false">
      <c r="A81" s="16" t="s">
        <v>960</v>
      </c>
      <c r="B81" s="16" t="n">
        <f aca="false">IF(_xlfn.UNICODE(A81)&lt;44032,-1,_xlfn.UNICODE(A81)-44032)</f>
        <v>231</v>
      </c>
      <c r="C81" s="16" t="n">
        <f aca="false">IF(B81=-1,-1,INT((B81/28)/21))</f>
        <v>0</v>
      </c>
      <c r="D81" s="16" t="n">
        <f aca="false">IF(B81=-1, -1, MOD(INT(B81/28),21))</f>
        <v>8</v>
      </c>
      <c r="E81" s="16" t="n">
        <f aca="false">IF(B81=-1, -1, VLOOKUP(MOD(B81,28), $T$24:$U$52,2))</f>
        <v>19</v>
      </c>
      <c r="F81" s="16" t="n">
        <f aca="false">IF($B81=-1, -1, VLOOKUP(C81,$T$1:$V$20, 2))</f>
        <v>7</v>
      </c>
      <c r="G81" s="16" t="n">
        <f aca="false">IF($B81=-1, -1, VLOOKUP(D81,$Y$1:$Z$22,2))</f>
        <v>4</v>
      </c>
      <c r="H81" s="16" t="str">
        <f aca="false">_xlfn.UNICHAR(((F81*21)+G81)*28+44032)</f>
        <v>버</v>
      </c>
      <c r="I81" s="16" t="n">
        <f aca="false">IF(B81=-1, 1, COUNTIF($A$2:$A$3000, H81))</f>
        <v>1</v>
      </c>
      <c r="J81" s="10" t="str">
        <f aca="false">_xlfn.CONCAT(A81, ",",H81,",",I81)</f>
        <v>곧,버,1</v>
      </c>
      <c r="K81" s="16" t="n">
        <f aca="false">IF(B81=-1,-1,VLOOKUP(C81,$T$1:$V$20,3))</f>
        <v>1</v>
      </c>
      <c r="L81" s="16" t="n">
        <f aca="false">IF(B81=-1,-1,VLOOKUP(D81,$Y$1:$AA$22,3))</f>
        <v>8</v>
      </c>
      <c r="N81" s="10" t="str">
        <f aca="false">_xlfn.UNICHAR(((C81*21)+G81)*28+44032)</f>
        <v>거</v>
      </c>
      <c r="O81" s="10" t="str">
        <f aca="false">_xlfn.UNICHAR(((F81*21)+D81)*28+44032)</f>
        <v>보</v>
      </c>
      <c r="P81" s="12" t="n">
        <f aca="false">COUNTIF($A$2:$A$3000, N81) + COUNTIF($A$2:$A$3000, O81)</f>
        <v>2</v>
      </c>
      <c r="Q81" s="16" t="str">
        <f aca="false">IF(OR(B81=-1,I81=0, P81&lt;&gt;2), "albhed_dummy", _xlfn.CONCAT("albhed ", RIGHT("  " &amp; K81,2),", ", RIGHT("  " &amp; L81,2), ", " ,"""",H81,""", ", """",N81,""", ","""",O81,""""," ; ", A81))</f>
        <v>albhed  1,  8, "버", "거", "보" ; 곧</v>
      </c>
    </row>
    <row r="82" customFormat="false" ht="17.9" hidden="false" customHeight="true" outlineLevel="0" collapsed="false">
      <c r="A82" s="16" t="s">
        <v>961</v>
      </c>
      <c r="B82" s="16" t="n">
        <f aca="false">IF(_xlfn.UNICODE(A82)&lt;44032,-1,_xlfn.UNICODE(A82)-44032)</f>
        <v>232</v>
      </c>
      <c r="C82" s="16" t="n">
        <f aca="false">IF(B82=-1,-1,INT((B82/28)/21))</f>
        <v>0</v>
      </c>
      <c r="D82" s="16" t="n">
        <f aca="false">IF(B82=-1, -1, MOD(INT(B82/28),21))</f>
        <v>8</v>
      </c>
      <c r="E82" s="16" t="n">
        <f aca="false">IF(B82=-1, -1, VLOOKUP(MOD(B82,28), $T$24:$U$52,2))</f>
        <v>8</v>
      </c>
      <c r="F82" s="16" t="n">
        <f aca="false">IF($B82=-1, -1, VLOOKUP(C82,$T$1:$V$20, 2))</f>
        <v>7</v>
      </c>
      <c r="G82" s="16" t="n">
        <f aca="false">IF($B82=-1, -1, VLOOKUP(D82,$Y$1:$Z$22,2))</f>
        <v>4</v>
      </c>
      <c r="H82" s="16" t="str">
        <f aca="false">_xlfn.UNICHAR(((F82*21)+G82)*28+44032)</f>
        <v>버</v>
      </c>
      <c r="I82" s="16" t="n">
        <f aca="false">IF(B82=-1, 1, COUNTIF($A$2:$A$3000, H82))</f>
        <v>1</v>
      </c>
      <c r="J82" s="10" t="str">
        <f aca="false">_xlfn.CONCAT(A82, ",",H82,",",I82)</f>
        <v>골,버,1</v>
      </c>
      <c r="K82" s="16" t="n">
        <f aca="false">IF(B82=-1,-1,VLOOKUP(C82,$T$1:$V$20,3))</f>
        <v>1</v>
      </c>
      <c r="L82" s="16" t="n">
        <f aca="false">IF(B82=-1,-1,VLOOKUP(D82,$Y$1:$AA$22,3))</f>
        <v>8</v>
      </c>
      <c r="N82" s="10" t="str">
        <f aca="false">_xlfn.UNICHAR(((C82*21)+G82)*28+44032)</f>
        <v>거</v>
      </c>
      <c r="O82" s="10" t="str">
        <f aca="false">_xlfn.UNICHAR(((F82*21)+D82)*28+44032)</f>
        <v>보</v>
      </c>
      <c r="P82" s="12" t="n">
        <f aca="false">COUNTIF($A$2:$A$3000, N82) + COUNTIF($A$2:$A$3000, O82)</f>
        <v>2</v>
      </c>
      <c r="Q82" s="16" t="str">
        <f aca="false">IF(OR(B82=-1,I82=0, P82&lt;&gt;2), "albhed_dummy", _xlfn.CONCAT("albhed ", RIGHT("  " &amp; K82,2),", ", RIGHT("  " &amp; L82,2), ", " ,"""",H82,""", ", """",N82,""", ","""",O82,""""," ; ", A82))</f>
        <v>albhed  1,  8, "버", "거", "보" ; 골</v>
      </c>
    </row>
    <row r="83" customFormat="false" ht="17.9" hidden="false" customHeight="true" outlineLevel="0" collapsed="false">
      <c r="A83" s="16" t="s">
        <v>962</v>
      </c>
      <c r="B83" s="16" t="n">
        <f aca="false">IF(_xlfn.UNICODE(A83)&lt;44032,-1,_xlfn.UNICODE(A83)-44032)</f>
        <v>234</v>
      </c>
      <c r="C83" s="16" t="n">
        <f aca="false">IF(B83=-1,-1,INT((B83/28)/21))</f>
        <v>0</v>
      </c>
      <c r="D83" s="16" t="n">
        <f aca="false">IF(B83=-1, -1, MOD(INT(B83/28),21))</f>
        <v>8</v>
      </c>
      <c r="E83" s="16" t="n">
        <f aca="false">IF(B83=-1, -1, VLOOKUP(MOD(B83,28), $T$24:$U$52,2))</f>
        <v>8</v>
      </c>
      <c r="F83" s="16" t="n">
        <f aca="false">IF($B83=-1, -1, VLOOKUP(C83,$T$1:$V$20, 2))</f>
        <v>7</v>
      </c>
      <c r="G83" s="16" t="n">
        <f aca="false">IF($B83=-1, -1, VLOOKUP(D83,$Y$1:$Z$22,2))</f>
        <v>4</v>
      </c>
      <c r="H83" s="16" t="str">
        <f aca="false">_xlfn.UNICHAR(((F83*21)+G83)*28+44032)</f>
        <v>버</v>
      </c>
      <c r="I83" s="16" t="n">
        <f aca="false">IF(B83=-1, 1, COUNTIF($A$2:$A$3000, H83))</f>
        <v>1</v>
      </c>
      <c r="J83" s="10" t="str">
        <f aca="false">_xlfn.CONCAT(A83, ",",H83,",",I83)</f>
        <v>곪,버,1</v>
      </c>
      <c r="K83" s="16" t="n">
        <f aca="false">IF(B83=-1,-1,VLOOKUP(C83,$T$1:$V$20,3))</f>
        <v>1</v>
      </c>
      <c r="L83" s="16" t="n">
        <f aca="false">IF(B83=-1,-1,VLOOKUP(D83,$Y$1:$AA$22,3))</f>
        <v>8</v>
      </c>
      <c r="N83" s="10" t="str">
        <f aca="false">_xlfn.UNICHAR(((C83*21)+G83)*28+44032)</f>
        <v>거</v>
      </c>
      <c r="O83" s="10" t="str">
        <f aca="false">_xlfn.UNICHAR(((F83*21)+D83)*28+44032)</f>
        <v>보</v>
      </c>
      <c r="P83" s="12" t="n">
        <f aca="false">COUNTIF($A$2:$A$3000, N83) + COUNTIF($A$2:$A$3000, O83)</f>
        <v>2</v>
      </c>
      <c r="Q83" s="16" t="str">
        <f aca="false">IF(OR(B83=-1,I83=0, P83&lt;&gt;2), "albhed_dummy", _xlfn.CONCAT("albhed ", RIGHT("  " &amp; K83,2),", ", RIGHT("  " &amp; L83,2), ", " ,"""",H83,""", ", """",N83,""", ","""",O83,""""," ; ", A83))</f>
        <v>albhed  1,  8, "버", "거", "보" ; 곪</v>
      </c>
    </row>
    <row r="84" customFormat="false" ht="17.9" hidden="false" customHeight="true" outlineLevel="0" collapsed="false">
      <c r="A84" s="16" t="s">
        <v>963</v>
      </c>
      <c r="B84" s="16" t="n">
        <f aca="false">IF(_xlfn.UNICODE(A84)&lt;44032,-1,_xlfn.UNICODE(A84)-44032)</f>
        <v>236</v>
      </c>
      <c r="C84" s="16" t="n">
        <f aca="false">IF(B84=-1,-1,INT((B84/28)/21))</f>
        <v>0</v>
      </c>
      <c r="D84" s="16" t="n">
        <f aca="false">IF(B84=-1, -1, MOD(INT(B84/28),21))</f>
        <v>8</v>
      </c>
      <c r="E84" s="16" t="n">
        <f aca="false">IF(B84=-1, -1, VLOOKUP(MOD(B84,28), $T$24:$U$52,2))</f>
        <v>8</v>
      </c>
      <c r="F84" s="16" t="n">
        <f aca="false">IF($B84=-1, -1, VLOOKUP(C84,$T$1:$V$20, 2))</f>
        <v>7</v>
      </c>
      <c r="G84" s="16" t="n">
        <f aca="false">IF($B84=-1, -1, VLOOKUP(D84,$Y$1:$Z$22,2))</f>
        <v>4</v>
      </c>
      <c r="H84" s="16" t="str">
        <f aca="false">_xlfn.UNICHAR(((F84*21)+G84)*28+44032)</f>
        <v>버</v>
      </c>
      <c r="I84" s="16" t="n">
        <f aca="false">IF(B84=-1, 1, COUNTIF($A$2:$A$3000, H84))</f>
        <v>1</v>
      </c>
      <c r="J84" s="10" t="str">
        <f aca="false">_xlfn.CONCAT(A84, ",",H84,",",I84)</f>
        <v>곬,버,1</v>
      </c>
      <c r="K84" s="16" t="n">
        <f aca="false">IF(B84=-1,-1,VLOOKUP(C84,$T$1:$V$20,3))</f>
        <v>1</v>
      </c>
      <c r="L84" s="16" t="n">
        <f aca="false">IF(B84=-1,-1,VLOOKUP(D84,$Y$1:$AA$22,3))</f>
        <v>8</v>
      </c>
      <c r="N84" s="10" t="str">
        <f aca="false">_xlfn.UNICHAR(((C84*21)+G84)*28+44032)</f>
        <v>거</v>
      </c>
      <c r="O84" s="10" t="str">
        <f aca="false">_xlfn.UNICHAR(((F84*21)+D84)*28+44032)</f>
        <v>보</v>
      </c>
      <c r="P84" s="12" t="n">
        <f aca="false">COUNTIF($A$2:$A$3000, N84) + COUNTIF($A$2:$A$3000, O84)</f>
        <v>2</v>
      </c>
      <c r="Q84" s="16" t="str">
        <f aca="false">IF(OR(B84=-1,I84=0, P84&lt;&gt;2), "albhed_dummy", _xlfn.CONCAT("albhed ", RIGHT("  " &amp; K84,2),", ", RIGHT("  " &amp; L84,2), ", " ,"""",H84,""", ", """",N84,""", ","""",O84,""""," ; ", A84))</f>
        <v>albhed  1,  8, "버", "거", "보" ; 곬</v>
      </c>
    </row>
    <row r="85" customFormat="false" ht="17.9" hidden="false" customHeight="true" outlineLevel="0" collapsed="false">
      <c r="A85" s="16" t="s">
        <v>964</v>
      </c>
      <c r="B85" s="16" t="n">
        <f aca="false">IF(_xlfn.UNICODE(A85)&lt;44032,-1,_xlfn.UNICODE(A85)-44032)</f>
        <v>239</v>
      </c>
      <c r="C85" s="16" t="n">
        <f aca="false">IF(B85=-1,-1,INT((B85/28)/21))</f>
        <v>0</v>
      </c>
      <c r="D85" s="16" t="n">
        <f aca="false">IF(B85=-1, -1, MOD(INT(B85/28),21))</f>
        <v>8</v>
      </c>
      <c r="E85" s="16" t="n">
        <f aca="false">IF(B85=-1, -1, VLOOKUP(MOD(B85,28), $T$24:$U$52,2))</f>
        <v>8</v>
      </c>
      <c r="F85" s="16" t="n">
        <f aca="false">IF($B85=-1, -1, VLOOKUP(C85,$T$1:$V$20, 2))</f>
        <v>7</v>
      </c>
      <c r="G85" s="16" t="n">
        <f aca="false">IF($B85=-1, -1, VLOOKUP(D85,$Y$1:$Z$22,2))</f>
        <v>4</v>
      </c>
      <c r="H85" s="16" t="str">
        <f aca="false">_xlfn.UNICHAR(((F85*21)+G85)*28+44032)</f>
        <v>버</v>
      </c>
      <c r="I85" s="16" t="n">
        <f aca="false">IF(B85=-1, 1, COUNTIF($A$2:$A$3000, H85))</f>
        <v>1</v>
      </c>
      <c r="J85" s="10" t="str">
        <f aca="false">_xlfn.CONCAT(A85, ",",H85,",",I85)</f>
        <v>곯,버,1</v>
      </c>
      <c r="K85" s="16" t="n">
        <f aca="false">IF(B85=-1,-1,VLOOKUP(C85,$T$1:$V$20,3))</f>
        <v>1</v>
      </c>
      <c r="L85" s="16" t="n">
        <f aca="false">IF(B85=-1,-1,VLOOKUP(D85,$Y$1:$AA$22,3))</f>
        <v>8</v>
      </c>
      <c r="N85" s="10" t="str">
        <f aca="false">_xlfn.UNICHAR(((C85*21)+G85)*28+44032)</f>
        <v>거</v>
      </c>
      <c r="O85" s="10" t="str">
        <f aca="false">_xlfn.UNICHAR(((F85*21)+D85)*28+44032)</f>
        <v>보</v>
      </c>
      <c r="P85" s="12" t="n">
        <f aca="false">COUNTIF($A$2:$A$3000, N85) + COUNTIF($A$2:$A$3000, O85)</f>
        <v>2</v>
      </c>
      <c r="Q85" s="16" t="str">
        <f aca="false">IF(OR(B85=-1,I85=0, P85&lt;&gt;2), "albhed_dummy", _xlfn.CONCAT("albhed ", RIGHT("  " &amp; K85,2),", ", RIGHT("  " &amp; L85,2), ", " ,"""",H85,""", ", """",N85,""", ","""",O85,""""," ; ", A85))</f>
        <v>albhed  1,  8, "버", "거", "보" ; 곯</v>
      </c>
    </row>
    <row r="86" customFormat="false" ht="17.9" hidden="false" customHeight="true" outlineLevel="0" collapsed="false">
      <c r="A86" s="16" t="s">
        <v>965</v>
      </c>
      <c r="B86" s="16" t="n">
        <f aca="false">IF(_xlfn.UNICODE(A86)&lt;44032,-1,_xlfn.UNICODE(A86)-44032)</f>
        <v>240</v>
      </c>
      <c r="C86" s="16" t="n">
        <f aca="false">IF(B86=-1,-1,INT((B86/28)/21))</f>
        <v>0</v>
      </c>
      <c r="D86" s="16" t="n">
        <f aca="false">IF(B86=-1, -1, MOD(INT(B86/28),21))</f>
        <v>8</v>
      </c>
      <c r="E86" s="16" t="n">
        <f aca="false">IF(B86=-1, -1, VLOOKUP(MOD(B86,28), $T$24:$U$52,2))</f>
        <v>16</v>
      </c>
      <c r="F86" s="16" t="n">
        <f aca="false">IF($B86=-1, -1, VLOOKUP(C86,$T$1:$V$20, 2))</f>
        <v>7</v>
      </c>
      <c r="G86" s="16" t="n">
        <f aca="false">IF($B86=-1, -1, VLOOKUP(D86,$Y$1:$Z$22,2))</f>
        <v>4</v>
      </c>
      <c r="H86" s="16" t="str">
        <f aca="false">_xlfn.UNICHAR(((F86*21)+G86)*28+44032)</f>
        <v>버</v>
      </c>
      <c r="I86" s="16" t="n">
        <f aca="false">IF(B86=-1, 1, COUNTIF($A$2:$A$3000, H86))</f>
        <v>1</v>
      </c>
      <c r="J86" s="10" t="str">
        <f aca="false">_xlfn.CONCAT(A86, ",",H86,",",I86)</f>
        <v>곰,버,1</v>
      </c>
      <c r="K86" s="16" t="n">
        <f aca="false">IF(B86=-1,-1,VLOOKUP(C86,$T$1:$V$20,3))</f>
        <v>1</v>
      </c>
      <c r="L86" s="16" t="n">
        <f aca="false">IF(B86=-1,-1,VLOOKUP(D86,$Y$1:$AA$22,3))</f>
        <v>8</v>
      </c>
      <c r="N86" s="10" t="str">
        <f aca="false">_xlfn.UNICHAR(((C86*21)+G86)*28+44032)</f>
        <v>거</v>
      </c>
      <c r="O86" s="10" t="str">
        <f aca="false">_xlfn.UNICHAR(((F86*21)+D86)*28+44032)</f>
        <v>보</v>
      </c>
      <c r="P86" s="12" t="n">
        <f aca="false">COUNTIF($A$2:$A$3000, N86) + COUNTIF($A$2:$A$3000, O86)</f>
        <v>2</v>
      </c>
      <c r="Q86" s="16" t="str">
        <f aca="false">IF(OR(B86=-1,I86=0, P86&lt;&gt;2), "albhed_dummy", _xlfn.CONCAT("albhed ", RIGHT("  " &amp; K86,2),", ", RIGHT("  " &amp; L86,2), ", " ,"""",H86,""", ", """",N86,""", ","""",O86,""""," ; ", A86))</f>
        <v>albhed  1,  8, "버", "거", "보" ; 곰</v>
      </c>
    </row>
    <row r="87" customFormat="false" ht="17.9" hidden="false" customHeight="true" outlineLevel="0" collapsed="false">
      <c r="A87" s="16" t="s">
        <v>966</v>
      </c>
      <c r="B87" s="16" t="n">
        <f aca="false">IF(_xlfn.UNICODE(A87)&lt;44032,-1,_xlfn.UNICODE(A87)-44032)</f>
        <v>241</v>
      </c>
      <c r="C87" s="16" t="n">
        <f aca="false">IF(B87=-1,-1,INT((B87/28)/21))</f>
        <v>0</v>
      </c>
      <c r="D87" s="16" t="n">
        <f aca="false">IF(B87=-1, -1, MOD(INT(B87/28),21))</f>
        <v>8</v>
      </c>
      <c r="E87" s="16" t="n">
        <f aca="false">IF(B87=-1, -1, VLOOKUP(MOD(B87,28), $T$24:$U$52,2))</f>
        <v>17</v>
      </c>
      <c r="F87" s="16" t="n">
        <f aca="false">IF($B87=-1, -1, VLOOKUP(C87,$T$1:$V$20, 2))</f>
        <v>7</v>
      </c>
      <c r="G87" s="16" t="n">
        <f aca="false">IF($B87=-1, -1, VLOOKUP(D87,$Y$1:$Z$22,2))</f>
        <v>4</v>
      </c>
      <c r="H87" s="16" t="str">
        <f aca="false">_xlfn.UNICHAR(((F87*21)+G87)*28+44032)</f>
        <v>버</v>
      </c>
      <c r="I87" s="16" t="n">
        <f aca="false">IF(B87=-1, 1, COUNTIF($A$2:$A$3000, H87))</f>
        <v>1</v>
      </c>
      <c r="J87" s="10" t="str">
        <f aca="false">_xlfn.CONCAT(A87, ",",H87,",",I87)</f>
        <v>곱,버,1</v>
      </c>
      <c r="K87" s="16" t="n">
        <f aca="false">IF(B87=-1,-1,VLOOKUP(C87,$T$1:$V$20,3))</f>
        <v>1</v>
      </c>
      <c r="L87" s="16" t="n">
        <f aca="false">IF(B87=-1,-1,VLOOKUP(D87,$Y$1:$AA$22,3))</f>
        <v>8</v>
      </c>
      <c r="N87" s="10" t="str">
        <f aca="false">_xlfn.UNICHAR(((C87*21)+G87)*28+44032)</f>
        <v>거</v>
      </c>
      <c r="O87" s="10" t="str">
        <f aca="false">_xlfn.UNICHAR(((F87*21)+D87)*28+44032)</f>
        <v>보</v>
      </c>
      <c r="P87" s="12" t="n">
        <f aca="false">COUNTIF($A$2:$A$3000, N87) + COUNTIF($A$2:$A$3000, O87)</f>
        <v>2</v>
      </c>
      <c r="Q87" s="16" t="str">
        <f aca="false">IF(OR(B87=-1,I87=0, P87&lt;&gt;2), "albhed_dummy", _xlfn.CONCAT("albhed ", RIGHT("  " &amp; K87,2),", ", RIGHT("  " &amp; L87,2), ", " ,"""",H87,""", ", """",N87,""", ","""",O87,""""," ; ", A87))</f>
        <v>albhed  1,  8, "버", "거", "보" ; 곱</v>
      </c>
    </row>
    <row r="88" customFormat="false" ht="17.9" hidden="false" customHeight="true" outlineLevel="0" collapsed="false">
      <c r="A88" s="16" t="s">
        <v>967</v>
      </c>
      <c r="B88" s="16" t="n">
        <f aca="false">IF(_xlfn.UNICODE(A88)&lt;44032,-1,_xlfn.UNICODE(A88)-44032)</f>
        <v>243</v>
      </c>
      <c r="C88" s="16" t="n">
        <f aca="false">IF(B88=-1,-1,INT((B88/28)/21))</f>
        <v>0</v>
      </c>
      <c r="D88" s="16" t="n">
        <f aca="false">IF(B88=-1, -1, MOD(INT(B88/28),21))</f>
        <v>8</v>
      </c>
      <c r="E88" s="16" t="n">
        <f aca="false">IF(B88=-1, -1, VLOOKUP(MOD(B88,28), $T$24:$U$52,2))</f>
        <v>19</v>
      </c>
      <c r="F88" s="16" t="n">
        <f aca="false">IF($B88=-1, -1, VLOOKUP(C88,$T$1:$V$20, 2))</f>
        <v>7</v>
      </c>
      <c r="G88" s="16" t="n">
        <f aca="false">IF($B88=-1, -1, VLOOKUP(D88,$Y$1:$Z$22,2))</f>
        <v>4</v>
      </c>
      <c r="H88" s="16" t="str">
        <f aca="false">_xlfn.UNICHAR(((F88*21)+G88)*28+44032)</f>
        <v>버</v>
      </c>
      <c r="I88" s="16" t="n">
        <f aca="false">IF(B88=-1, 1, COUNTIF($A$2:$A$3000, H88))</f>
        <v>1</v>
      </c>
      <c r="J88" s="10" t="str">
        <f aca="false">_xlfn.CONCAT(A88, ",",H88,",",I88)</f>
        <v>곳,버,1</v>
      </c>
      <c r="K88" s="16" t="n">
        <f aca="false">IF(B88=-1,-1,VLOOKUP(C88,$T$1:$V$20,3))</f>
        <v>1</v>
      </c>
      <c r="L88" s="16" t="n">
        <f aca="false">IF(B88=-1,-1,VLOOKUP(D88,$Y$1:$AA$22,3))</f>
        <v>8</v>
      </c>
      <c r="N88" s="10" t="str">
        <f aca="false">_xlfn.UNICHAR(((C88*21)+G88)*28+44032)</f>
        <v>거</v>
      </c>
      <c r="O88" s="10" t="str">
        <f aca="false">_xlfn.UNICHAR(((F88*21)+D88)*28+44032)</f>
        <v>보</v>
      </c>
      <c r="P88" s="12" t="n">
        <f aca="false">COUNTIF($A$2:$A$3000, N88) + COUNTIF($A$2:$A$3000, O88)</f>
        <v>2</v>
      </c>
      <c r="Q88" s="16" t="str">
        <f aca="false">IF(OR(B88=-1,I88=0, P88&lt;&gt;2), "albhed_dummy", _xlfn.CONCAT("albhed ", RIGHT("  " &amp; K88,2),", ", RIGHT("  " &amp; L88,2), ", " ,"""",H88,""", ", """",N88,""", ","""",O88,""""," ; ", A88))</f>
        <v>albhed  1,  8, "버", "거", "보" ; 곳</v>
      </c>
    </row>
    <row r="89" customFormat="false" ht="17.9" hidden="false" customHeight="true" outlineLevel="0" collapsed="false">
      <c r="A89" s="16" t="s">
        <v>968</v>
      </c>
      <c r="B89" s="16" t="n">
        <f aca="false">IF(_xlfn.UNICODE(A89)&lt;44032,-1,_xlfn.UNICODE(A89)-44032)</f>
        <v>245</v>
      </c>
      <c r="C89" s="16" t="n">
        <f aca="false">IF(B89=-1,-1,INT((B89/28)/21))</f>
        <v>0</v>
      </c>
      <c r="D89" s="16" t="n">
        <f aca="false">IF(B89=-1, -1, MOD(INT(B89/28),21))</f>
        <v>8</v>
      </c>
      <c r="E89" s="16" t="n">
        <f aca="false">IF(B89=-1, -1, VLOOKUP(MOD(B89,28), $T$24:$U$52,2))</f>
        <v>21</v>
      </c>
      <c r="F89" s="16" t="n">
        <f aca="false">IF($B89=-1, -1, VLOOKUP(C89,$T$1:$V$20, 2))</f>
        <v>7</v>
      </c>
      <c r="G89" s="16" t="n">
        <f aca="false">IF($B89=-1, -1, VLOOKUP(D89,$Y$1:$Z$22,2))</f>
        <v>4</v>
      </c>
      <c r="H89" s="16" t="str">
        <f aca="false">_xlfn.UNICHAR(((F89*21)+G89)*28+44032)</f>
        <v>버</v>
      </c>
      <c r="I89" s="16" t="n">
        <f aca="false">IF(B89=-1, 1, COUNTIF($A$2:$A$3000, H89))</f>
        <v>1</v>
      </c>
      <c r="J89" s="10" t="str">
        <f aca="false">_xlfn.CONCAT(A89, ",",H89,",",I89)</f>
        <v>공,버,1</v>
      </c>
      <c r="K89" s="16" t="n">
        <f aca="false">IF(B89=-1,-1,VLOOKUP(C89,$T$1:$V$20,3))</f>
        <v>1</v>
      </c>
      <c r="L89" s="16" t="n">
        <f aca="false">IF(B89=-1,-1,VLOOKUP(D89,$Y$1:$AA$22,3))</f>
        <v>8</v>
      </c>
      <c r="N89" s="10" t="str">
        <f aca="false">_xlfn.UNICHAR(((C89*21)+G89)*28+44032)</f>
        <v>거</v>
      </c>
      <c r="O89" s="10" t="str">
        <f aca="false">_xlfn.UNICHAR(((F89*21)+D89)*28+44032)</f>
        <v>보</v>
      </c>
      <c r="P89" s="12" t="n">
        <f aca="false">COUNTIF($A$2:$A$3000, N89) + COUNTIF($A$2:$A$3000, O89)</f>
        <v>2</v>
      </c>
      <c r="Q89" s="16" t="str">
        <f aca="false">IF(OR(B89=-1,I89=0, P89&lt;&gt;2), "albhed_dummy", _xlfn.CONCAT("albhed ", RIGHT("  " &amp; K89,2),", ", RIGHT("  " &amp; L89,2), ", " ,"""",H89,""", ", """",N89,""", ","""",O89,""""," ; ", A89))</f>
        <v>albhed  1,  8, "버", "거", "보" ; 공</v>
      </c>
    </row>
    <row r="90" customFormat="false" ht="17.9" hidden="false" customHeight="true" outlineLevel="0" collapsed="false">
      <c r="A90" s="16" t="s">
        <v>969</v>
      </c>
      <c r="B90" s="16" t="n">
        <f aca="false">IF(_xlfn.UNICODE(A90)&lt;44032,-1,_xlfn.UNICODE(A90)-44032)</f>
        <v>246</v>
      </c>
      <c r="C90" s="16" t="n">
        <f aca="false">IF(B90=-1,-1,INT((B90/28)/21))</f>
        <v>0</v>
      </c>
      <c r="D90" s="16" t="n">
        <f aca="false">IF(B90=-1, -1, MOD(INT(B90/28),21))</f>
        <v>8</v>
      </c>
      <c r="E90" s="16" t="n">
        <f aca="false">IF(B90=-1, -1, VLOOKUP(MOD(B90,28), $T$24:$U$52,2))</f>
        <v>19</v>
      </c>
      <c r="F90" s="16" t="n">
        <f aca="false">IF($B90=-1, -1, VLOOKUP(C90,$T$1:$V$20, 2))</f>
        <v>7</v>
      </c>
      <c r="G90" s="16" t="n">
        <f aca="false">IF($B90=-1, -1, VLOOKUP(D90,$Y$1:$Z$22,2))</f>
        <v>4</v>
      </c>
      <c r="H90" s="16" t="str">
        <f aca="false">_xlfn.UNICHAR(((F90*21)+G90)*28+44032)</f>
        <v>버</v>
      </c>
      <c r="I90" s="16" t="n">
        <f aca="false">IF(B90=-1, 1, COUNTIF($A$2:$A$3000, H90))</f>
        <v>1</v>
      </c>
      <c r="J90" s="10" t="str">
        <f aca="false">_xlfn.CONCAT(A90, ",",H90,",",I90)</f>
        <v>곶,버,1</v>
      </c>
      <c r="K90" s="16" t="n">
        <f aca="false">IF(B90=-1,-1,VLOOKUP(C90,$T$1:$V$20,3))</f>
        <v>1</v>
      </c>
      <c r="L90" s="16" t="n">
        <f aca="false">IF(B90=-1,-1,VLOOKUP(D90,$Y$1:$AA$22,3))</f>
        <v>8</v>
      </c>
      <c r="N90" s="10" t="str">
        <f aca="false">_xlfn.UNICHAR(((C90*21)+G90)*28+44032)</f>
        <v>거</v>
      </c>
      <c r="O90" s="10" t="str">
        <f aca="false">_xlfn.UNICHAR(((F90*21)+D90)*28+44032)</f>
        <v>보</v>
      </c>
      <c r="P90" s="12" t="n">
        <f aca="false">COUNTIF($A$2:$A$3000, N90) + COUNTIF($A$2:$A$3000, O90)</f>
        <v>2</v>
      </c>
      <c r="Q90" s="16" t="str">
        <f aca="false">IF(OR(B90=-1,I90=0, P90&lt;&gt;2), "albhed_dummy", _xlfn.CONCAT("albhed ", RIGHT("  " &amp; K90,2),", ", RIGHT("  " &amp; L90,2), ", " ,"""",H90,""", ", """",N90,""", ","""",O90,""""," ; ", A90))</f>
        <v>albhed  1,  8, "버", "거", "보" ; 곶</v>
      </c>
    </row>
    <row r="91" customFormat="false" ht="17.9" hidden="false" customHeight="true" outlineLevel="0" collapsed="false">
      <c r="A91" s="16" t="s">
        <v>970</v>
      </c>
      <c r="B91" s="16" t="n">
        <f aca="false">IF(_xlfn.UNICODE(A91)&lt;44032,-1,_xlfn.UNICODE(A91)-44032)</f>
        <v>252</v>
      </c>
      <c r="C91" s="16" t="n">
        <f aca="false">IF(B91=-1,-1,INT((B91/28)/21))</f>
        <v>0</v>
      </c>
      <c r="D91" s="16" t="n">
        <f aca="false">IF(B91=-1, -1, MOD(INT(B91/28),21))</f>
        <v>9</v>
      </c>
      <c r="E91" s="16" t="n">
        <f aca="false">IF(B91=-1, -1, VLOOKUP(MOD(B91,28), $T$24:$U$52,2))</f>
        <v>0</v>
      </c>
      <c r="F91" s="16" t="n">
        <f aca="false">IF($B91=-1, -1, VLOOKUP(C91,$T$1:$V$20, 2))</f>
        <v>7</v>
      </c>
      <c r="G91" s="16" t="n">
        <f aca="false">IF($B91=-1, -1, VLOOKUP(D91,$Y$1:$Z$22,2))</f>
        <v>20</v>
      </c>
      <c r="H91" s="16" t="str">
        <f aca="false">_xlfn.UNICHAR(((F91*21)+G91)*28+44032)</f>
        <v>비</v>
      </c>
      <c r="I91" s="16" t="n">
        <f aca="false">IF(B91=-1, 1, COUNTIF($A$2:$A$3000, H91))</f>
        <v>1</v>
      </c>
      <c r="J91" s="10" t="str">
        <f aca="false">_xlfn.CONCAT(A91, ",",H91,",",I91)</f>
        <v>과,비,1</v>
      </c>
      <c r="K91" s="16" t="n">
        <f aca="false">IF(B91=-1,-1,VLOOKUP(C91,$T$1:$V$20,3))</f>
        <v>1</v>
      </c>
      <c r="L91" s="16" t="n">
        <f aca="false">IF(B91=-1,-1,VLOOKUP(D91,$Y$1:$AA$22,3))</f>
        <v>12</v>
      </c>
      <c r="N91" s="10" t="str">
        <f aca="false">_xlfn.UNICHAR(((C91*21)+G91)*28+44032)</f>
        <v>기</v>
      </c>
      <c r="O91" s="10" t="str">
        <f aca="false">_xlfn.UNICHAR(((F91*21)+D91)*28+44032)</f>
        <v>봐</v>
      </c>
      <c r="P91" s="12" t="n">
        <f aca="false">COUNTIF($A$2:$A$3000, N91) + COUNTIF($A$2:$A$3000, O91)</f>
        <v>2</v>
      </c>
      <c r="Q91" s="16" t="str">
        <f aca="false">IF(OR(B91=-1,I91=0, P91&lt;&gt;2), "albhed_dummy", _xlfn.CONCAT("albhed ", RIGHT("  " &amp; K91,2),", ", RIGHT("  " &amp; L91,2), ", " ,"""",H91,""", ", """",N91,""", ","""",O91,""""," ; ", A91))</f>
        <v>albhed  1, 12, "비", "기", "봐" ; 과</v>
      </c>
    </row>
    <row r="92" customFormat="false" ht="17.9" hidden="false" customHeight="true" outlineLevel="0" collapsed="false">
      <c r="A92" s="16" t="s">
        <v>971</v>
      </c>
      <c r="B92" s="16" t="n">
        <f aca="false">IF(_xlfn.UNICODE(A92)&lt;44032,-1,_xlfn.UNICODE(A92)-44032)</f>
        <v>253</v>
      </c>
      <c r="C92" s="16" t="n">
        <f aca="false">IF(B92=-1,-1,INT((B92/28)/21))</f>
        <v>0</v>
      </c>
      <c r="D92" s="16" t="n">
        <f aca="false">IF(B92=-1, -1, MOD(INT(B92/28),21))</f>
        <v>9</v>
      </c>
      <c r="E92" s="16" t="n">
        <f aca="false">IF(B92=-1, -1, VLOOKUP(MOD(B92,28), $T$24:$U$52,2))</f>
        <v>1</v>
      </c>
      <c r="F92" s="16" t="n">
        <f aca="false">IF($B92=-1, -1, VLOOKUP(C92,$T$1:$V$20, 2))</f>
        <v>7</v>
      </c>
      <c r="G92" s="16" t="n">
        <f aca="false">IF($B92=-1, -1, VLOOKUP(D92,$Y$1:$Z$22,2))</f>
        <v>20</v>
      </c>
      <c r="H92" s="16" t="str">
        <f aca="false">_xlfn.UNICHAR(((F92*21)+G92)*28+44032)</f>
        <v>비</v>
      </c>
      <c r="I92" s="16" t="n">
        <f aca="false">IF(B92=-1, 1, COUNTIF($A$2:$A$3000, H92))</f>
        <v>1</v>
      </c>
      <c r="J92" s="10" t="str">
        <f aca="false">_xlfn.CONCAT(A92, ",",H92,",",I92)</f>
        <v>곽,비,1</v>
      </c>
      <c r="K92" s="16" t="n">
        <f aca="false">IF(B92=-1,-1,VLOOKUP(C92,$T$1:$V$20,3))</f>
        <v>1</v>
      </c>
      <c r="L92" s="16" t="n">
        <f aca="false">IF(B92=-1,-1,VLOOKUP(D92,$Y$1:$AA$22,3))</f>
        <v>12</v>
      </c>
      <c r="N92" s="10" t="str">
        <f aca="false">_xlfn.UNICHAR(((C92*21)+G92)*28+44032)</f>
        <v>기</v>
      </c>
      <c r="O92" s="10" t="str">
        <f aca="false">_xlfn.UNICHAR(((F92*21)+D92)*28+44032)</f>
        <v>봐</v>
      </c>
      <c r="P92" s="12" t="n">
        <f aca="false">COUNTIF($A$2:$A$3000, N92) + COUNTIF($A$2:$A$3000, O92)</f>
        <v>2</v>
      </c>
      <c r="Q92" s="16" t="str">
        <f aca="false">IF(OR(B92=-1,I92=0, P92&lt;&gt;2), "albhed_dummy", _xlfn.CONCAT("albhed ", RIGHT("  " &amp; K92,2),", ", RIGHT("  " &amp; L92,2), ", " ,"""",H92,""", ", """",N92,""", ","""",O92,""""," ; ", A92))</f>
        <v>albhed  1, 12, "비", "기", "봐" ; 곽</v>
      </c>
    </row>
    <row r="93" customFormat="false" ht="17.9" hidden="false" customHeight="true" outlineLevel="0" collapsed="false">
      <c r="A93" s="16" t="s">
        <v>972</v>
      </c>
      <c r="B93" s="16" t="n">
        <f aca="false">IF(_xlfn.UNICODE(A93)&lt;44032,-1,_xlfn.UNICODE(A93)-44032)</f>
        <v>256</v>
      </c>
      <c r="C93" s="16" t="n">
        <f aca="false">IF(B93=-1,-1,INT((B93/28)/21))</f>
        <v>0</v>
      </c>
      <c r="D93" s="16" t="n">
        <f aca="false">IF(B93=-1, -1, MOD(INT(B93/28),21))</f>
        <v>9</v>
      </c>
      <c r="E93" s="16" t="n">
        <f aca="false">IF(B93=-1, -1, VLOOKUP(MOD(B93,28), $T$24:$U$52,2))</f>
        <v>4</v>
      </c>
      <c r="F93" s="16" t="n">
        <f aca="false">IF($B93=-1, -1, VLOOKUP(C93,$T$1:$V$20, 2))</f>
        <v>7</v>
      </c>
      <c r="G93" s="16" t="n">
        <f aca="false">IF($B93=-1, -1, VLOOKUP(D93,$Y$1:$Z$22,2))</f>
        <v>20</v>
      </c>
      <c r="H93" s="16" t="str">
        <f aca="false">_xlfn.UNICHAR(((F93*21)+G93)*28+44032)</f>
        <v>비</v>
      </c>
      <c r="I93" s="16" t="n">
        <f aca="false">IF(B93=-1, 1, COUNTIF($A$2:$A$3000, H93))</f>
        <v>1</v>
      </c>
      <c r="J93" s="10" t="str">
        <f aca="false">_xlfn.CONCAT(A93, ",",H93,",",I93)</f>
        <v>관,비,1</v>
      </c>
      <c r="K93" s="16" t="n">
        <f aca="false">IF(B93=-1,-1,VLOOKUP(C93,$T$1:$V$20,3))</f>
        <v>1</v>
      </c>
      <c r="L93" s="16" t="n">
        <f aca="false">IF(B93=-1,-1,VLOOKUP(D93,$Y$1:$AA$22,3))</f>
        <v>12</v>
      </c>
      <c r="N93" s="10" t="str">
        <f aca="false">_xlfn.UNICHAR(((C93*21)+G93)*28+44032)</f>
        <v>기</v>
      </c>
      <c r="O93" s="10" t="str">
        <f aca="false">_xlfn.UNICHAR(((F93*21)+D93)*28+44032)</f>
        <v>봐</v>
      </c>
      <c r="P93" s="12" t="n">
        <f aca="false">COUNTIF($A$2:$A$3000, N93) + COUNTIF($A$2:$A$3000, O93)</f>
        <v>2</v>
      </c>
      <c r="Q93" s="16" t="str">
        <f aca="false">IF(OR(B93=-1,I93=0, P93&lt;&gt;2), "albhed_dummy", _xlfn.CONCAT("albhed ", RIGHT("  " &amp; K93,2),", ", RIGHT("  " &amp; L93,2), ", " ,"""",H93,""", ", """",N93,""", ","""",O93,""""," ; ", A93))</f>
        <v>albhed  1, 12, "비", "기", "봐" ; 관</v>
      </c>
    </row>
    <row r="94" customFormat="false" ht="17.9" hidden="false" customHeight="true" outlineLevel="0" collapsed="false">
      <c r="A94" s="16" t="s">
        <v>973</v>
      </c>
      <c r="B94" s="16" t="n">
        <f aca="false">IF(_xlfn.UNICODE(A94)&lt;44032,-1,_xlfn.UNICODE(A94)-44032)</f>
        <v>260</v>
      </c>
      <c r="C94" s="16" t="n">
        <f aca="false">IF(B94=-1,-1,INT((B94/28)/21))</f>
        <v>0</v>
      </c>
      <c r="D94" s="16" t="n">
        <f aca="false">IF(B94=-1, -1, MOD(INT(B94/28),21))</f>
        <v>9</v>
      </c>
      <c r="E94" s="16" t="n">
        <f aca="false">IF(B94=-1, -1, VLOOKUP(MOD(B94,28), $T$24:$U$52,2))</f>
        <v>8</v>
      </c>
      <c r="F94" s="16" t="n">
        <f aca="false">IF($B94=-1, -1, VLOOKUP(C94,$T$1:$V$20, 2))</f>
        <v>7</v>
      </c>
      <c r="G94" s="16" t="n">
        <f aca="false">IF($B94=-1, -1, VLOOKUP(D94,$Y$1:$Z$22,2))</f>
        <v>20</v>
      </c>
      <c r="H94" s="16" t="str">
        <f aca="false">_xlfn.UNICHAR(((F94*21)+G94)*28+44032)</f>
        <v>비</v>
      </c>
      <c r="I94" s="16" t="n">
        <f aca="false">IF(B94=-1, 1, COUNTIF($A$2:$A$3000, H94))</f>
        <v>1</v>
      </c>
      <c r="J94" s="10" t="str">
        <f aca="false">_xlfn.CONCAT(A94, ",",H94,",",I94)</f>
        <v>괄,비,1</v>
      </c>
      <c r="K94" s="16" t="n">
        <f aca="false">IF(B94=-1,-1,VLOOKUP(C94,$T$1:$V$20,3))</f>
        <v>1</v>
      </c>
      <c r="L94" s="16" t="n">
        <f aca="false">IF(B94=-1,-1,VLOOKUP(D94,$Y$1:$AA$22,3))</f>
        <v>12</v>
      </c>
      <c r="N94" s="10" t="str">
        <f aca="false">_xlfn.UNICHAR(((C94*21)+G94)*28+44032)</f>
        <v>기</v>
      </c>
      <c r="O94" s="10" t="str">
        <f aca="false">_xlfn.UNICHAR(((F94*21)+D94)*28+44032)</f>
        <v>봐</v>
      </c>
      <c r="P94" s="12" t="n">
        <f aca="false">COUNTIF($A$2:$A$3000, N94) + COUNTIF($A$2:$A$3000, O94)</f>
        <v>2</v>
      </c>
      <c r="Q94" s="16" t="str">
        <f aca="false">IF(OR(B94=-1,I94=0, P94&lt;&gt;2), "albhed_dummy", _xlfn.CONCAT("albhed ", RIGHT("  " &amp; K94,2),", ", RIGHT("  " &amp; L94,2), ", " ,"""",H94,""", ", """",N94,""", ","""",O94,""""," ; ", A94))</f>
        <v>albhed  1, 12, "비", "기", "봐" ; 괄</v>
      </c>
    </row>
    <row r="95" customFormat="false" ht="17.9" hidden="false" customHeight="true" outlineLevel="0" collapsed="false">
      <c r="A95" s="16" t="s">
        <v>974</v>
      </c>
      <c r="B95" s="16" t="n">
        <f aca="false">IF(_xlfn.UNICODE(A95)&lt;44032,-1,_xlfn.UNICODE(A95)-44032)</f>
        <v>262</v>
      </c>
      <c r="C95" s="16" t="n">
        <f aca="false">IF(B95=-1,-1,INT((B95/28)/21))</f>
        <v>0</v>
      </c>
      <c r="D95" s="16" t="n">
        <f aca="false">IF(B95=-1, -1, MOD(INT(B95/28),21))</f>
        <v>9</v>
      </c>
      <c r="E95" s="16" t="n">
        <f aca="false">IF(B95=-1, -1, VLOOKUP(MOD(B95,28), $T$24:$U$52,2))</f>
        <v>8</v>
      </c>
      <c r="F95" s="16" t="n">
        <f aca="false">IF($B95=-1, -1, VLOOKUP(C95,$T$1:$V$20, 2))</f>
        <v>7</v>
      </c>
      <c r="G95" s="16" t="n">
        <f aca="false">IF($B95=-1, -1, VLOOKUP(D95,$Y$1:$Z$22,2))</f>
        <v>20</v>
      </c>
      <c r="H95" s="16" t="str">
        <f aca="false">_xlfn.UNICHAR(((F95*21)+G95)*28+44032)</f>
        <v>비</v>
      </c>
      <c r="I95" s="16" t="n">
        <f aca="false">IF(B95=-1, 1, COUNTIF($A$2:$A$3000, H95))</f>
        <v>1</v>
      </c>
      <c r="J95" s="10" t="str">
        <f aca="false">_xlfn.CONCAT(A95, ",",H95,",",I95)</f>
        <v>괆,비,1</v>
      </c>
      <c r="K95" s="16" t="n">
        <f aca="false">IF(B95=-1,-1,VLOOKUP(C95,$T$1:$V$20,3))</f>
        <v>1</v>
      </c>
      <c r="L95" s="16" t="n">
        <f aca="false">IF(B95=-1,-1,VLOOKUP(D95,$Y$1:$AA$22,3))</f>
        <v>12</v>
      </c>
      <c r="N95" s="10" t="str">
        <f aca="false">_xlfn.UNICHAR(((C95*21)+G95)*28+44032)</f>
        <v>기</v>
      </c>
      <c r="O95" s="10" t="str">
        <f aca="false">_xlfn.UNICHAR(((F95*21)+D95)*28+44032)</f>
        <v>봐</v>
      </c>
      <c r="P95" s="12" t="n">
        <f aca="false">COUNTIF($A$2:$A$3000, N95) + COUNTIF($A$2:$A$3000, O95)</f>
        <v>2</v>
      </c>
      <c r="Q95" s="16" t="str">
        <f aca="false">IF(OR(B95=-1,I95=0, P95&lt;&gt;2), "albhed_dummy", _xlfn.CONCAT("albhed ", RIGHT("  " &amp; K95,2),", ", RIGHT("  " &amp; L95,2), ", " ,"""",H95,""", ", """",N95,""", ","""",O95,""""," ; ", A95))</f>
        <v>albhed  1, 12, "비", "기", "봐" ; 괆</v>
      </c>
    </row>
    <row r="96" customFormat="false" ht="17.9" hidden="false" customHeight="true" outlineLevel="0" collapsed="false">
      <c r="A96" s="16" t="s">
        <v>975</v>
      </c>
      <c r="B96" s="16" t="n">
        <f aca="false">IF(_xlfn.UNICODE(A96)&lt;44032,-1,_xlfn.UNICODE(A96)-44032)</f>
        <v>268</v>
      </c>
      <c r="C96" s="16" t="n">
        <f aca="false">IF(B96=-1,-1,INT((B96/28)/21))</f>
        <v>0</v>
      </c>
      <c r="D96" s="16" t="n">
        <f aca="false">IF(B96=-1, -1, MOD(INT(B96/28),21))</f>
        <v>9</v>
      </c>
      <c r="E96" s="16" t="n">
        <f aca="false">IF(B96=-1, -1, VLOOKUP(MOD(B96,28), $T$24:$U$52,2))</f>
        <v>16</v>
      </c>
      <c r="F96" s="16" t="n">
        <f aca="false">IF($B96=-1, -1, VLOOKUP(C96,$T$1:$V$20, 2))</f>
        <v>7</v>
      </c>
      <c r="G96" s="16" t="n">
        <f aca="false">IF($B96=-1, -1, VLOOKUP(D96,$Y$1:$Z$22,2))</f>
        <v>20</v>
      </c>
      <c r="H96" s="16" t="str">
        <f aca="false">_xlfn.UNICHAR(((F96*21)+G96)*28+44032)</f>
        <v>비</v>
      </c>
      <c r="I96" s="16" t="n">
        <f aca="false">IF(B96=-1, 1, COUNTIF($A$2:$A$3000, H96))</f>
        <v>1</v>
      </c>
      <c r="J96" s="10" t="str">
        <f aca="false">_xlfn.CONCAT(A96, ",",H96,",",I96)</f>
        <v>괌,비,1</v>
      </c>
      <c r="K96" s="16" t="n">
        <f aca="false">IF(B96=-1,-1,VLOOKUP(C96,$T$1:$V$20,3))</f>
        <v>1</v>
      </c>
      <c r="L96" s="16" t="n">
        <f aca="false">IF(B96=-1,-1,VLOOKUP(D96,$Y$1:$AA$22,3))</f>
        <v>12</v>
      </c>
      <c r="N96" s="10" t="str">
        <f aca="false">_xlfn.UNICHAR(((C96*21)+G96)*28+44032)</f>
        <v>기</v>
      </c>
      <c r="O96" s="10" t="str">
        <f aca="false">_xlfn.UNICHAR(((F96*21)+D96)*28+44032)</f>
        <v>봐</v>
      </c>
      <c r="P96" s="12" t="n">
        <f aca="false">COUNTIF($A$2:$A$3000, N96) + COUNTIF($A$2:$A$3000, O96)</f>
        <v>2</v>
      </c>
      <c r="Q96" s="16" t="str">
        <f aca="false">IF(OR(B96=-1,I96=0, P96&lt;&gt;2), "albhed_dummy", _xlfn.CONCAT("albhed ", RIGHT("  " &amp; K96,2),", ", RIGHT("  " &amp; L96,2), ", " ,"""",H96,""", ", """",N96,""", ","""",O96,""""," ; ", A96))</f>
        <v>albhed  1, 12, "비", "기", "봐" ; 괌</v>
      </c>
    </row>
    <row r="97" customFormat="false" ht="17.9" hidden="false" customHeight="true" outlineLevel="0" collapsed="false">
      <c r="A97" s="16" t="s">
        <v>976</v>
      </c>
      <c r="B97" s="16" t="n">
        <f aca="false">IF(_xlfn.UNICODE(A97)&lt;44032,-1,_xlfn.UNICODE(A97)-44032)</f>
        <v>269</v>
      </c>
      <c r="C97" s="16" t="n">
        <f aca="false">IF(B97=-1,-1,INT((B97/28)/21))</f>
        <v>0</v>
      </c>
      <c r="D97" s="16" t="n">
        <f aca="false">IF(B97=-1, -1, MOD(INT(B97/28),21))</f>
        <v>9</v>
      </c>
      <c r="E97" s="16" t="n">
        <f aca="false">IF(B97=-1, -1, VLOOKUP(MOD(B97,28), $T$24:$U$52,2))</f>
        <v>17</v>
      </c>
      <c r="F97" s="16" t="n">
        <f aca="false">IF($B97=-1, -1, VLOOKUP(C97,$T$1:$V$20, 2))</f>
        <v>7</v>
      </c>
      <c r="G97" s="16" t="n">
        <f aca="false">IF($B97=-1, -1, VLOOKUP(D97,$Y$1:$Z$22,2))</f>
        <v>20</v>
      </c>
      <c r="H97" s="16" t="str">
        <f aca="false">_xlfn.UNICHAR(((F97*21)+G97)*28+44032)</f>
        <v>비</v>
      </c>
      <c r="I97" s="16" t="n">
        <f aca="false">IF(B97=-1, 1, COUNTIF($A$2:$A$3000, H97))</f>
        <v>1</v>
      </c>
      <c r="J97" s="10" t="str">
        <f aca="false">_xlfn.CONCAT(A97, ",",H97,",",I97)</f>
        <v>괍,비,1</v>
      </c>
      <c r="K97" s="16" t="n">
        <f aca="false">IF(B97=-1,-1,VLOOKUP(C97,$T$1:$V$20,3))</f>
        <v>1</v>
      </c>
      <c r="L97" s="16" t="n">
        <f aca="false">IF(B97=-1,-1,VLOOKUP(D97,$Y$1:$AA$22,3))</f>
        <v>12</v>
      </c>
      <c r="N97" s="10" t="str">
        <f aca="false">_xlfn.UNICHAR(((C97*21)+G97)*28+44032)</f>
        <v>기</v>
      </c>
      <c r="O97" s="10" t="str">
        <f aca="false">_xlfn.UNICHAR(((F97*21)+D97)*28+44032)</f>
        <v>봐</v>
      </c>
      <c r="P97" s="12" t="n">
        <f aca="false">COUNTIF($A$2:$A$3000, N97) + COUNTIF($A$2:$A$3000, O97)</f>
        <v>2</v>
      </c>
      <c r="Q97" s="16" t="str">
        <f aca="false">IF(OR(B97=-1,I97=0, P97&lt;&gt;2), "albhed_dummy", _xlfn.CONCAT("albhed ", RIGHT("  " &amp; K97,2),", ", RIGHT("  " &amp; L97,2), ", " ,"""",H97,""", ", """",N97,""", ","""",O97,""""," ; ", A97))</f>
        <v>albhed  1, 12, "비", "기", "봐" ; 괍</v>
      </c>
    </row>
    <row r="98" customFormat="false" ht="17.9" hidden="false" customHeight="true" outlineLevel="0" collapsed="false">
      <c r="A98" s="16" t="s">
        <v>977</v>
      </c>
      <c r="B98" s="16" t="n">
        <f aca="false">IF(_xlfn.UNICODE(A98)&lt;44032,-1,_xlfn.UNICODE(A98)-44032)</f>
        <v>271</v>
      </c>
      <c r="C98" s="16" t="n">
        <f aca="false">IF(B98=-1,-1,INT((B98/28)/21))</f>
        <v>0</v>
      </c>
      <c r="D98" s="16" t="n">
        <f aca="false">IF(B98=-1, -1, MOD(INT(B98/28),21))</f>
        <v>9</v>
      </c>
      <c r="E98" s="16" t="n">
        <f aca="false">IF(B98=-1, -1, VLOOKUP(MOD(B98,28), $T$24:$U$52,2))</f>
        <v>19</v>
      </c>
      <c r="F98" s="16" t="n">
        <f aca="false">IF($B98=-1, -1, VLOOKUP(C98,$T$1:$V$20, 2))</f>
        <v>7</v>
      </c>
      <c r="G98" s="16" t="n">
        <f aca="false">IF($B98=-1, -1, VLOOKUP(D98,$Y$1:$Z$22,2))</f>
        <v>20</v>
      </c>
      <c r="H98" s="16" t="str">
        <f aca="false">_xlfn.UNICHAR(((F98*21)+G98)*28+44032)</f>
        <v>비</v>
      </c>
      <c r="I98" s="16" t="n">
        <f aca="false">IF(B98=-1, 1, COUNTIF($A$2:$A$3000, H98))</f>
        <v>1</v>
      </c>
      <c r="J98" s="10" t="str">
        <f aca="false">_xlfn.CONCAT(A98, ",",H98,",",I98)</f>
        <v>괏,비,1</v>
      </c>
      <c r="K98" s="16" t="n">
        <f aca="false">IF(B98=-1,-1,VLOOKUP(C98,$T$1:$V$20,3))</f>
        <v>1</v>
      </c>
      <c r="L98" s="16" t="n">
        <f aca="false">IF(B98=-1,-1,VLOOKUP(D98,$Y$1:$AA$22,3))</f>
        <v>12</v>
      </c>
      <c r="N98" s="10" t="str">
        <f aca="false">_xlfn.UNICHAR(((C98*21)+G98)*28+44032)</f>
        <v>기</v>
      </c>
      <c r="O98" s="10" t="str">
        <f aca="false">_xlfn.UNICHAR(((F98*21)+D98)*28+44032)</f>
        <v>봐</v>
      </c>
      <c r="P98" s="12" t="n">
        <f aca="false">COUNTIF($A$2:$A$3000, N98) + COUNTIF($A$2:$A$3000, O98)</f>
        <v>2</v>
      </c>
      <c r="Q98" s="16" t="str">
        <f aca="false">IF(OR(B98=-1,I98=0, P98&lt;&gt;2), "albhed_dummy", _xlfn.CONCAT("albhed ", RIGHT("  " &amp; K98,2),", ", RIGHT("  " &amp; L98,2), ", " ,"""",H98,""", ", """",N98,""", ","""",O98,""""," ; ", A98))</f>
        <v>albhed  1, 12, "비", "기", "봐" ; 괏</v>
      </c>
    </row>
    <row r="99" customFormat="false" ht="17.9" hidden="false" customHeight="true" outlineLevel="0" collapsed="false">
      <c r="A99" s="16" t="s">
        <v>978</v>
      </c>
      <c r="B99" s="16" t="n">
        <f aca="false">IF(_xlfn.UNICODE(A99)&lt;44032,-1,_xlfn.UNICODE(A99)-44032)</f>
        <v>273</v>
      </c>
      <c r="C99" s="16" t="n">
        <f aca="false">IF(B99=-1,-1,INT((B99/28)/21))</f>
        <v>0</v>
      </c>
      <c r="D99" s="16" t="n">
        <f aca="false">IF(B99=-1, -1, MOD(INT(B99/28),21))</f>
        <v>9</v>
      </c>
      <c r="E99" s="16" t="n">
        <f aca="false">IF(B99=-1, -1, VLOOKUP(MOD(B99,28), $T$24:$U$52,2))</f>
        <v>21</v>
      </c>
      <c r="F99" s="16" t="n">
        <f aca="false">IF($B99=-1, -1, VLOOKUP(C99,$T$1:$V$20, 2))</f>
        <v>7</v>
      </c>
      <c r="G99" s="16" t="n">
        <f aca="false">IF($B99=-1, -1, VLOOKUP(D99,$Y$1:$Z$22,2))</f>
        <v>20</v>
      </c>
      <c r="H99" s="16" t="str">
        <f aca="false">_xlfn.UNICHAR(((F99*21)+G99)*28+44032)</f>
        <v>비</v>
      </c>
      <c r="I99" s="16" t="n">
        <f aca="false">IF(B99=-1, 1, COUNTIF($A$2:$A$3000, H99))</f>
        <v>1</v>
      </c>
      <c r="J99" s="10" t="str">
        <f aca="false">_xlfn.CONCAT(A99, ",",H99,",",I99)</f>
        <v>광,비,1</v>
      </c>
      <c r="K99" s="16" t="n">
        <f aca="false">IF(B99=-1,-1,VLOOKUP(C99,$T$1:$V$20,3))</f>
        <v>1</v>
      </c>
      <c r="L99" s="16" t="n">
        <f aca="false">IF(B99=-1,-1,VLOOKUP(D99,$Y$1:$AA$22,3))</f>
        <v>12</v>
      </c>
      <c r="N99" s="10" t="str">
        <f aca="false">_xlfn.UNICHAR(((C99*21)+G99)*28+44032)</f>
        <v>기</v>
      </c>
      <c r="O99" s="10" t="str">
        <f aca="false">_xlfn.UNICHAR(((F99*21)+D99)*28+44032)</f>
        <v>봐</v>
      </c>
      <c r="P99" s="12" t="n">
        <f aca="false">COUNTIF($A$2:$A$3000, N99) + COUNTIF($A$2:$A$3000, O99)</f>
        <v>2</v>
      </c>
      <c r="Q99" s="16" t="str">
        <f aca="false">IF(OR(B99=-1,I99=0, P99&lt;&gt;2), "albhed_dummy", _xlfn.CONCAT("albhed ", RIGHT("  " &amp; K99,2),", ", RIGHT("  " &amp; L99,2), ", " ,"""",H99,""", ", """",N99,""", ","""",O99,""""," ; ", A99))</f>
        <v>albhed  1, 12, "비", "기", "봐" ; 광</v>
      </c>
    </row>
    <row r="100" customFormat="false" ht="17.9" hidden="false" customHeight="true" outlineLevel="0" collapsed="false">
      <c r="A100" s="16" t="s">
        <v>979</v>
      </c>
      <c r="B100" s="16" t="n">
        <f aca="false">IF(_xlfn.UNICODE(A100)&lt;44032,-1,_xlfn.UNICODE(A100)-44032)</f>
        <v>280</v>
      </c>
      <c r="C100" s="16" t="n">
        <f aca="false">IF(B100=-1,-1,INT((B100/28)/21))</f>
        <v>0</v>
      </c>
      <c r="D100" s="16" t="n">
        <f aca="false">IF(B100=-1, -1, MOD(INT(B100/28),21))</f>
        <v>10</v>
      </c>
      <c r="E100" s="16" t="n">
        <f aca="false">IF(B100=-1, -1, VLOOKUP(MOD(B100,28), $T$24:$U$52,2))</f>
        <v>0</v>
      </c>
      <c r="F100" s="16" t="n">
        <f aca="false">IF($B100=-1, -1, VLOOKUP(C100,$T$1:$V$20, 2))</f>
        <v>7</v>
      </c>
      <c r="G100" s="16" t="n">
        <f aca="false">IF($B100=-1, -1, VLOOKUP(D100,$Y$1:$Z$22,2))</f>
        <v>20</v>
      </c>
      <c r="H100" s="16" t="str">
        <f aca="false">_xlfn.UNICHAR(((F100*21)+G100)*28+44032)</f>
        <v>비</v>
      </c>
      <c r="I100" s="16" t="n">
        <f aca="false">IF(B100=-1, 1, COUNTIF($A$2:$A$3000, H100))</f>
        <v>1</v>
      </c>
      <c r="J100" s="10" t="str">
        <f aca="false">_xlfn.CONCAT(A100, ",",H100,",",I100)</f>
        <v>괘,비,1</v>
      </c>
      <c r="K100" s="16" t="n">
        <f aca="false">IF(B100=-1,-1,VLOOKUP(C100,$T$1:$V$20,3))</f>
        <v>1</v>
      </c>
      <c r="L100" s="16" t="n">
        <f aca="false">IF(B100=-1,-1,VLOOKUP(D100,$Y$1:$AA$22,3))</f>
        <v>12</v>
      </c>
      <c r="N100" s="10" t="str">
        <f aca="false">_xlfn.UNICHAR(((C100*21)+G100)*28+44032)</f>
        <v>기</v>
      </c>
      <c r="O100" s="10" t="str">
        <f aca="false">_xlfn.UNICHAR(((F100*21)+D100)*28+44032)</f>
        <v>봬</v>
      </c>
      <c r="P100" s="12" t="n">
        <f aca="false">COUNTIF($A$2:$A$3000, N100) + COUNTIF($A$2:$A$3000, O100)</f>
        <v>2</v>
      </c>
      <c r="Q100" s="16" t="str">
        <f aca="false">IF(OR(B100=-1,I100=0, P100&lt;&gt;2), "albhed_dummy", _xlfn.CONCAT("albhed ", RIGHT("  " &amp; K100,2),", ", RIGHT("  " &amp; L100,2), ", " ,"""",H100,""", ", """",N100,""", ","""",O100,""""," ; ", A100))</f>
        <v>albhed  1, 12, "비", "기", "봬" ; 괘</v>
      </c>
    </row>
    <row r="101" customFormat="false" ht="17.9" hidden="false" customHeight="true" outlineLevel="0" collapsed="false">
      <c r="A101" s="16" t="s">
        <v>980</v>
      </c>
      <c r="B101" s="16" t="n">
        <f aca="false">IF(_xlfn.UNICODE(A101)&lt;44032,-1,_xlfn.UNICODE(A101)-44032)</f>
        <v>284</v>
      </c>
      <c r="C101" s="16" t="n">
        <f aca="false">IF(B101=-1,-1,INT((B101/28)/21))</f>
        <v>0</v>
      </c>
      <c r="D101" s="16" t="n">
        <f aca="false">IF(B101=-1, -1, MOD(INT(B101/28),21))</f>
        <v>10</v>
      </c>
      <c r="E101" s="16" t="n">
        <f aca="false">IF(B101=-1, -1, VLOOKUP(MOD(B101,28), $T$24:$U$52,2))</f>
        <v>4</v>
      </c>
      <c r="F101" s="16" t="n">
        <f aca="false">IF($B101=-1, -1, VLOOKUP(C101,$T$1:$V$20, 2))</f>
        <v>7</v>
      </c>
      <c r="G101" s="16" t="n">
        <f aca="false">IF($B101=-1, -1, VLOOKUP(D101,$Y$1:$Z$22,2))</f>
        <v>20</v>
      </c>
      <c r="H101" s="16" t="str">
        <f aca="false">_xlfn.UNICHAR(((F101*21)+G101)*28+44032)</f>
        <v>비</v>
      </c>
      <c r="I101" s="16" t="n">
        <f aca="false">IF(B101=-1, 1, COUNTIF($A$2:$A$3000, H101))</f>
        <v>1</v>
      </c>
      <c r="J101" s="10" t="str">
        <f aca="false">_xlfn.CONCAT(A101, ",",H101,",",I101)</f>
        <v>괜,비,1</v>
      </c>
      <c r="K101" s="16" t="n">
        <f aca="false">IF(B101=-1,-1,VLOOKUP(C101,$T$1:$V$20,3))</f>
        <v>1</v>
      </c>
      <c r="L101" s="16" t="n">
        <f aca="false">IF(B101=-1,-1,VLOOKUP(D101,$Y$1:$AA$22,3))</f>
        <v>12</v>
      </c>
      <c r="N101" s="10" t="str">
        <f aca="false">_xlfn.UNICHAR(((C101*21)+G101)*28+44032)</f>
        <v>기</v>
      </c>
      <c r="O101" s="10" t="str">
        <f aca="false">_xlfn.UNICHAR(((F101*21)+D101)*28+44032)</f>
        <v>봬</v>
      </c>
      <c r="P101" s="12" t="n">
        <f aca="false">COUNTIF($A$2:$A$3000, N101) + COUNTIF($A$2:$A$3000, O101)</f>
        <v>2</v>
      </c>
      <c r="Q101" s="16" t="str">
        <f aca="false">IF(OR(B101=-1,I101=0, P101&lt;&gt;2), "albhed_dummy", _xlfn.CONCAT("albhed ", RIGHT("  " &amp; K101,2),", ", RIGHT("  " &amp; L101,2), ", " ,"""",H101,""", ", """",N101,""", ","""",O101,""""," ; ", A101))</f>
        <v>albhed  1, 12, "비", "기", "봬" ; 괜</v>
      </c>
    </row>
    <row r="102" customFormat="false" ht="17.9" hidden="false" customHeight="true" outlineLevel="0" collapsed="false">
      <c r="A102" s="16" t="s">
        <v>981</v>
      </c>
      <c r="B102" s="16" t="n">
        <f aca="false">IF(_xlfn.UNICODE(A102)&lt;44032,-1,_xlfn.UNICODE(A102)-44032)</f>
        <v>288</v>
      </c>
      <c r="C102" s="16" t="n">
        <f aca="false">IF(B102=-1,-1,INT((B102/28)/21))</f>
        <v>0</v>
      </c>
      <c r="D102" s="16" t="n">
        <f aca="false">IF(B102=-1, -1, MOD(INT(B102/28),21))</f>
        <v>10</v>
      </c>
      <c r="E102" s="16" t="n">
        <f aca="false">IF(B102=-1, -1, VLOOKUP(MOD(B102,28), $T$24:$U$52,2))</f>
        <v>8</v>
      </c>
      <c r="F102" s="16" t="n">
        <f aca="false">IF($B102=-1, -1, VLOOKUP(C102,$T$1:$V$20, 2))</f>
        <v>7</v>
      </c>
      <c r="G102" s="16" t="n">
        <f aca="false">IF($B102=-1, -1, VLOOKUP(D102,$Y$1:$Z$22,2))</f>
        <v>20</v>
      </c>
      <c r="H102" s="16" t="str">
        <f aca="false">_xlfn.UNICHAR(((F102*21)+G102)*28+44032)</f>
        <v>비</v>
      </c>
      <c r="I102" s="16" t="n">
        <f aca="false">IF(B102=-1, 1, COUNTIF($A$2:$A$3000, H102))</f>
        <v>1</v>
      </c>
      <c r="J102" s="10" t="str">
        <f aca="false">_xlfn.CONCAT(A102, ",",H102,",",I102)</f>
        <v>괠,비,1</v>
      </c>
      <c r="K102" s="16" t="n">
        <f aca="false">IF(B102=-1,-1,VLOOKUP(C102,$T$1:$V$20,3))</f>
        <v>1</v>
      </c>
      <c r="L102" s="16" t="n">
        <f aca="false">IF(B102=-1,-1,VLOOKUP(D102,$Y$1:$AA$22,3))</f>
        <v>12</v>
      </c>
      <c r="N102" s="10" t="str">
        <f aca="false">_xlfn.UNICHAR(((C102*21)+G102)*28+44032)</f>
        <v>기</v>
      </c>
      <c r="O102" s="10" t="str">
        <f aca="false">_xlfn.UNICHAR(((F102*21)+D102)*28+44032)</f>
        <v>봬</v>
      </c>
      <c r="P102" s="12" t="n">
        <f aca="false">COUNTIF($A$2:$A$3000, N102) + COUNTIF($A$2:$A$3000, O102)</f>
        <v>2</v>
      </c>
      <c r="Q102" s="16" t="str">
        <f aca="false">IF(OR(B102=-1,I102=0, P102&lt;&gt;2), "albhed_dummy", _xlfn.CONCAT("albhed ", RIGHT("  " &amp; K102,2),", ", RIGHT("  " &amp; L102,2), ", " ,"""",H102,""", ", """",N102,""", ","""",O102,""""," ; ", A102))</f>
        <v>albhed  1, 12, "비", "기", "봬" ; 괠</v>
      </c>
    </row>
    <row r="103" customFormat="false" ht="17.9" hidden="false" customHeight="true" outlineLevel="0" collapsed="false">
      <c r="A103" s="16" t="s">
        <v>982</v>
      </c>
      <c r="B103" s="16" t="n">
        <f aca="false">IF(_xlfn.UNICODE(A103)&lt;44032,-1,_xlfn.UNICODE(A103)-44032)</f>
        <v>297</v>
      </c>
      <c r="C103" s="16" t="n">
        <f aca="false">IF(B103=-1,-1,INT((B103/28)/21))</f>
        <v>0</v>
      </c>
      <c r="D103" s="16" t="n">
        <f aca="false">IF(B103=-1, -1, MOD(INT(B103/28),21))</f>
        <v>10</v>
      </c>
      <c r="E103" s="16" t="n">
        <f aca="false">IF(B103=-1, -1, VLOOKUP(MOD(B103,28), $T$24:$U$52,2))</f>
        <v>17</v>
      </c>
      <c r="F103" s="16" t="n">
        <f aca="false">IF($B103=-1, -1, VLOOKUP(C103,$T$1:$V$20, 2))</f>
        <v>7</v>
      </c>
      <c r="G103" s="16" t="n">
        <f aca="false">IF($B103=-1, -1, VLOOKUP(D103,$Y$1:$Z$22,2))</f>
        <v>20</v>
      </c>
      <c r="H103" s="16" t="str">
        <f aca="false">_xlfn.UNICHAR(((F103*21)+G103)*28+44032)</f>
        <v>비</v>
      </c>
      <c r="I103" s="16" t="n">
        <f aca="false">IF(B103=-1, 1, COUNTIF($A$2:$A$3000, H103))</f>
        <v>1</v>
      </c>
      <c r="J103" s="10" t="str">
        <f aca="false">_xlfn.CONCAT(A103, ",",H103,",",I103)</f>
        <v>괩,비,1</v>
      </c>
      <c r="K103" s="16" t="n">
        <f aca="false">IF(B103=-1,-1,VLOOKUP(C103,$T$1:$V$20,3))</f>
        <v>1</v>
      </c>
      <c r="L103" s="16" t="n">
        <f aca="false">IF(B103=-1,-1,VLOOKUP(D103,$Y$1:$AA$22,3))</f>
        <v>12</v>
      </c>
      <c r="N103" s="10" t="str">
        <f aca="false">_xlfn.UNICHAR(((C103*21)+G103)*28+44032)</f>
        <v>기</v>
      </c>
      <c r="O103" s="10" t="str">
        <f aca="false">_xlfn.UNICHAR(((F103*21)+D103)*28+44032)</f>
        <v>봬</v>
      </c>
      <c r="P103" s="12" t="n">
        <f aca="false">COUNTIF($A$2:$A$3000, N103) + COUNTIF($A$2:$A$3000, O103)</f>
        <v>2</v>
      </c>
      <c r="Q103" s="16" t="str">
        <f aca="false">IF(OR(B103=-1,I103=0, P103&lt;&gt;2), "albhed_dummy", _xlfn.CONCAT("albhed ", RIGHT("  " &amp; K103,2),", ", RIGHT("  " &amp; L103,2), ", " ,"""",H103,""", ", """",N103,""", ","""",O103,""""," ; ", A103))</f>
        <v>albhed  1, 12, "비", "기", "봬" ; 괩</v>
      </c>
    </row>
    <row r="104" customFormat="false" ht="17.9" hidden="false" customHeight="true" outlineLevel="0" collapsed="false">
      <c r="A104" s="16" t="s">
        <v>983</v>
      </c>
      <c r="B104" s="16" t="n">
        <f aca="false">IF(_xlfn.UNICODE(A104)&lt;44032,-1,_xlfn.UNICODE(A104)-44032)</f>
        <v>300</v>
      </c>
      <c r="C104" s="16" t="n">
        <f aca="false">IF(B104=-1,-1,INT((B104/28)/21))</f>
        <v>0</v>
      </c>
      <c r="D104" s="16" t="n">
        <f aca="false">IF(B104=-1, -1, MOD(INT(B104/28),21))</f>
        <v>10</v>
      </c>
      <c r="E104" s="16" t="n">
        <f aca="false">IF(B104=-1, -1, VLOOKUP(MOD(B104,28), $T$24:$U$52,2))</f>
        <v>19</v>
      </c>
      <c r="F104" s="16" t="n">
        <f aca="false">IF($B104=-1, -1, VLOOKUP(C104,$T$1:$V$20, 2))</f>
        <v>7</v>
      </c>
      <c r="G104" s="16" t="n">
        <f aca="false">IF($B104=-1, -1, VLOOKUP(D104,$Y$1:$Z$22,2))</f>
        <v>20</v>
      </c>
      <c r="H104" s="16" t="str">
        <f aca="false">_xlfn.UNICHAR(((F104*21)+G104)*28+44032)</f>
        <v>비</v>
      </c>
      <c r="I104" s="16" t="n">
        <f aca="false">IF(B104=-1, 1, COUNTIF($A$2:$A$3000, H104))</f>
        <v>1</v>
      </c>
      <c r="J104" s="10" t="str">
        <f aca="false">_xlfn.CONCAT(A104, ",",H104,",",I104)</f>
        <v>괬,비,1</v>
      </c>
      <c r="K104" s="16" t="n">
        <f aca="false">IF(B104=-1,-1,VLOOKUP(C104,$T$1:$V$20,3))</f>
        <v>1</v>
      </c>
      <c r="L104" s="16" t="n">
        <f aca="false">IF(B104=-1,-1,VLOOKUP(D104,$Y$1:$AA$22,3))</f>
        <v>12</v>
      </c>
      <c r="N104" s="10" t="str">
        <f aca="false">_xlfn.UNICHAR(((C104*21)+G104)*28+44032)</f>
        <v>기</v>
      </c>
      <c r="O104" s="10" t="str">
        <f aca="false">_xlfn.UNICHAR(((F104*21)+D104)*28+44032)</f>
        <v>봬</v>
      </c>
      <c r="P104" s="12" t="n">
        <f aca="false">COUNTIF($A$2:$A$3000, N104) + COUNTIF($A$2:$A$3000, O104)</f>
        <v>2</v>
      </c>
      <c r="Q104" s="16" t="str">
        <f aca="false">IF(OR(B104=-1,I104=0, P104&lt;&gt;2), "albhed_dummy", _xlfn.CONCAT("albhed ", RIGHT("  " &amp; K104,2),", ", RIGHT("  " &amp; L104,2), ", " ,"""",H104,""", ", """",N104,""", ","""",O104,""""," ; ", A104))</f>
        <v>albhed  1, 12, "비", "기", "봬" ; 괬</v>
      </c>
    </row>
    <row r="105" customFormat="false" ht="17.9" hidden="false" customHeight="true" outlineLevel="0" collapsed="false">
      <c r="A105" s="16" t="s">
        <v>984</v>
      </c>
      <c r="B105" s="16" t="n">
        <f aca="false">IF(_xlfn.UNICODE(A105)&lt;44032,-1,_xlfn.UNICODE(A105)-44032)</f>
        <v>301</v>
      </c>
      <c r="C105" s="16" t="n">
        <f aca="false">IF(B105=-1,-1,INT((B105/28)/21))</f>
        <v>0</v>
      </c>
      <c r="D105" s="16" t="n">
        <f aca="false">IF(B105=-1, -1, MOD(INT(B105/28),21))</f>
        <v>10</v>
      </c>
      <c r="E105" s="16" t="n">
        <f aca="false">IF(B105=-1, -1, VLOOKUP(MOD(B105,28), $T$24:$U$52,2))</f>
        <v>21</v>
      </c>
      <c r="F105" s="16" t="n">
        <f aca="false">IF($B105=-1, -1, VLOOKUP(C105,$T$1:$V$20, 2))</f>
        <v>7</v>
      </c>
      <c r="G105" s="16" t="n">
        <f aca="false">IF($B105=-1, -1, VLOOKUP(D105,$Y$1:$Z$22,2))</f>
        <v>20</v>
      </c>
      <c r="H105" s="16" t="str">
        <f aca="false">_xlfn.UNICHAR(((F105*21)+G105)*28+44032)</f>
        <v>비</v>
      </c>
      <c r="I105" s="16" t="n">
        <f aca="false">IF(B105=-1, 1, COUNTIF($A$2:$A$3000, H105))</f>
        <v>1</v>
      </c>
      <c r="J105" s="10" t="str">
        <f aca="false">_xlfn.CONCAT(A105, ",",H105,",",I105)</f>
        <v>괭,비,1</v>
      </c>
      <c r="K105" s="16" t="n">
        <f aca="false">IF(B105=-1,-1,VLOOKUP(C105,$T$1:$V$20,3))</f>
        <v>1</v>
      </c>
      <c r="L105" s="16" t="n">
        <f aca="false">IF(B105=-1,-1,VLOOKUP(D105,$Y$1:$AA$22,3))</f>
        <v>12</v>
      </c>
      <c r="N105" s="10" t="str">
        <f aca="false">_xlfn.UNICHAR(((C105*21)+G105)*28+44032)</f>
        <v>기</v>
      </c>
      <c r="O105" s="10" t="str">
        <f aca="false">_xlfn.UNICHAR(((F105*21)+D105)*28+44032)</f>
        <v>봬</v>
      </c>
      <c r="P105" s="12" t="n">
        <f aca="false">COUNTIF($A$2:$A$3000, N105) + COUNTIF($A$2:$A$3000, O105)</f>
        <v>2</v>
      </c>
      <c r="Q105" s="16" t="str">
        <f aca="false">IF(OR(B105=-1,I105=0, P105&lt;&gt;2), "albhed_dummy", _xlfn.CONCAT("albhed ", RIGHT("  " &amp; K105,2),", ", RIGHT("  " &amp; L105,2), ", " ,"""",H105,""", ", """",N105,""", ","""",O105,""""," ; ", A105))</f>
        <v>albhed  1, 12, "비", "기", "봬" ; 괭</v>
      </c>
    </row>
    <row r="106" customFormat="false" ht="17.9" hidden="false" customHeight="true" outlineLevel="0" collapsed="false">
      <c r="A106" s="16" t="s">
        <v>985</v>
      </c>
      <c r="B106" s="16" t="n">
        <f aca="false">IF(_xlfn.UNICODE(A106)&lt;44032,-1,_xlfn.UNICODE(A106)-44032)</f>
        <v>308</v>
      </c>
      <c r="C106" s="16" t="n">
        <f aca="false">IF(B106=-1,-1,INT((B106/28)/21))</f>
        <v>0</v>
      </c>
      <c r="D106" s="16" t="n">
        <f aca="false">IF(B106=-1, -1, MOD(INT(B106/28),21))</f>
        <v>11</v>
      </c>
      <c r="E106" s="16" t="n">
        <f aca="false">IF(B106=-1, -1, VLOOKUP(MOD(B106,28), $T$24:$U$52,2))</f>
        <v>0</v>
      </c>
      <c r="F106" s="16" t="n">
        <f aca="false">IF($B106=-1, -1, VLOOKUP(C106,$T$1:$V$20, 2))</f>
        <v>7</v>
      </c>
      <c r="G106" s="16" t="n">
        <f aca="false">IF($B106=-1, -1, VLOOKUP(D106,$Y$1:$Z$22,2))</f>
        <v>20</v>
      </c>
      <c r="H106" s="16" t="str">
        <f aca="false">_xlfn.UNICHAR(((F106*21)+G106)*28+44032)</f>
        <v>비</v>
      </c>
      <c r="I106" s="16" t="n">
        <f aca="false">IF(B106=-1, 1, COUNTIF($A$2:$A$3000, H106))</f>
        <v>1</v>
      </c>
      <c r="J106" s="10" t="str">
        <f aca="false">_xlfn.CONCAT(A106, ",",H106,",",I106)</f>
        <v>괴,비,1</v>
      </c>
      <c r="K106" s="16" t="n">
        <f aca="false">IF(B106=-1,-1,VLOOKUP(C106,$T$1:$V$20,3))</f>
        <v>1</v>
      </c>
      <c r="L106" s="16" t="n">
        <f aca="false">IF(B106=-1,-1,VLOOKUP(D106,$Y$1:$AA$22,3))</f>
        <v>22</v>
      </c>
      <c r="N106" s="10" t="str">
        <f aca="false">_xlfn.UNICHAR(((C106*21)+G106)*28+44032)</f>
        <v>기</v>
      </c>
      <c r="O106" s="10" t="str">
        <f aca="false">_xlfn.UNICHAR(((F106*21)+D106)*28+44032)</f>
        <v>뵈</v>
      </c>
      <c r="P106" s="12" t="n">
        <f aca="false">COUNTIF($A$2:$A$3000, N106) + COUNTIF($A$2:$A$3000, O106)</f>
        <v>2</v>
      </c>
      <c r="Q106" s="16" t="str">
        <f aca="false">IF(OR(B106=-1,I106=0, P106&lt;&gt;2), "albhed_dummy", _xlfn.CONCAT("albhed ", RIGHT("  " &amp; K106,2),", ", RIGHT("  " &amp; L106,2), ", " ,"""",H106,""", ", """",N106,""", ","""",O106,""""," ; ", A106))</f>
        <v>albhed  1, 22, "비", "기", "뵈" ; 괴</v>
      </c>
    </row>
    <row r="107" customFormat="false" ht="17.9" hidden="false" customHeight="true" outlineLevel="0" collapsed="false">
      <c r="A107" s="16" t="s">
        <v>986</v>
      </c>
      <c r="B107" s="16" t="n">
        <f aca="false">IF(_xlfn.UNICODE(A107)&lt;44032,-1,_xlfn.UNICODE(A107)-44032)</f>
        <v>309</v>
      </c>
      <c r="C107" s="16" t="n">
        <f aca="false">IF(B107=-1,-1,INT((B107/28)/21))</f>
        <v>0</v>
      </c>
      <c r="D107" s="16" t="n">
        <f aca="false">IF(B107=-1, -1, MOD(INT(B107/28),21))</f>
        <v>11</v>
      </c>
      <c r="E107" s="16" t="n">
        <f aca="false">IF(B107=-1, -1, VLOOKUP(MOD(B107,28), $T$24:$U$52,2))</f>
        <v>1</v>
      </c>
      <c r="F107" s="16" t="n">
        <f aca="false">IF($B107=-1, -1, VLOOKUP(C107,$T$1:$V$20, 2))</f>
        <v>7</v>
      </c>
      <c r="G107" s="16" t="n">
        <f aca="false">IF($B107=-1, -1, VLOOKUP(D107,$Y$1:$Z$22,2))</f>
        <v>20</v>
      </c>
      <c r="H107" s="16" t="str">
        <f aca="false">_xlfn.UNICHAR(((F107*21)+G107)*28+44032)</f>
        <v>비</v>
      </c>
      <c r="I107" s="16" t="n">
        <f aca="false">IF(B107=-1, 1, COUNTIF($A$2:$A$3000, H107))</f>
        <v>1</v>
      </c>
      <c r="J107" s="10" t="str">
        <f aca="false">_xlfn.CONCAT(A107, ",",H107,",",I107)</f>
        <v>괵,비,1</v>
      </c>
      <c r="K107" s="16" t="n">
        <f aca="false">IF(B107=-1,-1,VLOOKUP(C107,$T$1:$V$20,3))</f>
        <v>1</v>
      </c>
      <c r="L107" s="16" t="n">
        <f aca="false">IF(B107=-1,-1,VLOOKUP(D107,$Y$1:$AA$22,3))</f>
        <v>22</v>
      </c>
      <c r="N107" s="10" t="str">
        <f aca="false">_xlfn.UNICHAR(((C107*21)+G107)*28+44032)</f>
        <v>기</v>
      </c>
      <c r="O107" s="10" t="str">
        <f aca="false">_xlfn.UNICHAR(((F107*21)+D107)*28+44032)</f>
        <v>뵈</v>
      </c>
      <c r="P107" s="12" t="n">
        <f aca="false">COUNTIF($A$2:$A$3000, N107) + COUNTIF($A$2:$A$3000, O107)</f>
        <v>2</v>
      </c>
      <c r="Q107" s="16" t="str">
        <f aca="false">IF(OR(B107=-1,I107=0, P107&lt;&gt;2), "albhed_dummy", _xlfn.CONCAT("albhed ", RIGHT("  " &amp; K107,2),", ", RIGHT("  " &amp; L107,2), ", " ,"""",H107,""", ", """",N107,""", ","""",O107,""""," ; ", A107))</f>
        <v>albhed  1, 22, "비", "기", "뵈" ; 괵</v>
      </c>
    </row>
    <row r="108" customFormat="false" ht="17.9" hidden="false" customHeight="true" outlineLevel="0" collapsed="false">
      <c r="A108" s="16" t="s">
        <v>987</v>
      </c>
      <c r="B108" s="16" t="n">
        <f aca="false">IF(_xlfn.UNICODE(A108)&lt;44032,-1,_xlfn.UNICODE(A108)-44032)</f>
        <v>312</v>
      </c>
      <c r="C108" s="16" t="n">
        <f aca="false">IF(B108=-1,-1,INT((B108/28)/21))</f>
        <v>0</v>
      </c>
      <c r="D108" s="16" t="n">
        <f aca="false">IF(B108=-1, -1, MOD(INT(B108/28),21))</f>
        <v>11</v>
      </c>
      <c r="E108" s="16" t="n">
        <f aca="false">IF(B108=-1, -1, VLOOKUP(MOD(B108,28), $T$24:$U$52,2))</f>
        <v>4</v>
      </c>
      <c r="F108" s="16" t="n">
        <f aca="false">IF($B108=-1, -1, VLOOKUP(C108,$T$1:$V$20, 2))</f>
        <v>7</v>
      </c>
      <c r="G108" s="16" t="n">
        <f aca="false">IF($B108=-1, -1, VLOOKUP(D108,$Y$1:$Z$22,2))</f>
        <v>20</v>
      </c>
      <c r="H108" s="16" t="str">
        <f aca="false">_xlfn.UNICHAR(((F108*21)+G108)*28+44032)</f>
        <v>비</v>
      </c>
      <c r="I108" s="16" t="n">
        <f aca="false">IF(B108=-1, 1, COUNTIF($A$2:$A$3000, H108))</f>
        <v>1</v>
      </c>
      <c r="J108" s="10" t="str">
        <f aca="false">_xlfn.CONCAT(A108, ",",H108,",",I108)</f>
        <v>괸,비,1</v>
      </c>
      <c r="K108" s="16" t="n">
        <f aca="false">IF(B108=-1,-1,VLOOKUP(C108,$T$1:$V$20,3))</f>
        <v>1</v>
      </c>
      <c r="L108" s="16" t="n">
        <f aca="false">IF(B108=-1,-1,VLOOKUP(D108,$Y$1:$AA$22,3))</f>
        <v>22</v>
      </c>
      <c r="N108" s="10" t="str">
        <f aca="false">_xlfn.UNICHAR(((C108*21)+G108)*28+44032)</f>
        <v>기</v>
      </c>
      <c r="O108" s="10" t="str">
        <f aca="false">_xlfn.UNICHAR(((F108*21)+D108)*28+44032)</f>
        <v>뵈</v>
      </c>
      <c r="P108" s="12" t="n">
        <f aca="false">COUNTIF($A$2:$A$3000, N108) + COUNTIF($A$2:$A$3000, O108)</f>
        <v>2</v>
      </c>
      <c r="Q108" s="16" t="str">
        <f aca="false">IF(OR(B108=-1,I108=0, P108&lt;&gt;2), "albhed_dummy", _xlfn.CONCAT("albhed ", RIGHT("  " &amp; K108,2),", ", RIGHT("  " &amp; L108,2), ", " ,"""",H108,""", ", """",N108,""", ","""",O108,""""," ; ", A108))</f>
        <v>albhed  1, 22, "비", "기", "뵈" ; 괸</v>
      </c>
    </row>
    <row r="109" customFormat="false" ht="17.9" hidden="false" customHeight="true" outlineLevel="0" collapsed="false">
      <c r="A109" s="16" t="s">
        <v>988</v>
      </c>
      <c r="B109" s="16" t="n">
        <f aca="false">IF(_xlfn.UNICODE(A109)&lt;44032,-1,_xlfn.UNICODE(A109)-44032)</f>
        <v>316</v>
      </c>
      <c r="C109" s="16" t="n">
        <f aca="false">IF(B109=-1,-1,INT((B109/28)/21))</f>
        <v>0</v>
      </c>
      <c r="D109" s="16" t="n">
        <f aca="false">IF(B109=-1, -1, MOD(INT(B109/28),21))</f>
        <v>11</v>
      </c>
      <c r="E109" s="16" t="n">
        <f aca="false">IF(B109=-1, -1, VLOOKUP(MOD(B109,28), $T$24:$U$52,2))</f>
        <v>8</v>
      </c>
      <c r="F109" s="16" t="n">
        <f aca="false">IF($B109=-1, -1, VLOOKUP(C109,$T$1:$V$20, 2))</f>
        <v>7</v>
      </c>
      <c r="G109" s="16" t="n">
        <f aca="false">IF($B109=-1, -1, VLOOKUP(D109,$Y$1:$Z$22,2))</f>
        <v>20</v>
      </c>
      <c r="H109" s="16" t="str">
        <f aca="false">_xlfn.UNICHAR(((F109*21)+G109)*28+44032)</f>
        <v>비</v>
      </c>
      <c r="I109" s="16" t="n">
        <f aca="false">IF(B109=-1, 1, COUNTIF($A$2:$A$3000, H109))</f>
        <v>1</v>
      </c>
      <c r="J109" s="10" t="str">
        <f aca="false">_xlfn.CONCAT(A109, ",",H109,",",I109)</f>
        <v>괼,비,1</v>
      </c>
      <c r="K109" s="16" t="n">
        <f aca="false">IF(B109=-1,-1,VLOOKUP(C109,$T$1:$V$20,3))</f>
        <v>1</v>
      </c>
      <c r="L109" s="16" t="n">
        <f aca="false">IF(B109=-1,-1,VLOOKUP(D109,$Y$1:$AA$22,3))</f>
        <v>22</v>
      </c>
      <c r="N109" s="10" t="str">
        <f aca="false">_xlfn.UNICHAR(((C109*21)+G109)*28+44032)</f>
        <v>기</v>
      </c>
      <c r="O109" s="10" t="str">
        <f aca="false">_xlfn.UNICHAR(((F109*21)+D109)*28+44032)</f>
        <v>뵈</v>
      </c>
      <c r="P109" s="12" t="n">
        <f aca="false">COUNTIF($A$2:$A$3000, N109) + COUNTIF($A$2:$A$3000, O109)</f>
        <v>2</v>
      </c>
      <c r="Q109" s="16" t="str">
        <f aca="false">IF(OR(B109=-1,I109=0, P109&lt;&gt;2), "albhed_dummy", _xlfn.CONCAT("albhed ", RIGHT("  " &amp; K109,2),", ", RIGHT("  " &amp; L109,2), ", " ,"""",H109,""", ", """",N109,""", ","""",O109,""""," ; ", A109))</f>
        <v>albhed  1, 22, "비", "기", "뵈" ; 괼</v>
      </c>
    </row>
    <row r="110" customFormat="false" ht="17.9" hidden="false" customHeight="true" outlineLevel="0" collapsed="false">
      <c r="A110" s="16" t="s">
        <v>989</v>
      </c>
      <c r="B110" s="16" t="n">
        <f aca="false">IF(_xlfn.UNICODE(A110)&lt;44032,-1,_xlfn.UNICODE(A110)-44032)</f>
        <v>324</v>
      </c>
      <c r="C110" s="16" t="n">
        <f aca="false">IF(B110=-1,-1,INT((B110/28)/21))</f>
        <v>0</v>
      </c>
      <c r="D110" s="16" t="n">
        <f aca="false">IF(B110=-1, -1, MOD(INT(B110/28),21))</f>
        <v>11</v>
      </c>
      <c r="E110" s="16" t="n">
        <f aca="false">IF(B110=-1, -1, VLOOKUP(MOD(B110,28), $T$24:$U$52,2))</f>
        <v>16</v>
      </c>
      <c r="F110" s="16" t="n">
        <f aca="false">IF($B110=-1, -1, VLOOKUP(C110,$T$1:$V$20, 2))</f>
        <v>7</v>
      </c>
      <c r="G110" s="16" t="n">
        <f aca="false">IF($B110=-1, -1, VLOOKUP(D110,$Y$1:$Z$22,2))</f>
        <v>20</v>
      </c>
      <c r="H110" s="16" t="str">
        <f aca="false">_xlfn.UNICHAR(((F110*21)+G110)*28+44032)</f>
        <v>비</v>
      </c>
      <c r="I110" s="16" t="n">
        <f aca="false">IF(B110=-1, 1, COUNTIF($A$2:$A$3000, H110))</f>
        <v>1</v>
      </c>
      <c r="J110" s="10" t="str">
        <f aca="false">_xlfn.CONCAT(A110, ",",H110,",",I110)</f>
        <v>굄,비,1</v>
      </c>
      <c r="K110" s="16" t="n">
        <f aca="false">IF(B110=-1,-1,VLOOKUP(C110,$T$1:$V$20,3))</f>
        <v>1</v>
      </c>
      <c r="L110" s="16" t="n">
        <f aca="false">IF(B110=-1,-1,VLOOKUP(D110,$Y$1:$AA$22,3))</f>
        <v>22</v>
      </c>
      <c r="N110" s="10" t="str">
        <f aca="false">_xlfn.UNICHAR(((C110*21)+G110)*28+44032)</f>
        <v>기</v>
      </c>
      <c r="O110" s="10" t="str">
        <f aca="false">_xlfn.UNICHAR(((F110*21)+D110)*28+44032)</f>
        <v>뵈</v>
      </c>
      <c r="P110" s="12" t="n">
        <f aca="false">COUNTIF($A$2:$A$3000, N110) + COUNTIF($A$2:$A$3000, O110)</f>
        <v>2</v>
      </c>
      <c r="Q110" s="16" t="str">
        <f aca="false">IF(OR(B110=-1,I110=0, P110&lt;&gt;2), "albhed_dummy", _xlfn.CONCAT("albhed ", RIGHT("  " &amp; K110,2),", ", RIGHT("  " &amp; L110,2), ", " ,"""",H110,""", ", """",N110,""", ","""",O110,""""," ; ", A110))</f>
        <v>albhed  1, 22, "비", "기", "뵈" ; 굄</v>
      </c>
    </row>
    <row r="111" customFormat="false" ht="17.9" hidden="false" customHeight="true" outlineLevel="0" collapsed="false">
      <c r="A111" s="16" t="s">
        <v>990</v>
      </c>
      <c r="B111" s="16" t="n">
        <f aca="false">IF(_xlfn.UNICODE(A111)&lt;44032,-1,_xlfn.UNICODE(A111)-44032)</f>
        <v>325</v>
      </c>
      <c r="C111" s="16" t="n">
        <f aca="false">IF(B111=-1,-1,INT((B111/28)/21))</f>
        <v>0</v>
      </c>
      <c r="D111" s="16" t="n">
        <f aca="false">IF(B111=-1, -1, MOD(INT(B111/28),21))</f>
        <v>11</v>
      </c>
      <c r="E111" s="16" t="n">
        <f aca="false">IF(B111=-1, -1, VLOOKUP(MOD(B111,28), $T$24:$U$52,2))</f>
        <v>17</v>
      </c>
      <c r="F111" s="16" t="n">
        <f aca="false">IF($B111=-1, -1, VLOOKUP(C111,$T$1:$V$20, 2))</f>
        <v>7</v>
      </c>
      <c r="G111" s="16" t="n">
        <f aca="false">IF($B111=-1, -1, VLOOKUP(D111,$Y$1:$Z$22,2))</f>
        <v>20</v>
      </c>
      <c r="H111" s="16" t="str">
        <f aca="false">_xlfn.UNICHAR(((F111*21)+G111)*28+44032)</f>
        <v>비</v>
      </c>
      <c r="I111" s="16" t="n">
        <f aca="false">IF(B111=-1, 1, COUNTIF($A$2:$A$3000, H111))</f>
        <v>1</v>
      </c>
      <c r="J111" s="10" t="str">
        <f aca="false">_xlfn.CONCAT(A111, ",",H111,",",I111)</f>
        <v>굅,비,1</v>
      </c>
      <c r="K111" s="16" t="n">
        <f aca="false">IF(B111=-1,-1,VLOOKUP(C111,$T$1:$V$20,3))</f>
        <v>1</v>
      </c>
      <c r="L111" s="16" t="n">
        <f aca="false">IF(B111=-1,-1,VLOOKUP(D111,$Y$1:$AA$22,3))</f>
        <v>22</v>
      </c>
      <c r="N111" s="10" t="str">
        <f aca="false">_xlfn.UNICHAR(((C111*21)+G111)*28+44032)</f>
        <v>기</v>
      </c>
      <c r="O111" s="10" t="str">
        <f aca="false">_xlfn.UNICHAR(((F111*21)+D111)*28+44032)</f>
        <v>뵈</v>
      </c>
      <c r="P111" s="12" t="n">
        <f aca="false">COUNTIF($A$2:$A$3000, N111) + COUNTIF($A$2:$A$3000, O111)</f>
        <v>2</v>
      </c>
      <c r="Q111" s="16" t="str">
        <f aca="false">IF(OR(B111=-1,I111=0, P111&lt;&gt;2), "albhed_dummy", _xlfn.CONCAT("albhed ", RIGHT("  " &amp; K111,2),", ", RIGHT("  " &amp; L111,2), ", " ,"""",H111,""", ", """",N111,""", ","""",O111,""""," ; ", A111))</f>
        <v>albhed  1, 22, "비", "기", "뵈" ; 굅</v>
      </c>
    </row>
    <row r="112" customFormat="false" ht="17.9" hidden="false" customHeight="true" outlineLevel="0" collapsed="false">
      <c r="A112" s="16" t="s">
        <v>991</v>
      </c>
      <c r="B112" s="16" t="n">
        <f aca="false">IF(_xlfn.UNICODE(A112)&lt;44032,-1,_xlfn.UNICODE(A112)-44032)</f>
        <v>327</v>
      </c>
      <c r="C112" s="16" t="n">
        <f aca="false">IF(B112=-1,-1,INT((B112/28)/21))</f>
        <v>0</v>
      </c>
      <c r="D112" s="16" t="n">
        <f aca="false">IF(B112=-1, -1, MOD(INT(B112/28),21))</f>
        <v>11</v>
      </c>
      <c r="E112" s="16" t="n">
        <f aca="false">IF(B112=-1, -1, VLOOKUP(MOD(B112,28), $T$24:$U$52,2))</f>
        <v>19</v>
      </c>
      <c r="F112" s="16" t="n">
        <f aca="false">IF($B112=-1, -1, VLOOKUP(C112,$T$1:$V$20, 2))</f>
        <v>7</v>
      </c>
      <c r="G112" s="16" t="n">
        <f aca="false">IF($B112=-1, -1, VLOOKUP(D112,$Y$1:$Z$22,2))</f>
        <v>20</v>
      </c>
      <c r="H112" s="16" t="str">
        <f aca="false">_xlfn.UNICHAR(((F112*21)+G112)*28+44032)</f>
        <v>비</v>
      </c>
      <c r="I112" s="16" t="n">
        <f aca="false">IF(B112=-1, 1, COUNTIF($A$2:$A$3000, H112))</f>
        <v>1</v>
      </c>
      <c r="J112" s="10" t="str">
        <f aca="false">_xlfn.CONCAT(A112, ",",H112,",",I112)</f>
        <v>굇,비,1</v>
      </c>
      <c r="K112" s="16" t="n">
        <f aca="false">IF(B112=-1,-1,VLOOKUP(C112,$T$1:$V$20,3))</f>
        <v>1</v>
      </c>
      <c r="L112" s="16" t="n">
        <f aca="false">IF(B112=-1,-1,VLOOKUP(D112,$Y$1:$AA$22,3))</f>
        <v>22</v>
      </c>
      <c r="N112" s="10" t="str">
        <f aca="false">_xlfn.UNICHAR(((C112*21)+G112)*28+44032)</f>
        <v>기</v>
      </c>
      <c r="O112" s="10" t="str">
        <f aca="false">_xlfn.UNICHAR(((F112*21)+D112)*28+44032)</f>
        <v>뵈</v>
      </c>
      <c r="P112" s="12" t="n">
        <f aca="false">COUNTIF($A$2:$A$3000, N112) + COUNTIF($A$2:$A$3000, O112)</f>
        <v>2</v>
      </c>
      <c r="Q112" s="16" t="str">
        <f aca="false">IF(OR(B112=-1,I112=0, P112&lt;&gt;2), "albhed_dummy", _xlfn.CONCAT("albhed ", RIGHT("  " &amp; K112,2),", ", RIGHT("  " &amp; L112,2), ", " ,"""",H112,""", ", """",N112,""", ","""",O112,""""," ; ", A112))</f>
        <v>albhed  1, 22, "비", "기", "뵈" ; 굇</v>
      </c>
    </row>
    <row r="113" customFormat="false" ht="17.9" hidden="false" customHeight="true" outlineLevel="0" collapsed="false">
      <c r="A113" s="16" t="s">
        <v>992</v>
      </c>
      <c r="B113" s="16" t="n">
        <f aca="false">IF(_xlfn.UNICODE(A113)&lt;44032,-1,_xlfn.UNICODE(A113)-44032)</f>
        <v>329</v>
      </c>
      <c r="C113" s="16" t="n">
        <f aca="false">IF(B113=-1,-1,INT((B113/28)/21))</f>
        <v>0</v>
      </c>
      <c r="D113" s="16" t="n">
        <f aca="false">IF(B113=-1, -1, MOD(INT(B113/28),21))</f>
        <v>11</v>
      </c>
      <c r="E113" s="16" t="n">
        <f aca="false">IF(B113=-1, -1, VLOOKUP(MOD(B113,28), $T$24:$U$52,2))</f>
        <v>21</v>
      </c>
      <c r="F113" s="16" t="n">
        <f aca="false">IF($B113=-1, -1, VLOOKUP(C113,$T$1:$V$20, 2))</f>
        <v>7</v>
      </c>
      <c r="G113" s="16" t="n">
        <f aca="false">IF($B113=-1, -1, VLOOKUP(D113,$Y$1:$Z$22,2))</f>
        <v>20</v>
      </c>
      <c r="H113" s="16" t="str">
        <f aca="false">_xlfn.UNICHAR(((F113*21)+G113)*28+44032)</f>
        <v>비</v>
      </c>
      <c r="I113" s="16" t="n">
        <f aca="false">IF(B113=-1, 1, COUNTIF($A$2:$A$3000, H113))</f>
        <v>1</v>
      </c>
      <c r="J113" s="10" t="str">
        <f aca="false">_xlfn.CONCAT(A113, ",",H113,",",I113)</f>
        <v>굉,비,1</v>
      </c>
      <c r="K113" s="16" t="n">
        <f aca="false">IF(B113=-1,-1,VLOOKUP(C113,$T$1:$V$20,3))</f>
        <v>1</v>
      </c>
      <c r="L113" s="16" t="n">
        <f aca="false">IF(B113=-1,-1,VLOOKUP(D113,$Y$1:$AA$22,3))</f>
        <v>22</v>
      </c>
      <c r="N113" s="10" t="str">
        <f aca="false">_xlfn.UNICHAR(((C113*21)+G113)*28+44032)</f>
        <v>기</v>
      </c>
      <c r="O113" s="10" t="str">
        <f aca="false">_xlfn.UNICHAR(((F113*21)+D113)*28+44032)</f>
        <v>뵈</v>
      </c>
      <c r="P113" s="12" t="n">
        <f aca="false">COUNTIF($A$2:$A$3000, N113) + COUNTIF($A$2:$A$3000, O113)</f>
        <v>2</v>
      </c>
      <c r="Q113" s="16" t="str">
        <f aca="false">IF(OR(B113=-1,I113=0, P113&lt;&gt;2), "albhed_dummy", _xlfn.CONCAT("albhed ", RIGHT("  " &amp; K113,2),", ", RIGHT("  " &amp; L113,2), ", " ,"""",H113,""", ", """",N113,""", ","""",O113,""""," ; ", A113))</f>
        <v>albhed  1, 22, "비", "기", "뵈" ; 굉</v>
      </c>
    </row>
    <row r="114" customFormat="false" ht="17.9" hidden="false" customHeight="true" outlineLevel="0" collapsed="false">
      <c r="A114" s="16" t="s">
        <v>993</v>
      </c>
      <c r="B114" s="16" t="n">
        <f aca="false">IF(_xlfn.UNICODE(A114)&lt;44032,-1,_xlfn.UNICODE(A114)-44032)</f>
        <v>336</v>
      </c>
      <c r="C114" s="16" t="n">
        <f aca="false">IF(B114=-1,-1,INT((B114/28)/21))</f>
        <v>0</v>
      </c>
      <c r="D114" s="16" t="n">
        <f aca="false">IF(B114=-1, -1, MOD(INT(B114/28),21))</f>
        <v>12</v>
      </c>
      <c r="E114" s="16" t="n">
        <f aca="false">IF(B114=-1, -1, VLOOKUP(MOD(B114,28), $T$24:$U$52,2))</f>
        <v>0</v>
      </c>
      <c r="F114" s="16" t="n">
        <f aca="false">IF($B114=-1, -1, VLOOKUP(C114,$T$1:$V$20, 2))</f>
        <v>7</v>
      </c>
      <c r="G114" s="16" t="n">
        <f aca="false">IF($B114=-1, -1, VLOOKUP(D114,$Y$1:$Z$22,2))</f>
        <v>6</v>
      </c>
      <c r="H114" s="16" t="str">
        <f aca="false">_xlfn.UNICHAR(((F114*21)+G114)*28+44032)</f>
        <v>벼</v>
      </c>
      <c r="I114" s="16" t="n">
        <f aca="false">IF(B114=-1, 1, COUNTIF($A$2:$A$3000, H114))</f>
        <v>1</v>
      </c>
      <c r="J114" s="10" t="str">
        <f aca="false">_xlfn.CONCAT(A114, ",",H114,",",I114)</f>
        <v>교,벼,1</v>
      </c>
      <c r="K114" s="16" t="n">
        <f aca="false">IF(B114=-1,-1,VLOOKUP(C114,$T$1:$V$20,3))</f>
        <v>1</v>
      </c>
      <c r="L114" s="16" t="n">
        <f aca="false">IF(B114=-1,-1,VLOOKUP(D114,$Y$1:$AA$22,3))</f>
        <v>8</v>
      </c>
      <c r="N114" s="10" t="str">
        <f aca="false">_xlfn.UNICHAR(((C114*21)+G114)*28+44032)</f>
        <v>겨</v>
      </c>
      <c r="O114" s="10" t="str">
        <f aca="false">_xlfn.UNICHAR(((F114*21)+D114)*28+44032)</f>
        <v>뵤</v>
      </c>
      <c r="P114" s="12" t="n">
        <f aca="false">COUNTIF($A$2:$A$3000, N114) + COUNTIF($A$2:$A$3000, O114)</f>
        <v>2</v>
      </c>
      <c r="Q114" s="16" t="str">
        <f aca="false">IF(OR(B114=-1,I114=0, P114&lt;&gt;2), "albhed_dummy", _xlfn.CONCAT("albhed ", RIGHT("  " &amp; K114,2),", ", RIGHT("  " &amp; L114,2), ", " ,"""",H114,""", ", """",N114,""", ","""",O114,""""," ; ", A114))</f>
        <v>albhed  1,  8, "벼", "겨", "뵤" ; 교</v>
      </c>
    </row>
    <row r="115" customFormat="false" ht="17.9" hidden="false" customHeight="true" outlineLevel="0" collapsed="false">
      <c r="A115" s="16" t="s">
        <v>994</v>
      </c>
      <c r="B115" s="16" t="n">
        <f aca="false">IF(_xlfn.UNICODE(A115)&lt;44032,-1,_xlfn.UNICODE(A115)-44032)</f>
        <v>340</v>
      </c>
      <c r="C115" s="16" t="n">
        <f aca="false">IF(B115=-1,-1,INT((B115/28)/21))</f>
        <v>0</v>
      </c>
      <c r="D115" s="16" t="n">
        <f aca="false">IF(B115=-1, -1, MOD(INT(B115/28),21))</f>
        <v>12</v>
      </c>
      <c r="E115" s="16" t="n">
        <f aca="false">IF(B115=-1, -1, VLOOKUP(MOD(B115,28), $T$24:$U$52,2))</f>
        <v>4</v>
      </c>
      <c r="F115" s="16" t="n">
        <f aca="false">IF($B115=-1, -1, VLOOKUP(C115,$T$1:$V$20, 2))</f>
        <v>7</v>
      </c>
      <c r="G115" s="16" t="n">
        <f aca="false">IF($B115=-1, -1, VLOOKUP(D115,$Y$1:$Z$22,2))</f>
        <v>6</v>
      </c>
      <c r="H115" s="16" t="str">
        <f aca="false">_xlfn.UNICHAR(((F115*21)+G115)*28+44032)</f>
        <v>벼</v>
      </c>
      <c r="I115" s="16" t="n">
        <f aca="false">IF(B115=-1, 1, COUNTIF($A$2:$A$3000, H115))</f>
        <v>1</v>
      </c>
      <c r="J115" s="10" t="str">
        <f aca="false">_xlfn.CONCAT(A115, ",",H115,",",I115)</f>
        <v>굔,벼,1</v>
      </c>
      <c r="K115" s="16" t="n">
        <f aca="false">IF(B115=-1,-1,VLOOKUP(C115,$T$1:$V$20,3))</f>
        <v>1</v>
      </c>
      <c r="L115" s="16" t="n">
        <f aca="false">IF(B115=-1,-1,VLOOKUP(D115,$Y$1:$AA$22,3))</f>
        <v>8</v>
      </c>
      <c r="N115" s="10" t="str">
        <f aca="false">_xlfn.UNICHAR(((C115*21)+G115)*28+44032)</f>
        <v>겨</v>
      </c>
      <c r="O115" s="10" t="str">
        <f aca="false">_xlfn.UNICHAR(((F115*21)+D115)*28+44032)</f>
        <v>뵤</v>
      </c>
      <c r="P115" s="12" t="n">
        <f aca="false">COUNTIF($A$2:$A$3000, N115) + COUNTIF($A$2:$A$3000, O115)</f>
        <v>2</v>
      </c>
      <c r="Q115" s="16" t="str">
        <f aca="false">IF(OR(B115=-1,I115=0, P115&lt;&gt;2), "albhed_dummy", _xlfn.CONCAT("albhed ", RIGHT("  " &amp; K115,2),", ", RIGHT("  " &amp; L115,2), ", " ,"""",H115,""", ", """",N115,""", ","""",O115,""""," ; ", A115))</f>
        <v>albhed  1,  8, "벼", "겨", "뵤" ; 굔</v>
      </c>
    </row>
    <row r="116" customFormat="false" ht="17.9" hidden="false" customHeight="true" outlineLevel="0" collapsed="false">
      <c r="A116" s="16" t="s">
        <v>995</v>
      </c>
      <c r="B116" s="16" t="n">
        <f aca="false">IF(_xlfn.UNICODE(A116)&lt;44032,-1,_xlfn.UNICODE(A116)-44032)</f>
        <v>344</v>
      </c>
      <c r="C116" s="16" t="n">
        <f aca="false">IF(B116=-1,-1,INT((B116/28)/21))</f>
        <v>0</v>
      </c>
      <c r="D116" s="16" t="n">
        <f aca="false">IF(B116=-1, -1, MOD(INT(B116/28),21))</f>
        <v>12</v>
      </c>
      <c r="E116" s="16" t="n">
        <f aca="false">IF(B116=-1, -1, VLOOKUP(MOD(B116,28), $T$24:$U$52,2))</f>
        <v>8</v>
      </c>
      <c r="F116" s="16" t="n">
        <f aca="false">IF($B116=-1, -1, VLOOKUP(C116,$T$1:$V$20, 2))</f>
        <v>7</v>
      </c>
      <c r="G116" s="16" t="n">
        <f aca="false">IF($B116=-1, -1, VLOOKUP(D116,$Y$1:$Z$22,2))</f>
        <v>6</v>
      </c>
      <c r="H116" s="16" t="str">
        <f aca="false">_xlfn.UNICHAR(((F116*21)+G116)*28+44032)</f>
        <v>벼</v>
      </c>
      <c r="I116" s="16" t="n">
        <f aca="false">IF(B116=-1, 1, COUNTIF($A$2:$A$3000, H116))</f>
        <v>1</v>
      </c>
      <c r="J116" s="10" t="str">
        <f aca="false">_xlfn.CONCAT(A116, ",",H116,",",I116)</f>
        <v>굘,벼,1</v>
      </c>
      <c r="K116" s="16" t="n">
        <f aca="false">IF(B116=-1,-1,VLOOKUP(C116,$T$1:$V$20,3))</f>
        <v>1</v>
      </c>
      <c r="L116" s="16" t="n">
        <f aca="false">IF(B116=-1,-1,VLOOKUP(D116,$Y$1:$AA$22,3))</f>
        <v>8</v>
      </c>
      <c r="N116" s="10" t="str">
        <f aca="false">_xlfn.UNICHAR(((C116*21)+G116)*28+44032)</f>
        <v>겨</v>
      </c>
      <c r="O116" s="10" t="str">
        <f aca="false">_xlfn.UNICHAR(((F116*21)+D116)*28+44032)</f>
        <v>뵤</v>
      </c>
      <c r="P116" s="12" t="n">
        <f aca="false">COUNTIF($A$2:$A$3000, N116) + COUNTIF($A$2:$A$3000, O116)</f>
        <v>2</v>
      </c>
      <c r="Q116" s="16" t="str">
        <f aca="false">IF(OR(B116=-1,I116=0, P116&lt;&gt;2), "albhed_dummy", _xlfn.CONCAT("albhed ", RIGHT("  " &amp; K116,2),", ", RIGHT("  " &amp; L116,2), ", " ,"""",H116,""", ", """",N116,""", ","""",O116,""""," ; ", A116))</f>
        <v>albhed  1,  8, "벼", "겨", "뵤" ; 굘</v>
      </c>
    </row>
    <row r="117" customFormat="false" ht="17.9" hidden="false" customHeight="true" outlineLevel="0" collapsed="false">
      <c r="A117" s="16" t="s">
        <v>996</v>
      </c>
      <c r="B117" s="16" t="n">
        <f aca="false">IF(_xlfn.UNICODE(A117)&lt;44032,-1,_xlfn.UNICODE(A117)-44032)</f>
        <v>353</v>
      </c>
      <c r="C117" s="16" t="n">
        <f aca="false">IF(B117=-1,-1,INT((B117/28)/21))</f>
        <v>0</v>
      </c>
      <c r="D117" s="16" t="n">
        <f aca="false">IF(B117=-1, -1, MOD(INT(B117/28),21))</f>
        <v>12</v>
      </c>
      <c r="E117" s="16" t="n">
        <f aca="false">IF(B117=-1, -1, VLOOKUP(MOD(B117,28), $T$24:$U$52,2))</f>
        <v>17</v>
      </c>
      <c r="F117" s="16" t="n">
        <f aca="false">IF($B117=-1, -1, VLOOKUP(C117,$T$1:$V$20, 2))</f>
        <v>7</v>
      </c>
      <c r="G117" s="16" t="n">
        <f aca="false">IF($B117=-1, -1, VLOOKUP(D117,$Y$1:$Z$22,2))</f>
        <v>6</v>
      </c>
      <c r="H117" s="16" t="str">
        <f aca="false">_xlfn.UNICHAR(((F117*21)+G117)*28+44032)</f>
        <v>벼</v>
      </c>
      <c r="I117" s="16" t="n">
        <f aca="false">IF(B117=-1, 1, COUNTIF($A$2:$A$3000, H117))</f>
        <v>1</v>
      </c>
      <c r="J117" s="10" t="str">
        <f aca="false">_xlfn.CONCAT(A117, ",",H117,",",I117)</f>
        <v>굡,벼,1</v>
      </c>
      <c r="K117" s="16" t="n">
        <f aca="false">IF(B117=-1,-1,VLOOKUP(C117,$T$1:$V$20,3))</f>
        <v>1</v>
      </c>
      <c r="L117" s="16" t="n">
        <f aca="false">IF(B117=-1,-1,VLOOKUP(D117,$Y$1:$AA$22,3))</f>
        <v>8</v>
      </c>
      <c r="N117" s="10" t="str">
        <f aca="false">_xlfn.UNICHAR(((C117*21)+G117)*28+44032)</f>
        <v>겨</v>
      </c>
      <c r="O117" s="10" t="str">
        <f aca="false">_xlfn.UNICHAR(((F117*21)+D117)*28+44032)</f>
        <v>뵤</v>
      </c>
      <c r="P117" s="12" t="n">
        <f aca="false">COUNTIF($A$2:$A$3000, N117) + COUNTIF($A$2:$A$3000, O117)</f>
        <v>2</v>
      </c>
      <c r="Q117" s="16" t="str">
        <f aca="false">IF(OR(B117=-1,I117=0, P117&lt;&gt;2), "albhed_dummy", _xlfn.CONCAT("albhed ", RIGHT("  " &amp; K117,2),", ", RIGHT("  " &amp; L117,2), ", " ,"""",H117,""", ", """",N117,""", ","""",O117,""""," ; ", A117))</f>
        <v>albhed  1,  8, "벼", "겨", "뵤" ; 굡</v>
      </c>
    </row>
    <row r="118" customFormat="false" ht="17.9" hidden="false" customHeight="true" outlineLevel="0" collapsed="false">
      <c r="A118" s="16" t="s">
        <v>997</v>
      </c>
      <c r="B118" s="16" t="n">
        <f aca="false">IF(_xlfn.UNICODE(A118)&lt;44032,-1,_xlfn.UNICODE(A118)-44032)</f>
        <v>355</v>
      </c>
      <c r="C118" s="16" t="n">
        <f aca="false">IF(B118=-1,-1,INT((B118/28)/21))</f>
        <v>0</v>
      </c>
      <c r="D118" s="16" t="n">
        <f aca="false">IF(B118=-1, -1, MOD(INT(B118/28),21))</f>
        <v>12</v>
      </c>
      <c r="E118" s="16" t="n">
        <f aca="false">IF(B118=-1, -1, VLOOKUP(MOD(B118,28), $T$24:$U$52,2))</f>
        <v>19</v>
      </c>
      <c r="F118" s="16" t="n">
        <f aca="false">IF($B118=-1, -1, VLOOKUP(C118,$T$1:$V$20, 2))</f>
        <v>7</v>
      </c>
      <c r="G118" s="16" t="n">
        <f aca="false">IF($B118=-1, -1, VLOOKUP(D118,$Y$1:$Z$22,2))</f>
        <v>6</v>
      </c>
      <c r="H118" s="16" t="str">
        <f aca="false">_xlfn.UNICHAR(((F118*21)+G118)*28+44032)</f>
        <v>벼</v>
      </c>
      <c r="I118" s="16" t="n">
        <f aca="false">IF(B118=-1, 1, COUNTIF($A$2:$A$3000, H118))</f>
        <v>1</v>
      </c>
      <c r="J118" s="10" t="str">
        <f aca="false">_xlfn.CONCAT(A118, ",",H118,",",I118)</f>
        <v>굣,벼,1</v>
      </c>
      <c r="K118" s="16" t="n">
        <f aca="false">IF(B118=-1,-1,VLOOKUP(C118,$T$1:$V$20,3))</f>
        <v>1</v>
      </c>
      <c r="L118" s="16" t="n">
        <f aca="false">IF(B118=-1,-1,VLOOKUP(D118,$Y$1:$AA$22,3))</f>
        <v>8</v>
      </c>
      <c r="N118" s="10" t="str">
        <f aca="false">_xlfn.UNICHAR(((C118*21)+G118)*28+44032)</f>
        <v>겨</v>
      </c>
      <c r="O118" s="10" t="str">
        <f aca="false">_xlfn.UNICHAR(((F118*21)+D118)*28+44032)</f>
        <v>뵤</v>
      </c>
      <c r="P118" s="12" t="n">
        <f aca="false">COUNTIF($A$2:$A$3000, N118) + COUNTIF($A$2:$A$3000, O118)</f>
        <v>2</v>
      </c>
      <c r="Q118" s="16" t="str">
        <f aca="false">IF(OR(B118=-1,I118=0, P118&lt;&gt;2), "albhed_dummy", _xlfn.CONCAT("albhed ", RIGHT("  " &amp; K118,2),", ", RIGHT("  " &amp; L118,2), ", " ,"""",H118,""", ", """",N118,""", ","""",O118,""""," ; ", A118))</f>
        <v>albhed  1,  8, "벼", "겨", "뵤" ; 굣</v>
      </c>
    </row>
    <row r="119" customFormat="false" ht="17.9" hidden="false" customHeight="true" outlineLevel="0" collapsed="false">
      <c r="A119" s="16" t="s">
        <v>998</v>
      </c>
      <c r="B119" s="16" t="n">
        <f aca="false">IF(_xlfn.UNICODE(A119)&lt;44032,-1,_xlfn.UNICODE(A119)-44032)</f>
        <v>364</v>
      </c>
      <c r="C119" s="16" t="n">
        <f aca="false">IF(B119=-1,-1,INT((B119/28)/21))</f>
        <v>0</v>
      </c>
      <c r="D119" s="16" t="n">
        <f aca="false">IF(B119=-1, -1, MOD(INT(B119/28),21))</f>
        <v>13</v>
      </c>
      <c r="E119" s="16" t="n">
        <f aca="false">IF(B119=-1, -1, VLOOKUP(MOD(B119,28), $T$24:$U$52,2))</f>
        <v>0</v>
      </c>
      <c r="F119" s="16" t="n">
        <f aca="false">IF($B119=-1, -1, VLOOKUP(C119,$T$1:$V$20, 2))</f>
        <v>7</v>
      </c>
      <c r="G119" s="16" t="n">
        <f aca="false">IF($B119=-1, -1, VLOOKUP(D119,$Y$1:$Z$22,2))</f>
        <v>0</v>
      </c>
      <c r="H119" s="16" t="str">
        <f aca="false">_xlfn.UNICHAR(((F119*21)+G119)*28+44032)</f>
        <v>바</v>
      </c>
      <c r="I119" s="16" t="n">
        <f aca="false">IF(B119=-1, 1, COUNTIF($A$2:$A$3000, H119))</f>
        <v>1</v>
      </c>
      <c r="J119" s="10" t="str">
        <f aca="false">_xlfn.CONCAT(A119, ",",H119,",",I119)</f>
        <v>구,바,1</v>
      </c>
      <c r="K119" s="16" t="n">
        <f aca="false">IF(B119=-1,-1,VLOOKUP(C119,$T$1:$V$20,3))</f>
        <v>1</v>
      </c>
      <c r="L119" s="16" t="n">
        <f aca="false">IF(B119=-1,-1,VLOOKUP(D119,$Y$1:$AA$22,3))</f>
        <v>6</v>
      </c>
      <c r="N119" s="10" t="str">
        <f aca="false">_xlfn.UNICHAR(((C119*21)+G119)*28+44032)</f>
        <v>가</v>
      </c>
      <c r="O119" s="10" t="str">
        <f aca="false">_xlfn.UNICHAR(((F119*21)+D119)*28+44032)</f>
        <v>부</v>
      </c>
      <c r="P119" s="12" t="n">
        <f aca="false">COUNTIF($A$2:$A$3000, N119) + COUNTIF($A$2:$A$3000, O119)</f>
        <v>2</v>
      </c>
      <c r="Q119" s="16" t="str">
        <f aca="false">IF(OR(B119=-1,I119=0, P119&lt;&gt;2), "albhed_dummy", _xlfn.CONCAT("albhed ", RIGHT("  " &amp; K119,2),", ", RIGHT("  " &amp; L119,2), ", " ,"""",H119,""", ", """",N119,""", ","""",O119,""""," ; ", A119))</f>
        <v>albhed  1,  6, "바", "가", "부" ; 구</v>
      </c>
    </row>
    <row r="120" customFormat="false" ht="17.9" hidden="false" customHeight="true" outlineLevel="0" collapsed="false">
      <c r="A120" s="16" t="s">
        <v>999</v>
      </c>
      <c r="B120" s="16" t="n">
        <f aca="false">IF(_xlfn.UNICODE(A120)&lt;44032,-1,_xlfn.UNICODE(A120)-44032)</f>
        <v>365</v>
      </c>
      <c r="C120" s="16" t="n">
        <f aca="false">IF(B120=-1,-1,INT((B120/28)/21))</f>
        <v>0</v>
      </c>
      <c r="D120" s="16" t="n">
        <f aca="false">IF(B120=-1, -1, MOD(INT(B120/28),21))</f>
        <v>13</v>
      </c>
      <c r="E120" s="16" t="n">
        <f aca="false">IF(B120=-1, -1, VLOOKUP(MOD(B120,28), $T$24:$U$52,2))</f>
        <v>1</v>
      </c>
      <c r="F120" s="16" t="n">
        <f aca="false">IF($B120=-1, -1, VLOOKUP(C120,$T$1:$V$20, 2))</f>
        <v>7</v>
      </c>
      <c r="G120" s="16" t="n">
        <f aca="false">IF($B120=-1, -1, VLOOKUP(D120,$Y$1:$Z$22,2))</f>
        <v>0</v>
      </c>
      <c r="H120" s="16" t="str">
        <f aca="false">_xlfn.UNICHAR(((F120*21)+G120)*28+44032)</f>
        <v>바</v>
      </c>
      <c r="I120" s="16" t="n">
        <f aca="false">IF(B120=-1, 1, COUNTIF($A$2:$A$3000, H120))</f>
        <v>1</v>
      </c>
      <c r="J120" s="10" t="str">
        <f aca="false">_xlfn.CONCAT(A120, ",",H120,",",I120)</f>
        <v>국,바,1</v>
      </c>
      <c r="K120" s="16" t="n">
        <f aca="false">IF(B120=-1,-1,VLOOKUP(C120,$T$1:$V$20,3))</f>
        <v>1</v>
      </c>
      <c r="L120" s="16" t="n">
        <f aca="false">IF(B120=-1,-1,VLOOKUP(D120,$Y$1:$AA$22,3))</f>
        <v>6</v>
      </c>
      <c r="N120" s="10" t="str">
        <f aca="false">_xlfn.UNICHAR(((C120*21)+G120)*28+44032)</f>
        <v>가</v>
      </c>
      <c r="O120" s="10" t="str">
        <f aca="false">_xlfn.UNICHAR(((F120*21)+D120)*28+44032)</f>
        <v>부</v>
      </c>
      <c r="P120" s="12" t="n">
        <f aca="false">COUNTIF($A$2:$A$3000, N120) + COUNTIF($A$2:$A$3000, O120)</f>
        <v>2</v>
      </c>
      <c r="Q120" s="16" t="str">
        <f aca="false">IF(OR(B120=-1,I120=0, P120&lt;&gt;2), "albhed_dummy", _xlfn.CONCAT("albhed ", RIGHT("  " &amp; K120,2),", ", RIGHT("  " &amp; L120,2), ", " ,"""",H120,""", ", """",N120,""", ","""",O120,""""," ; ", A120))</f>
        <v>albhed  1,  6, "바", "가", "부" ; 국</v>
      </c>
    </row>
    <row r="121" customFormat="false" ht="17.9" hidden="false" customHeight="true" outlineLevel="0" collapsed="false">
      <c r="A121" s="16" t="s">
        <v>1000</v>
      </c>
      <c r="B121" s="16" t="n">
        <f aca="false">IF(_xlfn.UNICODE(A121)&lt;44032,-1,_xlfn.UNICODE(A121)-44032)</f>
        <v>368</v>
      </c>
      <c r="C121" s="16" t="n">
        <f aca="false">IF(B121=-1,-1,INT((B121/28)/21))</f>
        <v>0</v>
      </c>
      <c r="D121" s="16" t="n">
        <f aca="false">IF(B121=-1, -1, MOD(INT(B121/28),21))</f>
        <v>13</v>
      </c>
      <c r="E121" s="16" t="n">
        <f aca="false">IF(B121=-1, -1, VLOOKUP(MOD(B121,28), $T$24:$U$52,2))</f>
        <v>4</v>
      </c>
      <c r="F121" s="16" t="n">
        <f aca="false">IF($B121=-1, -1, VLOOKUP(C121,$T$1:$V$20, 2))</f>
        <v>7</v>
      </c>
      <c r="G121" s="16" t="n">
        <f aca="false">IF($B121=-1, -1, VLOOKUP(D121,$Y$1:$Z$22,2))</f>
        <v>0</v>
      </c>
      <c r="H121" s="16" t="str">
        <f aca="false">_xlfn.UNICHAR(((F121*21)+G121)*28+44032)</f>
        <v>바</v>
      </c>
      <c r="I121" s="16" t="n">
        <f aca="false">IF(B121=-1, 1, COUNTIF($A$2:$A$3000, H121))</f>
        <v>1</v>
      </c>
      <c r="J121" s="10" t="str">
        <f aca="false">_xlfn.CONCAT(A121, ",",H121,",",I121)</f>
        <v>군,바,1</v>
      </c>
      <c r="K121" s="16" t="n">
        <f aca="false">IF(B121=-1,-1,VLOOKUP(C121,$T$1:$V$20,3))</f>
        <v>1</v>
      </c>
      <c r="L121" s="16" t="n">
        <f aca="false">IF(B121=-1,-1,VLOOKUP(D121,$Y$1:$AA$22,3))</f>
        <v>6</v>
      </c>
      <c r="N121" s="10" t="str">
        <f aca="false">_xlfn.UNICHAR(((C121*21)+G121)*28+44032)</f>
        <v>가</v>
      </c>
      <c r="O121" s="10" t="str">
        <f aca="false">_xlfn.UNICHAR(((F121*21)+D121)*28+44032)</f>
        <v>부</v>
      </c>
      <c r="P121" s="12" t="n">
        <f aca="false">COUNTIF($A$2:$A$3000, N121) + COUNTIF($A$2:$A$3000, O121)</f>
        <v>2</v>
      </c>
      <c r="Q121" s="16" t="str">
        <f aca="false">IF(OR(B121=-1,I121=0, P121&lt;&gt;2), "albhed_dummy", _xlfn.CONCAT("albhed ", RIGHT("  " &amp; K121,2),", ", RIGHT("  " &amp; L121,2), ", " ,"""",H121,""", ", """",N121,""", ","""",O121,""""," ; ", A121))</f>
        <v>albhed  1,  6, "바", "가", "부" ; 군</v>
      </c>
    </row>
    <row r="122" customFormat="false" ht="17.9" hidden="false" customHeight="true" outlineLevel="0" collapsed="false">
      <c r="A122" s="16" t="s">
        <v>1001</v>
      </c>
      <c r="B122" s="16" t="n">
        <f aca="false">IF(_xlfn.UNICODE(A122)&lt;44032,-1,_xlfn.UNICODE(A122)-44032)</f>
        <v>371</v>
      </c>
      <c r="C122" s="16" t="n">
        <f aca="false">IF(B122=-1,-1,INT((B122/28)/21))</f>
        <v>0</v>
      </c>
      <c r="D122" s="16" t="n">
        <f aca="false">IF(B122=-1, -1, MOD(INT(B122/28),21))</f>
        <v>13</v>
      </c>
      <c r="E122" s="16" t="n">
        <f aca="false">IF(B122=-1, -1, VLOOKUP(MOD(B122,28), $T$24:$U$52,2))</f>
        <v>19</v>
      </c>
      <c r="F122" s="16" t="n">
        <f aca="false">IF($B122=-1, -1, VLOOKUP(C122,$T$1:$V$20, 2))</f>
        <v>7</v>
      </c>
      <c r="G122" s="16" t="n">
        <f aca="false">IF($B122=-1, -1, VLOOKUP(D122,$Y$1:$Z$22,2))</f>
        <v>0</v>
      </c>
      <c r="H122" s="16" t="str">
        <f aca="false">_xlfn.UNICHAR(((F122*21)+G122)*28+44032)</f>
        <v>바</v>
      </c>
      <c r="I122" s="16" t="n">
        <f aca="false">IF(B122=-1, 1, COUNTIF($A$2:$A$3000, H122))</f>
        <v>1</v>
      </c>
      <c r="J122" s="10" t="str">
        <f aca="false">_xlfn.CONCAT(A122, ",",H122,",",I122)</f>
        <v>굳,바,1</v>
      </c>
      <c r="K122" s="16" t="n">
        <f aca="false">IF(B122=-1,-1,VLOOKUP(C122,$T$1:$V$20,3))</f>
        <v>1</v>
      </c>
      <c r="L122" s="16" t="n">
        <f aca="false">IF(B122=-1,-1,VLOOKUP(D122,$Y$1:$AA$22,3))</f>
        <v>6</v>
      </c>
      <c r="N122" s="10" t="str">
        <f aca="false">_xlfn.UNICHAR(((C122*21)+G122)*28+44032)</f>
        <v>가</v>
      </c>
      <c r="O122" s="10" t="str">
        <f aca="false">_xlfn.UNICHAR(((F122*21)+D122)*28+44032)</f>
        <v>부</v>
      </c>
      <c r="P122" s="12" t="n">
        <f aca="false">COUNTIF($A$2:$A$3000, N122) + COUNTIF($A$2:$A$3000, O122)</f>
        <v>2</v>
      </c>
      <c r="Q122" s="16" t="str">
        <f aca="false">IF(OR(B122=-1,I122=0, P122&lt;&gt;2), "albhed_dummy", _xlfn.CONCAT("albhed ", RIGHT("  " &amp; K122,2),", ", RIGHT("  " &amp; L122,2), ", " ,"""",H122,""", ", """",N122,""", ","""",O122,""""," ; ", A122))</f>
        <v>albhed  1,  6, "바", "가", "부" ; 굳</v>
      </c>
    </row>
    <row r="123" customFormat="false" ht="17.9" hidden="false" customHeight="true" outlineLevel="0" collapsed="false">
      <c r="A123" s="16" t="s">
        <v>1002</v>
      </c>
      <c r="B123" s="16" t="n">
        <f aca="false">IF(_xlfn.UNICODE(A123)&lt;44032,-1,_xlfn.UNICODE(A123)-44032)</f>
        <v>372</v>
      </c>
      <c r="C123" s="16" t="n">
        <f aca="false">IF(B123=-1,-1,INT((B123/28)/21))</f>
        <v>0</v>
      </c>
      <c r="D123" s="16" t="n">
        <f aca="false">IF(B123=-1, -1, MOD(INT(B123/28),21))</f>
        <v>13</v>
      </c>
      <c r="E123" s="16" t="n">
        <f aca="false">IF(B123=-1, -1, VLOOKUP(MOD(B123,28), $T$24:$U$52,2))</f>
        <v>8</v>
      </c>
      <c r="F123" s="16" t="n">
        <f aca="false">IF($B123=-1, -1, VLOOKUP(C123,$T$1:$V$20, 2))</f>
        <v>7</v>
      </c>
      <c r="G123" s="16" t="n">
        <f aca="false">IF($B123=-1, -1, VLOOKUP(D123,$Y$1:$Z$22,2))</f>
        <v>0</v>
      </c>
      <c r="H123" s="16" t="str">
        <f aca="false">_xlfn.UNICHAR(((F123*21)+G123)*28+44032)</f>
        <v>바</v>
      </c>
      <c r="I123" s="16" t="n">
        <f aca="false">IF(B123=-1, 1, COUNTIF($A$2:$A$3000, H123))</f>
        <v>1</v>
      </c>
      <c r="J123" s="10" t="str">
        <f aca="false">_xlfn.CONCAT(A123, ",",H123,",",I123)</f>
        <v>굴,바,1</v>
      </c>
      <c r="K123" s="16" t="n">
        <f aca="false">IF(B123=-1,-1,VLOOKUP(C123,$T$1:$V$20,3))</f>
        <v>1</v>
      </c>
      <c r="L123" s="16" t="n">
        <f aca="false">IF(B123=-1,-1,VLOOKUP(D123,$Y$1:$AA$22,3))</f>
        <v>6</v>
      </c>
      <c r="N123" s="10" t="str">
        <f aca="false">_xlfn.UNICHAR(((C123*21)+G123)*28+44032)</f>
        <v>가</v>
      </c>
      <c r="O123" s="10" t="str">
        <f aca="false">_xlfn.UNICHAR(((F123*21)+D123)*28+44032)</f>
        <v>부</v>
      </c>
      <c r="P123" s="12" t="n">
        <f aca="false">COUNTIF($A$2:$A$3000, N123) + COUNTIF($A$2:$A$3000, O123)</f>
        <v>2</v>
      </c>
      <c r="Q123" s="16" t="str">
        <f aca="false">IF(OR(B123=-1,I123=0, P123&lt;&gt;2), "albhed_dummy", _xlfn.CONCAT("albhed ", RIGHT("  " &amp; K123,2),", ", RIGHT("  " &amp; L123,2), ", " ,"""",H123,""", ", """",N123,""", ","""",O123,""""," ; ", A123))</f>
        <v>albhed  1,  6, "바", "가", "부" ; 굴</v>
      </c>
    </row>
    <row r="124" customFormat="false" ht="17.9" hidden="false" customHeight="true" outlineLevel="0" collapsed="false">
      <c r="A124" s="16" t="s">
        <v>1003</v>
      </c>
      <c r="B124" s="16" t="n">
        <f aca="false">IF(_xlfn.UNICODE(A124)&lt;44032,-1,_xlfn.UNICODE(A124)-44032)</f>
        <v>373</v>
      </c>
      <c r="C124" s="16" t="n">
        <f aca="false">IF(B124=-1,-1,INT((B124/28)/21))</f>
        <v>0</v>
      </c>
      <c r="D124" s="16" t="n">
        <f aca="false">IF(B124=-1, -1, MOD(INT(B124/28),21))</f>
        <v>13</v>
      </c>
      <c r="E124" s="16" t="n">
        <f aca="false">IF(B124=-1, -1, VLOOKUP(MOD(B124,28), $T$24:$U$52,2))</f>
        <v>8</v>
      </c>
      <c r="F124" s="16" t="n">
        <f aca="false">IF($B124=-1, -1, VLOOKUP(C124,$T$1:$V$20, 2))</f>
        <v>7</v>
      </c>
      <c r="G124" s="16" t="n">
        <f aca="false">IF($B124=-1, -1, VLOOKUP(D124,$Y$1:$Z$22,2))</f>
        <v>0</v>
      </c>
      <c r="H124" s="16" t="str">
        <f aca="false">_xlfn.UNICHAR(((F124*21)+G124)*28+44032)</f>
        <v>바</v>
      </c>
      <c r="I124" s="16" t="n">
        <f aca="false">IF(B124=-1, 1, COUNTIF($A$2:$A$3000, H124))</f>
        <v>1</v>
      </c>
      <c r="J124" s="10" t="str">
        <f aca="false">_xlfn.CONCAT(A124, ",",H124,",",I124)</f>
        <v>굵,바,1</v>
      </c>
      <c r="K124" s="16" t="n">
        <f aca="false">IF(B124=-1,-1,VLOOKUP(C124,$T$1:$V$20,3))</f>
        <v>1</v>
      </c>
      <c r="L124" s="16" t="n">
        <f aca="false">IF(B124=-1,-1,VLOOKUP(D124,$Y$1:$AA$22,3))</f>
        <v>6</v>
      </c>
      <c r="N124" s="10" t="str">
        <f aca="false">_xlfn.UNICHAR(((C124*21)+G124)*28+44032)</f>
        <v>가</v>
      </c>
      <c r="O124" s="10" t="str">
        <f aca="false">_xlfn.UNICHAR(((F124*21)+D124)*28+44032)</f>
        <v>부</v>
      </c>
      <c r="P124" s="12" t="n">
        <f aca="false">COUNTIF($A$2:$A$3000, N124) + COUNTIF($A$2:$A$3000, O124)</f>
        <v>2</v>
      </c>
      <c r="Q124" s="16" t="str">
        <f aca="false">IF(OR(B124=-1,I124=0, P124&lt;&gt;2), "albhed_dummy", _xlfn.CONCAT("albhed ", RIGHT("  " &amp; K124,2),", ", RIGHT("  " &amp; L124,2), ", " ,"""",H124,""", ", """",N124,""", ","""",O124,""""," ; ", A124))</f>
        <v>albhed  1,  6, "바", "가", "부" ; 굵</v>
      </c>
    </row>
    <row r="125" customFormat="false" ht="17.9" hidden="false" customHeight="true" outlineLevel="0" collapsed="false">
      <c r="A125" s="16" t="s">
        <v>1004</v>
      </c>
      <c r="B125" s="16" t="n">
        <f aca="false">IF(_xlfn.UNICODE(A125)&lt;44032,-1,_xlfn.UNICODE(A125)-44032)</f>
        <v>374</v>
      </c>
      <c r="C125" s="16" t="n">
        <f aca="false">IF(B125=-1,-1,INT((B125/28)/21))</f>
        <v>0</v>
      </c>
      <c r="D125" s="16" t="n">
        <f aca="false">IF(B125=-1, -1, MOD(INT(B125/28),21))</f>
        <v>13</v>
      </c>
      <c r="E125" s="16" t="n">
        <f aca="false">IF(B125=-1, -1, VLOOKUP(MOD(B125,28), $T$24:$U$52,2))</f>
        <v>8</v>
      </c>
      <c r="F125" s="16" t="n">
        <f aca="false">IF($B125=-1, -1, VLOOKUP(C125,$T$1:$V$20, 2))</f>
        <v>7</v>
      </c>
      <c r="G125" s="16" t="n">
        <f aca="false">IF($B125=-1, -1, VLOOKUP(D125,$Y$1:$Z$22,2))</f>
        <v>0</v>
      </c>
      <c r="H125" s="16" t="str">
        <f aca="false">_xlfn.UNICHAR(((F125*21)+G125)*28+44032)</f>
        <v>바</v>
      </c>
      <c r="I125" s="16" t="n">
        <f aca="false">IF(B125=-1, 1, COUNTIF($A$2:$A$3000, H125))</f>
        <v>1</v>
      </c>
      <c r="J125" s="10" t="str">
        <f aca="false">_xlfn.CONCAT(A125, ",",H125,",",I125)</f>
        <v>굶,바,1</v>
      </c>
      <c r="K125" s="16" t="n">
        <f aca="false">IF(B125=-1,-1,VLOOKUP(C125,$T$1:$V$20,3))</f>
        <v>1</v>
      </c>
      <c r="L125" s="16" t="n">
        <f aca="false">IF(B125=-1,-1,VLOOKUP(D125,$Y$1:$AA$22,3))</f>
        <v>6</v>
      </c>
      <c r="N125" s="10" t="str">
        <f aca="false">_xlfn.UNICHAR(((C125*21)+G125)*28+44032)</f>
        <v>가</v>
      </c>
      <c r="O125" s="10" t="str">
        <f aca="false">_xlfn.UNICHAR(((F125*21)+D125)*28+44032)</f>
        <v>부</v>
      </c>
      <c r="P125" s="12" t="n">
        <f aca="false">COUNTIF($A$2:$A$3000, N125) + COUNTIF($A$2:$A$3000, O125)</f>
        <v>2</v>
      </c>
      <c r="Q125" s="16" t="str">
        <f aca="false">IF(OR(B125=-1,I125=0, P125&lt;&gt;2), "albhed_dummy", _xlfn.CONCAT("albhed ", RIGHT("  " &amp; K125,2),", ", RIGHT("  " &amp; L125,2), ", " ,"""",H125,""", ", """",N125,""", ","""",O125,""""," ; ", A125))</f>
        <v>albhed  1,  6, "바", "가", "부" ; 굶</v>
      </c>
    </row>
    <row r="126" customFormat="false" ht="17.9" hidden="false" customHeight="true" outlineLevel="0" collapsed="false">
      <c r="A126" s="16" t="s">
        <v>1005</v>
      </c>
      <c r="B126" s="16" t="n">
        <f aca="false">IF(_xlfn.UNICODE(A126)&lt;44032,-1,_xlfn.UNICODE(A126)-44032)</f>
        <v>379</v>
      </c>
      <c r="C126" s="16" t="n">
        <f aca="false">IF(B126=-1,-1,INT((B126/28)/21))</f>
        <v>0</v>
      </c>
      <c r="D126" s="16" t="n">
        <f aca="false">IF(B126=-1, -1, MOD(INT(B126/28),21))</f>
        <v>13</v>
      </c>
      <c r="E126" s="16" t="n">
        <f aca="false">IF(B126=-1, -1, VLOOKUP(MOD(B126,28), $T$24:$U$52,2))</f>
        <v>8</v>
      </c>
      <c r="F126" s="16" t="n">
        <f aca="false">IF($B126=-1, -1, VLOOKUP(C126,$T$1:$V$20, 2))</f>
        <v>7</v>
      </c>
      <c r="G126" s="16" t="n">
        <f aca="false">IF($B126=-1, -1, VLOOKUP(D126,$Y$1:$Z$22,2))</f>
        <v>0</v>
      </c>
      <c r="H126" s="16" t="str">
        <f aca="false">_xlfn.UNICHAR(((F126*21)+G126)*28+44032)</f>
        <v>바</v>
      </c>
      <c r="I126" s="16" t="n">
        <f aca="false">IF(B126=-1, 1, COUNTIF($A$2:$A$3000, H126))</f>
        <v>1</v>
      </c>
      <c r="J126" s="10" t="str">
        <f aca="false">_xlfn.CONCAT(A126, ",",H126,",",I126)</f>
        <v>굻,바,1</v>
      </c>
      <c r="K126" s="16" t="n">
        <f aca="false">IF(B126=-1,-1,VLOOKUP(C126,$T$1:$V$20,3))</f>
        <v>1</v>
      </c>
      <c r="L126" s="16" t="n">
        <f aca="false">IF(B126=-1,-1,VLOOKUP(D126,$Y$1:$AA$22,3))</f>
        <v>6</v>
      </c>
      <c r="N126" s="10" t="str">
        <f aca="false">_xlfn.UNICHAR(((C126*21)+G126)*28+44032)</f>
        <v>가</v>
      </c>
      <c r="O126" s="10" t="str">
        <f aca="false">_xlfn.UNICHAR(((F126*21)+D126)*28+44032)</f>
        <v>부</v>
      </c>
      <c r="P126" s="12" t="n">
        <f aca="false">COUNTIF($A$2:$A$3000, N126) + COUNTIF($A$2:$A$3000, O126)</f>
        <v>2</v>
      </c>
      <c r="Q126" s="16" t="str">
        <f aca="false">IF(OR(B126=-1,I126=0, P126&lt;&gt;2), "albhed_dummy", _xlfn.CONCAT("albhed ", RIGHT("  " &amp; K126,2),", ", RIGHT("  " &amp; L126,2), ", " ,"""",H126,""", ", """",N126,""", ","""",O126,""""," ; ", A126))</f>
        <v>albhed  1,  6, "바", "가", "부" ; 굻</v>
      </c>
    </row>
    <row r="127" customFormat="false" ht="17.9" hidden="false" customHeight="true" outlineLevel="0" collapsed="false">
      <c r="A127" s="16" t="s">
        <v>1006</v>
      </c>
      <c r="B127" s="16" t="n">
        <f aca="false">IF(_xlfn.UNICODE(A127)&lt;44032,-1,_xlfn.UNICODE(A127)-44032)</f>
        <v>380</v>
      </c>
      <c r="C127" s="16" t="n">
        <f aca="false">IF(B127=-1,-1,INT((B127/28)/21))</f>
        <v>0</v>
      </c>
      <c r="D127" s="16" t="n">
        <f aca="false">IF(B127=-1, -1, MOD(INT(B127/28),21))</f>
        <v>13</v>
      </c>
      <c r="E127" s="16" t="n">
        <f aca="false">IF(B127=-1, -1, VLOOKUP(MOD(B127,28), $T$24:$U$52,2))</f>
        <v>16</v>
      </c>
      <c r="F127" s="16" t="n">
        <f aca="false">IF($B127=-1, -1, VLOOKUP(C127,$T$1:$V$20, 2))</f>
        <v>7</v>
      </c>
      <c r="G127" s="16" t="n">
        <f aca="false">IF($B127=-1, -1, VLOOKUP(D127,$Y$1:$Z$22,2))</f>
        <v>0</v>
      </c>
      <c r="H127" s="16" t="str">
        <f aca="false">_xlfn.UNICHAR(((F127*21)+G127)*28+44032)</f>
        <v>바</v>
      </c>
      <c r="I127" s="16" t="n">
        <f aca="false">IF(B127=-1, 1, COUNTIF($A$2:$A$3000, H127))</f>
        <v>1</v>
      </c>
      <c r="J127" s="10" t="str">
        <f aca="false">_xlfn.CONCAT(A127, ",",H127,",",I127)</f>
        <v>굼,바,1</v>
      </c>
      <c r="K127" s="16" t="n">
        <f aca="false">IF(B127=-1,-1,VLOOKUP(C127,$T$1:$V$20,3))</f>
        <v>1</v>
      </c>
      <c r="L127" s="16" t="n">
        <f aca="false">IF(B127=-1,-1,VLOOKUP(D127,$Y$1:$AA$22,3))</f>
        <v>6</v>
      </c>
      <c r="N127" s="10" t="str">
        <f aca="false">_xlfn.UNICHAR(((C127*21)+G127)*28+44032)</f>
        <v>가</v>
      </c>
      <c r="O127" s="10" t="str">
        <f aca="false">_xlfn.UNICHAR(((F127*21)+D127)*28+44032)</f>
        <v>부</v>
      </c>
      <c r="P127" s="12" t="n">
        <f aca="false">COUNTIF($A$2:$A$3000, N127) + COUNTIF($A$2:$A$3000, O127)</f>
        <v>2</v>
      </c>
      <c r="Q127" s="16" t="str">
        <f aca="false">IF(OR(B127=-1,I127=0, P127&lt;&gt;2), "albhed_dummy", _xlfn.CONCAT("albhed ", RIGHT("  " &amp; K127,2),", ", RIGHT("  " &amp; L127,2), ", " ,"""",H127,""", ", """",N127,""", ","""",O127,""""," ; ", A127))</f>
        <v>albhed  1,  6, "바", "가", "부" ; 굼</v>
      </c>
    </row>
    <row r="128" customFormat="false" ht="17.9" hidden="false" customHeight="true" outlineLevel="0" collapsed="false">
      <c r="A128" s="16" t="s">
        <v>1007</v>
      </c>
      <c r="B128" s="16" t="n">
        <f aca="false">IF(_xlfn.UNICODE(A128)&lt;44032,-1,_xlfn.UNICODE(A128)-44032)</f>
        <v>381</v>
      </c>
      <c r="C128" s="16" t="n">
        <f aca="false">IF(B128=-1,-1,INT((B128/28)/21))</f>
        <v>0</v>
      </c>
      <c r="D128" s="16" t="n">
        <f aca="false">IF(B128=-1, -1, MOD(INT(B128/28),21))</f>
        <v>13</v>
      </c>
      <c r="E128" s="16" t="n">
        <f aca="false">IF(B128=-1, -1, VLOOKUP(MOD(B128,28), $T$24:$U$52,2))</f>
        <v>17</v>
      </c>
      <c r="F128" s="16" t="n">
        <f aca="false">IF($B128=-1, -1, VLOOKUP(C128,$T$1:$V$20, 2))</f>
        <v>7</v>
      </c>
      <c r="G128" s="16" t="n">
        <f aca="false">IF($B128=-1, -1, VLOOKUP(D128,$Y$1:$Z$22,2))</f>
        <v>0</v>
      </c>
      <c r="H128" s="16" t="str">
        <f aca="false">_xlfn.UNICHAR(((F128*21)+G128)*28+44032)</f>
        <v>바</v>
      </c>
      <c r="I128" s="16" t="n">
        <f aca="false">IF(B128=-1, 1, COUNTIF($A$2:$A$3000, H128))</f>
        <v>1</v>
      </c>
      <c r="J128" s="10" t="str">
        <f aca="false">_xlfn.CONCAT(A128, ",",H128,",",I128)</f>
        <v>굽,바,1</v>
      </c>
      <c r="K128" s="16" t="n">
        <f aca="false">IF(B128=-1,-1,VLOOKUP(C128,$T$1:$V$20,3))</f>
        <v>1</v>
      </c>
      <c r="L128" s="16" t="n">
        <f aca="false">IF(B128=-1,-1,VLOOKUP(D128,$Y$1:$AA$22,3))</f>
        <v>6</v>
      </c>
      <c r="N128" s="10" t="str">
        <f aca="false">_xlfn.UNICHAR(((C128*21)+G128)*28+44032)</f>
        <v>가</v>
      </c>
      <c r="O128" s="10" t="str">
        <f aca="false">_xlfn.UNICHAR(((F128*21)+D128)*28+44032)</f>
        <v>부</v>
      </c>
      <c r="P128" s="12" t="n">
        <f aca="false">COUNTIF($A$2:$A$3000, N128) + COUNTIF($A$2:$A$3000, O128)</f>
        <v>2</v>
      </c>
      <c r="Q128" s="16" t="str">
        <f aca="false">IF(OR(B128=-1,I128=0, P128&lt;&gt;2), "albhed_dummy", _xlfn.CONCAT("albhed ", RIGHT("  " &amp; K128,2),", ", RIGHT("  " &amp; L128,2), ", " ,"""",H128,""", ", """",N128,""", ","""",O128,""""," ; ", A128))</f>
        <v>albhed  1,  6, "바", "가", "부" ; 굽</v>
      </c>
    </row>
    <row r="129" customFormat="false" ht="17.9" hidden="false" customHeight="true" outlineLevel="0" collapsed="false">
      <c r="A129" s="16" t="s">
        <v>1008</v>
      </c>
      <c r="B129" s="16" t="n">
        <f aca="false">IF(_xlfn.UNICODE(A129)&lt;44032,-1,_xlfn.UNICODE(A129)-44032)</f>
        <v>383</v>
      </c>
      <c r="C129" s="16" t="n">
        <f aca="false">IF(B129=-1,-1,INT((B129/28)/21))</f>
        <v>0</v>
      </c>
      <c r="D129" s="16" t="n">
        <f aca="false">IF(B129=-1, -1, MOD(INT(B129/28),21))</f>
        <v>13</v>
      </c>
      <c r="E129" s="16" t="n">
        <f aca="false">IF(B129=-1, -1, VLOOKUP(MOD(B129,28), $T$24:$U$52,2))</f>
        <v>19</v>
      </c>
      <c r="F129" s="16" t="n">
        <f aca="false">IF($B129=-1, -1, VLOOKUP(C129,$T$1:$V$20, 2))</f>
        <v>7</v>
      </c>
      <c r="G129" s="16" t="n">
        <f aca="false">IF($B129=-1, -1, VLOOKUP(D129,$Y$1:$Z$22,2))</f>
        <v>0</v>
      </c>
      <c r="H129" s="16" t="str">
        <f aca="false">_xlfn.UNICHAR(((F129*21)+G129)*28+44032)</f>
        <v>바</v>
      </c>
      <c r="I129" s="16" t="n">
        <f aca="false">IF(B129=-1, 1, COUNTIF($A$2:$A$3000, H129))</f>
        <v>1</v>
      </c>
      <c r="J129" s="10" t="str">
        <f aca="false">_xlfn.CONCAT(A129, ",",H129,",",I129)</f>
        <v>굿,바,1</v>
      </c>
      <c r="K129" s="16" t="n">
        <f aca="false">IF(B129=-1,-1,VLOOKUP(C129,$T$1:$V$20,3))</f>
        <v>1</v>
      </c>
      <c r="L129" s="16" t="n">
        <f aca="false">IF(B129=-1,-1,VLOOKUP(D129,$Y$1:$AA$22,3))</f>
        <v>6</v>
      </c>
      <c r="N129" s="10" t="str">
        <f aca="false">_xlfn.UNICHAR(((C129*21)+G129)*28+44032)</f>
        <v>가</v>
      </c>
      <c r="O129" s="10" t="str">
        <f aca="false">_xlfn.UNICHAR(((F129*21)+D129)*28+44032)</f>
        <v>부</v>
      </c>
      <c r="P129" s="12" t="n">
        <f aca="false">COUNTIF($A$2:$A$3000, N129) + COUNTIF($A$2:$A$3000, O129)</f>
        <v>2</v>
      </c>
      <c r="Q129" s="16" t="str">
        <f aca="false">IF(OR(B129=-1,I129=0, P129&lt;&gt;2), "albhed_dummy", _xlfn.CONCAT("albhed ", RIGHT("  " &amp; K129,2),", ", RIGHT("  " &amp; L129,2), ", " ,"""",H129,""", ", """",N129,""", ","""",O129,""""," ; ", A129))</f>
        <v>albhed  1,  6, "바", "가", "부" ; 굿</v>
      </c>
    </row>
    <row r="130" customFormat="false" ht="17.9" hidden="false" customHeight="true" outlineLevel="0" collapsed="false">
      <c r="A130" s="16" t="s">
        <v>1009</v>
      </c>
      <c r="B130" s="16" t="n">
        <f aca="false">IF(_xlfn.UNICODE(A130)&lt;44032,-1,_xlfn.UNICODE(A130)-44032)</f>
        <v>385</v>
      </c>
      <c r="C130" s="16" t="n">
        <f aca="false">IF(B130=-1,-1,INT((B130/28)/21))</f>
        <v>0</v>
      </c>
      <c r="D130" s="16" t="n">
        <f aca="false">IF(B130=-1, -1, MOD(INT(B130/28),21))</f>
        <v>13</v>
      </c>
      <c r="E130" s="16" t="n">
        <f aca="false">IF(B130=-1, -1, VLOOKUP(MOD(B130,28), $T$24:$U$52,2))</f>
        <v>21</v>
      </c>
      <c r="F130" s="16" t="n">
        <f aca="false">IF($B130=-1, -1, VLOOKUP(C130,$T$1:$V$20, 2))</f>
        <v>7</v>
      </c>
      <c r="G130" s="16" t="n">
        <f aca="false">IF($B130=-1, -1, VLOOKUP(D130,$Y$1:$Z$22,2))</f>
        <v>0</v>
      </c>
      <c r="H130" s="16" t="str">
        <f aca="false">_xlfn.UNICHAR(((F130*21)+G130)*28+44032)</f>
        <v>바</v>
      </c>
      <c r="I130" s="16" t="n">
        <f aca="false">IF(B130=-1, 1, COUNTIF($A$2:$A$3000, H130))</f>
        <v>1</v>
      </c>
      <c r="J130" s="10" t="str">
        <f aca="false">_xlfn.CONCAT(A130, ",",H130,",",I130)</f>
        <v>궁,바,1</v>
      </c>
      <c r="K130" s="16" t="n">
        <f aca="false">IF(B130=-1,-1,VLOOKUP(C130,$T$1:$V$20,3))</f>
        <v>1</v>
      </c>
      <c r="L130" s="16" t="n">
        <f aca="false">IF(B130=-1,-1,VLOOKUP(D130,$Y$1:$AA$22,3))</f>
        <v>6</v>
      </c>
      <c r="N130" s="10" t="str">
        <f aca="false">_xlfn.UNICHAR(((C130*21)+G130)*28+44032)</f>
        <v>가</v>
      </c>
      <c r="O130" s="10" t="str">
        <f aca="false">_xlfn.UNICHAR(((F130*21)+D130)*28+44032)</f>
        <v>부</v>
      </c>
      <c r="P130" s="12" t="n">
        <f aca="false">COUNTIF($A$2:$A$3000, N130) + COUNTIF($A$2:$A$3000, O130)</f>
        <v>2</v>
      </c>
      <c r="Q130" s="16" t="str">
        <f aca="false">IF(OR(B130=-1,I130=0, P130&lt;&gt;2), "albhed_dummy", _xlfn.CONCAT("albhed ", RIGHT("  " &amp; K130,2),", ", RIGHT("  " &amp; L130,2), ", " ,"""",H130,""", ", """",N130,""", ","""",O130,""""," ; ", A130))</f>
        <v>albhed  1,  6, "바", "가", "부" ; 궁</v>
      </c>
    </row>
    <row r="131" customFormat="false" ht="17.9" hidden="false" customHeight="true" outlineLevel="0" collapsed="false">
      <c r="A131" s="16" t="s">
        <v>1010</v>
      </c>
      <c r="B131" s="16" t="n">
        <f aca="false">IF(_xlfn.UNICODE(A131)&lt;44032,-1,_xlfn.UNICODE(A131)-44032)</f>
        <v>386</v>
      </c>
      <c r="C131" s="16" t="n">
        <f aca="false">IF(B131=-1,-1,INT((B131/28)/21))</f>
        <v>0</v>
      </c>
      <c r="D131" s="16" t="n">
        <f aca="false">IF(B131=-1, -1, MOD(INT(B131/28),21))</f>
        <v>13</v>
      </c>
      <c r="E131" s="16" t="n">
        <f aca="false">IF(B131=-1, -1, VLOOKUP(MOD(B131,28), $T$24:$U$52,2))</f>
        <v>19</v>
      </c>
      <c r="F131" s="16" t="n">
        <f aca="false">IF($B131=-1, -1, VLOOKUP(C131,$T$1:$V$20, 2))</f>
        <v>7</v>
      </c>
      <c r="G131" s="16" t="n">
        <f aca="false">IF($B131=-1, -1, VLOOKUP(D131,$Y$1:$Z$22,2))</f>
        <v>0</v>
      </c>
      <c r="H131" s="16" t="str">
        <f aca="false">_xlfn.UNICHAR(((F131*21)+G131)*28+44032)</f>
        <v>바</v>
      </c>
      <c r="I131" s="16" t="n">
        <f aca="false">IF(B131=-1, 1, COUNTIF($A$2:$A$3000, H131))</f>
        <v>1</v>
      </c>
      <c r="J131" s="10" t="str">
        <f aca="false">_xlfn.CONCAT(A131, ",",H131,",",I131)</f>
        <v>궂,바,1</v>
      </c>
      <c r="K131" s="16" t="n">
        <f aca="false">IF(B131=-1,-1,VLOOKUP(C131,$T$1:$V$20,3))</f>
        <v>1</v>
      </c>
      <c r="L131" s="16" t="n">
        <f aca="false">IF(B131=-1,-1,VLOOKUP(D131,$Y$1:$AA$22,3))</f>
        <v>6</v>
      </c>
      <c r="N131" s="10" t="str">
        <f aca="false">_xlfn.UNICHAR(((C131*21)+G131)*28+44032)</f>
        <v>가</v>
      </c>
      <c r="O131" s="10" t="str">
        <f aca="false">_xlfn.UNICHAR(((F131*21)+D131)*28+44032)</f>
        <v>부</v>
      </c>
      <c r="P131" s="12" t="n">
        <f aca="false">COUNTIF($A$2:$A$3000, N131) + COUNTIF($A$2:$A$3000, O131)</f>
        <v>2</v>
      </c>
      <c r="Q131" s="16" t="str">
        <f aca="false">IF(OR(B131=-1,I131=0, P131&lt;&gt;2), "albhed_dummy", _xlfn.CONCAT("albhed ", RIGHT("  " &amp; K131,2),", ", RIGHT("  " &amp; L131,2), ", " ,"""",H131,""", ", """",N131,""", ","""",O131,""""," ; ", A131))</f>
        <v>albhed  1,  6, "바", "가", "부" ; 궂</v>
      </c>
    </row>
    <row r="132" customFormat="false" ht="17.9" hidden="false" customHeight="true" outlineLevel="0" collapsed="false">
      <c r="A132" s="16" t="s">
        <v>1011</v>
      </c>
      <c r="B132" s="16" t="n">
        <f aca="false">IF(_xlfn.UNICODE(A132)&lt;44032,-1,_xlfn.UNICODE(A132)-44032)</f>
        <v>392</v>
      </c>
      <c r="C132" s="16" t="n">
        <f aca="false">IF(B132=-1,-1,INT((B132/28)/21))</f>
        <v>0</v>
      </c>
      <c r="D132" s="16" t="n">
        <f aca="false">IF(B132=-1, -1, MOD(INT(B132/28),21))</f>
        <v>14</v>
      </c>
      <c r="E132" s="16" t="n">
        <f aca="false">IF(B132=-1, -1, VLOOKUP(MOD(B132,28), $T$24:$U$52,2))</f>
        <v>0</v>
      </c>
      <c r="F132" s="16" t="n">
        <f aca="false">IF($B132=-1, -1, VLOOKUP(C132,$T$1:$V$20, 2))</f>
        <v>7</v>
      </c>
      <c r="G132" s="16" t="n">
        <f aca="false">IF($B132=-1, -1, VLOOKUP(D132,$Y$1:$Z$22,2))</f>
        <v>20</v>
      </c>
      <c r="H132" s="16" t="str">
        <f aca="false">_xlfn.UNICHAR(((F132*21)+G132)*28+44032)</f>
        <v>비</v>
      </c>
      <c r="I132" s="16" t="n">
        <f aca="false">IF(B132=-1, 1, COUNTIF($A$2:$A$3000, H132))</f>
        <v>1</v>
      </c>
      <c r="J132" s="10" t="str">
        <f aca="false">_xlfn.CONCAT(A132, ",",H132,",",I132)</f>
        <v>궈,비,1</v>
      </c>
      <c r="K132" s="16" t="n">
        <f aca="false">IF(B132=-1,-1,VLOOKUP(C132,$T$1:$V$20,3))</f>
        <v>1</v>
      </c>
      <c r="L132" s="16" t="n">
        <f aca="false">IF(B132=-1,-1,VLOOKUP(D132,$Y$1:$AA$22,3))</f>
        <v>16</v>
      </c>
      <c r="N132" s="10" t="str">
        <f aca="false">_xlfn.UNICHAR(((C132*21)+G132)*28+44032)</f>
        <v>기</v>
      </c>
      <c r="O132" s="10" t="str">
        <f aca="false">_xlfn.UNICHAR(((F132*21)+D132)*28+44032)</f>
        <v>붜</v>
      </c>
      <c r="P132" s="12" t="n">
        <f aca="false">COUNTIF($A$2:$A$3000, N132) + COUNTIF($A$2:$A$3000, O132)</f>
        <v>2</v>
      </c>
      <c r="Q132" s="16" t="str">
        <f aca="false">IF(OR(B132=-1,I132=0, P132&lt;&gt;2), "albhed_dummy", _xlfn.CONCAT("albhed ", RIGHT("  " &amp; K132,2),", ", RIGHT("  " &amp; L132,2), ", " ,"""",H132,""", ", """",N132,""", ","""",O132,""""," ; ", A132))</f>
        <v>albhed  1, 16, "비", "기", "붜" ; 궈</v>
      </c>
    </row>
    <row r="133" customFormat="false" ht="17.9" hidden="false" customHeight="true" outlineLevel="0" collapsed="false">
      <c r="A133" s="16" t="s">
        <v>1012</v>
      </c>
      <c r="B133" s="16" t="n">
        <f aca="false">IF(_xlfn.UNICODE(A133)&lt;44032,-1,_xlfn.UNICODE(A133)-44032)</f>
        <v>393</v>
      </c>
      <c r="C133" s="16" t="n">
        <f aca="false">IF(B133=-1,-1,INT((B133/28)/21))</f>
        <v>0</v>
      </c>
      <c r="D133" s="16" t="n">
        <f aca="false">IF(B133=-1, -1, MOD(INT(B133/28),21))</f>
        <v>14</v>
      </c>
      <c r="E133" s="16" t="n">
        <f aca="false">IF(B133=-1, -1, VLOOKUP(MOD(B133,28), $T$24:$U$52,2))</f>
        <v>1</v>
      </c>
      <c r="F133" s="16" t="n">
        <f aca="false">IF($B133=-1, -1, VLOOKUP(C133,$T$1:$V$20, 2))</f>
        <v>7</v>
      </c>
      <c r="G133" s="16" t="n">
        <f aca="false">IF($B133=-1, -1, VLOOKUP(D133,$Y$1:$Z$22,2))</f>
        <v>20</v>
      </c>
      <c r="H133" s="16" t="str">
        <f aca="false">_xlfn.UNICHAR(((F133*21)+G133)*28+44032)</f>
        <v>비</v>
      </c>
      <c r="I133" s="16" t="n">
        <f aca="false">IF(B133=-1, 1, COUNTIF($A$2:$A$3000, H133))</f>
        <v>1</v>
      </c>
      <c r="J133" s="10" t="str">
        <f aca="false">_xlfn.CONCAT(A133, ",",H133,",",I133)</f>
        <v>궉,비,1</v>
      </c>
      <c r="K133" s="16" t="n">
        <f aca="false">IF(B133=-1,-1,VLOOKUP(C133,$T$1:$V$20,3))</f>
        <v>1</v>
      </c>
      <c r="L133" s="16" t="n">
        <f aca="false">IF(B133=-1,-1,VLOOKUP(D133,$Y$1:$AA$22,3))</f>
        <v>16</v>
      </c>
      <c r="N133" s="10" t="str">
        <f aca="false">_xlfn.UNICHAR(((C133*21)+G133)*28+44032)</f>
        <v>기</v>
      </c>
      <c r="O133" s="10" t="str">
        <f aca="false">_xlfn.UNICHAR(((F133*21)+D133)*28+44032)</f>
        <v>붜</v>
      </c>
      <c r="P133" s="12" t="n">
        <f aca="false">COUNTIF($A$2:$A$3000, N133) + COUNTIF($A$2:$A$3000, O133)</f>
        <v>2</v>
      </c>
      <c r="Q133" s="16" t="str">
        <f aca="false">IF(OR(B133=-1,I133=0, P133&lt;&gt;2), "albhed_dummy", _xlfn.CONCAT("albhed ", RIGHT("  " &amp; K133,2),", ", RIGHT("  " &amp; L133,2), ", " ,"""",H133,""", ", """",N133,""", ","""",O133,""""," ; ", A133))</f>
        <v>albhed  1, 16, "비", "기", "붜" ; 궉</v>
      </c>
    </row>
    <row r="134" customFormat="false" ht="17.9" hidden="false" customHeight="true" outlineLevel="0" collapsed="false">
      <c r="A134" s="16" t="s">
        <v>1013</v>
      </c>
      <c r="B134" s="16" t="n">
        <f aca="false">IF(_xlfn.UNICODE(A134)&lt;44032,-1,_xlfn.UNICODE(A134)-44032)</f>
        <v>396</v>
      </c>
      <c r="C134" s="16" t="n">
        <f aca="false">IF(B134=-1,-1,INT((B134/28)/21))</f>
        <v>0</v>
      </c>
      <c r="D134" s="16" t="n">
        <f aca="false">IF(B134=-1, -1, MOD(INT(B134/28),21))</f>
        <v>14</v>
      </c>
      <c r="E134" s="16" t="n">
        <f aca="false">IF(B134=-1, -1, VLOOKUP(MOD(B134,28), $T$24:$U$52,2))</f>
        <v>4</v>
      </c>
      <c r="F134" s="16" t="n">
        <f aca="false">IF($B134=-1, -1, VLOOKUP(C134,$T$1:$V$20, 2))</f>
        <v>7</v>
      </c>
      <c r="G134" s="16" t="n">
        <f aca="false">IF($B134=-1, -1, VLOOKUP(D134,$Y$1:$Z$22,2))</f>
        <v>20</v>
      </c>
      <c r="H134" s="16" t="str">
        <f aca="false">_xlfn.UNICHAR(((F134*21)+G134)*28+44032)</f>
        <v>비</v>
      </c>
      <c r="I134" s="16" t="n">
        <f aca="false">IF(B134=-1, 1, COUNTIF($A$2:$A$3000, H134))</f>
        <v>1</v>
      </c>
      <c r="J134" s="10" t="str">
        <f aca="false">_xlfn.CONCAT(A134, ",",H134,",",I134)</f>
        <v>권,비,1</v>
      </c>
      <c r="K134" s="16" t="n">
        <f aca="false">IF(B134=-1,-1,VLOOKUP(C134,$T$1:$V$20,3))</f>
        <v>1</v>
      </c>
      <c r="L134" s="16" t="n">
        <f aca="false">IF(B134=-1,-1,VLOOKUP(D134,$Y$1:$AA$22,3))</f>
        <v>16</v>
      </c>
      <c r="N134" s="10" t="str">
        <f aca="false">_xlfn.UNICHAR(((C134*21)+G134)*28+44032)</f>
        <v>기</v>
      </c>
      <c r="O134" s="10" t="str">
        <f aca="false">_xlfn.UNICHAR(((F134*21)+D134)*28+44032)</f>
        <v>붜</v>
      </c>
      <c r="P134" s="12" t="n">
        <f aca="false">COUNTIF($A$2:$A$3000, N134) + COUNTIF($A$2:$A$3000, O134)</f>
        <v>2</v>
      </c>
      <c r="Q134" s="16" t="str">
        <f aca="false">IF(OR(B134=-1,I134=0, P134&lt;&gt;2), "albhed_dummy", _xlfn.CONCAT("albhed ", RIGHT("  " &amp; K134,2),", ", RIGHT("  " &amp; L134,2), ", " ,"""",H134,""", ", """",N134,""", ","""",O134,""""," ; ", A134))</f>
        <v>albhed  1, 16, "비", "기", "붜" ; 권</v>
      </c>
    </row>
    <row r="135" customFormat="false" ht="17.9" hidden="false" customHeight="true" outlineLevel="0" collapsed="false">
      <c r="A135" s="16" t="s">
        <v>1014</v>
      </c>
      <c r="B135" s="16" t="n">
        <f aca="false">IF(_xlfn.UNICODE(A135)&lt;44032,-1,_xlfn.UNICODE(A135)-44032)</f>
        <v>400</v>
      </c>
      <c r="C135" s="16" t="n">
        <f aca="false">IF(B135=-1,-1,INT((B135/28)/21))</f>
        <v>0</v>
      </c>
      <c r="D135" s="16" t="n">
        <f aca="false">IF(B135=-1, -1, MOD(INT(B135/28),21))</f>
        <v>14</v>
      </c>
      <c r="E135" s="16" t="n">
        <f aca="false">IF(B135=-1, -1, VLOOKUP(MOD(B135,28), $T$24:$U$52,2))</f>
        <v>8</v>
      </c>
      <c r="F135" s="16" t="n">
        <f aca="false">IF($B135=-1, -1, VLOOKUP(C135,$T$1:$V$20, 2))</f>
        <v>7</v>
      </c>
      <c r="G135" s="16" t="n">
        <f aca="false">IF($B135=-1, -1, VLOOKUP(D135,$Y$1:$Z$22,2))</f>
        <v>20</v>
      </c>
      <c r="H135" s="16" t="str">
        <f aca="false">_xlfn.UNICHAR(((F135*21)+G135)*28+44032)</f>
        <v>비</v>
      </c>
      <c r="I135" s="16" t="n">
        <f aca="false">IF(B135=-1, 1, COUNTIF($A$2:$A$3000, H135))</f>
        <v>1</v>
      </c>
      <c r="J135" s="10" t="str">
        <f aca="false">_xlfn.CONCAT(A135, ",",H135,",",I135)</f>
        <v>궐,비,1</v>
      </c>
      <c r="K135" s="16" t="n">
        <f aca="false">IF(B135=-1,-1,VLOOKUP(C135,$T$1:$V$20,3))</f>
        <v>1</v>
      </c>
      <c r="L135" s="16" t="n">
        <f aca="false">IF(B135=-1,-1,VLOOKUP(D135,$Y$1:$AA$22,3))</f>
        <v>16</v>
      </c>
      <c r="N135" s="10" t="str">
        <f aca="false">_xlfn.UNICHAR(((C135*21)+G135)*28+44032)</f>
        <v>기</v>
      </c>
      <c r="O135" s="10" t="str">
        <f aca="false">_xlfn.UNICHAR(((F135*21)+D135)*28+44032)</f>
        <v>붜</v>
      </c>
      <c r="P135" s="12" t="n">
        <f aca="false">COUNTIF($A$2:$A$3000, N135) + COUNTIF($A$2:$A$3000, O135)</f>
        <v>2</v>
      </c>
      <c r="Q135" s="16" t="str">
        <f aca="false">IF(OR(B135=-1,I135=0, P135&lt;&gt;2), "albhed_dummy", _xlfn.CONCAT("albhed ", RIGHT("  " &amp; K135,2),", ", RIGHT("  " &amp; L135,2), ", " ,"""",H135,""", ", """",N135,""", ","""",O135,""""," ; ", A135))</f>
        <v>albhed  1, 16, "비", "기", "붜" ; 궐</v>
      </c>
    </row>
    <row r="136" customFormat="false" ht="17.9" hidden="false" customHeight="true" outlineLevel="0" collapsed="false">
      <c r="A136" s="16" t="s">
        <v>1015</v>
      </c>
      <c r="B136" s="16" t="n">
        <f aca="false">IF(_xlfn.UNICODE(A136)&lt;44032,-1,_xlfn.UNICODE(A136)-44032)</f>
        <v>412</v>
      </c>
      <c r="C136" s="16" t="n">
        <f aca="false">IF(B136=-1,-1,INT((B136/28)/21))</f>
        <v>0</v>
      </c>
      <c r="D136" s="16" t="n">
        <f aca="false">IF(B136=-1, -1, MOD(INT(B136/28),21))</f>
        <v>14</v>
      </c>
      <c r="E136" s="16" t="n">
        <f aca="false">IF(B136=-1, -1, VLOOKUP(MOD(B136,28), $T$24:$U$52,2))</f>
        <v>19</v>
      </c>
      <c r="F136" s="16" t="n">
        <f aca="false">IF($B136=-1, -1, VLOOKUP(C136,$T$1:$V$20, 2))</f>
        <v>7</v>
      </c>
      <c r="G136" s="16" t="n">
        <f aca="false">IF($B136=-1, -1, VLOOKUP(D136,$Y$1:$Z$22,2))</f>
        <v>20</v>
      </c>
      <c r="H136" s="16" t="str">
        <f aca="false">_xlfn.UNICHAR(((F136*21)+G136)*28+44032)</f>
        <v>비</v>
      </c>
      <c r="I136" s="16" t="n">
        <f aca="false">IF(B136=-1, 1, COUNTIF($A$2:$A$3000, H136))</f>
        <v>1</v>
      </c>
      <c r="J136" s="10" t="str">
        <f aca="false">_xlfn.CONCAT(A136, ",",H136,",",I136)</f>
        <v>궜,비,1</v>
      </c>
      <c r="K136" s="16" t="n">
        <f aca="false">IF(B136=-1,-1,VLOOKUP(C136,$T$1:$V$20,3))</f>
        <v>1</v>
      </c>
      <c r="L136" s="16" t="n">
        <f aca="false">IF(B136=-1,-1,VLOOKUP(D136,$Y$1:$AA$22,3))</f>
        <v>16</v>
      </c>
      <c r="N136" s="10" t="str">
        <f aca="false">_xlfn.UNICHAR(((C136*21)+G136)*28+44032)</f>
        <v>기</v>
      </c>
      <c r="O136" s="10" t="str">
        <f aca="false">_xlfn.UNICHAR(((F136*21)+D136)*28+44032)</f>
        <v>붜</v>
      </c>
      <c r="P136" s="12" t="n">
        <f aca="false">COUNTIF($A$2:$A$3000, N136) + COUNTIF($A$2:$A$3000, O136)</f>
        <v>2</v>
      </c>
      <c r="Q136" s="16" t="str">
        <f aca="false">IF(OR(B136=-1,I136=0, P136&lt;&gt;2), "albhed_dummy", _xlfn.CONCAT("albhed ", RIGHT("  " &amp; K136,2),", ", RIGHT("  " &amp; L136,2), ", " ,"""",H136,""", ", """",N136,""", ","""",O136,""""," ; ", A136))</f>
        <v>albhed  1, 16, "비", "기", "붜" ; 궜</v>
      </c>
    </row>
    <row r="137" customFormat="false" ht="17.9" hidden="false" customHeight="true" outlineLevel="0" collapsed="false">
      <c r="A137" s="16" t="s">
        <v>1016</v>
      </c>
      <c r="B137" s="16" t="n">
        <f aca="false">IF(_xlfn.UNICODE(A137)&lt;44032,-1,_xlfn.UNICODE(A137)-44032)</f>
        <v>413</v>
      </c>
      <c r="C137" s="16" t="n">
        <f aca="false">IF(B137=-1,-1,INT((B137/28)/21))</f>
        <v>0</v>
      </c>
      <c r="D137" s="16" t="n">
        <f aca="false">IF(B137=-1, -1, MOD(INT(B137/28),21))</f>
        <v>14</v>
      </c>
      <c r="E137" s="16" t="n">
        <f aca="false">IF(B137=-1, -1, VLOOKUP(MOD(B137,28), $T$24:$U$52,2))</f>
        <v>21</v>
      </c>
      <c r="F137" s="16" t="n">
        <f aca="false">IF($B137=-1, -1, VLOOKUP(C137,$T$1:$V$20, 2))</f>
        <v>7</v>
      </c>
      <c r="G137" s="16" t="n">
        <f aca="false">IF($B137=-1, -1, VLOOKUP(D137,$Y$1:$Z$22,2))</f>
        <v>20</v>
      </c>
      <c r="H137" s="16" t="str">
        <f aca="false">_xlfn.UNICHAR(((F137*21)+G137)*28+44032)</f>
        <v>비</v>
      </c>
      <c r="I137" s="16" t="n">
        <f aca="false">IF(B137=-1, 1, COUNTIF($A$2:$A$3000, H137))</f>
        <v>1</v>
      </c>
      <c r="J137" s="10" t="str">
        <f aca="false">_xlfn.CONCAT(A137, ",",H137,",",I137)</f>
        <v>궝,비,1</v>
      </c>
      <c r="K137" s="16" t="n">
        <f aca="false">IF(B137=-1,-1,VLOOKUP(C137,$T$1:$V$20,3))</f>
        <v>1</v>
      </c>
      <c r="L137" s="16" t="n">
        <f aca="false">IF(B137=-1,-1,VLOOKUP(D137,$Y$1:$AA$22,3))</f>
        <v>16</v>
      </c>
      <c r="N137" s="10" t="str">
        <f aca="false">_xlfn.UNICHAR(((C137*21)+G137)*28+44032)</f>
        <v>기</v>
      </c>
      <c r="O137" s="10" t="str">
        <f aca="false">_xlfn.UNICHAR(((F137*21)+D137)*28+44032)</f>
        <v>붜</v>
      </c>
      <c r="P137" s="12" t="n">
        <f aca="false">COUNTIF($A$2:$A$3000, N137) + COUNTIF($A$2:$A$3000, O137)</f>
        <v>2</v>
      </c>
      <c r="Q137" s="16" t="str">
        <f aca="false">IF(OR(B137=-1,I137=0, P137&lt;&gt;2), "albhed_dummy", _xlfn.CONCAT("albhed ", RIGHT("  " &amp; K137,2),", ", RIGHT("  " &amp; L137,2), ", " ,"""",H137,""", ", """",N137,""", ","""",O137,""""," ; ", A137))</f>
        <v>albhed  1, 16, "비", "기", "붜" ; 궝</v>
      </c>
    </row>
    <row r="138" customFormat="false" ht="17.9" hidden="false" customHeight="true" outlineLevel="0" collapsed="false">
      <c r="A138" s="16" t="s">
        <v>1017</v>
      </c>
      <c r="B138" s="16" t="n">
        <f aca="false">IF(_xlfn.UNICODE(A138)&lt;44032,-1,_xlfn.UNICODE(A138)-44032)</f>
        <v>420</v>
      </c>
      <c r="C138" s="16" t="n">
        <f aca="false">IF(B138=-1,-1,INT((B138/28)/21))</f>
        <v>0</v>
      </c>
      <c r="D138" s="16" t="n">
        <f aca="false">IF(B138=-1, -1, MOD(INT(B138/28),21))</f>
        <v>15</v>
      </c>
      <c r="E138" s="16" t="n">
        <f aca="false">IF(B138=-1, -1, VLOOKUP(MOD(B138,28), $T$24:$U$52,2))</f>
        <v>0</v>
      </c>
      <c r="F138" s="16" t="n">
        <f aca="false">IF($B138=-1, -1, VLOOKUP(C138,$T$1:$V$20, 2))</f>
        <v>7</v>
      </c>
      <c r="G138" s="16" t="n">
        <f aca="false">IF($B138=-1, -1, VLOOKUP(D138,$Y$1:$Z$22,2))</f>
        <v>20</v>
      </c>
      <c r="H138" s="16" t="str">
        <f aca="false">_xlfn.UNICHAR(((F138*21)+G138)*28+44032)</f>
        <v>비</v>
      </c>
      <c r="I138" s="16" t="n">
        <f aca="false">IF(B138=-1, 1, COUNTIF($A$2:$A$3000, H138))</f>
        <v>1</v>
      </c>
      <c r="J138" s="10" t="str">
        <f aca="false">_xlfn.CONCAT(A138, ",",H138,",",I138)</f>
        <v>궤,비,1</v>
      </c>
      <c r="K138" s="16" t="n">
        <f aca="false">IF(B138=-1,-1,VLOOKUP(C138,$T$1:$V$20,3))</f>
        <v>1</v>
      </c>
      <c r="L138" s="16" t="n">
        <f aca="false">IF(B138=-1,-1,VLOOKUP(D138,$Y$1:$AA$22,3))</f>
        <v>16</v>
      </c>
      <c r="N138" s="10" t="str">
        <f aca="false">_xlfn.UNICHAR(((C138*21)+G138)*28+44032)</f>
        <v>기</v>
      </c>
      <c r="O138" s="10" t="str">
        <f aca="false">_xlfn.UNICHAR(((F138*21)+D138)*28+44032)</f>
        <v>붸</v>
      </c>
      <c r="P138" s="12" t="n">
        <f aca="false">COUNTIF($A$2:$A$3000, N138) + COUNTIF($A$2:$A$3000, O138)</f>
        <v>2</v>
      </c>
      <c r="Q138" s="16" t="str">
        <f aca="false">IF(OR(B138=-1,I138=0, P138&lt;&gt;2), "albhed_dummy", _xlfn.CONCAT("albhed ", RIGHT("  " &amp; K138,2),", ", RIGHT("  " &amp; L138,2), ", " ,"""",H138,""", ", """",N138,""", ","""",O138,""""," ; ", A138))</f>
        <v>albhed  1, 16, "비", "기", "붸" ; 궤</v>
      </c>
    </row>
    <row r="139" customFormat="false" ht="17.9" hidden="false" customHeight="true" outlineLevel="0" collapsed="false">
      <c r="A139" s="16" t="s">
        <v>1018</v>
      </c>
      <c r="B139" s="16" t="n">
        <f aca="false">IF(_xlfn.UNICODE(A139)&lt;44032,-1,_xlfn.UNICODE(A139)-44032)</f>
        <v>439</v>
      </c>
      <c r="C139" s="16" t="n">
        <f aca="false">IF(B139=-1,-1,INT((B139/28)/21))</f>
        <v>0</v>
      </c>
      <c r="D139" s="16" t="n">
        <f aca="false">IF(B139=-1, -1, MOD(INT(B139/28),21))</f>
        <v>15</v>
      </c>
      <c r="E139" s="16" t="n">
        <f aca="false">IF(B139=-1, -1, VLOOKUP(MOD(B139,28), $T$24:$U$52,2))</f>
        <v>19</v>
      </c>
      <c r="F139" s="16" t="n">
        <f aca="false">IF($B139=-1, -1, VLOOKUP(C139,$T$1:$V$20, 2))</f>
        <v>7</v>
      </c>
      <c r="G139" s="16" t="n">
        <f aca="false">IF($B139=-1, -1, VLOOKUP(D139,$Y$1:$Z$22,2))</f>
        <v>20</v>
      </c>
      <c r="H139" s="16" t="str">
        <f aca="false">_xlfn.UNICHAR(((F139*21)+G139)*28+44032)</f>
        <v>비</v>
      </c>
      <c r="I139" s="16" t="n">
        <f aca="false">IF(B139=-1, 1, COUNTIF($A$2:$A$3000, H139))</f>
        <v>1</v>
      </c>
      <c r="J139" s="10" t="str">
        <f aca="false">_xlfn.CONCAT(A139, ",",H139,",",I139)</f>
        <v>궷,비,1</v>
      </c>
      <c r="K139" s="16" t="n">
        <f aca="false">IF(B139=-1,-1,VLOOKUP(C139,$T$1:$V$20,3))</f>
        <v>1</v>
      </c>
      <c r="L139" s="16" t="n">
        <f aca="false">IF(B139=-1,-1,VLOOKUP(D139,$Y$1:$AA$22,3))</f>
        <v>16</v>
      </c>
      <c r="N139" s="10" t="str">
        <f aca="false">_xlfn.UNICHAR(((C139*21)+G139)*28+44032)</f>
        <v>기</v>
      </c>
      <c r="O139" s="10" t="str">
        <f aca="false">_xlfn.UNICHAR(((F139*21)+D139)*28+44032)</f>
        <v>붸</v>
      </c>
      <c r="P139" s="12" t="n">
        <f aca="false">COUNTIF($A$2:$A$3000, N139) + COUNTIF($A$2:$A$3000, O139)</f>
        <v>2</v>
      </c>
      <c r="Q139" s="16" t="str">
        <f aca="false">IF(OR(B139=-1,I139=0, P139&lt;&gt;2), "albhed_dummy", _xlfn.CONCAT("albhed ", RIGHT("  " &amp; K139,2),", ", RIGHT("  " &amp; L139,2), ", " ,"""",H139,""", ", """",N139,""", ","""",O139,""""," ; ", A139))</f>
        <v>albhed  1, 16, "비", "기", "붸" ; 궷</v>
      </c>
    </row>
    <row r="140" customFormat="false" ht="17.9" hidden="false" customHeight="true" outlineLevel="0" collapsed="false">
      <c r="A140" s="16" t="s">
        <v>1019</v>
      </c>
      <c r="B140" s="16" t="n">
        <f aca="false">IF(_xlfn.UNICODE(A140)&lt;44032,-1,_xlfn.UNICODE(A140)-44032)</f>
        <v>448</v>
      </c>
      <c r="C140" s="16" t="n">
        <f aca="false">IF(B140=-1,-1,INT((B140/28)/21))</f>
        <v>0</v>
      </c>
      <c r="D140" s="16" t="n">
        <f aca="false">IF(B140=-1, -1, MOD(INT(B140/28),21))</f>
        <v>16</v>
      </c>
      <c r="E140" s="16" t="n">
        <f aca="false">IF(B140=-1, -1, VLOOKUP(MOD(B140,28), $T$24:$U$52,2))</f>
        <v>0</v>
      </c>
      <c r="F140" s="16" t="n">
        <f aca="false">IF($B140=-1, -1, VLOOKUP(C140,$T$1:$V$20, 2))</f>
        <v>7</v>
      </c>
      <c r="G140" s="16" t="n">
        <f aca="false">IF($B140=-1, -1, VLOOKUP(D140,$Y$1:$Z$22,2))</f>
        <v>20</v>
      </c>
      <c r="H140" s="16" t="str">
        <f aca="false">_xlfn.UNICHAR(((F140*21)+G140)*28+44032)</f>
        <v>비</v>
      </c>
      <c r="I140" s="16" t="n">
        <f aca="false">IF(B140=-1, 1, COUNTIF($A$2:$A$3000, H140))</f>
        <v>1</v>
      </c>
      <c r="J140" s="10" t="str">
        <f aca="false">_xlfn.CONCAT(A140, ",",H140,",",I140)</f>
        <v>귀,비,1</v>
      </c>
      <c r="K140" s="16" t="n">
        <f aca="false">IF(B140=-1,-1,VLOOKUP(C140,$T$1:$V$20,3))</f>
        <v>1</v>
      </c>
      <c r="L140" s="16" t="n">
        <f aca="false">IF(B140=-1,-1,VLOOKUP(D140,$Y$1:$AA$22,3))</f>
        <v>22</v>
      </c>
      <c r="N140" s="10" t="str">
        <f aca="false">_xlfn.UNICHAR(((C140*21)+G140)*28+44032)</f>
        <v>기</v>
      </c>
      <c r="O140" s="10" t="str">
        <f aca="false">_xlfn.UNICHAR(((F140*21)+D140)*28+44032)</f>
        <v>뷔</v>
      </c>
      <c r="P140" s="12" t="n">
        <f aca="false">COUNTIF($A$2:$A$3000, N140) + COUNTIF($A$2:$A$3000, O140)</f>
        <v>2</v>
      </c>
      <c r="Q140" s="16" t="str">
        <f aca="false">IF(OR(B140=-1,I140=0, P140&lt;&gt;2), "albhed_dummy", _xlfn.CONCAT("albhed ", RIGHT("  " &amp; K140,2),", ", RIGHT("  " &amp; L140,2), ", " ,"""",H140,""", ", """",N140,""", ","""",O140,""""," ; ", A140))</f>
        <v>albhed  1, 22, "비", "기", "뷔" ; 귀</v>
      </c>
    </row>
    <row r="141" customFormat="false" ht="17.9" hidden="false" customHeight="true" outlineLevel="0" collapsed="false">
      <c r="A141" s="16" t="s">
        <v>1020</v>
      </c>
      <c r="B141" s="16" t="n">
        <f aca="false">IF(_xlfn.UNICODE(A141)&lt;44032,-1,_xlfn.UNICODE(A141)-44032)</f>
        <v>449</v>
      </c>
      <c r="C141" s="16" t="n">
        <f aca="false">IF(B141=-1,-1,INT((B141/28)/21))</f>
        <v>0</v>
      </c>
      <c r="D141" s="16" t="n">
        <f aca="false">IF(B141=-1, -1, MOD(INT(B141/28),21))</f>
        <v>16</v>
      </c>
      <c r="E141" s="16" t="n">
        <f aca="false">IF(B141=-1, -1, VLOOKUP(MOD(B141,28), $T$24:$U$52,2))</f>
        <v>1</v>
      </c>
      <c r="F141" s="16" t="n">
        <f aca="false">IF($B141=-1, -1, VLOOKUP(C141,$T$1:$V$20, 2))</f>
        <v>7</v>
      </c>
      <c r="G141" s="16" t="n">
        <f aca="false">IF($B141=-1, -1, VLOOKUP(D141,$Y$1:$Z$22,2))</f>
        <v>20</v>
      </c>
      <c r="H141" s="16" t="str">
        <f aca="false">_xlfn.UNICHAR(((F141*21)+G141)*28+44032)</f>
        <v>비</v>
      </c>
      <c r="I141" s="16" t="n">
        <f aca="false">IF(B141=-1, 1, COUNTIF($A$2:$A$3000, H141))</f>
        <v>1</v>
      </c>
      <c r="J141" s="10" t="str">
        <f aca="false">_xlfn.CONCAT(A141, ",",H141,",",I141)</f>
        <v>귁,비,1</v>
      </c>
      <c r="K141" s="16" t="n">
        <f aca="false">IF(B141=-1,-1,VLOOKUP(C141,$T$1:$V$20,3))</f>
        <v>1</v>
      </c>
      <c r="L141" s="16" t="n">
        <f aca="false">IF(B141=-1,-1,VLOOKUP(D141,$Y$1:$AA$22,3))</f>
        <v>22</v>
      </c>
      <c r="N141" s="10" t="str">
        <f aca="false">_xlfn.UNICHAR(((C141*21)+G141)*28+44032)</f>
        <v>기</v>
      </c>
      <c r="O141" s="10" t="str">
        <f aca="false">_xlfn.UNICHAR(((F141*21)+D141)*28+44032)</f>
        <v>뷔</v>
      </c>
      <c r="P141" s="12" t="n">
        <f aca="false">COUNTIF($A$2:$A$3000, N141) + COUNTIF($A$2:$A$3000, O141)</f>
        <v>2</v>
      </c>
      <c r="Q141" s="16" t="str">
        <f aca="false">IF(OR(B141=-1,I141=0, P141&lt;&gt;2), "albhed_dummy", _xlfn.CONCAT("albhed ", RIGHT("  " &amp; K141,2),", ", RIGHT("  " &amp; L141,2), ", " ,"""",H141,""", ", """",N141,""", ","""",O141,""""," ; ", A141))</f>
        <v>albhed  1, 22, "비", "기", "뷔" ; 귁</v>
      </c>
    </row>
    <row r="142" customFormat="false" ht="17.9" hidden="false" customHeight="true" outlineLevel="0" collapsed="false">
      <c r="A142" s="16" t="s">
        <v>1021</v>
      </c>
      <c r="B142" s="16" t="n">
        <f aca="false">IF(_xlfn.UNICODE(A142)&lt;44032,-1,_xlfn.UNICODE(A142)-44032)</f>
        <v>452</v>
      </c>
      <c r="C142" s="16" t="n">
        <f aca="false">IF(B142=-1,-1,INT((B142/28)/21))</f>
        <v>0</v>
      </c>
      <c r="D142" s="16" t="n">
        <f aca="false">IF(B142=-1, -1, MOD(INT(B142/28),21))</f>
        <v>16</v>
      </c>
      <c r="E142" s="16" t="n">
        <f aca="false">IF(B142=-1, -1, VLOOKUP(MOD(B142,28), $T$24:$U$52,2))</f>
        <v>4</v>
      </c>
      <c r="F142" s="16" t="n">
        <f aca="false">IF($B142=-1, -1, VLOOKUP(C142,$T$1:$V$20, 2))</f>
        <v>7</v>
      </c>
      <c r="G142" s="16" t="n">
        <f aca="false">IF($B142=-1, -1, VLOOKUP(D142,$Y$1:$Z$22,2))</f>
        <v>20</v>
      </c>
      <c r="H142" s="16" t="str">
        <f aca="false">_xlfn.UNICHAR(((F142*21)+G142)*28+44032)</f>
        <v>비</v>
      </c>
      <c r="I142" s="16" t="n">
        <f aca="false">IF(B142=-1, 1, COUNTIF($A$2:$A$3000, H142))</f>
        <v>1</v>
      </c>
      <c r="J142" s="10" t="str">
        <f aca="false">_xlfn.CONCAT(A142, ",",H142,",",I142)</f>
        <v>귄,비,1</v>
      </c>
      <c r="K142" s="16" t="n">
        <f aca="false">IF(B142=-1,-1,VLOOKUP(C142,$T$1:$V$20,3))</f>
        <v>1</v>
      </c>
      <c r="L142" s="16" t="n">
        <f aca="false">IF(B142=-1,-1,VLOOKUP(D142,$Y$1:$AA$22,3))</f>
        <v>22</v>
      </c>
      <c r="N142" s="10" t="str">
        <f aca="false">_xlfn.UNICHAR(((C142*21)+G142)*28+44032)</f>
        <v>기</v>
      </c>
      <c r="O142" s="10" t="str">
        <f aca="false">_xlfn.UNICHAR(((F142*21)+D142)*28+44032)</f>
        <v>뷔</v>
      </c>
      <c r="P142" s="12" t="n">
        <f aca="false">COUNTIF($A$2:$A$3000, N142) + COUNTIF($A$2:$A$3000, O142)</f>
        <v>2</v>
      </c>
      <c r="Q142" s="16" t="str">
        <f aca="false">IF(OR(B142=-1,I142=0, P142&lt;&gt;2), "albhed_dummy", _xlfn.CONCAT("albhed ", RIGHT("  " &amp; K142,2),", ", RIGHT("  " &amp; L142,2), ", " ,"""",H142,""", ", """",N142,""", ","""",O142,""""," ; ", A142))</f>
        <v>albhed  1, 22, "비", "기", "뷔" ; 귄</v>
      </c>
    </row>
    <row r="143" customFormat="false" ht="17.9" hidden="false" customHeight="true" outlineLevel="0" collapsed="false">
      <c r="A143" s="16" t="s">
        <v>1022</v>
      </c>
      <c r="B143" s="16" t="n">
        <f aca="false">IF(_xlfn.UNICODE(A143)&lt;44032,-1,_xlfn.UNICODE(A143)-44032)</f>
        <v>456</v>
      </c>
      <c r="C143" s="16" t="n">
        <f aca="false">IF(B143=-1,-1,INT((B143/28)/21))</f>
        <v>0</v>
      </c>
      <c r="D143" s="16" t="n">
        <f aca="false">IF(B143=-1, -1, MOD(INT(B143/28),21))</f>
        <v>16</v>
      </c>
      <c r="E143" s="16" t="n">
        <f aca="false">IF(B143=-1, -1, VLOOKUP(MOD(B143,28), $T$24:$U$52,2))</f>
        <v>8</v>
      </c>
      <c r="F143" s="16" t="n">
        <f aca="false">IF($B143=-1, -1, VLOOKUP(C143,$T$1:$V$20, 2))</f>
        <v>7</v>
      </c>
      <c r="G143" s="16" t="n">
        <f aca="false">IF($B143=-1, -1, VLOOKUP(D143,$Y$1:$Z$22,2))</f>
        <v>20</v>
      </c>
      <c r="H143" s="16" t="str">
        <f aca="false">_xlfn.UNICHAR(((F143*21)+G143)*28+44032)</f>
        <v>비</v>
      </c>
      <c r="I143" s="16" t="n">
        <f aca="false">IF(B143=-1, 1, COUNTIF($A$2:$A$3000, H143))</f>
        <v>1</v>
      </c>
      <c r="J143" s="10" t="str">
        <f aca="false">_xlfn.CONCAT(A143, ",",H143,",",I143)</f>
        <v>귈,비,1</v>
      </c>
      <c r="K143" s="16" t="n">
        <f aca="false">IF(B143=-1,-1,VLOOKUP(C143,$T$1:$V$20,3))</f>
        <v>1</v>
      </c>
      <c r="L143" s="16" t="n">
        <f aca="false">IF(B143=-1,-1,VLOOKUP(D143,$Y$1:$AA$22,3))</f>
        <v>22</v>
      </c>
      <c r="N143" s="10" t="str">
        <f aca="false">_xlfn.UNICHAR(((C143*21)+G143)*28+44032)</f>
        <v>기</v>
      </c>
      <c r="O143" s="10" t="str">
        <f aca="false">_xlfn.UNICHAR(((F143*21)+D143)*28+44032)</f>
        <v>뷔</v>
      </c>
      <c r="P143" s="12" t="n">
        <f aca="false">COUNTIF($A$2:$A$3000, N143) + COUNTIF($A$2:$A$3000, O143)</f>
        <v>2</v>
      </c>
      <c r="Q143" s="16" t="str">
        <f aca="false">IF(OR(B143=-1,I143=0, P143&lt;&gt;2), "albhed_dummy", _xlfn.CONCAT("albhed ", RIGHT("  " &amp; K143,2),", ", RIGHT("  " &amp; L143,2), ", " ,"""",H143,""", ", """",N143,""", ","""",O143,""""," ; ", A143))</f>
        <v>albhed  1, 22, "비", "기", "뷔" ; 귈</v>
      </c>
    </row>
    <row r="144" customFormat="false" ht="17.9" hidden="false" customHeight="true" outlineLevel="0" collapsed="false">
      <c r="A144" s="16" t="s">
        <v>1023</v>
      </c>
      <c r="B144" s="16" t="n">
        <f aca="false">IF(_xlfn.UNICODE(A144)&lt;44032,-1,_xlfn.UNICODE(A144)-44032)</f>
        <v>464</v>
      </c>
      <c r="C144" s="16" t="n">
        <f aca="false">IF(B144=-1,-1,INT((B144/28)/21))</f>
        <v>0</v>
      </c>
      <c r="D144" s="16" t="n">
        <f aca="false">IF(B144=-1, -1, MOD(INT(B144/28),21))</f>
        <v>16</v>
      </c>
      <c r="E144" s="16" t="n">
        <f aca="false">IF(B144=-1, -1, VLOOKUP(MOD(B144,28), $T$24:$U$52,2))</f>
        <v>16</v>
      </c>
      <c r="F144" s="16" t="n">
        <f aca="false">IF($B144=-1, -1, VLOOKUP(C144,$T$1:$V$20, 2))</f>
        <v>7</v>
      </c>
      <c r="G144" s="16" t="n">
        <f aca="false">IF($B144=-1, -1, VLOOKUP(D144,$Y$1:$Z$22,2))</f>
        <v>20</v>
      </c>
      <c r="H144" s="16" t="str">
        <f aca="false">_xlfn.UNICHAR(((F144*21)+G144)*28+44032)</f>
        <v>비</v>
      </c>
      <c r="I144" s="16" t="n">
        <f aca="false">IF(B144=-1, 1, COUNTIF($A$2:$A$3000, H144))</f>
        <v>1</v>
      </c>
      <c r="J144" s="10" t="str">
        <f aca="false">_xlfn.CONCAT(A144, ",",H144,",",I144)</f>
        <v>귐,비,1</v>
      </c>
      <c r="K144" s="16" t="n">
        <f aca="false">IF(B144=-1,-1,VLOOKUP(C144,$T$1:$V$20,3))</f>
        <v>1</v>
      </c>
      <c r="L144" s="16" t="n">
        <f aca="false">IF(B144=-1,-1,VLOOKUP(D144,$Y$1:$AA$22,3))</f>
        <v>22</v>
      </c>
      <c r="N144" s="10" t="str">
        <f aca="false">_xlfn.UNICHAR(((C144*21)+G144)*28+44032)</f>
        <v>기</v>
      </c>
      <c r="O144" s="10" t="str">
        <f aca="false">_xlfn.UNICHAR(((F144*21)+D144)*28+44032)</f>
        <v>뷔</v>
      </c>
      <c r="P144" s="12" t="n">
        <f aca="false">COUNTIF($A$2:$A$3000, N144) + COUNTIF($A$2:$A$3000, O144)</f>
        <v>2</v>
      </c>
      <c r="Q144" s="16" t="str">
        <f aca="false">IF(OR(B144=-1,I144=0, P144&lt;&gt;2), "albhed_dummy", _xlfn.CONCAT("albhed ", RIGHT("  " &amp; K144,2),", ", RIGHT("  " &amp; L144,2), ", " ,"""",H144,""", ", """",N144,""", ","""",O144,""""," ; ", A144))</f>
        <v>albhed  1, 22, "비", "기", "뷔" ; 귐</v>
      </c>
    </row>
    <row r="145" customFormat="false" ht="17.9" hidden="false" customHeight="true" outlineLevel="0" collapsed="false">
      <c r="A145" s="16" t="s">
        <v>1024</v>
      </c>
      <c r="B145" s="16" t="n">
        <f aca="false">IF(_xlfn.UNICODE(A145)&lt;44032,-1,_xlfn.UNICODE(A145)-44032)</f>
        <v>465</v>
      </c>
      <c r="C145" s="16" t="n">
        <f aca="false">IF(B145=-1,-1,INT((B145/28)/21))</f>
        <v>0</v>
      </c>
      <c r="D145" s="16" t="n">
        <f aca="false">IF(B145=-1, -1, MOD(INT(B145/28),21))</f>
        <v>16</v>
      </c>
      <c r="E145" s="16" t="n">
        <f aca="false">IF(B145=-1, -1, VLOOKUP(MOD(B145,28), $T$24:$U$52,2))</f>
        <v>17</v>
      </c>
      <c r="F145" s="16" t="n">
        <f aca="false">IF($B145=-1, -1, VLOOKUP(C145,$T$1:$V$20, 2))</f>
        <v>7</v>
      </c>
      <c r="G145" s="16" t="n">
        <f aca="false">IF($B145=-1, -1, VLOOKUP(D145,$Y$1:$Z$22,2))</f>
        <v>20</v>
      </c>
      <c r="H145" s="16" t="str">
        <f aca="false">_xlfn.UNICHAR(((F145*21)+G145)*28+44032)</f>
        <v>비</v>
      </c>
      <c r="I145" s="16" t="n">
        <f aca="false">IF(B145=-1, 1, COUNTIF($A$2:$A$3000, H145))</f>
        <v>1</v>
      </c>
      <c r="J145" s="10" t="str">
        <f aca="false">_xlfn.CONCAT(A145, ",",H145,",",I145)</f>
        <v>귑,비,1</v>
      </c>
      <c r="K145" s="16" t="n">
        <f aca="false">IF(B145=-1,-1,VLOOKUP(C145,$T$1:$V$20,3))</f>
        <v>1</v>
      </c>
      <c r="L145" s="16" t="n">
        <f aca="false">IF(B145=-1,-1,VLOOKUP(D145,$Y$1:$AA$22,3))</f>
        <v>22</v>
      </c>
      <c r="N145" s="10" t="str">
        <f aca="false">_xlfn.UNICHAR(((C145*21)+G145)*28+44032)</f>
        <v>기</v>
      </c>
      <c r="O145" s="10" t="str">
        <f aca="false">_xlfn.UNICHAR(((F145*21)+D145)*28+44032)</f>
        <v>뷔</v>
      </c>
      <c r="P145" s="12" t="n">
        <f aca="false">COUNTIF($A$2:$A$3000, N145) + COUNTIF($A$2:$A$3000, O145)</f>
        <v>2</v>
      </c>
      <c r="Q145" s="16" t="str">
        <f aca="false">IF(OR(B145=-1,I145=0, P145&lt;&gt;2), "albhed_dummy", _xlfn.CONCAT("albhed ", RIGHT("  " &amp; K145,2),", ", RIGHT("  " &amp; L145,2), ", " ,"""",H145,""", ", """",N145,""", ","""",O145,""""," ; ", A145))</f>
        <v>albhed  1, 22, "비", "기", "뷔" ; 귑</v>
      </c>
    </row>
    <row r="146" customFormat="false" ht="17.9" hidden="false" customHeight="true" outlineLevel="0" collapsed="false">
      <c r="A146" s="16" t="s">
        <v>1025</v>
      </c>
      <c r="B146" s="16" t="n">
        <f aca="false">IF(_xlfn.UNICODE(A146)&lt;44032,-1,_xlfn.UNICODE(A146)-44032)</f>
        <v>467</v>
      </c>
      <c r="C146" s="16" t="n">
        <f aca="false">IF(B146=-1,-1,INT((B146/28)/21))</f>
        <v>0</v>
      </c>
      <c r="D146" s="16" t="n">
        <f aca="false">IF(B146=-1, -1, MOD(INT(B146/28),21))</f>
        <v>16</v>
      </c>
      <c r="E146" s="16" t="n">
        <f aca="false">IF(B146=-1, -1, VLOOKUP(MOD(B146,28), $T$24:$U$52,2))</f>
        <v>19</v>
      </c>
      <c r="F146" s="16" t="n">
        <f aca="false">IF($B146=-1, -1, VLOOKUP(C146,$T$1:$V$20, 2))</f>
        <v>7</v>
      </c>
      <c r="G146" s="16" t="n">
        <f aca="false">IF($B146=-1, -1, VLOOKUP(D146,$Y$1:$Z$22,2))</f>
        <v>20</v>
      </c>
      <c r="H146" s="16" t="str">
        <f aca="false">_xlfn.UNICHAR(((F146*21)+G146)*28+44032)</f>
        <v>비</v>
      </c>
      <c r="I146" s="16" t="n">
        <f aca="false">IF(B146=-1, 1, COUNTIF($A$2:$A$3000, H146))</f>
        <v>1</v>
      </c>
      <c r="J146" s="10" t="str">
        <f aca="false">_xlfn.CONCAT(A146, ",",H146,",",I146)</f>
        <v>귓,비,1</v>
      </c>
      <c r="K146" s="16" t="n">
        <f aca="false">IF(B146=-1,-1,VLOOKUP(C146,$T$1:$V$20,3))</f>
        <v>1</v>
      </c>
      <c r="L146" s="16" t="n">
        <f aca="false">IF(B146=-1,-1,VLOOKUP(D146,$Y$1:$AA$22,3))</f>
        <v>22</v>
      </c>
      <c r="N146" s="10" t="str">
        <f aca="false">_xlfn.UNICHAR(((C146*21)+G146)*28+44032)</f>
        <v>기</v>
      </c>
      <c r="O146" s="10" t="str">
        <f aca="false">_xlfn.UNICHAR(((F146*21)+D146)*28+44032)</f>
        <v>뷔</v>
      </c>
      <c r="P146" s="12" t="n">
        <f aca="false">COUNTIF($A$2:$A$3000, N146) + COUNTIF($A$2:$A$3000, O146)</f>
        <v>2</v>
      </c>
      <c r="Q146" s="16" t="str">
        <f aca="false">IF(OR(B146=-1,I146=0, P146&lt;&gt;2), "albhed_dummy", _xlfn.CONCAT("albhed ", RIGHT("  " &amp; K146,2),", ", RIGHT("  " &amp; L146,2), ", " ,"""",H146,""", ", """",N146,""", ","""",O146,""""," ; ", A146))</f>
        <v>albhed  1, 22, "비", "기", "뷔" ; 귓</v>
      </c>
    </row>
    <row r="147" customFormat="false" ht="17.9" hidden="false" customHeight="true" outlineLevel="0" collapsed="false">
      <c r="A147" s="16" t="s">
        <v>1026</v>
      </c>
      <c r="B147" s="16" t="n">
        <f aca="false">IF(_xlfn.UNICODE(A147)&lt;44032,-1,_xlfn.UNICODE(A147)-44032)</f>
        <v>476</v>
      </c>
      <c r="C147" s="16" t="n">
        <f aca="false">IF(B147=-1,-1,INT((B147/28)/21))</f>
        <v>0</v>
      </c>
      <c r="D147" s="16" t="n">
        <f aca="false">IF(B147=-1, -1, MOD(INT(B147/28),21))</f>
        <v>17</v>
      </c>
      <c r="E147" s="16" t="n">
        <f aca="false">IF(B147=-1, -1, VLOOKUP(MOD(B147,28), $T$24:$U$52,2))</f>
        <v>0</v>
      </c>
      <c r="F147" s="16" t="n">
        <f aca="false">IF($B147=-1, -1, VLOOKUP(C147,$T$1:$V$20, 2))</f>
        <v>7</v>
      </c>
      <c r="G147" s="16" t="n">
        <f aca="false">IF($B147=-1, -1, VLOOKUP(D147,$Y$1:$Z$22,2))</f>
        <v>2</v>
      </c>
      <c r="H147" s="16" t="str">
        <f aca="false">_xlfn.UNICHAR(((F147*21)+G147)*28+44032)</f>
        <v>뱌</v>
      </c>
      <c r="I147" s="16" t="n">
        <f aca="false">IF(B147=-1, 1, COUNTIF($A$2:$A$3000, H147))</f>
        <v>1</v>
      </c>
      <c r="J147" s="10" t="str">
        <f aca="false">_xlfn.CONCAT(A147, ",",H147,",",I147)</f>
        <v>규,뱌,1</v>
      </c>
      <c r="K147" s="16" t="n">
        <f aca="false">IF(B147=-1,-1,VLOOKUP(C147,$T$1:$V$20,3))</f>
        <v>1</v>
      </c>
      <c r="L147" s="16" t="n">
        <f aca="false">IF(B147=-1,-1,VLOOKUP(D147,$Y$1:$AA$22,3))</f>
        <v>6</v>
      </c>
      <c r="N147" s="10" t="str">
        <f aca="false">_xlfn.UNICHAR(((C147*21)+G147)*28+44032)</f>
        <v>갸</v>
      </c>
      <c r="O147" s="10" t="str">
        <f aca="false">_xlfn.UNICHAR(((F147*21)+D147)*28+44032)</f>
        <v>뷰</v>
      </c>
      <c r="P147" s="12" t="n">
        <f aca="false">COUNTIF($A$2:$A$3000, N147) + COUNTIF($A$2:$A$3000, O147)</f>
        <v>2</v>
      </c>
      <c r="Q147" s="16" t="str">
        <f aca="false">IF(OR(B147=-1,I147=0, P147&lt;&gt;2), "albhed_dummy", _xlfn.CONCAT("albhed ", RIGHT("  " &amp; K147,2),", ", RIGHT("  " &amp; L147,2), ", " ,"""",H147,""", ", """",N147,""", ","""",O147,""""," ; ", A147))</f>
        <v>albhed  1,  6, "뱌", "갸", "뷰" ; 규</v>
      </c>
    </row>
    <row r="148" customFormat="false" ht="17.9" hidden="false" customHeight="true" outlineLevel="0" collapsed="false">
      <c r="A148" s="16" t="s">
        <v>1027</v>
      </c>
      <c r="B148" s="16" t="n">
        <f aca="false">IF(_xlfn.UNICODE(A148)&lt;44032,-1,_xlfn.UNICODE(A148)-44032)</f>
        <v>480</v>
      </c>
      <c r="C148" s="16" t="n">
        <f aca="false">IF(B148=-1,-1,INT((B148/28)/21))</f>
        <v>0</v>
      </c>
      <c r="D148" s="16" t="n">
        <f aca="false">IF(B148=-1, -1, MOD(INT(B148/28),21))</f>
        <v>17</v>
      </c>
      <c r="E148" s="16" t="n">
        <f aca="false">IF(B148=-1, -1, VLOOKUP(MOD(B148,28), $T$24:$U$52,2))</f>
        <v>4</v>
      </c>
      <c r="F148" s="16" t="n">
        <f aca="false">IF($B148=-1, -1, VLOOKUP(C148,$T$1:$V$20, 2))</f>
        <v>7</v>
      </c>
      <c r="G148" s="16" t="n">
        <f aca="false">IF($B148=-1, -1, VLOOKUP(D148,$Y$1:$Z$22,2))</f>
        <v>2</v>
      </c>
      <c r="H148" s="16" t="str">
        <f aca="false">_xlfn.UNICHAR(((F148*21)+G148)*28+44032)</f>
        <v>뱌</v>
      </c>
      <c r="I148" s="16" t="n">
        <f aca="false">IF(B148=-1, 1, COUNTIF($A$2:$A$3000, H148))</f>
        <v>1</v>
      </c>
      <c r="J148" s="10" t="str">
        <f aca="false">_xlfn.CONCAT(A148, ",",H148,",",I148)</f>
        <v>균,뱌,1</v>
      </c>
      <c r="K148" s="16" t="n">
        <f aca="false">IF(B148=-1,-1,VLOOKUP(C148,$T$1:$V$20,3))</f>
        <v>1</v>
      </c>
      <c r="L148" s="16" t="n">
        <f aca="false">IF(B148=-1,-1,VLOOKUP(D148,$Y$1:$AA$22,3))</f>
        <v>6</v>
      </c>
      <c r="N148" s="10" t="str">
        <f aca="false">_xlfn.UNICHAR(((C148*21)+G148)*28+44032)</f>
        <v>갸</v>
      </c>
      <c r="O148" s="10" t="str">
        <f aca="false">_xlfn.UNICHAR(((F148*21)+D148)*28+44032)</f>
        <v>뷰</v>
      </c>
      <c r="P148" s="12" t="n">
        <f aca="false">COUNTIF($A$2:$A$3000, N148) + COUNTIF($A$2:$A$3000, O148)</f>
        <v>2</v>
      </c>
      <c r="Q148" s="16" t="str">
        <f aca="false">IF(OR(B148=-1,I148=0, P148&lt;&gt;2), "albhed_dummy", _xlfn.CONCAT("albhed ", RIGHT("  " &amp; K148,2),", ", RIGHT("  " &amp; L148,2), ", " ,"""",H148,""", ", """",N148,""", ","""",O148,""""," ; ", A148))</f>
        <v>albhed  1,  6, "뱌", "갸", "뷰" ; 균</v>
      </c>
    </row>
    <row r="149" customFormat="false" ht="17.9" hidden="false" customHeight="true" outlineLevel="0" collapsed="false">
      <c r="A149" s="16" t="s">
        <v>1028</v>
      </c>
      <c r="B149" s="16" t="n">
        <f aca="false">IF(_xlfn.UNICODE(A149)&lt;44032,-1,_xlfn.UNICODE(A149)-44032)</f>
        <v>484</v>
      </c>
      <c r="C149" s="16" t="n">
        <f aca="false">IF(B149=-1,-1,INT((B149/28)/21))</f>
        <v>0</v>
      </c>
      <c r="D149" s="16" t="n">
        <f aca="false">IF(B149=-1, -1, MOD(INT(B149/28),21))</f>
        <v>17</v>
      </c>
      <c r="E149" s="16" t="n">
        <f aca="false">IF(B149=-1, -1, VLOOKUP(MOD(B149,28), $T$24:$U$52,2))</f>
        <v>8</v>
      </c>
      <c r="F149" s="16" t="n">
        <f aca="false">IF($B149=-1, -1, VLOOKUP(C149,$T$1:$V$20, 2))</f>
        <v>7</v>
      </c>
      <c r="G149" s="16" t="n">
        <f aca="false">IF($B149=-1, -1, VLOOKUP(D149,$Y$1:$Z$22,2))</f>
        <v>2</v>
      </c>
      <c r="H149" s="16" t="str">
        <f aca="false">_xlfn.UNICHAR(((F149*21)+G149)*28+44032)</f>
        <v>뱌</v>
      </c>
      <c r="I149" s="16" t="n">
        <f aca="false">IF(B149=-1, 1, COUNTIF($A$2:$A$3000, H149))</f>
        <v>1</v>
      </c>
      <c r="J149" s="10" t="str">
        <f aca="false">_xlfn.CONCAT(A149, ",",H149,",",I149)</f>
        <v>귤,뱌,1</v>
      </c>
      <c r="K149" s="16" t="n">
        <f aca="false">IF(B149=-1,-1,VLOOKUP(C149,$T$1:$V$20,3))</f>
        <v>1</v>
      </c>
      <c r="L149" s="16" t="n">
        <f aca="false">IF(B149=-1,-1,VLOOKUP(D149,$Y$1:$AA$22,3))</f>
        <v>6</v>
      </c>
      <c r="N149" s="10" t="str">
        <f aca="false">_xlfn.UNICHAR(((C149*21)+G149)*28+44032)</f>
        <v>갸</v>
      </c>
      <c r="O149" s="10" t="str">
        <f aca="false">_xlfn.UNICHAR(((F149*21)+D149)*28+44032)</f>
        <v>뷰</v>
      </c>
      <c r="P149" s="12" t="n">
        <f aca="false">COUNTIF($A$2:$A$3000, N149) + COUNTIF($A$2:$A$3000, O149)</f>
        <v>2</v>
      </c>
      <c r="Q149" s="16" t="str">
        <f aca="false">IF(OR(B149=-1,I149=0, P149&lt;&gt;2), "albhed_dummy", _xlfn.CONCAT("albhed ", RIGHT("  " &amp; K149,2),", ", RIGHT("  " &amp; L149,2), ", " ,"""",H149,""", ", """",N149,""", ","""",O149,""""," ; ", A149))</f>
        <v>albhed  1,  6, "뱌", "갸", "뷰" ; 귤</v>
      </c>
    </row>
    <row r="150" customFormat="false" ht="17.9" hidden="false" customHeight="true" outlineLevel="0" collapsed="false">
      <c r="A150" s="16" t="s">
        <v>1029</v>
      </c>
      <c r="B150" s="16" t="n">
        <f aca="false">IF(_xlfn.UNICODE(A150)&lt;44032,-1,_xlfn.UNICODE(A150)-44032)</f>
        <v>504</v>
      </c>
      <c r="C150" s="16" t="n">
        <f aca="false">IF(B150=-1,-1,INT((B150/28)/21))</f>
        <v>0</v>
      </c>
      <c r="D150" s="16" t="n">
        <f aca="false">IF(B150=-1, -1, MOD(INT(B150/28),21))</f>
        <v>18</v>
      </c>
      <c r="E150" s="16" t="n">
        <f aca="false">IF(B150=-1, -1, VLOOKUP(MOD(B150,28), $T$24:$U$52,2))</f>
        <v>0</v>
      </c>
      <c r="F150" s="16" t="n">
        <f aca="false">IF($B150=-1, -1, VLOOKUP(C150,$T$1:$V$20, 2))</f>
        <v>7</v>
      </c>
      <c r="G150" s="16" t="n">
        <f aca="false">IF($B150=-1, -1, VLOOKUP(D150,$Y$1:$Z$22,2))</f>
        <v>5</v>
      </c>
      <c r="H150" s="16" t="str">
        <f aca="false">_xlfn.UNICHAR(((F150*21)+G150)*28+44032)</f>
        <v>베</v>
      </c>
      <c r="I150" s="16" t="n">
        <f aca="false">IF(B150=-1, 1, COUNTIF($A$2:$A$3000, H150))</f>
        <v>1</v>
      </c>
      <c r="J150" s="10" t="str">
        <f aca="false">_xlfn.CONCAT(A150, ",",H150,",",I150)</f>
        <v>그,베,1</v>
      </c>
      <c r="K150" s="16" t="n">
        <f aca="false">IF(B150=-1,-1,VLOOKUP(C150,$T$1:$V$20,3))</f>
        <v>1</v>
      </c>
      <c r="L150" s="16" t="n">
        <f aca="false">IF(B150=-1,-1,VLOOKUP(D150,$Y$1:$AA$22,3))</f>
        <v>18</v>
      </c>
      <c r="N150" s="10" t="str">
        <f aca="false">_xlfn.UNICHAR(((C150*21)+G150)*28+44032)</f>
        <v>게</v>
      </c>
      <c r="O150" s="10" t="str">
        <f aca="false">_xlfn.UNICHAR(((F150*21)+D150)*28+44032)</f>
        <v>브</v>
      </c>
      <c r="P150" s="12" t="n">
        <f aca="false">COUNTIF($A$2:$A$3000, N150) + COUNTIF($A$2:$A$3000, O150)</f>
        <v>2</v>
      </c>
      <c r="Q150" s="16" t="str">
        <f aca="false">IF(OR(B150=-1,I150=0, P150&lt;&gt;2), "albhed_dummy", _xlfn.CONCAT("albhed ", RIGHT("  " &amp; K150,2),", ", RIGHT("  " &amp; L150,2), ", " ,"""",H150,""", ", """",N150,""", ","""",O150,""""," ; ", A150))</f>
        <v>albhed  1, 18, "베", "게", "브" ; 그</v>
      </c>
    </row>
    <row r="151" customFormat="false" ht="17.9" hidden="false" customHeight="true" outlineLevel="0" collapsed="false">
      <c r="A151" s="16" t="s">
        <v>1030</v>
      </c>
      <c r="B151" s="16" t="n">
        <f aca="false">IF(_xlfn.UNICODE(A151)&lt;44032,-1,_xlfn.UNICODE(A151)-44032)</f>
        <v>505</v>
      </c>
      <c r="C151" s="16" t="n">
        <f aca="false">IF(B151=-1,-1,INT((B151/28)/21))</f>
        <v>0</v>
      </c>
      <c r="D151" s="16" t="n">
        <f aca="false">IF(B151=-1, -1, MOD(INT(B151/28),21))</f>
        <v>18</v>
      </c>
      <c r="E151" s="16" t="n">
        <f aca="false">IF(B151=-1, -1, VLOOKUP(MOD(B151,28), $T$24:$U$52,2))</f>
        <v>1</v>
      </c>
      <c r="F151" s="16" t="n">
        <f aca="false">IF($B151=-1, -1, VLOOKUP(C151,$T$1:$V$20, 2))</f>
        <v>7</v>
      </c>
      <c r="G151" s="16" t="n">
        <f aca="false">IF($B151=-1, -1, VLOOKUP(D151,$Y$1:$Z$22,2))</f>
        <v>5</v>
      </c>
      <c r="H151" s="16" t="str">
        <f aca="false">_xlfn.UNICHAR(((F151*21)+G151)*28+44032)</f>
        <v>베</v>
      </c>
      <c r="I151" s="16" t="n">
        <f aca="false">IF(B151=-1, 1, COUNTIF($A$2:$A$3000, H151))</f>
        <v>1</v>
      </c>
      <c r="J151" s="10" t="str">
        <f aca="false">_xlfn.CONCAT(A151, ",",H151,",",I151)</f>
        <v>극,베,1</v>
      </c>
      <c r="K151" s="16" t="n">
        <f aca="false">IF(B151=-1,-1,VLOOKUP(C151,$T$1:$V$20,3))</f>
        <v>1</v>
      </c>
      <c r="L151" s="16" t="n">
        <f aca="false">IF(B151=-1,-1,VLOOKUP(D151,$Y$1:$AA$22,3))</f>
        <v>18</v>
      </c>
      <c r="N151" s="10" t="str">
        <f aca="false">_xlfn.UNICHAR(((C151*21)+G151)*28+44032)</f>
        <v>게</v>
      </c>
      <c r="O151" s="10" t="str">
        <f aca="false">_xlfn.UNICHAR(((F151*21)+D151)*28+44032)</f>
        <v>브</v>
      </c>
      <c r="P151" s="12" t="n">
        <f aca="false">COUNTIF($A$2:$A$3000, N151) + COUNTIF($A$2:$A$3000, O151)</f>
        <v>2</v>
      </c>
      <c r="Q151" s="16" t="str">
        <f aca="false">IF(OR(B151=-1,I151=0, P151&lt;&gt;2), "albhed_dummy", _xlfn.CONCAT("albhed ", RIGHT("  " &amp; K151,2),", ", RIGHT("  " &amp; L151,2), ", " ,"""",H151,""", ", """",N151,""", ","""",O151,""""," ; ", A151))</f>
        <v>albhed  1, 18, "베", "게", "브" ; 극</v>
      </c>
    </row>
    <row r="152" customFormat="false" ht="17.9" hidden="false" customHeight="true" outlineLevel="0" collapsed="false">
      <c r="A152" s="16" t="s">
        <v>1031</v>
      </c>
      <c r="B152" s="16" t="n">
        <f aca="false">IF(_xlfn.UNICODE(A152)&lt;44032,-1,_xlfn.UNICODE(A152)-44032)</f>
        <v>508</v>
      </c>
      <c r="C152" s="16" t="n">
        <f aca="false">IF(B152=-1,-1,INT((B152/28)/21))</f>
        <v>0</v>
      </c>
      <c r="D152" s="16" t="n">
        <f aca="false">IF(B152=-1, -1, MOD(INT(B152/28),21))</f>
        <v>18</v>
      </c>
      <c r="E152" s="16" t="n">
        <f aca="false">IF(B152=-1, -1, VLOOKUP(MOD(B152,28), $T$24:$U$52,2))</f>
        <v>4</v>
      </c>
      <c r="F152" s="16" t="n">
        <f aca="false">IF($B152=-1, -1, VLOOKUP(C152,$T$1:$V$20, 2))</f>
        <v>7</v>
      </c>
      <c r="G152" s="16" t="n">
        <f aca="false">IF($B152=-1, -1, VLOOKUP(D152,$Y$1:$Z$22,2))</f>
        <v>5</v>
      </c>
      <c r="H152" s="16" t="str">
        <f aca="false">_xlfn.UNICHAR(((F152*21)+G152)*28+44032)</f>
        <v>베</v>
      </c>
      <c r="I152" s="16" t="n">
        <f aca="false">IF(B152=-1, 1, COUNTIF($A$2:$A$3000, H152))</f>
        <v>1</v>
      </c>
      <c r="J152" s="10" t="str">
        <f aca="false">_xlfn.CONCAT(A152, ",",H152,",",I152)</f>
        <v>근,베,1</v>
      </c>
      <c r="K152" s="16" t="n">
        <f aca="false">IF(B152=-1,-1,VLOOKUP(C152,$T$1:$V$20,3))</f>
        <v>1</v>
      </c>
      <c r="L152" s="16" t="n">
        <f aca="false">IF(B152=-1,-1,VLOOKUP(D152,$Y$1:$AA$22,3))</f>
        <v>18</v>
      </c>
      <c r="N152" s="10" t="str">
        <f aca="false">_xlfn.UNICHAR(((C152*21)+G152)*28+44032)</f>
        <v>게</v>
      </c>
      <c r="O152" s="10" t="str">
        <f aca="false">_xlfn.UNICHAR(((F152*21)+D152)*28+44032)</f>
        <v>브</v>
      </c>
      <c r="P152" s="12" t="n">
        <f aca="false">COUNTIF($A$2:$A$3000, N152) + COUNTIF($A$2:$A$3000, O152)</f>
        <v>2</v>
      </c>
      <c r="Q152" s="16" t="str">
        <f aca="false">IF(OR(B152=-1,I152=0, P152&lt;&gt;2), "albhed_dummy", _xlfn.CONCAT("albhed ", RIGHT("  " &amp; K152,2),", ", RIGHT("  " &amp; L152,2), ", " ,"""",H152,""", ", """",N152,""", ","""",O152,""""," ; ", A152))</f>
        <v>albhed  1, 18, "베", "게", "브" ; 근</v>
      </c>
    </row>
    <row r="153" customFormat="false" ht="17.9" hidden="false" customHeight="true" outlineLevel="0" collapsed="false">
      <c r="A153" s="16" t="s">
        <v>1032</v>
      </c>
      <c r="B153" s="16" t="n">
        <f aca="false">IF(_xlfn.UNICODE(A153)&lt;44032,-1,_xlfn.UNICODE(A153)-44032)</f>
        <v>511</v>
      </c>
      <c r="C153" s="16" t="n">
        <f aca="false">IF(B153=-1,-1,INT((B153/28)/21))</f>
        <v>0</v>
      </c>
      <c r="D153" s="16" t="n">
        <f aca="false">IF(B153=-1, -1, MOD(INT(B153/28),21))</f>
        <v>18</v>
      </c>
      <c r="E153" s="16" t="n">
        <f aca="false">IF(B153=-1, -1, VLOOKUP(MOD(B153,28), $T$24:$U$52,2))</f>
        <v>19</v>
      </c>
      <c r="F153" s="16" t="n">
        <f aca="false">IF($B153=-1, -1, VLOOKUP(C153,$T$1:$V$20, 2))</f>
        <v>7</v>
      </c>
      <c r="G153" s="16" t="n">
        <f aca="false">IF($B153=-1, -1, VLOOKUP(D153,$Y$1:$Z$22,2))</f>
        <v>5</v>
      </c>
      <c r="H153" s="16" t="str">
        <f aca="false">_xlfn.UNICHAR(((F153*21)+G153)*28+44032)</f>
        <v>베</v>
      </c>
      <c r="I153" s="16" t="n">
        <f aca="false">IF(B153=-1, 1, COUNTIF($A$2:$A$3000, H153))</f>
        <v>1</v>
      </c>
      <c r="J153" s="10" t="str">
        <f aca="false">_xlfn.CONCAT(A153, ",",H153,",",I153)</f>
        <v>귿,베,1</v>
      </c>
      <c r="K153" s="16" t="n">
        <f aca="false">IF(B153=-1,-1,VLOOKUP(C153,$T$1:$V$20,3))</f>
        <v>1</v>
      </c>
      <c r="L153" s="16" t="n">
        <f aca="false">IF(B153=-1,-1,VLOOKUP(D153,$Y$1:$AA$22,3))</f>
        <v>18</v>
      </c>
      <c r="N153" s="10" t="str">
        <f aca="false">_xlfn.UNICHAR(((C153*21)+G153)*28+44032)</f>
        <v>게</v>
      </c>
      <c r="O153" s="10" t="str">
        <f aca="false">_xlfn.UNICHAR(((F153*21)+D153)*28+44032)</f>
        <v>브</v>
      </c>
      <c r="P153" s="12" t="n">
        <f aca="false">COUNTIF($A$2:$A$3000, N153) + COUNTIF($A$2:$A$3000, O153)</f>
        <v>2</v>
      </c>
      <c r="Q153" s="16" t="str">
        <f aca="false">IF(OR(B153=-1,I153=0, P153&lt;&gt;2), "albhed_dummy", _xlfn.CONCAT("albhed ", RIGHT("  " &amp; K153,2),", ", RIGHT("  " &amp; L153,2), ", " ,"""",H153,""", ", """",N153,""", ","""",O153,""""," ; ", A153))</f>
        <v>albhed  1, 18, "베", "게", "브" ; 귿</v>
      </c>
    </row>
    <row r="154" customFormat="false" ht="17.9" hidden="false" customHeight="true" outlineLevel="0" collapsed="false">
      <c r="A154" s="16" t="s">
        <v>1033</v>
      </c>
      <c r="B154" s="16" t="n">
        <f aca="false">IF(_xlfn.UNICODE(A154)&lt;44032,-1,_xlfn.UNICODE(A154)-44032)</f>
        <v>512</v>
      </c>
      <c r="C154" s="16" t="n">
        <f aca="false">IF(B154=-1,-1,INT((B154/28)/21))</f>
        <v>0</v>
      </c>
      <c r="D154" s="16" t="n">
        <f aca="false">IF(B154=-1, -1, MOD(INT(B154/28),21))</f>
        <v>18</v>
      </c>
      <c r="E154" s="16" t="n">
        <f aca="false">IF(B154=-1, -1, VLOOKUP(MOD(B154,28), $T$24:$U$52,2))</f>
        <v>8</v>
      </c>
      <c r="F154" s="16" t="n">
        <f aca="false">IF($B154=-1, -1, VLOOKUP(C154,$T$1:$V$20, 2))</f>
        <v>7</v>
      </c>
      <c r="G154" s="16" t="n">
        <f aca="false">IF($B154=-1, -1, VLOOKUP(D154,$Y$1:$Z$22,2))</f>
        <v>5</v>
      </c>
      <c r="H154" s="16" t="str">
        <f aca="false">_xlfn.UNICHAR(((F154*21)+G154)*28+44032)</f>
        <v>베</v>
      </c>
      <c r="I154" s="16" t="n">
        <f aca="false">IF(B154=-1, 1, COUNTIF($A$2:$A$3000, H154))</f>
        <v>1</v>
      </c>
      <c r="J154" s="10" t="str">
        <f aca="false">_xlfn.CONCAT(A154, ",",H154,",",I154)</f>
        <v>글,베,1</v>
      </c>
      <c r="K154" s="16" t="n">
        <f aca="false">IF(B154=-1,-1,VLOOKUP(C154,$T$1:$V$20,3))</f>
        <v>1</v>
      </c>
      <c r="L154" s="16" t="n">
        <f aca="false">IF(B154=-1,-1,VLOOKUP(D154,$Y$1:$AA$22,3))</f>
        <v>18</v>
      </c>
      <c r="N154" s="10" t="str">
        <f aca="false">_xlfn.UNICHAR(((C154*21)+G154)*28+44032)</f>
        <v>게</v>
      </c>
      <c r="O154" s="10" t="str">
        <f aca="false">_xlfn.UNICHAR(((F154*21)+D154)*28+44032)</f>
        <v>브</v>
      </c>
      <c r="P154" s="12" t="n">
        <f aca="false">COUNTIF($A$2:$A$3000, N154) + COUNTIF($A$2:$A$3000, O154)</f>
        <v>2</v>
      </c>
      <c r="Q154" s="16" t="str">
        <f aca="false">IF(OR(B154=-1,I154=0, P154&lt;&gt;2), "albhed_dummy", _xlfn.CONCAT("albhed ", RIGHT("  " &amp; K154,2),", ", RIGHT("  " &amp; L154,2), ", " ,"""",H154,""", ", """",N154,""", ","""",O154,""""," ; ", A154))</f>
        <v>albhed  1, 18, "베", "게", "브" ; 글</v>
      </c>
    </row>
    <row r="155" customFormat="false" ht="17.9" hidden="false" customHeight="true" outlineLevel="0" collapsed="false">
      <c r="A155" s="16" t="s">
        <v>1034</v>
      </c>
      <c r="B155" s="16" t="n">
        <f aca="false">IF(_xlfn.UNICODE(A155)&lt;44032,-1,_xlfn.UNICODE(A155)-44032)</f>
        <v>513</v>
      </c>
      <c r="C155" s="16" t="n">
        <f aca="false">IF(B155=-1,-1,INT((B155/28)/21))</f>
        <v>0</v>
      </c>
      <c r="D155" s="16" t="n">
        <f aca="false">IF(B155=-1, -1, MOD(INT(B155/28),21))</f>
        <v>18</v>
      </c>
      <c r="E155" s="16" t="n">
        <f aca="false">IF(B155=-1, -1, VLOOKUP(MOD(B155,28), $T$24:$U$52,2))</f>
        <v>8</v>
      </c>
      <c r="F155" s="16" t="n">
        <f aca="false">IF($B155=-1, -1, VLOOKUP(C155,$T$1:$V$20, 2))</f>
        <v>7</v>
      </c>
      <c r="G155" s="16" t="n">
        <f aca="false">IF($B155=-1, -1, VLOOKUP(D155,$Y$1:$Z$22,2))</f>
        <v>5</v>
      </c>
      <c r="H155" s="16" t="str">
        <f aca="false">_xlfn.UNICHAR(((F155*21)+G155)*28+44032)</f>
        <v>베</v>
      </c>
      <c r="I155" s="16" t="n">
        <f aca="false">IF(B155=-1, 1, COUNTIF($A$2:$A$3000, H155))</f>
        <v>1</v>
      </c>
      <c r="J155" s="10" t="str">
        <f aca="false">_xlfn.CONCAT(A155, ",",H155,",",I155)</f>
        <v>긁,베,1</v>
      </c>
      <c r="K155" s="16" t="n">
        <f aca="false">IF(B155=-1,-1,VLOOKUP(C155,$T$1:$V$20,3))</f>
        <v>1</v>
      </c>
      <c r="L155" s="16" t="n">
        <f aca="false">IF(B155=-1,-1,VLOOKUP(D155,$Y$1:$AA$22,3))</f>
        <v>18</v>
      </c>
      <c r="N155" s="10" t="str">
        <f aca="false">_xlfn.UNICHAR(((C155*21)+G155)*28+44032)</f>
        <v>게</v>
      </c>
      <c r="O155" s="10" t="str">
        <f aca="false">_xlfn.UNICHAR(((F155*21)+D155)*28+44032)</f>
        <v>브</v>
      </c>
      <c r="P155" s="12" t="n">
        <f aca="false">COUNTIF($A$2:$A$3000, N155) + COUNTIF($A$2:$A$3000, O155)</f>
        <v>2</v>
      </c>
      <c r="Q155" s="16" t="str">
        <f aca="false">IF(OR(B155=-1,I155=0, P155&lt;&gt;2), "albhed_dummy", _xlfn.CONCAT("albhed ", RIGHT("  " &amp; K155,2),", ", RIGHT("  " &amp; L155,2), ", " ,"""",H155,""", ", """",N155,""", ","""",O155,""""," ; ", A155))</f>
        <v>albhed  1, 18, "베", "게", "브" ; 긁</v>
      </c>
    </row>
    <row r="156" customFormat="false" ht="17.9" hidden="false" customHeight="true" outlineLevel="0" collapsed="false">
      <c r="A156" s="16" t="s">
        <v>1035</v>
      </c>
      <c r="B156" s="16" t="n">
        <f aca="false">IF(_xlfn.UNICODE(A156)&lt;44032,-1,_xlfn.UNICODE(A156)-44032)</f>
        <v>520</v>
      </c>
      <c r="C156" s="16" t="n">
        <f aca="false">IF(B156=-1,-1,INT((B156/28)/21))</f>
        <v>0</v>
      </c>
      <c r="D156" s="16" t="n">
        <f aca="false">IF(B156=-1, -1, MOD(INT(B156/28),21))</f>
        <v>18</v>
      </c>
      <c r="E156" s="16" t="n">
        <f aca="false">IF(B156=-1, -1, VLOOKUP(MOD(B156,28), $T$24:$U$52,2))</f>
        <v>16</v>
      </c>
      <c r="F156" s="16" t="n">
        <f aca="false">IF($B156=-1, -1, VLOOKUP(C156,$T$1:$V$20, 2))</f>
        <v>7</v>
      </c>
      <c r="G156" s="16" t="n">
        <f aca="false">IF($B156=-1, -1, VLOOKUP(D156,$Y$1:$Z$22,2))</f>
        <v>5</v>
      </c>
      <c r="H156" s="16" t="str">
        <f aca="false">_xlfn.UNICHAR(((F156*21)+G156)*28+44032)</f>
        <v>베</v>
      </c>
      <c r="I156" s="16" t="n">
        <f aca="false">IF(B156=-1, 1, COUNTIF($A$2:$A$3000, H156))</f>
        <v>1</v>
      </c>
      <c r="J156" s="10" t="str">
        <f aca="false">_xlfn.CONCAT(A156, ",",H156,",",I156)</f>
        <v>금,베,1</v>
      </c>
      <c r="K156" s="16" t="n">
        <f aca="false">IF(B156=-1,-1,VLOOKUP(C156,$T$1:$V$20,3))</f>
        <v>1</v>
      </c>
      <c r="L156" s="16" t="n">
        <f aca="false">IF(B156=-1,-1,VLOOKUP(D156,$Y$1:$AA$22,3))</f>
        <v>18</v>
      </c>
      <c r="N156" s="10" t="str">
        <f aca="false">_xlfn.UNICHAR(((C156*21)+G156)*28+44032)</f>
        <v>게</v>
      </c>
      <c r="O156" s="10" t="str">
        <f aca="false">_xlfn.UNICHAR(((F156*21)+D156)*28+44032)</f>
        <v>브</v>
      </c>
      <c r="P156" s="12" t="n">
        <f aca="false">COUNTIF($A$2:$A$3000, N156) + COUNTIF($A$2:$A$3000, O156)</f>
        <v>2</v>
      </c>
      <c r="Q156" s="16" t="str">
        <f aca="false">IF(OR(B156=-1,I156=0, P156&lt;&gt;2), "albhed_dummy", _xlfn.CONCAT("albhed ", RIGHT("  " &amp; K156,2),", ", RIGHT("  " &amp; L156,2), ", " ,"""",H156,""", ", """",N156,""", ","""",O156,""""," ; ", A156))</f>
        <v>albhed  1, 18, "베", "게", "브" ; 금</v>
      </c>
    </row>
    <row r="157" customFormat="false" ht="17.9" hidden="false" customHeight="true" outlineLevel="0" collapsed="false">
      <c r="A157" s="16" t="s">
        <v>1036</v>
      </c>
      <c r="B157" s="16" t="n">
        <f aca="false">IF(_xlfn.UNICODE(A157)&lt;44032,-1,_xlfn.UNICODE(A157)-44032)</f>
        <v>521</v>
      </c>
      <c r="C157" s="16" t="n">
        <f aca="false">IF(B157=-1,-1,INT((B157/28)/21))</f>
        <v>0</v>
      </c>
      <c r="D157" s="16" t="n">
        <f aca="false">IF(B157=-1, -1, MOD(INT(B157/28),21))</f>
        <v>18</v>
      </c>
      <c r="E157" s="16" t="n">
        <f aca="false">IF(B157=-1, -1, VLOOKUP(MOD(B157,28), $T$24:$U$52,2))</f>
        <v>17</v>
      </c>
      <c r="F157" s="16" t="n">
        <f aca="false">IF($B157=-1, -1, VLOOKUP(C157,$T$1:$V$20, 2))</f>
        <v>7</v>
      </c>
      <c r="G157" s="16" t="n">
        <f aca="false">IF($B157=-1, -1, VLOOKUP(D157,$Y$1:$Z$22,2))</f>
        <v>5</v>
      </c>
      <c r="H157" s="16" t="str">
        <f aca="false">_xlfn.UNICHAR(((F157*21)+G157)*28+44032)</f>
        <v>베</v>
      </c>
      <c r="I157" s="16" t="n">
        <f aca="false">IF(B157=-1, 1, COUNTIF($A$2:$A$3000, H157))</f>
        <v>1</v>
      </c>
      <c r="J157" s="10" t="str">
        <f aca="false">_xlfn.CONCAT(A157, ",",H157,",",I157)</f>
        <v>급,베,1</v>
      </c>
      <c r="K157" s="16" t="n">
        <f aca="false">IF(B157=-1,-1,VLOOKUP(C157,$T$1:$V$20,3))</f>
        <v>1</v>
      </c>
      <c r="L157" s="16" t="n">
        <f aca="false">IF(B157=-1,-1,VLOOKUP(D157,$Y$1:$AA$22,3))</f>
        <v>18</v>
      </c>
      <c r="N157" s="10" t="str">
        <f aca="false">_xlfn.UNICHAR(((C157*21)+G157)*28+44032)</f>
        <v>게</v>
      </c>
      <c r="O157" s="10" t="str">
        <f aca="false">_xlfn.UNICHAR(((F157*21)+D157)*28+44032)</f>
        <v>브</v>
      </c>
      <c r="P157" s="12" t="n">
        <f aca="false">COUNTIF($A$2:$A$3000, N157) + COUNTIF($A$2:$A$3000, O157)</f>
        <v>2</v>
      </c>
      <c r="Q157" s="16" t="str">
        <f aca="false">IF(OR(B157=-1,I157=0, P157&lt;&gt;2), "albhed_dummy", _xlfn.CONCAT("albhed ", RIGHT("  " &amp; K157,2),", ", RIGHT("  " &amp; L157,2), ", " ,"""",H157,""", ", """",N157,""", ","""",O157,""""," ; ", A157))</f>
        <v>albhed  1, 18, "베", "게", "브" ; 급</v>
      </c>
    </row>
    <row r="158" customFormat="false" ht="17.9" hidden="false" customHeight="true" outlineLevel="0" collapsed="false">
      <c r="A158" s="16" t="s">
        <v>1037</v>
      </c>
      <c r="B158" s="16" t="n">
        <f aca="false">IF(_xlfn.UNICODE(A158)&lt;44032,-1,_xlfn.UNICODE(A158)-44032)</f>
        <v>523</v>
      </c>
      <c r="C158" s="16" t="n">
        <f aca="false">IF(B158=-1,-1,INT((B158/28)/21))</f>
        <v>0</v>
      </c>
      <c r="D158" s="16" t="n">
        <f aca="false">IF(B158=-1, -1, MOD(INT(B158/28),21))</f>
        <v>18</v>
      </c>
      <c r="E158" s="16" t="n">
        <f aca="false">IF(B158=-1, -1, VLOOKUP(MOD(B158,28), $T$24:$U$52,2))</f>
        <v>19</v>
      </c>
      <c r="F158" s="16" t="n">
        <f aca="false">IF($B158=-1, -1, VLOOKUP(C158,$T$1:$V$20, 2))</f>
        <v>7</v>
      </c>
      <c r="G158" s="16" t="n">
        <f aca="false">IF($B158=-1, -1, VLOOKUP(D158,$Y$1:$Z$22,2))</f>
        <v>5</v>
      </c>
      <c r="H158" s="16" t="str">
        <f aca="false">_xlfn.UNICHAR(((F158*21)+G158)*28+44032)</f>
        <v>베</v>
      </c>
      <c r="I158" s="16" t="n">
        <f aca="false">IF(B158=-1, 1, COUNTIF($A$2:$A$3000, H158))</f>
        <v>1</v>
      </c>
      <c r="J158" s="10" t="str">
        <f aca="false">_xlfn.CONCAT(A158, ",",H158,",",I158)</f>
        <v>긋,베,1</v>
      </c>
      <c r="K158" s="16" t="n">
        <f aca="false">IF(B158=-1,-1,VLOOKUP(C158,$T$1:$V$20,3))</f>
        <v>1</v>
      </c>
      <c r="L158" s="16" t="n">
        <f aca="false">IF(B158=-1,-1,VLOOKUP(D158,$Y$1:$AA$22,3))</f>
        <v>18</v>
      </c>
      <c r="N158" s="10" t="str">
        <f aca="false">_xlfn.UNICHAR(((C158*21)+G158)*28+44032)</f>
        <v>게</v>
      </c>
      <c r="O158" s="10" t="str">
        <f aca="false">_xlfn.UNICHAR(((F158*21)+D158)*28+44032)</f>
        <v>브</v>
      </c>
      <c r="P158" s="12" t="n">
        <f aca="false">COUNTIF($A$2:$A$3000, N158) + COUNTIF($A$2:$A$3000, O158)</f>
        <v>2</v>
      </c>
      <c r="Q158" s="16" t="str">
        <f aca="false">IF(OR(B158=-1,I158=0, P158&lt;&gt;2), "albhed_dummy", _xlfn.CONCAT("albhed ", RIGHT("  " &amp; K158,2),", ", RIGHT("  " &amp; L158,2), ", " ,"""",H158,""", ", """",N158,""", ","""",O158,""""," ; ", A158))</f>
        <v>albhed  1, 18, "베", "게", "브" ; 긋</v>
      </c>
    </row>
    <row r="159" customFormat="false" ht="17.9" hidden="false" customHeight="true" outlineLevel="0" collapsed="false">
      <c r="A159" s="16" t="s">
        <v>1038</v>
      </c>
      <c r="B159" s="16" t="n">
        <f aca="false">IF(_xlfn.UNICODE(A159)&lt;44032,-1,_xlfn.UNICODE(A159)-44032)</f>
        <v>525</v>
      </c>
      <c r="C159" s="16" t="n">
        <f aca="false">IF(B159=-1,-1,INT((B159/28)/21))</f>
        <v>0</v>
      </c>
      <c r="D159" s="16" t="n">
        <f aca="false">IF(B159=-1, -1, MOD(INT(B159/28),21))</f>
        <v>18</v>
      </c>
      <c r="E159" s="16" t="n">
        <f aca="false">IF(B159=-1, -1, VLOOKUP(MOD(B159,28), $T$24:$U$52,2))</f>
        <v>21</v>
      </c>
      <c r="F159" s="16" t="n">
        <f aca="false">IF($B159=-1, -1, VLOOKUP(C159,$T$1:$V$20, 2))</f>
        <v>7</v>
      </c>
      <c r="G159" s="16" t="n">
        <f aca="false">IF($B159=-1, -1, VLOOKUP(D159,$Y$1:$Z$22,2))</f>
        <v>5</v>
      </c>
      <c r="H159" s="16" t="str">
        <f aca="false">_xlfn.UNICHAR(((F159*21)+G159)*28+44032)</f>
        <v>베</v>
      </c>
      <c r="I159" s="16" t="n">
        <f aca="false">IF(B159=-1, 1, COUNTIF($A$2:$A$3000, H159))</f>
        <v>1</v>
      </c>
      <c r="J159" s="10" t="str">
        <f aca="false">_xlfn.CONCAT(A159, ",",H159,",",I159)</f>
        <v>긍,베,1</v>
      </c>
      <c r="K159" s="16" t="n">
        <f aca="false">IF(B159=-1,-1,VLOOKUP(C159,$T$1:$V$20,3))</f>
        <v>1</v>
      </c>
      <c r="L159" s="16" t="n">
        <f aca="false">IF(B159=-1,-1,VLOOKUP(D159,$Y$1:$AA$22,3))</f>
        <v>18</v>
      </c>
      <c r="N159" s="10" t="str">
        <f aca="false">_xlfn.UNICHAR(((C159*21)+G159)*28+44032)</f>
        <v>게</v>
      </c>
      <c r="O159" s="10" t="str">
        <f aca="false">_xlfn.UNICHAR(((F159*21)+D159)*28+44032)</f>
        <v>브</v>
      </c>
      <c r="P159" s="12" t="n">
        <f aca="false">COUNTIF($A$2:$A$3000, N159) + COUNTIF($A$2:$A$3000, O159)</f>
        <v>2</v>
      </c>
      <c r="Q159" s="16" t="str">
        <f aca="false">IF(OR(B159=-1,I159=0, P159&lt;&gt;2), "albhed_dummy", _xlfn.CONCAT("albhed ", RIGHT("  " &amp; K159,2),", ", RIGHT("  " &amp; L159,2), ", " ,"""",H159,""", ", """",N159,""", ","""",O159,""""," ; ", A159))</f>
        <v>albhed  1, 18, "베", "게", "브" ; 긍</v>
      </c>
    </row>
    <row r="160" customFormat="false" ht="17.9" hidden="false" customHeight="true" outlineLevel="0" collapsed="false">
      <c r="A160" s="16" t="s">
        <v>1039</v>
      </c>
      <c r="B160" s="16" t="n">
        <f aca="false">IF(_xlfn.UNICODE(A160)&lt;44032,-1,_xlfn.UNICODE(A160)-44032)</f>
        <v>532</v>
      </c>
      <c r="C160" s="16" t="n">
        <f aca="false">IF(B160=-1,-1,INT((B160/28)/21))</f>
        <v>0</v>
      </c>
      <c r="D160" s="16" t="n">
        <f aca="false">IF(B160=-1, -1, MOD(INT(B160/28),21))</f>
        <v>19</v>
      </c>
      <c r="E160" s="16" t="n">
        <f aca="false">IF(B160=-1, -1, VLOOKUP(MOD(B160,28), $T$24:$U$52,2))</f>
        <v>0</v>
      </c>
      <c r="F160" s="16" t="n">
        <f aca="false">IF($B160=-1, -1, VLOOKUP(C160,$T$1:$V$20, 2))</f>
        <v>7</v>
      </c>
      <c r="G160" s="16" t="n">
        <f aca="false">IF($B160=-1, -1, VLOOKUP(D160,$Y$1:$Z$22,2))</f>
        <v>5</v>
      </c>
      <c r="H160" s="16" t="str">
        <f aca="false">_xlfn.UNICHAR(((F160*21)+G160)*28+44032)</f>
        <v>베</v>
      </c>
      <c r="I160" s="16" t="n">
        <f aca="false">IF(B160=-1, 1, COUNTIF($A$2:$A$3000, H160))</f>
        <v>1</v>
      </c>
      <c r="J160" s="10" t="str">
        <f aca="false">_xlfn.CONCAT(A160, ",",H160,",",I160)</f>
        <v>긔,베,1</v>
      </c>
      <c r="K160" s="16" t="n">
        <f aca="false">IF(B160=-1,-1,VLOOKUP(C160,$T$1:$V$20,3))</f>
        <v>1</v>
      </c>
      <c r="L160" s="16" t="n">
        <f aca="false">IF(B160=-1,-1,VLOOKUP(D160,$Y$1:$AA$22,3))</f>
        <v>24</v>
      </c>
      <c r="N160" s="10" t="str">
        <f aca="false">_xlfn.UNICHAR(((C160*21)+G160)*28+44032)</f>
        <v>게</v>
      </c>
      <c r="O160" s="10" t="str">
        <f aca="false">_xlfn.UNICHAR(((F160*21)+D160)*28+44032)</f>
        <v>븨</v>
      </c>
      <c r="P160" s="12" t="n">
        <f aca="false">COUNTIF($A$2:$A$3000, N160) + COUNTIF($A$2:$A$3000, O160)</f>
        <v>1</v>
      </c>
      <c r="Q160" s="16" t="str">
        <f aca="false">IF(OR(B160=-1,I160=0, P160&lt;&gt;2), "albhed_dummy", _xlfn.CONCAT("albhed ", RIGHT("  " &amp; K160,2),", ", RIGHT("  " &amp; L160,2), ", " ,"""",H160,""", ", """",N160,""", ","""",O160,""""," ; ", A160))</f>
        <v>albhed_dummy</v>
      </c>
    </row>
    <row r="161" customFormat="false" ht="17.9" hidden="false" customHeight="true" outlineLevel="0" collapsed="false">
      <c r="A161" s="16" t="s">
        <v>1040</v>
      </c>
      <c r="B161" s="16" t="n">
        <f aca="false">IF(_xlfn.UNICODE(A161)&lt;44032,-1,_xlfn.UNICODE(A161)-44032)</f>
        <v>560</v>
      </c>
      <c r="C161" s="16" t="n">
        <f aca="false">IF(B161=-1,-1,INT((B161/28)/21))</f>
        <v>0</v>
      </c>
      <c r="D161" s="16" t="n">
        <f aca="false">IF(B161=-1, -1, MOD(INT(B161/28),21))</f>
        <v>20</v>
      </c>
      <c r="E161" s="16" t="n">
        <f aca="false">IF(B161=-1, -1, VLOOKUP(MOD(B161,28), $T$24:$U$52,2))</f>
        <v>0</v>
      </c>
      <c r="F161" s="16" t="n">
        <f aca="false">IF($B161=-1, -1, VLOOKUP(C161,$T$1:$V$20, 2))</f>
        <v>7</v>
      </c>
      <c r="G161" s="16" t="n">
        <f aca="false">IF($B161=-1, -1, VLOOKUP(D161,$Y$1:$Z$22,2))</f>
        <v>5</v>
      </c>
      <c r="H161" s="16" t="str">
        <f aca="false">_xlfn.UNICHAR(((F161*21)+G161)*28+44032)</f>
        <v>베</v>
      </c>
      <c r="I161" s="16" t="n">
        <f aca="false">IF(B161=-1, 1, COUNTIF($A$2:$A$3000, H161))</f>
        <v>1</v>
      </c>
      <c r="J161" s="10" t="str">
        <f aca="false">_xlfn.CONCAT(A161, ",",H161,",",I161)</f>
        <v>기,베,1</v>
      </c>
      <c r="K161" s="16" t="n">
        <f aca="false">IF(B161=-1,-1,VLOOKUP(C161,$T$1:$V$20,3))</f>
        <v>1</v>
      </c>
      <c r="L161" s="16" t="n">
        <f aca="false">IF(B161=-1,-1,VLOOKUP(D161,$Y$1:$AA$22,3))</f>
        <v>20</v>
      </c>
      <c r="N161" s="10" t="str">
        <f aca="false">_xlfn.UNICHAR(((C161*21)+G161)*28+44032)</f>
        <v>게</v>
      </c>
      <c r="O161" s="10" t="str">
        <f aca="false">_xlfn.UNICHAR(((F161*21)+D161)*28+44032)</f>
        <v>비</v>
      </c>
      <c r="P161" s="12" t="n">
        <f aca="false">COUNTIF($A$2:$A$3000, N161) + COUNTIF($A$2:$A$3000, O161)</f>
        <v>2</v>
      </c>
      <c r="Q161" s="16" t="str">
        <f aca="false">IF(OR(B161=-1,I161=0, P161&lt;&gt;2), "albhed_dummy", _xlfn.CONCAT("albhed ", RIGHT("  " &amp; K161,2),", ", RIGHT("  " &amp; L161,2), ", " ,"""",H161,""", ", """",N161,""", ","""",O161,""""," ; ", A161))</f>
        <v>albhed  1, 20, "베", "게", "비" ; 기</v>
      </c>
    </row>
    <row r="162" customFormat="false" ht="17.9" hidden="false" customHeight="true" outlineLevel="0" collapsed="false">
      <c r="A162" s="16" t="s">
        <v>1041</v>
      </c>
      <c r="B162" s="16" t="n">
        <f aca="false">IF(_xlfn.UNICODE(A162)&lt;44032,-1,_xlfn.UNICODE(A162)-44032)</f>
        <v>561</v>
      </c>
      <c r="C162" s="16" t="n">
        <f aca="false">IF(B162=-1,-1,INT((B162/28)/21))</f>
        <v>0</v>
      </c>
      <c r="D162" s="16" t="n">
        <f aca="false">IF(B162=-1, -1, MOD(INT(B162/28),21))</f>
        <v>20</v>
      </c>
      <c r="E162" s="16" t="n">
        <f aca="false">IF(B162=-1, -1, VLOOKUP(MOD(B162,28), $T$24:$U$52,2))</f>
        <v>1</v>
      </c>
      <c r="F162" s="16" t="n">
        <f aca="false">IF($B162=-1, -1, VLOOKUP(C162,$T$1:$V$20, 2))</f>
        <v>7</v>
      </c>
      <c r="G162" s="16" t="n">
        <f aca="false">IF($B162=-1, -1, VLOOKUP(D162,$Y$1:$Z$22,2))</f>
        <v>5</v>
      </c>
      <c r="H162" s="16" t="str">
        <f aca="false">_xlfn.UNICHAR(((F162*21)+G162)*28+44032)</f>
        <v>베</v>
      </c>
      <c r="I162" s="16" t="n">
        <f aca="false">IF(B162=-1, 1, COUNTIF($A$2:$A$3000, H162))</f>
        <v>1</v>
      </c>
      <c r="J162" s="10" t="str">
        <f aca="false">_xlfn.CONCAT(A162, ",",H162,",",I162)</f>
        <v>긱,베,1</v>
      </c>
      <c r="K162" s="16" t="n">
        <f aca="false">IF(B162=-1,-1,VLOOKUP(C162,$T$1:$V$20,3))</f>
        <v>1</v>
      </c>
      <c r="L162" s="16" t="n">
        <f aca="false">IF(B162=-1,-1,VLOOKUP(D162,$Y$1:$AA$22,3))</f>
        <v>20</v>
      </c>
      <c r="N162" s="10" t="str">
        <f aca="false">_xlfn.UNICHAR(((C162*21)+G162)*28+44032)</f>
        <v>게</v>
      </c>
      <c r="O162" s="10" t="str">
        <f aca="false">_xlfn.UNICHAR(((F162*21)+D162)*28+44032)</f>
        <v>비</v>
      </c>
      <c r="P162" s="12" t="n">
        <f aca="false">COUNTIF($A$2:$A$3000, N162) + COUNTIF($A$2:$A$3000, O162)</f>
        <v>2</v>
      </c>
      <c r="Q162" s="16" t="str">
        <f aca="false">IF(OR(B162=-1,I162=0, P162&lt;&gt;2), "albhed_dummy", _xlfn.CONCAT("albhed ", RIGHT("  " &amp; K162,2),", ", RIGHT("  " &amp; L162,2), ", " ,"""",H162,""", ", """",N162,""", ","""",O162,""""," ; ", A162))</f>
        <v>albhed  1, 20, "베", "게", "비" ; 긱</v>
      </c>
    </row>
    <row r="163" customFormat="false" ht="17.9" hidden="false" customHeight="true" outlineLevel="0" collapsed="false">
      <c r="A163" s="16" t="s">
        <v>1042</v>
      </c>
      <c r="B163" s="16" t="n">
        <f aca="false">IF(_xlfn.UNICODE(A163)&lt;44032,-1,_xlfn.UNICODE(A163)-44032)</f>
        <v>564</v>
      </c>
      <c r="C163" s="16" t="n">
        <f aca="false">IF(B163=-1,-1,INT((B163/28)/21))</f>
        <v>0</v>
      </c>
      <c r="D163" s="16" t="n">
        <f aca="false">IF(B163=-1, -1, MOD(INT(B163/28),21))</f>
        <v>20</v>
      </c>
      <c r="E163" s="16" t="n">
        <f aca="false">IF(B163=-1, -1, VLOOKUP(MOD(B163,28), $T$24:$U$52,2))</f>
        <v>4</v>
      </c>
      <c r="F163" s="16" t="n">
        <f aca="false">IF($B163=-1, -1, VLOOKUP(C163,$T$1:$V$20, 2))</f>
        <v>7</v>
      </c>
      <c r="G163" s="16" t="n">
        <f aca="false">IF($B163=-1, -1, VLOOKUP(D163,$Y$1:$Z$22,2))</f>
        <v>5</v>
      </c>
      <c r="H163" s="16" t="str">
        <f aca="false">_xlfn.UNICHAR(((F163*21)+G163)*28+44032)</f>
        <v>베</v>
      </c>
      <c r="I163" s="16" t="n">
        <f aca="false">IF(B163=-1, 1, COUNTIF($A$2:$A$3000, H163))</f>
        <v>1</v>
      </c>
      <c r="J163" s="10" t="str">
        <f aca="false">_xlfn.CONCAT(A163, ",",H163,",",I163)</f>
        <v>긴,베,1</v>
      </c>
      <c r="K163" s="16" t="n">
        <f aca="false">IF(B163=-1,-1,VLOOKUP(C163,$T$1:$V$20,3))</f>
        <v>1</v>
      </c>
      <c r="L163" s="16" t="n">
        <f aca="false">IF(B163=-1,-1,VLOOKUP(D163,$Y$1:$AA$22,3))</f>
        <v>20</v>
      </c>
      <c r="N163" s="10" t="str">
        <f aca="false">_xlfn.UNICHAR(((C163*21)+G163)*28+44032)</f>
        <v>게</v>
      </c>
      <c r="O163" s="10" t="str">
        <f aca="false">_xlfn.UNICHAR(((F163*21)+D163)*28+44032)</f>
        <v>비</v>
      </c>
      <c r="P163" s="12" t="n">
        <f aca="false">COUNTIF($A$2:$A$3000, N163) + COUNTIF($A$2:$A$3000, O163)</f>
        <v>2</v>
      </c>
      <c r="Q163" s="16" t="str">
        <f aca="false">IF(OR(B163=-1,I163=0, P163&lt;&gt;2), "albhed_dummy", _xlfn.CONCAT("albhed ", RIGHT("  " &amp; K163,2),", ", RIGHT("  " &amp; L163,2), ", " ,"""",H163,""", ", """",N163,""", ","""",O163,""""," ; ", A163))</f>
        <v>albhed  1, 20, "베", "게", "비" ; 긴</v>
      </c>
    </row>
    <row r="164" customFormat="false" ht="17.9" hidden="false" customHeight="true" outlineLevel="0" collapsed="false">
      <c r="A164" s="16" t="s">
        <v>1043</v>
      </c>
      <c r="B164" s="16" t="n">
        <f aca="false">IF(_xlfn.UNICODE(A164)&lt;44032,-1,_xlfn.UNICODE(A164)-44032)</f>
        <v>567</v>
      </c>
      <c r="C164" s="16" t="n">
        <f aca="false">IF(B164=-1,-1,INT((B164/28)/21))</f>
        <v>0</v>
      </c>
      <c r="D164" s="16" t="n">
        <f aca="false">IF(B164=-1, -1, MOD(INT(B164/28),21))</f>
        <v>20</v>
      </c>
      <c r="E164" s="16" t="n">
        <f aca="false">IF(B164=-1, -1, VLOOKUP(MOD(B164,28), $T$24:$U$52,2))</f>
        <v>19</v>
      </c>
      <c r="F164" s="16" t="n">
        <f aca="false">IF($B164=-1, -1, VLOOKUP(C164,$T$1:$V$20, 2))</f>
        <v>7</v>
      </c>
      <c r="G164" s="16" t="n">
        <f aca="false">IF($B164=-1, -1, VLOOKUP(D164,$Y$1:$Z$22,2))</f>
        <v>5</v>
      </c>
      <c r="H164" s="16" t="str">
        <f aca="false">_xlfn.UNICHAR(((F164*21)+G164)*28+44032)</f>
        <v>베</v>
      </c>
      <c r="I164" s="16" t="n">
        <f aca="false">IF(B164=-1, 1, COUNTIF($A$2:$A$3000, H164))</f>
        <v>1</v>
      </c>
      <c r="J164" s="10" t="str">
        <f aca="false">_xlfn.CONCAT(A164, ",",H164,",",I164)</f>
        <v>긷,베,1</v>
      </c>
      <c r="K164" s="16" t="n">
        <f aca="false">IF(B164=-1,-1,VLOOKUP(C164,$T$1:$V$20,3))</f>
        <v>1</v>
      </c>
      <c r="L164" s="16" t="n">
        <f aca="false">IF(B164=-1,-1,VLOOKUP(D164,$Y$1:$AA$22,3))</f>
        <v>20</v>
      </c>
      <c r="N164" s="10" t="str">
        <f aca="false">_xlfn.UNICHAR(((C164*21)+G164)*28+44032)</f>
        <v>게</v>
      </c>
      <c r="O164" s="10" t="str">
        <f aca="false">_xlfn.UNICHAR(((F164*21)+D164)*28+44032)</f>
        <v>비</v>
      </c>
      <c r="P164" s="12" t="n">
        <f aca="false">COUNTIF($A$2:$A$3000, N164) + COUNTIF($A$2:$A$3000, O164)</f>
        <v>2</v>
      </c>
      <c r="Q164" s="16" t="str">
        <f aca="false">IF(OR(B164=-1,I164=0, P164&lt;&gt;2), "albhed_dummy", _xlfn.CONCAT("albhed ", RIGHT("  " &amp; K164,2),", ", RIGHT("  " &amp; L164,2), ", " ,"""",H164,""", ", """",N164,""", ","""",O164,""""," ; ", A164))</f>
        <v>albhed  1, 20, "베", "게", "비" ; 긷</v>
      </c>
    </row>
    <row r="165" customFormat="false" ht="17.9" hidden="false" customHeight="true" outlineLevel="0" collapsed="false">
      <c r="A165" s="16" t="s">
        <v>1044</v>
      </c>
      <c r="B165" s="16" t="n">
        <f aca="false">IF(_xlfn.UNICODE(A165)&lt;44032,-1,_xlfn.UNICODE(A165)-44032)</f>
        <v>568</v>
      </c>
      <c r="C165" s="16" t="n">
        <f aca="false">IF(B165=-1,-1,INT((B165/28)/21))</f>
        <v>0</v>
      </c>
      <c r="D165" s="16" t="n">
        <f aca="false">IF(B165=-1, -1, MOD(INT(B165/28),21))</f>
        <v>20</v>
      </c>
      <c r="E165" s="16" t="n">
        <f aca="false">IF(B165=-1, -1, VLOOKUP(MOD(B165,28), $T$24:$U$52,2))</f>
        <v>8</v>
      </c>
      <c r="F165" s="16" t="n">
        <f aca="false">IF($B165=-1, -1, VLOOKUP(C165,$T$1:$V$20, 2))</f>
        <v>7</v>
      </c>
      <c r="G165" s="16" t="n">
        <f aca="false">IF($B165=-1, -1, VLOOKUP(D165,$Y$1:$Z$22,2))</f>
        <v>5</v>
      </c>
      <c r="H165" s="16" t="str">
        <f aca="false">_xlfn.UNICHAR(((F165*21)+G165)*28+44032)</f>
        <v>베</v>
      </c>
      <c r="I165" s="16" t="n">
        <f aca="false">IF(B165=-1, 1, COUNTIF($A$2:$A$3000, H165))</f>
        <v>1</v>
      </c>
      <c r="J165" s="10" t="str">
        <f aca="false">_xlfn.CONCAT(A165, ",",H165,",",I165)</f>
        <v>길,베,1</v>
      </c>
      <c r="K165" s="16" t="n">
        <f aca="false">IF(B165=-1,-1,VLOOKUP(C165,$T$1:$V$20,3))</f>
        <v>1</v>
      </c>
      <c r="L165" s="16" t="n">
        <f aca="false">IF(B165=-1,-1,VLOOKUP(D165,$Y$1:$AA$22,3))</f>
        <v>20</v>
      </c>
      <c r="N165" s="10" t="str">
        <f aca="false">_xlfn.UNICHAR(((C165*21)+G165)*28+44032)</f>
        <v>게</v>
      </c>
      <c r="O165" s="10" t="str">
        <f aca="false">_xlfn.UNICHAR(((F165*21)+D165)*28+44032)</f>
        <v>비</v>
      </c>
      <c r="P165" s="12" t="n">
        <f aca="false">COUNTIF($A$2:$A$3000, N165) + COUNTIF($A$2:$A$3000, O165)</f>
        <v>2</v>
      </c>
      <c r="Q165" s="16" t="str">
        <f aca="false">IF(OR(B165=-1,I165=0, P165&lt;&gt;2), "albhed_dummy", _xlfn.CONCAT("albhed ", RIGHT("  " &amp; K165,2),", ", RIGHT("  " &amp; L165,2), ", " ,"""",H165,""", ", """",N165,""", ","""",O165,""""," ; ", A165))</f>
        <v>albhed  1, 20, "베", "게", "비" ; 길</v>
      </c>
    </row>
    <row r="166" customFormat="false" ht="17.9" hidden="false" customHeight="true" outlineLevel="0" collapsed="false">
      <c r="A166" s="16" t="s">
        <v>1045</v>
      </c>
      <c r="B166" s="16" t="n">
        <f aca="false">IF(_xlfn.UNICODE(A166)&lt;44032,-1,_xlfn.UNICODE(A166)-44032)</f>
        <v>570</v>
      </c>
      <c r="C166" s="16" t="n">
        <f aca="false">IF(B166=-1,-1,INT((B166/28)/21))</f>
        <v>0</v>
      </c>
      <c r="D166" s="16" t="n">
        <f aca="false">IF(B166=-1, -1, MOD(INT(B166/28),21))</f>
        <v>20</v>
      </c>
      <c r="E166" s="16" t="n">
        <f aca="false">IF(B166=-1, -1, VLOOKUP(MOD(B166,28), $T$24:$U$52,2))</f>
        <v>8</v>
      </c>
      <c r="F166" s="16" t="n">
        <f aca="false">IF($B166=-1, -1, VLOOKUP(C166,$T$1:$V$20, 2))</f>
        <v>7</v>
      </c>
      <c r="G166" s="16" t="n">
        <f aca="false">IF($B166=-1, -1, VLOOKUP(D166,$Y$1:$Z$22,2))</f>
        <v>5</v>
      </c>
      <c r="H166" s="16" t="str">
        <f aca="false">_xlfn.UNICHAR(((F166*21)+G166)*28+44032)</f>
        <v>베</v>
      </c>
      <c r="I166" s="16" t="n">
        <f aca="false">IF(B166=-1, 1, COUNTIF($A$2:$A$3000, H166))</f>
        <v>1</v>
      </c>
      <c r="J166" s="10" t="str">
        <f aca="false">_xlfn.CONCAT(A166, ",",H166,",",I166)</f>
        <v>긺,베,1</v>
      </c>
      <c r="K166" s="16" t="n">
        <f aca="false">IF(B166=-1,-1,VLOOKUP(C166,$T$1:$V$20,3))</f>
        <v>1</v>
      </c>
      <c r="L166" s="16" t="n">
        <f aca="false">IF(B166=-1,-1,VLOOKUP(D166,$Y$1:$AA$22,3))</f>
        <v>20</v>
      </c>
      <c r="N166" s="10" t="str">
        <f aca="false">_xlfn.UNICHAR(((C166*21)+G166)*28+44032)</f>
        <v>게</v>
      </c>
      <c r="O166" s="10" t="str">
        <f aca="false">_xlfn.UNICHAR(((F166*21)+D166)*28+44032)</f>
        <v>비</v>
      </c>
      <c r="P166" s="12" t="n">
        <f aca="false">COUNTIF($A$2:$A$3000, N166) + COUNTIF($A$2:$A$3000, O166)</f>
        <v>2</v>
      </c>
      <c r="Q166" s="16" t="str">
        <f aca="false">IF(OR(B166=-1,I166=0, P166&lt;&gt;2), "albhed_dummy", _xlfn.CONCAT("albhed ", RIGHT("  " &amp; K166,2),", ", RIGHT("  " &amp; L166,2), ", " ,"""",H166,""", ", """",N166,""", ","""",O166,""""," ; ", A166))</f>
        <v>albhed  1, 20, "베", "게", "비" ; 긺</v>
      </c>
    </row>
    <row r="167" customFormat="false" ht="17.9" hidden="false" customHeight="true" outlineLevel="0" collapsed="false">
      <c r="A167" s="16" t="s">
        <v>1046</v>
      </c>
      <c r="B167" s="16" t="n">
        <f aca="false">IF(_xlfn.UNICODE(A167)&lt;44032,-1,_xlfn.UNICODE(A167)-44032)</f>
        <v>576</v>
      </c>
      <c r="C167" s="16" t="n">
        <f aca="false">IF(B167=-1,-1,INT((B167/28)/21))</f>
        <v>0</v>
      </c>
      <c r="D167" s="16" t="n">
        <f aca="false">IF(B167=-1, -1, MOD(INT(B167/28),21))</f>
        <v>20</v>
      </c>
      <c r="E167" s="16" t="n">
        <f aca="false">IF(B167=-1, -1, VLOOKUP(MOD(B167,28), $T$24:$U$52,2))</f>
        <v>16</v>
      </c>
      <c r="F167" s="16" t="n">
        <f aca="false">IF($B167=-1, -1, VLOOKUP(C167,$T$1:$V$20, 2))</f>
        <v>7</v>
      </c>
      <c r="G167" s="16" t="n">
        <f aca="false">IF($B167=-1, -1, VLOOKUP(D167,$Y$1:$Z$22,2))</f>
        <v>5</v>
      </c>
      <c r="H167" s="16" t="str">
        <f aca="false">_xlfn.UNICHAR(((F167*21)+G167)*28+44032)</f>
        <v>베</v>
      </c>
      <c r="I167" s="16" t="n">
        <f aca="false">IF(B167=-1, 1, COUNTIF($A$2:$A$3000, H167))</f>
        <v>1</v>
      </c>
      <c r="J167" s="10" t="str">
        <f aca="false">_xlfn.CONCAT(A167, ",",H167,",",I167)</f>
        <v>김,베,1</v>
      </c>
      <c r="K167" s="16" t="n">
        <f aca="false">IF(B167=-1,-1,VLOOKUP(C167,$T$1:$V$20,3))</f>
        <v>1</v>
      </c>
      <c r="L167" s="16" t="n">
        <f aca="false">IF(B167=-1,-1,VLOOKUP(D167,$Y$1:$AA$22,3))</f>
        <v>20</v>
      </c>
      <c r="N167" s="10" t="str">
        <f aca="false">_xlfn.UNICHAR(((C167*21)+G167)*28+44032)</f>
        <v>게</v>
      </c>
      <c r="O167" s="10" t="str">
        <f aca="false">_xlfn.UNICHAR(((F167*21)+D167)*28+44032)</f>
        <v>비</v>
      </c>
      <c r="P167" s="12" t="n">
        <f aca="false">COUNTIF($A$2:$A$3000, N167) + COUNTIF($A$2:$A$3000, O167)</f>
        <v>2</v>
      </c>
      <c r="Q167" s="16" t="str">
        <f aca="false">IF(OR(B167=-1,I167=0, P167&lt;&gt;2), "albhed_dummy", _xlfn.CONCAT("albhed ", RIGHT("  " &amp; K167,2),", ", RIGHT("  " &amp; L167,2), ", " ,"""",H167,""", ", """",N167,""", ","""",O167,""""," ; ", A167))</f>
        <v>albhed  1, 20, "베", "게", "비" ; 김</v>
      </c>
    </row>
    <row r="168" customFormat="false" ht="17.9" hidden="false" customHeight="true" outlineLevel="0" collapsed="false">
      <c r="A168" s="16" t="s">
        <v>1047</v>
      </c>
      <c r="B168" s="16" t="n">
        <f aca="false">IF(_xlfn.UNICODE(A168)&lt;44032,-1,_xlfn.UNICODE(A168)-44032)</f>
        <v>577</v>
      </c>
      <c r="C168" s="16" t="n">
        <f aca="false">IF(B168=-1,-1,INT((B168/28)/21))</f>
        <v>0</v>
      </c>
      <c r="D168" s="16" t="n">
        <f aca="false">IF(B168=-1, -1, MOD(INT(B168/28),21))</f>
        <v>20</v>
      </c>
      <c r="E168" s="16" t="n">
        <f aca="false">IF(B168=-1, -1, VLOOKUP(MOD(B168,28), $T$24:$U$52,2))</f>
        <v>17</v>
      </c>
      <c r="F168" s="16" t="n">
        <f aca="false">IF($B168=-1, -1, VLOOKUP(C168,$T$1:$V$20, 2))</f>
        <v>7</v>
      </c>
      <c r="G168" s="16" t="n">
        <f aca="false">IF($B168=-1, -1, VLOOKUP(D168,$Y$1:$Z$22,2))</f>
        <v>5</v>
      </c>
      <c r="H168" s="16" t="str">
        <f aca="false">_xlfn.UNICHAR(((F168*21)+G168)*28+44032)</f>
        <v>베</v>
      </c>
      <c r="I168" s="16" t="n">
        <f aca="false">IF(B168=-1, 1, COUNTIF($A$2:$A$3000, H168))</f>
        <v>1</v>
      </c>
      <c r="J168" s="10" t="str">
        <f aca="false">_xlfn.CONCAT(A168, ",",H168,",",I168)</f>
        <v>깁,베,1</v>
      </c>
      <c r="K168" s="16" t="n">
        <f aca="false">IF(B168=-1,-1,VLOOKUP(C168,$T$1:$V$20,3))</f>
        <v>1</v>
      </c>
      <c r="L168" s="16" t="n">
        <f aca="false">IF(B168=-1,-1,VLOOKUP(D168,$Y$1:$AA$22,3))</f>
        <v>20</v>
      </c>
      <c r="N168" s="10" t="str">
        <f aca="false">_xlfn.UNICHAR(((C168*21)+G168)*28+44032)</f>
        <v>게</v>
      </c>
      <c r="O168" s="10" t="str">
        <f aca="false">_xlfn.UNICHAR(((F168*21)+D168)*28+44032)</f>
        <v>비</v>
      </c>
      <c r="P168" s="12" t="n">
        <f aca="false">COUNTIF($A$2:$A$3000, N168) + COUNTIF($A$2:$A$3000, O168)</f>
        <v>2</v>
      </c>
      <c r="Q168" s="16" t="str">
        <f aca="false">IF(OR(B168=-1,I168=0, P168&lt;&gt;2), "albhed_dummy", _xlfn.CONCAT("albhed ", RIGHT("  " &amp; K168,2),", ", RIGHT("  " &amp; L168,2), ", " ,"""",H168,""", ", """",N168,""", ","""",O168,""""," ; ", A168))</f>
        <v>albhed  1, 20, "베", "게", "비" ; 깁</v>
      </c>
    </row>
    <row r="169" customFormat="false" ht="17.9" hidden="false" customHeight="true" outlineLevel="0" collapsed="false">
      <c r="A169" s="16" t="s">
        <v>1048</v>
      </c>
      <c r="B169" s="16" t="n">
        <f aca="false">IF(_xlfn.UNICODE(A169)&lt;44032,-1,_xlfn.UNICODE(A169)-44032)</f>
        <v>579</v>
      </c>
      <c r="C169" s="16" t="n">
        <f aca="false">IF(B169=-1,-1,INT((B169/28)/21))</f>
        <v>0</v>
      </c>
      <c r="D169" s="16" t="n">
        <f aca="false">IF(B169=-1, -1, MOD(INT(B169/28),21))</f>
        <v>20</v>
      </c>
      <c r="E169" s="16" t="n">
        <f aca="false">IF(B169=-1, -1, VLOOKUP(MOD(B169,28), $T$24:$U$52,2))</f>
        <v>19</v>
      </c>
      <c r="F169" s="16" t="n">
        <f aca="false">IF($B169=-1, -1, VLOOKUP(C169,$T$1:$V$20, 2))</f>
        <v>7</v>
      </c>
      <c r="G169" s="16" t="n">
        <f aca="false">IF($B169=-1, -1, VLOOKUP(D169,$Y$1:$Z$22,2))</f>
        <v>5</v>
      </c>
      <c r="H169" s="16" t="str">
        <f aca="false">_xlfn.UNICHAR(((F169*21)+G169)*28+44032)</f>
        <v>베</v>
      </c>
      <c r="I169" s="16" t="n">
        <f aca="false">IF(B169=-1, 1, COUNTIF($A$2:$A$3000, H169))</f>
        <v>1</v>
      </c>
      <c r="J169" s="10" t="str">
        <f aca="false">_xlfn.CONCAT(A169, ",",H169,",",I169)</f>
        <v>깃,베,1</v>
      </c>
      <c r="K169" s="16" t="n">
        <f aca="false">IF(B169=-1,-1,VLOOKUP(C169,$T$1:$V$20,3))</f>
        <v>1</v>
      </c>
      <c r="L169" s="16" t="n">
        <f aca="false">IF(B169=-1,-1,VLOOKUP(D169,$Y$1:$AA$22,3))</f>
        <v>20</v>
      </c>
      <c r="N169" s="10" t="str">
        <f aca="false">_xlfn.UNICHAR(((C169*21)+G169)*28+44032)</f>
        <v>게</v>
      </c>
      <c r="O169" s="10" t="str">
        <f aca="false">_xlfn.UNICHAR(((F169*21)+D169)*28+44032)</f>
        <v>비</v>
      </c>
      <c r="P169" s="12" t="n">
        <f aca="false">COUNTIF($A$2:$A$3000, N169) + COUNTIF($A$2:$A$3000, O169)</f>
        <v>2</v>
      </c>
      <c r="Q169" s="16" t="str">
        <f aca="false">IF(OR(B169=-1,I169=0, P169&lt;&gt;2), "albhed_dummy", _xlfn.CONCAT("albhed ", RIGHT("  " &amp; K169,2),", ", RIGHT("  " &amp; L169,2), ", " ,"""",H169,""", ", """",N169,""", ","""",O169,""""," ; ", A169))</f>
        <v>albhed  1, 20, "베", "게", "비" ; 깃</v>
      </c>
    </row>
    <row r="170" customFormat="false" ht="17.9" hidden="false" customHeight="true" outlineLevel="0" collapsed="false">
      <c r="A170" s="16" t="s">
        <v>1049</v>
      </c>
      <c r="B170" s="16" t="n">
        <f aca="false">IF(_xlfn.UNICODE(A170)&lt;44032,-1,_xlfn.UNICODE(A170)-44032)</f>
        <v>581</v>
      </c>
      <c r="C170" s="16" t="n">
        <f aca="false">IF(B170=-1,-1,INT((B170/28)/21))</f>
        <v>0</v>
      </c>
      <c r="D170" s="16" t="n">
        <f aca="false">IF(B170=-1, -1, MOD(INT(B170/28),21))</f>
        <v>20</v>
      </c>
      <c r="E170" s="16" t="n">
        <f aca="false">IF(B170=-1, -1, VLOOKUP(MOD(B170,28), $T$24:$U$52,2))</f>
        <v>21</v>
      </c>
      <c r="F170" s="16" t="n">
        <f aca="false">IF($B170=-1, -1, VLOOKUP(C170,$T$1:$V$20, 2))</f>
        <v>7</v>
      </c>
      <c r="G170" s="16" t="n">
        <f aca="false">IF($B170=-1, -1, VLOOKUP(D170,$Y$1:$Z$22,2))</f>
        <v>5</v>
      </c>
      <c r="H170" s="16" t="str">
        <f aca="false">_xlfn.UNICHAR(((F170*21)+G170)*28+44032)</f>
        <v>베</v>
      </c>
      <c r="I170" s="16" t="n">
        <f aca="false">IF(B170=-1, 1, COUNTIF($A$2:$A$3000, H170))</f>
        <v>1</v>
      </c>
      <c r="J170" s="10" t="str">
        <f aca="false">_xlfn.CONCAT(A170, ",",H170,",",I170)</f>
        <v>깅,베,1</v>
      </c>
      <c r="K170" s="16" t="n">
        <f aca="false">IF(B170=-1,-1,VLOOKUP(C170,$T$1:$V$20,3))</f>
        <v>1</v>
      </c>
      <c r="L170" s="16" t="n">
        <f aca="false">IF(B170=-1,-1,VLOOKUP(D170,$Y$1:$AA$22,3))</f>
        <v>20</v>
      </c>
      <c r="N170" s="10" t="str">
        <f aca="false">_xlfn.UNICHAR(((C170*21)+G170)*28+44032)</f>
        <v>게</v>
      </c>
      <c r="O170" s="10" t="str">
        <f aca="false">_xlfn.UNICHAR(((F170*21)+D170)*28+44032)</f>
        <v>비</v>
      </c>
      <c r="P170" s="12" t="n">
        <f aca="false">COUNTIF($A$2:$A$3000, N170) + COUNTIF($A$2:$A$3000, O170)</f>
        <v>2</v>
      </c>
      <c r="Q170" s="16" t="str">
        <f aca="false">IF(OR(B170=-1,I170=0, P170&lt;&gt;2), "albhed_dummy", _xlfn.CONCAT("albhed ", RIGHT("  " &amp; K170,2),", ", RIGHT("  " &amp; L170,2), ", " ,"""",H170,""", ", """",N170,""", ","""",O170,""""," ; ", A170))</f>
        <v>albhed  1, 20, "베", "게", "비" ; 깅</v>
      </c>
    </row>
    <row r="171" customFormat="false" ht="17.9" hidden="false" customHeight="true" outlineLevel="0" collapsed="false">
      <c r="A171" s="16" t="s">
        <v>1050</v>
      </c>
      <c r="B171" s="16" t="n">
        <f aca="false">IF(_xlfn.UNICODE(A171)&lt;44032,-1,_xlfn.UNICODE(A171)-44032)</f>
        <v>582</v>
      </c>
      <c r="C171" s="16" t="n">
        <f aca="false">IF(B171=-1,-1,INT((B171/28)/21))</f>
        <v>0</v>
      </c>
      <c r="D171" s="16" t="n">
        <f aca="false">IF(B171=-1, -1, MOD(INT(B171/28),21))</f>
        <v>20</v>
      </c>
      <c r="E171" s="16" t="n">
        <f aca="false">IF(B171=-1, -1, VLOOKUP(MOD(B171,28), $T$24:$U$52,2))</f>
        <v>19</v>
      </c>
      <c r="F171" s="16" t="n">
        <f aca="false">IF($B171=-1, -1, VLOOKUP(C171,$T$1:$V$20, 2))</f>
        <v>7</v>
      </c>
      <c r="G171" s="16" t="n">
        <f aca="false">IF($B171=-1, -1, VLOOKUP(D171,$Y$1:$Z$22,2))</f>
        <v>5</v>
      </c>
      <c r="H171" s="16" t="str">
        <f aca="false">_xlfn.UNICHAR(((F171*21)+G171)*28+44032)</f>
        <v>베</v>
      </c>
      <c r="I171" s="16" t="n">
        <f aca="false">IF(B171=-1, 1, COUNTIF($A$2:$A$3000, H171))</f>
        <v>1</v>
      </c>
      <c r="J171" s="10" t="str">
        <f aca="false">_xlfn.CONCAT(A171, ",",H171,",",I171)</f>
        <v>깆,베,1</v>
      </c>
      <c r="K171" s="16" t="n">
        <f aca="false">IF(B171=-1,-1,VLOOKUP(C171,$T$1:$V$20,3))</f>
        <v>1</v>
      </c>
      <c r="L171" s="16" t="n">
        <f aca="false">IF(B171=-1,-1,VLOOKUP(D171,$Y$1:$AA$22,3))</f>
        <v>20</v>
      </c>
      <c r="N171" s="10" t="str">
        <f aca="false">_xlfn.UNICHAR(((C171*21)+G171)*28+44032)</f>
        <v>게</v>
      </c>
      <c r="O171" s="10" t="str">
        <f aca="false">_xlfn.UNICHAR(((F171*21)+D171)*28+44032)</f>
        <v>비</v>
      </c>
      <c r="P171" s="12" t="n">
        <f aca="false">COUNTIF($A$2:$A$3000, N171) + COUNTIF($A$2:$A$3000, O171)</f>
        <v>2</v>
      </c>
      <c r="Q171" s="16" t="str">
        <f aca="false">IF(OR(B171=-1,I171=0, P171&lt;&gt;2), "albhed_dummy", _xlfn.CONCAT("albhed ", RIGHT("  " &amp; K171,2),", ", RIGHT("  " &amp; L171,2), ", " ,"""",H171,""", ", """",N171,""", ","""",O171,""""," ; ", A171))</f>
        <v>albhed  1, 20, "베", "게", "비" ; 깆</v>
      </c>
    </row>
    <row r="172" customFormat="false" ht="17.9" hidden="false" customHeight="true" outlineLevel="0" collapsed="false">
      <c r="A172" s="16" t="s">
        <v>1051</v>
      </c>
      <c r="B172" s="16" t="n">
        <f aca="false">IF(_xlfn.UNICODE(A172)&lt;44032,-1,_xlfn.UNICODE(A172)-44032)</f>
        <v>586</v>
      </c>
      <c r="C172" s="16" t="n">
        <f aca="false">IF(B172=-1,-1,INT((B172/28)/21))</f>
        <v>0</v>
      </c>
      <c r="D172" s="16" t="n">
        <f aca="false">IF(B172=-1, -1, MOD(INT(B172/28),21))</f>
        <v>20</v>
      </c>
      <c r="E172" s="16" t="n">
        <f aca="false">IF(B172=-1, -1, VLOOKUP(MOD(B172,28), $T$24:$U$52,2))</f>
        <v>17</v>
      </c>
      <c r="F172" s="16" t="n">
        <f aca="false">IF($B172=-1, -1, VLOOKUP(C172,$T$1:$V$20, 2))</f>
        <v>7</v>
      </c>
      <c r="G172" s="16" t="n">
        <f aca="false">IF($B172=-1, -1, VLOOKUP(D172,$Y$1:$Z$22,2))</f>
        <v>5</v>
      </c>
      <c r="H172" s="16" t="str">
        <f aca="false">_xlfn.UNICHAR(((F172*21)+G172)*28+44032)</f>
        <v>베</v>
      </c>
      <c r="I172" s="16" t="n">
        <f aca="false">IF(B172=-1, 1, COUNTIF($A$2:$A$3000, H172))</f>
        <v>1</v>
      </c>
      <c r="J172" s="10" t="str">
        <f aca="false">_xlfn.CONCAT(A172, ",",H172,",",I172)</f>
        <v>깊,베,1</v>
      </c>
      <c r="K172" s="16" t="n">
        <f aca="false">IF(B172=-1,-1,VLOOKUP(C172,$T$1:$V$20,3))</f>
        <v>1</v>
      </c>
      <c r="L172" s="16" t="n">
        <f aca="false">IF(B172=-1,-1,VLOOKUP(D172,$Y$1:$AA$22,3))</f>
        <v>20</v>
      </c>
      <c r="N172" s="10" t="str">
        <f aca="false">_xlfn.UNICHAR(((C172*21)+G172)*28+44032)</f>
        <v>게</v>
      </c>
      <c r="O172" s="10" t="str">
        <f aca="false">_xlfn.UNICHAR(((F172*21)+D172)*28+44032)</f>
        <v>비</v>
      </c>
      <c r="P172" s="12" t="n">
        <f aca="false">COUNTIF($A$2:$A$3000, N172) + COUNTIF($A$2:$A$3000, O172)</f>
        <v>2</v>
      </c>
      <c r="Q172" s="16" t="str">
        <f aca="false">IF(OR(B172=-1,I172=0, P172&lt;&gt;2), "albhed_dummy", _xlfn.CONCAT("albhed ", RIGHT("  " &amp; K172,2),", ", RIGHT("  " &amp; L172,2), ", " ,"""",H172,""", ", """",N172,""", ","""",O172,""""," ; ", A172))</f>
        <v>albhed  1, 20, "베", "게", "비" ; 깊</v>
      </c>
    </row>
    <row r="173" customFormat="false" ht="17.9" hidden="false" customHeight="true" outlineLevel="0" collapsed="false">
      <c r="A173" s="16" t="s">
        <v>1052</v>
      </c>
      <c r="B173" s="16" t="n">
        <f aca="false">IF(_xlfn.UNICODE(A173)&lt;44032,-1,_xlfn.UNICODE(A173)-44032)</f>
        <v>588</v>
      </c>
      <c r="C173" s="16" t="n">
        <f aca="false">IF(B173=-1,-1,INT((B173/28)/21))</f>
        <v>1</v>
      </c>
      <c r="D173" s="16" t="n">
        <f aca="false">IF(B173=-1, -1, MOD(INT(B173/28),21))</f>
        <v>0</v>
      </c>
      <c r="E173" s="16" t="n">
        <f aca="false">IF(B173=-1, -1, VLOOKUP(MOD(B173,28), $T$24:$U$52,2))</f>
        <v>0</v>
      </c>
      <c r="F173" s="16" t="n">
        <f aca="false">IF($B173=-1, -1, VLOOKUP(C173,$T$1:$V$20, 2))</f>
        <v>8</v>
      </c>
      <c r="G173" s="16" t="n">
        <f aca="false">IF($B173=-1, -1, VLOOKUP(D173,$Y$1:$Z$22,2))</f>
        <v>13</v>
      </c>
      <c r="H173" s="16" t="str">
        <f aca="false">_xlfn.UNICHAR(((F173*21)+G173)*28+44032)</f>
        <v>뿌</v>
      </c>
      <c r="I173" s="16" t="n">
        <f aca="false">IF(B173=-1, 1, COUNTIF($A$2:$A$3000, H173))</f>
        <v>1</v>
      </c>
      <c r="J173" s="10" t="str">
        <f aca="false">_xlfn.CONCAT(A173, ",",H173,",",I173)</f>
        <v>까,뿌,1</v>
      </c>
      <c r="K173" s="16" t="n">
        <f aca="false">IF(B173=-1,-1,VLOOKUP(C173,$T$1:$V$20,3))</f>
        <v>1</v>
      </c>
      <c r="L173" s="16" t="n">
        <f aca="false">IF(B173=-1,-1,VLOOKUP(D173,$Y$1:$AA$22,3))</f>
        <v>2</v>
      </c>
      <c r="N173" s="10" t="str">
        <f aca="false">_xlfn.UNICHAR(((C173*21)+G173)*28+44032)</f>
        <v>꾸</v>
      </c>
      <c r="O173" s="10" t="str">
        <f aca="false">_xlfn.UNICHAR(((F173*21)+D173)*28+44032)</f>
        <v>빠</v>
      </c>
      <c r="P173" s="12" t="n">
        <f aca="false">COUNTIF($A$2:$A$3000, N173) + COUNTIF($A$2:$A$3000, O173)</f>
        <v>2</v>
      </c>
      <c r="Q173" s="16" t="str">
        <f aca="false">IF(OR(B173=-1,I173=0, P173&lt;&gt;2), "albhed_dummy", _xlfn.CONCAT("albhed ", RIGHT("  " &amp; K173,2),", ", RIGHT("  " &amp; L173,2), ", " ,"""",H173,""", ", """",N173,""", ","""",O173,""""," ; ", A173))</f>
        <v>albhed  1,  2, "뿌", "꾸", "빠" ; 까</v>
      </c>
    </row>
    <row r="174" customFormat="false" ht="17.9" hidden="false" customHeight="true" outlineLevel="0" collapsed="false">
      <c r="A174" s="16" t="s">
        <v>1053</v>
      </c>
      <c r="B174" s="16" t="n">
        <f aca="false">IF(_xlfn.UNICODE(A174)&lt;44032,-1,_xlfn.UNICODE(A174)-44032)</f>
        <v>589</v>
      </c>
      <c r="C174" s="16" t="n">
        <f aca="false">IF(B174=-1,-1,INT((B174/28)/21))</f>
        <v>1</v>
      </c>
      <c r="D174" s="16" t="n">
        <f aca="false">IF(B174=-1, -1, MOD(INT(B174/28),21))</f>
        <v>0</v>
      </c>
      <c r="E174" s="16" t="n">
        <f aca="false">IF(B174=-1, -1, VLOOKUP(MOD(B174,28), $T$24:$U$52,2))</f>
        <v>1</v>
      </c>
      <c r="F174" s="16" t="n">
        <f aca="false">IF($B174=-1, -1, VLOOKUP(C174,$T$1:$V$20, 2))</f>
        <v>8</v>
      </c>
      <c r="G174" s="16" t="n">
        <f aca="false">IF($B174=-1, -1, VLOOKUP(D174,$Y$1:$Z$22,2))</f>
        <v>13</v>
      </c>
      <c r="H174" s="16" t="str">
        <f aca="false">_xlfn.UNICHAR(((F174*21)+G174)*28+44032)</f>
        <v>뿌</v>
      </c>
      <c r="I174" s="16" t="n">
        <f aca="false">IF(B174=-1, 1, COUNTIF($A$2:$A$3000, H174))</f>
        <v>1</v>
      </c>
      <c r="J174" s="10" t="str">
        <f aca="false">_xlfn.CONCAT(A174, ",",H174,",",I174)</f>
        <v>깍,뿌,1</v>
      </c>
      <c r="K174" s="16" t="n">
        <f aca="false">IF(B174=-1,-1,VLOOKUP(C174,$T$1:$V$20,3))</f>
        <v>1</v>
      </c>
      <c r="L174" s="16" t="n">
        <f aca="false">IF(B174=-1,-1,VLOOKUP(D174,$Y$1:$AA$22,3))</f>
        <v>2</v>
      </c>
      <c r="N174" s="10" t="str">
        <f aca="false">_xlfn.UNICHAR(((C174*21)+G174)*28+44032)</f>
        <v>꾸</v>
      </c>
      <c r="O174" s="10" t="str">
        <f aca="false">_xlfn.UNICHAR(((F174*21)+D174)*28+44032)</f>
        <v>빠</v>
      </c>
      <c r="P174" s="12" t="n">
        <f aca="false">COUNTIF($A$2:$A$3000, N174) + COUNTIF($A$2:$A$3000, O174)</f>
        <v>2</v>
      </c>
      <c r="Q174" s="16" t="str">
        <f aca="false">IF(OR(B174=-1,I174=0, P174&lt;&gt;2), "albhed_dummy", _xlfn.CONCAT("albhed ", RIGHT("  " &amp; K174,2),", ", RIGHT("  " &amp; L174,2), ", " ,"""",H174,""", ", """",N174,""", ","""",O174,""""," ; ", A174))</f>
        <v>albhed  1,  2, "뿌", "꾸", "빠" ; 깍</v>
      </c>
    </row>
    <row r="175" customFormat="false" ht="17.9" hidden="false" customHeight="true" outlineLevel="0" collapsed="false">
      <c r="A175" s="16" t="s">
        <v>1054</v>
      </c>
      <c r="B175" s="16" t="n">
        <f aca="false">IF(_xlfn.UNICODE(A175)&lt;44032,-1,_xlfn.UNICODE(A175)-44032)</f>
        <v>590</v>
      </c>
      <c r="C175" s="16" t="n">
        <f aca="false">IF(B175=-1,-1,INT((B175/28)/21))</f>
        <v>1</v>
      </c>
      <c r="D175" s="16" t="n">
        <f aca="false">IF(B175=-1, -1, MOD(INT(B175/28),21))</f>
        <v>0</v>
      </c>
      <c r="E175" s="16" t="n">
        <f aca="false">IF(B175=-1, -1, VLOOKUP(MOD(B175,28), $T$24:$U$52,2))</f>
        <v>1</v>
      </c>
      <c r="F175" s="16" t="n">
        <f aca="false">IF($B175=-1, -1, VLOOKUP(C175,$T$1:$V$20, 2))</f>
        <v>8</v>
      </c>
      <c r="G175" s="16" t="n">
        <f aca="false">IF($B175=-1, -1, VLOOKUP(D175,$Y$1:$Z$22,2))</f>
        <v>13</v>
      </c>
      <c r="H175" s="16" t="str">
        <f aca="false">_xlfn.UNICHAR(((F175*21)+G175)*28+44032)</f>
        <v>뿌</v>
      </c>
      <c r="I175" s="16" t="n">
        <f aca="false">IF(B175=-1, 1, COUNTIF($A$2:$A$3000, H175))</f>
        <v>1</v>
      </c>
      <c r="J175" s="10" t="str">
        <f aca="false">_xlfn.CONCAT(A175, ",",H175,",",I175)</f>
        <v>깎,뿌,1</v>
      </c>
      <c r="K175" s="16" t="n">
        <f aca="false">IF(B175=-1,-1,VLOOKUP(C175,$T$1:$V$20,3))</f>
        <v>1</v>
      </c>
      <c r="L175" s="16" t="n">
        <f aca="false">IF(B175=-1,-1,VLOOKUP(D175,$Y$1:$AA$22,3))</f>
        <v>2</v>
      </c>
      <c r="N175" s="10" t="str">
        <f aca="false">_xlfn.UNICHAR(((C175*21)+G175)*28+44032)</f>
        <v>꾸</v>
      </c>
      <c r="O175" s="10" t="str">
        <f aca="false">_xlfn.UNICHAR(((F175*21)+D175)*28+44032)</f>
        <v>빠</v>
      </c>
      <c r="P175" s="12" t="n">
        <f aca="false">COUNTIF($A$2:$A$3000, N175) + COUNTIF($A$2:$A$3000, O175)</f>
        <v>2</v>
      </c>
      <c r="Q175" s="16" t="str">
        <f aca="false">IF(OR(B175=-1,I175=0, P175&lt;&gt;2), "albhed_dummy", _xlfn.CONCAT("albhed ", RIGHT("  " &amp; K175,2),", ", RIGHT("  " &amp; L175,2), ", " ,"""",H175,""", ", """",N175,""", ","""",O175,""""," ; ", A175))</f>
        <v>albhed  1,  2, "뿌", "꾸", "빠" ; 깎</v>
      </c>
    </row>
    <row r="176" customFormat="false" ht="17.9" hidden="false" customHeight="true" outlineLevel="0" collapsed="false">
      <c r="A176" s="16" t="s">
        <v>1055</v>
      </c>
      <c r="B176" s="16" t="n">
        <f aca="false">IF(_xlfn.UNICODE(A176)&lt;44032,-1,_xlfn.UNICODE(A176)-44032)</f>
        <v>592</v>
      </c>
      <c r="C176" s="16" t="n">
        <f aca="false">IF(B176=-1,-1,INT((B176/28)/21))</f>
        <v>1</v>
      </c>
      <c r="D176" s="16" t="n">
        <f aca="false">IF(B176=-1, -1, MOD(INT(B176/28),21))</f>
        <v>0</v>
      </c>
      <c r="E176" s="16" t="n">
        <f aca="false">IF(B176=-1, -1, VLOOKUP(MOD(B176,28), $T$24:$U$52,2))</f>
        <v>4</v>
      </c>
      <c r="F176" s="16" t="n">
        <f aca="false">IF($B176=-1, -1, VLOOKUP(C176,$T$1:$V$20, 2))</f>
        <v>8</v>
      </c>
      <c r="G176" s="16" t="n">
        <f aca="false">IF($B176=-1, -1, VLOOKUP(D176,$Y$1:$Z$22,2))</f>
        <v>13</v>
      </c>
      <c r="H176" s="16" t="str">
        <f aca="false">_xlfn.UNICHAR(((F176*21)+G176)*28+44032)</f>
        <v>뿌</v>
      </c>
      <c r="I176" s="16" t="n">
        <f aca="false">IF(B176=-1, 1, COUNTIF($A$2:$A$3000, H176))</f>
        <v>1</v>
      </c>
      <c r="J176" s="10" t="str">
        <f aca="false">_xlfn.CONCAT(A176, ",",H176,",",I176)</f>
        <v>깐,뿌,1</v>
      </c>
      <c r="K176" s="16" t="n">
        <f aca="false">IF(B176=-1,-1,VLOOKUP(C176,$T$1:$V$20,3))</f>
        <v>1</v>
      </c>
      <c r="L176" s="16" t="n">
        <f aca="false">IF(B176=-1,-1,VLOOKUP(D176,$Y$1:$AA$22,3))</f>
        <v>2</v>
      </c>
      <c r="N176" s="10" t="str">
        <f aca="false">_xlfn.UNICHAR(((C176*21)+G176)*28+44032)</f>
        <v>꾸</v>
      </c>
      <c r="O176" s="10" t="str">
        <f aca="false">_xlfn.UNICHAR(((F176*21)+D176)*28+44032)</f>
        <v>빠</v>
      </c>
      <c r="P176" s="12" t="n">
        <f aca="false">COUNTIF($A$2:$A$3000, N176) + COUNTIF($A$2:$A$3000, O176)</f>
        <v>2</v>
      </c>
      <c r="Q176" s="16" t="str">
        <f aca="false">IF(OR(B176=-1,I176=0, P176&lt;&gt;2), "albhed_dummy", _xlfn.CONCAT("albhed ", RIGHT("  " &amp; K176,2),", ", RIGHT("  " &amp; L176,2), ", " ,"""",H176,""", ", """",N176,""", ","""",O176,""""," ; ", A176))</f>
        <v>albhed  1,  2, "뿌", "꾸", "빠" ; 깐</v>
      </c>
    </row>
    <row r="177" customFormat="false" ht="17.9" hidden="false" customHeight="true" outlineLevel="0" collapsed="false">
      <c r="A177" s="16" t="s">
        <v>1056</v>
      </c>
      <c r="B177" s="16" t="n">
        <f aca="false">IF(_xlfn.UNICODE(A177)&lt;44032,-1,_xlfn.UNICODE(A177)-44032)</f>
        <v>596</v>
      </c>
      <c r="C177" s="16" t="n">
        <f aca="false">IF(B177=-1,-1,INT((B177/28)/21))</f>
        <v>1</v>
      </c>
      <c r="D177" s="16" t="n">
        <f aca="false">IF(B177=-1, -1, MOD(INT(B177/28),21))</f>
        <v>0</v>
      </c>
      <c r="E177" s="16" t="n">
        <f aca="false">IF(B177=-1, -1, VLOOKUP(MOD(B177,28), $T$24:$U$52,2))</f>
        <v>8</v>
      </c>
      <c r="F177" s="16" t="n">
        <f aca="false">IF($B177=-1, -1, VLOOKUP(C177,$T$1:$V$20, 2))</f>
        <v>8</v>
      </c>
      <c r="G177" s="16" t="n">
        <f aca="false">IF($B177=-1, -1, VLOOKUP(D177,$Y$1:$Z$22,2))</f>
        <v>13</v>
      </c>
      <c r="H177" s="16" t="str">
        <f aca="false">_xlfn.UNICHAR(((F177*21)+G177)*28+44032)</f>
        <v>뿌</v>
      </c>
      <c r="I177" s="16" t="n">
        <f aca="false">IF(B177=-1, 1, COUNTIF($A$2:$A$3000, H177))</f>
        <v>1</v>
      </c>
      <c r="J177" s="10" t="str">
        <f aca="false">_xlfn.CONCAT(A177, ",",H177,",",I177)</f>
        <v>깔,뿌,1</v>
      </c>
      <c r="K177" s="16" t="n">
        <f aca="false">IF(B177=-1,-1,VLOOKUP(C177,$T$1:$V$20,3))</f>
        <v>1</v>
      </c>
      <c r="L177" s="16" t="n">
        <f aca="false">IF(B177=-1,-1,VLOOKUP(D177,$Y$1:$AA$22,3))</f>
        <v>2</v>
      </c>
      <c r="N177" s="10" t="str">
        <f aca="false">_xlfn.UNICHAR(((C177*21)+G177)*28+44032)</f>
        <v>꾸</v>
      </c>
      <c r="O177" s="10" t="str">
        <f aca="false">_xlfn.UNICHAR(((F177*21)+D177)*28+44032)</f>
        <v>빠</v>
      </c>
      <c r="P177" s="12" t="n">
        <f aca="false">COUNTIF($A$2:$A$3000, N177) + COUNTIF($A$2:$A$3000, O177)</f>
        <v>2</v>
      </c>
      <c r="Q177" s="16" t="str">
        <f aca="false">IF(OR(B177=-1,I177=0, P177&lt;&gt;2), "albhed_dummy", _xlfn.CONCAT("albhed ", RIGHT("  " &amp; K177,2),", ", RIGHT("  " &amp; L177,2), ", " ,"""",H177,""", ", """",N177,""", ","""",O177,""""," ; ", A177))</f>
        <v>albhed  1,  2, "뿌", "꾸", "빠" ; 깔</v>
      </c>
    </row>
    <row r="178" customFormat="false" ht="17.9" hidden="false" customHeight="true" outlineLevel="0" collapsed="false">
      <c r="A178" s="16" t="s">
        <v>1057</v>
      </c>
      <c r="B178" s="16" t="n">
        <f aca="false">IF(_xlfn.UNICODE(A178)&lt;44032,-1,_xlfn.UNICODE(A178)-44032)</f>
        <v>598</v>
      </c>
      <c r="C178" s="16" t="n">
        <f aca="false">IF(B178=-1,-1,INT((B178/28)/21))</f>
        <v>1</v>
      </c>
      <c r="D178" s="16" t="n">
        <f aca="false">IF(B178=-1, -1, MOD(INT(B178/28),21))</f>
        <v>0</v>
      </c>
      <c r="E178" s="16" t="n">
        <f aca="false">IF(B178=-1, -1, VLOOKUP(MOD(B178,28), $T$24:$U$52,2))</f>
        <v>8</v>
      </c>
      <c r="F178" s="16" t="n">
        <f aca="false">IF($B178=-1, -1, VLOOKUP(C178,$T$1:$V$20, 2))</f>
        <v>8</v>
      </c>
      <c r="G178" s="16" t="n">
        <f aca="false">IF($B178=-1, -1, VLOOKUP(D178,$Y$1:$Z$22,2))</f>
        <v>13</v>
      </c>
      <c r="H178" s="16" t="str">
        <f aca="false">_xlfn.UNICHAR(((F178*21)+G178)*28+44032)</f>
        <v>뿌</v>
      </c>
      <c r="I178" s="16" t="n">
        <f aca="false">IF(B178=-1, 1, COUNTIF($A$2:$A$3000, H178))</f>
        <v>1</v>
      </c>
      <c r="J178" s="10" t="str">
        <f aca="false">_xlfn.CONCAT(A178, ",",H178,",",I178)</f>
        <v>깖,뿌,1</v>
      </c>
      <c r="K178" s="16" t="n">
        <f aca="false">IF(B178=-1,-1,VLOOKUP(C178,$T$1:$V$20,3))</f>
        <v>1</v>
      </c>
      <c r="L178" s="16" t="n">
        <f aca="false">IF(B178=-1,-1,VLOOKUP(D178,$Y$1:$AA$22,3))</f>
        <v>2</v>
      </c>
      <c r="N178" s="10" t="str">
        <f aca="false">_xlfn.UNICHAR(((C178*21)+G178)*28+44032)</f>
        <v>꾸</v>
      </c>
      <c r="O178" s="10" t="str">
        <f aca="false">_xlfn.UNICHAR(((F178*21)+D178)*28+44032)</f>
        <v>빠</v>
      </c>
      <c r="P178" s="12" t="n">
        <f aca="false">COUNTIF($A$2:$A$3000, N178) + COUNTIF($A$2:$A$3000, O178)</f>
        <v>2</v>
      </c>
      <c r="Q178" s="16" t="str">
        <f aca="false">IF(OR(B178=-1,I178=0, P178&lt;&gt;2), "albhed_dummy", _xlfn.CONCAT("albhed ", RIGHT("  " &amp; K178,2),", ", RIGHT("  " &amp; L178,2), ", " ,"""",H178,""", ", """",N178,""", ","""",O178,""""," ; ", A178))</f>
        <v>albhed  1,  2, "뿌", "꾸", "빠" ; 깖</v>
      </c>
    </row>
    <row r="179" customFormat="false" ht="17.9" hidden="false" customHeight="true" outlineLevel="0" collapsed="false">
      <c r="A179" s="16" t="s">
        <v>1058</v>
      </c>
      <c r="B179" s="16" t="n">
        <f aca="false">IF(_xlfn.UNICODE(A179)&lt;44032,-1,_xlfn.UNICODE(A179)-44032)</f>
        <v>604</v>
      </c>
      <c r="C179" s="16" t="n">
        <f aca="false">IF(B179=-1,-1,INT((B179/28)/21))</f>
        <v>1</v>
      </c>
      <c r="D179" s="16" t="n">
        <f aca="false">IF(B179=-1, -1, MOD(INT(B179/28),21))</f>
        <v>0</v>
      </c>
      <c r="E179" s="16" t="n">
        <f aca="false">IF(B179=-1, -1, VLOOKUP(MOD(B179,28), $T$24:$U$52,2))</f>
        <v>16</v>
      </c>
      <c r="F179" s="16" t="n">
        <f aca="false">IF($B179=-1, -1, VLOOKUP(C179,$T$1:$V$20, 2))</f>
        <v>8</v>
      </c>
      <c r="G179" s="16" t="n">
        <f aca="false">IF($B179=-1, -1, VLOOKUP(D179,$Y$1:$Z$22,2))</f>
        <v>13</v>
      </c>
      <c r="H179" s="16" t="str">
        <f aca="false">_xlfn.UNICHAR(((F179*21)+G179)*28+44032)</f>
        <v>뿌</v>
      </c>
      <c r="I179" s="16" t="n">
        <f aca="false">IF(B179=-1, 1, COUNTIF($A$2:$A$3000, H179))</f>
        <v>1</v>
      </c>
      <c r="J179" s="10" t="str">
        <f aca="false">_xlfn.CONCAT(A179, ",",H179,",",I179)</f>
        <v>깜,뿌,1</v>
      </c>
      <c r="K179" s="16" t="n">
        <f aca="false">IF(B179=-1,-1,VLOOKUP(C179,$T$1:$V$20,3))</f>
        <v>1</v>
      </c>
      <c r="L179" s="16" t="n">
        <f aca="false">IF(B179=-1,-1,VLOOKUP(D179,$Y$1:$AA$22,3))</f>
        <v>2</v>
      </c>
      <c r="N179" s="10" t="str">
        <f aca="false">_xlfn.UNICHAR(((C179*21)+G179)*28+44032)</f>
        <v>꾸</v>
      </c>
      <c r="O179" s="10" t="str">
        <f aca="false">_xlfn.UNICHAR(((F179*21)+D179)*28+44032)</f>
        <v>빠</v>
      </c>
      <c r="P179" s="12" t="n">
        <f aca="false">COUNTIF($A$2:$A$3000, N179) + COUNTIF($A$2:$A$3000, O179)</f>
        <v>2</v>
      </c>
      <c r="Q179" s="16" t="str">
        <f aca="false">IF(OR(B179=-1,I179=0, P179&lt;&gt;2), "albhed_dummy", _xlfn.CONCAT("albhed ", RIGHT("  " &amp; K179,2),", ", RIGHT("  " &amp; L179,2), ", " ,"""",H179,""", ", """",N179,""", ","""",O179,""""," ; ", A179))</f>
        <v>albhed  1,  2, "뿌", "꾸", "빠" ; 깜</v>
      </c>
    </row>
    <row r="180" customFormat="false" ht="17.9" hidden="false" customHeight="true" outlineLevel="0" collapsed="false">
      <c r="A180" s="16" t="s">
        <v>1059</v>
      </c>
      <c r="B180" s="16" t="n">
        <f aca="false">IF(_xlfn.UNICODE(A180)&lt;44032,-1,_xlfn.UNICODE(A180)-44032)</f>
        <v>605</v>
      </c>
      <c r="C180" s="16" t="n">
        <f aca="false">IF(B180=-1,-1,INT((B180/28)/21))</f>
        <v>1</v>
      </c>
      <c r="D180" s="16" t="n">
        <f aca="false">IF(B180=-1, -1, MOD(INT(B180/28),21))</f>
        <v>0</v>
      </c>
      <c r="E180" s="16" t="n">
        <f aca="false">IF(B180=-1, -1, VLOOKUP(MOD(B180,28), $T$24:$U$52,2))</f>
        <v>17</v>
      </c>
      <c r="F180" s="16" t="n">
        <f aca="false">IF($B180=-1, -1, VLOOKUP(C180,$T$1:$V$20, 2))</f>
        <v>8</v>
      </c>
      <c r="G180" s="16" t="n">
        <f aca="false">IF($B180=-1, -1, VLOOKUP(D180,$Y$1:$Z$22,2))</f>
        <v>13</v>
      </c>
      <c r="H180" s="16" t="str">
        <f aca="false">_xlfn.UNICHAR(((F180*21)+G180)*28+44032)</f>
        <v>뿌</v>
      </c>
      <c r="I180" s="16" t="n">
        <f aca="false">IF(B180=-1, 1, COUNTIF($A$2:$A$3000, H180))</f>
        <v>1</v>
      </c>
      <c r="J180" s="10" t="str">
        <f aca="false">_xlfn.CONCAT(A180, ",",H180,",",I180)</f>
        <v>깝,뿌,1</v>
      </c>
      <c r="K180" s="16" t="n">
        <f aca="false">IF(B180=-1,-1,VLOOKUP(C180,$T$1:$V$20,3))</f>
        <v>1</v>
      </c>
      <c r="L180" s="16" t="n">
        <f aca="false">IF(B180=-1,-1,VLOOKUP(D180,$Y$1:$AA$22,3))</f>
        <v>2</v>
      </c>
      <c r="N180" s="10" t="str">
        <f aca="false">_xlfn.UNICHAR(((C180*21)+G180)*28+44032)</f>
        <v>꾸</v>
      </c>
      <c r="O180" s="10" t="str">
        <f aca="false">_xlfn.UNICHAR(((F180*21)+D180)*28+44032)</f>
        <v>빠</v>
      </c>
      <c r="P180" s="12" t="n">
        <f aca="false">COUNTIF($A$2:$A$3000, N180) + COUNTIF($A$2:$A$3000, O180)</f>
        <v>2</v>
      </c>
      <c r="Q180" s="16" t="str">
        <f aca="false">IF(OR(B180=-1,I180=0, P180&lt;&gt;2), "albhed_dummy", _xlfn.CONCAT("albhed ", RIGHT("  " &amp; K180,2),", ", RIGHT("  " &amp; L180,2), ", " ,"""",H180,""", ", """",N180,""", ","""",O180,""""," ; ", A180))</f>
        <v>albhed  1,  2, "뿌", "꾸", "빠" ; 깝</v>
      </c>
    </row>
    <row r="181" customFormat="false" ht="17.9" hidden="false" customHeight="true" outlineLevel="0" collapsed="false">
      <c r="A181" s="16" t="s">
        <v>1060</v>
      </c>
      <c r="B181" s="16" t="n">
        <f aca="false">IF(_xlfn.UNICODE(A181)&lt;44032,-1,_xlfn.UNICODE(A181)-44032)</f>
        <v>607</v>
      </c>
      <c r="C181" s="16" t="n">
        <f aca="false">IF(B181=-1,-1,INT((B181/28)/21))</f>
        <v>1</v>
      </c>
      <c r="D181" s="16" t="n">
        <f aca="false">IF(B181=-1, -1, MOD(INT(B181/28),21))</f>
        <v>0</v>
      </c>
      <c r="E181" s="16" t="n">
        <f aca="false">IF(B181=-1, -1, VLOOKUP(MOD(B181,28), $T$24:$U$52,2))</f>
        <v>19</v>
      </c>
      <c r="F181" s="16" t="n">
        <f aca="false">IF($B181=-1, -1, VLOOKUP(C181,$T$1:$V$20, 2))</f>
        <v>8</v>
      </c>
      <c r="G181" s="16" t="n">
        <f aca="false">IF($B181=-1, -1, VLOOKUP(D181,$Y$1:$Z$22,2))</f>
        <v>13</v>
      </c>
      <c r="H181" s="16" t="str">
        <f aca="false">_xlfn.UNICHAR(((F181*21)+G181)*28+44032)</f>
        <v>뿌</v>
      </c>
      <c r="I181" s="16" t="n">
        <f aca="false">IF(B181=-1, 1, COUNTIF($A$2:$A$3000, H181))</f>
        <v>1</v>
      </c>
      <c r="J181" s="10" t="str">
        <f aca="false">_xlfn.CONCAT(A181, ",",H181,",",I181)</f>
        <v>깟,뿌,1</v>
      </c>
      <c r="K181" s="16" t="n">
        <f aca="false">IF(B181=-1,-1,VLOOKUP(C181,$T$1:$V$20,3))</f>
        <v>1</v>
      </c>
      <c r="L181" s="16" t="n">
        <f aca="false">IF(B181=-1,-1,VLOOKUP(D181,$Y$1:$AA$22,3))</f>
        <v>2</v>
      </c>
      <c r="N181" s="10" t="str">
        <f aca="false">_xlfn.UNICHAR(((C181*21)+G181)*28+44032)</f>
        <v>꾸</v>
      </c>
      <c r="O181" s="10" t="str">
        <f aca="false">_xlfn.UNICHAR(((F181*21)+D181)*28+44032)</f>
        <v>빠</v>
      </c>
      <c r="P181" s="12" t="n">
        <f aca="false">COUNTIF($A$2:$A$3000, N181) + COUNTIF($A$2:$A$3000, O181)</f>
        <v>2</v>
      </c>
      <c r="Q181" s="16" t="str">
        <f aca="false">IF(OR(B181=-1,I181=0, P181&lt;&gt;2), "albhed_dummy", _xlfn.CONCAT("albhed ", RIGHT("  " &amp; K181,2),", ", RIGHT("  " &amp; L181,2), ", " ,"""",H181,""", ", """",N181,""", ","""",O181,""""," ; ", A181))</f>
        <v>albhed  1,  2, "뿌", "꾸", "빠" ; 깟</v>
      </c>
    </row>
    <row r="182" customFormat="false" ht="17.9" hidden="false" customHeight="true" outlineLevel="0" collapsed="false">
      <c r="A182" s="16" t="s">
        <v>1061</v>
      </c>
      <c r="B182" s="16" t="n">
        <f aca="false">IF(_xlfn.UNICODE(A182)&lt;44032,-1,_xlfn.UNICODE(A182)-44032)</f>
        <v>608</v>
      </c>
      <c r="C182" s="16" t="n">
        <f aca="false">IF(B182=-1,-1,INT((B182/28)/21))</f>
        <v>1</v>
      </c>
      <c r="D182" s="16" t="n">
        <f aca="false">IF(B182=-1, -1, MOD(INT(B182/28),21))</f>
        <v>0</v>
      </c>
      <c r="E182" s="16" t="n">
        <f aca="false">IF(B182=-1, -1, VLOOKUP(MOD(B182,28), $T$24:$U$52,2))</f>
        <v>19</v>
      </c>
      <c r="F182" s="16" t="n">
        <f aca="false">IF($B182=-1, -1, VLOOKUP(C182,$T$1:$V$20, 2))</f>
        <v>8</v>
      </c>
      <c r="G182" s="16" t="n">
        <f aca="false">IF($B182=-1, -1, VLOOKUP(D182,$Y$1:$Z$22,2))</f>
        <v>13</v>
      </c>
      <c r="H182" s="16" t="str">
        <f aca="false">_xlfn.UNICHAR(((F182*21)+G182)*28+44032)</f>
        <v>뿌</v>
      </c>
      <c r="I182" s="16" t="n">
        <f aca="false">IF(B182=-1, 1, COUNTIF($A$2:$A$3000, H182))</f>
        <v>1</v>
      </c>
      <c r="J182" s="10" t="str">
        <f aca="false">_xlfn.CONCAT(A182, ",",H182,",",I182)</f>
        <v>깠,뿌,1</v>
      </c>
      <c r="K182" s="16" t="n">
        <f aca="false">IF(B182=-1,-1,VLOOKUP(C182,$T$1:$V$20,3))</f>
        <v>1</v>
      </c>
      <c r="L182" s="16" t="n">
        <f aca="false">IF(B182=-1,-1,VLOOKUP(D182,$Y$1:$AA$22,3))</f>
        <v>2</v>
      </c>
      <c r="N182" s="10" t="str">
        <f aca="false">_xlfn.UNICHAR(((C182*21)+G182)*28+44032)</f>
        <v>꾸</v>
      </c>
      <c r="O182" s="10" t="str">
        <f aca="false">_xlfn.UNICHAR(((F182*21)+D182)*28+44032)</f>
        <v>빠</v>
      </c>
      <c r="P182" s="12" t="n">
        <f aca="false">COUNTIF($A$2:$A$3000, N182) + COUNTIF($A$2:$A$3000, O182)</f>
        <v>2</v>
      </c>
      <c r="Q182" s="16" t="str">
        <f aca="false">IF(OR(B182=-1,I182=0, P182&lt;&gt;2), "albhed_dummy", _xlfn.CONCAT("albhed ", RIGHT("  " &amp; K182,2),", ", RIGHT("  " &amp; L182,2), ", " ,"""",H182,""", ", """",N182,""", ","""",O182,""""," ; ", A182))</f>
        <v>albhed  1,  2, "뿌", "꾸", "빠" ; 깠</v>
      </c>
    </row>
    <row r="183" customFormat="false" ht="17.9" hidden="false" customHeight="true" outlineLevel="0" collapsed="false">
      <c r="A183" s="16" t="s">
        <v>1062</v>
      </c>
      <c r="B183" s="16" t="n">
        <f aca="false">IF(_xlfn.UNICODE(A183)&lt;44032,-1,_xlfn.UNICODE(A183)-44032)</f>
        <v>609</v>
      </c>
      <c r="C183" s="16" t="n">
        <f aca="false">IF(B183=-1,-1,INT((B183/28)/21))</f>
        <v>1</v>
      </c>
      <c r="D183" s="16" t="n">
        <f aca="false">IF(B183=-1, -1, MOD(INT(B183/28),21))</f>
        <v>0</v>
      </c>
      <c r="E183" s="16" t="n">
        <f aca="false">IF(B183=-1, -1, VLOOKUP(MOD(B183,28), $T$24:$U$52,2))</f>
        <v>21</v>
      </c>
      <c r="F183" s="16" t="n">
        <f aca="false">IF($B183=-1, -1, VLOOKUP(C183,$T$1:$V$20, 2))</f>
        <v>8</v>
      </c>
      <c r="G183" s="16" t="n">
        <f aca="false">IF($B183=-1, -1, VLOOKUP(D183,$Y$1:$Z$22,2))</f>
        <v>13</v>
      </c>
      <c r="H183" s="16" t="str">
        <f aca="false">_xlfn.UNICHAR(((F183*21)+G183)*28+44032)</f>
        <v>뿌</v>
      </c>
      <c r="I183" s="16" t="n">
        <f aca="false">IF(B183=-1, 1, COUNTIF($A$2:$A$3000, H183))</f>
        <v>1</v>
      </c>
      <c r="J183" s="10" t="str">
        <f aca="false">_xlfn.CONCAT(A183, ",",H183,",",I183)</f>
        <v>깡,뿌,1</v>
      </c>
      <c r="K183" s="16" t="n">
        <f aca="false">IF(B183=-1,-1,VLOOKUP(C183,$T$1:$V$20,3))</f>
        <v>1</v>
      </c>
      <c r="L183" s="16" t="n">
        <f aca="false">IF(B183=-1,-1,VLOOKUP(D183,$Y$1:$AA$22,3))</f>
        <v>2</v>
      </c>
      <c r="N183" s="10" t="str">
        <f aca="false">_xlfn.UNICHAR(((C183*21)+G183)*28+44032)</f>
        <v>꾸</v>
      </c>
      <c r="O183" s="10" t="str">
        <f aca="false">_xlfn.UNICHAR(((F183*21)+D183)*28+44032)</f>
        <v>빠</v>
      </c>
      <c r="P183" s="12" t="n">
        <f aca="false">COUNTIF($A$2:$A$3000, N183) + COUNTIF($A$2:$A$3000, O183)</f>
        <v>2</v>
      </c>
      <c r="Q183" s="16" t="str">
        <f aca="false">IF(OR(B183=-1,I183=0, P183&lt;&gt;2), "albhed_dummy", _xlfn.CONCAT("albhed ", RIGHT("  " &amp; K183,2),", ", RIGHT("  " &amp; L183,2), ", " ,"""",H183,""", ", """",N183,""", ","""",O183,""""," ; ", A183))</f>
        <v>albhed  1,  2, "뿌", "꾸", "빠" ; 깡</v>
      </c>
    </row>
    <row r="184" customFormat="false" ht="17.9" hidden="false" customHeight="true" outlineLevel="0" collapsed="false">
      <c r="A184" s="16" t="s">
        <v>1063</v>
      </c>
      <c r="B184" s="16" t="n">
        <f aca="false">IF(_xlfn.UNICODE(A184)&lt;44032,-1,_xlfn.UNICODE(A184)-44032)</f>
        <v>613</v>
      </c>
      <c r="C184" s="16" t="n">
        <f aca="false">IF(B184=-1,-1,INT((B184/28)/21))</f>
        <v>1</v>
      </c>
      <c r="D184" s="16" t="n">
        <f aca="false">IF(B184=-1, -1, MOD(INT(B184/28),21))</f>
        <v>0</v>
      </c>
      <c r="E184" s="16" t="n">
        <f aca="false">IF(B184=-1, -1, VLOOKUP(MOD(B184,28), $T$24:$U$52,2))</f>
        <v>19</v>
      </c>
      <c r="F184" s="16" t="n">
        <f aca="false">IF($B184=-1, -1, VLOOKUP(C184,$T$1:$V$20, 2))</f>
        <v>8</v>
      </c>
      <c r="G184" s="16" t="n">
        <f aca="false">IF($B184=-1, -1, VLOOKUP(D184,$Y$1:$Z$22,2))</f>
        <v>13</v>
      </c>
      <c r="H184" s="16" t="str">
        <f aca="false">_xlfn.UNICHAR(((F184*21)+G184)*28+44032)</f>
        <v>뿌</v>
      </c>
      <c r="I184" s="16" t="n">
        <f aca="false">IF(B184=-1, 1, COUNTIF($A$2:$A$3000, H184))</f>
        <v>1</v>
      </c>
      <c r="J184" s="10" t="str">
        <f aca="false">_xlfn.CONCAT(A184, ",",H184,",",I184)</f>
        <v>깥,뿌,1</v>
      </c>
      <c r="K184" s="16" t="n">
        <f aca="false">IF(B184=-1,-1,VLOOKUP(C184,$T$1:$V$20,3))</f>
        <v>1</v>
      </c>
      <c r="L184" s="16" t="n">
        <f aca="false">IF(B184=-1,-1,VLOOKUP(D184,$Y$1:$AA$22,3))</f>
        <v>2</v>
      </c>
      <c r="N184" s="10" t="str">
        <f aca="false">_xlfn.UNICHAR(((C184*21)+G184)*28+44032)</f>
        <v>꾸</v>
      </c>
      <c r="O184" s="10" t="str">
        <f aca="false">_xlfn.UNICHAR(((F184*21)+D184)*28+44032)</f>
        <v>빠</v>
      </c>
      <c r="P184" s="12" t="n">
        <f aca="false">COUNTIF($A$2:$A$3000, N184) + COUNTIF($A$2:$A$3000, O184)</f>
        <v>2</v>
      </c>
      <c r="Q184" s="16" t="str">
        <f aca="false">IF(OR(B184=-1,I184=0, P184&lt;&gt;2), "albhed_dummy", _xlfn.CONCAT("albhed ", RIGHT("  " &amp; K184,2),", ", RIGHT("  " &amp; L184,2), ", " ,"""",H184,""", ", """",N184,""", ","""",O184,""""," ; ", A184))</f>
        <v>albhed  1,  2, "뿌", "꾸", "빠" ; 깥</v>
      </c>
    </row>
    <row r="185" customFormat="false" ht="17.9" hidden="false" customHeight="true" outlineLevel="0" collapsed="false">
      <c r="A185" s="16" t="s">
        <v>1064</v>
      </c>
      <c r="B185" s="16" t="n">
        <f aca="false">IF(_xlfn.UNICODE(A185)&lt;44032,-1,_xlfn.UNICODE(A185)-44032)</f>
        <v>616</v>
      </c>
      <c r="C185" s="16" t="n">
        <f aca="false">IF(B185=-1,-1,INT((B185/28)/21))</f>
        <v>1</v>
      </c>
      <c r="D185" s="16" t="n">
        <f aca="false">IF(B185=-1, -1, MOD(INT(B185/28),21))</f>
        <v>1</v>
      </c>
      <c r="E185" s="16" t="n">
        <f aca="false">IF(B185=-1, -1, VLOOKUP(MOD(B185,28), $T$24:$U$52,2))</f>
        <v>0</v>
      </c>
      <c r="F185" s="16" t="n">
        <f aca="false">IF($B185=-1, -1, VLOOKUP(C185,$T$1:$V$20, 2))</f>
        <v>8</v>
      </c>
      <c r="G185" s="16" t="n">
        <f aca="false">IF($B185=-1, -1, VLOOKUP(D185,$Y$1:$Z$22,2))</f>
        <v>18</v>
      </c>
      <c r="H185" s="16" t="str">
        <f aca="false">_xlfn.UNICHAR(((F185*21)+G185)*28+44032)</f>
        <v>쁘</v>
      </c>
      <c r="I185" s="16" t="n">
        <f aca="false">IF(B185=-1, 1, COUNTIF($A$2:$A$3000, H185))</f>
        <v>1</v>
      </c>
      <c r="J185" s="10" t="str">
        <f aca="false">_xlfn.CONCAT(A185, ",",H185,",",I185)</f>
        <v>깨,쁘,1</v>
      </c>
      <c r="K185" s="16" t="n">
        <f aca="false">IF(B185=-1,-1,VLOOKUP(C185,$T$1:$V$20,3))</f>
        <v>1</v>
      </c>
      <c r="L185" s="16" t="n">
        <f aca="false">IF(B185=-1,-1,VLOOKUP(D185,$Y$1:$AA$22,3))</f>
        <v>10</v>
      </c>
      <c r="N185" s="10" t="str">
        <f aca="false">_xlfn.UNICHAR(((C185*21)+G185)*28+44032)</f>
        <v>끄</v>
      </c>
      <c r="O185" s="10" t="str">
        <f aca="false">_xlfn.UNICHAR(((F185*21)+D185)*28+44032)</f>
        <v>빼</v>
      </c>
      <c r="P185" s="12" t="n">
        <f aca="false">COUNTIF($A$2:$A$3000, N185) + COUNTIF($A$2:$A$3000, O185)</f>
        <v>2</v>
      </c>
      <c r="Q185" s="16" t="str">
        <f aca="false">IF(OR(B185=-1,I185=0, P185&lt;&gt;2), "albhed_dummy", _xlfn.CONCAT("albhed ", RIGHT("  " &amp; K185,2),", ", RIGHT("  " &amp; L185,2), ", " ,"""",H185,""", ", """",N185,""", ","""",O185,""""," ; ", A185))</f>
        <v>albhed  1, 10, "쁘", "끄", "빼" ; 깨</v>
      </c>
    </row>
    <row r="186" customFormat="false" ht="17.9" hidden="false" customHeight="true" outlineLevel="0" collapsed="false">
      <c r="A186" s="16" t="s">
        <v>1065</v>
      </c>
      <c r="B186" s="16" t="n">
        <f aca="false">IF(_xlfn.UNICODE(A186)&lt;44032,-1,_xlfn.UNICODE(A186)-44032)</f>
        <v>617</v>
      </c>
      <c r="C186" s="16" t="n">
        <f aca="false">IF(B186=-1,-1,INT((B186/28)/21))</f>
        <v>1</v>
      </c>
      <c r="D186" s="16" t="n">
        <f aca="false">IF(B186=-1, -1, MOD(INT(B186/28),21))</f>
        <v>1</v>
      </c>
      <c r="E186" s="16" t="n">
        <f aca="false">IF(B186=-1, -1, VLOOKUP(MOD(B186,28), $T$24:$U$52,2))</f>
        <v>1</v>
      </c>
      <c r="F186" s="16" t="n">
        <f aca="false">IF($B186=-1, -1, VLOOKUP(C186,$T$1:$V$20, 2))</f>
        <v>8</v>
      </c>
      <c r="G186" s="16" t="n">
        <f aca="false">IF($B186=-1, -1, VLOOKUP(D186,$Y$1:$Z$22,2))</f>
        <v>18</v>
      </c>
      <c r="H186" s="16" t="str">
        <f aca="false">_xlfn.UNICHAR(((F186*21)+G186)*28+44032)</f>
        <v>쁘</v>
      </c>
      <c r="I186" s="16" t="n">
        <f aca="false">IF(B186=-1, 1, COUNTIF($A$2:$A$3000, H186))</f>
        <v>1</v>
      </c>
      <c r="J186" s="10" t="str">
        <f aca="false">_xlfn.CONCAT(A186, ",",H186,",",I186)</f>
        <v>깩,쁘,1</v>
      </c>
      <c r="K186" s="16" t="n">
        <f aca="false">IF(B186=-1,-1,VLOOKUP(C186,$T$1:$V$20,3))</f>
        <v>1</v>
      </c>
      <c r="L186" s="16" t="n">
        <f aca="false">IF(B186=-1,-1,VLOOKUP(D186,$Y$1:$AA$22,3))</f>
        <v>10</v>
      </c>
      <c r="N186" s="10" t="str">
        <f aca="false">_xlfn.UNICHAR(((C186*21)+G186)*28+44032)</f>
        <v>끄</v>
      </c>
      <c r="O186" s="10" t="str">
        <f aca="false">_xlfn.UNICHAR(((F186*21)+D186)*28+44032)</f>
        <v>빼</v>
      </c>
      <c r="P186" s="12" t="n">
        <f aca="false">COUNTIF($A$2:$A$3000, N186) + COUNTIF($A$2:$A$3000, O186)</f>
        <v>2</v>
      </c>
      <c r="Q186" s="16" t="str">
        <f aca="false">IF(OR(B186=-1,I186=0, P186&lt;&gt;2), "albhed_dummy", _xlfn.CONCAT("albhed ", RIGHT("  " &amp; K186,2),", ", RIGHT("  " &amp; L186,2), ", " ,"""",H186,""", ", """",N186,""", ","""",O186,""""," ; ", A186))</f>
        <v>albhed  1, 10, "쁘", "끄", "빼" ; 깩</v>
      </c>
    </row>
    <row r="187" customFormat="false" ht="17.9" hidden="false" customHeight="true" outlineLevel="0" collapsed="false">
      <c r="A187" s="16" t="s">
        <v>1066</v>
      </c>
      <c r="B187" s="16" t="n">
        <f aca="false">IF(_xlfn.UNICODE(A187)&lt;44032,-1,_xlfn.UNICODE(A187)-44032)</f>
        <v>620</v>
      </c>
      <c r="C187" s="16" t="n">
        <f aca="false">IF(B187=-1,-1,INT((B187/28)/21))</f>
        <v>1</v>
      </c>
      <c r="D187" s="16" t="n">
        <f aca="false">IF(B187=-1, -1, MOD(INT(B187/28),21))</f>
        <v>1</v>
      </c>
      <c r="E187" s="16" t="n">
        <f aca="false">IF(B187=-1, -1, VLOOKUP(MOD(B187,28), $T$24:$U$52,2))</f>
        <v>4</v>
      </c>
      <c r="F187" s="16" t="n">
        <f aca="false">IF($B187=-1, -1, VLOOKUP(C187,$T$1:$V$20, 2))</f>
        <v>8</v>
      </c>
      <c r="G187" s="16" t="n">
        <f aca="false">IF($B187=-1, -1, VLOOKUP(D187,$Y$1:$Z$22,2))</f>
        <v>18</v>
      </c>
      <c r="H187" s="16" t="str">
        <f aca="false">_xlfn.UNICHAR(((F187*21)+G187)*28+44032)</f>
        <v>쁘</v>
      </c>
      <c r="I187" s="16" t="n">
        <f aca="false">IF(B187=-1, 1, COUNTIF($A$2:$A$3000, H187))</f>
        <v>1</v>
      </c>
      <c r="J187" s="10" t="str">
        <f aca="false">_xlfn.CONCAT(A187, ",",H187,",",I187)</f>
        <v>깬,쁘,1</v>
      </c>
      <c r="K187" s="16" t="n">
        <f aca="false">IF(B187=-1,-1,VLOOKUP(C187,$T$1:$V$20,3))</f>
        <v>1</v>
      </c>
      <c r="L187" s="16" t="n">
        <f aca="false">IF(B187=-1,-1,VLOOKUP(D187,$Y$1:$AA$22,3))</f>
        <v>10</v>
      </c>
      <c r="N187" s="10" t="str">
        <f aca="false">_xlfn.UNICHAR(((C187*21)+G187)*28+44032)</f>
        <v>끄</v>
      </c>
      <c r="O187" s="10" t="str">
        <f aca="false">_xlfn.UNICHAR(((F187*21)+D187)*28+44032)</f>
        <v>빼</v>
      </c>
      <c r="P187" s="12" t="n">
        <f aca="false">COUNTIF($A$2:$A$3000, N187) + COUNTIF($A$2:$A$3000, O187)</f>
        <v>2</v>
      </c>
      <c r="Q187" s="16" t="str">
        <f aca="false">IF(OR(B187=-1,I187=0, P187&lt;&gt;2), "albhed_dummy", _xlfn.CONCAT("albhed ", RIGHT("  " &amp; K187,2),", ", RIGHT("  " &amp; L187,2), ", " ,"""",H187,""", ", """",N187,""", ","""",O187,""""," ; ", A187))</f>
        <v>albhed  1, 10, "쁘", "끄", "빼" ; 깬</v>
      </c>
    </row>
    <row r="188" customFormat="false" ht="17.9" hidden="false" customHeight="true" outlineLevel="0" collapsed="false">
      <c r="A188" s="16" t="s">
        <v>1067</v>
      </c>
      <c r="B188" s="16" t="n">
        <f aca="false">IF(_xlfn.UNICODE(A188)&lt;44032,-1,_xlfn.UNICODE(A188)-44032)</f>
        <v>624</v>
      </c>
      <c r="C188" s="16" t="n">
        <f aca="false">IF(B188=-1,-1,INT((B188/28)/21))</f>
        <v>1</v>
      </c>
      <c r="D188" s="16" t="n">
        <f aca="false">IF(B188=-1, -1, MOD(INT(B188/28),21))</f>
        <v>1</v>
      </c>
      <c r="E188" s="16" t="n">
        <f aca="false">IF(B188=-1, -1, VLOOKUP(MOD(B188,28), $T$24:$U$52,2))</f>
        <v>8</v>
      </c>
      <c r="F188" s="16" t="n">
        <f aca="false">IF($B188=-1, -1, VLOOKUP(C188,$T$1:$V$20, 2))</f>
        <v>8</v>
      </c>
      <c r="G188" s="16" t="n">
        <f aca="false">IF($B188=-1, -1, VLOOKUP(D188,$Y$1:$Z$22,2))</f>
        <v>18</v>
      </c>
      <c r="H188" s="16" t="str">
        <f aca="false">_xlfn.UNICHAR(((F188*21)+G188)*28+44032)</f>
        <v>쁘</v>
      </c>
      <c r="I188" s="16" t="n">
        <f aca="false">IF(B188=-1, 1, COUNTIF($A$2:$A$3000, H188))</f>
        <v>1</v>
      </c>
      <c r="J188" s="10" t="str">
        <f aca="false">_xlfn.CONCAT(A188, ",",H188,",",I188)</f>
        <v>깰,쁘,1</v>
      </c>
      <c r="K188" s="16" t="n">
        <f aca="false">IF(B188=-1,-1,VLOOKUP(C188,$T$1:$V$20,3))</f>
        <v>1</v>
      </c>
      <c r="L188" s="16" t="n">
        <f aca="false">IF(B188=-1,-1,VLOOKUP(D188,$Y$1:$AA$22,3))</f>
        <v>10</v>
      </c>
      <c r="N188" s="10" t="str">
        <f aca="false">_xlfn.UNICHAR(((C188*21)+G188)*28+44032)</f>
        <v>끄</v>
      </c>
      <c r="O188" s="10" t="str">
        <f aca="false">_xlfn.UNICHAR(((F188*21)+D188)*28+44032)</f>
        <v>빼</v>
      </c>
      <c r="P188" s="12" t="n">
        <f aca="false">COUNTIF($A$2:$A$3000, N188) + COUNTIF($A$2:$A$3000, O188)</f>
        <v>2</v>
      </c>
      <c r="Q188" s="16" t="str">
        <f aca="false">IF(OR(B188=-1,I188=0, P188&lt;&gt;2), "albhed_dummy", _xlfn.CONCAT("albhed ", RIGHT("  " &amp; K188,2),", ", RIGHT("  " &amp; L188,2), ", " ,"""",H188,""", ", """",N188,""", ","""",O188,""""," ; ", A188))</f>
        <v>albhed  1, 10, "쁘", "끄", "빼" ; 깰</v>
      </c>
    </row>
    <row r="189" customFormat="false" ht="17.9" hidden="false" customHeight="true" outlineLevel="0" collapsed="false">
      <c r="A189" s="16" t="s">
        <v>1068</v>
      </c>
      <c r="B189" s="16" t="n">
        <f aca="false">IF(_xlfn.UNICODE(A189)&lt;44032,-1,_xlfn.UNICODE(A189)-44032)</f>
        <v>632</v>
      </c>
      <c r="C189" s="16" t="n">
        <f aca="false">IF(B189=-1,-1,INT((B189/28)/21))</f>
        <v>1</v>
      </c>
      <c r="D189" s="16" t="n">
        <f aca="false">IF(B189=-1, -1, MOD(INT(B189/28),21))</f>
        <v>1</v>
      </c>
      <c r="E189" s="16" t="n">
        <f aca="false">IF(B189=-1, -1, VLOOKUP(MOD(B189,28), $T$24:$U$52,2))</f>
        <v>16</v>
      </c>
      <c r="F189" s="16" t="n">
        <f aca="false">IF($B189=-1, -1, VLOOKUP(C189,$T$1:$V$20, 2))</f>
        <v>8</v>
      </c>
      <c r="G189" s="16" t="n">
        <f aca="false">IF($B189=-1, -1, VLOOKUP(D189,$Y$1:$Z$22,2))</f>
        <v>18</v>
      </c>
      <c r="H189" s="16" t="str">
        <f aca="false">_xlfn.UNICHAR(((F189*21)+G189)*28+44032)</f>
        <v>쁘</v>
      </c>
      <c r="I189" s="16" t="n">
        <f aca="false">IF(B189=-1, 1, COUNTIF($A$2:$A$3000, H189))</f>
        <v>1</v>
      </c>
      <c r="J189" s="10" t="str">
        <f aca="false">_xlfn.CONCAT(A189, ",",H189,",",I189)</f>
        <v>깸,쁘,1</v>
      </c>
      <c r="K189" s="16" t="n">
        <f aca="false">IF(B189=-1,-1,VLOOKUP(C189,$T$1:$V$20,3))</f>
        <v>1</v>
      </c>
      <c r="L189" s="16" t="n">
        <f aca="false">IF(B189=-1,-1,VLOOKUP(D189,$Y$1:$AA$22,3))</f>
        <v>10</v>
      </c>
      <c r="N189" s="10" t="str">
        <f aca="false">_xlfn.UNICHAR(((C189*21)+G189)*28+44032)</f>
        <v>끄</v>
      </c>
      <c r="O189" s="10" t="str">
        <f aca="false">_xlfn.UNICHAR(((F189*21)+D189)*28+44032)</f>
        <v>빼</v>
      </c>
      <c r="P189" s="12" t="n">
        <f aca="false">COUNTIF($A$2:$A$3000, N189) + COUNTIF($A$2:$A$3000, O189)</f>
        <v>2</v>
      </c>
      <c r="Q189" s="16" t="str">
        <f aca="false">IF(OR(B189=-1,I189=0, P189&lt;&gt;2), "albhed_dummy", _xlfn.CONCAT("albhed ", RIGHT("  " &amp; K189,2),", ", RIGHT("  " &amp; L189,2), ", " ,"""",H189,""", ", """",N189,""", ","""",O189,""""," ; ", A189))</f>
        <v>albhed  1, 10, "쁘", "끄", "빼" ; 깸</v>
      </c>
    </row>
    <row r="190" customFormat="false" ht="17.9" hidden="false" customHeight="true" outlineLevel="0" collapsed="false">
      <c r="A190" s="16" t="s">
        <v>1069</v>
      </c>
      <c r="B190" s="16" t="n">
        <f aca="false">IF(_xlfn.UNICODE(A190)&lt;44032,-1,_xlfn.UNICODE(A190)-44032)</f>
        <v>633</v>
      </c>
      <c r="C190" s="16" t="n">
        <f aca="false">IF(B190=-1,-1,INT((B190/28)/21))</f>
        <v>1</v>
      </c>
      <c r="D190" s="16" t="n">
        <f aca="false">IF(B190=-1, -1, MOD(INT(B190/28),21))</f>
        <v>1</v>
      </c>
      <c r="E190" s="16" t="n">
        <f aca="false">IF(B190=-1, -1, VLOOKUP(MOD(B190,28), $T$24:$U$52,2))</f>
        <v>17</v>
      </c>
      <c r="F190" s="16" t="n">
        <f aca="false">IF($B190=-1, -1, VLOOKUP(C190,$T$1:$V$20, 2))</f>
        <v>8</v>
      </c>
      <c r="G190" s="16" t="n">
        <f aca="false">IF($B190=-1, -1, VLOOKUP(D190,$Y$1:$Z$22,2))</f>
        <v>18</v>
      </c>
      <c r="H190" s="16" t="str">
        <f aca="false">_xlfn.UNICHAR(((F190*21)+G190)*28+44032)</f>
        <v>쁘</v>
      </c>
      <c r="I190" s="16" t="n">
        <f aca="false">IF(B190=-1, 1, COUNTIF($A$2:$A$3000, H190))</f>
        <v>1</v>
      </c>
      <c r="J190" s="10" t="str">
        <f aca="false">_xlfn.CONCAT(A190, ",",H190,",",I190)</f>
        <v>깹,쁘,1</v>
      </c>
      <c r="K190" s="16" t="n">
        <f aca="false">IF(B190=-1,-1,VLOOKUP(C190,$T$1:$V$20,3))</f>
        <v>1</v>
      </c>
      <c r="L190" s="16" t="n">
        <f aca="false">IF(B190=-1,-1,VLOOKUP(D190,$Y$1:$AA$22,3))</f>
        <v>10</v>
      </c>
      <c r="N190" s="10" t="str">
        <f aca="false">_xlfn.UNICHAR(((C190*21)+G190)*28+44032)</f>
        <v>끄</v>
      </c>
      <c r="O190" s="10" t="str">
        <f aca="false">_xlfn.UNICHAR(((F190*21)+D190)*28+44032)</f>
        <v>빼</v>
      </c>
      <c r="P190" s="12" t="n">
        <f aca="false">COUNTIF($A$2:$A$3000, N190) + COUNTIF($A$2:$A$3000, O190)</f>
        <v>2</v>
      </c>
      <c r="Q190" s="16" t="str">
        <f aca="false">IF(OR(B190=-1,I190=0, P190&lt;&gt;2), "albhed_dummy", _xlfn.CONCAT("albhed ", RIGHT("  " &amp; K190,2),", ", RIGHT("  " &amp; L190,2), ", " ,"""",H190,""", ", """",N190,""", ","""",O190,""""," ; ", A190))</f>
        <v>albhed  1, 10, "쁘", "끄", "빼" ; 깹</v>
      </c>
    </row>
    <row r="191" customFormat="false" ht="17.9" hidden="false" customHeight="true" outlineLevel="0" collapsed="false">
      <c r="A191" s="16" t="s">
        <v>1070</v>
      </c>
      <c r="B191" s="16" t="n">
        <f aca="false">IF(_xlfn.UNICODE(A191)&lt;44032,-1,_xlfn.UNICODE(A191)-44032)</f>
        <v>635</v>
      </c>
      <c r="C191" s="16" t="n">
        <f aca="false">IF(B191=-1,-1,INT((B191/28)/21))</f>
        <v>1</v>
      </c>
      <c r="D191" s="16" t="n">
        <f aca="false">IF(B191=-1, -1, MOD(INT(B191/28),21))</f>
        <v>1</v>
      </c>
      <c r="E191" s="16" t="n">
        <f aca="false">IF(B191=-1, -1, VLOOKUP(MOD(B191,28), $T$24:$U$52,2))</f>
        <v>19</v>
      </c>
      <c r="F191" s="16" t="n">
        <f aca="false">IF($B191=-1, -1, VLOOKUP(C191,$T$1:$V$20, 2))</f>
        <v>8</v>
      </c>
      <c r="G191" s="16" t="n">
        <f aca="false">IF($B191=-1, -1, VLOOKUP(D191,$Y$1:$Z$22,2))</f>
        <v>18</v>
      </c>
      <c r="H191" s="16" t="str">
        <f aca="false">_xlfn.UNICHAR(((F191*21)+G191)*28+44032)</f>
        <v>쁘</v>
      </c>
      <c r="I191" s="16" t="n">
        <f aca="false">IF(B191=-1, 1, COUNTIF($A$2:$A$3000, H191))</f>
        <v>1</v>
      </c>
      <c r="J191" s="10" t="str">
        <f aca="false">_xlfn.CONCAT(A191, ",",H191,",",I191)</f>
        <v>깻,쁘,1</v>
      </c>
      <c r="K191" s="16" t="n">
        <f aca="false">IF(B191=-1,-1,VLOOKUP(C191,$T$1:$V$20,3))</f>
        <v>1</v>
      </c>
      <c r="L191" s="16" t="n">
        <f aca="false">IF(B191=-1,-1,VLOOKUP(D191,$Y$1:$AA$22,3))</f>
        <v>10</v>
      </c>
      <c r="N191" s="10" t="str">
        <f aca="false">_xlfn.UNICHAR(((C191*21)+G191)*28+44032)</f>
        <v>끄</v>
      </c>
      <c r="O191" s="10" t="str">
        <f aca="false">_xlfn.UNICHAR(((F191*21)+D191)*28+44032)</f>
        <v>빼</v>
      </c>
      <c r="P191" s="12" t="n">
        <f aca="false">COUNTIF($A$2:$A$3000, N191) + COUNTIF($A$2:$A$3000, O191)</f>
        <v>2</v>
      </c>
      <c r="Q191" s="16" t="str">
        <f aca="false">IF(OR(B191=-1,I191=0, P191&lt;&gt;2), "albhed_dummy", _xlfn.CONCAT("albhed ", RIGHT("  " &amp; K191,2),", ", RIGHT("  " &amp; L191,2), ", " ,"""",H191,""", ", """",N191,""", ","""",O191,""""," ; ", A191))</f>
        <v>albhed  1, 10, "쁘", "끄", "빼" ; 깻</v>
      </c>
    </row>
    <row r="192" customFormat="false" ht="17.9" hidden="false" customHeight="true" outlineLevel="0" collapsed="false">
      <c r="A192" s="16" t="s">
        <v>1071</v>
      </c>
      <c r="B192" s="16" t="n">
        <f aca="false">IF(_xlfn.UNICODE(A192)&lt;44032,-1,_xlfn.UNICODE(A192)-44032)</f>
        <v>636</v>
      </c>
      <c r="C192" s="16" t="n">
        <f aca="false">IF(B192=-1,-1,INT((B192/28)/21))</f>
        <v>1</v>
      </c>
      <c r="D192" s="16" t="n">
        <f aca="false">IF(B192=-1, -1, MOD(INT(B192/28),21))</f>
        <v>1</v>
      </c>
      <c r="E192" s="16" t="n">
        <f aca="false">IF(B192=-1, -1, VLOOKUP(MOD(B192,28), $T$24:$U$52,2))</f>
        <v>19</v>
      </c>
      <c r="F192" s="16" t="n">
        <f aca="false">IF($B192=-1, -1, VLOOKUP(C192,$T$1:$V$20, 2))</f>
        <v>8</v>
      </c>
      <c r="G192" s="16" t="n">
        <f aca="false">IF($B192=-1, -1, VLOOKUP(D192,$Y$1:$Z$22,2))</f>
        <v>18</v>
      </c>
      <c r="H192" s="16" t="str">
        <f aca="false">_xlfn.UNICHAR(((F192*21)+G192)*28+44032)</f>
        <v>쁘</v>
      </c>
      <c r="I192" s="16" t="n">
        <f aca="false">IF(B192=-1, 1, COUNTIF($A$2:$A$3000, H192))</f>
        <v>1</v>
      </c>
      <c r="J192" s="10" t="str">
        <f aca="false">_xlfn.CONCAT(A192, ",",H192,",",I192)</f>
        <v>깼,쁘,1</v>
      </c>
      <c r="K192" s="16" t="n">
        <f aca="false">IF(B192=-1,-1,VLOOKUP(C192,$T$1:$V$20,3))</f>
        <v>1</v>
      </c>
      <c r="L192" s="16" t="n">
        <f aca="false">IF(B192=-1,-1,VLOOKUP(D192,$Y$1:$AA$22,3))</f>
        <v>10</v>
      </c>
      <c r="N192" s="10" t="str">
        <f aca="false">_xlfn.UNICHAR(((C192*21)+G192)*28+44032)</f>
        <v>끄</v>
      </c>
      <c r="O192" s="10" t="str">
        <f aca="false">_xlfn.UNICHAR(((F192*21)+D192)*28+44032)</f>
        <v>빼</v>
      </c>
      <c r="P192" s="12" t="n">
        <f aca="false">COUNTIF($A$2:$A$3000, N192) + COUNTIF($A$2:$A$3000, O192)</f>
        <v>2</v>
      </c>
      <c r="Q192" s="16" t="str">
        <f aca="false">IF(OR(B192=-1,I192=0, P192&lt;&gt;2), "albhed_dummy", _xlfn.CONCAT("albhed ", RIGHT("  " &amp; K192,2),", ", RIGHT("  " &amp; L192,2), ", " ,"""",H192,""", ", """",N192,""", ","""",O192,""""," ; ", A192))</f>
        <v>albhed  1, 10, "쁘", "끄", "빼" ; 깼</v>
      </c>
    </row>
    <row r="193" customFormat="false" ht="17.9" hidden="false" customHeight="true" outlineLevel="0" collapsed="false">
      <c r="A193" s="16" t="s">
        <v>1072</v>
      </c>
      <c r="B193" s="16" t="n">
        <f aca="false">IF(_xlfn.UNICODE(A193)&lt;44032,-1,_xlfn.UNICODE(A193)-44032)</f>
        <v>637</v>
      </c>
      <c r="C193" s="16" t="n">
        <f aca="false">IF(B193=-1,-1,INT((B193/28)/21))</f>
        <v>1</v>
      </c>
      <c r="D193" s="16" t="n">
        <f aca="false">IF(B193=-1, -1, MOD(INT(B193/28),21))</f>
        <v>1</v>
      </c>
      <c r="E193" s="16" t="n">
        <f aca="false">IF(B193=-1, -1, VLOOKUP(MOD(B193,28), $T$24:$U$52,2))</f>
        <v>21</v>
      </c>
      <c r="F193" s="16" t="n">
        <f aca="false">IF($B193=-1, -1, VLOOKUP(C193,$T$1:$V$20, 2))</f>
        <v>8</v>
      </c>
      <c r="G193" s="16" t="n">
        <f aca="false">IF($B193=-1, -1, VLOOKUP(D193,$Y$1:$Z$22,2))</f>
        <v>18</v>
      </c>
      <c r="H193" s="16" t="str">
        <f aca="false">_xlfn.UNICHAR(((F193*21)+G193)*28+44032)</f>
        <v>쁘</v>
      </c>
      <c r="I193" s="16" t="n">
        <f aca="false">IF(B193=-1, 1, COUNTIF($A$2:$A$3000, H193))</f>
        <v>1</v>
      </c>
      <c r="J193" s="10" t="str">
        <f aca="false">_xlfn.CONCAT(A193, ",",H193,",",I193)</f>
        <v>깽,쁘,1</v>
      </c>
      <c r="K193" s="16" t="n">
        <f aca="false">IF(B193=-1,-1,VLOOKUP(C193,$T$1:$V$20,3))</f>
        <v>1</v>
      </c>
      <c r="L193" s="16" t="n">
        <f aca="false">IF(B193=-1,-1,VLOOKUP(D193,$Y$1:$AA$22,3))</f>
        <v>10</v>
      </c>
      <c r="N193" s="10" t="str">
        <f aca="false">_xlfn.UNICHAR(((C193*21)+G193)*28+44032)</f>
        <v>끄</v>
      </c>
      <c r="O193" s="10" t="str">
        <f aca="false">_xlfn.UNICHAR(((F193*21)+D193)*28+44032)</f>
        <v>빼</v>
      </c>
      <c r="P193" s="12" t="n">
        <f aca="false">COUNTIF($A$2:$A$3000, N193) + COUNTIF($A$2:$A$3000, O193)</f>
        <v>2</v>
      </c>
      <c r="Q193" s="16" t="str">
        <f aca="false">IF(OR(B193=-1,I193=0, P193&lt;&gt;2), "albhed_dummy", _xlfn.CONCAT("albhed ", RIGHT("  " &amp; K193,2),", ", RIGHT("  " &amp; L193,2), ", " ,"""",H193,""", ", """",N193,""", ","""",O193,""""," ; ", A193))</f>
        <v>albhed  1, 10, "쁘", "끄", "빼" ; 깽</v>
      </c>
    </row>
    <row r="194" customFormat="false" ht="17.9" hidden="false" customHeight="true" outlineLevel="0" collapsed="false">
      <c r="A194" s="16" t="s">
        <v>1073</v>
      </c>
      <c r="B194" s="16" t="n">
        <f aca="false">IF(_xlfn.UNICODE(A194)&lt;44032,-1,_xlfn.UNICODE(A194)-44032)</f>
        <v>644</v>
      </c>
      <c r="C194" s="16" t="n">
        <f aca="false">IF(B194=-1,-1,INT((B194/28)/21))</f>
        <v>1</v>
      </c>
      <c r="D194" s="16" t="n">
        <f aca="false">IF(B194=-1, -1, MOD(INT(B194/28),21))</f>
        <v>2</v>
      </c>
      <c r="E194" s="16" t="n">
        <f aca="false">IF(B194=-1, -1, VLOOKUP(MOD(B194,28), $T$24:$U$52,2))</f>
        <v>0</v>
      </c>
      <c r="F194" s="16" t="n">
        <f aca="false">IF($B194=-1, -1, VLOOKUP(C194,$T$1:$V$20, 2))</f>
        <v>8</v>
      </c>
      <c r="G194" s="16" t="n">
        <f aca="false">IF($B194=-1, -1, VLOOKUP(D194,$Y$1:$Z$22,2))</f>
        <v>17</v>
      </c>
      <c r="H194" s="16" t="str">
        <f aca="false">_xlfn.UNICHAR(((F194*21)+G194)*28+44032)</f>
        <v>쀼</v>
      </c>
      <c r="I194" s="16" t="n">
        <f aca="false">IF(B194=-1, 1, COUNTIF($A$2:$A$3000, H194))</f>
        <v>1</v>
      </c>
      <c r="J194" s="10" t="str">
        <f aca="false">_xlfn.CONCAT(A194, ",",H194,",",I194)</f>
        <v>꺄,쀼,1</v>
      </c>
      <c r="K194" s="16" t="n">
        <f aca="false">IF(B194=-1,-1,VLOOKUP(C194,$T$1:$V$20,3))</f>
        <v>1</v>
      </c>
      <c r="L194" s="16" t="n">
        <f aca="false">IF(B194=-1,-1,VLOOKUP(D194,$Y$1:$AA$22,3))</f>
        <v>2</v>
      </c>
      <c r="N194" s="10" t="str">
        <f aca="false">_xlfn.UNICHAR(((C194*21)+G194)*28+44032)</f>
        <v>뀨</v>
      </c>
      <c r="O194" s="10" t="str">
        <f aca="false">_xlfn.UNICHAR(((F194*21)+D194)*28+44032)</f>
        <v>뺘</v>
      </c>
      <c r="P194" s="12" t="n">
        <f aca="false">COUNTIF($A$2:$A$3000, N194) + COUNTIF($A$2:$A$3000, O194)</f>
        <v>2</v>
      </c>
      <c r="Q194" s="16" t="str">
        <f aca="false">IF(OR(B194=-1,I194=0, P194&lt;&gt;2), "albhed_dummy", _xlfn.CONCAT("albhed ", RIGHT("  " &amp; K194,2),", ", RIGHT("  " &amp; L194,2), ", " ,"""",H194,""", ", """",N194,""", ","""",O194,""""," ; ", A194))</f>
        <v>albhed  1,  2, "쀼", "뀨", "뺘" ; 꺄</v>
      </c>
    </row>
    <row r="195" customFormat="false" ht="17.9" hidden="false" customHeight="true" outlineLevel="0" collapsed="false">
      <c r="A195" s="16" t="s">
        <v>1074</v>
      </c>
      <c r="B195" s="16" t="n">
        <f aca="false">IF(_xlfn.UNICODE(A195)&lt;44032,-1,_xlfn.UNICODE(A195)-44032)</f>
        <v>645</v>
      </c>
      <c r="C195" s="16" t="n">
        <f aca="false">IF(B195=-1,-1,INT((B195/28)/21))</f>
        <v>1</v>
      </c>
      <c r="D195" s="16" t="n">
        <f aca="false">IF(B195=-1, -1, MOD(INT(B195/28),21))</f>
        <v>2</v>
      </c>
      <c r="E195" s="16" t="n">
        <f aca="false">IF(B195=-1, -1, VLOOKUP(MOD(B195,28), $T$24:$U$52,2))</f>
        <v>1</v>
      </c>
      <c r="F195" s="16" t="n">
        <f aca="false">IF($B195=-1, -1, VLOOKUP(C195,$T$1:$V$20, 2))</f>
        <v>8</v>
      </c>
      <c r="G195" s="16" t="n">
        <f aca="false">IF($B195=-1, -1, VLOOKUP(D195,$Y$1:$Z$22,2))</f>
        <v>17</v>
      </c>
      <c r="H195" s="16" t="str">
        <f aca="false">_xlfn.UNICHAR(((F195*21)+G195)*28+44032)</f>
        <v>쀼</v>
      </c>
      <c r="I195" s="16" t="n">
        <f aca="false">IF(B195=-1, 1, COUNTIF($A$2:$A$3000, H195))</f>
        <v>1</v>
      </c>
      <c r="J195" s="10" t="str">
        <f aca="false">_xlfn.CONCAT(A195, ",",H195,",",I195)</f>
        <v>꺅,쀼,1</v>
      </c>
      <c r="K195" s="16" t="n">
        <f aca="false">IF(B195=-1,-1,VLOOKUP(C195,$T$1:$V$20,3))</f>
        <v>1</v>
      </c>
      <c r="L195" s="16" t="n">
        <f aca="false">IF(B195=-1,-1,VLOOKUP(D195,$Y$1:$AA$22,3))</f>
        <v>2</v>
      </c>
      <c r="N195" s="10" t="str">
        <f aca="false">_xlfn.UNICHAR(((C195*21)+G195)*28+44032)</f>
        <v>뀨</v>
      </c>
      <c r="O195" s="10" t="str">
        <f aca="false">_xlfn.UNICHAR(((F195*21)+D195)*28+44032)</f>
        <v>뺘</v>
      </c>
      <c r="P195" s="12" t="n">
        <f aca="false">COUNTIF($A$2:$A$3000, N195) + COUNTIF($A$2:$A$3000, O195)</f>
        <v>2</v>
      </c>
      <c r="Q195" s="16" t="str">
        <f aca="false">IF(OR(B195=-1,I195=0, P195&lt;&gt;2), "albhed_dummy", _xlfn.CONCAT("albhed ", RIGHT("  " &amp; K195,2),", ", RIGHT("  " &amp; L195,2), ", " ,"""",H195,""", ", """",N195,""", ","""",O195,""""," ; ", A195))</f>
        <v>albhed  1,  2, "쀼", "뀨", "뺘" ; 꺅</v>
      </c>
    </row>
    <row r="196" customFormat="false" ht="17.9" hidden="false" customHeight="true" outlineLevel="0" collapsed="false">
      <c r="A196" s="16" t="s">
        <v>1075</v>
      </c>
      <c r="B196" s="16" t="n">
        <f aca="false">IF(_xlfn.UNICODE(A196)&lt;44032,-1,_xlfn.UNICODE(A196)-44032)</f>
        <v>652</v>
      </c>
      <c r="C196" s="16" t="n">
        <f aca="false">IF(B196=-1,-1,INT((B196/28)/21))</f>
        <v>1</v>
      </c>
      <c r="D196" s="16" t="n">
        <f aca="false">IF(B196=-1, -1, MOD(INT(B196/28),21))</f>
        <v>2</v>
      </c>
      <c r="E196" s="16" t="n">
        <f aca="false">IF(B196=-1, -1, VLOOKUP(MOD(B196,28), $T$24:$U$52,2))</f>
        <v>8</v>
      </c>
      <c r="F196" s="16" t="n">
        <f aca="false">IF($B196=-1, -1, VLOOKUP(C196,$T$1:$V$20, 2))</f>
        <v>8</v>
      </c>
      <c r="G196" s="16" t="n">
        <f aca="false">IF($B196=-1, -1, VLOOKUP(D196,$Y$1:$Z$22,2))</f>
        <v>17</v>
      </c>
      <c r="H196" s="16" t="str">
        <f aca="false">_xlfn.UNICHAR(((F196*21)+G196)*28+44032)</f>
        <v>쀼</v>
      </c>
      <c r="I196" s="16" t="n">
        <f aca="false">IF(B196=-1, 1, COUNTIF($A$2:$A$3000, H196))</f>
        <v>1</v>
      </c>
      <c r="J196" s="10" t="str">
        <f aca="false">_xlfn.CONCAT(A196, ",",H196,",",I196)</f>
        <v>꺌,쀼,1</v>
      </c>
      <c r="K196" s="16" t="n">
        <f aca="false">IF(B196=-1,-1,VLOOKUP(C196,$T$1:$V$20,3))</f>
        <v>1</v>
      </c>
      <c r="L196" s="16" t="n">
        <f aca="false">IF(B196=-1,-1,VLOOKUP(D196,$Y$1:$AA$22,3))</f>
        <v>2</v>
      </c>
      <c r="N196" s="10" t="str">
        <f aca="false">_xlfn.UNICHAR(((C196*21)+G196)*28+44032)</f>
        <v>뀨</v>
      </c>
      <c r="O196" s="10" t="str">
        <f aca="false">_xlfn.UNICHAR(((F196*21)+D196)*28+44032)</f>
        <v>뺘</v>
      </c>
      <c r="P196" s="12" t="n">
        <f aca="false">COUNTIF($A$2:$A$3000, N196) + COUNTIF($A$2:$A$3000, O196)</f>
        <v>2</v>
      </c>
      <c r="Q196" s="16" t="str">
        <f aca="false">IF(OR(B196=-1,I196=0, P196&lt;&gt;2), "albhed_dummy", _xlfn.CONCAT("albhed ", RIGHT("  " &amp; K196,2),", ", RIGHT("  " &amp; L196,2), ", " ,"""",H196,""", ", """",N196,""", ","""",O196,""""," ; ", A196))</f>
        <v>albhed  1,  2, "쀼", "뀨", "뺘" ; 꺌</v>
      </c>
    </row>
    <row r="197" customFormat="false" ht="17.9" hidden="false" customHeight="true" outlineLevel="0" collapsed="false">
      <c r="A197" s="16" t="s">
        <v>1076</v>
      </c>
      <c r="B197" s="16" t="n">
        <f aca="false">IF(_xlfn.UNICODE(A197)&lt;44032,-1,_xlfn.UNICODE(A197)-44032)</f>
        <v>700</v>
      </c>
      <c r="C197" s="16" t="n">
        <f aca="false">IF(B197=-1,-1,INT((B197/28)/21))</f>
        <v>1</v>
      </c>
      <c r="D197" s="16" t="n">
        <f aca="false">IF(B197=-1, -1, MOD(INT(B197/28),21))</f>
        <v>4</v>
      </c>
      <c r="E197" s="16" t="n">
        <f aca="false">IF(B197=-1, -1, VLOOKUP(MOD(B197,28), $T$24:$U$52,2))</f>
        <v>0</v>
      </c>
      <c r="F197" s="16" t="n">
        <f aca="false">IF($B197=-1, -1, VLOOKUP(C197,$T$1:$V$20, 2))</f>
        <v>8</v>
      </c>
      <c r="G197" s="16" t="n">
        <f aca="false">IF($B197=-1, -1, VLOOKUP(D197,$Y$1:$Z$22,2))</f>
        <v>8</v>
      </c>
      <c r="H197" s="16" t="str">
        <f aca="false">_xlfn.UNICHAR(((F197*21)+G197)*28+44032)</f>
        <v>뽀</v>
      </c>
      <c r="I197" s="16" t="n">
        <f aca="false">IF(B197=-1, 1, COUNTIF($A$2:$A$3000, H197))</f>
        <v>1</v>
      </c>
      <c r="J197" s="10" t="str">
        <f aca="false">_xlfn.CONCAT(A197, ",",H197,",",I197)</f>
        <v>꺼,뽀,1</v>
      </c>
      <c r="K197" s="16" t="n">
        <f aca="false">IF(B197=-1,-1,VLOOKUP(C197,$T$1:$V$20,3))</f>
        <v>1</v>
      </c>
      <c r="L197" s="16" t="n">
        <f aca="false">IF(B197=-1,-1,VLOOKUP(D197,$Y$1:$AA$22,3))</f>
        <v>4</v>
      </c>
      <c r="N197" s="10" t="str">
        <f aca="false">_xlfn.UNICHAR(((C197*21)+G197)*28+44032)</f>
        <v>꼬</v>
      </c>
      <c r="O197" s="10" t="str">
        <f aca="false">_xlfn.UNICHAR(((F197*21)+D197)*28+44032)</f>
        <v>뻐</v>
      </c>
      <c r="P197" s="12" t="n">
        <f aca="false">COUNTIF($A$2:$A$3000, N197) + COUNTIF($A$2:$A$3000, O197)</f>
        <v>2</v>
      </c>
      <c r="Q197" s="16" t="str">
        <f aca="false">IF(OR(B197=-1,I197=0, P197&lt;&gt;2), "albhed_dummy", _xlfn.CONCAT("albhed ", RIGHT("  " &amp; K197,2),", ", RIGHT("  " &amp; L197,2), ", " ,"""",H197,""", ", """",N197,""", ","""",O197,""""," ; ", A197))</f>
        <v>albhed  1,  4, "뽀", "꼬", "뻐" ; 꺼</v>
      </c>
    </row>
    <row r="198" customFormat="false" ht="17.9" hidden="false" customHeight="true" outlineLevel="0" collapsed="false">
      <c r="A198" s="16" t="s">
        <v>1077</v>
      </c>
      <c r="B198" s="16" t="n">
        <f aca="false">IF(_xlfn.UNICODE(A198)&lt;44032,-1,_xlfn.UNICODE(A198)-44032)</f>
        <v>701</v>
      </c>
      <c r="C198" s="16" t="n">
        <f aca="false">IF(B198=-1,-1,INT((B198/28)/21))</f>
        <v>1</v>
      </c>
      <c r="D198" s="16" t="n">
        <f aca="false">IF(B198=-1, -1, MOD(INT(B198/28),21))</f>
        <v>4</v>
      </c>
      <c r="E198" s="16" t="n">
        <f aca="false">IF(B198=-1, -1, VLOOKUP(MOD(B198,28), $T$24:$U$52,2))</f>
        <v>1</v>
      </c>
      <c r="F198" s="16" t="n">
        <f aca="false">IF($B198=-1, -1, VLOOKUP(C198,$T$1:$V$20, 2))</f>
        <v>8</v>
      </c>
      <c r="G198" s="16" t="n">
        <f aca="false">IF($B198=-1, -1, VLOOKUP(D198,$Y$1:$Z$22,2))</f>
        <v>8</v>
      </c>
      <c r="H198" s="16" t="str">
        <f aca="false">_xlfn.UNICHAR(((F198*21)+G198)*28+44032)</f>
        <v>뽀</v>
      </c>
      <c r="I198" s="16" t="n">
        <f aca="false">IF(B198=-1, 1, COUNTIF($A$2:$A$3000, H198))</f>
        <v>1</v>
      </c>
      <c r="J198" s="10" t="str">
        <f aca="false">_xlfn.CONCAT(A198, ",",H198,",",I198)</f>
        <v>꺽,뽀,1</v>
      </c>
      <c r="K198" s="16" t="n">
        <f aca="false">IF(B198=-1,-1,VLOOKUP(C198,$T$1:$V$20,3))</f>
        <v>1</v>
      </c>
      <c r="L198" s="16" t="n">
        <f aca="false">IF(B198=-1,-1,VLOOKUP(D198,$Y$1:$AA$22,3))</f>
        <v>4</v>
      </c>
      <c r="N198" s="10" t="str">
        <f aca="false">_xlfn.UNICHAR(((C198*21)+G198)*28+44032)</f>
        <v>꼬</v>
      </c>
      <c r="O198" s="10" t="str">
        <f aca="false">_xlfn.UNICHAR(((F198*21)+D198)*28+44032)</f>
        <v>뻐</v>
      </c>
      <c r="P198" s="12" t="n">
        <f aca="false">COUNTIF($A$2:$A$3000, N198) + COUNTIF($A$2:$A$3000, O198)</f>
        <v>2</v>
      </c>
      <c r="Q198" s="16" t="str">
        <f aca="false">IF(OR(B198=-1,I198=0, P198&lt;&gt;2), "albhed_dummy", _xlfn.CONCAT("albhed ", RIGHT("  " &amp; K198,2),", ", RIGHT("  " &amp; L198,2), ", " ,"""",H198,""", ", """",N198,""", ","""",O198,""""," ; ", A198))</f>
        <v>albhed  1,  4, "뽀", "꼬", "뻐" ; 꺽</v>
      </c>
    </row>
    <row r="199" customFormat="false" ht="17.9" hidden="false" customHeight="true" outlineLevel="0" collapsed="false">
      <c r="A199" s="16" t="s">
        <v>1078</v>
      </c>
      <c r="B199" s="16" t="n">
        <f aca="false">IF(_xlfn.UNICODE(A199)&lt;44032,-1,_xlfn.UNICODE(A199)-44032)</f>
        <v>702</v>
      </c>
      <c r="C199" s="16" t="n">
        <f aca="false">IF(B199=-1,-1,INT((B199/28)/21))</f>
        <v>1</v>
      </c>
      <c r="D199" s="16" t="n">
        <f aca="false">IF(B199=-1, -1, MOD(INT(B199/28),21))</f>
        <v>4</v>
      </c>
      <c r="E199" s="16" t="n">
        <f aca="false">IF(B199=-1, -1, VLOOKUP(MOD(B199,28), $T$24:$U$52,2))</f>
        <v>1</v>
      </c>
      <c r="F199" s="16" t="n">
        <f aca="false">IF($B199=-1, -1, VLOOKUP(C199,$T$1:$V$20, 2))</f>
        <v>8</v>
      </c>
      <c r="G199" s="16" t="n">
        <f aca="false">IF($B199=-1, -1, VLOOKUP(D199,$Y$1:$Z$22,2))</f>
        <v>8</v>
      </c>
      <c r="H199" s="16" t="str">
        <f aca="false">_xlfn.UNICHAR(((F199*21)+G199)*28+44032)</f>
        <v>뽀</v>
      </c>
      <c r="I199" s="16" t="n">
        <f aca="false">IF(B199=-1, 1, COUNTIF($A$2:$A$3000, H199))</f>
        <v>1</v>
      </c>
      <c r="J199" s="10" t="str">
        <f aca="false">_xlfn.CONCAT(A199, ",",H199,",",I199)</f>
        <v>꺾,뽀,1</v>
      </c>
      <c r="K199" s="16" t="n">
        <f aca="false">IF(B199=-1,-1,VLOOKUP(C199,$T$1:$V$20,3))</f>
        <v>1</v>
      </c>
      <c r="L199" s="16" t="n">
        <f aca="false">IF(B199=-1,-1,VLOOKUP(D199,$Y$1:$AA$22,3))</f>
        <v>4</v>
      </c>
      <c r="N199" s="10" t="str">
        <f aca="false">_xlfn.UNICHAR(((C199*21)+G199)*28+44032)</f>
        <v>꼬</v>
      </c>
      <c r="O199" s="10" t="str">
        <f aca="false">_xlfn.UNICHAR(((F199*21)+D199)*28+44032)</f>
        <v>뻐</v>
      </c>
      <c r="P199" s="12" t="n">
        <f aca="false">COUNTIF($A$2:$A$3000, N199) + COUNTIF($A$2:$A$3000, O199)</f>
        <v>2</v>
      </c>
      <c r="Q199" s="16" t="str">
        <f aca="false">IF(OR(B199=-1,I199=0, P199&lt;&gt;2), "albhed_dummy", _xlfn.CONCAT("albhed ", RIGHT("  " &amp; K199,2),", ", RIGHT("  " &amp; L199,2), ", " ,"""",H199,""", ", """",N199,""", ","""",O199,""""," ; ", A199))</f>
        <v>albhed  1,  4, "뽀", "꼬", "뻐" ; 꺾</v>
      </c>
    </row>
    <row r="200" customFormat="false" ht="17.9" hidden="false" customHeight="true" outlineLevel="0" collapsed="false">
      <c r="A200" s="16" t="s">
        <v>1079</v>
      </c>
      <c r="B200" s="16" t="n">
        <f aca="false">IF(_xlfn.UNICODE(A200)&lt;44032,-1,_xlfn.UNICODE(A200)-44032)</f>
        <v>704</v>
      </c>
      <c r="C200" s="16" t="n">
        <f aca="false">IF(B200=-1,-1,INT((B200/28)/21))</f>
        <v>1</v>
      </c>
      <c r="D200" s="16" t="n">
        <f aca="false">IF(B200=-1, -1, MOD(INT(B200/28),21))</f>
        <v>4</v>
      </c>
      <c r="E200" s="16" t="n">
        <f aca="false">IF(B200=-1, -1, VLOOKUP(MOD(B200,28), $T$24:$U$52,2))</f>
        <v>4</v>
      </c>
      <c r="F200" s="16" t="n">
        <f aca="false">IF($B200=-1, -1, VLOOKUP(C200,$T$1:$V$20, 2))</f>
        <v>8</v>
      </c>
      <c r="G200" s="16" t="n">
        <f aca="false">IF($B200=-1, -1, VLOOKUP(D200,$Y$1:$Z$22,2))</f>
        <v>8</v>
      </c>
      <c r="H200" s="16" t="str">
        <f aca="false">_xlfn.UNICHAR(((F200*21)+G200)*28+44032)</f>
        <v>뽀</v>
      </c>
      <c r="I200" s="16" t="n">
        <f aca="false">IF(B200=-1, 1, COUNTIF($A$2:$A$3000, H200))</f>
        <v>1</v>
      </c>
      <c r="J200" s="10" t="str">
        <f aca="false">_xlfn.CONCAT(A200, ",",H200,",",I200)</f>
        <v>껀,뽀,1</v>
      </c>
      <c r="K200" s="16" t="n">
        <f aca="false">IF(B200=-1,-1,VLOOKUP(C200,$T$1:$V$20,3))</f>
        <v>1</v>
      </c>
      <c r="L200" s="16" t="n">
        <f aca="false">IF(B200=-1,-1,VLOOKUP(D200,$Y$1:$AA$22,3))</f>
        <v>4</v>
      </c>
      <c r="N200" s="10" t="str">
        <f aca="false">_xlfn.UNICHAR(((C200*21)+G200)*28+44032)</f>
        <v>꼬</v>
      </c>
      <c r="O200" s="10" t="str">
        <f aca="false">_xlfn.UNICHAR(((F200*21)+D200)*28+44032)</f>
        <v>뻐</v>
      </c>
      <c r="P200" s="12" t="n">
        <f aca="false">COUNTIF($A$2:$A$3000, N200) + COUNTIF($A$2:$A$3000, O200)</f>
        <v>2</v>
      </c>
      <c r="Q200" s="16" t="str">
        <f aca="false">IF(OR(B200=-1,I200=0, P200&lt;&gt;2), "albhed_dummy", _xlfn.CONCAT("albhed ", RIGHT("  " &amp; K200,2),", ", RIGHT("  " &amp; L200,2), ", " ,"""",H200,""", ", """",N200,""", ","""",O200,""""," ; ", A200))</f>
        <v>albhed  1,  4, "뽀", "꼬", "뻐" ; 껀</v>
      </c>
    </row>
    <row r="201" customFormat="false" ht="17.9" hidden="false" customHeight="true" outlineLevel="0" collapsed="false">
      <c r="A201" s="16" t="s">
        <v>1080</v>
      </c>
      <c r="B201" s="16" t="n">
        <f aca="false">IF(_xlfn.UNICODE(A201)&lt;44032,-1,_xlfn.UNICODE(A201)-44032)</f>
        <v>708</v>
      </c>
      <c r="C201" s="16" t="n">
        <f aca="false">IF(B201=-1,-1,INT((B201/28)/21))</f>
        <v>1</v>
      </c>
      <c r="D201" s="16" t="n">
        <f aca="false">IF(B201=-1, -1, MOD(INT(B201/28),21))</f>
        <v>4</v>
      </c>
      <c r="E201" s="16" t="n">
        <f aca="false">IF(B201=-1, -1, VLOOKUP(MOD(B201,28), $T$24:$U$52,2))</f>
        <v>8</v>
      </c>
      <c r="F201" s="16" t="n">
        <f aca="false">IF($B201=-1, -1, VLOOKUP(C201,$T$1:$V$20, 2))</f>
        <v>8</v>
      </c>
      <c r="G201" s="16" t="n">
        <f aca="false">IF($B201=-1, -1, VLOOKUP(D201,$Y$1:$Z$22,2))</f>
        <v>8</v>
      </c>
      <c r="H201" s="16" t="str">
        <f aca="false">_xlfn.UNICHAR(((F201*21)+G201)*28+44032)</f>
        <v>뽀</v>
      </c>
      <c r="I201" s="16" t="n">
        <f aca="false">IF(B201=-1, 1, COUNTIF($A$2:$A$3000, H201))</f>
        <v>1</v>
      </c>
      <c r="J201" s="10" t="str">
        <f aca="false">_xlfn.CONCAT(A201, ",",H201,",",I201)</f>
        <v>껄,뽀,1</v>
      </c>
      <c r="K201" s="16" t="n">
        <f aca="false">IF(B201=-1,-1,VLOOKUP(C201,$T$1:$V$20,3))</f>
        <v>1</v>
      </c>
      <c r="L201" s="16" t="n">
        <f aca="false">IF(B201=-1,-1,VLOOKUP(D201,$Y$1:$AA$22,3))</f>
        <v>4</v>
      </c>
      <c r="N201" s="10" t="str">
        <f aca="false">_xlfn.UNICHAR(((C201*21)+G201)*28+44032)</f>
        <v>꼬</v>
      </c>
      <c r="O201" s="10" t="str">
        <f aca="false">_xlfn.UNICHAR(((F201*21)+D201)*28+44032)</f>
        <v>뻐</v>
      </c>
      <c r="P201" s="12" t="n">
        <f aca="false">COUNTIF($A$2:$A$3000, N201) + COUNTIF($A$2:$A$3000, O201)</f>
        <v>2</v>
      </c>
      <c r="Q201" s="16" t="str">
        <f aca="false">IF(OR(B201=-1,I201=0, P201&lt;&gt;2), "albhed_dummy", _xlfn.CONCAT("albhed ", RIGHT("  " &amp; K201,2),", ", RIGHT("  " &amp; L201,2), ", " ,"""",H201,""", ", """",N201,""", ","""",O201,""""," ; ", A201))</f>
        <v>albhed  1,  4, "뽀", "꼬", "뻐" ; 껄</v>
      </c>
    </row>
    <row r="202" customFormat="false" ht="17.9" hidden="false" customHeight="true" outlineLevel="0" collapsed="false">
      <c r="A202" s="16" t="s">
        <v>1081</v>
      </c>
      <c r="B202" s="16" t="n">
        <f aca="false">IF(_xlfn.UNICODE(A202)&lt;44032,-1,_xlfn.UNICODE(A202)-44032)</f>
        <v>716</v>
      </c>
      <c r="C202" s="16" t="n">
        <f aca="false">IF(B202=-1,-1,INT((B202/28)/21))</f>
        <v>1</v>
      </c>
      <c r="D202" s="16" t="n">
        <f aca="false">IF(B202=-1, -1, MOD(INT(B202/28),21))</f>
        <v>4</v>
      </c>
      <c r="E202" s="16" t="n">
        <f aca="false">IF(B202=-1, -1, VLOOKUP(MOD(B202,28), $T$24:$U$52,2))</f>
        <v>16</v>
      </c>
      <c r="F202" s="16" t="n">
        <f aca="false">IF($B202=-1, -1, VLOOKUP(C202,$T$1:$V$20, 2))</f>
        <v>8</v>
      </c>
      <c r="G202" s="16" t="n">
        <f aca="false">IF($B202=-1, -1, VLOOKUP(D202,$Y$1:$Z$22,2))</f>
        <v>8</v>
      </c>
      <c r="H202" s="16" t="str">
        <f aca="false">_xlfn.UNICHAR(((F202*21)+G202)*28+44032)</f>
        <v>뽀</v>
      </c>
      <c r="I202" s="16" t="n">
        <f aca="false">IF(B202=-1, 1, COUNTIF($A$2:$A$3000, H202))</f>
        <v>1</v>
      </c>
      <c r="J202" s="10" t="str">
        <f aca="false">_xlfn.CONCAT(A202, ",",H202,",",I202)</f>
        <v>껌,뽀,1</v>
      </c>
      <c r="K202" s="16" t="n">
        <f aca="false">IF(B202=-1,-1,VLOOKUP(C202,$T$1:$V$20,3))</f>
        <v>1</v>
      </c>
      <c r="L202" s="16" t="n">
        <f aca="false">IF(B202=-1,-1,VLOOKUP(D202,$Y$1:$AA$22,3))</f>
        <v>4</v>
      </c>
      <c r="N202" s="10" t="str">
        <f aca="false">_xlfn.UNICHAR(((C202*21)+G202)*28+44032)</f>
        <v>꼬</v>
      </c>
      <c r="O202" s="10" t="str">
        <f aca="false">_xlfn.UNICHAR(((F202*21)+D202)*28+44032)</f>
        <v>뻐</v>
      </c>
      <c r="P202" s="12" t="n">
        <f aca="false">COUNTIF($A$2:$A$3000, N202) + COUNTIF($A$2:$A$3000, O202)</f>
        <v>2</v>
      </c>
      <c r="Q202" s="16" t="str">
        <f aca="false">IF(OR(B202=-1,I202=0, P202&lt;&gt;2), "albhed_dummy", _xlfn.CONCAT("albhed ", RIGHT("  " &amp; K202,2),", ", RIGHT("  " &amp; L202,2), ", " ,"""",H202,""", ", """",N202,""", ","""",O202,""""," ; ", A202))</f>
        <v>albhed  1,  4, "뽀", "꼬", "뻐" ; 껌</v>
      </c>
    </row>
    <row r="203" customFormat="false" ht="17.9" hidden="false" customHeight="true" outlineLevel="0" collapsed="false">
      <c r="A203" s="16" t="s">
        <v>1082</v>
      </c>
      <c r="B203" s="16" t="n">
        <f aca="false">IF(_xlfn.UNICODE(A203)&lt;44032,-1,_xlfn.UNICODE(A203)-44032)</f>
        <v>717</v>
      </c>
      <c r="C203" s="16" t="n">
        <f aca="false">IF(B203=-1,-1,INT((B203/28)/21))</f>
        <v>1</v>
      </c>
      <c r="D203" s="16" t="n">
        <f aca="false">IF(B203=-1, -1, MOD(INT(B203/28),21))</f>
        <v>4</v>
      </c>
      <c r="E203" s="16" t="n">
        <f aca="false">IF(B203=-1, -1, VLOOKUP(MOD(B203,28), $T$24:$U$52,2))</f>
        <v>17</v>
      </c>
      <c r="F203" s="16" t="n">
        <f aca="false">IF($B203=-1, -1, VLOOKUP(C203,$T$1:$V$20, 2))</f>
        <v>8</v>
      </c>
      <c r="G203" s="16" t="n">
        <f aca="false">IF($B203=-1, -1, VLOOKUP(D203,$Y$1:$Z$22,2))</f>
        <v>8</v>
      </c>
      <c r="H203" s="16" t="str">
        <f aca="false">_xlfn.UNICHAR(((F203*21)+G203)*28+44032)</f>
        <v>뽀</v>
      </c>
      <c r="I203" s="16" t="n">
        <f aca="false">IF(B203=-1, 1, COUNTIF($A$2:$A$3000, H203))</f>
        <v>1</v>
      </c>
      <c r="J203" s="10" t="str">
        <f aca="false">_xlfn.CONCAT(A203, ",",H203,",",I203)</f>
        <v>껍,뽀,1</v>
      </c>
      <c r="K203" s="16" t="n">
        <f aca="false">IF(B203=-1,-1,VLOOKUP(C203,$T$1:$V$20,3))</f>
        <v>1</v>
      </c>
      <c r="L203" s="16" t="n">
        <f aca="false">IF(B203=-1,-1,VLOOKUP(D203,$Y$1:$AA$22,3))</f>
        <v>4</v>
      </c>
      <c r="N203" s="10" t="str">
        <f aca="false">_xlfn.UNICHAR(((C203*21)+G203)*28+44032)</f>
        <v>꼬</v>
      </c>
      <c r="O203" s="10" t="str">
        <f aca="false">_xlfn.UNICHAR(((F203*21)+D203)*28+44032)</f>
        <v>뻐</v>
      </c>
      <c r="P203" s="12" t="n">
        <f aca="false">COUNTIF($A$2:$A$3000, N203) + COUNTIF($A$2:$A$3000, O203)</f>
        <v>2</v>
      </c>
      <c r="Q203" s="16" t="str">
        <f aca="false">IF(OR(B203=-1,I203=0, P203&lt;&gt;2), "albhed_dummy", _xlfn.CONCAT("albhed ", RIGHT("  " &amp; K203,2),", ", RIGHT("  " &amp; L203,2), ", " ,"""",H203,""", ", """",N203,""", ","""",O203,""""," ; ", A203))</f>
        <v>albhed  1,  4, "뽀", "꼬", "뻐" ; 껍</v>
      </c>
    </row>
    <row r="204" customFormat="false" ht="17.9" hidden="false" customHeight="true" outlineLevel="0" collapsed="false">
      <c r="A204" s="16" t="s">
        <v>1083</v>
      </c>
      <c r="B204" s="16" t="n">
        <f aca="false">IF(_xlfn.UNICODE(A204)&lt;44032,-1,_xlfn.UNICODE(A204)-44032)</f>
        <v>719</v>
      </c>
      <c r="C204" s="16" t="n">
        <f aca="false">IF(B204=-1,-1,INT((B204/28)/21))</f>
        <v>1</v>
      </c>
      <c r="D204" s="16" t="n">
        <f aca="false">IF(B204=-1, -1, MOD(INT(B204/28),21))</f>
        <v>4</v>
      </c>
      <c r="E204" s="16" t="n">
        <f aca="false">IF(B204=-1, -1, VLOOKUP(MOD(B204,28), $T$24:$U$52,2))</f>
        <v>19</v>
      </c>
      <c r="F204" s="16" t="n">
        <f aca="false">IF($B204=-1, -1, VLOOKUP(C204,$T$1:$V$20, 2))</f>
        <v>8</v>
      </c>
      <c r="G204" s="16" t="n">
        <f aca="false">IF($B204=-1, -1, VLOOKUP(D204,$Y$1:$Z$22,2))</f>
        <v>8</v>
      </c>
      <c r="H204" s="16" t="str">
        <f aca="false">_xlfn.UNICHAR(((F204*21)+G204)*28+44032)</f>
        <v>뽀</v>
      </c>
      <c r="I204" s="16" t="n">
        <f aca="false">IF(B204=-1, 1, COUNTIF($A$2:$A$3000, H204))</f>
        <v>1</v>
      </c>
      <c r="J204" s="10" t="str">
        <f aca="false">_xlfn.CONCAT(A204, ",",H204,",",I204)</f>
        <v>껏,뽀,1</v>
      </c>
      <c r="K204" s="16" t="n">
        <f aca="false">IF(B204=-1,-1,VLOOKUP(C204,$T$1:$V$20,3))</f>
        <v>1</v>
      </c>
      <c r="L204" s="16" t="n">
        <f aca="false">IF(B204=-1,-1,VLOOKUP(D204,$Y$1:$AA$22,3))</f>
        <v>4</v>
      </c>
      <c r="N204" s="10" t="str">
        <f aca="false">_xlfn.UNICHAR(((C204*21)+G204)*28+44032)</f>
        <v>꼬</v>
      </c>
      <c r="O204" s="10" t="str">
        <f aca="false">_xlfn.UNICHAR(((F204*21)+D204)*28+44032)</f>
        <v>뻐</v>
      </c>
      <c r="P204" s="12" t="n">
        <f aca="false">COUNTIF($A$2:$A$3000, N204) + COUNTIF($A$2:$A$3000, O204)</f>
        <v>2</v>
      </c>
      <c r="Q204" s="16" t="str">
        <f aca="false">IF(OR(B204=-1,I204=0, P204&lt;&gt;2), "albhed_dummy", _xlfn.CONCAT("albhed ", RIGHT("  " &amp; K204,2),", ", RIGHT("  " &amp; L204,2), ", " ,"""",H204,""", ", """",N204,""", ","""",O204,""""," ; ", A204))</f>
        <v>albhed  1,  4, "뽀", "꼬", "뻐" ; 껏</v>
      </c>
    </row>
    <row r="205" customFormat="false" ht="17.9" hidden="false" customHeight="true" outlineLevel="0" collapsed="false">
      <c r="A205" s="16" t="s">
        <v>1084</v>
      </c>
      <c r="B205" s="16" t="n">
        <f aca="false">IF(_xlfn.UNICODE(A205)&lt;44032,-1,_xlfn.UNICODE(A205)-44032)</f>
        <v>720</v>
      </c>
      <c r="C205" s="16" t="n">
        <f aca="false">IF(B205=-1,-1,INT((B205/28)/21))</f>
        <v>1</v>
      </c>
      <c r="D205" s="16" t="n">
        <f aca="false">IF(B205=-1, -1, MOD(INT(B205/28),21))</f>
        <v>4</v>
      </c>
      <c r="E205" s="16" t="n">
        <f aca="false">IF(B205=-1, -1, VLOOKUP(MOD(B205,28), $T$24:$U$52,2))</f>
        <v>19</v>
      </c>
      <c r="F205" s="16" t="n">
        <f aca="false">IF($B205=-1, -1, VLOOKUP(C205,$T$1:$V$20, 2))</f>
        <v>8</v>
      </c>
      <c r="G205" s="16" t="n">
        <f aca="false">IF($B205=-1, -1, VLOOKUP(D205,$Y$1:$Z$22,2))</f>
        <v>8</v>
      </c>
      <c r="H205" s="16" t="str">
        <f aca="false">_xlfn.UNICHAR(((F205*21)+G205)*28+44032)</f>
        <v>뽀</v>
      </c>
      <c r="I205" s="16" t="n">
        <f aca="false">IF(B205=-1, 1, COUNTIF($A$2:$A$3000, H205))</f>
        <v>1</v>
      </c>
      <c r="J205" s="10" t="str">
        <f aca="false">_xlfn.CONCAT(A205, ",",H205,",",I205)</f>
        <v>껐,뽀,1</v>
      </c>
      <c r="K205" s="16" t="n">
        <f aca="false">IF(B205=-1,-1,VLOOKUP(C205,$T$1:$V$20,3))</f>
        <v>1</v>
      </c>
      <c r="L205" s="16" t="n">
        <f aca="false">IF(B205=-1,-1,VLOOKUP(D205,$Y$1:$AA$22,3))</f>
        <v>4</v>
      </c>
      <c r="N205" s="10" t="str">
        <f aca="false">_xlfn.UNICHAR(((C205*21)+G205)*28+44032)</f>
        <v>꼬</v>
      </c>
      <c r="O205" s="10" t="str">
        <f aca="false">_xlfn.UNICHAR(((F205*21)+D205)*28+44032)</f>
        <v>뻐</v>
      </c>
      <c r="P205" s="12" t="n">
        <f aca="false">COUNTIF($A$2:$A$3000, N205) + COUNTIF($A$2:$A$3000, O205)</f>
        <v>2</v>
      </c>
      <c r="Q205" s="16" t="str">
        <f aca="false">IF(OR(B205=-1,I205=0, P205&lt;&gt;2), "albhed_dummy", _xlfn.CONCAT("albhed ", RIGHT("  " &amp; K205,2),", ", RIGHT("  " &amp; L205,2), ", " ,"""",H205,""", ", """",N205,""", ","""",O205,""""," ; ", A205))</f>
        <v>albhed  1,  4, "뽀", "꼬", "뻐" ; 껐</v>
      </c>
    </row>
    <row r="206" customFormat="false" ht="17.9" hidden="false" customHeight="true" outlineLevel="0" collapsed="false">
      <c r="A206" s="16" t="s">
        <v>1085</v>
      </c>
      <c r="B206" s="16" t="n">
        <f aca="false">IF(_xlfn.UNICODE(A206)&lt;44032,-1,_xlfn.UNICODE(A206)-44032)</f>
        <v>721</v>
      </c>
      <c r="C206" s="16" t="n">
        <f aca="false">IF(B206=-1,-1,INT((B206/28)/21))</f>
        <v>1</v>
      </c>
      <c r="D206" s="16" t="n">
        <f aca="false">IF(B206=-1, -1, MOD(INT(B206/28),21))</f>
        <v>4</v>
      </c>
      <c r="E206" s="16" t="n">
        <f aca="false">IF(B206=-1, -1, VLOOKUP(MOD(B206,28), $T$24:$U$52,2))</f>
        <v>21</v>
      </c>
      <c r="F206" s="16" t="n">
        <f aca="false">IF($B206=-1, -1, VLOOKUP(C206,$T$1:$V$20, 2))</f>
        <v>8</v>
      </c>
      <c r="G206" s="16" t="n">
        <f aca="false">IF($B206=-1, -1, VLOOKUP(D206,$Y$1:$Z$22,2))</f>
        <v>8</v>
      </c>
      <c r="H206" s="16" t="str">
        <f aca="false">_xlfn.UNICHAR(((F206*21)+G206)*28+44032)</f>
        <v>뽀</v>
      </c>
      <c r="I206" s="16" t="n">
        <f aca="false">IF(B206=-1, 1, COUNTIF($A$2:$A$3000, H206))</f>
        <v>1</v>
      </c>
      <c r="J206" s="10" t="str">
        <f aca="false">_xlfn.CONCAT(A206, ",",H206,",",I206)</f>
        <v>껑,뽀,1</v>
      </c>
      <c r="K206" s="16" t="n">
        <f aca="false">IF(B206=-1,-1,VLOOKUP(C206,$T$1:$V$20,3))</f>
        <v>1</v>
      </c>
      <c r="L206" s="16" t="n">
        <f aca="false">IF(B206=-1,-1,VLOOKUP(D206,$Y$1:$AA$22,3))</f>
        <v>4</v>
      </c>
      <c r="N206" s="10" t="str">
        <f aca="false">_xlfn.UNICHAR(((C206*21)+G206)*28+44032)</f>
        <v>꼬</v>
      </c>
      <c r="O206" s="10" t="str">
        <f aca="false">_xlfn.UNICHAR(((F206*21)+D206)*28+44032)</f>
        <v>뻐</v>
      </c>
      <c r="P206" s="12" t="n">
        <f aca="false">COUNTIF($A$2:$A$3000, N206) + COUNTIF($A$2:$A$3000, O206)</f>
        <v>2</v>
      </c>
      <c r="Q206" s="16" t="str">
        <f aca="false">IF(OR(B206=-1,I206=0, P206&lt;&gt;2), "albhed_dummy", _xlfn.CONCAT("albhed ", RIGHT("  " &amp; K206,2),", ", RIGHT("  " &amp; L206,2), ", " ,"""",H206,""", ", """",N206,""", ","""",O206,""""," ; ", A206))</f>
        <v>albhed  1,  4, "뽀", "꼬", "뻐" ; 껑</v>
      </c>
    </row>
    <row r="207" customFormat="false" ht="17.9" hidden="false" customHeight="true" outlineLevel="0" collapsed="false">
      <c r="A207" s="16" t="s">
        <v>1086</v>
      </c>
      <c r="B207" s="16" t="n">
        <f aca="false">IF(_xlfn.UNICODE(A207)&lt;44032,-1,_xlfn.UNICODE(A207)-44032)</f>
        <v>728</v>
      </c>
      <c r="C207" s="16" t="n">
        <f aca="false">IF(B207=-1,-1,INT((B207/28)/21))</f>
        <v>1</v>
      </c>
      <c r="D207" s="16" t="n">
        <f aca="false">IF(B207=-1, -1, MOD(INT(B207/28),21))</f>
        <v>5</v>
      </c>
      <c r="E207" s="16" t="n">
        <f aca="false">IF(B207=-1, -1, VLOOKUP(MOD(B207,28), $T$24:$U$52,2))</f>
        <v>0</v>
      </c>
      <c r="F207" s="16" t="n">
        <f aca="false">IF($B207=-1, -1, VLOOKUP(C207,$T$1:$V$20, 2))</f>
        <v>8</v>
      </c>
      <c r="G207" s="16" t="n">
        <f aca="false">IF($B207=-1, -1, VLOOKUP(D207,$Y$1:$Z$22,2))</f>
        <v>18</v>
      </c>
      <c r="H207" s="16" t="str">
        <f aca="false">_xlfn.UNICHAR(((F207*21)+G207)*28+44032)</f>
        <v>쁘</v>
      </c>
      <c r="I207" s="16" t="n">
        <f aca="false">IF(B207=-1, 1, COUNTIF($A$2:$A$3000, H207))</f>
        <v>1</v>
      </c>
      <c r="J207" s="10" t="str">
        <f aca="false">_xlfn.CONCAT(A207, ",",H207,",",I207)</f>
        <v>께,쁘,1</v>
      </c>
      <c r="K207" s="16" t="n">
        <f aca="false">IF(B207=-1,-1,VLOOKUP(C207,$T$1:$V$20,3))</f>
        <v>1</v>
      </c>
      <c r="L207" s="16" t="n">
        <f aca="false">IF(B207=-1,-1,VLOOKUP(D207,$Y$1:$AA$22,3))</f>
        <v>10</v>
      </c>
      <c r="N207" s="10" t="str">
        <f aca="false">_xlfn.UNICHAR(((C207*21)+G207)*28+44032)</f>
        <v>끄</v>
      </c>
      <c r="O207" s="10" t="str">
        <f aca="false">_xlfn.UNICHAR(((F207*21)+D207)*28+44032)</f>
        <v>뻬</v>
      </c>
      <c r="P207" s="12" t="n">
        <f aca="false">COUNTIF($A$2:$A$3000, N207) + COUNTIF($A$2:$A$3000, O207)</f>
        <v>2</v>
      </c>
      <c r="Q207" s="16" t="str">
        <f aca="false">IF(OR(B207=-1,I207=0, P207&lt;&gt;2), "albhed_dummy", _xlfn.CONCAT("albhed ", RIGHT("  " &amp; K207,2),", ", RIGHT("  " &amp; L207,2), ", " ,"""",H207,""", ", """",N207,""", ","""",O207,""""," ; ", A207))</f>
        <v>albhed  1, 10, "쁘", "끄", "뻬" ; 께</v>
      </c>
    </row>
    <row r="208" customFormat="false" ht="17.9" hidden="false" customHeight="true" outlineLevel="0" collapsed="false">
      <c r="A208" s="16" t="s">
        <v>1087</v>
      </c>
      <c r="B208" s="16" t="n">
        <f aca="false">IF(_xlfn.UNICODE(A208)&lt;44032,-1,_xlfn.UNICODE(A208)-44032)</f>
        <v>729</v>
      </c>
      <c r="C208" s="16" t="n">
        <f aca="false">IF(B208=-1,-1,INT((B208/28)/21))</f>
        <v>1</v>
      </c>
      <c r="D208" s="16" t="n">
        <f aca="false">IF(B208=-1, -1, MOD(INT(B208/28),21))</f>
        <v>5</v>
      </c>
      <c r="E208" s="16" t="n">
        <f aca="false">IF(B208=-1, -1, VLOOKUP(MOD(B208,28), $T$24:$U$52,2))</f>
        <v>1</v>
      </c>
      <c r="F208" s="16" t="n">
        <f aca="false">IF($B208=-1, -1, VLOOKUP(C208,$T$1:$V$20, 2))</f>
        <v>8</v>
      </c>
      <c r="G208" s="16" t="n">
        <f aca="false">IF($B208=-1, -1, VLOOKUP(D208,$Y$1:$Z$22,2))</f>
        <v>18</v>
      </c>
      <c r="H208" s="16" t="str">
        <f aca="false">_xlfn.UNICHAR(((F208*21)+G208)*28+44032)</f>
        <v>쁘</v>
      </c>
      <c r="I208" s="16" t="n">
        <f aca="false">IF(B208=-1, 1, COUNTIF($A$2:$A$3000, H208))</f>
        <v>1</v>
      </c>
      <c r="J208" s="10" t="str">
        <f aca="false">_xlfn.CONCAT(A208, ",",H208,",",I208)</f>
        <v>껙,쁘,1</v>
      </c>
      <c r="K208" s="16" t="n">
        <f aca="false">IF(B208=-1,-1,VLOOKUP(C208,$T$1:$V$20,3))</f>
        <v>1</v>
      </c>
      <c r="L208" s="16" t="n">
        <f aca="false">IF(B208=-1,-1,VLOOKUP(D208,$Y$1:$AA$22,3))</f>
        <v>10</v>
      </c>
      <c r="N208" s="10" t="str">
        <f aca="false">_xlfn.UNICHAR(((C208*21)+G208)*28+44032)</f>
        <v>끄</v>
      </c>
      <c r="O208" s="10" t="str">
        <f aca="false">_xlfn.UNICHAR(((F208*21)+D208)*28+44032)</f>
        <v>뻬</v>
      </c>
      <c r="P208" s="12" t="n">
        <f aca="false">COUNTIF($A$2:$A$3000, N208) + COUNTIF($A$2:$A$3000, O208)</f>
        <v>2</v>
      </c>
      <c r="Q208" s="16" t="str">
        <f aca="false">IF(OR(B208=-1,I208=0, P208&lt;&gt;2), "albhed_dummy", _xlfn.CONCAT("albhed ", RIGHT("  " &amp; K208,2),", ", RIGHT("  " &amp; L208,2), ", " ,"""",H208,""", ", """",N208,""", ","""",O208,""""," ; ", A208))</f>
        <v>albhed  1, 10, "쁘", "끄", "뻬" ; 껙</v>
      </c>
    </row>
    <row r="209" customFormat="false" ht="17.9" hidden="false" customHeight="true" outlineLevel="0" collapsed="false">
      <c r="A209" s="16" t="s">
        <v>1088</v>
      </c>
      <c r="B209" s="16" t="n">
        <f aca="false">IF(_xlfn.UNICODE(A209)&lt;44032,-1,_xlfn.UNICODE(A209)-44032)</f>
        <v>732</v>
      </c>
      <c r="C209" s="16" t="n">
        <f aca="false">IF(B209=-1,-1,INT((B209/28)/21))</f>
        <v>1</v>
      </c>
      <c r="D209" s="16" t="n">
        <f aca="false">IF(B209=-1, -1, MOD(INT(B209/28),21))</f>
        <v>5</v>
      </c>
      <c r="E209" s="16" t="n">
        <f aca="false">IF(B209=-1, -1, VLOOKUP(MOD(B209,28), $T$24:$U$52,2))</f>
        <v>4</v>
      </c>
      <c r="F209" s="16" t="n">
        <f aca="false">IF($B209=-1, -1, VLOOKUP(C209,$T$1:$V$20, 2))</f>
        <v>8</v>
      </c>
      <c r="G209" s="16" t="n">
        <f aca="false">IF($B209=-1, -1, VLOOKUP(D209,$Y$1:$Z$22,2))</f>
        <v>18</v>
      </c>
      <c r="H209" s="16" t="str">
        <f aca="false">_xlfn.UNICHAR(((F209*21)+G209)*28+44032)</f>
        <v>쁘</v>
      </c>
      <c r="I209" s="16" t="n">
        <f aca="false">IF(B209=-1, 1, COUNTIF($A$2:$A$3000, H209))</f>
        <v>1</v>
      </c>
      <c r="J209" s="10" t="str">
        <f aca="false">_xlfn.CONCAT(A209, ",",H209,",",I209)</f>
        <v>껜,쁘,1</v>
      </c>
      <c r="K209" s="16" t="n">
        <f aca="false">IF(B209=-1,-1,VLOOKUP(C209,$T$1:$V$20,3))</f>
        <v>1</v>
      </c>
      <c r="L209" s="16" t="n">
        <f aca="false">IF(B209=-1,-1,VLOOKUP(D209,$Y$1:$AA$22,3))</f>
        <v>10</v>
      </c>
      <c r="N209" s="10" t="str">
        <f aca="false">_xlfn.UNICHAR(((C209*21)+G209)*28+44032)</f>
        <v>끄</v>
      </c>
      <c r="O209" s="10" t="str">
        <f aca="false">_xlfn.UNICHAR(((F209*21)+D209)*28+44032)</f>
        <v>뻬</v>
      </c>
      <c r="P209" s="12" t="n">
        <f aca="false">COUNTIF($A$2:$A$3000, N209) + COUNTIF($A$2:$A$3000, O209)</f>
        <v>2</v>
      </c>
      <c r="Q209" s="16" t="str">
        <f aca="false">IF(OR(B209=-1,I209=0, P209&lt;&gt;2), "albhed_dummy", _xlfn.CONCAT("albhed ", RIGHT("  " &amp; K209,2),", ", RIGHT("  " &amp; L209,2), ", " ,"""",H209,""", ", """",N209,""", ","""",O209,""""," ; ", A209))</f>
        <v>albhed  1, 10, "쁘", "끄", "뻬" ; 껜</v>
      </c>
    </row>
    <row r="210" customFormat="false" ht="17.9" hidden="false" customHeight="true" outlineLevel="0" collapsed="false">
      <c r="A210" s="16" t="s">
        <v>1089</v>
      </c>
      <c r="B210" s="16" t="n">
        <f aca="false">IF(_xlfn.UNICODE(A210)&lt;44032,-1,_xlfn.UNICODE(A210)-44032)</f>
        <v>744</v>
      </c>
      <c r="C210" s="16" t="n">
        <f aca="false">IF(B210=-1,-1,INT((B210/28)/21))</f>
        <v>1</v>
      </c>
      <c r="D210" s="16" t="n">
        <f aca="false">IF(B210=-1, -1, MOD(INT(B210/28),21))</f>
        <v>5</v>
      </c>
      <c r="E210" s="16" t="n">
        <f aca="false">IF(B210=-1, -1, VLOOKUP(MOD(B210,28), $T$24:$U$52,2))</f>
        <v>16</v>
      </c>
      <c r="F210" s="16" t="n">
        <f aca="false">IF($B210=-1, -1, VLOOKUP(C210,$T$1:$V$20, 2))</f>
        <v>8</v>
      </c>
      <c r="G210" s="16" t="n">
        <f aca="false">IF($B210=-1, -1, VLOOKUP(D210,$Y$1:$Z$22,2))</f>
        <v>18</v>
      </c>
      <c r="H210" s="16" t="str">
        <f aca="false">_xlfn.UNICHAR(((F210*21)+G210)*28+44032)</f>
        <v>쁘</v>
      </c>
      <c r="I210" s="16" t="n">
        <f aca="false">IF(B210=-1, 1, COUNTIF($A$2:$A$3000, H210))</f>
        <v>1</v>
      </c>
      <c r="J210" s="10" t="str">
        <f aca="false">_xlfn.CONCAT(A210, ",",H210,",",I210)</f>
        <v>껨,쁘,1</v>
      </c>
      <c r="K210" s="16" t="n">
        <f aca="false">IF(B210=-1,-1,VLOOKUP(C210,$T$1:$V$20,3))</f>
        <v>1</v>
      </c>
      <c r="L210" s="16" t="n">
        <f aca="false">IF(B210=-1,-1,VLOOKUP(D210,$Y$1:$AA$22,3))</f>
        <v>10</v>
      </c>
      <c r="N210" s="10" t="str">
        <f aca="false">_xlfn.UNICHAR(((C210*21)+G210)*28+44032)</f>
        <v>끄</v>
      </c>
      <c r="O210" s="10" t="str">
        <f aca="false">_xlfn.UNICHAR(((F210*21)+D210)*28+44032)</f>
        <v>뻬</v>
      </c>
      <c r="P210" s="12" t="n">
        <f aca="false">COUNTIF($A$2:$A$3000, N210) + COUNTIF($A$2:$A$3000, O210)</f>
        <v>2</v>
      </c>
      <c r="Q210" s="16" t="str">
        <f aca="false">IF(OR(B210=-1,I210=0, P210&lt;&gt;2), "albhed_dummy", _xlfn.CONCAT("albhed ", RIGHT("  " &amp; K210,2),", ", RIGHT("  " &amp; L210,2), ", " ,"""",H210,""", ", """",N210,""", ","""",O210,""""," ; ", A210))</f>
        <v>albhed  1, 10, "쁘", "끄", "뻬" ; 껨</v>
      </c>
    </row>
    <row r="211" customFormat="false" ht="17.9" hidden="false" customHeight="true" outlineLevel="0" collapsed="false">
      <c r="A211" s="16" t="s">
        <v>1090</v>
      </c>
      <c r="B211" s="16" t="n">
        <f aca="false">IF(_xlfn.UNICODE(A211)&lt;44032,-1,_xlfn.UNICODE(A211)-44032)</f>
        <v>747</v>
      </c>
      <c r="C211" s="16" t="n">
        <f aca="false">IF(B211=-1,-1,INT((B211/28)/21))</f>
        <v>1</v>
      </c>
      <c r="D211" s="16" t="n">
        <f aca="false">IF(B211=-1, -1, MOD(INT(B211/28),21))</f>
        <v>5</v>
      </c>
      <c r="E211" s="16" t="n">
        <f aca="false">IF(B211=-1, -1, VLOOKUP(MOD(B211,28), $T$24:$U$52,2))</f>
        <v>19</v>
      </c>
      <c r="F211" s="16" t="n">
        <f aca="false">IF($B211=-1, -1, VLOOKUP(C211,$T$1:$V$20, 2))</f>
        <v>8</v>
      </c>
      <c r="G211" s="16" t="n">
        <f aca="false">IF($B211=-1, -1, VLOOKUP(D211,$Y$1:$Z$22,2))</f>
        <v>18</v>
      </c>
      <c r="H211" s="16" t="str">
        <f aca="false">_xlfn.UNICHAR(((F211*21)+G211)*28+44032)</f>
        <v>쁘</v>
      </c>
      <c r="I211" s="16" t="n">
        <f aca="false">IF(B211=-1, 1, COUNTIF($A$2:$A$3000, H211))</f>
        <v>1</v>
      </c>
      <c r="J211" s="10" t="str">
        <f aca="false">_xlfn.CONCAT(A211, ",",H211,",",I211)</f>
        <v>껫,쁘,1</v>
      </c>
      <c r="K211" s="16" t="n">
        <f aca="false">IF(B211=-1,-1,VLOOKUP(C211,$T$1:$V$20,3))</f>
        <v>1</v>
      </c>
      <c r="L211" s="16" t="n">
        <f aca="false">IF(B211=-1,-1,VLOOKUP(D211,$Y$1:$AA$22,3))</f>
        <v>10</v>
      </c>
      <c r="N211" s="10" t="str">
        <f aca="false">_xlfn.UNICHAR(((C211*21)+G211)*28+44032)</f>
        <v>끄</v>
      </c>
      <c r="O211" s="10" t="str">
        <f aca="false">_xlfn.UNICHAR(((F211*21)+D211)*28+44032)</f>
        <v>뻬</v>
      </c>
      <c r="P211" s="12" t="n">
        <f aca="false">COUNTIF($A$2:$A$3000, N211) + COUNTIF($A$2:$A$3000, O211)</f>
        <v>2</v>
      </c>
      <c r="Q211" s="16" t="str">
        <f aca="false">IF(OR(B211=-1,I211=0, P211&lt;&gt;2), "albhed_dummy", _xlfn.CONCAT("albhed ", RIGHT("  " &amp; K211,2),", ", RIGHT("  " &amp; L211,2), ", " ,"""",H211,""", ", """",N211,""", ","""",O211,""""," ; ", A211))</f>
        <v>albhed  1, 10, "쁘", "끄", "뻬" ; 껫</v>
      </c>
    </row>
    <row r="212" customFormat="false" ht="17.9" hidden="false" customHeight="true" outlineLevel="0" collapsed="false">
      <c r="A212" s="16" t="s">
        <v>1091</v>
      </c>
      <c r="B212" s="16" t="n">
        <f aca="false">IF(_xlfn.UNICODE(A212)&lt;44032,-1,_xlfn.UNICODE(A212)-44032)</f>
        <v>749</v>
      </c>
      <c r="C212" s="16" t="n">
        <f aca="false">IF(B212=-1,-1,INT((B212/28)/21))</f>
        <v>1</v>
      </c>
      <c r="D212" s="16" t="n">
        <f aca="false">IF(B212=-1, -1, MOD(INT(B212/28),21))</f>
        <v>5</v>
      </c>
      <c r="E212" s="16" t="n">
        <f aca="false">IF(B212=-1, -1, VLOOKUP(MOD(B212,28), $T$24:$U$52,2))</f>
        <v>21</v>
      </c>
      <c r="F212" s="16" t="n">
        <f aca="false">IF($B212=-1, -1, VLOOKUP(C212,$T$1:$V$20, 2))</f>
        <v>8</v>
      </c>
      <c r="G212" s="16" t="n">
        <f aca="false">IF($B212=-1, -1, VLOOKUP(D212,$Y$1:$Z$22,2))</f>
        <v>18</v>
      </c>
      <c r="H212" s="16" t="str">
        <f aca="false">_xlfn.UNICHAR(((F212*21)+G212)*28+44032)</f>
        <v>쁘</v>
      </c>
      <c r="I212" s="16" t="n">
        <f aca="false">IF(B212=-1, 1, COUNTIF($A$2:$A$3000, H212))</f>
        <v>1</v>
      </c>
      <c r="J212" s="10" t="str">
        <f aca="false">_xlfn.CONCAT(A212, ",",H212,",",I212)</f>
        <v>껭,쁘,1</v>
      </c>
      <c r="K212" s="16" t="n">
        <f aca="false">IF(B212=-1,-1,VLOOKUP(C212,$T$1:$V$20,3))</f>
        <v>1</v>
      </c>
      <c r="L212" s="16" t="n">
        <f aca="false">IF(B212=-1,-1,VLOOKUP(D212,$Y$1:$AA$22,3))</f>
        <v>10</v>
      </c>
      <c r="N212" s="10" t="str">
        <f aca="false">_xlfn.UNICHAR(((C212*21)+G212)*28+44032)</f>
        <v>끄</v>
      </c>
      <c r="O212" s="10" t="str">
        <f aca="false">_xlfn.UNICHAR(((F212*21)+D212)*28+44032)</f>
        <v>뻬</v>
      </c>
      <c r="P212" s="12" t="n">
        <f aca="false">COUNTIF($A$2:$A$3000, N212) + COUNTIF($A$2:$A$3000, O212)</f>
        <v>2</v>
      </c>
      <c r="Q212" s="16" t="str">
        <f aca="false">IF(OR(B212=-1,I212=0, P212&lt;&gt;2), "albhed_dummy", _xlfn.CONCAT("albhed ", RIGHT("  " &amp; K212,2),", ", RIGHT("  " &amp; L212,2), ", " ,"""",H212,""", ", """",N212,""", ","""",O212,""""," ; ", A212))</f>
        <v>albhed  1, 10, "쁘", "끄", "뻬" ; 껭</v>
      </c>
    </row>
    <row r="213" customFormat="false" ht="17.9" hidden="false" customHeight="true" outlineLevel="0" collapsed="false">
      <c r="A213" s="16" t="s">
        <v>1092</v>
      </c>
      <c r="B213" s="16" t="n">
        <f aca="false">IF(_xlfn.UNICODE(A213)&lt;44032,-1,_xlfn.UNICODE(A213)-44032)</f>
        <v>756</v>
      </c>
      <c r="C213" s="16" t="n">
        <f aca="false">IF(B213=-1,-1,INT((B213/28)/21))</f>
        <v>1</v>
      </c>
      <c r="D213" s="16" t="n">
        <f aca="false">IF(B213=-1, -1, MOD(INT(B213/28),21))</f>
        <v>6</v>
      </c>
      <c r="E213" s="16" t="n">
        <f aca="false">IF(B213=-1, -1, VLOOKUP(MOD(B213,28), $T$24:$U$52,2))</f>
        <v>0</v>
      </c>
      <c r="F213" s="16" t="n">
        <f aca="false">IF($B213=-1, -1, VLOOKUP(C213,$T$1:$V$20, 2))</f>
        <v>8</v>
      </c>
      <c r="G213" s="16" t="n">
        <f aca="false">IF($B213=-1, -1, VLOOKUP(D213,$Y$1:$Z$22,2))</f>
        <v>12</v>
      </c>
      <c r="H213" s="16" t="str">
        <f aca="false">_xlfn.UNICHAR(((F213*21)+G213)*28+44032)</f>
        <v>뾰</v>
      </c>
      <c r="I213" s="16" t="n">
        <f aca="false">IF(B213=-1, 1, COUNTIF($A$2:$A$3000, H213))</f>
        <v>1</v>
      </c>
      <c r="J213" s="10" t="str">
        <f aca="false">_xlfn.CONCAT(A213, ",",H213,",",I213)</f>
        <v>껴,뾰,1</v>
      </c>
      <c r="K213" s="16" t="n">
        <f aca="false">IF(B213=-1,-1,VLOOKUP(C213,$T$1:$V$20,3))</f>
        <v>1</v>
      </c>
      <c r="L213" s="16" t="n">
        <f aca="false">IF(B213=-1,-1,VLOOKUP(D213,$Y$1:$AA$22,3))</f>
        <v>4</v>
      </c>
      <c r="N213" s="10" t="str">
        <f aca="false">_xlfn.UNICHAR(((C213*21)+G213)*28+44032)</f>
        <v>꾜</v>
      </c>
      <c r="O213" s="10" t="str">
        <f aca="false">_xlfn.UNICHAR(((F213*21)+D213)*28+44032)</f>
        <v>뼈</v>
      </c>
      <c r="P213" s="12" t="n">
        <f aca="false">COUNTIF($A$2:$A$3000, N213) + COUNTIF($A$2:$A$3000, O213)</f>
        <v>2</v>
      </c>
      <c r="Q213" s="16" t="str">
        <f aca="false">IF(OR(B213=-1,I213=0, P213&lt;&gt;2), "albhed_dummy", _xlfn.CONCAT("albhed ", RIGHT("  " &amp; K213,2),", ", RIGHT("  " &amp; L213,2), ", " ,"""",H213,""", ", """",N213,""", ","""",O213,""""," ; ", A213))</f>
        <v>albhed  1,  4, "뾰", "꾜", "뼈" ; 껴</v>
      </c>
    </row>
    <row r="214" customFormat="false" ht="17.9" hidden="false" customHeight="true" outlineLevel="0" collapsed="false">
      <c r="A214" s="16" t="s">
        <v>1093</v>
      </c>
      <c r="B214" s="16" t="n">
        <f aca="false">IF(_xlfn.UNICODE(A214)&lt;44032,-1,_xlfn.UNICODE(A214)-44032)</f>
        <v>760</v>
      </c>
      <c r="C214" s="16" t="n">
        <f aca="false">IF(B214=-1,-1,INT((B214/28)/21))</f>
        <v>1</v>
      </c>
      <c r="D214" s="16" t="n">
        <f aca="false">IF(B214=-1, -1, MOD(INT(B214/28),21))</f>
        <v>6</v>
      </c>
      <c r="E214" s="16" t="n">
        <f aca="false">IF(B214=-1, -1, VLOOKUP(MOD(B214,28), $T$24:$U$52,2))</f>
        <v>4</v>
      </c>
      <c r="F214" s="16" t="n">
        <f aca="false">IF($B214=-1, -1, VLOOKUP(C214,$T$1:$V$20, 2))</f>
        <v>8</v>
      </c>
      <c r="G214" s="16" t="n">
        <f aca="false">IF($B214=-1, -1, VLOOKUP(D214,$Y$1:$Z$22,2))</f>
        <v>12</v>
      </c>
      <c r="H214" s="16" t="str">
        <f aca="false">_xlfn.UNICHAR(((F214*21)+G214)*28+44032)</f>
        <v>뾰</v>
      </c>
      <c r="I214" s="16" t="n">
        <f aca="false">IF(B214=-1, 1, COUNTIF($A$2:$A$3000, H214))</f>
        <v>1</v>
      </c>
      <c r="J214" s="10" t="str">
        <f aca="false">_xlfn.CONCAT(A214, ",",H214,",",I214)</f>
        <v>껸,뾰,1</v>
      </c>
      <c r="K214" s="16" t="n">
        <f aca="false">IF(B214=-1,-1,VLOOKUP(C214,$T$1:$V$20,3))</f>
        <v>1</v>
      </c>
      <c r="L214" s="16" t="n">
        <f aca="false">IF(B214=-1,-1,VLOOKUP(D214,$Y$1:$AA$22,3))</f>
        <v>4</v>
      </c>
      <c r="N214" s="10" t="str">
        <f aca="false">_xlfn.UNICHAR(((C214*21)+G214)*28+44032)</f>
        <v>꾜</v>
      </c>
      <c r="O214" s="10" t="str">
        <f aca="false">_xlfn.UNICHAR(((F214*21)+D214)*28+44032)</f>
        <v>뼈</v>
      </c>
      <c r="P214" s="12" t="n">
        <f aca="false">COUNTIF($A$2:$A$3000, N214) + COUNTIF($A$2:$A$3000, O214)</f>
        <v>2</v>
      </c>
      <c r="Q214" s="16" t="str">
        <f aca="false">IF(OR(B214=-1,I214=0, P214&lt;&gt;2), "albhed_dummy", _xlfn.CONCAT("albhed ", RIGHT("  " &amp; K214,2),", ", RIGHT("  " &amp; L214,2), ", " ,"""",H214,""", ", """",N214,""", ","""",O214,""""," ; ", A214))</f>
        <v>albhed  1,  4, "뾰", "꾜", "뼈" ; 껸</v>
      </c>
    </row>
    <row r="215" customFormat="false" ht="17.9" hidden="false" customHeight="true" outlineLevel="0" collapsed="false">
      <c r="A215" s="16" t="s">
        <v>1094</v>
      </c>
      <c r="B215" s="16" t="n">
        <f aca="false">IF(_xlfn.UNICODE(A215)&lt;44032,-1,_xlfn.UNICODE(A215)-44032)</f>
        <v>764</v>
      </c>
      <c r="C215" s="16" t="n">
        <f aca="false">IF(B215=-1,-1,INT((B215/28)/21))</f>
        <v>1</v>
      </c>
      <c r="D215" s="16" t="n">
        <f aca="false">IF(B215=-1, -1, MOD(INT(B215/28),21))</f>
        <v>6</v>
      </c>
      <c r="E215" s="16" t="n">
        <f aca="false">IF(B215=-1, -1, VLOOKUP(MOD(B215,28), $T$24:$U$52,2))</f>
        <v>8</v>
      </c>
      <c r="F215" s="16" t="n">
        <f aca="false">IF($B215=-1, -1, VLOOKUP(C215,$T$1:$V$20, 2))</f>
        <v>8</v>
      </c>
      <c r="G215" s="16" t="n">
        <f aca="false">IF($B215=-1, -1, VLOOKUP(D215,$Y$1:$Z$22,2))</f>
        <v>12</v>
      </c>
      <c r="H215" s="16" t="str">
        <f aca="false">_xlfn.UNICHAR(((F215*21)+G215)*28+44032)</f>
        <v>뾰</v>
      </c>
      <c r="I215" s="16" t="n">
        <f aca="false">IF(B215=-1, 1, COUNTIF($A$2:$A$3000, H215))</f>
        <v>1</v>
      </c>
      <c r="J215" s="10" t="str">
        <f aca="false">_xlfn.CONCAT(A215, ",",H215,",",I215)</f>
        <v>껼,뾰,1</v>
      </c>
      <c r="K215" s="16" t="n">
        <f aca="false">IF(B215=-1,-1,VLOOKUP(C215,$T$1:$V$20,3))</f>
        <v>1</v>
      </c>
      <c r="L215" s="16" t="n">
        <f aca="false">IF(B215=-1,-1,VLOOKUP(D215,$Y$1:$AA$22,3))</f>
        <v>4</v>
      </c>
      <c r="N215" s="10" t="str">
        <f aca="false">_xlfn.UNICHAR(((C215*21)+G215)*28+44032)</f>
        <v>꾜</v>
      </c>
      <c r="O215" s="10" t="str">
        <f aca="false">_xlfn.UNICHAR(((F215*21)+D215)*28+44032)</f>
        <v>뼈</v>
      </c>
      <c r="P215" s="12" t="n">
        <f aca="false">COUNTIF($A$2:$A$3000, N215) + COUNTIF($A$2:$A$3000, O215)</f>
        <v>2</v>
      </c>
      <c r="Q215" s="16" t="str">
        <f aca="false">IF(OR(B215=-1,I215=0, P215&lt;&gt;2), "albhed_dummy", _xlfn.CONCAT("albhed ", RIGHT("  " &amp; K215,2),", ", RIGHT("  " &amp; L215,2), ", " ,"""",H215,""", ", """",N215,""", ","""",O215,""""," ; ", A215))</f>
        <v>albhed  1,  4, "뾰", "꾜", "뼈" ; 껼</v>
      </c>
    </row>
    <row r="216" customFormat="false" ht="17.9" hidden="false" customHeight="true" outlineLevel="0" collapsed="false">
      <c r="A216" s="16" t="s">
        <v>1095</v>
      </c>
      <c r="B216" s="16" t="n">
        <f aca="false">IF(_xlfn.UNICODE(A216)&lt;44032,-1,_xlfn.UNICODE(A216)-44032)</f>
        <v>775</v>
      </c>
      <c r="C216" s="16" t="n">
        <f aca="false">IF(B216=-1,-1,INT((B216/28)/21))</f>
        <v>1</v>
      </c>
      <c r="D216" s="16" t="n">
        <f aca="false">IF(B216=-1, -1, MOD(INT(B216/28),21))</f>
        <v>6</v>
      </c>
      <c r="E216" s="16" t="n">
        <f aca="false">IF(B216=-1, -1, VLOOKUP(MOD(B216,28), $T$24:$U$52,2))</f>
        <v>19</v>
      </c>
      <c r="F216" s="16" t="n">
        <f aca="false">IF($B216=-1, -1, VLOOKUP(C216,$T$1:$V$20, 2))</f>
        <v>8</v>
      </c>
      <c r="G216" s="16" t="n">
        <f aca="false">IF($B216=-1, -1, VLOOKUP(D216,$Y$1:$Z$22,2))</f>
        <v>12</v>
      </c>
      <c r="H216" s="16" t="str">
        <f aca="false">_xlfn.UNICHAR(((F216*21)+G216)*28+44032)</f>
        <v>뾰</v>
      </c>
      <c r="I216" s="16" t="n">
        <f aca="false">IF(B216=-1, 1, COUNTIF($A$2:$A$3000, H216))</f>
        <v>1</v>
      </c>
      <c r="J216" s="10" t="str">
        <f aca="false">_xlfn.CONCAT(A216, ",",H216,",",I216)</f>
        <v>꼇,뾰,1</v>
      </c>
      <c r="K216" s="16" t="n">
        <f aca="false">IF(B216=-1,-1,VLOOKUP(C216,$T$1:$V$20,3))</f>
        <v>1</v>
      </c>
      <c r="L216" s="16" t="n">
        <f aca="false">IF(B216=-1,-1,VLOOKUP(D216,$Y$1:$AA$22,3))</f>
        <v>4</v>
      </c>
      <c r="N216" s="10" t="str">
        <f aca="false">_xlfn.UNICHAR(((C216*21)+G216)*28+44032)</f>
        <v>꾜</v>
      </c>
      <c r="O216" s="10" t="str">
        <f aca="false">_xlfn.UNICHAR(((F216*21)+D216)*28+44032)</f>
        <v>뼈</v>
      </c>
      <c r="P216" s="12" t="n">
        <f aca="false">COUNTIF($A$2:$A$3000, N216) + COUNTIF($A$2:$A$3000, O216)</f>
        <v>2</v>
      </c>
      <c r="Q216" s="16" t="str">
        <f aca="false">IF(OR(B216=-1,I216=0, P216&lt;&gt;2), "albhed_dummy", _xlfn.CONCAT("albhed ", RIGHT("  " &amp; K216,2),", ", RIGHT("  " &amp; L216,2), ", " ,"""",H216,""", ", """",N216,""", ","""",O216,""""," ; ", A216))</f>
        <v>albhed  1,  4, "뾰", "꾜", "뼈" ; 꼇</v>
      </c>
    </row>
    <row r="217" customFormat="false" ht="17.9" hidden="false" customHeight="true" outlineLevel="0" collapsed="false">
      <c r="A217" s="16" t="s">
        <v>1096</v>
      </c>
      <c r="B217" s="16" t="n">
        <f aca="false">IF(_xlfn.UNICODE(A217)&lt;44032,-1,_xlfn.UNICODE(A217)-44032)</f>
        <v>776</v>
      </c>
      <c r="C217" s="16" t="n">
        <f aca="false">IF(B217=-1,-1,INT((B217/28)/21))</f>
        <v>1</v>
      </c>
      <c r="D217" s="16" t="n">
        <f aca="false">IF(B217=-1, -1, MOD(INT(B217/28),21))</f>
        <v>6</v>
      </c>
      <c r="E217" s="16" t="n">
        <f aca="false">IF(B217=-1, -1, VLOOKUP(MOD(B217,28), $T$24:$U$52,2))</f>
        <v>19</v>
      </c>
      <c r="F217" s="16" t="n">
        <f aca="false">IF($B217=-1, -1, VLOOKUP(C217,$T$1:$V$20, 2))</f>
        <v>8</v>
      </c>
      <c r="G217" s="16" t="n">
        <f aca="false">IF($B217=-1, -1, VLOOKUP(D217,$Y$1:$Z$22,2))</f>
        <v>12</v>
      </c>
      <c r="H217" s="16" t="str">
        <f aca="false">_xlfn.UNICHAR(((F217*21)+G217)*28+44032)</f>
        <v>뾰</v>
      </c>
      <c r="I217" s="16" t="n">
        <f aca="false">IF(B217=-1, 1, COUNTIF($A$2:$A$3000, H217))</f>
        <v>1</v>
      </c>
      <c r="J217" s="10" t="str">
        <f aca="false">_xlfn.CONCAT(A217, ",",H217,",",I217)</f>
        <v>꼈,뾰,1</v>
      </c>
      <c r="K217" s="16" t="n">
        <f aca="false">IF(B217=-1,-1,VLOOKUP(C217,$T$1:$V$20,3))</f>
        <v>1</v>
      </c>
      <c r="L217" s="16" t="n">
        <f aca="false">IF(B217=-1,-1,VLOOKUP(D217,$Y$1:$AA$22,3))</f>
        <v>4</v>
      </c>
      <c r="N217" s="10" t="str">
        <f aca="false">_xlfn.UNICHAR(((C217*21)+G217)*28+44032)</f>
        <v>꾜</v>
      </c>
      <c r="O217" s="10" t="str">
        <f aca="false">_xlfn.UNICHAR(((F217*21)+D217)*28+44032)</f>
        <v>뼈</v>
      </c>
      <c r="P217" s="12" t="n">
        <f aca="false">COUNTIF($A$2:$A$3000, N217) + COUNTIF($A$2:$A$3000, O217)</f>
        <v>2</v>
      </c>
      <c r="Q217" s="16" t="str">
        <f aca="false">IF(OR(B217=-1,I217=0, P217&lt;&gt;2), "albhed_dummy", _xlfn.CONCAT("albhed ", RIGHT("  " &amp; K217,2),", ", RIGHT("  " &amp; L217,2), ", " ,"""",H217,""", ", """",N217,""", ","""",O217,""""," ; ", A217))</f>
        <v>albhed  1,  4, "뾰", "꾜", "뼈" ; 꼈</v>
      </c>
    </row>
    <row r="218" customFormat="false" ht="17.9" hidden="false" customHeight="true" outlineLevel="0" collapsed="false">
      <c r="A218" s="16" t="s">
        <v>1097</v>
      </c>
      <c r="B218" s="16" t="n">
        <f aca="false">IF(_xlfn.UNICODE(A218)&lt;44032,-1,_xlfn.UNICODE(A218)-44032)</f>
        <v>781</v>
      </c>
      <c r="C218" s="16" t="n">
        <f aca="false">IF(B218=-1,-1,INT((B218/28)/21))</f>
        <v>1</v>
      </c>
      <c r="D218" s="16" t="n">
        <f aca="false">IF(B218=-1, -1, MOD(INT(B218/28),21))</f>
        <v>6</v>
      </c>
      <c r="E218" s="16" t="n">
        <f aca="false">IF(B218=-1, -1, VLOOKUP(MOD(B218,28), $T$24:$U$52,2))</f>
        <v>19</v>
      </c>
      <c r="F218" s="16" t="n">
        <f aca="false">IF($B218=-1, -1, VLOOKUP(C218,$T$1:$V$20, 2))</f>
        <v>8</v>
      </c>
      <c r="G218" s="16" t="n">
        <f aca="false">IF($B218=-1, -1, VLOOKUP(D218,$Y$1:$Z$22,2))</f>
        <v>12</v>
      </c>
      <c r="H218" s="16" t="str">
        <f aca="false">_xlfn.UNICHAR(((F218*21)+G218)*28+44032)</f>
        <v>뾰</v>
      </c>
      <c r="I218" s="16" t="n">
        <f aca="false">IF(B218=-1, 1, COUNTIF($A$2:$A$3000, H218))</f>
        <v>1</v>
      </c>
      <c r="J218" s="10" t="str">
        <f aca="false">_xlfn.CONCAT(A218, ",",H218,",",I218)</f>
        <v>꼍,뾰,1</v>
      </c>
      <c r="K218" s="16" t="n">
        <f aca="false">IF(B218=-1,-1,VLOOKUP(C218,$T$1:$V$20,3))</f>
        <v>1</v>
      </c>
      <c r="L218" s="16" t="n">
        <f aca="false">IF(B218=-1,-1,VLOOKUP(D218,$Y$1:$AA$22,3))</f>
        <v>4</v>
      </c>
      <c r="N218" s="10" t="str">
        <f aca="false">_xlfn.UNICHAR(((C218*21)+G218)*28+44032)</f>
        <v>꾜</v>
      </c>
      <c r="O218" s="10" t="str">
        <f aca="false">_xlfn.UNICHAR(((F218*21)+D218)*28+44032)</f>
        <v>뼈</v>
      </c>
      <c r="P218" s="12" t="n">
        <f aca="false">COUNTIF($A$2:$A$3000, N218) + COUNTIF($A$2:$A$3000, O218)</f>
        <v>2</v>
      </c>
      <c r="Q218" s="16" t="str">
        <f aca="false">IF(OR(B218=-1,I218=0, P218&lt;&gt;2), "albhed_dummy", _xlfn.CONCAT("albhed ", RIGHT("  " &amp; K218,2),", ", RIGHT("  " &amp; L218,2), ", " ,"""",H218,""", ", """",N218,""", ","""",O218,""""," ; ", A218))</f>
        <v>albhed  1,  4, "뾰", "꾜", "뼈" ; 꼍</v>
      </c>
    </row>
    <row r="219" customFormat="false" ht="17.9" hidden="false" customHeight="true" outlineLevel="0" collapsed="false">
      <c r="A219" s="16" t="s">
        <v>1098</v>
      </c>
      <c r="B219" s="16" t="n">
        <f aca="false">IF(_xlfn.UNICODE(A219)&lt;44032,-1,_xlfn.UNICODE(A219)-44032)</f>
        <v>784</v>
      </c>
      <c r="C219" s="16" t="n">
        <f aca="false">IF(B219=-1,-1,INT((B219/28)/21))</f>
        <v>1</v>
      </c>
      <c r="D219" s="16" t="n">
        <f aca="false">IF(B219=-1, -1, MOD(INT(B219/28),21))</f>
        <v>7</v>
      </c>
      <c r="E219" s="16" t="n">
        <f aca="false">IF(B219=-1, -1, VLOOKUP(MOD(B219,28), $T$24:$U$52,2))</f>
        <v>0</v>
      </c>
      <c r="F219" s="16" t="n">
        <f aca="false">IF($B219=-1, -1, VLOOKUP(C219,$T$1:$V$20, 2))</f>
        <v>8</v>
      </c>
      <c r="G219" s="16" t="n">
        <f aca="false">IF($B219=-1, -1, VLOOKUP(D219,$Y$1:$Z$22,2))</f>
        <v>18</v>
      </c>
      <c r="H219" s="16" t="str">
        <f aca="false">_xlfn.UNICHAR(((F219*21)+G219)*28+44032)</f>
        <v>쁘</v>
      </c>
      <c r="I219" s="16" t="n">
        <f aca="false">IF(B219=-1, 1, COUNTIF($A$2:$A$3000, H219))</f>
        <v>1</v>
      </c>
      <c r="J219" s="10" t="str">
        <f aca="false">_xlfn.CONCAT(A219, ",",H219,",",I219)</f>
        <v>꼐,쁘,1</v>
      </c>
      <c r="K219" s="16" t="n">
        <f aca="false">IF(B219=-1,-1,VLOOKUP(C219,$T$1:$V$20,3))</f>
        <v>1</v>
      </c>
      <c r="L219" s="16" t="n">
        <f aca="false">IF(B219=-1,-1,VLOOKUP(D219,$Y$1:$AA$22,3))</f>
        <v>14</v>
      </c>
      <c r="N219" s="10" t="str">
        <f aca="false">_xlfn.UNICHAR(((C219*21)+G219)*28+44032)</f>
        <v>끄</v>
      </c>
      <c r="O219" s="10" t="str">
        <f aca="false">_xlfn.UNICHAR(((F219*21)+D219)*28+44032)</f>
        <v>뼤</v>
      </c>
      <c r="P219" s="12" t="n">
        <f aca="false">COUNTIF($A$2:$A$3000, N219) + COUNTIF($A$2:$A$3000, O219)</f>
        <v>1</v>
      </c>
      <c r="Q219" s="16" t="str">
        <f aca="false">IF(OR(B219=-1,I219=0, P219&lt;&gt;2), "albhed_dummy", _xlfn.CONCAT("albhed ", RIGHT("  " &amp; K219,2),", ", RIGHT("  " &amp; L219,2), ", " ,"""",H219,""", ", """",N219,""", ","""",O219,""""," ; ", A219))</f>
        <v>albhed_dummy</v>
      </c>
    </row>
    <row r="220" customFormat="false" ht="17.9" hidden="false" customHeight="true" outlineLevel="0" collapsed="false">
      <c r="A220" s="16" t="s">
        <v>1099</v>
      </c>
      <c r="B220" s="16" t="n">
        <f aca="false">IF(_xlfn.UNICODE(A220)&lt;44032,-1,_xlfn.UNICODE(A220)-44032)</f>
        <v>812</v>
      </c>
      <c r="C220" s="16" t="n">
        <f aca="false">IF(B220=-1,-1,INT((B220/28)/21))</f>
        <v>1</v>
      </c>
      <c r="D220" s="16" t="n">
        <f aca="false">IF(B220=-1, -1, MOD(INT(B220/28),21))</f>
        <v>8</v>
      </c>
      <c r="E220" s="16" t="n">
        <f aca="false">IF(B220=-1, -1, VLOOKUP(MOD(B220,28), $T$24:$U$52,2))</f>
        <v>0</v>
      </c>
      <c r="F220" s="16" t="n">
        <f aca="false">IF($B220=-1, -1, VLOOKUP(C220,$T$1:$V$20, 2))</f>
        <v>8</v>
      </c>
      <c r="G220" s="16" t="n">
        <f aca="false">IF($B220=-1, -1, VLOOKUP(D220,$Y$1:$Z$22,2))</f>
        <v>4</v>
      </c>
      <c r="H220" s="16" t="str">
        <f aca="false">_xlfn.UNICHAR(((F220*21)+G220)*28+44032)</f>
        <v>뻐</v>
      </c>
      <c r="I220" s="16" t="n">
        <f aca="false">IF(B220=-1, 1, COUNTIF($A$2:$A$3000, H220))</f>
        <v>1</v>
      </c>
      <c r="J220" s="10" t="str">
        <f aca="false">_xlfn.CONCAT(A220, ",",H220,",",I220)</f>
        <v>꼬,뻐,1</v>
      </c>
      <c r="K220" s="16" t="n">
        <f aca="false">IF(B220=-1,-1,VLOOKUP(C220,$T$1:$V$20,3))</f>
        <v>1</v>
      </c>
      <c r="L220" s="16" t="n">
        <f aca="false">IF(B220=-1,-1,VLOOKUP(D220,$Y$1:$AA$22,3))</f>
        <v>8</v>
      </c>
      <c r="N220" s="10" t="str">
        <f aca="false">_xlfn.UNICHAR(((C220*21)+G220)*28+44032)</f>
        <v>꺼</v>
      </c>
      <c r="O220" s="10" t="str">
        <f aca="false">_xlfn.UNICHAR(((F220*21)+D220)*28+44032)</f>
        <v>뽀</v>
      </c>
      <c r="P220" s="12" t="n">
        <f aca="false">COUNTIF($A$2:$A$3000, N220) + COUNTIF($A$2:$A$3000, O220)</f>
        <v>2</v>
      </c>
      <c r="Q220" s="16" t="str">
        <f aca="false">IF(OR(B220=-1,I220=0, P220&lt;&gt;2), "albhed_dummy", _xlfn.CONCAT("albhed ", RIGHT("  " &amp; K220,2),", ", RIGHT("  " &amp; L220,2), ", " ,"""",H220,""", ", """",N220,""", ","""",O220,""""," ; ", A220))</f>
        <v>albhed  1,  8, "뻐", "꺼", "뽀" ; 꼬</v>
      </c>
    </row>
    <row r="221" customFormat="false" ht="17.9" hidden="false" customHeight="true" outlineLevel="0" collapsed="false">
      <c r="A221" s="16" t="s">
        <v>1100</v>
      </c>
      <c r="B221" s="16" t="n">
        <f aca="false">IF(_xlfn.UNICODE(A221)&lt;44032,-1,_xlfn.UNICODE(A221)-44032)</f>
        <v>813</v>
      </c>
      <c r="C221" s="16" t="n">
        <f aca="false">IF(B221=-1,-1,INT((B221/28)/21))</f>
        <v>1</v>
      </c>
      <c r="D221" s="16" t="n">
        <f aca="false">IF(B221=-1, -1, MOD(INT(B221/28),21))</f>
        <v>8</v>
      </c>
      <c r="E221" s="16" t="n">
        <f aca="false">IF(B221=-1, -1, VLOOKUP(MOD(B221,28), $T$24:$U$52,2))</f>
        <v>1</v>
      </c>
      <c r="F221" s="16" t="n">
        <f aca="false">IF($B221=-1, -1, VLOOKUP(C221,$T$1:$V$20, 2))</f>
        <v>8</v>
      </c>
      <c r="G221" s="16" t="n">
        <f aca="false">IF($B221=-1, -1, VLOOKUP(D221,$Y$1:$Z$22,2))</f>
        <v>4</v>
      </c>
      <c r="H221" s="16" t="str">
        <f aca="false">_xlfn.UNICHAR(((F221*21)+G221)*28+44032)</f>
        <v>뻐</v>
      </c>
      <c r="I221" s="16" t="n">
        <f aca="false">IF(B221=-1, 1, COUNTIF($A$2:$A$3000, H221))</f>
        <v>1</v>
      </c>
      <c r="J221" s="10" t="str">
        <f aca="false">_xlfn.CONCAT(A221, ",",H221,",",I221)</f>
        <v>꼭,뻐,1</v>
      </c>
      <c r="K221" s="16" t="n">
        <f aca="false">IF(B221=-1,-1,VLOOKUP(C221,$T$1:$V$20,3))</f>
        <v>1</v>
      </c>
      <c r="L221" s="16" t="n">
        <f aca="false">IF(B221=-1,-1,VLOOKUP(D221,$Y$1:$AA$22,3))</f>
        <v>8</v>
      </c>
      <c r="N221" s="10" t="str">
        <f aca="false">_xlfn.UNICHAR(((C221*21)+G221)*28+44032)</f>
        <v>꺼</v>
      </c>
      <c r="O221" s="10" t="str">
        <f aca="false">_xlfn.UNICHAR(((F221*21)+D221)*28+44032)</f>
        <v>뽀</v>
      </c>
      <c r="P221" s="12" t="n">
        <f aca="false">COUNTIF($A$2:$A$3000, N221) + COUNTIF($A$2:$A$3000, O221)</f>
        <v>2</v>
      </c>
      <c r="Q221" s="16" t="str">
        <f aca="false">IF(OR(B221=-1,I221=0, P221&lt;&gt;2), "albhed_dummy", _xlfn.CONCAT("albhed ", RIGHT("  " &amp; K221,2),", ", RIGHT("  " &amp; L221,2), ", " ,"""",H221,""", ", """",N221,""", ","""",O221,""""," ; ", A221))</f>
        <v>albhed  1,  8, "뻐", "꺼", "뽀" ; 꼭</v>
      </c>
    </row>
    <row r="222" customFormat="false" ht="17.9" hidden="false" customHeight="true" outlineLevel="0" collapsed="false">
      <c r="A222" s="16" t="s">
        <v>1101</v>
      </c>
      <c r="B222" s="16" t="n">
        <f aca="false">IF(_xlfn.UNICODE(A222)&lt;44032,-1,_xlfn.UNICODE(A222)-44032)</f>
        <v>816</v>
      </c>
      <c r="C222" s="16" t="n">
        <f aca="false">IF(B222=-1,-1,INT((B222/28)/21))</f>
        <v>1</v>
      </c>
      <c r="D222" s="16" t="n">
        <f aca="false">IF(B222=-1, -1, MOD(INT(B222/28),21))</f>
        <v>8</v>
      </c>
      <c r="E222" s="16" t="n">
        <f aca="false">IF(B222=-1, -1, VLOOKUP(MOD(B222,28), $T$24:$U$52,2))</f>
        <v>4</v>
      </c>
      <c r="F222" s="16" t="n">
        <f aca="false">IF($B222=-1, -1, VLOOKUP(C222,$T$1:$V$20, 2))</f>
        <v>8</v>
      </c>
      <c r="G222" s="16" t="n">
        <f aca="false">IF($B222=-1, -1, VLOOKUP(D222,$Y$1:$Z$22,2))</f>
        <v>4</v>
      </c>
      <c r="H222" s="16" t="str">
        <f aca="false">_xlfn.UNICHAR(((F222*21)+G222)*28+44032)</f>
        <v>뻐</v>
      </c>
      <c r="I222" s="16" t="n">
        <f aca="false">IF(B222=-1, 1, COUNTIF($A$2:$A$3000, H222))</f>
        <v>1</v>
      </c>
      <c r="J222" s="10" t="str">
        <f aca="false">_xlfn.CONCAT(A222, ",",H222,",",I222)</f>
        <v>꼰,뻐,1</v>
      </c>
      <c r="K222" s="16" t="n">
        <f aca="false">IF(B222=-1,-1,VLOOKUP(C222,$T$1:$V$20,3))</f>
        <v>1</v>
      </c>
      <c r="L222" s="16" t="n">
        <f aca="false">IF(B222=-1,-1,VLOOKUP(D222,$Y$1:$AA$22,3))</f>
        <v>8</v>
      </c>
      <c r="N222" s="10" t="str">
        <f aca="false">_xlfn.UNICHAR(((C222*21)+G222)*28+44032)</f>
        <v>꺼</v>
      </c>
      <c r="O222" s="10" t="str">
        <f aca="false">_xlfn.UNICHAR(((F222*21)+D222)*28+44032)</f>
        <v>뽀</v>
      </c>
      <c r="P222" s="12" t="n">
        <f aca="false">COUNTIF($A$2:$A$3000, N222) + COUNTIF($A$2:$A$3000, O222)</f>
        <v>2</v>
      </c>
      <c r="Q222" s="16" t="str">
        <f aca="false">IF(OR(B222=-1,I222=0, P222&lt;&gt;2), "albhed_dummy", _xlfn.CONCAT("albhed ", RIGHT("  " &amp; K222,2),", ", RIGHT("  " &amp; L222,2), ", " ,"""",H222,""", ", """",N222,""", ","""",O222,""""," ; ", A222))</f>
        <v>albhed  1,  8, "뻐", "꺼", "뽀" ; 꼰</v>
      </c>
    </row>
    <row r="223" customFormat="false" ht="17.9" hidden="false" customHeight="true" outlineLevel="0" collapsed="false">
      <c r="A223" s="16" t="s">
        <v>1102</v>
      </c>
      <c r="B223" s="16" t="n">
        <f aca="false">IF(_xlfn.UNICODE(A223)&lt;44032,-1,_xlfn.UNICODE(A223)-44032)</f>
        <v>818</v>
      </c>
      <c r="C223" s="16" t="n">
        <f aca="false">IF(B223=-1,-1,INT((B223/28)/21))</f>
        <v>1</v>
      </c>
      <c r="D223" s="16" t="n">
        <f aca="false">IF(B223=-1, -1, MOD(INT(B223/28),21))</f>
        <v>8</v>
      </c>
      <c r="E223" s="16" t="n">
        <f aca="false">IF(B223=-1, -1, VLOOKUP(MOD(B223,28), $T$24:$U$52,2))</f>
        <v>4</v>
      </c>
      <c r="F223" s="16" t="n">
        <f aca="false">IF($B223=-1, -1, VLOOKUP(C223,$T$1:$V$20, 2))</f>
        <v>8</v>
      </c>
      <c r="G223" s="16" t="n">
        <f aca="false">IF($B223=-1, -1, VLOOKUP(D223,$Y$1:$Z$22,2))</f>
        <v>4</v>
      </c>
      <c r="H223" s="16" t="str">
        <f aca="false">_xlfn.UNICHAR(((F223*21)+G223)*28+44032)</f>
        <v>뻐</v>
      </c>
      <c r="I223" s="16" t="n">
        <f aca="false">IF(B223=-1, 1, COUNTIF($A$2:$A$3000, H223))</f>
        <v>1</v>
      </c>
      <c r="J223" s="10" t="str">
        <f aca="false">_xlfn.CONCAT(A223, ",",H223,",",I223)</f>
        <v>꼲,뻐,1</v>
      </c>
      <c r="K223" s="16" t="n">
        <f aca="false">IF(B223=-1,-1,VLOOKUP(C223,$T$1:$V$20,3))</f>
        <v>1</v>
      </c>
      <c r="L223" s="16" t="n">
        <f aca="false">IF(B223=-1,-1,VLOOKUP(D223,$Y$1:$AA$22,3))</f>
        <v>8</v>
      </c>
      <c r="N223" s="10" t="str">
        <f aca="false">_xlfn.UNICHAR(((C223*21)+G223)*28+44032)</f>
        <v>꺼</v>
      </c>
      <c r="O223" s="10" t="str">
        <f aca="false">_xlfn.UNICHAR(((F223*21)+D223)*28+44032)</f>
        <v>뽀</v>
      </c>
      <c r="P223" s="12" t="n">
        <f aca="false">COUNTIF($A$2:$A$3000, N223) + COUNTIF($A$2:$A$3000, O223)</f>
        <v>2</v>
      </c>
      <c r="Q223" s="16" t="str">
        <f aca="false">IF(OR(B223=-1,I223=0, P223&lt;&gt;2), "albhed_dummy", _xlfn.CONCAT("albhed ", RIGHT("  " &amp; K223,2),", ", RIGHT("  " &amp; L223,2), ", " ,"""",H223,""", ", """",N223,""", ","""",O223,""""," ; ", A223))</f>
        <v>albhed  1,  8, "뻐", "꺼", "뽀" ; 꼲</v>
      </c>
    </row>
    <row r="224" customFormat="false" ht="17.9" hidden="false" customHeight="true" outlineLevel="0" collapsed="false">
      <c r="A224" s="16" t="s">
        <v>1103</v>
      </c>
      <c r="B224" s="16" t="n">
        <f aca="false">IF(_xlfn.UNICODE(A224)&lt;44032,-1,_xlfn.UNICODE(A224)-44032)</f>
        <v>820</v>
      </c>
      <c r="C224" s="16" t="n">
        <f aca="false">IF(B224=-1,-1,INT((B224/28)/21))</f>
        <v>1</v>
      </c>
      <c r="D224" s="16" t="n">
        <f aca="false">IF(B224=-1, -1, MOD(INT(B224/28),21))</f>
        <v>8</v>
      </c>
      <c r="E224" s="16" t="n">
        <f aca="false">IF(B224=-1, -1, VLOOKUP(MOD(B224,28), $T$24:$U$52,2))</f>
        <v>8</v>
      </c>
      <c r="F224" s="16" t="n">
        <f aca="false">IF($B224=-1, -1, VLOOKUP(C224,$T$1:$V$20, 2))</f>
        <v>8</v>
      </c>
      <c r="G224" s="16" t="n">
        <f aca="false">IF($B224=-1, -1, VLOOKUP(D224,$Y$1:$Z$22,2))</f>
        <v>4</v>
      </c>
      <c r="H224" s="16" t="str">
        <f aca="false">_xlfn.UNICHAR(((F224*21)+G224)*28+44032)</f>
        <v>뻐</v>
      </c>
      <c r="I224" s="16" t="n">
        <f aca="false">IF(B224=-1, 1, COUNTIF($A$2:$A$3000, H224))</f>
        <v>1</v>
      </c>
      <c r="J224" s="10" t="str">
        <f aca="false">_xlfn.CONCAT(A224, ",",H224,",",I224)</f>
        <v>꼴,뻐,1</v>
      </c>
      <c r="K224" s="16" t="n">
        <f aca="false">IF(B224=-1,-1,VLOOKUP(C224,$T$1:$V$20,3))</f>
        <v>1</v>
      </c>
      <c r="L224" s="16" t="n">
        <f aca="false">IF(B224=-1,-1,VLOOKUP(D224,$Y$1:$AA$22,3))</f>
        <v>8</v>
      </c>
      <c r="N224" s="10" t="str">
        <f aca="false">_xlfn.UNICHAR(((C224*21)+G224)*28+44032)</f>
        <v>꺼</v>
      </c>
      <c r="O224" s="10" t="str">
        <f aca="false">_xlfn.UNICHAR(((F224*21)+D224)*28+44032)</f>
        <v>뽀</v>
      </c>
      <c r="P224" s="12" t="n">
        <f aca="false">COUNTIF($A$2:$A$3000, N224) + COUNTIF($A$2:$A$3000, O224)</f>
        <v>2</v>
      </c>
      <c r="Q224" s="16" t="str">
        <f aca="false">IF(OR(B224=-1,I224=0, P224&lt;&gt;2), "albhed_dummy", _xlfn.CONCAT("albhed ", RIGHT("  " &amp; K224,2),", ", RIGHT("  " &amp; L224,2), ", " ,"""",H224,""", ", """",N224,""", ","""",O224,""""," ; ", A224))</f>
        <v>albhed  1,  8, "뻐", "꺼", "뽀" ; 꼴</v>
      </c>
    </row>
    <row r="225" customFormat="false" ht="17.9" hidden="false" customHeight="true" outlineLevel="0" collapsed="false">
      <c r="A225" s="16" t="s">
        <v>1104</v>
      </c>
      <c r="B225" s="16" t="n">
        <f aca="false">IF(_xlfn.UNICODE(A225)&lt;44032,-1,_xlfn.UNICODE(A225)-44032)</f>
        <v>828</v>
      </c>
      <c r="C225" s="16" t="n">
        <f aca="false">IF(B225=-1,-1,INT((B225/28)/21))</f>
        <v>1</v>
      </c>
      <c r="D225" s="16" t="n">
        <f aca="false">IF(B225=-1, -1, MOD(INT(B225/28),21))</f>
        <v>8</v>
      </c>
      <c r="E225" s="16" t="n">
        <f aca="false">IF(B225=-1, -1, VLOOKUP(MOD(B225,28), $T$24:$U$52,2))</f>
        <v>16</v>
      </c>
      <c r="F225" s="16" t="n">
        <f aca="false">IF($B225=-1, -1, VLOOKUP(C225,$T$1:$V$20, 2))</f>
        <v>8</v>
      </c>
      <c r="G225" s="16" t="n">
        <f aca="false">IF($B225=-1, -1, VLOOKUP(D225,$Y$1:$Z$22,2))</f>
        <v>4</v>
      </c>
      <c r="H225" s="16" t="str">
        <f aca="false">_xlfn.UNICHAR(((F225*21)+G225)*28+44032)</f>
        <v>뻐</v>
      </c>
      <c r="I225" s="16" t="n">
        <f aca="false">IF(B225=-1, 1, COUNTIF($A$2:$A$3000, H225))</f>
        <v>1</v>
      </c>
      <c r="J225" s="10" t="str">
        <f aca="false">_xlfn.CONCAT(A225, ",",H225,",",I225)</f>
        <v>꼼,뻐,1</v>
      </c>
      <c r="K225" s="16" t="n">
        <f aca="false">IF(B225=-1,-1,VLOOKUP(C225,$T$1:$V$20,3))</f>
        <v>1</v>
      </c>
      <c r="L225" s="16" t="n">
        <f aca="false">IF(B225=-1,-1,VLOOKUP(D225,$Y$1:$AA$22,3))</f>
        <v>8</v>
      </c>
      <c r="N225" s="10" t="str">
        <f aca="false">_xlfn.UNICHAR(((C225*21)+G225)*28+44032)</f>
        <v>꺼</v>
      </c>
      <c r="O225" s="10" t="str">
        <f aca="false">_xlfn.UNICHAR(((F225*21)+D225)*28+44032)</f>
        <v>뽀</v>
      </c>
      <c r="P225" s="12" t="n">
        <f aca="false">COUNTIF($A$2:$A$3000, N225) + COUNTIF($A$2:$A$3000, O225)</f>
        <v>2</v>
      </c>
      <c r="Q225" s="16" t="str">
        <f aca="false">IF(OR(B225=-1,I225=0, P225&lt;&gt;2), "albhed_dummy", _xlfn.CONCAT("albhed ", RIGHT("  " &amp; K225,2),", ", RIGHT("  " &amp; L225,2), ", " ,"""",H225,""", ", """",N225,""", ","""",O225,""""," ; ", A225))</f>
        <v>albhed  1,  8, "뻐", "꺼", "뽀" ; 꼼</v>
      </c>
    </row>
    <row r="226" customFormat="false" ht="17.9" hidden="false" customHeight="true" outlineLevel="0" collapsed="false">
      <c r="A226" s="16" t="s">
        <v>1105</v>
      </c>
      <c r="B226" s="16" t="n">
        <f aca="false">IF(_xlfn.UNICODE(A226)&lt;44032,-1,_xlfn.UNICODE(A226)-44032)</f>
        <v>829</v>
      </c>
      <c r="C226" s="16" t="n">
        <f aca="false">IF(B226=-1,-1,INT((B226/28)/21))</f>
        <v>1</v>
      </c>
      <c r="D226" s="16" t="n">
        <f aca="false">IF(B226=-1, -1, MOD(INT(B226/28),21))</f>
        <v>8</v>
      </c>
      <c r="E226" s="16" t="n">
        <f aca="false">IF(B226=-1, -1, VLOOKUP(MOD(B226,28), $T$24:$U$52,2))</f>
        <v>17</v>
      </c>
      <c r="F226" s="16" t="n">
        <f aca="false">IF($B226=-1, -1, VLOOKUP(C226,$T$1:$V$20, 2))</f>
        <v>8</v>
      </c>
      <c r="G226" s="16" t="n">
        <f aca="false">IF($B226=-1, -1, VLOOKUP(D226,$Y$1:$Z$22,2))</f>
        <v>4</v>
      </c>
      <c r="H226" s="16" t="str">
        <f aca="false">_xlfn.UNICHAR(((F226*21)+G226)*28+44032)</f>
        <v>뻐</v>
      </c>
      <c r="I226" s="16" t="n">
        <f aca="false">IF(B226=-1, 1, COUNTIF($A$2:$A$3000, H226))</f>
        <v>1</v>
      </c>
      <c r="J226" s="10" t="str">
        <f aca="false">_xlfn.CONCAT(A226, ",",H226,",",I226)</f>
        <v>꼽,뻐,1</v>
      </c>
      <c r="K226" s="16" t="n">
        <f aca="false">IF(B226=-1,-1,VLOOKUP(C226,$T$1:$V$20,3))</f>
        <v>1</v>
      </c>
      <c r="L226" s="16" t="n">
        <f aca="false">IF(B226=-1,-1,VLOOKUP(D226,$Y$1:$AA$22,3))</f>
        <v>8</v>
      </c>
      <c r="N226" s="10" t="str">
        <f aca="false">_xlfn.UNICHAR(((C226*21)+G226)*28+44032)</f>
        <v>꺼</v>
      </c>
      <c r="O226" s="10" t="str">
        <f aca="false">_xlfn.UNICHAR(((F226*21)+D226)*28+44032)</f>
        <v>뽀</v>
      </c>
      <c r="P226" s="12" t="n">
        <f aca="false">COUNTIF($A$2:$A$3000, N226) + COUNTIF($A$2:$A$3000, O226)</f>
        <v>2</v>
      </c>
      <c r="Q226" s="16" t="str">
        <f aca="false">IF(OR(B226=-1,I226=0, P226&lt;&gt;2), "albhed_dummy", _xlfn.CONCAT("albhed ", RIGHT("  " &amp; K226,2),", ", RIGHT("  " &amp; L226,2), ", " ,"""",H226,""", ", """",N226,""", ","""",O226,""""," ; ", A226))</f>
        <v>albhed  1,  8, "뻐", "꺼", "뽀" ; 꼽</v>
      </c>
    </row>
    <row r="227" customFormat="false" ht="17.9" hidden="false" customHeight="true" outlineLevel="0" collapsed="false">
      <c r="A227" s="16" t="s">
        <v>1106</v>
      </c>
      <c r="B227" s="16" t="n">
        <f aca="false">IF(_xlfn.UNICODE(A227)&lt;44032,-1,_xlfn.UNICODE(A227)-44032)</f>
        <v>831</v>
      </c>
      <c r="C227" s="16" t="n">
        <f aca="false">IF(B227=-1,-1,INT((B227/28)/21))</f>
        <v>1</v>
      </c>
      <c r="D227" s="16" t="n">
        <f aca="false">IF(B227=-1, -1, MOD(INT(B227/28),21))</f>
        <v>8</v>
      </c>
      <c r="E227" s="16" t="n">
        <f aca="false">IF(B227=-1, -1, VLOOKUP(MOD(B227,28), $T$24:$U$52,2))</f>
        <v>19</v>
      </c>
      <c r="F227" s="16" t="n">
        <f aca="false">IF($B227=-1, -1, VLOOKUP(C227,$T$1:$V$20, 2))</f>
        <v>8</v>
      </c>
      <c r="G227" s="16" t="n">
        <f aca="false">IF($B227=-1, -1, VLOOKUP(D227,$Y$1:$Z$22,2))</f>
        <v>4</v>
      </c>
      <c r="H227" s="16" t="str">
        <f aca="false">_xlfn.UNICHAR(((F227*21)+G227)*28+44032)</f>
        <v>뻐</v>
      </c>
      <c r="I227" s="16" t="n">
        <f aca="false">IF(B227=-1, 1, COUNTIF($A$2:$A$3000, H227))</f>
        <v>1</v>
      </c>
      <c r="J227" s="10" t="str">
        <f aca="false">_xlfn.CONCAT(A227, ",",H227,",",I227)</f>
        <v>꼿,뻐,1</v>
      </c>
      <c r="K227" s="16" t="n">
        <f aca="false">IF(B227=-1,-1,VLOOKUP(C227,$T$1:$V$20,3))</f>
        <v>1</v>
      </c>
      <c r="L227" s="16" t="n">
        <f aca="false">IF(B227=-1,-1,VLOOKUP(D227,$Y$1:$AA$22,3))</f>
        <v>8</v>
      </c>
      <c r="N227" s="10" t="str">
        <f aca="false">_xlfn.UNICHAR(((C227*21)+G227)*28+44032)</f>
        <v>꺼</v>
      </c>
      <c r="O227" s="10" t="str">
        <f aca="false">_xlfn.UNICHAR(((F227*21)+D227)*28+44032)</f>
        <v>뽀</v>
      </c>
      <c r="P227" s="12" t="n">
        <f aca="false">COUNTIF($A$2:$A$3000, N227) + COUNTIF($A$2:$A$3000, O227)</f>
        <v>2</v>
      </c>
      <c r="Q227" s="16" t="str">
        <f aca="false">IF(OR(B227=-1,I227=0, P227&lt;&gt;2), "albhed_dummy", _xlfn.CONCAT("albhed ", RIGHT("  " &amp; K227,2),", ", RIGHT("  " &amp; L227,2), ", " ,"""",H227,""", ", """",N227,""", ","""",O227,""""," ; ", A227))</f>
        <v>albhed  1,  8, "뻐", "꺼", "뽀" ; 꼿</v>
      </c>
    </row>
    <row r="228" customFormat="false" ht="17.9" hidden="false" customHeight="true" outlineLevel="0" collapsed="false">
      <c r="A228" s="16" t="s">
        <v>1107</v>
      </c>
      <c r="B228" s="16" t="n">
        <f aca="false">IF(_xlfn.UNICODE(A228)&lt;44032,-1,_xlfn.UNICODE(A228)-44032)</f>
        <v>833</v>
      </c>
      <c r="C228" s="16" t="n">
        <f aca="false">IF(B228=-1,-1,INT((B228/28)/21))</f>
        <v>1</v>
      </c>
      <c r="D228" s="16" t="n">
        <f aca="false">IF(B228=-1, -1, MOD(INT(B228/28),21))</f>
        <v>8</v>
      </c>
      <c r="E228" s="16" t="n">
        <f aca="false">IF(B228=-1, -1, VLOOKUP(MOD(B228,28), $T$24:$U$52,2))</f>
        <v>21</v>
      </c>
      <c r="F228" s="16" t="n">
        <f aca="false">IF($B228=-1, -1, VLOOKUP(C228,$T$1:$V$20, 2))</f>
        <v>8</v>
      </c>
      <c r="G228" s="16" t="n">
        <f aca="false">IF($B228=-1, -1, VLOOKUP(D228,$Y$1:$Z$22,2))</f>
        <v>4</v>
      </c>
      <c r="H228" s="16" t="str">
        <f aca="false">_xlfn.UNICHAR(((F228*21)+G228)*28+44032)</f>
        <v>뻐</v>
      </c>
      <c r="I228" s="16" t="n">
        <f aca="false">IF(B228=-1, 1, COUNTIF($A$2:$A$3000, H228))</f>
        <v>1</v>
      </c>
      <c r="J228" s="10" t="str">
        <f aca="false">_xlfn.CONCAT(A228, ",",H228,",",I228)</f>
        <v>꽁,뻐,1</v>
      </c>
      <c r="K228" s="16" t="n">
        <f aca="false">IF(B228=-1,-1,VLOOKUP(C228,$T$1:$V$20,3))</f>
        <v>1</v>
      </c>
      <c r="L228" s="16" t="n">
        <f aca="false">IF(B228=-1,-1,VLOOKUP(D228,$Y$1:$AA$22,3))</f>
        <v>8</v>
      </c>
      <c r="N228" s="10" t="str">
        <f aca="false">_xlfn.UNICHAR(((C228*21)+G228)*28+44032)</f>
        <v>꺼</v>
      </c>
      <c r="O228" s="10" t="str">
        <f aca="false">_xlfn.UNICHAR(((F228*21)+D228)*28+44032)</f>
        <v>뽀</v>
      </c>
      <c r="P228" s="12" t="n">
        <f aca="false">COUNTIF($A$2:$A$3000, N228) + COUNTIF($A$2:$A$3000, O228)</f>
        <v>2</v>
      </c>
      <c r="Q228" s="16" t="str">
        <f aca="false">IF(OR(B228=-1,I228=0, P228&lt;&gt;2), "albhed_dummy", _xlfn.CONCAT("albhed ", RIGHT("  " &amp; K228,2),", ", RIGHT("  " &amp; L228,2), ", " ,"""",H228,""", ", """",N228,""", ","""",O228,""""," ; ", A228))</f>
        <v>albhed  1,  8, "뻐", "꺼", "뽀" ; 꽁</v>
      </c>
    </row>
    <row r="229" customFormat="false" ht="17.9" hidden="false" customHeight="true" outlineLevel="0" collapsed="false">
      <c r="A229" s="16" t="s">
        <v>1108</v>
      </c>
      <c r="B229" s="16" t="n">
        <f aca="false">IF(_xlfn.UNICODE(A229)&lt;44032,-1,_xlfn.UNICODE(A229)-44032)</f>
        <v>834</v>
      </c>
      <c r="C229" s="16" t="n">
        <f aca="false">IF(B229=-1,-1,INT((B229/28)/21))</f>
        <v>1</v>
      </c>
      <c r="D229" s="16" t="n">
        <f aca="false">IF(B229=-1, -1, MOD(INT(B229/28),21))</f>
        <v>8</v>
      </c>
      <c r="E229" s="16" t="n">
        <f aca="false">IF(B229=-1, -1, VLOOKUP(MOD(B229,28), $T$24:$U$52,2))</f>
        <v>19</v>
      </c>
      <c r="F229" s="16" t="n">
        <f aca="false">IF($B229=-1, -1, VLOOKUP(C229,$T$1:$V$20, 2))</f>
        <v>8</v>
      </c>
      <c r="G229" s="16" t="n">
        <f aca="false">IF($B229=-1, -1, VLOOKUP(D229,$Y$1:$Z$22,2))</f>
        <v>4</v>
      </c>
      <c r="H229" s="16" t="str">
        <f aca="false">_xlfn.UNICHAR(((F229*21)+G229)*28+44032)</f>
        <v>뻐</v>
      </c>
      <c r="I229" s="16" t="n">
        <f aca="false">IF(B229=-1, 1, COUNTIF($A$2:$A$3000, H229))</f>
        <v>1</v>
      </c>
      <c r="J229" s="10" t="str">
        <f aca="false">_xlfn.CONCAT(A229, ",",H229,",",I229)</f>
        <v>꽂,뻐,1</v>
      </c>
      <c r="K229" s="16" t="n">
        <f aca="false">IF(B229=-1,-1,VLOOKUP(C229,$T$1:$V$20,3))</f>
        <v>1</v>
      </c>
      <c r="L229" s="16" t="n">
        <f aca="false">IF(B229=-1,-1,VLOOKUP(D229,$Y$1:$AA$22,3))</f>
        <v>8</v>
      </c>
      <c r="N229" s="10" t="str">
        <f aca="false">_xlfn.UNICHAR(((C229*21)+G229)*28+44032)</f>
        <v>꺼</v>
      </c>
      <c r="O229" s="10" t="str">
        <f aca="false">_xlfn.UNICHAR(((F229*21)+D229)*28+44032)</f>
        <v>뽀</v>
      </c>
      <c r="P229" s="12" t="n">
        <f aca="false">COUNTIF($A$2:$A$3000, N229) + COUNTIF($A$2:$A$3000, O229)</f>
        <v>2</v>
      </c>
      <c r="Q229" s="16" t="str">
        <f aca="false">IF(OR(B229=-1,I229=0, P229&lt;&gt;2), "albhed_dummy", _xlfn.CONCAT("albhed ", RIGHT("  " &amp; K229,2),", ", RIGHT("  " &amp; L229,2), ", " ,"""",H229,""", ", """",N229,""", ","""",O229,""""," ; ", A229))</f>
        <v>albhed  1,  8, "뻐", "꺼", "뽀" ; 꽂</v>
      </c>
    </row>
    <row r="230" customFormat="false" ht="17.9" hidden="false" customHeight="true" outlineLevel="0" collapsed="false">
      <c r="A230" s="16" t="s">
        <v>1109</v>
      </c>
      <c r="B230" s="16" t="n">
        <f aca="false">IF(_xlfn.UNICODE(A230)&lt;44032,-1,_xlfn.UNICODE(A230)-44032)</f>
        <v>835</v>
      </c>
      <c r="C230" s="16" t="n">
        <f aca="false">IF(B230=-1,-1,INT((B230/28)/21))</f>
        <v>1</v>
      </c>
      <c r="D230" s="16" t="n">
        <f aca="false">IF(B230=-1, -1, MOD(INT(B230/28),21))</f>
        <v>8</v>
      </c>
      <c r="E230" s="16" t="n">
        <f aca="false">IF(B230=-1, -1, VLOOKUP(MOD(B230,28), $T$24:$U$52,2))</f>
        <v>19</v>
      </c>
      <c r="F230" s="16" t="n">
        <f aca="false">IF($B230=-1, -1, VLOOKUP(C230,$T$1:$V$20, 2))</f>
        <v>8</v>
      </c>
      <c r="G230" s="16" t="n">
        <f aca="false">IF($B230=-1, -1, VLOOKUP(D230,$Y$1:$Z$22,2))</f>
        <v>4</v>
      </c>
      <c r="H230" s="16" t="str">
        <f aca="false">_xlfn.UNICHAR(((F230*21)+G230)*28+44032)</f>
        <v>뻐</v>
      </c>
      <c r="I230" s="16" t="n">
        <f aca="false">IF(B230=-1, 1, COUNTIF($A$2:$A$3000, H230))</f>
        <v>1</v>
      </c>
      <c r="J230" s="10" t="str">
        <f aca="false">_xlfn.CONCAT(A230, ",",H230,",",I230)</f>
        <v>꽃,뻐,1</v>
      </c>
      <c r="K230" s="16" t="n">
        <f aca="false">IF(B230=-1,-1,VLOOKUP(C230,$T$1:$V$20,3))</f>
        <v>1</v>
      </c>
      <c r="L230" s="16" t="n">
        <f aca="false">IF(B230=-1,-1,VLOOKUP(D230,$Y$1:$AA$22,3))</f>
        <v>8</v>
      </c>
      <c r="N230" s="10" t="str">
        <f aca="false">_xlfn.UNICHAR(((C230*21)+G230)*28+44032)</f>
        <v>꺼</v>
      </c>
      <c r="O230" s="10" t="str">
        <f aca="false">_xlfn.UNICHAR(((F230*21)+D230)*28+44032)</f>
        <v>뽀</v>
      </c>
      <c r="P230" s="12" t="n">
        <f aca="false">COUNTIF($A$2:$A$3000, N230) + COUNTIF($A$2:$A$3000, O230)</f>
        <v>2</v>
      </c>
      <c r="Q230" s="16" t="str">
        <f aca="false">IF(OR(B230=-1,I230=0, P230&lt;&gt;2), "albhed_dummy", _xlfn.CONCAT("albhed ", RIGHT("  " &amp; K230,2),", ", RIGHT("  " &amp; L230,2), ", " ,"""",H230,""", ", """",N230,""", ","""",O230,""""," ; ", A230))</f>
        <v>albhed  1,  8, "뻐", "꺼", "뽀" ; 꽃</v>
      </c>
    </row>
    <row r="231" customFormat="false" ht="17.9" hidden="false" customHeight="true" outlineLevel="0" collapsed="false">
      <c r="A231" s="16" t="s">
        <v>1110</v>
      </c>
      <c r="B231" s="16" t="n">
        <f aca="false">IF(_xlfn.UNICODE(A231)&lt;44032,-1,_xlfn.UNICODE(A231)-44032)</f>
        <v>840</v>
      </c>
      <c r="C231" s="16" t="n">
        <f aca="false">IF(B231=-1,-1,INT((B231/28)/21))</f>
        <v>1</v>
      </c>
      <c r="D231" s="16" t="n">
        <f aca="false">IF(B231=-1, -1, MOD(INT(B231/28),21))</f>
        <v>9</v>
      </c>
      <c r="E231" s="16" t="n">
        <f aca="false">IF(B231=-1, -1, VLOOKUP(MOD(B231,28), $T$24:$U$52,2))</f>
        <v>0</v>
      </c>
      <c r="F231" s="16" t="n">
        <f aca="false">IF($B231=-1, -1, VLOOKUP(C231,$T$1:$V$20, 2))</f>
        <v>8</v>
      </c>
      <c r="G231" s="16" t="n">
        <f aca="false">IF($B231=-1, -1, VLOOKUP(D231,$Y$1:$Z$22,2))</f>
        <v>20</v>
      </c>
      <c r="H231" s="16" t="str">
        <f aca="false">_xlfn.UNICHAR(((F231*21)+G231)*28+44032)</f>
        <v>삐</v>
      </c>
      <c r="I231" s="16" t="n">
        <f aca="false">IF(B231=-1, 1, COUNTIF($A$2:$A$3000, H231))</f>
        <v>1</v>
      </c>
      <c r="J231" s="10" t="str">
        <f aca="false">_xlfn.CONCAT(A231, ",",H231,",",I231)</f>
        <v>꽈,삐,1</v>
      </c>
      <c r="K231" s="16" t="n">
        <f aca="false">IF(B231=-1,-1,VLOOKUP(C231,$T$1:$V$20,3))</f>
        <v>1</v>
      </c>
      <c r="L231" s="16" t="n">
        <f aca="false">IF(B231=-1,-1,VLOOKUP(D231,$Y$1:$AA$22,3))</f>
        <v>12</v>
      </c>
      <c r="N231" s="10" t="str">
        <f aca="false">_xlfn.UNICHAR(((C231*21)+G231)*28+44032)</f>
        <v>끼</v>
      </c>
      <c r="O231" s="10" t="str">
        <f aca="false">_xlfn.UNICHAR(((F231*21)+D231)*28+44032)</f>
        <v>뽜</v>
      </c>
      <c r="P231" s="12" t="n">
        <f aca="false">COUNTIF($A$2:$A$3000, N231) + COUNTIF($A$2:$A$3000, O231)</f>
        <v>1</v>
      </c>
      <c r="Q231" s="16" t="str">
        <f aca="false">IF(OR(B231=-1,I231=0, P231&lt;&gt;2), "albhed_dummy", _xlfn.CONCAT("albhed ", RIGHT("  " &amp; K231,2),", ", RIGHT("  " &amp; L231,2), ", " ,"""",H231,""", ", """",N231,""", ","""",O231,""""," ; ", A231))</f>
        <v>albhed_dummy</v>
      </c>
    </row>
    <row r="232" customFormat="false" ht="17.9" hidden="false" customHeight="true" outlineLevel="0" collapsed="false">
      <c r="A232" s="16" t="s">
        <v>1111</v>
      </c>
      <c r="B232" s="16" t="n">
        <f aca="false">IF(_xlfn.UNICODE(A232)&lt;44032,-1,_xlfn.UNICODE(A232)-44032)</f>
        <v>841</v>
      </c>
      <c r="C232" s="16" t="n">
        <f aca="false">IF(B232=-1,-1,INT((B232/28)/21))</f>
        <v>1</v>
      </c>
      <c r="D232" s="16" t="n">
        <f aca="false">IF(B232=-1, -1, MOD(INT(B232/28),21))</f>
        <v>9</v>
      </c>
      <c r="E232" s="16" t="n">
        <f aca="false">IF(B232=-1, -1, VLOOKUP(MOD(B232,28), $T$24:$U$52,2))</f>
        <v>1</v>
      </c>
      <c r="F232" s="16" t="n">
        <f aca="false">IF($B232=-1, -1, VLOOKUP(C232,$T$1:$V$20, 2))</f>
        <v>8</v>
      </c>
      <c r="G232" s="16" t="n">
        <f aca="false">IF($B232=-1, -1, VLOOKUP(D232,$Y$1:$Z$22,2))</f>
        <v>20</v>
      </c>
      <c r="H232" s="16" t="str">
        <f aca="false">_xlfn.UNICHAR(((F232*21)+G232)*28+44032)</f>
        <v>삐</v>
      </c>
      <c r="I232" s="16" t="n">
        <f aca="false">IF(B232=-1, 1, COUNTIF($A$2:$A$3000, H232))</f>
        <v>1</v>
      </c>
      <c r="J232" s="10" t="str">
        <f aca="false">_xlfn.CONCAT(A232, ",",H232,",",I232)</f>
        <v>꽉,삐,1</v>
      </c>
      <c r="K232" s="16" t="n">
        <f aca="false">IF(B232=-1,-1,VLOOKUP(C232,$T$1:$V$20,3))</f>
        <v>1</v>
      </c>
      <c r="L232" s="16" t="n">
        <f aca="false">IF(B232=-1,-1,VLOOKUP(D232,$Y$1:$AA$22,3))</f>
        <v>12</v>
      </c>
      <c r="N232" s="10" t="str">
        <f aca="false">_xlfn.UNICHAR(((C232*21)+G232)*28+44032)</f>
        <v>끼</v>
      </c>
      <c r="O232" s="10" t="str">
        <f aca="false">_xlfn.UNICHAR(((F232*21)+D232)*28+44032)</f>
        <v>뽜</v>
      </c>
      <c r="P232" s="12" t="n">
        <f aca="false">COUNTIF($A$2:$A$3000, N232) + COUNTIF($A$2:$A$3000, O232)</f>
        <v>1</v>
      </c>
      <c r="Q232" s="16" t="str">
        <f aca="false">IF(OR(B232=-1,I232=0, P232&lt;&gt;2), "albhed_dummy", _xlfn.CONCAT("albhed ", RIGHT("  " &amp; K232,2),", ", RIGHT("  " &amp; L232,2), ", " ,"""",H232,""", ", """",N232,""", ","""",O232,""""," ; ", A232))</f>
        <v>albhed_dummy</v>
      </c>
    </row>
    <row r="233" customFormat="false" ht="17.9" hidden="false" customHeight="true" outlineLevel="0" collapsed="false">
      <c r="A233" s="16" t="s">
        <v>1112</v>
      </c>
      <c r="B233" s="16" t="n">
        <f aca="false">IF(_xlfn.UNICODE(A233)&lt;44032,-1,_xlfn.UNICODE(A233)-44032)</f>
        <v>848</v>
      </c>
      <c r="C233" s="16" t="n">
        <f aca="false">IF(B233=-1,-1,INT((B233/28)/21))</f>
        <v>1</v>
      </c>
      <c r="D233" s="16" t="n">
        <f aca="false">IF(B233=-1, -1, MOD(INT(B233/28),21))</f>
        <v>9</v>
      </c>
      <c r="E233" s="16" t="n">
        <f aca="false">IF(B233=-1, -1, VLOOKUP(MOD(B233,28), $T$24:$U$52,2))</f>
        <v>8</v>
      </c>
      <c r="F233" s="16" t="n">
        <f aca="false">IF($B233=-1, -1, VLOOKUP(C233,$T$1:$V$20, 2))</f>
        <v>8</v>
      </c>
      <c r="G233" s="16" t="n">
        <f aca="false">IF($B233=-1, -1, VLOOKUP(D233,$Y$1:$Z$22,2))</f>
        <v>20</v>
      </c>
      <c r="H233" s="16" t="str">
        <f aca="false">_xlfn.UNICHAR(((F233*21)+G233)*28+44032)</f>
        <v>삐</v>
      </c>
      <c r="I233" s="16" t="n">
        <f aca="false">IF(B233=-1, 1, COUNTIF($A$2:$A$3000, H233))</f>
        <v>1</v>
      </c>
      <c r="J233" s="10" t="str">
        <f aca="false">_xlfn.CONCAT(A233, ",",H233,",",I233)</f>
        <v>꽐,삐,1</v>
      </c>
      <c r="K233" s="16" t="n">
        <f aca="false">IF(B233=-1,-1,VLOOKUP(C233,$T$1:$V$20,3))</f>
        <v>1</v>
      </c>
      <c r="L233" s="16" t="n">
        <f aca="false">IF(B233=-1,-1,VLOOKUP(D233,$Y$1:$AA$22,3))</f>
        <v>12</v>
      </c>
      <c r="N233" s="10" t="str">
        <f aca="false">_xlfn.UNICHAR(((C233*21)+G233)*28+44032)</f>
        <v>끼</v>
      </c>
      <c r="O233" s="10" t="str">
        <f aca="false">_xlfn.UNICHAR(((F233*21)+D233)*28+44032)</f>
        <v>뽜</v>
      </c>
      <c r="P233" s="12" t="n">
        <f aca="false">COUNTIF($A$2:$A$3000, N233) + COUNTIF($A$2:$A$3000, O233)</f>
        <v>1</v>
      </c>
      <c r="Q233" s="16" t="str">
        <f aca="false">IF(OR(B233=-1,I233=0, P233&lt;&gt;2), "albhed_dummy", _xlfn.CONCAT("albhed ", RIGHT("  " &amp; K233,2),", ", RIGHT("  " &amp; L233,2), ", " ,"""",H233,""", ", """",N233,""", ","""",O233,""""," ; ", A233))</f>
        <v>albhed_dummy</v>
      </c>
    </row>
    <row r="234" customFormat="false" ht="17.9" hidden="false" customHeight="true" outlineLevel="0" collapsed="false">
      <c r="A234" s="16" t="s">
        <v>1113</v>
      </c>
      <c r="B234" s="16" t="n">
        <f aca="false">IF(_xlfn.UNICODE(A234)&lt;44032,-1,_xlfn.UNICODE(A234)-44032)</f>
        <v>860</v>
      </c>
      <c r="C234" s="16" t="n">
        <f aca="false">IF(B234=-1,-1,INT((B234/28)/21))</f>
        <v>1</v>
      </c>
      <c r="D234" s="16" t="n">
        <f aca="false">IF(B234=-1, -1, MOD(INT(B234/28),21))</f>
        <v>9</v>
      </c>
      <c r="E234" s="16" t="n">
        <f aca="false">IF(B234=-1, -1, VLOOKUP(MOD(B234,28), $T$24:$U$52,2))</f>
        <v>19</v>
      </c>
      <c r="F234" s="16" t="n">
        <f aca="false">IF($B234=-1, -1, VLOOKUP(C234,$T$1:$V$20, 2))</f>
        <v>8</v>
      </c>
      <c r="G234" s="16" t="n">
        <f aca="false">IF($B234=-1, -1, VLOOKUP(D234,$Y$1:$Z$22,2))</f>
        <v>20</v>
      </c>
      <c r="H234" s="16" t="str">
        <f aca="false">_xlfn.UNICHAR(((F234*21)+G234)*28+44032)</f>
        <v>삐</v>
      </c>
      <c r="I234" s="16" t="n">
        <f aca="false">IF(B234=-1, 1, COUNTIF($A$2:$A$3000, H234))</f>
        <v>1</v>
      </c>
      <c r="J234" s="10" t="str">
        <f aca="false">_xlfn.CONCAT(A234, ",",H234,",",I234)</f>
        <v>꽜,삐,1</v>
      </c>
      <c r="K234" s="16" t="n">
        <f aca="false">IF(B234=-1,-1,VLOOKUP(C234,$T$1:$V$20,3))</f>
        <v>1</v>
      </c>
      <c r="L234" s="16" t="n">
        <f aca="false">IF(B234=-1,-1,VLOOKUP(D234,$Y$1:$AA$22,3))</f>
        <v>12</v>
      </c>
      <c r="N234" s="10" t="str">
        <f aca="false">_xlfn.UNICHAR(((C234*21)+G234)*28+44032)</f>
        <v>끼</v>
      </c>
      <c r="O234" s="10" t="str">
        <f aca="false">_xlfn.UNICHAR(((F234*21)+D234)*28+44032)</f>
        <v>뽜</v>
      </c>
      <c r="P234" s="12" t="n">
        <f aca="false">COUNTIF($A$2:$A$3000, N234) + COUNTIF($A$2:$A$3000, O234)</f>
        <v>1</v>
      </c>
      <c r="Q234" s="16" t="str">
        <f aca="false">IF(OR(B234=-1,I234=0, P234&lt;&gt;2), "albhed_dummy", _xlfn.CONCAT("albhed ", RIGHT("  " &amp; K234,2),", ", RIGHT("  " &amp; L234,2), ", " ,"""",H234,""", ", """",N234,""", ","""",O234,""""," ; ", A234))</f>
        <v>albhed_dummy</v>
      </c>
    </row>
    <row r="235" customFormat="false" ht="17.9" hidden="false" customHeight="true" outlineLevel="0" collapsed="false">
      <c r="A235" s="16" t="s">
        <v>1114</v>
      </c>
      <c r="B235" s="16" t="n">
        <f aca="false">IF(_xlfn.UNICODE(A235)&lt;44032,-1,_xlfn.UNICODE(A235)-44032)</f>
        <v>861</v>
      </c>
      <c r="C235" s="16" t="n">
        <f aca="false">IF(B235=-1,-1,INT((B235/28)/21))</f>
        <v>1</v>
      </c>
      <c r="D235" s="16" t="n">
        <f aca="false">IF(B235=-1, -1, MOD(INT(B235/28),21))</f>
        <v>9</v>
      </c>
      <c r="E235" s="16" t="n">
        <f aca="false">IF(B235=-1, -1, VLOOKUP(MOD(B235,28), $T$24:$U$52,2))</f>
        <v>21</v>
      </c>
      <c r="F235" s="16" t="n">
        <f aca="false">IF($B235=-1, -1, VLOOKUP(C235,$T$1:$V$20, 2))</f>
        <v>8</v>
      </c>
      <c r="G235" s="16" t="n">
        <f aca="false">IF($B235=-1, -1, VLOOKUP(D235,$Y$1:$Z$22,2))</f>
        <v>20</v>
      </c>
      <c r="H235" s="16" t="str">
        <f aca="false">_xlfn.UNICHAR(((F235*21)+G235)*28+44032)</f>
        <v>삐</v>
      </c>
      <c r="I235" s="16" t="n">
        <f aca="false">IF(B235=-1, 1, COUNTIF($A$2:$A$3000, H235))</f>
        <v>1</v>
      </c>
      <c r="J235" s="10" t="str">
        <f aca="false">_xlfn.CONCAT(A235, ",",H235,",",I235)</f>
        <v>꽝,삐,1</v>
      </c>
      <c r="K235" s="16" t="n">
        <f aca="false">IF(B235=-1,-1,VLOOKUP(C235,$T$1:$V$20,3))</f>
        <v>1</v>
      </c>
      <c r="L235" s="16" t="n">
        <f aca="false">IF(B235=-1,-1,VLOOKUP(D235,$Y$1:$AA$22,3))</f>
        <v>12</v>
      </c>
      <c r="N235" s="10" t="str">
        <f aca="false">_xlfn.UNICHAR(((C235*21)+G235)*28+44032)</f>
        <v>끼</v>
      </c>
      <c r="O235" s="10" t="str">
        <f aca="false">_xlfn.UNICHAR(((F235*21)+D235)*28+44032)</f>
        <v>뽜</v>
      </c>
      <c r="P235" s="12" t="n">
        <f aca="false">COUNTIF($A$2:$A$3000, N235) + COUNTIF($A$2:$A$3000, O235)</f>
        <v>1</v>
      </c>
      <c r="Q235" s="16" t="str">
        <f aca="false">IF(OR(B235=-1,I235=0, P235&lt;&gt;2), "albhed_dummy", _xlfn.CONCAT("albhed ", RIGHT("  " &amp; K235,2),", ", RIGHT("  " &amp; L235,2), ", " ,"""",H235,""", ", """",N235,""", ","""",O235,""""," ; ", A235))</f>
        <v>albhed_dummy</v>
      </c>
    </row>
    <row r="236" customFormat="false" ht="17.9" hidden="false" customHeight="true" outlineLevel="0" collapsed="false">
      <c r="A236" s="16" t="s">
        <v>1115</v>
      </c>
      <c r="B236" s="16" t="n">
        <f aca="false">IF(_xlfn.UNICODE(A236)&lt;44032,-1,_xlfn.UNICODE(A236)-44032)</f>
        <v>868</v>
      </c>
      <c r="C236" s="16" t="n">
        <f aca="false">IF(B236=-1,-1,INT((B236/28)/21))</f>
        <v>1</v>
      </c>
      <c r="D236" s="16" t="n">
        <f aca="false">IF(B236=-1, -1, MOD(INT(B236/28),21))</f>
        <v>10</v>
      </c>
      <c r="E236" s="16" t="n">
        <f aca="false">IF(B236=-1, -1, VLOOKUP(MOD(B236,28), $T$24:$U$52,2))</f>
        <v>0</v>
      </c>
      <c r="F236" s="16" t="n">
        <f aca="false">IF($B236=-1, -1, VLOOKUP(C236,$T$1:$V$20, 2))</f>
        <v>8</v>
      </c>
      <c r="G236" s="16" t="n">
        <f aca="false">IF($B236=-1, -1, VLOOKUP(D236,$Y$1:$Z$22,2))</f>
        <v>20</v>
      </c>
      <c r="H236" s="16" t="str">
        <f aca="false">_xlfn.UNICHAR(((F236*21)+G236)*28+44032)</f>
        <v>삐</v>
      </c>
      <c r="I236" s="16" t="n">
        <f aca="false">IF(B236=-1, 1, COUNTIF($A$2:$A$3000, H236))</f>
        <v>1</v>
      </c>
      <c r="J236" s="10" t="str">
        <f aca="false">_xlfn.CONCAT(A236, ",",H236,",",I236)</f>
        <v>꽤,삐,1</v>
      </c>
      <c r="K236" s="16" t="n">
        <f aca="false">IF(B236=-1,-1,VLOOKUP(C236,$T$1:$V$20,3))</f>
        <v>1</v>
      </c>
      <c r="L236" s="16" t="n">
        <f aca="false">IF(B236=-1,-1,VLOOKUP(D236,$Y$1:$AA$22,3))</f>
        <v>12</v>
      </c>
      <c r="N236" s="10" t="str">
        <f aca="false">_xlfn.UNICHAR(((C236*21)+G236)*28+44032)</f>
        <v>끼</v>
      </c>
      <c r="O236" s="10" t="str">
        <f aca="false">_xlfn.UNICHAR(((F236*21)+D236)*28+44032)</f>
        <v>뽸</v>
      </c>
      <c r="P236" s="12" t="n">
        <f aca="false">COUNTIF($A$2:$A$3000, N236) + COUNTIF($A$2:$A$3000, O236)</f>
        <v>1</v>
      </c>
      <c r="Q236" s="16" t="str">
        <f aca="false">IF(OR(B236=-1,I236=0, P236&lt;&gt;2), "albhed_dummy", _xlfn.CONCAT("albhed ", RIGHT("  " &amp; K236,2),", ", RIGHT("  " &amp; L236,2), ", " ,"""",H236,""", ", """",N236,""", ","""",O236,""""," ; ", A236))</f>
        <v>albhed_dummy</v>
      </c>
    </row>
    <row r="237" customFormat="false" ht="17.9" hidden="false" customHeight="true" outlineLevel="0" collapsed="false">
      <c r="A237" s="16" t="s">
        <v>1116</v>
      </c>
      <c r="B237" s="16" t="n">
        <f aca="false">IF(_xlfn.UNICODE(A237)&lt;44032,-1,_xlfn.UNICODE(A237)-44032)</f>
        <v>869</v>
      </c>
      <c r="C237" s="16" t="n">
        <f aca="false">IF(B237=-1,-1,INT((B237/28)/21))</f>
        <v>1</v>
      </c>
      <c r="D237" s="16" t="n">
        <f aca="false">IF(B237=-1, -1, MOD(INT(B237/28),21))</f>
        <v>10</v>
      </c>
      <c r="E237" s="16" t="n">
        <f aca="false">IF(B237=-1, -1, VLOOKUP(MOD(B237,28), $T$24:$U$52,2))</f>
        <v>1</v>
      </c>
      <c r="F237" s="16" t="n">
        <f aca="false">IF($B237=-1, -1, VLOOKUP(C237,$T$1:$V$20, 2))</f>
        <v>8</v>
      </c>
      <c r="G237" s="16" t="n">
        <f aca="false">IF($B237=-1, -1, VLOOKUP(D237,$Y$1:$Z$22,2))</f>
        <v>20</v>
      </c>
      <c r="H237" s="16" t="str">
        <f aca="false">_xlfn.UNICHAR(((F237*21)+G237)*28+44032)</f>
        <v>삐</v>
      </c>
      <c r="I237" s="16" t="n">
        <f aca="false">IF(B237=-1, 1, COUNTIF($A$2:$A$3000, H237))</f>
        <v>1</v>
      </c>
      <c r="J237" s="10" t="str">
        <f aca="false">_xlfn.CONCAT(A237, ",",H237,",",I237)</f>
        <v>꽥,삐,1</v>
      </c>
      <c r="K237" s="16" t="n">
        <f aca="false">IF(B237=-1,-1,VLOOKUP(C237,$T$1:$V$20,3))</f>
        <v>1</v>
      </c>
      <c r="L237" s="16" t="n">
        <f aca="false">IF(B237=-1,-1,VLOOKUP(D237,$Y$1:$AA$22,3))</f>
        <v>12</v>
      </c>
      <c r="N237" s="10" t="str">
        <f aca="false">_xlfn.UNICHAR(((C237*21)+G237)*28+44032)</f>
        <v>끼</v>
      </c>
      <c r="O237" s="10" t="str">
        <f aca="false">_xlfn.UNICHAR(((F237*21)+D237)*28+44032)</f>
        <v>뽸</v>
      </c>
      <c r="P237" s="12" t="n">
        <f aca="false">COUNTIF($A$2:$A$3000, N237) + COUNTIF($A$2:$A$3000, O237)</f>
        <v>1</v>
      </c>
      <c r="Q237" s="16" t="str">
        <f aca="false">IF(OR(B237=-1,I237=0, P237&lt;&gt;2), "albhed_dummy", _xlfn.CONCAT("albhed ", RIGHT("  " &amp; K237,2),", ", RIGHT("  " &amp; L237,2), ", " ,"""",H237,""", ", """",N237,""", ","""",O237,""""," ; ", A237))</f>
        <v>albhed_dummy</v>
      </c>
    </row>
    <row r="238" customFormat="false" ht="17.9" hidden="false" customHeight="true" outlineLevel="0" collapsed="false">
      <c r="A238" s="16" t="s">
        <v>1117</v>
      </c>
      <c r="B238" s="16" t="n">
        <f aca="false">IF(_xlfn.UNICODE(A238)&lt;44032,-1,_xlfn.UNICODE(A238)-44032)</f>
        <v>889</v>
      </c>
      <c r="C238" s="16" t="n">
        <f aca="false">IF(B238=-1,-1,INT((B238/28)/21))</f>
        <v>1</v>
      </c>
      <c r="D238" s="16" t="n">
        <f aca="false">IF(B238=-1, -1, MOD(INT(B238/28),21))</f>
        <v>10</v>
      </c>
      <c r="E238" s="16" t="n">
        <f aca="false">IF(B238=-1, -1, VLOOKUP(MOD(B238,28), $T$24:$U$52,2))</f>
        <v>21</v>
      </c>
      <c r="F238" s="16" t="n">
        <f aca="false">IF($B238=-1, -1, VLOOKUP(C238,$T$1:$V$20, 2))</f>
        <v>8</v>
      </c>
      <c r="G238" s="16" t="n">
        <f aca="false">IF($B238=-1, -1, VLOOKUP(D238,$Y$1:$Z$22,2))</f>
        <v>20</v>
      </c>
      <c r="H238" s="16" t="str">
        <f aca="false">_xlfn.UNICHAR(((F238*21)+G238)*28+44032)</f>
        <v>삐</v>
      </c>
      <c r="I238" s="16" t="n">
        <f aca="false">IF(B238=-1, 1, COUNTIF($A$2:$A$3000, H238))</f>
        <v>1</v>
      </c>
      <c r="J238" s="10" t="str">
        <f aca="false">_xlfn.CONCAT(A238, ",",H238,",",I238)</f>
        <v>꽹,삐,1</v>
      </c>
      <c r="K238" s="16" t="n">
        <f aca="false">IF(B238=-1,-1,VLOOKUP(C238,$T$1:$V$20,3))</f>
        <v>1</v>
      </c>
      <c r="L238" s="16" t="n">
        <f aca="false">IF(B238=-1,-1,VLOOKUP(D238,$Y$1:$AA$22,3))</f>
        <v>12</v>
      </c>
      <c r="N238" s="10" t="str">
        <f aca="false">_xlfn.UNICHAR(((C238*21)+G238)*28+44032)</f>
        <v>끼</v>
      </c>
      <c r="O238" s="10" t="str">
        <f aca="false">_xlfn.UNICHAR(((F238*21)+D238)*28+44032)</f>
        <v>뽸</v>
      </c>
      <c r="P238" s="12" t="n">
        <f aca="false">COUNTIF($A$2:$A$3000, N238) + COUNTIF($A$2:$A$3000, O238)</f>
        <v>1</v>
      </c>
      <c r="Q238" s="16" t="str">
        <f aca="false">IF(OR(B238=-1,I238=0, P238&lt;&gt;2), "albhed_dummy", _xlfn.CONCAT("albhed ", RIGHT("  " &amp; K238,2),", ", RIGHT("  " &amp; L238,2), ", " ,"""",H238,""", ", """",N238,""", ","""",O238,""""," ; ", A238))</f>
        <v>albhed_dummy</v>
      </c>
    </row>
    <row r="239" customFormat="false" ht="17.9" hidden="false" customHeight="true" outlineLevel="0" collapsed="false">
      <c r="A239" s="16" t="s">
        <v>1118</v>
      </c>
      <c r="B239" s="16" t="n">
        <f aca="false">IF(_xlfn.UNICODE(A239)&lt;44032,-1,_xlfn.UNICODE(A239)-44032)</f>
        <v>896</v>
      </c>
      <c r="C239" s="16" t="n">
        <f aca="false">IF(B239=-1,-1,INT((B239/28)/21))</f>
        <v>1</v>
      </c>
      <c r="D239" s="16" t="n">
        <f aca="false">IF(B239=-1, -1, MOD(INT(B239/28),21))</f>
        <v>11</v>
      </c>
      <c r="E239" s="16" t="n">
        <f aca="false">IF(B239=-1, -1, VLOOKUP(MOD(B239,28), $T$24:$U$52,2))</f>
        <v>0</v>
      </c>
      <c r="F239" s="16" t="n">
        <f aca="false">IF($B239=-1, -1, VLOOKUP(C239,$T$1:$V$20, 2))</f>
        <v>8</v>
      </c>
      <c r="G239" s="16" t="n">
        <f aca="false">IF($B239=-1, -1, VLOOKUP(D239,$Y$1:$Z$22,2))</f>
        <v>20</v>
      </c>
      <c r="H239" s="16" t="str">
        <f aca="false">_xlfn.UNICHAR(((F239*21)+G239)*28+44032)</f>
        <v>삐</v>
      </c>
      <c r="I239" s="16" t="n">
        <f aca="false">IF(B239=-1, 1, COUNTIF($A$2:$A$3000, H239))</f>
        <v>1</v>
      </c>
      <c r="J239" s="10" t="str">
        <f aca="false">_xlfn.CONCAT(A239, ",",H239,",",I239)</f>
        <v>꾀,삐,1</v>
      </c>
      <c r="K239" s="16" t="n">
        <f aca="false">IF(B239=-1,-1,VLOOKUP(C239,$T$1:$V$20,3))</f>
        <v>1</v>
      </c>
      <c r="L239" s="16" t="n">
        <f aca="false">IF(B239=-1,-1,VLOOKUP(D239,$Y$1:$AA$22,3))</f>
        <v>22</v>
      </c>
      <c r="N239" s="10" t="str">
        <f aca="false">_xlfn.UNICHAR(((C239*21)+G239)*28+44032)</f>
        <v>끼</v>
      </c>
      <c r="O239" s="10" t="str">
        <f aca="false">_xlfn.UNICHAR(((F239*21)+D239)*28+44032)</f>
        <v>뾔</v>
      </c>
      <c r="P239" s="12" t="n">
        <f aca="false">COUNTIF($A$2:$A$3000, N239) + COUNTIF($A$2:$A$3000, O239)</f>
        <v>2</v>
      </c>
      <c r="Q239" s="16" t="str">
        <f aca="false">IF(OR(B239=-1,I239=0, P239&lt;&gt;2), "albhed_dummy", _xlfn.CONCAT("albhed ", RIGHT("  " &amp; K239,2),", ", RIGHT("  " &amp; L239,2), ", " ,"""",H239,""", ", """",N239,""", ","""",O239,""""," ; ", A239))</f>
        <v>albhed  1, 22, "삐", "끼", "뾔" ; 꾀</v>
      </c>
    </row>
    <row r="240" customFormat="false" ht="17.9" hidden="false" customHeight="true" outlineLevel="0" collapsed="false">
      <c r="A240" s="16" t="s">
        <v>1119</v>
      </c>
      <c r="B240" s="16" t="n">
        <f aca="false">IF(_xlfn.UNICODE(A240)&lt;44032,-1,_xlfn.UNICODE(A240)-44032)</f>
        <v>900</v>
      </c>
      <c r="C240" s="16" t="n">
        <f aca="false">IF(B240=-1,-1,INT((B240/28)/21))</f>
        <v>1</v>
      </c>
      <c r="D240" s="16" t="n">
        <f aca="false">IF(B240=-1, -1, MOD(INT(B240/28),21))</f>
        <v>11</v>
      </c>
      <c r="E240" s="16" t="n">
        <f aca="false">IF(B240=-1, -1, VLOOKUP(MOD(B240,28), $T$24:$U$52,2))</f>
        <v>4</v>
      </c>
      <c r="F240" s="16" t="n">
        <f aca="false">IF($B240=-1, -1, VLOOKUP(C240,$T$1:$V$20, 2))</f>
        <v>8</v>
      </c>
      <c r="G240" s="16" t="n">
        <f aca="false">IF($B240=-1, -1, VLOOKUP(D240,$Y$1:$Z$22,2))</f>
        <v>20</v>
      </c>
      <c r="H240" s="16" t="str">
        <f aca="false">_xlfn.UNICHAR(((F240*21)+G240)*28+44032)</f>
        <v>삐</v>
      </c>
      <c r="I240" s="16" t="n">
        <f aca="false">IF(B240=-1, 1, COUNTIF($A$2:$A$3000, H240))</f>
        <v>1</v>
      </c>
      <c r="J240" s="10" t="str">
        <f aca="false">_xlfn.CONCAT(A240, ",",H240,",",I240)</f>
        <v>꾄,삐,1</v>
      </c>
      <c r="K240" s="16" t="n">
        <f aca="false">IF(B240=-1,-1,VLOOKUP(C240,$T$1:$V$20,3))</f>
        <v>1</v>
      </c>
      <c r="L240" s="16" t="n">
        <f aca="false">IF(B240=-1,-1,VLOOKUP(D240,$Y$1:$AA$22,3))</f>
        <v>22</v>
      </c>
      <c r="N240" s="10" t="str">
        <f aca="false">_xlfn.UNICHAR(((C240*21)+G240)*28+44032)</f>
        <v>끼</v>
      </c>
      <c r="O240" s="10" t="str">
        <f aca="false">_xlfn.UNICHAR(((F240*21)+D240)*28+44032)</f>
        <v>뾔</v>
      </c>
      <c r="P240" s="12" t="n">
        <f aca="false">COUNTIF($A$2:$A$3000, N240) + COUNTIF($A$2:$A$3000, O240)</f>
        <v>2</v>
      </c>
      <c r="Q240" s="16" t="str">
        <f aca="false">IF(OR(B240=-1,I240=0, P240&lt;&gt;2), "albhed_dummy", _xlfn.CONCAT("albhed ", RIGHT("  " &amp; K240,2),", ", RIGHT("  " &amp; L240,2), ", " ,"""",H240,""", ", """",N240,""", ","""",O240,""""," ; ", A240))</f>
        <v>albhed  1, 22, "삐", "끼", "뾔" ; 꾄</v>
      </c>
    </row>
    <row r="241" customFormat="false" ht="17.9" hidden="false" customHeight="true" outlineLevel="0" collapsed="false">
      <c r="A241" s="16" t="s">
        <v>1120</v>
      </c>
      <c r="B241" s="16" t="n">
        <f aca="false">IF(_xlfn.UNICODE(A241)&lt;44032,-1,_xlfn.UNICODE(A241)-44032)</f>
        <v>904</v>
      </c>
      <c r="C241" s="16" t="n">
        <f aca="false">IF(B241=-1,-1,INT((B241/28)/21))</f>
        <v>1</v>
      </c>
      <c r="D241" s="16" t="n">
        <f aca="false">IF(B241=-1, -1, MOD(INT(B241/28),21))</f>
        <v>11</v>
      </c>
      <c r="E241" s="16" t="n">
        <f aca="false">IF(B241=-1, -1, VLOOKUP(MOD(B241,28), $T$24:$U$52,2))</f>
        <v>8</v>
      </c>
      <c r="F241" s="16" t="n">
        <f aca="false">IF($B241=-1, -1, VLOOKUP(C241,$T$1:$V$20, 2))</f>
        <v>8</v>
      </c>
      <c r="G241" s="16" t="n">
        <f aca="false">IF($B241=-1, -1, VLOOKUP(D241,$Y$1:$Z$22,2))</f>
        <v>20</v>
      </c>
      <c r="H241" s="16" t="str">
        <f aca="false">_xlfn.UNICHAR(((F241*21)+G241)*28+44032)</f>
        <v>삐</v>
      </c>
      <c r="I241" s="16" t="n">
        <f aca="false">IF(B241=-1, 1, COUNTIF($A$2:$A$3000, H241))</f>
        <v>1</v>
      </c>
      <c r="J241" s="10" t="str">
        <f aca="false">_xlfn.CONCAT(A241, ",",H241,",",I241)</f>
        <v>꾈,삐,1</v>
      </c>
      <c r="K241" s="16" t="n">
        <f aca="false">IF(B241=-1,-1,VLOOKUP(C241,$T$1:$V$20,3))</f>
        <v>1</v>
      </c>
      <c r="L241" s="16" t="n">
        <f aca="false">IF(B241=-1,-1,VLOOKUP(D241,$Y$1:$AA$22,3))</f>
        <v>22</v>
      </c>
      <c r="N241" s="10" t="str">
        <f aca="false">_xlfn.UNICHAR(((C241*21)+G241)*28+44032)</f>
        <v>끼</v>
      </c>
      <c r="O241" s="10" t="str">
        <f aca="false">_xlfn.UNICHAR(((F241*21)+D241)*28+44032)</f>
        <v>뾔</v>
      </c>
      <c r="P241" s="12" t="n">
        <f aca="false">COUNTIF($A$2:$A$3000, N241) + COUNTIF($A$2:$A$3000, O241)</f>
        <v>2</v>
      </c>
      <c r="Q241" s="16" t="str">
        <f aca="false">IF(OR(B241=-1,I241=0, P241&lt;&gt;2), "albhed_dummy", _xlfn.CONCAT("albhed ", RIGHT("  " &amp; K241,2),", ", RIGHT("  " &amp; L241,2), ", " ,"""",H241,""", ", """",N241,""", ","""",O241,""""," ; ", A241))</f>
        <v>albhed  1, 22, "삐", "끼", "뾔" ; 꾈</v>
      </c>
    </row>
    <row r="242" customFormat="false" ht="17.9" hidden="false" customHeight="true" outlineLevel="0" collapsed="false">
      <c r="A242" s="16" t="s">
        <v>1121</v>
      </c>
      <c r="B242" s="16" t="n">
        <f aca="false">IF(_xlfn.UNICODE(A242)&lt;44032,-1,_xlfn.UNICODE(A242)-44032)</f>
        <v>912</v>
      </c>
      <c r="C242" s="16" t="n">
        <f aca="false">IF(B242=-1,-1,INT((B242/28)/21))</f>
        <v>1</v>
      </c>
      <c r="D242" s="16" t="n">
        <f aca="false">IF(B242=-1, -1, MOD(INT(B242/28),21))</f>
        <v>11</v>
      </c>
      <c r="E242" s="16" t="n">
        <f aca="false">IF(B242=-1, -1, VLOOKUP(MOD(B242,28), $T$24:$U$52,2))</f>
        <v>16</v>
      </c>
      <c r="F242" s="16" t="n">
        <f aca="false">IF($B242=-1, -1, VLOOKUP(C242,$T$1:$V$20, 2))</f>
        <v>8</v>
      </c>
      <c r="G242" s="16" t="n">
        <f aca="false">IF($B242=-1, -1, VLOOKUP(D242,$Y$1:$Z$22,2))</f>
        <v>20</v>
      </c>
      <c r="H242" s="16" t="str">
        <f aca="false">_xlfn.UNICHAR(((F242*21)+G242)*28+44032)</f>
        <v>삐</v>
      </c>
      <c r="I242" s="16" t="n">
        <f aca="false">IF(B242=-1, 1, COUNTIF($A$2:$A$3000, H242))</f>
        <v>1</v>
      </c>
      <c r="J242" s="10" t="str">
        <f aca="false">_xlfn.CONCAT(A242, ",",H242,",",I242)</f>
        <v>꾐,삐,1</v>
      </c>
      <c r="K242" s="16" t="n">
        <f aca="false">IF(B242=-1,-1,VLOOKUP(C242,$T$1:$V$20,3))</f>
        <v>1</v>
      </c>
      <c r="L242" s="16" t="n">
        <f aca="false">IF(B242=-1,-1,VLOOKUP(D242,$Y$1:$AA$22,3))</f>
        <v>22</v>
      </c>
      <c r="N242" s="10" t="str">
        <f aca="false">_xlfn.UNICHAR(((C242*21)+G242)*28+44032)</f>
        <v>끼</v>
      </c>
      <c r="O242" s="10" t="str">
        <f aca="false">_xlfn.UNICHAR(((F242*21)+D242)*28+44032)</f>
        <v>뾔</v>
      </c>
      <c r="P242" s="12" t="n">
        <f aca="false">COUNTIF($A$2:$A$3000, N242) + COUNTIF($A$2:$A$3000, O242)</f>
        <v>2</v>
      </c>
      <c r="Q242" s="16" t="str">
        <f aca="false">IF(OR(B242=-1,I242=0, P242&lt;&gt;2), "albhed_dummy", _xlfn.CONCAT("albhed ", RIGHT("  " &amp; K242,2),", ", RIGHT("  " &amp; L242,2), ", " ,"""",H242,""", ", """",N242,""", ","""",O242,""""," ; ", A242))</f>
        <v>albhed  1, 22, "삐", "끼", "뾔" ; 꾐</v>
      </c>
    </row>
    <row r="243" customFormat="false" ht="17.9" hidden="false" customHeight="true" outlineLevel="0" collapsed="false">
      <c r="A243" s="16" t="s">
        <v>1122</v>
      </c>
      <c r="B243" s="16" t="n">
        <f aca="false">IF(_xlfn.UNICODE(A243)&lt;44032,-1,_xlfn.UNICODE(A243)-44032)</f>
        <v>913</v>
      </c>
      <c r="C243" s="16" t="n">
        <f aca="false">IF(B243=-1,-1,INT((B243/28)/21))</f>
        <v>1</v>
      </c>
      <c r="D243" s="16" t="n">
        <f aca="false">IF(B243=-1, -1, MOD(INT(B243/28),21))</f>
        <v>11</v>
      </c>
      <c r="E243" s="16" t="n">
        <f aca="false">IF(B243=-1, -1, VLOOKUP(MOD(B243,28), $T$24:$U$52,2))</f>
        <v>17</v>
      </c>
      <c r="F243" s="16" t="n">
        <f aca="false">IF($B243=-1, -1, VLOOKUP(C243,$T$1:$V$20, 2))</f>
        <v>8</v>
      </c>
      <c r="G243" s="16" t="n">
        <f aca="false">IF($B243=-1, -1, VLOOKUP(D243,$Y$1:$Z$22,2))</f>
        <v>20</v>
      </c>
      <c r="H243" s="16" t="str">
        <f aca="false">_xlfn.UNICHAR(((F243*21)+G243)*28+44032)</f>
        <v>삐</v>
      </c>
      <c r="I243" s="16" t="n">
        <f aca="false">IF(B243=-1, 1, COUNTIF($A$2:$A$3000, H243))</f>
        <v>1</v>
      </c>
      <c r="J243" s="10" t="str">
        <f aca="false">_xlfn.CONCAT(A243, ",",H243,",",I243)</f>
        <v>꾑,삐,1</v>
      </c>
      <c r="K243" s="16" t="n">
        <f aca="false">IF(B243=-1,-1,VLOOKUP(C243,$T$1:$V$20,3))</f>
        <v>1</v>
      </c>
      <c r="L243" s="16" t="n">
        <f aca="false">IF(B243=-1,-1,VLOOKUP(D243,$Y$1:$AA$22,3))</f>
        <v>22</v>
      </c>
      <c r="N243" s="10" t="str">
        <f aca="false">_xlfn.UNICHAR(((C243*21)+G243)*28+44032)</f>
        <v>끼</v>
      </c>
      <c r="O243" s="10" t="str">
        <f aca="false">_xlfn.UNICHAR(((F243*21)+D243)*28+44032)</f>
        <v>뾔</v>
      </c>
      <c r="P243" s="12" t="n">
        <f aca="false">COUNTIF($A$2:$A$3000, N243) + COUNTIF($A$2:$A$3000, O243)</f>
        <v>2</v>
      </c>
      <c r="Q243" s="16" t="str">
        <f aca="false">IF(OR(B243=-1,I243=0, P243&lt;&gt;2), "albhed_dummy", _xlfn.CONCAT("albhed ", RIGHT("  " &amp; K243,2),", ", RIGHT("  " &amp; L243,2), ", " ,"""",H243,""", ", """",N243,""", ","""",O243,""""," ; ", A243))</f>
        <v>albhed  1, 22, "삐", "끼", "뾔" ; 꾑</v>
      </c>
    </row>
    <row r="244" customFormat="false" ht="17.9" hidden="false" customHeight="true" outlineLevel="0" collapsed="false">
      <c r="A244" s="16" t="s">
        <v>1123</v>
      </c>
      <c r="B244" s="16" t="n">
        <f aca="false">IF(_xlfn.UNICODE(A244)&lt;44032,-1,_xlfn.UNICODE(A244)-44032)</f>
        <v>917</v>
      </c>
      <c r="C244" s="16" t="n">
        <f aca="false">IF(B244=-1,-1,INT((B244/28)/21))</f>
        <v>1</v>
      </c>
      <c r="D244" s="16" t="n">
        <f aca="false">IF(B244=-1, -1, MOD(INT(B244/28),21))</f>
        <v>11</v>
      </c>
      <c r="E244" s="16" t="n">
        <f aca="false">IF(B244=-1, -1, VLOOKUP(MOD(B244,28), $T$24:$U$52,2))</f>
        <v>21</v>
      </c>
      <c r="F244" s="16" t="n">
        <f aca="false">IF($B244=-1, -1, VLOOKUP(C244,$T$1:$V$20, 2))</f>
        <v>8</v>
      </c>
      <c r="G244" s="16" t="n">
        <f aca="false">IF($B244=-1, -1, VLOOKUP(D244,$Y$1:$Z$22,2))</f>
        <v>20</v>
      </c>
      <c r="H244" s="16" t="str">
        <f aca="false">_xlfn.UNICHAR(((F244*21)+G244)*28+44032)</f>
        <v>삐</v>
      </c>
      <c r="I244" s="16" t="n">
        <f aca="false">IF(B244=-1, 1, COUNTIF($A$2:$A$3000, H244))</f>
        <v>1</v>
      </c>
      <c r="J244" s="10" t="str">
        <f aca="false">_xlfn.CONCAT(A244, ",",H244,",",I244)</f>
        <v>꾕,삐,1</v>
      </c>
      <c r="K244" s="16" t="n">
        <f aca="false">IF(B244=-1,-1,VLOOKUP(C244,$T$1:$V$20,3))</f>
        <v>1</v>
      </c>
      <c r="L244" s="16" t="n">
        <f aca="false">IF(B244=-1,-1,VLOOKUP(D244,$Y$1:$AA$22,3))</f>
        <v>22</v>
      </c>
      <c r="N244" s="10" t="str">
        <f aca="false">_xlfn.UNICHAR(((C244*21)+G244)*28+44032)</f>
        <v>끼</v>
      </c>
      <c r="O244" s="10" t="str">
        <f aca="false">_xlfn.UNICHAR(((F244*21)+D244)*28+44032)</f>
        <v>뾔</v>
      </c>
      <c r="P244" s="12" t="n">
        <f aca="false">COUNTIF($A$2:$A$3000, N244) + COUNTIF($A$2:$A$3000, O244)</f>
        <v>2</v>
      </c>
      <c r="Q244" s="16" t="str">
        <f aca="false">IF(OR(B244=-1,I244=0, P244&lt;&gt;2), "albhed_dummy", _xlfn.CONCAT("albhed ", RIGHT("  " &amp; K244,2),", ", RIGHT("  " &amp; L244,2), ", " ,"""",H244,""", ", """",N244,""", ","""",O244,""""," ; ", A244))</f>
        <v>albhed  1, 22, "삐", "끼", "뾔" ; 꾕</v>
      </c>
    </row>
    <row r="245" customFormat="false" ht="17.9" hidden="false" customHeight="true" outlineLevel="0" collapsed="false">
      <c r="A245" s="16" t="s">
        <v>1124</v>
      </c>
      <c r="B245" s="16" t="n">
        <f aca="false">IF(_xlfn.UNICODE(A245)&lt;44032,-1,_xlfn.UNICODE(A245)-44032)</f>
        <v>924</v>
      </c>
      <c r="C245" s="16" t="n">
        <f aca="false">IF(B245=-1,-1,INT((B245/28)/21))</f>
        <v>1</v>
      </c>
      <c r="D245" s="16" t="n">
        <f aca="false">IF(B245=-1, -1, MOD(INT(B245/28),21))</f>
        <v>12</v>
      </c>
      <c r="E245" s="16" t="n">
        <f aca="false">IF(B245=-1, -1, VLOOKUP(MOD(B245,28), $T$24:$U$52,2))</f>
        <v>0</v>
      </c>
      <c r="F245" s="16" t="n">
        <f aca="false">IF($B245=-1, -1, VLOOKUP(C245,$T$1:$V$20, 2))</f>
        <v>8</v>
      </c>
      <c r="G245" s="16" t="n">
        <f aca="false">IF($B245=-1, -1, VLOOKUP(D245,$Y$1:$Z$22,2))</f>
        <v>6</v>
      </c>
      <c r="H245" s="16" t="str">
        <f aca="false">_xlfn.UNICHAR(((F245*21)+G245)*28+44032)</f>
        <v>뼈</v>
      </c>
      <c r="I245" s="16" t="n">
        <f aca="false">IF(B245=-1, 1, COUNTIF($A$2:$A$3000, H245))</f>
        <v>1</v>
      </c>
      <c r="J245" s="10" t="str">
        <f aca="false">_xlfn.CONCAT(A245, ",",H245,",",I245)</f>
        <v>꾜,뼈,1</v>
      </c>
      <c r="K245" s="16" t="n">
        <f aca="false">IF(B245=-1,-1,VLOOKUP(C245,$T$1:$V$20,3))</f>
        <v>1</v>
      </c>
      <c r="L245" s="16" t="n">
        <f aca="false">IF(B245=-1,-1,VLOOKUP(D245,$Y$1:$AA$22,3))</f>
        <v>8</v>
      </c>
      <c r="N245" s="10" t="str">
        <f aca="false">_xlfn.UNICHAR(((C245*21)+G245)*28+44032)</f>
        <v>껴</v>
      </c>
      <c r="O245" s="10" t="str">
        <f aca="false">_xlfn.UNICHAR(((F245*21)+D245)*28+44032)</f>
        <v>뾰</v>
      </c>
      <c r="P245" s="12" t="n">
        <f aca="false">COUNTIF($A$2:$A$3000, N245) + COUNTIF($A$2:$A$3000, O245)</f>
        <v>2</v>
      </c>
      <c r="Q245" s="16" t="str">
        <f aca="false">IF(OR(B245=-1,I245=0, P245&lt;&gt;2), "albhed_dummy", _xlfn.CONCAT("albhed ", RIGHT("  " &amp; K245,2),", ", RIGHT("  " &amp; L245,2), ", " ,"""",H245,""", ", """",N245,""", ","""",O245,""""," ; ", A245))</f>
        <v>albhed  1,  8, "뼈", "껴", "뾰" ; 꾜</v>
      </c>
    </row>
    <row r="246" customFormat="false" ht="17.9" hidden="false" customHeight="true" outlineLevel="0" collapsed="false">
      <c r="A246" s="16" t="s">
        <v>1125</v>
      </c>
      <c r="B246" s="16" t="n">
        <f aca="false">IF(_xlfn.UNICODE(A246)&lt;44032,-1,_xlfn.UNICODE(A246)-44032)</f>
        <v>952</v>
      </c>
      <c r="C246" s="16" t="n">
        <f aca="false">IF(B246=-1,-1,INT((B246/28)/21))</f>
        <v>1</v>
      </c>
      <c r="D246" s="16" t="n">
        <f aca="false">IF(B246=-1, -1, MOD(INT(B246/28),21))</f>
        <v>13</v>
      </c>
      <c r="E246" s="16" t="n">
        <f aca="false">IF(B246=-1, -1, VLOOKUP(MOD(B246,28), $T$24:$U$52,2))</f>
        <v>0</v>
      </c>
      <c r="F246" s="16" t="n">
        <f aca="false">IF($B246=-1, -1, VLOOKUP(C246,$T$1:$V$20, 2))</f>
        <v>8</v>
      </c>
      <c r="G246" s="16" t="n">
        <f aca="false">IF($B246=-1, -1, VLOOKUP(D246,$Y$1:$Z$22,2))</f>
        <v>0</v>
      </c>
      <c r="H246" s="16" t="str">
        <f aca="false">_xlfn.UNICHAR(((F246*21)+G246)*28+44032)</f>
        <v>빠</v>
      </c>
      <c r="I246" s="16" t="n">
        <f aca="false">IF(B246=-1, 1, COUNTIF($A$2:$A$3000, H246))</f>
        <v>1</v>
      </c>
      <c r="J246" s="10" t="str">
        <f aca="false">_xlfn.CONCAT(A246, ",",H246,",",I246)</f>
        <v>꾸,빠,1</v>
      </c>
      <c r="K246" s="16" t="n">
        <f aca="false">IF(B246=-1,-1,VLOOKUP(C246,$T$1:$V$20,3))</f>
        <v>1</v>
      </c>
      <c r="L246" s="16" t="n">
        <f aca="false">IF(B246=-1,-1,VLOOKUP(D246,$Y$1:$AA$22,3))</f>
        <v>6</v>
      </c>
      <c r="N246" s="10" t="str">
        <f aca="false">_xlfn.UNICHAR(((C246*21)+G246)*28+44032)</f>
        <v>까</v>
      </c>
      <c r="O246" s="10" t="str">
        <f aca="false">_xlfn.UNICHAR(((F246*21)+D246)*28+44032)</f>
        <v>뿌</v>
      </c>
      <c r="P246" s="12" t="n">
        <f aca="false">COUNTIF($A$2:$A$3000, N246) + COUNTIF($A$2:$A$3000, O246)</f>
        <v>2</v>
      </c>
      <c r="Q246" s="16" t="str">
        <f aca="false">IF(OR(B246=-1,I246=0, P246&lt;&gt;2), "albhed_dummy", _xlfn.CONCAT("albhed ", RIGHT("  " &amp; K246,2),", ", RIGHT("  " &amp; L246,2), ", " ,"""",H246,""", ", """",N246,""", ","""",O246,""""," ; ", A246))</f>
        <v>albhed  1,  6, "빠", "까", "뿌" ; 꾸</v>
      </c>
    </row>
    <row r="247" customFormat="false" ht="17.9" hidden="false" customHeight="true" outlineLevel="0" collapsed="false">
      <c r="A247" s="16" t="s">
        <v>1126</v>
      </c>
      <c r="B247" s="16" t="n">
        <f aca="false">IF(_xlfn.UNICODE(A247)&lt;44032,-1,_xlfn.UNICODE(A247)-44032)</f>
        <v>953</v>
      </c>
      <c r="C247" s="16" t="n">
        <f aca="false">IF(B247=-1,-1,INT((B247/28)/21))</f>
        <v>1</v>
      </c>
      <c r="D247" s="16" t="n">
        <f aca="false">IF(B247=-1, -1, MOD(INT(B247/28),21))</f>
        <v>13</v>
      </c>
      <c r="E247" s="16" t="n">
        <f aca="false">IF(B247=-1, -1, VLOOKUP(MOD(B247,28), $T$24:$U$52,2))</f>
        <v>1</v>
      </c>
      <c r="F247" s="16" t="n">
        <f aca="false">IF($B247=-1, -1, VLOOKUP(C247,$T$1:$V$20, 2))</f>
        <v>8</v>
      </c>
      <c r="G247" s="16" t="n">
        <f aca="false">IF($B247=-1, -1, VLOOKUP(D247,$Y$1:$Z$22,2))</f>
        <v>0</v>
      </c>
      <c r="H247" s="16" t="str">
        <f aca="false">_xlfn.UNICHAR(((F247*21)+G247)*28+44032)</f>
        <v>빠</v>
      </c>
      <c r="I247" s="16" t="n">
        <f aca="false">IF(B247=-1, 1, COUNTIF($A$2:$A$3000, H247))</f>
        <v>1</v>
      </c>
      <c r="J247" s="10" t="str">
        <f aca="false">_xlfn.CONCAT(A247, ",",H247,",",I247)</f>
        <v>꾹,빠,1</v>
      </c>
      <c r="K247" s="16" t="n">
        <f aca="false">IF(B247=-1,-1,VLOOKUP(C247,$T$1:$V$20,3))</f>
        <v>1</v>
      </c>
      <c r="L247" s="16" t="n">
        <f aca="false">IF(B247=-1,-1,VLOOKUP(D247,$Y$1:$AA$22,3))</f>
        <v>6</v>
      </c>
      <c r="N247" s="10" t="str">
        <f aca="false">_xlfn.UNICHAR(((C247*21)+G247)*28+44032)</f>
        <v>까</v>
      </c>
      <c r="O247" s="10" t="str">
        <f aca="false">_xlfn.UNICHAR(((F247*21)+D247)*28+44032)</f>
        <v>뿌</v>
      </c>
      <c r="P247" s="12" t="n">
        <f aca="false">COUNTIF($A$2:$A$3000, N247) + COUNTIF($A$2:$A$3000, O247)</f>
        <v>2</v>
      </c>
      <c r="Q247" s="16" t="str">
        <f aca="false">IF(OR(B247=-1,I247=0, P247&lt;&gt;2), "albhed_dummy", _xlfn.CONCAT("albhed ", RIGHT("  " &amp; K247,2),", ", RIGHT("  " &amp; L247,2), ", " ,"""",H247,""", ", """",N247,""", ","""",O247,""""," ; ", A247))</f>
        <v>albhed  1,  6, "빠", "까", "뿌" ; 꾹</v>
      </c>
    </row>
    <row r="248" customFormat="false" ht="17.9" hidden="false" customHeight="true" outlineLevel="0" collapsed="false">
      <c r="A248" s="16" t="s">
        <v>1127</v>
      </c>
      <c r="B248" s="16" t="n">
        <f aca="false">IF(_xlfn.UNICODE(A248)&lt;44032,-1,_xlfn.UNICODE(A248)-44032)</f>
        <v>956</v>
      </c>
      <c r="C248" s="16" t="n">
        <f aca="false">IF(B248=-1,-1,INT((B248/28)/21))</f>
        <v>1</v>
      </c>
      <c r="D248" s="16" t="n">
        <f aca="false">IF(B248=-1, -1, MOD(INT(B248/28),21))</f>
        <v>13</v>
      </c>
      <c r="E248" s="16" t="n">
        <f aca="false">IF(B248=-1, -1, VLOOKUP(MOD(B248,28), $T$24:$U$52,2))</f>
        <v>4</v>
      </c>
      <c r="F248" s="16" t="n">
        <f aca="false">IF($B248=-1, -1, VLOOKUP(C248,$T$1:$V$20, 2))</f>
        <v>8</v>
      </c>
      <c r="G248" s="16" t="n">
        <f aca="false">IF($B248=-1, -1, VLOOKUP(D248,$Y$1:$Z$22,2))</f>
        <v>0</v>
      </c>
      <c r="H248" s="16" t="str">
        <f aca="false">_xlfn.UNICHAR(((F248*21)+G248)*28+44032)</f>
        <v>빠</v>
      </c>
      <c r="I248" s="16" t="n">
        <f aca="false">IF(B248=-1, 1, COUNTIF($A$2:$A$3000, H248))</f>
        <v>1</v>
      </c>
      <c r="J248" s="10" t="str">
        <f aca="false">_xlfn.CONCAT(A248, ",",H248,",",I248)</f>
        <v>꾼,빠,1</v>
      </c>
      <c r="K248" s="16" t="n">
        <f aca="false">IF(B248=-1,-1,VLOOKUP(C248,$T$1:$V$20,3))</f>
        <v>1</v>
      </c>
      <c r="L248" s="16" t="n">
        <f aca="false">IF(B248=-1,-1,VLOOKUP(D248,$Y$1:$AA$22,3))</f>
        <v>6</v>
      </c>
      <c r="N248" s="10" t="str">
        <f aca="false">_xlfn.UNICHAR(((C248*21)+G248)*28+44032)</f>
        <v>까</v>
      </c>
      <c r="O248" s="10" t="str">
        <f aca="false">_xlfn.UNICHAR(((F248*21)+D248)*28+44032)</f>
        <v>뿌</v>
      </c>
      <c r="P248" s="12" t="n">
        <f aca="false">COUNTIF($A$2:$A$3000, N248) + COUNTIF($A$2:$A$3000, O248)</f>
        <v>2</v>
      </c>
      <c r="Q248" s="16" t="str">
        <f aca="false">IF(OR(B248=-1,I248=0, P248&lt;&gt;2), "albhed_dummy", _xlfn.CONCAT("albhed ", RIGHT("  " &amp; K248,2),", ", RIGHT("  " &amp; L248,2), ", " ,"""",H248,""", ", """",N248,""", ","""",O248,""""," ; ", A248))</f>
        <v>albhed  1,  6, "빠", "까", "뿌" ; 꾼</v>
      </c>
    </row>
    <row r="249" customFormat="false" ht="17.9" hidden="false" customHeight="true" outlineLevel="0" collapsed="false">
      <c r="A249" s="16" t="s">
        <v>1128</v>
      </c>
      <c r="B249" s="16" t="n">
        <f aca="false">IF(_xlfn.UNICODE(A249)&lt;44032,-1,_xlfn.UNICODE(A249)-44032)</f>
        <v>960</v>
      </c>
      <c r="C249" s="16" t="n">
        <f aca="false">IF(B249=-1,-1,INT((B249/28)/21))</f>
        <v>1</v>
      </c>
      <c r="D249" s="16" t="n">
        <f aca="false">IF(B249=-1, -1, MOD(INT(B249/28),21))</f>
        <v>13</v>
      </c>
      <c r="E249" s="16" t="n">
        <f aca="false">IF(B249=-1, -1, VLOOKUP(MOD(B249,28), $T$24:$U$52,2))</f>
        <v>8</v>
      </c>
      <c r="F249" s="16" t="n">
        <f aca="false">IF($B249=-1, -1, VLOOKUP(C249,$T$1:$V$20, 2))</f>
        <v>8</v>
      </c>
      <c r="G249" s="16" t="n">
        <f aca="false">IF($B249=-1, -1, VLOOKUP(D249,$Y$1:$Z$22,2))</f>
        <v>0</v>
      </c>
      <c r="H249" s="16" t="str">
        <f aca="false">_xlfn.UNICHAR(((F249*21)+G249)*28+44032)</f>
        <v>빠</v>
      </c>
      <c r="I249" s="16" t="n">
        <f aca="false">IF(B249=-1, 1, COUNTIF($A$2:$A$3000, H249))</f>
        <v>1</v>
      </c>
      <c r="J249" s="10" t="str">
        <f aca="false">_xlfn.CONCAT(A249, ",",H249,",",I249)</f>
        <v>꿀,빠,1</v>
      </c>
      <c r="K249" s="16" t="n">
        <f aca="false">IF(B249=-1,-1,VLOOKUP(C249,$T$1:$V$20,3))</f>
        <v>1</v>
      </c>
      <c r="L249" s="16" t="n">
        <f aca="false">IF(B249=-1,-1,VLOOKUP(D249,$Y$1:$AA$22,3))</f>
        <v>6</v>
      </c>
      <c r="N249" s="10" t="str">
        <f aca="false">_xlfn.UNICHAR(((C249*21)+G249)*28+44032)</f>
        <v>까</v>
      </c>
      <c r="O249" s="10" t="str">
        <f aca="false">_xlfn.UNICHAR(((F249*21)+D249)*28+44032)</f>
        <v>뿌</v>
      </c>
      <c r="P249" s="12" t="n">
        <f aca="false">COUNTIF($A$2:$A$3000, N249) + COUNTIF($A$2:$A$3000, O249)</f>
        <v>2</v>
      </c>
      <c r="Q249" s="16" t="str">
        <f aca="false">IF(OR(B249=-1,I249=0, P249&lt;&gt;2), "albhed_dummy", _xlfn.CONCAT("albhed ", RIGHT("  " &amp; K249,2),", ", RIGHT("  " &amp; L249,2), ", " ,"""",H249,""", ", """",N249,""", ","""",O249,""""," ; ", A249))</f>
        <v>albhed  1,  6, "빠", "까", "뿌" ; 꿀</v>
      </c>
    </row>
    <row r="250" customFormat="false" ht="17.9" hidden="false" customHeight="true" outlineLevel="0" collapsed="false">
      <c r="A250" s="16" t="s">
        <v>1129</v>
      </c>
      <c r="B250" s="16" t="n">
        <f aca="false">IF(_xlfn.UNICODE(A250)&lt;44032,-1,_xlfn.UNICODE(A250)-44032)</f>
        <v>967</v>
      </c>
      <c r="C250" s="16" t="n">
        <f aca="false">IF(B250=-1,-1,INT((B250/28)/21))</f>
        <v>1</v>
      </c>
      <c r="D250" s="16" t="n">
        <f aca="false">IF(B250=-1, -1, MOD(INT(B250/28),21))</f>
        <v>13</v>
      </c>
      <c r="E250" s="16" t="n">
        <f aca="false">IF(B250=-1, -1, VLOOKUP(MOD(B250,28), $T$24:$U$52,2))</f>
        <v>8</v>
      </c>
      <c r="F250" s="16" t="n">
        <f aca="false">IF($B250=-1, -1, VLOOKUP(C250,$T$1:$V$20, 2))</f>
        <v>8</v>
      </c>
      <c r="G250" s="16" t="n">
        <f aca="false">IF($B250=-1, -1, VLOOKUP(D250,$Y$1:$Z$22,2))</f>
        <v>0</v>
      </c>
      <c r="H250" s="16" t="str">
        <f aca="false">_xlfn.UNICHAR(((F250*21)+G250)*28+44032)</f>
        <v>빠</v>
      </c>
      <c r="I250" s="16" t="n">
        <f aca="false">IF(B250=-1, 1, COUNTIF($A$2:$A$3000, H250))</f>
        <v>1</v>
      </c>
      <c r="J250" s="10" t="str">
        <f aca="false">_xlfn.CONCAT(A250, ",",H250,",",I250)</f>
        <v>꿇,빠,1</v>
      </c>
      <c r="K250" s="16" t="n">
        <f aca="false">IF(B250=-1,-1,VLOOKUP(C250,$T$1:$V$20,3))</f>
        <v>1</v>
      </c>
      <c r="L250" s="16" t="n">
        <f aca="false">IF(B250=-1,-1,VLOOKUP(D250,$Y$1:$AA$22,3))</f>
        <v>6</v>
      </c>
      <c r="N250" s="10" t="str">
        <f aca="false">_xlfn.UNICHAR(((C250*21)+G250)*28+44032)</f>
        <v>까</v>
      </c>
      <c r="O250" s="10" t="str">
        <f aca="false">_xlfn.UNICHAR(((F250*21)+D250)*28+44032)</f>
        <v>뿌</v>
      </c>
      <c r="P250" s="12" t="n">
        <f aca="false">COUNTIF($A$2:$A$3000, N250) + COUNTIF($A$2:$A$3000, O250)</f>
        <v>2</v>
      </c>
      <c r="Q250" s="16" t="str">
        <f aca="false">IF(OR(B250=-1,I250=0, P250&lt;&gt;2), "albhed_dummy", _xlfn.CONCAT("albhed ", RIGHT("  " &amp; K250,2),", ", RIGHT("  " &amp; L250,2), ", " ,"""",H250,""", ", """",N250,""", ","""",O250,""""," ; ", A250))</f>
        <v>albhed  1,  6, "빠", "까", "뿌" ; 꿇</v>
      </c>
    </row>
    <row r="251" customFormat="false" ht="17.9" hidden="false" customHeight="true" outlineLevel="0" collapsed="false">
      <c r="A251" s="16" t="s">
        <v>1130</v>
      </c>
      <c r="B251" s="16" t="n">
        <f aca="false">IF(_xlfn.UNICODE(A251)&lt;44032,-1,_xlfn.UNICODE(A251)-44032)</f>
        <v>968</v>
      </c>
      <c r="C251" s="16" t="n">
        <f aca="false">IF(B251=-1,-1,INT((B251/28)/21))</f>
        <v>1</v>
      </c>
      <c r="D251" s="16" t="n">
        <f aca="false">IF(B251=-1, -1, MOD(INT(B251/28),21))</f>
        <v>13</v>
      </c>
      <c r="E251" s="16" t="n">
        <f aca="false">IF(B251=-1, -1, VLOOKUP(MOD(B251,28), $T$24:$U$52,2))</f>
        <v>16</v>
      </c>
      <c r="F251" s="16" t="n">
        <f aca="false">IF($B251=-1, -1, VLOOKUP(C251,$T$1:$V$20, 2))</f>
        <v>8</v>
      </c>
      <c r="G251" s="16" t="n">
        <f aca="false">IF($B251=-1, -1, VLOOKUP(D251,$Y$1:$Z$22,2))</f>
        <v>0</v>
      </c>
      <c r="H251" s="16" t="str">
        <f aca="false">_xlfn.UNICHAR(((F251*21)+G251)*28+44032)</f>
        <v>빠</v>
      </c>
      <c r="I251" s="16" t="n">
        <f aca="false">IF(B251=-1, 1, COUNTIF($A$2:$A$3000, H251))</f>
        <v>1</v>
      </c>
      <c r="J251" s="10" t="str">
        <f aca="false">_xlfn.CONCAT(A251, ",",H251,",",I251)</f>
        <v>꿈,빠,1</v>
      </c>
      <c r="K251" s="16" t="n">
        <f aca="false">IF(B251=-1,-1,VLOOKUP(C251,$T$1:$V$20,3))</f>
        <v>1</v>
      </c>
      <c r="L251" s="16" t="n">
        <f aca="false">IF(B251=-1,-1,VLOOKUP(D251,$Y$1:$AA$22,3))</f>
        <v>6</v>
      </c>
      <c r="N251" s="10" t="str">
        <f aca="false">_xlfn.UNICHAR(((C251*21)+G251)*28+44032)</f>
        <v>까</v>
      </c>
      <c r="O251" s="10" t="str">
        <f aca="false">_xlfn.UNICHAR(((F251*21)+D251)*28+44032)</f>
        <v>뿌</v>
      </c>
      <c r="P251" s="12" t="n">
        <f aca="false">COUNTIF($A$2:$A$3000, N251) + COUNTIF($A$2:$A$3000, O251)</f>
        <v>2</v>
      </c>
      <c r="Q251" s="16" t="str">
        <f aca="false">IF(OR(B251=-1,I251=0, P251&lt;&gt;2), "albhed_dummy", _xlfn.CONCAT("albhed ", RIGHT("  " &amp; K251,2),", ", RIGHT("  " &amp; L251,2), ", " ,"""",H251,""", ", """",N251,""", ","""",O251,""""," ; ", A251))</f>
        <v>albhed  1,  6, "빠", "까", "뿌" ; 꿈</v>
      </c>
    </row>
    <row r="252" customFormat="false" ht="17.9" hidden="false" customHeight="true" outlineLevel="0" collapsed="false">
      <c r="A252" s="16" t="s">
        <v>1131</v>
      </c>
      <c r="B252" s="16" t="n">
        <f aca="false">IF(_xlfn.UNICODE(A252)&lt;44032,-1,_xlfn.UNICODE(A252)-44032)</f>
        <v>969</v>
      </c>
      <c r="C252" s="16" t="n">
        <f aca="false">IF(B252=-1,-1,INT((B252/28)/21))</f>
        <v>1</v>
      </c>
      <c r="D252" s="16" t="n">
        <f aca="false">IF(B252=-1, -1, MOD(INT(B252/28),21))</f>
        <v>13</v>
      </c>
      <c r="E252" s="16" t="n">
        <f aca="false">IF(B252=-1, -1, VLOOKUP(MOD(B252,28), $T$24:$U$52,2))</f>
        <v>17</v>
      </c>
      <c r="F252" s="16" t="n">
        <f aca="false">IF($B252=-1, -1, VLOOKUP(C252,$T$1:$V$20, 2))</f>
        <v>8</v>
      </c>
      <c r="G252" s="16" t="n">
        <f aca="false">IF($B252=-1, -1, VLOOKUP(D252,$Y$1:$Z$22,2))</f>
        <v>0</v>
      </c>
      <c r="H252" s="16" t="str">
        <f aca="false">_xlfn.UNICHAR(((F252*21)+G252)*28+44032)</f>
        <v>빠</v>
      </c>
      <c r="I252" s="16" t="n">
        <f aca="false">IF(B252=-1, 1, COUNTIF($A$2:$A$3000, H252))</f>
        <v>1</v>
      </c>
      <c r="J252" s="10" t="str">
        <f aca="false">_xlfn.CONCAT(A252, ",",H252,",",I252)</f>
        <v>꿉,빠,1</v>
      </c>
      <c r="K252" s="16" t="n">
        <f aca="false">IF(B252=-1,-1,VLOOKUP(C252,$T$1:$V$20,3))</f>
        <v>1</v>
      </c>
      <c r="L252" s="16" t="n">
        <f aca="false">IF(B252=-1,-1,VLOOKUP(D252,$Y$1:$AA$22,3))</f>
        <v>6</v>
      </c>
      <c r="N252" s="10" t="str">
        <f aca="false">_xlfn.UNICHAR(((C252*21)+G252)*28+44032)</f>
        <v>까</v>
      </c>
      <c r="O252" s="10" t="str">
        <f aca="false">_xlfn.UNICHAR(((F252*21)+D252)*28+44032)</f>
        <v>뿌</v>
      </c>
      <c r="P252" s="12" t="n">
        <f aca="false">COUNTIF($A$2:$A$3000, N252) + COUNTIF($A$2:$A$3000, O252)</f>
        <v>2</v>
      </c>
      <c r="Q252" s="16" t="str">
        <f aca="false">IF(OR(B252=-1,I252=0, P252&lt;&gt;2), "albhed_dummy", _xlfn.CONCAT("albhed ", RIGHT("  " &amp; K252,2),", ", RIGHT("  " &amp; L252,2), ", " ,"""",H252,""", ", """",N252,""", ","""",O252,""""," ; ", A252))</f>
        <v>albhed  1,  6, "빠", "까", "뿌" ; 꿉</v>
      </c>
    </row>
    <row r="253" customFormat="false" ht="17.9" hidden="false" customHeight="true" outlineLevel="0" collapsed="false">
      <c r="A253" s="16" t="s">
        <v>1132</v>
      </c>
      <c r="B253" s="16" t="n">
        <f aca="false">IF(_xlfn.UNICODE(A253)&lt;44032,-1,_xlfn.UNICODE(A253)-44032)</f>
        <v>971</v>
      </c>
      <c r="C253" s="16" t="n">
        <f aca="false">IF(B253=-1,-1,INT((B253/28)/21))</f>
        <v>1</v>
      </c>
      <c r="D253" s="16" t="n">
        <f aca="false">IF(B253=-1, -1, MOD(INT(B253/28),21))</f>
        <v>13</v>
      </c>
      <c r="E253" s="16" t="n">
        <f aca="false">IF(B253=-1, -1, VLOOKUP(MOD(B253,28), $T$24:$U$52,2))</f>
        <v>19</v>
      </c>
      <c r="F253" s="16" t="n">
        <f aca="false">IF($B253=-1, -1, VLOOKUP(C253,$T$1:$V$20, 2))</f>
        <v>8</v>
      </c>
      <c r="G253" s="16" t="n">
        <f aca="false">IF($B253=-1, -1, VLOOKUP(D253,$Y$1:$Z$22,2))</f>
        <v>0</v>
      </c>
      <c r="H253" s="16" t="str">
        <f aca="false">_xlfn.UNICHAR(((F253*21)+G253)*28+44032)</f>
        <v>빠</v>
      </c>
      <c r="I253" s="16" t="n">
        <f aca="false">IF(B253=-1, 1, COUNTIF($A$2:$A$3000, H253))</f>
        <v>1</v>
      </c>
      <c r="J253" s="10" t="str">
        <f aca="false">_xlfn.CONCAT(A253, ",",H253,",",I253)</f>
        <v>꿋,빠,1</v>
      </c>
      <c r="K253" s="16" t="n">
        <f aca="false">IF(B253=-1,-1,VLOOKUP(C253,$T$1:$V$20,3))</f>
        <v>1</v>
      </c>
      <c r="L253" s="16" t="n">
        <f aca="false">IF(B253=-1,-1,VLOOKUP(D253,$Y$1:$AA$22,3))</f>
        <v>6</v>
      </c>
      <c r="N253" s="10" t="str">
        <f aca="false">_xlfn.UNICHAR(((C253*21)+G253)*28+44032)</f>
        <v>까</v>
      </c>
      <c r="O253" s="10" t="str">
        <f aca="false">_xlfn.UNICHAR(((F253*21)+D253)*28+44032)</f>
        <v>뿌</v>
      </c>
      <c r="P253" s="12" t="n">
        <f aca="false">COUNTIF($A$2:$A$3000, N253) + COUNTIF($A$2:$A$3000, O253)</f>
        <v>2</v>
      </c>
      <c r="Q253" s="16" t="str">
        <f aca="false">IF(OR(B253=-1,I253=0, P253&lt;&gt;2), "albhed_dummy", _xlfn.CONCAT("albhed ", RIGHT("  " &amp; K253,2),", ", RIGHT("  " &amp; L253,2), ", " ,"""",H253,""", ", """",N253,""", ","""",O253,""""," ; ", A253))</f>
        <v>albhed  1,  6, "빠", "까", "뿌" ; 꿋</v>
      </c>
    </row>
    <row r="254" customFormat="false" ht="17.9" hidden="false" customHeight="true" outlineLevel="0" collapsed="false">
      <c r="A254" s="16" t="s">
        <v>1133</v>
      </c>
      <c r="B254" s="16" t="n">
        <f aca="false">IF(_xlfn.UNICODE(A254)&lt;44032,-1,_xlfn.UNICODE(A254)-44032)</f>
        <v>973</v>
      </c>
      <c r="C254" s="16" t="n">
        <f aca="false">IF(B254=-1,-1,INT((B254/28)/21))</f>
        <v>1</v>
      </c>
      <c r="D254" s="16" t="n">
        <f aca="false">IF(B254=-1, -1, MOD(INT(B254/28),21))</f>
        <v>13</v>
      </c>
      <c r="E254" s="16" t="n">
        <f aca="false">IF(B254=-1, -1, VLOOKUP(MOD(B254,28), $T$24:$U$52,2))</f>
        <v>21</v>
      </c>
      <c r="F254" s="16" t="n">
        <f aca="false">IF($B254=-1, -1, VLOOKUP(C254,$T$1:$V$20, 2))</f>
        <v>8</v>
      </c>
      <c r="G254" s="16" t="n">
        <f aca="false">IF($B254=-1, -1, VLOOKUP(D254,$Y$1:$Z$22,2))</f>
        <v>0</v>
      </c>
      <c r="H254" s="16" t="str">
        <f aca="false">_xlfn.UNICHAR(((F254*21)+G254)*28+44032)</f>
        <v>빠</v>
      </c>
      <c r="I254" s="16" t="n">
        <f aca="false">IF(B254=-1, 1, COUNTIF($A$2:$A$3000, H254))</f>
        <v>1</v>
      </c>
      <c r="J254" s="10" t="str">
        <f aca="false">_xlfn.CONCAT(A254, ",",H254,",",I254)</f>
        <v>꿍,빠,1</v>
      </c>
      <c r="K254" s="16" t="n">
        <f aca="false">IF(B254=-1,-1,VLOOKUP(C254,$T$1:$V$20,3))</f>
        <v>1</v>
      </c>
      <c r="L254" s="16" t="n">
        <f aca="false">IF(B254=-1,-1,VLOOKUP(D254,$Y$1:$AA$22,3))</f>
        <v>6</v>
      </c>
      <c r="N254" s="10" t="str">
        <f aca="false">_xlfn.UNICHAR(((C254*21)+G254)*28+44032)</f>
        <v>까</v>
      </c>
      <c r="O254" s="10" t="str">
        <f aca="false">_xlfn.UNICHAR(((F254*21)+D254)*28+44032)</f>
        <v>뿌</v>
      </c>
      <c r="P254" s="12" t="n">
        <f aca="false">COUNTIF($A$2:$A$3000, N254) + COUNTIF($A$2:$A$3000, O254)</f>
        <v>2</v>
      </c>
      <c r="Q254" s="16" t="str">
        <f aca="false">IF(OR(B254=-1,I254=0, P254&lt;&gt;2), "albhed_dummy", _xlfn.CONCAT("albhed ", RIGHT("  " &amp; K254,2),", ", RIGHT("  " &amp; L254,2), ", " ,"""",H254,""", ", """",N254,""", ","""",O254,""""," ; ", A254))</f>
        <v>albhed  1,  6, "빠", "까", "뿌" ; 꿍</v>
      </c>
    </row>
    <row r="255" customFormat="false" ht="17.9" hidden="false" customHeight="true" outlineLevel="0" collapsed="false">
      <c r="A255" s="16" t="s">
        <v>1134</v>
      </c>
      <c r="B255" s="16" t="n">
        <f aca="false">IF(_xlfn.UNICODE(A255)&lt;44032,-1,_xlfn.UNICODE(A255)-44032)</f>
        <v>974</v>
      </c>
      <c r="C255" s="16" t="n">
        <f aca="false">IF(B255=-1,-1,INT((B255/28)/21))</f>
        <v>1</v>
      </c>
      <c r="D255" s="16" t="n">
        <f aca="false">IF(B255=-1, -1, MOD(INT(B255/28),21))</f>
        <v>13</v>
      </c>
      <c r="E255" s="16" t="n">
        <f aca="false">IF(B255=-1, -1, VLOOKUP(MOD(B255,28), $T$24:$U$52,2))</f>
        <v>19</v>
      </c>
      <c r="F255" s="16" t="n">
        <f aca="false">IF($B255=-1, -1, VLOOKUP(C255,$T$1:$V$20, 2))</f>
        <v>8</v>
      </c>
      <c r="G255" s="16" t="n">
        <f aca="false">IF($B255=-1, -1, VLOOKUP(D255,$Y$1:$Z$22,2))</f>
        <v>0</v>
      </c>
      <c r="H255" s="16" t="str">
        <f aca="false">_xlfn.UNICHAR(((F255*21)+G255)*28+44032)</f>
        <v>빠</v>
      </c>
      <c r="I255" s="16" t="n">
        <f aca="false">IF(B255=-1, 1, COUNTIF($A$2:$A$3000, H255))</f>
        <v>1</v>
      </c>
      <c r="J255" s="10" t="str">
        <f aca="false">_xlfn.CONCAT(A255, ",",H255,",",I255)</f>
        <v>꿎,빠,1</v>
      </c>
      <c r="K255" s="16" t="n">
        <f aca="false">IF(B255=-1,-1,VLOOKUP(C255,$T$1:$V$20,3))</f>
        <v>1</v>
      </c>
      <c r="L255" s="16" t="n">
        <f aca="false">IF(B255=-1,-1,VLOOKUP(D255,$Y$1:$AA$22,3))</f>
        <v>6</v>
      </c>
      <c r="N255" s="10" t="str">
        <f aca="false">_xlfn.UNICHAR(((C255*21)+G255)*28+44032)</f>
        <v>까</v>
      </c>
      <c r="O255" s="10" t="str">
        <f aca="false">_xlfn.UNICHAR(((F255*21)+D255)*28+44032)</f>
        <v>뿌</v>
      </c>
      <c r="P255" s="12" t="n">
        <f aca="false">COUNTIF($A$2:$A$3000, N255) + COUNTIF($A$2:$A$3000, O255)</f>
        <v>2</v>
      </c>
      <c r="Q255" s="16" t="str">
        <f aca="false">IF(OR(B255=-1,I255=0, P255&lt;&gt;2), "albhed_dummy", _xlfn.CONCAT("albhed ", RIGHT("  " &amp; K255,2),", ", RIGHT("  " &amp; L255,2), ", " ,"""",H255,""", ", """",N255,""", ","""",O255,""""," ; ", A255))</f>
        <v>albhed  1,  6, "빠", "까", "뿌" ; 꿎</v>
      </c>
    </row>
    <row r="256" customFormat="false" ht="17.9" hidden="false" customHeight="true" outlineLevel="0" collapsed="false">
      <c r="A256" s="16" t="s">
        <v>1135</v>
      </c>
      <c r="B256" s="16" t="n">
        <f aca="false">IF(_xlfn.UNICODE(A256)&lt;44032,-1,_xlfn.UNICODE(A256)-44032)</f>
        <v>980</v>
      </c>
      <c r="C256" s="16" t="n">
        <f aca="false">IF(B256=-1,-1,INT((B256/28)/21))</f>
        <v>1</v>
      </c>
      <c r="D256" s="16" t="n">
        <f aca="false">IF(B256=-1, -1, MOD(INT(B256/28),21))</f>
        <v>14</v>
      </c>
      <c r="E256" s="16" t="n">
        <f aca="false">IF(B256=-1, -1, VLOOKUP(MOD(B256,28), $T$24:$U$52,2))</f>
        <v>0</v>
      </c>
      <c r="F256" s="16" t="n">
        <f aca="false">IF($B256=-1, -1, VLOOKUP(C256,$T$1:$V$20, 2))</f>
        <v>8</v>
      </c>
      <c r="G256" s="16" t="n">
        <f aca="false">IF($B256=-1, -1, VLOOKUP(D256,$Y$1:$Z$22,2))</f>
        <v>20</v>
      </c>
      <c r="H256" s="16" t="str">
        <f aca="false">_xlfn.UNICHAR(((F256*21)+G256)*28+44032)</f>
        <v>삐</v>
      </c>
      <c r="I256" s="16" t="n">
        <f aca="false">IF(B256=-1, 1, COUNTIF($A$2:$A$3000, H256))</f>
        <v>1</v>
      </c>
      <c r="J256" s="10" t="str">
        <f aca="false">_xlfn.CONCAT(A256, ",",H256,",",I256)</f>
        <v>꿔,삐,1</v>
      </c>
      <c r="K256" s="16" t="n">
        <f aca="false">IF(B256=-1,-1,VLOOKUP(C256,$T$1:$V$20,3))</f>
        <v>1</v>
      </c>
      <c r="L256" s="16" t="n">
        <f aca="false">IF(B256=-1,-1,VLOOKUP(D256,$Y$1:$AA$22,3))</f>
        <v>16</v>
      </c>
      <c r="N256" s="10" t="str">
        <f aca="false">_xlfn.UNICHAR(((C256*21)+G256)*28+44032)</f>
        <v>끼</v>
      </c>
      <c r="O256" s="10" t="str">
        <f aca="false">_xlfn.UNICHAR(((F256*21)+D256)*28+44032)</f>
        <v>뿨</v>
      </c>
      <c r="P256" s="12" t="n">
        <f aca="false">COUNTIF($A$2:$A$3000, N256) + COUNTIF($A$2:$A$3000, O256)</f>
        <v>1</v>
      </c>
      <c r="Q256" s="16" t="str">
        <f aca="false">IF(OR(B256=-1,I256=0, P256&lt;&gt;2), "albhed_dummy", _xlfn.CONCAT("albhed ", RIGHT("  " &amp; K256,2),", ", RIGHT("  " &amp; L256,2), ", " ,"""",H256,""", ", """",N256,""", ","""",O256,""""," ; ", A256))</f>
        <v>albhed_dummy</v>
      </c>
    </row>
    <row r="257" customFormat="false" ht="17.9" hidden="false" customHeight="true" outlineLevel="0" collapsed="false">
      <c r="A257" s="16" t="s">
        <v>1136</v>
      </c>
      <c r="B257" s="16" t="n">
        <f aca="false">IF(_xlfn.UNICODE(A257)&lt;44032,-1,_xlfn.UNICODE(A257)-44032)</f>
        <v>988</v>
      </c>
      <c r="C257" s="16" t="n">
        <f aca="false">IF(B257=-1,-1,INT((B257/28)/21))</f>
        <v>1</v>
      </c>
      <c r="D257" s="16" t="n">
        <f aca="false">IF(B257=-1, -1, MOD(INT(B257/28),21))</f>
        <v>14</v>
      </c>
      <c r="E257" s="16" t="n">
        <f aca="false">IF(B257=-1, -1, VLOOKUP(MOD(B257,28), $T$24:$U$52,2))</f>
        <v>8</v>
      </c>
      <c r="F257" s="16" t="n">
        <f aca="false">IF($B257=-1, -1, VLOOKUP(C257,$T$1:$V$20, 2))</f>
        <v>8</v>
      </c>
      <c r="G257" s="16" t="n">
        <f aca="false">IF($B257=-1, -1, VLOOKUP(D257,$Y$1:$Z$22,2))</f>
        <v>20</v>
      </c>
      <c r="H257" s="16" t="str">
        <f aca="false">_xlfn.UNICHAR(((F257*21)+G257)*28+44032)</f>
        <v>삐</v>
      </c>
      <c r="I257" s="16" t="n">
        <f aca="false">IF(B257=-1, 1, COUNTIF($A$2:$A$3000, H257))</f>
        <v>1</v>
      </c>
      <c r="J257" s="10" t="str">
        <f aca="false">_xlfn.CONCAT(A257, ",",H257,",",I257)</f>
        <v>꿜,삐,1</v>
      </c>
      <c r="K257" s="16" t="n">
        <f aca="false">IF(B257=-1,-1,VLOOKUP(C257,$T$1:$V$20,3))</f>
        <v>1</v>
      </c>
      <c r="L257" s="16" t="n">
        <f aca="false">IF(B257=-1,-1,VLOOKUP(D257,$Y$1:$AA$22,3))</f>
        <v>16</v>
      </c>
      <c r="N257" s="10" t="str">
        <f aca="false">_xlfn.UNICHAR(((C257*21)+G257)*28+44032)</f>
        <v>끼</v>
      </c>
      <c r="O257" s="10" t="str">
        <f aca="false">_xlfn.UNICHAR(((F257*21)+D257)*28+44032)</f>
        <v>뿨</v>
      </c>
      <c r="P257" s="12" t="n">
        <f aca="false">COUNTIF($A$2:$A$3000, N257) + COUNTIF($A$2:$A$3000, O257)</f>
        <v>1</v>
      </c>
      <c r="Q257" s="16" t="str">
        <f aca="false">IF(OR(B257=-1,I257=0, P257&lt;&gt;2), "albhed_dummy", _xlfn.CONCAT("albhed ", RIGHT("  " &amp; K257,2),", ", RIGHT("  " &amp; L257,2), ", " ,"""",H257,""", ", """",N257,""", ","""",O257,""""," ; ", A257))</f>
        <v>albhed_dummy</v>
      </c>
    </row>
    <row r="258" customFormat="false" ht="17.9" hidden="false" customHeight="true" outlineLevel="0" collapsed="false">
      <c r="A258" s="16" t="s">
        <v>1137</v>
      </c>
      <c r="B258" s="16" t="n">
        <f aca="false">IF(_xlfn.UNICODE(A258)&lt;44032,-1,_xlfn.UNICODE(A258)-44032)</f>
        <v>1000</v>
      </c>
      <c r="C258" s="16" t="n">
        <f aca="false">IF(B258=-1,-1,INT((B258/28)/21))</f>
        <v>1</v>
      </c>
      <c r="D258" s="16" t="n">
        <f aca="false">IF(B258=-1, -1, MOD(INT(B258/28),21))</f>
        <v>14</v>
      </c>
      <c r="E258" s="16" t="n">
        <f aca="false">IF(B258=-1, -1, VLOOKUP(MOD(B258,28), $T$24:$U$52,2))</f>
        <v>19</v>
      </c>
      <c r="F258" s="16" t="n">
        <f aca="false">IF($B258=-1, -1, VLOOKUP(C258,$T$1:$V$20, 2))</f>
        <v>8</v>
      </c>
      <c r="G258" s="16" t="n">
        <f aca="false">IF($B258=-1, -1, VLOOKUP(D258,$Y$1:$Z$22,2))</f>
        <v>20</v>
      </c>
      <c r="H258" s="16" t="str">
        <f aca="false">_xlfn.UNICHAR(((F258*21)+G258)*28+44032)</f>
        <v>삐</v>
      </c>
      <c r="I258" s="16" t="n">
        <f aca="false">IF(B258=-1, 1, COUNTIF($A$2:$A$3000, H258))</f>
        <v>1</v>
      </c>
      <c r="J258" s="10" t="str">
        <f aca="false">_xlfn.CONCAT(A258, ",",H258,",",I258)</f>
        <v>꿨,삐,1</v>
      </c>
      <c r="K258" s="16" t="n">
        <f aca="false">IF(B258=-1,-1,VLOOKUP(C258,$T$1:$V$20,3))</f>
        <v>1</v>
      </c>
      <c r="L258" s="16" t="n">
        <f aca="false">IF(B258=-1,-1,VLOOKUP(D258,$Y$1:$AA$22,3))</f>
        <v>16</v>
      </c>
      <c r="N258" s="10" t="str">
        <f aca="false">_xlfn.UNICHAR(((C258*21)+G258)*28+44032)</f>
        <v>끼</v>
      </c>
      <c r="O258" s="10" t="str">
        <f aca="false">_xlfn.UNICHAR(((F258*21)+D258)*28+44032)</f>
        <v>뿨</v>
      </c>
      <c r="P258" s="12" t="n">
        <f aca="false">COUNTIF($A$2:$A$3000, N258) + COUNTIF($A$2:$A$3000, O258)</f>
        <v>1</v>
      </c>
      <c r="Q258" s="16" t="str">
        <f aca="false">IF(OR(B258=-1,I258=0, P258&lt;&gt;2), "albhed_dummy", _xlfn.CONCAT("albhed ", RIGHT("  " &amp; K258,2),", ", RIGHT("  " &amp; L258,2), ", " ,"""",H258,""", ", """",N258,""", ","""",O258,""""," ; ", A258))</f>
        <v>albhed_dummy</v>
      </c>
    </row>
    <row r="259" customFormat="false" ht="17.9" hidden="false" customHeight="true" outlineLevel="0" collapsed="false">
      <c r="A259" s="16" t="s">
        <v>1138</v>
      </c>
      <c r="B259" s="16" t="n">
        <f aca="false">IF(_xlfn.UNICODE(A259)&lt;44032,-1,_xlfn.UNICODE(A259)-44032)</f>
        <v>1001</v>
      </c>
      <c r="C259" s="16" t="n">
        <f aca="false">IF(B259=-1,-1,INT((B259/28)/21))</f>
        <v>1</v>
      </c>
      <c r="D259" s="16" t="n">
        <f aca="false">IF(B259=-1, -1, MOD(INT(B259/28),21))</f>
        <v>14</v>
      </c>
      <c r="E259" s="16" t="n">
        <f aca="false">IF(B259=-1, -1, VLOOKUP(MOD(B259,28), $T$24:$U$52,2))</f>
        <v>21</v>
      </c>
      <c r="F259" s="16" t="n">
        <f aca="false">IF($B259=-1, -1, VLOOKUP(C259,$T$1:$V$20, 2))</f>
        <v>8</v>
      </c>
      <c r="G259" s="16" t="n">
        <f aca="false">IF($B259=-1, -1, VLOOKUP(D259,$Y$1:$Z$22,2))</f>
        <v>20</v>
      </c>
      <c r="H259" s="16" t="str">
        <f aca="false">_xlfn.UNICHAR(((F259*21)+G259)*28+44032)</f>
        <v>삐</v>
      </c>
      <c r="I259" s="16" t="n">
        <f aca="false">IF(B259=-1, 1, COUNTIF($A$2:$A$3000, H259))</f>
        <v>1</v>
      </c>
      <c r="J259" s="10" t="str">
        <f aca="false">_xlfn.CONCAT(A259, ",",H259,",",I259)</f>
        <v>꿩,삐,1</v>
      </c>
      <c r="K259" s="16" t="n">
        <f aca="false">IF(B259=-1,-1,VLOOKUP(C259,$T$1:$V$20,3))</f>
        <v>1</v>
      </c>
      <c r="L259" s="16" t="n">
        <f aca="false">IF(B259=-1,-1,VLOOKUP(D259,$Y$1:$AA$22,3))</f>
        <v>16</v>
      </c>
      <c r="N259" s="10" t="str">
        <f aca="false">_xlfn.UNICHAR(((C259*21)+G259)*28+44032)</f>
        <v>끼</v>
      </c>
      <c r="O259" s="10" t="str">
        <f aca="false">_xlfn.UNICHAR(((F259*21)+D259)*28+44032)</f>
        <v>뿨</v>
      </c>
      <c r="P259" s="12" t="n">
        <f aca="false">COUNTIF($A$2:$A$3000, N259) + COUNTIF($A$2:$A$3000, O259)</f>
        <v>1</v>
      </c>
      <c r="Q259" s="16" t="str">
        <f aca="false">IF(OR(B259=-1,I259=0, P259&lt;&gt;2), "albhed_dummy", _xlfn.CONCAT("albhed ", RIGHT("  " &amp; K259,2),", ", RIGHT("  " &amp; L259,2), ", " ,"""",H259,""", ", """",N259,""", ","""",O259,""""," ; ", A259))</f>
        <v>albhed_dummy</v>
      </c>
    </row>
    <row r="260" customFormat="false" ht="17.9" hidden="false" customHeight="true" outlineLevel="0" collapsed="false">
      <c r="A260" s="16" t="s">
        <v>1139</v>
      </c>
      <c r="B260" s="16" t="n">
        <f aca="false">IF(_xlfn.UNICODE(A260)&lt;44032,-1,_xlfn.UNICODE(A260)-44032)</f>
        <v>1008</v>
      </c>
      <c r="C260" s="16" t="n">
        <f aca="false">IF(B260=-1,-1,INT((B260/28)/21))</f>
        <v>1</v>
      </c>
      <c r="D260" s="16" t="n">
        <f aca="false">IF(B260=-1, -1, MOD(INT(B260/28),21))</f>
        <v>15</v>
      </c>
      <c r="E260" s="16" t="n">
        <f aca="false">IF(B260=-1, -1, VLOOKUP(MOD(B260,28), $T$24:$U$52,2))</f>
        <v>0</v>
      </c>
      <c r="F260" s="16" t="n">
        <f aca="false">IF($B260=-1, -1, VLOOKUP(C260,$T$1:$V$20, 2))</f>
        <v>8</v>
      </c>
      <c r="G260" s="16" t="n">
        <f aca="false">IF($B260=-1, -1, VLOOKUP(D260,$Y$1:$Z$22,2))</f>
        <v>20</v>
      </c>
      <c r="H260" s="16" t="str">
        <f aca="false">_xlfn.UNICHAR(((F260*21)+G260)*28+44032)</f>
        <v>삐</v>
      </c>
      <c r="I260" s="16" t="n">
        <f aca="false">IF(B260=-1, 1, COUNTIF($A$2:$A$3000, H260))</f>
        <v>1</v>
      </c>
      <c r="J260" s="10" t="str">
        <f aca="false">_xlfn.CONCAT(A260, ",",H260,",",I260)</f>
        <v>꿰,삐,1</v>
      </c>
      <c r="K260" s="16" t="n">
        <f aca="false">IF(B260=-1,-1,VLOOKUP(C260,$T$1:$V$20,3))</f>
        <v>1</v>
      </c>
      <c r="L260" s="16" t="n">
        <f aca="false">IF(B260=-1,-1,VLOOKUP(D260,$Y$1:$AA$22,3))</f>
        <v>16</v>
      </c>
      <c r="N260" s="10" t="str">
        <f aca="false">_xlfn.UNICHAR(((C260*21)+G260)*28+44032)</f>
        <v>끼</v>
      </c>
      <c r="O260" s="10" t="str">
        <f aca="false">_xlfn.UNICHAR(((F260*21)+D260)*28+44032)</f>
        <v>쀄</v>
      </c>
      <c r="P260" s="12" t="n">
        <f aca="false">COUNTIF($A$2:$A$3000, N260) + COUNTIF($A$2:$A$3000, O260)</f>
        <v>1</v>
      </c>
      <c r="Q260" s="16" t="str">
        <f aca="false">IF(OR(B260=-1,I260=0, P260&lt;&gt;2), "albhed_dummy", _xlfn.CONCAT("albhed ", RIGHT("  " &amp; K260,2),", ", RIGHT("  " &amp; L260,2), ", " ,"""",H260,""", ", """",N260,""", ","""",O260,""""," ; ", A260))</f>
        <v>albhed_dummy</v>
      </c>
    </row>
    <row r="261" customFormat="false" ht="17.9" hidden="false" customHeight="true" outlineLevel="0" collapsed="false">
      <c r="A261" s="16" t="s">
        <v>1140</v>
      </c>
      <c r="B261" s="16" t="n">
        <f aca="false">IF(_xlfn.UNICODE(A261)&lt;44032,-1,_xlfn.UNICODE(A261)-44032)</f>
        <v>1009</v>
      </c>
      <c r="C261" s="16" t="n">
        <f aca="false">IF(B261=-1,-1,INT((B261/28)/21))</f>
        <v>1</v>
      </c>
      <c r="D261" s="16" t="n">
        <f aca="false">IF(B261=-1, -1, MOD(INT(B261/28),21))</f>
        <v>15</v>
      </c>
      <c r="E261" s="16" t="n">
        <f aca="false">IF(B261=-1, -1, VLOOKUP(MOD(B261,28), $T$24:$U$52,2))</f>
        <v>1</v>
      </c>
      <c r="F261" s="16" t="n">
        <f aca="false">IF($B261=-1, -1, VLOOKUP(C261,$T$1:$V$20, 2))</f>
        <v>8</v>
      </c>
      <c r="G261" s="16" t="n">
        <f aca="false">IF($B261=-1, -1, VLOOKUP(D261,$Y$1:$Z$22,2))</f>
        <v>20</v>
      </c>
      <c r="H261" s="16" t="str">
        <f aca="false">_xlfn.UNICHAR(((F261*21)+G261)*28+44032)</f>
        <v>삐</v>
      </c>
      <c r="I261" s="16" t="n">
        <f aca="false">IF(B261=-1, 1, COUNTIF($A$2:$A$3000, H261))</f>
        <v>1</v>
      </c>
      <c r="J261" s="10" t="str">
        <f aca="false">_xlfn.CONCAT(A261, ",",H261,",",I261)</f>
        <v>꿱,삐,1</v>
      </c>
      <c r="K261" s="16" t="n">
        <f aca="false">IF(B261=-1,-1,VLOOKUP(C261,$T$1:$V$20,3))</f>
        <v>1</v>
      </c>
      <c r="L261" s="16" t="n">
        <f aca="false">IF(B261=-1,-1,VLOOKUP(D261,$Y$1:$AA$22,3))</f>
        <v>16</v>
      </c>
      <c r="N261" s="10" t="str">
        <f aca="false">_xlfn.UNICHAR(((C261*21)+G261)*28+44032)</f>
        <v>끼</v>
      </c>
      <c r="O261" s="10" t="str">
        <f aca="false">_xlfn.UNICHAR(((F261*21)+D261)*28+44032)</f>
        <v>쀄</v>
      </c>
      <c r="P261" s="12" t="n">
        <f aca="false">COUNTIF($A$2:$A$3000, N261) + COUNTIF($A$2:$A$3000, O261)</f>
        <v>1</v>
      </c>
      <c r="Q261" s="16" t="str">
        <f aca="false">IF(OR(B261=-1,I261=0, P261&lt;&gt;2), "albhed_dummy", _xlfn.CONCAT("albhed ", RIGHT("  " &amp; K261,2),", ", RIGHT("  " &amp; L261,2), ", " ,"""",H261,""", ", """",N261,""", ","""",O261,""""," ; ", A261))</f>
        <v>albhed_dummy</v>
      </c>
    </row>
    <row r="262" customFormat="false" ht="17.9" hidden="false" customHeight="true" outlineLevel="0" collapsed="false">
      <c r="A262" s="16" t="s">
        <v>1141</v>
      </c>
      <c r="B262" s="16" t="n">
        <f aca="false">IF(_xlfn.UNICODE(A262)&lt;44032,-1,_xlfn.UNICODE(A262)-44032)</f>
        <v>1012</v>
      </c>
      <c r="C262" s="16" t="n">
        <f aca="false">IF(B262=-1,-1,INT((B262/28)/21))</f>
        <v>1</v>
      </c>
      <c r="D262" s="16" t="n">
        <f aca="false">IF(B262=-1, -1, MOD(INT(B262/28),21))</f>
        <v>15</v>
      </c>
      <c r="E262" s="16" t="n">
        <f aca="false">IF(B262=-1, -1, VLOOKUP(MOD(B262,28), $T$24:$U$52,2))</f>
        <v>4</v>
      </c>
      <c r="F262" s="16" t="n">
        <f aca="false">IF($B262=-1, -1, VLOOKUP(C262,$T$1:$V$20, 2))</f>
        <v>8</v>
      </c>
      <c r="G262" s="16" t="n">
        <f aca="false">IF($B262=-1, -1, VLOOKUP(D262,$Y$1:$Z$22,2))</f>
        <v>20</v>
      </c>
      <c r="H262" s="16" t="str">
        <f aca="false">_xlfn.UNICHAR(((F262*21)+G262)*28+44032)</f>
        <v>삐</v>
      </c>
      <c r="I262" s="16" t="n">
        <f aca="false">IF(B262=-1, 1, COUNTIF($A$2:$A$3000, H262))</f>
        <v>1</v>
      </c>
      <c r="J262" s="10" t="str">
        <f aca="false">_xlfn.CONCAT(A262, ",",H262,",",I262)</f>
        <v>꿴,삐,1</v>
      </c>
      <c r="K262" s="16" t="n">
        <f aca="false">IF(B262=-1,-1,VLOOKUP(C262,$T$1:$V$20,3))</f>
        <v>1</v>
      </c>
      <c r="L262" s="16" t="n">
        <f aca="false">IF(B262=-1,-1,VLOOKUP(D262,$Y$1:$AA$22,3))</f>
        <v>16</v>
      </c>
      <c r="N262" s="10" t="str">
        <f aca="false">_xlfn.UNICHAR(((C262*21)+G262)*28+44032)</f>
        <v>끼</v>
      </c>
      <c r="O262" s="10" t="str">
        <f aca="false">_xlfn.UNICHAR(((F262*21)+D262)*28+44032)</f>
        <v>쀄</v>
      </c>
      <c r="P262" s="12" t="n">
        <f aca="false">COUNTIF($A$2:$A$3000, N262) + COUNTIF($A$2:$A$3000, O262)</f>
        <v>1</v>
      </c>
      <c r="Q262" s="16" t="str">
        <f aca="false">IF(OR(B262=-1,I262=0, P262&lt;&gt;2), "albhed_dummy", _xlfn.CONCAT("albhed ", RIGHT("  " &amp; K262,2),", ", RIGHT("  " &amp; L262,2), ", " ,"""",H262,""", ", """",N262,""", ","""",O262,""""," ; ", A262))</f>
        <v>albhed_dummy</v>
      </c>
    </row>
    <row r="263" customFormat="false" ht="17.9" hidden="false" customHeight="true" outlineLevel="0" collapsed="false">
      <c r="A263" s="16" t="s">
        <v>1142</v>
      </c>
      <c r="B263" s="16" t="n">
        <f aca="false">IF(_xlfn.UNICODE(A263)&lt;44032,-1,_xlfn.UNICODE(A263)-44032)</f>
        <v>1016</v>
      </c>
      <c r="C263" s="16" t="n">
        <f aca="false">IF(B263=-1,-1,INT((B263/28)/21))</f>
        <v>1</v>
      </c>
      <c r="D263" s="16" t="n">
        <f aca="false">IF(B263=-1, -1, MOD(INT(B263/28),21))</f>
        <v>15</v>
      </c>
      <c r="E263" s="16" t="n">
        <f aca="false">IF(B263=-1, -1, VLOOKUP(MOD(B263,28), $T$24:$U$52,2))</f>
        <v>8</v>
      </c>
      <c r="F263" s="16" t="n">
        <f aca="false">IF($B263=-1, -1, VLOOKUP(C263,$T$1:$V$20, 2))</f>
        <v>8</v>
      </c>
      <c r="G263" s="16" t="n">
        <f aca="false">IF($B263=-1, -1, VLOOKUP(D263,$Y$1:$Z$22,2))</f>
        <v>20</v>
      </c>
      <c r="H263" s="16" t="str">
        <f aca="false">_xlfn.UNICHAR(((F263*21)+G263)*28+44032)</f>
        <v>삐</v>
      </c>
      <c r="I263" s="16" t="n">
        <f aca="false">IF(B263=-1, 1, COUNTIF($A$2:$A$3000, H263))</f>
        <v>1</v>
      </c>
      <c r="J263" s="10" t="str">
        <f aca="false">_xlfn.CONCAT(A263, ",",H263,",",I263)</f>
        <v>꿸,삐,1</v>
      </c>
      <c r="K263" s="16" t="n">
        <f aca="false">IF(B263=-1,-1,VLOOKUP(C263,$T$1:$V$20,3))</f>
        <v>1</v>
      </c>
      <c r="L263" s="16" t="n">
        <f aca="false">IF(B263=-1,-1,VLOOKUP(D263,$Y$1:$AA$22,3))</f>
        <v>16</v>
      </c>
      <c r="N263" s="10" t="str">
        <f aca="false">_xlfn.UNICHAR(((C263*21)+G263)*28+44032)</f>
        <v>끼</v>
      </c>
      <c r="O263" s="10" t="str">
        <f aca="false">_xlfn.UNICHAR(((F263*21)+D263)*28+44032)</f>
        <v>쀄</v>
      </c>
      <c r="P263" s="12" t="n">
        <f aca="false">COUNTIF($A$2:$A$3000, N263) + COUNTIF($A$2:$A$3000, O263)</f>
        <v>1</v>
      </c>
      <c r="Q263" s="16" t="str">
        <f aca="false">IF(OR(B263=-1,I263=0, P263&lt;&gt;2), "albhed_dummy", _xlfn.CONCAT("albhed ", RIGHT("  " &amp; K263,2),", ", RIGHT("  " &amp; L263,2), ", " ,"""",H263,""", ", """",N263,""", ","""",O263,""""," ; ", A263))</f>
        <v>albhed_dummy</v>
      </c>
    </row>
    <row r="264" customFormat="false" ht="17.9" hidden="false" customHeight="true" outlineLevel="0" collapsed="false">
      <c r="A264" s="16" t="s">
        <v>1143</v>
      </c>
      <c r="B264" s="16" t="n">
        <f aca="false">IF(_xlfn.UNICODE(A264)&lt;44032,-1,_xlfn.UNICODE(A264)-44032)</f>
        <v>1024</v>
      </c>
      <c r="C264" s="16" t="n">
        <f aca="false">IF(B264=-1,-1,INT((B264/28)/21))</f>
        <v>1</v>
      </c>
      <c r="D264" s="16" t="n">
        <f aca="false">IF(B264=-1, -1, MOD(INT(B264/28),21))</f>
        <v>15</v>
      </c>
      <c r="E264" s="16" t="n">
        <f aca="false">IF(B264=-1, -1, VLOOKUP(MOD(B264,28), $T$24:$U$52,2))</f>
        <v>16</v>
      </c>
      <c r="F264" s="16" t="n">
        <f aca="false">IF($B264=-1, -1, VLOOKUP(C264,$T$1:$V$20, 2))</f>
        <v>8</v>
      </c>
      <c r="G264" s="16" t="n">
        <f aca="false">IF($B264=-1, -1, VLOOKUP(D264,$Y$1:$Z$22,2))</f>
        <v>20</v>
      </c>
      <c r="H264" s="16" t="str">
        <f aca="false">_xlfn.UNICHAR(((F264*21)+G264)*28+44032)</f>
        <v>삐</v>
      </c>
      <c r="I264" s="16" t="n">
        <f aca="false">IF(B264=-1, 1, COUNTIF($A$2:$A$3000, H264))</f>
        <v>1</v>
      </c>
      <c r="J264" s="10" t="str">
        <f aca="false">_xlfn.CONCAT(A264, ",",H264,",",I264)</f>
        <v>뀀,삐,1</v>
      </c>
      <c r="K264" s="16" t="n">
        <f aca="false">IF(B264=-1,-1,VLOOKUP(C264,$T$1:$V$20,3))</f>
        <v>1</v>
      </c>
      <c r="L264" s="16" t="n">
        <f aca="false">IF(B264=-1,-1,VLOOKUP(D264,$Y$1:$AA$22,3))</f>
        <v>16</v>
      </c>
      <c r="N264" s="10" t="str">
        <f aca="false">_xlfn.UNICHAR(((C264*21)+G264)*28+44032)</f>
        <v>끼</v>
      </c>
      <c r="O264" s="10" t="str">
        <f aca="false">_xlfn.UNICHAR(((F264*21)+D264)*28+44032)</f>
        <v>쀄</v>
      </c>
      <c r="P264" s="12" t="n">
        <f aca="false">COUNTIF($A$2:$A$3000, N264) + COUNTIF($A$2:$A$3000, O264)</f>
        <v>1</v>
      </c>
      <c r="Q264" s="16" t="str">
        <f aca="false">IF(OR(B264=-1,I264=0, P264&lt;&gt;2), "albhed_dummy", _xlfn.CONCAT("albhed ", RIGHT("  " &amp; K264,2),", ", RIGHT("  " &amp; L264,2), ", " ,"""",H264,""", ", """",N264,""", ","""",O264,""""," ; ", A264))</f>
        <v>albhed_dummy</v>
      </c>
    </row>
    <row r="265" customFormat="false" ht="17.9" hidden="false" customHeight="true" outlineLevel="0" collapsed="false">
      <c r="A265" s="16" t="s">
        <v>1144</v>
      </c>
      <c r="B265" s="16" t="n">
        <f aca="false">IF(_xlfn.UNICODE(A265)&lt;44032,-1,_xlfn.UNICODE(A265)-44032)</f>
        <v>1025</v>
      </c>
      <c r="C265" s="16" t="n">
        <f aca="false">IF(B265=-1,-1,INT((B265/28)/21))</f>
        <v>1</v>
      </c>
      <c r="D265" s="16" t="n">
        <f aca="false">IF(B265=-1, -1, MOD(INT(B265/28),21))</f>
        <v>15</v>
      </c>
      <c r="E265" s="16" t="n">
        <f aca="false">IF(B265=-1, -1, VLOOKUP(MOD(B265,28), $T$24:$U$52,2))</f>
        <v>17</v>
      </c>
      <c r="F265" s="16" t="n">
        <f aca="false">IF($B265=-1, -1, VLOOKUP(C265,$T$1:$V$20, 2))</f>
        <v>8</v>
      </c>
      <c r="G265" s="16" t="n">
        <f aca="false">IF($B265=-1, -1, VLOOKUP(D265,$Y$1:$Z$22,2))</f>
        <v>20</v>
      </c>
      <c r="H265" s="16" t="str">
        <f aca="false">_xlfn.UNICHAR(((F265*21)+G265)*28+44032)</f>
        <v>삐</v>
      </c>
      <c r="I265" s="16" t="n">
        <f aca="false">IF(B265=-1, 1, COUNTIF($A$2:$A$3000, H265))</f>
        <v>1</v>
      </c>
      <c r="J265" s="10" t="str">
        <f aca="false">_xlfn.CONCAT(A265, ",",H265,",",I265)</f>
        <v>뀁,삐,1</v>
      </c>
      <c r="K265" s="16" t="n">
        <f aca="false">IF(B265=-1,-1,VLOOKUP(C265,$T$1:$V$20,3))</f>
        <v>1</v>
      </c>
      <c r="L265" s="16" t="n">
        <f aca="false">IF(B265=-1,-1,VLOOKUP(D265,$Y$1:$AA$22,3))</f>
        <v>16</v>
      </c>
      <c r="N265" s="10" t="str">
        <f aca="false">_xlfn.UNICHAR(((C265*21)+G265)*28+44032)</f>
        <v>끼</v>
      </c>
      <c r="O265" s="10" t="str">
        <f aca="false">_xlfn.UNICHAR(((F265*21)+D265)*28+44032)</f>
        <v>쀄</v>
      </c>
      <c r="P265" s="12" t="n">
        <f aca="false">COUNTIF($A$2:$A$3000, N265) + COUNTIF($A$2:$A$3000, O265)</f>
        <v>1</v>
      </c>
      <c r="Q265" s="16" t="str">
        <f aca="false">IF(OR(B265=-1,I265=0, P265&lt;&gt;2), "albhed_dummy", _xlfn.CONCAT("albhed ", RIGHT("  " &amp; K265,2),", ", RIGHT("  " &amp; L265,2), ", " ,"""",H265,""", ", """",N265,""", ","""",O265,""""," ; ", A265))</f>
        <v>albhed_dummy</v>
      </c>
    </row>
    <row r="266" customFormat="false" ht="17.9" hidden="false" customHeight="true" outlineLevel="0" collapsed="false">
      <c r="A266" s="16" t="s">
        <v>1145</v>
      </c>
      <c r="B266" s="16" t="n">
        <f aca="false">IF(_xlfn.UNICODE(A266)&lt;44032,-1,_xlfn.UNICODE(A266)-44032)</f>
        <v>1028</v>
      </c>
      <c r="C266" s="16" t="n">
        <f aca="false">IF(B266=-1,-1,INT((B266/28)/21))</f>
        <v>1</v>
      </c>
      <c r="D266" s="16" t="n">
        <f aca="false">IF(B266=-1, -1, MOD(INT(B266/28),21))</f>
        <v>15</v>
      </c>
      <c r="E266" s="16" t="n">
        <f aca="false">IF(B266=-1, -1, VLOOKUP(MOD(B266,28), $T$24:$U$52,2))</f>
        <v>19</v>
      </c>
      <c r="F266" s="16" t="n">
        <f aca="false">IF($B266=-1, -1, VLOOKUP(C266,$T$1:$V$20, 2))</f>
        <v>8</v>
      </c>
      <c r="G266" s="16" t="n">
        <f aca="false">IF($B266=-1, -1, VLOOKUP(D266,$Y$1:$Z$22,2))</f>
        <v>20</v>
      </c>
      <c r="H266" s="16" t="str">
        <f aca="false">_xlfn.UNICHAR(((F266*21)+G266)*28+44032)</f>
        <v>삐</v>
      </c>
      <c r="I266" s="16" t="n">
        <f aca="false">IF(B266=-1, 1, COUNTIF($A$2:$A$3000, H266))</f>
        <v>1</v>
      </c>
      <c r="J266" s="10" t="str">
        <f aca="false">_xlfn.CONCAT(A266, ",",H266,",",I266)</f>
        <v>뀄,삐,1</v>
      </c>
      <c r="K266" s="16" t="n">
        <f aca="false">IF(B266=-1,-1,VLOOKUP(C266,$T$1:$V$20,3))</f>
        <v>1</v>
      </c>
      <c r="L266" s="16" t="n">
        <f aca="false">IF(B266=-1,-1,VLOOKUP(D266,$Y$1:$AA$22,3))</f>
        <v>16</v>
      </c>
      <c r="N266" s="10" t="str">
        <f aca="false">_xlfn.UNICHAR(((C266*21)+G266)*28+44032)</f>
        <v>끼</v>
      </c>
      <c r="O266" s="10" t="str">
        <f aca="false">_xlfn.UNICHAR(((F266*21)+D266)*28+44032)</f>
        <v>쀄</v>
      </c>
      <c r="P266" s="12" t="n">
        <f aca="false">COUNTIF($A$2:$A$3000, N266) + COUNTIF($A$2:$A$3000, O266)</f>
        <v>1</v>
      </c>
      <c r="Q266" s="16" t="str">
        <f aca="false">IF(OR(B266=-1,I266=0, P266&lt;&gt;2), "albhed_dummy", _xlfn.CONCAT("albhed ", RIGHT("  " &amp; K266,2),", ", RIGHT("  " &amp; L266,2), ", " ,"""",H266,""", ", """",N266,""", ","""",O266,""""," ; ", A266))</f>
        <v>albhed_dummy</v>
      </c>
    </row>
    <row r="267" customFormat="false" ht="17.9" hidden="false" customHeight="true" outlineLevel="0" collapsed="false">
      <c r="A267" s="16" t="s">
        <v>1146</v>
      </c>
      <c r="B267" s="16" t="n">
        <f aca="false">IF(_xlfn.UNICODE(A267)&lt;44032,-1,_xlfn.UNICODE(A267)-44032)</f>
        <v>1036</v>
      </c>
      <c r="C267" s="16" t="n">
        <f aca="false">IF(B267=-1,-1,INT((B267/28)/21))</f>
        <v>1</v>
      </c>
      <c r="D267" s="16" t="n">
        <f aca="false">IF(B267=-1, -1, MOD(INT(B267/28),21))</f>
        <v>16</v>
      </c>
      <c r="E267" s="16" t="n">
        <f aca="false">IF(B267=-1, -1, VLOOKUP(MOD(B267,28), $T$24:$U$52,2))</f>
        <v>0</v>
      </c>
      <c r="F267" s="16" t="n">
        <f aca="false">IF($B267=-1, -1, VLOOKUP(C267,$T$1:$V$20, 2))</f>
        <v>8</v>
      </c>
      <c r="G267" s="16" t="n">
        <f aca="false">IF($B267=-1, -1, VLOOKUP(D267,$Y$1:$Z$22,2))</f>
        <v>20</v>
      </c>
      <c r="H267" s="16" t="str">
        <f aca="false">_xlfn.UNICHAR(((F267*21)+G267)*28+44032)</f>
        <v>삐</v>
      </c>
      <c r="I267" s="16" t="n">
        <f aca="false">IF(B267=-1, 1, COUNTIF($A$2:$A$3000, H267))</f>
        <v>1</v>
      </c>
      <c r="J267" s="10" t="str">
        <f aca="false">_xlfn.CONCAT(A267, ",",H267,",",I267)</f>
        <v>뀌,삐,1</v>
      </c>
      <c r="K267" s="16" t="n">
        <f aca="false">IF(B267=-1,-1,VLOOKUP(C267,$T$1:$V$20,3))</f>
        <v>1</v>
      </c>
      <c r="L267" s="16" t="n">
        <f aca="false">IF(B267=-1,-1,VLOOKUP(D267,$Y$1:$AA$22,3))</f>
        <v>22</v>
      </c>
      <c r="N267" s="10" t="str">
        <f aca="false">_xlfn.UNICHAR(((C267*21)+G267)*28+44032)</f>
        <v>끼</v>
      </c>
      <c r="O267" s="10" t="str">
        <f aca="false">_xlfn.UNICHAR(((F267*21)+D267)*28+44032)</f>
        <v>쀠</v>
      </c>
      <c r="P267" s="12" t="n">
        <f aca="false">COUNTIF($A$2:$A$3000, N267) + COUNTIF($A$2:$A$3000, O267)</f>
        <v>1</v>
      </c>
      <c r="Q267" s="16" t="str">
        <f aca="false">IF(OR(B267=-1,I267=0, P267&lt;&gt;2), "albhed_dummy", _xlfn.CONCAT("albhed ", RIGHT("  " &amp; K267,2),", ", RIGHT("  " &amp; L267,2), ", " ,"""",H267,""", ", """",N267,""", ","""",O267,""""," ; ", A267))</f>
        <v>albhed_dummy</v>
      </c>
    </row>
    <row r="268" customFormat="false" ht="17.9" hidden="false" customHeight="true" outlineLevel="0" collapsed="false">
      <c r="A268" s="16" t="s">
        <v>1147</v>
      </c>
      <c r="B268" s="16" t="n">
        <f aca="false">IF(_xlfn.UNICODE(A268)&lt;44032,-1,_xlfn.UNICODE(A268)-44032)</f>
        <v>1040</v>
      </c>
      <c r="C268" s="16" t="n">
        <f aca="false">IF(B268=-1,-1,INT((B268/28)/21))</f>
        <v>1</v>
      </c>
      <c r="D268" s="16" t="n">
        <f aca="false">IF(B268=-1, -1, MOD(INT(B268/28),21))</f>
        <v>16</v>
      </c>
      <c r="E268" s="16" t="n">
        <f aca="false">IF(B268=-1, -1, VLOOKUP(MOD(B268,28), $T$24:$U$52,2))</f>
        <v>4</v>
      </c>
      <c r="F268" s="16" t="n">
        <f aca="false">IF($B268=-1, -1, VLOOKUP(C268,$T$1:$V$20, 2))</f>
        <v>8</v>
      </c>
      <c r="G268" s="16" t="n">
        <f aca="false">IF($B268=-1, -1, VLOOKUP(D268,$Y$1:$Z$22,2))</f>
        <v>20</v>
      </c>
      <c r="H268" s="16" t="str">
        <f aca="false">_xlfn.UNICHAR(((F268*21)+G268)*28+44032)</f>
        <v>삐</v>
      </c>
      <c r="I268" s="16" t="n">
        <f aca="false">IF(B268=-1, 1, COUNTIF($A$2:$A$3000, H268))</f>
        <v>1</v>
      </c>
      <c r="J268" s="10" t="str">
        <f aca="false">_xlfn.CONCAT(A268, ",",H268,",",I268)</f>
        <v>뀐,삐,1</v>
      </c>
      <c r="K268" s="16" t="n">
        <f aca="false">IF(B268=-1,-1,VLOOKUP(C268,$T$1:$V$20,3))</f>
        <v>1</v>
      </c>
      <c r="L268" s="16" t="n">
        <f aca="false">IF(B268=-1,-1,VLOOKUP(D268,$Y$1:$AA$22,3))</f>
        <v>22</v>
      </c>
      <c r="N268" s="10" t="str">
        <f aca="false">_xlfn.UNICHAR(((C268*21)+G268)*28+44032)</f>
        <v>끼</v>
      </c>
      <c r="O268" s="10" t="str">
        <f aca="false">_xlfn.UNICHAR(((F268*21)+D268)*28+44032)</f>
        <v>쀠</v>
      </c>
      <c r="P268" s="12" t="n">
        <f aca="false">COUNTIF($A$2:$A$3000, N268) + COUNTIF($A$2:$A$3000, O268)</f>
        <v>1</v>
      </c>
      <c r="Q268" s="16" t="str">
        <f aca="false">IF(OR(B268=-1,I268=0, P268&lt;&gt;2), "albhed_dummy", _xlfn.CONCAT("albhed ", RIGHT("  " &amp; K268,2),", ", RIGHT("  " &amp; L268,2), ", " ,"""",H268,""", ", """",N268,""", ","""",O268,""""," ; ", A268))</f>
        <v>albhed_dummy</v>
      </c>
    </row>
    <row r="269" customFormat="false" ht="17.9" hidden="false" customHeight="true" outlineLevel="0" collapsed="false">
      <c r="A269" s="16" t="s">
        <v>1148</v>
      </c>
      <c r="B269" s="16" t="n">
        <f aca="false">IF(_xlfn.UNICODE(A269)&lt;44032,-1,_xlfn.UNICODE(A269)-44032)</f>
        <v>1044</v>
      </c>
      <c r="C269" s="16" t="n">
        <f aca="false">IF(B269=-1,-1,INT((B269/28)/21))</f>
        <v>1</v>
      </c>
      <c r="D269" s="16" t="n">
        <f aca="false">IF(B269=-1, -1, MOD(INT(B269/28),21))</f>
        <v>16</v>
      </c>
      <c r="E269" s="16" t="n">
        <f aca="false">IF(B269=-1, -1, VLOOKUP(MOD(B269,28), $T$24:$U$52,2))</f>
        <v>8</v>
      </c>
      <c r="F269" s="16" t="n">
        <f aca="false">IF($B269=-1, -1, VLOOKUP(C269,$T$1:$V$20, 2))</f>
        <v>8</v>
      </c>
      <c r="G269" s="16" t="n">
        <f aca="false">IF($B269=-1, -1, VLOOKUP(D269,$Y$1:$Z$22,2))</f>
        <v>20</v>
      </c>
      <c r="H269" s="16" t="str">
        <f aca="false">_xlfn.UNICHAR(((F269*21)+G269)*28+44032)</f>
        <v>삐</v>
      </c>
      <c r="I269" s="16" t="n">
        <f aca="false">IF(B269=-1, 1, COUNTIF($A$2:$A$3000, H269))</f>
        <v>1</v>
      </c>
      <c r="J269" s="10" t="str">
        <f aca="false">_xlfn.CONCAT(A269, ",",H269,",",I269)</f>
        <v>뀔,삐,1</v>
      </c>
      <c r="K269" s="16" t="n">
        <f aca="false">IF(B269=-1,-1,VLOOKUP(C269,$T$1:$V$20,3))</f>
        <v>1</v>
      </c>
      <c r="L269" s="16" t="n">
        <f aca="false">IF(B269=-1,-1,VLOOKUP(D269,$Y$1:$AA$22,3))</f>
        <v>22</v>
      </c>
      <c r="N269" s="10" t="str">
        <f aca="false">_xlfn.UNICHAR(((C269*21)+G269)*28+44032)</f>
        <v>끼</v>
      </c>
      <c r="O269" s="10" t="str">
        <f aca="false">_xlfn.UNICHAR(((F269*21)+D269)*28+44032)</f>
        <v>쀠</v>
      </c>
      <c r="P269" s="12" t="n">
        <f aca="false">COUNTIF($A$2:$A$3000, N269) + COUNTIF($A$2:$A$3000, O269)</f>
        <v>1</v>
      </c>
      <c r="Q269" s="16" t="str">
        <f aca="false">IF(OR(B269=-1,I269=0, P269&lt;&gt;2), "albhed_dummy", _xlfn.CONCAT("albhed ", RIGHT("  " &amp; K269,2),", ", RIGHT("  " &amp; L269,2), ", " ,"""",H269,""", ", """",N269,""", ","""",O269,""""," ; ", A269))</f>
        <v>albhed_dummy</v>
      </c>
    </row>
    <row r="270" customFormat="false" ht="17.9" hidden="false" customHeight="true" outlineLevel="0" collapsed="false">
      <c r="A270" s="16" t="s">
        <v>1149</v>
      </c>
      <c r="B270" s="16" t="n">
        <f aca="false">IF(_xlfn.UNICODE(A270)&lt;44032,-1,_xlfn.UNICODE(A270)-44032)</f>
        <v>1052</v>
      </c>
      <c r="C270" s="16" t="n">
        <f aca="false">IF(B270=-1,-1,INT((B270/28)/21))</f>
        <v>1</v>
      </c>
      <c r="D270" s="16" t="n">
        <f aca="false">IF(B270=-1, -1, MOD(INT(B270/28),21))</f>
        <v>16</v>
      </c>
      <c r="E270" s="16" t="n">
        <f aca="false">IF(B270=-1, -1, VLOOKUP(MOD(B270,28), $T$24:$U$52,2))</f>
        <v>16</v>
      </c>
      <c r="F270" s="16" t="n">
        <f aca="false">IF($B270=-1, -1, VLOOKUP(C270,$T$1:$V$20, 2))</f>
        <v>8</v>
      </c>
      <c r="G270" s="16" t="n">
        <f aca="false">IF($B270=-1, -1, VLOOKUP(D270,$Y$1:$Z$22,2))</f>
        <v>20</v>
      </c>
      <c r="H270" s="16" t="str">
        <f aca="false">_xlfn.UNICHAR(((F270*21)+G270)*28+44032)</f>
        <v>삐</v>
      </c>
      <c r="I270" s="16" t="n">
        <f aca="false">IF(B270=-1, 1, COUNTIF($A$2:$A$3000, H270))</f>
        <v>1</v>
      </c>
      <c r="J270" s="10" t="str">
        <f aca="false">_xlfn.CONCAT(A270, ",",H270,",",I270)</f>
        <v>뀜,삐,1</v>
      </c>
      <c r="K270" s="16" t="n">
        <f aca="false">IF(B270=-1,-1,VLOOKUP(C270,$T$1:$V$20,3))</f>
        <v>1</v>
      </c>
      <c r="L270" s="16" t="n">
        <f aca="false">IF(B270=-1,-1,VLOOKUP(D270,$Y$1:$AA$22,3))</f>
        <v>22</v>
      </c>
      <c r="N270" s="10" t="str">
        <f aca="false">_xlfn.UNICHAR(((C270*21)+G270)*28+44032)</f>
        <v>끼</v>
      </c>
      <c r="O270" s="10" t="str">
        <f aca="false">_xlfn.UNICHAR(((F270*21)+D270)*28+44032)</f>
        <v>쀠</v>
      </c>
      <c r="P270" s="12" t="n">
        <f aca="false">COUNTIF($A$2:$A$3000, N270) + COUNTIF($A$2:$A$3000, O270)</f>
        <v>1</v>
      </c>
      <c r="Q270" s="16" t="str">
        <f aca="false">IF(OR(B270=-1,I270=0, P270&lt;&gt;2), "albhed_dummy", _xlfn.CONCAT("albhed ", RIGHT("  " &amp; K270,2),", ", RIGHT("  " &amp; L270,2), ", " ,"""",H270,""", ", """",N270,""", ","""",O270,""""," ; ", A270))</f>
        <v>albhed_dummy</v>
      </c>
    </row>
    <row r="271" customFormat="false" ht="17.9" hidden="false" customHeight="true" outlineLevel="0" collapsed="false">
      <c r="A271" s="16" t="s">
        <v>1150</v>
      </c>
      <c r="B271" s="16" t="n">
        <f aca="false">IF(_xlfn.UNICODE(A271)&lt;44032,-1,_xlfn.UNICODE(A271)-44032)</f>
        <v>1053</v>
      </c>
      <c r="C271" s="16" t="n">
        <f aca="false">IF(B271=-1,-1,INT((B271/28)/21))</f>
        <v>1</v>
      </c>
      <c r="D271" s="16" t="n">
        <f aca="false">IF(B271=-1, -1, MOD(INT(B271/28),21))</f>
        <v>16</v>
      </c>
      <c r="E271" s="16" t="n">
        <f aca="false">IF(B271=-1, -1, VLOOKUP(MOD(B271,28), $T$24:$U$52,2))</f>
        <v>17</v>
      </c>
      <c r="F271" s="16" t="n">
        <f aca="false">IF($B271=-1, -1, VLOOKUP(C271,$T$1:$V$20, 2))</f>
        <v>8</v>
      </c>
      <c r="G271" s="16" t="n">
        <f aca="false">IF($B271=-1, -1, VLOOKUP(D271,$Y$1:$Z$22,2))</f>
        <v>20</v>
      </c>
      <c r="H271" s="16" t="str">
        <f aca="false">_xlfn.UNICHAR(((F271*21)+G271)*28+44032)</f>
        <v>삐</v>
      </c>
      <c r="I271" s="16" t="n">
        <f aca="false">IF(B271=-1, 1, COUNTIF($A$2:$A$3000, H271))</f>
        <v>1</v>
      </c>
      <c r="J271" s="10" t="str">
        <f aca="false">_xlfn.CONCAT(A271, ",",H271,",",I271)</f>
        <v>뀝,삐,1</v>
      </c>
      <c r="K271" s="16" t="n">
        <f aca="false">IF(B271=-1,-1,VLOOKUP(C271,$T$1:$V$20,3))</f>
        <v>1</v>
      </c>
      <c r="L271" s="16" t="n">
        <f aca="false">IF(B271=-1,-1,VLOOKUP(D271,$Y$1:$AA$22,3))</f>
        <v>22</v>
      </c>
      <c r="N271" s="10" t="str">
        <f aca="false">_xlfn.UNICHAR(((C271*21)+G271)*28+44032)</f>
        <v>끼</v>
      </c>
      <c r="O271" s="10" t="str">
        <f aca="false">_xlfn.UNICHAR(((F271*21)+D271)*28+44032)</f>
        <v>쀠</v>
      </c>
      <c r="P271" s="12" t="n">
        <f aca="false">COUNTIF($A$2:$A$3000, N271) + COUNTIF($A$2:$A$3000, O271)</f>
        <v>1</v>
      </c>
      <c r="Q271" s="16" t="str">
        <f aca="false">IF(OR(B271=-1,I271=0, P271&lt;&gt;2), "albhed_dummy", _xlfn.CONCAT("albhed ", RIGHT("  " &amp; K271,2),", ", RIGHT("  " &amp; L271,2), ", " ,"""",H271,""", ", """",N271,""", ","""",O271,""""," ; ", A271))</f>
        <v>albhed_dummy</v>
      </c>
    </row>
    <row r="272" customFormat="false" ht="17.9" hidden="false" customHeight="true" outlineLevel="0" collapsed="false">
      <c r="A272" s="16" t="s">
        <v>1151</v>
      </c>
      <c r="B272" s="16" t="n">
        <f aca="false">IF(_xlfn.UNICODE(A272)&lt;44032,-1,_xlfn.UNICODE(A272)-44032)</f>
        <v>1064</v>
      </c>
      <c r="C272" s="16" t="n">
        <f aca="false">IF(B272=-1,-1,INT((B272/28)/21))</f>
        <v>1</v>
      </c>
      <c r="D272" s="16" t="n">
        <f aca="false">IF(B272=-1, -1, MOD(INT(B272/28),21))</f>
        <v>17</v>
      </c>
      <c r="E272" s="16" t="n">
        <f aca="false">IF(B272=-1, -1, VLOOKUP(MOD(B272,28), $T$24:$U$52,2))</f>
        <v>0</v>
      </c>
      <c r="F272" s="16" t="n">
        <f aca="false">IF($B272=-1, -1, VLOOKUP(C272,$T$1:$V$20, 2))</f>
        <v>8</v>
      </c>
      <c r="G272" s="16" t="n">
        <f aca="false">IF($B272=-1, -1, VLOOKUP(D272,$Y$1:$Z$22,2))</f>
        <v>2</v>
      </c>
      <c r="H272" s="16" t="str">
        <f aca="false">_xlfn.UNICHAR(((F272*21)+G272)*28+44032)</f>
        <v>뺘</v>
      </c>
      <c r="I272" s="16" t="n">
        <f aca="false">IF(B272=-1, 1, COUNTIF($A$2:$A$3000, H272))</f>
        <v>1</v>
      </c>
      <c r="J272" s="10" t="str">
        <f aca="false">_xlfn.CONCAT(A272, ",",H272,",",I272)</f>
        <v>뀨,뺘,1</v>
      </c>
      <c r="K272" s="16" t="n">
        <f aca="false">IF(B272=-1,-1,VLOOKUP(C272,$T$1:$V$20,3))</f>
        <v>1</v>
      </c>
      <c r="L272" s="16" t="n">
        <f aca="false">IF(B272=-1,-1,VLOOKUP(D272,$Y$1:$AA$22,3))</f>
        <v>6</v>
      </c>
      <c r="N272" s="10" t="str">
        <f aca="false">_xlfn.UNICHAR(((C272*21)+G272)*28+44032)</f>
        <v>꺄</v>
      </c>
      <c r="O272" s="10" t="str">
        <f aca="false">_xlfn.UNICHAR(((F272*21)+D272)*28+44032)</f>
        <v>쀼</v>
      </c>
      <c r="P272" s="12" t="n">
        <f aca="false">COUNTIF($A$2:$A$3000, N272) + COUNTIF($A$2:$A$3000, O272)</f>
        <v>2</v>
      </c>
      <c r="Q272" s="16" t="str">
        <f aca="false">IF(OR(B272=-1,I272=0, P272&lt;&gt;2), "albhed_dummy", _xlfn.CONCAT("albhed ", RIGHT("  " &amp; K272,2),", ", RIGHT("  " &amp; L272,2), ", " ,"""",H272,""", ", """",N272,""", ","""",O272,""""," ; ", A272))</f>
        <v>albhed  1,  6, "뺘", "꺄", "쀼" ; 뀨</v>
      </c>
    </row>
    <row r="273" customFormat="false" ht="17.9" hidden="false" customHeight="true" outlineLevel="0" collapsed="false">
      <c r="A273" s="16" t="s">
        <v>1152</v>
      </c>
      <c r="B273" s="16" t="n">
        <f aca="false">IF(_xlfn.UNICODE(A273)&lt;44032,-1,_xlfn.UNICODE(A273)-44032)</f>
        <v>1092</v>
      </c>
      <c r="C273" s="16" t="n">
        <f aca="false">IF(B273=-1,-1,INT((B273/28)/21))</f>
        <v>1</v>
      </c>
      <c r="D273" s="16" t="n">
        <f aca="false">IF(B273=-1, -1, MOD(INT(B273/28),21))</f>
        <v>18</v>
      </c>
      <c r="E273" s="16" t="n">
        <f aca="false">IF(B273=-1, -1, VLOOKUP(MOD(B273,28), $T$24:$U$52,2))</f>
        <v>0</v>
      </c>
      <c r="F273" s="16" t="n">
        <f aca="false">IF($B273=-1, -1, VLOOKUP(C273,$T$1:$V$20, 2))</f>
        <v>8</v>
      </c>
      <c r="G273" s="16" t="n">
        <f aca="false">IF($B273=-1, -1, VLOOKUP(D273,$Y$1:$Z$22,2))</f>
        <v>5</v>
      </c>
      <c r="H273" s="16" t="str">
        <f aca="false">_xlfn.UNICHAR(((F273*21)+G273)*28+44032)</f>
        <v>뻬</v>
      </c>
      <c r="I273" s="16" t="n">
        <f aca="false">IF(B273=-1, 1, COUNTIF($A$2:$A$3000, H273))</f>
        <v>1</v>
      </c>
      <c r="J273" s="10" t="str">
        <f aca="false">_xlfn.CONCAT(A273, ",",H273,",",I273)</f>
        <v>끄,뻬,1</v>
      </c>
      <c r="K273" s="16" t="n">
        <f aca="false">IF(B273=-1,-1,VLOOKUP(C273,$T$1:$V$20,3))</f>
        <v>1</v>
      </c>
      <c r="L273" s="16" t="n">
        <f aca="false">IF(B273=-1,-1,VLOOKUP(D273,$Y$1:$AA$22,3))</f>
        <v>18</v>
      </c>
      <c r="N273" s="10" t="str">
        <f aca="false">_xlfn.UNICHAR(((C273*21)+G273)*28+44032)</f>
        <v>께</v>
      </c>
      <c r="O273" s="10" t="str">
        <f aca="false">_xlfn.UNICHAR(((F273*21)+D273)*28+44032)</f>
        <v>쁘</v>
      </c>
      <c r="P273" s="12" t="n">
        <f aca="false">COUNTIF($A$2:$A$3000, N273) + COUNTIF($A$2:$A$3000, O273)</f>
        <v>2</v>
      </c>
      <c r="Q273" s="16" t="str">
        <f aca="false">IF(OR(B273=-1,I273=0, P273&lt;&gt;2), "albhed_dummy", _xlfn.CONCAT("albhed ", RIGHT("  " &amp; K273,2),", ", RIGHT("  " &amp; L273,2), ", " ,"""",H273,""", ", """",N273,""", ","""",O273,""""," ; ", A273))</f>
        <v>albhed  1, 18, "뻬", "께", "쁘" ; 끄</v>
      </c>
    </row>
    <row r="274" customFormat="false" ht="17.9" hidden="false" customHeight="true" outlineLevel="0" collapsed="false">
      <c r="A274" s="16" t="s">
        <v>1153</v>
      </c>
      <c r="B274" s="16" t="n">
        <f aca="false">IF(_xlfn.UNICODE(A274)&lt;44032,-1,_xlfn.UNICODE(A274)-44032)</f>
        <v>1093</v>
      </c>
      <c r="C274" s="16" t="n">
        <f aca="false">IF(B274=-1,-1,INT((B274/28)/21))</f>
        <v>1</v>
      </c>
      <c r="D274" s="16" t="n">
        <f aca="false">IF(B274=-1, -1, MOD(INT(B274/28),21))</f>
        <v>18</v>
      </c>
      <c r="E274" s="16" t="n">
        <f aca="false">IF(B274=-1, -1, VLOOKUP(MOD(B274,28), $T$24:$U$52,2))</f>
        <v>1</v>
      </c>
      <c r="F274" s="16" t="n">
        <f aca="false">IF($B274=-1, -1, VLOOKUP(C274,$T$1:$V$20, 2))</f>
        <v>8</v>
      </c>
      <c r="G274" s="16" t="n">
        <f aca="false">IF($B274=-1, -1, VLOOKUP(D274,$Y$1:$Z$22,2))</f>
        <v>5</v>
      </c>
      <c r="H274" s="16" t="str">
        <f aca="false">_xlfn.UNICHAR(((F274*21)+G274)*28+44032)</f>
        <v>뻬</v>
      </c>
      <c r="I274" s="16" t="n">
        <f aca="false">IF(B274=-1, 1, COUNTIF($A$2:$A$3000, H274))</f>
        <v>1</v>
      </c>
      <c r="J274" s="10" t="str">
        <f aca="false">_xlfn.CONCAT(A274, ",",H274,",",I274)</f>
        <v>끅,뻬,1</v>
      </c>
      <c r="K274" s="16" t="n">
        <f aca="false">IF(B274=-1,-1,VLOOKUP(C274,$T$1:$V$20,3))</f>
        <v>1</v>
      </c>
      <c r="L274" s="16" t="n">
        <f aca="false">IF(B274=-1,-1,VLOOKUP(D274,$Y$1:$AA$22,3))</f>
        <v>18</v>
      </c>
      <c r="N274" s="10" t="str">
        <f aca="false">_xlfn.UNICHAR(((C274*21)+G274)*28+44032)</f>
        <v>께</v>
      </c>
      <c r="O274" s="10" t="str">
        <f aca="false">_xlfn.UNICHAR(((F274*21)+D274)*28+44032)</f>
        <v>쁘</v>
      </c>
      <c r="P274" s="12" t="n">
        <f aca="false">COUNTIF($A$2:$A$3000, N274) + COUNTIF($A$2:$A$3000, O274)</f>
        <v>2</v>
      </c>
      <c r="Q274" s="16" t="str">
        <f aca="false">IF(OR(B274=-1,I274=0, P274&lt;&gt;2), "albhed_dummy", _xlfn.CONCAT("albhed ", RIGHT("  " &amp; K274,2),", ", RIGHT("  " &amp; L274,2), ", " ,"""",H274,""", ", """",N274,""", ","""",O274,""""," ; ", A274))</f>
        <v>albhed  1, 18, "뻬", "께", "쁘" ; 끅</v>
      </c>
    </row>
    <row r="275" customFormat="false" ht="17.9" hidden="false" customHeight="true" outlineLevel="0" collapsed="false">
      <c r="A275" s="16" t="s">
        <v>1154</v>
      </c>
      <c r="B275" s="16" t="n">
        <f aca="false">IF(_xlfn.UNICODE(A275)&lt;44032,-1,_xlfn.UNICODE(A275)-44032)</f>
        <v>1096</v>
      </c>
      <c r="C275" s="16" t="n">
        <f aca="false">IF(B275=-1,-1,INT((B275/28)/21))</f>
        <v>1</v>
      </c>
      <c r="D275" s="16" t="n">
        <f aca="false">IF(B275=-1, -1, MOD(INT(B275/28),21))</f>
        <v>18</v>
      </c>
      <c r="E275" s="16" t="n">
        <f aca="false">IF(B275=-1, -1, VLOOKUP(MOD(B275,28), $T$24:$U$52,2))</f>
        <v>4</v>
      </c>
      <c r="F275" s="16" t="n">
        <f aca="false">IF($B275=-1, -1, VLOOKUP(C275,$T$1:$V$20, 2))</f>
        <v>8</v>
      </c>
      <c r="G275" s="16" t="n">
        <f aca="false">IF($B275=-1, -1, VLOOKUP(D275,$Y$1:$Z$22,2))</f>
        <v>5</v>
      </c>
      <c r="H275" s="16" t="str">
        <f aca="false">_xlfn.UNICHAR(((F275*21)+G275)*28+44032)</f>
        <v>뻬</v>
      </c>
      <c r="I275" s="16" t="n">
        <f aca="false">IF(B275=-1, 1, COUNTIF($A$2:$A$3000, H275))</f>
        <v>1</v>
      </c>
      <c r="J275" s="10" t="str">
        <f aca="false">_xlfn.CONCAT(A275, ",",H275,",",I275)</f>
        <v>끈,뻬,1</v>
      </c>
      <c r="K275" s="16" t="n">
        <f aca="false">IF(B275=-1,-1,VLOOKUP(C275,$T$1:$V$20,3))</f>
        <v>1</v>
      </c>
      <c r="L275" s="16" t="n">
        <f aca="false">IF(B275=-1,-1,VLOOKUP(D275,$Y$1:$AA$22,3))</f>
        <v>18</v>
      </c>
      <c r="N275" s="10" t="str">
        <f aca="false">_xlfn.UNICHAR(((C275*21)+G275)*28+44032)</f>
        <v>께</v>
      </c>
      <c r="O275" s="10" t="str">
        <f aca="false">_xlfn.UNICHAR(((F275*21)+D275)*28+44032)</f>
        <v>쁘</v>
      </c>
      <c r="P275" s="12" t="n">
        <f aca="false">COUNTIF($A$2:$A$3000, N275) + COUNTIF($A$2:$A$3000, O275)</f>
        <v>2</v>
      </c>
      <c r="Q275" s="16" t="str">
        <f aca="false">IF(OR(B275=-1,I275=0, P275&lt;&gt;2), "albhed_dummy", _xlfn.CONCAT("albhed ", RIGHT("  " &amp; K275,2),", ", RIGHT("  " &amp; L275,2), ", " ,"""",H275,""", ", """",N275,""", ","""",O275,""""," ; ", A275))</f>
        <v>albhed  1, 18, "뻬", "께", "쁘" ; 끈</v>
      </c>
    </row>
    <row r="276" customFormat="false" ht="17.9" hidden="false" customHeight="true" outlineLevel="0" collapsed="false">
      <c r="A276" s="16" t="s">
        <v>1155</v>
      </c>
      <c r="B276" s="16" t="n">
        <f aca="false">IF(_xlfn.UNICODE(A276)&lt;44032,-1,_xlfn.UNICODE(A276)-44032)</f>
        <v>1098</v>
      </c>
      <c r="C276" s="16" t="n">
        <f aca="false">IF(B276=-1,-1,INT((B276/28)/21))</f>
        <v>1</v>
      </c>
      <c r="D276" s="16" t="n">
        <f aca="false">IF(B276=-1, -1, MOD(INT(B276/28),21))</f>
        <v>18</v>
      </c>
      <c r="E276" s="16" t="n">
        <f aca="false">IF(B276=-1, -1, VLOOKUP(MOD(B276,28), $T$24:$U$52,2))</f>
        <v>4</v>
      </c>
      <c r="F276" s="16" t="n">
        <f aca="false">IF($B276=-1, -1, VLOOKUP(C276,$T$1:$V$20, 2))</f>
        <v>8</v>
      </c>
      <c r="G276" s="16" t="n">
        <f aca="false">IF($B276=-1, -1, VLOOKUP(D276,$Y$1:$Z$22,2))</f>
        <v>5</v>
      </c>
      <c r="H276" s="16" t="str">
        <f aca="false">_xlfn.UNICHAR(((F276*21)+G276)*28+44032)</f>
        <v>뻬</v>
      </c>
      <c r="I276" s="16" t="n">
        <f aca="false">IF(B276=-1, 1, COUNTIF($A$2:$A$3000, H276))</f>
        <v>1</v>
      </c>
      <c r="J276" s="10" t="str">
        <f aca="false">_xlfn.CONCAT(A276, ",",H276,",",I276)</f>
        <v>끊,뻬,1</v>
      </c>
      <c r="K276" s="16" t="n">
        <f aca="false">IF(B276=-1,-1,VLOOKUP(C276,$T$1:$V$20,3))</f>
        <v>1</v>
      </c>
      <c r="L276" s="16" t="n">
        <f aca="false">IF(B276=-1,-1,VLOOKUP(D276,$Y$1:$AA$22,3))</f>
        <v>18</v>
      </c>
      <c r="N276" s="10" t="str">
        <f aca="false">_xlfn.UNICHAR(((C276*21)+G276)*28+44032)</f>
        <v>께</v>
      </c>
      <c r="O276" s="10" t="str">
        <f aca="false">_xlfn.UNICHAR(((F276*21)+D276)*28+44032)</f>
        <v>쁘</v>
      </c>
      <c r="P276" s="12" t="n">
        <f aca="false">COUNTIF($A$2:$A$3000, N276) + COUNTIF($A$2:$A$3000, O276)</f>
        <v>2</v>
      </c>
      <c r="Q276" s="16" t="str">
        <f aca="false">IF(OR(B276=-1,I276=0, P276&lt;&gt;2), "albhed_dummy", _xlfn.CONCAT("albhed ", RIGHT("  " &amp; K276,2),", ", RIGHT("  " &amp; L276,2), ", " ,"""",H276,""", ", """",N276,""", ","""",O276,""""," ; ", A276))</f>
        <v>albhed  1, 18, "뻬", "께", "쁘" ; 끊</v>
      </c>
    </row>
    <row r="277" customFormat="false" ht="17.9" hidden="false" customHeight="true" outlineLevel="0" collapsed="false">
      <c r="A277" s="16" t="s">
        <v>1156</v>
      </c>
      <c r="B277" s="16" t="n">
        <f aca="false">IF(_xlfn.UNICODE(A277)&lt;44032,-1,_xlfn.UNICODE(A277)-44032)</f>
        <v>1100</v>
      </c>
      <c r="C277" s="16" t="n">
        <f aca="false">IF(B277=-1,-1,INT((B277/28)/21))</f>
        <v>1</v>
      </c>
      <c r="D277" s="16" t="n">
        <f aca="false">IF(B277=-1, -1, MOD(INT(B277/28),21))</f>
        <v>18</v>
      </c>
      <c r="E277" s="16" t="n">
        <f aca="false">IF(B277=-1, -1, VLOOKUP(MOD(B277,28), $T$24:$U$52,2))</f>
        <v>8</v>
      </c>
      <c r="F277" s="16" t="n">
        <f aca="false">IF($B277=-1, -1, VLOOKUP(C277,$T$1:$V$20, 2))</f>
        <v>8</v>
      </c>
      <c r="G277" s="16" t="n">
        <f aca="false">IF($B277=-1, -1, VLOOKUP(D277,$Y$1:$Z$22,2))</f>
        <v>5</v>
      </c>
      <c r="H277" s="16" t="str">
        <f aca="false">_xlfn.UNICHAR(((F277*21)+G277)*28+44032)</f>
        <v>뻬</v>
      </c>
      <c r="I277" s="16" t="n">
        <f aca="false">IF(B277=-1, 1, COUNTIF($A$2:$A$3000, H277))</f>
        <v>1</v>
      </c>
      <c r="J277" s="10" t="str">
        <f aca="false">_xlfn.CONCAT(A277, ",",H277,",",I277)</f>
        <v>끌,뻬,1</v>
      </c>
      <c r="K277" s="16" t="n">
        <f aca="false">IF(B277=-1,-1,VLOOKUP(C277,$T$1:$V$20,3))</f>
        <v>1</v>
      </c>
      <c r="L277" s="16" t="n">
        <f aca="false">IF(B277=-1,-1,VLOOKUP(D277,$Y$1:$AA$22,3))</f>
        <v>18</v>
      </c>
      <c r="N277" s="10" t="str">
        <f aca="false">_xlfn.UNICHAR(((C277*21)+G277)*28+44032)</f>
        <v>께</v>
      </c>
      <c r="O277" s="10" t="str">
        <f aca="false">_xlfn.UNICHAR(((F277*21)+D277)*28+44032)</f>
        <v>쁘</v>
      </c>
      <c r="P277" s="12" t="n">
        <f aca="false">COUNTIF($A$2:$A$3000, N277) + COUNTIF($A$2:$A$3000, O277)</f>
        <v>2</v>
      </c>
      <c r="Q277" s="16" t="str">
        <f aca="false">IF(OR(B277=-1,I277=0, P277&lt;&gt;2), "albhed_dummy", _xlfn.CONCAT("albhed ", RIGHT("  " &amp; K277,2),", ", RIGHT("  " &amp; L277,2), ", " ,"""",H277,""", ", """",N277,""", ","""",O277,""""," ; ", A277))</f>
        <v>albhed  1, 18, "뻬", "께", "쁘" ; 끌</v>
      </c>
    </row>
    <row r="278" customFormat="false" ht="17.9" hidden="false" customHeight="true" outlineLevel="0" collapsed="false">
      <c r="A278" s="16" t="s">
        <v>1157</v>
      </c>
      <c r="B278" s="16" t="n">
        <f aca="false">IF(_xlfn.UNICODE(A278)&lt;44032,-1,_xlfn.UNICODE(A278)-44032)</f>
        <v>1102</v>
      </c>
      <c r="C278" s="16" t="n">
        <f aca="false">IF(B278=-1,-1,INT((B278/28)/21))</f>
        <v>1</v>
      </c>
      <c r="D278" s="16" t="n">
        <f aca="false">IF(B278=-1, -1, MOD(INT(B278/28),21))</f>
        <v>18</v>
      </c>
      <c r="E278" s="16" t="n">
        <f aca="false">IF(B278=-1, -1, VLOOKUP(MOD(B278,28), $T$24:$U$52,2))</f>
        <v>8</v>
      </c>
      <c r="F278" s="16" t="n">
        <f aca="false">IF($B278=-1, -1, VLOOKUP(C278,$T$1:$V$20, 2))</f>
        <v>8</v>
      </c>
      <c r="G278" s="16" t="n">
        <f aca="false">IF($B278=-1, -1, VLOOKUP(D278,$Y$1:$Z$22,2))</f>
        <v>5</v>
      </c>
      <c r="H278" s="16" t="str">
        <f aca="false">_xlfn.UNICHAR(((F278*21)+G278)*28+44032)</f>
        <v>뻬</v>
      </c>
      <c r="I278" s="16" t="n">
        <f aca="false">IF(B278=-1, 1, COUNTIF($A$2:$A$3000, H278))</f>
        <v>1</v>
      </c>
      <c r="J278" s="10" t="str">
        <f aca="false">_xlfn.CONCAT(A278, ",",H278,",",I278)</f>
        <v>끎,뻬,1</v>
      </c>
      <c r="K278" s="16" t="n">
        <f aca="false">IF(B278=-1,-1,VLOOKUP(C278,$T$1:$V$20,3))</f>
        <v>1</v>
      </c>
      <c r="L278" s="16" t="n">
        <f aca="false">IF(B278=-1,-1,VLOOKUP(D278,$Y$1:$AA$22,3))</f>
        <v>18</v>
      </c>
      <c r="N278" s="10" t="str">
        <f aca="false">_xlfn.UNICHAR(((C278*21)+G278)*28+44032)</f>
        <v>께</v>
      </c>
      <c r="O278" s="10" t="str">
        <f aca="false">_xlfn.UNICHAR(((F278*21)+D278)*28+44032)</f>
        <v>쁘</v>
      </c>
      <c r="P278" s="12" t="n">
        <f aca="false">COUNTIF($A$2:$A$3000, N278) + COUNTIF($A$2:$A$3000, O278)</f>
        <v>2</v>
      </c>
      <c r="Q278" s="16" t="str">
        <f aca="false">IF(OR(B278=-1,I278=0, P278&lt;&gt;2), "albhed_dummy", _xlfn.CONCAT("albhed ", RIGHT("  " &amp; K278,2),", ", RIGHT("  " &amp; L278,2), ", " ,"""",H278,""", ", """",N278,""", ","""",O278,""""," ; ", A278))</f>
        <v>albhed  1, 18, "뻬", "께", "쁘" ; 끎</v>
      </c>
    </row>
    <row r="279" customFormat="false" ht="17.9" hidden="false" customHeight="true" outlineLevel="0" collapsed="false">
      <c r="A279" s="16" t="s">
        <v>1158</v>
      </c>
      <c r="B279" s="16" t="n">
        <f aca="false">IF(_xlfn.UNICODE(A279)&lt;44032,-1,_xlfn.UNICODE(A279)-44032)</f>
        <v>1107</v>
      </c>
      <c r="C279" s="16" t="n">
        <f aca="false">IF(B279=-1,-1,INT((B279/28)/21))</f>
        <v>1</v>
      </c>
      <c r="D279" s="16" t="n">
        <f aca="false">IF(B279=-1, -1, MOD(INT(B279/28),21))</f>
        <v>18</v>
      </c>
      <c r="E279" s="16" t="n">
        <f aca="false">IF(B279=-1, -1, VLOOKUP(MOD(B279,28), $T$24:$U$52,2))</f>
        <v>8</v>
      </c>
      <c r="F279" s="16" t="n">
        <f aca="false">IF($B279=-1, -1, VLOOKUP(C279,$T$1:$V$20, 2))</f>
        <v>8</v>
      </c>
      <c r="G279" s="16" t="n">
        <f aca="false">IF($B279=-1, -1, VLOOKUP(D279,$Y$1:$Z$22,2))</f>
        <v>5</v>
      </c>
      <c r="H279" s="16" t="str">
        <f aca="false">_xlfn.UNICHAR(((F279*21)+G279)*28+44032)</f>
        <v>뻬</v>
      </c>
      <c r="I279" s="16" t="n">
        <f aca="false">IF(B279=-1, 1, COUNTIF($A$2:$A$3000, H279))</f>
        <v>1</v>
      </c>
      <c r="J279" s="10" t="str">
        <f aca="false">_xlfn.CONCAT(A279, ",",H279,",",I279)</f>
        <v>끓,뻬,1</v>
      </c>
      <c r="K279" s="16" t="n">
        <f aca="false">IF(B279=-1,-1,VLOOKUP(C279,$T$1:$V$20,3))</f>
        <v>1</v>
      </c>
      <c r="L279" s="16" t="n">
        <f aca="false">IF(B279=-1,-1,VLOOKUP(D279,$Y$1:$AA$22,3))</f>
        <v>18</v>
      </c>
      <c r="N279" s="10" t="str">
        <f aca="false">_xlfn.UNICHAR(((C279*21)+G279)*28+44032)</f>
        <v>께</v>
      </c>
      <c r="O279" s="10" t="str">
        <f aca="false">_xlfn.UNICHAR(((F279*21)+D279)*28+44032)</f>
        <v>쁘</v>
      </c>
      <c r="P279" s="12" t="n">
        <f aca="false">COUNTIF($A$2:$A$3000, N279) + COUNTIF($A$2:$A$3000, O279)</f>
        <v>2</v>
      </c>
      <c r="Q279" s="16" t="str">
        <f aca="false">IF(OR(B279=-1,I279=0, P279&lt;&gt;2), "albhed_dummy", _xlfn.CONCAT("albhed ", RIGHT("  " &amp; K279,2),", ", RIGHT("  " &amp; L279,2), ", " ,"""",H279,""", ", """",N279,""", ","""",O279,""""," ; ", A279))</f>
        <v>albhed  1, 18, "뻬", "께", "쁘" ; 끓</v>
      </c>
    </row>
    <row r="280" customFormat="false" ht="17.9" hidden="false" customHeight="true" outlineLevel="0" collapsed="false">
      <c r="A280" s="16" t="s">
        <v>1159</v>
      </c>
      <c r="B280" s="16" t="n">
        <f aca="false">IF(_xlfn.UNICODE(A280)&lt;44032,-1,_xlfn.UNICODE(A280)-44032)</f>
        <v>1108</v>
      </c>
      <c r="C280" s="16" t="n">
        <f aca="false">IF(B280=-1,-1,INT((B280/28)/21))</f>
        <v>1</v>
      </c>
      <c r="D280" s="16" t="n">
        <f aca="false">IF(B280=-1, -1, MOD(INT(B280/28),21))</f>
        <v>18</v>
      </c>
      <c r="E280" s="16" t="n">
        <f aca="false">IF(B280=-1, -1, VLOOKUP(MOD(B280,28), $T$24:$U$52,2))</f>
        <v>16</v>
      </c>
      <c r="F280" s="16" t="n">
        <f aca="false">IF($B280=-1, -1, VLOOKUP(C280,$T$1:$V$20, 2))</f>
        <v>8</v>
      </c>
      <c r="G280" s="16" t="n">
        <f aca="false">IF($B280=-1, -1, VLOOKUP(D280,$Y$1:$Z$22,2))</f>
        <v>5</v>
      </c>
      <c r="H280" s="16" t="str">
        <f aca="false">_xlfn.UNICHAR(((F280*21)+G280)*28+44032)</f>
        <v>뻬</v>
      </c>
      <c r="I280" s="16" t="n">
        <f aca="false">IF(B280=-1, 1, COUNTIF($A$2:$A$3000, H280))</f>
        <v>1</v>
      </c>
      <c r="J280" s="10" t="str">
        <f aca="false">_xlfn.CONCAT(A280, ",",H280,",",I280)</f>
        <v>끔,뻬,1</v>
      </c>
      <c r="K280" s="16" t="n">
        <f aca="false">IF(B280=-1,-1,VLOOKUP(C280,$T$1:$V$20,3))</f>
        <v>1</v>
      </c>
      <c r="L280" s="16" t="n">
        <f aca="false">IF(B280=-1,-1,VLOOKUP(D280,$Y$1:$AA$22,3))</f>
        <v>18</v>
      </c>
      <c r="N280" s="10" t="str">
        <f aca="false">_xlfn.UNICHAR(((C280*21)+G280)*28+44032)</f>
        <v>께</v>
      </c>
      <c r="O280" s="10" t="str">
        <f aca="false">_xlfn.UNICHAR(((F280*21)+D280)*28+44032)</f>
        <v>쁘</v>
      </c>
      <c r="P280" s="12" t="n">
        <f aca="false">COUNTIF($A$2:$A$3000, N280) + COUNTIF($A$2:$A$3000, O280)</f>
        <v>2</v>
      </c>
      <c r="Q280" s="16" t="str">
        <f aca="false">IF(OR(B280=-1,I280=0, P280&lt;&gt;2), "albhed_dummy", _xlfn.CONCAT("albhed ", RIGHT("  " &amp; K280,2),", ", RIGHT("  " &amp; L280,2), ", " ,"""",H280,""", ", """",N280,""", ","""",O280,""""," ; ", A280))</f>
        <v>albhed  1, 18, "뻬", "께", "쁘" ; 끔</v>
      </c>
    </row>
    <row r="281" customFormat="false" ht="17.9" hidden="false" customHeight="true" outlineLevel="0" collapsed="false">
      <c r="A281" s="16" t="s">
        <v>1160</v>
      </c>
      <c r="B281" s="16" t="n">
        <f aca="false">IF(_xlfn.UNICODE(A281)&lt;44032,-1,_xlfn.UNICODE(A281)-44032)</f>
        <v>1109</v>
      </c>
      <c r="C281" s="16" t="n">
        <f aca="false">IF(B281=-1,-1,INT((B281/28)/21))</f>
        <v>1</v>
      </c>
      <c r="D281" s="16" t="n">
        <f aca="false">IF(B281=-1, -1, MOD(INT(B281/28),21))</f>
        <v>18</v>
      </c>
      <c r="E281" s="16" t="n">
        <f aca="false">IF(B281=-1, -1, VLOOKUP(MOD(B281,28), $T$24:$U$52,2))</f>
        <v>17</v>
      </c>
      <c r="F281" s="16" t="n">
        <f aca="false">IF($B281=-1, -1, VLOOKUP(C281,$T$1:$V$20, 2))</f>
        <v>8</v>
      </c>
      <c r="G281" s="16" t="n">
        <f aca="false">IF($B281=-1, -1, VLOOKUP(D281,$Y$1:$Z$22,2))</f>
        <v>5</v>
      </c>
      <c r="H281" s="16" t="str">
        <f aca="false">_xlfn.UNICHAR(((F281*21)+G281)*28+44032)</f>
        <v>뻬</v>
      </c>
      <c r="I281" s="16" t="n">
        <f aca="false">IF(B281=-1, 1, COUNTIF($A$2:$A$3000, H281))</f>
        <v>1</v>
      </c>
      <c r="J281" s="10" t="str">
        <f aca="false">_xlfn.CONCAT(A281, ",",H281,",",I281)</f>
        <v>끕,뻬,1</v>
      </c>
      <c r="K281" s="16" t="n">
        <f aca="false">IF(B281=-1,-1,VLOOKUP(C281,$T$1:$V$20,3))</f>
        <v>1</v>
      </c>
      <c r="L281" s="16" t="n">
        <f aca="false">IF(B281=-1,-1,VLOOKUP(D281,$Y$1:$AA$22,3))</f>
        <v>18</v>
      </c>
      <c r="N281" s="10" t="str">
        <f aca="false">_xlfn.UNICHAR(((C281*21)+G281)*28+44032)</f>
        <v>께</v>
      </c>
      <c r="O281" s="10" t="str">
        <f aca="false">_xlfn.UNICHAR(((F281*21)+D281)*28+44032)</f>
        <v>쁘</v>
      </c>
      <c r="P281" s="12" t="n">
        <f aca="false">COUNTIF($A$2:$A$3000, N281) + COUNTIF($A$2:$A$3000, O281)</f>
        <v>2</v>
      </c>
      <c r="Q281" s="16" t="str">
        <f aca="false">IF(OR(B281=-1,I281=0, P281&lt;&gt;2), "albhed_dummy", _xlfn.CONCAT("albhed ", RIGHT("  " &amp; K281,2),", ", RIGHT("  " &amp; L281,2), ", " ,"""",H281,""", ", """",N281,""", ","""",O281,""""," ; ", A281))</f>
        <v>albhed  1, 18, "뻬", "께", "쁘" ; 끕</v>
      </c>
    </row>
    <row r="282" customFormat="false" ht="17.9" hidden="false" customHeight="true" outlineLevel="0" collapsed="false">
      <c r="A282" s="16" t="s">
        <v>1161</v>
      </c>
      <c r="B282" s="16" t="n">
        <f aca="false">IF(_xlfn.UNICODE(A282)&lt;44032,-1,_xlfn.UNICODE(A282)-44032)</f>
        <v>1111</v>
      </c>
      <c r="C282" s="16" t="n">
        <f aca="false">IF(B282=-1,-1,INT((B282/28)/21))</f>
        <v>1</v>
      </c>
      <c r="D282" s="16" t="n">
        <f aca="false">IF(B282=-1, -1, MOD(INT(B282/28),21))</f>
        <v>18</v>
      </c>
      <c r="E282" s="16" t="n">
        <f aca="false">IF(B282=-1, -1, VLOOKUP(MOD(B282,28), $T$24:$U$52,2))</f>
        <v>19</v>
      </c>
      <c r="F282" s="16" t="n">
        <f aca="false">IF($B282=-1, -1, VLOOKUP(C282,$T$1:$V$20, 2))</f>
        <v>8</v>
      </c>
      <c r="G282" s="16" t="n">
        <f aca="false">IF($B282=-1, -1, VLOOKUP(D282,$Y$1:$Z$22,2))</f>
        <v>5</v>
      </c>
      <c r="H282" s="16" t="str">
        <f aca="false">_xlfn.UNICHAR(((F282*21)+G282)*28+44032)</f>
        <v>뻬</v>
      </c>
      <c r="I282" s="16" t="n">
        <f aca="false">IF(B282=-1, 1, COUNTIF($A$2:$A$3000, H282))</f>
        <v>1</v>
      </c>
      <c r="J282" s="10" t="str">
        <f aca="false">_xlfn.CONCAT(A282, ",",H282,",",I282)</f>
        <v>끗,뻬,1</v>
      </c>
      <c r="K282" s="16" t="n">
        <f aca="false">IF(B282=-1,-1,VLOOKUP(C282,$T$1:$V$20,3))</f>
        <v>1</v>
      </c>
      <c r="L282" s="16" t="n">
        <f aca="false">IF(B282=-1,-1,VLOOKUP(D282,$Y$1:$AA$22,3))</f>
        <v>18</v>
      </c>
      <c r="N282" s="10" t="str">
        <f aca="false">_xlfn.UNICHAR(((C282*21)+G282)*28+44032)</f>
        <v>께</v>
      </c>
      <c r="O282" s="10" t="str">
        <f aca="false">_xlfn.UNICHAR(((F282*21)+D282)*28+44032)</f>
        <v>쁘</v>
      </c>
      <c r="P282" s="12" t="n">
        <f aca="false">COUNTIF($A$2:$A$3000, N282) + COUNTIF($A$2:$A$3000, O282)</f>
        <v>2</v>
      </c>
      <c r="Q282" s="16" t="str">
        <f aca="false">IF(OR(B282=-1,I282=0, P282&lt;&gt;2), "albhed_dummy", _xlfn.CONCAT("albhed ", RIGHT("  " &amp; K282,2),", ", RIGHT("  " &amp; L282,2), ", " ,"""",H282,""", ", """",N282,""", ","""",O282,""""," ; ", A282))</f>
        <v>albhed  1, 18, "뻬", "께", "쁘" ; 끗</v>
      </c>
    </row>
    <row r="283" customFormat="false" ht="17.9" hidden="false" customHeight="true" outlineLevel="0" collapsed="false">
      <c r="A283" s="16" t="s">
        <v>1162</v>
      </c>
      <c r="B283" s="16" t="n">
        <f aca="false">IF(_xlfn.UNICODE(A283)&lt;44032,-1,_xlfn.UNICODE(A283)-44032)</f>
        <v>1113</v>
      </c>
      <c r="C283" s="16" t="n">
        <f aca="false">IF(B283=-1,-1,INT((B283/28)/21))</f>
        <v>1</v>
      </c>
      <c r="D283" s="16" t="n">
        <f aca="false">IF(B283=-1, -1, MOD(INT(B283/28),21))</f>
        <v>18</v>
      </c>
      <c r="E283" s="16" t="n">
        <f aca="false">IF(B283=-1, -1, VLOOKUP(MOD(B283,28), $T$24:$U$52,2))</f>
        <v>21</v>
      </c>
      <c r="F283" s="16" t="n">
        <f aca="false">IF($B283=-1, -1, VLOOKUP(C283,$T$1:$V$20, 2))</f>
        <v>8</v>
      </c>
      <c r="G283" s="16" t="n">
        <f aca="false">IF($B283=-1, -1, VLOOKUP(D283,$Y$1:$Z$22,2))</f>
        <v>5</v>
      </c>
      <c r="H283" s="16" t="str">
        <f aca="false">_xlfn.UNICHAR(((F283*21)+G283)*28+44032)</f>
        <v>뻬</v>
      </c>
      <c r="I283" s="16" t="n">
        <f aca="false">IF(B283=-1, 1, COUNTIF($A$2:$A$3000, H283))</f>
        <v>1</v>
      </c>
      <c r="J283" s="10" t="str">
        <f aca="false">_xlfn.CONCAT(A283, ",",H283,",",I283)</f>
        <v>끙,뻬,1</v>
      </c>
      <c r="K283" s="16" t="n">
        <f aca="false">IF(B283=-1,-1,VLOOKUP(C283,$T$1:$V$20,3))</f>
        <v>1</v>
      </c>
      <c r="L283" s="16" t="n">
        <f aca="false">IF(B283=-1,-1,VLOOKUP(D283,$Y$1:$AA$22,3))</f>
        <v>18</v>
      </c>
      <c r="N283" s="10" t="str">
        <f aca="false">_xlfn.UNICHAR(((C283*21)+G283)*28+44032)</f>
        <v>께</v>
      </c>
      <c r="O283" s="10" t="str">
        <f aca="false">_xlfn.UNICHAR(((F283*21)+D283)*28+44032)</f>
        <v>쁘</v>
      </c>
      <c r="P283" s="12" t="n">
        <f aca="false">COUNTIF($A$2:$A$3000, N283) + COUNTIF($A$2:$A$3000, O283)</f>
        <v>2</v>
      </c>
      <c r="Q283" s="16" t="str">
        <f aca="false">IF(OR(B283=-1,I283=0, P283&lt;&gt;2), "albhed_dummy", _xlfn.CONCAT("albhed ", RIGHT("  " &amp; K283,2),", ", RIGHT("  " &amp; L283,2), ", " ,"""",H283,""", ", """",N283,""", ","""",O283,""""," ; ", A283))</f>
        <v>albhed  1, 18, "뻬", "께", "쁘" ; 끙</v>
      </c>
    </row>
    <row r="284" customFormat="false" ht="17.9" hidden="false" customHeight="true" outlineLevel="0" collapsed="false">
      <c r="A284" s="16" t="s">
        <v>1163</v>
      </c>
      <c r="B284" s="16" t="n">
        <f aca="false">IF(_xlfn.UNICODE(A284)&lt;44032,-1,_xlfn.UNICODE(A284)-44032)</f>
        <v>1117</v>
      </c>
      <c r="C284" s="16" t="n">
        <f aca="false">IF(B284=-1,-1,INT((B284/28)/21))</f>
        <v>1</v>
      </c>
      <c r="D284" s="16" t="n">
        <f aca="false">IF(B284=-1, -1, MOD(INT(B284/28),21))</f>
        <v>18</v>
      </c>
      <c r="E284" s="16" t="n">
        <f aca="false">IF(B284=-1, -1, VLOOKUP(MOD(B284,28), $T$24:$U$52,2))</f>
        <v>19</v>
      </c>
      <c r="F284" s="16" t="n">
        <f aca="false">IF($B284=-1, -1, VLOOKUP(C284,$T$1:$V$20, 2))</f>
        <v>8</v>
      </c>
      <c r="G284" s="16" t="n">
        <f aca="false">IF($B284=-1, -1, VLOOKUP(D284,$Y$1:$Z$22,2))</f>
        <v>5</v>
      </c>
      <c r="H284" s="16" t="str">
        <f aca="false">_xlfn.UNICHAR(((F284*21)+G284)*28+44032)</f>
        <v>뻬</v>
      </c>
      <c r="I284" s="16" t="n">
        <f aca="false">IF(B284=-1, 1, COUNTIF($A$2:$A$3000, H284))</f>
        <v>1</v>
      </c>
      <c r="J284" s="10" t="str">
        <f aca="false">_xlfn.CONCAT(A284, ",",H284,",",I284)</f>
        <v>끝,뻬,1</v>
      </c>
      <c r="K284" s="16" t="n">
        <f aca="false">IF(B284=-1,-1,VLOOKUP(C284,$T$1:$V$20,3))</f>
        <v>1</v>
      </c>
      <c r="L284" s="16" t="n">
        <f aca="false">IF(B284=-1,-1,VLOOKUP(D284,$Y$1:$AA$22,3))</f>
        <v>18</v>
      </c>
      <c r="N284" s="10" t="str">
        <f aca="false">_xlfn.UNICHAR(((C284*21)+G284)*28+44032)</f>
        <v>께</v>
      </c>
      <c r="O284" s="10" t="str">
        <f aca="false">_xlfn.UNICHAR(((F284*21)+D284)*28+44032)</f>
        <v>쁘</v>
      </c>
      <c r="P284" s="12" t="n">
        <f aca="false">COUNTIF($A$2:$A$3000, N284) + COUNTIF($A$2:$A$3000, O284)</f>
        <v>2</v>
      </c>
      <c r="Q284" s="16" t="str">
        <f aca="false">IF(OR(B284=-1,I284=0, P284&lt;&gt;2), "albhed_dummy", _xlfn.CONCAT("albhed ", RIGHT("  " &amp; K284,2),", ", RIGHT("  " &amp; L284,2), ", " ,"""",H284,""", ", """",N284,""", ","""",O284,""""," ; ", A284))</f>
        <v>albhed  1, 18, "뻬", "께", "쁘" ; 끝</v>
      </c>
    </row>
    <row r="285" customFormat="false" ht="17.9" hidden="false" customHeight="true" outlineLevel="0" collapsed="false">
      <c r="A285" s="16" t="s">
        <v>1164</v>
      </c>
      <c r="B285" s="16" t="n">
        <f aca="false">IF(_xlfn.UNICODE(A285)&lt;44032,-1,_xlfn.UNICODE(A285)-44032)</f>
        <v>1148</v>
      </c>
      <c r="C285" s="16" t="n">
        <f aca="false">IF(B285=-1,-1,INT((B285/28)/21))</f>
        <v>1</v>
      </c>
      <c r="D285" s="16" t="n">
        <f aca="false">IF(B285=-1, -1, MOD(INT(B285/28),21))</f>
        <v>20</v>
      </c>
      <c r="E285" s="16" t="n">
        <f aca="false">IF(B285=-1, -1, VLOOKUP(MOD(B285,28), $T$24:$U$52,2))</f>
        <v>0</v>
      </c>
      <c r="F285" s="16" t="n">
        <f aca="false">IF($B285=-1, -1, VLOOKUP(C285,$T$1:$V$20, 2))</f>
        <v>8</v>
      </c>
      <c r="G285" s="16" t="n">
        <f aca="false">IF($B285=-1, -1, VLOOKUP(D285,$Y$1:$Z$22,2))</f>
        <v>5</v>
      </c>
      <c r="H285" s="16" t="str">
        <f aca="false">_xlfn.UNICHAR(((F285*21)+G285)*28+44032)</f>
        <v>뻬</v>
      </c>
      <c r="I285" s="16" t="n">
        <f aca="false">IF(B285=-1, 1, COUNTIF($A$2:$A$3000, H285))</f>
        <v>1</v>
      </c>
      <c r="J285" s="10" t="str">
        <f aca="false">_xlfn.CONCAT(A285, ",",H285,",",I285)</f>
        <v>끼,뻬,1</v>
      </c>
      <c r="K285" s="16" t="n">
        <f aca="false">IF(B285=-1,-1,VLOOKUP(C285,$T$1:$V$20,3))</f>
        <v>1</v>
      </c>
      <c r="L285" s="16" t="n">
        <f aca="false">IF(B285=-1,-1,VLOOKUP(D285,$Y$1:$AA$22,3))</f>
        <v>20</v>
      </c>
      <c r="N285" s="10" t="str">
        <f aca="false">_xlfn.UNICHAR(((C285*21)+G285)*28+44032)</f>
        <v>께</v>
      </c>
      <c r="O285" s="10" t="str">
        <f aca="false">_xlfn.UNICHAR(((F285*21)+D285)*28+44032)</f>
        <v>삐</v>
      </c>
      <c r="P285" s="12" t="n">
        <f aca="false">COUNTIF($A$2:$A$3000, N285) + COUNTIF($A$2:$A$3000, O285)</f>
        <v>2</v>
      </c>
      <c r="Q285" s="16" t="str">
        <f aca="false">IF(OR(B285=-1,I285=0, P285&lt;&gt;2), "albhed_dummy", _xlfn.CONCAT("albhed ", RIGHT("  " &amp; K285,2),", ", RIGHT("  " &amp; L285,2), ", " ,"""",H285,""", ", """",N285,""", ","""",O285,""""," ; ", A285))</f>
        <v>albhed  1, 20, "뻬", "께", "삐" ; 끼</v>
      </c>
    </row>
    <row r="286" customFormat="false" ht="17.9" hidden="false" customHeight="true" outlineLevel="0" collapsed="false">
      <c r="A286" s="16" t="s">
        <v>1165</v>
      </c>
      <c r="B286" s="16" t="n">
        <f aca="false">IF(_xlfn.UNICODE(A286)&lt;44032,-1,_xlfn.UNICODE(A286)-44032)</f>
        <v>1149</v>
      </c>
      <c r="C286" s="16" t="n">
        <f aca="false">IF(B286=-1,-1,INT((B286/28)/21))</f>
        <v>1</v>
      </c>
      <c r="D286" s="16" t="n">
        <f aca="false">IF(B286=-1, -1, MOD(INT(B286/28),21))</f>
        <v>20</v>
      </c>
      <c r="E286" s="16" t="n">
        <f aca="false">IF(B286=-1, -1, VLOOKUP(MOD(B286,28), $T$24:$U$52,2))</f>
        <v>1</v>
      </c>
      <c r="F286" s="16" t="n">
        <f aca="false">IF($B286=-1, -1, VLOOKUP(C286,$T$1:$V$20, 2))</f>
        <v>8</v>
      </c>
      <c r="G286" s="16" t="n">
        <f aca="false">IF($B286=-1, -1, VLOOKUP(D286,$Y$1:$Z$22,2))</f>
        <v>5</v>
      </c>
      <c r="H286" s="16" t="str">
        <f aca="false">_xlfn.UNICHAR(((F286*21)+G286)*28+44032)</f>
        <v>뻬</v>
      </c>
      <c r="I286" s="16" t="n">
        <f aca="false">IF(B286=-1, 1, COUNTIF($A$2:$A$3000, H286))</f>
        <v>1</v>
      </c>
      <c r="J286" s="10" t="str">
        <f aca="false">_xlfn.CONCAT(A286, ",",H286,",",I286)</f>
        <v>끽,뻬,1</v>
      </c>
      <c r="K286" s="16" t="n">
        <f aca="false">IF(B286=-1,-1,VLOOKUP(C286,$T$1:$V$20,3))</f>
        <v>1</v>
      </c>
      <c r="L286" s="16" t="n">
        <f aca="false">IF(B286=-1,-1,VLOOKUP(D286,$Y$1:$AA$22,3))</f>
        <v>20</v>
      </c>
      <c r="N286" s="10" t="str">
        <f aca="false">_xlfn.UNICHAR(((C286*21)+G286)*28+44032)</f>
        <v>께</v>
      </c>
      <c r="O286" s="10" t="str">
        <f aca="false">_xlfn.UNICHAR(((F286*21)+D286)*28+44032)</f>
        <v>삐</v>
      </c>
      <c r="P286" s="12" t="n">
        <f aca="false">COUNTIF($A$2:$A$3000, N286) + COUNTIF($A$2:$A$3000, O286)</f>
        <v>2</v>
      </c>
      <c r="Q286" s="16" t="str">
        <f aca="false">IF(OR(B286=-1,I286=0, P286&lt;&gt;2), "albhed_dummy", _xlfn.CONCAT("albhed ", RIGHT("  " &amp; K286,2),", ", RIGHT("  " &amp; L286,2), ", " ,"""",H286,""", ", """",N286,""", ","""",O286,""""," ; ", A286))</f>
        <v>albhed  1, 20, "뻬", "께", "삐" ; 끽</v>
      </c>
    </row>
    <row r="287" customFormat="false" ht="17.9" hidden="false" customHeight="true" outlineLevel="0" collapsed="false">
      <c r="A287" s="16" t="s">
        <v>1166</v>
      </c>
      <c r="B287" s="16" t="n">
        <f aca="false">IF(_xlfn.UNICODE(A287)&lt;44032,-1,_xlfn.UNICODE(A287)-44032)</f>
        <v>1152</v>
      </c>
      <c r="C287" s="16" t="n">
        <f aca="false">IF(B287=-1,-1,INT((B287/28)/21))</f>
        <v>1</v>
      </c>
      <c r="D287" s="16" t="n">
        <f aca="false">IF(B287=-1, -1, MOD(INT(B287/28),21))</f>
        <v>20</v>
      </c>
      <c r="E287" s="16" t="n">
        <f aca="false">IF(B287=-1, -1, VLOOKUP(MOD(B287,28), $T$24:$U$52,2))</f>
        <v>4</v>
      </c>
      <c r="F287" s="16" t="n">
        <f aca="false">IF($B287=-1, -1, VLOOKUP(C287,$T$1:$V$20, 2))</f>
        <v>8</v>
      </c>
      <c r="G287" s="16" t="n">
        <f aca="false">IF($B287=-1, -1, VLOOKUP(D287,$Y$1:$Z$22,2))</f>
        <v>5</v>
      </c>
      <c r="H287" s="16" t="str">
        <f aca="false">_xlfn.UNICHAR(((F287*21)+G287)*28+44032)</f>
        <v>뻬</v>
      </c>
      <c r="I287" s="16" t="n">
        <f aca="false">IF(B287=-1, 1, COUNTIF($A$2:$A$3000, H287))</f>
        <v>1</v>
      </c>
      <c r="J287" s="10" t="str">
        <f aca="false">_xlfn.CONCAT(A287, ",",H287,",",I287)</f>
        <v>낀,뻬,1</v>
      </c>
      <c r="K287" s="16" t="n">
        <f aca="false">IF(B287=-1,-1,VLOOKUP(C287,$T$1:$V$20,3))</f>
        <v>1</v>
      </c>
      <c r="L287" s="16" t="n">
        <f aca="false">IF(B287=-1,-1,VLOOKUP(D287,$Y$1:$AA$22,3))</f>
        <v>20</v>
      </c>
      <c r="N287" s="10" t="str">
        <f aca="false">_xlfn.UNICHAR(((C287*21)+G287)*28+44032)</f>
        <v>께</v>
      </c>
      <c r="O287" s="10" t="str">
        <f aca="false">_xlfn.UNICHAR(((F287*21)+D287)*28+44032)</f>
        <v>삐</v>
      </c>
      <c r="P287" s="12" t="n">
        <f aca="false">COUNTIF($A$2:$A$3000, N287) + COUNTIF($A$2:$A$3000, O287)</f>
        <v>2</v>
      </c>
      <c r="Q287" s="16" t="str">
        <f aca="false">IF(OR(B287=-1,I287=0, P287&lt;&gt;2), "albhed_dummy", _xlfn.CONCAT("albhed ", RIGHT("  " &amp; K287,2),", ", RIGHT("  " &amp; L287,2), ", " ,"""",H287,""", ", """",N287,""", ","""",O287,""""," ; ", A287))</f>
        <v>albhed  1, 20, "뻬", "께", "삐" ; 낀</v>
      </c>
    </row>
    <row r="288" customFormat="false" ht="17.9" hidden="false" customHeight="true" outlineLevel="0" collapsed="false">
      <c r="A288" s="16" t="s">
        <v>1167</v>
      </c>
      <c r="B288" s="16" t="n">
        <f aca="false">IF(_xlfn.UNICODE(A288)&lt;44032,-1,_xlfn.UNICODE(A288)-44032)</f>
        <v>1156</v>
      </c>
      <c r="C288" s="16" t="n">
        <f aca="false">IF(B288=-1,-1,INT((B288/28)/21))</f>
        <v>1</v>
      </c>
      <c r="D288" s="16" t="n">
        <f aca="false">IF(B288=-1, -1, MOD(INT(B288/28),21))</f>
        <v>20</v>
      </c>
      <c r="E288" s="16" t="n">
        <f aca="false">IF(B288=-1, -1, VLOOKUP(MOD(B288,28), $T$24:$U$52,2))</f>
        <v>8</v>
      </c>
      <c r="F288" s="16" t="n">
        <f aca="false">IF($B288=-1, -1, VLOOKUP(C288,$T$1:$V$20, 2))</f>
        <v>8</v>
      </c>
      <c r="G288" s="16" t="n">
        <f aca="false">IF($B288=-1, -1, VLOOKUP(D288,$Y$1:$Z$22,2))</f>
        <v>5</v>
      </c>
      <c r="H288" s="16" t="str">
        <f aca="false">_xlfn.UNICHAR(((F288*21)+G288)*28+44032)</f>
        <v>뻬</v>
      </c>
      <c r="I288" s="16" t="n">
        <f aca="false">IF(B288=-1, 1, COUNTIF($A$2:$A$3000, H288))</f>
        <v>1</v>
      </c>
      <c r="J288" s="10" t="str">
        <f aca="false">_xlfn.CONCAT(A288, ",",H288,",",I288)</f>
        <v>낄,뻬,1</v>
      </c>
      <c r="K288" s="16" t="n">
        <f aca="false">IF(B288=-1,-1,VLOOKUP(C288,$T$1:$V$20,3))</f>
        <v>1</v>
      </c>
      <c r="L288" s="16" t="n">
        <f aca="false">IF(B288=-1,-1,VLOOKUP(D288,$Y$1:$AA$22,3))</f>
        <v>20</v>
      </c>
      <c r="N288" s="10" t="str">
        <f aca="false">_xlfn.UNICHAR(((C288*21)+G288)*28+44032)</f>
        <v>께</v>
      </c>
      <c r="O288" s="10" t="str">
        <f aca="false">_xlfn.UNICHAR(((F288*21)+D288)*28+44032)</f>
        <v>삐</v>
      </c>
      <c r="P288" s="12" t="n">
        <f aca="false">COUNTIF($A$2:$A$3000, N288) + COUNTIF($A$2:$A$3000, O288)</f>
        <v>2</v>
      </c>
      <c r="Q288" s="16" t="str">
        <f aca="false">IF(OR(B288=-1,I288=0, P288&lt;&gt;2), "albhed_dummy", _xlfn.CONCAT("albhed ", RIGHT("  " &amp; K288,2),", ", RIGHT("  " &amp; L288,2), ", " ,"""",H288,""", ", """",N288,""", ","""",O288,""""," ; ", A288))</f>
        <v>albhed  1, 20, "뻬", "께", "삐" ; 낄</v>
      </c>
    </row>
    <row r="289" customFormat="false" ht="17.9" hidden="false" customHeight="true" outlineLevel="0" collapsed="false">
      <c r="A289" s="16" t="s">
        <v>1168</v>
      </c>
      <c r="B289" s="16" t="n">
        <f aca="false">IF(_xlfn.UNICODE(A289)&lt;44032,-1,_xlfn.UNICODE(A289)-44032)</f>
        <v>1164</v>
      </c>
      <c r="C289" s="16" t="n">
        <f aca="false">IF(B289=-1,-1,INT((B289/28)/21))</f>
        <v>1</v>
      </c>
      <c r="D289" s="16" t="n">
        <f aca="false">IF(B289=-1, -1, MOD(INT(B289/28),21))</f>
        <v>20</v>
      </c>
      <c r="E289" s="16" t="n">
        <f aca="false">IF(B289=-1, -1, VLOOKUP(MOD(B289,28), $T$24:$U$52,2))</f>
        <v>16</v>
      </c>
      <c r="F289" s="16" t="n">
        <f aca="false">IF($B289=-1, -1, VLOOKUP(C289,$T$1:$V$20, 2))</f>
        <v>8</v>
      </c>
      <c r="G289" s="16" t="n">
        <f aca="false">IF($B289=-1, -1, VLOOKUP(D289,$Y$1:$Z$22,2))</f>
        <v>5</v>
      </c>
      <c r="H289" s="16" t="str">
        <f aca="false">_xlfn.UNICHAR(((F289*21)+G289)*28+44032)</f>
        <v>뻬</v>
      </c>
      <c r="I289" s="16" t="n">
        <f aca="false">IF(B289=-1, 1, COUNTIF($A$2:$A$3000, H289))</f>
        <v>1</v>
      </c>
      <c r="J289" s="10" t="str">
        <f aca="false">_xlfn.CONCAT(A289, ",",H289,",",I289)</f>
        <v>낌,뻬,1</v>
      </c>
      <c r="K289" s="16" t="n">
        <f aca="false">IF(B289=-1,-1,VLOOKUP(C289,$T$1:$V$20,3))</f>
        <v>1</v>
      </c>
      <c r="L289" s="16" t="n">
        <f aca="false">IF(B289=-1,-1,VLOOKUP(D289,$Y$1:$AA$22,3))</f>
        <v>20</v>
      </c>
      <c r="N289" s="10" t="str">
        <f aca="false">_xlfn.UNICHAR(((C289*21)+G289)*28+44032)</f>
        <v>께</v>
      </c>
      <c r="O289" s="10" t="str">
        <f aca="false">_xlfn.UNICHAR(((F289*21)+D289)*28+44032)</f>
        <v>삐</v>
      </c>
      <c r="P289" s="12" t="n">
        <f aca="false">COUNTIF($A$2:$A$3000, N289) + COUNTIF($A$2:$A$3000, O289)</f>
        <v>2</v>
      </c>
      <c r="Q289" s="16" t="str">
        <f aca="false">IF(OR(B289=-1,I289=0, P289&lt;&gt;2), "albhed_dummy", _xlfn.CONCAT("albhed ", RIGHT("  " &amp; K289,2),", ", RIGHT("  " &amp; L289,2), ", " ,"""",H289,""", ", """",N289,""", ","""",O289,""""," ; ", A289))</f>
        <v>albhed  1, 20, "뻬", "께", "삐" ; 낌</v>
      </c>
    </row>
    <row r="290" customFormat="false" ht="17.9" hidden="false" customHeight="true" outlineLevel="0" collapsed="false">
      <c r="A290" s="16" t="s">
        <v>1169</v>
      </c>
      <c r="B290" s="16" t="n">
        <f aca="false">IF(_xlfn.UNICODE(A290)&lt;44032,-1,_xlfn.UNICODE(A290)-44032)</f>
        <v>1165</v>
      </c>
      <c r="C290" s="16" t="n">
        <f aca="false">IF(B290=-1,-1,INT((B290/28)/21))</f>
        <v>1</v>
      </c>
      <c r="D290" s="16" t="n">
        <f aca="false">IF(B290=-1, -1, MOD(INT(B290/28),21))</f>
        <v>20</v>
      </c>
      <c r="E290" s="16" t="n">
        <f aca="false">IF(B290=-1, -1, VLOOKUP(MOD(B290,28), $T$24:$U$52,2))</f>
        <v>17</v>
      </c>
      <c r="F290" s="16" t="n">
        <f aca="false">IF($B290=-1, -1, VLOOKUP(C290,$T$1:$V$20, 2))</f>
        <v>8</v>
      </c>
      <c r="G290" s="16" t="n">
        <f aca="false">IF($B290=-1, -1, VLOOKUP(D290,$Y$1:$Z$22,2))</f>
        <v>5</v>
      </c>
      <c r="H290" s="16" t="str">
        <f aca="false">_xlfn.UNICHAR(((F290*21)+G290)*28+44032)</f>
        <v>뻬</v>
      </c>
      <c r="I290" s="16" t="n">
        <f aca="false">IF(B290=-1, 1, COUNTIF($A$2:$A$3000, H290))</f>
        <v>1</v>
      </c>
      <c r="J290" s="10" t="str">
        <f aca="false">_xlfn.CONCAT(A290, ",",H290,",",I290)</f>
        <v>낍,뻬,1</v>
      </c>
      <c r="K290" s="16" t="n">
        <f aca="false">IF(B290=-1,-1,VLOOKUP(C290,$T$1:$V$20,3))</f>
        <v>1</v>
      </c>
      <c r="L290" s="16" t="n">
        <f aca="false">IF(B290=-1,-1,VLOOKUP(D290,$Y$1:$AA$22,3))</f>
        <v>20</v>
      </c>
      <c r="N290" s="10" t="str">
        <f aca="false">_xlfn.UNICHAR(((C290*21)+G290)*28+44032)</f>
        <v>께</v>
      </c>
      <c r="O290" s="10" t="str">
        <f aca="false">_xlfn.UNICHAR(((F290*21)+D290)*28+44032)</f>
        <v>삐</v>
      </c>
      <c r="P290" s="12" t="n">
        <f aca="false">COUNTIF($A$2:$A$3000, N290) + COUNTIF($A$2:$A$3000, O290)</f>
        <v>2</v>
      </c>
      <c r="Q290" s="16" t="str">
        <f aca="false">IF(OR(B290=-1,I290=0, P290&lt;&gt;2), "albhed_dummy", _xlfn.CONCAT("albhed ", RIGHT("  " &amp; K290,2),", ", RIGHT("  " &amp; L290,2), ", " ,"""",H290,""", ", """",N290,""", ","""",O290,""""," ; ", A290))</f>
        <v>albhed  1, 20, "뻬", "께", "삐" ; 낍</v>
      </c>
    </row>
    <row r="291" customFormat="false" ht="17.9" hidden="false" customHeight="true" outlineLevel="0" collapsed="false">
      <c r="A291" s="16" t="s">
        <v>1170</v>
      </c>
      <c r="B291" s="16" t="n">
        <f aca="false">IF(_xlfn.UNICODE(A291)&lt;44032,-1,_xlfn.UNICODE(A291)-44032)</f>
        <v>1167</v>
      </c>
      <c r="C291" s="16" t="n">
        <f aca="false">IF(B291=-1,-1,INT((B291/28)/21))</f>
        <v>1</v>
      </c>
      <c r="D291" s="16" t="n">
        <f aca="false">IF(B291=-1, -1, MOD(INT(B291/28),21))</f>
        <v>20</v>
      </c>
      <c r="E291" s="16" t="n">
        <f aca="false">IF(B291=-1, -1, VLOOKUP(MOD(B291,28), $T$24:$U$52,2))</f>
        <v>19</v>
      </c>
      <c r="F291" s="16" t="n">
        <f aca="false">IF($B291=-1, -1, VLOOKUP(C291,$T$1:$V$20, 2))</f>
        <v>8</v>
      </c>
      <c r="G291" s="16" t="n">
        <f aca="false">IF($B291=-1, -1, VLOOKUP(D291,$Y$1:$Z$22,2))</f>
        <v>5</v>
      </c>
      <c r="H291" s="16" t="str">
        <f aca="false">_xlfn.UNICHAR(((F291*21)+G291)*28+44032)</f>
        <v>뻬</v>
      </c>
      <c r="I291" s="16" t="n">
        <f aca="false">IF(B291=-1, 1, COUNTIF($A$2:$A$3000, H291))</f>
        <v>1</v>
      </c>
      <c r="J291" s="10" t="str">
        <f aca="false">_xlfn.CONCAT(A291, ",",H291,",",I291)</f>
        <v>낏,뻬,1</v>
      </c>
      <c r="K291" s="16" t="n">
        <f aca="false">IF(B291=-1,-1,VLOOKUP(C291,$T$1:$V$20,3))</f>
        <v>1</v>
      </c>
      <c r="L291" s="16" t="n">
        <f aca="false">IF(B291=-1,-1,VLOOKUP(D291,$Y$1:$AA$22,3))</f>
        <v>20</v>
      </c>
      <c r="N291" s="10" t="str">
        <f aca="false">_xlfn.UNICHAR(((C291*21)+G291)*28+44032)</f>
        <v>께</v>
      </c>
      <c r="O291" s="10" t="str">
        <f aca="false">_xlfn.UNICHAR(((F291*21)+D291)*28+44032)</f>
        <v>삐</v>
      </c>
      <c r="P291" s="12" t="n">
        <f aca="false">COUNTIF($A$2:$A$3000, N291) + COUNTIF($A$2:$A$3000, O291)</f>
        <v>2</v>
      </c>
      <c r="Q291" s="16" t="str">
        <f aca="false">IF(OR(B291=-1,I291=0, P291&lt;&gt;2), "albhed_dummy", _xlfn.CONCAT("albhed ", RIGHT("  " &amp; K291,2),", ", RIGHT("  " &amp; L291,2), ", " ,"""",H291,""", ", """",N291,""", ","""",O291,""""," ; ", A291))</f>
        <v>albhed  1, 20, "뻬", "께", "삐" ; 낏</v>
      </c>
    </row>
    <row r="292" customFormat="false" ht="17.9" hidden="false" customHeight="true" outlineLevel="0" collapsed="false">
      <c r="A292" s="16" t="s">
        <v>1171</v>
      </c>
      <c r="B292" s="16" t="n">
        <f aca="false">IF(_xlfn.UNICODE(A292)&lt;44032,-1,_xlfn.UNICODE(A292)-44032)</f>
        <v>1169</v>
      </c>
      <c r="C292" s="16" t="n">
        <f aca="false">IF(B292=-1,-1,INT((B292/28)/21))</f>
        <v>1</v>
      </c>
      <c r="D292" s="16" t="n">
        <f aca="false">IF(B292=-1, -1, MOD(INT(B292/28),21))</f>
        <v>20</v>
      </c>
      <c r="E292" s="16" t="n">
        <f aca="false">IF(B292=-1, -1, VLOOKUP(MOD(B292,28), $T$24:$U$52,2))</f>
        <v>21</v>
      </c>
      <c r="F292" s="16" t="n">
        <f aca="false">IF($B292=-1, -1, VLOOKUP(C292,$T$1:$V$20, 2))</f>
        <v>8</v>
      </c>
      <c r="G292" s="16" t="n">
        <f aca="false">IF($B292=-1, -1, VLOOKUP(D292,$Y$1:$Z$22,2))</f>
        <v>5</v>
      </c>
      <c r="H292" s="16" t="str">
        <f aca="false">_xlfn.UNICHAR(((F292*21)+G292)*28+44032)</f>
        <v>뻬</v>
      </c>
      <c r="I292" s="16" t="n">
        <f aca="false">IF(B292=-1, 1, COUNTIF($A$2:$A$3000, H292))</f>
        <v>1</v>
      </c>
      <c r="J292" s="10" t="str">
        <f aca="false">_xlfn.CONCAT(A292, ",",H292,",",I292)</f>
        <v>낑,뻬,1</v>
      </c>
      <c r="K292" s="16" t="n">
        <f aca="false">IF(B292=-1,-1,VLOOKUP(C292,$T$1:$V$20,3))</f>
        <v>1</v>
      </c>
      <c r="L292" s="16" t="n">
        <f aca="false">IF(B292=-1,-1,VLOOKUP(D292,$Y$1:$AA$22,3))</f>
        <v>20</v>
      </c>
      <c r="N292" s="10" t="str">
        <f aca="false">_xlfn.UNICHAR(((C292*21)+G292)*28+44032)</f>
        <v>께</v>
      </c>
      <c r="O292" s="10" t="str">
        <f aca="false">_xlfn.UNICHAR(((F292*21)+D292)*28+44032)</f>
        <v>삐</v>
      </c>
      <c r="P292" s="12" t="n">
        <f aca="false">COUNTIF($A$2:$A$3000, N292) + COUNTIF($A$2:$A$3000, O292)</f>
        <v>2</v>
      </c>
      <c r="Q292" s="16" t="str">
        <f aca="false">IF(OR(B292=-1,I292=0, P292&lt;&gt;2), "albhed_dummy", _xlfn.CONCAT("albhed ", RIGHT("  " &amp; K292,2),", ", RIGHT("  " &amp; L292,2), ", " ,"""",H292,""", ", """",N292,""", ","""",O292,""""," ; ", A292))</f>
        <v>albhed  1, 20, "뻬", "께", "삐" ; 낑</v>
      </c>
    </row>
    <row r="293" customFormat="false" ht="17.9" hidden="false" customHeight="true" outlineLevel="0" collapsed="false">
      <c r="A293" s="16" t="s">
        <v>820</v>
      </c>
      <c r="B293" s="16" t="n">
        <f aca="false">IF(_xlfn.UNICODE(A293)&lt;44032,-1,_xlfn.UNICODE(A293)-44032)</f>
        <v>1176</v>
      </c>
      <c r="C293" s="16" t="n">
        <f aca="false">IF(B293=-1,-1,INT((B293/28)/21))</f>
        <v>2</v>
      </c>
      <c r="D293" s="16" t="n">
        <f aca="false">IF(B293=-1, -1, MOD(INT(B293/28),21))</f>
        <v>0</v>
      </c>
      <c r="E293" s="16" t="n">
        <f aca="false">IF(B293=-1, -1, VLOOKUP(MOD(B293,28), $T$24:$U$52,2))</f>
        <v>0</v>
      </c>
      <c r="F293" s="16" t="n">
        <f aca="false">IF($B293=-1, -1, VLOOKUP(C293,$T$1:$V$20, 2))</f>
        <v>18</v>
      </c>
      <c r="G293" s="16" t="n">
        <f aca="false">IF($B293=-1, -1, VLOOKUP(D293,$Y$1:$Z$22,2))</f>
        <v>13</v>
      </c>
      <c r="H293" s="16" t="str">
        <f aca="false">_xlfn.UNICHAR(((F293*21)+G293)*28+44032)</f>
        <v>후</v>
      </c>
      <c r="I293" s="16" t="n">
        <f aca="false">IF(B293=-1, 1, COUNTIF($A$2:$A$3000, H293))</f>
        <v>1</v>
      </c>
      <c r="J293" s="10" t="str">
        <f aca="false">_xlfn.CONCAT(A293, ",",H293,",",I293)</f>
        <v>나,후,1</v>
      </c>
      <c r="K293" s="16" t="n">
        <f aca="false">IF(B293=-1,-1,VLOOKUP(C293,$T$1:$V$20,3))</f>
        <v>3</v>
      </c>
      <c r="L293" s="16" t="n">
        <f aca="false">IF(B293=-1,-1,VLOOKUP(D293,$Y$1:$AA$22,3))</f>
        <v>2</v>
      </c>
      <c r="N293" s="10" t="str">
        <f aca="false">_xlfn.UNICHAR(((C293*21)+G293)*28+44032)</f>
        <v>누</v>
      </c>
      <c r="O293" s="10" t="str">
        <f aca="false">_xlfn.UNICHAR(((F293*21)+D293)*28+44032)</f>
        <v>하</v>
      </c>
      <c r="P293" s="12" t="n">
        <f aca="false">COUNTIF($A$2:$A$3000, N293) + COUNTIF($A$2:$A$3000, O293)</f>
        <v>2</v>
      </c>
      <c r="Q293" s="16" t="str">
        <f aca="false">IF(OR(B293=-1,I293=0, P293&lt;&gt;2), "albhed_dummy", _xlfn.CONCAT("albhed ", RIGHT("  " &amp; K293,2),", ", RIGHT("  " &amp; L293,2), ", " ,"""",H293,""", ", """",N293,""", ","""",O293,""""," ; ", A293))</f>
        <v>albhed  3,  2, "후", "누", "하" ; 나</v>
      </c>
    </row>
    <row r="294" customFormat="false" ht="17.9" hidden="false" customHeight="true" outlineLevel="0" collapsed="false">
      <c r="A294" s="16" t="s">
        <v>1172</v>
      </c>
      <c r="B294" s="16" t="n">
        <f aca="false">IF(_xlfn.UNICODE(A294)&lt;44032,-1,_xlfn.UNICODE(A294)-44032)</f>
        <v>1177</v>
      </c>
      <c r="C294" s="16" t="n">
        <f aca="false">IF(B294=-1,-1,INT((B294/28)/21))</f>
        <v>2</v>
      </c>
      <c r="D294" s="16" t="n">
        <f aca="false">IF(B294=-1, -1, MOD(INT(B294/28),21))</f>
        <v>0</v>
      </c>
      <c r="E294" s="16" t="n">
        <f aca="false">IF(B294=-1, -1, VLOOKUP(MOD(B294,28), $T$24:$U$52,2))</f>
        <v>1</v>
      </c>
      <c r="F294" s="16" t="n">
        <f aca="false">IF($B294=-1, -1, VLOOKUP(C294,$T$1:$V$20, 2))</f>
        <v>18</v>
      </c>
      <c r="G294" s="16" t="n">
        <f aca="false">IF($B294=-1, -1, VLOOKUP(D294,$Y$1:$Z$22,2))</f>
        <v>13</v>
      </c>
      <c r="H294" s="16" t="str">
        <f aca="false">_xlfn.UNICHAR(((F294*21)+G294)*28+44032)</f>
        <v>후</v>
      </c>
      <c r="I294" s="16" t="n">
        <f aca="false">IF(B294=-1, 1, COUNTIF($A$2:$A$3000, H294))</f>
        <v>1</v>
      </c>
      <c r="J294" s="10" t="str">
        <f aca="false">_xlfn.CONCAT(A294, ",",H294,",",I294)</f>
        <v>낙,후,1</v>
      </c>
      <c r="K294" s="16" t="n">
        <f aca="false">IF(B294=-1,-1,VLOOKUP(C294,$T$1:$V$20,3))</f>
        <v>3</v>
      </c>
      <c r="L294" s="16" t="n">
        <f aca="false">IF(B294=-1,-1,VLOOKUP(D294,$Y$1:$AA$22,3))</f>
        <v>2</v>
      </c>
      <c r="N294" s="10" t="str">
        <f aca="false">_xlfn.UNICHAR(((C294*21)+G294)*28+44032)</f>
        <v>누</v>
      </c>
      <c r="O294" s="10" t="str">
        <f aca="false">_xlfn.UNICHAR(((F294*21)+D294)*28+44032)</f>
        <v>하</v>
      </c>
      <c r="P294" s="12" t="n">
        <f aca="false">COUNTIF($A$2:$A$3000, N294) + COUNTIF($A$2:$A$3000, O294)</f>
        <v>2</v>
      </c>
      <c r="Q294" s="16" t="str">
        <f aca="false">IF(OR(B294=-1,I294=0, P294&lt;&gt;2), "albhed_dummy", _xlfn.CONCAT("albhed ", RIGHT("  " &amp; K294,2),", ", RIGHT("  " &amp; L294,2), ", " ,"""",H294,""", ", """",N294,""", ","""",O294,""""," ; ", A294))</f>
        <v>albhed  3,  2, "후", "누", "하" ; 낙</v>
      </c>
    </row>
    <row r="295" customFormat="false" ht="17.9" hidden="false" customHeight="true" outlineLevel="0" collapsed="false">
      <c r="A295" s="16" t="s">
        <v>1173</v>
      </c>
      <c r="B295" s="16" t="n">
        <f aca="false">IF(_xlfn.UNICODE(A295)&lt;44032,-1,_xlfn.UNICODE(A295)-44032)</f>
        <v>1178</v>
      </c>
      <c r="C295" s="16" t="n">
        <f aca="false">IF(B295=-1,-1,INT((B295/28)/21))</f>
        <v>2</v>
      </c>
      <c r="D295" s="16" t="n">
        <f aca="false">IF(B295=-1, -1, MOD(INT(B295/28),21))</f>
        <v>0</v>
      </c>
      <c r="E295" s="16" t="n">
        <f aca="false">IF(B295=-1, -1, VLOOKUP(MOD(B295,28), $T$24:$U$52,2))</f>
        <v>1</v>
      </c>
      <c r="F295" s="16" t="n">
        <f aca="false">IF($B295=-1, -1, VLOOKUP(C295,$T$1:$V$20, 2))</f>
        <v>18</v>
      </c>
      <c r="G295" s="16" t="n">
        <f aca="false">IF($B295=-1, -1, VLOOKUP(D295,$Y$1:$Z$22,2))</f>
        <v>13</v>
      </c>
      <c r="H295" s="16" t="str">
        <f aca="false">_xlfn.UNICHAR(((F295*21)+G295)*28+44032)</f>
        <v>후</v>
      </c>
      <c r="I295" s="16" t="n">
        <f aca="false">IF(B295=-1, 1, COUNTIF($A$2:$A$3000, H295))</f>
        <v>1</v>
      </c>
      <c r="J295" s="10" t="str">
        <f aca="false">_xlfn.CONCAT(A295, ",",H295,",",I295)</f>
        <v>낚,후,1</v>
      </c>
      <c r="K295" s="16" t="n">
        <f aca="false">IF(B295=-1,-1,VLOOKUP(C295,$T$1:$V$20,3))</f>
        <v>3</v>
      </c>
      <c r="L295" s="16" t="n">
        <f aca="false">IF(B295=-1,-1,VLOOKUP(D295,$Y$1:$AA$22,3))</f>
        <v>2</v>
      </c>
      <c r="N295" s="10" t="str">
        <f aca="false">_xlfn.UNICHAR(((C295*21)+G295)*28+44032)</f>
        <v>누</v>
      </c>
      <c r="O295" s="10" t="str">
        <f aca="false">_xlfn.UNICHAR(((F295*21)+D295)*28+44032)</f>
        <v>하</v>
      </c>
      <c r="P295" s="12" t="n">
        <f aca="false">COUNTIF($A$2:$A$3000, N295) + COUNTIF($A$2:$A$3000, O295)</f>
        <v>2</v>
      </c>
      <c r="Q295" s="16" t="str">
        <f aca="false">IF(OR(B295=-1,I295=0, P295&lt;&gt;2), "albhed_dummy", _xlfn.CONCAT("albhed ", RIGHT("  " &amp; K295,2),", ", RIGHT("  " &amp; L295,2), ", " ,"""",H295,""", ", """",N295,""", ","""",O295,""""," ; ", A295))</f>
        <v>albhed  3,  2, "후", "누", "하" ; 낚</v>
      </c>
    </row>
    <row r="296" customFormat="false" ht="17.9" hidden="false" customHeight="true" outlineLevel="0" collapsed="false">
      <c r="A296" s="16" t="s">
        <v>1174</v>
      </c>
      <c r="B296" s="16" t="n">
        <f aca="false">IF(_xlfn.UNICODE(A296)&lt;44032,-1,_xlfn.UNICODE(A296)-44032)</f>
        <v>1180</v>
      </c>
      <c r="C296" s="16" t="n">
        <f aca="false">IF(B296=-1,-1,INT((B296/28)/21))</f>
        <v>2</v>
      </c>
      <c r="D296" s="16" t="n">
        <f aca="false">IF(B296=-1, -1, MOD(INT(B296/28),21))</f>
        <v>0</v>
      </c>
      <c r="E296" s="16" t="n">
        <f aca="false">IF(B296=-1, -1, VLOOKUP(MOD(B296,28), $T$24:$U$52,2))</f>
        <v>4</v>
      </c>
      <c r="F296" s="16" t="n">
        <f aca="false">IF($B296=-1, -1, VLOOKUP(C296,$T$1:$V$20, 2))</f>
        <v>18</v>
      </c>
      <c r="G296" s="16" t="n">
        <f aca="false">IF($B296=-1, -1, VLOOKUP(D296,$Y$1:$Z$22,2))</f>
        <v>13</v>
      </c>
      <c r="H296" s="16" t="str">
        <f aca="false">_xlfn.UNICHAR(((F296*21)+G296)*28+44032)</f>
        <v>후</v>
      </c>
      <c r="I296" s="16" t="n">
        <f aca="false">IF(B296=-1, 1, COUNTIF($A$2:$A$3000, H296))</f>
        <v>1</v>
      </c>
      <c r="J296" s="10" t="str">
        <f aca="false">_xlfn.CONCAT(A296, ",",H296,",",I296)</f>
        <v>난,후,1</v>
      </c>
      <c r="K296" s="16" t="n">
        <f aca="false">IF(B296=-1,-1,VLOOKUP(C296,$T$1:$V$20,3))</f>
        <v>3</v>
      </c>
      <c r="L296" s="16" t="n">
        <f aca="false">IF(B296=-1,-1,VLOOKUP(D296,$Y$1:$AA$22,3))</f>
        <v>2</v>
      </c>
      <c r="N296" s="10" t="str">
        <f aca="false">_xlfn.UNICHAR(((C296*21)+G296)*28+44032)</f>
        <v>누</v>
      </c>
      <c r="O296" s="10" t="str">
        <f aca="false">_xlfn.UNICHAR(((F296*21)+D296)*28+44032)</f>
        <v>하</v>
      </c>
      <c r="P296" s="12" t="n">
        <f aca="false">COUNTIF($A$2:$A$3000, N296) + COUNTIF($A$2:$A$3000, O296)</f>
        <v>2</v>
      </c>
      <c r="Q296" s="16" t="str">
        <f aca="false">IF(OR(B296=-1,I296=0, P296&lt;&gt;2), "albhed_dummy", _xlfn.CONCAT("albhed ", RIGHT("  " &amp; K296,2),", ", RIGHT("  " &amp; L296,2), ", " ,"""",H296,""", ", """",N296,""", ","""",O296,""""," ; ", A296))</f>
        <v>albhed  3,  2, "후", "누", "하" ; 난</v>
      </c>
    </row>
    <row r="297" customFormat="false" ht="17.9" hidden="false" customHeight="true" outlineLevel="0" collapsed="false">
      <c r="A297" s="16" t="s">
        <v>1175</v>
      </c>
      <c r="B297" s="16" t="n">
        <f aca="false">IF(_xlfn.UNICODE(A297)&lt;44032,-1,_xlfn.UNICODE(A297)-44032)</f>
        <v>1183</v>
      </c>
      <c r="C297" s="16" t="n">
        <f aca="false">IF(B297=-1,-1,INT((B297/28)/21))</f>
        <v>2</v>
      </c>
      <c r="D297" s="16" t="n">
        <f aca="false">IF(B297=-1, -1, MOD(INT(B297/28),21))</f>
        <v>0</v>
      </c>
      <c r="E297" s="16" t="n">
        <f aca="false">IF(B297=-1, -1, VLOOKUP(MOD(B297,28), $T$24:$U$52,2))</f>
        <v>19</v>
      </c>
      <c r="F297" s="16" t="n">
        <f aca="false">IF($B297=-1, -1, VLOOKUP(C297,$T$1:$V$20, 2))</f>
        <v>18</v>
      </c>
      <c r="G297" s="16" t="n">
        <f aca="false">IF($B297=-1, -1, VLOOKUP(D297,$Y$1:$Z$22,2))</f>
        <v>13</v>
      </c>
      <c r="H297" s="16" t="str">
        <f aca="false">_xlfn.UNICHAR(((F297*21)+G297)*28+44032)</f>
        <v>후</v>
      </c>
      <c r="I297" s="16" t="n">
        <f aca="false">IF(B297=-1, 1, COUNTIF($A$2:$A$3000, H297))</f>
        <v>1</v>
      </c>
      <c r="J297" s="10" t="str">
        <f aca="false">_xlfn.CONCAT(A297, ",",H297,",",I297)</f>
        <v>낟,후,1</v>
      </c>
      <c r="K297" s="16" t="n">
        <f aca="false">IF(B297=-1,-1,VLOOKUP(C297,$T$1:$V$20,3))</f>
        <v>3</v>
      </c>
      <c r="L297" s="16" t="n">
        <f aca="false">IF(B297=-1,-1,VLOOKUP(D297,$Y$1:$AA$22,3))</f>
        <v>2</v>
      </c>
      <c r="N297" s="10" t="str">
        <f aca="false">_xlfn.UNICHAR(((C297*21)+G297)*28+44032)</f>
        <v>누</v>
      </c>
      <c r="O297" s="10" t="str">
        <f aca="false">_xlfn.UNICHAR(((F297*21)+D297)*28+44032)</f>
        <v>하</v>
      </c>
      <c r="P297" s="12" t="n">
        <f aca="false">COUNTIF($A$2:$A$3000, N297) + COUNTIF($A$2:$A$3000, O297)</f>
        <v>2</v>
      </c>
      <c r="Q297" s="16" t="str">
        <f aca="false">IF(OR(B297=-1,I297=0, P297&lt;&gt;2), "albhed_dummy", _xlfn.CONCAT("albhed ", RIGHT("  " &amp; K297,2),", ", RIGHT("  " &amp; L297,2), ", " ,"""",H297,""", ", """",N297,""", ","""",O297,""""," ; ", A297))</f>
        <v>albhed  3,  2, "후", "누", "하" ; 낟</v>
      </c>
    </row>
    <row r="298" customFormat="false" ht="17.9" hidden="false" customHeight="true" outlineLevel="0" collapsed="false">
      <c r="A298" s="16" t="s">
        <v>1176</v>
      </c>
      <c r="B298" s="16" t="n">
        <f aca="false">IF(_xlfn.UNICODE(A298)&lt;44032,-1,_xlfn.UNICODE(A298)-44032)</f>
        <v>1184</v>
      </c>
      <c r="C298" s="16" t="n">
        <f aca="false">IF(B298=-1,-1,INT((B298/28)/21))</f>
        <v>2</v>
      </c>
      <c r="D298" s="16" t="n">
        <f aca="false">IF(B298=-1, -1, MOD(INT(B298/28),21))</f>
        <v>0</v>
      </c>
      <c r="E298" s="16" t="n">
        <f aca="false">IF(B298=-1, -1, VLOOKUP(MOD(B298,28), $T$24:$U$52,2))</f>
        <v>8</v>
      </c>
      <c r="F298" s="16" t="n">
        <f aca="false">IF($B298=-1, -1, VLOOKUP(C298,$T$1:$V$20, 2))</f>
        <v>18</v>
      </c>
      <c r="G298" s="16" t="n">
        <f aca="false">IF($B298=-1, -1, VLOOKUP(D298,$Y$1:$Z$22,2))</f>
        <v>13</v>
      </c>
      <c r="H298" s="16" t="str">
        <f aca="false">_xlfn.UNICHAR(((F298*21)+G298)*28+44032)</f>
        <v>후</v>
      </c>
      <c r="I298" s="16" t="n">
        <f aca="false">IF(B298=-1, 1, COUNTIF($A$2:$A$3000, H298))</f>
        <v>1</v>
      </c>
      <c r="J298" s="10" t="str">
        <f aca="false">_xlfn.CONCAT(A298, ",",H298,",",I298)</f>
        <v>날,후,1</v>
      </c>
      <c r="K298" s="16" t="n">
        <f aca="false">IF(B298=-1,-1,VLOOKUP(C298,$T$1:$V$20,3))</f>
        <v>3</v>
      </c>
      <c r="L298" s="16" t="n">
        <f aca="false">IF(B298=-1,-1,VLOOKUP(D298,$Y$1:$AA$22,3))</f>
        <v>2</v>
      </c>
      <c r="N298" s="10" t="str">
        <f aca="false">_xlfn.UNICHAR(((C298*21)+G298)*28+44032)</f>
        <v>누</v>
      </c>
      <c r="O298" s="10" t="str">
        <f aca="false">_xlfn.UNICHAR(((F298*21)+D298)*28+44032)</f>
        <v>하</v>
      </c>
      <c r="P298" s="12" t="n">
        <f aca="false">COUNTIF($A$2:$A$3000, N298) + COUNTIF($A$2:$A$3000, O298)</f>
        <v>2</v>
      </c>
      <c r="Q298" s="16" t="str">
        <f aca="false">IF(OR(B298=-1,I298=0, P298&lt;&gt;2), "albhed_dummy", _xlfn.CONCAT("albhed ", RIGHT("  " &amp; K298,2),", ", RIGHT("  " &amp; L298,2), ", " ,"""",H298,""", ", """",N298,""", ","""",O298,""""," ; ", A298))</f>
        <v>albhed  3,  2, "후", "누", "하" ; 날</v>
      </c>
    </row>
    <row r="299" customFormat="false" ht="17.9" hidden="false" customHeight="true" outlineLevel="0" collapsed="false">
      <c r="A299" s="16" t="s">
        <v>1177</v>
      </c>
      <c r="B299" s="16" t="n">
        <f aca="false">IF(_xlfn.UNICODE(A299)&lt;44032,-1,_xlfn.UNICODE(A299)-44032)</f>
        <v>1185</v>
      </c>
      <c r="C299" s="16" t="n">
        <f aca="false">IF(B299=-1,-1,INT((B299/28)/21))</f>
        <v>2</v>
      </c>
      <c r="D299" s="16" t="n">
        <f aca="false">IF(B299=-1, -1, MOD(INT(B299/28),21))</f>
        <v>0</v>
      </c>
      <c r="E299" s="16" t="n">
        <f aca="false">IF(B299=-1, -1, VLOOKUP(MOD(B299,28), $T$24:$U$52,2))</f>
        <v>8</v>
      </c>
      <c r="F299" s="16" t="n">
        <f aca="false">IF($B299=-1, -1, VLOOKUP(C299,$T$1:$V$20, 2))</f>
        <v>18</v>
      </c>
      <c r="G299" s="16" t="n">
        <f aca="false">IF($B299=-1, -1, VLOOKUP(D299,$Y$1:$Z$22,2))</f>
        <v>13</v>
      </c>
      <c r="H299" s="16" t="str">
        <f aca="false">_xlfn.UNICHAR(((F299*21)+G299)*28+44032)</f>
        <v>후</v>
      </c>
      <c r="I299" s="16" t="n">
        <f aca="false">IF(B299=-1, 1, COUNTIF($A$2:$A$3000, H299))</f>
        <v>1</v>
      </c>
      <c r="J299" s="10" t="str">
        <f aca="false">_xlfn.CONCAT(A299, ",",H299,",",I299)</f>
        <v>낡,후,1</v>
      </c>
      <c r="K299" s="16" t="n">
        <f aca="false">IF(B299=-1,-1,VLOOKUP(C299,$T$1:$V$20,3))</f>
        <v>3</v>
      </c>
      <c r="L299" s="16" t="n">
        <f aca="false">IF(B299=-1,-1,VLOOKUP(D299,$Y$1:$AA$22,3))</f>
        <v>2</v>
      </c>
      <c r="N299" s="10" t="str">
        <f aca="false">_xlfn.UNICHAR(((C299*21)+G299)*28+44032)</f>
        <v>누</v>
      </c>
      <c r="O299" s="10" t="str">
        <f aca="false">_xlfn.UNICHAR(((F299*21)+D299)*28+44032)</f>
        <v>하</v>
      </c>
      <c r="P299" s="12" t="n">
        <f aca="false">COUNTIF($A$2:$A$3000, N299) + COUNTIF($A$2:$A$3000, O299)</f>
        <v>2</v>
      </c>
      <c r="Q299" s="16" t="str">
        <f aca="false">IF(OR(B299=-1,I299=0, P299&lt;&gt;2), "albhed_dummy", _xlfn.CONCAT("albhed ", RIGHT("  " &amp; K299,2),", ", RIGHT("  " &amp; L299,2), ", " ,"""",H299,""", ", """",N299,""", ","""",O299,""""," ; ", A299))</f>
        <v>albhed  3,  2, "후", "누", "하" ; 낡</v>
      </c>
    </row>
    <row r="300" customFormat="false" ht="17.9" hidden="false" customHeight="true" outlineLevel="0" collapsed="false">
      <c r="A300" s="16" t="s">
        <v>1178</v>
      </c>
      <c r="B300" s="16" t="n">
        <f aca="false">IF(_xlfn.UNICODE(A300)&lt;44032,-1,_xlfn.UNICODE(A300)-44032)</f>
        <v>1186</v>
      </c>
      <c r="C300" s="16" t="n">
        <f aca="false">IF(B300=-1,-1,INT((B300/28)/21))</f>
        <v>2</v>
      </c>
      <c r="D300" s="16" t="n">
        <f aca="false">IF(B300=-1, -1, MOD(INT(B300/28),21))</f>
        <v>0</v>
      </c>
      <c r="E300" s="16" t="n">
        <f aca="false">IF(B300=-1, -1, VLOOKUP(MOD(B300,28), $T$24:$U$52,2))</f>
        <v>8</v>
      </c>
      <c r="F300" s="16" t="n">
        <f aca="false">IF($B300=-1, -1, VLOOKUP(C300,$T$1:$V$20, 2))</f>
        <v>18</v>
      </c>
      <c r="G300" s="16" t="n">
        <f aca="false">IF($B300=-1, -1, VLOOKUP(D300,$Y$1:$Z$22,2))</f>
        <v>13</v>
      </c>
      <c r="H300" s="16" t="str">
        <f aca="false">_xlfn.UNICHAR(((F300*21)+G300)*28+44032)</f>
        <v>후</v>
      </c>
      <c r="I300" s="16" t="n">
        <f aca="false">IF(B300=-1, 1, COUNTIF($A$2:$A$3000, H300))</f>
        <v>1</v>
      </c>
      <c r="J300" s="10" t="str">
        <f aca="false">_xlfn.CONCAT(A300, ",",H300,",",I300)</f>
        <v>낢,후,1</v>
      </c>
      <c r="K300" s="16" t="n">
        <f aca="false">IF(B300=-1,-1,VLOOKUP(C300,$T$1:$V$20,3))</f>
        <v>3</v>
      </c>
      <c r="L300" s="16" t="n">
        <f aca="false">IF(B300=-1,-1,VLOOKUP(D300,$Y$1:$AA$22,3))</f>
        <v>2</v>
      </c>
      <c r="N300" s="10" t="str">
        <f aca="false">_xlfn.UNICHAR(((C300*21)+G300)*28+44032)</f>
        <v>누</v>
      </c>
      <c r="O300" s="10" t="str">
        <f aca="false">_xlfn.UNICHAR(((F300*21)+D300)*28+44032)</f>
        <v>하</v>
      </c>
      <c r="P300" s="12" t="n">
        <f aca="false">COUNTIF($A$2:$A$3000, N300) + COUNTIF($A$2:$A$3000, O300)</f>
        <v>2</v>
      </c>
      <c r="Q300" s="16" t="str">
        <f aca="false">IF(OR(B300=-1,I300=0, P300&lt;&gt;2), "albhed_dummy", _xlfn.CONCAT("albhed ", RIGHT("  " &amp; K300,2),", ", RIGHT("  " &amp; L300,2), ", " ,"""",H300,""", ", """",N300,""", ","""",O300,""""," ; ", A300))</f>
        <v>albhed  3,  2, "후", "누", "하" ; 낢</v>
      </c>
    </row>
    <row r="301" customFormat="false" ht="17.9" hidden="false" customHeight="true" outlineLevel="0" collapsed="false">
      <c r="A301" s="16" t="s">
        <v>1179</v>
      </c>
      <c r="B301" s="16" t="n">
        <f aca="false">IF(_xlfn.UNICODE(A301)&lt;44032,-1,_xlfn.UNICODE(A301)-44032)</f>
        <v>1192</v>
      </c>
      <c r="C301" s="16" t="n">
        <f aca="false">IF(B301=-1,-1,INT((B301/28)/21))</f>
        <v>2</v>
      </c>
      <c r="D301" s="16" t="n">
        <f aca="false">IF(B301=-1, -1, MOD(INT(B301/28),21))</f>
        <v>0</v>
      </c>
      <c r="E301" s="16" t="n">
        <f aca="false">IF(B301=-1, -1, VLOOKUP(MOD(B301,28), $T$24:$U$52,2))</f>
        <v>16</v>
      </c>
      <c r="F301" s="16" t="n">
        <f aca="false">IF($B301=-1, -1, VLOOKUP(C301,$T$1:$V$20, 2))</f>
        <v>18</v>
      </c>
      <c r="G301" s="16" t="n">
        <f aca="false">IF($B301=-1, -1, VLOOKUP(D301,$Y$1:$Z$22,2))</f>
        <v>13</v>
      </c>
      <c r="H301" s="16" t="str">
        <f aca="false">_xlfn.UNICHAR(((F301*21)+G301)*28+44032)</f>
        <v>후</v>
      </c>
      <c r="I301" s="16" t="n">
        <f aca="false">IF(B301=-1, 1, COUNTIF($A$2:$A$3000, H301))</f>
        <v>1</v>
      </c>
      <c r="J301" s="10" t="str">
        <f aca="false">_xlfn.CONCAT(A301, ",",H301,",",I301)</f>
        <v>남,후,1</v>
      </c>
      <c r="K301" s="16" t="n">
        <f aca="false">IF(B301=-1,-1,VLOOKUP(C301,$T$1:$V$20,3))</f>
        <v>3</v>
      </c>
      <c r="L301" s="16" t="n">
        <f aca="false">IF(B301=-1,-1,VLOOKUP(D301,$Y$1:$AA$22,3))</f>
        <v>2</v>
      </c>
      <c r="N301" s="10" t="str">
        <f aca="false">_xlfn.UNICHAR(((C301*21)+G301)*28+44032)</f>
        <v>누</v>
      </c>
      <c r="O301" s="10" t="str">
        <f aca="false">_xlfn.UNICHAR(((F301*21)+D301)*28+44032)</f>
        <v>하</v>
      </c>
      <c r="P301" s="12" t="n">
        <f aca="false">COUNTIF($A$2:$A$3000, N301) + COUNTIF($A$2:$A$3000, O301)</f>
        <v>2</v>
      </c>
      <c r="Q301" s="16" t="str">
        <f aca="false">IF(OR(B301=-1,I301=0, P301&lt;&gt;2), "albhed_dummy", _xlfn.CONCAT("albhed ", RIGHT("  " &amp; K301,2),", ", RIGHT("  " &amp; L301,2), ", " ,"""",H301,""", ", """",N301,""", ","""",O301,""""," ; ", A301))</f>
        <v>albhed  3,  2, "후", "누", "하" ; 남</v>
      </c>
    </row>
    <row r="302" customFormat="false" ht="17.9" hidden="false" customHeight="true" outlineLevel="0" collapsed="false">
      <c r="A302" s="16" t="s">
        <v>1180</v>
      </c>
      <c r="B302" s="16" t="n">
        <f aca="false">IF(_xlfn.UNICODE(A302)&lt;44032,-1,_xlfn.UNICODE(A302)-44032)</f>
        <v>1193</v>
      </c>
      <c r="C302" s="16" t="n">
        <f aca="false">IF(B302=-1,-1,INT((B302/28)/21))</f>
        <v>2</v>
      </c>
      <c r="D302" s="16" t="n">
        <f aca="false">IF(B302=-1, -1, MOD(INT(B302/28),21))</f>
        <v>0</v>
      </c>
      <c r="E302" s="16" t="n">
        <f aca="false">IF(B302=-1, -1, VLOOKUP(MOD(B302,28), $T$24:$U$52,2))</f>
        <v>17</v>
      </c>
      <c r="F302" s="16" t="n">
        <f aca="false">IF($B302=-1, -1, VLOOKUP(C302,$T$1:$V$20, 2))</f>
        <v>18</v>
      </c>
      <c r="G302" s="16" t="n">
        <f aca="false">IF($B302=-1, -1, VLOOKUP(D302,$Y$1:$Z$22,2))</f>
        <v>13</v>
      </c>
      <c r="H302" s="16" t="str">
        <f aca="false">_xlfn.UNICHAR(((F302*21)+G302)*28+44032)</f>
        <v>후</v>
      </c>
      <c r="I302" s="16" t="n">
        <f aca="false">IF(B302=-1, 1, COUNTIF($A$2:$A$3000, H302))</f>
        <v>1</v>
      </c>
      <c r="J302" s="10" t="str">
        <f aca="false">_xlfn.CONCAT(A302, ",",H302,",",I302)</f>
        <v>납,후,1</v>
      </c>
      <c r="K302" s="16" t="n">
        <f aca="false">IF(B302=-1,-1,VLOOKUP(C302,$T$1:$V$20,3))</f>
        <v>3</v>
      </c>
      <c r="L302" s="16" t="n">
        <f aca="false">IF(B302=-1,-1,VLOOKUP(D302,$Y$1:$AA$22,3))</f>
        <v>2</v>
      </c>
      <c r="N302" s="10" t="str">
        <f aca="false">_xlfn.UNICHAR(((C302*21)+G302)*28+44032)</f>
        <v>누</v>
      </c>
      <c r="O302" s="10" t="str">
        <f aca="false">_xlfn.UNICHAR(((F302*21)+D302)*28+44032)</f>
        <v>하</v>
      </c>
      <c r="P302" s="12" t="n">
        <f aca="false">COUNTIF($A$2:$A$3000, N302) + COUNTIF($A$2:$A$3000, O302)</f>
        <v>2</v>
      </c>
      <c r="Q302" s="16" t="str">
        <f aca="false">IF(OR(B302=-1,I302=0, P302&lt;&gt;2), "albhed_dummy", _xlfn.CONCAT("albhed ", RIGHT("  " &amp; K302,2),", ", RIGHT("  " &amp; L302,2), ", " ,"""",H302,""", ", """",N302,""", ","""",O302,""""," ; ", A302))</f>
        <v>albhed  3,  2, "후", "누", "하" ; 납</v>
      </c>
    </row>
    <row r="303" customFormat="false" ht="17.9" hidden="false" customHeight="true" outlineLevel="0" collapsed="false">
      <c r="A303" s="16" t="s">
        <v>1181</v>
      </c>
      <c r="B303" s="16" t="n">
        <f aca="false">IF(_xlfn.UNICODE(A303)&lt;44032,-1,_xlfn.UNICODE(A303)-44032)</f>
        <v>1195</v>
      </c>
      <c r="C303" s="16" t="n">
        <f aca="false">IF(B303=-1,-1,INT((B303/28)/21))</f>
        <v>2</v>
      </c>
      <c r="D303" s="16" t="n">
        <f aca="false">IF(B303=-1, -1, MOD(INT(B303/28),21))</f>
        <v>0</v>
      </c>
      <c r="E303" s="16" t="n">
        <f aca="false">IF(B303=-1, -1, VLOOKUP(MOD(B303,28), $T$24:$U$52,2))</f>
        <v>19</v>
      </c>
      <c r="F303" s="16" t="n">
        <f aca="false">IF($B303=-1, -1, VLOOKUP(C303,$T$1:$V$20, 2))</f>
        <v>18</v>
      </c>
      <c r="G303" s="16" t="n">
        <f aca="false">IF($B303=-1, -1, VLOOKUP(D303,$Y$1:$Z$22,2))</f>
        <v>13</v>
      </c>
      <c r="H303" s="16" t="str">
        <f aca="false">_xlfn.UNICHAR(((F303*21)+G303)*28+44032)</f>
        <v>후</v>
      </c>
      <c r="I303" s="16" t="n">
        <f aca="false">IF(B303=-1, 1, COUNTIF($A$2:$A$3000, H303))</f>
        <v>1</v>
      </c>
      <c r="J303" s="10" t="str">
        <f aca="false">_xlfn.CONCAT(A303, ",",H303,",",I303)</f>
        <v>낫,후,1</v>
      </c>
      <c r="K303" s="16" t="n">
        <f aca="false">IF(B303=-1,-1,VLOOKUP(C303,$T$1:$V$20,3))</f>
        <v>3</v>
      </c>
      <c r="L303" s="16" t="n">
        <f aca="false">IF(B303=-1,-1,VLOOKUP(D303,$Y$1:$AA$22,3))</f>
        <v>2</v>
      </c>
      <c r="N303" s="10" t="str">
        <f aca="false">_xlfn.UNICHAR(((C303*21)+G303)*28+44032)</f>
        <v>누</v>
      </c>
      <c r="O303" s="10" t="str">
        <f aca="false">_xlfn.UNICHAR(((F303*21)+D303)*28+44032)</f>
        <v>하</v>
      </c>
      <c r="P303" s="12" t="n">
        <f aca="false">COUNTIF($A$2:$A$3000, N303) + COUNTIF($A$2:$A$3000, O303)</f>
        <v>2</v>
      </c>
      <c r="Q303" s="16" t="str">
        <f aca="false">IF(OR(B303=-1,I303=0, P303&lt;&gt;2), "albhed_dummy", _xlfn.CONCAT("albhed ", RIGHT("  " &amp; K303,2),", ", RIGHT("  " &amp; L303,2), ", " ,"""",H303,""", ", """",N303,""", ","""",O303,""""," ; ", A303))</f>
        <v>albhed  3,  2, "후", "누", "하" ; 낫</v>
      </c>
    </row>
    <row r="304" customFormat="false" ht="17.9" hidden="false" customHeight="true" outlineLevel="0" collapsed="false">
      <c r="A304" s="16" t="s">
        <v>1182</v>
      </c>
      <c r="B304" s="16" t="n">
        <f aca="false">IF(_xlfn.UNICODE(A304)&lt;44032,-1,_xlfn.UNICODE(A304)-44032)</f>
        <v>1196</v>
      </c>
      <c r="C304" s="16" t="n">
        <f aca="false">IF(B304=-1,-1,INT((B304/28)/21))</f>
        <v>2</v>
      </c>
      <c r="D304" s="16" t="n">
        <f aca="false">IF(B304=-1, -1, MOD(INT(B304/28),21))</f>
        <v>0</v>
      </c>
      <c r="E304" s="16" t="n">
        <f aca="false">IF(B304=-1, -1, VLOOKUP(MOD(B304,28), $T$24:$U$52,2))</f>
        <v>19</v>
      </c>
      <c r="F304" s="16" t="n">
        <f aca="false">IF($B304=-1, -1, VLOOKUP(C304,$T$1:$V$20, 2))</f>
        <v>18</v>
      </c>
      <c r="G304" s="16" t="n">
        <f aca="false">IF($B304=-1, -1, VLOOKUP(D304,$Y$1:$Z$22,2))</f>
        <v>13</v>
      </c>
      <c r="H304" s="16" t="str">
        <f aca="false">_xlfn.UNICHAR(((F304*21)+G304)*28+44032)</f>
        <v>후</v>
      </c>
      <c r="I304" s="16" t="n">
        <f aca="false">IF(B304=-1, 1, COUNTIF($A$2:$A$3000, H304))</f>
        <v>1</v>
      </c>
      <c r="J304" s="10" t="str">
        <f aca="false">_xlfn.CONCAT(A304, ",",H304,",",I304)</f>
        <v>났,후,1</v>
      </c>
      <c r="K304" s="16" t="n">
        <f aca="false">IF(B304=-1,-1,VLOOKUP(C304,$T$1:$V$20,3))</f>
        <v>3</v>
      </c>
      <c r="L304" s="16" t="n">
        <f aca="false">IF(B304=-1,-1,VLOOKUP(D304,$Y$1:$AA$22,3))</f>
        <v>2</v>
      </c>
      <c r="N304" s="10" t="str">
        <f aca="false">_xlfn.UNICHAR(((C304*21)+G304)*28+44032)</f>
        <v>누</v>
      </c>
      <c r="O304" s="10" t="str">
        <f aca="false">_xlfn.UNICHAR(((F304*21)+D304)*28+44032)</f>
        <v>하</v>
      </c>
      <c r="P304" s="12" t="n">
        <f aca="false">COUNTIF($A$2:$A$3000, N304) + COUNTIF($A$2:$A$3000, O304)</f>
        <v>2</v>
      </c>
      <c r="Q304" s="16" t="str">
        <f aca="false">IF(OR(B304=-1,I304=0, P304&lt;&gt;2), "albhed_dummy", _xlfn.CONCAT("albhed ", RIGHT("  " &amp; K304,2),", ", RIGHT("  " &amp; L304,2), ", " ,"""",H304,""", ", """",N304,""", ","""",O304,""""," ; ", A304))</f>
        <v>albhed  3,  2, "후", "누", "하" ; 났</v>
      </c>
    </row>
    <row r="305" customFormat="false" ht="17.9" hidden="false" customHeight="true" outlineLevel="0" collapsed="false">
      <c r="A305" s="16" t="s">
        <v>1183</v>
      </c>
      <c r="B305" s="16" t="n">
        <f aca="false">IF(_xlfn.UNICODE(A305)&lt;44032,-1,_xlfn.UNICODE(A305)-44032)</f>
        <v>1197</v>
      </c>
      <c r="C305" s="16" t="n">
        <f aca="false">IF(B305=-1,-1,INT((B305/28)/21))</f>
        <v>2</v>
      </c>
      <c r="D305" s="16" t="n">
        <f aca="false">IF(B305=-1, -1, MOD(INT(B305/28),21))</f>
        <v>0</v>
      </c>
      <c r="E305" s="16" t="n">
        <f aca="false">IF(B305=-1, -1, VLOOKUP(MOD(B305,28), $T$24:$U$52,2))</f>
        <v>21</v>
      </c>
      <c r="F305" s="16" t="n">
        <f aca="false">IF($B305=-1, -1, VLOOKUP(C305,$T$1:$V$20, 2))</f>
        <v>18</v>
      </c>
      <c r="G305" s="16" t="n">
        <f aca="false">IF($B305=-1, -1, VLOOKUP(D305,$Y$1:$Z$22,2))</f>
        <v>13</v>
      </c>
      <c r="H305" s="16" t="str">
        <f aca="false">_xlfn.UNICHAR(((F305*21)+G305)*28+44032)</f>
        <v>후</v>
      </c>
      <c r="I305" s="16" t="n">
        <f aca="false">IF(B305=-1, 1, COUNTIF($A$2:$A$3000, H305))</f>
        <v>1</v>
      </c>
      <c r="J305" s="10" t="str">
        <f aca="false">_xlfn.CONCAT(A305, ",",H305,",",I305)</f>
        <v>낭,후,1</v>
      </c>
      <c r="K305" s="16" t="n">
        <f aca="false">IF(B305=-1,-1,VLOOKUP(C305,$T$1:$V$20,3))</f>
        <v>3</v>
      </c>
      <c r="L305" s="16" t="n">
        <f aca="false">IF(B305=-1,-1,VLOOKUP(D305,$Y$1:$AA$22,3))</f>
        <v>2</v>
      </c>
      <c r="N305" s="10" t="str">
        <f aca="false">_xlfn.UNICHAR(((C305*21)+G305)*28+44032)</f>
        <v>누</v>
      </c>
      <c r="O305" s="10" t="str">
        <f aca="false">_xlfn.UNICHAR(((F305*21)+D305)*28+44032)</f>
        <v>하</v>
      </c>
      <c r="P305" s="12" t="n">
        <f aca="false">COUNTIF($A$2:$A$3000, N305) + COUNTIF($A$2:$A$3000, O305)</f>
        <v>2</v>
      </c>
      <c r="Q305" s="16" t="str">
        <f aca="false">IF(OR(B305=-1,I305=0, P305&lt;&gt;2), "albhed_dummy", _xlfn.CONCAT("albhed ", RIGHT("  " &amp; K305,2),", ", RIGHT("  " &amp; L305,2), ", " ,"""",H305,""", ", """",N305,""", ","""",O305,""""," ; ", A305))</f>
        <v>albhed  3,  2, "후", "누", "하" ; 낭</v>
      </c>
    </row>
    <row r="306" customFormat="false" ht="17.9" hidden="false" customHeight="true" outlineLevel="0" collapsed="false">
      <c r="A306" s="16" t="s">
        <v>1184</v>
      </c>
      <c r="B306" s="16" t="n">
        <f aca="false">IF(_xlfn.UNICODE(A306)&lt;44032,-1,_xlfn.UNICODE(A306)-44032)</f>
        <v>1198</v>
      </c>
      <c r="C306" s="16" t="n">
        <f aca="false">IF(B306=-1,-1,INT((B306/28)/21))</f>
        <v>2</v>
      </c>
      <c r="D306" s="16" t="n">
        <f aca="false">IF(B306=-1, -1, MOD(INT(B306/28),21))</f>
        <v>0</v>
      </c>
      <c r="E306" s="16" t="n">
        <f aca="false">IF(B306=-1, -1, VLOOKUP(MOD(B306,28), $T$24:$U$52,2))</f>
        <v>19</v>
      </c>
      <c r="F306" s="16" t="n">
        <f aca="false">IF($B306=-1, -1, VLOOKUP(C306,$T$1:$V$20, 2))</f>
        <v>18</v>
      </c>
      <c r="G306" s="16" t="n">
        <f aca="false">IF($B306=-1, -1, VLOOKUP(D306,$Y$1:$Z$22,2))</f>
        <v>13</v>
      </c>
      <c r="H306" s="16" t="str">
        <f aca="false">_xlfn.UNICHAR(((F306*21)+G306)*28+44032)</f>
        <v>후</v>
      </c>
      <c r="I306" s="16" t="n">
        <f aca="false">IF(B306=-1, 1, COUNTIF($A$2:$A$3000, H306))</f>
        <v>1</v>
      </c>
      <c r="J306" s="10" t="str">
        <f aca="false">_xlfn.CONCAT(A306, ",",H306,",",I306)</f>
        <v>낮,후,1</v>
      </c>
      <c r="K306" s="16" t="n">
        <f aca="false">IF(B306=-1,-1,VLOOKUP(C306,$T$1:$V$20,3))</f>
        <v>3</v>
      </c>
      <c r="L306" s="16" t="n">
        <f aca="false">IF(B306=-1,-1,VLOOKUP(D306,$Y$1:$AA$22,3))</f>
        <v>2</v>
      </c>
      <c r="N306" s="10" t="str">
        <f aca="false">_xlfn.UNICHAR(((C306*21)+G306)*28+44032)</f>
        <v>누</v>
      </c>
      <c r="O306" s="10" t="str">
        <f aca="false">_xlfn.UNICHAR(((F306*21)+D306)*28+44032)</f>
        <v>하</v>
      </c>
      <c r="P306" s="12" t="n">
        <f aca="false">COUNTIF($A$2:$A$3000, N306) + COUNTIF($A$2:$A$3000, O306)</f>
        <v>2</v>
      </c>
      <c r="Q306" s="16" t="str">
        <f aca="false">IF(OR(B306=-1,I306=0, P306&lt;&gt;2), "albhed_dummy", _xlfn.CONCAT("albhed ", RIGHT("  " &amp; K306,2),", ", RIGHT("  " &amp; L306,2), ", " ,"""",H306,""", ", """",N306,""", ","""",O306,""""," ; ", A306))</f>
        <v>albhed  3,  2, "후", "누", "하" ; 낮</v>
      </c>
    </row>
    <row r="307" customFormat="false" ht="17.9" hidden="false" customHeight="true" outlineLevel="0" collapsed="false">
      <c r="A307" s="16" t="s">
        <v>1185</v>
      </c>
      <c r="B307" s="16" t="n">
        <f aca="false">IF(_xlfn.UNICODE(A307)&lt;44032,-1,_xlfn.UNICODE(A307)-44032)</f>
        <v>1199</v>
      </c>
      <c r="C307" s="16" t="n">
        <f aca="false">IF(B307=-1,-1,INT((B307/28)/21))</f>
        <v>2</v>
      </c>
      <c r="D307" s="16" t="n">
        <f aca="false">IF(B307=-1, -1, MOD(INT(B307/28),21))</f>
        <v>0</v>
      </c>
      <c r="E307" s="16" t="n">
        <f aca="false">IF(B307=-1, -1, VLOOKUP(MOD(B307,28), $T$24:$U$52,2))</f>
        <v>19</v>
      </c>
      <c r="F307" s="16" t="n">
        <f aca="false">IF($B307=-1, -1, VLOOKUP(C307,$T$1:$V$20, 2))</f>
        <v>18</v>
      </c>
      <c r="G307" s="16" t="n">
        <f aca="false">IF($B307=-1, -1, VLOOKUP(D307,$Y$1:$Z$22,2))</f>
        <v>13</v>
      </c>
      <c r="H307" s="16" t="str">
        <f aca="false">_xlfn.UNICHAR(((F307*21)+G307)*28+44032)</f>
        <v>후</v>
      </c>
      <c r="I307" s="16" t="n">
        <f aca="false">IF(B307=-1, 1, COUNTIF($A$2:$A$3000, H307))</f>
        <v>1</v>
      </c>
      <c r="J307" s="10" t="str">
        <f aca="false">_xlfn.CONCAT(A307, ",",H307,",",I307)</f>
        <v>낯,후,1</v>
      </c>
      <c r="K307" s="16" t="n">
        <f aca="false">IF(B307=-1,-1,VLOOKUP(C307,$T$1:$V$20,3))</f>
        <v>3</v>
      </c>
      <c r="L307" s="16" t="n">
        <f aca="false">IF(B307=-1,-1,VLOOKUP(D307,$Y$1:$AA$22,3))</f>
        <v>2</v>
      </c>
      <c r="N307" s="10" t="str">
        <f aca="false">_xlfn.UNICHAR(((C307*21)+G307)*28+44032)</f>
        <v>누</v>
      </c>
      <c r="O307" s="10" t="str">
        <f aca="false">_xlfn.UNICHAR(((F307*21)+D307)*28+44032)</f>
        <v>하</v>
      </c>
      <c r="P307" s="12" t="n">
        <f aca="false">COUNTIF($A$2:$A$3000, N307) + COUNTIF($A$2:$A$3000, O307)</f>
        <v>2</v>
      </c>
      <c r="Q307" s="16" t="str">
        <f aca="false">IF(OR(B307=-1,I307=0, P307&lt;&gt;2), "albhed_dummy", _xlfn.CONCAT("albhed ", RIGHT("  " &amp; K307,2),", ", RIGHT("  " &amp; L307,2), ", " ,"""",H307,""", ", """",N307,""", ","""",O307,""""," ; ", A307))</f>
        <v>albhed  3,  2, "후", "누", "하" ; 낯</v>
      </c>
    </row>
    <row r="308" customFormat="false" ht="17.9" hidden="false" customHeight="true" outlineLevel="0" collapsed="false">
      <c r="A308" s="16" t="s">
        <v>1186</v>
      </c>
      <c r="B308" s="16" t="n">
        <f aca="false">IF(_xlfn.UNICODE(A308)&lt;44032,-1,_xlfn.UNICODE(A308)-44032)</f>
        <v>1201</v>
      </c>
      <c r="C308" s="16" t="n">
        <f aca="false">IF(B308=-1,-1,INT((B308/28)/21))</f>
        <v>2</v>
      </c>
      <c r="D308" s="16" t="n">
        <f aca="false">IF(B308=-1, -1, MOD(INT(B308/28),21))</f>
        <v>0</v>
      </c>
      <c r="E308" s="16" t="n">
        <f aca="false">IF(B308=-1, -1, VLOOKUP(MOD(B308,28), $T$24:$U$52,2))</f>
        <v>19</v>
      </c>
      <c r="F308" s="16" t="n">
        <f aca="false">IF($B308=-1, -1, VLOOKUP(C308,$T$1:$V$20, 2))</f>
        <v>18</v>
      </c>
      <c r="G308" s="16" t="n">
        <f aca="false">IF($B308=-1, -1, VLOOKUP(D308,$Y$1:$Z$22,2))</f>
        <v>13</v>
      </c>
      <c r="H308" s="16" t="str">
        <f aca="false">_xlfn.UNICHAR(((F308*21)+G308)*28+44032)</f>
        <v>후</v>
      </c>
      <c r="I308" s="16" t="n">
        <f aca="false">IF(B308=-1, 1, COUNTIF($A$2:$A$3000, H308))</f>
        <v>1</v>
      </c>
      <c r="J308" s="10" t="str">
        <f aca="false">_xlfn.CONCAT(A308, ",",H308,",",I308)</f>
        <v>낱,후,1</v>
      </c>
      <c r="K308" s="16" t="n">
        <f aca="false">IF(B308=-1,-1,VLOOKUP(C308,$T$1:$V$20,3))</f>
        <v>3</v>
      </c>
      <c r="L308" s="16" t="n">
        <f aca="false">IF(B308=-1,-1,VLOOKUP(D308,$Y$1:$AA$22,3))</f>
        <v>2</v>
      </c>
      <c r="N308" s="10" t="str">
        <f aca="false">_xlfn.UNICHAR(((C308*21)+G308)*28+44032)</f>
        <v>누</v>
      </c>
      <c r="O308" s="10" t="str">
        <f aca="false">_xlfn.UNICHAR(((F308*21)+D308)*28+44032)</f>
        <v>하</v>
      </c>
      <c r="P308" s="12" t="n">
        <f aca="false">COUNTIF($A$2:$A$3000, N308) + COUNTIF($A$2:$A$3000, O308)</f>
        <v>2</v>
      </c>
      <c r="Q308" s="16" t="str">
        <f aca="false">IF(OR(B308=-1,I308=0, P308&lt;&gt;2), "albhed_dummy", _xlfn.CONCAT("albhed ", RIGHT("  " &amp; K308,2),", ", RIGHT("  " &amp; L308,2), ", " ,"""",H308,""", ", """",N308,""", ","""",O308,""""," ; ", A308))</f>
        <v>albhed  3,  2, "후", "누", "하" ; 낱</v>
      </c>
    </row>
    <row r="309" customFormat="false" ht="17.9" hidden="false" customHeight="true" outlineLevel="0" collapsed="false">
      <c r="A309" s="16" t="s">
        <v>1187</v>
      </c>
      <c r="B309" s="16" t="n">
        <f aca="false">IF(_xlfn.UNICODE(A309)&lt;44032,-1,_xlfn.UNICODE(A309)-44032)</f>
        <v>1203</v>
      </c>
      <c r="C309" s="16" t="n">
        <f aca="false">IF(B309=-1,-1,INT((B309/28)/21))</f>
        <v>2</v>
      </c>
      <c r="D309" s="16" t="n">
        <f aca="false">IF(B309=-1, -1, MOD(INT(B309/28),21))</f>
        <v>0</v>
      </c>
      <c r="E309" s="16" t="n">
        <f aca="false">IF(B309=-1, -1, VLOOKUP(MOD(B309,28), $T$24:$U$52,2))</f>
        <v>19</v>
      </c>
      <c r="F309" s="16" t="n">
        <f aca="false">IF($B309=-1, -1, VLOOKUP(C309,$T$1:$V$20, 2))</f>
        <v>18</v>
      </c>
      <c r="G309" s="16" t="n">
        <f aca="false">IF($B309=-1, -1, VLOOKUP(D309,$Y$1:$Z$22,2))</f>
        <v>13</v>
      </c>
      <c r="H309" s="16" t="str">
        <f aca="false">_xlfn.UNICHAR(((F309*21)+G309)*28+44032)</f>
        <v>후</v>
      </c>
      <c r="I309" s="16" t="n">
        <f aca="false">IF(B309=-1, 1, COUNTIF($A$2:$A$3000, H309))</f>
        <v>1</v>
      </c>
      <c r="J309" s="10" t="str">
        <f aca="false">_xlfn.CONCAT(A309, ",",H309,",",I309)</f>
        <v>낳,후,1</v>
      </c>
      <c r="K309" s="16" t="n">
        <f aca="false">IF(B309=-1,-1,VLOOKUP(C309,$T$1:$V$20,3))</f>
        <v>3</v>
      </c>
      <c r="L309" s="16" t="n">
        <f aca="false">IF(B309=-1,-1,VLOOKUP(D309,$Y$1:$AA$22,3))</f>
        <v>2</v>
      </c>
      <c r="N309" s="10" t="str">
        <f aca="false">_xlfn.UNICHAR(((C309*21)+G309)*28+44032)</f>
        <v>누</v>
      </c>
      <c r="O309" s="10" t="str">
        <f aca="false">_xlfn.UNICHAR(((F309*21)+D309)*28+44032)</f>
        <v>하</v>
      </c>
      <c r="P309" s="12" t="n">
        <f aca="false">COUNTIF($A$2:$A$3000, N309) + COUNTIF($A$2:$A$3000, O309)</f>
        <v>2</v>
      </c>
      <c r="Q309" s="16" t="str">
        <f aca="false">IF(OR(B309=-1,I309=0, P309&lt;&gt;2), "albhed_dummy", _xlfn.CONCAT("albhed ", RIGHT("  " &amp; K309,2),", ", RIGHT("  " &amp; L309,2), ", " ,"""",H309,""", ", """",N309,""", ","""",O309,""""," ; ", A309))</f>
        <v>albhed  3,  2, "후", "누", "하" ; 낳</v>
      </c>
    </row>
    <row r="310" customFormat="false" ht="17.9" hidden="false" customHeight="true" outlineLevel="0" collapsed="false">
      <c r="A310" s="16" t="s">
        <v>1188</v>
      </c>
      <c r="B310" s="16" t="n">
        <f aca="false">IF(_xlfn.UNICODE(A310)&lt;44032,-1,_xlfn.UNICODE(A310)-44032)</f>
        <v>1204</v>
      </c>
      <c r="C310" s="16" t="n">
        <f aca="false">IF(B310=-1,-1,INT((B310/28)/21))</f>
        <v>2</v>
      </c>
      <c r="D310" s="16" t="n">
        <f aca="false">IF(B310=-1, -1, MOD(INT(B310/28),21))</f>
        <v>1</v>
      </c>
      <c r="E310" s="16" t="n">
        <f aca="false">IF(B310=-1, -1, VLOOKUP(MOD(B310,28), $T$24:$U$52,2))</f>
        <v>0</v>
      </c>
      <c r="F310" s="16" t="n">
        <f aca="false">IF($B310=-1, -1, VLOOKUP(C310,$T$1:$V$20, 2))</f>
        <v>18</v>
      </c>
      <c r="G310" s="16" t="n">
        <f aca="false">IF($B310=-1, -1, VLOOKUP(D310,$Y$1:$Z$22,2))</f>
        <v>18</v>
      </c>
      <c r="H310" s="16" t="str">
        <f aca="false">_xlfn.UNICHAR(((F310*21)+G310)*28+44032)</f>
        <v>흐</v>
      </c>
      <c r="I310" s="16" t="n">
        <f aca="false">IF(B310=-1, 1, COUNTIF($A$2:$A$3000, H310))</f>
        <v>1</v>
      </c>
      <c r="J310" s="10" t="str">
        <f aca="false">_xlfn.CONCAT(A310, ",",H310,",",I310)</f>
        <v>내,흐,1</v>
      </c>
      <c r="K310" s="16" t="n">
        <f aca="false">IF(B310=-1,-1,VLOOKUP(C310,$T$1:$V$20,3))</f>
        <v>3</v>
      </c>
      <c r="L310" s="16" t="n">
        <f aca="false">IF(B310=-1,-1,VLOOKUP(D310,$Y$1:$AA$22,3))</f>
        <v>10</v>
      </c>
      <c r="N310" s="10" t="str">
        <f aca="false">_xlfn.UNICHAR(((C310*21)+G310)*28+44032)</f>
        <v>느</v>
      </c>
      <c r="O310" s="10" t="str">
        <f aca="false">_xlfn.UNICHAR(((F310*21)+D310)*28+44032)</f>
        <v>해</v>
      </c>
      <c r="P310" s="12" t="n">
        <f aca="false">COUNTIF($A$2:$A$3000, N310) + COUNTIF($A$2:$A$3000, O310)</f>
        <v>2</v>
      </c>
      <c r="Q310" s="16" t="str">
        <f aca="false">IF(OR(B310=-1,I310=0, P310&lt;&gt;2), "albhed_dummy", _xlfn.CONCAT("albhed ", RIGHT("  " &amp; K310,2),", ", RIGHT("  " &amp; L310,2), ", " ,"""",H310,""", ", """",N310,""", ","""",O310,""""," ; ", A310))</f>
        <v>albhed  3, 10, "흐", "느", "해" ; 내</v>
      </c>
    </row>
    <row r="311" customFormat="false" ht="17.9" hidden="false" customHeight="true" outlineLevel="0" collapsed="false">
      <c r="A311" s="16" t="s">
        <v>1189</v>
      </c>
      <c r="B311" s="16" t="n">
        <f aca="false">IF(_xlfn.UNICODE(A311)&lt;44032,-1,_xlfn.UNICODE(A311)-44032)</f>
        <v>1205</v>
      </c>
      <c r="C311" s="16" t="n">
        <f aca="false">IF(B311=-1,-1,INT((B311/28)/21))</f>
        <v>2</v>
      </c>
      <c r="D311" s="16" t="n">
        <f aca="false">IF(B311=-1, -1, MOD(INT(B311/28),21))</f>
        <v>1</v>
      </c>
      <c r="E311" s="16" t="n">
        <f aca="false">IF(B311=-1, -1, VLOOKUP(MOD(B311,28), $T$24:$U$52,2))</f>
        <v>1</v>
      </c>
      <c r="F311" s="16" t="n">
        <f aca="false">IF($B311=-1, -1, VLOOKUP(C311,$T$1:$V$20, 2))</f>
        <v>18</v>
      </c>
      <c r="G311" s="16" t="n">
        <f aca="false">IF($B311=-1, -1, VLOOKUP(D311,$Y$1:$Z$22,2))</f>
        <v>18</v>
      </c>
      <c r="H311" s="16" t="str">
        <f aca="false">_xlfn.UNICHAR(((F311*21)+G311)*28+44032)</f>
        <v>흐</v>
      </c>
      <c r="I311" s="16" t="n">
        <f aca="false">IF(B311=-1, 1, COUNTIF($A$2:$A$3000, H311))</f>
        <v>1</v>
      </c>
      <c r="J311" s="10" t="str">
        <f aca="false">_xlfn.CONCAT(A311, ",",H311,",",I311)</f>
        <v>낵,흐,1</v>
      </c>
      <c r="K311" s="16" t="n">
        <f aca="false">IF(B311=-1,-1,VLOOKUP(C311,$T$1:$V$20,3))</f>
        <v>3</v>
      </c>
      <c r="L311" s="16" t="n">
        <f aca="false">IF(B311=-1,-1,VLOOKUP(D311,$Y$1:$AA$22,3))</f>
        <v>10</v>
      </c>
      <c r="N311" s="10" t="str">
        <f aca="false">_xlfn.UNICHAR(((C311*21)+G311)*28+44032)</f>
        <v>느</v>
      </c>
      <c r="O311" s="10" t="str">
        <f aca="false">_xlfn.UNICHAR(((F311*21)+D311)*28+44032)</f>
        <v>해</v>
      </c>
      <c r="P311" s="12" t="n">
        <f aca="false">COUNTIF($A$2:$A$3000, N311) + COUNTIF($A$2:$A$3000, O311)</f>
        <v>2</v>
      </c>
      <c r="Q311" s="16" t="str">
        <f aca="false">IF(OR(B311=-1,I311=0, P311&lt;&gt;2), "albhed_dummy", _xlfn.CONCAT("albhed ", RIGHT("  " &amp; K311,2),", ", RIGHT("  " &amp; L311,2), ", " ,"""",H311,""", ", """",N311,""", ","""",O311,""""," ; ", A311))</f>
        <v>albhed  3, 10, "흐", "느", "해" ; 낵</v>
      </c>
    </row>
    <row r="312" customFormat="false" ht="17.9" hidden="false" customHeight="true" outlineLevel="0" collapsed="false">
      <c r="A312" s="16" t="s">
        <v>1190</v>
      </c>
      <c r="B312" s="16" t="n">
        <f aca="false">IF(_xlfn.UNICODE(A312)&lt;44032,-1,_xlfn.UNICODE(A312)-44032)</f>
        <v>1208</v>
      </c>
      <c r="C312" s="16" t="n">
        <f aca="false">IF(B312=-1,-1,INT((B312/28)/21))</f>
        <v>2</v>
      </c>
      <c r="D312" s="16" t="n">
        <f aca="false">IF(B312=-1, -1, MOD(INT(B312/28),21))</f>
        <v>1</v>
      </c>
      <c r="E312" s="16" t="n">
        <f aca="false">IF(B312=-1, -1, VLOOKUP(MOD(B312,28), $T$24:$U$52,2))</f>
        <v>4</v>
      </c>
      <c r="F312" s="16" t="n">
        <f aca="false">IF($B312=-1, -1, VLOOKUP(C312,$T$1:$V$20, 2))</f>
        <v>18</v>
      </c>
      <c r="G312" s="16" t="n">
        <f aca="false">IF($B312=-1, -1, VLOOKUP(D312,$Y$1:$Z$22,2))</f>
        <v>18</v>
      </c>
      <c r="H312" s="16" t="str">
        <f aca="false">_xlfn.UNICHAR(((F312*21)+G312)*28+44032)</f>
        <v>흐</v>
      </c>
      <c r="I312" s="16" t="n">
        <f aca="false">IF(B312=-1, 1, COUNTIF($A$2:$A$3000, H312))</f>
        <v>1</v>
      </c>
      <c r="J312" s="10" t="str">
        <f aca="false">_xlfn.CONCAT(A312, ",",H312,",",I312)</f>
        <v>낸,흐,1</v>
      </c>
      <c r="K312" s="16" t="n">
        <f aca="false">IF(B312=-1,-1,VLOOKUP(C312,$T$1:$V$20,3))</f>
        <v>3</v>
      </c>
      <c r="L312" s="16" t="n">
        <f aca="false">IF(B312=-1,-1,VLOOKUP(D312,$Y$1:$AA$22,3))</f>
        <v>10</v>
      </c>
      <c r="N312" s="10" t="str">
        <f aca="false">_xlfn.UNICHAR(((C312*21)+G312)*28+44032)</f>
        <v>느</v>
      </c>
      <c r="O312" s="10" t="str">
        <f aca="false">_xlfn.UNICHAR(((F312*21)+D312)*28+44032)</f>
        <v>해</v>
      </c>
      <c r="P312" s="12" t="n">
        <f aca="false">COUNTIF($A$2:$A$3000, N312) + COUNTIF($A$2:$A$3000, O312)</f>
        <v>2</v>
      </c>
      <c r="Q312" s="16" t="str">
        <f aca="false">IF(OR(B312=-1,I312=0, P312&lt;&gt;2), "albhed_dummy", _xlfn.CONCAT("albhed ", RIGHT("  " &amp; K312,2),", ", RIGHT("  " &amp; L312,2), ", " ,"""",H312,""", ", """",N312,""", ","""",O312,""""," ; ", A312))</f>
        <v>albhed  3, 10, "흐", "느", "해" ; 낸</v>
      </c>
    </row>
    <row r="313" customFormat="false" ht="17.9" hidden="false" customHeight="true" outlineLevel="0" collapsed="false">
      <c r="A313" s="16" t="s">
        <v>1191</v>
      </c>
      <c r="B313" s="16" t="n">
        <f aca="false">IF(_xlfn.UNICODE(A313)&lt;44032,-1,_xlfn.UNICODE(A313)-44032)</f>
        <v>1212</v>
      </c>
      <c r="C313" s="16" t="n">
        <f aca="false">IF(B313=-1,-1,INT((B313/28)/21))</f>
        <v>2</v>
      </c>
      <c r="D313" s="16" t="n">
        <f aca="false">IF(B313=-1, -1, MOD(INT(B313/28),21))</f>
        <v>1</v>
      </c>
      <c r="E313" s="16" t="n">
        <f aca="false">IF(B313=-1, -1, VLOOKUP(MOD(B313,28), $T$24:$U$52,2))</f>
        <v>8</v>
      </c>
      <c r="F313" s="16" t="n">
        <f aca="false">IF($B313=-1, -1, VLOOKUP(C313,$T$1:$V$20, 2))</f>
        <v>18</v>
      </c>
      <c r="G313" s="16" t="n">
        <f aca="false">IF($B313=-1, -1, VLOOKUP(D313,$Y$1:$Z$22,2))</f>
        <v>18</v>
      </c>
      <c r="H313" s="16" t="str">
        <f aca="false">_xlfn.UNICHAR(((F313*21)+G313)*28+44032)</f>
        <v>흐</v>
      </c>
      <c r="I313" s="16" t="n">
        <f aca="false">IF(B313=-1, 1, COUNTIF($A$2:$A$3000, H313))</f>
        <v>1</v>
      </c>
      <c r="J313" s="10" t="str">
        <f aca="false">_xlfn.CONCAT(A313, ",",H313,",",I313)</f>
        <v>낼,흐,1</v>
      </c>
      <c r="K313" s="16" t="n">
        <f aca="false">IF(B313=-1,-1,VLOOKUP(C313,$T$1:$V$20,3))</f>
        <v>3</v>
      </c>
      <c r="L313" s="16" t="n">
        <f aca="false">IF(B313=-1,-1,VLOOKUP(D313,$Y$1:$AA$22,3))</f>
        <v>10</v>
      </c>
      <c r="N313" s="10" t="str">
        <f aca="false">_xlfn.UNICHAR(((C313*21)+G313)*28+44032)</f>
        <v>느</v>
      </c>
      <c r="O313" s="10" t="str">
        <f aca="false">_xlfn.UNICHAR(((F313*21)+D313)*28+44032)</f>
        <v>해</v>
      </c>
      <c r="P313" s="12" t="n">
        <f aca="false">COUNTIF($A$2:$A$3000, N313) + COUNTIF($A$2:$A$3000, O313)</f>
        <v>2</v>
      </c>
      <c r="Q313" s="16" t="str">
        <f aca="false">IF(OR(B313=-1,I313=0, P313&lt;&gt;2), "albhed_dummy", _xlfn.CONCAT("albhed ", RIGHT("  " &amp; K313,2),", ", RIGHT("  " &amp; L313,2), ", " ,"""",H313,""", ", """",N313,""", ","""",O313,""""," ; ", A313))</f>
        <v>albhed  3, 10, "흐", "느", "해" ; 낼</v>
      </c>
    </row>
    <row r="314" customFormat="false" ht="17.9" hidden="false" customHeight="true" outlineLevel="0" collapsed="false">
      <c r="A314" s="16" t="s">
        <v>1192</v>
      </c>
      <c r="B314" s="16" t="n">
        <f aca="false">IF(_xlfn.UNICODE(A314)&lt;44032,-1,_xlfn.UNICODE(A314)-44032)</f>
        <v>1220</v>
      </c>
      <c r="C314" s="16" t="n">
        <f aca="false">IF(B314=-1,-1,INT((B314/28)/21))</f>
        <v>2</v>
      </c>
      <c r="D314" s="16" t="n">
        <f aca="false">IF(B314=-1, -1, MOD(INT(B314/28),21))</f>
        <v>1</v>
      </c>
      <c r="E314" s="16" t="n">
        <f aca="false">IF(B314=-1, -1, VLOOKUP(MOD(B314,28), $T$24:$U$52,2))</f>
        <v>16</v>
      </c>
      <c r="F314" s="16" t="n">
        <f aca="false">IF($B314=-1, -1, VLOOKUP(C314,$T$1:$V$20, 2))</f>
        <v>18</v>
      </c>
      <c r="G314" s="16" t="n">
        <f aca="false">IF($B314=-1, -1, VLOOKUP(D314,$Y$1:$Z$22,2))</f>
        <v>18</v>
      </c>
      <c r="H314" s="16" t="str">
        <f aca="false">_xlfn.UNICHAR(((F314*21)+G314)*28+44032)</f>
        <v>흐</v>
      </c>
      <c r="I314" s="16" t="n">
        <f aca="false">IF(B314=-1, 1, COUNTIF($A$2:$A$3000, H314))</f>
        <v>1</v>
      </c>
      <c r="J314" s="10" t="str">
        <f aca="false">_xlfn.CONCAT(A314, ",",H314,",",I314)</f>
        <v>냄,흐,1</v>
      </c>
      <c r="K314" s="16" t="n">
        <f aca="false">IF(B314=-1,-1,VLOOKUP(C314,$T$1:$V$20,3))</f>
        <v>3</v>
      </c>
      <c r="L314" s="16" t="n">
        <f aca="false">IF(B314=-1,-1,VLOOKUP(D314,$Y$1:$AA$22,3))</f>
        <v>10</v>
      </c>
      <c r="N314" s="10" t="str">
        <f aca="false">_xlfn.UNICHAR(((C314*21)+G314)*28+44032)</f>
        <v>느</v>
      </c>
      <c r="O314" s="10" t="str">
        <f aca="false">_xlfn.UNICHAR(((F314*21)+D314)*28+44032)</f>
        <v>해</v>
      </c>
      <c r="P314" s="12" t="n">
        <f aca="false">COUNTIF($A$2:$A$3000, N314) + COUNTIF($A$2:$A$3000, O314)</f>
        <v>2</v>
      </c>
      <c r="Q314" s="16" t="str">
        <f aca="false">IF(OR(B314=-1,I314=0, P314&lt;&gt;2), "albhed_dummy", _xlfn.CONCAT("albhed ", RIGHT("  " &amp; K314,2),", ", RIGHT("  " &amp; L314,2), ", " ,"""",H314,""", ", """",N314,""", ","""",O314,""""," ; ", A314))</f>
        <v>albhed  3, 10, "흐", "느", "해" ; 냄</v>
      </c>
    </row>
    <row r="315" customFormat="false" ht="17.9" hidden="false" customHeight="true" outlineLevel="0" collapsed="false">
      <c r="A315" s="16" t="s">
        <v>1193</v>
      </c>
      <c r="B315" s="16" t="n">
        <f aca="false">IF(_xlfn.UNICODE(A315)&lt;44032,-1,_xlfn.UNICODE(A315)-44032)</f>
        <v>1221</v>
      </c>
      <c r="C315" s="16" t="n">
        <f aca="false">IF(B315=-1,-1,INT((B315/28)/21))</f>
        <v>2</v>
      </c>
      <c r="D315" s="16" t="n">
        <f aca="false">IF(B315=-1, -1, MOD(INT(B315/28),21))</f>
        <v>1</v>
      </c>
      <c r="E315" s="16" t="n">
        <f aca="false">IF(B315=-1, -1, VLOOKUP(MOD(B315,28), $T$24:$U$52,2))</f>
        <v>17</v>
      </c>
      <c r="F315" s="16" t="n">
        <f aca="false">IF($B315=-1, -1, VLOOKUP(C315,$T$1:$V$20, 2))</f>
        <v>18</v>
      </c>
      <c r="G315" s="16" t="n">
        <f aca="false">IF($B315=-1, -1, VLOOKUP(D315,$Y$1:$Z$22,2))</f>
        <v>18</v>
      </c>
      <c r="H315" s="16" t="str">
        <f aca="false">_xlfn.UNICHAR(((F315*21)+G315)*28+44032)</f>
        <v>흐</v>
      </c>
      <c r="I315" s="16" t="n">
        <f aca="false">IF(B315=-1, 1, COUNTIF($A$2:$A$3000, H315))</f>
        <v>1</v>
      </c>
      <c r="J315" s="10" t="str">
        <f aca="false">_xlfn.CONCAT(A315, ",",H315,",",I315)</f>
        <v>냅,흐,1</v>
      </c>
      <c r="K315" s="16" t="n">
        <f aca="false">IF(B315=-1,-1,VLOOKUP(C315,$T$1:$V$20,3))</f>
        <v>3</v>
      </c>
      <c r="L315" s="16" t="n">
        <f aca="false">IF(B315=-1,-1,VLOOKUP(D315,$Y$1:$AA$22,3))</f>
        <v>10</v>
      </c>
      <c r="N315" s="10" t="str">
        <f aca="false">_xlfn.UNICHAR(((C315*21)+G315)*28+44032)</f>
        <v>느</v>
      </c>
      <c r="O315" s="10" t="str">
        <f aca="false">_xlfn.UNICHAR(((F315*21)+D315)*28+44032)</f>
        <v>해</v>
      </c>
      <c r="P315" s="12" t="n">
        <f aca="false">COUNTIF($A$2:$A$3000, N315) + COUNTIF($A$2:$A$3000, O315)</f>
        <v>2</v>
      </c>
      <c r="Q315" s="16" t="str">
        <f aca="false">IF(OR(B315=-1,I315=0, P315&lt;&gt;2), "albhed_dummy", _xlfn.CONCAT("albhed ", RIGHT("  " &amp; K315,2),", ", RIGHT("  " &amp; L315,2), ", " ,"""",H315,""", ", """",N315,""", ","""",O315,""""," ; ", A315))</f>
        <v>albhed  3, 10, "흐", "느", "해" ; 냅</v>
      </c>
    </row>
    <row r="316" customFormat="false" ht="17.9" hidden="false" customHeight="true" outlineLevel="0" collapsed="false">
      <c r="A316" s="16" t="s">
        <v>1194</v>
      </c>
      <c r="B316" s="16" t="n">
        <f aca="false">IF(_xlfn.UNICODE(A316)&lt;44032,-1,_xlfn.UNICODE(A316)-44032)</f>
        <v>1223</v>
      </c>
      <c r="C316" s="16" t="n">
        <f aca="false">IF(B316=-1,-1,INT((B316/28)/21))</f>
        <v>2</v>
      </c>
      <c r="D316" s="16" t="n">
        <f aca="false">IF(B316=-1, -1, MOD(INT(B316/28),21))</f>
        <v>1</v>
      </c>
      <c r="E316" s="16" t="n">
        <f aca="false">IF(B316=-1, -1, VLOOKUP(MOD(B316,28), $T$24:$U$52,2))</f>
        <v>19</v>
      </c>
      <c r="F316" s="16" t="n">
        <f aca="false">IF($B316=-1, -1, VLOOKUP(C316,$T$1:$V$20, 2))</f>
        <v>18</v>
      </c>
      <c r="G316" s="16" t="n">
        <f aca="false">IF($B316=-1, -1, VLOOKUP(D316,$Y$1:$Z$22,2))</f>
        <v>18</v>
      </c>
      <c r="H316" s="16" t="str">
        <f aca="false">_xlfn.UNICHAR(((F316*21)+G316)*28+44032)</f>
        <v>흐</v>
      </c>
      <c r="I316" s="16" t="n">
        <f aca="false">IF(B316=-1, 1, COUNTIF($A$2:$A$3000, H316))</f>
        <v>1</v>
      </c>
      <c r="J316" s="10" t="str">
        <f aca="false">_xlfn.CONCAT(A316, ",",H316,",",I316)</f>
        <v>냇,흐,1</v>
      </c>
      <c r="K316" s="16" t="n">
        <f aca="false">IF(B316=-1,-1,VLOOKUP(C316,$T$1:$V$20,3))</f>
        <v>3</v>
      </c>
      <c r="L316" s="16" t="n">
        <f aca="false">IF(B316=-1,-1,VLOOKUP(D316,$Y$1:$AA$22,3))</f>
        <v>10</v>
      </c>
      <c r="N316" s="10" t="str">
        <f aca="false">_xlfn.UNICHAR(((C316*21)+G316)*28+44032)</f>
        <v>느</v>
      </c>
      <c r="O316" s="10" t="str">
        <f aca="false">_xlfn.UNICHAR(((F316*21)+D316)*28+44032)</f>
        <v>해</v>
      </c>
      <c r="P316" s="12" t="n">
        <f aca="false">COUNTIF($A$2:$A$3000, N316) + COUNTIF($A$2:$A$3000, O316)</f>
        <v>2</v>
      </c>
      <c r="Q316" s="16" t="str">
        <f aca="false">IF(OR(B316=-1,I316=0, P316&lt;&gt;2), "albhed_dummy", _xlfn.CONCAT("albhed ", RIGHT("  " &amp; K316,2),", ", RIGHT("  " &amp; L316,2), ", " ,"""",H316,""", ", """",N316,""", ","""",O316,""""," ; ", A316))</f>
        <v>albhed  3, 10, "흐", "느", "해" ; 냇</v>
      </c>
    </row>
    <row r="317" customFormat="false" ht="17.9" hidden="false" customHeight="true" outlineLevel="0" collapsed="false">
      <c r="A317" s="16" t="s">
        <v>1195</v>
      </c>
      <c r="B317" s="16" t="n">
        <f aca="false">IF(_xlfn.UNICODE(A317)&lt;44032,-1,_xlfn.UNICODE(A317)-44032)</f>
        <v>1224</v>
      </c>
      <c r="C317" s="16" t="n">
        <f aca="false">IF(B317=-1,-1,INT((B317/28)/21))</f>
        <v>2</v>
      </c>
      <c r="D317" s="16" t="n">
        <f aca="false">IF(B317=-1, -1, MOD(INT(B317/28),21))</f>
        <v>1</v>
      </c>
      <c r="E317" s="16" t="n">
        <f aca="false">IF(B317=-1, -1, VLOOKUP(MOD(B317,28), $T$24:$U$52,2))</f>
        <v>19</v>
      </c>
      <c r="F317" s="16" t="n">
        <f aca="false">IF($B317=-1, -1, VLOOKUP(C317,$T$1:$V$20, 2))</f>
        <v>18</v>
      </c>
      <c r="G317" s="16" t="n">
        <f aca="false">IF($B317=-1, -1, VLOOKUP(D317,$Y$1:$Z$22,2))</f>
        <v>18</v>
      </c>
      <c r="H317" s="16" t="str">
        <f aca="false">_xlfn.UNICHAR(((F317*21)+G317)*28+44032)</f>
        <v>흐</v>
      </c>
      <c r="I317" s="16" t="n">
        <f aca="false">IF(B317=-1, 1, COUNTIF($A$2:$A$3000, H317))</f>
        <v>1</v>
      </c>
      <c r="J317" s="10" t="str">
        <f aca="false">_xlfn.CONCAT(A317, ",",H317,",",I317)</f>
        <v>냈,흐,1</v>
      </c>
      <c r="K317" s="16" t="n">
        <f aca="false">IF(B317=-1,-1,VLOOKUP(C317,$T$1:$V$20,3))</f>
        <v>3</v>
      </c>
      <c r="L317" s="16" t="n">
        <f aca="false">IF(B317=-1,-1,VLOOKUP(D317,$Y$1:$AA$22,3))</f>
        <v>10</v>
      </c>
      <c r="N317" s="10" t="str">
        <f aca="false">_xlfn.UNICHAR(((C317*21)+G317)*28+44032)</f>
        <v>느</v>
      </c>
      <c r="O317" s="10" t="str">
        <f aca="false">_xlfn.UNICHAR(((F317*21)+D317)*28+44032)</f>
        <v>해</v>
      </c>
      <c r="P317" s="12" t="n">
        <f aca="false">COUNTIF($A$2:$A$3000, N317) + COUNTIF($A$2:$A$3000, O317)</f>
        <v>2</v>
      </c>
      <c r="Q317" s="16" t="str">
        <f aca="false">IF(OR(B317=-1,I317=0, P317&lt;&gt;2), "albhed_dummy", _xlfn.CONCAT("albhed ", RIGHT("  " &amp; K317,2),", ", RIGHT("  " &amp; L317,2), ", " ,"""",H317,""", ", """",N317,""", ","""",O317,""""," ; ", A317))</f>
        <v>albhed  3, 10, "흐", "느", "해" ; 냈</v>
      </c>
    </row>
    <row r="318" customFormat="false" ht="17.9" hidden="false" customHeight="true" outlineLevel="0" collapsed="false">
      <c r="A318" s="16" t="s">
        <v>1196</v>
      </c>
      <c r="B318" s="16" t="n">
        <f aca="false">IF(_xlfn.UNICODE(A318)&lt;44032,-1,_xlfn.UNICODE(A318)-44032)</f>
        <v>1225</v>
      </c>
      <c r="C318" s="16" t="n">
        <f aca="false">IF(B318=-1,-1,INT((B318/28)/21))</f>
        <v>2</v>
      </c>
      <c r="D318" s="16" t="n">
        <f aca="false">IF(B318=-1, -1, MOD(INT(B318/28),21))</f>
        <v>1</v>
      </c>
      <c r="E318" s="16" t="n">
        <f aca="false">IF(B318=-1, -1, VLOOKUP(MOD(B318,28), $T$24:$U$52,2))</f>
        <v>21</v>
      </c>
      <c r="F318" s="16" t="n">
        <f aca="false">IF($B318=-1, -1, VLOOKUP(C318,$T$1:$V$20, 2))</f>
        <v>18</v>
      </c>
      <c r="G318" s="16" t="n">
        <f aca="false">IF($B318=-1, -1, VLOOKUP(D318,$Y$1:$Z$22,2))</f>
        <v>18</v>
      </c>
      <c r="H318" s="16" t="str">
        <f aca="false">_xlfn.UNICHAR(((F318*21)+G318)*28+44032)</f>
        <v>흐</v>
      </c>
      <c r="I318" s="16" t="n">
        <f aca="false">IF(B318=-1, 1, COUNTIF($A$2:$A$3000, H318))</f>
        <v>1</v>
      </c>
      <c r="J318" s="10" t="str">
        <f aca="false">_xlfn.CONCAT(A318, ",",H318,",",I318)</f>
        <v>냉,흐,1</v>
      </c>
      <c r="K318" s="16" t="n">
        <f aca="false">IF(B318=-1,-1,VLOOKUP(C318,$T$1:$V$20,3))</f>
        <v>3</v>
      </c>
      <c r="L318" s="16" t="n">
        <f aca="false">IF(B318=-1,-1,VLOOKUP(D318,$Y$1:$AA$22,3))</f>
        <v>10</v>
      </c>
      <c r="N318" s="10" t="str">
        <f aca="false">_xlfn.UNICHAR(((C318*21)+G318)*28+44032)</f>
        <v>느</v>
      </c>
      <c r="O318" s="10" t="str">
        <f aca="false">_xlfn.UNICHAR(((F318*21)+D318)*28+44032)</f>
        <v>해</v>
      </c>
      <c r="P318" s="12" t="n">
        <f aca="false">COUNTIF($A$2:$A$3000, N318) + COUNTIF($A$2:$A$3000, O318)</f>
        <v>2</v>
      </c>
      <c r="Q318" s="16" t="str">
        <f aca="false">IF(OR(B318=-1,I318=0, P318&lt;&gt;2), "albhed_dummy", _xlfn.CONCAT("albhed ", RIGHT("  " &amp; K318,2),", ", RIGHT("  " &amp; L318,2), ", " ,"""",H318,""", ", """",N318,""", ","""",O318,""""," ; ", A318))</f>
        <v>albhed  3, 10, "흐", "느", "해" ; 냉</v>
      </c>
    </row>
    <row r="319" customFormat="false" ht="17.9" hidden="false" customHeight="true" outlineLevel="0" collapsed="false">
      <c r="A319" s="16" t="s">
        <v>1197</v>
      </c>
      <c r="B319" s="16" t="n">
        <f aca="false">IF(_xlfn.UNICODE(A319)&lt;44032,-1,_xlfn.UNICODE(A319)-44032)</f>
        <v>1232</v>
      </c>
      <c r="C319" s="16" t="n">
        <f aca="false">IF(B319=-1,-1,INT((B319/28)/21))</f>
        <v>2</v>
      </c>
      <c r="D319" s="16" t="n">
        <f aca="false">IF(B319=-1, -1, MOD(INT(B319/28),21))</f>
        <v>2</v>
      </c>
      <c r="E319" s="16" t="n">
        <f aca="false">IF(B319=-1, -1, VLOOKUP(MOD(B319,28), $T$24:$U$52,2))</f>
        <v>0</v>
      </c>
      <c r="F319" s="16" t="n">
        <f aca="false">IF($B319=-1, -1, VLOOKUP(C319,$T$1:$V$20, 2))</f>
        <v>18</v>
      </c>
      <c r="G319" s="16" t="n">
        <f aca="false">IF($B319=-1, -1, VLOOKUP(D319,$Y$1:$Z$22,2))</f>
        <v>17</v>
      </c>
      <c r="H319" s="16" t="str">
        <f aca="false">_xlfn.UNICHAR(((F319*21)+G319)*28+44032)</f>
        <v>휴</v>
      </c>
      <c r="I319" s="16" t="n">
        <f aca="false">IF(B319=-1, 1, COUNTIF($A$2:$A$3000, H319))</f>
        <v>1</v>
      </c>
      <c r="J319" s="10" t="str">
        <f aca="false">_xlfn.CONCAT(A319, ",",H319,",",I319)</f>
        <v>냐,휴,1</v>
      </c>
      <c r="K319" s="16" t="n">
        <f aca="false">IF(B319=-1,-1,VLOOKUP(C319,$T$1:$V$20,3))</f>
        <v>3</v>
      </c>
      <c r="L319" s="16" t="n">
        <f aca="false">IF(B319=-1,-1,VLOOKUP(D319,$Y$1:$AA$22,3))</f>
        <v>2</v>
      </c>
      <c r="N319" s="10" t="str">
        <f aca="false">_xlfn.UNICHAR(((C319*21)+G319)*28+44032)</f>
        <v>뉴</v>
      </c>
      <c r="O319" s="10" t="str">
        <f aca="false">_xlfn.UNICHAR(((F319*21)+D319)*28+44032)</f>
        <v>햐</v>
      </c>
      <c r="P319" s="12" t="n">
        <f aca="false">COUNTIF($A$2:$A$3000, N319) + COUNTIF($A$2:$A$3000, O319)</f>
        <v>2</v>
      </c>
      <c r="Q319" s="16" t="str">
        <f aca="false">IF(OR(B319=-1,I319=0, P319&lt;&gt;2), "albhed_dummy", _xlfn.CONCAT("albhed ", RIGHT("  " &amp; K319,2),", ", RIGHT("  " &amp; L319,2), ", " ,"""",H319,""", ", """",N319,""", ","""",O319,""""," ; ", A319))</f>
        <v>albhed  3,  2, "휴", "뉴", "햐" ; 냐</v>
      </c>
    </row>
    <row r="320" customFormat="false" ht="17.9" hidden="false" customHeight="true" outlineLevel="0" collapsed="false">
      <c r="A320" s="16" t="s">
        <v>1198</v>
      </c>
      <c r="B320" s="16" t="n">
        <f aca="false">IF(_xlfn.UNICODE(A320)&lt;44032,-1,_xlfn.UNICODE(A320)-44032)</f>
        <v>1233</v>
      </c>
      <c r="C320" s="16" t="n">
        <f aca="false">IF(B320=-1,-1,INT((B320/28)/21))</f>
        <v>2</v>
      </c>
      <c r="D320" s="16" t="n">
        <f aca="false">IF(B320=-1, -1, MOD(INT(B320/28),21))</f>
        <v>2</v>
      </c>
      <c r="E320" s="16" t="n">
        <f aca="false">IF(B320=-1, -1, VLOOKUP(MOD(B320,28), $T$24:$U$52,2))</f>
        <v>1</v>
      </c>
      <c r="F320" s="16" t="n">
        <f aca="false">IF($B320=-1, -1, VLOOKUP(C320,$T$1:$V$20, 2))</f>
        <v>18</v>
      </c>
      <c r="G320" s="16" t="n">
        <f aca="false">IF($B320=-1, -1, VLOOKUP(D320,$Y$1:$Z$22,2))</f>
        <v>17</v>
      </c>
      <c r="H320" s="16" t="str">
        <f aca="false">_xlfn.UNICHAR(((F320*21)+G320)*28+44032)</f>
        <v>휴</v>
      </c>
      <c r="I320" s="16" t="n">
        <f aca="false">IF(B320=-1, 1, COUNTIF($A$2:$A$3000, H320))</f>
        <v>1</v>
      </c>
      <c r="J320" s="10" t="str">
        <f aca="false">_xlfn.CONCAT(A320, ",",H320,",",I320)</f>
        <v>냑,휴,1</v>
      </c>
      <c r="K320" s="16" t="n">
        <f aca="false">IF(B320=-1,-1,VLOOKUP(C320,$T$1:$V$20,3))</f>
        <v>3</v>
      </c>
      <c r="L320" s="16" t="n">
        <f aca="false">IF(B320=-1,-1,VLOOKUP(D320,$Y$1:$AA$22,3))</f>
        <v>2</v>
      </c>
      <c r="N320" s="10" t="str">
        <f aca="false">_xlfn.UNICHAR(((C320*21)+G320)*28+44032)</f>
        <v>뉴</v>
      </c>
      <c r="O320" s="10" t="str">
        <f aca="false">_xlfn.UNICHAR(((F320*21)+D320)*28+44032)</f>
        <v>햐</v>
      </c>
      <c r="P320" s="12" t="n">
        <f aca="false">COUNTIF($A$2:$A$3000, N320) + COUNTIF($A$2:$A$3000, O320)</f>
        <v>2</v>
      </c>
      <c r="Q320" s="16" t="str">
        <f aca="false">IF(OR(B320=-1,I320=0, P320&lt;&gt;2), "albhed_dummy", _xlfn.CONCAT("albhed ", RIGHT("  " &amp; K320,2),", ", RIGHT("  " &amp; L320,2), ", " ,"""",H320,""", ", """",N320,""", ","""",O320,""""," ; ", A320))</f>
        <v>albhed  3,  2, "휴", "뉴", "햐" ; 냑</v>
      </c>
    </row>
    <row r="321" customFormat="false" ht="17.9" hidden="false" customHeight="true" outlineLevel="0" collapsed="false">
      <c r="A321" s="16" t="s">
        <v>1199</v>
      </c>
      <c r="B321" s="16" t="n">
        <f aca="false">IF(_xlfn.UNICODE(A321)&lt;44032,-1,_xlfn.UNICODE(A321)-44032)</f>
        <v>1236</v>
      </c>
      <c r="C321" s="16" t="n">
        <f aca="false">IF(B321=-1,-1,INT((B321/28)/21))</f>
        <v>2</v>
      </c>
      <c r="D321" s="16" t="n">
        <f aca="false">IF(B321=-1, -1, MOD(INT(B321/28),21))</f>
        <v>2</v>
      </c>
      <c r="E321" s="16" t="n">
        <f aca="false">IF(B321=-1, -1, VLOOKUP(MOD(B321,28), $T$24:$U$52,2))</f>
        <v>4</v>
      </c>
      <c r="F321" s="16" t="n">
        <f aca="false">IF($B321=-1, -1, VLOOKUP(C321,$T$1:$V$20, 2))</f>
        <v>18</v>
      </c>
      <c r="G321" s="16" t="n">
        <f aca="false">IF($B321=-1, -1, VLOOKUP(D321,$Y$1:$Z$22,2))</f>
        <v>17</v>
      </c>
      <c r="H321" s="16" t="str">
        <f aca="false">_xlfn.UNICHAR(((F321*21)+G321)*28+44032)</f>
        <v>휴</v>
      </c>
      <c r="I321" s="16" t="n">
        <f aca="false">IF(B321=-1, 1, COUNTIF($A$2:$A$3000, H321))</f>
        <v>1</v>
      </c>
      <c r="J321" s="10" t="str">
        <f aca="false">_xlfn.CONCAT(A321, ",",H321,",",I321)</f>
        <v>냔,휴,1</v>
      </c>
      <c r="K321" s="16" t="n">
        <f aca="false">IF(B321=-1,-1,VLOOKUP(C321,$T$1:$V$20,3))</f>
        <v>3</v>
      </c>
      <c r="L321" s="16" t="n">
        <f aca="false">IF(B321=-1,-1,VLOOKUP(D321,$Y$1:$AA$22,3))</f>
        <v>2</v>
      </c>
      <c r="N321" s="10" t="str">
        <f aca="false">_xlfn.UNICHAR(((C321*21)+G321)*28+44032)</f>
        <v>뉴</v>
      </c>
      <c r="O321" s="10" t="str">
        <f aca="false">_xlfn.UNICHAR(((F321*21)+D321)*28+44032)</f>
        <v>햐</v>
      </c>
      <c r="P321" s="12" t="n">
        <f aca="false">COUNTIF($A$2:$A$3000, N321) + COUNTIF($A$2:$A$3000, O321)</f>
        <v>2</v>
      </c>
      <c r="Q321" s="16" t="str">
        <f aca="false">IF(OR(B321=-1,I321=0, P321&lt;&gt;2), "albhed_dummy", _xlfn.CONCAT("albhed ", RIGHT("  " &amp; K321,2),", ", RIGHT("  " &amp; L321,2), ", " ,"""",H321,""", ", """",N321,""", ","""",O321,""""," ; ", A321))</f>
        <v>albhed  3,  2, "휴", "뉴", "햐" ; 냔</v>
      </c>
    </row>
    <row r="322" customFormat="false" ht="17.9" hidden="false" customHeight="true" outlineLevel="0" collapsed="false">
      <c r="A322" s="16" t="s">
        <v>1200</v>
      </c>
      <c r="B322" s="16" t="n">
        <f aca="false">IF(_xlfn.UNICODE(A322)&lt;44032,-1,_xlfn.UNICODE(A322)-44032)</f>
        <v>1240</v>
      </c>
      <c r="C322" s="16" t="n">
        <f aca="false">IF(B322=-1,-1,INT((B322/28)/21))</f>
        <v>2</v>
      </c>
      <c r="D322" s="16" t="n">
        <f aca="false">IF(B322=-1, -1, MOD(INT(B322/28),21))</f>
        <v>2</v>
      </c>
      <c r="E322" s="16" t="n">
        <f aca="false">IF(B322=-1, -1, VLOOKUP(MOD(B322,28), $T$24:$U$52,2))</f>
        <v>8</v>
      </c>
      <c r="F322" s="16" t="n">
        <f aca="false">IF($B322=-1, -1, VLOOKUP(C322,$T$1:$V$20, 2))</f>
        <v>18</v>
      </c>
      <c r="G322" s="16" t="n">
        <f aca="false">IF($B322=-1, -1, VLOOKUP(D322,$Y$1:$Z$22,2))</f>
        <v>17</v>
      </c>
      <c r="H322" s="16" t="str">
        <f aca="false">_xlfn.UNICHAR(((F322*21)+G322)*28+44032)</f>
        <v>휴</v>
      </c>
      <c r="I322" s="16" t="n">
        <f aca="false">IF(B322=-1, 1, COUNTIF($A$2:$A$3000, H322))</f>
        <v>1</v>
      </c>
      <c r="J322" s="10" t="str">
        <f aca="false">_xlfn.CONCAT(A322, ",",H322,",",I322)</f>
        <v>냘,휴,1</v>
      </c>
      <c r="K322" s="16" t="n">
        <f aca="false">IF(B322=-1,-1,VLOOKUP(C322,$T$1:$V$20,3))</f>
        <v>3</v>
      </c>
      <c r="L322" s="16" t="n">
        <f aca="false">IF(B322=-1,-1,VLOOKUP(D322,$Y$1:$AA$22,3))</f>
        <v>2</v>
      </c>
      <c r="N322" s="10" t="str">
        <f aca="false">_xlfn.UNICHAR(((C322*21)+G322)*28+44032)</f>
        <v>뉴</v>
      </c>
      <c r="O322" s="10" t="str">
        <f aca="false">_xlfn.UNICHAR(((F322*21)+D322)*28+44032)</f>
        <v>햐</v>
      </c>
      <c r="P322" s="12" t="n">
        <f aca="false">COUNTIF($A$2:$A$3000, N322) + COUNTIF($A$2:$A$3000, O322)</f>
        <v>2</v>
      </c>
      <c r="Q322" s="16" t="str">
        <f aca="false">IF(OR(B322=-1,I322=0, P322&lt;&gt;2), "albhed_dummy", _xlfn.CONCAT("albhed ", RIGHT("  " &amp; K322,2),", ", RIGHT("  " &amp; L322,2), ", " ,"""",H322,""", ", """",N322,""", ","""",O322,""""," ; ", A322))</f>
        <v>albhed  3,  2, "휴", "뉴", "햐" ; 냘</v>
      </c>
    </row>
    <row r="323" customFormat="false" ht="17.9" hidden="false" customHeight="true" outlineLevel="0" collapsed="false">
      <c r="A323" s="16" t="s">
        <v>1201</v>
      </c>
      <c r="B323" s="16" t="n">
        <f aca="false">IF(_xlfn.UNICODE(A323)&lt;44032,-1,_xlfn.UNICODE(A323)-44032)</f>
        <v>1248</v>
      </c>
      <c r="C323" s="16" t="n">
        <f aca="false">IF(B323=-1,-1,INT((B323/28)/21))</f>
        <v>2</v>
      </c>
      <c r="D323" s="16" t="n">
        <f aca="false">IF(B323=-1, -1, MOD(INT(B323/28),21))</f>
        <v>2</v>
      </c>
      <c r="E323" s="16" t="n">
        <f aca="false">IF(B323=-1, -1, VLOOKUP(MOD(B323,28), $T$24:$U$52,2))</f>
        <v>16</v>
      </c>
      <c r="F323" s="16" t="n">
        <f aca="false">IF($B323=-1, -1, VLOOKUP(C323,$T$1:$V$20, 2))</f>
        <v>18</v>
      </c>
      <c r="G323" s="16" t="n">
        <f aca="false">IF($B323=-1, -1, VLOOKUP(D323,$Y$1:$Z$22,2))</f>
        <v>17</v>
      </c>
      <c r="H323" s="16" t="str">
        <f aca="false">_xlfn.UNICHAR(((F323*21)+G323)*28+44032)</f>
        <v>휴</v>
      </c>
      <c r="I323" s="16" t="n">
        <f aca="false">IF(B323=-1, 1, COUNTIF($A$2:$A$3000, H323))</f>
        <v>1</v>
      </c>
      <c r="J323" s="10" t="str">
        <f aca="false">_xlfn.CONCAT(A323, ",",H323,",",I323)</f>
        <v>냠,휴,1</v>
      </c>
      <c r="K323" s="16" t="n">
        <f aca="false">IF(B323=-1,-1,VLOOKUP(C323,$T$1:$V$20,3))</f>
        <v>3</v>
      </c>
      <c r="L323" s="16" t="n">
        <f aca="false">IF(B323=-1,-1,VLOOKUP(D323,$Y$1:$AA$22,3))</f>
        <v>2</v>
      </c>
      <c r="N323" s="10" t="str">
        <f aca="false">_xlfn.UNICHAR(((C323*21)+G323)*28+44032)</f>
        <v>뉴</v>
      </c>
      <c r="O323" s="10" t="str">
        <f aca="false">_xlfn.UNICHAR(((F323*21)+D323)*28+44032)</f>
        <v>햐</v>
      </c>
      <c r="P323" s="12" t="n">
        <f aca="false">COUNTIF($A$2:$A$3000, N323) + COUNTIF($A$2:$A$3000, O323)</f>
        <v>2</v>
      </c>
      <c r="Q323" s="16" t="str">
        <f aca="false">IF(OR(B323=-1,I323=0, P323&lt;&gt;2), "albhed_dummy", _xlfn.CONCAT("albhed ", RIGHT("  " &amp; K323,2),", ", RIGHT("  " &amp; L323,2), ", " ,"""",H323,""", ", """",N323,""", ","""",O323,""""," ; ", A323))</f>
        <v>albhed  3,  2, "휴", "뉴", "햐" ; 냠</v>
      </c>
    </row>
    <row r="324" customFormat="false" ht="17.9" hidden="false" customHeight="true" outlineLevel="0" collapsed="false">
      <c r="A324" s="16" t="s">
        <v>1202</v>
      </c>
      <c r="B324" s="16" t="n">
        <f aca="false">IF(_xlfn.UNICODE(A324)&lt;44032,-1,_xlfn.UNICODE(A324)-44032)</f>
        <v>1253</v>
      </c>
      <c r="C324" s="16" t="n">
        <f aca="false">IF(B324=-1,-1,INT((B324/28)/21))</f>
        <v>2</v>
      </c>
      <c r="D324" s="16" t="n">
        <f aca="false">IF(B324=-1, -1, MOD(INT(B324/28),21))</f>
        <v>2</v>
      </c>
      <c r="E324" s="16" t="n">
        <f aca="false">IF(B324=-1, -1, VLOOKUP(MOD(B324,28), $T$24:$U$52,2))</f>
        <v>21</v>
      </c>
      <c r="F324" s="16" t="n">
        <f aca="false">IF($B324=-1, -1, VLOOKUP(C324,$T$1:$V$20, 2))</f>
        <v>18</v>
      </c>
      <c r="G324" s="16" t="n">
        <f aca="false">IF($B324=-1, -1, VLOOKUP(D324,$Y$1:$Z$22,2))</f>
        <v>17</v>
      </c>
      <c r="H324" s="16" t="str">
        <f aca="false">_xlfn.UNICHAR(((F324*21)+G324)*28+44032)</f>
        <v>휴</v>
      </c>
      <c r="I324" s="16" t="n">
        <f aca="false">IF(B324=-1, 1, COUNTIF($A$2:$A$3000, H324))</f>
        <v>1</v>
      </c>
      <c r="J324" s="10" t="str">
        <f aca="false">_xlfn.CONCAT(A324, ",",H324,",",I324)</f>
        <v>냥,휴,1</v>
      </c>
      <c r="K324" s="16" t="n">
        <f aca="false">IF(B324=-1,-1,VLOOKUP(C324,$T$1:$V$20,3))</f>
        <v>3</v>
      </c>
      <c r="L324" s="16" t="n">
        <f aca="false">IF(B324=-1,-1,VLOOKUP(D324,$Y$1:$AA$22,3))</f>
        <v>2</v>
      </c>
      <c r="N324" s="10" t="str">
        <f aca="false">_xlfn.UNICHAR(((C324*21)+G324)*28+44032)</f>
        <v>뉴</v>
      </c>
      <c r="O324" s="10" t="str">
        <f aca="false">_xlfn.UNICHAR(((F324*21)+D324)*28+44032)</f>
        <v>햐</v>
      </c>
      <c r="P324" s="12" t="n">
        <f aca="false">COUNTIF($A$2:$A$3000, N324) + COUNTIF($A$2:$A$3000, O324)</f>
        <v>2</v>
      </c>
      <c r="Q324" s="16" t="str">
        <f aca="false">IF(OR(B324=-1,I324=0, P324&lt;&gt;2), "albhed_dummy", _xlfn.CONCAT("albhed ", RIGHT("  " &amp; K324,2),", ", RIGHT("  " &amp; L324,2), ", " ,"""",H324,""", ", """",N324,""", ","""",O324,""""," ; ", A324))</f>
        <v>albhed  3,  2, "휴", "뉴", "햐" ; 냥</v>
      </c>
    </row>
    <row r="325" customFormat="false" ht="17.9" hidden="false" customHeight="true" outlineLevel="0" collapsed="false">
      <c r="A325" s="16" t="s">
        <v>1203</v>
      </c>
      <c r="B325" s="16" t="n">
        <f aca="false">IF(_xlfn.UNICODE(A325)&lt;44032,-1,_xlfn.UNICODE(A325)-44032)</f>
        <v>1288</v>
      </c>
      <c r="C325" s="16" t="n">
        <f aca="false">IF(B325=-1,-1,INT((B325/28)/21))</f>
        <v>2</v>
      </c>
      <c r="D325" s="16" t="n">
        <f aca="false">IF(B325=-1, -1, MOD(INT(B325/28),21))</f>
        <v>4</v>
      </c>
      <c r="E325" s="16" t="n">
        <f aca="false">IF(B325=-1, -1, VLOOKUP(MOD(B325,28), $T$24:$U$52,2))</f>
        <v>0</v>
      </c>
      <c r="F325" s="16" t="n">
        <f aca="false">IF($B325=-1, -1, VLOOKUP(C325,$T$1:$V$20, 2))</f>
        <v>18</v>
      </c>
      <c r="G325" s="16" t="n">
        <f aca="false">IF($B325=-1, -1, VLOOKUP(D325,$Y$1:$Z$22,2))</f>
        <v>8</v>
      </c>
      <c r="H325" s="16" t="str">
        <f aca="false">_xlfn.UNICHAR(((F325*21)+G325)*28+44032)</f>
        <v>호</v>
      </c>
      <c r="I325" s="16" t="n">
        <f aca="false">IF(B325=-1, 1, COUNTIF($A$2:$A$3000, H325))</f>
        <v>1</v>
      </c>
      <c r="J325" s="10" t="str">
        <f aca="false">_xlfn.CONCAT(A325, ",",H325,",",I325)</f>
        <v>너,호,1</v>
      </c>
      <c r="K325" s="16" t="n">
        <f aca="false">IF(B325=-1,-1,VLOOKUP(C325,$T$1:$V$20,3))</f>
        <v>3</v>
      </c>
      <c r="L325" s="16" t="n">
        <f aca="false">IF(B325=-1,-1,VLOOKUP(D325,$Y$1:$AA$22,3))</f>
        <v>4</v>
      </c>
      <c r="N325" s="10" t="str">
        <f aca="false">_xlfn.UNICHAR(((C325*21)+G325)*28+44032)</f>
        <v>노</v>
      </c>
      <c r="O325" s="10" t="str">
        <f aca="false">_xlfn.UNICHAR(((F325*21)+D325)*28+44032)</f>
        <v>허</v>
      </c>
      <c r="P325" s="12" t="n">
        <f aca="false">COUNTIF($A$2:$A$3000, N325) + COUNTIF($A$2:$A$3000, O325)</f>
        <v>2</v>
      </c>
      <c r="Q325" s="16" t="str">
        <f aca="false">IF(OR(B325=-1,I325=0, P325&lt;&gt;2), "albhed_dummy", _xlfn.CONCAT("albhed ", RIGHT("  " &amp; K325,2),", ", RIGHT("  " &amp; L325,2), ", " ,"""",H325,""", ", """",N325,""", ","""",O325,""""," ; ", A325))</f>
        <v>albhed  3,  4, "호", "노", "허" ; 너</v>
      </c>
    </row>
    <row r="326" customFormat="false" ht="17.9" hidden="false" customHeight="true" outlineLevel="0" collapsed="false">
      <c r="A326" s="16" t="s">
        <v>1204</v>
      </c>
      <c r="B326" s="16" t="n">
        <f aca="false">IF(_xlfn.UNICODE(A326)&lt;44032,-1,_xlfn.UNICODE(A326)-44032)</f>
        <v>1289</v>
      </c>
      <c r="C326" s="16" t="n">
        <f aca="false">IF(B326=-1,-1,INT((B326/28)/21))</f>
        <v>2</v>
      </c>
      <c r="D326" s="16" t="n">
        <f aca="false">IF(B326=-1, -1, MOD(INT(B326/28),21))</f>
        <v>4</v>
      </c>
      <c r="E326" s="16" t="n">
        <f aca="false">IF(B326=-1, -1, VLOOKUP(MOD(B326,28), $T$24:$U$52,2))</f>
        <v>1</v>
      </c>
      <c r="F326" s="16" t="n">
        <f aca="false">IF($B326=-1, -1, VLOOKUP(C326,$T$1:$V$20, 2))</f>
        <v>18</v>
      </c>
      <c r="G326" s="16" t="n">
        <f aca="false">IF($B326=-1, -1, VLOOKUP(D326,$Y$1:$Z$22,2))</f>
        <v>8</v>
      </c>
      <c r="H326" s="16" t="str">
        <f aca="false">_xlfn.UNICHAR(((F326*21)+G326)*28+44032)</f>
        <v>호</v>
      </c>
      <c r="I326" s="16" t="n">
        <f aca="false">IF(B326=-1, 1, COUNTIF($A$2:$A$3000, H326))</f>
        <v>1</v>
      </c>
      <c r="J326" s="10" t="str">
        <f aca="false">_xlfn.CONCAT(A326, ",",H326,",",I326)</f>
        <v>넉,호,1</v>
      </c>
      <c r="K326" s="16" t="n">
        <f aca="false">IF(B326=-1,-1,VLOOKUP(C326,$T$1:$V$20,3))</f>
        <v>3</v>
      </c>
      <c r="L326" s="16" t="n">
        <f aca="false">IF(B326=-1,-1,VLOOKUP(D326,$Y$1:$AA$22,3))</f>
        <v>4</v>
      </c>
      <c r="N326" s="10" t="str">
        <f aca="false">_xlfn.UNICHAR(((C326*21)+G326)*28+44032)</f>
        <v>노</v>
      </c>
      <c r="O326" s="10" t="str">
        <f aca="false">_xlfn.UNICHAR(((F326*21)+D326)*28+44032)</f>
        <v>허</v>
      </c>
      <c r="P326" s="12" t="n">
        <f aca="false">COUNTIF($A$2:$A$3000, N326) + COUNTIF($A$2:$A$3000, O326)</f>
        <v>2</v>
      </c>
      <c r="Q326" s="16" t="str">
        <f aca="false">IF(OR(B326=-1,I326=0, P326&lt;&gt;2), "albhed_dummy", _xlfn.CONCAT("albhed ", RIGHT("  " &amp; K326,2),", ", RIGHT("  " &amp; L326,2), ", " ,"""",H326,""", ", """",N326,""", ","""",O326,""""," ; ", A326))</f>
        <v>albhed  3,  4, "호", "노", "허" ; 넉</v>
      </c>
    </row>
    <row r="327" customFormat="false" ht="17.9" hidden="false" customHeight="true" outlineLevel="0" collapsed="false">
      <c r="A327" s="16" t="s">
        <v>1205</v>
      </c>
      <c r="B327" s="16" t="n">
        <f aca="false">IF(_xlfn.UNICODE(A327)&lt;44032,-1,_xlfn.UNICODE(A327)-44032)</f>
        <v>1291</v>
      </c>
      <c r="C327" s="16" t="n">
        <f aca="false">IF(B327=-1,-1,INT((B327/28)/21))</f>
        <v>2</v>
      </c>
      <c r="D327" s="16" t="n">
        <f aca="false">IF(B327=-1, -1, MOD(INT(B327/28),21))</f>
        <v>4</v>
      </c>
      <c r="E327" s="16" t="n">
        <f aca="false">IF(B327=-1, -1, VLOOKUP(MOD(B327,28), $T$24:$U$52,2))</f>
        <v>1</v>
      </c>
      <c r="F327" s="16" t="n">
        <f aca="false">IF($B327=-1, -1, VLOOKUP(C327,$T$1:$V$20, 2))</f>
        <v>18</v>
      </c>
      <c r="G327" s="16" t="n">
        <f aca="false">IF($B327=-1, -1, VLOOKUP(D327,$Y$1:$Z$22,2))</f>
        <v>8</v>
      </c>
      <c r="H327" s="16" t="str">
        <f aca="false">_xlfn.UNICHAR(((F327*21)+G327)*28+44032)</f>
        <v>호</v>
      </c>
      <c r="I327" s="16" t="n">
        <f aca="false">IF(B327=-1, 1, COUNTIF($A$2:$A$3000, H327))</f>
        <v>1</v>
      </c>
      <c r="J327" s="10" t="str">
        <f aca="false">_xlfn.CONCAT(A327, ",",H327,",",I327)</f>
        <v>넋,호,1</v>
      </c>
      <c r="K327" s="16" t="n">
        <f aca="false">IF(B327=-1,-1,VLOOKUP(C327,$T$1:$V$20,3))</f>
        <v>3</v>
      </c>
      <c r="L327" s="16" t="n">
        <f aca="false">IF(B327=-1,-1,VLOOKUP(D327,$Y$1:$AA$22,3))</f>
        <v>4</v>
      </c>
      <c r="N327" s="10" t="str">
        <f aca="false">_xlfn.UNICHAR(((C327*21)+G327)*28+44032)</f>
        <v>노</v>
      </c>
      <c r="O327" s="10" t="str">
        <f aca="false">_xlfn.UNICHAR(((F327*21)+D327)*28+44032)</f>
        <v>허</v>
      </c>
      <c r="P327" s="12" t="n">
        <f aca="false">COUNTIF($A$2:$A$3000, N327) + COUNTIF($A$2:$A$3000, O327)</f>
        <v>2</v>
      </c>
      <c r="Q327" s="16" t="str">
        <f aca="false">IF(OR(B327=-1,I327=0, P327&lt;&gt;2), "albhed_dummy", _xlfn.CONCAT("albhed ", RIGHT("  " &amp; K327,2),", ", RIGHT("  " &amp; L327,2), ", " ,"""",H327,""", ", """",N327,""", ","""",O327,""""," ; ", A327))</f>
        <v>albhed  3,  4, "호", "노", "허" ; 넋</v>
      </c>
    </row>
    <row r="328" customFormat="false" ht="17.9" hidden="false" customHeight="true" outlineLevel="0" collapsed="false">
      <c r="A328" s="16" t="s">
        <v>1206</v>
      </c>
      <c r="B328" s="16" t="n">
        <f aca="false">IF(_xlfn.UNICODE(A328)&lt;44032,-1,_xlfn.UNICODE(A328)-44032)</f>
        <v>1292</v>
      </c>
      <c r="C328" s="16" t="n">
        <f aca="false">IF(B328=-1,-1,INT((B328/28)/21))</f>
        <v>2</v>
      </c>
      <c r="D328" s="16" t="n">
        <f aca="false">IF(B328=-1, -1, MOD(INT(B328/28),21))</f>
        <v>4</v>
      </c>
      <c r="E328" s="16" t="n">
        <f aca="false">IF(B328=-1, -1, VLOOKUP(MOD(B328,28), $T$24:$U$52,2))</f>
        <v>4</v>
      </c>
      <c r="F328" s="16" t="n">
        <f aca="false">IF($B328=-1, -1, VLOOKUP(C328,$T$1:$V$20, 2))</f>
        <v>18</v>
      </c>
      <c r="G328" s="16" t="n">
        <f aca="false">IF($B328=-1, -1, VLOOKUP(D328,$Y$1:$Z$22,2))</f>
        <v>8</v>
      </c>
      <c r="H328" s="16" t="str">
        <f aca="false">_xlfn.UNICHAR(((F328*21)+G328)*28+44032)</f>
        <v>호</v>
      </c>
      <c r="I328" s="16" t="n">
        <f aca="false">IF(B328=-1, 1, COUNTIF($A$2:$A$3000, H328))</f>
        <v>1</v>
      </c>
      <c r="J328" s="10" t="str">
        <f aca="false">_xlfn.CONCAT(A328, ",",H328,",",I328)</f>
        <v>넌,호,1</v>
      </c>
      <c r="K328" s="16" t="n">
        <f aca="false">IF(B328=-1,-1,VLOOKUP(C328,$T$1:$V$20,3))</f>
        <v>3</v>
      </c>
      <c r="L328" s="16" t="n">
        <f aca="false">IF(B328=-1,-1,VLOOKUP(D328,$Y$1:$AA$22,3))</f>
        <v>4</v>
      </c>
      <c r="N328" s="10" t="str">
        <f aca="false">_xlfn.UNICHAR(((C328*21)+G328)*28+44032)</f>
        <v>노</v>
      </c>
      <c r="O328" s="10" t="str">
        <f aca="false">_xlfn.UNICHAR(((F328*21)+D328)*28+44032)</f>
        <v>허</v>
      </c>
      <c r="P328" s="12" t="n">
        <f aca="false">COUNTIF($A$2:$A$3000, N328) + COUNTIF($A$2:$A$3000, O328)</f>
        <v>2</v>
      </c>
      <c r="Q328" s="16" t="str">
        <f aca="false">IF(OR(B328=-1,I328=0, P328&lt;&gt;2), "albhed_dummy", _xlfn.CONCAT("albhed ", RIGHT("  " &amp; K328,2),", ", RIGHT("  " &amp; L328,2), ", " ,"""",H328,""", ", """",N328,""", ","""",O328,""""," ; ", A328))</f>
        <v>albhed  3,  4, "호", "노", "허" ; 넌</v>
      </c>
    </row>
    <row r="329" customFormat="false" ht="17.9" hidden="false" customHeight="true" outlineLevel="0" collapsed="false">
      <c r="A329" s="16" t="s">
        <v>1207</v>
      </c>
      <c r="B329" s="16" t="n">
        <f aca="false">IF(_xlfn.UNICODE(A329)&lt;44032,-1,_xlfn.UNICODE(A329)-44032)</f>
        <v>1296</v>
      </c>
      <c r="C329" s="16" t="n">
        <f aca="false">IF(B329=-1,-1,INT((B329/28)/21))</f>
        <v>2</v>
      </c>
      <c r="D329" s="16" t="n">
        <f aca="false">IF(B329=-1, -1, MOD(INT(B329/28),21))</f>
        <v>4</v>
      </c>
      <c r="E329" s="16" t="n">
        <f aca="false">IF(B329=-1, -1, VLOOKUP(MOD(B329,28), $T$24:$U$52,2))</f>
        <v>8</v>
      </c>
      <c r="F329" s="16" t="n">
        <f aca="false">IF($B329=-1, -1, VLOOKUP(C329,$T$1:$V$20, 2))</f>
        <v>18</v>
      </c>
      <c r="G329" s="16" t="n">
        <f aca="false">IF($B329=-1, -1, VLOOKUP(D329,$Y$1:$Z$22,2))</f>
        <v>8</v>
      </c>
      <c r="H329" s="16" t="str">
        <f aca="false">_xlfn.UNICHAR(((F329*21)+G329)*28+44032)</f>
        <v>호</v>
      </c>
      <c r="I329" s="16" t="n">
        <f aca="false">IF(B329=-1, 1, COUNTIF($A$2:$A$3000, H329))</f>
        <v>1</v>
      </c>
      <c r="J329" s="10" t="str">
        <f aca="false">_xlfn.CONCAT(A329, ",",H329,",",I329)</f>
        <v>널,호,1</v>
      </c>
      <c r="K329" s="16" t="n">
        <f aca="false">IF(B329=-1,-1,VLOOKUP(C329,$T$1:$V$20,3))</f>
        <v>3</v>
      </c>
      <c r="L329" s="16" t="n">
        <f aca="false">IF(B329=-1,-1,VLOOKUP(D329,$Y$1:$AA$22,3))</f>
        <v>4</v>
      </c>
      <c r="N329" s="10" t="str">
        <f aca="false">_xlfn.UNICHAR(((C329*21)+G329)*28+44032)</f>
        <v>노</v>
      </c>
      <c r="O329" s="10" t="str">
        <f aca="false">_xlfn.UNICHAR(((F329*21)+D329)*28+44032)</f>
        <v>허</v>
      </c>
      <c r="P329" s="12" t="n">
        <f aca="false">COUNTIF($A$2:$A$3000, N329) + COUNTIF($A$2:$A$3000, O329)</f>
        <v>2</v>
      </c>
      <c r="Q329" s="16" t="str">
        <f aca="false">IF(OR(B329=-1,I329=0, P329&lt;&gt;2), "albhed_dummy", _xlfn.CONCAT("albhed ", RIGHT("  " &amp; K329,2),", ", RIGHT("  " &amp; L329,2), ", " ,"""",H329,""", ", """",N329,""", ","""",O329,""""," ; ", A329))</f>
        <v>albhed  3,  4, "호", "노", "허" ; 널</v>
      </c>
    </row>
    <row r="330" customFormat="false" ht="17.9" hidden="false" customHeight="true" outlineLevel="0" collapsed="false">
      <c r="A330" s="16" t="s">
        <v>1208</v>
      </c>
      <c r="B330" s="16" t="n">
        <f aca="false">IF(_xlfn.UNICODE(A330)&lt;44032,-1,_xlfn.UNICODE(A330)-44032)</f>
        <v>1298</v>
      </c>
      <c r="C330" s="16" t="n">
        <f aca="false">IF(B330=-1,-1,INT((B330/28)/21))</f>
        <v>2</v>
      </c>
      <c r="D330" s="16" t="n">
        <f aca="false">IF(B330=-1, -1, MOD(INT(B330/28),21))</f>
        <v>4</v>
      </c>
      <c r="E330" s="16" t="n">
        <f aca="false">IF(B330=-1, -1, VLOOKUP(MOD(B330,28), $T$24:$U$52,2))</f>
        <v>8</v>
      </c>
      <c r="F330" s="16" t="n">
        <f aca="false">IF($B330=-1, -1, VLOOKUP(C330,$T$1:$V$20, 2))</f>
        <v>18</v>
      </c>
      <c r="G330" s="16" t="n">
        <f aca="false">IF($B330=-1, -1, VLOOKUP(D330,$Y$1:$Z$22,2))</f>
        <v>8</v>
      </c>
      <c r="H330" s="16" t="str">
        <f aca="false">_xlfn.UNICHAR(((F330*21)+G330)*28+44032)</f>
        <v>호</v>
      </c>
      <c r="I330" s="16" t="n">
        <f aca="false">IF(B330=-1, 1, COUNTIF($A$2:$A$3000, H330))</f>
        <v>1</v>
      </c>
      <c r="J330" s="10" t="str">
        <f aca="false">_xlfn.CONCAT(A330, ",",H330,",",I330)</f>
        <v>넒,호,1</v>
      </c>
      <c r="K330" s="16" t="n">
        <f aca="false">IF(B330=-1,-1,VLOOKUP(C330,$T$1:$V$20,3))</f>
        <v>3</v>
      </c>
      <c r="L330" s="16" t="n">
        <f aca="false">IF(B330=-1,-1,VLOOKUP(D330,$Y$1:$AA$22,3))</f>
        <v>4</v>
      </c>
      <c r="N330" s="10" t="str">
        <f aca="false">_xlfn.UNICHAR(((C330*21)+G330)*28+44032)</f>
        <v>노</v>
      </c>
      <c r="O330" s="10" t="str">
        <f aca="false">_xlfn.UNICHAR(((F330*21)+D330)*28+44032)</f>
        <v>허</v>
      </c>
      <c r="P330" s="12" t="n">
        <f aca="false">COUNTIF($A$2:$A$3000, N330) + COUNTIF($A$2:$A$3000, O330)</f>
        <v>2</v>
      </c>
      <c r="Q330" s="16" t="str">
        <f aca="false">IF(OR(B330=-1,I330=0, P330&lt;&gt;2), "albhed_dummy", _xlfn.CONCAT("albhed ", RIGHT("  " &amp; K330,2),", ", RIGHT("  " &amp; L330,2), ", " ,"""",H330,""", ", """",N330,""", ","""",O330,""""," ; ", A330))</f>
        <v>albhed  3,  4, "호", "노", "허" ; 넒</v>
      </c>
    </row>
    <row r="331" customFormat="false" ht="17.9" hidden="false" customHeight="true" outlineLevel="0" collapsed="false">
      <c r="A331" s="16" t="s">
        <v>1209</v>
      </c>
      <c r="B331" s="16" t="n">
        <f aca="false">IF(_xlfn.UNICODE(A331)&lt;44032,-1,_xlfn.UNICODE(A331)-44032)</f>
        <v>1299</v>
      </c>
      <c r="C331" s="16" t="n">
        <f aca="false">IF(B331=-1,-1,INT((B331/28)/21))</f>
        <v>2</v>
      </c>
      <c r="D331" s="16" t="n">
        <f aca="false">IF(B331=-1, -1, MOD(INT(B331/28),21))</f>
        <v>4</v>
      </c>
      <c r="E331" s="16" t="n">
        <f aca="false">IF(B331=-1, -1, VLOOKUP(MOD(B331,28), $T$24:$U$52,2))</f>
        <v>8</v>
      </c>
      <c r="F331" s="16" t="n">
        <f aca="false">IF($B331=-1, -1, VLOOKUP(C331,$T$1:$V$20, 2))</f>
        <v>18</v>
      </c>
      <c r="G331" s="16" t="n">
        <f aca="false">IF($B331=-1, -1, VLOOKUP(D331,$Y$1:$Z$22,2))</f>
        <v>8</v>
      </c>
      <c r="H331" s="16" t="str">
        <f aca="false">_xlfn.UNICHAR(((F331*21)+G331)*28+44032)</f>
        <v>호</v>
      </c>
      <c r="I331" s="16" t="n">
        <f aca="false">IF(B331=-1, 1, COUNTIF($A$2:$A$3000, H331))</f>
        <v>1</v>
      </c>
      <c r="J331" s="10" t="str">
        <f aca="false">_xlfn.CONCAT(A331, ",",H331,",",I331)</f>
        <v>넓,호,1</v>
      </c>
      <c r="K331" s="16" t="n">
        <f aca="false">IF(B331=-1,-1,VLOOKUP(C331,$T$1:$V$20,3))</f>
        <v>3</v>
      </c>
      <c r="L331" s="16" t="n">
        <f aca="false">IF(B331=-1,-1,VLOOKUP(D331,$Y$1:$AA$22,3))</f>
        <v>4</v>
      </c>
      <c r="N331" s="10" t="str">
        <f aca="false">_xlfn.UNICHAR(((C331*21)+G331)*28+44032)</f>
        <v>노</v>
      </c>
      <c r="O331" s="10" t="str">
        <f aca="false">_xlfn.UNICHAR(((F331*21)+D331)*28+44032)</f>
        <v>허</v>
      </c>
      <c r="P331" s="12" t="n">
        <f aca="false">COUNTIF($A$2:$A$3000, N331) + COUNTIF($A$2:$A$3000, O331)</f>
        <v>2</v>
      </c>
      <c r="Q331" s="16" t="str">
        <f aca="false">IF(OR(B331=-1,I331=0, P331&lt;&gt;2), "albhed_dummy", _xlfn.CONCAT("albhed ", RIGHT("  " &amp; K331,2),", ", RIGHT("  " &amp; L331,2), ", " ,"""",H331,""", ", """",N331,""", ","""",O331,""""," ; ", A331))</f>
        <v>albhed  3,  4, "호", "노", "허" ; 넓</v>
      </c>
    </row>
    <row r="332" customFormat="false" ht="17.9" hidden="false" customHeight="true" outlineLevel="0" collapsed="false">
      <c r="A332" s="16" t="s">
        <v>1210</v>
      </c>
      <c r="B332" s="16" t="n">
        <f aca="false">IF(_xlfn.UNICODE(A332)&lt;44032,-1,_xlfn.UNICODE(A332)-44032)</f>
        <v>1304</v>
      </c>
      <c r="C332" s="16" t="n">
        <f aca="false">IF(B332=-1,-1,INT((B332/28)/21))</f>
        <v>2</v>
      </c>
      <c r="D332" s="16" t="n">
        <f aca="false">IF(B332=-1, -1, MOD(INT(B332/28),21))</f>
        <v>4</v>
      </c>
      <c r="E332" s="16" t="n">
        <f aca="false">IF(B332=-1, -1, VLOOKUP(MOD(B332,28), $T$24:$U$52,2))</f>
        <v>16</v>
      </c>
      <c r="F332" s="16" t="n">
        <f aca="false">IF($B332=-1, -1, VLOOKUP(C332,$T$1:$V$20, 2))</f>
        <v>18</v>
      </c>
      <c r="G332" s="16" t="n">
        <f aca="false">IF($B332=-1, -1, VLOOKUP(D332,$Y$1:$Z$22,2))</f>
        <v>8</v>
      </c>
      <c r="H332" s="16" t="str">
        <f aca="false">_xlfn.UNICHAR(((F332*21)+G332)*28+44032)</f>
        <v>호</v>
      </c>
      <c r="I332" s="16" t="n">
        <f aca="false">IF(B332=-1, 1, COUNTIF($A$2:$A$3000, H332))</f>
        <v>1</v>
      </c>
      <c r="J332" s="10" t="str">
        <f aca="false">_xlfn.CONCAT(A332, ",",H332,",",I332)</f>
        <v>넘,호,1</v>
      </c>
      <c r="K332" s="16" t="n">
        <f aca="false">IF(B332=-1,-1,VLOOKUP(C332,$T$1:$V$20,3))</f>
        <v>3</v>
      </c>
      <c r="L332" s="16" t="n">
        <f aca="false">IF(B332=-1,-1,VLOOKUP(D332,$Y$1:$AA$22,3))</f>
        <v>4</v>
      </c>
      <c r="N332" s="10" t="str">
        <f aca="false">_xlfn.UNICHAR(((C332*21)+G332)*28+44032)</f>
        <v>노</v>
      </c>
      <c r="O332" s="10" t="str">
        <f aca="false">_xlfn.UNICHAR(((F332*21)+D332)*28+44032)</f>
        <v>허</v>
      </c>
      <c r="P332" s="12" t="n">
        <f aca="false">COUNTIF($A$2:$A$3000, N332) + COUNTIF($A$2:$A$3000, O332)</f>
        <v>2</v>
      </c>
      <c r="Q332" s="16" t="str">
        <f aca="false">IF(OR(B332=-1,I332=0, P332&lt;&gt;2), "albhed_dummy", _xlfn.CONCAT("albhed ", RIGHT("  " &amp; K332,2),", ", RIGHT("  " &amp; L332,2), ", " ,"""",H332,""", ", """",N332,""", ","""",O332,""""," ; ", A332))</f>
        <v>albhed  3,  4, "호", "노", "허" ; 넘</v>
      </c>
    </row>
    <row r="333" customFormat="false" ht="17.9" hidden="false" customHeight="true" outlineLevel="0" collapsed="false">
      <c r="A333" s="16" t="s">
        <v>1211</v>
      </c>
      <c r="B333" s="16" t="n">
        <f aca="false">IF(_xlfn.UNICODE(A333)&lt;44032,-1,_xlfn.UNICODE(A333)-44032)</f>
        <v>1305</v>
      </c>
      <c r="C333" s="16" t="n">
        <f aca="false">IF(B333=-1,-1,INT((B333/28)/21))</f>
        <v>2</v>
      </c>
      <c r="D333" s="16" t="n">
        <f aca="false">IF(B333=-1, -1, MOD(INT(B333/28),21))</f>
        <v>4</v>
      </c>
      <c r="E333" s="16" t="n">
        <f aca="false">IF(B333=-1, -1, VLOOKUP(MOD(B333,28), $T$24:$U$52,2))</f>
        <v>17</v>
      </c>
      <c r="F333" s="16" t="n">
        <f aca="false">IF($B333=-1, -1, VLOOKUP(C333,$T$1:$V$20, 2))</f>
        <v>18</v>
      </c>
      <c r="G333" s="16" t="n">
        <f aca="false">IF($B333=-1, -1, VLOOKUP(D333,$Y$1:$Z$22,2))</f>
        <v>8</v>
      </c>
      <c r="H333" s="16" t="str">
        <f aca="false">_xlfn.UNICHAR(((F333*21)+G333)*28+44032)</f>
        <v>호</v>
      </c>
      <c r="I333" s="16" t="n">
        <f aca="false">IF(B333=-1, 1, COUNTIF($A$2:$A$3000, H333))</f>
        <v>1</v>
      </c>
      <c r="J333" s="10" t="str">
        <f aca="false">_xlfn.CONCAT(A333, ",",H333,",",I333)</f>
        <v>넙,호,1</v>
      </c>
      <c r="K333" s="16" t="n">
        <f aca="false">IF(B333=-1,-1,VLOOKUP(C333,$T$1:$V$20,3))</f>
        <v>3</v>
      </c>
      <c r="L333" s="16" t="n">
        <f aca="false">IF(B333=-1,-1,VLOOKUP(D333,$Y$1:$AA$22,3))</f>
        <v>4</v>
      </c>
      <c r="N333" s="10" t="str">
        <f aca="false">_xlfn.UNICHAR(((C333*21)+G333)*28+44032)</f>
        <v>노</v>
      </c>
      <c r="O333" s="10" t="str">
        <f aca="false">_xlfn.UNICHAR(((F333*21)+D333)*28+44032)</f>
        <v>허</v>
      </c>
      <c r="P333" s="12" t="n">
        <f aca="false">COUNTIF($A$2:$A$3000, N333) + COUNTIF($A$2:$A$3000, O333)</f>
        <v>2</v>
      </c>
      <c r="Q333" s="16" t="str">
        <f aca="false">IF(OR(B333=-1,I333=0, P333&lt;&gt;2), "albhed_dummy", _xlfn.CONCAT("albhed ", RIGHT("  " &amp; K333,2),", ", RIGHT("  " &amp; L333,2), ", " ,"""",H333,""", ", """",N333,""", ","""",O333,""""," ; ", A333))</f>
        <v>albhed  3,  4, "호", "노", "허" ; 넙</v>
      </c>
    </row>
    <row r="334" customFormat="false" ht="17.9" hidden="false" customHeight="true" outlineLevel="0" collapsed="false">
      <c r="A334" s="16" t="s">
        <v>1212</v>
      </c>
      <c r="B334" s="16" t="n">
        <f aca="false">IF(_xlfn.UNICODE(A334)&lt;44032,-1,_xlfn.UNICODE(A334)-44032)</f>
        <v>1307</v>
      </c>
      <c r="C334" s="16" t="n">
        <f aca="false">IF(B334=-1,-1,INT((B334/28)/21))</f>
        <v>2</v>
      </c>
      <c r="D334" s="16" t="n">
        <f aca="false">IF(B334=-1, -1, MOD(INT(B334/28),21))</f>
        <v>4</v>
      </c>
      <c r="E334" s="16" t="n">
        <f aca="false">IF(B334=-1, -1, VLOOKUP(MOD(B334,28), $T$24:$U$52,2))</f>
        <v>19</v>
      </c>
      <c r="F334" s="16" t="n">
        <f aca="false">IF($B334=-1, -1, VLOOKUP(C334,$T$1:$V$20, 2))</f>
        <v>18</v>
      </c>
      <c r="G334" s="16" t="n">
        <f aca="false">IF($B334=-1, -1, VLOOKUP(D334,$Y$1:$Z$22,2))</f>
        <v>8</v>
      </c>
      <c r="H334" s="16" t="str">
        <f aca="false">_xlfn.UNICHAR(((F334*21)+G334)*28+44032)</f>
        <v>호</v>
      </c>
      <c r="I334" s="16" t="n">
        <f aca="false">IF(B334=-1, 1, COUNTIF($A$2:$A$3000, H334))</f>
        <v>1</v>
      </c>
      <c r="J334" s="10" t="str">
        <f aca="false">_xlfn.CONCAT(A334, ",",H334,",",I334)</f>
        <v>넛,호,1</v>
      </c>
      <c r="K334" s="16" t="n">
        <f aca="false">IF(B334=-1,-1,VLOOKUP(C334,$T$1:$V$20,3))</f>
        <v>3</v>
      </c>
      <c r="L334" s="16" t="n">
        <f aca="false">IF(B334=-1,-1,VLOOKUP(D334,$Y$1:$AA$22,3))</f>
        <v>4</v>
      </c>
      <c r="N334" s="10" t="str">
        <f aca="false">_xlfn.UNICHAR(((C334*21)+G334)*28+44032)</f>
        <v>노</v>
      </c>
      <c r="O334" s="10" t="str">
        <f aca="false">_xlfn.UNICHAR(((F334*21)+D334)*28+44032)</f>
        <v>허</v>
      </c>
      <c r="P334" s="12" t="n">
        <f aca="false">COUNTIF($A$2:$A$3000, N334) + COUNTIF($A$2:$A$3000, O334)</f>
        <v>2</v>
      </c>
      <c r="Q334" s="16" t="str">
        <f aca="false">IF(OR(B334=-1,I334=0, P334&lt;&gt;2), "albhed_dummy", _xlfn.CONCAT("albhed ", RIGHT("  " &amp; K334,2),", ", RIGHT("  " &amp; L334,2), ", " ,"""",H334,""", ", """",N334,""", ","""",O334,""""," ; ", A334))</f>
        <v>albhed  3,  4, "호", "노", "허" ; 넛</v>
      </c>
    </row>
    <row r="335" customFormat="false" ht="17.9" hidden="false" customHeight="true" outlineLevel="0" collapsed="false">
      <c r="A335" s="16" t="s">
        <v>1213</v>
      </c>
      <c r="B335" s="16" t="n">
        <f aca="false">IF(_xlfn.UNICODE(A335)&lt;44032,-1,_xlfn.UNICODE(A335)-44032)</f>
        <v>1308</v>
      </c>
      <c r="C335" s="16" t="n">
        <f aca="false">IF(B335=-1,-1,INT((B335/28)/21))</f>
        <v>2</v>
      </c>
      <c r="D335" s="16" t="n">
        <f aca="false">IF(B335=-1, -1, MOD(INT(B335/28),21))</f>
        <v>4</v>
      </c>
      <c r="E335" s="16" t="n">
        <f aca="false">IF(B335=-1, -1, VLOOKUP(MOD(B335,28), $T$24:$U$52,2))</f>
        <v>19</v>
      </c>
      <c r="F335" s="16" t="n">
        <f aca="false">IF($B335=-1, -1, VLOOKUP(C335,$T$1:$V$20, 2))</f>
        <v>18</v>
      </c>
      <c r="G335" s="16" t="n">
        <f aca="false">IF($B335=-1, -1, VLOOKUP(D335,$Y$1:$Z$22,2))</f>
        <v>8</v>
      </c>
      <c r="H335" s="16" t="str">
        <f aca="false">_xlfn.UNICHAR(((F335*21)+G335)*28+44032)</f>
        <v>호</v>
      </c>
      <c r="I335" s="16" t="n">
        <f aca="false">IF(B335=-1, 1, COUNTIF($A$2:$A$3000, H335))</f>
        <v>1</v>
      </c>
      <c r="J335" s="10" t="str">
        <f aca="false">_xlfn.CONCAT(A335, ",",H335,",",I335)</f>
        <v>넜,호,1</v>
      </c>
      <c r="K335" s="16" t="n">
        <f aca="false">IF(B335=-1,-1,VLOOKUP(C335,$T$1:$V$20,3))</f>
        <v>3</v>
      </c>
      <c r="L335" s="16" t="n">
        <f aca="false">IF(B335=-1,-1,VLOOKUP(D335,$Y$1:$AA$22,3))</f>
        <v>4</v>
      </c>
      <c r="N335" s="10" t="str">
        <f aca="false">_xlfn.UNICHAR(((C335*21)+G335)*28+44032)</f>
        <v>노</v>
      </c>
      <c r="O335" s="10" t="str">
        <f aca="false">_xlfn.UNICHAR(((F335*21)+D335)*28+44032)</f>
        <v>허</v>
      </c>
      <c r="P335" s="12" t="n">
        <f aca="false">COUNTIF($A$2:$A$3000, N335) + COUNTIF($A$2:$A$3000, O335)</f>
        <v>2</v>
      </c>
      <c r="Q335" s="16" t="str">
        <f aca="false">IF(OR(B335=-1,I335=0, P335&lt;&gt;2), "albhed_dummy", _xlfn.CONCAT("albhed ", RIGHT("  " &amp; K335,2),", ", RIGHT("  " &amp; L335,2), ", " ,"""",H335,""", ", """",N335,""", ","""",O335,""""," ; ", A335))</f>
        <v>albhed  3,  4, "호", "노", "허" ; 넜</v>
      </c>
    </row>
    <row r="336" customFormat="false" ht="17.9" hidden="false" customHeight="true" outlineLevel="0" collapsed="false">
      <c r="A336" s="16" t="s">
        <v>1214</v>
      </c>
      <c r="B336" s="16" t="n">
        <f aca="false">IF(_xlfn.UNICODE(A336)&lt;44032,-1,_xlfn.UNICODE(A336)-44032)</f>
        <v>1309</v>
      </c>
      <c r="C336" s="16" t="n">
        <f aca="false">IF(B336=-1,-1,INT((B336/28)/21))</f>
        <v>2</v>
      </c>
      <c r="D336" s="16" t="n">
        <f aca="false">IF(B336=-1, -1, MOD(INT(B336/28),21))</f>
        <v>4</v>
      </c>
      <c r="E336" s="16" t="n">
        <f aca="false">IF(B336=-1, -1, VLOOKUP(MOD(B336,28), $T$24:$U$52,2))</f>
        <v>21</v>
      </c>
      <c r="F336" s="16" t="n">
        <f aca="false">IF($B336=-1, -1, VLOOKUP(C336,$T$1:$V$20, 2))</f>
        <v>18</v>
      </c>
      <c r="G336" s="16" t="n">
        <f aca="false">IF($B336=-1, -1, VLOOKUP(D336,$Y$1:$Z$22,2))</f>
        <v>8</v>
      </c>
      <c r="H336" s="16" t="str">
        <f aca="false">_xlfn.UNICHAR(((F336*21)+G336)*28+44032)</f>
        <v>호</v>
      </c>
      <c r="I336" s="16" t="n">
        <f aca="false">IF(B336=-1, 1, COUNTIF($A$2:$A$3000, H336))</f>
        <v>1</v>
      </c>
      <c r="J336" s="10" t="str">
        <f aca="false">_xlfn.CONCAT(A336, ",",H336,",",I336)</f>
        <v>넝,호,1</v>
      </c>
      <c r="K336" s="16" t="n">
        <f aca="false">IF(B336=-1,-1,VLOOKUP(C336,$T$1:$V$20,3))</f>
        <v>3</v>
      </c>
      <c r="L336" s="16" t="n">
        <f aca="false">IF(B336=-1,-1,VLOOKUP(D336,$Y$1:$AA$22,3))</f>
        <v>4</v>
      </c>
      <c r="N336" s="10" t="str">
        <f aca="false">_xlfn.UNICHAR(((C336*21)+G336)*28+44032)</f>
        <v>노</v>
      </c>
      <c r="O336" s="10" t="str">
        <f aca="false">_xlfn.UNICHAR(((F336*21)+D336)*28+44032)</f>
        <v>허</v>
      </c>
      <c r="P336" s="12" t="n">
        <f aca="false">COUNTIF($A$2:$A$3000, N336) + COUNTIF($A$2:$A$3000, O336)</f>
        <v>2</v>
      </c>
      <c r="Q336" s="16" t="str">
        <f aca="false">IF(OR(B336=-1,I336=0, P336&lt;&gt;2), "albhed_dummy", _xlfn.CONCAT("albhed ", RIGHT("  " &amp; K336,2),", ", RIGHT("  " &amp; L336,2), ", " ,"""",H336,""", ", """",N336,""", ","""",O336,""""," ; ", A336))</f>
        <v>albhed  3,  4, "호", "노", "허" ; 넝</v>
      </c>
    </row>
    <row r="337" customFormat="false" ht="17.9" hidden="false" customHeight="true" outlineLevel="0" collapsed="false">
      <c r="A337" s="16" t="s">
        <v>1215</v>
      </c>
      <c r="B337" s="16" t="n">
        <f aca="false">IF(_xlfn.UNICODE(A337)&lt;44032,-1,_xlfn.UNICODE(A337)-44032)</f>
        <v>1315</v>
      </c>
      <c r="C337" s="16" t="n">
        <f aca="false">IF(B337=-1,-1,INT((B337/28)/21))</f>
        <v>2</v>
      </c>
      <c r="D337" s="16" t="n">
        <f aca="false">IF(B337=-1, -1, MOD(INT(B337/28),21))</f>
        <v>4</v>
      </c>
      <c r="E337" s="16" t="n">
        <f aca="false">IF(B337=-1, -1, VLOOKUP(MOD(B337,28), $T$24:$U$52,2))</f>
        <v>19</v>
      </c>
      <c r="F337" s="16" t="n">
        <f aca="false">IF($B337=-1, -1, VLOOKUP(C337,$T$1:$V$20, 2))</f>
        <v>18</v>
      </c>
      <c r="G337" s="16" t="n">
        <f aca="false">IF($B337=-1, -1, VLOOKUP(D337,$Y$1:$Z$22,2))</f>
        <v>8</v>
      </c>
      <c r="H337" s="16" t="str">
        <f aca="false">_xlfn.UNICHAR(((F337*21)+G337)*28+44032)</f>
        <v>호</v>
      </c>
      <c r="I337" s="16" t="n">
        <f aca="false">IF(B337=-1, 1, COUNTIF($A$2:$A$3000, H337))</f>
        <v>1</v>
      </c>
      <c r="J337" s="10" t="str">
        <f aca="false">_xlfn.CONCAT(A337, ",",H337,",",I337)</f>
        <v>넣,호,1</v>
      </c>
      <c r="K337" s="16" t="n">
        <f aca="false">IF(B337=-1,-1,VLOOKUP(C337,$T$1:$V$20,3))</f>
        <v>3</v>
      </c>
      <c r="L337" s="16" t="n">
        <f aca="false">IF(B337=-1,-1,VLOOKUP(D337,$Y$1:$AA$22,3))</f>
        <v>4</v>
      </c>
      <c r="N337" s="10" t="str">
        <f aca="false">_xlfn.UNICHAR(((C337*21)+G337)*28+44032)</f>
        <v>노</v>
      </c>
      <c r="O337" s="10" t="str">
        <f aca="false">_xlfn.UNICHAR(((F337*21)+D337)*28+44032)</f>
        <v>허</v>
      </c>
      <c r="P337" s="12" t="n">
        <f aca="false">COUNTIF($A$2:$A$3000, N337) + COUNTIF($A$2:$A$3000, O337)</f>
        <v>2</v>
      </c>
      <c r="Q337" s="16" t="str">
        <f aca="false">IF(OR(B337=-1,I337=0, P337&lt;&gt;2), "albhed_dummy", _xlfn.CONCAT("albhed ", RIGHT("  " &amp; K337,2),", ", RIGHT("  " &amp; L337,2), ", " ,"""",H337,""", ", """",N337,""", ","""",O337,""""," ; ", A337))</f>
        <v>albhed  3,  4, "호", "노", "허" ; 넣</v>
      </c>
    </row>
    <row r="338" customFormat="false" ht="17.9" hidden="false" customHeight="true" outlineLevel="0" collapsed="false">
      <c r="A338" s="16" t="s">
        <v>1216</v>
      </c>
      <c r="B338" s="16" t="n">
        <f aca="false">IF(_xlfn.UNICODE(A338)&lt;44032,-1,_xlfn.UNICODE(A338)-44032)</f>
        <v>1316</v>
      </c>
      <c r="C338" s="16" t="n">
        <f aca="false">IF(B338=-1,-1,INT((B338/28)/21))</f>
        <v>2</v>
      </c>
      <c r="D338" s="16" t="n">
        <f aca="false">IF(B338=-1, -1, MOD(INT(B338/28),21))</f>
        <v>5</v>
      </c>
      <c r="E338" s="16" t="n">
        <f aca="false">IF(B338=-1, -1, VLOOKUP(MOD(B338,28), $T$24:$U$52,2))</f>
        <v>0</v>
      </c>
      <c r="F338" s="16" t="n">
        <f aca="false">IF($B338=-1, -1, VLOOKUP(C338,$T$1:$V$20, 2))</f>
        <v>18</v>
      </c>
      <c r="G338" s="16" t="n">
        <f aca="false">IF($B338=-1, -1, VLOOKUP(D338,$Y$1:$Z$22,2))</f>
        <v>18</v>
      </c>
      <c r="H338" s="16" t="str">
        <f aca="false">_xlfn.UNICHAR(((F338*21)+G338)*28+44032)</f>
        <v>흐</v>
      </c>
      <c r="I338" s="16" t="n">
        <f aca="false">IF(B338=-1, 1, COUNTIF($A$2:$A$3000, H338))</f>
        <v>1</v>
      </c>
      <c r="J338" s="10" t="str">
        <f aca="false">_xlfn.CONCAT(A338, ",",H338,",",I338)</f>
        <v>네,흐,1</v>
      </c>
      <c r="K338" s="16" t="n">
        <f aca="false">IF(B338=-1,-1,VLOOKUP(C338,$T$1:$V$20,3))</f>
        <v>3</v>
      </c>
      <c r="L338" s="16" t="n">
        <f aca="false">IF(B338=-1,-1,VLOOKUP(D338,$Y$1:$AA$22,3))</f>
        <v>10</v>
      </c>
      <c r="N338" s="10" t="str">
        <f aca="false">_xlfn.UNICHAR(((C338*21)+G338)*28+44032)</f>
        <v>느</v>
      </c>
      <c r="O338" s="10" t="str">
        <f aca="false">_xlfn.UNICHAR(((F338*21)+D338)*28+44032)</f>
        <v>헤</v>
      </c>
      <c r="P338" s="12" t="n">
        <f aca="false">COUNTIF($A$2:$A$3000, N338) + COUNTIF($A$2:$A$3000, O338)</f>
        <v>2</v>
      </c>
      <c r="Q338" s="16" t="str">
        <f aca="false">IF(OR(B338=-1,I338=0, P338&lt;&gt;2), "albhed_dummy", _xlfn.CONCAT("albhed ", RIGHT("  " &amp; K338,2),", ", RIGHT("  " &amp; L338,2), ", " ,"""",H338,""", ", """",N338,""", ","""",O338,""""," ; ", A338))</f>
        <v>albhed  3, 10, "흐", "느", "헤" ; 네</v>
      </c>
    </row>
    <row r="339" customFormat="false" ht="17.9" hidden="false" customHeight="true" outlineLevel="0" collapsed="false">
      <c r="A339" s="16" t="s">
        <v>1217</v>
      </c>
      <c r="B339" s="16" t="n">
        <f aca="false">IF(_xlfn.UNICODE(A339)&lt;44032,-1,_xlfn.UNICODE(A339)-44032)</f>
        <v>1317</v>
      </c>
      <c r="C339" s="16" t="n">
        <f aca="false">IF(B339=-1,-1,INT((B339/28)/21))</f>
        <v>2</v>
      </c>
      <c r="D339" s="16" t="n">
        <f aca="false">IF(B339=-1, -1, MOD(INT(B339/28),21))</f>
        <v>5</v>
      </c>
      <c r="E339" s="16" t="n">
        <f aca="false">IF(B339=-1, -1, VLOOKUP(MOD(B339,28), $T$24:$U$52,2))</f>
        <v>1</v>
      </c>
      <c r="F339" s="16" t="n">
        <f aca="false">IF($B339=-1, -1, VLOOKUP(C339,$T$1:$V$20, 2))</f>
        <v>18</v>
      </c>
      <c r="G339" s="16" t="n">
        <f aca="false">IF($B339=-1, -1, VLOOKUP(D339,$Y$1:$Z$22,2))</f>
        <v>18</v>
      </c>
      <c r="H339" s="16" t="str">
        <f aca="false">_xlfn.UNICHAR(((F339*21)+G339)*28+44032)</f>
        <v>흐</v>
      </c>
      <c r="I339" s="16" t="n">
        <f aca="false">IF(B339=-1, 1, COUNTIF($A$2:$A$3000, H339))</f>
        <v>1</v>
      </c>
      <c r="J339" s="10" t="str">
        <f aca="false">_xlfn.CONCAT(A339, ",",H339,",",I339)</f>
        <v>넥,흐,1</v>
      </c>
      <c r="K339" s="16" t="n">
        <f aca="false">IF(B339=-1,-1,VLOOKUP(C339,$T$1:$V$20,3))</f>
        <v>3</v>
      </c>
      <c r="L339" s="16" t="n">
        <f aca="false">IF(B339=-1,-1,VLOOKUP(D339,$Y$1:$AA$22,3))</f>
        <v>10</v>
      </c>
      <c r="N339" s="10" t="str">
        <f aca="false">_xlfn.UNICHAR(((C339*21)+G339)*28+44032)</f>
        <v>느</v>
      </c>
      <c r="O339" s="10" t="str">
        <f aca="false">_xlfn.UNICHAR(((F339*21)+D339)*28+44032)</f>
        <v>헤</v>
      </c>
      <c r="P339" s="12" t="n">
        <f aca="false">COUNTIF($A$2:$A$3000, N339) + COUNTIF($A$2:$A$3000, O339)</f>
        <v>2</v>
      </c>
      <c r="Q339" s="16" t="str">
        <f aca="false">IF(OR(B339=-1,I339=0, P339&lt;&gt;2), "albhed_dummy", _xlfn.CONCAT("albhed ", RIGHT("  " &amp; K339,2),", ", RIGHT("  " &amp; L339,2), ", " ,"""",H339,""", ", """",N339,""", ","""",O339,""""," ; ", A339))</f>
        <v>albhed  3, 10, "흐", "느", "헤" ; 넥</v>
      </c>
    </row>
    <row r="340" customFormat="false" ht="17.9" hidden="false" customHeight="true" outlineLevel="0" collapsed="false">
      <c r="A340" s="16" t="s">
        <v>1218</v>
      </c>
      <c r="B340" s="16" t="n">
        <f aca="false">IF(_xlfn.UNICODE(A340)&lt;44032,-1,_xlfn.UNICODE(A340)-44032)</f>
        <v>1320</v>
      </c>
      <c r="C340" s="16" t="n">
        <f aca="false">IF(B340=-1,-1,INT((B340/28)/21))</f>
        <v>2</v>
      </c>
      <c r="D340" s="16" t="n">
        <f aca="false">IF(B340=-1, -1, MOD(INT(B340/28),21))</f>
        <v>5</v>
      </c>
      <c r="E340" s="16" t="n">
        <f aca="false">IF(B340=-1, -1, VLOOKUP(MOD(B340,28), $T$24:$U$52,2))</f>
        <v>4</v>
      </c>
      <c r="F340" s="16" t="n">
        <f aca="false">IF($B340=-1, -1, VLOOKUP(C340,$T$1:$V$20, 2))</f>
        <v>18</v>
      </c>
      <c r="G340" s="16" t="n">
        <f aca="false">IF($B340=-1, -1, VLOOKUP(D340,$Y$1:$Z$22,2))</f>
        <v>18</v>
      </c>
      <c r="H340" s="16" t="str">
        <f aca="false">_xlfn.UNICHAR(((F340*21)+G340)*28+44032)</f>
        <v>흐</v>
      </c>
      <c r="I340" s="16" t="n">
        <f aca="false">IF(B340=-1, 1, COUNTIF($A$2:$A$3000, H340))</f>
        <v>1</v>
      </c>
      <c r="J340" s="10" t="str">
        <f aca="false">_xlfn.CONCAT(A340, ",",H340,",",I340)</f>
        <v>넨,흐,1</v>
      </c>
      <c r="K340" s="16" t="n">
        <f aca="false">IF(B340=-1,-1,VLOOKUP(C340,$T$1:$V$20,3))</f>
        <v>3</v>
      </c>
      <c r="L340" s="16" t="n">
        <f aca="false">IF(B340=-1,-1,VLOOKUP(D340,$Y$1:$AA$22,3))</f>
        <v>10</v>
      </c>
      <c r="N340" s="10" t="str">
        <f aca="false">_xlfn.UNICHAR(((C340*21)+G340)*28+44032)</f>
        <v>느</v>
      </c>
      <c r="O340" s="10" t="str">
        <f aca="false">_xlfn.UNICHAR(((F340*21)+D340)*28+44032)</f>
        <v>헤</v>
      </c>
      <c r="P340" s="12" t="n">
        <f aca="false">COUNTIF($A$2:$A$3000, N340) + COUNTIF($A$2:$A$3000, O340)</f>
        <v>2</v>
      </c>
      <c r="Q340" s="16" t="str">
        <f aca="false">IF(OR(B340=-1,I340=0, P340&lt;&gt;2), "albhed_dummy", _xlfn.CONCAT("albhed ", RIGHT("  " &amp; K340,2),", ", RIGHT("  " &amp; L340,2), ", " ,"""",H340,""", ", """",N340,""", ","""",O340,""""," ; ", A340))</f>
        <v>albhed  3, 10, "흐", "느", "헤" ; 넨</v>
      </c>
    </row>
    <row r="341" customFormat="false" ht="17.9" hidden="false" customHeight="true" outlineLevel="0" collapsed="false">
      <c r="A341" s="16" t="s">
        <v>1219</v>
      </c>
      <c r="B341" s="16" t="n">
        <f aca="false">IF(_xlfn.UNICODE(A341)&lt;44032,-1,_xlfn.UNICODE(A341)-44032)</f>
        <v>1324</v>
      </c>
      <c r="C341" s="16" t="n">
        <f aca="false">IF(B341=-1,-1,INT((B341/28)/21))</f>
        <v>2</v>
      </c>
      <c r="D341" s="16" t="n">
        <f aca="false">IF(B341=-1, -1, MOD(INT(B341/28),21))</f>
        <v>5</v>
      </c>
      <c r="E341" s="16" t="n">
        <f aca="false">IF(B341=-1, -1, VLOOKUP(MOD(B341,28), $T$24:$U$52,2))</f>
        <v>8</v>
      </c>
      <c r="F341" s="16" t="n">
        <f aca="false">IF($B341=-1, -1, VLOOKUP(C341,$T$1:$V$20, 2))</f>
        <v>18</v>
      </c>
      <c r="G341" s="16" t="n">
        <f aca="false">IF($B341=-1, -1, VLOOKUP(D341,$Y$1:$Z$22,2))</f>
        <v>18</v>
      </c>
      <c r="H341" s="16" t="str">
        <f aca="false">_xlfn.UNICHAR(((F341*21)+G341)*28+44032)</f>
        <v>흐</v>
      </c>
      <c r="I341" s="16" t="n">
        <f aca="false">IF(B341=-1, 1, COUNTIF($A$2:$A$3000, H341))</f>
        <v>1</v>
      </c>
      <c r="J341" s="10" t="str">
        <f aca="false">_xlfn.CONCAT(A341, ",",H341,",",I341)</f>
        <v>넬,흐,1</v>
      </c>
      <c r="K341" s="16" t="n">
        <f aca="false">IF(B341=-1,-1,VLOOKUP(C341,$T$1:$V$20,3))</f>
        <v>3</v>
      </c>
      <c r="L341" s="16" t="n">
        <f aca="false">IF(B341=-1,-1,VLOOKUP(D341,$Y$1:$AA$22,3))</f>
        <v>10</v>
      </c>
      <c r="N341" s="10" t="str">
        <f aca="false">_xlfn.UNICHAR(((C341*21)+G341)*28+44032)</f>
        <v>느</v>
      </c>
      <c r="O341" s="10" t="str">
        <f aca="false">_xlfn.UNICHAR(((F341*21)+D341)*28+44032)</f>
        <v>헤</v>
      </c>
      <c r="P341" s="12" t="n">
        <f aca="false">COUNTIF($A$2:$A$3000, N341) + COUNTIF($A$2:$A$3000, O341)</f>
        <v>2</v>
      </c>
      <c r="Q341" s="16" t="str">
        <f aca="false">IF(OR(B341=-1,I341=0, P341&lt;&gt;2), "albhed_dummy", _xlfn.CONCAT("albhed ", RIGHT("  " &amp; K341,2),", ", RIGHT("  " &amp; L341,2), ", " ,"""",H341,""", ", """",N341,""", ","""",O341,""""," ; ", A341))</f>
        <v>albhed  3, 10, "흐", "느", "헤" ; 넬</v>
      </c>
    </row>
    <row r="342" customFormat="false" ht="17.9" hidden="false" customHeight="true" outlineLevel="0" collapsed="false">
      <c r="A342" s="16" t="s">
        <v>1220</v>
      </c>
      <c r="B342" s="16" t="n">
        <f aca="false">IF(_xlfn.UNICODE(A342)&lt;44032,-1,_xlfn.UNICODE(A342)-44032)</f>
        <v>1332</v>
      </c>
      <c r="C342" s="16" t="n">
        <f aca="false">IF(B342=-1,-1,INT((B342/28)/21))</f>
        <v>2</v>
      </c>
      <c r="D342" s="16" t="n">
        <f aca="false">IF(B342=-1, -1, MOD(INT(B342/28),21))</f>
        <v>5</v>
      </c>
      <c r="E342" s="16" t="n">
        <f aca="false">IF(B342=-1, -1, VLOOKUP(MOD(B342,28), $T$24:$U$52,2))</f>
        <v>16</v>
      </c>
      <c r="F342" s="16" t="n">
        <f aca="false">IF($B342=-1, -1, VLOOKUP(C342,$T$1:$V$20, 2))</f>
        <v>18</v>
      </c>
      <c r="G342" s="16" t="n">
        <f aca="false">IF($B342=-1, -1, VLOOKUP(D342,$Y$1:$Z$22,2))</f>
        <v>18</v>
      </c>
      <c r="H342" s="16" t="str">
        <f aca="false">_xlfn.UNICHAR(((F342*21)+G342)*28+44032)</f>
        <v>흐</v>
      </c>
      <c r="I342" s="16" t="n">
        <f aca="false">IF(B342=-1, 1, COUNTIF($A$2:$A$3000, H342))</f>
        <v>1</v>
      </c>
      <c r="J342" s="10" t="str">
        <f aca="false">_xlfn.CONCAT(A342, ",",H342,",",I342)</f>
        <v>넴,흐,1</v>
      </c>
      <c r="K342" s="16" t="n">
        <f aca="false">IF(B342=-1,-1,VLOOKUP(C342,$T$1:$V$20,3))</f>
        <v>3</v>
      </c>
      <c r="L342" s="16" t="n">
        <f aca="false">IF(B342=-1,-1,VLOOKUP(D342,$Y$1:$AA$22,3))</f>
        <v>10</v>
      </c>
      <c r="N342" s="10" t="str">
        <f aca="false">_xlfn.UNICHAR(((C342*21)+G342)*28+44032)</f>
        <v>느</v>
      </c>
      <c r="O342" s="10" t="str">
        <f aca="false">_xlfn.UNICHAR(((F342*21)+D342)*28+44032)</f>
        <v>헤</v>
      </c>
      <c r="P342" s="12" t="n">
        <f aca="false">COUNTIF($A$2:$A$3000, N342) + COUNTIF($A$2:$A$3000, O342)</f>
        <v>2</v>
      </c>
      <c r="Q342" s="16" t="str">
        <f aca="false">IF(OR(B342=-1,I342=0, P342&lt;&gt;2), "albhed_dummy", _xlfn.CONCAT("albhed ", RIGHT("  " &amp; K342,2),", ", RIGHT("  " &amp; L342,2), ", " ,"""",H342,""", ", """",N342,""", ","""",O342,""""," ; ", A342))</f>
        <v>albhed  3, 10, "흐", "느", "헤" ; 넴</v>
      </c>
    </row>
    <row r="343" customFormat="false" ht="17.9" hidden="false" customHeight="true" outlineLevel="0" collapsed="false">
      <c r="A343" s="16" t="s">
        <v>1221</v>
      </c>
      <c r="B343" s="16" t="n">
        <f aca="false">IF(_xlfn.UNICODE(A343)&lt;44032,-1,_xlfn.UNICODE(A343)-44032)</f>
        <v>1333</v>
      </c>
      <c r="C343" s="16" t="n">
        <f aca="false">IF(B343=-1,-1,INT((B343/28)/21))</f>
        <v>2</v>
      </c>
      <c r="D343" s="16" t="n">
        <f aca="false">IF(B343=-1, -1, MOD(INT(B343/28),21))</f>
        <v>5</v>
      </c>
      <c r="E343" s="16" t="n">
        <f aca="false">IF(B343=-1, -1, VLOOKUP(MOD(B343,28), $T$24:$U$52,2))</f>
        <v>17</v>
      </c>
      <c r="F343" s="16" t="n">
        <f aca="false">IF($B343=-1, -1, VLOOKUP(C343,$T$1:$V$20, 2))</f>
        <v>18</v>
      </c>
      <c r="G343" s="16" t="n">
        <f aca="false">IF($B343=-1, -1, VLOOKUP(D343,$Y$1:$Z$22,2))</f>
        <v>18</v>
      </c>
      <c r="H343" s="16" t="str">
        <f aca="false">_xlfn.UNICHAR(((F343*21)+G343)*28+44032)</f>
        <v>흐</v>
      </c>
      <c r="I343" s="16" t="n">
        <f aca="false">IF(B343=-1, 1, COUNTIF($A$2:$A$3000, H343))</f>
        <v>1</v>
      </c>
      <c r="J343" s="10" t="str">
        <f aca="false">_xlfn.CONCAT(A343, ",",H343,",",I343)</f>
        <v>넵,흐,1</v>
      </c>
      <c r="K343" s="16" t="n">
        <f aca="false">IF(B343=-1,-1,VLOOKUP(C343,$T$1:$V$20,3))</f>
        <v>3</v>
      </c>
      <c r="L343" s="16" t="n">
        <f aca="false">IF(B343=-1,-1,VLOOKUP(D343,$Y$1:$AA$22,3))</f>
        <v>10</v>
      </c>
      <c r="N343" s="10" t="str">
        <f aca="false">_xlfn.UNICHAR(((C343*21)+G343)*28+44032)</f>
        <v>느</v>
      </c>
      <c r="O343" s="10" t="str">
        <f aca="false">_xlfn.UNICHAR(((F343*21)+D343)*28+44032)</f>
        <v>헤</v>
      </c>
      <c r="P343" s="12" t="n">
        <f aca="false">COUNTIF($A$2:$A$3000, N343) + COUNTIF($A$2:$A$3000, O343)</f>
        <v>2</v>
      </c>
      <c r="Q343" s="16" t="str">
        <f aca="false">IF(OR(B343=-1,I343=0, P343&lt;&gt;2), "albhed_dummy", _xlfn.CONCAT("albhed ", RIGHT("  " &amp; K343,2),", ", RIGHT("  " &amp; L343,2), ", " ,"""",H343,""", ", """",N343,""", ","""",O343,""""," ; ", A343))</f>
        <v>albhed  3, 10, "흐", "느", "헤" ; 넵</v>
      </c>
    </row>
    <row r="344" customFormat="false" ht="17.9" hidden="false" customHeight="true" outlineLevel="0" collapsed="false">
      <c r="A344" s="16" t="s">
        <v>1222</v>
      </c>
      <c r="B344" s="16" t="n">
        <f aca="false">IF(_xlfn.UNICODE(A344)&lt;44032,-1,_xlfn.UNICODE(A344)-44032)</f>
        <v>1335</v>
      </c>
      <c r="C344" s="16" t="n">
        <f aca="false">IF(B344=-1,-1,INT((B344/28)/21))</f>
        <v>2</v>
      </c>
      <c r="D344" s="16" t="n">
        <f aca="false">IF(B344=-1, -1, MOD(INT(B344/28),21))</f>
        <v>5</v>
      </c>
      <c r="E344" s="16" t="n">
        <f aca="false">IF(B344=-1, -1, VLOOKUP(MOD(B344,28), $T$24:$U$52,2))</f>
        <v>19</v>
      </c>
      <c r="F344" s="16" t="n">
        <f aca="false">IF($B344=-1, -1, VLOOKUP(C344,$T$1:$V$20, 2))</f>
        <v>18</v>
      </c>
      <c r="G344" s="16" t="n">
        <f aca="false">IF($B344=-1, -1, VLOOKUP(D344,$Y$1:$Z$22,2))</f>
        <v>18</v>
      </c>
      <c r="H344" s="16" t="str">
        <f aca="false">_xlfn.UNICHAR(((F344*21)+G344)*28+44032)</f>
        <v>흐</v>
      </c>
      <c r="I344" s="16" t="n">
        <f aca="false">IF(B344=-1, 1, COUNTIF($A$2:$A$3000, H344))</f>
        <v>1</v>
      </c>
      <c r="J344" s="10" t="str">
        <f aca="false">_xlfn.CONCAT(A344, ",",H344,",",I344)</f>
        <v>넷,흐,1</v>
      </c>
      <c r="K344" s="16" t="n">
        <f aca="false">IF(B344=-1,-1,VLOOKUP(C344,$T$1:$V$20,3))</f>
        <v>3</v>
      </c>
      <c r="L344" s="16" t="n">
        <f aca="false">IF(B344=-1,-1,VLOOKUP(D344,$Y$1:$AA$22,3))</f>
        <v>10</v>
      </c>
      <c r="N344" s="10" t="str">
        <f aca="false">_xlfn.UNICHAR(((C344*21)+G344)*28+44032)</f>
        <v>느</v>
      </c>
      <c r="O344" s="10" t="str">
        <f aca="false">_xlfn.UNICHAR(((F344*21)+D344)*28+44032)</f>
        <v>헤</v>
      </c>
      <c r="P344" s="12" t="n">
        <f aca="false">COUNTIF($A$2:$A$3000, N344) + COUNTIF($A$2:$A$3000, O344)</f>
        <v>2</v>
      </c>
      <c r="Q344" s="16" t="str">
        <f aca="false">IF(OR(B344=-1,I344=0, P344&lt;&gt;2), "albhed_dummy", _xlfn.CONCAT("albhed ", RIGHT("  " &amp; K344,2),", ", RIGHT("  " &amp; L344,2), ", " ,"""",H344,""", ", """",N344,""", ","""",O344,""""," ; ", A344))</f>
        <v>albhed  3, 10, "흐", "느", "헤" ; 넷</v>
      </c>
    </row>
    <row r="345" customFormat="false" ht="17.9" hidden="false" customHeight="true" outlineLevel="0" collapsed="false">
      <c r="A345" s="16" t="s">
        <v>1223</v>
      </c>
      <c r="B345" s="16" t="n">
        <f aca="false">IF(_xlfn.UNICODE(A345)&lt;44032,-1,_xlfn.UNICODE(A345)-44032)</f>
        <v>1336</v>
      </c>
      <c r="C345" s="16" t="n">
        <f aca="false">IF(B345=-1,-1,INT((B345/28)/21))</f>
        <v>2</v>
      </c>
      <c r="D345" s="16" t="n">
        <f aca="false">IF(B345=-1, -1, MOD(INT(B345/28),21))</f>
        <v>5</v>
      </c>
      <c r="E345" s="16" t="n">
        <f aca="false">IF(B345=-1, -1, VLOOKUP(MOD(B345,28), $T$24:$U$52,2))</f>
        <v>19</v>
      </c>
      <c r="F345" s="16" t="n">
        <f aca="false">IF($B345=-1, -1, VLOOKUP(C345,$T$1:$V$20, 2))</f>
        <v>18</v>
      </c>
      <c r="G345" s="16" t="n">
        <f aca="false">IF($B345=-1, -1, VLOOKUP(D345,$Y$1:$Z$22,2))</f>
        <v>18</v>
      </c>
      <c r="H345" s="16" t="str">
        <f aca="false">_xlfn.UNICHAR(((F345*21)+G345)*28+44032)</f>
        <v>흐</v>
      </c>
      <c r="I345" s="16" t="n">
        <f aca="false">IF(B345=-1, 1, COUNTIF($A$2:$A$3000, H345))</f>
        <v>1</v>
      </c>
      <c r="J345" s="10" t="str">
        <f aca="false">_xlfn.CONCAT(A345, ",",H345,",",I345)</f>
        <v>넸,흐,1</v>
      </c>
      <c r="K345" s="16" t="n">
        <f aca="false">IF(B345=-1,-1,VLOOKUP(C345,$T$1:$V$20,3))</f>
        <v>3</v>
      </c>
      <c r="L345" s="16" t="n">
        <f aca="false">IF(B345=-1,-1,VLOOKUP(D345,$Y$1:$AA$22,3))</f>
        <v>10</v>
      </c>
      <c r="N345" s="10" t="str">
        <f aca="false">_xlfn.UNICHAR(((C345*21)+G345)*28+44032)</f>
        <v>느</v>
      </c>
      <c r="O345" s="10" t="str">
        <f aca="false">_xlfn.UNICHAR(((F345*21)+D345)*28+44032)</f>
        <v>헤</v>
      </c>
      <c r="P345" s="12" t="n">
        <f aca="false">COUNTIF($A$2:$A$3000, N345) + COUNTIF($A$2:$A$3000, O345)</f>
        <v>2</v>
      </c>
      <c r="Q345" s="16" t="str">
        <f aca="false">IF(OR(B345=-1,I345=0, P345&lt;&gt;2), "albhed_dummy", _xlfn.CONCAT("albhed ", RIGHT("  " &amp; K345,2),", ", RIGHT("  " &amp; L345,2), ", " ,"""",H345,""", ", """",N345,""", ","""",O345,""""," ; ", A345))</f>
        <v>albhed  3, 10, "흐", "느", "헤" ; 넸</v>
      </c>
    </row>
    <row r="346" customFormat="false" ht="17.9" hidden="false" customHeight="true" outlineLevel="0" collapsed="false">
      <c r="A346" s="16" t="s">
        <v>1224</v>
      </c>
      <c r="B346" s="16" t="n">
        <f aca="false">IF(_xlfn.UNICODE(A346)&lt;44032,-1,_xlfn.UNICODE(A346)-44032)</f>
        <v>1337</v>
      </c>
      <c r="C346" s="16" t="n">
        <f aca="false">IF(B346=-1,-1,INT((B346/28)/21))</f>
        <v>2</v>
      </c>
      <c r="D346" s="16" t="n">
        <f aca="false">IF(B346=-1, -1, MOD(INT(B346/28),21))</f>
        <v>5</v>
      </c>
      <c r="E346" s="16" t="n">
        <f aca="false">IF(B346=-1, -1, VLOOKUP(MOD(B346,28), $T$24:$U$52,2))</f>
        <v>21</v>
      </c>
      <c r="F346" s="16" t="n">
        <f aca="false">IF($B346=-1, -1, VLOOKUP(C346,$T$1:$V$20, 2))</f>
        <v>18</v>
      </c>
      <c r="G346" s="16" t="n">
        <f aca="false">IF($B346=-1, -1, VLOOKUP(D346,$Y$1:$Z$22,2))</f>
        <v>18</v>
      </c>
      <c r="H346" s="16" t="str">
        <f aca="false">_xlfn.UNICHAR(((F346*21)+G346)*28+44032)</f>
        <v>흐</v>
      </c>
      <c r="I346" s="16" t="n">
        <f aca="false">IF(B346=-1, 1, COUNTIF($A$2:$A$3000, H346))</f>
        <v>1</v>
      </c>
      <c r="J346" s="10" t="str">
        <f aca="false">_xlfn.CONCAT(A346, ",",H346,",",I346)</f>
        <v>넹,흐,1</v>
      </c>
      <c r="K346" s="16" t="n">
        <f aca="false">IF(B346=-1,-1,VLOOKUP(C346,$T$1:$V$20,3))</f>
        <v>3</v>
      </c>
      <c r="L346" s="16" t="n">
        <f aca="false">IF(B346=-1,-1,VLOOKUP(D346,$Y$1:$AA$22,3))</f>
        <v>10</v>
      </c>
      <c r="N346" s="10" t="str">
        <f aca="false">_xlfn.UNICHAR(((C346*21)+G346)*28+44032)</f>
        <v>느</v>
      </c>
      <c r="O346" s="10" t="str">
        <f aca="false">_xlfn.UNICHAR(((F346*21)+D346)*28+44032)</f>
        <v>헤</v>
      </c>
      <c r="P346" s="12" t="n">
        <f aca="false">COUNTIF($A$2:$A$3000, N346) + COUNTIF($A$2:$A$3000, O346)</f>
        <v>2</v>
      </c>
      <c r="Q346" s="16" t="str">
        <f aca="false">IF(OR(B346=-1,I346=0, P346&lt;&gt;2), "albhed_dummy", _xlfn.CONCAT("albhed ", RIGHT("  " &amp; K346,2),", ", RIGHT("  " &amp; L346,2), ", " ,"""",H346,""", ", """",N346,""", ","""",O346,""""," ; ", A346))</f>
        <v>albhed  3, 10, "흐", "느", "헤" ; 넹</v>
      </c>
    </row>
    <row r="347" customFormat="false" ht="17.9" hidden="false" customHeight="true" outlineLevel="0" collapsed="false">
      <c r="A347" s="16" t="s">
        <v>1225</v>
      </c>
      <c r="B347" s="16" t="n">
        <f aca="false">IF(_xlfn.UNICODE(A347)&lt;44032,-1,_xlfn.UNICODE(A347)-44032)</f>
        <v>1344</v>
      </c>
      <c r="C347" s="16" t="n">
        <f aca="false">IF(B347=-1,-1,INT((B347/28)/21))</f>
        <v>2</v>
      </c>
      <c r="D347" s="16" t="n">
        <f aca="false">IF(B347=-1, -1, MOD(INT(B347/28),21))</f>
        <v>6</v>
      </c>
      <c r="E347" s="16" t="n">
        <f aca="false">IF(B347=-1, -1, VLOOKUP(MOD(B347,28), $T$24:$U$52,2))</f>
        <v>0</v>
      </c>
      <c r="F347" s="16" t="n">
        <f aca="false">IF($B347=-1, -1, VLOOKUP(C347,$T$1:$V$20, 2))</f>
        <v>18</v>
      </c>
      <c r="G347" s="16" t="n">
        <f aca="false">IF($B347=-1, -1, VLOOKUP(D347,$Y$1:$Z$22,2))</f>
        <v>12</v>
      </c>
      <c r="H347" s="16" t="str">
        <f aca="false">_xlfn.UNICHAR(((F347*21)+G347)*28+44032)</f>
        <v>효</v>
      </c>
      <c r="I347" s="16" t="n">
        <f aca="false">IF(B347=-1, 1, COUNTIF($A$2:$A$3000, H347))</f>
        <v>1</v>
      </c>
      <c r="J347" s="10" t="str">
        <f aca="false">_xlfn.CONCAT(A347, ",",H347,",",I347)</f>
        <v>녀,효,1</v>
      </c>
      <c r="K347" s="16" t="n">
        <f aca="false">IF(B347=-1,-1,VLOOKUP(C347,$T$1:$V$20,3))</f>
        <v>3</v>
      </c>
      <c r="L347" s="16" t="n">
        <f aca="false">IF(B347=-1,-1,VLOOKUP(D347,$Y$1:$AA$22,3))</f>
        <v>4</v>
      </c>
      <c r="N347" s="10" t="str">
        <f aca="false">_xlfn.UNICHAR(((C347*21)+G347)*28+44032)</f>
        <v>뇨</v>
      </c>
      <c r="O347" s="10" t="str">
        <f aca="false">_xlfn.UNICHAR(((F347*21)+D347)*28+44032)</f>
        <v>혀</v>
      </c>
      <c r="P347" s="12" t="n">
        <f aca="false">COUNTIF($A$2:$A$3000, N347) + COUNTIF($A$2:$A$3000, O347)</f>
        <v>2</v>
      </c>
      <c r="Q347" s="16" t="str">
        <f aca="false">IF(OR(B347=-1,I347=0, P347&lt;&gt;2), "albhed_dummy", _xlfn.CONCAT("albhed ", RIGHT("  " &amp; K347,2),", ", RIGHT("  " &amp; L347,2), ", " ,"""",H347,""", ", """",N347,""", ","""",O347,""""," ; ", A347))</f>
        <v>albhed  3,  4, "효", "뇨", "혀" ; 녀</v>
      </c>
    </row>
    <row r="348" customFormat="false" ht="17.9" hidden="false" customHeight="true" outlineLevel="0" collapsed="false">
      <c r="A348" s="16" t="s">
        <v>1226</v>
      </c>
      <c r="B348" s="16" t="n">
        <f aca="false">IF(_xlfn.UNICODE(A348)&lt;44032,-1,_xlfn.UNICODE(A348)-44032)</f>
        <v>1345</v>
      </c>
      <c r="C348" s="16" t="n">
        <f aca="false">IF(B348=-1,-1,INT((B348/28)/21))</f>
        <v>2</v>
      </c>
      <c r="D348" s="16" t="n">
        <f aca="false">IF(B348=-1, -1, MOD(INT(B348/28),21))</f>
        <v>6</v>
      </c>
      <c r="E348" s="16" t="n">
        <f aca="false">IF(B348=-1, -1, VLOOKUP(MOD(B348,28), $T$24:$U$52,2))</f>
        <v>1</v>
      </c>
      <c r="F348" s="16" t="n">
        <f aca="false">IF($B348=-1, -1, VLOOKUP(C348,$T$1:$V$20, 2))</f>
        <v>18</v>
      </c>
      <c r="G348" s="16" t="n">
        <f aca="false">IF($B348=-1, -1, VLOOKUP(D348,$Y$1:$Z$22,2))</f>
        <v>12</v>
      </c>
      <c r="H348" s="16" t="str">
        <f aca="false">_xlfn.UNICHAR(((F348*21)+G348)*28+44032)</f>
        <v>효</v>
      </c>
      <c r="I348" s="16" t="n">
        <f aca="false">IF(B348=-1, 1, COUNTIF($A$2:$A$3000, H348))</f>
        <v>1</v>
      </c>
      <c r="J348" s="10" t="str">
        <f aca="false">_xlfn.CONCAT(A348, ",",H348,",",I348)</f>
        <v>녁,효,1</v>
      </c>
      <c r="K348" s="16" t="n">
        <f aca="false">IF(B348=-1,-1,VLOOKUP(C348,$T$1:$V$20,3))</f>
        <v>3</v>
      </c>
      <c r="L348" s="16" t="n">
        <f aca="false">IF(B348=-1,-1,VLOOKUP(D348,$Y$1:$AA$22,3))</f>
        <v>4</v>
      </c>
      <c r="N348" s="10" t="str">
        <f aca="false">_xlfn.UNICHAR(((C348*21)+G348)*28+44032)</f>
        <v>뇨</v>
      </c>
      <c r="O348" s="10" t="str">
        <f aca="false">_xlfn.UNICHAR(((F348*21)+D348)*28+44032)</f>
        <v>혀</v>
      </c>
      <c r="P348" s="12" t="n">
        <f aca="false">COUNTIF($A$2:$A$3000, N348) + COUNTIF($A$2:$A$3000, O348)</f>
        <v>2</v>
      </c>
      <c r="Q348" s="16" t="str">
        <f aca="false">IF(OR(B348=-1,I348=0, P348&lt;&gt;2), "albhed_dummy", _xlfn.CONCAT("albhed ", RIGHT("  " &amp; K348,2),", ", RIGHT("  " &amp; L348,2), ", " ,"""",H348,""", ", """",N348,""", ","""",O348,""""," ; ", A348))</f>
        <v>albhed  3,  4, "효", "뇨", "혀" ; 녁</v>
      </c>
    </row>
    <row r="349" customFormat="false" ht="17.9" hidden="false" customHeight="true" outlineLevel="0" collapsed="false">
      <c r="A349" s="16" t="s">
        <v>1227</v>
      </c>
      <c r="B349" s="16" t="n">
        <f aca="false">IF(_xlfn.UNICODE(A349)&lt;44032,-1,_xlfn.UNICODE(A349)-44032)</f>
        <v>1348</v>
      </c>
      <c r="C349" s="16" t="n">
        <f aca="false">IF(B349=-1,-1,INT((B349/28)/21))</f>
        <v>2</v>
      </c>
      <c r="D349" s="16" t="n">
        <f aca="false">IF(B349=-1, -1, MOD(INT(B349/28),21))</f>
        <v>6</v>
      </c>
      <c r="E349" s="16" t="n">
        <f aca="false">IF(B349=-1, -1, VLOOKUP(MOD(B349,28), $T$24:$U$52,2))</f>
        <v>4</v>
      </c>
      <c r="F349" s="16" t="n">
        <f aca="false">IF($B349=-1, -1, VLOOKUP(C349,$T$1:$V$20, 2))</f>
        <v>18</v>
      </c>
      <c r="G349" s="16" t="n">
        <f aca="false">IF($B349=-1, -1, VLOOKUP(D349,$Y$1:$Z$22,2))</f>
        <v>12</v>
      </c>
      <c r="H349" s="16" t="str">
        <f aca="false">_xlfn.UNICHAR(((F349*21)+G349)*28+44032)</f>
        <v>효</v>
      </c>
      <c r="I349" s="16" t="n">
        <f aca="false">IF(B349=-1, 1, COUNTIF($A$2:$A$3000, H349))</f>
        <v>1</v>
      </c>
      <c r="J349" s="10" t="str">
        <f aca="false">_xlfn.CONCAT(A349, ",",H349,",",I349)</f>
        <v>년,효,1</v>
      </c>
      <c r="K349" s="16" t="n">
        <f aca="false">IF(B349=-1,-1,VLOOKUP(C349,$T$1:$V$20,3))</f>
        <v>3</v>
      </c>
      <c r="L349" s="16" t="n">
        <f aca="false">IF(B349=-1,-1,VLOOKUP(D349,$Y$1:$AA$22,3))</f>
        <v>4</v>
      </c>
      <c r="N349" s="10" t="str">
        <f aca="false">_xlfn.UNICHAR(((C349*21)+G349)*28+44032)</f>
        <v>뇨</v>
      </c>
      <c r="O349" s="10" t="str">
        <f aca="false">_xlfn.UNICHAR(((F349*21)+D349)*28+44032)</f>
        <v>혀</v>
      </c>
      <c r="P349" s="12" t="n">
        <f aca="false">COUNTIF($A$2:$A$3000, N349) + COUNTIF($A$2:$A$3000, O349)</f>
        <v>2</v>
      </c>
      <c r="Q349" s="16" t="str">
        <f aca="false">IF(OR(B349=-1,I349=0, P349&lt;&gt;2), "albhed_dummy", _xlfn.CONCAT("albhed ", RIGHT("  " &amp; K349,2),", ", RIGHT("  " &amp; L349,2), ", " ,"""",H349,""", ", """",N349,""", ","""",O349,""""," ; ", A349))</f>
        <v>albhed  3,  4, "효", "뇨", "혀" ; 년</v>
      </c>
    </row>
    <row r="350" customFormat="false" ht="17.9" hidden="false" customHeight="true" outlineLevel="0" collapsed="false">
      <c r="A350" s="16" t="s">
        <v>1228</v>
      </c>
      <c r="B350" s="16" t="n">
        <f aca="false">IF(_xlfn.UNICODE(A350)&lt;44032,-1,_xlfn.UNICODE(A350)-44032)</f>
        <v>1352</v>
      </c>
      <c r="C350" s="16" t="n">
        <f aca="false">IF(B350=-1,-1,INT((B350/28)/21))</f>
        <v>2</v>
      </c>
      <c r="D350" s="16" t="n">
        <f aca="false">IF(B350=-1, -1, MOD(INT(B350/28),21))</f>
        <v>6</v>
      </c>
      <c r="E350" s="16" t="n">
        <f aca="false">IF(B350=-1, -1, VLOOKUP(MOD(B350,28), $T$24:$U$52,2))</f>
        <v>8</v>
      </c>
      <c r="F350" s="16" t="n">
        <f aca="false">IF($B350=-1, -1, VLOOKUP(C350,$T$1:$V$20, 2))</f>
        <v>18</v>
      </c>
      <c r="G350" s="16" t="n">
        <f aca="false">IF($B350=-1, -1, VLOOKUP(D350,$Y$1:$Z$22,2))</f>
        <v>12</v>
      </c>
      <c r="H350" s="16" t="str">
        <f aca="false">_xlfn.UNICHAR(((F350*21)+G350)*28+44032)</f>
        <v>효</v>
      </c>
      <c r="I350" s="16" t="n">
        <f aca="false">IF(B350=-1, 1, COUNTIF($A$2:$A$3000, H350))</f>
        <v>1</v>
      </c>
      <c r="J350" s="10" t="str">
        <f aca="false">_xlfn.CONCAT(A350, ",",H350,",",I350)</f>
        <v>녈,효,1</v>
      </c>
      <c r="K350" s="16" t="n">
        <f aca="false">IF(B350=-1,-1,VLOOKUP(C350,$T$1:$V$20,3))</f>
        <v>3</v>
      </c>
      <c r="L350" s="16" t="n">
        <f aca="false">IF(B350=-1,-1,VLOOKUP(D350,$Y$1:$AA$22,3))</f>
        <v>4</v>
      </c>
      <c r="N350" s="10" t="str">
        <f aca="false">_xlfn.UNICHAR(((C350*21)+G350)*28+44032)</f>
        <v>뇨</v>
      </c>
      <c r="O350" s="10" t="str">
        <f aca="false">_xlfn.UNICHAR(((F350*21)+D350)*28+44032)</f>
        <v>혀</v>
      </c>
      <c r="P350" s="12" t="n">
        <f aca="false">COUNTIF($A$2:$A$3000, N350) + COUNTIF($A$2:$A$3000, O350)</f>
        <v>2</v>
      </c>
      <c r="Q350" s="16" t="str">
        <f aca="false">IF(OR(B350=-1,I350=0, P350&lt;&gt;2), "albhed_dummy", _xlfn.CONCAT("albhed ", RIGHT("  " &amp; K350,2),", ", RIGHT("  " &amp; L350,2), ", " ,"""",H350,""", ", """",N350,""", ","""",O350,""""," ; ", A350))</f>
        <v>albhed  3,  4, "효", "뇨", "혀" ; 녈</v>
      </c>
    </row>
    <row r="351" customFormat="false" ht="17.9" hidden="false" customHeight="true" outlineLevel="0" collapsed="false">
      <c r="A351" s="16" t="s">
        <v>1229</v>
      </c>
      <c r="B351" s="16" t="n">
        <f aca="false">IF(_xlfn.UNICODE(A351)&lt;44032,-1,_xlfn.UNICODE(A351)-44032)</f>
        <v>1360</v>
      </c>
      <c r="C351" s="16" t="n">
        <f aca="false">IF(B351=-1,-1,INT((B351/28)/21))</f>
        <v>2</v>
      </c>
      <c r="D351" s="16" t="n">
        <f aca="false">IF(B351=-1, -1, MOD(INT(B351/28),21))</f>
        <v>6</v>
      </c>
      <c r="E351" s="16" t="n">
        <f aca="false">IF(B351=-1, -1, VLOOKUP(MOD(B351,28), $T$24:$U$52,2))</f>
        <v>16</v>
      </c>
      <c r="F351" s="16" t="n">
        <f aca="false">IF($B351=-1, -1, VLOOKUP(C351,$T$1:$V$20, 2))</f>
        <v>18</v>
      </c>
      <c r="G351" s="16" t="n">
        <f aca="false">IF($B351=-1, -1, VLOOKUP(D351,$Y$1:$Z$22,2))</f>
        <v>12</v>
      </c>
      <c r="H351" s="16" t="str">
        <f aca="false">_xlfn.UNICHAR(((F351*21)+G351)*28+44032)</f>
        <v>효</v>
      </c>
      <c r="I351" s="16" t="n">
        <f aca="false">IF(B351=-1, 1, COUNTIF($A$2:$A$3000, H351))</f>
        <v>1</v>
      </c>
      <c r="J351" s="10" t="str">
        <f aca="false">_xlfn.CONCAT(A351, ",",H351,",",I351)</f>
        <v>념,효,1</v>
      </c>
      <c r="K351" s="16" t="n">
        <f aca="false">IF(B351=-1,-1,VLOOKUP(C351,$T$1:$V$20,3))</f>
        <v>3</v>
      </c>
      <c r="L351" s="16" t="n">
        <f aca="false">IF(B351=-1,-1,VLOOKUP(D351,$Y$1:$AA$22,3))</f>
        <v>4</v>
      </c>
      <c r="N351" s="10" t="str">
        <f aca="false">_xlfn.UNICHAR(((C351*21)+G351)*28+44032)</f>
        <v>뇨</v>
      </c>
      <c r="O351" s="10" t="str">
        <f aca="false">_xlfn.UNICHAR(((F351*21)+D351)*28+44032)</f>
        <v>혀</v>
      </c>
      <c r="P351" s="12" t="n">
        <f aca="false">COUNTIF($A$2:$A$3000, N351) + COUNTIF($A$2:$A$3000, O351)</f>
        <v>2</v>
      </c>
      <c r="Q351" s="16" t="str">
        <f aca="false">IF(OR(B351=-1,I351=0, P351&lt;&gt;2), "albhed_dummy", _xlfn.CONCAT("albhed ", RIGHT("  " &amp; K351,2),", ", RIGHT("  " &amp; L351,2), ", " ,"""",H351,""", ", """",N351,""", ","""",O351,""""," ; ", A351))</f>
        <v>albhed  3,  4, "효", "뇨", "혀" ; 념</v>
      </c>
    </row>
    <row r="352" customFormat="false" ht="17.9" hidden="false" customHeight="true" outlineLevel="0" collapsed="false">
      <c r="A352" s="16" t="s">
        <v>1230</v>
      </c>
      <c r="B352" s="16" t="n">
        <f aca="false">IF(_xlfn.UNICODE(A352)&lt;44032,-1,_xlfn.UNICODE(A352)-44032)</f>
        <v>1361</v>
      </c>
      <c r="C352" s="16" t="n">
        <f aca="false">IF(B352=-1,-1,INT((B352/28)/21))</f>
        <v>2</v>
      </c>
      <c r="D352" s="16" t="n">
        <f aca="false">IF(B352=-1, -1, MOD(INT(B352/28),21))</f>
        <v>6</v>
      </c>
      <c r="E352" s="16" t="n">
        <f aca="false">IF(B352=-1, -1, VLOOKUP(MOD(B352,28), $T$24:$U$52,2))</f>
        <v>17</v>
      </c>
      <c r="F352" s="16" t="n">
        <f aca="false">IF($B352=-1, -1, VLOOKUP(C352,$T$1:$V$20, 2))</f>
        <v>18</v>
      </c>
      <c r="G352" s="16" t="n">
        <f aca="false">IF($B352=-1, -1, VLOOKUP(D352,$Y$1:$Z$22,2))</f>
        <v>12</v>
      </c>
      <c r="H352" s="16" t="str">
        <f aca="false">_xlfn.UNICHAR(((F352*21)+G352)*28+44032)</f>
        <v>효</v>
      </c>
      <c r="I352" s="16" t="n">
        <f aca="false">IF(B352=-1, 1, COUNTIF($A$2:$A$3000, H352))</f>
        <v>1</v>
      </c>
      <c r="J352" s="10" t="str">
        <f aca="false">_xlfn.CONCAT(A352, ",",H352,",",I352)</f>
        <v>녑,효,1</v>
      </c>
      <c r="K352" s="16" t="n">
        <f aca="false">IF(B352=-1,-1,VLOOKUP(C352,$T$1:$V$20,3))</f>
        <v>3</v>
      </c>
      <c r="L352" s="16" t="n">
        <f aca="false">IF(B352=-1,-1,VLOOKUP(D352,$Y$1:$AA$22,3))</f>
        <v>4</v>
      </c>
      <c r="N352" s="10" t="str">
        <f aca="false">_xlfn.UNICHAR(((C352*21)+G352)*28+44032)</f>
        <v>뇨</v>
      </c>
      <c r="O352" s="10" t="str">
        <f aca="false">_xlfn.UNICHAR(((F352*21)+D352)*28+44032)</f>
        <v>혀</v>
      </c>
      <c r="P352" s="12" t="n">
        <f aca="false">COUNTIF($A$2:$A$3000, N352) + COUNTIF($A$2:$A$3000, O352)</f>
        <v>2</v>
      </c>
      <c r="Q352" s="16" t="str">
        <f aca="false">IF(OR(B352=-1,I352=0, P352&lt;&gt;2), "albhed_dummy", _xlfn.CONCAT("albhed ", RIGHT("  " &amp; K352,2),", ", RIGHT("  " &amp; L352,2), ", " ,"""",H352,""", ", """",N352,""", ","""",O352,""""," ; ", A352))</f>
        <v>albhed  3,  4, "효", "뇨", "혀" ; 녑</v>
      </c>
    </row>
    <row r="353" customFormat="false" ht="17.9" hidden="false" customHeight="true" outlineLevel="0" collapsed="false">
      <c r="A353" s="16" t="s">
        <v>1231</v>
      </c>
      <c r="B353" s="16" t="n">
        <f aca="false">IF(_xlfn.UNICODE(A353)&lt;44032,-1,_xlfn.UNICODE(A353)-44032)</f>
        <v>1364</v>
      </c>
      <c r="C353" s="16" t="n">
        <f aca="false">IF(B353=-1,-1,INT((B353/28)/21))</f>
        <v>2</v>
      </c>
      <c r="D353" s="16" t="n">
        <f aca="false">IF(B353=-1, -1, MOD(INT(B353/28),21))</f>
        <v>6</v>
      </c>
      <c r="E353" s="16" t="n">
        <f aca="false">IF(B353=-1, -1, VLOOKUP(MOD(B353,28), $T$24:$U$52,2))</f>
        <v>19</v>
      </c>
      <c r="F353" s="16" t="n">
        <f aca="false">IF($B353=-1, -1, VLOOKUP(C353,$T$1:$V$20, 2))</f>
        <v>18</v>
      </c>
      <c r="G353" s="16" t="n">
        <f aca="false">IF($B353=-1, -1, VLOOKUP(D353,$Y$1:$Z$22,2))</f>
        <v>12</v>
      </c>
      <c r="H353" s="16" t="str">
        <f aca="false">_xlfn.UNICHAR(((F353*21)+G353)*28+44032)</f>
        <v>효</v>
      </c>
      <c r="I353" s="16" t="n">
        <f aca="false">IF(B353=-1, 1, COUNTIF($A$2:$A$3000, H353))</f>
        <v>1</v>
      </c>
      <c r="J353" s="10" t="str">
        <f aca="false">_xlfn.CONCAT(A353, ",",H353,",",I353)</f>
        <v>녔,효,1</v>
      </c>
      <c r="K353" s="16" t="n">
        <f aca="false">IF(B353=-1,-1,VLOOKUP(C353,$T$1:$V$20,3))</f>
        <v>3</v>
      </c>
      <c r="L353" s="16" t="n">
        <f aca="false">IF(B353=-1,-1,VLOOKUP(D353,$Y$1:$AA$22,3))</f>
        <v>4</v>
      </c>
      <c r="N353" s="10" t="str">
        <f aca="false">_xlfn.UNICHAR(((C353*21)+G353)*28+44032)</f>
        <v>뇨</v>
      </c>
      <c r="O353" s="10" t="str">
        <f aca="false">_xlfn.UNICHAR(((F353*21)+D353)*28+44032)</f>
        <v>혀</v>
      </c>
      <c r="P353" s="12" t="n">
        <f aca="false">COUNTIF($A$2:$A$3000, N353) + COUNTIF($A$2:$A$3000, O353)</f>
        <v>2</v>
      </c>
      <c r="Q353" s="16" t="str">
        <f aca="false">IF(OR(B353=-1,I353=0, P353&lt;&gt;2), "albhed_dummy", _xlfn.CONCAT("albhed ", RIGHT("  " &amp; K353,2),", ", RIGHT("  " &amp; L353,2), ", " ,"""",H353,""", ", """",N353,""", ","""",O353,""""," ; ", A353))</f>
        <v>albhed  3,  4, "효", "뇨", "혀" ; 녔</v>
      </c>
    </row>
    <row r="354" customFormat="false" ht="17.9" hidden="false" customHeight="true" outlineLevel="0" collapsed="false">
      <c r="A354" s="16" t="s">
        <v>809</v>
      </c>
      <c r="B354" s="16" t="n">
        <f aca="false">IF(_xlfn.UNICODE(A354)&lt;44032,-1,_xlfn.UNICODE(A354)-44032)</f>
        <v>1365</v>
      </c>
      <c r="C354" s="16" t="n">
        <f aca="false">IF(B354=-1,-1,INT((B354/28)/21))</f>
        <v>2</v>
      </c>
      <c r="D354" s="16" t="n">
        <f aca="false">IF(B354=-1, -1, MOD(INT(B354/28),21))</f>
        <v>6</v>
      </c>
      <c r="E354" s="16" t="n">
        <f aca="false">IF(B354=-1, -1, VLOOKUP(MOD(B354,28), $T$24:$U$52,2))</f>
        <v>21</v>
      </c>
      <c r="F354" s="16" t="n">
        <f aca="false">IF($B354=-1, -1, VLOOKUP(C354,$T$1:$V$20, 2))</f>
        <v>18</v>
      </c>
      <c r="G354" s="16" t="n">
        <f aca="false">IF($B354=-1, -1, VLOOKUP(D354,$Y$1:$Z$22,2))</f>
        <v>12</v>
      </c>
      <c r="H354" s="16" t="str">
        <f aca="false">_xlfn.UNICHAR(((F354*21)+G354)*28+44032)</f>
        <v>효</v>
      </c>
      <c r="I354" s="16" t="n">
        <f aca="false">IF(B354=-1, 1, COUNTIF($A$2:$A$3000, H354))</f>
        <v>1</v>
      </c>
      <c r="J354" s="10" t="str">
        <f aca="false">_xlfn.CONCAT(A354, ",",H354,",",I354)</f>
        <v>녕,효,1</v>
      </c>
      <c r="K354" s="16" t="n">
        <f aca="false">IF(B354=-1,-1,VLOOKUP(C354,$T$1:$V$20,3))</f>
        <v>3</v>
      </c>
      <c r="L354" s="16" t="n">
        <f aca="false">IF(B354=-1,-1,VLOOKUP(D354,$Y$1:$AA$22,3))</f>
        <v>4</v>
      </c>
      <c r="N354" s="10" t="str">
        <f aca="false">_xlfn.UNICHAR(((C354*21)+G354)*28+44032)</f>
        <v>뇨</v>
      </c>
      <c r="O354" s="10" t="str">
        <f aca="false">_xlfn.UNICHAR(((F354*21)+D354)*28+44032)</f>
        <v>혀</v>
      </c>
      <c r="P354" s="12" t="n">
        <f aca="false">COUNTIF($A$2:$A$3000, N354) + COUNTIF($A$2:$A$3000, O354)</f>
        <v>2</v>
      </c>
      <c r="Q354" s="16" t="str">
        <f aca="false">IF(OR(B354=-1,I354=0, P354&lt;&gt;2), "albhed_dummy", _xlfn.CONCAT("albhed ", RIGHT("  " &amp; K354,2),", ", RIGHT("  " &amp; L354,2), ", " ,"""",H354,""", ", """",N354,""", ","""",O354,""""," ; ", A354))</f>
        <v>albhed  3,  4, "효", "뇨", "혀" ; 녕</v>
      </c>
    </row>
    <row r="355" customFormat="false" ht="17.9" hidden="false" customHeight="true" outlineLevel="0" collapsed="false">
      <c r="A355" s="16" t="s">
        <v>1232</v>
      </c>
      <c r="B355" s="16" t="n">
        <f aca="false">IF(_xlfn.UNICODE(A355)&lt;44032,-1,_xlfn.UNICODE(A355)-44032)</f>
        <v>1368</v>
      </c>
      <c r="C355" s="16" t="n">
        <f aca="false">IF(B355=-1,-1,INT((B355/28)/21))</f>
        <v>2</v>
      </c>
      <c r="D355" s="16" t="n">
        <f aca="false">IF(B355=-1, -1, MOD(INT(B355/28),21))</f>
        <v>6</v>
      </c>
      <c r="E355" s="16" t="n">
        <f aca="false">IF(B355=-1, -1, VLOOKUP(MOD(B355,28), $T$24:$U$52,2))</f>
        <v>1</v>
      </c>
      <c r="F355" s="16" t="n">
        <f aca="false">IF($B355=-1, -1, VLOOKUP(C355,$T$1:$V$20, 2))</f>
        <v>18</v>
      </c>
      <c r="G355" s="16" t="n">
        <f aca="false">IF($B355=-1, -1, VLOOKUP(D355,$Y$1:$Z$22,2))</f>
        <v>12</v>
      </c>
      <c r="H355" s="16" t="str">
        <f aca="false">_xlfn.UNICHAR(((F355*21)+G355)*28+44032)</f>
        <v>효</v>
      </c>
      <c r="I355" s="16" t="n">
        <f aca="false">IF(B355=-1, 1, COUNTIF($A$2:$A$3000, H355))</f>
        <v>1</v>
      </c>
      <c r="J355" s="10" t="str">
        <f aca="false">_xlfn.CONCAT(A355, ",",H355,",",I355)</f>
        <v>녘,효,1</v>
      </c>
      <c r="K355" s="16" t="n">
        <f aca="false">IF(B355=-1,-1,VLOOKUP(C355,$T$1:$V$20,3))</f>
        <v>3</v>
      </c>
      <c r="L355" s="16" t="n">
        <f aca="false">IF(B355=-1,-1,VLOOKUP(D355,$Y$1:$AA$22,3))</f>
        <v>4</v>
      </c>
      <c r="N355" s="10" t="str">
        <f aca="false">_xlfn.UNICHAR(((C355*21)+G355)*28+44032)</f>
        <v>뇨</v>
      </c>
      <c r="O355" s="10" t="str">
        <f aca="false">_xlfn.UNICHAR(((F355*21)+D355)*28+44032)</f>
        <v>혀</v>
      </c>
      <c r="P355" s="12" t="n">
        <f aca="false">COUNTIF($A$2:$A$3000, N355) + COUNTIF($A$2:$A$3000, O355)</f>
        <v>2</v>
      </c>
      <c r="Q355" s="16" t="str">
        <f aca="false">IF(OR(B355=-1,I355=0, P355&lt;&gt;2), "albhed_dummy", _xlfn.CONCAT("albhed ", RIGHT("  " &amp; K355,2),", ", RIGHT("  " &amp; L355,2), ", " ,"""",H355,""", ", """",N355,""", ","""",O355,""""," ; ", A355))</f>
        <v>albhed  3,  4, "효", "뇨", "혀" ; 녘</v>
      </c>
    </row>
    <row r="356" customFormat="false" ht="17.9" hidden="false" customHeight="true" outlineLevel="0" collapsed="false">
      <c r="A356" s="16" t="s">
        <v>1233</v>
      </c>
      <c r="B356" s="16" t="n">
        <f aca="false">IF(_xlfn.UNICODE(A356)&lt;44032,-1,_xlfn.UNICODE(A356)-44032)</f>
        <v>1372</v>
      </c>
      <c r="C356" s="16" t="n">
        <f aca="false">IF(B356=-1,-1,INT((B356/28)/21))</f>
        <v>2</v>
      </c>
      <c r="D356" s="16" t="n">
        <f aca="false">IF(B356=-1, -1, MOD(INT(B356/28),21))</f>
        <v>7</v>
      </c>
      <c r="E356" s="16" t="n">
        <f aca="false">IF(B356=-1, -1, VLOOKUP(MOD(B356,28), $T$24:$U$52,2))</f>
        <v>0</v>
      </c>
      <c r="F356" s="16" t="n">
        <f aca="false">IF($B356=-1, -1, VLOOKUP(C356,$T$1:$V$20, 2))</f>
        <v>18</v>
      </c>
      <c r="G356" s="16" t="n">
        <f aca="false">IF($B356=-1, -1, VLOOKUP(D356,$Y$1:$Z$22,2))</f>
        <v>18</v>
      </c>
      <c r="H356" s="16" t="str">
        <f aca="false">_xlfn.UNICHAR(((F356*21)+G356)*28+44032)</f>
        <v>흐</v>
      </c>
      <c r="I356" s="16" t="n">
        <f aca="false">IF(B356=-1, 1, COUNTIF($A$2:$A$3000, H356))</f>
        <v>1</v>
      </c>
      <c r="J356" s="10" t="str">
        <f aca="false">_xlfn.CONCAT(A356, ",",H356,",",I356)</f>
        <v>녜,흐,1</v>
      </c>
      <c r="K356" s="16" t="n">
        <f aca="false">IF(B356=-1,-1,VLOOKUP(C356,$T$1:$V$20,3))</f>
        <v>3</v>
      </c>
      <c r="L356" s="16" t="n">
        <f aca="false">IF(B356=-1,-1,VLOOKUP(D356,$Y$1:$AA$22,3))</f>
        <v>14</v>
      </c>
      <c r="N356" s="10" t="str">
        <f aca="false">_xlfn.UNICHAR(((C356*21)+G356)*28+44032)</f>
        <v>느</v>
      </c>
      <c r="O356" s="10" t="str">
        <f aca="false">_xlfn.UNICHAR(((F356*21)+D356)*28+44032)</f>
        <v>혜</v>
      </c>
      <c r="P356" s="12" t="n">
        <f aca="false">COUNTIF($A$2:$A$3000, N356) + COUNTIF($A$2:$A$3000, O356)</f>
        <v>2</v>
      </c>
      <c r="Q356" s="16" t="str">
        <f aca="false">IF(OR(B356=-1,I356=0, P356&lt;&gt;2), "albhed_dummy", _xlfn.CONCAT("albhed ", RIGHT("  " &amp; K356,2),", ", RIGHT("  " &amp; L356,2), ", " ,"""",H356,""", ", """",N356,""", ","""",O356,""""," ; ", A356))</f>
        <v>albhed  3, 14, "흐", "느", "혜" ; 녜</v>
      </c>
    </row>
    <row r="357" customFormat="false" ht="17.9" hidden="false" customHeight="true" outlineLevel="0" collapsed="false">
      <c r="A357" s="16" t="s">
        <v>1234</v>
      </c>
      <c r="B357" s="16" t="n">
        <f aca="false">IF(_xlfn.UNICODE(A357)&lt;44032,-1,_xlfn.UNICODE(A357)-44032)</f>
        <v>1376</v>
      </c>
      <c r="C357" s="16" t="n">
        <f aca="false">IF(B357=-1,-1,INT((B357/28)/21))</f>
        <v>2</v>
      </c>
      <c r="D357" s="16" t="n">
        <f aca="false">IF(B357=-1, -1, MOD(INT(B357/28),21))</f>
        <v>7</v>
      </c>
      <c r="E357" s="16" t="n">
        <f aca="false">IF(B357=-1, -1, VLOOKUP(MOD(B357,28), $T$24:$U$52,2))</f>
        <v>4</v>
      </c>
      <c r="F357" s="16" t="n">
        <f aca="false">IF($B357=-1, -1, VLOOKUP(C357,$T$1:$V$20, 2))</f>
        <v>18</v>
      </c>
      <c r="G357" s="16" t="n">
        <f aca="false">IF($B357=-1, -1, VLOOKUP(D357,$Y$1:$Z$22,2))</f>
        <v>18</v>
      </c>
      <c r="H357" s="16" t="str">
        <f aca="false">_xlfn.UNICHAR(((F357*21)+G357)*28+44032)</f>
        <v>흐</v>
      </c>
      <c r="I357" s="16" t="n">
        <f aca="false">IF(B357=-1, 1, COUNTIF($A$2:$A$3000, H357))</f>
        <v>1</v>
      </c>
      <c r="J357" s="10" t="str">
        <f aca="false">_xlfn.CONCAT(A357, ",",H357,",",I357)</f>
        <v>녠,흐,1</v>
      </c>
      <c r="K357" s="16" t="n">
        <f aca="false">IF(B357=-1,-1,VLOOKUP(C357,$T$1:$V$20,3))</f>
        <v>3</v>
      </c>
      <c r="L357" s="16" t="n">
        <f aca="false">IF(B357=-1,-1,VLOOKUP(D357,$Y$1:$AA$22,3))</f>
        <v>14</v>
      </c>
      <c r="N357" s="10" t="str">
        <f aca="false">_xlfn.UNICHAR(((C357*21)+G357)*28+44032)</f>
        <v>느</v>
      </c>
      <c r="O357" s="10" t="str">
        <f aca="false">_xlfn.UNICHAR(((F357*21)+D357)*28+44032)</f>
        <v>혜</v>
      </c>
      <c r="P357" s="12" t="n">
        <f aca="false">COUNTIF($A$2:$A$3000, N357) + COUNTIF($A$2:$A$3000, O357)</f>
        <v>2</v>
      </c>
      <c r="Q357" s="16" t="str">
        <f aca="false">IF(OR(B357=-1,I357=0, P357&lt;&gt;2), "albhed_dummy", _xlfn.CONCAT("albhed ", RIGHT("  " &amp; K357,2),", ", RIGHT("  " &amp; L357,2), ", " ,"""",H357,""", ", """",N357,""", ","""",O357,""""," ; ", A357))</f>
        <v>albhed  3, 14, "흐", "느", "혜" ; 녠</v>
      </c>
    </row>
    <row r="358" customFormat="false" ht="17.9" hidden="false" customHeight="true" outlineLevel="0" collapsed="false">
      <c r="A358" s="16" t="s">
        <v>785</v>
      </c>
      <c r="B358" s="16" t="n">
        <f aca="false">IF(_xlfn.UNICODE(A358)&lt;44032,-1,_xlfn.UNICODE(A358)-44032)</f>
        <v>1400</v>
      </c>
      <c r="C358" s="16" t="n">
        <f aca="false">IF(B358=-1,-1,INT((B358/28)/21))</f>
        <v>2</v>
      </c>
      <c r="D358" s="16" t="n">
        <f aca="false">IF(B358=-1, -1, MOD(INT(B358/28),21))</f>
        <v>8</v>
      </c>
      <c r="E358" s="16" t="n">
        <f aca="false">IF(B358=-1, -1, VLOOKUP(MOD(B358,28), $T$24:$U$52,2))</f>
        <v>0</v>
      </c>
      <c r="F358" s="16" t="n">
        <f aca="false">IF($B358=-1, -1, VLOOKUP(C358,$T$1:$V$20, 2))</f>
        <v>18</v>
      </c>
      <c r="G358" s="16" t="n">
        <f aca="false">IF($B358=-1, -1, VLOOKUP(D358,$Y$1:$Z$22,2))</f>
        <v>4</v>
      </c>
      <c r="H358" s="16" t="str">
        <f aca="false">_xlfn.UNICHAR(((F358*21)+G358)*28+44032)</f>
        <v>허</v>
      </c>
      <c r="I358" s="16" t="n">
        <f aca="false">IF(B358=-1, 1, COUNTIF($A$2:$A$3000, H358))</f>
        <v>1</v>
      </c>
      <c r="J358" s="10" t="str">
        <f aca="false">_xlfn.CONCAT(A358, ",",H358,",",I358)</f>
        <v>노,허,1</v>
      </c>
      <c r="K358" s="16" t="n">
        <f aca="false">IF(B358=-1,-1,VLOOKUP(C358,$T$1:$V$20,3))</f>
        <v>3</v>
      </c>
      <c r="L358" s="16" t="n">
        <f aca="false">IF(B358=-1,-1,VLOOKUP(D358,$Y$1:$AA$22,3))</f>
        <v>8</v>
      </c>
      <c r="N358" s="10" t="str">
        <f aca="false">_xlfn.UNICHAR(((C358*21)+G358)*28+44032)</f>
        <v>너</v>
      </c>
      <c r="O358" s="10" t="str">
        <f aca="false">_xlfn.UNICHAR(((F358*21)+D358)*28+44032)</f>
        <v>호</v>
      </c>
      <c r="P358" s="12" t="n">
        <f aca="false">COUNTIF($A$2:$A$3000, N358) + COUNTIF($A$2:$A$3000, O358)</f>
        <v>2</v>
      </c>
      <c r="Q358" s="16" t="str">
        <f aca="false">IF(OR(B358=-1,I358=0, P358&lt;&gt;2), "albhed_dummy", _xlfn.CONCAT("albhed ", RIGHT("  " &amp; K358,2),", ", RIGHT("  " &amp; L358,2), ", " ,"""",H358,""", ", """",N358,""", ","""",O358,""""," ; ", A358))</f>
        <v>albhed  3,  8, "허", "너", "호" ; 노</v>
      </c>
    </row>
    <row r="359" customFormat="false" ht="17.9" hidden="false" customHeight="true" outlineLevel="0" collapsed="false">
      <c r="A359" s="16" t="s">
        <v>1235</v>
      </c>
      <c r="B359" s="16" t="n">
        <f aca="false">IF(_xlfn.UNICODE(A359)&lt;44032,-1,_xlfn.UNICODE(A359)-44032)</f>
        <v>1401</v>
      </c>
      <c r="C359" s="16" t="n">
        <f aca="false">IF(B359=-1,-1,INT((B359/28)/21))</f>
        <v>2</v>
      </c>
      <c r="D359" s="16" t="n">
        <f aca="false">IF(B359=-1, -1, MOD(INT(B359/28),21))</f>
        <v>8</v>
      </c>
      <c r="E359" s="16" t="n">
        <f aca="false">IF(B359=-1, -1, VLOOKUP(MOD(B359,28), $T$24:$U$52,2))</f>
        <v>1</v>
      </c>
      <c r="F359" s="16" t="n">
        <f aca="false">IF($B359=-1, -1, VLOOKUP(C359,$T$1:$V$20, 2))</f>
        <v>18</v>
      </c>
      <c r="G359" s="16" t="n">
        <f aca="false">IF($B359=-1, -1, VLOOKUP(D359,$Y$1:$Z$22,2))</f>
        <v>4</v>
      </c>
      <c r="H359" s="16" t="str">
        <f aca="false">_xlfn.UNICHAR(((F359*21)+G359)*28+44032)</f>
        <v>허</v>
      </c>
      <c r="I359" s="16" t="n">
        <f aca="false">IF(B359=-1, 1, COUNTIF($A$2:$A$3000, H359))</f>
        <v>1</v>
      </c>
      <c r="J359" s="10" t="str">
        <f aca="false">_xlfn.CONCAT(A359, ",",H359,",",I359)</f>
        <v>녹,허,1</v>
      </c>
      <c r="K359" s="16" t="n">
        <f aca="false">IF(B359=-1,-1,VLOOKUP(C359,$T$1:$V$20,3))</f>
        <v>3</v>
      </c>
      <c r="L359" s="16" t="n">
        <f aca="false">IF(B359=-1,-1,VLOOKUP(D359,$Y$1:$AA$22,3))</f>
        <v>8</v>
      </c>
      <c r="N359" s="10" t="str">
        <f aca="false">_xlfn.UNICHAR(((C359*21)+G359)*28+44032)</f>
        <v>너</v>
      </c>
      <c r="O359" s="10" t="str">
        <f aca="false">_xlfn.UNICHAR(((F359*21)+D359)*28+44032)</f>
        <v>호</v>
      </c>
      <c r="P359" s="12" t="n">
        <f aca="false">COUNTIF($A$2:$A$3000, N359) + COUNTIF($A$2:$A$3000, O359)</f>
        <v>2</v>
      </c>
      <c r="Q359" s="16" t="str">
        <f aca="false">IF(OR(B359=-1,I359=0, P359&lt;&gt;2), "albhed_dummy", _xlfn.CONCAT("albhed ", RIGHT("  " &amp; K359,2),", ", RIGHT("  " &amp; L359,2), ", " ,"""",H359,""", ", """",N359,""", ","""",O359,""""," ; ", A359))</f>
        <v>albhed  3,  8, "허", "너", "호" ; 녹</v>
      </c>
    </row>
    <row r="360" customFormat="false" ht="17.9" hidden="false" customHeight="true" outlineLevel="0" collapsed="false">
      <c r="A360" s="16" t="s">
        <v>1236</v>
      </c>
      <c r="B360" s="16" t="n">
        <f aca="false">IF(_xlfn.UNICODE(A360)&lt;44032,-1,_xlfn.UNICODE(A360)-44032)</f>
        <v>1404</v>
      </c>
      <c r="C360" s="16" t="n">
        <f aca="false">IF(B360=-1,-1,INT((B360/28)/21))</f>
        <v>2</v>
      </c>
      <c r="D360" s="16" t="n">
        <f aca="false">IF(B360=-1, -1, MOD(INT(B360/28),21))</f>
        <v>8</v>
      </c>
      <c r="E360" s="16" t="n">
        <f aca="false">IF(B360=-1, -1, VLOOKUP(MOD(B360,28), $T$24:$U$52,2))</f>
        <v>4</v>
      </c>
      <c r="F360" s="16" t="n">
        <f aca="false">IF($B360=-1, -1, VLOOKUP(C360,$T$1:$V$20, 2))</f>
        <v>18</v>
      </c>
      <c r="G360" s="16" t="n">
        <f aca="false">IF($B360=-1, -1, VLOOKUP(D360,$Y$1:$Z$22,2))</f>
        <v>4</v>
      </c>
      <c r="H360" s="16" t="str">
        <f aca="false">_xlfn.UNICHAR(((F360*21)+G360)*28+44032)</f>
        <v>허</v>
      </c>
      <c r="I360" s="16" t="n">
        <f aca="false">IF(B360=-1, 1, COUNTIF($A$2:$A$3000, H360))</f>
        <v>1</v>
      </c>
      <c r="J360" s="10" t="str">
        <f aca="false">_xlfn.CONCAT(A360, ",",H360,",",I360)</f>
        <v>논,허,1</v>
      </c>
      <c r="K360" s="16" t="n">
        <f aca="false">IF(B360=-1,-1,VLOOKUP(C360,$T$1:$V$20,3))</f>
        <v>3</v>
      </c>
      <c r="L360" s="16" t="n">
        <f aca="false">IF(B360=-1,-1,VLOOKUP(D360,$Y$1:$AA$22,3))</f>
        <v>8</v>
      </c>
      <c r="N360" s="10" t="str">
        <f aca="false">_xlfn.UNICHAR(((C360*21)+G360)*28+44032)</f>
        <v>너</v>
      </c>
      <c r="O360" s="10" t="str">
        <f aca="false">_xlfn.UNICHAR(((F360*21)+D360)*28+44032)</f>
        <v>호</v>
      </c>
      <c r="P360" s="12" t="n">
        <f aca="false">COUNTIF($A$2:$A$3000, N360) + COUNTIF($A$2:$A$3000, O360)</f>
        <v>2</v>
      </c>
      <c r="Q360" s="16" t="str">
        <f aca="false">IF(OR(B360=-1,I360=0, P360&lt;&gt;2), "albhed_dummy", _xlfn.CONCAT("albhed ", RIGHT("  " &amp; K360,2),", ", RIGHT("  " &amp; L360,2), ", " ,"""",H360,""", ", """",N360,""", ","""",O360,""""," ; ", A360))</f>
        <v>albhed  3,  8, "허", "너", "호" ; 논</v>
      </c>
    </row>
    <row r="361" customFormat="false" ht="17.9" hidden="false" customHeight="true" outlineLevel="0" collapsed="false">
      <c r="A361" s="16" t="s">
        <v>1237</v>
      </c>
      <c r="B361" s="16" t="n">
        <f aca="false">IF(_xlfn.UNICODE(A361)&lt;44032,-1,_xlfn.UNICODE(A361)-44032)</f>
        <v>1408</v>
      </c>
      <c r="C361" s="16" t="n">
        <f aca="false">IF(B361=-1,-1,INT((B361/28)/21))</f>
        <v>2</v>
      </c>
      <c r="D361" s="16" t="n">
        <f aca="false">IF(B361=-1, -1, MOD(INT(B361/28),21))</f>
        <v>8</v>
      </c>
      <c r="E361" s="16" t="n">
        <f aca="false">IF(B361=-1, -1, VLOOKUP(MOD(B361,28), $T$24:$U$52,2))</f>
        <v>8</v>
      </c>
      <c r="F361" s="16" t="n">
        <f aca="false">IF($B361=-1, -1, VLOOKUP(C361,$T$1:$V$20, 2))</f>
        <v>18</v>
      </c>
      <c r="G361" s="16" t="n">
        <f aca="false">IF($B361=-1, -1, VLOOKUP(D361,$Y$1:$Z$22,2))</f>
        <v>4</v>
      </c>
      <c r="H361" s="16" t="str">
        <f aca="false">_xlfn.UNICHAR(((F361*21)+G361)*28+44032)</f>
        <v>허</v>
      </c>
      <c r="I361" s="16" t="n">
        <f aca="false">IF(B361=-1, 1, COUNTIF($A$2:$A$3000, H361))</f>
        <v>1</v>
      </c>
      <c r="J361" s="10" t="str">
        <f aca="false">_xlfn.CONCAT(A361, ",",H361,",",I361)</f>
        <v>놀,허,1</v>
      </c>
      <c r="K361" s="16" t="n">
        <f aca="false">IF(B361=-1,-1,VLOOKUP(C361,$T$1:$V$20,3))</f>
        <v>3</v>
      </c>
      <c r="L361" s="16" t="n">
        <f aca="false">IF(B361=-1,-1,VLOOKUP(D361,$Y$1:$AA$22,3))</f>
        <v>8</v>
      </c>
      <c r="N361" s="10" t="str">
        <f aca="false">_xlfn.UNICHAR(((C361*21)+G361)*28+44032)</f>
        <v>너</v>
      </c>
      <c r="O361" s="10" t="str">
        <f aca="false">_xlfn.UNICHAR(((F361*21)+D361)*28+44032)</f>
        <v>호</v>
      </c>
      <c r="P361" s="12" t="n">
        <f aca="false">COUNTIF($A$2:$A$3000, N361) + COUNTIF($A$2:$A$3000, O361)</f>
        <v>2</v>
      </c>
      <c r="Q361" s="16" t="str">
        <f aca="false">IF(OR(B361=-1,I361=0, P361&lt;&gt;2), "albhed_dummy", _xlfn.CONCAT("albhed ", RIGHT("  " &amp; K361,2),", ", RIGHT("  " &amp; L361,2), ", " ,"""",H361,""", ", """",N361,""", ","""",O361,""""," ; ", A361))</f>
        <v>albhed  3,  8, "허", "너", "호" ; 놀</v>
      </c>
    </row>
    <row r="362" customFormat="false" ht="17.9" hidden="false" customHeight="true" outlineLevel="0" collapsed="false">
      <c r="A362" s="16" t="s">
        <v>1238</v>
      </c>
      <c r="B362" s="16" t="n">
        <f aca="false">IF(_xlfn.UNICODE(A362)&lt;44032,-1,_xlfn.UNICODE(A362)-44032)</f>
        <v>1410</v>
      </c>
      <c r="C362" s="16" t="n">
        <f aca="false">IF(B362=-1,-1,INT((B362/28)/21))</f>
        <v>2</v>
      </c>
      <c r="D362" s="16" t="n">
        <f aca="false">IF(B362=-1, -1, MOD(INT(B362/28),21))</f>
        <v>8</v>
      </c>
      <c r="E362" s="16" t="n">
        <f aca="false">IF(B362=-1, -1, VLOOKUP(MOD(B362,28), $T$24:$U$52,2))</f>
        <v>8</v>
      </c>
      <c r="F362" s="16" t="n">
        <f aca="false">IF($B362=-1, -1, VLOOKUP(C362,$T$1:$V$20, 2))</f>
        <v>18</v>
      </c>
      <c r="G362" s="16" t="n">
        <f aca="false">IF($B362=-1, -1, VLOOKUP(D362,$Y$1:$Z$22,2))</f>
        <v>4</v>
      </c>
      <c r="H362" s="16" t="str">
        <f aca="false">_xlfn.UNICHAR(((F362*21)+G362)*28+44032)</f>
        <v>허</v>
      </c>
      <c r="I362" s="16" t="n">
        <f aca="false">IF(B362=-1, 1, COUNTIF($A$2:$A$3000, H362))</f>
        <v>1</v>
      </c>
      <c r="J362" s="10" t="str">
        <f aca="false">_xlfn.CONCAT(A362, ",",H362,",",I362)</f>
        <v>놂,허,1</v>
      </c>
      <c r="K362" s="16" t="n">
        <f aca="false">IF(B362=-1,-1,VLOOKUP(C362,$T$1:$V$20,3))</f>
        <v>3</v>
      </c>
      <c r="L362" s="16" t="n">
        <f aca="false">IF(B362=-1,-1,VLOOKUP(D362,$Y$1:$AA$22,3))</f>
        <v>8</v>
      </c>
      <c r="N362" s="10" t="str">
        <f aca="false">_xlfn.UNICHAR(((C362*21)+G362)*28+44032)</f>
        <v>너</v>
      </c>
      <c r="O362" s="10" t="str">
        <f aca="false">_xlfn.UNICHAR(((F362*21)+D362)*28+44032)</f>
        <v>호</v>
      </c>
      <c r="P362" s="12" t="n">
        <f aca="false">COUNTIF($A$2:$A$3000, N362) + COUNTIF($A$2:$A$3000, O362)</f>
        <v>2</v>
      </c>
      <c r="Q362" s="16" t="str">
        <f aca="false">IF(OR(B362=-1,I362=0, P362&lt;&gt;2), "albhed_dummy", _xlfn.CONCAT("albhed ", RIGHT("  " &amp; K362,2),", ", RIGHT("  " &amp; L362,2), ", " ,"""",H362,""", ", """",N362,""", ","""",O362,""""," ; ", A362))</f>
        <v>albhed  3,  8, "허", "너", "호" ; 놂</v>
      </c>
    </row>
    <row r="363" customFormat="false" ht="17.9" hidden="false" customHeight="true" outlineLevel="0" collapsed="false">
      <c r="A363" s="16" t="s">
        <v>1239</v>
      </c>
      <c r="B363" s="16" t="n">
        <f aca="false">IF(_xlfn.UNICODE(A363)&lt;44032,-1,_xlfn.UNICODE(A363)-44032)</f>
        <v>1416</v>
      </c>
      <c r="C363" s="16" t="n">
        <f aca="false">IF(B363=-1,-1,INT((B363/28)/21))</f>
        <v>2</v>
      </c>
      <c r="D363" s="16" t="n">
        <f aca="false">IF(B363=-1, -1, MOD(INT(B363/28),21))</f>
        <v>8</v>
      </c>
      <c r="E363" s="16" t="n">
        <f aca="false">IF(B363=-1, -1, VLOOKUP(MOD(B363,28), $T$24:$U$52,2))</f>
        <v>16</v>
      </c>
      <c r="F363" s="16" t="n">
        <f aca="false">IF($B363=-1, -1, VLOOKUP(C363,$T$1:$V$20, 2))</f>
        <v>18</v>
      </c>
      <c r="G363" s="16" t="n">
        <f aca="false">IF($B363=-1, -1, VLOOKUP(D363,$Y$1:$Z$22,2))</f>
        <v>4</v>
      </c>
      <c r="H363" s="16" t="str">
        <f aca="false">_xlfn.UNICHAR(((F363*21)+G363)*28+44032)</f>
        <v>허</v>
      </c>
      <c r="I363" s="16" t="n">
        <f aca="false">IF(B363=-1, 1, COUNTIF($A$2:$A$3000, H363))</f>
        <v>1</v>
      </c>
      <c r="J363" s="10" t="str">
        <f aca="false">_xlfn.CONCAT(A363, ",",H363,",",I363)</f>
        <v>놈,허,1</v>
      </c>
      <c r="K363" s="16" t="n">
        <f aca="false">IF(B363=-1,-1,VLOOKUP(C363,$T$1:$V$20,3))</f>
        <v>3</v>
      </c>
      <c r="L363" s="16" t="n">
        <f aca="false">IF(B363=-1,-1,VLOOKUP(D363,$Y$1:$AA$22,3))</f>
        <v>8</v>
      </c>
      <c r="N363" s="10" t="str">
        <f aca="false">_xlfn.UNICHAR(((C363*21)+G363)*28+44032)</f>
        <v>너</v>
      </c>
      <c r="O363" s="10" t="str">
        <f aca="false">_xlfn.UNICHAR(((F363*21)+D363)*28+44032)</f>
        <v>호</v>
      </c>
      <c r="P363" s="12" t="n">
        <f aca="false">COUNTIF($A$2:$A$3000, N363) + COUNTIF($A$2:$A$3000, O363)</f>
        <v>2</v>
      </c>
      <c r="Q363" s="16" t="str">
        <f aca="false">IF(OR(B363=-1,I363=0, P363&lt;&gt;2), "albhed_dummy", _xlfn.CONCAT("albhed ", RIGHT("  " &amp; K363,2),", ", RIGHT("  " &amp; L363,2), ", " ,"""",H363,""", ", """",N363,""", ","""",O363,""""," ; ", A363))</f>
        <v>albhed  3,  8, "허", "너", "호" ; 놈</v>
      </c>
    </row>
    <row r="364" customFormat="false" ht="17.9" hidden="false" customHeight="true" outlineLevel="0" collapsed="false">
      <c r="A364" s="16" t="s">
        <v>1240</v>
      </c>
      <c r="B364" s="16" t="n">
        <f aca="false">IF(_xlfn.UNICODE(A364)&lt;44032,-1,_xlfn.UNICODE(A364)-44032)</f>
        <v>1417</v>
      </c>
      <c r="C364" s="16" t="n">
        <f aca="false">IF(B364=-1,-1,INT((B364/28)/21))</f>
        <v>2</v>
      </c>
      <c r="D364" s="16" t="n">
        <f aca="false">IF(B364=-1, -1, MOD(INT(B364/28),21))</f>
        <v>8</v>
      </c>
      <c r="E364" s="16" t="n">
        <f aca="false">IF(B364=-1, -1, VLOOKUP(MOD(B364,28), $T$24:$U$52,2))</f>
        <v>17</v>
      </c>
      <c r="F364" s="16" t="n">
        <f aca="false">IF($B364=-1, -1, VLOOKUP(C364,$T$1:$V$20, 2))</f>
        <v>18</v>
      </c>
      <c r="G364" s="16" t="n">
        <f aca="false">IF($B364=-1, -1, VLOOKUP(D364,$Y$1:$Z$22,2))</f>
        <v>4</v>
      </c>
      <c r="H364" s="16" t="str">
        <f aca="false">_xlfn.UNICHAR(((F364*21)+G364)*28+44032)</f>
        <v>허</v>
      </c>
      <c r="I364" s="16" t="n">
        <f aca="false">IF(B364=-1, 1, COUNTIF($A$2:$A$3000, H364))</f>
        <v>1</v>
      </c>
      <c r="J364" s="10" t="str">
        <f aca="false">_xlfn.CONCAT(A364, ",",H364,",",I364)</f>
        <v>놉,허,1</v>
      </c>
      <c r="K364" s="16" t="n">
        <f aca="false">IF(B364=-1,-1,VLOOKUP(C364,$T$1:$V$20,3))</f>
        <v>3</v>
      </c>
      <c r="L364" s="16" t="n">
        <f aca="false">IF(B364=-1,-1,VLOOKUP(D364,$Y$1:$AA$22,3))</f>
        <v>8</v>
      </c>
      <c r="N364" s="10" t="str">
        <f aca="false">_xlfn.UNICHAR(((C364*21)+G364)*28+44032)</f>
        <v>너</v>
      </c>
      <c r="O364" s="10" t="str">
        <f aca="false">_xlfn.UNICHAR(((F364*21)+D364)*28+44032)</f>
        <v>호</v>
      </c>
      <c r="P364" s="12" t="n">
        <f aca="false">COUNTIF($A$2:$A$3000, N364) + COUNTIF($A$2:$A$3000, O364)</f>
        <v>2</v>
      </c>
      <c r="Q364" s="16" t="str">
        <f aca="false">IF(OR(B364=-1,I364=0, P364&lt;&gt;2), "albhed_dummy", _xlfn.CONCAT("albhed ", RIGHT("  " &amp; K364,2),", ", RIGHT("  " &amp; L364,2), ", " ,"""",H364,""", ", """",N364,""", ","""",O364,""""," ; ", A364))</f>
        <v>albhed  3,  8, "허", "너", "호" ; 놉</v>
      </c>
    </row>
    <row r="365" customFormat="false" ht="17.9" hidden="false" customHeight="true" outlineLevel="0" collapsed="false">
      <c r="A365" s="16" t="s">
        <v>1241</v>
      </c>
      <c r="B365" s="16" t="n">
        <f aca="false">IF(_xlfn.UNICODE(A365)&lt;44032,-1,_xlfn.UNICODE(A365)-44032)</f>
        <v>1419</v>
      </c>
      <c r="C365" s="16" t="n">
        <f aca="false">IF(B365=-1,-1,INT((B365/28)/21))</f>
        <v>2</v>
      </c>
      <c r="D365" s="16" t="n">
        <f aca="false">IF(B365=-1, -1, MOD(INT(B365/28),21))</f>
        <v>8</v>
      </c>
      <c r="E365" s="16" t="n">
        <f aca="false">IF(B365=-1, -1, VLOOKUP(MOD(B365,28), $T$24:$U$52,2))</f>
        <v>19</v>
      </c>
      <c r="F365" s="16" t="n">
        <f aca="false">IF($B365=-1, -1, VLOOKUP(C365,$T$1:$V$20, 2))</f>
        <v>18</v>
      </c>
      <c r="G365" s="16" t="n">
        <f aca="false">IF($B365=-1, -1, VLOOKUP(D365,$Y$1:$Z$22,2))</f>
        <v>4</v>
      </c>
      <c r="H365" s="16" t="str">
        <f aca="false">_xlfn.UNICHAR(((F365*21)+G365)*28+44032)</f>
        <v>허</v>
      </c>
      <c r="I365" s="16" t="n">
        <f aca="false">IF(B365=-1, 1, COUNTIF($A$2:$A$3000, H365))</f>
        <v>1</v>
      </c>
      <c r="J365" s="10" t="str">
        <f aca="false">_xlfn.CONCAT(A365, ",",H365,",",I365)</f>
        <v>놋,허,1</v>
      </c>
      <c r="K365" s="16" t="n">
        <f aca="false">IF(B365=-1,-1,VLOOKUP(C365,$T$1:$V$20,3))</f>
        <v>3</v>
      </c>
      <c r="L365" s="16" t="n">
        <f aca="false">IF(B365=-1,-1,VLOOKUP(D365,$Y$1:$AA$22,3))</f>
        <v>8</v>
      </c>
      <c r="N365" s="10" t="str">
        <f aca="false">_xlfn.UNICHAR(((C365*21)+G365)*28+44032)</f>
        <v>너</v>
      </c>
      <c r="O365" s="10" t="str">
        <f aca="false">_xlfn.UNICHAR(((F365*21)+D365)*28+44032)</f>
        <v>호</v>
      </c>
      <c r="P365" s="12" t="n">
        <f aca="false">COUNTIF($A$2:$A$3000, N365) + COUNTIF($A$2:$A$3000, O365)</f>
        <v>2</v>
      </c>
      <c r="Q365" s="16" t="str">
        <f aca="false">IF(OR(B365=-1,I365=0, P365&lt;&gt;2), "albhed_dummy", _xlfn.CONCAT("albhed ", RIGHT("  " &amp; K365,2),", ", RIGHT("  " &amp; L365,2), ", " ,"""",H365,""", ", """",N365,""", ","""",O365,""""," ; ", A365))</f>
        <v>albhed  3,  8, "허", "너", "호" ; 놋</v>
      </c>
    </row>
    <row r="366" customFormat="false" ht="17.9" hidden="false" customHeight="true" outlineLevel="0" collapsed="false">
      <c r="A366" s="16" t="s">
        <v>1242</v>
      </c>
      <c r="B366" s="16" t="n">
        <f aca="false">IF(_xlfn.UNICODE(A366)&lt;44032,-1,_xlfn.UNICODE(A366)-44032)</f>
        <v>1421</v>
      </c>
      <c r="C366" s="16" t="n">
        <f aca="false">IF(B366=-1,-1,INT((B366/28)/21))</f>
        <v>2</v>
      </c>
      <c r="D366" s="16" t="n">
        <f aca="false">IF(B366=-1, -1, MOD(INT(B366/28),21))</f>
        <v>8</v>
      </c>
      <c r="E366" s="16" t="n">
        <f aca="false">IF(B366=-1, -1, VLOOKUP(MOD(B366,28), $T$24:$U$52,2))</f>
        <v>21</v>
      </c>
      <c r="F366" s="16" t="n">
        <f aca="false">IF($B366=-1, -1, VLOOKUP(C366,$T$1:$V$20, 2))</f>
        <v>18</v>
      </c>
      <c r="G366" s="16" t="n">
        <f aca="false">IF($B366=-1, -1, VLOOKUP(D366,$Y$1:$Z$22,2))</f>
        <v>4</v>
      </c>
      <c r="H366" s="16" t="str">
        <f aca="false">_xlfn.UNICHAR(((F366*21)+G366)*28+44032)</f>
        <v>허</v>
      </c>
      <c r="I366" s="16" t="n">
        <f aca="false">IF(B366=-1, 1, COUNTIF($A$2:$A$3000, H366))</f>
        <v>1</v>
      </c>
      <c r="J366" s="10" t="str">
        <f aca="false">_xlfn.CONCAT(A366, ",",H366,",",I366)</f>
        <v>농,허,1</v>
      </c>
      <c r="K366" s="16" t="n">
        <f aca="false">IF(B366=-1,-1,VLOOKUP(C366,$T$1:$V$20,3))</f>
        <v>3</v>
      </c>
      <c r="L366" s="16" t="n">
        <f aca="false">IF(B366=-1,-1,VLOOKUP(D366,$Y$1:$AA$22,3))</f>
        <v>8</v>
      </c>
      <c r="N366" s="10" t="str">
        <f aca="false">_xlfn.UNICHAR(((C366*21)+G366)*28+44032)</f>
        <v>너</v>
      </c>
      <c r="O366" s="10" t="str">
        <f aca="false">_xlfn.UNICHAR(((F366*21)+D366)*28+44032)</f>
        <v>호</v>
      </c>
      <c r="P366" s="12" t="n">
        <f aca="false">COUNTIF($A$2:$A$3000, N366) + COUNTIF($A$2:$A$3000, O366)</f>
        <v>2</v>
      </c>
      <c r="Q366" s="16" t="str">
        <f aca="false">IF(OR(B366=-1,I366=0, P366&lt;&gt;2), "albhed_dummy", _xlfn.CONCAT("albhed ", RIGHT("  " &amp; K366,2),", ", RIGHT("  " &amp; L366,2), ", " ,"""",H366,""", ", """",N366,""", ","""",O366,""""," ; ", A366))</f>
        <v>albhed  3,  8, "허", "너", "호" ; 농</v>
      </c>
    </row>
    <row r="367" customFormat="false" ht="17.9" hidden="false" customHeight="true" outlineLevel="0" collapsed="false">
      <c r="A367" s="16" t="s">
        <v>1243</v>
      </c>
      <c r="B367" s="16" t="n">
        <f aca="false">IF(_xlfn.UNICODE(A367)&lt;44032,-1,_xlfn.UNICODE(A367)-44032)</f>
        <v>1426</v>
      </c>
      <c r="C367" s="16" t="n">
        <f aca="false">IF(B367=-1,-1,INT((B367/28)/21))</f>
        <v>2</v>
      </c>
      <c r="D367" s="16" t="n">
        <f aca="false">IF(B367=-1, -1, MOD(INT(B367/28),21))</f>
        <v>8</v>
      </c>
      <c r="E367" s="16" t="n">
        <f aca="false">IF(B367=-1, -1, VLOOKUP(MOD(B367,28), $T$24:$U$52,2))</f>
        <v>17</v>
      </c>
      <c r="F367" s="16" t="n">
        <f aca="false">IF($B367=-1, -1, VLOOKUP(C367,$T$1:$V$20, 2))</f>
        <v>18</v>
      </c>
      <c r="G367" s="16" t="n">
        <f aca="false">IF($B367=-1, -1, VLOOKUP(D367,$Y$1:$Z$22,2))</f>
        <v>4</v>
      </c>
      <c r="H367" s="16" t="str">
        <f aca="false">_xlfn.UNICHAR(((F367*21)+G367)*28+44032)</f>
        <v>허</v>
      </c>
      <c r="I367" s="16" t="n">
        <f aca="false">IF(B367=-1, 1, COUNTIF($A$2:$A$3000, H367))</f>
        <v>1</v>
      </c>
      <c r="J367" s="10" t="str">
        <f aca="false">_xlfn.CONCAT(A367, ",",H367,",",I367)</f>
        <v>높,허,1</v>
      </c>
      <c r="K367" s="16" t="n">
        <f aca="false">IF(B367=-1,-1,VLOOKUP(C367,$T$1:$V$20,3))</f>
        <v>3</v>
      </c>
      <c r="L367" s="16" t="n">
        <f aca="false">IF(B367=-1,-1,VLOOKUP(D367,$Y$1:$AA$22,3))</f>
        <v>8</v>
      </c>
      <c r="N367" s="10" t="str">
        <f aca="false">_xlfn.UNICHAR(((C367*21)+G367)*28+44032)</f>
        <v>너</v>
      </c>
      <c r="O367" s="10" t="str">
        <f aca="false">_xlfn.UNICHAR(((F367*21)+D367)*28+44032)</f>
        <v>호</v>
      </c>
      <c r="P367" s="12" t="n">
        <f aca="false">COUNTIF($A$2:$A$3000, N367) + COUNTIF($A$2:$A$3000, O367)</f>
        <v>2</v>
      </c>
      <c r="Q367" s="16" t="str">
        <f aca="false">IF(OR(B367=-1,I367=0, P367&lt;&gt;2), "albhed_dummy", _xlfn.CONCAT("albhed ", RIGHT("  " &amp; K367,2),", ", RIGHT("  " &amp; L367,2), ", " ,"""",H367,""", ", """",N367,""", ","""",O367,""""," ; ", A367))</f>
        <v>albhed  3,  8, "허", "너", "호" ; 높</v>
      </c>
    </row>
    <row r="368" customFormat="false" ht="17.9" hidden="false" customHeight="true" outlineLevel="0" collapsed="false">
      <c r="A368" s="16" t="s">
        <v>1244</v>
      </c>
      <c r="B368" s="16" t="n">
        <f aca="false">IF(_xlfn.UNICODE(A368)&lt;44032,-1,_xlfn.UNICODE(A368)-44032)</f>
        <v>1427</v>
      </c>
      <c r="C368" s="16" t="n">
        <f aca="false">IF(B368=-1,-1,INT((B368/28)/21))</f>
        <v>2</v>
      </c>
      <c r="D368" s="16" t="n">
        <f aca="false">IF(B368=-1, -1, MOD(INT(B368/28),21))</f>
        <v>8</v>
      </c>
      <c r="E368" s="16" t="n">
        <f aca="false">IF(B368=-1, -1, VLOOKUP(MOD(B368,28), $T$24:$U$52,2))</f>
        <v>19</v>
      </c>
      <c r="F368" s="16" t="n">
        <f aca="false">IF($B368=-1, -1, VLOOKUP(C368,$T$1:$V$20, 2))</f>
        <v>18</v>
      </c>
      <c r="G368" s="16" t="n">
        <f aca="false">IF($B368=-1, -1, VLOOKUP(D368,$Y$1:$Z$22,2))</f>
        <v>4</v>
      </c>
      <c r="H368" s="16" t="str">
        <f aca="false">_xlfn.UNICHAR(((F368*21)+G368)*28+44032)</f>
        <v>허</v>
      </c>
      <c r="I368" s="16" t="n">
        <f aca="false">IF(B368=-1, 1, COUNTIF($A$2:$A$3000, H368))</f>
        <v>1</v>
      </c>
      <c r="J368" s="10" t="str">
        <f aca="false">_xlfn.CONCAT(A368, ",",H368,",",I368)</f>
        <v>놓,허,1</v>
      </c>
      <c r="K368" s="16" t="n">
        <f aca="false">IF(B368=-1,-1,VLOOKUP(C368,$T$1:$V$20,3))</f>
        <v>3</v>
      </c>
      <c r="L368" s="16" t="n">
        <f aca="false">IF(B368=-1,-1,VLOOKUP(D368,$Y$1:$AA$22,3))</f>
        <v>8</v>
      </c>
      <c r="N368" s="10" t="str">
        <f aca="false">_xlfn.UNICHAR(((C368*21)+G368)*28+44032)</f>
        <v>너</v>
      </c>
      <c r="O368" s="10" t="str">
        <f aca="false">_xlfn.UNICHAR(((F368*21)+D368)*28+44032)</f>
        <v>호</v>
      </c>
      <c r="P368" s="12" t="n">
        <f aca="false">COUNTIF($A$2:$A$3000, N368) + COUNTIF($A$2:$A$3000, O368)</f>
        <v>2</v>
      </c>
      <c r="Q368" s="16" t="str">
        <f aca="false">IF(OR(B368=-1,I368=0, P368&lt;&gt;2), "albhed_dummy", _xlfn.CONCAT("albhed ", RIGHT("  " &amp; K368,2),", ", RIGHT("  " &amp; L368,2), ", " ,"""",H368,""", ", """",N368,""", ","""",O368,""""," ; ", A368))</f>
        <v>albhed  3,  8, "허", "너", "호" ; 놓</v>
      </c>
    </row>
    <row r="369" customFormat="false" ht="17.9" hidden="false" customHeight="true" outlineLevel="0" collapsed="false">
      <c r="A369" s="16" t="s">
        <v>1245</v>
      </c>
      <c r="B369" s="16" t="n">
        <f aca="false">IF(_xlfn.UNICODE(A369)&lt;44032,-1,_xlfn.UNICODE(A369)-44032)</f>
        <v>1428</v>
      </c>
      <c r="C369" s="16" t="n">
        <f aca="false">IF(B369=-1,-1,INT((B369/28)/21))</f>
        <v>2</v>
      </c>
      <c r="D369" s="16" t="n">
        <f aca="false">IF(B369=-1, -1, MOD(INT(B369/28),21))</f>
        <v>9</v>
      </c>
      <c r="E369" s="16" t="n">
        <f aca="false">IF(B369=-1, -1, VLOOKUP(MOD(B369,28), $T$24:$U$52,2))</f>
        <v>0</v>
      </c>
      <c r="F369" s="16" t="n">
        <f aca="false">IF($B369=-1, -1, VLOOKUP(C369,$T$1:$V$20, 2))</f>
        <v>18</v>
      </c>
      <c r="G369" s="16" t="n">
        <f aca="false">IF($B369=-1, -1, VLOOKUP(D369,$Y$1:$Z$22,2))</f>
        <v>20</v>
      </c>
      <c r="H369" s="16" t="str">
        <f aca="false">_xlfn.UNICHAR(((F369*21)+G369)*28+44032)</f>
        <v>히</v>
      </c>
      <c r="I369" s="16" t="n">
        <f aca="false">IF(B369=-1, 1, COUNTIF($A$2:$A$3000, H369))</f>
        <v>1</v>
      </c>
      <c r="J369" s="10" t="str">
        <f aca="false">_xlfn.CONCAT(A369, ",",H369,",",I369)</f>
        <v>놔,히,1</v>
      </c>
      <c r="K369" s="16" t="n">
        <f aca="false">IF(B369=-1,-1,VLOOKUP(C369,$T$1:$V$20,3))</f>
        <v>3</v>
      </c>
      <c r="L369" s="16" t="n">
        <f aca="false">IF(B369=-1,-1,VLOOKUP(D369,$Y$1:$AA$22,3))</f>
        <v>12</v>
      </c>
      <c r="N369" s="10" t="str">
        <f aca="false">_xlfn.UNICHAR(((C369*21)+G369)*28+44032)</f>
        <v>니</v>
      </c>
      <c r="O369" s="10" t="str">
        <f aca="false">_xlfn.UNICHAR(((F369*21)+D369)*28+44032)</f>
        <v>화</v>
      </c>
      <c r="P369" s="12" t="n">
        <f aca="false">COUNTIF($A$2:$A$3000, N369) + COUNTIF($A$2:$A$3000, O369)</f>
        <v>2</v>
      </c>
      <c r="Q369" s="16" t="str">
        <f aca="false">IF(OR(B369=-1,I369=0, P369&lt;&gt;2), "albhed_dummy", _xlfn.CONCAT("albhed ", RIGHT("  " &amp; K369,2),", ", RIGHT("  " &amp; L369,2), ", " ,"""",H369,""", ", """",N369,""", ","""",O369,""""," ; ", A369))</f>
        <v>albhed  3, 12, "히", "니", "화" ; 놔</v>
      </c>
    </row>
    <row r="370" customFormat="false" ht="17.9" hidden="false" customHeight="true" outlineLevel="0" collapsed="false">
      <c r="A370" s="16" t="s">
        <v>1246</v>
      </c>
      <c r="B370" s="16" t="n">
        <f aca="false">IF(_xlfn.UNICODE(A370)&lt;44032,-1,_xlfn.UNICODE(A370)-44032)</f>
        <v>1432</v>
      </c>
      <c r="C370" s="16" t="n">
        <f aca="false">IF(B370=-1,-1,INT((B370/28)/21))</f>
        <v>2</v>
      </c>
      <c r="D370" s="16" t="n">
        <f aca="false">IF(B370=-1, -1, MOD(INT(B370/28),21))</f>
        <v>9</v>
      </c>
      <c r="E370" s="16" t="n">
        <f aca="false">IF(B370=-1, -1, VLOOKUP(MOD(B370,28), $T$24:$U$52,2))</f>
        <v>4</v>
      </c>
      <c r="F370" s="16" t="n">
        <f aca="false">IF($B370=-1, -1, VLOOKUP(C370,$T$1:$V$20, 2))</f>
        <v>18</v>
      </c>
      <c r="G370" s="16" t="n">
        <f aca="false">IF($B370=-1, -1, VLOOKUP(D370,$Y$1:$Z$22,2))</f>
        <v>20</v>
      </c>
      <c r="H370" s="16" t="str">
        <f aca="false">_xlfn.UNICHAR(((F370*21)+G370)*28+44032)</f>
        <v>히</v>
      </c>
      <c r="I370" s="16" t="n">
        <f aca="false">IF(B370=-1, 1, COUNTIF($A$2:$A$3000, H370))</f>
        <v>1</v>
      </c>
      <c r="J370" s="10" t="str">
        <f aca="false">_xlfn.CONCAT(A370, ",",H370,",",I370)</f>
        <v>놘,히,1</v>
      </c>
      <c r="K370" s="16" t="n">
        <f aca="false">IF(B370=-1,-1,VLOOKUP(C370,$T$1:$V$20,3))</f>
        <v>3</v>
      </c>
      <c r="L370" s="16" t="n">
        <f aca="false">IF(B370=-1,-1,VLOOKUP(D370,$Y$1:$AA$22,3))</f>
        <v>12</v>
      </c>
      <c r="N370" s="10" t="str">
        <f aca="false">_xlfn.UNICHAR(((C370*21)+G370)*28+44032)</f>
        <v>니</v>
      </c>
      <c r="O370" s="10" t="str">
        <f aca="false">_xlfn.UNICHAR(((F370*21)+D370)*28+44032)</f>
        <v>화</v>
      </c>
      <c r="P370" s="12" t="n">
        <f aca="false">COUNTIF($A$2:$A$3000, N370) + COUNTIF($A$2:$A$3000, O370)</f>
        <v>2</v>
      </c>
      <c r="Q370" s="16" t="str">
        <f aca="false">IF(OR(B370=-1,I370=0, P370&lt;&gt;2), "albhed_dummy", _xlfn.CONCAT("albhed ", RIGHT("  " &amp; K370,2),", ", RIGHT("  " &amp; L370,2), ", " ,"""",H370,""", ", """",N370,""", ","""",O370,""""," ; ", A370))</f>
        <v>albhed  3, 12, "히", "니", "화" ; 놘</v>
      </c>
    </row>
    <row r="371" customFormat="false" ht="17.9" hidden="false" customHeight="true" outlineLevel="0" collapsed="false">
      <c r="A371" s="16" t="s">
        <v>1247</v>
      </c>
      <c r="B371" s="16" t="n">
        <f aca="false">IF(_xlfn.UNICODE(A371)&lt;44032,-1,_xlfn.UNICODE(A371)-44032)</f>
        <v>1436</v>
      </c>
      <c r="C371" s="16" t="n">
        <f aca="false">IF(B371=-1,-1,INT((B371/28)/21))</f>
        <v>2</v>
      </c>
      <c r="D371" s="16" t="n">
        <f aca="false">IF(B371=-1, -1, MOD(INT(B371/28),21))</f>
        <v>9</v>
      </c>
      <c r="E371" s="16" t="n">
        <f aca="false">IF(B371=-1, -1, VLOOKUP(MOD(B371,28), $T$24:$U$52,2))</f>
        <v>8</v>
      </c>
      <c r="F371" s="16" t="n">
        <f aca="false">IF($B371=-1, -1, VLOOKUP(C371,$T$1:$V$20, 2))</f>
        <v>18</v>
      </c>
      <c r="G371" s="16" t="n">
        <f aca="false">IF($B371=-1, -1, VLOOKUP(D371,$Y$1:$Z$22,2))</f>
        <v>20</v>
      </c>
      <c r="H371" s="16" t="str">
        <f aca="false">_xlfn.UNICHAR(((F371*21)+G371)*28+44032)</f>
        <v>히</v>
      </c>
      <c r="I371" s="16" t="n">
        <f aca="false">IF(B371=-1, 1, COUNTIF($A$2:$A$3000, H371))</f>
        <v>1</v>
      </c>
      <c r="J371" s="10" t="str">
        <f aca="false">_xlfn.CONCAT(A371, ",",H371,",",I371)</f>
        <v>놜,히,1</v>
      </c>
      <c r="K371" s="16" t="n">
        <f aca="false">IF(B371=-1,-1,VLOOKUP(C371,$T$1:$V$20,3))</f>
        <v>3</v>
      </c>
      <c r="L371" s="16" t="n">
        <f aca="false">IF(B371=-1,-1,VLOOKUP(D371,$Y$1:$AA$22,3))</f>
        <v>12</v>
      </c>
      <c r="N371" s="10" t="str">
        <f aca="false">_xlfn.UNICHAR(((C371*21)+G371)*28+44032)</f>
        <v>니</v>
      </c>
      <c r="O371" s="10" t="str">
        <f aca="false">_xlfn.UNICHAR(((F371*21)+D371)*28+44032)</f>
        <v>화</v>
      </c>
      <c r="P371" s="12" t="n">
        <f aca="false">COUNTIF($A$2:$A$3000, N371) + COUNTIF($A$2:$A$3000, O371)</f>
        <v>2</v>
      </c>
      <c r="Q371" s="16" t="str">
        <f aca="false">IF(OR(B371=-1,I371=0, P371&lt;&gt;2), "albhed_dummy", _xlfn.CONCAT("albhed ", RIGHT("  " &amp; K371,2),", ", RIGHT("  " &amp; L371,2), ", " ,"""",H371,""", ", """",N371,""", ","""",O371,""""," ; ", A371))</f>
        <v>albhed  3, 12, "히", "니", "화" ; 놜</v>
      </c>
    </row>
    <row r="372" customFormat="false" ht="17.9" hidden="false" customHeight="true" outlineLevel="0" collapsed="false">
      <c r="A372" s="16" t="s">
        <v>1248</v>
      </c>
      <c r="B372" s="16" t="n">
        <f aca="false">IF(_xlfn.UNICODE(A372)&lt;44032,-1,_xlfn.UNICODE(A372)-44032)</f>
        <v>1448</v>
      </c>
      <c r="C372" s="16" t="n">
        <f aca="false">IF(B372=-1,-1,INT((B372/28)/21))</f>
        <v>2</v>
      </c>
      <c r="D372" s="16" t="n">
        <f aca="false">IF(B372=-1, -1, MOD(INT(B372/28),21))</f>
        <v>9</v>
      </c>
      <c r="E372" s="16" t="n">
        <f aca="false">IF(B372=-1, -1, VLOOKUP(MOD(B372,28), $T$24:$U$52,2))</f>
        <v>19</v>
      </c>
      <c r="F372" s="16" t="n">
        <f aca="false">IF($B372=-1, -1, VLOOKUP(C372,$T$1:$V$20, 2))</f>
        <v>18</v>
      </c>
      <c r="G372" s="16" t="n">
        <f aca="false">IF($B372=-1, -1, VLOOKUP(D372,$Y$1:$Z$22,2))</f>
        <v>20</v>
      </c>
      <c r="H372" s="16" t="str">
        <f aca="false">_xlfn.UNICHAR(((F372*21)+G372)*28+44032)</f>
        <v>히</v>
      </c>
      <c r="I372" s="16" t="n">
        <f aca="false">IF(B372=-1, 1, COUNTIF($A$2:$A$3000, H372))</f>
        <v>1</v>
      </c>
      <c r="J372" s="10" t="str">
        <f aca="false">_xlfn.CONCAT(A372, ",",H372,",",I372)</f>
        <v>놨,히,1</v>
      </c>
      <c r="K372" s="16" t="n">
        <f aca="false">IF(B372=-1,-1,VLOOKUP(C372,$T$1:$V$20,3))</f>
        <v>3</v>
      </c>
      <c r="L372" s="16" t="n">
        <f aca="false">IF(B372=-1,-1,VLOOKUP(D372,$Y$1:$AA$22,3))</f>
        <v>12</v>
      </c>
      <c r="N372" s="10" t="str">
        <f aca="false">_xlfn.UNICHAR(((C372*21)+G372)*28+44032)</f>
        <v>니</v>
      </c>
      <c r="O372" s="10" t="str">
        <f aca="false">_xlfn.UNICHAR(((F372*21)+D372)*28+44032)</f>
        <v>화</v>
      </c>
      <c r="P372" s="12" t="n">
        <f aca="false">COUNTIF($A$2:$A$3000, N372) + COUNTIF($A$2:$A$3000, O372)</f>
        <v>2</v>
      </c>
      <c r="Q372" s="16" t="str">
        <f aca="false">IF(OR(B372=-1,I372=0, P372&lt;&gt;2), "albhed_dummy", _xlfn.CONCAT("albhed ", RIGHT("  " &amp; K372,2),", ", RIGHT("  " &amp; L372,2), ", " ,"""",H372,""", ", """",N372,""", ","""",O372,""""," ; ", A372))</f>
        <v>albhed  3, 12, "히", "니", "화" ; 놨</v>
      </c>
    </row>
    <row r="373" customFormat="false" ht="17.9" hidden="false" customHeight="true" outlineLevel="0" collapsed="false">
      <c r="A373" s="16" t="s">
        <v>1249</v>
      </c>
      <c r="B373" s="16" t="n">
        <f aca="false">IF(_xlfn.UNICODE(A373)&lt;44032,-1,_xlfn.UNICODE(A373)-44032)</f>
        <v>1484</v>
      </c>
      <c r="C373" s="16" t="n">
        <f aca="false">IF(B373=-1,-1,INT((B373/28)/21))</f>
        <v>2</v>
      </c>
      <c r="D373" s="16" t="n">
        <f aca="false">IF(B373=-1, -1, MOD(INT(B373/28),21))</f>
        <v>11</v>
      </c>
      <c r="E373" s="16" t="n">
        <f aca="false">IF(B373=-1, -1, VLOOKUP(MOD(B373,28), $T$24:$U$52,2))</f>
        <v>0</v>
      </c>
      <c r="F373" s="16" t="n">
        <f aca="false">IF($B373=-1, -1, VLOOKUP(C373,$T$1:$V$20, 2))</f>
        <v>18</v>
      </c>
      <c r="G373" s="16" t="n">
        <f aca="false">IF($B373=-1, -1, VLOOKUP(D373,$Y$1:$Z$22,2))</f>
        <v>20</v>
      </c>
      <c r="H373" s="16" t="str">
        <f aca="false">_xlfn.UNICHAR(((F373*21)+G373)*28+44032)</f>
        <v>히</v>
      </c>
      <c r="I373" s="16" t="n">
        <f aca="false">IF(B373=-1, 1, COUNTIF($A$2:$A$3000, H373))</f>
        <v>1</v>
      </c>
      <c r="J373" s="10" t="str">
        <f aca="false">_xlfn.CONCAT(A373, ",",H373,",",I373)</f>
        <v>뇌,히,1</v>
      </c>
      <c r="K373" s="16" t="n">
        <f aca="false">IF(B373=-1,-1,VLOOKUP(C373,$T$1:$V$20,3))</f>
        <v>3</v>
      </c>
      <c r="L373" s="16" t="n">
        <f aca="false">IF(B373=-1,-1,VLOOKUP(D373,$Y$1:$AA$22,3))</f>
        <v>22</v>
      </c>
      <c r="N373" s="10" t="str">
        <f aca="false">_xlfn.UNICHAR(((C373*21)+G373)*28+44032)</f>
        <v>니</v>
      </c>
      <c r="O373" s="10" t="str">
        <f aca="false">_xlfn.UNICHAR(((F373*21)+D373)*28+44032)</f>
        <v>회</v>
      </c>
      <c r="P373" s="12" t="n">
        <f aca="false">COUNTIF($A$2:$A$3000, N373) + COUNTIF($A$2:$A$3000, O373)</f>
        <v>2</v>
      </c>
      <c r="Q373" s="16" t="str">
        <f aca="false">IF(OR(B373=-1,I373=0, P373&lt;&gt;2), "albhed_dummy", _xlfn.CONCAT("albhed ", RIGHT("  " &amp; K373,2),", ", RIGHT("  " &amp; L373,2), ", " ,"""",H373,""", ", """",N373,""", ","""",O373,""""," ; ", A373))</f>
        <v>albhed  3, 22, "히", "니", "회" ; 뇌</v>
      </c>
    </row>
    <row r="374" customFormat="false" ht="17.9" hidden="false" customHeight="true" outlineLevel="0" collapsed="false">
      <c r="A374" s="16" t="s">
        <v>1250</v>
      </c>
      <c r="B374" s="16" t="n">
        <f aca="false">IF(_xlfn.UNICODE(A374)&lt;44032,-1,_xlfn.UNICODE(A374)-44032)</f>
        <v>1488</v>
      </c>
      <c r="C374" s="16" t="n">
        <f aca="false">IF(B374=-1,-1,INT((B374/28)/21))</f>
        <v>2</v>
      </c>
      <c r="D374" s="16" t="n">
        <f aca="false">IF(B374=-1, -1, MOD(INT(B374/28),21))</f>
        <v>11</v>
      </c>
      <c r="E374" s="16" t="n">
        <f aca="false">IF(B374=-1, -1, VLOOKUP(MOD(B374,28), $T$24:$U$52,2))</f>
        <v>4</v>
      </c>
      <c r="F374" s="16" t="n">
        <f aca="false">IF($B374=-1, -1, VLOOKUP(C374,$T$1:$V$20, 2))</f>
        <v>18</v>
      </c>
      <c r="G374" s="16" t="n">
        <f aca="false">IF($B374=-1, -1, VLOOKUP(D374,$Y$1:$Z$22,2))</f>
        <v>20</v>
      </c>
      <c r="H374" s="16" t="str">
        <f aca="false">_xlfn.UNICHAR(((F374*21)+G374)*28+44032)</f>
        <v>히</v>
      </c>
      <c r="I374" s="16" t="n">
        <f aca="false">IF(B374=-1, 1, COUNTIF($A$2:$A$3000, H374))</f>
        <v>1</v>
      </c>
      <c r="J374" s="10" t="str">
        <f aca="false">_xlfn.CONCAT(A374, ",",H374,",",I374)</f>
        <v>뇐,히,1</v>
      </c>
      <c r="K374" s="16" t="n">
        <f aca="false">IF(B374=-1,-1,VLOOKUP(C374,$T$1:$V$20,3))</f>
        <v>3</v>
      </c>
      <c r="L374" s="16" t="n">
        <f aca="false">IF(B374=-1,-1,VLOOKUP(D374,$Y$1:$AA$22,3))</f>
        <v>22</v>
      </c>
      <c r="N374" s="10" t="str">
        <f aca="false">_xlfn.UNICHAR(((C374*21)+G374)*28+44032)</f>
        <v>니</v>
      </c>
      <c r="O374" s="10" t="str">
        <f aca="false">_xlfn.UNICHAR(((F374*21)+D374)*28+44032)</f>
        <v>회</v>
      </c>
      <c r="P374" s="12" t="n">
        <f aca="false">COUNTIF($A$2:$A$3000, N374) + COUNTIF($A$2:$A$3000, O374)</f>
        <v>2</v>
      </c>
      <c r="Q374" s="16" t="str">
        <f aca="false">IF(OR(B374=-1,I374=0, P374&lt;&gt;2), "albhed_dummy", _xlfn.CONCAT("albhed ", RIGHT("  " &amp; K374,2),", ", RIGHT("  " &amp; L374,2), ", " ,"""",H374,""", ", """",N374,""", ","""",O374,""""," ; ", A374))</f>
        <v>albhed  3, 22, "히", "니", "회" ; 뇐</v>
      </c>
    </row>
    <row r="375" customFormat="false" ht="17.9" hidden="false" customHeight="true" outlineLevel="0" collapsed="false">
      <c r="A375" s="16" t="s">
        <v>1251</v>
      </c>
      <c r="B375" s="16" t="n">
        <f aca="false">IF(_xlfn.UNICODE(A375)&lt;44032,-1,_xlfn.UNICODE(A375)-44032)</f>
        <v>1492</v>
      </c>
      <c r="C375" s="16" t="n">
        <f aca="false">IF(B375=-1,-1,INT((B375/28)/21))</f>
        <v>2</v>
      </c>
      <c r="D375" s="16" t="n">
        <f aca="false">IF(B375=-1, -1, MOD(INT(B375/28),21))</f>
        <v>11</v>
      </c>
      <c r="E375" s="16" t="n">
        <f aca="false">IF(B375=-1, -1, VLOOKUP(MOD(B375,28), $T$24:$U$52,2))</f>
        <v>8</v>
      </c>
      <c r="F375" s="16" t="n">
        <f aca="false">IF($B375=-1, -1, VLOOKUP(C375,$T$1:$V$20, 2))</f>
        <v>18</v>
      </c>
      <c r="G375" s="16" t="n">
        <f aca="false">IF($B375=-1, -1, VLOOKUP(D375,$Y$1:$Z$22,2))</f>
        <v>20</v>
      </c>
      <c r="H375" s="16" t="str">
        <f aca="false">_xlfn.UNICHAR(((F375*21)+G375)*28+44032)</f>
        <v>히</v>
      </c>
      <c r="I375" s="16" t="n">
        <f aca="false">IF(B375=-1, 1, COUNTIF($A$2:$A$3000, H375))</f>
        <v>1</v>
      </c>
      <c r="J375" s="10" t="str">
        <f aca="false">_xlfn.CONCAT(A375, ",",H375,",",I375)</f>
        <v>뇔,히,1</v>
      </c>
      <c r="K375" s="16" t="n">
        <f aca="false">IF(B375=-1,-1,VLOOKUP(C375,$T$1:$V$20,3))</f>
        <v>3</v>
      </c>
      <c r="L375" s="16" t="n">
        <f aca="false">IF(B375=-1,-1,VLOOKUP(D375,$Y$1:$AA$22,3))</f>
        <v>22</v>
      </c>
      <c r="N375" s="10" t="str">
        <f aca="false">_xlfn.UNICHAR(((C375*21)+G375)*28+44032)</f>
        <v>니</v>
      </c>
      <c r="O375" s="10" t="str">
        <f aca="false">_xlfn.UNICHAR(((F375*21)+D375)*28+44032)</f>
        <v>회</v>
      </c>
      <c r="P375" s="12" t="n">
        <f aca="false">COUNTIF($A$2:$A$3000, N375) + COUNTIF($A$2:$A$3000, O375)</f>
        <v>2</v>
      </c>
      <c r="Q375" s="16" t="str">
        <f aca="false">IF(OR(B375=-1,I375=0, P375&lt;&gt;2), "albhed_dummy", _xlfn.CONCAT("albhed ", RIGHT("  " &amp; K375,2),", ", RIGHT("  " &amp; L375,2), ", " ,"""",H375,""", ", """",N375,""", ","""",O375,""""," ; ", A375))</f>
        <v>albhed  3, 22, "히", "니", "회" ; 뇔</v>
      </c>
    </row>
    <row r="376" customFormat="false" ht="17.9" hidden="false" customHeight="true" outlineLevel="0" collapsed="false">
      <c r="A376" s="16" t="s">
        <v>1252</v>
      </c>
      <c r="B376" s="16" t="n">
        <f aca="false">IF(_xlfn.UNICODE(A376)&lt;44032,-1,_xlfn.UNICODE(A376)-44032)</f>
        <v>1500</v>
      </c>
      <c r="C376" s="16" t="n">
        <f aca="false">IF(B376=-1,-1,INT((B376/28)/21))</f>
        <v>2</v>
      </c>
      <c r="D376" s="16" t="n">
        <f aca="false">IF(B376=-1, -1, MOD(INT(B376/28),21))</f>
        <v>11</v>
      </c>
      <c r="E376" s="16" t="n">
        <f aca="false">IF(B376=-1, -1, VLOOKUP(MOD(B376,28), $T$24:$U$52,2))</f>
        <v>16</v>
      </c>
      <c r="F376" s="16" t="n">
        <f aca="false">IF($B376=-1, -1, VLOOKUP(C376,$T$1:$V$20, 2))</f>
        <v>18</v>
      </c>
      <c r="G376" s="16" t="n">
        <f aca="false">IF($B376=-1, -1, VLOOKUP(D376,$Y$1:$Z$22,2))</f>
        <v>20</v>
      </c>
      <c r="H376" s="16" t="str">
        <f aca="false">_xlfn.UNICHAR(((F376*21)+G376)*28+44032)</f>
        <v>히</v>
      </c>
      <c r="I376" s="16" t="n">
        <f aca="false">IF(B376=-1, 1, COUNTIF($A$2:$A$3000, H376))</f>
        <v>1</v>
      </c>
      <c r="J376" s="10" t="str">
        <f aca="false">_xlfn.CONCAT(A376, ",",H376,",",I376)</f>
        <v>뇜,히,1</v>
      </c>
      <c r="K376" s="16" t="n">
        <f aca="false">IF(B376=-1,-1,VLOOKUP(C376,$T$1:$V$20,3))</f>
        <v>3</v>
      </c>
      <c r="L376" s="16" t="n">
        <f aca="false">IF(B376=-1,-1,VLOOKUP(D376,$Y$1:$AA$22,3))</f>
        <v>22</v>
      </c>
      <c r="N376" s="10" t="str">
        <f aca="false">_xlfn.UNICHAR(((C376*21)+G376)*28+44032)</f>
        <v>니</v>
      </c>
      <c r="O376" s="10" t="str">
        <f aca="false">_xlfn.UNICHAR(((F376*21)+D376)*28+44032)</f>
        <v>회</v>
      </c>
      <c r="P376" s="12" t="n">
        <f aca="false">COUNTIF($A$2:$A$3000, N376) + COUNTIF($A$2:$A$3000, O376)</f>
        <v>2</v>
      </c>
      <c r="Q376" s="16" t="str">
        <f aca="false">IF(OR(B376=-1,I376=0, P376&lt;&gt;2), "albhed_dummy", _xlfn.CONCAT("albhed ", RIGHT("  " &amp; K376,2),", ", RIGHT("  " &amp; L376,2), ", " ,"""",H376,""", ", """",N376,""", ","""",O376,""""," ; ", A376))</f>
        <v>albhed  3, 22, "히", "니", "회" ; 뇜</v>
      </c>
    </row>
    <row r="377" customFormat="false" ht="17.9" hidden="false" customHeight="true" outlineLevel="0" collapsed="false">
      <c r="A377" s="16" t="s">
        <v>1253</v>
      </c>
      <c r="B377" s="16" t="n">
        <f aca="false">IF(_xlfn.UNICODE(A377)&lt;44032,-1,_xlfn.UNICODE(A377)-44032)</f>
        <v>1501</v>
      </c>
      <c r="C377" s="16" t="n">
        <f aca="false">IF(B377=-1,-1,INT((B377/28)/21))</f>
        <v>2</v>
      </c>
      <c r="D377" s="16" t="n">
        <f aca="false">IF(B377=-1, -1, MOD(INT(B377/28),21))</f>
        <v>11</v>
      </c>
      <c r="E377" s="16" t="n">
        <f aca="false">IF(B377=-1, -1, VLOOKUP(MOD(B377,28), $T$24:$U$52,2))</f>
        <v>17</v>
      </c>
      <c r="F377" s="16" t="n">
        <f aca="false">IF($B377=-1, -1, VLOOKUP(C377,$T$1:$V$20, 2))</f>
        <v>18</v>
      </c>
      <c r="G377" s="16" t="n">
        <f aca="false">IF($B377=-1, -1, VLOOKUP(D377,$Y$1:$Z$22,2))</f>
        <v>20</v>
      </c>
      <c r="H377" s="16" t="str">
        <f aca="false">_xlfn.UNICHAR(((F377*21)+G377)*28+44032)</f>
        <v>히</v>
      </c>
      <c r="I377" s="16" t="n">
        <f aca="false">IF(B377=-1, 1, COUNTIF($A$2:$A$3000, H377))</f>
        <v>1</v>
      </c>
      <c r="J377" s="10" t="str">
        <f aca="false">_xlfn.CONCAT(A377, ",",H377,",",I377)</f>
        <v>뇝,히,1</v>
      </c>
      <c r="K377" s="16" t="n">
        <f aca="false">IF(B377=-1,-1,VLOOKUP(C377,$T$1:$V$20,3))</f>
        <v>3</v>
      </c>
      <c r="L377" s="16" t="n">
        <f aca="false">IF(B377=-1,-1,VLOOKUP(D377,$Y$1:$AA$22,3))</f>
        <v>22</v>
      </c>
      <c r="N377" s="10" t="str">
        <f aca="false">_xlfn.UNICHAR(((C377*21)+G377)*28+44032)</f>
        <v>니</v>
      </c>
      <c r="O377" s="10" t="str">
        <f aca="false">_xlfn.UNICHAR(((F377*21)+D377)*28+44032)</f>
        <v>회</v>
      </c>
      <c r="P377" s="12" t="n">
        <f aca="false">COUNTIF($A$2:$A$3000, N377) + COUNTIF($A$2:$A$3000, O377)</f>
        <v>2</v>
      </c>
      <c r="Q377" s="16" t="str">
        <f aca="false">IF(OR(B377=-1,I377=0, P377&lt;&gt;2), "albhed_dummy", _xlfn.CONCAT("albhed ", RIGHT("  " &amp; K377,2),", ", RIGHT("  " &amp; L377,2), ", " ,"""",H377,""", ", """",N377,""", ","""",O377,""""," ; ", A377))</f>
        <v>albhed  3, 22, "히", "니", "회" ; 뇝</v>
      </c>
    </row>
    <row r="378" customFormat="false" ht="17.9" hidden="false" customHeight="true" outlineLevel="0" collapsed="false">
      <c r="A378" s="16" t="s">
        <v>1254</v>
      </c>
      <c r="B378" s="16" t="n">
        <f aca="false">IF(_xlfn.UNICODE(A378)&lt;44032,-1,_xlfn.UNICODE(A378)-44032)</f>
        <v>1503</v>
      </c>
      <c r="C378" s="16" t="n">
        <f aca="false">IF(B378=-1,-1,INT((B378/28)/21))</f>
        <v>2</v>
      </c>
      <c r="D378" s="16" t="n">
        <f aca="false">IF(B378=-1, -1, MOD(INT(B378/28),21))</f>
        <v>11</v>
      </c>
      <c r="E378" s="16" t="n">
        <f aca="false">IF(B378=-1, -1, VLOOKUP(MOD(B378,28), $T$24:$U$52,2))</f>
        <v>19</v>
      </c>
      <c r="F378" s="16" t="n">
        <f aca="false">IF($B378=-1, -1, VLOOKUP(C378,$T$1:$V$20, 2))</f>
        <v>18</v>
      </c>
      <c r="G378" s="16" t="n">
        <f aca="false">IF($B378=-1, -1, VLOOKUP(D378,$Y$1:$Z$22,2))</f>
        <v>20</v>
      </c>
      <c r="H378" s="16" t="str">
        <f aca="false">_xlfn.UNICHAR(((F378*21)+G378)*28+44032)</f>
        <v>히</v>
      </c>
      <c r="I378" s="16" t="n">
        <f aca="false">IF(B378=-1, 1, COUNTIF($A$2:$A$3000, H378))</f>
        <v>1</v>
      </c>
      <c r="J378" s="10" t="str">
        <f aca="false">_xlfn.CONCAT(A378, ",",H378,",",I378)</f>
        <v>뇟,히,1</v>
      </c>
      <c r="K378" s="16" t="n">
        <f aca="false">IF(B378=-1,-1,VLOOKUP(C378,$T$1:$V$20,3))</f>
        <v>3</v>
      </c>
      <c r="L378" s="16" t="n">
        <f aca="false">IF(B378=-1,-1,VLOOKUP(D378,$Y$1:$AA$22,3))</f>
        <v>22</v>
      </c>
      <c r="N378" s="10" t="str">
        <f aca="false">_xlfn.UNICHAR(((C378*21)+G378)*28+44032)</f>
        <v>니</v>
      </c>
      <c r="O378" s="10" t="str">
        <f aca="false">_xlfn.UNICHAR(((F378*21)+D378)*28+44032)</f>
        <v>회</v>
      </c>
      <c r="P378" s="12" t="n">
        <f aca="false">COUNTIF($A$2:$A$3000, N378) + COUNTIF($A$2:$A$3000, O378)</f>
        <v>2</v>
      </c>
      <c r="Q378" s="16" t="str">
        <f aca="false">IF(OR(B378=-1,I378=0, P378&lt;&gt;2), "albhed_dummy", _xlfn.CONCAT("albhed ", RIGHT("  " &amp; K378,2),", ", RIGHT("  " &amp; L378,2), ", " ,"""",H378,""", ", """",N378,""", ","""",O378,""""," ; ", A378))</f>
        <v>albhed  3, 22, "히", "니", "회" ; 뇟</v>
      </c>
    </row>
    <row r="379" customFormat="false" ht="17.9" hidden="false" customHeight="true" outlineLevel="0" collapsed="false">
      <c r="A379" s="16" t="s">
        <v>1255</v>
      </c>
      <c r="B379" s="16" t="n">
        <f aca="false">IF(_xlfn.UNICODE(A379)&lt;44032,-1,_xlfn.UNICODE(A379)-44032)</f>
        <v>1512</v>
      </c>
      <c r="C379" s="16" t="n">
        <f aca="false">IF(B379=-1,-1,INT((B379/28)/21))</f>
        <v>2</v>
      </c>
      <c r="D379" s="16" t="n">
        <f aca="false">IF(B379=-1, -1, MOD(INT(B379/28),21))</f>
        <v>12</v>
      </c>
      <c r="E379" s="16" t="n">
        <f aca="false">IF(B379=-1, -1, VLOOKUP(MOD(B379,28), $T$24:$U$52,2))</f>
        <v>0</v>
      </c>
      <c r="F379" s="16" t="n">
        <f aca="false">IF($B379=-1, -1, VLOOKUP(C379,$T$1:$V$20, 2))</f>
        <v>18</v>
      </c>
      <c r="G379" s="16" t="n">
        <f aca="false">IF($B379=-1, -1, VLOOKUP(D379,$Y$1:$Z$22,2))</f>
        <v>6</v>
      </c>
      <c r="H379" s="16" t="str">
        <f aca="false">_xlfn.UNICHAR(((F379*21)+G379)*28+44032)</f>
        <v>혀</v>
      </c>
      <c r="I379" s="16" t="n">
        <f aca="false">IF(B379=-1, 1, COUNTIF($A$2:$A$3000, H379))</f>
        <v>1</v>
      </c>
      <c r="J379" s="10" t="str">
        <f aca="false">_xlfn.CONCAT(A379, ",",H379,",",I379)</f>
        <v>뇨,혀,1</v>
      </c>
      <c r="K379" s="16" t="n">
        <f aca="false">IF(B379=-1,-1,VLOOKUP(C379,$T$1:$V$20,3))</f>
        <v>3</v>
      </c>
      <c r="L379" s="16" t="n">
        <f aca="false">IF(B379=-1,-1,VLOOKUP(D379,$Y$1:$AA$22,3))</f>
        <v>8</v>
      </c>
      <c r="N379" s="10" t="str">
        <f aca="false">_xlfn.UNICHAR(((C379*21)+G379)*28+44032)</f>
        <v>녀</v>
      </c>
      <c r="O379" s="10" t="str">
        <f aca="false">_xlfn.UNICHAR(((F379*21)+D379)*28+44032)</f>
        <v>효</v>
      </c>
      <c r="P379" s="12" t="n">
        <f aca="false">COUNTIF($A$2:$A$3000, N379) + COUNTIF($A$2:$A$3000, O379)</f>
        <v>2</v>
      </c>
      <c r="Q379" s="16" t="str">
        <f aca="false">IF(OR(B379=-1,I379=0, P379&lt;&gt;2), "albhed_dummy", _xlfn.CONCAT("albhed ", RIGHT("  " &amp; K379,2),", ", RIGHT("  " &amp; L379,2), ", " ,"""",H379,""", ", """",N379,""", ","""",O379,""""," ; ", A379))</f>
        <v>albhed  3,  8, "혀", "녀", "효" ; 뇨</v>
      </c>
    </row>
    <row r="380" customFormat="false" ht="17.9" hidden="false" customHeight="true" outlineLevel="0" collapsed="false">
      <c r="A380" s="16" t="s">
        <v>1256</v>
      </c>
      <c r="B380" s="16" t="n">
        <f aca="false">IF(_xlfn.UNICODE(A380)&lt;44032,-1,_xlfn.UNICODE(A380)-44032)</f>
        <v>1513</v>
      </c>
      <c r="C380" s="16" t="n">
        <f aca="false">IF(B380=-1,-1,INT((B380/28)/21))</f>
        <v>2</v>
      </c>
      <c r="D380" s="16" t="n">
        <f aca="false">IF(B380=-1, -1, MOD(INT(B380/28),21))</f>
        <v>12</v>
      </c>
      <c r="E380" s="16" t="n">
        <f aca="false">IF(B380=-1, -1, VLOOKUP(MOD(B380,28), $T$24:$U$52,2))</f>
        <v>1</v>
      </c>
      <c r="F380" s="16" t="n">
        <f aca="false">IF($B380=-1, -1, VLOOKUP(C380,$T$1:$V$20, 2))</f>
        <v>18</v>
      </c>
      <c r="G380" s="16" t="n">
        <f aca="false">IF($B380=-1, -1, VLOOKUP(D380,$Y$1:$Z$22,2))</f>
        <v>6</v>
      </c>
      <c r="H380" s="16" t="str">
        <f aca="false">_xlfn.UNICHAR(((F380*21)+G380)*28+44032)</f>
        <v>혀</v>
      </c>
      <c r="I380" s="16" t="n">
        <f aca="false">IF(B380=-1, 1, COUNTIF($A$2:$A$3000, H380))</f>
        <v>1</v>
      </c>
      <c r="J380" s="10" t="str">
        <f aca="false">_xlfn.CONCAT(A380, ",",H380,",",I380)</f>
        <v>뇩,혀,1</v>
      </c>
      <c r="K380" s="16" t="n">
        <f aca="false">IF(B380=-1,-1,VLOOKUP(C380,$T$1:$V$20,3))</f>
        <v>3</v>
      </c>
      <c r="L380" s="16" t="n">
        <f aca="false">IF(B380=-1,-1,VLOOKUP(D380,$Y$1:$AA$22,3))</f>
        <v>8</v>
      </c>
      <c r="N380" s="10" t="str">
        <f aca="false">_xlfn.UNICHAR(((C380*21)+G380)*28+44032)</f>
        <v>녀</v>
      </c>
      <c r="O380" s="10" t="str">
        <f aca="false">_xlfn.UNICHAR(((F380*21)+D380)*28+44032)</f>
        <v>효</v>
      </c>
      <c r="P380" s="12" t="n">
        <f aca="false">COUNTIF($A$2:$A$3000, N380) + COUNTIF($A$2:$A$3000, O380)</f>
        <v>2</v>
      </c>
      <c r="Q380" s="16" t="str">
        <f aca="false">IF(OR(B380=-1,I380=0, P380&lt;&gt;2), "albhed_dummy", _xlfn.CONCAT("albhed ", RIGHT("  " &amp; K380,2),", ", RIGHT("  " &amp; L380,2), ", " ,"""",H380,""", ", """",N380,""", ","""",O380,""""," ; ", A380))</f>
        <v>albhed  3,  8, "혀", "녀", "효" ; 뇩</v>
      </c>
    </row>
    <row r="381" customFormat="false" ht="17.9" hidden="false" customHeight="true" outlineLevel="0" collapsed="false">
      <c r="A381" s="16" t="s">
        <v>1257</v>
      </c>
      <c r="B381" s="16" t="n">
        <f aca="false">IF(_xlfn.UNICODE(A381)&lt;44032,-1,_xlfn.UNICODE(A381)-44032)</f>
        <v>1516</v>
      </c>
      <c r="C381" s="16" t="n">
        <f aca="false">IF(B381=-1,-1,INT((B381/28)/21))</f>
        <v>2</v>
      </c>
      <c r="D381" s="16" t="n">
        <f aca="false">IF(B381=-1, -1, MOD(INT(B381/28),21))</f>
        <v>12</v>
      </c>
      <c r="E381" s="16" t="n">
        <f aca="false">IF(B381=-1, -1, VLOOKUP(MOD(B381,28), $T$24:$U$52,2))</f>
        <v>4</v>
      </c>
      <c r="F381" s="16" t="n">
        <f aca="false">IF($B381=-1, -1, VLOOKUP(C381,$T$1:$V$20, 2))</f>
        <v>18</v>
      </c>
      <c r="G381" s="16" t="n">
        <f aca="false">IF($B381=-1, -1, VLOOKUP(D381,$Y$1:$Z$22,2))</f>
        <v>6</v>
      </c>
      <c r="H381" s="16" t="str">
        <f aca="false">_xlfn.UNICHAR(((F381*21)+G381)*28+44032)</f>
        <v>혀</v>
      </c>
      <c r="I381" s="16" t="n">
        <f aca="false">IF(B381=-1, 1, COUNTIF($A$2:$A$3000, H381))</f>
        <v>1</v>
      </c>
      <c r="J381" s="10" t="str">
        <f aca="false">_xlfn.CONCAT(A381, ",",H381,",",I381)</f>
        <v>뇬,혀,1</v>
      </c>
      <c r="K381" s="16" t="n">
        <f aca="false">IF(B381=-1,-1,VLOOKUP(C381,$T$1:$V$20,3))</f>
        <v>3</v>
      </c>
      <c r="L381" s="16" t="n">
        <f aca="false">IF(B381=-1,-1,VLOOKUP(D381,$Y$1:$AA$22,3))</f>
        <v>8</v>
      </c>
      <c r="N381" s="10" t="str">
        <f aca="false">_xlfn.UNICHAR(((C381*21)+G381)*28+44032)</f>
        <v>녀</v>
      </c>
      <c r="O381" s="10" t="str">
        <f aca="false">_xlfn.UNICHAR(((F381*21)+D381)*28+44032)</f>
        <v>효</v>
      </c>
      <c r="P381" s="12" t="n">
        <f aca="false">COUNTIF($A$2:$A$3000, N381) + COUNTIF($A$2:$A$3000, O381)</f>
        <v>2</v>
      </c>
      <c r="Q381" s="16" t="str">
        <f aca="false">IF(OR(B381=-1,I381=0, P381&lt;&gt;2), "albhed_dummy", _xlfn.CONCAT("albhed ", RIGHT("  " &amp; K381,2),", ", RIGHT("  " &amp; L381,2), ", " ,"""",H381,""", ", """",N381,""", ","""",O381,""""," ; ", A381))</f>
        <v>albhed  3,  8, "혀", "녀", "효" ; 뇬</v>
      </c>
    </row>
    <row r="382" customFormat="false" ht="17.9" hidden="false" customHeight="true" outlineLevel="0" collapsed="false">
      <c r="A382" s="16" t="s">
        <v>1258</v>
      </c>
      <c r="B382" s="16" t="n">
        <f aca="false">IF(_xlfn.UNICODE(A382)&lt;44032,-1,_xlfn.UNICODE(A382)-44032)</f>
        <v>1520</v>
      </c>
      <c r="C382" s="16" t="n">
        <f aca="false">IF(B382=-1,-1,INT((B382/28)/21))</f>
        <v>2</v>
      </c>
      <c r="D382" s="16" t="n">
        <f aca="false">IF(B382=-1, -1, MOD(INT(B382/28),21))</f>
        <v>12</v>
      </c>
      <c r="E382" s="16" t="n">
        <f aca="false">IF(B382=-1, -1, VLOOKUP(MOD(B382,28), $T$24:$U$52,2))</f>
        <v>8</v>
      </c>
      <c r="F382" s="16" t="n">
        <f aca="false">IF($B382=-1, -1, VLOOKUP(C382,$T$1:$V$20, 2))</f>
        <v>18</v>
      </c>
      <c r="G382" s="16" t="n">
        <f aca="false">IF($B382=-1, -1, VLOOKUP(D382,$Y$1:$Z$22,2))</f>
        <v>6</v>
      </c>
      <c r="H382" s="16" t="str">
        <f aca="false">_xlfn.UNICHAR(((F382*21)+G382)*28+44032)</f>
        <v>혀</v>
      </c>
      <c r="I382" s="16" t="n">
        <f aca="false">IF(B382=-1, 1, COUNTIF($A$2:$A$3000, H382))</f>
        <v>1</v>
      </c>
      <c r="J382" s="10" t="str">
        <f aca="false">_xlfn.CONCAT(A382, ",",H382,",",I382)</f>
        <v>뇰,혀,1</v>
      </c>
      <c r="K382" s="16" t="n">
        <f aca="false">IF(B382=-1,-1,VLOOKUP(C382,$T$1:$V$20,3))</f>
        <v>3</v>
      </c>
      <c r="L382" s="16" t="n">
        <f aca="false">IF(B382=-1,-1,VLOOKUP(D382,$Y$1:$AA$22,3))</f>
        <v>8</v>
      </c>
      <c r="N382" s="10" t="str">
        <f aca="false">_xlfn.UNICHAR(((C382*21)+G382)*28+44032)</f>
        <v>녀</v>
      </c>
      <c r="O382" s="10" t="str">
        <f aca="false">_xlfn.UNICHAR(((F382*21)+D382)*28+44032)</f>
        <v>효</v>
      </c>
      <c r="P382" s="12" t="n">
        <f aca="false">COUNTIF($A$2:$A$3000, N382) + COUNTIF($A$2:$A$3000, O382)</f>
        <v>2</v>
      </c>
      <c r="Q382" s="16" t="str">
        <f aca="false">IF(OR(B382=-1,I382=0, P382&lt;&gt;2), "albhed_dummy", _xlfn.CONCAT("albhed ", RIGHT("  " &amp; K382,2),", ", RIGHT("  " &amp; L382,2), ", " ,"""",H382,""", ", """",N382,""", ","""",O382,""""," ; ", A382))</f>
        <v>albhed  3,  8, "혀", "녀", "효" ; 뇰</v>
      </c>
    </row>
    <row r="383" customFormat="false" ht="17.9" hidden="false" customHeight="true" outlineLevel="0" collapsed="false">
      <c r="A383" s="16" t="s">
        <v>1259</v>
      </c>
      <c r="B383" s="16" t="n">
        <f aca="false">IF(_xlfn.UNICODE(A383)&lt;44032,-1,_xlfn.UNICODE(A383)-44032)</f>
        <v>1529</v>
      </c>
      <c r="C383" s="16" t="n">
        <f aca="false">IF(B383=-1,-1,INT((B383/28)/21))</f>
        <v>2</v>
      </c>
      <c r="D383" s="16" t="n">
        <f aca="false">IF(B383=-1, -1, MOD(INT(B383/28),21))</f>
        <v>12</v>
      </c>
      <c r="E383" s="16" t="n">
        <f aca="false">IF(B383=-1, -1, VLOOKUP(MOD(B383,28), $T$24:$U$52,2))</f>
        <v>17</v>
      </c>
      <c r="F383" s="16" t="n">
        <f aca="false">IF($B383=-1, -1, VLOOKUP(C383,$T$1:$V$20, 2))</f>
        <v>18</v>
      </c>
      <c r="G383" s="16" t="n">
        <f aca="false">IF($B383=-1, -1, VLOOKUP(D383,$Y$1:$Z$22,2))</f>
        <v>6</v>
      </c>
      <c r="H383" s="16" t="str">
        <f aca="false">_xlfn.UNICHAR(((F383*21)+G383)*28+44032)</f>
        <v>혀</v>
      </c>
      <c r="I383" s="16" t="n">
        <f aca="false">IF(B383=-1, 1, COUNTIF($A$2:$A$3000, H383))</f>
        <v>1</v>
      </c>
      <c r="J383" s="10" t="str">
        <f aca="false">_xlfn.CONCAT(A383, ",",H383,",",I383)</f>
        <v>뇹,혀,1</v>
      </c>
      <c r="K383" s="16" t="n">
        <f aca="false">IF(B383=-1,-1,VLOOKUP(C383,$T$1:$V$20,3))</f>
        <v>3</v>
      </c>
      <c r="L383" s="16" t="n">
        <f aca="false">IF(B383=-1,-1,VLOOKUP(D383,$Y$1:$AA$22,3))</f>
        <v>8</v>
      </c>
      <c r="N383" s="10" t="str">
        <f aca="false">_xlfn.UNICHAR(((C383*21)+G383)*28+44032)</f>
        <v>녀</v>
      </c>
      <c r="O383" s="10" t="str">
        <f aca="false">_xlfn.UNICHAR(((F383*21)+D383)*28+44032)</f>
        <v>효</v>
      </c>
      <c r="P383" s="12" t="n">
        <f aca="false">COUNTIF($A$2:$A$3000, N383) + COUNTIF($A$2:$A$3000, O383)</f>
        <v>2</v>
      </c>
      <c r="Q383" s="16" t="str">
        <f aca="false">IF(OR(B383=-1,I383=0, P383&lt;&gt;2), "albhed_dummy", _xlfn.CONCAT("albhed ", RIGHT("  " &amp; K383,2),", ", RIGHT("  " &amp; L383,2), ", " ,"""",H383,""", ", """",N383,""", ","""",O383,""""," ; ", A383))</f>
        <v>albhed  3,  8, "혀", "녀", "효" ; 뇹</v>
      </c>
    </row>
    <row r="384" customFormat="false" ht="17.9" hidden="false" customHeight="true" outlineLevel="0" collapsed="false">
      <c r="A384" s="16" t="s">
        <v>1260</v>
      </c>
      <c r="B384" s="16" t="n">
        <f aca="false">IF(_xlfn.UNICODE(A384)&lt;44032,-1,_xlfn.UNICODE(A384)-44032)</f>
        <v>1531</v>
      </c>
      <c r="C384" s="16" t="n">
        <f aca="false">IF(B384=-1,-1,INT((B384/28)/21))</f>
        <v>2</v>
      </c>
      <c r="D384" s="16" t="n">
        <f aca="false">IF(B384=-1, -1, MOD(INT(B384/28),21))</f>
        <v>12</v>
      </c>
      <c r="E384" s="16" t="n">
        <f aca="false">IF(B384=-1, -1, VLOOKUP(MOD(B384,28), $T$24:$U$52,2))</f>
        <v>19</v>
      </c>
      <c r="F384" s="16" t="n">
        <f aca="false">IF($B384=-1, -1, VLOOKUP(C384,$T$1:$V$20, 2))</f>
        <v>18</v>
      </c>
      <c r="G384" s="16" t="n">
        <f aca="false">IF($B384=-1, -1, VLOOKUP(D384,$Y$1:$Z$22,2))</f>
        <v>6</v>
      </c>
      <c r="H384" s="16" t="str">
        <f aca="false">_xlfn.UNICHAR(((F384*21)+G384)*28+44032)</f>
        <v>혀</v>
      </c>
      <c r="I384" s="16" t="n">
        <f aca="false">IF(B384=-1, 1, COUNTIF($A$2:$A$3000, H384))</f>
        <v>1</v>
      </c>
      <c r="J384" s="10" t="str">
        <f aca="false">_xlfn.CONCAT(A384, ",",H384,",",I384)</f>
        <v>뇻,혀,1</v>
      </c>
      <c r="K384" s="16" t="n">
        <f aca="false">IF(B384=-1,-1,VLOOKUP(C384,$T$1:$V$20,3))</f>
        <v>3</v>
      </c>
      <c r="L384" s="16" t="n">
        <f aca="false">IF(B384=-1,-1,VLOOKUP(D384,$Y$1:$AA$22,3))</f>
        <v>8</v>
      </c>
      <c r="N384" s="10" t="str">
        <f aca="false">_xlfn.UNICHAR(((C384*21)+G384)*28+44032)</f>
        <v>녀</v>
      </c>
      <c r="O384" s="10" t="str">
        <f aca="false">_xlfn.UNICHAR(((F384*21)+D384)*28+44032)</f>
        <v>효</v>
      </c>
      <c r="P384" s="12" t="n">
        <f aca="false">COUNTIF($A$2:$A$3000, N384) + COUNTIF($A$2:$A$3000, O384)</f>
        <v>2</v>
      </c>
      <c r="Q384" s="16" t="str">
        <f aca="false">IF(OR(B384=-1,I384=0, P384&lt;&gt;2), "albhed_dummy", _xlfn.CONCAT("albhed ", RIGHT("  " &amp; K384,2),", ", RIGHT("  " &amp; L384,2), ", " ,"""",H384,""", ", """",N384,""", ","""",O384,""""," ; ", A384))</f>
        <v>albhed  3,  8, "혀", "녀", "효" ; 뇻</v>
      </c>
    </row>
    <row r="385" customFormat="false" ht="17.9" hidden="false" customHeight="true" outlineLevel="0" collapsed="false">
      <c r="A385" s="16" t="s">
        <v>1261</v>
      </c>
      <c r="B385" s="16" t="n">
        <f aca="false">IF(_xlfn.UNICODE(A385)&lt;44032,-1,_xlfn.UNICODE(A385)-44032)</f>
        <v>1533</v>
      </c>
      <c r="C385" s="16" t="n">
        <f aca="false">IF(B385=-1,-1,INT((B385/28)/21))</f>
        <v>2</v>
      </c>
      <c r="D385" s="16" t="n">
        <f aca="false">IF(B385=-1, -1, MOD(INT(B385/28),21))</f>
        <v>12</v>
      </c>
      <c r="E385" s="16" t="n">
        <f aca="false">IF(B385=-1, -1, VLOOKUP(MOD(B385,28), $T$24:$U$52,2))</f>
        <v>21</v>
      </c>
      <c r="F385" s="16" t="n">
        <f aca="false">IF($B385=-1, -1, VLOOKUP(C385,$T$1:$V$20, 2))</f>
        <v>18</v>
      </c>
      <c r="G385" s="16" t="n">
        <f aca="false">IF($B385=-1, -1, VLOOKUP(D385,$Y$1:$Z$22,2))</f>
        <v>6</v>
      </c>
      <c r="H385" s="16" t="str">
        <f aca="false">_xlfn.UNICHAR(((F385*21)+G385)*28+44032)</f>
        <v>혀</v>
      </c>
      <c r="I385" s="16" t="n">
        <f aca="false">IF(B385=-1, 1, COUNTIF($A$2:$A$3000, H385))</f>
        <v>1</v>
      </c>
      <c r="J385" s="10" t="str">
        <f aca="false">_xlfn.CONCAT(A385, ",",H385,",",I385)</f>
        <v>뇽,혀,1</v>
      </c>
      <c r="K385" s="16" t="n">
        <f aca="false">IF(B385=-1,-1,VLOOKUP(C385,$T$1:$V$20,3))</f>
        <v>3</v>
      </c>
      <c r="L385" s="16" t="n">
        <f aca="false">IF(B385=-1,-1,VLOOKUP(D385,$Y$1:$AA$22,3))</f>
        <v>8</v>
      </c>
      <c r="N385" s="10" t="str">
        <f aca="false">_xlfn.UNICHAR(((C385*21)+G385)*28+44032)</f>
        <v>녀</v>
      </c>
      <c r="O385" s="10" t="str">
        <f aca="false">_xlfn.UNICHAR(((F385*21)+D385)*28+44032)</f>
        <v>효</v>
      </c>
      <c r="P385" s="12" t="n">
        <f aca="false">COUNTIF($A$2:$A$3000, N385) + COUNTIF($A$2:$A$3000, O385)</f>
        <v>2</v>
      </c>
      <c r="Q385" s="16" t="str">
        <f aca="false">IF(OR(B385=-1,I385=0, P385&lt;&gt;2), "albhed_dummy", _xlfn.CONCAT("albhed ", RIGHT("  " &amp; K385,2),", ", RIGHT("  " &amp; L385,2), ", " ,"""",H385,""", ", """",N385,""", ","""",O385,""""," ; ", A385))</f>
        <v>albhed  3,  8, "혀", "녀", "효" ; 뇽</v>
      </c>
    </row>
    <row r="386" customFormat="false" ht="17.9" hidden="false" customHeight="true" outlineLevel="0" collapsed="false">
      <c r="A386" s="16" t="s">
        <v>1262</v>
      </c>
      <c r="B386" s="16" t="n">
        <f aca="false">IF(_xlfn.UNICODE(A386)&lt;44032,-1,_xlfn.UNICODE(A386)-44032)</f>
        <v>1540</v>
      </c>
      <c r="C386" s="16" t="n">
        <f aca="false">IF(B386=-1,-1,INT((B386/28)/21))</f>
        <v>2</v>
      </c>
      <c r="D386" s="16" t="n">
        <f aca="false">IF(B386=-1, -1, MOD(INT(B386/28),21))</f>
        <v>13</v>
      </c>
      <c r="E386" s="16" t="n">
        <f aca="false">IF(B386=-1, -1, VLOOKUP(MOD(B386,28), $T$24:$U$52,2))</f>
        <v>0</v>
      </c>
      <c r="F386" s="16" t="n">
        <f aca="false">IF($B386=-1, -1, VLOOKUP(C386,$T$1:$V$20, 2))</f>
        <v>18</v>
      </c>
      <c r="G386" s="16" t="n">
        <f aca="false">IF($B386=-1, -1, VLOOKUP(D386,$Y$1:$Z$22,2))</f>
        <v>0</v>
      </c>
      <c r="H386" s="16" t="str">
        <f aca="false">_xlfn.UNICHAR(((F386*21)+G386)*28+44032)</f>
        <v>하</v>
      </c>
      <c r="I386" s="16" t="n">
        <f aca="false">IF(B386=-1, 1, COUNTIF($A$2:$A$3000, H386))</f>
        <v>1</v>
      </c>
      <c r="J386" s="10" t="str">
        <f aca="false">_xlfn.CONCAT(A386, ",",H386,",",I386)</f>
        <v>누,하,1</v>
      </c>
      <c r="K386" s="16" t="n">
        <f aca="false">IF(B386=-1,-1,VLOOKUP(C386,$T$1:$V$20,3))</f>
        <v>3</v>
      </c>
      <c r="L386" s="16" t="n">
        <f aca="false">IF(B386=-1,-1,VLOOKUP(D386,$Y$1:$AA$22,3))</f>
        <v>6</v>
      </c>
      <c r="N386" s="10" t="str">
        <f aca="false">_xlfn.UNICHAR(((C386*21)+G386)*28+44032)</f>
        <v>나</v>
      </c>
      <c r="O386" s="10" t="str">
        <f aca="false">_xlfn.UNICHAR(((F386*21)+D386)*28+44032)</f>
        <v>후</v>
      </c>
      <c r="P386" s="12" t="n">
        <f aca="false">COUNTIF($A$2:$A$3000, N386) + COUNTIF($A$2:$A$3000, O386)</f>
        <v>2</v>
      </c>
      <c r="Q386" s="16" t="str">
        <f aca="false">IF(OR(B386=-1,I386=0, P386&lt;&gt;2), "albhed_dummy", _xlfn.CONCAT("albhed ", RIGHT("  " &amp; K386,2),", ", RIGHT("  " &amp; L386,2), ", " ,"""",H386,""", ", """",N386,""", ","""",O386,""""," ; ", A386))</f>
        <v>albhed  3,  6, "하", "나", "후" ; 누</v>
      </c>
    </row>
    <row r="387" customFormat="false" ht="17.9" hidden="false" customHeight="true" outlineLevel="0" collapsed="false">
      <c r="A387" s="16" t="s">
        <v>1263</v>
      </c>
      <c r="B387" s="16" t="n">
        <f aca="false">IF(_xlfn.UNICODE(A387)&lt;44032,-1,_xlfn.UNICODE(A387)-44032)</f>
        <v>1541</v>
      </c>
      <c r="C387" s="16" t="n">
        <f aca="false">IF(B387=-1,-1,INT((B387/28)/21))</f>
        <v>2</v>
      </c>
      <c r="D387" s="16" t="n">
        <f aca="false">IF(B387=-1, -1, MOD(INT(B387/28),21))</f>
        <v>13</v>
      </c>
      <c r="E387" s="16" t="n">
        <f aca="false">IF(B387=-1, -1, VLOOKUP(MOD(B387,28), $T$24:$U$52,2))</f>
        <v>1</v>
      </c>
      <c r="F387" s="16" t="n">
        <f aca="false">IF($B387=-1, -1, VLOOKUP(C387,$T$1:$V$20, 2))</f>
        <v>18</v>
      </c>
      <c r="G387" s="16" t="n">
        <f aca="false">IF($B387=-1, -1, VLOOKUP(D387,$Y$1:$Z$22,2))</f>
        <v>0</v>
      </c>
      <c r="H387" s="16" t="str">
        <f aca="false">_xlfn.UNICHAR(((F387*21)+G387)*28+44032)</f>
        <v>하</v>
      </c>
      <c r="I387" s="16" t="n">
        <f aca="false">IF(B387=-1, 1, COUNTIF($A$2:$A$3000, H387))</f>
        <v>1</v>
      </c>
      <c r="J387" s="10" t="str">
        <f aca="false">_xlfn.CONCAT(A387, ",",H387,",",I387)</f>
        <v>눅,하,1</v>
      </c>
      <c r="K387" s="16" t="n">
        <f aca="false">IF(B387=-1,-1,VLOOKUP(C387,$T$1:$V$20,3))</f>
        <v>3</v>
      </c>
      <c r="L387" s="16" t="n">
        <f aca="false">IF(B387=-1,-1,VLOOKUP(D387,$Y$1:$AA$22,3))</f>
        <v>6</v>
      </c>
      <c r="N387" s="10" t="str">
        <f aca="false">_xlfn.UNICHAR(((C387*21)+G387)*28+44032)</f>
        <v>나</v>
      </c>
      <c r="O387" s="10" t="str">
        <f aca="false">_xlfn.UNICHAR(((F387*21)+D387)*28+44032)</f>
        <v>후</v>
      </c>
      <c r="P387" s="12" t="n">
        <f aca="false">COUNTIF($A$2:$A$3000, N387) + COUNTIF($A$2:$A$3000, O387)</f>
        <v>2</v>
      </c>
      <c r="Q387" s="16" t="str">
        <f aca="false">IF(OR(B387=-1,I387=0, P387&lt;&gt;2), "albhed_dummy", _xlfn.CONCAT("albhed ", RIGHT("  " &amp; K387,2),", ", RIGHT("  " &amp; L387,2), ", " ,"""",H387,""", ", """",N387,""", ","""",O387,""""," ; ", A387))</f>
        <v>albhed  3,  6, "하", "나", "후" ; 눅</v>
      </c>
    </row>
    <row r="388" customFormat="false" ht="17.9" hidden="false" customHeight="true" outlineLevel="0" collapsed="false">
      <c r="A388" s="16" t="s">
        <v>1264</v>
      </c>
      <c r="B388" s="16" t="n">
        <f aca="false">IF(_xlfn.UNICODE(A388)&lt;44032,-1,_xlfn.UNICODE(A388)-44032)</f>
        <v>1544</v>
      </c>
      <c r="C388" s="16" t="n">
        <f aca="false">IF(B388=-1,-1,INT((B388/28)/21))</f>
        <v>2</v>
      </c>
      <c r="D388" s="16" t="n">
        <f aca="false">IF(B388=-1, -1, MOD(INT(B388/28),21))</f>
        <v>13</v>
      </c>
      <c r="E388" s="16" t="n">
        <f aca="false">IF(B388=-1, -1, VLOOKUP(MOD(B388,28), $T$24:$U$52,2))</f>
        <v>4</v>
      </c>
      <c r="F388" s="16" t="n">
        <f aca="false">IF($B388=-1, -1, VLOOKUP(C388,$T$1:$V$20, 2))</f>
        <v>18</v>
      </c>
      <c r="G388" s="16" t="n">
        <f aca="false">IF($B388=-1, -1, VLOOKUP(D388,$Y$1:$Z$22,2))</f>
        <v>0</v>
      </c>
      <c r="H388" s="16" t="str">
        <f aca="false">_xlfn.UNICHAR(((F388*21)+G388)*28+44032)</f>
        <v>하</v>
      </c>
      <c r="I388" s="16" t="n">
        <f aca="false">IF(B388=-1, 1, COUNTIF($A$2:$A$3000, H388))</f>
        <v>1</v>
      </c>
      <c r="J388" s="10" t="str">
        <f aca="false">_xlfn.CONCAT(A388, ",",H388,",",I388)</f>
        <v>눈,하,1</v>
      </c>
      <c r="K388" s="16" t="n">
        <f aca="false">IF(B388=-1,-1,VLOOKUP(C388,$T$1:$V$20,3))</f>
        <v>3</v>
      </c>
      <c r="L388" s="16" t="n">
        <f aca="false">IF(B388=-1,-1,VLOOKUP(D388,$Y$1:$AA$22,3))</f>
        <v>6</v>
      </c>
      <c r="N388" s="10" t="str">
        <f aca="false">_xlfn.UNICHAR(((C388*21)+G388)*28+44032)</f>
        <v>나</v>
      </c>
      <c r="O388" s="10" t="str">
        <f aca="false">_xlfn.UNICHAR(((F388*21)+D388)*28+44032)</f>
        <v>후</v>
      </c>
      <c r="P388" s="12" t="n">
        <f aca="false">COUNTIF($A$2:$A$3000, N388) + COUNTIF($A$2:$A$3000, O388)</f>
        <v>2</v>
      </c>
      <c r="Q388" s="16" t="str">
        <f aca="false">IF(OR(B388=-1,I388=0, P388&lt;&gt;2), "albhed_dummy", _xlfn.CONCAT("albhed ", RIGHT("  " &amp; K388,2),", ", RIGHT("  " &amp; L388,2), ", " ,"""",H388,""", ", """",N388,""", ","""",O388,""""," ; ", A388))</f>
        <v>albhed  3,  6, "하", "나", "후" ; 눈</v>
      </c>
    </row>
    <row r="389" customFormat="false" ht="17.9" hidden="false" customHeight="true" outlineLevel="0" collapsed="false">
      <c r="A389" s="16" t="s">
        <v>1265</v>
      </c>
      <c r="B389" s="16" t="n">
        <f aca="false">IF(_xlfn.UNICODE(A389)&lt;44032,-1,_xlfn.UNICODE(A389)-44032)</f>
        <v>1547</v>
      </c>
      <c r="C389" s="16" t="n">
        <f aca="false">IF(B389=-1,-1,INT((B389/28)/21))</f>
        <v>2</v>
      </c>
      <c r="D389" s="16" t="n">
        <f aca="false">IF(B389=-1, -1, MOD(INT(B389/28),21))</f>
        <v>13</v>
      </c>
      <c r="E389" s="16" t="n">
        <f aca="false">IF(B389=-1, -1, VLOOKUP(MOD(B389,28), $T$24:$U$52,2))</f>
        <v>19</v>
      </c>
      <c r="F389" s="16" t="n">
        <f aca="false">IF($B389=-1, -1, VLOOKUP(C389,$T$1:$V$20, 2))</f>
        <v>18</v>
      </c>
      <c r="G389" s="16" t="n">
        <f aca="false">IF($B389=-1, -1, VLOOKUP(D389,$Y$1:$Z$22,2))</f>
        <v>0</v>
      </c>
      <c r="H389" s="16" t="str">
        <f aca="false">_xlfn.UNICHAR(((F389*21)+G389)*28+44032)</f>
        <v>하</v>
      </c>
      <c r="I389" s="16" t="n">
        <f aca="false">IF(B389=-1, 1, COUNTIF($A$2:$A$3000, H389))</f>
        <v>1</v>
      </c>
      <c r="J389" s="10" t="str">
        <f aca="false">_xlfn.CONCAT(A389, ",",H389,",",I389)</f>
        <v>눋,하,1</v>
      </c>
      <c r="K389" s="16" t="n">
        <f aca="false">IF(B389=-1,-1,VLOOKUP(C389,$T$1:$V$20,3))</f>
        <v>3</v>
      </c>
      <c r="L389" s="16" t="n">
        <f aca="false">IF(B389=-1,-1,VLOOKUP(D389,$Y$1:$AA$22,3))</f>
        <v>6</v>
      </c>
      <c r="N389" s="10" t="str">
        <f aca="false">_xlfn.UNICHAR(((C389*21)+G389)*28+44032)</f>
        <v>나</v>
      </c>
      <c r="O389" s="10" t="str">
        <f aca="false">_xlfn.UNICHAR(((F389*21)+D389)*28+44032)</f>
        <v>후</v>
      </c>
      <c r="P389" s="12" t="n">
        <f aca="false">COUNTIF($A$2:$A$3000, N389) + COUNTIF($A$2:$A$3000, O389)</f>
        <v>2</v>
      </c>
      <c r="Q389" s="16" t="str">
        <f aca="false">IF(OR(B389=-1,I389=0, P389&lt;&gt;2), "albhed_dummy", _xlfn.CONCAT("albhed ", RIGHT("  " &amp; K389,2),", ", RIGHT("  " &amp; L389,2), ", " ,"""",H389,""", ", """",N389,""", ","""",O389,""""," ; ", A389))</f>
        <v>albhed  3,  6, "하", "나", "후" ; 눋</v>
      </c>
    </row>
    <row r="390" customFormat="false" ht="17.9" hidden="false" customHeight="true" outlineLevel="0" collapsed="false">
      <c r="A390" s="16" t="s">
        <v>1266</v>
      </c>
      <c r="B390" s="16" t="n">
        <f aca="false">IF(_xlfn.UNICODE(A390)&lt;44032,-1,_xlfn.UNICODE(A390)-44032)</f>
        <v>1548</v>
      </c>
      <c r="C390" s="16" t="n">
        <f aca="false">IF(B390=-1,-1,INT((B390/28)/21))</f>
        <v>2</v>
      </c>
      <c r="D390" s="16" t="n">
        <f aca="false">IF(B390=-1, -1, MOD(INT(B390/28),21))</f>
        <v>13</v>
      </c>
      <c r="E390" s="16" t="n">
        <f aca="false">IF(B390=-1, -1, VLOOKUP(MOD(B390,28), $T$24:$U$52,2))</f>
        <v>8</v>
      </c>
      <c r="F390" s="16" t="n">
        <f aca="false">IF($B390=-1, -1, VLOOKUP(C390,$T$1:$V$20, 2))</f>
        <v>18</v>
      </c>
      <c r="G390" s="16" t="n">
        <f aca="false">IF($B390=-1, -1, VLOOKUP(D390,$Y$1:$Z$22,2))</f>
        <v>0</v>
      </c>
      <c r="H390" s="16" t="str">
        <f aca="false">_xlfn.UNICHAR(((F390*21)+G390)*28+44032)</f>
        <v>하</v>
      </c>
      <c r="I390" s="16" t="n">
        <f aca="false">IF(B390=-1, 1, COUNTIF($A$2:$A$3000, H390))</f>
        <v>1</v>
      </c>
      <c r="J390" s="10" t="str">
        <f aca="false">_xlfn.CONCAT(A390, ",",H390,",",I390)</f>
        <v>눌,하,1</v>
      </c>
      <c r="K390" s="16" t="n">
        <f aca="false">IF(B390=-1,-1,VLOOKUP(C390,$T$1:$V$20,3))</f>
        <v>3</v>
      </c>
      <c r="L390" s="16" t="n">
        <f aca="false">IF(B390=-1,-1,VLOOKUP(D390,$Y$1:$AA$22,3))</f>
        <v>6</v>
      </c>
      <c r="N390" s="10" t="str">
        <f aca="false">_xlfn.UNICHAR(((C390*21)+G390)*28+44032)</f>
        <v>나</v>
      </c>
      <c r="O390" s="10" t="str">
        <f aca="false">_xlfn.UNICHAR(((F390*21)+D390)*28+44032)</f>
        <v>후</v>
      </c>
      <c r="P390" s="12" t="n">
        <f aca="false">COUNTIF($A$2:$A$3000, N390) + COUNTIF($A$2:$A$3000, O390)</f>
        <v>2</v>
      </c>
      <c r="Q390" s="16" t="str">
        <f aca="false">IF(OR(B390=-1,I390=0, P390&lt;&gt;2), "albhed_dummy", _xlfn.CONCAT("albhed ", RIGHT("  " &amp; K390,2),", ", RIGHT("  " &amp; L390,2), ", " ,"""",H390,""", ", """",N390,""", ","""",O390,""""," ; ", A390))</f>
        <v>albhed  3,  6, "하", "나", "후" ; 눌</v>
      </c>
    </row>
    <row r="391" customFormat="false" ht="17.9" hidden="false" customHeight="true" outlineLevel="0" collapsed="false">
      <c r="A391" s="16" t="s">
        <v>1267</v>
      </c>
      <c r="B391" s="16" t="n">
        <f aca="false">IF(_xlfn.UNICODE(A391)&lt;44032,-1,_xlfn.UNICODE(A391)-44032)</f>
        <v>1556</v>
      </c>
      <c r="C391" s="16" t="n">
        <f aca="false">IF(B391=-1,-1,INT((B391/28)/21))</f>
        <v>2</v>
      </c>
      <c r="D391" s="16" t="n">
        <f aca="false">IF(B391=-1, -1, MOD(INT(B391/28),21))</f>
        <v>13</v>
      </c>
      <c r="E391" s="16" t="n">
        <f aca="false">IF(B391=-1, -1, VLOOKUP(MOD(B391,28), $T$24:$U$52,2))</f>
        <v>16</v>
      </c>
      <c r="F391" s="16" t="n">
        <f aca="false">IF($B391=-1, -1, VLOOKUP(C391,$T$1:$V$20, 2))</f>
        <v>18</v>
      </c>
      <c r="G391" s="16" t="n">
        <f aca="false">IF($B391=-1, -1, VLOOKUP(D391,$Y$1:$Z$22,2))</f>
        <v>0</v>
      </c>
      <c r="H391" s="16" t="str">
        <f aca="false">_xlfn.UNICHAR(((F391*21)+G391)*28+44032)</f>
        <v>하</v>
      </c>
      <c r="I391" s="16" t="n">
        <f aca="false">IF(B391=-1, 1, COUNTIF($A$2:$A$3000, H391))</f>
        <v>1</v>
      </c>
      <c r="J391" s="10" t="str">
        <f aca="false">_xlfn.CONCAT(A391, ",",H391,",",I391)</f>
        <v>눔,하,1</v>
      </c>
      <c r="K391" s="16" t="n">
        <f aca="false">IF(B391=-1,-1,VLOOKUP(C391,$T$1:$V$20,3))</f>
        <v>3</v>
      </c>
      <c r="L391" s="16" t="n">
        <f aca="false">IF(B391=-1,-1,VLOOKUP(D391,$Y$1:$AA$22,3))</f>
        <v>6</v>
      </c>
      <c r="N391" s="10" t="str">
        <f aca="false">_xlfn.UNICHAR(((C391*21)+G391)*28+44032)</f>
        <v>나</v>
      </c>
      <c r="O391" s="10" t="str">
        <f aca="false">_xlfn.UNICHAR(((F391*21)+D391)*28+44032)</f>
        <v>후</v>
      </c>
      <c r="P391" s="12" t="n">
        <f aca="false">COUNTIF($A$2:$A$3000, N391) + COUNTIF($A$2:$A$3000, O391)</f>
        <v>2</v>
      </c>
      <c r="Q391" s="16" t="str">
        <f aca="false">IF(OR(B391=-1,I391=0, P391&lt;&gt;2), "albhed_dummy", _xlfn.CONCAT("albhed ", RIGHT("  " &amp; K391,2),", ", RIGHT("  " &amp; L391,2), ", " ,"""",H391,""", ", """",N391,""", ","""",O391,""""," ; ", A391))</f>
        <v>albhed  3,  6, "하", "나", "후" ; 눔</v>
      </c>
    </row>
    <row r="392" customFormat="false" ht="17.9" hidden="false" customHeight="true" outlineLevel="0" collapsed="false">
      <c r="A392" s="16" t="s">
        <v>1268</v>
      </c>
      <c r="B392" s="16" t="n">
        <f aca="false">IF(_xlfn.UNICODE(A392)&lt;44032,-1,_xlfn.UNICODE(A392)-44032)</f>
        <v>1557</v>
      </c>
      <c r="C392" s="16" t="n">
        <f aca="false">IF(B392=-1,-1,INT((B392/28)/21))</f>
        <v>2</v>
      </c>
      <c r="D392" s="16" t="n">
        <f aca="false">IF(B392=-1, -1, MOD(INT(B392/28),21))</f>
        <v>13</v>
      </c>
      <c r="E392" s="16" t="n">
        <f aca="false">IF(B392=-1, -1, VLOOKUP(MOD(B392,28), $T$24:$U$52,2))</f>
        <v>17</v>
      </c>
      <c r="F392" s="16" t="n">
        <f aca="false">IF($B392=-1, -1, VLOOKUP(C392,$T$1:$V$20, 2))</f>
        <v>18</v>
      </c>
      <c r="G392" s="16" t="n">
        <f aca="false">IF($B392=-1, -1, VLOOKUP(D392,$Y$1:$Z$22,2))</f>
        <v>0</v>
      </c>
      <c r="H392" s="16" t="str">
        <f aca="false">_xlfn.UNICHAR(((F392*21)+G392)*28+44032)</f>
        <v>하</v>
      </c>
      <c r="I392" s="16" t="n">
        <f aca="false">IF(B392=-1, 1, COUNTIF($A$2:$A$3000, H392))</f>
        <v>1</v>
      </c>
      <c r="J392" s="10" t="str">
        <f aca="false">_xlfn.CONCAT(A392, ",",H392,",",I392)</f>
        <v>눕,하,1</v>
      </c>
      <c r="K392" s="16" t="n">
        <f aca="false">IF(B392=-1,-1,VLOOKUP(C392,$T$1:$V$20,3))</f>
        <v>3</v>
      </c>
      <c r="L392" s="16" t="n">
        <f aca="false">IF(B392=-1,-1,VLOOKUP(D392,$Y$1:$AA$22,3))</f>
        <v>6</v>
      </c>
      <c r="N392" s="10" t="str">
        <f aca="false">_xlfn.UNICHAR(((C392*21)+G392)*28+44032)</f>
        <v>나</v>
      </c>
      <c r="O392" s="10" t="str">
        <f aca="false">_xlfn.UNICHAR(((F392*21)+D392)*28+44032)</f>
        <v>후</v>
      </c>
      <c r="P392" s="12" t="n">
        <f aca="false">COUNTIF($A$2:$A$3000, N392) + COUNTIF($A$2:$A$3000, O392)</f>
        <v>2</v>
      </c>
      <c r="Q392" s="16" t="str">
        <f aca="false">IF(OR(B392=-1,I392=0, P392&lt;&gt;2), "albhed_dummy", _xlfn.CONCAT("albhed ", RIGHT("  " &amp; K392,2),", ", RIGHT("  " &amp; L392,2), ", " ,"""",H392,""", ", """",N392,""", ","""",O392,""""," ; ", A392))</f>
        <v>albhed  3,  6, "하", "나", "후" ; 눕</v>
      </c>
    </row>
    <row r="393" customFormat="false" ht="17.9" hidden="false" customHeight="true" outlineLevel="0" collapsed="false">
      <c r="A393" s="16" t="s">
        <v>1269</v>
      </c>
      <c r="B393" s="16" t="n">
        <f aca="false">IF(_xlfn.UNICODE(A393)&lt;44032,-1,_xlfn.UNICODE(A393)-44032)</f>
        <v>1559</v>
      </c>
      <c r="C393" s="16" t="n">
        <f aca="false">IF(B393=-1,-1,INT((B393/28)/21))</f>
        <v>2</v>
      </c>
      <c r="D393" s="16" t="n">
        <f aca="false">IF(B393=-1, -1, MOD(INT(B393/28),21))</f>
        <v>13</v>
      </c>
      <c r="E393" s="16" t="n">
        <f aca="false">IF(B393=-1, -1, VLOOKUP(MOD(B393,28), $T$24:$U$52,2))</f>
        <v>19</v>
      </c>
      <c r="F393" s="16" t="n">
        <f aca="false">IF($B393=-1, -1, VLOOKUP(C393,$T$1:$V$20, 2))</f>
        <v>18</v>
      </c>
      <c r="G393" s="16" t="n">
        <f aca="false">IF($B393=-1, -1, VLOOKUP(D393,$Y$1:$Z$22,2))</f>
        <v>0</v>
      </c>
      <c r="H393" s="16" t="str">
        <f aca="false">_xlfn.UNICHAR(((F393*21)+G393)*28+44032)</f>
        <v>하</v>
      </c>
      <c r="I393" s="16" t="n">
        <f aca="false">IF(B393=-1, 1, COUNTIF($A$2:$A$3000, H393))</f>
        <v>1</v>
      </c>
      <c r="J393" s="10" t="str">
        <f aca="false">_xlfn.CONCAT(A393, ",",H393,",",I393)</f>
        <v>눗,하,1</v>
      </c>
      <c r="K393" s="16" t="n">
        <f aca="false">IF(B393=-1,-1,VLOOKUP(C393,$T$1:$V$20,3))</f>
        <v>3</v>
      </c>
      <c r="L393" s="16" t="n">
        <f aca="false">IF(B393=-1,-1,VLOOKUP(D393,$Y$1:$AA$22,3))</f>
        <v>6</v>
      </c>
      <c r="N393" s="10" t="str">
        <f aca="false">_xlfn.UNICHAR(((C393*21)+G393)*28+44032)</f>
        <v>나</v>
      </c>
      <c r="O393" s="10" t="str">
        <f aca="false">_xlfn.UNICHAR(((F393*21)+D393)*28+44032)</f>
        <v>후</v>
      </c>
      <c r="P393" s="12" t="n">
        <f aca="false">COUNTIF($A$2:$A$3000, N393) + COUNTIF($A$2:$A$3000, O393)</f>
        <v>2</v>
      </c>
      <c r="Q393" s="16" t="str">
        <f aca="false">IF(OR(B393=-1,I393=0, P393&lt;&gt;2), "albhed_dummy", _xlfn.CONCAT("albhed ", RIGHT("  " &amp; K393,2),", ", RIGHT("  " &amp; L393,2), ", " ,"""",H393,""", ", """",N393,""", ","""",O393,""""," ; ", A393))</f>
        <v>albhed  3,  6, "하", "나", "후" ; 눗</v>
      </c>
    </row>
    <row r="394" customFormat="false" ht="17.9" hidden="false" customHeight="true" outlineLevel="0" collapsed="false">
      <c r="A394" s="16" t="s">
        <v>1270</v>
      </c>
      <c r="B394" s="16" t="n">
        <f aca="false">IF(_xlfn.UNICODE(A394)&lt;44032,-1,_xlfn.UNICODE(A394)-44032)</f>
        <v>1561</v>
      </c>
      <c r="C394" s="16" t="n">
        <f aca="false">IF(B394=-1,-1,INT((B394/28)/21))</f>
        <v>2</v>
      </c>
      <c r="D394" s="16" t="n">
        <f aca="false">IF(B394=-1, -1, MOD(INT(B394/28),21))</f>
        <v>13</v>
      </c>
      <c r="E394" s="16" t="n">
        <f aca="false">IF(B394=-1, -1, VLOOKUP(MOD(B394,28), $T$24:$U$52,2))</f>
        <v>21</v>
      </c>
      <c r="F394" s="16" t="n">
        <f aca="false">IF($B394=-1, -1, VLOOKUP(C394,$T$1:$V$20, 2))</f>
        <v>18</v>
      </c>
      <c r="G394" s="16" t="n">
        <f aca="false">IF($B394=-1, -1, VLOOKUP(D394,$Y$1:$Z$22,2))</f>
        <v>0</v>
      </c>
      <c r="H394" s="16" t="str">
        <f aca="false">_xlfn.UNICHAR(((F394*21)+G394)*28+44032)</f>
        <v>하</v>
      </c>
      <c r="I394" s="16" t="n">
        <f aca="false">IF(B394=-1, 1, COUNTIF($A$2:$A$3000, H394))</f>
        <v>1</v>
      </c>
      <c r="J394" s="10" t="str">
        <f aca="false">_xlfn.CONCAT(A394, ",",H394,",",I394)</f>
        <v>눙,하,1</v>
      </c>
      <c r="K394" s="16" t="n">
        <f aca="false">IF(B394=-1,-1,VLOOKUP(C394,$T$1:$V$20,3))</f>
        <v>3</v>
      </c>
      <c r="L394" s="16" t="n">
        <f aca="false">IF(B394=-1,-1,VLOOKUP(D394,$Y$1:$AA$22,3))</f>
        <v>6</v>
      </c>
      <c r="N394" s="10" t="str">
        <f aca="false">_xlfn.UNICHAR(((C394*21)+G394)*28+44032)</f>
        <v>나</v>
      </c>
      <c r="O394" s="10" t="str">
        <f aca="false">_xlfn.UNICHAR(((F394*21)+D394)*28+44032)</f>
        <v>후</v>
      </c>
      <c r="P394" s="12" t="n">
        <f aca="false">COUNTIF($A$2:$A$3000, N394) + COUNTIF($A$2:$A$3000, O394)</f>
        <v>2</v>
      </c>
      <c r="Q394" s="16" t="str">
        <f aca="false">IF(OR(B394=-1,I394=0, P394&lt;&gt;2), "albhed_dummy", _xlfn.CONCAT("albhed ", RIGHT("  " &amp; K394,2),", ", RIGHT("  " &amp; L394,2), ", " ,"""",H394,""", ", """",N394,""", ","""",O394,""""," ; ", A394))</f>
        <v>albhed  3,  6, "하", "나", "후" ; 눙</v>
      </c>
    </row>
    <row r="395" customFormat="false" ht="17.9" hidden="false" customHeight="true" outlineLevel="0" collapsed="false">
      <c r="A395" s="16" t="s">
        <v>1271</v>
      </c>
      <c r="B395" s="16" t="n">
        <f aca="false">IF(_xlfn.UNICODE(A395)&lt;44032,-1,_xlfn.UNICODE(A395)-44032)</f>
        <v>1568</v>
      </c>
      <c r="C395" s="16" t="n">
        <f aca="false">IF(B395=-1,-1,INT((B395/28)/21))</f>
        <v>2</v>
      </c>
      <c r="D395" s="16" t="n">
        <f aca="false">IF(B395=-1, -1, MOD(INT(B395/28),21))</f>
        <v>14</v>
      </c>
      <c r="E395" s="16" t="n">
        <f aca="false">IF(B395=-1, -1, VLOOKUP(MOD(B395,28), $T$24:$U$52,2))</f>
        <v>0</v>
      </c>
      <c r="F395" s="16" t="n">
        <f aca="false">IF($B395=-1, -1, VLOOKUP(C395,$T$1:$V$20, 2))</f>
        <v>18</v>
      </c>
      <c r="G395" s="16" t="n">
        <f aca="false">IF($B395=-1, -1, VLOOKUP(D395,$Y$1:$Z$22,2))</f>
        <v>20</v>
      </c>
      <c r="H395" s="16" t="str">
        <f aca="false">_xlfn.UNICHAR(((F395*21)+G395)*28+44032)</f>
        <v>히</v>
      </c>
      <c r="I395" s="16" t="n">
        <f aca="false">IF(B395=-1, 1, COUNTIF($A$2:$A$3000, H395))</f>
        <v>1</v>
      </c>
      <c r="J395" s="10" t="str">
        <f aca="false">_xlfn.CONCAT(A395, ",",H395,",",I395)</f>
        <v>눠,히,1</v>
      </c>
      <c r="K395" s="16" t="n">
        <f aca="false">IF(B395=-1,-1,VLOOKUP(C395,$T$1:$V$20,3))</f>
        <v>3</v>
      </c>
      <c r="L395" s="16" t="n">
        <f aca="false">IF(B395=-1,-1,VLOOKUP(D395,$Y$1:$AA$22,3))</f>
        <v>16</v>
      </c>
      <c r="N395" s="10" t="str">
        <f aca="false">_xlfn.UNICHAR(((C395*21)+G395)*28+44032)</f>
        <v>니</v>
      </c>
      <c r="O395" s="10" t="str">
        <f aca="false">_xlfn.UNICHAR(((F395*21)+D395)*28+44032)</f>
        <v>훠</v>
      </c>
      <c r="P395" s="12" t="n">
        <f aca="false">COUNTIF($A$2:$A$3000, N395) + COUNTIF($A$2:$A$3000, O395)</f>
        <v>2</v>
      </c>
      <c r="Q395" s="16" t="str">
        <f aca="false">IF(OR(B395=-1,I395=0, P395&lt;&gt;2), "albhed_dummy", _xlfn.CONCAT("albhed ", RIGHT("  " &amp; K395,2),", ", RIGHT("  " &amp; L395,2), ", " ,"""",H395,""", ", """",N395,""", ","""",O395,""""," ; ", A395))</f>
        <v>albhed  3, 16, "히", "니", "훠" ; 눠</v>
      </c>
    </row>
    <row r="396" customFormat="false" ht="17.9" hidden="false" customHeight="true" outlineLevel="0" collapsed="false">
      <c r="A396" s="16" t="s">
        <v>1272</v>
      </c>
      <c r="B396" s="16" t="n">
        <f aca="false">IF(_xlfn.UNICODE(A396)&lt;44032,-1,_xlfn.UNICODE(A396)-44032)</f>
        <v>1588</v>
      </c>
      <c r="C396" s="16" t="n">
        <f aca="false">IF(B396=-1,-1,INT((B396/28)/21))</f>
        <v>2</v>
      </c>
      <c r="D396" s="16" t="n">
        <f aca="false">IF(B396=-1, -1, MOD(INT(B396/28),21))</f>
        <v>14</v>
      </c>
      <c r="E396" s="16" t="n">
        <f aca="false">IF(B396=-1, -1, VLOOKUP(MOD(B396,28), $T$24:$U$52,2))</f>
        <v>19</v>
      </c>
      <c r="F396" s="16" t="n">
        <f aca="false">IF($B396=-1, -1, VLOOKUP(C396,$T$1:$V$20, 2))</f>
        <v>18</v>
      </c>
      <c r="G396" s="16" t="n">
        <f aca="false">IF($B396=-1, -1, VLOOKUP(D396,$Y$1:$Z$22,2))</f>
        <v>20</v>
      </c>
      <c r="H396" s="16" t="str">
        <f aca="false">_xlfn.UNICHAR(((F396*21)+G396)*28+44032)</f>
        <v>히</v>
      </c>
      <c r="I396" s="16" t="n">
        <f aca="false">IF(B396=-1, 1, COUNTIF($A$2:$A$3000, H396))</f>
        <v>1</v>
      </c>
      <c r="J396" s="10" t="str">
        <f aca="false">_xlfn.CONCAT(A396, ",",H396,",",I396)</f>
        <v>눴,히,1</v>
      </c>
      <c r="K396" s="16" t="n">
        <f aca="false">IF(B396=-1,-1,VLOOKUP(C396,$T$1:$V$20,3))</f>
        <v>3</v>
      </c>
      <c r="L396" s="16" t="n">
        <f aca="false">IF(B396=-1,-1,VLOOKUP(D396,$Y$1:$AA$22,3))</f>
        <v>16</v>
      </c>
      <c r="N396" s="10" t="str">
        <f aca="false">_xlfn.UNICHAR(((C396*21)+G396)*28+44032)</f>
        <v>니</v>
      </c>
      <c r="O396" s="10" t="str">
        <f aca="false">_xlfn.UNICHAR(((F396*21)+D396)*28+44032)</f>
        <v>훠</v>
      </c>
      <c r="P396" s="12" t="n">
        <f aca="false">COUNTIF($A$2:$A$3000, N396) + COUNTIF($A$2:$A$3000, O396)</f>
        <v>2</v>
      </c>
      <c r="Q396" s="16" t="str">
        <f aca="false">IF(OR(B396=-1,I396=0, P396&lt;&gt;2), "albhed_dummy", _xlfn.CONCAT("albhed ", RIGHT("  " &amp; K396,2),", ", RIGHT("  " &amp; L396,2), ", " ,"""",H396,""", ", """",N396,""", ","""",O396,""""," ; ", A396))</f>
        <v>albhed  3, 16, "히", "니", "훠" ; 눴</v>
      </c>
    </row>
    <row r="397" customFormat="false" ht="17.9" hidden="false" customHeight="true" outlineLevel="0" collapsed="false">
      <c r="A397" s="16" t="s">
        <v>1273</v>
      </c>
      <c r="B397" s="16" t="n">
        <f aca="false">IF(_xlfn.UNICODE(A397)&lt;44032,-1,_xlfn.UNICODE(A397)-44032)</f>
        <v>1596</v>
      </c>
      <c r="C397" s="16" t="n">
        <f aca="false">IF(B397=-1,-1,INT((B397/28)/21))</f>
        <v>2</v>
      </c>
      <c r="D397" s="16" t="n">
        <f aca="false">IF(B397=-1, -1, MOD(INT(B397/28),21))</f>
        <v>15</v>
      </c>
      <c r="E397" s="16" t="n">
        <f aca="false">IF(B397=-1, -1, VLOOKUP(MOD(B397,28), $T$24:$U$52,2))</f>
        <v>0</v>
      </c>
      <c r="F397" s="16" t="n">
        <f aca="false">IF($B397=-1, -1, VLOOKUP(C397,$T$1:$V$20, 2))</f>
        <v>18</v>
      </c>
      <c r="G397" s="16" t="n">
        <f aca="false">IF($B397=-1, -1, VLOOKUP(D397,$Y$1:$Z$22,2))</f>
        <v>20</v>
      </c>
      <c r="H397" s="16" t="str">
        <f aca="false">_xlfn.UNICHAR(((F397*21)+G397)*28+44032)</f>
        <v>히</v>
      </c>
      <c r="I397" s="16" t="n">
        <f aca="false">IF(B397=-1, 1, COUNTIF($A$2:$A$3000, H397))</f>
        <v>1</v>
      </c>
      <c r="J397" s="10" t="str">
        <f aca="false">_xlfn.CONCAT(A397, ",",H397,",",I397)</f>
        <v>눼,히,1</v>
      </c>
      <c r="K397" s="16" t="n">
        <f aca="false">IF(B397=-1,-1,VLOOKUP(C397,$T$1:$V$20,3))</f>
        <v>3</v>
      </c>
      <c r="L397" s="16" t="n">
        <f aca="false">IF(B397=-1,-1,VLOOKUP(D397,$Y$1:$AA$22,3))</f>
        <v>16</v>
      </c>
      <c r="N397" s="10" t="str">
        <f aca="false">_xlfn.UNICHAR(((C397*21)+G397)*28+44032)</f>
        <v>니</v>
      </c>
      <c r="O397" s="10" t="str">
        <f aca="false">_xlfn.UNICHAR(((F397*21)+D397)*28+44032)</f>
        <v>훼</v>
      </c>
      <c r="P397" s="12" t="n">
        <f aca="false">COUNTIF($A$2:$A$3000, N397) + COUNTIF($A$2:$A$3000, O397)</f>
        <v>2</v>
      </c>
      <c r="Q397" s="16" t="str">
        <f aca="false">IF(OR(B397=-1,I397=0, P397&lt;&gt;2), "albhed_dummy", _xlfn.CONCAT("albhed ", RIGHT("  " &amp; K397,2),", ", RIGHT("  " &amp; L397,2), ", " ,"""",H397,""", ", """",N397,""", ","""",O397,""""," ; ", A397))</f>
        <v>albhed  3, 16, "히", "니", "훼" ; 눼</v>
      </c>
    </row>
    <row r="398" customFormat="false" ht="17.9" hidden="false" customHeight="true" outlineLevel="0" collapsed="false">
      <c r="A398" s="16" t="s">
        <v>1274</v>
      </c>
      <c r="B398" s="16" t="n">
        <f aca="false">IF(_xlfn.UNICODE(A398)&lt;44032,-1,_xlfn.UNICODE(A398)-44032)</f>
        <v>1624</v>
      </c>
      <c r="C398" s="16" t="n">
        <f aca="false">IF(B398=-1,-1,INT((B398/28)/21))</f>
        <v>2</v>
      </c>
      <c r="D398" s="16" t="n">
        <f aca="false">IF(B398=-1, -1, MOD(INT(B398/28),21))</f>
        <v>16</v>
      </c>
      <c r="E398" s="16" t="n">
        <f aca="false">IF(B398=-1, -1, VLOOKUP(MOD(B398,28), $T$24:$U$52,2))</f>
        <v>0</v>
      </c>
      <c r="F398" s="16" t="n">
        <f aca="false">IF($B398=-1, -1, VLOOKUP(C398,$T$1:$V$20, 2))</f>
        <v>18</v>
      </c>
      <c r="G398" s="16" t="n">
        <f aca="false">IF($B398=-1, -1, VLOOKUP(D398,$Y$1:$Z$22,2))</f>
        <v>20</v>
      </c>
      <c r="H398" s="16" t="str">
        <f aca="false">_xlfn.UNICHAR(((F398*21)+G398)*28+44032)</f>
        <v>히</v>
      </c>
      <c r="I398" s="16" t="n">
        <f aca="false">IF(B398=-1, 1, COUNTIF($A$2:$A$3000, H398))</f>
        <v>1</v>
      </c>
      <c r="J398" s="10" t="str">
        <f aca="false">_xlfn.CONCAT(A398, ",",H398,",",I398)</f>
        <v>뉘,히,1</v>
      </c>
      <c r="K398" s="16" t="n">
        <f aca="false">IF(B398=-1,-1,VLOOKUP(C398,$T$1:$V$20,3))</f>
        <v>3</v>
      </c>
      <c r="L398" s="16" t="n">
        <f aca="false">IF(B398=-1,-1,VLOOKUP(D398,$Y$1:$AA$22,3))</f>
        <v>22</v>
      </c>
      <c r="N398" s="10" t="str">
        <f aca="false">_xlfn.UNICHAR(((C398*21)+G398)*28+44032)</f>
        <v>니</v>
      </c>
      <c r="O398" s="10" t="str">
        <f aca="false">_xlfn.UNICHAR(((F398*21)+D398)*28+44032)</f>
        <v>휘</v>
      </c>
      <c r="P398" s="12" t="n">
        <f aca="false">COUNTIF($A$2:$A$3000, N398) + COUNTIF($A$2:$A$3000, O398)</f>
        <v>2</v>
      </c>
      <c r="Q398" s="16" t="str">
        <f aca="false">IF(OR(B398=-1,I398=0, P398&lt;&gt;2), "albhed_dummy", _xlfn.CONCAT("albhed ", RIGHT("  " &amp; K398,2),", ", RIGHT("  " &amp; L398,2), ", " ,"""",H398,""", ", """",N398,""", ","""",O398,""""," ; ", A398))</f>
        <v>albhed  3, 22, "히", "니", "휘" ; 뉘</v>
      </c>
    </row>
    <row r="399" customFormat="false" ht="17.9" hidden="false" customHeight="true" outlineLevel="0" collapsed="false">
      <c r="A399" s="16" t="s">
        <v>1275</v>
      </c>
      <c r="B399" s="16" t="n">
        <f aca="false">IF(_xlfn.UNICODE(A399)&lt;44032,-1,_xlfn.UNICODE(A399)-44032)</f>
        <v>1628</v>
      </c>
      <c r="C399" s="16" t="n">
        <f aca="false">IF(B399=-1,-1,INT((B399/28)/21))</f>
        <v>2</v>
      </c>
      <c r="D399" s="16" t="n">
        <f aca="false">IF(B399=-1, -1, MOD(INT(B399/28),21))</f>
        <v>16</v>
      </c>
      <c r="E399" s="16" t="n">
        <f aca="false">IF(B399=-1, -1, VLOOKUP(MOD(B399,28), $T$24:$U$52,2))</f>
        <v>4</v>
      </c>
      <c r="F399" s="16" t="n">
        <f aca="false">IF($B399=-1, -1, VLOOKUP(C399,$T$1:$V$20, 2))</f>
        <v>18</v>
      </c>
      <c r="G399" s="16" t="n">
        <f aca="false">IF($B399=-1, -1, VLOOKUP(D399,$Y$1:$Z$22,2))</f>
        <v>20</v>
      </c>
      <c r="H399" s="16" t="str">
        <f aca="false">_xlfn.UNICHAR(((F399*21)+G399)*28+44032)</f>
        <v>히</v>
      </c>
      <c r="I399" s="16" t="n">
        <f aca="false">IF(B399=-1, 1, COUNTIF($A$2:$A$3000, H399))</f>
        <v>1</v>
      </c>
      <c r="J399" s="10" t="str">
        <f aca="false">_xlfn.CONCAT(A399, ",",H399,",",I399)</f>
        <v>뉜,히,1</v>
      </c>
      <c r="K399" s="16" t="n">
        <f aca="false">IF(B399=-1,-1,VLOOKUP(C399,$T$1:$V$20,3))</f>
        <v>3</v>
      </c>
      <c r="L399" s="16" t="n">
        <f aca="false">IF(B399=-1,-1,VLOOKUP(D399,$Y$1:$AA$22,3))</f>
        <v>22</v>
      </c>
      <c r="N399" s="10" t="str">
        <f aca="false">_xlfn.UNICHAR(((C399*21)+G399)*28+44032)</f>
        <v>니</v>
      </c>
      <c r="O399" s="10" t="str">
        <f aca="false">_xlfn.UNICHAR(((F399*21)+D399)*28+44032)</f>
        <v>휘</v>
      </c>
      <c r="P399" s="12" t="n">
        <f aca="false">COUNTIF($A$2:$A$3000, N399) + COUNTIF($A$2:$A$3000, O399)</f>
        <v>2</v>
      </c>
      <c r="Q399" s="16" t="str">
        <f aca="false">IF(OR(B399=-1,I399=0, P399&lt;&gt;2), "albhed_dummy", _xlfn.CONCAT("albhed ", RIGHT("  " &amp; K399,2),", ", RIGHT("  " &amp; L399,2), ", " ,"""",H399,""", ", """",N399,""", ","""",O399,""""," ; ", A399))</f>
        <v>albhed  3, 22, "히", "니", "휘" ; 뉜</v>
      </c>
    </row>
    <row r="400" customFormat="false" ht="17.9" hidden="false" customHeight="true" outlineLevel="0" collapsed="false">
      <c r="A400" s="16" t="s">
        <v>1276</v>
      </c>
      <c r="B400" s="16" t="n">
        <f aca="false">IF(_xlfn.UNICODE(A400)&lt;44032,-1,_xlfn.UNICODE(A400)-44032)</f>
        <v>1632</v>
      </c>
      <c r="C400" s="16" t="n">
        <f aca="false">IF(B400=-1,-1,INT((B400/28)/21))</f>
        <v>2</v>
      </c>
      <c r="D400" s="16" t="n">
        <f aca="false">IF(B400=-1, -1, MOD(INT(B400/28),21))</f>
        <v>16</v>
      </c>
      <c r="E400" s="16" t="n">
        <f aca="false">IF(B400=-1, -1, VLOOKUP(MOD(B400,28), $T$24:$U$52,2))</f>
        <v>8</v>
      </c>
      <c r="F400" s="16" t="n">
        <f aca="false">IF($B400=-1, -1, VLOOKUP(C400,$T$1:$V$20, 2))</f>
        <v>18</v>
      </c>
      <c r="G400" s="16" t="n">
        <f aca="false">IF($B400=-1, -1, VLOOKUP(D400,$Y$1:$Z$22,2))</f>
        <v>20</v>
      </c>
      <c r="H400" s="16" t="str">
        <f aca="false">_xlfn.UNICHAR(((F400*21)+G400)*28+44032)</f>
        <v>히</v>
      </c>
      <c r="I400" s="16" t="n">
        <f aca="false">IF(B400=-1, 1, COUNTIF($A$2:$A$3000, H400))</f>
        <v>1</v>
      </c>
      <c r="J400" s="10" t="str">
        <f aca="false">_xlfn.CONCAT(A400, ",",H400,",",I400)</f>
        <v>뉠,히,1</v>
      </c>
      <c r="K400" s="16" t="n">
        <f aca="false">IF(B400=-1,-1,VLOOKUP(C400,$T$1:$V$20,3))</f>
        <v>3</v>
      </c>
      <c r="L400" s="16" t="n">
        <f aca="false">IF(B400=-1,-1,VLOOKUP(D400,$Y$1:$AA$22,3))</f>
        <v>22</v>
      </c>
      <c r="N400" s="10" t="str">
        <f aca="false">_xlfn.UNICHAR(((C400*21)+G400)*28+44032)</f>
        <v>니</v>
      </c>
      <c r="O400" s="10" t="str">
        <f aca="false">_xlfn.UNICHAR(((F400*21)+D400)*28+44032)</f>
        <v>휘</v>
      </c>
      <c r="P400" s="12" t="n">
        <f aca="false">COUNTIF($A$2:$A$3000, N400) + COUNTIF($A$2:$A$3000, O400)</f>
        <v>2</v>
      </c>
      <c r="Q400" s="16" t="str">
        <f aca="false">IF(OR(B400=-1,I400=0, P400&lt;&gt;2), "albhed_dummy", _xlfn.CONCAT("albhed ", RIGHT("  " &amp; K400,2),", ", RIGHT("  " &amp; L400,2), ", " ,"""",H400,""", ", """",N400,""", ","""",O400,""""," ; ", A400))</f>
        <v>albhed  3, 22, "히", "니", "휘" ; 뉠</v>
      </c>
    </row>
    <row r="401" customFormat="false" ht="17.9" hidden="false" customHeight="true" outlineLevel="0" collapsed="false">
      <c r="A401" s="16" t="s">
        <v>1277</v>
      </c>
      <c r="B401" s="16" t="n">
        <f aca="false">IF(_xlfn.UNICODE(A401)&lt;44032,-1,_xlfn.UNICODE(A401)-44032)</f>
        <v>1640</v>
      </c>
      <c r="C401" s="16" t="n">
        <f aca="false">IF(B401=-1,-1,INT((B401/28)/21))</f>
        <v>2</v>
      </c>
      <c r="D401" s="16" t="n">
        <f aca="false">IF(B401=-1, -1, MOD(INT(B401/28),21))</f>
        <v>16</v>
      </c>
      <c r="E401" s="16" t="n">
        <f aca="false">IF(B401=-1, -1, VLOOKUP(MOD(B401,28), $T$24:$U$52,2))</f>
        <v>16</v>
      </c>
      <c r="F401" s="16" t="n">
        <f aca="false">IF($B401=-1, -1, VLOOKUP(C401,$T$1:$V$20, 2))</f>
        <v>18</v>
      </c>
      <c r="G401" s="16" t="n">
        <f aca="false">IF($B401=-1, -1, VLOOKUP(D401,$Y$1:$Z$22,2))</f>
        <v>20</v>
      </c>
      <c r="H401" s="16" t="str">
        <f aca="false">_xlfn.UNICHAR(((F401*21)+G401)*28+44032)</f>
        <v>히</v>
      </c>
      <c r="I401" s="16" t="n">
        <f aca="false">IF(B401=-1, 1, COUNTIF($A$2:$A$3000, H401))</f>
        <v>1</v>
      </c>
      <c r="J401" s="10" t="str">
        <f aca="false">_xlfn.CONCAT(A401, ",",H401,",",I401)</f>
        <v>뉨,히,1</v>
      </c>
      <c r="K401" s="16" t="n">
        <f aca="false">IF(B401=-1,-1,VLOOKUP(C401,$T$1:$V$20,3))</f>
        <v>3</v>
      </c>
      <c r="L401" s="16" t="n">
        <f aca="false">IF(B401=-1,-1,VLOOKUP(D401,$Y$1:$AA$22,3))</f>
        <v>22</v>
      </c>
      <c r="N401" s="10" t="str">
        <f aca="false">_xlfn.UNICHAR(((C401*21)+G401)*28+44032)</f>
        <v>니</v>
      </c>
      <c r="O401" s="10" t="str">
        <f aca="false">_xlfn.UNICHAR(((F401*21)+D401)*28+44032)</f>
        <v>휘</v>
      </c>
      <c r="P401" s="12" t="n">
        <f aca="false">COUNTIF($A$2:$A$3000, N401) + COUNTIF($A$2:$A$3000, O401)</f>
        <v>2</v>
      </c>
      <c r="Q401" s="16" t="str">
        <f aca="false">IF(OR(B401=-1,I401=0, P401&lt;&gt;2), "albhed_dummy", _xlfn.CONCAT("albhed ", RIGHT("  " &amp; K401,2),", ", RIGHT("  " &amp; L401,2), ", " ,"""",H401,""", ", """",N401,""", ","""",O401,""""," ; ", A401))</f>
        <v>albhed  3, 22, "히", "니", "휘" ; 뉨</v>
      </c>
    </row>
    <row r="402" customFormat="false" ht="17.9" hidden="false" customHeight="true" outlineLevel="0" collapsed="false">
      <c r="A402" s="16" t="s">
        <v>1278</v>
      </c>
      <c r="B402" s="16" t="n">
        <f aca="false">IF(_xlfn.UNICODE(A402)&lt;44032,-1,_xlfn.UNICODE(A402)-44032)</f>
        <v>1641</v>
      </c>
      <c r="C402" s="16" t="n">
        <f aca="false">IF(B402=-1,-1,INT((B402/28)/21))</f>
        <v>2</v>
      </c>
      <c r="D402" s="16" t="n">
        <f aca="false">IF(B402=-1, -1, MOD(INT(B402/28),21))</f>
        <v>16</v>
      </c>
      <c r="E402" s="16" t="n">
        <f aca="false">IF(B402=-1, -1, VLOOKUP(MOD(B402,28), $T$24:$U$52,2))</f>
        <v>17</v>
      </c>
      <c r="F402" s="16" t="n">
        <f aca="false">IF($B402=-1, -1, VLOOKUP(C402,$T$1:$V$20, 2))</f>
        <v>18</v>
      </c>
      <c r="G402" s="16" t="n">
        <f aca="false">IF($B402=-1, -1, VLOOKUP(D402,$Y$1:$Z$22,2))</f>
        <v>20</v>
      </c>
      <c r="H402" s="16" t="str">
        <f aca="false">_xlfn.UNICHAR(((F402*21)+G402)*28+44032)</f>
        <v>히</v>
      </c>
      <c r="I402" s="16" t="n">
        <f aca="false">IF(B402=-1, 1, COUNTIF($A$2:$A$3000, H402))</f>
        <v>1</v>
      </c>
      <c r="J402" s="10" t="str">
        <f aca="false">_xlfn.CONCAT(A402, ",",H402,",",I402)</f>
        <v>뉩,히,1</v>
      </c>
      <c r="K402" s="16" t="n">
        <f aca="false">IF(B402=-1,-1,VLOOKUP(C402,$T$1:$V$20,3))</f>
        <v>3</v>
      </c>
      <c r="L402" s="16" t="n">
        <f aca="false">IF(B402=-1,-1,VLOOKUP(D402,$Y$1:$AA$22,3))</f>
        <v>22</v>
      </c>
      <c r="N402" s="10" t="str">
        <f aca="false">_xlfn.UNICHAR(((C402*21)+G402)*28+44032)</f>
        <v>니</v>
      </c>
      <c r="O402" s="10" t="str">
        <f aca="false">_xlfn.UNICHAR(((F402*21)+D402)*28+44032)</f>
        <v>휘</v>
      </c>
      <c r="P402" s="12" t="n">
        <f aca="false">COUNTIF($A$2:$A$3000, N402) + COUNTIF($A$2:$A$3000, O402)</f>
        <v>2</v>
      </c>
      <c r="Q402" s="16" t="str">
        <f aca="false">IF(OR(B402=-1,I402=0, P402&lt;&gt;2), "albhed_dummy", _xlfn.CONCAT("albhed ", RIGHT("  " &amp; K402,2),", ", RIGHT("  " &amp; L402,2), ", " ,"""",H402,""", ", """",N402,""", ","""",O402,""""," ; ", A402))</f>
        <v>albhed  3, 22, "히", "니", "휘" ; 뉩</v>
      </c>
    </row>
    <row r="403" customFormat="false" ht="17.9" hidden="false" customHeight="true" outlineLevel="0" collapsed="false">
      <c r="A403" s="16" t="s">
        <v>1279</v>
      </c>
      <c r="B403" s="16" t="n">
        <f aca="false">IF(_xlfn.UNICODE(A403)&lt;44032,-1,_xlfn.UNICODE(A403)-44032)</f>
        <v>1652</v>
      </c>
      <c r="C403" s="16" t="n">
        <f aca="false">IF(B403=-1,-1,INT((B403/28)/21))</f>
        <v>2</v>
      </c>
      <c r="D403" s="16" t="n">
        <f aca="false">IF(B403=-1, -1, MOD(INT(B403/28),21))</f>
        <v>17</v>
      </c>
      <c r="E403" s="16" t="n">
        <f aca="false">IF(B403=-1, -1, VLOOKUP(MOD(B403,28), $T$24:$U$52,2))</f>
        <v>0</v>
      </c>
      <c r="F403" s="16" t="n">
        <f aca="false">IF($B403=-1, -1, VLOOKUP(C403,$T$1:$V$20, 2))</f>
        <v>18</v>
      </c>
      <c r="G403" s="16" t="n">
        <f aca="false">IF($B403=-1, -1, VLOOKUP(D403,$Y$1:$Z$22,2))</f>
        <v>2</v>
      </c>
      <c r="H403" s="16" t="str">
        <f aca="false">_xlfn.UNICHAR(((F403*21)+G403)*28+44032)</f>
        <v>햐</v>
      </c>
      <c r="I403" s="16" t="n">
        <f aca="false">IF(B403=-1, 1, COUNTIF($A$2:$A$3000, H403))</f>
        <v>1</v>
      </c>
      <c r="J403" s="10" t="str">
        <f aca="false">_xlfn.CONCAT(A403, ",",H403,",",I403)</f>
        <v>뉴,햐,1</v>
      </c>
      <c r="K403" s="16" t="n">
        <f aca="false">IF(B403=-1,-1,VLOOKUP(C403,$T$1:$V$20,3))</f>
        <v>3</v>
      </c>
      <c r="L403" s="16" t="n">
        <f aca="false">IF(B403=-1,-1,VLOOKUP(D403,$Y$1:$AA$22,3))</f>
        <v>6</v>
      </c>
      <c r="N403" s="10" t="str">
        <f aca="false">_xlfn.UNICHAR(((C403*21)+G403)*28+44032)</f>
        <v>냐</v>
      </c>
      <c r="O403" s="10" t="str">
        <f aca="false">_xlfn.UNICHAR(((F403*21)+D403)*28+44032)</f>
        <v>휴</v>
      </c>
      <c r="P403" s="12" t="n">
        <f aca="false">COUNTIF($A$2:$A$3000, N403) + COUNTIF($A$2:$A$3000, O403)</f>
        <v>2</v>
      </c>
      <c r="Q403" s="16" t="str">
        <f aca="false">IF(OR(B403=-1,I403=0, P403&lt;&gt;2), "albhed_dummy", _xlfn.CONCAT("albhed ", RIGHT("  " &amp; K403,2),", ", RIGHT("  " &amp; L403,2), ", " ,"""",H403,""", ", """",N403,""", ","""",O403,""""," ; ", A403))</f>
        <v>albhed  3,  6, "햐", "냐", "휴" ; 뉴</v>
      </c>
    </row>
    <row r="404" customFormat="false" ht="17.9" hidden="false" customHeight="true" outlineLevel="0" collapsed="false">
      <c r="A404" s="16" t="s">
        <v>1280</v>
      </c>
      <c r="B404" s="16" t="n">
        <f aca="false">IF(_xlfn.UNICODE(A404)&lt;44032,-1,_xlfn.UNICODE(A404)-44032)</f>
        <v>1653</v>
      </c>
      <c r="C404" s="16" t="n">
        <f aca="false">IF(B404=-1,-1,INT((B404/28)/21))</f>
        <v>2</v>
      </c>
      <c r="D404" s="16" t="n">
        <f aca="false">IF(B404=-1, -1, MOD(INT(B404/28),21))</f>
        <v>17</v>
      </c>
      <c r="E404" s="16" t="n">
        <f aca="false">IF(B404=-1, -1, VLOOKUP(MOD(B404,28), $T$24:$U$52,2))</f>
        <v>1</v>
      </c>
      <c r="F404" s="16" t="n">
        <f aca="false">IF($B404=-1, -1, VLOOKUP(C404,$T$1:$V$20, 2))</f>
        <v>18</v>
      </c>
      <c r="G404" s="16" t="n">
        <f aca="false">IF($B404=-1, -1, VLOOKUP(D404,$Y$1:$Z$22,2))</f>
        <v>2</v>
      </c>
      <c r="H404" s="16" t="str">
        <f aca="false">_xlfn.UNICHAR(((F404*21)+G404)*28+44032)</f>
        <v>햐</v>
      </c>
      <c r="I404" s="16" t="n">
        <f aca="false">IF(B404=-1, 1, COUNTIF($A$2:$A$3000, H404))</f>
        <v>1</v>
      </c>
      <c r="J404" s="10" t="str">
        <f aca="false">_xlfn.CONCAT(A404, ",",H404,",",I404)</f>
        <v>뉵,햐,1</v>
      </c>
      <c r="K404" s="16" t="n">
        <f aca="false">IF(B404=-1,-1,VLOOKUP(C404,$T$1:$V$20,3))</f>
        <v>3</v>
      </c>
      <c r="L404" s="16" t="n">
        <f aca="false">IF(B404=-1,-1,VLOOKUP(D404,$Y$1:$AA$22,3))</f>
        <v>6</v>
      </c>
      <c r="N404" s="10" t="str">
        <f aca="false">_xlfn.UNICHAR(((C404*21)+G404)*28+44032)</f>
        <v>냐</v>
      </c>
      <c r="O404" s="10" t="str">
        <f aca="false">_xlfn.UNICHAR(((F404*21)+D404)*28+44032)</f>
        <v>휴</v>
      </c>
      <c r="P404" s="12" t="n">
        <f aca="false">COUNTIF($A$2:$A$3000, N404) + COUNTIF($A$2:$A$3000, O404)</f>
        <v>2</v>
      </c>
      <c r="Q404" s="16" t="str">
        <f aca="false">IF(OR(B404=-1,I404=0, P404&lt;&gt;2), "albhed_dummy", _xlfn.CONCAT("albhed ", RIGHT("  " &amp; K404,2),", ", RIGHT("  " &amp; L404,2), ", " ,"""",H404,""", ", """",N404,""", ","""",O404,""""," ; ", A404))</f>
        <v>albhed  3,  6, "햐", "냐", "휴" ; 뉵</v>
      </c>
    </row>
    <row r="405" customFormat="false" ht="17.9" hidden="false" customHeight="true" outlineLevel="0" collapsed="false">
      <c r="A405" s="16" t="s">
        <v>1281</v>
      </c>
      <c r="B405" s="16" t="n">
        <f aca="false">IF(_xlfn.UNICODE(A405)&lt;44032,-1,_xlfn.UNICODE(A405)-44032)</f>
        <v>1660</v>
      </c>
      <c r="C405" s="16" t="n">
        <f aca="false">IF(B405=-1,-1,INT((B405/28)/21))</f>
        <v>2</v>
      </c>
      <c r="D405" s="16" t="n">
        <f aca="false">IF(B405=-1, -1, MOD(INT(B405/28),21))</f>
        <v>17</v>
      </c>
      <c r="E405" s="16" t="n">
        <f aca="false">IF(B405=-1, -1, VLOOKUP(MOD(B405,28), $T$24:$U$52,2))</f>
        <v>8</v>
      </c>
      <c r="F405" s="16" t="n">
        <f aca="false">IF($B405=-1, -1, VLOOKUP(C405,$T$1:$V$20, 2))</f>
        <v>18</v>
      </c>
      <c r="G405" s="16" t="n">
        <f aca="false">IF($B405=-1, -1, VLOOKUP(D405,$Y$1:$Z$22,2))</f>
        <v>2</v>
      </c>
      <c r="H405" s="16" t="str">
        <f aca="false">_xlfn.UNICHAR(((F405*21)+G405)*28+44032)</f>
        <v>햐</v>
      </c>
      <c r="I405" s="16" t="n">
        <f aca="false">IF(B405=-1, 1, COUNTIF($A$2:$A$3000, H405))</f>
        <v>1</v>
      </c>
      <c r="J405" s="10" t="str">
        <f aca="false">_xlfn.CONCAT(A405, ",",H405,",",I405)</f>
        <v>뉼,햐,1</v>
      </c>
      <c r="K405" s="16" t="n">
        <f aca="false">IF(B405=-1,-1,VLOOKUP(C405,$T$1:$V$20,3))</f>
        <v>3</v>
      </c>
      <c r="L405" s="16" t="n">
        <f aca="false">IF(B405=-1,-1,VLOOKUP(D405,$Y$1:$AA$22,3))</f>
        <v>6</v>
      </c>
      <c r="N405" s="10" t="str">
        <f aca="false">_xlfn.UNICHAR(((C405*21)+G405)*28+44032)</f>
        <v>냐</v>
      </c>
      <c r="O405" s="10" t="str">
        <f aca="false">_xlfn.UNICHAR(((F405*21)+D405)*28+44032)</f>
        <v>휴</v>
      </c>
      <c r="P405" s="12" t="n">
        <f aca="false">COUNTIF($A$2:$A$3000, N405) + COUNTIF($A$2:$A$3000, O405)</f>
        <v>2</v>
      </c>
      <c r="Q405" s="16" t="str">
        <f aca="false">IF(OR(B405=-1,I405=0, P405&lt;&gt;2), "albhed_dummy", _xlfn.CONCAT("albhed ", RIGHT("  " &amp; K405,2),", ", RIGHT("  " &amp; L405,2), ", " ,"""",H405,""", ", """",N405,""", ","""",O405,""""," ; ", A405))</f>
        <v>albhed  3,  6, "햐", "냐", "휴" ; 뉼</v>
      </c>
    </row>
    <row r="406" customFormat="false" ht="17.9" hidden="false" customHeight="true" outlineLevel="0" collapsed="false">
      <c r="A406" s="16" t="s">
        <v>1282</v>
      </c>
      <c r="B406" s="16" t="n">
        <f aca="false">IF(_xlfn.UNICODE(A406)&lt;44032,-1,_xlfn.UNICODE(A406)-44032)</f>
        <v>1668</v>
      </c>
      <c r="C406" s="16" t="n">
        <f aca="false">IF(B406=-1,-1,INT((B406/28)/21))</f>
        <v>2</v>
      </c>
      <c r="D406" s="16" t="n">
        <f aca="false">IF(B406=-1, -1, MOD(INT(B406/28),21))</f>
        <v>17</v>
      </c>
      <c r="E406" s="16" t="n">
        <f aca="false">IF(B406=-1, -1, VLOOKUP(MOD(B406,28), $T$24:$U$52,2))</f>
        <v>16</v>
      </c>
      <c r="F406" s="16" t="n">
        <f aca="false">IF($B406=-1, -1, VLOOKUP(C406,$T$1:$V$20, 2))</f>
        <v>18</v>
      </c>
      <c r="G406" s="16" t="n">
        <f aca="false">IF($B406=-1, -1, VLOOKUP(D406,$Y$1:$Z$22,2))</f>
        <v>2</v>
      </c>
      <c r="H406" s="16" t="str">
        <f aca="false">_xlfn.UNICHAR(((F406*21)+G406)*28+44032)</f>
        <v>햐</v>
      </c>
      <c r="I406" s="16" t="n">
        <f aca="false">IF(B406=-1, 1, COUNTIF($A$2:$A$3000, H406))</f>
        <v>1</v>
      </c>
      <c r="J406" s="10" t="str">
        <f aca="false">_xlfn.CONCAT(A406, ",",H406,",",I406)</f>
        <v>늄,햐,1</v>
      </c>
      <c r="K406" s="16" t="n">
        <f aca="false">IF(B406=-1,-1,VLOOKUP(C406,$T$1:$V$20,3))</f>
        <v>3</v>
      </c>
      <c r="L406" s="16" t="n">
        <f aca="false">IF(B406=-1,-1,VLOOKUP(D406,$Y$1:$AA$22,3))</f>
        <v>6</v>
      </c>
      <c r="N406" s="10" t="str">
        <f aca="false">_xlfn.UNICHAR(((C406*21)+G406)*28+44032)</f>
        <v>냐</v>
      </c>
      <c r="O406" s="10" t="str">
        <f aca="false">_xlfn.UNICHAR(((F406*21)+D406)*28+44032)</f>
        <v>휴</v>
      </c>
      <c r="P406" s="12" t="n">
        <f aca="false">COUNTIF($A$2:$A$3000, N406) + COUNTIF($A$2:$A$3000, O406)</f>
        <v>2</v>
      </c>
      <c r="Q406" s="16" t="str">
        <f aca="false">IF(OR(B406=-1,I406=0, P406&lt;&gt;2), "albhed_dummy", _xlfn.CONCAT("albhed ", RIGHT("  " &amp; K406,2),", ", RIGHT("  " &amp; L406,2), ", " ,"""",H406,""", ", """",N406,""", ","""",O406,""""," ; ", A406))</f>
        <v>albhed  3,  6, "햐", "냐", "휴" ; 늄</v>
      </c>
    </row>
    <row r="407" customFormat="false" ht="17.9" hidden="false" customHeight="true" outlineLevel="0" collapsed="false">
      <c r="A407" s="16" t="s">
        <v>1283</v>
      </c>
      <c r="B407" s="16" t="n">
        <f aca="false">IF(_xlfn.UNICODE(A407)&lt;44032,-1,_xlfn.UNICODE(A407)-44032)</f>
        <v>1669</v>
      </c>
      <c r="C407" s="16" t="n">
        <f aca="false">IF(B407=-1,-1,INT((B407/28)/21))</f>
        <v>2</v>
      </c>
      <c r="D407" s="16" t="n">
        <f aca="false">IF(B407=-1, -1, MOD(INT(B407/28),21))</f>
        <v>17</v>
      </c>
      <c r="E407" s="16" t="n">
        <f aca="false">IF(B407=-1, -1, VLOOKUP(MOD(B407,28), $T$24:$U$52,2))</f>
        <v>17</v>
      </c>
      <c r="F407" s="16" t="n">
        <f aca="false">IF($B407=-1, -1, VLOOKUP(C407,$T$1:$V$20, 2))</f>
        <v>18</v>
      </c>
      <c r="G407" s="16" t="n">
        <f aca="false">IF($B407=-1, -1, VLOOKUP(D407,$Y$1:$Z$22,2))</f>
        <v>2</v>
      </c>
      <c r="H407" s="16" t="str">
        <f aca="false">_xlfn.UNICHAR(((F407*21)+G407)*28+44032)</f>
        <v>햐</v>
      </c>
      <c r="I407" s="16" t="n">
        <f aca="false">IF(B407=-1, 1, COUNTIF($A$2:$A$3000, H407))</f>
        <v>1</v>
      </c>
      <c r="J407" s="10" t="str">
        <f aca="false">_xlfn.CONCAT(A407, ",",H407,",",I407)</f>
        <v>늅,햐,1</v>
      </c>
      <c r="K407" s="16" t="n">
        <f aca="false">IF(B407=-1,-1,VLOOKUP(C407,$T$1:$V$20,3))</f>
        <v>3</v>
      </c>
      <c r="L407" s="16" t="n">
        <f aca="false">IF(B407=-1,-1,VLOOKUP(D407,$Y$1:$AA$22,3))</f>
        <v>6</v>
      </c>
      <c r="N407" s="10" t="str">
        <f aca="false">_xlfn.UNICHAR(((C407*21)+G407)*28+44032)</f>
        <v>냐</v>
      </c>
      <c r="O407" s="10" t="str">
        <f aca="false">_xlfn.UNICHAR(((F407*21)+D407)*28+44032)</f>
        <v>휴</v>
      </c>
      <c r="P407" s="12" t="n">
        <f aca="false">COUNTIF($A$2:$A$3000, N407) + COUNTIF($A$2:$A$3000, O407)</f>
        <v>2</v>
      </c>
      <c r="Q407" s="16" t="str">
        <f aca="false">IF(OR(B407=-1,I407=0, P407&lt;&gt;2), "albhed_dummy", _xlfn.CONCAT("albhed ", RIGHT("  " &amp; K407,2),", ", RIGHT("  " &amp; L407,2), ", " ,"""",H407,""", ", """",N407,""", ","""",O407,""""," ; ", A407))</f>
        <v>albhed  3,  6, "햐", "냐", "휴" ; 늅</v>
      </c>
    </row>
    <row r="408" customFormat="false" ht="17.9" hidden="false" customHeight="true" outlineLevel="0" collapsed="false">
      <c r="A408" s="16" t="s">
        <v>1284</v>
      </c>
      <c r="B408" s="16" t="n">
        <f aca="false">IF(_xlfn.UNICODE(A408)&lt;44032,-1,_xlfn.UNICODE(A408)-44032)</f>
        <v>1673</v>
      </c>
      <c r="C408" s="16" t="n">
        <f aca="false">IF(B408=-1,-1,INT((B408/28)/21))</f>
        <v>2</v>
      </c>
      <c r="D408" s="16" t="n">
        <f aca="false">IF(B408=-1, -1, MOD(INT(B408/28),21))</f>
        <v>17</v>
      </c>
      <c r="E408" s="16" t="n">
        <f aca="false">IF(B408=-1, -1, VLOOKUP(MOD(B408,28), $T$24:$U$52,2))</f>
        <v>21</v>
      </c>
      <c r="F408" s="16" t="n">
        <f aca="false">IF($B408=-1, -1, VLOOKUP(C408,$T$1:$V$20, 2))</f>
        <v>18</v>
      </c>
      <c r="G408" s="16" t="n">
        <f aca="false">IF($B408=-1, -1, VLOOKUP(D408,$Y$1:$Z$22,2))</f>
        <v>2</v>
      </c>
      <c r="H408" s="16" t="str">
        <f aca="false">_xlfn.UNICHAR(((F408*21)+G408)*28+44032)</f>
        <v>햐</v>
      </c>
      <c r="I408" s="16" t="n">
        <f aca="false">IF(B408=-1, 1, COUNTIF($A$2:$A$3000, H408))</f>
        <v>1</v>
      </c>
      <c r="J408" s="10" t="str">
        <f aca="false">_xlfn.CONCAT(A408, ",",H408,",",I408)</f>
        <v>늉,햐,1</v>
      </c>
      <c r="K408" s="16" t="n">
        <f aca="false">IF(B408=-1,-1,VLOOKUP(C408,$T$1:$V$20,3))</f>
        <v>3</v>
      </c>
      <c r="L408" s="16" t="n">
        <f aca="false">IF(B408=-1,-1,VLOOKUP(D408,$Y$1:$AA$22,3))</f>
        <v>6</v>
      </c>
      <c r="N408" s="10" t="str">
        <f aca="false">_xlfn.UNICHAR(((C408*21)+G408)*28+44032)</f>
        <v>냐</v>
      </c>
      <c r="O408" s="10" t="str">
        <f aca="false">_xlfn.UNICHAR(((F408*21)+D408)*28+44032)</f>
        <v>휴</v>
      </c>
      <c r="P408" s="12" t="n">
        <f aca="false">COUNTIF($A$2:$A$3000, N408) + COUNTIF($A$2:$A$3000, O408)</f>
        <v>2</v>
      </c>
      <c r="Q408" s="16" t="str">
        <f aca="false">IF(OR(B408=-1,I408=0, P408&lt;&gt;2), "albhed_dummy", _xlfn.CONCAT("albhed ", RIGHT("  " &amp; K408,2),", ", RIGHT("  " &amp; L408,2), ", " ,"""",H408,""", ", """",N408,""", ","""",O408,""""," ; ", A408))</f>
        <v>albhed  3,  6, "햐", "냐", "휴" ; 늉</v>
      </c>
    </row>
    <row r="409" customFormat="false" ht="17.9" hidden="false" customHeight="true" outlineLevel="0" collapsed="false">
      <c r="A409" s="16" t="s">
        <v>1285</v>
      </c>
      <c r="B409" s="16" t="n">
        <f aca="false">IF(_xlfn.UNICODE(A409)&lt;44032,-1,_xlfn.UNICODE(A409)-44032)</f>
        <v>1680</v>
      </c>
      <c r="C409" s="16" t="n">
        <f aca="false">IF(B409=-1,-1,INT((B409/28)/21))</f>
        <v>2</v>
      </c>
      <c r="D409" s="16" t="n">
        <f aca="false">IF(B409=-1, -1, MOD(INT(B409/28),21))</f>
        <v>18</v>
      </c>
      <c r="E409" s="16" t="n">
        <f aca="false">IF(B409=-1, -1, VLOOKUP(MOD(B409,28), $T$24:$U$52,2))</f>
        <v>0</v>
      </c>
      <c r="F409" s="16" t="n">
        <f aca="false">IF($B409=-1, -1, VLOOKUP(C409,$T$1:$V$20, 2))</f>
        <v>18</v>
      </c>
      <c r="G409" s="16" t="n">
        <f aca="false">IF($B409=-1, -1, VLOOKUP(D409,$Y$1:$Z$22,2))</f>
        <v>5</v>
      </c>
      <c r="H409" s="16" t="str">
        <f aca="false">_xlfn.UNICHAR(((F409*21)+G409)*28+44032)</f>
        <v>헤</v>
      </c>
      <c r="I409" s="16" t="n">
        <f aca="false">IF(B409=-1, 1, COUNTIF($A$2:$A$3000, H409))</f>
        <v>1</v>
      </c>
      <c r="J409" s="10" t="str">
        <f aca="false">_xlfn.CONCAT(A409, ",",H409,",",I409)</f>
        <v>느,헤,1</v>
      </c>
      <c r="K409" s="16" t="n">
        <f aca="false">IF(B409=-1,-1,VLOOKUP(C409,$T$1:$V$20,3))</f>
        <v>3</v>
      </c>
      <c r="L409" s="16" t="n">
        <f aca="false">IF(B409=-1,-1,VLOOKUP(D409,$Y$1:$AA$22,3))</f>
        <v>18</v>
      </c>
      <c r="N409" s="10" t="str">
        <f aca="false">_xlfn.UNICHAR(((C409*21)+G409)*28+44032)</f>
        <v>네</v>
      </c>
      <c r="O409" s="10" t="str">
        <f aca="false">_xlfn.UNICHAR(((F409*21)+D409)*28+44032)</f>
        <v>흐</v>
      </c>
      <c r="P409" s="12" t="n">
        <f aca="false">COUNTIF($A$2:$A$3000, N409) + COUNTIF($A$2:$A$3000, O409)</f>
        <v>2</v>
      </c>
      <c r="Q409" s="16" t="str">
        <f aca="false">IF(OR(B409=-1,I409=0, P409&lt;&gt;2), "albhed_dummy", _xlfn.CONCAT("albhed ", RIGHT("  " &amp; K409,2),", ", RIGHT("  " &amp; L409,2), ", " ,"""",H409,""", ", """",N409,""", ","""",O409,""""," ; ", A409))</f>
        <v>albhed  3, 18, "헤", "네", "흐" ; 느</v>
      </c>
    </row>
    <row r="410" customFormat="false" ht="17.9" hidden="false" customHeight="true" outlineLevel="0" collapsed="false">
      <c r="A410" s="16" t="s">
        <v>1286</v>
      </c>
      <c r="B410" s="16" t="n">
        <f aca="false">IF(_xlfn.UNICODE(A410)&lt;44032,-1,_xlfn.UNICODE(A410)-44032)</f>
        <v>1681</v>
      </c>
      <c r="C410" s="16" t="n">
        <f aca="false">IF(B410=-1,-1,INT((B410/28)/21))</f>
        <v>2</v>
      </c>
      <c r="D410" s="16" t="n">
        <f aca="false">IF(B410=-1, -1, MOD(INT(B410/28),21))</f>
        <v>18</v>
      </c>
      <c r="E410" s="16" t="n">
        <f aca="false">IF(B410=-1, -1, VLOOKUP(MOD(B410,28), $T$24:$U$52,2))</f>
        <v>1</v>
      </c>
      <c r="F410" s="16" t="n">
        <f aca="false">IF($B410=-1, -1, VLOOKUP(C410,$T$1:$V$20, 2))</f>
        <v>18</v>
      </c>
      <c r="G410" s="16" t="n">
        <f aca="false">IF($B410=-1, -1, VLOOKUP(D410,$Y$1:$Z$22,2))</f>
        <v>5</v>
      </c>
      <c r="H410" s="16" t="str">
        <f aca="false">_xlfn.UNICHAR(((F410*21)+G410)*28+44032)</f>
        <v>헤</v>
      </c>
      <c r="I410" s="16" t="n">
        <f aca="false">IF(B410=-1, 1, COUNTIF($A$2:$A$3000, H410))</f>
        <v>1</v>
      </c>
      <c r="J410" s="10" t="str">
        <f aca="false">_xlfn.CONCAT(A410, ",",H410,",",I410)</f>
        <v>늑,헤,1</v>
      </c>
      <c r="K410" s="16" t="n">
        <f aca="false">IF(B410=-1,-1,VLOOKUP(C410,$T$1:$V$20,3))</f>
        <v>3</v>
      </c>
      <c r="L410" s="16" t="n">
        <f aca="false">IF(B410=-1,-1,VLOOKUP(D410,$Y$1:$AA$22,3))</f>
        <v>18</v>
      </c>
      <c r="N410" s="10" t="str">
        <f aca="false">_xlfn.UNICHAR(((C410*21)+G410)*28+44032)</f>
        <v>네</v>
      </c>
      <c r="O410" s="10" t="str">
        <f aca="false">_xlfn.UNICHAR(((F410*21)+D410)*28+44032)</f>
        <v>흐</v>
      </c>
      <c r="P410" s="12" t="n">
        <f aca="false">COUNTIF($A$2:$A$3000, N410) + COUNTIF($A$2:$A$3000, O410)</f>
        <v>2</v>
      </c>
      <c r="Q410" s="16" t="str">
        <f aca="false">IF(OR(B410=-1,I410=0, P410&lt;&gt;2), "albhed_dummy", _xlfn.CONCAT("albhed ", RIGHT("  " &amp; K410,2),", ", RIGHT("  " &amp; L410,2), ", " ,"""",H410,""", ", """",N410,""", ","""",O410,""""," ; ", A410))</f>
        <v>albhed  3, 18, "헤", "네", "흐" ; 늑</v>
      </c>
    </row>
    <row r="411" customFormat="false" ht="17.9" hidden="false" customHeight="true" outlineLevel="0" collapsed="false">
      <c r="A411" s="16" t="s">
        <v>1287</v>
      </c>
      <c r="B411" s="16" t="n">
        <f aca="false">IF(_xlfn.UNICODE(A411)&lt;44032,-1,_xlfn.UNICODE(A411)-44032)</f>
        <v>1684</v>
      </c>
      <c r="C411" s="16" t="n">
        <f aca="false">IF(B411=-1,-1,INT((B411/28)/21))</f>
        <v>2</v>
      </c>
      <c r="D411" s="16" t="n">
        <f aca="false">IF(B411=-1, -1, MOD(INT(B411/28),21))</f>
        <v>18</v>
      </c>
      <c r="E411" s="16" t="n">
        <f aca="false">IF(B411=-1, -1, VLOOKUP(MOD(B411,28), $T$24:$U$52,2))</f>
        <v>4</v>
      </c>
      <c r="F411" s="16" t="n">
        <f aca="false">IF($B411=-1, -1, VLOOKUP(C411,$T$1:$V$20, 2))</f>
        <v>18</v>
      </c>
      <c r="G411" s="16" t="n">
        <f aca="false">IF($B411=-1, -1, VLOOKUP(D411,$Y$1:$Z$22,2))</f>
        <v>5</v>
      </c>
      <c r="H411" s="16" t="str">
        <f aca="false">_xlfn.UNICHAR(((F411*21)+G411)*28+44032)</f>
        <v>헤</v>
      </c>
      <c r="I411" s="16" t="n">
        <f aca="false">IF(B411=-1, 1, COUNTIF($A$2:$A$3000, H411))</f>
        <v>1</v>
      </c>
      <c r="J411" s="10" t="str">
        <f aca="false">_xlfn.CONCAT(A411, ",",H411,",",I411)</f>
        <v>는,헤,1</v>
      </c>
      <c r="K411" s="16" t="n">
        <f aca="false">IF(B411=-1,-1,VLOOKUP(C411,$T$1:$V$20,3))</f>
        <v>3</v>
      </c>
      <c r="L411" s="16" t="n">
        <f aca="false">IF(B411=-1,-1,VLOOKUP(D411,$Y$1:$AA$22,3))</f>
        <v>18</v>
      </c>
      <c r="N411" s="10" t="str">
        <f aca="false">_xlfn.UNICHAR(((C411*21)+G411)*28+44032)</f>
        <v>네</v>
      </c>
      <c r="O411" s="10" t="str">
        <f aca="false">_xlfn.UNICHAR(((F411*21)+D411)*28+44032)</f>
        <v>흐</v>
      </c>
      <c r="P411" s="12" t="n">
        <f aca="false">COUNTIF($A$2:$A$3000, N411) + COUNTIF($A$2:$A$3000, O411)</f>
        <v>2</v>
      </c>
      <c r="Q411" s="16" t="str">
        <f aca="false">IF(OR(B411=-1,I411=0, P411&lt;&gt;2), "albhed_dummy", _xlfn.CONCAT("albhed ", RIGHT("  " &amp; K411,2),", ", RIGHT("  " &amp; L411,2), ", " ,"""",H411,""", ", """",N411,""", ","""",O411,""""," ; ", A411))</f>
        <v>albhed  3, 18, "헤", "네", "흐" ; 는</v>
      </c>
    </row>
    <row r="412" customFormat="false" ht="17.9" hidden="false" customHeight="true" outlineLevel="0" collapsed="false">
      <c r="A412" s="16" t="s">
        <v>1288</v>
      </c>
      <c r="B412" s="16" t="n">
        <f aca="false">IF(_xlfn.UNICODE(A412)&lt;44032,-1,_xlfn.UNICODE(A412)-44032)</f>
        <v>1688</v>
      </c>
      <c r="C412" s="16" t="n">
        <f aca="false">IF(B412=-1,-1,INT((B412/28)/21))</f>
        <v>2</v>
      </c>
      <c r="D412" s="16" t="n">
        <f aca="false">IF(B412=-1, -1, MOD(INT(B412/28),21))</f>
        <v>18</v>
      </c>
      <c r="E412" s="16" t="n">
        <f aca="false">IF(B412=-1, -1, VLOOKUP(MOD(B412,28), $T$24:$U$52,2))</f>
        <v>8</v>
      </c>
      <c r="F412" s="16" t="n">
        <f aca="false">IF($B412=-1, -1, VLOOKUP(C412,$T$1:$V$20, 2))</f>
        <v>18</v>
      </c>
      <c r="G412" s="16" t="n">
        <f aca="false">IF($B412=-1, -1, VLOOKUP(D412,$Y$1:$Z$22,2))</f>
        <v>5</v>
      </c>
      <c r="H412" s="16" t="str">
        <f aca="false">_xlfn.UNICHAR(((F412*21)+G412)*28+44032)</f>
        <v>헤</v>
      </c>
      <c r="I412" s="16" t="n">
        <f aca="false">IF(B412=-1, 1, COUNTIF($A$2:$A$3000, H412))</f>
        <v>1</v>
      </c>
      <c r="J412" s="10" t="str">
        <f aca="false">_xlfn.CONCAT(A412, ",",H412,",",I412)</f>
        <v>늘,헤,1</v>
      </c>
      <c r="K412" s="16" t="n">
        <f aca="false">IF(B412=-1,-1,VLOOKUP(C412,$T$1:$V$20,3))</f>
        <v>3</v>
      </c>
      <c r="L412" s="16" t="n">
        <f aca="false">IF(B412=-1,-1,VLOOKUP(D412,$Y$1:$AA$22,3))</f>
        <v>18</v>
      </c>
      <c r="N412" s="10" t="str">
        <f aca="false">_xlfn.UNICHAR(((C412*21)+G412)*28+44032)</f>
        <v>네</v>
      </c>
      <c r="O412" s="10" t="str">
        <f aca="false">_xlfn.UNICHAR(((F412*21)+D412)*28+44032)</f>
        <v>흐</v>
      </c>
      <c r="P412" s="12" t="n">
        <f aca="false">COUNTIF($A$2:$A$3000, N412) + COUNTIF($A$2:$A$3000, O412)</f>
        <v>2</v>
      </c>
      <c r="Q412" s="16" t="str">
        <f aca="false">IF(OR(B412=-1,I412=0, P412&lt;&gt;2), "albhed_dummy", _xlfn.CONCAT("albhed ", RIGHT("  " &amp; K412,2),", ", RIGHT("  " &amp; L412,2), ", " ,"""",H412,""", ", """",N412,""", ","""",O412,""""," ; ", A412))</f>
        <v>albhed  3, 18, "헤", "네", "흐" ; 늘</v>
      </c>
    </row>
    <row r="413" customFormat="false" ht="17.9" hidden="false" customHeight="true" outlineLevel="0" collapsed="false">
      <c r="A413" s="16" t="s">
        <v>1289</v>
      </c>
      <c r="B413" s="16" t="n">
        <f aca="false">IF(_xlfn.UNICODE(A413)&lt;44032,-1,_xlfn.UNICODE(A413)-44032)</f>
        <v>1689</v>
      </c>
      <c r="C413" s="16" t="n">
        <f aca="false">IF(B413=-1,-1,INT((B413/28)/21))</f>
        <v>2</v>
      </c>
      <c r="D413" s="16" t="n">
        <f aca="false">IF(B413=-1, -1, MOD(INT(B413/28),21))</f>
        <v>18</v>
      </c>
      <c r="E413" s="16" t="n">
        <f aca="false">IF(B413=-1, -1, VLOOKUP(MOD(B413,28), $T$24:$U$52,2))</f>
        <v>8</v>
      </c>
      <c r="F413" s="16" t="n">
        <f aca="false">IF($B413=-1, -1, VLOOKUP(C413,$T$1:$V$20, 2))</f>
        <v>18</v>
      </c>
      <c r="G413" s="16" t="n">
        <f aca="false">IF($B413=-1, -1, VLOOKUP(D413,$Y$1:$Z$22,2))</f>
        <v>5</v>
      </c>
      <c r="H413" s="16" t="str">
        <f aca="false">_xlfn.UNICHAR(((F413*21)+G413)*28+44032)</f>
        <v>헤</v>
      </c>
      <c r="I413" s="16" t="n">
        <f aca="false">IF(B413=-1, 1, COUNTIF($A$2:$A$3000, H413))</f>
        <v>1</v>
      </c>
      <c r="J413" s="10" t="str">
        <f aca="false">_xlfn.CONCAT(A413, ",",H413,",",I413)</f>
        <v>늙,헤,1</v>
      </c>
      <c r="K413" s="16" t="n">
        <f aca="false">IF(B413=-1,-1,VLOOKUP(C413,$T$1:$V$20,3))</f>
        <v>3</v>
      </c>
      <c r="L413" s="16" t="n">
        <f aca="false">IF(B413=-1,-1,VLOOKUP(D413,$Y$1:$AA$22,3))</f>
        <v>18</v>
      </c>
      <c r="N413" s="10" t="str">
        <f aca="false">_xlfn.UNICHAR(((C413*21)+G413)*28+44032)</f>
        <v>네</v>
      </c>
      <c r="O413" s="10" t="str">
        <f aca="false">_xlfn.UNICHAR(((F413*21)+D413)*28+44032)</f>
        <v>흐</v>
      </c>
      <c r="P413" s="12" t="n">
        <f aca="false">COUNTIF($A$2:$A$3000, N413) + COUNTIF($A$2:$A$3000, O413)</f>
        <v>2</v>
      </c>
      <c r="Q413" s="16" t="str">
        <f aca="false">IF(OR(B413=-1,I413=0, P413&lt;&gt;2), "albhed_dummy", _xlfn.CONCAT("albhed ", RIGHT("  " &amp; K413,2),", ", RIGHT("  " &amp; L413,2), ", " ,"""",H413,""", ", """",N413,""", ","""",O413,""""," ; ", A413))</f>
        <v>albhed  3, 18, "헤", "네", "흐" ; 늙</v>
      </c>
    </row>
    <row r="414" customFormat="false" ht="17.9" hidden="false" customHeight="true" outlineLevel="0" collapsed="false">
      <c r="A414" s="16" t="s">
        <v>1290</v>
      </c>
      <c r="B414" s="16" t="n">
        <f aca="false">IF(_xlfn.UNICODE(A414)&lt;44032,-1,_xlfn.UNICODE(A414)-44032)</f>
        <v>1690</v>
      </c>
      <c r="C414" s="16" t="n">
        <f aca="false">IF(B414=-1,-1,INT((B414/28)/21))</f>
        <v>2</v>
      </c>
      <c r="D414" s="16" t="n">
        <f aca="false">IF(B414=-1, -1, MOD(INT(B414/28),21))</f>
        <v>18</v>
      </c>
      <c r="E414" s="16" t="n">
        <f aca="false">IF(B414=-1, -1, VLOOKUP(MOD(B414,28), $T$24:$U$52,2))</f>
        <v>8</v>
      </c>
      <c r="F414" s="16" t="n">
        <f aca="false">IF($B414=-1, -1, VLOOKUP(C414,$T$1:$V$20, 2))</f>
        <v>18</v>
      </c>
      <c r="G414" s="16" t="n">
        <f aca="false">IF($B414=-1, -1, VLOOKUP(D414,$Y$1:$Z$22,2))</f>
        <v>5</v>
      </c>
      <c r="H414" s="16" t="str">
        <f aca="false">_xlfn.UNICHAR(((F414*21)+G414)*28+44032)</f>
        <v>헤</v>
      </c>
      <c r="I414" s="16" t="n">
        <f aca="false">IF(B414=-1, 1, COUNTIF($A$2:$A$3000, H414))</f>
        <v>1</v>
      </c>
      <c r="J414" s="10" t="str">
        <f aca="false">_xlfn.CONCAT(A414, ",",H414,",",I414)</f>
        <v>늚,헤,1</v>
      </c>
      <c r="K414" s="16" t="n">
        <f aca="false">IF(B414=-1,-1,VLOOKUP(C414,$T$1:$V$20,3))</f>
        <v>3</v>
      </c>
      <c r="L414" s="16" t="n">
        <f aca="false">IF(B414=-1,-1,VLOOKUP(D414,$Y$1:$AA$22,3))</f>
        <v>18</v>
      </c>
      <c r="N414" s="10" t="str">
        <f aca="false">_xlfn.UNICHAR(((C414*21)+G414)*28+44032)</f>
        <v>네</v>
      </c>
      <c r="O414" s="10" t="str">
        <f aca="false">_xlfn.UNICHAR(((F414*21)+D414)*28+44032)</f>
        <v>흐</v>
      </c>
      <c r="P414" s="12" t="n">
        <f aca="false">COUNTIF($A$2:$A$3000, N414) + COUNTIF($A$2:$A$3000, O414)</f>
        <v>2</v>
      </c>
      <c r="Q414" s="16" t="str">
        <f aca="false">IF(OR(B414=-1,I414=0, P414&lt;&gt;2), "albhed_dummy", _xlfn.CONCAT("albhed ", RIGHT("  " &amp; K414,2),", ", RIGHT("  " &amp; L414,2), ", " ,"""",H414,""", ", """",N414,""", ","""",O414,""""," ; ", A414))</f>
        <v>albhed  3, 18, "헤", "네", "흐" ; 늚</v>
      </c>
    </row>
    <row r="415" customFormat="false" ht="17.9" hidden="false" customHeight="true" outlineLevel="0" collapsed="false">
      <c r="A415" s="16" t="s">
        <v>1291</v>
      </c>
      <c r="B415" s="16" t="n">
        <f aca="false">IF(_xlfn.UNICODE(A415)&lt;44032,-1,_xlfn.UNICODE(A415)-44032)</f>
        <v>1696</v>
      </c>
      <c r="C415" s="16" t="n">
        <f aca="false">IF(B415=-1,-1,INT((B415/28)/21))</f>
        <v>2</v>
      </c>
      <c r="D415" s="16" t="n">
        <f aca="false">IF(B415=-1, -1, MOD(INT(B415/28),21))</f>
        <v>18</v>
      </c>
      <c r="E415" s="16" t="n">
        <f aca="false">IF(B415=-1, -1, VLOOKUP(MOD(B415,28), $T$24:$U$52,2))</f>
        <v>16</v>
      </c>
      <c r="F415" s="16" t="n">
        <f aca="false">IF($B415=-1, -1, VLOOKUP(C415,$T$1:$V$20, 2))</f>
        <v>18</v>
      </c>
      <c r="G415" s="16" t="n">
        <f aca="false">IF($B415=-1, -1, VLOOKUP(D415,$Y$1:$Z$22,2))</f>
        <v>5</v>
      </c>
      <c r="H415" s="16" t="str">
        <f aca="false">_xlfn.UNICHAR(((F415*21)+G415)*28+44032)</f>
        <v>헤</v>
      </c>
      <c r="I415" s="16" t="n">
        <f aca="false">IF(B415=-1, 1, COUNTIF($A$2:$A$3000, H415))</f>
        <v>1</v>
      </c>
      <c r="J415" s="10" t="str">
        <f aca="false">_xlfn.CONCAT(A415, ",",H415,",",I415)</f>
        <v>늠,헤,1</v>
      </c>
      <c r="K415" s="16" t="n">
        <f aca="false">IF(B415=-1,-1,VLOOKUP(C415,$T$1:$V$20,3))</f>
        <v>3</v>
      </c>
      <c r="L415" s="16" t="n">
        <f aca="false">IF(B415=-1,-1,VLOOKUP(D415,$Y$1:$AA$22,3))</f>
        <v>18</v>
      </c>
      <c r="N415" s="10" t="str">
        <f aca="false">_xlfn.UNICHAR(((C415*21)+G415)*28+44032)</f>
        <v>네</v>
      </c>
      <c r="O415" s="10" t="str">
        <f aca="false">_xlfn.UNICHAR(((F415*21)+D415)*28+44032)</f>
        <v>흐</v>
      </c>
      <c r="P415" s="12" t="n">
        <f aca="false">COUNTIF($A$2:$A$3000, N415) + COUNTIF($A$2:$A$3000, O415)</f>
        <v>2</v>
      </c>
      <c r="Q415" s="16" t="str">
        <f aca="false">IF(OR(B415=-1,I415=0, P415&lt;&gt;2), "albhed_dummy", _xlfn.CONCAT("albhed ", RIGHT("  " &amp; K415,2),", ", RIGHT("  " &amp; L415,2), ", " ,"""",H415,""", ", """",N415,""", ","""",O415,""""," ; ", A415))</f>
        <v>albhed  3, 18, "헤", "네", "흐" ; 늠</v>
      </c>
    </row>
    <row r="416" customFormat="false" ht="17.9" hidden="false" customHeight="true" outlineLevel="0" collapsed="false">
      <c r="A416" s="16" t="s">
        <v>1292</v>
      </c>
      <c r="B416" s="16" t="n">
        <f aca="false">IF(_xlfn.UNICODE(A416)&lt;44032,-1,_xlfn.UNICODE(A416)-44032)</f>
        <v>1697</v>
      </c>
      <c r="C416" s="16" t="n">
        <f aca="false">IF(B416=-1,-1,INT((B416/28)/21))</f>
        <v>2</v>
      </c>
      <c r="D416" s="16" t="n">
        <f aca="false">IF(B416=-1, -1, MOD(INT(B416/28),21))</f>
        <v>18</v>
      </c>
      <c r="E416" s="16" t="n">
        <f aca="false">IF(B416=-1, -1, VLOOKUP(MOD(B416,28), $T$24:$U$52,2))</f>
        <v>17</v>
      </c>
      <c r="F416" s="16" t="n">
        <f aca="false">IF($B416=-1, -1, VLOOKUP(C416,$T$1:$V$20, 2))</f>
        <v>18</v>
      </c>
      <c r="G416" s="16" t="n">
        <f aca="false">IF($B416=-1, -1, VLOOKUP(D416,$Y$1:$Z$22,2))</f>
        <v>5</v>
      </c>
      <c r="H416" s="16" t="str">
        <f aca="false">_xlfn.UNICHAR(((F416*21)+G416)*28+44032)</f>
        <v>헤</v>
      </c>
      <c r="I416" s="16" t="n">
        <f aca="false">IF(B416=-1, 1, COUNTIF($A$2:$A$3000, H416))</f>
        <v>1</v>
      </c>
      <c r="J416" s="10" t="str">
        <f aca="false">_xlfn.CONCAT(A416, ",",H416,",",I416)</f>
        <v>늡,헤,1</v>
      </c>
      <c r="K416" s="16" t="n">
        <f aca="false">IF(B416=-1,-1,VLOOKUP(C416,$T$1:$V$20,3))</f>
        <v>3</v>
      </c>
      <c r="L416" s="16" t="n">
        <f aca="false">IF(B416=-1,-1,VLOOKUP(D416,$Y$1:$AA$22,3))</f>
        <v>18</v>
      </c>
      <c r="N416" s="10" t="str">
        <f aca="false">_xlfn.UNICHAR(((C416*21)+G416)*28+44032)</f>
        <v>네</v>
      </c>
      <c r="O416" s="10" t="str">
        <f aca="false">_xlfn.UNICHAR(((F416*21)+D416)*28+44032)</f>
        <v>흐</v>
      </c>
      <c r="P416" s="12" t="n">
        <f aca="false">COUNTIF($A$2:$A$3000, N416) + COUNTIF($A$2:$A$3000, O416)</f>
        <v>2</v>
      </c>
      <c r="Q416" s="16" t="str">
        <f aca="false">IF(OR(B416=-1,I416=0, P416&lt;&gt;2), "albhed_dummy", _xlfn.CONCAT("albhed ", RIGHT("  " &amp; K416,2),", ", RIGHT("  " &amp; L416,2), ", " ,"""",H416,""", ", """",N416,""", ","""",O416,""""," ; ", A416))</f>
        <v>albhed  3, 18, "헤", "네", "흐" ; 늡</v>
      </c>
    </row>
    <row r="417" customFormat="false" ht="17.9" hidden="false" customHeight="true" outlineLevel="0" collapsed="false">
      <c r="A417" s="16" t="s">
        <v>1293</v>
      </c>
      <c r="B417" s="16" t="n">
        <f aca="false">IF(_xlfn.UNICODE(A417)&lt;44032,-1,_xlfn.UNICODE(A417)-44032)</f>
        <v>1699</v>
      </c>
      <c r="C417" s="16" t="n">
        <f aca="false">IF(B417=-1,-1,INT((B417/28)/21))</f>
        <v>2</v>
      </c>
      <c r="D417" s="16" t="n">
        <f aca="false">IF(B417=-1, -1, MOD(INT(B417/28),21))</f>
        <v>18</v>
      </c>
      <c r="E417" s="16" t="n">
        <f aca="false">IF(B417=-1, -1, VLOOKUP(MOD(B417,28), $T$24:$U$52,2))</f>
        <v>19</v>
      </c>
      <c r="F417" s="16" t="n">
        <f aca="false">IF($B417=-1, -1, VLOOKUP(C417,$T$1:$V$20, 2))</f>
        <v>18</v>
      </c>
      <c r="G417" s="16" t="n">
        <f aca="false">IF($B417=-1, -1, VLOOKUP(D417,$Y$1:$Z$22,2))</f>
        <v>5</v>
      </c>
      <c r="H417" s="16" t="str">
        <f aca="false">_xlfn.UNICHAR(((F417*21)+G417)*28+44032)</f>
        <v>헤</v>
      </c>
      <c r="I417" s="16" t="n">
        <f aca="false">IF(B417=-1, 1, COUNTIF($A$2:$A$3000, H417))</f>
        <v>1</v>
      </c>
      <c r="J417" s="10" t="str">
        <f aca="false">_xlfn.CONCAT(A417, ",",H417,",",I417)</f>
        <v>늣,헤,1</v>
      </c>
      <c r="K417" s="16" t="n">
        <f aca="false">IF(B417=-1,-1,VLOOKUP(C417,$T$1:$V$20,3))</f>
        <v>3</v>
      </c>
      <c r="L417" s="16" t="n">
        <f aca="false">IF(B417=-1,-1,VLOOKUP(D417,$Y$1:$AA$22,3))</f>
        <v>18</v>
      </c>
      <c r="N417" s="10" t="str">
        <f aca="false">_xlfn.UNICHAR(((C417*21)+G417)*28+44032)</f>
        <v>네</v>
      </c>
      <c r="O417" s="10" t="str">
        <f aca="false">_xlfn.UNICHAR(((F417*21)+D417)*28+44032)</f>
        <v>흐</v>
      </c>
      <c r="P417" s="12" t="n">
        <f aca="false">COUNTIF($A$2:$A$3000, N417) + COUNTIF($A$2:$A$3000, O417)</f>
        <v>2</v>
      </c>
      <c r="Q417" s="16" t="str">
        <f aca="false">IF(OR(B417=-1,I417=0, P417&lt;&gt;2), "albhed_dummy", _xlfn.CONCAT("albhed ", RIGHT("  " &amp; K417,2),", ", RIGHT("  " &amp; L417,2), ", " ,"""",H417,""", ", """",N417,""", ","""",O417,""""," ; ", A417))</f>
        <v>albhed  3, 18, "헤", "네", "흐" ; 늣</v>
      </c>
    </row>
    <row r="418" customFormat="false" ht="17.9" hidden="false" customHeight="true" outlineLevel="0" collapsed="false">
      <c r="A418" s="16" t="s">
        <v>1294</v>
      </c>
      <c r="B418" s="16" t="n">
        <f aca="false">IF(_xlfn.UNICODE(A418)&lt;44032,-1,_xlfn.UNICODE(A418)-44032)</f>
        <v>1701</v>
      </c>
      <c r="C418" s="16" t="n">
        <f aca="false">IF(B418=-1,-1,INT((B418/28)/21))</f>
        <v>2</v>
      </c>
      <c r="D418" s="16" t="n">
        <f aca="false">IF(B418=-1, -1, MOD(INT(B418/28),21))</f>
        <v>18</v>
      </c>
      <c r="E418" s="16" t="n">
        <f aca="false">IF(B418=-1, -1, VLOOKUP(MOD(B418,28), $T$24:$U$52,2))</f>
        <v>21</v>
      </c>
      <c r="F418" s="16" t="n">
        <f aca="false">IF($B418=-1, -1, VLOOKUP(C418,$T$1:$V$20, 2))</f>
        <v>18</v>
      </c>
      <c r="G418" s="16" t="n">
        <f aca="false">IF($B418=-1, -1, VLOOKUP(D418,$Y$1:$Z$22,2))</f>
        <v>5</v>
      </c>
      <c r="H418" s="16" t="str">
        <f aca="false">_xlfn.UNICHAR(((F418*21)+G418)*28+44032)</f>
        <v>헤</v>
      </c>
      <c r="I418" s="16" t="n">
        <f aca="false">IF(B418=-1, 1, COUNTIF($A$2:$A$3000, H418))</f>
        <v>1</v>
      </c>
      <c r="J418" s="10" t="str">
        <f aca="false">_xlfn.CONCAT(A418, ",",H418,",",I418)</f>
        <v>능,헤,1</v>
      </c>
      <c r="K418" s="16" t="n">
        <f aca="false">IF(B418=-1,-1,VLOOKUP(C418,$T$1:$V$20,3))</f>
        <v>3</v>
      </c>
      <c r="L418" s="16" t="n">
        <f aca="false">IF(B418=-1,-1,VLOOKUP(D418,$Y$1:$AA$22,3))</f>
        <v>18</v>
      </c>
      <c r="N418" s="10" t="str">
        <f aca="false">_xlfn.UNICHAR(((C418*21)+G418)*28+44032)</f>
        <v>네</v>
      </c>
      <c r="O418" s="10" t="str">
        <f aca="false">_xlfn.UNICHAR(((F418*21)+D418)*28+44032)</f>
        <v>흐</v>
      </c>
      <c r="P418" s="12" t="n">
        <f aca="false">COUNTIF($A$2:$A$3000, N418) + COUNTIF($A$2:$A$3000, O418)</f>
        <v>2</v>
      </c>
      <c r="Q418" s="16" t="str">
        <f aca="false">IF(OR(B418=-1,I418=0, P418&lt;&gt;2), "albhed_dummy", _xlfn.CONCAT("albhed ", RIGHT("  " &amp; K418,2),", ", RIGHT("  " &amp; L418,2), ", " ,"""",H418,""", ", """",N418,""", ","""",O418,""""," ; ", A418))</f>
        <v>albhed  3, 18, "헤", "네", "흐" ; 능</v>
      </c>
    </row>
    <row r="419" customFormat="false" ht="17.9" hidden="false" customHeight="true" outlineLevel="0" collapsed="false">
      <c r="A419" s="16" t="s">
        <v>1295</v>
      </c>
      <c r="B419" s="16" t="n">
        <f aca="false">IF(_xlfn.UNICODE(A419)&lt;44032,-1,_xlfn.UNICODE(A419)-44032)</f>
        <v>1702</v>
      </c>
      <c r="C419" s="16" t="n">
        <f aca="false">IF(B419=-1,-1,INT((B419/28)/21))</f>
        <v>2</v>
      </c>
      <c r="D419" s="16" t="n">
        <f aca="false">IF(B419=-1, -1, MOD(INT(B419/28),21))</f>
        <v>18</v>
      </c>
      <c r="E419" s="16" t="n">
        <f aca="false">IF(B419=-1, -1, VLOOKUP(MOD(B419,28), $T$24:$U$52,2))</f>
        <v>19</v>
      </c>
      <c r="F419" s="16" t="n">
        <f aca="false">IF($B419=-1, -1, VLOOKUP(C419,$T$1:$V$20, 2))</f>
        <v>18</v>
      </c>
      <c r="G419" s="16" t="n">
        <f aca="false">IF($B419=-1, -1, VLOOKUP(D419,$Y$1:$Z$22,2))</f>
        <v>5</v>
      </c>
      <c r="H419" s="16" t="str">
        <f aca="false">_xlfn.UNICHAR(((F419*21)+G419)*28+44032)</f>
        <v>헤</v>
      </c>
      <c r="I419" s="16" t="n">
        <f aca="false">IF(B419=-1, 1, COUNTIF($A$2:$A$3000, H419))</f>
        <v>1</v>
      </c>
      <c r="J419" s="10" t="str">
        <f aca="false">_xlfn.CONCAT(A419, ",",H419,",",I419)</f>
        <v>늦,헤,1</v>
      </c>
      <c r="K419" s="16" t="n">
        <f aca="false">IF(B419=-1,-1,VLOOKUP(C419,$T$1:$V$20,3))</f>
        <v>3</v>
      </c>
      <c r="L419" s="16" t="n">
        <f aca="false">IF(B419=-1,-1,VLOOKUP(D419,$Y$1:$AA$22,3))</f>
        <v>18</v>
      </c>
      <c r="N419" s="10" t="str">
        <f aca="false">_xlfn.UNICHAR(((C419*21)+G419)*28+44032)</f>
        <v>네</v>
      </c>
      <c r="O419" s="10" t="str">
        <f aca="false">_xlfn.UNICHAR(((F419*21)+D419)*28+44032)</f>
        <v>흐</v>
      </c>
      <c r="P419" s="12" t="n">
        <f aca="false">COUNTIF($A$2:$A$3000, N419) + COUNTIF($A$2:$A$3000, O419)</f>
        <v>2</v>
      </c>
      <c r="Q419" s="16" t="str">
        <f aca="false">IF(OR(B419=-1,I419=0, P419&lt;&gt;2), "albhed_dummy", _xlfn.CONCAT("albhed ", RIGHT("  " &amp; K419,2),", ", RIGHT("  " &amp; L419,2), ", " ,"""",H419,""", ", """",N419,""", ","""",O419,""""," ; ", A419))</f>
        <v>albhed  3, 18, "헤", "네", "흐" ; 늦</v>
      </c>
    </row>
    <row r="420" customFormat="false" ht="17.9" hidden="false" customHeight="true" outlineLevel="0" collapsed="false">
      <c r="A420" s="16" t="s">
        <v>1296</v>
      </c>
      <c r="B420" s="16" t="n">
        <f aca="false">IF(_xlfn.UNICODE(A420)&lt;44032,-1,_xlfn.UNICODE(A420)-44032)</f>
        <v>1706</v>
      </c>
      <c r="C420" s="16" t="n">
        <f aca="false">IF(B420=-1,-1,INT((B420/28)/21))</f>
        <v>2</v>
      </c>
      <c r="D420" s="16" t="n">
        <f aca="false">IF(B420=-1, -1, MOD(INT(B420/28),21))</f>
        <v>18</v>
      </c>
      <c r="E420" s="16" t="n">
        <f aca="false">IF(B420=-1, -1, VLOOKUP(MOD(B420,28), $T$24:$U$52,2))</f>
        <v>17</v>
      </c>
      <c r="F420" s="16" t="n">
        <f aca="false">IF($B420=-1, -1, VLOOKUP(C420,$T$1:$V$20, 2))</f>
        <v>18</v>
      </c>
      <c r="G420" s="16" t="n">
        <f aca="false">IF($B420=-1, -1, VLOOKUP(D420,$Y$1:$Z$22,2))</f>
        <v>5</v>
      </c>
      <c r="H420" s="16" t="str">
        <f aca="false">_xlfn.UNICHAR(((F420*21)+G420)*28+44032)</f>
        <v>헤</v>
      </c>
      <c r="I420" s="16" t="n">
        <f aca="false">IF(B420=-1, 1, COUNTIF($A$2:$A$3000, H420))</f>
        <v>1</v>
      </c>
      <c r="J420" s="10" t="str">
        <f aca="false">_xlfn.CONCAT(A420, ",",H420,",",I420)</f>
        <v>늪,헤,1</v>
      </c>
      <c r="K420" s="16" t="n">
        <f aca="false">IF(B420=-1,-1,VLOOKUP(C420,$T$1:$V$20,3))</f>
        <v>3</v>
      </c>
      <c r="L420" s="16" t="n">
        <f aca="false">IF(B420=-1,-1,VLOOKUP(D420,$Y$1:$AA$22,3))</f>
        <v>18</v>
      </c>
      <c r="N420" s="10" t="str">
        <f aca="false">_xlfn.UNICHAR(((C420*21)+G420)*28+44032)</f>
        <v>네</v>
      </c>
      <c r="O420" s="10" t="str">
        <f aca="false">_xlfn.UNICHAR(((F420*21)+D420)*28+44032)</f>
        <v>흐</v>
      </c>
      <c r="P420" s="12" t="n">
        <f aca="false">COUNTIF($A$2:$A$3000, N420) + COUNTIF($A$2:$A$3000, O420)</f>
        <v>2</v>
      </c>
      <c r="Q420" s="16" t="str">
        <f aca="false">IF(OR(B420=-1,I420=0, P420&lt;&gt;2), "albhed_dummy", _xlfn.CONCAT("albhed ", RIGHT("  " &amp; K420,2),", ", RIGHT("  " &amp; L420,2), ", " ,"""",H420,""", ", """",N420,""", ","""",O420,""""," ; ", A420))</f>
        <v>albhed  3, 18, "헤", "네", "흐" ; 늪</v>
      </c>
    </row>
    <row r="421" customFormat="false" ht="17.9" hidden="false" customHeight="true" outlineLevel="0" collapsed="false">
      <c r="A421" s="16" t="s">
        <v>1297</v>
      </c>
      <c r="B421" s="16" t="n">
        <f aca="false">IF(_xlfn.UNICODE(A421)&lt;44032,-1,_xlfn.UNICODE(A421)-44032)</f>
        <v>1708</v>
      </c>
      <c r="C421" s="16" t="n">
        <f aca="false">IF(B421=-1,-1,INT((B421/28)/21))</f>
        <v>2</v>
      </c>
      <c r="D421" s="16" t="n">
        <f aca="false">IF(B421=-1, -1, MOD(INT(B421/28),21))</f>
        <v>19</v>
      </c>
      <c r="E421" s="16" t="n">
        <f aca="false">IF(B421=-1, -1, VLOOKUP(MOD(B421,28), $T$24:$U$52,2))</f>
        <v>0</v>
      </c>
      <c r="F421" s="16" t="n">
        <f aca="false">IF($B421=-1, -1, VLOOKUP(C421,$T$1:$V$20, 2))</f>
        <v>18</v>
      </c>
      <c r="G421" s="16" t="n">
        <f aca="false">IF($B421=-1, -1, VLOOKUP(D421,$Y$1:$Z$22,2))</f>
        <v>5</v>
      </c>
      <c r="H421" s="16" t="str">
        <f aca="false">_xlfn.UNICHAR(((F421*21)+G421)*28+44032)</f>
        <v>헤</v>
      </c>
      <c r="I421" s="16" t="n">
        <f aca="false">IF(B421=-1, 1, COUNTIF($A$2:$A$3000, H421))</f>
        <v>1</v>
      </c>
      <c r="J421" s="10" t="str">
        <f aca="false">_xlfn.CONCAT(A421, ",",H421,",",I421)</f>
        <v>늬,헤,1</v>
      </c>
      <c r="K421" s="16" t="n">
        <f aca="false">IF(B421=-1,-1,VLOOKUP(C421,$T$1:$V$20,3))</f>
        <v>3</v>
      </c>
      <c r="L421" s="16" t="n">
        <f aca="false">IF(B421=-1,-1,VLOOKUP(D421,$Y$1:$AA$22,3))</f>
        <v>24</v>
      </c>
      <c r="N421" s="10" t="str">
        <f aca="false">_xlfn.UNICHAR(((C421*21)+G421)*28+44032)</f>
        <v>네</v>
      </c>
      <c r="O421" s="10" t="str">
        <f aca="false">_xlfn.UNICHAR(((F421*21)+D421)*28+44032)</f>
        <v>희</v>
      </c>
      <c r="P421" s="12" t="n">
        <f aca="false">COUNTIF($A$2:$A$3000, N421) + COUNTIF($A$2:$A$3000, O421)</f>
        <v>2</v>
      </c>
      <c r="Q421" s="16" t="str">
        <f aca="false">IF(OR(B421=-1,I421=0, P421&lt;&gt;2), "albhed_dummy", _xlfn.CONCAT("albhed ", RIGHT("  " &amp; K421,2),", ", RIGHT("  " &amp; L421,2), ", " ,"""",H421,""", ", """",N421,""", ","""",O421,""""," ; ", A421))</f>
        <v>albhed  3, 24, "헤", "네", "희" ; 늬</v>
      </c>
    </row>
    <row r="422" customFormat="false" ht="17.9" hidden="false" customHeight="true" outlineLevel="0" collapsed="false">
      <c r="A422" s="16" t="s">
        <v>1298</v>
      </c>
      <c r="B422" s="16" t="n">
        <f aca="false">IF(_xlfn.UNICODE(A422)&lt;44032,-1,_xlfn.UNICODE(A422)-44032)</f>
        <v>1712</v>
      </c>
      <c r="C422" s="16" t="n">
        <f aca="false">IF(B422=-1,-1,INT((B422/28)/21))</f>
        <v>2</v>
      </c>
      <c r="D422" s="16" t="n">
        <f aca="false">IF(B422=-1, -1, MOD(INT(B422/28),21))</f>
        <v>19</v>
      </c>
      <c r="E422" s="16" t="n">
        <f aca="false">IF(B422=-1, -1, VLOOKUP(MOD(B422,28), $T$24:$U$52,2))</f>
        <v>4</v>
      </c>
      <c r="F422" s="16" t="n">
        <f aca="false">IF($B422=-1, -1, VLOOKUP(C422,$T$1:$V$20, 2))</f>
        <v>18</v>
      </c>
      <c r="G422" s="16" t="n">
        <f aca="false">IF($B422=-1, -1, VLOOKUP(D422,$Y$1:$Z$22,2))</f>
        <v>5</v>
      </c>
      <c r="H422" s="16" t="str">
        <f aca="false">_xlfn.UNICHAR(((F422*21)+G422)*28+44032)</f>
        <v>헤</v>
      </c>
      <c r="I422" s="16" t="n">
        <f aca="false">IF(B422=-1, 1, COUNTIF($A$2:$A$3000, H422))</f>
        <v>1</v>
      </c>
      <c r="J422" s="10" t="str">
        <f aca="false">_xlfn.CONCAT(A422, ",",H422,",",I422)</f>
        <v>늰,헤,1</v>
      </c>
      <c r="K422" s="16" t="n">
        <f aca="false">IF(B422=-1,-1,VLOOKUP(C422,$T$1:$V$20,3))</f>
        <v>3</v>
      </c>
      <c r="L422" s="16" t="n">
        <f aca="false">IF(B422=-1,-1,VLOOKUP(D422,$Y$1:$AA$22,3))</f>
        <v>24</v>
      </c>
      <c r="N422" s="10" t="str">
        <f aca="false">_xlfn.UNICHAR(((C422*21)+G422)*28+44032)</f>
        <v>네</v>
      </c>
      <c r="O422" s="10" t="str">
        <f aca="false">_xlfn.UNICHAR(((F422*21)+D422)*28+44032)</f>
        <v>희</v>
      </c>
      <c r="P422" s="12" t="n">
        <f aca="false">COUNTIF($A$2:$A$3000, N422) + COUNTIF($A$2:$A$3000, O422)</f>
        <v>2</v>
      </c>
      <c r="Q422" s="16" t="str">
        <f aca="false">IF(OR(B422=-1,I422=0, P422&lt;&gt;2), "albhed_dummy", _xlfn.CONCAT("albhed ", RIGHT("  " &amp; K422,2),", ", RIGHT("  " &amp; L422,2), ", " ,"""",H422,""", ", """",N422,""", ","""",O422,""""," ; ", A422))</f>
        <v>albhed  3, 24, "헤", "네", "희" ; 늰</v>
      </c>
    </row>
    <row r="423" customFormat="false" ht="17.9" hidden="false" customHeight="true" outlineLevel="0" collapsed="false">
      <c r="A423" s="16" t="s">
        <v>1299</v>
      </c>
      <c r="B423" s="16" t="n">
        <f aca="false">IF(_xlfn.UNICODE(A423)&lt;44032,-1,_xlfn.UNICODE(A423)-44032)</f>
        <v>1716</v>
      </c>
      <c r="C423" s="16" t="n">
        <f aca="false">IF(B423=-1,-1,INT((B423/28)/21))</f>
        <v>2</v>
      </c>
      <c r="D423" s="16" t="n">
        <f aca="false">IF(B423=-1, -1, MOD(INT(B423/28),21))</f>
        <v>19</v>
      </c>
      <c r="E423" s="16" t="n">
        <f aca="false">IF(B423=-1, -1, VLOOKUP(MOD(B423,28), $T$24:$U$52,2))</f>
        <v>8</v>
      </c>
      <c r="F423" s="16" t="n">
        <f aca="false">IF($B423=-1, -1, VLOOKUP(C423,$T$1:$V$20, 2))</f>
        <v>18</v>
      </c>
      <c r="G423" s="16" t="n">
        <f aca="false">IF($B423=-1, -1, VLOOKUP(D423,$Y$1:$Z$22,2))</f>
        <v>5</v>
      </c>
      <c r="H423" s="16" t="str">
        <f aca="false">_xlfn.UNICHAR(((F423*21)+G423)*28+44032)</f>
        <v>헤</v>
      </c>
      <c r="I423" s="16" t="n">
        <f aca="false">IF(B423=-1, 1, COUNTIF($A$2:$A$3000, H423))</f>
        <v>1</v>
      </c>
      <c r="J423" s="10" t="str">
        <f aca="false">_xlfn.CONCAT(A423, ",",H423,",",I423)</f>
        <v>늴,헤,1</v>
      </c>
      <c r="K423" s="16" t="n">
        <f aca="false">IF(B423=-1,-1,VLOOKUP(C423,$T$1:$V$20,3))</f>
        <v>3</v>
      </c>
      <c r="L423" s="16" t="n">
        <f aca="false">IF(B423=-1,-1,VLOOKUP(D423,$Y$1:$AA$22,3))</f>
        <v>24</v>
      </c>
      <c r="N423" s="10" t="str">
        <f aca="false">_xlfn.UNICHAR(((C423*21)+G423)*28+44032)</f>
        <v>네</v>
      </c>
      <c r="O423" s="10" t="str">
        <f aca="false">_xlfn.UNICHAR(((F423*21)+D423)*28+44032)</f>
        <v>희</v>
      </c>
      <c r="P423" s="12" t="n">
        <f aca="false">COUNTIF($A$2:$A$3000, N423) + COUNTIF($A$2:$A$3000, O423)</f>
        <v>2</v>
      </c>
      <c r="Q423" s="16" t="str">
        <f aca="false">IF(OR(B423=-1,I423=0, P423&lt;&gt;2), "albhed_dummy", _xlfn.CONCAT("albhed ", RIGHT("  " &amp; K423,2),", ", RIGHT("  " &amp; L423,2), ", " ,"""",H423,""", ", """",N423,""", ","""",O423,""""," ; ", A423))</f>
        <v>albhed  3, 24, "헤", "네", "희" ; 늴</v>
      </c>
    </row>
    <row r="424" customFormat="false" ht="17.9" hidden="false" customHeight="true" outlineLevel="0" collapsed="false">
      <c r="A424" s="16" t="s">
        <v>817</v>
      </c>
      <c r="B424" s="16" t="n">
        <f aca="false">IF(_xlfn.UNICODE(A424)&lt;44032,-1,_xlfn.UNICODE(A424)-44032)</f>
        <v>1736</v>
      </c>
      <c r="C424" s="16" t="n">
        <f aca="false">IF(B424=-1,-1,INT((B424/28)/21))</f>
        <v>2</v>
      </c>
      <c r="D424" s="16" t="n">
        <f aca="false">IF(B424=-1, -1, MOD(INT(B424/28),21))</f>
        <v>20</v>
      </c>
      <c r="E424" s="16" t="n">
        <f aca="false">IF(B424=-1, -1, VLOOKUP(MOD(B424,28), $T$24:$U$52,2))</f>
        <v>0</v>
      </c>
      <c r="F424" s="16" t="n">
        <f aca="false">IF($B424=-1, -1, VLOOKUP(C424,$T$1:$V$20, 2))</f>
        <v>18</v>
      </c>
      <c r="G424" s="16" t="n">
        <f aca="false">IF($B424=-1, -1, VLOOKUP(D424,$Y$1:$Z$22,2))</f>
        <v>5</v>
      </c>
      <c r="H424" s="16" t="str">
        <f aca="false">_xlfn.UNICHAR(((F424*21)+G424)*28+44032)</f>
        <v>헤</v>
      </c>
      <c r="I424" s="16" t="n">
        <f aca="false">IF(B424=-1, 1, COUNTIF($A$2:$A$3000, H424))</f>
        <v>1</v>
      </c>
      <c r="J424" s="10" t="str">
        <f aca="false">_xlfn.CONCAT(A424, ",",H424,",",I424)</f>
        <v>니,헤,1</v>
      </c>
      <c r="K424" s="16" t="n">
        <f aca="false">IF(B424=-1,-1,VLOOKUP(C424,$T$1:$V$20,3))</f>
        <v>3</v>
      </c>
      <c r="L424" s="16" t="n">
        <f aca="false">IF(B424=-1,-1,VLOOKUP(D424,$Y$1:$AA$22,3))</f>
        <v>20</v>
      </c>
      <c r="N424" s="10" t="str">
        <f aca="false">_xlfn.UNICHAR(((C424*21)+G424)*28+44032)</f>
        <v>네</v>
      </c>
      <c r="O424" s="10" t="str">
        <f aca="false">_xlfn.UNICHAR(((F424*21)+D424)*28+44032)</f>
        <v>히</v>
      </c>
      <c r="P424" s="12" t="n">
        <f aca="false">COUNTIF($A$2:$A$3000, N424) + COUNTIF($A$2:$A$3000, O424)</f>
        <v>2</v>
      </c>
      <c r="Q424" s="16" t="str">
        <f aca="false">IF(OR(B424=-1,I424=0, P424&lt;&gt;2), "albhed_dummy", _xlfn.CONCAT("albhed ", RIGHT("  " &amp; K424,2),", ", RIGHT("  " &amp; L424,2), ", " ,"""",H424,""", ", """",N424,""", ","""",O424,""""," ; ", A424))</f>
        <v>albhed  3, 20, "헤", "네", "히" ; 니</v>
      </c>
    </row>
    <row r="425" customFormat="false" ht="17.9" hidden="false" customHeight="true" outlineLevel="0" collapsed="false">
      <c r="A425" s="16" t="s">
        <v>1300</v>
      </c>
      <c r="B425" s="16" t="n">
        <f aca="false">IF(_xlfn.UNICODE(A425)&lt;44032,-1,_xlfn.UNICODE(A425)-44032)</f>
        <v>1737</v>
      </c>
      <c r="C425" s="16" t="n">
        <f aca="false">IF(B425=-1,-1,INT((B425/28)/21))</f>
        <v>2</v>
      </c>
      <c r="D425" s="16" t="n">
        <f aca="false">IF(B425=-1, -1, MOD(INT(B425/28),21))</f>
        <v>20</v>
      </c>
      <c r="E425" s="16" t="n">
        <f aca="false">IF(B425=-1, -1, VLOOKUP(MOD(B425,28), $T$24:$U$52,2))</f>
        <v>1</v>
      </c>
      <c r="F425" s="16" t="n">
        <f aca="false">IF($B425=-1, -1, VLOOKUP(C425,$T$1:$V$20, 2))</f>
        <v>18</v>
      </c>
      <c r="G425" s="16" t="n">
        <f aca="false">IF($B425=-1, -1, VLOOKUP(D425,$Y$1:$Z$22,2))</f>
        <v>5</v>
      </c>
      <c r="H425" s="16" t="str">
        <f aca="false">_xlfn.UNICHAR(((F425*21)+G425)*28+44032)</f>
        <v>헤</v>
      </c>
      <c r="I425" s="16" t="n">
        <f aca="false">IF(B425=-1, 1, COUNTIF($A$2:$A$3000, H425))</f>
        <v>1</v>
      </c>
      <c r="J425" s="10" t="str">
        <f aca="false">_xlfn.CONCAT(A425, ",",H425,",",I425)</f>
        <v>닉,헤,1</v>
      </c>
      <c r="K425" s="16" t="n">
        <f aca="false">IF(B425=-1,-1,VLOOKUP(C425,$T$1:$V$20,3))</f>
        <v>3</v>
      </c>
      <c r="L425" s="16" t="n">
        <f aca="false">IF(B425=-1,-1,VLOOKUP(D425,$Y$1:$AA$22,3))</f>
        <v>20</v>
      </c>
      <c r="N425" s="10" t="str">
        <f aca="false">_xlfn.UNICHAR(((C425*21)+G425)*28+44032)</f>
        <v>네</v>
      </c>
      <c r="O425" s="10" t="str">
        <f aca="false">_xlfn.UNICHAR(((F425*21)+D425)*28+44032)</f>
        <v>히</v>
      </c>
      <c r="P425" s="12" t="n">
        <f aca="false">COUNTIF($A$2:$A$3000, N425) + COUNTIF($A$2:$A$3000, O425)</f>
        <v>2</v>
      </c>
      <c r="Q425" s="16" t="str">
        <f aca="false">IF(OR(B425=-1,I425=0, P425&lt;&gt;2), "albhed_dummy", _xlfn.CONCAT("albhed ", RIGHT("  " &amp; K425,2),", ", RIGHT("  " &amp; L425,2), ", " ,"""",H425,""", ", """",N425,""", ","""",O425,""""," ; ", A425))</f>
        <v>albhed  3, 20, "헤", "네", "히" ; 닉</v>
      </c>
    </row>
    <row r="426" customFormat="false" ht="17.9" hidden="false" customHeight="true" outlineLevel="0" collapsed="false">
      <c r="A426" s="16" t="s">
        <v>1301</v>
      </c>
      <c r="B426" s="16" t="n">
        <f aca="false">IF(_xlfn.UNICODE(A426)&lt;44032,-1,_xlfn.UNICODE(A426)-44032)</f>
        <v>1740</v>
      </c>
      <c r="C426" s="16" t="n">
        <f aca="false">IF(B426=-1,-1,INT((B426/28)/21))</f>
        <v>2</v>
      </c>
      <c r="D426" s="16" t="n">
        <f aca="false">IF(B426=-1, -1, MOD(INT(B426/28),21))</f>
        <v>20</v>
      </c>
      <c r="E426" s="16" t="n">
        <f aca="false">IF(B426=-1, -1, VLOOKUP(MOD(B426,28), $T$24:$U$52,2))</f>
        <v>4</v>
      </c>
      <c r="F426" s="16" t="n">
        <f aca="false">IF($B426=-1, -1, VLOOKUP(C426,$T$1:$V$20, 2))</f>
        <v>18</v>
      </c>
      <c r="G426" s="16" t="n">
        <f aca="false">IF($B426=-1, -1, VLOOKUP(D426,$Y$1:$Z$22,2))</f>
        <v>5</v>
      </c>
      <c r="H426" s="16" t="str">
        <f aca="false">_xlfn.UNICHAR(((F426*21)+G426)*28+44032)</f>
        <v>헤</v>
      </c>
      <c r="I426" s="16" t="n">
        <f aca="false">IF(B426=-1, 1, COUNTIF($A$2:$A$3000, H426))</f>
        <v>1</v>
      </c>
      <c r="J426" s="10" t="str">
        <f aca="false">_xlfn.CONCAT(A426, ",",H426,",",I426)</f>
        <v>닌,헤,1</v>
      </c>
      <c r="K426" s="16" t="n">
        <f aca="false">IF(B426=-1,-1,VLOOKUP(C426,$T$1:$V$20,3))</f>
        <v>3</v>
      </c>
      <c r="L426" s="16" t="n">
        <f aca="false">IF(B426=-1,-1,VLOOKUP(D426,$Y$1:$AA$22,3))</f>
        <v>20</v>
      </c>
      <c r="N426" s="10" t="str">
        <f aca="false">_xlfn.UNICHAR(((C426*21)+G426)*28+44032)</f>
        <v>네</v>
      </c>
      <c r="O426" s="10" t="str">
        <f aca="false">_xlfn.UNICHAR(((F426*21)+D426)*28+44032)</f>
        <v>히</v>
      </c>
      <c r="P426" s="12" t="n">
        <f aca="false">COUNTIF($A$2:$A$3000, N426) + COUNTIF($A$2:$A$3000, O426)</f>
        <v>2</v>
      </c>
      <c r="Q426" s="16" t="str">
        <f aca="false">IF(OR(B426=-1,I426=0, P426&lt;&gt;2), "albhed_dummy", _xlfn.CONCAT("albhed ", RIGHT("  " &amp; K426,2),", ", RIGHT("  " &amp; L426,2), ", " ,"""",H426,""", ", """",N426,""", ","""",O426,""""," ; ", A426))</f>
        <v>albhed  3, 20, "헤", "네", "히" ; 닌</v>
      </c>
    </row>
    <row r="427" customFormat="false" ht="17.9" hidden="false" customHeight="true" outlineLevel="0" collapsed="false">
      <c r="A427" s="16" t="s">
        <v>1302</v>
      </c>
      <c r="B427" s="16" t="n">
        <f aca="false">IF(_xlfn.UNICODE(A427)&lt;44032,-1,_xlfn.UNICODE(A427)-44032)</f>
        <v>1744</v>
      </c>
      <c r="C427" s="16" t="n">
        <f aca="false">IF(B427=-1,-1,INT((B427/28)/21))</f>
        <v>2</v>
      </c>
      <c r="D427" s="16" t="n">
        <f aca="false">IF(B427=-1, -1, MOD(INT(B427/28),21))</f>
        <v>20</v>
      </c>
      <c r="E427" s="16" t="n">
        <f aca="false">IF(B427=-1, -1, VLOOKUP(MOD(B427,28), $T$24:$U$52,2))</f>
        <v>8</v>
      </c>
      <c r="F427" s="16" t="n">
        <f aca="false">IF($B427=-1, -1, VLOOKUP(C427,$T$1:$V$20, 2))</f>
        <v>18</v>
      </c>
      <c r="G427" s="16" t="n">
        <f aca="false">IF($B427=-1, -1, VLOOKUP(D427,$Y$1:$Z$22,2))</f>
        <v>5</v>
      </c>
      <c r="H427" s="16" t="str">
        <f aca="false">_xlfn.UNICHAR(((F427*21)+G427)*28+44032)</f>
        <v>헤</v>
      </c>
      <c r="I427" s="16" t="n">
        <f aca="false">IF(B427=-1, 1, COUNTIF($A$2:$A$3000, H427))</f>
        <v>1</v>
      </c>
      <c r="J427" s="10" t="str">
        <f aca="false">_xlfn.CONCAT(A427, ",",H427,",",I427)</f>
        <v>닐,헤,1</v>
      </c>
      <c r="K427" s="16" t="n">
        <f aca="false">IF(B427=-1,-1,VLOOKUP(C427,$T$1:$V$20,3))</f>
        <v>3</v>
      </c>
      <c r="L427" s="16" t="n">
        <f aca="false">IF(B427=-1,-1,VLOOKUP(D427,$Y$1:$AA$22,3))</f>
        <v>20</v>
      </c>
      <c r="N427" s="10" t="str">
        <f aca="false">_xlfn.UNICHAR(((C427*21)+G427)*28+44032)</f>
        <v>네</v>
      </c>
      <c r="O427" s="10" t="str">
        <f aca="false">_xlfn.UNICHAR(((F427*21)+D427)*28+44032)</f>
        <v>히</v>
      </c>
      <c r="P427" s="12" t="n">
        <f aca="false">COUNTIF($A$2:$A$3000, N427) + COUNTIF($A$2:$A$3000, O427)</f>
        <v>2</v>
      </c>
      <c r="Q427" s="16" t="str">
        <f aca="false">IF(OR(B427=-1,I427=0, P427&lt;&gt;2), "albhed_dummy", _xlfn.CONCAT("albhed ", RIGHT("  " &amp; K427,2),", ", RIGHT("  " &amp; L427,2), ", " ,"""",H427,""", ", """",N427,""", ","""",O427,""""," ; ", A427))</f>
        <v>albhed  3, 20, "헤", "네", "히" ; 닐</v>
      </c>
    </row>
    <row r="428" customFormat="false" ht="17.9" hidden="false" customHeight="true" outlineLevel="0" collapsed="false">
      <c r="A428" s="16" t="s">
        <v>1303</v>
      </c>
      <c r="B428" s="16" t="n">
        <f aca="false">IF(_xlfn.UNICODE(A428)&lt;44032,-1,_xlfn.UNICODE(A428)-44032)</f>
        <v>1746</v>
      </c>
      <c r="C428" s="16" t="n">
        <f aca="false">IF(B428=-1,-1,INT((B428/28)/21))</f>
        <v>2</v>
      </c>
      <c r="D428" s="16" t="n">
        <f aca="false">IF(B428=-1, -1, MOD(INT(B428/28),21))</f>
        <v>20</v>
      </c>
      <c r="E428" s="16" t="n">
        <f aca="false">IF(B428=-1, -1, VLOOKUP(MOD(B428,28), $T$24:$U$52,2))</f>
        <v>8</v>
      </c>
      <c r="F428" s="16" t="n">
        <f aca="false">IF($B428=-1, -1, VLOOKUP(C428,$T$1:$V$20, 2))</f>
        <v>18</v>
      </c>
      <c r="G428" s="16" t="n">
        <f aca="false">IF($B428=-1, -1, VLOOKUP(D428,$Y$1:$Z$22,2))</f>
        <v>5</v>
      </c>
      <c r="H428" s="16" t="str">
        <f aca="false">_xlfn.UNICHAR(((F428*21)+G428)*28+44032)</f>
        <v>헤</v>
      </c>
      <c r="I428" s="16" t="n">
        <f aca="false">IF(B428=-1, 1, COUNTIF($A$2:$A$3000, H428))</f>
        <v>1</v>
      </c>
      <c r="J428" s="10" t="str">
        <f aca="false">_xlfn.CONCAT(A428, ",",H428,",",I428)</f>
        <v>닒,헤,1</v>
      </c>
      <c r="K428" s="16" t="n">
        <f aca="false">IF(B428=-1,-1,VLOOKUP(C428,$T$1:$V$20,3))</f>
        <v>3</v>
      </c>
      <c r="L428" s="16" t="n">
        <f aca="false">IF(B428=-1,-1,VLOOKUP(D428,$Y$1:$AA$22,3))</f>
        <v>20</v>
      </c>
      <c r="N428" s="10" t="str">
        <f aca="false">_xlfn.UNICHAR(((C428*21)+G428)*28+44032)</f>
        <v>네</v>
      </c>
      <c r="O428" s="10" t="str">
        <f aca="false">_xlfn.UNICHAR(((F428*21)+D428)*28+44032)</f>
        <v>히</v>
      </c>
      <c r="P428" s="12" t="n">
        <f aca="false">COUNTIF($A$2:$A$3000, N428) + COUNTIF($A$2:$A$3000, O428)</f>
        <v>2</v>
      </c>
      <c r="Q428" s="16" t="str">
        <f aca="false">IF(OR(B428=-1,I428=0, P428&lt;&gt;2), "albhed_dummy", _xlfn.CONCAT("albhed ", RIGHT("  " &amp; K428,2),", ", RIGHT("  " &amp; L428,2), ", " ,"""",H428,""", ", """",N428,""", ","""",O428,""""," ; ", A428))</f>
        <v>albhed  3, 20, "헤", "네", "히" ; 닒</v>
      </c>
    </row>
    <row r="429" customFormat="false" ht="17.9" hidden="false" customHeight="true" outlineLevel="0" collapsed="false">
      <c r="A429" s="16" t="s">
        <v>1304</v>
      </c>
      <c r="B429" s="16" t="n">
        <f aca="false">IF(_xlfn.UNICODE(A429)&lt;44032,-1,_xlfn.UNICODE(A429)-44032)</f>
        <v>1752</v>
      </c>
      <c r="C429" s="16" t="n">
        <f aca="false">IF(B429=-1,-1,INT((B429/28)/21))</f>
        <v>2</v>
      </c>
      <c r="D429" s="16" t="n">
        <f aca="false">IF(B429=-1, -1, MOD(INT(B429/28),21))</f>
        <v>20</v>
      </c>
      <c r="E429" s="16" t="n">
        <f aca="false">IF(B429=-1, -1, VLOOKUP(MOD(B429,28), $T$24:$U$52,2))</f>
        <v>16</v>
      </c>
      <c r="F429" s="16" t="n">
        <f aca="false">IF($B429=-1, -1, VLOOKUP(C429,$T$1:$V$20, 2))</f>
        <v>18</v>
      </c>
      <c r="G429" s="16" t="n">
        <f aca="false">IF($B429=-1, -1, VLOOKUP(D429,$Y$1:$Z$22,2))</f>
        <v>5</v>
      </c>
      <c r="H429" s="16" t="str">
        <f aca="false">_xlfn.UNICHAR(((F429*21)+G429)*28+44032)</f>
        <v>헤</v>
      </c>
      <c r="I429" s="16" t="n">
        <f aca="false">IF(B429=-1, 1, COUNTIF($A$2:$A$3000, H429))</f>
        <v>1</v>
      </c>
      <c r="J429" s="10" t="str">
        <f aca="false">_xlfn.CONCAT(A429, ",",H429,",",I429)</f>
        <v>님,헤,1</v>
      </c>
      <c r="K429" s="16" t="n">
        <f aca="false">IF(B429=-1,-1,VLOOKUP(C429,$T$1:$V$20,3))</f>
        <v>3</v>
      </c>
      <c r="L429" s="16" t="n">
        <f aca="false">IF(B429=-1,-1,VLOOKUP(D429,$Y$1:$AA$22,3))</f>
        <v>20</v>
      </c>
      <c r="N429" s="10" t="str">
        <f aca="false">_xlfn.UNICHAR(((C429*21)+G429)*28+44032)</f>
        <v>네</v>
      </c>
      <c r="O429" s="10" t="str">
        <f aca="false">_xlfn.UNICHAR(((F429*21)+D429)*28+44032)</f>
        <v>히</v>
      </c>
      <c r="P429" s="12" t="n">
        <f aca="false">COUNTIF($A$2:$A$3000, N429) + COUNTIF($A$2:$A$3000, O429)</f>
        <v>2</v>
      </c>
      <c r="Q429" s="16" t="str">
        <f aca="false">IF(OR(B429=-1,I429=0, P429&lt;&gt;2), "albhed_dummy", _xlfn.CONCAT("albhed ", RIGHT("  " &amp; K429,2),", ", RIGHT("  " &amp; L429,2), ", " ,"""",H429,""", ", """",N429,""", ","""",O429,""""," ; ", A429))</f>
        <v>albhed  3, 20, "헤", "네", "히" ; 님</v>
      </c>
    </row>
    <row r="430" customFormat="false" ht="17.9" hidden="false" customHeight="true" outlineLevel="0" collapsed="false">
      <c r="A430" s="16" t="s">
        <v>1305</v>
      </c>
      <c r="B430" s="16" t="n">
        <f aca="false">IF(_xlfn.UNICODE(A430)&lt;44032,-1,_xlfn.UNICODE(A430)-44032)</f>
        <v>1753</v>
      </c>
      <c r="C430" s="16" t="n">
        <f aca="false">IF(B430=-1,-1,INT((B430/28)/21))</f>
        <v>2</v>
      </c>
      <c r="D430" s="16" t="n">
        <f aca="false">IF(B430=-1, -1, MOD(INT(B430/28),21))</f>
        <v>20</v>
      </c>
      <c r="E430" s="16" t="n">
        <f aca="false">IF(B430=-1, -1, VLOOKUP(MOD(B430,28), $T$24:$U$52,2))</f>
        <v>17</v>
      </c>
      <c r="F430" s="16" t="n">
        <f aca="false">IF($B430=-1, -1, VLOOKUP(C430,$T$1:$V$20, 2))</f>
        <v>18</v>
      </c>
      <c r="G430" s="16" t="n">
        <f aca="false">IF($B430=-1, -1, VLOOKUP(D430,$Y$1:$Z$22,2))</f>
        <v>5</v>
      </c>
      <c r="H430" s="16" t="str">
        <f aca="false">_xlfn.UNICHAR(((F430*21)+G430)*28+44032)</f>
        <v>헤</v>
      </c>
      <c r="I430" s="16" t="n">
        <f aca="false">IF(B430=-1, 1, COUNTIF($A$2:$A$3000, H430))</f>
        <v>1</v>
      </c>
      <c r="J430" s="10" t="str">
        <f aca="false">_xlfn.CONCAT(A430, ",",H430,",",I430)</f>
        <v>닙,헤,1</v>
      </c>
      <c r="K430" s="16" t="n">
        <f aca="false">IF(B430=-1,-1,VLOOKUP(C430,$T$1:$V$20,3))</f>
        <v>3</v>
      </c>
      <c r="L430" s="16" t="n">
        <f aca="false">IF(B430=-1,-1,VLOOKUP(D430,$Y$1:$AA$22,3))</f>
        <v>20</v>
      </c>
      <c r="N430" s="10" t="str">
        <f aca="false">_xlfn.UNICHAR(((C430*21)+G430)*28+44032)</f>
        <v>네</v>
      </c>
      <c r="O430" s="10" t="str">
        <f aca="false">_xlfn.UNICHAR(((F430*21)+D430)*28+44032)</f>
        <v>히</v>
      </c>
      <c r="P430" s="12" t="n">
        <f aca="false">COUNTIF($A$2:$A$3000, N430) + COUNTIF($A$2:$A$3000, O430)</f>
        <v>2</v>
      </c>
      <c r="Q430" s="16" t="str">
        <f aca="false">IF(OR(B430=-1,I430=0, P430&lt;&gt;2), "albhed_dummy", _xlfn.CONCAT("albhed ", RIGHT("  " &amp; K430,2),", ", RIGHT("  " &amp; L430,2), ", " ,"""",H430,""", ", """",N430,""", ","""",O430,""""," ; ", A430))</f>
        <v>albhed  3, 20, "헤", "네", "히" ; 닙</v>
      </c>
    </row>
    <row r="431" customFormat="false" ht="17.9" hidden="false" customHeight="true" outlineLevel="0" collapsed="false">
      <c r="A431" s="16" t="s">
        <v>1306</v>
      </c>
      <c r="B431" s="16" t="n">
        <f aca="false">IF(_xlfn.UNICODE(A431)&lt;44032,-1,_xlfn.UNICODE(A431)-44032)</f>
        <v>1755</v>
      </c>
      <c r="C431" s="16" t="n">
        <f aca="false">IF(B431=-1,-1,INT((B431/28)/21))</f>
        <v>2</v>
      </c>
      <c r="D431" s="16" t="n">
        <f aca="false">IF(B431=-1, -1, MOD(INT(B431/28),21))</f>
        <v>20</v>
      </c>
      <c r="E431" s="16" t="n">
        <f aca="false">IF(B431=-1, -1, VLOOKUP(MOD(B431,28), $T$24:$U$52,2))</f>
        <v>19</v>
      </c>
      <c r="F431" s="16" t="n">
        <f aca="false">IF($B431=-1, -1, VLOOKUP(C431,$T$1:$V$20, 2))</f>
        <v>18</v>
      </c>
      <c r="G431" s="16" t="n">
        <f aca="false">IF($B431=-1, -1, VLOOKUP(D431,$Y$1:$Z$22,2))</f>
        <v>5</v>
      </c>
      <c r="H431" s="16" t="str">
        <f aca="false">_xlfn.UNICHAR(((F431*21)+G431)*28+44032)</f>
        <v>헤</v>
      </c>
      <c r="I431" s="16" t="n">
        <f aca="false">IF(B431=-1, 1, COUNTIF($A$2:$A$3000, H431))</f>
        <v>1</v>
      </c>
      <c r="J431" s="10" t="str">
        <f aca="false">_xlfn.CONCAT(A431, ",",H431,",",I431)</f>
        <v>닛,헤,1</v>
      </c>
      <c r="K431" s="16" t="n">
        <f aca="false">IF(B431=-1,-1,VLOOKUP(C431,$T$1:$V$20,3))</f>
        <v>3</v>
      </c>
      <c r="L431" s="16" t="n">
        <f aca="false">IF(B431=-1,-1,VLOOKUP(D431,$Y$1:$AA$22,3))</f>
        <v>20</v>
      </c>
      <c r="N431" s="10" t="str">
        <f aca="false">_xlfn.UNICHAR(((C431*21)+G431)*28+44032)</f>
        <v>네</v>
      </c>
      <c r="O431" s="10" t="str">
        <f aca="false">_xlfn.UNICHAR(((F431*21)+D431)*28+44032)</f>
        <v>히</v>
      </c>
      <c r="P431" s="12" t="n">
        <f aca="false">COUNTIF($A$2:$A$3000, N431) + COUNTIF($A$2:$A$3000, O431)</f>
        <v>2</v>
      </c>
      <c r="Q431" s="16" t="str">
        <f aca="false">IF(OR(B431=-1,I431=0, P431&lt;&gt;2), "albhed_dummy", _xlfn.CONCAT("albhed ", RIGHT("  " &amp; K431,2),", ", RIGHT("  " &amp; L431,2), ", " ,"""",H431,""", ", """",N431,""", ","""",O431,""""," ; ", A431))</f>
        <v>albhed  3, 20, "헤", "네", "히" ; 닛</v>
      </c>
    </row>
    <row r="432" customFormat="false" ht="17.9" hidden="false" customHeight="true" outlineLevel="0" collapsed="false">
      <c r="A432" s="16" t="s">
        <v>1307</v>
      </c>
      <c r="B432" s="16" t="n">
        <f aca="false">IF(_xlfn.UNICODE(A432)&lt;44032,-1,_xlfn.UNICODE(A432)-44032)</f>
        <v>1757</v>
      </c>
      <c r="C432" s="16" t="n">
        <f aca="false">IF(B432=-1,-1,INT((B432/28)/21))</f>
        <v>2</v>
      </c>
      <c r="D432" s="16" t="n">
        <f aca="false">IF(B432=-1, -1, MOD(INT(B432/28),21))</f>
        <v>20</v>
      </c>
      <c r="E432" s="16" t="n">
        <f aca="false">IF(B432=-1, -1, VLOOKUP(MOD(B432,28), $T$24:$U$52,2))</f>
        <v>21</v>
      </c>
      <c r="F432" s="16" t="n">
        <f aca="false">IF($B432=-1, -1, VLOOKUP(C432,$T$1:$V$20, 2))</f>
        <v>18</v>
      </c>
      <c r="G432" s="16" t="n">
        <f aca="false">IF($B432=-1, -1, VLOOKUP(D432,$Y$1:$Z$22,2))</f>
        <v>5</v>
      </c>
      <c r="H432" s="16" t="str">
        <f aca="false">_xlfn.UNICHAR(((F432*21)+G432)*28+44032)</f>
        <v>헤</v>
      </c>
      <c r="I432" s="16" t="n">
        <f aca="false">IF(B432=-1, 1, COUNTIF($A$2:$A$3000, H432))</f>
        <v>1</v>
      </c>
      <c r="J432" s="10" t="str">
        <f aca="false">_xlfn.CONCAT(A432, ",",H432,",",I432)</f>
        <v>닝,헤,1</v>
      </c>
      <c r="K432" s="16" t="n">
        <f aca="false">IF(B432=-1,-1,VLOOKUP(C432,$T$1:$V$20,3))</f>
        <v>3</v>
      </c>
      <c r="L432" s="16" t="n">
        <f aca="false">IF(B432=-1,-1,VLOOKUP(D432,$Y$1:$AA$22,3))</f>
        <v>20</v>
      </c>
      <c r="N432" s="10" t="str">
        <f aca="false">_xlfn.UNICHAR(((C432*21)+G432)*28+44032)</f>
        <v>네</v>
      </c>
      <c r="O432" s="10" t="str">
        <f aca="false">_xlfn.UNICHAR(((F432*21)+D432)*28+44032)</f>
        <v>히</v>
      </c>
      <c r="P432" s="12" t="n">
        <f aca="false">COUNTIF($A$2:$A$3000, N432) + COUNTIF($A$2:$A$3000, O432)</f>
        <v>2</v>
      </c>
      <c r="Q432" s="16" t="str">
        <f aca="false">IF(OR(B432=-1,I432=0, P432&lt;&gt;2), "albhed_dummy", _xlfn.CONCAT("albhed ", RIGHT("  " &amp; K432,2),", ", RIGHT("  " &amp; L432,2), ", " ,"""",H432,""", ", """",N432,""", ","""",O432,""""," ; ", A432))</f>
        <v>albhed  3, 20, "헤", "네", "히" ; 닝</v>
      </c>
    </row>
    <row r="433" customFormat="false" ht="17.9" hidden="false" customHeight="true" outlineLevel="0" collapsed="false">
      <c r="A433" s="16" t="s">
        <v>1308</v>
      </c>
      <c r="B433" s="16" t="n">
        <f aca="false">IF(_xlfn.UNICODE(A433)&lt;44032,-1,_xlfn.UNICODE(A433)-44032)</f>
        <v>1762</v>
      </c>
      <c r="C433" s="16" t="n">
        <f aca="false">IF(B433=-1,-1,INT((B433/28)/21))</f>
        <v>2</v>
      </c>
      <c r="D433" s="16" t="n">
        <f aca="false">IF(B433=-1, -1, MOD(INT(B433/28),21))</f>
        <v>20</v>
      </c>
      <c r="E433" s="16" t="n">
        <f aca="false">IF(B433=-1, -1, VLOOKUP(MOD(B433,28), $T$24:$U$52,2))</f>
        <v>17</v>
      </c>
      <c r="F433" s="16" t="n">
        <f aca="false">IF($B433=-1, -1, VLOOKUP(C433,$T$1:$V$20, 2))</f>
        <v>18</v>
      </c>
      <c r="G433" s="16" t="n">
        <f aca="false">IF($B433=-1, -1, VLOOKUP(D433,$Y$1:$Z$22,2))</f>
        <v>5</v>
      </c>
      <c r="H433" s="16" t="str">
        <f aca="false">_xlfn.UNICHAR(((F433*21)+G433)*28+44032)</f>
        <v>헤</v>
      </c>
      <c r="I433" s="16" t="n">
        <f aca="false">IF(B433=-1, 1, COUNTIF($A$2:$A$3000, H433))</f>
        <v>1</v>
      </c>
      <c r="J433" s="10" t="str">
        <f aca="false">_xlfn.CONCAT(A433, ",",H433,",",I433)</f>
        <v>닢,헤,1</v>
      </c>
      <c r="K433" s="16" t="n">
        <f aca="false">IF(B433=-1,-1,VLOOKUP(C433,$T$1:$V$20,3))</f>
        <v>3</v>
      </c>
      <c r="L433" s="16" t="n">
        <f aca="false">IF(B433=-1,-1,VLOOKUP(D433,$Y$1:$AA$22,3))</f>
        <v>20</v>
      </c>
      <c r="N433" s="10" t="str">
        <f aca="false">_xlfn.UNICHAR(((C433*21)+G433)*28+44032)</f>
        <v>네</v>
      </c>
      <c r="O433" s="10" t="str">
        <f aca="false">_xlfn.UNICHAR(((F433*21)+D433)*28+44032)</f>
        <v>히</v>
      </c>
      <c r="P433" s="12" t="n">
        <f aca="false">COUNTIF($A$2:$A$3000, N433) + COUNTIF($A$2:$A$3000, O433)</f>
        <v>2</v>
      </c>
      <c r="Q433" s="16" t="str">
        <f aca="false">IF(OR(B433=-1,I433=0, P433&lt;&gt;2), "albhed_dummy", _xlfn.CONCAT("albhed ", RIGHT("  " &amp; K433,2),", ", RIGHT("  " &amp; L433,2), ", " ,"""",H433,""", ", """",N433,""", ","""",O433,""""," ; ", A433))</f>
        <v>albhed  3, 20, "헤", "네", "히" ; 닢</v>
      </c>
    </row>
    <row r="434" customFormat="false" ht="17.9" hidden="false" customHeight="true" outlineLevel="0" collapsed="false">
      <c r="A434" s="16" t="s">
        <v>818</v>
      </c>
      <c r="B434" s="16" t="n">
        <f aca="false">IF(_xlfn.UNICODE(A434)&lt;44032,-1,_xlfn.UNICODE(A434)-44032)</f>
        <v>1764</v>
      </c>
      <c r="C434" s="16" t="n">
        <f aca="false">IF(B434=-1,-1,INT((B434/28)/21))</f>
        <v>3</v>
      </c>
      <c r="D434" s="16" t="n">
        <f aca="false">IF(B434=-1, -1, MOD(INT(B434/28),21))</f>
        <v>0</v>
      </c>
      <c r="E434" s="16" t="n">
        <f aca="false">IF(B434=-1, -1, VLOOKUP(MOD(B434,28), $T$24:$U$52,2))</f>
        <v>0</v>
      </c>
      <c r="F434" s="16" t="n">
        <f aca="false">IF($B434=-1, -1, VLOOKUP(C434,$T$1:$V$20, 2))</f>
        <v>9</v>
      </c>
      <c r="G434" s="16" t="n">
        <f aca="false">IF($B434=-1, -1, VLOOKUP(D434,$Y$1:$Z$22,2))</f>
        <v>13</v>
      </c>
      <c r="H434" s="16" t="str">
        <f aca="false">_xlfn.UNICHAR(((F434*21)+G434)*28+44032)</f>
        <v>수</v>
      </c>
      <c r="I434" s="16" t="n">
        <f aca="false">IF(B434=-1, 1, COUNTIF($A$2:$A$3000, H434))</f>
        <v>1</v>
      </c>
      <c r="J434" s="10" t="str">
        <f aca="false">_xlfn.CONCAT(A434, ",",H434,",",I434)</f>
        <v>다,수,1</v>
      </c>
      <c r="K434" s="16" t="n">
        <f aca="false">IF(B434=-1,-1,VLOOKUP(C434,$T$1:$V$20,3))</f>
        <v>5</v>
      </c>
      <c r="L434" s="16" t="n">
        <f aca="false">IF(B434=-1,-1,VLOOKUP(D434,$Y$1:$AA$22,3))</f>
        <v>2</v>
      </c>
      <c r="N434" s="10" t="str">
        <f aca="false">_xlfn.UNICHAR(((C434*21)+G434)*28+44032)</f>
        <v>두</v>
      </c>
      <c r="O434" s="10" t="str">
        <f aca="false">_xlfn.UNICHAR(((F434*21)+D434)*28+44032)</f>
        <v>사</v>
      </c>
      <c r="P434" s="12" t="n">
        <f aca="false">COUNTIF($A$2:$A$3000, N434) + COUNTIF($A$2:$A$3000, O434)</f>
        <v>2</v>
      </c>
      <c r="Q434" s="16" t="str">
        <f aca="false">IF(OR(B434=-1,I434=0, P434&lt;&gt;2), "albhed_dummy", _xlfn.CONCAT("albhed ", RIGHT("  " &amp; K434,2),", ", RIGHT("  " &amp; L434,2), ", " ,"""",H434,""", ", """",N434,""", ","""",O434,""""," ; ", A434))</f>
        <v>albhed  5,  2, "수", "두", "사" ; 다</v>
      </c>
    </row>
    <row r="435" customFormat="false" ht="17.9" hidden="false" customHeight="true" outlineLevel="0" collapsed="false">
      <c r="A435" s="16" t="s">
        <v>1309</v>
      </c>
      <c r="B435" s="16" t="n">
        <f aca="false">IF(_xlfn.UNICODE(A435)&lt;44032,-1,_xlfn.UNICODE(A435)-44032)</f>
        <v>1765</v>
      </c>
      <c r="C435" s="16" t="n">
        <f aca="false">IF(B435=-1,-1,INT((B435/28)/21))</f>
        <v>3</v>
      </c>
      <c r="D435" s="16" t="n">
        <f aca="false">IF(B435=-1, -1, MOD(INT(B435/28),21))</f>
        <v>0</v>
      </c>
      <c r="E435" s="16" t="n">
        <f aca="false">IF(B435=-1, -1, VLOOKUP(MOD(B435,28), $T$24:$U$52,2))</f>
        <v>1</v>
      </c>
      <c r="F435" s="16" t="n">
        <f aca="false">IF($B435=-1, -1, VLOOKUP(C435,$T$1:$V$20, 2))</f>
        <v>9</v>
      </c>
      <c r="G435" s="16" t="n">
        <f aca="false">IF($B435=-1, -1, VLOOKUP(D435,$Y$1:$Z$22,2))</f>
        <v>13</v>
      </c>
      <c r="H435" s="16" t="str">
        <f aca="false">_xlfn.UNICHAR(((F435*21)+G435)*28+44032)</f>
        <v>수</v>
      </c>
      <c r="I435" s="16" t="n">
        <f aca="false">IF(B435=-1, 1, COUNTIF($A$2:$A$3000, H435))</f>
        <v>1</v>
      </c>
      <c r="J435" s="10" t="str">
        <f aca="false">_xlfn.CONCAT(A435, ",",H435,",",I435)</f>
        <v>닥,수,1</v>
      </c>
      <c r="K435" s="16" t="n">
        <f aca="false">IF(B435=-1,-1,VLOOKUP(C435,$T$1:$V$20,3))</f>
        <v>5</v>
      </c>
      <c r="L435" s="16" t="n">
        <f aca="false">IF(B435=-1,-1,VLOOKUP(D435,$Y$1:$AA$22,3))</f>
        <v>2</v>
      </c>
      <c r="N435" s="10" t="str">
        <f aca="false">_xlfn.UNICHAR(((C435*21)+G435)*28+44032)</f>
        <v>두</v>
      </c>
      <c r="O435" s="10" t="str">
        <f aca="false">_xlfn.UNICHAR(((F435*21)+D435)*28+44032)</f>
        <v>사</v>
      </c>
      <c r="P435" s="12" t="n">
        <f aca="false">COUNTIF($A$2:$A$3000, N435) + COUNTIF($A$2:$A$3000, O435)</f>
        <v>2</v>
      </c>
      <c r="Q435" s="16" t="str">
        <f aca="false">IF(OR(B435=-1,I435=0, P435&lt;&gt;2), "albhed_dummy", _xlfn.CONCAT("albhed ", RIGHT("  " &amp; K435,2),", ", RIGHT("  " &amp; L435,2), ", " ,"""",H435,""", ", """",N435,""", ","""",O435,""""," ; ", A435))</f>
        <v>albhed  5,  2, "수", "두", "사" ; 닥</v>
      </c>
    </row>
    <row r="436" customFormat="false" ht="17.9" hidden="false" customHeight="true" outlineLevel="0" collapsed="false">
      <c r="A436" s="16" t="s">
        <v>1310</v>
      </c>
      <c r="B436" s="16" t="n">
        <f aca="false">IF(_xlfn.UNICODE(A436)&lt;44032,-1,_xlfn.UNICODE(A436)-44032)</f>
        <v>1766</v>
      </c>
      <c r="C436" s="16" t="n">
        <f aca="false">IF(B436=-1,-1,INT((B436/28)/21))</f>
        <v>3</v>
      </c>
      <c r="D436" s="16" t="n">
        <f aca="false">IF(B436=-1, -1, MOD(INT(B436/28),21))</f>
        <v>0</v>
      </c>
      <c r="E436" s="16" t="n">
        <f aca="false">IF(B436=-1, -1, VLOOKUP(MOD(B436,28), $T$24:$U$52,2))</f>
        <v>1</v>
      </c>
      <c r="F436" s="16" t="n">
        <f aca="false">IF($B436=-1, -1, VLOOKUP(C436,$T$1:$V$20, 2))</f>
        <v>9</v>
      </c>
      <c r="G436" s="16" t="n">
        <f aca="false">IF($B436=-1, -1, VLOOKUP(D436,$Y$1:$Z$22,2))</f>
        <v>13</v>
      </c>
      <c r="H436" s="16" t="str">
        <f aca="false">_xlfn.UNICHAR(((F436*21)+G436)*28+44032)</f>
        <v>수</v>
      </c>
      <c r="I436" s="16" t="n">
        <f aca="false">IF(B436=-1, 1, COUNTIF($A$2:$A$3000, H436))</f>
        <v>1</v>
      </c>
      <c r="J436" s="10" t="str">
        <f aca="false">_xlfn.CONCAT(A436, ",",H436,",",I436)</f>
        <v>닦,수,1</v>
      </c>
      <c r="K436" s="16" t="n">
        <f aca="false">IF(B436=-1,-1,VLOOKUP(C436,$T$1:$V$20,3))</f>
        <v>5</v>
      </c>
      <c r="L436" s="16" t="n">
        <f aca="false">IF(B436=-1,-1,VLOOKUP(D436,$Y$1:$AA$22,3))</f>
        <v>2</v>
      </c>
      <c r="N436" s="10" t="str">
        <f aca="false">_xlfn.UNICHAR(((C436*21)+G436)*28+44032)</f>
        <v>두</v>
      </c>
      <c r="O436" s="10" t="str">
        <f aca="false">_xlfn.UNICHAR(((F436*21)+D436)*28+44032)</f>
        <v>사</v>
      </c>
      <c r="P436" s="12" t="n">
        <f aca="false">COUNTIF($A$2:$A$3000, N436) + COUNTIF($A$2:$A$3000, O436)</f>
        <v>2</v>
      </c>
      <c r="Q436" s="16" t="str">
        <f aca="false">IF(OR(B436=-1,I436=0, P436&lt;&gt;2), "albhed_dummy", _xlfn.CONCAT("albhed ", RIGHT("  " &amp; K436,2),", ", RIGHT("  " &amp; L436,2), ", " ,"""",H436,""", ", """",N436,""", ","""",O436,""""," ; ", A436))</f>
        <v>albhed  5,  2, "수", "두", "사" ; 닦</v>
      </c>
    </row>
    <row r="437" customFormat="false" ht="17.9" hidden="false" customHeight="true" outlineLevel="0" collapsed="false">
      <c r="A437" s="16" t="s">
        <v>1311</v>
      </c>
      <c r="B437" s="16" t="n">
        <f aca="false">IF(_xlfn.UNICODE(A437)&lt;44032,-1,_xlfn.UNICODE(A437)-44032)</f>
        <v>1768</v>
      </c>
      <c r="C437" s="16" t="n">
        <f aca="false">IF(B437=-1,-1,INT((B437/28)/21))</f>
        <v>3</v>
      </c>
      <c r="D437" s="16" t="n">
        <f aca="false">IF(B437=-1, -1, MOD(INT(B437/28),21))</f>
        <v>0</v>
      </c>
      <c r="E437" s="16" t="n">
        <f aca="false">IF(B437=-1, -1, VLOOKUP(MOD(B437,28), $T$24:$U$52,2))</f>
        <v>4</v>
      </c>
      <c r="F437" s="16" t="n">
        <f aca="false">IF($B437=-1, -1, VLOOKUP(C437,$T$1:$V$20, 2))</f>
        <v>9</v>
      </c>
      <c r="G437" s="16" t="n">
        <f aca="false">IF($B437=-1, -1, VLOOKUP(D437,$Y$1:$Z$22,2))</f>
        <v>13</v>
      </c>
      <c r="H437" s="16" t="str">
        <f aca="false">_xlfn.UNICHAR(((F437*21)+G437)*28+44032)</f>
        <v>수</v>
      </c>
      <c r="I437" s="16" t="n">
        <f aca="false">IF(B437=-1, 1, COUNTIF($A$2:$A$3000, H437))</f>
        <v>1</v>
      </c>
      <c r="J437" s="10" t="str">
        <f aca="false">_xlfn.CONCAT(A437, ",",H437,",",I437)</f>
        <v>단,수,1</v>
      </c>
      <c r="K437" s="16" t="n">
        <f aca="false">IF(B437=-1,-1,VLOOKUP(C437,$T$1:$V$20,3))</f>
        <v>5</v>
      </c>
      <c r="L437" s="16" t="n">
        <f aca="false">IF(B437=-1,-1,VLOOKUP(D437,$Y$1:$AA$22,3))</f>
        <v>2</v>
      </c>
      <c r="N437" s="10" t="str">
        <f aca="false">_xlfn.UNICHAR(((C437*21)+G437)*28+44032)</f>
        <v>두</v>
      </c>
      <c r="O437" s="10" t="str">
        <f aca="false">_xlfn.UNICHAR(((F437*21)+D437)*28+44032)</f>
        <v>사</v>
      </c>
      <c r="P437" s="12" t="n">
        <f aca="false">COUNTIF($A$2:$A$3000, N437) + COUNTIF($A$2:$A$3000, O437)</f>
        <v>2</v>
      </c>
      <c r="Q437" s="16" t="str">
        <f aca="false">IF(OR(B437=-1,I437=0, P437&lt;&gt;2), "albhed_dummy", _xlfn.CONCAT("albhed ", RIGHT("  " &amp; K437,2),", ", RIGHT("  " &amp; L437,2), ", " ,"""",H437,""", ", """",N437,""", ","""",O437,""""," ; ", A437))</f>
        <v>albhed  5,  2, "수", "두", "사" ; 단</v>
      </c>
    </row>
    <row r="438" customFormat="false" ht="17.9" hidden="false" customHeight="true" outlineLevel="0" collapsed="false">
      <c r="A438" s="16" t="s">
        <v>1312</v>
      </c>
      <c r="B438" s="16" t="n">
        <f aca="false">IF(_xlfn.UNICODE(A438)&lt;44032,-1,_xlfn.UNICODE(A438)-44032)</f>
        <v>1771</v>
      </c>
      <c r="C438" s="16" t="n">
        <f aca="false">IF(B438=-1,-1,INT((B438/28)/21))</f>
        <v>3</v>
      </c>
      <c r="D438" s="16" t="n">
        <f aca="false">IF(B438=-1, -1, MOD(INT(B438/28),21))</f>
        <v>0</v>
      </c>
      <c r="E438" s="16" t="n">
        <f aca="false">IF(B438=-1, -1, VLOOKUP(MOD(B438,28), $T$24:$U$52,2))</f>
        <v>19</v>
      </c>
      <c r="F438" s="16" t="n">
        <f aca="false">IF($B438=-1, -1, VLOOKUP(C438,$T$1:$V$20, 2))</f>
        <v>9</v>
      </c>
      <c r="G438" s="16" t="n">
        <f aca="false">IF($B438=-1, -1, VLOOKUP(D438,$Y$1:$Z$22,2))</f>
        <v>13</v>
      </c>
      <c r="H438" s="16" t="str">
        <f aca="false">_xlfn.UNICHAR(((F438*21)+G438)*28+44032)</f>
        <v>수</v>
      </c>
      <c r="I438" s="16" t="n">
        <f aca="false">IF(B438=-1, 1, COUNTIF($A$2:$A$3000, H438))</f>
        <v>1</v>
      </c>
      <c r="J438" s="10" t="str">
        <f aca="false">_xlfn.CONCAT(A438, ",",H438,",",I438)</f>
        <v>닫,수,1</v>
      </c>
      <c r="K438" s="16" t="n">
        <f aca="false">IF(B438=-1,-1,VLOOKUP(C438,$T$1:$V$20,3))</f>
        <v>5</v>
      </c>
      <c r="L438" s="16" t="n">
        <f aca="false">IF(B438=-1,-1,VLOOKUP(D438,$Y$1:$AA$22,3))</f>
        <v>2</v>
      </c>
      <c r="N438" s="10" t="str">
        <f aca="false">_xlfn.UNICHAR(((C438*21)+G438)*28+44032)</f>
        <v>두</v>
      </c>
      <c r="O438" s="10" t="str">
        <f aca="false">_xlfn.UNICHAR(((F438*21)+D438)*28+44032)</f>
        <v>사</v>
      </c>
      <c r="P438" s="12" t="n">
        <f aca="false">COUNTIF($A$2:$A$3000, N438) + COUNTIF($A$2:$A$3000, O438)</f>
        <v>2</v>
      </c>
      <c r="Q438" s="16" t="str">
        <f aca="false">IF(OR(B438=-1,I438=0, P438&lt;&gt;2), "albhed_dummy", _xlfn.CONCAT("albhed ", RIGHT("  " &amp; K438,2),", ", RIGHT("  " &amp; L438,2), ", " ,"""",H438,""", ", """",N438,""", ","""",O438,""""," ; ", A438))</f>
        <v>albhed  5,  2, "수", "두", "사" ; 닫</v>
      </c>
    </row>
    <row r="439" customFormat="false" ht="17.9" hidden="false" customHeight="true" outlineLevel="0" collapsed="false">
      <c r="A439" s="16" t="s">
        <v>1313</v>
      </c>
      <c r="B439" s="16" t="n">
        <f aca="false">IF(_xlfn.UNICODE(A439)&lt;44032,-1,_xlfn.UNICODE(A439)-44032)</f>
        <v>1772</v>
      </c>
      <c r="C439" s="16" t="n">
        <f aca="false">IF(B439=-1,-1,INT((B439/28)/21))</f>
        <v>3</v>
      </c>
      <c r="D439" s="16" t="n">
        <f aca="false">IF(B439=-1, -1, MOD(INT(B439/28),21))</f>
        <v>0</v>
      </c>
      <c r="E439" s="16" t="n">
        <f aca="false">IF(B439=-1, -1, VLOOKUP(MOD(B439,28), $T$24:$U$52,2))</f>
        <v>8</v>
      </c>
      <c r="F439" s="16" t="n">
        <f aca="false">IF($B439=-1, -1, VLOOKUP(C439,$T$1:$V$20, 2))</f>
        <v>9</v>
      </c>
      <c r="G439" s="16" t="n">
        <f aca="false">IF($B439=-1, -1, VLOOKUP(D439,$Y$1:$Z$22,2))</f>
        <v>13</v>
      </c>
      <c r="H439" s="16" t="str">
        <f aca="false">_xlfn.UNICHAR(((F439*21)+G439)*28+44032)</f>
        <v>수</v>
      </c>
      <c r="I439" s="16" t="n">
        <f aca="false">IF(B439=-1, 1, COUNTIF($A$2:$A$3000, H439))</f>
        <v>1</v>
      </c>
      <c r="J439" s="10" t="str">
        <f aca="false">_xlfn.CONCAT(A439, ",",H439,",",I439)</f>
        <v>달,수,1</v>
      </c>
      <c r="K439" s="16" t="n">
        <f aca="false">IF(B439=-1,-1,VLOOKUP(C439,$T$1:$V$20,3))</f>
        <v>5</v>
      </c>
      <c r="L439" s="16" t="n">
        <f aca="false">IF(B439=-1,-1,VLOOKUP(D439,$Y$1:$AA$22,3))</f>
        <v>2</v>
      </c>
      <c r="N439" s="10" t="str">
        <f aca="false">_xlfn.UNICHAR(((C439*21)+G439)*28+44032)</f>
        <v>두</v>
      </c>
      <c r="O439" s="10" t="str">
        <f aca="false">_xlfn.UNICHAR(((F439*21)+D439)*28+44032)</f>
        <v>사</v>
      </c>
      <c r="P439" s="12" t="n">
        <f aca="false">COUNTIF($A$2:$A$3000, N439) + COUNTIF($A$2:$A$3000, O439)</f>
        <v>2</v>
      </c>
      <c r="Q439" s="16" t="str">
        <f aca="false">IF(OR(B439=-1,I439=0, P439&lt;&gt;2), "albhed_dummy", _xlfn.CONCAT("albhed ", RIGHT("  " &amp; K439,2),", ", RIGHT("  " &amp; L439,2), ", " ,"""",H439,""", ", """",N439,""", ","""",O439,""""," ; ", A439))</f>
        <v>albhed  5,  2, "수", "두", "사" ; 달</v>
      </c>
    </row>
    <row r="440" customFormat="false" ht="17.9" hidden="false" customHeight="true" outlineLevel="0" collapsed="false">
      <c r="A440" s="16" t="s">
        <v>1314</v>
      </c>
      <c r="B440" s="16" t="n">
        <f aca="false">IF(_xlfn.UNICODE(A440)&lt;44032,-1,_xlfn.UNICODE(A440)-44032)</f>
        <v>1773</v>
      </c>
      <c r="C440" s="16" t="n">
        <f aca="false">IF(B440=-1,-1,INT((B440/28)/21))</f>
        <v>3</v>
      </c>
      <c r="D440" s="16" t="n">
        <f aca="false">IF(B440=-1, -1, MOD(INT(B440/28),21))</f>
        <v>0</v>
      </c>
      <c r="E440" s="16" t="n">
        <f aca="false">IF(B440=-1, -1, VLOOKUP(MOD(B440,28), $T$24:$U$52,2))</f>
        <v>8</v>
      </c>
      <c r="F440" s="16" t="n">
        <f aca="false">IF($B440=-1, -1, VLOOKUP(C440,$T$1:$V$20, 2))</f>
        <v>9</v>
      </c>
      <c r="G440" s="16" t="n">
        <f aca="false">IF($B440=-1, -1, VLOOKUP(D440,$Y$1:$Z$22,2))</f>
        <v>13</v>
      </c>
      <c r="H440" s="16" t="str">
        <f aca="false">_xlfn.UNICHAR(((F440*21)+G440)*28+44032)</f>
        <v>수</v>
      </c>
      <c r="I440" s="16" t="n">
        <f aca="false">IF(B440=-1, 1, COUNTIF($A$2:$A$3000, H440))</f>
        <v>1</v>
      </c>
      <c r="J440" s="10" t="str">
        <f aca="false">_xlfn.CONCAT(A440, ",",H440,",",I440)</f>
        <v>닭,수,1</v>
      </c>
      <c r="K440" s="16" t="n">
        <f aca="false">IF(B440=-1,-1,VLOOKUP(C440,$T$1:$V$20,3))</f>
        <v>5</v>
      </c>
      <c r="L440" s="16" t="n">
        <f aca="false">IF(B440=-1,-1,VLOOKUP(D440,$Y$1:$AA$22,3))</f>
        <v>2</v>
      </c>
      <c r="N440" s="10" t="str">
        <f aca="false">_xlfn.UNICHAR(((C440*21)+G440)*28+44032)</f>
        <v>두</v>
      </c>
      <c r="O440" s="10" t="str">
        <f aca="false">_xlfn.UNICHAR(((F440*21)+D440)*28+44032)</f>
        <v>사</v>
      </c>
      <c r="P440" s="12" t="n">
        <f aca="false">COUNTIF($A$2:$A$3000, N440) + COUNTIF($A$2:$A$3000, O440)</f>
        <v>2</v>
      </c>
      <c r="Q440" s="16" t="str">
        <f aca="false">IF(OR(B440=-1,I440=0, P440&lt;&gt;2), "albhed_dummy", _xlfn.CONCAT("albhed ", RIGHT("  " &amp; K440,2),", ", RIGHT("  " &amp; L440,2), ", " ,"""",H440,""", ", """",N440,""", ","""",O440,""""," ; ", A440))</f>
        <v>albhed  5,  2, "수", "두", "사" ; 닭</v>
      </c>
    </row>
    <row r="441" customFormat="false" ht="17.9" hidden="false" customHeight="true" outlineLevel="0" collapsed="false">
      <c r="A441" s="16" t="s">
        <v>1315</v>
      </c>
      <c r="B441" s="16" t="n">
        <f aca="false">IF(_xlfn.UNICODE(A441)&lt;44032,-1,_xlfn.UNICODE(A441)-44032)</f>
        <v>1774</v>
      </c>
      <c r="C441" s="16" t="n">
        <f aca="false">IF(B441=-1,-1,INT((B441/28)/21))</f>
        <v>3</v>
      </c>
      <c r="D441" s="16" t="n">
        <f aca="false">IF(B441=-1, -1, MOD(INT(B441/28),21))</f>
        <v>0</v>
      </c>
      <c r="E441" s="16" t="n">
        <f aca="false">IF(B441=-1, -1, VLOOKUP(MOD(B441,28), $T$24:$U$52,2))</f>
        <v>8</v>
      </c>
      <c r="F441" s="16" t="n">
        <f aca="false">IF($B441=-1, -1, VLOOKUP(C441,$T$1:$V$20, 2))</f>
        <v>9</v>
      </c>
      <c r="G441" s="16" t="n">
        <f aca="false">IF($B441=-1, -1, VLOOKUP(D441,$Y$1:$Z$22,2))</f>
        <v>13</v>
      </c>
      <c r="H441" s="16" t="str">
        <f aca="false">_xlfn.UNICHAR(((F441*21)+G441)*28+44032)</f>
        <v>수</v>
      </c>
      <c r="I441" s="16" t="n">
        <f aca="false">IF(B441=-1, 1, COUNTIF($A$2:$A$3000, H441))</f>
        <v>1</v>
      </c>
      <c r="J441" s="10" t="str">
        <f aca="false">_xlfn.CONCAT(A441, ",",H441,",",I441)</f>
        <v>닮,수,1</v>
      </c>
      <c r="K441" s="16" t="n">
        <f aca="false">IF(B441=-1,-1,VLOOKUP(C441,$T$1:$V$20,3))</f>
        <v>5</v>
      </c>
      <c r="L441" s="16" t="n">
        <f aca="false">IF(B441=-1,-1,VLOOKUP(D441,$Y$1:$AA$22,3))</f>
        <v>2</v>
      </c>
      <c r="N441" s="10" t="str">
        <f aca="false">_xlfn.UNICHAR(((C441*21)+G441)*28+44032)</f>
        <v>두</v>
      </c>
      <c r="O441" s="10" t="str">
        <f aca="false">_xlfn.UNICHAR(((F441*21)+D441)*28+44032)</f>
        <v>사</v>
      </c>
      <c r="P441" s="12" t="n">
        <f aca="false">COUNTIF($A$2:$A$3000, N441) + COUNTIF($A$2:$A$3000, O441)</f>
        <v>2</v>
      </c>
      <c r="Q441" s="16" t="str">
        <f aca="false">IF(OR(B441=-1,I441=0, P441&lt;&gt;2), "albhed_dummy", _xlfn.CONCAT("albhed ", RIGHT("  " &amp; K441,2),", ", RIGHT("  " &amp; L441,2), ", " ,"""",H441,""", ", """",N441,""", ","""",O441,""""," ; ", A441))</f>
        <v>albhed  5,  2, "수", "두", "사" ; 닮</v>
      </c>
    </row>
    <row r="442" customFormat="false" ht="17.9" hidden="false" customHeight="true" outlineLevel="0" collapsed="false">
      <c r="A442" s="16" t="s">
        <v>1316</v>
      </c>
      <c r="B442" s="16" t="n">
        <f aca="false">IF(_xlfn.UNICODE(A442)&lt;44032,-1,_xlfn.UNICODE(A442)-44032)</f>
        <v>1775</v>
      </c>
      <c r="C442" s="16" t="n">
        <f aca="false">IF(B442=-1,-1,INT((B442/28)/21))</f>
        <v>3</v>
      </c>
      <c r="D442" s="16" t="n">
        <f aca="false">IF(B442=-1, -1, MOD(INT(B442/28),21))</f>
        <v>0</v>
      </c>
      <c r="E442" s="16" t="n">
        <f aca="false">IF(B442=-1, -1, VLOOKUP(MOD(B442,28), $T$24:$U$52,2))</f>
        <v>8</v>
      </c>
      <c r="F442" s="16" t="n">
        <f aca="false">IF($B442=-1, -1, VLOOKUP(C442,$T$1:$V$20, 2))</f>
        <v>9</v>
      </c>
      <c r="G442" s="16" t="n">
        <f aca="false">IF($B442=-1, -1, VLOOKUP(D442,$Y$1:$Z$22,2))</f>
        <v>13</v>
      </c>
      <c r="H442" s="16" t="str">
        <f aca="false">_xlfn.UNICHAR(((F442*21)+G442)*28+44032)</f>
        <v>수</v>
      </c>
      <c r="I442" s="16" t="n">
        <f aca="false">IF(B442=-1, 1, COUNTIF($A$2:$A$3000, H442))</f>
        <v>1</v>
      </c>
      <c r="J442" s="10" t="str">
        <f aca="false">_xlfn.CONCAT(A442, ",",H442,",",I442)</f>
        <v>닯,수,1</v>
      </c>
      <c r="K442" s="16" t="n">
        <f aca="false">IF(B442=-1,-1,VLOOKUP(C442,$T$1:$V$20,3))</f>
        <v>5</v>
      </c>
      <c r="L442" s="16" t="n">
        <f aca="false">IF(B442=-1,-1,VLOOKUP(D442,$Y$1:$AA$22,3))</f>
        <v>2</v>
      </c>
      <c r="N442" s="10" t="str">
        <f aca="false">_xlfn.UNICHAR(((C442*21)+G442)*28+44032)</f>
        <v>두</v>
      </c>
      <c r="O442" s="10" t="str">
        <f aca="false">_xlfn.UNICHAR(((F442*21)+D442)*28+44032)</f>
        <v>사</v>
      </c>
      <c r="P442" s="12" t="n">
        <f aca="false">COUNTIF($A$2:$A$3000, N442) + COUNTIF($A$2:$A$3000, O442)</f>
        <v>2</v>
      </c>
      <c r="Q442" s="16" t="str">
        <f aca="false">IF(OR(B442=-1,I442=0, P442&lt;&gt;2), "albhed_dummy", _xlfn.CONCAT("albhed ", RIGHT("  " &amp; K442,2),", ", RIGHT("  " &amp; L442,2), ", " ,"""",H442,""", ", """",N442,""", ","""",O442,""""," ; ", A442))</f>
        <v>albhed  5,  2, "수", "두", "사" ; 닯</v>
      </c>
    </row>
    <row r="443" customFormat="false" ht="17.9" hidden="false" customHeight="true" outlineLevel="0" collapsed="false">
      <c r="A443" s="16" t="s">
        <v>1317</v>
      </c>
      <c r="B443" s="16" t="n">
        <f aca="false">IF(_xlfn.UNICODE(A443)&lt;44032,-1,_xlfn.UNICODE(A443)-44032)</f>
        <v>1779</v>
      </c>
      <c r="C443" s="16" t="n">
        <f aca="false">IF(B443=-1,-1,INT((B443/28)/21))</f>
        <v>3</v>
      </c>
      <c r="D443" s="16" t="n">
        <f aca="false">IF(B443=-1, -1, MOD(INT(B443/28),21))</f>
        <v>0</v>
      </c>
      <c r="E443" s="16" t="n">
        <f aca="false">IF(B443=-1, -1, VLOOKUP(MOD(B443,28), $T$24:$U$52,2))</f>
        <v>8</v>
      </c>
      <c r="F443" s="16" t="n">
        <f aca="false">IF($B443=-1, -1, VLOOKUP(C443,$T$1:$V$20, 2))</f>
        <v>9</v>
      </c>
      <c r="G443" s="16" t="n">
        <f aca="false">IF($B443=-1, -1, VLOOKUP(D443,$Y$1:$Z$22,2))</f>
        <v>13</v>
      </c>
      <c r="H443" s="16" t="str">
        <f aca="false">_xlfn.UNICHAR(((F443*21)+G443)*28+44032)</f>
        <v>수</v>
      </c>
      <c r="I443" s="16" t="n">
        <f aca="false">IF(B443=-1, 1, COUNTIF($A$2:$A$3000, H443))</f>
        <v>1</v>
      </c>
      <c r="J443" s="10" t="str">
        <f aca="false">_xlfn.CONCAT(A443, ",",H443,",",I443)</f>
        <v>닳,수,1</v>
      </c>
      <c r="K443" s="16" t="n">
        <f aca="false">IF(B443=-1,-1,VLOOKUP(C443,$T$1:$V$20,3))</f>
        <v>5</v>
      </c>
      <c r="L443" s="16" t="n">
        <f aca="false">IF(B443=-1,-1,VLOOKUP(D443,$Y$1:$AA$22,3))</f>
        <v>2</v>
      </c>
      <c r="N443" s="10" t="str">
        <f aca="false">_xlfn.UNICHAR(((C443*21)+G443)*28+44032)</f>
        <v>두</v>
      </c>
      <c r="O443" s="10" t="str">
        <f aca="false">_xlfn.UNICHAR(((F443*21)+D443)*28+44032)</f>
        <v>사</v>
      </c>
      <c r="P443" s="12" t="n">
        <f aca="false">COUNTIF($A$2:$A$3000, N443) + COUNTIF($A$2:$A$3000, O443)</f>
        <v>2</v>
      </c>
      <c r="Q443" s="16" t="str">
        <f aca="false">IF(OR(B443=-1,I443=0, P443&lt;&gt;2), "albhed_dummy", _xlfn.CONCAT("albhed ", RIGHT("  " &amp; K443,2),", ", RIGHT("  " &amp; L443,2), ", " ,"""",H443,""", ", """",N443,""", ","""",O443,""""," ; ", A443))</f>
        <v>albhed  5,  2, "수", "두", "사" ; 닳</v>
      </c>
    </row>
    <row r="444" customFormat="false" ht="17.9" hidden="false" customHeight="true" outlineLevel="0" collapsed="false">
      <c r="A444" s="16" t="s">
        <v>1318</v>
      </c>
      <c r="B444" s="16" t="n">
        <f aca="false">IF(_xlfn.UNICODE(A444)&lt;44032,-1,_xlfn.UNICODE(A444)-44032)</f>
        <v>1780</v>
      </c>
      <c r="C444" s="16" t="n">
        <f aca="false">IF(B444=-1,-1,INT((B444/28)/21))</f>
        <v>3</v>
      </c>
      <c r="D444" s="16" t="n">
        <f aca="false">IF(B444=-1, -1, MOD(INT(B444/28),21))</f>
        <v>0</v>
      </c>
      <c r="E444" s="16" t="n">
        <f aca="false">IF(B444=-1, -1, VLOOKUP(MOD(B444,28), $T$24:$U$52,2))</f>
        <v>16</v>
      </c>
      <c r="F444" s="16" t="n">
        <f aca="false">IF($B444=-1, -1, VLOOKUP(C444,$T$1:$V$20, 2))</f>
        <v>9</v>
      </c>
      <c r="G444" s="16" t="n">
        <f aca="false">IF($B444=-1, -1, VLOOKUP(D444,$Y$1:$Z$22,2))</f>
        <v>13</v>
      </c>
      <c r="H444" s="16" t="str">
        <f aca="false">_xlfn.UNICHAR(((F444*21)+G444)*28+44032)</f>
        <v>수</v>
      </c>
      <c r="I444" s="16" t="n">
        <f aca="false">IF(B444=-1, 1, COUNTIF($A$2:$A$3000, H444))</f>
        <v>1</v>
      </c>
      <c r="J444" s="10" t="str">
        <f aca="false">_xlfn.CONCAT(A444, ",",H444,",",I444)</f>
        <v>담,수,1</v>
      </c>
      <c r="K444" s="16" t="n">
        <f aca="false">IF(B444=-1,-1,VLOOKUP(C444,$T$1:$V$20,3))</f>
        <v>5</v>
      </c>
      <c r="L444" s="16" t="n">
        <f aca="false">IF(B444=-1,-1,VLOOKUP(D444,$Y$1:$AA$22,3))</f>
        <v>2</v>
      </c>
      <c r="N444" s="10" t="str">
        <f aca="false">_xlfn.UNICHAR(((C444*21)+G444)*28+44032)</f>
        <v>두</v>
      </c>
      <c r="O444" s="10" t="str">
        <f aca="false">_xlfn.UNICHAR(((F444*21)+D444)*28+44032)</f>
        <v>사</v>
      </c>
      <c r="P444" s="12" t="n">
        <f aca="false">COUNTIF($A$2:$A$3000, N444) + COUNTIF($A$2:$A$3000, O444)</f>
        <v>2</v>
      </c>
      <c r="Q444" s="16" t="str">
        <f aca="false">IF(OR(B444=-1,I444=0, P444&lt;&gt;2), "albhed_dummy", _xlfn.CONCAT("albhed ", RIGHT("  " &amp; K444,2),", ", RIGHT("  " &amp; L444,2), ", " ,"""",H444,""", ", """",N444,""", ","""",O444,""""," ; ", A444))</f>
        <v>albhed  5,  2, "수", "두", "사" ; 담</v>
      </c>
    </row>
    <row r="445" customFormat="false" ht="17.9" hidden="false" customHeight="true" outlineLevel="0" collapsed="false">
      <c r="A445" s="16" t="s">
        <v>1319</v>
      </c>
      <c r="B445" s="16" t="n">
        <f aca="false">IF(_xlfn.UNICODE(A445)&lt;44032,-1,_xlfn.UNICODE(A445)-44032)</f>
        <v>1781</v>
      </c>
      <c r="C445" s="16" t="n">
        <f aca="false">IF(B445=-1,-1,INT((B445/28)/21))</f>
        <v>3</v>
      </c>
      <c r="D445" s="16" t="n">
        <f aca="false">IF(B445=-1, -1, MOD(INT(B445/28),21))</f>
        <v>0</v>
      </c>
      <c r="E445" s="16" t="n">
        <f aca="false">IF(B445=-1, -1, VLOOKUP(MOD(B445,28), $T$24:$U$52,2))</f>
        <v>17</v>
      </c>
      <c r="F445" s="16" t="n">
        <f aca="false">IF($B445=-1, -1, VLOOKUP(C445,$T$1:$V$20, 2))</f>
        <v>9</v>
      </c>
      <c r="G445" s="16" t="n">
        <f aca="false">IF($B445=-1, -1, VLOOKUP(D445,$Y$1:$Z$22,2))</f>
        <v>13</v>
      </c>
      <c r="H445" s="16" t="str">
        <f aca="false">_xlfn.UNICHAR(((F445*21)+G445)*28+44032)</f>
        <v>수</v>
      </c>
      <c r="I445" s="16" t="n">
        <f aca="false">IF(B445=-1, 1, COUNTIF($A$2:$A$3000, H445))</f>
        <v>1</v>
      </c>
      <c r="J445" s="10" t="str">
        <f aca="false">_xlfn.CONCAT(A445, ",",H445,",",I445)</f>
        <v>답,수,1</v>
      </c>
      <c r="K445" s="16" t="n">
        <f aca="false">IF(B445=-1,-1,VLOOKUP(C445,$T$1:$V$20,3))</f>
        <v>5</v>
      </c>
      <c r="L445" s="16" t="n">
        <f aca="false">IF(B445=-1,-1,VLOOKUP(D445,$Y$1:$AA$22,3))</f>
        <v>2</v>
      </c>
      <c r="N445" s="10" t="str">
        <f aca="false">_xlfn.UNICHAR(((C445*21)+G445)*28+44032)</f>
        <v>두</v>
      </c>
      <c r="O445" s="10" t="str">
        <f aca="false">_xlfn.UNICHAR(((F445*21)+D445)*28+44032)</f>
        <v>사</v>
      </c>
      <c r="P445" s="12" t="n">
        <f aca="false">COUNTIF($A$2:$A$3000, N445) + COUNTIF($A$2:$A$3000, O445)</f>
        <v>2</v>
      </c>
      <c r="Q445" s="16" t="str">
        <f aca="false">IF(OR(B445=-1,I445=0, P445&lt;&gt;2), "albhed_dummy", _xlfn.CONCAT("albhed ", RIGHT("  " &amp; K445,2),", ", RIGHT("  " &amp; L445,2), ", " ,"""",H445,""", ", """",N445,""", ","""",O445,""""," ; ", A445))</f>
        <v>albhed  5,  2, "수", "두", "사" ; 답</v>
      </c>
    </row>
    <row r="446" customFormat="false" ht="17.9" hidden="false" customHeight="true" outlineLevel="0" collapsed="false">
      <c r="A446" s="16" t="s">
        <v>1320</v>
      </c>
      <c r="B446" s="16" t="n">
        <f aca="false">IF(_xlfn.UNICODE(A446)&lt;44032,-1,_xlfn.UNICODE(A446)-44032)</f>
        <v>1783</v>
      </c>
      <c r="C446" s="16" t="n">
        <f aca="false">IF(B446=-1,-1,INT((B446/28)/21))</f>
        <v>3</v>
      </c>
      <c r="D446" s="16" t="n">
        <f aca="false">IF(B446=-1, -1, MOD(INT(B446/28),21))</f>
        <v>0</v>
      </c>
      <c r="E446" s="16" t="n">
        <f aca="false">IF(B446=-1, -1, VLOOKUP(MOD(B446,28), $T$24:$U$52,2))</f>
        <v>19</v>
      </c>
      <c r="F446" s="16" t="n">
        <f aca="false">IF($B446=-1, -1, VLOOKUP(C446,$T$1:$V$20, 2))</f>
        <v>9</v>
      </c>
      <c r="G446" s="16" t="n">
        <f aca="false">IF($B446=-1, -1, VLOOKUP(D446,$Y$1:$Z$22,2))</f>
        <v>13</v>
      </c>
      <c r="H446" s="16" t="str">
        <f aca="false">_xlfn.UNICHAR(((F446*21)+G446)*28+44032)</f>
        <v>수</v>
      </c>
      <c r="I446" s="16" t="n">
        <f aca="false">IF(B446=-1, 1, COUNTIF($A$2:$A$3000, H446))</f>
        <v>1</v>
      </c>
      <c r="J446" s="10" t="str">
        <f aca="false">_xlfn.CONCAT(A446, ",",H446,",",I446)</f>
        <v>닷,수,1</v>
      </c>
      <c r="K446" s="16" t="n">
        <f aca="false">IF(B446=-1,-1,VLOOKUP(C446,$T$1:$V$20,3))</f>
        <v>5</v>
      </c>
      <c r="L446" s="16" t="n">
        <f aca="false">IF(B446=-1,-1,VLOOKUP(D446,$Y$1:$AA$22,3))</f>
        <v>2</v>
      </c>
      <c r="N446" s="10" t="str">
        <f aca="false">_xlfn.UNICHAR(((C446*21)+G446)*28+44032)</f>
        <v>두</v>
      </c>
      <c r="O446" s="10" t="str">
        <f aca="false">_xlfn.UNICHAR(((F446*21)+D446)*28+44032)</f>
        <v>사</v>
      </c>
      <c r="P446" s="12" t="n">
        <f aca="false">COUNTIF($A$2:$A$3000, N446) + COUNTIF($A$2:$A$3000, O446)</f>
        <v>2</v>
      </c>
      <c r="Q446" s="16" t="str">
        <f aca="false">IF(OR(B446=-1,I446=0, P446&lt;&gt;2), "albhed_dummy", _xlfn.CONCAT("albhed ", RIGHT("  " &amp; K446,2),", ", RIGHT("  " &amp; L446,2), ", " ,"""",H446,""", ", """",N446,""", ","""",O446,""""," ; ", A446))</f>
        <v>albhed  5,  2, "수", "두", "사" ; 닷</v>
      </c>
    </row>
    <row r="447" customFormat="false" ht="17.9" hidden="false" customHeight="true" outlineLevel="0" collapsed="false">
      <c r="A447" s="16" t="s">
        <v>1321</v>
      </c>
      <c r="B447" s="16" t="n">
        <f aca="false">IF(_xlfn.UNICODE(A447)&lt;44032,-1,_xlfn.UNICODE(A447)-44032)</f>
        <v>1784</v>
      </c>
      <c r="C447" s="16" t="n">
        <f aca="false">IF(B447=-1,-1,INT((B447/28)/21))</f>
        <v>3</v>
      </c>
      <c r="D447" s="16" t="n">
        <f aca="false">IF(B447=-1, -1, MOD(INT(B447/28),21))</f>
        <v>0</v>
      </c>
      <c r="E447" s="16" t="n">
        <f aca="false">IF(B447=-1, -1, VLOOKUP(MOD(B447,28), $T$24:$U$52,2))</f>
        <v>19</v>
      </c>
      <c r="F447" s="16" t="n">
        <f aca="false">IF($B447=-1, -1, VLOOKUP(C447,$T$1:$V$20, 2))</f>
        <v>9</v>
      </c>
      <c r="G447" s="16" t="n">
        <f aca="false">IF($B447=-1, -1, VLOOKUP(D447,$Y$1:$Z$22,2))</f>
        <v>13</v>
      </c>
      <c r="H447" s="16" t="str">
        <f aca="false">_xlfn.UNICHAR(((F447*21)+G447)*28+44032)</f>
        <v>수</v>
      </c>
      <c r="I447" s="16" t="n">
        <f aca="false">IF(B447=-1, 1, COUNTIF($A$2:$A$3000, H447))</f>
        <v>1</v>
      </c>
      <c r="J447" s="10" t="str">
        <f aca="false">_xlfn.CONCAT(A447, ",",H447,",",I447)</f>
        <v>닸,수,1</v>
      </c>
      <c r="K447" s="16" t="n">
        <f aca="false">IF(B447=-1,-1,VLOOKUP(C447,$T$1:$V$20,3))</f>
        <v>5</v>
      </c>
      <c r="L447" s="16" t="n">
        <f aca="false">IF(B447=-1,-1,VLOOKUP(D447,$Y$1:$AA$22,3))</f>
        <v>2</v>
      </c>
      <c r="N447" s="10" t="str">
        <f aca="false">_xlfn.UNICHAR(((C447*21)+G447)*28+44032)</f>
        <v>두</v>
      </c>
      <c r="O447" s="10" t="str">
        <f aca="false">_xlfn.UNICHAR(((F447*21)+D447)*28+44032)</f>
        <v>사</v>
      </c>
      <c r="P447" s="12" t="n">
        <f aca="false">COUNTIF($A$2:$A$3000, N447) + COUNTIF($A$2:$A$3000, O447)</f>
        <v>2</v>
      </c>
      <c r="Q447" s="16" t="str">
        <f aca="false">IF(OR(B447=-1,I447=0, P447&lt;&gt;2), "albhed_dummy", _xlfn.CONCAT("albhed ", RIGHT("  " &amp; K447,2),", ", RIGHT("  " &amp; L447,2), ", " ,"""",H447,""", ", """",N447,""", ","""",O447,""""," ; ", A447))</f>
        <v>albhed  5,  2, "수", "두", "사" ; 닸</v>
      </c>
    </row>
    <row r="448" customFormat="false" ht="17.9" hidden="false" customHeight="true" outlineLevel="0" collapsed="false">
      <c r="A448" s="16" t="s">
        <v>1322</v>
      </c>
      <c r="B448" s="16" t="n">
        <f aca="false">IF(_xlfn.UNICODE(A448)&lt;44032,-1,_xlfn.UNICODE(A448)-44032)</f>
        <v>1785</v>
      </c>
      <c r="C448" s="16" t="n">
        <f aca="false">IF(B448=-1,-1,INT((B448/28)/21))</f>
        <v>3</v>
      </c>
      <c r="D448" s="16" t="n">
        <f aca="false">IF(B448=-1, -1, MOD(INT(B448/28),21))</f>
        <v>0</v>
      </c>
      <c r="E448" s="16" t="n">
        <f aca="false">IF(B448=-1, -1, VLOOKUP(MOD(B448,28), $T$24:$U$52,2))</f>
        <v>21</v>
      </c>
      <c r="F448" s="16" t="n">
        <f aca="false">IF($B448=-1, -1, VLOOKUP(C448,$T$1:$V$20, 2))</f>
        <v>9</v>
      </c>
      <c r="G448" s="16" t="n">
        <f aca="false">IF($B448=-1, -1, VLOOKUP(D448,$Y$1:$Z$22,2))</f>
        <v>13</v>
      </c>
      <c r="H448" s="16" t="str">
        <f aca="false">_xlfn.UNICHAR(((F448*21)+G448)*28+44032)</f>
        <v>수</v>
      </c>
      <c r="I448" s="16" t="n">
        <f aca="false">IF(B448=-1, 1, COUNTIF($A$2:$A$3000, H448))</f>
        <v>1</v>
      </c>
      <c r="J448" s="10" t="str">
        <f aca="false">_xlfn.CONCAT(A448, ",",H448,",",I448)</f>
        <v>당,수,1</v>
      </c>
      <c r="K448" s="16" t="n">
        <f aca="false">IF(B448=-1,-1,VLOOKUP(C448,$T$1:$V$20,3))</f>
        <v>5</v>
      </c>
      <c r="L448" s="16" t="n">
        <f aca="false">IF(B448=-1,-1,VLOOKUP(D448,$Y$1:$AA$22,3))</f>
        <v>2</v>
      </c>
      <c r="N448" s="10" t="str">
        <f aca="false">_xlfn.UNICHAR(((C448*21)+G448)*28+44032)</f>
        <v>두</v>
      </c>
      <c r="O448" s="10" t="str">
        <f aca="false">_xlfn.UNICHAR(((F448*21)+D448)*28+44032)</f>
        <v>사</v>
      </c>
      <c r="P448" s="12" t="n">
        <f aca="false">COUNTIF($A$2:$A$3000, N448) + COUNTIF($A$2:$A$3000, O448)</f>
        <v>2</v>
      </c>
      <c r="Q448" s="16" t="str">
        <f aca="false">IF(OR(B448=-1,I448=0, P448&lt;&gt;2), "albhed_dummy", _xlfn.CONCAT("albhed ", RIGHT("  " &amp; K448,2),", ", RIGHT("  " &amp; L448,2), ", " ,"""",H448,""", ", """",N448,""", ","""",O448,""""," ; ", A448))</f>
        <v>albhed  5,  2, "수", "두", "사" ; 당</v>
      </c>
    </row>
    <row r="449" customFormat="false" ht="17.9" hidden="false" customHeight="true" outlineLevel="0" collapsed="false">
      <c r="A449" s="16" t="s">
        <v>1323</v>
      </c>
      <c r="B449" s="16" t="n">
        <f aca="false">IF(_xlfn.UNICODE(A449)&lt;44032,-1,_xlfn.UNICODE(A449)-44032)</f>
        <v>1786</v>
      </c>
      <c r="C449" s="16" t="n">
        <f aca="false">IF(B449=-1,-1,INT((B449/28)/21))</f>
        <v>3</v>
      </c>
      <c r="D449" s="16" t="n">
        <f aca="false">IF(B449=-1, -1, MOD(INT(B449/28),21))</f>
        <v>0</v>
      </c>
      <c r="E449" s="16" t="n">
        <f aca="false">IF(B449=-1, -1, VLOOKUP(MOD(B449,28), $T$24:$U$52,2))</f>
        <v>19</v>
      </c>
      <c r="F449" s="16" t="n">
        <f aca="false">IF($B449=-1, -1, VLOOKUP(C449,$T$1:$V$20, 2))</f>
        <v>9</v>
      </c>
      <c r="G449" s="16" t="n">
        <f aca="false">IF($B449=-1, -1, VLOOKUP(D449,$Y$1:$Z$22,2))</f>
        <v>13</v>
      </c>
      <c r="H449" s="16" t="str">
        <f aca="false">_xlfn.UNICHAR(((F449*21)+G449)*28+44032)</f>
        <v>수</v>
      </c>
      <c r="I449" s="16" t="n">
        <f aca="false">IF(B449=-1, 1, COUNTIF($A$2:$A$3000, H449))</f>
        <v>1</v>
      </c>
      <c r="J449" s="10" t="str">
        <f aca="false">_xlfn.CONCAT(A449, ",",H449,",",I449)</f>
        <v>닺,수,1</v>
      </c>
      <c r="K449" s="16" t="n">
        <f aca="false">IF(B449=-1,-1,VLOOKUP(C449,$T$1:$V$20,3))</f>
        <v>5</v>
      </c>
      <c r="L449" s="16" t="n">
        <f aca="false">IF(B449=-1,-1,VLOOKUP(D449,$Y$1:$AA$22,3))</f>
        <v>2</v>
      </c>
      <c r="N449" s="10" t="str">
        <f aca="false">_xlfn.UNICHAR(((C449*21)+G449)*28+44032)</f>
        <v>두</v>
      </c>
      <c r="O449" s="10" t="str">
        <f aca="false">_xlfn.UNICHAR(((F449*21)+D449)*28+44032)</f>
        <v>사</v>
      </c>
      <c r="P449" s="12" t="n">
        <f aca="false">COUNTIF($A$2:$A$3000, N449) + COUNTIF($A$2:$A$3000, O449)</f>
        <v>2</v>
      </c>
      <c r="Q449" s="16" t="str">
        <f aca="false">IF(OR(B449=-1,I449=0, P449&lt;&gt;2), "albhed_dummy", _xlfn.CONCAT("albhed ", RIGHT("  " &amp; K449,2),", ", RIGHT("  " &amp; L449,2), ", " ,"""",H449,""", ", """",N449,""", ","""",O449,""""," ; ", A449))</f>
        <v>albhed  5,  2, "수", "두", "사" ; 닺</v>
      </c>
    </row>
    <row r="450" customFormat="false" ht="17.9" hidden="false" customHeight="true" outlineLevel="0" collapsed="false">
      <c r="A450" s="16" t="s">
        <v>1324</v>
      </c>
      <c r="B450" s="16" t="n">
        <f aca="false">IF(_xlfn.UNICODE(A450)&lt;44032,-1,_xlfn.UNICODE(A450)-44032)</f>
        <v>1787</v>
      </c>
      <c r="C450" s="16" t="n">
        <f aca="false">IF(B450=-1,-1,INT((B450/28)/21))</f>
        <v>3</v>
      </c>
      <c r="D450" s="16" t="n">
        <f aca="false">IF(B450=-1, -1, MOD(INT(B450/28),21))</f>
        <v>0</v>
      </c>
      <c r="E450" s="16" t="n">
        <f aca="false">IF(B450=-1, -1, VLOOKUP(MOD(B450,28), $T$24:$U$52,2))</f>
        <v>19</v>
      </c>
      <c r="F450" s="16" t="n">
        <f aca="false">IF($B450=-1, -1, VLOOKUP(C450,$T$1:$V$20, 2))</f>
        <v>9</v>
      </c>
      <c r="G450" s="16" t="n">
        <f aca="false">IF($B450=-1, -1, VLOOKUP(D450,$Y$1:$Z$22,2))</f>
        <v>13</v>
      </c>
      <c r="H450" s="16" t="str">
        <f aca="false">_xlfn.UNICHAR(((F450*21)+G450)*28+44032)</f>
        <v>수</v>
      </c>
      <c r="I450" s="16" t="n">
        <f aca="false">IF(B450=-1, 1, COUNTIF($A$2:$A$3000, H450))</f>
        <v>1</v>
      </c>
      <c r="J450" s="10" t="str">
        <f aca="false">_xlfn.CONCAT(A450, ",",H450,",",I450)</f>
        <v>닻,수,1</v>
      </c>
      <c r="K450" s="16" t="n">
        <f aca="false">IF(B450=-1,-1,VLOOKUP(C450,$T$1:$V$20,3))</f>
        <v>5</v>
      </c>
      <c r="L450" s="16" t="n">
        <f aca="false">IF(B450=-1,-1,VLOOKUP(D450,$Y$1:$AA$22,3))</f>
        <v>2</v>
      </c>
      <c r="N450" s="10" t="str">
        <f aca="false">_xlfn.UNICHAR(((C450*21)+G450)*28+44032)</f>
        <v>두</v>
      </c>
      <c r="O450" s="10" t="str">
        <f aca="false">_xlfn.UNICHAR(((F450*21)+D450)*28+44032)</f>
        <v>사</v>
      </c>
      <c r="P450" s="12" t="n">
        <f aca="false">COUNTIF($A$2:$A$3000, N450) + COUNTIF($A$2:$A$3000, O450)</f>
        <v>2</v>
      </c>
      <c r="Q450" s="16" t="str">
        <f aca="false">IF(OR(B450=-1,I450=0, P450&lt;&gt;2), "albhed_dummy", _xlfn.CONCAT("albhed ", RIGHT("  " &amp; K450,2),", ", RIGHT("  " &amp; L450,2), ", " ,"""",H450,""", ", """",N450,""", ","""",O450,""""," ; ", A450))</f>
        <v>albhed  5,  2, "수", "두", "사" ; 닻</v>
      </c>
    </row>
    <row r="451" customFormat="false" ht="17.9" hidden="false" customHeight="true" outlineLevel="0" collapsed="false">
      <c r="A451" s="16" t="s">
        <v>1325</v>
      </c>
      <c r="B451" s="16" t="n">
        <f aca="false">IF(_xlfn.UNICODE(A451)&lt;44032,-1,_xlfn.UNICODE(A451)-44032)</f>
        <v>1791</v>
      </c>
      <c r="C451" s="16" t="n">
        <f aca="false">IF(B451=-1,-1,INT((B451/28)/21))</f>
        <v>3</v>
      </c>
      <c r="D451" s="16" t="n">
        <f aca="false">IF(B451=-1, -1, MOD(INT(B451/28),21))</f>
        <v>0</v>
      </c>
      <c r="E451" s="16" t="n">
        <f aca="false">IF(B451=-1, -1, VLOOKUP(MOD(B451,28), $T$24:$U$52,2))</f>
        <v>19</v>
      </c>
      <c r="F451" s="16" t="n">
        <f aca="false">IF($B451=-1, -1, VLOOKUP(C451,$T$1:$V$20, 2))</f>
        <v>9</v>
      </c>
      <c r="G451" s="16" t="n">
        <f aca="false">IF($B451=-1, -1, VLOOKUP(D451,$Y$1:$Z$22,2))</f>
        <v>13</v>
      </c>
      <c r="H451" s="16" t="str">
        <f aca="false">_xlfn.UNICHAR(((F451*21)+G451)*28+44032)</f>
        <v>수</v>
      </c>
      <c r="I451" s="16" t="n">
        <f aca="false">IF(B451=-1, 1, COUNTIF($A$2:$A$3000, H451))</f>
        <v>1</v>
      </c>
      <c r="J451" s="10" t="str">
        <f aca="false">_xlfn.CONCAT(A451, ",",H451,",",I451)</f>
        <v>닿,수,1</v>
      </c>
      <c r="K451" s="16" t="n">
        <f aca="false">IF(B451=-1,-1,VLOOKUP(C451,$T$1:$V$20,3))</f>
        <v>5</v>
      </c>
      <c r="L451" s="16" t="n">
        <f aca="false">IF(B451=-1,-1,VLOOKUP(D451,$Y$1:$AA$22,3))</f>
        <v>2</v>
      </c>
      <c r="N451" s="10" t="str">
        <f aca="false">_xlfn.UNICHAR(((C451*21)+G451)*28+44032)</f>
        <v>두</v>
      </c>
      <c r="O451" s="10" t="str">
        <f aca="false">_xlfn.UNICHAR(((F451*21)+D451)*28+44032)</f>
        <v>사</v>
      </c>
      <c r="P451" s="12" t="n">
        <f aca="false">COUNTIF($A$2:$A$3000, N451) + COUNTIF($A$2:$A$3000, O451)</f>
        <v>2</v>
      </c>
      <c r="Q451" s="16" t="str">
        <f aca="false">IF(OR(B451=-1,I451=0, P451&lt;&gt;2), "albhed_dummy", _xlfn.CONCAT("albhed ", RIGHT("  " &amp; K451,2),", ", RIGHT("  " &amp; L451,2), ", " ,"""",H451,""", ", """",N451,""", ","""",O451,""""," ; ", A451))</f>
        <v>albhed  5,  2, "수", "두", "사" ; 닿</v>
      </c>
    </row>
    <row r="452" customFormat="false" ht="17.9" hidden="false" customHeight="true" outlineLevel="0" collapsed="false">
      <c r="A452" s="16" t="s">
        <v>1326</v>
      </c>
      <c r="B452" s="16" t="n">
        <f aca="false">IF(_xlfn.UNICODE(A452)&lt;44032,-1,_xlfn.UNICODE(A452)-44032)</f>
        <v>1792</v>
      </c>
      <c r="C452" s="16" t="n">
        <f aca="false">IF(B452=-1,-1,INT((B452/28)/21))</f>
        <v>3</v>
      </c>
      <c r="D452" s="16" t="n">
        <f aca="false">IF(B452=-1, -1, MOD(INT(B452/28),21))</f>
        <v>1</v>
      </c>
      <c r="E452" s="16" t="n">
        <f aca="false">IF(B452=-1, -1, VLOOKUP(MOD(B452,28), $T$24:$U$52,2))</f>
        <v>0</v>
      </c>
      <c r="F452" s="16" t="n">
        <f aca="false">IF($B452=-1, -1, VLOOKUP(C452,$T$1:$V$20, 2))</f>
        <v>9</v>
      </c>
      <c r="G452" s="16" t="n">
        <f aca="false">IF($B452=-1, -1, VLOOKUP(D452,$Y$1:$Z$22,2))</f>
        <v>18</v>
      </c>
      <c r="H452" s="16" t="str">
        <f aca="false">_xlfn.UNICHAR(((F452*21)+G452)*28+44032)</f>
        <v>스</v>
      </c>
      <c r="I452" s="16" t="n">
        <f aca="false">IF(B452=-1, 1, COUNTIF($A$2:$A$3000, H452))</f>
        <v>1</v>
      </c>
      <c r="J452" s="10" t="str">
        <f aca="false">_xlfn.CONCAT(A452, ",",H452,",",I452)</f>
        <v>대,스,1</v>
      </c>
      <c r="K452" s="16" t="n">
        <f aca="false">IF(B452=-1,-1,VLOOKUP(C452,$T$1:$V$20,3))</f>
        <v>5</v>
      </c>
      <c r="L452" s="16" t="n">
        <f aca="false">IF(B452=-1,-1,VLOOKUP(D452,$Y$1:$AA$22,3))</f>
        <v>10</v>
      </c>
      <c r="N452" s="10" t="str">
        <f aca="false">_xlfn.UNICHAR(((C452*21)+G452)*28+44032)</f>
        <v>드</v>
      </c>
      <c r="O452" s="10" t="str">
        <f aca="false">_xlfn.UNICHAR(((F452*21)+D452)*28+44032)</f>
        <v>새</v>
      </c>
      <c r="P452" s="12" t="n">
        <f aca="false">COUNTIF($A$2:$A$3000, N452) + COUNTIF($A$2:$A$3000, O452)</f>
        <v>2</v>
      </c>
      <c r="Q452" s="16" t="str">
        <f aca="false">IF(OR(B452=-1,I452=0, P452&lt;&gt;2), "albhed_dummy", _xlfn.CONCAT("albhed ", RIGHT("  " &amp; K452,2),", ", RIGHT("  " &amp; L452,2), ", " ,"""",H452,""", ", """",N452,""", ","""",O452,""""," ; ", A452))</f>
        <v>albhed  5, 10, "스", "드", "새" ; 대</v>
      </c>
    </row>
    <row r="453" customFormat="false" ht="17.9" hidden="false" customHeight="true" outlineLevel="0" collapsed="false">
      <c r="A453" s="16" t="s">
        <v>1327</v>
      </c>
      <c r="B453" s="16" t="n">
        <f aca="false">IF(_xlfn.UNICODE(A453)&lt;44032,-1,_xlfn.UNICODE(A453)-44032)</f>
        <v>1793</v>
      </c>
      <c r="C453" s="16" t="n">
        <f aca="false">IF(B453=-1,-1,INT((B453/28)/21))</f>
        <v>3</v>
      </c>
      <c r="D453" s="16" t="n">
        <f aca="false">IF(B453=-1, -1, MOD(INT(B453/28),21))</f>
        <v>1</v>
      </c>
      <c r="E453" s="16" t="n">
        <f aca="false">IF(B453=-1, -1, VLOOKUP(MOD(B453,28), $T$24:$U$52,2))</f>
        <v>1</v>
      </c>
      <c r="F453" s="16" t="n">
        <f aca="false">IF($B453=-1, -1, VLOOKUP(C453,$T$1:$V$20, 2))</f>
        <v>9</v>
      </c>
      <c r="G453" s="16" t="n">
        <f aca="false">IF($B453=-1, -1, VLOOKUP(D453,$Y$1:$Z$22,2))</f>
        <v>18</v>
      </c>
      <c r="H453" s="16" t="str">
        <f aca="false">_xlfn.UNICHAR(((F453*21)+G453)*28+44032)</f>
        <v>스</v>
      </c>
      <c r="I453" s="16" t="n">
        <f aca="false">IF(B453=-1, 1, COUNTIF($A$2:$A$3000, H453))</f>
        <v>1</v>
      </c>
      <c r="J453" s="10" t="str">
        <f aca="false">_xlfn.CONCAT(A453, ",",H453,",",I453)</f>
        <v>댁,스,1</v>
      </c>
      <c r="K453" s="16" t="n">
        <f aca="false">IF(B453=-1,-1,VLOOKUP(C453,$T$1:$V$20,3))</f>
        <v>5</v>
      </c>
      <c r="L453" s="16" t="n">
        <f aca="false">IF(B453=-1,-1,VLOOKUP(D453,$Y$1:$AA$22,3))</f>
        <v>10</v>
      </c>
      <c r="N453" s="10" t="str">
        <f aca="false">_xlfn.UNICHAR(((C453*21)+G453)*28+44032)</f>
        <v>드</v>
      </c>
      <c r="O453" s="10" t="str">
        <f aca="false">_xlfn.UNICHAR(((F453*21)+D453)*28+44032)</f>
        <v>새</v>
      </c>
      <c r="P453" s="12" t="n">
        <f aca="false">COUNTIF($A$2:$A$3000, N453) + COUNTIF($A$2:$A$3000, O453)</f>
        <v>2</v>
      </c>
      <c r="Q453" s="16" t="str">
        <f aca="false">IF(OR(B453=-1,I453=0, P453&lt;&gt;2), "albhed_dummy", _xlfn.CONCAT("albhed ", RIGHT("  " &amp; K453,2),", ", RIGHT("  " &amp; L453,2), ", " ,"""",H453,""", ", """",N453,""", ","""",O453,""""," ; ", A453))</f>
        <v>albhed  5, 10, "스", "드", "새" ; 댁</v>
      </c>
    </row>
    <row r="454" customFormat="false" ht="17.9" hidden="false" customHeight="true" outlineLevel="0" collapsed="false">
      <c r="A454" s="16" t="s">
        <v>1328</v>
      </c>
      <c r="B454" s="16" t="n">
        <f aca="false">IF(_xlfn.UNICODE(A454)&lt;44032,-1,_xlfn.UNICODE(A454)-44032)</f>
        <v>1796</v>
      </c>
      <c r="C454" s="16" t="n">
        <f aca="false">IF(B454=-1,-1,INT((B454/28)/21))</f>
        <v>3</v>
      </c>
      <c r="D454" s="16" t="n">
        <f aca="false">IF(B454=-1, -1, MOD(INT(B454/28),21))</f>
        <v>1</v>
      </c>
      <c r="E454" s="16" t="n">
        <f aca="false">IF(B454=-1, -1, VLOOKUP(MOD(B454,28), $T$24:$U$52,2))</f>
        <v>4</v>
      </c>
      <c r="F454" s="16" t="n">
        <f aca="false">IF($B454=-1, -1, VLOOKUP(C454,$T$1:$V$20, 2))</f>
        <v>9</v>
      </c>
      <c r="G454" s="16" t="n">
        <f aca="false">IF($B454=-1, -1, VLOOKUP(D454,$Y$1:$Z$22,2))</f>
        <v>18</v>
      </c>
      <c r="H454" s="16" t="str">
        <f aca="false">_xlfn.UNICHAR(((F454*21)+G454)*28+44032)</f>
        <v>스</v>
      </c>
      <c r="I454" s="16" t="n">
        <f aca="false">IF(B454=-1, 1, COUNTIF($A$2:$A$3000, H454))</f>
        <v>1</v>
      </c>
      <c r="J454" s="10" t="str">
        <f aca="false">_xlfn.CONCAT(A454, ",",H454,",",I454)</f>
        <v>댄,스,1</v>
      </c>
      <c r="K454" s="16" t="n">
        <f aca="false">IF(B454=-1,-1,VLOOKUP(C454,$T$1:$V$20,3))</f>
        <v>5</v>
      </c>
      <c r="L454" s="16" t="n">
        <f aca="false">IF(B454=-1,-1,VLOOKUP(D454,$Y$1:$AA$22,3))</f>
        <v>10</v>
      </c>
      <c r="N454" s="10" t="str">
        <f aca="false">_xlfn.UNICHAR(((C454*21)+G454)*28+44032)</f>
        <v>드</v>
      </c>
      <c r="O454" s="10" t="str">
        <f aca="false">_xlfn.UNICHAR(((F454*21)+D454)*28+44032)</f>
        <v>새</v>
      </c>
      <c r="P454" s="12" t="n">
        <f aca="false">COUNTIF($A$2:$A$3000, N454) + COUNTIF($A$2:$A$3000, O454)</f>
        <v>2</v>
      </c>
      <c r="Q454" s="16" t="str">
        <f aca="false">IF(OR(B454=-1,I454=0, P454&lt;&gt;2), "albhed_dummy", _xlfn.CONCAT("albhed ", RIGHT("  " &amp; K454,2),", ", RIGHT("  " &amp; L454,2), ", " ,"""",H454,""", ", """",N454,""", ","""",O454,""""," ; ", A454))</f>
        <v>albhed  5, 10, "스", "드", "새" ; 댄</v>
      </c>
    </row>
    <row r="455" customFormat="false" ht="17.9" hidden="false" customHeight="true" outlineLevel="0" collapsed="false">
      <c r="A455" s="16" t="s">
        <v>1329</v>
      </c>
      <c r="B455" s="16" t="n">
        <f aca="false">IF(_xlfn.UNICODE(A455)&lt;44032,-1,_xlfn.UNICODE(A455)-44032)</f>
        <v>1800</v>
      </c>
      <c r="C455" s="16" t="n">
        <f aca="false">IF(B455=-1,-1,INT((B455/28)/21))</f>
        <v>3</v>
      </c>
      <c r="D455" s="16" t="n">
        <f aca="false">IF(B455=-1, -1, MOD(INT(B455/28),21))</f>
        <v>1</v>
      </c>
      <c r="E455" s="16" t="n">
        <f aca="false">IF(B455=-1, -1, VLOOKUP(MOD(B455,28), $T$24:$U$52,2))</f>
        <v>8</v>
      </c>
      <c r="F455" s="16" t="n">
        <f aca="false">IF($B455=-1, -1, VLOOKUP(C455,$T$1:$V$20, 2))</f>
        <v>9</v>
      </c>
      <c r="G455" s="16" t="n">
        <f aca="false">IF($B455=-1, -1, VLOOKUP(D455,$Y$1:$Z$22,2))</f>
        <v>18</v>
      </c>
      <c r="H455" s="16" t="str">
        <f aca="false">_xlfn.UNICHAR(((F455*21)+G455)*28+44032)</f>
        <v>스</v>
      </c>
      <c r="I455" s="16" t="n">
        <f aca="false">IF(B455=-1, 1, COUNTIF($A$2:$A$3000, H455))</f>
        <v>1</v>
      </c>
      <c r="J455" s="10" t="str">
        <f aca="false">_xlfn.CONCAT(A455, ",",H455,",",I455)</f>
        <v>댈,스,1</v>
      </c>
      <c r="K455" s="16" t="n">
        <f aca="false">IF(B455=-1,-1,VLOOKUP(C455,$T$1:$V$20,3))</f>
        <v>5</v>
      </c>
      <c r="L455" s="16" t="n">
        <f aca="false">IF(B455=-1,-1,VLOOKUP(D455,$Y$1:$AA$22,3))</f>
        <v>10</v>
      </c>
      <c r="N455" s="10" t="str">
        <f aca="false">_xlfn.UNICHAR(((C455*21)+G455)*28+44032)</f>
        <v>드</v>
      </c>
      <c r="O455" s="10" t="str">
        <f aca="false">_xlfn.UNICHAR(((F455*21)+D455)*28+44032)</f>
        <v>새</v>
      </c>
      <c r="P455" s="12" t="n">
        <f aca="false">COUNTIF($A$2:$A$3000, N455) + COUNTIF($A$2:$A$3000, O455)</f>
        <v>2</v>
      </c>
      <c r="Q455" s="16" t="str">
        <f aca="false">IF(OR(B455=-1,I455=0, P455&lt;&gt;2), "albhed_dummy", _xlfn.CONCAT("albhed ", RIGHT("  " &amp; K455,2),", ", RIGHT("  " &amp; L455,2), ", " ,"""",H455,""", ", """",N455,""", ","""",O455,""""," ; ", A455))</f>
        <v>albhed  5, 10, "스", "드", "새" ; 댈</v>
      </c>
    </row>
    <row r="456" customFormat="false" ht="17.9" hidden="false" customHeight="true" outlineLevel="0" collapsed="false">
      <c r="A456" s="16" t="s">
        <v>1330</v>
      </c>
      <c r="B456" s="16" t="n">
        <f aca="false">IF(_xlfn.UNICODE(A456)&lt;44032,-1,_xlfn.UNICODE(A456)-44032)</f>
        <v>1808</v>
      </c>
      <c r="C456" s="16" t="n">
        <f aca="false">IF(B456=-1,-1,INT((B456/28)/21))</f>
        <v>3</v>
      </c>
      <c r="D456" s="16" t="n">
        <f aca="false">IF(B456=-1, -1, MOD(INT(B456/28),21))</f>
        <v>1</v>
      </c>
      <c r="E456" s="16" t="n">
        <f aca="false">IF(B456=-1, -1, VLOOKUP(MOD(B456,28), $T$24:$U$52,2))</f>
        <v>16</v>
      </c>
      <c r="F456" s="16" t="n">
        <f aca="false">IF($B456=-1, -1, VLOOKUP(C456,$T$1:$V$20, 2))</f>
        <v>9</v>
      </c>
      <c r="G456" s="16" t="n">
        <f aca="false">IF($B456=-1, -1, VLOOKUP(D456,$Y$1:$Z$22,2))</f>
        <v>18</v>
      </c>
      <c r="H456" s="16" t="str">
        <f aca="false">_xlfn.UNICHAR(((F456*21)+G456)*28+44032)</f>
        <v>스</v>
      </c>
      <c r="I456" s="16" t="n">
        <f aca="false">IF(B456=-1, 1, COUNTIF($A$2:$A$3000, H456))</f>
        <v>1</v>
      </c>
      <c r="J456" s="10" t="str">
        <f aca="false">_xlfn.CONCAT(A456, ",",H456,",",I456)</f>
        <v>댐,스,1</v>
      </c>
      <c r="K456" s="16" t="n">
        <f aca="false">IF(B456=-1,-1,VLOOKUP(C456,$T$1:$V$20,3))</f>
        <v>5</v>
      </c>
      <c r="L456" s="16" t="n">
        <f aca="false">IF(B456=-1,-1,VLOOKUP(D456,$Y$1:$AA$22,3))</f>
        <v>10</v>
      </c>
      <c r="N456" s="10" t="str">
        <f aca="false">_xlfn.UNICHAR(((C456*21)+G456)*28+44032)</f>
        <v>드</v>
      </c>
      <c r="O456" s="10" t="str">
        <f aca="false">_xlfn.UNICHAR(((F456*21)+D456)*28+44032)</f>
        <v>새</v>
      </c>
      <c r="P456" s="12" t="n">
        <f aca="false">COUNTIF($A$2:$A$3000, N456) + COUNTIF($A$2:$A$3000, O456)</f>
        <v>2</v>
      </c>
      <c r="Q456" s="16" t="str">
        <f aca="false">IF(OR(B456=-1,I456=0, P456&lt;&gt;2), "albhed_dummy", _xlfn.CONCAT("albhed ", RIGHT("  " &amp; K456,2),", ", RIGHT("  " &amp; L456,2), ", " ,"""",H456,""", ", """",N456,""", ","""",O456,""""," ; ", A456))</f>
        <v>albhed  5, 10, "스", "드", "새" ; 댐</v>
      </c>
    </row>
    <row r="457" customFormat="false" ht="17.9" hidden="false" customHeight="true" outlineLevel="0" collapsed="false">
      <c r="A457" s="16" t="s">
        <v>1331</v>
      </c>
      <c r="B457" s="16" t="n">
        <f aca="false">IF(_xlfn.UNICODE(A457)&lt;44032,-1,_xlfn.UNICODE(A457)-44032)</f>
        <v>1809</v>
      </c>
      <c r="C457" s="16" t="n">
        <f aca="false">IF(B457=-1,-1,INT((B457/28)/21))</f>
        <v>3</v>
      </c>
      <c r="D457" s="16" t="n">
        <f aca="false">IF(B457=-1, -1, MOD(INT(B457/28),21))</f>
        <v>1</v>
      </c>
      <c r="E457" s="16" t="n">
        <f aca="false">IF(B457=-1, -1, VLOOKUP(MOD(B457,28), $T$24:$U$52,2))</f>
        <v>17</v>
      </c>
      <c r="F457" s="16" t="n">
        <f aca="false">IF($B457=-1, -1, VLOOKUP(C457,$T$1:$V$20, 2))</f>
        <v>9</v>
      </c>
      <c r="G457" s="16" t="n">
        <f aca="false">IF($B457=-1, -1, VLOOKUP(D457,$Y$1:$Z$22,2))</f>
        <v>18</v>
      </c>
      <c r="H457" s="16" t="str">
        <f aca="false">_xlfn.UNICHAR(((F457*21)+G457)*28+44032)</f>
        <v>스</v>
      </c>
      <c r="I457" s="16" t="n">
        <f aca="false">IF(B457=-1, 1, COUNTIF($A$2:$A$3000, H457))</f>
        <v>1</v>
      </c>
      <c r="J457" s="10" t="str">
        <f aca="false">_xlfn.CONCAT(A457, ",",H457,",",I457)</f>
        <v>댑,스,1</v>
      </c>
      <c r="K457" s="16" t="n">
        <f aca="false">IF(B457=-1,-1,VLOOKUP(C457,$T$1:$V$20,3))</f>
        <v>5</v>
      </c>
      <c r="L457" s="16" t="n">
        <f aca="false">IF(B457=-1,-1,VLOOKUP(D457,$Y$1:$AA$22,3))</f>
        <v>10</v>
      </c>
      <c r="N457" s="10" t="str">
        <f aca="false">_xlfn.UNICHAR(((C457*21)+G457)*28+44032)</f>
        <v>드</v>
      </c>
      <c r="O457" s="10" t="str">
        <f aca="false">_xlfn.UNICHAR(((F457*21)+D457)*28+44032)</f>
        <v>새</v>
      </c>
      <c r="P457" s="12" t="n">
        <f aca="false">COUNTIF($A$2:$A$3000, N457) + COUNTIF($A$2:$A$3000, O457)</f>
        <v>2</v>
      </c>
      <c r="Q457" s="16" t="str">
        <f aca="false">IF(OR(B457=-1,I457=0, P457&lt;&gt;2), "albhed_dummy", _xlfn.CONCAT("albhed ", RIGHT("  " &amp; K457,2),", ", RIGHT("  " &amp; L457,2), ", " ,"""",H457,""", ", """",N457,""", ","""",O457,""""," ; ", A457))</f>
        <v>albhed  5, 10, "스", "드", "새" ; 댑</v>
      </c>
    </row>
    <row r="458" customFormat="false" ht="17.9" hidden="false" customHeight="true" outlineLevel="0" collapsed="false">
      <c r="A458" s="16" t="s">
        <v>1332</v>
      </c>
      <c r="B458" s="16" t="n">
        <f aca="false">IF(_xlfn.UNICODE(A458)&lt;44032,-1,_xlfn.UNICODE(A458)-44032)</f>
        <v>1811</v>
      </c>
      <c r="C458" s="16" t="n">
        <f aca="false">IF(B458=-1,-1,INT((B458/28)/21))</f>
        <v>3</v>
      </c>
      <c r="D458" s="16" t="n">
        <f aca="false">IF(B458=-1, -1, MOD(INT(B458/28),21))</f>
        <v>1</v>
      </c>
      <c r="E458" s="16" t="n">
        <f aca="false">IF(B458=-1, -1, VLOOKUP(MOD(B458,28), $T$24:$U$52,2))</f>
        <v>19</v>
      </c>
      <c r="F458" s="16" t="n">
        <f aca="false">IF($B458=-1, -1, VLOOKUP(C458,$T$1:$V$20, 2))</f>
        <v>9</v>
      </c>
      <c r="G458" s="16" t="n">
        <f aca="false">IF($B458=-1, -1, VLOOKUP(D458,$Y$1:$Z$22,2))</f>
        <v>18</v>
      </c>
      <c r="H458" s="16" t="str">
        <f aca="false">_xlfn.UNICHAR(((F458*21)+G458)*28+44032)</f>
        <v>스</v>
      </c>
      <c r="I458" s="16" t="n">
        <f aca="false">IF(B458=-1, 1, COUNTIF($A$2:$A$3000, H458))</f>
        <v>1</v>
      </c>
      <c r="J458" s="10" t="str">
        <f aca="false">_xlfn.CONCAT(A458, ",",H458,",",I458)</f>
        <v>댓,스,1</v>
      </c>
      <c r="K458" s="16" t="n">
        <f aca="false">IF(B458=-1,-1,VLOOKUP(C458,$T$1:$V$20,3))</f>
        <v>5</v>
      </c>
      <c r="L458" s="16" t="n">
        <f aca="false">IF(B458=-1,-1,VLOOKUP(D458,$Y$1:$AA$22,3))</f>
        <v>10</v>
      </c>
      <c r="N458" s="10" t="str">
        <f aca="false">_xlfn.UNICHAR(((C458*21)+G458)*28+44032)</f>
        <v>드</v>
      </c>
      <c r="O458" s="10" t="str">
        <f aca="false">_xlfn.UNICHAR(((F458*21)+D458)*28+44032)</f>
        <v>새</v>
      </c>
      <c r="P458" s="12" t="n">
        <f aca="false">COUNTIF($A$2:$A$3000, N458) + COUNTIF($A$2:$A$3000, O458)</f>
        <v>2</v>
      </c>
      <c r="Q458" s="16" t="str">
        <f aca="false">IF(OR(B458=-1,I458=0, P458&lt;&gt;2), "albhed_dummy", _xlfn.CONCAT("albhed ", RIGHT("  " &amp; K458,2),", ", RIGHT("  " &amp; L458,2), ", " ,"""",H458,""", ", """",N458,""", ","""",O458,""""," ; ", A458))</f>
        <v>albhed  5, 10, "스", "드", "새" ; 댓</v>
      </c>
    </row>
    <row r="459" customFormat="false" ht="17.9" hidden="false" customHeight="true" outlineLevel="0" collapsed="false">
      <c r="A459" s="16" t="s">
        <v>1333</v>
      </c>
      <c r="B459" s="16" t="n">
        <f aca="false">IF(_xlfn.UNICODE(A459)&lt;44032,-1,_xlfn.UNICODE(A459)-44032)</f>
        <v>1812</v>
      </c>
      <c r="C459" s="16" t="n">
        <f aca="false">IF(B459=-1,-1,INT((B459/28)/21))</f>
        <v>3</v>
      </c>
      <c r="D459" s="16" t="n">
        <f aca="false">IF(B459=-1, -1, MOD(INT(B459/28),21))</f>
        <v>1</v>
      </c>
      <c r="E459" s="16" t="n">
        <f aca="false">IF(B459=-1, -1, VLOOKUP(MOD(B459,28), $T$24:$U$52,2))</f>
        <v>19</v>
      </c>
      <c r="F459" s="16" t="n">
        <f aca="false">IF($B459=-1, -1, VLOOKUP(C459,$T$1:$V$20, 2))</f>
        <v>9</v>
      </c>
      <c r="G459" s="16" t="n">
        <f aca="false">IF($B459=-1, -1, VLOOKUP(D459,$Y$1:$Z$22,2))</f>
        <v>18</v>
      </c>
      <c r="H459" s="16" t="str">
        <f aca="false">_xlfn.UNICHAR(((F459*21)+G459)*28+44032)</f>
        <v>스</v>
      </c>
      <c r="I459" s="16" t="n">
        <f aca="false">IF(B459=-1, 1, COUNTIF($A$2:$A$3000, H459))</f>
        <v>1</v>
      </c>
      <c r="J459" s="10" t="str">
        <f aca="false">_xlfn.CONCAT(A459, ",",H459,",",I459)</f>
        <v>댔,스,1</v>
      </c>
      <c r="K459" s="16" t="n">
        <f aca="false">IF(B459=-1,-1,VLOOKUP(C459,$T$1:$V$20,3))</f>
        <v>5</v>
      </c>
      <c r="L459" s="16" t="n">
        <f aca="false">IF(B459=-1,-1,VLOOKUP(D459,$Y$1:$AA$22,3))</f>
        <v>10</v>
      </c>
      <c r="N459" s="10" t="str">
        <f aca="false">_xlfn.UNICHAR(((C459*21)+G459)*28+44032)</f>
        <v>드</v>
      </c>
      <c r="O459" s="10" t="str">
        <f aca="false">_xlfn.UNICHAR(((F459*21)+D459)*28+44032)</f>
        <v>새</v>
      </c>
      <c r="P459" s="12" t="n">
        <f aca="false">COUNTIF($A$2:$A$3000, N459) + COUNTIF($A$2:$A$3000, O459)</f>
        <v>2</v>
      </c>
      <c r="Q459" s="16" t="str">
        <f aca="false">IF(OR(B459=-1,I459=0, P459&lt;&gt;2), "albhed_dummy", _xlfn.CONCAT("albhed ", RIGHT("  " &amp; K459,2),", ", RIGHT("  " &amp; L459,2), ", " ,"""",H459,""", ", """",N459,""", ","""",O459,""""," ; ", A459))</f>
        <v>albhed  5, 10, "스", "드", "새" ; 댔</v>
      </c>
    </row>
    <row r="460" customFormat="false" ht="17.9" hidden="false" customHeight="true" outlineLevel="0" collapsed="false">
      <c r="A460" s="16" t="s">
        <v>1334</v>
      </c>
      <c r="B460" s="16" t="n">
        <f aca="false">IF(_xlfn.UNICODE(A460)&lt;44032,-1,_xlfn.UNICODE(A460)-44032)</f>
        <v>1813</v>
      </c>
      <c r="C460" s="16" t="n">
        <f aca="false">IF(B460=-1,-1,INT((B460/28)/21))</f>
        <v>3</v>
      </c>
      <c r="D460" s="16" t="n">
        <f aca="false">IF(B460=-1, -1, MOD(INT(B460/28),21))</f>
        <v>1</v>
      </c>
      <c r="E460" s="16" t="n">
        <f aca="false">IF(B460=-1, -1, VLOOKUP(MOD(B460,28), $T$24:$U$52,2))</f>
        <v>21</v>
      </c>
      <c r="F460" s="16" t="n">
        <f aca="false">IF($B460=-1, -1, VLOOKUP(C460,$T$1:$V$20, 2))</f>
        <v>9</v>
      </c>
      <c r="G460" s="16" t="n">
        <f aca="false">IF($B460=-1, -1, VLOOKUP(D460,$Y$1:$Z$22,2))</f>
        <v>18</v>
      </c>
      <c r="H460" s="16" t="str">
        <f aca="false">_xlfn.UNICHAR(((F460*21)+G460)*28+44032)</f>
        <v>스</v>
      </c>
      <c r="I460" s="16" t="n">
        <f aca="false">IF(B460=-1, 1, COUNTIF($A$2:$A$3000, H460))</f>
        <v>1</v>
      </c>
      <c r="J460" s="10" t="str">
        <f aca="false">_xlfn.CONCAT(A460, ",",H460,",",I460)</f>
        <v>댕,스,1</v>
      </c>
      <c r="K460" s="16" t="n">
        <f aca="false">IF(B460=-1,-1,VLOOKUP(C460,$T$1:$V$20,3))</f>
        <v>5</v>
      </c>
      <c r="L460" s="16" t="n">
        <f aca="false">IF(B460=-1,-1,VLOOKUP(D460,$Y$1:$AA$22,3))</f>
        <v>10</v>
      </c>
      <c r="N460" s="10" t="str">
        <f aca="false">_xlfn.UNICHAR(((C460*21)+G460)*28+44032)</f>
        <v>드</v>
      </c>
      <c r="O460" s="10" t="str">
        <f aca="false">_xlfn.UNICHAR(((F460*21)+D460)*28+44032)</f>
        <v>새</v>
      </c>
      <c r="P460" s="12" t="n">
        <f aca="false">COUNTIF($A$2:$A$3000, N460) + COUNTIF($A$2:$A$3000, O460)</f>
        <v>2</v>
      </c>
      <c r="Q460" s="16" t="str">
        <f aca="false">IF(OR(B460=-1,I460=0, P460&lt;&gt;2), "albhed_dummy", _xlfn.CONCAT("albhed ", RIGHT("  " &amp; K460,2),", ", RIGHT("  " &amp; L460,2), ", " ,"""",H460,""", ", """",N460,""", ","""",O460,""""," ; ", A460))</f>
        <v>albhed  5, 10, "스", "드", "새" ; 댕</v>
      </c>
    </row>
    <row r="461" customFormat="false" ht="17.9" hidden="false" customHeight="true" outlineLevel="0" collapsed="false">
      <c r="A461" s="16" t="s">
        <v>1335</v>
      </c>
      <c r="B461" s="16" t="n">
        <f aca="false">IF(_xlfn.UNICODE(A461)&lt;44032,-1,_xlfn.UNICODE(A461)-44032)</f>
        <v>1820</v>
      </c>
      <c r="C461" s="16" t="n">
        <f aca="false">IF(B461=-1,-1,INT((B461/28)/21))</f>
        <v>3</v>
      </c>
      <c r="D461" s="16" t="n">
        <f aca="false">IF(B461=-1, -1, MOD(INT(B461/28),21))</f>
        <v>2</v>
      </c>
      <c r="E461" s="16" t="n">
        <f aca="false">IF(B461=-1, -1, VLOOKUP(MOD(B461,28), $T$24:$U$52,2))</f>
        <v>0</v>
      </c>
      <c r="F461" s="16" t="n">
        <f aca="false">IF($B461=-1, -1, VLOOKUP(C461,$T$1:$V$20, 2))</f>
        <v>9</v>
      </c>
      <c r="G461" s="16" t="n">
        <f aca="false">IF($B461=-1, -1, VLOOKUP(D461,$Y$1:$Z$22,2))</f>
        <v>17</v>
      </c>
      <c r="H461" s="16" t="str">
        <f aca="false">_xlfn.UNICHAR(((F461*21)+G461)*28+44032)</f>
        <v>슈</v>
      </c>
      <c r="I461" s="16" t="n">
        <f aca="false">IF(B461=-1, 1, COUNTIF($A$2:$A$3000, H461))</f>
        <v>1</v>
      </c>
      <c r="J461" s="10" t="str">
        <f aca="false">_xlfn.CONCAT(A461, ",",H461,",",I461)</f>
        <v>댜,슈,1</v>
      </c>
      <c r="K461" s="16" t="n">
        <f aca="false">IF(B461=-1,-1,VLOOKUP(C461,$T$1:$V$20,3))</f>
        <v>5</v>
      </c>
      <c r="L461" s="16" t="n">
        <f aca="false">IF(B461=-1,-1,VLOOKUP(D461,$Y$1:$AA$22,3))</f>
        <v>2</v>
      </c>
      <c r="N461" s="10" t="str">
        <f aca="false">_xlfn.UNICHAR(((C461*21)+G461)*28+44032)</f>
        <v>듀</v>
      </c>
      <c r="O461" s="10" t="str">
        <f aca="false">_xlfn.UNICHAR(((F461*21)+D461)*28+44032)</f>
        <v>샤</v>
      </c>
      <c r="P461" s="12" t="n">
        <f aca="false">COUNTIF($A$2:$A$3000, N461) + COUNTIF($A$2:$A$3000, O461)</f>
        <v>2</v>
      </c>
      <c r="Q461" s="16" t="str">
        <f aca="false">IF(OR(B461=-1,I461=0, P461&lt;&gt;2), "albhed_dummy", _xlfn.CONCAT("albhed ", RIGHT("  " &amp; K461,2),", ", RIGHT("  " &amp; L461,2), ", " ,"""",H461,""", ", """",N461,""", ","""",O461,""""," ; ", A461))</f>
        <v>albhed  5,  2, "슈", "듀", "샤" ; 댜</v>
      </c>
    </row>
    <row r="462" customFormat="false" ht="17.9" hidden="false" customHeight="true" outlineLevel="0" collapsed="false">
      <c r="A462" s="16" t="s">
        <v>1336</v>
      </c>
      <c r="B462" s="16" t="n">
        <f aca="false">IF(_xlfn.UNICODE(A462)&lt;44032,-1,_xlfn.UNICODE(A462)-44032)</f>
        <v>1876</v>
      </c>
      <c r="C462" s="16" t="n">
        <f aca="false">IF(B462=-1,-1,INT((B462/28)/21))</f>
        <v>3</v>
      </c>
      <c r="D462" s="16" t="n">
        <f aca="false">IF(B462=-1, -1, MOD(INT(B462/28),21))</f>
        <v>4</v>
      </c>
      <c r="E462" s="16" t="n">
        <f aca="false">IF(B462=-1, -1, VLOOKUP(MOD(B462,28), $T$24:$U$52,2))</f>
        <v>0</v>
      </c>
      <c r="F462" s="16" t="n">
        <f aca="false">IF($B462=-1, -1, VLOOKUP(C462,$T$1:$V$20, 2))</f>
        <v>9</v>
      </c>
      <c r="G462" s="16" t="n">
        <f aca="false">IF($B462=-1, -1, VLOOKUP(D462,$Y$1:$Z$22,2))</f>
        <v>8</v>
      </c>
      <c r="H462" s="16" t="str">
        <f aca="false">_xlfn.UNICHAR(((F462*21)+G462)*28+44032)</f>
        <v>소</v>
      </c>
      <c r="I462" s="16" t="n">
        <f aca="false">IF(B462=-1, 1, COUNTIF($A$2:$A$3000, H462))</f>
        <v>1</v>
      </c>
      <c r="J462" s="10" t="str">
        <f aca="false">_xlfn.CONCAT(A462, ",",H462,",",I462)</f>
        <v>더,소,1</v>
      </c>
      <c r="K462" s="16" t="n">
        <f aca="false">IF(B462=-1,-1,VLOOKUP(C462,$T$1:$V$20,3))</f>
        <v>5</v>
      </c>
      <c r="L462" s="16" t="n">
        <f aca="false">IF(B462=-1,-1,VLOOKUP(D462,$Y$1:$AA$22,3))</f>
        <v>4</v>
      </c>
      <c r="N462" s="10" t="str">
        <f aca="false">_xlfn.UNICHAR(((C462*21)+G462)*28+44032)</f>
        <v>도</v>
      </c>
      <c r="O462" s="10" t="str">
        <f aca="false">_xlfn.UNICHAR(((F462*21)+D462)*28+44032)</f>
        <v>서</v>
      </c>
      <c r="P462" s="12" t="n">
        <f aca="false">COUNTIF($A$2:$A$3000, N462) + COUNTIF($A$2:$A$3000, O462)</f>
        <v>2</v>
      </c>
      <c r="Q462" s="16" t="str">
        <f aca="false">IF(OR(B462=-1,I462=0, P462&lt;&gt;2), "albhed_dummy", _xlfn.CONCAT("albhed ", RIGHT("  " &amp; K462,2),", ", RIGHT("  " &amp; L462,2), ", " ,"""",H462,""", ", """",N462,""", ","""",O462,""""," ; ", A462))</f>
        <v>albhed  5,  4, "소", "도", "서" ; 더</v>
      </c>
    </row>
    <row r="463" customFormat="false" ht="17.9" hidden="false" customHeight="true" outlineLevel="0" collapsed="false">
      <c r="A463" s="16" t="s">
        <v>1337</v>
      </c>
      <c r="B463" s="16" t="n">
        <f aca="false">IF(_xlfn.UNICODE(A463)&lt;44032,-1,_xlfn.UNICODE(A463)-44032)</f>
        <v>1877</v>
      </c>
      <c r="C463" s="16" t="n">
        <f aca="false">IF(B463=-1,-1,INT((B463/28)/21))</f>
        <v>3</v>
      </c>
      <c r="D463" s="16" t="n">
        <f aca="false">IF(B463=-1, -1, MOD(INT(B463/28),21))</f>
        <v>4</v>
      </c>
      <c r="E463" s="16" t="n">
        <f aca="false">IF(B463=-1, -1, VLOOKUP(MOD(B463,28), $T$24:$U$52,2))</f>
        <v>1</v>
      </c>
      <c r="F463" s="16" t="n">
        <f aca="false">IF($B463=-1, -1, VLOOKUP(C463,$T$1:$V$20, 2))</f>
        <v>9</v>
      </c>
      <c r="G463" s="16" t="n">
        <f aca="false">IF($B463=-1, -1, VLOOKUP(D463,$Y$1:$Z$22,2))</f>
        <v>8</v>
      </c>
      <c r="H463" s="16" t="str">
        <f aca="false">_xlfn.UNICHAR(((F463*21)+G463)*28+44032)</f>
        <v>소</v>
      </c>
      <c r="I463" s="16" t="n">
        <f aca="false">IF(B463=-1, 1, COUNTIF($A$2:$A$3000, H463))</f>
        <v>1</v>
      </c>
      <c r="J463" s="10" t="str">
        <f aca="false">_xlfn.CONCAT(A463, ",",H463,",",I463)</f>
        <v>덕,소,1</v>
      </c>
      <c r="K463" s="16" t="n">
        <f aca="false">IF(B463=-1,-1,VLOOKUP(C463,$T$1:$V$20,3))</f>
        <v>5</v>
      </c>
      <c r="L463" s="16" t="n">
        <f aca="false">IF(B463=-1,-1,VLOOKUP(D463,$Y$1:$AA$22,3))</f>
        <v>4</v>
      </c>
      <c r="N463" s="10" t="str">
        <f aca="false">_xlfn.UNICHAR(((C463*21)+G463)*28+44032)</f>
        <v>도</v>
      </c>
      <c r="O463" s="10" t="str">
        <f aca="false">_xlfn.UNICHAR(((F463*21)+D463)*28+44032)</f>
        <v>서</v>
      </c>
      <c r="P463" s="12" t="n">
        <f aca="false">COUNTIF($A$2:$A$3000, N463) + COUNTIF($A$2:$A$3000, O463)</f>
        <v>2</v>
      </c>
      <c r="Q463" s="16" t="str">
        <f aca="false">IF(OR(B463=-1,I463=0, P463&lt;&gt;2), "albhed_dummy", _xlfn.CONCAT("albhed ", RIGHT("  " &amp; K463,2),", ", RIGHT("  " &amp; L463,2), ", " ,"""",H463,""", ", """",N463,""", ","""",O463,""""," ; ", A463))</f>
        <v>albhed  5,  4, "소", "도", "서" ; 덕</v>
      </c>
    </row>
    <row r="464" customFormat="false" ht="17.9" hidden="false" customHeight="true" outlineLevel="0" collapsed="false">
      <c r="A464" s="16" t="s">
        <v>1338</v>
      </c>
      <c r="B464" s="16" t="n">
        <f aca="false">IF(_xlfn.UNICODE(A464)&lt;44032,-1,_xlfn.UNICODE(A464)-44032)</f>
        <v>1878</v>
      </c>
      <c r="C464" s="16" t="n">
        <f aca="false">IF(B464=-1,-1,INT((B464/28)/21))</f>
        <v>3</v>
      </c>
      <c r="D464" s="16" t="n">
        <f aca="false">IF(B464=-1, -1, MOD(INT(B464/28),21))</f>
        <v>4</v>
      </c>
      <c r="E464" s="16" t="n">
        <f aca="false">IF(B464=-1, -1, VLOOKUP(MOD(B464,28), $T$24:$U$52,2))</f>
        <v>1</v>
      </c>
      <c r="F464" s="16" t="n">
        <f aca="false">IF($B464=-1, -1, VLOOKUP(C464,$T$1:$V$20, 2))</f>
        <v>9</v>
      </c>
      <c r="G464" s="16" t="n">
        <f aca="false">IF($B464=-1, -1, VLOOKUP(D464,$Y$1:$Z$22,2))</f>
        <v>8</v>
      </c>
      <c r="H464" s="16" t="str">
        <f aca="false">_xlfn.UNICHAR(((F464*21)+G464)*28+44032)</f>
        <v>소</v>
      </c>
      <c r="I464" s="16" t="n">
        <f aca="false">IF(B464=-1, 1, COUNTIF($A$2:$A$3000, H464))</f>
        <v>1</v>
      </c>
      <c r="J464" s="10" t="str">
        <f aca="false">_xlfn.CONCAT(A464, ",",H464,",",I464)</f>
        <v>덖,소,1</v>
      </c>
      <c r="K464" s="16" t="n">
        <f aca="false">IF(B464=-1,-1,VLOOKUP(C464,$T$1:$V$20,3))</f>
        <v>5</v>
      </c>
      <c r="L464" s="16" t="n">
        <f aca="false">IF(B464=-1,-1,VLOOKUP(D464,$Y$1:$AA$22,3))</f>
        <v>4</v>
      </c>
      <c r="N464" s="10" t="str">
        <f aca="false">_xlfn.UNICHAR(((C464*21)+G464)*28+44032)</f>
        <v>도</v>
      </c>
      <c r="O464" s="10" t="str">
        <f aca="false">_xlfn.UNICHAR(((F464*21)+D464)*28+44032)</f>
        <v>서</v>
      </c>
      <c r="P464" s="12" t="n">
        <f aca="false">COUNTIF($A$2:$A$3000, N464) + COUNTIF($A$2:$A$3000, O464)</f>
        <v>2</v>
      </c>
      <c r="Q464" s="16" t="str">
        <f aca="false">IF(OR(B464=-1,I464=0, P464&lt;&gt;2), "albhed_dummy", _xlfn.CONCAT("albhed ", RIGHT("  " &amp; K464,2),", ", RIGHT("  " &amp; L464,2), ", " ,"""",H464,""", ", """",N464,""", ","""",O464,""""," ; ", A464))</f>
        <v>albhed  5,  4, "소", "도", "서" ; 덖</v>
      </c>
    </row>
    <row r="465" customFormat="false" ht="17.9" hidden="false" customHeight="true" outlineLevel="0" collapsed="false">
      <c r="A465" s="16" t="s">
        <v>1339</v>
      </c>
      <c r="B465" s="16" t="n">
        <f aca="false">IF(_xlfn.UNICODE(A465)&lt;44032,-1,_xlfn.UNICODE(A465)-44032)</f>
        <v>1880</v>
      </c>
      <c r="C465" s="16" t="n">
        <f aca="false">IF(B465=-1,-1,INT((B465/28)/21))</f>
        <v>3</v>
      </c>
      <c r="D465" s="16" t="n">
        <f aca="false">IF(B465=-1, -1, MOD(INT(B465/28),21))</f>
        <v>4</v>
      </c>
      <c r="E465" s="16" t="n">
        <f aca="false">IF(B465=-1, -1, VLOOKUP(MOD(B465,28), $T$24:$U$52,2))</f>
        <v>4</v>
      </c>
      <c r="F465" s="16" t="n">
        <f aca="false">IF($B465=-1, -1, VLOOKUP(C465,$T$1:$V$20, 2))</f>
        <v>9</v>
      </c>
      <c r="G465" s="16" t="n">
        <f aca="false">IF($B465=-1, -1, VLOOKUP(D465,$Y$1:$Z$22,2))</f>
        <v>8</v>
      </c>
      <c r="H465" s="16" t="str">
        <f aca="false">_xlfn.UNICHAR(((F465*21)+G465)*28+44032)</f>
        <v>소</v>
      </c>
      <c r="I465" s="16" t="n">
        <f aca="false">IF(B465=-1, 1, COUNTIF($A$2:$A$3000, H465))</f>
        <v>1</v>
      </c>
      <c r="J465" s="10" t="str">
        <f aca="false">_xlfn.CONCAT(A465, ",",H465,",",I465)</f>
        <v>던,소,1</v>
      </c>
      <c r="K465" s="16" t="n">
        <f aca="false">IF(B465=-1,-1,VLOOKUP(C465,$T$1:$V$20,3))</f>
        <v>5</v>
      </c>
      <c r="L465" s="16" t="n">
        <f aca="false">IF(B465=-1,-1,VLOOKUP(D465,$Y$1:$AA$22,3))</f>
        <v>4</v>
      </c>
      <c r="N465" s="10" t="str">
        <f aca="false">_xlfn.UNICHAR(((C465*21)+G465)*28+44032)</f>
        <v>도</v>
      </c>
      <c r="O465" s="10" t="str">
        <f aca="false">_xlfn.UNICHAR(((F465*21)+D465)*28+44032)</f>
        <v>서</v>
      </c>
      <c r="P465" s="12" t="n">
        <f aca="false">COUNTIF($A$2:$A$3000, N465) + COUNTIF($A$2:$A$3000, O465)</f>
        <v>2</v>
      </c>
      <c r="Q465" s="16" t="str">
        <f aca="false">IF(OR(B465=-1,I465=0, P465&lt;&gt;2), "albhed_dummy", _xlfn.CONCAT("albhed ", RIGHT("  " &amp; K465,2),", ", RIGHT("  " &amp; L465,2), ", " ,"""",H465,""", ", """",N465,""", ","""",O465,""""," ; ", A465))</f>
        <v>albhed  5,  4, "소", "도", "서" ; 던</v>
      </c>
    </row>
    <row r="466" customFormat="false" ht="17.9" hidden="false" customHeight="true" outlineLevel="0" collapsed="false">
      <c r="A466" s="16" t="s">
        <v>1340</v>
      </c>
      <c r="B466" s="16" t="n">
        <f aca="false">IF(_xlfn.UNICODE(A466)&lt;44032,-1,_xlfn.UNICODE(A466)-44032)</f>
        <v>1883</v>
      </c>
      <c r="C466" s="16" t="n">
        <f aca="false">IF(B466=-1,-1,INT((B466/28)/21))</f>
        <v>3</v>
      </c>
      <c r="D466" s="16" t="n">
        <f aca="false">IF(B466=-1, -1, MOD(INT(B466/28),21))</f>
        <v>4</v>
      </c>
      <c r="E466" s="16" t="n">
        <f aca="false">IF(B466=-1, -1, VLOOKUP(MOD(B466,28), $T$24:$U$52,2))</f>
        <v>19</v>
      </c>
      <c r="F466" s="16" t="n">
        <f aca="false">IF($B466=-1, -1, VLOOKUP(C466,$T$1:$V$20, 2))</f>
        <v>9</v>
      </c>
      <c r="G466" s="16" t="n">
        <f aca="false">IF($B466=-1, -1, VLOOKUP(D466,$Y$1:$Z$22,2))</f>
        <v>8</v>
      </c>
      <c r="H466" s="16" t="str">
        <f aca="false">_xlfn.UNICHAR(((F466*21)+G466)*28+44032)</f>
        <v>소</v>
      </c>
      <c r="I466" s="16" t="n">
        <f aca="false">IF(B466=-1, 1, COUNTIF($A$2:$A$3000, H466))</f>
        <v>1</v>
      </c>
      <c r="J466" s="10" t="str">
        <f aca="false">_xlfn.CONCAT(A466, ",",H466,",",I466)</f>
        <v>덛,소,1</v>
      </c>
      <c r="K466" s="16" t="n">
        <f aca="false">IF(B466=-1,-1,VLOOKUP(C466,$T$1:$V$20,3))</f>
        <v>5</v>
      </c>
      <c r="L466" s="16" t="n">
        <f aca="false">IF(B466=-1,-1,VLOOKUP(D466,$Y$1:$AA$22,3))</f>
        <v>4</v>
      </c>
      <c r="N466" s="10" t="str">
        <f aca="false">_xlfn.UNICHAR(((C466*21)+G466)*28+44032)</f>
        <v>도</v>
      </c>
      <c r="O466" s="10" t="str">
        <f aca="false">_xlfn.UNICHAR(((F466*21)+D466)*28+44032)</f>
        <v>서</v>
      </c>
      <c r="P466" s="12" t="n">
        <f aca="false">COUNTIF($A$2:$A$3000, N466) + COUNTIF($A$2:$A$3000, O466)</f>
        <v>2</v>
      </c>
      <c r="Q466" s="16" t="str">
        <f aca="false">IF(OR(B466=-1,I466=0, P466&lt;&gt;2), "albhed_dummy", _xlfn.CONCAT("albhed ", RIGHT("  " &amp; K466,2),", ", RIGHT("  " &amp; L466,2), ", " ,"""",H466,""", ", """",N466,""", ","""",O466,""""," ; ", A466))</f>
        <v>albhed  5,  4, "소", "도", "서" ; 덛</v>
      </c>
    </row>
    <row r="467" customFormat="false" ht="17.9" hidden="false" customHeight="true" outlineLevel="0" collapsed="false">
      <c r="A467" s="16" t="s">
        <v>1341</v>
      </c>
      <c r="B467" s="16" t="n">
        <f aca="false">IF(_xlfn.UNICODE(A467)&lt;44032,-1,_xlfn.UNICODE(A467)-44032)</f>
        <v>1884</v>
      </c>
      <c r="C467" s="16" t="n">
        <f aca="false">IF(B467=-1,-1,INT((B467/28)/21))</f>
        <v>3</v>
      </c>
      <c r="D467" s="16" t="n">
        <f aca="false">IF(B467=-1, -1, MOD(INT(B467/28),21))</f>
        <v>4</v>
      </c>
      <c r="E467" s="16" t="n">
        <f aca="false">IF(B467=-1, -1, VLOOKUP(MOD(B467,28), $T$24:$U$52,2))</f>
        <v>8</v>
      </c>
      <c r="F467" s="16" t="n">
        <f aca="false">IF($B467=-1, -1, VLOOKUP(C467,$T$1:$V$20, 2))</f>
        <v>9</v>
      </c>
      <c r="G467" s="16" t="n">
        <f aca="false">IF($B467=-1, -1, VLOOKUP(D467,$Y$1:$Z$22,2))</f>
        <v>8</v>
      </c>
      <c r="H467" s="16" t="str">
        <f aca="false">_xlfn.UNICHAR(((F467*21)+G467)*28+44032)</f>
        <v>소</v>
      </c>
      <c r="I467" s="16" t="n">
        <f aca="false">IF(B467=-1, 1, COUNTIF($A$2:$A$3000, H467))</f>
        <v>1</v>
      </c>
      <c r="J467" s="10" t="str">
        <f aca="false">_xlfn.CONCAT(A467, ",",H467,",",I467)</f>
        <v>덜,소,1</v>
      </c>
      <c r="K467" s="16" t="n">
        <f aca="false">IF(B467=-1,-1,VLOOKUP(C467,$T$1:$V$20,3))</f>
        <v>5</v>
      </c>
      <c r="L467" s="16" t="n">
        <f aca="false">IF(B467=-1,-1,VLOOKUP(D467,$Y$1:$AA$22,3))</f>
        <v>4</v>
      </c>
      <c r="N467" s="10" t="str">
        <f aca="false">_xlfn.UNICHAR(((C467*21)+G467)*28+44032)</f>
        <v>도</v>
      </c>
      <c r="O467" s="10" t="str">
        <f aca="false">_xlfn.UNICHAR(((F467*21)+D467)*28+44032)</f>
        <v>서</v>
      </c>
      <c r="P467" s="12" t="n">
        <f aca="false">COUNTIF($A$2:$A$3000, N467) + COUNTIF($A$2:$A$3000, O467)</f>
        <v>2</v>
      </c>
      <c r="Q467" s="16" t="str">
        <f aca="false">IF(OR(B467=-1,I467=0, P467&lt;&gt;2), "albhed_dummy", _xlfn.CONCAT("albhed ", RIGHT("  " &amp; K467,2),", ", RIGHT("  " &amp; L467,2), ", " ,"""",H467,""", ", """",N467,""", ","""",O467,""""," ; ", A467))</f>
        <v>albhed  5,  4, "소", "도", "서" ; 덜</v>
      </c>
    </row>
    <row r="468" customFormat="false" ht="17.9" hidden="false" customHeight="true" outlineLevel="0" collapsed="false">
      <c r="A468" s="16" t="s">
        <v>1342</v>
      </c>
      <c r="B468" s="16" t="n">
        <f aca="false">IF(_xlfn.UNICODE(A468)&lt;44032,-1,_xlfn.UNICODE(A468)-44032)</f>
        <v>1886</v>
      </c>
      <c r="C468" s="16" t="n">
        <f aca="false">IF(B468=-1,-1,INT((B468/28)/21))</f>
        <v>3</v>
      </c>
      <c r="D468" s="16" t="n">
        <f aca="false">IF(B468=-1, -1, MOD(INT(B468/28),21))</f>
        <v>4</v>
      </c>
      <c r="E468" s="16" t="n">
        <f aca="false">IF(B468=-1, -1, VLOOKUP(MOD(B468,28), $T$24:$U$52,2))</f>
        <v>8</v>
      </c>
      <c r="F468" s="16" t="n">
        <f aca="false">IF($B468=-1, -1, VLOOKUP(C468,$T$1:$V$20, 2))</f>
        <v>9</v>
      </c>
      <c r="G468" s="16" t="n">
        <f aca="false">IF($B468=-1, -1, VLOOKUP(D468,$Y$1:$Z$22,2))</f>
        <v>8</v>
      </c>
      <c r="H468" s="16" t="str">
        <f aca="false">_xlfn.UNICHAR(((F468*21)+G468)*28+44032)</f>
        <v>소</v>
      </c>
      <c r="I468" s="16" t="n">
        <f aca="false">IF(B468=-1, 1, COUNTIF($A$2:$A$3000, H468))</f>
        <v>1</v>
      </c>
      <c r="J468" s="10" t="str">
        <f aca="false">_xlfn.CONCAT(A468, ",",H468,",",I468)</f>
        <v>덞,소,1</v>
      </c>
      <c r="K468" s="16" t="n">
        <f aca="false">IF(B468=-1,-1,VLOOKUP(C468,$T$1:$V$20,3))</f>
        <v>5</v>
      </c>
      <c r="L468" s="16" t="n">
        <f aca="false">IF(B468=-1,-1,VLOOKUP(D468,$Y$1:$AA$22,3))</f>
        <v>4</v>
      </c>
      <c r="N468" s="10" t="str">
        <f aca="false">_xlfn.UNICHAR(((C468*21)+G468)*28+44032)</f>
        <v>도</v>
      </c>
      <c r="O468" s="10" t="str">
        <f aca="false">_xlfn.UNICHAR(((F468*21)+D468)*28+44032)</f>
        <v>서</v>
      </c>
      <c r="P468" s="12" t="n">
        <f aca="false">COUNTIF($A$2:$A$3000, N468) + COUNTIF($A$2:$A$3000, O468)</f>
        <v>2</v>
      </c>
      <c r="Q468" s="16" t="str">
        <f aca="false">IF(OR(B468=-1,I468=0, P468&lt;&gt;2), "albhed_dummy", _xlfn.CONCAT("albhed ", RIGHT("  " &amp; K468,2),", ", RIGHT("  " &amp; L468,2), ", " ,"""",H468,""", ", """",N468,""", ","""",O468,""""," ; ", A468))</f>
        <v>albhed  5,  4, "소", "도", "서" ; 덞</v>
      </c>
    </row>
    <row r="469" customFormat="false" ht="17.9" hidden="false" customHeight="true" outlineLevel="0" collapsed="false">
      <c r="A469" s="16" t="s">
        <v>1343</v>
      </c>
      <c r="B469" s="16" t="n">
        <f aca="false">IF(_xlfn.UNICODE(A469)&lt;44032,-1,_xlfn.UNICODE(A469)-44032)</f>
        <v>1887</v>
      </c>
      <c r="C469" s="16" t="n">
        <f aca="false">IF(B469=-1,-1,INT((B469/28)/21))</f>
        <v>3</v>
      </c>
      <c r="D469" s="16" t="n">
        <f aca="false">IF(B469=-1, -1, MOD(INT(B469/28),21))</f>
        <v>4</v>
      </c>
      <c r="E469" s="16" t="n">
        <f aca="false">IF(B469=-1, -1, VLOOKUP(MOD(B469,28), $T$24:$U$52,2))</f>
        <v>8</v>
      </c>
      <c r="F469" s="16" t="n">
        <f aca="false">IF($B469=-1, -1, VLOOKUP(C469,$T$1:$V$20, 2))</f>
        <v>9</v>
      </c>
      <c r="G469" s="16" t="n">
        <f aca="false">IF($B469=-1, -1, VLOOKUP(D469,$Y$1:$Z$22,2))</f>
        <v>8</v>
      </c>
      <c r="H469" s="16" t="str">
        <f aca="false">_xlfn.UNICHAR(((F469*21)+G469)*28+44032)</f>
        <v>소</v>
      </c>
      <c r="I469" s="16" t="n">
        <f aca="false">IF(B469=-1, 1, COUNTIF($A$2:$A$3000, H469))</f>
        <v>1</v>
      </c>
      <c r="J469" s="10" t="str">
        <f aca="false">_xlfn.CONCAT(A469, ",",H469,",",I469)</f>
        <v>덟,소,1</v>
      </c>
      <c r="K469" s="16" t="n">
        <f aca="false">IF(B469=-1,-1,VLOOKUP(C469,$T$1:$V$20,3))</f>
        <v>5</v>
      </c>
      <c r="L469" s="16" t="n">
        <f aca="false">IF(B469=-1,-1,VLOOKUP(D469,$Y$1:$AA$22,3))</f>
        <v>4</v>
      </c>
      <c r="N469" s="10" t="str">
        <f aca="false">_xlfn.UNICHAR(((C469*21)+G469)*28+44032)</f>
        <v>도</v>
      </c>
      <c r="O469" s="10" t="str">
        <f aca="false">_xlfn.UNICHAR(((F469*21)+D469)*28+44032)</f>
        <v>서</v>
      </c>
      <c r="P469" s="12" t="n">
        <f aca="false">COUNTIF($A$2:$A$3000, N469) + COUNTIF($A$2:$A$3000, O469)</f>
        <v>2</v>
      </c>
      <c r="Q469" s="16" t="str">
        <f aca="false">IF(OR(B469=-1,I469=0, P469&lt;&gt;2), "albhed_dummy", _xlfn.CONCAT("albhed ", RIGHT("  " &amp; K469,2),", ", RIGHT("  " &amp; L469,2), ", " ,"""",H469,""", ", """",N469,""", ","""",O469,""""," ; ", A469))</f>
        <v>albhed  5,  4, "소", "도", "서" ; 덟</v>
      </c>
    </row>
    <row r="470" customFormat="false" ht="17.9" hidden="false" customHeight="true" outlineLevel="0" collapsed="false">
      <c r="A470" s="16" t="s">
        <v>1344</v>
      </c>
      <c r="B470" s="16" t="n">
        <f aca="false">IF(_xlfn.UNICODE(A470)&lt;44032,-1,_xlfn.UNICODE(A470)-44032)</f>
        <v>1892</v>
      </c>
      <c r="C470" s="16" t="n">
        <f aca="false">IF(B470=-1,-1,INT((B470/28)/21))</f>
        <v>3</v>
      </c>
      <c r="D470" s="16" t="n">
        <f aca="false">IF(B470=-1, -1, MOD(INT(B470/28),21))</f>
        <v>4</v>
      </c>
      <c r="E470" s="16" t="n">
        <f aca="false">IF(B470=-1, -1, VLOOKUP(MOD(B470,28), $T$24:$U$52,2))</f>
        <v>16</v>
      </c>
      <c r="F470" s="16" t="n">
        <f aca="false">IF($B470=-1, -1, VLOOKUP(C470,$T$1:$V$20, 2))</f>
        <v>9</v>
      </c>
      <c r="G470" s="16" t="n">
        <f aca="false">IF($B470=-1, -1, VLOOKUP(D470,$Y$1:$Z$22,2))</f>
        <v>8</v>
      </c>
      <c r="H470" s="16" t="str">
        <f aca="false">_xlfn.UNICHAR(((F470*21)+G470)*28+44032)</f>
        <v>소</v>
      </c>
      <c r="I470" s="16" t="n">
        <f aca="false">IF(B470=-1, 1, COUNTIF($A$2:$A$3000, H470))</f>
        <v>1</v>
      </c>
      <c r="J470" s="10" t="str">
        <f aca="false">_xlfn.CONCAT(A470, ",",H470,",",I470)</f>
        <v>덤,소,1</v>
      </c>
      <c r="K470" s="16" t="n">
        <f aca="false">IF(B470=-1,-1,VLOOKUP(C470,$T$1:$V$20,3))</f>
        <v>5</v>
      </c>
      <c r="L470" s="16" t="n">
        <f aca="false">IF(B470=-1,-1,VLOOKUP(D470,$Y$1:$AA$22,3))</f>
        <v>4</v>
      </c>
      <c r="N470" s="10" t="str">
        <f aca="false">_xlfn.UNICHAR(((C470*21)+G470)*28+44032)</f>
        <v>도</v>
      </c>
      <c r="O470" s="10" t="str">
        <f aca="false">_xlfn.UNICHAR(((F470*21)+D470)*28+44032)</f>
        <v>서</v>
      </c>
      <c r="P470" s="12" t="n">
        <f aca="false">COUNTIF($A$2:$A$3000, N470) + COUNTIF($A$2:$A$3000, O470)</f>
        <v>2</v>
      </c>
      <c r="Q470" s="16" t="str">
        <f aca="false">IF(OR(B470=-1,I470=0, P470&lt;&gt;2), "albhed_dummy", _xlfn.CONCAT("albhed ", RIGHT("  " &amp; K470,2),", ", RIGHT("  " &amp; L470,2), ", " ,"""",H470,""", ", """",N470,""", ","""",O470,""""," ; ", A470))</f>
        <v>albhed  5,  4, "소", "도", "서" ; 덤</v>
      </c>
    </row>
    <row r="471" customFormat="false" ht="17.9" hidden="false" customHeight="true" outlineLevel="0" collapsed="false">
      <c r="A471" s="16" t="s">
        <v>1345</v>
      </c>
      <c r="B471" s="16" t="n">
        <f aca="false">IF(_xlfn.UNICODE(A471)&lt;44032,-1,_xlfn.UNICODE(A471)-44032)</f>
        <v>1893</v>
      </c>
      <c r="C471" s="16" t="n">
        <f aca="false">IF(B471=-1,-1,INT((B471/28)/21))</f>
        <v>3</v>
      </c>
      <c r="D471" s="16" t="n">
        <f aca="false">IF(B471=-1, -1, MOD(INT(B471/28),21))</f>
        <v>4</v>
      </c>
      <c r="E471" s="16" t="n">
        <f aca="false">IF(B471=-1, -1, VLOOKUP(MOD(B471,28), $T$24:$U$52,2))</f>
        <v>17</v>
      </c>
      <c r="F471" s="16" t="n">
        <f aca="false">IF($B471=-1, -1, VLOOKUP(C471,$T$1:$V$20, 2))</f>
        <v>9</v>
      </c>
      <c r="G471" s="16" t="n">
        <f aca="false">IF($B471=-1, -1, VLOOKUP(D471,$Y$1:$Z$22,2))</f>
        <v>8</v>
      </c>
      <c r="H471" s="16" t="str">
        <f aca="false">_xlfn.UNICHAR(((F471*21)+G471)*28+44032)</f>
        <v>소</v>
      </c>
      <c r="I471" s="16" t="n">
        <f aca="false">IF(B471=-1, 1, COUNTIF($A$2:$A$3000, H471))</f>
        <v>1</v>
      </c>
      <c r="J471" s="10" t="str">
        <f aca="false">_xlfn.CONCAT(A471, ",",H471,",",I471)</f>
        <v>덥,소,1</v>
      </c>
      <c r="K471" s="16" t="n">
        <f aca="false">IF(B471=-1,-1,VLOOKUP(C471,$T$1:$V$20,3))</f>
        <v>5</v>
      </c>
      <c r="L471" s="16" t="n">
        <f aca="false">IF(B471=-1,-1,VLOOKUP(D471,$Y$1:$AA$22,3))</f>
        <v>4</v>
      </c>
      <c r="N471" s="10" t="str">
        <f aca="false">_xlfn.UNICHAR(((C471*21)+G471)*28+44032)</f>
        <v>도</v>
      </c>
      <c r="O471" s="10" t="str">
        <f aca="false">_xlfn.UNICHAR(((F471*21)+D471)*28+44032)</f>
        <v>서</v>
      </c>
      <c r="P471" s="12" t="n">
        <f aca="false">COUNTIF($A$2:$A$3000, N471) + COUNTIF($A$2:$A$3000, O471)</f>
        <v>2</v>
      </c>
      <c r="Q471" s="16" t="str">
        <f aca="false">IF(OR(B471=-1,I471=0, P471&lt;&gt;2), "albhed_dummy", _xlfn.CONCAT("albhed ", RIGHT("  " &amp; K471,2),", ", RIGHT("  " &amp; L471,2), ", " ,"""",H471,""", ", """",N471,""", ","""",O471,""""," ; ", A471))</f>
        <v>albhed  5,  4, "소", "도", "서" ; 덥</v>
      </c>
    </row>
    <row r="472" customFormat="false" ht="17.9" hidden="false" customHeight="true" outlineLevel="0" collapsed="false">
      <c r="A472" s="16" t="s">
        <v>1346</v>
      </c>
      <c r="B472" s="16" t="n">
        <f aca="false">IF(_xlfn.UNICODE(A472)&lt;44032,-1,_xlfn.UNICODE(A472)-44032)</f>
        <v>1895</v>
      </c>
      <c r="C472" s="16" t="n">
        <f aca="false">IF(B472=-1,-1,INT((B472/28)/21))</f>
        <v>3</v>
      </c>
      <c r="D472" s="16" t="n">
        <f aca="false">IF(B472=-1, -1, MOD(INT(B472/28),21))</f>
        <v>4</v>
      </c>
      <c r="E472" s="16" t="n">
        <f aca="false">IF(B472=-1, -1, VLOOKUP(MOD(B472,28), $T$24:$U$52,2))</f>
        <v>19</v>
      </c>
      <c r="F472" s="16" t="n">
        <f aca="false">IF($B472=-1, -1, VLOOKUP(C472,$T$1:$V$20, 2))</f>
        <v>9</v>
      </c>
      <c r="G472" s="16" t="n">
        <f aca="false">IF($B472=-1, -1, VLOOKUP(D472,$Y$1:$Z$22,2))</f>
        <v>8</v>
      </c>
      <c r="H472" s="16" t="str">
        <f aca="false">_xlfn.UNICHAR(((F472*21)+G472)*28+44032)</f>
        <v>소</v>
      </c>
      <c r="I472" s="16" t="n">
        <f aca="false">IF(B472=-1, 1, COUNTIF($A$2:$A$3000, H472))</f>
        <v>1</v>
      </c>
      <c r="J472" s="10" t="str">
        <f aca="false">_xlfn.CONCAT(A472, ",",H472,",",I472)</f>
        <v>덧,소,1</v>
      </c>
      <c r="K472" s="16" t="n">
        <f aca="false">IF(B472=-1,-1,VLOOKUP(C472,$T$1:$V$20,3))</f>
        <v>5</v>
      </c>
      <c r="L472" s="16" t="n">
        <f aca="false">IF(B472=-1,-1,VLOOKUP(D472,$Y$1:$AA$22,3))</f>
        <v>4</v>
      </c>
      <c r="N472" s="10" t="str">
        <f aca="false">_xlfn.UNICHAR(((C472*21)+G472)*28+44032)</f>
        <v>도</v>
      </c>
      <c r="O472" s="10" t="str">
        <f aca="false">_xlfn.UNICHAR(((F472*21)+D472)*28+44032)</f>
        <v>서</v>
      </c>
      <c r="P472" s="12" t="n">
        <f aca="false">COUNTIF($A$2:$A$3000, N472) + COUNTIF($A$2:$A$3000, O472)</f>
        <v>2</v>
      </c>
      <c r="Q472" s="16" t="str">
        <f aca="false">IF(OR(B472=-1,I472=0, P472&lt;&gt;2), "albhed_dummy", _xlfn.CONCAT("albhed ", RIGHT("  " &amp; K472,2),", ", RIGHT("  " &amp; L472,2), ", " ,"""",H472,""", ", """",N472,""", ","""",O472,""""," ; ", A472))</f>
        <v>albhed  5,  4, "소", "도", "서" ; 덧</v>
      </c>
    </row>
    <row r="473" customFormat="false" ht="17.9" hidden="false" customHeight="true" outlineLevel="0" collapsed="false">
      <c r="A473" s="16" t="s">
        <v>1347</v>
      </c>
      <c r="B473" s="16" t="n">
        <f aca="false">IF(_xlfn.UNICODE(A473)&lt;44032,-1,_xlfn.UNICODE(A473)-44032)</f>
        <v>1897</v>
      </c>
      <c r="C473" s="16" t="n">
        <f aca="false">IF(B473=-1,-1,INT((B473/28)/21))</f>
        <v>3</v>
      </c>
      <c r="D473" s="16" t="n">
        <f aca="false">IF(B473=-1, -1, MOD(INT(B473/28),21))</f>
        <v>4</v>
      </c>
      <c r="E473" s="16" t="n">
        <f aca="false">IF(B473=-1, -1, VLOOKUP(MOD(B473,28), $T$24:$U$52,2))</f>
        <v>21</v>
      </c>
      <c r="F473" s="16" t="n">
        <f aca="false">IF($B473=-1, -1, VLOOKUP(C473,$T$1:$V$20, 2))</f>
        <v>9</v>
      </c>
      <c r="G473" s="16" t="n">
        <f aca="false">IF($B473=-1, -1, VLOOKUP(D473,$Y$1:$Z$22,2))</f>
        <v>8</v>
      </c>
      <c r="H473" s="16" t="str">
        <f aca="false">_xlfn.UNICHAR(((F473*21)+G473)*28+44032)</f>
        <v>소</v>
      </c>
      <c r="I473" s="16" t="n">
        <f aca="false">IF(B473=-1, 1, COUNTIF($A$2:$A$3000, H473))</f>
        <v>1</v>
      </c>
      <c r="J473" s="10" t="str">
        <f aca="false">_xlfn.CONCAT(A473, ",",H473,",",I473)</f>
        <v>덩,소,1</v>
      </c>
      <c r="K473" s="16" t="n">
        <f aca="false">IF(B473=-1,-1,VLOOKUP(C473,$T$1:$V$20,3))</f>
        <v>5</v>
      </c>
      <c r="L473" s="16" t="n">
        <f aca="false">IF(B473=-1,-1,VLOOKUP(D473,$Y$1:$AA$22,3))</f>
        <v>4</v>
      </c>
      <c r="N473" s="10" t="str">
        <f aca="false">_xlfn.UNICHAR(((C473*21)+G473)*28+44032)</f>
        <v>도</v>
      </c>
      <c r="O473" s="10" t="str">
        <f aca="false">_xlfn.UNICHAR(((F473*21)+D473)*28+44032)</f>
        <v>서</v>
      </c>
      <c r="P473" s="12" t="n">
        <f aca="false">COUNTIF($A$2:$A$3000, N473) + COUNTIF($A$2:$A$3000, O473)</f>
        <v>2</v>
      </c>
      <c r="Q473" s="16" t="str">
        <f aca="false">IF(OR(B473=-1,I473=0, P473&lt;&gt;2), "albhed_dummy", _xlfn.CONCAT("albhed ", RIGHT("  " &amp; K473,2),", ", RIGHT("  " &amp; L473,2), ", " ,"""",H473,""", ", """",N473,""", ","""",O473,""""," ; ", A473))</f>
        <v>albhed  5,  4, "소", "도", "서" ; 덩</v>
      </c>
    </row>
    <row r="474" customFormat="false" ht="17.9" hidden="false" customHeight="true" outlineLevel="0" collapsed="false">
      <c r="A474" s="16" t="s">
        <v>1348</v>
      </c>
      <c r="B474" s="16" t="n">
        <f aca="false">IF(_xlfn.UNICODE(A474)&lt;44032,-1,_xlfn.UNICODE(A474)-44032)</f>
        <v>1899</v>
      </c>
      <c r="C474" s="16" t="n">
        <f aca="false">IF(B474=-1,-1,INT((B474/28)/21))</f>
        <v>3</v>
      </c>
      <c r="D474" s="16" t="n">
        <f aca="false">IF(B474=-1, -1, MOD(INT(B474/28),21))</f>
        <v>4</v>
      </c>
      <c r="E474" s="16" t="n">
        <f aca="false">IF(B474=-1, -1, VLOOKUP(MOD(B474,28), $T$24:$U$52,2))</f>
        <v>19</v>
      </c>
      <c r="F474" s="16" t="n">
        <f aca="false">IF($B474=-1, -1, VLOOKUP(C474,$T$1:$V$20, 2))</f>
        <v>9</v>
      </c>
      <c r="G474" s="16" t="n">
        <f aca="false">IF($B474=-1, -1, VLOOKUP(D474,$Y$1:$Z$22,2))</f>
        <v>8</v>
      </c>
      <c r="H474" s="16" t="str">
        <f aca="false">_xlfn.UNICHAR(((F474*21)+G474)*28+44032)</f>
        <v>소</v>
      </c>
      <c r="I474" s="16" t="n">
        <f aca="false">IF(B474=-1, 1, COUNTIF($A$2:$A$3000, H474))</f>
        <v>1</v>
      </c>
      <c r="J474" s="10" t="str">
        <f aca="false">_xlfn.CONCAT(A474, ",",H474,",",I474)</f>
        <v>덫,소,1</v>
      </c>
      <c r="K474" s="16" t="n">
        <f aca="false">IF(B474=-1,-1,VLOOKUP(C474,$T$1:$V$20,3))</f>
        <v>5</v>
      </c>
      <c r="L474" s="16" t="n">
        <f aca="false">IF(B474=-1,-1,VLOOKUP(D474,$Y$1:$AA$22,3))</f>
        <v>4</v>
      </c>
      <c r="N474" s="10" t="str">
        <f aca="false">_xlfn.UNICHAR(((C474*21)+G474)*28+44032)</f>
        <v>도</v>
      </c>
      <c r="O474" s="10" t="str">
        <f aca="false">_xlfn.UNICHAR(((F474*21)+D474)*28+44032)</f>
        <v>서</v>
      </c>
      <c r="P474" s="12" t="n">
        <f aca="false">COUNTIF($A$2:$A$3000, N474) + COUNTIF($A$2:$A$3000, O474)</f>
        <v>2</v>
      </c>
      <c r="Q474" s="16" t="str">
        <f aca="false">IF(OR(B474=-1,I474=0, P474&lt;&gt;2), "albhed_dummy", _xlfn.CONCAT("albhed ", RIGHT("  " &amp; K474,2),", ", RIGHT("  " &amp; L474,2), ", " ,"""",H474,""", ", """",N474,""", ","""",O474,""""," ; ", A474))</f>
        <v>albhed  5,  4, "소", "도", "서" ; 덫</v>
      </c>
    </row>
    <row r="475" customFormat="false" ht="17.9" hidden="false" customHeight="true" outlineLevel="0" collapsed="false">
      <c r="A475" s="16" t="s">
        <v>1349</v>
      </c>
      <c r="B475" s="16" t="n">
        <f aca="false">IF(_xlfn.UNICODE(A475)&lt;44032,-1,_xlfn.UNICODE(A475)-44032)</f>
        <v>1902</v>
      </c>
      <c r="C475" s="16" t="n">
        <f aca="false">IF(B475=-1,-1,INT((B475/28)/21))</f>
        <v>3</v>
      </c>
      <c r="D475" s="16" t="n">
        <f aca="false">IF(B475=-1, -1, MOD(INT(B475/28),21))</f>
        <v>4</v>
      </c>
      <c r="E475" s="16" t="n">
        <f aca="false">IF(B475=-1, -1, VLOOKUP(MOD(B475,28), $T$24:$U$52,2))</f>
        <v>17</v>
      </c>
      <c r="F475" s="16" t="n">
        <f aca="false">IF($B475=-1, -1, VLOOKUP(C475,$T$1:$V$20, 2))</f>
        <v>9</v>
      </c>
      <c r="G475" s="16" t="n">
        <f aca="false">IF($B475=-1, -1, VLOOKUP(D475,$Y$1:$Z$22,2))</f>
        <v>8</v>
      </c>
      <c r="H475" s="16" t="str">
        <f aca="false">_xlfn.UNICHAR(((F475*21)+G475)*28+44032)</f>
        <v>소</v>
      </c>
      <c r="I475" s="16" t="n">
        <f aca="false">IF(B475=-1, 1, COUNTIF($A$2:$A$3000, H475))</f>
        <v>1</v>
      </c>
      <c r="J475" s="10" t="str">
        <f aca="false">_xlfn.CONCAT(A475, ",",H475,",",I475)</f>
        <v>덮,소,1</v>
      </c>
      <c r="K475" s="16" t="n">
        <f aca="false">IF(B475=-1,-1,VLOOKUP(C475,$T$1:$V$20,3))</f>
        <v>5</v>
      </c>
      <c r="L475" s="16" t="n">
        <f aca="false">IF(B475=-1,-1,VLOOKUP(D475,$Y$1:$AA$22,3))</f>
        <v>4</v>
      </c>
      <c r="N475" s="10" t="str">
        <f aca="false">_xlfn.UNICHAR(((C475*21)+G475)*28+44032)</f>
        <v>도</v>
      </c>
      <c r="O475" s="10" t="str">
        <f aca="false">_xlfn.UNICHAR(((F475*21)+D475)*28+44032)</f>
        <v>서</v>
      </c>
      <c r="P475" s="12" t="n">
        <f aca="false">COUNTIF($A$2:$A$3000, N475) + COUNTIF($A$2:$A$3000, O475)</f>
        <v>2</v>
      </c>
      <c r="Q475" s="16" t="str">
        <f aca="false">IF(OR(B475=-1,I475=0, P475&lt;&gt;2), "albhed_dummy", _xlfn.CONCAT("albhed ", RIGHT("  " &amp; K475,2),", ", RIGHT("  " &amp; L475,2), ", " ,"""",H475,""", ", """",N475,""", ","""",O475,""""," ; ", A475))</f>
        <v>albhed  5,  4, "소", "도", "서" ; 덮</v>
      </c>
    </row>
    <row r="476" customFormat="false" ht="17.9" hidden="false" customHeight="true" outlineLevel="0" collapsed="false">
      <c r="A476" s="16" t="s">
        <v>1350</v>
      </c>
      <c r="B476" s="16" t="n">
        <f aca="false">IF(_xlfn.UNICODE(A476)&lt;44032,-1,_xlfn.UNICODE(A476)-44032)</f>
        <v>1904</v>
      </c>
      <c r="C476" s="16" t="n">
        <f aca="false">IF(B476=-1,-1,INT((B476/28)/21))</f>
        <v>3</v>
      </c>
      <c r="D476" s="16" t="n">
        <f aca="false">IF(B476=-1, -1, MOD(INT(B476/28),21))</f>
        <v>5</v>
      </c>
      <c r="E476" s="16" t="n">
        <f aca="false">IF(B476=-1, -1, VLOOKUP(MOD(B476,28), $T$24:$U$52,2))</f>
        <v>0</v>
      </c>
      <c r="F476" s="16" t="n">
        <f aca="false">IF($B476=-1, -1, VLOOKUP(C476,$T$1:$V$20, 2))</f>
        <v>9</v>
      </c>
      <c r="G476" s="16" t="n">
        <f aca="false">IF($B476=-1, -1, VLOOKUP(D476,$Y$1:$Z$22,2))</f>
        <v>18</v>
      </c>
      <c r="H476" s="16" t="str">
        <f aca="false">_xlfn.UNICHAR(((F476*21)+G476)*28+44032)</f>
        <v>스</v>
      </c>
      <c r="I476" s="16" t="n">
        <f aca="false">IF(B476=-1, 1, COUNTIF($A$2:$A$3000, H476))</f>
        <v>1</v>
      </c>
      <c r="J476" s="10" t="str">
        <f aca="false">_xlfn.CONCAT(A476, ",",H476,",",I476)</f>
        <v>데,스,1</v>
      </c>
      <c r="K476" s="16" t="n">
        <f aca="false">IF(B476=-1,-1,VLOOKUP(C476,$T$1:$V$20,3))</f>
        <v>5</v>
      </c>
      <c r="L476" s="16" t="n">
        <f aca="false">IF(B476=-1,-1,VLOOKUP(D476,$Y$1:$AA$22,3))</f>
        <v>10</v>
      </c>
      <c r="N476" s="10" t="str">
        <f aca="false">_xlfn.UNICHAR(((C476*21)+G476)*28+44032)</f>
        <v>드</v>
      </c>
      <c r="O476" s="10" t="str">
        <f aca="false">_xlfn.UNICHAR(((F476*21)+D476)*28+44032)</f>
        <v>세</v>
      </c>
      <c r="P476" s="12" t="n">
        <f aca="false">COUNTIF($A$2:$A$3000, N476) + COUNTIF($A$2:$A$3000, O476)</f>
        <v>2</v>
      </c>
      <c r="Q476" s="16" t="str">
        <f aca="false">IF(OR(B476=-1,I476=0, P476&lt;&gt;2), "albhed_dummy", _xlfn.CONCAT("albhed ", RIGHT("  " &amp; K476,2),", ", RIGHT("  " &amp; L476,2), ", " ,"""",H476,""", ", """",N476,""", ","""",O476,""""," ; ", A476))</f>
        <v>albhed  5, 10, "스", "드", "세" ; 데</v>
      </c>
    </row>
    <row r="477" customFormat="false" ht="17.9" hidden="false" customHeight="true" outlineLevel="0" collapsed="false">
      <c r="A477" s="16" t="s">
        <v>1351</v>
      </c>
      <c r="B477" s="16" t="n">
        <f aca="false">IF(_xlfn.UNICODE(A477)&lt;44032,-1,_xlfn.UNICODE(A477)-44032)</f>
        <v>1905</v>
      </c>
      <c r="C477" s="16" t="n">
        <f aca="false">IF(B477=-1,-1,INT((B477/28)/21))</f>
        <v>3</v>
      </c>
      <c r="D477" s="16" t="n">
        <f aca="false">IF(B477=-1, -1, MOD(INT(B477/28),21))</f>
        <v>5</v>
      </c>
      <c r="E477" s="16" t="n">
        <f aca="false">IF(B477=-1, -1, VLOOKUP(MOD(B477,28), $T$24:$U$52,2))</f>
        <v>1</v>
      </c>
      <c r="F477" s="16" t="n">
        <f aca="false">IF($B477=-1, -1, VLOOKUP(C477,$T$1:$V$20, 2))</f>
        <v>9</v>
      </c>
      <c r="G477" s="16" t="n">
        <f aca="false">IF($B477=-1, -1, VLOOKUP(D477,$Y$1:$Z$22,2))</f>
        <v>18</v>
      </c>
      <c r="H477" s="16" t="str">
        <f aca="false">_xlfn.UNICHAR(((F477*21)+G477)*28+44032)</f>
        <v>스</v>
      </c>
      <c r="I477" s="16" t="n">
        <f aca="false">IF(B477=-1, 1, COUNTIF($A$2:$A$3000, H477))</f>
        <v>1</v>
      </c>
      <c r="J477" s="10" t="str">
        <f aca="false">_xlfn.CONCAT(A477, ",",H477,",",I477)</f>
        <v>덱,스,1</v>
      </c>
      <c r="K477" s="16" t="n">
        <f aca="false">IF(B477=-1,-1,VLOOKUP(C477,$T$1:$V$20,3))</f>
        <v>5</v>
      </c>
      <c r="L477" s="16" t="n">
        <f aca="false">IF(B477=-1,-1,VLOOKUP(D477,$Y$1:$AA$22,3))</f>
        <v>10</v>
      </c>
      <c r="N477" s="10" t="str">
        <f aca="false">_xlfn.UNICHAR(((C477*21)+G477)*28+44032)</f>
        <v>드</v>
      </c>
      <c r="O477" s="10" t="str">
        <f aca="false">_xlfn.UNICHAR(((F477*21)+D477)*28+44032)</f>
        <v>세</v>
      </c>
      <c r="P477" s="12" t="n">
        <f aca="false">COUNTIF($A$2:$A$3000, N477) + COUNTIF($A$2:$A$3000, O477)</f>
        <v>2</v>
      </c>
      <c r="Q477" s="16" t="str">
        <f aca="false">IF(OR(B477=-1,I477=0, P477&lt;&gt;2), "albhed_dummy", _xlfn.CONCAT("albhed ", RIGHT("  " &amp; K477,2),", ", RIGHT("  " &amp; L477,2), ", " ,"""",H477,""", ", """",N477,""", ","""",O477,""""," ; ", A477))</f>
        <v>albhed  5, 10, "스", "드", "세" ; 덱</v>
      </c>
    </row>
    <row r="478" customFormat="false" ht="17.9" hidden="false" customHeight="true" outlineLevel="0" collapsed="false">
      <c r="A478" s="16" t="s">
        <v>1352</v>
      </c>
      <c r="B478" s="16" t="n">
        <f aca="false">IF(_xlfn.UNICODE(A478)&lt;44032,-1,_xlfn.UNICODE(A478)-44032)</f>
        <v>1908</v>
      </c>
      <c r="C478" s="16" t="n">
        <f aca="false">IF(B478=-1,-1,INT((B478/28)/21))</f>
        <v>3</v>
      </c>
      <c r="D478" s="16" t="n">
        <f aca="false">IF(B478=-1, -1, MOD(INT(B478/28),21))</f>
        <v>5</v>
      </c>
      <c r="E478" s="16" t="n">
        <f aca="false">IF(B478=-1, -1, VLOOKUP(MOD(B478,28), $T$24:$U$52,2))</f>
        <v>4</v>
      </c>
      <c r="F478" s="16" t="n">
        <f aca="false">IF($B478=-1, -1, VLOOKUP(C478,$T$1:$V$20, 2))</f>
        <v>9</v>
      </c>
      <c r="G478" s="16" t="n">
        <f aca="false">IF($B478=-1, -1, VLOOKUP(D478,$Y$1:$Z$22,2))</f>
        <v>18</v>
      </c>
      <c r="H478" s="16" t="str">
        <f aca="false">_xlfn.UNICHAR(((F478*21)+G478)*28+44032)</f>
        <v>스</v>
      </c>
      <c r="I478" s="16" t="n">
        <f aca="false">IF(B478=-1, 1, COUNTIF($A$2:$A$3000, H478))</f>
        <v>1</v>
      </c>
      <c r="J478" s="10" t="str">
        <f aca="false">_xlfn.CONCAT(A478, ",",H478,",",I478)</f>
        <v>덴,스,1</v>
      </c>
      <c r="K478" s="16" t="n">
        <f aca="false">IF(B478=-1,-1,VLOOKUP(C478,$T$1:$V$20,3))</f>
        <v>5</v>
      </c>
      <c r="L478" s="16" t="n">
        <f aca="false">IF(B478=-1,-1,VLOOKUP(D478,$Y$1:$AA$22,3))</f>
        <v>10</v>
      </c>
      <c r="N478" s="10" t="str">
        <f aca="false">_xlfn.UNICHAR(((C478*21)+G478)*28+44032)</f>
        <v>드</v>
      </c>
      <c r="O478" s="10" t="str">
        <f aca="false">_xlfn.UNICHAR(((F478*21)+D478)*28+44032)</f>
        <v>세</v>
      </c>
      <c r="P478" s="12" t="n">
        <f aca="false">COUNTIF($A$2:$A$3000, N478) + COUNTIF($A$2:$A$3000, O478)</f>
        <v>2</v>
      </c>
      <c r="Q478" s="16" t="str">
        <f aca="false">IF(OR(B478=-1,I478=0, P478&lt;&gt;2), "albhed_dummy", _xlfn.CONCAT("albhed ", RIGHT("  " &amp; K478,2),", ", RIGHT("  " &amp; L478,2), ", " ,"""",H478,""", ", """",N478,""", ","""",O478,""""," ; ", A478))</f>
        <v>albhed  5, 10, "스", "드", "세" ; 덴</v>
      </c>
    </row>
    <row r="479" customFormat="false" ht="17.9" hidden="false" customHeight="true" outlineLevel="0" collapsed="false">
      <c r="A479" s="16" t="s">
        <v>1353</v>
      </c>
      <c r="B479" s="16" t="n">
        <f aca="false">IF(_xlfn.UNICODE(A479)&lt;44032,-1,_xlfn.UNICODE(A479)-44032)</f>
        <v>1912</v>
      </c>
      <c r="C479" s="16" t="n">
        <f aca="false">IF(B479=-1,-1,INT((B479/28)/21))</f>
        <v>3</v>
      </c>
      <c r="D479" s="16" t="n">
        <f aca="false">IF(B479=-1, -1, MOD(INT(B479/28),21))</f>
        <v>5</v>
      </c>
      <c r="E479" s="16" t="n">
        <f aca="false">IF(B479=-1, -1, VLOOKUP(MOD(B479,28), $T$24:$U$52,2))</f>
        <v>8</v>
      </c>
      <c r="F479" s="16" t="n">
        <f aca="false">IF($B479=-1, -1, VLOOKUP(C479,$T$1:$V$20, 2))</f>
        <v>9</v>
      </c>
      <c r="G479" s="16" t="n">
        <f aca="false">IF($B479=-1, -1, VLOOKUP(D479,$Y$1:$Z$22,2))</f>
        <v>18</v>
      </c>
      <c r="H479" s="16" t="str">
        <f aca="false">_xlfn.UNICHAR(((F479*21)+G479)*28+44032)</f>
        <v>스</v>
      </c>
      <c r="I479" s="16" t="n">
        <f aca="false">IF(B479=-1, 1, COUNTIF($A$2:$A$3000, H479))</f>
        <v>1</v>
      </c>
      <c r="J479" s="10" t="str">
        <f aca="false">_xlfn.CONCAT(A479, ",",H479,",",I479)</f>
        <v>델,스,1</v>
      </c>
      <c r="K479" s="16" t="n">
        <f aca="false">IF(B479=-1,-1,VLOOKUP(C479,$T$1:$V$20,3))</f>
        <v>5</v>
      </c>
      <c r="L479" s="16" t="n">
        <f aca="false">IF(B479=-1,-1,VLOOKUP(D479,$Y$1:$AA$22,3))</f>
        <v>10</v>
      </c>
      <c r="N479" s="10" t="str">
        <f aca="false">_xlfn.UNICHAR(((C479*21)+G479)*28+44032)</f>
        <v>드</v>
      </c>
      <c r="O479" s="10" t="str">
        <f aca="false">_xlfn.UNICHAR(((F479*21)+D479)*28+44032)</f>
        <v>세</v>
      </c>
      <c r="P479" s="12" t="n">
        <f aca="false">COUNTIF($A$2:$A$3000, N479) + COUNTIF($A$2:$A$3000, O479)</f>
        <v>2</v>
      </c>
      <c r="Q479" s="16" t="str">
        <f aca="false">IF(OR(B479=-1,I479=0, P479&lt;&gt;2), "albhed_dummy", _xlfn.CONCAT("albhed ", RIGHT("  " &amp; K479,2),", ", RIGHT("  " &amp; L479,2), ", " ,"""",H479,""", ", """",N479,""", ","""",O479,""""," ; ", A479))</f>
        <v>albhed  5, 10, "스", "드", "세" ; 델</v>
      </c>
    </row>
    <row r="480" customFormat="false" ht="17.9" hidden="false" customHeight="true" outlineLevel="0" collapsed="false">
      <c r="A480" s="16" t="s">
        <v>1354</v>
      </c>
      <c r="B480" s="16" t="n">
        <f aca="false">IF(_xlfn.UNICODE(A480)&lt;44032,-1,_xlfn.UNICODE(A480)-44032)</f>
        <v>1920</v>
      </c>
      <c r="C480" s="16" t="n">
        <f aca="false">IF(B480=-1,-1,INT((B480/28)/21))</f>
        <v>3</v>
      </c>
      <c r="D480" s="16" t="n">
        <f aca="false">IF(B480=-1, -1, MOD(INT(B480/28),21))</f>
        <v>5</v>
      </c>
      <c r="E480" s="16" t="n">
        <f aca="false">IF(B480=-1, -1, VLOOKUP(MOD(B480,28), $T$24:$U$52,2))</f>
        <v>16</v>
      </c>
      <c r="F480" s="16" t="n">
        <f aca="false">IF($B480=-1, -1, VLOOKUP(C480,$T$1:$V$20, 2))</f>
        <v>9</v>
      </c>
      <c r="G480" s="16" t="n">
        <f aca="false">IF($B480=-1, -1, VLOOKUP(D480,$Y$1:$Z$22,2))</f>
        <v>18</v>
      </c>
      <c r="H480" s="16" t="str">
        <f aca="false">_xlfn.UNICHAR(((F480*21)+G480)*28+44032)</f>
        <v>스</v>
      </c>
      <c r="I480" s="16" t="n">
        <f aca="false">IF(B480=-1, 1, COUNTIF($A$2:$A$3000, H480))</f>
        <v>1</v>
      </c>
      <c r="J480" s="10" t="str">
        <f aca="false">_xlfn.CONCAT(A480, ",",H480,",",I480)</f>
        <v>뎀,스,1</v>
      </c>
      <c r="K480" s="16" t="n">
        <f aca="false">IF(B480=-1,-1,VLOOKUP(C480,$T$1:$V$20,3))</f>
        <v>5</v>
      </c>
      <c r="L480" s="16" t="n">
        <f aca="false">IF(B480=-1,-1,VLOOKUP(D480,$Y$1:$AA$22,3))</f>
        <v>10</v>
      </c>
      <c r="N480" s="10" t="str">
        <f aca="false">_xlfn.UNICHAR(((C480*21)+G480)*28+44032)</f>
        <v>드</v>
      </c>
      <c r="O480" s="10" t="str">
        <f aca="false">_xlfn.UNICHAR(((F480*21)+D480)*28+44032)</f>
        <v>세</v>
      </c>
      <c r="P480" s="12" t="n">
        <f aca="false">COUNTIF($A$2:$A$3000, N480) + COUNTIF($A$2:$A$3000, O480)</f>
        <v>2</v>
      </c>
      <c r="Q480" s="16" t="str">
        <f aca="false">IF(OR(B480=-1,I480=0, P480&lt;&gt;2), "albhed_dummy", _xlfn.CONCAT("albhed ", RIGHT("  " &amp; K480,2),", ", RIGHT("  " &amp; L480,2), ", " ,"""",H480,""", ", """",N480,""", ","""",O480,""""," ; ", A480))</f>
        <v>albhed  5, 10, "스", "드", "세" ; 뎀</v>
      </c>
    </row>
    <row r="481" customFormat="false" ht="17.9" hidden="false" customHeight="true" outlineLevel="0" collapsed="false">
      <c r="A481" s="16" t="s">
        <v>1355</v>
      </c>
      <c r="B481" s="16" t="n">
        <f aca="false">IF(_xlfn.UNICODE(A481)&lt;44032,-1,_xlfn.UNICODE(A481)-44032)</f>
        <v>1921</v>
      </c>
      <c r="C481" s="16" t="n">
        <f aca="false">IF(B481=-1,-1,INT((B481/28)/21))</f>
        <v>3</v>
      </c>
      <c r="D481" s="16" t="n">
        <f aca="false">IF(B481=-1, -1, MOD(INT(B481/28),21))</f>
        <v>5</v>
      </c>
      <c r="E481" s="16" t="n">
        <f aca="false">IF(B481=-1, -1, VLOOKUP(MOD(B481,28), $T$24:$U$52,2))</f>
        <v>17</v>
      </c>
      <c r="F481" s="16" t="n">
        <f aca="false">IF($B481=-1, -1, VLOOKUP(C481,$T$1:$V$20, 2))</f>
        <v>9</v>
      </c>
      <c r="G481" s="16" t="n">
        <f aca="false">IF($B481=-1, -1, VLOOKUP(D481,$Y$1:$Z$22,2))</f>
        <v>18</v>
      </c>
      <c r="H481" s="16" t="str">
        <f aca="false">_xlfn.UNICHAR(((F481*21)+G481)*28+44032)</f>
        <v>스</v>
      </c>
      <c r="I481" s="16" t="n">
        <f aca="false">IF(B481=-1, 1, COUNTIF($A$2:$A$3000, H481))</f>
        <v>1</v>
      </c>
      <c r="J481" s="10" t="str">
        <f aca="false">_xlfn.CONCAT(A481, ",",H481,",",I481)</f>
        <v>뎁,스,1</v>
      </c>
      <c r="K481" s="16" t="n">
        <f aca="false">IF(B481=-1,-1,VLOOKUP(C481,$T$1:$V$20,3))</f>
        <v>5</v>
      </c>
      <c r="L481" s="16" t="n">
        <f aca="false">IF(B481=-1,-1,VLOOKUP(D481,$Y$1:$AA$22,3))</f>
        <v>10</v>
      </c>
      <c r="N481" s="10" t="str">
        <f aca="false">_xlfn.UNICHAR(((C481*21)+G481)*28+44032)</f>
        <v>드</v>
      </c>
      <c r="O481" s="10" t="str">
        <f aca="false">_xlfn.UNICHAR(((F481*21)+D481)*28+44032)</f>
        <v>세</v>
      </c>
      <c r="P481" s="12" t="n">
        <f aca="false">COUNTIF($A$2:$A$3000, N481) + COUNTIF($A$2:$A$3000, O481)</f>
        <v>2</v>
      </c>
      <c r="Q481" s="16" t="str">
        <f aca="false">IF(OR(B481=-1,I481=0, P481&lt;&gt;2), "albhed_dummy", _xlfn.CONCAT("albhed ", RIGHT("  " &amp; K481,2),", ", RIGHT("  " &amp; L481,2), ", " ,"""",H481,""", ", """",N481,""", ","""",O481,""""," ; ", A481))</f>
        <v>albhed  5, 10, "스", "드", "세" ; 뎁</v>
      </c>
    </row>
    <row r="482" customFormat="false" ht="17.9" hidden="false" customHeight="true" outlineLevel="0" collapsed="false">
      <c r="A482" s="16" t="s">
        <v>1356</v>
      </c>
      <c r="B482" s="16" t="n">
        <f aca="false">IF(_xlfn.UNICODE(A482)&lt;44032,-1,_xlfn.UNICODE(A482)-44032)</f>
        <v>1923</v>
      </c>
      <c r="C482" s="16" t="n">
        <f aca="false">IF(B482=-1,-1,INT((B482/28)/21))</f>
        <v>3</v>
      </c>
      <c r="D482" s="16" t="n">
        <f aca="false">IF(B482=-1, -1, MOD(INT(B482/28),21))</f>
        <v>5</v>
      </c>
      <c r="E482" s="16" t="n">
        <f aca="false">IF(B482=-1, -1, VLOOKUP(MOD(B482,28), $T$24:$U$52,2))</f>
        <v>19</v>
      </c>
      <c r="F482" s="16" t="n">
        <f aca="false">IF($B482=-1, -1, VLOOKUP(C482,$T$1:$V$20, 2))</f>
        <v>9</v>
      </c>
      <c r="G482" s="16" t="n">
        <f aca="false">IF($B482=-1, -1, VLOOKUP(D482,$Y$1:$Z$22,2))</f>
        <v>18</v>
      </c>
      <c r="H482" s="16" t="str">
        <f aca="false">_xlfn.UNICHAR(((F482*21)+G482)*28+44032)</f>
        <v>스</v>
      </c>
      <c r="I482" s="16" t="n">
        <f aca="false">IF(B482=-1, 1, COUNTIF($A$2:$A$3000, H482))</f>
        <v>1</v>
      </c>
      <c r="J482" s="10" t="str">
        <f aca="false">_xlfn.CONCAT(A482, ",",H482,",",I482)</f>
        <v>뎃,스,1</v>
      </c>
      <c r="K482" s="16" t="n">
        <f aca="false">IF(B482=-1,-1,VLOOKUP(C482,$T$1:$V$20,3))</f>
        <v>5</v>
      </c>
      <c r="L482" s="16" t="n">
        <f aca="false">IF(B482=-1,-1,VLOOKUP(D482,$Y$1:$AA$22,3))</f>
        <v>10</v>
      </c>
      <c r="N482" s="10" t="str">
        <f aca="false">_xlfn.UNICHAR(((C482*21)+G482)*28+44032)</f>
        <v>드</v>
      </c>
      <c r="O482" s="10" t="str">
        <f aca="false">_xlfn.UNICHAR(((F482*21)+D482)*28+44032)</f>
        <v>세</v>
      </c>
      <c r="P482" s="12" t="n">
        <f aca="false">COUNTIF($A$2:$A$3000, N482) + COUNTIF($A$2:$A$3000, O482)</f>
        <v>2</v>
      </c>
      <c r="Q482" s="16" t="str">
        <f aca="false">IF(OR(B482=-1,I482=0, P482&lt;&gt;2), "albhed_dummy", _xlfn.CONCAT("albhed ", RIGHT("  " &amp; K482,2),", ", RIGHT("  " &amp; L482,2), ", " ,"""",H482,""", ", """",N482,""", ","""",O482,""""," ; ", A482))</f>
        <v>albhed  5, 10, "스", "드", "세" ; 뎃</v>
      </c>
    </row>
    <row r="483" customFormat="false" ht="17.9" hidden="false" customHeight="true" outlineLevel="0" collapsed="false">
      <c r="A483" s="16" t="s">
        <v>1357</v>
      </c>
      <c r="B483" s="16" t="n">
        <f aca="false">IF(_xlfn.UNICODE(A483)&lt;44032,-1,_xlfn.UNICODE(A483)-44032)</f>
        <v>1924</v>
      </c>
      <c r="C483" s="16" t="n">
        <f aca="false">IF(B483=-1,-1,INT((B483/28)/21))</f>
        <v>3</v>
      </c>
      <c r="D483" s="16" t="n">
        <f aca="false">IF(B483=-1, -1, MOD(INT(B483/28),21))</f>
        <v>5</v>
      </c>
      <c r="E483" s="16" t="n">
        <f aca="false">IF(B483=-1, -1, VLOOKUP(MOD(B483,28), $T$24:$U$52,2))</f>
        <v>19</v>
      </c>
      <c r="F483" s="16" t="n">
        <f aca="false">IF($B483=-1, -1, VLOOKUP(C483,$T$1:$V$20, 2))</f>
        <v>9</v>
      </c>
      <c r="G483" s="16" t="n">
        <f aca="false">IF($B483=-1, -1, VLOOKUP(D483,$Y$1:$Z$22,2))</f>
        <v>18</v>
      </c>
      <c r="H483" s="16" t="str">
        <f aca="false">_xlfn.UNICHAR(((F483*21)+G483)*28+44032)</f>
        <v>스</v>
      </c>
      <c r="I483" s="16" t="n">
        <f aca="false">IF(B483=-1, 1, COUNTIF($A$2:$A$3000, H483))</f>
        <v>1</v>
      </c>
      <c r="J483" s="10" t="str">
        <f aca="false">_xlfn.CONCAT(A483, ",",H483,",",I483)</f>
        <v>뎄,스,1</v>
      </c>
      <c r="K483" s="16" t="n">
        <f aca="false">IF(B483=-1,-1,VLOOKUP(C483,$T$1:$V$20,3))</f>
        <v>5</v>
      </c>
      <c r="L483" s="16" t="n">
        <f aca="false">IF(B483=-1,-1,VLOOKUP(D483,$Y$1:$AA$22,3))</f>
        <v>10</v>
      </c>
      <c r="N483" s="10" t="str">
        <f aca="false">_xlfn.UNICHAR(((C483*21)+G483)*28+44032)</f>
        <v>드</v>
      </c>
      <c r="O483" s="10" t="str">
        <f aca="false">_xlfn.UNICHAR(((F483*21)+D483)*28+44032)</f>
        <v>세</v>
      </c>
      <c r="P483" s="12" t="n">
        <f aca="false">COUNTIF($A$2:$A$3000, N483) + COUNTIF($A$2:$A$3000, O483)</f>
        <v>2</v>
      </c>
      <c r="Q483" s="16" t="str">
        <f aca="false">IF(OR(B483=-1,I483=0, P483&lt;&gt;2), "albhed_dummy", _xlfn.CONCAT("albhed ", RIGHT("  " &amp; K483,2),", ", RIGHT("  " &amp; L483,2), ", " ,"""",H483,""", ", """",N483,""", ","""",O483,""""," ; ", A483))</f>
        <v>albhed  5, 10, "스", "드", "세" ; 뎄</v>
      </c>
    </row>
    <row r="484" customFormat="false" ht="17.9" hidden="false" customHeight="true" outlineLevel="0" collapsed="false">
      <c r="A484" s="16" t="s">
        <v>1358</v>
      </c>
      <c r="B484" s="16" t="n">
        <f aca="false">IF(_xlfn.UNICODE(A484)&lt;44032,-1,_xlfn.UNICODE(A484)-44032)</f>
        <v>1925</v>
      </c>
      <c r="C484" s="16" t="n">
        <f aca="false">IF(B484=-1,-1,INT((B484/28)/21))</f>
        <v>3</v>
      </c>
      <c r="D484" s="16" t="n">
        <f aca="false">IF(B484=-1, -1, MOD(INT(B484/28),21))</f>
        <v>5</v>
      </c>
      <c r="E484" s="16" t="n">
        <f aca="false">IF(B484=-1, -1, VLOOKUP(MOD(B484,28), $T$24:$U$52,2))</f>
        <v>21</v>
      </c>
      <c r="F484" s="16" t="n">
        <f aca="false">IF($B484=-1, -1, VLOOKUP(C484,$T$1:$V$20, 2))</f>
        <v>9</v>
      </c>
      <c r="G484" s="16" t="n">
        <f aca="false">IF($B484=-1, -1, VLOOKUP(D484,$Y$1:$Z$22,2))</f>
        <v>18</v>
      </c>
      <c r="H484" s="16" t="str">
        <f aca="false">_xlfn.UNICHAR(((F484*21)+G484)*28+44032)</f>
        <v>스</v>
      </c>
      <c r="I484" s="16" t="n">
        <f aca="false">IF(B484=-1, 1, COUNTIF($A$2:$A$3000, H484))</f>
        <v>1</v>
      </c>
      <c r="J484" s="10" t="str">
        <f aca="false">_xlfn.CONCAT(A484, ",",H484,",",I484)</f>
        <v>뎅,스,1</v>
      </c>
      <c r="K484" s="16" t="n">
        <f aca="false">IF(B484=-1,-1,VLOOKUP(C484,$T$1:$V$20,3))</f>
        <v>5</v>
      </c>
      <c r="L484" s="16" t="n">
        <f aca="false">IF(B484=-1,-1,VLOOKUP(D484,$Y$1:$AA$22,3))</f>
        <v>10</v>
      </c>
      <c r="N484" s="10" t="str">
        <f aca="false">_xlfn.UNICHAR(((C484*21)+G484)*28+44032)</f>
        <v>드</v>
      </c>
      <c r="O484" s="10" t="str">
        <f aca="false">_xlfn.UNICHAR(((F484*21)+D484)*28+44032)</f>
        <v>세</v>
      </c>
      <c r="P484" s="12" t="n">
        <f aca="false">COUNTIF($A$2:$A$3000, N484) + COUNTIF($A$2:$A$3000, O484)</f>
        <v>2</v>
      </c>
      <c r="Q484" s="16" t="str">
        <f aca="false">IF(OR(B484=-1,I484=0, P484&lt;&gt;2), "albhed_dummy", _xlfn.CONCAT("albhed ", RIGHT("  " &amp; K484,2),", ", RIGHT("  " &amp; L484,2), ", " ,"""",H484,""", ", """",N484,""", ","""",O484,""""," ; ", A484))</f>
        <v>albhed  5, 10, "스", "드", "세" ; 뎅</v>
      </c>
    </row>
    <row r="485" customFormat="false" ht="17.9" hidden="false" customHeight="true" outlineLevel="0" collapsed="false">
      <c r="A485" s="16" t="s">
        <v>1359</v>
      </c>
      <c r="B485" s="16" t="n">
        <f aca="false">IF(_xlfn.UNICODE(A485)&lt;44032,-1,_xlfn.UNICODE(A485)-44032)</f>
        <v>1932</v>
      </c>
      <c r="C485" s="16" t="n">
        <f aca="false">IF(B485=-1,-1,INT((B485/28)/21))</f>
        <v>3</v>
      </c>
      <c r="D485" s="16" t="n">
        <f aca="false">IF(B485=-1, -1, MOD(INT(B485/28),21))</f>
        <v>6</v>
      </c>
      <c r="E485" s="16" t="n">
        <f aca="false">IF(B485=-1, -1, VLOOKUP(MOD(B485,28), $T$24:$U$52,2))</f>
        <v>0</v>
      </c>
      <c r="F485" s="16" t="n">
        <f aca="false">IF($B485=-1, -1, VLOOKUP(C485,$T$1:$V$20, 2))</f>
        <v>9</v>
      </c>
      <c r="G485" s="16" t="n">
        <f aca="false">IF($B485=-1, -1, VLOOKUP(D485,$Y$1:$Z$22,2))</f>
        <v>12</v>
      </c>
      <c r="H485" s="16" t="str">
        <f aca="false">_xlfn.UNICHAR(((F485*21)+G485)*28+44032)</f>
        <v>쇼</v>
      </c>
      <c r="I485" s="16" t="n">
        <f aca="false">IF(B485=-1, 1, COUNTIF($A$2:$A$3000, H485))</f>
        <v>1</v>
      </c>
      <c r="J485" s="10" t="str">
        <f aca="false">_xlfn.CONCAT(A485, ",",H485,",",I485)</f>
        <v>뎌,쇼,1</v>
      </c>
      <c r="K485" s="16" t="n">
        <f aca="false">IF(B485=-1,-1,VLOOKUP(C485,$T$1:$V$20,3))</f>
        <v>5</v>
      </c>
      <c r="L485" s="16" t="n">
        <f aca="false">IF(B485=-1,-1,VLOOKUP(D485,$Y$1:$AA$22,3))</f>
        <v>4</v>
      </c>
      <c r="N485" s="10" t="str">
        <f aca="false">_xlfn.UNICHAR(((C485*21)+G485)*28+44032)</f>
        <v>됴</v>
      </c>
      <c r="O485" s="10" t="str">
        <f aca="false">_xlfn.UNICHAR(((F485*21)+D485)*28+44032)</f>
        <v>셔</v>
      </c>
      <c r="P485" s="12" t="n">
        <f aca="false">COUNTIF($A$2:$A$3000, N485) + COUNTIF($A$2:$A$3000, O485)</f>
        <v>2</v>
      </c>
      <c r="Q485" s="16" t="str">
        <f aca="false">IF(OR(B485=-1,I485=0, P485&lt;&gt;2), "albhed_dummy", _xlfn.CONCAT("albhed ", RIGHT("  " &amp; K485,2),", ", RIGHT("  " &amp; L485,2), ", " ,"""",H485,""", ", """",N485,""", ","""",O485,""""," ; ", A485))</f>
        <v>albhed  5,  4, "쇼", "됴", "셔" ; 뎌</v>
      </c>
    </row>
    <row r="486" customFormat="false" ht="17.9" hidden="false" customHeight="true" outlineLevel="0" collapsed="false">
      <c r="A486" s="16" t="s">
        <v>1360</v>
      </c>
      <c r="B486" s="16" t="n">
        <f aca="false">IF(_xlfn.UNICODE(A486)&lt;44032,-1,_xlfn.UNICODE(A486)-44032)</f>
        <v>1936</v>
      </c>
      <c r="C486" s="16" t="n">
        <f aca="false">IF(B486=-1,-1,INT((B486/28)/21))</f>
        <v>3</v>
      </c>
      <c r="D486" s="16" t="n">
        <f aca="false">IF(B486=-1, -1, MOD(INT(B486/28),21))</f>
        <v>6</v>
      </c>
      <c r="E486" s="16" t="n">
        <f aca="false">IF(B486=-1, -1, VLOOKUP(MOD(B486,28), $T$24:$U$52,2))</f>
        <v>4</v>
      </c>
      <c r="F486" s="16" t="n">
        <f aca="false">IF($B486=-1, -1, VLOOKUP(C486,$T$1:$V$20, 2))</f>
        <v>9</v>
      </c>
      <c r="G486" s="16" t="n">
        <f aca="false">IF($B486=-1, -1, VLOOKUP(D486,$Y$1:$Z$22,2))</f>
        <v>12</v>
      </c>
      <c r="H486" s="16" t="str">
        <f aca="false">_xlfn.UNICHAR(((F486*21)+G486)*28+44032)</f>
        <v>쇼</v>
      </c>
      <c r="I486" s="16" t="n">
        <f aca="false">IF(B486=-1, 1, COUNTIF($A$2:$A$3000, H486))</f>
        <v>1</v>
      </c>
      <c r="J486" s="10" t="str">
        <f aca="false">_xlfn.CONCAT(A486, ",",H486,",",I486)</f>
        <v>뎐,쇼,1</v>
      </c>
      <c r="K486" s="16" t="n">
        <f aca="false">IF(B486=-1,-1,VLOOKUP(C486,$T$1:$V$20,3))</f>
        <v>5</v>
      </c>
      <c r="L486" s="16" t="n">
        <f aca="false">IF(B486=-1,-1,VLOOKUP(D486,$Y$1:$AA$22,3))</f>
        <v>4</v>
      </c>
      <c r="N486" s="10" t="str">
        <f aca="false">_xlfn.UNICHAR(((C486*21)+G486)*28+44032)</f>
        <v>됴</v>
      </c>
      <c r="O486" s="10" t="str">
        <f aca="false">_xlfn.UNICHAR(((F486*21)+D486)*28+44032)</f>
        <v>셔</v>
      </c>
      <c r="P486" s="12" t="n">
        <f aca="false">COUNTIF($A$2:$A$3000, N486) + COUNTIF($A$2:$A$3000, O486)</f>
        <v>2</v>
      </c>
      <c r="Q486" s="16" t="str">
        <f aca="false">IF(OR(B486=-1,I486=0, P486&lt;&gt;2), "albhed_dummy", _xlfn.CONCAT("albhed ", RIGHT("  " &amp; K486,2),", ", RIGHT("  " &amp; L486,2), ", " ,"""",H486,""", ", """",N486,""", ","""",O486,""""," ; ", A486))</f>
        <v>albhed  5,  4, "쇼", "됴", "셔" ; 뎐</v>
      </c>
    </row>
    <row r="487" customFormat="false" ht="17.9" hidden="false" customHeight="true" outlineLevel="0" collapsed="false">
      <c r="A487" s="16" t="s">
        <v>1361</v>
      </c>
      <c r="B487" s="16" t="n">
        <f aca="false">IF(_xlfn.UNICODE(A487)&lt;44032,-1,_xlfn.UNICODE(A487)-44032)</f>
        <v>1940</v>
      </c>
      <c r="C487" s="16" t="n">
        <f aca="false">IF(B487=-1,-1,INT((B487/28)/21))</f>
        <v>3</v>
      </c>
      <c r="D487" s="16" t="n">
        <f aca="false">IF(B487=-1, -1, MOD(INT(B487/28),21))</f>
        <v>6</v>
      </c>
      <c r="E487" s="16" t="n">
        <f aca="false">IF(B487=-1, -1, VLOOKUP(MOD(B487,28), $T$24:$U$52,2))</f>
        <v>8</v>
      </c>
      <c r="F487" s="16" t="n">
        <f aca="false">IF($B487=-1, -1, VLOOKUP(C487,$T$1:$V$20, 2))</f>
        <v>9</v>
      </c>
      <c r="G487" s="16" t="n">
        <f aca="false">IF($B487=-1, -1, VLOOKUP(D487,$Y$1:$Z$22,2))</f>
        <v>12</v>
      </c>
      <c r="H487" s="16" t="str">
        <f aca="false">_xlfn.UNICHAR(((F487*21)+G487)*28+44032)</f>
        <v>쇼</v>
      </c>
      <c r="I487" s="16" t="n">
        <f aca="false">IF(B487=-1, 1, COUNTIF($A$2:$A$3000, H487))</f>
        <v>1</v>
      </c>
      <c r="J487" s="10" t="str">
        <f aca="false">_xlfn.CONCAT(A487, ",",H487,",",I487)</f>
        <v>뎔,쇼,1</v>
      </c>
      <c r="K487" s="16" t="n">
        <f aca="false">IF(B487=-1,-1,VLOOKUP(C487,$T$1:$V$20,3))</f>
        <v>5</v>
      </c>
      <c r="L487" s="16" t="n">
        <f aca="false">IF(B487=-1,-1,VLOOKUP(D487,$Y$1:$AA$22,3))</f>
        <v>4</v>
      </c>
      <c r="N487" s="10" t="str">
        <f aca="false">_xlfn.UNICHAR(((C487*21)+G487)*28+44032)</f>
        <v>됴</v>
      </c>
      <c r="O487" s="10" t="str">
        <f aca="false">_xlfn.UNICHAR(((F487*21)+D487)*28+44032)</f>
        <v>셔</v>
      </c>
      <c r="P487" s="12" t="n">
        <f aca="false">COUNTIF($A$2:$A$3000, N487) + COUNTIF($A$2:$A$3000, O487)</f>
        <v>2</v>
      </c>
      <c r="Q487" s="16" t="str">
        <f aca="false">IF(OR(B487=-1,I487=0, P487&lt;&gt;2), "albhed_dummy", _xlfn.CONCAT("albhed ", RIGHT("  " &amp; K487,2),", ", RIGHT("  " &amp; L487,2), ", " ,"""",H487,""", ", """",N487,""", ","""",O487,""""," ; ", A487))</f>
        <v>albhed  5,  4, "쇼", "됴", "셔" ; 뎔</v>
      </c>
    </row>
    <row r="488" customFormat="false" ht="17.9" hidden="false" customHeight="true" outlineLevel="0" collapsed="false">
      <c r="A488" s="16" t="s">
        <v>1362</v>
      </c>
      <c r="B488" s="16" t="n">
        <f aca="false">IF(_xlfn.UNICODE(A488)&lt;44032,-1,_xlfn.UNICODE(A488)-44032)</f>
        <v>1952</v>
      </c>
      <c r="C488" s="16" t="n">
        <f aca="false">IF(B488=-1,-1,INT((B488/28)/21))</f>
        <v>3</v>
      </c>
      <c r="D488" s="16" t="n">
        <f aca="false">IF(B488=-1, -1, MOD(INT(B488/28),21))</f>
        <v>6</v>
      </c>
      <c r="E488" s="16" t="n">
        <f aca="false">IF(B488=-1, -1, VLOOKUP(MOD(B488,28), $T$24:$U$52,2))</f>
        <v>19</v>
      </c>
      <c r="F488" s="16" t="n">
        <f aca="false">IF($B488=-1, -1, VLOOKUP(C488,$T$1:$V$20, 2))</f>
        <v>9</v>
      </c>
      <c r="G488" s="16" t="n">
        <f aca="false">IF($B488=-1, -1, VLOOKUP(D488,$Y$1:$Z$22,2))</f>
        <v>12</v>
      </c>
      <c r="H488" s="16" t="str">
        <f aca="false">_xlfn.UNICHAR(((F488*21)+G488)*28+44032)</f>
        <v>쇼</v>
      </c>
      <c r="I488" s="16" t="n">
        <f aca="false">IF(B488=-1, 1, COUNTIF($A$2:$A$3000, H488))</f>
        <v>1</v>
      </c>
      <c r="J488" s="10" t="str">
        <f aca="false">_xlfn.CONCAT(A488, ",",H488,",",I488)</f>
        <v>뎠,쇼,1</v>
      </c>
      <c r="K488" s="16" t="n">
        <f aca="false">IF(B488=-1,-1,VLOOKUP(C488,$T$1:$V$20,3))</f>
        <v>5</v>
      </c>
      <c r="L488" s="16" t="n">
        <f aca="false">IF(B488=-1,-1,VLOOKUP(D488,$Y$1:$AA$22,3))</f>
        <v>4</v>
      </c>
      <c r="N488" s="10" t="str">
        <f aca="false">_xlfn.UNICHAR(((C488*21)+G488)*28+44032)</f>
        <v>됴</v>
      </c>
      <c r="O488" s="10" t="str">
        <f aca="false">_xlfn.UNICHAR(((F488*21)+D488)*28+44032)</f>
        <v>셔</v>
      </c>
      <c r="P488" s="12" t="n">
        <f aca="false">COUNTIF($A$2:$A$3000, N488) + COUNTIF($A$2:$A$3000, O488)</f>
        <v>2</v>
      </c>
      <c r="Q488" s="16" t="str">
        <f aca="false">IF(OR(B488=-1,I488=0, P488&lt;&gt;2), "albhed_dummy", _xlfn.CONCAT("albhed ", RIGHT("  " &amp; K488,2),", ", RIGHT("  " &amp; L488,2), ", " ,"""",H488,""", ", """",N488,""", ","""",O488,""""," ; ", A488))</f>
        <v>albhed  5,  4, "쇼", "됴", "셔" ; 뎠</v>
      </c>
    </row>
    <row r="489" customFormat="false" ht="17.9" hidden="false" customHeight="true" outlineLevel="0" collapsed="false">
      <c r="A489" s="16" t="s">
        <v>1363</v>
      </c>
      <c r="B489" s="16" t="n">
        <f aca="false">IF(_xlfn.UNICODE(A489)&lt;44032,-1,_xlfn.UNICODE(A489)-44032)</f>
        <v>1953</v>
      </c>
      <c r="C489" s="16" t="n">
        <f aca="false">IF(B489=-1,-1,INT((B489/28)/21))</f>
        <v>3</v>
      </c>
      <c r="D489" s="16" t="n">
        <f aca="false">IF(B489=-1, -1, MOD(INT(B489/28),21))</f>
        <v>6</v>
      </c>
      <c r="E489" s="16" t="n">
        <f aca="false">IF(B489=-1, -1, VLOOKUP(MOD(B489,28), $T$24:$U$52,2))</f>
        <v>21</v>
      </c>
      <c r="F489" s="16" t="n">
        <f aca="false">IF($B489=-1, -1, VLOOKUP(C489,$T$1:$V$20, 2))</f>
        <v>9</v>
      </c>
      <c r="G489" s="16" t="n">
        <f aca="false">IF($B489=-1, -1, VLOOKUP(D489,$Y$1:$Z$22,2))</f>
        <v>12</v>
      </c>
      <c r="H489" s="16" t="str">
        <f aca="false">_xlfn.UNICHAR(((F489*21)+G489)*28+44032)</f>
        <v>쇼</v>
      </c>
      <c r="I489" s="16" t="n">
        <f aca="false">IF(B489=-1, 1, COUNTIF($A$2:$A$3000, H489))</f>
        <v>1</v>
      </c>
      <c r="J489" s="10" t="str">
        <f aca="false">_xlfn.CONCAT(A489, ",",H489,",",I489)</f>
        <v>뎡,쇼,1</v>
      </c>
      <c r="K489" s="16" t="n">
        <f aca="false">IF(B489=-1,-1,VLOOKUP(C489,$T$1:$V$20,3))</f>
        <v>5</v>
      </c>
      <c r="L489" s="16" t="n">
        <f aca="false">IF(B489=-1,-1,VLOOKUP(D489,$Y$1:$AA$22,3))</f>
        <v>4</v>
      </c>
      <c r="N489" s="10" t="str">
        <f aca="false">_xlfn.UNICHAR(((C489*21)+G489)*28+44032)</f>
        <v>됴</v>
      </c>
      <c r="O489" s="10" t="str">
        <f aca="false">_xlfn.UNICHAR(((F489*21)+D489)*28+44032)</f>
        <v>셔</v>
      </c>
      <c r="P489" s="12" t="n">
        <f aca="false">COUNTIF($A$2:$A$3000, N489) + COUNTIF($A$2:$A$3000, O489)</f>
        <v>2</v>
      </c>
      <c r="Q489" s="16" t="str">
        <f aca="false">IF(OR(B489=-1,I489=0, P489&lt;&gt;2), "albhed_dummy", _xlfn.CONCAT("albhed ", RIGHT("  " &amp; K489,2),", ", RIGHT("  " &amp; L489,2), ", " ,"""",H489,""", ", """",N489,""", ","""",O489,""""," ; ", A489))</f>
        <v>albhed  5,  4, "쇼", "됴", "셔" ; 뎡</v>
      </c>
    </row>
    <row r="490" customFormat="false" ht="17.9" hidden="false" customHeight="true" outlineLevel="0" collapsed="false">
      <c r="A490" s="16" t="s">
        <v>1364</v>
      </c>
      <c r="B490" s="16" t="n">
        <f aca="false">IF(_xlfn.UNICODE(A490)&lt;44032,-1,_xlfn.UNICODE(A490)-44032)</f>
        <v>1960</v>
      </c>
      <c r="C490" s="16" t="n">
        <f aca="false">IF(B490=-1,-1,INT((B490/28)/21))</f>
        <v>3</v>
      </c>
      <c r="D490" s="16" t="n">
        <f aca="false">IF(B490=-1, -1, MOD(INT(B490/28),21))</f>
        <v>7</v>
      </c>
      <c r="E490" s="16" t="n">
        <f aca="false">IF(B490=-1, -1, VLOOKUP(MOD(B490,28), $T$24:$U$52,2))</f>
        <v>0</v>
      </c>
      <c r="F490" s="16" t="n">
        <f aca="false">IF($B490=-1, -1, VLOOKUP(C490,$T$1:$V$20, 2))</f>
        <v>9</v>
      </c>
      <c r="G490" s="16" t="n">
        <f aca="false">IF($B490=-1, -1, VLOOKUP(D490,$Y$1:$Z$22,2))</f>
        <v>18</v>
      </c>
      <c r="H490" s="16" t="str">
        <f aca="false">_xlfn.UNICHAR(((F490*21)+G490)*28+44032)</f>
        <v>스</v>
      </c>
      <c r="I490" s="16" t="n">
        <f aca="false">IF(B490=-1, 1, COUNTIF($A$2:$A$3000, H490))</f>
        <v>1</v>
      </c>
      <c r="J490" s="10" t="str">
        <f aca="false">_xlfn.CONCAT(A490, ",",H490,",",I490)</f>
        <v>뎨,스,1</v>
      </c>
      <c r="K490" s="16" t="n">
        <f aca="false">IF(B490=-1,-1,VLOOKUP(C490,$T$1:$V$20,3))</f>
        <v>5</v>
      </c>
      <c r="L490" s="16" t="n">
        <f aca="false">IF(B490=-1,-1,VLOOKUP(D490,$Y$1:$AA$22,3))</f>
        <v>14</v>
      </c>
      <c r="N490" s="10" t="str">
        <f aca="false">_xlfn.UNICHAR(((C490*21)+G490)*28+44032)</f>
        <v>드</v>
      </c>
      <c r="O490" s="10" t="str">
        <f aca="false">_xlfn.UNICHAR(((F490*21)+D490)*28+44032)</f>
        <v>셰</v>
      </c>
      <c r="P490" s="12" t="n">
        <f aca="false">COUNTIF($A$2:$A$3000, N490) + COUNTIF($A$2:$A$3000, O490)</f>
        <v>2</v>
      </c>
      <c r="Q490" s="16" t="str">
        <f aca="false">IF(OR(B490=-1,I490=0, P490&lt;&gt;2), "albhed_dummy", _xlfn.CONCAT("albhed ", RIGHT("  " &amp; K490,2),", ", RIGHT("  " &amp; L490,2), ", " ,"""",H490,""", ", """",N490,""", ","""",O490,""""," ; ", A490))</f>
        <v>albhed  5, 14, "스", "드", "셰" ; 뎨</v>
      </c>
    </row>
    <row r="491" customFormat="false" ht="17.9" hidden="false" customHeight="true" outlineLevel="0" collapsed="false">
      <c r="A491" s="16" t="s">
        <v>1365</v>
      </c>
      <c r="B491" s="16" t="n">
        <f aca="false">IF(_xlfn.UNICODE(A491)&lt;44032,-1,_xlfn.UNICODE(A491)-44032)</f>
        <v>1964</v>
      </c>
      <c r="C491" s="16" t="n">
        <f aca="false">IF(B491=-1,-1,INT((B491/28)/21))</f>
        <v>3</v>
      </c>
      <c r="D491" s="16" t="n">
        <f aca="false">IF(B491=-1, -1, MOD(INT(B491/28),21))</f>
        <v>7</v>
      </c>
      <c r="E491" s="16" t="n">
        <f aca="false">IF(B491=-1, -1, VLOOKUP(MOD(B491,28), $T$24:$U$52,2))</f>
        <v>4</v>
      </c>
      <c r="F491" s="16" t="n">
        <f aca="false">IF($B491=-1, -1, VLOOKUP(C491,$T$1:$V$20, 2))</f>
        <v>9</v>
      </c>
      <c r="G491" s="16" t="n">
        <f aca="false">IF($B491=-1, -1, VLOOKUP(D491,$Y$1:$Z$22,2))</f>
        <v>18</v>
      </c>
      <c r="H491" s="16" t="str">
        <f aca="false">_xlfn.UNICHAR(((F491*21)+G491)*28+44032)</f>
        <v>스</v>
      </c>
      <c r="I491" s="16" t="n">
        <f aca="false">IF(B491=-1, 1, COUNTIF($A$2:$A$3000, H491))</f>
        <v>1</v>
      </c>
      <c r="J491" s="10" t="str">
        <f aca="false">_xlfn.CONCAT(A491, ",",H491,",",I491)</f>
        <v>뎬,스,1</v>
      </c>
      <c r="K491" s="16" t="n">
        <f aca="false">IF(B491=-1,-1,VLOOKUP(C491,$T$1:$V$20,3))</f>
        <v>5</v>
      </c>
      <c r="L491" s="16" t="n">
        <f aca="false">IF(B491=-1,-1,VLOOKUP(D491,$Y$1:$AA$22,3))</f>
        <v>14</v>
      </c>
      <c r="N491" s="10" t="str">
        <f aca="false">_xlfn.UNICHAR(((C491*21)+G491)*28+44032)</f>
        <v>드</v>
      </c>
      <c r="O491" s="10" t="str">
        <f aca="false">_xlfn.UNICHAR(((F491*21)+D491)*28+44032)</f>
        <v>셰</v>
      </c>
      <c r="P491" s="12" t="n">
        <f aca="false">COUNTIF($A$2:$A$3000, N491) + COUNTIF($A$2:$A$3000, O491)</f>
        <v>2</v>
      </c>
      <c r="Q491" s="16" t="str">
        <f aca="false">IF(OR(B491=-1,I491=0, P491&lt;&gt;2), "albhed_dummy", _xlfn.CONCAT("albhed ", RIGHT("  " &amp; K491,2),", ", RIGHT("  " &amp; L491,2), ", " ,"""",H491,""", ", """",N491,""", ","""",O491,""""," ; ", A491))</f>
        <v>albhed  5, 14, "스", "드", "셰" ; 뎬</v>
      </c>
    </row>
    <row r="492" customFormat="false" ht="17.9" hidden="false" customHeight="true" outlineLevel="0" collapsed="false">
      <c r="A492" s="16" t="s">
        <v>1366</v>
      </c>
      <c r="B492" s="16" t="n">
        <f aca="false">IF(_xlfn.UNICODE(A492)&lt;44032,-1,_xlfn.UNICODE(A492)-44032)</f>
        <v>1988</v>
      </c>
      <c r="C492" s="16" t="n">
        <f aca="false">IF(B492=-1,-1,INT((B492/28)/21))</f>
        <v>3</v>
      </c>
      <c r="D492" s="16" t="n">
        <f aca="false">IF(B492=-1, -1, MOD(INT(B492/28),21))</f>
        <v>8</v>
      </c>
      <c r="E492" s="16" t="n">
        <f aca="false">IF(B492=-1, -1, VLOOKUP(MOD(B492,28), $T$24:$U$52,2))</f>
        <v>0</v>
      </c>
      <c r="F492" s="16" t="n">
        <f aca="false">IF($B492=-1, -1, VLOOKUP(C492,$T$1:$V$20, 2))</f>
        <v>9</v>
      </c>
      <c r="G492" s="16" t="n">
        <f aca="false">IF($B492=-1, -1, VLOOKUP(D492,$Y$1:$Z$22,2))</f>
        <v>4</v>
      </c>
      <c r="H492" s="16" t="str">
        <f aca="false">_xlfn.UNICHAR(((F492*21)+G492)*28+44032)</f>
        <v>서</v>
      </c>
      <c r="I492" s="16" t="n">
        <f aca="false">IF(B492=-1, 1, COUNTIF($A$2:$A$3000, H492))</f>
        <v>1</v>
      </c>
      <c r="J492" s="10" t="str">
        <f aca="false">_xlfn.CONCAT(A492, ",",H492,",",I492)</f>
        <v>도,서,1</v>
      </c>
      <c r="K492" s="16" t="n">
        <f aca="false">IF(B492=-1,-1,VLOOKUP(C492,$T$1:$V$20,3))</f>
        <v>5</v>
      </c>
      <c r="L492" s="16" t="n">
        <f aca="false">IF(B492=-1,-1,VLOOKUP(D492,$Y$1:$AA$22,3))</f>
        <v>8</v>
      </c>
      <c r="N492" s="10" t="str">
        <f aca="false">_xlfn.UNICHAR(((C492*21)+G492)*28+44032)</f>
        <v>더</v>
      </c>
      <c r="O492" s="10" t="str">
        <f aca="false">_xlfn.UNICHAR(((F492*21)+D492)*28+44032)</f>
        <v>소</v>
      </c>
      <c r="P492" s="12" t="n">
        <f aca="false">COUNTIF($A$2:$A$3000, N492) + COUNTIF($A$2:$A$3000, O492)</f>
        <v>2</v>
      </c>
      <c r="Q492" s="16" t="str">
        <f aca="false">IF(OR(B492=-1,I492=0, P492&lt;&gt;2), "albhed_dummy", _xlfn.CONCAT("albhed ", RIGHT("  " &amp; K492,2),", ", RIGHT("  " &amp; L492,2), ", " ,"""",H492,""", ", """",N492,""", ","""",O492,""""," ; ", A492))</f>
        <v>albhed  5,  8, "서", "더", "소" ; 도</v>
      </c>
    </row>
    <row r="493" customFormat="false" ht="17.9" hidden="false" customHeight="true" outlineLevel="0" collapsed="false">
      <c r="A493" s="16" t="s">
        <v>1367</v>
      </c>
      <c r="B493" s="16" t="n">
        <f aca="false">IF(_xlfn.UNICODE(A493)&lt;44032,-1,_xlfn.UNICODE(A493)-44032)</f>
        <v>1989</v>
      </c>
      <c r="C493" s="16" t="n">
        <f aca="false">IF(B493=-1,-1,INT((B493/28)/21))</f>
        <v>3</v>
      </c>
      <c r="D493" s="16" t="n">
        <f aca="false">IF(B493=-1, -1, MOD(INT(B493/28),21))</f>
        <v>8</v>
      </c>
      <c r="E493" s="16" t="n">
        <f aca="false">IF(B493=-1, -1, VLOOKUP(MOD(B493,28), $T$24:$U$52,2))</f>
        <v>1</v>
      </c>
      <c r="F493" s="16" t="n">
        <f aca="false">IF($B493=-1, -1, VLOOKUP(C493,$T$1:$V$20, 2))</f>
        <v>9</v>
      </c>
      <c r="G493" s="16" t="n">
        <f aca="false">IF($B493=-1, -1, VLOOKUP(D493,$Y$1:$Z$22,2))</f>
        <v>4</v>
      </c>
      <c r="H493" s="16" t="str">
        <f aca="false">_xlfn.UNICHAR(((F493*21)+G493)*28+44032)</f>
        <v>서</v>
      </c>
      <c r="I493" s="16" t="n">
        <f aca="false">IF(B493=-1, 1, COUNTIF($A$2:$A$3000, H493))</f>
        <v>1</v>
      </c>
      <c r="J493" s="10" t="str">
        <f aca="false">_xlfn.CONCAT(A493, ",",H493,",",I493)</f>
        <v>독,서,1</v>
      </c>
      <c r="K493" s="16" t="n">
        <f aca="false">IF(B493=-1,-1,VLOOKUP(C493,$T$1:$V$20,3))</f>
        <v>5</v>
      </c>
      <c r="L493" s="16" t="n">
        <f aca="false">IF(B493=-1,-1,VLOOKUP(D493,$Y$1:$AA$22,3))</f>
        <v>8</v>
      </c>
      <c r="N493" s="10" t="str">
        <f aca="false">_xlfn.UNICHAR(((C493*21)+G493)*28+44032)</f>
        <v>더</v>
      </c>
      <c r="O493" s="10" t="str">
        <f aca="false">_xlfn.UNICHAR(((F493*21)+D493)*28+44032)</f>
        <v>소</v>
      </c>
      <c r="P493" s="12" t="n">
        <f aca="false">COUNTIF($A$2:$A$3000, N493) + COUNTIF($A$2:$A$3000, O493)</f>
        <v>2</v>
      </c>
      <c r="Q493" s="16" t="str">
        <f aca="false">IF(OR(B493=-1,I493=0, P493&lt;&gt;2), "albhed_dummy", _xlfn.CONCAT("albhed ", RIGHT("  " &amp; K493,2),", ", RIGHT("  " &amp; L493,2), ", " ,"""",H493,""", ", """",N493,""", ","""",O493,""""," ; ", A493))</f>
        <v>albhed  5,  8, "서", "더", "소" ; 독</v>
      </c>
    </row>
    <row r="494" customFormat="false" ht="17.9" hidden="false" customHeight="true" outlineLevel="0" collapsed="false">
      <c r="A494" s="16" t="s">
        <v>1368</v>
      </c>
      <c r="B494" s="16" t="n">
        <f aca="false">IF(_xlfn.UNICODE(A494)&lt;44032,-1,_xlfn.UNICODE(A494)-44032)</f>
        <v>1992</v>
      </c>
      <c r="C494" s="16" t="n">
        <f aca="false">IF(B494=-1,-1,INT((B494/28)/21))</f>
        <v>3</v>
      </c>
      <c r="D494" s="16" t="n">
        <f aca="false">IF(B494=-1, -1, MOD(INT(B494/28),21))</f>
        <v>8</v>
      </c>
      <c r="E494" s="16" t="n">
        <f aca="false">IF(B494=-1, -1, VLOOKUP(MOD(B494,28), $T$24:$U$52,2))</f>
        <v>4</v>
      </c>
      <c r="F494" s="16" t="n">
        <f aca="false">IF($B494=-1, -1, VLOOKUP(C494,$T$1:$V$20, 2))</f>
        <v>9</v>
      </c>
      <c r="G494" s="16" t="n">
        <f aca="false">IF($B494=-1, -1, VLOOKUP(D494,$Y$1:$Z$22,2))</f>
        <v>4</v>
      </c>
      <c r="H494" s="16" t="str">
        <f aca="false">_xlfn.UNICHAR(((F494*21)+G494)*28+44032)</f>
        <v>서</v>
      </c>
      <c r="I494" s="16" t="n">
        <f aca="false">IF(B494=-1, 1, COUNTIF($A$2:$A$3000, H494))</f>
        <v>1</v>
      </c>
      <c r="J494" s="10" t="str">
        <f aca="false">_xlfn.CONCAT(A494, ",",H494,",",I494)</f>
        <v>돈,서,1</v>
      </c>
      <c r="K494" s="16" t="n">
        <f aca="false">IF(B494=-1,-1,VLOOKUP(C494,$T$1:$V$20,3))</f>
        <v>5</v>
      </c>
      <c r="L494" s="16" t="n">
        <f aca="false">IF(B494=-1,-1,VLOOKUP(D494,$Y$1:$AA$22,3))</f>
        <v>8</v>
      </c>
      <c r="N494" s="10" t="str">
        <f aca="false">_xlfn.UNICHAR(((C494*21)+G494)*28+44032)</f>
        <v>더</v>
      </c>
      <c r="O494" s="10" t="str">
        <f aca="false">_xlfn.UNICHAR(((F494*21)+D494)*28+44032)</f>
        <v>소</v>
      </c>
      <c r="P494" s="12" t="n">
        <f aca="false">COUNTIF($A$2:$A$3000, N494) + COUNTIF($A$2:$A$3000, O494)</f>
        <v>2</v>
      </c>
      <c r="Q494" s="16" t="str">
        <f aca="false">IF(OR(B494=-1,I494=0, P494&lt;&gt;2), "albhed_dummy", _xlfn.CONCAT("albhed ", RIGHT("  " &amp; K494,2),", ", RIGHT("  " &amp; L494,2), ", " ,"""",H494,""", ", """",N494,""", ","""",O494,""""," ; ", A494))</f>
        <v>albhed  5,  8, "서", "더", "소" ; 돈</v>
      </c>
    </row>
    <row r="495" customFormat="false" ht="17.9" hidden="false" customHeight="true" outlineLevel="0" collapsed="false">
      <c r="A495" s="16" t="s">
        <v>1369</v>
      </c>
      <c r="B495" s="16" t="n">
        <f aca="false">IF(_xlfn.UNICODE(A495)&lt;44032,-1,_xlfn.UNICODE(A495)-44032)</f>
        <v>1995</v>
      </c>
      <c r="C495" s="16" t="n">
        <f aca="false">IF(B495=-1,-1,INT((B495/28)/21))</f>
        <v>3</v>
      </c>
      <c r="D495" s="16" t="n">
        <f aca="false">IF(B495=-1, -1, MOD(INT(B495/28),21))</f>
        <v>8</v>
      </c>
      <c r="E495" s="16" t="n">
        <f aca="false">IF(B495=-1, -1, VLOOKUP(MOD(B495,28), $T$24:$U$52,2))</f>
        <v>19</v>
      </c>
      <c r="F495" s="16" t="n">
        <f aca="false">IF($B495=-1, -1, VLOOKUP(C495,$T$1:$V$20, 2))</f>
        <v>9</v>
      </c>
      <c r="G495" s="16" t="n">
        <f aca="false">IF($B495=-1, -1, VLOOKUP(D495,$Y$1:$Z$22,2))</f>
        <v>4</v>
      </c>
      <c r="H495" s="16" t="str">
        <f aca="false">_xlfn.UNICHAR(((F495*21)+G495)*28+44032)</f>
        <v>서</v>
      </c>
      <c r="I495" s="16" t="n">
        <f aca="false">IF(B495=-1, 1, COUNTIF($A$2:$A$3000, H495))</f>
        <v>1</v>
      </c>
      <c r="J495" s="10" t="str">
        <f aca="false">_xlfn.CONCAT(A495, ",",H495,",",I495)</f>
        <v>돋,서,1</v>
      </c>
      <c r="K495" s="16" t="n">
        <f aca="false">IF(B495=-1,-1,VLOOKUP(C495,$T$1:$V$20,3))</f>
        <v>5</v>
      </c>
      <c r="L495" s="16" t="n">
        <f aca="false">IF(B495=-1,-1,VLOOKUP(D495,$Y$1:$AA$22,3))</f>
        <v>8</v>
      </c>
      <c r="N495" s="10" t="str">
        <f aca="false">_xlfn.UNICHAR(((C495*21)+G495)*28+44032)</f>
        <v>더</v>
      </c>
      <c r="O495" s="10" t="str">
        <f aca="false">_xlfn.UNICHAR(((F495*21)+D495)*28+44032)</f>
        <v>소</v>
      </c>
      <c r="P495" s="12" t="n">
        <f aca="false">COUNTIF($A$2:$A$3000, N495) + COUNTIF($A$2:$A$3000, O495)</f>
        <v>2</v>
      </c>
      <c r="Q495" s="16" t="str">
        <f aca="false">IF(OR(B495=-1,I495=0, P495&lt;&gt;2), "albhed_dummy", _xlfn.CONCAT("albhed ", RIGHT("  " &amp; K495,2),", ", RIGHT("  " &amp; L495,2), ", " ,"""",H495,""", ", """",N495,""", ","""",O495,""""," ; ", A495))</f>
        <v>albhed  5,  8, "서", "더", "소" ; 돋</v>
      </c>
    </row>
    <row r="496" customFormat="false" ht="17.9" hidden="false" customHeight="true" outlineLevel="0" collapsed="false">
      <c r="A496" s="16" t="s">
        <v>1370</v>
      </c>
      <c r="B496" s="16" t="n">
        <f aca="false">IF(_xlfn.UNICODE(A496)&lt;44032,-1,_xlfn.UNICODE(A496)-44032)</f>
        <v>1996</v>
      </c>
      <c r="C496" s="16" t="n">
        <f aca="false">IF(B496=-1,-1,INT((B496/28)/21))</f>
        <v>3</v>
      </c>
      <c r="D496" s="16" t="n">
        <f aca="false">IF(B496=-1, -1, MOD(INT(B496/28),21))</f>
        <v>8</v>
      </c>
      <c r="E496" s="16" t="n">
        <f aca="false">IF(B496=-1, -1, VLOOKUP(MOD(B496,28), $T$24:$U$52,2))</f>
        <v>8</v>
      </c>
      <c r="F496" s="16" t="n">
        <f aca="false">IF($B496=-1, -1, VLOOKUP(C496,$T$1:$V$20, 2))</f>
        <v>9</v>
      </c>
      <c r="G496" s="16" t="n">
        <f aca="false">IF($B496=-1, -1, VLOOKUP(D496,$Y$1:$Z$22,2))</f>
        <v>4</v>
      </c>
      <c r="H496" s="16" t="str">
        <f aca="false">_xlfn.UNICHAR(((F496*21)+G496)*28+44032)</f>
        <v>서</v>
      </c>
      <c r="I496" s="16" t="n">
        <f aca="false">IF(B496=-1, 1, COUNTIF($A$2:$A$3000, H496))</f>
        <v>1</v>
      </c>
      <c r="J496" s="10" t="str">
        <f aca="false">_xlfn.CONCAT(A496, ",",H496,",",I496)</f>
        <v>돌,서,1</v>
      </c>
      <c r="K496" s="16" t="n">
        <f aca="false">IF(B496=-1,-1,VLOOKUP(C496,$T$1:$V$20,3))</f>
        <v>5</v>
      </c>
      <c r="L496" s="16" t="n">
        <f aca="false">IF(B496=-1,-1,VLOOKUP(D496,$Y$1:$AA$22,3))</f>
        <v>8</v>
      </c>
      <c r="N496" s="10" t="str">
        <f aca="false">_xlfn.UNICHAR(((C496*21)+G496)*28+44032)</f>
        <v>더</v>
      </c>
      <c r="O496" s="10" t="str">
        <f aca="false">_xlfn.UNICHAR(((F496*21)+D496)*28+44032)</f>
        <v>소</v>
      </c>
      <c r="P496" s="12" t="n">
        <f aca="false">COUNTIF($A$2:$A$3000, N496) + COUNTIF($A$2:$A$3000, O496)</f>
        <v>2</v>
      </c>
      <c r="Q496" s="16" t="str">
        <f aca="false">IF(OR(B496=-1,I496=0, P496&lt;&gt;2), "albhed_dummy", _xlfn.CONCAT("albhed ", RIGHT("  " &amp; K496,2),", ", RIGHT("  " &amp; L496,2), ", " ,"""",H496,""", ", """",N496,""", ","""",O496,""""," ; ", A496))</f>
        <v>albhed  5,  8, "서", "더", "소" ; 돌</v>
      </c>
    </row>
    <row r="497" customFormat="false" ht="17.9" hidden="false" customHeight="true" outlineLevel="0" collapsed="false">
      <c r="A497" s="16" t="s">
        <v>1371</v>
      </c>
      <c r="B497" s="16" t="n">
        <f aca="false">IF(_xlfn.UNICODE(A497)&lt;44032,-1,_xlfn.UNICODE(A497)-44032)</f>
        <v>1998</v>
      </c>
      <c r="C497" s="16" t="n">
        <f aca="false">IF(B497=-1,-1,INT((B497/28)/21))</f>
        <v>3</v>
      </c>
      <c r="D497" s="16" t="n">
        <f aca="false">IF(B497=-1, -1, MOD(INT(B497/28),21))</f>
        <v>8</v>
      </c>
      <c r="E497" s="16" t="n">
        <f aca="false">IF(B497=-1, -1, VLOOKUP(MOD(B497,28), $T$24:$U$52,2))</f>
        <v>8</v>
      </c>
      <c r="F497" s="16" t="n">
        <f aca="false">IF($B497=-1, -1, VLOOKUP(C497,$T$1:$V$20, 2))</f>
        <v>9</v>
      </c>
      <c r="G497" s="16" t="n">
        <f aca="false">IF($B497=-1, -1, VLOOKUP(D497,$Y$1:$Z$22,2))</f>
        <v>4</v>
      </c>
      <c r="H497" s="16" t="str">
        <f aca="false">_xlfn.UNICHAR(((F497*21)+G497)*28+44032)</f>
        <v>서</v>
      </c>
      <c r="I497" s="16" t="n">
        <f aca="false">IF(B497=-1, 1, COUNTIF($A$2:$A$3000, H497))</f>
        <v>1</v>
      </c>
      <c r="J497" s="10" t="str">
        <f aca="false">_xlfn.CONCAT(A497, ",",H497,",",I497)</f>
        <v>돎,서,1</v>
      </c>
      <c r="K497" s="16" t="n">
        <f aca="false">IF(B497=-1,-1,VLOOKUP(C497,$T$1:$V$20,3))</f>
        <v>5</v>
      </c>
      <c r="L497" s="16" t="n">
        <f aca="false">IF(B497=-1,-1,VLOOKUP(D497,$Y$1:$AA$22,3))</f>
        <v>8</v>
      </c>
      <c r="N497" s="10" t="str">
        <f aca="false">_xlfn.UNICHAR(((C497*21)+G497)*28+44032)</f>
        <v>더</v>
      </c>
      <c r="O497" s="10" t="str">
        <f aca="false">_xlfn.UNICHAR(((F497*21)+D497)*28+44032)</f>
        <v>소</v>
      </c>
      <c r="P497" s="12" t="n">
        <f aca="false">COUNTIF($A$2:$A$3000, N497) + COUNTIF($A$2:$A$3000, O497)</f>
        <v>2</v>
      </c>
      <c r="Q497" s="16" t="str">
        <f aca="false">IF(OR(B497=-1,I497=0, P497&lt;&gt;2), "albhed_dummy", _xlfn.CONCAT("albhed ", RIGHT("  " &amp; K497,2),", ", RIGHT("  " &amp; L497,2), ", " ,"""",H497,""", ", """",N497,""", ","""",O497,""""," ; ", A497))</f>
        <v>albhed  5,  8, "서", "더", "소" ; 돎</v>
      </c>
    </row>
    <row r="498" customFormat="false" ht="17.9" hidden="false" customHeight="true" outlineLevel="0" collapsed="false">
      <c r="A498" s="16" t="s">
        <v>1372</v>
      </c>
      <c r="B498" s="16" t="n">
        <f aca="false">IF(_xlfn.UNICODE(A498)&lt;44032,-1,_xlfn.UNICODE(A498)-44032)</f>
        <v>2000</v>
      </c>
      <c r="C498" s="16" t="n">
        <f aca="false">IF(B498=-1,-1,INT((B498/28)/21))</f>
        <v>3</v>
      </c>
      <c r="D498" s="16" t="n">
        <f aca="false">IF(B498=-1, -1, MOD(INT(B498/28),21))</f>
        <v>8</v>
      </c>
      <c r="E498" s="16" t="n">
        <f aca="false">IF(B498=-1, -1, VLOOKUP(MOD(B498,28), $T$24:$U$52,2))</f>
        <v>8</v>
      </c>
      <c r="F498" s="16" t="n">
        <f aca="false">IF($B498=-1, -1, VLOOKUP(C498,$T$1:$V$20, 2))</f>
        <v>9</v>
      </c>
      <c r="G498" s="16" t="n">
        <f aca="false">IF($B498=-1, -1, VLOOKUP(D498,$Y$1:$Z$22,2))</f>
        <v>4</v>
      </c>
      <c r="H498" s="16" t="str">
        <f aca="false">_xlfn.UNICHAR(((F498*21)+G498)*28+44032)</f>
        <v>서</v>
      </c>
      <c r="I498" s="16" t="n">
        <f aca="false">IF(B498=-1, 1, COUNTIF($A$2:$A$3000, H498))</f>
        <v>1</v>
      </c>
      <c r="J498" s="10" t="str">
        <f aca="false">_xlfn.CONCAT(A498, ",",H498,",",I498)</f>
        <v>돐,서,1</v>
      </c>
      <c r="K498" s="16" t="n">
        <f aca="false">IF(B498=-1,-1,VLOOKUP(C498,$T$1:$V$20,3))</f>
        <v>5</v>
      </c>
      <c r="L498" s="16" t="n">
        <f aca="false">IF(B498=-1,-1,VLOOKUP(D498,$Y$1:$AA$22,3))</f>
        <v>8</v>
      </c>
      <c r="N498" s="10" t="str">
        <f aca="false">_xlfn.UNICHAR(((C498*21)+G498)*28+44032)</f>
        <v>더</v>
      </c>
      <c r="O498" s="10" t="str">
        <f aca="false">_xlfn.UNICHAR(((F498*21)+D498)*28+44032)</f>
        <v>소</v>
      </c>
      <c r="P498" s="12" t="n">
        <f aca="false">COUNTIF($A$2:$A$3000, N498) + COUNTIF($A$2:$A$3000, O498)</f>
        <v>2</v>
      </c>
      <c r="Q498" s="16" t="str">
        <f aca="false">IF(OR(B498=-1,I498=0, P498&lt;&gt;2), "albhed_dummy", _xlfn.CONCAT("albhed ", RIGHT("  " &amp; K498,2),", ", RIGHT("  " &amp; L498,2), ", " ,"""",H498,""", ", """",N498,""", ","""",O498,""""," ; ", A498))</f>
        <v>albhed  5,  8, "서", "더", "소" ; 돐</v>
      </c>
    </row>
    <row r="499" customFormat="false" ht="17.9" hidden="false" customHeight="true" outlineLevel="0" collapsed="false">
      <c r="A499" s="16" t="s">
        <v>1373</v>
      </c>
      <c r="B499" s="16" t="n">
        <f aca="false">IF(_xlfn.UNICODE(A499)&lt;44032,-1,_xlfn.UNICODE(A499)-44032)</f>
        <v>2004</v>
      </c>
      <c r="C499" s="16" t="n">
        <f aca="false">IF(B499=-1,-1,INT((B499/28)/21))</f>
        <v>3</v>
      </c>
      <c r="D499" s="16" t="n">
        <f aca="false">IF(B499=-1, -1, MOD(INT(B499/28),21))</f>
        <v>8</v>
      </c>
      <c r="E499" s="16" t="n">
        <f aca="false">IF(B499=-1, -1, VLOOKUP(MOD(B499,28), $T$24:$U$52,2))</f>
        <v>16</v>
      </c>
      <c r="F499" s="16" t="n">
        <f aca="false">IF($B499=-1, -1, VLOOKUP(C499,$T$1:$V$20, 2))</f>
        <v>9</v>
      </c>
      <c r="G499" s="16" t="n">
        <f aca="false">IF($B499=-1, -1, VLOOKUP(D499,$Y$1:$Z$22,2))</f>
        <v>4</v>
      </c>
      <c r="H499" s="16" t="str">
        <f aca="false">_xlfn.UNICHAR(((F499*21)+G499)*28+44032)</f>
        <v>서</v>
      </c>
      <c r="I499" s="16" t="n">
        <f aca="false">IF(B499=-1, 1, COUNTIF($A$2:$A$3000, H499))</f>
        <v>1</v>
      </c>
      <c r="J499" s="10" t="str">
        <f aca="false">_xlfn.CONCAT(A499, ",",H499,",",I499)</f>
        <v>돔,서,1</v>
      </c>
      <c r="K499" s="16" t="n">
        <f aca="false">IF(B499=-1,-1,VLOOKUP(C499,$T$1:$V$20,3))</f>
        <v>5</v>
      </c>
      <c r="L499" s="16" t="n">
        <f aca="false">IF(B499=-1,-1,VLOOKUP(D499,$Y$1:$AA$22,3))</f>
        <v>8</v>
      </c>
      <c r="N499" s="10" t="str">
        <f aca="false">_xlfn.UNICHAR(((C499*21)+G499)*28+44032)</f>
        <v>더</v>
      </c>
      <c r="O499" s="10" t="str">
        <f aca="false">_xlfn.UNICHAR(((F499*21)+D499)*28+44032)</f>
        <v>소</v>
      </c>
      <c r="P499" s="12" t="n">
        <f aca="false">COUNTIF($A$2:$A$3000, N499) + COUNTIF($A$2:$A$3000, O499)</f>
        <v>2</v>
      </c>
      <c r="Q499" s="16" t="str">
        <f aca="false">IF(OR(B499=-1,I499=0, P499&lt;&gt;2), "albhed_dummy", _xlfn.CONCAT("albhed ", RIGHT("  " &amp; K499,2),", ", RIGHT("  " &amp; L499,2), ", " ,"""",H499,""", ", """",N499,""", ","""",O499,""""," ; ", A499))</f>
        <v>albhed  5,  8, "서", "더", "소" ; 돔</v>
      </c>
    </row>
    <row r="500" customFormat="false" ht="17.9" hidden="false" customHeight="true" outlineLevel="0" collapsed="false">
      <c r="A500" s="16" t="s">
        <v>1374</v>
      </c>
      <c r="B500" s="16" t="n">
        <f aca="false">IF(_xlfn.UNICODE(A500)&lt;44032,-1,_xlfn.UNICODE(A500)-44032)</f>
        <v>2005</v>
      </c>
      <c r="C500" s="16" t="n">
        <f aca="false">IF(B500=-1,-1,INT((B500/28)/21))</f>
        <v>3</v>
      </c>
      <c r="D500" s="16" t="n">
        <f aca="false">IF(B500=-1, -1, MOD(INT(B500/28),21))</f>
        <v>8</v>
      </c>
      <c r="E500" s="16" t="n">
        <f aca="false">IF(B500=-1, -1, VLOOKUP(MOD(B500,28), $T$24:$U$52,2))</f>
        <v>17</v>
      </c>
      <c r="F500" s="16" t="n">
        <f aca="false">IF($B500=-1, -1, VLOOKUP(C500,$T$1:$V$20, 2))</f>
        <v>9</v>
      </c>
      <c r="G500" s="16" t="n">
        <f aca="false">IF($B500=-1, -1, VLOOKUP(D500,$Y$1:$Z$22,2))</f>
        <v>4</v>
      </c>
      <c r="H500" s="16" t="str">
        <f aca="false">_xlfn.UNICHAR(((F500*21)+G500)*28+44032)</f>
        <v>서</v>
      </c>
      <c r="I500" s="16" t="n">
        <f aca="false">IF(B500=-1, 1, COUNTIF($A$2:$A$3000, H500))</f>
        <v>1</v>
      </c>
      <c r="J500" s="10" t="str">
        <f aca="false">_xlfn.CONCAT(A500, ",",H500,",",I500)</f>
        <v>돕,서,1</v>
      </c>
      <c r="K500" s="16" t="n">
        <f aca="false">IF(B500=-1,-1,VLOOKUP(C500,$T$1:$V$20,3))</f>
        <v>5</v>
      </c>
      <c r="L500" s="16" t="n">
        <f aca="false">IF(B500=-1,-1,VLOOKUP(D500,$Y$1:$AA$22,3))</f>
        <v>8</v>
      </c>
      <c r="N500" s="10" t="str">
        <f aca="false">_xlfn.UNICHAR(((C500*21)+G500)*28+44032)</f>
        <v>더</v>
      </c>
      <c r="O500" s="10" t="str">
        <f aca="false">_xlfn.UNICHAR(((F500*21)+D500)*28+44032)</f>
        <v>소</v>
      </c>
      <c r="P500" s="12" t="n">
        <f aca="false">COUNTIF($A$2:$A$3000, N500) + COUNTIF($A$2:$A$3000, O500)</f>
        <v>2</v>
      </c>
      <c r="Q500" s="16" t="str">
        <f aca="false">IF(OR(B500=-1,I500=0, P500&lt;&gt;2), "albhed_dummy", _xlfn.CONCAT("albhed ", RIGHT("  " &amp; K500,2),", ", RIGHT("  " &amp; L500,2), ", " ,"""",H500,""", ", """",N500,""", ","""",O500,""""," ; ", A500))</f>
        <v>albhed  5,  8, "서", "더", "소" ; 돕</v>
      </c>
    </row>
    <row r="501" customFormat="false" ht="17.9" hidden="false" customHeight="true" outlineLevel="0" collapsed="false">
      <c r="A501" s="16" t="s">
        <v>1375</v>
      </c>
      <c r="B501" s="16" t="n">
        <f aca="false">IF(_xlfn.UNICODE(A501)&lt;44032,-1,_xlfn.UNICODE(A501)-44032)</f>
        <v>2007</v>
      </c>
      <c r="C501" s="16" t="n">
        <f aca="false">IF(B501=-1,-1,INT((B501/28)/21))</f>
        <v>3</v>
      </c>
      <c r="D501" s="16" t="n">
        <f aca="false">IF(B501=-1, -1, MOD(INT(B501/28),21))</f>
        <v>8</v>
      </c>
      <c r="E501" s="16" t="n">
        <f aca="false">IF(B501=-1, -1, VLOOKUP(MOD(B501,28), $T$24:$U$52,2))</f>
        <v>19</v>
      </c>
      <c r="F501" s="16" t="n">
        <f aca="false">IF($B501=-1, -1, VLOOKUP(C501,$T$1:$V$20, 2))</f>
        <v>9</v>
      </c>
      <c r="G501" s="16" t="n">
        <f aca="false">IF($B501=-1, -1, VLOOKUP(D501,$Y$1:$Z$22,2))</f>
        <v>4</v>
      </c>
      <c r="H501" s="16" t="str">
        <f aca="false">_xlfn.UNICHAR(((F501*21)+G501)*28+44032)</f>
        <v>서</v>
      </c>
      <c r="I501" s="16" t="n">
        <f aca="false">IF(B501=-1, 1, COUNTIF($A$2:$A$3000, H501))</f>
        <v>1</v>
      </c>
      <c r="J501" s="10" t="str">
        <f aca="false">_xlfn.CONCAT(A501, ",",H501,",",I501)</f>
        <v>돗,서,1</v>
      </c>
      <c r="K501" s="16" t="n">
        <f aca="false">IF(B501=-1,-1,VLOOKUP(C501,$T$1:$V$20,3))</f>
        <v>5</v>
      </c>
      <c r="L501" s="16" t="n">
        <f aca="false">IF(B501=-1,-1,VLOOKUP(D501,$Y$1:$AA$22,3))</f>
        <v>8</v>
      </c>
      <c r="N501" s="10" t="str">
        <f aca="false">_xlfn.UNICHAR(((C501*21)+G501)*28+44032)</f>
        <v>더</v>
      </c>
      <c r="O501" s="10" t="str">
        <f aca="false">_xlfn.UNICHAR(((F501*21)+D501)*28+44032)</f>
        <v>소</v>
      </c>
      <c r="P501" s="12" t="n">
        <f aca="false">COUNTIF($A$2:$A$3000, N501) + COUNTIF($A$2:$A$3000, O501)</f>
        <v>2</v>
      </c>
      <c r="Q501" s="16" t="str">
        <f aca="false">IF(OR(B501=-1,I501=0, P501&lt;&gt;2), "albhed_dummy", _xlfn.CONCAT("albhed ", RIGHT("  " &amp; K501,2),", ", RIGHT("  " &amp; L501,2), ", " ,"""",H501,""", ", """",N501,""", ","""",O501,""""," ; ", A501))</f>
        <v>albhed  5,  8, "서", "더", "소" ; 돗</v>
      </c>
    </row>
    <row r="502" customFormat="false" ht="17.9" hidden="false" customHeight="true" outlineLevel="0" collapsed="false">
      <c r="A502" s="16" t="s">
        <v>1376</v>
      </c>
      <c r="B502" s="16" t="n">
        <f aca="false">IF(_xlfn.UNICODE(A502)&lt;44032,-1,_xlfn.UNICODE(A502)-44032)</f>
        <v>2009</v>
      </c>
      <c r="C502" s="16" t="n">
        <f aca="false">IF(B502=-1,-1,INT((B502/28)/21))</f>
        <v>3</v>
      </c>
      <c r="D502" s="16" t="n">
        <f aca="false">IF(B502=-1, -1, MOD(INT(B502/28),21))</f>
        <v>8</v>
      </c>
      <c r="E502" s="16" t="n">
        <f aca="false">IF(B502=-1, -1, VLOOKUP(MOD(B502,28), $T$24:$U$52,2))</f>
        <v>21</v>
      </c>
      <c r="F502" s="16" t="n">
        <f aca="false">IF($B502=-1, -1, VLOOKUP(C502,$T$1:$V$20, 2))</f>
        <v>9</v>
      </c>
      <c r="G502" s="16" t="n">
        <f aca="false">IF($B502=-1, -1, VLOOKUP(D502,$Y$1:$Z$22,2))</f>
        <v>4</v>
      </c>
      <c r="H502" s="16" t="str">
        <f aca="false">_xlfn.UNICHAR(((F502*21)+G502)*28+44032)</f>
        <v>서</v>
      </c>
      <c r="I502" s="16" t="n">
        <f aca="false">IF(B502=-1, 1, COUNTIF($A$2:$A$3000, H502))</f>
        <v>1</v>
      </c>
      <c r="J502" s="10" t="str">
        <f aca="false">_xlfn.CONCAT(A502, ",",H502,",",I502)</f>
        <v>동,서,1</v>
      </c>
      <c r="K502" s="16" t="n">
        <f aca="false">IF(B502=-1,-1,VLOOKUP(C502,$T$1:$V$20,3))</f>
        <v>5</v>
      </c>
      <c r="L502" s="16" t="n">
        <f aca="false">IF(B502=-1,-1,VLOOKUP(D502,$Y$1:$AA$22,3))</f>
        <v>8</v>
      </c>
      <c r="N502" s="10" t="str">
        <f aca="false">_xlfn.UNICHAR(((C502*21)+G502)*28+44032)</f>
        <v>더</v>
      </c>
      <c r="O502" s="10" t="str">
        <f aca="false">_xlfn.UNICHAR(((F502*21)+D502)*28+44032)</f>
        <v>소</v>
      </c>
      <c r="P502" s="12" t="n">
        <f aca="false">COUNTIF($A$2:$A$3000, N502) + COUNTIF($A$2:$A$3000, O502)</f>
        <v>2</v>
      </c>
      <c r="Q502" s="16" t="str">
        <f aca="false">IF(OR(B502=-1,I502=0, P502&lt;&gt;2), "albhed_dummy", _xlfn.CONCAT("albhed ", RIGHT("  " &amp; K502,2),", ", RIGHT("  " &amp; L502,2), ", " ,"""",H502,""", ", """",N502,""", ","""",O502,""""," ; ", A502))</f>
        <v>albhed  5,  8, "서", "더", "소" ; 동</v>
      </c>
    </row>
    <row r="503" customFormat="false" ht="17.9" hidden="false" customHeight="true" outlineLevel="0" collapsed="false">
      <c r="A503" s="16" t="s">
        <v>1377</v>
      </c>
      <c r="B503" s="16" t="n">
        <f aca="false">IF(_xlfn.UNICODE(A503)&lt;44032,-1,_xlfn.UNICODE(A503)-44032)</f>
        <v>2011</v>
      </c>
      <c r="C503" s="16" t="n">
        <f aca="false">IF(B503=-1,-1,INT((B503/28)/21))</f>
        <v>3</v>
      </c>
      <c r="D503" s="16" t="n">
        <f aca="false">IF(B503=-1, -1, MOD(INT(B503/28),21))</f>
        <v>8</v>
      </c>
      <c r="E503" s="16" t="n">
        <f aca="false">IF(B503=-1, -1, VLOOKUP(MOD(B503,28), $T$24:$U$52,2))</f>
        <v>19</v>
      </c>
      <c r="F503" s="16" t="n">
        <f aca="false">IF($B503=-1, -1, VLOOKUP(C503,$T$1:$V$20, 2))</f>
        <v>9</v>
      </c>
      <c r="G503" s="16" t="n">
        <f aca="false">IF($B503=-1, -1, VLOOKUP(D503,$Y$1:$Z$22,2))</f>
        <v>4</v>
      </c>
      <c r="H503" s="16" t="str">
        <f aca="false">_xlfn.UNICHAR(((F503*21)+G503)*28+44032)</f>
        <v>서</v>
      </c>
      <c r="I503" s="16" t="n">
        <f aca="false">IF(B503=-1, 1, COUNTIF($A$2:$A$3000, H503))</f>
        <v>1</v>
      </c>
      <c r="J503" s="10" t="str">
        <f aca="false">_xlfn.CONCAT(A503, ",",H503,",",I503)</f>
        <v>돛,서,1</v>
      </c>
      <c r="K503" s="16" t="n">
        <f aca="false">IF(B503=-1,-1,VLOOKUP(C503,$T$1:$V$20,3))</f>
        <v>5</v>
      </c>
      <c r="L503" s="16" t="n">
        <f aca="false">IF(B503=-1,-1,VLOOKUP(D503,$Y$1:$AA$22,3))</f>
        <v>8</v>
      </c>
      <c r="N503" s="10" t="str">
        <f aca="false">_xlfn.UNICHAR(((C503*21)+G503)*28+44032)</f>
        <v>더</v>
      </c>
      <c r="O503" s="10" t="str">
        <f aca="false">_xlfn.UNICHAR(((F503*21)+D503)*28+44032)</f>
        <v>소</v>
      </c>
      <c r="P503" s="12" t="n">
        <f aca="false">COUNTIF($A$2:$A$3000, N503) + COUNTIF($A$2:$A$3000, O503)</f>
        <v>2</v>
      </c>
      <c r="Q503" s="16" t="str">
        <f aca="false">IF(OR(B503=-1,I503=0, P503&lt;&gt;2), "albhed_dummy", _xlfn.CONCAT("albhed ", RIGHT("  " &amp; K503,2),", ", RIGHT("  " &amp; L503,2), ", " ,"""",H503,""", ", """",N503,""", ","""",O503,""""," ; ", A503))</f>
        <v>albhed  5,  8, "서", "더", "소" ; 돛</v>
      </c>
    </row>
    <row r="504" customFormat="false" ht="17.9" hidden="false" customHeight="true" outlineLevel="0" collapsed="false">
      <c r="A504" s="16" t="s">
        <v>1378</v>
      </c>
      <c r="B504" s="16" t="n">
        <f aca="false">IF(_xlfn.UNICODE(A504)&lt;44032,-1,_xlfn.UNICODE(A504)-44032)</f>
        <v>2013</v>
      </c>
      <c r="C504" s="16" t="n">
        <f aca="false">IF(B504=-1,-1,INT((B504/28)/21))</f>
        <v>3</v>
      </c>
      <c r="D504" s="16" t="n">
        <f aca="false">IF(B504=-1, -1, MOD(INT(B504/28),21))</f>
        <v>8</v>
      </c>
      <c r="E504" s="16" t="n">
        <f aca="false">IF(B504=-1, -1, VLOOKUP(MOD(B504,28), $T$24:$U$52,2))</f>
        <v>19</v>
      </c>
      <c r="F504" s="16" t="n">
        <f aca="false">IF($B504=-1, -1, VLOOKUP(C504,$T$1:$V$20, 2))</f>
        <v>9</v>
      </c>
      <c r="G504" s="16" t="n">
        <f aca="false">IF($B504=-1, -1, VLOOKUP(D504,$Y$1:$Z$22,2))</f>
        <v>4</v>
      </c>
      <c r="H504" s="16" t="str">
        <f aca="false">_xlfn.UNICHAR(((F504*21)+G504)*28+44032)</f>
        <v>서</v>
      </c>
      <c r="I504" s="16" t="n">
        <f aca="false">IF(B504=-1, 1, COUNTIF($A$2:$A$3000, H504))</f>
        <v>1</v>
      </c>
      <c r="J504" s="10" t="str">
        <f aca="false">_xlfn.CONCAT(A504, ",",H504,",",I504)</f>
        <v>돝,서,1</v>
      </c>
      <c r="K504" s="16" t="n">
        <f aca="false">IF(B504=-1,-1,VLOOKUP(C504,$T$1:$V$20,3))</f>
        <v>5</v>
      </c>
      <c r="L504" s="16" t="n">
        <f aca="false">IF(B504=-1,-1,VLOOKUP(D504,$Y$1:$AA$22,3))</f>
        <v>8</v>
      </c>
      <c r="N504" s="10" t="str">
        <f aca="false">_xlfn.UNICHAR(((C504*21)+G504)*28+44032)</f>
        <v>더</v>
      </c>
      <c r="O504" s="10" t="str">
        <f aca="false">_xlfn.UNICHAR(((F504*21)+D504)*28+44032)</f>
        <v>소</v>
      </c>
      <c r="P504" s="12" t="n">
        <f aca="false">COUNTIF($A$2:$A$3000, N504) + COUNTIF($A$2:$A$3000, O504)</f>
        <v>2</v>
      </c>
      <c r="Q504" s="16" t="str">
        <f aca="false">IF(OR(B504=-1,I504=0, P504&lt;&gt;2), "albhed_dummy", _xlfn.CONCAT("albhed ", RIGHT("  " &amp; K504,2),", ", RIGHT("  " &amp; L504,2), ", " ,"""",H504,""", ", """",N504,""", ","""",O504,""""," ; ", A504))</f>
        <v>albhed  5,  8, "서", "더", "소" ; 돝</v>
      </c>
    </row>
    <row r="505" customFormat="false" ht="17.9" hidden="false" customHeight="true" outlineLevel="0" collapsed="false">
      <c r="A505" s="16" t="s">
        <v>1379</v>
      </c>
      <c r="B505" s="16" t="n">
        <f aca="false">IF(_xlfn.UNICODE(A505)&lt;44032,-1,_xlfn.UNICODE(A505)-44032)</f>
        <v>2016</v>
      </c>
      <c r="C505" s="16" t="n">
        <f aca="false">IF(B505=-1,-1,INT((B505/28)/21))</f>
        <v>3</v>
      </c>
      <c r="D505" s="16" t="n">
        <f aca="false">IF(B505=-1, -1, MOD(INT(B505/28),21))</f>
        <v>9</v>
      </c>
      <c r="E505" s="16" t="n">
        <f aca="false">IF(B505=-1, -1, VLOOKUP(MOD(B505,28), $T$24:$U$52,2))</f>
        <v>0</v>
      </c>
      <c r="F505" s="16" t="n">
        <f aca="false">IF($B505=-1, -1, VLOOKUP(C505,$T$1:$V$20, 2))</f>
        <v>9</v>
      </c>
      <c r="G505" s="16" t="n">
        <f aca="false">IF($B505=-1, -1, VLOOKUP(D505,$Y$1:$Z$22,2))</f>
        <v>20</v>
      </c>
      <c r="H505" s="16" t="str">
        <f aca="false">_xlfn.UNICHAR(((F505*21)+G505)*28+44032)</f>
        <v>시</v>
      </c>
      <c r="I505" s="16" t="n">
        <f aca="false">IF(B505=-1, 1, COUNTIF($A$2:$A$3000, H505))</f>
        <v>1</v>
      </c>
      <c r="J505" s="10" t="str">
        <f aca="false">_xlfn.CONCAT(A505, ",",H505,",",I505)</f>
        <v>돠,시,1</v>
      </c>
      <c r="K505" s="16" t="n">
        <f aca="false">IF(B505=-1,-1,VLOOKUP(C505,$T$1:$V$20,3))</f>
        <v>5</v>
      </c>
      <c r="L505" s="16" t="n">
        <f aca="false">IF(B505=-1,-1,VLOOKUP(D505,$Y$1:$AA$22,3))</f>
        <v>12</v>
      </c>
      <c r="N505" s="10" t="str">
        <f aca="false">_xlfn.UNICHAR(((C505*21)+G505)*28+44032)</f>
        <v>디</v>
      </c>
      <c r="O505" s="10" t="str">
        <f aca="false">_xlfn.UNICHAR(((F505*21)+D505)*28+44032)</f>
        <v>솨</v>
      </c>
      <c r="P505" s="12" t="n">
        <f aca="false">COUNTIF($A$2:$A$3000, N505) + COUNTIF($A$2:$A$3000, O505)</f>
        <v>2</v>
      </c>
      <c r="Q505" s="16" t="str">
        <f aca="false">IF(OR(B505=-1,I505=0, P505&lt;&gt;2), "albhed_dummy", _xlfn.CONCAT("albhed ", RIGHT("  " &amp; K505,2),", ", RIGHT("  " &amp; L505,2), ", " ,"""",H505,""", ", """",N505,""", ","""",O505,""""," ; ", A505))</f>
        <v>albhed  5, 12, "시", "디", "솨" ; 돠</v>
      </c>
    </row>
    <row r="506" customFormat="false" ht="17.9" hidden="false" customHeight="true" outlineLevel="0" collapsed="false">
      <c r="A506" s="16" t="s">
        <v>1380</v>
      </c>
      <c r="B506" s="16" t="n">
        <f aca="false">IF(_xlfn.UNICODE(A506)&lt;44032,-1,_xlfn.UNICODE(A506)-44032)</f>
        <v>2020</v>
      </c>
      <c r="C506" s="16" t="n">
        <f aca="false">IF(B506=-1,-1,INT((B506/28)/21))</f>
        <v>3</v>
      </c>
      <c r="D506" s="16" t="n">
        <f aca="false">IF(B506=-1, -1, MOD(INT(B506/28),21))</f>
        <v>9</v>
      </c>
      <c r="E506" s="16" t="n">
        <f aca="false">IF(B506=-1, -1, VLOOKUP(MOD(B506,28), $T$24:$U$52,2))</f>
        <v>4</v>
      </c>
      <c r="F506" s="16" t="n">
        <f aca="false">IF($B506=-1, -1, VLOOKUP(C506,$T$1:$V$20, 2))</f>
        <v>9</v>
      </c>
      <c r="G506" s="16" t="n">
        <f aca="false">IF($B506=-1, -1, VLOOKUP(D506,$Y$1:$Z$22,2))</f>
        <v>20</v>
      </c>
      <c r="H506" s="16" t="str">
        <f aca="false">_xlfn.UNICHAR(((F506*21)+G506)*28+44032)</f>
        <v>시</v>
      </c>
      <c r="I506" s="16" t="n">
        <f aca="false">IF(B506=-1, 1, COUNTIF($A$2:$A$3000, H506))</f>
        <v>1</v>
      </c>
      <c r="J506" s="10" t="str">
        <f aca="false">_xlfn.CONCAT(A506, ",",H506,",",I506)</f>
        <v>돤,시,1</v>
      </c>
      <c r="K506" s="16" t="n">
        <f aca="false">IF(B506=-1,-1,VLOOKUP(C506,$T$1:$V$20,3))</f>
        <v>5</v>
      </c>
      <c r="L506" s="16" t="n">
        <f aca="false">IF(B506=-1,-1,VLOOKUP(D506,$Y$1:$AA$22,3))</f>
        <v>12</v>
      </c>
      <c r="N506" s="10" t="str">
        <f aca="false">_xlfn.UNICHAR(((C506*21)+G506)*28+44032)</f>
        <v>디</v>
      </c>
      <c r="O506" s="10" t="str">
        <f aca="false">_xlfn.UNICHAR(((F506*21)+D506)*28+44032)</f>
        <v>솨</v>
      </c>
      <c r="P506" s="12" t="n">
        <f aca="false">COUNTIF($A$2:$A$3000, N506) + COUNTIF($A$2:$A$3000, O506)</f>
        <v>2</v>
      </c>
      <c r="Q506" s="16" t="str">
        <f aca="false">IF(OR(B506=-1,I506=0, P506&lt;&gt;2), "albhed_dummy", _xlfn.CONCAT("albhed ", RIGHT("  " &amp; K506,2),", ", RIGHT("  " &amp; L506,2), ", " ,"""",H506,""", ", """",N506,""", ","""",O506,""""," ; ", A506))</f>
        <v>albhed  5, 12, "시", "디", "솨" ; 돤</v>
      </c>
    </row>
    <row r="507" customFormat="false" ht="17.9" hidden="false" customHeight="true" outlineLevel="0" collapsed="false">
      <c r="A507" s="16" t="s">
        <v>1381</v>
      </c>
      <c r="B507" s="16" t="n">
        <f aca="false">IF(_xlfn.UNICODE(A507)&lt;44032,-1,_xlfn.UNICODE(A507)-44032)</f>
        <v>2024</v>
      </c>
      <c r="C507" s="16" t="n">
        <f aca="false">IF(B507=-1,-1,INT((B507/28)/21))</f>
        <v>3</v>
      </c>
      <c r="D507" s="16" t="n">
        <f aca="false">IF(B507=-1, -1, MOD(INT(B507/28),21))</f>
        <v>9</v>
      </c>
      <c r="E507" s="16" t="n">
        <f aca="false">IF(B507=-1, -1, VLOOKUP(MOD(B507,28), $T$24:$U$52,2))</f>
        <v>8</v>
      </c>
      <c r="F507" s="16" t="n">
        <f aca="false">IF($B507=-1, -1, VLOOKUP(C507,$T$1:$V$20, 2))</f>
        <v>9</v>
      </c>
      <c r="G507" s="16" t="n">
        <f aca="false">IF($B507=-1, -1, VLOOKUP(D507,$Y$1:$Z$22,2))</f>
        <v>20</v>
      </c>
      <c r="H507" s="16" t="str">
        <f aca="false">_xlfn.UNICHAR(((F507*21)+G507)*28+44032)</f>
        <v>시</v>
      </c>
      <c r="I507" s="16" t="n">
        <f aca="false">IF(B507=-1, 1, COUNTIF($A$2:$A$3000, H507))</f>
        <v>1</v>
      </c>
      <c r="J507" s="10" t="str">
        <f aca="false">_xlfn.CONCAT(A507, ",",H507,",",I507)</f>
        <v>돨,시,1</v>
      </c>
      <c r="K507" s="16" t="n">
        <f aca="false">IF(B507=-1,-1,VLOOKUP(C507,$T$1:$V$20,3))</f>
        <v>5</v>
      </c>
      <c r="L507" s="16" t="n">
        <f aca="false">IF(B507=-1,-1,VLOOKUP(D507,$Y$1:$AA$22,3))</f>
        <v>12</v>
      </c>
      <c r="N507" s="10" t="str">
        <f aca="false">_xlfn.UNICHAR(((C507*21)+G507)*28+44032)</f>
        <v>디</v>
      </c>
      <c r="O507" s="10" t="str">
        <f aca="false">_xlfn.UNICHAR(((F507*21)+D507)*28+44032)</f>
        <v>솨</v>
      </c>
      <c r="P507" s="12" t="n">
        <f aca="false">COUNTIF($A$2:$A$3000, N507) + COUNTIF($A$2:$A$3000, O507)</f>
        <v>2</v>
      </c>
      <c r="Q507" s="16" t="str">
        <f aca="false">IF(OR(B507=-1,I507=0, P507&lt;&gt;2), "albhed_dummy", _xlfn.CONCAT("albhed ", RIGHT("  " &amp; K507,2),", ", RIGHT("  " &amp; L507,2), ", " ,"""",H507,""", ", """",N507,""", ","""",O507,""""," ; ", A507))</f>
        <v>albhed  5, 12, "시", "디", "솨" ; 돨</v>
      </c>
    </row>
    <row r="508" customFormat="false" ht="17.9" hidden="false" customHeight="true" outlineLevel="0" collapsed="false">
      <c r="A508" s="16" t="s">
        <v>1382</v>
      </c>
      <c r="B508" s="16" t="n">
        <f aca="false">IF(_xlfn.UNICODE(A508)&lt;44032,-1,_xlfn.UNICODE(A508)-44032)</f>
        <v>2044</v>
      </c>
      <c r="C508" s="16" t="n">
        <f aca="false">IF(B508=-1,-1,INT((B508/28)/21))</f>
        <v>3</v>
      </c>
      <c r="D508" s="16" t="n">
        <f aca="false">IF(B508=-1, -1, MOD(INT(B508/28),21))</f>
        <v>10</v>
      </c>
      <c r="E508" s="16" t="n">
        <f aca="false">IF(B508=-1, -1, VLOOKUP(MOD(B508,28), $T$24:$U$52,2))</f>
        <v>0</v>
      </c>
      <c r="F508" s="16" t="n">
        <f aca="false">IF($B508=-1, -1, VLOOKUP(C508,$T$1:$V$20, 2))</f>
        <v>9</v>
      </c>
      <c r="G508" s="16" t="n">
        <f aca="false">IF($B508=-1, -1, VLOOKUP(D508,$Y$1:$Z$22,2))</f>
        <v>20</v>
      </c>
      <c r="H508" s="16" t="str">
        <f aca="false">_xlfn.UNICHAR(((F508*21)+G508)*28+44032)</f>
        <v>시</v>
      </c>
      <c r="I508" s="16" t="n">
        <f aca="false">IF(B508=-1, 1, COUNTIF($A$2:$A$3000, H508))</f>
        <v>1</v>
      </c>
      <c r="J508" s="10" t="str">
        <f aca="false">_xlfn.CONCAT(A508, ",",H508,",",I508)</f>
        <v>돼,시,1</v>
      </c>
      <c r="K508" s="16" t="n">
        <f aca="false">IF(B508=-1,-1,VLOOKUP(C508,$T$1:$V$20,3))</f>
        <v>5</v>
      </c>
      <c r="L508" s="16" t="n">
        <f aca="false">IF(B508=-1,-1,VLOOKUP(D508,$Y$1:$AA$22,3))</f>
        <v>12</v>
      </c>
      <c r="N508" s="10" t="str">
        <f aca="false">_xlfn.UNICHAR(((C508*21)+G508)*28+44032)</f>
        <v>디</v>
      </c>
      <c r="O508" s="10" t="str">
        <f aca="false">_xlfn.UNICHAR(((F508*21)+D508)*28+44032)</f>
        <v>쇄</v>
      </c>
      <c r="P508" s="12" t="n">
        <f aca="false">COUNTIF($A$2:$A$3000, N508) + COUNTIF($A$2:$A$3000, O508)</f>
        <v>2</v>
      </c>
      <c r="Q508" s="16" t="str">
        <f aca="false">IF(OR(B508=-1,I508=0, P508&lt;&gt;2), "albhed_dummy", _xlfn.CONCAT("albhed ", RIGHT("  " &amp; K508,2),", ", RIGHT("  " &amp; L508,2), ", " ,"""",H508,""", ", """",N508,""", ","""",O508,""""," ; ", A508))</f>
        <v>albhed  5, 12, "시", "디", "쇄" ; 돼</v>
      </c>
    </row>
    <row r="509" customFormat="false" ht="17.9" hidden="false" customHeight="true" outlineLevel="0" collapsed="false">
      <c r="A509" s="16" t="s">
        <v>1383</v>
      </c>
      <c r="B509" s="16" t="n">
        <f aca="false">IF(_xlfn.UNICODE(A509)&lt;44032,-1,_xlfn.UNICODE(A509)-44032)</f>
        <v>2064</v>
      </c>
      <c r="C509" s="16" t="n">
        <f aca="false">IF(B509=-1,-1,INT((B509/28)/21))</f>
        <v>3</v>
      </c>
      <c r="D509" s="16" t="n">
        <f aca="false">IF(B509=-1, -1, MOD(INT(B509/28),21))</f>
        <v>10</v>
      </c>
      <c r="E509" s="16" t="n">
        <f aca="false">IF(B509=-1, -1, VLOOKUP(MOD(B509,28), $T$24:$U$52,2))</f>
        <v>19</v>
      </c>
      <c r="F509" s="16" t="n">
        <f aca="false">IF($B509=-1, -1, VLOOKUP(C509,$T$1:$V$20, 2))</f>
        <v>9</v>
      </c>
      <c r="G509" s="16" t="n">
        <f aca="false">IF($B509=-1, -1, VLOOKUP(D509,$Y$1:$Z$22,2))</f>
        <v>20</v>
      </c>
      <c r="H509" s="16" t="str">
        <f aca="false">_xlfn.UNICHAR(((F509*21)+G509)*28+44032)</f>
        <v>시</v>
      </c>
      <c r="I509" s="16" t="n">
        <f aca="false">IF(B509=-1, 1, COUNTIF($A$2:$A$3000, H509))</f>
        <v>1</v>
      </c>
      <c r="J509" s="10" t="str">
        <f aca="false">_xlfn.CONCAT(A509, ",",H509,",",I509)</f>
        <v>됐,시,1</v>
      </c>
      <c r="K509" s="16" t="n">
        <f aca="false">IF(B509=-1,-1,VLOOKUP(C509,$T$1:$V$20,3))</f>
        <v>5</v>
      </c>
      <c r="L509" s="16" t="n">
        <f aca="false">IF(B509=-1,-1,VLOOKUP(D509,$Y$1:$AA$22,3))</f>
        <v>12</v>
      </c>
      <c r="N509" s="10" t="str">
        <f aca="false">_xlfn.UNICHAR(((C509*21)+G509)*28+44032)</f>
        <v>디</v>
      </c>
      <c r="O509" s="10" t="str">
        <f aca="false">_xlfn.UNICHAR(((F509*21)+D509)*28+44032)</f>
        <v>쇄</v>
      </c>
      <c r="P509" s="12" t="n">
        <f aca="false">COUNTIF($A$2:$A$3000, N509) + COUNTIF($A$2:$A$3000, O509)</f>
        <v>2</v>
      </c>
      <c r="Q509" s="16" t="str">
        <f aca="false">IF(OR(B509=-1,I509=0, P509&lt;&gt;2), "albhed_dummy", _xlfn.CONCAT("albhed ", RIGHT("  " &amp; K509,2),", ", RIGHT("  " &amp; L509,2), ", " ,"""",H509,""", ", """",N509,""", ","""",O509,""""," ; ", A509))</f>
        <v>albhed  5, 12, "시", "디", "쇄" ; 됐</v>
      </c>
    </row>
    <row r="510" customFormat="false" ht="17.9" hidden="false" customHeight="true" outlineLevel="0" collapsed="false">
      <c r="A510" s="16" t="s">
        <v>1384</v>
      </c>
      <c r="B510" s="16" t="n">
        <f aca="false">IF(_xlfn.UNICODE(A510)&lt;44032,-1,_xlfn.UNICODE(A510)-44032)</f>
        <v>2072</v>
      </c>
      <c r="C510" s="16" t="n">
        <f aca="false">IF(B510=-1,-1,INT((B510/28)/21))</f>
        <v>3</v>
      </c>
      <c r="D510" s="16" t="n">
        <f aca="false">IF(B510=-1, -1, MOD(INT(B510/28),21))</f>
        <v>11</v>
      </c>
      <c r="E510" s="16" t="n">
        <f aca="false">IF(B510=-1, -1, VLOOKUP(MOD(B510,28), $T$24:$U$52,2))</f>
        <v>0</v>
      </c>
      <c r="F510" s="16" t="n">
        <f aca="false">IF($B510=-1, -1, VLOOKUP(C510,$T$1:$V$20, 2))</f>
        <v>9</v>
      </c>
      <c r="G510" s="16" t="n">
        <f aca="false">IF($B510=-1, -1, VLOOKUP(D510,$Y$1:$Z$22,2))</f>
        <v>20</v>
      </c>
      <c r="H510" s="16" t="str">
        <f aca="false">_xlfn.UNICHAR(((F510*21)+G510)*28+44032)</f>
        <v>시</v>
      </c>
      <c r="I510" s="16" t="n">
        <f aca="false">IF(B510=-1, 1, COUNTIF($A$2:$A$3000, H510))</f>
        <v>1</v>
      </c>
      <c r="J510" s="10" t="str">
        <f aca="false">_xlfn.CONCAT(A510, ",",H510,",",I510)</f>
        <v>되,시,1</v>
      </c>
      <c r="K510" s="16" t="n">
        <f aca="false">IF(B510=-1,-1,VLOOKUP(C510,$T$1:$V$20,3))</f>
        <v>5</v>
      </c>
      <c r="L510" s="16" t="n">
        <f aca="false">IF(B510=-1,-1,VLOOKUP(D510,$Y$1:$AA$22,3))</f>
        <v>22</v>
      </c>
      <c r="N510" s="10" t="str">
        <f aca="false">_xlfn.UNICHAR(((C510*21)+G510)*28+44032)</f>
        <v>디</v>
      </c>
      <c r="O510" s="10" t="str">
        <f aca="false">_xlfn.UNICHAR(((F510*21)+D510)*28+44032)</f>
        <v>쇠</v>
      </c>
      <c r="P510" s="12" t="n">
        <f aca="false">COUNTIF($A$2:$A$3000, N510) + COUNTIF($A$2:$A$3000, O510)</f>
        <v>2</v>
      </c>
      <c r="Q510" s="16" t="str">
        <f aca="false">IF(OR(B510=-1,I510=0, P510&lt;&gt;2), "albhed_dummy", _xlfn.CONCAT("albhed ", RIGHT("  " &amp; K510,2),", ", RIGHT("  " &amp; L510,2), ", " ,"""",H510,""", ", """",N510,""", ","""",O510,""""," ; ", A510))</f>
        <v>albhed  5, 22, "시", "디", "쇠" ; 되</v>
      </c>
    </row>
    <row r="511" customFormat="false" ht="17.9" hidden="false" customHeight="true" outlineLevel="0" collapsed="false">
      <c r="A511" s="16" t="s">
        <v>1385</v>
      </c>
      <c r="B511" s="16" t="n">
        <f aca="false">IF(_xlfn.UNICODE(A511)&lt;44032,-1,_xlfn.UNICODE(A511)-44032)</f>
        <v>2076</v>
      </c>
      <c r="C511" s="16" t="n">
        <f aca="false">IF(B511=-1,-1,INT((B511/28)/21))</f>
        <v>3</v>
      </c>
      <c r="D511" s="16" t="n">
        <f aca="false">IF(B511=-1, -1, MOD(INT(B511/28),21))</f>
        <v>11</v>
      </c>
      <c r="E511" s="16" t="n">
        <f aca="false">IF(B511=-1, -1, VLOOKUP(MOD(B511,28), $T$24:$U$52,2))</f>
        <v>4</v>
      </c>
      <c r="F511" s="16" t="n">
        <f aca="false">IF($B511=-1, -1, VLOOKUP(C511,$T$1:$V$20, 2))</f>
        <v>9</v>
      </c>
      <c r="G511" s="16" t="n">
        <f aca="false">IF($B511=-1, -1, VLOOKUP(D511,$Y$1:$Z$22,2))</f>
        <v>20</v>
      </c>
      <c r="H511" s="16" t="str">
        <f aca="false">_xlfn.UNICHAR(((F511*21)+G511)*28+44032)</f>
        <v>시</v>
      </c>
      <c r="I511" s="16" t="n">
        <f aca="false">IF(B511=-1, 1, COUNTIF($A$2:$A$3000, H511))</f>
        <v>1</v>
      </c>
      <c r="J511" s="10" t="str">
        <f aca="false">_xlfn.CONCAT(A511, ",",H511,",",I511)</f>
        <v>된,시,1</v>
      </c>
      <c r="K511" s="16" t="n">
        <f aca="false">IF(B511=-1,-1,VLOOKUP(C511,$T$1:$V$20,3))</f>
        <v>5</v>
      </c>
      <c r="L511" s="16" t="n">
        <f aca="false">IF(B511=-1,-1,VLOOKUP(D511,$Y$1:$AA$22,3))</f>
        <v>22</v>
      </c>
      <c r="N511" s="10" t="str">
        <f aca="false">_xlfn.UNICHAR(((C511*21)+G511)*28+44032)</f>
        <v>디</v>
      </c>
      <c r="O511" s="10" t="str">
        <f aca="false">_xlfn.UNICHAR(((F511*21)+D511)*28+44032)</f>
        <v>쇠</v>
      </c>
      <c r="P511" s="12" t="n">
        <f aca="false">COUNTIF($A$2:$A$3000, N511) + COUNTIF($A$2:$A$3000, O511)</f>
        <v>2</v>
      </c>
      <c r="Q511" s="16" t="str">
        <f aca="false">IF(OR(B511=-1,I511=0, P511&lt;&gt;2), "albhed_dummy", _xlfn.CONCAT("albhed ", RIGHT("  " &amp; K511,2),", ", RIGHT("  " &amp; L511,2), ", " ,"""",H511,""", ", """",N511,""", ","""",O511,""""," ; ", A511))</f>
        <v>albhed  5, 22, "시", "디", "쇠" ; 된</v>
      </c>
    </row>
    <row r="512" customFormat="false" ht="17.9" hidden="false" customHeight="true" outlineLevel="0" collapsed="false">
      <c r="A512" s="16" t="s">
        <v>1386</v>
      </c>
      <c r="B512" s="16" t="n">
        <f aca="false">IF(_xlfn.UNICODE(A512)&lt;44032,-1,_xlfn.UNICODE(A512)-44032)</f>
        <v>2080</v>
      </c>
      <c r="C512" s="16" t="n">
        <f aca="false">IF(B512=-1,-1,INT((B512/28)/21))</f>
        <v>3</v>
      </c>
      <c r="D512" s="16" t="n">
        <f aca="false">IF(B512=-1, -1, MOD(INT(B512/28),21))</f>
        <v>11</v>
      </c>
      <c r="E512" s="16" t="n">
        <f aca="false">IF(B512=-1, -1, VLOOKUP(MOD(B512,28), $T$24:$U$52,2))</f>
        <v>8</v>
      </c>
      <c r="F512" s="16" t="n">
        <f aca="false">IF($B512=-1, -1, VLOOKUP(C512,$T$1:$V$20, 2))</f>
        <v>9</v>
      </c>
      <c r="G512" s="16" t="n">
        <f aca="false">IF($B512=-1, -1, VLOOKUP(D512,$Y$1:$Z$22,2))</f>
        <v>20</v>
      </c>
      <c r="H512" s="16" t="str">
        <f aca="false">_xlfn.UNICHAR(((F512*21)+G512)*28+44032)</f>
        <v>시</v>
      </c>
      <c r="I512" s="16" t="n">
        <f aca="false">IF(B512=-1, 1, COUNTIF($A$2:$A$3000, H512))</f>
        <v>1</v>
      </c>
      <c r="J512" s="10" t="str">
        <f aca="false">_xlfn.CONCAT(A512, ",",H512,",",I512)</f>
        <v>될,시,1</v>
      </c>
      <c r="K512" s="16" t="n">
        <f aca="false">IF(B512=-1,-1,VLOOKUP(C512,$T$1:$V$20,3))</f>
        <v>5</v>
      </c>
      <c r="L512" s="16" t="n">
        <f aca="false">IF(B512=-1,-1,VLOOKUP(D512,$Y$1:$AA$22,3))</f>
        <v>22</v>
      </c>
      <c r="N512" s="10" t="str">
        <f aca="false">_xlfn.UNICHAR(((C512*21)+G512)*28+44032)</f>
        <v>디</v>
      </c>
      <c r="O512" s="10" t="str">
        <f aca="false">_xlfn.UNICHAR(((F512*21)+D512)*28+44032)</f>
        <v>쇠</v>
      </c>
      <c r="P512" s="12" t="n">
        <f aca="false">COUNTIF($A$2:$A$3000, N512) + COUNTIF($A$2:$A$3000, O512)</f>
        <v>2</v>
      </c>
      <c r="Q512" s="16" t="str">
        <f aca="false">IF(OR(B512=-1,I512=0, P512&lt;&gt;2), "albhed_dummy", _xlfn.CONCAT("albhed ", RIGHT("  " &amp; K512,2),", ", RIGHT("  " &amp; L512,2), ", " ,"""",H512,""", ", """",N512,""", ","""",O512,""""," ; ", A512))</f>
        <v>albhed  5, 22, "시", "디", "쇠" ; 될</v>
      </c>
    </row>
    <row r="513" customFormat="false" ht="17.9" hidden="false" customHeight="true" outlineLevel="0" collapsed="false">
      <c r="A513" s="16" t="s">
        <v>1387</v>
      </c>
      <c r="B513" s="16" t="n">
        <f aca="false">IF(_xlfn.UNICODE(A513)&lt;44032,-1,_xlfn.UNICODE(A513)-44032)</f>
        <v>2088</v>
      </c>
      <c r="C513" s="16" t="n">
        <f aca="false">IF(B513=-1,-1,INT((B513/28)/21))</f>
        <v>3</v>
      </c>
      <c r="D513" s="16" t="n">
        <f aca="false">IF(B513=-1, -1, MOD(INT(B513/28),21))</f>
        <v>11</v>
      </c>
      <c r="E513" s="16" t="n">
        <f aca="false">IF(B513=-1, -1, VLOOKUP(MOD(B513,28), $T$24:$U$52,2))</f>
        <v>16</v>
      </c>
      <c r="F513" s="16" t="n">
        <f aca="false">IF($B513=-1, -1, VLOOKUP(C513,$T$1:$V$20, 2))</f>
        <v>9</v>
      </c>
      <c r="G513" s="16" t="n">
        <f aca="false">IF($B513=-1, -1, VLOOKUP(D513,$Y$1:$Z$22,2))</f>
        <v>20</v>
      </c>
      <c r="H513" s="16" t="str">
        <f aca="false">_xlfn.UNICHAR(((F513*21)+G513)*28+44032)</f>
        <v>시</v>
      </c>
      <c r="I513" s="16" t="n">
        <f aca="false">IF(B513=-1, 1, COUNTIF($A$2:$A$3000, H513))</f>
        <v>1</v>
      </c>
      <c r="J513" s="10" t="str">
        <f aca="false">_xlfn.CONCAT(A513, ",",H513,",",I513)</f>
        <v>됨,시,1</v>
      </c>
      <c r="K513" s="16" t="n">
        <f aca="false">IF(B513=-1,-1,VLOOKUP(C513,$T$1:$V$20,3))</f>
        <v>5</v>
      </c>
      <c r="L513" s="16" t="n">
        <f aca="false">IF(B513=-1,-1,VLOOKUP(D513,$Y$1:$AA$22,3))</f>
        <v>22</v>
      </c>
      <c r="N513" s="10" t="str">
        <f aca="false">_xlfn.UNICHAR(((C513*21)+G513)*28+44032)</f>
        <v>디</v>
      </c>
      <c r="O513" s="10" t="str">
        <f aca="false">_xlfn.UNICHAR(((F513*21)+D513)*28+44032)</f>
        <v>쇠</v>
      </c>
      <c r="P513" s="12" t="n">
        <f aca="false">COUNTIF($A$2:$A$3000, N513) + COUNTIF($A$2:$A$3000, O513)</f>
        <v>2</v>
      </c>
      <c r="Q513" s="16" t="str">
        <f aca="false">IF(OR(B513=-1,I513=0, P513&lt;&gt;2), "albhed_dummy", _xlfn.CONCAT("albhed ", RIGHT("  " &amp; K513,2),", ", RIGHT("  " &amp; L513,2), ", " ,"""",H513,""", ", """",N513,""", ","""",O513,""""," ; ", A513))</f>
        <v>albhed  5, 22, "시", "디", "쇠" ; 됨</v>
      </c>
    </row>
    <row r="514" customFormat="false" ht="17.9" hidden="false" customHeight="true" outlineLevel="0" collapsed="false">
      <c r="A514" s="16" t="s">
        <v>1388</v>
      </c>
      <c r="B514" s="16" t="n">
        <f aca="false">IF(_xlfn.UNICODE(A514)&lt;44032,-1,_xlfn.UNICODE(A514)-44032)</f>
        <v>2089</v>
      </c>
      <c r="C514" s="16" t="n">
        <f aca="false">IF(B514=-1,-1,INT((B514/28)/21))</f>
        <v>3</v>
      </c>
      <c r="D514" s="16" t="n">
        <f aca="false">IF(B514=-1, -1, MOD(INT(B514/28),21))</f>
        <v>11</v>
      </c>
      <c r="E514" s="16" t="n">
        <f aca="false">IF(B514=-1, -1, VLOOKUP(MOD(B514,28), $T$24:$U$52,2))</f>
        <v>17</v>
      </c>
      <c r="F514" s="16" t="n">
        <f aca="false">IF($B514=-1, -1, VLOOKUP(C514,$T$1:$V$20, 2))</f>
        <v>9</v>
      </c>
      <c r="G514" s="16" t="n">
        <f aca="false">IF($B514=-1, -1, VLOOKUP(D514,$Y$1:$Z$22,2))</f>
        <v>20</v>
      </c>
      <c r="H514" s="16" t="str">
        <f aca="false">_xlfn.UNICHAR(((F514*21)+G514)*28+44032)</f>
        <v>시</v>
      </c>
      <c r="I514" s="16" t="n">
        <f aca="false">IF(B514=-1, 1, COUNTIF($A$2:$A$3000, H514))</f>
        <v>1</v>
      </c>
      <c r="J514" s="10" t="str">
        <f aca="false">_xlfn.CONCAT(A514, ",",H514,",",I514)</f>
        <v>됩,시,1</v>
      </c>
      <c r="K514" s="16" t="n">
        <f aca="false">IF(B514=-1,-1,VLOOKUP(C514,$T$1:$V$20,3))</f>
        <v>5</v>
      </c>
      <c r="L514" s="16" t="n">
        <f aca="false">IF(B514=-1,-1,VLOOKUP(D514,$Y$1:$AA$22,3))</f>
        <v>22</v>
      </c>
      <c r="N514" s="10" t="str">
        <f aca="false">_xlfn.UNICHAR(((C514*21)+G514)*28+44032)</f>
        <v>디</v>
      </c>
      <c r="O514" s="10" t="str">
        <f aca="false">_xlfn.UNICHAR(((F514*21)+D514)*28+44032)</f>
        <v>쇠</v>
      </c>
      <c r="P514" s="12" t="n">
        <f aca="false">COUNTIF($A$2:$A$3000, N514) + COUNTIF($A$2:$A$3000, O514)</f>
        <v>2</v>
      </c>
      <c r="Q514" s="16" t="str">
        <f aca="false">IF(OR(B514=-1,I514=0, P514&lt;&gt;2), "albhed_dummy", _xlfn.CONCAT("albhed ", RIGHT("  " &amp; K514,2),", ", RIGHT("  " &amp; L514,2), ", " ,"""",H514,""", ", """",N514,""", ","""",O514,""""," ; ", A514))</f>
        <v>albhed  5, 22, "시", "디", "쇠" ; 됩</v>
      </c>
    </row>
    <row r="515" customFormat="false" ht="17.9" hidden="false" customHeight="true" outlineLevel="0" collapsed="false">
      <c r="A515" s="16" t="s">
        <v>1389</v>
      </c>
      <c r="B515" s="16" t="n">
        <f aca="false">IF(_xlfn.UNICODE(A515)&lt;44032,-1,_xlfn.UNICODE(A515)-44032)</f>
        <v>2091</v>
      </c>
      <c r="C515" s="16" t="n">
        <f aca="false">IF(B515=-1,-1,INT((B515/28)/21))</f>
        <v>3</v>
      </c>
      <c r="D515" s="16" t="n">
        <f aca="false">IF(B515=-1, -1, MOD(INT(B515/28),21))</f>
        <v>11</v>
      </c>
      <c r="E515" s="16" t="n">
        <f aca="false">IF(B515=-1, -1, VLOOKUP(MOD(B515,28), $T$24:$U$52,2))</f>
        <v>19</v>
      </c>
      <c r="F515" s="16" t="n">
        <f aca="false">IF($B515=-1, -1, VLOOKUP(C515,$T$1:$V$20, 2))</f>
        <v>9</v>
      </c>
      <c r="G515" s="16" t="n">
        <f aca="false">IF($B515=-1, -1, VLOOKUP(D515,$Y$1:$Z$22,2))</f>
        <v>20</v>
      </c>
      <c r="H515" s="16" t="str">
        <f aca="false">_xlfn.UNICHAR(((F515*21)+G515)*28+44032)</f>
        <v>시</v>
      </c>
      <c r="I515" s="16" t="n">
        <f aca="false">IF(B515=-1, 1, COUNTIF($A$2:$A$3000, H515))</f>
        <v>1</v>
      </c>
      <c r="J515" s="10" t="str">
        <f aca="false">_xlfn.CONCAT(A515, ",",H515,",",I515)</f>
        <v>됫,시,1</v>
      </c>
      <c r="K515" s="16" t="n">
        <f aca="false">IF(B515=-1,-1,VLOOKUP(C515,$T$1:$V$20,3))</f>
        <v>5</v>
      </c>
      <c r="L515" s="16" t="n">
        <f aca="false">IF(B515=-1,-1,VLOOKUP(D515,$Y$1:$AA$22,3))</f>
        <v>22</v>
      </c>
      <c r="N515" s="10" t="str">
        <f aca="false">_xlfn.UNICHAR(((C515*21)+G515)*28+44032)</f>
        <v>디</v>
      </c>
      <c r="O515" s="10" t="str">
        <f aca="false">_xlfn.UNICHAR(((F515*21)+D515)*28+44032)</f>
        <v>쇠</v>
      </c>
      <c r="P515" s="12" t="n">
        <f aca="false">COUNTIF($A$2:$A$3000, N515) + COUNTIF($A$2:$A$3000, O515)</f>
        <v>2</v>
      </c>
      <c r="Q515" s="16" t="str">
        <f aca="false">IF(OR(B515=-1,I515=0, P515&lt;&gt;2), "albhed_dummy", _xlfn.CONCAT("albhed ", RIGHT("  " &amp; K515,2),", ", RIGHT("  " &amp; L515,2), ", " ,"""",H515,""", ", """",N515,""", ","""",O515,""""," ; ", A515))</f>
        <v>albhed  5, 22, "시", "디", "쇠" ; 됫</v>
      </c>
    </row>
    <row r="516" customFormat="false" ht="17.9" hidden="false" customHeight="true" outlineLevel="0" collapsed="false">
      <c r="A516" s="16" t="s">
        <v>1390</v>
      </c>
      <c r="B516" s="16" t="n">
        <f aca="false">IF(_xlfn.UNICODE(A516)&lt;44032,-1,_xlfn.UNICODE(A516)-44032)</f>
        <v>2100</v>
      </c>
      <c r="C516" s="16" t="n">
        <f aca="false">IF(B516=-1,-1,INT((B516/28)/21))</f>
        <v>3</v>
      </c>
      <c r="D516" s="16" t="n">
        <f aca="false">IF(B516=-1, -1, MOD(INT(B516/28),21))</f>
        <v>12</v>
      </c>
      <c r="E516" s="16" t="n">
        <f aca="false">IF(B516=-1, -1, VLOOKUP(MOD(B516,28), $T$24:$U$52,2))</f>
        <v>0</v>
      </c>
      <c r="F516" s="16" t="n">
        <f aca="false">IF($B516=-1, -1, VLOOKUP(C516,$T$1:$V$20, 2))</f>
        <v>9</v>
      </c>
      <c r="G516" s="16" t="n">
        <f aca="false">IF($B516=-1, -1, VLOOKUP(D516,$Y$1:$Z$22,2))</f>
        <v>6</v>
      </c>
      <c r="H516" s="16" t="str">
        <f aca="false">_xlfn.UNICHAR(((F516*21)+G516)*28+44032)</f>
        <v>셔</v>
      </c>
      <c r="I516" s="16" t="n">
        <f aca="false">IF(B516=-1, 1, COUNTIF($A$2:$A$3000, H516))</f>
        <v>1</v>
      </c>
      <c r="J516" s="10" t="str">
        <f aca="false">_xlfn.CONCAT(A516, ",",H516,",",I516)</f>
        <v>됴,셔,1</v>
      </c>
      <c r="K516" s="16" t="n">
        <f aca="false">IF(B516=-1,-1,VLOOKUP(C516,$T$1:$V$20,3))</f>
        <v>5</v>
      </c>
      <c r="L516" s="16" t="n">
        <f aca="false">IF(B516=-1,-1,VLOOKUP(D516,$Y$1:$AA$22,3))</f>
        <v>8</v>
      </c>
      <c r="N516" s="10" t="str">
        <f aca="false">_xlfn.UNICHAR(((C516*21)+G516)*28+44032)</f>
        <v>뎌</v>
      </c>
      <c r="O516" s="10" t="str">
        <f aca="false">_xlfn.UNICHAR(((F516*21)+D516)*28+44032)</f>
        <v>쇼</v>
      </c>
      <c r="P516" s="12" t="n">
        <f aca="false">COUNTIF($A$2:$A$3000, N516) + COUNTIF($A$2:$A$3000, O516)</f>
        <v>2</v>
      </c>
      <c r="Q516" s="16" t="str">
        <f aca="false">IF(OR(B516=-1,I516=0, P516&lt;&gt;2), "albhed_dummy", _xlfn.CONCAT("albhed ", RIGHT("  " &amp; K516,2),", ", RIGHT("  " &amp; L516,2), ", " ,"""",H516,""", ", """",N516,""", ","""",O516,""""," ; ", A516))</f>
        <v>albhed  5,  8, "셔", "뎌", "쇼" ; 됴</v>
      </c>
    </row>
    <row r="517" customFormat="false" ht="17.9" hidden="false" customHeight="true" outlineLevel="0" collapsed="false">
      <c r="A517" s="16" t="s">
        <v>1391</v>
      </c>
      <c r="B517" s="16" t="n">
        <f aca="false">IF(_xlfn.UNICODE(A517)&lt;44032,-1,_xlfn.UNICODE(A517)-44032)</f>
        <v>2128</v>
      </c>
      <c r="C517" s="16" t="n">
        <f aca="false">IF(B517=-1,-1,INT((B517/28)/21))</f>
        <v>3</v>
      </c>
      <c r="D517" s="16" t="n">
        <f aca="false">IF(B517=-1, -1, MOD(INT(B517/28),21))</f>
        <v>13</v>
      </c>
      <c r="E517" s="16" t="n">
        <f aca="false">IF(B517=-1, -1, VLOOKUP(MOD(B517,28), $T$24:$U$52,2))</f>
        <v>0</v>
      </c>
      <c r="F517" s="16" t="n">
        <f aca="false">IF($B517=-1, -1, VLOOKUP(C517,$T$1:$V$20, 2))</f>
        <v>9</v>
      </c>
      <c r="G517" s="16" t="n">
        <f aca="false">IF($B517=-1, -1, VLOOKUP(D517,$Y$1:$Z$22,2))</f>
        <v>0</v>
      </c>
      <c r="H517" s="16" t="str">
        <f aca="false">_xlfn.UNICHAR(((F517*21)+G517)*28+44032)</f>
        <v>사</v>
      </c>
      <c r="I517" s="16" t="n">
        <f aca="false">IF(B517=-1, 1, COUNTIF($A$2:$A$3000, H517))</f>
        <v>1</v>
      </c>
      <c r="J517" s="10" t="str">
        <f aca="false">_xlfn.CONCAT(A517, ",",H517,",",I517)</f>
        <v>두,사,1</v>
      </c>
      <c r="K517" s="16" t="n">
        <f aca="false">IF(B517=-1,-1,VLOOKUP(C517,$T$1:$V$20,3))</f>
        <v>5</v>
      </c>
      <c r="L517" s="16" t="n">
        <f aca="false">IF(B517=-1,-1,VLOOKUP(D517,$Y$1:$AA$22,3))</f>
        <v>6</v>
      </c>
      <c r="N517" s="10" t="str">
        <f aca="false">_xlfn.UNICHAR(((C517*21)+G517)*28+44032)</f>
        <v>다</v>
      </c>
      <c r="O517" s="10" t="str">
        <f aca="false">_xlfn.UNICHAR(((F517*21)+D517)*28+44032)</f>
        <v>수</v>
      </c>
      <c r="P517" s="12" t="n">
        <f aca="false">COUNTIF($A$2:$A$3000, N517) + COUNTIF($A$2:$A$3000, O517)</f>
        <v>2</v>
      </c>
      <c r="Q517" s="16" t="str">
        <f aca="false">IF(OR(B517=-1,I517=0, P517&lt;&gt;2), "albhed_dummy", _xlfn.CONCAT("albhed ", RIGHT("  " &amp; K517,2),", ", RIGHT("  " &amp; L517,2), ", " ,"""",H517,""", ", """",N517,""", ","""",O517,""""," ; ", A517))</f>
        <v>albhed  5,  6, "사", "다", "수" ; 두</v>
      </c>
    </row>
    <row r="518" customFormat="false" ht="17.9" hidden="false" customHeight="true" outlineLevel="0" collapsed="false">
      <c r="A518" s="16" t="s">
        <v>1392</v>
      </c>
      <c r="B518" s="16" t="n">
        <f aca="false">IF(_xlfn.UNICODE(A518)&lt;44032,-1,_xlfn.UNICODE(A518)-44032)</f>
        <v>2129</v>
      </c>
      <c r="C518" s="16" t="n">
        <f aca="false">IF(B518=-1,-1,INT((B518/28)/21))</f>
        <v>3</v>
      </c>
      <c r="D518" s="16" t="n">
        <f aca="false">IF(B518=-1, -1, MOD(INT(B518/28),21))</f>
        <v>13</v>
      </c>
      <c r="E518" s="16" t="n">
        <f aca="false">IF(B518=-1, -1, VLOOKUP(MOD(B518,28), $T$24:$U$52,2))</f>
        <v>1</v>
      </c>
      <c r="F518" s="16" t="n">
        <f aca="false">IF($B518=-1, -1, VLOOKUP(C518,$T$1:$V$20, 2))</f>
        <v>9</v>
      </c>
      <c r="G518" s="16" t="n">
        <f aca="false">IF($B518=-1, -1, VLOOKUP(D518,$Y$1:$Z$22,2))</f>
        <v>0</v>
      </c>
      <c r="H518" s="16" t="str">
        <f aca="false">_xlfn.UNICHAR(((F518*21)+G518)*28+44032)</f>
        <v>사</v>
      </c>
      <c r="I518" s="16" t="n">
        <f aca="false">IF(B518=-1, 1, COUNTIF($A$2:$A$3000, H518))</f>
        <v>1</v>
      </c>
      <c r="J518" s="10" t="str">
        <f aca="false">_xlfn.CONCAT(A518, ",",H518,",",I518)</f>
        <v>둑,사,1</v>
      </c>
      <c r="K518" s="16" t="n">
        <f aca="false">IF(B518=-1,-1,VLOOKUP(C518,$T$1:$V$20,3))</f>
        <v>5</v>
      </c>
      <c r="L518" s="16" t="n">
        <f aca="false">IF(B518=-1,-1,VLOOKUP(D518,$Y$1:$AA$22,3))</f>
        <v>6</v>
      </c>
      <c r="N518" s="10" t="str">
        <f aca="false">_xlfn.UNICHAR(((C518*21)+G518)*28+44032)</f>
        <v>다</v>
      </c>
      <c r="O518" s="10" t="str">
        <f aca="false">_xlfn.UNICHAR(((F518*21)+D518)*28+44032)</f>
        <v>수</v>
      </c>
      <c r="P518" s="12" t="n">
        <f aca="false">COUNTIF($A$2:$A$3000, N518) + COUNTIF($A$2:$A$3000, O518)</f>
        <v>2</v>
      </c>
      <c r="Q518" s="16" t="str">
        <f aca="false">IF(OR(B518=-1,I518=0, P518&lt;&gt;2), "albhed_dummy", _xlfn.CONCAT("albhed ", RIGHT("  " &amp; K518,2),", ", RIGHT("  " &amp; L518,2), ", " ,"""",H518,""", ", """",N518,""", ","""",O518,""""," ; ", A518))</f>
        <v>albhed  5,  6, "사", "다", "수" ; 둑</v>
      </c>
    </row>
    <row r="519" customFormat="false" ht="17.9" hidden="false" customHeight="true" outlineLevel="0" collapsed="false">
      <c r="A519" s="16" t="s">
        <v>1393</v>
      </c>
      <c r="B519" s="16" t="n">
        <f aca="false">IF(_xlfn.UNICODE(A519)&lt;44032,-1,_xlfn.UNICODE(A519)-44032)</f>
        <v>2132</v>
      </c>
      <c r="C519" s="16" t="n">
        <f aca="false">IF(B519=-1,-1,INT((B519/28)/21))</f>
        <v>3</v>
      </c>
      <c r="D519" s="16" t="n">
        <f aca="false">IF(B519=-1, -1, MOD(INT(B519/28),21))</f>
        <v>13</v>
      </c>
      <c r="E519" s="16" t="n">
        <f aca="false">IF(B519=-1, -1, VLOOKUP(MOD(B519,28), $T$24:$U$52,2))</f>
        <v>4</v>
      </c>
      <c r="F519" s="16" t="n">
        <f aca="false">IF($B519=-1, -1, VLOOKUP(C519,$T$1:$V$20, 2))</f>
        <v>9</v>
      </c>
      <c r="G519" s="16" t="n">
        <f aca="false">IF($B519=-1, -1, VLOOKUP(D519,$Y$1:$Z$22,2))</f>
        <v>0</v>
      </c>
      <c r="H519" s="16" t="str">
        <f aca="false">_xlfn.UNICHAR(((F519*21)+G519)*28+44032)</f>
        <v>사</v>
      </c>
      <c r="I519" s="16" t="n">
        <f aca="false">IF(B519=-1, 1, COUNTIF($A$2:$A$3000, H519))</f>
        <v>1</v>
      </c>
      <c r="J519" s="10" t="str">
        <f aca="false">_xlfn.CONCAT(A519, ",",H519,",",I519)</f>
        <v>둔,사,1</v>
      </c>
      <c r="K519" s="16" t="n">
        <f aca="false">IF(B519=-1,-1,VLOOKUP(C519,$T$1:$V$20,3))</f>
        <v>5</v>
      </c>
      <c r="L519" s="16" t="n">
        <f aca="false">IF(B519=-1,-1,VLOOKUP(D519,$Y$1:$AA$22,3))</f>
        <v>6</v>
      </c>
      <c r="N519" s="10" t="str">
        <f aca="false">_xlfn.UNICHAR(((C519*21)+G519)*28+44032)</f>
        <v>다</v>
      </c>
      <c r="O519" s="10" t="str">
        <f aca="false">_xlfn.UNICHAR(((F519*21)+D519)*28+44032)</f>
        <v>수</v>
      </c>
      <c r="P519" s="12" t="n">
        <f aca="false">COUNTIF($A$2:$A$3000, N519) + COUNTIF($A$2:$A$3000, O519)</f>
        <v>2</v>
      </c>
      <c r="Q519" s="16" t="str">
        <f aca="false">IF(OR(B519=-1,I519=0, P519&lt;&gt;2), "albhed_dummy", _xlfn.CONCAT("albhed ", RIGHT("  " &amp; K519,2),", ", RIGHT("  " &amp; L519,2), ", " ,"""",H519,""", ", """",N519,""", ","""",O519,""""," ; ", A519))</f>
        <v>albhed  5,  6, "사", "다", "수" ; 둔</v>
      </c>
    </row>
    <row r="520" customFormat="false" ht="17.9" hidden="false" customHeight="true" outlineLevel="0" collapsed="false">
      <c r="A520" s="16" t="s">
        <v>1394</v>
      </c>
      <c r="B520" s="16" t="n">
        <f aca="false">IF(_xlfn.UNICODE(A520)&lt;44032,-1,_xlfn.UNICODE(A520)-44032)</f>
        <v>2136</v>
      </c>
      <c r="C520" s="16" t="n">
        <f aca="false">IF(B520=-1,-1,INT((B520/28)/21))</f>
        <v>3</v>
      </c>
      <c r="D520" s="16" t="n">
        <f aca="false">IF(B520=-1, -1, MOD(INT(B520/28),21))</f>
        <v>13</v>
      </c>
      <c r="E520" s="16" t="n">
        <f aca="false">IF(B520=-1, -1, VLOOKUP(MOD(B520,28), $T$24:$U$52,2))</f>
        <v>8</v>
      </c>
      <c r="F520" s="16" t="n">
        <f aca="false">IF($B520=-1, -1, VLOOKUP(C520,$T$1:$V$20, 2))</f>
        <v>9</v>
      </c>
      <c r="G520" s="16" t="n">
        <f aca="false">IF($B520=-1, -1, VLOOKUP(D520,$Y$1:$Z$22,2))</f>
        <v>0</v>
      </c>
      <c r="H520" s="16" t="str">
        <f aca="false">_xlfn.UNICHAR(((F520*21)+G520)*28+44032)</f>
        <v>사</v>
      </c>
      <c r="I520" s="16" t="n">
        <f aca="false">IF(B520=-1, 1, COUNTIF($A$2:$A$3000, H520))</f>
        <v>1</v>
      </c>
      <c r="J520" s="10" t="str">
        <f aca="false">_xlfn.CONCAT(A520, ",",H520,",",I520)</f>
        <v>둘,사,1</v>
      </c>
      <c r="K520" s="16" t="n">
        <f aca="false">IF(B520=-1,-1,VLOOKUP(C520,$T$1:$V$20,3))</f>
        <v>5</v>
      </c>
      <c r="L520" s="16" t="n">
        <f aca="false">IF(B520=-1,-1,VLOOKUP(D520,$Y$1:$AA$22,3))</f>
        <v>6</v>
      </c>
      <c r="N520" s="10" t="str">
        <f aca="false">_xlfn.UNICHAR(((C520*21)+G520)*28+44032)</f>
        <v>다</v>
      </c>
      <c r="O520" s="10" t="str">
        <f aca="false">_xlfn.UNICHAR(((F520*21)+D520)*28+44032)</f>
        <v>수</v>
      </c>
      <c r="P520" s="12" t="n">
        <f aca="false">COUNTIF($A$2:$A$3000, N520) + COUNTIF($A$2:$A$3000, O520)</f>
        <v>2</v>
      </c>
      <c r="Q520" s="16" t="str">
        <f aca="false">IF(OR(B520=-1,I520=0, P520&lt;&gt;2), "albhed_dummy", _xlfn.CONCAT("albhed ", RIGHT("  " &amp; K520,2),", ", RIGHT("  " &amp; L520,2), ", " ,"""",H520,""", ", """",N520,""", ","""",O520,""""," ; ", A520))</f>
        <v>albhed  5,  6, "사", "다", "수" ; 둘</v>
      </c>
    </row>
    <row r="521" customFormat="false" ht="17.9" hidden="false" customHeight="true" outlineLevel="0" collapsed="false">
      <c r="A521" s="16" t="s">
        <v>1395</v>
      </c>
      <c r="B521" s="16" t="n">
        <f aca="false">IF(_xlfn.UNICODE(A521)&lt;44032,-1,_xlfn.UNICODE(A521)-44032)</f>
        <v>2144</v>
      </c>
      <c r="C521" s="16" t="n">
        <f aca="false">IF(B521=-1,-1,INT((B521/28)/21))</f>
        <v>3</v>
      </c>
      <c r="D521" s="16" t="n">
        <f aca="false">IF(B521=-1, -1, MOD(INT(B521/28),21))</f>
        <v>13</v>
      </c>
      <c r="E521" s="16" t="n">
        <f aca="false">IF(B521=-1, -1, VLOOKUP(MOD(B521,28), $T$24:$U$52,2))</f>
        <v>16</v>
      </c>
      <c r="F521" s="16" t="n">
        <f aca="false">IF($B521=-1, -1, VLOOKUP(C521,$T$1:$V$20, 2))</f>
        <v>9</v>
      </c>
      <c r="G521" s="16" t="n">
        <f aca="false">IF($B521=-1, -1, VLOOKUP(D521,$Y$1:$Z$22,2))</f>
        <v>0</v>
      </c>
      <c r="H521" s="16" t="str">
        <f aca="false">_xlfn.UNICHAR(((F521*21)+G521)*28+44032)</f>
        <v>사</v>
      </c>
      <c r="I521" s="16" t="n">
        <f aca="false">IF(B521=-1, 1, COUNTIF($A$2:$A$3000, H521))</f>
        <v>1</v>
      </c>
      <c r="J521" s="10" t="str">
        <f aca="false">_xlfn.CONCAT(A521, ",",H521,",",I521)</f>
        <v>둠,사,1</v>
      </c>
      <c r="K521" s="16" t="n">
        <f aca="false">IF(B521=-1,-1,VLOOKUP(C521,$T$1:$V$20,3))</f>
        <v>5</v>
      </c>
      <c r="L521" s="16" t="n">
        <f aca="false">IF(B521=-1,-1,VLOOKUP(D521,$Y$1:$AA$22,3))</f>
        <v>6</v>
      </c>
      <c r="N521" s="10" t="str">
        <f aca="false">_xlfn.UNICHAR(((C521*21)+G521)*28+44032)</f>
        <v>다</v>
      </c>
      <c r="O521" s="10" t="str">
        <f aca="false">_xlfn.UNICHAR(((F521*21)+D521)*28+44032)</f>
        <v>수</v>
      </c>
      <c r="P521" s="12" t="n">
        <f aca="false">COUNTIF($A$2:$A$3000, N521) + COUNTIF($A$2:$A$3000, O521)</f>
        <v>2</v>
      </c>
      <c r="Q521" s="16" t="str">
        <f aca="false">IF(OR(B521=-1,I521=0, P521&lt;&gt;2), "albhed_dummy", _xlfn.CONCAT("albhed ", RIGHT("  " &amp; K521,2),", ", RIGHT("  " &amp; L521,2), ", " ,"""",H521,""", ", """",N521,""", ","""",O521,""""," ; ", A521))</f>
        <v>albhed  5,  6, "사", "다", "수" ; 둠</v>
      </c>
    </row>
    <row r="522" customFormat="false" ht="17.9" hidden="false" customHeight="true" outlineLevel="0" collapsed="false">
      <c r="A522" s="16" t="s">
        <v>1396</v>
      </c>
      <c r="B522" s="16" t="n">
        <f aca="false">IF(_xlfn.UNICODE(A522)&lt;44032,-1,_xlfn.UNICODE(A522)-44032)</f>
        <v>2145</v>
      </c>
      <c r="C522" s="16" t="n">
        <f aca="false">IF(B522=-1,-1,INT((B522/28)/21))</f>
        <v>3</v>
      </c>
      <c r="D522" s="16" t="n">
        <f aca="false">IF(B522=-1, -1, MOD(INT(B522/28),21))</f>
        <v>13</v>
      </c>
      <c r="E522" s="16" t="n">
        <f aca="false">IF(B522=-1, -1, VLOOKUP(MOD(B522,28), $T$24:$U$52,2))</f>
        <v>17</v>
      </c>
      <c r="F522" s="16" t="n">
        <f aca="false">IF($B522=-1, -1, VLOOKUP(C522,$T$1:$V$20, 2))</f>
        <v>9</v>
      </c>
      <c r="G522" s="16" t="n">
        <f aca="false">IF($B522=-1, -1, VLOOKUP(D522,$Y$1:$Z$22,2))</f>
        <v>0</v>
      </c>
      <c r="H522" s="16" t="str">
        <f aca="false">_xlfn.UNICHAR(((F522*21)+G522)*28+44032)</f>
        <v>사</v>
      </c>
      <c r="I522" s="16" t="n">
        <f aca="false">IF(B522=-1, 1, COUNTIF($A$2:$A$3000, H522))</f>
        <v>1</v>
      </c>
      <c r="J522" s="10" t="str">
        <f aca="false">_xlfn.CONCAT(A522, ",",H522,",",I522)</f>
        <v>둡,사,1</v>
      </c>
      <c r="K522" s="16" t="n">
        <f aca="false">IF(B522=-1,-1,VLOOKUP(C522,$T$1:$V$20,3))</f>
        <v>5</v>
      </c>
      <c r="L522" s="16" t="n">
        <f aca="false">IF(B522=-1,-1,VLOOKUP(D522,$Y$1:$AA$22,3))</f>
        <v>6</v>
      </c>
      <c r="N522" s="10" t="str">
        <f aca="false">_xlfn.UNICHAR(((C522*21)+G522)*28+44032)</f>
        <v>다</v>
      </c>
      <c r="O522" s="10" t="str">
        <f aca="false">_xlfn.UNICHAR(((F522*21)+D522)*28+44032)</f>
        <v>수</v>
      </c>
      <c r="P522" s="12" t="n">
        <f aca="false">COUNTIF($A$2:$A$3000, N522) + COUNTIF($A$2:$A$3000, O522)</f>
        <v>2</v>
      </c>
      <c r="Q522" s="16" t="str">
        <f aca="false">IF(OR(B522=-1,I522=0, P522&lt;&gt;2), "albhed_dummy", _xlfn.CONCAT("albhed ", RIGHT("  " &amp; K522,2),", ", RIGHT("  " &amp; L522,2), ", " ,"""",H522,""", ", """",N522,""", ","""",O522,""""," ; ", A522))</f>
        <v>albhed  5,  6, "사", "다", "수" ; 둡</v>
      </c>
    </row>
    <row r="523" customFormat="false" ht="17.9" hidden="false" customHeight="true" outlineLevel="0" collapsed="false">
      <c r="A523" s="16" t="s">
        <v>1397</v>
      </c>
      <c r="B523" s="16" t="n">
        <f aca="false">IF(_xlfn.UNICODE(A523)&lt;44032,-1,_xlfn.UNICODE(A523)-44032)</f>
        <v>2147</v>
      </c>
      <c r="C523" s="16" t="n">
        <f aca="false">IF(B523=-1,-1,INT((B523/28)/21))</f>
        <v>3</v>
      </c>
      <c r="D523" s="16" t="n">
        <f aca="false">IF(B523=-1, -1, MOD(INT(B523/28),21))</f>
        <v>13</v>
      </c>
      <c r="E523" s="16" t="n">
        <f aca="false">IF(B523=-1, -1, VLOOKUP(MOD(B523,28), $T$24:$U$52,2))</f>
        <v>19</v>
      </c>
      <c r="F523" s="16" t="n">
        <f aca="false">IF($B523=-1, -1, VLOOKUP(C523,$T$1:$V$20, 2))</f>
        <v>9</v>
      </c>
      <c r="G523" s="16" t="n">
        <f aca="false">IF($B523=-1, -1, VLOOKUP(D523,$Y$1:$Z$22,2))</f>
        <v>0</v>
      </c>
      <c r="H523" s="16" t="str">
        <f aca="false">_xlfn.UNICHAR(((F523*21)+G523)*28+44032)</f>
        <v>사</v>
      </c>
      <c r="I523" s="16" t="n">
        <f aca="false">IF(B523=-1, 1, COUNTIF($A$2:$A$3000, H523))</f>
        <v>1</v>
      </c>
      <c r="J523" s="10" t="str">
        <f aca="false">_xlfn.CONCAT(A523, ",",H523,",",I523)</f>
        <v>둣,사,1</v>
      </c>
      <c r="K523" s="16" t="n">
        <f aca="false">IF(B523=-1,-1,VLOOKUP(C523,$T$1:$V$20,3))</f>
        <v>5</v>
      </c>
      <c r="L523" s="16" t="n">
        <f aca="false">IF(B523=-1,-1,VLOOKUP(D523,$Y$1:$AA$22,3))</f>
        <v>6</v>
      </c>
      <c r="N523" s="10" t="str">
        <f aca="false">_xlfn.UNICHAR(((C523*21)+G523)*28+44032)</f>
        <v>다</v>
      </c>
      <c r="O523" s="10" t="str">
        <f aca="false">_xlfn.UNICHAR(((F523*21)+D523)*28+44032)</f>
        <v>수</v>
      </c>
      <c r="P523" s="12" t="n">
        <f aca="false">COUNTIF($A$2:$A$3000, N523) + COUNTIF($A$2:$A$3000, O523)</f>
        <v>2</v>
      </c>
      <c r="Q523" s="16" t="str">
        <f aca="false">IF(OR(B523=-1,I523=0, P523&lt;&gt;2), "albhed_dummy", _xlfn.CONCAT("albhed ", RIGHT("  " &amp; K523,2),", ", RIGHT("  " &amp; L523,2), ", " ,"""",H523,""", ", """",N523,""", ","""",O523,""""," ; ", A523))</f>
        <v>albhed  5,  6, "사", "다", "수" ; 둣</v>
      </c>
    </row>
    <row r="524" customFormat="false" ht="17.9" hidden="false" customHeight="true" outlineLevel="0" collapsed="false">
      <c r="A524" s="16" t="s">
        <v>1398</v>
      </c>
      <c r="B524" s="16" t="n">
        <f aca="false">IF(_xlfn.UNICODE(A524)&lt;44032,-1,_xlfn.UNICODE(A524)-44032)</f>
        <v>2149</v>
      </c>
      <c r="C524" s="16" t="n">
        <f aca="false">IF(B524=-1,-1,INT((B524/28)/21))</f>
        <v>3</v>
      </c>
      <c r="D524" s="16" t="n">
        <f aca="false">IF(B524=-1, -1, MOD(INT(B524/28),21))</f>
        <v>13</v>
      </c>
      <c r="E524" s="16" t="n">
        <f aca="false">IF(B524=-1, -1, VLOOKUP(MOD(B524,28), $T$24:$U$52,2))</f>
        <v>21</v>
      </c>
      <c r="F524" s="16" t="n">
        <f aca="false">IF($B524=-1, -1, VLOOKUP(C524,$T$1:$V$20, 2))</f>
        <v>9</v>
      </c>
      <c r="G524" s="16" t="n">
        <f aca="false">IF($B524=-1, -1, VLOOKUP(D524,$Y$1:$Z$22,2))</f>
        <v>0</v>
      </c>
      <c r="H524" s="16" t="str">
        <f aca="false">_xlfn.UNICHAR(((F524*21)+G524)*28+44032)</f>
        <v>사</v>
      </c>
      <c r="I524" s="16" t="n">
        <f aca="false">IF(B524=-1, 1, COUNTIF($A$2:$A$3000, H524))</f>
        <v>1</v>
      </c>
      <c r="J524" s="10" t="str">
        <f aca="false">_xlfn.CONCAT(A524, ",",H524,",",I524)</f>
        <v>둥,사,1</v>
      </c>
      <c r="K524" s="16" t="n">
        <f aca="false">IF(B524=-1,-1,VLOOKUP(C524,$T$1:$V$20,3))</f>
        <v>5</v>
      </c>
      <c r="L524" s="16" t="n">
        <f aca="false">IF(B524=-1,-1,VLOOKUP(D524,$Y$1:$AA$22,3))</f>
        <v>6</v>
      </c>
      <c r="N524" s="10" t="str">
        <f aca="false">_xlfn.UNICHAR(((C524*21)+G524)*28+44032)</f>
        <v>다</v>
      </c>
      <c r="O524" s="10" t="str">
        <f aca="false">_xlfn.UNICHAR(((F524*21)+D524)*28+44032)</f>
        <v>수</v>
      </c>
      <c r="P524" s="12" t="n">
        <f aca="false">COUNTIF($A$2:$A$3000, N524) + COUNTIF($A$2:$A$3000, O524)</f>
        <v>2</v>
      </c>
      <c r="Q524" s="16" t="str">
        <f aca="false">IF(OR(B524=-1,I524=0, P524&lt;&gt;2), "albhed_dummy", _xlfn.CONCAT("albhed ", RIGHT("  " &amp; K524,2),", ", RIGHT("  " &amp; L524,2), ", " ,"""",H524,""", ", """",N524,""", ","""",O524,""""," ; ", A524))</f>
        <v>albhed  5,  6, "사", "다", "수" ; 둥</v>
      </c>
    </row>
    <row r="525" customFormat="false" ht="17.9" hidden="false" customHeight="true" outlineLevel="0" collapsed="false">
      <c r="A525" s="16" t="s">
        <v>1399</v>
      </c>
      <c r="B525" s="16" t="n">
        <f aca="false">IF(_xlfn.UNICODE(A525)&lt;44032,-1,_xlfn.UNICODE(A525)-44032)</f>
        <v>2156</v>
      </c>
      <c r="C525" s="16" t="n">
        <f aca="false">IF(B525=-1,-1,INT((B525/28)/21))</f>
        <v>3</v>
      </c>
      <c r="D525" s="16" t="n">
        <f aca="false">IF(B525=-1, -1, MOD(INT(B525/28),21))</f>
        <v>14</v>
      </c>
      <c r="E525" s="16" t="n">
        <f aca="false">IF(B525=-1, -1, VLOOKUP(MOD(B525,28), $T$24:$U$52,2))</f>
        <v>0</v>
      </c>
      <c r="F525" s="16" t="n">
        <f aca="false">IF($B525=-1, -1, VLOOKUP(C525,$T$1:$V$20, 2))</f>
        <v>9</v>
      </c>
      <c r="G525" s="16" t="n">
        <f aca="false">IF($B525=-1, -1, VLOOKUP(D525,$Y$1:$Z$22,2))</f>
        <v>20</v>
      </c>
      <c r="H525" s="16" t="str">
        <f aca="false">_xlfn.UNICHAR(((F525*21)+G525)*28+44032)</f>
        <v>시</v>
      </c>
      <c r="I525" s="16" t="n">
        <f aca="false">IF(B525=-1, 1, COUNTIF($A$2:$A$3000, H525))</f>
        <v>1</v>
      </c>
      <c r="J525" s="10" t="str">
        <f aca="false">_xlfn.CONCAT(A525, ",",H525,",",I525)</f>
        <v>둬,시,1</v>
      </c>
      <c r="K525" s="16" t="n">
        <f aca="false">IF(B525=-1,-1,VLOOKUP(C525,$T$1:$V$20,3))</f>
        <v>5</v>
      </c>
      <c r="L525" s="16" t="n">
        <f aca="false">IF(B525=-1,-1,VLOOKUP(D525,$Y$1:$AA$22,3))</f>
        <v>16</v>
      </c>
      <c r="N525" s="10" t="str">
        <f aca="false">_xlfn.UNICHAR(((C525*21)+G525)*28+44032)</f>
        <v>디</v>
      </c>
      <c r="O525" s="10" t="str">
        <f aca="false">_xlfn.UNICHAR(((F525*21)+D525)*28+44032)</f>
        <v>숴</v>
      </c>
      <c r="P525" s="12" t="n">
        <f aca="false">COUNTIF($A$2:$A$3000, N525) + COUNTIF($A$2:$A$3000, O525)</f>
        <v>2</v>
      </c>
      <c r="Q525" s="16" t="str">
        <f aca="false">IF(OR(B525=-1,I525=0, P525&lt;&gt;2), "albhed_dummy", _xlfn.CONCAT("albhed ", RIGHT("  " &amp; K525,2),", ", RIGHT("  " &amp; L525,2), ", " ,"""",H525,""", ", """",N525,""", ","""",O525,""""," ; ", A525))</f>
        <v>albhed  5, 16, "시", "디", "숴" ; 둬</v>
      </c>
    </row>
    <row r="526" customFormat="false" ht="17.9" hidden="false" customHeight="true" outlineLevel="0" collapsed="false">
      <c r="A526" s="16" t="s">
        <v>1400</v>
      </c>
      <c r="B526" s="16" t="n">
        <f aca="false">IF(_xlfn.UNICODE(A526)&lt;44032,-1,_xlfn.UNICODE(A526)-44032)</f>
        <v>2176</v>
      </c>
      <c r="C526" s="16" t="n">
        <f aca="false">IF(B526=-1,-1,INT((B526/28)/21))</f>
        <v>3</v>
      </c>
      <c r="D526" s="16" t="n">
        <f aca="false">IF(B526=-1, -1, MOD(INT(B526/28),21))</f>
        <v>14</v>
      </c>
      <c r="E526" s="16" t="n">
        <f aca="false">IF(B526=-1, -1, VLOOKUP(MOD(B526,28), $T$24:$U$52,2))</f>
        <v>19</v>
      </c>
      <c r="F526" s="16" t="n">
        <f aca="false">IF($B526=-1, -1, VLOOKUP(C526,$T$1:$V$20, 2))</f>
        <v>9</v>
      </c>
      <c r="G526" s="16" t="n">
        <f aca="false">IF($B526=-1, -1, VLOOKUP(D526,$Y$1:$Z$22,2))</f>
        <v>20</v>
      </c>
      <c r="H526" s="16" t="str">
        <f aca="false">_xlfn.UNICHAR(((F526*21)+G526)*28+44032)</f>
        <v>시</v>
      </c>
      <c r="I526" s="16" t="n">
        <f aca="false">IF(B526=-1, 1, COUNTIF($A$2:$A$3000, H526))</f>
        <v>1</v>
      </c>
      <c r="J526" s="10" t="str">
        <f aca="false">_xlfn.CONCAT(A526, ",",H526,",",I526)</f>
        <v>뒀,시,1</v>
      </c>
      <c r="K526" s="16" t="n">
        <f aca="false">IF(B526=-1,-1,VLOOKUP(C526,$T$1:$V$20,3))</f>
        <v>5</v>
      </c>
      <c r="L526" s="16" t="n">
        <f aca="false">IF(B526=-1,-1,VLOOKUP(D526,$Y$1:$AA$22,3))</f>
        <v>16</v>
      </c>
      <c r="N526" s="10" t="str">
        <f aca="false">_xlfn.UNICHAR(((C526*21)+G526)*28+44032)</f>
        <v>디</v>
      </c>
      <c r="O526" s="10" t="str">
        <f aca="false">_xlfn.UNICHAR(((F526*21)+D526)*28+44032)</f>
        <v>숴</v>
      </c>
      <c r="P526" s="12" t="n">
        <f aca="false">COUNTIF($A$2:$A$3000, N526) + COUNTIF($A$2:$A$3000, O526)</f>
        <v>2</v>
      </c>
      <c r="Q526" s="16" t="str">
        <f aca="false">IF(OR(B526=-1,I526=0, P526&lt;&gt;2), "albhed_dummy", _xlfn.CONCAT("albhed ", RIGHT("  " &amp; K526,2),", ", RIGHT("  " &amp; L526,2), ", " ,"""",H526,""", ", """",N526,""", ","""",O526,""""," ; ", A526))</f>
        <v>albhed  5, 16, "시", "디", "숴" ; 뒀</v>
      </c>
    </row>
    <row r="527" customFormat="false" ht="17.9" hidden="false" customHeight="true" outlineLevel="0" collapsed="false">
      <c r="A527" s="16" t="s">
        <v>1401</v>
      </c>
      <c r="B527" s="16" t="n">
        <f aca="false">IF(_xlfn.UNICODE(A527)&lt;44032,-1,_xlfn.UNICODE(A527)-44032)</f>
        <v>2184</v>
      </c>
      <c r="C527" s="16" t="n">
        <f aca="false">IF(B527=-1,-1,INT((B527/28)/21))</f>
        <v>3</v>
      </c>
      <c r="D527" s="16" t="n">
        <f aca="false">IF(B527=-1, -1, MOD(INT(B527/28),21))</f>
        <v>15</v>
      </c>
      <c r="E527" s="16" t="n">
        <f aca="false">IF(B527=-1, -1, VLOOKUP(MOD(B527,28), $T$24:$U$52,2))</f>
        <v>0</v>
      </c>
      <c r="F527" s="16" t="n">
        <f aca="false">IF($B527=-1, -1, VLOOKUP(C527,$T$1:$V$20, 2))</f>
        <v>9</v>
      </c>
      <c r="G527" s="16" t="n">
        <f aca="false">IF($B527=-1, -1, VLOOKUP(D527,$Y$1:$Z$22,2))</f>
        <v>20</v>
      </c>
      <c r="H527" s="16" t="str">
        <f aca="false">_xlfn.UNICHAR(((F527*21)+G527)*28+44032)</f>
        <v>시</v>
      </c>
      <c r="I527" s="16" t="n">
        <f aca="false">IF(B527=-1, 1, COUNTIF($A$2:$A$3000, H527))</f>
        <v>1</v>
      </c>
      <c r="J527" s="10" t="str">
        <f aca="false">_xlfn.CONCAT(A527, ",",H527,",",I527)</f>
        <v>뒈,시,1</v>
      </c>
      <c r="K527" s="16" t="n">
        <f aca="false">IF(B527=-1,-1,VLOOKUP(C527,$T$1:$V$20,3))</f>
        <v>5</v>
      </c>
      <c r="L527" s="16" t="n">
        <f aca="false">IF(B527=-1,-1,VLOOKUP(D527,$Y$1:$AA$22,3))</f>
        <v>16</v>
      </c>
      <c r="N527" s="10" t="str">
        <f aca="false">_xlfn.UNICHAR(((C527*21)+G527)*28+44032)</f>
        <v>디</v>
      </c>
      <c r="O527" s="10" t="str">
        <f aca="false">_xlfn.UNICHAR(((F527*21)+D527)*28+44032)</f>
        <v>쉐</v>
      </c>
      <c r="P527" s="12" t="n">
        <f aca="false">COUNTIF($A$2:$A$3000, N527) + COUNTIF($A$2:$A$3000, O527)</f>
        <v>2</v>
      </c>
      <c r="Q527" s="16" t="str">
        <f aca="false">IF(OR(B527=-1,I527=0, P527&lt;&gt;2), "albhed_dummy", _xlfn.CONCAT("albhed ", RIGHT("  " &amp; K527,2),", ", RIGHT("  " &amp; L527,2), ", " ,"""",H527,""", ", """",N527,""", ","""",O527,""""," ; ", A527))</f>
        <v>albhed  5, 16, "시", "디", "쉐" ; 뒈</v>
      </c>
    </row>
    <row r="528" customFormat="false" ht="17.9" hidden="false" customHeight="true" outlineLevel="0" collapsed="false">
      <c r="A528" s="16" t="s">
        <v>1402</v>
      </c>
      <c r="B528" s="16" t="n">
        <f aca="false">IF(_xlfn.UNICODE(A528)&lt;44032,-1,_xlfn.UNICODE(A528)-44032)</f>
        <v>2205</v>
      </c>
      <c r="C528" s="16" t="n">
        <f aca="false">IF(B528=-1,-1,INT((B528/28)/21))</f>
        <v>3</v>
      </c>
      <c r="D528" s="16" t="n">
        <f aca="false">IF(B528=-1, -1, MOD(INT(B528/28),21))</f>
        <v>15</v>
      </c>
      <c r="E528" s="16" t="n">
        <f aca="false">IF(B528=-1, -1, VLOOKUP(MOD(B528,28), $T$24:$U$52,2))</f>
        <v>21</v>
      </c>
      <c r="F528" s="16" t="n">
        <f aca="false">IF($B528=-1, -1, VLOOKUP(C528,$T$1:$V$20, 2))</f>
        <v>9</v>
      </c>
      <c r="G528" s="16" t="n">
        <f aca="false">IF($B528=-1, -1, VLOOKUP(D528,$Y$1:$Z$22,2))</f>
        <v>20</v>
      </c>
      <c r="H528" s="16" t="str">
        <f aca="false">_xlfn.UNICHAR(((F528*21)+G528)*28+44032)</f>
        <v>시</v>
      </c>
      <c r="I528" s="16" t="n">
        <f aca="false">IF(B528=-1, 1, COUNTIF($A$2:$A$3000, H528))</f>
        <v>1</v>
      </c>
      <c r="J528" s="10" t="str">
        <f aca="false">_xlfn.CONCAT(A528, ",",H528,",",I528)</f>
        <v>뒝,시,1</v>
      </c>
      <c r="K528" s="16" t="n">
        <f aca="false">IF(B528=-1,-1,VLOOKUP(C528,$T$1:$V$20,3))</f>
        <v>5</v>
      </c>
      <c r="L528" s="16" t="n">
        <f aca="false">IF(B528=-1,-1,VLOOKUP(D528,$Y$1:$AA$22,3))</f>
        <v>16</v>
      </c>
      <c r="N528" s="10" t="str">
        <f aca="false">_xlfn.UNICHAR(((C528*21)+G528)*28+44032)</f>
        <v>디</v>
      </c>
      <c r="O528" s="10" t="str">
        <f aca="false">_xlfn.UNICHAR(((F528*21)+D528)*28+44032)</f>
        <v>쉐</v>
      </c>
      <c r="P528" s="12" t="n">
        <f aca="false">COUNTIF($A$2:$A$3000, N528) + COUNTIF($A$2:$A$3000, O528)</f>
        <v>2</v>
      </c>
      <c r="Q528" s="16" t="str">
        <f aca="false">IF(OR(B528=-1,I528=0, P528&lt;&gt;2), "albhed_dummy", _xlfn.CONCAT("albhed ", RIGHT("  " &amp; K528,2),", ", RIGHT("  " &amp; L528,2), ", " ,"""",H528,""", ", """",N528,""", ","""",O528,""""," ; ", A528))</f>
        <v>albhed  5, 16, "시", "디", "쉐" ; 뒝</v>
      </c>
    </row>
    <row r="529" customFormat="false" ht="17.9" hidden="false" customHeight="true" outlineLevel="0" collapsed="false">
      <c r="A529" s="16" t="s">
        <v>1403</v>
      </c>
      <c r="B529" s="16" t="n">
        <f aca="false">IF(_xlfn.UNICODE(A529)&lt;44032,-1,_xlfn.UNICODE(A529)-44032)</f>
        <v>2212</v>
      </c>
      <c r="C529" s="16" t="n">
        <f aca="false">IF(B529=-1,-1,INT((B529/28)/21))</f>
        <v>3</v>
      </c>
      <c r="D529" s="16" t="n">
        <f aca="false">IF(B529=-1, -1, MOD(INT(B529/28),21))</f>
        <v>16</v>
      </c>
      <c r="E529" s="16" t="n">
        <f aca="false">IF(B529=-1, -1, VLOOKUP(MOD(B529,28), $T$24:$U$52,2))</f>
        <v>0</v>
      </c>
      <c r="F529" s="16" t="n">
        <f aca="false">IF($B529=-1, -1, VLOOKUP(C529,$T$1:$V$20, 2))</f>
        <v>9</v>
      </c>
      <c r="G529" s="16" t="n">
        <f aca="false">IF($B529=-1, -1, VLOOKUP(D529,$Y$1:$Z$22,2))</f>
        <v>20</v>
      </c>
      <c r="H529" s="16" t="str">
        <f aca="false">_xlfn.UNICHAR(((F529*21)+G529)*28+44032)</f>
        <v>시</v>
      </c>
      <c r="I529" s="16" t="n">
        <f aca="false">IF(B529=-1, 1, COUNTIF($A$2:$A$3000, H529))</f>
        <v>1</v>
      </c>
      <c r="J529" s="10" t="str">
        <f aca="false">_xlfn.CONCAT(A529, ",",H529,",",I529)</f>
        <v>뒤,시,1</v>
      </c>
      <c r="K529" s="16" t="n">
        <f aca="false">IF(B529=-1,-1,VLOOKUP(C529,$T$1:$V$20,3))</f>
        <v>5</v>
      </c>
      <c r="L529" s="16" t="n">
        <f aca="false">IF(B529=-1,-1,VLOOKUP(D529,$Y$1:$AA$22,3))</f>
        <v>22</v>
      </c>
      <c r="N529" s="10" t="str">
        <f aca="false">_xlfn.UNICHAR(((C529*21)+G529)*28+44032)</f>
        <v>디</v>
      </c>
      <c r="O529" s="10" t="str">
        <f aca="false">_xlfn.UNICHAR(((F529*21)+D529)*28+44032)</f>
        <v>쉬</v>
      </c>
      <c r="P529" s="12" t="n">
        <f aca="false">COUNTIF($A$2:$A$3000, N529) + COUNTIF($A$2:$A$3000, O529)</f>
        <v>2</v>
      </c>
      <c r="Q529" s="16" t="str">
        <f aca="false">IF(OR(B529=-1,I529=0, P529&lt;&gt;2), "albhed_dummy", _xlfn.CONCAT("albhed ", RIGHT("  " &amp; K529,2),", ", RIGHT("  " &amp; L529,2), ", " ,"""",H529,""", ", """",N529,""", ","""",O529,""""," ; ", A529))</f>
        <v>albhed  5, 22, "시", "디", "쉬" ; 뒤</v>
      </c>
    </row>
    <row r="530" customFormat="false" ht="17.9" hidden="false" customHeight="true" outlineLevel="0" collapsed="false">
      <c r="A530" s="16" t="s">
        <v>1404</v>
      </c>
      <c r="B530" s="16" t="n">
        <f aca="false">IF(_xlfn.UNICODE(A530)&lt;44032,-1,_xlfn.UNICODE(A530)-44032)</f>
        <v>2216</v>
      </c>
      <c r="C530" s="16" t="n">
        <f aca="false">IF(B530=-1,-1,INT((B530/28)/21))</f>
        <v>3</v>
      </c>
      <c r="D530" s="16" t="n">
        <f aca="false">IF(B530=-1, -1, MOD(INT(B530/28),21))</f>
        <v>16</v>
      </c>
      <c r="E530" s="16" t="n">
        <f aca="false">IF(B530=-1, -1, VLOOKUP(MOD(B530,28), $T$24:$U$52,2))</f>
        <v>4</v>
      </c>
      <c r="F530" s="16" t="n">
        <f aca="false">IF($B530=-1, -1, VLOOKUP(C530,$T$1:$V$20, 2))</f>
        <v>9</v>
      </c>
      <c r="G530" s="16" t="n">
        <f aca="false">IF($B530=-1, -1, VLOOKUP(D530,$Y$1:$Z$22,2))</f>
        <v>20</v>
      </c>
      <c r="H530" s="16" t="str">
        <f aca="false">_xlfn.UNICHAR(((F530*21)+G530)*28+44032)</f>
        <v>시</v>
      </c>
      <c r="I530" s="16" t="n">
        <f aca="false">IF(B530=-1, 1, COUNTIF($A$2:$A$3000, H530))</f>
        <v>1</v>
      </c>
      <c r="J530" s="10" t="str">
        <f aca="false">_xlfn.CONCAT(A530, ",",H530,",",I530)</f>
        <v>뒨,시,1</v>
      </c>
      <c r="K530" s="16" t="n">
        <f aca="false">IF(B530=-1,-1,VLOOKUP(C530,$T$1:$V$20,3))</f>
        <v>5</v>
      </c>
      <c r="L530" s="16" t="n">
        <f aca="false">IF(B530=-1,-1,VLOOKUP(D530,$Y$1:$AA$22,3))</f>
        <v>22</v>
      </c>
      <c r="N530" s="10" t="str">
        <f aca="false">_xlfn.UNICHAR(((C530*21)+G530)*28+44032)</f>
        <v>디</v>
      </c>
      <c r="O530" s="10" t="str">
        <f aca="false">_xlfn.UNICHAR(((F530*21)+D530)*28+44032)</f>
        <v>쉬</v>
      </c>
      <c r="P530" s="12" t="n">
        <f aca="false">COUNTIF($A$2:$A$3000, N530) + COUNTIF($A$2:$A$3000, O530)</f>
        <v>2</v>
      </c>
      <c r="Q530" s="16" t="str">
        <f aca="false">IF(OR(B530=-1,I530=0, P530&lt;&gt;2), "albhed_dummy", _xlfn.CONCAT("albhed ", RIGHT("  " &amp; K530,2),", ", RIGHT("  " &amp; L530,2), ", " ,"""",H530,""", ", """",N530,""", ","""",O530,""""," ; ", A530))</f>
        <v>albhed  5, 22, "시", "디", "쉬" ; 뒨</v>
      </c>
    </row>
    <row r="531" customFormat="false" ht="17.9" hidden="false" customHeight="true" outlineLevel="0" collapsed="false">
      <c r="A531" s="16" t="s">
        <v>1405</v>
      </c>
      <c r="B531" s="16" t="n">
        <f aca="false">IF(_xlfn.UNICODE(A531)&lt;44032,-1,_xlfn.UNICODE(A531)-44032)</f>
        <v>2220</v>
      </c>
      <c r="C531" s="16" t="n">
        <f aca="false">IF(B531=-1,-1,INT((B531/28)/21))</f>
        <v>3</v>
      </c>
      <c r="D531" s="16" t="n">
        <f aca="false">IF(B531=-1, -1, MOD(INT(B531/28),21))</f>
        <v>16</v>
      </c>
      <c r="E531" s="16" t="n">
        <f aca="false">IF(B531=-1, -1, VLOOKUP(MOD(B531,28), $T$24:$U$52,2))</f>
        <v>8</v>
      </c>
      <c r="F531" s="16" t="n">
        <f aca="false">IF($B531=-1, -1, VLOOKUP(C531,$T$1:$V$20, 2))</f>
        <v>9</v>
      </c>
      <c r="G531" s="16" t="n">
        <f aca="false">IF($B531=-1, -1, VLOOKUP(D531,$Y$1:$Z$22,2))</f>
        <v>20</v>
      </c>
      <c r="H531" s="16" t="str">
        <f aca="false">_xlfn.UNICHAR(((F531*21)+G531)*28+44032)</f>
        <v>시</v>
      </c>
      <c r="I531" s="16" t="n">
        <f aca="false">IF(B531=-1, 1, COUNTIF($A$2:$A$3000, H531))</f>
        <v>1</v>
      </c>
      <c r="J531" s="10" t="str">
        <f aca="false">_xlfn.CONCAT(A531, ",",H531,",",I531)</f>
        <v>뒬,시,1</v>
      </c>
      <c r="K531" s="16" t="n">
        <f aca="false">IF(B531=-1,-1,VLOOKUP(C531,$T$1:$V$20,3))</f>
        <v>5</v>
      </c>
      <c r="L531" s="16" t="n">
        <f aca="false">IF(B531=-1,-1,VLOOKUP(D531,$Y$1:$AA$22,3))</f>
        <v>22</v>
      </c>
      <c r="N531" s="10" t="str">
        <f aca="false">_xlfn.UNICHAR(((C531*21)+G531)*28+44032)</f>
        <v>디</v>
      </c>
      <c r="O531" s="10" t="str">
        <f aca="false">_xlfn.UNICHAR(((F531*21)+D531)*28+44032)</f>
        <v>쉬</v>
      </c>
      <c r="P531" s="12" t="n">
        <f aca="false">COUNTIF($A$2:$A$3000, N531) + COUNTIF($A$2:$A$3000, O531)</f>
        <v>2</v>
      </c>
      <c r="Q531" s="16" t="str">
        <f aca="false">IF(OR(B531=-1,I531=0, P531&lt;&gt;2), "albhed_dummy", _xlfn.CONCAT("albhed ", RIGHT("  " &amp; K531,2),", ", RIGHT("  " &amp; L531,2), ", " ,"""",H531,""", ", """",N531,""", ","""",O531,""""," ; ", A531))</f>
        <v>albhed  5, 22, "시", "디", "쉬" ; 뒬</v>
      </c>
    </row>
    <row r="532" customFormat="false" ht="17.9" hidden="false" customHeight="true" outlineLevel="0" collapsed="false">
      <c r="A532" s="16" t="s">
        <v>1406</v>
      </c>
      <c r="B532" s="16" t="n">
        <f aca="false">IF(_xlfn.UNICODE(A532)&lt;44032,-1,_xlfn.UNICODE(A532)-44032)</f>
        <v>2229</v>
      </c>
      <c r="C532" s="16" t="n">
        <f aca="false">IF(B532=-1,-1,INT((B532/28)/21))</f>
        <v>3</v>
      </c>
      <c r="D532" s="16" t="n">
        <f aca="false">IF(B532=-1, -1, MOD(INT(B532/28),21))</f>
        <v>16</v>
      </c>
      <c r="E532" s="16" t="n">
        <f aca="false">IF(B532=-1, -1, VLOOKUP(MOD(B532,28), $T$24:$U$52,2))</f>
        <v>17</v>
      </c>
      <c r="F532" s="16" t="n">
        <f aca="false">IF($B532=-1, -1, VLOOKUP(C532,$T$1:$V$20, 2))</f>
        <v>9</v>
      </c>
      <c r="G532" s="16" t="n">
        <f aca="false">IF($B532=-1, -1, VLOOKUP(D532,$Y$1:$Z$22,2))</f>
        <v>20</v>
      </c>
      <c r="H532" s="16" t="str">
        <f aca="false">_xlfn.UNICHAR(((F532*21)+G532)*28+44032)</f>
        <v>시</v>
      </c>
      <c r="I532" s="16" t="n">
        <f aca="false">IF(B532=-1, 1, COUNTIF($A$2:$A$3000, H532))</f>
        <v>1</v>
      </c>
      <c r="J532" s="10" t="str">
        <f aca="false">_xlfn.CONCAT(A532, ",",H532,",",I532)</f>
        <v>뒵,시,1</v>
      </c>
      <c r="K532" s="16" t="n">
        <f aca="false">IF(B532=-1,-1,VLOOKUP(C532,$T$1:$V$20,3))</f>
        <v>5</v>
      </c>
      <c r="L532" s="16" t="n">
        <f aca="false">IF(B532=-1,-1,VLOOKUP(D532,$Y$1:$AA$22,3))</f>
        <v>22</v>
      </c>
      <c r="N532" s="10" t="str">
        <f aca="false">_xlfn.UNICHAR(((C532*21)+G532)*28+44032)</f>
        <v>디</v>
      </c>
      <c r="O532" s="10" t="str">
        <f aca="false">_xlfn.UNICHAR(((F532*21)+D532)*28+44032)</f>
        <v>쉬</v>
      </c>
      <c r="P532" s="12" t="n">
        <f aca="false">COUNTIF($A$2:$A$3000, N532) + COUNTIF($A$2:$A$3000, O532)</f>
        <v>2</v>
      </c>
      <c r="Q532" s="16" t="str">
        <f aca="false">IF(OR(B532=-1,I532=0, P532&lt;&gt;2), "albhed_dummy", _xlfn.CONCAT("albhed ", RIGHT("  " &amp; K532,2),", ", RIGHT("  " &amp; L532,2), ", " ,"""",H532,""", ", """",N532,""", ","""",O532,""""," ; ", A532))</f>
        <v>albhed  5, 22, "시", "디", "쉬" ; 뒵</v>
      </c>
    </row>
    <row r="533" customFormat="false" ht="17.9" hidden="false" customHeight="true" outlineLevel="0" collapsed="false">
      <c r="A533" s="16" t="s">
        <v>1407</v>
      </c>
      <c r="B533" s="16" t="n">
        <f aca="false">IF(_xlfn.UNICODE(A533)&lt;44032,-1,_xlfn.UNICODE(A533)-44032)</f>
        <v>2231</v>
      </c>
      <c r="C533" s="16" t="n">
        <f aca="false">IF(B533=-1,-1,INT((B533/28)/21))</f>
        <v>3</v>
      </c>
      <c r="D533" s="16" t="n">
        <f aca="false">IF(B533=-1, -1, MOD(INT(B533/28),21))</f>
        <v>16</v>
      </c>
      <c r="E533" s="16" t="n">
        <f aca="false">IF(B533=-1, -1, VLOOKUP(MOD(B533,28), $T$24:$U$52,2))</f>
        <v>19</v>
      </c>
      <c r="F533" s="16" t="n">
        <f aca="false">IF($B533=-1, -1, VLOOKUP(C533,$T$1:$V$20, 2))</f>
        <v>9</v>
      </c>
      <c r="G533" s="16" t="n">
        <f aca="false">IF($B533=-1, -1, VLOOKUP(D533,$Y$1:$Z$22,2))</f>
        <v>20</v>
      </c>
      <c r="H533" s="16" t="str">
        <f aca="false">_xlfn.UNICHAR(((F533*21)+G533)*28+44032)</f>
        <v>시</v>
      </c>
      <c r="I533" s="16" t="n">
        <f aca="false">IF(B533=-1, 1, COUNTIF($A$2:$A$3000, H533))</f>
        <v>1</v>
      </c>
      <c r="J533" s="10" t="str">
        <f aca="false">_xlfn.CONCAT(A533, ",",H533,",",I533)</f>
        <v>뒷,시,1</v>
      </c>
      <c r="K533" s="16" t="n">
        <f aca="false">IF(B533=-1,-1,VLOOKUP(C533,$T$1:$V$20,3))</f>
        <v>5</v>
      </c>
      <c r="L533" s="16" t="n">
        <f aca="false">IF(B533=-1,-1,VLOOKUP(D533,$Y$1:$AA$22,3))</f>
        <v>22</v>
      </c>
      <c r="N533" s="10" t="str">
        <f aca="false">_xlfn.UNICHAR(((C533*21)+G533)*28+44032)</f>
        <v>디</v>
      </c>
      <c r="O533" s="10" t="str">
        <f aca="false">_xlfn.UNICHAR(((F533*21)+D533)*28+44032)</f>
        <v>쉬</v>
      </c>
      <c r="P533" s="12" t="n">
        <f aca="false">COUNTIF($A$2:$A$3000, N533) + COUNTIF($A$2:$A$3000, O533)</f>
        <v>2</v>
      </c>
      <c r="Q533" s="16" t="str">
        <f aca="false">IF(OR(B533=-1,I533=0, P533&lt;&gt;2), "albhed_dummy", _xlfn.CONCAT("albhed ", RIGHT("  " &amp; K533,2),", ", RIGHT("  " &amp; L533,2), ", " ,"""",H533,""", ", """",N533,""", ","""",O533,""""," ; ", A533))</f>
        <v>albhed  5, 22, "시", "디", "쉬" ; 뒷</v>
      </c>
    </row>
    <row r="534" customFormat="false" ht="17.9" hidden="false" customHeight="true" outlineLevel="0" collapsed="false">
      <c r="A534" s="16" t="s">
        <v>1408</v>
      </c>
      <c r="B534" s="16" t="n">
        <f aca="false">IF(_xlfn.UNICODE(A534)&lt;44032,-1,_xlfn.UNICODE(A534)-44032)</f>
        <v>2233</v>
      </c>
      <c r="C534" s="16" t="n">
        <f aca="false">IF(B534=-1,-1,INT((B534/28)/21))</f>
        <v>3</v>
      </c>
      <c r="D534" s="16" t="n">
        <f aca="false">IF(B534=-1, -1, MOD(INT(B534/28),21))</f>
        <v>16</v>
      </c>
      <c r="E534" s="16" t="n">
        <f aca="false">IF(B534=-1, -1, VLOOKUP(MOD(B534,28), $T$24:$U$52,2))</f>
        <v>21</v>
      </c>
      <c r="F534" s="16" t="n">
        <f aca="false">IF($B534=-1, -1, VLOOKUP(C534,$T$1:$V$20, 2))</f>
        <v>9</v>
      </c>
      <c r="G534" s="16" t="n">
        <f aca="false">IF($B534=-1, -1, VLOOKUP(D534,$Y$1:$Z$22,2))</f>
        <v>20</v>
      </c>
      <c r="H534" s="16" t="str">
        <f aca="false">_xlfn.UNICHAR(((F534*21)+G534)*28+44032)</f>
        <v>시</v>
      </c>
      <c r="I534" s="16" t="n">
        <f aca="false">IF(B534=-1, 1, COUNTIF($A$2:$A$3000, H534))</f>
        <v>1</v>
      </c>
      <c r="J534" s="10" t="str">
        <f aca="false">_xlfn.CONCAT(A534, ",",H534,",",I534)</f>
        <v>뒹,시,1</v>
      </c>
      <c r="K534" s="16" t="n">
        <f aca="false">IF(B534=-1,-1,VLOOKUP(C534,$T$1:$V$20,3))</f>
        <v>5</v>
      </c>
      <c r="L534" s="16" t="n">
        <f aca="false">IF(B534=-1,-1,VLOOKUP(D534,$Y$1:$AA$22,3))</f>
        <v>22</v>
      </c>
      <c r="N534" s="10" t="str">
        <f aca="false">_xlfn.UNICHAR(((C534*21)+G534)*28+44032)</f>
        <v>디</v>
      </c>
      <c r="O534" s="10" t="str">
        <f aca="false">_xlfn.UNICHAR(((F534*21)+D534)*28+44032)</f>
        <v>쉬</v>
      </c>
      <c r="P534" s="12" t="n">
        <f aca="false">COUNTIF($A$2:$A$3000, N534) + COUNTIF($A$2:$A$3000, O534)</f>
        <v>2</v>
      </c>
      <c r="Q534" s="16" t="str">
        <f aca="false">IF(OR(B534=-1,I534=0, P534&lt;&gt;2), "albhed_dummy", _xlfn.CONCAT("albhed ", RIGHT("  " &amp; K534,2),", ", RIGHT("  " &amp; L534,2), ", " ,"""",H534,""", ", """",N534,""", ","""",O534,""""," ; ", A534))</f>
        <v>albhed  5, 22, "시", "디", "쉬" ; 뒹</v>
      </c>
    </row>
    <row r="535" customFormat="false" ht="17.9" hidden="false" customHeight="true" outlineLevel="0" collapsed="false">
      <c r="A535" s="16" t="s">
        <v>1409</v>
      </c>
      <c r="B535" s="16" t="n">
        <f aca="false">IF(_xlfn.UNICODE(A535)&lt;44032,-1,_xlfn.UNICODE(A535)-44032)</f>
        <v>2240</v>
      </c>
      <c r="C535" s="16" t="n">
        <f aca="false">IF(B535=-1,-1,INT((B535/28)/21))</f>
        <v>3</v>
      </c>
      <c r="D535" s="16" t="n">
        <f aca="false">IF(B535=-1, -1, MOD(INT(B535/28),21))</f>
        <v>17</v>
      </c>
      <c r="E535" s="16" t="n">
        <f aca="false">IF(B535=-1, -1, VLOOKUP(MOD(B535,28), $T$24:$U$52,2))</f>
        <v>0</v>
      </c>
      <c r="F535" s="16" t="n">
        <f aca="false">IF($B535=-1, -1, VLOOKUP(C535,$T$1:$V$20, 2))</f>
        <v>9</v>
      </c>
      <c r="G535" s="16" t="n">
        <f aca="false">IF($B535=-1, -1, VLOOKUP(D535,$Y$1:$Z$22,2))</f>
        <v>2</v>
      </c>
      <c r="H535" s="16" t="str">
        <f aca="false">_xlfn.UNICHAR(((F535*21)+G535)*28+44032)</f>
        <v>샤</v>
      </c>
      <c r="I535" s="16" t="n">
        <f aca="false">IF(B535=-1, 1, COUNTIF($A$2:$A$3000, H535))</f>
        <v>1</v>
      </c>
      <c r="J535" s="10" t="str">
        <f aca="false">_xlfn.CONCAT(A535, ",",H535,",",I535)</f>
        <v>듀,샤,1</v>
      </c>
      <c r="K535" s="16" t="n">
        <f aca="false">IF(B535=-1,-1,VLOOKUP(C535,$T$1:$V$20,3))</f>
        <v>5</v>
      </c>
      <c r="L535" s="16" t="n">
        <f aca="false">IF(B535=-1,-1,VLOOKUP(D535,$Y$1:$AA$22,3))</f>
        <v>6</v>
      </c>
      <c r="N535" s="10" t="str">
        <f aca="false">_xlfn.UNICHAR(((C535*21)+G535)*28+44032)</f>
        <v>댜</v>
      </c>
      <c r="O535" s="10" t="str">
        <f aca="false">_xlfn.UNICHAR(((F535*21)+D535)*28+44032)</f>
        <v>슈</v>
      </c>
      <c r="P535" s="12" t="n">
        <f aca="false">COUNTIF($A$2:$A$3000, N535) + COUNTIF($A$2:$A$3000, O535)</f>
        <v>2</v>
      </c>
      <c r="Q535" s="16" t="str">
        <f aca="false">IF(OR(B535=-1,I535=0, P535&lt;&gt;2), "albhed_dummy", _xlfn.CONCAT("albhed ", RIGHT("  " &amp; K535,2),", ", RIGHT("  " &amp; L535,2), ", " ,"""",H535,""", ", """",N535,""", ","""",O535,""""," ; ", A535))</f>
        <v>albhed  5,  6, "샤", "댜", "슈" ; 듀</v>
      </c>
    </row>
    <row r="536" customFormat="false" ht="17.9" hidden="false" customHeight="true" outlineLevel="0" collapsed="false">
      <c r="A536" s="16" t="s">
        <v>1410</v>
      </c>
      <c r="B536" s="16" t="n">
        <f aca="false">IF(_xlfn.UNICODE(A536)&lt;44032,-1,_xlfn.UNICODE(A536)-44032)</f>
        <v>2244</v>
      </c>
      <c r="C536" s="16" t="n">
        <f aca="false">IF(B536=-1,-1,INT((B536/28)/21))</f>
        <v>3</v>
      </c>
      <c r="D536" s="16" t="n">
        <f aca="false">IF(B536=-1, -1, MOD(INT(B536/28),21))</f>
        <v>17</v>
      </c>
      <c r="E536" s="16" t="n">
        <f aca="false">IF(B536=-1, -1, VLOOKUP(MOD(B536,28), $T$24:$U$52,2))</f>
        <v>4</v>
      </c>
      <c r="F536" s="16" t="n">
        <f aca="false">IF($B536=-1, -1, VLOOKUP(C536,$T$1:$V$20, 2))</f>
        <v>9</v>
      </c>
      <c r="G536" s="16" t="n">
        <f aca="false">IF($B536=-1, -1, VLOOKUP(D536,$Y$1:$Z$22,2))</f>
        <v>2</v>
      </c>
      <c r="H536" s="16" t="str">
        <f aca="false">_xlfn.UNICHAR(((F536*21)+G536)*28+44032)</f>
        <v>샤</v>
      </c>
      <c r="I536" s="16" t="n">
        <f aca="false">IF(B536=-1, 1, COUNTIF($A$2:$A$3000, H536))</f>
        <v>1</v>
      </c>
      <c r="J536" s="10" t="str">
        <f aca="false">_xlfn.CONCAT(A536, ",",H536,",",I536)</f>
        <v>듄,샤,1</v>
      </c>
      <c r="K536" s="16" t="n">
        <f aca="false">IF(B536=-1,-1,VLOOKUP(C536,$T$1:$V$20,3))</f>
        <v>5</v>
      </c>
      <c r="L536" s="16" t="n">
        <f aca="false">IF(B536=-1,-1,VLOOKUP(D536,$Y$1:$AA$22,3))</f>
        <v>6</v>
      </c>
      <c r="N536" s="10" t="str">
        <f aca="false">_xlfn.UNICHAR(((C536*21)+G536)*28+44032)</f>
        <v>댜</v>
      </c>
      <c r="O536" s="10" t="str">
        <f aca="false">_xlfn.UNICHAR(((F536*21)+D536)*28+44032)</f>
        <v>슈</v>
      </c>
      <c r="P536" s="12" t="n">
        <f aca="false">COUNTIF($A$2:$A$3000, N536) + COUNTIF($A$2:$A$3000, O536)</f>
        <v>2</v>
      </c>
      <c r="Q536" s="16" t="str">
        <f aca="false">IF(OR(B536=-1,I536=0, P536&lt;&gt;2), "albhed_dummy", _xlfn.CONCAT("albhed ", RIGHT("  " &amp; K536,2),", ", RIGHT("  " &amp; L536,2), ", " ,"""",H536,""", ", """",N536,""", ","""",O536,""""," ; ", A536))</f>
        <v>albhed  5,  6, "샤", "댜", "슈" ; 듄</v>
      </c>
    </row>
    <row r="537" customFormat="false" ht="17.9" hidden="false" customHeight="true" outlineLevel="0" collapsed="false">
      <c r="A537" s="16" t="s">
        <v>1411</v>
      </c>
      <c r="B537" s="16" t="n">
        <f aca="false">IF(_xlfn.UNICODE(A537)&lt;44032,-1,_xlfn.UNICODE(A537)-44032)</f>
        <v>2248</v>
      </c>
      <c r="C537" s="16" t="n">
        <f aca="false">IF(B537=-1,-1,INT((B537/28)/21))</f>
        <v>3</v>
      </c>
      <c r="D537" s="16" t="n">
        <f aca="false">IF(B537=-1, -1, MOD(INT(B537/28),21))</f>
        <v>17</v>
      </c>
      <c r="E537" s="16" t="n">
        <f aca="false">IF(B537=-1, -1, VLOOKUP(MOD(B537,28), $T$24:$U$52,2))</f>
        <v>8</v>
      </c>
      <c r="F537" s="16" t="n">
        <f aca="false">IF($B537=-1, -1, VLOOKUP(C537,$T$1:$V$20, 2))</f>
        <v>9</v>
      </c>
      <c r="G537" s="16" t="n">
        <f aca="false">IF($B537=-1, -1, VLOOKUP(D537,$Y$1:$Z$22,2))</f>
        <v>2</v>
      </c>
      <c r="H537" s="16" t="str">
        <f aca="false">_xlfn.UNICHAR(((F537*21)+G537)*28+44032)</f>
        <v>샤</v>
      </c>
      <c r="I537" s="16" t="n">
        <f aca="false">IF(B537=-1, 1, COUNTIF($A$2:$A$3000, H537))</f>
        <v>1</v>
      </c>
      <c r="J537" s="10" t="str">
        <f aca="false">_xlfn.CONCAT(A537, ",",H537,",",I537)</f>
        <v>듈,샤,1</v>
      </c>
      <c r="K537" s="16" t="n">
        <f aca="false">IF(B537=-1,-1,VLOOKUP(C537,$T$1:$V$20,3))</f>
        <v>5</v>
      </c>
      <c r="L537" s="16" t="n">
        <f aca="false">IF(B537=-1,-1,VLOOKUP(D537,$Y$1:$AA$22,3))</f>
        <v>6</v>
      </c>
      <c r="N537" s="10" t="str">
        <f aca="false">_xlfn.UNICHAR(((C537*21)+G537)*28+44032)</f>
        <v>댜</v>
      </c>
      <c r="O537" s="10" t="str">
        <f aca="false">_xlfn.UNICHAR(((F537*21)+D537)*28+44032)</f>
        <v>슈</v>
      </c>
      <c r="P537" s="12" t="n">
        <f aca="false">COUNTIF($A$2:$A$3000, N537) + COUNTIF($A$2:$A$3000, O537)</f>
        <v>2</v>
      </c>
      <c r="Q537" s="16" t="str">
        <f aca="false">IF(OR(B537=-1,I537=0, P537&lt;&gt;2), "albhed_dummy", _xlfn.CONCAT("albhed ", RIGHT("  " &amp; K537,2),", ", RIGHT("  " &amp; L537,2), ", " ,"""",H537,""", ", """",N537,""", ","""",O537,""""," ; ", A537))</f>
        <v>albhed  5,  6, "샤", "댜", "슈" ; 듈</v>
      </c>
    </row>
    <row r="538" customFormat="false" ht="17.9" hidden="false" customHeight="true" outlineLevel="0" collapsed="false">
      <c r="A538" s="16" t="s">
        <v>1412</v>
      </c>
      <c r="B538" s="16" t="n">
        <f aca="false">IF(_xlfn.UNICODE(A538)&lt;44032,-1,_xlfn.UNICODE(A538)-44032)</f>
        <v>2256</v>
      </c>
      <c r="C538" s="16" t="n">
        <f aca="false">IF(B538=-1,-1,INT((B538/28)/21))</f>
        <v>3</v>
      </c>
      <c r="D538" s="16" t="n">
        <f aca="false">IF(B538=-1, -1, MOD(INT(B538/28),21))</f>
        <v>17</v>
      </c>
      <c r="E538" s="16" t="n">
        <f aca="false">IF(B538=-1, -1, VLOOKUP(MOD(B538,28), $T$24:$U$52,2))</f>
        <v>16</v>
      </c>
      <c r="F538" s="16" t="n">
        <f aca="false">IF($B538=-1, -1, VLOOKUP(C538,$T$1:$V$20, 2))</f>
        <v>9</v>
      </c>
      <c r="G538" s="16" t="n">
        <f aca="false">IF($B538=-1, -1, VLOOKUP(D538,$Y$1:$Z$22,2))</f>
        <v>2</v>
      </c>
      <c r="H538" s="16" t="str">
        <f aca="false">_xlfn.UNICHAR(((F538*21)+G538)*28+44032)</f>
        <v>샤</v>
      </c>
      <c r="I538" s="16" t="n">
        <f aca="false">IF(B538=-1, 1, COUNTIF($A$2:$A$3000, H538))</f>
        <v>1</v>
      </c>
      <c r="J538" s="10" t="str">
        <f aca="false">_xlfn.CONCAT(A538, ",",H538,",",I538)</f>
        <v>듐,샤,1</v>
      </c>
      <c r="K538" s="16" t="n">
        <f aca="false">IF(B538=-1,-1,VLOOKUP(C538,$T$1:$V$20,3))</f>
        <v>5</v>
      </c>
      <c r="L538" s="16" t="n">
        <f aca="false">IF(B538=-1,-1,VLOOKUP(D538,$Y$1:$AA$22,3))</f>
        <v>6</v>
      </c>
      <c r="N538" s="10" t="str">
        <f aca="false">_xlfn.UNICHAR(((C538*21)+G538)*28+44032)</f>
        <v>댜</v>
      </c>
      <c r="O538" s="10" t="str">
        <f aca="false">_xlfn.UNICHAR(((F538*21)+D538)*28+44032)</f>
        <v>슈</v>
      </c>
      <c r="P538" s="12" t="n">
        <f aca="false">COUNTIF($A$2:$A$3000, N538) + COUNTIF($A$2:$A$3000, O538)</f>
        <v>2</v>
      </c>
      <c r="Q538" s="16" t="str">
        <f aca="false">IF(OR(B538=-1,I538=0, P538&lt;&gt;2), "albhed_dummy", _xlfn.CONCAT("albhed ", RIGHT("  " &amp; K538,2),", ", RIGHT("  " &amp; L538,2), ", " ,"""",H538,""", ", """",N538,""", ","""",O538,""""," ; ", A538))</f>
        <v>albhed  5,  6, "샤", "댜", "슈" ; 듐</v>
      </c>
    </row>
    <row r="539" customFormat="false" ht="17.9" hidden="false" customHeight="true" outlineLevel="0" collapsed="false">
      <c r="A539" s="16" t="s">
        <v>1413</v>
      </c>
      <c r="B539" s="16" t="n">
        <f aca="false">IF(_xlfn.UNICODE(A539)&lt;44032,-1,_xlfn.UNICODE(A539)-44032)</f>
        <v>2261</v>
      </c>
      <c r="C539" s="16" t="n">
        <f aca="false">IF(B539=-1,-1,INT((B539/28)/21))</f>
        <v>3</v>
      </c>
      <c r="D539" s="16" t="n">
        <f aca="false">IF(B539=-1, -1, MOD(INT(B539/28),21))</f>
        <v>17</v>
      </c>
      <c r="E539" s="16" t="n">
        <f aca="false">IF(B539=-1, -1, VLOOKUP(MOD(B539,28), $T$24:$U$52,2))</f>
        <v>21</v>
      </c>
      <c r="F539" s="16" t="n">
        <f aca="false">IF($B539=-1, -1, VLOOKUP(C539,$T$1:$V$20, 2))</f>
        <v>9</v>
      </c>
      <c r="G539" s="16" t="n">
        <f aca="false">IF($B539=-1, -1, VLOOKUP(D539,$Y$1:$Z$22,2))</f>
        <v>2</v>
      </c>
      <c r="H539" s="16" t="str">
        <f aca="false">_xlfn.UNICHAR(((F539*21)+G539)*28+44032)</f>
        <v>샤</v>
      </c>
      <c r="I539" s="16" t="n">
        <f aca="false">IF(B539=-1, 1, COUNTIF($A$2:$A$3000, H539))</f>
        <v>1</v>
      </c>
      <c r="J539" s="10" t="str">
        <f aca="false">_xlfn.CONCAT(A539, ",",H539,",",I539)</f>
        <v>듕,샤,1</v>
      </c>
      <c r="K539" s="16" t="n">
        <f aca="false">IF(B539=-1,-1,VLOOKUP(C539,$T$1:$V$20,3))</f>
        <v>5</v>
      </c>
      <c r="L539" s="16" t="n">
        <f aca="false">IF(B539=-1,-1,VLOOKUP(D539,$Y$1:$AA$22,3))</f>
        <v>6</v>
      </c>
      <c r="N539" s="10" t="str">
        <f aca="false">_xlfn.UNICHAR(((C539*21)+G539)*28+44032)</f>
        <v>댜</v>
      </c>
      <c r="O539" s="10" t="str">
        <f aca="false">_xlfn.UNICHAR(((F539*21)+D539)*28+44032)</f>
        <v>슈</v>
      </c>
      <c r="P539" s="12" t="n">
        <f aca="false">COUNTIF($A$2:$A$3000, N539) + COUNTIF($A$2:$A$3000, O539)</f>
        <v>2</v>
      </c>
      <c r="Q539" s="16" t="str">
        <f aca="false">IF(OR(B539=-1,I539=0, P539&lt;&gt;2), "albhed_dummy", _xlfn.CONCAT("albhed ", RIGHT("  " &amp; K539,2),", ", RIGHT("  " &amp; L539,2), ", " ,"""",H539,""", ", """",N539,""", ","""",O539,""""," ; ", A539))</f>
        <v>albhed  5,  6, "샤", "댜", "슈" ; 듕</v>
      </c>
    </row>
    <row r="540" customFormat="false" ht="17.9" hidden="false" customHeight="true" outlineLevel="0" collapsed="false">
      <c r="A540" s="16" t="s">
        <v>1414</v>
      </c>
      <c r="B540" s="16" t="n">
        <f aca="false">IF(_xlfn.UNICODE(A540)&lt;44032,-1,_xlfn.UNICODE(A540)-44032)</f>
        <v>2268</v>
      </c>
      <c r="C540" s="16" t="n">
        <f aca="false">IF(B540=-1,-1,INT((B540/28)/21))</f>
        <v>3</v>
      </c>
      <c r="D540" s="16" t="n">
        <f aca="false">IF(B540=-1, -1, MOD(INT(B540/28),21))</f>
        <v>18</v>
      </c>
      <c r="E540" s="16" t="n">
        <f aca="false">IF(B540=-1, -1, VLOOKUP(MOD(B540,28), $T$24:$U$52,2))</f>
        <v>0</v>
      </c>
      <c r="F540" s="16" t="n">
        <f aca="false">IF($B540=-1, -1, VLOOKUP(C540,$T$1:$V$20, 2))</f>
        <v>9</v>
      </c>
      <c r="G540" s="16" t="n">
        <f aca="false">IF($B540=-1, -1, VLOOKUP(D540,$Y$1:$Z$22,2))</f>
        <v>5</v>
      </c>
      <c r="H540" s="16" t="str">
        <f aca="false">_xlfn.UNICHAR(((F540*21)+G540)*28+44032)</f>
        <v>세</v>
      </c>
      <c r="I540" s="16" t="n">
        <f aca="false">IF(B540=-1, 1, COUNTIF($A$2:$A$3000, H540))</f>
        <v>1</v>
      </c>
      <c r="J540" s="10" t="str">
        <f aca="false">_xlfn.CONCAT(A540, ",",H540,",",I540)</f>
        <v>드,세,1</v>
      </c>
      <c r="K540" s="16" t="n">
        <f aca="false">IF(B540=-1,-1,VLOOKUP(C540,$T$1:$V$20,3))</f>
        <v>5</v>
      </c>
      <c r="L540" s="16" t="n">
        <f aca="false">IF(B540=-1,-1,VLOOKUP(D540,$Y$1:$AA$22,3))</f>
        <v>18</v>
      </c>
      <c r="N540" s="10" t="str">
        <f aca="false">_xlfn.UNICHAR(((C540*21)+G540)*28+44032)</f>
        <v>데</v>
      </c>
      <c r="O540" s="10" t="str">
        <f aca="false">_xlfn.UNICHAR(((F540*21)+D540)*28+44032)</f>
        <v>스</v>
      </c>
      <c r="P540" s="12" t="n">
        <f aca="false">COUNTIF($A$2:$A$3000, N540) + COUNTIF($A$2:$A$3000, O540)</f>
        <v>2</v>
      </c>
      <c r="Q540" s="16" t="str">
        <f aca="false">IF(OR(B540=-1,I540=0, P540&lt;&gt;2), "albhed_dummy", _xlfn.CONCAT("albhed ", RIGHT("  " &amp; K540,2),", ", RIGHT("  " &amp; L540,2), ", " ,"""",H540,""", ", """",N540,""", ","""",O540,""""," ; ", A540))</f>
        <v>albhed  5, 18, "세", "데", "스" ; 드</v>
      </c>
    </row>
    <row r="541" customFormat="false" ht="17.9" hidden="false" customHeight="true" outlineLevel="0" collapsed="false">
      <c r="A541" s="16" t="s">
        <v>1415</v>
      </c>
      <c r="B541" s="16" t="n">
        <f aca="false">IF(_xlfn.UNICODE(A541)&lt;44032,-1,_xlfn.UNICODE(A541)-44032)</f>
        <v>2269</v>
      </c>
      <c r="C541" s="16" t="n">
        <f aca="false">IF(B541=-1,-1,INT((B541/28)/21))</f>
        <v>3</v>
      </c>
      <c r="D541" s="16" t="n">
        <f aca="false">IF(B541=-1, -1, MOD(INT(B541/28),21))</f>
        <v>18</v>
      </c>
      <c r="E541" s="16" t="n">
        <f aca="false">IF(B541=-1, -1, VLOOKUP(MOD(B541,28), $T$24:$U$52,2))</f>
        <v>1</v>
      </c>
      <c r="F541" s="16" t="n">
        <f aca="false">IF($B541=-1, -1, VLOOKUP(C541,$T$1:$V$20, 2))</f>
        <v>9</v>
      </c>
      <c r="G541" s="16" t="n">
        <f aca="false">IF($B541=-1, -1, VLOOKUP(D541,$Y$1:$Z$22,2))</f>
        <v>5</v>
      </c>
      <c r="H541" s="16" t="str">
        <f aca="false">_xlfn.UNICHAR(((F541*21)+G541)*28+44032)</f>
        <v>세</v>
      </c>
      <c r="I541" s="16" t="n">
        <f aca="false">IF(B541=-1, 1, COUNTIF($A$2:$A$3000, H541))</f>
        <v>1</v>
      </c>
      <c r="J541" s="10" t="str">
        <f aca="false">_xlfn.CONCAT(A541, ",",H541,",",I541)</f>
        <v>득,세,1</v>
      </c>
      <c r="K541" s="16" t="n">
        <f aca="false">IF(B541=-1,-1,VLOOKUP(C541,$T$1:$V$20,3))</f>
        <v>5</v>
      </c>
      <c r="L541" s="16" t="n">
        <f aca="false">IF(B541=-1,-1,VLOOKUP(D541,$Y$1:$AA$22,3))</f>
        <v>18</v>
      </c>
      <c r="N541" s="10" t="str">
        <f aca="false">_xlfn.UNICHAR(((C541*21)+G541)*28+44032)</f>
        <v>데</v>
      </c>
      <c r="O541" s="10" t="str">
        <f aca="false">_xlfn.UNICHAR(((F541*21)+D541)*28+44032)</f>
        <v>스</v>
      </c>
      <c r="P541" s="12" t="n">
        <f aca="false">COUNTIF($A$2:$A$3000, N541) + COUNTIF($A$2:$A$3000, O541)</f>
        <v>2</v>
      </c>
      <c r="Q541" s="16" t="str">
        <f aca="false">IF(OR(B541=-1,I541=0, P541&lt;&gt;2), "albhed_dummy", _xlfn.CONCAT("albhed ", RIGHT("  " &amp; K541,2),", ", RIGHT("  " &amp; L541,2), ", " ,"""",H541,""", ", """",N541,""", ","""",O541,""""," ; ", A541))</f>
        <v>albhed  5, 18, "세", "데", "스" ; 득</v>
      </c>
    </row>
    <row r="542" customFormat="false" ht="17.9" hidden="false" customHeight="true" outlineLevel="0" collapsed="false">
      <c r="A542" s="16" t="s">
        <v>1416</v>
      </c>
      <c r="B542" s="16" t="n">
        <f aca="false">IF(_xlfn.UNICODE(A542)&lt;44032,-1,_xlfn.UNICODE(A542)-44032)</f>
        <v>2272</v>
      </c>
      <c r="C542" s="16" t="n">
        <f aca="false">IF(B542=-1,-1,INT((B542/28)/21))</f>
        <v>3</v>
      </c>
      <c r="D542" s="16" t="n">
        <f aca="false">IF(B542=-1, -1, MOD(INT(B542/28),21))</f>
        <v>18</v>
      </c>
      <c r="E542" s="16" t="n">
        <f aca="false">IF(B542=-1, -1, VLOOKUP(MOD(B542,28), $T$24:$U$52,2))</f>
        <v>4</v>
      </c>
      <c r="F542" s="16" t="n">
        <f aca="false">IF($B542=-1, -1, VLOOKUP(C542,$T$1:$V$20, 2))</f>
        <v>9</v>
      </c>
      <c r="G542" s="16" t="n">
        <f aca="false">IF($B542=-1, -1, VLOOKUP(D542,$Y$1:$Z$22,2))</f>
        <v>5</v>
      </c>
      <c r="H542" s="16" t="str">
        <f aca="false">_xlfn.UNICHAR(((F542*21)+G542)*28+44032)</f>
        <v>세</v>
      </c>
      <c r="I542" s="16" t="n">
        <f aca="false">IF(B542=-1, 1, COUNTIF($A$2:$A$3000, H542))</f>
        <v>1</v>
      </c>
      <c r="J542" s="10" t="str">
        <f aca="false">_xlfn.CONCAT(A542, ",",H542,",",I542)</f>
        <v>든,세,1</v>
      </c>
      <c r="K542" s="16" t="n">
        <f aca="false">IF(B542=-1,-1,VLOOKUP(C542,$T$1:$V$20,3))</f>
        <v>5</v>
      </c>
      <c r="L542" s="16" t="n">
        <f aca="false">IF(B542=-1,-1,VLOOKUP(D542,$Y$1:$AA$22,3))</f>
        <v>18</v>
      </c>
      <c r="N542" s="10" t="str">
        <f aca="false">_xlfn.UNICHAR(((C542*21)+G542)*28+44032)</f>
        <v>데</v>
      </c>
      <c r="O542" s="10" t="str">
        <f aca="false">_xlfn.UNICHAR(((F542*21)+D542)*28+44032)</f>
        <v>스</v>
      </c>
      <c r="P542" s="12" t="n">
        <f aca="false">COUNTIF($A$2:$A$3000, N542) + COUNTIF($A$2:$A$3000, O542)</f>
        <v>2</v>
      </c>
      <c r="Q542" s="16" t="str">
        <f aca="false">IF(OR(B542=-1,I542=0, P542&lt;&gt;2), "albhed_dummy", _xlfn.CONCAT("albhed ", RIGHT("  " &amp; K542,2),", ", RIGHT("  " &amp; L542,2), ", " ,"""",H542,""", ", """",N542,""", ","""",O542,""""," ; ", A542))</f>
        <v>albhed  5, 18, "세", "데", "스" ; 든</v>
      </c>
    </row>
    <row r="543" customFormat="false" ht="17.9" hidden="false" customHeight="true" outlineLevel="0" collapsed="false">
      <c r="A543" s="16" t="s">
        <v>1417</v>
      </c>
      <c r="B543" s="16" t="n">
        <f aca="false">IF(_xlfn.UNICODE(A543)&lt;44032,-1,_xlfn.UNICODE(A543)-44032)</f>
        <v>2275</v>
      </c>
      <c r="C543" s="16" t="n">
        <f aca="false">IF(B543=-1,-1,INT((B543/28)/21))</f>
        <v>3</v>
      </c>
      <c r="D543" s="16" t="n">
        <f aca="false">IF(B543=-1, -1, MOD(INT(B543/28),21))</f>
        <v>18</v>
      </c>
      <c r="E543" s="16" t="n">
        <f aca="false">IF(B543=-1, -1, VLOOKUP(MOD(B543,28), $T$24:$U$52,2))</f>
        <v>19</v>
      </c>
      <c r="F543" s="16" t="n">
        <f aca="false">IF($B543=-1, -1, VLOOKUP(C543,$T$1:$V$20, 2))</f>
        <v>9</v>
      </c>
      <c r="G543" s="16" t="n">
        <f aca="false">IF($B543=-1, -1, VLOOKUP(D543,$Y$1:$Z$22,2))</f>
        <v>5</v>
      </c>
      <c r="H543" s="16" t="str">
        <f aca="false">_xlfn.UNICHAR(((F543*21)+G543)*28+44032)</f>
        <v>세</v>
      </c>
      <c r="I543" s="16" t="n">
        <f aca="false">IF(B543=-1, 1, COUNTIF($A$2:$A$3000, H543))</f>
        <v>1</v>
      </c>
      <c r="J543" s="10" t="str">
        <f aca="false">_xlfn.CONCAT(A543, ",",H543,",",I543)</f>
        <v>듣,세,1</v>
      </c>
      <c r="K543" s="16" t="n">
        <f aca="false">IF(B543=-1,-1,VLOOKUP(C543,$T$1:$V$20,3))</f>
        <v>5</v>
      </c>
      <c r="L543" s="16" t="n">
        <f aca="false">IF(B543=-1,-1,VLOOKUP(D543,$Y$1:$AA$22,3))</f>
        <v>18</v>
      </c>
      <c r="N543" s="10" t="str">
        <f aca="false">_xlfn.UNICHAR(((C543*21)+G543)*28+44032)</f>
        <v>데</v>
      </c>
      <c r="O543" s="10" t="str">
        <f aca="false">_xlfn.UNICHAR(((F543*21)+D543)*28+44032)</f>
        <v>스</v>
      </c>
      <c r="P543" s="12" t="n">
        <f aca="false">COUNTIF($A$2:$A$3000, N543) + COUNTIF($A$2:$A$3000, O543)</f>
        <v>2</v>
      </c>
      <c r="Q543" s="16" t="str">
        <f aca="false">IF(OR(B543=-1,I543=0, P543&lt;&gt;2), "albhed_dummy", _xlfn.CONCAT("albhed ", RIGHT("  " &amp; K543,2),", ", RIGHT("  " &amp; L543,2), ", " ,"""",H543,""", ", """",N543,""", ","""",O543,""""," ; ", A543))</f>
        <v>albhed  5, 18, "세", "데", "스" ; 듣</v>
      </c>
    </row>
    <row r="544" customFormat="false" ht="17.9" hidden="false" customHeight="true" outlineLevel="0" collapsed="false">
      <c r="A544" s="16" t="s">
        <v>1418</v>
      </c>
      <c r="B544" s="16" t="n">
        <f aca="false">IF(_xlfn.UNICODE(A544)&lt;44032,-1,_xlfn.UNICODE(A544)-44032)</f>
        <v>2276</v>
      </c>
      <c r="C544" s="16" t="n">
        <f aca="false">IF(B544=-1,-1,INT((B544/28)/21))</f>
        <v>3</v>
      </c>
      <c r="D544" s="16" t="n">
        <f aca="false">IF(B544=-1, -1, MOD(INT(B544/28),21))</f>
        <v>18</v>
      </c>
      <c r="E544" s="16" t="n">
        <f aca="false">IF(B544=-1, -1, VLOOKUP(MOD(B544,28), $T$24:$U$52,2))</f>
        <v>8</v>
      </c>
      <c r="F544" s="16" t="n">
        <f aca="false">IF($B544=-1, -1, VLOOKUP(C544,$T$1:$V$20, 2))</f>
        <v>9</v>
      </c>
      <c r="G544" s="16" t="n">
        <f aca="false">IF($B544=-1, -1, VLOOKUP(D544,$Y$1:$Z$22,2))</f>
        <v>5</v>
      </c>
      <c r="H544" s="16" t="str">
        <f aca="false">_xlfn.UNICHAR(((F544*21)+G544)*28+44032)</f>
        <v>세</v>
      </c>
      <c r="I544" s="16" t="n">
        <f aca="false">IF(B544=-1, 1, COUNTIF($A$2:$A$3000, H544))</f>
        <v>1</v>
      </c>
      <c r="J544" s="10" t="str">
        <f aca="false">_xlfn.CONCAT(A544, ",",H544,",",I544)</f>
        <v>들,세,1</v>
      </c>
      <c r="K544" s="16" t="n">
        <f aca="false">IF(B544=-1,-1,VLOOKUP(C544,$T$1:$V$20,3))</f>
        <v>5</v>
      </c>
      <c r="L544" s="16" t="n">
        <f aca="false">IF(B544=-1,-1,VLOOKUP(D544,$Y$1:$AA$22,3))</f>
        <v>18</v>
      </c>
      <c r="N544" s="10" t="str">
        <f aca="false">_xlfn.UNICHAR(((C544*21)+G544)*28+44032)</f>
        <v>데</v>
      </c>
      <c r="O544" s="10" t="str">
        <f aca="false">_xlfn.UNICHAR(((F544*21)+D544)*28+44032)</f>
        <v>스</v>
      </c>
      <c r="P544" s="12" t="n">
        <f aca="false">COUNTIF($A$2:$A$3000, N544) + COUNTIF($A$2:$A$3000, O544)</f>
        <v>2</v>
      </c>
      <c r="Q544" s="16" t="str">
        <f aca="false">IF(OR(B544=-1,I544=0, P544&lt;&gt;2), "albhed_dummy", _xlfn.CONCAT("albhed ", RIGHT("  " &amp; K544,2),", ", RIGHT("  " &amp; L544,2), ", " ,"""",H544,""", ", """",N544,""", ","""",O544,""""," ; ", A544))</f>
        <v>albhed  5, 18, "세", "데", "스" ; 들</v>
      </c>
    </row>
    <row r="545" customFormat="false" ht="17.9" hidden="false" customHeight="true" outlineLevel="0" collapsed="false">
      <c r="A545" s="16" t="s">
        <v>1419</v>
      </c>
      <c r="B545" s="16" t="n">
        <f aca="false">IF(_xlfn.UNICODE(A545)&lt;44032,-1,_xlfn.UNICODE(A545)-44032)</f>
        <v>2278</v>
      </c>
      <c r="C545" s="16" t="n">
        <f aca="false">IF(B545=-1,-1,INT((B545/28)/21))</f>
        <v>3</v>
      </c>
      <c r="D545" s="16" t="n">
        <f aca="false">IF(B545=-1, -1, MOD(INT(B545/28),21))</f>
        <v>18</v>
      </c>
      <c r="E545" s="16" t="n">
        <f aca="false">IF(B545=-1, -1, VLOOKUP(MOD(B545,28), $T$24:$U$52,2))</f>
        <v>8</v>
      </c>
      <c r="F545" s="16" t="n">
        <f aca="false">IF($B545=-1, -1, VLOOKUP(C545,$T$1:$V$20, 2))</f>
        <v>9</v>
      </c>
      <c r="G545" s="16" t="n">
        <f aca="false">IF($B545=-1, -1, VLOOKUP(D545,$Y$1:$Z$22,2))</f>
        <v>5</v>
      </c>
      <c r="H545" s="16" t="str">
        <f aca="false">_xlfn.UNICHAR(((F545*21)+G545)*28+44032)</f>
        <v>세</v>
      </c>
      <c r="I545" s="16" t="n">
        <f aca="false">IF(B545=-1, 1, COUNTIF($A$2:$A$3000, H545))</f>
        <v>1</v>
      </c>
      <c r="J545" s="10" t="str">
        <f aca="false">_xlfn.CONCAT(A545, ",",H545,",",I545)</f>
        <v>듦,세,1</v>
      </c>
      <c r="K545" s="16" t="n">
        <f aca="false">IF(B545=-1,-1,VLOOKUP(C545,$T$1:$V$20,3))</f>
        <v>5</v>
      </c>
      <c r="L545" s="16" t="n">
        <f aca="false">IF(B545=-1,-1,VLOOKUP(D545,$Y$1:$AA$22,3))</f>
        <v>18</v>
      </c>
      <c r="N545" s="10" t="str">
        <f aca="false">_xlfn.UNICHAR(((C545*21)+G545)*28+44032)</f>
        <v>데</v>
      </c>
      <c r="O545" s="10" t="str">
        <f aca="false">_xlfn.UNICHAR(((F545*21)+D545)*28+44032)</f>
        <v>스</v>
      </c>
      <c r="P545" s="12" t="n">
        <f aca="false">COUNTIF($A$2:$A$3000, N545) + COUNTIF($A$2:$A$3000, O545)</f>
        <v>2</v>
      </c>
      <c r="Q545" s="16" t="str">
        <f aca="false">IF(OR(B545=-1,I545=0, P545&lt;&gt;2), "albhed_dummy", _xlfn.CONCAT("albhed ", RIGHT("  " &amp; K545,2),", ", RIGHT("  " &amp; L545,2), ", " ,"""",H545,""", ", """",N545,""", ","""",O545,""""," ; ", A545))</f>
        <v>albhed  5, 18, "세", "데", "스" ; 듦</v>
      </c>
    </row>
    <row r="546" customFormat="false" ht="17.9" hidden="false" customHeight="true" outlineLevel="0" collapsed="false">
      <c r="A546" s="16" t="s">
        <v>1420</v>
      </c>
      <c r="B546" s="16" t="n">
        <f aca="false">IF(_xlfn.UNICODE(A546)&lt;44032,-1,_xlfn.UNICODE(A546)-44032)</f>
        <v>2284</v>
      </c>
      <c r="C546" s="16" t="n">
        <f aca="false">IF(B546=-1,-1,INT((B546/28)/21))</f>
        <v>3</v>
      </c>
      <c r="D546" s="16" t="n">
        <f aca="false">IF(B546=-1, -1, MOD(INT(B546/28),21))</f>
        <v>18</v>
      </c>
      <c r="E546" s="16" t="n">
        <f aca="false">IF(B546=-1, -1, VLOOKUP(MOD(B546,28), $T$24:$U$52,2))</f>
        <v>16</v>
      </c>
      <c r="F546" s="16" t="n">
        <f aca="false">IF($B546=-1, -1, VLOOKUP(C546,$T$1:$V$20, 2))</f>
        <v>9</v>
      </c>
      <c r="G546" s="16" t="n">
        <f aca="false">IF($B546=-1, -1, VLOOKUP(D546,$Y$1:$Z$22,2))</f>
        <v>5</v>
      </c>
      <c r="H546" s="16" t="str">
        <f aca="false">_xlfn.UNICHAR(((F546*21)+G546)*28+44032)</f>
        <v>세</v>
      </c>
      <c r="I546" s="16" t="n">
        <f aca="false">IF(B546=-1, 1, COUNTIF($A$2:$A$3000, H546))</f>
        <v>1</v>
      </c>
      <c r="J546" s="10" t="str">
        <f aca="false">_xlfn.CONCAT(A546, ",",H546,",",I546)</f>
        <v>듬,세,1</v>
      </c>
      <c r="K546" s="16" t="n">
        <f aca="false">IF(B546=-1,-1,VLOOKUP(C546,$T$1:$V$20,3))</f>
        <v>5</v>
      </c>
      <c r="L546" s="16" t="n">
        <f aca="false">IF(B546=-1,-1,VLOOKUP(D546,$Y$1:$AA$22,3))</f>
        <v>18</v>
      </c>
      <c r="N546" s="10" t="str">
        <f aca="false">_xlfn.UNICHAR(((C546*21)+G546)*28+44032)</f>
        <v>데</v>
      </c>
      <c r="O546" s="10" t="str">
        <f aca="false">_xlfn.UNICHAR(((F546*21)+D546)*28+44032)</f>
        <v>스</v>
      </c>
      <c r="P546" s="12" t="n">
        <f aca="false">COUNTIF($A$2:$A$3000, N546) + COUNTIF($A$2:$A$3000, O546)</f>
        <v>2</v>
      </c>
      <c r="Q546" s="16" t="str">
        <f aca="false">IF(OR(B546=-1,I546=0, P546&lt;&gt;2), "albhed_dummy", _xlfn.CONCAT("albhed ", RIGHT("  " &amp; K546,2),", ", RIGHT("  " &amp; L546,2), ", " ,"""",H546,""", ", """",N546,""", ","""",O546,""""," ; ", A546))</f>
        <v>albhed  5, 18, "세", "데", "스" ; 듬</v>
      </c>
    </row>
    <row r="547" customFormat="false" ht="17.9" hidden="false" customHeight="true" outlineLevel="0" collapsed="false">
      <c r="A547" s="16" t="s">
        <v>1421</v>
      </c>
      <c r="B547" s="16" t="n">
        <f aca="false">IF(_xlfn.UNICODE(A547)&lt;44032,-1,_xlfn.UNICODE(A547)-44032)</f>
        <v>2285</v>
      </c>
      <c r="C547" s="16" t="n">
        <f aca="false">IF(B547=-1,-1,INT((B547/28)/21))</f>
        <v>3</v>
      </c>
      <c r="D547" s="16" t="n">
        <f aca="false">IF(B547=-1, -1, MOD(INT(B547/28),21))</f>
        <v>18</v>
      </c>
      <c r="E547" s="16" t="n">
        <f aca="false">IF(B547=-1, -1, VLOOKUP(MOD(B547,28), $T$24:$U$52,2))</f>
        <v>17</v>
      </c>
      <c r="F547" s="16" t="n">
        <f aca="false">IF($B547=-1, -1, VLOOKUP(C547,$T$1:$V$20, 2))</f>
        <v>9</v>
      </c>
      <c r="G547" s="16" t="n">
        <f aca="false">IF($B547=-1, -1, VLOOKUP(D547,$Y$1:$Z$22,2))</f>
        <v>5</v>
      </c>
      <c r="H547" s="16" t="str">
        <f aca="false">_xlfn.UNICHAR(((F547*21)+G547)*28+44032)</f>
        <v>세</v>
      </c>
      <c r="I547" s="16" t="n">
        <f aca="false">IF(B547=-1, 1, COUNTIF($A$2:$A$3000, H547))</f>
        <v>1</v>
      </c>
      <c r="J547" s="10" t="str">
        <f aca="false">_xlfn.CONCAT(A547, ",",H547,",",I547)</f>
        <v>듭,세,1</v>
      </c>
      <c r="K547" s="16" t="n">
        <f aca="false">IF(B547=-1,-1,VLOOKUP(C547,$T$1:$V$20,3))</f>
        <v>5</v>
      </c>
      <c r="L547" s="16" t="n">
        <f aca="false">IF(B547=-1,-1,VLOOKUP(D547,$Y$1:$AA$22,3))</f>
        <v>18</v>
      </c>
      <c r="N547" s="10" t="str">
        <f aca="false">_xlfn.UNICHAR(((C547*21)+G547)*28+44032)</f>
        <v>데</v>
      </c>
      <c r="O547" s="10" t="str">
        <f aca="false">_xlfn.UNICHAR(((F547*21)+D547)*28+44032)</f>
        <v>스</v>
      </c>
      <c r="P547" s="12" t="n">
        <f aca="false">COUNTIF($A$2:$A$3000, N547) + COUNTIF($A$2:$A$3000, O547)</f>
        <v>2</v>
      </c>
      <c r="Q547" s="16" t="str">
        <f aca="false">IF(OR(B547=-1,I547=0, P547&lt;&gt;2), "albhed_dummy", _xlfn.CONCAT("albhed ", RIGHT("  " &amp; K547,2),", ", RIGHT("  " &amp; L547,2), ", " ,"""",H547,""", ", """",N547,""", ","""",O547,""""," ; ", A547))</f>
        <v>albhed  5, 18, "세", "데", "스" ; 듭</v>
      </c>
    </row>
    <row r="548" customFormat="false" ht="17.9" hidden="false" customHeight="true" outlineLevel="0" collapsed="false">
      <c r="A548" s="16" t="s">
        <v>1422</v>
      </c>
      <c r="B548" s="16" t="n">
        <f aca="false">IF(_xlfn.UNICODE(A548)&lt;44032,-1,_xlfn.UNICODE(A548)-44032)</f>
        <v>2287</v>
      </c>
      <c r="C548" s="16" t="n">
        <f aca="false">IF(B548=-1,-1,INT((B548/28)/21))</f>
        <v>3</v>
      </c>
      <c r="D548" s="16" t="n">
        <f aca="false">IF(B548=-1, -1, MOD(INT(B548/28),21))</f>
        <v>18</v>
      </c>
      <c r="E548" s="16" t="n">
        <f aca="false">IF(B548=-1, -1, VLOOKUP(MOD(B548,28), $T$24:$U$52,2))</f>
        <v>19</v>
      </c>
      <c r="F548" s="16" t="n">
        <f aca="false">IF($B548=-1, -1, VLOOKUP(C548,$T$1:$V$20, 2))</f>
        <v>9</v>
      </c>
      <c r="G548" s="16" t="n">
        <f aca="false">IF($B548=-1, -1, VLOOKUP(D548,$Y$1:$Z$22,2))</f>
        <v>5</v>
      </c>
      <c r="H548" s="16" t="str">
        <f aca="false">_xlfn.UNICHAR(((F548*21)+G548)*28+44032)</f>
        <v>세</v>
      </c>
      <c r="I548" s="16" t="n">
        <f aca="false">IF(B548=-1, 1, COUNTIF($A$2:$A$3000, H548))</f>
        <v>1</v>
      </c>
      <c r="J548" s="10" t="str">
        <f aca="false">_xlfn.CONCAT(A548, ",",H548,",",I548)</f>
        <v>듯,세,1</v>
      </c>
      <c r="K548" s="16" t="n">
        <f aca="false">IF(B548=-1,-1,VLOOKUP(C548,$T$1:$V$20,3))</f>
        <v>5</v>
      </c>
      <c r="L548" s="16" t="n">
        <f aca="false">IF(B548=-1,-1,VLOOKUP(D548,$Y$1:$AA$22,3))</f>
        <v>18</v>
      </c>
      <c r="N548" s="10" t="str">
        <f aca="false">_xlfn.UNICHAR(((C548*21)+G548)*28+44032)</f>
        <v>데</v>
      </c>
      <c r="O548" s="10" t="str">
        <f aca="false">_xlfn.UNICHAR(((F548*21)+D548)*28+44032)</f>
        <v>스</v>
      </c>
      <c r="P548" s="12" t="n">
        <f aca="false">COUNTIF($A$2:$A$3000, N548) + COUNTIF($A$2:$A$3000, O548)</f>
        <v>2</v>
      </c>
      <c r="Q548" s="16" t="str">
        <f aca="false">IF(OR(B548=-1,I548=0, P548&lt;&gt;2), "albhed_dummy", _xlfn.CONCAT("albhed ", RIGHT("  " &amp; K548,2),", ", RIGHT("  " &amp; L548,2), ", " ,"""",H548,""", ", """",N548,""", ","""",O548,""""," ; ", A548))</f>
        <v>albhed  5, 18, "세", "데", "스" ; 듯</v>
      </c>
    </row>
    <row r="549" customFormat="false" ht="17.9" hidden="false" customHeight="true" outlineLevel="0" collapsed="false">
      <c r="A549" s="16" t="s">
        <v>1423</v>
      </c>
      <c r="B549" s="16" t="n">
        <f aca="false">IF(_xlfn.UNICODE(A549)&lt;44032,-1,_xlfn.UNICODE(A549)-44032)</f>
        <v>2289</v>
      </c>
      <c r="C549" s="16" t="n">
        <f aca="false">IF(B549=-1,-1,INT((B549/28)/21))</f>
        <v>3</v>
      </c>
      <c r="D549" s="16" t="n">
        <f aca="false">IF(B549=-1, -1, MOD(INT(B549/28),21))</f>
        <v>18</v>
      </c>
      <c r="E549" s="16" t="n">
        <f aca="false">IF(B549=-1, -1, VLOOKUP(MOD(B549,28), $T$24:$U$52,2))</f>
        <v>21</v>
      </c>
      <c r="F549" s="16" t="n">
        <f aca="false">IF($B549=-1, -1, VLOOKUP(C549,$T$1:$V$20, 2))</f>
        <v>9</v>
      </c>
      <c r="G549" s="16" t="n">
        <f aca="false">IF($B549=-1, -1, VLOOKUP(D549,$Y$1:$Z$22,2))</f>
        <v>5</v>
      </c>
      <c r="H549" s="16" t="str">
        <f aca="false">_xlfn.UNICHAR(((F549*21)+G549)*28+44032)</f>
        <v>세</v>
      </c>
      <c r="I549" s="16" t="n">
        <f aca="false">IF(B549=-1, 1, COUNTIF($A$2:$A$3000, H549))</f>
        <v>1</v>
      </c>
      <c r="J549" s="10" t="str">
        <f aca="false">_xlfn.CONCAT(A549, ",",H549,",",I549)</f>
        <v>등,세,1</v>
      </c>
      <c r="K549" s="16" t="n">
        <f aca="false">IF(B549=-1,-1,VLOOKUP(C549,$T$1:$V$20,3))</f>
        <v>5</v>
      </c>
      <c r="L549" s="16" t="n">
        <f aca="false">IF(B549=-1,-1,VLOOKUP(D549,$Y$1:$AA$22,3))</f>
        <v>18</v>
      </c>
      <c r="N549" s="10" t="str">
        <f aca="false">_xlfn.UNICHAR(((C549*21)+G549)*28+44032)</f>
        <v>데</v>
      </c>
      <c r="O549" s="10" t="str">
        <f aca="false">_xlfn.UNICHAR(((F549*21)+D549)*28+44032)</f>
        <v>스</v>
      </c>
      <c r="P549" s="12" t="n">
        <f aca="false">COUNTIF($A$2:$A$3000, N549) + COUNTIF($A$2:$A$3000, O549)</f>
        <v>2</v>
      </c>
      <c r="Q549" s="16" t="str">
        <f aca="false">IF(OR(B549=-1,I549=0, P549&lt;&gt;2), "albhed_dummy", _xlfn.CONCAT("albhed ", RIGHT("  " &amp; K549,2),", ", RIGHT("  " &amp; L549,2), ", " ,"""",H549,""", ", """",N549,""", ","""",O549,""""," ; ", A549))</f>
        <v>albhed  5, 18, "세", "데", "스" ; 등</v>
      </c>
    </row>
    <row r="550" customFormat="false" ht="17.9" hidden="false" customHeight="true" outlineLevel="0" collapsed="false">
      <c r="A550" s="16" t="s">
        <v>1424</v>
      </c>
      <c r="B550" s="16" t="n">
        <f aca="false">IF(_xlfn.UNICODE(A550)&lt;44032,-1,_xlfn.UNICODE(A550)-44032)</f>
        <v>2296</v>
      </c>
      <c r="C550" s="16" t="n">
        <f aca="false">IF(B550=-1,-1,INT((B550/28)/21))</f>
        <v>3</v>
      </c>
      <c r="D550" s="16" t="n">
        <f aca="false">IF(B550=-1, -1, MOD(INT(B550/28),21))</f>
        <v>19</v>
      </c>
      <c r="E550" s="16" t="n">
        <f aca="false">IF(B550=-1, -1, VLOOKUP(MOD(B550,28), $T$24:$U$52,2))</f>
        <v>0</v>
      </c>
      <c r="F550" s="16" t="n">
        <f aca="false">IF($B550=-1, -1, VLOOKUP(C550,$T$1:$V$20, 2))</f>
        <v>9</v>
      </c>
      <c r="G550" s="16" t="n">
        <f aca="false">IF($B550=-1, -1, VLOOKUP(D550,$Y$1:$Z$22,2))</f>
        <v>5</v>
      </c>
      <c r="H550" s="16" t="str">
        <f aca="false">_xlfn.UNICHAR(((F550*21)+G550)*28+44032)</f>
        <v>세</v>
      </c>
      <c r="I550" s="16" t="n">
        <f aca="false">IF(B550=-1, 1, COUNTIF($A$2:$A$3000, H550))</f>
        <v>1</v>
      </c>
      <c r="J550" s="10" t="str">
        <f aca="false">_xlfn.CONCAT(A550, ",",H550,",",I550)</f>
        <v>듸,세,1</v>
      </c>
      <c r="K550" s="16" t="n">
        <f aca="false">IF(B550=-1,-1,VLOOKUP(C550,$T$1:$V$20,3))</f>
        <v>5</v>
      </c>
      <c r="L550" s="16" t="n">
        <f aca="false">IF(B550=-1,-1,VLOOKUP(D550,$Y$1:$AA$22,3))</f>
        <v>24</v>
      </c>
      <c r="N550" s="10" t="str">
        <f aca="false">_xlfn.UNICHAR(((C550*21)+G550)*28+44032)</f>
        <v>데</v>
      </c>
      <c r="O550" s="10" t="str">
        <f aca="false">_xlfn.UNICHAR(((F550*21)+D550)*28+44032)</f>
        <v>싀</v>
      </c>
      <c r="P550" s="12" t="n">
        <f aca="false">COUNTIF($A$2:$A$3000, N550) + COUNTIF($A$2:$A$3000, O550)</f>
        <v>1</v>
      </c>
      <c r="Q550" s="16" t="str">
        <f aca="false">IF(OR(B550=-1,I550=0, P550&lt;&gt;2), "albhed_dummy", _xlfn.CONCAT("albhed ", RIGHT("  " &amp; K550,2),", ", RIGHT("  " &amp; L550,2), ", " ,"""",H550,""", ", """",N550,""", ","""",O550,""""," ; ", A550))</f>
        <v>albhed_dummy</v>
      </c>
    </row>
    <row r="551" customFormat="false" ht="17.9" hidden="false" customHeight="true" outlineLevel="0" collapsed="false">
      <c r="A551" s="16" t="s">
        <v>1425</v>
      </c>
      <c r="B551" s="16" t="n">
        <f aca="false">IF(_xlfn.UNICODE(A551)&lt;44032,-1,_xlfn.UNICODE(A551)-44032)</f>
        <v>2324</v>
      </c>
      <c r="C551" s="16" t="n">
        <f aca="false">IF(B551=-1,-1,INT((B551/28)/21))</f>
        <v>3</v>
      </c>
      <c r="D551" s="16" t="n">
        <f aca="false">IF(B551=-1, -1, MOD(INT(B551/28),21))</f>
        <v>20</v>
      </c>
      <c r="E551" s="16" t="n">
        <f aca="false">IF(B551=-1, -1, VLOOKUP(MOD(B551,28), $T$24:$U$52,2))</f>
        <v>0</v>
      </c>
      <c r="F551" s="16" t="n">
        <f aca="false">IF($B551=-1, -1, VLOOKUP(C551,$T$1:$V$20, 2))</f>
        <v>9</v>
      </c>
      <c r="G551" s="16" t="n">
        <f aca="false">IF($B551=-1, -1, VLOOKUP(D551,$Y$1:$Z$22,2))</f>
        <v>5</v>
      </c>
      <c r="H551" s="16" t="str">
        <f aca="false">_xlfn.UNICHAR(((F551*21)+G551)*28+44032)</f>
        <v>세</v>
      </c>
      <c r="I551" s="16" t="n">
        <f aca="false">IF(B551=-1, 1, COUNTIF($A$2:$A$3000, H551))</f>
        <v>1</v>
      </c>
      <c r="J551" s="10" t="str">
        <f aca="false">_xlfn.CONCAT(A551, ",",H551,",",I551)</f>
        <v>디,세,1</v>
      </c>
      <c r="K551" s="16" t="n">
        <f aca="false">IF(B551=-1,-1,VLOOKUP(C551,$T$1:$V$20,3))</f>
        <v>5</v>
      </c>
      <c r="L551" s="16" t="n">
        <f aca="false">IF(B551=-1,-1,VLOOKUP(D551,$Y$1:$AA$22,3))</f>
        <v>20</v>
      </c>
      <c r="N551" s="10" t="str">
        <f aca="false">_xlfn.UNICHAR(((C551*21)+G551)*28+44032)</f>
        <v>데</v>
      </c>
      <c r="O551" s="10" t="str">
        <f aca="false">_xlfn.UNICHAR(((F551*21)+D551)*28+44032)</f>
        <v>시</v>
      </c>
      <c r="P551" s="12" t="n">
        <f aca="false">COUNTIF($A$2:$A$3000, N551) + COUNTIF($A$2:$A$3000, O551)</f>
        <v>2</v>
      </c>
      <c r="Q551" s="16" t="str">
        <f aca="false">IF(OR(B551=-1,I551=0, P551&lt;&gt;2), "albhed_dummy", _xlfn.CONCAT("albhed ", RIGHT("  " &amp; K551,2),", ", RIGHT("  " &amp; L551,2), ", " ,"""",H551,""", ", """",N551,""", ","""",O551,""""," ; ", A551))</f>
        <v>albhed  5, 20, "세", "데", "시" ; 디</v>
      </c>
    </row>
    <row r="552" customFormat="false" ht="17.9" hidden="false" customHeight="true" outlineLevel="0" collapsed="false">
      <c r="A552" s="16" t="s">
        <v>1426</v>
      </c>
      <c r="B552" s="16" t="n">
        <f aca="false">IF(_xlfn.UNICODE(A552)&lt;44032,-1,_xlfn.UNICODE(A552)-44032)</f>
        <v>2325</v>
      </c>
      <c r="C552" s="16" t="n">
        <f aca="false">IF(B552=-1,-1,INT((B552/28)/21))</f>
        <v>3</v>
      </c>
      <c r="D552" s="16" t="n">
        <f aca="false">IF(B552=-1, -1, MOD(INT(B552/28),21))</f>
        <v>20</v>
      </c>
      <c r="E552" s="16" t="n">
        <f aca="false">IF(B552=-1, -1, VLOOKUP(MOD(B552,28), $T$24:$U$52,2))</f>
        <v>1</v>
      </c>
      <c r="F552" s="16" t="n">
        <f aca="false">IF($B552=-1, -1, VLOOKUP(C552,$T$1:$V$20, 2))</f>
        <v>9</v>
      </c>
      <c r="G552" s="16" t="n">
        <f aca="false">IF($B552=-1, -1, VLOOKUP(D552,$Y$1:$Z$22,2))</f>
        <v>5</v>
      </c>
      <c r="H552" s="16" t="str">
        <f aca="false">_xlfn.UNICHAR(((F552*21)+G552)*28+44032)</f>
        <v>세</v>
      </c>
      <c r="I552" s="16" t="n">
        <f aca="false">IF(B552=-1, 1, COUNTIF($A$2:$A$3000, H552))</f>
        <v>1</v>
      </c>
      <c r="J552" s="10" t="str">
        <f aca="false">_xlfn.CONCAT(A552, ",",H552,",",I552)</f>
        <v>딕,세,1</v>
      </c>
      <c r="K552" s="16" t="n">
        <f aca="false">IF(B552=-1,-1,VLOOKUP(C552,$T$1:$V$20,3))</f>
        <v>5</v>
      </c>
      <c r="L552" s="16" t="n">
        <f aca="false">IF(B552=-1,-1,VLOOKUP(D552,$Y$1:$AA$22,3))</f>
        <v>20</v>
      </c>
      <c r="N552" s="10" t="str">
        <f aca="false">_xlfn.UNICHAR(((C552*21)+G552)*28+44032)</f>
        <v>데</v>
      </c>
      <c r="O552" s="10" t="str">
        <f aca="false">_xlfn.UNICHAR(((F552*21)+D552)*28+44032)</f>
        <v>시</v>
      </c>
      <c r="P552" s="12" t="n">
        <f aca="false">COUNTIF($A$2:$A$3000, N552) + COUNTIF($A$2:$A$3000, O552)</f>
        <v>2</v>
      </c>
      <c r="Q552" s="16" t="str">
        <f aca="false">IF(OR(B552=-1,I552=0, P552&lt;&gt;2), "albhed_dummy", _xlfn.CONCAT("albhed ", RIGHT("  " &amp; K552,2),", ", RIGHT("  " &amp; L552,2), ", " ,"""",H552,""", ", """",N552,""", ","""",O552,""""," ; ", A552))</f>
        <v>albhed  5, 20, "세", "데", "시" ; 딕</v>
      </c>
    </row>
    <row r="553" customFormat="false" ht="17.9" hidden="false" customHeight="true" outlineLevel="0" collapsed="false">
      <c r="A553" s="16" t="s">
        <v>1427</v>
      </c>
      <c r="B553" s="16" t="n">
        <f aca="false">IF(_xlfn.UNICODE(A553)&lt;44032,-1,_xlfn.UNICODE(A553)-44032)</f>
        <v>2328</v>
      </c>
      <c r="C553" s="16" t="n">
        <f aca="false">IF(B553=-1,-1,INT((B553/28)/21))</f>
        <v>3</v>
      </c>
      <c r="D553" s="16" t="n">
        <f aca="false">IF(B553=-1, -1, MOD(INT(B553/28),21))</f>
        <v>20</v>
      </c>
      <c r="E553" s="16" t="n">
        <f aca="false">IF(B553=-1, -1, VLOOKUP(MOD(B553,28), $T$24:$U$52,2))</f>
        <v>4</v>
      </c>
      <c r="F553" s="16" t="n">
        <f aca="false">IF($B553=-1, -1, VLOOKUP(C553,$T$1:$V$20, 2))</f>
        <v>9</v>
      </c>
      <c r="G553" s="16" t="n">
        <f aca="false">IF($B553=-1, -1, VLOOKUP(D553,$Y$1:$Z$22,2))</f>
        <v>5</v>
      </c>
      <c r="H553" s="16" t="str">
        <f aca="false">_xlfn.UNICHAR(((F553*21)+G553)*28+44032)</f>
        <v>세</v>
      </c>
      <c r="I553" s="16" t="n">
        <f aca="false">IF(B553=-1, 1, COUNTIF($A$2:$A$3000, H553))</f>
        <v>1</v>
      </c>
      <c r="J553" s="10" t="str">
        <f aca="false">_xlfn.CONCAT(A553, ",",H553,",",I553)</f>
        <v>딘,세,1</v>
      </c>
      <c r="K553" s="16" t="n">
        <f aca="false">IF(B553=-1,-1,VLOOKUP(C553,$T$1:$V$20,3))</f>
        <v>5</v>
      </c>
      <c r="L553" s="16" t="n">
        <f aca="false">IF(B553=-1,-1,VLOOKUP(D553,$Y$1:$AA$22,3))</f>
        <v>20</v>
      </c>
      <c r="N553" s="10" t="str">
        <f aca="false">_xlfn.UNICHAR(((C553*21)+G553)*28+44032)</f>
        <v>데</v>
      </c>
      <c r="O553" s="10" t="str">
        <f aca="false">_xlfn.UNICHAR(((F553*21)+D553)*28+44032)</f>
        <v>시</v>
      </c>
      <c r="P553" s="12" t="n">
        <f aca="false">COUNTIF($A$2:$A$3000, N553) + COUNTIF($A$2:$A$3000, O553)</f>
        <v>2</v>
      </c>
      <c r="Q553" s="16" t="str">
        <f aca="false">IF(OR(B553=-1,I553=0, P553&lt;&gt;2), "albhed_dummy", _xlfn.CONCAT("albhed ", RIGHT("  " &amp; K553,2),", ", RIGHT("  " &amp; L553,2), ", " ,"""",H553,""", ", """",N553,""", ","""",O553,""""," ; ", A553))</f>
        <v>albhed  5, 20, "세", "데", "시" ; 딘</v>
      </c>
    </row>
    <row r="554" customFormat="false" ht="17.9" hidden="false" customHeight="true" outlineLevel="0" collapsed="false">
      <c r="A554" s="16" t="s">
        <v>1428</v>
      </c>
      <c r="B554" s="16" t="n">
        <f aca="false">IF(_xlfn.UNICODE(A554)&lt;44032,-1,_xlfn.UNICODE(A554)-44032)</f>
        <v>2331</v>
      </c>
      <c r="C554" s="16" t="n">
        <f aca="false">IF(B554=-1,-1,INT((B554/28)/21))</f>
        <v>3</v>
      </c>
      <c r="D554" s="16" t="n">
        <f aca="false">IF(B554=-1, -1, MOD(INT(B554/28),21))</f>
        <v>20</v>
      </c>
      <c r="E554" s="16" t="n">
        <f aca="false">IF(B554=-1, -1, VLOOKUP(MOD(B554,28), $T$24:$U$52,2))</f>
        <v>19</v>
      </c>
      <c r="F554" s="16" t="n">
        <f aca="false">IF($B554=-1, -1, VLOOKUP(C554,$T$1:$V$20, 2))</f>
        <v>9</v>
      </c>
      <c r="G554" s="16" t="n">
        <f aca="false">IF($B554=-1, -1, VLOOKUP(D554,$Y$1:$Z$22,2))</f>
        <v>5</v>
      </c>
      <c r="H554" s="16" t="str">
        <f aca="false">_xlfn.UNICHAR(((F554*21)+G554)*28+44032)</f>
        <v>세</v>
      </c>
      <c r="I554" s="16" t="n">
        <f aca="false">IF(B554=-1, 1, COUNTIF($A$2:$A$3000, H554))</f>
        <v>1</v>
      </c>
      <c r="J554" s="10" t="str">
        <f aca="false">_xlfn.CONCAT(A554, ",",H554,",",I554)</f>
        <v>딛,세,1</v>
      </c>
      <c r="K554" s="16" t="n">
        <f aca="false">IF(B554=-1,-1,VLOOKUP(C554,$T$1:$V$20,3))</f>
        <v>5</v>
      </c>
      <c r="L554" s="16" t="n">
        <f aca="false">IF(B554=-1,-1,VLOOKUP(D554,$Y$1:$AA$22,3))</f>
        <v>20</v>
      </c>
      <c r="N554" s="10" t="str">
        <f aca="false">_xlfn.UNICHAR(((C554*21)+G554)*28+44032)</f>
        <v>데</v>
      </c>
      <c r="O554" s="10" t="str">
        <f aca="false">_xlfn.UNICHAR(((F554*21)+D554)*28+44032)</f>
        <v>시</v>
      </c>
      <c r="P554" s="12" t="n">
        <f aca="false">COUNTIF($A$2:$A$3000, N554) + COUNTIF($A$2:$A$3000, O554)</f>
        <v>2</v>
      </c>
      <c r="Q554" s="16" t="str">
        <f aca="false">IF(OR(B554=-1,I554=0, P554&lt;&gt;2), "albhed_dummy", _xlfn.CONCAT("albhed ", RIGHT("  " &amp; K554,2),", ", RIGHT("  " &amp; L554,2), ", " ,"""",H554,""", ", """",N554,""", ","""",O554,""""," ; ", A554))</f>
        <v>albhed  5, 20, "세", "데", "시" ; 딛</v>
      </c>
    </row>
    <row r="555" customFormat="false" ht="17.9" hidden="false" customHeight="true" outlineLevel="0" collapsed="false">
      <c r="A555" s="16" t="s">
        <v>1429</v>
      </c>
      <c r="B555" s="16" t="n">
        <f aca="false">IF(_xlfn.UNICODE(A555)&lt;44032,-1,_xlfn.UNICODE(A555)-44032)</f>
        <v>2332</v>
      </c>
      <c r="C555" s="16" t="n">
        <f aca="false">IF(B555=-1,-1,INT((B555/28)/21))</f>
        <v>3</v>
      </c>
      <c r="D555" s="16" t="n">
        <f aca="false">IF(B555=-1, -1, MOD(INT(B555/28),21))</f>
        <v>20</v>
      </c>
      <c r="E555" s="16" t="n">
        <f aca="false">IF(B555=-1, -1, VLOOKUP(MOD(B555,28), $T$24:$U$52,2))</f>
        <v>8</v>
      </c>
      <c r="F555" s="16" t="n">
        <f aca="false">IF($B555=-1, -1, VLOOKUP(C555,$T$1:$V$20, 2))</f>
        <v>9</v>
      </c>
      <c r="G555" s="16" t="n">
        <f aca="false">IF($B555=-1, -1, VLOOKUP(D555,$Y$1:$Z$22,2))</f>
        <v>5</v>
      </c>
      <c r="H555" s="16" t="str">
        <f aca="false">_xlfn.UNICHAR(((F555*21)+G555)*28+44032)</f>
        <v>세</v>
      </c>
      <c r="I555" s="16" t="n">
        <f aca="false">IF(B555=-1, 1, COUNTIF($A$2:$A$3000, H555))</f>
        <v>1</v>
      </c>
      <c r="J555" s="10" t="str">
        <f aca="false">_xlfn.CONCAT(A555, ",",H555,",",I555)</f>
        <v>딜,세,1</v>
      </c>
      <c r="K555" s="16" t="n">
        <f aca="false">IF(B555=-1,-1,VLOOKUP(C555,$T$1:$V$20,3))</f>
        <v>5</v>
      </c>
      <c r="L555" s="16" t="n">
        <f aca="false">IF(B555=-1,-1,VLOOKUP(D555,$Y$1:$AA$22,3))</f>
        <v>20</v>
      </c>
      <c r="N555" s="10" t="str">
        <f aca="false">_xlfn.UNICHAR(((C555*21)+G555)*28+44032)</f>
        <v>데</v>
      </c>
      <c r="O555" s="10" t="str">
        <f aca="false">_xlfn.UNICHAR(((F555*21)+D555)*28+44032)</f>
        <v>시</v>
      </c>
      <c r="P555" s="12" t="n">
        <f aca="false">COUNTIF($A$2:$A$3000, N555) + COUNTIF($A$2:$A$3000, O555)</f>
        <v>2</v>
      </c>
      <c r="Q555" s="16" t="str">
        <f aca="false">IF(OR(B555=-1,I555=0, P555&lt;&gt;2), "albhed_dummy", _xlfn.CONCAT("albhed ", RIGHT("  " &amp; K555,2),", ", RIGHT("  " &amp; L555,2), ", " ,"""",H555,""", ", """",N555,""", ","""",O555,""""," ; ", A555))</f>
        <v>albhed  5, 20, "세", "데", "시" ; 딜</v>
      </c>
    </row>
    <row r="556" customFormat="false" ht="17.9" hidden="false" customHeight="true" outlineLevel="0" collapsed="false">
      <c r="A556" s="16" t="s">
        <v>1430</v>
      </c>
      <c r="B556" s="16" t="n">
        <f aca="false">IF(_xlfn.UNICODE(A556)&lt;44032,-1,_xlfn.UNICODE(A556)-44032)</f>
        <v>2340</v>
      </c>
      <c r="C556" s="16" t="n">
        <f aca="false">IF(B556=-1,-1,INT((B556/28)/21))</f>
        <v>3</v>
      </c>
      <c r="D556" s="16" t="n">
        <f aca="false">IF(B556=-1, -1, MOD(INT(B556/28),21))</f>
        <v>20</v>
      </c>
      <c r="E556" s="16" t="n">
        <f aca="false">IF(B556=-1, -1, VLOOKUP(MOD(B556,28), $T$24:$U$52,2))</f>
        <v>16</v>
      </c>
      <c r="F556" s="16" t="n">
        <f aca="false">IF($B556=-1, -1, VLOOKUP(C556,$T$1:$V$20, 2))</f>
        <v>9</v>
      </c>
      <c r="G556" s="16" t="n">
        <f aca="false">IF($B556=-1, -1, VLOOKUP(D556,$Y$1:$Z$22,2))</f>
        <v>5</v>
      </c>
      <c r="H556" s="16" t="str">
        <f aca="false">_xlfn.UNICHAR(((F556*21)+G556)*28+44032)</f>
        <v>세</v>
      </c>
      <c r="I556" s="16" t="n">
        <f aca="false">IF(B556=-1, 1, COUNTIF($A$2:$A$3000, H556))</f>
        <v>1</v>
      </c>
      <c r="J556" s="10" t="str">
        <f aca="false">_xlfn.CONCAT(A556, ",",H556,",",I556)</f>
        <v>딤,세,1</v>
      </c>
      <c r="K556" s="16" t="n">
        <f aca="false">IF(B556=-1,-1,VLOOKUP(C556,$T$1:$V$20,3))</f>
        <v>5</v>
      </c>
      <c r="L556" s="16" t="n">
        <f aca="false">IF(B556=-1,-1,VLOOKUP(D556,$Y$1:$AA$22,3))</f>
        <v>20</v>
      </c>
      <c r="N556" s="10" t="str">
        <f aca="false">_xlfn.UNICHAR(((C556*21)+G556)*28+44032)</f>
        <v>데</v>
      </c>
      <c r="O556" s="10" t="str">
        <f aca="false">_xlfn.UNICHAR(((F556*21)+D556)*28+44032)</f>
        <v>시</v>
      </c>
      <c r="P556" s="12" t="n">
        <f aca="false">COUNTIF($A$2:$A$3000, N556) + COUNTIF($A$2:$A$3000, O556)</f>
        <v>2</v>
      </c>
      <c r="Q556" s="16" t="str">
        <f aca="false">IF(OR(B556=-1,I556=0, P556&lt;&gt;2), "albhed_dummy", _xlfn.CONCAT("albhed ", RIGHT("  " &amp; K556,2),", ", RIGHT("  " &amp; L556,2), ", " ,"""",H556,""", ", """",N556,""", ","""",O556,""""," ; ", A556))</f>
        <v>albhed  5, 20, "세", "데", "시" ; 딤</v>
      </c>
    </row>
    <row r="557" customFormat="false" ht="17.9" hidden="false" customHeight="true" outlineLevel="0" collapsed="false">
      <c r="A557" s="16" t="s">
        <v>1431</v>
      </c>
      <c r="B557" s="16" t="n">
        <f aca="false">IF(_xlfn.UNICODE(A557)&lt;44032,-1,_xlfn.UNICODE(A557)-44032)</f>
        <v>2341</v>
      </c>
      <c r="C557" s="16" t="n">
        <f aca="false">IF(B557=-1,-1,INT((B557/28)/21))</f>
        <v>3</v>
      </c>
      <c r="D557" s="16" t="n">
        <f aca="false">IF(B557=-1, -1, MOD(INT(B557/28),21))</f>
        <v>20</v>
      </c>
      <c r="E557" s="16" t="n">
        <f aca="false">IF(B557=-1, -1, VLOOKUP(MOD(B557,28), $T$24:$U$52,2))</f>
        <v>17</v>
      </c>
      <c r="F557" s="16" t="n">
        <f aca="false">IF($B557=-1, -1, VLOOKUP(C557,$T$1:$V$20, 2))</f>
        <v>9</v>
      </c>
      <c r="G557" s="16" t="n">
        <f aca="false">IF($B557=-1, -1, VLOOKUP(D557,$Y$1:$Z$22,2))</f>
        <v>5</v>
      </c>
      <c r="H557" s="16" t="str">
        <f aca="false">_xlfn.UNICHAR(((F557*21)+G557)*28+44032)</f>
        <v>세</v>
      </c>
      <c r="I557" s="16" t="n">
        <f aca="false">IF(B557=-1, 1, COUNTIF($A$2:$A$3000, H557))</f>
        <v>1</v>
      </c>
      <c r="J557" s="10" t="str">
        <f aca="false">_xlfn.CONCAT(A557, ",",H557,",",I557)</f>
        <v>딥,세,1</v>
      </c>
      <c r="K557" s="16" t="n">
        <f aca="false">IF(B557=-1,-1,VLOOKUP(C557,$T$1:$V$20,3))</f>
        <v>5</v>
      </c>
      <c r="L557" s="16" t="n">
        <f aca="false">IF(B557=-1,-1,VLOOKUP(D557,$Y$1:$AA$22,3))</f>
        <v>20</v>
      </c>
      <c r="N557" s="10" t="str">
        <f aca="false">_xlfn.UNICHAR(((C557*21)+G557)*28+44032)</f>
        <v>데</v>
      </c>
      <c r="O557" s="10" t="str">
        <f aca="false">_xlfn.UNICHAR(((F557*21)+D557)*28+44032)</f>
        <v>시</v>
      </c>
      <c r="P557" s="12" t="n">
        <f aca="false">COUNTIF($A$2:$A$3000, N557) + COUNTIF($A$2:$A$3000, O557)</f>
        <v>2</v>
      </c>
      <c r="Q557" s="16" t="str">
        <f aca="false">IF(OR(B557=-1,I557=0, P557&lt;&gt;2), "albhed_dummy", _xlfn.CONCAT("albhed ", RIGHT("  " &amp; K557,2),", ", RIGHT("  " &amp; L557,2), ", " ,"""",H557,""", ", """",N557,""", ","""",O557,""""," ; ", A557))</f>
        <v>albhed  5, 20, "세", "데", "시" ; 딥</v>
      </c>
    </row>
    <row r="558" customFormat="false" ht="17.9" hidden="false" customHeight="true" outlineLevel="0" collapsed="false">
      <c r="A558" s="16" t="s">
        <v>1432</v>
      </c>
      <c r="B558" s="16" t="n">
        <f aca="false">IF(_xlfn.UNICODE(A558)&lt;44032,-1,_xlfn.UNICODE(A558)-44032)</f>
        <v>2343</v>
      </c>
      <c r="C558" s="16" t="n">
        <f aca="false">IF(B558=-1,-1,INT((B558/28)/21))</f>
        <v>3</v>
      </c>
      <c r="D558" s="16" t="n">
        <f aca="false">IF(B558=-1, -1, MOD(INT(B558/28),21))</f>
        <v>20</v>
      </c>
      <c r="E558" s="16" t="n">
        <f aca="false">IF(B558=-1, -1, VLOOKUP(MOD(B558,28), $T$24:$U$52,2))</f>
        <v>19</v>
      </c>
      <c r="F558" s="16" t="n">
        <f aca="false">IF($B558=-1, -1, VLOOKUP(C558,$T$1:$V$20, 2))</f>
        <v>9</v>
      </c>
      <c r="G558" s="16" t="n">
        <f aca="false">IF($B558=-1, -1, VLOOKUP(D558,$Y$1:$Z$22,2))</f>
        <v>5</v>
      </c>
      <c r="H558" s="16" t="str">
        <f aca="false">_xlfn.UNICHAR(((F558*21)+G558)*28+44032)</f>
        <v>세</v>
      </c>
      <c r="I558" s="16" t="n">
        <f aca="false">IF(B558=-1, 1, COUNTIF($A$2:$A$3000, H558))</f>
        <v>1</v>
      </c>
      <c r="J558" s="10" t="str">
        <f aca="false">_xlfn.CONCAT(A558, ",",H558,",",I558)</f>
        <v>딧,세,1</v>
      </c>
      <c r="K558" s="16" t="n">
        <f aca="false">IF(B558=-1,-1,VLOOKUP(C558,$T$1:$V$20,3))</f>
        <v>5</v>
      </c>
      <c r="L558" s="16" t="n">
        <f aca="false">IF(B558=-1,-1,VLOOKUP(D558,$Y$1:$AA$22,3))</f>
        <v>20</v>
      </c>
      <c r="N558" s="10" t="str">
        <f aca="false">_xlfn.UNICHAR(((C558*21)+G558)*28+44032)</f>
        <v>데</v>
      </c>
      <c r="O558" s="10" t="str">
        <f aca="false">_xlfn.UNICHAR(((F558*21)+D558)*28+44032)</f>
        <v>시</v>
      </c>
      <c r="P558" s="12" t="n">
        <f aca="false">COUNTIF($A$2:$A$3000, N558) + COUNTIF($A$2:$A$3000, O558)</f>
        <v>2</v>
      </c>
      <c r="Q558" s="16" t="str">
        <f aca="false">IF(OR(B558=-1,I558=0, P558&lt;&gt;2), "albhed_dummy", _xlfn.CONCAT("albhed ", RIGHT("  " &amp; K558,2),", ", RIGHT("  " &amp; L558,2), ", " ,"""",H558,""", ", """",N558,""", ","""",O558,""""," ; ", A558))</f>
        <v>albhed  5, 20, "세", "데", "시" ; 딧</v>
      </c>
    </row>
    <row r="559" customFormat="false" ht="17.9" hidden="false" customHeight="true" outlineLevel="0" collapsed="false">
      <c r="A559" s="16" t="s">
        <v>1433</v>
      </c>
      <c r="B559" s="16" t="n">
        <f aca="false">IF(_xlfn.UNICODE(A559)&lt;44032,-1,_xlfn.UNICODE(A559)-44032)</f>
        <v>2344</v>
      </c>
      <c r="C559" s="16" t="n">
        <f aca="false">IF(B559=-1,-1,INT((B559/28)/21))</f>
        <v>3</v>
      </c>
      <c r="D559" s="16" t="n">
        <f aca="false">IF(B559=-1, -1, MOD(INT(B559/28),21))</f>
        <v>20</v>
      </c>
      <c r="E559" s="16" t="n">
        <f aca="false">IF(B559=-1, -1, VLOOKUP(MOD(B559,28), $T$24:$U$52,2))</f>
        <v>19</v>
      </c>
      <c r="F559" s="16" t="n">
        <f aca="false">IF($B559=-1, -1, VLOOKUP(C559,$T$1:$V$20, 2))</f>
        <v>9</v>
      </c>
      <c r="G559" s="16" t="n">
        <f aca="false">IF($B559=-1, -1, VLOOKUP(D559,$Y$1:$Z$22,2))</f>
        <v>5</v>
      </c>
      <c r="H559" s="16" t="str">
        <f aca="false">_xlfn.UNICHAR(((F559*21)+G559)*28+44032)</f>
        <v>세</v>
      </c>
      <c r="I559" s="16" t="n">
        <f aca="false">IF(B559=-1, 1, COUNTIF($A$2:$A$3000, H559))</f>
        <v>1</v>
      </c>
      <c r="J559" s="10" t="str">
        <f aca="false">_xlfn.CONCAT(A559, ",",H559,",",I559)</f>
        <v>딨,세,1</v>
      </c>
      <c r="K559" s="16" t="n">
        <f aca="false">IF(B559=-1,-1,VLOOKUP(C559,$T$1:$V$20,3))</f>
        <v>5</v>
      </c>
      <c r="L559" s="16" t="n">
        <f aca="false">IF(B559=-1,-1,VLOOKUP(D559,$Y$1:$AA$22,3))</f>
        <v>20</v>
      </c>
      <c r="N559" s="10" t="str">
        <f aca="false">_xlfn.UNICHAR(((C559*21)+G559)*28+44032)</f>
        <v>데</v>
      </c>
      <c r="O559" s="10" t="str">
        <f aca="false">_xlfn.UNICHAR(((F559*21)+D559)*28+44032)</f>
        <v>시</v>
      </c>
      <c r="P559" s="12" t="n">
        <f aca="false">COUNTIF($A$2:$A$3000, N559) + COUNTIF($A$2:$A$3000, O559)</f>
        <v>2</v>
      </c>
      <c r="Q559" s="16" t="str">
        <f aca="false">IF(OR(B559=-1,I559=0, P559&lt;&gt;2), "albhed_dummy", _xlfn.CONCAT("albhed ", RIGHT("  " &amp; K559,2),", ", RIGHT("  " &amp; L559,2), ", " ,"""",H559,""", ", """",N559,""", ","""",O559,""""," ; ", A559))</f>
        <v>albhed  5, 20, "세", "데", "시" ; 딨</v>
      </c>
    </row>
    <row r="560" customFormat="false" ht="17.9" hidden="false" customHeight="true" outlineLevel="0" collapsed="false">
      <c r="A560" s="16" t="s">
        <v>1434</v>
      </c>
      <c r="B560" s="16" t="n">
        <f aca="false">IF(_xlfn.UNICODE(A560)&lt;44032,-1,_xlfn.UNICODE(A560)-44032)</f>
        <v>2345</v>
      </c>
      <c r="C560" s="16" t="n">
        <f aca="false">IF(B560=-1,-1,INT((B560/28)/21))</f>
        <v>3</v>
      </c>
      <c r="D560" s="16" t="n">
        <f aca="false">IF(B560=-1, -1, MOD(INT(B560/28),21))</f>
        <v>20</v>
      </c>
      <c r="E560" s="16" t="n">
        <f aca="false">IF(B560=-1, -1, VLOOKUP(MOD(B560,28), $T$24:$U$52,2))</f>
        <v>21</v>
      </c>
      <c r="F560" s="16" t="n">
        <f aca="false">IF($B560=-1, -1, VLOOKUP(C560,$T$1:$V$20, 2))</f>
        <v>9</v>
      </c>
      <c r="G560" s="16" t="n">
        <f aca="false">IF($B560=-1, -1, VLOOKUP(D560,$Y$1:$Z$22,2))</f>
        <v>5</v>
      </c>
      <c r="H560" s="16" t="str">
        <f aca="false">_xlfn.UNICHAR(((F560*21)+G560)*28+44032)</f>
        <v>세</v>
      </c>
      <c r="I560" s="16" t="n">
        <f aca="false">IF(B560=-1, 1, COUNTIF($A$2:$A$3000, H560))</f>
        <v>1</v>
      </c>
      <c r="J560" s="10" t="str">
        <f aca="false">_xlfn.CONCAT(A560, ",",H560,",",I560)</f>
        <v>딩,세,1</v>
      </c>
      <c r="K560" s="16" t="n">
        <f aca="false">IF(B560=-1,-1,VLOOKUP(C560,$T$1:$V$20,3))</f>
        <v>5</v>
      </c>
      <c r="L560" s="16" t="n">
        <f aca="false">IF(B560=-1,-1,VLOOKUP(D560,$Y$1:$AA$22,3))</f>
        <v>20</v>
      </c>
      <c r="N560" s="10" t="str">
        <f aca="false">_xlfn.UNICHAR(((C560*21)+G560)*28+44032)</f>
        <v>데</v>
      </c>
      <c r="O560" s="10" t="str">
        <f aca="false">_xlfn.UNICHAR(((F560*21)+D560)*28+44032)</f>
        <v>시</v>
      </c>
      <c r="P560" s="12" t="n">
        <f aca="false">COUNTIF($A$2:$A$3000, N560) + COUNTIF($A$2:$A$3000, O560)</f>
        <v>2</v>
      </c>
      <c r="Q560" s="16" t="str">
        <f aca="false">IF(OR(B560=-1,I560=0, P560&lt;&gt;2), "albhed_dummy", _xlfn.CONCAT("albhed ", RIGHT("  " &amp; K560,2),", ", RIGHT("  " &amp; L560,2), ", " ,"""",H560,""", ", """",N560,""", ","""",O560,""""," ; ", A560))</f>
        <v>albhed  5, 20, "세", "데", "시" ; 딩</v>
      </c>
    </row>
    <row r="561" customFormat="false" ht="17.9" hidden="false" customHeight="true" outlineLevel="0" collapsed="false">
      <c r="A561" s="16" t="s">
        <v>1435</v>
      </c>
      <c r="B561" s="16" t="n">
        <f aca="false">IF(_xlfn.UNICODE(A561)&lt;44032,-1,_xlfn.UNICODE(A561)-44032)</f>
        <v>2346</v>
      </c>
      <c r="C561" s="16" t="n">
        <f aca="false">IF(B561=-1,-1,INT((B561/28)/21))</f>
        <v>3</v>
      </c>
      <c r="D561" s="16" t="n">
        <f aca="false">IF(B561=-1, -1, MOD(INT(B561/28),21))</f>
        <v>20</v>
      </c>
      <c r="E561" s="16" t="n">
        <f aca="false">IF(B561=-1, -1, VLOOKUP(MOD(B561,28), $T$24:$U$52,2))</f>
        <v>19</v>
      </c>
      <c r="F561" s="16" t="n">
        <f aca="false">IF($B561=-1, -1, VLOOKUP(C561,$T$1:$V$20, 2))</f>
        <v>9</v>
      </c>
      <c r="G561" s="16" t="n">
        <f aca="false">IF($B561=-1, -1, VLOOKUP(D561,$Y$1:$Z$22,2))</f>
        <v>5</v>
      </c>
      <c r="H561" s="16" t="str">
        <f aca="false">_xlfn.UNICHAR(((F561*21)+G561)*28+44032)</f>
        <v>세</v>
      </c>
      <c r="I561" s="16" t="n">
        <f aca="false">IF(B561=-1, 1, COUNTIF($A$2:$A$3000, H561))</f>
        <v>1</v>
      </c>
      <c r="J561" s="10" t="str">
        <f aca="false">_xlfn.CONCAT(A561, ",",H561,",",I561)</f>
        <v>딪,세,1</v>
      </c>
      <c r="K561" s="16" t="n">
        <f aca="false">IF(B561=-1,-1,VLOOKUP(C561,$T$1:$V$20,3))</f>
        <v>5</v>
      </c>
      <c r="L561" s="16" t="n">
        <f aca="false">IF(B561=-1,-1,VLOOKUP(D561,$Y$1:$AA$22,3))</f>
        <v>20</v>
      </c>
      <c r="N561" s="10" t="str">
        <f aca="false">_xlfn.UNICHAR(((C561*21)+G561)*28+44032)</f>
        <v>데</v>
      </c>
      <c r="O561" s="10" t="str">
        <f aca="false">_xlfn.UNICHAR(((F561*21)+D561)*28+44032)</f>
        <v>시</v>
      </c>
      <c r="P561" s="12" t="n">
        <f aca="false">COUNTIF($A$2:$A$3000, N561) + COUNTIF($A$2:$A$3000, O561)</f>
        <v>2</v>
      </c>
      <c r="Q561" s="16" t="str">
        <f aca="false">IF(OR(B561=-1,I561=0, P561&lt;&gt;2), "albhed_dummy", _xlfn.CONCAT("albhed ", RIGHT("  " &amp; K561,2),", ", RIGHT("  " &amp; L561,2), ", " ,"""",H561,""", ", """",N561,""", ","""",O561,""""," ; ", A561))</f>
        <v>albhed  5, 20, "세", "데", "시" ; 딪</v>
      </c>
    </row>
    <row r="562" customFormat="false" ht="17.9" hidden="false" customHeight="true" outlineLevel="0" collapsed="false">
      <c r="A562" s="16" t="s">
        <v>1436</v>
      </c>
      <c r="B562" s="16" t="n">
        <f aca="false">IF(_xlfn.UNICODE(A562)&lt;44032,-1,_xlfn.UNICODE(A562)-44032)</f>
        <v>2352</v>
      </c>
      <c r="C562" s="16" t="n">
        <f aca="false">IF(B562=-1,-1,INT((B562/28)/21))</f>
        <v>4</v>
      </c>
      <c r="D562" s="16" t="n">
        <f aca="false">IF(B562=-1, -1, MOD(INT(B562/28),21))</f>
        <v>0</v>
      </c>
      <c r="E562" s="16" t="n">
        <f aca="false">IF(B562=-1, -1, VLOOKUP(MOD(B562,28), $T$24:$U$52,2))</f>
        <v>0</v>
      </c>
      <c r="F562" s="16" t="n">
        <f aca="false">IF($B562=-1, -1, VLOOKUP(C562,$T$1:$V$20, 2))</f>
        <v>10</v>
      </c>
      <c r="G562" s="16" t="n">
        <f aca="false">IF($B562=-1, -1, VLOOKUP(D562,$Y$1:$Z$22,2))</f>
        <v>13</v>
      </c>
      <c r="H562" s="16" t="str">
        <f aca="false">_xlfn.UNICHAR(((F562*21)+G562)*28+44032)</f>
        <v>쑤</v>
      </c>
      <c r="I562" s="16" t="n">
        <f aca="false">IF(B562=-1, 1, COUNTIF($A$2:$A$3000, H562))</f>
        <v>1</v>
      </c>
      <c r="J562" s="10" t="str">
        <f aca="false">_xlfn.CONCAT(A562, ",",H562,",",I562)</f>
        <v>따,쑤,1</v>
      </c>
      <c r="K562" s="16" t="n">
        <f aca="false">IF(B562=-1,-1,VLOOKUP(C562,$T$1:$V$20,3))</f>
        <v>5</v>
      </c>
      <c r="L562" s="16" t="n">
        <f aca="false">IF(B562=-1,-1,VLOOKUP(D562,$Y$1:$AA$22,3))</f>
        <v>2</v>
      </c>
      <c r="N562" s="10" t="str">
        <f aca="false">_xlfn.UNICHAR(((C562*21)+G562)*28+44032)</f>
        <v>뚜</v>
      </c>
      <c r="O562" s="10" t="str">
        <f aca="false">_xlfn.UNICHAR(((F562*21)+D562)*28+44032)</f>
        <v>싸</v>
      </c>
      <c r="P562" s="12" t="n">
        <f aca="false">COUNTIF($A$2:$A$3000, N562) + COUNTIF($A$2:$A$3000, O562)</f>
        <v>2</v>
      </c>
      <c r="Q562" s="16" t="str">
        <f aca="false">IF(OR(B562=-1,I562=0, P562&lt;&gt;2), "albhed_dummy", _xlfn.CONCAT("albhed ", RIGHT("  " &amp; K562,2),", ", RIGHT("  " &amp; L562,2), ", " ,"""",H562,""", ", """",N562,""", ","""",O562,""""," ; ", A562))</f>
        <v>albhed  5,  2, "쑤", "뚜", "싸" ; 따</v>
      </c>
    </row>
    <row r="563" customFormat="false" ht="17.9" hidden="false" customHeight="true" outlineLevel="0" collapsed="false">
      <c r="A563" s="16" t="s">
        <v>1437</v>
      </c>
      <c r="B563" s="16" t="n">
        <f aca="false">IF(_xlfn.UNICODE(A563)&lt;44032,-1,_xlfn.UNICODE(A563)-44032)</f>
        <v>2353</v>
      </c>
      <c r="C563" s="16" t="n">
        <f aca="false">IF(B563=-1,-1,INT((B563/28)/21))</f>
        <v>4</v>
      </c>
      <c r="D563" s="16" t="n">
        <f aca="false">IF(B563=-1, -1, MOD(INT(B563/28),21))</f>
        <v>0</v>
      </c>
      <c r="E563" s="16" t="n">
        <f aca="false">IF(B563=-1, -1, VLOOKUP(MOD(B563,28), $T$24:$U$52,2))</f>
        <v>1</v>
      </c>
      <c r="F563" s="16" t="n">
        <f aca="false">IF($B563=-1, -1, VLOOKUP(C563,$T$1:$V$20, 2))</f>
        <v>10</v>
      </c>
      <c r="G563" s="16" t="n">
        <f aca="false">IF($B563=-1, -1, VLOOKUP(D563,$Y$1:$Z$22,2))</f>
        <v>13</v>
      </c>
      <c r="H563" s="16" t="str">
        <f aca="false">_xlfn.UNICHAR(((F563*21)+G563)*28+44032)</f>
        <v>쑤</v>
      </c>
      <c r="I563" s="16" t="n">
        <f aca="false">IF(B563=-1, 1, COUNTIF($A$2:$A$3000, H563))</f>
        <v>1</v>
      </c>
      <c r="J563" s="10" t="str">
        <f aca="false">_xlfn.CONCAT(A563, ",",H563,",",I563)</f>
        <v>딱,쑤,1</v>
      </c>
      <c r="K563" s="16" t="n">
        <f aca="false">IF(B563=-1,-1,VLOOKUP(C563,$T$1:$V$20,3))</f>
        <v>5</v>
      </c>
      <c r="L563" s="16" t="n">
        <f aca="false">IF(B563=-1,-1,VLOOKUP(D563,$Y$1:$AA$22,3))</f>
        <v>2</v>
      </c>
      <c r="N563" s="10" t="str">
        <f aca="false">_xlfn.UNICHAR(((C563*21)+G563)*28+44032)</f>
        <v>뚜</v>
      </c>
      <c r="O563" s="10" t="str">
        <f aca="false">_xlfn.UNICHAR(((F563*21)+D563)*28+44032)</f>
        <v>싸</v>
      </c>
      <c r="P563" s="12" t="n">
        <f aca="false">COUNTIF($A$2:$A$3000, N563) + COUNTIF($A$2:$A$3000, O563)</f>
        <v>2</v>
      </c>
      <c r="Q563" s="16" t="str">
        <f aca="false">IF(OR(B563=-1,I563=0, P563&lt;&gt;2), "albhed_dummy", _xlfn.CONCAT("albhed ", RIGHT("  " &amp; K563,2),", ", RIGHT("  " &amp; L563,2), ", " ,"""",H563,""", ", """",N563,""", ","""",O563,""""," ; ", A563))</f>
        <v>albhed  5,  2, "쑤", "뚜", "싸" ; 딱</v>
      </c>
    </row>
    <row r="564" customFormat="false" ht="17.9" hidden="false" customHeight="true" outlineLevel="0" collapsed="false">
      <c r="A564" s="16" t="s">
        <v>1438</v>
      </c>
      <c r="B564" s="16" t="n">
        <f aca="false">IF(_xlfn.UNICODE(A564)&lt;44032,-1,_xlfn.UNICODE(A564)-44032)</f>
        <v>2356</v>
      </c>
      <c r="C564" s="16" t="n">
        <f aca="false">IF(B564=-1,-1,INT((B564/28)/21))</f>
        <v>4</v>
      </c>
      <c r="D564" s="16" t="n">
        <f aca="false">IF(B564=-1, -1, MOD(INT(B564/28),21))</f>
        <v>0</v>
      </c>
      <c r="E564" s="16" t="n">
        <f aca="false">IF(B564=-1, -1, VLOOKUP(MOD(B564,28), $T$24:$U$52,2))</f>
        <v>4</v>
      </c>
      <c r="F564" s="16" t="n">
        <f aca="false">IF($B564=-1, -1, VLOOKUP(C564,$T$1:$V$20, 2))</f>
        <v>10</v>
      </c>
      <c r="G564" s="16" t="n">
        <f aca="false">IF($B564=-1, -1, VLOOKUP(D564,$Y$1:$Z$22,2))</f>
        <v>13</v>
      </c>
      <c r="H564" s="16" t="str">
        <f aca="false">_xlfn.UNICHAR(((F564*21)+G564)*28+44032)</f>
        <v>쑤</v>
      </c>
      <c r="I564" s="16" t="n">
        <f aca="false">IF(B564=-1, 1, COUNTIF($A$2:$A$3000, H564))</f>
        <v>1</v>
      </c>
      <c r="J564" s="10" t="str">
        <f aca="false">_xlfn.CONCAT(A564, ",",H564,",",I564)</f>
        <v>딴,쑤,1</v>
      </c>
      <c r="K564" s="16" t="n">
        <f aca="false">IF(B564=-1,-1,VLOOKUP(C564,$T$1:$V$20,3))</f>
        <v>5</v>
      </c>
      <c r="L564" s="16" t="n">
        <f aca="false">IF(B564=-1,-1,VLOOKUP(D564,$Y$1:$AA$22,3))</f>
        <v>2</v>
      </c>
      <c r="N564" s="10" t="str">
        <f aca="false">_xlfn.UNICHAR(((C564*21)+G564)*28+44032)</f>
        <v>뚜</v>
      </c>
      <c r="O564" s="10" t="str">
        <f aca="false">_xlfn.UNICHAR(((F564*21)+D564)*28+44032)</f>
        <v>싸</v>
      </c>
      <c r="P564" s="12" t="n">
        <f aca="false">COUNTIF($A$2:$A$3000, N564) + COUNTIF($A$2:$A$3000, O564)</f>
        <v>2</v>
      </c>
      <c r="Q564" s="16" t="str">
        <f aca="false">IF(OR(B564=-1,I564=0, P564&lt;&gt;2), "albhed_dummy", _xlfn.CONCAT("albhed ", RIGHT("  " &amp; K564,2),", ", RIGHT("  " &amp; L564,2), ", " ,"""",H564,""", ", """",N564,""", ","""",O564,""""," ; ", A564))</f>
        <v>albhed  5,  2, "쑤", "뚜", "싸" ; 딴</v>
      </c>
    </row>
    <row r="565" customFormat="false" ht="17.9" hidden="false" customHeight="true" outlineLevel="0" collapsed="false">
      <c r="A565" s="16" t="s">
        <v>1439</v>
      </c>
      <c r="B565" s="16" t="n">
        <f aca="false">IF(_xlfn.UNICODE(A565)&lt;44032,-1,_xlfn.UNICODE(A565)-44032)</f>
        <v>2360</v>
      </c>
      <c r="C565" s="16" t="n">
        <f aca="false">IF(B565=-1,-1,INT((B565/28)/21))</f>
        <v>4</v>
      </c>
      <c r="D565" s="16" t="n">
        <f aca="false">IF(B565=-1, -1, MOD(INT(B565/28),21))</f>
        <v>0</v>
      </c>
      <c r="E565" s="16" t="n">
        <f aca="false">IF(B565=-1, -1, VLOOKUP(MOD(B565,28), $T$24:$U$52,2))</f>
        <v>8</v>
      </c>
      <c r="F565" s="16" t="n">
        <f aca="false">IF($B565=-1, -1, VLOOKUP(C565,$T$1:$V$20, 2))</f>
        <v>10</v>
      </c>
      <c r="G565" s="16" t="n">
        <f aca="false">IF($B565=-1, -1, VLOOKUP(D565,$Y$1:$Z$22,2))</f>
        <v>13</v>
      </c>
      <c r="H565" s="16" t="str">
        <f aca="false">_xlfn.UNICHAR(((F565*21)+G565)*28+44032)</f>
        <v>쑤</v>
      </c>
      <c r="I565" s="16" t="n">
        <f aca="false">IF(B565=-1, 1, COUNTIF($A$2:$A$3000, H565))</f>
        <v>1</v>
      </c>
      <c r="J565" s="10" t="str">
        <f aca="false">_xlfn.CONCAT(A565, ",",H565,",",I565)</f>
        <v>딸,쑤,1</v>
      </c>
      <c r="K565" s="16" t="n">
        <f aca="false">IF(B565=-1,-1,VLOOKUP(C565,$T$1:$V$20,3))</f>
        <v>5</v>
      </c>
      <c r="L565" s="16" t="n">
        <f aca="false">IF(B565=-1,-1,VLOOKUP(D565,$Y$1:$AA$22,3))</f>
        <v>2</v>
      </c>
      <c r="N565" s="10" t="str">
        <f aca="false">_xlfn.UNICHAR(((C565*21)+G565)*28+44032)</f>
        <v>뚜</v>
      </c>
      <c r="O565" s="10" t="str">
        <f aca="false">_xlfn.UNICHAR(((F565*21)+D565)*28+44032)</f>
        <v>싸</v>
      </c>
      <c r="P565" s="12" t="n">
        <f aca="false">COUNTIF($A$2:$A$3000, N565) + COUNTIF($A$2:$A$3000, O565)</f>
        <v>2</v>
      </c>
      <c r="Q565" s="16" t="str">
        <f aca="false">IF(OR(B565=-1,I565=0, P565&lt;&gt;2), "albhed_dummy", _xlfn.CONCAT("albhed ", RIGHT("  " &amp; K565,2),", ", RIGHT("  " &amp; L565,2), ", " ,"""",H565,""", ", """",N565,""", ","""",O565,""""," ; ", A565))</f>
        <v>albhed  5,  2, "쑤", "뚜", "싸" ; 딸</v>
      </c>
    </row>
    <row r="566" customFormat="false" ht="17.9" hidden="false" customHeight="true" outlineLevel="0" collapsed="false">
      <c r="A566" s="16" t="s">
        <v>1440</v>
      </c>
      <c r="B566" s="16" t="n">
        <f aca="false">IF(_xlfn.UNICODE(A566)&lt;44032,-1,_xlfn.UNICODE(A566)-44032)</f>
        <v>2368</v>
      </c>
      <c r="C566" s="16" t="n">
        <f aca="false">IF(B566=-1,-1,INT((B566/28)/21))</f>
        <v>4</v>
      </c>
      <c r="D566" s="16" t="n">
        <f aca="false">IF(B566=-1, -1, MOD(INT(B566/28),21))</f>
        <v>0</v>
      </c>
      <c r="E566" s="16" t="n">
        <f aca="false">IF(B566=-1, -1, VLOOKUP(MOD(B566,28), $T$24:$U$52,2))</f>
        <v>16</v>
      </c>
      <c r="F566" s="16" t="n">
        <f aca="false">IF($B566=-1, -1, VLOOKUP(C566,$T$1:$V$20, 2))</f>
        <v>10</v>
      </c>
      <c r="G566" s="16" t="n">
        <f aca="false">IF($B566=-1, -1, VLOOKUP(D566,$Y$1:$Z$22,2))</f>
        <v>13</v>
      </c>
      <c r="H566" s="16" t="str">
        <f aca="false">_xlfn.UNICHAR(((F566*21)+G566)*28+44032)</f>
        <v>쑤</v>
      </c>
      <c r="I566" s="16" t="n">
        <f aca="false">IF(B566=-1, 1, COUNTIF($A$2:$A$3000, H566))</f>
        <v>1</v>
      </c>
      <c r="J566" s="10" t="str">
        <f aca="false">_xlfn.CONCAT(A566, ",",H566,",",I566)</f>
        <v>땀,쑤,1</v>
      </c>
      <c r="K566" s="16" t="n">
        <f aca="false">IF(B566=-1,-1,VLOOKUP(C566,$T$1:$V$20,3))</f>
        <v>5</v>
      </c>
      <c r="L566" s="16" t="n">
        <f aca="false">IF(B566=-1,-1,VLOOKUP(D566,$Y$1:$AA$22,3))</f>
        <v>2</v>
      </c>
      <c r="N566" s="10" t="str">
        <f aca="false">_xlfn.UNICHAR(((C566*21)+G566)*28+44032)</f>
        <v>뚜</v>
      </c>
      <c r="O566" s="10" t="str">
        <f aca="false">_xlfn.UNICHAR(((F566*21)+D566)*28+44032)</f>
        <v>싸</v>
      </c>
      <c r="P566" s="12" t="n">
        <f aca="false">COUNTIF($A$2:$A$3000, N566) + COUNTIF($A$2:$A$3000, O566)</f>
        <v>2</v>
      </c>
      <c r="Q566" s="16" t="str">
        <f aca="false">IF(OR(B566=-1,I566=0, P566&lt;&gt;2), "albhed_dummy", _xlfn.CONCAT("albhed ", RIGHT("  " &amp; K566,2),", ", RIGHT("  " &amp; L566,2), ", " ,"""",H566,""", ", """",N566,""", ","""",O566,""""," ; ", A566))</f>
        <v>albhed  5,  2, "쑤", "뚜", "싸" ; 땀</v>
      </c>
    </row>
    <row r="567" customFormat="false" ht="17.9" hidden="false" customHeight="true" outlineLevel="0" collapsed="false">
      <c r="A567" s="16" t="s">
        <v>1441</v>
      </c>
      <c r="B567" s="16" t="n">
        <f aca="false">IF(_xlfn.UNICODE(A567)&lt;44032,-1,_xlfn.UNICODE(A567)-44032)</f>
        <v>2369</v>
      </c>
      <c r="C567" s="16" t="n">
        <f aca="false">IF(B567=-1,-1,INT((B567/28)/21))</f>
        <v>4</v>
      </c>
      <c r="D567" s="16" t="n">
        <f aca="false">IF(B567=-1, -1, MOD(INT(B567/28),21))</f>
        <v>0</v>
      </c>
      <c r="E567" s="16" t="n">
        <f aca="false">IF(B567=-1, -1, VLOOKUP(MOD(B567,28), $T$24:$U$52,2))</f>
        <v>17</v>
      </c>
      <c r="F567" s="16" t="n">
        <f aca="false">IF($B567=-1, -1, VLOOKUP(C567,$T$1:$V$20, 2))</f>
        <v>10</v>
      </c>
      <c r="G567" s="16" t="n">
        <f aca="false">IF($B567=-1, -1, VLOOKUP(D567,$Y$1:$Z$22,2))</f>
        <v>13</v>
      </c>
      <c r="H567" s="16" t="str">
        <f aca="false">_xlfn.UNICHAR(((F567*21)+G567)*28+44032)</f>
        <v>쑤</v>
      </c>
      <c r="I567" s="16" t="n">
        <f aca="false">IF(B567=-1, 1, COUNTIF($A$2:$A$3000, H567))</f>
        <v>1</v>
      </c>
      <c r="J567" s="10" t="str">
        <f aca="false">_xlfn.CONCAT(A567, ",",H567,",",I567)</f>
        <v>땁,쑤,1</v>
      </c>
      <c r="K567" s="16" t="n">
        <f aca="false">IF(B567=-1,-1,VLOOKUP(C567,$T$1:$V$20,3))</f>
        <v>5</v>
      </c>
      <c r="L567" s="16" t="n">
        <f aca="false">IF(B567=-1,-1,VLOOKUP(D567,$Y$1:$AA$22,3))</f>
        <v>2</v>
      </c>
      <c r="N567" s="10" t="str">
        <f aca="false">_xlfn.UNICHAR(((C567*21)+G567)*28+44032)</f>
        <v>뚜</v>
      </c>
      <c r="O567" s="10" t="str">
        <f aca="false">_xlfn.UNICHAR(((F567*21)+D567)*28+44032)</f>
        <v>싸</v>
      </c>
      <c r="P567" s="12" t="n">
        <f aca="false">COUNTIF($A$2:$A$3000, N567) + COUNTIF($A$2:$A$3000, O567)</f>
        <v>2</v>
      </c>
      <c r="Q567" s="16" t="str">
        <f aca="false">IF(OR(B567=-1,I567=0, P567&lt;&gt;2), "albhed_dummy", _xlfn.CONCAT("albhed ", RIGHT("  " &amp; K567,2),", ", RIGHT("  " &amp; L567,2), ", " ,"""",H567,""", ", """",N567,""", ","""",O567,""""," ; ", A567))</f>
        <v>albhed  5,  2, "쑤", "뚜", "싸" ; 땁</v>
      </c>
    </row>
    <row r="568" customFormat="false" ht="17.9" hidden="false" customHeight="true" outlineLevel="0" collapsed="false">
      <c r="A568" s="16" t="s">
        <v>1442</v>
      </c>
      <c r="B568" s="16" t="n">
        <f aca="false">IF(_xlfn.UNICODE(A568)&lt;44032,-1,_xlfn.UNICODE(A568)-44032)</f>
        <v>2371</v>
      </c>
      <c r="C568" s="16" t="n">
        <f aca="false">IF(B568=-1,-1,INT((B568/28)/21))</f>
        <v>4</v>
      </c>
      <c r="D568" s="16" t="n">
        <f aca="false">IF(B568=-1, -1, MOD(INT(B568/28),21))</f>
        <v>0</v>
      </c>
      <c r="E568" s="16" t="n">
        <f aca="false">IF(B568=-1, -1, VLOOKUP(MOD(B568,28), $T$24:$U$52,2))</f>
        <v>19</v>
      </c>
      <c r="F568" s="16" t="n">
        <f aca="false">IF($B568=-1, -1, VLOOKUP(C568,$T$1:$V$20, 2))</f>
        <v>10</v>
      </c>
      <c r="G568" s="16" t="n">
        <f aca="false">IF($B568=-1, -1, VLOOKUP(D568,$Y$1:$Z$22,2))</f>
        <v>13</v>
      </c>
      <c r="H568" s="16" t="str">
        <f aca="false">_xlfn.UNICHAR(((F568*21)+G568)*28+44032)</f>
        <v>쑤</v>
      </c>
      <c r="I568" s="16" t="n">
        <f aca="false">IF(B568=-1, 1, COUNTIF($A$2:$A$3000, H568))</f>
        <v>1</v>
      </c>
      <c r="J568" s="10" t="str">
        <f aca="false">_xlfn.CONCAT(A568, ",",H568,",",I568)</f>
        <v>땃,쑤,1</v>
      </c>
      <c r="K568" s="16" t="n">
        <f aca="false">IF(B568=-1,-1,VLOOKUP(C568,$T$1:$V$20,3))</f>
        <v>5</v>
      </c>
      <c r="L568" s="16" t="n">
        <f aca="false">IF(B568=-1,-1,VLOOKUP(D568,$Y$1:$AA$22,3))</f>
        <v>2</v>
      </c>
      <c r="N568" s="10" t="str">
        <f aca="false">_xlfn.UNICHAR(((C568*21)+G568)*28+44032)</f>
        <v>뚜</v>
      </c>
      <c r="O568" s="10" t="str">
        <f aca="false">_xlfn.UNICHAR(((F568*21)+D568)*28+44032)</f>
        <v>싸</v>
      </c>
      <c r="P568" s="12" t="n">
        <f aca="false">COUNTIF($A$2:$A$3000, N568) + COUNTIF($A$2:$A$3000, O568)</f>
        <v>2</v>
      </c>
      <c r="Q568" s="16" t="str">
        <f aca="false">IF(OR(B568=-1,I568=0, P568&lt;&gt;2), "albhed_dummy", _xlfn.CONCAT("albhed ", RIGHT("  " &amp; K568,2),", ", RIGHT("  " &amp; L568,2), ", " ,"""",H568,""", ", """",N568,""", ","""",O568,""""," ; ", A568))</f>
        <v>albhed  5,  2, "쑤", "뚜", "싸" ; 땃</v>
      </c>
    </row>
    <row r="569" customFormat="false" ht="17.9" hidden="false" customHeight="true" outlineLevel="0" collapsed="false">
      <c r="A569" s="16" t="s">
        <v>1443</v>
      </c>
      <c r="B569" s="16" t="n">
        <f aca="false">IF(_xlfn.UNICODE(A569)&lt;44032,-1,_xlfn.UNICODE(A569)-44032)</f>
        <v>2372</v>
      </c>
      <c r="C569" s="16" t="n">
        <f aca="false">IF(B569=-1,-1,INT((B569/28)/21))</f>
        <v>4</v>
      </c>
      <c r="D569" s="16" t="n">
        <f aca="false">IF(B569=-1, -1, MOD(INT(B569/28),21))</f>
        <v>0</v>
      </c>
      <c r="E569" s="16" t="n">
        <f aca="false">IF(B569=-1, -1, VLOOKUP(MOD(B569,28), $T$24:$U$52,2))</f>
        <v>19</v>
      </c>
      <c r="F569" s="16" t="n">
        <f aca="false">IF($B569=-1, -1, VLOOKUP(C569,$T$1:$V$20, 2))</f>
        <v>10</v>
      </c>
      <c r="G569" s="16" t="n">
        <f aca="false">IF($B569=-1, -1, VLOOKUP(D569,$Y$1:$Z$22,2))</f>
        <v>13</v>
      </c>
      <c r="H569" s="16" t="str">
        <f aca="false">_xlfn.UNICHAR(((F569*21)+G569)*28+44032)</f>
        <v>쑤</v>
      </c>
      <c r="I569" s="16" t="n">
        <f aca="false">IF(B569=-1, 1, COUNTIF($A$2:$A$3000, H569))</f>
        <v>1</v>
      </c>
      <c r="J569" s="10" t="str">
        <f aca="false">_xlfn.CONCAT(A569, ",",H569,",",I569)</f>
        <v>땄,쑤,1</v>
      </c>
      <c r="K569" s="16" t="n">
        <f aca="false">IF(B569=-1,-1,VLOOKUP(C569,$T$1:$V$20,3))</f>
        <v>5</v>
      </c>
      <c r="L569" s="16" t="n">
        <f aca="false">IF(B569=-1,-1,VLOOKUP(D569,$Y$1:$AA$22,3))</f>
        <v>2</v>
      </c>
      <c r="N569" s="10" t="str">
        <f aca="false">_xlfn.UNICHAR(((C569*21)+G569)*28+44032)</f>
        <v>뚜</v>
      </c>
      <c r="O569" s="10" t="str">
        <f aca="false">_xlfn.UNICHAR(((F569*21)+D569)*28+44032)</f>
        <v>싸</v>
      </c>
      <c r="P569" s="12" t="n">
        <f aca="false">COUNTIF($A$2:$A$3000, N569) + COUNTIF($A$2:$A$3000, O569)</f>
        <v>2</v>
      </c>
      <c r="Q569" s="16" t="str">
        <f aca="false">IF(OR(B569=-1,I569=0, P569&lt;&gt;2), "albhed_dummy", _xlfn.CONCAT("albhed ", RIGHT("  " &amp; K569,2),", ", RIGHT("  " &amp; L569,2), ", " ,"""",H569,""", ", """",N569,""", ","""",O569,""""," ; ", A569))</f>
        <v>albhed  5,  2, "쑤", "뚜", "싸" ; 땄</v>
      </c>
    </row>
    <row r="570" customFormat="false" ht="17.9" hidden="false" customHeight="true" outlineLevel="0" collapsed="false">
      <c r="A570" s="16" t="s">
        <v>1444</v>
      </c>
      <c r="B570" s="16" t="n">
        <f aca="false">IF(_xlfn.UNICODE(A570)&lt;44032,-1,_xlfn.UNICODE(A570)-44032)</f>
        <v>2373</v>
      </c>
      <c r="C570" s="16" t="n">
        <f aca="false">IF(B570=-1,-1,INT((B570/28)/21))</f>
        <v>4</v>
      </c>
      <c r="D570" s="16" t="n">
        <f aca="false">IF(B570=-1, -1, MOD(INT(B570/28),21))</f>
        <v>0</v>
      </c>
      <c r="E570" s="16" t="n">
        <f aca="false">IF(B570=-1, -1, VLOOKUP(MOD(B570,28), $T$24:$U$52,2))</f>
        <v>21</v>
      </c>
      <c r="F570" s="16" t="n">
        <f aca="false">IF($B570=-1, -1, VLOOKUP(C570,$T$1:$V$20, 2))</f>
        <v>10</v>
      </c>
      <c r="G570" s="16" t="n">
        <f aca="false">IF($B570=-1, -1, VLOOKUP(D570,$Y$1:$Z$22,2))</f>
        <v>13</v>
      </c>
      <c r="H570" s="16" t="str">
        <f aca="false">_xlfn.UNICHAR(((F570*21)+G570)*28+44032)</f>
        <v>쑤</v>
      </c>
      <c r="I570" s="16" t="n">
        <f aca="false">IF(B570=-1, 1, COUNTIF($A$2:$A$3000, H570))</f>
        <v>1</v>
      </c>
      <c r="J570" s="10" t="str">
        <f aca="false">_xlfn.CONCAT(A570, ",",H570,",",I570)</f>
        <v>땅,쑤,1</v>
      </c>
      <c r="K570" s="16" t="n">
        <f aca="false">IF(B570=-1,-1,VLOOKUP(C570,$T$1:$V$20,3))</f>
        <v>5</v>
      </c>
      <c r="L570" s="16" t="n">
        <f aca="false">IF(B570=-1,-1,VLOOKUP(D570,$Y$1:$AA$22,3))</f>
        <v>2</v>
      </c>
      <c r="N570" s="10" t="str">
        <f aca="false">_xlfn.UNICHAR(((C570*21)+G570)*28+44032)</f>
        <v>뚜</v>
      </c>
      <c r="O570" s="10" t="str">
        <f aca="false">_xlfn.UNICHAR(((F570*21)+D570)*28+44032)</f>
        <v>싸</v>
      </c>
      <c r="P570" s="12" t="n">
        <f aca="false">COUNTIF($A$2:$A$3000, N570) + COUNTIF($A$2:$A$3000, O570)</f>
        <v>2</v>
      </c>
      <c r="Q570" s="16" t="str">
        <f aca="false">IF(OR(B570=-1,I570=0, P570&lt;&gt;2), "albhed_dummy", _xlfn.CONCAT("albhed ", RIGHT("  " &amp; K570,2),", ", RIGHT("  " &amp; L570,2), ", " ,"""",H570,""", ", """",N570,""", ","""",O570,""""," ; ", A570))</f>
        <v>albhed  5,  2, "쑤", "뚜", "싸" ; 땅</v>
      </c>
    </row>
    <row r="571" customFormat="false" ht="17.9" hidden="false" customHeight="true" outlineLevel="0" collapsed="false">
      <c r="A571" s="16" t="s">
        <v>1445</v>
      </c>
      <c r="B571" s="16" t="n">
        <f aca="false">IF(_xlfn.UNICODE(A571)&lt;44032,-1,_xlfn.UNICODE(A571)-44032)</f>
        <v>2379</v>
      </c>
      <c r="C571" s="16" t="n">
        <f aca="false">IF(B571=-1,-1,INT((B571/28)/21))</f>
        <v>4</v>
      </c>
      <c r="D571" s="16" t="n">
        <f aca="false">IF(B571=-1, -1, MOD(INT(B571/28),21))</f>
        <v>0</v>
      </c>
      <c r="E571" s="16" t="n">
        <f aca="false">IF(B571=-1, -1, VLOOKUP(MOD(B571,28), $T$24:$U$52,2))</f>
        <v>19</v>
      </c>
      <c r="F571" s="16" t="n">
        <f aca="false">IF($B571=-1, -1, VLOOKUP(C571,$T$1:$V$20, 2))</f>
        <v>10</v>
      </c>
      <c r="G571" s="16" t="n">
        <f aca="false">IF($B571=-1, -1, VLOOKUP(D571,$Y$1:$Z$22,2))</f>
        <v>13</v>
      </c>
      <c r="H571" s="16" t="str">
        <f aca="false">_xlfn.UNICHAR(((F571*21)+G571)*28+44032)</f>
        <v>쑤</v>
      </c>
      <c r="I571" s="16" t="n">
        <f aca="false">IF(B571=-1, 1, COUNTIF($A$2:$A$3000, H571))</f>
        <v>1</v>
      </c>
      <c r="J571" s="10" t="str">
        <f aca="false">_xlfn.CONCAT(A571, ",",H571,",",I571)</f>
        <v>땋,쑤,1</v>
      </c>
      <c r="K571" s="16" t="n">
        <f aca="false">IF(B571=-1,-1,VLOOKUP(C571,$T$1:$V$20,3))</f>
        <v>5</v>
      </c>
      <c r="L571" s="16" t="n">
        <f aca="false">IF(B571=-1,-1,VLOOKUP(D571,$Y$1:$AA$22,3))</f>
        <v>2</v>
      </c>
      <c r="N571" s="10" t="str">
        <f aca="false">_xlfn.UNICHAR(((C571*21)+G571)*28+44032)</f>
        <v>뚜</v>
      </c>
      <c r="O571" s="10" t="str">
        <f aca="false">_xlfn.UNICHAR(((F571*21)+D571)*28+44032)</f>
        <v>싸</v>
      </c>
      <c r="P571" s="12" t="n">
        <f aca="false">COUNTIF($A$2:$A$3000, N571) + COUNTIF($A$2:$A$3000, O571)</f>
        <v>2</v>
      </c>
      <c r="Q571" s="16" t="str">
        <f aca="false">IF(OR(B571=-1,I571=0, P571&lt;&gt;2), "albhed_dummy", _xlfn.CONCAT("albhed ", RIGHT("  " &amp; K571,2),", ", RIGHT("  " &amp; L571,2), ", " ,"""",H571,""", ", """",N571,""", ","""",O571,""""," ; ", A571))</f>
        <v>albhed  5,  2, "쑤", "뚜", "싸" ; 땋</v>
      </c>
    </row>
    <row r="572" customFormat="false" ht="17.9" hidden="false" customHeight="true" outlineLevel="0" collapsed="false">
      <c r="A572" s="16" t="s">
        <v>1446</v>
      </c>
      <c r="B572" s="16" t="n">
        <f aca="false">IF(_xlfn.UNICODE(A572)&lt;44032,-1,_xlfn.UNICODE(A572)-44032)</f>
        <v>2380</v>
      </c>
      <c r="C572" s="16" t="n">
        <f aca="false">IF(B572=-1,-1,INT((B572/28)/21))</f>
        <v>4</v>
      </c>
      <c r="D572" s="16" t="n">
        <f aca="false">IF(B572=-1, -1, MOD(INT(B572/28),21))</f>
        <v>1</v>
      </c>
      <c r="E572" s="16" t="n">
        <f aca="false">IF(B572=-1, -1, VLOOKUP(MOD(B572,28), $T$24:$U$52,2))</f>
        <v>0</v>
      </c>
      <c r="F572" s="16" t="n">
        <f aca="false">IF($B572=-1, -1, VLOOKUP(C572,$T$1:$V$20, 2))</f>
        <v>10</v>
      </c>
      <c r="G572" s="16" t="n">
        <f aca="false">IF($B572=-1, -1, VLOOKUP(D572,$Y$1:$Z$22,2))</f>
        <v>18</v>
      </c>
      <c r="H572" s="16" t="str">
        <f aca="false">_xlfn.UNICHAR(((F572*21)+G572)*28+44032)</f>
        <v>쓰</v>
      </c>
      <c r="I572" s="16" t="n">
        <f aca="false">IF(B572=-1, 1, COUNTIF($A$2:$A$3000, H572))</f>
        <v>1</v>
      </c>
      <c r="J572" s="10" t="str">
        <f aca="false">_xlfn.CONCAT(A572, ",",H572,",",I572)</f>
        <v>때,쓰,1</v>
      </c>
      <c r="K572" s="16" t="n">
        <f aca="false">IF(B572=-1,-1,VLOOKUP(C572,$T$1:$V$20,3))</f>
        <v>5</v>
      </c>
      <c r="L572" s="16" t="n">
        <f aca="false">IF(B572=-1,-1,VLOOKUP(D572,$Y$1:$AA$22,3))</f>
        <v>10</v>
      </c>
      <c r="N572" s="10" t="str">
        <f aca="false">_xlfn.UNICHAR(((C572*21)+G572)*28+44032)</f>
        <v>뜨</v>
      </c>
      <c r="O572" s="10" t="str">
        <f aca="false">_xlfn.UNICHAR(((F572*21)+D572)*28+44032)</f>
        <v>쌔</v>
      </c>
      <c r="P572" s="12" t="n">
        <f aca="false">COUNTIF($A$2:$A$3000, N572) + COUNTIF($A$2:$A$3000, O572)</f>
        <v>2</v>
      </c>
      <c r="Q572" s="16" t="str">
        <f aca="false">IF(OR(B572=-1,I572=0, P572&lt;&gt;2), "albhed_dummy", _xlfn.CONCAT("albhed ", RIGHT("  " &amp; K572,2),", ", RIGHT("  " &amp; L572,2), ", " ,"""",H572,""", ", """",N572,""", ","""",O572,""""," ; ", A572))</f>
        <v>albhed  5, 10, "쓰", "뜨", "쌔" ; 때</v>
      </c>
    </row>
    <row r="573" customFormat="false" ht="17.9" hidden="false" customHeight="true" outlineLevel="0" collapsed="false">
      <c r="A573" s="16" t="s">
        <v>1447</v>
      </c>
      <c r="B573" s="16" t="n">
        <f aca="false">IF(_xlfn.UNICODE(A573)&lt;44032,-1,_xlfn.UNICODE(A573)-44032)</f>
        <v>2381</v>
      </c>
      <c r="C573" s="16" t="n">
        <f aca="false">IF(B573=-1,-1,INT((B573/28)/21))</f>
        <v>4</v>
      </c>
      <c r="D573" s="16" t="n">
        <f aca="false">IF(B573=-1, -1, MOD(INT(B573/28),21))</f>
        <v>1</v>
      </c>
      <c r="E573" s="16" t="n">
        <f aca="false">IF(B573=-1, -1, VLOOKUP(MOD(B573,28), $T$24:$U$52,2))</f>
        <v>1</v>
      </c>
      <c r="F573" s="16" t="n">
        <f aca="false">IF($B573=-1, -1, VLOOKUP(C573,$T$1:$V$20, 2))</f>
        <v>10</v>
      </c>
      <c r="G573" s="16" t="n">
        <f aca="false">IF($B573=-1, -1, VLOOKUP(D573,$Y$1:$Z$22,2))</f>
        <v>18</v>
      </c>
      <c r="H573" s="16" t="str">
        <f aca="false">_xlfn.UNICHAR(((F573*21)+G573)*28+44032)</f>
        <v>쓰</v>
      </c>
      <c r="I573" s="16" t="n">
        <f aca="false">IF(B573=-1, 1, COUNTIF($A$2:$A$3000, H573))</f>
        <v>1</v>
      </c>
      <c r="J573" s="10" t="str">
        <f aca="false">_xlfn.CONCAT(A573, ",",H573,",",I573)</f>
        <v>땍,쓰,1</v>
      </c>
      <c r="K573" s="16" t="n">
        <f aca="false">IF(B573=-1,-1,VLOOKUP(C573,$T$1:$V$20,3))</f>
        <v>5</v>
      </c>
      <c r="L573" s="16" t="n">
        <f aca="false">IF(B573=-1,-1,VLOOKUP(D573,$Y$1:$AA$22,3))</f>
        <v>10</v>
      </c>
      <c r="N573" s="10" t="str">
        <f aca="false">_xlfn.UNICHAR(((C573*21)+G573)*28+44032)</f>
        <v>뜨</v>
      </c>
      <c r="O573" s="10" t="str">
        <f aca="false">_xlfn.UNICHAR(((F573*21)+D573)*28+44032)</f>
        <v>쌔</v>
      </c>
      <c r="P573" s="12" t="n">
        <f aca="false">COUNTIF($A$2:$A$3000, N573) + COUNTIF($A$2:$A$3000, O573)</f>
        <v>2</v>
      </c>
      <c r="Q573" s="16" t="str">
        <f aca="false">IF(OR(B573=-1,I573=0, P573&lt;&gt;2), "albhed_dummy", _xlfn.CONCAT("albhed ", RIGHT("  " &amp; K573,2),", ", RIGHT("  " &amp; L573,2), ", " ,"""",H573,""", ", """",N573,""", ","""",O573,""""," ; ", A573))</f>
        <v>albhed  5, 10, "쓰", "뜨", "쌔" ; 땍</v>
      </c>
    </row>
    <row r="574" customFormat="false" ht="17.9" hidden="false" customHeight="true" outlineLevel="0" collapsed="false">
      <c r="A574" s="16" t="s">
        <v>1448</v>
      </c>
      <c r="B574" s="16" t="n">
        <f aca="false">IF(_xlfn.UNICODE(A574)&lt;44032,-1,_xlfn.UNICODE(A574)-44032)</f>
        <v>2384</v>
      </c>
      <c r="C574" s="16" t="n">
        <f aca="false">IF(B574=-1,-1,INT((B574/28)/21))</f>
        <v>4</v>
      </c>
      <c r="D574" s="16" t="n">
        <f aca="false">IF(B574=-1, -1, MOD(INT(B574/28),21))</f>
        <v>1</v>
      </c>
      <c r="E574" s="16" t="n">
        <f aca="false">IF(B574=-1, -1, VLOOKUP(MOD(B574,28), $T$24:$U$52,2))</f>
        <v>4</v>
      </c>
      <c r="F574" s="16" t="n">
        <f aca="false">IF($B574=-1, -1, VLOOKUP(C574,$T$1:$V$20, 2))</f>
        <v>10</v>
      </c>
      <c r="G574" s="16" t="n">
        <f aca="false">IF($B574=-1, -1, VLOOKUP(D574,$Y$1:$Z$22,2))</f>
        <v>18</v>
      </c>
      <c r="H574" s="16" t="str">
        <f aca="false">_xlfn.UNICHAR(((F574*21)+G574)*28+44032)</f>
        <v>쓰</v>
      </c>
      <c r="I574" s="16" t="n">
        <f aca="false">IF(B574=-1, 1, COUNTIF($A$2:$A$3000, H574))</f>
        <v>1</v>
      </c>
      <c r="J574" s="10" t="str">
        <f aca="false">_xlfn.CONCAT(A574, ",",H574,",",I574)</f>
        <v>땐,쓰,1</v>
      </c>
      <c r="K574" s="16" t="n">
        <f aca="false">IF(B574=-1,-1,VLOOKUP(C574,$T$1:$V$20,3))</f>
        <v>5</v>
      </c>
      <c r="L574" s="16" t="n">
        <f aca="false">IF(B574=-1,-1,VLOOKUP(D574,$Y$1:$AA$22,3))</f>
        <v>10</v>
      </c>
      <c r="N574" s="10" t="str">
        <f aca="false">_xlfn.UNICHAR(((C574*21)+G574)*28+44032)</f>
        <v>뜨</v>
      </c>
      <c r="O574" s="10" t="str">
        <f aca="false">_xlfn.UNICHAR(((F574*21)+D574)*28+44032)</f>
        <v>쌔</v>
      </c>
      <c r="P574" s="12" t="n">
        <f aca="false">COUNTIF($A$2:$A$3000, N574) + COUNTIF($A$2:$A$3000, O574)</f>
        <v>2</v>
      </c>
      <c r="Q574" s="16" t="str">
        <f aca="false">IF(OR(B574=-1,I574=0, P574&lt;&gt;2), "albhed_dummy", _xlfn.CONCAT("albhed ", RIGHT("  " &amp; K574,2),", ", RIGHT("  " &amp; L574,2), ", " ,"""",H574,""", ", """",N574,""", ","""",O574,""""," ; ", A574))</f>
        <v>albhed  5, 10, "쓰", "뜨", "쌔" ; 땐</v>
      </c>
    </row>
    <row r="575" customFormat="false" ht="17.9" hidden="false" customHeight="true" outlineLevel="0" collapsed="false">
      <c r="A575" s="16" t="s">
        <v>1449</v>
      </c>
      <c r="B575" s="16" t="n">
        <f aca="false">IF(_xlfn.UNICODE(A575)&lt;44032,-1,_xlfn.UNICODE(A575)-44032)</f>
        <v>2388</v>
      </c>
      <c r="C575" s="16" t="n">
        <f aca="false">IF(B575=-1,-1,INT((B575/28)/21))</f>
        <v>4</v>
      </c>
      <c r="D575" s="16" t="n">
        <f aca="false">IF(B575=-1, -1, MOD(INT(B575/28),21))</f>
        <v>1</v>
      </c>
      <c r="E575" s="16" t="n">
        <f aca="false">IF(B575=-1, -1, VLOOKUP(MOD(B575,28), $T$24:$U$52,2))</f>
        <v>8</v>
      </c>
      <c r="F575" s="16" t="n">
        <f aca="false">IF($B575=-1, -1, VLOOKUP(C575,$T$1:$V$20, 2))</f>
        <v>10</v>
      </c>
      <c r="G575" s="16" t="n">
        <f aca="false">IF($B575=-1, -1, VLOOKUP(D575,$Y$1:$Z$22,2))</f>
        <v>18</v>
      </c>
      <c r="H575" s="16" t="str">
        <f aca="false">_xlfn.UNICHAR(((F575*21)+G575)*28+44032)</f>
        <v>쓰</v>
      </c>
      <c r="I575" s="16" t="n">
        <f aca="false">IF(B575=-1, 1, COUNTIF($A$2:$A$3000, H575))</f>
        <v>1</v>
      </c>
      <c r="J575" s="10" t="str">
        <f aca="false">_xlfn.CONCAT(A575, ",",H575,",",I575)</f>
        <v>땔,쓰,1</v>
      </c>
      <c r="K575" s="16" t="n">
        <f aca="false">IF(B575=-1,-1,VLOOKUP(C575,$T$1:$V$20,3))</f>
        <v>5</v>
      </c>
      <c r="L575" s="16" t="n">
        <f aca="false">IF(B575=-1,-1,VLOOKUP(D575,$Y$1:$AA$22,3))</f>
        <v>10</v>
      </c>
      <c r="N575" s="10" t="str">
        <f aca="false">_xlfn.UNICHAR(((C575*21)+G575)*28+44032)</f>
        <v>뜨</v>
      </c>
      <c r="O575" s="10" t="str">
        <f aca="false">_xlfn.UNICHAR(((F575*21)+D575)*28+44032)</f>
        <v>쌔</v>
      </c>
      <c r="P575" s="12" t="n">
        <f aca="false">COUNTIF($A$2:$A$3000, N575) + COUNTIF($A$2:$A$3000, O575)</f>
        <v>2</v>
      </c>
      <c r="Q575" s="16" t="str">
        <f aca="false">IF(OR(B575=-1,I575=0, P575&lt;&gt;2), "albhed_dummy", _xlfn.CONCAT("albhed ", RIGHT("  " &amp; K575,2),", ", RIGHT("  " &amp; L575,2), ", " ,"""",H575,""", ", """",N575,""", ","""",O575,""""," ; ", A575))</f>
        <v>albhed  5, 10, "쓰", "뜨", "쌔" ; 땔</v>
      </c>
    </row>
    <row r="576" customFormat="false" ht="17.9" hidden="false" customHeight="true" outlineLevel="0" collapsed="false">
      <c r="A576" s="16" t="s">
        <v>1450</v>
      </c>
      <c r="B576" s="16" t="n">
        <f aca="false">IF(_xlfn.UNICODE(A576)&lt;44032,-1,_xlfn.UNICODE(A576)-44032)</f>
        <v>2396</v>
      </c>
      <c r="C576" s="16" t="n">
        <f aca="false">IF(B576=-1,-1,INT((B576/28)/21))</f>
        <v>4</v>
      </c>
      <c r="D576" s="16" t="n">
        <f aca="false">IF(B576=-1, -1, MOD(INT(B576/28),21))</f>
        <v>1</v>
      </c>
      <c r="E576" s="16" t="n">
        <f aca="false">IF(B576=-1, -1, VLOOKUP(MOD(B576,28), $T$24:$U$52,2))</f>
        <v>16</v>
      </c>
      <c r="F576" s="16" t="n">
        <f aca="false">IF($B576=-1, -1, VLOOKUP(C576,$T$1:$V$20, 2))</f>
        <v>10</v>
      </c>
      <c r="G576" s="16" t="n">
        <f aca="false">IF($B576=-1, -1, VLOOKUP(D576,$Y$1:$Z$22,2))</f>
        <v>18</v>
      </c>
      <c r="H576" s="16" t="str">
        <f aca="false">_xlfn.UNICHAR(((F576*21)+G576)*28+44032)</f>
        <v>쓰</v>
      </c>
      <c r="I576" s="16" t="n">
        <f aca="false">IF(B576=-1, 1, COUNTIF($A$2:$A$3000, H576))</f>
        <v>1</v>
      </c>
      <c r="J576" s="10" t="str">
        <f aca="false">_xlfn.CONCAT(A576, ",",H576,",",I576)</f>
        <v>땜,쓰,1</v>
      </c>
      <c r="K576" s="16" t="n">
        <f aca="false">IF(B576=-1,-1,VLOOKUP(C576,$T$1:$V$20,3))</f>
        <v>5</v>
      </c>
      <c r="L576" s="16" t="n">
        <f aca="false">IF(B576=-1,-1,VLOOKUP(D576,$Y$1:$AA$22,3))</f>
        <v>10</v>
      </c>
      <c r="N576" s="10" t="str">
        <f aca="false">_xlfn.UNICHAR(((C576*21)+G576)*28+44032)</f>
        <v>뜨</v>
      </c>
      <c r="O576" s="10" t="str">
        <f aca="false">_xlfn.UNICHAR(((F576*21)+D576)*28+44032)</f>
        <v>쌔</v>
      </c>
      <c r="P576" s="12" t="n">
        <f aca="false">COUNTIF($A$2:$A$3000, N576) + COUNTIF($A$2:$A$3000, O576)</f>
        <v>2</v>
      </c>
      <c r="Q576" s="16" t="str">
        <f aca="false">IF(OR(B576=-1,I576=0, P576&lt;&gt;2), "albhed_dummy", _xlfn.CONCAT("albhed ", RIGHT("  " &amp; K576,2),", ", RIGHT("  " &amp; L576,2), ", " ,"""",H576,""", ", """",N576,""", ","""",O576,""""," ; ", A576))</f>
        <v>albhed  5, 10, "쓰", "뜨", "쌔" ; 땜</v>
      </c>
    </row>
    <row r="577" customFormat="false" ht="17.9" hidden="false" customHeight="true" outlineLevel="0" collapsed="false">
      <c r="A577" s="16" t="s">
        <v>1451</v>
      </c>
      <c r="B577" s="16" t="n">
        <f aca="false">IF(_xlfn.UNICODE(A577)&lt;44032,-1,_xlfn.UNICODE(A577)-44032)</f>
        <v>2397</v>
      </c>
      <c r="C577" s="16" t="n">
        <f aca="false">IF(B577=-1,-1,INT((B577/28)/21))</f>
        <v>4</v>
      </c>
      <c r="D577" s="16" t="n">
        <f aca="false">IF(B577=-1, -1, MOD(INT(B577/28),21))</f>
        <v>1</v>
      </c>
      <c r="E577" s="16" t="n">
        <f aca="false">IF(B577=-1, -1, VLOOKUP(MOD(B577,28), $T$24:$U$52,2))</f>
        <v>17</v>
      </c>
      <c r="F577" s="16" t="n">
        <f aca="false">IF($B577=-1, -1, VLOOKUP(C577,$T$1:$V$20, 2))</f>
        <v>10</v>
      </c>
      <c r="G577" s="16" t="n">
        <f aca="false">IF($B577=-1, -1, VLOOKUP(D577,$Y$1:$Z$22,2))</f>
        <v>18</v>
      </c>
      <c r="H577" s="16" t="str">
        <f aca="false">_xlfn.UNICHAR(((F577*21)+G577)*28+44032)</f>
        <v>쓰</v>
      </c>
      <c r="I577" s="16" t="n">
        <f aca="false">IF(B577=-1, 1, COUNTIF($A$2:$A$3000, H577))</f>
        <v>1</v>
      </c>
      <c r="J577" s="10" t="str">
        <f aca="false">_xlfn.CONCAT(A577, ",",H577,",",I577)</f>
        <v>땝,쓰,1</v>
      </c>
      <c r="K577" s="16" t="n">
        <f aca="false">IF(B577=-1,-1,VLOOKUP(C577,$T$1:$V$20,3))</f>
        <v>5</v>
      </c>
      <c r="L577" s="16" t="n">
        <f aca="false">IF(B577=-1,-1,VLOOKUP(D577,$Y$1:$AA$22,3))</f>
        <v>10</v>
      </c>
      <c r="N577" s="10" t="str">
        <f aca="false">_xlfn.UNICHAR(((C577*21)+G577)*28+44032)</f>
        <v>뜨</v>
      </c>
      <c r="O577" s="10" t="str">
        <f aca="false">_xlfn.UNICHAR(((F577*21)+D577)*28+44032)</f>
        <v>쌔</v>
      </c>
      <c r="P577" s="12" t="n">
        <f aca="false">COUNTIF($A$2:$A$3000, N577) + COUNTIF($A$2:$A$3000, O577)</f>
        <v>2</v>
      </c>
      <c r="Q577" s="16" t="str">
        <f aca="false">IF(OR(B577=-1,I577=0, P577&lt;&gt;2), "albhed_dummy", _xlfn.CONCAT("albhed ", RIGHT("  " &amp; K577,2),", ", RIGHT("  " &amp; L577,2), ", " ,"""",H577,""", ", """",N577,""", ","""",O577,""""," ; ", A577))</f>
        <v>albhed  5, 10, "쓰", "뜨", "쌔" ; 땝</v>
      </c>
    </row>
    <row r="578" customFormat="false" ht="17.9" hidden="false" customHeight="true" outlineLevel="0" collapsed="false">
      <c r="A578" s="16" t="s">
        <v>1452</v>
      </c>
      <c r="B578" s="16" t="n">
        <f aca="false">IF(_xlfn.UNICODE(A578)&lt;44032,-1,_xlfn.UNICODE(A578)-44032)</f>
        <v>2399</v>
      </c>
      <c r="C578" s="16" t="n">
        <f aca="false">IF(B578=-1,-1,INT((B578/28)/21))</f>
        <v>4</v>
      </c>
      <c r="D578" s="16" t="n">
        <f aca="false">IF(B578=-1, -1, MOD(INT(B578/28),21))</f>
        <v>1</v>
      </c>
      <c r="E578" s="16" t="n">
        <f aca="false">IF(B578=-1, -1, VLOOKUP(MOD(B578,28), $T$24:$U$52,2))</f>
        <v>19</v>
      </c>
      <c r="F578" s="16" t="n">
        <f aca="false">IF($B578=-1, -1, VLOOKUP(C578,$T$1:$V$20, 2))</f>
        <v>10</v>
      </c>
      <c r="G578" s="16" t="n">
        <f aca="false">IF($B578=-1, -1, VLOOKUP(D578,$Y$1:$Z$22,2))</f>
        <v>18</v>
      </c>
      <c r="H578" s="16" t="str">
        <f aca="false">_xlfn.UNICHAR(((F578*21)+G578)*28+44032)</f>
        <v>쓰</v>
      </c>
      <c r="I578" s="16" t="n">
        <f aca="false">IF(B578=-1, 1, COUNTIF($A$2:$A$3000, H578))</f>
        <v>1</v>
      </c>
      <c r="J578" s="10" t="str">
        <f aca="false">_xlfn.CONCAT(A578, ",",H578,",",I578)</f>
        <v>땟,쓰,1</v>
      </c>
      <c r="K578" s="16" t="n">
        <f aca="false">IF(B578=-1,-1,VLOOKUP(C578,$T$1:$V$20,3))</f>
        <v>5</v>
      </c>
      <c r="L578" s="16" t="n">
        <f aca="false">IF(B578=-1,-1,VLOOKUP(D578,$Y$1:$AA$22,3))</f>
        <v>10</v>
      </c>
      <c r="N578" s="10" t="str">
        <f aca="false">_xlfn.UNICHAR(((C578*21)+G578)*28+44032)</f>
        <v>뜨</v>
      </c>
      <c r="O578" s="10" t="str">
        <f aca="false">_xlfn.UNICHAR(((F578*21)+D578)*28+44032)</f>
        <v>쌔</v>
      </c>
      <c r="P578" s="12" t="n">
        <f aca="false">COUNTIF($A$2:$A$3000, N578) + COUNTIF($A$2:$A$3000, O578)</f>
        <v>2</v>
      </c>
      <c r="Q578" s="16" t="str">
        <f aca="false">IF(OR(B578=-1,I578=0, P578&lt;&gt;2), "albhed_dummy", _xlfn.CONCAT("albhed ", RIGHT("  " &amp; K578,2),", ", RIGHT("  " &amp; L578,2), ", " ,"""",H578,""", ", """",N578,""", ","""",O578,""""," ; ", A578))</f>
        <v>albhed  5, 10, "쓰", "뜨", "쌔" ; 땟</v>
      </c>
    </row>
    <row r="579" customFormat="false" ht="17.9" hidden="false" customHeight="true" outlineLevel="0" collapsed="false">
      <c r="A579" s="16" t="s">
        <v>1453</v>
      </c>
      <c r="B579" s="16" t="n">
        <f aca="false">IF(_xlfn.UNICODE(A579)&lt;44032,-1,_xlfn.UNICODE(A579)-44032)</f>
        <v>2400</v>
      </c>
      <c r="C579" s="16" t="n">
        <f aca="false">IF(B579=-1,-1,INT((B579/28)/21))</f>
        <v>4</v>
      </c>
      <c r="D579" s="16" t="n">
        <f aca="false">IF(B579=-1, -1, MOD(INT(B579/28),21))</f>
        <v>1</v>
      </c>
      <c r="E579" s="16" t="n">
        <f aca="false">IF(B579=-1, -1, VLOOKUP(MOD(B579,28), $T$24:$U$52,2))</f>
        <v>19</v>
      </c>
      <c r="F579" s="16" t="n">
        <f aca="false">IF($B579=-1, -1, VLOOKUP(C579,$T$1:$V$20, 2))</f>
        <v>10</v>
      </c>
      <c r="G579" s="16" t="n">
        <f aca="false">IF($B579=-1, -1, VLOOKUP(D579,$Y$1:$Z$22,2))</f>
        <v>18</v>
      </c>
      <c r="H579" s="16" t="str">
        <f aca="false">_xlfn.UNICHAR(((F579*21)+G579)*28+44032)</f>
        <v>쓰</v>
      </c>
      <c r="I579" s="16" t="n">
        <f aca="false">IF(B579=-1, 1, COUNTIF($A$2:$A$3000, H579))</f>
        <v>1</v>
      </c>
      <c r="J579" s="10" t="str">
        <f aca="false">_xlfn.CONCAT(A579, ",",H579,",",I579)</f>
        <v>땠,쓰,1</v>
      </c>
      <c r="K579" s="16" t="n">
        <f aca="false">IF(B579=-1,-1,VLOOKUP(C579,$T$1:$V$20,3))</f>
        <v>5</v>
      </c>
      <c r="L579" s="16" t="n">
        <f aca="false">IF(B579=-1,-1,VLOOKUP(D579,$Y$1:$AA$22,3))</f>
        <v>10</v>
      </c>
      <c r="N579" s="10" t="str">
        <f aca="false">_xlfn.UNICHAR(((C579*21)+G579)*28+44032)</f>
        <v>뜨</v>
      </c>
      <c r="O579" s="10" t="str">
        <f aca="false">_xlfn.UNICHAR(((F579*21)+D579)*28+44032)</f>
        <v>쌔</v>
      </c>
      <c r="P579" s="12" t="n">
        <f aca="false">COUNTIF($A$2:$A$3000, N579) + COUNTIF($A$2:$A$3000, O579)</f>
        <v>2</v>
      </c>
      <c r="Q579" s="16" t="str">
        <f aca="false">IF(OR(B579=-1,I579=0, P579&lt;&gt;2), "albhed_dummy", _xlfn.CONCAT("albhed ", RIGHT("  " &amp; K579,2),", ", RIGHT("  " &amp; L579,2), ", " ,"""",H579,""", ", """",N579,""", ","""",O579,""""," ; ", A579))</f>
        <v>albhed  5, 10, "쓰", "뜨", "쌔" ; 땠</v>
      </c>
    </row>
    <row r="580" customFormat="false" ht="17.9" hidden="false" customHeight="true" outlineLevel="0" collapsed="false">
      <c r="A580" s="16" t="s">
        <v>1454</v>
      </c>
      <c r="B580" s="16" t="n">
        <f aca="false">IF(_xlfn.UNICODE(A580)&lt;44032,-1,_xlfn.UNICODE(A580)-44032)</f>
        <v>2401</v>
      </c>
      <c r="C580" s="16" t="n">
        <f aca="false">IF(B580=-1,-1,INT((B580/28)/21))</f>
        <v>4</v>
      </c>
      <c r="D580" s="16" t="n">
        <f aca="false">IF(B580=-1, -1, MOD(INT(B580/28),21))</f>
        <v>1</v>
      </c>
      <c r="E580" s="16" t="n">
        <f aca="false">IF(B580=-1, -1, VLOOKUP(MOD(B580,28), $T$24:$U$52,2))</f>
        <v>21</v>
      </c>
      <c r="F580" s="16" t="n">
        <f aca="false">IF($B580=-1, -1, VLOOKUP(C580,$T$1:$V$20, 2))</f>
        <v>10</v>
      </c>
      <c r="G580" s="16" t="n">
        <f aca="false">IF($B580=-1, -1, VLOOKUP(D580,$Y$1:$Z$22,2))</f>
        <v>18</v>
      </c>
      <c r="H580" s="16" t="str">
        <f aca="false">_xlfn.UNICHAR(((F580*21)+G580)*28+44032)</f>
        <v>쓰</v>
      </c>
      <c r="I580" s="16" t="n">
        <f aca="false">IF(B580=-1, 1, COUNTIF($A$2:$A$3000, H580))</f>
        <v>1</v>
      </c>
      <c r="J580" s="10" t="str">
        <f aca="false">_xlfn.CONCAT(A580, ",",H580,",",I580)</f>
        <v>땡,쓰,1</v>
      </c>
      <c r="K580" s="16" t="n">
        <f aca="false">IF(B580=-1,-1,VLOOKUP(C580,$T$1:$V$20,3))</f>
        <v>5</v>
      </c>
      <c r="L580" s="16" t="n">
        <f aca="false">IF(B580=-1,-1,VLOOKUP(D580,$Y$1:$AA$22,3))</f>
        <v>10</v>
      </c>
      <c r="N580" s="10" t="str">
        <f aca="false">_xlfn.UNICHAR(((C580*21)+G580)*28+44032)</f>
        <v>뜨</v>
      </c>
      <c r="O580" s="10" t="str">
        <f aca="false">_xlfn.UNICHAR(((F580*21)+D580)*28+44032)</f>
        <v>쌔</v>
      </c>
      <c r="P580" s="12" t="n">
        <f aca="false">COUNTIF($A$2:$A$3000, N580) + COUNTIF($A$2:$A$3000, O580)</f>
        <v>2</v>
      </c>
      <c r="Q580" s="16" t="str">
        <f aca="false">IF(OR(B580=-1,I580=0, P580&lt;&gt;2), "albhed_dummy", _xlfn.CONCAT("albhed ", RIGHT("  " &amp; K580,2),", ", RIGHT("  " &amp; L580,2), ", " ,"""",H580,""", ", """",N580,""", ","""",O580,""""," ; ", A580))</f>
        <v>albhed  5, 10, "쓰", "뜨", "쌔" ; 땡</v>
      </c>
    </row>
    <row r="581" customFormat="false" ht="17.9" hidden="false" customHeight="true" outlineLevel="0" collapsed="false">
      <c r="A581" s="16" t="s">
        <v>1455</v>
      </c>
      <c r="B581" s="16" t="n">
        <f aca="false">IF(_xlfn.UNICODE(A581)&lt;44032,-1,_xlfn.UNICODE(A581)-44032)</f>
        <v>2464</v>
      </c>
      <c r="C581" s="16" t="n">
        <f aca="false">IF(B581=-1,-1,INT((B581/28)/21))</f>
        <v>4</v>
      </c>
      <c r="D581" s="16" t="n">
        <f aca="false">IF(B581=-1, -1, MOD(INT(B581/28),21))</f>
        <v>4</v>
      </c>
      <c r="E581" s="16" t="n">
        <f aca="false">IF(B581=-1, -1, VLOOKUP(MOD(B581,28), $T$24:$U$52,2))</f>
        <v>0</v>
      </c>
      <c r="F581" s="16" t="n">
        <f aca="false">IF($B581=-1, -1, VLOOKUP(C581,$T$1:$V$20, 2))</f>
        <v>10</v>
      </c>
      <c r="G581" s="16" t="n">
        <f aca="false">IF($B581=-1, -1, VLOOKUP(D581,$Y$1:$Z$22,2))</f>
        <v>8</v>
      </c>
      <c r="H581" s="16" t="str">
        <f aca="false">_xlfn.UNICHAR(((F581*21)+G581)*28+44032)</f>
        <v>쏘</v>
      </c>
      <c r="I581" s="16" t="n">
        <f aca="false">IF(B581=-1, 1, COUNTIF($A$2:$A$3000, H581))</f>
        <v>1</v>
      </c>
      <c r="J581" s="10" t="str">
        <f aca="false">_xlfn.CONCAT(A581, ",",H581,",",I581)</f>
        <v>떠,쏘,1</v>
      </c>
      <c r="K581" s="16" t="n">
        <f aca="false">IF(B581=-1,-1,VLOOKUP(C581,$T$1:$V$20,3))</f>
        <v>5</v>
      </c>
      <c r="L581" s="16" t="n">
        <f aca="false">IF(B581=-1,-1,VLOOKUP(D581,$Y$1:$AA$22,3))</f>
        <v>4</v>
      </c>
      <c r="N581" s="10" t="str">
        <f aca="false">_xlfn.UNICHAR(((C581*21)+G581)*28+44032)</f>
        <v>또</v>
      </c>
      <c r="O581" s="10" t="str">
        <f aca="false">_xlfn.UNICHAR(((F581*21)+D581)*28+44032)</f>
        <v>써</v>
      </c>
      <c r="P581" s="12" t="n">
        <f aca="false">COUNTIF($A$2:$A$3000, N581) + COUNTIF($A$2:$A$3000, O581)</f>
        <v>2</v>
      </c>
      <c r="Q581" s="16" t="str">
        <f aca="false">IF(OR(B581=-1,I581=0, P581&lt;&gt;2), "albhed_dummy", _xlfn.CONCAT("albhed ", RIGHT("  " &amp; K581,2),", ", RIGHT("  " &amp; L581,2), ", " ,"""",H581,""", ", """",N581,""", ","""",O581,""""," ; ", A581))</f>
        <v>albhed  5,  4, "쏘", "또", "써" ; 떠</v>
      </c>
    </row>
    <row r="582" customFormat="false" ht="17.9" hidden="false" customHeight="true" outlineLevel="0" collapsed="false">
      <c r="A582" s="16" t="s">
        <v>1456</v>
      </c>
      <c r="B582" s="16" t="n">
        <f aca="false">IF(_xlfn.UNICODE(A582)&lt;44032,-1,_xlfn.UNICODE(A582)-44032)</f>
        <v>2465</v>
      </c>
      <c r="C582" s="16" t="n">
        <f aca="false">IF(B582=-1,-1,INT((B582/28)/21))</f>
        <v>4</v>
      </c>
      <c r="D582" s="16" t="n">
        <f aca="false">IF(B582=-1, -1, MOD(INT(B582/28),21))</f>
        <v>4</v>
      </c>
      <c r="E582" s="16" t="n">
        <f aca="false">IF(B582=-1, -1, VLOOKUP(MOD(B582,28), $T$24:$U$52,2))</f>
        <v>1</v>
      </c>
      <c r="F582" s="16" t="n">
        <f aca="false">IF($B582=-1, -1, VLOOKUP(C582,$T$1:$V$20, 2))</f>
        <v>10</v>
      </c>
      <c r="G582" s="16" t="n">
        <f aca="false">IF($B582=-1, -1, VLOOKUP(D582,$Y$1:$Z$22,2))</f>
        <v>8</v>
      </c>
      <c r="H582" s="16" t="str">
        <f aca="false">_xlfn.UNICHAR(((F582*21)+G582)*28+44032)</f>
        <v>쏘</v>
      </c>
      <c r="I582" s="16" t="n">
        <f aca="false">IF(B582=-1, 1, COUNTIF($A$2:$A$3000, H582))</f>
        <v>1</v>
      </c>
      <c r="J582" s="10" t="str">
        <f aca="false">_xlfn.CONCAT(A582, ",",H582,",",I582)</f>
        <v>떡,쏘,1</v>
      </c>
      <c r="K582" s="16" t="n">
        <f aca="false">IF(B582=-1,-1,VLOOKUP(C582,$T$1:$V$20,3))</f>
        <v>5</v>
      </c>
      <c r="L582" s="16" t="n">
        <f aca="false">IF(B582=-1,-1,VLOOKUP(D582,$Y$1:$AA$22,3))</f>
        <v>4</v>
      </c>
      <c r="N582" s="10" t="str">
        <f aca="false">_xlfn.UNICHAR(((C582*21)+G582)*28+44032)</f>
        <v>또</v>
      </c>
      <c r="O582" s="10" t="str">
        <f aca="false">_xlfn.UNICHAR(((F582*21)+D582)*28+44032)</f>
        <v>써</v>
      </c>
      <c r="P582" s="12" t="n">
        <f aca="false">COUNTIF($A$2:$A$3000, N582) + COUNTIF($A$2:$A$3000, O582)</f>
        <v>2</v>
      </c>
      <c r="Q582" s="16" t="str">
        <f aca="false">IF(OR(B582=-1,I582=0, P582&lt;&gt;2), "albhed_dummy", _xlfn.CONCAT("albhed ", RIGHT("  " &amp; K582,2),", ", RIGHT("  " &amp; L582,2), ", " ,"""",H582,""", ", """",N582,""", ","""",O582,""""," ; ", A582))</f>
        <v>albhed  5,  4, "쏘", "또", "써" ; 떡</v>
      </c>
    </row>
    <row r="583" customFormat="false" ht="17.9" hidden="false" customHeight="true" outlineLevel="0" collapsed="false">
      <c r="A583" s="16" t="s">
        <v>1457</v>
      </c>
      <c r="B583" s="16" t="n">
        <f aca="false">IF(_xlfn.UNICODE(A583)&lt;44032,-1,_xlfn.UNICODE(A583)-44032)</f>
        <v>2468</v>
      </c>
      <c r="C583" s="16" t="n">
        <f aca="false">IF(B583=-1,-1,INT((B583/28)/21))</f>
        <v>4</v>
      </c>
      <c r="D583" s="16" t="n">
        <f aca="false">IF(B583=-1, -1, MOD(INT(B583/28),21))</f>
        <v>4</v>
      </c>
      <c r="E583" s="16" t="n">
        <f aca="false">IF(B583=-1, -1, VLOOKUP(MOD(B583,28), $T$24:$U$52,2))</f>
        <v>4</v>
      </c>
      <c r="F583" s="16" t="n">
        <f aca="false">IF($B583=-1, -1, VLOOKUP(C583,$T$1:$V$20, 2))</f>
        <v>10</v>
      </c>
      <c r="G583" s="16" t="n">
        <f aca="false">IF($B583=-1, -1, VLOOKUP(D583,$Y$1:$Z$22,2))</f>
        <v>8</v>
      </c>
      <c r="H583" s="16" t="str">
        <f aca="false">_xlfn.UNICHAR(((F583*21)+G583)*28+44032)</f>
        <v>쏘</v>
      </c>
      <c r="I583" s="16" t="n">
        <f aca="false">IF(B583=-1, 1, COUNTIF($A$2:$A$3000, H583))</f>
        <v>1</v>
      </c>
      <c r="J583" s="10" t="str">
        <f aca="false">_xlfn.CONCAT(A583, ",",H583,",",I583)</f>
        <v>떤,쏘,1</v>
      </c>
      <c r="K583" s="16" t="n">
        <f aca="false">IF(B583=-1,-1,VLOOKUP(C583,$T$1:$V$20,3))</f>
        <v>5</v>
      </c>
      <c r="L583" s="16" t="n">
        <f aca="false">IF(B583=-1,-1,VLOOKUP(D583,$Y$1:$AA$22,3))</f>
        <v>4</v>
      </c>
      <c r="N583" s="10" t="str">
        <f aca="false">_xlfn.UNICHAR(((C583*21)+G583)*28+44032)</f>
        <v>또</v>
      </c>
      <c r="O583" s="10" t="str">
        <f aca="false">_xlfn.UNICHAR(((F583*21)+D583)*28+44032)</f>
        <v>써</v>
      </c>
      <c r="P583" s="12" t="n">
        <f aca="false">COUNTIF($A$2:$A$3000, N583) + COUNTIF($A$2:$A$3000, O583)</f>
        <v>2</v>
      </c>
      <c r="Q583" s="16" t="str">
        <f aca="false">IF(OR(B583=-1,I583=0, P583&lt;&gt;2), "albhed_dummy", _xlfn.CONCAT("albhed ", RIGHT("  " &amp; K583,2),", ", RIGHT("  " &amp; L583,2), ", " ,"""",H583,""", ", """",N583,""", ","""",O583,""""," ; ", A583))</f>
        <v>albhed  5,  4, "쏘", "또", "써" ; 떤</v>
      </c>
    </row>
    <row r="584" customFormat="false" ht="17.9" hidden="false" customHeight="true" outlineLevel="0" collapsed="false">
      <c r="A584" s="16" t="s">
        <v>1458</v>
      </c>
      <c r="B584" s="16" t="n">
        <f aca="false">IF(_xlfn.UNICODE(A584)&lt;44032,-1,_xlfn.UNICODE(A584)-44032)</f>
        <v>2472</v>
      </c>
      <c r="C584" s="16" t="n">
        <f aca="false">IF(B584=-1,-1,INT((B584/28)/21))</f>
        <v>4</v>
      </c>
      <c r="D584" s="16" t="n">
        <f aca="false">IF(B584=-1, -1, MOD(INT(B584/28),21))</f>
        <v>4</v>
      </c>
      <c r="E584" s="16" t="n">
        <f aca="false">IF(B584=-1, -1, VLOOKUP(MOD(B584,28), $T$24:$U$52,2))</f>
        <v>8</v>
      </c>
      <c r="F584" s="16" t="n">
        <f aca="false">IF($B584=-1, -1, VLOOKUP(C584,$T$1:$V$20, 2))</f>
        <v>10</v>
      </c>
      <c r="G584" s="16" t="n">
        <f aca="false">IF($B584=-1, -1, VLOOKUP(D584,$Y$1:$Z$22,2))</f>
        <v>8</v>
      </c>
      <c r="H584" s="16" t="str">
        <f aca="false">_xlfn.UNICHAR(((F584*21)+G584)*28+44032)</f>
        <v>쏘</v>
      </c>
      <c r="I584" s="16" t="n">
        <f aca="false">IF(B584=-1, 1, COUNTIF($A$2:$A$3000, H584))</f>
        <v>1</v>
      </c>
      <c r="J584" s="10" t="str">
        <f aca="false">_xlfn.CONCAT(A584, ",",H584,",",I584)</f>
        <v>떨,쏘,1</v>
      </c>
      <c r="K584" s="16" t="n">
        <f aca="false">IF(B584=-1,-1,VLOOKUP(C584,$T$1:$V$20,3))</f>
        <v>5</v>
      </c>
      <c r="L584" s="16" t="n">
        <f aca="false">IF(B584=-1,-1,VLOOKUP(D584,$Y$1:$AA$22,3))</f>
        <v>4</v>
      </c>
      <c r="N584" s="10" t="str">
        <f aca="false">_xlfn.UNICHAR(((C584*21)+G584)*28+44032)</f>
        <v>또</v>
      </c>
      <c r="O584" s="10" t="str">
        <f aca="false">_xlfn.UNICHAR(((F584*21)+D584)*28+44032)</f>
        <v>써</v>
      </c>
      <c r="P584" s="12" t="n">
        <f aca="false">COUNTIF($A$2:$A$3000, N584) + COUNTIF($A$2:$A$3000, O584)</f>
        <v>2</v>
      </c>
      <c r="Q584" s="16" t="str">
        <f aca="false">IF(OR(B584=-1,I584=0, P584&lt;&gt;2), "albhed_dummy", _xlfn.CONCAT("albhed ", RIGHT("  " &amp; K584,2),", ", RIGHT("  " &amp; L584,2), ", " ,"""",H584,""", ", """",N584,""", ","""",O584,""""," ; ", A584))</f>
        <v>albhed  5,  4, "쏘", "또", "써" ; 떨</v>
      </c>
    </row>
    <row r="585" customFormat="false" ht="17.9" hidden="false" customHeight="true" outlineLevel="0" collapsed="false">
      <c r="A585" s="16" t="s">
        <v>1459</v>
      </c>
      <c r="B585" s="16" t="n">
        <f aca="false">IF(_xlfn.UNICODE(A585)&lt;44032,-1,_xlfn.UNICODE(A585)-44032)</f>
        <v>2474</v>
      </c>
      <c r="C585" s="16" t="n">
        <f aca="false">IF(B585=-1,-1,INT((B585/28)/21))</f>
        <v>4</v>
      </c>
      <c r="D585" s="16" t="n">
        <f aca="false">IF(B585=-1, -1, MOD(INT(B585/28),21))</f>
        <v>4</v>
      </c>
      <c r="E585" s="16" t="n">
        <f aca="false">IF(B585=-1, -1, VLOOKUP(MOD(B585,28), $T$24:$U$52,2))</f>
        <v>8</v>
      </c>
      <c r="F585" s="16" t="n">
        <f aca="false">IF($B585=-1, -1, VLOOKUP(C585,$T$1:$V$20, 2))</f>
        <v>10</v>
      </c>
      <c r="G585" s="16" t="n">
        <f aca="false">IF($B585=-1, -1, VLOOKUP(D585,$Y$1:$Z$22,2))</f>
        <v>8</v>
      </c>
      <c r="H585" s="16" t="str">
        <f aca="false">_xlfn.UNICHAR(((F585*21)+G585)*28+44032)</f>
        <v>쏘</v>
      </c>
      <c r="I585" s="16" t="n">
        <f aca="false">IF(B585=-1, 1, COUNTIF($A$2:$A$3000, H585))</f>
        <v>1</v>
      </c>
      <c r="J585" s="10" t="str">
        <f aca="false">_xlfn.CONCAT(A585, ",",H585,",",I585)</f>
        <v>떪,쏘,1</v>
      </c>
      <c r="K585" s="16" t="n">
        <f aca="false">IF(B585=-1,-1,VLOOKUP(C585,$T$1:$V$20,3))</f>
        <v>5</v>
      </c>
      <c r="L585" s="16" t="n">
        <f aca="false">IF(B585=-1,-1,VLOOKUP(D585,$Y$1:$AA$22,3))</f>
        <v>4</v>
      </c>
      <c r="N585" s="10" t="str">
        <f aca="false">_xlfn.UNICHAR(((C585*21)+G585)*28+44032)</f>
        <v>또</v>
      </c>
      <c r="O585" s="10" t="str">
        <f aca="false">_xlfn.UNICHAR(((F585*21)+D585)*28+44032)</f>
        <v>써</v>
      </c>
      <c r="P585" s="12" t="n">
        <f aca="false">COUNTIF($A$2:$A$3000, N585) + COUNTIF($A$2:$A$3000, O585)</f>
        <v>2</v>
      </c>
      <c r="Q585" s="16" t="str">
        <f aca="false">IF(OR(B585=-1,I585=0, P585&lt;&gt;2), "albhed_dummy", _xlfn.CONCAT("albhed ", RIGHT("  " &amp; K585,2),", ", RIGHT("  " &amp; L585,2), ", " ,"""",H585,""", ", """",N585,""", ","""",O585,""""," ; ", A585))</f>
        <v>albhed  5,  4, "쏘", "또", "써" ; 떪</v>
      </c>
    </row>
    <row r="586" customFormat="false" ht="17.9" hidden="false" customHeight="true" outlineLevel="0" collapsed="false">
      <c r="A586" s="16" t="s">
        <v>1460</v>
      </c>
      <c r="B586" s="16" t="n">
        <f aca="false">IF(_xlfn.UNICODE(A586)&lt;44032,-1,_xlfn.UNICODE(A586)-44032)</f>
        <v>2475</v>
      </c>
      <c r="C586" s="16" t="n">
        <f aca="false">IF(B586=-1,-1,INT((B586/28)/21))</f>
        <v>4</v>
      </c>
      <c r="D586" s="16" t="n">
        <f aca="false">IF(B586=-1, -1, MOD(INT(B586/28),21))</f>
        <v>4</v>
      </c>
      <c r="E586" s="16" t="n">
        <f aca="false">IF(B586=-1, -1, VLOOKUP(MOD(B586,28), $T$24:$U$52,2))</f>
        <v>8</v>
      </c>
      <c r="F586" s="16" t="n">
        <f aca="false">IF($B586=-1, -1, VLOOKUP(C586,$T$1:$V$20, 2))</f>
        <v>10</v>
      </c>
      <c r="G586" s="16" t="n">
        <f aca="false">IF($B586=-1, -1, VLOOKUP(D586,$Y$1:$Z$22,2))</f>
        <v>8</v>
      </c>
      <c r="H586" s="16" t="str">
        <f aca="false">_xlfn.UNICHAR(((F586*21)+G586)*28+44032)</f>
        <v>쏘</v>
      </c>
      <c r="I586" s="16" t="n">
        <f aca="false">IF(B586=-1, 1, COUNTIF($A$2:$A$3000, H586))</f>
        <v>1</v>
      </c>
      <c r="J586" s="10" t="str">
        <f aca="false">_xlfn.CONCAT(A586, ",",H586,",",I586)</f>
        <v>떫,쏘,1</v>
      </c>
      <c r="K586" s="16" t="n">
        <f aca="false">IF(B586=-1,-1,VLOOKUP(C586,$T$1:$V$20,3))</f>
        <v>5</v>
      </c>
      <c r="L586" s="16" t="n">
        <f aca="false">IF(B586=-1,-1,VLOOKUP(D586,$Y$1:$AA$22,3))</f>
        <v>4</v>
      </c>
      <c r="N586" s="10" t="str">
        <f aca="false">_xlfn.UNICHAR(((C586*21)+G586)*28+44032)</f>
        <v>또</v>
      </c>
      <c r="O586" s="10" t="str">
        <f aca="false">_xlfn.UNICHAR(((F586*21)+D586)*28+44032)</f>
        <v>써</v>
      </c>
      <c r="P586" s="12" t="n">
        <f aca="false">COUNTIF($A$2:$A$3000, N586) + COUNTIF($A$2:$A$3000, O586)</f>
        <v>2</v>
      </c>
      <c r="Q586" s="16" t="str">
        <f aca="false">IF(OR(B586=-1,I586=0, P586&lt;&gt;2), "albhed_dummy", _xlfn.CONCAT("albhed ", RIGHT("  " &amp; K586,2),", ", RIGHT("  " &amp; L586,2), ", " ,"""",H586,""", ", """",N586,""", ","""",O586,""""," ; ", A586))</f>
        <v>albhed  5,  4, "쏘", "또", "써" ; 떫</v>
      </c>
    </row>
    <row r="587" customFormat="false" ht="17.9" hidden="false" customHeight="true" outlineLevel="0" collapsed="false">
      <c r="A587" s="16" t="s">
        <v>1461</v>
      </c>
      <c r="B587" s="16" t="n">
        <f aca="false">IF(_xlfn.UNICODE(A587)&lt;44032,-1,_xlfn.UNICODE(A587)-44032)</f>
        <v>2480</v>
      </c>
      <c r="C587" s="16" t="n">
        <f aca="false">IF(B587=-1,-1,INT((B587/28)/21))</f>
        <v>4</v>
      </c>
      <c r="D587" s="16" t="n">
        <f aca="false">IF(B587=-1, -1, MOD(INT(B587/28),21))</f>
        <v>4</v>
      </c>
      <c r="E587" s="16" t="n">
        <f aca="false">IF(B587=-1, -1, VLOOKUP(MOD(B587,28), $T$24:$U$52,2))</f>
        <v>16</v>
      </c>
      <c r="F587" s="16" t="n">
        <f aca="false">IF($B587=-1, -1, VLOOKUP(C587,$T$1:$V$20, 2))</f>
        <v>10</v>
      </c>
      <c r="G587" s="16" t="n">
        <f aca="false">IF($B587=-1, -1, VLOOKUP(D587,$Y$1:$Z$22,2))</f>
        <v>8</v>
      </c>
      <c r="H587" s="16" t="str">
        <f aca="false">_xlfn.UNICHAR(((F587*21)+G587)*28+44032)</f>
        <v>쏘</v>
      </c>
      <c r="I587" s="16" t="n">
        <f aca="false">IF(B587=-1, 1, COUNTIF($A$2:$A$3000, H587))</f>
        <v>1</v>
      </c>
      <c r="J587" s="10" t="str">
        <f aca="false">_xlfn.CONCAT(A587, ",",H587,",",I587)</f>
        <v>떰,쏘,1</v>
      </c>
      <c r="K587" s="16" t="n">
        <f aca="false">IF(B587=-1,-1,VLOOKUP(C587,$T$1:$V$20,3))</f>
        <v>5</v>
      </c>
      <c r="L587" s="16" t="n">
        <f aca="false">IF(B587=-1,-1,VLOOKUP(D587,$Y$1:$AA$22,3))</f>
        <v>4</v>
      </c>
      <c r="N587" s="10" t="str">
        <f aca="false">_xlfn.UNICHAR(((C587*21)+G587)*28+44032)</f>
        <v>또</v>
      </c>
      <c r="O587" s="10" t="str">
        <f aca="false">_xlfn.UNICHAR(((F587*21)+D587)*28+44032)</f>
        <v>써</v>
      </c>
      <c r="P587" s="12" t="n">
        <f aca="false">COUNTIF($A$2:$A$3000, N587) + COUNTIF($A$2:$A$3000, O587)</f>
        <v>2</v>
      </c>
      <c r="Q587" s="16" t="str">
        <f aca="false">IF(OR(B587=-1,I587=0, P587&lt;&gt;2), "albhed_dummy", _xlfn.CONCAT("albhed ", RIGHT("  " &amp; K587,2),", ", RIGHT("  " &amp; L587,2), ", " ,"""",H587,""", ", """",N587,""", ","""",O587,""""," ; ", A587))</f>
        <v>albhed  5,  4, "쏘", "또", "써" ; 떰</v>
      </c>
    </row>
    <row r="588" customFormat="false" ht="17.9" hidden="false" customHeight="true" outlineLevel="0" collapsed="false">
      <c r="A588" s="16" t="s">
        <v>1462</v>
      </c>
      <c r="B588" s="16" t="n">
        <f aca="false">IF(_xlfn.UNICODE(A588)&lt;44032,-1,_xlfn.UNICODE(A588)-44032)</f>
        <v>2481</v>
      </c>
      <c r="C588" s="16" t="n">
        <f aca="false">IF(B588=-1,-1,INT((B588/28)/21))</f>
        <v>4</v>
      </c>
      <c r="D588" s="16" t="n">
        <f aca="false">IF(B588=-1, -1, MOD(INT(B588/28),21))</f>
        <v>4</v>
      </c>
      <c r="E588" s="16" t="n">
        <f aca="false">IF(B588=-1, -1, VLOOKUP(MOD(B588,28), $T$24:$U$52,2))</f>
        <v>17</v>
      </c>
      <c r="F588" s="16" t="n">
        <f aca="false">IF($B588=-1, -1, VLOOKUP(C588,$T$1:$V$20, 2))</f>
        <v>10</v>
      </c>
      <c r="G588" s="16" t="n">
        <f aca="false">IF($B588=-1, -1, VLOOKUP(D588,$Y$1:$Z$22,2))</f>
        <v>8</v>
      </c>
      <c r="H588" s="16" t="str">
        <f aca="false">_xlfn.UNICHAR(((F588*21)+G588)*28+44032)</f>
        <v>쏘</v>
      </c>
      <c r="I588" s="16" t="n">
        <f aca="false">IF(B588=-1, 1, COUNTIF($A$2:$A$3000, H588))</f>
        <v>1</v>
      </c>
      <c r="J588" s="10" t="str">
        <f aca="false">_xlfn.CONCAT(A588, ",",H588,",",I588)</f>
        <v>떱,쏘,1</v>
      </c>
      <c r="K588" s="16" t="n">
        <f aca="false">IF(B588=-1,-1,VLOOKUP(C588,$T$1:$V$20,3))</f>
        <v>5</v>
      </c>
      <c r="L588" s="16" t="n">
        <f aca="false">IF(B588=-1,-1,VLOOKUP(D588,$Y$1:$AA$22,3))</f>
        <v>4</v>
      </c>
      <c r="N588" s="10" t="str">
        <f aca="false">_xlfn.UNICHAR(((C588*21)+G588)*28+44032)</f>
        <v>또</v>
      </c>
      <c r="O588" s="10" t="str">
        <f aca="false">_xlfn.UNICHAR(((F588*21)+D588)*28+44032)</f>
        <v>써</v>
      </c>
      <c r="P588" s="12" t="n">
        <f aca="false">COUNTIF($A$2:$A$3000, N588) + COUNTIF($A$2:$A$3000, O588)</f>
        <v>2</v>
      </c>
      <c r="Q588" s="16" t="str">
        <f aca="false">IF(OR(B588=-1,I588=0, P588&lt;&gt;2), "albhed_dummy", _xlfn.CONCAT("albhed ", RIGHT("  " &amp; K588,2),", ", RIGHT("  " &amp; L588,2), ", " ,"""",H588,""", ", """",N588,""", ","""",O588,""""," ; ", A588))</f>
        <v>albhed  5,  4, "쏘", "또", "써" ; 떱</v>
      </c>
    </row>
    <row r="589" customFormat="false" ht="17.9" hidden="false" customHeight="true" outlineLevel="0" collapsed="false">
      <c r="A589" s="16" t="s">
        <v>1463</v>
      </c>
      <c r="B589" s="16" t="n">
        <f aca="false">IF(_xlfn.UNICODE(A589)&lt;44032,-1,_xlfn.UNICODE(A589)-44032)</f>
        <v>2483</v>
      </c>
      <c r="C589" s="16" t="n">
        <f aca="false">IF(B589=-1,-1,INT((B589/28)/21))</f>
        <v>4</v>
      </c>
      <c r="D589" s="16" t="n">
        <f aca="false">IF(B589=-1, -1, MOD(INT(B589/28),21))</f>
        <v>4</v>
      </c>
      <c r="E589" s="16" t="n">
        <f aca="false">IF(B589=-1, -1, VLOOKUP(MOD(B589,28), $T$24:$U$52,2))</f>
        <v>19</v>
      </c>
      <c r="F589" s="16" t="n">
        <f aca="false">IF($B589=-1, -1, VLOOKUP(C589,$T$1:$V$20, 2))</f>
        <v>10</v>
      </c>
      <c r="G589" s="16" t="n">
        <f aca="false">IF($B589=-1, -1, VLOOKUP(D589,$Y$1:$Z$22,2))</f>
        <v>8</v>
      </c>
      <c r="H589" s="16" t="str">
        <f aca="false">_xlfn.UNICHAR(((F589*21)+G589)*28+44032)</f>
        <v>쏘</v>
      </c>
      <c r="I589" s="16" t="n">
        <f aca="false">IF(B589=-1, 1, COUNTIF($A$2:$A$3000, H589))</f>
        <v>1</v>
      </c>
      <c r="J589" s="10" t="str">
        <f aca="false">_xlfn.CONCAT(A589, ",",H589,",",I589)</f>
        <v>떳,쏘,1</v>
      </c>
      <c r="K589" s="16" t="n">
        <f aca="false">IF(B589=-1,-1,VLOOKUP(C589,$T$1:$V$20,3))</f>
        <v>5</v>
      </c>
      <c r="L589" s="16" t="n">
        <f aca="false">IF(B589=-1,-1,VLOOKUP(D589,$Y$1:$AA$22,3))</f>
        <v>4</v>
      </c>
      <c r="N589" s="10" t="str">
        <f aca="false">_xlfn.UNICHAR(((C589*21)+G589)*28+44032)</f>
        <v>또</v>
      </c>
      <c r="O589" s="10" t="str">
        <f aca="false">_xlfn.UNICHAR(((F589*21)+D589)*28+44032)</f>
        <v>써</v>
      </c>
      <c r="P589" s="12" t="n">
        <f aca="false">COUNTIF($A$2:$A$3000, N589) + COUNTIF($A$2:$A$3000, O589)</f>
        <v>2</v>
      </c>
      <c r="Q589" s="16" t="str">
        <f aca="false">IF(OR(B589=-1,I589=0, P589&lt;&gt;2), "albhed_dummy", _xlfn.CONCAT("albhed ", RIGHT("  " &amp; K589,2),", ", RIGHT("  " &amp; L589,2), ", " ,"""",H589,""", ", """",N589,""", ","""",O589,""""," ; ", A589))</f>
        <v>albhed  5,  4, "쏘", "또", "써" ; 떳</v>
      </c>
    </row>
    <row r="590" customFormat="false" ht="17.9" hidden="false" customHeight="true" outlineLevel="0" collapsed="false">
      <c r="A590" s="16" t="s">
        <v>1464</v>
      </c>
      <c r="B590" s="16" t="n">
        <f aca="false">IF(_xlfn.UNICODE(A590)&lt;44032,-1,_xlfn.UNICODE(A590)-44032)</f>
        <v>2484</v>
      </c>
      <c r="C590" s="16" t="n">
        <f aca="false">IF(B590=-1,-1,INT((B590/28)/21))</f>
        <v>4</v>
      </c>
      <c r="D590" s="16" t="n">
        <f aca="false">IF(B590=-1, -1, MOD(INT(B590/28),21))</f>
        <v>4</v>
      </c>
      <c r="E590" s="16" t="n">
        <f aca="false">IF(B590=-1, -1, VLOOKUP(MOD(B590,28), $T$24:$U$52,2))</f>
        <v>19</v>
      </c>
      <c r="F590" s="16" t="n">
        <f aca="false">IF($B590=-1, -1, VLOOKUP(C590,$T$1:$V$20, 2))</f>
        <v>10</v>
      </c>
      <c r="G590" s="16" t="n">
        <f aca="false">IF($B590=-1, -1, VLOOKUP(D590,$Y$1:$Z$22,2))</f>
        <v>8</v>
      </c>
      <c r="H590" s="16" t="str">
        <f aca="false">_xlfn.UNICHAR(((F590*21)+G590)*28+44032)</f>
        <v>쏘</v>
      </c>
      <c r="I590" s="16" t="n">
        <f aca="false">IF(B590=-1, 1, COUNTIF($A$2:$A$3000, H590))</f>
        <v>1</v>
      </c>
      <c r="J590" s="10" t="str">
        <f aca="false">_xlfn.CONCAT(A590, ",",H590,",",I590)</f>
        <v>떴,쏘,1</v>
      </c>
      <c r="K590" s="16" t="n">
        <f aca="false">IF(B590=-1,-1,VLOOKUP(C590,$T$1:$V$20,3))</f>
        <v>5</v>
      </c>
      <c r="L590" s="16" t="n">
        <f aca="false">IF(B590=-1,-1,VLOOKUP(D590,$Y$1:$AA$22,3))</f>
        <v>4</v>
      </c>
      <c r="N590" s="10" t="str">
        <f aca="false">_xlfn.UNICHAR(((C590*21)+G590)*28+44032)</f>
        <v>또</v>
      </c>
      <c r="O590" s="10" t="str">
        <f aca="false">_xlfn.UNICHAR(((F590*21)+D590)*28+44032)</f>
        <v>써</v>
      </c>
      <c r="P590" s="12" t="n">
        <f aca="false">COUNTIF($A$2:$A$3000, N590) + COUNTIF($A$2:$A$3000, O590)</f>
        <v>2</v>
      </c>
      <c r="Q590" s="16" t="str">
        <f aca="false">IF(OR(B590=-1,I590=0, P590&lt;&gt;2), "albhed_dummy", _xlfn.CONCAT("albhed ", RIGHT("  " &amp; K590,2),", ", RIGHT("  " &amp; L590,2), ", " ,"""",H590,""", ", """",N590,""", ","""",O590,""""," ; ", A590))</f>
        <v>albhed  5,  4, "쏘", "또", "써" ; 떴</v>
      </c>
    </row>
    <row r="591" customFormat="false" ht="17.9" hidden="false" customHeight="true" outlineLevel="0" collapsed="false">
      <c r="A591" s="16" t="s">
        <v>1465</v>
      </c>
      <c r="B591" s="16" t="n">
        <f aca="false">IF(_xlfn.UNICODE(A591)&lt;44032,-1,_xlfn.UNICODE(A591)-44032)</f>
        <v>2485</v>
      </c>
      <c r="C591" s="16" t="n">
        <f aca="false">IF(B591=-1,-1,INT((B591/28)/21))</f>
        <v>4</v>
      </c>
      <c r="D591" s="16" t="n">
        <f aca="false">IF(B591=-1, -1, MOD(INT(B591/28),21))</f>
        <v>4</v>
      </c>
      <c r="E591" s="16" t="n">
        <f aca="false">IF(B591=-1, -1, VLOOKUP(MOD(B591,28), $T$24:$U$52,2))</f>
        <v>21</v>
      </c>
      <c r="F591" s="16" t="n">
        <f aca="false">IF($B591=-1, -1, VLOOKUP(C591,$T$1:$V$20, 2))</f>
        <v>10</v>
      </c>
      <c r="G591" s="16" t="n">
        <f aca="false">IF($B591=-1, -1, VLOOKUP(D591,$Y$1:$Z$22,2))</f>
        <v>8</v>
      </c>
      <c r="H591" s="16" t="str">
        <f aca="false">_xlfn.UNICHAR(((F591*21)+G591)*28+44032)</f>
        <v>쏘</v>
      </c>
      <c r="I591" s="16" t="n">
        <f aca="false">IF(B591=-1, 1, COUNTIF($A$2:$A$3000, H591))</f>
        <v>1</v>
      </c>
      <c r="J591" s="10" t="str">
        <f aca="false">_xlfn.CONCAT(A591, ",",H591,",",I591)</f>
        <v>떵,쏘,1</v>
      </c>
      <c r="K591" s="16" t="n">
        <f aca="false">IF(B591=-1,-1,VLOOKUP(C591,$T$1:$V$20,3))</f>
        <v>5</v>
      </c>
      <c r="L591" s="16" t="n">
        <f aca="false">IF(B591=-1,-1,VLOOKUP(D591,$Y$1:$AA$22,3))</f>
        <v>4</v>
      </c>
      <c r="N591" s="10" t="str">
        <f aca="false">_xlfn.UNICHAR(((C591*21)+G591)*28+44032)</f>
        <v>또</v>
      </c>
      <c r="O591" s="10" t="str">
        <f aca="false">_xlfn.UNICHAR(((F591*21)+D591)*28+44032)</f>
        <v>써</v>
      </c>
      <c r="P591" s="12" t="n">
        <f aca="false">COUNTIF($A$2:$A$3000, N591) + COUNTIF($A$2:$A$3000, O591)</f>
        <v>2</v>
      </c>
      <c r="Q591" s="16" t="str">
        <f aca="false">IF(OR(B591=-1,I591=0, P591&lt;&gt;2), "albhed_dummy", _xlfn.CONCAT("albhed ", RIGHT("  " &amp; K591,2),", ", RIGHT("  " &amp; L591,2), ", " ,"""",H591,""", ", """",N591,""", ","""",O591,""""," ; ", A591))</f>
        <v>albhed  5,  4, "쏘", "또", "써" ; 떵</v>
      </c>
    </row>
    <row r="592" customFormat="false" ht="17.9" hidden="false" customHeight="true" outlineLevel="0" collapsed="false">
      <c r="A592" s="16" t="s">
        <v>1466</v>
      </c>
      <c r="B592" s="16" t="n">
        <f aca="false">IF(_xlfn.UNICODE(A592)&lt;44032,-1,_xlfn.UNICODE(A592)-44032)</f>
        <v>2491</v>
      </c>
      <c r="C592" s="16" t="n">
        <f aca="false">IF(B592=-1,-1,INT((B592/28)/21))</f>
        <v>4</v>
      </c>
      <c r="D592" s="16" t="n">
        <f aca="false">IF(B592=-1, -1, MOD(INT(B592/28),21))</f>
        <v>4</v>
      </c>
      <c r="E592" s="16" t="n">
        <f aca="false">IF(B592=-1, -1, VLOOKUP(MOD(B592,28), $T$24:$U$52,2))</f>
        <v>19</v>
      </c>
      <c r="F592" s="16" t="n">
        <f aca="false">IF($B592=-1, -1, VLOOKUP(C592,$T$1:$V$20, 2))</f>
        <v>10</v>
      </c>
      <c r="G592" s="16" t="n">
        <f aca="false">IF($B592=-1, -1, VLOOKUP(D592,$Y$1:$Z$22,2))</f>
        <v>8</v>
      </c>
      <c r="H592" s="16" t="str">
        <f aca="false">_xlfn.UNICHAR(((F592*21)+G592)*28+44032)</f>
        <v>쏘</v>
      </c>
      <c r="I592" s="16" t="n">
        <f aca="false">IF(B592=-1, 1, COUNTIF($A$2:$A$3000, H592))</f>
        <v>1</v>
      </c>
      <c r="J592" s="10" t="str">
        <f aca="false">_xlfn.CONCAT(A592, ",",H592,",",I592)</f>
        <v>떻,쏘,1</v>
      </c>
      <c r="K592" s="16" t="n">
        <f aca="false">IF(B592=-1,-1,VLOOKUP(C592,$T$1:$V$20,3))</f>
        <v>5</v>
      </c>
      <c r="L592" s="16" t="n">
        <f aca="false">IF(B592=-1,-1,VLOOKUP(D592,$Y$1:$AA$22,3))</f>
        <v>4</v>
      </c>
      <c r="N592" s="10" t="str">
        <f aca="false">_xlfn.UNICHAR(((C592*21)+G592)*28+44032)</f>
        <v>또</v>
      </c>
      <c r="O592" s="10" t="str">
        <f aca="false">_xlfn.UNICHAR(((F592*21)+D592)*28+44032)</f>
        <v>써</v>
      </c>
      <c r="P592" s="12" t="n">
        <f aca="false">COUNTIF($A$2:$A$3000, N592) + COUNTIF($A$2:$A$3000, O592)</f>
        <v>2</v>
      </c>
      <c r="Q592" s="16" t="str">
        <f aca="false">IF(OR(B592=-1,I592=0, P592&lt;&gt;2), "albhed_dummy", _xlfn.CONCAT("albhed ", RIGHT("  " &amp; K592,2),", ", RIGHT("  " &amp; L592,2), ", " ,"""",H592,""", ", """",N592,""", ","""",O592,""""," ; ", A592))</f>
        <v>albhed  5,  4, "쏘", "또", "써" ; 떻</v>
      </c>
    </row>
    <row r="593" customFormat="false" ht="17.9" hidden="false" customHeight="true" outlineLevel="0" collapsed="false">
      <c r="A593" s="16" t="s">
        <v>1467</v>
      </c>
      <c r="B593" s="16" t="n">
        <f aca="false">IF(_xlfn.UNICODE(A593)&lt;44032,-1,_xlfn.UNICODE(A593)-44032)</f>
        <v>2492</v>
      </c>
      <c r="C593" s="16" t="n">
        <f aca="false">IF(B593=-1,-1,INT((B593/28)/21))</f>
        <v>4</v>
      </c>
      <c r="D593" s="16" t="n">
        <f aca="false">IF(B593=-1, -1, MOD(INT(B593/28),21))</f>
        <v>5</v>
      </c>
      <c r="E593" s="16" t="n">
        <f aca="false">IF(B593=-1, -1, VLOOKUP(MOD(B593,28), $T$24:$U$52,2))</f>
        <v>0</v>
      </c>
      <c r="F593" s="16" t="n">
        <f aca="false">IF($B593=-1, -1, VLOOKUP(C593,$T$1:$V$20, 2))</f>
        <v>10</v>
      </c>
      <c r="G593" s="16" t="n">
        <f aca="false">IF($B593=-1, -1, VLOOKUP(D593,$Y$1:$Z$22,2))</f>
        <v>18</v>
      </c>
      <c r="H593" s="16" t="str">
        <f aca="false">_xlfn.UNICHAR(((F593*21)+G593)*28+44032)</f>
        <v>쓰</v>
      </c>
      <c r="I593" s="16" t="n">
        <f aca="false">IF(B593=-1, 1, COUNTIF($A$2:$A$3000, H593))</f>
        <v>1</v>
      </c>
      <c r="J593" s="10" t="str">
        <f aca="false">_xlfn.CONCAT(A593, ",",H593,",",I593)</f>
        <v>떼,쓰,1</v>
      </c>
      <c r="K593" s="16" t="n">
        <f aca="false">IF(B593=-1,-1,VLOOKUP(C593,$T$1:$V$20,3))</f>
        <v>5</v>
      </c>
      <c r="L593" s="16" t="n">
        <f aca="false">IF(B593=-1,-1,VLOOKUP(D593,$Y$1:$AA$22,3))</f>
        <v>10</v>
      </c>
      <c r="N593" s="10" t="str">
        <f aca="false">_xlfn.UNICHAR(((C593*21)+G593)*28+44032)</f>
        <v>뜨</v>
      </c>
      <c r="O593" s="10" t="str">
        <f aca="false">_xlfn.UNICHAR(((F593*21)+D593)*28+44032)</f>
        <v>쎄</v>
      </c>
      <c r="P593" s="12" t="n">
        <f aca="false">COUNTIF($A$2:$A$3000, N593) + COUNTIF($A$2:$A$3000, O593)</f>
        <v>2</v>
      </c>
      <c r="Q593" s="16" t="str">
        <f aca="false">IF(OR(B593=-1,I593=0, P593&lt;&gt;2), "albhed_dummy", _xlfn.CONCAT("albhed ", RIGHT("  " &amp; K593,2),", ", RIGHT("  " &amp; L593,2), ", " ,"""",H593,""", ", """",N593,""", ","""",O593,""""," ; ", A593))</f>
        <v>albhed  5, 10, "쓰", "뜨", "쎄" ; 떼</v>
      </c>
    </row>
    <row r="594" customFormat="false" ht="17.9" hidden="false" customHeight="true" outlineLevel="0" collapsed="false">
      <c r="A594" s="16" t="s">
        <v>1468</v>
      </c>
      <c r="B594" s="16" t="n">
        <f aca="false">IF(_xlfn.UNICODE(A594)&lt;44032,-1,_xlfn.UNICODE(A594)-44032)</f>
        <v>2493</v>
      </c>
      <c r="C594" s="16" t="n">
        <f aca="false">IF(B594=-1,-1,INT((B594/28)/21))</f>
        <v>4</v>
      </c>
      <c r="D594" s="16" t="n">
        <f aca="false">IF(B594=-1, -1, MOD(INT(B594/28),21))</f>
        <v>5</v>
      </c>
      <c r="E594" s="16" t="n">
        <f aca="false">IF(B594=-1, -1, VLOOKUP(MOD(B594,28), $T$24:$U$52,2))</f>
        <v>1</v>
      </c>
      <c r="F594" s="16" t="n">
        <f aca="false">IF($B594=-1, -1, VLOOKUP(C594,$T$1:$V$20, 2))</f>
        <v>10</v>
      </c>
      <c r="G594" s="16" t="n">
        <f aca="false">IF($B594=-1, -1, VLOOKUP(D594,$Y$1:$Z$22,2))</f>
        <v>18</v>
      </c>
      <c r="H594" s="16" t="str">
        <f aca="false">_xlfn.UNICHAR(((F594*21)+G594)*28+44032)</f>
        <v>쓰</v>
      </c>
      <c r="I594" s="16" t="n">
        <f aca="false">IF(B594=-1, 1, COUNTIF($A$2:$A$3000, H594))</f>
        <v>1</v>
      </c>
      <c r="J594" s="10" t="str">
        <f aca="false">_xlfn.CONCAT(A594, ",",H594,",",I594)</f>
        <v>떽,쓰,1</v>
      </c>
      <c r="K594" s="16" t="n">
        <f aca="false">IF(B594=-1,-1,VLOOKUP(C594,$T$1:$V$20,3))</f>
        <v>5</v>
      </c>
      <c r="L594" s="16" t="n">
        <f aca="false">IF(B594=-1,-1,VLOOKUP(D594,$Y$1:$AA$22,3))</f>
        <v>10</v>
      </c>
      <c r="N594" s="10" t="str">
        <f aca="false">_xlfn.UNICHAR(((C594*21)+G594)*28+44032)</f>
        <v>뜨</v>
      </c>
      <c r="O594" s="10" t="str">
        <f aca="false">_xlfn.UNICHAR(((F594*21)+D594)*28+44032)</f>
        <v>쎄</v>
      </c>
      <c r="P594" s="12" t="n">
        <f aca="false">COUNTIF($A$2:$A$3000, N594) + COUNTIF($A$2:$A$3000, O594)</f>
        <v>2</v>
      </c>
      <c r="Q594" s="16" t="str">
        <f aca="false">IF(OR(B594=-1,I594=0, P594&lt;&gt;2), "albhed_dummy", _xlfn.CONCAT("albhed ", RIGHT("  " &amp; K594,2),", ", RIGHT("  " &amp; L594,2), ", " ,"""",H594,""", ", """",N594,""", ","""",O594,""""," ; ", A594))</f>
        <v>albhed  5, 10, "쓰", "뜨", "쎄" ; 떽</v>
      </c>
    </row>
    <row r="595" customFormat="false" ht="17.9" hidden="false" customHeight="true" outlineLevel="0" collapsed="false">
      <c r="A595" s="16" t="s">
        <v>1469</v>
      </c>
      <c r="B595" s="16" t="n">
        <f aca="false">IF(_xlfn.UNICODE(A595)&lt;44032,-1,_xlfn.UNICODE(A595)-44032)</f>
        <v>2496</v>
      </c>
      <c r="C595" s="16" t="n">
        <f aca="false">IF(B595=-1,-1,INT((B595/28)/21))</f>
        <v>4</v>
      </c>
      <c r="D595" s="16" t="n">
        <f aca="false">IF(B595=-1, -1, MOD(INT(B595/28),21))</f>
        <v>5</v>
      </c>
      <c r="E595" s="16" t="n">
        <f aca="false">IF(B595=-1, -1, VLOOKUP(MOD(B595,28), $T$24:$U$52,2))</f>
        <v>4</v>
      </c>
      <c r="F595" s="16" t="n">
        <f aca="false">IF($B595=-1, -1, VLOOKUP(C595,$T$1:$V$20, 2))</f>
        <v>10</v>
      </c>
      <c r="G595" s="16" t="n">
        <f aca="false">IF($B595=-1, -1, VLOOKUP(D595,$Y$1:$Z$22,2))</f>
        <v>18</v>
      </c>
      <c r="H595" s="16" t="str">
        <f aca="false">_xlfn.UNICHAR(((F595*21)+G595)*28+44032)</f>
        <v>쓰</v>
      </c>
      <c r="I595" s="16" t="n">
        <f aca="false">IF(B595=-1, 1, COUNTIF($A$2:$A$3000, H595))</f>
        <v>1</v>
      </c>
      <c r="J595" s="10" t="str">
        <f aca="false">_xlfn.CONCAT(A595, ",",H595,",",I595)</f>
        <v>뗀,쓰,1</v>
      </c>
      <c r="K595" s="16" t="n">
        <f aca="false">IF(B595=-1,-1,VLOOKUP(C595,$T$1:$V$20,3))</f>
        <v>5</v>
      </c>
      <c r="L595" s="16" t="n">
        <f aca="false">IF(B595=-1,-1,VLOOKUP(D595,$Y$1:$AA$22,3))</f>
        <v>10</v>
      </c>
      <c r="N595" s="10" t="str">
        <f aca="false">_xlfn.UNICHAR(((C595*21)+G595)*28+44032)</f>
        <v>뜨</v>
      </c>
      <c r="O595" s="10" t="str">
        <f aca="false">_xlfn.UNICHAR(((F595*21)+D595)*28+44032)</f>
        <v>쎄</v>
      </c>
      <c r="P595" s="12" t="n">
        <f aca="false">COUNTIF($A$2:$A$3000, N595) + COUNTIF($A$2:$A$3000, O595)</f>
        <v>2</v>
      </c>
      <c r="Q595" s="16" t="str">
        <f aca="false">IF(OR(B595=-1,I595=0, P595&lt;&gt;2), "albhed_dummy", _xlfn.CONCAT("albhed ", RIGHT("  " &amp; K595,2),", ", RIGHT("  " &amp; L595,2), ", " ,"""",H595,""", ", """",N595,""", ","""",O595,""""," ; ", A595))</f>
        <v>albhed  5, 10, "쓰", "뜨", "쎄" ; 뗀</v>
      </c>
    </row>
    <row r="596" customFormat="false" ht="17.9" hidden="false" customHeight="true" outlineLevel="0" collapsed="false">
      <c r="A596" s="16" t="s">
        <v>1470</v>
      </c>
      <c r="B596" s="16" t="n">
        <f aca="false">IF(_xlfn.UNICODE(A596)&lt;44032,-1,_xlfn.UNICODE(A596)-44032)</f>
        <v>2500</v>
      </c>
      <c r="C596" s="16" t="n">
        <f aca="false">IF(B596=-1,-1,INT((B596/28)/21))</f>
        <v>4</v>
      </c>
      <c r="D596" s="16" t="n">
        <f aca="false">IF(B596=-1, -1, MOD(INT(B596/28),21))</f>
        <v>5</v>
      </c>
      <c r="E596" s="16" t="n">
        <f aca="false">IF(B596=-1, -1, VLOOKUP(MOD(B596,28), $T$24:$U$52,2))</f>
        <v>8</v>
      </c>
      <c r="F596" s="16" t="n">
        <f aca="false">IF($B596=-1, -1, VLOOKUP(C596,$T$1:$V$20, 2))</f>
        <v>10</v>
      </c>
      <c r="G596" s="16" t="n">
        <f aca="false">IF($B596=-1, -1, VLOOKUP(D596,$Y$1:$Z$22,2))</f>
        <v>18</v>
      </c>
      <c r="H596" s="16" t="str">
        <f aca="false">_xlfn.UNICHAR(((F596*21)+G596)*28+44032)</f>
        <v>쓰</v>
      </c>
      <c r="I596" s="16" t="n">
        <f aca="false">IF(B596=-1, 1, COUNTIF($A$2:$A$3000, H596))</f>
        <v>1</v>
      </c>
      <c r="J596" s="10" t="str">
        <f aca="false">_xlfn.CONCAT(A596, ",",H596,",",I596)</f>
        <v>뗄,쓰,1</v>
      </c>
      <c r="K596" s="16" t="n">
        <f aca="false">IF(B596=-1,-1,VLOOKUP(C596,$T$1:$V$20,3))</f>
        <v>5</v>
      </c>
      <c r="L596" s="16" t="n">
        <f aca="false">IF(B596=-1,-1,VLOOKUP(D596,$Y$1:$AA$22,3))</f>
        <v>10</v>
      </c>
      <c r="N596" s="10" t="str">
        <f aca="false">_xlfn.UNICHAR(((C596*21)+G596)*28+44032)</f>
        <v>뜨</v>
      </c>
      <c r="O596" s="10" t="str">
        <f aca="false">_xlfn.UNICHAR(((F596*21)+D596)*28+44032)</f>
        <v>쎄</v>
      </c>
      <c r="P596" s="12" t="n">
        <f aca="false">COUNTIF($A$2:$A$3000, N596) + COUNTIF($A$2:$A$3000, O596)</f>
        <v>2</v>
      </c>
      <c r="Q596" s="16" t="str">
        <f aca="false">IF(OR(B596=-1,I596=0, P596&lt;&gt;2), "albhed_dummy", _xlfn.CONCAT("albhed ", RIGHT("  " &amp; K596,2),", ", RIGHT("  " &amp; L596,2), ", " ,"""",H596,""", ", """",N596,""", ","""",O596,""""," ; ", A596))</f>
        <v>albhed  5, 10, "쓰", "뜨", "쎄" ; 뗄</v>
      </c>
    </row>
    <row r="597" customFormat="false" ht="17.9" hidden="false" customHeight="true" outlineLevel="0" collapsed="false">
      <c r="A597" s="16" t="s">
        <v>1471</v>
      </c>
      <c r="B597" s="16" t="n">
        <f aca="false">IF(_xlfn.UNICODE(A597)&lt;44032,-1,_xlfn.UNICODE(A597)-44032)</f>
        <v>2508</v>
      </c>
      <c r="C597" s="16" t="n">
        <f aca="false">IF(B597=-1,-1,INT((B597/28)/21))</f>
        <v>4</v>
      </c>
      <c r="D597" s="16" t="n">
        <f aca="false">IF(B597=-1, -1, MOD(INT(B597/28),21))</f>
        <v>5</v>
      </c>
      <c r="E597" s="16" t="n">
        <f aca="false">IF(B597=-1, -1, VLOOKUP(MOD(B597,28), $T$24:$U$52,2))</f>
        <v>16</v>
      </c>
      <c r="F597" s="16" t="n">
        <f aca="false">IF($B597=-1, -1, VLOOKUP(C597,$T$1:$V$20, 2))</f>
        <v>10</v>
      </c>
      <c r="G597" s="16" t="n">
        <f aca="false">IF($B597=-1, -1, VLOOKUP(D597,$Y$1:$Z$22,2))</f>
        <v>18</v>
      </c>
      <c r="H597" s="16" t="str">
        <f aca="false">_xlfn.UNICHAR(((F597*21)+G597)*28+44032)</f>
        <v>쓰</v>
      </c>
      <c r="I597" s="16" t="n">
        <f aca="false">IF(B597=-1, 1, COUNTIF($A$2:$A$3000, H597))</f>
        <v>1</v>
      </c>
      <c r="J597" s="10" t="str">
        <f aca="false">_xlfn.CONCAT(A597, ",",H597,",",I597)</f>
        <v>뗌,쓰,1</v>
      </c>
      <c r="K597" s="16" t="n">
        <f aca="false">IF(B597=-1,-1,VLOOKUP(C597,$T$1:$V$20,3))</f>
        <v>5</v>
      </c>
      <c r="L597" s="16" t="n">
        <f aca="false">IF(B597=-1,-1,VLOOKUP(D597,$Y$1:$AA$22,3))</f>
        <v>10</v>
      </c>
      <c r="N597" s="10" t="str">
        <f aca="false">_xlfn.UNICHAR(((C597*21)+G597)*28+44032)</f>
        <v>뜨</v>
      </c>
      <c r="O597" s="10" t="str">
        <f aca="false">_xlfn.UNICHAR(((F597*21)+D597)*28+44032)</f>
        <v>쎄</v>
      </c>
      <c r="P597" s="12" t="n">
        <f aca="false">COUNTIF($A$2:$A$3000, N597) + COUNTIF($A$2:$A$3000, O597)</f>
        <v>2</v>
      </c>
      <c r="Q597" s="16" t="str">
        <f aca="false">IF(OR(B597=-1,I597=0, P597&lt;&gt;2), "albhed_dummy", _xlfn.CONCAT("albhed ", RIGHT("  " &amp; K597,2),", ", RIGHT("  " &amp; L597,2), ", " ,"""",H597,""", ", """",N597,""", ","""",O597,""""," ; ", A597))</f>
        <v>albhed  5, 10, "쓰", "뜨", "쎄" ; 뗌</v>
      </c>
    </row>
    <row r="598" customFormat="false" ht="17.9" hidden="false" customHeight="true" outlineLevel="0" collapsed="false">
      <c r="A598" s="16" t="s">
        <v>1472</v>
      </c>
      <c r="B598" s="16" t="n">
        <f aca="false">IF(_xlfn.UNICODE(A598)&lt;44032,-1,_xlfn.UNICODE(A598)-44032)</f>
        <v>2509</v>
      </c>
      <c r="C598" s="16" t="n">
        <f aca="false">IF(B598=-1,-1,INT((B598/28)/21))</f>
        <v>4</v>
      </c>
      <c r="D598" s="16" t="n">
        <f aca="false">IF(B598=-1, -1, MOD(INT(B598/28),21))</f>
        <v>5</v>
      </c>
      <c r="E598" s="16" t="n">
        <f aca="false">IF(B598=-1, -1, VLOOKUP(MOD(B598,28), $T$24:$U$52,2))</f>
        <v>17</v>
      </c>
      <c r="F598" s="16" t="n">
        <f aca="false">IF($B598=-1, -1, VLOOKUP(C598,$T$1:$V$20, 2))</f>
        <v>10</v>
      </c>
      <c r="G598" s="16" t="n">
        <f aca="false">IF($B598=-1, -1, VLOOKUP(D598,$Y$1:$Z$22,2))</f>
        <v>18</v>
      </c>
      <c r="H598" s="16" t="str">
        <f aca="false">_xlfn.UNICHAR(((F598*21)+G598)*28+44032)</f>
        <v>쓰</v>
      </c>
      <c r="I598" s="16" t="n">
        <f aca="false">IF(B598=-1, 1, COUNTIF($A$2:$A$3000, H598))</f>
        <v>1</v>
      </c>
      <c r="J598" s="10" t="str">
        <f aca="false">_xlfn.CONCAT(A598, ",",H598,",",I598)</f>
        <v>뗍,쓰,1</v>
      </c>
      <c r="K598" s="16" t="n">
        <f aca="false">IF(B598=-1,-1,VLOOKUP(C598,$T$1:$V$20,3))</f>
        <v>5</v>
      </c>
      <c r="L598" s="16" t="n">
        <f aca="false">IF(B598=-1,-1,VLOOKUP(D598,$Y$1:$AA$22,3))</f>
        <v>10</v>
      </c>
      <c r="N598" s="10" t="str">
        <f aca="false">_xlfn.UNICHAR(((C598*21)+G598)*28+44032)</f>
        <v>뜨</v>
      </c>
      <c r="O598" s="10" t="str">
        <f aca="false">_xlfn.UNICHAR(((F598*21)+D598)*28+44032)</f>
        <v>쎄</v>
      </c>
      <c r="P598" s="12" t="n">
        <f aca="false">COUNTIF($A$2:$A$3000, N598) + COUNTIF($A$2:$A$3000, O598)</f>
        <v>2</v>
      </c>
      <c r="Q598" s="16" t="str">
        <f aca="false">IF(OR(B598=-1,I598=0, P598&lt;&gt;2), "albhed_dummy", _xlfn.CONCAT("albhed ", RIGHT("  " &amp; K598,2),", ", RIGHT("  " &amp; L598,2), ", " ,"""",H598,""", ", """",N598,""", ","""",O598,""""," ; ", A598))</f>
        <v>albhed  5, 10, "쓰", "뜨", "쎄" ; 뗍</v>
      </c>
    </row>
    <row r="599" customFormat="false" ht="17.9" hidden="false" customHeight="true" outlineLevel="0" collapsed="false">
      <c r="A599" s="16" t="s">
        <v>1473</v>
      </c>
      <c r="B599" s="16" t="n">
        <f aca="false">IF(_xlfn.UNICODE(A599)&lt;44032,-1,_xlfn.UNICODE(A599)-44032)</f>
        <v>2511</v>
      </c>
      <c r="C599" s="16" t="n">
        <f aca="false">IF(B599=-1,-1,INT((B599/28)/21))</f>
        <v>4</v>
      </c>
      <c r="D599" s="16" t="n">
        <f aca="false">IF(B599=-1, -1, MOD(INT(B599/28),21))</f>
        <v>5</v>
      </c>
      <c r="E599" s="16" t="n">
        <f aca="false">IF(B599=-1, -1, VLOOKUP(MOD(B599,28), $T$24:$U$52,2))</f>
        <v>19</v>
      </c>
      <c r="F599" s="16" t="n">
        <f aca="false">IF($B599=-1, -1, VLOOKUP(C599,$T$1:$V$20, 2))</f>
        <v>10</v>
      </c>
      <c r="G599" s="16" t="n">
        <f aca="false">IF($B599=-1, -1, VLOOKUP(D599,$Y$1:$Z$22,2))</f>
        <v>18</v>
      </c>
      <c r="H599" s="16" t="str">
        <f aca="false">_xlfn.UNICHAR(((F599*21)+G599)*28+44032)</f>
        <v>쓰</v>
      </c>
      <c r="I599" s="16" t="n">
        <f aca="false">IF(B599=-1, 1, COUNTIF($A$2:$A$3000, H599))</f>
        <v>1</v>
      </c>
      <c r="J599" s="10" t="str">
        <f aca="false">_xlfn.CONCAT(A599, ",",H599,",",I599)</f>
        <v>뗏,쓰,1</v>
      </c>
      <c r="K599" s="16" t="n">
        <f aca="false">IF(B599=-1,-1,VLOOKUP(C599,$T$1:$V$20,3))</f>
        <v>5</v>
      </c>
      <c r="L599" s="16" t="n">
        <f aca="false">IF(B599=-1,-1,VLOOKUP(D599,$Y$1:$AA$22,3))</f>
        <v>10</v>
      </c>
      <c r="N599" s="10" t="str">
        <f aca="false">_xlfn.UNICHAR(((C599*21)+G599)*28+44032)</f>
        <v>뜨</v>
      </c>
      <c r="O599" s="10" t="str">
        <f aca="false">_xlfn.UNICHAR(((F599*21)+D599)*28+44032)</f>
        <v>쎄</v>
      </c>
      <c r="P599" s="12" t="n">
        <f aca="false">COUNTIF($A$2:$A$3000, N599) + COUNTIF($A$2:$A$3000, O599)</f>
        <v>2</v>
      </c>
      <c r="Q599" s="16" t="str">
        <f aca="false">IF(OR(B599=-1,I599=0, P599&lt;&gt;2), "albhed_dummy", _xlfn.CONCAT("albhed ", RIGHT("  " &amp; K599,2),", ", RIGHT("  " &amp; L599,2), ", " ,"""",H599,""", ", """",N599,""", ","""",O599,""""," ; ", A599))</f>
        <v>albhed  5, 10, "쓰", "뜨", "쎄" ; 뗏</v>
      </c>
    </row>
    <row r="600" customFormat="false" ht="17.9" hidden="false" customHeight="true" outlineLevel="0" collapsed="false">
      <c r="A600" s="16" t="s">
        <v>1474</v>
      </c>
      <c r="B600" s="16" t="n">
        <f aca="false">IF(_xlfn.UNICODE(A600)&lt;44032,-1,_xlfn.UNICODE(A600)-44032)</f>
        <v>2512</v>
      </c>
      <c r="C600" s="16" t="n">
        <f aca="false">IF(B600=-1,-1,INT((B600/28)/21))</f>
        <v>4</v>
      </c>
      <c r="D600" s="16" t="n">
        <f aca="false">IF(B600=-1, -1, MOD(INT(B600/28),21))</f>
        <v>5</v>
      </c>
      <c r="E600" s="16" t="n">
        <f aca="false">IF(B600=-1, -1, VLOOKUP(MOD(B600,28), $T$24:$U$52,2))</f>
        <v>19</v>
      </c>
      <c r="F600" s="16" t="n">
        <f aca="false">IF($B600=-1, -1, VLOOKUP(C600,$T$1:$V$20, 2))</f>
        <v>10</v>
      </c>
      <c r="G600" s="16" t="n">
        <f aca="false">IF($B600=-1, -1, VLOOKUP(D600,$Y$1:$Z$22,2))</f>
        <v>18</v>
      </c>
      <c r="H600" s="16" t="str">
        <f aca="false">_xlfn.UNICHAR(((F600*21)+G600)*28+44032)</f>
        <v>쓰</v>
      </c>
      <c r="I600" s="16" t="n">
        <f aca="false">IF(B600=-1, 1, COUNTIF($A$2:$A$3000, H600))</f>
        <v>1</v>
      </c>
      <c r="J600" s="10" t="str">
        <f aca="false">_xlfn.CONCAT(A600, ",",H600,",",I600)</f>
        <v>뗐,쓰,1</v>
      </c>
      <c r="K600" s="16" t="n">
        <f aca="false">IF(B600=-1,-1,VLOOKUP(C600,$T$1:$V$20,3))</f>
        <v>5</v>
      </c>
      <c r="L600" s="16" t="n">
        <f aca="false">IF(B600=-1,-1,VLOOKUP(D600,$Y$1:$AA$22,3))</f>
        <v>10</v>
      </c>
      <c r="N600" s="10" t="str">
        <f aca="false">_xlfn.UNICHAR(((C600*21)+G600)*28+44032)</f>
        <v>뜨</v>
      </c>
      <c r="O600" s="10" t="str">
        <f aca="false">_xlfn.UNICHAR(((F600*21)+D600)*28+44032)</f>
        <v>쎄</v>
      </c>
      <c r="P600" s="12" t="n">
        <f aca="false">COUNTIF($A$2:$A$3000, N600) + COUNTIF($A$2:$A$3000, O600)</f>
        <v>2</v>
      </c>
      <c r="Q600" s="16" t="str">
        <f aca="false">IF(OR(B600=-1,I600=0, P600&lt;&gt;2), "albhed_dummy", _xlfn.CONCAT("albhed ", RIGHT("  " &amp; K600,2),", ", RIGHT("  " &amp; L600,2), ", " ,"""",H600,""", ", """",N600,""", ","""",O600,""""," ; ", A600))</f>
        <v>albhed  5, 10, "쓰", "뜨", "쎄" ; 뗐</v>
      </c>
    </row>
    <row r="601" customFormat="false" ht="17.9" hidden="false" customHeight="true" outlineLevel="0" collapsed="false">
      <c r="A601" s="16" t="s">
        <v>1475</v>
      </c>
      <c r="B601" s="16" t="n">
        <f aca="false">IF(_xlfn.UNICODE(A601)&lt;44032,-1,_xlfn.UNICODE(A601)-44032)</f>
        <v>2513</v>
      </c>
      <c r="C601" s="16" t="n">
        <f aca="false">IF(B601=-1,-1,INT((B601/28)/21))</f>
        <v>4</v>
      </c>
      <c r="D601" s="16" t="n">
        <f aca="false">IF(B601=-1, -1, MOD(INT(B601/28),21))</f>
        <v>5</v>
      </c>
      <c r="E601" s="16" t="n">
        <f aca="false">IF(B601=-1, -1, VLOOKUP(MOD(B601,28), $T$24:$U$52,2))</f>
        <v>21</v>
      </c>
      <c r="F601" s="16" t="n">
        <f aca="false">IF($B601=-1, -1, VLOOKUP(C601,$T$1:$V$20, 2))</f>
        <v>10</v>
      </c>
      <c r="G601" s="16" t="n">
        <f aca="false">IF($B601=-1, -1, VLOOKUP(D601,$Y$1:$Z$22,2))</f>
        <v>18</v>
      </c>
      <c r="H601" s="16" t="str">
        <f aca="false">_xlfn.UNICHAR(((F601*21)+G601)*28+44032)</f>
        <v>쓰</v>
      </c>
      <c r="I601" s="16" t="n">
        <f aca="false">IF(B601=-1, 1, COUNTIF($A$2:$A$3000, H601))</f>
        <v>1</v>
      </c>
      <c r="J601" s="10" t="str">
        <f aca="false">_xlfn.CONCAT(A601, ",",H601,",",I601)</f>
        <v>뗑,쓰,1</v>
      </c>
      <c r="K601" s="16" t="n">
        <f aca="false">IF(B601=-1,-1,VLOOKUP(C601,$T$1:$V$20,3))</f>
        <v>5</v>
      </c>
      <c r="L601" s="16" t="n">
        <f aca="false">IF(B601=-1,-1,VLOOKUP(D601,$Y$1:$AA$22,3))</f>
        <v>10</v>
      </c>
      <c r="N601" s="10" t="str">
        <f aca="false">_xlfn.UNICHAR(((C601*21)+G601)*28+44032)</f>
        <v>뜨</v>
      </c>
      <c r="O601" s="10" t="str">
        <f aca="false">_xlfn.UNICHAR(((F601*21)+D601)*28+44032)</f>
        <v>쎄</v>
      </c>
      <c r="P601" s="12" t="n">
        <f aca="false">COUNTIF($A$2:$A$3000, N601) + COUNTIF($A$2:$A$3000, O601)</f>
        <v>2</v>
      </c>
      <c r="Q601" s="16" t="str">
        <f aca="false">IF(OR(B601=-1,I601=0, P601&lt;&gt;2), "albhed_dummy", _xlfn.CONCAT("albhed ", RIGHT("  " &amp; K601,2),", ", RIGHT("  " &amp; L601,2), ", " ,"""",H601,""", ", """",N601,""", ","""",O601,""""," ; ", A601))</f>
        <v>albhed  5, 10, "쓰", "뜨", "쎄" ; 뗑</v>
      </c>
    </row>
    <row r="602" customFormat="false" ht="17.9" hidden="false" customHeight="true" outlineLevel="0" collapsed="false">
      <c r="A602" s="16" t="s">
        <v>1476</v>
      </c>
      <c r="B602" s="16" t="n">
        <f aca="false">IF(_xlfn.UNICODE(A602)&lt;44032,-1,_xlfn.UNICODE(A602)-44032)</f>
        <v>2520</v>
      </c>
      <c r="C602" s="16" t="n">
        <f aca="false">IF(B602=-1,-1,INT((B602/28)/21))</f>
        <v>4</v>
      </c>
      <c r="D602" s="16" t="n">
        <f aca="false">IF(B602=-1, -1, MOD(INT(B602/28),21))</f>
        <v>6</v>
      </c>
      <c r="E602" s="16" t="n">
        <f aca="false">IF(B602=-1, -1, VLOOKUP(MOD(B602,28), $T$24:$U$52,2))</f>
        <v>0</v>
      </c>
      <c r="F602" s="16" t="n">
        <f aca="false">IF($B602=-1, -1, VLOOKUP(C602,$T$1:$V$20, 2))</f>
        <v>10</v>
      </c>
      <c r="G602" s="16" t="n">
        <f aca="false">IF($B602=-1, -1, VLOOKUP(D602,$Y$1:$Z$22,2))</f>
        <v>12</v>
      </c>
      <c r="H602" s="16" t="str">
        <f aca="false">_xlfn.UNICHAR(((F602*21)+G602)*28+44032)</f>
        <v>쑈</v>
      </c>
      <c r="I602" s="16" t="n">
        <f aca="false">IF(B602=-1, 1, COUNTIF($A$2:$A$3000, H602))</f>
        <v>1</v>
      </c>
      <c r="J602" s="10" t="str">
        <f aca="false">_xlfn.CONCAT(A602, ",",H602,",",I602)</f>
        <v>뗘,쑈,1</v>
      </c>
      <c r="K602" s="16" t="n">
        <f aca="false">IF(B602=-1,-1,VLOOKUP(C602,$T$1:$V$20,3))</f>
        <v>5</v>
      </c>
      <c r="L602" s="16" t="n">
        <f aca="false">IF(B602=-1,-1,VLOOKUP(D602,$Y$1:$AA$22,3))</f>
        <v>4</v>
      </c>
      <c r="N602" s="10" t="str">
        <f aca="false">_xlfn.UNICHAR(((C602*21)+G602)*28+44032)</f>
        <v>뚀</v>
      </c>
      <c r="O602" s="10" t="str">
        <f aca="false">_xlfn.UNICHAR(((F602*21)+D602)*28+44032)</f>
        <v>쎠</v>
      </c>
      <c r="P602" s="12" t="n">
        <f aca="false">COUNTIF($A$2:$A$3000, N602) + COUNTIF($A$2:$A$3000, O602)</f>
        <v>0</v>
      </c>
      <c r="Q602" s="16" t="str">
        <f aca="false">IF(OR(B602=-1,I602=0, P602&lt;&gt;2), "albhed_dummy", _xlfn.CONCAT("albhed ", RIGHT("  " &amp; K602,2),", ", RIGHT("  " &amp; L602,2), ", " ,"""",H602,""", ", """",N602,""", ","""",O602,""""," ; ", A602))</f>
        <v>albhed_dummy</v>
      </c>
    </row>
    <row r="603" customFormat="false" ht="17.9" hidden="false" customHeight="true" outlineLevel="0" collapsed="false">
      <c r="A603" s="16" t="s">
        <v>1477</v>
      </c>
      <c r="B603" s="16" t="n">
        <f aca="false">IF(_xlfn.UNICODE(A603)&lt;44032,-1,_xlfn.UNICODE(A603)-44032)</f>
        <v>2540</v>
      </c>
      <c r="C603" s="16" t="n">
        <f aca="false">IF(B603=-1,-1,INT((B603/28)/21))</f>
        <v>4</v>
      </c>
      <c r="D603" s="16" t="n">
        <f aca="false">IF(B603=-1, -1, MOD(INT(B603/28),21))</f>
        <v>6</v>
      </c>
      <c r="E603" s="16" t="n">
        <f aca="false">IF(B603=-1, -1, VLOOKUP(MOD(B603,28), $T$24:$U$52,2))</f>
        <v>19</v>
      </c>
      <c r="F603" s="16" t="n">
        <f aca="false">IF($B603=-1, -1, VLOOKUP(C603,$T$1:$V$20, 2))</f>
        <v>10</v>
      </c>
      <c r="G603" s="16" t="n">
        <f aca="false">IF($B603=-1, -1, VLOOKUP(D603,$Y$1:$Z$22,2))</f>
        <v>12</v>
      </c>
      <c r="H603" s="16" t="str">
        <f aca="false">_xlfn.UNICHAR(((F603*21)+G603)*28+44032)</f>
        <v>쑈</v>
      </c>
      <c r="I603" s="16" t="n">
        <f aca="false">IF(B603=-1, 1, COUNTIF($A$2:$A$3000, H603))</f>
        <v>1</v>
      </c>
      <c r="J603" s="10" t="str">
        <f aca="false">_xlfn.CONCAT(A603, ",",H603,",",I603)</f>
        <v>뗬,쑈,1</v>
      </c>
      <c r="K603" s="16" t="n">
        <f aca="false">IF(B603=-1,-1,VLOOKUP(C603,$T$1:$V$20,3))</f>
        <v>5</v>
      </c>
      <c r="L603" s="16" t="n">
        <f aca="false">IF(B603=-1,-1,VLOOKUP(D603,$Y$1:$AA$22,3))</f>
        <v>4</v>
      </c>
      <c r="N603" s="10" t="str">
        <f aca="false">_xlfn.UNICHAR(((C603*21)+G603)*28+44032)</f>
        <v>뚀</v>
      </c>
      <c r="O603" s="10" t="str">
        <f aca="false">_xlfn.UNICHAR(((F603*21)+D603)*28+44032)</f>
        <v>쎠</v>
      </c>
      <c r="P603" s="12" t="n">
        <f aca="false">COUNTIF($A$2:$A$3000, N603) + COUNTIF($A$2:$A$3000, O603)</f>
        <v>0</v>
      </c>
      <c r="Q603" s="16" t="str">
        <f aca="false">IF(OR(B603=-1,I603=0, P603&lt;&gt;2), "albhed_dummy", _xlfn.CONCAT("albhed ", RIGHT("  " &amp; K603,2),", ", RIGHT("  " &amp; L603,2), ", " ,"""",H603,""", ", """",N603,""", ","""",O603,""""," ; ", A603))</f>
        <v>albhed_dummy</v>
      </c>
    </row>
    <row r="604" customFormat="false" ht="17.9" hidden="false" customHeight="true" outlineLevel="0" collapsed="false">
      <c r="A604" s="16" t="s">
        <v>1478</v>
      </c>
      <c r="B604" s="16" t="n">
        <f aca="false">IF(_xlfn.UNICODE(A604)&lt;44032,-1,_xlfn.UNICODE(A604)-44032)</f>
        <v>2576</v>
      </c>
      <c r="C604" s="16" t="n">
        <f aca="false">IF(B604=-1,-1,INT((B604/28)/21))</f>
        <v>4</v>
      </c>
      <c r="D604" s="16" t="n">
        <f aca="false">IF(B604=-1, -1, MOD(INT(B604/28),21))</f>
        <v>8</v>
      </c>
      <c r="E604" s="16" t="n">
        <f aca="false">IF(B604=-1, -1, VLOOKUP(MOD(B604,28), $T$24:$U$52,2))</f>
        <v>0</v>
      </c>
      <c r="F604" s="16" t="n">
        <f aca="false">IF($B604=-1, -1, VLOOKUP(C604,$T$1:$V$20, 2))</f>
        <v>10</v>
      </c>
      <c r="G604" s="16" t="n">
        <f aca="false">IF($B604=-1, -1, VLOOKUP(D604,$Y$1:$Z$22,2))</f>
        <v>4</v>
      </c>
      <c r="H604" s="16" t="str">
        <f aca="false">_xlfn.UNICHAR(((F604*21)+G604)*28+44032)</f>
        <v>써</v>
      </c>
      <c r="I604" s="16" t="n">
        <f aca="false">IF(B604=-1, 1, COUNTIF($A$2:$A$3000, H604))</f>
        <v>1</v>
      </c>
      <c r="J604" s="10" t="str">
        <f aca="false">_xlfn.CONCAT(A604, ",",H604,",",I604)</f>
        <v>또,써,1</v>
      </c>
      <c r="K604" s="16" t="n">
        <f aca="false">IF(B604=-1,-1,VLOOKUP(C604,$T$1:$V$20,3))</f>
        <v>5</v>
      </c>
      <c r="L604" s="16" t="n">
        <f aca="false">IF(B604=-1,-1,VLOOKUP(D604,$Y$1:$AA$22,3))</f>
        <v>8</v>
      </c>
      <c r="N604" s="10" t="str">
        <f aca="false">_xlfn.UNICHAR(((C604*21)+G604)*28+44032)</f>
        <v>떠</v>
      </c>
      <c r="O604" s="10" t="str">
        <f aca="false">_xlfn.UNICHAR(((F604*21)+D604)*28+44032)</f>
        <v>쏘</v>
      </c>
      <c r="P604" s="12" t="n">
        <f aca="false">COUNTIF($A$2:$A$3000, N604) + COUNTIF($A$2:$A$3000, O604)</f>
        <v>2</v>
      </c>
      <c r="Q604" s="16" t="str">
        <f aca="false">IF(OR(B604=-1,I604=0, P604&lt;&gt;2), "albhed_dummy", _xlfn.CONCAT("albhed ", RIGHT("  " &amp; K604,2),", ", RIGHT("  " &amp; L604,2), ", " ,"""",H604,""", ", """",N604,""", ","""",O604,""""," ; ", A604))</f>
        <v>albhed  5,  8, "써", "떠", "쏘" ; 또</v>
      </c>
    </row>
    <row r="605" customFormat="false" ht="17.9" hidden="false" customHeight="true" outlineLevel="0" collapsed="false">
      <c r="A605" s="16" t="s">
        <v>1479</v>
      </c>
      <c r="B605" s="16" t="n">
        <f aca="false">IF(_xlfn.UNICODE(A605)&lt;44032,-1,_xlfn.UNICODE(A605)-44032)</f>
        <v>2577</v>
      </c>
      <c r="C605" s="16" t="n">
        <f aca="false">IF(B605=-1,-1,INT((B605/28)/21))</f>
        <v>4</v>
      </c>
      <c r="D605" s="16" t="n">
        <f aca="false">IF(B605=-1, -1, MOD(INT(B605/28),21))</f>
        <v>8</v>
      </c>
      <c r="E605" s="16" t="n">
        <f aca="false">IF(B605=-1, -1, VLOOKUP(MOD(B605,28), $T$24:$U$52,2))</f>
        <v>1</v>
      </c>
      <c r="F605" s="16" t="n">
        <f aca="false">IF($B605=-1, -1, VLOOKUP(C605,$T$1:$V$20, 2))</f>
        <v>10</v>
      </c>
      <c r="G605" s="16" t="n">
        <f aca="false">IF($B605=-1, -1, VLOOKUP(D605,$Y$1:$Z$22,2))</f>
        <v>4</v>
      </c>
      <c r="H605" s="16" t="str">
        <f aca="false">_xlfn.UNICHAR(((F605*21)+G605)*28+44032)</f>
        <v>써</v>
      </c>
      <c r="I605" s="16" t="n">
        <f aca="false">IF(B605=-1, 1, COUNTIF($A$2:$A$3000, H605))</f>
        <v>1</v>
      </c>
      <c r="J605" s="10" t="str">
        <f aca="false">_xlfn.CONCAT(A605, ",",H605,",",I605)</f>
        <v>똑,써,1</v>
      </c>
      <c r="K605" s="16" t="n">
        <f aca="false">IF(B605=-1,-1,VLOOKUP(C605,$T$1:$V$20,3))</f>
        <v>5</v>
      </c>
      <c r="L605" s="16" t="n">
        <f aca="false">IF(B605=-1,-1,VLOOKUP(D605,$Y$1:$AA$22,3))</f>
        <v>8</v>
      </c>
      <c r="N605" s="10" t="str">
        <f aca="false">_xlfn.UNICHAR(((C605*21)+G605)*28+44032)</f>
        <v>떠</v>
      </c>
      <c r="O605" s="10" t="str">
        <f aca="false">_xlfn.UNICHAR(((F605*21)+D605)*28+44032)</f>
        <v>쏘</v>
      </c>
      <c r="P605" s="12" t="n">
        <f aca="false">COUNTIF($A$2:$A$3000, N605) + COUNTIF($A$2:$A$3000, O605)</f>
        <v>2</v>
      </c>
      <c r="Q605" s="16" t="str">
        <f aca="false">IF(OR(B605=-1,I605=0, P605&lt;&gt;2), "albhed_dummy", _xlfn.CONCAT("albhed ", RIGHT("  " &amp; K605,2),", ", RIGHT("  " &amp; L605,2), ", " ,"""",H605,""", ", """",N605,""", ","""",O605,""""," ; ", A605))</f>
        <v>albhed  5,  8, "써", "떠", "쏘" ; 똑</v>
      </c>
    </row>
    <row r="606" customFormat="false" ht="17.9" hidden="false" customHeight="true" outlineLevel="0" collapsed="false">
      <c r="A606" s="16" t="s">
        <v>1480</v>
      </c>
      <c r="B606" s="16" t="n">
        <f aca="false">IF(_xlfn.UNICODE(A606)&lt;44032,-1,_xlfn.UNICODE(A606)-44032)</f>
        <v>2580</v>
      </c>
      <c r="C606" s="16" t="n">
        <f aca="false">IF(B606=-1,-1,INT((B606/28)/21))</f>
        <v>4</v>
      </c>
      <c r="D606" s="16" t="n">
        <f aca="false">IF(B606=-1, -1, MOD(INT(B606/28),21))</f>
        <v>8</v>
      </c>
      <c r="E606" s="16" t="n">
        <f aca="false">IF(B606=-1, -1, VLOOKUP(MOD(B606,28), $T$24:$U$52,2))</f>
        <v>4</v>
      </c>
      <c r="F606" s="16" t="n">
        <f aca="false">IF($B606=-1, -1, VLOOKUP(C606,$T$1:$V$20, 2))</f>
        <v>10</v>
      </c>
      <c r="G606" s="16" t="n">
        <f aca="false">IF($B606=-1, -1, VLOOKUP(D606,$Y$1:$Z$22,2))</f>
        <v>4</v>
      </c>
      <c r="H606" s="16" t="str">
        <f aca="false">_xlfn.UNICHAR(((F606*21)+G606)*28+44032)</f>
        <v>써</v>
      </c>
      <c r="I606" s="16" t="n">
        <f aca="false">IF(B606=-1, 1, COUNTIF($A$2:$A$3000, H606))</f>
        <v>1</v>
      </c>
      <c r="J606" s="10" t="str">
        <f aca="false">_xlfn.CONCAT(A606, ",",H606,",",I606)</f>
        <v>똔,써,1</v>
      </c>
      <c r="K606" s="16" t="n">
        <f aca="false">IF(B606=-1,-1,VLOOKUP(C606,$T$1:$V$20,3))</f>
        <v>5</v>
      </c>
      <c r="L606" s="16" t="n">
        <f aca="false">IF(B606=-1,-1,VLOOKUP(D606,$Y$1:$AA$22,3))</f>
        <v>8</v>
      </c>
      <c r="N606" s="10" t="str">
        <f aca="false">_xlfn.UNICHAR(((C606*21)+G606)*28+44032)</f>
        <v>떠</v>
      </c>
      <c r="O606" s="10" t="str">
        <f aca="false">_xlfn.UNICHAR(((F606*21)+D606)*28+44032)</f>
        <v>쏘</v>
      </c>
      <c r="P606" s="12" t="n">
        <f aca="false">COUNTIF($A$2:$A$3000, N606) + COUNTIF($A$2:$A$3000, O606)</f>
        <v>2</v>
      </c>
      <c r="Q606" s="16" t="str">
        <f aca="false">IF(OR(B606=-1,I606=0, P606&lt;&gt;2), "albhed_dummy", _xlfn.CONCAT("albhed ", RIGHT("  " &amp; K606,2),", ", RIGHT("  " &amp; L606,2), ", " ,"""",H606,""", ", """",N606,""", ","""",O606,""""," ; ", A606))</f>
        <v>albhed  5,  8, "써", "떠", "쏘" ; 똔</v>
      </c>
    </row>
    <row r="607" customFormat="false" ht="17.9" hidden="false" customHeight="true" outlineLevel="0" collapsed="false">
      <c r="A607" s="16" t="s">
        <v>1481</v>
      </c>
      <c r="B607" s="16" t="n">
        <f aca="false">IF(_xlfn.UNICODE(A607)&lt;44032,-1,_xlfn.UNICODE(A607)-44032)</f>
        <v>2584</v>
      </c>
      <c r="C607" s="16" t="n">
        <f aca="false">IF(B607=-1,-1,INT((B607/28)/21))</f>
        <v>4</v>
      </c>
      <c r="D607" s="16" t="n">
        <f aca="false">IF(B607=-1, -1, MOD(INT(B607/28),21))</f>
        <v>8</v>
      </c>
      <c r="E607" s="16" t="n">
        <f aca="false">IF(B607=-1, -1, VLOOKUP(MOD(B607,28), $T$24:$U$52,2))</f>
        <v>8</v>
      </c>
      <c r="F607" s="16" t="n">
        <f aca="false">IF($B607=-1, -1, VLOOKUP(C607,$T$1:$V$20, 2))</f>
        <v>10</v>
      </c>
      <c r="G607" s="16" t="n">
        <f aca="false">IF($B607=-1, -1, VLOOKUP(D607,$Y$1:$Z$22,2))</f>
        <v>4</v>
      </c>
      <c r="H607" s="16" t="str">
        <f aca="false">_xlfn.UNICHAR(((F607*21)+G607)*28+44032)</f>
        <v>써</v>
      </c>
      <c r="I607" s="16" t="n">
        <f aca="false">IF(B607=-1, 1, COUNTIF($A$2:$A$3000, H607))</f>
        <v>1</v>
      </c>
      <c r="J607" s="10" t="str">
        <f aca="false">_xlfn.CONCAT(A607, ",",H607,",",I607)</f>
        <v>똘,써,1</v>
      </c>
      <c r="K607" s="16" t="n">
        <f aca="false">IF(B607=-1,-1,VLOOKUP(C607,$T$1:$V$20,3))</f>
        <v>5</v>
      </c>
      <c r="L607" s="16" t="n">
        <f aca="false">IF(B607=-1,-1,VLOOKUP(D607,$Y$1:$AA$22,3))</f>
        <v>8</v>
      </c>
      <c r="N607" s="10" t="str">
        <f aca="false">_xlfn.UNICHAR(((C607*21)+G607)*28+44032)</f>
        <v>떠</v>
      </c>
      <c r="O607" s="10" t="str">
        <f aca="false">_xlfn.UNICHAR(((F607*21)+D607)*28+44032)</f>
        <v>쏘</v>
      </c>
      <c r="P607" s="12" t="n">
        <f aca="false">COUNTIF($A$2:$A$3000, N607) + COUNTIF($A$2:$A$3000, O607)</f>
        <v>2</v>
      </c>
      <c r="Q607" s="16" t="str">
        <f aca="false">IF(OR(B607=-1,I607=0, P607&lt;&gt;2), "albhed_dummy", _xlfn.CONCAT("albhed ", RIGHT("  " &amp; K607,2),", ", RIGHT("  " &amp; L607,2), ", " ,"""",H607,""", ", """",N607,""", ","""",O607,""""," ; ", A607))</f>
        <v>albhed  5,  8, "써", "떠", "쏘" ; 똘</v>
      </c>
    </row>
    <row r="608" customFormat="false" ht="17.9" hidden="false" customHeight="true" outlineLevel="0" collapsed="false">
      <c r="A608" s="16" t="s">
        <v>1482</v>
      </c>
      <c r="B608" s="16" t="n">
        <f aca="false">IF(_xlfn.UNICODE(A608)&lt;44032,-1,_xlfn.UNICODE(A608)-44032)</f>
        <v>2597</v>
      </c>
      <c r="C608" s="16" t="n">
        <f aca="false">IF(B608=-1,-1,INT((B608/28)/21))</f>
        <v>4</v>
      </c>
      <c r="D608" s="16" t="n">
        <f aca="false">IF(B608=-1, -1, MOD(INT(B608/28),21))</f>
        <v>8</v>
      </c>
      <c r="E608" s="16" t="n">
        <f aca="false">IF(B608=-1, -1, VLOOKUP(MOD(B608,28), $T$24:$U$52,2))</f>
        <v>21</v>
      </c>
      <c r="F608" s="16" t="n">
        <f aca="false">IF($B608=-1, -1, VLOOKUP(C608,$T$1:$V$20, 2))</f>
        <v>10</v>
      </c>
      <c r="G608" s="16" t="n">
        <f aca="false">IF($B608=-1, -1, VLOOKUP(D608,$Y$1:$Z$22,2))</f>
        <v>4</v>
      </c>
      <c r="H608" s="16" t="str">
        <f aca="false">_xlfn.UNICHAR(((F608*21)+G608)*28+44032)</f>
        <v>써</v>
      </c>
      <c r="I608" s="16" t="n">
        <f aca="false">IF(B608=-1, 1, COUNTIF($A$2:$A$3000, H608))</f>
        <v>1</v>
      </c>
      <c r="J608" s="10" t="str">
        <f aca="false">_xlfn.CONCAT(A608, ",",H608,",",I608)</f>
        <v>똥,써,1</v>
      </c>
      <c r="K608" s="16" t="n">
        <f aca="false">IF(B608=-1,-1,VLOOKUP(C608,$T$1:$V$20,3))</f>
        <v>5</v>
      </c>
      <c r="L608" s="16" t="n">
        <f aca="false">IF(B608=-1,-1,VLOOKUP(D608,$Y$1:$AA$22,3))</f>
        <v>8</v>
      </c>
      <c r="N608" s="10" t="str">
        <f aca="false">_xlfn.UNICHAR(((C608*21)+G608)*28+44032)</f>
        <v>떠</v>
      </c>
      <c r="O608" s="10" t="str">
        <f aca="false">_xlfn.UNICHAR(((F608*21)+D608)*28+44032)</f>
        <v>쏘</v>
      </c>
      <c r="P608" s="12" t="n">
        <f aca="false">COUNTIF($A$2:$A$3000, N608) + COUNTIF($A$2:$A$3000, O608)</f>
        <v>2</v>
      </c>
      <c r="Q608" s="16" t="str">
        <f aca="false">IF(OR(B608=-1,I608=0, P608&lt;&gt;2), "albhed_dummy", _xlfn.CONCAT("albhed ", RIGHT("  " &amp; K608,2),", ", RIGHT("  " &amp; L608,2), ", " ,"""",H608,""", ", """",N608,""", ","""",O608,""""," ; ", A608))</f>
        <v>albhed  5,  8, "써", "떠", "쏘" ; 똥</v>
      </c>
    </row>
    <row r="609" customFormat="false" ht="17.9" hidden="false" customHeight="true" outlineLevel="0" collapsed="false">
      <c r="A609" s="16" t="s">
        <v>1483</v>
      </c>
      <c r="B609" s="16" t="n">
        <f aca="false">IF(_xlfn.UNICODE(A609)&lt;44032,-1,_xlfn.UNICODE(A609)-44032)</f>
        <v>2604</v>
      </c>
      <c r="C609" s="16" t="n">
        <f aca="false">IF(B609=-1,-1,INT((B609/28)/21))</f>
        <v>4</v>
      </c>
      <c r="D609" s="16" t="n">
        <f aca="false">IF(B609=-1, -1, MOD(INT(B609/28),21))</f>
        <v>9</v>
      </c>
      <c r="E609" s="16" t="n">
        <f aca="false">IF(B609=-1, -1, VLOOKUP(MOD(B609,28), $T$24:$U$52,2))</f>
        <v>0</v>
      </c>
      <c r="F609" s="16" t="n">
        <f aca="false">IF($B609=-1, -1, VLOOKUP(C609,$T$1:$V$20, 2))</f>
        <v>10</v>
      </c>
      <c r="G609" s="16" t="n">
        <f aca="false">IF($B609=-1, -1, VLOOKUP(D609,$Y$1:$Z$22,2))</f>
        <v>20</v>
      </c>
      <c r="H609" s="16" t="str">
        <f aca="false">_xlfn.UNICHAR(((F609*21)+G609)*28+44032)</f>
        <v>씨</v>
      </c>
      <c r="I609" s="16" t="n">
        <f aca="false">IF(B609=-1, 1, COUNTIF($A$2:$A$3000, H609))</f>
        <v>1</v>
      </c>
      <c r="J609" s="10" t="str">
        <f aca="false">_xlfn.CONCAT(A609, ",",H609,",",I609)</f>
        <v>똬,씨,1</v>
      </c>
      <c r="K609" s="16" t="n">
        <f aca="false">IF(B609=-1,-1,VLOOKUP(C609,$T$1:$V$20,3))</f>
        <v>5</v>
      </c>
      <c r="L609" s="16" t="n">
        <f aca="false">IF(B609=-1,-1,VLOOKUP(D609,$Y$1:$AA$22,3))</f>
        <v>12</v>
      </c>
      <c r="N609" s="10" t="str">
        <f aca="false">_xlfn.UNICHAR(((C609*21)+G609)*28+44032)</f>
        <v>띠</v>
      </c>
      <c r="O609" s="10" t="str">
        <f aca="false">_xlfn.UNICHAR(((F609*21)+D609)*28+44032)</f>
        <v>쏴</v>
      </c>
      <c r="P609" s="12" t="n">
        <f aca="false">COUNTIF($A$2:$A$3000, N609) + COUNTIF($A$2:$A$3000, O609)</f>
        <v>2</v>
      </c>
      <c r="Q609" s="16" t="str">
        <f aca="false">IF(OR(B609=-1,I609=0, P609&lt;&gt;2), "albhed_dummy", _xlfn.CONCAT("albhed ", RIGHT("  " &amp; K609,2),", ", RIGHT("  " &amp; L609,2), ", " ,"""",H609,""", ", """",N609,""", ","""",O609,""""," ; ", A609))</f>
        <v>albhed  5, 12, "씨", "띠", "쏴" ; 똬</v>
      </c>
    </row>
    <row r="610" customFormat="false" ht="17.9" hidden="false" customHeight="true" outlineLevel="0" collapsed="false">
      <c r="A610" s="16" t="s">
        <v>1484</v>
      </c>
      <c r="B610" s="16" t="n">
        <f aca="false">IF(_xlfn.UNICODE(A610)&lt;44032,-1,_xlfn.UNICODE(A610)-44032)</f>
        <v>2612</v>
      </c>
      <c r="C610" s="16" t="n">
        <f aca="false">IF(B610=-1,-1,INT((B610/28)/21))</f>
        <v>4</v>
      </c>
      <c r="D610" s="16" t="n">
        <f aca="false">IF(B610=-1, -1, MOD(INT(B610/28),21))</f>
        <v>9</v>
      </c>
      <c r="E610" s="16" t="n">
        <f aca="false">IF(B610=-1, -1, VLOOKUP(MOD(B610,28), $T$24:$U$52,2))</f>
        <v>8</v>
      </c>
      <c r="F610" s="16" t="n">
        <f aca="false">IF($B610=-1, -1, VLOOKUP(C610,$T$1:$V$20, 2))</f>
        <v>10</v>
      </c>
      <c r="G610" s="16" t="n">
        <f aca="false">IF($B610=-1, -1, VLOOKUP(D610,$Y$1:$Z$22,2))</f>
        <v>20</v>
      </c>
      <c r="H610" s="16" t="str">
        <f aca="false">_xlfn.UNICHAR(((F610*21)+G610)*28+44032)</f>
        <v>씨</v>
      </c>
      <c r="I610" s="16" t="n">
        <f aca="false">IF(B610=-1, 1, COUNTIF($A$2:$A$3000, H610))</f>
        <v>1</v>
      </c>
      <c r="J610" s="10" t="str">
        <f aca="false">_xlfn.CONCAT(A610, ",",H610,",",I610)</f>
        <v>똴,씨,1</v>
      </c>
      <c r="K610" s="16" t="n">
        <f aca="false">IF(B610=-1,-1,VLOOKUP(C610,$T$1:$V$20,3))</f>
        <v>5</v>
      </c>
      <c r="L610" s="16" t="n">
        <f aca="false">IF(B610=-1,-1,VLOOKUP(D610,$Y$1:$AA$22,3))</f>
        <v>12</v>
      </c>
      <c r="N610" s="10" t="str">
        <f aca="false">_xlfn.UNICHAR(((C610*21)+G610)*28+44032)</f>
        <v>띠</v>
      </c>
      <c r="O610" s="10" t="str">
        <f aca="false">_xlfn.UNICHAR(((F610*21)+D610)*28+44032)</f>
        <v>쏴</v>
      </c>
      <c r="P610" s="12" t="n">
        <f aca="false">COUNTIF($A$2:$A$3000, N610) + COUNTIF($A$2:$A$3000, O610)</f>
        <v>2</v>
      </c>
      <c r="Q610" s="16" t="str">
        <f aca="false">IF(OR(B610=-1,I610=0, P610&lt;&gt;2), "albhed_dummy", _xlfn.CONCAT("albhed ", RIGHT("  " &amp; K610,2),", ", RIGHT("  " &amp; L610,2), ", " ,"""",H610,""", ", """",N610,""", ","""",O610,""""," ; ", A610))</f>
        <v>albhed  5, 12, "씨", "띠", "쏴" ; 똴</v>
      </c>
    </row>
    <row r="611" customFormat="false" ht="17.9" hidden="false" customHeight="true" outlineLevel="0" collapsed="false">
      <c r="A611" s="16" t="s">
        <v>1485</v>
      </c>
      <c r="B611" s="16" t="n">
        <f aca="false">IF(_xlfn.UNICODE(A611)&lt;44032,-1,_xlfn.UNICODE(A611)-44032)</f>
        <v>2632</v>
      </c>
      <c r="C611" s="16" t="n">
        <f aca="false">IF(B611=-1,-1,INT((B611/28)/21))</f>
        <v>4</v>
      </c>
      <c r="D611" s="16" t="n">
        <f aca="false">IF(B611=-1, -1, MOD(INT(B611/28),21))</f>
        <v>10</v>
      </c>
      <c r="E611" s="16" t="n">
        <f aca="false">IF(B611=-1, -1, VLOOKUP(MOD(B611,28), $T$24:$U$52,2))</f>
        <v>0</v>
      </c>
      <c r="F611" s="16" t="n">
        <f aca="false">IF($B611=-1, -1, VLOOKUP(C611,$T$1:$V$20, 2))</f>
        <v>10</v>
      </c>
      <c r="G611" s="16" t="n">
        <f aca="false">IF($B611=-1, -1, VLOOKUP(D611,$Y$1:$Z$22,2))</f>
        <v>20</v>
      </c>
      <c r="H611" s="16" t="str">
        <f aca="false">_xlfn.UNICHAR(((F611*21)+G611)*28+44032)</f>
        <v>씨</v>
      </c>
      <c r="I611" s="16" t="n">
        <f aca="false">IF(B611=-1, 1, COUNTIF($A$2:$A$3000, H611))</f>
        <v>1</v>
      </c>
      <c r="J611" s="10" t="str">
        <f aca="false">_xlfn.CONCAT(A611, ",",H611,",",I611)</f>
        <v>뙈,씨,1</v>
      </c>
      <c r="K611" s="16" t="n">
        <f aca="false">IF(B611=-1,-1,VLOOKUP(C611,$T$1:$V$20,3))</f>
        <v>5</v>
      </c>
      <c r="L611" s="16" t="n">
        <f aca="false">IF(B611=-1,-1,VLOOKUP(D611,$Y$1:$AA$22,3))</f>
        <v>12</v>
      </c>
      <c r="N611" s="10" t="str">
        <f aca="false">_xlfn.UNICHAR(((C611*21)+G611)*28+44032)</f>
        <v>띠</v>
      </c>
      <c r="O611" s="10" t="str">
        <f aca="false">_xlfn.UNICHAR(((F611*21)+D611)*28+44032)</f>
        <v>쐐</v>
      </c>
      <c r="P611" s="12" t="n">
        <f aca="false">COUNTIF($A$2:$A$3000, N611) + COUNTIF($A$2:$A$3000, O611)</f>
        <v>2</v>
      </c>
      <c r="Q611" s="16" t="str">
        <f aca="false">IF(OR(B611=-1,I611=0, P611&lt;&gt;2), "albhed_dummy", _xlfn.CONCAT("albhed ", RIGHT("  " &amp; K611,2),", ", RIGHT("  " &amp; L611,2), ", " ,"""",H611,""", ", """",N611,""", ","""",O611,""""," ; ", A611))</f>
        <v>albhed  5, 12, "씨", "띠", "쐐" ; 뙈</v>
      </c>
    </row>
    <row r="612" customFormat="false" ht="17.9" hidden="false" customHeight="true" outlineLevel="0" collapsed="false">
      <c r="A612" s="16" t="s">
        <v>1486</v>
      </c>
      <c r="B612" s="16" t="n">
        <f aca="false">IF(_xlfn.UNICODE(A612)&lt;44032,-1,_xlfn.UNICODE(A612)-44032)</f>
        <v>2660</v>
      </c>
      <c r="C612" s="16" t="n">
        <f aca="false">IF(B612=-1,-1,INT((B612/28)/21))</f>
        <v>4</v>
      </c>
      <c r="D612" s="16" t="n">
        <f aca="false">IF(B612=-1, -1, MOD(INT(B612/28),21))</f>
        <v>11</v>
      </c>
      <c r="E612" s="16" t="n">
        <f aca="false">IF(B612=-1, -1, VLOOKUP(MOD(B612,28), $T$24:$U$52,2))</f>
        <v>0</v>
      </c>
      <c r="F612" s="16" t="n">
        <f aca="false">IF($B612=-1, -1, VLOOKUP(C612,$T$1:$V$20, 2))</f>
        <v>10</v>
      </c>
      <c r="G612" s="16" t="n">
        <f aca="false">IF($B612=-1, -1, VLOOKUP(D612,$Y$1:$Z$22,2))</f>
        <v>20</v>
      </c>
      <c r="H612" s="16" t="str">
        <f aca="false">_xlfn.UNICHAR(((F612*21)+G612)*28+44032)</f>
        <v>씨</v>
      </c>
      <c r="I612" s="16" t="n">
        <f aca="false">IF(B612=-1, 1, COUNTIF($A$2:$A$3000, H612))</f>
        <v>1</v>
      </c>
      <c r="J612" s="10" t="str">
        <f aca="false">_xlfn.CONCAT(A612, ",",H612,",",I612)</f>
        <v>뙤,씨,1</v>
      </c>
      <c r="K612" s="16" t="n">
        <f aca="false">IF(B612=-1,-1,VLOOKUP(C612,$T$1:$V$20,3))</f>
        <v>5</v>
      </c>
      <c r="L612" s="16" t="n">
        <f aca="false">IF(B612=-1,-1,VLOOKUP(D612,$Y$1:$AA$22,3))</f>
        <v>22</v>
      </c>
      <c r="N612" s="10" t="str">
        <f aca="false">_xlfn.UNICHAR(((C612*21)+G612)*28+44032)</f>
        <v>띠</v>
      </c>
      <c r="O612" s="10" t="str">
        <f aca="false">_xlfn.UNICHAR(((F612*21)+D612)*28+44032)</f>
        <v>쐬</v>
      </c>
      <c r="P612" s="12" t="n">
        <f aca="false">COUNTIF($A$2:$A$3000, N612) + COUNTIF($A$2:$A$3000, O612)</f>
        <v>2</v>
      </c>
      <c r="Q612" s="16" t="str">
        <f aca="false">IF(OR(B612=-1,I612=0, P612&lt;&gt;2), "albhed_dummy", _xlfn.CONCAT("albhed ", RIGHT("  " &amp; K612,2),", ", RIGHT("  " &amp; L612,2), ", " ,"""",H612,""", ", """",N612,""", ","""",O612,""""," ; ", A612))</f>
        <v>albhed  5, 22, "씨", "띠", "쐬" ; 뙤</v>
      </c>
    </row>
    <row r="613" customFormat="false" ht="17.9" hidden="false" customHeight="true" outlineLevel="0" collapsed="false">
      <c r="A613" s="16" t="s">
        <v>1487</v>
      </c>
      <c r="B613" s="16" t="n">
        <f aca="false">IF(_xlfn.UNICODE(A613)&lt;44032,-1,_xlfn.UNICODE(A613)-44032)</f>
        <v>2664</v>
      </c>
      <c r="C613" s="16" t="n">
        <f aca="false">IF(B613=-1,-1,INT((B613/28)/21))</f>
        <v>4</v>
      </c>
      <c r="D613" s="16" t="n">
        <f aca="false">IF(B613=-1, -1, MOD(INT(B613/28),21))</f>
        <v>11</v>
      </c>
      <c r="E613" s="16" t="n">
        <f aca="false">IF(B613=-1, -1, VLOOKUP(MOD(B613,28), $T$24:$U$52,2))</f>
        <v>4</v>
      </c>
      <c r="F613" s="16" t="n">
        <f aca="false">IF($B613=-1, -1, VLOOKUP(C613,$T$1:$V$20, 2))</f>
        <v>10</v>
      </c>
      <c r="G613" s="16" t="n">
        <f aca="false">IF($B613=-1, -1, VLOOKUP(D613,$Y$1:$Z$22,2))</f>
        <v>20</v>
      </c>
      <c r="H613" s="16" t="str">
        <f aca="false">_xlfn.UNICHAR(((F613*21)+G613)*28+44032)</f>
        <v>씨</v>
      </c>
      <c r="I613" s="16" t="n">
        <f aca="false">IF(B613=-1, 1, COUNTIF($A$2:$A$3000, H613))</f>
        <v>1</v>
      </c>
      <c r="J613" s="10" t="str">
        <f aca="false">_xlfn.CONCAT(A613, ",",H613,",",I613)</f>
        <v>뙨,씨,1</v>
      </c>
      <c r="K613" s="16" t="n">
        <f aca="false">IF(B613=-1,-1,VLOOKUP(C613,$T$1:$V$20,3))</f>
        <v>5</v>
      </c>
      <c r="L613" s="16" t="n">
        <f aca="false">IF(B613=-1,-1,VLOOKUP(D613,$Y$1:$AA$22,3))</f>
        <v>22</v>
      </c>
      <c r="N613" s="10" t="str">
        <f aca="false">_xlfn.UNICHAR(((C613*21)+G613)*28+44032)</f>
        <v>띠</v>
      </c>
      <c r="O613" s="10" t="str">
        <f aca="false">_xlfn.UNICHAR(((F613*21)+D613)*28+44032)</f>
        <v>쐬</v>
      </c>
      <c r="P613" s="12" t="n">
        <f aca="false">COUNTIF($A$2:$A$3000, N613) + COUNTIF($A$2:$A$3000, O613)</f>
        <v>2</v>
      </c>
      <c r="Q613" s="16" t="str">
        <f aca="false">IF(OR(B613=-1,I613=0, P613&lt;&gt;2), "albhed_dummy", _xlfn.CONCAT("albhed ", RIGHT("  " &amp; K613,2),", ", RIGHT("  " &amp; L613,2), ", " ,"""",H613,""", ", """",N613,""", ","""",O613,""""," ; ", A613))</f>
        <v>albhed  5, 22, "씨", "띠", "쐬" ; 뙨</v>
      </c>
    </row>
    <row r="614" customFormat="false" ht="17.9" hidden="false" customHeight="true" outlineLevel="0" collapsed="false">
      <c r="A614" s="16" t="s">
        <v>1488</v>
      </c>
      <c r="B614" s="16" t="n">
        <f aca="false">IF(_xlfn.UNICODE(A614)&lt;44032,-1,_xlfn.UNICODE(A614)-44032)</f>
        <v>2716</v>
      </c>
      <c r="C614" s="16" t="n">
        <f aca="false">IF(B614=-1,-1,INT((B614/28)/21))</f>
        <v>4</v>
      </c>
      <c r="D614" s="16" t="n">
        <f aca="false">IF(B614=-1, -1, MOD(INT(B614/28),21))</f>
        <v>13</v>
      </c>
      <c r="E614" s="16" t="n">
        <f aca="false">IF(B614=-1, -1, VLOOKUP(MOD(B614,28), $T$24:$U$52,2))</f>
        <v>0</v>
      </c>
      <c r="F614" s="16" t="n">
        <f aca="false">IF($B614=-1, -1, VLOOKUP(C614,$T$1:$V$20, 2))</f>
        <v>10</v>
      </c>
      <c r="G614" s="16" t="n">
        <f aca="false">IF($B614=-1, -1, VLOOKUP(D614,$Y$1:$Z$22,2))</f>
        <v>0</v>
      </c>
      <c r="H614" s="16" t="str">
        <f aca="false">_xlfn.UNICHAR(((F614*21)+G614)*28+44032)</f>
        <v>싸</v>
      </c>
      <c r="I614" s="16" t="n">
        <f aca="false">IF(B614=-1, 1, COUNTIF($A$2:$A$3000, H614))</f>
        <v>1</v>
      </c>
      <c r="J614" s="10" t="str">
        <f aca="false">_xlfn.CONCAT(A614, ",",H614,",",I614)</f>
        <v>뚜,싸,1</v>
      </c>
      <c r="K614" s="16" t="n">
        <f aca="false">IF(B614=-1,-1,VLOOKUP(C614,$T$1:$V$20,3))</f>
        <v>5</v>
      </c>
      <c r="L614" s="16" t="n">
        <f aca="false">IF(B614=-1,-1,VLOOKUP(D614,$Y$1:$AA$22,3))</f>
        <v>6</v>
      </c>
      <c r="N614" s="10" t="str">
        <f aca="false">_xlfn.UNICHAR(((C614*21)+G614)*28+44032)</f>
        <v>따</v>
      </c>
      <c r="O614" s="10" t="str">
        <f aca="false">_xlfn.UNICHAR(((F614*21)+D614)*28+44032)</f>
        <v>쑤</v>
      </c>
      <c r="P614" s="12" t="n">
        <f aca="false">COUNTIF($A$2:$A$3000, N614) + COUNTIF($A$2:$A$3000, O614)</f>
        <v>2</v>
      </c>
      <c r="Q614" s="16" t="str">
        <f aca="false">IF(OR(B614=-1,I614=0, P614&lt;&gt;2), "albhed_dummy", _xlfn.CONCAT("albhed ", RIGHT("  " &amp; K614,2),", ", RIGHT("  " &amp; L614,2), ", " ,"""",H614,""", ", """",N614,""", ","""",O614,""""," ; ", A614))</f>
        <v>albhed  5,  6, "싸", "따", "쑤" ; 뚜</v>
      </c>
    </row>
    <row r="615" customFormat="false" ht="17.9" hidden="false" customHeight="true" outlineLevel="0" collapsed="false">
      <c r="A615" s="16" t="s">
        <v>1489</v>
      </c>
      <c r="B615" s="16" t="n">
        <f aca="false">IF(_xlfn.UNICODE(A615)&lt;44032,-1,_xlfn.UNICODE(A615)-44032)</f>
        <v>2717</v>
      </c>
      <c r="C615" s="16" t="n">
        <f aca="false">IF(B615=-1,-1,INT((B615/28)/21))</f>
        <v>4</v>
      </c>
      <c r="D615" s="16" t="n">
        <f aca="false">IF(B615=-1, -1, MOD(INT(B615/28),21))</f>
        <v>13</v>
      </c>
      <c r="E615" s="16" t="n">
        <f aca="false">IF(B615=-1, -1, VLOOKUP(MOD(B615,28), $T$24:$U$52,2))</f>
        <v>1</v>
      </c>
      <c r="F615" s="16" t="n">
        <f aca="false">IF($B615=-1, -1, VLOOKUP(C615,$T$1:$V$20, 2))</f>
        <v>10</v>
      </c>
      <c r="G615" s="16" t="n">
        <f aca="false">IF($B615=-1, -1, VLOOKUP(D615,$Y$1:$Z$22,2))</f>
        <v>0</v>
      </c>
      <c r="H615" s="16" t="str">
        <f aca="false">_xlfn.UNICHAR(((F615*21)+G615)*28+44032)</f>
        <v>싸</v>
      </c>
      <c r="I615" s="16" t="n">
        <f aca="false">IF(B615=-1, 1, COUNTIF($A$2:$A$3000, H615))</f>
        <v>1</v>
      </c>
      <c r="J615" s="10" t="str">
        <f aca="false">_xlfn.CONCAT(A615, ",",H615,",",I615)</f>
        <v>뚝,싸,1</v>
      </c>
      <c r="K615" s="16" t="n">
        <f aca="false">IF(B615=-1,-1,VLOOKUP(C615,$T$1:$V$20,3))</f>
        <v>5</v>
      </c>
      <c r="L615" s="16" t="n">
        <f aca="false">IF(B615=-1,-1,VLOOKUP(D615,$Y$1:$AA$22,3))</f>
        <v>6</v>
      </c>
      <c r="N615" s="10" t="str">
        <f aca="false">_xlfn.UNICHAR(((C615*21)+G615)*28+44032)</f>
        <v>따</v>
      </c>
      <c r="O615" s="10" t="str">
        <f aca="false">_xlfn.UNICHAR(((F615*21)+D615)*28+44032)</f>
        <v>쑤</v>
      </c>
      <c r="P615" s="12" t="n">
        <f aca="false">COUNTIF($A$2:$A$3000, N615) + COUNTIF($A$2:$A$3000, O615)</f>
        <v>2</v>
      </c>
      <c r="Q615" s="16" t="str">
        <f aca="false">IF(OR(B615=-1,I615=0, P615&lt;&gt;2), "albhed_dummy", _xlfn.CONCAT("albhed ", RIGHT("  " &amp; K615,2),", ", RIGHT("  " &amp; L615,2), ", " ,"""",H615,""", ", """",N615,""", ","""",O615,""""," ; ", A615))</f>
        <v>albhed  5,  6, "싸", "따", "쑤" ; 뚝</v>
      </c>
    </row>
    <row r="616" customFormat="false" ht="17.9" hidden="false" customHeight="true" outlineLevel="0" collapsed="false">
      <c r="A616" s="16" t="s">
        <v>1490</v>
      </c>
      <c r="B616" s="16" t="n">
        <f aca="false">IF(_xlfn.UNICODE(A616)&lt;44032,-1,_xlfn.UNICODE(A616)-44032)</f>
        <v>2720</v>
      </c>
      <c r="C616" s="16" t="n">
        <f aca="false">IF(B616=-1,-1,INT((B616/28)/21))</f>
        <v>4</v>
      </c>
      <c r="D616" s="16" t="n">
        <f aca="false">IF(B616=-1, -1, MOD(INT(B616/28),21))</f>
        <v>13</v>
      </c>
      <c r="E616" s="16" t="n">
        <f aca="false">IF(B616=-1, -1, VLOOKUP(MOD(B616,28), $T$24:$U$52,2))</f>
        <v>4</v>
      </c>
      <c r="F616" s="16" t="n">
        <f aca="false">IF($B616=-1, -1, VLOOKUP(C616,$T$1:$V$20, 2))</f>
        <v>10</v>
      </c>
      <c r="G616" s="16" t="n">
        <f aca="false">IF($B616=-1, -1, VLOOKUP(D616,$Y$1:$Z$22,2))</f>
        <v>0</v>
      </c>
      <c r="H616" s="16" t="str">
        <f aca="false">_xlfn.UNICHAR(((F616*21)+G616)*28+44032)</f>
        <v>싸</v>
      </c>
      <c r="I616" s="16" t="n">
        <f aca="false">IF(B616=-1, 1, COUNTIF($A$2:$A$3000, H616))</f>
        <v>1</v>
      </c>
      <c r="J616" s="10" t="str">
        <f aca="false">_xlfn.CONCAT(A616, ",",H616,",",I616)</f>
        <v>뚠,싸,1</v>
      </c>
      <c r="K616" s="16" t="n">
        <f aca="false">IF(B616=-1,-1,VLOOKUP(C616,$T$1:$V$20,3))</f>
        <v>5</v>
      </c>
      <c r="L616" s="16" t="n">
        <f aca="false">IF(B616=-1,-1,VLOOKUP(D616,$Y$1:$AA$22,3))</f>
        <v>6</v>
      </c>
      <c r="N616" s="10" t="str">
        <f aca="false">_xlfn.UNICHAR(((C616*21)+G616)*28+44032)</f>
        <v>따</v>
      </c>
      <c r="O616" s="10" t="str">
        <f aca="false">_xlfn.UNICHAR(((F616*21)+D616)*28+44032)</f>
        <v>쑤</v>
      </c>
      <c r="P616" s="12" t="n">
        <f aca="false">COUNTIF($A$2:$A$3000, N616) + COUNTIF($A$2:$A$3000, O616)</f>
        <v>2</v>
      </c>
      <c r="Q616" s="16" t="str">
        <f aca="false">IF(OR(B616=-1,I616=0, P616&lt;&gt;2), "albhed_dummy", _xlfn.CONCAT("albhed ", RIGHT("  " &amp; K616,2),", ", RIGHT("  " &amp; L616,2), ", " ,"""",H616,""", ", """",N616,""", ","""",O616,""""," ; ", A616))</f>
        <v>albhed  5,  6, "싸", "따", "쑤" ; 뚠</v>
      </c>
    </row>
    <row r="617" customFormat="false" ht="17.9" hidden="false" customHeight="true" outlineLevel="0" collapsed="false">
      <c r="A617" s="16" t="s">
        <v>1491</v>
      </c>
      <c r="B617" s="16" t="n">
        <f aca="false">IF(_xlfn.UNICODE(A617)&lt;44032,-1,_xlfn.UNICODE(A617)-44032)</f>
        <v>2724</v>
      </c>
      <c r="C617" s="16" t="n">
        <f aca="false">IF(B617=-1,-1,INT((B617/28)/21))</f>
        <v>4</v>
      </c>
      <c r="D617" s="16" t="n">
        <f aca="false">IF(B617=-1, -1, MOD(INT(B617/28),21))</f>
        <v>13</v>
      </c>
      <c r="E617" s="16" t="n">
        <f aca="false">IF(B617=-1, -1, VLOOKUP(MOD(B617,28), $T$24:$U$52,2))</f>
        <v>8</v>
      </c>
      <c r="F617" s="16" t="n">
        <f aca="false">IF($B617=-1, -1, VLOOKUP(C617,$T$1:$V$20, 2))</f>
        <v>10</v>
      </c>
      <c r="G617" s="16" t="n">
        <f aca="false">IF($B617=-1, -1, VLOOKUP(D617,$Y$1:$Z$22,2))</f>
        <v>0</v>
      </c>
      <c r="H617" s="16" t="str">
        <f aca="false">_xlfn.UNICHAR(((F617*21)+G617)*28+44032)</f>
        <v>싸</v>
      </c>
      <c r="I617" s="16" t="n">
        <f aca="false">IF(B617=-1, 1, COUNTIF($A$2:$A$3000, H617))</f>
        <v>1</v>
      </c>
      <c r="J617" s="10" t="str">
        <f aca="false">_xlfn.CONCAT(A617, ",",H617,",",I617)</f>
        <v>뚤,싸,1</v>
      </c>
      <c r="K617" s="16" t="n">
        <f aca="false">IF(B617=-1,-1,VLOOKUP(C617,$T$1:$V$20,3))</f>
        <v>5</v>
      </c>
      <c r="L617" s="16" t="n">
        <f aca="false">IF(B617=-1,-1,VLOOKUP(D617,$Y$1:$AA$22,3))</f>
        <v>6</v>
      </c>
      <c r="N617" s="10" t="str">
        <f aca="false">_xlfn.UNICHAR(((C617*21)+G617)*28+44032)</f>
        <v>따</v>
      </c>
      <c r="O617" s="10" t="str">
        <f aca="false">_xlfn.UNICHAR(((F617*21)+D617)*28+44032)</f>
        <v>쑤</v>
      </c>
      <c r="P617" s="12" t="n">
        <f aca="false">COUNTIF($A$2:$A$3000, N617) + COUNTIF($A$2:$A$3000, O617)</f>
        <v>2</v>
      </c>
      <c r="Q617" s="16" t="str">
        <f aca="false">IF(OR(B617=-1,I617=0, P617&lt;&gt;2), "albhed_dummy", _xlfn.CONCAT("albhed ", RIGHT("  " &amp; K617,2),", ", RIGHT("  " &amp; L617,2), ", " ,"""",H617,""", ", """",N617,""", ","""",O617,""""," ; ", A617))</f>
        <v>albhed  5,  6, "싸", "따", "쑤" ; 뚤</v>
      </c>
    </row>
    <row r="618" customFormat="false" ht="17.9" hidden="false" customHeight="true" outlineLevel="0" collapsed="false">
      <c r="A618" s="16" t="s">
        <v>1492</v>
      </c>
      <c r="B618" s="16" t="n">
        <f aca="false">IF(_xlfn.UNICODE(A618)&lt;44032,-1,_xlfn.UNICODE(A618)-44032)</f>
        <v>2731</v>
      </c>
      <c r="C618" s="16" t="n">
        <f aca="false">IF(B618=-1,-1,INT((B618/28)/21))</f>
        <v>4</v>
      </c>
      <c r="D618" s="16" t="n">
        <f aca="false">IF(B618=-1, -1, MOD(INT(B618/28),21))</f>
        <v>13</v>
      </c>
      <c r="E618" s="16" t="n">
        <f aca="false">IF(B618=-1, -1, VLOOKUP(MOD(B618,28), $T$24:$U$52,2))</f>
        <v>8</v>
      </c>
      <c r="F618" s="16" t="n">
        <f aca="false">IF($B618=-1, -1, VLOOKUP(C618,$T$1:$V$20, 2))</f>
        <v>10</v>
      </c>
      <c r="G618" s="16" t="n">
        <f aca="false">IF($B618=-1, -1, VLOOKUP(D618,$Y$1:$Z$22,2))</f>
        <v>0</v>
      </c>
      <c r="H618" s="16" t="str">
        <f aca="false">_xlfn.UNICHAR(((F618*21)+G618)*28+44032)</f>
        <v>싸</v>
      </c>
      <c r="I618" s="16" t="n">
        <f aca="false">IF(B618=-1, 1, COUNTIF($A$2:$A$3000, H618))</f>
        <v>1</v>
      </c>
      <c r="J618" s="10" t="str">
        <f aca="false">_xlfn.CONCAT(A618, ",",H618,",",I618)</f>
        <v>뚫,싸,1</v>
      </c>
      <c r="K618" s="16" t="n">
        <f aca="false">IF(B618=-1,-1,VLOOKUP(C618,$T$1:$V$20,3))</f>
        <v>5</v>
      </c>
      <c r="L618" s="16" t="n">
        <f aca="false">IF(B618=-1,-1,VLOOKUP(D618,$Y$1:$AA$22,3))</f>
        <v>6</v>
      </c>
      <c r="N618" s="10" t="str">
        <f aca="false">_xlfn.UNICHAR(((C618*21)+G618)*28+44032)</f>
        <v>따</v>
      </c>
      <c r="O618" s="10" t="str">
        <f aca="false">_xlfn.UNICHAR(((F618*21)+D618)*28+44032)</f>
        <v>쑤</v>
      </c>
      <c r="P618" s="12" t="n">
        <f aca="false">COUNTIF($A$2:$A$3000, N618) + COUNTIF($A$2:$A$3000, O618)</f>
        <v>2</v>
      </c>
      <c r="Q618" s="16" t="str">
        <f aca="false">IF(OR(B618=-1,I618=0, P618&lt;&gt;2), "albhed_dummy", _xlfn.CONCAT("albhed ", RIGHT("  " &amp; K618,2),", ", RIGHT("  " &amp; L618,2), ", " ,"""",H618,""", ", """",N618,""", ","""",O618,""""," ; ", A618))</f>
        <v>albhed  5,  6, "싸", "따", "쑤" ; 뚫</v>
      </c>
    </row>
    <row r="619" customFormat="false" ht="17.9" hidden="false" customHeight="true" outlineLevel="0" collapsed="false">
      <c r="A619" s="16" t="s">
        <v>1493</v>
      </c>
      <c r="B619" s="16" t="n">
        <f aca="false">IF(_xlfn.UNICODE(A619)&lt;44032,-1,_xlfn.UNICODE(A619)-44032)</f>
        <v>2732</v>
      </c>
      <c r="C619" s="16" t="n">
        <f aca="false">IF(B619=-1,-1,INT((B619/28)/21))</f>
        <v>4</v>
      </c>
      <c r="D619" s="16" t="n">
        <f aca="false">IF(B619=-1, -1, MOD(INT(B619/28),21))</f>
        <v>13</v>
      </c>
      <c r="E619" s="16" t="n">
        <f aca="false">IF(B619=-1, -1, VLOOKUP(MOD(B619,28), $T$24:$U$52,2))</f>
        <v>16</v>
      </c>
      <c r="F619" s="16" t="n">
        <f aca="false">IF($B619=-1, -1, VLOOKUP(C619,$T$1:$V$20, 2))</f>
        <v>10</v>
      </c>
      <c r="G619" s="16" t="n">
        <f aca="false">IF($B619=-1, -1, VLOOKUP(D619,$Y$1:$Z$22,2))</f>
        <v>0</v>
      </c>
      <c r="H619" s="16" t="str">
        <f aca="false">_xlfn.UNICHAR(((F619*21)+G619)*28+44032)</f>
        <v>싸</v>
      </c>
      <c r="I619" s="16" t="n">
        <f aca="false">IF(B619=-1, 1, COUNTIF($A$2:$A$3000, H619))</f>
        <v>1</v>
      </c>
      <c r="J619" s="10" t="str">
        <f aca="false">_xlfn.CONCAT(A619, ",",H619,",",I619)</f>
        <v>뚬,싸,1</v>
      </c>
      <c r="K619" s="16" t="n">
        <f aca="false">IF(B619=-1,-1,VLOOKUP(C619,$T$1:$V$20,3))</f>
        <v>5</v>
      </c>
      <c r="L619" s="16" t="n">
        <f aca="false">IF(B619=-1,-1,VLOOKUP(D619,$Y$1:$AA$22,3))</f>
        <v>6</v>
      </c>
      <c r="N619" s="10" t="str">
        <f aca="false">_xlfn.UNICHAR(((C619*21)+G619)*28+44032)</f>
        <v>따</v>
      </c>
      <c r="O619" s="10" t="str">
        <f aca="false">_xlfn.UNICHAR(((F619*21)+D619)*28+44032)</f>
        <v>쑤</v>
      </c>
      <c r="P619" s="12" t="n">
        <f aca="false">COUNTIF($A$2:$A$3000, N619) + COUNTIF($A$2:$A$3000, O619)</f>
        <v>2</v>
      </c>
      <c r="Q619" s="16" t="str">
        <f aca="false">IF(OR(B619=-1,I619=0, P619&lt;&gt;2), "albhed_dummy", _xlfn.CONCAT("albhed ", RIGHT("  " &amp; K619,2),", ", RIGHT("  " &amp; L619,2), ", " ,"""",H619,""", ", """",N619,""", ","""",O619,""""," ; ", A619))</f>
        <v>albhed  5,  6, "싸", "따", "쑤" ; 뚬</v>
      </c>
    </row>
    <row r="620" customFormat="false" ht="17.9" hidden="false" customHeight="true" outlineLevel="0" collapsed="false">
      <c r="A620" s="16" t="s">
        <v>1494</v>
      </c>
      <c r="B620" s="16" t="n">
        <f aca="false">IF(_xlfn.UNICODE(A620)&lt;44032,-1,_xlfn.UNICODE(A620)-44032)</f>
        <v>2737</v>
      </c>
      <c r="C620" s="16" t="n">
        <f aca="false">IF(B620=-1,-1,INT((B620/28)/21))</f>
        <v>4</v>
      </c>
      <c r="D620" s="16" t="n">
        <f aca="false">IF(B620=-1, -1, MOD(INT(B620/28),21))</f>
        <v>13</v>
      </c>
      <c r="E620" s="16" t="n">
        <f aca="false">IF(B620=-1, -1, VLOOKUP(MOD(B620,28), $T$24:$U$52,2))</f>
        <v>21</v>
      </c>
      <c r="F620" s="16" t="n">
        <f aca="false">IF($B620=-1, -1, VLOOKUP(C620,$T$1:$V$20, 2))</f>
        <v>10</v>
      </c>
      <c r="G620" s="16" t="n">
        <f aca="false">IF($B620=-1, -1, VLOOKUP(D620,$Y$1:$Z$22,2))</f>
        <v>0</v>
      </c>
      <c r="H620" s="16" t="str">
        <f aca="false">_xlfn.UNICHAR(((F620*21)+G620)*28+44032)</f>
        <v>싸</v>
      </c>
      <c r="I620" s="16" t="n">
        <f aca="false">IF(B620=-1, 1, COUNTIF($A$2:$A$3000, H620))</f>
        <v>1</v>
      </c>
      <c r="J620" s="10" t="str">
        <f aca="false">_xlfn.CONCAT(A620, ",",H620,",",I620)</f>
        <v>뚱,싸,1</v>
      </c>
      <c r="K620" s="16" t="n">
        <f aca="false">IF(B620=-1,-1,VLOOKUP(C620,$T$1:$V$20,3))</f>
        <v>5</v>
      </c>
      <c r="L620" s="16" t="n">
        <f aca="false">IF(B620=-1,-1,VLOOKUP(D620,$Y$1:$AA$22,3))</f>
        <v>6</v>
      </c>
      <c r="N620" s="10" t="str">
        <f aca="false">_xlfn.UNICHAR(((C620*21)+G620)*28+44032)</f>
        <v>따</v>
      </c>
      <c r="O620" s="10" t="str">
        <f aca="false">_xlfn.UNICHAR(((F620*21)+D620)*28+44032)</f>
        <v>쑤</v>
      </c>
      <c r="P620" s="12" t="n">
        <f aca="false">COUNTIF($A$2:$A$3000, N620) + COUNTIF($A$2:$A$3000, O620)</f>
        <v>2</v>
      </c>
      <c r="Q620" s="16" t="str">
        <f aca="false">IF(OR(B620=-1,I620=0, P620&lt;&gt;2), "albhed_dummy", _xlfn.CONCAT("albhed ", RIGHT("  " &amp; K620,2),", ", RIGHT("  " &amp; L620,2), ", " ,"""",H620,""", ", """",N620,""", ","""",O620,""""," ; ", A620))</f>
        <v>albhed  5,  6, "싸", "따", "쑤" ; 뚱</v>
      </c>
    </row>
    <row r="621" customFormat="false" ht="17.9" hidden="false" customHeight="true" outlineLevel="0" collapsed="false">
      <c r="A621" s="16" t="s">
        <v>1495</v>
      </c>
      <c r="B621" s="16" t="n">
        <f aca="false">IF(_xlfn.UNICODE(A621)&lt;44032,-1,_xlfn.UNICODE(A621)-44032)</f>
        <v>2772</v>
      </c>
      <c r="C621" s="16" t="n">
        <f aca="false">IF(B621=-1,-1,INT((B621/28)/21))</f>
        <v>4</v>
      </c>
      <c r="D621" s="16" t="n">
        <f aca="false">IF(B621=-1, -1, MOD(INT(B621/28),21))</f>
        <v>15</v>
      </c>
      <c r="E621" s="16" t="n">
        <f aca="false">IF(B621=-1, -1, VLOOKUP(MOD(B621,28), $T$24:$U$52,2))</f>
        <v>0</v>
      </c>
      <c r="F621" s="16" t="n">
        <f aca="false">IF($B621=-1, -1, VLOOKUP(C621,$T$1:$V$20, 2))</f>
        <v>10</v>
      </c>
      <c r="G621" s="16" t="n">
        <f aca="false">IF($B621=-1, -1, VLOOKUP(D621,$Y$1:$Z$22,2))</f>
        <v>20</v>
      </c>
      <c r="H621" s="16" t="str">
        <f aca="false">_xlfn.UNICHAR(((F621*21)+G621)*28+44032)</f>
        <v>씨</v>
      </c>
      <c r="I621" s="16" t="n">
        <f aca="false">IF(B621=-1, 1, COUNTIF($A$2:$A$3000, H621))</f>
        <v>1</v>
      </c>
      <c r="J621" s="10" t="str">
        <f aca="false">_xlfn.CONCAT(A621, ",",H621,",",I621)</f>
        <v>뛔,씨,1</v>
      </c>
      <c r="K621" s="16" t="n">
        <f aca="false">IF(B621=-1,-1,VLOOKUP(C621,$T$1:$V$20,3))</f>
        <v>5</v>
      </c>
      <c r="L621" s="16" t="n">
        <f aca="false">IF(B621=-1,-1,VLOOKUP(D621,$Y$1:$AA$22,3))</f>
        <v>16</v>
      </c>
      <c r="N621" s="10" t="str">
        <f aca="false">_xlfn.UNICHAR(((C621*21)+G621)*28+44032)</f>
        <v>띠</v>
      </c>
      <c r="O621" s="10" t="str">
        <f aca="false">_xlfn.UNICHAR(((F621*21)+D621)*28+44032)</f>
        <v>쒜</v>
      </c>
      <c r="P621" s="12" t="n">
        <f aca="false">COUNTIF($A$2:$A$3000, N621) + COUNTIF($A$2:$A$3000, O621)</f>
        <v>2</v>
      </c>
      <c r="Q621" s="16" t="str">
        <f aca="false">IF(OR(B621=-1,I621=0, P621&lt;&gt;2), "albhed_dummy", _xlfn.CONCAT("albhed ", RIGHT("  " &amp; K621,2),", ", RIGHT("  " &amp; L621,2), ", " ,"""",H621,""", ", """",N621,""", ","""",O621,""""," ; ", A621))</f>
        <v>albhed  5, 16, "씨", "띠", "쒜" ; 뛔</v>
      </c>
    </row>
    <row r="622" customFormat="false" ht="17.9" hidden="false" customHeight="true" outlineLevel="0" collapsed="false">
      <c r="A622" s="16" t="s">
        <v>1496</v>
      </c>
      <c r="B622" s="16" t="n">
        <f aca="false">IF(_xlfn.UNICODE(A622)&lt;44032,-1,_xlfn.UNICODE(A622)-44032)</f>
        <v>2800</v>
      </c>
      <c r="C622" s="16" t="n">
        <f aca="false">IF(B622=-1,-1,INT((B622/28)/21))</f>
        <v>4</v>
      </c>
      <c r="D622" s="16" t="n">
        <f aca="false">IF(B622=-1, -1, MOD(INT(B622/28),21))</f>
        <v>16</v>
      </c>
      <c r="E622" s="16" t="n">
        <f aca="false">IF(B622=-1, -1, VLOOKUP(MOD(B622,28), $T$24:$U$52,2))</f>
        <v>0</v>
      </c>
      <c r="F622" s="16" t="n">
        <f aca="false">IF($B622=-1, -1, VLOOKUP(C622,$T$1:$V$20, 2))</f>
        <v>10</v>
      </c>
      <c r="G622" s="16" t="n">
        <f aca="false">IF($B622=-1, -1, VLOOKUP(D622,$Y$1:$Z$22,2))</f>
        <v>20</v>
      </c>
      <c r="H622" s="16" t="str">
        <f aca="false">_xlfn.UNICHAR(((F622*21)+G622)*28+44032)</f>
        <v>씨</v>
      </c>
      <c r="I622" s="16" t="n">
        <f aca="false">IF(B622=-1, 1, COUNTIF($A$2:$A$3000, H622))</f>
        <v>1</v>
      </c>
      <c r="J622" s="10" t="str">
        <f aca="false">_xlfn.CONCAT(A622, ",",H622,",",I622)</f>
        <v>뛰,씨,1</v>
      </c>
      <c r="K622" s="16" t="n">
        <f aca="false">IF(B622=-1,-1,VLOOKUP(C622,$T$1:$V$20,3))</f>
        <v>5</v>
      </c>
      <c r="L622" s="16" t="n">
        <f aca="false">IF(B622=-1,-1,VLOOKUP(D622,$Y$1:$AA$22,3))</f>
        <v>22</v>
      </c>
      <c r="N622" s="10" t="str">
        <f aca="false">_xlfn.UNICHAR(((C622*21)+G622)*28+44032)</f>
        <v>띠</v>
      </c>
      <c r="O622" s="10" t="str">
        <f aca="false">_xlfn.UNICHAR(((F622*21)+D622)*28+44032)</f>
        <v>쒸</v>
      </c>
      <c r="P622" s="12" t="n">
        <f aca="false">COUNTIF($A$2:$A$3000, N622) + COUNTIF($A$2:$A$3000, O622)</f>
        <v>2</v>
      </c>
      <c r="Q622" s="16" t="str">
        <f aca="false">IF(OR(B622=-1,I622=0, P622&lt;&gt;2), "albhed_dummy", _xlfn.CONCAT("albhed ", RIGHT("  " &amp; K622,2),", ", RIGHT("  " &amp; L622,2), ", " ,"""",H622,""", ", """",N622,""", ","""",O622,""""," ; ", A622))</f>
        <v>albhed  5, 22, "씨", "띠", "쒸" ; 뛰</v>
      </c>
    </row>
    <row r="623" customFormat="false" ht="17.9" hidden="false" customHeight="true" outlineLevel="0" collapsed="false">
      <c r="A623" s="16" t="s">
        <v>1497</v>
      </c>
      <c r="B623" s="16" t="n">
        <f aca="false">IF(_xlfn.UNICODE(A623)&lt;44032,-1,_xlfn.UNICODE(A623)-44032)</f>
        <v>2804</v>
      </c>
      <c r="C623" s="16" t="n">
        <f aca="false">IF(B623=-1,-1,INT((B623/28)/21))</f>
        <v>4</v>
      </c>
      <c r="D623" s="16" t="n">
        <f aca="false">IF(B623=-1, -1, MOD(INT(B623/28),21))</f>
        <v>16</v>
      </c>
      <c r="E623" s="16" t="n">
        <f aca="false">IF(B623=-1, -1, VLOOKUP(MOD(B623,28), $T$24:$U$52,2))</f>
        <v>4</v>
      </c>
      <c r="F623" s="16" t="n">
        <f aca="false">IF($B623=-1, -1, VLOOKUP(C623,$T$1:$V$20, 2))</f>
        <v>10</v>
      </c>
      <c r="G623" s="16" t="n">
        <f aca="false">IF($B623=-1, -1, VLOOKUP(D623,$Y$1:$Z$22,2))</f>
        <v>20</v>
      </c>
      <c r="H623" s="16" t="str">
        <f aca="false">_xlfn.UNICHAR(((F623*21)+G623)*28+44032)</f>
        <v>씨</v>
      </c>
      <c r="I623" s="16" t="n">
        <f aca="false">IF(B623=-1, 1, COUNTIF($A$2:$A$3000, H623))</f>
        <v>1</v>
      </c>
      <c r="J623" s="10" t="str">
        <f aca="false">_xlfn.CONCAT(A623, ",",H623,",",I623)</f>
        <v>뛴,씨,1</v>
      </c>
      <c r="K623" s="16" t="n">
        <f aca="false">IF(B623=-1,-1,VLOOKUP(C623,$T$1:$V$20,3))</f>
        <v>5</v>
      </c>
      <c r="L623" s="16" t="n">
        <f aca="false">IF(B623=-1,-1,VLOOKUP(D623,$Y$1:$AA$22,3))</f>
        <v>22</v>
      </c>
      <c r="N623" s="10" t="str">
        <f aca="false">_xlfn.UNICHAR(((C623*21)+G623)*28+44032)</f>
        <v>띠</v>
      </c>
      <c r="O623" s="10" t="str">
        <f aca="false">_xlfn.UNICHAR(((F623*21)+D623)*28+44032)</f>
        <v>쒸</v>
      </c>
      <c r="P623" s="12" t="n">
        <f aca="false">COUNTIF($A$2:$A$3000, N623) + COUNTIF($A$2:$A$3000, O623)</f>
        <v>2</v>
      </c>
      <c r="Q623" s="16" t="str">
        <f aca="false">IF(OR(B623=-1,I623=0, P623&lt;&gt;2), "albhed_dummy", _xlfn.CONCAT("albhed ", RIGHT("  " &amp; K623,2),", ", RIGHT("  " &amp; L623,2), ", " ,"""",H623,""", ", """",N623,""", ","""",O623,""""," ; ", A623))</f>
        <v>albhed  5, 22, "씨", "띠", "쒸" ; 뛴</v>
      </c>
    </row>
    <row r="624" customFormat="false" ht="17.9" hidden="false" customHeight="true" outlineLevel="0" collapsed="false">
      <c r="A624" s="16" t="s">
        <v>1498</v>
      </c>
      <c r="B624" s="16" t="n">
        <f aca="false">IF(_xlfn.UNICODE(A624)&lt;44032,-1,_xlfn.UNICODE(A624)-44032)</f>
        <v>2808</v>
      </c>
      <c r="C624" s="16" t="n">
        <f aca="false">IF(B624=-1,-1,INT((B624/28)/21))</f>
        <v>4</v>
      </c>
      <c r="D624" s="16" t="n">
        <f aca="false">IF(B624=-1, -1, MOD(INT(B624/28),21))</f>
        <v>16</v>
      </c>
      <c r="E624" s="16" t="n">
        <f aca="false">IF(B624=-1, -1, VLOOKUP(MOD(B624,28), $T$24:$U$52,2))</f>
        <v>8</v>
      </c>
      <c r="F624" s="16" t="n">
        <f aca="false">IF($B624=-1, -1, VLOOKUP(C624,$T$1:$V$20, 2))</f>
        <v>10</v>
      </c>
      <c r="G624" s="16" t="n">
        <f aca="false">IF($B624=-1, -1, VLOOKUP(D624,$Y$1:$Z$22,2))</f>
        <v>20</v>
      </c>
      <c r="H624" s="16" t="str">
        <f aca="false">_xlfn.UNICHAR(((F624*21)+G624)*28+44032)</f>
        <v>씨</v>
      </c>
      <c r="I624" s="16" t="n">
        <f aca="false">IF(B624=-1, 1, COUNTIF($A$2:$A$3000, H624))</f>
        <v>1</v>
      </c>
      <c r="J624" s="10" t="str">
        <f aca="false">_xlfn.CONCAT(A624, ",",H624,",",I624)</f>
        <v>뛸,씨,1</v>
      </c>
      <c r="K624" s="16" t="n">
        <f aca="false">IF(B624=-1,-1,VLOOKUP(C624,$T$1:$V$20,3))</f>
        <v>5</v>
      </c>
      <c r="L624" s="16" t="n">
        <f aca="false">IF(B624=-1,-1,VLOOKUP(D624,$Y$1:$AA$22,3))</f>
        <v>22</v>
      </c>
      <c r="N624" s="10" t="str">
        <f aca="false">_xlfn.UNICHAR(((C624*21)+G624)*28+44032)</f>
        <v>띠</v>
      </c>
      <c r="O624" s="10" t="str">
        <f aca="false">_xlfn.UNICHAR(((F624*21)+D624)*28+44032)</f>
        <v>쒸</v>
      </c>
      <c r="P624" s="12" t="n">
        <f aca="false">COUNTIF($A$2:$A$3000, N624) + COUNTIF($A$2:$A$3000, O624)</f>
        <v>2</v>
      </c>
      <c r="Q624" s="16" t="str">
        <f aca="false">IF(OR(B624=-1,I624=0, P624&lt;&gt;2), "albhed_dummy", _xlfn.CONCAT("albhed ", RIGHT("  " &amp; K624,2),", ", RIGHT("  " &amp; L624,2), ", " ,"""",H624,""", ", """",N624,""", ","""",O624,""""," ; ", A624))</f>
        <v>albhed  5, 22, "씨", "띠", "쒸" ; 뛸</v>
      </c>
    </row>
    <row r="625" customFormat="false" ht="17.9" hidden="false" customHeight="true" outlineLevel="0" collapsed="false">
      <c r="A625" s="16" t="s">
        <v>1499</v>
      </c>
      <c r="B625" s="16" t="n">
        <f aca="false">IF(_xlfn.UNICODE(A625)&lt;44032,-1,_xlfn.UNICODE(A625)-44032)</f>
        <v>2816</v>
      </c>
      <c r="C625" s="16" t="n">
        <f aca="false">IF(B625=-1,-1,INT((B625/28)/21))</f>
        <v>4</v>
      </c>
      <c r="D625" s="16" t="n">
        <f aca="false">IF(B625=-1, -1, MOD(INT(B625/28),21))</f>
        <v>16</v>
      </c>
      <c r="E625" s="16" t="n">
        <f aca="false">IF(B625=-1, -1, VLOOKUP(MOD(B625,28), $T$24:$U$52,2))</f>
        <v>16</v>
      </c>
      <c r="F625" s="16" t="n">
        <f aca="false">IF($B625=-1, -1, VLOOKUP(C625,$T$1:$V$20, 2))</f>
        <v>10</v>
      </c>
      <c r="G625" s="16" t="n">
        <f aca="false">IF($B625=-1, -1, VLOOKUP(D625,$Y$1:$Z$22,2))</f>
        <v>20</v>
      </c>
      <c r="H625" s="16" t="str">
        <f aca="false">_xlfn.UNICHAR(((F625*21)+G625)*28+44032)</f>
        <v>씨</v>
      </c>
      <c r="I625" s="16" t="n">
        <f aca="false">IF(B625=-1, 1, COUNTIF($A$2:$A$3000, H625))</f>
        <v>1</v>
      </c>
      <c r="J625" s="10" t="str">
        <f aca="false">_xlfn.CONCAT(A625, ",",H625,",",I625)</f>
        <v>뜀,씨,1</v>
      </c>
      <c r="K625" s="16" t="n">
        <f aca="false">IF(B625=-1,-1,VLOOKUP(C625,$T$1:$V$20,3))</f>
        <v>5</v>
      </c>
      <c r="L625" s="16" t="n">
        <f aca="false">IF(B625=-1,-1,VLOOKUP(D625,$Y$1:$AA$22,3))</f>
        <v>22</v>
      </c>
      <c r="N625" s="10" t="str">
        <f aca="false">_xlfn.UNICHAR(((C625*21)+G625)*28+44032)</f>
        <v>띠</v>
      </c>
      <c r="O625" s="10" t="str">
        <f aca="false">_xlfn.UNICHAR(((F625*21)+D625)*28+44032)</f>
        <v>쒸</v>
      </c>
      <c r="P625" s="12" t="n">
        <f aca="false">COUNTIF($A$2:$A$3000, N625) + COUNTIF($A$2:$A$3000, O625)</f>
        <v>2</v>
      </c>
      <c r="Q625" s="16" t="str">
        <f aca="false">IF(OR(B625=-1,I625=0, P625&lt;&gt;2), "albhed_dummy", _xlfn.CONCAT("albhed ", RIGHT("  " &amp; K625,2),", ", RIGHT("  " &amp; L625,2), ", " ,"""",H625,""", ", """",N625,""", ","""",O625,""""," ; ", A625))</f>
        <v>albhed  5, 22, "씨", "띠", "쒸" ; 뜀</v>
      </c>
    </row>
    <row r="626" customFormat="false" ht="17.9" hidden="false" customHeight="true" outlineLevel="0" collapsed="false">
      <c r="A626" s="16" t="s">
        <v>1500</v>
      </c>
      <c r="B626" s="16" t="n">
        <f aca="false">IF(_xlfn.UNICODE(A626)&lt;44032,-1,_xlfn.UNICODE(A626)-44032)</f>
        <v>2817</v>
      </c>
      <c r="C626" s="16" t="n">
        <f aca="false">IF(B626=-1,-1,INT((B626/28)/21))</f>
        <v>4</v>
      </c>
      <c r="D626" s="16" t="n">
        <f aca="false">IF(B626=-1, -1, MOD(INT(B626/28),21))</f>
        <v>16</v>
      </c>
      <c r="E626" s="16" t="n">
        <f aca="false">IF(B626=-1, -1, VLOOKUP(MOD(B626,28), $T$24:$U$52,2))</f>
        <v>17</v>
      </c>
      <c r="F626" s="16" t="n">
        <f aca="false">IF($B626=-1, -1, VLOOKUP(C626,$T$1:$V$20, 2))</f>
        <v>10</v>
      </c>
      <c r="G626" s="16" t="n">
        <f aca="false">IF($B626=-1, -1, VLOOKUP(D626,$Y$1:$Z$22,2))</f>
        <v>20</v>
      </c>
      <c r="H626" s="16" t="str">
        <f aca="false">_xlfn.UNICHAR(((F626*21)+G626)*28+44032)</f>
        <v>씨</v>
      </c>
      <c r="I626" s="16" t="n">
        <f aca="false">IF(B626=-1, 1, COUNTIF($A$2:$A$3000, H626))</f>
        <v>1</v>
      </c>
      <c r="J626" s="10" t="str">
        <f aca="false">_xlfn.CONCAT(A626, ",",H626,",",I626)</f>
        <v>뜁,씨,1</v>
      </c>
      <c r="K626" s="16" t="n">
        <f aca="false">IF(B626=-1,-1,VLOOKUP(C626,$T$1:$V$20,3))</f>
        <v>5</v>
      </c>
      <c r="L626" s="16" t="n">
        <f aca="false">IF(B626=-1,-1,VLOOKUP(D626,$Y$1:$AA$22,3))</f>
        <v>22</v>
      </c>
      <c r="N626" s="10" t="str">
        <f aca="false">_xlfn.UNICHAR(((C626*21)+G626)*28+44032)</f>
        <v>띠</v>
      </c>
      <c r="O626" s="10" t="str">
        <f aca="false">_xlfn.UNICHAR(((F626*21)+D626)*28+44032)</f>
        <v>쒸</v>
      </c>
      <c r="P626" s="12" t="n">
        <f aca="false">COUNTIF($A$2:$A$3000, N626) + COUNTIF($A$2:$A$3000, O626)</f>
        <v>2</v>
      </c>
      <c r="Q626" s="16" t="str">
        <f aca="false">IF(OR(B626=-1,I626=0, P626&lt;&gt;2), "albhed_dummy", _xlfn.CONCAT("albhed ", RIGHT("  " &amp; K626,2),", ", RIGHT("  " &amp; L626,2), ", " ,"""",H626,""", ", """",N626,""", ","""",O626,""""," ; ", A626))</f>
        <v>albhed  5, 22, "씨", "띠", "쒸" ; 뜁</v>
      </c>
    </row>
    <row r="627" customFormat="false" ht="17.9" hidden="false" customHeight="true" outlineLevel="0" collapsed="false">
      <c r="A627" s="16" t="s">
        <v>1501</v>
      </c>
      <c r="B627" s="16" t="n">
        <f aca="false">IF(_xlfn.UNICODE(A627)&lt;44032,-1,_xlfn.UNICODE(A627)-44032)</f>
        <v>2821</v>
      </c>
      <c r="C627" s="16" t="n">
        <f aca="false">IF(B627=-1,-1,INT((B627/28)/21))</f>
        <v>4</v>
      </c>
      <c r="D627" s="16" t="n">
        <f aca="false">IF(B627=-1, -1, MOD(INT(B627/28),21))</f>
        <v>16</v>
      </c>
      <c r="E627" s="16" t="n">
        <f aca="false">IF(B627=-1, -1, VLOOKUP(MOD(B627,28), $T$24:$U$52,2))</f>
        <v>21</v>
      </c>
      <c r="F627" s="16" t="n">
        <f aca="false">IF($B627=-1, -1, VLOOKUP(C627,$T$1:$V$20, 2))</f>
        <v>10</v>
      </c>
      <c r="G627" s="16" t="n">
        <f aca="false">IF($B627=-1, -1, VLOOKUP(D627,$Y$1:$Z$22,2))</f>
        <v>20</v>
      </c>
      <c r="H627" s="16" t="str">
        <f aca="false">_xlfn.UNICHAR(((F627*21)+G627)*28+44032)</f>
        <v>씨</v>
      </c>
      <c r="I627" s="16" t="n">
        <f aca="false">IF(B627=-1, 1, COUNTIF($A$2:$A$3000, H627))</f>
        <v>1</v>
      </c>
      <c r="J627" s="10" t="str">
        <f aca="false">_xlfn.CONCAT(A627, ",",H627,",",I627)</f>
        <v>뜅,씨,1</v>
      </c>
      <c r="K627" s="16" t="n">
        <f aca="false">IF(B627=-1,-1,VLOOKUP(C627,$T$1:$V$20,3))</f>
        <v>5</v>
      </c>
      <c r="L627" s="16" t="n">
        <f aca="false">IF(B627=-1,-1,VLOOKUP(D627,$Y$1:$AA$22,3))</f>
        <v>22</v>
      </c>
      <c r="N627" s="10" t="str">
        <f aca="false">_xlfn.UNICHAR(((C627*21)+G627)*28+44032)</f>
        <v>띠</v>
      </c>
      <c r="O627" s="10" t="str">
        <f aca="false">_xlfn.UNICHAR(((F627*21)+D627)*28+44032)</f>
        <v>쒸</v>
      </c>
      <c r="P627" s="12" t="n">
        <f aca="false">COUNTIF($A$2:$A$3000, N627) + COUNTIF($A$2:$A$3000, O627)</f>
        <v>2</v>
      </c>
      <c r="Q627" s="16" t="str">
        <f aca="false">IF(OR(B627=-1,I627=0, P627&lt;&gt;2), "albhed_dummy", _xlfn.CONCAT("albhed ", RIGHT("  " &amp; K627,2),", ", RIGHT("  " &amp; L627,2), ", " ,"""",H627,""", ", """",N627,""", ","""",O627,""""," ; ", A627))</f>
        <v>albhed  5, 22, "씨", "띠", "쒸" ; 뜅</v>
      </c>
    </row>
    <row r="628" customFormat="false" ht="17.9" hidden="false" customHeight="true" outlineLevel="0" collapsed="false">
      <c r="A628" s="16" t="s">
        <v>1502</v>
      </c>
      <c r="B628" s="16" t="n">
        <f aca="false">IF(_xlfn.UNICODE(A628)&lt;44032,-1,_xlfn.UNICODE(A628)-44032)</f>
        <v>2856</v>
      </c>
      <c r="C628" s="16" t="n">
        <f aca="false">IF(B628=-1,-1,INT((B628/28)/21))</f>
        <v>4</v>
      </c>
      <c r="D628" s="16" t="n">
        <f aca="false">IF(B628=-1, -1, MOD(INT(B628/28),21))</f>
        <v>18</v>
      </c>
      <c r="E628" s="16" t="n">
        <f aca="false">IF(B628=-1, -1, VLOOKUP(MOD(B628,28), $T$24:$U$52,2))</f>
        <v>0</v>
      </c>
      <c r="F628" s="16" t="n">
        <f aca="false">IF($B628=-1, -1, VLOOKUP(C628,$T$1:$V$20, 2))</f>
        <v>10</v>
      </c>
      <c r="G628" s="16" t="n">
        <f aca="false">IF($B628=-1, -1, VLOOKUP(D628,$Y$1:$Z$22,2))</f>
        <v>5</v>
      </c>
      <c r="H628" s="16" t="str">
        <f aca="false">_xlfn.UNICHAR(((F628*21)+G628)*28+44032)</f>
        <v>쎄</v>
      </c>
      <c r="I628" s="16" t="n">
        <f aca="false">IF(B628=-1, 1, COUNTIF($A$2:$A$3000, H628))</f>
        <v>1</v>
      </c>
      <c r="J628" s="10" t="str">
        <f aca="false">_xlfn.CONCAT(A628, ",",H628,",",I628)</f>
        <v>뜨,쎄,1</v>
      </c>
      <c r="K628" s="16" t="n">
        <f aca="false">IF(B628=-1,-1,VLOOKUP(C628,$T$1:$V$20,3))</f>
        <v>5</v>
      </c>
      <c r="L628" s="16" t="n">
        <f aca="false">IF(B628=-1,-1,VLOOKUP(D628,$Y$1:$AA$22,3))</f>
        <v>18</v>
      </c>
      <c r="N628" s="10" t="str">
        <f aca="false">_xlfn.UNICHAR(((C628*21)+G628)*28+44032)</f>
        <v>떼</v>
      </c>
      <c r="O628" s="10" t="str">
        <f aca="false">_xlfn.UNICHAR(((F628*21)+D628)*28+44032)</f>
        <v>쓰</v>
      </c>
      <c r="P628" s="12" t="n">
        <f aca="false">COUNTIF($A$2:$A$3000, N628) + COUNTIF($A$2:$A$3000, O628)</f>
        <v>2</v>
      </c>
      <c r="Q628" s="16" t="str">
        <f aca="false">IF(OR(B628=-1,I628=0, P628&lt;&gt;2), "albhed_dummy", _xlfn.CONCAT("albhed ", RIGHT("  " &amp; K628,2),", ", RIGHT("  " &amp; L628,2), ", " ,"""",H628,""", ", """",N628,""", ","""",O628,""""," ; ", A628))</f>
        <v>albhed  5, 18, "쎄", "떼", "쓰" ; 뜨</v>
      </c>
    </row>
    <row r="629" customFormat="false" ht="17.9" hidden="false" customHeight="true" outlineLevel="0" collapsed="false">
      <c r="A629" s="16" t="s">
        <v>1503</v>
      </c>
      <c r="B629" s="16" t="n">
        <f aca="false">IF(_xlfn.UNICODE(A629)&lt;44032,-1,_xlfn.UNICODE(A629)-44032)</f>
        <v>2857</v>
      </c>
      <c r="C629" s="16" t="n">
        <f aca="false">IF(B629=-1,-1,INT((B629/28)/21))</f>
        <v>4</v>
      </c>
      <c r="D629" s="16" t="n">
        <f aca="false">IF(B629=-1, -1, MOD(INT(B629/28),21))</f>
        <v>18</v>
      </c>
      <c r="E629" s="16" t="n">
        <f aca="false">IF(B629=-1, -1, VLOOKUP(MOD(B629,28), $T$24:$U$52,2))</f>
        <v>1</v>
      </c>
      <c r="F629" s="16" t="n">
        <f aca="false">IF($B629=-1, -1, VLOOKUP(C629,$T$1:$V$20, 2))</f>
        <v>10</v>
      </c>
      <c r="G629" s="16" t="n">
        <f aca="false">IF($B629=-1, -1, VLOOKUP(D629,$Y$1:$Z$22,2))</f>
        <v>5</v>
      </c>
      <c r="H629" s="16" t="str">
        <f aca="false">_xlfn.UNICHAR(((F629*21)+G629)*28+44032)</f>
        <v>쎄</v>
      </c>
      <c r="I629" s="16" t="n">
        <f aca="false">IF(B629=-1, 1, COUNTIF($A$2:$A$3000, H629))</f>
        <v>1</v>
      </c>
      <c r="J629" s="10" t="str">
        <f aca="false">_xlfn.CONCAT(A629, ",",H629,",",I629)</f>
        <v>뜩,쎄,1</v>
      </c>
      <c r="K629" s="16" t="n">
        <f aca="false">IF(B629=-1,-1,VLOOKUP(C629,$T$1:$V$20,3))</f>
        <v>5</v>
      </c>
      <c r="L629" s="16" t="n">
        <f aca="false">IF(B629=-1,-1,VLOOKUP(D629,$Y$1:$AA$22,3))</f>
        <v>18</v>
      </c>
      <c r="N629" s="10" t="str">
        <f aca="false">_xlfn.UNICHAR(((C629*21)+G629)*28+44032)</f>
        <v>떼</v>
      </c>
      <c r="O629" s="10" t="str">
        <f aca="false">_xlfn.UNICHAR(((F629*21)+D629)*28+44032)</f>
        <v>쓰</v>
      </c>
      <c r="P629" s="12" t="n">
        <f aca="false">COUNTIF($A$2:$A$3000, N629) + COUNTIF($A$2:$A$3000, O629)</f>
        <v>2</v>
      </c>
      <c r="Q629" s="16" t="str">
        <f aca="false">IF(OR(B629=-1,I629=0, P629&lt;&gt;2), "albhed_dummy", _xlfn.CONCAT("albhed ", RIGHT("  " &amp; K629,2),", ", RIGHT("  " &amp; L629,2), ", " ,"""",H629,""", ", """",N629,""", ","""",O629,""""," ; ", A629))</f>
        <v>albhed  5, 18, "쎄", "떼", "쓰" ; 뜩</v>
      </c>
    </row>
    <row r="630" customFormat="false" ht="17.9" hidden="false" customHeight="true" outlineLevel="0" collapsed="false">
      <c r="A630" s="16" t="s">
        <v>1504</v>
      </c>
      <c r="B630" s="16" t="n">
        <f aca="false">IF(_xlfn.UNICODE(A630)&lt;44032,-1,_xlfn.UNICODE(A630)-44032)</f>
        <v>2860</v>
      </c>
      <c r="C630" s="16" t="n">
        <f aca="false">IF(B630=-1,-1,INT((B630/28)/21))</f>
        <v>4</v>
      </c>
      <c r="D630" s="16" t="n">
        <f aca="false">IF(B630=-1, -1, MOD(INT(B630/28),21))</f>
        <v>18</v>
      </c>
      <c r="E630" s="16" t="n">
        <f aca="false">IF(B630=-1, -1, VLOOKUP(MOD(B630,28), $T$24:$U$52,2))</f>
        <v>4</v>
      </c>
      <c r="F630" s="16" t="n">
        <f aca="false">IF($B630=-1, -1, VLOOKUP(C630,$T$1:$V$20, 2))</f>
        <v>10</v>
      </c>
      <c r="G630" s="16" t="n">
        <f aca="false">IF($B630=-1, -1, VLOOKUP(D630,$Y$1:$Z$22,2))</f>
        <v>5</v>
      </c>
      <c r="H630" s="16" t="str">
        <f aca="false">_xlfn.UNICHAR(((F630*21)+G630)*28+44032)</f>
        <v>쎄</v>
      </c>
      <c r="I630" s="16" t="n">
        <f aca="false">IF(B630=-1, 1, COUNTIF($A$2:$A$3000, H630))</f>
        <v>1</v>
      </c>
      <c r="J630" s="10" t="str">
        <f aca="false">_xlfn.CONCAT(A630, ",",H630,",",I630)</f>
        <v>뜬,쎄,1</v>
      </c>
      <c r="K630" s="16" t="n">
        <f aca="false">IF(B630=-1,-1,VLOOKUP(C630,$T$1:$V$20,3))</f>
        <v>5</v>
      </c>
      <c r="L630" s="16" t="n">
        <f aca="false">IF(B630=-1,-1,VLOOKUP(D630,$Y$1:$AA$22,3))</f>
        <v>18</v>
      </c>
      <c r="N630" s="10" t="str">
        <f aca="false">_xlfn.UNICHAR(((C630*21)+G630)*28+44032)</f>
        <v>떼</v>
      </c>
      <c r="O630" s="10" t="str">
        <f aca="false">_xlfn.UNICHAR(((F630*21)+D630)*28+44032)</f>
        <v>쓰</v>
      </c>
      <c r="P630" s="12" t="n">
        <f aca="false">COUNTIF($A$2:$A$3000, N630) + COUNTIF($A$2:$A$3000, O630)</f>
        <v>2</v>
      </c>
      <c r="Q630" s="16" t="str">
        <f aca="false">IF(OR(B630=-1,I630=0, P630&lt;&gt;2), "albhed_dummy", _xlfn.CONCAT("albhed ", RIGHT("  " &amp; K630,2),", ", RIGHT("  " &amp; L630,2), ", " ,"""",H630,""", ", """",N630,""", ","""",O630,""""," ; ", A630))</f>
        <v>albhed  5, 18, "쎄", "떼", "쓰" ; 뜬</v>
      </c>
    </row>
    <row r="631" customFormat="false" ht="17.9" hidden="false" customHeight="true" outlineLevel="0" collapsed="false">
      <c r="A631" s="16" t="s">
        <v>1505</v>
      </c>
      <c r="B631" s="16" t="n">
        <f aca="false">IF(_xlfn.UNICODE(A631)&lt;44032,-1,_xlfn.UNICODE(A631)-44032)</f>
        <v>2863</v>
      </c>
      <c r="C631" s="16" t="n">
        <f aca="false">IF(B631=-1,-1,INT((B631/28)/21))</f>
        <v>4</v>
      </c>
      <c r="D631" s="16" t="n">
        <f aca="false">IF(B631=-1, -1, MOD(INT(B631/28),21))</f>
        <v>18</v>
      </c>
      <c r="E631" s="16" t="n">
        <f aca="false">IF(B631=-1, -1, VLOOKUP(MOD(B631,28), $T$24:$U$52,2))</f>
        <v>19</v>
      </c>
      <c r="F631" s="16" t="n">
        <f aca="false">IF($B631=-1, -1, VLOOKUP(C631,$T$1:$V$20, 2))</f>
        <v>10</v>
      </c>
      <c r="G631" s="16" t="n">
        <f aca="false">IF($B631=-1, -1, VLOOKUP(D631,$Y$1:$Z$22,2))</f>
        <v>5</v>
      </c>
      <c r="H631" s="16" t="str">
        <f aca="false">_xlfn.UNICHAR(((F631*21)+G631)*28+44032)</f>
        <v>쎄</v>
      </c>
      <c r="I631" s="16" t="n">
        <f aca="false">IF(B631=-1, 1, COUNTIF($A$2:$A$3000, H631))</f>
        <v>1</v>
      </c>
      <c r="J631" s="10" t="str">
        <f aca="false">_xlfn.CONCAT(A631, ",",H631,",",I631)</f>
        <v>뜯,쎄,1</v>
      </c>
      <c r="K631" s="16" t="n">
        <f aca="false">IF(B631=-1,-1,VLOOKUP(C631,$T$1:$V$20,3))</f>
        <v>5</v>
      </c>
      <c r="L631" s="16" t="n">
        <f aca="false">IF(B631=-1,-1,VLOOKUP(D631,$Y$1:$AA$22,3))</f>
        <v>18</v>
      </c>
      <c r="N631" s="10" t="str">
        <f aca="false">_xlfn.UNICHAR(((C631*21)+G631)*28+44032)</f>
        <v>떼</v>
      </c>
      <c r="O631" s="10" t="str">
        <f aca="false">_xlfn.UNICHAR(((F631*21)+D631)*28+44032)</f>
        <v>쓰</v>
      </c>
      <c r="P631" s="12" t="n">
        <f aca="false">COUNTIF($A$2:$A$3000, N631) + COUNTIF($A$2:$A$3000, O631)</f>
        <v>2</v>
      </c>
      <c r="Q631" s="16" t="str">
        <f aca="false">IF(OR(B631=-1,I631=0, P631&lt;&gt;2), "albhed_dummy", _xlfn.CONCAT("albhed ", RIGHT("  " &amp; K631,2),", ", RIGHT("  " &amp; L631,2), ", " ,"""",H631,""", ", """",N631,""", ","""",O631,""""," ; ", A631))</f>
        <v>albhed  5, 18, "쎄", "떼", "쓰" ; 뜯</v>
      </c>
    </row>
    <row r="632" customFormat="false" ht="17.9" hidden="false" customHeight="true" outlineLevel="0" collapsed="false">
      <c r="A632" s="16" t="s">
        <v>1506</v>
      </c>
      <c r="B632" s="16" t="n">
        <f aca="false">IF(_xlfn.UNICODE(A632)&lt;44032,-1,_xlfn.UNICODE(A632)-44032)</f>
        <v>2864</v>
      </c>
      <c r="C632" s="16" t="n">
        <f aca="false">IF(B632=-1,-1,INT((B632/28)/21))</f>
        <v>4</v>
      </c>
      <c r="D632" s="16" t="n">
        <f aca="false">IF(B632=-1, -1, MOD(INT(B632/28),21))</f>
        <v>18</v>
      </c>
      <c r="E632" s="16" t="n">
        <f aca="false">IF(B632=-1, -1, VLOOKUP(MOD(B632,28), $T$24:$U$52,2))</f>
        <v>8</v>
      </c>
      <c r="F632" s="16" t="n">
        <f aca="false">IF($B632=-1, -1, VLOOKUP(C632,$T$1:$V$20, 2))</f>
        <v>10</v>
      </c>
      <c r="G632" s="16" t="n">
        <f aca="false">IF($B632=-1, -1, VLOOKUP(D632,$Y$1:$Z$22,2))</f>
        <v>5</v>
      </c>
      <c r="H632" s="16" t="str">
        <f aca="false">_xlfn.UNICHAR(((F632*21)+G632)*28+44032)</f>
        <v>쎄</v>
      </c>
      <c r="I632" s="16" t="n">
        <f aca="false">IF(B632=-1, 1, COUNTIF($A$2:$A$3000, H632))</f>
        <v>1</v>
      </c>
      <c r="J632" s="10" t="str">
        <f aca="false">_xlfn.CONCAT(A632, ",",H632,",",I632)</f>
        <v>뜰,쎄,1</v>
      </c>
      <c r="K632" s="16" t="n">
        <f aca="false">IF(B632=-1,-1,VLOOKUP(C632,$T$1:$V$20,3))</f>
        <v>5</v>
      </c>
      <c r="L632" s="16" t="n">
        <f aca="false">IF(B632=-1,-1,VLOOKUP(D632,$Y$1:$AA$22,3))</f>
        <v>18</v>
      </c>
      <c r="N632" s="10" t="str">
        <f aca="false">_xlfn.UNICHAR(((C632*21)+G632)*28+44032)</f>
        <v>떼</v>
      </c>
      <c r="O632" s="10" t="str">
        <f aca="false">_xlfn.UNICHAR(((F632*21)+D632)*28+44032)</f>
        <v>쓰</v>
      </c>
      <c r="P632" s="12" t="n">
        <f aca="false">COUNTIF($A$2:$A$3000, N632) + COUNTIF($A$2:$A$3000, O632)</f>
        <v>2</v>
      </c>
      <c r="Q632" s="16" t="str">
        <f aca="false">IF(OR(B632=-1,I632=0, P632&lt;&gt;2), "albhed_dummy", _xlfn.CONCAT("albhed ", RIGHT("  " &amp; K632,2),", ", RIGHT("  " &amp; L632,2), ", " ,"""",H632,""", ", """",N632,""", ","""",O632,""""," ; ", A632))</f>
        <v>albhed  5, 18, "쎄", "떼", "쓰" ; 뜰</v>
      </c>
    </row>
    <row r="633" customFormat="false" ht="17.9" hidden="false" customHeight="true" outlineLevel="0" collapsed="false">
      <c r="A633" s="16" t="s">
        <v>1507</v>
      </c>
      <c r="B633" s="16" t="n">
        <f aca="false">IF(_xlfn.UNICODE(A633)&lt;44032,-1,_xlfn.UNICODE(A633)-44032)</f>
        <v>2872</v>
      </c>
      <c r="C633" s="16" t="n">
        <f aca="false">IF(B633=-1,-1,INT((B633/28)/21))</f>
        <v>4</v>
      </c>
      <c r="D633" s="16" t="n">
        <f aca="false">IF(B633=-1, -1, MOD(INT(B633/28),21))</f>
        <v>18</v>
      </c>
      <c r="E633" s="16" t="n">
        <f aca="false">IF(B633=-1, -1, VLOOKUP(MOD(B633,28), $T$24:$U$52,2))</f>
        <v>16</v>
      </c>
      <c r="F633" s="16" t="n">
        <f aca="false">IF($B633=-1, -1, VLOOKUP(C633,$T$1:$V$20, 2))</f>
        <v>10</v>
      </c>
      <c r="G633" s="16" t="n">
        <f aca="false">IF($B633=-1, -1, VLOOKUP(D633,$Y$1:$Z$22,2))</f>
        <v>5</v>
      </c>
      <c r="H633" s="16" t="str">
        <f aca="false">_xlfn.UNICHAR(((F633*21)+G633)*28+44032)</f>
        <v>쎄</v>
      </c>
      <c r="I633" s="16" t="n">
        <f aca="false">IF(B633=-1, 1, COUNTIF($A$2:$A$3000, H633))</f>
        <v>1</v>
      </c>
      <c r="J633" s="10" t="str">
        <f aca="false">_xlfn.CONCAT(A633, ",",H633,",",I633)</f>
        <v>뜸,쎄,1</v>
      </c>
      <c r="K633" s="16" t="n">
        <f aca="false">IF(B633=-1,-1,VLOOKUP(C633,$T$1:$V$20,3))</f>
        <v>5</v>
      </c>
      <c r="L633" s="16" t="n">
        <f aca="false">IF(B633=-1,-1,VLOOKUP(D633,$Y$1:$AA$22,3))</f>
        <v>18</v>
      </c>
      <c r="N633" s="10" t="str">
        <f aca="false">_xlfn.UNICHAR(((C633*21)+G633)*28+44032)</f>
        <v>떼</v>
      </c>
      <c r="O633" s="10" t="str">
        <f aca="false">_xlfn.UNICHAR(((F633*21)+D633)*28+44032)</f>
        <v>쓰</v>
      </c>
      <c r="P633" s="12" t="n">
        <f aca="false">COUNTIF($A$2:$A$3000, N633) + COUNTIF($A$2:$A$3000, O633)</f>
        <v>2</v>
      </c>
      <c r="Q633" s="16" t="str">
        <f aca="false">IF(OR(B633=-1,I633=0, P633&lt;&gt;2), "albhed_dummy", _xlfn.CONCAT("albhed ", RIGHT("  " &amp; K633,2),", ", RIGHT("  " &amp; L633,2), ", " ,"""",H633,""", ", """",N633,""", ","""",O633,""""," ; ", A633))</f>
        <v>albhed  5, 18, "쎄", "떼", "쓰" ; 뜸</v>
      </c>
    </row>
    <row r="634" customFormat="false" ht="17.9" hidden="false" customHeight="true" outlineLevel="0" collapsed="false">
      <c r="A634" s="16" t="s">
        <v>1508</v>
      </c>
      <c r="B634" s="16" t="n">
        <f aca="false">IF(_xlfn.UNICODE(A634)&lt;44032,-1,_xlfn.UNICODE(A634)-44032)</f>
        <v>2873</v>
      </c>
      <c r="C634" s="16" t="n">
        <f aca="false">IF(B634=-1,-1,INT((B634/28)/21))</f>
        <v>4</v>
      </c>
      <c r="D634" s="16" t="n">
        <f aca="false">IF(B634=-1, -1, MOD(INT(B634/28),21))</f>
        <v>18</v>
      </c>
      <c r="E634" s="16" t="n">
        <f aca="false">IF(B634=-1, -1, VLOOKUP(MOD(B634,28), $T$24:$U$52,2))</f>
        <v>17</v>
      </c>
      <c r="F634" s="16" t="n">
        <f aca="false">IF($B634=-1, -1, VLOOKUP(C634,$T$1:$V$20, 2))</f>
        <v>10</v>
      </c>
      <c r="G634" s="16" t="n">
        <f aca="false">IF($B634=-1, -1, VLOOKUP(D634,$Y$1:$Z$22,2))</f>
        <v>5</v>
      </c>
      <c r="H634" s="16" t="str">
        <f aca="false">_xlfn.UNICHAR(((F634*21)+G634)*28+44032)</f>
        <v>쎄</v>
      </c>
      <c r="I634" s="16" t="n">
        <f aca="false">IF(B634=-1, 1, COUNTIF($A$2:$A$3000, H634))</f>
        <v>1</v>
      </c>
      <c r="J634" s="10" t="str">
        <f aca="false">_xlfn.CONCAT(A634, ",",H634,",",I634)</f>
        <v>뜹,쎄,1</v>
      </c>
      <c r="K634" s="16" t="n">
        <f aca="false">IF(B634=-1,-1,VLOOKUP(C634,$T$1:$V$20,3))</f>
        <v>5</v>
      </c>
      <c r="L634" s="16" t="n">
        <f aca="false">IF(B634=-1,-1,VLOOKUP(D634,$Y$1:$AA$22,3))</f>
        <v>18</v>
      </c>
      <c r="N634" s="10" t="str">
        <f aca="false">_xlfn.UNICHAR(((C634*21)+G634)*28+44032)</f>
        <v>떼</v>
      </c>
      <c r="O634" s="10" t="str">
        <f aca="false">_xlfn.UNICHAR(((F634*21)+D634)*28+44032)</f>
        <v>쓰</v>
      </c>
      <c r="P634" s="12" t="n">
        <f aca="false">COUNTIF($A$2:$A$3000, N634) + COUNTIF($A$2:$A$3000, O634)</f>
        <v>2</v>
      </c>
      <c r="Q634" s="16" t="str">
        <f aca="false">IF(OR(B634=-1,I634=0, P634&lt;&gt;2), "albhed_dummy", _xlfn.CONCAT("albhed ", RIGHT("  " &amp; K634,2),", ", RIGHT("  " &amp; L634,2), ", " ,"""",H634,""", ", """",N634,""", ","""",O634,""""," ; ", A634))</f>
        <v>albhed  5, 18, "쎄", "떼", "쓰" ; 뜹</v>
      </c>
    </row>
    <row r="635" customFormat="false" ht="17.9" hidden="false" customHeight="true" outlineLevel="0" collapsed="false">
      <c r="A635" s="16" t="s">
        <v>1509</v>
      </c>
      <c r="B635" s="16" t="n">
        <f aca="false">IF(_xlfn.UNICODE(A635)&lt;44032,-1,_xlfn.UNICODE(A635)-44032)</f>
        <v>2875</v>
      </c>
      <c r="C635" s="16" t="n">
        <f aca="false">IF(B635=-1,-1,INT((B635/28)/21))</f>
        <v>4</v>
      </c>
      <c r="D635" s="16" t="n">
        <f aca="false">IF(B635=-1, -1, MOD(INT(B635/28),21))</f>
        <v>18</v>
      </c>
      <c r="E635" s="16" t="n">
        <f aca="false">IF(B635=-1, -1, VLOOKUP(MOD(B635,28), $T$24:$U$52,2))</f>
        <v>19</v>
      </c>
      <c r="F635" s="16" t="n">
        <f aca="false">IF($B635=-1, -1, VLOOKUP(C635,$T$1:$V$20, 2))</f>
        <v>10</v>
      </c>
      <c r="G635" s="16" t="n">
        <f aca="false">IF($B635=-1, -1, VLOOKUP(D635,$Y$1:$Z$22,2))</f>
        <v>5</v>
      </c>
      <c r="H635" s="16" t="str">
        <f aca="false">_xlfn.UNICHAR(((F635*21)+G635)*28+44032)</f>
        <v>쎄</v>
      </c>
      <c r="I635" s="16" t="n">
        <f aca="false">IF(B635=-1, 1, COUNTIF($A$2:$A$3000, H635))</f>
        <v>1</v>
      </c>
      <c r="J635" s="10" t="str">
        <f aca="false">_xlfn.CONCAT(A635, ",",H635,",",I635)</f>
        <v>뜻,쎄,1</v>
      </c>
      <c r="K635" s="16" t="n">
        <f aca="false">IF(B635=-1,-1,VLOOKUP(C635,$T$1:$V$20,3))</f>
        <v>5</v>
      </c>
      <c r="L635" s="16" t="n">
        <f aca="false">IF(B635=-1,-1,VLOOKUP(D635,$Y$1:$AA$22,3))</f>
        <v>18</v>
      </c>
      <c r="N635" s="10" t="str">
        <f aca="false">_xlfn.UNICHAR(((C635*21)+G635)*28+44032)</f>
        <v>떼</v>
      </c>
      <c r="O635" s="10" t="str">
        <f aca="false">_xlfn.UNICHAR(((F635*21)+D635)*28+44032)</f>
        <v>쓰</v>
      </c>
      <c r="P635" s="12" t="n">
        <f aca="false">COUNTIF($A$2:$A$3000, N635) + COUNTIF($A$2:$A$3000, O635)</f>
        <v>2</v>
      </c>
      <c r="Q635" s="16" t="str">
        <f aca="false">IF(OR(B635=-1,I635=0, P635&lt;&gt;2), "albhed_dummy", _xlfn.CONCAT("albhed ", RIGHT("  " &amp; K635,2),", ", RIGHT("  " &amp; L635,2), ", " ,"""",H635,""", ", """",N635,""", ","""",O635,""""," ; ", A635))</f>
        <v>albhed  5, 18, "쎄", "떼", "쓰" ; 뜻</v>
      </c>
    </row>
    <row r="636" customFormat="false" ht="17.9" hidden="false" customHeight="true" outlineLevel="0" collapsed="false">
      <c r="A636" s="16" t="s">
        <v>1510</v>
      </c>
      <c r="B636" s="16" t="n">
        <f aca="false">IF(_xlfn.UNICODE(A636)&lt;44032,-1,_xlfn.UNICODE(A636)-44032)</f>
        <v>2884</v>
      </c>
      <c r="C636" s="16" t="n">
        <f aca="false">IF(B636=-1,-1,INT((B636/28)/21))</f>
        <v>4</v>
      </c>
      <c r="D636" s="16" t="n">
        <f aca="false">IF(B636=-1, -1, MOD(INT(B636/28),21))</f>
        <v>19</v>
      </c>
      <c r="E636" s="16" t="n">
        <f aca="false">IF(B636=-1, -1, VLOOKUP(MOD(B636,28), $T$24:$U$52,2))</f>
        <v>0</v>
      </c>
      <c r="F636" s="16" t="n">
        <f aca="false">IF($B636=-1, -1, VLOOKUP(C636,$T$1:$V$20, 2))</f>
        <v>10</v>
      </c>
      <c r="G636" s="16" t="n">
        <f aca="false">IF($B636=-1, -1, VLOOKUP(D636,$Y$1:$Z$22,2))</f>
        <v>5</v>
      </c>
      <c r="H636" s="16" t="str">
        <f aca="false">_xlfn.UNICHAR(((F636*21)+G636)*28+44032)</f>
        <v>쎄</v>
      </c>
      <c r="I636" s="16" t="n">
        <f aca="false">IF(B636=-1, 1, COUNTIF($A$2:$A$3000, H636))</f>
        <v>1</v>
      </c>
      <c r="J636" s="10" t="str">
        <f aca="false">_xlfn.CONCAT(A636, ",",H636,",",I636)</f>
        <v>띄,쎄,1</v>
      </c>
      <c r="K636" s="16" t="n">
        <f aca="false">IF(B636=-1,-1,VLOOKUP(C636,$T$1:$V$20,3))</f>
        <v>5</v>
      </c>
      <c r="L636" s="16" t="n">
        <f aca="false">IF(B636=-1,-1,VLOOKUP(D636,$Y$1:$AA$22,3))</f>
        <v>24</v>
      </c>
      <c r="N636" s="10" t="str">
        <f aca="false">_xlfn.UNICHAR(((C636*21)+G636)*28+44032)</f>
        <v>떼</v>
      </c>
      <c r="O636" s="10" t="str">
        <f aca="false">_xlfn.UNICHAR(((F636*21)+D636)*28+44032)</f>
        <v>씌</v>
      </c>
      <c r="P636" s="12" t="n">
        <f aca="false">COUNTIF($A$2:$A$3000, N636) + COUNTIF($A$2:$A$3000, O636)</f>
        <v>2</v>
      </c>
      <c r="Q636" s="16" t="str">
        <f aca="false">IF(OR(B636=-1,I636=0, P636&lt;&gt;2), "albhed_dummy", _xlfn.CONCAT("albhed ", RIGHT("  " &amp; K636,2),", ", RIGHT("  " &amp; L636,2), ", " ,"""",H636,""", ", """",N636,""", ","""",O636,""""," ; ", A636))</f>
        <v>albhed  5, 24, "쎄", "떼", "씌" ; 띄</v>
      </c>
    </row>
    <row r="637" customFormat="false" ht="17.9" hidden="false" customHeight="true" outlineLevel="0" collapsed="false">
      <c r="A637" s="16" t="s">
        <v>1511</v>
      </c>
      <c r="B637" s="16" t="n">
        <f aca="false">IF(_xlfn.UNICODE(A637)&lt;44032,-1,_xlfn.UNICODE(A637)-44032)</f>
        <v>2888</v>
      </c>
      <c r="C637" s="16" t="n">
        <f aca="false">IF(B637=-1,-1,INT((B637/28)/21))</f>
        <v>4</v>
      </c>
      <c r="D637" s="16" t="n">
        <f aca="false">IF(B637=-1, -1, MOD(INT(B637/28),21))</f>
        <v>19</v>
      </c>
      <c r="E637" s="16" t="n">
        <f aca="false">IF(B637=-1, -1, VLOOKUP(MOD(B637,28), $T$24:$U$52,2))</f>
        <v>4</v>
      </c>
      <c r="F637" s="16" t="n">
        <f aca="false">IF($B637=-1, -1, VLOOKUP(C637,$T$1:$V$20, 2))</f>
        <v>10</v>
      </c>
      <c r="G637" s="16" t="n">
        <f aca="false">IF($B637=-1, -1, VLOOKUP(D637,$Y$1:$Z$22,2))</f>
        <v>5</v>
      </c>
      <c r="H637" s="16" t="str">
        <f aca="false">_xlfn.UNICHAR(((F637*21)+G637)*28+44032)</f>
        <v>쎄</v>
      </c>
      <c r="I637" s="16" t="n">
        <f aca="false">IF(B637=-1, 1, COUNTIF($A$2:$A$3000, H637))</f>
        <v>1</v>
      </c>
      <c r="J637" s="10" t="str">
        <f aca="false">_xlfn.CONCAT(A637, ",",H637,",",I637)</f>
        <v>띈,쎄,1</v>
      </c>
      <c r="K637" s="16" t="n">
        <f aca="false">IF(B637=-1,-1,VLOOKUP(C637,$T$1:$V$20,3))</f>
        <v>5</v>
      </c>
      <c r="L637" s="16" t="n">
        <f aca="false">IF(B637=-1,-1,VLOOKUP(D637,$Y$1:$AA$22,3))</f>
        <v>24</v>
      </c>
      <c r="N637" s="10" t="str">
        <f aca="false">_xlfn.UNICHAR(((C637*21)+G637)*28+44032)</f>
        <v>떼</v>
      </c>
      <c r="O637" s="10" t="str">
        <f aca="false">_xlfn.UNICHAR(((F637*21)+D637)*28+44032)</f>
        <v>씌</v>
      </c>
      <c r="P637" s="12" t="n">
        <f aca="false">COUNTIF($A$2:$A$3000, N637) + COUNTIF($A$2:$A$3000, O637)</f>
        <v>2</v>
      </c>
      <c r="Q637" s="16" t="str">
        <f aca="false">IF(OR(B637=-1,I637=0, P637&lt;&gt;2), "albhed_dummy", _xlfn.CONCAT("albhed ", RIGHT("  " &amp; K637,2),", ", RIGHT("  " &amp; L637,2), ", " ,"""",H637,""", ", """",N637,""", ","""",O637,""""," ; ", A637))</f>
        <v>albhed  5, 24, "쎄", "떼", "씌" ; 띈</v>
      </c>
    </row>
    <row r="638" customFormat="false" ht="17.9" hidden="false" customHeight="true" outlineLevel="0" collapsed="false">
      <c r="A638" s="16" t="s">
        <v>1512</v>
      </c>
      <c r="B638" s="16" t="n">
        <f aca="false">IF(_xlfn.UNICODE(A638)&lt;44032,-1,_xlfn.UNICODE(A638)-44032)</f>
        <v>2892</v>
      </c>
      <c r="C638" s="16" t="n">
        <f aca="false">IF(B638=-1,-1,INT((B638/28)/21))</f>
        <v>4</v>
      </c>
      <c r="D638" s="16" t="n">
        <f aca="false">IF(B638=-1, -1, MOD(INT(B638/28),21))</f>
        <v>19</v>
      </c>
      <c r="E638" s="16" t="n">
        <f aca="false">IF(B638=-1, -1, VLOOKUP(MOD(B638,28), $T$24:$U$52,2))</f>
        <v>8</v>
      </c>
      <c r="F638" s="16" t="n">
        <f aca="false">IF($B638=-1, -1, VLOOKUP(C638,$T$1:$V$20, 2))</f>
        <v>10</v>
      </c>
      <c r="G638" s="16" t="n">
        <f aca="false">IF($B638=-1, -1, VLOOKUP(D638,$Y$1:$Z$22,2))</f>
        <v>5</v>
      </c>
      <c r="H638" s="16" t="str">
        <f aca="false">_xlfn.UNICHAR(((F638*21)+G638)*28+44032)</f>
        <v>쎄</v>
      </c>
      <c r="I638" s="16" t="n">
        <f aca="false">IF(B638=-1, 1, COUNTIF($A$2:$A$3000, H638))</f>
        <v>1</v>
      </c>
      <c r="J638" s="10" t="str">
        <f aca="false">_xlfn.CONCAT(A638, ",",H638,",",I638)</f>
        <v>띌,쎄,1</v>
      </c>
      <c r="K638" s="16" t="n">
        <f aca="false">IF(B638=-1,-1,VLOOKUP(C638,$T$1:$V$20,3))</f>
        <v>5</v>
      </c>
      <c r="L638" s="16" t="n">
        <f aca="false">IF(B638=-1,-1,VLOOKUP(D638,$Y$1:$AA$22,3))</f>
        <v>24</v>
      </c>
      <c r="N638" s="10" t="str">
        <f aca="false">_xlfn.UNICHAR(((C638*21)+G638)*28+44032)</f>
        <v>떼</v>
      </c>
      <c r="O638" s="10" t="str">
        <f aca="false">_xlfn.UNICHAR(((F638*21)+D638)*28+44032)</f>
        <v>씌</v>
      </c>
      <c r="P638" s="12" t="n">
        <f aca="false">COUNTIF($A$2:$A$3000, N638) + COUNTIF($A$2:$A$3000, O638)</f>
        <v>2</v>
      </c>
      <c r="Q638" s="16" t="str">
        <f aca="false">IF(OR(B638=-1,I638=0, P638&lt;&gt;2), "albhed_dummy", _xlfn.CONCAT("albhed ", RIGHT("  " &amp; K638,2),", ", RIGHT("  " &amp; L638,2), ", " ,"""",H638,""", ", """",N638,""", ","""",O638,""""," ; ", A638))</f>
        <v>albhed  5, 24, "쎄", "떼", "씌" ; 띌</v>
      </c>
    </row>
    <row r="639" customFormat="false" ht="17.9" hidden="false" customHeight="true" outlineLevel="0" collapsed="false">
      <c r="A639" s="16" t="s">
        <v>1513</v>
      </c>
      <c r="B639" s="16" t="n">
        <f aca="false">IF(_xlfn.UNICODE(A639)&lt;44032,-1,_xlfn.UNICODE(A639)-44032)</f>
        <v>2900</v>
      </c>
      <c r="C639" s="16" t="n">
        <f aca="false">IF(B639=-1,-1,INT((B639/28)/21))</f>
        <v>4</v>
      </c>
      <c r="D639" s="16" t="n">
        <f aca="false">IF(B639=-1, -1, MOD(INT(B639/28),21))</f>
        <v>19</v>
      </c>
      <c r="E639" s="16" t="n">
        <f aca="false">IF(B639=-1, -1, VLOOKUP(MOD(B639,28), $T$24:$U$52,2))</f>
        <v>16</v>
      </c>
      <c r="F639" s="16" t="n">
        <f aca="false">IF($B639=-1, -1, VLOOKUP(C639,$T$1:$V$20, 2))</f>
        <v>10</v>
      </c>
      <c r="G639" s="16" t="n">
        <f aca="false">IF($B639=-1, -1, VLOOKUP(D639,$Y$1:$Z$22,2))</f>
        <v>5</v>
      </c>
      <c r="H639" s="16" t="str">
        <f aca="false">_xlfn.UNICHAR(((F639*21)+G639)*28+44032)</f>
        <v>쎄</v>
      </c>
      <c r="I639" s="16" t="n">
        <f aca="false">IF(B639=-1, 1, COUNTIF($A$2:$A$3000, H639))</f>
        <v>1</v>
      </c>
      <c r="J639" s="10" t="str">
        <f aca="false">_xlfn.CONCAT(A639, ",",H639,",",I639)</f>
        <v>띔,쎄,1</v>
      </c>
      <c r="K639" s="16" t="n">
        <f aca="false">IF(B639=-1,-1,VLOOKUP(C639,$T$1:$V$20,3))</f>
        <v>5</v>
      </c>
      <c r="L639" s="16" t="n">
        <f aca="false">IF(B639=-1,-1,VLOOKUP(D639,$Y$1:$AA$22,3))</f>
        <v>24</v>
      </c>
      <c r="N639" s="10" t="str">
        <f aca="false">_xlfn.UNICHAR(((C639*21)+G639)*28+44032)</f>
        <v>떼</v>
      </c>
      <c r="O639" s="10" t="str">
        <f aca="false">_xlfn.UNICHAR(((F639*21)+D639)*28+44032)</f>
        <v>씌</v>
      </c>
      <c r="P639" s="12" t="n">
        <f aca="false">COUNTIF($A$2:$A$3000, N639) + COUNTIF($A$2:$A$3000, O639)</f>
        <v>2</v>
      </c>
      <c r="Q639" s="16" t="str">
        <f aca="false">IF(OR(B639=-1,I639=0, P639&lt;&gt;2), "albhed_dummy", _xlfn.CONCAT("albhed ", RIGHT("  " &amp; K639,2),", ", RIGHT("  " &amp; L639,2), ", " ,"""",H639,""", ", """",N639,""", ","""",O639,""""," ; ", A639))</f>
        <v>albhed  5, 24, "쎄", "떼", "씌" ; 띔</v>
      </c>
    </row>
    <row r="640" customFormat="false" ht="17.9" hidden="false" customHeight="true" outlineLevel="0" collapsed="false">
      <c r="A640" s="16" t="s">
        <v>1514</v>
      </c>
      <c r="B640" s="16" t="n">
        <f aca="false">IF(_xlfn.UNICODE(A640)&lt;44032,-1,_xlfn.UNICODE(A640)-44032)</f>
        <v>2901</v>
      </c>
      <c r="C640" s="16" t="n">
        <f aca="false">IF(B640=-1,-1,INT((B640/28)/21))</f>
        <v>4</v>
      </c>
      <c r="D640" s="16" t="n">
        <f aca="false">IF(B640=-1, -1, MOD(INT(B640/28),21))</f>
        <v>19</v>
      </c>
      <c r="E640" s="16" t="n">
        <f aca="false">IF(B640=-1, -1, VLOOKUP(MOD(B640,28), $T$24:$U$52,2))</f>
        <v>17</v>
      </c>
      <c r="F640" s="16" t="n">
        <f aca="false">IF($B640=-1, -1, VLOOKUP(C640,$T$1:$V$20, 2))</f>
        <v>10</v>
      </c>
      <c r="G640" s="16" t="n">
        <f aca="false">IF($B640=-1, -1, VLOOKUP(D640,$Y$1:$Z$22,2))</f>
        <v>5</v>
      </c>
      <c r="H640" s="16" t="str">
        <f aca="false">_xlfn.UNICHAR(((F640*21)+G640)*28+44032)</f>
        <v>쎄</v>
      </c>
      <c r="I640" s="16" t="n">
        <f aca="false">IF(B640=-1, 1, COUNTIF($A$2:$A$3000, H640))</f>
        <v>1</v>
      </c>
      <c r="J640" s="10" t="str">
        <f aca="false">_xlfn.CONCAT(A640, ",",H640,",",I640)</f>
        <v>띕,쎄,1</v>
      </c>
      <c r="K640" s="16" t="n">
        <f aca="false">IF(B640=-1,-1,VLOOKUP(C640,$T$1:$V$20,3))</f>
        <v>5</v>
      </c>
      <c r="L640" s="16" t="n">
        <f aca="false">IF(B640=-1,-1,VLOOKUP(D640,$Y$1:$AA$22,3))</f>
        <v>24</v>
      </c>
      <c r="N640" s="10" t="str">
        <f aca="false">_xlfn.UNICHAR(((C640*21)+G640)*28+44032)</f>
        <v>떼</v>
      </c>
      <c r="O640" s="10" t="str">
        <f aca="false">_xlfn.UNICHAR(((F640*21)+D640)*28+44032)</f>
        <v>씌</v>
      </c>
      <c r="P640" s="12" t="n">
        <f aca="false">COUNTIF($A$2:$A$3000, N640) + COUNTIF($A$2:$A$3000, O640)</f>
        <v>2</v>
      </c>
      <c r="Q640" s="16" t="str">
        <f aca="false">IF(OR(B640=-1,I640=0, P640&lt;&gt;2), "albhed_dummy", _xlfn.CONCAT("albhed ", RIGHT("  " &amp; K640,2),", ", RIGHT("  " &amp; L640,2), ", " ,"""",H640,""", ", """",N640,""", ","""",O640,""""," ; ", A640))</f>
        <v>albhed  5, 24, "쎄", "떼", "씌" ; 띕</v>
      </c>
    </row>
    <row r="641" customFormat="false" ht="17.9" hidden="false" customHeight="true" outlineLevel="0" collapsed="false">
      <c r="A641" s="16" t="s">
        <v>1515</v>
      </c>
      <c r="B641" s="16" t="n">
        <f aca="false">IF(_xlfn.UNICODE(A641)&lt;44032,-1,_xlfn.UNICODE(A641)-44032)</f>
        <v>2912</v>
      </c>
      <c r="C641" s="16" t="n">
        <f aca="false">IF(B641=-1,-1,INT((B641/28)/21))</f>
        <v>4</v>
      </c>
      <c r="D641" s="16" t="n">
        <f aca="false">IF(B641=-1, -1, MOD(INT(B641/28),21))</f>
        <v>20</v>
      </c>
      <c r="E641" s="16" t="n">
        <f aca="false">IF(B641=-1, -1, VLOOKUP(MOD(B641,28), $T$24:$U$52,2))</f>
        <v>0</v>
      </c>
      <c r="F641" s="16" t="n">
        <f aca="false">IF($B641=-1, -1, VLOOKUP(C641,$T$1:$V$20, 2))</f>
        <v>10</v>
      </c>
      <c r="G641" s="16" t="n">
        <f aca="false">IF($B641=-1, -1, VLOOKUP(D641,$Y$1:$Z$22,2))</f>
        <v>5</v>
      </c>
      <c r="H641" s="16" t="str">
        <f aca="false">_xlfn.UNICHAR(((F641*21)+G641)*28+44032)</f>
        <v>쎄</v>
      </c>
      <c r="I641" s="16" t="n">
        <f aca="false">IF(B641=-1, 1, COUNTIF($A$2:$A$3000, H641))</f>
        <v>1</v>
      </c>
      <c r="J641" s="10" t="str">
        <f aca="false">_xlfn.CONCAT(A641, ",",H641,",",I641)</f>
        <v>띠,쎄,1</v>
      </c>
      <c r="K641" s="16" t="n">
        <f aca="false">IF(B641=-1,-1,VLOOKUP(C641,$T$1:$V$20,3))</f>
        <v>5</v>
      </c>
      <c r="L641" s="16" t="n">
        <f aca="false">IF(B641=-1,-1,VLOOKUP(D641,$Y$1:$AA$22,3))</f>
        <v>20</v>
      </c>
      <c r="N641" s="10" t="str">
        <f aca="false">_xlfn.UNICHAR(((C641*21)+G641)*28+44032)</f>
        <v>떼</v>
      </c>
      <c r="O641" s="10" t="str">
        <f aca="false">_xlfn.UNICHAR(((F641*21)+D641)*28+44032)</f>
        <v>씨</v>
      </c>
      <c r="P641" s="12" t="n">
        <f aca="false">COUNTIF($A$2:$A$3000, N641) + COUNTIF($A$2:$A$3000, O641)</f>
        <v>2</v>
      </c>
      <c r="Q641" s="16" t="str">
        <f aca="false">IF(OR(B641=-1,I641=0, P641&lt;&gt;2), "albhed_dummy", _xlfn.CONCAT("albhed ", RIGHT("  " &amp; K641,2),", ", RIGHT("  " &amp; L641,2), ", " ,"""",H641,""", ", """",N641,""", ","""",O641,""""," ; ", A641))</f>
        <v>albhed  5, 20, "쎄", "떼", "씨" ; 띠</v>
      </c>
    </row>
    <row r="642" customFormat="false" ht="17.9" hidden="false" customHeight="true" outlineLevel="0" collapsed="false">
      <c r="A642" s="16" t="s">
        <v>1516</v>
      </c>
      <c r="B642" s="16" t="n">
        <f aca="false">IF(_xlfn.UNICODE(A642)&lt;44032,-1,_xlfn.UNICODE(A642)-44032)</f>
        <v>2916</v>
      </c>
      <c r="C642" s="16" t="n">
        <f aca="false">IF(B642=-1,-1,INT((B642/28)/21))</f>
        <v>4</v>
      </c>
      <c r="D642" s="16" t="n">
        <f aca="false">IF(B642=-1, -1, MOD(INT(B642/28),21))</f>
        <v>20</v>
      </c>
      <c r="E642" s="16" t="n">
        <f aca="false">IF(B642=-1, -1, VLOOKUP(MOD(B642,28), $T$24:$U$52,2))</f>
        <v>4</v>
      </c>
      <c r="F642" s="16" t="n">
        <f aca="false">IF($B642=-1, -1, VLOOKUP(C642,$T$1:$V$20, 2))</f>
        <v>10</v>
      </c>
      <c r="G642" s="16" t="n">
        <f aca="false">IF($B642=-1, -1, VLOOKUP(D642,$Y$1:$Z$22,2))</f>
        <v>5</v>
      </c>
      <c r="H642" s="16" t="str">
        <f aca="false">_xlfn.UNICHAR(((F642*21)+G642)*28+44032)</f>
        <v>쎄</v>
      </c>
      <c r="I642" s="16" t="n">
        <f aca="false">IF(B642=-1, 1, COUNTIF($A$2:$A$3000, H642))</f>
        <v>1</v>
      </c>
      <c r="J642" s="10" t="str">
        <f aca="false">_xlfn.CONCAT(A642, ",",H642,",",I642)</f>
        <v>띤,쎄,1</v>
      </c>
      <c r="K642" s="16" t="n">
        <f aca="false">IF(B642=-1,-1,VLOOKUP(C642,$T$1:$V$20,3))</f>
        <v>5</v>
      </c>
      <c r="L642" s="16" t="n">
        <f aca="false">IF(B642=-1,-1,VLOOKUP(D642,$Y$1:$AA$22,3))</f>
        <v>20</v>
      </c>
      <c r="N642" s="10" t="str">
        <f aca="false">_xlfn.UNICHAR(((C642*21)+G642)*28+44032)</f>
        <v>떼</v>
      </c>
      <c r="O642" s="10" t="str">
        <f aca="false">_xlfn.UNICHAR(((F642*21)+D642)*28+44032)</f>
        <v>씨</v>
      </c>
      <c r="P642" s="12" t="n">
        <f aca="false">COUNTIF($A$2:$A$3000, N642) + COUNTIF($A$2:$A$3000, O642)</f>
        <v>2</v>
      </c>
      <c r="Q642" s="16" t="str">
        <f aca="false">IF(OR(B642=-1,I642=0, P642&lt;&gt;2), "albhed_dummy", _xlfn.CONCAT("albhed ", RIGHT("  " &amp; K642,2),", ", RIGHT("  " &amp; L642,2), ", " ,"""",H642,""", ", """",N642,""", ","""",O642,""""," ; ", A642))</f>
        <v>albhed  5, 20, "쎄", "떼", "씨" ; 띤</v>
      </c>
    </row>
    <row r="643" customFormat="false" ht="17.9" hidden="false" customHeight="true" outlineLevel="0" collapsed="false">
      <c r="A643" s="16" t="s">
        <v>1517</v>
      </c>
      <c r="B643" s="16" t="n">
        <f aca="false">IF(_xlfn.UNICODE(A643)&lt;44032,-1,_xlfn.UNICODE(A643)-44032)</f>
        <v>2920</v>
      </c>
      <c r="C643" s="16" t="n">
        <f aca="false">IF(B643=-1,-1,INT((B643/28)/21))</f>
        <v>4</v>
      </c>
      <c r="D643" s="16" t="n">
        <f aca="false">IF(B643=-1, -1, MOD(INT(B643/28),21))</f>
        <v>20</v>
      </c>
      <c r="E643" s="16" t="n">
        <f aca="false">IF(B643=-1, -1, VLOOKUP(MOD(B643,28), $T$24:$U$52,2))</f>
        <v>8</v>
      </c>
      <c r="F643" s="16" t="n">
        <f aca="false">IF($B643=-1, -1, VLOOKUP(C643,$T$1:$V$20, 2))</f>
        <v>10</v>
      </c>
      <c r="G643" s="16" t="n">
        <f aca="false">IF($B643=-1, -1, VLOOKUP(D643,$Y$1:$Z$22,2))</f>
        <v>5</v>
      </c>
      <c r="H643" s="16" t="str">
        <f aca="false">_xlfn.UNICHAR(((F643*21)+G643)*28+44032)</f>
        <v>쎄</v>
      </c>
      <c r="I643" s="16" t="n">
        <f aca="false">IF(B643=-1, 1, COUNTIF($A$2:$A$3000, H643))</f>
        <v>1</v>
      </c>
      <c r="J643" s="10" t="str">
        <f aca="false">_xlfn.CONCAT(A643, ",",H643,",",I643)</f>
        <v>띨,쎄,1</v>
      </c>
      <c r="K643" s="16" t="n">
        <f aca="false">IF(B643=-1,-1,VLOOKUP(C643,$T$1:$V$20,3))</f>
        <v>5</v>
      </c>
      <c r="L643" s="16" t="n">
        <f aca="false">IF(B643=-1,-1,VLOOKUP(D643,$Y$1:$AA$22,3))</f>
        <v>20</v>
      </c>
      <c r="N643" s="10" t="str">
        <f aca="false">_xlfn.UNICHAR(((C643*21)+G643)*28+44032)</f>
        <v>떼</v>
      </c>
      <c r="O643" s="10" t="str">
        <f aca="false">_xlfn.UNICHAR(((F643*21)+D643)*28+44032)</f>
        <v>씨</v>
      </c>
      <c r="P643" s="12" t="n">
        <f aca="false">COUNTIF($A$2:$A$3000, N643) + COUNTIF($A$2:$A$3000, O643)</f>
        <v>2</v>
      </c>
      <c r="Q643" s="16" t="str">
        <f aca="false">IF(OR(B643=-1,I643=0, P643&lt;&gt;2), "albhed_dummy", _xlfn.CONCAT("albhed ", RIGHT("  " &amp; K643,2),", ", RIGHT("  " &amp; L643,2), ", " ,"""",H643,""", ", """",N643,""", ","""",O643,""""," ; ", A643))</f>
        <v>albhed  5, 20, "쎄", "떼", "씨" ; 띨</v>
      </c>
    </row>
    <row r="644" customFormat="false" ht="17.9" hidden="false" customHeight="true" outlineLevel="0" collapsed="false">
      <c r="A644" s="16" t="s">
        <v>1518</v>
      </c>
      <c r="B644" s="16" t="n">
        <f aca="false">IF(_xlfn.UNICODE(A644)&lt;44032,-1,_xlfn.UNICODE(A644)-44032)</f>
        <v>2928</v>
      </c>
      <c r="C644" s="16" t="n">
        <f aca="false">IF(B644=-1,-1,INT((B644/28)/21))</f>
        <v>4</v>
      </c>
      <c r="D644" s="16" t="n">
        <f aca="false">IF(B644=-1, -1, MOD(INT(B644/28),21))</f>
        <v>20</v>
      </c>
      <c r="E644" s="16" t="n">
        <f aca="false">IF(B644=-1, -1, VLOOKUP(MOD(B644,28), $T$24:$U$52,2))</f>
        <v>16</v>
      </c>
      <c r="F644" s="16" t="n">
        <f aca="false">IF($B644=-1, -1, VLOOKUP(C644,$T$1:$V$20, 2))</f>
        <v>10</v>
      </c>
      <c r="G644" s="16" t="n">
        <f aca="false">IF($B644=-1, -1, VLOOKUP(D644,$Y$1:$Z$22,2))</f>
        <v>5</v>
      </c>
      <c r="H644" s="16" t="str">
        <f aca="false">_xlfn.UNICHAR(((F644*21)+G644)*28+44032)</f>
        <v>쎄</v>
      </c>
      <c r="I644" s="16" t="n">
        <f aca="false">IF(B644=-1, 1, COUNTIF($A$2:$A$3000, H644))</f>
        <v>1</v>
      </c>
      <c r="J644" s="10" t="str">
        <f aca="false">_xlfn.CONCAT(A644, ",",H644,",",I644)</f>
        <v>띰,쎄,1</v>
      </c>
      <c r="K644" s="16" t="n">
        <f aca="false">IF(B644=-1,-1,VLOOKUP(C644,$T$1:$V$20,3))</f>
        <v>5</v>
      </c>
      <c r="L644" s="16" t="n">
        <f aca="false">IF(B644=-1,-1,VLOOKUP(D644,$Y$1:$AA$22,3))</f>
        <v>20</v>
      </c>
      <c r="N644" s="10" t="str">
        <f aca="false">_xlfn.UNICHAR(((C644*21)+G644)*28+44032)</f>
        <v>떼</v>
      </c>
      <c r="O644" s="10" t="str">
        <f aca="false">_xlfn.UNICHAR(((F644*21)+D644)*28+44032)</f>
        <v>씨</v>
      </c>
      <c r="P644" s="12" t="n">
        <f aca="false">COUNTIF($A$2:$A$3000, N644) + COUNTIF($A$2:$A$3000, O644)</f>
        <v>2</v>
      </c>
      <c r="Q644" s="16" t="str">
        <f aca="false">IF(OR(B644=-1,I644=0, P644&lt;&gt;2), "albhed_dummy", _xlfn.CONCAT("albhed ", RIGHT("  " &amp; K644,2),", ", RIGHT("  " &amp; L644,2), ", " ,"""",H644,""", ", """",N644,""", ","""",O644,""""," ; ", A644))</f>
        <v>albhed  5, 20, "쎄", "떼", "씨" ; 띰</v>
      </c>
    </row>
    <row r="645" customFormat="false" ht="17.9" hidden="false" customHeight="true" outlineLevel="0" collapsed="false">
      <c r="A645" s="16" t="s">
        <v>1519</v>
      </c>
      <c r="B645" s="16" t="n">
        <f aca="false">IF(_xlfn.UNICODE(A645)&lt;44032,-1,_xlfn.UNICODE(A645)-44032)</f>
        <v>2929</v>
      </c>
      <c r="C645" s="16" t="n">
        <f aca="false">IF(B645=-1,-1,INT((B645/28)/21))</f>
        <v>4</v>
      </c>
      <c r="D645" s="16" t="n">
        <f aca="false">IF(B645=-1, -1, MOD(INT(B645/28),21))</f>
        <v>20</v>
      </c>
      <c r="E645" s="16" t="n">
        <f aca="false">IF(B645=-1, -1, VLOOKUP(MOD(B645,28), $T$24:$U$52,2))</f>
        <v>17</v>
      </c>
      <c r="F645" s="16" t="n">
        <f aca="false">IF($B645=-1, -1, VLOOKUP(C645,$T$1:$V$20, 2))</f>
        <v>10</v>
      </c>
      <c r="G645" s="16" t="n">
        <f aca="false">IF($B645=-1, -1, VLOOKUP(D645,$Y$1:$Z$22,2))</f>
        <v>5</v>
      </c>
      <c r="H645" s="16" t="str">
        <f aca="false">_xlfn.UNICHAR(((F645*21)+G645)*28+44032)</f>
        <v>쎄</v>
      </c>
      <c r="I645" s="16" t="n">
        <f aca="false">IF(B645=-1, 1, COUNTIF($A$2:$A$3000, H645))</f>
        <v>1</v>
      </c>
      <c r="J645" s="10" t="str">
        <f aca="false">_xlfn.CONCAT(A645, ",",H645,",",I645)</f>
        <v>띱,쎄,1</v>
      </c>
      <c r="K645" s="16" t="n">
        <f aca="false">IF(B645=-1,-1,VLOOKUP(C645,$T$1:$V$20,3))</f>
        <v>5</v>
      </c>
      <c r="L645" s="16" t="n">
        <f aca="false">IF(B645=-1,-1,VLOOKUP(D645,$Y$1:$AA$22,3))</f>
        <v>20</v>
      </c>
      <c r="N645" s="10" t="str">
        <f aca="false">_xlfn.UNICHAR(((C645*21)+G645)*28+44032)</f>
        <v>떼</v>
      </c>
      <c r="O645" s="10" t="str">
        <f aca="false">_xlfn.UNICHAR(((F645*21)+D645)*28+44032)</f>
        <v>씨</v>
      </c>
      <c r="P645" s="12" t="n">
        <f aca="false">COUNTIF($A$2:$A$3000, N645) + COUNTIF($A$2:$A$3000, O645)</f>
        <v>2</v>
      </c>
      <c r="Q645" s="16" t="str">
        <f aca="false">IF(OR(B645=-1,I645=0, P645&lt;&gt;2), "albhed_dummy", _xlfn.CONCAT("albhed ", RIGHT("  " &amp; K645,2),", ", RIGHT("  " &amp; L645,2), ", " ,"""",H645,""", ", """",N645,""", ","""",O645,""""," ; ", A645))</f>
        <v>albhed  5, 20, "쎄", "떼", "씨" ; 띱</v>
      </c>
    </row>
    <row r="646" customFormat="false" ht="17.9" hidden="false" customHeight="true" outlineLevel="0" collapsed="false">
      <c r="A646" s="16" t="s">
        <v>1520</v>
      </c>
      <c r="B646" s="16" t="n">
        <f aca="false">IF(_xlfn.UNICODE(A646)&lt;44032,-1,_xlfn.UNICODE(A646)-44032)</f>
        <v>2931</v>
      </c>
      <c r="C646" s="16" t="n">
        <f aca="false">IF(B646=-1,-1,INT((B646/28)/21))</f>
        <v>4</v>
      </c>
      <c r="D646" s="16" t="n">
        <f aca="false">IF(B646=-1, -1, MOD(INT(B646/28),21))</f>
        <v>20</v>
      </c>
      <c r="E646" s="16" t="n">
        <f aca="false">IF(B646=-1, -1, VLOOKUP(MOD(B646,28), $T$24:$U$52,2))</f>
        <v>19</v>
      </c>
      <c r="F646" s="16" t="n">
        <f aca="false">IF($B646=-1, -1, VLOOKUP(C646,$T$1:$V$20, 2))</f>
        <v>10</v>
      </c>
      <c r="G646" s="16" t="n">
        <f aca="false">IF($B646=-1, -1, VLOOKUP(D646,$Y$1:$Z$22,2))</f>
        <v>5</v>
      </c>
      <c r="H646" s="16" t="str">
        <f aca="false">_xlfn.UNICHAR(((F646*21)+G646)*28+44032)</f>
        <v>쎄</v>
      </c>
      <c r="I646" s="16" t="n">
        <f aca="false">IF(B646=-1, 1, COUNTIF($A$2:$A$3000, H646))</f>
        <v>1</v>
      </c>
      <c r="J646" s="10" t="str">
        <f aca="false">_xlfn.CONCAT(A646, ",",H646,",",I646)</f>
        <v>띳,쎄,1</v>
      </c>
      <c r="K646" s="16" t="n">
        <f aca="false">IF(B646=-1,-1,VLOOKUP(C646,$T$1:$V$20,3))</f>
        <v>5</v>
      </c>
      <c r="L646" s="16" t="n">
        <f aca="false">IF(B646=-1,-1,VLOOKUP(D646,$Y$1:$AA$22,3))</f>
        <v>20</v>
      </c>
      <c r="N646" s="10" t="str">
        <f aca="false">_xlfn.UNICHAR(((C646*21)+G646)*28+44032)</f>
        <v>떼</v>
      </c>
      <c r="O646" s="10" t="str">
        <f aca="false">_xlfn.UNICHAR(((F646*21)+D646)*28+44032)</f>
        <v>씨</v>
      </c>
      <c r="P646" s="12" t="n">
        <f aca="false">COUNTIF($A$2:$A$3000, N646) + COUNTIF($A$2:$A$3000, O646)</f>
        <v>2</v>
      </c>
      <c r="Q646" s="16" t="str">
        <f aca="false">IF(OR(B646=-1,I646=0, P646&lt;&gt;2), "albhed_dummy", _xlfn.CONCAT("albhed ", RIGHT("  " &amp; K646,2),", ", RIGHT("  " &amp; L646,2), ", " ,"""",H646,""", ", """",N646,""", ","""",O646,""""," ; ", A646))</f>
        <v>albhed  5, 20, "쎄", "떼", "씨" ; 띳</v>
      </c>
    </row>
    <row r="647" customFormat="false" ht="17.9" hidden="false" customHeight="true" outlineLevel="0" collapsed="false">
      <c r="A647" s="16" t="s">
        <v>1521</v>
      </c>
      <c r="B647" s="16" t="n">
        <f aca="false">IF(_xlfn.UNICODE(A647)&lt;44032,-1,_xlfn.UNICODE(A647)-44032)</f>
        <v>2933</v>
      </c>
      <c r="C647" s="16" t="n">
        <f aca="false">IF(B647=-1,-1,INT((B647/28)/21))</f>
        <v>4</v>
      </c>
      <c r="D647" s="16" t="n">
        <f aca="false">IF(B647=-1, -1, MOD(INT(B647/28),21))</f>
        <v>20</v>
      </c>
      <c r="E647" s="16" t="n">
        <f aca="false">IF(B647=-1, -1, VLOOKUP(MOD(B647,28), $T$24:$U$52,2))</f>
        <v>21</v>
      </c>
      <c r="F647" s="16" t="n">
        <f aca="false">IF($B647=-1, -1, VLOOKUP(C647,$T$1:$V$20, 2))</f>
        <v>10</v>
      </c>
      <c r="G647" s="16" t="n">
        <f aca="false">IF($B647=-1, -1, VLOOKUP(D647,$Y$1:$Z$22,2))</f>
        <v>5</v>
      </c>
      <c r="H647" s="16" t="str">
        <f aca="false">_xlfn.UNICHAR(((F647*21)+G647)*28+44032)</f>
        <v>쎄</v>
      </c>
      <c r="I647" s="16" t="n">
        <f aca="false">IF(B647=-1, 1, COUNTIF($A$2:$A$3000, H647))</f>
        <v>1</v>
      </c>
      <c r="J647" s="10" t="str">
        <f aca="false">_xlfn.CONCAT(A647, ",",H647,",",I647)</f>
        <v>띵,쎄,1</v>
      </c>
      <c r="K647" s="16" t="n">
        <f aca="false">IF(B647=-1,-1,VLOOKUP(C647,$T$1:$V$20,3))</f>
        <v>5</v>
      </c>
      <c r="L647" s="16" t="n">
        <f aca="false">IF(B647=-1,-1,VLOOKUP(D647,$Y$1:$AA$22,3))</f>
        <v>20</v>
      </c>
      <c r="N647" s="10" t="str">
        <f aca="false">_xlfn.UNICHAR(((C647*21)+G647)*28+44032)</f>
        <v>떼</v>
      </c>
      <c r="O647" s="10" t="str">
        <f aca="false">_xlfn.UNICHAR(((F647*21)+D647)*28+44032)</f>
        <v>씨</v>
      </c>
      <c r="P647" s="12" t="n">
        <f aca="false">COUNTIF($A$2:$A$3000, N647) + COUNTIF($A$2:$A$3000, O647)</f>
        <v>2</v>
      </c>
      <c r="Q647" s="16" t="str">
        <f aca="false">IF(OR(B647=-1,I647=0, P647&lt;&gt;2), "albhed_dummy", _xlfn.CONCAT("albhed ", RIGHT("  " &amp; K647,2),", ", RIGHT("  " &amp; L647,2), ", " ,"""",H647,""", ", """",N647,""", ","""",O647,""""," ; ", A647))</f>
        <v>albhed  5, 20, "쎄", "떼", "씨" ; 띵</v>
      </c>
    </row>
    <row r="648" customFormat="false" ht="17.9" hidden="false" customHeight="true" outlineLevel="0" collapsed="false">
      <c r="A648" s="16" t="s">
        <v>1522</v>
      </c>
      <c r="B648" s="16" t="n">
        <f aca="false">IF(_xlfn.UNICODE(A648)&lt;44032,-1,_xlfn.UNICODE(A648)-44032)</f>
        <v>2940</v>
      </c>
      <c r="C648" s="16" t="n">
        <f aca="false">IF(B648=-1,-1,INT((B648/28)/21))</f>
        <v>5</v>
      </c>
      <c r="D648" s="16" t="n">
        <f aca="false">IF(B648=-1, -1, MOD(INT(B648/28),21))</f>
        <v>0</v>
      </c>
      <c r="E648" s="16" t="n">
        <f aca="false">IF(B648=-1, -1, VLOOKUP(MOD(B648,28), $T$24:$U$52,2))</f>
        <v>0</v>
      </c>
      <c r="F648" s="16" t="n">
        <f aca="false">IF($B648=-1, -1, VLOOKUP(C648,$T$1:$V$20, 2))</f>
        <v>14</v>
      </c>
      <c r="G648" s="16" t="n">
        <f aca="false">IF($B648=-1, -1, VLOOKUP(D648,$Y$1:$Z$22,2))</f>
        <v>13</v>
      </c>
      <c r="H648" s="16" t="str">
        <f aca="false">_xlfn.UNICHAR(((F648*21)+G648)*28+44032)</f>
        <v>추</v>
      </c>
      <c r="I648" s="16" t="n">
        <f aca="false">IF(B648=-1, 1, COUNTIF($A$2:$A$3000, H648))</f>
        <v>1</v>
      </c>
      <c r="J648" s="10" t="str">
        <f aca="false">_xlfn.CONCAT(A648, ",",H648,",",I648)</f>
        <v>라,추,1</v>
      </c>
      <c r="K648" s="16" t="n">
        <f aca="false">IF(B648=-1,-1,VLOOKUP(C648,$T$1:$V$20,3))</f>
        <v>7</v>
      </c>
      <c r="L648" s="16" t="n">
        <f aca="false">IF(B648=-1,-1,VLOOKUP(D648,$Y$1:$AA$22,3))</f>
        <v>2</v>
      </c>
      <c r="N648" s="10" t="str">
        <f aca="false">_xlfn.UNICHAR(((C648*21)+G648)*28+44032)</f>
        <v>루</v>
      </c>
      <c r="O648" s="10" t="str">
        <f aca="false">_xlfn.UNICHAR(((F648*21)+D648)*28+44032)</f>
        <v>차</v>
      </c>
      <c r="P648" s="12" t="n">
        <f aca="false">COUNTIF($A$2:$A$3000, N648) + COUNTIF($A$2:$A$3000, O648)</f>
        <v>2</v>
      </c>
      <c r="Q648" s="16" t="str">
        <f aca="false">IF(OR(B648=-1,I648=0, P648&lt;&gt;2), "albhed_dummy", _xlfn.CONCAT("albhed ", RIGHT("  " &amp; K648,2),", ", RIGHT("  " &amp; L648,2), ", " ,"""",H648,""", ", """",N648,""", ","""",O648,""""," ; ", A648))</f>
        <v>albhed  7,  2, "추", "루", "차" ; 라</v>
      </c>
    </row>
    <row r="649" customFormat="false" ht="17.9" hidden="false" customHeight="true" outlineLevel="0" collapsed="false">
      <c r="A649" s="16" t="s">
        <v>1523</v>
      </c>
      <c r="B649" s="16" t="n">
        <f aca="false">IF(_xlfn.UNICODE(A649)&lt;44032,-1,_xlfn.UNICODE(A649)-44032)</f>
        <v>2941</v>
      </c>
      <c r="C649" s="16" t="n">
        <f aca="false">IF(B649=-1,-1,INT((B649/28)/21))</f>
        <v>5</v>
      </c>
      <c r="D649" s="16" t="n">
        <f aca="false">IF(B649=-1, -1, MOD(INT(B649/28),21))</f>
        <v>0</v>
      </c>
      <c r="E649" s="16" t="n">
        <f aca="false">IF(B649=-1, -1, VLOOKUP(MOD(B649,28), $T$24:$U$52,2))</f>
        <v>1</v>
      </c>
      <c r="F649" s="16" t="n">
        <f aca="false">IF($B649=-1, -1, VLOOKUP(C649,$T$1:$V$20, 2))</f>
        <v>14</v>
      </c>
      <c r="G649" s="16" t="n">
        <f aca="false">IF($B649=-1, -1, VLOOKUP(D649,$Y$1:$Z$22,2))</f>
        <v>13</v>
      </c>
      <c r="H649" s="16" t="str">
        <f aca="false">_xlfn.UNICHAR(((F649*21)+G649)*28+44032)</f>
        <v>추</v>
      </c>
      <c r="I649" s="16" t="n">
        <f aca="false">IF(B649=-1, 1, COUNTIF($A$2:$A$3000, H649))</f>
        <v>1</v>
      </c>
      <c r="J649" s="10" t="str">
        <f aca="false">_xlfn.CONCAT(A649, ",",H649,",",I649)</f>
        <v>락,추,1</v>
      </c>
      <c r="K649" s="16" t="n">
        <f aca="false">IF(B649=-1,-1,VLOOKUP(C649,$T$1:$V$20,3))</f>
        <v>7</v>
      </c>
      <c r="L649" s="16" t="n">
        <f aca="false">IF(B649=-1,-1,VLOOKUP(D649,$Y$1:$AA$22,3))</f>
        <v>2</v>
      </c>
      <c r="N649" s="10" t="str">
        <f aca="false">_xlfn.UNICHAR(((C649*21)+G649)*28+44032)</f>
        <v>루</v>
      </c>
      <c r="O649" s="10" t="str">
        <f aca="false">_xlfn.UNICHAR(((F649*21)+D649)*28+44032)</f>
        <v>차</v>
      </c>
      <c r="P649" s="12" t="n">
        <f aca="false">COUNTIF($A$2:$A$3000, N649) + COUNTIF($A$2:$A$3000, O649)</f>
        <v>2</v>
      </c>
      <c r="Q649" s="16" t="str">
        <f aca="false">IF(OR(B649=-1,I649=0, P649&lt;&gt;2), "albhed_dummy", _xlfn.CONCAT("albhed ", RIGHT("  " &amp; K649,2),", ", RIGHT("  " &amp; L649,2), ", " ,"""",H649,""", ", """",N649,""", ","""",O649,""""," ; ", A649))</f>
        <v>albhed  7,  2, "추", "루", "차" ; 락</v>
      </c>
    </row>
    <row r="650" customFormat="false" ht="17.9" hidden="false" customHeight="true" outlineLevel="0" collapsed="false">
      <c r="A650" s="16" t="s">
        <v>1524</v>
      </c>
      <c r="B650" s="16" t="n">
        <f aca="false">IF(_xlfn.UNICODE(A650)&lt;44032,-1,_xlfn.UNICODE(A650)-44032)</f>
        <v>2944</v>
      </c>
      <c r="C650" s="16" t="n">
        <f aca="false">IF(B650=-1,-1,INT((B650/28)/21))</f>
        <v>5</v>
      </c>
      <c r="D650" s="16" t="n">
        <f aca="false">IF(B650=-1, -1, MOD(INT(B650/28),21))</f>
        <v>0</v>
      </c>
      <c r="E650" s="16" t="n">
        <f aca="false">IF(B650=-1, -1, VLOOKUP(MOD(B650,28), $T$24:$U$52,2))</f>
        <v>4</v>
      </c>
      <c r="F650" s="16" t="n">
        <f aca="false">IF($B650=-1, -1, VLOOKUP(C650,$T$1:$V$20, 2))</f>
        <v>14</v>
      </c>
      <c r="G650" s="16" t="n">
        <f aca="false">IF($B650=-1, -1, VLOOKUP(D650,$Y$1:$Z$22,2))</f>
        <v>13</v>
      </c>
      <c r="H650" s="16" t="str">
        <f aca="false">_xlfn.UNICHAR(((F650*21)+G650)*28+44032)</f>
        <v>추</v>
      </c>
      <c r="I650" s="16" t="n">
        <f aca="false">IF(B650=-1, 1, COUNTIF($A$2:$A$3000, H650))</f>
        <v>1</v>
      </c>
      <c r="J650" s="10" t="str">
        <f aca="false">_xlfn.CONCAT(A650, ",",H650,",",I650)</f>
        <v>란,추,1</v>
      </c>
      <c r="K650" s="16" t="n">
        <f aca="false">IF(B650=-1,-1,VLOOKUP(C650,$T$1:$V$20,3))</f>
        <v>7</v>
      </c>
      <c r="L650" s="16" t="n">
        <f aca="false">IF(B650=-1,-1,VLOOKUP(D650,$Y$1:$AA$22,3))</f>
        <v>2</v>
      </c>
      <c r="N650" s="10" t="str">
        <f aca="false">_xlfn.UNICHAR(((C650*21)+G650)*28+44032)</f>
        <v>루</v>
      </c>
      <c r="O650" s="10" t="str">
        <f aca="false">_xlfn.UNICHAR(((F650*21)+D650)*28+44032)</f>
        <v>차</v>
      </c>
      <c r="P650" s="12" t="n">
        <f aca="false">COUNTIF($A$2:$A$3000, N650) + COUNTIF($A$2:$A$3000, O650)</f>
        <v>2</v>
      </c>
      <c r="Q650" s="16" t="str">
        <f aca="false">IF(OR(B650=-1,I650=0, P650&lt;&gt;2), "albhed_dummy", _xlfn.CONCAT("albhed ", RIGHT("  " &amp; K650,2),", ", RIGHT("  " &amp; L650,2), ", " ,"""",H650,""", ", """",N650,""", ","""",O650,""""," ; ", A650))</f>
        <v>albhed  7,  2, "추", "루", "차" ; 란</v>
      </c>
    </row>
    <row r="651" customFormat="false" ht="17.9" hidden="false" customHeight="true" outlineLevel="0" collapsed="false">
      <c r="A651" s="16" t="s">
        <v>1525</v>
      </c>
      <c r="B651" s="16" t="n">
        <f aca="false">IF(_xlfn.UNICODE(A651)&lt;44032,-1,_xlfn.UNICODE(A651)-44032)</f>
        <v>2948</v>
      </c>
      <c r="C651" s="16" t="n">
        <f aca="false">IF(B651=-1,-1,INT((B651/28)/21))</f>
        <v>5</v>
      </c>
      <c r="D651" s="16" t="n">
        <f aca="false">IF(B651=-1, -1, MOD(INT(B651/28),21))</f>
        <v>0</v>
      </c>
      <c r="E651" s="16" t="n">
        <f aca="false">IF(B651=-1, -1, VLOOKUP(MOD(B651,28), $T$24:$U$52,2))</f>
        <v>8</v>
      </c>
      <c r="F651" s="16" t="n">
        <f aca="false">IF($B651=-1, -1, VLOOKUP(C651,$T$1:$V$20, 2))</f>
        <v>14</v>
      </c>
      <c r="G651" s="16" t="n">
        <f aca="false">IF($B651=-1, -1, VLOOKUP(D651,$Y$1:$Z$22,2))</f>
        <v>13</v>
      </c>
      <c r="H651" s="16" t="str">
        <f aca="false">_xlfn.UNICHAR(((F651*21)+G651)*28+44032)</f>
        <v>추</v>
      </c>
      <c r="I651" s="16" t="n">
        <f aca="false">IF(B651=-1, 1, COUNTIF($A$2:$A$3000, H651))</f>
        <v>1</v>
      </c>
      <c r="J651" s="10" t="str">
        <f aca="false">_xlfn.CONCAT(A651, ",",H651,",",I651)</f>
        <v>랄,추,1</v>
      </c>
      <c r="K651" s="16" t="n">
        <f aca="false">IF(B651=-1,-1,VLOOKUP(C651,$T$1:$V$20,3))</f>
        <v>7</v>
      </c>
      <c r="L651" s="16" t="n">
        <f aca="false">IF(B651=-1,-1,VLOOKUP(D651,$Y$1:$AA$22,3))</f>
        <v>2</v>
      </c>
      <c r="N651" s="10" t="str">
        <f aca="false">_xlfn.UNICHAR(((C651*21)+G651)*28+44032)</f>
        <v>루</v>
      </c>
      <c r="O651" s="10" t="str">
        <f aca="false">_xlfn.UNICHAR(((F651*21)+D651)*28+44032)</f>
        <v>차</v>
      </c>
      <c r="P651" s="12" t="n">
        <f aca="false">COUNTIF($A$2:$A$3000, N651) + COUNTIF($A$2:$A$3000, O651)</f>
        <v>2</v>
      </c>
      <c r="Q651" s="16" t="str">
        <f aca="false">IF(OR(B651=-1,I651=0, P651&lt;&gt;2), "albhed_dummy", _xlfn.CONCAT("albhed ", RIGHT("  " &amp; K651,2),", ", RIGHT("  " &amp; L651,2), ", " ,"""",H651,""", ", """",N651,""", ","""",O651,""""," ; ", A651))</f>
        <v>albhed  7,  2, "추", "루", "차" ; 랄</v>
      </c>
    </row>
    <row r="652" customFormat="false" ht="17.9" hidden="false" customHeight="true" outlineLevel="0" collapsed="false">
      <c r="A652" s="16" t="s">
        <v>1526</v>
      </c>
      <c r="B652" s="16" t="n">
        <f aca="false">IF(_xlfn.UNICODE(A652)&lt;44032,-1,_xlfn.UNICODE(A652)-44032)</f>
        <v>2956</v>
      </c>
      <c r="C652" s="16" t="n">
        <f aca="false">IF(B652=-1,-1,INT((B652/28)/21))</f>
        <v>5</v>
      </c>
      <c r="D652" s="16" t="n">
        <f aca="false">IF(B652=-1, -1, MOD(INT(B652/28),21))</f>
        <v>0</v>
      </c>
      <c r="E652" s="16" t="n">
        <f aca="false">IF(B652=-1, -1, VLOOKUP(MOD(B652,28), $T$24:$U$52,2))</f>
        <v>16</v>
      </c>
      <c r="F652" s="16" t="n">
        <f aca="false">IF($B652=-1, -1, VLOOKUP(C652,$T$1:$V$20, 2))</f>
        <v>14</v>
      </c>
      <c r="G652" s="16" t="n">
        <f aca="false">IF($B652=-1, -1, VLOOKUP(D652,$Y$1:$Z$22,2))</f>
        <v>13</v>
      </c>
      <c r="H652" s="16" t="str">
        <f aca="false">_xlfn.UNICHAR(((F652*21)+G652)*28+44032)</f>
        <v>추</v>
      </c>
      <c r="I652" s="16" t="n">
        <f aca="false">IF(B652=-1, 1, COUNTIF($A$2:$A$3000, H652))</f>
        <v>1</v>
      </c>
      <c r="J652" s="10" t="str">
        <f aca="false">_xlfn.CONCAT(A652, ",",H652,",",I652)</f>
        <v>람,추,1</v>
      </c>
      <c r="K652" s="16" t="n">
        <f aca="false">IF(B652=-1,-1,VLOOKUP(C652,$T$1:$V$20,3))</f>
        <v>7</v>
      </c>
      <c r="L652" s="16" t="n">
        <f aca="false">IF(B652=-1,-1,VLOOKUP(D652,$Y$1:$AA$22,3))</f>
        <v>2</v>
      </c>
      <c r="N652" s="10" t="str">
        <f aca="false">_xlfn.UNICHAR(((C652*21)+G652)*28+44032)</f>
        <v>루</v>
      </c>
      <c r="O652" s="10" t="str">
        <f aca="false">_xlfn.UNICHAR(((F652*21)+D652)*28+44032)</f>
        <v>차</v>
      </c>
      <c r="P652" s="12" t="n">
        <f aca="false">COUNTIF($A$2:$A$3000, N652) + COUNTIF($A$2:$A$3000, O652)</f>
        <v>2</v>
      </c>
      <c r="Q652" s="16" t="str">
        <f aca="false">IF(OR(B652=-1,I652=0, P652&lt;&gt;2), "albhed_dummy", _xlfn.CONCAT("albhed ", RIGHT("  " &amp; K652,2),", ", RIGHT("  " &amp; L652,2), ", " ,"""",H652,""", ", """",N652,""", ","""",O652,""""," ; ", A652))</f>
        <v>albhed  7,  2, "추", "루", "차" ; 람</v>
      </c>
    </row>
    <row r="653" customFormat="false" ht="17.9" hidden="false" customHeight="true" outlineLevel="0" collapsed="false">
      <c r="A653" s="16" t="s">
        <v>1527</v>
      </c>
      <c r="B653" s="16" t="n">
        <f aca="false">IF(_xlfn.UNICODE(A653)&lt;44032,-1,_xlfn.UNICODE(A653)-44032)</f>
        <v>2957</v>
      </c>
      <c r="C653" s="16" t="n">
        <f aca="false">IF(B653=-1,-1,INT((B653/28)/21))</f>
        <v>5</v>
      </c>
      <c r="D653" s="16" t="n">
        <f aca="false">IF(B653=-1, -1, MOD(INT(B653/28),21))</f>
        <v>0</v>
      </c>
      <c r="E653" s="16" t="n">
        <f aca="false">IF(B653=-1, -1, VLOOKUP(MOD(B653,28), $T$24:$U$52,2))</f>
        <v>17</v>
      </c>
      <c r="F653" s="16" t="n">
        <f aca="false">IF($B653=-1, -1, VLOOKUP(C653,$T$1:$V$20, 2))</f>
        <v>14</v>
      </c>
      <c r="G653" s="16" t="n">
        <f aca="false">IF($B653=-1, -1, VLOOKUP(D653,$Y$1:$Z$22,2))</f>
        <v>13</v>
      </c>
      <c r="H653" s="16" t="str">
        <f aca="false">_xlfn.UNICHAR(((F653*21)+G653)*28+44032)</f>
        <v>추</v>
      </c>
      <c r="I653" s="16" t="n">
        <f aca="false">IF(B653=-1, 1, COUNTIF($A$2:$A$3000, H653))</f>
        <v>1</v>
      </c>
      <c r="J653" s="10" t="str">
        <f aca="false">_xlfn.CONCAT(A653, ",",H653,",",I653)</f>
        <v>랍,추,1</v>
      </c>
      <c r="K653" s="16" t="n">
        <f aca="false">IF(B653=-1,-1,VLOOKUP(C653,$T$1:$V$20,3))</f>
        <v>7</v>
      </c>
      <c r="L653" s="16" t="n">
        <f aca="false">IF(B653=-1,-1,VLOOKUP(D653,$Y$1:$AA$22,3))</f>
        <v>2</v>
      </c>
      <c r="N653" s="10" t="str">
        <f aca="false">_xlfn.UNICHAR(((C653*21)+G653)*28+44032)</f>
        <v>루</v>
      </c>
      <c r="O653" s="10" t="str">
        <f aca="false">_xlfn.UNICHAR(((F653*21)+D653)*28+44032)</f>
        <v>차</v>
      </c>
      <c r="P653" s="12" t="n">
        <f aca="false">COUNTIF($A$2:$A$3000, N653) + COUNTIF($A$2:$A$3000, O653)</f>
        <v>2</v>
      </c>
      <c r="Q653" s="16" t="str">
        <f aca="false">IF(OR(B653=-1,I653=0, P653&lt;&gt;2), "albhed_dummy", _xlfn.CONCAT("albhed ", RIGHT("  " &amp; K653,2),", ", RIGHT("  " &amp; L653,2), ", " ,"""",H653,""", ", """",N653,""", ","""",O653,""""," ; ", A653))</f>
        <v>albhed  7,  2, "추", "루", "차" ; 랍</v>
      </c>
    </row>
    <row r="654" customFormat="false" ht="17.9" hidden="false" customHeight="true" outlineLevel="0" collapsed="false">
      <c r="A654" s="16" t="s">
        <v>1528</v>
      </c>
      <c r="B654" s="16" t="n">
        <f aca="false">IF(_xlfn.UNICODE(A654)&lt;44032,-1,_xlfn.UNICODE(A654)-44032)</f>
        <v>2959</v>
      </c>
      <c r="C654" s="16" t="n">
        <f aca="false">IF(B654=-1,-1,INT((B654/28)/21))</f>
        <v>5</v>
      </c>
      <c r="D654" s="16" t="n">
        <f aca="false">IF(B654=-1, -1, MOD(INT(B654/28),21))</f>
        <v>0</v>
      </c>
      <c r="E654" s="16" t="n">
        <f aca="false">IF(B654=-1, -1, VLOOKUP(MOD(B654,28), $T$24:$U$52,2))</f>
        <v>19</v>
      </c>
      <c r="F654" s="16" t="n">
        <f aca="false">IF($B654=-1, -1, VLOOKUP(C654,$T$1:$V$20, 2))</f>
        <v>14</v>
      </c>
      <c r="G654" s="16" t="n">
        <f aca="false">IF($B654=-1, -1, VLOOKUP(D654,$Y$1:$Z$22,2))</f>
        <v>13</v>
      </c>
      <c r="H654" s="16" t="str">
        <f aca="false">_xlfn.UNICHAR(((F654*21)+G654)*28+44032)</f>
        <v>추</v>
      </c>
      <c r="I654" s="16" t="n">
        <f aca="false">IF(B654=-1, 1, COUNTIF($A$2:$A$3000, H654))</f>
        <v>1</v>
      </c>
      <c r="J654" s="10" t="str">
        <f aca="false">_xlfn.CONCAT(A654, ",",H654,",",I654)</f>
        <v>랏,추,1</v>
      </c>
      <c r="K654" s="16" t="n">
        <f aca="false">IF(B654=-1,-1,VLOOKUP(C654,$T$1:$V$20,3))</f>
        <v>7</v>
      </c>
      <c r="L654" s="16" t="n">
        <f aca="false">IF(B654=-1,-1,VLOOKUP(D654,$Y$1:$AA$22,3))</f>
        <v>2</v>
      </c>
      <c r="N654" s="10" t="str">
        <f aca="false">_xlfn.UNICHAR(((C654*21)+G654)*28+44032)</f>
        <v>루</v>
      </c>
      <c r="O654" s="10" t="str">
        <f aca="false">_xlfn.UNICHAR(((F654*21)+D654)*28+44032)</f>
        <v>차</v>
      </c>
      <c r="P654" s="12" t="n">
        <f aca="false">COUNTIF($A$2:$A$3000, N654) + COUNTIF($A$2:$A$3000, O654)</f>
        <v>2</v>
      </c>
      <c r="Q654" s="16" t="str">
        <f aca="false">IF(OR(B654=-1,I654=0, P654&lt;&gt;2), "albhed_dummy", _xlfn.CONCAT("albhed ", RIGHT("  " &amp; K654,2),", ", RIGHT("  " &amp; L654,2), ", " ,"""",H654,""", ", """",N654,""", ","""",O654,""""," ; ", A654))</f>
        <v>albhed  7,  2, "추", "루", "차" ; 랏</v>
      </c>
    </row>
    <row r="655" customFormat="false" ht="17.9" hidden="false" customHeight="true" outlineLevel="0" collapsed="false">
      <c r="A655" s="16" t="s">
        <v>1529</v>
      </c>
      <c r="B655" s="16" t="n">
        <f aca="false">IF(_xlfn.UNICODE(A655)&lt;44032,-1,_xlfn.UNICODE(A655)-44032)</f>
        <v>2960</v>
      </c>
      <c r="C655" s="16" t="n">
        <f aca="false">IF(B655=-1,-1,INT((B655/28)/21))</f>
        <v>5</v>
      </c>
      <c r="D655" s="16" t="n">
        <f aca="false">IF(B655=-1, -1, MOD(INT(B655/28),21))</f>
        <v>0</v>
      </c>
      <c r="E655" s="16" t="n">
        <f aca="false">IF(B655=-1, -1, VLOOKUP(MOD(B655,28), $T$24:$U$52,2))</f>
        <v>19</v>
      </c>
      <c r="F655" s="16" t="n">
        <f aca="false">IF($B655=-1, -1, VLOOKUP(C655,$T$1:$V$20, 2))</f>
        <v>14</v>
      </c>
      <c r="G655" s="16" t="n">
        <f aca="false">IF($B655=-1, -1, VLOOKUP(D655,$Y$1:$Z$22,2))</f>
        <v>13</v>
      </c>
      <c r="H655" s="16" t="str">
        <f aca="false">_xlfn.UNICHAR(((F655*21)+G655)*28+44032)</f>
        <v>추</v>
      </c>
      <c r="I655" s="16" t="n">
        <f aca="false">IF(B655=-1, 1, COUNTIF($A$2:$A$3000, H655))</f>
        <v>1</v>
      </c>
      <c r="J655" s="10" t="str">
        <f aca="false">_xlfn.CONCAT(A655, ",",H655,",",I655)</f>
        <v>랐,추,1</v>
      </c>
      <c r="K655" s="16" t="n">
        <f aca="false">IF(B655=-1,-1,VLOOKUP(C655,$T$1:$V$20,3))</f>
        <v>7</v>
      </c>
      <c r="L655" s="16" t="n">
        <f aca="false">IF(B655=-1,-1,VLOOKUP(D655,$Y$1:$AA$22,3))</f>
        <v>2</v>
      </c>
      <c r="N655" s="10" t="str">
        <f aca="false">_xlfn.UNICHAR(((C655*21)+G655)*28+44032)</f>
        <v>루</v>
      </c>
      <c r="O655" s="10" t="str">
        <f aca="false">_xlfn.UNICHAR(((F655*21)+D655)*28+44032)</f>
        <v>차</v>
      </c>
      <c r="P655" s="12" t="n">
        <f aca="false">COUNTIF($A$2:$A$3000, N655) + COUNTIF($A$2:$A$3000, O655)</f>
        <v>2</v>
      </c>
      <c r="Q655" s="16" t="str">
        <f aca="false">IF(OR(B655=-1,I655=0, P655&lt;&gt;2), "albhed_dummy", _xlfn.CONCAT("albhed ", RIGHT("  " &amp; K655,2),", ", RIGHT("  " &amp; L655,2), ", " ,"""",H655,""", ", """",N655,""", ","""",O655,""""," ; ", A655))</f>
        <v>albhed  7,  2, "추", "루", "차" ; 랐</v>
      </c>
    </row>
    <row r="656" customFormat="false" ht="17.9" hidden="false" customHeight="true" outlineLevel="0" collapsed="false">
      <c r="A656" s="16" t="s">
        <v>1530</v>
      </c>
      <c r="B656" s="16" t="n">
        <f aca="false">IF(_xlfn.UNICODE(A656)&lt;44032,-1,_xlfn.UNICODE(A656)-44032)</f>
        <v>2961</v>
      </c>
      <c r="C656" s="16" t="n">
        <f aca="false">IF(B656=-1,-1,INT((B656/28)/21))</f>
        <v>5</v>
      </c>
      <c r="D656" s="16" t="n">
        <f aca="false">IF(B656=-1, -1, MOD(INT(B656/28),21))</f>
        <v>0</v>
      </c>
      <c r="E656" s="16" t="n">
        <f aca="false">IF(B656=-1, -1, VLOOKUP(MOD(B656,28), $T$24:$U$52,2))</f>
        <v>21</v>
      </c>
      <c r="F656" s="16" t="n">
        <f aca="false">IF($B656=-1, -1, VLOOKUP(C656,$T$1:$V$20, 2))</f>
        <v>14</v>
      </c>
      <c r="G656" s="16" t="n">
        <f aca="false">IF($B656=-1, -1, VLOOKUP(D656,$Y$1:$Z$22,2))</f>
        <v>13</v>
      </c>
      <c r="H656" s="16" t="str">
        <f aca="false">_xlfn.UNICHAR(((F656*21)+G656)*28+44032)</f>
        <v>추</v>
      </c>
      <c r="I656" s="16" t="n">
        <f aca="false">IF(B656=-1, 1, COUNTIF($A$2:$A$3000, H656))</f>
        <v>1</v>
      </c>
      <c r="J656" s="10" t="str">
        <f aca="false">_xlfn.CONCAT(A656, ",",H656,",",I656)</f>
        <v>랑,추,1</v>
      </c>
      <c r="K656" s="16" t="n">
        <f aca="false">IF(B656=-1,-1,VLOOKUP(C656,$T$1:$V$20,3))</f>
        <v>7</v>
      </c>
      <c r="L656" s="16" t="n">
        <f aca="false">IF(B656=-1,-1,VLOOKUP(D656,$Y$1:$AA$22,3))</f>
        <v>2</v>
      </c>
      <c r="N656" s="10" t="str">
        <f aca="false">_xlfn.UNICHAR(((C656*21)+G656)*28+44032)</f>
        <v>루</v>
      </c>
      <c r="O656" s="10" t="str">
        <f aca="false">_xlfn.UNICHAR(((F656*21)+D656)*28+44032)</f>
        <v>차</v>
      </c>
      <c r="P656" s="12" t="n">
        <f aca="false">COUNTIF($A$2:$A$3000, N656) + COUNTIF($A$2:$A$3000, O656)</f>
        <v>2</v>
      </c>
      <c r="Q656" s="16" t="str">
        <f aca="false">IF(OR(B656=-1,I656=0, P656&lt;&gt;2), "albhed_dummy", _xlfn.CONCAT("albhed ", RIGHT("  " &amp; K656,2),", ", RIGHT("  " &amp; L656,2), ", " ,"""",H656,""", ", """",N656,""", ","""",O656,""""," ; ", A656))</f>
        <v>albhed  7,  2, "추", "루", "차" ; 랑</v>
      </c>
    </row>
    <row r="657" customFormat="false" ht="17.9" hidden="false" customHeight="true" outlineLevel="0" collapsed="false">
      <c r="A657" s="16" t="s">
        <v>1531</v>
      </c>
      <c r="B657" s="16" t="n">
        <f aca="false">IF(_xlfn.UNICODE(A657)&lt;44032,-1,_xlfn.UNICODE(A657)-44032)</f>
        <v>2962</v>
      </c>
      <c r="C657" s="16" t="n">
        <f aca="false">IF(B657=-1,-1,INT((B657/28)/21))</f>
        <v>5</v>
      </c>
      <c r="D657" s="16" t="n">
        <f aca="false">IF(B657=-1, -1, MOD(INT(B657/28),21))</f>
        <v>0</v>
      </c>
      <c r="E657" s="16" t="n">
        <f aca="false">IF(B657=-1, -1, VLOOKUP(MOD(B657,28), $T$24:$U$52,2))</f>
        <v>19</v>
      </c>
      <c r="F657" s="16" t="n">
        <f aca="false">IF($B657=-1, -1, VLOOKUP(C657,$T$1:$V$20, 2))</f>
        <v>14</v>
      </c>
      <c r="G657" s="16" t="n">
        <f aca="false">IF($B657=-1, -1, VLOOKUP(D657,$Y$1:$Z$22,2))</f>
        <v>13</v>
      </c>
      <c r="H657" s="16" t="str">
        <f aca="false">_xlfn.UNICHAR(((F657*21)+G657)*28+44032)</f>
        <v>추</v>
      </c>
      <c r="I657" s="16" t="n">
        <f aca="false">IF(B657=-1, 1, COUNTIF($A$2:$A$3000, H657))</f>
        <v>1</v>
      </c>
      <c r="J657" s="10" t="str">
        <f aca="false">_xlfn.CONCAT(A657, ",",H657,",",I657)</f>
        <v>랒,추,1</v>
      </c>
      <c r="K657" s="16" t="n">
        <f aca="false">IF(B657=-1,-1,VLOOKUP(C657,$T$1:$V$20,3))</f>
        <v>7</v>
      </c>
      <c r="L657" s="16" t="n">
        <f aca="false">IF(B657=-1,-1,VLOOKUP(D657,$Y$1:$AA$22,3))</f>
        <v>2</v>
      </c>
      <c r="N657" s="10" t="str">
        <f aca="false">_xlfn.UNICHAR(((C657*21)+G657)*28+44032)</f>
        <v>루</v>
      </c>
      <c r="O657" s="10" t="str">
        <f aca="false">_xlfn.UNICHAR(((F657*21)+D657)*28+44032)</f>
        <v>차</v>
      </c>
      <c r="P657" s="12" t="n">
        <f aca="false">COUNTIF($A$2:$A$3000, N657) + COUNTIF($A$2:$A$3000, O657)</f>
        <v>2</v>
      </c>
      <c r="Q657" s="16" t="str">
        <f aca="false">IF(OR(B657=-1,I657=0, P657&lt;&gt;2), "albhed_dummy", _xlfn.CONCAT("albhed ", RIGHT("  " &amp; K657,2),", ", RIGHT("  " &amp; L657,2), ", " ,"""",H657,""", ", """",N657,""", ","""",O657,""""," ; ", A657))</f>
        <v>albhed  7,  2, "추", "루", "차" ; 랒</v>
      </c>
    </row>
    <row r="658" customFormat="false" ht="17.9" hidden="false" customHeight="true" outlineLevel="0" collapsed="false">
      <c r="A658" s="16" t="s">
        <v>1532</v>
      </c>
      <c r="B658" s="16" t="n">
        <f aca="false">IF(_xlfn.UNICODE(A658)&lt;44032,-1,_xlfn.UNICODE(A658)-44032)</f>
        <v>2966</v>
      </c>
      <c r="C658" s="16" t="n">
        <f aca="false">IF(B658=-1,-1,INT((B658/28)/21))</f>
        <v>5</v>
      </c>
      <c r="D658" s="16" t="n">
        <f aca="false">IF(B658=-1, -1, MOD(INT(B658/28),21))</f>
        <v>0</v>
      </c>
      <c r="E658" s="16" t="n">
        <f aca="false">IF(B658=-1, -1, VLOOKUP(MOD(B658,28), $T$24:$U$52,2))</f>
        <v>17</v>
      </c>
      <c r="F658" s="16" t="n">
        <f aca="false">IF($B658=-1, -1, VLOOKUP(C658,$T$1:$V$20, 2))</f>
        <v>14</v>
      </c>
      <c r="G658" s="16" t="n">
        <f aca="false">IF($B658=-1, -1, VLOOKUP(D658,$Y$1:$Z$22,2))</f>
        <v>13</v>
      </c>
      <c r="H658" s="16" t="str">
        <f aca="false">_xlfn.UNICHAR(((F658*21)+G658)*28+44032)</f>
        <v>추</v>
      </c>
      <c r="I658" s="16" t="n">
        <f aca="false">IF(B658=-1, 1, COUNTIF($A$2:$A$3000, H658))</f>
        <v>1</v>
      </c>
      <c r="J658" s="10" t="str">
        <f aca="false">_xlfn.CONCAT(A658, ",",H658,",",I658)</f>
        <v>랖,추,1</v>
      </c>
      <c r="K658" s="16" t="n">
        <f aca="false">IF(B658=-1,-1,VLOOKUP(C658,$T$1:$V$20,3))</f>
        <v>7</v>
      </c>
      <c r="L658" s="16" t="n">
        <f aca="false">IF(B658=-1,-1,VLOOKUP(D658,$Y$1:$AA$22,3))</f>
        <v>2</v>
      </c>
      <c r="N658" s="10" t="str">
        <f aca="false">_xlfn.UNICHAR(((C658*21)+G658)*28+44032)</f>
        <v>루</v>
      </c>
      <c r="O658" s="10" t="str">
        <f aca="false">_xlfn.UNICHAR(((F658*21)+D658)*28+44032)</f>
        <v>차</v>
      </c>
      <c r="P658" s="12" t="n">
        <f aca="false">COUNTIF($A$2:$A$3000, N658) + COUNTIF($A$2:$A$3000, O658)</f>
        <v>2</v>
      </c>
      <c r="Q658" s="16" t="str">
        <f aca="false">IF(OR(B658=-1,I658=0, P658&lt;&gt;2), "albhed_dummy", _xlfn.CONCAT("albhed ", RIGHT("  " &amp; K658,2),", ", RIGHT("  " &amp; L658,2), ", " ,"""",H658,""", ", """",N658,""", ","""",O658,""""," ; ", A658))</f>
        <v>albhed  7,  2, "추", "루", "차" ; 랖</v>
      </c>
    </row>
    <row r="659" customFormat="false" ht="17.9" hidden="false" customHeight="true" outlineLevel="0" collapsed="false">
      <c r="A659" s="16" t="s">
        <v>1533</v>
      </c>
      <c r="B659" s="16" t="n">
        <f aca="false">IF(_xlfn.UNICODE(A659)&lt;44032,-1,_xlfn.UNICODE(A659)-44032)</f>
        <v>2967</v>
      </c>
      <c r="C659" s="16" t="n">
        <f aca="false">IF(B659=-1,-1,INT((B659/28)/21))</f>
        <v>5</v>
      </c>
      <c r="D659" s="16" t="n">
        <f aca="false">IF(B659=-1, -1, MOD(INT(B659/28),21))</f>
        <v>0</v>
      </c>
      <c r="E659" s="16" t="n">
        <f aca="false">IF(B659=-1, -1, VLOOKUP(MOD(B659,28), $T$24:$U$52,2))</f>
        <v>19</v>
      </c>
      <c r="F659" s="16" t="n">
        <f aca="false">IF($B659=-1, -1, VLOOKUP(C659,$T$1:$V$20, 2))</f>
        <v>14</v>
      </c>
      <c r="G659" s="16" t="n">
        <f aca="false">IF($B659=-1, -1, VLOOKUP(D659,$Y$1:$Z$22,2))</f>
        <v>13</v>
      </c>
      <c r="H659" s="16" t="str">
        <f aca="false">_xlfn.UNICHAR(((F659*21)+G659)*28+44032)</f>
        <v>추</v>
      </c>
      <c r="I659" s="16" t="n">
        <f aca="false">IF(B659=-1, 1, COUNTIF($A$2:$A$3000, H659))</f>
        <v>1</v>
      </c>
      <c r="J659" s="10" t="str">
        <f aca="false">_xlfn.CONCAT(A659, ",",H659,",",I659)</f>
        <v>랗,추,1</v>
      </c>
      <c r="K659" s="16" t="n">
        <f aca="false">IF(B659=-1,-1,VLOOKUP(C659,$T$1:$V$20,3))</f>
        <v>7</v>
      </c>
      <c r="L659" s="16" t="n">
        <f aca="false">IF(B659=-1,-1,VLOOKUP(D659,$Y$1:$AA$22,3))</f>
        <v>2</v>
      </c>
      <c r="N659" s="10" t="str">
        <f aca="false">_xlfn.UNICHAR(((C659*21)+G659)*28+44032)</f>
        <v>루</v>
      </c>
      <c r="O659" s="10" t="str">
        <f aca="false">_xlfn.UNICHAR(((F659*21)+D659)*28+44032)</f>
        <v>차</v>
      </c>
      <c r="P659" s="12" t="n">
        <f aca="false">COUNTIF($A$2:$A$3000, N659) + COUNTIF($A$2:$A$3000, O659)</f>
        <v>2</v>
      </c>
      <c r="Q659" s="16" t="str">
        <f aca="false">IF(OR(B659=-1,I659=0, P659&lt;&gt;2), "albhed_dummy", _xlfn.CONCAT("albhed ", RIGHT("  " &amp; K659,2),", ", RIGHT("  " &amp; L659,2), ", " ,"""",H659,""", ", """",N659,""", ","""",O659,""""," ; ", A659))</f>
        <v>albhed  7,  2, "추", "루", "차" ; 랗</v>
      </c>
    </row>
    <row r="660" customFormat="false" ht="17.9" hidden="false" customHeight="true" outlineLevel="0" collapsed="false">
      <c r="A660" s="16" t="s">
        <v>1534</v>
      </c>
      <c r="B660" s="16" t="n">
        <f aca="false">IF(_xlfn.UNICODE(A660)&lt;44032,-1,_xlfn.UNICODE(A660)-44032)</f>
        <v>2968</v>
      </c>
      <c r="C660" s="16" t="n">
        <f aca="false">IF(B660=-1,-1,INT((B660/28)/21))</f>
        <v>5</v>
      </c>
      <c r="D660" s="16" t="n">
        <f aca="false">IF(B660=-1, -1, MOD(INT(B660/28),21))</f>
        <v>1</v>
      </c>
      <c r="E660" s="16" t="n">
        <f aca="false">IF(B660=-1, -1, VLOOKUP(MOD(B660,28), $T$24:$U$52,2))</f>
        <v>0</v>
      </c>
      <c r="F660" s="16" t="n">
        <f aca="false">IF($B660=-1, -1, VLOOKUP(C660,$T$1:$V$20, 2))</f>
        <v>14</v>
      </c>
      <c r="G660" s="16" t="n">
        <f aca="false">IF($B660=-1, -1, VLOOKUP(D660,$Y$1:$Z$22,2))</f>
        <v>18</v>
      </c>
      <c r="H660" s="16" t="str">
        <f aca="false">_xlfn.UNICHAR(((F660*21)+G660)*28+44032)</f>
        <v>츠</v>
      </c>
      <c r="I660" s="16" t="n">
        <f aca="false">IF(B660=-1, 1, COUNTIF($A$2:$A$3000, H660))</f>
        <v>1</v>
      </c>
      <c r="J660" s="10" t="str">
        <f aca="false">_xlfn.CONCAT(A660, ",",H660,",",I660)</f>
        <v>래,츠,1</v>
      </c>
      <c r="K660" s="16" t="n">
        <f aca="false">IF(B660=-1,-1,VLOOKUP(C660,$T$1:$V$20,3))</f>
        <v>7</v>
      </c>
      <c r="L660" s="16" t="n">
        <f aca="false">IF(B660=-1,-1,VLOOKUP(D660,$Y$1:$AA$22,3))</f>
        <v>10</v>
      </c>
      <c r="N660" s="10" t="str">
        <f aca="false">_xlfn.UNICHAR(((C660*21)+G660)*28+44032)</f>
        <v>르</v>
      </c>
      <c r="O660" s="10" t="str">
        <f aca="false">_xlfn.UNICHAR(((F660*21)+D660)*28+44032)</f>
        <v>채</v>
      </c>
      <c r="P660" s="12" t="n">
        <f aca="false">COUNTIF($A$2:$A$3000, N660) + COUNTIF($A$2:$A$3000, O660)</f>
        <v>2</v>
      </c>
      <c r="Q660" s="16" t="str">
        <f aca="false">IF(OR(B660=-1,I660=0, P660&lt;&gt;2), "albhed_dummy", _xlfn.CONCAT("albhed ", RIGHT("  " &amp; K660,2),", ", RIGHT("  " &amp; L660,2), ", " ,"""",H660,""", ", """",N660,""", ","""",O660,""""," ; ", A660))</f>
        <v>albhed  7, 10, "츠", "르", "채" ; 래</v>
      </c>
    </row>
    <row r="661" customFormat="false" ht="17.9" hidden="false" customHeight="true" outlineLevel="0" collapsed="false">
      <c r="A661" s="16" t="s">
        <v>1535</v>
      </c>
      <c r="B661" s="16" t="n">
        <f aca="false">IF(_xlfn.UNICODE(A661)&lt;44032,-1,_xlfn.UNICODE(A661)-44032)</f>
        <v>2969</v>
      </c>
      <c r="C661" s="16" t="n">
        <f aca="false">IF(B661=-1,-1,INT((B661/28)/21))</f>
        <v>5</v>
      </c>
      <c r="D661" s="16" t="n">
        <f aca="false">IF(B661=-1, -1, MOD(INT(B661/28),21))</f>
        <v>1</v>
      </c>
      <c r="E661" s="16" t="n">
        <f aca="false">IF(B661=-1, -1, VLOOKUP(MOD(B661,28), $T$24:$U$52,2))</f>
        <v>1</v>
      </c>
      <c r="F661" s="16" t="n">
        <f aca="false">IF($B661=-1, -1, VLOOKUP(C661,$T$1:$V$20, 2))</f>
        <v>14</v>
      </c>
      <c r="G661" s="16" t="n">
        <f aca="false">IF($B661=-1, -1, VLOOKUP(D661,$Y$1:$Z$22,2))</f>
        <v>18</v>
      </c>
      <c r="H661" s="16" t="str">
        <f aca="false">_xlfn.UNICHAR(((F661*21)+G661)*28+44032)</f>
        <v>츠</v>
      </c>
      <c r="I661" s="16" t="n">
        <f aca="false">IF(B661=-1, 1, COUNTIF($A$2:$A$3000, H661))</f>
        <v>1</v>
      </c>
      <c r="J661" s="10" t="str">
        <f aca="false">_xlfn.CONCAT(A661, ",",H661,",",I661)</f>
        <v>랙,츠,1</v>
      </c>
      <c r="K661" s="16" t="n">
        <f aca="false">IF(B661=-1,-1,VLOOKUP(C661,$T$1:$V$20,3))</f>
        <v>7</v>
      </c>
      <c r="L661" s="16" t="n">
        <f aca="false">IF(B661=-1,-1,VLOOKUP(D661,$Y$1:$AA$22,3))</f>
        <v>10</v>
      </c>
      <c r="N661" s="10" t="str">
        <f aca="false">_xlfn.UNICHAR(((C661*21)+G661)*28+44032)</f>
        <v>르</v>
      </c>
      <c r="O661" s="10" t="str">
        <f aca="false">_xlfn.UNICHAR(((F661*21)+D661)*28+44032)</f>
        <v>채</v>
      </c>
      <c r="P661" s="12" t="n">
        <f aca="false">COUNTIF($A$2:$A$3000, N661) + COUNTIF($A$2:$A$3000, O661)</f>
        <v>2</v>
      </c>
      <c r="Q661" s="16" t="str">
        <f aca="false">IF(OR(B661=-1,I661=0, P661&lt;&gt;2), "albhed_dummy", _xlfn.CONCAT("albhed ", RIGHT("  " &amp; K661,2),", ", RIGHT("  " &amp; L661,2), ", " ,"""",H661,""", ", """",N661,""", ","""",O661,""""," ; ", A661))</f>
        <v>albhed  7, 10, "츠", "르", "채" ; 랙</v>
      </c>
    </row>
    <row r="662" customFormat="false" ht="17.9" hidden="false" customHeight="true" outlineLevel="0" collapsed="false">
      <c r="A662" s="16" t="s">
        <v>1536</v>
      </c>
      <c r="B662" s="16" t="n">
        <f aca="false">IF(_xlfn.UNICODE(A662)&lt;44032,-1,_xlfn.UNICODE(A662)-44032)</f>
        <v>2972</v>
      </c>
      <c r="C662" s="16" t="n">
        <f aca="false">IF(B662=-1,-1,INT((B662/28)/21))</f>
        <v>5</v>
      </c>
      <c r="D662" s="16" t="n">
        <f aca="false">IF(B662=-1, -1, MOD(INT(B662/28),21))</f>
        <v>1</v>
      </c>
      <c r="E662" s="16" t="n">
        <f aca="false">IF(B662=-1, -1, VLOOKUP(MOD(B662,28), $T$24:$U$52,2))</f>
        <v>4</v>
      </c>
      <c r="F662" s="16" t="n">
        <f aca="false">IF($B662=-1, -1, VLOOKUP(C662,$T$1:$V$20, 2))</f>
        <v>14</v>
      </c>
      <c r="G662" s="16" t="n">
        <f aca="false">IF($B662=-1, -1, VLOOKUP(D662,$Y$1:$Z$22,2))</f>
        <v>18</v>
      </c>
      <c r="H662" s="16" t="str">
        <f aca="false">_xlfn.UNICHAR(((F662*21)+G662)*28+44032)</f>
        <v>츠</v>
      </c>
      <c r="I662" s="16" t="n">
        <f aca="false">IF(B662=-1, 1, COUNTIF($A$2:$A$3000, H662))</f>
        <v>1</v>
      </c>
      <c r="J662" s="10" t="str">
        <f aca="false">_xlfn.CONCAT(A662, ",",H662,",",I662)</f>
        <v>랜,츠,1</v>
      </c>
      <c r="K662" s="16" t="n">
        <f aca="false">IF(B662=-1,-1,VLOOKUP(C662,$T$1:$V$20,3))</f>
        <v>7</v>
      </c>
      <c r="L662" s="16" t="n">
        <f aca="false">IF(B662=-1,-1,VLOOKUP(D662,$Y$1:$AA$22,3))</f>
        <v>10</v>
      </c>
      <c r="N662" s="10" t="str">
        <f aca="false">_xlfn.UNICHAR(((C662*21)+G662)*28+44032)</f>
        <v>르</v>
      </c>
      <c r="O662" s="10" t="str">
        <f aca="false">_xlfn.UNICHAR(((F662*21)+D662)*28+44032)</f>
        <v>채</v>
      </c>
      <c r="P662" s="12" t="n">
        <f aca="false">COUNTIF($A$2:$A$3000, N662) + COUNTIF($A$2:$A$3000, O662)</f>
        <v>2</v>
      </c>
      <c r="Q662" s="16" t="str">
        <f aca="false">IF(OR(B662=-1,I662=0, P662&lt;&gt;2), "albhed_dummy", _xlfn.CONCAT("albhed ", RIGHT("  " &amp; K662,2),", ", RIGHT("  " &amp; L662,2), ", " ,"""",H662,""", ", """",N662,""", ","""",O662,""""," ; ", A662))</f>
        <v>albhed  7, 10, "츠", "르", "채" ; 랜</v>
      </c>
    </row>
    <row r="663" customFormat="false" ht="17.9" hidden="false" customHeight="true" outlineLevel="0" collapsed="false">
      <c r="A663" s="16" t="s">
        <v>1537</v>
      </c>
      <c r="B663" s="16" t="n">
        <f aca="false">IF(_xlfn.UNICODE(A663)&lt;44032,-1,_xlfn.UNICODE(A663)-44032)</f>
        <v>2976</v>
      </c>
      <c r="C663" s="16" t="n">
        <f aca="false">IF(B663=-1,-1,INT((B663/28)/21))</f>
        <v>5</v>
      </c>
      <c r="D663" s="16" t="n">
        <f aca="false">IF(B663=-1, -1, MOD(INT(B663/28),21))</f>
        <v>1</v>
      </c>
      <c r="E663" s="16" t="n">
        <f aca="false">IF(B663=-1, -1, VLOOKUP(MOD(B663,28), $T$24:$U$52,2))</f>
        <v>8</v>
      </c>
      <c r="F663" s="16" t="n">
        <f aca="false">IF($B663=-1, -1, VLOOKUP(C663,$T$1:$V$20, 2))</f>
        <v>14</v>
      </c>
      <c r="G663" s="16" t="n">
        <f aca="false">IF($B663=-1, -1, VLOOKUP(D663,$Y$1:$Z$22,2))</f>
        <v>18</v>
      </c>
      <c r="H663" s="16" t="str">
        <f aca="false">_xlfn.UNICHAR(((F663*21)+G663)*28+44032)</f>
        <v>츠</v>
      </c>
      <c r="I663" s="16" t="n">
        <f aca="false">IF(B663=-1, 1, COUNTIF($A$2:$A$3000, H663))</f>
        <v>1</v>
      </c>
      <c r="J663" s="10" t="str">
        <f aca="false">_xlfn.CONCAT(A663, ",",H663,",",I663)</f>
        <v>랠,츠,1</v>
      </c>
      <c r="K663" s="16" t="n">
        <f aca="false">IF(B663=-1,-1,VLOOKUP(C663,$T$1:$V$20,3))</f>
        <v>7</v>
      </c>
      <c r="L663" s="16" t="n">
        <f aca="false">IF(B663=-1,-1,VLOOKUP(D663,$Y$1:$AA$22,3))</f>
        <v>10</v>
      </c>
      <c r="N663" s="10" t="str">
        <f aca="false">_xlfn.UNICHAR(((C663*21)+G663)*28+44032)</f>
        <v>르</v>
      </c>
      <c r="O663" s="10" t="str">
        <f aca="false">_xlfn.UNICHAR(((F663*21)+D663)*28+44032)</f>
        <v>채</v>
      </c>
      <c r="P663" s="12" t="n">
        <f aca="false">COUNTIF($A$2:$A$3000, N663) + COUNTIF($A$2:$A$3000, O663)</f>
        <v>2</v>
      </c>
      <c r="Q663" s="16" t="str">
        <f aca="false">IF(OR(B663=-1,I663=0, P663&lt;&gt;2), "albhed_dummy", _xlfn.CONCAT("albhed ", RIGHT("  " &amp; K663,2),", ", RIGHT("  " &amp; L663,2), ", " ,"""",H663,""", ", """",N663,""", ","""",O663,""""," ; ", A663))</f>
        <v>albhed  7, 10, "츠", "르", "채" ; 랠</v>
      </c>
    </row>
    <row r="664" customFormat="false" ht="17.9" hidden="false" customHeight="true" outlineLevel="0" collapsed="false">
      <c r="A664" s="16" t="s">
        <v>1538</v>
      </c>
      <c r="B664" s="16" t="n">
        <f aca="false">IF(_xlfn.UNICODE(A664)&lt;44032,-1,_xlfn.UNICODE(A664)-44032)</f>
        <v>2984</v>
      </c>
      <c r="C664" s="16" t="n">
        <f aca="false">IF(B664=-1,-1,INT((B664/28)/21))</f>
        <v>5</v>
      </c>
      <c r="D664" s="16" t="n">
        <f aca="false">IF(B664=-1, -1, MOD(INT(B664/28),21))</f>
        <v>1</v>
      </c>
      <c r="E664" s="16" t="n">
        <f aca="false">IF(B664=-1, -1, VLOOKUP(MOD(B664,28), $T$24:$U$52,2))</f>
        <v>16</v>
      </c>
      <c r="F664" s="16" t="n">
        <f aca="false">IF($B664=-1, -1, VLOOKUP(C664,$T$1:$V$20, 2))</f>
        <v>14</v>
      </c>
      <c r="G664" s="16" t="n">
        <f aca="false">IF($B664=-1, -1, VLOOKUP(D664,$Y$1:$Z$22,2))</f>
        <v>18</v>
      </c>
      <c r="H664" s="16" t="str">
        <f aca="false">_xlfn.UNICHAR(((F664*21)+G664)*28+44032)</f>
        <v>츠</v>
      </c>
      <c r="I664" s="16" t="n">
        <f aca="false">IF(B664=-1, 1, COUNTIF($A$2:$A$3000, H664))</f>
        <v>1</v>
      </c>
      <c r="J664" s="10" t="str">
        <f aca="false">_xlfn.CONCAT(A664, ",",H664,",",I664)</f>
        <v>램,츠,1</v>
      </c>
      <c r="K664" s="16" t="n">
        <f aca="false">IF(B664=-1,-1,VLOOKUP(C664,$T$1:$V$20,3))</f>
        <v>7</v>
      </c>
      <c r="L664" s="16" t="n">
        <f aca="false">IF(B664=-1,-1,VLOOKUP(D664,$Y$1:$AA$22,3))</f>
        <v>10</v>
      </c>
      <c r="N664" s="10" t="str">
        <f aca="false">_xlfn.UNICHAR(((C664*21)+G664)*28+44032)</f>
        <v>르</v>
      </c>
      <c r="O664" s="10" t="str">
        <f aca="false">_xlfn.UNICHAR(((F664*21)+D664)*28+44032)</f>
        <v>채</v>
      </c>
      <c r="P664" s="12" t="n">
        <f aca="false">COUNTIF($A$2:$A$3000, N664) + COUNTIF($A$2:$A$3000, O664)</f>
        <v>2</v>
      </c>
      <c r="Q664" s="16" t="str">
        <f aca="false">IF(OR(B664=-1,I664=0, P664&lt;&gt;2), "albhed_dummy", _xlfn.CONCAT("albhed ", RIGHT("  " &amp; K664,2),", ", RIGHT("  " &amp; L664,2), ", " ,"""",H664,""", ", """",N664,""", ","""",O664,""""," ; ", A664))</f>
        <v>albhed  7, 10, "츠", "르", "채" ; 램</v>
      </c>
    </row>
    <row r="665" customFormat="false" ht="17.9" hidden="false" customHeight="true" outlineLevel="0" collapsed="false">
      <c r="A665" s="16" t="s">
        <v>1539</v>
      </c>
      <c r="B665" s="16" t="n">
        <f aca="false">IF(_xlfn.UNICODE(A665)&lt;44032,-1,_xlfn.UNICODE(A665)-44032)</f>
        <v>2985</v>
      </c>
      <c r="C665" s="16" t="n">
        <f aca="false">IF(B665=-1,-1,INT((B665/28)/21))</f>
        <v>5</v>
      </c>
      <c r="D665" s="16" t="n">
        <f aca="false">IF(B665=-1, -1, MOD(INT(B665/28),21))</f>
        <v>1</v>
      </c>
      <c r="E665" s="16" t="n">
        <f aca="false">IF(B665=-1, -1, VLOOKUP(MOD(B665,28), $T$24:$U$52,2))</f>
        <v>17</v>
      </c>
      <c r="F665" s="16" t="n">
        <f aca="false">IF($B665=-1, -1, VLOOKUP(C665,$T$1:$V$20, 2))</f>
        <v>14</v>
      </c>
      <c r="G665" s="16" t="n">
        <f aca="false">IF($B665=-1, -1, VLOOKUP(D665,$Y$1:$Z$22,2))</f>
        <v>18</v>
      </c>
      <c r="H665" s="16" t="str">
        <f aca="false">_xlfn.UNICHAR(((F665*21)+G665)*28+44032)</f>
        <v>츠</v>
      </c>
      <c r="I665" s="16" t="n">
        <f aca="false">IF(B665=-1, 1, COUNTIF($A$2:$A$3000, H665))</f>
        <v>1</v>
      </c>
      <c r="J665" s="10" t="str">
        <f aca="false">_xlfn.CONCAT(A665, ",",H665,",",I665)</f>
        <v>랩,츠,1</v>
      </c>
      <c r="K665" s="16" t="n">
        <f aca="false">IF(B665=-1,-1,VLOOKUP(C665,$T$1:$V$20,3))</f>
        <v>7</v>
      </c>
      <c r="L665" s="16" t="n">
        <f aca="false">IF(B665=-1,-1,VLOOKUP(D665,$Y$1:$AA$22,3))</f>
        <v>10</v>
      </c>
      <c r="N665" s="10" t="str">
        <f aca="false">_xlfn.UNICHAR(((C665*21)+G665)*28+44032)</f>
        <v>르</v>
      </c>
      <c r="O665" s="10" t="str">
        <f aca="false">_xlfn.UNICHAR(((F665*21)+D665)*28+44032)</f>
        <v>채</v>
      </c>
      <c r="P665" s="12" t="n">
        <f aca="false">COUNTIF($A$2:$A$3000, N665) + COUNTIF($A$2:$A$3000, O665)</f>
        <v>2</v>
      </c>
      <c r="Q665" s="16" t="str">
        <f aca="false">IF(OR(B665=-1,I665=0, P665&lt;&gt;2), "albhed_dummy", _xlfn.CONCAT("albhed ", RIGHT("  " &amp; K665,2),", ", RIGHT("  " &amp; L665,2), ", " ,"""",H665,""", ", """",N665,""", ","""",O665,""""," ; ", A665))</f>
        <v>albhed  7, 10, "츠", "르", "채" ; 랩</v>
      </c>
    </row>
    <row r="666" customFormat="false" ht="17.9" hidden="false" customHeight="true" outlineLevel="0" collapsed="false">
      <c r="A666" s="16" t="s">
        <v>1540</v>
      </c>
      <c r="B666" s="16" t="n">
        <f aca="false">IF(_xlfn.UNICODE(A666)&lt;44032,-1,_xlfn.UNICODE(A666)-44032)</f>
        <v>2987</v>
      </c>
      <c r="C666" s="16" t="n">
        <f aca="false">IF(B666=-1,-1,INT((B666/28)/21))</f>
        <v>5</v>
      </c>
      <c r="D666" s="16" t="n">
        <f aca="false">IF(B666=-1, -1, MOD(INT(B666/28),21))</f>
        <v>1</v>
      </c>
      <c r="E666" s="16" t="n">
        <f aca="false">IF(B666=-1, -1, VLOOKUP(MOD(B666,28), $T$24:$U$52,2))</f>
        <v>19</v>
      </c>
      <c r="F666" s="16" t="n">
        <f aca="false">IF($B666=-1, -1, VLOOKUP(C666,$T$1:$V$20, 2))</f>
        <v>14</v>
      </c>
      <c r="G666" s="16" t="n">
        <f aca="false">IF($B666=-1, -1, VLOOKUP(D666,$Y$1:$Z$22,2))</f>
        <v>18</v>
      </c>
      <c r="H666" s="16" t="str">
        <f aca="false">_xlfn.UNICHAR(((F666*21)+G666)*28+44032)</f>
        <v>츠</v>
      </c>
      <c r="I666" s="16" t="n">
        <f aca="false">IF(B666=-1, 1, COUNTIF($A$2:$A$3000, H666))</f>
        <v>1</v>
      </c>
      <c r="J666" s="10" t="str">
        <f aca="false">_xlfn.CONCAT(A666, ",",H666,",",I666)</f>
        <v>랫,츠,1</v>
      </c>
      <c r="K666" s="16" t="n">
        <f aca="false">IF(B666=-1,-1,VLOOKUP(C666,$T$1:$V$20,3))</f>
        <v>7</v>
      </c>
      <c r="L666" s="16" t="n">
        <f aca="false">IF(B666=-1,-1,VLOOKUP(D666,$Y$1:$AA$22,3))</f>
        <v>10</v>
      </c>
      <c r="N666" s="10" t="str">
        <f aca="false">_xlfn.UNICHAR(((C666*21)+G666)*28+44032)</f>
        <v>르</v>
      </c>
      <c r="O666" s="10" t="str">
        <f aca="false">_xlfn.UNICHAR(((F666*21)+D666)*28+44032)</f>
        <v>채</v>
      </c>
      <c r="P666" s="12" t="n">
        <f aca="false">COUNTIF($A$2:$A$3000, N666) + COUNTIF($A$2:$A$3000, O666)</f>
        <v>2</v>
      </c>
      <c r="Q666" s="16" t="str">
        <f aca="false">IF(OR(B666=-1,I666=0, P666&lt;&gt;2), "albhed_dummy", _xlfn.CONCAT("albhed ", RIGHT("  " &amp; K666,2),", ", RIGHT("  " &amp; L666,2), ", " ,"""",H666,""", ", """",N666,""", ","""",O666,""""," ; ", A666))</f>
        <v>albhed  7, 10, "츠", "르", "채" ; 랫</v>
      </c>
    </row>
    <row r="667" customFormat="false" ht="17.9" hidden="false" customHeight="true" outlineLevel="0" collapsed="false">
      <c r="A667" s="16" t="s">
        <v>1541</v>
      </c>
      <c r="B667" s="16" t="n">
        <f aca="false">IF(_xlfn.UNICODE(A667)&lt;44032,-1,_xlfn.UNICODE(A667)-44032)</f>
        <v>2988</v>
      </c>
      <c r="C667" s="16" t="n">
        <f aca="false">IF(B667=-1,-1,INT((B667/28)/21))</f>
        <v>5</v>
      </c>
      <c r="D667" s="16" t="n">
        <f aca="false">IF(B667=-1, -1, MOD(INT(B667/28),21))</f>
        <v>1</v>
      </c>
      <c r="E667" s="16" t="n">
        <f aca="false">IF(B667=-1, -1, VLOOKUP(MOD(B667,28), $T$24:$U$52,2))</f>
        <v>19</v>
      </c>
      <c r="F667" s="16" t="n">
        <f aca="false">IF($B667=-1, -1, VLOOKUP(C667,$T$1:$V$20, 2))</f>
        <v>14</v>
      </c>
      <c r="G667" s="16" t="n">
        <f aca="false">IF($B667=-1, -1, VLOOKUP(D667,$Y$1:$Z$22,2))</f>
        <v>18</v>
      </c>
      <c r="H667" s="16" t="str">
        <f aca="false">_xlfn.UNICHAR(((F667*21)+G667)*28+44032)</f>
        <v>츠</v>
      </c>
      <c r="I667" s="16" t="n">
        <f aca="false">IF(B667=-1, 1, COUNTIF($A$2:$A$3000, H667))</f>
        <v>1</v>
      </c>
      <c r="J667" s="10" t="str">
        <f aca="false">_xlfn.CONCAT(A667, ",",H667,",",I667)</f>
        <v>랬,츠,1</v>
      </c>
      <c r="K667" s="16" t="n">
        <f aca="false">IF(B667=-1,-1,VLOOKUP(C667,$T$1:$V$20,3))</f>
        <v>7</v>
      </c>
      <c r="L667" s="16" t="n">
        <f aca="false">IF(B667=-1,-1,VLOOKUP(D667,$Y$1:$AA$22,3))</f>
        <v>10</v>
      </c>
      <c r="N667" s="10" t="str">
        <f aca="false">_xlfn.UNICHAR(((C667*21)+G667)*28+44032)</f>
        <v>르</v>
      </c>
      <c r="O667" s="10" t="str">
        <f aca="false">_xlfn.UNICHAR(((F667*21)+D667)*28+44032)</f>
        <v>채</v>
      </c>
      <c r="P667" s="12" t="n">
        <f aca="false">COUNTIF($A$2:$A$3000, N667) + COUNTIF($A$2:$A$3000, O667)</f>
        <v>2</v>
      </c>
      <c r="Q667" s="16" t="str">
        <f aca="false">IF(OR(B667=-1,I667=0, P667&lt;&gt;2), "albhed_dummy", _xlfn.CONCAT("albhed ", RIGHT("  " &amp; K667,2),", ", RIGHT("  " &amp; L667,2), ", " ,"""",H667,""", ", """",N667,""", ","""",O667,""""," ; ", A667))</f>
        <v>albhed  7, 10, "츠", "르", "채" ; 랬</v>
      </c>
    </row>
    <row r="668" customFormat="false" ht="17.9" hidden="false" customHeight="true" outlineLevel="0" collapsed="false">
      <c r="A668" s="16" t="s">
        <v>1542</v>
      </c>
      <c r="B668" s="16" t="n">
        <f aca="false">IF(_xlfn.UNICODE(A668)&lt;44032,-1,_xlfn.UNICODE(A668)-44032)</f>
        <v>2989</v>
      </c>
      <c r="C668" s="16" t="n">
        <f aca="false">IF(B668=-1,-1,INT((B668/28)/21))</f>
        <v>5</v>
      </c>
      <c r="D668" s="16" t="n">
        <f aca="false">IF(B668=-1, -1, MOD(INT(B668/28),21))</f>
        <v>1</v>
      </c>
      <c r="E668" s="16" t="n">
        <f aca="false">IF(B668=-1, -1, VLOOKUP(MOD(B668,28), $T$24:$U$52,2))</f>
        <v>21</v>
      </c>
      <c r="F668" s="16" t="n">
        <f aca="false">IF($B668=-1, -1, VLOOKUP(C668,$T$1:$V$20, 2))</f>
        <v>14</v>
      </c>
      <c r="G668" s="16" t="n">
        <f aca="false">IF($B668=-1, -1, VLOOKUP(D668,$Y$1:$Z$22,2))</f>
        <v>18</v>
      </c>
      <c r="H668" s="16" t="str">
        <f aca="false">_xlfn.UNICHAR(((F668*21)+G668)*28+44032)</f>
        <v>츠</v>
      </c>
      <c r="I668" s="16" t="n">
        <f aca="false">IF(B668=-1, 1, COUNTIF($A$2:$A$3000, H668))</f>
        <v>1</v>
      </c>
      <c r="J668" s="10" t="str">
        <f aca="false">_xlfn.CONCAT(A668, ",",H668,",",I668)</f>
        <v>랭,츠,1</v>
      </c>
      <c r="K668" s="16" t="n">
        <f aca="false">IF(B668=-1,-1,VLOOKUP(C668,$T$1:$V$20,3))</f>
        <v>7</v>
      </c>
      <c r="L668" s="16" t="n">
        <f aca="false">IF(B668=-1,-1,VLOOKUP(D668,$Y$1:$AA$22,3))</f>
        <v>10</v>
      </c>
      <c r="N668" s="10" t="str">
        <f aca="false">_xlfn.UNICHAR(((C668*21)+G668)*28+44032)</f>
        <v>르</v>
      </c>
      <c r="O668" s="10" t="str">
        <f aca="false">_xlfn.UNICHAR(((F668*21)+D668)*28+44032)</f>
        <v>채</v>
      </c>
      <c r="P668" s="12" t="n">
        <f aca="false">COUNTIF($A$2:$A$3000, N668) + COUNTIF($A$2:$A$3000, O668)</f>
        <v>2</v>
      </c>
      <c r="Q668" s="16" t="str">
        <f aca="false">IF(OR(B668=-1,I668=0, P668&lt;&gt;2), "albhed_dummy", _xlfn.CONCAT("albhed ", RIGHT("  " &amp; K668,2),", ", RIGHT("  " &amp; L668,2), ", " ,"""",H668,""", ", """",N668,""", ","""",O668,""""," ; ", A668))</f>
        <v>albhed  7, 10, "츠", "르", "채" ; 랭</v>
      </c>
    </row>
    <row r="669" customFormat="false" ht="17.9" hidden="false" customHeight="true" outlineLevel="0" collapsed="false">
      <c r="A669" s="16" t="s">
        <v>1543</v>
      </c>
      <c r="B669" s="16" t="n">
        <f aca="false">IF(_xlfn.UNICODE(A669)&lt;44032,-1,_xlfn.UNICODE(A669)-44032)</f>
        <v>2996</v>
      </c>
      <c r="C669" s="16" t="n">
        <f aca="false">IF(B669=-1,-1,INT((B669/28)/21))</f>
        <v>5</v>
      </c>
      <c r="D669" s="16" t="n">
        <f aca="false">IF(B669=-1, -1, MOD(INT(B669/28),21))</f>
        <v>2</v>
      </c>
      <c r="E669" s="16" t="n">
        <f aca="false">IF(B669=-1, -1, VLOOKUP(MOD(B669,28), $T$24:$U$52,2))</f>
        <v>0</v>
      </c>
      <c r="F669" s="16" t="n">
        <f aca="false">IF($B669=-1, -1, VLOOKUP(C669,$T$1:$V$20, 2))</f>
        <v>14</v>
      </c>
      <c r="G669" s="16" t="n">
        <f aca="false">IF($B669=-1, -1, VLOOKUP(D669,$Y$1:$Z$22,2))</f>
        <v>17</v>
      </c>
      <c r="H669" s="16" t="str">
        <f aca="false">_xlfn.UNICHAR(((F669*21)+G669)*28+44032)</f>
        <v>츄</v>
      </c>
      <c r="I669" s="16" t="n">
        <f aca="false">IF(B669=-1, 1, COUNTIF($A$2:$A$3000, H669))</f>
        <v>1</v>
      </c>
      <c r="J669" s="10" t="str">
        <f aca="false">_xlfn.CONCAT(A669, ",",H669,",",I669)</f>
        <v>랴,츄,1</v>
      </c>
      <c r="K669" s="16" t="n">
        <f aca="false">IF(B669=-1,-1,VLOOKUP(C669,$T$1:$V$20,3))</f>
        <v>7</v>
      </c>
      <c r="L669" s="16" t="n">
        <f aca="false">IF(B669=-1,-1,VLOOKUP(D669,$Y$1:$AA$22,3))</f>
        <v>2</v>
      </c>
      <c r="N669" s="10" t="str">
        <f aca="false">_xlfn.UNICHAR(((C669*21)+G669)*28+44032)</f>
        <v>류</v>
      </c>
      <c r="O669" s="10" t="str">
        <f aca="false">_xlfn.UNICHAR(((F669*21)+D669)*28+44032)</f>
        <v>챠</v>
      </c>
      <c r="P669" s="12" t="n">
        <f aca="false">COUNTIF($A$2:$A$3000, N669) + COUNTIF($A$2:$A$3000, O669)</f>
        <v>2</v>
      </c>
      <c r="Q669" s="16" t="str">
        <f aca="false">IF(OR(B669=-1,I669=0, P669&lt;&gt;2), "albhed_dummy", _xlfn.CONCAT("albhed ", RIGHT("  " &amp; K669,2),", ", RIGHT("  " &amp; L669,2), ", " ,"""",H669,""", ", """",N669,""", ","""",O669,""""," ; ", A669))</f>
        <v>albhed  7,  2, "츄", "류", "챠" ; 랴</v>
      </c>
    </row>
    <row r="670" customFormat="false" ht="17.9" hidden="false" customHeight="true" outlineLevel="0" collapsed="false">
      <c r="A670" s="16" t="s">
        <v>1544</v>
      </c>
      <c r="B670" s="16" t="n">
        <f aca="false">IF(_xlfn.UNICODE(A670)&lt;44032,-1,_xlfn.UNICODE(A670)-44032)</f>
        <v>2997</v>
      </c>
      <c r="C670" s="16" t="n">
        <f aca="false">IF(B670=-1,-1,INT((B670/28)/21))</f>
        <v>5</v>
      </c>
      <c r="D670" s="16" t="n">
        <f aca="false">IF(B670=-1, -1, MOD(INT(B670/28),21))</f>
        <v>2</v>
      </c>
      <c r="E670" s="16" t="n">
        <f aca="false">IF(B670=-1, -1, VLOOKUP(MOD(B670,28), $T$24:$U$52,2))</f>
        <v>1</v>
      </c>
      <c r="F670" s="16" t="n">
        <f aca="false">IF($B670=-1, -1, VLOOKUP(C670,$T$1:$V$20, 2))</f>
        <v>14</v>
      </c>
      <c r="G670" s="16" t="n">
        <f aca="false">IF($B670=-1, -1, VLOOKUP(D670,$Y$1:$Z$22,2))</f>
        <v>17</v>
      </c>
      <c r="H670" s="16" t="str">
        <f aca="false">_xlfn.UNICHAR(((F670*21)+G670)*28+44032)</f>
        <v>츄</v>
      </c>
      <c r="I670" s="16" t="n">
        <f aca="false">IF(B670=-1, 1, COUNTIF($A$2:$A$3000, H670))</f>
        <v>1</v>
      </c>
      <c r="J670" s="10" t="str">
        <f aca="false">_xlfn.CONCAT(A670, ",",H670,",",I670)</f>
        <v>략,츄,1</v>
      </c>
      <c r="K670" s="16" t="n">
        <f aca="false">IF(B670=-1,-1,VLOOKUP(C670,$T$1:$V$20,3))</f>
        <v>7</v>
      </c>
      <c r="L670" s="16" t="n">
        <f aca="false">IF(B670=-1,-1,VLOOKUP(D670,$Y$1:$AA$22,3))</f>
        <v>2</v>
      </c>
      <c r="N670" s="10" t="str">
        <f aca="false">_xlfn.UNICHAR(((C670*21)+G670)*28+44032)</f>
        <v>류</v>
      </c>
      <c r="O670" s="10" t="str">
        <f aca="false">_xlfn.UNICHAR(((F670*21)+D670)*28+44032)</f>
        <v>챠</v>
      </c>
      <c r="P670" s="12" t="n">
        <f aca="false">COUNTIF($A$2:$A$3000, N670) + COUNTIF($A$2:$A$3000, O670)</f>
        <v>2</v>
      </c>
      <c r="Q670" s="16" t="str">
        <f aca="false">IF(OR(B670=-1,I670=0, P670&lt;&gt;2), "albhed_dummy", _xlfn.CONCAT("albhed ", RIGHT("  " &amp; K670,2),", ", RIGHT("  " &amp; L670,2), ", " ,"""",H670,""", ", """",N670,""", ","""",O670,""""," ; ", A670))</f>
        <v>albhed  7,  2, "츄", "류", "챠" ; 략</v>
      </c>
    </row>
    <row r="671" customFormat="false" ht="17.9" hidden="false" customHeight="true" outlineLevel="0" collapsed="false">
      <c r="A671" s="16" t="s">
        <v>1545</v>
      </c>
      <c r="B671" s="16" t="n">
        <f aca="false">IF(_xlfn.UNICODE(A671)&lt;44032,-1,_xlfn.UNICODE(A671)-44032)</f>
        <v>3000</v>
      </c>
      <c r="C671" s="16" t="n">
        <f aca="false">IF(B671=-1,-1,INT((B671/28)/21))</f>
        <v>5</v>
      </c>
      <c r="D671" s="16" t="n">
        <f aca="false">IF(B671=-1, -1, MOD(INT(B671/28),21))</f>
        <v>2</v>
      </c>
      <c r="E671" s="16" t="n">
        <f aca="false">IF(B671=-1, -1, VLOOKUP(MOD(B671,28), $T$24:$U$52,2))</f>
        <v>4</v>
      </c>
      <c r="F671" s="16" t="n">
        <f aca="false">IF($B671=-1, -1, VLOOKUP(C671,$T$1:$V$20, 2))</f>
        <v>14</v>
      </c>
      <c r="G671" s="16" t="n">
        <f aca="false">IF($B671=-1, -1, VLOOKUP(D671,$Y$1:$Z$22,2))</f>
        <v>17</v>
      </c>
      <c r="H671" s="16" t="str">
        <f aca="false">_xlfn.UNICHAR(((F671*21)+G671)*28+44032)</f>
        <v>츄</v>
      </c>
      <c r="I671" s="16" t="n">
        <f aca="false">IF(B671=-1, 1, COUNTIF($A$2:$A$3000, H671))</f>
        <v>1</v>
      </c>
      <c r="J671" s="10" t="str">
        <f aca="false">_xlfn.CONCAT(A671, ",",H671,",",I671)</f>
        <v>랸,츄,1</v>
      </c>
      <c r="K671" s="16" t="n">
        <f aca="false">IF(B671=-1,-1,VLOOKUP(C671,$T$1:$V$20,3))</f>
        <v>7</v>
      </c>
      <c r="L671" s="16" t="n">
        <f aca="false">IF(B671=-1,-1,VLOOKUP(D671,$Y$1:$AA$22,3))</f>
        <v>2</v>
      </c>
      <c r="N671" s="10" t="str">
        <f aca="false">_xlfn.UNICHAR(((C671*21)+G671)*28+44032)</f>
        <v>류</v>
      </c>
      <c r="O671" s="10" t="str">
        <f aca="false">_xlfn.UNICHAR(((F671*21)+D671)*28+44032)</f>
        <v>챠</v>
      </c>
      <c r="P671" s="12" t="n">
        <f aca="false">COUNTIF($A$2:$A$3000, N671) + COUNTIF($A$2:$A$3000, O671)</f>
        <v>2</v>
      </c>
      <c r="Q671" s="16" t="str">
        <f aca="false">IF(OR(B671=-1,I671=0, P671&lt;&gt;2), "albhed_dummy", _xlfn.CONCAT("albhed ", RIGHT("  " &amp; K671,2),", ", RIGHT("  " &amp; L671,2), ", " ,"""",H671,""", ", """",N671,""", ","""",O671,""""," ; ", A671))</f>
        <v>albhed  7,  2, "츄", "류", "챠" ; 랸</v>
      </c>
    </row>
    <row r="672" customFormat="false" ht="17.9" hidden="false" customHeight="true" outlineLevel="0" collapsed="false">
      <c r="A672" s="16" t="s">
        <v>1546</v>
      </c>
      <c r="B672" s="16" t="n">
        <f aca="false">IF(_xlfn.UNICODE(A672)&lt;44032,-1,_xlfn.UNICODE(A672)-44032)</f>
        <v>3015</v>
      </c>
      <c r="C672" s="16" t="n">
        <f aca="false">IF(B672=-1,-1,INT((B672/28)/21))</f>
        <v>5</v>
      </c>
      <c r="D672" s="16" t="n">
        <f aca="false">IF(B672=-1, -1, MOD(INT(B672/28),21))</f>
        <v>2</v>
      </c>
      <c r="E672" s="16" t="n">
        <f aca="false">IF(B672=-1, -1, VLOOKUP(MOD(B672,28), $T$24:$U$52,2))</f>
        <v>19</v>
      </c>
      <c r="F672" s="16" t="n">
        <f aca="false">IF($B672=-1, -1, VLOOKUP(C672,$T$1:$V$20, 2))</f>
        <v>14</v>
      </c>
      <c r="G672" s="16" t="n">
        <f aca="false">IF($B672=-1, -1, VLOOKUP(D672,$Y$1:$Z$22,2))</f>
        <v>17</v>
      </c>
      <c r="H672" s="16" t="str">
        <f aca="false">_xlfn.UNICHAR(((F672*21)+G672)*28+44032)</f>
        <v>츄</v>
      </c>
      <c r="I672" s="16" t="n">
        <f aca="false">IF(B672=-1, 1, COUNTIF($A$2:$A$3000, H672))</f>
        <v>1</v>
      </c>
      <c r="J672" s="10" t="str">
        <f aca="false">_xlfn.CONCAT(A672, ",",H672,",",I672)</f>
        <v>럇,츄,1</v>
      </c>
      <c r="K672" s="16" t="n">
        <f aca="false">IF(B672=-1,-1,VLOOKUP(C672,$T$1:$V$20,3))</f>
        <v>7</v>
      </c>
      <c r="L672" s="16" t="n">
        <f aca="false">IF(B672=-1,-1,VLOOKUP(D672,$Y$1:$AA$22,3))</f>
        <v>2</v>
      </c>
      <c r="N672" s="10" t="str">
        <f aca="false">_xlfn.UNICHAR(((C672*21)+G672)*28+44032)</f>
        <v>류</v>
      </c>
      <c r="O672" s="10" t="str">
        <f aca="false">_xlfn.UNICHAR(((F672*21)+D672)*28+44032)</f>
        <v>챠</v>
      </c>
      <c r="P672" s="12" t="n">
        <f aca="false">COUNTIF($A$2:$A$3000, N672) + COUNTIF($A$2:$A$3000, O672)</f>
        <v>2</v>
      </c>
      <c r="Q672" s="16" t="str">
        <f aca="false">IF(OR(B672=-1,I672=0, P672&lt;&gt;2), "albhed_dummy", _xlfn.CONCAT("albhed ", RIGHT("  " &amp; K672,2),", ", RIGHT("  " &amp; L672,2), ", " ,"""",H672,""", ", """",N672,""", ","""",O672,""""," ; ", A672))</f>
        <v>albhed  7,  2, "츄", "류", "챠" ; 럇</v>
      </c>
    </row>
    <row r="673" customFormat="false" ht="17.9" hidden="false" customHeight="true" outlineLevel="0" collapsed="false">
      <c r="A673" s="16" t="s">
        <v>1547</v>
      </c>
      <c r="B673" s="16" t="n">
        <f aca="false">IF(_xlfn.UNICODE(A673)&lt;44032,-1,_xlfn.UNICODE(A673)-44032)</f>
        <v>3017</v>
      </c>
      <c r="C673" s="16" t="n">
        <f aca="false">IF(B673=-1,-1,INT((B673/28)/21))</f>
        <v>5</v>
      </c>
      <c r="D673" s="16" t="n">
        <f aca="false">IF(B673=-1, -1, MOD(INT(B673/28),21))</f>
        <v>2</v>
      </c>
      <c r="E673" s="16" t="n">
        <f aca="false">IF(B673=-1, -1, VLOOKUP(MOD(B673,28), $T$24:$U$52,2))</f>
        <v>21</v>
      </c>
      <c r="F673" s="16" t="n">
        <f aca="false">IF($B673=-1, -1, VLOOKUP(C673,$T$1:$V$20, 2))</f>
        <v>14</v>
      </c>
      <c r="G673" s="16" t="n">
        <f aca="false">IF($B673=-1, -1, VLOOKUP(D673,$Y$1:$Z$22,2))</f>
        <v>17</v>
      </c>
      <c r="H673" s="16" t="str">
        <f aca="false">_xlfn.UNICHAR(((F673*21)+G673)*28+44032)</f>
        <v>츄</v>
      </c>
      <c r="I673" s="16" t="n">
        <f aca="false">IF(B673=-1, 1, COUNTIF($A$2:$A$3000, H673))</f>
        <v>1</v>
      </c>
      <c r="J673" s="10" t="str">
        <f aca="false">_xlfn.CONCAT(A673, ",",H673,",",I673)</f>
        <v>량,츄,1</v>
      </c>
      <c r="K673" s="16" t="n">
        <f aca="false">IF(B673=-1,-1,VLOOKUP(C673,$T$1:$V$20,3))</f>
        <v>7</v>
      </c>
      <c r="L673" s="16" t="n">
        <f aca="false">IF(B673=-1,-1,VLOOKUP(D673,$Y$1:$AA$22,3))</f>
        <v>2</v>
      </c>
      <c r="N673" s="10" t="str">
        <f aca="false">_xlfn.UNICHAR(((C673*21)+G673)*28+44032)</f>
        <v>류</v>
      </c>
      <c r="O673" s="10" t="str">
        <f aca="false">_xlfn.UNICHAR(((F673*21)+D673)*28+44032)</f>
        <v>챠</v>
      </c>
      <c r="P673" s="12" t="n">
        <f aca="false">COUNTIF($A$2:$A$3000, N673) + COUNTIF($A$2:$A$3000, O673)</f>
        <v>2</v>
      </c>
      <c r="Q673" s="16" t="str">
        <f aca="false">IF(OR(B673=-1,I673=0, P673&lt;&gt;2), "albhed_dummy", _xlfn.CONCAT("albhed ", RIGHT("  " &amp; K673,2),", ", RIGHT("  " &amp; L673,2), ", " ,"""",H673,""", ", """",N673,""", ","""",O673,""""," ; ", A673))</f>
        <v>albhed  7,  2, "츄", "류", "챠" ; 량</v>
      </c>
    </row>
    <row r="674" customFormat="false" ht="17.9" hidden="false" customHeight="true" outlineLevel="0" collapsed="false">
      <c r="A674" s="16" t="s">
        <v>1548</v>
      </c>
      <c r="B674" s="16" t="n">
        <f aca="false">IF(_xlfn.UNICODE(A674)&lt;44032,-1,_xlfn.UNICODE(A674)-44032)</f>
        <v>3052</v>
      </c>
      <c r="C674" s="16" t="n">
        <f aca="false">IF(B674=-1,-1,INT((B674/28)/21))</f>
        <v>5</v>
      </c>
      <c r="D674" s="16" t="n">
        <f aca="false">IF(B674=-1, -1, MOD(INT(B674/28),21))</f>
        <v>4</v>
      </c>
      <c r="E674" s="16" t="n">
        <f aca="false">IF(B674=-1, -1, VLOOKUP(MOD(B674,28), $T$24:$U$52,2))</f>
        <v>0</v>
      </c>
      <c r="F674" s="16" t="n">
        <f aca="false">IF($B674=-1, -1, VLOOKUP(C674,$T$1:$V$20, 2))</f>
        <v>14</v>
      </c>
      <c r="G674" s="16" t="n">
        <f aca="false">IF($B674=-1, -1, VLOOKUP(D674,$Y$1:$Z$22,2))</f>
        <v>8</v>
      </c>
      <c r="H674" s="16" t="str">
        <f aca="false">_xlfn.UNICHAR(((F674*21)+G674)*28+44032)</f>
        <v>초</v>
      </c>
      <c r="I674" s="16" t="n">
        <f aca="false">IF(B674=-1, 1, COUNTIF($A$2:$A$3000, H674))</f>
        <v>1</v>
      </c>
      <c r="J674" s="10" t="str">
        <f aca="false">_xlfn.CONCAT(A674, ",",H674,",",I674)</f>
        <v>러,초,1</v>
      </c>
      <c r="K674" s="16" t="n">
        <f aca="false">IF(B674=-1,-1,VLOOKUP(C674,$T$1:$V$20,3))</f>
        <v>7</v>
      </c>
      <c r="L674" s="16" t="n">
        <f aca="false">IF(B674=-1,-1,VLOOKUP(D674,$Y$1:$AA$22,3))</f>
        <v>4</v>
      </c>
      <c r="N674" s="10" t="str">
        <f aca="false">_xlfn.UNICHAR(((C674*21)+G674)*28+44032)</f>
        <v>로</v>
      </c>
      <c r="O674" s="10" t="str">
        <f aca="false">_xlfn.UNICHAR(((F674*21)+D674)*28+44032)</f>
        <v>처</v>
      </c>
      <c r="P674" s="12" t="n">
        <f aca="false">COUNTIF($A$2:$A$3000, N674) + COUNTIF($A$2:$A$3000, O674)</f>
        <v>2</v>
      </c>
      <c r="Q674" s="16" t="str">
        <f aca="false">IF(OR(B674=-1,I674=0, P674&lt;&gt;2), "albhed_dummy", _xlfn.CONCAT("albhed ", RIGHT("  " &amp; K674,2),", ", RIGHT("  " &amp; L674,2), ", " ,"""",H674,""", ", """",N674,""", ","""",O674,""""," ; ", A674))</f>
        <v>albhed  7,  4, "초", "로", "처" ; 러</v>
      </c>
    </row>
    <row r="675" customFormat="false" ht="17.9" hidden="false" customHeight="true" outlineLevel="0" collapsed="false">
      <c r="A675" s="16" t="s">
        <v>1549</v>
      </c>
      <c r="B675" s="16" t="n">
        <f aca="false">IF(_xlfn.UNICODE(A675)&lt;44032,-1,_xlfn.UNICODE(A675)-44032)</f>
        <v>3053</v>
      </c>
      <c r="C675" s="16" t="n">
        <f aca="false">IF(B675=-1,-1,INT((B675/28)/21))</f>
        <v>5</v>
      </c>
      <c r="D675" s="16" t="n">
        <f aca="false">IF(B675=-1, -1, MOD(INT(B675/28),21))</f>
        <v>4</v>
      </c>
      <c r="E675" s="16" t="n">
        <f aca="false">IF(B675=-1, -1, VLOOKUP(MOD(B675,28), $T$24:$U$52,2))</f>
        <v>1</v>
      </c>
      <c r="F675" s="16" t="n">
        <f aca="false">IF($B675=-1, -1, VLOOKUP(C675,$T$1:$V$20, 2))</f>
        <v>14</v>
      </c>
      <c r="G675" s="16" t="n">
        <f aca="false">IF($B675=-1, -1, VLOOKUP(D675,$Y$1:$Z$22,2))</f>
        <v>8</v>
      </c>
      <c r="H675" s="16" t="str">
        <f aca="false">_xlfn.UNICHAR(((F675*21)+G675)*28+44032)</f>
        <v>초</v>
      </c>
      <c r="I675" s="16" t="n">
        <f aca="false">IF(B675=-1, 1, COUNTIF($A$2:$A$3000, H675))</f>
        <v>1</v>
      </c>
      <c r="J675" s="10" t="str">
        <f aca="false">_xlfn.CONCAT(A675, ",",H675,",",I675)</f>
        <v>럭,초,1</v>
      </c>
      <c r="K675" s="16" t="n">
        <f aca="false">IF(B675=-1,-1,VLOOKUP(C675,$T$1:$V$20,3))</f>
        <v>7</v>
      </c>
      <c r="L675" s="16" t="n">
        <f aca="false">IF(B675=-1,-1,VLOOKUP(D675,$Y$1:$AA$22,3))</f>
        <v>4</v>
      </c>
      <c r="N675" s="10" t="str">
        <f aca="false">_xlfn.UNICHAR(((C675*21)+G675)*28+44032)</f>
        <v>로</v>
      </c>
      <c r="O675" s="10" t="str">
        <f aca="false">_xlfn.UNICHAR(((F675*21)+D675)*28+44032)</f>
        <v>처</v>
      </c>
      <c r="P675" s="12" t="n">
        <f aca="false">COUNTIF($A$2:$A$3000, N675) + COUNTIF($A$2:$A$3000, O675)</f>
        <v>2</v>
      </c>
      <c r="Q675" s="16" t="str">
        <f aca="false">IF(OR(B675=-1,I675=0, P675&lt;&gt;2), "albhed_dummy", _xlfn.CONCAT("albhed ", RIGHT("  " &amp; K675,2),", ", RIGHT("  " &amp; L675,2), ", " ,"""",H675,""", ", """",N675,""", ","""",O675,""""," ; ", A675))</f>
        <v>albhed  7,  4, "초", "로", "처" ; 럭</v>
      </c>
    </row>
    <row r="676" customFormat="false" ht="17.9" hidden="false" customHeight="true" outlineLevel="0" collapsed="false">
      <c r="A676" s="16" t="s">
        <v>1550</v>
      </c>
      <c r="B676" s="16" t="n">
        <f aca="false">IF(_xlfn.UNICODE(A676)&lt;44032,-1,_xlfn.UNICODE(A676)-44032)</f>
        <v>3056</v>
      </c>
      <c r="C676" s="16" t="n">
        <f aca="false">IF(B676=-1,-1,INT((B676/28)/21))</f>
        <v>5</v>
      </c>
      <c r="D676" s="16" t="n">
        <f aca="false">IF(B676=-1, -1, MOD(INT(B676/28),21))</f>
        <v>4</v>
      </c>
      <c r="E676" s="16" t="n">
        <f aca="false">IF(B676=-1, -1, VLOOKUP(MOD(B676,28), $T$24:$U$52,2))</f>
        <v>4</v>
      </c>
      <c r="F676" s="16" t="n">
        <f aca="false">IF($B676=-1, -1, VLOOKUP(C676,$T$1:$V$20, 2))</f>
        <v>14</v>
      </c>
      <c r="G676" s="16" t="n">
        <f aca="false">IF($B676=-1, -1, VLOOKUP(D676,$Y$1:$Z$22,2))</f>
        <v>8</v>
      </c>
      <c r="H676" s="16" t="str">
        <f aca="false">_xlfn.UNICHAR(((F676*21)+G676)*28+44032)</f>
        <v>초</v>
      </c>
      <c r="I676" s="16" t="n">
        <f aca="false">IF(B676=-1, 1, COUNTIF($A$2:$A$3000, H676))</f>
        <v>1</v>
      </c>
      <c r="J676" s="10" t="str">
        <f aca="false">_xlfn.CONCAT(A676, ",",H676,",",I676)</f>
        <v>런,초,1</v>
      </c>
      <c r="K676" s="16" t="n">
        <f aca="false">IF(B676=-1,-1,VLOOKUP(C676,$T$1:$V$20,3))</f>
        <v>7</v>
      </c>
      <c r="L676" s="16" t="n">
        <f aca="false">IF(B676=-1,-1,VLOOKUP(D676,$Y$1:$AA$22,3))</f>
        <v>4</v>
      </c>
      <c r="N676" s="10" t="str">
        <f aca="false">_xlfn.UNICHAR(((C676*21)+G676)*28+44032)</f>
        <v>로</v>
      </c>
      <c r="O676" s="10" t="str">
        <f aca="false">_xlfn.UNICHAR(((F676*21)+D676)*28+44032)</f>
        <v>처</v>
      </c>
      <c r="P676" s="12" t="n">
        <f aca="false">COUNTIF($A$2:$A$3000, N676) + COUNTIF($A$2:$A$3000, O676)</f>
        <v>2</v>
      </c>
      <c r="Q676" s="16" t="str">
        <f aca="false">IF(OR(B676=-1,I676=0, P676&lt;&gt;2), "albhed_dummy", _xlfn.CONCAT("albhed ", RIGHT("  " &amp; K676,2),", ", RIGHT("  " &amp; L676,2), ", " ,"""",H676,""", ", """",N676,""", ","""",O676,""""," ; ", A676))</f>
        <v>albhed  7,  4, "초", "로", "처" ; 런</v>
      </c>
    </row>
    <row r="677" customFormat="false" ht="17.9" hidden="false" customHeight="true" outlineLevel="0" collapsed="false">
      <c r="A677" s="16" t="s">
        <v>1551</v>
      </c>
      <c r="B677" s="16" t="n">
        <f aca="false">IF(_xlfn.UNICODE(A677)&lt;44032,-1,_xlfn.UNICODE(A677)-44032)</f>
        <v>3060</v>
      </c>
      <c r="C677" s="16" t="n">
        <f aca="false">IF(B677=-1,-1,INT((B677/28)/21))</f>
        <v>5</v>
      </c>
      <c r="D677" s="16" t="n">
        <f aca="false">IF(B677=-1, -1, MOD(INT(B677/28),21))</f>
        <v>4</v>
      </c>
      <c r="E677" s="16" t="n">
        <f aca="false">IF(B677=-1, -1, VLOOKUP(MOD(B677,28), $T$24:$U$52,2))</f>
        <v>8</v>
      </c>
      <c r="F677" s="16" t="n">
        <f aca="false">IF($B677=-1, -1, VLOOKUP(C677,$T$1:$V$20, 2))</f>
        <v>14</v>
      </c>
      <c r="G677" s="16" t="n">
        <f aca="false">IF($B677=-1, -1, VLOOKUP(D677,$Y$1:$Z$22,2))</f>
        <v>8</v>
      </c>
      <c r="H677" s="16" t="str">
        <f aca="false">_xlfn.UNICHAR(((F677*21)+G677)*28+44032)</f>
        <v>초</v>
      </c>
      <c r="I677" s="16" t="n">
        <f aca="false">IF(B677=-1, 1, COUNTIF($A$2:$A$3000, H677))</f>
        <v>1</v>
      </c>
      <c r="J677" s="10" t="str">
        <f aca="false">_xlfn.CONCAT(A677, ",",H677,",",I677)</f>
        <v>럴,초,1</v>
      </c>
      <c r="K677" s="16" t="n">
        <f aca="false">IF(B677=-1,-1,VLOOKUP(C677,$T$1:$V$20,3))</f>
        <v>7</v>
      </c>
      <c r="L677" s="16" t="n">
        <f aca="false">IF(B677=-1,-1,VLOOKUP(D677,$Y$1:$AA$22,3))</f>
        <v>4</v>
      </c>
      <c r="N677" s="10" t="str">
        <f aca="false">_xlfn.UNICHAR(((C677*21)+G677)*28+44032)</f>
        <v>로</v>
      </c>
      <c r="O677" s="10" t="str">
        <f aca="false">_xlfn.UNICHAR(((F677*21)+D677)*28+44032)</f>
        <v>처</v>
      </c>
      <c r="P677" s="12" t="n">
        <f aca="false">COUNTIF($A$2:$A$3000, N677) + COUNTIF($A$2:$A$3000, O677)</f>
        <v>2</v>
      </c>
      <c r="Q677" s="16" t="str">
        <f aca="false">IF(OR(B677=-1,I677=0, P677&lt;&gt;2), "albhed_dummy", _xlfn.CONCAT("albhed ", RIGHT("  " &amp; K677,2),", ", RIGHT("  " &amp; L677,2), ", " ,"""",H677,""", ", """",N677,""", ","""",O677,""""," ; ", A677))</f>
        <v>albhed  7,  4, "초", "로", "처" ; 럴</v>
      </c>
    </row>
    <row r="678" customFormat="false" ht="17.9" hidden="false" customHeight="true" outlineLevel="0" collapsed="false">
      <c r="A678" s="16" t="s">
        <v>1552</v>
      </c>
      <c r="B678" s="16" t="n">
        <f aca="false">IF(_xlfn.UNICODE(A678)&lt;44032,-1,_xlfn.UNICODE(A678)-44032)</f>
        <v>3068</v>
      </c>
      <c r="C678" s="16" t="n">
        <f aca="false">IF(B678=-1,-1,INT((B678/28)/21))</f>
        <v>5</v>
      </c>
      <c r="D678" s="16" t="n">
        <f aca="false">IF(B678=-1, -1, MOD(INT(B678/28),21))</f>
        <v>4</v>
      </c>
      <c r="E678" s="16" t="n">
        <f aca="false">IF(B678=-1, -1, VLOOKUP(MOD(B678,28), $T$24:$U$52,2))</f>
        <v>16</v>
      </c>
      <c r="F678" s="16" t="n">
        <f aca="false">IF($B678=-1, -1, VLOOKUP(C678,$T$1:$V$20, 2))</f>
        <v>14</v>
      </c>
      <c r="G678" s="16" t="n">
        <f aca="false">IF($B678=-1, -1, VLOOKUP(D678,$Y$1:$Z$22,2))</f>
        <v>8</v>
      </c>
      <c r="H678" s="16" t="str">
        <f aca="false">_xlfn.UNICHAR(((F678*21)+G678)*28+44032)</f>
        <v>초</v>
      </c>
      <c r="I678" s="16" t="n">
        <f aca="false">IF(B678=-1, 1, COUNTIF($A$2:$A$3000, H678))</f>
        <v>1</v>
      </c>
      <c r="J678" s="10" t="str">
        <f aca="false">_xlfn.CONCAT(A678, ",",H678,",",I678)</f>
        <v>럼,초,1</v>
      </c>
      <c r="K678" s="16" t="n">
        <f aca="false">IF(B678=-1,-1,VLOOKUP(C678,$T$1:$V$20,3))</f>
        <v>7</v>
      </c>
      <c r="L678" s="16" t="n">
        <f aca="false">IF(B678=-1,-1,VLOOKUP(D678,$Y$1:$AA$22,3))</f>
        <v>4</v>
      </c>
      <c r="N678" s="10" t="str">
        <f aca="false">_xlfn.UNICHAR(((C678*21)+G678)*28+44032)</f>
        <v>로</v>
      </c>
      <c r="O678" s="10" t="str">
        <f aca="false">_xlfn.UNICHAR(((F678*21)+D678)*28+44032)</f>
        <v>처</v>
      </c>
      <c r="P678" s="12" t="n">
        <f aca="false">COUNTIF($A$2:$A$3000, N678) + COUNTIF($A$2:$A$3000, O678)</f>
        <v>2</v>
      </c>
      <c r="Q678" s="16" t="str">
        <f aca="false">IF(OR(B678=-1,I678=0, P678&lt;&gt;2), "albhed_dummy", _xlfn.CONCAT("albhed ", RIGHT("  " &amp; K678,2),", ", RIGHT("  " &amp; L678,2), ", " ,"""",H678,""", ", """",N678,""", ","""",O678,""""," ; ", A678))</f>
        <v>albhed  7,  4, "초", "로", "처" ; 럼</v>
      </c>
    </row>
    <row r="679" customFormat="false" ht="17.9" hidden="false" customHeight="true" outlineLevel="0" collapsed="false">
      <c r="A679" s="16" t="s">
        <v>1553</v>
      </c>
      <c r="B679" s="16" t="n">
        <f aca="false">IF(_xlfn.UNICODE(A679)&lt;44032,-1,_xlfn.UNICODE(A679)-44032)</f>
        <v>3069</v>
      </c>
      <c r="C679" s="16" t="n">
        <f aca="false">IF(B679=-1,-1,INT((B679/28)/21))</f>
        <v>5</v>
      </c>
      <c r="D679" s="16" t="n">
        <f aca="false">IF(B679=-1, -1, MOD(INT(B679/28),21))</f>
        <v>4</v>
      </c>
      <c r="E679" s="16" t="n">
        <f aca="false">IF(B679=-1, -1, VLOOKUP(MOD(B679,28), $T$24:$U$52,2))</f>
        <v>17</v>
      </c>
      <c r="F679" s="16" t="n">
        <f aca="false">IF($B679=-1, -1, VLOOKUP(C679,$T$1:$V$20, 2))</f>
        <v>14</v>
      </c>
      <c r="G679" s="16" t="n">
        <f aca="false">IF($B679=-1, -1, VLOOKUP(D679,$Y$1:$Z$22,2))</f>
        <v>8</v>
      </c>
      <c r="H679" s="16" t="str">
        <f aca="false">_xlfn.UNICHAR(((F679*21)+G679)*28+44032)</f>
        <v>초</v>
      </c>
      <c r="I679" s="16" t="n">
        <f aca="false">IF(B679=-1, 1, COUNTIF($A$2:$A$3000, H679))</f>
        <v>1</v>
      </c>
      <c r="J679" s="10" t="str">
        <f aca="false">_xlfn.CONCAT(A679, ",",H679,",",I679)</f>
        <v>럽,초,1</v>
      </c>
      <c r="K679" s="16" t="n">
        <f aca="false">IF(B679=-1,-1,VLOOKUP(C679,$T$1:$V$20,3))</f>
        <v>7</v>
      </c>
      <c r="L679" s="16" t="n">
        <f aca="false">IF(B679=-1,-1,VLOOKUP(D679,$Y$1:$AA$22,3))</f>
        <v>4</v>
      </c>
      <c r="N679" s="10" t="str">
        <f aca="false">_xlfn.UNICHAR(((C679*21)+G679)*28+44032)</f>
        <v>로</v>
      </c>
      <c r="O679" s="10" t="str">
        <f aca="false">_xlfn.UNICHAR(((F679*21)+D679)*28+44032)</f>
        <v>처</v>
      </c>
      <c r="P679" s="12" t="n">
        <f aca="false">COUNTIF($A$2:$A$3000, N679) + COUNTIF($A$2:$A$3000, O679)</f>
        <v>2</v>
      </c>
      <c r="Q679" s="16" t="str">
        <f aca="false">IF(OR(B679=-1,I679=0, P679&lt;&gt;2), "albhed_dummy", _xlfn.CONCAT("albhed ", RIGHT("  " &amp; K679,2),", ", RIGHT("  " &amp; L679,2), ", " ,"""",H679,""", ", """",N679,""", ","""",O679,""""," ; ", A679))</f>
        <v>albhed  7,  4, "초", "로", "처" ; 럽</v>
      </c>
    </row>
    <row r="680" customFormat="false" ht="17.9" hidden="false" customHeight="true" outlineLevel="0" collapsed="false">
      <c r="A680" s="16" t="s">
        <v>1554</v>
      </c>
      <c r="B680" s="16" t="n">
        <f aca="false">IF(_xlfn.UNICODE(A680)&lt;44032,-1,_xlfn.UNICODE(A680)-44032)</f>
        <v>3071</v>
      </c>
      <c r="C680" s="16" t="n">
        <f aca="false">IF(B680=-1,-1,INT((B680/28)/21))</f>
        <v>5</v>
      </c>
      <c r="D680" s="16" t="n">
        <f aca="false">IF(B680=-1, -1, MOD(INT(B680/28),21))</f>
        <v>4</v>
      </c>
      <c r="E680" s="16" t="n">
        <f aca="false">IF(B680=-1, -1, VLOOKUP(MOD(B680,28), $T$24:$U$52,2))</f>
        <v>19</v>
      </c>
      <c r="F680" s="16" t="n">
        <f aca="false">IF($B680=-1, -1, VLOOKUP(C680,$T$1:$V$20, 2))</f>
        <v>14</v>
      </c>
      <c r="G680" s="16" t="n">
        <f aca="false">IF($B680=-1, -1, VLOOKUP(D680,$Y$1:$Z$22,2))</f>
        <v>8</v>
      </c>
      <c r="H680" s="16" t="str">
        <f aca="false">_xlfn.UNICHAR(((F680*21)+G680)*28+44032)</f>
        <v>초</v>
      </c>
      <c r="I680" s="16" t="n">
        <f aca="false">IF(B680=-1, 1, COUNTIF($A$2:$A$3000, H680))</f>
        <v>1</v>
      </c>
      <c r="J680" s="10" t="str">
        <f aca="false">_xlfn.CONCAT(A680, ",",H680,",",I680)</f>
        <v>럿,초,1</v>
      </c>
      <c r="K680" s="16" t="n">
        <f aca="false">IF(B680=-1,-1,VLOOKUP(C680,$T$1:$V$20,3))</f>
        <v>7</v>
      </c>
      <c r="L680" s="16" t="n">
        <f aca="false">IF(B680=-1,-1,VLOOKUP(D680,$Y$1:$AA$22,3))</f>
        <v>4</v>
      </c>
      <c r="N680" s="10" t="str">
        <f aca="false">_xlfn.UNICHAR(((C680*21)+G680)*28+44032)</f>
        <v>로</v>
      </c>
      <c r="O680" s="10" t="str">
        <f aca="false">_xlfn.UNICHAR(((F680*21)+D680)*28+44032)</f>
        <v>처</v>
      </c>
      <c r="P680" s="12" t="n">
        <f aca="false">COUNTIF($A$2:$A$3000, N680) + COUNTIF($A$2:$A$3000, O680)</f>
        <v>2</v>
      </c>
      <c r="Q680" s="16" t="str">
        <f aca="false">IF(OR(B680=-1,I680=0, P680&lt;&gt;2), "albhed_dummy", _xlfn.CONCAT("albhed ", RIGHT("  " &amp; K680,2),", ", RIGHT("  " &amp; L680,2), ", " ,"""",H680,""", ", """",N680,""", ","""",O680,""""," ; ", A680))</f>
        <v>albhed  7,  4, "초", "로", "처" ; 럿</v>
      </c>
    </row>
    <row r="681" customFormat="false" ht="17.9" hidden="false" customHeight="true" outlineLevel="0" collapsed="false">
      <c r="A681" s="16" t="s">
        <v>1555</v>
      </c>
      <c r="B681" s="16" t="n">
        <f aca="false">IF(_xlfn.UNICODE(A681)&lt;44032,-1,_xlfn.UNICODE(A681)-44032)</f>
        <v>3072</v>
      </c>
      <c r="C681" s="16" t="n">
        <f aca="false">IF(B681=-1,-1,INT((B681/28)/21))</f>
        <v>5</v>
      </c>
      <c r="D681" s="16" t="n">
        <f aca="false">IF(B681=-1, -1, MOD(INT(B681/28),21))</f>
        <v>4</v>
      </c>
      <c r="E681" s="16" t="n">
        <f aca="false">IF(B681=-1, -1, VLOOKUP(MOD(B681,28), $T$24:$U$52,2))</f>
        <v>19</v>
      </c>
      <c r="F681" s="16" t="n">
        <f aca="false">IF($B681=-1, -1, VLOOKUP(C681,$T$1:$V$20, 2))</f>
        <v>14</v>
      </c>
      <c r="G681" s="16" t="n">
        <f aca="false">IF($B681=-1, -1, VLOOKUP(D681,$Y$1:$Z$22,2))</f>
        <v>8</v>
      </c>
      <c r="H681" s="16" t="str">
        <f aca="false">_xlfn.UNICHAR(((F681*21)+G681)*28+44032)</f>
        <v>초</v>
      </c>
      <c r="I681" s="16" t="n">
        <f aca="false">IF(B681=-1, 1, COUNTIF($A$2:$A$3000, H681))</f>
        <v>1</v>
      </c>
      <c r="J681" s="10" t="str">
        <f aca="false">_xlfn.CONCAT(A681, ",",H681,",",I681)</f>
        <v>렀,초,1</v>
      </c>
      <c r="K681" s="16" t="n">
        <f aca="false">IF(B681=-1,-1,VLOOKUP(C681,$T$1:$V$20,3))</f>
        <v>7</v>
      </c>
      <c r="L681" s="16" t="n">
        <f aca="false">IF(B681=-1,-1,VLOOKUP(D681,$Y$1:$AA$22,3))</f>
        <v>4</v>
      </c>
      <c r="N681" s="10" t="str">
        <f aca="false">_xlfn.UNICHAR(((C681*21)+G681)*28+44032)</f>
        <v>로</v>
      </c>
      <c r="O681" s="10" t="str">
        <f aca="false">_xlfn.UNICHAR(((F681*21)+D681)*28+44032)</f>
        <v>처</v>
      </c>
      <c r="P681" s="12" t="n">
        <f aca="false">COUNTIF($A$2:$A$3000, N681) + COUNTIF($A$2:$A$3000, O681)</f>
        <v>2</v>
      </c>
      <c r="Q681" s="16" t="str">
        <f aca="false">IF(OR(B681=-1,I681=0, P681&lt;&gt;2), "albhed_dummy", _xlfn.CONCAT("albhed ", RIGHT("  " &amp; K681,2),", ", RIGHT("  " &amp; L681,2), ", " ,"""",H681,""", ", """",N681,""", ","""",O681,""""," ; ", A681))</f>
        <v>albhed  7,  4, "초", "로", "처" ; 렀</v>
      </c>
    </row>
    <row r="682" customFormat="false" ht="17.9" hidden="false" customHeight="true" outlineLevel="0" collapsed="false">
      <c r="A682" s="16" t="s">
        <v>1556</v>
      </c>
      <c r="B682" s="16" t="n">
        <f aca="false">IF(_xlfn.UNICODE(A682)&lt;44032,-1,_xlfn.UNICODE(A682)-44032)</f>
        <v>3073</v>
      </c>
      <c r="C682" s="16" t="n">
        <f aca="false">IF(B682=-1,-1,INT((B682/28)/21))</f>
        <v>5</v>
      </c>
      <c r="D682" s="16" t="n">
        <f aca="false">IF(B682=-1, -1, MOD(INT(B682/28),21))</f>
        <v>4</v>
      </c>
      <c r="E682" s="16" t="n">
        <f aca="false">IF(B682=-1, -1, VLOOKUP(MOD(B682,28), $T$24:$U$52,2))</f>
        <v>21</v>
      </c>
      <c r="F682" s="16" t="n">
        <f aca="false">IF($B682=-1, -1, VLOOKUP(C682,$T$1:$V$20, 2))</f>
        <v>14</v>
      </c>
      <c r="G682" s="16" t="n">
        <f aca="false">IF($B682=-1, -1, VLOOKUP(D682,$Y$1:$Z$22,2))</f>
        <v>8</v>
      </c>
      <c r="H682" s="16" t="str">
        <f aca="false">_xlfn.UNICHAR(((F682*21)+G682)*28+44032)</f>
        <v>초</v>
      </c>
      <c r="I682" s="16" t="n">
        <f aca="false">IF(B682=-1, 1, COUNTIF($A$2:$A$3000, H682))</f>
        <v>1</v>
      </c>
      <c r="J682" s="10" t="str">
        <f aca="false">_xlfn.CONCAT(A682, ",",H682,",",I682)</f>
        <v>렁,초,1</v>
      </c>
      <c r="K682" s="16" t="n">
        <f aca="false">IF(B682=-1,-1,VLOOKUP(C682,$T$1:$V$20,3))</f>
        <v>7</v>
      </c>
      <c r="L682" s="16" t="n">
        <f aca="false">IF(B682=-1,-1,VLOOKUP(D682,$Y$1:$AA$22,3))</f>
        <v>4</v>
      </c>
      <c r="N682" s="10" t="str">
        <f aca="false">_xlfn.UNICHAR(((C682*21)+G682)*28+44032)</f>
        <v>로</v>
      </c>
      <c r="O682" s="10" t="str">
        <f aca="false">_xlfn.UNICHAR(((F682*21)+D682)*28+44032)</f>
        <v>처</v>
      </c>
      <c r="P682" s="12" t="n">
        <f aca="false">COUNTIF($A$2:$A$3000, N682) + COUNTIF($A$2:$A$3000, O682)</f>
        <v>2</v>
      </c>
      <c r="Q682" s="16" t="str">
        <f aca="false">IF(OR(B682=-1,I682=0, P682&lt;&gt;2), "albhed_dummy", _xlfn.CONCAT("albhed ", RIGHT("  " &amp; K682,2),", ", RIGHT("  " &amp; L682,2), ", " ,"""",H682,""", ", """",N682,""", ","""",O682,""""," ; ", A682))</f>
        <v>albhed  7,  4, "초", "로", "처" ; 렁</v>
      </c>
    </row>
    <row r="683" customFormat="false" ht="17.9" hidden="false" customHeight="true" outlineLevel="0" collapsed="false">
      <c r="A683" s="16" t="s">
        <v>1557</v>
      </c>
      <c r="B683" s="16" t="n">
        <f aca="false">IF(_xlfn.UNICODE(A683)&lt;44032,-1,_xlfn.UNICODE(A683)-44032)</f>
        <v>3079</v>
      </c>
      <c r="C683" s="16" t="n">
        <f aca="false">IF(B683=-1,-1,INT((B683/28)/21))</f>
        <v>5</v>
      </c>
      <c r="D683" s="16" t="n">
        <f aca="false">IF(B683=-1, -1, MOD(INT(B683/28),21))</f>
        <v>4</v>
      </c>
      <c r="E683" s="16" t="n">
        <f aca="false">IF(B683=-1, -1, VLOOKUP(MOD(B683,28), $T$24:$U$52,2))</f>
        <v>19</v>
      </c>
      <c r="F683" s="16" t="n">
        <f aca="false">IF($B683=-1, -1, VLOOKUP(C683,$T$1:$V$20, 2))</f>
        <v>14</v>
      </c>
      <c r="G683" s="16" t="n">
        <f aca="false">IF($B683=-1, -1, VLOOKUP(D683,$Y$1:$Z$22,2))</f>
        <v>8</v>
      </c>
      <c r="H683" s="16" t="str">
        <f aca="false">_xlfn.UNICHAR(((F683*21)+G683)*28+44032)</f>
        <v>초</v>
      </c>
      <c r="I683" s="16" t="n">
        <f aca="false">IF(B683=-1, 1, COUNTIF($A$2:$A$3000, H683))</f>
        <v>1</v>
      </c>
      <c r="J683" s="10" t="str">
        <f aca="false">_xlfn.CONCAT(A683, ",",H683,",",I683)</f>
        <v>렇,초,1</v>
      </c>
      <c r="K683" s="16" t="n">
        <f aca="false">IF(B683=-1,-1,VLOOKUP(C683,$T$1:$V$20,3))</f>
        <v>7</v>
      </c>
      <c r="L683" s="16" t="n">
        <f aca="false">IF(B683=-1,-1,VLOOKUP(D683,$Y$1:$AA$22,3))</f>
        <v>4</v>
      </c>
      <c r="N683" s="10" t="str">
        <f aca="false">_xlfn.UNICHAR(((C683*21)+G683)*28+44032)</f>
        <v>로</v>
      </c>
      <c r="O683" s="10" t="str">
        <f aca="false">_xlfn.UNICHAR(((F683*21)+D683)*28+44032)</f>
        <v>처</v>
      </c>
      <c r="P683" s="12" t="n">
        <f aca="false">COUNTIF($A$2:$A$3000, N683) + COUNTIF($A$2:$A$3000, O683)</f>
        <v>2</v>
      </c>
      <c r="Q683" s="16" t="str">
        <f aca="false">IF(OR(B683=-1,I683=0, P683&lt;&gt;2), "albhed_dummy", _xlfn.CONCAT("albhed ", RIGHT("  " &amp; K683,2),", ", RIGHT("  " &amp; L683,2), ", " ,"""",H683,""", ", """",N683,""", ","""",O683,""""," ; ", A683))</f>
        <v>albhed  7,  4, "초", "로", "처" ; 렇</v>
      </c>
    </row>
    <row r="684" customFormat="false" ht="17.9" hidden="false" customHeight="true" outlineLevel="0" collapsed="false">
      <c r="A684" s="16" t="s">
        <v>1558</v>
      </c>
      <c r="B684" s="16" t="n">
        <f aca="false">IF(_xlfn.UNICODE(A684)&lt;44032,-1,_xlfn.UNICODE(A684)-44032)</f>
        <v>3080</v>
      </c>
      <c r="C684" s="16" t="n">
        <f aca="false">IF(B684=-1,-1,INT((B684/28)/21))</f>
        <v>5</v>
      </c>
      <c r="D684" s="16" t="n">
        <f aca="false">IF(B684=-1, -1, MOD(INT(B684/28),21))</f>
        <v>5</v>
      </c>
      <c r="E684" s="16" t="n">
        <f aca="false">IF(B684=-1, -1, VLOOKUP(MOD(B684,28), $T$24:$U$52,2))</f>
        <v>0</v>
      </c>
      <c r="F684" s="16" t="n">
        <f aca="false">IF($B684=-1, -1, VLOOKUP(C684,$T$1:$V$20, 2))</f>
        <v>14</v>
      </c>
      <c r="G684" s="16" t="n">
        <f aca="false">IF($B684=-1, -1, VLOOKUP(D684,$Y$1:$Z$22,2))</f>
        <v>18</v>
      </c>
      <c r="H684" s="16" t="str">
        <f aca="false">_xlfn.UNICHAR(((F684*21)+G684)*28+44032)</f>
        <v>츠</v>
      </c>
      <c r="I684" s="16" t="n">
        <f aca="false">IF(B684=-1, 1, COUNTIF($A$2:$A$3000, H684))</f>
        <v>1</v>
      </c>
      <c r="J684" s="10" t="str">
        <f aca="false">_xlfn.CONCAT(A684, ",",H684,",",I684)</f>
        <v>레,츠,1</v>
      </c>
      <c r="K684" s="16" t="n">
        <f aca="false">IF(B684=-1,-1,VLOOKUP(C684,$T$1:$V$20,3))</f>
        <v>7</v>
      </c>
      <c r="L684" s="16" t="n">
        <f aca="false">IF(B684=-1,-1,VLOOKUP(D684,$Y$1:$AA$22,3))</f>
        <v>10</v>
      </c>
      <c r="N684" s="10" t="str">
        <f aca="false">_xlfn.UNICHAR(((C684*21)+G684)*28+44032)</f>
        <v>르</v>
      </c>
      <c r="O684" s="10" t="str">
        <f aca="false">_xlfn.UNICHAR(((F684*21)+D684)*28+44032)</f>
        <v>체</v>
      </c>
      <c r="P684" s="12" t="n">
        <f aca="false">COUNTIF($A$2:$A$3000, N684) + COUNTIF($A$2:$A$3000, O684)</f>
        <v>2</v>
      </c>
      <c r="Q684" s="16" t="str">
        <f aca="false">IF(OR(B684=-1,I684=0, P684&lt;&gt;2), "albhed_dummy", _xlfn.CONCAT("albhed ", RIGHT("  " &amp; K684,2),", ", RIGHT("  " &amp; L684,2), ", " ,"""",H684,""", ", """",N684,""", ","""",O684,""""," ; ", A684))</f>
        <v>albhed  7, 10, "츠", "르", "체" ; 레</v>
      </c>
    </row>
    <row r="685" customFormat="false" ht="17.9" hidden="false" customHeight="true" outlineLevel="0" collapsed="false">
      <c r="A685" s="16" t="s">
        <v>1559</v>
      </c>
      <c r="B685" s="16" t="n">
        <f aca="false">IF(_xlfn.UNICODE(A685)&lt;44032,-1,_xlfn.UNICODE(A685)-44032)</f>
        <v>3081</v>
      </c>
      <c r="C685" s="16" t="n">
        <f aca="false">IF(B685=-1,-1,INT((B685/28)/21))</f>
        <v>5</v>
      </c>
      <c r="D685" s="16" t="n">
        <f aca="false">IF(B685=-1, -1, MOD(INT(B685/28),21))</f>
        <v>5</v>
      </c>
      <c r="E685" s="16" t="n">
        <f aca="false">IF(B685=-1, -1, VLOOKUP(MOD(B685,28), $T$24:$U$52,2))</f>
        <v>1</v>
      </c>
      <c r="F685" s="16" t="n">
        <f aca="false">IF($B685=-1, -1, VLOOKUP(C685,$T$1:$V$20, 2))</f>
        <v>14</v>
      </c>
      <c r="G685" s="16" t="n">
        <f aca="false">IF($B685=-1, -1, VLOOKUP(D685,$Y$1:$Z$22,2))</f>
        <v>18</v>
      </c>
      <c r="H685" s="16" t="str">
        <f aca="false">_xlfn.UNICHAR(((F685*21)+G685)*28+44032)</f>
        <v>츠</v>
      </c>
      <c r="I685" s="16" t="n">
        <f aca="false">IF(B685=-1, 1, COUNTIF($A$2:$A$3000, H685))</f>
        <v>1</v>
      </c>
      <c r="J685" s="10" t="str">
        <f aca="false">_xlfn.CONCAT(A685, ",",H685,",",I685)</f>
        <v>렉,츠,1</v>
      </c>
      <c r="K685" s="16" t="n">
        <f aca="false">IF(B685=-1,-1,VLOOKUP(C685,$T$1:$V$20,3))</f>
        <v>7</v>
      </c>
      <c r="L685" s="16" t="n">
        <f aca="false">IF(B685=-1,-1,VLOOKUP(D685,$Y$1:$AA$22,3))</f>
        <v>10</v>
      </c>
      <c r="N685" s="10" t="str">
        <f aca="false">_xlfn.UNICHAR(((C685*21)+G685)*28+44032)</f>
        <v>르</v>
      </c>
      <c r="O685" s="10" t="str">
        <f aca="false">_xlfn.UNICHAR(((F685*21)+D685)*28+44032)</f>
        <v>체</v>
      </c>
      <c r="P685" s="12" t="n">
        <f aca="false">COUNTIF($A$2:$A$3000, N685) + COUNTIF($A$2:$A$3000, O685)</f>
        <v>2</v>
      </c>
      <c r="Q685" s="16" t="str">
        <f aca="false">IF(OR(B685=-1,I685=0, P685&lt;&gt;2), "albhed_dummy", _xlfn.CONCAT("albhed ", RIGHT("  " &amp; K685,2),", ", RIGHT("  " &amp; L685,2), ", " ,"""",H685,""", ", """",N685,""", ","""",O685,""""," ; ", A685))</f>
        <v>albhed  7, 10, "츠", "르", "체" ; 렉</v>
      </c>
    </row>
    <row r="686" customFormat="false" ht="17.9" hidden="false" customHeight="true" outlineLevel="0" collapsed="false">
      <c r="A686" s="16" t="s">
        <v>1560</v>
      </c>
      <c r="B686" s="16" t="n">
        <f aca="false">IF(_xlfn.UNICODE(A686)&lt;44032,-1,_xlfn.UNICODE(A686)-44032)</f>
        <v>3084</v>
      </c>
      <c r="C686" s="16" t="n">
        <f aca="false">IF(B686=-1,-1,INT((B686/28)/21))</f>
        <v>5</v>
      </c>
      <c r="D686" s="16" t="n">
        <f aca="false">IF(B686=-1, -1, MOD(INT(B686/28),21))</f>
        <v>5</v>
      </c>
      <c r="E686" s="16" t="n">
        <f aca="false">IF(B686=-1, -1, VLOOKUP(MOD(B686,28), $T$24:$U$52,2))</f>
        <v>4</v>
      </c>
      <c r="F686" s="16" t="n">
        <f aca="false">IF($B686=-1, -1, VLOOKUP(C686,$T$1:$V$20, 2))</f>
        <v>14</v>
      </c>
      <c r="G686" s="16" t="n">
        <f aca="false">IF($B686=-1, -1, VLOOKUP(D686,$Y$1:$Z$22,2))</f>
        <v>18</v>
      </c>
      <c r="H686" s="16" t="str">
        <f aca="false">_xlfn.UNICHAR(((F686*21)+G686)*28+44032)</f>
        <v>츠</v>
      </c>
      <c r="I686" s="16" t="n">
        <f aca="false">IF(B686=-1, 1, COUNTIF($A$2:$A$3000, H686))</f>
        <v>1</v>
      </c>
      <c r="J686" s="10" t="str">
        <f aca="false">_xlfn.CONCAT(A686, ",",H686,",",I686)</f>
        <v>렌,츠,1</v>
      </c>
      <c r="K686" s="16" t="n">
        <f aca="false">IF(B686=-1,-1,VLOOKUP(C686,$T$1:$V$20,3))</f>
        <v>7</v>
      </c>
      <c r="L686" s="16" t="n">
        <f aca="false">IF(B686=-1,-1,VLOOKUP(D686,$Y$1:$AA$22,3))</f>
        <v>10</v>
      </c>
      <c r="N686" s="10" t="str">
        <f aca="false">_xlfn.UNICHAR(((C686*21)+G686)*28+44032)</f>
        <v>르</v>
      </c>
      <c r="O686" s="10" t="str">
        <f aca="false">_xlfn.UNICHAR(((F686*21)+D686)*28+44032)</f>
        <v>체</v>
      </c>
      <c r="P686" s="12" t="n">
        <f aca="false">COUNTIF($A$2:$A$3000, N686) + COUNTIF($A$2:$A$3000, O686)</f>
        <v>2</v>
      </c>
      <c r="Q686" s="16" t="str">
        <f aca="false">IF(OR(B686=-1,I686=0, P686&lt;&gt;2), "albhed_dummy", _xlfn.CONCAT("albhed ", RIGHT("  " &amp; K686,2),", ", RIGHT("  " &amp; L686,2), ", " ,"""",H686,""", ", """",N686,""", ","""",O686,""""," ; ", A686))</f>
        <v>albhed  7, 10, "츠", "르", "체" ; 렌</v>
      </c>
    </row>
    <row r="687" customFormat="false" ht="17.9" hidden="false" customHeight="true" outlineLevel="0" collapsed="false">
      <c r="A687" s="16" t="s">
        <v>1561</v>
      </c>
      <c r="B687" s="16" t="n">
        <f aca="false">IF(_xlfn.UNICODE(A687)&lt;44032,-1,_xlfn.UNICODE(A687)-44032)</f>
        <v>3088</v>
      </c>
      <c r="C687" s="16" t="n">
        <f aca="false">IF(B687=-1,-1,INT((B687/28)/21))</f>
        <v>5</v>
      </c>
      <c r="D687" s="16" t="n">
        <f aca="false">IF(B687=-1, -1, MOD(INT(B687/28),21))</f>
        <v>5</v>
      </c>
      <c r="E687" s="16" t="n">
        <f aca="false">IF(B687=-1, -1, VLOOKUP(MOD(B687,28), $T$24:$U$52,2))</f>
        <v>8</v>
      </c>
      <c r="F687" s="16" t="n">
        <f aca="false">IF($B687=-1, -1, VLOOKUP(C687,$T$1:$V$20, 2))</f>
        <v>14</v>
      </c>
      <c r="G687" s="16" t="n">
        <f aca="false">IF($B687=-1, -1, VLOOKUP(D687,$Y$1:$Z$22,2))</f>
        <v>18</v>
      </c>
      <c r="H687" s="16" t="str">
        <f aca="false">_xlfn.UNICHAR(((F687*21)+G687)*28+44032)</f>
        <v>츠</v>
      </c>
      <c r="I687" s="16" t="n">
        <f aca="false">IF(B687=-1, 1, COUNTIF($A$2:$A$3000, H687))</f>
        <v>1</v>
      </c>
      <c r="J687" s="10" t="str">
        <f aca="false">_xlfn.CONCAT(A687, ",",H687,",",I687)</f>
        <v>렐,츠,1</v>
      </c>
      <c r="K687" s="16" t="n">
        <f aca="false">IF(B687=-1,-1,VLOOKUP(C687,$T$1:$V$20,3))</f>
        <v>7</v>
      </c>
      <c r="L687" s="16" t="n">
        <f aca="false">IF(B687=-1,-1,VLOOKUP(D687,$Y$1:$AA$22,3))</f>
        <v>10</v>
      </c>
      <c r="N687" s="10" t="str">
        <f aca="false">_xlfn.UNICHAR(((C687*21)+G687)*28+44032)</f>
        <v>르</v>
      </c>
      <c r="O687" s="10" t="str">
        <f aca="false">_xlfn.UNICHAR(((F687*21)+D687)*28+44032)</f>
        <v>체</v>
      </c>
      <c r="P687" s="12" t="n">
        <f aca="false">COUNTIF($A$2:$A$3000, N687) + COUNTIF($A$2:$A$3000, O687)</f>
        <v>2</v>
      </c>
      <c r="Q687" s="16" t="str">
        <f aca="false">IF(OR(B687=-1,I687=0, P687&lt;&gt;2), "albhed_dummy", _xlfn.CONCAT("albhed ", RIGHT("  " &amp; K687,2),", ", RIGHT("  " &amp; L687,2), ", " ,"""",H687,""", ", """",N687,""", ","""",O687,""""," ; ", A687))</f>
        <v>albhed  7, 10, "츠", "르", "체" ; 렐</v>
      </c>
    </row>
    <row r="688" customFormat="false" ht="17.9" hidden="false" customHeight="true" outlineLevel="0" collapsed="false">
      <c r="A688" s="16" t="s">
        <v>1562</v>
      </c>
      <c r="B688" s="16" t="n">
        <f aca="false">IF(_xlfn.UNICODE(A688)&lt;44032,-1,_xlfn.UNICODE(A688)-44032)</f>
        <v>3096</v>
      </c>
      <c r="C688" s="16" t="n">
        <f aca="false">IF(B688=-1,-1,INT((B688/28)/21))</f>
        <v>5</v>
      </c>
      <c r="D688" s="16" t="n">
        <f aca="false">IF(B688=-1, -1, MOD(INT(B688/28),21))</f>
        <v>5</v>
      </c>
      <c r="E688" s="16" t="n">
        <f aca="false">IF(B688=-1, -1, VLOOKUP(MOD(B688,28), $T$24:$U$52,2))</f>
        <v>16</v>
      </c>
      <c r="F688" s="16" t="n">
        <f aca="false">IF($B688=-1, -1, VLOOKUP(C688,$T$1:$V$20, 2))</f>
        <v>14</v>
      </c>
      <c r="G688" s="16" t="n">
        <f aca="false">IF($B688=-1, -1, VLOOKUP(D688,$Y$1:$Z$22,2))</f>
        <v>18</v>
      </c>
      <c r="H688" s="16" t="str">
        <f aca="false">_xlfn.UNICHAR(((F688*21)+G688)*28+44032)</f>
        <v>츠</v>
      </c>
      <c r="I688" s="16" t="n">
        <f aca="false">IF(B688=-1, 1, COUNTIF($A$2:$A$3000, H688))</f>
        <v>1</v>
      </c>
      <c r="J688" s="10" t="str">
        <f aca="false">_xlfn.CONCAT(A688, ",",H688,",",I688)</f>
        <v>렘,츠,1</v>
      </c>
      <c r="K688" s="16" t="n">
        <f aca="false">IF(B688=-1,-1,VLOOKUP(C688,$T$1:$V$20,3))</f>
        <v>7</v>
      </c>
      <c r="L688" s="16" t="n">
        <f aca="false">IF(B688=-1,-1,VLOOKUP(D688,$Y$1:$AA$22,3))</f>
        <v>10</v>
      </c>
      <c r="N688" s="10" t="str">
        <f aca="false">_xlfn.UNICHAR(((C688*21)+G688)*28+44032)</f>
        <v>르</v>
      </c>
      <c r="O688" s="10" t="str">
        <f aca="false">_xlfn.UNICHAR(((F688*21)+D688)*28+44032)</f>
        <v>체</v>
      </c>
      <c r="P688" s="12" t="n">
        <f aca="false">COUNTIF($A$2:$A$3000, N688) + COUNTIF($A$2:$A$3000, O688)</f>
        <v>2</v>
      </c>
      <c r="Q688" s="16" t="str">
        <f aca="false">IF(OR(B688=-1,I688=0, P688&lt;&gt;2), "albhed_dummy", _xlfn.CONCAT("albhed ", RIGHT("  " &amp; K688,2),", ", RIGHT("  " &amp; L688,2), ", " ,"""",H688,""", ", """",N688,""", ","""",O688,""""," ; ", A688))</f>
        <v>albhed  7, 10, "츠", "르", "체" ; 렘</v>
      </c>
    </row>
    <row r="689" customFormat="false" ht="17.9" hidden="false" customHeight="true" outlineLevel="0" collapsed="false">
      <c r="A689" s="16" t="s">
        <v>1563</v>
      </c>
      <c r="B689" s="16" t="n">
        <f aca="false">IF(_xlfn.UNICODE(A689)&lt;44032,-1,_xlfn.UNICODE(A689)-44032)</f>
        <v>3097</v>
      </c>
      <c r="C689" s="16" t="n">
        <f aca="false">IF(B689=-1,-1,INT((B689/28)/21))</f>
        <v>5</v>
      </c>
      <c r="D689" s="16" t="n">
        <f aca="false">IF(B689=-1, -1, MOD(INT(B689/28),21))</f>
        <v>5</v>
      </c>
      <c r="E689" s="16" t="n">
        <f aca="false">IF(B689=-1, -1, VLOOKUP(MOD(B689,28), $T$24:$U$52,2))</f>
        <v>17</v>
      </c>
      <c r="F689" s="16" t="n">
        <f aca="false">IF($B689=-1, -1, VLOOKUP(C689,$T$1:$V$20, 2))</f>
        <v>14</v>
      </c>
      <c r="G689" s="16" t="n">
        <f aca="false">IF($B689=-1, -1, VLOOKUP(D689,$Y$1:$Z$22,2))</f>
        <v>18</v>
      </c>
      <c r="H689" s="16" t="str">
        <f aca="false">_xlfn.UNICHAR(((F689*21)+G689)*28+44032)</f>
        <v>츠</v>
      </c>
      <c r="I689" s="16" t="n">
        <f aca="false">IF(B689=-1, 1, COUNTIF($A$2:$A$3000, H689))</f>
        <v>1</v>
      </c>
      <c r="J689" s="10" t="str">
        <f aca="false">_xlfn.CONCAT(A689, ",",H689,",",I689)</f>
        <v>렙,츠,1</v>
      </c>
      <c r="K689" s="16" t="n">
        <f aca="false">IF(B689=-1,-1,VLOOKUP(C689,$T$1:$V$20,3))</f>
        <v>7</v>
      </c>
      <c r="L689" s="16" t="n">
        <f aca="false">IF(B689=-1,-1,VLOOKUP(D689,$Y$1:$AA$22,3))</f>
        <v>10</v>
      </c>
      <c r="N689" s="10" t="str">
        <f aca="false">_xlfn.UNICHAR(((C689*21)+G689)*28+44032)</f>
        <v>르</v>
      </c>
      <c r="O689" s="10" t="str">
        <f aca="false">_xlfn.UNICHAR(((F689*21)+D689)*28+44032)</f>
        <v>체</v>
      </c>
      <c r="P689" s="12" t="n">
        <f aca="false">COUNTIF($A$2:$A$3000, N689) + COUNTIF($A$2:$A$3000, O689)</f>
        <v>2</v>
      </c>
      <c r="Q689" s="16" t="str">
        <f aca="false">IF(OR(B689=-1,I689=0, P689&lt;&gt;2), "albhed_dummy", _xlfn.CONCAT("albhed ", RIGHT("  " &amp; K689,2),", ", RIGHT("  " &amp; L689,2), ", " ,"""",H689,""", ", """",N689,""", ","""",O689,""""," ; ", A689))</f>
        <v>albhed  7, 10, "츠", "르", "체" ; 렙</v>
      </c>
    </row>
    <row r="690" customFormat="false" ht="17.9" hidden="false" customHeight="true" outlineLevel="0" collapsed="false">
      <c r="A690" s="16" t="s">
        <v>1564</v>
      </c>
      <c r="B690" s="16" t="n">
        <f aca="false">IF(_xlfn.UNICODE(A690)&lt;44032,-1,_xlfn.UNICODE(A690)-44032)</f>
        <v>3099</v>
      </c>
      <c r="C690" s="16" t="n">
        <f aca="false">IF(B690=-1,-1,INT((B690/28)/21))</f>
        <v>5</v>
      </c>
      <c r="D690" s="16" t="n">
        <f aca="false">IF(B690=-1, -1, MOD(INT(B690/28),21))</f>
        <v>5</v>
      </c>
      <c r="E690" s="16" t="n">
        <f aca="false">IF(B690=-1, -1, VLOOKUP(MOD(B690,28), $T$24:$U$52,2))</f>
        <v>19</v>
      </c>
      <c r="F690" s="16" t="n">
        <f aca="false">IF($B690=-1, -1, VLOOKUP(C690,$T$1:$V$20, 2))</f>
        <v>14</v>
      </c>
      <c r="G690" s="16" t="n">
        <f aca="false">IF($B690=-1, -1, VLOOKUP(D690,$Y$1:$Z$22,2))</f>
        <v>18</v>
      </c>
      <c r="H690" s="16" t="str">
        <f aca="false">_xlfn.UNICHAR(((F690*21)+G690)*28+44032)</f>
        <v>츠</v>
      </c>
      <c r="I690" s="16" t="n">
        <f aca="false">IF(B690=-1, 1, COUNTIF($A$2:$A$3000, H690))</f>
        <v>1</v>
      </c>
      <c r="J690" s="10" t="str">
        <f aca="false">_xlfn.CONCAT(A690, ",",H690,",",I690)</f>
        <v>렛,츠,1</v>
      </c>
      <c r="K690" s="16" t="n">
        <f aca="false">IF(B690=-1,-1,VLOOKUP(C690,$T$1:$V$20,3))</f>
        <v>7</v>
      </c>
      <c r="L690" s="16" t="n">
        <f aca="false">IF(B690=-1,-1,VLOOKUP(D690,$Y$1:$AA$22,3))</f>
        <v>10</v>
      </c>
      <c r="N690" s="10" t="str">
        <f aca="false">_xlfn.UNICHAR(((C690*21)+G690)*28+44032)</f>
        <v>르</v>
      </c>
      <c r="O690" s="10" t="str">
        <f aca="false">_xlfn.UNICHAR(((F690*21)+D690)*28+44032)</f>
        <v>체</v>
      </c>
      <c r="P690" s="12" t="n">
        <f aca="false">COUNTIF($A$2:$A$3000, N690) + COUNTIF($A$2:$A$3000, O690)</f>
        <v>2</v>
      </c>
      <c r="Q690" s="16" t="str">
        <f aca="false">IF(OR(B690=-1,I690=0, P690&lt;&gt;2), "albhed_dummy", _xlfn.CONCAT("albhed ", RIGHT("  " &amp; K690,2),", ", RIGHT("  " &amp; L690,2), ", " ,"""",H690,""", ", """",N690,""", ","""",O690,""""," ; ", A690))</f>
        <v>albhed  7, 10, "츠", "르", "체" ; 렛</v>
      </c>
    </row>
    <row r="691" customFormat="false" ht="17.9" hidden="false" customHeight="true" outlineLevel="0" collapsed="false">
      <c r="A691" s="16" t="s">
        <v>1565</v>
      </c>
      <c r="B691" s="16" t="n">
        <f aca="false">IF(_xlfn.UNICODE(A691)&lt;44032,-1,_xlfn.UNICODE(A691)-44032)</f>
        <v>3101</v>
      </c>
      <c r="C691" s="16" t="n">
        <f aca="false">IF(B691=-1,-1,INT((B691/28)/21))</f>
        <v>5</v>
      </c>
      <c r="D691" s="16" t="n">
        <f aca="false">IF(B691=-1, -1, MOD(INT(B691/28),21))</f>
        <v>5</v>
      </c>
      <c r="E691" s="16" t="n">
        <f aca="false">IF(B691=-1, -1, VLOOKUP(MOD(B691,28), $T$24:$U$52,2))</f>
        <v>21</v>
      </c>
      <c r="F691" s="16" t="n">
        <f aca="false">IF($B691=-1, -1, VLOOKUP(C691,$T$1:$V$20, 2))</f>
        <v>14</v>
      </c>
      <c r="G691" s="16" t="n">
        <f aca="false">IF($B691=-1, -1, VLOOKUP(D691,$Y$1:$Z$22,2))</f>
        <v>18</v>
      </c>
      <c r="H691" s="16" t="str">
        <f aca="false">_xlfn.UNICHAR(((F691*21)+G691)*28+44032)</f>
        <v>츠</v>
      </c>
      <c r="I691" s="16" t="n">
        <f aca="false">IF(B691=-1, 1, COUNTIF($A$2:$A$3000, H691))</f>
        <v>1</v>
      </c>
      <c r="J691" s="10" t="str">
        <f aca="false">_xlfn.CONCAT(A691, ",",H691,",",I691)</f>
        <v>렝,츠,1</v>
      </c>
      <c r="K691" s="16" t="n">
        <f aca="false">IF(B691=-1,-1,VLOOKUP(C691,$T$1:$V$20,3))</f>
        <v>7</v>
      </c>
      <c r="L691" s="16" t="n">
        <f aca="false">IF(B691=-1,-1,VLOOKUP(D691,$Y$1:$AA$22,3))</f>
        <v>10</v>
      </c>
      <c r="N691" s="10" t="str">
        <f aca="false">_xlfn.UNICHAR(((C691*21)+G691)*28+44032)</f>
        <v>르</v>
      </c>
      <c r="O691" s="10" t="str">
        <f aca="false">_xlfn.UNICHAR(((F691*21)+D691)*28+44032)</f>
        <v>체</v>
      </c>
      <c r="P691" s="12" t="n">
        <f aca="false">COUNTIF($A$2:$A$3000, N691) + COUNTIF($A$2:$A$3000, O691)</f>
        <v>2</v>
      </c>
      <c r="Q691" s="16" t="str">
        <f aca="false">IF(OR(B691=-1,I691=0, P691&lt;&gt;2), "albhed_dummy", _xlfn.CONCAT("albhed ", RIGHT("  " &amp; K691,2),", ", RIGHT("  " &amp; L691,2), ", " ,"""",H691,""", ", """",N691,""", ","""",O691,""""," ; ", A691))</f>
        <v>albhed  7, 10, "츠", "르", "체" ; 렝</v>
      </c>
    </row>
    <row r="692" customFormat="false" ht="17.9" hidden="false" customHeight="true" outlineLevel="0" collapsed="false">
      <c r="A692" s="16" t="s">
        <v>1566</v>
      </c>
      <c r="B692" s="16" t="n">
        <f aca="false">IF(_xlfn.UNICODE(A692)&lt;44032,-1,_xlfn.UNICODE(A692)-44032)</f>
        <v>3108</v>
      </c>
      <c r="C692" s="16" t="n">
        <f aca="false">IF(B692=-1,-1,INT((B692/28)/21))</f>
        <v>5</v>
      </c>
      <c r="D692" s="16" t="n">
        <f aca="false">IF(B692=-1, -1, MOD(INT(B692/28),21))</f>
        <v>6</v>
      </c>
      <c r="E692" s="16" t="n">
        <f aca="false">IF(B692=-1, -1, VLOOKUP(MOD(B692,28), $T$24:$U$52,2))</f>
        <v>0</v>
      </c>
      <c r="F692" s="16" t="n">
        <f aca="false">IF($B692=-1, -1, VLOOKUP(C692,$T$1:$V$20, 2))</f>
        <v>14</v>
      </c>
      <c r="G692" s="16" t="n">
        <f aca="false">IF($B692=-1, -1, VLOOKUP(D692,$Y$1:$Z$22,2))</f>
        <v>12</v>
      </c>
      <c r="H692" s="16" t="str">
        <f aca="false">_xlfn.UNICHAR(((F692*21)+G692)*28+44032)</f>
        <v>쵸</v>
      </c>
      <c r="I692" s="16" t="n">
        <f aca="false">IF(B692=-1, 1, COUNTIF($A$2:$A$3000, H692))</f>
        <v>1</v>
      </c>
      <c r="J692" s="10" t="str">
        <f aca="false">_xlfn.CONCAT(A692, ",",H692,",",I692)</f>
        <v>려,쵸,1</v>
      </c>
      <c r="K692" s="16" t="n">
        <f aca="false">IF(B692=-1,-1,VLOOKUP(C692,$T$1:$V$20,3))</f>
        <v>7</v>
      </c>
      <c r="L692" s="16" t="n">
        <f aca="false">IF(B692=-1,-1,VLOOKUP(D692,$Y$1:$AA$22,3))</f>
        <v>4</v>
      </c>
      <c r="N692" s="10" t="str">
        <f aca="false">_xlfn.UNICHAR(((C692*21)+G692)*28+44032)</f>
        <v>료</v>
      </c>
      <c r="O692" s="10" t="str">
        <f aca="false">_xlfn.UNICHAR(((F692*21)+D692)*28+44032)</f>
        <v>쳐</v>
      </c>
      <c r="P692" s="12" t="n">
        <f aca="false">COUNTIF($A$2:$A$3000, N692) + COUNTIF($A$2:$A$3000, O692)</f>
        <v>2</v>
      </c>
      <c r="Q692" s="16" t="str">
        <f aca="false">IF(OR(B692=-1,I692=0, P692&lt;&gt;2), "albhed_dummy", _xlfn.CONCAT("albhed ", RIGHT("  " &amp; K692,2),", ", RIGHT("  " &amp; L692,2), ", " ,"""",H692,""", ", """",N692,""", ","""",O692,""""," ; ", A692))</f>
        <v>albhed  7,  4, "쵸", "료", "쳐" ; 려</v>
      </c>
    </row>
    <row r="693" customFormat="false" ht="17.9" hidden="false" customHeight="true" outlineLevel="0" collapsed="false">
      <c r="A693" s="16" t="s">
        <v>1567</v>
      </c>
      <c r="B693" s="16" t="n">
        <f aca="false">IF(_xlfn.UNICODE(A693)&lt;44032,-1,_xlfn.UNICODE(A693)-44032)</f>
        <v>3109</v>
      </c>
      <c r="C693" s="16" t="n">
        <f aca="false">IF(B693=-1,-1,INT((B693/28)/21))</f>
        <v>5</v>
      </c>
      <c r="D693" s="16" t="n">
        <f aca="false">IF(B693=-1, -1, MOD(INT(B693/28),21))</f>
        <v>6</v>
      </c>
      <c r="E693" s="16" t="n">
        <f aca="false">IF(B693=-1, -1, VLOOKUP(MOD(B693,28), $T$24:$U$52,2))</f>
        <v>1</v>
      </c>
      <c r="F693" s="16" t="n">
        <f aca="false">IF($B693=-1, -1, VLOOKUP(C693,$T$1:$V$20, 2))</f>
        <v>14</v>
      </c>
      <c r="G693" s="16" t="n">
        <f aca="false">IF($B693=-1, -1, VLOOKUP(D693,$Y$1:$Z$22,2))</f>
        <v>12</v>
      </c>
      <c r="H693" s="16" t="str">
        <f aca="false">_xlfn.UNICHAR(((F693*21)+G693)*28+44032)</f>
        <v>쵸</v>
      </c>
      <c r="I693" s="16" t="n">
        <f aca="false">IF(B693=-1, 1, COUNTIF($A$2:$A$3000, H693))</f>
        <v>1</v>
      </c>
      <c r="J693" s="10" t="str">
        <f aca="false">_xlfn.CONCAT(A693, ",",H693,",",I693)</f>
        <v>력,쵸,1</v>
      </c>
      <c r="K693" s="16" t="n">
        <f aca="false">IF(B693=-1,-1,VLOOKUP(C693,$T$1:$V$20,3))</f>
        <v>7</v>
      </c>
      <c r="L693" s="16" t="n">
        <f aca="false">IF(B693=-1,-1,VLOOKUP(D693,$Y$1:$AA$22,3))</f>
        <v>4</v>
      </c>
      <c r="N693" s="10" t="str">
        <f aca="false">_xlfn.UNICHAR(((C693*21)+G693)*28+44032)</f>
        <v>료</v>
      </c>
      <c r="O693" s="10" t="str">
        <f aca="false">_xlfn.UNICHAR(((F693*21)+D693)*28+44032)</f>
        <v>쳐</v>
      </c>
      <c r="P693" s="12" t="n">
        <f aca="false">COUNTIF($A$2:$A$3000, N693) + COUNTIF($A$2:$A$3000, O693)</f>
        <v>2</v>
      </c>
      <c r="Q693" s="16" t="str">
        <f aca="false">IF(OR(B693=-1,I693=0, P693&lt;&gt;2), "albhed_dummy", _xlfn.CONCAT("albhed ", RIGHT("  " &amp; K693,2),", ", RIGHT("  " &amp; L693,2), ", " ,"""",H693,""", ", """",N693,""", ","""",O693,""""," ; ", A693))</f>
        <v>albhed  7,  4, "쵸", "료", "쳐" ; 력</v>
      </c>
    </row>
    <row r="694" customFormat="false" ht="17.9" hidden="false" customHeight="true" outlineLevel="0" collapsed="false">
      <c r="A694" s="16" t="s">
        <v>1568</v>
      </c>
      <c r="B694" s="16" t="n">
        <f aca="false">IF(_xlfn.UNICODE(A694)&lt;44032,-1,_xlfn.UNICODE(A694)-44032)</f>
        <v>3112</v>
      </c>
      <c r="C694" s="16" t="n">
        <f aca="false">IF(B694=-1,-1,INT((B694/28)/21))</f>
        <v>5</v>
      </c>
      <c r="D694" s="16" t="n">
        <f aca="false">IF(B694=-1, -1, MOD(INT(B694/28),21))</f>
        <v>6</v>
      </c>
      <c r="E694" s="16" t="n">
        <f aca="false">IF(B694=-1, -1, VLOOKUP(MOD(B694,28), $T$24:$U$52,2))</f>
        <v>4</v>
      </c>
      <c r="F694" s="16" t="n">
        <f aca="false">IF($B694=-1, -1, VLOOKUP(C694,$T$1:$V$20, 2))</f>
        <v>14</v>
      </c>
      <c r="G694" s="16" t="n">
        <f aca="false">IF($B694=-1, -1, VLOOKUP(D694,$Y$1:$Z$22,2))</f>
        <v>12</v>
      </c>
      <c r="H694" s="16" t="str">
        <f aca="false">_xlfn.UNICHAR(((F694*21)+G694)*28+44032)</f>
        <v>쵸</v>
      </c>
      <c r="I694" s="16" t="n">
        <f aca="false">IF(B694=-1, 1, COUNTIF($A$2:$A$3000, H694))</f>
        <v>1</v>
      </c>
      <c r="J694" s="10" t="str">
        <f aca="false">_xlfn.CONCAT(A694, ",",H694,",",I694)</f>
        <v>련,쵸,1</v>
      </c>
      <c r="K694" s="16" t="n">
        <f aca="false">IF(B694=-1,-1,VLOOKUP(C694,$T$1:$V$20,3))</f>
        <v>7</v>
      </c>
      <c r="L694" s="16" t="n">
        <f aca="false">IF(B694=-1,-1,VLOOKUP(D694,$Y$1:$AA$22,3))</f>
        <v>4</v>
      </c>
      <c r="N694" s="10" t="str">
        <f aca="false">_xlfn.UNICHAR(((C694*21)+G694)*28+44032)</f>
        <v>료</v>
      </c>
      <c r="O694" s="10" t="str">
        <f aca="false">_xlfn.UNICHAR(((F694*21)+D694)*28+44032)</f>
        <v>쳐</v>
      </c>
      <c r="P694" s="12" t="n">
        <f aca="false">COUNTIF($A$2:$A$3000, N694) + COUNTIF($A$2:$A$3000, O694)</f>
        <v>2</v>
      </c>
      <c r="Q694" s="16" t="str">
        <f aca="false">IF(OR(B694=-1,I694=0, P694&lt;&gt;2), "albhed_dummy", _xlfn.CONCAT("albhed ", RIGHT("  " &amp; K694,2),", ", RIGHT("  " &amp; L694,2), ", " ,"""",H694,""", ", """",N694,""", ","""",O694,""""," ; ", A694))</f>
        <v>albhed  7,  4, "쵸", "료", "쳐" ; 련</v>
      </c>
    </row>
    <row r="695" customFormat="false" ht="17.9" hidden="false" customHeight="true" outlineLevel="0" collapsed="false">
      <c r="A695" s="16" t="s">
        <v>1569</v>
      </c>
      <c r="B695" s="16" t="n">
        <f aca="false">IF(_xlfn.UNICODE(A695)&lt;44032,-1,_xlfn.UNICODE(A695)-44032)</f>
        <v>3116</v>
      </c>
      <c r="C695" s="16" t="n">
        <f aca="false">IF(B695=-1,-1,INT((B695/28)/21))</f>
        <v>5</v>
      </c>
      <c r="D695" s="16" t="n">
        <f aca="false">IF(B695=-1, -1, MOD(INT(B695/28),21))</f>
        <v>6</v>
      </c>
      <c r="E695" s="16" t="n">
        <f aca="false">IF(B695=-1, -1, VLOOKUP(MOD(B695,28), $T$24:$U$52,2))</f>
        <v>8</v>
      </c>
      <c r="F695" s="16" t="n">
        <f aca="false">IF($B695=-1, -1, VLOOKUP(C695,$T$1:$V$20, 2))</f>
        <v>14</v>
      </c>
      <c r="G695" s="16" t="n">
        <f aca="false">IF($B695=-1, -1, VLOOKUP(D695,$Y$1:$Z$22,2))</f>
        <v>12</v>
      </c>
      <c r="H695" s="16" t="str">
        <f aca="false">_xlfn.UNICHAR(((F695*21)+G695)*28+44032)</f>
        <v>쵸</v>
      </c>
      <c r="I695" s="16" t="n">
        <f aca="false">IF(B695=-1, 1, COUNTIF($A$2:$A$3000, H695))</f>
        <v>1</v>
      </c>
      <c r="J695" s="10" t="str">
        <f aca="false">_xlfn.CONCAT(A695, ",",H695,",",I695)</f>
        <v>렬,쵸,1</v>
      </c>
      <c r="K695" s="16" t="n">
        <f aca="false">IF(B695=-1,-1,VLOOKUP(C695,$T$1:$V$20,3))</f>
        <v>7</v>
      </c>
      <c r="L695" s="16" t="n">
        <f aca="false">IF(B695=-1,-1,VLOOKUP(D695,$Y$1:$AA$22,3))</f>
        <v>4</v>
      </c>
      <c r="N695" s="10" t="str">
        <f aca="false">_xlfn.UNICHAR(((C695*21)+G695)*28+44032)</f>
        <v>료</v>
      </c>
      <c r="O695" s="10" t="str">
        <f aca="false">_xlfn.UNICHAR(((F695*21)+D695)*28+44032)</f>
        <v>쳐</v>
      </c>
      <c r="P695" s="12" t="n">
        <f aca="false">COUNTIF($A$2:$A$3000, N695) + COUNTIF($A$2:$A$3000, O695)</f>
        <v>2</v>
      </c>
      <c r="Q695" s="16" t="str">
        <f aca="false">IF(OR(B695=-1,I695=0, P695&lt;&gt;2), "albhed_dummy", _xlfn.CONCAT("albhed ", RIGHT("  " &amp; K695,2),", ", RIGHT("  " &amp; L695,2), ", " ,"""",H695,""", ", """",N695,""", ","""",O695,""""," ; ", A695))</f>
        <v>albhed  7,  4, "쵸", "료", "쳐" ; 렬</v>
      </c>
    </row>
    <row r="696" customFormat="false" ht="17.9" hidden="false" customHeight="true" outlineLevel="0" collapsed="false">
      <c r="A696" s="16" t="s">
        <v>1570</v>
      </c>
      <c r="B696" s="16" t="n">
        <f aca="false">IF(_xlfn.UNICODE(A696)&lt;44032,-1,_xlfn.UNICODE(A696)-44032)</f>
        <v>3124</v>
      </c>
      <c r="C696" s="16" t="n">
        <f aca="false">IF(B696=-1,-1,INT((B696/28)/21))</f>
        <v>5</v>
      </c>
      <c r="D696" s="16" t="n">
        <f aca="false">IF(B696=-1, -1, MOD(INT(B696/28),21))</f>
        <v>6</v>
      </c>
      <c r="E696" s="16" t="n">
        <f aca="false">IF(B696=-1, -1, VLOOKUP(MOD(B696,28), $T$24:$U$52,2))</f>
        <v>16</v>
      </c>
      <c r="F696" s="16" t="n">
        <f aca="false">IF($B696=-1, -1, VLOOKUP(C696,$T$1:$V$20, 2))</f>
        <v>14</v>
      </c>
      <c r="G696" s="16" t="n">
        <f aca="false">IF($B696=-1, -1, VLOOKUP(D696,$Y$1:$Z$22,2))</f>
        <v>12</v>
      </c>
      <c r="H696" s="16" t="str">
        <f aca="false">_xlfn.UNICHAR(((F696*21)+G696)*28+44032)</f>
        <v>쵸</v>
      </c>
      <c r="I696" s="16" t="n">
        <f aca="false">IF(B696=-1, 1, COUNTIF($A$2:$A$3000, H696))</f>
        <v>1</v>
      </c>
      <c r="J696" s="10" t="str">
        <f aca="false">_xlfn.CONCAT(A696, ",",H696,",",I696)</f>
        <v>렴,쵸,1</v>
      </c>
      <c r="K696" s="16" t="n">
        <f aca="false">IF(B696=-1,-1,VLOOKUP(C696,$T$1:$V$20,3))</f>
        <v>7</v>
      </c>
      <c r="L696" s="16" t="n">
        <f aca="false">IF(B696=-1,-1,VLOOKUP(D696,$Y$1:$AA$22,3))</f>
        <v>4</v>
      </c>
      <c r="N696" s="10" t="str">
        <f aca="false">_xlfn.UNICHAR(((C696*21)+G696)*28+44032)</f>
        <v>료</v>
      </c>
      <c r="O696" s="10" t="str">
        <f aca="false">_xlfn.UNICHAR(((F696*21)+D696)*28+44032)</f>
        <v>쳐</v>
      </c>
      <c r="P696" s="12" t="n">
        <f aca="false">COUNTIF($A$2:$A$3000, N696) + COUNTIF($A$2:$A$3000, O696)</f>
        <v>2</v>
      </c>
      <c r="Q696" s="16" t="str">
        <f aca="false">IF(OR(B696=-1,I696=0, P696&lt;&gt;2), "albhed_dummy", _xlfn.CONCAT("albhed ", RIGHT("  " &amp; K696,2),", ", RIGHT("  " &amp; L696,2), ", " ,"""",H696,""", ", """",N696,""", ","""",O696,""""," ; ", A696))</f>
        <v>albhed  7,  4, "쵸", "료", "쳐" ; 렴</v>
      </c>
    </row>
    <row r="697" customFormat="false" ht="17.9" hidden="false" customHeight="true" outlineLevel="0" collapsed="false">
      <c r="A697" s="16" t="s">
        <v>1571</v>
      </c>
      <c r="B697" s="16" t="n">
        <f aca="false">IF(_xlfn.UNICODE(A697)&lt;44032,-1,_xlfn.UNICODE(A697)-44032)</f>
        <v>3125</v>
      </c>
      <c r="C697" s="16" t="n">
        <f aca="false">IF(B697=-1,-1,INT((B697/28)/21))</f>
        <v>5</v>
      </c>
      <c r="D697" s="16" t="n">
        <f aca="false">IF(B697=-1, -1, MOD(INT(B697/28),21))</f>
        <v>6</v>
      </c>
      <c r="E697" s="16" t="n">
        <f aca="false">IF(B697=-1, -1, VLOOKUP(MOD(B697,28), $T$24:$U$52,2))</f>
        <v>17</v>
      </c>
      <c r="F697" s="16" t="n">
        <f aca="false">IF($B697=-1, -1, VLOOKUP(C697,$T$1:$V$20, 2))</f>
        <v>14</v>
      </c>
      <c r="G697" s="16" t="n">
        <f aca="false">IF($B697=-1, -1, VLOOKUP(D697,$Y$1:$Z$22,2))</f>
        <v>12</v>
      </c>
      <c r="H697" s="16" t="str">
        <f aca="false">_xlfn.UNICHAR(((F697*21)+G697)*28+44032)</f>
        <v>쵸</v>
      </c>
      <c r="I697" s="16" t="n">
        <f aca="false">IF(B697=-1, 1, COUNTIF($A$2:$A$3000, H697))</f>
        <v>1</v>
      </c>
      <c r="J697" s="10" t="str">
        <f aca="false">_xlfn.CONCAT(A697, ",",H697,",",I697)</f>
        <v>렵,쵸,1</v>
      </c>
      <c r="K697" s="16" t="n">
        <f aca="false">IF(B697=-1,-1,VLOOKUP(C697,$T$1:$V$20,3))</f>
        <v>7</v>
      </c>
      <c r="L697" s="16" t="n">
        <f aca="false">IF(B697=-1,-1,VLOOKUP(D697,$Y$1:$AA$22,3))</f>
        <v>4</v>
      </c>
      <c r="N697" s="10" t="str">
        <f aca="false">_xlfn.UNICHAR(((C697*21)+G697)*28+44032)</f>
        <v>료</v>
      </c>
      <c r="O697" s="10" t="str">
        <f aca="false">_xlfn.UNICHAR(((F697*21)+D697)*28+44032)</f>
        <v>쳐</v>
      </c>
      <c r="P697" s="12" t="n">
        <f aca="false">COUNTIF($A$2:$A$3000, N697) + COUNTIF($A$2:$A$3000, O697)</f>
        <v>2</v>
      </c>
      <c r="Q697" s="16" t="str">
        <f aca="false">IF(OR(B697=-1,I697=0, P697&lt;&gt;2), "albhed_dummy", _xlfn.CONCAT("albhed ", RIGHT("  " &amp; K697,2),", ", RIGHT("  " &amp; L697,2), ", " ,"""",H697,""", ", """",N697,""", ","""",O697,""""," ; ", A697))</f>
        <v>albhed  7,  4, "쵸", "료", "쳐" ; 렵</v>
      </c>
    </row>
    <row r="698" customFormat="false" ht="17.9" hidden="false" customHeight="true" outlineLevel="0" collapsed="false">
      <c r="A698" s="16" t="s">
        <v>1572</v>
      </c>
      <c r="B698" s="16" t="n">
        <f aca="false">IF(_xlfn.UNICODE(A698)&lt;44032,-1,_xlfn.UNICODE(A698)-44032)</f>
        <v>3127</v>
      </c>
      <c r="C698" s="16" t="n">
        <f aca="false">IF(B698=-1,-1,INT((B698/28)/21))</f>
        <v>5</v>
      </c>
      <c r="D698" s="16" t="n">
        <f aca="false">IF(B698=-1, -1, MOD(INT(B698/28),21))</f>
        <v>6</v>
      </c>
      <c r="E698" s="16" t="n">
        <f aca="false">IF(B698=-1, -1, VLOOKUP(MOD(B698,28), $T$24:$U$52,2))</f>
        <v>19</v>
      </c>
      <c r="F698" s="16" t="n">
        <f aca="false">IF($B698=-1, -1, VLOOKUP(C698,$T$1:$V$20, 2))</f>
        <v>14</v>
      </c>
      <c r="G698" s="16" t="n">
        <f aca="false">IF($B698=-1, -1, VLOOKUP(D698,$Y$1:$Z$22,2))</f>
        <v>12</v>
      </c>
      <c r="H698" s="16" t="str">
        <f aca="false">_xlfn.UNICHAR(((F698*21)+G698)*28+44032)</f>
        <v>쵸</v>
      </c>
      <c r="I698" s="16" t="n">
        <f aca="false">IF(B698=-1, 1, COUNTIF($A$2:$A$3000, H698))</f>
        <v>1</v>
      </c>
      <c r="J698" s="10" t="str">
        <f aca="false">_xlfn.CONCAT(A698, ",",H698,",",I698)</f>
        <v>렷,쵸,1</v>
      </c>
      <c r="K698" s="16" t="n">
        <f aca="false">IF(B698=-1,-1,VLOOKUP(C698,$T$1:$V$20,3))</f>
        <v>7</v>
      </c>
      <c r="L698" s="16" t="n">
        <f aca="false">IF(B698=-1,-1,VLOOKUP(D698,$Y$1:$AA$22,3))</f>
        <v>4</v>
      </c>
      <c r="N698" s="10" t="str">
        <f aca="false">_xlfn.UNICHAR(((C698*21)+G698)*28+44032)</f>
        <v>료</v>
      </c>
      <c r="O698" s="10" t="str">
        <f aca="false">_xlfn.UNICHAR(((F698*21)+D698)*28+44032)</f>
        <v>쳐</v>
      </c>
      <c r="P698" s="12" t="n">
        <f aca="false">COUNTIF($A$2:$A$3000, N698) + COUNTIF($A$2:$A$3000, O698)</f>
        <v>2</v>
      </c>
      <c r="Q698" s="16" t="str">
        <f aca="false">IF(OR(B698=-1,I698=0, P698&lt;&gt;2), "albhed_dummy", _xlfn.CONCAT("albhed ", RIGHT("  " &amp; K698,2),", ", RIGHT("  " &amp; L698,2), ", " ,"""",H698,""", ", """",N698,""", ","""",O698,""""," ; ", A698))</f>
        <v>albhed  7,  4, "쵸", "료", "쳐" ; 렷</v>
      </c>
    </row>
    <row r="699" customFormat="false" ht="17.9" hidden="false" customHeight="true" outlineLevel="0" collapsed="false">
      <c r="A699" s="16" t="s">
        <v>1573</v>
      </c>
      <c r="B699" s="16" t="n">
        <f aca="false">IF(_xlfn.UNICODE(A699)&lt;44032,-1,_xlfn.UNICODE(A699)-44032)</f>
        <v>3128</v>
      </c>
      <c r="C699" s="16" t="n">
        <f aca="false">IF(B699=-1,-1,INT((B699/28)/21))</f>
        <v>5</v>
      </c>
      <c r="D699" s="16" t="n">
        <f aca="false">IF(B699=-1, -1, MOD(INT(B699/28),21))</f>
        <v>6</v>
      </c>
      <c r="E699" s="16" t="n">
        <f aca="false">IF(B699=-1, -1, VLOOKUP(MOD(B699,28), $T$24:$U$52,2))</f>
        <v>19</v>
      </c>
      <c r="F699" s="16" t="n">
        <f aca="false">IF($B699=-1, -1, VLOOKUP(C699,$T$1:$V$20, 2))</f>
        <v>14</v>
      </c>
      <c r="G699" s="16" t="n">
        <f aca="false">IF($B699=-1, -1, VLOOKUP(D699,$Y$1:$Z$22,2))</f>
        <v>12</v>
      </c>
      <c r="H699" s="16" t="str">
        <f aca="false">_xlfn.UNICHAR(((F699*21)+G699)*28+44032)</f>
        <v>쵸</v>
      </c>
      <c r="I699" s="16" t="n">
        <f aca="false">IF(B699=-1, 1, COUNTIF($A$2:$A$3000, H699))</f>
        <v>1</v>
      </c>
      <c r="J699" s="10" t="str">
        <f aca="false">_xlfn.CONCAT(A699, ",",H699,",",I699)</f>
        <v>렸,쵸,1</v>
      </c>
      <c r="K699" s="16" t="n">
        <f aca="false">IF(B699=-1,-1,VLOOKUP(C699,$T$1:$V$20,3))</f>
        <v>7</v>
      </c>
      <c r="L699" s="16" t="n">
        <f aca="false">IF(B699=-1,-1,VLOOKUP(D699,$Y$1:$AA$22,3))</f>
        <v>4</v>
      </c>
      <c r="N699" s="10" t="str">
        <f aca="false">_xlfn.UNICHAR(((C699*21)+G699)*28+44032)</f>
        <v>료</v>
      </c>
      <c r="O699" s="10" t="str">
        <f aca="false">_xlfn.UNICHAR(((F699*21)+D699)*28+44032)</f>
        <v>쳐</v>
      </c>
      <c r="P699" s="12" t="n">
        <f aca="false">COUNTIF($A$2:$A$3000, N699) + COUNTIF($A$2:$A$3000, O699)</f>
        <v>2</v>
      </c>
      <c r="Q699" s="16" t="str">
        <f aca="false">IF(OR(B699=-1,I699=0, P699&lt;&gt;2), "albhed_dummy", _xlfn.CONCAT("albhed ", RIGHT("  " &amp; K699,2),", ", RIGHT("  " &amp; L699,2), ", " ,"""",H699,""", ", """",N699,""", ","""",O699,""""," ; ", A699))</f>
        <v>albhed  7,  4, "쵸", "료", "쳐" ; 렸</v>
      </c>
    </row>
    <row r="700" customFormat="false" ht="17.9" hidden="false" customHeight="true" outlineLevel="0" collapsed="false">
      <c r="A700" s="16" t="s">
        <v>1574</v>
      </c>
      <c r="B700" s="16" t="n">
        <f aca="false">IF(_xlfn.UNICODE(A700)&lt;44032,-1,_xlfn.UNICODE(A700)-44032)</f>
        <v>3129</v>
      </c>
      <c r="C700" s="16" t="n">
        <f aca="false">IF(B700=-1,-1,INT((B700/28)/21))</f>
        <v>5</v>
      </c>
      <c r="D700" s="16" t="n">
        <f aca="false">IF(B700=-1, -1, MOD(INT(B700/28),21))</f>
        <v>6</v>
      </c>
      <c r="E700" s="16" t="n">
        <f aca="false">IF(B700=-1, -1, VLOOKUP(MOD(B700,28), $T$24:$U$52,2))</f>
        <v>21</v>
      </c>
      <c r="F700" s="16" t="n">
        <f aca="false">IF($B700=-1, -1, VLOOKUP(C700,$T$1:$V$20, 2))</f>
        <v>14</v>
      </c>
      <c r="G700" s="16" t="n">
        <f aca="false">IF($B700=-1, -1, VLOOKUP(D700,$Y$1:$Z$22,2))</f>
        <v>12</v>
      </c>
      <c r="H700" s="16" t="str">
        <f aca="false">_xlfn.UNICHAR(((F700*21)+G700)*28+44032)</f>
        <v>쵸</v>
      </c>
      <c r="I700" s="16" t="n">
        <f aca="false">IF(B700=-1, 1, COUNTIF($A$2:$A$3000, H700))</f>
        <v>1</v>
      </c>
      <c r="J700" s="10" t="str">
        <f aca="false">_xlfn.CONCAT(A700, ",",H700,",",I700)</f>
        <v>령,쵸,1</v>
      </c>
      <c r="K700" s="16" t="n">
        <f aca="false">IF(B700=-1,-1,VLOOKUP(C700,$T$1:$V$20,3))</f>
        <v>7</v>
      </c>
      <c r="L700" s="16" t="n">
        <f aca="false">IF(B700=-1,-1,VLOOKUP(D700,$Y$1:$AA$22,3))</f>
        <v>4</v>
      </c>
      <c r="N700" s="10" t="str">
        <f aca="false">_xlfn.UNICHAR(((C700*21)+G700)*28+44032)</f>
        <v>료</v>
      </c>
      <c r="O700" s="10" t="str">
        <f aca="false">_xlfn.UNICHAR(((F700*21)+D700)*28+44032)</f>
        <v>쳐</v>
      </c>
      <c r="P700" s="12" t="n">
        <f aca="false">COUNTIF($A$2:$A$3000, N700) + COUNTIF($A$2:$A$3000, O700)</f>
        <v>2</v>
      </c>
      <c r="Q700" s="16" t="str">
        <f aca="false">IF(OR(B700=-1,I700=0, P700&lt;&gt;2), "albhed_dummy", _xlfn.CONCAT("albhed ", RIGHT("  " &amp; K700,2),", ", RIGHT("  " &amp; L700,2), ", " ,"""",H700,""", ", """",N700,""", ","""",O700,""""," ; ", A700))</f>
        <v>albhed  7,  4, "쵸", "료", "쳐" ; 령</v>
      </c>
    </row>
    <row r="701" customFormat="false" ht="17.9" hidden="false" customHeight="true" outlineLevel="0" collapsed="false">
      <c r="A701" s="16" t="s">
        <v>1575</v>
      </c>
      <c r="B701" s="16" t="n">
        <f aca="false">IF(_xlfn.UNICODE(A701)&lt;44032,-1,_xlfn.UNICODE(A701)-44032)</f>
        <v>3136</v>
      </c>
      <c r="C701" s="16" t="n">
        <f aca="false">IF(B701=-1,-1,INT((B701/28)/21))</f>
        <v>5</v>
      </c>
      <c r="D701" s="16" t="n">
        <f aca="false">IF(B701=-1, -1, MOD(INT(B701/28),21))</f>
        <v>7</v>
      </c>
      <c r="E701" s="16" t="n">
        <f aca="false">IF(B701=-1, -1, VLOOKUP(MOD(B701,28), $T$24:$U$52,2))</f>
        <v>0</v>
      </c>
      <c r="F701" s="16" t="n">
        <f aca="false">IF($B701=-1, -1, VLOOKUP(C701,$T$1:$V$20, 2))</f>
        <v>14</v>
      </c>
      <c r="G701" s="16" t="n">
        <f aca="false">IF($B701=-1, -1, VLOOKUP(D701,$Y$1:$Z$22,2))</f>
        <v>18</v>
      </c>
      <c r="H701" s="16" t="str">
        <f aca="false">_xlfn.UNICHAR(((F701*21)+G701)*28+44032)</f>
        <v>츠</v>
      </c>
      <c r="I701" s="16" t="n">
        <f aca="false">IF(B701=-1, 1, COUNTIF($A$2:$A$3000, H701))</f>
        <v>1</v>
      </c>
      <c r="J701" s="10" t="str">
        <f aca="false">_xlfn.CONCAT(A701, ",",H701,",",I701)</f>
        <v>례,츠,1</v>
      </c>
      <c r="K701" s="16" t="n">
        <f aca="false">IF(B701=-1,-1,VLOOKUP(C701,$T$1:$V$20,3))</f>
        <v>7</v>
      </c>
      <c r="L701" s="16" t="n">
        <f aca="false">IF(B701=-1,-1,VLOOKUP(D701,$Y$1:$AA$22,3))</f>
        <v>14</v>
      </c>
      <c r="N701" s="10" t="str">
        <f aca="false">_xlfn.UNICHAR(((C701*21)+G701)*28+44032)</f>
        <v>르</v>
      </c>
      <c r="O701" s="10" t="str">
        <f aca="false">_xlfn.UNICHAR(((F701*21)+D701)*28+44032)</f>
        <v>쳬</v>
      </c>
      <c r="P701" s="12" t="n">
        <f aca="false">COUNTIF($A$2:$A$3000, N701) + COUNTIF($A$2:$A$3000, O701)</f>
        <v>2</v>
      </c>
      <c r="Q701" s="16" t="str">
        <f aca="false">IF(OR(B701=-1,I701=0, P701&lt;&gt;2), "albhed_dummy", _xlfn.CONCAT("albhed ", RIGHT("  " &amp; K701,2),", ", RIGHT("  " &amp; L701,2), ", " ,"""",H701,""", ", """",N701,""", ","""",O701,""""," ; ", A701))</f>
        <v>albhed  7, 14, "츠", "르", "쳬" ; 례</v>
      </c>
    </row>
    <row r="702" customFormat="false" ht="17.9" hidden="false" customHeight="true" outlineLevel="0" collapsed="false">
      <c r="A702" s="16" t="s">
        <v>1576</v>
      </c>
      <c r="B702" s="16" t="n">
        <f aca="false">IF(_xlfn.UNICODE(A702)&lt;44032,-1,_xlfn.UNICODE(A702)-44032)</f>
        <v>3140</v>
      </c>
      <c r="C702" s="16" t="n">
        <f aca="false">IF(B702=-1,-1,INT((B702/28)/21))</f>
        <v>5</v>
      </c>
      <c r="D702" s="16" t="n">
        <f aca="false">IF(B702=-1, -1, MOD(INT(B702/28),21))</f>
        <v>7</v>
      </c>
      <c r="E702" s="16" t="n">
        <f aca="false">IF(B702=-1, -1, VLOOKUP(MOD(B702,28), $T$24:$U$52,2))</f>
        <v>4</v>
      </c>
      <c r="F702" s="16" t="n">
        <f aca="false">IF($B702=-1, -1, VLOOKUP(C702,$T$1:$V$20, 2))</f>
        <v>14</v>
      </c>
      <c r="G702" s="16" t="n">
        <f aca="false">IF($B702=-1, -1, VLOOKUP(D702,$Y$1:$Z$22,2))</f>
        <v>18</v>
      </c>
      <c r="H702" s="16" t="str">
        <f aca="false">_xlfn.UNICHAR(((F702*21)+G702)*28+44032)</f>
        <v>츠</v>
      </c>
      <c r="I702" s="16" t="n">
        <f aca="false">IF(B702=-1, 1, COUNTIF($A$2:$A$3000, H702))</f>
        <v>1</v>
      </c>
      <c r="J702" s="10" t="str">
        <f aca="false">_xlfn.CONCAT(A702, ",",H702,",",I702)</f>
        <v>롄,츠,1</v>
      </c>
      <c r="K702" s="16" t="n">
        <f aca="false">IF(B702=-1,-1,VLOOKUP(C702,$T$1:$V$20,3))</f>
        <v>7</v>
      </c>
      <c r="L702" s="16" t="n">
        <f aca="false">IF(B702=-1,-1,VLOOKUP(D702,$Y$1:$AA$22,3))</f>
        <v>14</v>
      </c>
      <c r="N702" s="10" t="str">
        <f aca="false">_xlfn.UNICHAR(((C702*21)+G702)*28+44032)</f>
        <v>르</v>
      </c>
      <c r="O702" s="10" t="str">
        <f aca="false">_xlfn.UNICHAR(((F702*21)+D702)*28+44032)</f>
        <v>쳬</v>
      </c>
      <c r="P702" s="12" t="n">
        <f aca="false">COUNTIF($A$2:$A$3000, N702) + COUNTIF($A$2:$A$3000, O702)</f>
        <v>2</v>
      </c>
      <c r="Q702" s="16" t="str">
        <f aca="false">IF(OR(B702=-1,I702=0, P702&lt;&gt;2), "albhed_dummy", _xlfn.CONCAT("albhed ", RIGHT("  " &amp; K702,2),", ", RIGHT("  " &amp; L702,2), ", " ,"""",H702,""", ", """",N702,""", ","""",O702,""""," ; ", A702))</f>
        <v>albhed  7, 14, "츠", "르", "쳬" ; 롄</v>
      </c>
    </row>
    <row r="703" customFormat="false" ht="17.9" hidden="false" customHeight="true" outlineLevel="0" collapsed="false">
      <c r="A703" s="16" t="s">
        <v>1577</v>
      </c>
      <c r="B703" s="16" t="n">
        <f aca="false">IF(_xlfn.UNICODE(A703)&lt;44032,-1,_xlfn.UNICODE(A703)-44032)</f>
        <v>3153</v>
      </c>
      <c r="C703" s="16" t="n">
        <f aca="false">IF(B703=-1,-1,INT((B703/28)/21))</f>
        <v>5</v>
      </c>
      <c r="D703" s="16" t="n">
        <f aca="false">IF(B703=-1, -1, MOD(INT(B703/28),21))</f>
        <v>7</v>
      </c>
      <c r="E703" s="16" t="n">
        <f aca="false">IF(B703=-1, -1, VLOOKUP(MOD(B703,28), $T$24:$U$52,2))</f>
        <v>17</v>
      </c>
      <c r="F703" s="16" t="n">
        <f aca="false">IF($B703=-1, -1, VLOOKUP(C703,$T$1:$V$20, 2))</f>
        <v>14</v>
      </c>
      <c r="G703" s="16" t="n">
        <f aca="false">IF($B703=-1, -1, VLOOKUP(D703,$Y$1:$Z$22,2))</f>
        <v>18</v>
      </c>
      <c r="H703" s="16" t="str">
        <f aca="false">_xlfn.UNICHAR(((F703*21)+G703)*28+44032)</f>
        <v>츠</v>
      </c>
      <c r="I703" s="16" t="n">
        <f aca="false">IF(B703=-1, 1, COUNTIF($A$2:$A$3000, H703))</f>
        <v>1</v>
      </c>
      <c r="J703" s="10" t="str">
        <f aca="false">_xlfn.CONCAT(A703, ",",H703,",",I703)</f>
        <v>롑,츠,1</v>
      </c>
      <c r="K703" s="16" t="n">
        <f aca="false">IF(B703=-1,-1,VLOOKUP(C703,$T$1:$V$20,3))</f>
        <v>7</v>
      </c>
      <c r="L703" s="16" t="n">
        <f aca="false">IF(B703=-1,-1,VLOOKUP(D703,$Y$1:$AA$22,3))</f>
        <v>14</v>
      </c>
      <c r="N703" s="10" t="str">
        <f aca="false">_xlfn.UNICHAR(((C703*21)+G703)*28+44032)</f>
        <v>르</v>
      </c>
      <c r="O703" s="10" t="str">
        <f aca="false">_xlfn.UNICHAR(((F703*21)+D703)*28+44032)</f>
        <v>쳬</v>
      </c>
      <c r="P703" s="12" t="n">
        <f aca="false">COUNTIF($A$2:$A$3000, N703) + COUNTIF($A$2:$A$3000, O703)</f>
        <v>2</v>
      </c>
      <c r="Q703" s="16" t="str">
        <f aca="false">IF(OR(B703=-1,I703=0, P703&lt;&gt;2), "albhed_dummy", _xlfn.CONCAT("albhed ", RIGHT("  " &amp; K703,2),", ", RIGHT("  " &amp; L703,2), ", " ,"""",H703,""", ", """",N703,""", ","""",O703,""""," ; ", A703))</f>
        <v>albhed  7, 14, "츠", "르", "쳬" ; 롑</v>
      </c>
    </row>
    <row r="704" customFormat="false" ht="17.9" hidden="false" customHeight="true" outlineLevel="0" collapsed="false">
      <c r="A704" s="16" t="s">
        <v>1578</v>
      </c>
      <c r="B704" s="16" t="n">
        <f aca="false">IF(_xlfn.UNICODE(A704)&lt;44032,-1,_xlfn.UNICODE(A704)-44032)</f>
        <v>3155</v>
      </c>
      <c r="C704" s="16" t="n">
        <f aca="false">IF(B704=-1,-1,INT((B704/28)/21))</f>
        <v>5</v>
      </c>
      <c r="D704" s="16" t="n">
        <f aca="false">IF(B704=-1, -1, MOD(INT(B704/28),21))</f>
        <v>7</v>
      </c>
      <c r="E704" s="16" t="n">
        <f aca="false">IF(B704=-1, -1, VLOOKUP(MOD(B704,28), $T$24:$U$52,2))</f>
        <v>19</v>
      </c>
      <c r="F704" s="16" t="n">
        <f aca="false">IF($B704=-1, -1, VLOOKUP(C704,$T$1:$V$20, 2))</f>
        <v>14</v>
      </c>
      <c r="G704" s="16" t="n">
        <f aca="false">IF($B704=-1, -1, VLOOKUP(D704,$Y$1:$Z$22,2))</f>
        <v>18</v>
      </c>
      <c r="H704" s="16" t="str">
        <f aca="false">_xlfn.UNICHAR(((F704*21)+G704)*28+44032)</f>
        <v>츠</v>
      </c>
      <c r="I704" s="16" t="n">
        <f aca="false">IF(B704=-1, 1, COUNTIF($A$2:$A$3000, H704))</f>
        <v>1</v>
      </c>
      <c r="J704" s="10" t="str">
        <f aca="false">_xlfn.CONCAT(A704, ",",H704,",",I704)</f>
        <v>롓,츠,1</v>
      </c>
      <c r="K704" s="16" t="n">
        <f aca="false">IF(B704=-1,-1,VLOOKUP(C704,$T$1:$V$20,3))</f>
        <v>7</v>
      </c>
      <c r="L704" s="16" t="n">
        <f aca="false">IF(B704=-1,-1,VLOOKUP(D704,$Y$1:$AA$22,3))</f>
        <v>14</v>
      </c>
      <c r="N704" s="10" t="str">
        <f aca="false">_xlfn.UNICHAR(((C704*21)+G704)*28+44032)</f>
        <v>르</v>
      </c>
      <c r="O704" s="10" t="str">
        <f aca="false">_xlfn.UNICHAR(((F704*21)+D704)*28+44032)</f>
        <v>쳬</v>
      </c>
      <c r="P704" s="12" t="n">
        <f aca="false">COUNTIF($A$2:$A$3000, N704) + COUNTIF($A$2:$A$3000, O704)</f>
        <v>2</v>
      </c>
      <c r="Q704" s="16" t="str">
        <f aca="false">IF(OR(B704=-1,I704=0, P704&lt;&gt;2), "albhed_dummy", _xlfn.CONCAT("albhed ", RIGHT("  " &amp; K704,2),", ", RIGHT("  " &amp; L704,2), ", " ,"""",H704,""", ", """",N704,""", ","""",O704,""""," ; ", A704))</f>
        <v>albhed  7, 14, "츠", "르", "쳬" ; 롓</v>
      </c>
    </row>
    <row r="705" customFormat="false" ht="17.9" hidden="false" customHeight="true" outlineLevel="0" collapsed="false">
      <c r="A705" s="16" t="s">
        <v>1579</v>
      </c>
      <c r="B705" s="16" t="n">
        <f aca="false">IF(_xlfn.UNICODE(A705)&lt;44032,-1,_xlfn.UNICODE(A705)-44032)</f>
        <v>3164</v>
      </c>
      <c r="C705" s="16" t="n">
        <f aca="false">IF(B705=-1,-1,INT((B705/28)/21))</f>
        <v>5</v>
      </c>
      <c r="D705" s="16" t="n">
        <f aca="false">IF(B705=-1, -1, MOD(INT(B705/28),21))</f>
        <v>8</v>
      </c>
      <c r="E705" s="16" t="n">
        <f aca="false">IF(B705=-1, -1, VLOOKUP(MOD(B705,28), $T$24:$U$52,2))</f>
        <v>0</v>
      </c>
      <c r="F705" s="16" t="n">
        <f aca="false">IF($B705=-1, -1, VLOOKUP(C705,$T$1:$V$20, 2))</f>
        <v>14</v>
      </c>
      <c r="G705" s="16" t="n">
        <f aca="false">IF($B705=-1, -1, VLOOKUP(D705,$Y$1:$Z$22,2))</f>
        <v>4</v>
      </c>
      <c r="H705" s="16" t="str">
        <f aca="false">_xlfn.UNICHAR(((F705*21)+G705)*28+44032)</f>
        <v>처</v>
      </c>
      <c r="I705" s="16" t="n">
        <f aca="false">IF(B705=-1, 1, COUNTIF($A$2:$A$3000, H705))</f>
        <v>1</v>
      </c>
      <c r="J705" s="10" t="str">
        <f aca="false">_xlfn.CONCAT(A705, ",",H705,",",I705)</f>
        <v>로,처,1</v>
      </c>
      <c r="K705" s="16" t="n">
        <f aca="false">IF(B705=-1,-1,VLOOKUP(C705,$T$1:$V$20,3))</f>
        <v>7</v>
      </c>
      <c r="L705" s="16" t="n">
        <f aca="false">IF(B705=-1,-1,VLOOKUP(D705,$Y$1:$AA$22,3))</f>
        <v>8</v>
      </c>
      <c r="N705" s="10" t="str">
        <f aca="false">_xlfn.UNICHAR(((C705*21)+G705)*28+44032)</f>
        <v>러</v>
      </c>
      <c r="O705" s="10" t="str">
        <f aca="false">_xlfn.UNICHAR(((F705*21)+D705)*28+44032)</f>
        <v>초</v>
      </c>
      <c r="P705" s="12" t="n">
        <f aca="false">COUNTIF($A$2:$A$3000, N705) + COUNTIF($A$2:$A$3000, O705)</f>
        <v>2</v>
      </c>
      <c r="Q705" s="16" t="str">
        <f aca="false">IF(OR(B705=-1,I705=0, P705&lt;&gt;2), "albhed_dummy", _xlfn.CONCAT("albhed ", RIGHT("  " &amp; K705,2),", ", RIGHT("  " &amp; L705,2), ", " ,"""",H705,""", ", """",N705,""", ","""",O705,""""," ; ", A705))</f>
        <v>albhed  7,  8, "처", "러", "초" ; 로</v>
      </c>
    </row>
    <row r="706" customFormat="false" ht="17.9" hidden="false" customHeight="true" outlineLevel="0" collapsed="false">
      <c r="A706" s="16" t="s">
        <v>1580</v>
      </c>
      <c r="B706" s="16" t="n">
        <f aca="false">IF(_xlfn.UNICODE(A706)&lt;44032,-1,_xlfn.UNICODE(A706)-44032)</f>
        <v>3165</v>
      </c>
      <c r="C706" s="16" t="n">
        <f aca="false">IF(B706=-1,-1,INT((B706/28)/21))</f>
        <v>5</v>
      </c>
      <c r="D706" s="16" t="n">
        <f aca="false">IF(B706=-1, -1, MOD(INT(B706/28),21))</f>
        <v>8</v>
      </c>
      <c r="E706" s="16" t="n">
        <f aca="false">IF(B706=-1, -1, VLOOKUP(MOD(B706,28), $T$24:$U$52,2))</f>
        <v>1</v>
      </c>
      <c r="F706" s="16" t="n">
        <f aca="false">IF($B706=-1, -1, VLOOKUP(C706,$T$1:$V$20, 2))</f>
        <v>14</v>
      </c>
      <c r="G706" s="16" t="n">
        <f aca="false">IF($B706=-1, -1, VLOOKUP(D706,$Y$1:$Z$22,2))</f>
        <v>4</v>
      </c>
      <c r="H706" s="16" t="str">
        <f aca="false">_xlfn.UNICHAR(((F706*21)+G706)*28+44032)</f>
        <v>처</v>
      </c>
      <c r="I706" s="16" t="n">
        <f aca="false">IF(B706=-1, 1, COUNTIF($A$2:$A$3000, H706))</f>
        <v>1</v>
      </c>
      <c r="J706" s="10" t="str">
        <f aca="false">_xlfn.CONCAT(A706, ",",H706,",",I706)</f>
        <v>록,처,1</v>
      </c>
      <c r="K706" s="16" t="n">
        <f aca="false">IF(B706=-1,-1,VLOOKUP(C706,$T$1:$V$20,3))</f>
        <v>7</v>
      </c>
      <c r="L706" s="16" t="n">
        <f aca="false">IF(B706=-1,-1,VLOOKUP(D706,$Y$1:$AA$22,3))</f>
        <v>8</v>
      </c>
      <c r="N706" s="10" t="str">
        <f aca="false">_xlfn.UNICHAR(((C706*21)+G706)*28+44032)</f>
        <v>러</v>
      </c>
      <c r="O706" s="10" t="str">
        <f aca="false">_xlfn.UNICHAR(((F706*21)+D706)*28+44032)</f>
        <v>초</v>
      </c>
      <c r="P706" s="12" t="n">
        <f aca="false">COUNTIF($A$2:$A$3000, N706) + COUNTIF($A$2:$A$3000, O706)</f>
        <v>2</v>
      </c>
      <c r="Q706" s="16" t="str">
        <f aca="false">IF(OR(B706=-1,I706=0, P706&lt;&gt;2), "albhed_dummy", _xlfn.CONCAT("albhed ", RIGHT("  " &amp; K706,2),", ", RIGHT("  " &amp; L706,2), ", " ,"""",H706,""", ", """",N706,""", ","""",O706,""""," ; ", A706))</f>
        <v>albhed  7,  8, "처", "러", "초" ; 록</v>
      </c>
    </row>
    <row r="707" customFormat="false" ht="17.9" hidden="false" customHeight="true" outlineLevel="0" collapsed="false">
      <c r="A707" s="16" t="s">
        <v>1581</v>
      </c>
      <c r="B707" s="16" t="n">
        <f aca="false">IF(_xlfn.UNICODE(A707)&lt;44032,-1,_xlfn.UNICODE(A707)-44032)</f>
        <v>3168</v>
      </c>
      <c r="C707" s="16" t="n">
        <f aca="false">IF(B707=-1,-1,INT((B707/28)/21))</f>
        <v>5</v>
      </c>
      <c r="D707" s="16" t="n">
        <f aca="false">IF(B707=-1, -1, MOD(INT(B707/28),21))</f>
        <v>8</v>
      </c>
      <c r="E707" s="16" t="n">
        <f aca="false">IF(B707=-1, -1, VLOOKUP(MOD(B707,28), $T$24:$U$52,2))</f>
        <v>4</v>
      </c>
      <c r="F707" s="16" t="n">
        <f aca="false">IF($B707=-1, -1, VLOOKUP(C707,$T$1:$V$20, 2))</f>
        <v>14</v>
      </c>
      <c r="G707" s="16" t="n">
        <f aca="false">IF($B707=-1, -1, VLOOKUP(D707,$Y$1:$Z$22,2))</f>
        <v>4</v>
      </c>
      <c r="H707" s="16" t="str">
        <f aca="false">_xlfn.UNICHAR(((F707*21)+G707)*28+44032)</f>
        <v>처</v>
      </c>
      <c r="I707" s="16" t="n">
        <f aca="false">IF(B707=-1, 1, COUNTIF($A$2:$A$3000, H707))</f>
        <v>1</v>
      </c>
      <c r="J707" s="10" t="str">
        <f aca="false">_xlfn.CONCAT(A707, ",",H707,",",I707)</f>
        <v>론,처,1</v>
      </c>
      <c r="K707" s="16" t="n">
        <f aca="false">IF(B707=-1,-1,VLOOKUP(C707,$T$1:$V$20,3))</f>
        <v>7</v>
      </c>
      <c r="L707" s="16" t="n">
        <f aca="false">IF(B707=-1,-1,VLOOKUP(D707,$Y$1:$AA$22,3))</f>
        <v>8</v>
      </c>
      <c r="N707" s="10" t="str">
        <f aca="false">_xlfn.UNICHAR(((C707*21)+G707)*28+44032)</f>
        <v>러</v>
      </c>
      <c r="O707" s="10" t="str">
        <f aca="false">_xlfn.UNICHAR(((F707*21)+D707)*28+44032)</f>
        <v>초</v>
      </c>
      <c r="P707" s="12" t="n">
        <f aca="false">COUNTIF($A$2:$A$3000, N707) + COUNTIF($A$2:$A$3000, O707)</f>
        <v>2</v>
      </c>
      <c r="Q707" s="16" t="str">
        <f aca="false">IF(OR(B707=-1,I707=0, P707&lt;&gt;2), "albhed_dummy", _xlfn.CONCAT("albhed ", RIGHT("  " &amp; K707,2),", ", RIGHT("  " &amp; L707,2), ", " ,"""",H707,""", ", """",N707,""", ","""",O707,""""," ; ", A707))</f>
        <v>albhed  7,  8, "처", "러", "초" ; 론</v>
      </c>
    </row>
    <row r="708" customFormat="false" ht="17.9" hidden="false" customHeight="true" outlineLevel="0" collapsed="false">
      <c r="A708" s="16" t="s">
        <v>1582</v>
      </c>
      <c r="B708" s="16" t="n">
        <f aca="false">IF(_xlfn.UNICODE(A708)&lt;44032,-1,_xlfn.UNICODE(A708)-44032)</f>
        <v>3172</v>
      </c>
      <c r="C708" s="16" t="n">
        <f aca="false">IF(B708=-1,-1,INT((B708/28)/21))</f>
        <v>5</v>
      </c>
      <c r="D708" s="16" t="n">
        <f aca="false">IF(B708=-1, -1, MOD(INT(B708/28),21))</f>
        <v>8</v>
      </c>
      <c r="E708" s="16" t="n">
        <f aca="false">IF(B708=-1, -1, VLOOKUP(MOD(B708,28), $T$24:$U$52,2))</f>
        <v>8</v>
      </c>
      <c r="F708" s="16" t="n">
        <f aca="false">IF($B708=-1, -1, VLOOKUP(C708,$T$1:$V$20, 2))</f>
        <v>14</v>
      </c>
      <c r="G708" s="16" t="n">
        <f aca="false">IF($B708=-1, -1, VLOOKUP(D708,$Y$1:$Z$22,2))</f>
        <v>4</v>
      </c>
      <c r="H708" s="16" t="str">
        <f aca="false">_xlfn.UNICHAR(((F708*21)+G708)*28+44032)</f>
        <v>처</v>
      </c>
      <c r="I708" s="16" t="n">
        <f aca="false">IF(B708=-1, 1, COUNTIF($A$2:$A$3000, H708))</f>
        <v>1</v>
      </c>
      <c r="J708" s="10" t="str">
        <f aca="false">_xlfn.CONCAT(A708, ",",H708,",",I708)</f>
        <v>롤,처,1</v>
      </c>
      <c r="K708" s="16" t="n">
        <f aca="false">IF(B708=-1,-1,VLOOKUP(C708,$T$1:$V$20,3))</f>
        <v>7</v>
      </c>
      <c r="L708" s="16" t="n">
        <f aca="false">IF(B708=-1,-1,VLOOKUP(D708,$Y$1:$AA$22,3))</f>
        <v>8</v>
      </c>
      <c r="N708" s="10" t="str">
        <f aca="false">_xlfn.UNICHAR(((C708*21)+G708)*28+44032)</f>
        <v>러</v>
      </c>
      <c r="O708" s="10" t="str">
        <f aca="false">_xlfn.UNICHAR(((F708*21)+D708)*28+44032)</f>
        <v>초</v>
      </c>
      <c r="P708" s="12" t="n">
        <f aca="false">COUNTIF($A$2:$A$3000, N708) + COUNTIF($A$2:$A$3000, O708)</f>
        <v>2</v>
      </c>
      <c r="Q708" s="16" t="str">
        <f aca="false">IF(OR(B708=-1,I708=0, P708&lt;&gt;2), "albhed_dummy", _xlfn.CONCAT("albhed ", RIGHT("  " &amp; K708,2),", ", RIGHT("  " &amp; L708,2), ", " ,"""",H708,""", ", """",N708,""", ","""",O708,""""," ; ", A708))</f>
        <v>albhed  7,  8, "처", "러", "초" ; 롤</v>
      </c>
    </row>
    <row r="709" customFormat="false" ht="17.9" hidden="false" customHeight="true" outlineLevel="0" collapsed="false">
      <c r="A709" s="16" t="s">
        <v>1583</v>
      </c>
      <c r="B709" s="16" t="n">
        <f aca="false">IF(_xlfn.UNICODE(A709)&lt;44032,-1,_xlfn.UNICODE(A709)-44032)</f>
        <v>3180</v>
      </c>
      <c r="C709" s="16" t="n">
        <f aca="false">IF(B709=-1,-1,INT((B709/28)/21))</f>
        <v>5</v>
      </c>
      <c r="D709" s="16" t="n">
        <f aca="false">IF(B709=-1, -1, MOD(INT(B709/28),21))</f>
        <v>8</v>
      </c>
      <c r="E709" s="16" t="n">
        <f aca="false">IF(B709=-1, -1, VLOOKUP(MOD(B709,28), $T$24:$U$52,2))</f>
        <v>16</v>
      </c>
      <c r="F709" s="16" t="n">
        <f aca="false">IF($B709=-1, -1, VLOOKUP(C709,$T$1:$V$20, 2))</f>
        <v>14</v>
      </c>
      <c r="G709" s="16" t="n">
        <f aca="false">IF($B709=-1, -1, VLOOKUP(D709,$Y$1:$Z$22,2))</f>
        <v>4</v>
      </c>
      <c r="H709" s="16" t="str">
        <f aca="false">_xlfn.UNICHAR(((F709*21)+G709)*28+44032)</f>
        <v>처</v>
      </c>
      <c r="I709" s="16" t="n">
        <f aca="false">IF(B709=-1, 1, COUNTIF($A$2:$A$3000, H709))</f>
        <v>1</v>
      </c>
      <c r="J709" s="10" t="str">
        <f aca="false">_xlfn.CONCAT(A709, ",",H709,",",I709)</f>
        <v>롬,처,1</v>
      </c>
      <c r="K709" s="16" t="n">
        <f aca="false">IF(B709=-1,-1,VLOOKUP(C709,$T$1:$V$20,3))</f>
        <v>7</v>
      </c>
      <c r="L709" s="16" t="n">
        <f aca="false">IF(B709=-1,-1,VLOOKUP(D709,$Y$1:$AA$22,3))</f>
        <v>8</v>
      </c>
      <c r="N709" s="10" t="str">
        <f aca="false">_xlfn.UNICHAR(((C709*21)+G709)*28+44032)</f>
        <v>러</v>
      </c>
      <c r="O709" s="10" t="str">
        <f aca="false">_xlfn.UNICHAR(((F709*21)+D709)*28+44032)</f>
        <v>초</v>
      </c>
      <c r="P709" s="12" t="n">
        <f aca="false">COUNTIF($A$2:$A$3000, N709) + COUNTIF($A$2:$A$3000, O709)</f>
        <v>2</v>
      </c>
      <c r="Q709" s="16" t="str">
        <f aca="false">IF(OR(B709=-1,I709=0, P709&lt;&gt;2), "albhed_dummy", _xlfn.CONCAT("albhed ", RIGHT("  " &amp; K709,2),", ", RIGHT("  " &amp; L709,2), ", " ,"""",H709,""", ", """",N709,""", ","""",O709,""""," ; ", A709))</f>
        <v>albhed  7,  8, "처", "러", "초" ; 롬</v>
      </c>
    </row>
    <row r="710" customFormat="false" ht="17.9" hidden="false" customHeight="true" outlineLevel="0" collapsed="false">
      <c r="A710" s="16" t="s">
        <v>1584</v>
      </c>
      <c r="B710" s="16" t="n">
        <f aca="false">IF(_xlfn.UNICODE(A710)&lt;44032,-1,_xlfn.UNICODE(A710)-44032)</f>
        <v>3181</v>
      </c>
      <c r="C710" s="16" t="n">
        <f aca="false">IF(B710=-1,-1,INT((B710/28)/21))</f>
        <v>5</v>
      </c>
      <c r="D710" s="16" t="n">
        <f aca="false">IF(B710=-1, -1, MOD(INT(B710/28),21))</f>
        <v>8</v>
      </c>
      <c r="E710" s="16" t="n">
        <f aca="false">IF(B710=-1, -1, VLOOKUP(MOD(B710,28), $T$24:$U$52,2))</f>
        <v>17</v>
      </c>
      <c r="F710" s="16" t="n">
        <f aca="false">IF($B710=-1, -1, VLOOKUP(C710,$T$1:$V$20, 2))</f>
        <v>14</v>
      </c>
      <c r="G710" s="16" t="n">
        <f aca="false">IF($B710=-1, -1, VLOOKUP(D710,$Y$1:$Z$22,2))</f>
        <v>4</v>
      </c>
      <c r="H710" s="16" t="str">
        <f aca="false">_xlfn.UNICHAR(((F710*21)+G710)*28+44032)</f>
        <v>처</v>
      </c>
      <c r="I710" s="16" t="n">
        <f aca="false">IF(B710=-1, 1, COUNTIF($A$2:$A$3000, H710))</f>
        <v>1</v>
      </c>
      <c r="J710" s="10" t="str">
        <f aca="false">_xlfn.CONCAT(A710, ",",H710,",",I710)</f>
        <v>롭,처,1</v>
      </c>
      <c r="K710" s="16" t="n">
        <f aca="false">IF(B710=-1,-1,VLOOKUP(C710,$T$1:$V$20,3))</f>
        <v>7</v>
      </c>
      <c r="L710" s="16" t="n">
        <f aca="false">IF(B710=-1,-1,VLOOKUP(D710,$Y$1:$AA$22,3))</f>
        <v>8</v>
      </c>
      <c r="N710" s="10" t="str">
        <f aca="false">_xlfn.UNICHAR(((C710*21)+G710)*28+44032)</f>
        <v>러</v>
      </c>
      <c r="O710" s="10" t="str">
        <f aca="false">_xlfn.UNICHAR(((F710*21)+D710)*28+44032)</f>
        <v>초</v>
      </c>
      <c r="P710" s="12" t="n">
        <f aca="false">COUNTIF($A$2:$A$3000, N710) + COUNTIF($A$2:$A$3000, O710)</f>
        <v>2</v>
      </c>
      <c r="Q710" s="16" t="str">
        <f aca="false">IF(OR(B710=-1,I710=0, P710&lt;&gt;2), "albhed_dummy", _xlfn.CONCAT("albhed ", RIGHT("  " &amp; K710,2),", ", RIGHT("  " &amp; L710,2), ", " ,"""",H710,""", ", """",N710,""", ","""",O710,""""," ; ", A710))</f>
        <v>albhed  7,  8, "처", "러", "초" ; 롭</v>
      </c>
    </row>
    <row r="711" customFormat="false" ht="17.9" hidden="false" customHeight="true" outlineLevel="0" collapsed="false">
      <c r="A711" s="16" t="s">
        <v>1585</v>
      </c>
      <c r="B711" s="16" t="n">
        <f aca="false">IF(_xlfn.UNICODE(A711)&lt;44032,-1,_xlfn.UNICODE(A711)-44032)</f>
        <v>3183</v>
      </c>
      <c r="C711" s="16" t="n">
        <f aca="false">IF(B711=-1,-1,INT((B711/28)/21))</f>
        <v>5</v>
      </c>
      <c r="D711" s="16" t="n">
        <f aca="false">IF(B711=-1, -1, MOD(INT(B711/28),21))</f>
        <v>8</v>
      </c>
      <c r="E711" s="16" t="n">
        <f aca="false">IF(B711=-1, -1, VLOOKUP(MOD(B711,28), $T$24:$U$52,2))</f>
        <v>19</v>
      </c>
      <c r="F711" s="16" t="n">
        <f aca="false">IF($B711=-1, -1, VLOOKUP(C711,$T$1:$V$20, 2))</f>
        <v>14</v>
      </c>
      <c r="G711" s="16" t="n">
        <f aca="false">IF($B711=-1, -1, VLOOKUP(D711,$Y$1:$Z$22,2))</f>
        <v>4</v>
      </c>
      <c r="H711" s="16" t="str">
        <f aca="false">_xlfn.UNICHAR(((F711*21)+G711)*28+44032)</f>
        <v>처</v>
      </c>
      <c r="I711" s="16" t="n">
        <f aca="false">IF(B711=-1, 1, COUNTIF($A$2:$A$3000, H711))</f>
        <v>1</v>
      </c>
      <c r="J711" s="10" t="str">
        <f aca="false">_xlfn.CONCAT(A711, ",",H711,",",I711)</f>
        <v>롯,처,1</v>
      </c>
      <c r="K711" s="16" t="n">
        <f aca="false">IF(B711=-1,-1,VLOOKUP(C711,$T$1:$V$20,3))</f>
        <v>7</v>
      </c>
      <c r="L711" s="16" t="n">
        <f aca="false">IF(B711=-1,-1,VLOOKUP(D711,$Y$1:$AA$22,3))</f>
        <v>8</v>
      </c>
      <c r="N711" s="10" t="str">
        <f aca="false">_xlfn.UNICHAR(((C711*21)+G711)*28+44032)</f>
        <v>러</v>
      </c>
      <c r="O711" s="10" t="str">
        <f aca="false">_xlfn.UNICHAR(((F711*21)+D711)*28+44032)</f>
        <v>초</v>
      </c>
      <c r="P711" s="12" t="n">
        <f aca="false">COUNTIF($A$2:$A$3000, N711) + COUNTIF($A$2:$A$3000, O711)</f>
        <v>2</v>
      </c>
      <c r="Q711" s="16" t="str">
        <f aca="false">IF(OR(B711=-1,I711=0, P711&lt;&gt;2), "albhed_dummy", _xlfn.CONCAT("albhed ", RIGHT("  " &amp; K711,2),", ", RIGHT("  " &amp; L711,2), ", " ,"""",H711,""", ", """",N711,""", ","""",O711,""""," ; ", A711))</f>
        <v>albhed  7,  8, "처", "러", "초" ; 롯</v>
      </c>
    </row>
    <row r="712" customFormat="false" ht="17.9" hidden="false" customHeight="true" outlineLevel="0" collapsed="false">
      <c r="A712" s="16" t="s">
        <v>1586</v>
      </c>
      <c r="B712" s="16" t="n">
        <f aca="false">IF(_xlfn.UNICODE(A712)&lt;44032,-1,_xlfn.UNICODE(A712)-44032)</f>
        <v>3185</v>
      </c>
      <c r="C712" s="16" t="n">
        <f aca="false">IF(B712=-1,-1,INT((B712/28)/21))</f>
        <v>5</v>
      </c>
      <c r="D712" s="16" t="n">
        <f aca="false">IF(B712=-1, -1, MOD(INT(B712/28),21))</f>
        <v>8</v>
      </c>
      <c r="E712" s="16" t="n">
        <f aca="false">IF(B712=-1, -1, VLOOKUP(MOD(B712,28), $T$24:$U$52,2))</f>
        <v>21</v>
      </c>
      <c r="F712" s="16" t="n">
        <f aca="false">IF($B712=-1, -1, VLOOKUP(C712,$T$1:$V$20, 2))</f>
        <v>14</v>
      </c>
      <c r="G712" s="16" t="n">
        <f aca="false">IF($B712=-1, -1, VLOOKUP(D712,$Y$1:$Z$22,2))</f>
        <v>4</v>
      </c>
      <c r="H712" s="16" t="str">
        <f aca="false">_xlfn.UNICHAR(((F712*21)+G712)*28+44032)</f>
        <v>처</v>
      </c>
      <c r="I712" s="16" t="n">
        <f aca="false">IF(B712=-1, 1, COUNTIF($A$2:$A$3000, H712))</f>
        <v>1</v>
      </c>
      <c r="J712" s="10" t="str">
        <f aca="false">_xlfn.CONCAT(A712, ",",H712,",",I712)</f>
        <v>롱,처,1</v>
      </c>
      <c r="K712" s="16" t="n">
        <f aca="false">IF(B712=-1,-1,VLOOKUP(C712,$T$1:$V$20,3))</f>
        <v>7</v>
      </c>
      <c r="L712" s="16" t="n">
        <f aca="false">IF(B712=-1,-1,VLOOKUP(D712,$Y$1:$AA$22,3))</f>
        <v>8</v>
      </c>
      <c r="N712" s="10" t="str">
        <f aca="false">_xlfn.UNICHAR(((C712*21)+G712)*28+44032)</f>
        <v>러</v>
      </c>
      <c r="O712" s="10" t="str">
        <f aca="false">_xlfn.UNICHAR(((F712*21)+D712)*28+44032)</f>
        <v>초</v>
      </c>
      <c r="P712" s="12" t="n">
        <f aca="false">COUNTIF($A$2:$A$3000, N712) + COUNTIF($A$2:$A$3000, O712)</f>
        <v>2</v>
      </c>
      <c r="Q712" s="16" t="str">
        <f aca="false">IF(OR(B712=-1,I712=0, P712&lt;&gt;2), "albhed_dummy", _xlfn.CONCAT("albhed ", RIGHT("  " &amp; K712,2),", ", RIGHT("  " &amp; L712,2), ", " ,"""",H712,""", ", """",N712,""", ","""",O712,""""," ; ", A712))</f>
        <v>albhed  7,  8, "처", "러", "초" ; 롱</v>
      </c>
    </row>
    <row r="713" customFormat="false" ht="17.9" hidden="false" customHeight="true" outlineLevel="0" collapsed="false">
      <c r="A713" s="16" t="s">
        <v>1587</v>
      </c>
      <c r="B713" s="16" t="n">
        <f aca="false">IF(_xlfn.UNICODE(A713)&lt;44032,-1,_xlfn.UNICODE(A713)-44032)</f>
        <v>3192</v>
      </c>
      <c r="C713" s="16" t="n">
        <f aca="false">IF(B713=-1,-1,INT((B713/28)/21))</f>
        <v>5</v>
      </c>
      <c r="D713" s="16" t="n">
        <f aca="false">IF(B713=-1, -1, MOD(INT(B713/28),21))</f>
        <v>9</v>
      </c>
      <c r="E713" s="16" t="n">
        <f aca="false">IF(B713=-1, -1, VLOOKUP(MOD(B713,28), $T$24:$U$52,2))</f>
        <v>0</v>
      </c>
      <c r="F713" s="16" t="n">
        <f aca="false">IF($B713=-1, -1, VLOOKUP(C713,$T$1:$V$20, 2))</f>
        <v>14</v>
      </c>
      <c r="G713" s="16" t="n">
        <f aca="false">IF($B713=-1, -1, VLOOKUP(D713,$Y$1:$Z$22,2))</f>
        <v>20</v>
      </c>
      <c r="H713" s="16" t="str">
        <f aca="false">_xlfn.UNICHAR(((F713*21)+G713)*28+44032)</f>
        <v>치</v>
      </c>
      <c r="I713" s="16" t="n">
        <f aca="false">IF(B713=-1, 1, COUNTIF($A$2:$A$3000, H713))</f>
        <v>1</v>
      </c>
      <c r="J713" s="10" t="str">
        <f aca="false">_xlfn.CONCAT(A713, ",",H713,",",I713)</f>
        <v>롸,치,1</v>
      </c>
      <c r="K713" s="16" t="n">
        <f aca="false">IF(B713=-1,-1,VLOOKUP(C713,$T$1:$V$20,3))</f>
        <v>7</v>
      </c>
      <c r="L713" s="16" t="n">
        <f aca="false">IF(B713=-1,-1,VLOOKUP(D713,$Y$1:$AA$22,3))</f>
        <v>12</v>
      </c>
      <c r="N713" s="10" t="str">
        <f aca="false">_xlfn.UNICHAR(((C713*21)+G713)*28+44032)</f>
        <v>리</v>
      </c>
      <c r="O713" s="10" t="str">
        <f aca="false">_xlfn.UNICHAR(((F713*21)+D713)*28+44032)</f>
        <v>촤</v>
      </c>
      <c r="P713" s="12" t="n">
        <f aca="false">COUNTIF($A$2:$A$3000, N713) + COUNTIF($A$2:$A$3000, O713)</f>
        <v>2</v>
      </c>
      <c r="Q713" s="16" t="str">
        <f aca="false">IF(OR(B713=-1,I713=0, P713&lt;&gt;2), "albhed_dummy", _xlfn.CONCAT("albhed ", RIGHT("  " &amp; K713,2),", ", RIGHT("  " &amp; L713,2), ", " ,"""",H713,""", ", """",N713,""", ","""",O713,""""," ; ", A713))</f>
        <v>albhed  7, 12, "치", "리", "촤" ; 롸</v>
      </c>
    </row>
    <row r="714" customFormat="false" ht="17.9" hidden="false" customHeight="true" outlineLevel="0" collapsed="false">
      <c r="A714" s="16" t="s">
        <v>1588</v>
      </c>
      <c r="B714" s="16" t="n">
        <f aca="false">IF(_xlfn.UNICODE(A714)&lt;44032,-1,_xlfn.UNICODE(A714)-44032)</f>
        <v>3196</v>
      </c>
      <c r="C714" s="16" t="n">
        <f aca="false">IF(B714=-1,-1,INT((B714/28)/21))</f>
        <v>5</v>
      </c>
      <c r="D714" s="16" t="n">
        <f aca="false">IF(B714=-1, -1, MOD(INT(B714/28),21))</f>
        <v>9</v>
      </c>
      <c r="E714" s="16" t="n">
        <f aca="false">IF(B714=-1, -1, VLOOKUP(MOD(B714,28), $T$24:$U$52,2))</f>
        <v>4</v>
      </c>
      <c r="F714" s="16" t="n">
        <f aca="false">IF($B714=-1, -1, VLOOKUP(C714,$T$1:$V$20, 2))</f>
        <v>14</v>
      </c>
      <c r="G714" s="16" t="n">
        <f aca="false">IF($B714=-1, -1, VLOOKUP(D714,$Y$1:$Z$22,2))</f>
        <v>20</v>
      </c>
      <c r="H714" s="16" t="str">
        <f aca="false">_xlfn.UNICHAR(((F714*21)+G714)*28+44032)</f>
        <v>치</v>
      </c>
      <c r="I714" s="16" t="n">
        <f aca="false">IF(B714=-1, 1, COUNTIF($A$2:$A$3000, H714))</f>
        <v>1</v>
      </c>
      <c r="J714" s="10" t="str">
        <f aca="false">_xlfn.CONCAT(A714, ",",H714,",",I714)</f>
        <v>롼,치,1</v>
      </c>
      <c r="K714" s="16" t="n">
        <f aca="false">IF(B714=-1,-1,VLOOKUP(C714,$T$1:$V$20,3))</f>
        <v>7</v>
      </c>
      <c r="L714" s="16" t="n">
        <f aca="false">IF(B714=-1,-1,VLOOKUP(D714,$Y$1:$AA$22,3))</f>
        <v>12</v>
      </c>
      <c r="N714" s="10" t="str">
        <f aca="false">_xlfn.UNICHAR(((C714*21)+G714)*28+44032)</f>
        <v>리</v>
      </c>
      <c r="O714" s="10" t="str">
        <f aca="false">_xlfn.UNICHAR(((F714*21)+D714)*28+44032)</f>
        <v>촤</v>
      </c>
      <c r="P714" s="12" t="n">
        <f aca="false">COUNTIF($A$2:$A$3000, N714) + COUNTIF($A$2:$A$3000, O714)</f>
        <v>2</v>
      </c>
      <c r="Q714" s="16" t="str">
        <f aca="false">IF(OR(B714=-1,I714=0, P714&lt;&gt;2), "albhed_dummy", _xlfn.CONCAT("albhed ", RIGHT("  " &amp; K714,2),", ", RIGHT("  " &amp; L714,2), ", " ,"""",H714,""", ", """",N714,""", ","""",O714,""""," ; ", A714))</f>
        <v>albhed  7, 12, "치", "리", "촤" ; 롼</v>
      </c>
    </row>
    <row r="715" customFormat="false" ht="17.9" hidden="false" customHeight="true" outlineLevel="0" collapsed="false">
      <c r="A715" s="16" t="s">
        <v>1589</v>
      </c>
      <c r="B715" s="16" t="n">
        <f aca="false">IF(_xlfn.UNICODE(A715)&lt;44032,-1,_xlfn.UNICODE(A715)-44032)</f>
        <v>3213</v>
      </c>
      <c r="C715" s="16" t="n">
        <f aca="false">IF(B715=-1,-1,INT((B715/28)/21))</f>
        <v>5</v>
      </c>
      <c r="D715" s="16" t="n">
        <f aca="false">IF(B715=-1, -1, MOD(INT(B715/28),21))</f>
        <v>9</v>
      </c>
      <c r="E715" s="16" t="n">
        <f aca="false">IF(B715=-1, -1, VLOOKUP(MOD(B715,28), $T$24:$U$52,2))</f>
        <v>21</v>
      </c>
      <c r="F715" s="16" t="n">
        <f aca="false">IF($B715=-1, -1, VLOOKUP(C715,$T$1:$V$20, 2))</f>
        <v>14</v>
      </c>
      <c r="G715" s="16" t="n">
        <f aca="false">IF($B715=-1, -1, VLOOKUP(D715,$Y$1:$Z$22,2))</f>
        <v>20</v>
      </c>
      <c r="H715" s="16" t="str">
        <f aca="false">_xlfn.UNICHAR(((F715*21)+G715)*28+44032)</f>
        <v>치</v>
      </c>
      <c r="I715" s="16" t="n">
        <f aca="false">IF(B715=-1, 1, COUNTIF($A$2:$A$3000, H715))</f>
        <v>1</v>
      </c>
      <c r="J715" s="10" t="str">
        <f aca="false">_xlfn.CONCAT(A715, ",",H715,",",I715)</f>
        <v>뢍,치,1</v>
      </c>
      <c r="K715" s="16" t="n">
        <f aca="false">IF(B715=-1,-1,VLOOKUP(C715,$T$1:$V$20,3))</f>
        <v>7</v>
      </c>
      <c r="L715" s="16" t="n">
        <f aca="false">IF(B715=-1,-1,VLOOKUP(D715,$Y$1:$AA$22,3))</f>
        <v>12</v>
      </c>
      <c r="N715" s="10" t="str">
        <f aca="false">_xlfn.UNICHAR(((C715*21)+G715)*28+44032)</f>
        <v>리</v>
      </c>
      <c r="O715" s="10" t="str">
        <f aca="false">_xlfn.UNICHAR(((F715*21)+D715)*28+44032)</f>
        <v>촤</v>
      </c>
      <c r="P715" s="12" t="n">
        <f aca="false">COUNTIF($A$2:$A$3000, N715) + COUNTIF($A$2:$A$3000, O715)</f>
        <v>2</v>
      </c>
      <c r="Q715" s="16" t="str">
        <f aca="false">IF(OR(B715=-1,I715=0, P715&lt;&gt;2), "albhed_dummy", _xlfn.CONCAT("albhed ", RIGHT("  " &amp; K715,2),", ", RIGHT("  " &amp; L715,2), ", " ,"""",H715,""", ", """",N715,""", ","""",O715,""""," ; ", A715))</f>
        <v>albhed  7, 12, "치", "리", "촤" ; 뢍</v>
      </c>
    </row>
    <row r="716" customFormat="false" ht="17.9" hidden="false" customHeight="true" outlineLevel="0" collapsed="false">
      <c r="A716" s="16" t="s">
        <v>1590</v>
      </c>
      <c r="B716" s="16" t="n">
        <f aca="false">IF(_xlfn.UNICODE(A716)&lt;44032,-1,_xlfn.UNICODE(A716)-44032)</f>
        <v>3240</v>
      </c>
      <c r="C716" s="16" t="n">
        <f aca="false">IF(B716=-1,-1,INT((B716/28)/21))</f>
        <v>5</v>
      </c>
      <c r="D716" s="16" t="n">
        <f aca="false">IF(B716=-1, -1, MOD(INT(B716/28),21))</f>
        <v>10</v>
      </c>
      <c r="E716" s="16" t="n">
        <f aca="false">IF(B716=-1, -1, VLOOKUP(MOD(B716,28), $T$24:$U$52,2))</f>
        <v>19</v>
      </c>
      <c r="F716" s="16" t="n">
        <f aca="false">IF($B716=-1, -1, VLOOKUP(C716,$T$1:$V$20, 2))</f>
        <v>14</v>
      </c>
      <c r="G716" s="16" t="n">
        <f aca="false">IF($B716=-1, -1, VLOOKUP(D716,$Y$1:$Z$22,2))</f>
        <v>20</v>
      </c>
      <c r="H716" s="16" t="str">
        <f aca="false">_xlfn.UNICHAR(((F716*21)+G716)*28+44032)</f>
        <v>치</v>
      </c>
      <c r="I716" s="16" t="n">
        <f aca="false">IF(B716=-1, 1, COUNTIF($A$2:$A$3000, H716))</f>
        <v>1</v>
      </c>
      <c r="J716" s="10" t="str">
        <f aca="false">_xlfn.CONCAT(A716, ",",H716,",",I716)</f>
        <v>뢨,치,1</v>
      </c>
      <c r="K716" s="16" t="n">
        <f aca="false">IF(B716=-1,-1,VLOOKUP(C716,$T$1:$V$20,3))</f>
        <v>7</v>
      </c>
      <c r="L716" s="16" t="n">
        <f aca="false">IF(B716=-1,-1,VLOOKUP(D716,$Y$1:$AA$22,3))</f>
        <v>12</v>
      </c>
      <c r="N716" s="10" t="str">
        <f aca="false">_xlfn.UNICHAR(((C716*21)+G716)*28+44032)</f>
        <v>리</v>
      </c>
      <c r="O716" s="10" t="str">
        <f aca="false">_xlfn.UNICHAR(((F716*21)+D716)*28+44032)</f>
        <v>쵀</v>
      </c>
      <c r="P716" s="12" t="n">
        <f aca="false">COUNTIF($A$2:$A$3000, N716) + COUNTIF($A$2:$A$3000, O716)</f>
        <v>1</v>
      </c>
      <c r="Q716" s="16" t="str">
        <f aca="false">IF(OR(B716=-1,I716=0, P716&lt;&gt;2), "albhed_dummy", _xlfn.CONCAT("albhed ", RIGHT("  " &amp; K716,2),", ", RIGHT("  " &amp; L716,2), ", " ,"""",H716,""", ", """",N716,""", ","""",O716,""""," ; ", A716))</f>
        <v>albhed_dummy</v>
      </c>
    </row>
    <row r="717" customFormat="false" ht="17.9" hidden="false" customHeight="true" outlineLevel="0" collapsed="false">
      <c r="A717" s="16" t="s">
        <v>1591</v>
      </c>
      <c r="B717" s="16" t="n">
        <f aca="false">IF(_xlfn.UNICODE(A717)&lt;44032,-1,_xlfn.UNICODE(A717)-44032)</f>
        <v>3248</v>
      </c>
      <c r="C717" s="16" t="n">
        <f aca="false">IF(B717=-1,-1,INT((B717/28)/21))</f>
        <v>5</v>
      </c>
      <c r="D717" s="16" t="n">
        <f aca="false">IF(B717=-1, -1, MOD(INT(B717/28),21))</f>
        <v>11</v>
      </c>
      <c r="E717" s="16" t="n">
        <f aca="false">IF(B717=-1, -1, VLOOKUP(MOD(B717,28), $T$24:$U$52,2))</f>
        <v>0</v>
      </c>
      <c r="F717" s="16" t="n">
        <f aca="false">IF($B717=-1, -1, VLOOKUP(C717,$T$1:$V$20, 2))</f>
        <v>14</v>
      </c>
      <c r="G717" s="16" t="n">
        <f aca="false">IF($B717=-1, -1, VLOOKUP(D717,$Y$1:$Z$22,2))</f>
        <v>20</v>
      </c>
      <c r="H717" s="16" t="str">
        <f aca="false">_xlfn.UNICHAR(((F717*21)+G717)*28+44032)</f>
        <v>치</v>
      </c>
      <c r="I717" s="16" t="n">
        <f aca="false">IF(B717=-1, 1, COUNTIF($A$2:$A$3000, H717))</f>
        <v>1</v>
      </c>
      <c r="J717" s="10" t="str">
        <f aca="false">_xlfn.CONCAT(A717, ",",H717,",",I717)</f>
        <v>뢰,치,1</v>
      </c>
      <c r="K717" s="16" t="n">
        <f aca="false">IF(B717=-1,-1,VLOOKUP(C717,$T$1:$V$20,3))</f>
        <v>7</v>
      </c>
      <c r="L717" s="16" t="n">
        <f aca="false">IF(B717=-1,-1,VLOOKUP(D717,$Y$1:$AA$22,3))</f>
        <v>22</v>
      </c>
      <c r="N717" s="10" t="str">
        <f aca="false">_xlfn.UNICHAR(((C717*21)+G717)*28+44032)</f>
        <v>리</v>
      </c>
      <c r="O717" s="10" t="str">
        <f aca="false">_xlfn.UNICHAR(((F717*21)+D717)*28+44032)</f>
        <v>최</v>
      </c>
      <c r="P717" s="12" t="n">
        <f aca="false">COUNTIF($A$2:$A$3000, N717) + COUNTIF($A$2:$A$3000, O717)</f>
        <v>2</v>
      </c>
      <c r="Q717" s="16" t="str">
        <f aca="false">IF(OR(B717=-1,I717=0, P717&lt;&gt;2), "albhed_dummy", _xlfn.CONCAT("albhed ", RIGHT("  " &amp; K717,2),", ", RIGHT("  " &amp; L717,2), ", " ,"""",H717,""", ", """",N717,""", ","""",O717,""""," ; ", A717))</f>
        <v>albhed  7, 22, "치", "리", "최" ; 뢰</v>
      </c>
    </row>
    <row r="718" customFormat="false" ht="17.9" hidden="false" customHeight="true" outlineLevel="0" collapsed="false">
      <c r="A718" s="16" t="s">
        <v>1592</v>
      </c>
      <c r="B718" s="16" t="n">
        <f aca="false">IF(_xlfn.UNICODE(A718)&lt;44032,-1,_xlfn.UNICODE(A718)-44032)</f>
        <v>3252</v>
      </c>
      <c r="C718" s="16" t="n">
        <f aca="false">IF(B718=-1,-1,INT((B718/28)/21))</f>
        <v>5</v>
      </c>
      <c r="D718" s="16" t="n">
        <f aca="false">IF(B718=-1, -1, MOD(INT(B718/28),21))</f>
        <v>11</v>
      </c>
      <c r="E718" s="16" t="n">
        <f aca="false">IF(B718=-1, -1, VLOOKUP(MOD(B718,28), $T$24:$U$52,2))</f>
        <v>4</v>
      </c>
      <c r="F718" s="16" t="n">
        <f aca="false">IF($B718=-1, -1, VLOOKUP(C718,$T$1:$V$20, 2))</f>
        <v>14</v>
      </c>
      <c r="G718" s="16" t="n">
        <f aca="false">IF($B718=-1, -1, VLOOKUP(D718,$Y$1:$Z$22,2))</f>
        <v>20</v>
      </c>
      <c r="H718" s="16" t="str">
        <f aca="false">_xlfn.UNICHAR(((F718*21)+G718)*28+44032)</f>
        <v>치</v>
      </c>
      <c r="I718" s="16" t="n">
        <f aca="false">IF(B718=-1, 1, COUNTIF($A$2:$A$3000, H718))</f>
        <v>1</v>
      </c>
      <c r="J718" s="10" t="str">
        <f aca="false">_xlfn.CONCAT(A718, ",",H718,",",I718)</f>
        <v>뢴,치,1</v>
      </c>
      <c r="K718" s="16" t="n">
        <f aca="false">IF(B718=-1,-1,VLOOKUP(C718,$T$1:$V$20,3))</f>
        <v>7</v>
      </c>
      <c r="L718" s="16" t="n">
        <f aca="false">IF(B718=-1,-1,VLOOKUP(D718,$Y$1:$AA$22,3))</f>
        <v>22</v>
      </c>
      <c r="N718" s="10" t="str">
        <f aca="false">_xlfn.UNICHAR(((C718*21)+G718)*28+44032)</f>
        <v>리</v>
      </c>
      <c r="O718" s="10" t="str">
        <f aca="false">_xlfn.UNICHAR(((F718*21)+D718)*28+44032)</f>
        <v>최</v>
      </c>
      <c r="P718" s="12" t="n">
        <f aca="false">COUNTIF($A$2:$A$3000, N718) + COUNTIF($A$2:$A$3000, O718)</f>
        <v>2</v>
      </c>
      <c r="Q718" s="16" t="str">
        <f aca="false">IF(OR(B718=-1,I718=0, P718&lt;&gt;2), "albhed_dummy", _xlfn.CONCAT("albhed ", RIGHT("  " &amp; K718,2),", ", RIGHT("  " &amp; L718,2), ", " ,"""",H718,""", ", """",N718,""", ","""",O718,""""," ; ", A718))</f>
        <v>albhed  7, 22, "치", "리", "최" ; 뢴</v>
      </c>
    </row>
    <row r="719" customFormat="false" ht="17.9" hidden="false" customHeight="true" outlineLevel="0" collapsed="false">
      <c r="A719" s="16" t="s">
        <v>1593</v>
      </c>
      <c r="B719" s="16" t="n">
        <f aca="false">IF(_xlfn.UNICODE(A719)&lt;44032,-1,_xlfn.UNICODE(A719)-44032)</f>
        <v>3256</v>
      </c>
      <c r="C719" s="16" t="n">
        <f aca="false">IF(B719=-1,-1,INT((B719/28)/21))</f>
        <v>5</v>
      </c>
      <c r="D719" s="16" t="n">
        <f aca="false">IF(B719=-1, -1, MOD(INT(B719/28),21))</f>
        <v>11</v>
      </c>
      <c r="E719" s="16" t="n">
        <f aca="false">IF(B719=-1, -1, VLOOKUP(MOD(B719,28), $T$24:$U$52,2))</f>
        <v>8</v>
      </c>
      <c r="F719" s="16" t="n">
        <f aca="false">IF($B719=-1, -1, VLOOKUP(C719,$T$1:$V$20, 2))</f>
        <v>14</v>
      </c>
      <c r="G719" s="16" t="n">
        <f aca="false">IF($B719=-1, -1, VLOOKUP(D719,$Y$1:$Z$22,2))</f>
        <v>20</v>
      </c>
      <c r="H719" s="16" t="str">
        <f aca="false">_xlfn.UNICHAR(((F719*21)+G719)*28+44032)</f>
        <v>치</v>
      </c>
      <c r="I719" s="16" t="n">
        <f aca="false">IF(B719=-1, 1, COUNTIF($A$2:$A$3000, H719))</f>
        <v>1</v>
      </c>
      <c r="J719" s="10" t="str">
        <f aca="false">_xlfn.CONCAT(A719, ",",H719,",",I719)</f>
        <v>뢸,치,1</v>
      </c>
      <c r="K719" s="16" t="n">
        <f aca="false">IF(B719=-1,-1,VLOOKUP(C719,$T$1:$V$20,3))</f>
        <v>7</v>
      </c>
      <c r="L719" s="16" t="n">
        <f aca="false">IF(B719=-1,-1,VLOOKUP(D719,$Y$1:$AA$22,3))</f>
        <v>22</v>
      </c>
      <c r="N719" s="10" t="str">
        <f aca="false">_xlfn.UNICHAR(((C719*21)+G719)*28+44032)</f>
        <v>리</v>
      </c>
      <c r="O719" s="10" t="str">
        <f aca="false">_xlfn.UNICHAR(((F719*21)+D719)*28+44032)</f>
        <v>최</v>
      </c>
      <c r="P719" s="12" t="n">
        <f aca="false">COUNTIF($A$2:$A$3000, N719) + COUNTIF($A$2:$A$3000, O719)</f>
        <v>2</v>
      </c>
      <c r="Q719" s="16" t="str">
        <f aca="false">IF(OR(B719=-1,I719=0, P719&lt;&gt;2), "albhed_dummy", _xlfn.CONCAT("albhed ", RIGHT("  " &amp; K719,2),", ", RIGHT("  " &amp; L719,2), ", " ,"""",H719,""", ", """",N719,""", ","""",O719,""""," ; ", A719))</f>
        <v>albhed  7, 22, "치", "리", "최" ; 뢸</v>
      </c>
    </row>
    <row r="720" customFormat="false" ht="17.9" hidden="false" customHeight="true" outlineLevel="0" collapsed="false">
      <c r="A720" s="16" t="s">
        <v>1594</v>
      </c>
      <c r="B720" s="16" t="n">
        <f aca="false">IF(_xlfn.UNICODE(A720)&lt;44032,-1,_xlfn.UNICODE(A720)-44032)</f>
        <v>3264</v>
      </c>
      <c r="C720" s="16" t="n">
        <f aca="false">IF(B720=-1,-1,INT((B720/28)/21))</f>
        <v>5</v>
      </c>
      <c r="D720" s="16" t="n">
        <f aca="false">IF(B720=-1, -1, MOD(INT(B720/28),21))</f>
        <v>11</v>
      </c>
      <c r="E720" s="16" t="n">
        <f aca="false">IF(B720=-1, -1, VLOOKUP(MOD(B720,28), $T$24:$U$52,2))</f>
        <v>16</v>
      </c>
      <c r="F720" s="16" t="n">
        <f aca="false">IF($B720=-1, -1, VLOOKUP(C720,$T$1:$V$20, 2))</f>
        <v>14</v>
      </c>
      <c r="G720" s="16" t="n">
        <f aca="false">IF($B720=-1, -1, VLOOKUP(D720,$Y$1:$Z$22,2))</f>
        <v>20</v>
      </c>
      <c r="H720" s="16" t="str">
        <f aca="false">_xlfn.UNICHAR(((F720*21)+G720)*28+44032)</f>
        <v>치</v>
      </c>
      <c r="I720" s="16" t="n">
        <f aca="false">IF(B720=-1, 1, COUNTIF($A$2:$A$3000, H720))</f>
        <v>1</v>
      </c>
      <c r="J720" s="10" t="str">
        <f aca="false">_xlfn.CONCAT(A720, ",",H720,",",I720)</f>
        <v>룀,치,1</v>
      </c>
      <c r="K720" s="16" t="n">
        <f aca="false">IF(B720=-1,-1,VLOOKUP(C720,$T$1:$V$20,3))</f>
        <v>7</v>
      </c>
      <c r="L720" s="16" t="n">
        <f aca="false">IF(B720=-1,-1,VLOOKUP(D720,$Y$1:$AA$22,3))</f>
        <v>22</v>
      </c>
      <c r="N720" s="10" t="str">
        <f aca="false">_xlfn.UNICHAR(((C720*21)+G720)*28+44032)</f>
        <v>리</v>
      </c>
      <c r="O720" s="10" t="str">
        <f aca="false">_xlfn.UNICHAR(((F720*21)+D720)*28+44032)</f>
        <v>최</v>
      </c>
      <c r="P720" s="12" t="n">
        <f aca="false">COUNTIF($A$2:$A$3000, N720) + COUNTIF($A$2:$A$3000, O720)</f>
        <v>2</v>
      </c>
      <c r="Q720" s="16" t="str">
        <f aca="false">IF(OR(B720=-1,I720=0, P720&lt;&gt;2), "albhed_dummy", _xlfn.CONCAT("albhed ", RIGHT("  " &amp; K720,2),", ", RIGHT("  " &amp; L720,2), ", " ,"""",H720,""", ", """",N720,""", ","""",O720,""""," ; ", A720))</f>
        <v>albhed  7, 22, "치", "리", "최" ; 룀</v>
      </c>
    </row>
    <row r="721" customFormat="false" ht="17.9" hidden="false" customHeight="true" outlineLevel="0" collapsed="false">
      <c r="A721" s="16" t="s">
        <v>1595</v>
      </c>
      <c r="B721" s="16" t="n">
        <f aca="false">IF(_xlfn.UNICODE(A721)&lt;44032,-1,_xlfn.UNICODE(A721)-44032)</f>
        <v>3265</v>
      </c>
      <c r="C721" s="16" t="n">
        <f aca="false">IF(B721=-1,-1,INT((B721/28)/21))</f>
        <v>5</v>
      </c>
      <c r="D721" s="16" t="n">
        <f aca="false">IF(B721=-1, -1, MOD(INT(B721/28),21))</f>
        <v>11</v>
      </c>
      <c r="E721" s="16" t="n">
        <f aca="false">IF(B721=-1, -1, VLOOKUP(MOD(B721,28), $T$24:$U$52,2))</f>
        <v>17</v>
      </c>
      <c r="F721" s="16" t="n">
        <f aca="false">IF($B721=-1, -1, VLOOKUP(C721,$T$1:$V$20, 2))</f>
        <v>14</v>
      </c>
      <c r="G721" s="16" t="n">
        <f aca="false">IF($B721=-1, -1, VLOOKUP(D721,$Y$1:$Z$22,2))</f>
        <v>20</v>
      </c>
      <c r="H721" s="16" t="str">
        <f aca="false">_xlfn.UNICHAR(((F721*21)+G721)*28+44032)</f>
        <v>치</v>
      </c>
      <c r="I721" s="16" t="n">
        <f aca="false">IF(B721=-1, 1, COUNTIF($A$2:$A$3000, H721))</f>
        <v>1</v>
      </c>
      <c r="J721" s="10" t="str">
        <f aca="false">_xlfn.CONCAT(A721, ",",H721,",",I721)</f>
        <v>룁,치,1</v>
      </c>
      <c r="K721" s="16" t="n">
        <f aca="false">IF(B721=-1,-1,VLOOKUP(C721,$T$1:$V$20,3))</f>
        <v>7</v>
      </c>
      <c r="L721" s="16" t="n">
        <f aca="false">IF(B721=-1,-1,VLOOKUP(D721,$Y$1:$AA$22,3))</f>
        <v>22</v>
      </c>
      <c r="N721" s="10" t="str">
        <f aca="false">_xlfn.UNICHAR(((C721*21)+G721)*28+44032)</f>
        <v>리</v>
      </c>
      <c r="O721" s="10" t="str">
        <f aca="false">_xlfn.UNICHAR(((F721*21)+D721)*28+44032)</f>
        <v>최</v>
      </c>
      <c r="P721" s="12" t="n">
        <f aca="false">COUNTIF($A$2:$A$3000, N721) + COUNTIF($A$2:$A$3000, O721)</f>
        <v>2</v>
      </c>
      <c r="Q721" s="16" t="str">
        <f aca="false">IF(OR(B721=-1,I721=0, P721&lt;&gt;2), "albhed_dummy", _xlfn.CONCAT("albhed ", RIGHT("  " &amp; K721,2),", ", RIGHT("  " &amp; L721,2), ", " ,"""",H721,""", ", """",N721,""", ","""",O721,""""," ; ", A721))</f>
        <v>albhed  7, 22, "치", "리", "최" ; 룁</v>
      </c>
    </row>
    <row r="722" customFormat="false" ht="17.9" hidden="false" customHeight="true" outlineLevel="0" collapsed="false">
      <c r="A722" s="16" t="s">
        <v>1596</v>
      </c>
      <c r="B722" s="16" t="n">
        <f aca="false">IF(_xlfn.UNICODE(A722)&lt;44032,-1,_xlfn.UNICODE(A722)-44032)</f>
        <v>3267</v>
      </c>
      <c r="C722" s="16" t="n">
        <f aca="false">IF(B722=-1,-1,INT((B722/28)/21))</f>
        <v>5</v>
      </c>
      <c r="D722" s="16" t="n">
        <f aca="false">IF(B722=-1, -1, MOD(INT(B722/28),21))</f>
        <v>11</v>
      </c>
      <c r="E722" s="16" t="n">
        <f aca="false">IF(B722=-1, -1, VLOOKUP(MOD(B722,28), $T$24:$U$52,2))</f>
        <v>19</v>
      </c>
      <c r="F722" s="16" t="n">
        <f aca="false">IF($B722=-1, -1, VLOOKUP(C722,$T$1:$V$20, 2))</f>
        <v>14</v>
      </c>
      <c r="G722" s="16" t="n">
        <f aca="false">IF($B722=-1, -1, VLOOKUP(D722,$Y$1:$Z$22,2))</f>
        <v>20</v>
      </c>
      <c r="H722" s="16" t="str">
        <f aca="false">_xlfn.UNICHAR(((F722*21)+G722)*28+44032)</f>
        <v>치</v>
      </c>
      <c r="I722" s="16" t="n">
        <f aca="false">IF(B722=-1, 1, COUNTIF($A$2:$A$3000, H722))</f>
        <v>1</v>
      </c>
      <c r="J722" s="10" t="str">
        <f aca="false">_xlfn.CONCAT(A722, ",",H722,",",I722)</f>
        <v>룃,치,1</v>
      </c>
      <c r="K722" s="16" t="n">
        <f aca="false">IF(B722=-1,-1,VLOOKUP(C722,$T$1:$V$20,3))</f>
        <v>7</v>
      </c>
      <c r="L722" s="16" t="n">
        <f aca="false">IF(B722=-1,-1,VLOOKUP(D722,$Y$1:$AA$22,3))</f>
        <v>22</v>
      </c>
      <c r="N722" s="10" t="str">
        <f aca="false">_xlfn.UNICHAR(((C722*21)+G722)*28+44032)</f>
        <v>리</v>
      </c>
      <c r="O722" s="10" t="str">
        <f aca="false">_xlfn.UNICHAR(((F722*21)+D722)*28+44032)</f>
        <v>최</v>
      </c>
      <c r="P722" s="12" t="n">
        <f aca="false">COUNTIF($A$2:$A$3000, N722) + COUNTIF($A$2:$A$3000, O722)</f>
        <v>2</v>
      </c>
      <c r="Q722" s="16" t="str">
        <f aca="false">IF(OR(B722=-1,I722=0, P722&lt;&gt;2), "albhed_dummy", _xlfn.CONCAT("albhed ", RIGHT("  " &amp; K722,2),", ", RIGHT("  " &amp; L722,2), ", " ,"""",H722,""", ", """",N722,""", ","""",O722,""""," ; ", A722))</f>
        <v>albhed  7, 22, "치", "리", "최" ; 룃</v>
      </c>
    </row>
    <row r="723" customFormat="false" ht="17.9" hidden="false" customHeight="true" outlineLevel="0" collapsed="false">
      <c r="A723" s="16" t="s">
        <v>1597</v>
      </c>
      <c r="B723" s="16" t="n">
        <f aca="false">IF(_xlfn.UNICODE(A723)&lt;44032,-1,_xlfn.UNICODE(A723)-44032)</f>
        <v>3269</v>
      </c>
      <c r="C723" s="16" t="n">
        <f aca="false">IF(B723=-1,-1,INT((B723/28)/21))</f>
        <v>5</v>
      </c>
      <c r="D723" s="16" t="n">
        <f aca="false">IF(B723=-1, -1, MOD(INT(B723/28),21))</f>
        <v>11</v>
      </c>
      <c r="E723" s="16" t="n">
        <f aca="false">IF(B723=-1, -1, VLOOKUP(MOD(B723,28), $T$24:$U$52,2))</f>
        <v>21</v>
      </c>
      <c r="F723" s="16" t="n">
        <f aca="false">IF($B723=-1, -1, VLOOKUP(C723,$T$1:$V$20, 2))</f>
        <v>14</v>
      </c>
      <c r="G723" s="16" t="n">
        <f aca="false">IF($B723=-1, -1, VLOOKUP(D723,$Y$1:$Z$22,2))</f>
        <v>20</v>
      </c>
      <c r="H723" s="16" t="str">
        <f aca="false">_xlfn.UNICHAR(((F723*21)+G723)*28+44032)</f>
        <v>치</v>
      </c>
      <c r="I723" s="16" t="n">
        <f aca="false">IF(B723=-1, 1, COUNTIF($A$2:$A$3000, H723))</f>
        <v>1</v>
      </c>
      <c r="J723" s="10" t="str">
        <f aca="false">_xlfn.CONCAT(A723, ",",H723,",",I723)</f>
        <v>룅,치,1</v>
      </c>
      <c r="K723" s="16" t="n">
        <f aca="false">IF(B723=-1,-1,VLOOKUP(C723,$T$1:$V$20,3))</f>
        <v>7</v>
      </c>
      <c r="L723" s="16" t="n">
        <f aca="false">IF(B723=-1,-1,VLOOKUP(D723,$Y$1:$AA$22,3))</f>
        <v>22</v>
      </c>
      <c r="N723" s="10" t="str">
        <f aca="false">_xlfn.UNICHAR(((C723*21)+G723)*28+44032)</f>
        <v>리</v>
      </c>
      <c r="O723" s="10" t="str">
        <f aca="false">_xlfn.UNICHAR(((F723*21)+D723)*28+44032)</f>
        <v>최</v>
      </c>
      <c r="P723" s="12" t="n">
        <f aca="false">COUNTIF($A$2:$A$3000, N723) + COUNTIF($A$2:$A$3000, O723)</f>
        <v>2</v>
      </c>
      <c r="Q723" s="16" t="str">
        <f aca="false">IF(OR(B723=-1,I723=0, P723&lt;&gt;2), "albhed_dummy", _xlfn.CONCAT("albhed ", RIGHT("  " &amp; K723,2),", ", RIGHT("  " &amp; L723,2), ", " ,"""",H723,""", ", """",N723,""", ","""",O723,""""," ; ", A723))</f>
        <v>albhed  7, 22, "치", "리", "최" ; 룅</v>
      </c>
    </row>
    <row r="724" customFormat="false" ht="17.9" hidden="false" customHeight="true" outlineLevel="0" collapsed="false">
      <c r="A724" s="16" t="s">
        <v>1598</v>
      </c>
      <c r="B724" s="16" t="n">
        <f aca="false">IF(_xlfn.UNICODE(A724)&lt;44032,-1,_xlfn.UNICODE(A724)-44032)</f>
        <v>3276</v>
      </c>
      <c r="C724" s="16" t="n">
        <f aca="false">IF(B724=-1,-1,INT((B724/28)/21))</f>
        <v>5</v>
      </c>
      <c r="D724" s="16" t="n">
        <f aca="false">IF(B724=-1, -1, MOD(INT(B724/28),21))</f>
        <v>12</v>
      </c>
      <c r="E724" s="16" t="n">
        <f aca="false">IF(B724=-1, -1, VLOOKUP(MOD(B724,28), $T$24:$U$52,2))</f>
        <v>0</v>
      </c>
      <c r="F724" s="16" t="n">
        <f aca="false">IF($B724=-1, -1, VLOOKUP(C724,$T$1:$V$20, 2))</f>
        <v>14</v>
      </c>
      <c r="G724" s="16" t="n">
        <f aca="false">IF($B724=-1, -1, VLOOKUP(D724,$Y$1:$Z$22,2))</f>
        <v>6</v>
      </c>
      <c r="H724" s="16" t="str">
        <f aca="false">_xlfn.UNICHAR(((F724*21)+G724)*28+44032)</f>
        <v>쳐</v>
      </c>
      <c r="I724" s="16" t="n">
        <f aca="false">IF(B724=-1, 1, COUNTIF($A$2:$A$3000, H724))</f>
        <v>1</v>
      </c>
      <c r="J724" s="10" t="str">
        <f aca="false">_xlfn.CONCAT(A724, ",",H724,",",I724)</f>
        <v>료,쳐,1</v>
      </c>
      <c r="K724" s="16" t="n">
        <f aca="false">IF(B724=-1,-1,VLOOKUP(C724,$T$1:$V$20,3))</f>
        <v>7</v>
      </c>
      <c r="L724" s="16" t="n">
        <f aca="false">IF(B724=-1,-1,VLOOKUP(D724,$Y$1:$AA$22,3))</f>
        <v>8</v>
      </c>
      <c r="N724" s="10" t="str">
        <f aca="false">_xlfn.UNICHAR(((C724*21)+G724)*28+44032)</f>
        <v>려</v>
      </c>
      <c r="O724" s="10" t="str">
        <f aca="false">_xlfn.UNICHAR(((F724*21)+D724)*28+44032)</f>
        <v>쵸</v>
      </c>
      <c r="P724" s="12" t="n">
        <f aca="false">COUNTIF($A$2:$A$3000, N724) + COUNTIF($A$2:$A$3000, O724)</f>
        <v>2</v>
      </c>
      <c r="Q724" s="16" t="str">
        <f aca="false">IF(OR(B724=-1,I724=0, P724&lt;&gt;2), "albhed_dummy", _xlfn.CONCAT("albhed ", RIGHT("  " &amp; K724,2),", ", RIGHT("  " &amp; L724,2), ", " ,"""",H724,""", ", """",N724,""", ","""",O724,""""," ; ", A724))</f>
        <v>albhed  7,  8, "쳐", "려", "쵸" ; 료</v>
      </c>
    </row>
    <row r="725" customFormat="false" ht="17.9" hidden="false" customHeight="true" outlineLevel="0" collapsed="false">
      <c r="A725" s="16" t="s">
        <v>1599</v>
      </c>
      <c r="B725" s="16" t="n">
        <f aca="false">IF(_xlfn.UNICODE(A725)&lt;44032,-1,_xlfn.UNICODE(A725)-44032)</f>
        <v>3280</v>
      </c>
      <c r="C725" s="16" t="n">
        <f aca="false">IF(B725=-1,-1,INT((B725/28)/21))</f>
        <v>5</v>
      </c>
      <c r="D725" s="16" t="n">
        <f aca="false">IF(B725=-1, -1, MOD(INT(B725/28),21))</f>
        <v>12</v>
      </c>
      <c r="E725" s="16" t="n">
        <f aca="false">IF(B725=-1, -1, VLOOKUP(MOD(B725,28), $T$24:$U$52,2))</f>
        <v>4</v>
      </c>
      <c r="F725" s="16" t="n">
        <f aca="false">IF($B725=-1, -1, VLOOKUP(C725,$T$1:$V$20, 2))</f>
        <v>14</v>
      </c>
      <c r="G725" s="16" t="n">
        <f aca="false">IF($B725=-1, -1, VLOOKUP(D725,$Y$1:$Z$22,2))</f>
        <v>6</v>
      </c>
      <c r="H725" s="16" t="str">
        <f aca="false">_xlfn.UNICHAR(((F725*21)+G725)*28+44032)</f>
        <v>쳐</v>
      </c>
      <c r="I725" s="16" t="n">
        <f aca="false">IF(B725=-1, 1, COUNTIF($A$2:$A$3000, H725))</f>
        <v>1</v>
      </c>
      <c r="J725" s="10" t="str">
        <f aca="false">_xlfn.CONCAT(A725, ",",H725,",",I725)</f>
        <v>룐,쳐,1</v>
      </c>
      <c r="K725" s="16" t="n">
        <f aca="false">IF(B725=-1,-1,VLOOKUP(C725,$T$1:$V$20,3))</f>
        <v>7</v>
      </c>
      <c r="L725" s="16" t="n">
        <f aca="false">IF(B725=-1,-1,VLOOKUP(D725,$Y$1:$AA$22,3))</f>
        <v>8</v>
      </c>
      <c r="N725" s="10" t="str">
        <f aca="false">_xlfn.UNICHAR(((C725*21)+G725)*28+44032)</f>
        <v>려</v>
      </c>
      <c r="O725" s="10" t="str">
        <f aca="false">_xlfn.UNICHAR(((F725*21)+D725)*28+44032)</f>
        <v>쵸</v>
      </c>
      <c r="P725" s="12" t="n">
        <f aca="false">COUNTIF($A$2:$A$3000, N725) + COUNTIF($A$2:$A$3000, O725)</f>
        <v>2</v>
      </c>
      <c r="Q725" s="16" t="str">
        <f aca="false">IF(OR(B725=-1,I725=0, P725&lt;&gt;2), "albhed_dummy", _xlfn.CONCAT("albhed ", RIGHT("  " &amp; K725,2),", ", RIGHT("  " &amp; L725,2), ", " ,"""",H725,""", ", """",N725,""", ","""",O725,""""," ; ", A725))</f>
        <v>albhed  7,  8, "쳐", "려", "쵸" ; 룐</v>
      </c>
    </row>
    <row r="726" customFormat="false" ht="17.9" hidden="false" customHeight="true" outlineLevel="0" collapsed="false">
      <c r="A726" s="16" t="s">
        <v>1600</v>
      </c>
      <c r="B726" s="16" t="n">
        <f aca="false">IF(_xlfn.UNICODE(A726)&lt;44032,-1,_xlfn.UNICODE(A726)-44032)</f>
        <v>3284</v>
      </c>
      <c r="C726" s="16" t="n">
        <f aca="false">IF(B726=-1,-1,INT((B726/28)/21))</f>
        <v>5</v>
      </c>
      <c r="D726" s="16" t="n">
        <f aca="false">IF(B726=-1, -1, MOD(INT(B726/28),21))</f>
        <v>12</v>
      </c>
      <c r="E726" s="16" t="n">
        <f aca="false">IF(B726=-1, -1, VLOOKUP(MOD(B726,28), $T$24:$U$52,2))</f>
        <v>8</v>
      </c>
      <c r="F726" s="16" t="n">
        <f aca="false">IF($B726=-1, -1, VLOOKUP(C726,$T$1:$V$20, 2))</f>
        <v>14</v>
      </c>
      <c r="G726" s="16" t="n">
        <f aca="false">IF($B726=-1, -1, VLOOKUP(D726,$Y$1:$Z$22,2))</f>
        <v>6</v>
      </c>
      <c r="H726" s="16" t="str">
        <f aca="false">_xlfn.UNICHAR(((F726*21)+G726)*28+44032)</f>
        <v>쳐</v>
      </c>
      <c r="I726" s="16" t="n">
        <f aca="false">IF(B726=-1, 1, COUNTIF($A$2:$A$3000, H726))</f>
        <v>1</v>
      </c>
      <c r="J726" s="10" t="str">
        <f aca="false">_xlfn.CONCAT(A726, ",",H726,",",I726)</f>
        <v>룔,쳐,1</v>
      </c>
      <c r="K726" s="16" t="n">
        <f aca="false">IF(B726=-1,-1,VLOOKUP(C726,$T$1:$V$20,3))</f>
        <v>7</v>
      </c>
      <c r="L726" s="16" t="n">
        <f aca="false">IF(B726=-1,-1,VLOOKUP(D726,$Y$1:$AA$22,3))</f>
        <v>8</v>
      </c>
      <c r="N726" s="10" t="str">
        <f aca="false">_xlfn.UNICHAR(((C726*21)+G726)*28+44032)</f>
        <v>려</v>
      </c>
      <c r="O726" s="10" t="str">
        <f aca="false">_xlfn.UNICHAR(((F726*21)+D726)*28+44032)</f>
        <v>쵸</v>
      </c>
      <c r="P726" s="12" t="n">
        <f aca="false">COUNTIF($A$2:$A$3000, N726) + COUNTIF($A$2:$A$3000, O726)</f>
        <v>2</v>
      </c>
      <c r="Q726" s="16" t="str">
        <f aca="false">IF(OR(B726=-1,I726=0, P726&lt;&gt;2), "albhed_dummy", _xlfn.CONCAT("albhed ", RIGHT("  " &amp; K726,2),", ", RIGHT("  " &amp; L726,2), ", " ,"""",H726,""", ", """",N726,""", ","""",O726,""""," ; ", A726))</f>
        <v>albhed  7,  8, "쳐", "려", "쵸" ; 룔</v>
      </c>
    </row>
    <row r="727" customFormat="false" ht="17.9" hidden="false" customHeight="true" outlineLevel="0" collapsed="false">
      <c r="A727" s="16" t="s">
        <v>1601</v>
      </c>
      <c r="B727" s="16" t="n">
        <f aca="false">IF(_xlfn.UNICODE(A727)&lt;44032,-1,_xlfn.UNICODE(A727)-44032)</f>
        <v>3293</v>
      </c>
      <c r="C727" s="16" t="n">
        <f aca="false">IF(B727=-1,-1,INT((B727/28)/21))</f>
        <v>5</v>
      </c>
      <c r="D727" s="16" t="n">
        <f aca="false">IF(B727=-1, -1, MOD(INT(B727/28),21))</f>
        <v>12</v>
      </c>
      <c r="E727" s="16" t="n">
        <f aca="false">IF(B727=-1, -1, VLOOKUP(MOD(B727,28), $T$24:$U$52,2))</f>
        <v>17</v>
      </c>
      <c r="F727" s="16" t="n">
        <f aca="false">IF($B727=-1, -1, VLOOKUP(C727,$T$1:$V$20, 2))</f>
        <v>14</v>
      </c>
      <c r="G727" s="16" t="n">
        <f aca="false">IF($B727=-1, -1, VLOOKUP(D727,$Y$1:$Z$22,2))</f>
        <v>6</v>
      </c>
      <c r="H727" s="16" t="str">
        <f aca="false">_xlfn.UNICHAR(((F727*21)+G727)*28+44032)</f>
        <v>쳐</v>
      </c>
      <c r="I727" s="16" t="n">
        <f aca="false">IF(B727=-1, 1, COUNTIF($A$2:$A$3000, H727))</f>
        <v>1</v>
      </c>
      <c r="J727" s="10" t="str">
        <f aca="false">_xlfn.CONCAT(A727, ",",H727,",",I727)</f>
        <v>룝,쳐,1</v>
      </c>
      <c r="K727" s="16" t="n">
        <f aca="false">IF(B727=-1,-1,VLOOKUP(C727,$T$1:$V$20,3))</f>
        <v>7</v>
      </c>
      <c r="L727" s="16" t="n">
        <f aca="false">IF(B727=-1,-1,VLOOKUP(D727,$Y$1:$AA$22,3))</f>
        <v>8</v>
      </c>
      <c r="N727" s="10" t="str">
        <f aca="false">_xlfn.UNICHAR(((C727*21)+G727)*28+44032)</f>
        <v>려</v>
      </c>
      <c r="O727" s="10" t="str">
        <f aca="false">_xlfn.UNICHAR(((F727*21)+D727)*28+44032)</f>
        <v>쵸</v>
      </c>
      <c r="P727" s="12" t="n">
        <f aca="false">COUNTIF($A$2:$A$3000, N727) + COUNTIF($A$2:$A$3000, O727)</f>
        <v>2</v>
      </c>
      <c r="Q727" s="16" t="str">
        <f aca="false">IF(OR(B727=-1,I727=0, P727&lt;&gt;2), "albhed_dummy", _xlfn.CONCAT("albhed ", RIGHT("  " &amp; K727,2),", ", RIGHT("  " &amp; L727,2), ", " ,"""",H727,""", ", """",N727,""", ","""",O727,""""," ; ", A727))</f>
        <v>albhed  7,  8, "쳐", "려", "쵸" ; 룝</v>
      </c>
    </row>
    <row r="728" customFormat="false" ht="17.9" hidden="false" customHeight="true" outlineLevel="0" collapsed="false">
      <c r="A728" s="16" t="s">
        <v>1602</v>
      </c>
      <c r="B728" s="16" t="n">
        <f aca="false">IF(_xlfn.UNICODE(A728)&lt;44032,-1,_xlfn.UNICODE(A728)-44032)</f>
        <v>3295</v>
      </c>
      <c r="C728" s="16" t="n">
        <f aca="false">IF(B728=-1,-1,INT((B728/28)/21))</f>
        <v>5</v>
      </c>
      <c r="D728" s="16" t="n">
        <f aca="false">IF(B728=-1, -1, MOD(INT(B728/28),21))</f>
        <v>12</v>
      </c>
      <c r="E728" s="16" t="n">
        <f aca="false">IF(B728=-1, -1, VLOOKUP(MOD(B728,28), $T$24:$U$52,2))</f>
        <v>19</v>
      </c>
      <c r="F728" s="16" t="n">
        <f aca="false">IF($B728=-1, -1, VLOOKUP(C728,$T$1:$V$20, 2))</f>
        <v>14</v>
      </c>
      <c r="G728" s="16" t="n">
        <f aca="false">IF($B728=-1, -1, VLOOKUP(D728,$Y$1:$Z$22,2))</f>
        <v>6</v>
      </c>
      <c r="H728" s="16" t="str">
        <f aca="false">_xlfn.UNICHAR(((F728*21)+G728)*28+44032)</f>
        <v>쳐</v>
      </c>
      <c r="I728" s="16" t="n">
        <f aca="false">IF(B728=-1, 1, COUNTIF($A$2:$A$3000, H728))</f>
        <v>1</v>
      </c>
      <c r="J728" s="10" t="str">
        <f aca="false">_xlfn.CONCAT(A728, ",",H728,",",I728)</f>
        <v>룟,쳐,1</v>
      </c>
      <c r="K728" s="16" t="n">
        <f aca="false">IF(B728=-1,-1,VLOOKUP(C728,$T$1:$V$20,3))</f>
        <v>7</v>
      </c>
      <c r="L728" s="16" t="n">
        <f aca="false">IF(B728=-1,-1,VLOOKUP(D728,$Y$1:$AA$22,3))</f>
        <v>8</v>
      </c>
      <c r="N728" s="10" t="str">
        <f aca="false">_xlfn.UNICHAR(((C728*21)+G728)*28+44032)</f>
        <v>려</v>
      </c>
      <c r="O728" s="10" t="str">
        <f aca="false">_xlfn.UNICHAR(((F728*21)+D728)*28+44032)</f>
        <v>쵸</v>
      </c>
      <c r="P728" s="12" t="n">
        <f aca="false">COUNTIF($A$2:$A$3000, N728) + COUNTIF($A$2:$A$3000, O728)</f>
        <v>2</v>
      </c>
      <c r="Q728" s="16" t="str">
        <f aca="false">IF(OR(B728=-1,I728=0, P728&lt;&gt;2), "albhed_dummy", _xlfn.CONCAT("albhed ", RIGHT("  " &amp; K728,2),", ", RIGHT("  " &amp; L728,2), ", " ,"""",H728,""", ", """",N728,""", ","""",O728,""""," ; ", A728))</f>
        <v>albhed  7,  8, "쳐", "려", "쵸" ; 룟</v>
      </c>
    </row>
    <row r="729" customFormat="false" ht="17.9" hidden="false" customHeight="true" outlineLevel="0" collapsed="false">
      <c r="A729" s="16" t="s">
        <v>1603</v>
      </c>
      <c r="B729" s="16" t="n">
        <f aca="false">IF(_xlfn.UNICODE(A729)&lt;44032,-1,_xlfn.UNICODE(A729)-44032)</f>
        <v>3297</v>
      </c>
      <c r="C729" s="16" t="n">
        <f aca="false">IF(B729=-1,-1,INT((B729/28)/21))</f>
        <v>5</v>
      </c>
      <c r="D729" s="16" t="n">
        <f aca="false">IF(B729=-1, -1, MOD(INT(B729/28),21))</f>
        <v>12</v>
      </c>
      <c r="E729" s="16" t="n">
        <f aca="false">IF(B729=-1, -1, VLOOKUP(MOD(B729,28), $T$24:$U$52,2))</f>
        <v>21</v>
      </c>
      <c r="F729" s="16" t="n">
        <f aca="false">IF($B729=-1, -1, VLOOKUP(C729,$T$1:$V$20, 2))</f>
        <v>14</v>
      </c>
      <c r="G729" s="16" t="n">
        <f aca="false">IF($B729=-1, -1, VLOOKUP(D729,$Y$1:$Z$22,2))</f>
        <v>6</v>
      </c>
      <c r="H729" s="16" t="str">
        <f aca="false">_xlfn.UNICHAR(((F729*21)+G729)*28+44032)</f>
        <v>쳐</v>
      </c>
      <c r="I729" s="16" t="n">
        <f aca="false">IF(B729=-1, 1, COUNTIF($A$2:$A$3000, H729))</f>
        <v>1</v>
      </c>
      <c r="J729" s="10" t="str">
        <f aca="false">_xlfn.CONCAT(A729, ",",H729,",",I729)</f>
        <v>룡,쳐,1</v>
      </c>
      <c r="K729" s="16" t="n">
        <f aca="false">IF(B729=-1,-1,VLOOKUP(C729,$T$1:$V$20,3))</f>
        <v>7</v>
      </c>
      <c r="L729" s="16" t="n">
        <f aca="false">IF(B729=-1,-1,VLOOKUP(D729,$Y$1:$AA$22,3))</f>
        <v>8</v>
      </c>
      <c r="N729" s="10" t="str">
        <f aca="false">_xlfn.UNICHAR(((C729*21)+G729)*28+44032)</f>
        <v>려</v>
      </c>
      <c r="O729" s="10" t="str">
        <f aca="false">_xlfn.UNICHAR(((F729*21)+D729)*28+44032)</f>
        <v>쵸</v>
      </c>
      <c r="P729" s="12" t="n">
        <f aca="false">COUNTIF($A$2:$A$3000, N729) + COUNTIF($A$2:$A$3000, O729)</f>
        <v>2</v>
      </c>
      <c r="Q729" s="16" t="str">
        <f aca="false">IF(OR(B729=-1,I729=0, P729&lt;&gt;2), "albhed_dummy", _xlfn.CONCAT("albhed ", RIGHT("  " &amp; K729,2),", ", RIGHT("  " &amp; L729,2), ", " ,"""",H729,""", ", """",N729,""", ","""",O729,""""," ; ", A729))</f>
        <v>albhed  7,  8, "쳐", "려", "쵸" ; 룡</v>
      </c>
    </row>
    <row r="730" customFormat="false" ht="17.9" hidden="false" customHeight="true" outlineLevel="0" collapsed="false">
      <c r="A730" s="16" t="s">
        <v>1604</v>
      </c>
      <c r="B730" s="16" t="n">
        <f aca="false">IF(_xlfn.UNICODE(A730)&lt;44032,-1,_xlfn.UNICODE(A730)-44032)</f>
        <v>3304</v>
      </c>
      <c r="C730" s="16" t="n">
        <f aca="false">IF(B730=-1,-1,INT((B730/28)/21))</f>
        <v>5</v>
      </c>
      <c r="D730" s="16" t="n">
        <f aca="false">IF(B730=-1, -1, MOD(INT(B730/28),21))</f>
        <v>13</v>
      </c>
      <c r="E730" s="16" t="n">
        <f aca="false">IF(B730=-1, -1, VLOOKUP(MOD(B730,28), $T$24:$U$52,2))</f>
        <v>0</v>
      </c>
      <c r="F730" s="16" t="n">
        <f aca="false">IF($B730=-1, -1, VLOOKUP(C730,$T$1:$V$20, 2))</f>
        <v>14</v>
      </c>
      <c r="G730" s="16" t="n">
        <f aca="false">IF($B730=-1, -1, VLOOKUP(D730,$Y$1:$Z$22,2))</f>
        <v>0</v>
      </c>
      <c r="H730" s="16" t="str">
        <f aca="false">_xlfn.UNICHAR(((F730*21)+G730)*28+44032)</f>
        <v>차</v>
      </c>
      <c r="I730" s="16" t="n">
        <f aca="false">IF(B730=-1, 1, COUNTIF($A$2:$A$3000, H730))</f>
        <v>1</v>
      </c>
      <c r="J730" s="10" t="str">
        <f aca="false">_xlfn.CONCAT(A730, ",",H730,",",I730)</f>
        <v>루,차,1</v>
      </c>
      <c r="K730" s="16" t="n">
        <f aca="false">IF(B730=-1,-1,VLOOKUP(C730,$T$1:$V$20,3))</f>
        <v>7</v>
      </c>
      <c r="L730" s="16" t="n">
        <f aca="false">IF(B730=-1,-1,VLOOKUP(D730,$Y$1:$AA$22,3))</f>
        <v>6</v>
      </c>
      <c r="N730" s="10" t="str">
        <f aca="false">_xlfn.UNICHAR(((C730*21)+G730)*28+44032)</f>
        <v>라</v>
      </c>
      <c r="O730" s="10" t="str">
        <f aca="false">_xlfn.UNICHAR(((F730*21)+D730)*28+44032)</f>
        <v>추</v>
      </c>
      <c r="P730" s="12" t="n">
        <f aca="false">COUNTIF($A$2:$A$3000, N730) + COUNTIF($A$2:$A$3000, O730)</f>
        <v>2</v>
      </c>
      <c r="Q730" s="16" t="str">
        <f aca="false">IF(OR(B730=-1,I730=0, P730&lt;&gt;2), "albhed_dummy", _xlfn.CONCAT("albhed ", RIGHT("  " &amp; K730,2),", ", RIGHT("  " &amp; L730,2), ", " ,"""",H730,""", ", """",N730,""", ","""",O730,""""," ; ", A730))</f>
        <v>albhed  7,  6, "차", "라", "추" ; 루</v>
      </c>
    </row>
    <row r="731" customFormat="false" ht="17.9" hidden="false" customHeight="true" outlineLevel="0" collapsed="false">
      <c r="A731" s="16" t="s">
        <v>1605</v>
      </c>
      <c r="B731" s="16" t="n">
        <f aca="false">IF(_xlfn.UNICODE(A731)&lt;44032,-1,_xlfn.UNICODE(A731)-44032)</f>
        <v>3305</v>
      </c>
      <c r="C731" s="16" t="n">
        <f aca="false">IF(B731=-1,-1,INT((B731/28)/21))</f>
        <v>5</v>
      </c>
      <c r="D731" s="16" t="n">
        <f aca="false">IF(B731=-1, -1, MOD(INT(B731/28),21))</f>
        <v>13</v>
      </c>
      <c r="E731" s="16" t="n">
        <f aca="false">IF(B731=-1, -1, VLOOKUP(MOD(B731,28), $T$24:$U$52,2))</f>
        <v>1</v>
      </c>
      <c r="F731" s="16" t="n">
        <f aca="false">IF($B731=-1, -1, VLOOKUP(C731,$T$1:$V$20, 2))</f>
        <v>14</v>
      </c>
      <c r="G731" s="16" t="n">
        <f aca="false">IF($B731=-1, -1, VLOOKUP(D731,$Y$1:$Z$22,2))</f>
        <v>0</v>
      </c>
      <c r="H731" s="16" t="str">
        <f aca="false">_xlfn.UNICHAR(((F731*21)+G731)*28+44032)</f>
        <v>차</v>
      </c>
      <c r="I731" s="16" t="n">
        <f aca="false">IF(B731=-1, 1, COUNTIF($A$2:$A$3000, H731))</f>
        <v>1</v>
      </c>
      <c r="J731" s="10" t="str">
        <f aca="false">_xlfn.CONCAT(A731, ",",H731,",",I731)</f>
        <v>룩,차,1</v>
      </c>
      <c r="K731" s="16" t="n">
        <f aca="false">IF(B731=-1,-1,VLOOKUP(C731,$T$1:$V$20,3))</f>
        <v>7</v>
      </c>
      <c r="L731" s="16" t="n">
        <f aca="false">IF(B731=-1,-1,VLOOKUP(D731,$Y$1:$AA$22,3))</f>
        <v>6</v>
      </c>
      <c r="N731" s="10" t="str">
        <f aca="false">_xlfn.UNICHAR(((C731*21)+G731)*28+44032)</f>
        <v>라</v>
      </c>
      <c r="O731" s="10" t="str">
        <f aca="false">_xlfn.UNICHAR(((F731*21)+D731)*28+44032)</f>
        <v>추</v>
      </c>
      <c r="P731" s="12" t="n">
        <f aca="false">COUNTIF($A$2:$A$3000, N731) + COUNTIF($A$2:$A$3000, O731)</f>
        <v>2</v>
      </c>
      <c r="Q731" s="16" t="str">
        <f aca="false">IF(OR(B731=-1,I731=0, P731&lt;&gt;2), "albhed_dummy", _xlfn.CONCAT("albhed ", RIGHT("  " &amp; K731,2),", ", RIGHT("  " &amp; L731,2), ", " ,"""",H731,""", ", """",N731,""", ","""",O731,""""," ; ", A731))</f>
        <v>albhed  7,  6, "차", "라", "추" ; 룩</v>
      </c>
    </row>
    <row r="732" customFormat="false" ht="17.9" hidden="false" customHeight="true" outlineLevel="0" collapsed="false">
      <c r="A732" s="16" t="s">
        <v>1606</v>
      </c>
      <c r="B732" s="16" t="n">
        <f aca="false">IF(_xlfn.UNICODE(A732)&lt;44032,-1,_xlfn.UNICODE(A732)-44032)</f>
        <v>3308</v>
      </c>
      <c r="C732" s="16" t="n">
        <f aca="false">IF(B732=-1,-1,INT((B732/28)/21))</f>
        <v>5</v>
      </c>
      <c r="D732" s="16" t="n">
        <f aca="false">IF(B732=-1, -1, MOD(INT(B732/28),21))</f>
        <v>13</v>
      </c>
      <c r="E732" s="16" t="n">
        <f aca="false">IF(B732=-1, -1, VLOOKUP(MOD(B732,28), $T$24:$U$52,2))</f>
        <v>4</v>
      </c>
      <c r="F732" s="16" t="n">
        <f aca="false">IF($B732=-1, -1, VLOOKUP(C732,$T$1:$V$20, 2))</f>
        <v>14</v>
      </c>
      <c r="G732" s="16" t="n">
        <f aca="false">IF($B732=-1, -1, VLOOKUP(D732,$Y$1:$Z$22,2))</f>
        <v>0</v>
      </c>
      <c r="H732" s="16" t="str">
        <f aca="false">_xlfn.UNICHAR(((F732*21)+G732)*28+44032)</f>
        <v>차</v>
      </c>
      <c r="I732" s="16" t="n">
        <f aca="false">IF(B732=-1, 1, COUNTIF($A$2:$A$3000, H732))</f>
        <v>1</v>
      </c>
      <c r="J732" s="10" t="str">
        <f aca="false">_xlfn.CONCAT(A732, ",",H732,",",I732)</f>
        <v>룬,차,1</v>
      </c>
      <c r="K732" s="16" t="n">
        <f aca="false">IF(B732=-1,-1,VLOOKUP(C732,$T$1:$V$20,3))</f>
        <v>7</v>
      </c>
      <c r="L732" s="16" t="n">
        <f aca="false">IF(B732=-1,-1,VLOOKUP(D732,$Y$1:$AA$22,3))</f>
        <v>6</v>
      </c>
      <c r="N732" s="10" t="str">
        <f aca="false">_xlfn.UNICHAR(((C732*21)+G732)*28+44032)</f>
        <v>라</v>
      </c>
      <c r="O732" s="10" t="str">
        <f aca="false">_xlfn.UNICHAR(((F732*21)+D732)*28+44032)</f>
        <v>추</v>
      </c>
      <c r="P732" s="12" t="n">
        <f aca="false">COUNTIF($A$2:$A$3000, N732) + COUNTIF($A$2:$A$3000, O732)</f>
        <v>2</v>
      </c>
      <c r="Q732" s="16" t="str">
        <f aca="false">IF(OR(B732=-1,I732=0, P732&lt;&gt;2), "albhed_dummy", _xlfn.CONCAT("albhed ", RIGHT("  " &amp; K732,2),", ", RIGHT("  " &amp; L732,2), ", " ,"""",H732,""", ", """",N732,""", ","""",O732,""""," ; ", A732))</f>
        <v>albhed  7,  6, "차", "라", "추" ; 룬</v>
      </c>
    </row>
    <row r="733" customFormat="false" ht="17.9" hidden="false" customHeight="true" outlineLevel="0" collapsed="false">
      <c r="A733" s="16" t="s">
        <v>1607</v>
      </c>
      <c r="B733" s="16" t="n">
        <f aca="false">IF(_xlfn.UNICODE(A733)&lt;44032,-1,_xlfn.UNICODE(A733)-44032)</f>
        <v>3312</v>
      </c>
      <c r="C733" s="16" t="n">
        <f aca="false">IF(B733=-1,-1,INT((B733/28)/21))</f>
        <v>5</v>
      </c>
      <c r="D733" s="16" t="n">
        <f aca="false">IF(B733=-1, -1, MOD(INT(B733/28),21))</f>
        <v>13</v>
      </c>
      <c r="E733" s="16" t="n">
        <f aca="false">IF(B733=-1, -1, VLOOKUP(MOD(B733,28), $T$24:$U$52,2))</f>
        <v>8</v>
      </c>
      <c r="F733" s="16" t="n">
        <f aca="false">IF($B733=-1, -1, VLOOKUP(C733,$T$1:$V$20, 2))</f>
        <v>14</v>
      </c>
      <c r="G733" s="16" t="n">
        <f aca="false">IF($B733=-1, -1, VLOOKUP(D733,$Y$1:$Z$22,2))</f>
        <v>0</v>
      </c>
      <c r="H733" s="16" t="str">
        <f aca="false">_xlfn.UNICHAR(((F733*21)+G733)*28+44032)</f>
        <v>차</v>
      </c>
      <c r="I733" s="16" t="n">
        <f aca="false">IF(B733=-1, 1, COUNTIF($A$2:$A$3000, H733))</f>
        <v>1</v>
      </c>
      <c r="J733" s="10" t="str">
        <f aca="false">_xlfn.CONCAT(A733, ",",H733,",",I733)</f>
        <v>룰,차,1</v>
      </c>
      <c r="K733" s="16" t="n">
        <f aca="false">IF(B733=-1,-1,VLOOKUP(C733,$T$1:$V$20,3))</f>
        <v>7</v>
      </c>
      <c r="L733" s="16" t="n">
        <f aca="false">IF(B733=-1,-1,VLOOKUP(D733,$Y$1:$AA$22,3))</f>
        <v>6</v>
      </c>
      <c r="N733" s="10" t="str">
        <f aca="false">_xlfn.UNICHAR(((C733*21)+G733)*28+44032)</f>
        <v>라</v>
      </c>
      <c r="O733" s="10" t="str">
        <f aca="false">_xlfn.UNICHAR(((F733*21)+D733)*28+44032)</f>
        <v>추</v>
      </c>
      <c r="P733" s="12" t="n">
        <f aca="false">COUNTIF($A$2:$A$3000, N733) + COUNTIF($A$2:$A$3000, O733)</f>
        <v>2</v>
      </c>
      <c r="Q733" s="16" t="str">
        <f aca="false">IF(OR(B733=-1,I733=0, P733&lt;&gt;2), "albhed_dummy", _xlfn.CONCAT("albhed ", RIGHT("  " &amp; K733,2),", ", RIGHT("  " &amp; L733,2), ", " ,"""",H733,""", ", """",N733,""", ","""",O733,""""," ; ", A733))</f>
        <v>albhed  7,  6, "차", "라", "추" ; 룰</v>
      </c>
    </row>
    <row r="734" customFormat="false" ht="17.9" hidden="false" customHeight="true" outlineLevel="0" collapsed="false">
      <c r="A734" s="16" t="s">
        <v>1608</v>
      </c>
      <c r="B734" s="16" t="n">
        <f aca="false">IF(_xlfn.UNICODE(A734)&lt;44032,-1,_xlfn.UNICODE(A734)-44032)</f>
        <v>3320</v>
      </c>
      <c r="C734" s="16" t="n">
        <f aca="false">IF(B734=-1,-1,INT((B734/28)/21))</f>
        <v>5</v>
      </c>
      <c r="D734" s="16" t="n">
        <f aca="false">IF(B734=-1, -1, MOD(INT(B734/28),21))</f>
        <v>13</v>
      </c>
      <c r="E734" s="16" t="n">
        <f aca="false">IF(B734=-1, -1, VLOOKUP(MOD(B734,28), $T$24:$U$52,2))</f>
        <v>16</v>
      </c>
      <c r="F734" s="16" t="n">
        <f aca="false">IF($B734=-1, -1, VLOOKUP(C734,$T$1:$V$20, 2))</f>
        <v>14</v>
      </c>
      <c r="G734" s="16" t="n">
        <f aca="false">IF($B734=-1, -1, VLOOKUP(D734,$Y$1:$Z$22,2))</f>
        <v>0</v>
      </c>
      <c r="H734" s="16" t="str">
        <f aca="false">_xlfn.UNICHAR(((F734*21)+G734)*28+44032)</f>
        <v>차</v>
      </c>
      <c r="I734" s="16" t="n">
        <f aca="false">IF(B734=-1, 1, COUNTIF($A$2:$A$3000, H734))</f>
        <v>1</v>
      </c>
      <c r="J734" s="10" t="str">
        <f aca="false">_xlfn.CONCAT(A734, ",",H734,",",I734)</f>
        <v>룸,차,1</v>
      </c>
      <c r="K734" s="16" t="n">
        <f aca="false">IF(B734=-1,-1,VLOOKUP(C734,$T$1:$V$20,3))</f>
        <v>7</v>
      </c>
      <c r="L734" s="16" t="n">
        <f aca="false">IF(B734=-1,-1,VLOOKUP(D734,$Y$1:$AA$22,3))</f>
        <v>6</v>
      </c>
      <c r="N734" s="10" t="str">
        <f aca="false">_xlfn.UNICHAR(((C734*21)+G734)*28+44032)</f>
        <v>라</v>
      </c>
      <c r="O734" s="10" t="str">
        <f aca="false">_xlfn.UNICHAR(((F734*21)+D734)*28+44032)</f>
        <v>추</v>
      </c>
      <c r="P734" s="12" t="n">
        <f aca="false">COUNTIF($A$2:$A$3000, N734) + COUNTIF($A$2:$A$3000, O734)</f>
        <v>2</v>
      </c>
      <c r="Q734" s="16" t="str">
        <f aca="false">IF(OR(B734=-1,I734=0, P734&lt;&gt;2), "albhed_dummy", _xlfn.CONCAT("albhed ", RIGHT("  " &amp; K734,2),", ", RIGHT("  " &amp; L734,2), ", " ,"""",H734,""", ", """",N734,""", ","""",O734,""""," ; ", A734))</f>
        <v>albhed  7,  6, "차", "라", "추" ; 룸</v>
      </c>
    </row>
    <row r="735" customFormat="false" ht="17.9" hidden="false" customHeight="true" outlineLevel="0" collapsed="false">
      <c r="A735" s="16" t="s">
        <v>1609</v>
      </c>
      <c r="B735" s="16" t="n">
        <f aca="false">IF(_xlfn.UNICODE(A735)&lt;44032,-1,_xlfn.UNICODE(A735)-44032)</f>
        <v>3321</v>
      </c>
      <c r="C735" s="16" t="n">
        <f aca="false">IF(B735=-1,-1,INT((B735/28)/21))</f>
        <v>5</v>
      </c>
      <c r="D735" s="16" t="n">
        <f aca="false">IF(B735=-1, -1, MOD(INT(B735/28),21))</f>
        <v>13</v>
      </c>
      <c r="E735" s="16" t="n">
        <f aca="false">IF(B735=-1, -1, VLOOKUP(MOD(B735,28), $T$24:$U$52,2))</f>
        <v>17</v>
      </c>
      <c r="F735" s="16" t="n">
        <f aca="false">IF($B735=-1, -1, VLOOKUP(C735,$T$1:$V$20, 2))</f>
        <v>14</v>
      </c>
      <c r="G735" s="16" t="n">
        <f aca="false">IF($B735=-1, -1, VLOOKUP(D735,$Y$1:$Z$22,2))</f>
        <v>0</v>
      </c>
      <c r="H735" s="16" t="str">
        <f aca="false">_xlfn.UNICHAR(((F735*21)+G735)*28+44032)</f>
        <v>차</v>
      </c>
      <c r="I735" s="16" t="n">
        <f aca="false">IF(B735=-1, 1, COUNTIF($A$2:$A$3000, H735))</f>
        <v>1</v>
      </c>
      <c r="J735" s="10" t="str">
        <f aca="false">_xlfn.CONCAT(A735, ",",H735,",",I735)</f>
        <v>룹,차,1</v>
      </c>
      <c r="K735" s="16" t="n">
        <f aca="false">IF(B735=-1,-1,VLOOKUP(C735,$T$1:$V$20,3))</f>
        <v>7</v>
      </c>
      <c r="L735" s="16" t="n">
        <f aca="false">IF(B735=-1,-1,VLOOKUP(D735,$Y$1:$AA$22,3))</f>
        <v>6</v>
      </c>
      <c r="N735" s="10" t="str">
        <f aca="false">_xlfn.UNICHAR(((C735*21)+G735)*28+44032)</f>
        <v>라</v>
      </c>
      <c r="O735" s="10" t="str">
        <f aca="false">_xlfn.UNICHAR(((F735*21)+D735)*28+44032)</f>
        <v>추</v>
      </c>
      <c r="P735" s="12" t="n">
        <f aca="false">COUNTIF($A$2:$A$3000, N735) + COUNTIF($A$2:$A$3000, O735)</f>
        <v>2</v>
      </c>
      <c r="Q735" s="16" t="str">
        <f aca="false">IF(OR(B735=-1,I735=0, P735&lt;&gt;2), "albhed_dummy", _xlfn.CONCAT("albhed ", RIGHT("  " &amp; K735,2),", ", RIGHT("  " &amp; L735,2), ", " ,"""",H735,""", ", """",N735,""", ","""",O735,""""," ; ", A735))</f>
        <v>albhed  7,  6, "차", "라", "추" ; 룹</v>
      </c>
    </row>
    <row r="736" customFormat="false" ht="17.9" hidden="false" customHeight="true" outlineLevel="0" collapsed="false">
      <c r="A736" s="16" t="s">
        <v>1610</v>
      </c>
      <c r="B736" s="16" t="n">
        <f aca="false">IF(_xlfn.UNICODE(A736)&lt;44032,-1,_xlfn.UNICODE(A736)-44032)</f>
        <v>3323</v>
      </c>
      <c r="C736" s="16" t="n">
        <f aca="false">IF(B736=-1,-1,INT((B736/28)/21))</f>
        <v>5</v>
      </c>
      <c r="D736" s="16" t="n">
        <f aca="false">IF(B736=-1, -1, MOD(INT(B736/28),21))</f>
        <v>13</v>
      </c>
      <c r="E736" s="16" t="n">
        <f aca="false">IF(B736=-1, -1, VLOOKUP(MOD(B736,28), $T$24:$U$52,2))</f>
        <v>19</v>
      </c>
      <c r="F736" s="16" t="n">
        <f aca="false">IF($B736=-1, -1, VLOOKUP(C736,$T$1:$V$20, 2))</f>
        <v>14</v>
      </c>
      <c r="G736" s="16" t="n">
        <f aca="false">IF($B736=-1, -1, VLOOKUP(D736,$Y$1:$Z$22,2))</f>
        <v>0</v>
      </c>
      <c r="H736" s="16" t="str">
        <f aca="false">_xlfn.UNICHAR(((F736*21)+G736)*28+44032)</f>
        <v>차</v>
      </c>
      <c r="I736" s="16" t="n">
        <f aca="false">IF(B736=-1, 1, COUNTIF($A$2:$A$3000, H736))</f>
        <v>1</v>
      </c>
      <c r="J736" s="10" t="str">
        <f aca="false">_xlfn.CONCAT(A736, ",",H736,",",I736)</f>
        <v>룻,차,1</v>
      </c>
      <c r="K736" s="16" t="n">
        <f aca="false">IF(B736=-1,-1,VLOOKUP(C736,$T$1:$V$20,3))</f>
        <v>7</v>
      </c>
      <c r="L736" s="16" t="n">
        <f aca="false">IF(B736=-1,-1,VLOOKUP(D736,$Y$1:$AA$22,3))</f>
        <v>6</v>
      </c>
      <c r="N736" s="10" t="str">
        <f aca="false">_xlfn.UNICHAR(((C736*21)+G736)*28+44032)</f>
        <v>라</v>
      </c>
      <c r="O736" s="10" t="str">
        <f aca="false">_xlfn.UNICHAR(((F736*21)+D736)*28+44032)</f>
        <v>추</v>
      </c>
      <c r="P736" s="12" t="n">
        <f aca="false">COUNTIF($A$2:$A$3000, N736) + COUNTIF($A$2:$A$3000, O736)</f>
        <v>2</v>
      </c>
      <c r="Q736" s="16" t="str">
        <f aca="false">IF(OR(B736=-1,I736=0, P736&lt;&gt;2), "albhed_dummy", _xlfn.CONCAT("albhed ", RIGHT("  " &amp; K736,2),", ", RIGHT("  " &amp; L736,2), ", " ,"""",H736,""", ", """",N736,""", ","""",O736,""""," ; ", A736))</f>
        <v>albhed  7,  6, "차", "라", "추" ; 룻</v>
      </c>
    </row>
    <row r="737" customFormat="false" ht="17.9" hidden="false" customHeight="true" outlineLevel="0" collapsed="false">
      <c r="A737" s="16" t="s">
        <v>1611</v>
      </c>
      <c r="B737" s="16" t="n">
        <f aca="false">IF(_xlfn.UNICODE(A737)&lt;44032,-1,_xlfn.UNICODE(A737)-44032)</f>
        <v>3325</v>
      </c>
      <c r="C737" s="16" t="n">
        <f aca="false">IF(B737=-1,-1,INT((B737/28)/21))</f>
        <v>5</v>
      </c>
      <c r="D737" s="16" t="n">
        <f aca="false">IF(B737=-1, -1, MOD(INT(B737/28),21))</f>
        <v>13</v>
      </c>
      <c r="E737" s="16" t="n">
        <f aca="false">IF(B737=-1, -1, VLOOKUP(MOD(B737,28), $T$24:$U$52,2))</f>
        <v>21</v>
      </c>
      <c r="F737" s="16" t="n">
        <f aca="false">IF($B737=-1, -1, VLOOKUP(C737,$T$1:$V$20, 2))</f>
        <v>14</v>
      </c>
      <c r="G737" s="16" t="n">
        <f aca="false">IF($B737=-1, -1, VLOOKUP(D737,$Y$1:$Z$22,2))</f>
        <v>0</v>
      </c>
      <c r="H737" s="16" t="str">
        <f aca="false">_xlfn.UNICHAR(((F737*21)+G737)*28+44032)</f>
        <v>차</v>
      </c>
      <c r="I737" s="16" t="n">
        <f aca="false">IF(B737=-1, 1, COUNTIF($A$2:$A$3000, H737))</f>
        <v>1</v>
      </c>
      <c r="J737" s="10" t="str">
        <f aca="false">_xlfn.CONCAT(A737, ",",H737,",",I737)</f>
        <v>룽,차,1</v>
      </c>
      <c r="K737" s="16" t="n">
        <f aca="false">IF(B737=-1,-1,VLOOKUP(C737,$T$1:$V$20,3))</f>
        <v>7</v>
      </c>
      <c r="L737" s="16" t="n">
        <f aca="false">IF(B737=-1,-1,VLOOKUP(D737,$Y$1:$AA$22,3))</f>
        <v>6</v>
      </c>
      <c r="N737" s="10" t="str">
        <f aca="false">_xlfn.UNICHAR(((C737*21)+G737)*28+44032)</f>
        <v>라</v>
      </c>
      <c r="O737" s="10" t="str">
        <f aca="false">_xlfn.UNICHAR(((F737*21)+D737)*28+44032)</f>
        <v>추</v>
      </c>
      <c r="P737" s="12" t="n">
        <f aca="false">COUNTIF($A$2:$A$3000, N737) + COUNTIF($A$2:$A$3000, O737)</f>
        <v>2</v>
      </c>
      <c r="Q737" s="16" t="str">
        <f aca="false">IF(OR(B737=-1,I737=0, P737&lt;&gt;2), "albhed_dummy", _xlfn.CONCAT("albhed ", RIGHT("  " &amp; K737,2),", ", RIGHT("  " &amp; L737,2), ", " ,"""",H737,""", ", """",N737,""", ","""",O737,""""," ; ", A737))</f>
        <v>albhed  7,  6, "차", "라", "추" ; 룽</v>
      </c>
    </row>
    <row r="738" customFormat="false" ht="17.9" hidden="false" customHeight="true" outlineLevel="0" collapsed="false">
      <c r="A738" s="16" t="s">
        <v>1612</v>
      </c>
      <c r="B738" s="16" t="n">
        <f aca="false">IF(_xlfn.UNICODE(A738)&lt;44032,-1,_xlfn.UNICODE(A738)-44032)</f>
        <v>3332</v>
      </c>
      <c r="C738" s="16" t="n">
        <f aca="false">IF(B738=-1,-1,INT((B738/28)/21))</f>
        <v>5</v>
      </c>
      <c r="D738" s="16" t="n">
        <f aca="false">IF(B738=-1, -1, MOD(INT(B738/28),21))</f>
        <v>14</v>
      </c>
      <c r="E738" s="16" t="n">
        <f aca="false">IF(B738=-1, -1, VLOOKUP(MOD(B738,28), $T$24:$U$52,2))</f>
        <v>0</v>
      </c>
      <c r="F738" s="16" t="n">
        <f aca="false">IF($B738=-1, -1, VLOOKUP(C738,$T$1:$V$20, 2))</f>
        <v>14</v>
      </c>
      <c r="G738" s="16" t="n">
        <f aca="false">IF($B738=-1, -1, VLOOKUP(D738,$Y$1:$Z$22,2))</f>
        <v>20</v>
      </c>
      <c r="H738" s="16" t="str">
        <f aca="false">_xlfn.UNICHAR(((F738*21)+G738)*28+44032)</f>
        <v>치</v>
      </c>
      <c r="I738" s="16" t="n">
        <f aca="false">IF(B738=-1, 1, COUNTIF($A$2:$A$3000, H738))</f>
        <v>1</v>
      </c>
      <c r="J738" s="10" t="str">
        <f aca="false">_xlfn.CONCAT(A738, ",",H738,",",I738)</f>
        <v>뤄,치,1</v>
      </c>
      <c r="K738" s="16" t="n">
        <f aca="false">IF(B738=-1,-1,VLOOKUP(C738,$T$1:$V$20,3))</f>
        <v>7</v>
      </c>
      <c r="L738" s="16" t="n">
        <f aca="false">IF(B738=-1,-1,VLOOKUP(D738,$Y$1:$AA$22,3))</f>
        <v>16</v>
      </c>
      <c r="N738" s="10" t="str">
        <f aca="false">_xlfn.UNICHAR(((C738*21)+G738)*28+44032)</f>
        <v>리</v>
      </c>
      <c r="O738" s="10" t="str">
        <f aca="false">_xlfn.UNICHAR(((F738*21)+D738)*28+44032)</f>
        <v>춰</v>
      </c>
      <c r="P738" s="12" t="n">
        <f aca="false">COUNTIF($A$2:$A$3000, N738) + COUNTIF($A$2:$A$3000, O738)</f>
        <v>2</v>
      </c>
      <c r="Q738" s="16" t="str">
        <f aca="false">IF(OR(B738=-1,I738=0, P738&lt;&gt;2), "albhed_dummy", _xlfn.CONCAT("albhed ", RIGHT("  " &amp; K738,2),", ", RIGHT("  " &amp; L738,2), ", " ,"""",H738,""", ", """",N738,""", ","""",O738,""""," ; ", A738))</f>
        <v>albhed  7, 16, "치", "리", "춰" ; 뤄</v>
      </c>
    </row>
    <row r="739" customFormat="false" ht="17.9" hidden="false" customHeight="true" outlineLevel="0" collapsed="false">
      <c r="A739" s="16" t="s">
        <v>1613</v>
      </c>
      <c r="B739" s="16" t="n">
        <f aca="false">IF(_xlfn.UNICODE(A739)&lt;44032,-1,_xlfn.UNICODE(A739)-44032)</f>
        <v>3352</v>
      </c>
      <c r="C739" s="16" t="n">
        <f aca="false">IF(B739=-1,-1,INT((B739/28)/21))</f>
        <v>5</v>
      </c>
      <c r="D739" s="16" t="n">
        <f aca="false">IF(B739=-1, -1, MOD(INT(B739/28),21))</f>
        <v>14</v>
      </c>
      <c r="E739" s="16" t="n">
        <f aca="false">IF(B739=-1, -1, VLOOKUP(MOD(B739,28), $T$24:$U$52,2))</f>
        <v>19</v>
      </c>
      <c r="F739" s="16" t="n">
        <f aca="false">IF($B739=-1, -1, VLOOKUP(C739,$T$1:$V$20, 2))</f>
        <v>14</v>
      </c>
      <c r="G739" s="16" t="n">
        <f aca="false">IF($B739=-1, -1, VLOOKUP(D739,$Y$1:$Z$22,2))</f>
        <v>20</v>
      </c>
      <c r="H739" s="16" t="str">
        <f aca="false">_xlfn.UNICHAR(((F739*21)+G739)*28+44032)</f>
        <v>치</v>
      </c>
      <c r="I739" s="16" t="n">
        <f aca="false">IF(B739=-1, 1, COUNTIF($A$2:$A$3000, H739))</f>
        <v>1</v>
      </c>
      <c r="J739" s="10" t="str">
        <f aca="false">_xlfn.CONCAT(A739, ",",H739,",",I739)</f>
        <v>뤘,치,1</v>
      </c>
      <c r="K739" s="16" t="n">
        <f aca="false">IF(B739=-1,-1,VLOOKUP(C739,$T$1:$V$20,3))</f>
        <v>7</v>
      </c>
      <c r="L739" s="16" t="n">
        <f aca="false">IF(B739=-1,-1,VLOOKUP(D739,$Y$1:$AA$22,3))</f>
        <v>16</v>
      </c>
      <c r="N739" s="10" t="str">
        <f aca="false">_xlfn.UNICHAR(((C739*21)+G739)*28+44032)</f>
        <v>리</v>
      </c>
      <c r="O739" s="10" t="str">
        <f aca="false">_xlfn.UNICHAR(((F739*21)+D739)*28+44032)</f>
        <v>춰</v>
      </c>
      <c r="P739" s="12" t="n">
        <f aca="false">COUNTIF($A$2:$A$3000, N739) + COUNTIF($A$2:$A$3000, O739)</f>
        <v>2</v>
      </c>
      <c r="Q739" s="16" t="str">
        <f aca="false">IF(OR(B739=-1,I739=0, P739&lt;&gt;2), "albhed_dummy", _xlfn.CONCAT("albhed ", RIGHT("  " &amp; K739,2),", ", RIGHT("  " &amp; L739,2), ", " ,"""",H739,""", ", """",N739,""", ","""",O739,""""," ; ", A739))</f>
        <v>albhed  7, 16, "치", "리", "춰" ; 뤘</v>
      </c>
    </row>
    <row r="740" customFormat="false" ht="17.9" hidden="false" customHeight="true" outlineLevel="0" collapsed="false">
      <c r="A740" s="16" t="s">
        <v>1614</v>
      </c>
      <c r="B740" s="16" t="n">
        <f aca="false">IF(_xlfn.UNICODE(A740)&lt;44032,-1,_xlfn.UNICODE(A740)-44032)</f>
        <v>3360</v>
      </c>
      <c r="C740" s="16" t="n">
        <f aca="false">IF(B740=-1,-1,INT((B740/28)/21))</f>
        <v>5</v>
      </c>
      <c r="D740" s="16" t="n">
        <f aca="false">IF(B740=-1, -1, MOD(INT(B740/28),21))</f>
        <v>15</v>
      </c>
      <c r="E740" s="16" t="n">
        <f aca="false">IF(B740=-1, -1, VLOOKUP(MOD(B740,28), $T$24:$U$52,2))</f>
        <v>0</v>
      </c>
      <c r="F740" s="16" t="n">
        <f aca="false">IF($B740=-1, -1, VLOOKUP(C740,$T$1:$V$20, 2))</f>
        <v>14</v>
      </c>
      <c r="G740" s="16" t="n">
        <f aca="false">IF($B740=-1, -1, VLOOKUP(D740,$Y$1:$Z$22,2))</f>
        <v>20</v>
      </c>
      <c r="H740" s="16" t="str">
        <f aca="false">_xlfn.UNICHAR(((F740*21)+G740)*28+44032)</f>
        <v>치</v>
      </c>
      <c r="I740" s="16" t="n">
        <f aca="false">IF(B740=-1, 1, COUNTIF($A$2:$A$3000, H740))</f>
        <v>1</v>
      </c>
      <c r="J740" s="10" t="str">
        <f aca="false">_xlfn.CONCAT(A740, ",",H740,",",I740)</f>
        <v>뤠,치,1</v>
      </c>
      <c r="K740" s="16" t="n">
        <f aca="false">IF(B740=-1,-1,VLOOKUP(C740,$T$1:$V$20,3))</f>
        <v>7</v>
      </c>
      <c r="L740" s="16" t="n">
        <f aca="false">IF(B740=-1,-1,VLOOKUP(D740,$Y$1:$AA$22,3))</f>
        <v>16</v>
      </c>
      <c r="N740" s="10" t="str">
        <f aca="false">_xlfn.UNICHAR(((C740*21)+G740)*28+44032)</f>
        <v>리</v>
      </c>
      <c r="O740" s="10" t="str">
        <f aca="false">_xlfn.UNICHAR(((F740*21)+D740)*28+44032)</f>
        <v>췌</v>
      </c>
      <c r="P740" s="12" t="n">
        <f aca="false">COUNTIF($A$2:$A$3000, N740) + COUNTIF($A$2:$A$3000, O740)</f>
        <v>2</v>
      </c>
      <c r="Q740" s="16" t="str">
        <f aca="false">IF(OR(B740=-1,I740=0, P740&lt;&gt;2), "albhed_dummy", _xlfn.CONCAT("albhed ", RIGHT("  " &amp; K740,2),", ", RIGHT("  " &amp; L740,2), ", " ,"""",H740,""", ", """",N740,""", ","""",O740,""""," ; ", A740))</f>
        <v>albhed  7, 16, "치", "리", "췌" ; 뤠</v>
      </c>
    </row>
    <row r="741" customFormat="false" ht="17.9" hidden="false" customHeight="true" outlineLevel="0" collapsed="false">
      <c r="A741" s="16" t="s">
        <v>1615</v>
      </c>
      <c r="B741" s="16" t="n">
        <f aca="false">IF(_xlfn.UNICODE(A741)&lt;44032,-1,_xlfn.UNICODE(A741)-44032)</f>
        <v>3388</v>
      </c>
      <c r="C741" s="16" t="n">
        <f aca="false">IF(B741=-1,-1,INT((B741/28)/21))</f>
        <v>5</v>
      </c>
      <c r="D741" s="16" t="n">
        <f aca="false">IF(B741=-1, -1, MOD(INT(B741/28),21))</f>
        <v>16</v>
      </c>
      <c r="E741" s="16" t="n">
        <f aca="false">IF(B741=-1, -1, VLOOKUP(MOD(B741,28), $T$24:$U$52,2))</f>
        <v>0</v>
      </c>
      <c r="F741" s="16" t="n">
        <f aca="false">IF($B741=-1, -1, VLOOKUP(C741,$T$1:$V$20, 2))</f>
        <v>14</v>
      </c>
      <c r="G741" s="16" t="n">
        <f aca="false">IF($B741=-1, -1, VLOOKUP(D741,$Y$1:$Z$22,2))</f>
        <v>20</v>
      </c>
      <c r="H741" s="16" t="str">
        <f aca="false">_xlfn.UNICHAR(((F741*21)+G741)*28+44032)</f>
        <v>치</v>
      </c>
      <c r="I741" s="16" t="n">
        <f aca="false">IF(B741=-1, 1, COUNTIF($A$2:$A$3000, H741))</f>
        <v>1</v>
      </c>
      <c r="J741" s="10" t="str">
        <f aca="false">_xlfn.CONCAT(A741, ",",H741,",",I741)</f>
        <v>뤼,치,1</v>
      </c>
      <c r="K741" s="16" t="n">
        <f aca="false">IF(B741=-1,-1,VLOOKUP(C741,$T$1:$V$20,3))</f>
        <v>7</v>
      </c>
      <c r="L741" s="16" t="n">
        <f aca="false">IF(B741=-1,-1,VLOOKUP(D741,$Y$1:$AA$22,3))</f>
        <v>22</v>
      </c>
      <c r="N741" s="10" t="str">
        <f aca="false">_xlfn.UNICHAR(((C741*21)+G741)*28+44032)</f>
        <v>리</v>
      </c>
      <c r="O741" s="10" t="str">
        <f aca="false">_xlfn.UNICHAR(((F741*21)+D741)*28+44032)</f>
        <v>취</v>
      </c>
      <c r="P741" s="12" t="n">
        <f aca="false">COUNTIF($A$2:$A$3000, N741) + COUNTIF($A$2:$A$3000, O741)</f>
        <v>2</v>
      </c>
      <c r="Q741" s="16" t="str">
        <f aca="false">IF(OR(B741=-1,I741=0, P741&lt;&gt;2), "albhed_dummy", _xlfn.CONCAT("albhed ", RIGHT("  " &amp; K741,2),", ", RIGHT("  " &amp; L741,2), ", " ,"""",H741,""", ", """",N741,""", ","""",O741,""""," ; ", A741))</f>
        <v>albhed  7, 22, "치", "리", "취" ; 뤼</v>
      </c>
    </row>
    <row r="742" customFormat="false" ht="17.9" hidden="false" customHeight="true" outlineLevel="0" collapsed="false">
      <c r="A742" s="16" t="s">
        <v>1616</v>
      </c>
      <c r="B742" s="16" t="n">
        <f aca="false">IF(_xlfn.UNICODE(A742)&lt;44032,-1,_xlfn.UNICODE(A742)-44032)</f>
        <v>3389</v>
      </c>
      <c r="C742" s="16" t="n">
        <f aca="false">IF(B742=-1,-1,INT((B742/28)/21))</f>
        <v>5</v>
      </c>
      <c r="D742" s="16" t="n">
        <f aca="false">IF(B742=-1, -1, MOD(INT(B742/28),21))</f>
        <v>16</v>
      </c>
      <c r="E742" s="16" t="n">
        <f aca="false">IF(B742=-1, -1, VLOOKUP(MOD(B742,28), $T$24:$U$52,2))</f>
        <v>1</v>
      </c>
      <c r="F742" s="16" t="n">
        <f aca="false">IF($B742=-1, -1, VLOOKUP(C742,$T$1:$V$20, 2))</f>
        <v>14</v>
      </c>
      <c r="G742" s="16" t="n">
        <f aca="false">IF($B742=-1, -1, VLOOKUP(D742,$Y$1:$Z$22,2))</f>
        <v>20</v>
      </c>
      <c r="H742" s="16" t="str">
        <f aca="false">_xlfn.UNICHAR(((F742*21)+G742)*28+44032)</f>
        <v>치</v>
      </c>
      <c r="I742" s="16" t="n">
        <f aca="false">IF(B742=-1, 1, COUNTIF($A$2:$A$3000, H742))</f>
        <v>1</v>
      </c>
      <c r="J742" s="10" t="str">
        <f aca="false">_xlfn.CONCAT(A742, ",",H742,",",I742)</f>
        <v>뤽,치,1</v>
      </c>
      <c r="K742" s="16" t="n">
        <f aca="false">IF(B742=-1,-1,VLOOKUP(C742,$T$1:$V$20,3))</f>
        <v>7</v>
      </c>
      <c r="L742" s="16" t="n">
        <f aca="false">IF(B742=-1,-1,VLOOKUP(D742,$Y$1:$AA$22,3))</f>
        <v>22</v>
      </c>
      <c r="N742" s="10" t="str">
        <f aca="false">_xlfn.UNICHAR(((C742*21)+G742)*28+44032)</f>
        <v>리</v>
      </c>
      <c r="O742" s="10" t="str">
        <f aca="false">_xlfn.UNICHAR(((F742*21)+D742)*28+44032)</f>
        <v>취</v>
      </c>
      <c r="P742" s="12" t="n">
        <f aca="false">COUNTIF($A$2:$A$3000, N742) + COUNTIF($A$2:$A$3000, O742)</f>
        <v>2</v>
      </c>
      <c r="Q742" s="16" t="str">
        <f aca="false">IF(OR(B742=-1,I742=0, P742&lt;&gt;2), "albhed_dummy", _xlfn.CONCAT("albhed ", RIGHT("  " &amp; K742,2),", ", RIGHT("  " &amp; L742,2), ", " ,"""",H742,""", ", """",N742,""", ","""",O742,""""," ; ", A742))</f>
        <v>albhed  7, 22, "치", "리", "취" ; 뤽</v>
      </c>
    </row>
    <row r="743" customFormat="false" ht="17.9" hidden="false" customHeight="true" outlineLevel="0" collapsed="false">
      <c r="A743" s="16" t="s">
        <v>1617</v>
      </c>
      <c r="B743" s="16" t="n">
        <f aca="false">IF(_xlfn.UNICODE(A743)&lt;44032,-1,_xlfn.UNICODE(A743)-44032)</f>
        <v>3392</v>
      </c>
      <c r="C743" s="16" t="n">
        <f aca="false">IF(B743=-1,-1,INT((B743/28)/21))</f>
        <v>5</v>
      </c>
      <c r="D743" s="16" t="n">
        <f aca="false">IF(B743=-1, -1, MOD(INT(B743/28),21))</f>
        <v>16</v>
      </c>
      <c r="E743" s="16" t="n">
        <f aca="false">IF(B743=-1, -1, VLOOKUP(MOD(B743,28), $T$24:$U$52,2))</f>
        <v>4</v>
      </c>
      <c r="F743" s="16" t="n">
        <f aca="false">IF($B743=-1, -1, VLOOKUP(C743,$T$1:$V$20, 2))</f>
        <v>14</v>
      </c>
      <c r="G743" s="16" t="n">
        <f aca="false">IF($B743=-1, -1, VLOOKUP(D743,$Y$1:$Z$22,2))</f>
        <v>20</v>
      </c>
      <c r="H743" s="16" t="str">
        <f aca="false">_xlfn.UNICHAR(((F743*21)+G743)*28+44032)</f>
        <v>치</v>
      </c>
      <c r="I743" s="16" t="n">
        <f aca="false">IF(B743=-1, 1, COUNTIF($A$2:$A$3000, H743))</f>
        <v>1</v>
      </c>
      <c r="J743" s="10" t="str">
        <f aca="false">_xlfn.CONCAT(A743, ",",H743,",",I743)</f>
        <v>륀,치,1</v>
      </c>
      <c r="K743" s="16" t="n">
        <f aca="false">IF(B743=-1,-1,VLOOKUP(C743,$T$1:$V$20,3))</f>
        <v>7</v>
      </c>
      <c r="L743" s="16" t="n">
        <f aca="false">IF(B743=-1,-1,VLOOKUP(D743,$Y$1:$AA$22,3))</f>
        <v>22</v>
      </c>
      <c r="N743" s="10" t="str">
        <f aca="false">_xlfn.UNICHAR(((C743*21)+G743)*28+44032)</f>
        <v>리</v>
      </c>
      <c r="O743" s="10" t="str">
        <f aca="false">_xlfn.UNICHAR(((F743*21)+D743)*28+44032)</f>
        <v>취</v>
      </c>
      <c r="P743" s="12" t="n">
        <f aca="false">COUNTIF($A$2:$A$3000, N743) + COUNTIF($A$2:$A$3000, O743)</f>
        <v>2</v>
      </c>
      <c r="Q743" s="16" t="str">
        <f aca="false">IF(OR(B743=-1,I743=0, P743&lt;&gt;2), "albhed_dummy", _xlfn.CONCAT("albhed ", RIGHT("  " &amp; K743,2),", ", RIGHT("  " &amp; L743,2), ", " ,"""",H743,""", ", """",N743,""", ","""",O743,""""," ; ", A743))</f>
        <v>albhed  7, 22, "치", "리", "취" ; 륀</v>
      </c>
    </row>
    <row r="744" customFormat="false" ht="17.9" hidden="false" customHeight="true" outlineLevel="0" collapsed="false">
      <c r="A744" s="16" t="s">
        <v>1618</v>
      </c>
      <c r="B744" s="16" t="n">
        <f aca="false">IF(_xlfn.UNICODE(A744)&lt;44032,-1,_xlfn.UNICODE(A744)-44032)</f>
        <v>3396</v>
      </c>
      <c r="C744" s="16" t="n">
        <f aca="false">IF(B744=-1,-1,INT((B744/28)/21))</f>
        <v>5</v>
      </c>
      <c r="D744" s="16" t="n">
        <f aca="false">IF(B744=-1, -1, MOD(INT(B744/28),21))</f>
        <v>16</v>
      </c>
      <c r="E744" s="16" t="n">
        <f aca="false">IF(B744=-1, -1, VLOOKUP(MOD(B744,28), $T$24:$U$52,2))</f>
        <v>8</v>
      </c>
      <c r="F744" s="16" t="n">
        <f aca="false">IF($B744=-1, -1, VLOOKUP(C744,$T$1:$V$20, 2))</f>
        <v>14</v>
      </c>
      <c r="G744" s="16" t="n">
        <f aca="false">IF($B744=-1, -1, VLOOKUP(D744,$Y$1:$Z$22,2))</f>
        <v>20</v>
      </c>
      <c r="H744" s="16" t="str">
        <f aca="false">_xlfn.UNICHAR(((F744*21)+G744)*28+44032)</f>
        <v>치</v>
      </c>
      <c r="I744" s="16" t="n">
        <f aca="false">IF(B744=-1, 1, COUNTIF($A$2:$A$3000, H744))</f>
        <v>1</v>
      </c>
      <c r="J744" s="10" t="str">
        <f aca="false">_xlfn.CONCAT(A744, ",",H744,",",I744)</f>
        <v>륄,치,1</v>
      </c>
      <c r="K744" s="16" t="n">
        <f aca="false">IF(B744=-1,-1,VLOOKUP(C744,$T$1:$V$20,3))</f>
        <v>7</v>
      </c>
      <c r="L744" s="16" t="n">
        <f aca="false">IF(B744=-1,-1,VLOOKUP(D744,$Y$1:$AA$22,3))</f>
        <v>22</v>
      </c>
      <c r="N744" s="10" t="str">
        <f aca="false">_xlfn.UNICHAR(((C744*21)+G744)*28+44032)</f>
        <v>리</v>
      </c>
      <c r="O744" s="10" t="str">
        <f aca="false">_xlfn.UNICHAR(((F744*21)+D744)*28+44032)</f>
        <v>취</v>
      </c>
      <c r="P744" s="12" t="n">
        <f aca="false">COUNTIF($A$2:$A$3000, N744) + COUNTIF($A$2:$A$3000, O744)</f>
        <v>2</v>
      </c>
      <c r="Q744" s="16" t="str">
        <f aca="false">IF(OR(B744=-1,I744=0, P744&lt;&gt;2), "albhed_dummy", _xlfn.CONCAT("albhed ", RIGHT("  " &amp; K744,2),", ", RIGHT("  " &amp; L744,2), ", " ,"""",H744,""", ", """",N744,""", ","""",O744,""""," ; ", A744))</f>
        <v>albhed  7, 22, "치", "리", "취" ; 륄</v>
      </c>
    </row>
    <row r="745" customFormat="false" ht="17.9" hidden="false" customHeight="true" outlineLevel="0" collapsed="false">
      <c r="A745" s="16" t="s">
        <v>1619</v>
      </c>
      <c r="B745" s="16" t="n">
        <f aca="false">IF(_xlfn.UNICODE(A745)&lt;44032,-1,_xlfn.UNICODE(A745)-44032)</f>
        <v>3404</v>
      </c>
      <c r="C745" s="16" t="n">
        <f aca="false">IF(B745=-1,-1,INT((B745/28)/21))</f>
        <v>5</v>
      </c>
      <c r="D745" s="16" t="n">
        <f aca="false">IF(B745=-1, -1, MOD(INT(B745/28),21))</f>
        <v>16</v>
      </c>
      <c r="E745" s="16" t="n">
        <f aca="false">IF(B745=-1, -1, VLOOKUP(MOD(B745,28), $T$24:$U$52,2))</f>
        <v>16</v>
      </c>
      <c r="F745" s="16" t="n">
        <f aca="false">IF($B745=-1, -1, VLOOKUP(C745,$T$1:$V$20, 2))</f>
        <v>14</v>
      </c>
      <c r="G745" s="16" t="n">
        <f aca="false">IF($B745=-1, -1, VLOOKUP(D745,$Y$1:$Z$22,2))</f>
        <v>20</v>
      </c>
      <c r="H745" s="16" t="str">
        <f aca="false">_xlfn.UNICHAR(((F745*21)+G745)*28+44032)</f>
        <v>치</v>
      </c>
      <c r="I745" s="16" t="n">
        <f aca="false">IF(B745=-1, 1, COUNTIF($A$2:$A$3000, H745))</f>
        <v>1</v>
      </c>
      <c r="J745" s="10" t="str">
        <f aca="false">_xlfn.CONCAT(A745, ",",H745,",",I745)</f>
        <v>륌,치,1</v>
      </c>
      <c r="K745" s="16" t="n">
        <f aca="false">IF(B745=-1,-1,VLOOKUP(C745,$T$1:$V$20,3))</f>
        <v>7</v>
      </c>
      <c r="L745" s="16" t="n">
        <f aca="false">IF(B745=-1,-1,VLOOKUP(D745,$Y$1:$AA$22,3))</f>
        <v>22</v>
      </c>
      <c r="N745" s="10" t="str">
        <f aca="false">_xlfn.UNICHAR(((C745*21)+G745)*28+44032)</f>
        <v>리</v>
      </c>
      <c r="O745" s="10" t="str">
        <f aca="false">_xlfn.UNICHAR(((F745*21)+D745)*28+44032)</f>
        <v>취</v>
      </c>
      <c r="P745" s="12" t="n">
        <f aca="false">COUNTIF($A$2:$A$3000, N745) + COUNTIF($A$2:$A$3000, O745)</f>
        <v>2</v>
      </c>
      <c r="Q745" s="16" t="str">
        <f aca="false">IF(OR(B745=-1,I745=0, P745&lt;&gt;2), "albhed_dummy", _xlfn.CONCAT("albhed ", RIGHT("  " &amp; K745,2),", ", RIGHT("  " &amp; L745,2), ", " ,"""",H745,""", ", """",N745,""", ","""",O745,""""," ; ", A745))</f>
        <v>albhed  7, 22, "치", "리", "취" ; 륌</v>
      </c>
    </row>
    <row r="746" customFormat="false" ht="17.9" hidden="false" customHeight="true" outlineLevel="0" collapsed="false">
      <c r="A746" s="16" t="s">
        <v>1620</v>
      </c>
      <c r="B746" s="16" t="n">
        <f aca="false">IF(_xlfn.UNICODE(A746)&lt;44032,-1,_xlfn.UNICODE(A746)-44032)</f>
        <v>3407</v>
      </c>
      <c r="C746" s="16" t="n">
        <f aca="false">IF(B746=-1,-1,INT((B746/28)/21))</f>
        <v>5</v>
      </c>
      <c r="D746" s="16" t="n">
        <f aca="false">IF(B746=-1, -1, MOD(INT(B746/28),21))</f>
        <v>16</v>
      </c>
      <c r="E746" s="16" t="n">
        <f aca="false">IF(B746=-1, -1, VLOOKUP(MOD(B746,28), $T$24:$U$52,2))</f>
        <v>19</v>
      </c>
      <c r="F746" s="16" t="n">
        <f aca="false">IF($B746=-1, -1, VLOOKUP(C746,$T$1:$V$20, 2))</f>
        <v>14</v>
      </c>
      <c r="G746" s="16" t="n">
        <f aca="false">IF($B746=-1, -1, VLOOKUP(D746,$Y$1:$Z$22,2))</f>
        <v>20</v>
      </c>
      <c r="H746" s="16" t="str">
        <f aca="false">_xlfn.UNICHAR(((F746*21)+G746)*28+44032)</f>
        <v>치</v>
      </c>
      <c r="I746" s="16" t="n">
        <f aca="false">IF(B746=-1, 1, COUNTIF($A$2:$A$3000, H746))</f>
        <v>1</v>
      </c>
      <c r="J746" s="10" t="str">
        <f aca="false">_xlfn.CONCAT(A746, ",",H746,",",I746)</f>
        <v>륏,치,1</v>
      </c>
      <c r="K746" s="16" t="n">
        <f aca="false">IF(B746=-1,-1,VLOOKUP(C746,$T$1:$V$20,3))</f>
        <v>7</v>
      </c>
      <c r="L746" s="16" t="n">
        <f aca="false">IF(B746=-1,-1,VLOOKUP(D746,$Y$1:$AA$22,3))</f>
        <v>22</v>
      </c>
      <c r="N746" s="10" t="str">
        <f aca="false">_xlfn.UNICHAR(((C746*21)+G746)*28+44032)</f>
        <v>리</v>
      </c>
      <c r="O746" s="10" t="str">
        <f aca="false">_xlfn.UNICHAR(((F746*21)+D746)*28+44032)</f>
        <v>취</v>
      </c>
      <c r="P746" s="12" t="n">
        <f aca="false">COUNTIF($A$2:$A$3000, N746) + COUNTIF($A$2:$A$3000, O746)</f>
        <v>2</v>
      </c>
      <c r="Q746" s="16" t="str">
        <f aca="false">IF(OR(B746=-1,I746=0, P746&lt;&gt;2), "albhed_dummy", _xlfn.CONCAT("albhed ", RIGHT("  " &amp; K746,2),", ", RIGHT("  " &amp; L746,2), ", " ,"""",H746,""", ", """",N746,""", ","""",O746,""""," ; ", A746))</f>
        <v>albhed  7, 22, "치", "리", "취" ; 륏</v>
      </c>
    </row>
    <row r="747" customFormat="false" ht="17.9" hidden="false" customHeight="true" outlineLevel="0" collapsed="false">
      <c r="A747" s="16" t="s">
        <v>1621</v>
      </c>
      <c r="B747" s="16" t="n">
        <f aca="false">IF(_xlfn.UNICODE(A747)&lt;44032,-1,_xlfn.UNICODE(A747)-44032)</f>
        <v>3409</v>
      </c>
      <c r="C747" s="16" t="n">
        <f aca="false">IF(B747=-1,-1,INT((B747/28)/21))</f>
        <v>5</v>
      </c>
      <c r="D747" s="16" t="n">
        <f aca="false">IF(B747=-1, -1, MOD(INT(B747/28),21))</f>
        <v>16</v>
      </c>
      <c r="E747" s="16" t="n">
        <f aca="false">IF(B747=-1, -1, VLOOKUP(MOD(B747,28), $T$24:$U$52,2))</f>
        <v>21</v>
      </c>
      <c r="F747" s="16" t="n">
        <f aca="false">IF($B747=-1, -1, VLOOKUP(C747,$T$1:$V$20, 2))</f>
        <v>14</v>
      </c>
      <c r="G747" s="16" t="n">
        <f aca="false">IF($B747=-1, -1, VLOOKUP(D747,$Y$1:$Z$22,2))</f>
        <v>20</v>
      </c>
      <c r="H747" s="16" t="str">
        <f aca="false">_xlfn.UNICHAR(((F747*21)+G747)*28+44032)</f>
        <v>치</v>
      </c>
      <c r="I747" s="16" t="n">
        <f aca="false">IF(B747=-1, 1, COUNTIF($A$2:$A$3000, H747))</f>
        <v>1</v>
      </c>
      <c r="J747" s="10" t="str">
        <f aca="false">_xlfn.CONCAT(A747, ",",H747,",",I747)</f>
        <v>륑,치,1</v>
      </c>
      <c r="K747" s="16" t="n">
        <f aca="false">IF(B747=-1,-1,VLOOKUP(C747,$T$1:$V$20,3))</f>
        <v>7</v>
      </c>
      <c r="L747" s="16" t="n">
        <f aca="false">IF(B747=-1,-1,VLOOKUP(D747,$Y$1:$AA$22,3))</f>
        <v>22</v>
      </c>
      <c r="N747" s="10" t="str">
        <f aca="false">_xlfn.UNICHAR(((C747*21)+G747)*28+44032)</f>
        <v>리</v>
      </c>
      <c r="O747" s="10" t="str">
        <f aca="false">_xlfn.UNICHAR(((F747*21)+D747)*28+44032)</f>
        <v>취</v>
      </c>
      <c r="P747" s="12" t="n">
        <f aca="false">COUNTIF($A$2:$A$3000, N747) + COUNTIF($A$2:$A$3000, O747)</f>
        <v>2</v>
      </c>
      <c r="Q747" s="16" t="str">
        <f aca="false">IF(OR(B747=-1,I747=0, P747&lt;&gt;2), "albhed_dummy", _xlfn.CONCAT("albhed ", RIGHT("  " &amp; K747,2),", ", RIGHT("  " &amp; L747,2), ", " ,"""",H747,""", ", """",N747,""", ","""",O747,""""," ; ", A747))</f>
        <v>albhed  7, 22, "치", "리", "취" ; 륑</v>
      </c>
    </row>
    <row r="748" customFormat="false" ht="17.9" hidden="false" customHeight="true" outlineLevel="0" collapsed="false">
      <c r="A748" s="16" t="s">
        <v>1622</v>
      </c>
      <c r="B748" s="16" t="n">
        <f aca="false">IF(_xlfn.UNICODE(A748)&lt;44032,-1,_xlfn.UNICODE(A748)-44032)</f>
        <v>3416</v>
      </c>
      <c r="C748" s="16" t="n">
        <f aca="false">IF(B748=-1,-1,INT((B748/28)/21))</f>
        <v>5</v>
      </c>
      <c r="D748" s="16" t="n">
        <f aca="false">IF(B748=-1, -1, MOD(INT(B748/28),21))</f>
        <v>17</v>
      </c>
      <c r="E748" s="16" t="n">
        <f aca="false">IF(B748=-1, -1, VLOOKUP(MOD(B748,28), $T$24:$U$52,2))</f>
        <v>0</v>
      </c>
      <c r="F748" s="16" t="n">
        <f aca="false">IF($B748=-1, -1, VLOOKUP(C748,$T$1:$V$20, 2))</f>
        <v>14</v>
      </c>
      <c r="G748" s="16" t="n">
        <f aca="false">IF($B748=-1, -1, VLOOKUP(D748,$Y$1:$Z$22,2))</f>
        <v>2</v>
      </c>
      <c r="H748" s="16" t="str">
        <f aca="false">_xlfn.UNICHAR(((F748*21)+G748)*28+44032)</f>
        <v>챠</v>
      </c>
      <c r="I748" s="16" t="n">
        <f aca="false">IF(B748=-1, 1, COUNTIF($A$2:$A$3000, H748))</f>
        <v>1</v>
      </c>
      <c r="J748" s="10" t="str">
        <f aca="false">_xlfn.CONCAT(A748, ",",H748,",",I748)</f>
        <v>류,챠,1</v>
      </c>
      <c r="K748" s="16" t="n">
        <f aca="false">IF(B748=-1,-1,VLOOKUP(C748,$T$1:$V$20,3))</f>
        <v>7</v>
      </c>
      <c r="L748" s="16" t="n">
        <f aca="false">IF(B748=-1,-1,VLOOKUP(D748,$Y$1:$AA$22,3))</f>
        <v>6</v>
      </c>
      <c r="N748" s="10" t="str">
        <f aca="false">_xlfn.UNICHAR(((C748*21)+G748)*28+44032)</f>
        <v>랴</v>
      </c>
      <c r="O748" s="10" t="str">
        <f aca="false">_xlfn.UNICHAR(((F748*21)+D748)*28+44032)</f>
        <v>츄</v>
      </c>
      <c r="P748" s="12" t="n">
        <f aca="false">COUNTIF($A$2:$A$3000, N748) + COUNTIF($A$2:$A$3000, O748)</f>
        <v>2</v>
      </c>
      <c r="Q748" s="16" t="str">
        <f aca="false">IF(OR(B748=-1,I748=0, P748&lt;&gt;2), "albhed_dummy", _xlfn.CONCAT("albhed ", RIGHT("  " &amp; K748,2),", ", RIGHT("  " &amp; L748,2), ", " ,"""",H748,""", ", """",N748,""", ","""",O748,""""," ; ", A748))</f>
        <v>albhed  7,  6, "챠", "랴", "츄" ; 류</v>
      </c>
    </row>
    <row r="749" customFormat="false" ht="17.9" hidden="false" customHeight="true" outlineLevel="0" collapsed="false">
      <c r="A749" s="16" t="s">
        <v>1623</v>
      </c>
      <c r="B749" s="16" t="n">
        <f aca="false">IF(_xlfn.UNICODE(A749)&lt;44032,-1,_xlfn.UNICODE(A749)-44032)</f>
        <v>3417</v>
      </c>
      <c r="C749" s="16" t="n">
        <f aca="false">IF(B749=-1,-1,INT((B749/28)/21))</f>
        <v>5</v>
      </c>
      <c r="D749" s="16" t="n">
        <f aca="false">IF(B749=-1, -1, MOD(INT(B749/28),21))</f>
        <v>17</v>
      </c>
      <c r="E749" s="16" t="n">
        <f aca="false">IF(B749=-1, -1, VLOOKUP(MOD(B749,28), $T$24:$U$52,2))</f>
        <v>1</v>
      </c>
      <c r="F749" s="16" t="n">
        <f aca="false">IF($B749=-1, -1, VLOOKUP(C749,$T$1:$V$20, 2))</f>
        <v>14</v>
      </c>
      <c r="G749" s="16" t="n">
        <f aca="false">IF($B749=-1, -1, VLOOKUP(D749,$Y$1:$Z$22,2))</f>
        <v>2</v>
      </c>
      <c r="H749" s="16" t="str">
        <f aca="false">_xlfn.UNICHAR(((F749*21)+G749)*28+44032)</f>
        <v>챠</v>
      </c>
      <c r="I749" s="16" t="n">
        <f aca="false">IF(B749=-1, 1, COUNTIF($A$2:$A$3000, H749))</f>
        <v>1</v>
      </c>
      <c r="J749" s="10" t="str">
        <f aca="false">_xlfn.CONCAT(A749, ",",H749,",",I749)</f>
        <v>륙,챠,1</v>
      </c>
      <c r="K749" s="16" t="n">
        <f aca="false">IF(B749=-1,-1,VLOOKUP(C749,$T$1:$V$20,3))</f>
        <v>7</v>
      </c>
      <c r="L749" s="16" t="n">
        <f aca="false">IF(B749=-1,-1,VLOOKUP(D749,$Y$1:$AA$22,3))</f>
        <v>6</v>
      </c>
      <c r="N749" s="10" t="str">
        <f aca="false">_xlfn.UNICHAR(((C749*21)+G749)*28+44032)</f>
        <v>랴</v>
      </c>
      <c r="O749" s="10" t="str">
        <f aca="false">_xlfn.UNICHAR(((F749*21)+D749)*28+44032)</f>
        <v>츄</v>
      </c>
      <c r="P749" s="12" t="n">
        <f aca="false">COUNTIF($A$2:$A$3000, N749) + COUNTIF($A$2:$A$3000, O749)</f>
        <v>2</v>
      </c>
      <c r="Q749" s="16" t="str">
        <f aca="false">IF(OR(B749=-1,I749=0, P749&lt;&gt;2), "albhed_dummy", _xlfn.CONCAT("albhed ", RIGHT("  " &amp; K749,2),", ", RIGHT("  " &amp; L749,2), ", " ,"""",H749,""", ", """",N749,""", ","""",O749,""""," ; ", A749))</f>
        <v>albhed  7,  6, "챠", "랴", "츄" ; 륙</v>
      </c>
    </row>
    <row r="750" customFormat="false" ht="17.9" hidden="false" customHeight="true" outlineLevel="0" collapsed="false">
      <c r="A750" s="16" t="s">
        <v>1624</v>
      </c>
      <c r="B750" s="16" t="n">
        <f aca="false">IF(_xlfn.UNICODE(A750)&lt;44032,-1,_xlfn.UNICODE(A750)-44032)</f>
        <v>3420</v>
      </c>
      <c r="C750" s="16" t="n">
        <f aca="false">IF(B750=-1,-1,INT((B750/28)/21))</f>
        <v>5</v>
      </c>
      <c r="D750" s="16" t="n">
        <f aca="false">IF(B750=-1, -1, MOD(INT(B750/28),21))</f>
        <v>17</v>
      </c>
      <c r="E750" s="16" t="n">
        <f aca="false">IF(B750=-1, -1, VLOOKUP(MOD(B750,28), $T$24:$U$52,2))</f>
        <v>4</v>
      </c>
      <c r="F750" s="16" t="n">
        <f aca="false">IF($B750=-1, -1, VLOOKUP(C750,$T$1:$V$20, 2))</f>
        <v>14</v>
      </c>
      <c r="G750" s="16" t="n">
        <f aca="false">IF($B750=-1, -1, VLOOKUP(D750,$Y$1:$Z$22,2))</f>
        <v>2</v>
      </c>
      <c r="H750" s="16" t="str">
        <f aca="false">_xlfn.UNICHAR(((F750*21)+G750)*28+44032)</f>
        <v>챠</v>
      </c>
      <c r="I750" s="16" t="n">
        <f aca="false">IF(B750=-1, 1, COUNTIF($A$2:$A$3000, H750))</f>
        <v>1</v>
      </c>
      <c r="J750" s="10" t="str">
        <f aca="false">_xlfn.CONCAT(A750, ",",H750,",",I750)</f>
        <v>륜,챠,1</v>
      </c>
      <c r="K750" s="16" t="n">
        <f aca="false">IF(B750=-1,-1,VLOOKUP(C750,$T$1:$V$20,3))</f>
        <v>7</v>
      </c>
      <c r="L750" s="16" t="n">
        <f aca="false">IF(B750=-1,-1,VLOOKUP(D750,$Y$1:$AA$22,3))</f>
        <v>6</v>
      </c>
      <c r="N750" s="10" t="str">
        <f aca="false">_xlfn.UNICHAR(((C750*21)+G750)*28+44032)</f>
        <v>랴</v>
      </c>
      <c r="O750" s="10" t="str">
        <f aca="false">_xlfn.UNICHAR(((F750*21)+D750)*28+44032)</f>
        <v>츄</v>
      </c>
      <c r="P750" s="12" t="n">
        <f aca="false">COUNTIF($A$2:$A$3000, N750) + COUNTIF($A$2:$A$3000, O750)</f>
        <v>2</v>
      </c>
      <c r="Q750" s="16" t="str">
        <f aca="false">IF(OR(B750=-1,I750=0, P750&lt;&gt;2), "albhed_dummy", _xlfn.CONCAT("albhed ", RIGHT("  " &amp; K750,2),", ", RIGHT("  " &amp; L750,2), ", " ,"""",H750,""", ", """",N750,""", ","""",O750,""""," ; ", A750))</f>
        <v>albhed  7,  6, "챠", "랴", "츄" ; 륜</v>
      </c>
    </row>
    <row r="751" customFormat="false" ht="17.9" hidden="false" customHeight="true" outlineLevel="0" collapsed="false">
      <c r="A751" s="16" t="s">
        <v>1625</v>
      </c>
      <c r="B751" s="16" t="n">
        <f aca="false">IF(_xlfn.UNICODE(A751)&lt;44032,-1,_xlfn.UNICODE(A751)-44032)</f>
        <v>3424</v>
      </c>
      <c r="C751" s="16" t="n">
        <f aca="false">IF(B751=-1,-1,INT((B751/28)/21))</f>
        <v>5</v>
      </c>
      <c r="D751" s="16" t="n">
        <f aca="false">IF(B751=-1, -1, MOD(INT(B751/28),21))</f>
        <v>17</v>
      </c>
      <c r="E751" s="16" t="n">
        <f aca="false">IF(B751=-1, -1, VLOOKUP(MOD(B751,28), $T$24:$U$52,2))</f>
        <v>8</v>
      </c>
      <c r="F751" s="16" t="n">
        <f aca="false">IF($B751=-1, -1, VLOOKUP(C751,$T$1:$V$20, 2))</f>
        <v>14</v>
      </c>
      <c r="G751" s="16" t="n">
        <f aca="false">IF($B751=-1, -1, VLOOKUP(D751,$Y$1:$Z$22,2))</f>
        <v>2</v>
      </c>
      <c r="H751" s="16" t="str">
        <f aca="false">_xlfn.UNICHAR(((F751*21)+G751)*28+44032)</f>
        <v>챠</v>
      </c>
      <c r="I751" s="16" t="n">
        <f aca="false">IF(B751=-1, 1, COUNTIF($A$2:$A$3000, H751))</f>
        <v>1</v>
      </c>
      <c r="J751" s="10" t="str">
        <f aca="false">_xlfn.CONCAT(A751, ",",H751,",",I751)</f>
        <v>률,챠,1</v>
      </c>
      <c r="K751" s="16" t="n">
        <f aca="false">IF(B751=-1,-1,VLOOKUP(C751,$T$1:$V$20,3))</f>
        <v>7</v>
      </c>
      <c r="L751" s="16" t="n">
        <f aca="false">IF(B751=-1,-1,VLOOKUP(D751,$Y$1:$AA$22,3))</f>
        <v>6</v>
      </c>
      <c r="N751" s="10" t="str">
        <f aca="false">_xlfn.UNICHAR(((C751*21)+G751)*28+44032)</f>
        <v>랴</v>
      </c>
      <c r="O751" s="10" t="str">
        <f aca="false">_xlfn.UNICHAR(((F751*21)+D751)*28+44032)</f>
        <v>츄</v>
      </c>
      <c r="P751" s="12" t="n">
        <f aca="false">COUNTIF($A$2:$A$3000, N751) + COUNTIF($A$2:$A$3000, O751)</f>
        <v>2</v>
      </c>
      <c r="Q751" s="16" t="str">
        <f aca="false">IF(OR(B751=-1,I751=0, P751&lt;&gt;2), "albhed_dummy", _xlfn.CONCAT("albhed ", RIGHT("  " &amp; K751,2),", ", RIGHT("  " &amp; L751,2), ", " ,"""",H751,""", ", """",N751,""", ","""",O751,""""," ; ", A751))</f>
        <v>albhed  7,  6, "챠", "랴", "츄" ; 률</v>
      </c>
    </row>
    <row r="752" customFormat="false" ht="17.9" hidden="false" customHeight="true" outlineLevel="0" collapsed="false">
      <c r="A752" s="16" t="s">
        <v>1626</v>
      </c>
      <c r="B752" s="16" t="n">
        <f aca="false">IF(_xlfn.UNICODE(A752)&lt;44032,-1,_xlfn.UNICODE(A752)-44032)</f>
        <v>3432</v>
      </c>
      <c r="C752" s="16" t="n">
        <f aca="false">IF(B752=-1,-1,INT((B752/28)/21))</f>
        <v>5</v>
      </c>
      <c r="D752" s="16" t="n">
        <f aca="false">IF(B752=-1, -1, MOD(INT(B752/28),21))</f>
        <v>17</v>
      </c>
      <c r="E752" s="16" t="n">
        <f aca="false">IF(B752=-1, -1, VLOOKUP(MOD(B752,28), $T$24:$U$52,2))</f>
        <v>16</v>
      </c>
      <c r="F752" s="16" t="n">
        <f aca="false">IF($B752=-1, -1, VLOOKUP(C752,$T$1:$V$20, 2))</f>
        <v>14</v>
      </c>
      <c r="G752" s="16" t="n">
        <f aca="false">IF($B752=-1, -1, VLOOKUP(D752,$Y$1:$Z$22,2))</f>
        <v>2</v>
      </c>
      <c r="H752" s="16" t="str">
        <f aca="false">_xlfn.UNICHAR(((F752*21)+G752)*28+44032)</f>
        <v>챠</v>
      </c>
      <c r="I752" s="16" t="n">
        <f aca="false">IF(B752=-1, 1, COUNTIF($A$2:$A$3000, H752))</f>
        <v>1</v>
      </c>
      <c r="J752" s="10" t="str">
        <f aca="false">_xlfn.CONCAT(A752, ",",H752,",",I752)</f>
        <v>륨,챠,1</v>
      </c>
      <c r="K752" s="16" t="n">
        <f aca="false">IF(B752=-1,-1,VLOOKUP(C752,$T$1:$V$20,3))</f>
        <v>7</v>
      </c>
      <c r="L752" s="16" t="n">
        <f aca="false">IF(B752=-1,-1,VLOOKUP(D752,$Y$1:$AA$22,3))</f>
        <v>6</v>
      </c>
      <c r="N752" s="10" t="str">
        <f aca="false">_xlfn.UNICHAR(((C752*21)+G752)*28+44032)</f>
        <v>랴</v>
      </c>
      <c r="O752" s="10" t="str">
        <f aca="false">_xlfn.UNICHAR(((F752*21)+D752)*28+44032)</f>
        <v>츄</v>
      </c>
      <c r="P752" s="12" t="n">
        <f aca="false">COUNTIF($A$2:$A$3000, N752) + COUNTIF($A$2:$A$3000, O752)</f>
        <v>2</v>
      </c>
      <c r="Q752" s="16" t="str">
        <f aca="false">IF(OR(B752=-1,I752=0, P752&lt;&gt;2), "albhed_dummy", _xlfn.CONCAT("albhed ", RIGHT("  " &amp; K752,2),", ", RIGHT("  " &amp; L752,2), ", " ,"""",H752,""", ", """",N752,""", ","""",O752,""""," ; ", A752))</f>
        <v>albhed  7,  6, "챠", "랴", "츄" ; 륨</v>
      </c>
    </row>
    <row r="753" customFormat="false" ht="17.9" hidden="false" customHeight="true" outlineLevel="0" collapsed="false">
      <c r="A753" s="16" t="s">
        <v>1627</v>
      </c>
      <c r="B753" s="16" t="n">
        <f aca="false">IF(_xlfn.UNICODE(A753)&lt;44032,-1,_xlfn.UNICODE(A753)-44032)</f>
        <v>3433</v>
      </c>
      <c r="C753" s="16" t="n">
        <f aca="false">IF(B753=-1,-1,INT((B753/28)/21))</f>
        <v>5</v>
      </c>
      <c r="D753" s="16" t="n">
        <f aca="false">IF(B753=-1, -1, MOD(INT(B753/28),21))</f>
        <v>17</v>
      </c>
      <c r="E753" s="16" t="n">
        <f aca="false">IF(B753=-1, -1, VLOOKUP(MOD(B753,28), $T$24:$U$52,2))</f>
        <v>17</v>
      </c>
      <c r="F753" s="16" t="n">
        <f aca="false">IF($B753=-1, -1, VLOOKUP(C753,$T$1:$V$20, 2))</f>
        <v>14</v>
      </c>
      <c r="G753" s="16" t="n">
        <f aca="false">IF($B753=-1, -1, VLOOKUP(D753,$Y$1:$Z$22,2))</f>
        <v>2</v>
      </c>
      <c r="H753" s="16" t="str">
        <f aca="false">_xlfn.UNICHAR(((F753*21)+G753)*28+44032)</f>
        <v>챠</v>
      </c>
      <c r="I753" s="16" t="n">
        <f aca="false">IF(B753=-1, 1, COUNTIF($A$2:$A$3000, H753))</f>
        <v>1</v>
      </c>
      <c r="J753" s="10" t="str">
        <f aca="false">_xlfn.CONCAT(A753, ",",H753,",",I753)</f>
        <v>륩,챠,1</v>
      </c>
      <c r="K753" s="16" t="n">
        <f aca="false">IF(B753=-1,-1,VLOOKUP(C753,$T$1:$V$20,3))</f>
        <v>7</v>
      </c>
      <c r="L753" s="16" t="n">
        <f aca="false">IF(B753=-1,-1,VLOOKUP(D753,$Y$1:$AA$22,3))</f>
        <v>6</v>
      </c>
      <c r="N753" s="10" t="str">
        <f aca="false">_xlfn.UNICHAR(((C753*21)+G753)*28+44032)</f>
        <v>랴</v>
      </c>
      <c r="O753" s="10" t="str">
        <f aca="false">_xlfn.UNICHAR(((F753*21)+D753)*28+44032)</f>
        <v>츄</v>
      </c>
      <c r="P753" s="12" t="n">
        <f aca="false">COUNTIF($A$2:$A$3000, N753) + COUNTIF($A$2:$A$3000, O753)</f>
        <v>2</v>
      </c>
      <c r="Q753" s="16" t="str">
        <f aca="false">IF(OR(B753=-1,I753=0, P753&lt;&gt;2), "albhed_dummy", _xlfn.CONCAT("albhed ", RIGHT("  " &amp; K753,2),", ", RIGHT("  " &amp; L753,2), ", " ,"""",H753,""", ", """",N753,""", ","""",O753,""""," ; ", A753))</f>
        <v>albhed  7,  6, "챠", "랴", "츄" ; 륩</v>
      </c>
    </row>
    <row r="754" customFormat="false" ht="17.9" hidden="false" customHeight="true" outlineLevel="0" collapsed="false">
      <c r="A754" s="16" t="s">
        <v>1628</v>
      </c>
      <c r="B754" s="16" t="n">
        <f aca="false">IF(_xlfn.UNICODE(A754)&lt;44032,-1,_xlfn.UNICODE(A754)-44032)</f>
        <v>3435</v>
      </c>
      <c r="C754" s="16" t="n">
        <f aca="false">IF(B754=-1,-1,INT((B754/28)/21))</f>
        <v>5</v>
      </c>
      <c r="D754" s="16" t="n">
        <f aca="false">IF(B754=-1, -1, MOD(INT(B754/28),21))</f>
        <v>17</v>
      </c>
      <c r="E754" s="16" t="n">
        <f aca="false">IF(B754=-1, -1, VLOOKUP(MOD(B754,28), $T$24:$U$52,2))</f>
        <v>19</v>
      </c>
      <c r="F754" s="16" t="n">
        <f aca="false">IF($B754=-1, -1, VLOOKUP(C754,$T$1:$V$20, 2))</f>
        <v>14</v>
      </c>
      <c r="G754" s="16" t="n">
        <f aca="false">IF($B754=-1, -1, VLOOKUP(D754,$Y$1:$Z$22,2))</f>
        <v>2</v>
      </c>
      <c r="H754" s="16" t="str">
        <f aca="false">_xlfn.UNICHAR(((F754*21)+G754)*28+44032)</f>
        <v>챠</v>
      </c>
      <c r="I754" s="16" t="n">
        <f aca="false">IF(B754=-1, 1, COUNTIF($A$2:$A$3000, H754))</f>
        <v>1</v>
      </c>
      <c r="J754" s="10" t="str">
        <f aca="false">_xlfn.CONCAT(A754, ",",H754,",",I754)</f>
        <v>륫,챠,1</v>
      </c>
      <c r="K754" s="16" t="n">
        <f aca="false">IF(B754=-1,-1,VLOOKUP(C754,$T$1:$V$20,3))</f>
        <v>7</v>
      </c>
      <c r="L754" s="16" t="n">
        <f aca="false">IF(B754=-1,-1,VLOOKUP(D754,$Y$1:$AA$22,3))</f>
        <v>6</v>
      </c>
      <c r="N754" s="10" t="str">
        <f aca="false">_xlfn.UNICHAR(((C754*21)+G754)*28+44032)</f>
        <v>랴</v>
      </c>
      <c r="O754" s="10" t="str">
        <f aca="false">_xlfn.UNICHAR(((F754*21)+D754)*28+44032)</f>
        <v>츄</v>
      </c>
      <c r="P754" s="12" t="n">
        <f aca="false">COUNTIF($A$2:$A$3000, N754) + COUNTIF($A$2:$A$3000, O754)</f>
        <v>2</v>
      </c>
      <c r="Q754" s="16" t="str">
        <f aca="false">IF(OR(B754=-1,I754=0, P754&lt;&gt;2), "albhed_dummy", _xlfn.CONCAT("albhed ", RIGHT("  " &amp; K754,2),", ", RIGHT("  " &amp; L754,2), ", " ,"""",H754,""", ", """",N754,""", ","""",O754,""""," ; ", A754))</f>
        <v>albhed  7,  6, "챠", "랴", "츄" ; 륫</v>
      </c>
    </row>
    <row r="755" customFormat="false" ht="17.9" hidden="false" customHeight="true" outlineLevel="0" collapsed="false">
      <c r="A755" s="16" t="s">
        <v>1629</v>
      </c>
      <c r="B755" s="16" t="n">
        <f aca="false">IF(_xlfn.UNICODE(A755)&lt;44032,-1,_xlfn.UNICODE(A755)-44032)</f>
        <v>3437</v>
      </c>
      <c r="C755" s="16" t="n">
        <f aca="false">IF(B755=-1,-1,INT((B755/28)/21))</f>
        <v>5</v>
      </c>
      <c r="D755" s="16" t="n">
        <f aca="false">IF(B755=-1, -1, MOD(INT(B755/28),21))</f>
        <v>17</v>
      </c>
      <c r="E755" s="16" t="n">
        <f aca="false">IF(B755=-1, -1, VLOOKUP(MOD(B755,28), $T$24:$U$52,2))</f>
        <v>21</v>
      </c>
      <c r="F755" s="16" t="n">
        <f aca="false">IF($B755=-1, -1, VLOOKUP(C755,$T$1:$V$20, 2))</f>
        <v>14</v>
      </c>
      <c r="G755" s="16" t="n">
        <f aca="false">IF($B755=-1, -1, VLOOKUP(D755,$Y$1:$Z$22,2))</f>
        <v>2</v>
      </c>
      <c r="H755" s="16" t="str">
        <f aca="false">_xlfn.UNICHAR(((F755*21)+G755)*28+44032)</f>
        <v>챠</v>
      </c>
      <c r="I755" s="16" t="n">
        <f aca="false">IF(B755=-1, 1, COUNTIF($A$2:$A$3000, H755))</f>
        <v>1</v>
      </c>
      <c r="J755" s="10" t="str">
        <f aca="false">_xlfn.CONCAT(A755, ",",H755,",",I755)</f>
        <v>륭,챠,1</v>
      </c>
      <c r="K755" s="16" t="n">
        <f aca="false">IF(B755=-1,-1,VLOOKUP(C755,$T$1:$V$20,3))</f>
        <v>7</v>
      </c>
      <c r="L755" s="16" t="n">
        <f aca="false">IF(B755=-1,-1,VLOOKUP(D755,$Y$1:$AA$22,3))</f>
        <v>6</v>
      </c>
      <c r="N755" s="10" t="str">
        <f aca="false">_xlfn.UNICHAR(((C755*21)+G755)*28+44032)</f>
        <v>랴</v>
      </c>
      <c r="O755" s="10" t="str">
        <f aca="false">_xlfn.UNICHAR(((F755*21)+D755)*28+44032)</f>
        <v>츄</v>
      </c>
      <c r="P755" s="12" t="n">
        <f aca="false">COUNTIF($A$2:$A$3000, N755) + COUNTIF($A$2:$A$3000, O755)</f>
        <v>2</v>
      </c>
      <c r="Q755" s="16" t="str">
        <f aca="false">IF(OR(B755=-1,I755=0, P755&lt;&gt;2), "albhed_dummy", _xlfn.CONCAT("albhed ", RIGHT("  " &amp; K755,2),", ", RIGHT("  " &amp; L755,2), ", " ,"""",H755,""", ", """",N755,""", ","""",O755,""""," ; ", A755))</f>
        <v>albhed  7,  6, "챠", "랴", "츄" ; 륭</v>
      </c>
    </row>
    <row r="756" customFormat="false" ht="17.9" hidden="false" customHeight="true" outlineLevel="0" collapsed="false">
      <c r="A756" s="16" t="s">
        <v>1630</v>
      </c>
      <c r="B756" s="16" t="n">
        <f aca="false">IF(_xlfn.UNICODE(A756)&lt;44032,-1,_xlfn.UNICODE(A756)-44032)</f>
        <v>3444</v>
      </c>
      <c r="C756" s="16" t="n">
        <f aca="false">IF(B756=-1,-1,INT((B756/28)/21))</f>
        <v>5</v>
      </c>
      <c r="D756" s="16" t="n">
        <f aca="false">IF(B756=-1, -1, MOD(INT(B756/28),21))</f>
        <v>18</v>
      </c>
      <c r="E756" s="16" t="n">
        <f aca="false">IF(B756=-1, -1, VLOOKUP(MOD(B756,28), $T$24:$U$52,2))</f>
        <v>0</v>
      </c>
      <c r="F756" s="16" t="n">
        <f aca="false">IF($B756=-1, -1, VLOOKUP(C756,$T$1:$V$20, 2))</f>
        <v>14</v>
      </c>
      <c r="G756" s="16" t="n">
        <f aca="false">IF($B756=-1, -1, VLOOKUP(D756,$Y$1:$Z$22,2))</f>
        <v>5</v>
      </c>
      <c r="H756" s="16" t="str">
        <f aca="false">_xlfn.UNICHAR(((F756*21)+G756)*28+44032)</f>
        <v>체</v>
      </c>
      <c r="I756" s="16" t="n">
        <f aca="false">IF(B756=-1, 1, COUNTIF($A$2:$A$3000, H756))</f>
        <v>1</v>
      </c>
      <c r="J756" s="10" t="str">
        <f aca="false">_xlfn.CONCAT(A756, ",",H756,",",I756)</f>
        <v>르,체,1</v>
      </c>
      <c r="K756" s="16" t="n">
        <f aca="false">IF(B756=-1,-1,VLOOKUP(C756,$T$1:$V$20,3))</f>
        <v>7</v>
      </c>
      <c r="L756" s="16" t="n">
        <f aca="false">IF(B756=-1,-1,VLOOKUP(D756,$Y$1:$AA$22,3))</f>
        <v>18</v>
      </c>
      <c r="N756" s="10" t="str">
        <f aca="false">_xlfn.UNICHAR(((C756*21)+G756)*28+44032)</f>
        <v>레</v>
      </c>
      <c r="O756" s="10" t="str">
        <f aca="false">_xlfn.UNICHAR(((F756*21)+D756)*28+44032)</f>
        <v>츠</v>
      </c>
      <c r="P756" s="12" t="n">
        <f aca="false">COUNTIF($A$2:$A$3000, N756) + COUNTIF($A$2:$A$3000, O756)</f>
        <v>2</v>
      </c>
      <c r="Q756" s="16" t="str">
        <f aca="false">IF(OR(B756=-1,I756=0, P756&lt;&gt;2), "albhed_dummy", _xlfn.CONCAT("albhed ", RIGHT("  " &amp; K756,2),", ", RIGHT("  " &amp; L756,2), ", " ,"""",H756,""", ", """",N756,""", ","""",O756,""""," ; ", A756))</f>
        <v>albhed  7, 18, "체", "레", "츠" ; 르</v>
      </c>
    </row>
    <row r="757" customFormat="false" ht="17.9" hidden="false" customHeight="true" outlineLevel="0" collapsed="false">
      <c r="A757" s="16" t="s">
        <v>1631</v>
      </c>
      <c r="B757" s="16" t="n">
        <f aca="false">IF(_xlfn.UNICODE(A757)&lt;44032,-1,_xlfn.UNICODE(A757)-44032)</f>
        <v>3445</v>
      </c>
      <c r="C757" s="16" t="n">
        <f aca="false">IF(B757=-1,-1,INT((B757/28)/21))</f>
        <v>5</v>
      </c>
      <c r="D757" s="16" t="n">
        <f aca="false">IF(B757=-1, -1, MOD(INT(B757/28),21))</f>
        <v>18</v>
      </c>
      <c r="E757" s="16" t="n">
        <f aca="false">IF(B757=-1, -1, VLOOKUP(MOD(B757,28), $T$24:$U$52,2))</f>
        <v>1</v>
      </c>
      <c r="F757" s="16" t="n">
        <f aca="false">IF($B757=-1, -1, VLOOKUP(C757,$T$1:$V$20, 2))</f>
        <v>14</v>
      </c>
      <c r="G757" s="16" t="n">
        <f aca="false">IF($B757=-1, -1, VLOOKUP(D757,$Y$1:$Z$22,2))</f>
        <v>5</v>
      </c>
      <c r="H757" s="16" t="str">
        <f aca="false">_xlfn.UNICHAR(((F757*21)+G757)*28+44032)</f>
        <v>체</v>
      </c>
      <c r="I757" s="16" t="n">
        <f aca="false">IF(B757=-1, 1, COUNTIF($A$2:$A$3000, H757))</f>
        <v>1</v>
      </c>
      <c r="J757" s="10" t="str">
        <f aca="false">_xlfn.CONCAT(A757, ",",H757,",",I757)</f>
        <v>륵,체,1</v>
      </c>
      <c r="K757" s="16" t="n">
        <f aca="false">IF(B757=-1,-1,VLOOKUP(C757,$T$1:$V$20,3))</f>
        <v>7</v>
      </c>
      <c r="L757" s="16" t="n">
        <f aca="false">IF(B757=-1,-1,VLOOKUP(D757,$Y$1:$AA$22,3))</f>
        <v>18</v>
      </c>
      <c r="N757" s="10" t="str">
        <f aca="false">_xlfn.UNICHAR(((C757*21)+G757)*28+44032)</f>
        <v>레</v>
      </c>
      <c r="O757" s="10" t="str">
        <f aca="false">_xlfn.UNICHAR(((F757*21)+D757)*28+44032)</f>
        <v>츠</v>
      </c>
      <c r="P757" s="12" t="n">
        <f aca="false">COUNTIF($A$2:$A$3000, N757) + COUNTIF($A$2:$A$3000, O757)</f>
        <v>2</v>
      </c>
      <c r="Q757" s="16" t="str">
        <f aca="false">IF(OR(B757=-1,I757=0, P757&lt;&gt;2), "albhed_dummy", _xlfn.CONCAT("albhed ", RIGHT("  " &amp; K757,2),", ", RIGHT("  " &amp; L757,2), ", " ,"""",H757,""", ", """",N757,""", ","""",O757,""""," ; ", A757))</f>
        <v>albhed  7, 18, "체", "레", "츠" ; 륵</v>
      </c>
    </row>
    <row r="758" customFormat="false" ht="17.9" hidden="false" customHeight="true" outlineLevel="0" collapsed="false">
      <c r="A758" s="16" t="s">
        <v>1632</v>
      </c>
      <c r="B758" s="16" t="n">
        <f aca="false">IF(_xlfn.UNICODE(A758)&lt;44032,-1,_xlfn.UNICODE(A758)-44032)</f>
        <v>3448</v>
      </c>
      <c r="C758" s="16" t="n">
        <f aca="false">IF(B758=-1,-1,INT((B758/28)/21))</f>
        <v>5</v>
      </c>
      <c r="D758" s="16" t="n">
        <f aca="false">IF(B758=-1, -1, MOD(INT(B758/28),21))</f>
        <v>18</v>
      </c>
      <c r="E758" s="16" t="n">
        <f aca="false">IF(B758=-1, -1, VLOOKUP(MOD(B758,28), $T$24:$U$52,2))</f>
        <v>4</v>
      </c>
      <c r="F758" s="16" t="n">
        <f aca="false">IF($B758=-1, -1, VLOOKUP(C758,$T$1:$V$20, 2))</f>
        <v>14</v>
      </c>
      <c r="G758" s="16" t="n">
        <f aca="false">IF($B758=-1, -1, VLOOKUP(D758,$Y$1:$Z$22,2))</f>
        <v>5</v>
      </c>
      <c r="H758" s="16" t="str">
        <f aca="false">_xlfn.UNICHAR(((F758*21)+G758)*28+44032)</f>
        <v>체</v>
      </c>
      <c r="I758" s="16" t="n">
        <f aca="false">IF(B758=-1, 1, COUNTIF($A$2:$A$3000, H758))</f>
        <v>1</v>
      </c>
      <c r="J758" s="10" t="str">
        <f aca="false">_xlfn.CONCAT(A758, ",",H758,",",I758)</f>
        <v>른,체,1</v>
      </c>
      <c r="K758" s="16" t="n">
        <f aca="false">IF(B758=-1,-1,VLOOKUP(C758,$T$1:$V$20,3))</f>
        <v>7</v>
      </c>
      <c r="L758" s="16" t="n">
        <f aca="false">IF(B758=-1,-1,VLOOKUP(D758,$Y$1:$AA$22,3))</f>
        <v>18</v>
      </c>
      <c r="N758" s="10" t="str">
        <f aca="false">_xlfn.UNICHAR(((C758*21)+G758)*28+44032)</f>
        <v>레</v>
      </c>
      <c r="O758" s="10" t="str">
        <f aca="false">_xlfn.UNICHAR(((F758*21)+D758)*28+44032)</f>
        <v>츠</v>
      </c>
      <c r="P758" s="12" t="n">
        <f aca="false">COUNTIF($A$2:$A$3000, N758) + COUNTIF($A$2:$A$3000, O758)</f>
        <v>2</v>
      </c>
      <c r="Q758" s="16" t="str">
        <f aca="false">IF(OR(B758=-1,I758=0, P758&lt;&gt;2), "albhed_dummy", _xlfn.CONCAT("albhed ", RIGHT("  " &amp; K758,2),", ", RIGHT("  " &amp; L758,2), ", " ,"""",H758,""", ", """",N758,""", ","""",O758,""""," ; ", A758))</f>
        <v>albhed  7, 18, "체", "레", "츠" ; 른</v>
      </c>
    </row>
    <row r="759" customFormat="false" ht="17.9" hidden="false" customHeight="true" outlineLevel="0" collapsed="false">
      <c r="A759" s="16" t="s">
        <v>793</v>
      </c>
      <c r="B759" s="16" t="n">
        <f aca="false">IF(_xlfn.UNICODE(A759)&lt;44032,-1,_xlfn.UNICODE(A759)-44032)</f>
        <v>3452</v>
      </c>
      <c r="C759" s="16" t="n">
        <f aca="false">IF(B759=-1,-1,INT((B759/28)/21))</f>
        <v>5</v>
      </c>
      <c r="D759" s="16" t="n">
        <f aca="false">IF(B759=-1, -1, MOD(INT(B759/28),21))</f>
        <v>18</v>
      </c>
      <c r="E759" s="16" t="n">
        <f aca="false">IF(B759=-1, -1, VLOOKUP(MOD(B759,28), $T$24:$U$52,2))</f>
        <v>8</v>
      </c>
      <c r="F759" s="16" t="n">
        <f aca="false">IF($B759=-1, -1, VLOOKUP(C759,$T$1:$V$20, 2))</f>
        <v>14</v>
      </c>
      <c r="G759" s="16" t="n">
        <f aca="false">IF($B759=-1, -1, VLOOKUP(D759,$Y$1:$Z$22,2))</f>
        <v>5</v>
      </c>
      <c r="H759" s="16" t="str">
        <f aca="false">_xlfn.UNICHAR(((F759*21)+G759)*28+44032)</f>
        <v>체</v>
      </c>
      <c r="I759" s="16" t="n">
        <f aca="false">IF(B759=-1, 1, COUNTIF($A$2:$A$3000, H759))</f>
        <v>1</v>
      </c>
      <c r="J759" s="10" t="str">
        <f aca="false">_xlfn.CONCAT(A759, ",",H759,",",I759)</f>
        <v>를,체,1</v>
      </c>
      <c r="K759" s="16" t="n">
        <f aca="false">IF(B759=-1,-1,VLOOKUP(C759,$T$1:$V$20,3))</f>
        <v>7</v>
      </c>
      <c r="L759" s="16" t="n">
        <f aca="false">IF(B759=-1,-1,VLOOKUP(D759,$Y$1:$AA$22,3))</f>
        <v>18</v>
      </c>
      <c r="N759" s="10" t="str">
        <f aca="false">_xlfn.UNICHAR(((C759*21)+G759)*28+44032)</f>
        <v>레</v>
      </c>
      <c r="O759" s="10" t="str">
        <f aca="false">_xlfn.UNICHAR(((F759*21)+D759)*28+44032)</f>
        <v>츠</v>
      </c>
      <c r="P759" s="12" t="n">
        <f aca="false">COUNTIF($A$2:$A$3000, N759) + COUNTIF($A$2:$A$3000, O759)</f>
        <v>2</v>
      </c>
      <c r="Q759" s="16" t="str">
        <f aca="false">IF(OR(B759=-1,I759=0, P759&lt;&gt;2), "albhed_dummy", _xlfn.CONCAT("albhed ", RIGHT("  " &amp; K759,2),", ", RIGHT("  " &amp; L759,2), ", " ,"""",H759,""", ", """",N759,""", ","""",O759,""""," ; ", A759))</f>
        <v>albhed  7, 18, "체", "레", "츠" ; 를</v>
      </c>
    </row>
    <row r="760" customFormat="false" ht="17.9" hidden="false" customHeight="true" outlineLevel="0" collapsed="false">
      <c r="A760" s="16" t="s">
        <v>1633</v>
      </c>
      <c r="B760" s="16" t="n">
        <f aca="false">IF(_xlfn.UNICODE(A760)&lt;44032,-1,_xlfn.UNICODE(A760)-44032)</f>
        <v>3460</v>
      </c>
      <c r="C760" s="16" t="n">
        <f aca="false">IF(B760=-1,-1,INT((B760/28)/21))</f>
        <v>5</v>
      </c>
      <c r="D760" s="16" t="n">
        <f aca="false">IF(B760=-1, -1, MOD(INT(B760/28),21))</f>
        <v>18</v>
      </c>
      <c r="E760" s="16" t="n">
        <f aca="false">IF(B760=-1, -1, VLOOKUP(MOD(B760,28), $T$24:$U$52,2))</f>
        <v>16</v>
      </c>
      <c r="F760" s="16" t="n">
        <f aca="false">IF($B760=-1, -1, VLOOKUP(C760,$T$1:$V$20, 2))</f>
        <v>14</v>
      </c>
      <c r="G760" s="16" t="n">
        <f aca="false">IF($B760=-1, -1, VLOOKUP(D760,$Y$1:$Z$22,2))</f>
        <v>5</v>
      </c>
      <c r="H760" s="16" t="str">
        <f aca="false">_xlfn.UNICHAR(((F760*21)+G760)*28+44032)</f>
        <v>체</v>
      </c>
      <c r="I760" s="16" t="n">
        <f aca="false">IF(B760=-1, 1, COUNTIF($A$2:$A$3000, H760))</f>
        <v>1</v>
      </c>
      <c r="J760" s="10" t="str">
        <f aca="false">_xlfn.CONCAT(A760, ",",H760,",",I760)</f>
        <v>름,체,1</v>
      </c>
      <c r="K760" s="16" t="n">
        <f aca="false">IF(B760=-1,-1,VLOOKUP(C760,$T$1:$V$20,3))</f>
        <v>7</v>
      </c>
      <c r="L760" s="16" t="n">
        <f aca="false">IF(B760=-1,-1,VLOOKUP(D760,$Y$1:$AA$22,3))</f>
        <v>18</v>
      </c>
      <c r="N760" s="10" t="str">
        <f aca="false">_xlfn.UNICHAR(((C760*21)+G760)*28+44032)</f>
        <v>레</v>
      </c>
      <c r="O760" s="10" t="str">
        <f aca="false">_xlfn.UNICHAR(((F760*21)+D760)*28+44032)</f>
        <v>츠</v>
      </c>
      <c r="P760" s="12" t="n">
        <f aca="false">COUNTIF($A$2:$A$3000, N760) + COUNTIF($A$2:$A$3000, O760)</f>
        <v>2</v>
      </c>
      <c r="Q760" s="16" t="str">
        <f aca="false">IF(OR(B760=-1,I760=0, P760&lt;&gt;2), "albhed_dummy", _xlfn.CONCAT("albhed ", RIGHT("  " &amp; K760,2),", ", RIGHT("  " &amp; L760,2), ", " ,"""",H760,""", ", """",N760,""", ","""",O760,""""," ; ", A760))</f>
        <v>albhed  7, 18, "체", "레", "츠" ; 름</v>
      </c>
    </row>
    <row r="761" customFormat="false" ht="17.9" hidden="false" customHeight="true" outlineLevel="0" collapsed="false">
      <c r="A761" s="16" t="s">
        <v>1634</v>
      </c>
      <c r="B761" s="16" t="n">
        <f aca="false">IF(_xlfn.UNICODE(A761)&lt;44032,-1,_xlfn.UNICODE(A761)-44032)</f>
        <v>3461</v>
      </c>
      <c r="C761" s="16" t="n">
        <f aca="false">IF(B761=-1,-1,INT((B761/28)/21))</f>
        <v>5</v>
      </c>
      <c r="D761" s="16" t="n">
        <f aca="false">IF(B761=-1, -1, MOD(INT(B761/28),21))</f>
        <v>18</v>
      </c>
      <c r="E761" s="16" t="n">
        <f aca="false">IF(B761=-1, -1, VLOOKUP(MOD(B761,28), $T$24:$U$52,2))</f>
        <v>17</v>
      </c>
      <c r="F761" s="16" t="n">
        <f aca="false">IF($B761=-1, -1, VLOOKUP(C761,$T$1:$V$20, 2))</f>
        <v>14</v>
      </c>
      <c r="G761" s="16" t="n">
        <f aca="false">IF($B761=-1, -1, VLOOKUP(D761,$Y$1:$Z$22,2))</f>
        <v>5</v>
      </c>
      <c r="H761" s="16" t="str">
        <f aca="false">_xlfn.UNICHAR(((F761*21)+G761)*28+44032)</f>
        <v>체</v>
      </c>
      <c r="I761" s="16" t="n">
        <f aca="false">IF(B761=-1, 1, COUNTIF($A$2:$A$3000, H761))</f>
        <v>1</v>
      </c>
      <c r="J761" s="10" t="str">
        <f aca="false">_xlfn.CONCAT(A761, ",",H761,",",I761)</f>
        <v>릅,체,1</v>
      </c>
      <c r="K761" s="16" t="n">
        <f aca="false">IF(B761=-1,-1,VLOOKUP(C761,$T$1:$V$20,3))</f>
        <v>7</v>
      </c>
      <c r="L761" s="16" t="n">
        <f aca="false">IF(B761=-1,-1,VLOOKUP(D761,$Y$1:$AA$22,3))</f>
        <v>18</v>
      </c>
      <c r="N761" s="10" t="str">
        <f aca="false">_xlfn.UNICHAR(((C761*21)+G761)*28+44032)</f>
        <v>레</v>
      </c>
      <c r="O761" s="10" t="str">
        <f aca="false">_xlfn.UNICHAR(((F761*21)+D761)*28+44032)</f>
        <v>츠</v>
      </c>
      <c r="P761" s="12" t="n">
        <f aca="false">COUNTIF($A$2:$A$3000, N761) + COUNTIF($A$2:$A$3000, O761)</f>
        <v>2</v>
      </c>
      <c r="Q761" s="16" t="str">
        <f aca="false">IF(OR(B761=-1,I761=0, P761&lt;&gt;2), "albhed_dummy", _xlfn.CONCAT("albhed ", RIGHT("  " &amp; K761,2),", ", RIGHT("  " &amp; L761,2), ", " ,"""",H761,""", ", """",N761,""", ","""",O761,""""," ; ", A761))</f>
        <v>albhed  7, 18, "체", "레", "츠" ; 릅</v>
      </c>
    </row>
    <row r="762" customFormat="false" ht="17.9" hidden="false" customHeight="true" outlineLevel="0" collapsed="false">
      <c r="A762" s="16" t="s">
        <v>1635</v>
      </c>
      <c r="B762" s="16" t="n">
        <f aca="false">IF(_xlfn.UNICODE(A762)&lt;44032,-1,_xlfn.UNICODE(A762)-44032)</f>
        <v>3463</v>
      </c>
      <c r="C762" s="16" t="n">
        <f aca="false">IF(B762=-1,-1,INT((B762/28)/21))</f>
        <v>5</v>
      </c>
      <c r="D762" s="16" t="n">
        <f aca="false">IF(B762=-1, -1, MOD(INT(B762/28),21))</f>
        <v>18</v>
      </c>
      <c r="E762" s="16" t="n">
        <f aca="false">IF(B762=-1, -1, VLOOKUP(MOD(B762,28), $T$24:$U$52,2))</f>
        <v>19</v>
      </c>
      <c r="F762" s="16" t="n">
        <f aca="false">IF($B762=-1, -1, VLOOKUP(C762,$T$1:$V$20, 2))</f>
        <v>14</v>
      </c>
      <c r="G762" s="16" t="n">
        <f aca="false">IF($B762=-1, -1, VLOOKUP(D762,$Y$1:$Z$22,2))</f>
        <v>5</v>
      </c>
      <c r="H762" s="16" t="str">
        <f aca="false">_xlfn.UNICHAR(((F762*21)+G762)*28+44032)</f>
        <v>체</v>
      </c>
      <c r="I762" s="16" t="n">
        <f aca="false">IF(B762=-1, 1, COUNTIF($A$2:$A$3000, H762))</f>
        <v>1</v>
      </c>
      <c r="J762" s="10" t="str">
        <f aca="false">_xlfn.CONCAT(A762, ",",H762,",",I762)</f>
        <v>릇,체,1</v>
      </c>
      <c r="K762" s="16" t="n">
        <f aca="false">IF(B762=-1,-1,VLOOKUP(C762,$T$1:$V$20,3))</f>
        <v>7</v>
      </c>
      <c r="L762" s="16" t="n">
        <f aca="false">IF(B762=-1,-1,VLOOKUP(D762,$Y$1:$AA$22,3))</f>
        <v>18</v>
      </c>
      <c r="N762" s="10" t="str">
        <f aca="false">_xlfn.UNICHAR(((C762*21)+G762)*28+44032)</f>
        <v>레</v>
      </c>
      <c r="O762" s="10" t="str">
        <f aca="false">_xlfn.UNICHAR(((F762*21)+D762)*28+44032)</f>
        <v>츠</v>
      </c>
      <c r="P762" s="12" t="n">
        <f aca="false">COUNTIF($A$2:$A$3000, N762) + COUNTIF($A$2:$A$3000, O762)</f>
        <v>2</v>
      </c>
      <c r="Q762" s="16" t="str">
        <f aca="false">IF(OR(B762=-1,I762=0, P762&lt;&gt;2), "albhed_dummy", _xlfn.CONCAT("albhed ", RIGHT("  " &amp; K762,2),", ", RIGHT("  " &amp; L762,2), ", " ,"""",H762,""", ", """",N762,""", ","""",O762,""""," ; ", A762))</f>
        <v>albhed  7, 18, "체", "레", "츠" ; 릇</v>
      </c>
    </row>
    <row r="763" customFormat="false" ht="17.9" hidden="false" customHeight="true" outlineLevel="0" collapsed="false">
      <c r="A763" s="16" t="s">
        <v>1636</v>
      </c>
      <c r="B763" s="16" t="n">
        <f aca="false">IF(_xlfn.UNICODE(A763)&lt;44032,-1,_xlfn.UNICODE(A763)-44032)</f>
        <v>3465</v>
      </c>
      <c r="C763" s="16" t="n">
        <f aca="false">IF(B763=-1,-1,INT((B763/28)/21))</f>
        <v>5</v>
      </c>
      <c r="D763" s="16" t="n">
        <f aca="false">IF(B763=-1, -1, MOD(INT(B763/28),21))</f>
        <v>18</v>
      </c>
      <c r="E763" s="16" t="n">
        <f aca="false">IF(B763=-1, -1, VLOOKUP(MOD(B763,28), $T$24:$U$52,2))</f>
        <v>21</v>
      </c>
      <c r="F763" s="16" t="n">
        <f aca="false">IF($B763=-1, -1, VLOOKUP(C763,$T$1:$V$20, 2))</f>
        <v>14</v>
      </c>
      <c r="G763" s="16" t="n">
        <f aca="false">IF($B763=-1, -1, VLOOKUP(D763,$Y$1:$Z$22,2))</f>
        <v>5</v>
      </c>
      <c r="H763" s="16" t="str">
        <f aca="false">_xlfn.UNICHAR(((F763*21)+G763)*28+44032)</f>
        <v>체</v>
      </c>
      <c r="I763" s="16" t="n">
        <f aca="false">IF(B763=-1, 1, COUNTIF($A$2:$A$3000, H763))</f>
        <v>1</v>
      </c>
      <c r="J763" s="10" t="str">
        <f aca="false">_xlfn.CONCAT(A763, ",",H763,",",I763)</f>
        <v>릉,체,1</v>
      </c>
      <c r="K763" s="16" t="n">
        <f aca="false">IF(B763=-1,-1,VLOOKUP(C763,$T$1:$V$20,3))</f>
        <v>7</v>
      </c>
      <c r="L763" s="16" t="n">
        <f aca="false">IF(B763=-1,-1,VLOOKUP(D763,$Y$1:$AA$22,3))</f>
        <v>18</v>
      </c>
      <c r="N763" s="10" t="str">
        <f aca="false">_xlfn.UNICHAR(((C763*21)+G763)*28+44032)</f>
        <v>레</v>
      </c>
      <c r="O763" s="10" t="str">
        <f aca="false">_xlfn.UNICHAR(((F763*21)+D763)*28+44032)</f>
        <v>츠</v>
      </c>
      <c r="P763" s="12" t="n">
        <f aca="false">COUNTIF($A$2:$A$3000, N763) + COUNTIF($A$2:$A$3000, O763)</f>
        <v>2</v>
      </c>
      <c r="Q763" s="16" t="str">
        <f aca="false">IF(OR(B763=-1,I763=0, P763&lt;&gt;2), "albhed_dummy", _xlfn.CONCAT("albhed ", RIGHT("  " &amp; K763,2),", ", RIGHT("  " &amp; L763,2), ", " ,"""",H763,""", ", """",N763,""", ","""",O763,""""," ; ", A763))</f>
        <v>albhed  7, 18, "체", "레", "츠" ; 릉</v>
      </c>
    </row>
    <row r="764" customFormat="false" ht="17.9" hidden="false" customHeight="true" outlineLevel="0" collapsed="false">
      <c r="A764" s="16" t="s">
        <v>1637</v>
      </c>
      <c r="B764" s="16" t="n">
        <f aca="false">IF(_xlfn.UNICODE(A764)&lt;44032,-1,_xlfn.UNICODE(A764)-44032)</f>
        <v>3466</v>
      </c>
      <c r="C764" s="16" t="n">
        <f aca="false">IF(B764=-1,-1,INT((B764/28)/21))</f>
        <v>5</v>
      </c>
      <c r="D764" s="16" t="n">
        <f aca="false">IF(B764=-1, -1, MOD(INT(B764/28),21))</f>
        <v>18</v>
      </c>
      <c r="E764" s="16" t="n">
        <f aca="false">IF(B764=-1, -1, VLOOKUP(MOD(B764,28), $T$24:$U$52,2))</f>
        <v>19</v>
      </c>
      <c r="F764" s="16" t="n">
        <f aca="false">IF($B764=-1, -1, VLOOKUP(C764,$T$1:$V$20, 2))</f>
        <v>14</v>
      </c>
      <c r="G764" s="16" t="n">
        <f aca="false">IF($B764=-1, -1, VLOOKUP(D764,$Y$1:$Z$22,2))</f>
        <v>5</v>
      </c>
      <c r="H764" s="16" t="str">
        <f aca="false">_xlfn.UNICHAR(((F764*21)+G764)*28+44032)</f>
        <v>체</v>
      </c>
      <c r="I764" s="16" t="n">
        <f aca="false">IF(B764=-1, 1, COUNTIF($A$2:$A$3000, H764))</f>
        <v>1</v>
      </c>
      <c r="J764" s="10" t="str">
        <f aca="false">_xlfn.CONCAT(A764, ",",H764,",",I764)</f>
        <v>릊,체,1</v>
      </c>
      <c r="K764" s="16" t="n">
        <f aca="false">IF(B764=-1,-1,VLOOKUP(C764,$T$1:$V$20,3))</f>
        <v>7</v>
      </c>
      <c r="L764" s="16" t="n">
        <f aca="false">IF(B764=-1,-1,VLOOKUP(D764,$Y$1:$AA$22,3))</f>
        <v>18</v>
      </c>
      <c r="N764" s="10" t="str">
        <f aca="false">_xlfn.UNICHAR(((C764*21)+G764)*28+44032)</f>
        <v>레</v>
      </c>
      <c r="O764" s="10" t="str">
        <f aca="false">_xlfn.UNICHAR(((F764*21)+D764)*28+44032)</f>
        <v>츠</v>
      </c>
      <c r="P764" s="12" t="n">
        <f aca="false">COUNTIF($A$2:$A$3000, N764) + COUNTIF($A$2:$A$3000, O764)</f>
        <v>2</v>
      </c>
      <c r="Q764" s="16" t="str">
        <f aca="false">IF(OR(B764=-1,I764=0, P764&lt;&gt;2), "albhed_dummy", _xlfn.CONCAT("albhed ", RIGHT("  " &amp; K764,2),", ", RIGHT("  " &amp; L764,2), ", " ,"""",H764,""", ", """",N764,""", ","""",O764,""""," ; ", A764))</f>
        <v>albhed  7, 18, "체", "레", "츠" ; 릊</v>
      </c>
    </row>
    <row r="765" customFormat="false" ht="17.9" hidden="false" customHeight="true" outlineLevel="0" collapsed="false">
      <c r="A765" s="16" t="s">
        <v>1638</v>
      </c>
      <c r="B765" s="16" t="n">
        <f aca="false">IF(_xlfn.UNICODE(A765)&lt;44032,-1,_xlfn.UNICODE(A765)-44032)</f>
        <v>3469</v>
      </c>
      <c r="C765" s="16" t="n">
        <f aca="false">IF(B765=-1,-1,INT((B765/28)/21))</f>
        <v>5</v>
      </c>
      <c r="D765" s="16" t="n">
        <f aca="false">IF(B765=-1, -1, MOD(INT(B765/28),21))</f>
        <v>18</v>
      </c>
      <c r="E765" s="16" t="n">
        <f aca="false">IF(B765=-1, -1, VLOOKUP(MOD(B765,28), $T$24:$U$52,2))</f>
        <v>19</v>
      </c>
      <c r="F765" s="16" t="n">
        <f aca="false">IF($B765=-1, -1, VLOOKUP(C765,$T$1:$V$20, 2))</f>
        <v>14</v>
      </c>
      <c r="G765" s="16" t="n">
        <f aca="false">IF($B765=-1, -1, VLOOKUP(D765,$Y$1:$Z$22,2))</f>
        <v>5</v>
      </c>
      <c r="H765" s="16" t="str">
        <f aca="false">_xlfn.UNICHAR(((F765*21)+G765)*28+44032)</f>
        <v>체</v>
      </c>
      <c r="I765" s="16" t="n">
        <f aca="false">IF(B765=-1, 1, COUNTIF($A$2:$A$3000, H765))</f>
        <v>1</v>
      </c>
      <c r="J765" s="10" t="str">
        <f aca="false">_xlfn.CONCAT(A765, ",",H765,",",I765)</f>
        <v>릍,체,1</v>
      </c>
      <c r="K765" s="16" t="n">
        <f aca="false">IF(B765=-1,-1,VLOOKUP(C765,$T$1:$V$20,3))</f>
        <v>7</v>
      </c>
      <c r="L765" s="16" t="n">
        <f aca="false">IF(B765=-1,-1,VLOOKUP(D765,$Y$1:$AA$22,3))</f>
        <v>18</v>
      </c>
      <c r="N765" s="10" t="str">
        <f aca="false">_xlfn.UNICHAR(((C765*21)+G765)*28+44032)</f>
        <v>레</v>
      </c>
      <c r="O765" s="10" t="str">
        <f aca="false">_xlfn.UNICHAR(((F765*21)+D765)*28+44032)</f>
        <v>츠</v>
      </c>
      <c r="P765" s="12" t="n">
        <f aca="false">COUNTIF($A$2:$A$3000, N765) + COUNTIF($A$2:$A$3000, O765)</f>
        <v>2</v>
      </c>
      <c r="Q765" s="16" t="str">
        <f aca="false">IF(OR(B765=-1,I765=0, P765&lt;&gt;2), "albhed_dummy", _xlfn.CONCAT("albhed ", RIGHT("  " &amp; K765,2),", ", RIGHT("  " &amp; L765,2), ", " ,"""",H765,""", ", """",N765,""", ","""",O765,""""," ; ", A765))</f>
        <v>albhed  7, 18, "체", "레", "츠" ; 릍</v>
      </c>
    </row>
    <row r="766" customFormat="false" ht="17.9" hidden="false" customHeight="true" outlineLevel="0" collapsed="false">
      <c r="A766" s="16" t="s">
        <v>1639</v>
      </c>
      <c r="B766" s="16" t="n">
        <f aca="false">IF(_xlfn.UNICODE(A766)&lt;44032,-1,_xlfn.UNICODE(A766)-44032)</f>
        <v>3470</v>
      </c>
      <c r="C766" s="16" t="n">
        <f aca="false">IF(B766=-1,-1,INT((B766/28)/21))</f>
        <v>5</v>
      </c>
      <c r="D766" s="16" t="n">
        <f aca="false">IF(B766=-1, -1, MOD(INT(B766/28),21))</f>
        <v>18</v>
      </c>
      <c r="E766" s="16" t="n">
        <f aca="false">IF(B766=-1, -1, VLOOKUP(MOD(B766,28), $T$24:$U$52,2))</f>
        <v>17</v>
      </c>
      <c r="F766" s="16" t="n">
        <f aca="false">IF($B766=-1, -1, VLOOKUP(C766,$T$1:$V$20, 2))</f>
        <v>14</v>
      </c>
      <c r="G766" s="16" t="n">
        <f aca="false">IF($B766=-1, -1, VLOOKUP(D766,$Y$1:$Z$22,2))</f>
        <v>5</v>
      </c>
      <c r="H766" s="16" t="str">
        <f aca="false">_xlfn.UNICHAR(((F766*21)+G766)*28+44032)</f>
        <v>체</v>
      </c>
      <c r="I766" s="16" t="n">
        <f aca="false">IF(B766=-1, 1, COUNTIF($A$2:$A$3000, H766))</f>
        <v>1</v>
      </c>
      <c r="J766" s="10" t="str">
        <f aca="false">_xlfn.CONCAT(A766, ",",H766,",",I766)</f>
        <v>릎,체,1</v>
      </c>
      <c r="K766" s="16" t="n">
        <f aca="false">IF(B766=-1,-1,VLOOKUP(C766,$T$1:$V$20,3))</f>
        <v>7</v>
      </c>
      <c r="L766" s="16" t="n">
        <f aca="false">IF(B766=-1,-1,VLOOKUP(D766,$Y$1:$AA$22,3))</f>
        <v>18</v>
      </c>
      <c r="N766" s="10" t="str">
        <f aca="false">_xlfn.UNICHAR(((C766*21)+G766)*28+44032)</f>
        <v>레</v>
      </c>
      <c r="O766" s="10" t="str">
        <f aca="false">_xlfn.UNICHAR(((F766*21)+D766)*28+44032)</f>
        <v>츠</v>
      </c>
      <c r="P766" s="12" t="n">
        <f aca="false">COUNTIF($A$2:$A$3000, N766) + COUNTIF($A$2:$A$3000, O766)</f>
        <v>2</v>
      </c>
      <c r="Q766" s="16" t="str">
        <f aca="false">IF(OR(B766=-1,I766=0, P766&lt;&gt;2), "albhed_dummy", _xlfn.CONCAT("albhed ", RIGHT("  " &amp; K766,2),", ", RIGHT("  " &amp; L766,2), ", " ,"""",H766,""", ", """",N766,""", ","""",O766,""""," ; ", A766))</f>
        <v>albhed  7, 18, "체", "레", "츠" ; 릎</v>
      </c>
    </row>
    <row r="767" customFormat="false" ht="17.9" hidden="false" customHeight="true" outlineLevel="0" collapsed="false">
      <c r="A767" s="16" t="s">
        <v>786</v>
      </c>
      <c r="B767" s="16" t="n">
        <f aca="false">IF(_xlfn.UNICODE(A767)&lt;44032,-1,_xlfn.UNICODE(A767)-44032)</f>
        <v>3500</v>
      </c>
      <c r="C767" s="16" t="n">
        <f aca="false">IF(B767=-1,-1,INT((B767/28)/21))</f>
        <v>5</v>
      </c>
      <c r="D767" s="16" t="n">
        <f aca="false">IF(B767=-1, -1, MOD(INT(B767/28),21))</f>
        <v>20</v>
      </c>
      <c r="E767" s="16" t="n">
        <f aca="false">IF(B767=-1, -1, VLOOKUP(MOD(B767,28), $T$24:$U$52,2))</f>
        <v>0</v>
      </c>
      <c r="F767" s="16" t="n">
        <f aca="false">IF($B767=-1, -1, VLOOKUP(C767,$T$1:$V$20, 2))</f>
        <v>14</v>
      </c>
      <c r="G767" s="16" t="n">
        <f aca="false">IF($B767=-1, -1, VLOOKUP(D767,$Y$1:$Z$22,2))</f>
        <v>5</v>
      </c>
      <c r="H767" s="16" t="str">
        <f aca="false">_xlfn.UNICHAR(((F767*21)+G767)*28+44032)</f>
        <v>체</v>
      </c>
      <c r="I767" s="16" t="n">
        <f aca="false">IF(B767=-1, 1, COUNTIF($A$2:$A$3000, H767))</f>
        <v>1</v>
      </c>
      <c r="J767" s="10" t="str">
        <f aca="false">_xlfn.CONCAT(A767, ",",H767,",",I767)</f>
        <v>리,체,1</v>
      </c>
      <c r="K767" s="16" t="n">
        <f aca="false">IF(B767=-1,-1,VLOOKUP(C767,$T$1:$V$20,3))</f>
        <v>7</v>
      </c>
      <c r="L767" s="16" t="n">
        <f aca="false">IF(B767=-1,-1,VLOOKUP(D767,$Y$1:$AA$22,3))</f>
        <v>20</v>
      </c>
      <c r="N767" s="10" t="str">
        <f aca="false">_xlfn.UNICHAR(((C767*21)+G767)*28+44032)</f>
        <v>레</v>
      </c>
      <c r="O767" s="10" t="str">
        <f aca="false">_xlfn.UNICHAR(((F767*21)+D767)*28+44032)</f>
        <v>치</v>
      </c>
      <c r="P767" s="12" t="n">
        <f aca="false">COUNTIF($A$2:$A$3000, N767) + COUNTIF($A$2:$A$3000, O767)</f>
        <v>2</v>
      </c>
      <c r="Q767" s="16" t="str">
        <f aca="false">IF(OR(B767=-1,I767=0, P767&lt;&gt;2), "albhed_dummy", _xlfn.CONCAT("albhed ", RIGHT("  " &amp; K767,2),", ", RIGHT("  " &amp; L767,2), ", " ,"""",H767,""", ", """",N767,""", ","""",O767,""""," ; ", A767))</f>
        <v>albhed  7, 20, "체", "레", "치" ; 리</v>
      </c>
    </row>
    <row r="768" customFormat="false" ht="17.9" hidden="false" customHeight="true" outlineLevel="0" collapsed="false">
      <c r="A768" s="16" t="s">
        <v>1640</v>
      </c>
      <c r="B768" s="16" t="n">
        <f aca="false">IF(_xlfn.UNICODE(A768)&lt;44032,-1,_xlfn.UNICODE(A768)-44032)</f>
        <v>3501</v>
      </c>
      <c r="C768" s="16" t="n">
        <f aca="false">IF(B768=-1,-1,INT((B768/28)/21))</f>
        <v>5</v>
      </c>
      <c r="D768" s="16" t="n">
        <f aca="false">IF(B768=-1, -1, MOD(INT(B768/28),21))</f>
        <v>20</v>
      </c>
      <c r="E768" s="16" t="n">
        <f aca="false">IF(B768=-1, -1, VLOOKUP(MOD(B768,28), $T$24:$U$52,2))</f>
        <v>1</v>
      </c>
      <c r="F768" s="16" t="n">
        <f aca="false">IF($B768=-1, -1, VLOOKUP(C768,$T$1:$V$20, 2))</f>
        <v>14</v>
      </c>
      <c r="G768" s="16" t="n">
        <f aca="false">IF($B768=-1, -1, VLOOKUP(D768,$Y$1:$Z$22,2))</f>
        <v>5</v>
      </c>
      <c r="H768" s="16" t="str">
        <f aca="false">_xlfn.UNICHAR(((F768*21)+G768)*28+44032)</f>
        <v>체</v>
      </c>
      <c r="I768" s="16" t="n">
        <f aca="false">IF(B768=-1, 1, COUNTIF($A$2:$A$3000, H768))</f>
        <v>1</v>
      </c>
      <c r="J768" s="10" t="str">
        <f aca="false">_xlfn.CONCAT(A768, ",",H768,",",I768)</f>
        <v>릭,체,1</v>
      </c>
      <c r="K768" s="16" t="n">
        <f aca="false">IF(B768=-1,-1,VLOOKUP(C768,$T$1:$V$20,3))</f>
        <v>7</v>
      </c>
      <c r="L768" s="16" t="n">
        <f aca="false">IF(B768=-1,-1,VLOOKUP(D768,$Y$1:$AA$22,3))</f>
        <v>20</v>
      </c>
      <c r="N768" s="10" t="str">
        <f aca="false">_xlfn.UNICHAR(((C768*21)+G768)*28+44032)</f>
        <v>레</v>
      </c>
      <c r="O768" s="10" t="str">
        <f aca="false">_xlfn.UNICHAR(((F768*21)+D768)*28+44032)</f>
        <v>치</v>
      </c>
      <c r="P768" s="12" t="n">
        <f aca="false">COUNTIF($A$2:$A$3000, N768) + COUNTIF($A$2:$A$3000, O768)</f>
        <v>2</v>
      </c>
      <c r="Q768" s="16" t="str">
        <f aca="false">IF(OR(B768=-1,I768=0, P768&lt;&gt;2), "albhed_dummy", _xlfn.CONCAT("albhed ", RIGHT("  " &amp; K768,2),", ", RIGHT("  " &amp; L768,2), ", " ,"""",H768,""", ", """",N768,""", ","""",O768,""""," ; ", A768))</f>
        <v>albhed  7, 20, "체", "레", "치" ; 릭</v>
      </c>
    </row>
    <row r="769" customFormat="false" ht="17.9" hidden="false" customHeight="true" outlineLevel="0" collapsed="false">
      <c r="A769" s="16" t="s">
        <v>1641</v>
      </c>
      <c r="B769" s="16" t="n">
        <f aca="false">IF(_xlfn.UNICODE(A769)&lt;44032,-1,_xlfn.UNICODE(A769)-44032)</f>
        <v>3504</v>
      </c>
      <c r="C769" s="16" t="n">
        <f aca="false">IF(B769=-1,-1,INT((B769/28)/21))</f>
        <v>5</v>
      </c>
      <c r="D769" s="16" t="n">
        <f aca="false">IF(B769=-1, -1, MOD(INT(B769/28),21))</f>
        <v>20</v>
      </c>
      <c r="E769" s="16" t="n">
        <f aca="false">IF(B769=-1, -1, VLOOKUP(MOD(B769,28), $T$24:$U$52,2))</f>
        <v>4</v>
      </c>
      <c r="F769" s="16" t="n">
        <f aca="false">IF($B769=-1, -1, VLOOKUP(C769,$T$1:$V$20, 2))</f>
        <v>14</v>
      </c>
      <c r="G769" s="16" t="n">
        <f aca="false">IF($B769=-1, -1, VLOOKUP(D769,$Y$1:$Z$22,2))</f>
        <v>5</v>
      </c>
      <c r="H769" s="16" t="str">
        <f aca="false">_xlfn.UNICHAR(((F769*21)+G769)*28+44032)</f>
        <v>체</v>
      </c>
      <c r="I769" s="16" t="n">
        <f aca="false">IF(B769=-1, 1, COUNTIF($A$2:$A$3000, H769))</f>
        <v>1</v>
      </c>
      <c r="J769" s="10" t="str">
        <f aca="false">_xlfn.CONCAT(A769, ",",H769,",",I769)</f>
        <v>린,체,1</v>
      </c>
      <c r="K769" s="16" t="n">
        <f aca="false">IF(B769=-1,-1,VLOOKUP(C769,$T$1:$V$20,3))</f>
        <v>7</v>
      </c>
      <c r="L769" s="16" t="n">
        <f aca="false">IF(B769=-1,-1,VLOOKUP(D769,$Y$1:$AA$22,3))</f>
        <v>20</v>
      </c>
      <c r="N769" s="10" t="str">
        <f aca="false">_xlfn.UNICHAR(((C769*21)+G769)*28+44032)</f>
        <v>레</v>
      </c>
      <c r="O769" s="10" t="str">
        <f aca="false">_xlfn.UNICHAR(((F769*21)+D769)*28+44032)</f>
        <v>치</v>
      </c>
      <c r="P769" s="12" t="n">
        <f aca="false">COUNTIF($A$2:$A$3000, N769) + COUNTIF($A$2:$A$3000, O769)</f>
        <v>2</v>
      </c>
      <c r="Q769" s="16" t="str">
        <f aca="false">IF(OR(B769=-1,I769=0, P769&lt;&gt;2), "albhed_dummy", _xlfn.CONCAT("albhed ", RIGHT("  " &amp; K769,2),", ", RIGHT("  " &amp; L769,2), ", " ,"""",H769,""", ", """",N769,""", ","""",O769,""""," ; ", A769))</f>
        <v>albhed  7, 20, "체", "레", "치" ; 린</v>
      </c>
    </row>
    <row r="770" customFormat="false" ht="17.9" hidden="false" customHeight="true" outlineLevel="0" collapsed="false">
      <c r="A770" s="16" t="s">
        <v>1642</v>
      </c>
      <c r="B770" s="16" t="n">
        <f aca="false">IF(_xlfn.UNICODE(A770)&lt;44032,-1,_xlfn.UNICODE(A770)-44032)</f>
        <v>3508</v>
      </c>
      <c r="C770" s="16" t="n">
        <f aca="false">IF(B770=-1,-1,INT((B770/28)/21))</f>
        <v>5</v>
      </c>
      <c r="D770" s="16" t="n">
        <f aca="false">IF(B770=-1, -1, MOD(INT(B770/28),21))</f>
        <v>20</v>
      </c>
      <c r="E770" s="16" t="n">
        <f aca="false">IF(B770=-1, -1, VLOOKUP(MOD(B770,28), $T$24:$U$52,2))</f>
        <v>8</v>
      </c>
      <c r="F770" s="16" t="n">
        <f aca="false">IF($B770=-1, -1, VLOOKUP(C770,$T$1:$V$20, 2))</f>
        <v>14</v>
      </c>
      <c r="G770" s="16" t="n">
        <f aca="false">IF($B770=-1, -1, VLOOKUP(D770,$Y$1:$Z$22,2))</f>
        <v>5</v>
      </c>
      <c r="H770" s="16" t="str">
        <f aca="false">_xlfn.UNICHAR(((F770*21)+G770)*28+44032)</f>
        <v>체</v>
      </c>
      <c r="I770" s="16" t="n">
        <f aca="false">IF(B770=-1, 1, COUNTIF($A$2:$A$3000, H770))</f>
        <v>1</v>
      </c>
      <c r="J770" s="10" t="str">
        <f aca="false">_xlfn.CONCAT(A770, ",",H770,",",I770)</f>
        <v>릴,체,1</v>
      </c>
      <c r="K770" s="16" t="n">
        <f aca="false">IF(B770=-1,-1,VLOOKUP(C770,$T$1:$V$20,3))</f>
        <v>7</v>
      </c>
      <c r="L770" s="16" t="n">
        <f aca="false">IF(B770=-1,-1,VLOOKUP(D770,$Y$1:$AA$22,3))</f>
        <v>20</v>
      </c>
      <c r="N770" s="10" t="str">
        <f aca="false">_xlfn.UNICHAR(((C770*21)+G770)*28+44032)</f>
        <v>레</v>
      </c>
      <c r="O770" s="10" t="str">
        <f aca="false">_xlfn.UNICHAR(((F770*21)+D770)*28+44032)</f>
        <v>치</v>
      </c>
      <c r="P770" s="12" t="n">
        <f aca="false">COUNTIF($A$2:$A$3000, N770) + COUNTIF($A$2:$A$3000, O770)</f>
        <v>2</v>
      </c>
      <c r="Q770" s="16" t="str">
        <f aca="false">IF(OR(B770=-1,I770=0, P770&lt;&gt;2), "albhed_dummy", _xlfn.CONCAT("albhed ", RIGHT("  " &amp; K770,2),", ", RIGHT("  " &amp; L770,2), ", " ,"""",H770,""", ", """",N770,""", ","""",O770,""""," ; ", A770))</f>
        <v>albhed  7, 20, "체", "레", "치" ; 릴</v>
      </c>
    </row>
    <row r="771" customFormat="false" ht="17.9" hidden="false" customHeight="true" outlineLevel="0" collapsed="false">
      <c r="A771" s="16" t="s">
        <v>1643</v>
      </c>
      <c r="B771" s="16" t="n">
        <f aca="false">IF(_xlfn.UNICODE(A771)&lt;44032,-1,_xlfn.UNICODE(A771)-44032)</f>
        <v>3516</v>
      </c>
      <c r="C771" s="16" t="n">
        <f aca="false">IF(B771=-1,-1,INT((B771/28)/21))</f>
        <v>5</v>
      </c>
      <c r="D771" s="16" t="n">
        <f aca="false">IF(B771=-1, -1, MOD(INT(B771/28),21))</f>
        <v>20</v>
      </c>
      <c r="E771" s="16" t="n">
        <f aca="false">IF(B771=-1, -1, VLOOKUP(MOD(B771,28), $T$24:$U$52,2))</f>
        <v>16</v>
      </c>
      <c r="F771" s="16" t="n">
        <f aca="false">IF($B771=-1, -1, VLOOKUP(C771,$T$1:$V$20, 2))</f>
        <v>14</v>
      </c>
      <c r="G771" s="16" t="n">
        <f aca="false">IF($B771=-1, -1, VLOOKUP(D771,$Y$1:$Z$22,2))</f>
        <v>5</v>
      </c>
      <c r="H771" s="16" t="str">
        <f aca="false">_xlfn.UNICHAR(((F771*21)+G771)*28+44032)</f>
        <v>체</v>
      </c>
      <c r="I771" s="16" t="n">
        <f aca="false">IF(B771=-1, 1, COUNTIF($A$2:$A$3000, H771))</f>
        <v>1</v>
      </c>
      <c r="J771" s="10" t="str">
        <f aca="false">_xlfn.CONCAT(A771, ",",H771,",",I771)</f>
        <v>림,체,1</v>
      </c>
      <c r="K771" s="16" t="n">
        <f aca="false">IF(B771=-1,-1,VLOOKUP(C771,$T$1:$V$20,3))</f>
        <v>7</v>
      </c>
      <c r="L771" s="16" t="n">
        <f aca="false">IF(B771=-1,-1,VLOOKUP(D771,$Y$1:$AA$22,3))</f>
        <v>20</v>
      </c>
      <c r="N771" s="10" t="str">
        <f aca="false">_xlfn.UNICHAR(((C771*21)+G771)*28+44032)</f>
        <v>레</v>
      </c>
      <c r="O771" s="10" t="str">
        <f aca="false">_xlfn.UNICHAR(((F771*21)+D771)*28+44032)</f>
        <v>치</v>
      </c>
      <c r="P771" s="12" t="n">
        <f aca="false">COUNTIF($A$2:$A$3000, N771) + COUNTIF($A$2:$A$3000, O771)</f>
        <v>2</v>
      </c>
      <c r="Q771" s="16" t="str">
        <f aca="false">IF(OR(B771=-1,I771=0, P771&lt;&gt;2), "albhed_dummy", _xlfn.CONCAT("albhed ", RIGHT("  " &amp; K771,2),", ", RIGHT("  " &amp; L771,2), ", " ,"""",H771,""", ", """",N771,""", ","""",O771,""""," ; ", A771))</f>
        <v>albhed  7, 20, "체", "레", "치" ; 림</v>
      </c>
    </row>
    <row r="772" customFormat="false" ht="17.9" hidden="false" customHeight="true" outlineLevel="0" collapsed="false">
      <c r="A772" s="16" t="s">
        <v>1644</v>
      </c>
      <c r="B772" s="16" t="n">
        <f aca="false">IF(_xlfn.UNICODE(A772)&lt;44032,-1,_xlfn.UNICODE(A772)-44032)</f>
        <v>3517</v>
      </c>
      <c r="C772" s="16" t="n">
        <f aca="false">IF(B772=-1,-1,INT((B772/28)/21))</f>
        <v>5</v>
      </c>
      <c r="D772" s="16" t="n">
        <f aca="false">IF(B772=-1, -1, MOD(INT(B772/28),21))</f>
        <v>20</v>
      </c>
      <c r="E772" s="16" t="n">
        <f aca="false">IF(B772=-1, -1, VLOOKUP(MOD(B772,28), $T$24:$U$52,2))</f>
        <v>17</v>
      </c>
      <c r="F772" s="16" t="n">
        <f aca="false">IF($B772=-1, -1, VLOOKUP(C772,$T$1:$V$20, 2))</f>
        <v>14</v>
      </c>
      <c r="G772" s="16" t="n">
        <f aca="false">IF($B772=-1, -1, VLOOKUP(D772,$Y$1:$Z$22,2))</f>
        <v>5</v>
      </c>
      <c r="H772" s="16" t="str">
        <f aca="false">_xlfn.UNICHAR(((F772*21)+G772)*28+44032)</f>
        <v>체</v>
      </c>
      <c r="I772" s="16" t="n">
        <f aca="false">IF(B772=-1, 1, COUNTIF($A$2:$A$3000, H772))</f>
        <v>1</v>
      </c>
      <c r="J772" s="10" t="str">
        <f aca="false">_xlfn.CONCAT(A772, ",",H772,",",I772)</f>
        <v>립,체,1</v>
      </c>
      <c r="K772" s="16" t="n">
        <f aca="false">IF(B772=-1,-1,VLOOKUP(C772,$T$1:$V$20,3))</f>
        <v>7</v>
      </c>
      <c r="L772" s="16" t="n">
        <f aca="false">IF(B772=-1,-1,VLOOKUP(D772,$Y$1:$AA$22,3))</f>
        <v>20</v>
      </c>
      <c r="N772" s="10" t="str">
        <f aca="false">_xlfn.UNICHAR(((C772*21)+G772)*28+44032)</f>
        <v>레</v>
      </c>
      <c r="O772" s="10" t="str">
        <f aca="false">_xlfn.UNICHAR(((F772*21)+D772)*28+44032)</f>
        <v>치</v>
      </c>
      <c r="P772" s="12" t="n">
        <f aca="false">COUNTIF($A$2:$A$3000, N772) + COUNTIF($A$2:$A$3000, O772)</f>
        <v>2</v>
      </c>
      <c r="Q772" s="16" t="str">
        <f aca="false">IF(OR(B772=-1,I772=0, P772&lt;&gt;2), "albhed_dummy", _xlfn.CONCAT("albhed ", RIGHT("  " &amp; K772,2),", ", RIGHT("  " &amp; L772,2), ", " ,"""",H772,""", ", """",N772,""", ","""",O772,""""," ; ", A772))</f>
        <v>albhed  7, 20, "체", "레", "치" ; 립</v>
      </c>
    </row>
    <row r="773" customFormat="false" ht="17.9" hidden="false" customHeight="true" outlineLevel="0" collapsed="false">
      <c r="A773" s="16" t="s">
        <v>1645</v>
      </c>
      <c r="B773" s="16" t="n">
        <f aca="false">IF(_xlfn.UNICODE(A773)&lt;44032,-1,_xlfn.UNICODE(A773)-44032)</f>
        <v>3519</v>
      </c>
      <c r="C773" s="16" t="n">
        <f aca="false">IF(B773=-1,-1,INT((B773/28)/21))</f>
        <v>5</v>
      </c>
      <c r="D773" s="16" t="n">
        <f aca="false">IF(B773=-1, -1, MOD(INT(B773/28),21))</f>
        <v>20</v>
      </c>
      <c r="E773" s="16" t="n">
        <f aca="false">IF(B773=-1, -1, VLOOKUP(MOD(B773,28), $T$24:$U$52,2))</f>
        <v>19</v>
      </c>
      <c r="F773" s="16" t="n">
        <f aca="false">IF($B773=-1, -1, VLOOKUP(C773,$T$1:$V$20, 2))</f>
        <v>14</v>
      </c>
      <c r="G773" s="16" t="n">
        <f aca="false">IF($B773=-1, -1, VLOOKUP(D773,$Y$1:$Z$22,2))</f>
        <v>5</v>
      </c>
      <c r="H773" s="16" t="str">
        <f aca="false">_xlfn.UNICHAR(((F773*21)+G773)*28+44032)</f>
        <v>체</v>
      </c>
      <c r="I773" s="16" t="n">
        <f aca="false">IF(B773=-1, 1, COUNTIF($A$2:$A$3000, H773))</f>
        <v>1</v>
      </c>
      <c r="J773" s="10" t="str">
        <f aca="false">_xlfn.CONCAT(A773, ",",H773,",",I773)</f>
        <v>릿,체,1</v>
      </c>
      <c r="K773" s="16" t="n">
        <f aca="false">IF(B773=-1,-1,VLOOKUP(C773,$T$1:$V$20,3))</f>
        <v>7</v>
      </c>
      <c r="L773" s="16" t="n">
        <f aca="false">IF(B773=-1,-1,VLOOKUP(D773,$Y$1:$AA$22,3))</f>
        <v>20</v>
      </c>
      <c r="N773" s="10" t="str">
        <f aca="false">_xlfn.UNICHAR(((C773*21)+G773)*28+44032)</f>
        <v>레</v>
      </c>
      <c r="O773" s="10" t="str">
        <f aca="false">_xlfn.UNICHAR(((F773*21)+D773)*28+44032)</f>
        <v>치</v>
      </c>
      <c r="P773" s="12" t="n">
        <f aca="false">COUNTIF($A$2:$A$3000, N773) + COUNTIF($A$2:$A$3000, O773)</f>
        <v>2</v>
      </c>
      <c r="Q773" s="16" t="str">
        <f aca="false">IF(OR(B773=-1,I773=0, P773&lt;&gt;2), "albhed_dummy", _xlfn.CONCAT("albhed ", RIGHT("  " &amp; K773,2),", ", RIGHT("  " &amp; L773,2), ", " ,"""",H773,""", ", """",N773,""", ","""",O773,""""," ; ", A773))</f>
        <v>albhed  7, 20, "체", "레", "치" ; 릿</v>
      </c>
    </row>
    <row r="774" customFormat="false" ht="17.9" hidden="false" customHeight="true" outlineLevel="0" collapsed="false">
      <c r="A774" s="16" t="s">
        <v>1646</v>
      </c>
      <c r="B774" s="16" t="n">
        <f aca="false">IF(_xlfn.UNICODE(A774)&lt;44032,-1,_xlfn.UNICODE(A774)-44032)</f>
        <v>3521</v>
      </c>
      <c r="C774" s="16" t="n">
        <f aca="false">IF(B774=-1,-1,INT((B774/28)/21))</f>
        <v>5</v>
      </c>
      <c r="D774" s="16" t="n">
        <f aca="false">IF(B774=-1, -1, MOD(INT(B774/28),21))</f>
        <v>20</v>
      </c>
      <c r="E774" s="16" t="n">
        <f aca="false">IF(B774=-1, -1, VLOOKUP(MOD(B774,28), $T$24:$U$52,2))</f>
        <v>21</v>
      </c>
      <c r="F774" s="16" t="n">
        <f aca="false">IF($B774=-1, -1, VLOOKUP(C774,$T$1:$V$20, 2))</f>
        <v>14</v>
      </c>
      <c r="G774" s="16" t="n">
        <f aca="false">IF($B774=-1, -1, VLOOKUP(D774,$Y$1:$Z$22,2))</f>
        <v>5</v>
      </c>
      <c r="H774" s="16" t="str">
        <f aca="false">_xlfn.UNICHAR(((F774*21)+G774)*28+44032)</f>
        <v>체</v>
      </c>
      <c r="I774" s="16" t="n">
        <f aca="false">IF(B774=-1, 1, COUNTIF($A$2:$A$3000, H774))</f>
        <v>1</v>
      </c>
      <c r="J774" s="10" t="str">
        <f aca="false">_xlfn.CONCAT(A774, ",",H774,",",I774)</f>
        <v>링,체,1</v>
      </c>
      <c r="K774" s="16" t="n">
        <f aca="false">IF(B774=-1,-1,VLOOKUP(C774,$T$1:$V$20,3))</f>
        <v>7</v>
      </c>
      <c r="L774" s="16" t="n">
        <f aca="false">IF(B774=-1,-1,VLOOKUP(D774,$Y$1:$AA$22,3))</f>
        <v>20</v>
      </c>
      <c r="N774" s="10" t="str">
        <f aca="false">_xlfn.UNICHAR(((C774*21)+G774)*28+44032)</f>
        <v>레</v>
      </c>
      <c r="O774" s="10" t="str">
        <f aca="false">_xlfn.UNICHAR(((F774*21)+D774)*28+44032)</f>
        <v>치</v>
      </c>
      <c r="P774" s="12" t="n">
        <f aca="false">COUNTIF($A$2:$A$3000, N774) + COUNTIF($A$2:$A$3000, O774)</f>
        <v>2</v>
      </c>
      <c r="Q774" s="16" t="str">
        <f aca="false">IF(OR(B774=-1,I774=0, P774&lt;&gt;2), "albhed_dummy", _xlfn.CONCAT("albhed ", RIGHT("  " &amp; K774,2),", ", RIGHT("  " &amp; L774,2), ", " ,"""",H774,""", ", """",N774,""", ","""",O774,""""," ; ", A774))</f>
        <v>albhed  7, 20, "체", "레", "치" ; 링</v>
      </c>
    </row>
    <row r="775" customFormat="false" ht="17.9" hidden="false" customHeight="true" outlineLevel="0" collapsed="false">
      <c r="A775" s="16" t="s">
        <v>788</v>
      </c>
      <c r="B775" s="16" t="n">
        <f aca="false">IF(_xlfn.UNICODE(A775)&lt;44032,-1,_xlfn.UNICODE(A775)-44032)</f>
        <v>3528</v>
      </c>
      <c r="C775" s="16" t="n">
        <f aca="false">IF(B775=-1,-1,INT((B775/28)/21))</f>
        <v>6</v>
      </c>
      <c r="D775" s="16" t="n">
        <f aca="false">IF(B775=-1, -1, MOD(INT(B775/28),21))</f>
        <v>0</v>
      </c>
      <c r="E775" s="16" t="n">
        <f aca="false">IF(B775=-1, -1, VLOOKUP(MOD(B775,28), $T$24:$U$52,2))</f>
        <v>0</v>
      </c>
      <c r="F775" s="16" t="n">
        <f aca="false">IF($B775=-1, -1, VLOOKUP(C775,$T$1:$V$20, 2))</f>
        <v>11</v>
      </c>
      <c r="G775" s="16" t="n">
        <f aca="false">IF($B775=-1, -1, VLOOKUP(D775,$Y$1:$Z$22,2))</f>
        <v>13</v>
      </c>
      <c r="H775" s="16" t="str">
        <f aca="false">_xlfn.UNICHAR(((F775*21)+G775)*28+44032)</f>
        <v>우</v>
      </c>
      <c r="I775" s="16" t="n">
        <f aca="false">IF(B775=-1, 1, COUNTIF($A$2:$A$3000, H775))</f>
        <v>1</v>
      </c>
      <c r="J775" s="10" t="str">
        <f aca="false">_xlfn.CONCAT(A775, ",",H775,",",I775)</f>
        <v>마,우,1</v>
      </c>
      <c r="K775" s="16" t="n">
        <f aca="false">IF(B775=-1,-1,VLOOKUP(C775,$T$1:$V$20,3))</f>
        <v>9</v>
      </c>
      <c r="L775" s="16" t="n">
        <f aca="false">IF(B775=-1,-1,VLOOKUP(D775,$Y$1:$AA$22,3))</f>
        <v>2</v>
      </c>
      <c r="N775" s="10" t="str">
        <f aca="false">_xlfn.UNICHAR(((C775*21)+G775)*28+44032)</f>
        <v>무</v>
      </c>
      <c r="O775" s="10" t="str">
        <f aca="false">_xlfn.UNICHAR(((F775*21)+D775)*28+44032)</f>
        <v>아</v>
      </c>
      <c r="P775" s="12" t="n">
        <f aca="false">COUNTIF($A$2:$A$3000, N775) + COUNTIF($A$2:$A$3000, O775)</f>
        <v>2</v>
      </c>
      <c r="Q775" s="16" t="str">
        <f aca="false">IF(OR(B775=-1,I775=0, P775&lt;&gt;2), "albhed_dummy", _xlfn.CONCAT("albhed ", RIGHT("  " &amp; K775,2),", ", RIGHT("  " &amp; L775,2), ", " ,"""",H775,""", ", """",N775,""", ","""",O775,""""," ; ", A775))</f>
        <v>albhed  9,  2, "우", "무", "아" ; 마</v>
      </c>
    </row>
    <row r="776" customFormat="false" ht="17.9" hidden="false" customHeight="true" outlineLevel="0" collapsed="false">
      <c r="A776" s="16" t="s">
        <v>1647</v>
      </c>
      <c r="B776" s="16" t="n">
        <f aca="false">IF(_xlfn.UNICODE(A776)&lt;44032,-1,_xlfn.UNICODE(A776)-44032)</f>
        <v>3529</v>
      </c>
      <c r="C776" s="16" t="n">
        <f aca="false">IF(B776=-1,-1,INT((B776/28)/21))</f>
        <v>6</v>
      </c>
      <c r="D776" s="16" t="n">
        <f aca="false">IF(B776=-1, -1, MOD(INT(B776/28),21))</f>
        <v>0</v>
      </c>
      <c r="E776" s="16" t="n">
        <f aca="false">IF(B776=-1, -1, VLOOKUP(MOD(B776,28), $T$24:$U$52,2))</f>
        <v>1</v>
      </c>
      <c r="F776" s="16" t="n">
        <f aca="false">IF($B776=-1, -1, VLOOKUP(C776,$T$1:$V$20, 2))</f>
        <v>11</v>
      </c>
      <c r="G776" s="16" t="n">
        <f aca="false">IF($B776=-1, -1, VLOOKUP(D776,$Y$1:$Z$22,2))</f>
        <v>13</v>
      </c>
      <c r="H776" s="16" t="str">
        <f aca="false">_xlfn.UNICHAR(((F776*21)+G776)*28+44032)</f>
        <v>우</v>
      </c>
      <c r="I776" s="16" t="n">
        <f aca="false">IF(B776=-1, 1, COUNTIF($A$2:$A$3000, H776))</f>
        <v>1</v>
      </c>
      <c r="J776" s="10" t="str">
        <f aca="false">_xlfn.CONCAT(A776, ",",H776,",",I776)</f>
        <v>막,우,1</v>
      </c>
      <c r="K776" s="16" t="n">
        <f aca="false">IF(B776=-1,-1,VLOOKUP(C776,$T$1:$V$20,3))</f>
        <v>9</v>
      </c>
      <c r="L776" s="16" t="n">
        <f aca="false">IF(B776=-1,-1,VLOOKUP(D776,$Y$1:$AA$22,3))</f>
        <v>2</v>
      </c>
      <c r="N776" s="10" t="str">
        <f aca="false">_xlfn.UNICHAR(((C776*21)+G776)*28+44032)</f>
        <v>무</v>
      </c>
      <c r="O776" s="10" t="str">
        <f aca="false">_xlfn.UNICHAR(((F776*21)+D776)*28+44032)</f>
        <v>아</v>
      </c>
      <c r="P776" s="12" t="n">
        <f aca="false">COUNTIF($A$2:$A$3000, N776) + COUNTIF($A$2:$A$3000, O776)</f>
        <v>2</v>
      </c>
      <c r="Q776" s="16" t="str">
        <f aca="false">IF(OR(B776=-1,I776=0, P776&lt;&gt;2), "albhed_dummy", _xlfn.CONCAT("albhed ", RIGHT("  " &amp; K776,2),", ", RIGHT("  " &amp; L776,2), ", " ,"""",H776,""", ", """",N776,""", ","""",O776,""""," ; ", A776))</f>
        <v>albhed  9,  2, "우", "무", "아" ; 막</v>
      </c>
    </row>
    <row r="777" customFormat="false" ht="17.9" hidden="false" customHeight="true" outlineLevel="0" collapsed="false">
      <c r="A777" s="16" t="s">
        <v>1648</v>
      </c>
      <c r="B777" s="16" t="n">
        <f aca="false">IF(_xlfn.UNICODE(A777)&lt;44032,-1,_xlfn.UNICODE(A777)-44032)</f>
        <v>3532</v>
      </c>
      <c r="C777" s="16" t="n">
        <f aca="false">IF(B777=-1,-1,INT((B777/28)/21))</f>
        <v>6</v>
      </c>
      <c r="D777" s="16" t="n">
        <f aca="false">IF(B777=-1, -1, MOD(INT(B777/28),21))</f>
        <v>0</v>
      </c>
      <c r="E777" s="16" t="n">
        <f aca="false">IF(B777=-1, -1, VLOOKUP(MOD(B777,28), $T$24:$U$52,2))</f>
        <v>4</v>
      </c>
      <c r="F777" s="16" t="n">
        <f aca="false">IF($B777=-1, -1, VLOOKUP(C777,$T$1:$V$20, 2))</f>
        <v>11</v>
      </c>
      <c r="G777" s="16" t="n">
        <f aca="false">IF($B777=-1, -1, VLOOKUP(D777,$Y$1:$Z$22,2))</f>
        <v>13</v>
      </c>
      <c r="H777" s="16" t="str">
        <f aca="false">_xlfn.UNICHAR(((F777*21)+G777)*28+44032)</f>
        <v>우</v>
      </c>
      <c r="I777" s="16" t="n">
        <f aca="false">IF(B777=-1, 1, COUNTIF($A$2:$A$3000, H777))</f>
        <v>1</v>
      </c>
      <c r="J777" s="10" t="str">
        <f aca="false">_xlfn.CONCAT(A777, ",",H777,",",I777)</f>
        <v>만,우,1</v>
      </c>
      <c r="K777" s="16" t="n">
        <f aca="false">IF(B777=-1,-1,VLOOKUP(C777,$T$1:$V$20,3))</f>
        <v>9</v>
      </c>
      <c r="L777" s="16" t="n">
        <f aca="false">IF(B777=-1,-1,VLOOKUP(D777,$Y$1:$AA$22,3))</f>
        <v>2</v>
      </c>
      <c r="N777" s="10" t="str">
        <f aca="false">_xlfn.UNICHAR(((C777*21)+G777)*28+44032)</f>
        <v>무</v>
      </c>
      <c r="O777" s="10" t="str">
        <f aca="false">_xlfn.UNICHAR(((F777*21)+D777)*28+44032)</f>
        <v>아</v>
      </c>
      <c r="P777" s="12" t="n">
        <f aca="false">COUNTIF($A$2:$A$3000, N777) + COUNTIF($A$2:$A$3000, O777)</f>
        <v>2</v>
      </c>
      <c r="Q777" s="16" t="str">
        <f aca="false">IF(OR(B777=-1,I777=0, P777&lt;&gt;2), "albhed_dummy", _xlfn.CONCAT("albhed ", RIGHT("  " &amp; K777,2),", ", RIGHT("  " &amp; L777,2), ", " ,"""",H777,""", ", """",N777,""", ","""",O777,""""," ; ", A777))</f>
        <v>albhed  9,  2, "우", "무", "아" ; 만</v>
      </c>
    </row>
    <row r="778" customFormat="false" ht="17.9" hidden="false" customHeight="true" outlineLevel="0" collapsed="false">
      <c r="A778" s="16" t="s">
        <v>1649</v>
      </c>
      <c r="B778" s="16" t="n">
        <f aca="false">IF(_xlfn.UNICODE(A778)&lt;44032,-1,_xlfn.UNICODE(A778)-44032)</f>
        <v>3534</v>
      </c>
      <c r="C778" s="16" t="n">
        <f aca="false">IF(B778=-1,-1,INT((B778/28)/21))</f>
        <v>6</v>
      </c>
      <c r="D778" s="16" t="n">
        <f aca="false">IF(B778=-1, -1, MOD(INT(B778/28),21))</f>
        <v>0</v>
      </c>
      <c r="E778" s="16" t="n">
        <f aca="false">IF(B778=-1, -1, VLOOKUP(MOD(B778,28), $T$24:$U$52,2))</f>
        <v>4</v>
      </c>
      <c r="F778" s="16" t="n">
        <f aca="false">IF($B778=-1, -1, VLOOKUP(C778,$T$1:$V$20, 2))</f>
        <v>11</v>
      </c>
      <c r="G778" s="16" t="n">
        <f aca="false">IF($B778=-1, -1, VLOOKUP(D778,$Y$1:$Z$22,2))</f>
        <v>13</v>
      </c>
      <c r="H778" s="16" t="str">
        <f aca="false">_xlfn.UNICHAR(((F778*21)+G778)*28+44032)</f>
        <v>우</v>
      </c>
      <c r="I778" s="16" t="n">
        <f aca="false">IF(B778=-1, 1, COUNTIF($A$2:$A$3000, H778))</f>
        <v>1</v>
      </c>
      <c r="J778" s="10" t="str">
        <f aca="false">_xlfn.CONCAT(A778, ",",H778,",",I778)</f>
        <v>많,우,1</v>
      </c>
      <c r="K778" s="16" t="n">
        <f aca="false">IF(B778=-1,-1,VLOOKUP(C778,$T$1:$V$20,3))</f>
        <v>9</v>
      </c>
      <c r="L778" s="16" t="n">
        <f aca="false">IF(B778=-1,-1,VLOOKUP(D778,$Y$1:$AA$22,3))</f>
        <v>2</v>
      </c>
      <c r="N778" s="10" t="str">
        <f aca="false">_xlfn.UNICHAR(((C778*21)+G778)*28+44032)</f>
        <v>무</v>
      </c>
      <c r="O778" s="10" t="str">
        <f aca="false">_xlfn.UNICHAR(((F778*21)+D778)*28+44032)</f>
        <v>아</v>
      </c>
      <c r="P778" s="12" t="n">
        <f aca="false">COUNTIF($A$2:$A$3000, N778) + COUNTIF($A$2:$A$3000, O778)</f>
        <v>2</v>
      </c>
      <c r="Q778" s="16" t="str">
        <f aca="false">IF(OR(B778=-1,I778=0, P778&lt;&gt;2), "albhed_dummy", _xlfn.CONCAT("albhed ", RIGHT("  " &amp; K778,2),", ", RIGHT("  " &amp; L778,2), ", " ,"""",H778,""", ", """",N778,""", ","""",O778,""""," ; ", A778))</f>
        <v>albhed  9,  2, "우", "무", "아" ; 많</v>
      </c>
    </row>
    <row r="779" customFormat="false" ht="17.9" hidden="false" customHeight="true" outlineLevel="0" collapsed="false">
      <c r="A779" s="16" t="s">
        <v>1650</v>
      </c>
      <c r="B779" s="16" t="n">
        <f aca="false">IF(_xlfn.UNICODE(A779)&lt;44032,-1,_xlfn.UNICODE(A779)-44032)</f>
        <v>3535</v>
      </c>
      <c r="C779" s="16" t="n">
        <f aca="false">IF(B779=-1,-1,INT((B779/28)/21))</f>
        <v>6</v>
      </c>
      <c r="D779" s="16" t="n">
        <f aca="false">IF(B779=-1, -1, MOD(INT(B779/28),21))</f>
        <v>0</v>
      </c>
      <c r="E779" s="16" t="n">
        <f aca="false">IF(B779=-1, -1, VLOOKUP(MOD(B779,28), $T$24:$U$52,2))</f>
        <v>19</v>
      </c>
      <c r="F779" s="16" t="n">
        <f aca="false">IF($B779=-1, -1, VLOOKUP(C779,$T$1:$V$20, 2))</f>
        <v>11</v>
      </c>
      <c r="G779" s="16" t="n">
        <f aca="false">IF($B779=-1, -1, VLOOKUP(D779,$Y$1:$Z$22,2))</f>
        <v>13</v>
      </c>
      <c r="H779" s="16" t="str">
        <f aca="false">_xlfn.UNICHAR(((F779*21)+G779)*28+44032)</f>
        <v>우</v>
      </c>
      <c r="I779" s="16" t="n">
        <f aca="false">IF(B779=-1, 1, COUNTIF($A$2:$A$3000, H779))</f>
        <v>1</v>
      </c>
      <c r="J779" s="10" t="str">
        <f aca="false">_xlfn.CONCAT(A779, ",",H779,",",I779)</f>
        <v>맏,우,1</v>
      </c>
      <c r="K779" s="16" t="n">
        <f aca="false">IF(B779=-1,-1,VLOOKUP(C779,$T$1:$V$20,3))</f>
        <v>9</v>
      </c>
      <c r="L779" s="16" t="n">
        <f aca="false">IF(B779=-1,-1,VLOOKUP(D779,$Y$1:$AA$22,3))</f>
        <v>2</v>
      </c>
      <c r="N779" s="10" t="str">
        <f aca="false">_xlfn.UNICHAR(((C779*21)+G779)*28+44032)</f>
        <v>무</v>
      </c>
      <c r="O779" s="10" t="str">
        <f aca="false">_xlfn.UNICHAR(((F779*21)+D779)*28+44032)</f>
        <v>아</v>
      </c>
      <c r="P779" s="12" t="n">
        <f aca="false">COUNTIF($A$2:$A$3000, N779) + COUNTIF($A$2:$A$3000, O779)</f>
        <v>2</v>
      </c>
      <c r="Q779" s="16" t="str">
        <f aca="false">IF(OR(B779=-1,I779=0, P779&lt;&gt;2), "albhed_dummy", _xlfn.CONCAT("albhed ", RIGHT("  " &amp; K779,2),", ", RIGHT("  " &amp; L779,2), ", " ,"""",H779,""", ", """",N779,""", ","""",O779,""""," ; ", A779))</f>
        <v>albhed  9,  2, "우", "무", "아" ; 맏</v>
      </c>
    </row>
    <row r="780" customFormat="false" ht="17.9" hidden="false" customHeight="true" outlineLevel="0" collapsed="false">
      <c r="A780" s="16" t="s">
        <v>1651</v>
      </c>
      <c r="B780" s="16" t="n">
        <f aca="false">IF(_xlfn.UNICODE(A780)&lt;44032,-1,_xlfn.UNICODE(A780)-44032)</f>
        <v>3536</v>
      </c>
      <c r="C780" s="16" t="n">
        <f aca="false">IF(B780=-1,-1,INT((B780/28)/21))</f>
        <v>6</v>
      </c>
      <c r="D780" s="16" t="n">
        <f aca="false">IF(B780=-1, -1, MOD(INT(B780/28),21))</f>
        <v>0</v>
      </c>
      <c r="E780" s="16" t="n">
        <f aca="false">IF(B780=-1, -1, VLOOKUP(MOD(B780,28), $T$24:$U$52,2))</f>
        <v>8</v>
      </c>
      <c r="F780" s="16" t="n">
        <f aca="false">IF($B780=-1, -1, VLOOKUP(C780,$T$1:$V$20, 2))</f>
        <v>11</v>
      </c>
      <c r="G780" s="16" t="n">
        <f aca="false">IF($B780=-1, -1, VLOOKUP(D780,$Y$1:$Z$22,2))</f>
        <v>13</v>
      </c>
      <c r="H780" s="16" t="str">
        <f aca="false">_xlfn.UNICHAR(((F780*21)+G780)*28+44032)</f>
        <v>우</v>
      </c>
      <c r="I780" s="16" t="n">
        <f aca="false">IF(B780=-1, 1, COUNTIF($A$2:$A$3000, H780))</f>
        <v>1</v>
      </c>
      <c r="J780" s="10" t="str">
        <f aca="false">_xlfn.CONCAT(A780, ",",H780,",",I780)</f>
        <v>말,우,1</v>
      </c>
      <c r="K780" s="16" t="n">
        <f aca="false">IF(B780=-1,-1,VLOOKUP(C780,$T$1:$V$20,3))</f>
        <v>9</v>
      </c>
      <c r="L780" s="16" t="n">
        <f aca="false">IF(B780=-1,-1,VLOOKUP(D780,$Y$1:$AA$22,3))</f>
        <v>2</v>
      </c>
      <c r="N780" s="10" t="str">
        <f aca="false">_xlfn.UNICHAR(((C780*21)+G780)*28+44032)</f>
        <v>무</v>
      </c>
      <c r="O780" s="10" t="str">
        <f aca="false">_xlfn.UNICHAR(((F780*21)+D780)*28+44032)</f>
        <v>아</v>
      </c>
      <c r="P780" s="12" t="n">
        <f aca="false">COUNTIF($A$2:$A$3000, N780) + COUNTIF($A$2:$A$3000, O780)</f>
        <v>2</v>
      </c>
      <c r="Q780" s="16" t="str">
        <f aca="false">IF(OR(B780=-1,I780=0, P780&lt;&gt;2), "albhed_dummy", _xlfn.CONCAT("albhed ", RIGHT("  " &amp; K780,2),", ", RIGHT("  " &amp; L780,2), ", " ,"""",H780,""", ", """",N780,""", ","""",O780,""""," ; ", A780))</f>
        <v>albhed  9,  2, "우", "무", "아" ; 말</v>
      </c>
    </row>
    <row r="781" customFormat="false" ht="17.9" hidden="false" customHeight="true" outlineLevel="0" collapsed="false">
      <c r="A781" s="16" t="s">
        <v>1652</v>
      </c>
      <c r="B781" s="16" t="n">
        <f aca="false">IF(_xlfn.UNICODE(A781)&lt;44032,-1,_xlfn.UNICODE(A781)-44032)</f>
        <v>3537</v>
      </c>
      <c r="C781" s="16" t="n">
        <f aca="false">IF(B781=-1,-1,INT((B781/28)/21))</f>
        <v>6</v>
      </c>
      <c r="D781" s="16" t="n">
        <f aca="false">IF(B781=-1, -1, MOD(INT(B781/28),21))</f>
        <v>0</v>
      </c>
      <c r="E781" s="16" t="n">
        <f aca="false">IF(B781=-1, -1, VLOOKUP(MOD(B781,28), $T$24:$U$52,2))</f>
        <v>8</v>
      </c>
      <c r="F781" s="16" t="n">
        <f aca="false">IF($B781=-1, -1, VLOOKUP(C781,$T$1:$V$20, 2))</f>
        <v>11</v>
      </c>
      <c r="G781" s="16" t="n">
        <f aca="false">IF($B781=-1, -1, VLOOKUP(D781,$Y$1:$Z$22,2))</f>
        <v>13</v>
      </c>
      <c r="H781" s="16" t="str">
        <f aca="false">_xlfn.UNICHAR(((F781*21)+G781)*28+44032)</f>
        <v>우</v>
      </c>
      <c r="I781" s="16" t="n">
        <f aca="false">IF(B781=-1, 1, COUNTIF($A$2:$A$3000, H781))</f>
        <v>1</v>
      </c>
      <c r="J781" s="10" t="str">
        <f aca="false">_xlfn.CONCAT(A781, ",",H781,",",I781)</f>
        <v>맑,우,1</v>
      </c>
      <c r="K781" s="16" t="n">
        <f aca="false">IF(B781=-1,-1,VLOOKUP(C781,$T$1:$V$20,3))</f>
        <v>9</v>
      </c>
      <c r="L781" s="16" t="n">
        <f aca="false">IF(B781=-1,-1,VLOOKUP(D781,$Y$1:$AA$22,3))</f>
        <v>2</v>
      </c>
      <c r="N781" s="10" t="str">
        <f aca="false">_xlfn.UNICHAR(((C781*21)+G781)*28+44032)</f>
        <v>무</v>
      </c>
      <c r="O781" s="10" t="str">
        <f aca="false">_xlfn.UNICHAR(((F781*21)+D781)*28+44032)</f>
        <v>아</v>
      </c>
      <c r="P781" s="12" t="n">
        <f aca="false">COUNTIF($A$2:$A$3000, N781) + COUNTIF($A$2:$A$3000, O781)</f>
        <v>2</v>
      </c>
      <c r="Q781" s="16" t="str">
        <f aca="false">IF(OR(B781=-1,I781=0, P781&lt;&gt;2), "albhed_dummy", _xlfn.CONCAT("albhed ", RIGHT("  " &amp; K781,2),", ", RIGHT("  " &amp; L781,2), ", " ,"""",H781,""", ", """",N781,""", ","""",O781,""""," ; ", A781))</f>
        <v>albhed  9,  2, "우", "무", "아" ; 맑</v>
      </c>
    </row>
    <row r="782" customFormat="false" ht="17.9" hidden="false" customHeight="true" outlineLevel="0" collapsed="false">
      <c r="A782" s="16" t="s">
        <v>1653</v>
      </c>
      <c r="B782" s="16" t="n">
        <f aca="false">IF(_xlfn.UNICODE(A782)&lt;44032,-1,_xlfn.UNICODE(A782)-44032)</f>
        <v>3538</v>
      </c>
      <c r="C782" s="16" t="n">
        <f aca="false">IF(B782=-1,-1,INT((B782/28)/21))</f>
        <v>6</v>
      </c>
      <c r="D782" s="16" t="n">
        <f aca="false">IF(B782=-1, -1, MOD(INT(B782/28),21))</f>
        <v>0</v>
      </c>
      <c r="E782" s="16" t="n">
        <f aca="false">IF(B782=-1, -1, VLOOKUP(MOD(B782,28), $T$24:$U$52,2))</f>
        <v>8</v>
      </c>
      <c r="F782" s="16" t="n">
        <f aca="false">IF($B782=-1, -1, VLOOKUP(C782,$T$1:$V$20, 2))</f>
        <v>11</v>
      </c>
      <c r="G782" s="16" t="n">
        <f aca="false">IF($B782=-1, -1, VLOOKUP(D782,$Y$1:$Z$22,2))</f>
        <v>13</v>
      </c>
      <c r="H782" s="16" t="str">
        <f aca="false">_xlfn.UNICHAR(((F782*21)+G782)*28+44032)</f>
        <v>우</v>
      </c>
      <c r="I782" s="16" t="n">
        <f aca="false">IF(B782=-1, 1, COUNTIF($A$2:$A$3000, H782))</f>
        <v>1</v>
      </c>
      <c r="J782" s="10" t="str">
        <f aca="false">_xlfn.CONCAT(A782, ",",H782,",",I782)</f>
        <v>맒,우,1</v>
      </c>
      <c r="K782" s="16" t="n">
        <f aca="false">IF(B782=-1,-1,VLOOKUP(C782,$T$1:$V$20,3))</f>
        <v>9</v>
      </c>
      <c r="L782" s="16" t="n">
        <f aca="false">IF(B782=-1,-1,VLOOKUP(D782,$Y$1:$AA$22,3))</f>
        <v>2</v>
      </c>
      <c r="N782" s="10" t="str">
        <f aca="false">_xlfn.UNICHAR(((C782*21)+G782)*28+44032)</f>
        <v>무</v>
      </c>
      <c r="O782" s="10" t="str">
        <f aca="false">_xlfn.UNICHAR(((F782*21)+D782)*28+44032)</f>
        <v>아</v>
      </c>
      <c r="P782" s="12" t="n">
        <f aca="false">COUNTIF($A$2:$A$3000, N782) + COUNTIF($A$2:$A$3000, O782)</f>
        <v>2</v>
      </c>
      <c r="Q782" s="16" t="str">
        <f aca="false">IF(OR(B782=-1,I782=0, P782&lt;&gt;2), "albhed_dummy", _xlfn.CONCAT("albhed ", RIGHT("  " &amp; K782,2),", ", RIGHT("  " &amp; L782,2), ", " ,"""",H782,""", ", """",N782,""", ","""",O782,""""," ; ", A782))</f>
        <v>albhed  9,  2, "우", "무", "아" ; 맒</v>
      </c>
    </row>
    <row r="783" customFormat="false" ht="17.9" hidden="false" customHeight="true" outlineLevel="0" collapsed="false">
      <c r="A783" s="16" t="s">
        <v>1654</v>
      </c>
      <c r="B783" s="16" t="n">
        <f aca="false">IF(_xlfn.UNICODE(A783)&lt;44032,-1,_xlfn.UNICODE(A783)-44032)</f>
        <v>3544</v>
      </c>
      <c r="C783" s="16" t="n">
        <f aca="false">IF(B783=-1,-1,INT((B783/28)/21))</f>
        <v>6</v>
      </c>
      <c r="D783" s="16" t="n">
        <f aca="false">IF(B783=-1, -1, MOD(INT(B783/28),21))</f>
        <v>0</v>
      </c>
      <c r="E783" s="16" t="n">
        <f aca="false">IF(B783=-1, -1, VLOOKUP(MOD(B783,28), $T$24:$U$52,2))</f>
        <v>16</v>
      </c>
      <c r="F783" s="16" t="n">
        <f aca="false">IF($B783=-1, -1, VLOOKUP(C783,$T$1:$V$20, 2))</f>
        <v>11</v>
      </c>
      <c r="G783" s="16" t="n">
        <f aca="false">IF($B783=-1, -1, VLOOKUP(D783,$Y$1:$Z$22,2))</f>
        <v>13</v>
      </c>
      <c r="H783" s="16" t="str">
        <f aca="false">_xlfn.UNICHAR(((F783*21)+G783)*28+44032)</f>
        <v>우</v>
      </c>
      <c r="I783" s="16" t="n">
        <f aca="false">IF(B783=-1, 1, COUNTIF($A$2:$A$3000, H783))</f>
        <v>1</v>
      </c>
      <c r="J783" s="10" t="str">
        <f aca="false">_xlfn.CONCAT(A783, ",",H783,",",I783)</f>
        <v>맘,우,1</v>
      </c>
      <c r="K783" s="16" t="n">
        <f aca="false">IF(B783=-1,-1,VLOOKUP(C783,$T$1:$V$20,3))</f>
        <v>9</v>
      </c>
      <c r="L783" s="16" t="n">
        <f aca="false">IF(B783=-1,-1,VLOOKUP(D783,$Y$1:$AA$22,3))</f>
        <v>2</v>
      </c>
      <c r="N783" s="10" t="str">
        <f aca="false">_xlfn.UNICHAR(((C783*21)+G783)*28+44032)</f>
        <v>무</v>
      </c>
      <c r="O783" s="10" t="str">
        <f aca="false">_xlfn.UNICHAR(((F783*21)+D783)*28+44032)</f>
        <v>아</v>
      </c>
      <c r="P783" s="12" t="n">
        <f aca="false">COUNTIF($A$2:$A$3000, N783) + COUNTIF($A$2:$A$3000, O783)</f>
        <v>2</v>
      </c>
      <c r="Q783" s="16" t="str">
        <f aca="false">IF(OR(B783=-1,I783=0, P783&lt;&gt;2), "albhed_dummy", _xlfn.CONCAT("albhed ", RIGHT("  " &amp; K783,2),", ", RIGHT("  " &amp; L783,2), ", " ,"""",H783,""", ", """",N783,""", ","""",O783,""""," ; ", A783))</f>
        <v>albhed  9,  2, "우", "무", "아" ; 맘</v>
      </c>
    </row>
    <row r="784" customFormat="false" ht="17.9" hidden="false" customHeight="true" outlineLevel="0" collapsed="false">
      <c r="A784" s="16" t="s">
        <v>1655</v>
      </c>
      <c r="B784" s="16" t="n">
        <f aca="false">IF(_xlfn.UNICODE(A784)&lt;44032,-1,_xlfn.UNICODE(A784)-44032)</f>
        <v>3545</v>
      </c>
      <c r="C784" s="16" t="n">
        <f aca="false">IF(B784=-1,-1,INT((B784/28)/21))</f>
        <v>6</v>
      </c>
      <c r="D784" s="16" t="n">
        <f aca="false">IF(B784=-1, -1, MOD(INT(B784/28),21))</f>
        <v>0</v>
      </c>
      <c r="E784" s="16" t="n">
        <f aca="false">IF(B784=-1, -1, VLOOKUP(MOD(B784,28), $T$24:$U$52,2))</f>
        <v>17</v>
      </c>
      <c r="F784" s="16" t="n">
        <f aca="false">IF($B784=-1, -1, VLOOKUP(C784,$T$1:$V$20, 2))</f>
        <v>11</v>
      </c>
      <c r="G784" s="16" t="n">
        <f aca="false">IF($B784=-1, -1, VLOOKUP(D784,$Y$1:$Z$22,2))</f>
        <v>13</v>
      </c>
      <c r="H784" s="16" t="str">
        <f aca="false">_xlfn.UNICHAR(((F784*21)+G784)*28+44032)</f>
        <v>우</v>
      </c>
      <c r="I784" s="16" t="n">
        <f aca="false">IF(B784=-1, 1, COUNTIF($A$2:$A$3000, H784))</f>
        <v>1</v>
      </c>
      <c r="J784" s="10" t="str">
        <f aca="false">_xlfn.CONCAT(A784, ",",H784,",",I784)</f>
        <v>맙,우,1</v>
      </c>
      <c r="K784" s="16" t="n">
        <f aca="false">IF(B784=-1,-1,VLOOKUP(C784,$T$1:$V$20,3))</f>
        <v>9</v>
      </c>
      <c r="L784" s="16" t="n">
        <f aca="false">IF(B784=-1,-1,VLOOKUP(D784,$Y$1:$AA$22,3))</f>
        <v>2</v>
      </c>
      <c r="N784" s="10" t="str">
        <f aca="false">_xlfn.UNICHAR(((C784*21)+G784)*28+44032)</f>
        <v>무</v>
      </c>
      <c r="O784" s="10" t="str">
        <f aca="false">_xlfn.UNICHAR(((F784*21)+D784)*28+44032)</f>
        <v>아</v>
      </c>
      <c r="P784" s="12" t="n">
        <f aca="false">COUNTIF($A$2:$A$3000, N784) + COUNTIF($A$2:$A$3000, O784)</f>
        <v>2</v>
      </c>
      <c r="Q784" s="16" t="str">
        <f aca="false">IF(OR(B784=-1,I784=0, P784&lt;&gt;2), "albhed_dummy", _xlfn.CONCAT("albhed ", RIGHT("  " &amp; K784,2),", ", RIGHT("  " &amp; L784,2), ", " ,"""",H784,""", ", """",N784,""", ","""",O784,""""," ; ", A784))</f>
        <v>albhed  9,  2, "우", "무", "아" ; 맙</v>
      </c>
    </row>
    <row r="785" customFormat="false" ht="17.9" hidden="false" customHeight="true" outlineLevel="0" collapsed="false">
      <c r="A785" s="16" t="s">
        <v>1656</v>
      </c>
      <c r="B785" s="16" t="n">
        <f aca="false">IF(_xlfn.UNICODE(A785)&lt;44032,-1,_xlfn.UNICODE(A785)-44032)</f>
        <v>3547</v>
      </c>
      <c r="C785" s="16" t="n">
        <f aca="false">IF(B785=-1,-1,INT((B785/28)/21))</f>
        <v>6</v>
      </c>
      <c r="D785" s="16" t="n">
        <f aca="false">IF(B785=-1, -1, MOD(INT(B785/28),21))</f>
        <v>0</v>
      </c>
      <c r="E785" s="16" t="n">
        <f aca="false">IF(B785=-1, -1, VLOOKUP(MOD(B785,28), $T$24:$U$52,2))</f>
        <v>19</v>
      </c>
      <c r="F785" s="16" t="n">
        <f aca="false">IF($B785=-1, -1, VLOOKUP(C785,$T$1:$V$20, 2))</f>
        <v>11</v>
      </c>
      <c r="G785" s="16" t="n">
        <f aca="false">IF($B785=-1, -1, VLOOKUP(D785,$Y$1:$Z$22,2))</f>
        <v>13</v>
      </c>
      <c r="H785" s="16" t="str">
        <f aca="false">_xlfn.UNICHAR(((F785*21)+G785)*28+44032)</f>
        <v>우</v>
      </c>
      <c r="I785" s="16" t="n">
        <f aca="false">IF(B785=-1, 1, COUNTIF($A$2:$A$3000, H785))</f>
        <v>1</v>
      </c>
      <c r="J785" s="10" t="str">
        <f aca="false">_xlfn.CONCAT(A785, ",",H785,",",I785)</f>
        <v>맛,우,1</v>
      </c>
      <c r="K785" s="16" t="n">
        <f aca="false">IF(B785=-1,-1,VLOOKUP(C785,$T$1:$V$20,3))</f>
        <v>9</v>
      </c>
      <c r="L785" s="16" t="n">
        <f aca="false">IF(B785=-1,-1,VLOOKUP(D785,$Y$1:$AA$22,3))</f>
        <v>2</v>
      </c>
      <c r="N785" s="10" t="str">
        <f aca="false">_xlfn.UNICHAR(((C785*21)+G785)*28+44032)</f>
        <v>무</v>
      </c>
      <c r="O785" s="10" t="str">
        <f aca="false">_xlfn.UNICHAR(((F785*21)+D785)*28+44032)</f>
        <v>아</v>
      </c>
      <c r="P785" s="12" t="n">
        <f aca="false">COUNTIF($A$2:$A$3000, N785) + COUNTIF($A$2:$A$3000, O785)</f>
        <v>2</v>
      </c>
      <c r="Q785" s="16" t="str">
        <f aca="false">IF(OR(B785=-1,I785=0, P785&lt;&gt;2), "albhed_dummy", _xlfn.CONCAT("albhed ", RIGHT("  " &amp; K785,2),", ", RIGHT("  " &amp; L785,2), ", " ,"""",H785,""", ", """",N785,""", ","""",O785,""""," ; ", A785))</f>
        <v>albhed  9,  2, "우", "무", "아" ; 맛</v>
      </c>
    </row>
    <row r="786" customFormat="false" ht="17.9" hidden="false" customHeight="true" outlineLevel="0" collapsed="false">
      <c r="A786" s="16" t="s">
        <v>1657</v>
      </c>
      <c r="B786" s="16" t="n">
        <f aca="false">IF(_xlfn.UNICODE(A786)&lt;44032,-1,_xlfn.UNICODE(A786)-44032)</f>
        <v>3549</v>
      </c>
      <c r="C786" s="16" t="n">
        <f aca="false">IF(B786=-1,-1,INT((B786/28)/21))</f>
        <v>6</v>
      </c>
      <c r="D786" s="16" t="n">
        <f aca="false">IF(B786=-1, -1, MOD(INT(B786/28),21))</f>
        <v>0</v>
      </c>
      <c r="E786" s="16" t="n">
        <f aca="false">IF(B786=-1, -1, VLOOKUP(MOD(B786,28), $T$24:$U$52,2))</f>
        <v>21</v>
      </c>
      <c r="F786" s="16" t="n">
        <f aca="false">IF($B786=-1, -1, VLOOKUP(C786,$T$1:$V$20, 2))</f>
        <v>11</v>
      </c>
      <c r="G786" s="16" t="n">
        <f aca="false">IF($B786=-1, -1, VLOOKUP(D786,$Y$1:$Z$22,2))</f>
        <v>13</v>
      </c>
      <c r="H786" s="16" t="str">
        <f aca="false">_xlfn.UNICHAR(((F786*21)+G786)*28+44032)</f>
        <v>우</v>
      </c>
      <c r="I786" s="16" t="n">
        <f aca="false">IF(B786=-1, 1, COUNTIF($A$2:$A$3000, H786))</f>
        <v>1</v>
      </c>
      <c r="J786" s="10" t="str">
        <f aca="false">_xlfn.CONCAT(A786, ",",H786,",",I786)</f>
        <v>망,우,1</v>
      </c>
      <c r="K786" s="16" t="n">
        <f aca="false">IF(B786=-1,-1,VLOOKUP(C786,$T$1:$V$20,3))</f>
        <v>9</v>
      </c>
      <c r="L786" s="16" t="n">
        <f aca="false">IF(B786=-1,-1,VLOOKUP(D786,$Y$1:$AA$22,3))</f>
        <v>2</v>
      </c>
      <c r="N786" s="10" t="str">
        <f aca="false">_xlfn.UNICHAR(((C786*21)+G786)*28+44032)</f>
        <v>무</v>
      </c>
      <c r="O786" s="10" t="str">
        <f aca="false">_xlfn.UNICHAR(((F786*21)+D786)*28+44032)</f>
        <v>아</v>
      </c>
      <c r="P786" s="12" t="n">
        <f aca="false">COUNTIF($A$2:$A$3000, N786) + COUNTIF($A$2:$A$3000, O786)</f>
        <v>2</v>
      </c>
      <c r="Q786" s="16" t="str">
        <f aca="false">IF(OR(B786=-1,I786=0, P786&lt;&gt;2), "albhed_dummy", _xlfn.CONCAT("albhed ", RIGHT("  " &amp; K786,2),", ", RIGHT("  " &amp; L786,2), ", " ,"""",H786,""", ", """",N786,""", ","""",O786,""""," ; ", A786))</f>
        <v>albhed  9,  2, "우", "무", "아" ; 망</v>
      </c>
    </row>
    <row r="787" customFormat="false" ht="17.9" hidden="false" customHeight="true" outlineLevel="0" collapsed="false">
      <c r="A787" s="16" t="s">
        <v>1658</v>
      </c>
      <c r="B787" s="16" t="n">
        <f aca="false">IF(_xlfn.UNICODE(A787)&lt;44032,-1,_xlfn.UNICODE(A787)-44032)</f>
        <v>3550</v>
      </c>
      <c r="C787" s="16" t="n">
        <f aca="false">IF(B787=-1,-1,INT((B787/28)/21))</f>
        <v>6</v>
      </c>
      <c r="D787" s="16" t="n">
        <f aca="false">IF(B787=-1, -1, MOD(INT(B787/28),21))</f>
        <v>0</v>
      </c>
      <c r="E787" s="16" t="n">
        <f aca="false">IF(B787=-1, -1, VLOOKUP(MOD(B787,28), $T$24:$U$52,2))</f>
        <v>19</v>
      </c>
      <c r="F787" s="16" t="n">
        <f aca="false">IF($B787=-1, -1, VLOOKUP(C787,$T$1:$V$20, 2))</f>
        <v>11</v>
      </c>
      <c r="G787" s="16" t="n">
        <f aca="false">IF($B787=-1, -1, VLOOKUP(D787,$Y$1:$Z$22,2))</f>
        <v>13</v>
      </c>
      <c r="H787" s="16" t="str">
        <f aca="false">_xlfn.UNICHAR(((F787*21)+G787)*28+44032)</f>
        <v>우</v>
      </c>
      <c r="I787" s="16" t="n">
        <f aca="false">IF(B787=-1, 1, COUNTIF($A$2:$A$3000, H787))</f>
        <v>1</v>
      </c>
      <c r="J787" s="10" t="str">
        <f aca="false">_xlfn.CONCAT(A787, ",",H787,",",I787)</f>
        <v>맞,우,1</v>
      </c>
      <c r="K787" s="16" t="n">
        <f aca="false">IF(B787=-1,-1,VLOOKUP(C787,$T$1:$V$20,3))</f>
        <v>9</v>
      </c>
      <c r="L787" s="16" t="n">
        <f aca="false">IF(B787=-1,-1,VLOOKUP(D787,$Y$1:$AA$22,3))</f>
        <v>2</v>
      </c>
      <c r="N787" s="10" t="str">
        <f aca="false">_xlfn.UNICHAR(((C787*21)+G787)*28+44032)</f>
        <v>무</v>
      </c>
      <c r="O787" s="10" t="str">
        <f aca="false">_xlfn.UNICHAR(((F787*21)+D787)*28+44032)</f>
        <v>아</v>
      </c>
      <c r="P787" s="12" t="n">
        <f aca="false">COUNTIF($A$2:$A$3000, N787) + COUNTIF($A$2:$A$3000, O787)</f>
        <v>2</v>
      </c>
      <c r="Q787" s="16" t="str">
        <f aca="false">IF(OR(B787=-1,I787=0, P787&lt;&gt;2), "albhed_dummy", _xlfn.CONCAT("albhed ", RIGHT("  " &amp; K787,2),", ", RIGHT("  " &amp; L787,2), ", " ,"""",H787,""", ", """",N787,""", ","""",O787,""""," ; ", A787))</f>
        <v>albhed  9,  2, "우", "무", "아" ; 맞</v>
      </c>
    </row>
    <row r="788" customFormat="false" ht="17.9" hidden="false" customHeight="true" outlineLevel="0" collapsed="false">
      <c r="A788" s="16" t="s">
        <v>1659</v>
      </c>
      <c r="B788" s="16" t="n">
        <f aca="false">IF(_xlfn.UNICODE(A788)&lt;44032,-1,_xlfn.UNICODE(A788)-44032)</f>
        <v>3553</v>
      </c>
      <c r="C788" s="16" t="n">
        <f aca="false">IF(B788=-1,-1,INT((B788/28)/21))</f>
        <v>6</v>
      </c>
      <c r="D788" s="16" t="n">
        <f aca="false">IF(B788=-1, -1, MOD(INT(B788/28),21))</f>
        <v>0</v>
      </c>
      <c r="E788" s="16" t="n">
        <f aca="false">IF(B788=-1, -1, VLOOKUP(MOD(B788,28), $T$24:$U$52,2))</f>
        <v>19</v>
      </c>
      <c r="F788" s="16" t="n">
        <f aca="false">IF($B788=-1, -1, VLOOKUP(C788,$T$1:$V$20, 2))</f>
        <v>11</v>
      </c>
      <c r="G788" s="16" t="n">
        <f aca="false">IF($B788=-1, -1, VLOOKUP(D788,$Y$1:$Z$22,2))</f>
        <v>13</v>
      </c>
      <c r="H788" s="16" t="str">
        <f aca="false">_xlfn.UNICHAR(((F788*21)+G788)*28+44032)</f>
        <v>우</v>
      </c>
      <c r="I788" s="16" t="n">
        <f aca="false">IF(B788=-1, 1, COUNTIF($A$2:$A$3000, H788))</f>
        <v>1</v>
      </c>
      <c r="J788" s="10" t="str">
        <f aca="false">_xlfn.CONCAT(A788, ",",H788,",",I788)</f>
        <v>맡,우,1</v>
      </c>
      <c r="K788" s="16" t="n">
        <f aca="false">IF(B788=-1,-1,VLOOKUP(C788,$T$1:$V$20,3))</f>
        <v>9</v>
      </c>
      <c r="L788" s="16" t="n">
        <f aca="false">IF(B788=-1,-1,VLOOKUP(D788,$Y$1:$AA$22,3))</f>
        <v>2</v>
      </c>
      <c r="N788" s="10" t="str">
        <f aca="false">_xlfn.UNICHAR(((C788*21)+G788)*28+44032)</f>
        <v>무</v>
      </c>
      <c r="O788" s="10" t="str">
        <f aca="false">_xlfn.UNICHAR(((F788*21)+D788)*28+44032)</f>
        <v>아</v>
      </c>
      <c r="P788" s="12" t="n">
        <f aca="false">COUNTIF($A$2:$A$3000, N788) + COUNTIF($A$2:$A$3000, O788)</f>
        <v>2</v>
      </c>
      <c r="Q788" s="16" t="str">
        <f aca="false">IF(OR(B788=-1,I788=0, P788&lt;&gt;2), "albhed_dummy", _xlfn.CONCAT("albhed ", RIGHT("  " &amp; K788,2),", ", RIGHT("  " &amp; L788,2), ", " ,"""",H788,""", ", """",N788,""", ","""",O788,""""," ; ", A788))</f>
        <v>albhed  9,  2, "우", "무", "아" ; 맡</v>
      </c>
    </row>
    <row r="789" customFormat="false" ht="17.9" hidden="false" customHeight="true" outlineLevel="0" collapsed="false">
      <c r="A789" s="16" t="s">
        <v>1660</v>
      </c>
      <c r="B789" s="16" t="n">
        <f aca="false">IF(_xlfn.UNICODE(A789)&lt;44032,-1,_xlfn.UNICODE(A789)-44032)</f>
        <v>3555</v>
      </c>
      <c r="C789" s="16" t="n">
        <f aca="false">IF(B789=-1,-1,INT((B789/28)/21))</f>
        <v>6</v>
      </c>
      <c r="D789" s="16" t="n">
        <f aca="false">IF(B789=-1, -1, MOD(INT(B789/28),21))</f>
        <v>0</v>
      </c>
      <c r="E789" s="16" t="n">
        <f aca="false">IF(B789=-1, -1, VLOOKUP(MOD(B789,28), $T$24:$U$52,2))</f>
        <v>19</v>
      </c>
      <c r="F789" s="16" t="n">
        <f aca="false">IF($B789=-1, -1, VLOOKUP(C789,$T$1:$V$20, 2))</f>
        <v>11</v>
      </c>
      <c r="G789" s="16" t="n">
        <f aca="false">IF($B789=-1, -1, VLOOKUP(D789,$Y$1:$Z$22,2))</f>
        <v>13</v>
      </c>
      <c r="H789" s="16" t="str">
        <f aca="false">_xlfn.UNICHAR(((F789*21)+G789)*28+44032)</f>
        <v>우</v>
      </c>
      <c r="I789" s="16" t="n">
        <f aca="false">IF(B789=-1, 1, COUNTIF($A$2:$A$3000, H789))</f>
        <v>1</v>
      </c>
      <c r="J789" s="10" t="str">
        <f aca="false">_xlfn.CONCAT(A789, ",",H789,",",I789)</f>
        <v>맣,우,1</v>
      </c>
      <c r="K789" s="16" t="n">
        <f aca="false">IF(B789=-1,-1,VLOOKUP(C789,$T$1:$V$20,3))</f>
        <v>9</v>
      </c>
      <c r="L789" s="16" t="n">
        <f aca="false">IF(B789=-1,-1,VLOOKUP(D789,$Y$1:$AA$22,3))</f>
        <v>2</v>
      </c>
      <c r="N789" s="10" t="str">
        <f aca="false">_xlfn.UNICHAR(((C789*21)+G789)*28+44032)</f>
        <v>무</v>
      </c>
      <c r="O789" s="10" t="str">
        <f aca="false">_xlfn.UNICHAR(((F789*21)+D789)*28+44032)</f>
        <v>아</v>
      </c>
      <c r="P789" s="12" t="n">
        <f aca="false">COUNTIF($A$2:$A$3000, N789) + COUNTIF($A$2:$A$3000, O789)</f>
        <v>2</v>
      </c>
      <c r="Q789" s="16" t="str">
        <f aca="false">IF(OR(B789=-1,I789=0, P789&lt;&gt;2), "albhed_dummy", _xlfn.CONCAT("albhed ", RIGHT("  " &amp; K789,2),", ", RIGHT("  " &amp; L789,2), ", " ,"""",H789,""", ", """",N789,""", ","""",O789,""""," ; ", A789))</f>
        <v>albhed  9,  2, "우", "무", "아" ; 맣</v>
      </c>
    </row>
    <row r="790" customFormat="false" ht="17.9" hidden="false" customHeight="true" outlineLevel="0" collapsed="false">
      <c r="A790" s="16" t="s">
        <v>1661</v>
      </c>
      <c r="B790" s="16" t="n">
        <f aca="false">IF(_xlfn.UNICODE(A790)&lt;44032,-1,_xlfn.UNICODE(A790)-44032)</f>
        <v>3556</v>
      </c>
      <c r="C790" s="16" t="n">
        <f aca="false">IF(B790=-1,-1,INT((B790/28)/21))</f>
        <v>6</v>
      </c>
      <c r="D790" s="16" t="n">
        <f aca="false">IF(B790=-1, -1, MOD(INT(B790/28),21))</f>
        <v>1</v>
      </c>
      <c r="E790" s="16" t="n">
        <f aca="false">IF(B790=-1, -1, VLOOKUP(MOD(B790,28), $T$24:$U$52,2))</f>
        <v>0</v>
      </c>
      <c r="F790" s="16" t="n">
        <f aca="false">IF($B790=-1, -1, VLOOKUP(C790,$T$1:$V$20, 2))</f>
        <v>11</v>
      </c>
      <c r="G790" s="16" t="n">
        <f aca="false">IF($B790=-1, -1, VLOOKUP(D790,$Y$1:$Z$22,2))</f>
        <v>18</v>
      </c>
      <c r="H790" s="16" t="str">
        <f aca="false">_xlfn.UNICHAR(((F790*21)+G790)*28+44032)</f>
        <v>으</v>
      </c>
      <c r="I790" s="16" t="n">
        <f aca="false">IF(B790=-1, 1, COUNTIF($A$2:$A$3000, H790))</f>
        <v>1</v>
      </c>
      <c r="J790" s="10" t="str">
        <f aca="false">_xlfn.CONCAT(A790, ",",H790,",",I790)</f>
        <v>매,으,1</v>
      </c>
      <c r="K790" s="16" t="n">
        <f aca="false">IF(B790=-1,-1,VLOOKUP(C790,$T$1:$V$20,3))</f>
        <v>9</v>
      </c>
      <c r="L790" s="16" t="n">
        <f aca="false">IF(B790=-1,-1,VLOOKUP(D790,$Y$1:$AA$22,3))</f>
        <v>10</v>
      </c>
      <c r="N790" s="10" t="str">
        <f aca="false">_xlfn.UNICHAR(((C790*21)+G790)*28+44032)</f>
        <v>므</v>
      </c>
      <c r="O790" s="10" t="str">
        <f aca="false">_xlfn.UNICHAR(((F790*21)+D790)*28+44032)</f>
        <v>애</v>
      </c>
      <c r="P790" s="12" t="n">
        <f aca="false">COUNTIF($A$2:$A$3000, N790) + COUNTIF($A$2:$A$3000, O790)</f>
        <v>2</v>
      </c>
      <c r="Q790" s="16" t="str">
        <f aca="false">IF(OR(B790=-1,I790=0, P790&lt;&gt;2), "albhed_dummy", _xlfn.CONCAT("albhed ", RIGHT("  " &amp; K790,2),", ", RIGHT("  " &amp; L790,2), ", " ,"""",H790,""", ", """",N790,""", ","""",O790,""""," ; ", A790))</f>
        <v>albhed  9, 10, "으", "므", "애" ; 매</v>
      </c>
    </row>
    <row r="791" customFormat="false" ht="17.9" hidden="false" customHeight="true" outlineLevel="0" collapsed="false">
      <c r="A791" s="16" t="s">
        <v>1662</v>
      </c>
      <c r="B791" s="16" t="n">
        <f aca="false">IF(_xlfn.UNICODE(A791)&lt;44032,-1,_xlfn.UNICODE(A791)-44032)</f>
        <v>3557</v>
      </c>
      <c r="C791" s="16" t="n">
        <f aca="false">IF(B791=-1,-1,INT((B791/28)/21))</f>
        <v>6</v>
      </c>
      <c r="D791" s="16" t="n">
        <f aca="false">IF(B791=-1, -1, MOD(INT(B791/28),21))</f>
        <v>1</v>
      </c>
      <c r="E791" s="16" t="n">
        <f aca="false">IF(B791=-1, -1, VLOOKUP(MOD(B791,28), $T$24:$U$52,2))</f>
        <v>1</v>
      </c>
      <c r="F791" s="16" t="n">
        <f aca="false">IF($B791=-1, -1, VLOOKUP(C791,$T$1:$V$20, 2))</f>
        <v>11</v>
      </c>
      <c r="G791" s="16" t="n">
        <f aca="false">IF($B791=-1, -1, VLOOKUP(D791,$Y$1:$Z$22,2))</f>
        <v>18</v>
      </c>
      <c r="H791" s="16" t="str">
        <f aca="false">_xlfn.UNICHAR(((F791*21)+G791)*28+44032)</f>
        <v>으</v>
      </c>
      <c r="I791" s="16" t="n">
        <f aca="false">IF(B791=-1, 1, COUNTIF($A$2:$A$3000, H791))</f>
        <v>1</v>
      </c>
      <c r="J791" s="10" t="str">
        <f aca="false">_xlfn.CONCAT(A791, ",",H791,",",I791)</f>
        <v>맥,으,1</v>
      </c>
      <c r="K791" s="16" t="n">
        <f aca="false">IF(B791=-1,-1,VLOOKUP(C791,$T$1:$V$20,3))</f>
        <v>9</v>
      </c>
      <c r="L791" s="16" t="n">
        <f aca="false">IF(B791=-1,-1,VLOOKUP(D791,$Y$1:$AA$22,3))</f>
        <v>10</v>
      </c>
      <c r="N791" s="10" t="str">
        <f aca="false">_xlfn.UNICHAR(((C791*21)+G791)*28+44032)</f>
        <v>므</v>
      </c>
      <c r="O791" s="10" t="str">
        <f aca="false">_xlfn.UNICHAR(((F791*21)+D791)*28+44032)</f>
        <v>애</v>
      </c>
      <c r="P791" s="12" t="n">
        <f aca="false">COUNTIF($A$2:$A$3000, N791) + COUNTIF($A$2:$A$3000, O791)</f>
        <v>2</v>
      </c>
      <c r="Q791" s="16" t="str">
        <f aca="false">IF(OR(B791=-1,I791=0, P791&lt;&gt;2), "albhed_dummy", _xlfn.CONCAT("albhed ", RIGHT("  " &amp; K791,2),", ", RIGHT("  " &amp; L791,2), ", " ,"""",H791,""", ", """",N791,""", ","""",O791,""""," ; ", A791))</f>
        <v>albhed  9, 10, "으", "므", "애" ; 맥</v>
      </c>
    </row>
    <row r="792" customFormat="false" ht="17.9" hidden="false" customHeight="true" outlineLevel="0" collapsed="false">
      <c r="A792" s="16" t="s">
        <v>1663</v>
      </c>
      <c r="B792" s="16" t="n">
        <f aca="false">IF(_xlfn.UNICODE(A792)&lt;44032,-1,_xlfn.UNICODE(A792)-44032)</f>
        <v>3560</v>
      </c>
      <c r="C792" s="16" t="n">
        <f aca="false">IF(B792=-1,-1,INT((B792/28)/21))</f>
        <v>6</v>
      </c>
      <c r="D792" s="16" t="n">
        <f aca="false">IF(B792=-1, -1, MOD(INT(B792/28),21))</f>
        <v>1</v>
      </c>
      <c r="E792" s="16" t="n">
        <f aca="false">IF(B792=-1, -1, VLOOKUP(MOD(B792,28), $T$24:$U$52,2))</f>
        <v>4</v>
      </c>
      <c r="F792" s="16" t="n">
        <f aca="false">IF($B792=-1, -1, VLOOKUP(C792,$T$1:$V$20, 2))</f>
        <v>11</v>
      </c>
      <c r="G792" s="16" t="n">
        <f aca="false">IF($B792=-1, -1, VLOOKUP(D792,$Y$1:$Z$22,2))</f>
        <v>18</v>
      </c>
      <c r="H792" s="16" t="str">
        <f aca="false">_xlfn.UNICHAR(((F792*21)+G792)*28+44032)</f>
        <v>으</v>
      </c>
      <c r="I792" s="16" t="n">
        <f aca="false">IF(B792=-1, 1, COUNTIF($A$2:$A$3000, H792))</f>
        <v>1</v>
      </c>
      <c r="J792" s="10" t="str">
        <f aca="false">_xlfn.CONCAT(A792, ",",H792,",",I792)</f>
        <v>맨,으,1</v>
      </c>
      <c r="K792" s="16" t="n">
        <f aca="false">IF(B792=-1,-1,VLOOKUP(C792,$T$1:$V$20,3))</f>
        <v>9</v>
      </c>
      <c r="L792" s="16" t="n">
        <f aca="false">IF(B792=-1,-1,VLOOKUP(D792,$Y$1:$AA$22,3))</f>
        <v>10</v>
      </c>
      <c r="N792" s="10" t="str">
        <f aca="false">_xlfn.UNICHAR(((C792*21)+G792)*28+44032)</f>
        <v>므</v>
      </c>
      <c r="O792" s="10" t="str">
        <f aca="false">_xlfn.UNICHAR(((F792*21)+D792)*28+44032)</f>
        <v>애</v>
      </c>
      <c r="P792" s="12" t="n">
        <f aca="false">COUNTIF($A$2:$A$3000, N792) + COUNTIF($A$2:$A$3000, O792)</f>
        <v>2</v>
      </c>
      <c r="Q792" s="16" t="str">
        <f aca="false">IF(OR(B792=-1,I792=0, P792&lt;&gt;2), "albhed_dummy", _xlfn.CONCAT("albhed ", RIGHT("  " &amp; K792,2),", ", RIGHT("  " &amp; L792,2), ", " ,"""",H792,""", ", """",N792,""", ","""",O792,""""," ; ", A792))</f>
        <v>albhed  9, 10, "으", "므", "애" ; 맨</v>
      </c>
    </row>
    <row r="793" customFormat="false" ht="17.9" hidden="false" customHeight="true" outlineLevel="0" collapsed="false">
      <c r="A793" s="16" t="s">
        <v>1664</v>
      </c>
      <c r="B793" s="16" t="n">
        <f aca="false">IF(_xlfn.UNICODE(A793)&lt;44032,-1,_xlfn.UNICODE(A793)-44032)</f>
        <v>3564</v>
      </c>
      <c r="C793" s="16" t="n">
        <f aca="false">IF(B793=-1,-1,INT((B793/28)/21))</f>
        <v>6</v>
      </c>
      <c r="D793" s="16" t="n">
        <f aca="false">IF(B793=-1, -1, MOD(INT(B793/28),21))</f>
        <v>1</v>
      </c>
      <c r="E793" s="16" t="n">
        <f aca="false">IF(B793=-1, -1, VLOOKUP(MOD(B793,28), $T$24:$U$52,2))</f>
        <v>8</v>
      </c>
      <c r="F793" s="16" t="n">
        <f aca="false">IF($B793=-1, -1, VLOOKUP(C793,$T$1:$V$20, 2))</f>
        <v>11</v>
      </c>
      <c r="G793" s="16" t="n">
        <f aca="false">IF($B793=-1, -1, VLOOKUP(D793,$Y$1:$Z$22,2))</f>
        <v>18</v>
      </c>
      <c r="H793" s="16" t="str">
        <f aca="false">_xlfn.UNICHAR(((F793*21)+G793)*28+44032)</f>
        <v>으</v>
      </c>
      <c r="I793" s="16" t="n">
        <f aca="false">IF(B793=-1, 1, COUNTIF($A$2:$A$3000, H793))</f>
        <v>1</v>
      </c>
      <c r="J793" s="10" t="str">
        <f aca="false">_xlfn.CONCAT(A793, ",",H793,",",I793)</f>
        <v>맬,으,1</v>
      </c>
      <c r="K793" s="16" t="n">
        <f aca="false">IF(B793=-1,-1,VLOOKUP(C793,$T$1:$V$20,3))</f>
        <v>9</v>
      </c>
      <c r="L793" s="16" t="n">
        <f aca="false">IF(B793=-1,-1,VLOOKUP(D793,$Y$1:$AA$22,3))</f>
        <v>10</v>
      </c>
      <c r="N793" s="10" t="str">
        <f aca="false">_xlfn.UNICHAR(((C793*21)+G793)*28+44032)</f>
        <v>므</v>
      </c>
      <c r="O793" s="10" t="str">
        <f aca="false">_xlfn.UNICHAR(((F793*21)+D793)*28+44032)</f>
        <v>애</v>
      </c>
      <c r="P793" s="12" t="n">
        <f aca="false">COUNTIF($A$2:$A$3000, N793) + COUNTIF($A$2:$A$3000, O793)</f>
        <v>2</v>
      </c>
      <c r="Q793" s="16" t="str">
        <f aca="false">IF(OR(B793=-1,I793=0, P793&lt;&gt;2), "albhed_dummy", _xlfn.CONCAT("albhed ", RIGHT("  " &amp; K793,2),", ", RIGHT("  " &amp; L793,2), ", " ,"""",H793,""", ", """",N793,""", ","""",O793,""""," ; ", A793))</f>
        <v>albhed  9, 10, "으", "므", "애" ; 맬</v>
      </c>
    </row>
    <row r="794" customFormat="false" ht="17.9" hidden="false" customHeight="true" outlineLevel="0" collapsed="false">
      <c r="A794" s="16" t="s">
        <v>1665</v>
      </c>
      <c r="B794" s="16" t="n">
        <f aca="false">IF(_xlfn.UNICODE(A794)&lt;44032,-1,_xlfn.UNICODE(A794)-44032)</f>
        <v>3572</v>
      </c>
      <c r="C794" s="16" t="n">
        <f aca="false">IF(B794=-1,-1,INT((B794/28)/21))</f>
        <v>6</v>
      </c>
      <c r="D794" s="16" t="n">
        <f aca="false">IF(B794=-1, -1, MOD(INT(B794/28),21))</f>
        <v>1</v>
      </c>
      <c r="E794" s="16" t="n">
        <f aca="false">IF(B794=-1, -1, VLOOKUP(MOD(B794,28), $T$24:$U$52,2))</f>
        <v>16</v>
      </c>
      <c r="F794" s="16" t="n">
        <f aca="false">IF($B794=-1, -1, VLOOKUP(C794,$T$1:$V$20, 2))</f>
        <v>11</v>
      </c>
      <c r="G794" s="16" t="n">
        <f aca="false">IF($B794=-1, -1, VLOOKUP(D794,$Y$1:$Z$22,2))</f>
        <v>18</v>
      </c>
      <c r="H794" s="16" t="str">
        <f aca="false">_xlfn.UNICHAR(((F794*21)+G794)*28+44032)</f>
        <v>으</v>
      </c>
      <c r="I794" s="16" t="n">
        <f aca="false">IF(B794=-1, 1, COUNTIF($A$2:$A$3000, H794))</f>
        <v>1</v>
      </c>
      <c r="J794" s="10" t="str">
        <f aca="false">_xlfn.CONCAT(A794, ",",H794,",",I794)</f>
        <v>맴,으,1</v>
      </c>
      <c r="K794" s="16" t="n">
        <f aca="false">IF(B794=-1,-1,VLOOKUP(C794,$T$1:$V$20,3))</f>
        <v>9</v>
      </c>
      <c r="L794" s="16" t="n">
        <f aca="false">IF(B794=-1,-1,VLOOKUP(D794,$Y$1:$AA$22,3))</f>
        <v>10</v>
      </c>
      <c r="N794" s="10" t="str">
        <f aca="false">_xlfn.UNICHAR(((C794*21)+G794)*28+44032)</f>
        <v>므</v>
      </c>
      <c r="O794" s="10" t="str">
        <f aca="false">_xlfn.UNICHAR(((F794*21)+D794)*28+44032)</f>
        <v>애</v>
      </c>
      <c r="P794" s="12" t="n">
        <f aca="false">COUNTIF($A$2:$A$3000, N794) + COUNTIF($A$2:$A$3000, O794)</f>
        <v>2</v>
      </c>
      <c r="Q794" s="16" t="str">
        <f aca="false">IF(OR(B794=-1,I794=0, P794&lt;&gt;2), "albhed_dummy", _xlfn.CONCAT("albhed ", RIGHT("  " &amp; K794,2),", ", RIGHT("  " &amp; L794,2), ", " ,"""",H794,""", ", """",N794,""", ","""",O794,""""," ; ", A794))</f>
        <v>albhed  9, 10, "으", "므", "애" ; 맴</v>
      </c>
    </row>
    <row r="795" customFormat="false" ht="17.9" hidden="false" customHeight="true" outlineLevel="0" collapsed="false">
      <c r="A795" s="16" t="s">
        <v>1666</v>
      </c>
      <c r="B795" s="16" t="n">
        <f aca="false">IF(_xlfn.UNICODE(A795)&lt;44032,-1,_xlfn.UNICODE(A795)-44032)</f>
        <v>3573</v>
      </c>
      <c r="C795" s="16" t="n">
        <f aca="false">IF(B795=-1,-1,INT((B795/28)/21))</f>
        <v>6</v>
      </c>
      <c r="D795" s="16" t="n">
        <f aca="false">IF(B795=-1, -1, MOD(INT(B795/28),21))</f>
        <v>1</v>
      </c>
      <c r="E795" s="16" t="n">
        <f aca="false">IF(B795=-1, -1, VLOOKUP(MOD(B795,28), $T$24:$U$52,2))</f>
        <v>17</v>
      </c>
      <c r="F795" s="16" t="n">
        <f aca="false">IF($B795=-1, -1, VLOOKUP(C795,$T$1:$V$20, 2))</f>
        <v>11</v>
      </c>
      <c r="G795" s="16" t="n">
        <f aca="false">IF($B795=-1, -1, VLOOKUP(D795,$Y$1:$Z$22,2))</f>
        <v>18</v>
      </c>
      <c r="H795" s="16" t="str">
        <f aca="false">_xlfn.UNICHAR(((F795*21)+G795)*28+44032)</f>
        <v>으</v>
      </c>
      <c r="I795" s="16" t="n">
        <f aca="false">IF(B795=-1, 1, COUNTIF($A$2:$A$3000, H795))</f>
        <v>1</v>
      </c>
      <c r="J795" s="10" t="str">
        <f aca="false">_xlfn.CONCAT(A795, ",",H795,",",I795)</f>
        <v>맵,으,1</v>
      </c>
      <c r="K795" s="16" t="n">
        <f aca="false">IF(B795=-1,-1,VLOOKUP(C795,$T$1:$V$20,3))</f>
        <v>9</v>
      </c>
      <c r="L795" s="16" t="n">
        <f aca="false">IF(B795=-1,-1,VLOOKUP(D795,$Y$1:$AA$22,3))</f>
        <v>10</v>
      </c>
      <c r="N795" s="10" t="str">
        <f aca="false">_xlfn.UNICHAR(((C795*21)+G795)*28+44032)</f>
        <v>므</v>
      </c>
      <c r="O795" s="10" t="str">
        <f aca="false">_xlfn.UNICHAR(((F795*21)+D795)*28+44032)</f>
        <v>애</v>
      </c>
      <c r="P795" s="12" t="n">
        <f aca="false">COUNTIF($A$2:$A$3000, N795) + COUNTIF($A$2:$A$3000, O795)</f>
        <v>2</v>
      </c>
      <c r="Q795" s="16" t="str">
        <f aca="false">IF(OR(B795=-1,I795=0, P795&lt;&gt;2), "albhed_dummy", _xlfn.CONCAT("albhed ", RIGHT("  " &amp; K795,2),", ", RIGHT("  " &amp; L795,2), ", " ,"""",H795,""", ", """",N795,""", ","""",O795,""""," ; ", A795))</f>
        <v>albhed  9, 10, "으", "므", "애" ; 맵</v>
      </c>
    </row>
    <row r="796" customFormat="false" ht="17.9" hidden="false" customHeight="true" outlineLevel="0" collapsed="false">
      <c r="A796" s="16" t="s">
        <v>1667</v>
      </c>
      <c r="B796" s="16" t="n">
        <f aca="false">IF(_xlfn.UNICODE(A796)&lt;44032,-1,_xlfn.UNICODE(A796)-44032)</f>
        <v>3575</v>
      </c>
      <c r="C796" s="16" t="n">
        <f aca="false">IF(B796=-1,-1,INT((B796/28)/21))</f>
        <v>6</v>
      </c>
      <c r="D796" s="16" t="n">
        <f aca="false">IF(B796=-1, -1, MOD(INT(B796/28),21))</f>
        <v>1</v>
      </c>
      <c r="E796" s="16" t="n">
        <f aca="false">IF(B796=-1, -1, VLOOKUP(MOD(B796,28), $T$24:$U$52,2))</f>
        <v>19</v>
      </c>
      <c r="F796" s="16" t="n">
        <f aca="false">IF($B796=-1, -1, VLOOKUP(C796,$T$1:$V$20, 2))</f>
        <v>11</v>
      </c>
      <c r="G796" s="16" t="n">
        <f aca="false">IF($B796=-1, -1, VLOOKUP(D796,$Y$1:$Z$22,2))</f>
        <v>18</v>
      </c>
      <c r="H796" s="16" t="str">
        <f aca="false">_xlfn.UNICHAR(((F796*21)+G796)*28+44032)</f>
        <v>으</v>
      </c>
      <c r="I796" s="16" t="n">
        <f aca="false">IF(B796=-1, 1, COUNTIF($A$2:$A$3000, H796))</f>
        <v>1</v>
      </c>
      <c r="J796" s="10" t="str">
        <f aca="false">_xlfn.CONCAT(A796, ",",H796,",",I796)</f>
        <v>맷,으,1</v>
      </c>
      <c r="K796" s="16" t="n">
        <f aca="false">IF(B796=-1,-1,VLOOKUP(C796,$T$1:$V$20,3))</f>
        <v>9</v>
      </c>
      <c r="L796" s="16" t="n">
        <f aca="false">IF(B796=-1,-1,VLOOKUP(D796,$Y$1:$AA$22,3))</f>
        <v>10</v>
      </c>
      <c r="N796" s="10" t="str">
        <f aca="false">_xlfn.UNICHAR(((C796*21)+G796)*28+44032)</f>
        <v>므</v>
      </c>
      <c r="O796" s="10" t="str">
        <f aca="false">_xlfn.UNICHAR(((F796*21)+D796)*28+44032)</f>
        <v>애</v>
      </c>
      <c r="P796" s="12" t="n">
        <f aca="false">COUNTIF($A$2:$A$3000, N796) + COUNTIF($A$2:$A$3000, O796)</f>
        <v>2</v>
      </c>
      <c r="Q796" s="16" t="str">
        <f aca="false">IF(OR(B796=-1,I796=0, P796&lt;&gt;2), "albhed_dummy", _xlfn.CONCAT("albhed ", RIGHT("  " &amp; K796,2),", ", RIGHT("  " &amp; L796,2), ", " ,"""",H796,""", ", """",N796,""", ","""",O796,""""," ; ", A796))</f>
        <v>albhed  9, 10, "으", "므", "애" ; 맷</v>
      </c>
    </row>
    <row r="797" customFormat="false" ht="17.9" hidden="false" customHeight="true" outlineLevel="0" collapsed="false">
      <c r="A797" s="16" t="s">
        <v>1668</v>
      </c>
      <c r="B797" s="16" t="n">
        <f aca="false">IF(_xlfn.UNICODE(A797)&lt;44032,-1,_xlfn.UNICODE(A797)-44032)</f>
        <v>3576</v>
      </c>
      <c r="C797" s="16" t="n">
        <f aca="false">IF(B797=-1,-1,INT((B797/28)/21))</f>
        <v>6</v>
      </c>
      <c r="D797" s="16" t="n">
        <f aca="false">IF(B797=-1, -1, MOD(INT(B797/28),21))</f>
        <v>1</v>
      </c>
      <c r="E797" s="16" t="n">
        <f aca="false">IF(B797=-1, -1, VLOOKUP(MOD(B797,28), $T$24:$U$52,2))</f>
        <v>19</v>
      </c>
      <c r="F797" s="16" t="n">
        <f aca="false">IF($B797=-1, -1, VLOOKUP(C797,$T$1:$V$20, 2))</f>
        <v>11</v>
      </c>
      <c r="G797" s="16" t="n">
        <f aca="false">IF($B797=-1, -1, VLOOKUP(D797,$Y$1:$Z$22,2))</f>
        <v>18</v>
      </c>
      <c r="H797" s="16" t="str">
        <f aca="false">_xlfn.UNICHAR(((F797*21)+G797)*28+44032)</f>
        <v>으</v>
      </c>
      <c r="I797" s="16" t="n">
        <f aca="false">IF(B797=-1, 1, COUNTIF($A$2:$A$3000, H797))</f>
        <v>1</v>
      </c>
      <c r="J797" s="10" t="str">
        <f aca="false">_xlfn.CONCAT(A797, ",",H797,",",I797)</f>
        <v>맸,으,1</v>
      </c>
      <c r="K797" s="16" t="n">
        <f aca="false">IF(B797=-1,-1,VLOOKUP(C797,$T$1:$V$20,3))</f>
        <v>9</v>
      </c>
      <c r="L797" s="16" t="n">
        <f aca="false">IF(B797=-1,-1,VLOOKUP(D797,$Y$1:$AA$22,3))</f>
        <v>10</v>
      </c>
      <c r="N797" s="10" t="str">
        <f aca="false">_xlfn.UNICHAR(((C797*21)+G797)*28+44032)</f>
        <v>므</v>
      </c>
      <c r="O797" s="10" t="str">
        <f aca="false">_xlfn.UNICHAR(((F797*21)+D797)*28+44032)</f>
        <v>애</v>
      </c>
      <c r="P797" s="12" t="n">
        <f aca="false">COUNTIF($A$2:$A$3000, N797) + COUNTIF($A$2:$A$3000, O797)</f>
        <v>2</v>
      </c>
      <c r="Q797" s="16" t="str">
        <f aca="false">IF(OR(B797=-1,I797=0, P797&lt;&gt;2), "albhed_dummy", _xlfn.CONCAT("albhed ", RIGHT("  " &amp; K797,2),", ", RIGHT("  " &amp; L797,2), ", " ,"""",H797,""", ", """",N797,""", ","""",O797,""""," ; ", A797))</f>
        <v>albhed  9, 10, "으", "므", "애" ; 맸</v>
      </c>
    </row>
    <row r="798" customFormat="false" ht="17.9" hidden="false" customHeight="true" outlineLevel="0" collapsed="false">
      <c r="A798" s="16" t="s">
        <v>1669</v>
      </c>
      <c r="B798" s="16" t="n">
        <f aca="false">IF(_xlfn.UNICODE(A798)&lt;44032,-1,_xlfn.UNICODE(A798)-44032)</f>
        <v>3577</v>
      </c>
      <c r="C798" s="16" t="n">
        <f aca="false">IF(B798=-1,-1,INT((B798/28)/21))</f>
        <v>6</v>
      </c>
      <c r="D798" s="16" t="n">
        <f aca="false">IF(B798=-1, -1, MOD(INT(B798/28),21))</f>
        <v>1</v>
      </c>
      <c r="E798" s="16" t="n">
        <f aca="false">IF(B798=-1, -1, VLOOKUP(MOD(B798,28), $T$24:$U$52,2))</f>
        <v>21</v>
      </c>
      <c r="F798" s="16" t="n">
        <f aca="false">IF($B798=-1, -1, VLOOKUP(C798,$T$1:$V$20, 2))</f>
        <v>11</v>
      </c>
      <c r="G798" s="16" t="n">
        <f aca="false">IF($B798=-1, -1, VLOOKUP(D798,$Y$1:$Z$22,2))</f>
        <v>18</v>
      </c>
      <c r="H798" s="16" t="str">
        <f aca="false">_xlfn.UNICHAR(((F798*21)+G798)*28+44032)</f>
        <v>으</v>
      </c>
      <c r="I798" s="16" t="n">
        <f aca="false">IF(B798=-1, 1, COUNTIF($A$2:$A$3000, H798))</f>
        <v>1</v>
      </c>
      <c r="J798" s="10" t="str">
        <f aca="false">_xlfn.CONCAT(A798, ",",H798,",",I798)</f>
        <v>맹,으,1</v>
      </c>
      <c r="K798" s="16" t="n">
        <f aca="false">IF(B798=-1,-1,VLOOKUP(C798,$T$1:$V$20,3))</f>
        <v>9</v>
      </c>
      <c r="L798" s="16" t="n">
        <f aca="false">IF(B798=-1,-1,VLOOKUP(D798,$Y$1:$AA$22,3))</f>
        <v>10</v>
      </c>
      <c r="N798" s="10" t="str">
        <f aca="false">_xlfn.UNICHAR(((C798*21)+G798)*28+44032)</f>
        <v>므</v>
      </c>
      <c r="O798" s="10" t="str">
        <f aca="false">_xlfn.UNICHAR(((F798*21)+D798)*28+44032)</f>
        <v>애</v>
      </c>
      <c r="P798" s="12" t="n">
        <f aca="false">COUNTIF($A$2:$A$3000, N798) + COUNTIF($A$2:$A$3000, O798)</f>
        <v>2</v>
      </c>
      <c r="Q798" s="16" t="str">
        <f aca="false">IF(OR(B798=-1,I798=0, P798&lt;&gt;2), "albhed_dummy", _xlfn.CONCAT("albhed ", RIGHT("  " &amp; K798,2),", ", RIGHT("  " &amp; L798,2), ", " ,"""",H798,""", ", """",N798,""", ","""",O798,""""," ; ", A798))</f>
        <v>albhed  9, 10, "으", "므", "애" ; 맹</v>
      </c>
    </row>
    <row r="799" customFormat="false" ht="17.9" hidden="false" customHeight="true" outlineLevel="0" collapsed="false">
      <c r="A799" s="16" t="s">
        <v>1670</v>
      </c>
      <c r="B799" s="16" t="n">
        <f aca="false">IF(_xlfn.UNICODE(A799)&lt;44032,-1,_xlfn.UNICODE(A799)-44032)</f>
        <v>3578</v>
      </c>
      <c r="C799" s="16" t="n">
        <f aca="false">IF(B799=-1,-1,INT((B799/28)/21))</f>
        <v>6</v>
      </c>
      <c r="D799" s="16" t="n">
        <f aca="false">IF(B799=-1, -1, MOD(INT(B799/28),21))</f>
        <v>1</v>
      </c>
      <c r="E799" s="16" t="n">
        <f aca="false">IF(B799=-1, -1, VLOOKUP(MOD(B799,28), $T$24:$U$52,2))</f>
        <v>19</v>
      </c>
      <c r="F799" s="16" t="n">
        <f aca="false">IF($B799=-1, -1, VLOOKUP(C799,$T$1:$V$20, 2))</f>
        <v>11</v>
      </c>
      <c r="G799" s="16" t="n">
        <f aca="false">IF($B799=-1, -1, VLOOKUP(D799,$Y$1:$Z$22,2))</f>
        <v>18</v>
      </c>
      <c r="H799" s="16" t="str">
        <f aca="false">_xlfn.UNICHAR(((F799*21)+G799)*28+44032)</f>
        <v>으</v>
      </c>
      <c r="I799" s="16" t="n">
        <f aca="false">IF(B799=-1, 1, COUNTIF($A$2:$A$3000, H799))</f>
        <v>1</v>
      </c>
      <c r="J799" s="10" t="str">
        <f aca="false">_xlfn.CONCAT(A799, ",",H799,",",I799)</f>
        <v>맺,으,1</v>
      </c>
      <c r="K799" s="16" t="n">
        <f aca="false">IF(B799=-1,-1,VLOOKUP(C799,$T$1:$V$20,3))</f>
        <v>9</v>
      </c>
      <c r="L799" s="16" t="n">
        <f aca="false">IF(B799=-1,-1,VLOOKUP(D799,$Y$1:$AA$22,3))</f>
        <v>10</v>
      </c>
      <c r="N799" s="10" t="str">
        <f aca="false">_xlfn.UNICHAR(((C799*21)+G799)*28+44032)</f>
        <v>므</v>
      </c>
      <c r="O799" s="10" t="str">
        <f aca="false">_xlfn.UNICHAR(((F799*21)+D799)*28+44032)</f>
        <v>애</v>
      </c>
      <c r="P799" s="12" t="n">
        <f aca="false">COUNTIF($A$2:$A$3000, N799) + COUNTIF($A$2:$A$3000, O799)</f>
        <v>2</v>
      </c>
      <c r="Q799" s="16" t="str">
        <f aca="false">IF(OR(B799=-1,I799=0, P799&lt;&gt;2), "albhed_dummy", _xlfn.CONCAT("albhed ", RIGHT("  " &amp; K799,2),", ", RIGHT("  " &amp; L799,2), ", " ,"""",H799,""", ", """",N799,""", ","""",O799,""""," ; ", A799))</f>
        <v>albhed  9, 10, "으", "므", "애" ; 맺</v>
      </c>
    </row>
    <row r="800" customFormat="false" ht="17.9" hidden="false" customHeight="true" outlineLevel="0" collapsed="false">
      <c r="A800" s="16" t="s">
        <v>1671</v>
      </c>
      <c r="B800" s="16" t="n">
        <f aca="false">IF(_xlfn.UNICODE(A800)&lt;44032,-1,_xlfn.UNICODE(A800)-44032)</f>
        <v>3584</v>
      </c>
      <c r="C800" s="16" t="n">
        <f aca="false">IF(B800=-1,-1,INT((B800/28)/21))</f>
        <v>6</v>
      </c>
      <c r="D800" s="16" t="n">
        <f aca="false">IF(B800=-1, -1, MOD(INT(B800/28),21))</f>
        <v>2</v>
      </c>
      <c r="E800" s="16" t="n">
        <f aca="false">IF(B800=-1, -1, VLOOKUP(MOD(B800,28), $T$24:$U$52,2))</f>
        <v>0</v>
      </c>
      <c r="F800" s="16" t="n">
        <f aca="false">IF($B800=-1, -1, VLOOKUP(C800,$T$1:$V$20, 2))</f>
        <v>11</v>
      </c>
      <c r="G800" s="16" t="n">
        <f aca="false">IF($B800=-1, -1, VLOOKUP(D800,$Y$1:$Z$22,2))</f>
        <v>17</v>
      </c>
      <c r="H800" s="16" t="str">
        <f aca="false">_xlfn.UNICHAR(((F800*21)+G800)*28+44032)</f>
        <v>유</v>
      </c>
      <c r="I800" s="16" t="n">
        <f aca="false">IF(B800=-1, 1, COUNTIF($A$2:$A$3000, H800))</f>
        <v>1</v>
      </c>
      <c r="J800" s="10" t="str">
        <f aca="false">_xlfn.CONCAT(A800, ",",H800,",",I800)</f>
        <v>먀,유,1</v>
      </c>
      <c r="K800" s="16" t="n">
        <f aca="false">IF(B800=-1,-1,VLOOKUP(C800,$T$1:$V$20,3))</f>
        <v>9</v>
      </c>
      <c r="L800" s="16" t="n">
        <f aca="false">IF(B800=-1,-1,VLOOKUP(D800,$Y$1:$AA$22,3))</f>
        <v>2</v>
      </c>
      <c r="N800" s="10" t="str">
        <f aca="false">_xlfn.UNICHAR(((C800*21)+G800)*28+44032)</f>
        <v>뮤</v>
      </c>
      <c r="O800" s="10" t="str">
        <f aca="false">_xlfn.UNICHAR(((F800*21)+D800)*28+44032)</f>
        <v>야</v>
      </c>
      <c r="P800" s="12" t="n">
        <f aca="false">COUNTIF($A$2:$A$3000, N800) + COUNTIF($A$2:$A$3000, O800)</f>
        <v>2</v>
      </c>
      <c r="Q800" s="16" t="str">
        <f aca="false">IF(OR(B800=-1,I800=0, P800&lt;&gt;2), "albhed_dummy", _xlfn.CONCAT("albhed ", RIGHT("  " &amp; K800,2),", ", RIGHT("  " &amp; L800,2), ", " ,"""",H800,""", ", """",N800,""", ","""",O800,""""," ; ", A800))</f>
        <v>albhed  9,  2, "유", "뮤", "야" ; 먀</v>
      </c>
    </row>
    <row r="801" customFormat="false" ht="17.9" hidden="false" customHeight="true" outlineLevel="0" collapsed="false">
      <c r="A801" s="16" t="s">
        <v>1672</v>
      </c>
      <c r="B801" s="16" t="n">
        <f aca="false">IF(_xlfn.UNICODE(A801)&lt;44032,-1,_xlfn.UNICODE(A801)-44032)</f>
        <v>3585</v>
      </c>
      <c r="C801" s="16" t="n">
        <f aca="false">IF(B801=-1,-1,INT((B801/28)/21))</f>
        <v>6</v>
      </c>
      <c r="D801" s="16" t="n">
        <f aca="false">IF(B801=-1, -1, MOD(INT(B801/28),21))</f>
        <v>2</v>
      </c>
      <c r="E801" s="16" t="n">
        <f aca="false">IF(B801=-1, -1, VLOOKUP(MOD(B801,28), $T$24:$U$52,2))</f>
        <v>1</v>
      </c>
      <c r="F801" s="16" t="n">
        <f aca="false">IF($B801=-1, -1, VLOOKUP(C801,$T$1:$V$20, 2))</f>
        <v>11</v>
      </c>
      <c r="G801" s="16" t="n">
        <f aca="false">IF($B801=-1, -1, VLOOKUP(D801,$Y$1:$Z$22,2))</f>
        <v>17</v>
      </c>
      <c r="H801" s="16" t="str">
        <f aca="false">_xlfn.UNICHAR(((F801*21)+G801)*28+44032)</f>
        <v>유</v>
      </c>
      <c r="I801" s="16" t="n">
        <f aca="false">IF(B801=-1, 1, COUNTIF($A$2:$A$3000, H801))</f>
        <v>1</v>
      </c>
      <c r="J801" s="10" t="str">
        <f aca="false">_xlfn.CONCAT(A801, ",",H801,",",I801)</f>
        <v>먁,유,1</v>
      </c>
      <c r="K801" s="16" t="n">
        <f aca="false">IF(B801=-1,-1,VLOOKUP(C801,$T$1:$V$20,3))</f>
        <v>9</v>
      </c>
      <c r="L801" s="16" t="n">
        <f aca="false">IF(B801=-1,-1,VLOOKUP(D801,$Y$1:$AA$22,3))</f>
        <v>2</v>
      </c>
      <c r="N801" s="10" t="str">
        <f aca="false">_xlfn.UNICHAR(((C801*21)+G801)*28+44032)</f>
        <v>뮤</v>
      </c>
      <c r="O801" s="10" t="str">
        <f aca="false">_xlfn.UNICHAR(((F801*21)+D801)*28+44032)</f>
        <v>야</v>
      </c>
      <c r="P801" s="12" t="n">
        <f aca="false">COUNTIF($A$2:$A$3000, N801) + COUNTIF($A$2:$A$3000, O801)</f>
        <v>2</v>
      </c>
      <c r="Q801" s="16" t="str">
        <f aca="false">IF(OR(B801=-1,I801=0, P801&lt;&gt;2), "albhed_dummy", _xlfn.CONCAT("albhed ", RIGHT("  " &amp; K801,2),", ", RIGHT("  " &amp; L801,2), ", " ,"""",H801,""", ", """",N801,""", ","""",O801,""""," ; ", A801))</f>
        <v>albhed  9,  2, "유", "뮤", "야" ; 먁</v>
      </c>
    </row>
    <row r="802" customFormat="false" ht="17.9" hidden="false" customHeight="true" outlineLevel="0" collapsed="false">
      <c r="A802" s="16" t="s">
        <v>1673</v>
      </c>
      <c r="B802" s="16" t="n">
        <f aca="false">IF(_xlfn.UNICODE(A802)&lt;44032,-1,_xlfn.UNICODE(A802)-44032)</f>
        <v>3592</v>
      </c>
      <c r="C802" s="16" t="n">
        <f aca="false">IF(B802=-1,-1,INT((B802/28)/21))</f>
        <v>6</v>
      </c>
      <c r="D802" s="16" t="n">
        <f aca="false">IF(B802=-1, -1, MOD(INT(B802/28),21))</f>
        <v>2</v>
      </c>
      <c r="E802" s="16" t="n">
        <f aca="false">IF(B802=-1, -1, VLOOKUP(MOD(B802,28), $T$24:$U$52,2))</f>
        <v>8</v>
      </c>
      <c r="F802" s="16" t="n">
        <f aca="false">IF($B802=-1, -1, VLOOKUP(C802,$T$1:$V$20, 2))</f>
        <v>11</v>
      </c>
      <c r="G802" s="16" t="n">
        <f aca="false">IF($B802=-1, -1, VLOOKUP(D802,$Y$1:$Z$22,2))</f>
        <v>17</v>
      </c>
      <c r="H802" s="16" t="str">
        <f aca="false">_xlfn.UNICHAR(((F802*21)+G802)*28+44032)</f>
        <v>유</v>
      </c>
      <c r="I802" s="16" t="n">
        <f aca="false">IF(B802=-1, 1, COUNTIF($A$2:$A$3000, H802))</f>
        <v>1</v>
      </c>
      <c r="J802" s="10" t="str">
        <f aca="false">_xlfn.CONCAT(A802, ",",H802,",",I802)</f>
        <v>먈,유,1</v>
      </c>
      <c r="K802" s="16" t="n">
        <f aca="false">IF(B802=-1,-1,VLOOKUP(C802,$T$1:$V$20,3))</f>
        <v>9</v>
      </c>
      <c r="L802" s="16" t="n">
        <f aca="false">IF(B802=-1,-1,VLOOKUP(D802,$Y$1:$AA$22,3))</f>
        <v>2</v>
      </c>
      <c r="N802" s="10" t="str">
        <f aca="false">_xlfn.UNICHAR(((C802*21)+G802)*28+44032)</f>
        <v>뮤</v>
      </c>
      <c r="O802" s="10" t="str">
        <f aca="false">_xlfn.UNICHAR(((F802*21)+D802)*28+44032)</f>
        <v>야</v>
      </c>
      <c r="P802" s="12" t="n">
        <f aca="false">COUNTIF($A$2:$A$3000, N802) + COUNTIF($A$2:$A$3000, O802)</f>
        <v>2</v>
      </c>
      <c r="Q802" s="16" t="str">
        <f aca="false">IF(OR(B802=-1,I802=0, P802&lt;&gt;2), "albhed_dummy", _xlfn.CONCAT("albhed ", RIGHT("  " &amp; K802,2),", ", RIGHT("  " &amp; L802,2), ", " ,"""",H802,""", ", """",N802,""", ","""",O802,""""," ; ", A802))</f>
        <v>albhed  9,  2, "유", "뮤", "야" ; 먈</v>
      </c>
    </row>
    <row r="803" customFormat="false" ht="17.9" hidden="false" customHeight="true" outlineLevel="0" collapsed="false">
      <c r="A803" s="16" t="s">
        <v>1674</v>
      </c>
      <c r="B803" s="16" t="n">
        <f aca="false">IF(_xlfn.UNICODE(A803)&lt;44032,-1,_xlfn.UNICODE(A803)-44032)</f>
        <v>3605</v>
      </c>
      <c r="C803" s="16" t="n">
        <f aca="false">IF(B803=-1,-1,INT((B803/28)/21))</f>
        <v>6</v>
      </c>
      <c r="D803" s="16" t="n">
        <f aca="false">IF(B803=-1, -1, MOD(INT(B803/28),21))</f>
        <v>2</v>
      </c>
      <c r="E803" s="16" t="n">
        <f aca="false">IF(B803=-1, -1, VLOOKUP(MOD(B803,28), $T$24:$U$52,2))</f>
        <v>21</v>
      </c>
      <c r="F803" s="16" t="n">
        <f aca="false">IF($B803=-1, -1, VLOOKUP(C803,$T$1:$V$20, 2))</f>
        <v>11</v>
      </c>
      <c r="G803" s="16" t="n">
        <f aca="false">IF($B803=-1, -1, VLOOKUP(D803,$Y$1:$Z$22,2))</f>
        <v>17</v>
      </c>
      <c r="H803" s="16" t="str">
        <f aca="false">_xlfn.UNICHAR(((F803*21)+G803)*28+44032)</f>
        <v>유</v>
      </c>
      <c r="I803" s="16" t="n">
        <f aca="false">IF(B803=-1, 1, COUNTIF($A$2:$A$3000, H803))</f>
        <v>1</v>
      </c>
      <c r="J803" s="10" t="str">
        <f aca="false">_xlfn.CONCAT(A803, ",",H803,",",I803)</f>
        <v>먕,유,1</v>
      </c>
      <c r="K803" s="16" t="n">
        <f aca="false">IF(B803=-1,-1,VLOOKUP(C803,$T$1:$V$20,3))</f>
        <v>9</v>
      </c>
      <c r="L803" s="16" t="n">
        <f aca="false">IF(B803=-1,-1,VLOOKUP(D803,$Y$1:$AA$22,3))</f>
        <v>2</v>
      </c>
      <c r="N803" s="10" t="str">
        <f aca="false">_xlfn.UNICHAR(((C803*21)+G803)*28+44032)</f>
        <v>뮤</v>
      </c>
      <c r="O803" s="10" t="str">
        <f aca="false">_xlfn.UNICHAR(((F803*21)+D803)*28+44032)</f>
        <v>야</v>
      </c>
      <c r="P803" s="12" t="n">
        <f aca="false">COUNTIF($A$2:$A$3000, N803) + COUNTIF($A$2:$A$3000, O803)</f>
        <v>2</v>
      </c>
      <c r="Q803" s="16" t="str">
        <f aca="false">IF(OR(B803=-1,I803=0, P803&lt;&gt;2), "albhed_dummy", _xlfn.CONCAT("albhed ", RIGHT("  " &amp; K803,2),", ", RIGHT("  " &amp; L803,2), ", " ,"""",H803,""", ", """",N803,""", ","""",O803,""""," ; ", A803))</f>
        <v>albhed  9,  2, "유", "뮤", "야" ; 먕</v>
      </c>
    </row>
    <row r="804" customFormat="false" ht="17.9" hidden="false" customHeight="true" outlineLevel="0" collapsed="false">
      <c r="A804" s="16" t="s">
        <v>1675</v>
      </c>
      <c r="B804" s="16" t="n">
        <f aca="false">IF(_xlfn.UNICODE(A804)&lt;44032,-1,_xlfn.UNICODE(A804)-44032)</f>
        <v>3640</v>
      </c>
      <c r="C804" s="16" t="n">
        <f aca="false">IF(B804=-1,-1,INT((B804/28)/21))</f>
        <v>6</v>
      </c>
      <c r="D804" s="16" t="n">
        <f aca="false">IF(B804=-1, -1, MOD(INT(B804/28),21))</f>
        <v>4</v>
      </c>
      <c r="E804" s="16" t="n">
        <f aca="false">IF(B804=-1, -1, VLOOKUP(MOD(B804,28), $T$24:$U$52,2))</f>
        <v>0</v>
      </c>
      <c r="F804" s="16" t="n">
        <f aca="false">IF($B804=-1, -1, VLOOKUP(C804,$T$1:$V$20, 2))</f>
        <v>11</v>
      </c>
      <c r="G804" s="16" t="n">
        <f aca="false">IF($B804=-1, -1, VLOOKUP(D804,$Y$1:$Z$22,2))</f>
        <v>8</v>
      </c>
      <c r="H804" s="16" t="str">
        <f aca="false">_xlfn.UNICHAR(((F804*21)+G804)*28+44032)</f>
        <v>오</v>
      </c>
      <c r="I804" s="16" t="n">
        <f aca="false">IF(B804=-1, 1, COUNTIF($A$2:$A$3000, H804))</f>
        <v>1</v>
      </c>
      <c r="J804" s="10" t="str">
        <f aca="false">_xlfn.CONCAT(A804, ",",H804,",",I804)</f>
        <v>머,오,1</v>
      </c>
      <c r="K804" s="16" t="n">
        <f aca="false">IF(B804=-1,-1,VLOOKUP(C804,$T$1:$V$20,3))</f>
        <v>9</v>
      </c>
      <c r="L804" s="16" t="n">
        <f aca="false">IF(B804=-1,-1,VLOOKUP(D804,$Y$1:$AA$22,3))</f>
        <v>4</v>
      </c>
      <c r="N804" s="10" t="str">
        <f aca="false">_xlfn.UNICHAR(((C804*21)+G804)*28+44032)</f>
        <v>모</v>
      </c>
      <c r="O804" s="10" t="str">
        <f aca="false">_xlfn.UNICHAR(((F804*21)+D804)*28+44032)</f>
        <v>어</v>
      </c>
      <c r="P804" s="12" t="n">
        <f aca="false">COUNTIF($A$2:$A$3000, N804) + COUNTIF($A$2:$A$3000, O804)</f>
        <v>2</v>
      </c>
      <c r="Q804" s="16" t="str">
        <f aca="false">IF(OR(B804=-1,I804=0, P804&lt;&gt;2), "albhed_dummy", _xlfn.CONCAT("albhed ", RIGHT("  " &amp; K804,2),", ", RIGHT("  " &amp; L804,2), ", " ,"""",H804,""", ", """",N804,""", ","""",O804,""""," ; ", A804))</f>
        <v>albhed  9,  4, "오", "모", "어" ; 머</v>
      </c>
    </row>
    <row r="805" customFormat="false" ht="17.9" hidden="false" customHeight="true" outlineLevel="0" collapsed="false">
      <c r="A805" s="16" t="s">
        <v>1676</v>
      </c>
      <c r="B805" s="16" t="n">
        <f aca="false">IF(_xlfn.UNICODE(A805)&lt;44032,-1,_xlfn.UNICODE(A805)-44032)</f>
        <v>3641</v>
      </c>
      <c r="C805" s="16" t="n">
        <f aca="false">IF(B805=-1,-1,INT((B805/28)/21))</f>
        <v>6</v>
      </c>
      <c r="D805" s="16" t="n">
        <f aca="false">IF(B805=-1, -1, MOD(INT(B805/28),21))</f>
        <v>4</v>
      </c>
      <c r="E805" s="16" t="n">
        <f aca="false">IF(B805=-1, -1, VLOOKUP(MOD(B805,28), $T$24:$U$52,2))</f>
        <v>1</v>
      </c>
      <c r="F805" s="16" t="n">
        <f aca="false">IF($B805=-1, -1, VLOOKUP(C805,$T$1:$V$20, 2))</f>
        <v>11</v>
      </c>
      <c r="G805" s="16" t="n">
        <f aca="false">IF($B805=-1, -1, VLOOKUP(D805,$Y$1:$Z$22,2))</f>
        <v>8</v>
      </c>
      <c r="H805" s="16" t="str">
        <f aca="false">_xlfn.UNICHAR(((F805*21)+G805)*28+44032)</f>
        <v>오</v>
      </c>
      <c r="I805" s="16" t="n">
        <f aca="false">IF(B805=-1, 1, COUNTIF($A$2:$A$3000, H805))</f>
        <v>1</v>
      </c>
      <c r="J805" s="10" t="str">
        <f aca="false">_xlfn.CONCAT(A805, ",",H805,",",I805)</f>
        <v>먹,오,1</v>
      </c>
      <c r="K805" s="16" t="n">
        <f aca="false">IF(B805=-1,-1,VLOOKUP(C805,$T$1:$V$20,3))</f>
        <v>9</v>
      </c>
      <c r="L805" s="16" t="n">
        <f aca="false">IF(B805=-1,-1,VLOOKUP(D805,$Y$1:$AA$22,3))</f>
        <v>4</v>
      </c>
      <c r="N805" s="10" t="str">
        <f aca="false">_xlfn.UNICHAR(((C805*21)+G805)*28+44032)</f>
        <v>모</v>
      </c>
      <c r="O805" s="10" t="str">
        <f aca="false">_xlfn.UNICHAR(((F805*21)+D805)*28+44032)</f>
        <v>어</v>
      </c>
      <c r="P805" s="12" t="n">
        <f aca="false">COUNTIF($A$2:$A$3000, N805) + COUNTIF($A$2:$A$3000, O805)</f>
        <v>2</v>
      </c>
      <c r="Q805" s="16" t="str">
        <f aca="false">IF(OR(B805=-1,I805=0, P805&lt;&gt;2), "albhed_dummy", _xlfn.CONCAT("albhed ", RIGHT("  " &amp; K805,2),", ", RIGHT("  " &amp; L805,2), ", " ,"""",H805,""", ", """",N805,""", ","""",O805,""""," ; ", A805))</f>
        <v>albhed  9,  4, "오", "모", "어" ; 먹</v>
      </c>
    </row>
    <row r="806" customFormat="false" ht="17.9" hidden="false" customHeight="true" outlineLevel="0" collapsed="false">
      <c r="A806" s="16" t="s">
        <v>1677</v>
      </c>
      <c r="B806" s="16" t="n">
        <f aca="false">IF(_xlfn.UNICODE(A806)&lt;44032,-1,_xlfn.UNICODE(A806)-44032)</f>
        <v>3644</v>
      </c>
      <c r="C806" s="16" t="n">
        <f aca="false">IF(B806=-1,-1,INT((B806/28)/21))</f>
        <v>6</v>
      </c>
      <c r="D806" s="16" t="n">
        <f aca="false">IF(B806=-1, -1, MOD(INT(B806/28),21))</f>
        <v>4</v>
      </c>
      <c r="E806" s="16" t="n">
        <f aca="false">IF(B806=-1, -1, VLOOKUP(MOD(B806,28), $T$24:$U$52,2))</f>
        <v>4</v>
      </c>
      <c r="F806" s="16" t="n">
        <f aca="false">IF($B806=-1, -1, VLOOKUP(C806,$T$1:$V$20, 2))</f>
        <v>11</v>
      </c>
      <c r="G806" s="16" t="n">
        <f aca="false">IF($B806=-1, -1, VLOOKUP(D806,$Y$1:$Z$22,2))</f>
        <v>8</v>
      </c>
      <c r="H806" s="16" t="str">
        <f aca="false">_xlfn.UNICHAR(((F806*21)+G806)*28+44032)</f>
        <v>오</v>
      </c>
      <c r="I806" s="16" t="n">
        <f aca="false">IF(B806=-1, 1, COUNTIF($A$2:$A$3000, H806))</f>
        <v>1</v>
      </c>
      <c r="J806" s="10" t="str">
        <f aca="false">_xlfn.CONCAT(A806, ",",H806,",",I806)</f>
        <v>먼,오,1</v>
      </c>
      <c r="K806" s="16" t="n">
        <f aca="false">IF(B806=-1,-1,VLOOKUP(C806,$T$1:$V$20,3))</f>
        <v>9</v>
      </c>
      <c r="L806" s="16" t="n">
        <f aca="false">IF(B806=-1,-1,VLOOKUP(D806,$Y$1:$AA$22,3))</f>
        <v>4</v>
      </c>
      <c r="N806" s="10" t="str">
        <f aca="false">_xlfn.UNICHAR(((C806*21)+G806)*28+44032)</f>
        <v>모</v>
      </c>
      <c r="O806" s="10" t="str">
        <f aca="false">_xlfn.UNICHAR(((F806*21)+D806)*28+44032)</f>
        <v>어</v>
      </c>
      <c r="P806" s="12" t="n">
        <f aca="false">COUNTIF($A$2:$A$3000, N806) + COUNTIF($A$2:$A$3000, O806)</f>
        <v>2</v>
      </c>
      <c r="Q806" s="16" t="str">
        <f aca="false">IF(OR(B806=-1,I806=0, P806&lt;&gt;2), "albhed_dummy", _xlfn.CONCAT("albhed ", RIGHT("  " &amp; K806,2),", ", RIGHT("  " &amp; L806,2), ", " ,"""",H806,""", ", """",N806,""", ","""",O806,""""," ; ", A806))</f>
        <v>albhed  9,  4, "오", "모", "어" ; 먼</v>
      </c>
    </row>
    <row r="807" customFormat="false" ht="17.9" hidden="false" customHeight="true" outlineLevel="0" collapsed="false">
      <c r="A807" s="16" t="s">
        <v>1678</v>
      </c>
      <c r="B807" s="16" t="n">
        <f aca="false">IF(_xlfn.UNICODE(A807)&lt;44032,-1,_xlfn.UNICODE(A807)-44032)</f>
        <v>3648</v>
      </c>
      <c r="C807" s="16" t="n">
        <f aca="false">IF(B807=-1,-1,INT((B807/28)/21))</f>
        <v>6</v>
      </c>
      <c r="D807" s="16" t="n">
        <f aca="false">IF(B807=-1, -1, MOD(INT(B807/28),21))</f>
        <v>4</v>
      </c>
      <c r="E807" s="16" t="n">
        <f aca="false">IF(B807=-1, -1, VLOOKUP(MOD(B807,28), $T$24:$U$52,2))</f>
        <v>8</v>
      </c>
      <c r="F807" s="16" t="n">
        <f aca="false">IF($B807=-1, -1, VLOOKUP(C807,$T$1:$V$20, 2))</f>
        <v>11</v>
      </c>
      <c r="G807" s="16" t="n">
        <f aca="false">IF($B807=-1, -1, VLOOKUP(D807,$Y$1:$Z$22,2))</f>
        <v>8</v>
      </c>
      <c r="H807" s="16" t="str">
        <f aca="false">_xlfn.UNICHAR(((F807*21)+G807)*28+44032)</f>
        <v>오</v>
      </c>
      <c r="I807" s="16" t="n">
        <f aca="false">IF(B807=-1, 1, COUNTIF($A$2:$A$3000, H807))</f>
        <v>1</v>
      </c>
      <c r="J807" s="10" t="str">
        <f aca="false">_xlfn.CONCAT(A807, ",",H807,",",I807)</f>
        <v>멀,오,1</v>
      </c>
      <c r="K807" s="16" t="n">
        <f aca="false">IF(B807=-1,-1,VLOOKUP(C807,$T$1:$V$20,3))</f>
        <v>9</v>
      </c>
      <c r="L807" s="16" t="n">
        <f aca="false">IF(B807=-1,-1,VLOOKUP(D807,$Y$1:$AA$22,3))</f>
        <v>4</v>
      </c>
      <c r="N807" s="10" t="str">
        <f aca="false">_xlfn.UNICHAR(((C807*21)+G807)*28+44032)</f>
        <v>모</v>
      </c>
      <c r="O807" s="10" t="str">
        <f aca="false">_xlfn.UNICHAR(((F807*21)+D807)*28+44032)</f>
        <v>어</v>
      </c>
      <c r="P807" s="12" t="n">
        <f aca="false">COUNTIF($A$2:$A$3000, N807) + COUNTIF($A$2:$A$3000, O807)</f>
        <v>2</v>
      </c>
      <c r="Q807" s="16" t="str">
        <f aca="false">IF(OR(B807=-1,I807=0, P807&lt;&gt;2), "albhed_dummy", _xlfn.CONCAT("albhed ", RIGHT("  " &amp; K807,2),", ", RIGHT("  " &amp; L807,2), ", " ,"""",H807,""", ", """",N807,""", ","""",O807,""""," ; ", A807))</f>
        <v>albhed  9,  4, "오", "모", "어" ; 멀</v>
      </c>
    </row>
    <row r="808" customFormat="false" ht="17.9" hidden="false" customHeight="true" outlineLevel="0" collapsed="false">
      <c r="A808" s="16" t="s">
        <v>1679</v>
      </c>
      <c r="B808" s="16" t="n">
        <f aca="false">IF(_xlfn.UNICODE(A808)&lt;44032,-1,_xlfn.UNICODE(A808)-44032)</f>
        <v>3650</v>
      </c>
      <c r="C808" s="16" t="n">
        <f aca="false">IF(B808=-1,-1,INT((B808/28)/21))</f>
        <v>6</v>
      </c>
      <c r="D808" s="16" t="n">
        <f aca="false">IF(B808=-1, -1, MOD(INT(B808/28),21))</f>
        <v>4</v>
      </c>
      <c r="E808" s="16" t="n">
        <f aca="false">IF(B808=-1, -1, VLOOKUP(MOD(B808,28), $T$24:$U$52,2))</f>
        <v>8</v>
      </c>
      <c r="F808" s="16" t="n">
        <f aca="false">IF($B808=-1, -1, VLOOKUP(C808,$T$1:$V$20, 2))</f>
        <v>11</v>
      </c>
      <c r="G808" s="16" t="n">
        <f aca="false">IF($B808=-1, -1, VLOOKUP(D808,$Y$1:$Z$22,2))</f>
        <v>8</v>
      </c>
      <c r="H808" s="16" t="str">
        <f aca="false">_xlfn.UNICHAR(((F808*21)+G808)*28+44032)</f>
        <v>오</v>
      </c>
      <c r="I808" s="16" t="n">
        <f aca="false">IF(B808=-1, 1, COUNTIF($A$2:$A$3000, H808))</f>
        <v>1</v>
      </c>
      <c r="J808" s="10" t="str">
        <f aca="false">_xlfn.CONCAT(A808, ",",H808,",",I808)</f>
        <v>멂,오,1</v>
      </c>
      <c r="K808" s="16" t="n">
        <f aca="false">IF(B808=-1,-1,VLOOKUP(C808,$T$1:$V$20,3))</f>
        <v>9</v>
      </c>
      <c r="L808" s="16" t="n">
        <f aca="false">IF(B808=-1,-1,VLOOKUP(D808,$Y$1:$AA$22,3))</f>
        <v>4</v>
      </c>
      <c r="N808" s="10" t="str">
        <f aca="false">_xlfn.UNICHAR(((C808*21)+G808)*28+44032)</f>
        <v>모</v>
      </c>
      <c r="O808" s="10" t="str">
        <f aca="false">_xlfn.UNICHAR(((F808*21)+D808)*28+44032)</f>
        <v>어</v>
      </c>
      <c r="P808" s="12" t="n">
        <f aca="false">COUNTIF($A$2:$A$3000, N808) + COUNTIF($A$2:$A$3000, O808)</f>
        <v>2</v>
      </c>
      <c r="Q808" s="16" t="str">
        <f aca="false">IF(OR(B808=-1,I808=0, P808&lt;&gt;2), "albhed_dummy", _xlfn.CONCAT("albhed ", RIGHT("  " &amp; K808,2),", ", RIGHT("  " &amp; L808,2), ", " ,"""",H808,""", ", """",N808,""", ","""",O808,""""," ; ", A808))</f>
        <v>albhed  9,  4, "오", "모", "어" ; 멂</v>
      </c>
    </row>
    <row r="809" customFormat="false" ht="17.9" hidden="false" customHeight="true" outlineLevel="0" collapsed="false">
      <c r="A809" s="16" t="s">
        <v>1680</v>
      </c>
      <c r="B809" s="16" t="n">
        <f aca="false">IF(_xlfn.UNICODE(A809)&lt;44032,-1,_xlfn.UNICODE(A809)-44032)</f>
        <v>3656</v>
      </c>
      <c r="C809" s="16" t="n">
        <f aca="false">IF(B809=-1,-1,INT((B809/28)/21))</f>
        <v>6</v>
      </c>
      <c r="D809" s="16" t="n">
        <f aca="false">IF(B809=-1, -1, MOD(INT(B809/28),21))</f>
        <v>4</v>
      </c>
      <c r="E809" s="16" t="n">
        <f aca="false">IF(B809=-1, -1, VLOOKUP(MOD(B809,28), $T$24:$U$52,2))</f>
        <v>16</v>
      </c>
      <c r="F809" s="16" t="n">
        <f aca="false">IF($B809=-1, -1, VLOOKUP(C809,$T$1:$V$20, 2))</f>
        <v>11</v>
      </c>
      <c r="G809" s="16" t="n">
        <f aca="false">IF($B809=-1, -1, VLOOKUP(D809,$Y$1:$Z$22,2))</f>
        <v>8</v>
      </c>
      <c r="H809" s="16" t="str">
        <f aca="false">_xlfn.UNICHAR(((F809*21)+G809)*28+44032)</f>
        <v>오</v>
      </c>
      <c r="I809" s="16" t="n">
        <f aca="false">IF(B809=-1, 1, COUNTIF($A$2:$A$3000, H809))</f>
        <v>1</v>
      </c>
      <c r="J809" s="10" t="str">
        <f aca="false">_xlfn.CONCAT(A809, ",",H809,",",I809)</f>
        <v>멈,오,1</v>
      </c>
      <c r="K809" s="16" t="n">
        <f aca="false">IF(B809=-1,-1,VLOOKUP(C809,$T$1:$V$20,3))</f>
        <v>9</v>
      </c>
      <c r="L809" s="16" t="n">
        <f aca="false">IF(B809=-1,-1,VLOOKUP(D809,$Y$1:$AA$22,3))</f>
        <v>4</v>
      </c>
      <c r="N809" s="10" t="str">
        <f aca="false">_xlfn.UNICHAR(((C809*21)+G809)*28+44032)</f>
        <v>모</v>
      </c>
      <c r="O809" s="10" t="str">
        <f aca="false">_xlfn.UNICHAR(((F809*21)+D809)*28+44032)</f>
        <v>어</v>
      </c>
      <c r="P809" s="12" t="n">
        <f aca="false">COUNTIF($A$2:$A$3000, N809) + COUNTIF($A$2:$A$3000, O809)</f>
        <v>2</v>
      </c>
      <c r="Q809" s="16" t="str">
        <f aca="false">IF(OR(B809=-1,I809=0, P809&lt;&gt;2), "albhed_dummy", _xlfn.CONCAT("albhed ", RIGHT("  " &amp; K809,2),", ", RIGHT("  " &amp; L809,2), ", " ,"""",H809,""", ", """",N809,""", ","""",O809,""""," ; ", A809))</f>
        <v>albhed  9,  4, "오", "모", "어" ; 멈</v>
      </c>
    </row>
    <row r="810" customFormat="false" ht="17.9" hidden="false" customHeight="true" outlineLevel="0" collapsed="false">
      <c r="A810" s="16" t="s">
        <v>1681</v>
      </c>
      <c r="B810" s="16" t="n">
        <f aca="false">IF(_xlfn.UNICODE(A810)&lt;44032,-1,_xlfn.UNICODE(A810)-44032)</f>
        <v>3657</v>
      </c>
      <c r="C810" s="16" t="n">
        <f aca="false">IF(B810=-1,-1,INT((B810/28)/21))</f>
        <v>6</v>
      </c>
      <c r="D810" s="16" t="n">
        <f aca="false">IF(B810=-1, -1, MOD(INT(B810/28),21))</f>
        <v>4</v>
      </c>
      <c r="E810" s="16" t="n">
        <f aca="false">IF(B810=-1, -1, VLOOKUP(MOD(B810,28), $T$24:$U$52,2))</f>
        <v>17</v>
      </c>
      <c r="F810" s="16" t="n">
        <f aca="false">IF($B810=-1, -1, VLOOKUP(C810,$T$1:$V$20, 2))</f>
        <v>11</v>
      </c>
      <c r="G810" s="16" t="n">
        <f aca="false">IF($B810=-1, -1, VLOOKUP(D810,$Y$1:$Z$22,2))</f>
        <v>8</v>
      </c>
      <c r="H810" s="16" t="str">
        <f aca="false">_xlfn.UNICHAR(((F810*21)+G810)*28+44032)</f>
        <v>오</v>
      </c>
      <c r="I810" s="16" t="n">
        <f aca="false">IF(B810=-1, 1, COUNTIF($A$2:$A$3000, H810))</f>
        <v>1</v>
      </c>
      <c r="J810" s="10" t="str">
        <f aca="false">_xlfn.CONCAT(A810, ",",H810,",",I810)</f>
        <v>멉,오,1</v>
      </c>
      <c r="K810" s="16" t="n">
        <f aca="false">IF(B810=-1,-1,VLOOKUP(C810,$T$1:$V$20,3))</f>
        <v>9</v>
      </c>
      <c r="L810" s="16" t="n">
        <f aca="false">IF(B810=-1,-1,VLOOKUP(D810,$Y$1:$AA$22,3))</f>
        <v>4</v>
      </c>
      <c r="N810" s="10" t="str">
        <f aca="false">_xlfn.UNICHAR(((C810*21)+G810)*28+44032)</f>
        <v>모</v>
      </c>
      <c r="O810" s="10" t="str">
        <f aca="false">_xlfn.UNICHAR(((F810*21)+D810)*28+44032)</f>
        <v>어</v>
      </c>
      <c r="P810" s="12" t="n">
        <f aca="false">COUNTIF($A$2:$A$3000, N810) + COUNTIF($A$2:$A$3000, O810)</f>
        <v>2</v>
      </c>
      <c r="Q810" s="16" t="str">
        <f aca="false">IF(OR(B810=-1,I810=0, P810&lt;&gt;2), "albhed_dummy", _xlfn.CONCAT("albhed ", RIGHT("  " &amp; K810,2),", ", RIGHT("  " &amp; L810,2), ", " ,"""",H810,""", ", """",N810,""", ","""",O810,""""," ; ", A810))</f>
        <v>albhed  9,  4, "오", "모", "어" ; 멉</v>
      </c>
    </row>
    <row r="811" customFormat="false" ht="17.9" hidden="false" customHeight="true" outlineLevel="0" collapsed="false">
      <c r="A811" s="16" t="s">
        <v>1682</v>
      </c>
      <c r="B811" s="16" t="n">
        <f aca="false">IF(_xlfn.UNICODE(A811)&lt;44032,-1,_xlfn.UNICODE(A811)-44032)</f>
        <v>3659</v>
      </c>
      <c r="C811" s="16" t="n">
        <f aca="false">IF(B811=-1,-1,INT((B811/28)/21))</f>
        <v>6</v>
      </c>
      <c r="D811" s="16" t="n">
        <f aca="false">IF(B811=-1, -1, MOD(INT(B811/28),21))</f>
        <v>4</v>
      </c>
      <c r="E811" s="16" t="n">
        <f aca="false">IF(B811=-1, -1, VLOOKUP(MOD(B811,28), $T$24:$U$52,2))</f>
        <v>19</v>
      </c>
      <c r="F811" s="16" t="n">
        <f aca="false">IF($B811=-1, -1, VLOOKUP(C811,$T$1:$V$20, 2))</f>
        <v>11</v>
      </c>
      <c r="G811" s="16" t="n">
        <f aca="false">IF($B811=-1, -1, VLOOKUP(D811,$Y$1:$Z$22,2))</f>
        <v>8</v>
      </c>
      <c r="H811" s="16" t="str">
        <f aca="false">_xlfn.UNICHAR(((F811*21)+G811)*28+44032)</f>
        <v>오</v>
      </c>
      <c r="I811" s="16" t="n">
        <f aca="false">IF(B811=-1, 1, COUNTIF($A$2:$A$3000, H811))</f>
        <v>1</v>
      </c>
      <c r="J811" s="10" t="str">
        <f aca="false">_xlfn.CONCAT(A811, ",",H811,",",I811)</f>
        <v>멋,오,1</v>
      </c>
      <c r="K811" s="16" t="n">
        <f aca="false">IF(B811=-1,-1,VLOOKUP(C811,$T$1:$V$20,3))</f>
        <v>9</v>
      </c>
      <c r="L811" s="16" t="n">
        <f aca="false">IF(B811=-1,-1,VLOOKUP(D811,$Y$1:$AA$22,3))</f>
        <v>4</v>
      </c>
      <c r="N811" s="10" t="str">
        <f aca="false">_xlfn.UNICHAR(((C811*21)+G811)*28+44032)</f>
        <v>모</v>
      </c>
      <c r="O811" s="10" t="str">
        <f aca="false">_xlfn.UNICHAR(((F811*21)+D811)*28+44032)</f>
        <v>어</v>
      </c>
      <c r="P811" s="12" t="n">
        <f aca="false">COUNTIF($A$2:$A$3000, N811) + COUNTIF($A$2:$A$3000, O811)</f>
        <v>2</v>
      </c>
      <c r="Q811" s="16" t="str">
        <f aca="false">IF(OR(B811=-1,I811=0, P811&lt;&gt;2), "albhed_dummy", _xlfn.CONCAT("albhed ", RIGHT("  " &amp; K811,2),", ", RIGHT("  " &amp; L811,2), ", " ,"""",H811,""", ", """",N811,""", ","""",O811,""""," ; ", A811))</f>
        <v>albhed  9,  4, "오", "모", "어" ; 멋</v>
      </c>
    </row>
    <row r="812" customFormat="false" ht="17.9" hidden="false" customHeight="true" outlineLevel="0" collapsed="false">
      <c r="A812" s="16" t="s">
        <v>1683</v>
      </c>
      <c r="B812" s="16" t="n">
        <f aca="false">IF(_xlfn.UNICODE(A812)&lt;44032,-1,_xlfn.UNICODE(A812)-44032)</f>
        <v>3661</v>
      </c>
      <c r="C812" s="16" t="n">
        <f aca="false">IF(B812=-1,-1,INT((B812/28)/21))</f>
        <v>6</v>
      </c>
      <c r="D812" s="16" t="n">
        <f aca="false">IF(B812=-1, -1, MOD(INT(B812/28),21))</f>
        <v>4</v>
      </c>
      <c r="E812" s="16" t="n">
        <f aca="false">IF(B812=-1, -1, VLOOKUP(MOD(B812,28), $T$24:$U$52,2))</f>
        <v>21</v>
      </c>
      <c r="F812" s="16" t="n">
        <f aca="false">IF($B812=-1, -1, VLOOKUP(C812,$T$1:$V$20, 2))</f>
        <v>11</v>
      </c>
      <c r="G812" s="16" t="n">
        <f aca="false">IF($B812=-1, -1, VLOOKUP(D812,$Y$1:$Z$22,2))</f>
        <v>8</v>
      </c>
      <c r="H812" s="16" t="str">
        <f aca="false">_xlfn.UNICHAR(((F812*21)+G812)*28+44032)</f>
        <v>오</v>
      </c>
      <c r="I812" s="16" t="n">
        <f aca="false">IF(B812=-1, 1, COUNTIF($A$2:$A$3000, H812))</f>
        <v>1</v>
      </c>
      <c r="J812" s="10" t="str">
        <f aca="false">_xlfn.CONCAT(A812, ",",H812,",",I812)</f>
        <v>멍,오,1</v>
      </c>
      <c r="K812" s="16" t="n">
        <f aca="false">IF(B812=-1,-1,VLOOKUP(C812,$T$1:$V$20,3))</f>
        <v>9</v>
      </c>
      <c r="L812" s="16" t="n">
        <f aca="false">IF(B812=-1,-1,VLOOKUP(D812,$Y$1:$AA$22,3))</f>
        <v>4</v>
      </c>
      <c r="N812" s="10" t="str">
        <f aca="false">_xlfn.UNICHAR(((C812*21)+G812)*28+44032)</f>
        <v>모</v>
      </c>
      <c r="O812" s="10" t="str">
        <f aca="false">_xlfn.UNICHAR(((F812*21)+D812)*28+44032)</f>
        <v>어</v>
      </c>
      <c r="P812" s="12" t="n">
        <f aca="false">COUNTIF($A$2:$A$3000, N812) + COUNTIF($A$2:$A$3000, O812)</f>
        <v>2</v>
      </c>
      <c r="Q812" s="16" t="str">
        <f aca="false">IF(OR(B812=-1,I812=0, P812&lt;&gt;2), "albhed_dummy", _xlfn.CONCAT("albhed ", RIGHT("  " &amp; K812,2),", ", RIGHT("  " &amp; L812,2), ", " ,"""",H812,""", ", """",N812,""", ","""",O812,""""," ; ", A812))</f>
        <v>albhed  9,  4, "오", "모", "어" ; 멍</v>
      </c>
    </row>
    <row r="813" customFormat="false" ht="17.9" hidden="false" customHeight="true" outlineLevel="0" collapsed="false">
      <c r="A813" s="16" t="s">
        <v>1684</v>
      </c>
      <c r="B813" s="16" t="n">
        <f aca="false">IF(_xlfn.UNICODE(A813)&lt;44032,-1,_xlfn.UNICODE(A813)-44032)</f>
        <v>3662</v>
      </c>
      <c r="C813" s="16" t="n">
        <f aca="false">IF(B813=-1,-1,INT((B813/28)/21))</f>
        <v>6</v>
      </c>
      <c r="D813" s="16" t="n">
        <f aca="false">IF(B813=-1, -1, MOD(INT(B813/28),21))</f>
        <v>4</v>
      </c>
      <c r="E813" s="16" t="n">
        <f aca="false">IF(B813=-1, -1, VLOOKUP(MOD(B813,28), $T$24:$U$52,2))</f>
        <v>19</v>
      </c>
      <c r="F813" s="16" t="n">
        <f aca="false">IF($B813=-1, -1, VLOOKUP(C813,$T$1:$V$20, 2))</f>
        <v>11</v>
      </c>
      <c r="G813" s="16" t="n">
        <f aca="false">IF($B813=-1, -1, VLOOKUP(D813,$Y$1:$Z$22,2))</f>
        <v>8</v>
      </c>
      <c r="H813" s="16" t="str">
        <f aca="false">_xlfn.UNICHAR(((F813*21)+G813)*28+44032)</f>
        <v>오</v>
      </c>
      <c r="I813" s="16" t="n">
        <f aca="false">IF(B813=-1, 1, COUNTIF($A$2:$A$3000, H813))</f>
        <v>1</v>
      </c>
      <c r="J813" s="10" t="str">
        <f aca="false">_xlfn.CONCAT(A813, ",",H813,",",I813)</f>
        <v>멎,오,1</v>
      </c>
      <c r="K813" s="16" t="n">
        <f aca="false">IF(B813=-1,-1,VLOOKUP(C813,$T$1:$V$20,3))</f>
        <v>9</v>
      </c>
      <c r="L813" s="16" t="n">
        <f aca="false">IF(B813=-1,-1,VLOOKUP(D813,$Y$1:$AA$22,3))</f>
        <v>4</v>
      </c>
      <c r="N813" s="10" t="str">
        <f aca="false">_xlfn.UNICHAR(((C813*21)+G813)*28+44032)</f>
        <v>모</v>
      </c>
      <c r="O813" s="10" t="str">
        <f aca="false">_xlfn.UNICHAR(((F813*21)+D813)*28+44032)</f>
        <v>어</v>
      </c>
      <c r="P813" s="12" t="n">
        <f aca="false">COUNTIF($A$2:$A$3000, N813) + COUNTIF($A$2:$A$3000, O813)</f>
        <v>2</v>
      </c>
      <c r="Q813" s="16" t="str">
        <f aca="false">IF(OR(B813=-1,I813=0, P813&lt;&gt;2), "albhed_dummy", _xlfn.CONCAT("albhed ", RIGHT("  " &amp; K813,2),", ", RIGHT("  " &amp; L813,2), ", " ,"""",H813,""", ", """",N813,""", ","""",O813,""""," ; ", A813))</f>
        <v>albhed  9,  4, "오", "모", "어" ; 멎</v>
      </c>
    </row>
    <row r="814" customFormat="false" ht="17.9" hidden="false" customHeight="true" outlineLevel="0" collapsed="false">
      <c r="A814" s="16" t="s">
        <v>1685</v>
      </c>
      <c r="B814" s="16" t="n">
        <f aca="false">IF(_xlfn.UNICODE(A814)&lt;44032,-1,_xlfn.UNICODE(A814)-44032)</f>
        <v>3667</v>
      </c>
      <c r="C814" s="16" t="n">
        <f aca="false">IF(B814=-1,-1,INT((B814/28)/21))</f>
        <v>6</v>
      </c>
      <c r="D814" s="16" t="n">
        <f aca="false">IF(B814=-1, -1, MOD(INT(B814/28),21))</f>
        <v>4</v>
      </c>
      <c r="E814" s="16" t="n">
        <f aca="false">IF(B814=-1, -1, VLOOKUP(MOD(B814,28), $T$24:$U$52,2))</f>
        <v>19</v>
      </c>
      <c r="F814" s="16" t="n">
        <f aca="false">IF($B814=-1, -1, VLOOKUP(C814,$T$1:$V$20, 2))</f>
        <v>11</v>
      </c>
      <c r="G814" s="16" t="n">
        <f aca="false">IF($B814=-1, -1, VLOOKUP(D814,$Y$1:$Z$22,2))</f>
        <v>8</v>
      </c>
      <c r="H814" s="16" t="str">
        <f aca="false">_xlfn.UNICHAR(((F814*21)+G814)*28+44032)</f>
        <v>오</v>
      </c>
      <c r="I814" s="16" t="n">
        <f aca="false">IF(B814=-1, 1, COUNTIF($A$2:$A$3000, H814))</f>
        <v>1</v>
      </c>
      <c r="J814" s="10" t="str">
        <f aca="false">_xlfn.CONCAT(A814, ",",H814,",",I814)</f>
        <v>멓,오,1</v>
      </c>
      <c r="K814" s="16" t="n">
        <f aca="false">IF(B814=-1,-1,VLOOKUP(C814,$T$1:$V$20,3))</f>
        <v>9</v>
      </c>
      <c r="L814" s="16" t="n">
        <f aca="false">IF(B814=-1,-1,VLOOKUP(D814,$Y$1:$AA$22,3))</f>
        <v>4</v>
      </c>
      <c r="N814" s="10" t="str">
        <f aca="false">_xlfn.UNICHAR(((C814*21)+G814)*28+44032)</f>
        <v>모</v>
      </c>
      <c r="O814" s="10" t="str">
        <f aca="false">_xlfn.UNICHAR(((F814*21)+D814)*28+44032)</f>
        <v>어</v>
      </c>
      <c r="P814" s="12" t="n">
        <f aca="false">COUNTIF($A$2:$A$3000, N814) + COUNTIF($A$2:$A$3000, O814)</f>
        <v>2</v>
      </c>
      <c r="Q814" s="16" t="str">
        <f aca="false">IF(OR(B814=-1,I814=0, P814&lt;&gt;2), "albhed_dummy", _xlfn.CONCAT("albhed ", RIGHT("  " &amp; K814,2),", ", RIGHT("  " &amp; L814,2), ", " ,"""",H814,""", ", """",N814,""", ","""",O814,""""," ; ", A814))</f>
        <v>albhed  9,  4, "오", "모", "어" ; 멓</v>
      </c>
    </row>
    <row r="815" customFormat="false" ht="17.9" hidden="false" customHeight="true" outlineLevel="0" collapsed="false">
      <c r="A815" s="16" t="s">
        <v>1686</v>
      </c>
      <c r="B815" s="16" t="n">
        <f aca="false">IF(_xlfn.UNICODE(A815)&lt;44032,-1,_xlfn.UNICODE(A815)-44032)</f>
        <v>3668</v>
      </c>
      <c r="C815" s="16" t="n">
        <f aca="false">IF(B815=-1,-1,INT((B815/28)/21))</f>
        <v>6</v>
      </c>
      <c r="D815" s="16" t="n">
        <f aca="false">IF(B815=-1, -1, MOD(INT(B815/28),21))</f>
        <v>5</v>
      </c>
      <c r="E815" s="16" t="n">
        <f aca="false">IF(B815=-1, -1, VLOOKUP(MOD(B815,28), $T$24:$U$52,2))</f>
        <v>0</v>
      </c>
      <c r="F815" s="16" t="n">
        <f aca="false">IF($B815=-1, -1, VLOOKUP(C815,$T$1:$V$20, 2))</f>
        <v>11</v>
      </c>
      <c r="G815" s="16" t="n">
        <f aca="false">IF($B815=-1, -1, VLOOKUP(D815,$Y$1:$Z$22,2))</f>
        <v>18</v>
      </c>
      <c r="H815" s="16" t="str">
        <f aca="false">_xlfn.UNICHAR(((F815*21)+G815)*28+44032)</f>
        <v>으</v>
      </c>
      <c r="I815" s="16" t="n">
        <f aca="false">IF(B815=-1, 1, COUNTIF($A$2:$A$3000, H815))</f>
        <v>1</v>
      </c>
      <c r="J815" s="10" t="str">
        <f aca="false">_xlfn.CONCAT(A815, ",",H815,",",I815)</f>
        <v>메,으,1</v>
      </c>
      <c r="K815" s="16" t="n">
        <f aca="false">IF(B815=-1,-1,VLOOKUP(C815,$T$1:$V$20,3))</f>
        <v>9</v>
      </c>
      <c r="L815" s="16" t="n">
        <f aca="false">IF(B815=-1,-1,VLOOKUP(D815,$Y$1:$AA$22,3))</f>
        <v>10</v>
      </c>
      <c r="N815" s="10" t="str">
        <f aca="false">_xlfn.UNICHAR(((C815*21)+G815)*28+44032)</f>
        <v>므</v>
      </c>
      <c r="O815" s="10" t="str">
        <f aca="false">_xlfn.UNICHAR(((F815*21)+D815)*28+44032)</f>
        <v>에</v>
      </c>
      <c r="P815" s="12" t="n">
        <f aca="false">COUNTIF($A$2:$A$3000, N815) + COUNTIF($A$2:$A$3000, O815)</f>
        <v>2</v>
      </c>
      <c r="Q815" s="16" t="str">
        <f aca="false">IF(OR(B815=-1,I815=0, P815&lt;&gt;2), "albhed_dummy", _xlfn.CONCAT("albhed ", RIGHT("  " &amp; K815,2),", ", RIGHT("  " &amp; L815,2), ", " ,"""",H815,""", ", """",N815,""", ","""",O815,""""," ; ", A815))</f>
        <v>albhed  9, 10, "으", "므", "에" ; 메</v>
      </c>
    </row>
    <row r="816" customFormat="false" ht="17.9" hidden="false" customHeight="true" outlineLevel="0" collapsed="false">
      <c r="A816" s="16" t="s">
        <v>1687</v>
      </c>
      <c r="B816" s="16" t="n">
        <f aca="false">IF(_xlfn.UNICODE(A816)&lt;44032,-1,_xlfn.UNICODE(A816)-44032)</f>
        <v>3669</v>
      </c>
      <c r="C816" s="16" t="n">
        <f aca="false">IF(B816=-1,-1,INT((B816/28)/21))</f>
        <v>6</v>
      </c>
      <c r="D816" s="16" t="n">
        <f aca="false">IF(B816=-1, -1, MOD(INT(B816/28),21))</f>
        <v>5</v>
      </c>
      <c r="E816" s="16" t="n">
        <f aca="false">IF(B816=-1, -1, VLOOKUP(MOD(B816,28), $T$24:$U$52,2))</f>
        <v>1</v>
      </c>
      <c r="F816" s="16" t="n">
        <f aca="false">IF($B816=-1, -1, VLOOKUP(C816,$T$1:$V$20, 2))</f>
        <v>11</v>
      </c>
      <c r="G816" s="16" t="n">
        <f aca="false">IF($B816=-1, -1, VLOOKUP(D816,$Y$1:$Z$22,2))</f>
        <v>18</v>
      </c>
      <c r="H816" s="16" t="str">
        <f aca="false">_xlfn.UNICHAR(((F816*21)+G816)*28+44032)</f>
        <v>으</v>
      </c>
      <c r="I816" s="16" t="n">
        <f aca="false">IF(B816=-1, 1, COUNTIF($A$2:$A$3000, H816))</f>
        <v>1</v>
      </c>
      <c r="J816" s="10" t="str">
        <f aca="false">_xlfn.CONCAT(A816, ",",H816,",",I816)</f>
        <v>멕,으,1</v>
      </c>
      <c r="K816" s="16" t="n">
        <f aca="false">IF(B816=-1,-1,VLOOKUP(C816,$T$1:$V$20,3))</f>
        <v>9</v>
      </c>
      <c r="L816" s="16" t="n">
        <f aca="false">IF(B816=-1,-1,VLOOKUP(D816,$Y$1:$AA$22,3))</f>
        <v>10</v>
      </c>
      <c r="N816" s="10" t="str">
        <f aca="false">_xlfn.UNICHAR(((C816*21)+G816)*28+44032)</f>
        <v>므</v>
      </c>
      <c r="O816" s="10" t="str">
        <f aca="false">_xlfn.UNICHAR(((F816*21)+D816)*28+44032)</f>
        <v>에</v>
      </c>
      <c r="P816" s="12" t="n">
        <f aca="false">COUNTIF($A$2:$A$3000, N816) + COUNTIF($A$2:$A$3000, O816)</f>
        <v>2</v>
      </c>
      <c r="Q816" s="16" t="str">
        <f aca="false">IF(OR(B816=-1,I816=0, P816&lt;&gt;2), "albhed_dummy", _xlfn.CONCAT("albhed ", RIGHT("  " &amp; K816,2),", ", RIGHT("  " &amp; L816,2), ", " ,"""",H816,""", ", """",N816,""", ","""",O816,""""," ; ", A816))</f>
        <v>albhed  9, 10, "으", "므", "에" ; 멕</v>
      </c>
    </row>
    <row r="817" customFormat="false" ht="17.9" hidden="false" customHeight="true" outlineLevel="0" collapsed="false">
      <c r="A817" s="16" t="s">
        <v>1688</v>
      </c>
      <c r="B817" s="16" t="n">
        <f aca="false">IF(_xlfn.UNICODE(A817)&lt;44032,-1,_xlfn.UNICODE(A817)-44032)</f>
        <v>3672</v>
      </c>
      <c r="C817" s="16" t="n">
        <f aca="false">IF(B817=-1,-1,INT((B817/28)/21))</f>
        <v>6</v>
      </c>
      <c r="D817" s="16" t="n">
        <f aca="false">IF(B817=-1, -1, MOD(INT(B817/28),21))</f>
        <v>5</v>
      </c>
      <c r="E817" s="16" t="n">
        <f aca="false">IF(B817=-1, -1, VLOOKUP(MOD(B817,28), $T$24:$U$52,2))</f>
        <v>4</v>
      </c>
      <c r="F817" s="16" t="n">
        <f aca="false">IF($B817=-1, -1, VLOOKUP(C817,$T$1:$V$20, 2))</f>
        <v>11</v>
      </c>
      <c r="G817" s="16" t="n">
        <f aca="false">IF($B817=-1, -1, VLOOKUP(D817,$Y$1:$Z$22,2))</f>
        <v>18</v>
      </c>
      <c r="H817" s="16" t="str">
        <f aca="false">_xlfn.UNICHAR(((F817*21)+G817)*28+44032)</f>
        <v>으</v>
      </c>
      <c r="I817" s="16" t="n">
        <f aca="false">IF(B817=-1, 1, COUNTIF($A$2:$A$3000, H817))</f>
        <v>1</v>
      </c>
      <c r="J817" s="10" t="str">
        <f aca="false">_xlfn.CONCAT(A817, ",",H817,",",I817)</f>
        <v>멘,으,1</v>
      </c>
      <c r="K817" s="16" t="n">
        <f aca="false">IF(B817=-1,-1,VLOOKUP(C817,$T$1:$V$20,3))</f>
        <v>9</v>
      </c>
      <c r="L817" s="16" t="n">
        <f aca="false">IF(B817=-1,-1,VLOOKUP(D817,$Y$1:$AA$22,3))</f>
        <v>10</v>
      </c>
      <c r="N817" s="10" t="str">
        <f aca="false">_xlfn.UNICHAR(((C817*21)+G817)*28+44032)</f>
        <v>므</v>
      </c>
      <c r="O817" s="10" t="str">
        <f aca="false">_xlfn.UNICHAR(((F817*21)+D817)*28+44032)</f>
        <v>에</v>
      </c>
      <c r="P817" s="12" t="n">
        <f aca="false">COUNTIF($A$2:$A$3000, N817) + COUNTIF($A$2:$A$3000, O817)</f>
        <v>2</v>
      </c>
      <c r="Q817" s="16" t="str">
        <f aca="false">IF(OR(B817=-1,I817=0, P817&lt;&gt;2), "albhed_dummy", _xlfn.CONCAT("albhed ", RIGHT("  " &amp; K817,2),", ", RIGHT("  " &amp; L817,2), ", " ,"""",H817,""", ", """",N817,""", ","""",O817,""""," ; ", A817))</f>
        <v>albhed  9, 10, "으", "므", "에" ; 멘</v>
      </c>
    </row>
    <row r="818" customFormat="false" ht="17.9" hidden="false" customHeight="true" outlineLevel="0" collapsed="false">
      <c r="A818" s="16" t="s">
        <v>1689</v>
      </c>
      <c r="B818" s="16" t="n">
        <f aca="false">IF(_xlfn.UNICODE(A818)&lt;44032,-1,_xlfn.UNICODE(A818)-44032)</f>
        <v>3676</v>
      </c>
      <c r="C818" s="16" t="n">
        <f aca="false">IF(B818=-1,-1,INT((B818/28)/21))</f>
        <v>6</v>
      </c>
      <c r="D818" s="16" t="n">
        <f aca="false">IF(B818=-1, -1, MOD(INT(B818/28),21))</f>
        <v>5</v>
      </c>
      <c r="E818" s="16" t="n">
        <f aca="false">IF(B818=-1, -1, VLOOKUP(MOD(B818,28), $T$24:$U$52,2))</f>
        <v>8</v>
      </c>
      <c r="F818" s="16" t="n">
        <f aca="false">IF($B818=-1, -1, VLOOKUP(C818,$T$1:$V$20, 2))</f>
        <v>11</v>
      </c>
      <c r="G818" s="16" t="n">
        <f aca="false">IF($B818=-1, -1, VLOOKUP(D818,$Y$1:$Z$22,2))</f>
        <v>18</v>
      </c>
      <c r="H818" s="16" t="str">
        <f aca="false">_xlfn.UNICHAR(((F818*21)+G818)*28+44032)</f>
        <v>으</v>
      </c>
      <c r="I818" s="16" t="n">
        <f aca="false">IF(B818=-1, 1, COUNTIF($A$2:$A$3000, H818))</f>
        <v>1</v>
      </c>
      <c r="J818" s="10" t="str">
        <f aca="false">_xlfn.CONCAT(A818, ",",H818,",",I818)</f>
        <v>멜,으,1</v>
      </c>
      <c r="K818" s="16" t="n">
        <f aca="false">IF(B818=-1,-1,VLOOKUP(C818,$T$1:$V$20,3))</f>
        <v>9</v>
      </c>
      <c r="L818" s="16" t="n">
        <f aca="false">IF(B818=-1,-1,VLOOKUP(D818,$Y$1:$AA$22,3))</f>
        <v>10</v>
      </c>
      <c r="N818" s="10" t="str">
        <f aca="false">_xlfn.UNICHAR(((C818*21)+G818)*28+44032)</f>
        <v>므</v>
      </c>
      <c r="O818" s="10" t="str">
        <f aca="false">_xlfn.UNICHAR(((F818*21)+D818)*28+44032)</f>
        <v>에</v>
      </c>
      <c r="P818" s="12" t="n">
        <f aca="false">COUNTIF($A$2:$A$3000, N818) + COUNTIF($A$2:$A$3000, O818)</f>
        <v>2</v>
      </c>
      <c r="Q818" s="16" t="str">
        <f aca="false">IF(OR(B818=-1,I818=0, P818&lt;&gt;2), "albhed_dummy", _xlfn.CONCAT("albhed ", RIGHT("  " &amp; K818,2),", ", RIGHT("  " &amp; L818,2), ", " ,"""",H818,""", ", """",N818,""", ","""",O818,""""," ; ", A818))</f>
        <v>albhed  9, 10, "으", "므", "에" ; 멜</v>
      </c>
    </row>
    <row r="819" customFormat="false" ht="17.9" hidden="false" customHeight="true" outlineLevel="0" collapsed="false">
      <c r="A819" s="16" t="s">
        <v>1690</v>
      </c>
      <c r="B819" s="16" t="n">
        <f aca="false">IF(_xlfn.UNICODE(A819)&lt;44032,-1,_xlfn.UNICODE(A819)-44032)</f>
        <v>3684</v>
      </c>
      <c r="C819" s="16" t="n">
        <f aca="false">IF(B819=-1,-1,INT((B819/28)/21))</f>
        <v>6</v>
      </c>
      <c r="D819" s="16" t="n">
        <f aca="false">IF(B819=-1, -1, MOD(INT(B819/28),21))</f>
        <v>5</v>
      </c>
      <c r="E819" s="16" t="n">
        <f aca="false">IF(B819=-1, -1, VLOOKUP(MOD(B819,28), $T$24:$U$52,2))</f>
        <v>16</v>
      </c>
      <c r="F819" s="16" t="n">
        <f aca="false">IF($B819=-1, -1, VLOOKUP(C819,$T$1:$V$20, 2))</f>
        <v>11</v>
      </c>
      <c r="G819" s="16" t="n">
        <f aca="false">IF($B819=-1, -1, VLOOKUP(D819,$Y$1:$Z$22,2))</f>
        <v>18</v>
      </c>
      <c r="H819" s="16" t="str">
        <f aca="false">_xlfn.UNICHAR(((F819*21)+G819)*28+44032)</f>
        <v>으</v>
      </c>
      <c r="I819" s="16" t="n">
        <f aca="false">IF(B819=-1, 1, COUNTIF($A$2:$A$3000, H819))</f>
        <v>1</v>
      </c>
      <c r="J819" s="10" t="str">
        <f aca="false">_xlfn.CONCAT(A819, ",",H819,",",I819)</f>
        <v>멤,으,1</v>
      </c>
      <c r="K819" s="16" t="n">
        <f aca="false">IF(B819=-1,-1,VLOOKUP(C819,$T$1:$V$20,3))</f>
        <v>9</v>
      </c>
      <c r="L819" s="16" t="n">
        <f aca="false">IF(B819=-1,-1,VLOOKUP(D819,$Y$1:$AA$22,3))</f>
        <v>10</v>
      </c>
      <c r="N819" s="10" t="str">
        <f aca="false">_xlfn.UNICHAR(((C819*21)+G819)*28+44032)</f>
        <v>므</v>
      </c>
      <c r="O819" s="10" t="str">
        <f aca="false">_xlfn.UNICHAR(((F819*21)+D819)*28+44032)</f>
        <v>에</v>
      </c>
      <c r="P819" s="12" t="n">
        <f aca="false">COUNTIF($A$2:$A$3000, N819) + COUNTIF($A$2:$A$3000, O819)</f>
        <v>2</v>
      </c>
      <c r="Q819" s="16" t="str">
        <f aca="false">IF(OR(B819=-1,I819=0, P819&lt;&gt;2), "albhed_dummy", _xlfn.CONCAT("albhed ", RIGHT("  " &amp; K819,2),", ", RIGHT("  " &amp; L819,2), ", " ,"""",H819,""", ", """",N819,""", ","""",O819,""""," ; ", A819))</f>
        <v>albhed  9, 10, "으", "므", "에" ; 멤</v>
      </c>
    </row>
    <row r="820" customFormat="false" ht="17.9" hidden="false" customHeight="true" outlineLevel="0" collapsed="false">
      <c r="A820" s="16" t="s">
        <v>1691</v>
      </c>
      <c r="B820" s="16" t="n">
        <f aca="false">IF(_xlfn.UNICODE(A820)&lt;44032,-1,_xlfn.UNICODE(A820)-44032)</f>
        <v>3685</v>
      </c>
      <c r="C820" s="16" t="n">
        <f aca="false">IF(B820=-1,-1,INT((B820/28)/21))</f>
        <v>6</v>
      </c>
      <c r="D820" s="16" t="n">
        <f aca="false">IF(B820=-1, -1, MOD(INT(B820/28),21))</f>
        <v>5</v>
      </c>
      <c r="E820" s="16" t="n">
        <f aca="false">IF(B820=-1, -1, VLOOKUP(MOD(B820,28), $T$24:$U$52,2))</f>
        <v>17</v>
      </c>
      <c r="F820" s="16" t="n">
        <f aca="false">IF($B820=-1, -1, VLOOKUP(C820,$T$1:$V$20, 2))</f>
        <v>11</v>
      </c>
      <c r="G820" s="16" t="n">
        <f aca="false">IF($B820=-1, -1, VLOOKUP(D820,$Y$1:$Z$22,2))</f>
        <v>18</v>
      </c>
      <c r="H820" s="16" t="str">
        <f aca="false">_xlfn.UNICHAR(((F820*21)+G820)*28+44032)</f>
        <v>으</v>
      </c>
      <c r="I820" s="16" t="n">
        <f aca="false">IF(B820=-1, 1, COUNTIF($A$2:$A$3000, H820))</f>
        <v>1</v>
      </c>
      <c r="J820" s="10" t="str">
        <f aca="false">_xlfn.CONCAT(A820, ",",H820,",",I820)</f>
        <v>멥,으,1</v>
      </c>
      <c r="K820" s="16" t="n">
        <f aca="false">IF(B820=-1,-1,VLOOKUP(C820,$T$1:$V$20,3))</f>
        <v>9</v>
      </c>
      <c r="L820" s="16" t="n">
        <f aca="false">IF(B820=-1,-1,VLOOKUP(D820,$Y$1:$AA$22,3))</f>
        <v>10</v>
      </c>
      <c r="N820" s="10" t="str">
        <f aca="false">_xlfn.UNICHAR(((C820*21)+G820)*28+44032)</f>
        <v>므</v>
      </c>
      <c r="O820" s="10" t="str">
        <f aca="false">_xlfn.UNICHAR(((F820*21)+D820)*28+44032)</f>
        <v>에</v>
      </c>
      <c r="P820" s="12" t="n">
        <f aca="false">COUNTIF($A$2:$A$3000, N820) + COUNTIF($A$2:$A$3000, O820)</f>
        <v>2</v>
      </c>
      <c r="Q820" s="16" t="str">
        <f aca="false">IF(OR(B820=-1,I820=0, P820&lt;&gt;2), "albhed_dummy", _xlfn.CONCAT("albhed ", RIGHT("  " &amp; K820,2),", ", RIGHT("  " &amp; L820,2), ", " ,"""",H820,""", ", """",N820,""", ","""",O820,""""," ; ", A820))</f>
        <v>albhed  9, 10, "으", "므", "에" ; 멥</v>
      </c>
    </row>
    <row r="821" customFormat="false" ht="17.9" hidden="false" customHeight="true" outlineLevel="0" collapsed="false">
      <c r="A821" s="16" t="s">
        <v>1692</v>
      </c>
      <c r="B821" s="16" t="n">
        <f aca="false">IF(_xlfn.UNICODE(A821)&lt;44032,-1,_xlfn.UNICODE(A821)-44032)</f>
        <v>3687</v>
      </c>
      <c r="C821" s="16" t="n">
        <f aca="false">IF(B821=-1,-1,INT((B821/28)/21))</f>
        <v>6</v>
      </c>
      <c r="D821" s="16" t="n">
        <f aca="false">IF(B821=-1, -1, MOD(INT(B821/28),21))</f>
        <v>5</v>
      </c>
      <c r="E821" s="16" t="n">
        <f aca="false">IF(B821=-1, -1, VLOOKUP(MOD(B821,28), $T$24:$U$52,2))</f>
        <v>19</v>
      </c>
      <c r="F821" s="16" t="n">
        <f aca="false">IF($B821=-1, -1, VLOOKUP(C821,$T$1:$V$20, 2))</f>
        <v>11</v>
      </c>
      <c r="G821" s="16" t="n">
        <f aca="false">IF($B821=-1, -1, VLOOKUP(D821,$Y$1:$Z$22,2))</f>
        <v>18</v>
      </c>
      <c r="H821" s="16" t="str">
        <f aca="false">_xlfn.UNICHAR(((F821*21)+G821)*28+44032)</f>
        <v>으</v>
      </c>
      <c r="I821" s="16" t="n">
        <f aca="false">IF(B821=-1, 1, COUNTIF($A$2:$A$3000, H821))</f>
        <v>1</v>
      </c>
      <c r="J821" s="10" t="str">
        <f aca="false">_xlfn.CONCAT(A821, ",",H821,",",I821)</f>
        <v>멧,으,1</v>
      </c>
      <c r="K821" s="16" t="n">
        <f aca="false">IF(B821=-1,-1,VLOOKUP(C821,$T$1:$V$20,3))</f>
        <v>9</v>
      </c>
      <c r="L821" s="16" t="n">
        <f aca="false">IF(B821=-1,-1,VLOOKUP(D821,$Y$1:$AA$22,3))</f>
        <v>10</v>
      </c>
      <c r="N821" s="10" t="str">
        <f aca="false">_xlfn.UNICHAR(((C821*21)+G821)*28+44032)</f>
        <v>므</v>
      </c>
      <c r="O821" s="10" t="str">
        <f aca="false">_xlfn.UNICHAR(((F821*21)+D821)*28+44032)</f>
        <v>에</v>
      </c>
      <c r="P821" s="12" t="n">
        <f aca="false">COUNTIF($A$2:$A$3000, N821) + COUNTIF($A$2:$A$3000, O821)</f>
        <v>2</v>
      </c>
      <c r="Q821" s="16" t="str">
        <f aca="false">IF(OR(B821=-1,I821=0, P821&lt;&gt;2), "albhed_dummy", _xlfn.CONCAT("albhed ", RIGHT("  " &amp; K821,2),", ", RIGHT("  " &amp; L821,2), ", " ,"""",H821,""", ", """",N821,""", ","""",O821,""""," ; ", A821))</f>
        <v>albhed  9, 10, "으", "므", "에" ; 멧</v>
      </c>
    </row>
    <row r="822" customFormat="false" ht="17.9" hidden="false" customHeight="true" outlineLevel="0" collapsed="false">
      <c r="A822" s="16" t="s">
        <v>1693</v>
      </c>
      <c r="B822" s="16" t="n">
        <f aca="false">IF(_xlfn.UNICODE(A822)&lt;44032,-1,_xlfn.UNICODE(A822)-44032)</f>
        <v>3688</v>
      </c>
      <c r="C822" s="16" t="n">
        <f aca="false">IF(B822=-1,-1,INT((B822/28)/21))</f>
        <v>6</v>
      </c>
      <c r="D822" s="16" t="n">
        <f aca="false">IF(B822=-1, -1, MOD(INT(B822/28),21))</f>
        <v>5</v>
      </c>
      <c r="E822" s="16" t="n">
        <f aca="false">IF(B822=-1, -1, VLOOKUP(MOD(B822,28), $T$24:$U$52,2))</f>
        <v>19</v>
      </c>
      <c r="F822" s="16" t="n">
        <f aca="false">IF($B822=-1, -1, VLOOKUP(C822,$T$1:$V$20, 2))</f>
        <v>11</v>
      </c>
      <c r="G822" s="16" t="n">
        <f aca="false">IF($B822=-1, -1, VLOOKUP(D822,$Y$1:$Z$22,2))</f>
        <v>18</v>
      </c>
      <c r="H822" s="16" t="str">
        <f aca="false">_xlfn.UNICHAR(((F822*21)+G822)*28+44032)</f>
        <v>으</v>
      </c>
      <c r="I822" s="16" t="n">
        <f aca="false">IF(B822=-1, 1, COUNTIF($A$2:$A$3000, H822))</f>
        <v>1</v>
      </c>
      <c r="J822" s="10" t="str">
        <f aca="false">_xlfn.CONCAT(A822, ",",H822,",",I822)</f>
        <v>멨,으,1</v>
      </c>
      <c r="K822" s="16" t="n">
        <f aca="false">IF(B822=-1,-1,VLOOKUP(C822,$T$1:$V$20,3))</f>
        <v>9</v>
      </c>
      <c r="L822" s="16" t="n">
        <f aca="false">IF(B822=-1,-1,VLOOKUP(D822,$Y$1:$AA$22,3))</f>
        <v>10</v>
      </c>
      <c r="N822" s="10" t="str">
        <f aca="false">_xlfn.UNICHAR(((C822*21)+G822)*28+44032)</f>
        <v>므</v>
      </c>
      <c r="O822" s="10" t="str">
        <f aca="false">_xlfn.UNICHAR(((F822*21)+D822)*28+44032)</f>
        <v>에</v>
      </c>
      <c r="P822" s="12" t="n">
        <f aca="false">COUNTIF($A$2:$A$3000, N822) + COUNTIF($A$2:$A$3000, O822)</f>
        <v>2</v>
      </c>
      <c r="Q822" s="16" t="str">
        <f aca="false">IF(OR(B822=-1,I822=0, P822&lt;&gt;2), "albhed_dummy", _xlfn.CONCAT("albhed ", RIGHT("  " &amp; K822,2),", ", RIGHT("  " &amp; L822,2), ", " ,"""",H822,""", ", """",N822,""", ","""",O822,""""," ; ", A822))</f>
        <v>albhed  9, 10, "으", "므", "에" ; 멨</v>
      </c>
    </row>
    <row r="823" customFormat="false" ht="17.9" hidden="false" customHeight="true" outlineLevel="0" collapsed="false">
      <c r="A823" s="16" t="s">
        <v>1694</v>
      </c>
      <c r="B823" s="16" t="n">
        <f aca="false">IF(_xlfn.UNICODE(A823)&lt;44032,-1,_xlfn.UNICODE(A823)-44032)</f>
        <v>3689</v>
      </c>
      <c r="C823" s="16" t="n">
        <f aca="false">IF(B823=-1,-1,INT((B823/28)/21))</f>
        <v>6</v>
      </c>
      <c r="D823" s="16" t="n">
        <f aca="false">IF(B823=-1, -1, MOD(INT(B823/28),21))</f>
        <v>5</v>
      </c>
      <c r="E823" s="16" t="n">
        <f aca="false">IF(B823=-1, -1, VLOOKUP(MOD(B823,28), $T$24:$U$52,2))</f>
        <v>21</v>
      </c>
      <c r="F823" s="16" t="n">
        <f aca="false">IF($B823=-1, -1, VLOOKUP(C823,$T$1:$V$20, 2))</f>
        <v>11</v>
      </c>
      <c r="G823" s="16" t="n">
        <f aca="false">IF($B823=-1, -1, VLOOKUP(D823,$Y$1:$Z$22,2))</f>
        <v>18</v>
      </c>
      <c r="H823" s="16" t="str">
        <f aca="false">_xlfn.UNICHAR(((F823*21)+G823)*28+44032)</f>
        <v>으</v>
      </c>
      <c r="I823" s="16" t="n">
        <f aca="false">IF(B823=-1, 1, COUNTIF($A$2:$A$3000, H823))</f>
        <v>1</v>
      </c>
      <c r="J823" s="10" t="str">
        <f aca="false">_xlfn.CONCAT(A823, ",",H823,",",I823)</f>
        <v>멩,으,1</v>
      </c>
      <c r="K823" s="16" t="n">
        <f aca="false">IF(B823=-1,-1,VLOOKUP(C823,$T$1:$V$20,3))</f>
        <v>9</v>
      </c>
      <c r="L823" s="16" t="n">
        <f aca="false">IF(B823=-1,-1,VLOOKUP(D823,$Y$1:$AA$22,3))</f>
        <v>10</v>
      </c>
      <c r="N823" s="10" t="str">
        <f aca="false">_xlfn.UNICHAR(((C823*21)+G823)*28+44032)</f>
        <v>므</v>
      </c>
      <c r="O823" s="10" t="str">
        <f aca="false">_xlfn.UNICHAR(((F823*21)+D823)*28+44032)</f>
        <v>에</v>
      </c>
      <c r="P823" s="12" t="n">
        <f aca="false">COUNTIF($A$2:$A$3000, N823) + COUNTIF($A$2:$A$3000, O823)</f>
        <v>2</v>
      </c>
      <c r="Q823" s="16" t="str">
        <f aca="false">IF(OR(B823=-1,I823=0, P823&lt;&gt;2), "albhed_dummy", _xlfn.CONCAT("albhed ", RIGHT("  " &amp; K823,2),", ", RIGHT("  " &amp; L823,2), ", " ,"""",H823,""", ", """",N823,""", ","""",O823,""""," ; ", A823))</f>
        <v>albhed  9, 10, "으", "므", "에" ; 멩</v>
      </c>
    </row>
    <row r="824" customFormat="false" ht="17.9" hidden="false" customHeight="true" outlineLevel="0" collapsed="false">
      <c r="A824" s="16" t="s">
        <v>795</v>
      </c>
      <c r="B824" s="16" t="n">
        <f aca="false">IF(_xlfn.UNICODE(A824)&lt;44032,-1,_xlfn.UNICODE(A824)-44032)</f>
        <v>3696</v>
      </c>
      <c r="C824" s="16" t="n">
        <f aca="false">IF(B824=-1,-1,INT((B824/28)/21))</f>
        <v>6</v>
      </c>
      <c r="D824" s="16" t="n">
        <f aca="false">IF(B824=-1, -1, MOD(INT(B824/28),21))</f>
        <v>6</v>
      </c>
      <c r="E824" s="16" t="n">
        <f aca="false">IF(B824=-1, -1, VLOOKUP(MOD(B824,28), $T$24:$U$52,2))</f>
        <v>0</v>
      </c>
      <c r="F824" s="16" t="n">
        <f aca="false">IF($B824=-1, -1, VLOOKUP(C824,$T$1:$V$20, 2))</f>
        <v>11</v>
      </c>
      <c r="G824" s="16" t="n">
        <f aca="false">IF($B824=-1, -1, VLOOKUP(D824,$Y$1:$Z$22,2))</f>
        <v>12</v>
      </c>
      <c r="H824" s="16" t="str">
        <f aca="false">_xlfn.UNICHAR(((F824*21)+G824)*28+44032)</f>
        <v>요</v>
      </c>
      <c r="I824" s="16" t="n">
        <f aca="false">IF(B824=-1, 1, COUNTIF($A$2:$A$3000, H824))</f>
        <v>1</v>
      </c>
      <c r="J824" s="10" t="str">
        <f aca="false">_xlfn.CONCAT(A824, ",",H824,",",I824)</f>
        <v>며,요,1</v>
      </c>
      <c r="K824" s="16" t="n">
        <f aca="false">IF(B824=-1,-1,VLOOKUP(C824,$T$1:$V$20,3))</f>
        <v>9</v>
      </c>
      <c r="L824" s="16" t="n">
        <f aca="false">IF(B824=-1,-1,VLOOKUP(D824,$Y$1:$AA$22,3))</f>
        <v>4</v>
      </c>
      <c r="N824" s="10" t="str">
        <f aca="false">_xlfn.UNICHAR(((C824*21)+G824)*28+44032)</f>
        <v>묘</v>
      </c>
      <c r="O824" s="10" t="str">
        <f aca="false">_xlfn.UNICHAR(((F824*21)+D824)*28+44032)</f>
        <v>여</v>
      </c>
      <c r="P824" s="12" t="n">
        <f aca="false">COUNTIF($A$2:$A$3000, N824) + COUNTIF($A$2:$A$3000, O824)</f>
        <v>2</v>
      </c>
      <c r="Q824" s="16" t="str">
        <f aca="false">IF(OR(B824=-1,I824=0, P824&lt;&gt;2), "albhed_dummy", _xlfn.CONCAT("albhed ", RIGHT("  " &amp; K824,2),", ", RIGHT("  " &amp; L824,2), ", " ,"""",H824,""", ", """",N824,""", ","""",O824,""""," ; ", A824))</f>
        <v>albhed  9,  4, "요", "묘", "여" ; 며</v>
      </c>
    </row>
    <row r="825" customFormat="false" ht="17.9" hidden="false" customHeight="true" outlineLevel="0" collapsed="false">
      <c r="A825" s="16" t="s">
        <v>1695</v>
      </c>
      <c r="B825" s="16" t="n">
        <f aca="false">IF(_xlfn.UNICODE(A825)&lt;44032,-1,_xlfn.UNICODE(A825)-44032)</f>
        <v>3697</v>
      </c>
      <c r="C825" s="16" t="n">
        <f aca="false">IF(B825=-1,-1,INT((B825/28)/21))</f>
        <v>6</v>
      </c>
      <c r="D825" s="16" t="n">
        <f aca="false">IF(B825=-1, -1, MOD(INT(B825/28),21))</f>
        <v>6</v>
      </c>
      <c r="E825" s="16" t="n">
        <f aca="false">IF(B825=-1, -1, VLOOKUP(MOD(B825,28), $T$24:$U$52,2))</f>
        <v>1</v>
      </c>
      <c r="F825" s="16" t="n">
        <f aca="false">IF($B825=-1, -1, VLOOKUP(C825,$T$1:$V$20, 2))</f>
        <v>11</v>
      </c>
      <c r="G825" s="16" t="n">
        <f aca="false">IF($B825=-1, -1, VLOOKUP(D825,$Y$1:$Z$22,2))</f>
        <v>12</v>
      </c>
      <c r="H825" s="16" t="str">
        <f aca="false">_xlfn.UNICHAR(((F825*21)+G825)*28+44032)</f>
        <v>요</v>
      </c>
      <c r="I825" s="16" t="n">
        <f aca="false">IF(B825=-1, 1, COUNTIF($A$2:$A$3000, H825))</f>
        <v>1</v>
      </c>
      <c r="J825" s="10" t="str">
        <f aca="false">_xlfn.CONCAT(A825, ",",H825,",",I825)</f>
        <v>멱,요,1</v>
      </c>
      <c r="K825" s="16" t="n">
        <f aca="false">IF(B825=-1,-1,VLOOKUP(C825,$T$1:$V$20,3))</f>
        <v>9</v>
      </c>
      <c r="L825" s="16" t="n">
        <f aca="false">IF(B825=-1,-1,VLOOKUP(D825,$Y$1:$AA$22,3))</f>
        <v>4</v>
      </c>
      <c r="N825" s="10" t="str">
        <f aca="false">_xlfn.UNICHAR(((C825*21)+G825)*28+44032)</f>
        <v>묘</v>
      </c>
      <c r="O825" s="10" t="str">
        <f aca="false">_xlfn.UNICHAR(((F825*21)+D825)*28+44032)</f>
        <v>여</v>
      </c>
      <c r="P825" s="12" t="n">
        <f aca="false">COUNTIF($A$2:$A$3000, N825) + COUNTIF($A$2:$A$3000, O825)</f>
        <v>2</v>
      </c>
      <c r="Q825" s="16" t="str">
        <f aca="false">IF(OR(B825=-1,I825=0, P825&lt;&gt;2), "albhed_dummy", _xlfn.CONCAT("albhed ", RIGHT("  " &amp; K825,2),", ", RIGHT("  " &amp; L825,2), ", " ,"""",H825,""", ", """",N825,""", ","""",O825,""""," ; ", A825))</f>
        <v>albhed  9,  4, "요", "묘", "여" ; 멱</v>
      </c>
    </row>
    <row r="826" customFormat="false" ht="17.9" hidden="false" customHeight="true" outlineLevel="0" collapsed="false">
      <c r="A826" s="16" t="s">
        <v>1696</v>
      </c>
      <c r="B826" s="16" t="n">
        <f aca="false">IF(_xlfn.UNICODE(A826)&lt;44032,-1,_xlfn.UNICODE(A826)-44032)</f>
        <v>3700</v>
      </c>
      <c r="C826" s="16" t="n">
        <f aca="false">IF(B826=-1,-1,INT((B826/28)/21))</f>
        <v>6</v>
      </c>
      <c r="D826" s="16" t="n">
        <f aca="false">IF(B826=-1, -1, MOD(INT(B826/28),21))</f>
        <v>6</v>
      </c>
      <c r="E826" s="16" t="n">
        <f aca="false">IF(B826=-1, -1, VLOOKUP(MOD(B826,28), $T$24:$U$52,2))</f>
        <v>4</v>
      </c>
      <c r="F826" s="16" t="n">
        <f aca="false">IF($B826=-1, -1, VLOOKUP(C826,$T$1:$V$20, 2))</f>
        <v>11</v>
      </c>
      <c r="G826" s="16" t="n">
        <f aca="false">IF($B826=-1, -1, VLOOKUP(D826,$Y$1:$Z$22,2))</f>
        <v>12</v>
      </c>
      <c r="H826" s="16" t="str">
        <f aca="false">_xlfn.UNICHAR(((F826*21)+G826)*28+44032)</f>
        <v>요</v>
      </c>
      <c r="I826" s="16" t="n">
        <f aca="false">IF(B826=-1, 1, COUNTIF($A$2:$A$3000, H826))</f>
        <v>1</v>
      </c>
      <c r="J826" s="10" t="str">
        <f aca="false">_xlfn.CONCAT(A826, ",",H826,",",I826)</f>
        <v>면,요,1</v>
      </c>
      <c r="K826" s="16" t="n">
        <f aca="false">IF(B826=-1,-1,VLOOKUP(C826,$T$1:$V$20,3))</f>
        <v>9</v>
      </c>
      <c r="L826" s="16" t="n">
        <f aca="false">IF(B826=-1,-1,VLOOKUP(D826,$Y$1:$AA$22,3))</f>
        <v>4</v>
      </c>
      <c r="N826" s="10" t="str">
        <f aca="false">_xlfn.UNICHAR(((C826*21)+G826)*28+44032)</f>
        <v>묘</v>
      </c>
      <c r="O826" s="10" t="str">
        <f aca="false">_xlfn.UNICHAR(((F826*21)+D826)*28+44032)</f>
        <v>여</v>
      </c>
      <c r="P826" s="12" t="n">
        <f aca="false">COUNTIF($A$2:$A$3000, N826) + COUNTIF($A$2:$A$3000, O826)</f>
        <v>2</v>
      </c>
      <c r="Q826" s="16" t="str">
        <f aca="false">IF(OR(B826=-1,I826=0, P826&lt;&gt;2), "albhed_dummy", _xlfn.CONCAT("albhed ", RIGHT("  " &amp; K826,2),", ", RIGHT("  " &amp; L826,2), ", " ,"""",H826,""", ", """",N826,""", ","""",O826,""""," ; ", A826))</f>
        <v>albhed  9,  4, "요", "묘", "여" ; 면</v>
      </c>
    </row>
    <row r="827" customFormat="false" ht="17.9" hidden="false" customHeight="true" outlineLevel="0" collapsed="false">
      <c r="A827" s="16" t="s">
        <v>1697</v>
      </c>
      <c r="B827" s="16" t="n">
        <f aca="false">IF(_xlfn.UNICODE(A827)&lt;44032,-1,_xlfn.UNICODE(A827)-44032)</f>
        <v>3704</v>
      </c>
      <c r="C827" s="16" t="n">
        <f aca="false">IF(B827=-1,-1,INT((B827/28)/21))</f>
        <v>6</v>
      </c>
      <c r="D827" s="16" t="n">
        <f aca="false">IF(B827=-1, -1, MOD(INT(B827/28),21))</f>
        <v>6</v>
      </c>
      <c r="E827" s="16" t="n">
        <f aca="false">IF(B827=-1, -1, VLOOKUP(MOD(B827,28), $T$24:$U$52,2))</f>
        <v>8</v>
      </c>
      <c r="F827" s="16" t="n">
        <f aca="false">IF($B827=-1, -1, VLOOKUP(C827,$T$1:$V$20, 2))</f>
        <v>11</v>
      </c>
      <c r="G827" s="16" t="n">
        <f aca="false">IF($B827=-1, -1, VLOOKUP(D827,$Y$1:$Z$22,2))</f>
        <v>12</v>
      </c>
      <c r="H827" s="16" t="str">
        <f aca="false">_xlfn.UNICHAR(((F827*21)+G827)*28+44032)</f>
        <v>요</v>
      </c>
      <c r="I827" s="16" t="n">
        <f aca="false">IF(B827=-1, 1, COUNTIF($A$2:$A$3000, H827))</f>
        <v>1</v>
      </c>
      <c r="J827" s="10" t="str">
        <f aca="false">_xlfn.CONCAT(A827, ",",H827,",",I827)</f>
        <v>멸,요,1</v>
      </c>
      <c r="K827" s="16" t="n">
        <f aca="false">IF(B827=-1,-1,VLOOKUP(C827,$T$1:$V$20,3))</f>
        <v>9</v>
      </c>
      <c r="L827" s="16" t="n">
        <f aca="false">IF(B827=-1,-1,VLOOKUP(D827,$Y$1:$AA$22,3))</f>
        <v>4</v>
      </c>
      <c r="N827" s="10" t="str">
        <f aca="false">_xlfn.UNICHAR(((C827*21)+G827)*28+44032)</f>
        <v>묘</v>
      </c>
      <c r="O827" s="10" t="str">
        <f aca="false">_xlfn.UNICHAR(((F827*21)+D827)*28+44032)</f>
        <v>여</v>
      </c>
      <c r="P827" s="12" t="n">
        <f aca="false">COUNTIF($A$2:$A$3000, N827) + COUNTIF($A$2:$A$3000, O827)</f>
        <v>2</v>
      </c>
      <c r="Q827" s="16" t="str">
        <f aca="false">IF(OR(B827=-1,I827=0, P827&lt;&gt;2), "albhed_dummy", _xlfn.CONCAT("albhed ", RIGHT("  " &amp; K827,2),", ", RIGHT("  " &amp; L827,2), ", " ,"""",H827,""", ", """",N827,""", ","""",O827,""""," ; ", A827))</f>
        <v>albhed  9,  4, "요", "묘", "여" ; 멸</v>
      </c>
    </row>
    <row r="828" customFormat="false" ht="17.9" hidden="false" customHeight="true" outlineLevel="0" collapsed="false">
      <c r="A828" s="16" t="s">
        <v>1698</v>
      </c>
      <c r="B828" s="16" t="n">
        <f aca="false">IF(_xlfn.UNICODE(A828)&lt;44032,-1,_xlfn.UNICODE(A828)-44032)</f>
        <v>3715</v>
      </c>
      <c r="C828" s="16" t="n">
        <f aca="false">IF(B828=-1,-1,INT((B828/28)/21))</f>
        <v>6</v>
      </c>
      <c r="D828" s="16" t="n">
        <f aca="false">IF(B828=-1, -1, MOD(INT(B828/28),21))</f>
        <v>6</v>
      </c>
      <c r="E828" s="16" t="n">
        <f aca="false">IF(B828=-1, -1, VLOOKUP(MOD(B828,28), $T$24:$U$52,2))</f>
        <v>19</v>
      </c>
      <c r="F828" s="16" t="n">
        <f aca="false">IF($B828=-1, -1, VLOOKUP(C828,$T$1:$V$20, 2))</f>
        <v>11</v>
      </c>
      <c r="G828" s="16" t="n">
        <f aca="false">IF($B828=-1, -1, VLOOKUP(D828,$Y$1:$Z$22,2))</f>
        <v>12</v>
      </c>
      <c r="H828" s="16" t="str">
        <f aca="false">_xlfn.UNICHAR(((F828*21)+G828)*28+44032)</f>
        <v>요</v>
      </c>
      <c r="I828" s="16" t="n">
        <f aca="false">IF(B828=-1, 1, COUNTIF($A$2:$A$3000, H828))</f>
        <v>1</v>
      </c>
      <c r="J828" s="10" t="str">
        <f aca="false">_xlfn.CONCAT(A828, ",",H828,",",I828)</f>
        <v>몃,요,1</v>
      </c>
      <c r="K828" s="16" t="n">
        <f aca="false">IF(B828=-1,-1,VLOOKUP(C828,$T$1:$V$20,3))</f>
        <v>9</v>
      </c>
      <c r="L828" s="16" t="n">
        <f aca="false">IF(B828=-1,-1,VLOOKUP(D828,$Y$1:$AA$22,3))</f>
        <v>4</v>
      </c>
      <c r="N828" s="10" t="str">
        <f aca="false">_xlfn.UNICHAR(((C828*21)+G828)*28+44032)</f>
        <v>묘</v>
      </c>
      <c r="O828" s="10" t="str">
        <f aca="false">_xlfn.UNICHAR(((F828*21)+D828)*28+44032)</f>
        <v>여</v>
      </c>
      <c r="P828" s="12" t="n">
        <f aca="false">COUNTIF($A$2:$A$3000, N828) + COUNTIF($A$2:$A$3000, O828)</f>
        <v>2</v>
      </c>
      <c r="Q828" s="16" t="str">
        <f aca="false">IF(OR(B828=-1,I828=0, P828&lt;&gt;2), "albhed_dummy", _xlfn.CONCAT("albhed ", RIGHT("  " &amp; K828,2),", ", RIGHT("  " &amp; L828,2), ", " ,"""",H828,""", ", """",N828,""", ","""",O828,""""," ; ", A828))</f>
        <v>albhed  9,  4, "요", "묘", "여" ; 몃</v>
      </c>
    </row>
    <row r="829" customFormat="false" ht="17.9" hidden="false" customHeight="true" outlineLevel="0" collapsed="false">
      <c r="A829" s="16" t="s">
        <v>1699</v>
      </c>
      <c r="B829" s="16" t="n">
        <f aca="false">IF(_xlfn.UNICODE(A829)&lt;44032,-1,_xlfn.UNICODE(A829)-44032)</f>
        <v>3716</v>
      </c>
      <c r="C829" s="16" t="n">
        <f aca="false">IF(B829=-1,-1,INT((B829/28)/21))</f>
        <v>6</v>
      </c>
      <c r="D829" s="16" t="n">
        <f aca="false">IF(B829=-1, -1, MOD(INT(B829/28),21))</f>
        <v>6</v>
      </c>
      <c r="E829" s="16" t="n">
        <f aca="false">IF(B829=-1, -1, VLOOKUP(MOD(B829,28), $T$24:$U$52,2))</f>
        <v>19</v>
      </c>
      <c r="F829" s="16" t="n">
        <f aca="false">IF($B829=-1, -1, VLOOKUP(C829,$T$1:$V$20, 2))</f>
        <v>11</v>
      </c>
      <c r="G829" s="16" t="n">
        <f aca="false">IF($B829=-1, -1, VLOOKUP(D829,$Y$1:$Z$22,2))</f>
        <v>12</v>
      </c>
      <c r="H829" s="16" t="str">
        <f aca="false">_xlfn.UNICHAR(((F829*21)+G829)*28+44032)</f>
        <v>요</v>
      </c>
      <c r="I829" s="16" t="n">
        <f aca="false">IF(B829=-1, 1, COUNTIF($A$2:$A$3000, H829))</f>
        <v>1</v>
      </c>
      <c r="J829" s="10" t="str">
        <f aca="false">_xlfn.CONCAT(A829, ",",H829,",",I829)</f>
        <v>몄,요,1</v>
      </c>
      <c r="K829" s="16" t="n">
        <f aca="false">IF(B829=-1,-1,VLOOKUP(C829,$T$1:$V$20,3))</f>
        <v>9</v>
      </c>
      <c r="L829" s="16" t="n">
        <f aca="false">IF(B829=-1,-1,VLOOKUP(D829,$Y$1:$AA$22,3))</f>
        <v>4</v>
      </c>
      <c r="N829" s="10" t="str">
        <f aca="false">_xlfn.UNICHAR(((C829*21)+G829)*28+44032)</f>
        <v>묘</v>
      </c>
      <c r="O829" s="10" t="str">
        <f aca="false">_xlfn.UNICHAR(((F829*21)+D829)*28+44032)</f>
        <v>여</v>
      </c>
      <c r="P829" s="12" t="n">
        <f aca="false">COUNTIF($A$2:$A$3000, N829) + COUNTIF($A$2:$A$3000, O829)</f>
        <v>2</v>
      </c>
      <c r="Q829" s="16" t="str">
        <f aca="false">IF(OR(B829=-1,I829=0, P829&lt;&gt;2), "albhed_dummy", _xlfn.CONCAT("albhed ", RIGHT("  " &amp; K829,2),", ", RIGHT("  " &amp; L829,2), ", " ,"""",H829,""", ", """",N829,""", ","""",O829,""""," ; ", A829))</f>
        <v>albhed  9,  4, "요", "묘", "여" ; 몄</v>
      </c>
    </row>
    <row r="830" customFormat="false" ht="17.9" hidden="false" customHeight="true" outlineLevel="0" collapsed="false">
      <c r="A830" s="16" t="s">
        <v>1700</v>
      </c>
      <c r="B830" s="16" t="n">
        <f aca="false">IF(_xlfn.UNICODE(A830)&lt;44032,-1,_xlfn.UNICODE(A830)-44032)</f>
        <v>3717</v>
      </c>
      <c r="C830" s="16" t="n">
        <f aca="false">IF(B830=-1,-1,INT((B830/28)/21))</f>
        <v>6</v>
      </c>
      <c r="D830" s="16" t="n">
        <f aca="false">IF(B830=-1, -1, MOD(INT(B830/28),21))</f>
        <v>6</v>
      </c>
      <c r="E830" s="16" t="n">
        <f aca="false">IF(B830=-1, -1, VLOOKUP(MOD(B830,28), $T$24:$U$52,2))</f>
        <v>21</v>
      </c>
      <c r="F830" s="16" t="n">
        <f aca="false">IF($B830=-1, -1, VLOOKUP(C830,$T$1:$V$20, 2))</f>
        <v>11</v>
      </c>
      <c r="G830" s="16" t="n">
        <f aca="false">IF($B830=-1, -1, VLOOKUP(D830,$Y$1:$Z$22,2))</f>
        <v>12</v>
      </c>
      <c r="H830" s="16" t="str">
        <f aca="false">_xlfn.UNICHAR(((F830*21)+G830)*28+44032)</f>
        <v>요</v>
      </c>
      <c r="I830" s="16" t="n">
        <f aca="false">IF(B830=-1, 1, COUNTIF($A$2:$A$3000, H830))</f>
        <v>1</v>
      </c>
      <c r="J830" s="10" t="str">
        <f aca="false">_xlfn.CONCAT(A830, ",",H830,",",I830)</f>
        <v>명,요,1</v>
      </c>
      <c r="K830" s="16" t="n">
        <f aca="false">IF(B830=-1,-1,VLOOKUP(C830,$T$1:$V$20,3))</f>
        <v>9</v>
      </c>
      <c r="L830" s="16" t="n">
        <f aca="false">IF(B830=-1,-1,VLOOKUP(D830,$Y$1:$AA$22,3))</f>
        <v>4</v>
      </c>
      <c r="N830" s="10" t="str">
        <f aca="false">_xlfn.UNICHAR(((C830*21)+G830)*28+44032)</f>
        <v>묘</v>
      </c>
      <c r="O830" s="10" t="str">
        <f aca="false">_xlfn.UNICHAR(((F830*21)+D830)*28+44032)</f>
        <v>여</v>
      </c>
      <c r="P830" s="12" t="n">
        <f aca="false">COUNTIF($A$2:$A$3000, N830) + COUNTIF($A$2:$A$3000, O830)</f>
        <v>2</v>
      </c>
      <c r="Q830" s="16" t="str">
        <f aca="false">IF(OR(B830=-1,I830=0, P830&lt;&gt;2), "albhed_dummy", _xlfn.CONCAT("albhed ", RIGHT("  " &amp; K830,2),", ", RIGHT("  " &amp; L830,2), ", " ,"""",H830,""", ", """",N830,""", ","""",O830,""""," ; ", A830))</f>
        <v>albhed  9,  4, "요", "묘", "여" ; 명</v>
      </c>
    </row>
    <row r="831" customFormat="false" ht="17.9" hidden="false" customHeight="true" outlineLevel="0" collapsed="false">
      <c r="A831" s="16" t="s">
        <v>1701</v>
      </c>
      <c r="B831" s="16" t="n">
        <f aca="false">IF(_xlfn.UNICODE(A831)&lt;44032,-1,_xlfn.UNICODE(A831)-44032)</f>
        <v>3719</v>
      </c>
      <c r="C831" s="16" t="n">
        <f aca="false">IF(B831=-1,-1,INT((B831/28)/21))</f>
        <v>6</v>
      </c>
      <c r="D831" s="16" t="n">
        <f aca="false">IF(B831=-1, -1, MOD(INT(B831/28),21))</f>
        <v>6</v>
      </c>
      <c r="E831" s="16" t="n">
        <f aca="false">IF(B831=-1, -1, VLOOKUP(MOD(B831,28), $T$24:$U$52,2))</f>
        <v>19</v>
      </c>
      <c r="F831" s="16" t="n">
        <f aca="false">IF($B831=-1, -1, VLOOKUP(C831,$T$1:$V$20, 2))</f>
        <v>11</v>
      </c>
      <c r="G831" s="16" t="n">
        <f aca="false">IF($B831=-1, -1, VLOOKUP(D831,$Y$1:$Z$22,2))</f>
        <v>12</v>
      </c>
      <c r="H831" s="16" t="str">
        <f aca="false">_xlfn.UNICHAR(((F831*21)+G831)*28+44032)</f>
        <v>요</v>
      </c>
      <c r="I831" s="16" t="n">
        <f aca="false">IF(B831=-1, 1, COUNTIF($A$2:$A$3000, H831))</f>
        <v>1</v>
      </c>
      <c r="J831" s="10" t="str">
        <f aca="false">_xlfn.CONCAT(A831, ",",H831,",",I831)</f>
        <v>몇,요,1</v>
      </c>
      <c r="K831" s="16" t="n">
        <f aca="false">IF(B831=-1,-1,VLOOKUP(C831,$T$1:$V$20,3))</f>
        <v>9</v>
      </c>
      <c r="L831" s="16" t="n">
        <f aca="false">IF(B831=-1,-1,VLOOKUP(D831,$Y$1:$AA$22,3))</f>
        <v>4</v>
      </c>
      <c r="N831" s="10" t="str">
        <f aca="false">_xlfn.UNICHAR(((C831*21)+G831)*28+44032)</f>
        <v>묘</v>
      </c>
      <c r="O831" s="10" t="str">
        <f aca="false">_xlfn.UNICHAR(((F831*21)+D831)*28+44032)</f>
        <v>여</v>
      </c>
      <c r="P831" s="12" t="n">
        <f aca="false">COUNTIF($A$2:$A$3000, N831) + COUNTIF($A$2:$A$3000, O831)</f>
        <v>2</v>
      </c>
      <c r="Q831" s="16" t="str">
        <f aca="false">IF(OR(B831=-1,I831=0, P831&lt;&gt;2), "albhed_dummy", _xlfn.CONCAT("albhed ", RIGHT("  " &amp; K831,2),", ", RIGHT("  " &amp; L831,2), ", " ,"""",H831,""", ", """",N831,""", ","""",O831,""""," ; ", A831))</f>
        <v>albhed  9,  4, "요", "묘", "여" ; 몇</v>
      </c>
    </row>
    <row r="832" customFormat="false" ht="17.9" hidden="false" customHeight="true" outlineLevel="0" collapsed="false">
      <c r="A832" s="16" t="s">
        <v>1702</v>
      </c>
      <c r="B832" s="16" t="n">
        <f aca="false">IF(_xlfn.UNICODE(A832)&lt;44032,-1,_xlfn.UNICODE(A832)-44032)</f>
        <v>3724</v>
      </c>
      <c r="C832" s="16" t="n">
        <f aca="false">IF(B832=-1,-1,INT((B832/28)/21))</f>
        <v>6</v>
      </c>
      <c r="D832" s="16" t="n">
        <f aca="false">IF(B832=-1, -1, MOD(INT(B832/28),21))</f>
        <v>7</v>
      </c>
      <c r="E832" s="16" t="n">
        <f aca="false">IF(B832=-1, -1, VLOOKUP(MOD(B832,28), $T$24:$U$52,2))</f>
        <v>0</v>
      </c>
      <c r="F832" s="16" t="n">
        <f aca="false">IF($B832=-1, -1, VLOOKUP(C832,$T$1:$V$20, 2))</f>
        <v>11</v>
      </c>
      <c r="G832" s="16" t="n">
        <f aca="false">IF($B832=-1, -1, VLOOKUP(D832,$Y$1:$Z$22,2))</f>
        <v>18</v>
      </c>
      <c r="H832" s="16" t="str">
        <f aca="false">_xlfn.UNICHAR(((F832*21)+G832)*28+44032)</f>
        <v>으</v>
      </c>
      <c r="I832" s="16" t="n">
        <f aca="false">IF(B832=-1, 1, COUNTIF($A$2:$A$3000, H832))</f>
        <v>1</v>
      </c>
      <c r="J832" s="10" t="str">
        <f aca="false">_xlfn.CONCAT(A832, ",",H832,",",I832)</f>
        <v>몌,으,1</v>
      </c>
      <c r="K832" s="16" t="n">
        <f aca="false">IF(B832=-1,-1,VLOOKUP(C832,$T$1:$V$20,3))</f>
        <v>9</v>
      </c>
      <c r="L832" s="16" t="n">
        <f aca="false">IF(B832=-1,-1,VLOOKUP(D832,$Y$1:$AA$22,3))</f>
        <v>14</v>
      </c>
      <c r="N832" s="10" t="str">
        <f aca="false">_xlfn.UNICHAR(((C832*21)+G832)*28+44032)</f>
        <v>므</v>
      </c>
      <c r="O832" s="10" t="str">
        <f aca="false">_xlfn.UNICHAR(((F832*21)+D832)*28+44032)</f>
        <v>예</v>
      </c>
      <c r="P832" s="12" t="n">
        <f aca="false">COUNTIF($A$2:$A$3000, N832) + COUNTIF($A$2:$A$3000, O832)</f>
        <v>2</v>
      </c>
      <c r="Q832" s="16" t="str">
        <f aca="false">IF(OR(B832=-1,I832=0, P832&lt;&gt;2), "albhed_dummy", _xlfn.CONCAT("albhed ", RIGHT("  " &amp; K832,2),", ", RIGHT("  " &amp; L832,2), ", " ,"""",H832,""", ", """",N832,""", ","""",O832,""""," ; ", A832))</f>
        <v>albhed  9, 14, "으", "므", "예" ; 몌</v>
      </c>
    </row>
    <row r="833" customFormat="false" ht="17.9" hidden="false" customHeight="true" outlineLevel="0" collapsed="false">
      <c r="A833" s="16" t="s">
        <v>1703</v>
      </c>
      <c r="B833" s="16" t="n">
        <f aca="false">IF(_xlfn.UNICODE(A833)&lt;44032,-1,_xlfn.UNICODE(A833)-44032)</f>
        <v>3752</v>
      </c>
      <c r="C833" s="16" t="n">
        <f aca="false">IF(B833=-1,-1,INT((B833/28)/21))</f>
        <v>6</v>
      </c>
      <c r="D833" s="16" t="n">
        <f aca="false">IF(B833=-1, -1, MOD(INT(B833/28),21))</f>
        <v>8</v>
      </c>
      <c r="E833" s="16" t="n">
        <f aca="false">IF(B833=-1, -1, VLOOKUP(MOD(B833,28), $T$24:$U$52,2))</f>
        <v>0</v>
      </c>
      <c r="F833" s="16" t="n">
        <f aca="false">IF($B833=-1, -1, VLOOKUP(C833,$T$1:$V$20, 2))</f>
        <v>11</v>
      </c>
      <c r="G833" s="16" t="n">
        <f aca="false">IF($B833=-1, -1, VLOOKUP(D833,$Y$1:$Z$22,2))</f>
        <v>4</v>
      </c>
      <c r="H833" s="16" t="str">
        <f aca="false">_xlfn.UNICHAR(((F833*21)+G833)*28+44032)</f>
        <v>어</v>
      </c>
      <c r="I833" s="16" t="n">
        <f aca="false">IF(B833=-1, 1, COUNTIF($A$2:$A$3000, H833))</f>
        <v>1</v>
      </c>
      <c r="J833" s="10" t="str">
        <f aca="false">_xlfn.CONCAT(A833, ",",H833,",",I833)</f>
        <v>모,어,1</v>
      </c>
      <c r="K833" s="16" t="n">
        <f aca="false">IF(B833=-1,-1,VLOOKUP(C833,$T$1:$V$20,3))</f>
        <v>9</v>
      </c>
      <c r="L833" s="16" t="n">
        <f aca="false">IF(B833=-1,-1,VLOOKUP(D833,$Y$1:$AA$22,3))</f>
        <v>8</v>
      </c>
      <c r="N833" s="10" t="str">
        <f aca="false">_xlfn.UNICHAR(((C833*21)+G833)*28+44032)</f>
        <v>머</v>
      </c>
      <c r="O833" s="10" t="str">
        <f aca="false">_xlfn.UNICHAR(((F833*21)+D833)*28+44032)</f>
        <v>오</v>
      </c>
      <c r="P833" s="12" t="n">
        <f aca="false">COUNTIF($A$2:$A$3000, N833) + COUNTIF($A$2:$A$3000, O833)</f>
        <v>2</v>
      </c>
      <c r="Q833" s="16" t="str">
        <f aca="false">IF(OR(B833=-1,I833=0, P833&lt;&gt;2), "albhed_dummy", _xlfn.CONCAT("albhed ", RIGHT("  " &amp; K833,2),", ", RIGHT("  " &amp; L833,2), ", " ,"""",H833,""", ", """",N833,""", ","""",O833,""""," ; ", A833))</f>
        <v>albhed  9,  8, "어", "머", "오" ; 모</v>
      </c>
    </row>
    <row r="834" customFormat="false" ht="17.9" hidden="false" customHeight="true" outlineLevel="0" collapsed="false">
      <c r="A834" s="16" t="s">
        <v>1704</v>
      </c>
      <c r="B834" s="16" t="n">
        <f aca="false">IF(_xlfn.UNICODE(A834)&lt;44032,-1,_xlfn.UNICODE(A834)-44032)</f>
        <v>3753</v>
      </c>
      <c r="C834" s="16" t="n">
        <f aca="false">IF(B834=-1,-1,INT((B834/28)/21))</f>
        <v>6</v>
      </c>
      <c r="D834" s="16" t="n">
        <f aca="false">IF(B834=-1, -1, MOD(INT(B834/28),21))</f>
        <v>8</v>
      </c>
      <c r="E834" s="16" t="n">
        <f aca="false">IF(B834=-1, -1, VLOOKUP(MOD(B834,28), $T$24:$U$52,2))</f>
        <v>1</v>
      </c>
      <c r="F834" s="16" t="n">
        <f aca="false">IF($B834=-1, -1, VLOOKUP(C834,$T$1:$V$20, 2))</f>
        <v>11</v>
      </c>
      <c r="G834" s="16" t="n">
        <f aca="false">IF($B834=-1, -1, VLOOKUP(D834,$Y$1:$Z$22,2))</f>
        <v>4</v>
      </c>
      <c r="H834" s="16" t="str">
        <f aca="false">_xlfn.UNICHAR(((F834*21)+G834)*28+44032)</f>
        <v>어</v>
      </c>
      <c r="I834" s="16" t="n">
        <f aca="false">IF(B834=-1, 1, COUNTIF($A$2:$A$3000, H834))</f>
        <v>1</v>
      </c>
      <c r="J834" s="10" t="str">
        <f aca="false">_xlfn.CONCAT(A834, ",",H834,",",I834)</f>
        <v>목,어,1</v>
      </c>
      <c r="K834" s="16" t="n">
        <f aca="false">IF(B834=-1,-1,VLOOKUP(C834,$T$1:$V$20,3))</f>
        <v>9</v>
      </c>
      <c r="L834" s="16" t="n">
        <f aca="false">IF(B834=-1,-1,VLOOKUP(D834,$Y$1:$AA$22,3))</f>
        <v>8</v>
      </c>
      <c r="N834" s="10" t="str">
        <f aca="false">_xlfn.UNICHAR(((C834*21)+G834)*28+44032)</f>
        <v>머</v>
      </c>
      <c r="O834" s="10" t="str">
        <f aca="false">_xlfn.UNICHAR(((F834*21)+D834)*28+44032)</f>
        <v>오</v>
      </c>
      <c r="P834" s="12" t="n">
        <f aca="false">COUNTIF($A$2:$A$3000, N834) + COUNTIF($A$2:$A$3000, O834)</f>
        <v>2</v>
      </c>
      <c r="Q834" s="16" t="str">
        <f aca="false">IF(OR(B834=-1,I834=0, P834&lt;&gt;2), "albhed_dummy", _xlfn.CONCAT("albhed ", RIGHT("  " &amp; K834,2),", ", RIGHT("  " &amp; L834,2), ", " ,"""",H834,""", ", """",N834,""", ","""",O834,""""," ; ", A834))</f>
        <v>albhed  9,  8, "어", "머", "오" ; 목</v>
      </c>
    </row>
    <row r="835" customFormat="false" ht="17.9" hidden="false" customHeight="true" outlineLevel="0" collapsed="false">
      <c r="A835" s="16" t="s">
        <v>1705</v>
      </c>
      <c r="B835" s="16" t="n">
        <f aca="false">IF(_xlfn.UNICODE(A835)&lt;44032,-1,_xlfn.UNICODE(A835)-44032)</f>
        <v>3755</v>
      </c>
      <c r="C835" s="16" t="n">
        <f aca="false">IF(B835=-1,-1,INT((B835/28)/21))</f>
        <v>6</v>
      </c>
      <c r="D835" s="16" t="n">
        <f aca="false">IF(B835=-1, -1, MOD(INT(B835/28),21))</f>
        <v>8</v>
      </c>
      <c r="E835" s="16" t="n">
        <f aca="false">IF(B835=-1, -1, VLOOKUP(MOD(B835,28), $T$24:$U$52,2))</f>
        <v>1</v>
      </c>
      <c r="F835" s="16" t="n">
        <f aca="false">IF($B835=-1, -1, VLOOKUP(C835,$T$1:$V$20, 2))</f>
        <v>11</v>
      </c>
      <c r="G835" s="16" t="n">
        <f aca="false">IF($B835=-1, -1, VLOOKUP(D835,$Y$1:$Z$22,2))</f>
        <v>4</v>
      </c>
      <c r="H835" s="16" t="str">
        <f aca="false">_xlfn.UNICHAR(((F835*21)+G835)*28+44032)</f>
        <v>어</v>
      </c>
      <c r="I835" s="16" t="n">
        <f aca="false">IF(B835=-1, 1, COUNTIF($A$2:$A$3000, H835))</f>
        <v>1</v>
      </c>
      <c r="J835" s="10" t="str">
        <f aca="false">_xlfn.CONCAT(A835, ",",H835,",",I835)</f>
        <v>몫,어,1</v>
      </c>
      <c r="K835" s="16" t="n">
        <f aca="false">IF(B835=-1,-1,VLOOKUP(C835,$T$1:$V$20,3))</f>
        <v>9</v>
      </c>
      <c r="L835" s="16" t="n">
        <f aca="false">IF(B835=-1,-1,VLOOKUP(D835,$Y$1:$AA$22,3))</f>
        <v>8</v>
      </c>
      <c r="N835" s="10" t="str">
        <f aca="false">_xlfn.UNICHAR(((C835*21)+G835)*28+44032)</f>
        <v>머</v>
      </c>
      <c r="O835" s="10" t="str">
        <f aca="false">_xlfn.UNICHAR(((F835*21)+D835)*28+44032)</f>
        <v>오</v>
      </c>
      <c r="P835" s="12" t="n">
        <f aca="false">COUNTIF($A$2:$A$3000, N835) + COUNTIF($A$2:$A$3000, O835)</f>
        <v>2</v>
      </c>
      <c r="Q835" s="16" t="str">
        <f aca="false">IF(OR(B835=-1,I835=0, P835&lt;&gt;2), "albhed_dummy", _xlfn.CONCAT("albhed ", RIGHT("  " &amp; K835,2),", ", RIGHT("  " &amp; L835,2), ", " ,"""",H835,""", ", """",N835,""", ","""",O835,""""," ; ", A835))</f>
        <v>albhed  9,  8, "어", "머", "오" ; 몫</v>
      </c>
    </row>
    <row r="836" customFormat="false" ht="17.9" hidden="false" customHeight="true" outlineLevel="0" collapsed="false">
      <c r="A836" s="16" t="s">
        <v>1706</v>
      </c>
      <c r="B836" s="16" t="n">
        <f aca="false">IF(_xlfn.UNICODE(A836)&lt;44032,-1,_xlfn.UNICODE(A836)-44032)</f>
        <v>3756</v>
      </c>
      <c r="C836" s="16" t="n">
        <f aca="false">IF(B836=-1,-1,INT((B836/28)/21))</f>
        <v>6</v>
      </c>
      <c r="D836" s="16" t="n">
        <f aca="false">IF(B836=-1, -1, MOD(INT(B836/28),21))</f>
        <v>8</v>
      </c>
      <c r="E836" s="16" t="n">
        <f aca="false">IF(B836=-1, -1, VLOOKUP(MOD(B836,28), $T$24:$U$52,2))</f>
        <v>4</v>
      </c>
      <c r="F836" s="16" t="n">
        <f aca="false">IF($B836=-1, -1, VLOOKUP(C836,$T$1:$V$20, 2))</f>
        <v>11</v>
      </c>
      <c r="G836" s="16" t="n">
        <f aca="false">IF($B836=-1, -1, VLOOKUP(D836,$Y$1:$Z$22,2))</f>
        <v>4</v>
      </c>
      <c r="H836" s="16" t="str">
        <f aca="false">_xlfn.UNICHAR(((F836*21)+G836)*28+44032)</f>
        <v>어</v>
      </c>
      <c r="I836" s="16" t="n">
        <f aca="false">IF(B836=-1, 1, COUNTIF($A$2:$A$3000, H836))</f>
        <v>1</v>
      </c>
      <c r="J836" s="10" t="str">
        <f aca="false">_xlfn.CONCAT(A836, ",",H836,",",I836)</f>
        <v>몬,어,1</v>
      </c>
      <c r="K836" s="16" t="n">
        <f aca="false">IF(B836=-1,-1,VLOOKUP(C836,$T$1:$V$20,3))</f>
        <v>9</v>
      </c>
      <c r="L836" s="16" t="n">
        <f aca="false">IF(B836=-1,-1,VLOOKUP(D836,$Y$1:$AA$22,3))</f>
        <v>8</v>
      </c>
      <c r="N836" s="10" t="str">
        <f aca="false">_xlfn.UNICHAR(((C836*21)+G836)*28+44032)</f>
        <v>머</v>
      </c>
      <c r="O836" s="10" t="str">
        <f aca="false">_xlfn.UNICHAR(((F836*21)+D836)*28+44032)</f>
        <v>오</v>
      </c>
      <c r="P836" s="12" t="n">
        <f aca="false">COUNTIF($A$2:$A$3000, N836) + COUNTIF($A$2:$A$3000, O836)</f>
        <v>2</v>
      </c>
      <c r="Q836" s="16" t="str">
        <f aca="false">IF(OR(B836=-1,I836=0, P836&lt;&gt;2), "albhed_dummy", _xlfn.CONCAT("albhed ", RIGHT("  " &amp; K836,2),", ", RIGHT("  " &amp; L836,2), ", " ,"""",H836,""", ", """",N836,""", ","""",O836,""""," ; ", A836))</f>
        <v>albhed  9,  8, "어", "머", "오" ; 몬</v>
      </c>
    </row>
    <row r="837" customFormat="false" ht="17.9" hidden="false" customHeight="true" outlineLevel="0" collapsed="false">
      <c r="A837" s="16" t="s">
        <v>1707</v>
      </c>
      <c r="B837" s="16" t="n">
        <f aca="false">IF(_xlfn.UNICODE(A837)&lt;44032,-1,_xlfn.UNICODE(A837)-44032)</f>
        <v>3760</v>
      </c>
      <c r="C837" s="16" t="n">
        <f aca="false">IF(B837=-1,-1,INT((B837/28)/21))</f>
        <v>6</v>
      </c>
      <c r="D837" s="16" t="n">
        <f aca="false">IF(B837=-1, -1, MOD(INT(B837/28),21))</f>
        <v>8</v>
      </c>
      <c r="E837" s="16" t="n">
        <f aca="false">IF(B837=-1, -1, VLOOKUP(MOD(B837,28), $T$24:$U$52,2))</f>
        <v>8</v>
      </c>
      <c r="F837" s="16" t="n">
        <f aca="false">IF($B837=-1, -1, VLOOKUP(C837,$T$1:$V$20, 2))</f>
        <v>11</v>
      </c>
      <c r="G837" s="16" t="n">
        <f aca="false">IF($B837=-1, -1, VLOOKUP(D837,$Y$1:$Z$22,2))</f>
        <v>4</v>
      </c>
      <c r="H837" s="16" t="str">
        <f aca="false">_xlfn.UNICHAR(((F837*21)+G837)*28+44032)</f>
        <v>어</v>
      </c>
      <c r="I837" s="16" t="n">
        <f aca="false">IF(B837=-1, 1, COUNTIF($A$2:$A$3000, H837))</f>
        <v>1</v>
      </c>
      <c r="J837" s="10" t="str">
        <f aca="false">_xlfn.CONCAT(A837, ",",H837,",",I837)</f>
        <v>몰,어,1</v>
      </c>
      <c r="K837" s="16" t="n">
        <f aca="false">IF(B837=-1,-1,VLOOKUP(C837,$T$1:$V$20,3))</f>
        <v>9</v>
      </c>
      <c r="L837" s="16" t="n">
        <f aca="false">IF(B837=-1,-1,VLOOKUP(D837,$Y$1:$AA$22,3))</f>
        <v>8</v>
      </c>
      <c r="N837" s="10" t="str">
        <f aca="false">_xlfn.UNICHAR(((C837*21)+G837)*28+44032)</f>
        <v>머</v>
      </c>
      <c r="O837" s="10" t="str">
        <f aca="false">_xlfn.UNICHAR(((F837*21)+D837)*28+44032)</f>
        <v>오</v>
      </c>
      <c r="P837" s="12" t="n">
        <f aca="false">COUNTIF($A$2:$A$3000, N837) + COUNTIF($A$2:$A$3000, O837)</f>
        <v>2</v>
      </c>
      <c r="Q837" s="16" t="str">
        <f aca="false">IF(OR(B837=-1,I837=0, P837&lt;&gt;2), "albhed_dummy", _xlfn.CONCAT("albhed ", RIGHT("  " &amp; K837,2),", ", RIGHT("  " &amp; L837,2), ", " ,"""",H837,""", ", """",N837,""", ","""",O837,""""," ; ", A837))</f>
        <v>albhed  9,  8, "어", "머", "오" ; 몰</v>
      </c>
    </row>
    <row r="838" customFormat="false" ht="17.9" hidden="false" customHeight="true" outlineLevel="0" collapsed="false">
      <c r="A838" s="16" t="s">
        <v>1708</v>
      </c>
      <c r="B838" s="16" t="n">
        <f aca="false">IF(_xlfn.UNICODE(A838)&lt;44032,-1,_xlfn.UNICODE(A838)-44032)</f>
        <v>3762</v>
      </c>
      <c r="C838" s="16" t="n">
        <f aca="false">IF(B838=-1,-1,INT((B838/28)/21))</f>
        <v>6</v>
      </c>
      <c r="D838" s="16" t="n">
        <f aca="false">IF(B838=-1, -1, MOD(INT(B838/28),21))</f>
        <v>8</v>
      </c>
      <c r="E838" s="16" t="n">
        <f aca="false">IF(B838=-1, -1, VLOOKUP(MOD(B838,28), $T$24:$U$52,2))</f>
        <v>8</v>
      </c>
      <c r="F838" s="16" t="n">
        <f aca="false">IF($B838=-1, -1, VLOOKUP(C838,$T$1:$V$20, 2))</f>
        <v>11</v>
      </c>
      <c r="G838" s="16" t="n">
        <f aca="false">IF($B838=-1, -1, VLOOKUP(D838,$Y$1:$Z$22,2))</f>
        <v>4</v>
      </c>
      <c r="H838" s="16" t="str">
        <f aca="false">_xlfn.UNICHAR(((F838*21)+G838)*28+44032)</f>
        <v>어</v>
      </c>
      <c r="I838" s="16" t="n">
        <f aca="false">IF(B838=-1, 1, COUNTIF($A$2:$A$3000, H838))</f>
        <v>1</v>
      </c>
      <c r="J838" s="10" t="str">
        <f aca="false">_xlfn.CONCAT(A838, ",",H838,",",I838)</f>
        <v>몲,어,1</v>
      </c>
      <c r="K838" s="16" t="n">
        <f aca="false">IF(B838=-1,-1,VLOOKUP(C838,$T$1:$V$20,3))</f>
        <v>9</v>
      </c>
      <c r="L838" s="16" t="n">
        <f aca="false">IF(B838=-1,-1,VLOOKUP(D838,$Y$1:$AA$22,3))</f>
        <v>8</v>
      </c>
      <c r="N838" s="10" t="str">
        <f aca="false">_xlfn.UNICHAR(((C838*21)+G838)*28+44032)</f>
        <v>머</v>
      </c>
      <c r="O838" s="10" t="str">
        <f aca="false">_xlfn.UNICHAR(((F838*21)+D838)*28+44032)</f>
        <v>오</v>
      </c>
      <c r="P838" s="12" t="n">
        <f aca="false">COUNTIF($A$2:$A$3000, N838) + COUNTIF($A$2:$A$3000, O838)</f>
        <v>2</v>
      </c>
      <c r="Q838" s="16" t="str">
        <f aca="false">IF(OR(B838=-1,I838=0, P838&lt;&gt;2), "albhed_dummy", _xlfn.CONCAT("albhed ", RIGHT("  " &amp; K838,2),", ", RIGHT("  " &amp; L838,2), ", " ,"""",H838,""", ", """",N838,""", ","""",O838,""""," ; ", A838))</f>
        <v>albhed  9,  8, "어", "머", "오" ; 몲</v>
      </c>
    </row>
    <row r="839" customFormat="false" ht="17.9" hidden="false" customHeight="true" outlineLevel="0" collapsed="false">
      <c r="A839" s="16" t="s">
        <v>1709</v>
      </c>
      <c r="B839" s="16" t="n">
        <f aca="false">IF(_xlfn.UNICODE(A839)&lt;44032,-1,_xlfn.UNICODE(A839)-44032)</f>
        <v>3768</v>
      </c>
      <c r="C839" s="16" t="n">
        <f aca="false">IF(B839=-1,-1,INT((B839/28)/21))</f>
        <v>6</v>
      </c>
      <c r="D839" s="16" t="n">
        <f aca="false">IF(B839=-1, -1, MOD(INT(B839/28),21))</f>
        <v>8</v>
      </c>
      <c r="E839" s="16" t="n">
        <f aca="false">IF(B839=-1, -1, VLOOKUP(MOD(B839,28), $T$24:$U$52,2))</f>
        <v>16</v>
      </c>
      <c r="F839" s="16" t="n">
        <f aca="false">IF($B839=-1, -1, VLOOKUP(C839,$T$1:$V$20, 2))</f>
        <v>11</v>
      </c>
      <c r="G839" s="16" t="n">
        <f aca="false">IF($B839=-1, -1, VLOOKUP(D839,$Y$1:$Z$22,2))</f>
        <v>4</v>
      </c>
      <c r="H839" s="16" t="str">
        <f aca="false">_xlfn.UNICHAR(((F839*21)+G839)*28+44032)</f>
        <v>어</v>
      </c>
      <c r="I839" s="16" t="n">
        <f aca="false">IF(B839=-1, 1, COUNTIF($A$2:$A$3000, H839))</f>
        <v>1</v>
      </c>
      <c r="J839" s="10" t="str">
        <f aca="false">_xlfn.CONCAT(A839, ",",H839,",",I839)</f>
        <v>몸,어,1</v>
      </c>
      <c r="K839" s="16" t="n">
        <f aca="false">IF(B839=-1,-1,VLOOKUP(C839,$T$1:$V$20,3))</f>
        <v>9</v>
      </c>
      <c r="L839" s="16" t="n">
        <f aca="false">IF(B839=-1,-1,VLOOKUP(D839,$Y$1:$AA$22,3))</f>
        <v>8</v>
      </c>
      <c r="N839" s="10" t="str">
        <f aca="false">_xlfn.UNICHAR(((C839*21)+G839)*28+44032)</f>
        <v>머</v>
      </c>
      <c r="O839" s="10" t="str">
        <f aca="false">_xlfn.UNICHAR(((F839*21)+D839)*28+44032)</f>
        <v>오</v>
      </c>
      <c r="P839" s="12" t="n">
        <f aca="false">COUNTIF($A$2:$A$3000, N839) + COUNTIF($A$2:$A$3000, O839)</f>
        <v>2</v>
      </c>
      <c r="Q839" s="16" t="str">
        <f aca="false">IF(OR(B839=-1,I839=0, P839&lt;&gt;2), "albhed_dummy", _xlfn.CONCAT("albhed ", RIGHT("  " &amp; K839,2),", ", RIGHT("  " &amp; L839,2), ", " ,"""",H839,""", ", """",N839,""", ","""",O839,""""," ; ", A839))</f>
        <v>albhed  9,  8, "어", "머", "오" ; 몸</v>
      </c>
    </row>
    <row r="840" customFormat="false" ht="17.9" hidden="false" customHeight="true" outlineLevel="0" collapsed="false">
      <c r="A840" s="16" t="s">
        <v>1710</v>
      </c>
      <c r="B840" s="16" t="n">
        <f aca="false">IF(_xlfn.UNICODE(A840)&lt;44032,-1,_xlfn.UNICODE(A840)-44032)</f>
        <v>3769</v>
      </c>
      <c r="C840" s="16" t="n">
        <f aca="false">IF(B840=-1,-1,INT((B840/28)/21))</f>
        <v>6</v>
      </c>
      <c r="D840" s="16" t="n">
        <f aca="false">IF(B840=-1, -1, MOD(INT(B840/28),21))</f>
        <v>8</v>
      </c>
      <c r="E840" s="16" t="n">
        <f aca="false">IF(B840=-1, -1, VLOOKUP(MOD(B840,28), $T$24:$U$52,2))</f>
        <v>17</v>
      </c>
      <c r="F840" s="16" t="n">
        <f aca="false">IF($B840=-1, -1, VLOOKUP(C840,$T$1:$V$20, 2))</f>
        <v>11</v>
      </c>
      <c r="G840" s="16" t="n">
        <f aca="false">IF($B840=-1, -1, VLOOKUP(D840,$Y$1:$Z$22,2))</f>
        <v>4</v>
      </c>
      <c r="H840" s="16" t="str">
        <f aca="false">_xlfn.UNICHAR(((F840*21)+G840)*28+44032)</f>
        <v>어</v>
      </c>
      <c r="I840" s="16" t="n">
        <f aca="false">IF(B840=-1, 1, COUNTIF($A$2:$A$3000, H840))</f>
        <v>1</v>
      </c>
      <c r="J840" s="10" t="str">
        <f aca="false">_xlfn.CONCAT(A840, ",",H840,",",I840)</f>
        <v>몹,어,1</v>
      </c>
      <c r="K840" s="16" t="n">
        <f aca="false">IF(B840=-1,-1,VLOOKUP(C840,$T$1:$V$20,3))</f>
        <v>9</v>
      </c>
      <c r="L840" s="16" t="n">
        <f aca="false">IF(B840=-1,-1,VLOOKUP(D840,$Y$1:$AA$22,3))</f>
        <v>8</v>
      </c>
      <c r="N840" s="10" t="str">
        <f aca="false">_xlfn.UNICHAR(((C840*21)+G840)*28+44032)</f>
        <v>머</v>
      </c>
      <c r="O840" s="10" t="str">
        <f aca="false">_xlfn.UNICHAR(((F840*21)+D840)*28+44032)</f>
        <v>오</v>
      </c>
      <c r="P840" s="12" t="n">
        <f aca="false">COUNTIF($A$2:$A$3000, N840) + COUNTIF($A$2:$A$3000, O840)</f>
        <v>2</v>
      </c>
      <c r="Q840" s="16" t="str">
        <f aca="false">IF(OR(B840=-1,I840=0, P840&lt;&gt;2), "albhed_dummy", _xlfn.CONCAT("albhed ", RIGHT("  " &amp; K840,2),", ", RIGHT("  " &amp; L840,2), ", " ,"""",H840,""", ", """",N840,""", ","""",O840,""""," ; ", A840))</f>
        <v>albhed  9,  8, "어", "머", "오" ; 몹</v>
      </c>
    </row>
    <row r="841" customFormat="false" ht="17.9" hidden="false" customHeight="true" outlineLevel="0" collapsed="false">
      <c r="A841" s="16" t="s">
        <v>1711</v>
      </c>
      <c r="B841" s="16" t="n">
        <f aca="false">IF(_xlfn.UNICODE(A841)&lt;44032,-1,_xlfn.UNICODE(A841)-44032)</f>
        <v>3771</v>
      </c>
      <c r="C841" s="16" t="n">
        <f aca="false">IF(B841=-1,-1,INT((B841/28)/21))</f>
        <v>6</v>
      </c>
      <c r="D841" s="16" t="n">
        <f aca="false">IF(B841=-1, -1, MOD(INT(B841/28),21))</f>
        <v>8</v>
      </c>
      <c r="E841" s="16" t="n">
        <f aca="false">IF(B841=-1, -1, VLOOKUP(MOD(B841,28), $T$24:$U$52,2))</f>
        <v>19</v>
      </c>
      <c r="F841" s="16" t="n">
        <f aca="false">IF($B841=-1, -1, VLOOKUP(C841,$T$1:$V$20, 2))</f>
        <v>11</v>
      </c>
      <c r="G841" s="16" t="n">
        <f aca="false">IF($B841=-1, -1, VLOOKUP(D841,$Y$1:$Z$22,2))</f>
        <v>4</v>
      </c>
      <c r="H841" s="16" t="str">
        <f aca="false">_xlfn.UNICHAR(((F841*21)+G841)*28+44032)</f>
        <v>어</v>
      </c>
      <c r="I841" s="16" t="n">
        <f aca="false">IF(B841=-1, 1, COUNTIF($A$2:$A$3000, H841))</f>
        <v>1</v>
      </c>
      <c r="J841" s="10" t="str">
        <f aca="false">_xlfn.CONCAT(A841, ",",H841,",",I841)</f>
        <v>못,어,1</v>
      </c>
      <c r="K841" s="16" t="n">
        <f aca="false">IF(B841=-1,-1,VLOOKUP(C841,$T$1:$V$20,3))</f>
        <v>9</v>
      </c>
      <c r="L841" s="16" t="n">
        <f aca="false">IF(B841=-1,-1,VLOOKUP(D841,$Y$1:$AA$22,3))</f>
        <v>8</v>
      </c>
      <c r="N841" s="10" t="str">
        <f aca="false">_xlfn.UNICHAR(((C841*21)+G841)*28+44032)</f>
        <v>머</v>
      </c>
      <c r="O841" s="10" t="str">
        <f aca="false">_xlfn.UNICHAR(((F841*21)+D841)*28+44032)</f>
        <v>오</v>
      </c>
      <c r="P841" s="12" t="n">
        <f aca="false">COUNTIF($A$2:$A$3000, N841) + COUNTIF($A$2:$A$3000, O841)</f>
        <v>2</v>
      </c>
      <c r="Q841" s="16" t="str">
        <f aca="false">IF(OR(B841=-1,I841=0, P841&lt;&gt;2), "albhed_dummy", _xlfn.CONCAT("albhed ", RIGHT("  " &amp; K841,2),", ", RIGHT("  " &amp; L841,2), ", " ,"""",H841,""", ", """",N841,""", ","""",O841,""""," ; ", A841))</f>
        <v>albhed  9,  8, "어", "머", "오" ; 못</v>
      </c>
    </row>
    <row r="842" customFormat="false" ht="17.9" hidden="false" customHeight="true" outlineLevel="0" collapsed="false">
      <c r="A842" s="16" t="s">
        <v>1712</v>
      </c>
      <c r="B842" s="16" t="n">
        <f aca="false">IF(_xlfn.UNICODE(A842)&lt;44032,-1,_xlfn.UNICODE(A842)-44032)</f>
        <v>3773</v>
      </c>
      <c r="C842" s="16" t="n">
        <f aca="false">IF(B842=-1,-1,INT((B842/28)/21))</f>
        <v>6</v>
      </c>
      <c r="D842" s="16" t="n">
        <f aca="false">IF(B842=-1, -1, MOD(INT(B842/28),21))</f>
        <v>8</v>
      </c>
      <c r="E842" s="16" t="n">
        <f aca="false">IF(B842=-1, -1, VLOOKUP(MOD(B842,28), $T$24:$U$52,2))</f>
        <v>21</v>
      </c>
      <c r="F842" s="16" t="n">
        <f aca="false">IF($B842=-1, -1, VLOOKUP(C842,$T$1:$V$20, 2))</f>
        <v>11</v>
      </c>
      <c r="G842" s="16" t="n">
        <f aca="false">IF($B842=-1, -1, VLOOKUP(D842,$Y$1:$Z$22,2))</f>
        <v>4</v>
      </c>
      <c r="H842" s="16" t="str">
        <f aca="false">_xlfn.UNICHAR(((F842*21)+G842)*28+44032)</f>
        <v>어</v>
      </c>
      <c r="I842" s="16" t="n">
        <f aca="false">IF(B842=-1, 1, COUNTIF($A$2:$A$3000, H842))</f>
        <v>1</v>
      </c>
      <c r="J842" s="10" t="str">
        <f aca="false">_xlfn.CONCAT(A842, ",",H842,",",I842)</f>
        <v>몽,어,1</v>
      </c>
      <c r="K842" s="16" t="n">
        <f aca="false">IF(B842=-1,-1,VLOOKUP(C842,$T$1:$V$20,3))</f>
        <v>9</v>
      </c>
      <c r="L842" s="16" t="n">
        <f aca="false">IF(B842=-1,-1,VLOOKUP(D842,$Y$1:$AA$22,3))</f>
        <v>8</v>
      </c>
      <c r="N842" s="10" t="str">
        <f aca="false">_xlfn.UNICHAR(((C842*21)+G842)*28+44032)</f>
        <v>머</v>
      </c>
      <c r="O842" s="10" t="str">
        <f aca="false">_xlfn.UNICHAR(((F842*21)+D842)*28+44032)</f>
        <v>오</v>
      </c>
      <c r="P842" s="12" t="n">
        <f aca="false">COUNTIF($A$2:$A$3000, N842) + COUNTIF($A$2:$A$3000, O842)</f>
        <v>2</v>
      </c>
      <c r="Q842" s="16" t="str">
        <f aca="false">IF(OR(B842=-1,I842=0, P842&lt;&gt;2), "albhed_dummy", _xlfn.CONCAT("albhed ", RIGHT("  " &amp; K842,2),", ", RIGHT("  " &amp; L842,2), ", " ,"""",H842,""", ", """",N842,""", ","""",O842,""""," ; ", A842))</f>
        <v>albhed  9,  8, "어", "머", "오" ; 몽</v>
      </c>
    </row>
    <row r="843" customFormat="false" ht="17.9" hidden="false" customHeight="true" outlineLevel="0" collapsed="false">
      <c r="A843" s="16" t="s">
        <v>1713</v>
      </c>
      <c r="B843" s="16" t="n">
        <f aca="false">IF(_xlfn.UNICODE(A843)&lt;44032,-1,_xlfn.UNICODE(A843)-44032)</f>
        <v>3780</v>
      </c>
      <c r="C843" s="16" t="n">
        <f aca="false">IF(B843=-1,-1,INT((B843/28)/21))</f>
        <v>6</v>
      </c>
      <c r="D843" s="16" t="n">
        <f aca="false">IF(B843=-1, -1, MOD(INT(B843/28),21))</f>
        <v>9</v>
      </c>
      <c r="E843" s="16" t="n">
        <f aca="false">IF(B843=-1, -1, VLOOKUP(MOD(B843,28), $T$24:$U$52,2))</f>
        <v>0</v>
      </c>
      <c r="F843" s="16" t="n">
        <f aca="false">IF($B843=-1, -1, VLOOKUP(C843,$T$1:$V$20, 2))</f>
        <v>11</v>
      </c>
      <c r="G843" s="16" t="n">
        <f aca="false">IF($B843=-1, -1, VLOOKUP(D843,$Y$1:$Z$22,2))</f>
        <v>20</v>
      </c>
      <c r="H843" s="16" t="str">
        <f aca="false">_xlfn.UNICHAR(((F843*21)+G843)*28+44032)</f>
        <v>이</v>
      </c>
      <c r="I843" s="16" t="n">
        <f aca="false">IF(B843=-1, 1, COUNTIF($A$2:$A$3000, H843))</f>
        <v>1</v>
      </c>
      <c r="J843" s="10" t="str">
        <f aca="false">_xlfn.CONCAT(A843, ",",H843,",",I843)</f>
        <v>뫄,이,1</v>
      </c>
      <c r="K843" s="16" t="n">
        <f aca="false">IF(B843=-1,-1,VLOOKUP(C843,$T$1:$V$20,3))</f>
        <v>9</v>
      </c>
      <c r="L843" s="16" t="n">
        <f aca="false">IF(B843=-1,-1,VLOOKUP(D843,$Y$1:$AA$22,3))</f>
        <v>12</v>
      </c>
      <c r="N843" s="10" t="str">
        <f aca="false">_xlfn.UNICHAR(((C843*21)+G843)*28+44032)</f>
        <v>미</v>
      </c>
      <c r="O843" s="10" t="str">
        <f aca="false">_xlfn.UNICHAR(((F843*21)+D843)*28+44032)</f>
        <v>와</v>
      </c>
      <c r="P843" s="12" t="n">
        <f aca="false">COUNTIF($A$2:$A$3000, N843) + COUNTIF($A$2:$A$3000, O843)</f>
        <v>2</v>
      </c>
      <c r="Q843" s="16" t="str">
        <f aca="false">IF(OR(B843=-1,I843=0, P843&lt;&gt;2), "albhed_dummy", _xlfn.CONCAT("albhed ", RIGHT("  " &amp; K843,2),", ", RIGHT("  " &amp; L843,2), ", " ,"""",H843,""", ", """",N843,""", ","""",O843,""""," ; ", A843))</f>
        <v>albhed  9, 12, "이", "미", "와" ; 뫄</v>
      </c>
    </row>
    <row r="844" customFormat="false" ht="17.9" hidden="false" customHeight="true" outlineLevel="0" collapsed="false">
      <c r="A844" s="16" t="s">
        <v>1714</v>
      </c>
      <c r="B844" s="16" t="n">
        <f aca="false">IF(_xlfn.UNICODE(A844)&lt;44032,-1,_xlfn.UNICODE(A844)-44032)</f>
        <v>3784</v>
      </c>
      <c r="C844" s="16" t="n">
        <f aca="false">IF(B844=-1,-1,INT((B844/28)/21))</f>
        <v>6</v>
      </c>
      <c r="D844" s="16" t="n">
        <f aca="false">IF(B844=-1, -1, MOD(INT(B844/28),21))</f>
        <v>9</v>
      </c>
      <c r="E844" s="16" t="n">
        <f aca="false">IF(B844=-1, -1, VLOOKUP(MOD(B844,28), $T$24:$U$52,2))</f>
        <v>4</v>
      </c>
      <c r="F844" s="16" t="n">
        <f aca="false">IF($B844=-1, -1, VLOOKUP(C844,$T$1:$V$20, 2))</f>
        <v>11</v>
      </c>
      <c r="G844" s="16" t="n">
        <f aca="false">IF($B844=-1, -1, VLOOKUP(D844,$Y$1:$Z$22,2))</f>
        <v>20</v>
      </c>
      <c r="H844" s="16" t="str">
        <f aca="false">_xlfn.UNICHAR(((F844*21)+G844)*28+44032)</f>
        <v>이</v>
      </c>
      <c r="I844" s="16" t="n">
        <f aca="false">IF(B844=-1, 1, COUNTIF($A$2:$A$3000, H844))</f>
        <v>1</v>
      </c>
      <c r="J844" s="10" t="str">
        <f aca="false">_xlfn.CONCAT(A844, ",",H844,",",I844)</f>
        <v>뫈,이,1</v>
      </c>
      <c r="K844" s="16" t="n">
        <f aca="false">IF(B844=-1,-1,VLOOKUP(C844,$T$1:$V$20,3))</f>
        <v>9</v>
      </c>
      <c r="L844" s="16" t="n">
        <f aca="false">IF(B844=-1,-1,VLOOKUP(D844,$Y$1:$AA$22,3))</f>
        <v>12</v>
      </c>
      <c r="N844" s="10" t="str">
        <f aca="false">_xlfn.UNICHAR(((C844*21)+G844)*28+44032)</f>
        <v>미</v>
      </c>
      <c r="O844" s="10" t="str">
        <f aca="false">_xlfn.UNICHAR(((F844*21)+D844)*28+44032)</f>
        <v>와</v>
      </c>
      <c r="P844" s="12" t="n">
        <f aca="false">COUNTIF($A$2:$A$3000, N844) + COUNTIF($A$2:$A$3000, O844)</f>
        <v>2</v>
      </c>
      <c r="Q844" s="16" t="str">
        <f aca="false">IF(OR(B844=-1,I844=0, P844&lt;&gt;2), "albhed_dummy", _xlfn.CONCAT("albhed ", RIGHT("  " &amp; K844,2),", ", RIGHT("  " &amp; L844,2), ", " ,"""",H844,""", ", """",N844,""", ","""",O844,""""," ; ", A844))</f>
        <v>albhed  9, 12, "이", "미", "와" ; 뫈</v>
      </c>
    </row>
    <row r="845" customFormat="false" ht="17.9" hidden="false" customHeight="true" outlineLevel="0" collapsed="false">
      <c r="A845" s="16" t="s">
        <v>1715</v>
      </c>
      <c r="B845" s="16" t="n">
        <f aca="false">IF(_xlfn.UNICODE(A845)&lt;44032,-1,_xlfn.UNICODE(A845)-44032)</f>
        <v>3800</v>
      </c>
      <c r="C845" s="16" t="n">
        <f aca="false">IF(B845=-1,-1,INT((B845/28)/21))</f>
        <v>6</v>
      </c>
      <c r="D845" s="16" t="n">
        <f aca="false">IF(B845=-1, -1, MOD(INT(B845/28),21))</f>
        <v>9</v>
      </c>
      <c r="E845" s="16" t="n">
        <f aca="false">IF(B845=-1, -1, VLOOKUP(MOD(B845,28), $T$24:$U$52,2))</f>
        <v>19</v>
      </c>
      <c r="F845" s="16" t="n">
        <f aca="false">IF($B845=-1, -1, VLOOKUP(C845,$T$1:$V$20, 2))</f>
        <v>11</v>
      </c>
      <c r="G845" s="16" t="n">
        <f aca="false">IF($B845=-1, -1, VLOOKUP(D845,$Y$1:$Z$22,2))</f>
        <v>20</v>
      </c>
      <c r="H845" s="16" t="str">
        <f aca="false">_xlfn.UNICHAR(((F845*21)+G845)*28+44032)</f>
        <v>이</v>
      </c>
      <c r="I845" s="16" t="n">
        <f aca="false">IF(B845=-1, 1, COUNTIF($A$2:$A$3000, H845))</f>
        <v>1</v>
      </c>
      <c r="J845" s="10" t="str">
        <f aca="false">_xlfn.CONCAT(A845, ",",H845,",",I845)</f>
        <v>뫘,이,1</v>
      </c>
      <c r="K845" s="16" t="n">
        <f aca="false">IF(B845=-1,-1,VLOOKUP(C845,$T$1:$V$20,3))</f>
        <v>9</v>
      </c>
      <c r="L845" s="16" t="n">
        <f aca="false">IF(B845=-1,-1,VLOOKUP(D845,$Y$1:$AA$22,3))</f>
        <v>12</v>
      </c>
      <c r="N845" s="10" t="str">
        <f aca="false">_xlfn.UNICHAR(((C845*21)+G845)*28+44032)</f>
        <v>미</v>
      </c>
      <c r="O845" s="10" t="str">
        <f aca="false">_xlfn.UNICHAR(((F845*21)+D845)*28+44032)</f>
        <v>와</v>
      </c>
      <c r="P845" s="12" t="n">
        <f aca="false">COUNTIF($A$2:$A$3000, N845) + COUNTIF($A$2:$A$3000, O845)</f>
        <v>2</v>
      </c>
      <c r="Q845" s="16" t="str">
        <f aca="false">IF(OR(B845=-1,I845=0, P845&lt;&gt;2), "albhed_dummy", _xlfn.CONCAT("albhed ", RIGHT("  " &amp; K845,2),", ", RIGHT("  " &amp; L845,2), ", " ,"""",H845,""", ", """",N845,""", ","""",O845,""""," ; ", A845))</f>
        <v>albhed  9, 12, "이", "미", "와" ; 뫘</v>
      </c>
    </row>
    <row r="846" customFormat="false" ht="17.9" hidden="false" customHeight="true" outlineLevel="0" collapsed="false">
      <c r="A846" s="16" t="s">
        <v>1716</v>
      </c>
      <c r="B846" s="16" t="n">
        <f aca="false">IF(_xlfn.UNICODE(A846)&lt;44032,-1,_xlfn.UNICODE(A846)-44032)</f>
        <v>3801</v>
      </c>
      <c r="C846" s="16" t="n">
        <f aca="false">IF(B846=-1,-1,INT((B846/28)/21))</f>
        <v>6</v>
      </c>
      <c r="D846" s="16" t="n">
        <f aca="false">IF(B846=-1, -1, MOD(INT(B846/28),21))</f>
        <v>9</v>
      </c>
      <c r="E846" s="16" t="n">
        <f aca="false">IF(B846=-1, -1, VLOOKUP(MOD(B846,28), $T$24:$U$52,2))</f>
        <v>21</v>
      </c>
      <c r="F846" s="16" t="n">
        <f aca="false">IF($B846=-1, -1, VLOOKUP(C846,$T$1:$V$20, 2))</f>
        <v>11</v>
      </c>
      <c r="G846" s="16" t="n">
        <f aca="false">IF($B846=-1, -1, VLOOKUP(D846,$Y$1:$Z$22,2))</f>
        <v>20</v>
      </c>
      <c r="H846" s="16" t="str">
        <f aca="false">_xlfn.UNICHAR(((F846*21)+G846)*28+44032)</f>
        <v>이</v>
      </c>
      <c r="I846" s="16" t="n">
        <f aca="false">IF(B846=-1, 1, COUNTIF($A$2:$A$3000, H846))</f>
        <v>1</v>
      </c>
      <c r="J846" s="10" t="str">
        <f aca="false">_xlfn.CONCAT(A846, ",",H846,",",I846)</f>
        <v>뫙,이,1</v>
      </c>
      <c r="K846" s="16" t="n">
        <f aca="false">IF(B846=-1,-1,VLOOKUP(C846,$T$1:$V$20,3))</f>
        <v>9</v>
      </c>
      <c r="L846" s="16" t="n">
        <f aca="false">IF(B846=-1,-1,VLOOKUP(D846,$Y$1:$AA$22,3))</f>
        <v>12</v>
      </c>
      <c r="N846" s="10" t="str">
        <f aca="false">_xlfn.UNICHAR(((C846*21)+G846)*28+44032)</f>
        <v>미</v>
      </c>
      <c r="O846" s="10" t="str">
        <f aca="false">_xlfn.UNICHAR(((F846*21)+D846)*28+44032)</f>
        <v>와</v>
      </c>
      <c r="P846" s="12" t="n">
        <f aca="false">COUNTIF($A$2:$A$3000, N846) + COUNTIF($A$2:$A$3000, O846)</f>
        <v>2</v>
      </c>
      <c r="Q846" s="16" t="str">
        <f aca="false">IF(OR(B846=-1,I846=0, P846&lt;&gt;2), "albhed_dummy", _xlfn.CONCAT("albhed ", RIGHT("  " &amp; K846,2),", ", RIGHT("  " &amp; L846,2), ", " ,"""",H846,""", ", """",N846,""", ","""",O846,""""," ; ", A846))</f>
        <v>albhed  9, 12, "이", "미", "와" ; 뫙</v>
      </c>
    </row>
    <row r="847" customFormat="false" ht="17.9" hidden="false" customHeight="true" outlineLevel="0" collapsed="false">
      <c r="A847" s="16" t="s">
        <v>1717</v>
      </c>
      <c r="B847" s="16" t="n">
        <f aca="false">IF(_xlfn.UNICODE(A847)&lt;44032,-1,_xlfn.UNICODE(A847)-44032)</f>
        <v>3836</v>
      </c>
      <c r="C847" s="16" t="n">
        <f aca="false">IF(B847=-1,-1,INT((B847/28)/21))</f>
        <v>6</v>
      </c>
      <c r="D847" s="16" t="n">
        <f aca="false">IF(B847=-1, -1, MOD(INT(B847/28),21))</f>
        <v>11</v>
      </c>
      <c r="E847" s="16" t="n">
        <f aca="false">IF(B847=-1, -1, VLOOKUP(MOD(B847,28), $T$24:$U$52,2))</f>
        <v>0</v>
      </c>
      <c r="F847" s="16" t="n">
        <f aca="false">IF($B847=-1, -1, VLOOKUP(C847,$T$1:$V$20, 2))</f>
        <v>11</v>
      </c>
      <c r="G847" s="16" t="n">
        <f aca="false">IF($B847=-1, -1, VLOOKUP(D847,$Y$1:$Z$22,2))</f>
        <v>20</v>
      </c>
      <c r="H847" s="16" t="str">
        <f aca="false">_xlfn.UNICHAR(((F847*21)+G847)*28+44032)</f>
        <v>이</v>
      </c>
      <c r="I847" s="16" t="n">
        <f aca="false">IF(B847=-1, 1, COUNTIF($A$2:$A$3000, H847))</f>
        <v>1</v>
      </c>
      <c r="J847" s="10" t="str">
        <f aca="false">_xlfn.CONCAT(A847, ",",H847,",",I847)</f>
        <v>뫼,이,1</v>
      </c>
      <c r="K847" s="16" t="n">
        <f aca="false">IF(B847=-1,-1,VLOOKUP(C847,$T$1:$V$20,3))</f>
        <v>9</v>
      </c>
      <c r="L847" s="16" t="n">
        <f aca="false">IF(B847=-1,-1,VLOOKUP(D847,$Y$1:$AA$22,3))</f>
        <v>22</v>
      </c>
      <c r="N847" s="10" t="str">
        <f aca="false">_xlfn.UNICHAR(((C847*21)+G847)*28+44032)</f>
        <v>미</v>
      </c>
      <c r="O847" s="10" t="str">
        <f aca="false">_xlfn.UNICHAR(((F847*21)+D847)*28+44032)</f>
        <v>외</v>
      </c>
      <c r="P847" s="12" t="n">
        <f aca="false">COUNTIF($A$2:$A$3000, N847) + COUNTIF($A$2:$A$3000, O847)</f>
        <v>2</v>
      </c>
      <c r="Q847" s="16" t="str">
        <f aca="false">IF(OR(B847=-1,I847=0, P847&lt;&gt;2), "albhed_dummy", _xlfn.CONCAT("albhed ", RIGHT("  " &amp; K847,2),", ", RIGHT("  " &amp; L847,2), ", " ,"""",H847,""", ", """",N847,""", ","""",O847,""""," ; ", A847))</f>
        <v>albhed  9, 22, "이", "미", "외" ; 뫼</v>
      </c>
    </row>
    <row r="848" customFormat="false" ht="17.9" hidden="false" customHeight="true" outlineLevel="0" collapsed="false">
      <c r="A848" s="16" t="s">
        <v>1718</v>
      </c>
      <c r="B848" s="16" t="n">
        <f aca="false">IF(_xlfn.UNICODE(A848)&lt;44032,-1,_xlfn.UNICODE(A848)-44032)</f>
        <v>3840</v>
      </c>
      <c r="C848" s="16" t="n">
        <f aca="false">IF(B848=-1,-1,INT((B848/28)/21))</f>
        <v>6</v>
      </c>
      <c r="D848" s="16" t="n">
        <f aca="false">IF(B848=-1, -1, MOD(INT(B848/28),21))</f>
        <v>11</v>
      </c>
      <c r="E848" s="16" t="n">
        <f aca="false">IF(B848=-1, -1, VLOOKUP(MOD(B848,28), $T$24:$U$52,2))</f>
        <v>4</v>
      </c>
      <c r="F848" s="16" t="n">
        <f aca="false">IF($B848=-1, -1, VLOOKUP(C848,$T$1:$V$20, 2))</f>
        <v>11</v>
      </c>
      <c r="G848" s="16" t="n">
        <f aca="false">IF($B848=-1, -1, VLOOKUP(D848,$Y$1:$Z$22,2))</f>
        <v>20</v>
      </c>
      <c r="H848" s="16" t="str">
        <f aca="false">_xlfn.UNICHAR(((F848*21)+G848)*28+44032)</f>
        <v>이</v>
      </c>
      <c r="I848" s="16" t="n">
        <f aca="false">IF(B848=-1, 1, COUNTIF($A$2:$A$3000, H848))</f>
        <v>1</v>
      </c>
      <c r="J848" s="10" t="str">
        <f aca="false">_xlfn.CONCAT(A848, ",",H848,",",I848)</f>
        <v>묀,이,1</v>
      </c>
      <c r="K848" s="16" t="n">
        <f aca="false">IF(B848=-1,-1,VLOOKUP(C848,$T$1:$V$20,3))</f>
        <v>9</v>
      </c>
      <c r="L848" s="16" t="n">
        <f aca="false">IF(B848=-1,-1,VLOOKUP(D848,$Y$1:$AA$22,3))</f>
        <v>22</v>
      </c>
      <c r="N848" s="10" t="str">
        <f aca="false">_xlfn.UNICHAR(((C848*21)+G848)*28+44032)</f>
        <v>미</v>
      </c>
      <c r="O848" s="10" t="str">
        <f aca="false">_xlfn.UNICHAR(((F848*21)+D848)*28+44032)</f>
        <v>외</v>
      </c>
      <c r="P848" s="12" t="n">
        <f aca="false">COUNTIF($A$2:$A$3000, N848) + COUNTIF($A$2:$A$3000, O848)</f>
        <v>2</v>
      </c>
      <c r="Q848" s="16" t="str">
        <f aca="false">IF(OR(B848=-1,I848=0, P848&lt;&gt;2), "albhed_dummy", _xlfn.CONCAT("albhed ", RIGHT("  " &amp; K848,2),", ", RIGHT("  " &amp; L848,2), ", " ,"""",H848,""", ", """",N848,""", ","""",O848,""""," ; ", A848))</f>
        <v>albhed  9, 22, "이", "미", "외" ; 묀</v>
      </c>
    </row>
    <row r="849" customFormat="false" ht="17.9" hidden="false" customHeight="true" outlineLevel="0" collapsed="false">
      <c r="A849" s="16" t="s">
        <v>1719</v>
      </c>
      <c r="B849" s="16" t="n">
        <f aca="false">IF(_xlfn.UNICODE(A849)&lt;44032,-1,_xlfn.UNICODE(A849)-44032)</f>
        <v>3844</v>
      </c>
      <c r="C849" s="16" t="n">
        <f aca="false">IF(B849=-1,-1,INT((B849/28)/21))</f>
        <v>6</v>
      </c>
      <c r="D849" s="16" t="n">
        <f aca="false">IF(B849=-1, -1, MOD(INT(B849/28),21))</f>
        <v>11</v>
      </c>
      <c r="E849" s="16" t="n">
        <f aca="false">IF(B849=-1, -1, VLOOKUP(MOD(B849,28), $T$24:$U$52,2))</f>
        <v>8</v>
      </c>
      <c r="F849" s="16" t="n">
        <f aca="false">IF($B849=-1, -1, VLOOKUP(C849,$T$1:$V$20, 2))</f>
        <v>11</v>
      </c>
      <c r="G849" s="16" t="n">
        <f aca="false">IF($B849=-1, -1, VLOOKUP(D849,$Y$1:$Z$22,2))</f>
        <v>20</v>
      </c>
      <c r="H849" s="16" t="str">
        <f aca="false">_xlfn.UNICHAR(((F849*21)+G849)*28+44032)</f>
        <v>이</v>
      </c>
      <c r="I849" s="16" t="n">
        <f aca="false">IF(B849=-1, 1, COUNTIF($A$2:$A$3000, H849))</f>
        <v>1</v>
      </c>
      <c r="J849" s="10" t="str">
        <f aca="false">_xlfn.CONCAT(A849, ",",H849,",",I849)</f>
        <v>묄,이,1</v>
      </c>
      <c r="K849" s="16" t="n">
        <f aca="false">IF(B849=-1,-1,VLOOKUP(C849,$T$1:$V$20,3))</f>
        <v>9</v>
      </c>
      <c r="L849" s="16" t="n">
        <f aca="false">IF(B849=-1,-1,VLOOKUP(D849,$Y$1:$AA$22,3))</f>
        <v>22</v>
      </c>
      <c r="N849" s="10" t="str">
        <f aca="false">_xlfn.UNICHAR(((C849*21)+G849)*28+44032)</f>
        <v>미</v>
      </c>
      <c r="O849" s="10" t="str">
        <f aca="false">_xlfn.UNICHAR(((F849*21)+D849)*28+44032)</f>
        <v>외</v>
      </c>
      <c r="P849" s="12" t="n">
        <f aca="false">COUNTIF($A$2:$A$3000, N849) + COUNTIF($A$2:$A$3000, O849)</f>
        <v>2</v>
      </c>
      <c r="Q849" s="16" t="str">
        <f aca="false">IF(OR(B849=-1,I849=0, P849&lt;&gt;2), "albhed_dummy", _xlfn.CONCAT("albhed ", RIGHT("  " &amp; K849,2),", ", RIGHT("  " &amp; L849,2), ", " ,"""",H849,""", ", """",N849,""", ","""",O849,""""," ; ", A849))</f>
        <v>albhed  9, 22, "이", "미", "외" ; 묄</v>
      </c>
    </row>
    <row r="850" customFormat="false" ht="17.9" hidden="false" customHeight="true" outlineLevel="0" collapsed="false">
      <c r="A850" s="16" t="s">
        <v>1720</v>
      </c>
      <c r="B850" s="16" t="n">
        <f aca="false">IF(_xlfn.UNICODE(A850)&lt;44032,-1,_xlfn.UNICODE(A850)-44032)</f>
        <v>3853</v>
      </c>
      <c r="C850" s="16" t="n">
        <f aca="false">IF(B850=-1,-1,INT((B850/28)/21))</f>
        <v>6</v>
      </c>
      <c r="D850" s="16" t="n">
        <f aca="false">IF(B850=-1, -1, MOD(INT(B850/28),21))</f>
        <v>11</v>
      </c>
      <c r="E850" s="16" t="n">
        <f aca="false">IF(B850=-1, -1, VLOOKUP(MOD(B850,28), $T$24:$U$52,2))</f>
        <v>17</v>
      </c>
      <c r="F850" s="16" t="n">
        <f aca="false">IF($B850=-1, -1, VLOOKUP(C850,$T$1:$V$20, 2))</f>
        <v>11</v>
      </c>
      <c r="G850" s="16" t="n">
        <f aca="false">IF($B850=-1, -1, VLOOKUP(D850,$Y$1:$Z$22,2))</f>
        <v>20</v>
      </c>
      <c r="H850" s="16" t="str">
        <f aca="false">_xlfn.UNICHAR(((F850*21)+G850)*28+44032)</f>
        <v>이</v>
      </c>
      <c r="I850" s="16" t="n">
        <f aca="false">IF(B850=-1, 1, COUNTIF($A$2:$A$3000, H850))</f>
        <v>1</v>
      </c>
      <c r="J850" s="10" t="str">
        <f aca="false">_xlfn.CONCAT(A850, ",",H850,",",I850)</f>
        <v>묍,이,1</v>
      </c>
      <c r="K850" s="16" t="n">
        <f aca="false">IF(B850=-1,-1,VLOOKUP(C850,$T$1:$V$20,3))</f>
        <v>9</v>
      </c>
      <c r="L850" s="16" t="n">
        <f aca="false">IF(B850=-1,-1,VLOOKUP(D850,$Y$1:$AA$22,3))</f>
        <v>22</v>
      </c>
      <c r="N850" s="10" t="str">
        <f aca="false">_xlfn.UNICHAR(((C850*21)+G850)*28+44032)</f>
        <v>미</v>
      </c>
      <c r="O850" s="10" t="str">
        <f aca="false">_xlfn.UNICHAR(((F850*21)+D850)*28+44032)</f>
        <v>외</v>
      </c>
      <c r="P850" s="12" t="n">
        <f aca="false">COUNTIF($A$2:$A$3000, N850) + COUNTIF($A$2:$A$3000, O850)</f>
        <v>2</v>
      </c>
      <c r="Q850" s="16" t="str">
        <f aca="false">IF(OR(B850=-1,I850=0, P850&lt;&gt;2), "albhed_dummy", _xlfn.CONCAT("albhed ", RIGHT("  " &amp; K850,2),", ", RIGHT("  " &amp; L850,2), ", " ,"""",H850,""", ", """",N850,""", ","""",O850,""""," ; ", A850))</f>
        <v>albhed  9, 22, "이", "미", "외" ; 묍</v>
      </c>
    </row>
    <row r="851" customFormat="false" ht="17.9" hidden="false" customHeight="true" outlineLevel="0" collapsed="false">
      <c r="A851" s="16" t="s">
        <v>1721</v>
      </c>
      <c r="B851" s="16" t="n">
        <f aca="false">IF(_xlfn.UNICODE(A851)&lt;44032,-1,_xlfn.UNICODE(A851)-44032)</f>
        <v>3855</v>
      </c>
      <c r="C851" s="16" t="n">
        <f aca="false">IF(B851=-1,-1,INT((B851/28)/21))</f>
        <v>6</v>
      </c>
      <c r="D851" s="16" t="n">
        <f aca="false">IF(B851=-1, -1, MOD(INT(B851/28),21))</f>
        <v>11</v>
      </c>
      <c r="E851" s="16" t="n">
        <f aca="false">IF(B851=-1, -1, VLOOKUP(MOD(B851,28), $T$24:$U$52,2))</f>
        <v>19</v>
      </c>
      <c r="F851" s="16" t="n">
        <f aca="false">IF($B851=-1, -1, VLOOKUP(C851,$T$1:$V$20, 2))</f>
        <v>11</v>
      </c>
      <c r="G851" s="16" t="n">
        <f aca="false">IF($B851=-1, -1, VLOOKUP(D851,$Y$1:$Z$22,2))</f>
        <v>20</v>
      </c>
      <c r="H851" s="16" t="str">
        <f aca="false">_xlfn.UNICHAR(((F851*21)+G851)*28+44032)</f>
        <v>이</v>
      </c>
      <c r="I851" s="16" t="n">
        <f aca="false">IF(B851=-1, 1, COUNTIF($A$2:$A$3000, H851))</f>
        <v>1</v>
      </c>
      <c r="J851" s="10" t="str">
        <f aca="false">_xlfn.CONCAT(A851, ",",H851,",",I851)</f>
        <v>묏,이,1</v>
      </c>
      <c r="K851" s="16" t="n">
        <f aca="false">IF(B851=-1,-1,VLOOKUP(C851,$T$1:$V$20,3))</f>
        <v>9</v>
      </c>
      <c r="L851" s="16" t="n">
        <f aca="false">IF(B851=-1,-1,VLOOKUP(D851,$Y$1:$AA$22,3))</f>
        <v>22</v>
      </c>
      <c r="N851" s="10" t="str">
        <f aca="false">_xlfn.UNICHAR(((C851*21)+G851)*28+44032)</f>
        <v>미</v>
      </c>
      <c r="O851" s="10" t="str">
        <f aca="false">_xlfn.UNICHAR(((F851*21)+D851)*28+44032)</f>
        <v>외</v>
      </c>
      <c r="P851" s="12" t="n">
        <f aca="false">COUNTIF($A$2:$A$3000, N851) + COUNTIF($A$2:$A$3000, O851)</f>
        <v>2</v>
      </c>
      <c r="Q851" s="16" t="str">
        <f aca="false">IF(OR(B851=-1,I851=0, P851&lt;&gt;2), "albhed_dummy", _xlfn.CONCAT("albhed ", RIGHT("  " &amp; K851,2),", ", RIGHT("  " &amp; L851,2), ", " ,"""",H851,""", ", """",N851,""", ","""",O851,""""," ; ", A851))</f>
        <v>albhed  9, 22, "이", "미", "외" ; 묏</v>
      </c>
    </row>
    <row r="852" customFormat="false" ht="17.9" hidden="false" customHeight="true" outlineLevel="0" collapsed="false">
      <c r="A852" s="16" t="s">
        <v>1722</v>
      </c>
      <c r="B852" s="16" t="n">
        <f aca="false">IF(_xlfn.UNICODE(A852)&lt;44032,-1,_xlfn.UNICODE(A852)-44032)</f>
        <v>3857</v>
      </c>
      <c r="C852" s="16" t="n">
        <f aca="false">IF(B852=-1,-1,INT((B852/28)/21))</f>
        <v>6</v>
      </c>
      <c r="D852" s="16" t="n">
        <f aca="false">IF(B852=-1, -1, MOD(INT(B852/28),21))</f>
        <v>11</v>
      </c>
      <c r="E852" s="16" t="n">
        <f aca="false">IF(B852=-1, -1, VLOOKUP(MOD(B852,28), $T$24:$U$52,2))</f>
        <v>21</v>
      </c>
      <c r="F852" s="16" t="n">
        <f aca="false">IF($B852=-1, -1, VLOOKUP(C852,$T$1:$V$20, 2))</f>
        <v>11</v>
      </c>
      <c r="G852" s="16" t="n">
        <f aca="false">IF($B852=-1, -1, VLOOKUP(D852,$Y$1:$Z$22,2))</f>
        <v>20</v>
      </c>
      <c r="H852" s="16" t="str">
        <f aca="false">_xlfn.UNICHAR(((F852*21)+G852)*28+44032)</f>
        <v>이</v>
      </c>
      <c r="I852" s="16" t="n">
        <f aca="false">IF(B852=-1, 1, COUNTIF($A$2:$A$3000, H852))</f>
        <v>1</v>
      </c>
      <c r="J852" s="10" t="str">
        <f aca="false">_xlfn.CONCAT(A852, ",",H852,",",I852)</f>
        <v>묑,이,1</v>
      </c>
      <c r="K852" s="16" t="n">
        <f aca="false">IF(B852=-1,-1,VLOOKUP(C852,$T$1:$V$20,3))</f>
        <v>9</v>
      </c>
      <c r="L852" s="16" t="n">
        <f aca="false">IF(B852=-1,-1,VLOOKUP(D852,$Y$1:$AA$22,3))</f>
        <v>22</v>
      </c>
      <c r="N852" s="10" t="str">
        <f aca="false">_xlfn.UNICHAR(((C852*21)+G852)*28+44032)</f>
        <v>미</v>
      </c>
      <c r="O852" s="10" t="str">
        <f aca="false">_xlfn.UNICHAR(((F852*21)+D852)*28+44032)</f>
        <v>외</v>
      </c>
      <c r="P852" s="12" t="n">
        <f aca="false">COUNTIF($A$2:$A$3000, N852) + COUNTIF($A$2:$A$3000, O852)</f>
        <v>2</v>
      </c>
      <c r="Q852" s="16" t="str">
        <f aca="false">IF(OR(B852=-1,I852=0, P852&lt;&gt;2), "albhed_dummy", _xlfn.CONCAT("albhed ", RIGHT("  " &amp; K852,2),", ", RIGHT("  " &amp; L852,2), ", " ,"""",H852,""", ", """",N852,""", ","""",O852,""""," ; ", A852))</f>
        <v>albhed  9, 22, "이", "미", "외" ; 묑</v>
      </c>
    </row>
    <row r="853" customFormat="false" ht="17.9" hidden="false" customHeight="true" outlineLevel="0" collapsed="false">
      <c r="A853" s="16" t="s">
        <v>1723</v>
      </c>
      <c r="B853" s="16" t="n">
        <f aca="false">IF(_xlfn.UNICODE(A853)&lt;44032,-1,_xlfn.UNICODE(A853)-44032)</f>
        <v>3864</v>
      </c>
      <c r="C853" s="16" t="n">
        <f aca="false">IF(B853=-1,-1,INT((B853/28)/21))</f>
        <v>6</v>
      </c>
      <c r="D853" s="16" t="n">
        <f aca="false">IF(B853=-1, -1, MOD(INT(B853/28),21))</f>
        <v>12</v>
      </c>
      <c r="E853" s="16" t="n">
        <f aca="false">IF(B853=-1, -1, VLOOKUP(MOD(B853,28), $T$24:$U$52,2))</f>
        <v>0</v>
      </c>
      <c r="F853" s="16" t="n">
        <f aca="false">IF($B853=-1, -1, VLOOKUP(C853,$T$1:$V$20, 2))</f>
        <v>11</v>
      </c>
      <c r="G853" s="16" t="n">
        <f aca="false">IF($B853=-1, -1, VLOOKUP(D853,$Y$1:$Z$22,2))</f>
        <v>6</v>
      </c>
      <c r="H853" s="16" t="str">
        <f aca="false">_xlfn.UNICHAR(((F853*21)+G853)*28+44032)</f>
        <v>여</v>
      </c>
      <c r="I853" s="16" t="n">
        <f aca="false">IF(B853=-1, 1, COUNTIF($A$2:$A$3000, H853))</f>
        <v>1</v>
      </c>
      <c r="J853" s="10" t="str">
        <f aca="false">_xlfn.CONCAT(A853, ",",H853,",",I853)</f>
        <v>묘,여,1</v>
      </c>
      <c r="K853" s="16" t="n">
        <f aca="false">IF(B853=-1,-1,VLOOKUP(C853,$T$1:$V$20,3))</f>
        <v>9</v>
      </c>
      <c r="L853" s="16" t="n">
        <f aca="false">IF(B853=-1,-1,VLOOKUP(D853,$Y$1:$AA$22,3))</f>
        <v>8</v>
      </c>
      <c r="N853" s="10" t="str">
        <f aca="false">_xlfn.UNICHAR(((C853*21)+G853)*28+44032)</f>
        <v>며</v>
      </c>
      <c r="O853" s="10" t="str">
        <f aca="false">_xlfn.UNICHAR(((F853*21)+D853)*28+44032)</f>
        <v>요</v>
      </c>
      <c r="P853" s="12" t="n">
        <f aca="false">COUNTIF($A$2:$A$3000, N853) + COUNTIF($A$2:$A$3000, O853)</f>
        <v>2</v>
      </c>
      <c r="Q853" s="16" t="str">
        <f aca="false">IF(OR(B853=-1,I853=0, P853&lt;&gt;2), "albhed_dummy", _xlfn.CONCAT("albhed ", RIGHT("  " &amp; K853,2),", ", RIGHT("  " &amp; L853,2), ", " ,"""",H853,""", ", """",N853,""", ","""",O853,""""," ; ", A853))</f>
        <v>albhed  9,  8, "여", "며", "요" ; 묘</v>
      </c>
    </row>
    <row r="854" customFormat="false" ht="17.9" hidden="false" customHeight="true" outlineLevel="0" collapsed="false">
      <c r="A854" s="16" t="s">
        <v>1724</v>
      </c>
      <c r="B854" s="16" t="n">
        <f aca="false">IF(_xlfn.UNICODE(A854)&lt;44032,-1,_xlfn.UNICODE(A854)-44032)</f>
        <v>3868</v>
      </c>
      <c r="C854" s="16" t="n">
        <f aca="false">IF(B854=-1,-1,INT((B854/28)/21))</f>
        <v>6</v>
      </c>
      <c r="D854" s="16" t="n">
        <f aca="false">IF(B854=-1, -1, MOD(INT(B854/28),21))</f>
        <v>12</v>
      </c>
      <c r="E854" s="16" t="n">
        <f aca="false">IF(B854=-1, -1, VLOOKUP(MOD(B854,28), $T$24:$U$52,2))</f>
        <v>4</v>
      </c>
      <c r="F854" s="16" t="n">
        <f aca="false">IF($B854=-1, -1, VLOOKUP(C854,$T$1:$V$20, 2))</f>
        <v>11</v>
      </c>
      <c r="G854" s="16" t="n">
        <f aca="false">IF($B854=-1, -1, VLOOKUP(D854,$Y$1:$Z$22,2))</f>
        <v>6</v>
      </c>
      <c r="H854" s="16" t="str">
        <f aca="false">_xlfn.UNICHAR(((F854*21)+G854)*28+44032)</f>
        <v>여</v>
      </c>
      <c r="I854" s="16" t="n">
        <f aca="false">IF(B854=-1, 1, COUNTIF($A$2:$A$3000, H854))</f>
        <v>1</v>
      </c>
      <c r="J854" s="10" t="str">
        <f aca="false">_xlfn.CONCAT(A854, ",",H854,",",I854)</f>
        <v>묜,여,1</v>
      </c>
      <c r="K854" s="16" t="n">
        <f aca="false">IF(B854=-1,-1,VLOOKUP(C854,$T$1:$V$20,3))</f>
        <v>9</v>
      </c>
      <c r="L854" s="16" t="n">
        <f aca="false">IF(B854=-1,-1,VLOOKUP(D854,$Y$1:$AA$22,3))</f>
        <v>8</v>
      </c>
      <c r="N854" s="10" t="str">
        <f aca="false">_xlfn.UNICHAR(((C854*21)+G854)*28+44032)</f>
        <v>며</v>
      </c>
      <c r="O854" s="10" t="str">
        <f aca="false">_xlfn.UNICHAR(((F854*21)+D854)*28+44032)</f>
        <v>요</v>
      </c>
      <c r="P854" s="12" t="n">
        <f aca="false">COUNTIF($A$2:$A$3000, N854) + COUNTIF($A$2:$A$3000, O854)</f>
        <v>2</v>
      </c>
      <c r="Q854" s="16" t="str">
        <f aca="false">IF(OR(B854=-1,I854=0, P854&lt;&gt;2), "albhed_dummy", _xlfn.CONCAT("albhed ", RIGHT("  " &amp; K854,2),", ", RIGHT("  " &amp; L854,2), ", " ,"""",H854,""", ", """",N854,""", ","""",O854,""""," ; ", A854))</f>
        <v>albhed  9,  8, "여", "며", "요" ; 묜</v>
      </c>
    </row>
    <row r="855" customFormat="false" ht="17.9" hidden="false" customHeight="true" outlineLevel="0" collapsed="false">
      <c r="A855" s="16" t="s">
        <v>1725</v>
      </c>
      <c r="B855" s="16" t="n">
        <f aca="false">IF(_xlfn.UNICODE(A855)&lt;44032,-1,_xlfn.UNICODE(A855)-44032)</f>
        <v>3872</v>
      </c>
      <c r="C855" s="16" t="n">
        <f aca="false">IF(B855=-1,-1,INT((B855/28)/21))</f>
        <v>6</v>
      </c>
      <c r="D855" s="16" t="n">
        <f aca="false">IF(B855=-1, -1, MOD(INT(B855/28),21))</f>
        <v>12</v>
      </c>
      <c r="E855" s="16" t="n">
        <f aca="false">IF(B855=-1, -1, VLOOKUP(MOD(B855,28), $T$24:$U$52,2))</f>
        <v>8</v>
      </c>
      <c r="F855" s="16" t="n">
        <f aca="false">IF($B855=-1, -1, VLOOKUP(C855,$T$1:$V$20, 2))</f>
        <v>11</v>
      </c>
      <c r="G855" s="16" t="n">
        <f aca="false">IF($B855=-1, -1, VLOOKUP(D855,$Y$1:$Z$22,2))</f>
        <v>6</v>
      </c>
      <c r="H855" s="16" t="str">
        <f aca="false">_xlfn.UNICHAR(((F855*21)+G855)*28+44032)</f>
        <v>여</v>
      </c>
      <c r="I855" s="16" t="n">
        <f aca="false">IF(B855=-1, 1, COUNTIF($A$2:$A$3000, H855))</f>
        <v>1</v>
      </c>
      <c r="J855" s="10" t="str">
        <f aca="false">_xlfn.CONCAT(A855, ",",H855,",",I855)</f>
        <v>묠,여,1</v>
      </c>
      <c r="K855" s="16" t="n">
        <f aca="false">IF(B855=-1,-1,VLOOKUP(C855,$T$1:$V$20,3))</f>
        <v>9</v>
      </c>
      <c r="L855" s="16" t="n">
        <f aca="false">IF(B855=-1,-1,VLOOKUP(D855,$Y$1:$AA$22,3))</f>
        <v>8</v>
      </c>
      <c r="N855" s="10" t="str">
        <f aca="false">_xlfn.UNICHAR(((C855*21)+G855)*28+44032)</f>
        <v>며</v>
      </c>
      <c r="O855" s="10" t="str">
        <f aca="false">_xlfn.UNICHAR(((F855*21)+D855)*28+44032)</f>
        <v>요</v>
      </c>
      <c r="P855" s="12" t="n">
        <f aca="false">COUNTIF($A$2:$A$3000, N855) + COUNTIF($A$2:$A$3000, O855)</f>
        <v>2</v>
      </c>
      <c r="Q855" s="16" t="str">
        <f aca="false">IF(OR(B855=-1,I855=0, P855&lt;&gt;2), "albhed_dummy", _xlfn.CONCAT("albhed ", RIGHT("  " &amp; K855,2),", ", RIGHT("  " &amp; L855,2), ", " ,"""",H855,""", ", """",N855,""", ","""",O855,""""," ; ", A855))</f>
        <v>albhed  9,  8, "여", "며", "요" ; 묠</v>
      </c>
    </row>
    <row r="856" customFormat="false" ht="17.9" hidden="false" customHeight="true" outlineLevel="0" collapsed="false">
      <c r="A856" s="16" t="s">
        <v>1726</v>
      </c>
      <c r="B856" s="16" t="n">
        <f aca="false">IF(_xlfn.UNICODE(A856)&lt;44032,-1,_xlfn.UNICODE(A856)-44032)</f>
        <v>3881</v>
      </c>
      <c r="C856" s="16" t="n">
        <f aca="false">IF(B856=-1,-1,INT((B856/28)/21))</f>
        <v>6</v>
      </c>
      <c r="D856" s="16" t="n">
        <f aca="false">IF(B856=-1, -1, MOD(INT(B856/28),21))</f>
        <v>12</v>
      </c>
      <c r="E856" s="16" t="n">
        <f aca="false">IF(B856=-1, -1, VLOOKUP(MOD(B856,28), $T$24:$U$52,2))</f>
        <v>17</v>
      </c>
      <c r="F856" s="16" t="n">
        <f aca="false">IF($B856=-1, -1, VLOOKUP(C856,$T$1:$V$20, 2))</f>
        <v>11</v>
      </c>
      <c r="G856" s="16" t="n">
        <f aca="false">IF($B856=-1, -1, VLOOKUP(D856,$Y$1:$Z$22,2))</f>
        <v>6</v>
      </c>
      <c r="H856" s="16" t="str">
        <f aca="false">_xlfn.UNICHAR(((F856*21)+G856)*28+44032)</f>
        <v>여</v>
      </c>
      <c r="I856" s="16" t="n">
        <f aca="false">IF(B856=-1, 1, COUNTIF($A$2:$A$3000, H856))</f>
        <v>1</v>
      </c>
      <c r="J856" s="10" t="str">
        <f aca="false">_xlfn.CONCAT(A856, ",",H856,",",I856)</f>
        <v>묩,여,1</v>
      </c>
      <c r="K856" s="16" t="n">
        <f aca="false">IF(B856=-1,-1,VLOOKUP(C856,$T$1:$V$20,3))</f>
        <v>9</v>
      </c>
      <c r="L856" s="16" t="n">
        <f aca="false">IF(B856=-1,-1,VLOOKUP(D856,$Y$1:$AA$22,3))</f>
        <v>8</v>
      </c>
      <c r="N856" s="10" t="str">
        <f aca="false">_xlfn.UNICHAR(((C856*21)+G856)*28+44032)</f>
        <v>며</v>
      </c>
      <c r="O856" s="10" t="str">
        <f aca="false">_xlfn.UNICHAR(((F856*21)+D856)*28+44032)</f>
        <v>요</v>
      </c>
      <c r="P856" s="12" t="n">
        <f aca="false">COUNTIF($A$2:$A$3000, N856) + COUNTIF($A$2:$A$3000, O856)</f>
        <v>2</v>
      </c>
      <c r="Q856" s="16" t="str">
        <f aca="false">IF(OR(B856=-1,I856=0, P856&lt;&gt;2), "albhed_dummy", _xlfn.CONCAT("albhed ", RIGHT("  " &amp; K856,2),", ", RIGHT("  " &amp; L856,2), ", " ,"""",H856,""", ", """",N856,""", ","""",O856,""""," ; ", A856))</f>
        <v>albhed  9,  8, "여", "며", "요" ; 묩</v>
      </c>
    </row>
    <row r="857" customFormat="false" ht="17.9" hidden="false" customHeight="true" outlineLevel="0" collapsed="false">
      <c r="A857" s="16" t="s">
        <v>1727</v>
      </c>
      <c r="B857" s="16" t="n">
        <f aca="false">IF(_xlfn.UNICODE(A857)&lt;44032,-1,_xlfn.UNICODE(A857)-44032)</f>
        <v>3883</v>
      </c>
      <c r="C857" s="16" t="n">
        <f aca="false">IF(B857=-1,-1,INT((B857/28)/21))</f>
        <v>6</v>
      </c>
      <c r="D857" s="16" t="n">
        <f aca="false">IF(B857=-1, -1, MOD(INT(B857/28),21))</f>
        <v>12</v>
      </c>
      <c r="E857" s="16" t="n">
        <f aca="false">IF(B857=-1, -1, VLOOKUP(MOD(B857,28), $T$24:$U$52,2))</f>
        <v>19</v>
      </c>
      <c r="F857" s="16" t="n">
        <f aca="false">IF($B857=-1, -1, VLOOKUP(C857,$T$1:$V$20, 2))</f>
        <v>11</v>
      </c>
      <c r="G857" s="16" t="n">
        <f aca="false">IF($B857=-1, -1, VLOOKUP(D857,$Y$1:$Z$22,2))</f>
        <v>6</v>
      </c>
      <c r="H857" s="16" t="str">
        <f aca="false">_xlfn.UNICHAR(((F857*21)+G857)*28+44032)</f>
        <v>여</v>
      </c>
      <c r="I857" s="16" t="n">
        <f aca="false">IF(B857=-1, 1, COUNTIF($A$2:$A$3000, H857))</f>
        <v>1</v>
      </c>
      <c r="J857" s="10" t="str">
        <f aca="false">_xlfn.CONCAT(A857, ",",H857,",",I857)</f>
        <v>묫,여,1</v>
      </c>
      <c r="K857" s="16" t="n">
        <f aca="false">IF(B857=-1,-1,VLOOKUP(C857,$T$1:$V$20,3))</f>
        <v>9</v>
      </c>
      <c r="L857" s="16" t="n">
        <f aca="false">IF(B857=-1,-1,VLOOKUP(D857,$Y$1:$AA$22,3))</f>
        <v>8</v>
      </c>
      <c r="N857" s="10" t="str">
        <f aca="false">_xlfn.UNICHAR(((C857*21)+G857)*28+44032)</f>
        <v>며</v>
      </c>
      <c r="O857" s="10" t="str">
        <f aca="false">_xlfn.UNICHAR(((F857*21)+D857)*28+44032)</f>
        <v>요</v>
      </c>
      <c r="P857" s="12" t="n">
        <f aca="false">COUNTIF($A$2:$A$3000, N857) + COUNTIF($A$2:$A$3000, O857)</f>
        <v>2</v>
      </c>
      <c r="Q857" s="16" t="str">
        <f aca="false">IF(OR(B857=-1,I857=0, P857&lt;&gt;2), "albhed_dummy", _xlfn.CONCAT("albhed ", RIGHT("  " &amp; K857,2),", ", RIGHT("  " &amp; L857,2), ", " ,"""",H857,""", ", """",N857,""", ","""",O857,""""," ; ", A857))</f>
        <v>albhed  9,  8, "여", "며", "요" ; 묫</v>
      </c>
    </row>
    <row r="858" customFormat="false" ht="17.9" hidden="false" customHeight="true" outlineLevel="0" collapsed="false">
      <c r="A858" s="16" t="s">
        <v>1728</v>
      </c>
      <c r="B858" s="16" t="n">
        <f aca="false">IF(_xlfn.UNICODE(A858)&lt;44032,-1,_xlfn.UNICODE(A858)-44032)</f>
        <v>3892</v>
      </c>
      <c r="C858" s="16" t="n">
        <f aca="false">IF(B858=-1,-1,INT((B858/28)/21))</f>
        <v>6</v>
      </c>
      <c r="D858" s="16" t="n">
        <f aca="false">IF(B858=-1, -1, MOD(INT(B858/28),21))</f>
        <v>13</v>
      </c>
      <c r="E858" s="16" t="n">
        <f aca="false">IF(B858=-1, -1, VLOOKUP(MOD(B858,28), $T$24:$U$52,2))</f>
        <v>0</v>
      </c>
      <c r="F858" s="16" t="n">
        <f aca="false">IF($B858=-1, -1, VLOOKUP(C858,$T$1:$V$20, 2))</f>
        <v>11</v>
      </c>
      <c r="G858" s="16" t="n">
        <f aca="false">IF($B858=-1, -1, VLOOKUP(D858,$Y$1:$Z$22,2))</f>
        <v>0</v>
      </c>
      <c r="H858" s="16" t="str">
        <f aca="false">_xlfn.UNICHAR(((F858*21)+G858)*28+44032)</f>
        <v>아</v>
      </c>
      <c r="I858" s="16" t="n">
        <f aca="false">IF(B858=-1, 1, COUNTIF($A$2:$A$3000, H858))</f>
        <v>1</v>
      </c>
      <c r="J858" s="10" t="str">
        <f aca="false">_xlfn.CONCAT(A858, ",",H858,",",I858)</f>
        <v>무,아,1</v>
      </c>
      <c r="K858" s="16" t="n">
        <f aca="false">IF(B858=-1,-1,VLOOKUP(C858,$T$1:$V$20,3))</f>
        <v>9</v>
      </c>
      <c r="L858" s="16" t="n">
        <f aca="false">IF(B858=-1,-1,VLOOKUP(D858,$Y$1:$AA$22,3))</f>
        <v>6</v>
      </c>
      <c r="N858" s="10" t="str">
        <f aca="false">_xlfn.UNICHAR(((C858*21)+G858)*28+44032)</f>
        <v>마</v>
      </c>
      <c r="O858" s="10" t="str">
        <f aca="false">_xlfn.UNICHAR(((F858*21)+D858)*28+44032)</f>
        <v>우</v>
      </c>
      <c r="P858" s="12" t="n">
        <f aca="false">COUNTIF($A$2:$A$3000, N858) + COUNTIF($A$2:$A$3000, O858)</f>
        <v>2</v>
      </c>
      <c r="Q858" s="16" t="str">
        <f aca="false">IF(OR(B858=-1,I858=0, P858&lt;&gt;2), "albhed_dummy", _xlfn.CONCAT("albhed ", RIGHT("  " &amp; K858,2),", ", RIGHT("  " &amp; L858,2), ", " ,"""",H858,""", ", """",N858,""", ","""",O858,""""," ; ", A858))</f>
        <v>albhed  9,  6, "아", "마", "우" ; 무</v>
      </c>
    </row>
    <row r="859" customFormat="false" ht="17.9" hidden="false" customHeight="true" outlineLevel="0" collapsed="false">
      <c r="A859" s="16" t="s">
        <v>1729</v>
      </c>
      <c r="B859" s="16" t="n">
        <f aca="false">IF(_xlfn.UNICODE(A859)&lt;44032,-1,_xlfn.UNICODE(A859)-44032)</f>
        <v>3893</v>
      </c>
      <c r="C859" s="16" t="n">
        <f aca="false">IF(B859=-1,-1,INT((B859/28)/21))</f>
        <v>6</v>
      </c>
      <c r="D859" s="16" t="n">
        <f aca="false">IF(B859=-1, -1, MOD(INT(B859/28),21))</f>
        <v>13</v>
      </c>
      <c r="E859" s="16" t="n">
        <f aca="false">IF(B859=-1, -1, VLOOKUP(MOD(B859,28), $T$24:$U$52,2))</f>
        <v>1</v>
      </c>
      <c r="F859" s="16" t="n">
        <f aca="false">IF($B859=-1, -1, VLOOKUP(C859,$T$1:$V$20, 2))</f>
        <v>11</v>
      </c>
      <c r="G859" s="16" t="n">
        <f aca="false">IF($B859=-1, -1, VLOOKUP(D859,$Y$1:$Z$22,2))</f>
        <v>0</v>
      </c>
      <c r="H859" s="16" t="str">
        <f aca="false">_xlfn.UNICHAR(((F859*21)+G859)*28+44032)</f>
        <v>아</v>
      </c>
      <c r="I859" s="16" t="n">
        <f aca="false">IF(B859=-1, 1, COUNTIF($A$2:$A$3000, H859))</f>
        <v>1</v>
      </c>
      <c r="J859" s="10" t="str">
        <f aca="false">_xlfn.CONCAT(A859, ",",H859,",",I859)</f>
        <v>묵,아,1</v>
      </c>
      <c r="K859" s="16" t="n">
        <f aca="false">IF(B859=-1,-1,VLOOKUP(C859,$T$1:$V$20,3))</f>
        <v>9</v>
      </c>
      <c r="L859" s="16" t="n">
        <f aca="false">IF(B859=-1,-1,VLOOKUP(D859,$Y$1:$AA$22,3))</f>
        <v>6</v>
      </c>
      <c r="N859" s="10" t="str">
        <f aca="false">_xlfn.UNICHAR(((C859*21)+G859)*28+44032)</f>
        <v>마</v>
      </c>
      <c r="O859" s="10" t="str">
        <f aca="false">_xlfn.UNICHAR(((F859*21)+D859)*28+44032)</f>
        <v>우</v>
      </c>
      <c r="P859" s="12" t="n">
        <f aca="false">COUNTIF($A$2:$A$3000, N859) + COUNTIF($A$2:$A$3000, O859)</f>
        <v>2</v>
      </c>
      <c r="Q859" s="16" t="str">
        <f aca="false">IF(OR(B859=-1,I859=0, P859&lt;&gt;2), "albhed_dummy", _xlfn.CONCAT("albhed ", RIGHT("  " &amp; K859,2),", ", RIGHT("  " &amp; L859,2), ", " ,"""",H859,""", ", """",N859,""", ","""",O859,""""," ; ", A859))</f>
        <v>albhed  9,  6, "아", "마", "우" ; 묵</v>
      </c>
    </row>
    <row r="860" customFormat="false" ht="17.9" hidden="false" customHeight="true" outlineLevel="0" collapsed="false">
      <c r="A860" s="16" t="s">
        <v>1730</v>
      </c>
      <c r="B860" s="16" t="n">
        <f aca="false">IF(_xlfn.UNICODE(A860)&lt;44032,-1,_xlfn.UNICODE(A860)-44032)</f>
        <v>3894</v>
      </c>
      <c r="C860" s="16" t="n">
        <f aca="false">IF(B860=-1,-1,INT((B860/28)/21))</f>
        <v>6</v>
      </c>
      <c r="D860" s="16" t="n">
        <f aca="false">IF(B860=-1, -1, MOD(INT(B860/28),21))</f>
        <v>13</v>
      </c>
      <c r="E860" s="16" t="n">
        <f aca="false">IF(B860=-1, -1, VLOOKUP(MOD(B860,28), $T$24:$U$52,2))</f>
        <v>1</v>
      </c>
      <c r="F860" s="16" t="n">
        <f aca="false">IF($B860=-1, -1, VLOOKUP(C860,$T$1:$V$20, 2))</f>
        <v>11</v>
      </c>
      <c r="G860" s="16" t="n">
        <f aca="false">IF($B860=-1, -1, VLOOKUP(D860,$Y$1:$Z$22,2))</f>
        <v>0</v>
      </c>
      <c r="H860" s="16" t="str">
        <f aca="false">_xlfn.UNICHAR(((F860*21)+G860)*28+44032)</f>
        <v>아</v>
      </c>
      <c r="I860" s="16" t="n">
        <f aca="false">IF(B860=-1, 1, COUNTIF($A$2:$A$3000, H860))</f>
        <v>1</v>
      </c>
      <c r="J860" s="10" t="str">
        <f aca="false">_xlfn.CONCAT(A860, ",",H860,",",I860)</f>
        <v>묶,아,1</v>
      </c>
      <c r="K860" s="16" t="n">
        <f aca="false">IF(B860=-1,-1,VLOOKUP(C860,$T$1:$V$20,3))</f>
        <v>9</v>
      </c>
      <c r="L860" s="16" t="n">
        <f aca="false">IF(B860=-1,-1,VLOOKUP(D860,$Y$1:$AA$22,3))</f>
        <v>6</v>
      </c>
      <c r="N860" s="10" t="str">
        <f aca="false">_xlfn.UNICHAR(((C860*21)+G860)*28+44032)</f>
        <v>마</v>
      </c>
      <c r="O860" s="10" t="str">
        <f aca="false">_xlfn.UNICHAR(((F860*21)+D860)*28+44032)</f>
        <v>우</v>
      </c>
      <c r="P860" s="12" t="n">
        <f aca="false">COUNTIF($A$2:$A$3000, N860) + COUNTIF($A$2:$A$3000, O860)</f>
        <v>2</v>
      </c>
      <c r="Q860" s="16" t="str">
        <f aca="false">IF(OR(B860=-1,I860=0, P860&lt;&gt;2), "albhed_dummy", _xlfn.CONCAT("albhed ", RIGHT("  " &amp; K860,2),", ", RIGHT("  " &amp; L860,2), ", " ,"""",H860,""", ", """",N860,""", ","""",O860,""""," ; ", A860))</f>
        <v>albhed  9,  6, "아", "마", "우" ; 묶</v>
      </c>
    </row>
    <row r="861" customFormat="false" ht="17.9" hidden="false" customHeight="true" outlineLevel="0" collapsed="false">
      <c r="A861" s="16" t="s">
        <v>1731</v>
      </c>
      <c r="B861" s="16" t="n">
        <f aca="false">IF(_xlfn.UNICODE(A861)&lt;44032,-1,_xlfn.UNICODE(A861)-44032)</f>
        <v>3896</v>
      </c>
      <c r="C861" s="16" t="n">
        <f aca="false">IF(B861=-1,-1,INT((B861/28)/21))</f>
        <v>6</v>
      </c>
      <c r="D861" s="16" t="n">
        <f aca="false">IF(B861=-1, -1, MOD(INT(B861/28),21))</f>
        <v>13</v>
      </c>
      <c r="E861" s="16" t="n">
        <f aca="false">IF(B861=-1, -1, VLOOKUP(MOD(B861,28), $T$24:$U$52,2))</f>
        <v>4</v>
      </c>
      <c r="F861" s="16" t="n">
        <f aca="false">IF($B861=-1, -1, VLOOKUP(C861,$T$1:$V$20, 2))</f>
        <v>11</v>
      </c>
      <c r="G861" s="16" t="n">
        <f aca="false">IF($B861=-1, -1, VLOOKUP(D861,$Y$1:$Z$22,2))</f>
        <v>0</v>
      </c>
      <c r="H861" s="16" t="str">
        <f aca="false">_xlfn.UNICHAR(((F861*21)+G861)*28+44032)</f>
        <v>아</v>
      </c>
      <c r="I861" s="16" t="n">
        <f aca="false">IF(B861=-1, 1, COUNTIF($A$2:$A$3000, H861))</f>
        <v>1</v>
      </c>
      <c r="J861" s="10" t="str">
        <f aca="false">_xlfn.CONCAT(A861, ",",H861,",",I861)</f>
        <v>문,아,1</v>
      </c>
      <c r="K861" s="16" t="n">
        <f aca="false">IF(B861=-1,-1,VLOOKUP(C861,$T$1:$V$20,3))</f>
        <v>9</v>
      </c>
      <c r="L861" s="16" t="n">
        <f aca="false">IF(B861=-1,-1,VLOOKUP(D861,$Y$1:$AA$22,3))</f>
        <v>6</v>
      </c>
      <c r="N861" s="10" t="str">
        <f aca="false">_xlfn.UNICHAR(((C861*21)+G861)*28+44032)</f>
        <v>마</v>
      </c>
      <c r="O861" s="10" t="str">
        <f aca="false">_xlfn.UNICHAR(((F861*21)+D861)*28+44032)</f>
        <v>우</v>
      </c>
      <c r="P861" s="12" t="n">
        <f aca="false">COUNTIF($A$2:$A$3000, N861) + COUNTIF($A$2:$A$3000, O861)</f>
        <v>2</v>
      </c>
      <c r="Q861" s="16" t="str">
        <f aca="false">IF(OR(B861=-1,I861=0, P861&lt;&gt;2), "albhed_dummy", _xlfn.CONCAT("albhed ", RIGHT("  " &amp; K861,2),", ", RIGHT("  " &amp; L861,2), ", " ,"""",H861,""", ", """",N861,""", ","""",O861,""""," ; ", A861))</f>
        <v>albhed  9,  6, "아", "마", "우" ; 문</v>
      </c>
    </row>
    <row r="862" customFormat="false" ht="17.9" hidden="false" customHeight="true" outlineLevel="0" collapsed="false">
      <c r="A862" s="16" t="s">
        <v>1732</v>
      </c>
      <c r="B862" s="16" t="n">
        <f aca="false">IF(_xlfn.UNICODE(A862)&lt;44032,-1,_xlfn.UNICODE(A862)-44032)</f>
        <v>3899</v>
      </c>
      <c r="C862" s="16" t="n">
        <f aca="false">IF(B862=-1,-1,INT((B862/28)/21))</f>
        <v>6</v>
      </c>
      <c r="D862" s="16" t="n">
        <f aca="false">IF(B862=-1, -1, MOD(INT(B862/28),21))</f>
        <v>13</v>
      </c>
      <c r="E862" s="16" t="n">
        <f aca="false">IF(B862=-1, -1, VLOOKUP(MOD(B862,28), $T$24:$U$52,2))</f>
        <v>19</v>
      </c>
      <c r="F862" s="16" t="n">
        <f aca="false">IF($B862=-1, -1, VLOOKUP(C862,$T$1:$V$20, 2))</f>
        <v>11</v>
      </c>
      <c r="G862" s="16" t="n">
        <f aca="false">IF($B862=-1, -1, VLOOKUP(D862,$Y$1:$Z$22,2))</f>
        <v>0</v>
      </c>
      <c r="H862" s="16" t="str">
        <f aca="false">_xlfn.UNICHAR(((F862*21)+G862)*28+44032)</f>
        <v>아</v>
      </c>
      <c r="I862" s="16" t="n">
        <f aca="false">IF(B862=-1, 1, COUNTIF($A$2:$A$3000, H862))</f>
        <v>1</v>
      </c>
      <c r="J862" s="10" t="str">
        <f aca="false">_xlfn.CONCAT(A862, ",",H862,",",I862)</f>
        <v>묻,아,1</v>
      </c>
      <c r="K862" s="16" t="n">
        <f aca="false">IF(B862=-1,-1,VLOOKUP(C862,$T$1:$V$20,3))</f>
        <v>9</v>
      </c>
      <c r="L862" s="16" t="n">
        <f aca="false">IF(B862=-1,-1,VLOOKUP(D862,$Y$1:$AA$22,3))</f>
        <v>6</v>
      </c>
      <c r="N862" s="10" t="str">
        <f aca="false">_xlfn.UNICHAR(((C862*21)+G862)*28+44032)</f>
        <v>마</v>
      </c>
      <c r="O862" s="10" t="str">
        <f aca="false">_xlfn.UNICHAR(((F862*21)+D862)*28+44032)</f>
        <v>우</v>
      </c>
      <c r="P862" s="12" t="n">
        <f aca="false">COUNTIF($A$2:$A$3000, N862) + COUNTIF($A$2:$A$3000, O862)</f>
        <v>2</v>
      </c>
      <c r="Q862" s="16" t="str">
        <f aca="false">IF(OR(B862=-1,I862=0, P862&lt;&gt;2), "albhed_dummy", _xlfn.CONCAT("albhed ", RIGHT("  " &amp; K862,2),", ", RIGHT("  " &amp; L862,2), ", " ,"""",H862,""", ", """",N862,""", ","""",O862,""""," ; ", A862))</f>
        <v>albhed  9,  6, "아", "마", "우" ; 묻</v>
      </c>
    </row>
    <row r="863" customFormat="false" ht="17.9" hidden="false" customHeight="true" outlineLevel="0" collapsed="false">
      <c r="A863" s="16" t="s">
        <v>1733</v>
      </c>
      <c r="B863" s="16" t="n">
        <f aca="false">IF(_xlfn.UNICODE(A863)&lt;44032,-1,_xlfn.UNICODE(A863)-44032)</f>
        <v>3900</v>
      </c>
      <c r="C863" s="16" t="n">
        <f aca="false">IF(B863=-1,-1,INT((B863/28)/21))</f>
        <v>6</v>
      </c>
      <c r="D863" s="16" t="n">
        <f aca="false">IF(B863=-1, -1, MOD(INT(B863/28),21))</f>
        <v>13</v>
      </c>
      <c r="E863" s="16" t="n">
        <f aca="false">IF(B863=-1, -1, VLOOKUP(MOD(B863,28), $T$24:$U$52,2))</f>
        <v>8</v>
      </c>
      <c r="F863" s="16" t="n">
        <f aca="false">IF($B863=-1, -1, VLOOKUP(C863,$T$1:$V$20, 2))</f>
        <v>11</v>
      </c>
      <c r="G863" s="16" t="n">
        <f aca="false">IF($B863=-1, -1, VLOOKUP(D863,$Y$1:$Z$22,2))</f>
        <v>0</v>
      </c>
      <c r="H863" s="16" t="str">
        <f aca="false">_xlfn.UNICHAR(((F863*21)+G863)*28+44032)</f>
        <v>아</v>
      </c>
      <c r="I863" s="16" t="n">
        <f aca="false">IF(B863=-1, 1, COUNTIF($A$2:$A$3000, H863))</f>
        <v>1</v>
      </c>
      <c r="J863" s="10" t="str">
        <f aca="false">_xlfn.CONCAT(A863, ",",H863,",",I863)</f>
        <v>물,아,1</v>
      </c>
      <c r="K863" s="16" t="n">
        <f aca="false">IF(B863=-1,-1,VLOOKUP(C863,$T$1:$V$20,3))</f>
        <v>9</v>
      </c>
      <c r="L863" s="16" t="n">
        <f aca="false">IF(B863=-1,-1,VLOOKUP(D863,$Y$1:$AA$22,3))</f>
        <v>6</v>
      </c>
      <c r="N863" s="10" t="str">
        <f aca="false">_xlfn.UNICHAR(((C863*21)+G863)*28+44032)</f>
        <v>마</v>
      </c>
      <c r="O863" s="10" t="str">
        <f aca="false">_xlfn.UNICHAR(((F863*21)+D863)*28+44032)</f>
        <v>우</v>
      </c>
      <c r="P863" s="12" t="n">
        <f aca="false">COUNTIF($A$2:$A$3000, N863) + COUNTIF($A$2:$A$3000, O863)</f>
        <v>2</v>
      </c>
      <c r="Q863" s="16" t="str">
        <f aca="false">IF(OR(B863=-1,I863=0, P863&lt;&gt;2), "albhed_dummy", _xlfn.CONCAT("albhed ", RIGHT("  " &amp; K863,2),", ", RIGHT("  " &amp; L863,2), ", " ,"""",H863,""", ", """",N863,""", ","""",O863,""""," ; ", A863))</f>
        <v>albhed  9,  6, "아", "마", "우" ; 물</v>
      </c>
    </row>
    <row r="864" customFormat="false" ht="17.9" hidden="false" customHeight="true" outlineLevel="0" collapsed="false">
      <c r="A864" s="16" t="s">
        <v>1734</v>
      </c>
      <c r="B864" s="16" t="n">
        <f aca="false">IF(_xlfn.UNICODE(A864)&lt;44032,-1,_xlfn.UNICODE(A864)-44032)</f>
        <v>3901</v>
      </c>
      <c r="C864" s="16" t="n">
        <f aca="false">IF(B864=-1,-1,INT((B864/28)/21))</f>
        <v>6</v>
      </c>
      <c r="D864" s="16" t="n">
        <f aca="false">IF(B864=-1, -1, MOD(INT(B864/28),21))</f>
        <v>13</v>
      </c>
      <c r="E864" s="16" t="n">
        <f aca="false">IF(B864=-1, -1, VLOOKUP(MOD(B864,28), $T$24:$U$52,2))</f>
        <v>8</v>
      </c>
      <c r="F864" s="16" t="n">
        <f aca="false">IF($B864=-1, -1, VLOOKUP(C864,$T$1:$V$20, 2))</f>
        <v>11</v>
      </c>
      <c r="G864" s="16" t="n">
        <f aca="false">IF($B864=-1, -1, VLOOKUP(D864,$Y$1:$Z$22,2))</f>
        <v>0</v>
      </c>
      <c r="H864" s="16" t="str">
        <f aca="false">_xlfn.UNICHAR(((F864*21)+G864)*28+44032)</f>
        <v>아</v>
      </c>
      <c r="I864" s="16" t="n">
        <f aca="false">IF(B864=-1, 1, COUNTIF($A$2:$A$3000, H864))</f>
        <v>1</v>
      </c>
      <c r="J864" s="10" t="str">
        <f aca="false">_xlfn.CONCAT(A864, ",",H864,",",I864)</f>
        <v>묽,아,1</v>
      </c>
      <c r="K864" s="16" t="n">
        <f aca="false">IF(B864=-1,-1,VLOOKUP(C864,$T$1:$V$20,3))</f>
        <v>9</v>
      </c>
      <c r="L864" s="16" t="n">
        <f aca="false">IF(B864=-1,-1,VLOOKUP(D864,$Y$1:$AA$22,3))</f>
        <v>6</v>
      </c>
      <c r="N864" s="10" t="str">
        <f aca="false">_xlfn.UNICHAR(((C864*21)+G864)*28+44032)</f>
        <v>마</v>
      </c>
      <c r="O864" s="10" t="str">
        <f aca="false">_xlfn.UNICHAR(((F864*21)+D864)*28+44032)</f>
        <v>우</v>
      </c>
      <c r="P864" s="12" t="n">
        <f aca="false">COUNTIF($A$2:$A$3000, N864) + COUNTIF($A$2:$A$3000, O864)</f>
        <v>2</v>
      </c>
      <c r="Q864" s="16" t="str">
        <f aca="false">IF(OR(B864=-1,I864=0, P864&lt;&gt;2), "albhed_dummy", _xlfn.CONCAT("albhed ", RIGHT("  " &amp; K864,2),", ", RIGHT("  " &amp; L864,2), ", " ,"""",H864,""", ", """",N864,""", ","""",O864,""""," ; ", A864))</f>
        <v>albhed  9,  6, "아", "마", "우" ; 묽</v>
      </c>
    </row>
    <row r="865" customFormat="false" ht="17.9" hidden="false" customHeight="true" outlineLevel="0" collapsed="false">
      <c r="A865" s="16" t="s">
        <v>1735</v>
      </c>
      <c r="B865" s="16" t="n">
        <f aca="false">IF(_xlfn.UNICODE(A865)&lt;44032,-1,_xlfn.UNICODE(A865)-44032)</f>
        <v>3902</v>
      </c>
      <c r="C865" s="16" t="n">
        <f aca="false">IF(B865=-1,-1,INT((B865/28)/21))</f>
        <v>6</v>
      </c>
      <c r="D865" s="16" t="n">
        <f aca="false">IF(B865=-1, -1, MOD(INT(B865/28),21))</f>
        <v>13</v>
      </c>
      <c r="E865" s="16" t="n">
        <f aca="false">IF(B865=-1, -1, VLOOKUP(MOD(B865,28), $T$24:$U$52,2))</f>
        <v>8</v>
      </c>
      <c r="F865" s="16" t="n">
        <f aca="false">IF($B865=-1, -1, VLOOKUP(C865,$T$1:$V$20, 2))</f>
        <v>11</v>
      </c>
      <c r="G865" s="16" t="n">
        <f aca="false">IF($B865=-1, -1, VLOOKUP(D865,$Y$1:$Z$22,2))</f>
        <v>0</v>
      </c>
      <c r="H865" s="16" t="str">
        <f aca="false">_xlfn.UNICHAR(((F865*21)+G865)*28+44032)</f>
        <v>아</v>
      </c>
      <c r="I865" s="16" t="n">
        <f aca="false">IF(B865=-1, 1, COUNTIF($A$2:$A$3000, H865))</f>
        <v>1</v>
      </c>
      <c r="J865" s="10" t="str">
        <f aca="false">_xlfn.CONCAT(A865, ",",H865,",",I865)</f>
        <v>묾,아,1</v>
      </c>
      <c r="K865" s="16" t="n">
        <f aca="false">IF(B865=-1,-1,VLOOKUP(C865,$T$1:$V$20,3))</f>
        <v>9</v>
      </c>
      <c r="L865" s="16" t="n">
        <f aca="false">IF(B865=-1,-1,VLOOKUP(D865,$Y$1:$AA$22,3))</f>
        <v>6</v>
      </c>
      <c r="N865" s="10" t="str">
        <f aca="false">_xlfn.UNICHAR(((C865*21)+G865)*28+44032)</f>
        <v>마</v>
      </c>
      <c r="O865" s="10" t="str">
        <f aca="false">_xlfn.UNICHAR(((F865*21)+D865)*28+44032)</f>
        <v>우</v>
      </c>
      <c r="P865" s="12" t="n">
        <f aca="false">COUNTIF($A$2:$A$3000, N865) + COUNTIF($A$2:$A$3000, O865)</f>
        <v>2</v>
      </c>
      <c r="Q865" s="16" t="str">
        <f aca="false">IF(OR(B865=-1,I865=0, P865&lt;&gt;2), "albhed_dummy", _xlfn.CONCAT("albhed ", RIGHT("  " &amp; K865,2),", ", RIGHT("  " &amp; L865,2), ", " ,"""",H865,""", ", """",N865,""", ","""",O865,""""," ; ", A865))</f>
        <v>albhed  9,  6, "아", "마", "우" ; 묾</v>
      </c>
    </row>
    <row r="866" customFormat="false" ht="17.9" hidden="false" customHeight="true" outlineLevel="0" collapsed="false">
      <c r="A866" s="16" t="s">
        <v>1736</v>
      </c>
      <c r="B866" s="16" t="n">
        <f aca="false">IF(_xlfn.UNICODE(A866)&lt;44032,-1,_xlfn.UNICODE(A866)-44032)</f>
        <v>3908</v>
      </c>
      <c r="C866" s="16" t="n">
        <f aca="false">IF(B866=-1,-1,INT((B866/28)/21))</f>
        <v>6</v>
      </c>
      <c r="D866" s="16" t="n">
        <f aca="false">IF(B866=-1, -1, MOD(INT(B866/28),21))</f>
        <v>13</v>
      </c>
      <c r="E866" s="16" t="n">
        <f aca="false">IF(B866=-1, -1, VLOOKUP(MOD(B866,28), $T$24:$U$52,2))</f>
        <v>16</v>
      </c>
      <c r="F866" s="16" t="n">
        <f aca="false">IF($B866=-1, -1, VLOOKUP(C866,$T$1:$V$20, 2))</f>
        <v>11</v>
      </c>
      <c r="G866" s="16" t="n">
        <f aca="false">IF($B866=-1, -1, VLOOKUP(D866,$Y$1:$Z$22,2))</f>
        <v>0</v>
      </c>
      <c r="H866" s="16" t="str">
        <f aca="false">_xlfn.UNICHAR(((F866*21)+G866)*28+44032)</f>
        <v>아</v>
      </c>
      <c r="I866" s="16" t="n">
        <f aca="false">IF(B866=-1, 1, COUNTIF($A$2:$A$3000, H866))</f>
        <v>1</v>
      </c>
      <c r="J866" s="10" t="str">
        <f aca="false">_xlfn.CONCAT(A866, ",",H866,",",I866)</f>
        <v>뭄,아,1</v>
      </c>
      <c r="K866" s="16" t="n">
        <f aca="false">IF(B866=-1,-1,VLOOKUP(C866,$T$1:$V$20,3))</f>
        <v>9</v>
      </c>
      <c r="L866" s="16" t="n">
        <f aca="false">IF(B866=-1,-1,VLOOKUP(D866,$Y$1:$AA$22,3))</f>
        <v>6</v>
      </c>
      <c r="N866" s="10" t="str">
        <f aca="false">_xlfn.UNICHAR(((C866*21)+G866)*28+44032)</f>
        <v>마</v>
      </c>
      <c r="O866" s="10" t="str">
        <f aca="false">_xlfn.UNICHAR(((F866*21)+D866)*28+44032)</f>
        <v>우</v>
      </c>
      <c r="P866" s="12" t="n">
        <f aca="false">COUNTIF($A$2:$A$3000, N866) + COUNTIF($A$2:$A$3000, O866)</f>
        <v>2</v>
      </c>
      <c r="Q866" s="16" t="str">
        <f aca="false">IF(OR(B866=-1,I866=0, P866&lt;&gt;2), "albhed_dummy", _xlfn.CONCAT("albhed ", RIGHT("  " &amp; K866,2),", ", RIGHT("  " &amp; L866,2), ", " ,"""",H866,""", ", """",N866,""", ","""",O866,""""," ; ", A866))</f>
        <v>albhed  9,  6, "아", "마", "우" ; 뭄</v>
      </c>
    </row>
    <row r="867" customFormat="false" ht="17.9" hidden="false" customHeight="true" outlineLevel="0" collapsed="false">
      <c r="A867" s="16" t="s">
        <v>1737</v>
      </c>
      <c r="B867" s="16" t="n">
        <f aca="false">IF(_xlfn.UNICODE(A867)&lt;44032,-1,_xlfn.UNICODE(A867)-44032)</f>
        <v>3909</v>
      </c>
      <c r="C867" s="16" t="n">
        <f aca="false">IF(B867=-1,-1,INT((B867/28)/21))</f>
        <v>6</v>
      </c>
      <c r="D867" s="16" t="n">
        <f aca="false">IF(B867=-1, -1, MOD(INT(B867/28),21))</f>
        <v>13</v>
      </c>
      <c r="E867" s="16" t="n">
        <f aca="false">IF(B867=-1, -1, VLOOKUP(MOD(B867,28), $T$24:$U$52,2))</f>
        <v>17</v>
      </c>
      <c r="F867" s="16" t="n">
        <f aca="false">IF($B867=-1, -1, VLOOKUP(C867,$T$1:$V$20, 2))</f>
        <v>11</v>
      </c>
      <c r="G867" s="16" t="n">
        <f aca="false">IF($B867=-1, -1, VLOOKUP(D867,$Y$1:$Z$22,2))</f>
        <v>0</v>
      </c>
      <c r="H867" s="16" t="str">
        <f aca="false">_xlfn.UNICHAR(((F867*21)+G867)*28+44032)</f>
        <v>아</v>
      </c>
      <c r="I867" s="16" t="n">
        <f aca="false">IF(B867=-1, 1, COUNTIF($A$2:$A$3000, H867))</f>
        <v>1</v>
      </c>
      <c r="J867" s="10" t="str">
        <f aca="false">_xlfn.CONCAT(A867, ",",H867,",",I867)</f>
        <v>뭅,아,1</v>
      </c>
      <c r="K867" s="16" t="n">
        <f aca="false">IF(B867=-1,-1,VLOOKUP(C867,$T$1:$V$20,3))</f>
        <v>9</v>
      </c>
      <c r="L867" s="16" t="n">
        <f aca="false">IF(B867=-1,-1,VLOOKUP(D867,$Y$1:$AA$22,3))</f>
        <v>6</v>
      </c>
      <c r="N867" s="10" t="str">
        <f aca="false">_xlfn.UNICHAR(((C867*21)+G867)*28+44032)</f>
        <v>마</v>
      </c>
      <c r="O867" s="10" t="str">
        <f aca="false">_xlfn.UNICHAR(((F867*21)+D867)*28+44032)</f>
        <v>우</v>
      </c>
      <c r="P867" s="12" t="n">
        <f aca="false">COUNTIF($A$2:$A$3000, N867) + COUNTIF($A$2:$A$3000, O867)</f>
        <v>2</v>
      </c>
      <c r="Q867" s="16" t="str">
        <f aca="false">IF(OR(B867=-1,I867=0, P867&lt;&gt;2), "albhed_dummy", _xlfn.CONCAT("albhed ", RIGHT("  " &amp; K867,2),", ", RIGHT("  " &amp; L867,2), ", " ,"""",H867,""", ", """",N867,""", ","""",O867,""""," ; ", A867))</f>
        <v>albhed  9,  6, "아", "마", "우" ; 뭅</v>
      </c>
    </row>
    <row r="868" customFormat="false" ht="17.9" hidden="false" customHeight="true" outlineLevel="0" collapsed="false">
      <c r="A868" s="16" t="s">
        <v>1738</v>
      </c>
      <c r="B868" s="16" t="n">
        <f aca="false">IF(_xlfn.UNICODE(A868)&lt;44032,-1,_xlfn.UNICODE(A868)-44032)</f>
        <v>3911</v>
      </c>
      <c r="C868" s="16" t="n">
        <f aca="false">IF(B868=-1,-1,INT((B868/28)/21))</f>
        <v>6</v>
      </c>
      <c r="D868" s="16" t="n">
        <f aca="false">IF(B868=-1, -1, MOD(INT(B868/28),21))</f>
        <v>13</v>
      </c>
      <c r="E868" s="16" t="n">
        <f aca="false">IF(B868=-1, -1, VLOOKUP(MOD(B868,28), $T$24:$U$52,2))</f>
        <v>19</v>
      </c>
      <c r="F868" s="16" t="n">
        <f aca="false">IF($B868=-1, -1, VLOOKUP(C868,$T$1:$V$20, 2))</f>
        <v>11</v>
      </c>
      <c r="G868" s="16" t="n">
        <f aca="false">IF($B868=-1, -1, VLOOKUP(D868,$Y$1:$Z$22,2))</f>
        <v>0</v>
      </c>
      <c r="H868" s="16" t="str">
        <f aca="false">_xlfn.UNICHAR(((F868*21)+G868)*28+44032)</f>
        <v>아</v>
      </c>
      <c r="I868" s="16" t="n">
        <f aca="false">IF(B868=-1, 1, COUNTIF($A$2:$A$3000, H868))</f>
        <v>1</v>
      </c>
      <c r="J868" s="10" t="str">
        <f aca="false">_xlfn.CONCAT(A868, ",",H868,",",I868)</f>
        <v>뭇,아,1</v>
      </c>
      <c r="K868" s="16" t="n">
        <f aca="false">IF(B868=-1,-1,VLOOKUP(C868,$T$1:$V$20,3))</f>
        <v>9</v>
      </c>
      <c r="L868" s="16" t="n">
        <f aca="false">IF(B868=-1,-1,VLOOKUP(D868,$Y$1:$AA$22,3))</f>
        <v>6</v>
      </c>
      <c r="N868" s="10" t="str">
        <f aca="false">_xlfn.UNICHAR(((C868*21)+G868)*28+44032)</f>
        <v>마</v>
      </c>
      <c r="O868" s="10" t="str">
        <f aca="false">_xlfn.UNICHAR(((F868*21)+D868)*28+44032)</f>
        <v>우</v>
      </c>
      <c r="P868" s="12" t="n">
        <f aca="false">COUNTIF($A$2:$A$3000, N868) + COUNTIF($A$2:$A$3000, O868)</f>
        <v>2</v>
      </c>
      <c r="Q868" s="16" t="str">
        <f aca="false">IF(OR(B868=-1,I868=0, P868&lt;&gt;2), "albhed_dummy", _xlfn.CONCAT("albhed ", RIGHT("  " &amp; K868,2),", ", RIGHT("  " &amp; L868,2), ", " ,"""",H868,""", ", """",N868,""", ","""",O868,""""," ; ", A868))</f>
        <v>albhed  9,  6, "아", "마", "우" ; 뭇</v>
      </c>
    </row>
    <row r="869" customFormat="false" ht="17.9" hidden="false" customHeight="true" outlineLevel="0" collapsed="false">
      <c r="A869" s="16" t="s">
        <v>1739</v>
      </c>
      <c r="B869" s="16" t="n">
        <f aca="false">IF(_xlfn.UNICODE(A869)&lt;44032,-1,_xlfn.UNICODE(A869)-44032)</f>
        <v>3913</v>
      </c>
      <c r="C869" s="16" t="n">
        <f aca="false">IF(B869=-1,-1,INT((B869/28)/21))</f>
        <v>6</v>
      </c>
      <c r="D869" s="16" t="n">
        <f aca="false">IF(B869=-1, -1, MOD(INT(B869/28),21))</f>
        <v>13</v>
      </c>
      <c r="E869" s="16" t="n">
        <f aca="false">IF(B869=-1, -1, VLOOKUP(MOD(B869,28), $T$24:$U$52,2))</f>
        <v>21</v>
      </c>
      <c r="F869" s="16" t="n">
        <f aca="false">IF($B869=-1, -1, VLOOKUP(C869,$T$1:$V$20, 2))</f>
        <v>11</v>
      </c>
      <c r="G869" s="16" t="n">
        <f aca="false">IF($B869=-1, -1, VLOOKUP(D869,$Y$1:$Z$22,2))</f>
        <v>0</v>
      </c>
      <c r="H869" s="16" t="str">
        <f aca="false">_xlfn.UNICHAR(((F869*21)+G869)*28+44032)</f>
        <v>아</v>
      </c>
      <c r="I869" s="16" t="n">
        <f aca="false">IF(B869=-1, 1, COUNTIF($A$2:$A$3000, H869))</f>
        <v>1</v>
      </c>
      <c r="J869" s="10" t="str">
        <f aca="false">_xlfn.CONCAT(A869, ",",H869,",",I869)</f>
        <v>뭉,아,1</v>
      </c>
      <c r="K869" s="16" t="n">
        <f aca="false">IF(B869=-1,-1,VLOOKUP(C869,$T$1:$V$20,3))</f>
        <v>9</v>
      </c>
      <c r="L869" s="16" t="n">
        <f aca="false">IF(B869=-1,-1,VLOOKUP(D869,$Y$1:$AA$22,3))</f>
        <v>6</v>
      </c>
      <c r="N869" s="10" t="str">
        <f aca="false">_xlfn.UNICHAR(((C869*21)+G869)*28+44032)</f>
        <v>마</v>
      </c>
      <c r="O869" s="10" t="str">
        <f aca="false">_xlfn.UNICHAR(((F869*21)+D869)*28+44032)</f>
        <v>우</v>
      </c>
      <c r="P869" s="12" t="n">
        <f aca="false">COUNTIF($A$2:$A$3000, N869) + COUNTIF($A$2:$A$3000, O869)</f>
        <v>2</v>
      </c>
      <c r="Q869" s="16" t="str">
        <f aca="false">IF(OR(B869=-1,I869=0, P869&lt;&gt;2), "albhed_dummy", _xlfn.CONCAT("albhed ", RIGHT("  " &amp; K869,2),", ", RIGHT("  " &amp; L869,2), ", " ,"""",H869,""", ", """",N869,""", ","""",O869,""""," ; ", A869))</f>
        <v>albhed  9,  6, "아", "마", "우" ; 뭉</v>
      </c>
    </row>
    <row r="870" customFormat="false" ht="17.9" hidden="false" customHeight="true" outlineLevel="0" collapsed="false">
      <c r="A870" s="16" t="s">
        <v>1740</v>
      </c>
      <c r="B870" s="16" t="n">
        <f aca="false">IF(_xlfn.UNICODE(A870)&lt;44032,-1,_xlfn.UNICODE(A870)-44032)</f>
        <v>3917</v>
      </c>
      <c r="C870" s="16" t="n">
        <f aca="false">IF(B870=-1,-1,INT((B870/28)/21))</f>
        <v>6</v>
      </c>
      <c r="D870" s="16" t="n">
        <f aca="false">IF(B870=-1, -1, MOD(INT(B870/28),21))</f>
        <v>13</v>
      </c>
      <c r="E870" s="16" t="n">
        <f aca="false">IF(B870=-1, -1, VLOOKUP(MOD(B870,28), $T$24:$U$52,2))</f>
        <v>19</v>
      </c>
      <c r="F870" s="16" t="n">
        <f aca="false">IF($B870=-1, -1, VLOOKUP(C870,$T$1:$V$20, 2))</f>
        <v>11</v>
      </c>
      <c r="G870" s="16" t="n">
        <f aca="false">IF($B870=-1, -1, VLOOKUP(D870,$Y$1:$Z$22,2))</f>
        <v>0</v>
      </c>
      <c r="H870" s="16" t="str">
        <f aca="false">_xlfn.UNICHAR(((F870*21)+G870)*28+44032)</f>
        <v>아</v>
      </c>
      <c r="I870" s="16" t="n">
        <f aca="false">IF(B870=-1, 1, COUNTIF($A$2:$A$3000, H870))</f>
        <v>1</v>
      </c>
      <c r="J870" s="10" t="str">
        <f aca="false">_xlfn.CONCAT(A870, ",",H870,",",I870)</f>
        <v>뭍,아,1</v>
      </c>
      <c r="K870" s="16" t="n">
        <f aca="false">IF(B870=-1,-1,VLOOKUP(C870,$T$1:$V$20,3))</f>
        <v>9</v>
      </c>
      <c r="L870" s="16" t="n">
        <f aca="false">IF(B870=-1,-1,VLOOKUP(D870,$Y$1:$AA$22,3))</f>
        <v>6</v>
      </c>
      <c r="N870" s="10" t="str">
        <f aca="false">_xlfn.UNICHAR(((C870*21)+G870)*28+44032)</f>
        <v>마</v>
      </c>
      <c r="O870" s="10" t="str">
        <f aca="false">_xlfn.UNICHAR(((F870*21)+D870)*28+44032)</f>
        <v>우</v>
      </c>
      <c r="P870" s="12" t="n">
        <f aca="false">COUNTIF($A$2:$A$3000, N870) + COUNTIF($A$2:$A$3000, O870)</f>
        <v>2</v>
      </c>
      <c r="Q870" s="16" t="str">
        <f aca="false">IF(OR(B870=-1,I870=0, P870&lt;&gt;2), "albhed_dummy", _xlfn.CONCAT("albhed ", RIGHT("  " &amp; K870,2),", ", RIGHT("  " &amp; L870,2), ", " ,"""",H870,""", ", """",N870,""", ","""",O870,""""," ; ", A870))</f>
        <v>albhed  9,  6, "아", "마", "우" ; 뭍</v>
      </c>
    </row>
    <row r="871" customFormat="false" ht="17.9" hidden="false" customHeight="true" outlineLevel="0" collapsed="false">
      <c r="A871" s="16" t="s">
        <v>1741</v>
      </c>
      <c r="B871" s="16" t="n">
        <f aca="false">IF(_xlfn.UNICODE(A871)&lt;44032,-1,_xlfn.UNICODE(A871)-44032)</f>
        <v>3919</v>
      </c>
      <c r="C871" s="16" t="n">
        <f aca="false">IF(B871=-1,-1,INT((B871/28)/21))</f>
        <v>6</v>
      </c>
      <c r="D871" s="16" t="n">
        <f aca="false">IF(B871=-1, -1, MOD(INT(B871/28),21))</f>
        <v>13</v>
      </c>
      <c r="E871" s="16" t="n">
        <f aca="false">IF(B871=-1, -1, VLOOKUP(MOD(B871,28), $T$24:$U$52,2))</f>
        <v>19</v>
      </c>
      <c r="F871" s="16" t="n">
        <f aca="false">IF($B871=-1, -1, VLOOKUP(C871,$T$1:$V$20, 2))</f>
        <v>11</v>
      </c>
      <c r="G871" s="16" t="n">
        <f aca="false">IF($B871=-1, -1, VLOOKUP(D871,$Y$1:$Z$22,2))</f>
        <v>0</v>
      </c>
      <c r="H871" s="16" t="str">
        <f aca="false">_xlfn.UNICHAR(((F871*21)+G871)*28+44032)</f>
        <v>아</v>
      </c>
      <c r="I871" s="16" t="n">
        <f aca="false">IF(B871=-1, 1, COUNTIF($A$2:$A$3000, H871))</f>
        <v>1</v>
      </c>
      <c r="J871" s="10" t="str">
        <f aca="false">_xlfn.CONCAT(A871, ",",H871,",",I871)</f>
        <v>뭏,아,1</v>
      </c>
      <c r="K871" s="16" t="n">
        <f aca="false">IF(B871=-1,-1,VLOOKUP(C871,$T$1:$V$20,3))</f>
        <v>9</v>
      </c>
      <c r="L871" s="16" t="n">
        <f aca="false">IF(B871=-1,-1,VLOOKUP(D871,$Y$1:$AA$22,3))</f>
        <v>6</v>
      </c>
      <c r="N871" s="10" t="str">
        <f aca="false">_xlfn.UNICHAR(((C871*21)+G871)*28+44032)</f>
        <v>마</v>
      </c>
      <c r="O871" s="10" t="str">
        <f aca="false">_xlfn.UNICHAR(((F871*21)+D871)*28+44032)</f>
        <v>우</v>
      </c>
      <c r="P871" s="12" t="n">
        <f aca="false">COUNTIF($A$2:$A$3000, N871) + COUNTIF($A$2:$A$3000, O871)</f>
        <v>2</v>
      </c>
      <c r="Q871" s="16" t="str">
        <f aca="false">IF(OR(B871=-1,I871=0, P871&lt;&gt;2), "albhed_dummy", _xlfn.CONCAT("albhed ", RIGHT("  " &amp; K871,2),", ", RIGHT("  " &amp; L871,2), ", " ,"""",H871,""", ", """",N871,""", ","""",O871,""""," ; ", A871))</f>
        <v>albhed  9,  6, "아", "마", "우" ; 뭏</v>
      </c>
    </row>
    <row r="872" customFormat="false" ht="17.9" hidden="false" customHeight="true" outlineLevel="0" collapsed="false">
      <c r="A872" s="16" t="s">
        <v>1742</v>
      </c>
      <c r="B872" s="16" t="n">
        <f aca="false">IF(_xlfn.UNICODE(A872)&lt;44032,-1,_xlfn.UNICODE(A872)-44032)</f>
        <v>3920</v>
      </c>
      <c r="C872" s="16" t="n">
        <f aca="false">IF(B872=-1,-1,INT((B872/28)/21))</f>
        <v>6</v>
      </c>
      <c r="D872" s="16" t="n">
        <f aca="false">IF(B872=-1, -1, MOD(INT(B872/28),21))</f>
        <v>14</v>
      </c>
      <c r="E872" s="16" t="n">
        <f aca="false">IF(B872=-1, -1, VLOOKUP(MOD(B872,28), $T$24:$U$52,2))</f>
        <v>0</v>
      </c>
      <c r="F872" s="16" t="n">
        <f aca="false">IF($B872=-1, -1, VLOOKUP(C872,$T$1:$V$20, 2))</f>
        <v>11</v>
      </c>
      <c r="G872" s="16" t="n">
        <f aca="false">IF($B872=-1, -1, VLOOKUP(D872,$Y$1:$Z$22,2))</f>
        <v>20</v>
      </c>
      <c r="H872" s="16" t="str">
        <f aca="false">_xlfn.UNICHAR(((F872*21)+G872)*28+44032)</f>
        <v>이</v>
      </c>
      <c r="I872" s="16" t="n">
        <f aca="false">IF(B872=-1, 1, COUNTIF($A$2:$A$3000, H872))</f>
        <v>1</v>
      </c>
      <c r="J872" s="10" t="str">
        <f aca="false">_xlfn.CONCAT(A872, ",",H872,",",I872)</f>
        <v>뭐,이,1</v>
      </c>
      <c r="K872" s="16" t="n">
        <f aca="false">IF(B872=-1,-1,VLOOKUP(C872,$T$1:$V$20,3))</f>
        <v>9</v>
      </c>
      <c r="L872" s="16" t="n">
        <f aca="false">IF(B872=-1,-1,VLOOKUP(D872,$Y$1:$AA$22,3))</f>
        <v>16</v>
      </c>
      <c r="N872" s="10" t="str">
        <f aca="false">_xlfn.UNICHAR(((C872*21)+G872)*28+44032)</f>
        <v>미</v>
      </c>
      <c r="O872" s="10" t="str">
        <f aca="false">_xlfn.UNICHAR(((F872*21)+D872)*28+44032)</f>
        <v>워</v>
      </c>
      <c r="P872" s="12" t="n">
        <f aca="false">COUNTIF($A$2:$A$3000, N872) + COUNTIF($A$2:$A$3000, O872)</f>
        <v>2</v>
      </c>
      <c r="Q872" s="16" t="str">
        <f aca="false">IF(OR(B872=-1,I872=0, P872&lt;&gt;2), "albhed_dummy", _xlfn.CONCAT("albhed ", RIGHT("  " &amp; K872,2),", ", RIGHT("  " &amp; L872,2), ", " ,"""",H872,""", ", """",N872,""", ","""",O872,""""," ; ", A872))</f>
        <v>albhed  9, 16, "이", "미", "워" ; 뭐</v>
      </c>
    </row>
    <row r="873" customFormat="false" ht="17.9" hidden="false" customHeight="true" outlineLevel="0" collapsed="false">
      <c r="A873" s="16" t="s">
        <v>1743</v>
      </c>
      <c r="B873" s="16" t="n">
        <f aca="false">IF(_xlfn.UNICODE(A873)&lt;44032,-1,_xlfn.UNICODE(A873)-44032)</f>
        <v>3924</v>
      </c>
      <c r="C873" s="16" t="n">
        <f aca="false">IF(B873=-1,-1,INT((B873/28)/21))</f>
        <v>6</v>
      </c>
      <c r="D873" s="16" t="n">
        <f aca="false">IF(B873=-1, -1, MOD(INT(B873/28),21))</f>
        <v>14</v>
      </c>
      <c r="E873" s="16" t="n">
        <f aca="false">IF(B873=-1, -1, VLOOKUP(MOD(B873,28), $T$24:$U$52,2))</f>
        <v>4</v>
      </c>
      <c r="F873" s="16" t="n">
        <f aca="false">IF($B873=-1, -1, VLOOKUP(C873,$T$1:$V$20, 2))</f>
        <v>11</v>
      </c>
      <c r="G873" s="16" t="n">
        <f aca="false">IF($B873=-1, -1, VLOOKUP(D873,$Y$1:$Z$22,2))</f>
        <v>20</v>
      </c>
      <c r="H873" s="16" t="str">
        <f aca="false">_xlfn.UNICHAR(((F873*21)+G873)*28+44032)</f>
        <v>이</v>
      </c>
      <c r="I873" s="16" t="n">
        <f aca="false">IF(B873=-1, 1, COUNTIF($A$2:$A$3000, H873))</f>
        <v>1</v>
      </c>
      <c r="J873" s="10" t="str">
        <f aca="false">_xlfn.CONCAT(A873, ",",H873,",",I873)</f>
        <v>뭔,이,1</v>
      </c>
      <c r="K873" s="16" t="n">
        <f aca="false">IF(B873=-1,-1,VLOOKUP(C873,$T$1:$V$20,3))</f>
        <v>9</v>
      </c>
      <c r="L873" s="16" t="n">
        <f aca="false">IF(B873=-1,-1,VLOOKUP(D873,$Y$1:$AA$22,3))</f>
        <v>16</v>
      </c>
      <c r="N873" s="10" t="str">
        <f aca="false">_xlfn.UNICHAR(((C873*21)+G873)*28+44032)</f>
        <v>미</v>
      </c>
      <c r="O873" s="10" t="str">
        <f aca="false">_xlfn.UNICHAR(((F873*21)+D873)*28+44032)</f>
        <v>워</v>
      </c>
      <c r="P873" s="12" t="n">
        <f aca="false">COUNTIF($A$2:$A$3000, N873) + COUNTIF($A$2:$A$3000, O873)</f>
        <v>2</v>
      </c>
      <c r="Q873" s="16" t="str">
        <f aca="false">IF(OR(B873=-1,I873=0, P873&lt;&gt;2), "albhed_dummy", _xlfn.CONCAT("albhed ", RIGHT("  " &amp; K873,2),", ", RIGHT("  " &amp; L873,2), ", " ,"""",H873,""", ", """",N873,""", ","""",O873,""""," ; ", A873))</f>
        <v>albhed  9, 16, "이", "미", "워" ; 뭔</v>
      </c>
    </row>
    <row r="874" customFormat="false" ht="17.9" hidden="false" customHeight="true" outlineLevel="0" collapsed="false">
      <c r="A874" s="16" t="s">
        <v>1744</v>
      </c>
      <c r="B874" s="16" t="n">
        <f aca="false">IF(_xlfn.UNICODE(A874)&lt;44032,-1,_xlfn.UNICODE(A874)-44032)</f>
        <v>3928</v>
      </c>
      <c r="C874" s="16" t="n">
        <f aca="false">IF(B874=-1,-1,INT((B874/28)/21))</f>
        <v>6</v>
      </c>
      <c r="D874" s="16" t="n">
        <f aca="false">IF(B874=-1, -1, MOD(INT(B874/28),21))</f>
        <v>14</v>
      </c>
      <c r="E874" s="16" t="n">
        <f aca="false">IF(B874=-1, -1, VLOOKUP(MOD(B874,28), $T$24:$U$52,2))</f>
        <v>8</v>
      </c>
      <c r="F874" s="16" t="n">
        <f aca="false">IF($B874=-1, -1, VLOOKUP(C874,$T$1:$V$20, 2))</f>
        <v>11</v>
      </c>
      <c r="G874" s="16" t="n">
        <f aca="false">IF($B874=-1, -1, VLOOKUP(D874,$Y$1:$Z$22,2))</f>
        <v>20</v>
      </c>
      <c r="H874" s="16" t="str">
        <f aca="false">_xlfn.UNICHAR(((F874*21)+G874)*28+44032)</f>
        <v>이</v>
      </c>
      <c r="I874" s="16" t="n">
        <f aca="false">IF(B874=-1, 1, COUNTIF($A$2:$A$3000, H874))</f>
        <v>1</v>
      </c>
      <c r="J874" s="10" t="str">
        <f aca="false">_xlfn.CONCAT(A874, ",",H874,",",I874)</f>
        <v>뭘,이,1</v>
      </c>
      <c r="K874" s="16" t="n">
        <f aca="false">IF(B874=-1,-1,VLOOKUP(C874,$T$1:$V$20,3))</f>
        <v>9</v>
      </c>
      <c r="L874" s="16" t="n">
        <f aca="false">IF(B874=-1,-1,VLOOKUP(D874,$Y$1:$AA$22,3))</f>
        <v>16</v>
      </c>
      <c r="N874" s="10" t="str">
        <f aca="false">_xlfn.UNICHAR(((C874*21)+G874)*28+44032)</f>
        <v>미</v>
      </c>
      <c r="O874" s="10" t="str">
        <f aca="false">_xlfn.UNICHAR(((F874*21)+D874)*28+44032)</f>
        <v>워</v>
      </c>
      <c r="P874" s="12" t="n">
        <f aca="false">COUNTIF($A$2:$A$3000, N874) + COUNTIF($A$2:$A$3000, O874)</f>
        <v>2</v>
      </c>
      <c r="Q874" s="16" t="str">
        <f aca="false">IF(OR(B874=-1,I874=0, P874&lt;&gt;2), "albhed_dummy", _xlfn.CONCAT("albhed ", RIGHT("  " &amp; K874,2),", ", RIGHT("  " &amp; L874,2), ", " ,"""",H874,""", ", """",N874,""", ","""",O874,""""," ; ", A874))</f>
        <v>albhed  9, 16, "이", "미", "워" ; 뭘</v>
      </c>
    </row>
    <row r="875" customFormat="false" ht="17.9" hidden="false" customHeight="true" outlineLevel="0" collapsed="false">
      <c r="A875" s="16" t="s">
        <v>1745</v>
      </c>
      <c r="B875" s="16" t="n">
        <f aca="false">IF(_xlfn.UNICODE(A875)&lt;44032,-1,_xlfn.UNICODE(A875)-44032)</f>
        <v>3937</v>
      </c>
      <c r="C875" s="16" t="n">
        <f aca="false">IF(B875=-1,-1,INT((B875/28)/21))</f>
        <v>6</v>
      </c>
      <c r="D875" s="16" t="n">
        <f aca="false">IF(B875=-1, -1, MOD(INT(B875/28),21))</f>
        <v>14</v>
      </c>
      <c r="E875" s="16" t="n">
        <f aca="false">IF(B875=-1, -1, VLOOKUP(MOD(B875,28), $T$24:$U$52,2))</f>
        <v>17</v>
      </c>
      <c r="F875" s="16" t="n">
        <f aca="false">IF($B875=-1, -1, VLOOKUP(C875,$T$1:$V$20, 2))</f>
        <v>11</v>
      </c>
      <c r="G875" s="16" t="n">
        <f aca="false">IF($B875=-1, -1, VLOOKUP(D875,$Y$1:$Z$22,2))</f>
        <v>20</v>
      </c>
      <c r="H875" s="16" t="str">
        <f aca="false">_xlfn.UNICHAR(((F875*21)+G875)*28+44032)</f>
        <v>이</v>
      </c>
      <c r="I875" s="16" t="n">
        <f aca="false">IF(B875=-1, 1, COUNTIF($A$2:$A$3000, H875))</f>
        <v>1</v>
      </c>
      <c r="J875" s="10" t="str">
        <f aca="false">_xlfn.CONCAT(A875, ",",H875,",",I875)</f>
        <v>뭡,이,1</v>
      </c>
      <c r="K875" s="16" t="n">
        <f aca="false">IF(B875=-1,-1,VLOOKUP(C875,$T$1:$V$20,3))</f>
        <v>9</v>
      </c>
      <c r="L875" s="16" t="n">
        <f aca="false">IF(B875=-1,-1,VLOOKUP(D875,$Y$1:$AA$22,3))</f>
        <v>16</v>
      </c>
      <c r="N875" s="10" t="str">
        <f aca="false">_xlfn.UNICHAR(((C875*21)+G875)*28+44032)</f>
        <v>미</v>
      </c>
      <c r="O875" s="10" t="str">
        <f aca="false">_xlfn.UNICHAR(((F875*21)+D875)*28+44032)</f>
        <v>워</v>
      </c>
      <c r="P875" s="12" t="n">
        <f aca="false">COUNTIF($A$2:$A$3000, N875) + COUNTIF($A$2:$A$3000, O875)</f>
        <v>2</v>
      </c>
      <c r="Q875" s="16" t="str">
        <f aca="false">IF(OR(B875=-1,I875=0, P875&lt;&gt;2), "albhed_dummy", _xlfn.CONCAT("albhed ", RIGHT("  " &amp; K875,2),", ", RIGHT("  " &amp; L875,2), ", " ,"""",H875,""", ", """",N875,""", ","""",O875,""""," ; ", A875))</f>
        <v>albhed  9, 16, "이", "미", "워" ; 뭡</v>
      </c>
    </row>
    <row r="876" customFormat="false" ht="17.9" hidden="false" customHeight="true" outlineLevel="0" collapsed="false">
      <c r="A876" s="16" t="s">
        <v>1746</v>
      </c>
      <c r="B876" s="16" t="n">
        <f aca="false">IF(_xlfn.UNICODE(A876)&lt;44032,-1,_xlfn.UNICODE(A876)-44032)</f>
        <v>3939</v>
      </c>
      <c r="C876" s="16" t="n">
        <f aca="false">IF(B876=-1,-1,INT((B876/28)/21))</f>
        <v>6</v>
      </c>
      <c r="D876" s="16" t="n">
        <f aca="false">IF(B876=-1, -1, MOD(INT(B876/28),21))</f>
        <v>14</v>
      </c>
      <c r="E876" s="16" t="n">
        <f aca="false">IF(B876=-1, -1, VLOOKUP(MOD(B876,28), $T$24:$U$52,2))</f>
        <v>19</v>
      </c>
      <c r="F876" s="16" t="n">
        <f aca="false">IF($B876=-1, -1, VLOOKUP(C876,$T$1:$V$20, 2))</f>
        <v>11</v>
      </c>
      <c r="G876" s="16" t="n">
        <f aca="false">IF($B876=-1, -1, VLOOKUP(D876,$Y$1:$Z$22,2))</f>
        <v>20</v>
      </c>
      <c r="H876" s="16" t="str">
        <f aca="false">_xlfn.UNICHAR(((F876*21)+G876)*28+44032)</f>
        <v>이</v>
      </c>
      <c r="I876" s="16" t="n">
        <f aca="false">IF(B876=-1, 1, COUNTIF($A$2:$A$3000, H876))</f>
        <v>1</v>
      </c>
      <c r="J876" s="10" t="str">
        <f aca="false">_xlfn.CONCAT(A876, ",",H876,",",I876)</f>
        <v>뭣,이,1</v>
      </c>
      <c r="K876" s="16" t="n">
        <f aca="false">IF(B876=-1,-1,VLOOKUP(C876,$T$1:$V$20,3))</f>
        <v>9</v>
      </c>
      <c r="L876" s="16" t="n">
        <f aca="false">IF(B876=-1,-1,VLOOKUP(D876,$Y$1:$AA$22,3))</f>
        <v>16</v>
      </c>
      <c r="N876" s="10" t="str">
        <f aca="false">_xlfn.UNICHAR(((C876*21)+G876)*28+44032)</f>
        <v>미</v>
      </c>
      <c r="O876" s="10" t="str">
        <f aca="false">_xlfn.UNICHAR(((F876*21)+D876)*28+44032)</f>
        <v>워</v>
      </c>
      <c r="P876" s="12" t="n">
        <f aca="false">COUNTIF($A$2:$A$3000, N876) + COUNTIF($A$2:$A$3000, O876)</f>
        <v>2</v>
      </c>
      <c r="Q876" s="16" t="str">
        <f aca="false">IF(OR(B876=-1,I876=0, P876&lt;&gt;2), "albhed_dummy", _xlfn.CONCAT("albhed ", RIGHT("  " &amp; K876,2),", ", RIGHT("  " &amp; L876,2), ", " ,"""",H876,""", ", """",N876,""", ","""",O876,""""," ; ", A876))</f>
        <v>albhed  9, 16, "이", "미", "워" ; 뭣</v>
      </c>
    </row>
    <row r="877" customFormat="false" ht="17.9" hidden="false" customHeight="true" outlineLevel="0" collapsed="false">
      <c r="A877" s="16" t="s">
        <v>1747</v>
      </c>
      <c r="B877" s="16" t="n">
        <f aca="false">IF(_xlfn.UNICODE(A877)&lt;44032,-1,_xlfn.UNICODE(A877)-44032)</f>
        <v>3948</v>
      </c>
      <c r="C877" s="16" t="n">
        <f aca="false">IF(B877=-1,-1,INT((B877/28)/21))</f>
        <v>6</v>
      </c>
      <c r="D877" s="16" t="n">
        <f aca="false">IF(B877=-1, -1, MOD(INT(B877/28),21))</f>
        <v>15</v>
      </c>
      <c r="E877" s="16" t="n">
        <f aca="false">IF(B877=-1, -1, VLOOKUP(MOD(B877,28), $T$24:$U$52,2))</f>
        <v>0</v>
      </c>
      <c r="F877" s="16" t="n">
        <f aca="false">IF($B877=-1, -1, VLOOKUP(C877,$T$1:$V$20, 2))</f>
        <v>11</v>
      </c>
      <c r="G877" s="16" t="n">
        <f aca="false">IF($B877=-1, -1, VLOOKUP(D877,$Y$1:$Z$22,2))</f>
        <v>20</v>
      </c>
      <c r="H877" s="16" t="str">
        <f aca="false">_xlfn.UNICHAR(((F877*21)+G877)*28+44032)</f>
        <v>이</v>
      </c>
      <c r="I877" s="16" t="n">
        <f aca="false">IF(B877=-1, 1, COUNTIF($A$2:$A$3000, H877))</f>
        <v>1</v>
      </c>
      <c r="J877" s="10" t="str">
        <f aca="false">_xlfn.CONCAT(A877, ",",H877,",",I877)</f>
        <v>뭬,이,1</v>
      </c>
      <c r="K877" s="16" t="n">
        <f aca="false">IF(B877=-1,-1,VLOOKUP(C877,$T$1:$V$20,3))</f>
        <v>9</v>
      </c>
      <c r="L877" s="16" t="n">
        <f aca="false">IF(B877=-1,-1,VLOOKUP(D877,$Y$1:$AA$22,3))</f>
        <v>16</v>
      </c>
      <c r="N877" s="10" t="str">
        <f aca="false">_xlfn.UNICHAR(((C877*21)+G877)*28+44032)</f>
        <v>미</v>
      </c>
      <c r="O877" s="10" t="str">
        <f aca="false">_xlfn.UNICHAR(((F877*21)+D877)*28+44032)</f>
        <v>웨</v>
      </c>
      <c r="P877" s="12" t="n">
        <f aca="false">COUNTIF($A$2:$A$3000, N877) + COUNTIF($A$2:$A$3000, O877)</f>
        <v>2</v>
      </c>
      <c r="Q877" s="16" t="str">
        <f aca="false">IF(OR(B877=-1,I877=0, P877&lt;&gt;2), "albhed_dummy", _xlfn.CONCAT("albhed ", RIGHT("  " &amp; K877,2),", ", RIGHT("  " &amp; L877,2), ", " ,"""",H877,""", ", """",N877,""", ","""",O877,""""," ; ", A877))</f>
        <v>albhed  9, 16, "이", "미", "웨" ; 뭬</v>
      </c>
    </row>
    <row r="878" customFormat="false" ht="17.9" hidden="false" customHeight="true" outlineLevel="0" collapsed="false">
      <c r="A878" s="16" t="s">
        <v>1748</v>
      </c>
      <c r="B878" s="16" t="n">
        <f aca="false">IF(_xlfn.UNICODE(A878)&lt;44032,-1,_xlfn.UNICODE(A878)-44032)</f>
        <v>3976</v>
      </c>
      <c r="C878" s="16" t="n">
        <f aca="false">IF(B878=-1,-1,INT((B878/28)/21))</f>
        <v>6</v>
      </c>
      <c r="D878" s="16" t="n">
        <f aca="false">IF(B878=-1, -1, MOD(INT(B878/28),21))</f>
        <v>16</v>
      </c>
      <c r="E878" s="16" t="n">
        <f aca="false">IF(B878=-1, -1, VLOOKUP(MOD(B878,28), $T$24:$U$52,2))</f>
        <v>0</v>
      </c>
      <c r="F878" s="16" t="n">
        <f aca="false">IF($B878=-1, -1, VLOOKUP(C878,$T$1:$V$20, 2))</f>
        <v>11</v>
      </c>
      <c r="G878" s="16" t="n">
        <f aca="false">IF($B878=-1, -1, VLOOKUP(D878,$Y$1:$Z$22,2))</f>
        <v>20</v>
      </c>
      <c r="H878" s="16" t="str">
        <f aca="false">_xlfn.UNICHAR(((F878*21)+G878)*28+44032)</f>
        <v>이</v>
      </c>
      <c r="I878" s="16" t="n">
        <f aca="false">IF(B878=-1, 1, COUNTIF($A$2:$A$3000, H878))</f>
        <v>1</v>
      </c>
      <c r="J878" s="10" t="str">
        <f aca="false">_xlfn.CONCAT(A878, ",",H878,",",I878)</f>
        <v>뮈,이,1</v>
      </c>
      <c r="K878" s="16" t="n">
        <f aca="false">IF(B878=-1,-1,VLOOKUP(C878,$T$1:$V$20,3))</f>
        <v>9</v>
      </c>
      <c r="L878" s="16" t="n">
        <f aca="false">IF(B878=-1,-1,VLOOKUP(D878,$Y$1:$AA$22,3))</f>
        <v>22</v>
      </c>
      <c r="N878" s="10" t="str">
        <f aca="false">_xlfn.UNICHAR(((C878*21)+G878)*28+44032)</f>
        <v>미</v>
      </c>
      <c r="O878" s="10" t="str">
        <f aca="false">_xlfn.UNICHAR(((F878*21)+D878)*28+44032)</f>
        <v>위</v>
      </c>
      <c r="P878" s="12" t="n">
        <f aca="false">COUNTIF($A$2:$A$3000, N878) + COUNTIF($A$2:$A$3000, O878)</f>
        <v>2</v>
      </c>
      <c r="Q878" s="16" t="str">
        <f aca="false">IF(OR(B878=-1,I878=0, P878&lt;&gt;2), "albhed_dummy", _xlfn.CONCAT("albhed ", RIGHT("  " &amp; K878,2),", ", RIGHT("  " &amp; L878,2), ", " ,"""",H878,""", ", """",N878,""", ","""",O878,""""," ; ", A878))</f>
        <v>albhed  9, 22, "이", "미", "위" ; 뮈</v>
      </c>
    </row>
    <row r="879" customFormat="false" ht="17.9" hidden="false" customHeight="true" outlineLevel="0" collapsed="false">
      <c r="A879" s="16" t="s">
        <v>1749</v>
      </c>
      <c r="B879" s="16" t="n">
        <f aca="false">IF(_xlfn.UNICODE(A879)&lt;44032,-1,_xlfn.UNICODE(A879)-44032)</f>
        <v>3980</v>
      </c>
      <c r="C879" s="16" t="n">
        <f aca="false">IF(B879=-1,-1,INT((B879/28)/21))</f>
        <v>6</v>
      </c>
      <c r="D879" s="16" t="n">
        <f aca="false">IF(B879=-1, -1, MOD(INT(B879/28),21))</f>
        <v>16</v>
      </c>
      <c r="E879" s="16" t="n">
        <f aca="false">IF(B879=-1, -1, VLOOKUP(MOD(B879,28), $T$24:$U$52,2))</f>
        <v>4</v>
      </c>
      <c r="F879" s="16" t="n">
        <f aca="false">IF($B879=-1, -1, VLOOKUP(C879,$T$1:$V$20, 2))</f>
        <v>11</v>
      </c>
      <c r="G879" s="16" t="n">
        <f aca="false">IF($B879=-1, -1, VLOOKUP(D879,$Y$1:$Z$22,2))</f>
        <v>20</v>
      </c>
      <c r="H879" s="16" t="str">
        <f aca="false">_xlfn.UNICHAR(((F879*21)+G879)*28+44032)</f>
        <v>이</v>
      </c>
      <c r="I879" s="16" t="n">
        <f aca="false">IF(B879=-1, 1, COUNTIF($A$2:$A$3000, H879))</f>
        <v>1</v>
      </c>
      <c r="J879" s="10" t="str">
        <f aca="false">_xlfn.CONCAT(A879, ",",H879,",",I879)</f>
        <v>뮌,이,1</v>
      </c>
      <c r="K879" s="16" t="n">
        <f aca="false">IF(B879=-1,-1,VLOOKUP(C879,$T$1:$V$20,3))</f>
        <v>9</v>
      </c>
      <c r="L879" s="16" t="n">
        <f aca="false">IF(B879=-1,-1,VLOOKUP(D879,$Y$1:$AA$22,3))</f>
        <v>22</v>
      </c>
      <c r="N879" s="10" t="str">
        <f aca="false">_xlfn.UNICHAR(((C879*21)+G879)*28+44032)</f>
        <v>미</v>
      </c>
      <c r="O879" s="10" t="str">
        <f aca="false">_xlfn.UNICHAR(((F879*21)+D879)*28+44032)</f>
        <v>위</v>
      </c>
      <c r="P879" s="12" t="n">
        <f aca="false">COUNTIF($A$2:$A$3000, N879) + COUNTIF($A$2:$A$3000, O879)</f>
        <v>2</v>
      </c>
      <c r="Q879" s="16" t="str">
        <f aca="false">IF(OR(B879=-1,I879=0, P879&lt;&gt;2), "albhed_dummy", _xlfn.CONCAT("albhed ", RIGHT("  " &amp; K879,2),", ", RIGHT("  " &amp; L879,2), ", " ,"""",H879,""", ", """",N879,""", ","""",O879,""""," ; ", A879))</f>
        <v>albhed  9, 22, "이", "미", "위" ; 뮌</v>
      </c>
    </row>
    <row r="880" customFormat="false" ht="17.9" hidden="false" customHeight="true" outlineLevel="0" collapsed="false">
      <c r="A880" s="16" t="s">
        <v>1750</v>
      </c>
      <c r="B880" s="16" t="n">
        <f aca="false">IF(_xlfn.UNICODE(A880)&lt;44032,-1,_xlfn.UNICODE(A880)-44032)</f>
        <v>3984</v>
      </c>
      <c r="C880" s="16" t="n">
        <f aca="false">IF(B880=-1,-1,INT((B880/28)/21))</f>
        <v>6</v>
      </c>
      <c r="D880" s="16" t="n">
        <f aca="false">IF(B880=-1, -1, MOD(INT(B880/28),21))</f>
        <v>16</v>
      </c>
      <c r="E880" s="16" t="n">
        <f aca="false">IF(B880=-1, -1, VLOOKUP(MOD(B880,28), $T$24:$U$52,2))</f>
        <v>8</v>
      </c>
      <c r="F880" s="16" t="n">
        <f aca="false">IF($B880=-1, -1, VLOOKUP(C880,$T$1:$V$20, 2))</f>
        <v>11</v>
      </c>
      <c r="G880" s="16" t="n">
        <f aca="false">IF($B880=-1, -1, VLOOKUP(D880,$Y$1:$Z$22,2))</f>
        <v>20</v>
      </c>
      <c r="H880" s="16" t="str">
        <f aca="false">_xlfn.UNICHAR(((F880*21)+G880)*28+44032)</f>
        <v>이</v>
      </c>
      <c r="I880" s="16" t="n">
        <f aca="false">IF(B880=-1, 1, COUNTIF($A$2:$A$3000, H880))</f>
        <v>1</v>
      </c>
      <c r="J880" s="10" t="str">
        <f aca="false">_xlfn.CONCAT(A880, ",",H880,",",I880)</f>
        <v>뮐,이,1</v>
      </c>
      <c r="K880" s="16" t="n">
        <f aca="false">IF(B880=-1,-1,VLOOKUP(C880,$T$1:$V$20,3))</f>
        <v>9</v>
      </c>
      <c r="L880" s="16" t="n">
        <f aca="false">IF(B880=-1,-1,VLOOKUP(D880,$Y$1:$AA$22,3))</f>
        <v>22</v>
      </c>
      <c r="N880" s="10" t="str">
        <f aca="false">_xlfn.UNICHAR(((C880*21)+G880)*28+44032)</f>
        <v>미</v>
      </c>
      <c r="O880" s="10" t="str">
        <f aca="false">_xlfn.UNICHAR(((F880*21)+D880)*28+44032)</f>
        <v>위</v>
      </c>
      <c r="P880" s="12" t="n">
        <f aca="false">COUNTIF($A$2:$A$3000, N880) + COUNTIF($A$2:$A$3000, O880)</f>
        <v>2</v>
      </c>
      <c r="Q880" s="16" t="str">
        <f aca="false">IF(OR(B880=-1,I880=0, P880&lt;&gt;2), "albhed_dummy", _xlfn.CONCAT("albhed ", RIGHT("  " &amp; K880,2),", ", RIGHT("  " &amp; L880,2), ", " ,"""",H880,""", ", """",N880,""", ","""",O880,""""," ; ", A880))</f>
        <v>albhed  9, 22, "이", "미", "위" ; 뮐</v>
      </c>
    </row>
    <row r="881" customFormat="false" ht="17.9" hidden="false" customHeight="true" outlineLevel="0" collapsed="false">
      <c r="A881" s="16" t="s">
        <v>1751</v>
      </c>
      <c r="B881" s="16" t="n">
        <f aca="false">IF(_xlfn.UNICODE(A881)&lt;44032,-1,_xlfn.UNICODE(A881)-44032)</f>
        <v>4004</v>
      </c>
      <c r="C881" s="16" t="n">
        <f aca="false">IF(B881=-1,-1,INT((B881/28)/21))</f>
        <v>6</v>
      </c>
      <c r="D881" s="16" t="n">
        <f aca="false">IF(B881=-1, -1, MOD(INT(B881/28),21))</f>
        <v>17</v>
      </c>
      <c r="E881" s="16" t="n">
        <f aca="false">IF(B881=-1, -1, VLOOKUP(MOD(B881,28), $T$24:$U$52,2))</f>
        <v>0</v>
      </c>
      <c r="F881" s="16" t="n">
        <f aca="false">IF($B881=-1, -1, VLOOKUP(C881,$T$1:$V$20, 2))</f>
        <v>11</v>
      </c>
      <c r="G881" s="16" t="n">
        <f aca="false">IF($B881=-1, -1, VLOOKUP(D881,$Y$1:$Z$22,2))</f>
        <v>2</v>
      </c>
      <c r="H881" s="16" t="str">
        <f aca="false">_xlfn.UNICHAR(((F881*21)+G881)*28+44032)</f>
        <v>야</v>
      </c>
      <c r="I881" s="16" t="n">
        <f aca="false">IF(B881=-1, 1, COUNTIF($A$2:$A$3000, H881))</f>
        <v>1</v>
      </c>
      <c r="J881" s="10" t="str">
        <f aca="false">_xlfn.CONCAT(A881, ",",H881,",",I881)</f>
        <v>뮤,야,1</v>
      </c>
      <c r="K881" s="16" t="n">
        <f aca="false">IF(B881=-1,-1,VLOOKUP(C881,$T$1:$V$20,3))</f>
        <v>9</v>
      </c>
      <c r="L881" s="16" t="n">
        <f aca="false">IF(B881=-1,-1,VLOOKUP(D881,$Y$1:$AA$22,3))</f>
        <v>6</v>
      </c>
      <c r="N881" s="10" t="str">
        <f aca="false">_xlfn.UNICHAR(((C881*21)+G881)*28+44032)</f>
        <v>먀</v>
      </c>
      <c r="O881" s="10" t="str">
        <f aca="false">_xlfn.UNICHAR(((F881*21)+D881)*28+44032)</f>
        <v>유</v>
      </c>
      <c r="P881" s="12" t="n">
        <f aca="false">COUNTIF($A$2:$A$3000, N881) + COUNTIF($A$2:$A$3000, O881)</f>
        <v>2</v>
      </c>
      <c r="Q881" s="16" t="str">
        <f aca="false">IF(OR(B881=-1,I881=0, P881&lt;&gt;2), "albhed_dummy", _xlfn.CONCAT("albhed ", RIGHT("  " &amp; K881,2),", ", RIGHT("  " &amp; L881,2), ", " ,"""",H881,""", ", """",N881,""", ","""",O881,""""," ; ", A881))</f>
        <v>albhed  9,  6, "야", "먀", "유" ; 뮤</v>
      </c>
    </row>
    <row r="882" customFormat="false" ht="17.9" hidden="false" customHeight="true" outlineLevel="0" collapsed="false">
      <c r="A882" s="16" t="s">
        <v>1752</v>
      </c>
      <c r="B882" s="16" t="n">
        <f aca="false">IF(_xlfn.UNICODE(A882)&lt;44032,-1,_xlfn.UNICODE(A882)-44032)</f>
        <v>4008</v>
      </c>
      <c r="C882" s="16" t="n">
        <f aca="false">IF(B882=-1,-1,INT((B882/28)/21))</f>
        <v>6</v>
      </c>
      <c r="D882" s="16" t="n">
        <f aca="false">IF(B882=-1, -1, MOD(INT(B882/28),21))</f>
        <v>17</v>
      </c>
      <c r="E882" s="16" t="n">
        <f aca="false">IF(B882=-1, -1, VLOOKUP(MOD(B882,28), $T$24:$U$52,2))</f>
        <v>4</v>
      </c>
      <c r="F882" s="16" t="n">
        <f aca="false">IF($B882=-1, -1, VLOOKUP(C882,$T$1:$V$20, 2))</f>
        <v>11</v>
      </c>
      <c r="G882" s="16" t="n">
        <f aca="false">IF($B882=-1, -1, VLOOKUP(D882,$Y$1:$Z$22,2))</f>
        <v>2</v>
      </c>
      <c r="H882" s="16" t="str">
        <f aca="false">_xlfn.UNICHAR(((F882*21)+G882)*28+44032)</f>
        <v>야</v>
      </c>
      <c r="I882" s="16" t="n">
        <f aca="false">IF(B882=-1, 1, COUNTIF($A$2:$A$3000, H882))</f>
        <v>1</v>
      </c>
      <c r="J882" s="10" t="str">
        <f aca="false">_xlfn.CONCAT(A882, ",",H882,",",I882)</f>
        <v>뮨,야,1</v>
      </c>
      <c r="K882" s="16" t="n">
        <f aca="false">IF(B882=-1,-1,VLOOKUP(C882,$T$1:$V$20,3))</f>
        <v>9</v>
      </c>
      <c r="L882" s="16" t="n">
        <f aca="false">IF(B882=-1,-1,VLOOKUP(D882,$Y$1:$AA$22,3))</f>
        <v>6</v>
      </c>
      <c r="N882" s="10" t="str">
        <f aca="false">_xlfn.UNICHAR(((C882*21)+G882)*28+44032)</f>
        <v>먀</v>
      </c>
      <c r="O882" s="10" t="str">
        <f aca="false">_xlfn.UNICHAR(((F882*21)+D882)*28+44032)</f>
        <v>유</v>
      </c>
      <c r="P882" s="12" t="n">
        <f aca="false">COUNTIF($A$2:$A$3000, N882) + COUNTIF($A$2:$A$3000, O882)</f>
        <v>2</v>
      </c>
      <c r="Q882" s="16" t="str">
        <f aca="false">IF(OR(B882=-1,I882=0, P882&lt;&gt;2), "albhed_dummy", _xlfn.CONCAT("albhed ", RIGHT("  " &amp; K882,2),", ", RIGHT("  " &amp; L882,2), ", " ,"""",H882,""", ", """",N882,""", ","""",O882,""""," ; ", A882))</f>
        <v>albhed  9,  6, "야", "먀", "유" ; 뮨</v>
      </c>
    </row>
    <row r="883" customFormat="false" ht="17.9" hidden="false" customHeight="true" outlineLevel="0" collapsed="false">
      <c r="A883" s="16" t="s">
        <v>1753</v>
      </c>
      <c r="B883" s="16" t="n">
        <f aca="false">IF(_xlfn.UNICODE(A883)&lt;44032,-1,_xlfn.UNICODE(A883)-44032)</f>
        <v>4012</v>
      </c>
      <c r="C883" s="16" t="n">
        <f aca="false">IF(B883=-1,-1,INT((B883/28)/21))</f>
        <v>6</v>
      </c>
      <c r="D883" s="16" t="n">
        <f aca="false">IF(B883=-1, -1, MOD(INT(B883/28),21))</f>
        <v>17</v>
      </c>
      <c r="E883" s="16" t="n">
        <f aca="false">IF(B883=-1, -1, VLOOKUP(MOD(B883,28), $T$24:$U$52,2))</f>
        <v>8</v>
      </c>
      <c r="F883" s="16" t="n">
        <f aca="false">IF($B883=-1, -1, VLOOKUP(C883,$T$1:$V$20, 2))</f>
        <v>11</v>
      </c>
      <c r="G883" s="16" t="n">
        <f aca="false">IF($B883=-1, -1, VLOOKUP(D883,$Y$1:$Z$22,2))</f>
        <v>2</v>
      </c>
      <c r="H883" s="16" t="str">
        <f aca="false">_xlfn.UNICHAR(((F883*21)+G883)*28+44032)</f>
        <v>야</v>
      </c>
      <c r="I883" s="16" t="n">
        <f aca="false">IF(B883=-1, 1, COUNTIF($A$2:$A$3000, H883))</f>
        <v>1</v>
      </c>
      <c r="J883" s="10" t="str">
        <f aca="false">_xlfn.CONCAT(A883, ",",H883,",",I883)</f>
        <v>뮬,야,1</v>
      </c>
      <c r="K883" s="16" t="n">
        <f aca="false">IF(B883=-1,-1,VLOOKUP(C883,$T$1:$V$20,3))</f>
        <v>9</v>
      </c>
      <c r="L883" s="16" t="n">
        <f aca="false">IF(B883=-1,-1,VLOOKUP(D883,$Y$1:$AA$22,3))</f>
        <v>6</v>
      </c>
      <c r="N883" s="10" t="str">
        <f aca="false">_xlfn.UNICHAR(((C883*21)+G883)*28+44032)</f>
        <v>먀</v>
      </c>
      <c r="O883" s="10" t="str">
        <f aca="false">_xlfn.UNICHAR(((F883*21)+D883)*28+44032)</f>
        <v>유</v>
      </c>
      <c r="P883" s="12" t="n">
        <f aca="false">COUNTIF($A$2:$A$3000, N883) + COUNTIF($A$2:$A$3000, O883)</f>
        <v>2</v>
      </c>
      <c r="Q883" s="16" t="str">
        <f aca="false">IF(OR(B883=-1,I883=0, P883&lt;&gt;2), "albhed_dummy", _xlfn.CONCAT("albhed ", RIGHT("  " &amp; K883,2),", ", RIGHT("  " &amp; L883,2), ", " ,"""",H883,""", ", """",N883,""", ","""",O883,""""," ; ", A883))</f>
        <v>albhed  9,  6, "야", "먀", "유" ; 뮬</v>
      </c>
    </row>
    <row r="884" customFormat="false" ht="17.9" hidden="false" customHeight="true" outlineLevel="0" collapsed="false">
      <c r="A884" s="16" t="s">
        <v>1754</v>
      </c>
      <c r="B884" s="16" t="n">
        <f aca="false">IF(_xlfn.UNICODE(A884)&lt;44032,-1,_xlfn.UNICODE(A884)-44032)</f>
        <v>4020</v>
      </c>
      <c r="C884" s="16" t="n">
        <f aca="false">IF(B884=-1,-1,INT((B884/28)/21))</f>
        <v>6</v>
      </c>
      <c r="D884" s="16" t="n">
        <f aca="false">IF(B884=-1, -1, MOD(INT(B884/28),21))</f>
        <v>17</v>
      </c>
      <c r="E884" s="16" t="n">
        <f aca="false">IF(B884=-1, -1, VLOOKUP(MOD(B884,28), $T$24:$U$52,2))</f>
        <v>16</v>
      </c>
      <c r="F884" s="16" t="n">
        <f aca="false">IF($B884=-1, -1, VLOOKUP(C884,$T$1:$V$20, 2))</f>
        <v>11</v>
      </c>
      <c r="G884" s="16" t="n">
        <f aca="false">IF($B884=-1, -1, VLOOKUP(D884,$Y$1:$Z$22,2))</f>
        <v>2</v>
      </c>
      <c r="H884" s="16" t="str">
        <f aca="false">_xlfn.UNICHAR(((F884*21)+G884)*28+44032)</f>
        <v>야</v>
      </c>
      <c r="I884" s="16" t="n">
        <f aca="false">IF(B884=-1, 1, COUNTIF($A$2:$A$3000, H884))</f>
        <v>1</v>
      </c>
      <c r="J884" s="10" t="str">
        <f aca="false">_xlfn.CONCAT(A884, ",",H884,",",I884)</f>
        <v>뮴,야,1</v>
      </c>
      <c r="K884" s="16" t="n">
        <f aca="false">IF(B884=-1,-1,VLOOKUP(C884,$T$1:$V$20,3))</f>
        <v>9</v>
      </c>
      <c r="L884" s="16" t="n">
        <f aca="false">IF(B884=-1,-1,VLOOKUP(D884,$Y$1:$AA$22,3))</f>
        <v>6</v>
      </c>
      <c r="N884" s="10" t="str">
        <f aca="false">_xlfn.UNICHAR(((C884*21)+G884)*28+44032)</f>
        <v>먀</v>
      </c>
      <c r="O884" s="10" t="str">
        <f aca="false">_xlfn.UNICHAR(((F884*21)+D884)*28+44032)</f>
        <v>유</v>
      </c>
      <c r="P884" s="12" t="n">
        <f aca="false">COUNTIF($A$2:$A$3000, N884) + COUNTIF($A$2:$A$3000, O884)</f>
        <v>2</v>
      </c>
      <c r="Q884" s="16" t="str">
        <f aca="false">IF(OR(B884=-1,I884=0, P884&lt;&gt;2), "albhed_dummy", _xlfn.CONCAT("albhed ", RIGHT("  " &amp; K884,2),", ", RIGHT("  " &amp; L884,2), ", " ,"""",H884,""", ", """",N884,""", ","""",O884,""""," ; ", A884))</f>
        <v>albhed  9,  6, "야", "먀", "유" ; 뮴</v>
      </c>
    </row>
    <row r="885" customFormat="false" ht="17.9" hidden="false" customHeight="true" outlineLevel="0" collapsed="false">
      <c r="A885" s="16" t="s">
        <v>1755</v>
      </c>
      <c r="B885" s="16" t="n">
        <f aca="false">IF(_xlfn.UNICODE(A885)&lt;44032,-1,_xlfn.UNICODE(A885)-44032)</f>
        <v>4023</v>
      </c>
      <c r="C885" s="16" t="n">
        <f aca="false">IF(B885=-1,-1,INT((B885/28)/21))</f>
        <v>6</v>
      </c>
      <c r="D885" s="16" t="n">
        <f aca="false">IF(B885=-1, -1, MOD(INT(B885/28),21))</f>
        <v>17</v>
      </c>
      <c r="E885" s="16" t="n">
        <f aca="false">IF(B885=-1, -1, VLOOKUP(MOD(B885,28), $T$24:$U$52,2))</f>
        <v>19</v>
      </c>
      <c r="F885" s="16" t="n">
        <f aca="false">IF($B885=-1, -1, VLOOKUP(C885,$T$1:$V$20, 2))</f>
        <v>11</v>
      </c>
      <c r="G885" s="16" t="n">
        <f aca="false">IF($B885=-1, -1, VLOOKUP(D885,$Y$1:$Z$22,2))</f>
        <v>2</v>
      </c>
      <c r="H885" s="16" t="str">
        <f aca="false">_xlfn.UNICHAR(((F885*21)+G885)*28+44032)</f>
        <v>야</v>
      </c>
      <c r="I885" s="16" t="n">
        <f aca="false">IF(B885=-1, 1, COUNTIF($A$2:$A$3000, H885))</f>
        <v>1</v>
      </c>
      <c r="J885" s="10" t="str">
        <f aca="false">_xlfn.CONCAT(A885, ",",H885,",",I885)</f>
        <v>뮷,야,1</v>
      </c>
      <c r="K885" s="16" t="n">
        <f aca="false">IF(B885=-1,-1,VLOOKUP(C885,$T$1:$V$20,3))</f>
        <v>9</v>
      </c>
      <c r="L885" s="16" t="n">
        <f aca="false">IF(B885=-1,-1,VLOOKUP(D885,$Y$1:$AA$22,3))</f>
        <v>6</v>
      </c>
      <c r="N885" s="10" t="str">
        <f aca="false">_xlfn.UNICHAR(((C885*21)+G885)*28+44032)</f>
        <v>먀</v>
      </c>
      <c r="O885" s="10" t="str">
        <f aca="false">_xlfn.UNICHAR(((F885*21)+D885)*28+44032)</f>
        <v>유</v>
      </c>
      <c r="P885" s="12" t="n">
        <f aca="false">COUNTIF($A$2:$A$3000, N885) + COUNTIF($A$2:$A$3000, O885)</f>
        <v>2</v>
      </c>
      <c r="Q885" s="16" t="str">
        <f aca="false">IF(OR(B885=-1,I885=0, P885&lt;&gt;2), "albhed_dummy", _xlfn.CONCAT("albhed ", RIGHT("  " &amp; K885,2),", ", RIGHT("  " &amp; L885,2), ", " ,"""",H885,""", ", """",N885,""", ","""",O885,""""," ; ", A885))</f>
        <v>albhed  9,  6, "야", "먀", "유" ; 뮷</v>
      </c>
    </row>
    <row r="886" customFormat="false" ht="17.9" hidden="false" customHeight="true" outlineLevel="0" collapsed="false">
      <c r="A886" s="16" t="s">
        <v>1756</v>
      </c>
      <c r="B886" s="16" t="n">
        <f aca="false">IF(_xlfn.UNICODE(A886)&lt;44032,-1,_xlfn.UNICODE(A886)-44032)</f>
        <v>4032</v>
      </c>
      <c r="C886" s="16" t="n">
        <f aca="false">IF(B886=-1,-1,INT((B886/28)/21))</f>
        <v>6</v>
      </c>
      <c r="D886" s="16" t="n">
        <f aca="false">IF(B886=-1, -1, MOD(INT(B886/28),21))</f>
        <v>18</v>
      </c>
      <c r="E886" s="16" t="n">
        <f aca="false">IF(B886=-1, -1, VLOOKUP(MOD(B886,28), $T$24:$U$52,2))</f>
        <v>0</v>
      </c>
      <c r="F886" s="16" t="n">
        <f aca="false">IF($B886=-1, -1, VLOOKUP(C886,$T$1:$V$20, 2))</f>
        <v>11</v>
      </c>
      <c r="G886" s="16" t="n">
        <f aca="false">IF($B886=-1, -1, VLOOKUP(D886,$Y$1:$Z$22,2))</f>
        <v>5</v>
      </c>
      <c r="H886" s="16" t="str">
        <f aca="false">_xlfn.UNICHAR(((F886*21)+G886)*28+44032)</f>
        <v>에</v>
      </c>
      <c r="I886" s="16" t="n">
        <f aca="false">IF(B886=-1, 1, COUNTIF($A$2:$A$3000, H886))</f>
        <v>1</v>
      </c>
      <c r="J886" s="10" t="str">
        <f aca="false">_xlfn.CONCAT(A886, ",",H886,",",I886)</f>
        <v>므,에,1</v>
      </c>
      <c r="K886" s="16" t="n">
        <f aca="false">IF(B886=-1,-1,VLOOKUP(C886,$T$1:$V$20,3))</f>
        <v>9</v>
      </c>
      <c r="L886" s="16" t="n">
        <f aca="false">IF(B886=-1,-1,VLOOKUP(D886,$Y$1:$AA$22,3))</f>
        <v>18</v>
      </c>
      <c r="N886" s="10" t="str">
        <f aca="false">_xlfn.UNICHAR(((C886*21)+G886)*28+44032)</f>
        <v>메</v>
      </c>
      <c r="O886" s="10" t="str">
        <f aca="false">_xlfn.UNICHAR(((F886*21)+D886)*28+44032)</f>
        <v>으</v>
      </c>
      <c r="P886" s="12" t="n">
        <f aca="false">COUNTIF($A$2:$A$3000, N886) + COUNTIF($A$2:$A$3000, O886)</f>
        <v>2</v>
      </c>
      <c r="Q886" s="16" t="str">
        <f aca="false">IF(OR(B886=-1,I886=0, P886&lt;&gt;2), "albhed_dummy", _xlfn.CONCAT("albhed ", RIGHT("  " &amp; K886,2),", ", RIGHT("  " &amp; L886,2), ", " ,"""",H886,""", ", """",N886,""", ","""",O886,""""," ; ", A886))</f>
        <v>albhed  9, 18, "에", "메", "으" ; 므</v>
      </c>
    </row>
    <row r="887" customFormat="false" ht="17.9" hidden="false" customHeight="true" outlineLevel="0" collapsed="false">
      <c r="A887" s="16" t="s">
        <v>1757</v>
      </c>
      <c r="B887" s="16" t="n">
        <f aca="false">IF(_xlfn.UNICODE(A887)&lt;44032,-1,_xlfn.UNICODE(A887)-44032)</f>
        <v>4036</v>
      </c>
      <c r="C887" s="16" t="n">
        <f aca="false">IF(B887=-1,-1,INT((B887/28)/21))</f>
        <v>6</v>
      </c>
      <c r="D887" s="16" t="n">
        <f aca="false">IF(B887=-1, -1, MOD(INT(B887/28),21))</f>
        <v>18</v>
      </c>
      <c r="E887" s="16" t="n">
        <f aca="false">IF(B887=-1, -1, VLOOKUP(MOD(B887,28), $T$24:$U$52,2))</f>
        <v>4</v>
      </c>
      <c r="F887" s="16" t="n">
        <f aca="false">IF($B887=-1, -1, VLOOKUP(C887,$T$1:$V$20, 2))</f>
        <v>11</v>
      </c>
      <c r="G887" s="16" t="n">
        <f aca="false">IF($B887=-1, -1, VLOOKUP(D887,$Y$1:$Z$22,2))</f>
        <v>5</v>
      </c>
      <c r="H887" s="16" t="str">
        <f aca="false">_xlfn.UNICHAR(((F887*21)+G887)*28+44032)</f>
        <v>에</v>
      </c>
      <c r="I887" s="16" t="n">
        <f aca="false">IF(B887=-1, 1, COUNTIF($A$2:$A$3000, H887))</f>
        <v>1</v>
      </c>
      <c r="J887" s="10" t="str">
        <f aca="false">_xlfn.CONCAT(A887, ",",H887,",",I887)</f>
        <v>믄,에,1</v>
      </c>
      <c r="K887" s="16" t="n">
        <f aca="false">IF(B887=-1,-1,VLOOKUP(C887,$T$1:$V$20,3))</f>
        <v>9</v>
      </c>
      <c r="L887" s="16" t="n">
        <f aca="false">IF(B887=-1,-1,VLOOKUP(D887,$Y$1:$AA$22,3))</f>
        <v>18</v>
      </c>
      <c r="N887" s="10" t="str">
        <f aca="false">_xlfn.UNICHAR(((C887*21)+G887)*28+44032)</f>
        <v>메</v>
      </c>
      <c r="O887" s="10" t="str">
        <f aca="false">_xlfn.UNICHAR(((F887*21)+D887)*28+44032)</f>
        <v>으</v>
      </c>
      <c r="P887" s="12" t="n">
        <f aca="false">COUNTIF($A$2:$A$3000, N887) + COUNTIF($A$2:$A$3000, O887)</f>
        <v>2</v>
      </c>
      <c r="Q887" s="16" t="str">
        <f aca="false">IF(OR(B887=-1,I887=0, P887&lt;&gt;2), "albhed_dummy", _xlfn.CONCAT("albhed ", RIGHT("  " &amp; K887,2),", ", RIGHT("  " &amp; L887,2), ", " ,"""",H887,""", ", """",N887,""", ","""",O887,""""," ; ", A887))</f>
        <v>albhed  9, 18, "에", "메", "으" ; 믄</v>
      </c>
    </row>
    <row r="888" customFormat="false" ht="17.9" hidden="false" customHeight="true" outlineLevel="0" collapsed="false">
      <c r="A888" s="16" t="s">
        <v>1758</v>
      </c>
      <c r="B888" s="16" t="n">
        <f aca="false">IF(_xlfn.UNICODE(A888)&lt;44032,-1,_xlfn.UNICODE(A888)-44032)</f>
        <v>4040</v>
      </c>
      <c r="C888" s="16" t="n">
        <f aca="false">IF(B888=-1,-1,INT((B888/28)/21))</f>
        <v>6</v>
      </c>
      <c r="D888" s="16" t="n">
        <f aca="false">IF(B888=-1, -1, MOD(INT(B888/28),21))</f>
        <v>18</v>
      </c>
      <c r="E888" s="16" t="n">
        <f aca="false">IF(B888=-1, -1, VLOOKUP(MOD(B888,28), $T$24:$U$52,2))</f>
        <v>8</v>
      </c>
      <c r="F888" s="16" t="n">
        <f aca="false">IF($B888=-1, -1, VLOOKUP(C888,$T$1:$V$20, 2))</f>
        <v>11</v>
      </c>
      <c r="G888" s="16" t="n">
        <f aca="false">IF($B888=-1, -1, VLOOKUP(D888,$Y$1:$Z$22,2))</f>
        <v>5</v>
      </c>
      <c r="H888" s="16" t="str">
        <f aca="false">_xlfn.UNICHAR(((F888*21)+G888)*28+44032)</f>
        <v>에</v>
      </c>
      <c r="I888" s="16" t="n">
        <f aca="false">IF(B888=-1, 1, COUNTIF($A$2:$A$3000, H888))</f>
        <v>1</v>
      </c>
      <c r="J888" s="10" t="str">
        <f aca="false">_xlfn.CONCAT(A888, ",",H888,",",I888)</f>
        <v>믈,에,1</v>
      </c>
      <c r="K888" s="16" t="n">
        <f aca="false">IF(B888=-1,-1,VLOOKUP(C888,$T$1:$V$20,3))</f>
        <v>9</v>
      </c>
      <c r="L888" s="16" t="n">
        <f aca="false">IF(B888=-1,-1,VLOOKUP(D888,$Y$1:$AA$22,3))</f>
        <v>18</v>
      </c>
      <c r="N888" s="10" t="str">
        <f aca="false">_xlfn.UNICHAR(((C888*21)+G888)*28+44032)</f>
        <v>메</v>
      </c>
      <c r="O888" s="10" t="str">
        <f aca="false">_xlfn.UNICHAR(((F888*21)+D888)*28+44032)</f>
        <v>으</v>
      </c>
      <c r="P888" s="12" t="n">
        <f aca="false">COUNTIF($A$2:$A$3000, N888) + COUNTIF($A$2:$A$3000, O888)</f>
        <v>2</v>
      </c>
      <c r="Q888" s="16" t="str">
        <f aca="false">IF(OR(B888=-1,I888=0, P888&lt;&gt;2), "albhed_dummy", _xlfn.CONCAT("albhed ", RIGHT("  " &amp; K888,2),", ", RIGHT("  " &amp; L888,2), ", " ,"""",H888,""", ", """",N888,""", ","""",O888,""""," ; ", A888))</f>
        <v>albhed  9, 18, "에", "메", "으" ; 믈</v>
      </c>
    </row>
    <row r="889" customFormat="false" ht="17.9" hidden="false" customHeight="true" outlineLevel="0" collapsed="false">
      <c r="A889" s="16" t="s">
        <v>1759</v>
      </c>
      <c r="B889" s="16" t="n">
        <f aca="false">IF(_xlfn.UNICODE(A889)&lt;44032,-1,_xlfn.UNICODE(A889)-44032)</f>
        <v>4048</v>
      </c>
      <c r="C889" s="16" t="n">
        <f aca="false">IF(B889=-1,-1,INT((B889/28)/21))</f>
        <v>6</v>
      </c>
      <c r="D889" s="16" t="n">
        <f aca="false">IF(B889=-1, -1, MOD(INT(B889/28),21))</f>
        <v>18</v>
      </c>
      <c r="E889" s="16" t="n">
        <f aca="false">IF(B889=-1, -1, VLOOKUP(MOD(B889,28), $T$24:$U$52,2))</f>
        <v>16</v>
      </c>
      <c r="F889" s="16" t="n">
        <f aca="false">IF($B889=-1, -1, VLOOKUP(C889,$T$1:$V$20, 2))</f>
        <v>11</v>
      </c>
      <c r="G889" s="16" t="n">
        <f aca="false">IF($B889=-1, -1, VLOOKUP(D889,$Y$1:$Z$22,2))</f>
        <v>5</v>
      </c>
      <c r="H889" s="16" t="str">
        <f aca="false">_xlfn.UNICHAR(((F889*21)+G889)*28+44032)</f>
        <v>에</v>
      </c>
      <c r="I889" s="16" t="n">
        <f aca="false">IF(B889=-1, 1, COUNTIF($A$2:$A$3000, H889))</f>
        <v>1</v>
      </c>
      <c r="J889" s="10" t="str">
        <f aca="false">_xlfn.CONCAT(A889, ",",H889,",",I889)</f>
        <v>믐,에,1</v>
      </c>
      <c r="K889" s="16" t="n">
        <f aca="false">IF(B889=-1,-1,VLOOKUP(C889,$T$1:$V$20,3))</f>
        <v>9</v>
      </c>
      <c r="L889" s="16" t="n">
        <f aca="false">IF(B889=-1,-1,VLOOKUP(D889,$Y$1:$AA$22,3))</f>
        <v>18</v>
      </c>
      <c r="N889" s="10" t="str">
        <f aca="false">_xlfn.UNICHAR(((C889*21)+G889)*28+44032)</f>
        <v>메</v>
      </c>
      <c r="O889" s="10" t="str">
        <f aca="false">_xlfn.UNICHAR(((F889*21)+D889)*28+44032)</f>
        <v>으</v>
      </c>
      <c r="P889" s="12" t="n">
        <f aca="false">COUNTIF($A$2:$A$3000, N889) + COUNTIF($A$2:$A$3000, O889)</f>
        <v>2</v>
      </c>
      <c r="Q889" s="16" t="str">
        <f aca="false">IF(OR(B889=-1,I889=0, P889&lt;&gt;2), "albhed_dummy", _xlfn.CONCAT("albhed ", RIGHT("  " &amp; K889,2),", ", RIGHT("  " &amp; L889,2), ", " ,"""",H889,""", ", """",N889,""", ","""",O889,""""," ; ", A889))</f>
        <v>albhed  9, 18, "에", "메", "으" ; 믐</v>
      </c>
    </row>
    <row r="890" customFormat="false" ht="17.9" hidden="false" customHeight="true" outlineLevel="0" collapsed="false">
      <c r="A890" s="16" t="s">
        <v>1760</v>
      </c>
      <c r="B890" s="16" t="n">
        <f aca="false">IF(_xlfn.UNICODE(A890)&lt;44032,-1,_xlfn.UNICODE(A890)-44032)</f>
        <v>4051</v>
      </c>
      <c r="C890" s="16" t="n">
        <f aca="false">IF(B890=-1,-1,INT((B890/28)/21))</f>
        <v>6</v>
      </c>
      <c r="D890" s="16" t="n">
        <f aca="false">IF(B890=-1, -1, MOD(INT(B890/28),21))</f>
        <v>18</v>
      </c>
      <c r="E890" s="16" t="n">
        <f aca="false">IF(B890=-1, -1, VLOOKUP(MOD(B890,28), $T$24:$U$52,2))</f>
        <v>19</v>
      </c>
      <c r="F890" s="16" t="n">
        <f aca="false">IF($B890=-1, -1, VLOOKUP(C890,$T$1:$V$20, 2))</f>
        <v>11</v>
      </c>
      <c r="G890" s="16" t="n">
        <f aca="false">IF($B890=-1, -1, VLOOKUP(D890,$Y$1:$Z$22,2))</f>
        <v>5</v>
      </c>
      <c r="H890" s="16" t="str">
        <f aca="false">_xlfn.UNICHAR(((F890*21)+G890)*28+44032)</f>
        <v>에</v>
      </c>
      <c r="I890" s="16" t="n">
        <f aca="false">IF(B890=-1, 1, COUNTIF($A$2:$A$3000, H890))</f>
        <v>1</v>
      </c>
      <c r="J890" s="10" t="str">
        <f aca="false">_xlfn.CONCAT(A890, ",",H890,",",I890)</f>
        <v>믓,에,1</v>
      </c>
      <c r="K890" s="16" t="n">
        <f aca="false">IF(B890=-1,-1,VLOOKUP(C890,$T$1:$V$20,3))</f>
        <v>9</v>
      </c>
      <c r="L890" s="16" t="n">
        <f aca="false">IF(B890=-1,-1,VLOOKUP(D890,$Y$1:$AA$22,3))</f>
        <v>18</v>
      </c>
      <c r="N890" s="10" t="str">
        <f aca="false">_xlfn.UNICHAR(((C890*21)+G890)*28+44032)</f>
        <v>메</v>
      </c>
      <c r="O890" s="10" t="str">
        <f aca="false">_xlfn.UNICHAR(((F890*21)+D890)*28+44032)</f>
        <v>으</v>
      </c>
      <c r="P890" s="12" t="n">
        <f aca="false">COUNTIF($A$2:$A$3000, N890) + COUNTIF($A$2:$A$3000, O890)</f>
        <v>2</v>
      </c>
      <c r="Q890" s="16" t="str">
        <f aca="false">IF(OR(B890=-1,I890=0, P890&lt;&gt;2), "albhed_dummy", _xlfn.CONCAT("albhed ", RIGHT("  " &amp; K890,2),", ", RIGHT("  " &amp; L890,2), ", " ,"""",H890,""", ", """",N890,""", ","""",O890,""""," ; ", A890))</f>
        <v>albhed  9, 18, "에", "메", "으" ; 믓</v>
      </c>
    </row>
    <row r="891" customFormat="false" ht="17.9" hidden="false" customHeight="true" outlineLevel="0" collapsed="false">
      <c r="A891" s="16" t="s">
        <v>1761</v>
      </c>
      <c r="B891" s="16" t="n">
        <f aca="false">IF(_xlfn.UNICODE(A891)&lt;44032,-1,_xlfn.UNICODE(A891)-44032)</f>
        <v>4088</v>
      </c>
      <c r="C891" s="16" t="n">
        <f aca="false">IF(B891=-1,-1,INT((B891/28)/21))</f>
        <v>6</v>
      </c>
      <c r="D891" s="16" t="n">
        <f aca="false">IF(B891=-1, -1, MOD(INT(B891/28),21))</f>
        <v>20</v>
      </c>
      <c r="E891" s="16" t="n">
        <f aca="false">IF(B891=-1, -1, VLOOKUP(MOD(B891,28), $T$24:$U$52,2))</f>
        <v>0</v>
      </c>
      <c r="F891" s="16" t="n">
        <f aca="false">IF($B891=-1, -1, VLOOKUP(C891,$T$1:$V$20, 2))</f>
        <v>11</v>
      </c>
      <c r="G891" s="16" t="n">
        <f aca="false">IF($B891=-1, -1, VLOOKUP(D891,$Y$1:$Z$22,2))</f>
        <v>5</v>
      </c>
      <c r="H891" s="16" t="str">
        <f aca="false">_xlfn.UNICHAR(((F891*21)+G891)*28+44032)</f>
        <v>에</v>
      </c>
      <c r="I891" s="16" t="n">
        <f aca="false">IF(B891=-1, 1, COUNTIF($A$2:$A$3000, H891))</f>
        <v>1</v>
      </c>
      <c r="J891" s="10" t="str">
        <f aca="false">_xlfn.CONCAT(A891, ",",H891,",",I891)</f>
        <v>미,에,1</v>
      </c>
      <c r="K891" s="16" t="n">
        <f aca="false">IF(B891=-1,-1,VLOOKUP(C891,$T$1:$V$20,3))</f>
        <v>9</v>
      </c>
      <c r="L891" s="16" t="n">
        <f aca="false">IF(B891=-1,-1,VLOOKUP(D891,$Y$1:$AA$22,3))</f>
        <v>20</v>
      </c>
      <c r="N891" s="10" t="str">
        <f aca="false">_xlfn.UNICHAR(((C891*21)+G891)*28+44032)</f>
        <v>메</v>
      </c>
      <c r="O891" s="10" t="str">
        <f aca="false">_xlfn.UNICHAR(((F891*21)+D891)*28+44032)</f>
        <v>이</v>
      </c>
      <c r="P891" s="12" t="n">
        <f aca="false">COUNTIF($A$2:$A$3000, N891) + COUNTIF($A$2:$A$3000, O891)</f>
        <v>2</v>
      </c>
      <c r="Q891" s="16" t="str">
        <f aca="false">IF(OR(B891=-1,I891=0, P891&lt;&gt;2), "albhed_dummy", _xlfn.CONCAT("albhed ", RIGHT("  " &amp; K891,2),", ", RIGHT("  " &amp; L891,2), ", " ,"""",H891,""", ", """",N891,""", ","""",O891,""""," ; ", A891))</f>
        <v>albhed  9, 20, "에", "메", "이" ; 미</v>
      </c>
    </row>
    <row r="892" customFormat="false" ht="17.9" hidden="false" customHeight="true" outlineLevel="0" collapsed="false">
      <c r="A892" s="16" t="s">
        <v>1762</v>
      </c>
      <c r="B892" s="16" t="n">
        <f aca="false">IF(_xlfn.UNICODE(A892)&lt;44032,-1,_xlfn.UNICODE(A892)-44032)</f>
        <v>4089</v>
      </c>
      <c r="C892" s="16" t="n">
        <f aca="false">IF(B892=-1,-1,INT((B892/28)/21))</f>
        <v>6</v>
      </c>
      <c r="D892" s="16" t="n">
        <f aca="false">IF(B892=-1, -1, MOD(INT(B892/28),21))</f>
        <v>20</v>
      </c>
      <c r="E892" s="16" t="n">
        <f aca="false">IF(B892=-1, -1, VLOOKUP(MOD(B892,28), $T$24:$U$52,2))</f>
        <v>1</v>
      </c>
      <c r="F892" s="16" t="n">
        <f aca="false">IF($B892=-1, -1, VLOOKUP(C892,$T$1:$V$20, 2))</f>
        <v>11</v>
      </c>
      <c r="G892" s="16" t="n">
        <f aca="false">IF($B892=-1, -1, VLOOKUP(D892,$Y$1:$Z$22,2))</f>
        <v>5</v>
      </c>
      <c r="H892" s="16" t="str">
        <f aca="false">_xlfn.UNICHAR(((F892*21)+G892)*28+44032)</f>
        <v>에</v>
      </c>
      <c r="I892" s="16" t="n">
        <f aca="false">IF(B892=-1, 1, COUNTIF($A$2:$A$3000, H892))</f>
        <v>1</v>
      </c>
      <c r="J892" s="10" t="str">
        <f aca="false">_xlfn.CONCAT(A892, ",",H892,",",I892)</f>
        <v>믹,에,1</v>
      </c>
      <c r="K892" s="16" t="n">
        <f aca="false">IF(B892=-1,-1,VLOOKUP(C892,$T$1:$V$20,3))</f>
        <v>9</v>
      </c>
      <c r="L892" s="16" t="n">
        <f aca="false">IF(B892=-1,-1,VLOOKUP(D892,$Y$1:$AA$22,3))</f>
        <v>20</v>
      </c>
      <c r="N892" s="10" t="str">
        <f aca="false">_xlfn.UNICHAR(((C892*21)+G892)*28+44032)</f>
        <v>메</v>
      </c>
      <c r="O892" s="10" t="str">
        <f aca="false">_xlfn.UNICHAR(((F892*21)+D892)*28+44032)</f>
        <v>이</v>
      </c>
      <c r="P892" s="12" t="n">
        <f aca="false">COUNTIF($A$2:$A$3000, N892) + COUNTIF($A$2:$A$3000, O892)</f>
        <v>2</v>
      </c>
      <c r="Q892" s="16" t="str">
        <f aca="false">IF(OR(B892=-1,I892=0, P892&lt;&gt;2), "albhed_dummy", _xlfn.CONCAT("albhed ", RIGHT("  " &amp; K892,2),", ", RIGHT("  " &amp; L892,2), ", " ,"""",H892,""", ", """",N892,""", ","""",O892,""""," ; ", A892))</f>
        <v>albhed  9, 20, "에", "메", "이" ; 믹</v>
      </c>
    </row>
    <row r="893" customFormat="false" ht="17.9" hidden="false" customHeight="true" outlineLevel="0" collapsed="false">
      <c r="A893" s="16" t="s">
        <v>1763</v>
      </c>
      <c r="B893" s="16" t="n">
        <f aca="false">IF(_xlfn.UNICODE(A893)&lt;44032,-1,_xlfn.UNICODE(A893)-44032)</f>
        <v>4092</v>
      </c>
      <c r="C893" s="16" t="n">
        <f aca="false">IF(B893=-1,-1,INT((B893/28)/21))</f>
        <v>6</v>
      </c>
      <c r="D893" s="16" t="n">
        <f aca="false">IF(B893=-1, -1, MOD(INT(B893/28),21))</f>
        <v>20</v>
      </c>
      <c r="E893" s="16" t="n">
        <f aca="false">IF(B893=-1, -1, VLOOKUP(MOD(B893,28), $T$24:$U$52,2))</f>
        <v>4</v>
      </c>
      <c r="F893" s="16" t="n">
        <f aca="false">IF($B893=-1, -1, VLOOKUP(C893,$T$1:$V$20, 2))</f>
        <v>11</v>
      </c>
      <c r="G893" s="16" t="n">
        <f aca="false">IF($B893=-1, -1, VLOOKUP(D893,$Y$1:$Z$22,2))</f>
        <v>5</v>
      </c>
      <c r="H893" s="16" t="str">
        <f aca="false">_xlfn.UNICHAR(((F893*21)+G893)*28+44032)</f>
        <v>에</v>
      </c>
      <c r="I893" s="16" t="n">
        <f aca="false">IF(B893=-1, 1, COUNTIF($A$2:$A$3000, H893))</f>
        <v>1</v>
      </c>
      <c r="J893" s="10" t="str">
        <f aca="false">_xlfn.CONCAT(A893, ",",H893,",",I893)</f>
        <v>민,에,1</v>
      </c>
      <c r="K893" s="16" t="n">
        <f aca="false">IF(B893=-1,-1,VLOOKUP(C893,$T$1:$V$20,3))</f>
        <v>9</v>
      </c>
      <c r="L893" s="16" t="n">
        <f aca="false">IF(B893=-1,-1,VLOOKUP(D893,$Y$1:$AA$22,3))</f>
        <v>20</v>
      </c>
      <c r="N893" s="10" t="str">
        <f aca="false">_xlfn.UNICHAR(((C893*21)+G893)*28+44032)</f>
        <v>메</v>
      </c>
      <c r="O893" s="10" t="str">
        <f aca="false">_xlfn.UNICHAR(((F893*21)+D893)*28+44032)</f>
        <v>이</v>
      </c>
      <c r="P893" s="12" t="n">
        <f aca="false">COUNTIF($A$2:$A$3000, N893) + COUNTIF($A$2:$A$3000, O893)</f>
        <v>2</v>
      </c>
      <c r="Q893" s="16" t="str">
        <f aca="false">IF(OR(B893=-1,I893=0, P893&lt;&gt;2), "albhed_dummy", _xlfn.CONCAT("albhed ", RIGHT("  " &amp; K893,2),", ", RIGHT("  " &amp; L893,2), ", " ,"""",H893,""", ", """",N893,""", ","""",O893,""""," ; ", A893))</f>
        <v>albhed  9, 20, "에", "메", "이" ; 민</v>
      </c>
    </row>
    <row r="894" customFormat="false" ht="17.9" hidden="false" customHeight="true" outlineLevel="0" collapsed="false">
      <c r="A894" s="16" t="s">
        <v>1764</v>
      </c>
      <c r="B894" s="16" t="n">
        <f aca="false">IF(_xlfn.UNICODE(A894)&lt;44032,-1,_xlfn.UNICODE(A894)-44032)</f>
        <v>4095</v>
      </c>
      <c r="C894" s="16" t="n">
        <f aca="false">IF(B894=-1,-1,INT((B894/28)/21))</f>
        <v>6</v>
      </c>
      <c r="D894" s="16" t="n">
        <f aca="false">IF(B894=-1, -1, MOD(INT(B894/28),21))</f>
        <v>20</v>
      </c>
      <c r="E894" s="16" t="n">
        <f aca="false">IF(B894=-1, -1, VLOOKUP(MOD(B894,28), $T$24:$U$52,2))</f>
        <v>19</v>
      </c>
      <c r="F894" s="16" t="n">
        <f aca="false">IF($B894=-1, -1, VLOOKUP(C894,$T$1:$V$20, 2))</f>
        <v>11</v>
      </c>
      <c r="G894" s="16" t="n">
        <f aca="false">IF($B894=-1, -1, VLOOKUP(D894,$Y$1:$Z$22,2))</f>
        <v>5</v>
      </c>
      <c r="H894" s="16" t="str">
        <f aca="false">_xlfn.UNICHAR(((F894*21)+G894)*28+44032)</f>
        <v>에</v>
      </c>
      <c r="I894" s="16" t="n">
        <f aca="false">IF(B894=-1, 1, COUNTIF($A$2:$A$3000, H894))</f>
        <v>1</v>
      </c>
      <c r="J894" s="10" t="str">
        <f aca="false">_xlfn.CONCAT(A894, ",",H894,",",I894)</f>
        <v>믿,에,1</v>
      </c>
      <c r="K894" s="16" t="n">
        <f aca="false">IF(B894=-1,-1,VLOOKUP(C894,$T$1:$V$20,3))</f>
        <v>9</v>
      </c>
      <c r="L894" s="16" t="n">
        <f aca="false">IF(B894=-1,-1,VLOOKUP(D894,$Y$1:$AA$22,3))</f>
        <v>20</v>
      </c>
      <c r="N894" s="10" t="str">
        <f aca="false">_xlfn.UNICHAR(((C894*21)+G894)*28+44032)</f>
        <v>메</v>
      </c>
      <c r="O894" s="10" t="str">
        <f aca="false">_xlfn.UNICHAR(((F894*21)+D894)*28+44032)</f>
        <v>이</v>
      </c>
      <c r="P894" s="12" t="n">
        <f aca="false">COUNTIF($A$2:$A$3000, N894) + COUNTIF($A$2:$A$3000, O894)</f>
        <v>2</v>
      </c>
      <c r="Q894" s="16" t="str">
        <f aca="false">IF(OR(B894=-1,I894=0, P894&lt;&gt;2), "albhed_dummy", _xlfn.CONCAT("albhed ", RIGHT("  " &amp; K894,2),", ", RIGHT("  " &amp; L894,2), ", " ,"""",H894,""", ", """",N894,""", ","""",O894,""""," ; ", A894))</f>
        <v>albhed  9, 20, "에", "메", "이" ; 믿</v>
      </c>
    </row>
    <row r="895" customFormat="false" ht="17.9" hidden="false" customHeight="true" outlineLevel="0" collapsed="false">
      <c r="A895" s="16" t="s">
        <v>1765</v>
      </c>
      <c r="B895" s="16" t="n">
        <f aca="false">IF(_xlfn.UNICODE(A895)&lt;44032,-1,_xlfn.UNICODE(A895)-44032)</f>
        <v>4096</v>
      </c>
      <c r="C895" s="16" t="n">
        <f aca="false">IF(B895=-1,-1,INT((B895/28)/21))</f>
        <v>6</v>
      </c>
      <c r="D895" s="16" t="n">
        <f aca="false">IF(B895=-1, -1, MOD(INT(B895/28),21))</f>
        <v>20</v>
      </c>
      <c r="E895" s="16" t="n">
        <f aca="false">IF(B895=-1, -1, VLOOKUP(MOD(B895,28), $T$24:$U$52,2))</f>
        <v>8</v>
      </c>
      <c r="F895" s="16" t="n">
        <f aca="false">IF($B895=-1, -1, VLOOKUP(C895,$T$1:$V$20, 2))</f>
        <v>11</v>
      </c>
      <c r="G895" s="16" t="n">
        <f aca="false">IF($B895=-1, -1, VLOOKUP(D895,$Y$1:$Z$22,2))</f>
        <v>5</v>
      </c>
      <c r="H895" s="16" t="str">
        <f aca="false">_xlfn.UNICHAR(((F895*21)+G895)*28+44032)</f>
        <v>에</v>
      </c>
      <c r="I895" s="16" t="n">
        <f aca="false">IF(B895=-1, 1, COUNTIF($A$2:$A$3000, H895))</f>
        <v>1</v>
      </c>
      <c r="J895" s="10" t="str">
        <f aca="false">_xlfn.CONCAT(A895, ",",H895,",",I895)</f>
        <v>밀,에,1</v>
      </c>
      <c r="K895" s="16" t="n">
        <f aca="false">IF(B895=-1,-1,VLOOKUP(C895,$T$1:$V$20,3))</f>
        <v>9</v>
      </c>
      <c r="L895" s="16" t="n">
        <f aca="false">IF(B895=-1,-1,VLOOKUP(D895,$Y$1:$AA$22,3))</f>
        <v>20</v>
      </c>
      <c r="N895" s="10" t="str">
        <f aca="false">_xlfn.UNICHAR(((C895*21)+G895)*28+44032)</f>
        <v>메</v>
      </c>
      <c r="O895" s="10" t="str">
        <f aca="false">_xlfn.UNICHAR(((F895*21)+D895)*28+44032)</f>
        <v>이</v>
      </c>
      <c r="P895" s="12" t="n">
        <f aca="false">COUNTIF($A$2:$A$3000, N895) + COUNTIF($A$2:$A$3000, O895)</f>
        <v>2</v>
      </c>
      <c r="Q895" s="16" t="str">
        <f aca="false">IF(OR(B895=-1,I895=0, P895&lt;&gt;2), "albhed_dummy", _xlfn.CONCAT("albhed ", RIGHT("  " &amp; K895,2),", ", RIGHT("  " &amp; L895,2), ", " ,"""",H895,""", ", """",N895,""", ","""",O895,""""," ; ", A895))</f>
        <v>albhed  9, 20, "에", "메", "이" ; 밀</v>
      </c>
    </row>
    <row r="896" customFormat="false" ht="17.9" hidden="false" customHeight="true" outlineLevel="0" collapsed="false">
      <c r="A896" s="16" t="s">
        <v>1766</v>
      </c>
      <c r="B896" s="16" t="n">
        <f aca="false">IF(_xlfn.UNICODE(A896)&lt;44032,-1,_xlfn.UNICODE(A896)-44032)</f>
        <v>4098</v>
      </c>
      <c r="C896" s="16" t="n">
        <f aca="false">IF(B896=-1,-1,INT((B896/28)/21))</f>
        <v>6</v>
      </c>
      <c r="D896" s="16" t="n">
        <f aca="false">IF(B896=-1, -1, MOD(INT(B896/28),21))</f>
        <v>20</v>
      </c>
      <c r="E896" s="16" t="n">
        <f aca="false">IF(B896=-1, -1, VLOOKUP(MOD(B896,28), $T$24:$U$52,2))</f>
        <v>8</v>
      </c>
      <c r="F896" s="16" t="n">
        <f aca="false">IF($B896=-1, -1, VLOOKUP(C896,$T$1:$V$20, 2))</f>
        <v>11</v>
      </c>
      <c r="G896" s="16" t="n">
        <f aca="false">IF($B896=-1, -1, VLOOKUP(D896,$Y$1:$Z$22,2))</f>
        <v>5</v>
      </c>
      <c r="H896" s="16" t="str">
        <f aca="false">_xlfn.UNICHAR(((F896*21)+G896)*28+44032)</f>
        <v>에</v>
      </c>
      <c r="I896" s="16" t="n">
        <f aca="false">IF(B896=-1, 1, COUNTIF($A$2:$A$3000, H896))</f>
        <v>1</v>
      </c>
      <c r="J896" s="10" t="str">
        <f aca="false">_xlfn.CONCAT(A896, ",",H896,",",I896)</f>
        <v>밂,에,1</v>
      </c>
      <c r="K896" s="16" t="n">
        <f aca="false">IF(B896=-1,-1,VLOOKUP(C896,$T$1:$V$20,3))</f>
        <v>9</v>
      </c>
      <c r="L896" s="16" t="n">
        <f aca="false">IF(B896=-1,-1,VLOOKUP(D896,$Y$1:$AA$22,3))</f>
        <v>20</v>
      </c>
      <c r="N896" s="10" t="str">
        <f aca="false">_xlfn.UNICHAR(((C896*21)+G896)*28+44032)</f>
        <v>메</v>
      </c>
      <c r="O896" s="10" t="str">
        <f aca="false">_xlfn.UNICHAR(((F896*21)+D896)*28+44032)</f>
        <v>이</v>
      </c>
      <c r="P896" s="12" t="n">
        <f aca="false">COUNTIF($A$2:$A$3000, N896) + COUNTIF($A$2:$A$3000, O896)</f>
        <v>2</v>
      </c>
      <c r="Q896" s="16" t="str">
        <f aca="false">IF(OR(B896=-1,I896=0, P896&lt;&gt;2), "albhed_dummy", _xlfn.CONCAT("albhed ", RIGHT("  " &amp; K896,2),", ", RIGHT("  " &amp; L896,2), ", " ,"""",H896,""", ", """",N896,""", ","""",O896,""""," ; ", A896))</f>
        <v>albhed  9, 20, "에", "메", "이" ; 밂</v>
      </c>
    </row>
    <row r="897" customFormat="false" ht="17.9" hidden="false" customHeight="true" outlineLevel="0" collapsed="false">
      <c r="A897" s="16" t="s">
        <v>1767</v>
      </c>
      <c r="B897" s="16" t="n">
        <f aca="false">IF(_xlfn.UNICODE(A897)&lt;44032,-1,_xlfn.UNICODE(A897)-44032)</f>
        <v>4104</v>
      </c>
      <c r="C897" s="16" t="n">
        <f aca="false">IF(B897=-1,-1,INT((B897/28)/21))</f>
        <v>6</v>
      </c>
      <c r="D897" s="16" t="n">
        <f aca="false">IF(B897=-1, -1, MOD(INT(B897/28),21))</f>
        <v>20</v>
      </c>
      <c r="E897" s="16" t="n">
        <f aca="false">IF(B897=-1, -1, VLOOKUP(MOD(B897,28), $T$24:$U$52,2))</f>
        <v>16</v>
      </c>
      <c r="F897" s="16" t="n">
        <f aca="false">IF($B897=-1, -1, VLOOKUP(C897,$T$1:$V$20, 2))</f>
        <v>11</v>
      </c>
      <c r="G897" s="16" t="n">
        <f aca="false">IF($B897=-1, -1, VLOOKUP(D897,$Y$1:$Z$22,2))</f>
        <v>5</v>
      </c>
      <c r="H897" s="16" t="str">
        <f aca="false">_xlfn.UNICHAR(((F897*21)+G897)*28+44032)</f>
        <v>에</v>
      </c>
      <c r="I897" s="16" t="n">
        <f aca="false">IF(B897=-1, 1, COUNTIF($A$2:$A$3000, H897))</f>
        <v>1</v>
      </c>
      <c r="J897" s="10" t="str">
        <f aca="false">_xlfn.CONCAT(A897, ",",H897,",",I897)</f>
        <v>밈,에,1</v>
      </c>
      <c r="K897" s="16" t="n">
        <f aca="false">IF(B897=-1,-1,VLOOKUP(C897,$T$1:$V$20,3))</f>
        <v>9</v>
      </c>
      <c r="L897" s="16" t="n">
        <f aca="false">IF(B897=-1,-1,VLOOKUP(D897,$Y$1:$AA$22,3))</f>
        <v>20</v>
      </c>
      <c r="N897" s="10" t="str">
        <f aca="false">_xlfn.UNICHAR(((C897*21)+G897)*28+44032)</f>
        <v>메</v>
      </c>
      <c r="O897" s="10" t="str">
        <f aca="false">_xlfn.UNICHAR(((F897*21)+D897)*28+44032)</f>
        <v>이</v>
      </c>
      <c r="P897" s="12" t="n">
        <f aca="false">COUNTIF($A$2:$A$3000, N897) + COUNTIF($A$2:$A$3000, O897)</f>
        <v>2</v>
      </c>
      <c r="Q897" s="16" t="str">
        <f aca="false">IF(OR(B897=-1,I897=0, P897&lt;&gt;2), "albhed_dummy", _xlfn.CONCAT("albhed ", RIGHT("  " &amp; K897,2),", ", RIGHT("  " &amp; L897,2), ", " ,"""",H897,""", ", """",N897,""", ","""",O897,""""," ; ", A897))</f>
        <v>albhed  9, 20, "에", "메", "이" ; 밈</v>
      </c>
    </row>
    <row r="898" customFormat="false" ht="17.9" hidden="false" customHeight="true" outlineLevel="0" collapsed="false">
      <c r="A898" s="16" t="s">
        <v>1768</v>
      </c>
      <c r="B898" s="16" t="n">
        <f aca="false">IF(_xlfn.UNICODE(A898)&lt;44032,-1,_xlfn.UNICODE(A898)-44032)</f>
        <v>4105</v>
      </c>
      <c r="C898" s="16" t="n">
        <f aca="false">IF(B898=-1,-1,INT((B898/28)/21))</f>
        <v>6</v>
      </c>
      <c r="D898" s="16" t="n">
        <f aca="false">IF(B898=-1, -1, MOD(INT(B898/28),21))</f>
        <v>20</v>
      </c>
      <c r="E898" s="16" t="n">
        <f aca="false">IF(B898=-1, -1, VLOOKUP(MOD(B898,28), $T$24:$U$52,2))</f>
        <v>17</v>
      </c>
      <c r="F898" s="16" t="n">
        <f aca="false">IF($B898=-1, -1, VLOOKUP(C898,$T$1:$V$20, 2))</f>
        <v>11</v>
      </c>
      <c r="G898" s="16" t="n">
        <f aca="false">IF($B898=-1, -1, VLOOKUP(D898,$Y$1:$Z$22,2))</f>
        <v>5</v>
      </c>
      <c r="H898" s="16" t="str">
        <f aca="false">_xlfn.UNICHAR(((F898*21)+G898)*28+44032)</f>
        <v>에</v>
      </c>
      <c r="I898" s="16" t="n">
        <f aca="false">IF(B898=-1, 1, COUNTIF($A$2:$A$3000, H898))</f>
        <v>1</v>
      </c>
      <c r="J898" s="10" t="str">
        <f aca="false">_xlfn.CONCAT(A898, ",",H898,",",I898)</f>
        <v>밉,에,1</v>
      </c>
      <c r="K898" s="16" t="n">
        <f aca="false">IF(B898=-1,-1,VLOOKUP(C898,$T$1:$V$20,3))</f>
        <v>9</v>
      </c>
      <c r="L898" s="16" t="n">
        <f aca="false">IF(B898=-1,-1,VLOOKUP(D898,$Y$1:$AA$22,3))</f>
        <v>20</v>
      </c>
      <c r="N898" s="10" t="str">
        <f aca="false">_xlfn.UNICHAR(((C898*21)+G898)*28+44032)</f>
        <v>메</v>
      </c>
      <c r="O898" s="10" t="str">
        <f aca="false">_xlfn.UNICHAR(((F898*21)+D898)*28+44032)</f>
        <v>이</v>
      </c>
      <c r="P898" s="12" t="n">
        <f aca="false">COUNTIF($A$2:$A$3000, N898) + COUNTIF($A$2:$A$3000, O898)</f>
        <v>2</v>
      </c>
      <c r="Q898" s="16" t="str">
        <f aca="false">IF(OR(B898=-1,I898=0, P898&lt;&gt;2), "albhed_dummy", _xlfn.CONCAT("albhed ", RIGHT("  " &amp; K898,2),", ", RIGHT("  " &amp; L898,2), ", " ,"""",H898,""", ", """",N898,""", ","""",O898,""""," ; ", A898))</f>
        <v>albhed  9, 20, "에", "메", "이" ; 밉</v>
      </c>
    </row>
    <row r="899" customFormat="false" ht="17.9" hidden="false" customHeight="true" outlineLevel="0" collapsed="false">
      <c r="A899" s="16" t="s">
        <v>1769</v>
      </c>
      <c r="B899" s="16" t="n">
        <f aca="false">IF(_xlfn.UNICODE(A899)&lt;44032,-1,_xlfn.UNICODE(A899)-44032)</f>
        <v>4107</v>
      </c>
      <c r="C899" s="16" t="n">
        <f aca="false">IF(B899=-1,-1,INT((B899/28)/21))</f>
        <v>6</v>
      </c>
      <c r="D899" s="16" t="n">
        <f aca="false">IF(B899=-1, -1, MOD(INT(B899/28),21))</f>
        <v>20</v>
      </c>
      <c r="E899" s="16" t="n">
        <f aca="false">IF(B899=-1, -1, VLOOKUP(MOD(B899,28), $T$24:$U$52,2))</f>
        <v>19</v>
      </c>
      <c r="F899" s="16" t="n">
        <f aca="false">IF($B899=-1, -1, VLOOKUP(C899,$T$1:$V$20, 2))</f>
        <v>11</v>
      </c>
      <c r="G899" s="16" t="n">
        <f aca="false">IF($B899=-1, -1, VLOOKUP(D899,$Y$1:$Z$22,2))</f>
        <v>5</v>
      </c>
      <c r="H899" s="16" t="str">
        <f aca="false">_xlfn.UNICHAR(((F899*21)+G899)*28+44032)</f>
        <v>에</v>
      </c>
      <c r="I899" s="16" t="n">
        <f aca="false">IF(B899=-1, 1, COUNTIF($A$2:$A$3000, H899))</f>
        <v>1</v>
      </c>
      <c r="J899" s="10" t="str">
        <f aca="false">_xlfn.CONCAT(A899, ",",H899,",",I899)</f>
        <v>밋,에,1</v>
      </c>
      <c r="K899" s="16" t="n">
        <f aca="false">IF(B899=-1,-1,VLOOKUP(C899,$T$1:$V$20,3))</f>
        <v>9</v>
      </c>
      <c r="L899" s="16" t="n">
        <f aca="false">IF(B899=-1,-1,VLOOKUP(D899,$Y$1:$AA$22,3))</f>
        <v>20</v>
      </c>
      <c r="N899" s="10" t="str">
        <f aca="false">_xlfn.UNICHAR(((C899*21)+G899)*28+44032)</f>
        <v>메</v>
      </c>
      <c r="O899" s="10" t="str">
        <f aca="false">_xlfn.UNICHAR(((F899*21)+D899)*28+44032)</f>
        <v>이</v>
      </c>
      <c r="P899" s="12" t="n">
        <f aca="false">COUNTIF($A$2:$A$3000, N899) + COUNTIF($A$2:$A$3000, O899)</f>
        <v>2</v>
      </c>
      <c r="Q899" s="16" t="str">
        <f aca="false">IF(OR(B899=-1,I899=0, P899&lt;&gt;2), "albhed_dummy", _xlfn.CONCAT("albhed ", RIGHT("  " &amp; K899,2),", ", RIGHT("  " &amp; L899,2), ", " ,"""",H899,""", ", """",N899,""", ","""",O899,""""," ; ", A899))</f>
        <v>albhed  9, 20, "에", "메", "이" ; 밋</v>
      </c>
    </row>
    <row r="900" customFormat="false" ht="17.9" hidden="false" customHeight="true" outlineLevel="0" collapsed="false">
      <c r="A900" s="16" t="s">
        <v>1770</v>
      </c>
      <c r="B900" s="16" t="n">
        <f aca="false">IF(_xlfn.UNICODE(A900)&lt;44032,-1,_xlfn.UNICODE(A900)-44032)</f>
        <v>4108</v>
      </c>
      <c r="C900" s="16" t="n">
        <f aca="false">IF(B900=-1,-1,INT((B900/28)/21))</f>
        <v>6</v>
      </c>
      <c r="D900" s="16" t="n">
        <f aca="false">IF(B900=-1, -1, MOD(INT(B900/28),21))</f>
        <v>20</v>
      </c>
      <c r="E900" s="16" t="n">
        <f aca="false">IF(B900=-1, -1, VLOOKUP(MOD(B900,28), $T$24:$U$52,2))</f>
        <v>19</v>
      </c>
      <c r="F900" s="16" t="n">
        <f aca="false">IF($B900=-1, -1, VLOOKUP(C900,$T$1:$V$20, 2))</f>
        <v>11</v>
      </c>
      <c r="G900" s="16" t="n">
        <f aca="false">IF($B900=-1, -1, VLOOKUP(D900,$Y$1:$Z$22,2))</f>
        <v>5</v>
      </c>
      <c r="H900" s="16" t="str">
        <f aca="false">_xlfn.UNICHAR(((F900*21)+G900)*28+44032)</f>
        <v>에</v>
      </c>
      <c r="I900" s="16" t="n">
        <f aca="false">IF(B900=-1, 1, COUNTIF($A$2:$A$3000, H900))</f>
        <v>1</v>
      </c>
      <c r="J900" s="10" t="str">
        <f aca="false">_xlfn.CONCAT(A900, ",",H900,",",I900)</f>
        <v>밌,에,1</v>
      </c>
      <c r="K900" s="16" t="n">
        <f aca="false">IF(B900=-1,-1,VLOOKUP(C900,$T$1:$V$20,3))</f>
        <v>9</v>
      </c>
      <c r="L900" s="16" t="n">
        <f aca="false">IF(B900=-1,-1,VLOOKUP(D900,$Y$1:$AA$22,3))</f>
        <v>20</v>
      </c>
      <c r="N900" s="10" t="str">
        <f aca="false">_xlfn.UNICHAR(((C900*21)+G900)*28+44032)</f>
        <v>메</v>
      </c>
      <c r="O900" s="10" t="str">
        <f aca="false">_xlfn.UNICHAR(((F900*21)+D900)*28+44032)</f>
        <v>이</v>
      </c>
      <c r="P900" s="12" t="n">
        <f aca="false">COUNTIF($A$2:$A$3000, N900) + COUNTIF($A$2:$A$3000, O900)</f>
        <v>2</v>
      </c>
      <c r="Q900" s="16" t="str">
        <f aca="false">IF(OR(B900=-1,I900=0, P900&lt;&gt;2), "albhed_dummy", _xlfn.CONCAT("albhed ", RIGHT("  " &amp; K900,2),", ", RIGHT("  " &amp; L900,2), ", " ,"""",H900,""", ", """",N900,""", ","""",O900,""""," ; ", A900))</f>
        <v>albhed  9, 20, "에", "메", "이" ; 밌</v>
      </c>
    </row>
    <row r="901" customFormat="false" ht="17.9" hidden="false" customHeight="true" outlineLevel="0" collapsed="false">
      <c r="A901" s="16" t="s">
        <v>1771</v>
      </c>
      <c r="B901" s="16" t="n">
        <f aca="false">IF(_xlfn.UNICODE(A901)&lt;44032,-1,_xlfn.UNICODE(A901)-44032)</f>
        <v>4109</v>
      </c>
      <c r="C901" s="16" t="n">
        <f aca="false">IF(B901=-1,-1,INT((B901/28)/21))</f>
        <v>6</v>
      </c>
      <c r="D901" s="16" t="n">
        <f aca="false">IF(B901=-1, -1, MOD(INT(B901/28),21))</f>
        <v>20</v>
      </c>
      <c r="E901" s="16" t="n">
        <f aca="false">IF(B901=-1, -1, VLOOKUP(MOD(B901,28), $T$24:$U$52,2))</f>
        <v>21</v>
      </c>
      <c r="F901" s="16" t="n">
        <f aca="false">IF($B901=-1, -1, VLOOKUP(C901,$T$1:$V$20, 2))</f>
        <v>11</v>
      </c>
      <c r="G901" s="16" t="n">
        <f aca="false">IF($B901=-1, -1, VLOOKUP(D901,$Y$1:$Z$22,2))</f>
        <v>5</v>
      </c>
      <c r="H901" s="16" t="str">
        <f aca="false">_xlfn.UNICHAR(((F901*21)+G901)*28+44032)</f>
        <v>에</v>
      </c>
      <c r="I901" s="16" t="n">
        <f aca="false">IF(B901=-1, 1, COUNTIF($A$2:$A$3000, H901))</f>
        <v>1</v>
      </c>
      <c r="J901" s="10" t="str">
        <f aca="false">_xlfn.CONCAT(A901, ",",H901,",",I901)</f>
        <v>밍,에,1</v>
      </c>
      <c r="K901" s="16" t="n">
        <f aca="false">IF(B901=-1,-1,VLOOKUP(C901,$T$1:$V$20,3))</f>
        <v>9</v>
      </c>
      <c r="L901" s="16" t="n">
        <f aca="false">IF(B901=-1,-1,VLOOKUP(D901,$Y$1:$AA$22,3))</f>
        <v>20</v>
      </c>
      <c r="N901" s="10" t="str">
        <f aca="false">_xlfn.UNICHAR(((C901*21)+G901)*28+44032)</f>
        <v>메</v>
      </c>
      <c r="O901" s="10" t="str">
        <f aca="false">_xlfn.UNICHAR(((F901*21)+D901)*28+44032)</f>
        <v>이</v>
      </c>
      <c r="P901" s="12" t="n">
        <f aca="false">COUNTIF($A$2:$A$3000, N901) + COUNTIF($A$2:$A$3000, O901)</f>
        <v>2</v>
      </c>
      <c r="Q901" s="16" t="str">
        <f aca="false">IF(OR(B901=-1,I901=0, P901&lt;&gt;2), "albhed_dummy", _xlfn.CONCAT("albhed ", RIGHT("  " &amp; K901,2),", ", RIGHT("  " &amp; L901,2), ", " ,"""",H901,""", ", """",N901,""", ","""",O901,""""," ; ", A901))</f>
        <v>albhed  9, 20, "에", "메", "이" ; 밍</v>
      </c>
    </row>
    <row r="902" customFormat="false" ht="17.9" hidden="false" customHeight="true" outlineLevel="0" collapsed="false">
      <c r="A902" s="16" t="s">
        <v>1772</v>
      </c>
      <c r="B902" s="16" t="n">
        <f aca="false">IF(_xlfn.UNICODE(A902)&lt;44032,-1,_xlfn.UNICODE(A902)-44032)</f>
        <v>4111</v>
      </c>
      <c r="C902" s="16" t="n">
        <f aca="false">IF(B902=-1,-1,INT((B902/28)/21))</f>
        <v>6</v>
      </c>
      <c r="D902" s="16" t="n">
        <f aca="false">IF(B902=-1, -1, MOD(INT(B902/28),21))</f>
        <v>20</v>
      </c>
      <c r="E902" s="16" t="n">
        <f aca="false">IF(B902=-1, -1, VLOOKUP(MOD(B902,28), $T$24:$U$52,2))</f>
        <v>19</v>
      </c>
      <c r="F902" s="16" t="n">
        <f aca="false">IF($B902=-1, -1, VLOOKUP(C902,$T$1:$V$20, 2))</f>
        <v>11</v>
      </c>
      <c r="G902" s="16" t="n">
        <f aca="false">IF($B902=-1, -1, VLOOKUP(D902,$Y$1:$Z$22,2))</f>
        <v>5</v>
      </c>
      <c r="H902" s="16" t="str">
        <f aca="false">_xlfn.UNICHAR(((F902*21)+G902)*28+44032)</f>
        <v>에</v>
      </c>
      <c r="I902" s="16" t="n">
        <f aca="false">IF(B902=-1, 1, COUNTIF($A$2:$A$3000, H902))</f>
        <v>1</v>
      </c>
      <c r="J902" s="10" t="str">
        <f aca="false">_xlfn.CONCAT(A902, ",",H902,",",I902)</f>
        <v>및,에,1</v>
      </c>
      <c r="K902" s="16" t="n">
        <f aca="false">IF(B902=-1,-1,VLOOKUP(C902,$T$1:$V$20,3))</f>
        <v>9</v>
      </c>
      <c r="L902" s="16" t="n">
        <f aca="false">IF(B902=-1,-1,VLOOKUP(D902,$Y$1:$AA$22,3))</f>
        <v>20</v>
      </c>
      <c r="N902" s="10" t="str">
        <f aca="false">_xlfn.UNICHAR(((C902*21)+G902)*28+44032)</f>
        <v>메</v>
      </c>
      <c r="O902" s="10" t="str">
        <f aca="false">_xlfn.UNICHAR(((F902*21)+D902)*28+44032)</f>
        <v>이</v>
      </c>
      <c r="P902" s="12" t="n">
        <f aca="false">COUNTIF($A$2:$A$3000, N902) + COUNTIF($A$2:$A$3000, O902)</f>
        <v>2</v>
      </c>
      <c r="Q902" s="16" t="str">
        <f aca="false">IF(OR(B902=-1,I902=0, P902&lt;&gt;2), "albhed_dummy", _xlfn.CONCAT("albhed ", RIGHT("  " &amp; K902,2),", ", RIGHT("  " &amp; L902,2), ", " ,"""",H902,""", ", """",N902,""", ","""",O902,""""," ; ", A902))</f>
        <v>albhed  9, 20, "에", "메", "이" ; 및</v>
      </c>
    </row>
    <row r="903" customFormat="false" ht="17.9" hidden="false" customHeight="true" outlineLevel="0" collapsed="false">
      <c r="A903" s="16" t="s">
        <v>1773</v>
      </c>
      <c r="B903" s="16" t="n">
        <f aca="false">IF(_xlfn.UNICODE(A903)&lt;44032,-1,_xlfn.UNICODE(A903)-44032)</f>
        <v>4113</v>
      </c>
      <c r="C903" s="16" t="n">
        <f aca="false">IF(B903=-1,-1,INT((B903/28)/21))</f>
        <v>6</v>
      </c>
      <c r="D903" s="16" t="n">
        <f aca="false">IF(B903=-1, -1, MOD(INT(B903/28),21))</f>
        <v>20</v>
      </c>
      <c r="E903" s="16" t="n">
        <f aca="false">IF(B903=-1, -1, VLOOKUP(MOD(B903,28), $T$24:$U$52,2))</f>
        <v>19</v>
      </c>
      <c r="F903" s="16" t="n">
        <f aca="false">IF($B903=-1, -1, VLOOKUP(C903,$T$1:$V$20, 2))</f>
        <v>11</v>
      </c>
      <c r="G903" s="16" t="n">
        <f aca="false">IF($B903=-1, -1, VLOOKUP(D903,$Y$1:$Z$22,2))</f>
        <v>5</v>
      </c>
      <c r="H903" s="16" t="str">
        <f aca="false">_xlfn.UNICHAR(((F903*21)+G903)*28+44032)</f>
        <v>에</v>
      </c>
      <c r="I903" s="16" t="n">
        <f aca="false">IF(B903=-1, 1, COUNTIF($A$2:$A$3000, H903))</f>
        <v>1</v>
      </c>
      <c r="J903" s="10" t="str">
        <f aca="false">_xlfn.CONCAT(A903, ",",H903,",",I903)</f>
        <v>밑,에,1</v>
      </c>
      <c r="K903" s="16" t="n">
        <f aca="false">IF(B903=-1,-1,VLOOKUP(C903,$T$1:$V$20,3))</f>
        <v>9</v>
      </c>
      <c r="L903" s="16" t="n">
        <f aca="false">IF(B903=-1,-1,VLOOKUP(D903,$Y$1:$AA$22,3))</f>
        <v>20</v>
      </c>
      <c r="N903" s="10" t="str">
        <f aca="false">_xlfn.UNICHAR(((C903*21)+G903)*28+44032)</f>
        <v>메</v>
      </c>
      <c r="O903" s="10" t="str">
        <f aca="false">_xlfn.UNICHAR(((F903*21)+D903)*28+44032)</f>
        <v>이</v>
      </c>
      <c r="P903" s="12" t="n">
        <f aca="false">COUNTIF($A$2:$A$3000, N903) + COUNTIF($A$2:$A$3000, O903)</f>
        <v>2</v>
      </c>
      <c r="Q903" s="16" t="str">
        <f aca="false">IF(OR(B903=-1,I903=0, P903&lt;&gt;2), "albhed_dummy", _xlfn.CONCAT("albhed ", RIGHT("  " &amp; K903,2),", ", RIGHT("  " &amp; L903,2), ", " ,"""",H903,""", ", """",N903,""", ","""",O903,""""," ; ", A903))</f>
        <v>albhed  9, 20, "에", "메", "이" ; 밑</v>
      </c>
    </row>
    <row r="904" customFormat="false" ht="17.9" hidden="false" customHeight="true" outlineLevel="0" collapsed="false">
      <c r="A904" s="16" t="s">
        <v>1774</v>
      </c>
      <c r="B904" s="16" t="n">
        <f aca="false">IF(_xlfn.UNICODE(A904)&lt;44032,-1,_xlfn.UNICODE(A904)-44032)</f>
        <v>4116</v>
      </c>
      <c r="C904" s="16" t="n">
        <f aca="false">IF(B904=-1,-1,INT((B904/28)/21))</f>
        <v>7</v>
      </c>
      <c r="D904" s="16" t="n">
        <f aca="false">IF(B904=-1, -1, MOD(INT(B904/28),21))</f>
        <v>0</v>
      </c>
      <c r="E904" s="16" t="n">
        <f aca="false">IF(B904=-1, -1, VLOOKUP(MOD(B904,28), $T$24:$U$52,2))</f>
        <v>0</v>
      </c>
      <c r="F904" s="16" t="n">
        <f aca="false">IF($B904=-1, -1, VLOOKUP(C904,$T$1:$V$20, 2))</f>
        <v>12</v>
      </c>
      <c r="G904" s="16" t="n">
        <f aca="false">IF($B904=-1, -1, VLOOKUP(D904,$Y$1:$Z$22,2))</f>
        <v>13</v>
      </c>
      <c r="H904" s="16" t="str">
        <f aca="false">_xlfn.UNICHAR(((F904*21)+G904)*28+44032)</f>
        <v>주</v>
      </c>
      <c r="I904" s="16" t="n">
        <f aca="false">IF(B904=-1, 1, COUNTIF($A$2:$A$3000, H904))</f>
        <v>1</v>
      </c>
      <c r="J904" s="10" t="str">
        <f aca="false">_xlfn.CONCAT(A904, ",",H904,",",I904)</f>
        <v>바,주,1</v>
      </c>
      <c r="K904" s="16" t="n">
        <f aca="false">IF(B904=-1,-1,VLOOKUP(C904,$T$1:$V$20,3))</f>
        <v>11</v>
      </c>
      <c r="L904" s="16" t="n">
        <f aca="false">IF(B904=-1,-1,VLOOKUP(D904,$Y$1:$AA$22,3))</f>
        <v>2</v>
      </c>
      <c r="N904" s="10" t="str">
        <f aca="false">_xlfn.UNICHAR(((C904*21)+G904)*28+44032)</f>
        <v>부</v>
      </c>
      <c r="O904" s="10" t="str">
        <f aca="false">_xlfn.UNICHAR(((F904*21)+D904)*28+44032)</f>
        <v>자</v>
      </c>
      <c r="P904" s="12" t="n">
        <f aca="false">COUNTIF($A$2:$A$3000, N904) + COUNTIF($A$2:$A$3000, O904)</f>
        <v>2</v>
      </c>
      <c r="Q904" s="16" t="str">
        <f aca="false">IF(OR(B904=-1,I904=0, P904&lt;&gt;2), "albhed_dummy", _xlfn.CONCAT("albhed ", RIGHT("  " &amp; K904,2),", ", RIGHT("  " &amp; L904,2), ", " ,"""",H904,""", ", """",N904,""", ","""",O904,""""," ; ", A904))</f>
        <v>albhed 11,  2, "주", "부", "자" ; 바</v>
      </c>
    </row>
    <row r="905" customFormat="false" ht="17.9" hidden="false" customHeight="true" outlineLevel="0" collapsed="false">
      <c r="A905" s="16" t="s">
        <v>1775</v>
      </c>
      <c r="B905" s="16" t="n">
        <f aca="false">IF(_xlfn.UNICODE(A905)&lt;44032,-1,_xlfn.UNICODE(A905)-44032)</f>
        <v>4117</v>
      </c>
      <c r="C905" s="16" t="n">
        <f aca="false">IF(B905=-1,-1,INT((B905/28)/21))</f>
        <v>7</v>
      </c>
      <c r="D905" s="16" t="n">
        <f aca="false">IF(B905=-1, -1, MOD(INT(B905/28),21))</f>
        <v>0</v>
      </c>
      <c r="E905" s="16" t="n">
        <f aca="false">IF(B905=-1, -1, VLOOKUP(MOD(B905,28), $T$24:$U$52,2))</f>
        <v>1</v>
      </c>
      <c r="F905" s="16" t="n">
        <f aca="false">IF($B905=-1, -1, VLOOKUP(C905,$T$1:$V$20, 2))</f>
        <v>12</v>
      </c>
      <c r="G905" s="16" t="n">
        <f aca="false">IF($B905=-1, -1, VLOOKUP(D905,$Y$1:$Z$22,2))</f>
        <v>13</v>
      </c>
      <c r="H905" s="16" t="str">
        <f aca="false">_xlfn.UNICHAR(((F905*21)+G905)*28+44032)</f>
        <v>주</v>
      </c>
      <c r="I905" s="16" t="n">
        <f aca="false">IF(B905=-1, 1, COUNTIF($A$2:$A$3000, H905))</f>
        <v>1</v>
      </c>
      <c r="J905" s="10" t="str">
        <f aca="false">_xlfn.CONCAT(A905, ",",H905,",",I905)</f>
        <v>박,주,1</v>
      </c>
      <c r="K905" s="16" t="n">
        <f aca="false">IF(B905=-1,-1,VLOOKUP(C905,$T$1:$V$20,3))</f>
        <v>11</v>
      </c>
      <c r="L905" s="16" t="n">
        <f aca="false">IF(B905=-1,-1,VLOOKUP(D905,$Y$1:$AA$22,3))</f>
        <v>2</v>
      </c>
      <c r="N905" s="10" t="str">
        <f aca="false">_xlfn.UNICHAR(((C905*21)+G905)*28+44032)</f>
        <v>부</v>
      </c>
      <c r="O905" s="10" t="str">
        <f aca="false">_xlfn.UNICHAR(((F905*21)+D905)*28+44032)</f>
        <v>자</v>
      </c>
      <c r="P905" s="12" t="n">
        <f aca="false">COUNTIF($A$2:$A$3000, N905) + COUNTIF($A$2:$A$3000, O905)</f>
        <v>2</v>
      </c>
      <c r="Q905" s="16" t="str">
        <f aca="false">IF(OR(B905=-1,I905=0, P905&lt;&gt;2), "albhed_dummy", _xlfn.CONCAT("albhed ", RIGHT("  " &amp; K905,2),", ", RIGHT("  " &amp; L905,2), ", " ,"""",H905,""", ", """",N905,""", ","""",O905,""""," ; ", A905))</f>
        <v>albhed 11,  2, "주", "부", "자" ; 박</v>
      </c>
    </row>
    <row r="906" customFormat="false" ht="17.9" hidden="false" customHeight="true" outlineLevel="0" collapsed="false">
      <c r="A906" s="16" t="s">
        <v>1776</v>
      </c>
      <c r="B906" s="16" t="n">
        <f aca="false">IF(_xlfn.UNICODE(A906)&lt;44032,-1,_xlfn.UNICODE(A906)-44032)</f>
        <v>4118</v>
      </c>
      <c r="C906" s="16" t="n">
        <f aca="false">IF(B906=-1,-1,INT((B906/28)/21))</f>
        <v>7</v>
      </c>
      <c r="D906" s="16" t="n">
        <f aca="false">IF(B906=-1, -1, MOD(INT(B906/28),21))</f>
        <v>0</v>
      </c>
      <c r="E906" s="16" t="n">
        <f aca="false">IF(B906=-1, -1, VLOOKUP(MOD(B906,28), $T$24:$U$52,2))</f>
        <v>1</v>
      </c>
      <c r="F906" s="16" t="n">
        <f aca="false">IF($B906=-1, -1, VLOOKUP(C906,$T$1:$V$20, 2))</f>
        <v>12</v>
      </c>
      <c r="G906" s="16" t="n">
        <f aca="false">IF($B906=-1, -1, VLOOKUP(D906,$Y$1:$Z$22,2))</f>
        <v>13</v>
      </c>
      <c r="H906" s="16" t="str">
        <f aca="false">_xlfn.UNICHAR(((F906*21)+G906)*28+44032)</f>
        <v>주</v>
      </c>
      <c r="I906" s="16" t="n">
        <f aca="false">IF(B906=-1, 1, COUNTIF($A$2:$A$3000, H906))</f>
        <v>1</v>
      </c>
      <c r="J906" s="10" t="str">
        <f aca="false">_xlfn.CONCAT(A906, ",",H906,",",I906)</f>
        <v>밖,주,1</v>
      </c>
      <c r="K906" s="16" t="n">
        <f aca="false">IF(B906=-1,-1,VLOOKUP(C906,$T$1:$V$20,3))</f>
        <v>11</v>
      </c>
      <c r="L906" s="16" t="n">
        <f aca="false">IF(B906=-1,-1,VLOOKUP(D906,$Y$1:$AA$22,3))</f>
        <v>2</v>
      </c>
      <c r="N906" s="10" t="str">
        <f aca="false">_xlfn.UNICHAR(((C906*21)+G906)*28+44032)</f>
        <v>부</v>
      </c>
      <c r="O906" s="10" t="str">
        <f aca="false">_xlfn.UNICHAR(((F906*21)+D906)*28+44032)</f>
        <v>자</v>
      </c>
      <c r="P906" s="12" t="n">
        <f aca="false">COUNTIF($A$2:$A$3000, N906) + COUNTIF($A$2:$A$3000, O906)</f>
        <v>2</v>
      </c>
      <c r="Q906" s="16" t="str">
        <f aca="false">IF(OR(B906=-1,I906=0, P906&lt;&gt;2), "albhed_dummy", _xlfn.CONCAT("albhed ", RIGHT("  " &amp; K906,2),", ", RIGHT("  " &amp; L906,2), ", " ,"""",H906,""", ", """",N906,""", ","""",O906,""""," ; ", A906))</f>
        <v>albhed 11,  2, "주", "부", "자" ; 밖</v>
      </c>
    </row>
    <row r="907" customFormat="false" ht="17.9" hidden="false" customHeight="true" outlineLevel="0" collapsed="false">
      <c r="A907" s="16" t="s">
        <v>1777</v>
      </c>
      <c r="B907" s="16" t="n">
        <f aca="false">IF(_xlfn.UNICODE(A907)&lt;44032,-1,_xlfn.UNICODE(A907)-44032)</f>
        <v>4119</v>
      </c>
      <c r="C907" s="16" t="n">
        <f aca="false">IF(B907=-1,-1,INT((B907/28)/21))</f>
        <v>7</v>
      </c>
      <c r="D907" s="16" t="n">
        <f aca="false">IF(B907=-1, -1, MOD(INT(B907/28),21))</f>
        <v>0</v>
      </c>
      <c r="E907" s="16" t="n">
        <f aca="false">IF(B907=-1, -1, VLOOKUP(MOD(B907,28), $T$24:$U$52,2))</f>
        <v>1</v>
      </c>
      <c r="F907" s="16" t="n">
        <f aca="false">IF($B907=-1, -1, VLOOKUP(C907,$T$1:$V$20, 2))</f>
        <v>12</v>
      </c>
      <c r="G907" s="16" t="n">
        <f aca="false">IF($B907=-1, -1, VLOOKUP(D907,$Y$1:$Z$22,2))</f>
        <v>13</v>
      </c>
      <c r="H907" s="16" t="str">
        <f aca="false">_xlfn.UNICHAR(((F907*21)+G907)*28+44032)</f>
        <v>주</v>
      </c>
      <c r="I907" s="16" t="n">
        <f aca="false">IF(B907=-1, 1, COUNTIF($A$2:$A$3000, H907))</f>
        <v>1</v>
      </c>
      <c r="J907" s="10" t="str">
        <f aca="false">_xlfn.CONCAT(A907, ",",H907,",",I907)</f>
        <v>밗,주,1</v>
      </c>
      <c r="K907" s="16" t="n">
        <f aca="false">IF(B907=-1,-1,VLOOKUP(C907,$T$1:$V$20,3))</f>
        <v>11</v>
      </c>
      <c r="L907" s="16" t="n">
        <f aca="false">IF(B907=-1,-1,VLOOKUP(D907,$Y$1:$AA$22,3))</f>
        <v>2</v>
      </c>
      <c r="N907" s="10" t="str">
        <f aca="false">_xlfn.UNICHAR(((C907*21)+G907)*28+44032)</f>
        <v>부</v>
      </c>
      <c r="O907" s="10" t="str">
        <f aca="false">_xlfn.UNICHAR(((F907*21)+D907)*28+44032)</f>
        <v>자</v>
      </c>
      <c r="P907" s="12" t="n">
        <f aca="false">COUNTIF($A$2:$A$3000, N907) + COUNTIF($A$2:$A$3000, O907)</f>
        <v>2</v>
      </c>
      <c r="Q907" s="16" t="str">
        <f aca="false">IF(OR(B907=-1,I907=0, P907&lt;&gt;2), "albhed_dummy", _xlfn.CONCAT("albhed ", RIGHT("  " &amp; K907,2),", ", RIGHT("  " &amp; L907,2), ", " ,"""",H907,""", ", """",N907,""", ","""",O907,""""," ; ", A907))</f>
        <v>albhed 11,  2, "주", "부", "자" ; 밗</v>
      </c>
    </row>
    <row r="908" customFormat="false" ht="17.9" hidden="false" customHeight="true" outlineLevel="0" collapsed="false">
      <c r="A908" s="16" t="s">
        <v>1778</v>
      </c>
      <c r="B908" s="16" t="n">
        <f aca="false">IF(_xlfn.UNICODE(A908)&lt;44032,-1,_xlfn.UNICODE(A908)-44032)</f>
        <v>4120</v>
      </c>
      <c r="C908" s="16" t="n">
        <f aca="false">IF(B908=-1,-1,INT((B908/28)/21))</f>
        <v>7</v>
      </c>
      <c r="D908" s="16" t="n">
        <f aca="false">IF(B908=-1, -1, MOD(INT(B908/28),21))</f>
        <v>0</v>
      </c>
      <c r="E908" s="16" t="n">
        <f aca="false">IF(B908=-1, -1, VLOOKUP(MOD(B908,28), $T$24:$U$52,2))</f>
        <v>4</v>
      </c>
      <c r="F908" s="16" t="n">
        <f aca="false">IF($B908=-1, -1, VLOOKUP(C908,$T$1:$V$20, 2))</f>
        <v>12</v>
      </c>
      <c r="G908" s="16" t="n">
        <f aca="false">IF($B908=-1, -1, VLOOKUP(D908,$Y$1:$Z$22,2))</f>
        <v>13</v>
      </c>
      <c r="H908" s="16" t="str">
        <f aca="false">_xlfn.UNICHAR(((F908*21)+G908)*28+44032)</f>
        <v>주</v>
      </c>
      <c r="I908" s="16" t="n">
        <f aca="false">IF(B908=-1, 1, COUNTIF($A$2:$A$3000, H908))</f>
        <v>1</v>
      </c>
      <c r="J908" s="10" t="str">
        <f aca="false">_xlfn.CONCAT(A908, ",",H908,",",I908)</f>
        <v>반,주,1</v>
      </c>
      <c r="K908" s="16" t="n">
        <f aca="false">IF(B908=-1,-1,VLOOKUP(C908,$T$1:$V$20,3))</f>
        <v>11</v>
      </c>
      <c r="L908" s="16" t="n">
        <f aca="false">IF(B908=-1,-1,VLOOKUP(D908,$Y$1:$AA$22,3))</f>
        <v>2</v>
      </c>
      <c r="N908" s="10" t="str">
        <f aca="false">_xlfn.UNICHAR(((C908*21)+G908)*28+44032)</f>
        <v>부</v>
      </c>
      <c r="O908" s="10" t="str">
        <f aca="false">_xlfn.UNICHAR(((F908*21)+D908)*28+44032)</f>
        <v>자</v>
      </c>
      <c r="P908" s="12" t="n">
        <f aca="false">COUNTIF($A$2:$A$3000, N908) + COUNTIF($A$2:$A$3000, O908)</f>
        <v>2</v>
      </c>
      <c r="Q908" s="16" t="str">
        <f aca="false">IF(OR(B908=-1,I908=0, P908&lt;&gt;2), "albhed_dummy", _xlfn.CONCAT("albhed ", RIGHT("  " &amp; K908,2),", ", RIGHT("  " &amp; L908,2), ", " ,"""",H908,""", ", """",N908,""", ","""",O908,""""," ; ", A908))</f>
        <v>albhed 11,  2, "주", "부", "자" ; 반</v>
      </c>
    </row>
    <row r="909" customFormat="false" ht="17.9" hidden="false" customHeight="true" outlineLevel="0" collapsed="false">
      <c r="A909" s="16" t="s">
        <v>1779</v>
      </c>
      <c r="B909" s="16" t="n">
        <f aca="false">IF(_xlfn.UNICODE(A909)&lt;44032,-1,_xlfn.UNICODE(A909)-44032)</f>
        <v>4123</v>
      </c>
      <c r="C909" s="16" t="n">
        <f aca="false">IF(B909=-1,-1,INT((B909/28)/21))</f>
        <v>7</v>
      </c>
      <c r="D909" s="16" t="n">
        <f aca="false">IF(B909=-1, -1, MOD(INT(B909/28),21))</f>
        <v>0</v>
      </c>
      <c r="E909" s="16" t="n">
        <f aca="false">IF(B909=-1, -1, VLOOKUP(MOD(B909,28), $T$24:$U$52,2))</f>
        <v>19</v>
      </c>
      <c r="F909" s="16" t="n">
        <f aca="false">IF($B909=-1, -1, VLOOKUP(C909,$T$1:$V$20, 2))</f>
        <v>12</v>
      </c>
      <c r="G909" s="16" t="n">
        <f aca="false">IF($B909=-1, -1, VLOOKUP(D909,$Y$1:$Z$22,2))</f>
        <v>13</v>
      </c>
      <c r="H909" s="16" t="str">
        <f aca="false">_xlfn.UNICHAR(((F909*21)+G909)*28+44032)</f>
        <v>주</v>
      </c>
      <c r="I909" s="16" t="n">
        <f aca="false">IF(B909=-1, 1, COUNTIF($A$2:$A$3000, H909))</f>
        <v>1</v>
      </c>
      <c r="J909" s="10" t="str">
        <f aca="false">_xlfn.CONCAT(A909, ",",H909,",",I909)</f>
        <v>받,주,1</v>
      </c>
      <c r="K909" s="16" t="n">
        <f aca="false">IF(B909=-1,-1,VLOOKUP(C909,$T$1:$V$20,3))</f>
        <v>11</v>
      </c>
      <c r="L909" s="16" t="n">
        <f aca="false">IF(B909=-1,-1,VLOOKUP(D909,$Y$1:$AA$22,3))</f>
        <v>2</v>
      </c>
      <c r="N909" s="10" t="str">
        <f aca="false">_xlfn.UNICHAR(((C909*21)+G909)*28+44032)</f>
        <v>부</v>
      </c>
      <c r="O909" s="10" t="str">
        <f aca="false">_xlfn.UNICHAR(((F909*21)+D909)*28+44032)</f>
        <v>자</v>
      </c>
      <c r="P909" s="12" t="n">
        <f aca="false">COUNTIF($A$2:$A$3000, N909) + COUNTIF($A$2:$A$3000, O909)</f>
        <v>2</v>
      </c>
      <c r="Q909" s="16" t="str">
        <f aca="false">IF(OR(B909=-1,I909=0, P909&lt;&gt;2), "albhed_dummy", _xlfn.CONCAT("albhed ", RIGHT("  " &amp; K909,2),", ", RIGHT("  " &amp; L909,2), ", " ,"""",H909,""", ", """",N909,""", ","""",O909,""""," ; ", A909))</f>
        <v>albhed 11,  2, "주", "부", "자" ; 받</v>
      </c>
    </row>
    <row r="910" customFormat="false" ht="17.9" hidden="false" customHeight="true" outlineLevel="0" collapsed="false">
      <c r="A910" s="16" t="s">
        <v>1780</v>
      </c>
      <c r="B910" s="16" t="n">
        <f aca="false">IF(_xlfn.UNICODE(A910)&lt;44032,-1,_xlfn.UNICODE(A910)-44032)</f>
        <v>4124</v>
      </c>
      <c r="C910" s="16" t="n">
        <f aca="false">IF(B910=-1,-1,INT((B910/28)/21))</f>
        <v>7</v>
      </c>
      <c r="D910" s="16" t="n">
        <f aca="false">IF(B910=-1, -1, MOD(INT(B910/28),21))</f>
        <v>0</v>
      </c>
      <c r="E910" s="16" t="n">
        <f aca="false">IF(B910=-1, -1, VLOOKUP(MOD(B910,28), $T$24:$U$52,2))</f>
        <v>8</v>
      </c>
      <c r="F910" s="16" t="n">
        <f aca="false">IF($B910=-1, -1, VLOOKUP(C910,$T$1:$V$20, 2))</f>
        <v>12</v>
      </c>
      <c r="G910" s="16" t="n">
        <f aca="false">IF($B910=-1, -1, VLOOKUP(D910,$Y$1:$Z$22,2))</f>
        <v>13</v>
      </c>
      <c r="H910" s="16" t="str">
        <f aca="false">_xlfn.UNICHAR(((F910*21)+G910)*28+44032)</f>
        <v>주</v>
      </c>
      <c r="I910" s="16" t="n">
        <f aca="false">IF(B910=-1, 1, COUNTIF($A$2:$A$3000, H910))</f>
        <v>1</v>
      </c>
      <c r="J910" s="10" t="str">
        <f aca="false">_xlfn.CONCAT(A910, ",",H910,",",I910)</f>
        <v>발,주,1</v>
      </c>
      <c r="K910" s="16" t="n">
        <f aca="false">IF(B910=-1,-1,VLOOKUP(C910,$T$1:$V$20,3))</f>
        <v>11</v>
      </c>
      <c r="L910" s="16" t="n">
        <f aca="false">IF(B910=-1,-1,VLOOKUP(D910,$Y$1:$AA$22,3))</f>
        <v>2</v>
      </c>
      <c r="N910" s="10" t="str">
        <f aca="false">_xlfn.UNICHAR(((C910*21)+G910)*28+44032)</f>
        <v>부</v>
      </c>
      <c r="O910" s="10" t="str">
        <f aca="false">_xlfn.UNICHAR(((F910*21)+D910)*28+44032)</f>
        <v>자</v>
      </c>
      <c r="P910" s="12" t="n">
        <f aca="false">COUNTIF($A$2:$A$3000, N910) + COUNTIF($A$2:$A$3000, O910)</f>
        <v>2</v>
      </c>
      <c r="Q910" s="16" t="str">
        <f aca="false">IF(OR(B910=-1,I910=0, P910&lt;&gt;2), "albhed_dummy", _xlfn.CONCAT("albhed ", RIGHT("  " &amp; K910,2),", ", RIGHT("  " &amp; L910,2), ", " ,"""",H910,""", ", """",N910,""", ","""",O910,""""," ; ", A910))</f>
        <v>albhed 11,  2, "주", "부", "자" ; 발</v>
      </c>
    </row>
    <row r="911" customFormat="false" ht="17.9" hidden="false" customHeight="true" outlineLevel="0" collapsed="false">
      <c r="A911" s="16" t="s">
        <v>1781</v>
      </c>
      <c r="B911" s="16" t="n">
        <f aca="false">IF(_xlfn.UNICODE(A911)&lt;44032,-1,_xlfn.UNICODE(A911)-44032)</f>
        <v>4125</v>
      </c>
      <c r="C911" s="16" t="n">
        <f aca="false">IF(B911=-1,-1,INT((B911/28)/21))</f>
        <v>7</v>
      </c>
      <c r="D911" s="16" t="n">
        <f aca="false">IF(B911=-1, -1, MOD(INT(B911/28),21))</f>
        <v>0</v>
      </c>
      <c r="E911" s="16" t="n">
        <f aca="false">IF(B911=-1, -1, VLOOKUP(MOD(B911,28), $T$24:$U$52,2))</f>
        <v>8</v>
      </c>
      <c r="F911" s="16" t="n">
        <f aca="false">IF($B911=-1, -1, VLOOKUP(C911,$T$1:$V$20, 2))</f>
        <v>12</v>
      </c>
      <c r="G911" s="16" t="n">
        <f aca="false">IF($B911=-1, -1, VLOOKUP(D911,$Y$1:$Z$22,2))</f>
        <v>13</v>
      </c>
      <c r="H911" s="16" t="str">
        <f aca="false">_xlfn.UNICHAR(((F911*21)+G911)*28+44032)</f>
        <v>주</v>
      </c>
      <c r="I911" s="16" t="n">
        <f aca="false">IF(B911=-1, 1, COUNTIF($A$2:$A$3000, H911))</f>
        <v>1</v>
      </c>
      <c r="J911" s="10" t="str">
        <f aca="false">_xlfn.CONCAT(A911, ",",H911,",",I911)</f>
        <v>밝,주,1</v>
      </c>
      <c r="K911" s="16" t="n">
        <f aca="false">IF(B911=-1,-1,VLOOKUP(C911,$T$1:$V$20,3))</f>
        <v>11</v>
      </c>
      <c r="L911" s="16" t="n">
        <f aca="false">IF(B911=-1,-1,VLOOKUP(D911,$Y$1:$AA$22,3))</f>
        <v>2</v>
      </c>
      <c r="N911" s="10" t="str">
        <f aca="false">_xlfn.UNICHAR(((C911*21)+G911)*28+44032)</f>
        <v>부</v>
      </c>
      <c r="O911" s="10" t="str">
        <f aca="false">_xlfn.UNICHAR(((F911*21)+D911)*28+44032)</f>
        <v>자</v>
      </c>
      <c r="P911" s="12" t="n">
        <f aca="false">COUNTIF($A$2:$A$3000, N911) + COUNTIF($A$2:$A$3000, O911)</f>
        <v>2</v>
      </c>
      <c r="Q911" s="16" t="str">
        <f aca="false">IF(OR(B911=-1,I911=0, P911&lt;&gt;2), "albhed_dummy", _xlfn.CONCAT("albhed ", RIGHT("  " &amp; K911,2),", ", RIGHT("  " &amp; L911,2), ", " ,"""",H911,""", ", """",N911,""", ","""",O911,""""," ; ", A911))</f>
        <v>albhed 11,  2, "주", "부", "자" ; 밝</v>
      </c>
    </row>
    <row r="912" customFormat="false" ht="17.9" hidden="false" customHeight="true" outlineLevel="0" collapsed="false">
      <c r="A912" s="16" t="s">
        <v>1782</v>
      </c>
      <c r="B912" s="16" t="n">
        <f aca="false">IF(_xlfn.UNICODE(A912)&lt;44032,-1,_xlfn.UNICODE(A912)-44032)</f>
        <v>4126</v>
      </c>
      <c r="C912" s="16" t="n">
        <f aca="false">IF(B912=-1,-1,INT((B912/28)/21))</f>
        <v>7</v>
      </c>
      <c r="D912" s="16" t="n">
        <f aca="false">IF(B912=-1, -1, MOD(INT(B912/28),21))</f>
        <v>0</v>
      </c>
      <c r="E912" s="16" t="n">
        <f aca="false">IF(B912=-1, -1, VLOOKUP(MOD(B912,28), $T$24:$U$52,2))</f>
        <v>8</v>
      </c>
      <c r="F912" s="16" t="n">
        <f aca="false">IF($B912=-1, -1, VLOOKUP(C912,$T$1:$V$20, 2))</f>
        <v>12</v>
      </c>
      <c r="G912" s="16" t="n">
        <f aca="false">IF($B912=-1, -1, VLOOKUP(D912,$Y$1:$Z$22,2))</f>
        <v>13</v>
      </c>
      <c r="H912" s="16" t="str">
        <f aca="false">_xlfn.UNICHAR(((F912*21)+G912)*28+44032)</f>
        <v>주</v>
      </c>
      <c r="I912" s="16" t="n">
        <f aca="false">IF(B912=-1, 1, COUNTIF($A$2:$A$3000, H912))</f>
        <v>1</v>
      </c>
      <c r="J912" s="10" t="str">
        <f aca="false">_xlfn.CONCAT(A912, ",",H912,",",I912)</f>
        <v>밞,주,1</v>
      </c>
      <c r="K912" s="16" t="n">
        <f aca="false">IF(B912=-1,-1,VLOOKUP(C912,$T$1:$V$20,3))</f>
        <v>11</v>
      </c>
      <c r="L912" s="16" t="n">
        <f aca="false">IF(B912=-1,-1,VLOOKUP(D912,$Y$1:$AA$22,3))</f>
        <v>2</v>
      </c>
      <c r="N912" s="10" t="str">
        <f aca="false">_xlfn.UNICHAR(((C912*21)+G912)*28+44032)</f>
        <v>부</v>
      </c>
      <c r="O912" s="10" t="str">
        <f aca="false">_xlfn.UNICHAR(((F912*21)+D912)*28+44032)</f>
        <v>자</v>
      </c>
      <c r="P912" s="12" t="n">
        <f aca="false">COUNTIF($A$2:$A$3000, N912) + COUNTIF($A$2:$A$3000, O912)</f>
        <v>2</v>
      </c>
      <c r="Q912" s="16" t="str">
        <f aca="false">IF(OR(B912=-1,I912=0, P912&lt;&gt;2), "albhed_dummy", _xlfn.CONCAT("albhed ", RIGHT("  " &amp; K912,2),", ", RIGHT("  " &amp; L912,2), ", " ,"""",H912,""", ", """",N912,""", ","""",O912,""""," ; ", A912))</f>
        <v>albhed 11,  2, "주", "부", "자" ; 밞</v>
      </c>
    </row>
    <row r="913" customFormat="false" ht="17.9" hidden="false" customHeight="true" outlineLevel="0" collapsed="false">
      <c r="A913" s="16" t="s">
        <v>1783</v>
      </c>
      <c r="B913" s="16" t="n">
        <f aca="false">IF(_xlfn.UNICODE(A913)&lt;44032,-1,_xlfn.UNICODE(A913)-44032)</f>
        <v>4127</v>
      </c>
      <c r="C913" s="16" t="n">
        <f aca="false">IF(B913=-1,-1,INT((B913/28)/21))</f>
        <v>7</v>
      </c>
      <c r="D913" s="16" t="n">
        <f aca="false">IF(B913=-1, -1, MOD(INT(B913/28),21))</f>
        <v>0</v>
      </c>
      <c r="E913" s="16" t="n">
        <f aca="false">IF(B913=-1, -1, VLOOKUP(MOD(B913,28), $T$24:$U$52,2))</f>
        <v>8</v>
      </c>
      <c r="F913" s="16" t="n">
        <f aca="false">IF($B913=-1, -1, VLOOKUP(C913,$T$1:$V$20, 2))</f>
        <v>12</v>
      </c>
      <c r="G913" s="16" t="n">
        <f aca="false">IF($B913=-1, -1, VLOOKUP(D913,$Y$1:$Z$22,2))</f>
        <v>13</v>
      </c>
      <c r="H913" s="16" t="str">
        <f aca="false">_xlfn.UNICHAR(((F913*21)+G913)*28+44032)</f>
        <v>주</v>
      </c>
      <c r="I913" s="16" t="n">
        <f aca="false">IF(B913=-1, 1, COUNTIF($A$2:$A$3000, H913))</f>
        <v>1</v>
      </c>
      <c r="J913" s="10" t="str">
        <f aca="false">_xlfn.CONCAT(A913, ",",H913,",",I913)</f>
        <v>밟,주,1</v>
      </c>
      <c r="K913" s="16" t="n">
        <f aca="false">IF(B913=-1,-1,VLOOKUP(C913,$T$1:$V$20,3))</f>
        <v>11</v>
      </c>
      <c r="L913" s="16" t="n">
        <f aca="false">IF(B913=-1,-1,VLOOKUP(D913,$Y$1:$AA$22,3))</f>
        <v>2</v>
      </c>
      <c r="N913" s="10" t="str">
        <f aca="false">_xlfn.UNICHAR(((C913*21)+G913)*28+44032)</f>
        <v>부</v>
      </c>
      <c r="O913" s="10" t="str">
        <f aca="false">_xlfn.UNICHAR(((F913*21)+D913)*28+44032)</f>
        <v>자</v>
      </c>
      <c r="P913" s="12" t="n">
        <f aca="false">COUNTIF($A$2:$A$3000, N913) + COUNTIF($A$2:$A$3000, O913)</f>
        <v>2</v>
      </c>
      <c r="Q913" s="16" t="str">
        <f aca="false">IF(OR(B913=-1,I913=0, P913&lt;&gt;2), "albhed_dummy", _xlfn.CONCAT("albhed ", RIGHT("  " &amp; K913,2),", ", RIGHT("  " &amp; L913,2), ", " ,"""",H913,""", ", """",N913,""", ","""",O913,""""," ; ", A913))</f>
        <v>albhed 11,  2, "주", "부", "자" ; 밟</v>
      </c>
    </row>
    <row r="914" customFormat="false" ht="17.9" hidden="false" customHeight="true" outlineLevel="0" collapsed="false">
      <c r="A914" s="16" t="s">
        <v>1784</v>
      </c>
      <c r="B914" s="16" t="n">
        <f aca="false">IF(_xlfn.UNICODE(A914)&lt;44032,-1,_xlfn.UNICODE(A914)-44032)</f>
        <v>4132</v>
      </c>
      <c r="C914" s="16" t="n">
        <f aca="false">IF(B914=-1,-1,INT((B914/28)/21))</f>
        <v>7</v>
      </c>
      <c r="D914" s="16" t="n">
        <f aca="false">IF(B914=-1, -1, MOD(INT(B914/28),21))</f>
        <v>0</v>
      </c>
      <c r="E914" s="16" t="n">
        <f aca="false">IF(B914=-1, -1, VLOOKUP(MOD(B914,28), $T$24:$U$52,2))</f>
        <v>16</v>
      </c>
      <c r="F914" s="16" t="n">
        <f aca="false">IF($B914=-1, -1, VLOOKUP(C914,$T$1:$V$20, 2))</f>
        <v>12</v>
      </c>
      <c r="G914" s="16" t="n">
        <f aca="false">IF($B914=-1, -1, VLOOKUP(D914,$Y$1:$Z$22,2))</f>
        <v>13</v>
      </c>
      <c r="H914" s="16" t="str">
        <f aca="false">_xlfn.UNICHAR(((F914*21)+G914)*28+44032)</f>
        <v>주</v>
      </c>
      <c r="I914" s="16" t="n">
        <f aca="false">IF(B914=-1, 1, COUNTIF($A$2:$A$3000, H914))</f>
        <v>1</v>
      </c>
      <c r="J914" s="10" t="str">
        <f aca="false">_xlfn.CONCAT(A914, ",",H914,",",I914)</f>
        <v>밤,주,1</v>
      </c>
      <c r="K914" s="16" t="n">
        <f aca="false">IF(B914=-1,-1,VLOOKUP(C914,$T$1:$V$20,3))</f>
        <v>11</v>
      </c>
      <c r="L914" s="16" t="n">
        <f aca="false">IF(B914=-1,-1,VLOOKUP(D914,$Y$1:$AA$22,3))</f>
        <v>2</v>
      </c>
      <c r="N914" s="10" t="str">
        <f aca="false">_xlfn.UNICHAR(((C914*21)+G914)*28+44032)</f>
        <v>부</v>
      </c>
      <c r="O914" s="10" t="str">
        <f aca="false">_xlfn.UNICHAR(((F914*21)+D914)*28+44032)</f>
        <v>자</v>
      </c>
      <c r="P914" s="12" t="n">
        <f aca="false">COUNTIF($A$2:$A$3000, N914) + COUNTIF($A$2:$A$3000, O914)</f>
        <v>2</v>
      </c>
      <c r="Q914" s="16" t="str">
        <f aca="false">IF(OR(B914=-1,I914=0, P914&lt;&gt;2), "albhed_dummy", _xlfn.CONCAT("albhed ", RIGHT("  " &amp; K914,2),", ", RIGHT("  " &amp; L914,2), ", " ,"""",H914,""", ", """",N914,""", ","""",O914,""""," ; ", A914))</f>
        <v>albhed 11,  2, "주", "부", "자" ; 밤</v>
      </c>
    </row>
    <row r="915" customFormat="false" ht="17.9" hidden="false" customHeight="true" outlineLevel="0" collapsed="false">
      <c r="A915" s="16" t="s">
        <v>1785</v>
      </c>
      <c r="B915" s="16" t="n">
        <f aca="false">IF(_xlfn.UNICODE(A915)&lt;44032,-1,_xlfn.UNICODE(A915)-44032)</f>
        <v>4133</v>
      </c>
      <c r="C915" s="16" t="n">
        <f aca="false">IF(B915=-1,-1,INT((B915/28)/21))</f>
        <v>7</v>
      </c>
      <c r="D915" s="16" t="n">
        <f aca="false">IF(B915=-1, -1, MOD(INT(B915/28),21))</f>
        <v>0</v>
      </c>
      <c r="E915" s="16" t="n">
        <f aca="false">IF(B915=-1, -1, VLOOKUP(MOD(B915,28), $T$24:$U$52,2))</f>
        <v>17</v>
      </c>
      <c r="F915" s="16" t="n">
        <f aca="false">IF($B915=-1, -1, VLOOKUP(C915,$T$1:$V$20, 2))</f>
        <v>12</v>
      </c>
      <c r="G915" s="16" t="n">
        <f aca="false">IF($B915=-1, -1, VLOOKUP(D915,$Y$1:$Z$22,2))</f>
        <v>13</v>
      </c>
      <c r="H915" s="16" t="str">
        <f aca="false">_xlfn.UNICHAR(((F915*21)+G915)*28+44032)</f>
        <v>주</v>
      </c>
      <c r="I915" s="16" t="n">
        <f aca="false">IF(B915=-1, 1, COUNTIF($A$2:$A$3000, H915))</f>
        <v>1</v>
      </c>
      <c r="J915" s="10" t="str">
        <f aca="false">_xlfn.CONCAT(A915, ",",H915,",",I915)</f>
        <v>밥,주,1</v>
      </c>
      <c r="K915" s="16" t="n">
        <f aca="false">IF(B915=-1,-1,VLOOKUP(C915,$T$1:$V$20,3))</f>
        <v>11</v>
      </c>
      <c r="L915" s="16" t="n">
        <f aca="false">IF(B915=-1,-1,VLOOKUP(D915,$Y$1:$AA$22,3))</f>
        <v>2</v>
      </c>
      <c r="N915" s="10" t="str">
        <f aca="false">_xlfn.UNICHAR(((C915*21)+G915)*28+44032)</f>
        <v>부</v>
      </c>
      <c r="O915" s="10" t="str">
        <f aca="false">_xlfn.UNICHAR(((F915*21)+D915)*28+44032)</f>
        <v>자</v>
      </c>
      <c r="P915" s="12" t="n">
        <f aca="false">COUNTIF($A$2:$A$3000, N915) + COUNTIF($A$2:$A$3000, O915)</f>
        <v>2</v>
      </c>
      <c r="Q915" s="16" t="str">
        <f aca="false">IF(OR(B915=-1,I915=0, P915&lt;&gt;2), "albhed_dummy", _xlfn.CONCAT("albhed ", RIGHT("  " &amp; K915,2),", ", RIGHT("  " &amp; L915,2), ", " ,"""",H915,""", ", """",N915,""", ","""",O915,""""," ; ", A915))</f>
        <v>albhed 11,  2, "주", "부", "자" ; 밥</v>
      </c>
    </row>
    <row r="916" customFormat="false" ht="17.9" hidden="false" customHeight="true" outlineLevel="0" collapsed="false">
      <c r="A916" s="16" t="s">
        <v>1786</v>
      </c>
      <c r="B916" s="16" t="n">
        <f aca="false">IF(_xlfn.UNICODE(A916)&lt;44032,-1,_xlfn.UNICODE(A916)-44032)</f>
        <v>4135</v>
      </c>
      <c r="C916" s="16" t="n">
        <f aca="false">IF(B916=-1,-1,INT((B916/28)/21))</f>
        <v>7</v>
      </c>
      <c r="D916" s="16" t="n">
        <f aca="false">IF(B916=-1, -1, MOD(INT(B916/28),21))</f>
        <v>0</v>
      </c>
      <c r="E916" s="16" t="n">
        <f aca="false">IF(B916=-1, -1, VLOOKUP(MOD(B916,28), $T$24:$U$52,2))</f>
        <v>19</v>
      </c>
      <c r="F916" s="16" t="n">
        <f aca="false">IF($B916=-1, -1, VLOOKUP(C916,$T$1:$V$20, 2))</f>
        <v>12</v>
      </c>
      <c r="G916" s="16" t="n">
        <f aca="false">IF($B916=-1, -1, VLOOKUP(D916,$Y$1:$Z$22,2))</f>
        <v>13</v>
      </c>
      <c r="H916" s="16" t="str">
        <f aca="false">_xlfn.UNICHAR(((F916*21)+G916)*28+44032)</f>
        <v>주</v>
      </c>
      <c r="I916" s="16" t="n">
        <f aca="false">IF(B916=-1, 1, COUNTIF($A$2:$A$3000, H916))</f>
        <v>1</v>
      </c>
      <c r="J916" s="10" t="str">
        <f aca="false">_xlfn.CONCAT(A916, ",",H916,",",I916)</f>
        <v>밧,주,1</v>
      </c>
      <c r="K916" s="16" t="n">
        <f aca="false">IF(B916=-1,-1,VLOOKUP(C916,$T$1:$V$20,3))</f>
        <v>11</v>
      </c>
      <c r="L916" s="16" t="n">
        <f aca="false">IF(B916=-1,-1,VLOOKUP(D916,$Y$1:$AA$22,3))</f>
        <v>2</v>
      </c>
      <c r="N916" s="10" t="str">
        <f aca="false">_xlfn.UNICHAR(((C916*21)+G916)*28+44032)</f>
        <v>부</v>
      </c>
      <c r="O916" s="10" t="str">
        <f aca="false">_xlfn.UNICHAR(((F916*21)+D916)*28+44032)</f>
        <v>자</v>
      </c>
      <c r="P916" s="12" t="n">
        <f aca="false">COUNTIF($A$2:$A$3000, N916) + COUNTIF($A$2:$A$3000, O916)</f>
        <v>2</v>
      </c>
      <c r="Q916" s="16" t="str">
        <f aca="false">IF(OR(B916=-1,I916=0, P916&lt;&gt;2), "albhed_dummy", _xlfn.CONCAT("albhed ", RIGHT("  " &amp; K916,2),", ", RIGHT("  " &amp; L916,2), ", " ,"""",H916,""", ", """",N916,""", ","""",O916,""""," ; ", A916))</f>
        <v>albhed 11,  2, "주", "부", "자" ; 밧</v>
      </c>
    </row>
    <row r="917" customFormat="false" ht="17.9" hidden="false" customHeight="true" outlineLevel="0" collapsed="false">
      <c r="A917" s="16" t="s">
        <v>1787</v>
      </c>
      <c r="B917" s="16" t="n">
        <f aca="false">IF(_xlfn.UNICODE(A917)&lt;44032,-1,_xlfn.UNICODE(A917)-44032)</f>
        <v>4137</v>
      </c>
      <c r="C917" s="16" t="n">
        <f aca="false">IF(B917=-1,-1,INT((B917/28)/21))</f>
        <v>7</v>
      </c>
      <c r="D917" s="16" t="n">
        <f aca="false">IF(B917=-1, -1, MOD(INT(B917/28),21))</f>
        <v>0</v>
      </c>
      <c r="E917" s="16" t="n">
        <f aca="false">IF(B917=-1, -1, VLOOKUP(MOD(B917,28), $T$24:$U$52,2))</f>
        <v>21</v>
      </c>
      <c r="F917" s="16" t="n">
        <f aca="false">IF($B917=-1, -1, VLOOKUP(C917,$T$1:$V$20, 2))</f>
        <v>12</v>
      </c>
      <c r="G917" s="16" t="n">
        <f aca="false">IF($B917=-1, -1, VLOOKUP(D917,$Y$1:$Z$22,2))</f>
        <v>13</v>
      </c>
      <c r="H917" s="16" t="str">
        <f aca="false">_xlfn.UNICHAR(((F917*21)+G917)*28+44032)</f>
        <v>주</v>
      </c>
      <c r="I917" s="16" t="n">
        <f aca="false">IF(B917=-1, 1, COUNTIF($A$2:$A$3000, H917))</f>
        <v>1</v>
      </c>
      <c r="J917" s="10" t="str">
        <f aca="false">_xlfn.CONCAT(A917, ",",H917,",",I917)</f>
        <v>방,주,1</v>
      </c>
      <c r="K917" s="16" t="n">
        <f aca="false">IF(B917=-1,-1,VLOOKUP(C917,$T$1:$V$20,3))</f>
        <v>11</v>
      </c>
      <c r="L917" s="16" t="n">
        <f aca="false">IF(B917=-1,-1,VLOOKUP(D917,$Y$1:$AA$22,3))</f>
        <v>2</v>
      </c>
      <c r="N917" s="10" t="str">
        <f aca="false">_xlfn.UNICHAR(((C917*21)+G917)*28+44032)</f>
        <v>부</v>
      </c>
      <c r="O917" s="10" t="str">
        <f aca="false">_xlfn.UNICHAR(((F917*21)+D917)*28+44032)</f>
        <v>자</v>
      </c>
      <c r="P917" s="12" t="n">
        <f aca="false">COUNTIF($A$2:$A$3000, N917) + COUNTIF($A$2:$A$3000, O917)</f>
        <v>2</v>
      </c>
      <c r="Q917" s="16" t="str">
        <f aca="false">IF(OR(B917=-1,I917=0, P917&lt;&gt;2), "albhed_dummy", _xlfn.CONCAT("albhed ", RIGHT("  " &amp; K917,2),", ", RIGHT("  " &amp; L917,2), ", " ,"""",H917,""", ", """",N917,""", ","""",O917,""""," ; ", A917))</f>
        <v>albhed 11,  2, "주", "부", "자" ; 방</v>
      </c>
    </row>
    <row r="918" customFormat="false" ht="17.9" hidden="false" customHeight="true" outlineLevel="0" collapsed="false">
      <c r="A918" s="16" t="s">
        <v>1788</v>
      </c>
      <c r="B918" s="16" t="n">
        <f aca="false">IF(_xlfn.UNICODE(A918)&lt;44032,-1,_xlfn.UNICODE(A918)-44032)</f>
        <v>4141</v>
      </c>
      <c r="C918" s="16" t="n">
        <f aca="false">IF(B918=-1,-1,INT((B918/28)/21))</f>
        <v>7</v>
      </c>
      <c r="D918" s="16" t="n">
        <f aca="false">IF(B918=-1, -1, MOD(INT(B918/28),21))</f>
        <v>0</v>
      </c>
      <c r="E918" s="16" t="n">
        <f aca="false">IF(B918=-1, -1, VLOOKUP(MOD(B918,28), $T$24:$U$52,2))</f>
        <v>19</v>
      </c>
      <c r="F918" s="16" t="n">
        <f aca="false">IF($B918=-1, -1, VLOOKUP(C918,$T$1:$V$20, 2))</f>
        <v>12</v>
      </c>
      <c r="G918" s="16" t="n">
        <f aca="false">IF($B918=-1, -1, VLOOKUP(D918,$Y$1:$Z$22,2))</f>
        <v>13</v>
      </c>
      <c r="H918" s="16" t="str">
        <f aca="false">_xlfn.UNICHAR(((F918*21)+G918)*28+44032)</f>
        <v>주</v>
      </c>
      <c r="I918" s="16" t="n">
        <f aca="false">IF(B918=-1, 1, COUNTIF($A$2:$A$3000, H918))</f>
        <v>1</v>
      </c>
      <c r="J918" s="10" t="str">
        <f aca="false">_xlfn.CONCAT(A918, ",",H918,",",I918)</f>
        <v>밭,주,1</v>
      </c>
      <c r="K918" s="16" t="n">
        <f aca="false">IF(B918=-1,-1,VLOOKUP(C918,$T$1:$V$20,3))</f>
        <v>11</v>
      </c>
      <c r="L918" s="16" t="n">
        <f aca="false">IF(B918=-1,-1,VLOOKUP(D918,$Y$1:$AA$22,3))</f>
        <v>2</v>
      </c>
      <c r="N918" s="10" t="str">
        <f aca="false">_xlfn.UNICHAR(((C918*21)+G918)*28+44032)</f>
        <v>부</v>
      </c>
      <c r="O918" s="10" t="str">
        <f aca="false">_xlfn.UNICHAR(((F918*21)+D918)*28+44032)</f>
        <v>자</v>
      </c>
      <c r="P918" s="12" t="n">
        <f aca="false">COUNTIF($A$2:$A$3000, N918) + COUNTIF($A$2:$A$3000, O918)</f>
        <v>2</v>
      </c>
      <c r="Q918" s="16" t="str">
        <f aca="false">IF(OR(B918=-1,I918=0, P918&lt;&gt;2), "albhed_dummy", _xlfn.CONCAT("albhed ", RIGHT("  " &amp; K918,2),", ", RIGHT("  " &amp; L918,2), ", " ,"""",H918,""", ", """",N918,""", ","""",O918,""""," ; ", A918))</f>
        <v>albhed 11,  2, "주", "부", "자" ; 밭</v>
      </c>
    </row>
    <row r="919" customFormat="false" ht="17.9" hidden="false" customHeight="true" outlineLevel="0" collapsed="false">
      <c r="A919" s="16" t="s">
        <v>1789</v>
      </c>
      <c r="B919" s="16" t="n">
        <f aca="false">IF(_xlfn.UNICODE(A919)&lt;44032,-1,_xlfn.UNICODE(A919)-44032)</f>
        <v>4144</v>
      </c>
      <c r="C919" s="16" t="n">
        <f aca="false">IF(B919=-1,-1,INT((B919/28)/21))</f>
        <v>7</v>
      </c>
      <c r="D919" s="16" t="n">
        <f aca="false">IF(B919=-1, -1, MOD(INT(B919/28),21))</f>
        <v>1</v>
      </c>
      <c r="E919" s="16" t="n">
        <f aca="false">IF(B919=-1, -1, VLOOKUP(MOD(B919,28), $T$24:$U$52,2))</f>
        <v>0</v>
      </c>
      <c r="F919" s="16" t="n">
        <f aca="false">IF($B919=-1, -1, VLOOKUP(C919,$T$1:$V$20, 2))</f>
        <v>12</v>
      </c>
      <c r="G919" s="16" t="n">
        <f aca="false">IF($B919=-1, -1, VLOOKUP(D919,$Y$1:$Z$22,2))</f>
        <v>18</v>
      </c>
      <c r="H919" s="16" t="str">
        <f aca="false">_xlfn.UNICHAR(((F919*21)+G919)*28+44032)</f>
        <v>즈</v>
      </c>
      <c r="I919" s="16" t="n">
        <f aca="false">IF(B919=-1, 1, COUNTIF($A$2:$A$3000, H919))</f>
        <v>1</v>
      </c>
      <c r="J919" s="10" t="str">
        <f aca="false">_xlfn.CONCAT(A919, ",",H919,",",I919)</f>
        <v>배,즈,1</v>
      </c>
      <c r="K919" s="16" t="n">
        <f aca="false">IF(B919=-1,-1,VLOOKUP(C919,$T$1:$V$20,3))</f>
        <v>11</v>
      </c>
      <c r="L919" s="16" t="n">
        <f aca="false">IF(B919=-1,-1,VLOOKUP(D919,$Y$1:$AA$22,3))</f>
        <v>10</v>
      </c>
      <c r="N919" s="10" t="str">
        <f aca="false">_xlfn.UNICHAR(((C919*21)+G919)*28+44032)</f>
        <v>브</v>
      </c>
      <c r="O919" s="10" t="str">
        <f aca="false">_xlfn.UNICHAR(((F919*21)+D919)*28+44032)</f>
        <v>재</v>
      </c>
      <c r="P919" s="12" t="n">
        <f aca="false">COUNTIF($A$2:$A$3000, N919) + COUNTIF($A$2:$A$3000, O919)</f>
        <v>2</v>
      </c>
      <c r="Q919" s="16" t="str">
        <f aca="false">IF(OR(B919=-1,I919=0, P919&lt;&gt;2), "albhed_dummy", _xlfn.CONCAT("albhed ", RIGHT("  " &amp; K919,2),", ", RIGHT("  " &amp; L919,2), ", " ,"""",H919,""", ", """",N919,""", ","""",O919,""""," ; ", A919))</f>
        <v>albhed 11, 10, "즈", "브", "재" ; 배</v>
      </c>
    </row>
    <row r="920" customFormat="false" ht="17.9" hidden="false" customHeight="true" outlineLevel="0" collapsed="false">
      <c r="A920" s="16" t="s">
        <v>1790</v>
      </c>
      <c r="B920" s="16" t="n">
        <f aca="false">IF(_xlfn.UNICODE(A920)&lt;44032,-1,_xlfn.UNICODE(A920)-44032)</f>
        <v>4145</v>
      </c>
      <c r="C920" s="16" t="n">
        <f aca="false">IF(B920=-1,-1,INT((B920/28)/21))</f>
        <v>7</v>
      </c>
      <c r="D920" s="16" t="n">
        <f aca="false">IF(B920=-1, -1, MOD(INT(B920/28),21))</f>
        <v>1</v>
      </c>
      <c r="E920" s="16" t="n">
        <f aca="false">IF(B920=-1, -1, VLOOKUP(MOD(B920,28), $T$24:$U$52,2))</f>
        <v>1</v>
      </c>
      <c r="F920" s="16" t="n">
        <f aca="false">IF($B920=-1, -1, VLOOKUP(C920,$T$1:$V$20, 2))</f>
        <v>12</v>
      </c>
      <c r="G920" s="16" t="n">
        <f aca="false">IF($B920=-1, -1, VLOOKUP(D920,$Y$1:$Z$22,2))</f>
        <v>18</v>
      </c>
      <c r="H920" s="16" t="str">
        <f aca="false">_xlfn.UNICHAR(((F920*21)+G920)*28+44032)</f>
        <v>즈</v>
      </c>
      <c r="I920" s="16" t="n">
        <f aca="false">IF(B920=-1, 1, COUNTIF($A$2:$A$3000, H920))</f>
        <v>1</v>
      </c>
      <c r="J920" s="10" t="str">
        <f aca="false">_xlfn.CONCAT(A920, ",",H920,",",I920)</f>
        <v>백,즈,1</v>
      </c>
      <c r="K920" s="16" t="n">
        <f aca="false">IF(B920=-1,-1,VLOOKUP(C920,$T$1:$V$20,3))</f>
        <v>11</v>
      </c>
      <c r="L920" s="16" t="n">
        <f aca="false">IF(B920=-1,-1,VLOOKUP(D920,$Y$1:$AA$22,3))</f>
        <v>10</v>
      </c>
      <c r="N920" s="10" t="str">
        <f aca="false">_xlfn.UNICHAR(((C920*21)+G920)*28+44032)</f>
        <v>브</v>
      </c>
      <c r="O920" s="10" t="str">
        <f aca="false">_xlfn.UNICHAR(((F920*21)+D920)*28+44032)</f>
        <v>재</v>
      </c>
      <c r="P920" s="12" t="n">
        <f aca="false">COUNTIF($A$2:$A$3000, N920) + COUNTIF($A$2:$A$3000, O920)</f>
        <v>2</v>
      </c>
      <c r="Q920" s="16" t="str">
        <f aca="false">IF(OR(B920=-1,I920=0, P920&lt;&gt;2), "albhed_dummy", _xlfn.CONCAT("albhed ", RIGHT("  " &amp; K920,2),", ", RIGHT("  " &amp; L920,2), ", " ,"""",H920,""", ", """",N920,""", ","""",O920,""""," ; ", A920))</f>
        <v>albhed 11, 10, "즈", "브", "재" ; 백</v>
      </c>
    </row>
    <row r="921" customFormat="false" ht="17.9" hidden="false" customHeight="true" outlineLevel="0" collapsed="false">
      <c r="A921" s="16" t="s">
        <v>1791</v>
      </c>
      <c r="B921" s="16" t="n">
        <f aca="false">IF(_xlfn.UNICODE(A921)&lt;44032,-1,_xlfn.UNICODE(A921)-44032)</f>
        <v>4148</v>
      </c>
      <c r="C921" s="16" t="n">
        <f aca="false">IF(B921=-1,-1,INT((B921/28)/21))</f>
        <v>7</v>
      </c>
      <c r="D921" s="16" t="n">
        <f aca="false">IF(B921=-1, -1, MOD(INT(B921/28),21))</f>
        <v>1</v>
      </c>
      <c r="E921" s="16" t="n">
        <f aca="false">IF(B921=-1, -1, VLOOKUP(MOD(B921,28), $T$24:$U$52,2))</f>
        <v>4</v>
      </c>
      <c r="F921" s="16" t="n">
        <f aca="false">IF($B921=-1, -1, VLOOKUP(C921,$T$1:$V$20, 2))</f>
        <v>12</v>
      </c>
      <c r="G921" s="16" t="n">
        <f aca="false">IF($B921=-1, -1, VLOOKUP(D921,$Y$1:$Z$22,2))</f>
        <v>18</v>
      </c>
      <c r="H921" s="16" t="str">
        <f aca="false">_xlfn.UNICHAR(((F921*21)+G921)*28+44032)</f>
        <v>즈</v>
      </c>
      <c r="I921" s="16" t="n">
        <f aca="false">IF(B921=-1, 1, COUNTIF($A$2:$A$3000, H921))</f>
        <v>1</v>
      </c>
      <c r="J921" s="10" t="str">
        <f aca="false">_xlfn.CONCAT(A921, ",",H921,",",I921)</f>
        <v>밴,즈,1</v>
      </c>
      <c r="K921" s="16" t="n">
        <f aca="false">IF(B921=-1,-1,VLOOKUP(C921,$T$1:$V$20,3))</f>
        <v>11</v>
      </c>
      <c r="L921" s="16" t="n">
        <f aca="false">IF(B921=-1,-1,VLOOKUP(D921,$Y$1:$AA$22,3))</f>
        <v>10</v>
      </c>
      <c r="N921" s="10" t="str">
        <f aca="false">_xlfn.UNICHAR(((C921*21)+G921)*28+44032)</f>
        <v>브</v>
      </c>
      <c r="O921" s="10" t="str">
        <f aca="false">_xlfn.UNICHAR(((F921*21)+D921)*28+44032)</f>
        <v>재</v>
      </c>
      <c r="P921" s="12" t="n">
        <f aca="false">COUNTIF($A$2:$A$3000, N921) + COUNTIF($A$2:$A$3000, O921)</f>
        <v>2</v>
      </c>
      <c r="Q921" s="16" t="str">
        <f aca="false">IF(OR(B921=-1,I921=0, P921&lt;&gt;2), "albhed_dummy", _xlfn.CONCAT("albhed ", RIGHT("  " &amp; K921,2),", ", RIGHT("  " &amp; L921,2), ", " ,"""",H921,""", ", """",N921,""", ","""",O921,""""," ; ", A921))</f>
        <v>albhed 11, 10, "즈", "브", "재" ; 밴</v>
      </c>
    </row>
    <row r="922" customFormat="false" ht="17.9" hidden="false" customHeight="true" outlineLevel="0" collapsed="false">
      <c r="A922" s="16" t="s">
        <v>1792</v>
      </c>
      <c r="B922" s="16" t="n">
        <f aca="false">IF(_xlfn.UNICODE(A922)&lt;44032,-1,_xlfn.UNICODE(A922)-44032)</f>
        <v>4152</v>
      </c>
      <c r="C922" s="16" t="n">
        <f aca="false">IF(B922=-1,-1,INT((B922/28)/21))</f>
        <v>7</v>
      </c>
      <c r="D922" s="16" t="n">
        <f aca="false">IF(B922=-1, -1, MOD(INT(B922/28),21))</f>
        <v>1</v>
      </c>
      <c r="E922" s="16" t="n">
        <f aca="false">IF(B922=-1, -1, VLOOKUP(MOD(B922,28), $T$24:$U$52,2))</f>
        <v>8</v>
      </c>
      <c r="F922" s="16" t="n">
        <f aca="false">IF($B922=-1, -1, VLOOKUP(C922,$T$1:$V$20, 2))</f>
        <v>12</v>
      </c>
      <c r="G922" s="16" t="n">
        <f aca="false">IF($B922=-1, -1, VLOOKUP(D922,$Y$1:$Z$22,2))</f>
        <v>18</v>
      </c>
      <c r="H922" s="16" t="str">
        <f aca="false">_xlfn.UNICHAR(((F922*21)+G922)*28+44032)</f>
        <v>즈</v>
      </c>
      <c r="I922" s="16" t="n">
        <f aca="false">IF(B922=-1, 1, COUNTIF($A$2:$A$3000, H922))</f>
        <v>1</v>
      </c>
      <c r="J922" s="10" t="str">
        <f aca="false">_xlfn.CONCAT(A922, ",",H922,",",I922)</f>
        <v>밸,즈,1</v>
      </c>
      <c r="K922" s="16" t="n">
        <f aca="false">IF(B922=-1,-1,VLOOKUP(C922,$T$1:$V$20,3))</f>
        <v>11</v>
      </c>
      <c r="L922" s="16" t="n">
        <f aca="false">IF(B922=-1,-1,VLOOKUP(D922,$Y$1:$AA$22,3))</f>
        <v>10</v>
      </c>
      <c r="N922" s="10" t="str">
        <f aca="false">_xlfn.UNICHAR(((C922*21)+G922)*28+44032)</f>
        <v>브</v>
      </c>
      <c r="O922" s="10" t="str">
        <f aca="false">_xlfn.UNICHAR(((F922*21)+D922)*28+44032)</f>
        <v>재</v>
      </c>
      <c r="P922" s="12" t="n">
        <f aca="false">COUNTIF($A$2:$A$3000, N922) + COUNTIF($A$2:$A$3000, O922)</f>
        <v>2</v>
      </c>
      <c r="Q922" s="16" t="str">
        <f aca="false">IF(OR(B922=-1,I922=0, P922&lt;&gt;2), "albhed_dummy", _xlfn.CONCAT("albhed ", RIGHT("  " &amp; K922,2),", ", RIGHT("  " &amp; L922,2), ", " ,"""",H922,""", ", """",N922,""", ","""",O922,""""," ; ", A922))</f>
        <v>albhed 11, 10, "즈", "브", "재" ; 밸</v>
      </c>
    </row>
    <row r="923" customFormat="false" ht="17.9" hidden="false" customHeight="true" outlineLevel="0" collapsed="false">
      <c r="A923" s="16" t="s">
        <v>1793</v>
      </c>
      <c r="B923" s="16" t="n">
        <f aca="false">IF(_xlfn.UNICODE(A923)&lt;44032,-1,_xlfn.UNICODE(A923)-44032)</f>
        <v>4160</v>
      </c>
      <c r="C923" s="16" t="n">
        <f aca="false">IF(B923=-1,-1,INT((B923/28)/21))</f>
        <v>7</v>
      </c>
      <c r="D923" s="16" t="n">
        <f aca="false">IF(B923=-1, -1, MOD(INT(B923/28),21))</f>
        <v>1</v>
      </c>
      <c r="E923" s="16" t="n">
        <f aca="false">IF(B923=-1, -1, VLOOKUP(MOD(B923,28), $T$24:$U$52,2))</f>
        <v>16</v>
      </c>
      <c r="F923" s="16" t="n">
        <f aca="false">IF($B923=-1, -1, VLOOKUP(C923,$T$1:$V$20, 2))</f>
        <v>12</v>
      </c>
      <c r="G923" s="16" t="n">
        <f aca="false">IF($B923=-1, -1, VLOOKUP(D923,$Y$1:$Z$22,2))</f>
        <v>18</v>
      </c>
      <c r="H923" s="16" t="str">
        <f aca="false">_xlfn.UNICHAR(((F923*21)+G923)*28+44032)</f>
        <v>즈</v>
      </c>
      <c r="I923" s="16" t="n">
        <f aca="false">IF(B923=-1, 1, COUNTIF($A$2:$A$3000, H923))</f>
        <v>1</v>
      </c>
      <c r="J923" s="10" t="str">
        <f aca="false">_xlfn.CONCAT(A923, ",",H923,",",I923)</f>
        <v>뱀,즈,1</v>
      </c>
      <c r="K923" s="16" t="n">
        <f aca="false">IF(B923=-1,-1,VLOOKUP(C923,$T$1:$V$20,3))</f>
        <v>11</v>
      </c>
      <c r="L923" s="16" t="n">
        <f aca="false">IF(B923=-1,-1,VLOOKUP(D923,$Y$1:$AA$22,3))</f>
        <v>10</v>
      </c>
      <c r="N923" s="10" t="str">
        <f aca="false">_xlfn.UNICHAR(((C923*21)+G923)*28+44032)</f>
        <v>브</v>
      </c>
      <c r="O923" s="10" t="str">
        <f aca="false">_xlfn.UNICHAR(((F923*21)+D923)*28+44032)</f>
        <v>재</v>
      </c>
      <c r="P923" s="12" t="n">
        <f aca="false">COUNTIF($A$2:$A$3000, N923) + COUNTIF($A$2:$A$3000, O923)</f>
        <v>2</v>
      </c>
      <c r="Q923" s="16" t="str">
        <f aca="false">IF(OR(B923=-1,I923=0, P923&lt;&gt;2), "albhed_dummy", _xlfn.CONCAT("albhed ", RIGHT("  " &amp; K923,2),", ", RIGHT("  " &amp; L923,2), ", " ,"""",H923,""", ", """",N923,""", ","""",O923,""""," ; ", A923))</f>
        <v>albhed 11, 10, "즈", "브", "재" ; 뱀</v>
      </c>
    </row>
    <row r="924" customFormat="false" ht="17.9" hidden="false" customHeight="true" outlineLevel="0" collapsed="false">
      <c r="A924" s="16" t="s">
        <v>1794</v>
      </c>
      <c r="B924" s="16" t="n">
        <f aca="false">IF(_xlfn.UNICODE(A924)&lt;44032,-1,_xlfn.UNICODE(A924)-44032)</f>
        <v>4161</v>
      </c>
      <c r="C924" s="16" t="n">
        <f aca="false">IF(B924=-1,-1,INT((B924/28)/21))</f>
        <v>7</v>
      </c>
      <c r="D924" s="16" t="n">
        <f aca="false">IF(B924=-1, -1, MOD(INT(B924/28),21))</f>
        <v>1</v>
      </c>
      <c r="E924" s="16" t="n">
        <f aca="false">IF(B924=-1, -1, VLOOKUP(MOD(B924,28), $T$24:$U$52,2))</f>
        <v>17</v>
      </c>
      <c r="F924" s="16" t="n">
        <f aca="false">IF($B924=-1, -1, VLOOKUP(C924,$T$1:$V$20, 2))</f>
        <v>12</v>
      </c>
      <c r="G924" s="16" t="n">
        <f aca="false">IF($B924=-1, -1, VLOOKUP(D924,$Y$1:$Z$22,2))</f>
        <v>18</v>
      </c>
      <c r="H924" s="16" t="str">
        <f aca="false">_xlfn.UNICHAR(((F924*21)+G924)*28+44032)</f>
        <v>즈</v>
      </c>
      <c r="I924" s="16" t="n">
        <f aca="false">IF(B924=-1, 1, COUNTIF($A$2:$A$3000, H924))</f>
        <v>1</v>
      </c>
      <c r="J924" s="10" t="str">
        <f aca="false">_xlfn.CONCAT(A924, ",",H924,",",I924)</f>
        <v>뱁,즈,1</v>
      </c>
      <c r="K924" s="16" t="n">
        <f aca="false">IF(B924=-1,-1,VLOOKUP(C924,$T$1:$V$20,3))</f>
        <v>11</v>
      </c>
      <c r="L924" s="16" t="n">
        <f aca="false">IF(B924=-1,-1,VLOOKUP(D924,$Y$1:$AA$22,3))</f>
        <v>10</v>
      </c>
      <c r="N924" s="10" t="str">
        <f aca="false">_xlfn.UNICHAR(((C924*21)+G924)*28+44032)</f>
        <v>브</v>
      </c>
      <c r="O924" s="10" t="str">
        <f aca="false">_xlfn.UNICHAR(((F924*21)+D924)*28+44032)</f>
        <v>재</v>
      </c>
      <c r="P924" s="12" t="n">
        <f aca="false">COUNTIF($A$2:$A$3000, N924) + COUNTIF($A$2:$A$3000, O924)</f>
        <v>2</v>
      </c>
      <c r="Q924" s="16" t="str">
        <f aca="false">IF(OR(B924=-1,I924=0, P924&lt;&gt;2), "albhed_dummy", _xlfn.CONCAT("albhed ", RIGHT("  " &amp; K924,2),", ", RIGHT("  " &amp; L924,2), ", " ,"""",H924,""", ", """",N924,""", ","""",O924,""""," ; ", A924))</f>
        <v>albhed 11, 10, "즈", "브", "재" ; 뱁</v>
      </c>
    </row>
    <row r="925" customFormat="false" ht="17.9" hidden="false" customHeight="true" outlineLevel="0" collapsed="false">
      <c r="A925" s="16" t="s">
        <v>1795</v>
      </c>
      <c r="B925" s="16" t="n">
        <f aca="false">IF(_xlfn.UNICODE(A925)&lt;44032,-1,_xlfn.UNICODE(A925)-44032)</f>
        <v>4163</v>
      </c>
      <c r="C925" s="16" t="n">
        <f aca="false">IF(B925=-1,-1,INT((B925/28)/21))</f>
        <v>7</v>
      </c>
      <c r="D925" s="16" t="n">
        <f aca="false">IF(B925=-1, -1, MOD(INT(B925/28),21))</f>
        <v>1</v>
      </c>
      <c r="E925" s="16" t="n">
        <f aca="false">IF(B925=-1, -1, VLOOKUP(MOD(B925,28), $T$24:$U$52,2))</f>
        <v>19</v>
      </c>
      <c r="F925" s="16" t="n">
        <f aca="false">IF($B925=-1, -1, VLOOKUP(C925,$T$1:$V$20, 2))</f>
        <v>12</v>
      </c>
      <c r="G925" s="16" t="n">
        <f aca="false">IF($B925=-1, -1, VLOOKUP(D925,$Y$1:$Z$22,2))</f>
        <v>18</v>
      </c>
      <c r="H925" s="16" t="str">
        <f aca="false">_xlfn.UNICHAR(((F925*21)+G925)*28+44032)</f>
        <v>즈</v>
      </c>
      <c r="I925" s="16" t="n">
        <f aca="false">IF(B925=-1, 1, COUNTIF($A$2:$A$3000, H925))</f>
        <v>1</v>
      </c>
      <c r="J925" s="10" t="str">
        <f aca="false">_xlfn.CONCAT(A925, ",",H925,",",I925)</f>
        <v>뱃,즈,1</v>
      </c>
      <c r="K925" s="16" t="n">
        <f aca="false">IF(B925=-1,-1,VLOOKUP(C925,$T$1:$V$20,3))</f>
        <v>11</v>
      </c>
      <c r="L925" s="16" t="n">
        <f aca="false">IF(B925=-1,-1,VLOOKUP(D925,$Y$1:$AA$22,3))</f>
        <v>10</v>
      </c>
      <c r="N925" s="10" t="str">
        <f aca="false">_xlfn.UNICHAR(((C925*21)+G925)*28+44032)</f>
        <v>브</v>
      </c>
      <c r="O925" s="10" t="str">
        <f aca="false">_xlfn.UNICHAR(((F925*21)+D925)*28+44032)</f>
        <v>재</v>
      </c>
      <c r="P925" s="12" t="n">
        <f aca="false">COUNTIF($A$2:$A$3000, N925) + COUNTIF($A$2:$A$3000, O925)</f>
        <v>2</v>
      </c>
      <c r="Q925" s="16" t="str">
        <f aca="false">IF(OR(B925=-1,I925=0, P925&lt;&gt;2), "albhed_dummy", _xlfn.CONCAT("albhed ", RIGHT("  " &amp; K925,2),", ", RIGHT("  " &amp; L925,2), ", " ,"""",H925,""", ", """",N925,""", ","""",O925,""""," ; ", A925))</f>
        <v>albhed 11, 10, "즈", "브", "재" ; 뱃</v>
      </c>
    </row>
    <row r="926" customFormat="false" ht="17.9" hidden="false" customHeight="true" outlineLevel="0" collapsed="false">
      <c r="A926" s="16" t="s">
        <v>1796</v>
      </c>
      <c r="B926" s="16" t="n">
        <f aca="false">IF(_xlfn.UNICODE(A926)&lt;44032,-1,_xlfn.UNICODE(A926)-44032)</f>
        <v>4164</v>
      </c>
      <c r="C926" s="16" t="n">
        <f aca="false">IF(B926=-1,-1,INT((B926/28)/21))</f>
        <v>7</v>
      </c>
      <c r="D926" s="16" t="n">
        <f aca="false">IF(B926=-1, -1, MOD(INT(B926/28),21))</f>
        <v>1</v>
      </c>
      <c r="E926" s="16" t="n">
        <f aca="false">IF(B926=-1, -1, VLOOKUP(MOD(B926,28), $T$24:$U$52,2))</f>
        <v>19</v>
      </c>
      <c r="F926" s="16" t="n">
        <f aca="false">IF($B926=-1, -1, VLOOKUP(C926,$T$1:$V$20, 2))</f>
        <v>12</v>
      </c>
      <c r="G926" s="16" t="n">
        <f aca="false">IF($B926=-1, -1, VLOOKUP(D926,$Y$1:$Z$22,2))</f>
        <v>18</v>
      </c>
      <c r="H926" s="16" t="str">
        <f aca="false">_xlfn.UNICHAR(((F926*21)+G926)*28+44032)</f>
        <v>즈</v>
      </c>
      <c r="I926" s="16" t="n">
        <f aca="false">IF(B926=-1, 1, COUNTIF($A$2:$A$3000, H926))</f>
        <v>1</v>
      </c>
      <c r="J926" s="10" t="str">
        <f aca="false">_xlfn.CONCAT(A926, ",",H926,",",I926)</f>
        <v>뱄,즈,1</v>
      </c>
      <c r="K926" s="16" t="n">
        <f aca="false">IF(B926=-1,-1,VLOOKUP(C926,$T$1:$V$20,3))</f>
        <v>11</v>
      </c>
      <c r="L926" s="16" t="n">
        <f aca="false">IF(B926=-1,-1,VLOOKUP(D926,$Y$1:$AA$22,3))</f>
        <v>10</v>
      </c>
      <c r="N926" s="10" t="str">
        <f aca="false">_xlfn.UNICHAR(((C926*21)+G926)*28+44032)</f>
        <v>브</v>
      </c>
      <c r="O926" s="10" t="str">
        <f aca="false">_xlfn.UNICHAR(((F926*21)+D926)*28+44032)</f>
        <v>재</v>
      </c>
      <c r="P926" s="12" t="n">
        <f aca="false">COUNTIF($A$2:$A$3000, N926) + COUNTIF($A$2:$A$3000, O926)</f>
        <v>2</v>
      </c>
      <c r="Q926" s="16" t="str">
        <f aca="false">IF(OR(B926=-1,I926=0, P926&lt;&gt;2), "albhed_dummy", _xlfn.CONCAT("albhed ", RIGHT("  " &amp; K926,2),", ", RIGHT("  " &amp; L926,2), ", " ,"""",H926,""", ", """",N926,""", ","""",O926,""""," ; ", A926))</f>
        <v>albhed 11, 10, "즈", "브", "재" ; 뱄</v>
      </c>
    </row>
    <row r="927" customFormat="false" ht="17.9" hidden="false" customHeight="true" outlineLevel="0" collapsed="false">
      <c r="A927" s="16" t="s">
        <v>1797</v>
      </c>
      <c r="B927" s="16" t="n">
        <f aca="false">IF(_xlfn.UNICODE(A927)&lt;44032,-1,_xlfn.UNICODE(A927)-44032)</f>
        <v>4165</v>
      </c>
      <c r="C927" s="16" t="n">
        <f aca="false">IF(B927=-1,-1,INT((B927/28)/21))</f>
        <v>7</v>
      </c>
      <c r="D927" s="16" t="n">
        <f aca="false">IF(B927=-1, -1, MOD(INT(B927/28),21))</f>
        <v>1</v>
      </c>
      <c r="E927" s="16" t="n">
        <f aca="false">IF(B927=-1, -1, VLOOKUP(MOD(B927,28), $T$24:$U$52,2))</f>
        <v>21</v>
      </c>
      <c r="F927" s="16" t="n">
        <f aca="false">IF($B927=-1, -1, VLOOKUP(C927,$T$1:$V$20, 2))</f>
        <v>12</v>
      </c>
      <c r="G927" s="16" t="n">
        <f aca="false">IF($B927=-1, -1, VLOOKUP(D927,$Y$1:$Z$22,2))</f>
        <v>18</v>
      </c>
      <c r="H927" s="16" t="str">
        <f aca="false">_xlfn.UNICHAR(((F927*21)+G927)*28+44032)</f>
        <v>즈</v>
      </c>
      <c r="I927" s="16" t="n">
        <f aca="false">IF(B927=-1, 1, COUNTIF($A$2:$A$3000, H927))</f>
        <v>1</v>
      </c>
      <c r="J927" s="10" t="str">
        <f aca="false">_xlfn.CONCAT(A927, ",",H927,",",I927)</f>
        <v>뱅,즈,1</v>
      </c>
      <c r="K927" s="16" t="n">
        <f aca="false">IF(B927=-1,-1,VLOOKUP(C927,$T$1:$V$20,3))</f>
        <v>11</v>
      </c>
      <c r="L927" s="16" t="n">
        <f aca="false">IF(B927=-1,-1,VLOOKUP(D927,$Y$1:$AA$22,3))</f>
        <v>10</v>
      </c>
      <c r="N927" s="10" t="str">
        <f aca="false">_xlfn.UNICHAR(((C927*21)+G927)*28+44032)</f>
        <v>브</v>
      </c>
      <c r="O927" s="10" t="str">
        <f aca="false">_xlfn.UNICHAR(((F927*21)+D927)*28+44032)</f>
        <v>재</v>
      </c>
      <c r="P927" s="12" t="n">
        <f aca="false">COUNTIF($A$2:$A$3000, N927) + COUNTIF($A$2:$A$3000, O927)</f>
        <v>2</v>
      </c>
      <c r="Q927" s="16" t="str">
        <f aca="false">IF(OR(B927=-1,I927=0, P927&lt;&gt;2), "albhed_dummy", _xlfn.CONCAT("albhed ", RIGHT("  " &amp; K927,2),", ", RIGHT("  " &amp; L927,2), ", " ,"""",H927,""", ", """",N927,""", ","""",O927,""""," ; ", A927))</f>
        <v>albhed 11, 10, "즈", "브", "재" ; 뱅</v>
      </c>
    </row>
    <row r="928" customFormat="false" ht="17.9" hidden="false" customHeight="true" outlineLevel="0" collapsed="false">
      <c r="A928" s="16" t="s">
        <v>1798</v>
      </c>
      <c r="B928" s="16" t="n">
        <f aca="false">IF(_xlfn.UNICODE(A928)&lt;44032,-1,_xlfn.UNICODE(A928)-44032)</f>
        <v>4169</v>
      </c>
      <c r="C928" s="16" t="n">
        <f aca="false">IF(B928=-1,-1,INT((B928/28)/21))</f>
        <v>7</v>
      </c>
      <c r="D928" s="16" t="n">
        <f aca="false">IF(B928=-1, -1, MOD(INT(B928/28),21))</f>
        <v>1</v>
      </c>
      <c r="E928" s="16" t="n">
        <f aca="false">IF(B928=-1, -1, VLOOKUP(MOD(B928,28), $T$24:$U$52,2))</f>
        <v>19</v>
      </c>
      <c r="F928" s="16" t="n">
        <f aca="false">IF($B928=-1, -1, VLOOKUP(C928,$T$1:$V$20, 2))</f>
        <v>12</v>
      </c>
      <c r="G928" s="16" t="n">
        <f aca="false">IF($B928=-1, -1, VLOOKUP(D928,$Y$1:$Z$22,2))</f>
        <v>18</v>
      </c>
      <c r="H928" s="16" t="str">
        <f aca="false">_xlfn.UNICHAR(((F928*21)+G928)*28+44032)</f>
        <v>즈</v>
      </c>
      <c r="I928" s="16" t="n">
        <f aca="false">IF(B928=-1, 1, COUNTIF($A$2:$A$3000, H928))</f>
        <v>1</v>
      </c>
      <c r="J928" s="10" t="str">
        <f aca="false">_xlfn.CONCAT(A928, ",",H928,",",I928)</f>
        <v>뱉,즈,1</v>
      </c>
      <c r="K928" s="16" t="n">
        <f aca="false">IF(B928=-1,-1,VLOOKUP(C928,$T$1:$V$20,3))</f>
        <v>11</v>
      </c>
      <c r="L928" s="16" t="n">
        <f aca="false">IF(B928=-1,-1,VLOOKUP(D928,$Y$1:$AA$22,3))</f>
        <v>10</v>
      </c>
      <c r="N928" s="10" t="str">
        <f aca="false">_xlfn.UNICHAR(((C928*21)+G928)*28+44032)</f>
        <v>브</v>
      </c>
      <c r="O928" s="10" t="str">
        <f aca="false">_xlfn.UNICHAR(((F928*21)+D928)*28+44032)</f>
        <v>재</v>
      </c>
      <c r="P928" s="12" t="n">
        <f aca="false">COUNTIF($A$2:$A$3000, N928) + COUNTIF($A$2:$A$3000, O928)</f>
        <v>2</v>
      </c>
      <c r="Q928" s="16" t="str">
        <f aca="false">IF(OR(B928=-1,I928=0, P928&lt;&gt;2), "albhed_dummy", _xlfn.CONCAT("albhed ", RIGHT("  " &amp; K928,2),", ", RIGHT("  " &amp; L928,2), ", " ,"""",H928,""", ", """",N928,""", ","""",O928,""""," ; ", A928))</f>
        <v>albhed 11, 10, "즈", "브", "재" ; 뱉</v>
      </c>
    </row>
    <row r="929" customFormat="false" ht="17.9" hidden="false" customHeight="true" outlineLevel="0" collapsed="false">
      <c r="A929" s="16" t="s">
        <v>1799</v>
      </c>
      <c r="B929" s="16" t="n">
        <f aca="false">IF(_xlfn.UNICODE(A929)&lt;44032,-1,_xlfn.UNICODE(A929)-44032)</f>
        <v>4172</v>
      </c>
      <c r="C929" s="16" t="n">
        <f aca="false">IF(B929=-1,-1,INT((B929/28)/21))</f>
        <v>7</v>
      </c>
      <c r="D929" s="16" t="n">
        <f aca="false">IF(B929=-1, -1, MOD(INT(B929/28),21))</f>
        <v>2</v>
      </c>
      <c r="E929" s="16" t="n">
        <f aca="false">IF(B929=-1, -1, VLOOKUP(MOD(B929,28), $T$24:$U$52,2))</f>
        <v>0</v>
      </c>
      <c r="F929" s="16" t="n">
        <f aca="false">IF($B929=-1, -1, VLOOKUP(C929,$T$1:$V$20, 2))</f>
        <v>12</v>
      </c>
      <c r="G929" s="16" t="n">
        <f aca="false">IF($B929=-1, -1, VLOOKUP(D929,$Y$1:$Z$22,2))</f>
        <v>17</v>
      </c>
      <c r="H929" s="16" t="str">
        <f aca="false">_xlfn.UNICHAR(((F929*21)+G929)*28+44032)</f>
        <v>쥬</v>
      </c>
      <c r="I929" s="16" t="n">
        <f aca="false">IF(B929=-1, 1, COUNTIF($A$2:$A$3000, H929))</f>
        <v>1</v>
      </c>
      <c r="J929" s="10" t="str">
        <f aca="false">_xlfn.CONCAT(A929, ",",H929,",",I929)</f>
        <v>뱌,쥬,1</v>
      </c>
      <c r="K929" s="16" t="n">
        <f aca="false">IF(B929=-1,-1,VLOOKUP(C929,$T$1:$V$20,3))</f>
        <v>11</v>
      </c>
      <c r="L929" s="16" t="n">
        <f aca="false">IF(B929=-1,-1,VLOOKUP(D929,$Y$1:$AA$22,3))</f>
        <v>2</v>
      </c>
      <c r="N929" s="10" t="str">
        <f aca="false">_xlfn.UNICHAR(((C929*21)+G929)*28+44032)</f>
        <v>뷰</v>
      </c>
      <c r="O929" s="10" t="str">
        <f aca="false">_xlfn.UNICHAR(((F929*21)+D929)*28+44032)</f>
        <v>쟈</v>
      </c>
      <c r="P929" s="12" t="n">
        <f aca="false">COUNTIF($A$2:$A$3000, N929) + COUNTIF($A$2:$A$3000, O929)</f>
        <v>2</v>
      </c>
      <c r="Q929" s="16" t="str">
        <f aca="false">IF(OR(B929=-1,I929=0, P929&lt;&gt;2), "albhed_dummy", _xlfn.CONCAT("albhed ", RIGHT("  " &amp; K929,2),", ", RIGHT("  " &amp; L929,2), ", " ,"""",H929,""", ", """",N929,""", ","""",O929,""""," ; ", A929))</f>
        <v>albhed 11,  2, "쥬", "뷰", "쟈" ; 뱌</v>
      </c>
    </row>
    <row r="930" customFormat="false" ht="17.9" hidden="false" customHeight="true" outlineLevel="0" collapsed="false">
      <c r="A930" s="16" t="s">
        <v>1800</v>
      </c>
      <c r="B930" s="16" t="n">
        <f aca="false">IF(_xlfn.UNICODE(A930)&lt;44032,-1,_xlfn.UNICODE(A930)-44032)</f>
        <v>4173</v>
      </c>
      <c r="C930" s="16" t="n">
        <f aca="false">IF(B930=-1,-1,INT((B930/28)/21))</f>
        <v>7</v>
      </c>
      <c r="D930" s="16" t="n">
        <f aca="false">IF(B930=-1, -1, MOD(INT(B930/28),21))</f>
        <v>2</v>
      </c>
      <c r="E930" s="16" t="n">
        <f aca="false">IF(B930=-1, -1, VLOOKUP(MOD(B930,28), $T$24:$U$52,2))</f>
        <v>1</v>
      </c>
      <c r="F930" s="16" t="n">
        <f aca="false">IF($B930=-1, -1, VLOOKUP(C930,$T$1:$V$20, 2))</f>
        <v>12</v>
      </c>
      <c r="G930" s="16" t="n">
        <f aca="false">IF($B930=-1, -1, VLOOKUP(D930,$Y$1:$Z$22,2))</f>
        <v>17</v>
      </c>
      <c r="H930" s="16" t="str">
        <f aca="false">_xlfn.UNICHAR(((F930*21)+G930)*28+44032)</f>
        <v>쥬</v>
      </c>
      <c r="I930" s="16" t="n">
        <f aca="false">IF(B930=-1, 1, COUNTIF($A$2:$A$3000, H930))</f>
        <v>1</v>
      </c>
      <c r="J930" s="10" t="str">
        <f aca="false">_xlfn.CONCAT(A930, ",",H930,",",I930)</f>
        <v>뱍,쥬,1</v>
      </c>
      <c r="K930" s="16" t="n">
        <f aca="false">IF(B930=-1,-1,VLOOKUP(C930,$T$1:$V$20,3))</f>
        <v>11</v>
      </c>
      <c r="L930" s="16" t="n">
        <f aca="false">IF(B930=-1,-1,VLOOKUP(D930,$Y$1:$AA$22,3))</f>
        <v>2</v>
      </c>
      <c r="N930" s="10" t="str">
        <f aca="false">_xlfn.UNICHAR(((C930*21)+G930)*28+44032)</f>
        <v>뷰</v>
      </c>
      <c r="O930" s="10" t="str">
        <f aca="false">_xlfn.UNICHAR(((F930*21)+D930)*28+44032)</f>
        <v>쟈</v>
      </c>
      <c r="P930" s="12" t="n">
        <f aca="false">COUNTIF($A$2:$A$3000, N930) + COUNTIF($A$2:$A$3000, O930)</f>
        <v>2</v>
      </c>
      <c r="Q930" s="16" t="str">
        <f aca="false">IF(OR(B930=-1,I930=0, P930&lt;&gt;2), "albhed_dummy", _xlfn.CONCAT("albhed ", RIGHT("  " &amp; K930,2),", ", RIGHT("  " &amp; L930,2), ", " ,"""",H930,""", ", """",N930,""", ","""",O930,""""," ; ", A930))</f>
        <v>albhed 11,  2, "쥬", "뷰", "쟈" ; 뱍</v>
      </c>
    </row>
    <row r="931" customFormat="false" ht="17.9" hidden="false" customHeight="true" outlineLevel="0" collapsed="false">
      <c r="A931" s="16" t="s">
        <v>1801</v>
      </c>
      <c r="B931" s="16" t="n">
        <f aca="false">IF(_xlfn.UNICODE(A931)&lt;44032,-1,_xlfn.UNICODE(A931)-44032)</f>
        <v>4176</v>
      </c>
      <c r="C931" s="16" t="n">
        <f aca="false">IF(B931=-1,-1,INT((B931/28)/21))</f>
        <v>7</v>
      </c>
      <c r="D931" s="16" t="n">
        <f aca="false">IF(B931=-1, -1, MOD(INT(B931/28),21))</f>
        <v>2</v>
      </c>
      <c r="E931" s="16" t="n">
        <f aca="false">IF(B931=-1, -1, VLOOKUP(MOD(B931,28), $T$24:$U$52,2))</f>
        <v>4</v>
      </c>
      <c r="F931" s="16" t="n">
        <f aca="false">IF($B931=-1, -1, VLOOKUP(C931,$T$1:$V$20, 2))</f>
        <v>12</v>
      </c>
      <c r="G931" s="16" t="n">
        <f aca="false">IF($B931=-1, -1, VLOOKUP(D931,$Y$1:$Z$22,2))</f>
        <v>17</v>
      </c>
      <c r="H931" s="16" t="str">
        <f aca="false">_xlfn.UNICHAR(((F931*21)+G931)*28+44032)</f>
        <v>쥬</v>
      </c>
      <c r="I931" s="16" t="n">
        <f aca="false">IF(B931=-1, 1, COUNTIF($A$2:$A$3000, H931))</f>
        <v>1</v>
      </c>
      <c r="J931" s="10" t="str">
        <f aca="false">_xlfn.CONCAT(A931, ",",H931,",",I931)</f>
        <v>뱐,쥬,1</v>
      </c>
      <c r="K931" s="16" t="n">
        <f aca="false">IF(B931=-1,-1,VLOOKUP(C931,$T$1:$V$20,3))</f>
        <v>11</v>
      </c>
      <c r="L931" s="16" t="n">
        <f aca="false">IF(B931=-1,-1,VLOOKUP(D931,$Y$1:$AA$22,3))</f>
        <v>2</v>
      </c>
      <c r="N931" s="10" t="str">
        <f aca="false">_xlfn.UNICHAR(((C931*21)+G931)*28+44032)</f>
        <v>뷰</v>
      </c>
      <c r="O931" s="10" t="str">
        <f aca="false">_xlfn.UNICHAR(((F931*21)+D931)*28+44032)</f>
        <v>쟈</v>
      </c>
      <c r="P931" s="12" t="n">
        <f aca="false">COUNTIF($A$2:$A$3000, N931) + COUNTIF($A$2:$A$3000, O931)</f>
        <v>2</v>
      </c>
      <c r="Q931" s="16" t="str">
        <f aca="false">IF(OR(B931=-1,I931=0, P931&lt;&gt;2), "albhed_dummy", _xlfn.CONCAT("albhed ", RIGHT("  " &amp; K931,2),", ", RIGHT("  " &amp; L931,2), ", " ,"""",H931,""", ", """",N931,""", ","""",O931,""""," ; ", A931))</f>
        <v>albhed 11,  2, "쥬", "뷰", "쟈" ; 뱐</v>
      </c>
    </row>
    <row r="932" customFormat="false" ht="17.9" hidden="false" customHeight="true" outlineLevel="0" collapsed="false">
      <c r="A932" s="16" t="s">
        <v>1802</v>
      </c>
      <c r="B932" s="16" t="n">
        <f aca="false">IF(_xlfn.UNICODE(A932)&lt;44032,-1,_xlfn.UNICODE(A932)-44032)</f>
        <v>4189</v>
      </c>
      <c r="C932" s="16" t="n">
        <f aca="false">IF(B932=-1,-1,INT((B932/28)/21))</f>
        <v>7</v>
      </c>
      <c r="D932" s="16" t="n">
        <f aca="false">IF(B932=-1, -1, MOD(INT(B932/28),21))</f>
        <v>2</v>
      </c>
      <c r="E932" s="16" t="n">
        <f aca="false">IF(B932=-1, -1, VLOOKUP(MOD(B932,28), $T$24:$U$52,2))</f>
        <v>17</v>
      </c>
      <c r="F932" s="16" t="n">
        <f aca="false">IF($B932=-1, -1, VLOOKUP(C932,$T$1:$V$20, 2))</f>
        <v>12</v>
      </c>
      <c r="G932" s="16" t="n">
        <f aca="false">IF($B932=-1, -1, VLOOKUP(D932,$Y$1:$Z$22,2))</f>
        <v>17</v>
      </c>
      <c r="H932" s="16" t="str">
        <f aca="false">_xlfn.UNICHAR(((F932*21)+G932)*28+44032)</f>
        <v>쥬</v>
      </c>
      <c r="I932" s="16" t="n">
        <f aca="false">IF(B932=-1, 1, COUNTIF($A$2:$A$3000, H932))</f>
        <v>1</v>
      </c>
      <c r="J932" s="10" t="str">
        <f aca="false">_xlfn.CONCAT(A932, ",",H932,",",I932)</f>
        <v>뱝,쥬,1</v>
      </c>
      <c r="K932" s="16" t="n">
        <f aca="false">IF(B932=-1,-1,VLOOKUP(C932,$T$1:$V$20,3))</f>
        <v>11</v>
      </c>
      <c r="L932" s="16" t="n">
        <f aca="false">IF(B932=-1,-1,VLOOKUP(D932,$Y$1:$AA$22,3))</f>
        <v>2</v>
      </c>
      <c r="N932" s="10" t="str">
        <f aca="false">_xlfn.UNICHAR(((C932*21)+G932)*28+44032)</f>
        <v>뷰</v>
      </c>
      <c r="O932" s="10" t="str">
        <f aca="false">_xlfn.UNICHAR(((F932*21)+D932)*28+44032)</f>
        <v>쟈</v>
      </c>
      <c r="P932" s="12" t="n">
        <f aca="false">COUNTIF($A$2:$A$3000, N932) + COUNTIF($A$2:$A$3000, O932)</f>
        <v>2</v>
      </c>
      <c r="Q932" s="16" t="str">
        <f aca="false">IF(OR(B932=-1,I932=0, P932&lt;&gt;2), "albhed_dummy", _xlfn.CONCAT("albhed ", RIGHT("  " &amp; K932,2),", ", RIGHT("  " &amp; L932,2), ", " ,"""",H932,""", ", """",N932,""", ","""",O932,""""," ; ", A932))</f>
        <v>albhed 11,  2, "쥬", "뷰", "쟈" ; 뱝</v>
      </c>
    </row>
    <row r="933" customFormat="false" ht="17.9" hidden="false" customHeight="true" outlineLevel="0" collapsed="false">
      <c r="A933" s="16" t="s">
        <v>1803</v>
      </c>
      <c r="B933" s="16" t="n">
        <f aca="false">IF(_xlfn.UNICODE(A933)&lt;44032,-1,_xlfn.UNICODE(A933)-44032)</f>
        <v>4228</v>
      </c>
      <c r="C933" s="16" t="n">
        <f aca="false">IF(B933=-1,-1,INT((B933/28)/21))</f>
        <v>7</v>
      </c>
      <c r="D933" s="16" t="n">
        <f aca="false">IF(B933=-1, -1, MOD(INT(B933/28),21))</f>
        <v>4</v>
      </c>
      <c r="E933" s="16" t="n">
        <f aca="false">IF(B933=-1, -1, VLOOKUP(MOD(B933,28), $T$24:$U$52,2))</f>
        <v>0</v>
      </c>
      <c r="F933" s="16" t="n">
        <f aca="false">IF($B933=-1, -1, VLOOKUP(C933,$T$1:$V$20, 2))</f>
        <v>12</v>
      </c>
      <c r="G933" s="16" t="n">
        <f aca="false">IF($B933=-1, -1, VLOOKUP(D933,$Y$1:$Z$22,2))</f>
        <v>8</v>
      </c>
      <c r="H933" s="16" t="str">
        <f aca="false">_xlfn.UNICHAR(((F933*21)+G933)*28+44032)</f>
        <v>조</v>
      </c>
      <c r="I933" s="16" t="n">
        <f aca="false">IF(B933=-1, 1, COUNTIF($A$2:$A$3000, H933))</f>
        <v>1</v>
      </c>
      <c r="J933" s="10" t="str">
        <f aca="false">_xlfn.CONCAT(A933, ",",H933,",",I933)</f>
        <v>버,조,1</v>
      </c>
      <c r="K933" s="16" t="n">
        <f aca="false">IF(B933=-1,-1,VLOOKUP(C933,$T$1:$V$20,3))</f>
        <v>11</v>
      </c>
      <c r="L933" s="16" t="n">
        <f aca="false">IF(B933=-1,-1,VLOOKUP(D933,$Y$1:$AA$22,3))</f>
        <v>4</v>
      </c>
      <c r="N933" s="10" t="str">
        <f aca="false">_xlfn.UNICHAR(((C933*21)+G933)*28+44032)</f>
        <v>보</v>
      </c>
      <c r="O933" s="10" t="str">
        <f aca="false">_xlfn.UNICHAR(((F933*21)+D933)*28+44032)</f>
        <v>저</v>
      </c>
      <c r="P933" s="12" t="n">
        <f aca="false">COUNTIF($A$2:$A$3000, N933) + COUNTIF($A$2:$A$3000, O933)</f>
        <v>2</v>
      </c>
      <c r="Q933" s="16" t="str">
        <f aca="false">IF(OR(B933=-1,I933=0, P933&lt;&gt;2), "albhed_dummy", _xlfn.CONCAT("albhed ", RIGHT("  " &amp; K933,2),", ", RIGHT("  " &amp; L933,2), ", " ,"""",H933,""", ", """",N933,""", ","""",O933,""""," ; ", A933))</f>
        <v>albhed 11,  4, "조", "보", "저" ; 버</v>
      </c>
    </row>
    <row r="934" customFormat="false" ht="17.9" hidden="false" customHeight="true" outlineLevel="0" collapsed="false">
      <c r="A934" s="16" t="s">
        <v>1804</v>
      </c>
      <c r="B934" s="16" t="n">
        <f aca="false">IF(_xlfn.UNICODE(A934)&lt;44032,-1,_xlfn.UNICODE(A934)-44032)</f>
        <v>4229</v>
      </c>
      <c r="C934" s="16" t="n">
        <f aca="false">IF(B934=-1,-1,INT((B934/28)/21))</f>
        <v>7</v>
      </c>
      <c r="D934" s="16" t="n">
        <f aca="false">IF(B934=-1, -1, MOD(INT(B934/28),21))</f>
        <v>4</v>
      </c>
      <c r="E934" s="16" t="n">
        <f aca="false">IF(B934=-1, -1, VLOOKUP(MOD(B934,28), $T$24:$U$52,2))</f>
        <v>1</v>
      </c>
      <c r="F934" s="16" t="n">
        <f aca="false">IF($B934=-1, -1, VLOOKUP(C934,$T$1:$V$20, 2))</f>
        <v>12</v>
      </c>
      <c r="G934" s="16" t="n">
        <f aca="false">IF($B934=-1, -1, VLOOKUP(D934,$Y$1:$Z$22,2))</f>
        <v>8</v>
      </c>
      <c r="H934" s="16" t="str">
        <f aca="false">_xlfn.UNICHAR(((F934*21)+G934)*28+44032)</f>
        <v>조</v>
      </c>
      <c r="I934" s="16" t="n">
        <f aca="false">IF(B934=-1, 1, COUNTIF($A$2:$A$3000, H934))</f>
        <v>1</v>
      </c>
      <c r="J934" s="10" t="str">
        <f aca="false">_xlfn.CONCAT(A934, ",",H934,",",I934)</f>
        <v>벅,조,1</v>
      </c>
      <c r="K934" s="16" t="n">
        <f aca="false">IF(B934=-1,-1,VLOOKUP(C934,$T$1:$V$20,3))</f>
        <v>11</v>
      </c>
      <c r="L934" s="16" t="n">
        <f aca="false">IF(B934=-1,-1,VLOOKUP(D934,$Y$1:$AA$22,3))</f>
        <v>4</v>
      </c>
      <c r="N934" s="10" t="str">
        <f aca="false">_xlfn.UNICHAR(((C934*21)+G934)*28+44032)</f>
        <v>보</v>
      </c>
      <c r="O934" s="10" t="str">
        <f aca="false">_xlfn.UNICHAR(((F934*21)+D934)*28+44032)</f>
        <v>저</v>
      </c>
      <c r="P934" s="12" t="n">
        <f aca="false">COUNTIF($A$2:$A$3000, N934) + COUNTIF($A$2:$A$3000, O934)</f>
        <v>2</v>
      </c>
      <c r="Q934" s="16" t="str">
        <f aca="false">IF(OR(B934=-1,I934=0, P934&lt;&gt;2), "albhed_dummy", _xlfn.CONCAT("albhed ", RIGHT("  " &amp; K934,2),", ", RIGHT("  " &amp; L934,2), ", " ,"""",H934,""", ", """",N934,""", ","""",O934,""""," ; ", A934))</f>
        <v>albhed 11,  4, "조", "보", "저" ; 벅</v>
      </c>
    </row>
    <row r="935" customFormat="false" ht="17.9" hidden="false" customHeight="true" outlineLevel="0" collapsed="false">
      <c r="A935" s="16" t="s">
        <v>1805</v>
      </c>
      <c r="B935" s="16" t="n">
        <f aca="false">IF(_xlfn.UNICODE(A935)&lt;44032,-1,_xlfn.UNICODE(A935)-44032)</f>
        <v>4232</v>
      </c>
      <c r="C935" s="16" t="n">
        <f aca="false">IF(B935=-1,-1,INT((B935/28)/21))</f>
        <v>7</v>
      </c>
      <c r="D935" s="16" t="n">
        <f aca="false">IF(B935=-1, -1, MOD(INT(B935/28),21))</f>
        <v>4</v>
      </c>
      <c r="E935" s="16" t="n">
        <f aca="false">IF(B935=-1, -1, VLOOKUP(MOD(B935,28), $T$24:$U$52,2))</f>
        <v>4</v>
      </c>
      <c r="F935" s="16" t="n">
        <f aca="false">IF($B935=-1, -1, VLOOKUP(C935,$T$1:$V$20, 2))</f>
        <v>12</v>
      </c>
      <c r="G935" s="16" t="n">
        <f aca="false">IF($B935=-1, -1, VLOOKUP(D935,$Y$1:$Z$22,2))</f>
        <v>8</v>
      </c>
      <c r="H935" s="16" t="str">
        <f aca="false">_xlfn.UNICHAR(((F935*21)+G935)*28+44032)</f>
        <v>조</v>
      </c>
      <c r="I935" s="16" t="n">
        <f aca="false">IF(B935=-1, 1, COUNTIF($A$2:$A$3000, H935))</f>
        <v>1</v>
      </c>
      <c r="J935" s="10" t="str">
        <f aca="false">_xlfn.CONCAT(A935, ",",H935,",",I935)</f>
        <v>번,조,1</v>
      </c>
      <c r="K935" s="16" t="n">
        <f aca="false">IF(B935=-1,-1,VLOOKUP(C935,$T$1:$V$20,3))</f>
        <v>11</v>
      </c>
      <c r="L935" s="16" t="n">
        <f aca="false">IF(B935=-1,-1,VLOOKUP(D935,$Y$1:$AA$22,3))</f>
        <v>4</v>
      </c>
      <c r="N935" s="10" t="str">
        <f aca="false">_xlfn.UNICHAR(((C935*21)+G935)*28+44032)</f>
        <v>보</v>
      </c>
      <c r="O935" s="10" t="str">
        <f aca="false">_xlfn.UNICHAR(((F935*21)+D935)*28+44032)</f>
        <v>저</v>
      </c>
      <c r="P935" s="12" t="n">
        <f aca="false">COUNTIF($A$2:$A$3000, N935) + COUNTIF($A$2:$A$3000, O935)</f>
        <v>2</v>
      </c>
      <c r="Q935" s="16" t="str">
        <f aca="false">IF(OR(B935=-1,I935=0, P935&lt;&gt;2), "albhed_dummy", _xlfn.CONCAT("albhed ", RIGHT("  " &amp; K935,2),", ", RIGHT("  " &amp; L935,2), ", " ,"""",H935,""", ", """",N935,""", ","""",O935,""""," ; ", A935))</f>
        <v>albhed 11,  4, "조", "보", "저" ; 번</v>
      </c>
    </row>
    <row r="936" customFormat="false" ht="17.9" hidden="false" customHeight="true" outlineLevel="0" collapsed="false">
      <c r="A936" s="16" t="s">
        <v>1806</v>
      </c>
      <c r="B936" s="16" t="n">
        <f aca="false">IF(_xlfn.UNICODE(A936)&lt;44032,-1,_xlfn.UNICODE(A936)-44032)</f>
        <v>4235</v>
      </c>
      <c r="C936" s="16" t="n">
        <f aca="false">IF(B936=-1,-1,INT((B936/28)/21))</f>
        <v>7</v>
      </c>
      <c r="D936" s="16" t="n">
        <f aca="false">IF(B936=-1, -1, MOD(INT(B936/28),21))</f>
        <v>4</v>
      </c>
      <c r="E936" s="16" t="n">
        <f aca="false">IF(B936=-1, -1, VLOOKUP(MOD(B936,28), $T$24:$U$52,2))</f>
        <v>19</v>
      </c>
      <c r="F936" s="16" t="n">
        <f aca="false">IF($B936=-1, -1, VLOOKUP(C936,$T$1:$V$20, 2))</f>
        <v>12</v>
      </c>
      <c r="G936" s="16" t="n">
        <f aca="false">IF($B936=-1, -1, VLOOKUP(D936,$Y$1:$Z$22,2))</f>
        <v>8</v>
      </c>
      <c r="H936" s="16" t="str">
        <f aca="false">_xlfn.UNICHAR(((F936*21)+G936)*28+44032)</f>
        <v>조</v>
      </c>
      <c r="I936" s="16" t="n">
        <f aca="false">IF(B936=-1, 1, COUNTIF($A$2:$A$3000, H936))</f>
        <v>1</v>
      </c>
      <c r="J936" s="10" t="str">
        <f aca="false">_xlfn.CONCAT(A936, ",",H936,",",I936)</f>
        <v>벋,조,1</v>
      </c>
      <c r="K936" s="16" t="n">
        <f aca="false">IF(B936=-1,-1,VLOOKUP(C936,$T$1:$V$20,3))</f>
        <v>11</v>
      </c>
      <c r="L936" s="16" t="n">
        <f aca="false">IF(B936=-1,-1,VLOOKUP(D936,$Y$1:$AA$22,3))</f>
        <v>4</v>
      </c>
      <c r="N936" s="10" t="str">
        <f aca="false">_xlfn.UNICHAR(((C936*21)+G936)*28+44032)</f>
        <v>보</v>
      </c>
      <c r="O936" s="10" t="str">
        <f aca="false">_xlfn.UNICHAR(((F936*21)+D936)*28+44032)</f>
        <v>저</v>
      </c>
      <c r="P936" s="12" t="n">
        <f aca="false">COUNTIF($A$2:$A$3000, N936) + COUNTIF($A$2:$A$3000, O936)</f>
        <v>2</v>
      </c>
      <c r="Q936" s="16" t="str">
        <f aca="false">IF(OR(B936=-1,I936=0, P936&lt;&gt;2), "albhed_dummy", _xlfn.CONCAT("albhed ", RIGHT("  " &amp; K936,2),", ", RIGHT("  " &amp; L936,2), ", " ,"""",H936,""", ", """",N936,""", ","""",O936,""""," ; ", A936))</f>
        <v>albhed 11,  4, "조", "보", "저" ; 벋</v>
      </c>
    </row>
    <row r="937" customFormat="false" ht="17.9" hidden="false" customHeight="true" outlineLevel="0" collapsed="false">
      <c r="A937" s="16" t="s">
        <v>1807</v>
      </c>
      <c r="B937" s="16" t="n">
        <f aca="false">IF(_xlfn.UNICODE(A937)&lt;44032,-1,_xlfn.UNICODE(A937)-44032)</f>
        <v>4236</v>
      </c>
      <c r="C937" s="16" t="n">
        <f aca="false">IF(B937=-1,-1,INT((B937/28)/21))</f>
        <v>7</v>
      </c>
      <c r="D937" s="16" t="n">
        <f aca="false">IF(B937=-1, -1, MOD(INT(B937/28),21))</f>
        <v>4</v>
      </c>
      <c r="E937" s="16" t="n">
        <f aca="false">IF(B937=-1, -1, VLOOKUP(MOD(B937,28), $T$24:$U$52,2))</f>
        <v>8</v>
      </c>
      <c r="F937" s="16" t="n">
        <f aca="false">IF($B937=-1, -1, VLOOKUP(C937,$T$1:$V$20, 2))</f>
        <v>12</v>
      </c>
      <c r="G937" s="16" t="n">
        <f aca="false">IF($B937=-1, -1, VLOOKUP(D937,$Y$1:$Z$22,2))</f>
        <v>8</v>
      </c>
      <c r="H937" s="16" t="str">
        <f aca="false">_xlfn.UNICHAR(((F937*21)+G937)*28+44032)</f>
        <v>조</v>
      </c>
      <c r="I937" s="16" t="n">
        <f aca="false">IF(B937=-1, 1, COUNTIF($A$2:$A$3000, H937))</f>
        <v>1</v>
      </c>
      <c r="J937" s="10" t="str">
        <f aca="false">_xlfn.CONCAT(A937, ",",H937,",",I937)</f>
        <v>벌,조,1</v>
      </c>
      <c r="K937" s="16" t="n">
        <f aca="false">IF(B937=-1,-1,VLOOKUP(C937,$T$1:$V$20,3))</f>
        <v>11</v>
      </c>
      <c r="L937" s="16" t="n">
        <f aca="false">IF(B937=-1,-1,VLOOKUP(D937,$Y$1:$AA$22,3))</f>
        <v>4</v>
      </c>
      <c r="N937" s="10" t="str">
        <f aca="false">_xlfn.UNICHAR(((C937*21)+G937)*28+44032)</f>
        <v>보</v>
      </c>
      <c r="O937" s="10" t="str">
        <f aca="false">_xlfn.UNICHAR(((F937*21)+D937)*28+44032)</f>
        <v>저</v>
      </c>
      <c r="P937" s="12" t="n">
        <f aca="false">COUNTIF($A$2:$A$3000, N937) + COUNTIF($A$2:$A$3000, O937)</f>
        <v>2</v>
      </c>
      <c r="Q937" s="16" t="str">
        <f aca="false">IF(OR(B937=-1,I937=0, P937&lt;&gt;2), "albhed_dummy", _xlfn.CONCAT("albhed ", RIGHT("  " &amp; K937,2),", ", RIGHT("  " &amp; L937,2), ", " ,"""",H937,""", ", """",N937,""", ","""",O937,""""," ; ", A937))</f>
        <v>albhed 11,  4, "조", "보", "저" ; 벌</v>
      </c>
    </row>
    <row r="938" customFormat="false" ht="17.9" hidden="false" customHeight="true" outlineLevel="0" collapsed="false">
      <c r="A938" s="16" t="s">
        <v>1808</v>
      </c>
      <c r="B938" s="16" t="n">
        <f aca="false">IF(_xlfn.UNICODE(A938)&lt;44032,-1,_xlfn.UNICODE(A938)-44032)</f>
        <v>4238</v>
      </c>
      <c r="C938" s="16" t="n">
        <f aca="false">IF(B938=-1,-1,INT((B938/28)/21))</f>
        <v>7</v>
      </c>
      <c r="D938" s="16" t="n">
        <f aca="false">IF(B938=-1, -1, MOD(INT(B938/28),21))</f>
        <v>4</v>
      </c>
      <c r="E938" s="16" t="n">
        <f aca="false">IF(B938=-1, -1, VLOOKUP(MOD(B938,28), $T$24:$U$52,2))</f>
        <v>8</v>
      </c>
      <c r="F938" s="16" t="n">
        <f aca="false">IF($B938=-1, -1, VLOOKUP(C938,$T$1:$V$20, 2))</f>
        <v>12</v>
      </c>
      <c r="G938" s="16" t="n">
        <f aca="false">IF($B938=-1, -1, VLOOKUP(D938,$Y$1:$Z$22,2))</f>
        <v>8</v>
      </c>
      <c r="H938" s="16" t="str">
        <f aca="false">_xlfn.UNICHAR(((F938*21)+G938)*28+44032)</f>
        <v>조</v>
      </c>
      <c r="I938" s="16" t="n">
        <f aca="false">IF(B938=-1, 1, COUNTIF($A$2:$A$3000, H938))</f>
        <v>1</v>
      </c>
      <c r="J938" s="10" t="str">
        <f aca="false">_xlfn.CONCAT(A938, ",",H938,",",I938)</f>
        <v>벎,조,1</v>
      </c>
      <c r="K938" s="16" t="n">
        <f aca="false">IF(B938=-1,-1,VLOOKUP(C938,$T$1:$V$20,3))</f>
        <v>11</v>
      </c>
      <c r="L938" s="16" t="n">
        <f aca="false">IF(B938=-1,-1,VLOOKUP(D938,$Y$1:$AA$22,3))</f>
        <v>4</v>
      </c>
      <c r="N938" s="10" t="str">
        <f aca="false">_xlfn.UNICHAR(((C938*21)+G938)*28+44032)</f>
        <v>보</v>
      </c>
      <c r="O938" s="10" t="str">
        <f aca="false">_xlfn.UNICHAR(((F938*21)+D938)*28+44032)</f>
        <v>저</v>
      </c>
      <c r="P938" s="12" t="n">
        <f aca="false">COUNTIF($A$2:$A$3000, N938) + COUNTIF($A$2:$A$3000, O938)</f>
        <v>2</v>
      </c>
      <c r="Q938" s="16" t="str">
        <f aca="false">IF(OR(B938=-1,I938=0, P938&lt;&gt;2), "albhed_dummy", _xlfn.CONCAT("albhed ", RIGHT("  " &amp; K938,2),", ", RIGHT("  " &amp; L938,2), ", " ,"""",H938,""", ", """",N938,""", ","""",O938,""""," ; ", A938))</f>
        <v>albhed 11,  4, "조", "보", "저" ; 벎</v>
      </c>
    </row>
    <row r="939" customFormat="false" ht="17.9" hidden="false" customHeight="true" outlineLevel="0" collapsed="false">
      <c r="A939" s="16" t="s">
        <v>1809</v>
      </c>
      <c r="B939" s="16" t="n">
        <f aca="false">IF(_xlfn.UNICODE(A939)&lt;44032,-1,_xlfn.UNICODE(A939)-44032)</f>
        <v>4244</v>
      </c>
      <c r="C939" s="16" t="n">
        <f aca="false">IF(B939=-1,-1,INT((B939/28)/21))</f>
        <v>7</v>
      </c>
      <c r="D939" s="16" t="n">
        <f aca="false">IF(B939=-1, -1, MOD(INT(B939/28),21))</f>
        <v>4</v>
      </c>
      <c r="E939" s="16" t="n">
        <f aca="false">IF(B939=-1, -1, VLOOKUP(MOD(B939,28), $T$24:$U$52,2))</f>
        <v>16</v>
      </c>
      <c r="F939" s="16" t="n">
        <f aca="false">IF($B939=-1, -1, VLOOKUP(C939,$T$1:$V$20, 2))</f>
        <v>12</v>
      </c>
      <c r="G939" s="16" t="n">
        <f aca="false">IF($B939=-1, -1, VLOOKUP(D939,$Y$1:$Z$22,2))</f>
        <v>8</v>
      </c>
      <c r="H939" s="16" t="str">
        <f aca="false">_xlfn.UNICHAR(((F939*21)+G939)*28+44032)</f>
        <v>조</v>
      </c>
      <c r="I939" s="16" t="n">
        <f aca="false">IF(B939=-1, 1, COUNTIF($A$2:$A$3000, H939))</f>
        <v>1</v>
      </c>
      <c r="J939" s="10" t="str">
        <f aca="false">_xlfn.CONCAT(A939, ",",H939,",",I939)</f>
        <v>범,조,1</v>
      </c>
      <c r="K939" s="16" t="n">
        <f aca="false">IF(B939=-1,-1,VLOOKUP(C939,$T$1:$V$20,3))</f>
        <v>11</v>
      </c>
      <c r="L939" s="16" t="n">
        <f aca="false">IF(B939=-1,-1,VLOOKUP(D939,$Y$1:$AA$22,3))</f>
        <v>4</v>
      </c>
      <c r="N939" s="10" t="str">
        <f aca="false">_xlfn.UNICHAR(((C939*21)+G939)*28+44032)</f>
        <v>보</v>
      </c>
      <c r="O939" s="10" t="str">
        <f aca="false">_xlfn.UNICHAR(((F939*21)+D939)*28+44032)</f>
        <v>저</v>
      </c>
      <c r="P939" s="12" t="n">
        <f aca="false">COUNTIF($A$2:$A$3000, N939) + COUNTIF($A$2:$A$3000, O939)</f>
        <v>2</v>
      </c>
      <c r="Q939" s="16" t="str">
        <f aca="false">IF(OR(B939=-1,I939=0, P939&lt;&gt;2), "albhed_dummy", _xlfn.CONCAT("albhed ", RIGHT("  " &amp; K939,2),", ", RIGHT("  " &amp; L939,2), ", " ,"""",H939,""", ", """",N939,""", ","""",O939,""""," ; ", A939))</f>
        <v>albhed 11,  4, "조", "보", "저" ; 범</v>
      </c>
    </row>
    <row r="940" customFormat="false" ht="17.9" hidden="false" customHeight="true" outlineLevel="0" collapsed="false">
      <c r="A940" s="16" t="s">
        <v>1810</v>
      </c>
      <c r="B940" s="16" t="n">
        <f aca="false">IF(_xlfn.UNICODE(A940)&lt;44032,-1,_xlfn.UNICODE(A940)-44032)</f>
        <v>4245</v>
      </c>
      <c r="C940" s="16" t="n">
        <f aca="false">IF(B940=-1,-1,INT((B940/28)/21))</f>
        <v>7</v>
      </c>
      <c r="D940" s="16" t="n">
        <f aca="false">IF(B940=-1, -1, MOD(INT(B940/28),21))</f>
        <v>4</v>
      </c>
      <c r="E940" s="16" t="n">
        <f aca="false">IF(B940=-1, -1, VLOOKUP(MOD(B940,28), $T$24:$U$52,2))</f>
        <v>17</v>
      </c>
      <c r="F940" s="16" t="n">
        <f aca="false">IF($B940=-1, -1, VLOOKUP(C940,$T$1:$V$20, 2))</f>
        <v>12</v>
      </c>
      <c r="G940" s="16" t="n">
        <f aca="false">IF($B940=-1, -1, VLOOKUP(D940,$Y$1:$Z$22,2))</f>
        <v>8</v>
      </c>
      <c r="H940" s="16" t="str">
        <f aca="false">_xlfn.UNICHAR(((F940*21)+G940)*28+44032)</f>
        <v>조</v>
      </c>
      <c r="I940" s="16" t="n">
        <f aca="false">IF(B940=-1, 1, COUNTIF($A$2:$A$3000, H940))</f>
        <v>1</v>
      </c>
      <c r="J940" s="10" t="str">
        <f aca="false">_xlfn.CONCAT(A940, ",",H940,",",I940)</f>
        <v>법,조,1</v>
      </c>
      <c r="K940" s="16" t="n">
        <f aca="false">IF(B940=-1,-1,VLOOKUP(C940,$T$1:$V$20,3))</f>
        <v>11</v>
      </c>
      <c r="L940" s="16" t="n">
        <f aca="false">IF(B940=-1,-1,VLOOKUP(D940,$Y$1:$AA$22,3))</f>
        <v>4</v>
      </c>
      <c r="N940" s="10" t="str">
        <f aca="false">_xlfn.UNICHAR(((C940*21)+G940)*28+44032)</f>
        <v>보</v>
      </c>
      <c r="O940" s="10" t="str">
        <f aca="false">_xlfn.UNICHAR(((F940*21)+D940)*28+44032)</f>
        <v>저</v>
      </c>
      <c r="P940" s="12" t="n">
        <f aca="false">COUNTIF($A$2:$A$3000, N940) + COUNTIF($A$2:$A$3000, O940)</f>
        <v>2</v>
      </c>
      <c r="Q940" s="16" t="str">
        <f aca="false">IF(OR(B940=-1,I940=0, P940&lt;&gt;2), "albhed_dummy", _xlfn.CONCAT("albhed ", RIGHT("  " &amp; K940,2),", ", RIGHT("  " &amp; L940,2), ", " ,"""",H940,""", ", """",N940,""", ","""",O940,""""," ; ", A940))</f>
        <v>albhed 11,  4, "조", "보", "저" ; 법</v>
      </c>
    </row>
    <row r="941" customFormat="false" ht="17.9" hidden="false" customHeight="true" outlineLevel="0" collapsed="false">
      <c r="A941" s="16" t="s">
        <v>1811</v>
      </c>
      <c r="B941" s="16" t="n">
        <f aca="false">IF(_xlfn.UNICODE(A941)&lt;44032,-1,_xlfn.UNICODE(A941)-44032)</f>
        <v>4247</v>
      </c>
      <c r="C941" s="16" t="n">
        <f aca="false">IF(B941=-1,-1,INT((B941/28)/21))</f>
        <v>7</v>
      </c>
      <c r="D941" s="16" t="n">
        <f aca="false">IF(B941=-1, -1, MOD(INT(B941/28),21))</f>
        <v>4</v>
      </c>
      <c r="E941" s="16" t="n">
        <f aca="false">IF(B941=-1, -1, VLOOKUP(MOD(B941,28), $T$24:$U$52,2))</f>
        <v>19</v>
      </c>
      <c r="F941" s="16" t="n">
        <f aca="false">IF($B941=-1, -1, VLOOKUP(C941,$T$1:$V$20, 2))</f>
        <v>12</v>
      </c>
      <c r="G941" s="16" t="n">
        <f aca="false">IF($B941=-1, -1, VLOOKUP(D941,$Y$1:$Z$22,2))</f>
        <v>8</v>
      </c>
      <c r="H941" s="16" t="str">
        <f aca="false">_xlfn.UNICHAR(((F941*21)+G941)*28+44032)</f>
        <v>조</v>
      </c>
      <c r="I941" s="16" t="n">
        <f aca="false">IF(B941=-1, 1, COUNTIF($A$2:$A$3000, H941))</f>
        <v>1</v>
      </c>
      <c r="J941" s="10" t="str">
        <f aca="false">_xlfn.CONCAT(A941, ",",H941,",",I941)</f>
        <v>벗,조,1</v>
      </c>
      <c r="K941" s="16" t="n">
        <f aca="false">IF(B941=-1,-1,VLOOKUP(C941,$T$1:$V$20,3))</f>
        <v>11</v>
      </c>
      <c r="L941" s="16" t="n">
        <f aca="false">IF(B941=-1,-1,VLOOKUP(D941,$Y$1:$AA$22,3))</f>
        <v>4</v>
      </c>
      <c r="N941" s="10" t="str">
        <f aca="false">_xlfn.UNICHAR(((C941*21)+G941)*28+44032)</f>
        <v>보</v>
      </c>
      <c r="O941" s="10" t="str">
        <f aca="false">_xlfn.UNICHAR(((F941*21)+D941)*28+44032)</f>
        <v>저</v>
      </c>
      <c r="P941" s="12" t="n">
        <f aca="false">COUNTIF($A$2:$A$3000, N941) + COUNTIF($A$2:$A$3000, O941)</f>
        <v>2</v>
      </c>
      <c r="Q941" s="16" t="str">
        <f aca="false">IF(OR(B941=-1,I941=0, P941&lt;&gt;2), "albhed_dummy", _xlfn.CONCAT("albhed ", RIGHT("  " &amp; K941,2),", ", RIGHT("  " &amp; L941,2), ", " ,"""",H941,""", ", """",N941,""", ","""",O941,""""," ; ", A941))</f>
        <v>albhed 11,  4, "조", "보", "저" ; 벗</v>
      </c>
    </row>
    <row r="942" customFormat="false" ht="17.9" hidden="false" customHeight="true" outlineLevel="0" collapsed="false">
      <c r="A942" s="16" t="s">
        <v>1812</v>
      </c>
      <c r="B942" s="16" t="n">
        <f aca="false">IF(_xlfn.UNICODE(A942)&lt;44032,-1,_xlfn.UNICODE(A942)-44032)</f>
        <v>4249</v>
      </c>
      <c r="C942" s="16" t="n">
        <f aca="false">IF(B942=-1,-1,INT((B942/28)/21))</f>
        <v>7</v>
      </c>
      <c r="D942" s="16" t="n">
        <f aca="false">IF(B942=-1, -1, MOD(INT(B942/28),21))</f>
        <v>4</v>
      </c>
      <c r="E942" s="16" t="n">
        <f aca="false">IF(B942=-1, -1, VLOOKUP(MOD(B942,28), $T$24:$U$52,2))</f>
        <v>21</v>
      </c>
      <c r="F942" s="16" t="n">
        <f aca="false">IF($B942=-1, -1, VLOOKUP(C942,$T$1:$V$20, 2))</f>
        <v>12</v>
      </c>
      <c r="G942" s="16" t="n">
        <f aca="false">IF($B942=-1, -1, VLOOKUP(D942,$Y$1:$Z$22,2))</f>
        <v>8</v>
      </c>
      <c r="H942" s="16" t="str">
        <f aca="false">_xlfn.UNICHAR(((F942*21)+G942)*28+44032)</f>
        <v>조</v>
      </c>
      <c r="I942" s="16" t="n">
        <f aca="false">IF(B942=-1, 1, COUNTIF($A$2:$A$3000, H942))</f>
        <v>1</v>
      </c>
      <c r="J942" s="10" t="str">
        <f aca="false">_xlfn.CONCAT(A942, ",",H942,",",I942)</f>
        <v>벙,조,1</v>
      </c>
      <c r="K942" s="16" t="n">
        <f aca="false">IF(B942=-1,-1,VLOOKUP(C942,$T$1:$V$20,3))</f>
        <v>11</v>
      </c>
      <c r="L942" s="16" t="n">
        <f aca="false">IF(B942=-1,-1,VLOOKUP(D942,$Y$1:$AA$22,3))</f>
        <v>4</v>
      </c>
      <c r="N942" s="10" t="str">
        <f aca="false">_xlfn.UNICHAR(((C942*21)+G942)*28+44032)</f>
        <v>보</v>
      </c>
      <c r="O942" s="10" t="str">
        <f aca="false">_xlfn.UNICHAR(((F942*21)+D942)*28+44032)</f>
        <v>저</v>
      </c>
      <c r="P942" s="12" t="n">
        <f aca="false">COUNTIF($A$2:$A$3000, N942) + COUNTIF($A$2:$A$3000, O942)</f>
        <v>2</v>
      </c>
      <c r="Q942" s="16" t="str">
        <f aca="false">IF(OR(B942=-1,I942=0, P942&lt;&gt;2), "albhed_dummy", _xlfn.CONCAT("albhed ", RIGHT("  " &amp; K942,2),", ", RIGHT("  " &amp; L942,2), ", " ,"""",H942,""", ", """",N942,""", ","""",O942,""""," ; ", A942))</f>
        <v>albhed 11,  4, "조", "보", "저" ; 벙</v>
      </c>
    </row>
    <row r="943" customFormat="false" ht="17.9" hidden="false" customHeight="true" outlineLevel="0" collapsed="false">
      <c r="A943" s="16" t="s">
        <v>1813</v>
      </c>
      <c r="B943" s="16" t="n">
        <f aca="false">IF(_xlfn.UNICODE(A943)&lt;44032,-1,_xlfn.UNICODE(A943)-44032)</f>
        <v>4250</v>
      </c>
      <c r="C943" s="16" t="n">
        <f aca="false">IF(B943=-1,-1,INT((B943/28)/21))</f>
        <v>7</v>
      </c>
      <c r="D943" s="16" t="n">
        <f aca="false">IF(B943=-1, -1, MOD(INT(B943/28),21))</f>
        <v>4</v>
      </c>
      <c r="E943" s="16" t="n">
        <f aca="false">IF(B943=-1, -1, VLOOKUP(MOD(B943,28), $T$24:$U$52,2))</f>
        <v>19</v>
      </c>
      <c r="F943" s="16" t="n">
        <f aca="false">IF($B943=-1, -1, VLOOKUP(C943,$T$1:$V$20, 2))</f>
        <v>12</v>
      </c>
      <c r="G943" s="16" t="n">
        <f aca="false">IF($B943=-1, -1, VLOOKUP(D943,$Y$1:$Z$22,2))</f>
        <v>8</v>
      </c>
      <c r="H943" s="16" t="str">
        <f aca="false">_xlfn.UNICHAR(((F943*21)+G943)*28+44032)</f>
        <v>조</v>
      </c>
      <c r="I943" s="16" t="n">
        <f aca="false">IF(B943=-1, 1, COUNTIF($A$2:$A$3000, H943))</f>
        <v>1</v>
      </c>
      <c r="J943" s="10" t="str">
        <f aca="false">_xlfn.CONCAT(A943, ",",H943,",",I943)</f>
        <v>벚,조,1</v>
      </c>
      <c r="K943" s="16" t="n">
        <f aca="false">IF(B943=-1,-1,VLOOKUP(C943,$T$1:$V$20,3))</f>
        <v>11</v>
      </c>
      <c r="L943" s="16" t="n">
        <f aca="false">IF(B943=-1,-1,VLOOKUP(D943,$Y$1:$AA$22,3))</f>
        <v>4</v>
      </c>
      <c r="N943" s="10" t="str">
        <f aca="false">_xlfn.UNICHAR(((C943*21)+G943)*28+44032)</f>
        <v>보</v>
      </c>
      <c r="O943" s="10" t="str">
        <f aca="false">_xlfn.UNICHAR(((F943*21)+D943)*28+44032)</f>
        <v>저</v>
      </c>
      <c r="P943" s="12" t="n">
        <f aca="false">COUNTIF($A$2:$A$3000, N943) + COUNTIF($A$2:$A$3000, O943)</f>
        <v>2</v>
      </c>
      <c r="Q943" s="16" t="str">
        <f aca="false">IF(OR(B943=-1,I943=0, P943&lt;&gt;2), "albhed_dummy", _xlfn.CONCAT("albhed ", RIGHT("  " &amp; K943,2),", ", RIGHT("  " &amp; L943,2), ", " ,"""",H943,""", ", """",N943,""", ","""",O943,""""," ; ", A943))</f>
        <v>albhed 11,  4, "조", "보", "저" ; 벚</v>
      </c>
    </row>
    <row r="944" customFormat="false" ht="17.9" hidden="false" customHeight="true" outlineLevel="0" collapsed="false">
      <c r="A944" s="16" t="s">
        <v>1814</v>
      </c>
      <c r="B944" s="16" t="n">
        <f aca="false">IF(_xlfn.UNICODE(A944)&lt;44032,-1,_xlfn.UNICODE(A944)-44032)</f>
        <v>4256</v>
      </c>
      <c r="C944" s="16" t="n">
        <f aca="false">IF(B944=-1,-1,INT((B944/28)/21))</f>
        <v>7</v>
      </c>
      <c r="D944" s="16" t="n">
        <f aca="false">IF(B944=-1, -1, MOD(INT(B944/28),21))</f>
        <v>5</v>
      </c>
      <c r="E944" s="16" t="n">
        <f aca="false">IF(B944=-1, -1, VLOOKUP(MOD(B944,28), $T$24:$U$52,2))</f>
        <v>0</v>
      </c>
      <c r="F944" s="16" t="n">
        <f aca="false">IF($B944=-1, -1, VLOOKUP(C944,$T$1:$V$20, 2))</f>
        <v>12</v>
      </c>
      <c r="G944" s="16" t="n">
        <f aca="false">IF($B944=-1, -1, VLOOKUP(D944,$Y$1:$Z$22,2))</f>
        <v>18</v>
      </c>
      <c r="H944" s="16" t="str">
        <f aca="false">_xlfn.UNICHAR(((F944*21)+G944)*28+44032)</f>
        <v>즈</v>
      </c>
      <c r="I944" s="16" t="n">
        <f aca="false">IF(B944=-1, 1, COUNTIF($A$2:$A$3000, H944))</f>
        <v>1</v>
      </c>
      <c r="J944" s="10" t="str">
        <f aca="false">_xlfn.CONCAT(A944, ",",H944,",",I944)</f>
        <v>베,즈,1</v>
      </c>
      <c r="K944" s="16" t="n">
        <f aca="false">IF(B944=-1,-1,VLOOKUP(C944,$T$1:$V$20,3))</f>
        <v>11</v>
      </c>
      <c r="L944" s="16" t="n">
        <f aca="false">IF(B944=-1,-1,VLOOKUP(D944,$Y$1:$AA$22,3))</f>
        <v>10</v>
      </c>
      <c r="N944" s="10" t="str">
        <f aca="false">_xlfn.UNICHAR(((C944*21)+G944)*28+44032)</f>
        <v>브</v>
      </c>
      <c r="O944" s="10" t="str">
        <f aca="false">_xlfn.UNICHAR(((F944*21)+D944)*28+44032)</f>
        <v>제</v>
      </c>
      <c r="P944" s="12" t="n">
        <f aca="false">COUNTIF($A$2:$A$3000, N944) + COUNTIF($A$2:$A$3000, O944)</f>
        <v>2</v>
      </c>
      <c r="Q944" s="16" t="str">
        <f aca="false">IF(OR(B944=-1,I944=0, P944&lt;&gt;2), "albhed_dummy", _xlfn.CONCAT("albhed ", RIGHT("  " &amp; K944,2),", ", RIGHT("  " &amp; L944,2), ", " ,"""",H944,""", ", """",N944,""", ","""",O944,""""," ; ", A944))</f>
        <v>albhed 11, 10, "즈", "브", "제" ; 베</v>
      </c>
    </row>
    <row r="945" customFormat="false" ht="17.9" hidden="false" customHeight="true" outlineLevel="0" collapsed="false">
      <c r="A945" s="16" t="s">
        <v>1815</v>
      </c>
      <c r="B945" s="16" t="n">
        <f aca="false">IF(_xlfn.UNICODE(A945)&lt;44032,-1,_xlfn.UNICODE(A945)-44032)</f>
        <v>4257</v>
      </c>
      <c r="C945" s="16" t="n">
        <f aca="false">IF(B945=-1,-1,INT((B945/28)/21))</f>
        <v>7</v>
      </c>
      <c r="D945" s="16" t="n">
        <f aca="false">IF(B945=-1, -1, MOD(INT(B945/28),21))</f>
        <v>5</v>
      </c>
      <c r="E945" s="16" t="n">
        <f aca="false">IF(B945=-1, -1, VLOOKUP(MOD(B945,28), $T$24:$U$52,2))</f>
        <v>1</v>
      </c>
      <c r="F945" s="16" t="n">
        <f aca="false">IF($B945=-1, -1, VLOOKUP(C945,$T$1:$V$20, 2))</f>
        <v>12</v>
      </c>
      <c r="G945" s="16" t="n">
        <f aca="false">IF($B945=-1, -1, VLOOKUP(D945,$Y$1:$Z$22,2))</f>
        <v>18</v>
      </c>
      <c r="H945" s="16" t="str">
        <f aca="false">_xlfn.UNICHAR(((F945*21)+G945)*28+44032)</f>
        <v>즈</v>
      </c>
      <c r="I945" s="16" t="n">
        <f aca="false">IF(B945=-1, 1, COUNTIF($A$2:$A$3000, H945))</f>
        <v>1</v>
      </c>
      <c r="J945" s="10" t="str">
        <f aca="false">_xlfn.CONCAT(A945, ",",H945,",",I945)</f>
        <v>벡,즈,1</v>
      </c>
      <c r="K945" s="16" t="n">
        <f aca="false">IF(B945=-1,-1,VLOOKUP(C945,$T$1:$V$20,3))</f>
        <v>11</v>
      </c>
      <c r="L945" s="16" t="n">
        <f aca="false">IF(B945=-1,-1,VLOOKUP(D945,$Y$1:$AA$22,3))</f>
        <v>10</v>
      </c>
      <c r="N945" s="10" t="str">
        <f aca="false">_xlfn.UNICHAR(((C945*21)+G945)*28+44032)</f>
        <v>브</v>
      </c>
      <c r="O945" s="10" t="str">
        <f aca="false">_xlfn.UNICHAR(((F945*21)+D945)*28+44032)</f>
        <v>제</v>
      </c>
      <c r="P945" s="12" t="n">
        <f aca="false">COUNTIF($A$2:$A$3000, N945) + COUNTIF($A$2:$A$3000, O945)</f>
        <v>2</v>
      </c>
      <c r="Q945" s="16" t="str">
        <f aca="false">IF(OR(B945=-1,I945=0, P945&lt;&gt;2), "albhed_dummy", _xlfn.CONCAT("albhed ", RIGHT("  " &amp; K945,2),", ", RIGHT("  " &amp; L945,2), ", " ,"""",H945,""", ", """",N945,""", ","""",O945,""""," ; ", A945))</f>
        <v>albhed 11, 10, "즈", "브", "제" ; 벡</v>
      </c>
    </row>
    <row r="946" customFormat="false" ht="17.9" hidden="false" customHeight="true" outlineLevel="0" collapsed="false">
      <c r="A946" s="16" t="s">
        <v>1816</v>
      </c>
      <c r="B946" s="16" t="n">
        <f aca="false">IF(_xlfn.UNICODE(A946)&lt;44032,-1,_xlfn.UNICODE(A946)-44032)</f>
        <v>4260</v>
      </c>
      <c r="C946" s="16" t="n">
        <f aca="false">IF(B946=-1,-1,INT((B946/28)/21))</f>
        <v>7</v>
      </c>
      <c r="D946" s="16" t="n">
        <f aca="false">IF(B946=-1, -1, MOD(INT(B946/28),21))</f>
        <v>5</v>
      </c>
      <c r="E946" s="16" t="n">
        <f aca="false">IF(B946=-1, -1, VLOOKUP(MOD(B946,28), $T$24:$U$52,2))</f>
        <v>4</v>
      </c>
      <c r="F946" s="16" t="n">
        <f aca="false">IF($B946=-1, -1, VLOOKUP(C946,$T$1:$V$20, 2))</f>
        <v>12</v>
      </c>
      <c r="G946" s="16" t="n">
        <f aca="false">IF($B946=-1, -1, VLOOKUP(D946,$Y$1:$Z$22,2))</f>
        <v>18</v>
      </c>
      <c r="H946" s="16" t="str">
        <f aca="false">_xlfn.UNICHAR(((F946*21)+G946)*28+44032)</f>
        <v>즈</v>
      </c>
      <c r="I946" s="16" t="n">
        <f aca="false">IF(B946=-1, 1, COUNTIF($A$2:$A$3000, H946))</f>
        <v>1</v>
      </c>
      <c r="J946" s="10" t="str">
        <f aca="false">_xlfn.CONCAT(A946, ",",H946,",",I946)</f>
        <v>벤,즈,1</v>
      </c>
      <c r="K946" s="16" t="n">
        <f aca="false">IF(B946=-1,-1,VLOOKUP(C946,$T$1:$V$20,3))</f>
        <v>11</v>
      </c>
      <c r="L946" s="16" t="n">
        <f aca="false">IF(B946=-1,-1,VLOOKUP(D946,$Y$1:$AA$22,3))</f>
        <v>10</v>
      </c>
      <c r="N946" s="10" t="str">
        <f aca="false">_xlfn.UNICHAR(((C946*21)+G946)*28+44032)</f>
        <v>브</v>
      </c>
      <c r="O946" s="10" t="str">
        <f aca="false">_xlfn.UNICHAR(((F946*21)+D946)*28+44032)</f>
        <v>제</v>
      </c>
      <c r="P946" s="12" t="n">
        <f aca="false">COUNTIF($A$2:$A$3000, N946) + COUNTIF($A$2:$A$3000, O946)</f>
        <v>2</v>
      </c>
      <c r="Q946" s="16" t="str">
        <f aca="false">IF(OR(B946=-1,I946=0, P946&lt;&gt;2), "albhed_dummy", _xlfn.CONCAT("albhed ", RIGHT("  " &amp; K946,2),", ", RIGHT("  " &amp; L946,2), ", " ,"""",H946,""", ", """",N946,""", ","""",O946,""""," ; ", A946))</f>
        <v>albhed 11, 10, "즈", "브", "제" ; 벤</v>
      </c>
    </row>
    <row r="947" customFormat="false" ht="17.9" hidden="false" customHeight="true" outlineLevel="0" collapsed="false">
      <c r="A947" s="16" t="s">
        <v>1817</v>
      </c>
      <c r="B947" s="16" t="n">
        <f aca="false">IF(_xlfn.UNICODE(A947)&lt;44032,-1,_xlfn.UNICODE(A947)-44032)</f>
        <v>4263</v>
      </c>
      <c r="C947" s="16" t="n">
        <f aca="false">IF(B947=-1,-1,INT((B947/28)/21))</f>
        <v>7</v>
      </c>
      <c r="D947" s="16" t="n">
        <f aca="false">IF(B947=-1, -1, MOD(INT(B947/28),21))</f>
        <v>5</v>
      </c>
      <c r="E947" s="16" t="n">
        <f aca="false">IF(B947=-1, -1, VLOOKUP(MOD(B947,28), $T$24:$U$52,2))</f>
        <v>19</v>
      </c>
      <c r="F947" s="16" t="n">
        <f aca="false">IF($B947=-1, -1, VLOOKUP(C947,$T$1:$V$20, 2))</f>
        <v>12</v>
      </c>
      <c r="G947" s="16" t="n">
        <f aca="false">IF($B947=-1, -1, VLOOKUP(D947,$Y$1:$Z$22,2))</f>
        <v>18</v>
      </c>
      <c r="H947" s="16" t="str">
        <f aca="false">_xlfn.UNICHAR(((F947*21)+G947)*28+44032)</f>
        <v>즈</v>
      </c>
      <c r="I947" s="16" t="n">
        <f aca="false">IF(B947=-1, 1, COUNTIF($A$2:$A$3000, H947))</f>
        <v>1</v>
      </c>
      <c r="J947" s="10" t="str">
        <f aca="false">_xlfn.CONCAT(A947, ",",H947,",",I947)</f>
        <v>벧,즈,1</v>
      </c>
      <c r="K947" s="16" t="n">
        <f aca="false">IF(B947=-1,-1,VLOOKUP(C947,$T$1:$V$20,3))</f>
        <v>11</v>
      </c>
      <c r="L947" s="16" t="n">
        <f aca="false">IF(B947=-1,-1,VLOOKUP(D947,$Y$1:$AA$22,3))</f>
        <v>10</v>
      </c>
      <c r="N947" s="10" t="str">
        <f aca="false">_xlfn.UNICHAR(((C947*21)+G947)*28+44032)</f>
        <v>브</v>
      </c>
      <c r="O947" s="10" t="str">
        <f aca="false">_xlfn.UNICHAR(((F947*21)+D947)*28+44032)</f>
        <v>제</v>
      </c>
      <c r="P947" s="12" t="n">
        <f aca="false">COUNTIF($A$2:$A$3000, N947) + COUNTIF($A$2:$A$3000, O947)</f>
        <v>2</v>
      </c>
      <c r="Q947" s="16" t="str">
        <f aca="false">IF(OR(B947=-1,I947=0, P947&lt;&gt;2), "albhed_dummy", _xlfn.CONCAT("albhed ", RIGHT("  " &amp; K947,2),", ", RIGHT("  " &amp; L947,2), ", " ,"""",H947,""", ", """",N947,""", ","""",O947,""""," ; ", A947))</f>
        <v>albhed 11, 10, "즈", "브", "제" ; 벧</v>
      </c>
    </row>
    <row r="948" customFormat="false" ht="17.9" hidden="false" customHeight="true" outlineLevel="0" collapsed="false">
      <c r="A948" s="16" t="s">
        <v>1818</v>
      </c>
      <c r="B948" s="16" t="n">
        <f aca="false">IF(_xlfn.UNICODE(A948)&lt;44032,-1,_xlfn.UNICODE(A948)-44032)</f>
        <v>4264</v>
      </c>
      <c r="C948" s="16" t="n">
        <f aca="false">IF(B948=-1,-1,INT((B948/28)/21))</f>
        <v>7</v>
      </c>
      <c r="D948" s="16" t="n">
        <f aca="false">IF(B948=-1, -1, MOD(INT(B948/28),21))</f>
        <v>5</v>
      </c>
      <c r="E948" s="16" t="n">
        <f aca="false">IF(B948=-1, -1, VLOOKUP(MOD(B948,28), $T$24:$U$52,2))</f>
        <v>8</v>
      </c>
      <c r="F948" s="16" t="n">
        <f aca="false">IF($B948=-1, -1, VLOOKUP(C948,$T$1:$V$20, 2))</f>
        <v>12</v>
      </c>
      <c r="G948" s="16" t="n">
        <f aca="false">IF($B948=-1, -1, VLOOKUP(D948,$Y$1:$Z$22,2))</f>
        <v>18</v>
      </c>
      <c r="H948" s="16" t="str">
        <f aca="false">_xlfn.UNICHAR(((F948*21)+G948)*28+44032)</f>
        <v>즈</v>
      </c>
      <c r="I948" s="16" t="n">
        <f aca="false">IF(B948=-1, 1, COUNTIF($A$2:$A$3000, H948))</f>
        <v>1</v>
      </c>
      <c r="J948" s="10" t="str">
        <f aca="false">_xlfn.CONCAT(A948, ",",H948,",",I948)</f>
        <v>벨,즈,1</v>
      </c>
      <c r="K948" s="16" t="n">
        <f aca="false">IF(B948=-1,-1,VLOOKUP(C948,$T$1:$V$20,3))</f>
        <v>11</v>
      </c>
      <c r="L948" s="16" t="n">
        <f aca="false">IF(B948=-1,-1,VLOOKUP(D948,$Y$1:$AA$22,3))</f>
        <v>10</v>
      </c>
      <c r="N948" s="10" t="str">
        <f aca="false">_xlfn.UNICHAR(((C948*21)+G948)*28+44032)</f>
        <v>브</v>
      </c>
      <c r="O948" s="10" t="str">
        <f aca="false">_xlfn.UNICHAR(((F948*21)+D948)*28+44032)</f>
        <v>제</v>
      </c>
      <c r="P948" s="12" t="n">
        <f aca="false">COUNTIF($A$2:$A$3000, N948) + COUNTIF($A$2:$A$3000, O948)</f>
        <v>2</v>
      </c>
      <c r="Q948" s="16" t="str">
        <f aca="false">IF(OR(B948=-1,I948=0, P948&lt;&gt;2), "albhed_dummy", _xlfn.CONCAT("albhed ", RIGHT("  " &amp; K948,2),", ", RIGHT("  " &amp; L948,2), ", " ,"""",H948,""", ", """",N948,""", ","""",O948,""""," ; ", A948))</f>
        <v>albhed 11, 10, "즈", "브", "제" ; 벨</v>
      </c>
    </row>
    <row r="949" customFormat="false" ht="17.9" hidden="false" customHeight="true" outlineLevel="0" collapsed="false">
      <c r="A949" s="16" t="s">
        <v>1819</v>
      </c>
      <c r="B949" s="16" t="n">
        <f aca="false">IF(_xlfn.UNICODE(A949)&lt;44032,-1,_xlfn.UNICODE(A949)-44032)</f>
        <v>4272</v>
      </c>
      <c r="C949" s="16" t="n">
        <f aca="false">IF(B949=-1,-1,INT((B949/28)/21))</f>
        <v>7</v>
      </c>
      <c r="D949" s="16" t="n">
        <f aca="false">IF(B949=-1, -1, MOD(INT(B949/28),21))</f>
        <v>5</v>
      </c>
      <c r="E949" s="16" t="n">
        <f aca="false">IF(B949=-1, -1, VLOOKUP(MOD(B949,28), $T$24:$U$52,2))</f>
        <v>16</v>
      </c>
      <c r="F949" s="16" t="n">
        <f aca="false">IF($B949=-1, -1, VLOOKUP(C949,$T$1:$V$20, 2))</f>
        <v>12</v>
      </c>
      <c r="G949" s="16" t="n">
        <f aca="false">IF($B949=-1, -1, VLOOKUP(D949,$Y$1:$Z$22,2))</f>
        <v>18</v>
      </c>
      <c r="H949" s="16" t="str">
        <f aca="false">_xlfn.UNICHAR(((F949*21)+G949)*28+44032)</f>
        <v>즈</v>
      </c>
      <c r="I949" s="16" t="n">
        <f aca="false">IF(B949=-1, 1, COUNTIF($A$2:$A$3000, H949))</f>
        <v>1</v>
      </c>
      <c r="J949" s="10" t="str">
        <f aca="false">_xlfn.CONCAT(A949, ",",H949,",",I949)</f>
        <v>벰,즈,1</v>
      </c>
      <c r="K949" s="16" t="n">
        <f aca="false">IF(B949=-1,-1,VLOOKUP(C949,$T$1:$V$20,3))</f>
        <v>11</v>
      </c>
      <c r="L949" s="16" t="n">
        <f aca="false">IF(B949=-1,-1,VLOOKUP(D949,$Y$1:$AA$22,3))</f>
        <v>10</v>
      </c>
      <c r="N949" s="10" t="str">
        <f aca="false">_xlfn.UNICHAR(((C949*21)+G949)*28+44032)</f>
        <v>브</v>
      </c>
      <c r="O949" s="10" t="str">
        <f aca="false">_xlfn.UNICHAR(((F949*21)+D949)*28+44032)</f>
        <v>제</v>
      </c>
      <c r="P949" s="12" t="n">
        <f aca="false">COUNTIF($A$2:$A$3000, N949) + COUNTIF($A$2:$A$3000, O949)</f>
        <v>2</v>
      </c>
      <c r="Q949" s="16" t="str">
        <f aca="false">IF(OR(B949=-1,I949=0, P949&lt;&gt;2), "albhed_dummy", _xlfn.CONCAT("albhed ", RIGHT("  " &amp; K949,2),", ", RIGHT("  " &amp; L949,2), ", " ,"""",H949,""", ", """",N949,""", ","""",O949,""""," ; ", A949))</f>
        <v>albhed 11, 10, "즈", "브", "제" ; 벰</v>
      </c>
    </row>
    <row r="950" customFormat="false" ht="17.9" hidden="false" customHeight="true" outlineLevel="0" collapsed="false">
      <c r="A950" s="16" t="s">
        <v>1820</v>
      </c>
      <c r="B950" s="16" t="n">
        <f aca="false">IF(_xlfn.UNICODE(A950)&lt;44032,-1,_xlfn.UNICODE(A950)-44032)</f>
        <v>4273</v>
      </c>
      <c r="C950" s="16" t="n">
        <f aca="false">IF(B950=-1,-1,INT((B950/28)/21))</f>
        <v>7</v>
      </c>
      <c r="D950" s="16" t="n">
        <f aca="false">IF(B950=-1, -1, MOD(INT(B950/28),21))</f>
        <v>5</v>
      </c>
      <c r="E950" s="16" t="n">
        <f aca="false">IF(B950=-1, -1, VLOOKUP(MOD(B950,28), $T$24:$U$52,2))</f>
        <v>17</v>
      </c>
      <c r="F950" s="16" t="n">
        <f aca="false">IF($B950=-1, -1, VLOOKUP(C950,$T$1:$V$20, 2))</f>
        <v>12</v>
      </c>
      <c r="G950" s="16" t="n">
        <f aca="false">IF($B950=-1, -1, VLOOKUP(D950,$Y$1:$Z$22,2))</f>
        <v>18</v>
      </c>
      <c r="H950" s="16" t="str">
        <f aca="false">_xlfn.UNICHAR(((F950*21)+G950)*28+44032)</f>
        <v>즈</v>
      </c>
      <c r="I950" s="16" t="n">
        <f aca="false">IF(B950=-1, 1, COUNTIF($A$2:$A$3000, H950))</f>
        <v>1</v>
      </c>
      <c r="J950" s="10" t="str">
        <f aca="false">_xlfn.CONCAT(A950, ",",H950,",",I950)</f>
        <v>벱,즈,1</v>
      </c>
      <c r="K950" s="16" t="n">
        <f aca="false">IF(B950=-1,-1,VLOOKUP(C950,$T$1:$V$20,3))</f>
        <v>11</v>
      </c>
      <c r="L950" s="16" t="n">
        <f aca="false">IF(B950=-1,-1,VLOOKUP(D950,$Y$1:$AA$22,3))</f>
        <v>10</v>
      </c>
      <c r="N950" s="10" t="str">
        <f aca="false">_xlfn.UNICHAR(((C950*21)+G950)*28+44032)</f>
        <v>브</v>
      </c>
      <c r="O950" s="10" t="str">
        <f aca="false">_xlfn.UNICHAR(((F950*21)+D950)*28+44032)</f>
        <v>제</v>
      </c>
      <c r="P950" s="12" t="n">
        <f aca="false">COUNTIF($A$2:$A$3000, N950) + COUNTIF($A$2:$A$3000, O950)</f>
        <v>2</v>
      </c>
      <c r="Q950" s="16" t="str">
        <f aca="false">IF(OR(B950=-1,I950=0, P950&lt;&gt;2), "albhed_dummy", _xlfn.CONCAT("albhed ", RIGHT("  " &amp; K950,2),", ", RIGHT("  " &amp; L950,2), ", " ,"""",H950,""", ", """",N950,""", ","""",O950,""""," ; ", A950))</f>
        <v>albhed 11, 10, "즈", "브", "제" ; 벱</v>
      </c>
    </row>
    <row r="951" customFormat="false" ht="17.9" hidden="false" customHeight="true" outlineLevel="0" collapsed="false">
      <c r="A951" s="16" t="s">
        <v>1821</v>
      </c>
      <c r="B951" s="16" t="n">
        <f aca="false">IF(_xlfn.UNICODE(A951)&lt;44032,-1,_xlfn.UNICODE(A951)-44032)</f>
        <v>4275</v>
      </c>
      <c r="C951" s="16" t="n">
        <f aca="false">IF(B951=-1,-1,INT((B951/28)/21))</f>
        <v>7</v>
      </c>
      <c r="D951" s="16" t="n">
        <f aca="false">IF(B951=-1, -1, MOD(INT(B951/28),21))</f>
        <v>5</v>
      </c>
      <c r="E951" s="16" t="n">
        <f aca="false">IF(B951=-1, -1, VLOOKUP(MOD(B951,28), $T$24:$U$52,2))</f>
        <v>19</v>
      </c>
      <c r="F951" s="16" t="n">
        <f aca="false">IF($B951=-1, -1, VLOOKUP(C951,$T$1:$V$20, 2))</f>
        <v>12</v>
      </c>
      <c r="G951" s="16" t="n">
        <f aca="false">IF($B951=-1, -1, VLOOKUP(D951,$Y$1:$Z$22,2))</f>
        <v>18</v>
      </c>
      <c r="H951" s="16" t="str">
        <f aca="false">_xlfn.UNICHAR(((F951*21)+G951)*28+44032)</f>
        <v>즈</v>
      </c>
      <c r="I951" s="16" t="n">
        <f aca="false">IF(B951=-1, 1, COUNTIF($A$2:$A$3000, H951))</f>
        <v>1</v>
      </c>
      <c r="J951" s="10" t="str">
        <f aca="false">_xlfn.CONCAT(A951, ",",H951,",",I951)</f>
        <v>벳,즈,1</v>
      </c>
      <c r="K951" s="16" t="n">
        <f aca="false">IF(B951=-1,-1,VLOOKUP(C951,$T$1:$V$20,3))</f>
        <v>11</v>
      </c>
      <c r="L951" s="16" t="n">
        <f aca="false">IF(B951=-1,-1,VLOOKUP(D951,$Y$1:$AA$22,3))</f>
        <v>10</v>
      </c>
      <c r="N951" s="10" t="str">
        <f aca="false">_xlfn.UNICHAR(((C951*21)+G951)*28+44032)</f>
        <v>브</v>
      </c>
      <c r="O951" s="10" t="str">
        <f aca="false">_xlfn.UNICHAR(((F951*21)+D951)*28+44032)</f>
        <v>제</v>
      </c>
      <c r="P951" s="12" t="n">
        <f aca="false">COUNTIF($A$2:$A$3000, N951) + COUNTIF($A$2:$A$3000, O951)</f>
        <v>2</v>
      </c>
      <c r="Q951" s="16" t="str">
        <f aca="false">IF(OR(B951=-1,I951=0, P951&lt;&gt;2), "albhed_dummy", _xlfn.CONCAT("albhed ", RIGHT("  " &amp; K951,2),", ", RIGHT("  " &amp; L951,2), ", " ,"""",H951,""", ", """",N951,""", ","""",O951,""""," ; ", A951))</f>
        <v>albhed 11, 10, "즈", "브", "제" ; 벳</v>
      </c>
    </row>
    <row r="952" customFormat="false" ht="17.9" hidden="false" customHeight="true" outlineLevel="0" collapsed="false">
      <c r="A952" s="16" t="s">
        <v>1822</v>
      </c>
      <c r="B952" s="16" t="n">
        <f aca="false">IF(_xlfn.UNICODE(A952)&lt;44032,-1,_xlfn.UNICODE(A952)-44032)</f>
        <v>4276</v>
      </c>
      <c r="C952" s="16" t="n">
        <f aca="false">IF(B952=-1,-1,INT((B952/28)/21))</f>
        <v>7</v>
      </c>
      <c r="D952" s="16" t="n">
        <f aca="false">IF(B952=-1, -1, MOD(INT(B952/28),21))</f>
        <v>5</v>
      </c>
      <c r="E952" s="16" t="n">
        <f aca="false">IF(B952=-1, -1, VLOOKUP(MOD(B952,28), $T$24:$U$52,2))</f>
        <v>19</v>
      </c>
      <c r="F952" s="16" t="n">
        <f aca="false">IF($B952=-1, -1, VLOOKUP(C952,$T$1:$V$20, 2))</f>
        <v>12</v>
      </c>
      <c r="G952" s="16" t="n">
        <f aca="false">IF($B952=-1, -1, VLOOKUP(D952,$Y$1:$Z$22,2))</f>
        <v>18</v>
      </c>
      <c r="H952" s="16" t="str">
        <f aca="false">_xlfn.UNICHAR(((F952*21)+G952)*28+44032)</f>
        <v>즈</v>
      </c>
      <c r="I952" s="16" t="n">
        <f aca="false">IF(B952=-1, 1, COUNTIF($A$2:$A$3000, H952))</f>
        <v>1</v>
      </c>
      <c r="J952" s="10" t="str">
        <f aca="false">_xlfn.CONCAT(A952, ",",H952,",",I952)</f>
        <v>벴,즈,1</v>
      </c>
      <c r="K952" s="16" t="n">
        <f aca="false">IF(B952=-1,-1,VLOOKUP(C952,$T$1:$V$20,3))</f>
        <v>11</v>
      </c>
      <c r="L952" s="16" t="n">
        <f aca="false">IF(B952=-1,-1,VLOOKUP(D952,$Y$1:$AA$22,3))</f>
        <v>10</v>
      </c>
      <c r="N952" s="10" t="str">
        <f aca="false">_xlfn.UNICHAR(((C952*21)+G952)*28+44032)</f>
        <v>브</v>
      </c>
      <c r="O952" s="10" t="str">
        <f aca="false">_xlfn.UNICHAR(((F952*21)+D952)*28+44032)</f>
        <v>제</v>
      </c>
      <c r="P952" s="12" t="n">
        <f aca="false">COUNTIF($A$2:$A$3000, N952) + COUNTIF($A$2:$A$3000, O952)</f>
        <v>2</v>
      </c>
      <c r="Q952" s="16" t="str">
        <f aca="false">IF(OR(B952=-1,I952=0, P952&lt;&gt;2), "albhed_dummy", _xlfn.CONCAT("albhed ", RIGHT("  " &amp; K952,2),", ", RIGHT("  " &amp; L952,2), ", " ,"""",H952,""", ", """",N952,""", ","""",O952,""""," ; ", A952))</f>
        <v>albhed 11, 10, "즈", "브", "제" ; 벴</v>
      </c>
    </row>
    <row r="953" customFormat="false" ht="17.9" hidden="false" customHeight="true" outlineLevel="0" collapsed="false">
      <c r="A953" s="16" t="s">
        <v>1823</v>
      </c>
      <c r="B953" s="16" t="n">
        <f aca="false">IF(_xlfn.UNICODE(A953)&lt;44032,-1,_xlfn.UNICODE(A953)-44032)</f>
        <v>4277</v>
      </c>
      <c r="C953" s="16" t="n">
        <f aca="false">IF(B953=-1,-1,INT((B953/28)/21))</f>
        <v>7</v>
      </c>
      <c r="D953" s="16" t="n">
        <f aca="false">IF(B953=-1, -1, MOD(INT(B953/28),21))</f>
        <v>5</v>
      </c>
      <c r="E953" s="16" t="n">
        <f aca="false">IF(B953=-1, -1, VLOOKUP(MOD(B953,28), $T$24:$U$52,2))</f>
        <v>21</v>
      </c>
      <c r="F953" s="16" t="n">
        <f aca="false">IF($B953=-1, -1, VLOOKUP(C953,$T$1:$V$20, 2))</f>
        <v>12</v>
      </c>
      <c r="G953" s="16" t="n">
        <f aca="false">IF($B953=-1, -1, VLOOKUP(D953,$Y$1:$Z$22,2))</f>
        <v>18</v>
      </c>
      <c r="H953" s="16" t="str">
        <f aca="false">_xlfn.UNICHAR(((F953*21)+G953)*28+44032)</f>
        <v>즈</v>
      </c>
      <c r="I953" s="16" t="n">
        <f aca="false">IF(B953=-1, 1, COUNTIF($A$2:$A$3000, H953))</f>
        <v>1</v>
      </c>
      <c r="J953" s="10" t="str">
        <f aca="false">_xlfn.CONCAT(A953, ",",H953,",",I953)</f>
        <v>벵,즈,1</v>
      </c>
      <c r="K953" s="16" t="n">
        <f aca="false">IF(B953=-1,-1,VLOOKUP(C953,$T$1:$V$20,3))</f>
        <v>11</v>
      </c>
      <c r="L953" s="16" t="n">
        <f aca="false">IF(B953=-1,-1,VLOOKUP(D953,$Y$1:$AA$22,3))</f>
        <v>10</v>
      </c>
      <c r="N953" s="10" t="str">
        <f aca="false">_xlfn.UNICHAR(((C953*21)+G953)*28+44032)</f>
        <v>브</v>
      </c>
      <c r="O953" s="10" t="str">
        <f aca="false">_xlfn.UNICHAR(((F953*21)+D953)*28+44032)</f>
        <v>제</v>
      </c>
      <c r="P953" s="12" t="n">
        <f aca="false">COUNTIF($A$2:$A$3000, N953) + COUNTIF($A$2:$A$3000, O953)</f>
        <v>2</v>
      </c>
      <c r="Q953" s="16" t="str">
        <f aca="false">IF(OR(B953=-1,I953=0, P953&lt;&gt;2), "albhed_dummy", _xlfn.CONCAT("albhed ", RIGHT("  " &amp; K953,2),", ", RIGHT("  " &amp; L953,2), ", " ,"""",H953,""", ", """",N953,""", ","""",O953,""""," ; ", A953))</f>
        <v>albhed 11, 10, "즈", "브", "제" ; 벵</v>
      </c>
    </row>
    <row r="954" customFormat="false" ht="17.9" hidden="false" customHeight="true" outlineLevel="0" collapsed="false">
      <c r="A954" s="16" t="s">
        <v>1824</v>
      </c>
      <c r="B954" s="16" t="n">
        <f aca="false">IF(_xlfn.UNICODE(A954)&lt;44032,-1,_xlfn.UNICODE(A954)-44032)</f>
        <v>4284</v>
      </c>
      <c r="C954" s="16" t="n">
        <f aca="false">IF(B954=-1,-1,INT((B954/28)/21))</f>
        <v>7</v>
      </c>
      <c r="D954" s="16" t="n">
        <f aca="false">IF(B954=-1, -1, MOD(INT(B954/28),21))</f>
        <v>6</v>
      </c>
      <c r="E954" s="16" t="n">
        <f aca="false">IF(B954=-1, -1, VLOOKUP(MOD(B954,28), $T$24:$U$52,2))</f>
        <v>0</v>
      </c>
      <c r="F954" s="16" t="n">
        <f aca="false">IF($B954=-1, -1, VLOOKUP(C954,$T$1:$V$20, 2))</f>
        <v>12</v>
      </c>
      <c r="G954" s="16" t="n">
        <f aca="false">IF($B954=-1, -1, VLOOKUP(D954,$Y$1:$Z$22,2))</f>
        <v>12</v>
      </c>
      <c r="H954" s="16" t="str">
        <f aca="false">_xlfn.UNICHAR(((F954*21)+G954)*28+44032)</f>
        <v>죠</v>
      </c>
      <c r="I954" s="16" t="n">
        <f aca="false">IF(B954=-1, 1, COUNTIF($A$2:$A$3000, H954))</f>
        <v>1</v>
      </c>
      <c r="J954" s="10" t="str">
        <f aca="false">_xlfn.CONCAT(A954, ",",H954,",",I954)</f>
        <v>벼,죠,1</v>
      </c>
      <c r="K954" s="16" t="n">
        <f aca="false">IF(B954=-1,-1,VLOOKUP(C954,$T$1:$V$20,3))</f>
        <v>11</v>
      </c>
      <c r="L954" s="16" t="n">
        <f aca="false">IF(B954=-1,-1,VLOOKUP(D954,$Y$1:$AA$22,3))</f>
        <v>4</v>
      </c>
      <c r="N954" s="10" t="str">
        <f aca="false">_xlfn.UNICHAR(((C954*21)+G954)*28+44032)</f>
        <v>뵤</v>
      </c>
      <c r="O954" s="10" t="str">
        <f aca="false">_xlfn.UNICHAR(((F954*21)+D954)*28+44032)</f>
        <v>져</v>
      </c>
      <c r="P954" s="12" t="n">
        <f aca="false">COUNTIF($A$2:$A$3000, N954) + COUNTIF($A$2:$A$3000, O954)</f>
        <v>2</v>
      </c>
      <c r="Q954" s="16" t="str">
        <f aca="false">IF(OR(B954=-1,I954=0, P954&lt;&gt;2), "albhed_dummy", _xlfn.CONCAT("albhed ", RIGHT("  " &amp; K954,2),", ", RIGHT("  " &amp; L954,2), ", " ,"""",H954,""", ", """",N954,""", ","""",O954,""""," ; ", A954))</f>
        <v>albhed 11,  4, "죠", "뵤", "져" ; 벼</v>
      </c>
    </row>
    <row r="955" customFormat="false" ht="17.9" hidden="false" customHeight="true" outlineLevel="0" collapsed="false">
      <c r="A955" s="16" t="s">
        <v>1825</v>
      </c>
      <c r="B955" s="16" t="n">
        <f aca="false">IF(_xlfn.UNICODE(A955)&lt;44032,-1,_xlfn.UNICODE(A955)-44032)</f>
        <v>4285</v>
      </c>
      <c r="C955" s="16" t="n">
        <f aca="false">IF(B955=-1,-1,INT((B955/28)/21))</f>
        <v>7</v>
      </c>
      <c r="D955" s="16" t="n">
        <f aca="false">IF(B955=-1, -1, MOD(INT(B955/28),21))</f>
        <v>6</v>
      </c>
      <c r="E955" s="16" t="n">
        <f aca="false">IF(B955=-1, -1, VLOOKUP(MOD(B955,28), $T$24:$U$52,2))</f>
        <v>1</v>
      </c>
      <c r="F955" s="16" t="n">
        <f aca="false">IF($B955=-1, -1, VLOOKUP(C955,$T$1:$V$20, 2))</f>
        <v>12</v>
      </c>
      <c r="G955" s="16" t="n">
        <f aca="false">IF($B955=-1, -1, VLOOKUP(D955,$Y$1:$Z$22,2))</f>
        <v>12</v>
      </c>
      <c r="H955" s="16" t="str">
        <f aca="false">_xlfn.UNICHAR(((F955*21)+G955)*28+44032)</f>
        <v>죠</v>
      </c>
      <c r="I955" s="16" t="n">
        <f aca="false">IF(B955=-1, 1, COUNTIF($A$2:$A$3000, H955))</f>
        <v>1</v>
      </c>
      <c r="J955" s="10" t="str">
        <f aca="false">_xlfn.CONCAT(A955, ",",H955,",",I955)</f>
        <v>벽,죠,1</v>
      </c>
      <c r="K955" s="16" t="n">
        <f aca="false">IF(B955=-1,-1,VLOOKUP(C955,$T$1:$V$20,3))</f>
        <v>11</v>
      </c>
      <c r="L955" s="16" t="n">
        <f aca="false">IF(B955=-1,-1,VLOOKUP(D955,$Y$1:$AA$22,3))</f>
        <v>4</v>
      </c>
      <c r="N955" s="10" t="str">
        <f aca="false">_xlfn.UNICHAR(((C955*21)+G955)*28+44032)</f>
        <v>뵤</v>
      </c>
      <c r="O955" s="10" t="str">
        <f aca="false">_xlfn.UNICHAR(((F955*21)+D955)*28+44032)</f>
        <v>져</v>
      </c>
      <c r="P955" s="12" t="n">
        <f aca="false">COUNTIF($A$2:$A$3000, N955) + COUNTIF($A$2:$A$3000, O955)</f>
        <v>2</v>
      </c>
      <c r="Q955" s="16" t="str">
        <f aca="false">IF(OR(B955=-1,I955=0, P955&lt;&gt;2), "albhed_dummy", _xlfn.CONCAT("albhed ", RIGHT("  " &amp; K955,2),", ", RIGHT("  " &amp; L955,2), ", " ,"""",H955,""", ", """",N955,""", ","""",O955,""""," ; ", A955))</f>
        <v>albhed 11,  4, "죠", "뵤", "져" ; 벽</v>
      </c>
    </row>
    <row r="956" customFormat="false" ht="17.9" hidden="false" customHeight="true" outlineLevel="0" collapsed="false">
      <c r="A956" s="16" t="s">
        <v>1826</v>
      </c>
      <c r="B956" s="16" t="n">
        <f aca="false">IF(_xlfn.UNICODE(A956)&lt;44032,-1,_xlfn.UNICODE(A956)-44032)</f>
        <v>4288</v>
      </c>
      <c r="C956" s="16" t="n">
        <f aca="false">IF(B956=-1,-1,INT((B956/28)/21))</f>
        <v>7</v>
      </c>
      <c r="D956" s="16" t="n">
        <f aca="false">IF(B956=-1, -1, MOD(INT(B956/28),21))</f>
        <v>6</v>
      </c>
      <c r="E956" s="16" t="n">
        <f aca="false">IF(B956=-1, -1, VLOOKUP(MOD(B956,28), $T$24:$U$52,2))</f>
        <v>4</v>
      </c>
      <c r="F956" s="16" t="n">
        <f aca="false">IF($B956=-1, -1, VLOOKUP(C956,$T$1:$V$20, 2))</f>
        <v>12</v>
      </c>
      <c r="G956" s="16" t="n">
        <f aca="false">IF($B956=-1, -1, VLOOKUP(D956,$Y$1:$Z$22,2))</f>
        <v>12</v>
      </c>
      <c r="H956" s="16" t="str">
        <f aca="false">_xlfn.UNICHAR(((F956*21)+G956)*28+44032)</f>
        <v>죠</v>
      </c>
      <c r="I956" s="16" t="n">
        <f aca="false">IF(B956=-1, 1, COUNTIF($A$2:$A$3000, H956))</f>
        <v>1</v>
      </c>
      <c r="J956" s="10" t="str">
        <f aca="false">_xlfn.CONCAT(A956, ",",H956,",",I956)</f>
        <v>변,죠,1</v>
      </c>
      <c r="K956" s="16" t="n">
        <f aca="false">IF(B956=-1,-1,VLOOKUP(C956,$T$1:$V$20,3))</f>
        <v>11</v>
      </c>
      <c r="L956" s="16" t="n">
        <f aca="false">IF(B956=-1,-1,VLOOKUP(D956,$Y$1:$AA$22,3))</f>
        <v>4</v>
      </c>
      <c r="N956" s="10" t="str">
        <f aca="false">_xlfn.UNICHAR(((C956*21)+G956)*28+44032)</f>
        <v>뵤</v>
      </c>
      <c r="O956" s="10" t="str">
        <f aca="false">_xlfn.UNICHAR(((F956*21)+D956)*28+44032)</f>
        <v>져</v>
      </c>
      <c r="P956" s="12" t="n">
        <f aca="false">COUNTIF($A$2:$A$3000, N956) + COUNTIF($A$2:$A$3000, O956)</f>
        <v>2</v>
      </c>
      <c r="Q956" s="16" t="str">
        <f aca="false">IF(OR(B956=-1,I956=0, P956&lt;&gt;2), "albhed_dummy", _xlfn.CONCAT("albhed ", RIGHT("  " &amp; K956,2),", ", RIGHT("  " &amp; L956,2), ", " ,"""",H956,""", ", """",N956,""", ","""",O956,""""," ; ", A956))</f>
        <v>albhed 11,  4, "죠", "뵤", "져" ; 변</v>
      </c>
    </row>
    <row r="957" customFormat="false" ht="17.9" hidden="false" customHeight="true" outlineLevel="0" collapsed="false">
      <c r="A957" s="16" t="s">
        <v>1827</v>
      </c>
      <c r="B957" s="16" t="n">
        <f aca="false">IF(_xlfn.UNICODE(A957)&lt;44032,-1,_xlfn.UNICODE(A957)-44032)</f>
        <v>4292</v>
      </c>
      <c r="C957" s="16" t="n">
        <f aca="false">IF(B957=-1,-1,INT((B957/28)/21))</f>
        <v>7</v>
      </c>
      <c r="D957" s="16" t="n">
        <f aca="false">IF(B957=-1, -1, MOD(INT(B957/28),21))</f>
        <v>6</v>
      </c>
      <c r="E957" s="16" t="n">
        <f aca="false">IF(B957=-1, -1, VLOOKUP(MOD(B957,28), $T$24:$U$52,2))</f>
        <v>8</v>
      </c>
      <c r="F957" s="16" t="n">
        <f aca="false">IF($B957=-1, -1, VLOOKUP(C957,$T$1:$V$20, 2))</f>
        <v>12</v>
      </c>
      <c r="G957" s="16" t="n">
        <f aca="false">IF($B957=-1, -1, VLOOKUP(D957,$Y$1:$Z$22,2))</f>
        <v>12</v>
      </c>
      <c r="H957" s="16" t="str">
        <f aca="false">_xlfn.UNICHAR(((F957*21)+G957)*28+44032)</f>
        <v>죠</v>
      </c>
      <c r="I957" s="16" t="n">
        <f aca="false">IF(B957=-1, 1, COUNTIF($A$2:$A$3000, H957))</f>
        <v>1</v>
      </c>
      <c r="J957" s="10" t="str">
        <f aca="false">_xlfn.CONCAT(A957, ",",H957,",",I957)</f>
        <v>별,죠,1</v>
      </c>
      <c r="K957" s="16" t="n">
        <f aca="false">IF(B957=-1,-1,VLOOKUP(C957,$T$1:$V$20,3))</f>
        <v>11</v>
      </c>
      <c r="L957" s="16" t="n">
        <f aca="false">IF(B957=-1,-1,VLOOKUP(D957,$Y$1:$AA$22,3))</f>
        <v>4</v>
      </c>
      <c r="N957" s="10" t="str">
        <f aca="false">_xlfn.UNICHAR(((C957*21)+G957)*28+44032)</f>
        <v>뵤</v>
      </c>
      <c r="O957" s="10" t="str">
        <f aca="false">_xlfn.UNICHAR(((F957*21)+D957)*28+44032)</f>
        <v>져</v>
      </c>
      <c r="P957" s="12" t="n">
        <f aca="false">COUNTIF($A$2:$A$3000, N957) + COUNTIF($A$2:$A$3000, O957)</f>
        <v>2</v>
      </c>
      <c r="Q957" s="16" t="str">
        <f aca="false">IF(OR(B957=-1,I957=0, P957&lt;&gt;2), "albhed_dummy", _xlfn.CONCAT("albhed ", RIGHT("  " &amp; K957,2),", ", RIGHT("  " &amp; L957,2), ", " ,"""",H957,""", ", """",N957,""", ","""",O957,""""," ; ", A957))</f>
        <v>albhed 11,  4, "죠", "뵤", "져" ; 별</v>
      </c>
    </row>
    <row r="958" customFormat="false" ht="17.9" hidden="false" customHeight="true" outlineLevel="0" collapsed="false">
      <c r="A958" s="16" t="s">
        <v>1828</v>
      </c>
      <c r="B958" s="16" t="n">
        <f aca="false">IF(_xlfn.UNICODE(A958)&lt;44032,-1,_xlfn.UNICODE(A958)-44032)</f>
        <v>4301</v>
      </c>
      <c r="C958" s="16" t="n">
        <f aca="false">IF(B958=-1,-1,INT((B958/28)/21))</f>
        <v>7</v>
      </c>
      <c r="D958" s="16" t="n">
        <f aca="false">IF(B958=-1, -1, MOD(INT(B958/28),21))</f>
        <v>6</v>
      </c>
      <c r="E958" s="16" t="n">
        <f aca="false">IF(B958=-1, -1, VLOOKUP(MOD(B958,28), $T$24:$U$52,2))</f>
        <v>17</v>
      </c>
      <c r="F958" s="16" t="n">
        <f aca="false">IF($B958=-1, -1, VLOOKUP(C958,$T$1:$V$20, 2))</f>
        <v>12</v>
      </c>
      <c r="G958" s="16" t="n">
        <f aca="false">IF($B958=-1, -1, VLOOKUP(D958,$Y$1:$Z$22,2))</f>
        <v>12</v>
      </c>
      <c r="H958" s="16" t="str">
        <f aca="false">_xlfn.UNICHAR(((F958*21)+G958)*28+44032)</f>
        <v>죠</v>
      </c>
      <c r="I958" s="16" t="n">
        <f aca="false">IF(B958=-1, 1, COUNTIF($A$2:$A$3000, H958))</f>
        <v>1</v>
      </c>
      <c r="J958" s="10" t="str">
        <f aca="false">_xlfn.CONCAT(A958, ",",H958,",",I958)</f>
        <v>볍,죠,1</v>
      </c>
      <c r="K958" s="16" t="n">
        <f aca="false">IF(B958=-1,-1,VLOOKUP(C958,$T$1:$V$20,3))</f>
        <v>11</v>
      </c>
      <c r="L958" s="16" t="n">
        <f aca="false">IF(B958=-1,-1,VLOOKUP(D958,$Y$1:$AA$22,3))</f>
        <v>4</v>
      </c>
      <c r="N958" s="10" t="str">
        <f aca="false">_xlfn.UNICHAR(((C958*21)+G958)*28+44032)</f>
        <v>뵤</v>
      </c>
      <c r="O958" s="10" t="str">
        <f aca="false">_xlfn.UNICHAR(((F958*21)+D958)*28+44032)</f>
        <v>져</v>
      </c>
      <c r="P958" s="12" t="n">
        <f aca="false">COUNTIF($A$2:$A$3000, N958) + COUNTIF($A$2:$A$3000, O958)</f>
        <v>2</v>
      </c>
      <c r="Q958" s="16" t="str">
        <f aca="false">IF(OR(B958=-1,I958=0, P958&lt;&gt;2), "albhed_dummy", _xlfn.CONCAT("albhed ", RIGHT("  " &amp; K958,2),", ", RIGHT("  " &amp; L958,2), ", " ,"""",H958,""", ", """",N958,""", ","""",O958,""""," ; ", A958))</f>
        <v>albhed 11,  4, "죠", "뵤", "져" ; 볍</v>
      </c>
    </row>
    <row r="959" customFormat="false" ht="17.9" hidden="false" customHeight="true" outlineLevel="0" collapsed="false">
      <c r="A959" s="16" t="s">
        <v>1829</v>
      </c>
      <c r="B959" s="16" t="n">
        <f aca="false">IF(_xlfn.UNICODE(A959)&lt;44032,-1,_xlfn.UNICODE(A959)-44032)</f>
        <v>4303</v>
      </c>
      <c r="C959" s="16" t="n">
        <f aca="false">IF(B959=-1,-1,INT((B959/28)/21))</f>
        <v>7</v>
      </c>
      <c r="D959" s="16" t="n">
        <f aca="false">IF(B959=-1, -1, MOD(INT(B959/28),21))</f>
        <v>6</v>
      </c>
      <c r="E959" s="16" t="n">
        <f aca="false">IF(B959=-1, -1, VLOOKUP(MOD(B959,28), $T$24:$U$52,2))</f>
        <v>19</v>
      </c>
      <c r="F959" s="16" t="n">
        <f aca="false">IF($B959=-1, -1, VLOOKUP(C959,$T$1:$V$20, 2))</f>
        <v>12</v>
      </c>
      <c r="G959" s="16" t="n">
        <f aca="false">IF($B959=-1, -1, VLOOKUP(D959,$Y$1:$Z$22,2))</f>
        <v>12</v>
      </c>
      <c r="H959" s="16" t="str">
        <f aca="false">_xlfn.UNICHAR(((F959*21)+G959)*28+44032)</f>
        <v>죠</v>
      </c>
      <c r="I959" s="16" t="n">
        <f aca="false">IF(B959=-1, 1, COUNTIF($A$2:$A$3000, H959))</f>
        <v>1</v>
      </c>
      <c r="J959" s="10" t="str">
        <f aca="false">_xlfn.CONCAT(A959, ",",H959,",",I959)</f>
        <v>볏,죠,1</v>
      </c>
      <c r="K959" s="16" t="n">
        <f aca="false">IF(B959=-1,-1,VLOOKUP(C959,$T$1:$V$20,3))</f>
        <v>11</v>
      </c>
      <c r="L959" s="16" t="n">
        <f aca="false">IF(B959=-1,-1,VLOOKUP(D959,$Y$1:$AA$22,3))</f>
        <v>4</v>
      </c>
      <c r="N959" s="10" t="str">
        <f aca="false">_xlfn.UNICHAR(((C959*21)+G959)*28+44032)</f>
        <v>뵤</v>
      </c>
      <c r="O959" s="10" t="str">
        <f aca="false">_xlfn.UNICHAR(((F959*21)+D959)*28+44032)</f>
        <v>져</v>
      </c>
      <c r="P959" s="12" t="n">
        <f aca="false">COUNTIF($A$2:$A$3000, N959) + COUNTIF($A$2:$A$3000, O959)</f>
        <v>2</v>
      </c>
      <c r="Q959" s="16" t="str">
        <f aca="false">IF(OR(B959=-1,I959=0, P959&lt;&gt;2), "albhed_dummy", _xlfn.CONCAT("albhed ", RIGHT("  " &amp; K959,2),", ", RIGHT("  " &amp; L959,2), ", " ,"""",H959,""", ", """",N959,""", ","""",O959,""""," ; ", A959))</f>
        <v>albhed 11,  4, "죠", "뵤", "져" ; 볏</v>
      </c>
    </row>
    <row r="960" customFormat="false" ht="17.9" hidden="false" customHeight="true" outlineLevel="0" collapsed="false">
      <c r="A960" s="16" t="s">
        <v>1830</v>
      </c>
      <c r="B960" s="16" t="n">
        <f aca="false">IF(_xlfn.UNICODE(A960)&lt;44032,-1,_xlfn.UNICODE(A960)-44032)</f>
        <v>4304</v>
      </c>
      <c r="C960" s="16" t="n">
        <f aca="false">IF(B960=-1,-1,INT((B960/28)/21))</f>
        <v>7</v>
      </c>
      <c r="D960" s="16" t="n">
        <f aca="false">IF(B960=-1, -1, MOD(INT(B960/28),21))</f>
        <v>6</v>
      </c>
      <c r="E960" s="16" t="n">
        <f aca="false">IF(B960=-1, -1, VLOOKUP(MOD(B960,28), $T$24:$U$52,2))</f>
        <v>19</v>
      </c>
      <c r="F960" s="16" t="n">
        <f aca="false">IF($B960=-1, -1, VLOOKUP(C960,$T$1:$V$20, 2))</f>
        <v>12</v>
      </c>
      <c r="G960" s="16" t="n">
        <f aca="false">IF($B960=-1, -1, VLOOKUP(D960,$Y$1:$Z$22,2))</f>
        <v>12</v>
      </c>
      <c r="H960" s="16" t="str">
        <f aca="false">_xlfn.UNICHAR(((F960*21)+G960)*28+44032)</f>
        <v>죠</v>
      </c>
      <c r="I960" s="16" t="n">
        <f aca="false">IF(B960=-1, 1, COUNTIF($A$2:$A$3000, H960))</f>
        <v>1</v>
      </c>
      <c r="J960" s="10" t="str">
        <f aca="false">_xlfn.CONCAT(A960, ",",H960,",",I960)</f>
        <v>볐,죠,1</v>
      </c>
      <c r="K960" s="16" t="n">
        <f aca="false">IF(B960=-1,-1,VLOOKUP(C960,$T$1:$V$20,3))</f>
        <v>11</v>
      </c>
      <c r="L960" s="16" t="n">
        <f aca="false">IF(B960=-1,-1,VLOOKUP(D960,$Y$1:$AA$22,3))</f>
        <v>4</v>
      </c>
      <c r="N960" s="10" t="str">
        <f aca="false">_xlfn.UNICHAR(((C960*21)+G960)*28+44032)</f>
        <v>뵤</v>
      </c>
      <c r="O960" s="10" t="str">
        <f aca="false">_xlfn.UNICHAR(((F960*21)+D960)*28+44032)</f>
        <v>져</v>
      </c>
      <c r="P960" s="12" t="n">
        <f aca="false">COUNTIF($A$2:$A$3000, N960) + COUNTIF($A$2:$A$3000, O960)</f>
        <v>2</v>
      </c>
      <c r="Q960" s="16" t="str">
        <f aca="false">IF(OR(B960=-1,I960=0, P960&lt;&gt;2), "albhed_dummy", _xlfn.CONCAT("albhed ", RIGHT("  " &amp; K960,2),", ", RIGHT("  " &amp; L960,2), ", " ,"""",H960,""", ", """",N960,""", ","""",O960,""""," ; ", A960))</f>
        <v>albhed 11,  4, "죠", "뵤", "져" ; 볐</v>
      </c>
    </row>
    <row r="961" customFormat="false" ht="17.9" hidden="false" customHeight="true" outlineLevel="0" collapsed="false">
      <c r="A961" s="16" t="s">
        <v>1831</v>
      </c>
      <c r="B961" s="16" t="n">
        <f aca="false">IF(_xlfn.UNICODE(A961)&lt;44032,-1,_xlfn.UNICODE(A961)-44032)</f>
        <v>4305</v>
      </c>
      <c r="C961" s="16" t="n">
        <f aca="false">IF(B961=-1,-1,INT((B961/28)/21))</f>
        <v>7</v>
      </c>
      <c r="D961" s="16" t="n">
        <f aca="false">IF(B961=-1, -1, MOD(INT(B961/28),21))</f>
        <v>6</v>
      </c>
      <c r="E961" s="16" t="n">
        <f aca="false">IF(B961=-1, -1, VLOOKUP(MOD(B961,28), $T$24:$U$52,2))</f>
        <v>21</v>
      </c>
      <c r="F961" s="16" t="n">
        <f aca="false">IF($B961=-1, -1, VLOOKUP(C961,$T$1:$V$20, 2))</f>
        <v>12</v>
      </c>
      <c r="G961" s="16" t="n">
        <f aca="false">IF($B961=-1, -1, VLOOKUP(D961,$Y$1:$Z$22,2))</f>
        <v>12</v>
      </c>
      <c r="H961" s="16" t="str">
        <f aca="false">_xlfn.UNICHAR(((F961*21)+G961)*28+44032)</f>
        <v>죠</v>
      </c>
      <c r="I961" s="16" t="n">
        <f aca="false">IF(B961=-1, 1, COUNTIF($A$2:$A$3000, H961))</f>
        <v>1</v>
      </c>
      <c r="J961" s="10" t="str">
        <f aca="false">_xlfn.CONCAT(A961, ",",H961,",",I961)</f>
        <v>병,죠,1</v>
      </c>
      <c r="K961" s="16" t="n">
        <f aca="false">IF(B961=-1,-1,VLOOKUP(C961,$T$1:$V$20,3))</f>
        <v>11</v>
      </c>
      <c r="L961" s="16" t="n">
        <f aca="false">IF(B961=-1,-1,VLOOKUP(D961,$Y$1:$AA$22,3))</f>
        <v>4</v>
      </c>
      <c r="N961" s="10" t="str">
        <f aca="false">_xlfn.UNICHAR(((C961*21)+G961)*28+44032)</f>
        <v>뵤</v>
      </c>
      <c r="O961" s="10" t="str">
        <f aca="false">_xlfn.UNICHAR(((F961*21)+D961)*28+44032)</f>
        <v>져</v>
      </c>
      <c r="P961" s="12" t="n">
        <f aca="false">COUNTIF($A$2:$A$3000, N961) + COUNTIF($A$2:$A$3000, O961)</f>
        <v>2</v>
      </c>
      <c r="Q961" s="16" t="str">
        <f aca="false">IF(OR(B961=-1,I961=0, P961&lt;&gt;2), "albhed_dummy", _xlfn.CONCAT("albhed ", RIGHT("  " &amp; K961,2),", ", RIGHT("  " &amp; L961,2), ", " ,"""",H961,""", ", """",N961,""", ","""",O961,""""," ; ", A961))</f>
        <v>albhed 11,  4, "죠", "뵤", "져" ; 병</v>
      </c>
    </row>
    <row r="962" customFormat="false" ht="17.9" hidden="false" customHeight="true" outlineLevel="0" collapsed="false">
      <c r="A962" s="16" t="s">
        <v>1832</v>
      </c>
      <c r="B962" s="16" t="n">
        <f aca="false">IF(_xlfn.UNICODE(A962)&lt;44032,-1,_xlfn.UNICODE(A962)-44032)</f>
        <v>4309</v>
      </c>
      <c r="C962" s="16" t="n">
        <f aca="false">IF(B962=-1,-1,INT((B962/28)/21))</f>
        <v>7</v>
      </c>
      <c r="D962" s="16" t="n">
        <f aca="false">IF(B962=-1, -1, MOD(INT(B962/28),21))</f>
        <v>6</v>
      </c>
      <c r="E962" s="16" t="n">
        <f aca="false">IF(B962=-1, -1, VLOOKUP(MOD(B962,28), $T$24:$U$52,2))</f>
        <v>19</v>
      </c>
      <c r="F962" s="16" t="n">
        <f aca="false">IF($B962=-1, -1, VLOOKUP(C962,$T$1:$V$20, 2))</f>
        <v>12</v>
      </c>
      <c r="G962" s="16" t="n">
        <f aca="false">IF($B962=-1, -1, VLOOKUP(D962,$Y$1:$Z$22,2))</f>
        <v>12</v>
      </c>
      <c r="H962" s="16" t="str">
        <f aca="false">_xlfn.UNICHAR(((F962*21)+G962)*28+44032)</f>
        <v>죠</v>
      </c>
      <c r="I962" s="16" t="n">
        <f aca="false">IF(B962=-1, 1, COUNTIF($A$2:$A$3000, H962))</f>
        <v>1</v>
      </c>
      <c r="J962" s="10" t="str">
        <f aca="false">_xlfn.CONCAT(A962, ",",H962,",",I962)</f>
        <v>볕,죠,1</v>
      </c>
      <c r="K962" s="16" t="n">
        <f aca="false">IF(B962=-1,-1,VLOOKUP(C962,$T$1:$V$20,3))</f>
        <v>11</v>
      </c>
      <c r="L962" s="16" t="n">
        <f aca="false">IF(B962=-1,-1,VLOOKUP(D962,$Y$1:$AA$22,3))</f>
        <v>4</v>
      </c>
      <c r="N962" s="10" t="str">
        <f aca="false">_xlfn.UNICHAR(((C962*21)+G962)*28+44032)</f>
        <v>뵤</v>
      </c>
      <c r="O962" s="10" t="str">
        <f aca="false">_xlfn.UNICHAR(((F962*21)+D962)*28+44032)</f>
        <v>져</v>
      </c>
      <c r="P962" s="12" t="n">
        <f aca="false">COUNTIF($A$2:$A$3000, N962) + COUNTIF($A$2:$A$3000, O962)</f>
        <v>2</v>
      </c>
      <c r="Q962" s="16" t="str">
        <f aca="false">IF(OR(B962=-1,I962=0, P962&lt;&gt;2), "albhed_dummy", _xlfn.CONCAT("albhed ", RIGHT("  " &amp; K962,2),", ", RIGHT("  " &amp; L962,2), ", " ,"""",H962,""", ", """",N962,""", ","""",O962,""""," ; ", A962))</f>
        <v>albhed 11,  4, "죠", "뵤", "져" ; 볕</v>
      </c>
    </row>
    <row r="963" customFormat="false" ht="17.9" hidden="false" customHeight="true" outlineLevel="0" collapsed="false">
      <c r="A963" s="16" t="s">
        <v>1833</v>
      </c>
      <c r="B963" s="16" t="n">
        <f aca="false">IF(_xlfn.UNICODE(A963)&lt;44032,-1,_xlfn.UNICODE(A963)-44032)</f>
        <v>4312</v>
      </c>
      <c r="C963" s="16" t="n">
        <f aca="false">IF(B963=-1,-1,INT((B963/28)/21))</f>
        <v>7</v>
      </c>
      <c r="D963" s="16" t="n">
        <f aca="false">IF(B963=-1, -1, MOD(INT(B963/28),21))</f>
        <v>7</v>
      </c>
      <c r="E963" s="16" t="n">
        <f aca="false">IF(B963=-1, -1, VLOOKUP(MOD(B963,28), $T$24:$U$52,2))</f>
        <v>0</v>
      </c>
      <c r="F963" s="16" t="n">
        <f aca="false">IF($B963=-1, -1, VLOOKUP(C963,$T$1:$V$20, 2))</f>
        <v>12</v>
      </c>
      <c r="G963" s="16" t="n">
        <f aca="false">IF($B963=-1, -1, VLOOKUP(D963,$Y$1:$Z$22,2))</f>
        <v>18</v>
      </c>
      <c r="H963" s="16" t="str">
        <f aca="false">_xlfn.UNICHAR(((F963*21)+G963)*28+44032)</f>
        <v>즈</v>
      </c>
      <c r="I963" s="16" t="n">
        <f aca="false">IF(B963=-1, 1, COUNTIF($A$2:$A$3000, H963))</f>
        <v>1</v>
      </c>
      <c r="J963" s="10" t="str">
        <f aca="false">_xlfn.CONCAT(A963, ",",H963,",",I963)</f>
        <v>볘,즈,1</v>
      </c>
      <c r="K963" s="16" t="n">
        <f aca="false">IF(B963=-1,-1,VLOOKUP(C963,$T$1:$V$20,3))</f>
        <v>11</v>
      </c>
      <c r="L963" s="16" t="n">
        <f aca="false">IF(B963=-1,-1,VLOOKUP(D963,$Y$1:$AA$22,3))</f>
        <v>14</v>
      </c>
      <c r="N963" s="10" t="str">
        <f aca="false">_xlfn.UNICHAR(((C963*21)+G963)*28+44032)</f>
        <v>브</v>
      </c>
      <c r="O963" s="10" t="str">
        <f aca="false">_xlfn.UNICHAR(((F963*21)+D963)*28+44032)</f>
        <v>졔</v>
      </c>
      <c r="P963" s="12" t="n">
        <f aca="false">COUNTIF($A$2:$A$3000, N963) + COUNTIF($A$2:$A$3000, O963)</f>
        <v>2</v>
      </c>
      <c r="Q963" s="16" t="str">
        <f aca="false">IF(OR(B963=-1,I963=0, P963&lt;&gt;2), "albhed_dummy", _xlfn.CONCAT("albhed ", RIGHT("  " &amp; K963,2),", ", RIGHT("  " &amp; L963,2), ", " ,"""",H963,""", ", """",N963,""", ","""",O963,""""," ; ", A963))</f>
        <v>albhed 11, 14, "즈", "브", "졔" ; 볘</v>
      </c>
    </row>
    <row r="964" customFormat="false" ht="17.9" hidden="false" customHeight="true" outlineLevel="0" collapsed="false">
      <c r="A964" s="16" t="s">
        <v>1834</v>
      </c>
      <c r="B964" s="16" t="n">
        <f aca="false">IF(_xlfn.UNICODE(A964)&lt;44032,-1,_xlfn.UNICODE(A964)-44032)</f>
        <v>4316</v>
      </c>
      <c r="C964" s="16" t="n">
        <f aca="false">IF(B964=-1,-1,INT((B964/28)/21))</f>
        <v>7</v>
      </c>
      <c r="D964" s="16" t="n">
        <f aca="false">IF(B964=-1, -1, MOD(INT(B964/28),21))</f>
        <v>7</v>
      </c>
      <c r="E964" s="16" t="n">
        <f aca="false">IF(B964=-1, -1, VLOOKUP(MOD(B964,28), $T$24:$U$52,2))</f>
        <v>4</v>
      </c>
      <c r="F964" s="16" t="n">
        <f aca="false">IF($B964=-1, -1, VLOOKUP(C964,$T$1:$V$20, 2))</f>
        <v>12</v>
      </c>
      <c r="G964" s="16" t="n">
        <f aca="false">IF($B964=-1, -1, VLOOKUP(D964,$Y$1:$Z$22,2))</f>
        <v>18</v>
      </c>
      <c r="H964" s="16" t="str">
        <f aca="false">_xlfn.UNICHAR(((F964*21)+G964)*28+44032)</f>
        <v>즈</v>
      </c>
      <c r="I964" s="16" t="n">
        <f aca="false">IF(B964=-1, 1, COUNTIF($A$2:$A$3000, H964))</f>
        <v>1</v>
      </c>
      <c r="J964" s="10" t="str">
        <f aca="false">_xlfn.CONCAT(A964, ",",H964,",",I964)</f>
        <v>볜,즈,1</v>
      </c>
      <c r="K964" s="16" t="n">
        <f aca="false">IF(B964=-1,-1,VLOOKUP(C964,$T$1:$V$20,3))</f>
        <v>11</v>
      </c>
      <c r="L964" s="16" t="n">
        <f aca="false">IF(B964=-1,-1,VLOOKUP(D964,$Y$1:$AA$22,3))</f>
        <v>14</v>
      </c>
      <c r="N964" s="10" t="str">
        <f aca="false">_xlfn.UNICHAR(((C964*21)+G964)*28+44032)</f>
        <v>브</v>
      </c>
      <c r="O964" s="10" t="str">
        <f aca="false">_xlfn.UNICHAR(((F964*21)+D964)*28+44032)</f>
        <v>졔</v>
      </c>
      <c r="P964" s="12" t="n">
        <f aca="false">COUNTIF($A$2:$A$3000, N964) + COUNTIF($A$2:$A$3000, O964)</f>
        <v>2</v>
      </c>
      <c r="Q964" s="16" t="str">
        <f aca="false">IF(OR(B964=-1,I964=0, P964&lt;&gt;2), "albhed_dummy", _xlfn.CONCAT("albhed ", RIGHT("  " &amp; K964,2),", ", RIGHT("  " &amp; L964,2), ", " ,"""",H964,""", ", """",N964,""", ","""",O964,""""," ; ", A964))</f>
        <v>albhed 11, 14, "즈", "브", "졔" ; 볜</v>
      </c>
    </row>
    <row r="965" customFormat="false" ht="17.9" hidden="false" customHeight="true" outlineLevel="0" collapsed="false">
      <c r="A965" s="16" t="s">
        <v>1835</v>
      </c>
      <c r="B965" s="16" t="n">
        <f aca="false">IF(_xlfn.UNICODE(A965)&lt;44032,-1,_xlfn.UNICODE(A965)-44032)</f>
        <v>4340</v>
      </c>
      <c r="C965" s="16" t="n">
        <f aca="false">IF(B965=-1,-1,INT((B965/28)/21))</f>
        <v>7</v>
      </c>
      <c r="D965" s="16" t="n">
        <f aca="false">IF(B965=-1, -1, MOD(INT(B965/28),21))</f>
        <v>8</v>
      </c>
      <c r="E965" s="16" t="n">
        <f aca="false">IF(B965=-1, -1, VLOOKUP(MOD(B965,28), $T$24:$U$52,2))</f>
        <v>0</v>
      </c>
      <c r="F965" s="16" t="n">
        <f aca="false">IF($B965=-1, -1, VLOOKUP(C965,$T$1:$V$20, 2))</f>
        <v>12</v>
      </c>
      <c r="G965" s="16" t="n">
        <f aca="false">IF($B965=-1, -1, VLOOKUP(D965,$Y$1:$Z$22,2))</f>
        <v>4</v>
      </c>
      <c r="H965" s="16" t="str">
        <f aca="false">_xlfn.UNICHAR(((F965*21)+G965)*28+44032)</f>
        <v>저</v>
      </c>
      <c r="I965" s="16" t="n">
        <f aca="false">IF(B965=-1, 1, COUNTIF($A$2:$A$3000, H965))</f>
        <v>1</v>
      </c>
      <c r="J965" s="10" t="str">
        <f aca="false">_xlfn.CONCAT(A965, ",",H965,",",I965)</f>
        <v>보,저,1</v>
      </c>
      <c r="K965" s="16" t="n">
        <f aca="false">IF(B965=-1,-1,VLOOKUP(C965,$T$1:$V$20,3))</f>
        <v>11</v>
      </c>
      <c r="L965" s="16" t="n">
        <f aca="false">IF(B965=-1,-1,VLOOKUP(D965,$Y$1:$AA$22,3))</f>
        <v>8</v>
      </c>
      <c r="N965" s="10" t="str">
        <f aca="false">_xlfn.UNICHAR(((C965*21)+G965)*28+44032)</f>
        <v>버</v>
      </c>
      <c r="O965" s="10" t="str">
        <f aca="false">_xlfn.UNICHAR(((F965*21)+D965)*28+44032)</f>
        <v>조</v>
      </c>
      <c r="P965" s="12" t="n">
        <f aca="false">COUNTIF($A$2:$A$3000, N965) + COUNTIF($A$2:$A$3000, O965)</f>
        <v>2</v>
      </c>
      <c r="Q965" s="16" t="str">
        <f aca="false">IF(OR(B965=-1,I965=0, P965&lt;&gt;2), "albhed_dummy", _xlfn.CONCAT("albhed ", RIGHT("  " &amp; K965,2),", ", RIGHT("  " &amp; L965,2), ", " ,"""",H965,""", ", """",N965,""", ","""",O965,""""," ; ", A965))</f>
        <v>albhed 11,  8, "저", "버", "조" ; 보</v>
      </c>
    </row>
    <row r="966" customFormat="false" ht="17.9" hidden="false" customHeight="true" outlineLevel="0" collapsed="false">
      <c r="A966" s="16" t="s">
        <v>1836</v>
      </c>
      <c r="B966" s="16" t="n">
        <f aca="false">IF(_xlfn.UNICODE(A966)&lt;44032,-1,_xlfn.UNICODE(A966)-44032)</f>
        <v>4341</v>
      </c>
      <c r="C966" s="16" t="n">
        <f aca="false">IF(B966=-1,-1,INT((B966/28)/21))</f>
        <v>7</v>
      </c>
      <c r="D966" s="16" t="n">
        <f aca="false">IF(B966=-1, -1, MOD(INT(B966/28),21))</f>
        <v>8</v>
      </c>
      <c r="E966" s="16" t="n">
        <f aca="false">IF(B966=-1, -1, VLOOKUP(MOD(B966,28), $T$24:$U$52,2))</f>
        <v>1</v>
      </c>
      <c r="F966" s="16" t="n">
        <f aca="false">IF($B966=-1, -1, VLOOKUP(C966,$T$1:$V$20, 2))</f>
        <v>12</v>
      </c>
      <c r="G966" s="16" t="n">
        <f aca="false">IF($B966=-1, -1, VLOOKUP(D966,$Y$1:$Z$22,2))</f>
        <v>4</v>
      </c>
      <c r="H966" s="16" t="str">
        <f aca="false">_xlfn.UNICHAR(((F966*21)+G966)*28+44032)</f>
        <v>저</v>
      </c>
      <c r="I966" s="16" t="n">
        <f aca="false">IF(B966=-1, 1, COUNTIF($A$2:$A$3000, H966))</f>
        <v>1</v>
      </c>
      <c r="J966" s="10" t="str">
        <f aca="false">_xlfn.CONCAT(A966, ",",H966,",",I966)</f>
        <v>복,저,1</v>
      </c>
      <c r="K966" s="16" t="n">
        <f aca="false">IF(B966=-1,-1,VLOOKUP(C966,$T$1:$V$20,3))</f>
        <v>11</v>
      </c>
      <c r="L966" s="16" t="n">
        <f aca="false">IF(B966=-1,-1,VLOOKUP(D966,$Y$1:$AA$22,3))</f>
        <v>8</v>
      </c>
      <c r="N966" s="10" t="str">
        <f aca="false">_xlfn.UNICHAR(((C966*21)+G966)*28+44032)</f>
        <v>버</v>
      </c>
      <c r="O966" s="10" t="str">
        <f aca="false">_xlfn.UNICHAR(((F966*21)+D966)*28+44032)</f>
        <v>조</v>
      </c>
      <c r="P966" s="12" t="n">
        <f aca="false">COUNTIF($A$2:$A$3000, N966) + COUNTIF($A$2:$A$3000, O966)</f>
        <v>2</v>
      </c>
      <c r="Q966" s="16" t="str">
        <f aca="false">IF(OR(B966=-1,I966=0, P966&lt;&gt;2), "albhed_dummy", _xlfn.CONCAT("albhed ", RIGHT("  " &amp; K966,2),", ", RIGHT("  " &amp; L966,2), ", " ,"""",H966,""", ", """",N966,""", ","""",O966,""""," ; ", A966))</f>
        <v>albhed 11,  8, "저", "버", "조" ; 복</v>
      </c>
    </row>
    <row r="967" customFormat="false" ht="17.9" hidden="false" customHeight="true" outlineLevel="0" collapsed="false">
      <c r="A967" s="16" t="s">
        <v>1837</v>
      </c>
      <c r="B967" s="16" t="n">
        <f aca="false">IF(_xlfn.UNICODE(A967)&lt;44032,-1,_xlfn.UNICODE(A967)-44032)</f>
        <v>4342</v>
      </c>
      <c r="C967" s="16" t="n">
        <f aca="false">IF(B967=-1,-1,INT((B967/28)/21))</f>
        <v>7</v>
      </c>
      <c r="D967" s="16" t="n">
        <f aca="false">IF(B967=-1, -1, MOD(INT(B967/28),21))</f>
        <v>8</v>
      </c>
      <c r="E967" s="16" t="n">
        <f aca="false">IF(B967=-1, -1, VLOOKUP(MOD(B967,28), $T$24:$U$52,2))</f>
        <v>1</v>
      </c>
      <c r="F967" s="16" t="n">
        <f aca="false">IF($B967=-1, -1, VLOOKUP(C967,$T$1:$V$20, 2))</f>
        <v>12</v>
      </c>
      <c r="G967" s="16" t="n">
        <f aca="false">IF($B967=-1, -1, VLOOKUP(D967,$Y$1:$Z$22,2))</f>
        <v>4</v>
      </c>
      <c r="H967" s="16" t="str">
        <f aca="false">_xlfn.UNICHAR(((F967*21)+G967)*28+44032)</f>
        <v>저</v>
      </c>
      <c r="I967" s="16" t="n">
        <f aca="false">IF(B967=-1, 1, COUNTIF($A$2:$A$3000, H967))</f>
        <v>1</v>
      </c>
      <c r="J967" s="10" t="str">
        <f aca="false">_xlfn.CONCAT(A967, ",",H967,",",I967)</f>
        <v>볶,저,1</v>
      </c>
      <c r="K967" s="16" t="n">
        <f aca="false">IF(B967=-1,-1,VLOOKUP(C967,$T$1:$V$20,3))</f>
        <v>11</v>
      </c>
      <c r="L967" s="16" t="n">
        <f aca="false">IF(B967=-1,-1,VLOOKUP(D967,$Y$1:$AA$22,3))</f>
        <v>8</v>
      </c>
      <c r="N967" s="10" t="str">
        <f aca="false">_xlfn.UNICHAR(((C967*21)+G967)*28+44032)</f>
        <v>버</v>
      </c>
      <c r="O967" s="10" t="str">
        <f aca="false">_xlfn.UNICHAR(((F967*21)+D967)*28+44032)</f>
        <v>조</v>
      </c>
      <c r="P967" s="12" t="n">
        <f aca="false">COUNTIF($A$2:$A$3000, N967) + COUNTIF($A$2:$A$3000, O967)</f>
        <v>2</v>
      </c>
      <c r="Q967" s="16" t="str">
        <f aca="false">IF(OR(B967=-1,I967=0, P967&lt;&gt;2), "albhed_dummy", _xlfn.CONCAT("albhed ", RIGHT("  " &amp; K967,2),", ", RIGHT("  " &amp; L967,2), ", " ,"""",H967,""", ", """",N967,""", ","""",O967,""""," ; ", A967))</f>
        <v>albhed 11,  8, "저", "버", "조" ; 볶</v>
      </c>
    </row>
    <row r="968" customFormat="false" ht="17.9" hidden="false" customHeight="true" outlineLevel="0" collapsed="false">
      <c r="A968" s="16" t="s">
        <v>1838</v>
      </c>
      <c r="B968" s="16" t="n">
        <f aca="false">IF(_xlfn.UNICODE(A968)&lt;44032,-1,_xlfn.UNICODE(A968)-44032)</f>
        <v>4344</v>
      </c>
      <c r="C968" s="16" t="n">
        <f aca="false">IF(B968=-1,-1,INT((B968/28)/21))</f>
        <v>7</v>
      </c>
      <c r="D968" s="16" t="n">
        <f aca="false">IF(B968=-1, -1, MOD(INT(B968/28),21))</f>
        <v>8</v>
      </c>
      <c r="E968" s="16" t="n">
        <f aca="false">IF(B968=-1, -1, VLOOKUP(MOD(B968,28), $T$24:$U$52,2))</f>
        <v>4</v>
      </c>
      <c r="F968" s="16" t="n">
        <f aca="false">IF($B968=-1, -1, VLOOKUP(C968,$T$1:$V$20, 2))</f>
        <v>12</v>
      </c>
      <c r="G968" s="16" t="n">
        <f aca="false">IF($B968=-1, -1, VLOOKUP(D968,$Y$1:$Z$22,2))</f>
        <v>4</v>
      </c>
      <c r="H968" s="16" t="str">
        <f aca="false">_xlfn.UNICHAR(((F968*21)+G968)*28+44032)</f>
        <v>저</v>
      </c>
      <c r="I968" s="16" t="n">
        <f aca="false">IF(B968=-1, 1, COUNTIF($A$2:$A$3000, H968))</f>
        <v>1</v>
      </c>
      <c r="J968" s="10" t="str">
        <f aca="false">_xlfn.CONCAT(A968, ",",H968,",",I968)</f>
        <v>본,저,1</v>
      </c>
      <c r="K968" s="16" t="n">
        <f aca="false">IF(B968=-1,-1,VLOOKUP(C968,$T$1:$V$20,3))</f>
        <v>11</v>
      </c>
      <c r="L968" s="16" t="n">
        <f aca="false">IF(B968=-1,-1,VLOOKUP(D968,$Y$1:$AA$22,3))</f>
        <v>8</v>
      </c>
      <c r="N968" s="10" t="str">
        <f aca="false">_xlfn.UNICHAR(((C968*21)+G968)*28+44032)</f>
        <v>버</v>
      </c>
      <c r="O968" s="10" t="str">
        <f aca="false">_xlfn.UNICHAR(((F968*21)+D968)*28+44032)</f>
        <v>조</v>
      </c>
      <c r="P968" s="12" t="n">
        <f aca="false">COUNTIF($A$2:$A$3000, N968) + COUNTIF($A$2:$A$3000, O968)</f>
        <v>2</v>
      </c>
      <c r="Q968" s="16" t="str">
        <f aca="false">IF(OR(B968=-1,I968=0, P968&lt;&gt;2), "albhed_dummy", _xlfn.CONCAT("albhed ", RIGHT("  " &amp; K968,2),", ", RIGHT("  " &amp; L968,2), ", " ,"""",H968,""", ", """",N968,""", ","""",O968,""""," ; ", A968))</f>
        <v>albhed 11,  8, "저", "버", "조" ; 본</v>
      </c>
    </row>
    <row r="969" customFormat="false" ht="17.9" hidden="false" customHeight="true" outlineLevel="0" collapsed="false">
      <c r="A969" s="16" t="s">
        <v>1839</v>
      </c>
      <c r="B969" s="16" t="n">
        <f aca="false">IF(_xlfn.UNICODE(A969)&lt;44032,-1,_xlfn.UNICODE(A969)-44032)</f>
        <v>4348</v>
      </c>
      <c r="C969" s="16" t="n">
        <f aca="false">IF(B969=-1,-1,INT((B969/28)/21))</f>
        <v>7</v>
      </c>
      <c r="D969" s="16" t="n">
        <f aca="false">IF(B969=-1, -1, MOD(INT(B969/28),21))</f>
        <v>8</v>
      </c>
      <c r="E969" s="16" t="n">
        <f aca="false">IF(B969=-1, -1, VLOOKUP(MOD(B969,28), $T$24:$U$52,2))</f>
        <v>8</v>
      </c>
      <c r="F969" s="16" t="n">
        <f aca="false">IF($B969=-1, -1, VLOOKUP(C969,$T$1:$V$20, 2))</f>
        <v>12</v>
      </c>
      <c r="G969" s="16" t="n">
        <f aca="false">IF($B969=-1, -1, VLOOKUP(D969,$Y$1:$Z$22,2))</f>
        <v>4</v>
      </c>
      <c r="H969" s="16" t="str">
        <f aca="false">_xlfn.UNICHAR(((F969*21)+G969)*28+44032)</f>
        <v>저</v>
      </c>
      <c r="I969" s="16" t="n">
        <f aca="false">IF(B969=-1, 1, COUNTIF($A$2:$A$3000, H969))</f>
        <v>1</v>
      </c>
      <c r="J969" s="10" t="str">
        <f aca="false">_xlfn.CONCAT(A969, ",",H969,",",I969)</f>
        <v>볼,저,1</v>
      </c>
      <c r="K969" s="16" t="n">
        <f aca="false">IF(B969=-1,-1,VLOOKUP(C969,$T$1:$V$20,3))</f>
        <v>11</v>
      </c>
      <c r="L969" s="16" t="n">
        <f aca="false">IF(B969=-1,-1,VLOOKUP(D969,$Y$1:$AA$22,3))</f>
        <v>8</v>
      </c>
      <c r="N969" s="10" t="str">
        <f aca="false">_xlfn.UNICHAR(((C969*21)+G969)*28+44032)</f>
        <v>버</v>
      </c>
      <c r="O969" s="10" t="str">
        <f aca="false">_xlfn.UNICHAR(((F969*21)+D969)*28+44032)</f>
        <v>조</v>
      </c>
      <c r="P969" s="12" t="n">
        <f aca="false">COUNTIF($A$2:$A$3000, N969) + COUNTIF($A$2:$A$3000, O969)</f>
        <v>2</v>
      </c>
      <c r="Q969" s="16" t="str">
        <f aca="false">IF(OR(B969=-1,I969=0, P969&lt;&gt;2), "albhed_dummy", _xlfn.CONCAT("albhed ", RIGHT("  " &amp; K969,2),", ", RIGHT("  " &amp; L969,2), ", " ,"""",H969,""", ", """",N969,""", ","""",O969,""""," ; ", A969))</f>
        <v>albhed 11,  8, "저", "버", "조" ; 볼</v>
      </c>
    </row>
    <row r="970" customFormat="false" ht="17.9" hidden="false" customHeight="true" outlineLevel="0" collapsed="false">
      <c r="A970" s="16" t="s">
        <v>1840</v>
      </c>
      <c r="B970" s="16" t="n">
        <f aca="false">IF(_xlfn.UNICODE(A970)&lt;44032,-1,_xlfn.UNICODE(A970)-44032)</f>
        <v>4356</v>
      </c>
      <c r="C970" s="16" t="n">
        <f aca="false">IF(B970=-1,-1,INT((B970/28)/21))</f>
        <v>7</v>
      </c>
      <c r="D970" s="16" t="n">
        <f aca="false">IF(B970=-1, -1, MOD(INT(B970/28),21))</f>
        <v>8</v>
      </c>
      <c r="E970" s="16" t="n">
        <f aca="false">IF(B970=-1, -1, VLOOKUP(MOD(B970,28), $T$24:$U$52,2))</f>
        <v>16</v>
      </c>
      <c r="F970" s="16" t="n">
        <f aca="false">IF($B970=-1, -1, VLOOKUP(C970,$T$1:$V$20, 2))</f>
        <v>12</v>
      </c>
      <c r="G970" s="16" t="n">
        <f aca="false">IF($B970=-1, -1, VLOOKUP(D970,$Y$1:$Z$22,2))</f>
        <v>4</v>
      </c>
      <c r="H970" s="16" t="str">
        <f aca="false">_xlfn.UNICHAR(((F970*21)+G970)*28+44032)</f>
        <v>저</v>
      </c>
      <c r="I970" s="16" t="n">
        <f aca="false">IF(B970=-1, 1, COUNTIF($A$2:$A$3000, H970))</f>
        <v>1</v>
      </c>
      <c r="J970" s="10" t="str">
        <f aca="false">_xlfn.CONCAT(A970, ",",H970,",",I970)</f>
        <v>봄,저,1</v>
      </c>
      <c r="K970" s="16" t="n">
        <f aca="false">IF(B970=-1,-1,VLOOKUP(C970,$T$1:$V$20,3))</f>
        <v>11</v>
      </c>
      <c r="L970" s="16" t="n">
        <f aca="false">IF(B970=-1,-1,VLOOKUP(D970,$Y$1:$AA$22,3))</f>
        <v>8</v>
      </c>
      <c r="N970" s="10" t="str">
        <f aca="false">_xlfn.UNICHAR(((C970*21)+G970)*28+44032)</f>
        <v>버</v>
      </c>
      <c r="O970" s="10" t="str">
        <f aca="false">_xlfn.UNICHAR(((F970*21)+D970)*28+44032)</f>
        <v>조</v>
      </c>
      <c r="P970" s="12" t="n">
        <f aca="false">COUNTIF($A$2:$A$3000, N970) + COUNTIF($A$2:$A$3000, O970)</f>
        <v>2</v>
      </c>
      <c r="Q970" s="16" t="str">
        <f aca="false">IF(OR(B970=-1,I970=0, P970&lt;&gt;2), "albhed_dummy", _xlfn.CONCAT("albhed ", RIGHT("  " &amp; K970,2),", ", RIGHT("  " &amp; L970,2), ", " ,"""",H970,""", ", """",N970,""", ","""",O970,""""," ; ", A970))</f>
        <v>albhed 11,  8, "저", "버", "조" ; 봄</v>
      </c>
    </row>
    <row r="971" customFormat="false" ht="17.9" hidden="false" customHeight="true" outlineLevel="0" collapsed="false">
      <c r="A971" s="16" t="s">
        <v>1841</v>
      </c>
      <c r="B971" s="16" t="n">
        <f aca="false">IF(_xlfn.UNICODE(A971)&lt;44032,-1,_xlfn.UNICODE(A971)-44032)</f>
        <v>4357</v>
      </c>
      <c r="C971" s="16" t="n">
        <f aca="false">IF(B971=-1,-1,INT((B971/28)/21))</f>
        <v>7</v>
      </c>
      <c r="D971" s="16" t="n">
        <f aca="false">IF(B971=-1, -1, MOD(INT(B971/28),21))</f>
        <v>8</v>
      </c>
      <c r="E971" s="16" t="n">
        <f aca="false">IF(B971=-1, -1, VLOOKUP(MOD(B971,28), $T$24:$U$52,2))</f>
        <v>17</v>
      </c>
      <c r="F971" s="16" t="n">
        <f aca="false">IF($B971=-1, -1, VLOOKUP(C971,$T$1:$V$20, 2))</f>
        <v>12</v>
      </c>
      <c r="G971" s="16" t="n">
        <f aca="false">IF($B971=-1, -1, VLOOKUP(D971,$Y$1:$Z$22,2))</f>
        <v>4</v>
      </c>
      <c r="H971" s="16" t="str">
        <f aca="false">_xlfn.UNICHAR(((F971*21)+G971)*28+44032)</f>
        <v>저</v>
      </c>
      <c r="I971" s="16" t="n">
        <f aca="false">IF(B971=-1, 1, COUNTIF($A$2:$A$3000, H971))</f>
        <v>1</v>
      </c>
      <c r="J971" s="10" t="str">
        <f aca="false">_xlfn.CONCAT(A971, ",",H971,",",I971)</f>
        <v>봅,저,1</v>
      </c>
      <c r="K971" s="16" t="n">
        <f aca="false">IF(B971=-1,-1,VLOOKUP(C971,$T$1:$V$20,3))</f>
        <v>11</v>
      </c>
      <c r="L971" s="16" t="n">
        <f aca="false">IF(B971=-1,-1,VLOOKUP(D971,$Y$1:$AA$22,3))</f>
        <v>8</v>
      </c>
      <c r="N971" s="10" t="str">
        <f aca="false">_xlfn.UNICHAR(((C971*21)+G971)*28+44032)</f>
        <v>버</v>
      </c>
      <c r="O971" s="10" t="str">
        <f aca="false">_xlfn.UNICHAR(((F971*21)+D971)*28+44032)</f>
        <v>조</v>
      </c>
      <c r="P971" s="12" t="n">
        <f aca="false">COUNTIF($A$2:$A$3000, N971) + COUNTIF($A$2:$A$3000, O971)</f>
        <v>2</v>
      </c>
      <c r="Q971" s="16" t="str">
        <f aca="false">IF(OR(B971=-1,I971=0, P971&lt;&gt;2), "albhed_dummy", _xlfn.CONCAT("albhed ", RIGHT("  " &amp; K971,2),", ", RIGHT("  " &amp; L971,2), ", " ,"""",H971,""", ", """",N971,""", ","""",O971,""""," ; ", A971))</f>
        <v>albhed 11,  8, "저", "버", "조" ; 봅</v>
      </c>
    </row>
    <row r="972" customFormat="false" ht="17.9" hidden="false" customHeight="true" outlineLevel="0" collapsed="false">
      <c r="A972" s="16" t="s">
        <v>1842</v>
      </c>
      <c r="B972" s="16" t="n">
        <f aca="false">IF(_xlfn.UNICODE(A972)&lt;44032,-1,_xlfn.UNICODE(A972)-44032)</f>
        <v>4359</v>
      </c>
      <c r="C972" s="16" t="n">
        <f aca="false">IF(B972=-1,-1,INT((B972/28)/21))</f>
        <v>7</v>
      </c>
      <c r="D972" s="16" t="n">
        <f aca="false">IF(B972=-1, -1, MOD(INT(B972/28),21))</f>
        <v>8</v>
      </c>
      <c r="E972" s="16" t="n">
        <f aca="false">IF(B972=-1, -1, VLOOKUP(MOD(B972,28), $T$24:$U$52,2))</f>
        <v>19</v>
      </c>
      <c r="F972" s="16" t="n">
        <f aca="false">IF($B972=-1, -1, VLOOKUP(C972,$T$1:$V$20, 2))</f>
        <v>12</v>
      </c>
      <c r="G972" s="16" t="n">
        <f aca="false">IF($B972=-1, -1, VLOOKUP(D972,$Y$1:$Z$22,2))</f>
        <v>4</v>
      </c>
      <c r="H972" s="16" t="str">
        <f aca="false">_xlfn.UNICHAR(((F972*21)+G972)*28+44032)</f>
        <v>저</v>
      </c>
      <c r="I972" s="16" t="n">
        <f aca="false">IF(B972=-1, 1, COUNTIF($A$2:$A$3000, H972))</f>
        <v>1</v>
      </c>
      <c r="J972" s="10" t="str">
        <f aca="false">_xlfn.CONCAT(A972, ",",H972,",",I972)</f>
        <v>봇,저,1</v>
      </c>
      <c r="K972" s="16" t="n">
        <f aca="false">IF(B972=-1,-1,VLOOKUP(C972,$T$1:$V$20,3))</f>
        <v>11</v>
      </c>
      <c r="L972" s="16" t="n">
        <f aca="false">IF(B972=-1,-1,VLOOKUP(D972,$Y$1:$AA$22,3))</f>
        <v>8</v>
      </c>
      <c r="N972" s="10" t="str">
        <f aca="false">_xlfn.UNICHAR(((C972*21)+G972)*28+44032)</f>
        <v>버</v>
      </c>
      <c r="O972" s="10" t="str">
        <f aca="false">_xlfn.UNICHAR(((F972*21)+D972)*28+44032)</f>
        <v>조</v>
      </c>
      <c r="P972" s="12" t="n">
        <f aca="false">COUNTIF($A$2:$A$3000, N972) + COUNTIF($A$2:$A$3000, O972)</f>
        <v>2</v>
      </c>
      <c r="Q972" s="16" t="str">
        <f aca="false">IF(OR(B972=-1,I972=0, P972&lt;&gt;2), "albhed_dummy", _xlfn.CONCAT("albhed ", RIGHT("  " &amp; K972,2),", ", RIGHT("  " &amp; L972,2), ", " ,"""",H972,""", ", """",N972,""", ","""",O972,""""," ; ", A972))</f>
        <v>albhed 11,  8, "저", "버", "조" ; 봇</v>
      </c>
    </row>
    <row r="973" customFormat="false" ht="17.9" hidden="false" customHeight="true" outlineLevel="0" collapsed="false">
      <c r="A973" s="16" t="s">
        <v>1843</v>
      </c>
      <c r="B973" s="16" t="n">
        <f aca="false">IF(_xlfn.UNICODE(A973)&lt;44032,-1,_xlfn.UNICODE(A973)-44032)</f>
        <v>4361</v>
      </c>
      <c r="C973" s="16" t="n">
        <f aca="false">IF(B973=-1,-1,INT((B973/28)/21))</f>
        <v>7</v>
      </c>
      <c r="D973" s="16" t="n">
        <f aca="false">IF(B973=-1, -1, MOD(INT(B973/28),21))</f>
        <v>8</v>
      </c>
      <c r="E973" s="16" t="n">
        <f aca="false">IF(B973=-1, -1, VLOOKUP(MOD(B973,28), $T$24:$U$52,2))</f>
        <v>21</v>
      </c>
      <c r="F973" s="16" t="n">
        <f aca="false">IF($B973=-1, -1, VLOOKUP(C973,$T$1:$V$20, 2))</f>
        <v>12</v>
      </c>
      <c r="G973" s="16" t="n">
        <f aca="false">IF($B973=-1, -1, VLOOKUP(D973,$Y$1:$Z$22,2))</f>
        <v>4</v>
      </c>
      <c r="H973" s="16" t="str">
        <f aca="false">_xlfn.UNICHAR(((F973*21)+G973)*28+44032)</f>
        <v>저</v>
      </c>
      <c r="I973" s="16" t="n">
        <f aca="false">IF(B973=-1, 1, COUNTIF($A$2:$A$3000, H973))</f>
        <v>1</v>
      </c>
      <c r="J973" s="10" t="str">
        <f aca="false">_xlfn.CONCAT(A973, ",",H973,",",I973)</f>
        <v>봉,저,1</v>
      </c>
      <c r="K973" s="16" t="n">
        <f aca="false">IF(B973=-1,-1,VLOOKUP(C973,$T$1:$V$20,3))</f>
        <v>11</v>
      </c>
      <c r="L973" s="16" t="n">
        <f aca="false">IF(B973=-1,-1,VLOOKUP(D973,$Y$1:$AA$22,3))</f>
        <v>8</v>
      </c>
      <c r="N973" s="10" t="str">
        <f aca="false">_xlfn.UNICHAR(((C973*21)+G973)*28+44032)</f>
        <v>버</v>
      </c>
      <c r="O973" s="10" t="str">
        <f aca="false">_xlfn.UNICHAR(((F973*21)+D973)*28+44032)</f>
        <v>조</v>
      </c>
      <c r="P973" s="12" t="n">
        <f aca="false">COUNTIF($A$2:$A$3000, N973) + COUNTIF($A$2:$A$3000, O973)</f>
        <v>2</v>
      </c>
      <c r="Q973" s="16" t="str">
        <f aca="false">IF(OR(B973=-1,I973=0, P973&lt;&gt;2), "albhed_dummy", _xlfn.CONCAT("albhed ", RIGHT("  " &amp; K973,2),", ", RIGHT("  " &amp; L973,2), ", " ,"""",H973,""", ", """",N973,""", ","""",O973,""""," ; ", A973))</f>
        <v>albhed 11,  8, "저", "버", "조" ; 봉</v>
      </c>
    </row>
    <row r="974" customFormat="false" ht="17.9" hidden="false" customHeight="true" outlineLevel="0" collapsed="false">
      <c r="A974" s="16" t="s">
        <v>1844</v>
      </c>
      <c r="B974" s="16" t="n">
        <f aca="false">IF(_xlfn.UNICODE(A974)&lt;44032,-1,_xlfn.UNICODE(A974)-44032)</f>
        <v>4368</v>
      </c>
      <c r="C974" s="16" t="n">
        <f aca="false">IF(B974=-1,-1,INT((B974/28)/21))</f>
        <v>7</v>
      </c>
      <c r="D974" s="16" t="n">
        <f aca="false">IF(B974=-1, -1, MOD(INT(B974/28),21))</f>
        <v>9</v>
      </c>
      <c r="E974" s="16" t="n">
        <f aca="false">IF(B974=-1, -1, VLOOKUP(MOD(B974,28), $T$24:$U$52,2))</f>
        <v>0</v>
      </c>
      <c r="F974" s="16" t="n">
        <f aca="false">IF($B974=-1, -1, VLOOKUP(C974,$T$1:$V$20, 2))</f>
        <v>12</v>
      </c>
      <c r="G974" s="16" t="n">
        <f aca="false">IF($B974=-1, -1, VLOOKUP(D974,$Y$1:$Z$22,2))</f>
        <v>20</v>
      </c>
      <c r="H974" s="16" t="str">
        <f aca="false">_xlfn.UNICHAR(((F974*21)+G974)*28+44032)</f>
        <v>지</v>
      </c>
      <c r="I974" s="16" t="n">
        <f aca="false">IF(B974=-1, 1, COUNTIF($A$2:$A$3000, H974))</f>
        <v>1</v>
      </c>
      <c r="J974" s="10" t="str">
        <f aca="false">_xlfn.CONCAT(A974, ",",H974,",",I974)</f>
        <v>봐,지,1</v>
      </c>
      <c r="K974" s="16" t="n">
        <f aca="false">IF(B974=-1,-1,VLOOKUP(C974,$T$1:$V$20,3))</f>
        <v>11</v>
      </c>
      <c r="L974" s="16" t="n">
        <f aca="false">IF(B974=-1,-1,VLOOKUP(D974,$Y$1:$AA$22,3))</f>
        <v>12</v>
      </c>
      <c r="N974" s="10" t="str">
        <f aca="false">_xlfn.UNICHAR(((C974*21)+G974)*28+44032)</f>
        <v>비</v>
      </c>
      <c r="O974" s="10" t="str">
        <f aca="false">_xlfn.UNICHAR(((F974*21)+D974)*28+44032)</f>
        <v>좌</v>
      </c>
      <c r="P974" s="12" t="n">
        <f aca="false">COUNTIF($A$2:$A$3000, N974) + COUNTIF($A$2:$A$3000, O974)</f>
        <v>2</v>
      </c>
      <c r="Q974" s="16" t="str">
        <f aca="false">IF(OR(B974=-1,I974=0, P974&lt;&gt;2), "albhed_dummy", _xlfn.CONCAT("albhed ", RIGHT("  " &amp; K974,2),", ", RIGHT("  " &amp; L974,2), ", " ,"""",H974,""", ", """",N974,""", ","""",O974,""""," ; ", A974))</f>
        <v>albhed 11, 12, "지", "비", "좌" ; 봐</v>
      </c>
    </row>
    <row r="975" customFormat="false" ht="17.9" hidden="false" customHeight="true" outlineLevel="0" collapsed="false">
      <c r="A975" s="16" t="s">
        <v>1845</v>
      </c>
      <c r="B975" s="16" t="n">
        <f aca="false">IF(_xlfn.UNICODE(A975)&lt;44032,-1,_xlfn.UNICODE(A975)-44032)</f>
        <v>4372</v>
      </c>
      <c r="C975" s="16" t="n">
        <f aca="false">IF(B975=-1,-1,INT((B975/28)/21))</f>
        <v>7</v>
      </c>
      <c r="D975" s="16" t="n">
        <f aca="false">IF(B975=-1, -1, MOD(INT(B975/28),21))</f>
        <v>9</v>
      </c>
      <c r="E975" s="16" t="n">
        <f aca="false">IF(B975=-1, -1, VLOOKUP(MOD(B975,28), $T$24:$U$52,2))</f>
        <v>4</v>
      </c>
      <c r="F975" s="16" t="n">
        <f aca="false">IF($B975=-1, -1, VLOOKUP(C975,$T$1:$V$20, 2))</f>
        <v>12</v>
      </c>
      <c r="G975" s="16" t="n">
        <f aca="false">IF($B975=-1, -1, VLOOKUP(D975,$Y$1:$Z$22,2))</f>
        <v>20</v>
      </c>
      <c r="H975" s="16" t="str">
        <f aca="false">_xlfn.UNICHAR(((F975*21)+G975)*28+44032)</f>
        <v>지</v>
      </c>
      <c r="I975" s="16" t="n">
        <f aca="false">IF(B975=-1, 1, COUNTIF($A$2:$A$3000, H975))</f>
        <v>1</v>
      </c>
      <c r="J975" s="10" t="str">
        <f aca="false">_xlfn.CONCAT(A975, ",",H975,",",I975)</f>
        <v>봔,지,1</v>
      </c>
      <c r="K975" s="16" t="n">
        <f aca="false">IF(B975=-1,-1,VLOOKUP(C975,$T$1:$V$20,3))</f>
        <v>11</v>
      </c>
      <c r="L975" s="16" t="n">
        <f aca="false">IF(B975=-1,-1,VLOOKUP(D975,$Y$1:$AA$22,3))</f>
        <v>12</v>
      </c>
      <c r="N975" s="10" t="str">
        <f aca="false">_xlfn.UNICHAR(((C975*21)+G975)*28+44032)</f>
        <v>비</v>
      </c>
      <c r="O975" s="10" t="str">
        <f aca="false">_xlfn.UNICHAR(((F975*21)+D975)*28+44032)</f>
        <v>좌</v>
      </c>
      <c r="P975" s="12" t="n">
        <f aca="false">COUNTIF($A$2:$A$3000, N975) + COUNTIF($A$2:$A$3000, O975)</f>
        <v>2</v>
      </c>
      <c r="Q975" s="16" t="str">
        <f aca="false">IF(OR(B975=-1,I975=0, P975&lt;&gt;2), "albhed_dummy", _xlfn.CONCAT("albhed ", RIGHT("  " &amp; K975,2),", ", RIGHT("  " &amp; L975,2), ", " ,"""",H975,""", ", """",N975,""", ","""",O975,""""," ; ", A975))</f>
        <v>albhed 11, 12, "지", "비", "좌" ; 봔</v>
      </c>
    </row>
    <row r="976" customFormat="false" ht="17.9" hidden="false" customHeight="true" outlineLevel="0" collapsed="false">
      <c r="A976" s="16" t="s">
        <v>1846</v>
      </c>
      <c r="B976" s="16" t="n">
        <f aca="false">IF(_xlfn.UNICODE(A976)&lt;44032,-1,_xlfn.UNICODE(A976)-44032)</f>
        <v>4388</v>
      </c>
      <c r="C976" s="16" t="n">
        <f aca="false">IF(B976=-1,-1,INT((B976/28)/21))</f>
        <v>7</v>
      </c>
      <c r="D976" s="16" t="n">
        <f aca="false">IF(B976=-1, -1, MOD(INT(B976/28),21))</f>
        <v>9</v>
      </c>
      <c r="E976" s="16" t="n">
        <f aca="false">IF(B976=-1, -1, VLOOKUP(MOD(B976,28), $T$24:$U$52,2))</f>
        <v>19</v>
      </c>
      <c r="F976" s="16" t="n">
        <f aca="false">IF($B976=-1, -1, VLOOKUP(C976,$T$1:$V$20, 2))</f>
        <v>12</v>
      </c>
      <c r="G976" s="16" t="n">
        <f aca="false">IF($B976=-1, -1, VLOOKUP(D976,$Y$1:$Z$22,2))</f>
        <v>20</v>
      </c>
      <c r="H976" s="16" t="str">
        <f aca="false">_xlfn.UNICHAR(((F976*21)+G976)*28+44032)</f>
        <v>지</v>
      </c>
      <c r="I976" s="16" t="n">
        <f aca="false">IF(B976=-1, 1, COUNTIF($A$2:$A$3000, H976))</f>
        <v>1</v>
      </c>
      <c r="J976" s="10" t="str">
        <f aca="false">_xlfn.CONCAT(A976, ",",H976,",",I976)</f>
        <v>봤,지,1</v>
      </c>
      <c r="K976" s="16" t="n">
        <f aca="false">IF(B976=-1,-1,VLOOKUP(C976,$T$1:$V$20,3))</f>
        <v>11</v>
      </c>
      <c r="L976" s="16" t="n">
        <f aca="false">IF(B976=-1,-1,VLOOKUP(D976,$Y$1:$AA$22,3))</f>
        <v>12</v>
      </c>
      <c r="N976" s="10" t="str">
        <f aca="false">_xlfn.UNICHAR(((C976*21)+G976)*28+44032)</f>
        <v>비</v>
      </c>
      <c r="O976" s="10" t="str">
        <f aca="false">_xlfn.UNICHAR(((F976*21)+D976)*28+44032)</f>
        <v>좌</v>
      </c>
      <c r="P976" s="12" t="n">
        <f aca="false">COUNTIF($A$2:$A$3000, N976) + COUNTIF($A$2:$A$3000, O976)</f>
        <v>2</v>
      </c>
      <c r="Q976" s="16" t="str">
        <f aca="false">IF(OR(B976=-1,I976=0, P976&lt;&gt;2), "albhed_dummy", _xlfn.CONCAT("albhed ", RIGHT("  " &amp; K976,2),", ", RIGHT("  " &amp; L976,2), ", " ,"""",H976,""", ", """",N976,""", ","""",O976,""""," ; ", A976))</f>
        <v>albhed 11, 12, "지", "비", "좌" ; 봤</v>
      </c>
    </row>
    <row r="977" customFormat="false" ht="17.9" hidden="false" customHeight="true" outlineLevel="0" collapsed="false">
      <c r="A977" s="16" t="s">
        <v>1847</v>
      </c>
      <c r="B977" s="16" t="n">
        <f aca="false">IF(_xlfn.UNICODE(A977)&lt;44032,-1,_xlfn.UNICODE(A977)-44032)</f>
        <v>4396</v>
      </c>
      <c r="C977" s="16" t="n">
        <f aca="false">IF(B977=-1,-1,INT((B977/28)/21))</f>
        <v>7</v>
      </c>
      <c r="D977" s="16" t="n">
        <f aca="false">IF(B977=-1, -1, MOD(INT(B977/28),21))</f>
        <v>10</v>
      </c>
      <c r="E977" s="16" t="n">
        <f aca="false">IF(B977=-1, -1, VLOOKUP(MOD(B977,28), $T$24:$U$52,2))</f>
        <v>0</v>
      </c>
      <c r="F977" s="16" t="n">
        <f aca="false">IF($B977=-1, -1, VLOOKUP(C977,$T$1:$V$20, 2))</f>
        <v>12</v>
      </c>
      <c r="G977" s="16" t="n">
        <f aca="false">IF($B977=-1, -1, VLOOKUP(D977,$Y$1:$Z$22,2))</f>
        <v>20</v>
      </c>
      <c r="H977" s="16" t="str">
        <f aca="false">_xlfn.UNICHAR(((F977*21)+G977)*28+44032)</f>
        <v>지</v>
      </c>
      <c r="I977" s="16" t="n">
        <f aca="false">IF(B977=-1, 1, COUNTIF($A$2:$A$3000, H977))</f>
        <v>1</v>
      </c>
      <c r="J977" s="10" t="str">
        <f aca="false">_xlfn.CONCAT(A977, ",",H977,",",I977)</f>
        <v>봬,지,1</v>
      </c>
      <c r="K977" s="16" t="n">
        <f aca="false">IF(B977=-1,-1,VLOOKUP(C977,$T$1:$V$20,3))</f>
        <v>11</v>
      </c>
      <c r="L977" s="16" t="n">
        <f aca="false">IF(B977=-1,-1,VLOOKUP(D977,$Y$1:$AA$22,3))</f>
        <v>12</v>
      </c>
      <c r="N977" s="10" t="str">
        <f aca="false">_xlfn.UNICHAR(((C977*21)+G977)*28+44032)</f>
        <v>비</v>
      </c>
      <c r="O977" s="10" t="str">
        <f aca="false">_xlfn.UNICHAR(((F977*21)+D977)*28+44032)</f>
        <v>좨</v>
      </c>
      <c r="P977" s="12" t="n">
        <f aca="false">COUNTIF($A$2:$A$3000, N977) + COUNTIF($A$2:$A$3000, O977)</f>
        <v>2</v>
      </c>
      <c r="Q977" s="16" t="str">
        <f aca="false">IF(OR(B977=-1,I977=0, P977&lt;&gt;2), "albhed_dummy", _xlfn.CONCAT("albhed ", RIGHT("  " &amp; K977,2),", ", RIGHT("  " &amp; L977,2), ", " ,"""",H977,""", ", """",N977,""", ","""",O977,""""," ; ", A977))</f>
        <v>albhed 11, 12, "지", "비", "좨" ; 봬</v>
      </c>
    </row>
    <row r="978" customFormat="false" ht="17.9" hidden="false" customHeight="true" outlineLevel="0" collapsed="false">
      <c r="A978" s="16" t="s">
        <v>1848</v>
      </c>
      <c r="B978" s="16" t="n">
        <f aca="false">IF(_xlfn.UNICODE(A978)&lt;44032,-1,_xlfn.UNICODE(A978)-44032)</f>
        <v>4416</v>
      </c>
      <c r="C978" s="16" t="n">
        <f aca="false">IF(B978=-1,-1,INT((B978/28)/21))</f>
        <v>7</v>
      </c>
      <c r="D978" s="16" t="n">
        <f aca="false">IF(B978=-1, -1, MOD(INT(B978/28),21))</f>
        <v>10</v>
      </c>
      <c r="E978" s="16" t="n">
        <f aca="false">IF(B978=-1, -1, VLOOKUP(MOD(B978,28), $T$24:$U$52,2))</f>
        <v>19</v>
      </c>
      <c r="F978" s="16" t="n">
        <f aca="false">IF($B978=-1, -1, VLOOKUP(C978,$T$1:$V$20, 2))</f>
        <v>12</v>
      </c>
      <c r="G978" s="16" t="n">
        <f aca="false">IF($B978=-1, -1, VLOOKUP(D978,$Y$1:$Z$22,2))</f>
        <v>20</v>
      </c>
      <c r="H978" s="16" t="str">
        <f aca="false">_xlfn.UNICHAR(((F978*21)+G978)*28+44032)</f>
        <v>지</v>
      </c>
      <c r="I978" s="16" t="n">
        <f aca="false">IF(B978=-1, 1, COUNTIF($A$2:$A$3000, H978))</f>
        <v>1</v>
      </c>
      <c r="J978" s="10" t="str">
        <f aca="false">_xlfn.CONCAT(A978, ",",H978,",",I978)</f>
        <v>뵀,지,1</v>
      </c>
      <c r="K978" s="16" t="n">
        <f aca="false">IF(B978=-1,-1,VLOOKUP(C978,$T$1:$V$20,3))</f>
        <v>11</v>
      </c>
      <c r="L978" s="16" t="n">
        <f aca="false">IF(B978=-1,-1,VLOOKUP(D978,$Y$1:$AA$22,3))</f>
        <v>12</v>
      </c>
      <c r="N978" s="10" t="str">
        <f aca="false">_xlfn.UNICHAR(((C978*21)+G978)*28+44032)</f>
        <v>비</v>
      </c>
      <c r="O978" s="10" t="str">
        <f aca="false">_xlfn.UNICHAR(((F978*21)+D978)*28+44032)</f>
        <v>좨</v>
      </c>
      <c r="P978" s="12" t="n">
        <f aca="false">COUNTIF($A$2:$A$3000, N978) + COUNTIF($A$2:$A$3000, O978)</f>
        <v>2</v>
      </c>
      <c r="Q978" s="16" t="str">
        <f aca="false">IF(OR(B978=-1,I978=0, P978&lt;&gt;2), "albhed_dummy", _xlfn.CONCAT("albhed ", RIGHT("  " &amp; K978,2),", ", RIGHT("  " &amp; L978,2), ", " ,"""",H978,""", ", """",N978,""", ","""",O978,""""," ; ", A978))</f>
        <v>albhed 11, 12, "지", "비", "좨" ; 뵀</v>
      </c>
    </row>
    <row r="979" customFormat="false" ht="17.9" hidden="false" customHeight="true" outlineLevel="0" collapsed="false">
      <c r="A979" s="16" t="s">
        <v>1849</v>
      </c>
      <c r="B979" s="16" t="n">
        <f aca="false">IF(_xlfn.UNICODE(A979)&lt;44032,-1,_xlfn.UNICODE(A979)-44032)</f>
        <v>4424</v>
      </c>
      <c r="C979" s="16" t="n">
        <f aca="false">IF(B979=-1,-1,INT((B979/28)/21))</f>
        <v>7</v>
      </c>
      <c r="D979" s="16" t="n">
        <f aca="false">IF(B979=-1, -1, MOD(INT(B979/28),21))</f>
        <v>11</v>
      </c>
      <c r="E979" s="16" t="n">
        <f aca="false">IF(B979=-1, -1, VLOOKUP(MOD(B979,28), $T$24:$U$52,2))</f>
        <v>0</v>
      </c>
      <c r="F979" s="16" t="n">
        <f aca="false">IF($B979=-1, -1, VLOOKUP(C979,$T$1:$V$20, 2))</f>
        <v>12</v>
      </c>
      <c r="G979" s="16" t="n">
        <f aca="false">IF($B979=-1, -1, VLOOKUP(D979,$Y$1:$Z$22,2))</f>
        <v>20</v>
      </c>
      <c r="H979" s="16" t="str">
        <f aca="false">_xlfn.UNICHAR(((F979*21)+G979)*28+44032)</f>
        <v>지</v>
      </c>
      <c r="I979" s="16" t="n">
        <f aca="false">IF(B979=-1, 1, COUNTIF($A$2:$A$3000, H979))</f>
        <v>1</v>
      </c>
      <c r="J979" s="10" t="str">
        <f aca="false">_xlfn.CONCAT(A979, ",",H979,",",I979)</f>
        <v>뵈,지,1</v>
      </c>
      <c r="K979" s="16" t="n">
        <f aca="false">IF(B979=-1,-1,VLOOKUP(C979,$T$1:$V$20,3))</f>
        <v>11</v>
      </c>
      <c r="L979" s="16" t="n">
        <f aca="false">IF(B979=-1,-1,VLOOKUP(D979,$Y$1:$AA$22,3))</f>
        <v>22</v>
      </c>
      <c r="N979" s="10" t="str">
        <f aca="false">_xlfn.UNICHAR(((C979*21)+G979)*28+44032)</f>
        <v>비</v>
      </c>
      <c r="O979" s="10" t="str">
        <f aca="false">_xlfn.UNICHAR(((F979*21)+D979)*28+44032)</f>
        <v>죄</v>
      </c>
      <c r="P979" s="12" t="n">
        <f aca="false">COUNTIF($A$2:$A$3000, N979) + COUNTIF($A$2:$A$3000, O979)</f>
        <v>2</v>
      </c>
      <c r="Q979" s="16" t="str">
        <f aca="false">IF(OR(B979=-1,I979=0, P979&lt;&gt;2), "albhed_dummy", _xlfn.CONCAT("albhed ", RIGHT("  " &amp; K979,2),", ", RIGHT("  " &amp; L979,2), ", " ,"""",H979,""", ", """",N979,""", ","""",O979,""""," ; ", A979))</f>
        <v>albhed 11, 22, "지", "비", "죄" ; 뵈</v>
      </c>
    </row>
    <row r="980" customFormat="false" ht="17.9" hidden="false" customHeight="true" outlineLevel="0" collapsed="false">
      <c r="A980" s="16" t="s">
        <v>1850</v>
      </c>
      <c r="B980" s="16" t="n">
        <f aca="false">IF(_xlfn.UNICODE(A980)&lt;44032,-1,_xlfn.UNICODE(A980)-44032)</f>
        <v>4425</v>
      </c>
      <c r="C980" s="16" t="n">
        <f aca="false">IF(B980=-1,-1,INT((B980/28)/21))</f>
        <v>7</v>
      </c>
      <c r="D980" s="16" t="n">
        <f aca="false">IF(B980=-1, -1, MOD(INT(B980/28),21))</f>
        <v>11</v>
      </c>
      <c r="E980" s="16" t="n">
        <f aca="false">IF(B980=-1, -1, VLOOKUP(MOD(B980,28), $T$24:$U$52,2))</f>
        <v>1</v>
      </c>
      <c r="F980" s="16" t="n">
        <f aca="false">IF($B980=-1, -1, VLOOKUP(C980,$T$1:$V$20, 2))</f>
        <v>12</v>
      </c>
      <c r="G980" s="16" t="n">
        <f aca="false">IF($B980=-1, -1, VLOOKUP(D980,$Y$1:$Z$22,2))</f>
        <v>20</v>
      </c>
      <c r="H980" s="16" t="str">
        <f aca="false">_xlfn.UNICHAR(((F980*21)+G980)*28+44032)</f>
        <v>지</v>
      </c>
      <c r="I980" s="16" t="n">
        <f aca="false">IF(B980=-1, 1, COUNTIF($A$2:$A$3000, H980))</f>
        <v>1</v>
      </c>
      <c r="J980" s="10" t="str">
        <f aca="false">_xlfn.CONCAT(A980, ",",H980,",",I980)</f>
        <v>뵉,지,1</v>
      </c>
      <c r="K980" s="16" t="n">
        <f aca="false">IF(B980=-1,-1,VLOOKUP(C980,$T$1:$V$20,3))</f>
        <v>11</v>
      </c>
      <c r="L980" s="16" t="n">
        <f aca="false">IF(B980=-1,-1,VLOOKUP(D980,$Y$1:$AA$22,3))</f>
        <v>22</v>
      </c>
      <c r="N980" s="10" t="str">
        <f aca="false">_xlfn.UNICHAR(((C980*21)+G980)*28+44032)</f>
        <v>비</v>
      </c>
      <c r="O980" s="10" t="str">
        <f aca="false">_xlfn.UNICHAR(((F980*21)+D980)*28+44032)</f>
        <v>죄</v>
      </c>
      <c r="P980" s="12" t="n">
        <f aca="false">COUNTIF($A$2:$A$3000, N980) + COUNTIF($A$2:$A$3000, O980)</f>
        <v>2</v>
      </c>
      <c r="Q980" s="16" t="str">
        <f aca="false">IF(OR(B980=-1,I980=0, P980&lt;&gt;2), "albhed_dummy", _xlfn.CONCAT("albhed ", RIGHT("  " &amp; K980,2),", ", RIGHT("  " &amp; L980,2), ", " ,"""",H980,""", ", """",N980,""", ","""",O980,""""," ; ", A980))</f>
        <v>albhed 11, 22, "지", "비", "죄" ; 뵉</v>
      </c>
    </row>
    <row r="981" customFormat="false" ht="17.9" hidden="false" customHeight="true" outlineLevel="0" collapsed="false">
      <c r="A981" s="16" t="s">
        <v>1851</v>
      </c>
      <c r="B981" s="16" t="n">
        <f aca="false">IF(_xlfn.UNICODE(A981)&lt;44032,-1,_xlfn.UNICODE(A981)-44032)</f>
        <v>4428</v>
      </c>
      <c r="C981" s="16" t="n">
        <f aca="false">IF(B981=-1,-1,INT((B981/28)/21))</f>
        <v>7</v>
      </c>
      <c r="D981" s="16" t="n">
        <f aca="false">IF(B981=-1, -1, MOD(INT(B981/28),21))</f>
        <v>11</v>
      </c>
      <c r="E981" s="16" t="n">
        <f aca="false">IF(B981=-1, -1, VLOOKUP(MOD(B981,28), $T$24:$U$52,2))</f>
        <v>4</v>
      </c>
      <c r="F981" s="16" t="n">
        <f aca="false">IF($B981=-1, -1, VLOOKUP(C981,$T$1:$V$20, 2))</f>
        <v>12</v>
      </c>
      <c r="G981" s="16" t="n">
        <f aca="false">IF($B981=-1, -1, VLOOKUP(D981,$Y$1:$Z$22,2))</f>
        <v>20</v>
      </c>
      <c r="H981" s="16" t="str">
        <f aca="false">_xlfn.UNICHAR(((F981*21)+G981)*28+44032)</f>
        <v>지</v>
      </c>
      <c r="I981" s="16" t="n">
        <f aca="false">IF(B981=-1, 1, COUNTIF($A$2:$A$3000, H981))</f>
        <v>1</v>
      </c>
      <c r="J981" s="10" t="str">
        <f aca="false">_xlfn.CONCAT(A981, ",",H981,",",I981)</f>
        <v>뵌,지,1</v>
      </c>
      <c r="K981" s="16" t="n">
        <f aca="false">IF(B981=-1,-1,VLOOKUP(C981,$T$1:$V$20,3))</f>
        <v>11</v>
      </c>
      <c r="L981" s="16" t="n">
        <f aca="false">IF(B981=-1,-1,VLOOKUP(D981,$Y$1:$AA$22,3))</f>
        <v>22</v>
      </c>
      <c r="N981" s="10" t="str">
        <f aca="false">_xlfn.UNICHAR(((C981*21)+G981)*28+44032)</f>
        <v>비</v>
      </c>
      <c r="O981" s="10" t="str">
        <f aca="false">_xlfn.UNICHAR(((F981*21)+D981)*28+44032)</f>
        <v>죄</v>
      </c>
      <c r="P981" s="12" t="n">
        <f aca="false">COUNTIF($A$2:$A$3000, N981) + COUNTIF($A$2:$A$3000, O981)</f>
        <v>2</v>
      </c>
      <c r="Q981" s="16" t="str">
        <f aca="false">IF(OR(B981=-1,I981=0, P981&lt;&gt;2), "albhed_dummy", _xlfn.CONCAT("albhed ", RIGHT("  " &amp; K981,2),", ", RIGHT("  " &amp; L981,2), ", " ,"""",H981,""", ", """",N981,""", ","""",O981,""""," ; ", A981))</f>
        <v>albhed 11, 22, "지", "비", "죄" ; 뵌</v>
      </c>
    </row>
    <row r="982" customFormat="false" ht="17.9" hidden="false" customHeight="true" outlineLevel="0" collapsed="false">
      <c r="A982" s="16" t="s">
        <v>1852</v>
      </c>
      <c r="B982" s="16" t="n">
        <f aca="false">IF(_xlfn.UNICODE(A982)&lt;44032,-1,_xlfn.UNICODE(A982)-44032)</f>
        <v>4432</v>
      </c>
      <c r="C982" s="16" t="n">
        <f aca="false">IF(B982=-1,-1,INT((B982/28)/21))</f>
        <v>7</v>
      </c>
      <c r="D982" s="16" t="n">
        <f aca="false">IF(B982=-1, -1, MOD(INT(B982/28),21))</f>
        <v>11</v>
      </c>
      <c r="E982" s="16" t="n">
        <f aca="false">IF(B982=-1, -1, VLOOKUP(MOD(B982,28), $T$24:$U$52,2))</f>
        <v>8</v>
      </c>
      <c r="F982" s="16" t="n">
        <f aca="false">IF($B982=-1, -1, VLOOKUP(C982,$T$1:$V$20, 2))</f>
        <v>12</v>
      </c>
      <c r="G982" s="16" t="n">
        <f aca="false">IF($B982=-1, -1, VLOOKUP(D982,$Y$1:$Z$22,2))</f>
        <v>20</v>
      </c>
      <c r="H982" s="16" t="str">
        <f aca="false">_xlfn.UNICHAR(((F982*21)+G982)*28+44032)</f>
        <v>지</v>
      </c>
      <c r="I982" s="16" t="n">
        <f aca="false">IF(B982=-1, 1, COUNTIF($A$2:$A$3000, H982))</f>
        <v>1</v>
      </c>
      <c r="J982" s="10" t="str">
        <f aca="false">_xlfn.CONCAT(A982, ",",H982,",",I982)</f>
        <v>뵐,지,1</v>
      </c>
      <c r="K982" s="16" t="n">
        <f aca="false">IF(B982=-1,-1,VLOOKUP(C982,$T$1:$V$20,3))</f>
        <v>11</v>
      </c>
      <c r="L982" s="16" t="n">
        <f aca="false">IF(B982=-1,-1,VLOOKUP(D982,$Y$1:$AA$22,3))</f>
        <v>22</v>
      </c>
      <c r="N982" s="10" t="str">
        <f aca="false">_xlfn.UNICHAR(((C982*21)+G982)*28+44032)</f>
        <v>비</v>
      </c>
      <c r="O982" s="10" t="str">
        <f aca="false">_xlfn.UNICHAR(((F982*21)+D982)*28+44032)</f>
        <v>죄</v>
      </c>
      <c r="P982" s="12" t="n">
        <f aca="false">COUNTIF($A$2:$A$3000, N982) + COUNTIF($A$2:$A$3000, O982)</f>
        <v>2</v>
      </c>
      <c r="Q982" s="16" t="str">
        <f aca="false">IF(OR(B982=-1,I982=0, P982&lt;&gt;2), "albhed_dummy", _xlfn.CONCAT("albhed ", RIGHT("  " &amp; K982,2),", ", RIGHT("  " &amp; L982,2), ", " ,"""",H982,""", ", """",N982,""", ","""",O982,""""," ; ", A982))</f>
        <v>albhed 11, 22, "지", "비", "죄" ; 뵐</v>
      </c>
    </row>
    <row r="983" customFormat="false" ht="17.9" hidden="false" customHeight="true" outlineLevel="0" collapsed="false">
      <c r="A983" s="16" t="s">
        <v>1853</v>
      </c>
      <c r="B983" s="16" t="n">
        <f aca="false">IF(_xlfn.UNICODE(A983)&lt;44032,-1,_xlfn.UNICODE(A983)-44032)</f>
        <v>4440</v>
      </c>
      <c r="C983" s="16" t="n">
        <f aca="false">IF(B983=-1,-1,INT((B983/28)/21))</f>
        <v>7</v>
      </c>
      <c r="D983" s="16" t="n">
        <f aca="false">IF(B983=-1, -1, MOD(INT(B983/28),21))</f>
        <v>11</v>
      </c>
      <c r="E983" s="16" t="n">
        <f aca="false">IF(B983=-1, -1, VLOOKUP(MOD(B983,28), $T$24:$U$52,2))</f>
        <v>16</v>
      </c>
      <c r="F983" s="16" t="n">
        <f aca="false">IF($B983=-1, -1, VLOOKUP(C983,$T$1:$V$20, 2))</f>
        <v>12</v>
      </c>
      <c r="G983" s="16" t="n">
        <f aca="false">IF($B983=-1, -1, VLOOKUP(D983,$Y$1:$Z$22,2))</f>
        <v>20</v>
      </c>
      <c r="H983" s="16" t="str">
        <f aca="false">_xlfn.UNICHAR(((F983*21)+G983)*28+44032)</f>
        <v>지</v>
      </c>
      <c r="I983" s="16" t="n">
        <f aca="false">IF(B983=-1, 1, COUNTIF($A$2:$A$3000, H983))</f>
        <v>1</v>
      </c>
      <c r="J983" s="10" t="str">
        <f aca="false">_xlfn.CONCAT(A983, ",",H983,",",I983)</f>
        <v>뵘,지,1</v>
      </c>
      <c r="K983" s="16" t="n">
        <f aca="false">IF(B983=-1,-1,VLOOKUP(C983,$T$1:$V$20,3))</f>
        <v>11</v>
      </c>
      <c r="L983" s="16" t="n">
        <f aca="false">IF(B983=-1,-1,VLOOKUP(D983,$Y$1:$AA$22,3))</f>
        <v>22</v>
      </c>
      <c r="N983" s="10" t="str">
        <f aca="false">_xlfn.UNICHAR(((C983*21)+G983)*28+44032)</f>
        <v>비</v>
      </c>
      <c r="O983" s="10" t="str">
        <f aca="false">_xlfn.UNICHAR(((F983*21)+D983)*28+44032)</f>
        <v>죄</v>
      </c>
      <c r="P983" s="12" t="n">
        <f aca="false">COUNTIF($A$2:$A$3000, N983) + COUNTIF($A$2:$A$3000, O983)</f>
        <v>2</v>
      </c>
      <c r="Q983" s="16" t="str">
        <f aca="false">IF(OR(B983=-1,I983=0, P983&lt;&gt;2), "albhed_dummy", _xlfn.CONCAT("albhed ", RIGHT("  " &amp; K983,2),", ", RIGHT("  " &amp; L983,2), ", " ,"""",H983,""", ", """",N983,""", ","""",O983,""""," ; ", A983))</f>
        <v>albhed 11, 22, "지", "비", "죄" ; 뵘</v>
      </c>
    </row>
    <row r="984" customFormat="false" ht="17.9" hidden="false" customHeight="true" outlineLevel="0" collapsed="false">
      <c r="A984" s="16" t="s">
        <v>1854</v>
      </c>
      <c r="B984" s="16" t="n">
        <f aca="false">IF(_xlfn.UNICODE(A984)&lt;44032,-1,_xlfn.UNICODE(A984)-44032)</f>
        <v>4441</v>
      </c>
      <c r="C984" s="16" t="n">
        <f aca="false">IF(B984=-1,-1,INT((B984/28)/21))</f>
        <v>7</v>
      </c>
      <c r="D984" s="16" t="n">
        <f aca="false">IF(B984=-1, -1, MOD(INT(B984/28),21))</f>
        <v>11</v>
      </c>
      <c r="E984" s="16" t="n">
        <f aca="false">IF(B984=-1, -1, VLOOKUP(MOD(B984,28), $T$24:$U$52,2))</f>
        <v>17</v>
      </c>
      <c r="F984" s="16" t="n">
        <f aca="false">IF($B984=-1, -1, VLOOKUP(C984,$T$1:$V$20, 2))</f>
        <v>12</v>
      </c>
      <c r="G984" s="16" t="n">
        <f aca="false">IF($B984=-1, -1, VLOOKUP(D984,$Y$1:$Z$22,2))</f>
        <v>20</v>
      </c>
      <c r="H984" s="16" t="str">
        <f aca="false">_xlfn.UNICHAR(((F984*21)+G984)*28+44032)</f>
        <v>지</v>
      </c>
      <c r="I984" s="16" t="n">
        <f aca="false">IF(B984=-1, 1, COUNTIF($A$2:$A$3000, H984))</f>
        <v>1</v>
      </c>
      <c r="J984" s="10" t="str">
        <f aca="false">_xlfn.CONCAT(A984, ",",H984,",",I984)</f>
        <v>뵙,지,1</v>
      </c>
      <c r="K984" s="16" t="n">
        <f aca="false">IF(B984=-1,-1,VLOOKUP(C984,$T$1:$V$20,3))</f>
        <v>11</v>
      </c>
      <c r="L984" s="16" t="n">
        <f aca="false">IF(B984=-1,-1,VLOOKUP(D984,$Y$1:$AA$22,3))</f>
        <v>22</v>
      </c>
      <c r="N984" s="10" t="str">
        <f aca="false">_xlfn.UNICHAR(((C984*21)+G984)*28+44032)</f>
        <v>비</v>
      </c>
      <c r="O984" s="10" t="str">
        <f aca="false">_xlfn.UNICHAR(((F984*21)+D984)*28+44032)</f>
        <v>죄</v>
      </c>
      <c r="P984" s="12" t="n">
        <f aca="false">COUNTIF($A$2:$A$3000, N984) + COUNTIF($A$2:$A$3000, O984)</f>
        <v>2</v>
      </c>
      <c r="Q984" s="16" t="str">
        <f aca="false">IF(OR(B984=-1,I984=0, P984&lt;&gt;2), "albhed_dummy", _xlfn.CONCAT("albhed ", RIGHT("  " &amp; K984,2),", ", RIGHT("  " &amp; L984,2), ", " ,"""",H984,""", ", """",N984,""", ","""",O984,""""," ; ", A984))</f>
        <v>albhed 11, 22, "지", "비", "죄" ; 뵙</v>
      </c>
    </row>
    <row r="985" customFormat="false" ht="17.9" hidden="false" customHeight="true" outlineLevel="0" collapsed="false">
      <c r="A985" s="16" t="s">
        <v>1855</v>
      </c>
      <c r="B985" s="16" t="n">
        <f aca="false">IF(_xlfn.UNICODE(A985)&lt;44032,-1,_xlfn.UNICODE(A985)-44032)</f>
        <v>4452</v>
      </c>
      <c r="C985" s="16" t="n">
        <f aca="false">IF(B985=-1,-1,INT((B985/28)/21))</f>
        <v>7</v>
      </c>
      <c r="D985" s="16" t="n">
        <f aca="false">IF(B985=-1, -1, MOD(INT(B985/28),21))</f>
        <v>12</v>
      </c>
      <c r="E985" s="16" t="n">
        <f aca="false">IF(B985=-1, -1, VLOOKUP(MOD(B985,28), $T$24:$U$52,2))</f>
        <v>0</v>
      </c>
      <c r="F985" s="16" t="n">
        <f aca="false">IF($B985=-1, -1, VLOOKUP(C985,$T$1:$V$20, 2))</f>
        <v>12</v>
      </c>
      <c r="G985" s="16" t="n">
        <f aca="false">IF($B985=-1, -1, VLOOKUP(D985,$Y$1:$Z$22,2))</f>
        <v>6</v>
      </c>
      <c r="H985" s="16" t="str">
        <f aca="false">_xlfn.UNICHAR(((F985*21)+G985)*28+44032)</f>
        <v>져</v>
      </c>
      <c r="I985" s="16" t="n">
        <f aca="false">IF(B985=-1, 1, COUNTIF($A$2:$A$3000, H985))</f>
        <v>1</v>
      </c>
      <c r="J985" s="10" t="str">
        <f aca="false">_xlfn.CONCAT(A985, ",",H985,",",I985)</f>
        <v>뵤,져,1</v>
      </c>
      <c r="K985" s="16" t="n">
        <f aca="false">IF(B985=-1,-1,VLOOKUP(C985,$T$1:$V$20,3))</f>
        <v>11</v>
      </c>
      <c r="L985" s="16" t="n">
        <f aca="false">IF(B985=-1,-1,VLOOKUP(D985,$Y$1:$AA$22,3))</f>
        <v>8</v>
      </c>
      <c r="N985" s="10" t="str">
        <f aca="false">_xlfn.UNICHAR(((C985*21)+G985)*28+44032)</f>
        <v>벼</v>
      </c>
      <c r="O985" s="10" t="str">
        <f aca="false">_xlfn.UNICHAR(((F985*21)+D985)*28+44032)</f>
        <v>죠</v>
      </c>
      <c r="P985" s="12" t="n">
        <f aca="false">COUNTIF($A$2:$A$3000, N985) + COUNTIF($A$2:$A$3000, O985)</f>
        <v>2</v>
      </c>
      <c r="Q985" s="16" t="str">
        <f aca="false">IF(OR(B985=-1,I985=0, P985&lt;&gt;2), "albhed_dummy", _xlfn.CONCAT("albhed ", RIGHT("  " &amp; K985,2),", ", RIGHT("  " &amp; L985,2), ", " ,"""",H985,""", ", """",N985,""", ","""",O985,""""," ; ", A985))</f>
        <v>albhed 11,  8, "져", "벼", "죠" ; 뵤</v>
      </c>
    </row>
    <row r="986" customFormat="false" ht="17.9" hidden="false" customHeight="true" outlineLevel="0" collapsed="false">
      <c r="A986" s="16" t="s">
        <v>1856</v>
      </c>
      <c r="B986" s="16" t="n">
        <f aca="false">IF(_xlfn.UNICODE(A986)&lt;44032,-1,_xlfn.UNICODE(A986)-44032)</f>
        <v>4456</v>
      </c>
      <c r="C986" s="16" t="n">
        <f aca="false">IF(B986=-1,-1,INT((B986/28)/21))</f>
        <v>7</v>
      </c>
      <c r="D986" s="16" t="n">
        <f aca="false">IF(B986=-1, -1, MOD(INT(B986/28),21))</f>
        <v>12</v>
      </c>
      <c r="E986" s="16" t="n">
        <f aca="false">IF(B986=-1, -1, VLOOKUP(MOD(B986,28), $T$24:$U$52,2))</f>
        <v>4</v>
      </c>
      <c r="F986" s="16" t="n">
        <f aca="false">IF($B986=-1, -1, VLOOKUP(C986,$T$1:$V$20, 2))</f>
        <v>12</v>
      </c>
      <c r="G986" s="16" t="n">
        <f aca="false">IF($B986=-1, -1, VLOOKUP(D986,$Y$1:$Z$22,2))</f>
        <v>6</v>
      </c>
      <c r="H986" s="16" t="str">
        <f aca="false">_xlfn.UNICHAR(((F986*21)+G986)*28+44032)</f>
        <v>져</v>
      </c>
      <c r="I986" s="16" t="n">
        <f aca="false">IF(B986=-1, 1, COUNTIF($A$2:$A$3000, H986))</f>
        <v>1</v>
      </c>
      <c r="J986" s="10" t="str">
        <f aca="false">_xlfn.CONCAT(A986, ",",H986,",",I986)</f>
        <v>뵨,져,1</v>
      </c>
      <c r="K986" s="16" t="n">
        <f aca="false">IF(B986=-1,-1,VLOOKUP(C986,$T$1:$V$20,3))</f>
        <v>11</v>
      </c>
      <c r="L986" s="16" t="n">
        <f aca="false">IF(B986=-1,-1,VLOOKUP(D986,$Y$1:$AA$22,3))</f>
        <v>8</v>
      </c>
      <c r="N986" s="10" t="str">
        <f aca="false">_xlfn.UNICHAR(((C986*21)+G986)*28+44032)</f>
        <v>벼</v>
      </c>
      <c r="O986" s="10" t="str">
        <f aca="false">_xlfn.UNICHAR(((F986*21)+D986)*28+44032)</f>
        <v>죠</v>
      </c>
      <c r="P986" s="12" t="n">
        <f aca="false">COUNTIF($A$2:$A$3000, N986) + COUNTIF($A$2:$A$3000, O986)</f>
        <v>2</v>
      </c>
      <c r="Q986" s="16" t="str">
        <f aca="false">IF(OR(B986=-1,I986=0, P986&lt;&gt;2), "albhed_dummy", _xlfn.CONCAT("albhed ", RIGHT("  " &amp; K986,2),", ", RIGHT("  " &amp; L986,2), ", " ,"""",H986,""", ", """",N986,""", ","""",O986,""""," ; ", A986))</f>
        <v>albhed 11,  8, "져", "벼", "죠" ; 뵨</v>
      </c>
    </row>
    <row r="987" customFormat="false" ht="17.9" hidden="false" customHeight="true" outlineLevel="0" collapsed="false">
      <c r="A987" s="16" t="s">
        <v>1857</v>
      </c>
      <c r="B987" s="16" t="n">
        <f aca="false">IF(_xlfn.UNICODE(A987)&lt;44032,-1,_xlfn.UNICODE(A987)-44032)</f>
        <v>4480</v>
      </c>
      <c r="C987" s="16" t="n">
        <f aca="false">IF(B987=-1,-1,INT((B987/28)/21))</f>
        <v>7</v>
      </c>
      <c r="D987" s="16" t="n">
        <f aca="false">IF(B987=-1, -1, MOD(INT(B987/28),21))</f>
        <v>13</v>
      </c>
      <c r="E987" s="16" t="n">
        <f aca="false">IF(B987=-1, -1, VLOOKUP(MOD(B987,28), $T$24:$U$52,2))</f>
        <v>0</v>
      </c>
      <c r="F987" s="16" t="n">
        <f aca="false">IF($B987=-1, -1, VLOOKUP(C987,$T$1:$V$20, 2))</f>
        <v>12</v>
      </c>
      <c r="G987" s="16" t="n">
        <f aca="false">IF($B987=-1, -1, VLOOKUP(D987,$Y$1:$Z$22,2))</f>
        <v>0</v>
      </c>
      <c r="H987" s="16" t="str">
        <f aca="false">_xlfn.UNICHAR(((F987*21)+G987)*28+44032)</f>
        <v>자</v>
      </c>
      <c r="I987" s="16" t="n">
        <f aca="false">IF(B987=-1, 1, COUNTIF($A$2:$A$3000, H987))</f>
        <v>1</v>
      </c>
      <c r="J987" s="10" t="str">
        <f aca="false">_xlfn.CONCAT(A987, ",",H987,",",I987)</f>
        <v>부,자,1</v>
      </c>
      <c r="K987" s="16" t="n">
        <f aca="false">IF(B987=-1,-1,VLOOKUP(C987,$T$1:$V$20,3))</f>
        <v>11</v>
      </c>
      <c r="L987" s="16" t="n">
        <f aca="false">IF(B987=-1,-1,VLOOKUP(D987,$Y$1:$AA$22,3))</f>
        <v>6</v>
      </c>
      <c r="N987" s="10" t="str">
        <f aca="false">_xlfn.UNICHAR(((C987*21)+G987)*28+44032)</f>
        <v>바</v>
      </c>
      <c r="O987" s="10" t="str">
        <f aca="false">_xlfn.UNICHAR(((F987*21)+D987)*28+44032)</f>
        <v>주</v>
      </c>
      <c r="P987" s="12" t="n">
        <f aca="false">COUNTIF($A$2:$A$3000, N987) + COUNTIF($A$2:$A$3000, O987)</f>
        <v>2</v>
      </c>
      <c r="Q987" s="16" t="str">
        <f aca="false">IF(OR(B987=-1,I987=0, P987&lt;&gt;2), "albhed_dummy", _xlfn.CONCAT("albhed ", RIGHT("  " &amp; K987,2),", ", RIGHT("  " &amp; L987,2), ", " ,"""",H987,""", ", """",N987,""", ","""",O987,""""," ; ", A987))</f>
        <v>albhed 11,  6, "자", "바", "주" ; 부</v>
      </c>
    </row>
    <row r="988" customFormat="false" ht="17.9" hidden="false" customHeight="true" outlineLevel="0" collapsed="false">
      <c r="A988" s="16" t="s">
        <v>1858</v>
      </c>
      <c r="B988" s="16" t="n">
        <f aca="false">IF(_xlfn.UNICODE(A988)&lt;44032,-1,_xlfn.UNICODE(A988)-44032)</f>
        <v>4481</v>
      </c>
      <c r="C988" s="16" t="n">
        <f aca="false">IF(B988=-1,-1,INT((B988/28)/21))</f>
        <v>7</v>
      </c>
      <c r="D988" s="16" t="n">
        <f aca="false">IF(B988=-1, -1, MOD(INT(B988/28),21))</f>
        <v>13</v>
      </c>
      <c r="E988" s="16" t="n">
        <f aca="false">IF(B988=-1, -1, VLOOKUP(MOD(B988,28), $T$24:$U$52,2))</f>
        <v>1</v>
      </c>
      <c r="F988" s="16" t="n">
        <f aca="false">IF($B988=-1, -1, VLOOKUP(C988,$T$1:$V$20, 2))</f>
        <v>12</v>
      </c>
      <c r="G988" s="16" t="n">
        <f aca="false">IF($B988=-1, -1, VLOOKUP(D988,$Y$1:$Z$22,2))</f>
        <v>0</v>
      </c>
      <c r="H988" s="16" t="str">
        <f aca="false">_xlfn.UNICHAR(((F988*21)+G988)*28+44032)</f>
        <v>자</v>
      </c>
      <c r="I988" s="16" t="n">
        <f aca="false">IF(B988=-1, 1, COUNTIF($A$2:$A$3000, H988))</f>
        <v>1</v>
      </c>
      <c r="J988" s="10" t="str">
        <f aca="false">_xlfn.CONCAT(A988, ",",H988,",",I988)</f>
        <v>북,자,1</v>
      </c>
      <c r="K988" s="16" t="n">
        <f aca="false">IF(B988=-1,-1,VLOOKUP(C988,$T$1:$V$20,3))</f>
        <v>11</v>
      </c>
      <c r="L988" s="16" t="n">
        <f aca="false">IF(B988=-1,-1,VLOOKUP(D988,$Y$1:$AA$22,3))</f>
        <v>6</v>
      </c>
      <c r="N988" s="10" t="str">
        <f aca="false">_xlfn.UNICHAR(((C988*21)+G988)*28+44032)</f>
        <v>바</v>
      </c>
      <c r="O988" s="10" t="str">
        <f aca="false">_xlfn.UNICHAR(((F988*21)+D988)*28+44032)</f>
        <v>주</v>
      </c>
      <c r="P988" s="12" t="n">
        <f aca="false">COUNTIF($A$2:$A$3000, N988) + COUNTIF($A$2:$A$3000, O988)</f>
        <v>2</v>
      </c>
      <c r="Q988" s="16" t="str">
        <f aca="false">IF(OR(B988=-1,I988=0, P988&lt;&gt;2), "albhed_dummy", _xlfn.CONCAT("albhed ", RIGHT("  " &amp; K988,2),", ", RIGHT("  " &amp; L988,2), ", " ,"""",H988,""", ", """",N988,""", ","""",O988,""""," ; ", A988))</f>
        <v>albhed 11,  6, "자", "바", "주" ; 북</v>
      </c>
    </row>
    <row r="989" customFormat="false" ht="17.9" hidden="false" customHeight="true" outlineLevel="0" collapsed="false">
      <c r="A989" s="16" t="s">
        <v>1859</v>
      </c>
      <c r="B989" s="16" t="n">
        <f aca="false">IF(_xlfn.UNICODE(A989)&lt;44032,-1,_xlfn.UNICODE(A989)-44032)</f>
        <v>4484</v>
      </c>
      <c r="C989" s="16" t="n">
        <f aca="false">IF(B989=-1,-1,INT((B989/28)/21))</f>
        <v>7</v>
      </c>
      <c r="D989" s="16" t="n">
        <f aca="false">IF(B989=-1, -1, MOD(INT(B989/28),21))</f>
        <v>13</v>
      </c>
      <c r="E989" s="16" t="n">
        <f aca="false">IF(B989=-1, -1, VLOOKUP(MOD(B989,28), $T$24:$U$52,2))</f>
        <v>4</v>
      </c>
      <c r="F989" s="16" t="n">
        <f aca="false">IF($B989=-1, -1, VLOOKUP(C989,$T$1:$V$20, 2))</f>
        <v>12</v>
      </c>
      <c r="G989" s="16" t="n">
        <f aca="false">IF($B989=-1, -1, VLOOKUP(D989,$Y$1:$Z$22,2))</f>
        <v>0</v>
      </c>
      <c r="H989" s="16" t="str">
        <f aca="false">_xlfn.UNICHAR(((F989*21)+G989)*28+44032)</f>
        <v>자</v>
      </c>
      <c r="I989" s="16" t="n">
        <f aca="false">IF(B989=-1, 1, COUNTIF($A$2:$A$3000, H989))</f>
        <v>1</v>
      </c>
      <c r="J989" s="10" t="str">
        <f aca="false">_xlfn.CONCAT(A989, ",",H989,",",I989)</f>
        <v>분,자,1</v>
      </c>
      <c r="K989" s="16" t="n">
        <f aca="false">IF(B989=-1,-1,VLOOKUP(C989,$T$1:$V$20,3))</f>
        <v>11</v>
      </c>
      <c r="L989" s="16" t="n">
        <f aca="false">IF(B989=-1,-1,VLOOKUP(D989,$Y$1:$AA$22,3))</f>
        <v>6</v>
      </c>
      <c r="N989" s="10" t="str">
        <f aca="false">_xlfn.UNICHAR(((C989*21)+G989)*28+44032)</f>
        <v>바</v>
      </c>
      <c r="O989" s="10" t="str">
        <f aca="false">_xlfn.UNICHAR(((F989*21)+D989)*28+44032)</f>
        <v>주</v>
      </c>
      <c r="P989" s="12" t="n">
        <f aca="false">COUNTIF($A$2:$A$3000, N989) + COUNTIF($A$2:$A$3000, O989)</f>
        <v>2</v>
      </c>
      <c r="Q989" s="16" t="str">
        <f aca="false">IF(OR(B989=-1,I989=0, P989&lt;&gt;2), "albhed_dummy", _xlfn.CONCAT("albhed ", RIGHT("  " &amp; K989,2),", ", RIGHT("  " &amp; L989,2), ", " ,"""",H989,""", ", """",N989,""", ","""",O989,""""," ; ", A989))</f>
        <v>albhed 11,  6, "자", "바", "주" ; 분</v>
      </c>
    </row>
    <row r="990" customFormat="false" ht="17.9" hidden="false" customHeight="true" outlineLevel="0" collapsed="false">
      <c r="A990" s="16" t="s">
        <v>1860</v>
      </c>
      <c r="B990" s="16" t="n">
        <f aca="false">IF(_xlfn.UNICODE(A990)&lt;44032,-1,_xlfn.UNICODE(A990)-44032)</f>
        <v>4487</v>
      </c>
      <c r="C990" s="16" t="n">
        <f aca="false">IF(B990=-1,-1,INT((B990/28)/21))</f>
        <v>7</v>
      </c>
      <c r="D990" s="16" t="n">
        <f aca="false">IF(B990=-1, -1, MOD(INT(B990/28),21))</f>
        <v>13</v>
      </c>
      <c r="E990" s="16" t="n">
        <f aca="false">IF(B990=-1, -1, VLOOKUP(MOD(B990,28), $T$24:$U$52,2))</f>
        <v>19</v>
      </c>
      <c r="F990" s="16" t="n">
        <f aca="false">IF($B990=-1, -1, VLOOKUP(C990,$T$1:$V$20, 2))</f>
        <v>12</v>
      </c>
      <c r="G990" s="16" t="n">
        <f aca="false">IF($B990=-1, -1, VLOOKUP(D990,$Y$1:$Z$22,2))</f>
        <v>0</v>
      </c>
      <c r="H990" s="16" t="str">
        <f aca="false">_xlfn.UNICHAR(((F990*21)+G990)*28+44032)</f>
        <v>자</v>
      </c>
      <c r="I990" s="16" t="n">
        <f aca="false">IF(B990=-1, 1, COUNTIF($A$2:$A$3000, H990))</f>
        <v>1</v>
      </c>
      <c r="J990" s="10" t="str">
        <f aca="false">_xlfn.CONCAT(A990, ",",H990,",",I990)</f>
        <v>붇,자,1</v>
      </c>
      <c r="K990" s="16" t="n">
        <f aca="false">IF(B990=-1,-1,VLOOKUP(C990,$T$1:$V$20,3))</f>
        <v>11</v>
      </c>
      <c r="L990" s="16" t="n">
        <f aca="false">IF(B990=-1,-1,VLOOKUP(D990,$Y$1:$AA$22,3))</f>
        <v>6</v>
      </c>
      <c r="N990" s="10" t="str">
        <f aca="false">_xlfn.UNICHAR(((C990*21)+G990)*28+44032)</f>
        <v>바</v>
      </c>
      <c r="O990" s="10" t="str">
        <f aca="false">_xlfn.UNICHAR(((F990*21)+D990)*28+44032)</f>
        <v>주</v>
      </c>
      <c r="P990" s="12" t="n">
        <f aca="false">COUNTIF($A$2:$A$3000, N990) + COUNTIF($A$2:$A$3000, O990)</f>
        <v>2</v>
      </c>
      <c r="Q990" s="16" t="str">
        <f aca="false">IF(OR(B990=-1,I990=0, P990&lt;&gt;2), "albhed_dummy", _xlfn.CONCAT("albhed ", RIGHT("  " &amp; K990,2),", ", RIGHT("  " &amp; L990,2), ", " ,"""",H990,""", ", """",N990,""", ","""",O990,""""," ; ", A990))</f>
        <v>albhed 11,  6, "자", "바", "주" ; 붇</v>
      </c>
    </row>
    <row r="991" customFormat="false" ht="17.9" hidden="false" customHeight="true" outlineLevel="0" collapsed="false">
      <c r="A991" s="16" t="s">
        <v>1861</v>
      </c>
      <c r="B991" s="16" t="n">
        <f aca="false">IF(_xlfn.UNICODE(A991)&lt;44032,-1,_xlfn.UNICODE(A991)-44032)</f>
        <v>4488</v>
      </c>
      <c r="C991" s="16" t="n">
        <f aca="false">IF(B991=-1,-1,INT((B991/28)/21))</f>
        <v>7</v>
      </c>
      <c r="D991" s="16" t="n">
        <f aca="false">IF(B991=-1, -1, MOD(INT(B991/28),21))</f>
        <v>13</v>
      </c>
      <c r="E991" s="16" t="n">
        <f aca="false">IF(B991=-1, -1, VLOOKUP(MOD(B991,28), $T$24:$U$52,2))</f>
        <v>8</v>
      </c>
      <c r="F991" s="16" t="n">
        <f aca="false">IF($B991=-1, -1, VLOOKUP(C991,$T$1:$V$20, 2))</f>
        <v>12</v>
      </c>
      <c r="G991" s="16" t="n">
        <f aca="false">IF($B991=-1, -1, VLOOKUP(D991,$Y$1:$Z$22,2))</f>
        <v>0</v>
      </c>
      <c r="H991" s="16" t="str">
        <f aca="false">_xlfn.UNICHAR(((F991*21)+G991)*28+44032)</f>
        <v>자</v>
      </c>
      <c r="I991" s="16" t="n">
        <f aca="false">IF(B991=-1, 1, COUNTIF($A$2:$A$3000, H991))</f>
        <v>1</v>
      </c>
      <c r="J991" s="10" t="str">
        <f aca="false">_xlfn.CONCAT(A991, ",",H991,",",I991)</f>
        <v>불,자,1</v>
      </c>
      <c r="K991" s="16" t="n">
        <f aca="false">IF(B991=-1,-1,VLOOKUP(C991,$T$1:$V$20,3))</f>
        <v>11</v>
      </c>
      <c r="L991" s="16" t="n">
        <f aca="false">IF(B991=-1,-1,VLOOKUP(D991,$Y$1:$AA$22,3))</f>
        <v>6</v>
      </c>
      <c r="N991" s="10" t="str">
        <f aca="false">_xlfn.UNICHAR(((C991*21)+G991)*28+44032)</f>
        <v>바</v>
      </c>
      <c r="O991" s="10" t="str">
        <f aca="false">_xlfn.UNICHAR(((F991*21)+D991)*28+44032)</f>
        <v>주</v>
      </c>
      <c r="P991" s="12" t="n">
        <f aca="false">COUNTIF($A$2:$A$3000, N991) + COUNTIF($A$2:$A$3000, O991)</f>
        <v>2</v>
      </c>
      <c r="Q991" s="16" t="str">
        <f aca="false">IF(OR(B991=-1,I991=0, P991&lt;&gt;2), "albhed_dummy", _xlfn.CONCAT("albhed ", RIGHT("  " &amp; K991,2),", ", RIGHT("  " &amp; L991,2), ", " ,"""",H991,""", ", """",N991,""", ","""",O991,""""," ; ", A991))</f>
        <v>albhed 11,  6, "자", "바", "주" ; 불</v>
      </c>
    </row>
    <row r="992" customFormat="false" ht="17.9" hidden="false" customHeight="true" outlineLevel="0" collapsed="false">
      <c r="A992" s="16" t="s">
        <v>1862</v>
      </c>
      <c r="B992" s="16" t="n">
        <f aca="false">IF(_xlfn.UNICODE(A992)&lt;44032,-1,_xlfn.UNICODE(A992)-44032)</f>
        <v>4489</v>
      </c>
      <c r="C992" s="16" t="n">
        <f aca="false">IF(B992=-1,-1,INT((B992/28)/21))</f>
        <v>7</v>
      </c>
      <c r="D992" s="16" t="n">
        <f aca="false">IF(B992=-1, -1, MOD(INT(B992/28),21))</f>
        <v>13</v>
      </c>
      <c r="E992" s="16" t="n">
        <f aca="false">IF(B992=-1, -1, VLOOKUP(MOD(B992,28), $T$24:$U$52,2))</f>
        <v>8</v>
      </c>
      <c r="F992" s="16" t="n">
        <f aca="false">IF($B992=-1, -1, VLOOKUP(C992,$T$1:$V$20, 2))</f>
        <v>12</v>
      </c>
      <c r="G992" s="16" t="n">
        <f aca="false">IF($B992=-1, -1, VLOOKUP(D992,$Y$1:$Z$22,2))</f>
        <v>0</v>
      </c>
      <c r="H992" s="16" t="str">
        <f aca="false">_xlfn.UNICHAR(((F992*21)+G992)*28+44032)</f>
        <v>자</v>
      </c>
      <c r="I992" s="16" t="n">
        <f aca="false">IF(B992=-1, 1, COUNTIF($A$2:$A$3000, H992))</f>
        <v>1</v>
      </c>
      <c r="J992" s="10" t="str">
        <f aca="false">_xlfn.CONCAT(A992, ",",H992,",",I992)</f>
        <v>붉,자,1</v>
      </c>
      <c r="K992" s="16" t="n">
        <f aca="false">IF(B992=-1,-1,VLOOKUP(C992,$T$1:$V$20,3))</f>
        <v>11</v>
      </c>
      <c r="L992" s="16" t="n">
        <f aca="false">IF(B992=-1,-1,VLOOKUP(D992,$Y$1:$AA$22,3))</f>
        <v>6</v>
      </c>
      <c r="N992" s="10" t="str">
        <f aca="false">_xlfn.UNICHAR(((C992*21)+G992)*28+44032)</f>
        <v>바</v>
      </c>
      <c r="O992" s="10" t="str">
        <f aca="false">_xlfn.UNICHAR(((F992*21)+D992)*28+44032)</f>
        <v>주</v>
      </c>
      <c r="P992" s="12" t="n">
        <f aca="false">COUNTIF($A$2:$A$3000, N992) + COUNTIF($A$2:$A$3000, O992)</f>
        <v>2</v>
      </c>
      <c r="Q992" s="16" t="str">
        <f aca="false">IF(OR(B992=-1,I992=0, P992&lt;&gt;2), "albhed_dummy", _xlfn.CONCAT("albhed ", RIGHT("  " &amp; K992,2),", ", RIGHT("  " &amp; L992,2), ", " ,"""",H992,""", ", """",N992,""", ","""",O992,""""," ; ", A992))</f>
        <v>albhed 11,  6, "자", "바", "주" ; 붉</v>
      </c>
    </row>
    <row r="993" customFormat="false" ht="17.9" hidden="false" customHeight="true" outlineLevel="0" collapsed="false">
      <c r="A993" s="16" t="s">
        <v>1863</v>
      </c>
      <c r="B993" s="16" t="n">
        <f aca="false">IF(_xlfn.UNICODE(A993)&lt;44032,-1,_xlfn.UNICODE(A993)-44032)</f>
        <v>4490</v>
      </c>
      <c r="C993" s="16" t="n">
        <f aca="false">IF(B993=-1,-1,INT((B993/28)/21))</f>
        <v>7</v>
      </c>
      <c r="D993" s="16" t="n">
        <f aca="false">IF(B993=-1, -1, MOD(INT(B993/28),21))</f>
        <v>13</v>
      </c>
      <c r="E993" s="16" t="n">
        <f aca="false">IF(B993=-1, -1, VLOOKUP(MOD(B993,28), $T$24:$U$52,2))</f>
        <v>8</v>
      </c>
      <c r="F993" s="16" t="n">
        <f aca="false">IF($B993=-1, -1, VLOOKUP(C993,$T$1:$V$20, 2))</f>
        <v>12</v>
      </c>
      <c r="G993" s="16" t="n">
        <f aca="false">IF($B993=-1, -1, VLOOKUP(D993,$Y$1:$Z$22,2))</f>
        <v>0</v>
      </c>
      <c r="H993" s="16" t="str">
        <f aca="false">_xlfn.UNICHAR(((F993*21)+G993)*28+44032)</f>
        <v>자</v>
      </c>
      <c r="I993" s="16" t="n">
        <f aca="false">IF(B993=-1, 1, COUNTIF($A$2:$A$3000, H993))</f>
        <v>1</v>
      </c>
      <c r="J993" s="10" t="str">
        <f aca="false">_xlfn.CONCAT(A993, ",",H993,",",I993)</f>
        <v>붊,자,1</v>
      </c>
      <c r="K993" s="16" t="n">
        <f aca="false">IF(B993=-1,-1,VLOOKUP(C993,$T$1:$V$20,3))</f>
        <v>11</v>
      </c>
      <c r="L993" s="16" t="n">
        <f aca="false">IF(B993=-1,-1,VLOOKUP(D993,$Y$1:$AA$22,3))</f>
        <v>6</v>
      </c>
      <c r="N993" s="10" t="str">
        <f aca="false">_xlfn.UNICHAR(((C993*21)+G993)*28+44032)</f>
        <v>바</v>
      </c>
      <c r="O993" s="10" t="str">
        <f aca="false">_xlfn.UNICHAR(((F993*21)+D993)*28+44032)</f>
        <v>주</v>
      </c>
      <c r="P993" s="12" t="n">
        <f aca="false">COUNTIF($A$2:$A$3000, N993) + COUNTIF($A$2:$A$3000, O993)</f>
        <v>2</v>
      </c>
      <c r="Q993" s="16" t="str">
        <f aca="false">IF(OR(B993=-1,I993=0, P993&lt;&gt;2), "albhed_dummy", _xlfn.CONCAT("albhed ", RIGHT("  " &amp; K993,2),", ", RIGHT("  " &amp; L993,2), ", " ,"""",H993,""", ", """",N993,""", ","""",O993,""""," ; ", A993))</f>
        <v>albhed 11,  6, "자", "바", "주" ; 붊</v>
      </c>
    </row>
    <row r="994" customFormat="false" ht="17.9" hidden="false" customHeight="true" outlineLevel="0" collapsed="false">
      <c r="A994" s="16" t="s">
        <v>1864</v>
      </c>
      <c r="B994" s="16" t="n">
        <f aca="false">IF(_xlfn.UNICODE(A994)&lt;44032,-1,_xlfn.UNICODE(A994)-44032)</f>
        <v>4496</v>
      </c>
      <c r="C994" s="16" t="n">
        <f aca="false">IF(B994=-1,-1,INT((B994/28)/21))</f>
        <v>7</v>
      </c>
      <c r="D994" s="16" t="n">
        <f aca="false">IF(B994=-1, -1, MOD(INT(B994/28),21))</f>
        <v>13</v>
      </c>
      <c r="E994" s="16" t="n">
        <f aca="false">IF(B994=-1, -1, VLOOKUP(MOD(B994,28), $T$24:$U$52,2))</f>
        <v>16</v>
      </c>
      <c r="F994" s="16" t="n">
        <f aca="false">IF($B994=-1, -1, VLOOKUP(C994,$T$1:$V$20, 2))</f>
        <v>12</v>
      </c>
      <c r="G994" s="16" t="n">
        <f aca="false">IF($B994=-1, -1, VLOOKUP(D994,$Y$1:$Z$22,2))</f>
        <v>0</v>
      </c>
      <c r="H994" s="16" t="str">
        <f aca="false">_xlfn.UNICHAR(((F994*21)+G994)*28+44032)</f>
        <v>자</v>
      </c>
      <c r="I994" s="16" t="n">
        <f aca="false">IF(B994=-1, 1, COUNTIF($A$2:$A$3000, H994))</f>
        <v>1</v>
      </c>
      <c r="J994" s="10" t="str">
        <f aca="false">_xlfn.CONCAT(A994, ",",H994,",",I994)</f>
        <v>붐,자,1</v>
      </c>
      <c r="K994" s="16" t="n">
        <f aca="false">IF(B994=-1,-1,VLOOKUP(C994,$T$1:$V$20,3))</f>
        <v>11</v>
      </c>
      <c r="L994" s="16" t="n">
        <f aca="false">IF(B994=-1,-1,VLOOKUP(D994,$Y$1:$AA$22,3))</f>
        <v>6</v>
      </c>
      <c r="N994" s="10" t="str">
        <f aca="false">_xlfn.UNICHAR(((C994*21)+G994)*28+44032)</f>
        <v>바</v>
      </c>
      <c r="O994" s="10" t="str">
        <f aca="false">_xlfn.UNICHAR(((F994*21)+D994)*28+44032)</f>
        <v>주</v>
      </c>
      <c r="P994" s="12" t="n">
        <f aca="false">COUNTIF($A$2:$A$3000, N994) + COUNTIF($A$2:$A$3000, O994)</f>
        <v>2</v>
      </c>
      <c r="Q994" s="16" t="str">
        <f aca="false">IF(OR(B994=-1,I994=0, P994&lt;&gt;2), "albhed_dummy", _xlfn.CONCAT("albhed ", RIGHT("  " &amp; K994,2),", ", RIGHT("  " &amp; L994,2), ", " ,"""",H994,""", ", """",N994,""", ","""",O994,""""," ; ", A994))</f>
        <v>albhed 11,  6, "자", "바", "주" ; 붐</v>
      </c>
    </row>
    <row r="995" customFormat="false" ht="17.9" hidden="false" customHeight="true" outlineLevel="0" collapsed="false">
      <c r="A995" s="16" t="s">
        <v>1865</v>
      </c>
      <c r="B995" s="16" t="n">
        <f aca="false">IF(_xlfn.UNICODE(A995)&lt;44032,-1,_xlfn.UNICODE(A995)-44032)</f>
        <v>4497</v>
      </c>
      <c r="C995" s="16" t="n">
        <f aca="false">IF(B995=-1,-1,INT((B995/28)/21))</f>
        <v>7</v>
      </c>
      <c r="D995" s="16" t="n">
        <f aca="false">IF(B995=-1, -1, MOD(INT(B995/28),21))</f>
        <v>13</v>
      </c>
      <c r="E995" s="16" t="n">
        <f aca="false">IF(B995=-1, -1, VLOOKUP(MOD(B995,28), $T$24:$U$52,2))</f>
        <v>17</v>
      </c>
      <c r="F995" s="16" t="n">
        <f aca="false">IF($B995=-1, -1, VLOOKUP(C995,$T$1:$V$20, 2))</f>
        <v>12</v>
      </c>
      <c r="G995" s="16" t="n">
        <f aca="false">IF($B995=-1, -1, VLOOKUP(D995,$Y$1:$Z$22,2))</f>
        <v>0</v>
      </c>
      <c r="H995" s="16" t="str">
        <f aca="false">_xlfn.UNICHAR(((F995*21)+G995)*28+44032)</f>
        <v>자</v>
      </c>
      <c r="I995" s="16" t="n">
        <f aca="false">IF(B995=-1, 1, COUNTIF($A$2:$A$3000, H995))</f>
        <v>1</v>
      </c>
      <c r="J995" s="10" t="str">
        <f aca="false">_xlfn.CONCAT(A995, ",",H995,",",I995)</f>
        <v>붑,자,1</v>
      </c>
      <c r="K995" s="16" t="n">
        <f aca="false">IF(B995=-1,-1,VLOOKUP(C995,$T$1:$V$20,3))</f>
        <v>11</v>
      </c>
      <c r="L995" s="16" t="n">
        <f aca="false">IF(B995=-1,-1,VLOOKUP(D995,$Y$1:$AA$22,3))</f>
        <v>6</v>
      </c>
      <c r="N995" s="10" t="str">
        <f aca="false">_xlfn.UNICHAR(((C995*21)+G995)*28+44032)</f>
        <v>바</v>
      </c>
      <c r="O995" s="10" t="str">
        <f aca="false">_xlfn.UNICHAR(((F995*21)+D995)*28+44032)</f>
        <v>주</v>
      </c>
      <c r="P995" s="12" t="n">
        <f aca="false">COUNTIF($A$2:$A$3000, N995) + COUNTIF($A$2:$A$3000, O995)</f>
        <v>2</v>
      </c>
      <c r="Q995" s="16" t="str">
        <f aca="false">IF(OR(B995=-1,I995=0, P995&lt;&gt;2), "albhed_dummy", _xlfn.CONCAT("albhed ", RIGHT("  " &amp; K995,2),", ", RIGHT("  " &amp; L995,2), ", " ,"""",H995,""", ", """",N995,""", ","""",O995,""""," ; ", A995))</f>
        <v>albhed 11,  6, "자", "바", "주" ; 붑</v>
      </c>
    </row>
    <row r="996" customFormat="false" ht="17.9" hidden="false" customHeight="true" outlineLevel="0" collapsed="false">
      <c r="A996" s="16" t="s">
        <v>1866</v>
      </c>
      <c r="B996" s="16" t="n">
        <f aca="false">IF(_xlfn.UNICODE(A996)&lt;44032,-1,_xlfn.UNICODE(A996)-44032)</f>
        <v>4499</v>
      </c>
      <c r="C996" s="16" t="n">
        <f aca="false">IF(B996=-1,-1,INT((B996/28)/21))</f>
        <v>7</v>
      </c>
      <c r="D996" s="16" t="n">
        <f aca="false">IF(B996=-1, -1, MOD(INT(B996/28),21))</f>
        <v>13</v>
      </c>
      <c r="E996" s="16" t="n">
        <f aca="false">IF(B996=-1, -1, VLOOKUP(MOD(B996,28), $T$24:$U$52,2))</f>
        <v>19</v>
      </c>
      <c r="F996" s="16" t="n">
        <f aca="false">IF($B996=-1, -1, VLOOKUP(C996,$T$1:$V$20, 2))</f>
        <v>12</v>
      </c>
      <c r="G996" s="16" t="n">
        <f aca="false">IF($B996=-1, -1, VLOOKUP(D996,$Y$1:$Z$22,2))</f>
        <v>0</v>
      </c>
      <c r="H996" s="16" t="str">
        <f aca="false">_xlfn.UNICHAR(((F996*21)+G996)*28+44032)</f>
        <v>자</v>
      </c>
      <c r="I996" s="16" t="n">
        <f aca="false">IF(B996=-1, 1, COUNTIF($A$2:$A$3000, H996))</f>
        <v>1</v>
      </c>
      <c r="J996" s="10" t="str">
        <f aca="false">_xlfn.CONCAT(A996, ",",H996,",",I996)</f>
        <v>붓,자,1</v>
      </c>
      <c r="K996" s="16" t="n">
        <f aca="false">IF(B996=-1,-1,VLOOKUP(C996,$T$1:$V$20,3))</f>
        <v>11</v>
      </c>
      <c r="L996" s="16" t="n">
        <f aca="false">IF(B996=-1,-1,VLOOKUP(D996,$Y$1:$AA$22,3))</f>
        <v>6</v>
      </c>
      <c r="N996" s="10" t="str">
        <f aca="false">_xlfn.UNICHAR(((C996*21)+G996)*28+44032)</f>
        <v>바</v>
      </c>
      <c r="O996" s="10" t="str">
        <f aca="false">_xlfn.UNICHAR(((F996*21)+D996)*28+44032)</f>
        <v>주</v>
      </c>
      <c r="P996" s="12" t="n">
        <f aca="false">COUNTIF($A$2:$A$3000, N996) + COUNTIF($A$2:$A$3000, O996)</f>
        <v>2</v>
      </c>
      <c r="Q996" s="16" t="str">
        <f aca="false">IF(OR(B996=-1,I996=0, P996&lt;&gt;2), "albhed_dummy", _xlfn.CONCAT("albhed ", RIGHT("  " &amp; K996,2),", ", RIGHT("  " &amp; L996,2), ", " ,"""",H996,""", ", """",N996,""", ","""",O996,""""," ; ", A996))</f>
        <v>albhed 11,  6, "자", "바", "주" ; 붓</v>
      </c>
    </row>
    <row r="997" customFormat="false" ht="17.9" hidden="false" customHeight="true" outlineLevel="0" collapsed="false">
      <c r="A997" s="16" t="s">
        <v>1867</v>
      </c>
      <c r="B997" s="16" t="n">
        <f aca="false">IF(_xlfn.UNICODE(A997)&lt;44032,-1,_xlfn.UNICODE(A997)-44032)</f>
        <v>4501</v>
      </c>
      <c r="C997" s="16" t="n">
        <f aca="false">IF(B997=-1,-1,INT((B997/28)/21))</f>
        <v>7</v>
      </c>
      <c r="D997" s="16" t="n">
        <f aca="false">IF(B997=-1, -1, MOD(INT(B997/28),21))</f>
        <v>13</v>
      </c>
      <c r="E997" s="16" t="n">
        <f aca="false">IF(B997=-1, -1, VLOOKUP(MOD(B997,28), $T$24:$U$52,2))</f>
        <v>21</v>
      </c>
      <c r="F997" s="16" t="n">
        <f aca="false">IF($B997=-1, -1, VLOOKUP(C997,$T$1:$V$20, 2))</f>
        <v>12</v>
      </c>
      <c r="G997" s="16" t="n">
        <f aca="false">IF($B997=-1, -1, VLOOKUP(D997,$Y$1:$Z$22,2))</f>
        <v>0</v>
      </c>
      <c r="H997" s="16" t="str">
        <f aca="false">_xlfn.UNICHAR(((F997*21)+G997)*28+44032)</f>
        <v>자</v>
      </c>
      <c r="I997" s="16" t="n">
        <f aca="false">IF(B997=-1, 1, COUNTIF($A$2:$A$3000, H997))</f>
        <v>1</v>
      </c>
      <c r="J997" s="10" t="str">
        <f aca="false">_xlfn.CONCAT(A997, ",",H997,",",I997)</f>
        <v>붕,자,1</v>
      </c>
      <c r="K997" s="16" t="n">
        <f aca="false">IF(B997=-1,-1,VLOOKUP(C997,$T$1:$V$20,3))</f>
        <v>11</v>
      </c>
      <c r="L997" s="16" t="n">
        <f aca="false">IF(B997=-1,-1,VLOOKUP(D997,$Y$1:$AA$22,3))</f>
        <v>6</v>
      </c>
      <c r="N997" s="10" t="str">
        <f aca="false">_xlfn.UNICHAR(((C997*21)+G997)*28+44032)</f>
        <v>바</v>
      </c>
      <c r="O997" s="10" t="str">
        <f aca="false">_xlfn.UNICHAR(((F997*21)+D997)*28+44032)</f>
        <v>주</v>
      </c>
      <c r="P997" s="12" t="n">
        <f aca="false">COUNTIF($A$2:$A$3000, N997) + COUNTIF($A$2:$A$3000, O997)</f>
        <v>2</v>
      </c>
      <c r="Q997" s="16" t="str">
        <f aca="false">IF(OR(B997=-1,I997=0, P997&lt;&gt;2), "albhed_dummy", _xlfn.CONCAT("albhed ", RIGHT("  " &amp; K997,2),", ", RIGHT("  " &amp; L997,2), ", " ,"""",H997,""", ", """",N997,""", ","""",O997,""""," ; ", A997))</f>
        <v>albhed 11,  6, "자", "바", "주" ; 붕</v>
      </c>
    </row>
    <row r="998" customFormat="false" ht="17.9" hidden="false" customHeight="true" outlineLevel="0" collapsed="false">
      <c r="A998" s="16" t="s">
        <v>1868</v>
      </c>
      <c r="B998" s="16" t="n">
        <f aca="false">IF(_xlfn.UNICODE(A998)&lt;44032,-1,_xlfn.UNICODE(A998)-44032)</f>
        <v>4505</v>
      </c>
      <c r="C998" s="16" t="n">
        <f aca="false">IF(B998=-1,-1,INT((B998/28)/21))</f>
        <v>7</v>
      </c>
      <c r="D998" s="16" t="n">
        <f aca="false">IF(B998=-1, -1, MOD(INT(B998/28),21))</f>
        <v>13</v>
      </c>
      <c r="E998" s="16" t="n">
        <f aca="false">IF(B998=-1, -1, VLOOKUP(MOD(B998,28), $T$24:$U$52,2))</f>
        <v>19</v>
      </c>
      <c r="F998" s="16" t="n">
        <f aca="false">IF($B998=-1, -1, VLOOKUP(C998,$T$1:$V$20, 2))</f>
        <v>12</v>
      </c>
      <c r="G998" s="16" t="n">
        <f aca="false">IF($B998=-1, -1, VLOOKUP(D998,$Y$1:$Z$22,2))</f>
        <v>0</v>
      </c>
      <c r="H998" s="16" t="str">
        <f aca="false">_xlfn.UNICHAR(((F998*21)+G998)*28+44032)</f>
        <v>자</v>
      </c>
      <c r="I998" s="16" t="n">
        <f aca="false">IF(B998=-1, 1, COUNTIF($A$2:$A$3000, H998))</f>
        <v>1</v>
      </c>
      <c r="J998" s="10" t="str">
        <f aca="false">_xlfn.CONCAT(A998, ",",H998,",",I998)</f>
        <v>붙,자,1</v>
      </c>
      <c r="K998" s="16" t="n">
        <f aca="false">IF(B998=-1,-1,VLOOKUP(C998,$T$1:$V$20,3))</f>
        <v>11</v>
      </c>
      <c r="L998" s="16" t="n">
        <f aca="false">IF(B998=-1,-1,VLOOKUP(D998,$Y$1:$AA$22,3))</f>
        <v>6</v>
      </c>
      <c r="N998" s="10" t="str">
        <f aca="false">_xlfn.UNICHAR(((C998*21)+G998)*28+44032)</f>
        <v>바</v>
      </c>
      <c r="O998" s="10" t="str">
        <f aca="false">_xlfn.UNICHAR(((F998*21)+D998)*28+44032)</f>
        <v>주</v>
      </c>
      <c r="P998" s="12" t="n">
        <f aca="false">COUNTIF($A$2:$A$3000, N998) + COUNTIF($A$2:$A$3000, O998)</f>
        <v>2</v>
      </c>
      <c r="Q998" s="16" t="str">
        <f aca="false">IF(OR(B998=-1,I998=0, P998&lt;&gt;2), "albhed_dummy", _xlfn.CONCAT("albhed ", RIGHT("  " &amp; K998,2),", ", RIGHT("  " &amp; L998,2), ", " ,"""",H998,""", ", """",N998,""", ","""",O998,""""," ; ", A998))</f>
        <v>albhed 11,  6, "자", "바", "주" ; 붙</v>
      </c>
    </row>
    <row r="999" customFormat="false" ht="17.9" hidden="false" customHeight="true" outlineLevel="0" collapsed="false">
      <c r="A999" s="16" t="s">
        <v>1869</v>
      </c>
      <c r="B999" s="16" t="n">
        <f aca="false">IF(_xlfn.UNICODE(A999)&lt;44032,-1,_xlfn.UNICODE(A999)-44032)</f>
        <v>4506</v>
      </c>
      <c r="C999" s="16" t="n">
        <f aca="false">IF(B999=-1,-1,INT((B999/28)/21))</f>
        <v>7</v>
      </c>
      <c r="D999" s="16" t="n">
        <f aca="false">IF(B999=-1, -1, MOD(INT(B999/28),21))</f>
        <v>13</v>
      </c>
      <c r="E999" s="16" t="n">
        <f aca="false">IF(B999=-1, -1, VLOOKUP(MOD(B999,28), $T$24:$U$52,2))</f>
        <v>17</v>
      </c>
      <c r="F999" s="16" t="n">
        <f aca="false">IF($B999=-1, -1, VLOOKUP(C999,$T$1:$V$20, 2))</f>
        <v>12</v>
      </c>
      <c r="G999" s="16" t="n">
        <f aca="false">IF($B999=-1, -1, VLOOKUP(D999,$Y$1:$Z$22,2))</f>
        <v>0</v>
      </c>
      <c r="H999" s="16" t="str">
        <f aca="false">_xlfn.UNICHAR(((F999*21)+G999)*28+44032)</f>
        <v>자</v>
      </c>
      <c r="I999" s="16" t="n">
        <f aca="false">IF(B999=-1, 1, COUNTIF($A$2:$A$3000, H999))</f>
        <v>1</v>
      </c>
      <c r="J999" s="10" t="str">
        <f aca="false">_xlfn.CONCAT(A999, ",",H999,",",I999)</f>
        <v>붚,자,1</v>
      </c>
      <c r="K999" s="16" t="n">
        <f aca="false">IF(B999=-1,-1,VLOOKUP(C999,$T$1:$V$20,3))</f>
        <v>11</v>
      </c>
      <c r="L999" s="16" t="n">
        <f aca="false">IF(B999=-1,-1,VLOOKUP(D999,$Y$1:$AA$22,3))</f>
        <v>6</v>
      </c>
      <c r="N999" s="10" t="str">
        <f aca="false">_xlfn.UNICHAR(((C999*21)+G999)*28+44032)</f>
        <v>바</v>
      </c>
      <c r="O999" s="10" t="str">
        <f aca="false">_xlfn.UNICHAR(((F999*21)+D999)*28+44032)</f>
        <v>주</v>
      </c>
      <c r="P999" s="12" t="n">
        <f aca="false">COUNTIF($A$2:$A$3000, N999) + COUNTIF($A$2:$A$3000, O999)</f>
        <v>2</v>
      </c>
      <c r="Q999" s="16" t="str">
        <f aca="false">IF(OR(B999=-1,I999=0, P999&lt;&gt;2), "albhed_dummy", _xlfn.CONCAT("albhed ", RIGHT("  " &amp; K999,2),", ", RIGHT("  " &amp; L999,2), ", " ,"""",H999,""", ", """",N999,""", ","""",O999,""""," ; ", A999))</f>
        <v>albhed 11,  6, "자", "바", "주" ; 붚</v>
      </c>
    </row>
    <row r="1000" customFormat="false" ht="17.9" hidden="false" customHeight="true" outlineLevel="0" collapsed="false">
      <c r="A1000" s="16" t="s">
        <v>1870</v>
      </c>
      <c r="B1000" s="16" t="n">
        <f aca="false">IF(_xlfn.UNICODE(A1000)&lt;44032,-1,_xlfn.UNICODE(A1000)-44032)</f>
        <v>4508</v>
      </c>
      <c r="C1000" s="16" t="n">
        <f aca="false">IF(B1000=-1,-1,INT((B1000/28)/21))</f>
        <v>7</v>
      </c>
      <c r="D1000" s="16" t="n">
        <f aca="false">IF(B1000=-1, -1, MOD(INT(B1000/28),21))</f>
        <v>14</v>
      </c>
      <c r="E1000" s="16" t="n">
        <f aca="false">IF(B1000=-1, -1, VLOOKUP(MOD(B1000,28), $T$24:$U$52,2))</f>
        <v>0</v>
      </c>
      <c r="F1000" s="16" t="n">
        <f aca="false">IF($B1000=-1, -1, VLOOKUP(C1000,$T$1:$V$20, 2))</f>
        <v>12</v>
      </c>
      <c r="G1000" s="16" t="n">
        <f aca="false">IF($B1000=-1, -1, VLOOKUP(D1000,$Y$1:$Z$22,2))</f>
        <v>20</v>
      </c>
      <c r="H1000" s="16" t="str">
        <f aca="false">_xlfn.UNICHAR(((F1000*21)+G1000)*28+44032)</f>
        <v>지</v>
      </c>
      <c r="I1000" s="16" t="n">
        <f aca="false">IF(B1000=-1, 1, COUNTIF($A$2:$A$3000, H1000))</f>
        <v>1</v>
      </c>
      <c r="J1000" s="10" t="str">
        <f aca="false">_xlfn.CONCAT(A1000, ",",H1000,",",I1000)</f>
        <v>붜,지,1</v>
      </c>
      <c r="K1000" s="16" t="n">
        <f aca="false">IF(B1000=-1,-1,VLOOKUP(C1000,$T$1:$V$20,3))</f>
        <v>11</v>
      </c>
      <c r="L1000" s="16" t="n">
        <f aca="false">IF(B1000=-1,-1,VLOOKUP(D1000,$Y$1:$AA$22,3))</f>
        <v>16</v>
      </c>
      <c r="N1000" s="10" t="str">
        <f aca="false">_xlfn.UNICHAR(((C1000*21)+G1000)*28+44032)</f>
        <v>비</v>
      </c>
      <c r="O1000" s="10" t="str">
        <f aca="false">_xlfn.UNICHAR(((F1000*21)+D1000)*28+44032)</f>
        <v>줘</v>
      </c>
      <c r="P1000" s="12" t="n">
        <f aca="false">COUNTIF($A$2:$A$3000, N1000) + COUNTIF($A$2:$A$3000, O1000)</f>
        <v>2</v>
      </c>
      <c r="Q1000" s="16" t="str">
        <f aca="false">IF(OR(B1000=-1,I1000=0, P1000&lt;&gt;2), "albhed_dummy", _xlfn.CONCAT("albhed ", RIGHT("  " &amp; K1000,2),", ", RIGHT("  " &amp; L1000,2), ", " ,"""",H1000,""", ", """",N1000,""", ","""",O1000,""""," ; ", A1000))</f>
        <v>albhed 11, 16, "지", "비", "줘" ; 붜</v>
      </c>
    </row>
    <row r="1001" customFormat="false" ht="17.9" hidden="false" customHeight="true" outlineLevel="0" collapsed="false">
      <c r="A1001" s="16" t="s">
        <v>1871</v>
      </c>
      <c r="B1001" s="16" t="n">
        <f aca="false">IF(_xlfn.UNICODE(A1001)&lt;44032,-1,_xlfn.UNICODE(A1001)-44032)</f>
        <v>4516</v>
      </c>
      <c r="C1001" s="16" t="n">
        <f aca="false">IF(B1001=-1,-1,INT((B1001/28)/21))</f>
        <v>7</v>
      </c>
      <c r="D1001" s="16" t="n">
        <f aca="false">IF(B1001=-1, -1, MOD(INT(B1001/28),21))</f>
        <v>14</v>
      </c>
      <c r="E1001" s="16" t="n">
        <f aca="false">IF(B1001=-1, -1, VLOOKUP(MOD(B1001,28), $T$24:$U$52,2))</f>
        <v>8</v>
      </c>
      <c r="F1001" s="16" t="n">
        <f aca="false">IF($B1001=-1, -1, VLOOKUP(C1001,$T$1:$V$20, 2))</f>
        <v>12</v>
      </c>
      <c r="G1001" s="16" t="n">
        <f aca="false">IF($B1001=-1, -1, VLOOKUP(D1001,$Y$1:$Z$22,2))</f>
        <v>20</v>
      </c>
      <c r="H1001" s="16" t="str">
        <f aca="false">_xlfn.UNICHAR(((F1001*21)+G1001)*28+44032)</f>
        <v>지</v>
      </c>
      <c r="I1001" s="16" t="n">
        <f aca="false">IF(B1001=-1, 1, COUNTIF($A$2:$A$3000, H1001))</f>
        <v>1</v>
      </c>
      <c r="J1001" s="10" t="str">
        <f aca="false">_xlfn.CONCAT(A1001, ",",H1001,",",I1001)</f>
        <v>붤,지,1</v>
      </c>
      <c r="K1001" s="16" t="n">
        <f aca="false">IF(B1001=-1,-1,VLOOKUP(C1001,$T$1:$V$20,3))</f>
        <v>11</v>
      </c>
      <c r="L1001" s="16" t="n">
        <f aca="false">IF(B1001=-1,-1,VLOOKUP(D1001,$Y$1:$AA$22,3))</f>
        <v>16</v>
      </c>
      <c r="N1001" s="10" t="str">
        <f aca="false">_xlfn.UNICHAR(((C1001*21)+G1001)*28+44032)</f>
        <v>비</v>
      </c>
      <c r="O1001" s="10" t="str">
        <f aca="false">_xlfn.UNICHAR(((F1001*21)+D1001)*28+44032)</f>
        <v>줘</v>
      </c>
      <c r="P1001" s="12" t="n">
        <f aca="false">COUNTIF($A$2:$A$3000, N1001) + COUNTIF($A$2:$A$3000, O1001)</f>
        <v>2</v>
      </c>
      <c r="Q1001" s="16" t="str">
        <f aca="false">IF(OR(B1001=-1,I1001=0, P1001&lt;&gt;2), "albhed_dummy", _xlfn.CONCAT("albhed ", RIGHT("  " &amp; K1001,2),", ", RIGHT("  " &amp; L1001,2), ", " ,"""",H1001,""", ", """",N1001,""", ","""",O1001,""""," ; ", A1001))</f>
        <v>albhed 11, 16, "지", "비", "줘" ; 붤</v>
      </c>
    </row>
    <row r="1002" customFormat="false" ht="17.9" hidden="false" customHeight="true" outlineLevel="0" collapsed="false">
      <c r="A1002" s="16" t="s">
        <v>1872</v>
      </c>
      <c r="B1002" s="16" t="n">
        <f aca="false">IF(_xlfn.UNICODE(A1002)&lt;44032,-1,_xlfn.UNICODE(A1002)-44032)</f>
        <v>4528</v>
      </c>
      <c r="C1002" s="16" t="n">
        <f aca="false">IF(B1002=-1,-1,INT((B1002/28)/21))</f>
        <v>7</v>
      </c>
      <c r="D1002" s="16" t="n">
        <f aca="false">IF(B1002=-1, -1, MOD(INT(B1002/28),21))</f>
        <v>14</v>
      </c>
      <c r="E1002" s="16" t="n">
        <f aca="false">IF(B1002=-1, -1, VLOOKUP(MOD(B1002,28), $T$24:$U$52,2))</f>
        <v>19</v>
      </c>
      <c r="F1002" s="16" t="n">
        <f aca="false">IF($B1002=-1, -1, VLOOKUP(C1002,$T$1:$V$20, 2))</f>
        <v>12</v>
      </c>
      <c r="G1002" s="16" t="n">
        <f aca="false">IF($B1002=-1, -1, VLOOKUP(D1002,$Y$1:$Z$22,2))</f>
        <v>20</v>
      </c>
      <c r="H1002" s="16" t="str">
        <f aca="false">_xlfn.UNICHAR(((F1002*21)+G1002)*28+44032)</f>
        <v>지</v>
      </c>
      <c r="I1002" s="16" t="n">
        <f aca="false">IF(B1002=-1, 1, COUNTIF($A$2:$A$3000, H1002))</f>
        <v>1</v>
      </c>
      <c r="J1002" s="10" t="str">
        <f aca="false">_xlfn.CONCAT(A1002, ",",H1002,",",I1002)</f>
        <v>붰,지,1</v>
      </c>
      <c r="K1002" s="16" t="n">
        <f aca="false">IF(B1002=-1,-1,VLOOKUP(C1002,$T$1:$V$20,3))</f>
        <v>11</v>
      </c>
      <c r="L1002" s="16" t="n">
        <f aca="false">IF(B1002=-1,-1,VLOOKUP(D1002,$Y$1:$AA$22,3))</f>
        <v>16</v>
      </c>
      <c r="N1002" s="10" t="str">
        <f aca="false">_xlfn.UNICHAR(((C1002*21)+G1002)*28+44032)</f>
        <v>비</v>
      </c>
      <c r="O1002" s="10" t="str">
        <f aca="false">_xlfn.UNICHAR(((F1002*21)+D1002)*28+44032)</f>
        <v>줘</v>
      </c>
      <c r="P1002" s="12" t="n">
        <f aca="false">COUNTIF($A$2:$A$3000, N1002) + COUNTIF($A$2:$A$3000, O1002)</f>
        <v>2</v>
      </c>
      <c r="Q1002" s="16" t="str">
        <f aca="false">IF(OR(B1002=-1,I1002=0, P1002&lt;&gt;2), "albhed_dummy", _xlfn.CONCAT("albhed ", RIGHT("  " &amp; K1002,2),", ", RIGHT("  " &amp; L1002,2), ", " ,"""",H1002,""", ", """",N1002,""", ","""",O1002,""""," ; ", A1002))</f>
        <v>albhed 11, 16, "지", "비", "줘" ; 붰</v>
      </c>
    </row>
    <row r="1003" customFormat="false" ht="17.9" hidden="false" customHeight="true" outlineLevel="0" collapsed="false">
      <c r="A1003" s="16" t="s">
        <v>1873</v>
      </c>
      <c r="B1003" s="16" t="n">
        <f aca="false">IF(_xlfn.UNICODE(A1003)&lt;44032,-1,_xlfn.UNICODE(A1003)-44032)</f>
        <v>4536</v>
      </c>
      <c r="C1003" s="16" t="n">
        <f aca="false">IF(B1003=-1,-1,INT((B1003/28)/21))</f>
        <v>7</v>
      </c>
      <c r="D1003" s="16" t="n">
        <f aca="false">IF(B1003=-1, -1, MOD(INT(B1003/28),21))</f>
        <v>15</v>
      </c>
      <c r="E1003" s="16" t="n">
        <f aca="false">IF(B1003=-1, -1, VLOOKUP(MOD(B1003,28), $T$24:$U$52,2))</f>
        <v>0</v>
      </c>
      <c r="F1003" s="16" t="n">
        <f aca="false">IF($B1003=-1, -1, VLOOKUP(C1003,$T$1:$V$20, 2))</f>
        <v>12</v>
      </c>
      <c r="G1003" s="16" t="n">
        <f aca="false">IF($B1003=-1, -1, VLOOKUP(D1003,$Y$1:$Z$22,2))</f>
        <v>20</v>
      </c>
      <c r="H1003" s="16" t="str">
        <f aca="false">_xlfn.UNICHAR(((F1003*21)+G1003)*28+44032)</f>
        <v>지</v>
      </c>
      <c r="I1003" s="16" t="n">
        <f aca="false">IF(B1003=-1, 1, COUNTIF($A$2:$A$3000, H1003))</f>
        <v>1</v>
      </c>
      <c r="J1003" s="10" t="str">
        <f aca="false">_xlfn.CONCAT(A1003, ",",H1003,",",I1003)</f>
        <v>붸,지,1</v>
      </c>
      <c r="K1003" s="16" t="n">
        <f aca="false">IF(B1003=-1,-1,VLOOKUP(C1003,$T$1:$V$20,3))</f>
        <v>11</v>
      </c>
      <c r="L1003" s="16" t="n">
        <f aca="false">IF(B1003=-1,-1,VLOOKUP(D1003,$Y$1:$AA$22,3))</f>
        <v>16</v>
      </c>
      <c r="N1003" s="10" t="str">
        <f aca="false">_xlfn.UNICHAR(((C1003*21)+G1003)*28+44032)</f>
        <v>비</v>
      </c>
      <c r="O1003" s="10" t="str">
        <f aca="false">_xlfn.UNICHAR(((F1003*21)+D1003)*28+44032)</f>
        <v>줴</v>
      </c>
      <c r="P1003" s="12" t="n">
        <f aca="false">COUNTIF($A$2:$A$3000, N1003) + COUNTIF($A$2:$A$3000, O1003)</f>
        <v>2</v>
      </c>
      <c r="Q1003" s="16" t="str">
        <f aca="false">IF(OR(B1003=-1,I1003=0, P1003&lt;&gt;2), "albhed_dummy", _xlfn.CONCAT("albhed ", RIGHT("  " &amp; K1003,2),", ", RIGHT("  " &amp; L1003,2), ", " ,"""",H1003,""", ", """",N1003,""", ","""",O1003,""""," ; ", A1003))</f>
        <v>albhed 11, 16, "지", "비", "줴" ; 붸</v>
      </c>
    </row>
    <row r="1004" customFormat="false" ht="17.9" hidden="false" customHeight="true" outlineLevel="0" collapsed="false">
      <c r="A1004" s="16" t="s">
        <v>1874</v>
      </c>
      <c r="B1004" s="16" t="n">
        <f aca="false">IF(_xlfn.UNICODE(A1004)&lt;44032,-1,_xlfn.UNICODE(A1004)-44032)</f>
        <v>4564</v>
      </c>
      <c r="C1004" s="16" t="n">
        <f aca="false">IF(B1004=-1,-1,INT((B1004/28)/21))</f>
        <v>7</v>
      </c>
      <c r="D1004" s="16" t="n">
        <f aca="false">IF(B1004=-1, -1, MOD(INT(B1004/28),21))</f>
        <v>16</v>
      </c>
      <c r="E1004" s="16" t="n">
        <f aca="false">IF(B1004=-1, -1, VLOOKUP(MOD(B1004,28), $T$24:$U$52,2))</f>
        <v>0</v>
      </c>
      <c r="F1004" s="16" t="n">
        <f aca="false">IF($B1004=-1, -1, VLOOKUP(C1004,$T$1:$V$20, 2))</f>
        <v>12</v>
      </c>
      <c r="G1004" s="16" t="n">
        <f aca="false">IF($B1004=-1, -1, VLOOKUP(D1004,$Y$1:$Z$22,2))</f>
        <v>20</v>
      </c>
      <c r="H1004" s="16" t="str">
        <f aca="false">_xlfn.UNICHAR(((F1004*21)+G1004)*28+44032)</f>
        <v>지</v>
      </c>
      <c r="I1004" s="16" t="n">
        <f aca="false">IF(B1004=-1, 1, COUNTIF($A$2:$A$3000, H1004))</f>
        <v>1</v>
      </c>
      <c r="J1004" s="10" t="str">
        <f aca="false">_xlfn.CONCAT(A1004, ",",H1004,",",I1004)</f>
        <v>뷔,지,1</v>
      </c>
      <c r="K1004" s="16" t="n">
        <f aca="false">IF(B1004=-1,-1,VLOOKUP(C1004,$T$1:$V$20,3))</f>
        <v>11</v>
      </c>
      <c r="L1004" s="16" t="n">
        <f aca="false">IF(B1004=-1,-1,VLOOKUP(D1004,$Y$1:$AA$22,3))</f>
        <v>22</v>
      </c>
      <c r="N1004" s="10" t="str">
        <f aca="false">_xlfn.UNICHAR(((C1004*21)+G1004)*28+44032)</f>
        <v>비</v>
      </c>
      <c r="O1004" s="10" t="str">
        <f aca="false">_xlfn.UNICHAR(((F1004*21)+D1004)*28+44032)</f>
        <v>쥐</v>
      </c>
      <c r="P1004" s="12" t="n">
        <f aca="false">COUNTIF($A$2:$A$3000, N1004) + COUNTIF($A$2:$A$3000, O1004)</f>
        <v>2</v>
      </c>
      <c r="Q1004" s="16" t="str">
        <f aca="false">IF(OR(B1004=-1,I1004=0, P1004&lt;&gt;2), "albhed_dummy", _xlfn.CONCAT("albhed ", RIGHT("  " &amp; K1004,2),", ", RIGHT("  " &amp; L1004,2), ", " ,"""",H1004,""", ", """",N1004,""", ","""",O1004,""""," ; ", A1004))</f>
        <v>albhed 11, 22, "지", "비", "쥐" ; 뷔</v>
      </c>
    </row>
    <row r="1005" customFormat="false" ht="17.9" hidden="false" customHeight="true" outlineLevel="0" collapsed="false">
      <c r="A1005" s="16" t="s">
        <v>1875</v>
      </c>
      <c r="B1005" s="16" t="n">
        <f aca="false">IF(_xlfn.UNICODE(A1005)&lt;44032,-1,_xlfn.UNICODE(A1005)-44032)</f>
        <v>4565</v>
      </c>
      <c r="C1005" s="16" t="n">
        <f aca="false">IF(B1005=-1,-1,INT((B1005/28)/21))</f>
        <v>7</v>
      </c>
      <c r="D1005" s="16" t="n">
        <f aca="false">IF(B1005=-1, -1, MOD(INT(B1005/28),21))</f>
        <v>16</v>
      </c>
      <c r="E1005" s="16" t="n">
        <f aca="false">IF(B1005=-1, -1, VLOOKUP(MOD(B1005,28), $T$24:$U$52,2))</f>
        <v>1</v>
      </c>
      <c r="F1005" s="16" t="n">
        <f aca="false">IF($B1005=-1, -1, VLOOKUP(C1005,$T$1:$V$20, 2))</f>
        <v>12</v>
      </c>
      <c r="G1005" s="16" t="n">
        <f aca="false">IF($B1005=-1, -1, VLOOKUP(D1005,$Y$1:$Z$22,2))</f>
        <v>20</v>
      </c>
      <c r="H1005" s="16" t="str">
        <f aca="false">_xlfn.UNICHAR(((F1005*21)+G1005)*28+44032)</f>
        <v>지</v>
      </c>
      <c r="I1005" s="16" t="n">
        <f aca="false">IF(B1005=-1, 1, COUNTIF($A$2:$A$3000, H1005))</f>
        <v>1</v>
      </c>
      <c r="J1005" s="10" t="str">
        <f aca="false">_xlfn.CONCAT(A1005, ",",H1005,",",I1005)</f>
        <v>뷕,지,1</v>
      </c>
      <c r="K1005" s="16" t="n">
        <f aca="false">IF(B1005=-1,-1,VLOOKUP(C1005,$T$1:$V$20,3))</f>
        <v>11</v>
      </c>
      <c r="L1005" s="16" t="n">
        <f aca="false">IF(B1005=-1,-1,VLOOKUP(D1005,$Y$1:$AA$22,3))</f>
        <v>22</v>
      </c>
      <c r="N1005" s="10" t="str">
        <f aca="false">_xlfn.UNICHAR(((C1005*21)+G1005)*28+44032)</f>
        <v>비</v>
      </c>
      <c r="O1005" s="10" t="str">
        <f aca="false">_xlfn.UNICHAR(((F1005*21)+D1005)*28+44032)</f>
        <v>쥐</v>
      </c>
      <c r="P1005" s="12" t="n">
        <f aca="false">COUNTIF($A$2:$A$3000, N1005) + COUNTIF($A$2:$A$3000, O1005)</f>
        <v>2</v>
      </c>
      <c r="Q1005" s="16" t="str">
        <f aca="false">IF(OR(B1005=-1,I1005=0, P1005&lt;&gt;2), "albhed_dummy", _xlfn.CONCAT("albhed ", RIGHT("  " &amp; K1005,2),", ", RIGHT("  " &amp; L1005,2), ", " ,"""",H1005,""", ", """",N1005,""", ","""",O1005,""""," ; ", A1005))</f>
        <v>albhed 11, 22, "지", "비", "쥐" ; 뷕</v>
      </c>
    </row>
    <row r="1006" customFormat="false" ht="17.9" hidden="false" customHeight="true" outlineLevel="0" collapsed="false">
      <c r="A1006" s="16" t="s">
        <v>1876</v>
      </c>
      <c r="B1006" s="16" t="n">
        <f aca="false">IF(_xlfn.UNICODE(A1006)&lt;44032,-1,_xlfn.UNICODE(A1006)-44032)</f>
        <v>4568</v>
      </c>
      <c r="C1006" s="16" t="n">
        <f aca="false">IF(B1006=-1,-1,INT((B1006/28)/21))</f>
        <v>7</v>
      </c>
      <c r="D1006" s="16" t="n">
        <f aca="false">IF(B1006=-1, -1, MOD(INT(B1006/28),21))</f>
        <v>16</v>
      </c>
      <c r="E1006" s="16" t="n">
        <f aca="false">IF(B1006=-1, -1, VLOOKUP(MOD(B1006,28), $T$24:$U$52,2))</f>
        <v>4</v>
      </c>
      <c r="F1006" s="16" t="n">
        <f aca="false">IF($B1006=-1, -1, VLOOKUP(C1006,$T$1:$V$20, 2))</f>
        <v>12</v>
      </c>
      <c r="G1006" s="16" t="n">
        <f aca="false">IF($B1006=-1, -1, VLOOKUP(D1006,$Y$1:$Z$22,2))</f>
        <v>20</v>
      </c>
      <c r="H1006" s="16" t="str">
        <f aca="false">_xlfn.UNICHAR(((F1006*21)+G1006)*28+44032)</f>
        <v>지</v>
      </c>
      <c r="I1006" s="16" t="n">
        <f aca="false">IF(B1006=-1, 1, COUNTIF($A$2:$A$3000, H1006))</f>
        <v>1</v>
      </c>
      <c r="J1006" s="10" t="str">
        <f aca="false">_xlfn.CONCAT(A1006, ",",H1006,",",I1006)</f>
        <v>뷘,지,1</v>
      </c>
      <c r="K1006" s="16" t="n">
        <f aca="false">IF(B1006=-1,-1,VLOOKUP(C1006,$T$1:$V$20,3))</f>
        <v>11</v>
      </c>
      <c r="L1006" s="16" t="n">
        <f aca="false">IF(B1006=-1,-1,VLOOKUP(D1006,$Y$1:$AA$22,3))</f>
        <v>22</v>
      </c>
      <c r="N1006" s="10" t="str">
        <f aca="false">_xlfn.UNICHAR(((C1006*21)+G1006)*28+44032)</f>
        <v>비</v>
      </c>
      <c r="O1006" s="10" t="str">
        <f aca="false">_xlfn.UNICHAR(((F1006*21)+D1006)*28+44032)</f>
        <v>쥐</v>
      </c>
      <c r="P1006" s="12" t="n">
        <f aca="false">COUNTIF($A$2:$A$3000, N1006) + COUNTIF($A$2:$A$3000, O1006)</f>
        <v>2</v>
      </c>
      <c r="Q1006" s="16" t="str">
        <f aca="false">IF(OR(B1006=-1,I1006=0, P1006&lt;&gt;2), "albhed_dummy", _xlfn.CONCAT("albhed ", RIGHT("  " &amp; K1006,2),", ", RIGHT("  " &amp; L1006,2), ", " ,"""",H1006,""", ", """",N1006,""", ","""",O1006,""""," ; ", A1006))</f>
        <v>albhed 11, 22, "지", "비", "쥐" ; 뷘</v>
      </c>
    </row>
    <row r="1007" customFormat="false" ht="17.9" hidden="false" customHeight="true" outlineLevel="0" collapsed="false">
      <c r="A1007" s="16" t="s">
        <v>1877</v>
      </c>
      <c r="B1007" s="16" t="n">
        <f aca="false">IF(_xlfn.UNICODE(A1007)&lt;44032,-1,_xlfn.UNICODE(A1007)-44032)</f>
        <v>4572</v>
      </c>
      <c r="C1007" s="16" t="n">
        <f aca="false">IF(B1007=-1,-1,INT((B1007/28)/21))</f>
        <v>7</v>
      </c>
      <c r="D1007" s="16" t="n">
        <f aca="false">IF(B1007=-1, -1, MOD(INT(B1007/28),21))</f>
        <v>16</v>
      </c>
      <c r="E1007" s="16" t="n">
        <f aca="false">IF(B1007=-1, -1, VLOOKUP(MOD(B1007,28), $T$24:$U$52,2))</f>
        <v>8</v>
      </c>
      <c r="F1007" s="16" t="n">
        <f aca="false">IF($B1007=-1, -1, VLOOKUP(C1007,$T$1:$V$20, 2))</f>
        <v>12</v>
      </c>
      <c r="G1007" s="16" t="n">
        <f aca="false">IF($B1007=-1, -1, VLOOKUP(D1007,$Y$1:$Z$22,2))</f>
        <v>20</v>
      </c>
      <c r="H1007" s="16" t="str">
        <f aca="false">_xlfn.UNICHAR(((F1007*21)+G1007)*28+44032)</f>
        <v>지</v>
      </c>
      <c r="I1007" s="16" t="n">
        <f aca="false">IF(B1007=-1, 1, COUNTIF($A$2:$A$3000, H1007))</f>
        <v>1</v>
      </c>
      <c r="J1007" s="10" t="str">
        <f aca="false">_xlfn.CONCAT(A1007, ",",H1007,",",I1007)</f>
        <v>뷜,지,1</v>
      </c>
      <c r="K1007" s="16" t="n">
        <f aca="false">IF(B1007=-1,-1,VLOOKUP(C1007,$T$1:$V$20,3))</f>
        <v>11</v>
      </c>
      <c r="L1007" s="16" t="n">
        <f aca="false">IF(B1007=-1,-1,VLOOKUP(D1007,$Y$1:$AA$22,3))</f>
        <v>22</v>
      </c>
      <c r="N1007" s="10" t="str">
        <f aca="false">_xlfn.UNICHAR(((C1007*21)+G1007)*28+44032)</f>
        <v>비</v>
      </c>
      <c r="O1007" s="10" t="str">
        <f aca="false">_xlfn.UNICHAR(((F1007*21)+D1007)*28+44032)</f>
        <v>쥐</v>
      </c>
      <c r="P1007" s="12" t="n">
        <f aca="false">COUNTIF($A$2:$A$3000, N1007) + COUNTIF($A$2:$A$3000, O1007)</f>
        <v>2</v>
      </c>
      <c r="Q1007" s="16" t="str">
        <f aca="false">IF(OR(B1007=-1,I1007=0, P1007&lt;&gt;2), "albhed_dummy", _xlfn.CONCAT("albhed ", RIGHT("  " &amp; K1007,2),", ", RIGHT("  " &amp; L1007,2), ", " ,"""",H1007,""", ", """",N1007,""", ","""",O1007,""""," ; ", A1007))</f>
        <v>albhed 11, 22, "지", "비", "쥐" ; 뷜</v>
      </c>
    </row>
    <row r="1008" customFormat="false" ht="17.9" hidden="false" customHeight="true" outlineLevel="0" collapsed="false">
      <c r="A1008" s="16" t="s">
        <v>1878</v>
      </c>
      <c r="B1008" s="16" t="n">
        <f aca="false">IF(_xlfn.UNICODE(A1008)&lt;44032,-1,_xlfn.UNICODE(A1008)-44032)</f>
        <v>4585</v>
      </c>
      <c r="C1008" s="16" t="n">
        <f aca="false">IF(B1008=-1,-1,INT((B1008/28)/21))</f>
        <v>7</v>
      </c>
      <c r="D1008" s="16" t="n">
        <f aca="false">IF(B1008=-1, -1, MOD(INT(B1008/28),21))</f>
        <v>16</v>
      </c>
      <c r="E1008" s="16" t="n">
        <f aca="false">IF(B1008=-1, -1, VLOOKUP(MOD(B1008,28), $T$24:$U$52,2))</f>
        <v>21</v>
      </c>
      <c r="F1008" s="16" t="n">
        <f aca="false">IF($B1008=-1, -1, VLOOKUP(C1008,$T$1:$V$20, 2))</f>
        <v>12</v>
      </c>
      <c r="G1008" s="16" t="n">
        <f aca="false">IF($B1008=-1, -1, VLOOKUP(D1008,$Y$1:$Z$22,2))</f>
        <v>20</v>
      </c>
      <c r="H1008" s="16" t="str">
        <f aca="false">_xlfn.UNICHAR(((F1008*21)+G1008)*28+44032)</f>
        <v>지</v>
      </c>
      <c r="I1008" s="16" t="n">
        <f aca="false">IF(B1008=-1, 1, COUNTIF($A$2:$A$3000, H1008))</f>
        <v>1</v>
      </c>
      <c r="J1008" s="10" t="str">
        <f aca="false">_xlfn.CONCAT(A1008, ",",H1008,",",I1008)</f>
        <v>뷩,지,1</v>
      </c>
      <c r="K1008" s="16" t="n">
        <f aca="false">IF(B1008=-1,-1,VLOOKUP(C1008,$T$1:$V$20,3))</f>
        <v>11</v>
      </c>
      <c r="L1008" s="16" t="n">
        <f aca="false">IF(B1008=-1,-1,VLOOKUP(D1008,$Y$1:$AA$22,3))</f>
        <v>22</v>
      </c>
      <c r="N1008" s="10" t="str">
        <f aca="false">_xlfn.UNICHAR(((C1008*21)+G1008)*28+44032)</f>
        <v>비</v>
      </c>
      <c r="O1008" s="10" t="str">
        <f aca="false">_xlfn.UNICHAR(((F1008*21)+D1008)*28+44032)</f>
        <v>쥐</v>
      </c>
      <c r="P1008" s="12" t="n">
        <f aca="false">COUNTIF($A$2:$A$3000, N1008) + COUNTIF($A$2:$A$3000, O1008)</f>
        <v>2</v>
      </c>
      <c r="Q1008" s="16" t="str">
        <f aca="false">IF(OR(B1008=-1,I1008=0, P1008&lt;&gt;2), "albhed_dummy", _xlfn.CONCAT("albhed ", RIGHT("  " &amp; K1008,2),", ", RIGHT("  " &amp; L1008,2), ", " ,"""",H1008,""", ", """",N1008,""", ","""",O1008,""""," ; ", A1008))</f>
        <v>albhed 11, 22, "지", "비", "쥐" ; 뷩</v>
      </c>
    </row>
    <row r="1009" customFormat="false" ht="17.9" hidden="false" customHeight="true" outlineLevel="0" collapsed="false">
      <c r="A1009" s="16" t="s">
        <v>1879</v>
      </c>
      <c r="B1009" s="16" t="n">
        <f aca="false">IF(_xlfn.UNICODE(A1009)&lt;44032,-1,_xlfn.UNICODE(A1009)-44032)</f>
        <v>4592</v>
      </c>
      <c r="C1009" s="16" t="n">
        <f aca="false">IF(B1009=-1,-1,INT((B1009/28)/21))</f>
        <v>7</v>
      </c>
      <c r="D1009" s="16" t="n">
        <f aca="false">IF(B1009=-1, -1, MOD(INT(B1009/28),21))</f>
        <v>17</v>
      </c>
      <c r="E1009" s="16" t="n">
        <f aca="false">IF(B1009=-1, -1, VLOOKUP(MOD(B1009,28), $T$24:$U$52,2))</f>
        <v>0</v>
      </c>
      <c r="F1009" s="16" t="n">
        <f aca="false">IF($B1009=-1, -1, VLOOKUP(C1009,$T$1:$V$20, 2))</f>
        <v>12</v>
      </c>
      <c r="G1009" s="16" t="n">
        <f aca="false">IF($B1009=-1, -1, VLOOKUP(D1009,$Y$1:$Z$22,2))</f>
        <v>2</v>
      </c>
      <c r="H1009" s="16" t="str">
        <f aca="false">_xlfn.UNICHAR(((F1009*21)+G1009)*28+44032)</f>
        <v>쟈</v>
      </c>
      <c r="I1009" s="16" t="n">
        <f aca="false">IF(B1009=-1, 1, COUNTIF($A$2:$A$3000, H1009))</f>
        <v>1</v>
      </c>
      <c r="J1009" s="10" t="str">
        <f aca="false">_xlfn.CONCAT(A1009, ",",H1009,",",I1009)</f>
        <v>뷰,쟈,1</v>
      </c>
      <c r="K1009" s="16" t="n">
        <f aca="false">IF(B1009=-1,-1,VLOOKUP(C1009,$T$1:$V$20,3))</f>
        <v>11</v>
      </c>
      <c r="L1009" s="16" t="n">
        <f aca="false">IF(B1009=-1,-1,VLOOKUP(D1009,$Y$1:$AA$22,3))</f>
        <v>6</v>
      </c>
      <c r="N1009" s="10" t="str">
        <f aca="false">_xlfn.UNICHAR(((C1009*21)+G1009)*28+44032)</f>
        <v>뱌</v>
      </c>
      <c r="O1009" s="10" t="str">
        <f aca="false">_xlfn.UNICHAR(((F1009*21)+D1009)*28+44032)</f>
        <v>쥬</v>
      </c>
      <c r="P1009" s="12" t="n">
        <f aca="false">COUNTIF($A$2:$A$3000, N1009) + COUNTIF($A$2:$A$3000, O1009)</f>
        <v>2</v>
      </c>
      <c r="Q1009" s="16" t="str">
        <f aca="false">IF(OR(B1009=-1,I1009=0, P1009&lt;&gt;2), "albhed_dummy", _xlfn.CONCAT("albhed ", RIGHT("  " &amp; K1009,2),", ", RIGHT("  " &amp; L1009,2), ", " ,"""",H1009,""", ", """",N1009,""", ","""",O1009,""""," ; ", A1009))</f>
        <v>albhed 11,  6, "쟈", "뱌", "쥬" ; 뷰</v>
      </c>
    </row>
    <row r="1010" customFormat="false" ht="17.9" hidden="false" customHeight="true" outlineLevel="0" collapsed="false">
      <c r="A1010" s="16" t="s">
        <v>1880</v>
      </c>
      <c r="B1010" s="16" t="n">
        <f aca="false">IF(_xlfn.UNICODE(A1010)&lt;44032,-1,_xlfn.UNICODE(A1010)-44032)</f>
        <v>4596</v>
      </c>
      <c r="C1010" s="16" t="n">
        <f aca="false">IF(B1010=-1,-1,INT((B1010/28)/21))</f>
        <v>7</v>
      </c>
      <c r="D1010" s="16" t="n">
        <f aca="false">IF(B1010=-1, -1, MOD(INT(B1010/28),21))</f>
        <v>17</v>
      </c>
      <c r="E1010" s="16" t="n">
        <f aca="false">IF(B1010=-1, -1, VLOOKUP(MOD(B1010,28), $T$24:$U$52,2))</f>
        <v>4</v>
      </c>
      <c r="F1010" s="16" t="n">
        <f aca="false">IF($B1010=-1, -1, VLOOKUP(C1010,$T$1:$V$20, 2))</f>
        <v>12</v>
      </c>
      <c r="G1010" s="16" t="n">
        <f aca="false">IF($B1010=-1, -1, VLOOKUP(D1010,$Y$1:$Z$22,2))</f>
        <v>2</v>
      </c>
      <c r="H1010" s="16" t="str">
        <f aca="false">_xlfn.UNICHAR(((F1010*21)+G1010)*28+44032)</f>
        <v>쟈</v>
      </c>
      <c r="I1010" s="16" t="n">
        <f aca="false">IF(B1010=-1, 1, COUNTIF($A$2:$A$3000, H1010))</f>
        <v>1</v>
      </c>
      <c r="J1010" s="10" t="str">
        <f aca="false">_xlfn.CONCAT(A1010, ",",H1010,",",I1010)</f>
        <v>뷴,쟈,1</v>
      </c>
      <c r="K1010" s="16" t="n">
        <f aca="false">IF(B1010=-1,-1,VLOOKUP(C1010,$T$1:$V$20,3))</f>
        <v>11</v>
      </c>
      <c r="L1010" s="16" t="n">
        <f aca="false">IF(B1010=-1,-1,VLOOKUP(D1010,$Y$1:$AA$22,3))</f>
        <v>6</v>
      </c>
      <c r="N1010" s="10" t="str">
        <f aca="false">_xlfn.UNICHAR(((C1010*21)+G1010)*28+44032)</f>
        <v>뱌</v>
      </c>
      <c r="O1010" s="10" t="str">
        <f aca="false">_xlfn.UNICHAR(((F1010*21)+D1010)*28+44032)</f>
        <v>쥬</v>
      </c>
      <c r="P1010" s="12" t="n">
        <f aca="false">COUNTIF($A$2:$A$3000, N1010) + COUNTIF($A$2:$A$3000, O1010)</f>
        <v>2</v>
      </c>
      <c r="Q1010" s="16" t="str">
        <f aca="false">IF(OR(B1010=-1,I1010=0, P1010&lt;&gt;2), "albhed_dummy", _xlfn.CONCAT("albhed ", RIGHT("  " &amp; K1010,2),", ", RIGHT("  " &amp; L1010,2), ", " ,"""",H1010,""", ", """",N1010,""", ","""",O1010,""""," ; ", A1010))</f>
        <v>albhed 11,  6, "쟈", "뱌", "쥬" ; 뷴</v>
      </c>
    </row>
    <row r="1011" customFormat="false" ht="17.9" hidden="false" customHeight="true" outlineLevel="0" collapsed="false">
      <c r="A1011" s="16" t="s">
        <v>1881</v>
      </c>
      <c r="B1011" s="16" t="n">
        <f aca="false">IF(_xlfn.UNICODE(A1011)&lt;44032,-1,_xlfn.UNICODE(A1011)-44032)</f>
        <v>4600</v>
      </c>
      <c r="C1011" s="16" t="n">
        <f aca="false">IF(B1011=-1,-1,INT((B1011/28)/21))</f>
        <v>7</v>
      </c>
      <c r="D1011" s="16" t="n">
        <f aca="false">IF(B1011=-1, -1, MOD(INT(B1011/28),21))</f>
        <v>17</v>
      </c>
      <c r="E1011" s="16" t="n">
        <f aca="false">IF(B1011=-1, -1, VLOOKUP(MOD(B1011,28), $T$24:$U$52,2))</f>
        <v>8</v>
      </c>
      <c r="F1011" s="16" t="n">
        <f aca="false">IF($B1011=-1, -1, VLOOKUP(C1011,$T$1:$V$20, 2))</f>
        <v>12</v>
      </c>
      <c r="G1011" s="16" t="n">
        <f aca="false">IF($B1011=-1, -1, VLOOKUP(D1011,$Y$1:$Z$22,2))</f>
        <v>2</v>
      </c>
      <c r="H1011" s="16" t="str">
        <f aca="false">_xlfn.UNICHAR(((F1011*21)+G1011)*28+44032)</f>
        <v>쟈</v>
      </c>
      <c r="I1011" s="16" t="n">
        <f aca="false">IF(B1011=-1, 1, COUNTIF($A$2:$A$3000, H1011))</f>
        <v>1</v>
      </c>
      <c r="J1011" s="10" t="str">
        <f aca="false">_xlfn.CONCAT(A1011, ",",H1011,",",I1011)</f>
        <v>뷸,쟈,1</v>
      </c>
      <c r="K1011" s="16" t="n">
        <f aca="false">IF(B1011=-1,-1,VLOOKUP(C1011,$T$1:$V$20,3))</f>
        <v>11</v>
      </c>
      <c r="L1011" s="16" t="n">
        <f aca="false">IF(B1011=-1,-1,VLOOKUP(D1011,$Y$1:$AA$22,3))</f>
        <v>6</v>
      </c>
      <c r="N1011" s="10" t="str">
        <f aca="false">_xlfn.UNICHAR(((C1011*21)+G1011)*28+44032)</f>
        <v>뱌</v>
      </c>
      <c r="O1011" s="10" t="str">
        <f aca="false">_xlfn.UNICHAR(((F1011*21)+D1011)*28+44032)</f>
        <v>쥬</v>
      </c>
      <c r="P1011" s="12" t="n">
        <f aca="false">COUNTIF($A$2:$A$3000, N1011) + COUNTIF($A$2:$A$3000, O1011)</f>
        <v>2</v>
      </c>
      <c r="Q1011" s="16" t="str">
        <f aca="false">IF(OR(B1011=-1,I1011=0, P1011&lt;&gt;2), "albhed_dummy", _xlfn.CONCAT("albhed ", RIGHT("  " &amp; K1011,2),", ", RIGHT("  " &amp; L1011,2), ", " ,"""",H1011,""", ", """",N1011,""", ","""",O1011,""""," ; ", A1011))</f>
        <v>albhed 11,  6, "쟈", "뱌", "쥬" ; 뷸</v>
      </c>
    </row>
    <row r="1012" customFormat="false" ht="17.9" hidden="false" customHeight="true" outlineLevel="0" collapsed="false">
      <c r="A1012" s="16" t="s">
        <v>1882</v>
      </c>
      <c r="B1012" s="16" t="n">
        <f aca="false">IF(_xlfn.UNICODE(A1012)&lt;44032,-1,_xlfn.UNICODE(A1012)-44032)</f>
        <v>4608</v>
      </c>
      <c r="C1012" s="16" t="n">
        <f aca="false">IF(B1012=-1,-1,INT((B1012/28)/21))</f>
        <v>7</v>
      </c>
      <c r="D1012" s="16" t="n">
        <f aca="false">IF(B1012=-1, -1, MOD(INT(B1012/28),21))</f>
        <v>17</v>
      </c>
      <c r="E1012" s="16" t="n">
        <f aca="false">IF(B1012=-1, -1, VLOOKUP(MOD(B1012,28), $T$24:$U$52,2))</f>
        <v>16</v>
      </c>
      <c r="F1012" s="16" t="n">
        <f aca="false">IF($B1012=-1, -1, VLOOKUP(C1012,$T$1:$V$20, 2))</f>
        <v>12</v>
      </c>
      <c r="G1012" s="16" t="n">
        <f aca="false">IF($B1012=-1, -1, VLOOKUP(D1012,$Y$1:$Z$22,2))</f>
        <v>2</v>
      </c>
      <c r="H1012" s="16" t="str">
        <f aca="false">_xlfn.UNICHAR(((F1012*21)+G1012)*28+44032)</f>
        <v>쟈</v>
      </c>
      <c r="I1012" s="16" t="n">
        <f aca="false">IF(B1012=-1, 1, COUNTIF($A$2:$A$3000, H1012))</f>
        <v>1</v>
      </c>
      <c r="J1012" s="10" t="str">
        <f aca="false">_xlfn.CONCAT(A1012, ",",H1012,",",I1012)</f>
        <v>븀,쟈,1</v>
      </c>
      <c r="K1012" s="16" t="n">
        <f aca="false">IF(B1012=-1,-1,VLOOKUP(C1012,$T$1:$V$20,3))</f>
        <v>11</v>
      </c>
      <c r="L1012" s="16" t="n">
        <f aca="false">IF(B1012=-1,-1,VLOOKUP(D1012,$Y$1:$AA$22,3))</f>
        <v>6</v>
      </c>
      <c r="N1012" s="10" t="str">
        <f aca="false">_xlfn.UNICHAR(((C1012*21)+G1012)*28+44032)</f>
        <v>뱌</v>
      </c>
      <c r="O1012" s="10" t="str">
        <f aca="false">_xlfn.UNICHAR(((F1012*21)+D1012)*28+44032)</f>
        <v>쥬</v>
      </c>
      <c r="P1012" s="12" t="n">
        <f aca="false">COUNTIF($A$2:$A$3000, N1012) + COUNTIF($A$2:$A$3000, O1012)</f>
        <v>2</v>
      </c>
      <c r="Q1012" s="16" t="str">
        <f aca="false">IF(OR(B1012=-1,I1012=0, P1012&lt;&gt;2), "albhed_dummy", _xlfn.CONCAT("albhed ", RIGHT("  " &amp; K1012,2),", ", RIGHT("  " &amp; L1012,2), ", " ,"""",H1012,""", ", """",N1012,""", ","""",O1012,""""," ; ", A1012))</f>
        <v>albhed 11,  6, "쟈", "뱌", "쥬" ; 븀</v>
      </c>
    </row>
    <row r="1013" customFormat="false" ht="17.9" hidden="false" customHeight="true" outlineLevel="0" collapsed="false">
      <c r="A1013" s="16" t="s">
        <v>1883</v>
      </c>
      <c r="B1013" s="16" t="n">
        <f aca="false">IF(_xlfn.UNICODE(A1013)&lt;44032,-1,_xlfn.UNICODE(A1013)-44032)</f>
        <v>4611</v>
      </c>
      <c r="C1013" s="16" t="n">
        <f aca="false">IF(B1013=-1,-1,INT((B1013/28)/21))</f>
        <v>7</v>
      </c>
      <c r="D1013" s="16" t="n">
        <f aca="false">IF(B1013=-1, -1, MOD(INT(B1013/28),21))</f>
        <v>17</v>
      </c>
      <c r="E1013" s="16" t="n">
        <f aca="false">IF(B1013=-1, -1, VLOOKUP(MOD(B1013,28), $T$24:$U$52,2))</f>
        <v>19</v>
      </c>
      <c r="F1013" s="16" t="n">
        <f aca="false">IF($B1013=-1, -1, VLOOKUP(C1013,$T$1:$V$20, 2))</f>
        <v>12</v>
      </c>
      <c r="G1013" s="16" t="n">
        <f aca="false">IF($B1013=-1, -1, VLOOKUP(D1013,$Y$1:$Z$22,2))</f>
        <v>2</v>
      </c>
      <c r="H1013" s="16" t="str">
        <f aca="false">_xlfn.UNICHAR(((F1013*21)+G1013)*28+44032)</f>
        <v>쟈</v>
      </c>
      <c r="I1013" s="16" t="n">
        <f aca="false">IF(B1013=-1, 1, COUNTIF($A$2:$A$3000, H1013))</f>
        <v>1</v>
      </c>
      <c r="J1013" s="10" t="str">
        <f aca="false">_xlfn.CONCAT(A1013, ",",H1013,",",I1013)</f>
        <v>븃,쟈,1</v>
      </c>
      <c r="K1013" s="16" t="n">
        <f aca="false">IF(B1013=-1,-1,VLOOKUP(C1013,$T$1:$V$20,3))</f>
        <v>11</v>
      </c>
      <c r="L1013" s="16" t="n">
        <f aca="false">IF(B1013=-1,-1,VLOOKUP(D1013,$Y$1:$AA$22,3))</f>
        <v>6</v>
      </c>
      <c r="N1013" s="10" t="str">
        <f aca="false">_xlfn.UNICHAR(((C1013*21)+G1013)*28+44032)</f>
        <v>뱌</v>
      </c>
      <c r="O1013" s="10" t="str">
        <f aca="false">_xlfn.UNICHAR(((F1013*21)+D1013)*28+44032)</f>
        <v>쥬</v>
      </c>
      <c r="P1013" s="12" t="n">
        <f aca="false">COUNTIF($A$2:$A$3000, N1013) + COUNTIF($A$2:$A$3000, O1013)</f>
        <v>2</v>
      </c>
      <c r="Q1013" s="16" t="str">
        <f aca="false">IF(OR(B1013=-1,I1013=0, P1013&lt;&gt;2), "albhed_dummy", _xlfn.CONCAT("albhed ", RIGHT("  " &amp; K1013,2),", ", RIGHT("  " &amp; L1013,2), ", " ,"""",H1013,""", ", """",N1013,""", ","""",O1013,""""," ; ", A1013))</f>
        <v>albhed 11,  6, "쟈", "뱌", "쥬" ; 븃</v>
      </c>
    </row>
    <row r="1014" customFormat="false" ht="17.9" hidden="false" customHeight="true" outlineLevel="0" collapsed="false">
      <c r="A1014" s="16" t="s">
        <v>1884</v>
      </c>
      <c r="B1014" s="16" t="n">
        <f aca="false">IF(_xlfn.UNICODE(A1014)&lt;44032,-1,_xlfn.UNICODE(A1014)-44032)</f>
        <v>4613</v>
      </c>
      <c r="C1014" s="16" t="n">
        <f aca="false">IF(B1014=-1,-1,INT((B1014/28)/21))</f>
        <v>7</v>
      </c>
      <c r="D1014" s="16" t="n">
        <f aca="false">IF(B1014=-1, -1, MOD(INT(B1014/28),21))</f>
        <v>17</v>
      </c>
      <c r="E1014" s="16" t="n">
        <f aca="false">IF(B1014=-1, -1, VLOOKUP(MOD(B1014,28), $T$24:$U$52,2))</f>
        <v>21</v>
      </c>
      <c r="F1014" s="16" t="n">
        <f aca="false">IF($B1014=-1, -1, VLOOKUP(C1014,$T$1:$V$20, 2))</f>
        <v>12</v>
      </c>
      <c r="G1014" s="16" t="n">
        <f aca="false">IF($B1014=-1, -1, VLOOKUP(D1014,$Y$1:$Z$22,2))</f>
        <v>2</v>
      </c>
      <c r="H1014" s="16" t="str">
        <f aca="false">_xlfn.UNICHAR(((F1014*21)+G1014)*28+44032)</f>
        <v>쟈</v>
      </c>
      <c r="I1014" s="16" t="n">
        <f aca="false">IF(B1014=-1, 1, COUNTIF($A$2:$A$3000, H1014))</f>
        <v>1</v>
      </c>
      <c r="J1014" s="10" t="str">
        <f aca="false">_xlfn.CONCAT(A1014, ",",H1014,",",I1014)</f>
        <v>븅,쟈,1</v>
      </c>
      <c r="K1014" s="16" t="n">
        <f aca="false">IF(B1014=-1,-1,VLOOKUP(C1014,$T$1:$V$20,3))</f>
        <v>11</v>
      </c>
      <c r="L1014" s="16" t="n">
        <f aca="false">IF(B1014=-1,-1,VLOOKUP(D1014,$Y$1:$AA$22,3))</f>
        <v>6</v>
      </c>
      <c r="N1014" s="10" t="str">
        <f aca="false">_xlfn.UNICHAR(((C1014*21)+G1014)*28+44032)</f>
        <v>뱌</v>
      </c>
      <c r="O1014" s="10" t="str">
        <f aca="false">_xlfn.UNICHAR(((F1014*21)+D1014)*28+44032)</f>
        <v>쥬</v>
      </c>
      <c r="P1014" s="12" t="n">
        <f aca="false">COUNTIF($A$2:$A$3000, N1014) + COUNTIF($A$2:$A$3000, O1014)</f>
        <v>2</v>
      </c>
      <c r="Q1014" s="16" t="str">
        <f aca="false">IF(OR(B1014=-1,I1014=0, P1014&lt;&gt;2), "albhed_dummy", _xlfn.CONCAT("albhed ", RIGHT("  " &amp; K1014,2),", ", RIGHT("  " &amp; L1014,2), ", " ,"""",H1014,""", ", """",N1014,""", ","""",O1014,""""," ; ", A1014))</f>
        <v>albhed 11,  6, "쟈", "뱌", "쥬" ; 븅</v>
      </c>
    </row>
    <row r="1015" customFormat="false" ht="17.9" hidden="false" customHeight="true" outlineLevel="0" collapsed="false">
      <c r="A1015" s="16" t="s">
        <v>1885</v>
      </c>
      <c r="B1015" s="16" t="n">
        <f aca="false">IF(_xlfn.UNICODE(A1015)&lt;44032,-1,_xlfn.UNICODE(A1015)-44032)</f>
        <v>4620</v>
      </c>
      <c r="C1015" s="16" t="n">
        <f aca="false">IF(B1015=-1,-1,INT((B1015/28)/21))</f>
        <v>7</v>
      </c>
      <c r="D1015" s="16" t="n">
        <f aca="false">IF(B1015=-1, -1, MOD(INT(B1015/28),21))</f>
        <v>18</v>
      </c>
      <c r="E1015" s="16" t="n">
        <f aca="false">IF(B1015=-1, -1, VLOOKUP(MOD(B1015,28), $T$24:$U$52,2))</f>
        <v>0</v>
      </c>
      <c r="F1015" s="16" t="n">
        <f aca="false">IF($B1015=-1, -1, VLOOKUP(C1015,$T$1:$V$20, 2))</f>
        <v>12</v>
      </c>
      <c r="G1015" s="16" t="n">
        <f aca="false">IF($B1015=-1, -1, VLOOKUP(D1015,$Y$1:$Z$22,2))</f>
        <v>5</v>
      </c>
      <c r="H1015" s="16" t="str">
        <f aca="false">_xlfn.UNICHAR(((F1015*21)+G1015)*28+44032)</f>
        <v>제</v>
      </c>
      <c r="I1015" s="16" t="n">
        <f aca="false">IF(B1015=-1, 1, COUNTIF($A$2:$A$3000, H1015))</f>
        <v>1</v>
      </c>
      <c r="J1015" s="10" t="str">
        <f aca="false">_xlfn.CONCAT(A1015, ",",H1015,",",I1015)</f>
        <v>브,제,1</v>
      </c>
      <c r="K1015" s="16" t="n">
        <f aca="false">IF(B1015=-1,-1,VLOOKUP(C1015,$T$1:$V$20,3))</f>
        <v>11</v>
      </c>
      <c r="L1015" s="16" t="n">
        <f aca="false">IF(B1015=-1,-1,VLOOKUP(D1015,$Y$1:$AA$22,3))</f>
        <v>18</v>
      </c>
      <c r="N1015" s="10" t="str">
        <f aca="false">_xlfn.UNICHAR(((C1015*21)+G1015)*28+44032)</f>
        <v>베</v>
      </c>
      <c r="O1015" s="10" t="str">
        <f aca="false">_xlfn.UNICHAR(((F1015*21)+D1015)*28+44032)</f>
        <v>즈</v>
      </c>
      <c r="P1015" s="12" t="n">
        <f aca="false">COUNTIF($A$2:$A$3000, N1015) + COUNTIF($A$2:$A$3000, O1015)</f>
        <v>2</v>
      </c>
      <c r="Q1015" s="16" t="str">
        <f aca="false">IF(OR(B1015=-1,I1015=0, P1015&lt;&gt;2), "albhed_dummy", _xlfn.CONCAT("albhed ", RIGHT("  " &amp; K1015,2),", ", RIGHT("  " &amp; L1015,2), ", " ,"""",H1015,""", ", """",N1015,""", ","""",O1015,""""," ; ", A1015))</f>
        <v>albhed 11, 18, "제", "베", "즈" ; 브</v>
      </c>
    </row>
    <row r="1016" customFormat="false" ht="17.9" hidden="false" customHeight="true" outlineLevel="0" collapsed="false">
      <c r="A1016" s="16" t="s">
        <v>1886</v>
      </c>
      <c r="B1016" s="16" t="n">
        <f aca="false">IF(_xlfn.UNICODE(A1016)&lt;44032,-1,_xlfn.UNICODE(A1016)-44032)</f>
        <v>4621</v>
      </c>
      <c r="C1016" s="16" t="n">
        <f aca="false">IF(B1016=-1,-1,INT((B1016/28)/21))</f>
        <v>7</v>
      </c>
      <c r="D1016" s="16" t="n">
        <f aca="false">IF(B1016=-1, -1, MOD(INT(B1016/28),21))</f>
        <v>18</v>
      </c>
      <c r="E1016" s="16" t="n">
        <f aca="false">IF(B1016=-1, -1, VLOOKUP(MOD(B1016,28), $T$24:$U$52,2))</f>
        <v>1</v>
      </c>
      <c r="F1016" s="16" t="n">
        <f aca="false">IF($B1016=-1, -1, VLOOKUP(C1016,$T$1:$V$20, 2))</f>
        <v>12</v>
      </c>
      <c r="G1016" s="16" t="n">
        <f aca="false">IF($B1016=-1, -1, VLOOKUP(D1016,$Y$1:$Z$22,2))</f>
        <v>5</v>
      </c>
      <c r="H1016" s="16" t="str">
        <f aca="false">_xlfn.UNICHAR(((F1016*21)+G1016)*28+44032)</f>
        <v>제</v>
      </c>
      <c r="I1016" s="16" t="n">
        <f aca="false">IF(B1016=-1, 1, COUNTIF($A$2:$A$3000, H1016))</f>
        <v>1</v>
      </c>
      <c r="J1016" s="10" t="str">
        <f aca="false">_xlfn.CONCAT(A1016, ",",H1016,",",I1016)</f>
        <v>븍,제,1</v>
      </c>
      <c r="K1016" s="16" t="n">
        <f aca="false">IF(B1016=-1,-1,VLOOKUP(C1016,$T$1:$V$20,3))</f>
        <v>11</v>
      </c>
      <c r="L1016" s="16" t="n">
        <f aca="false">IF(B1016=-1,-1,VLOOKUP(D1016,$Y$1:$AA$22,3))</f>
        <v>18</v>
      </c>
      <c r="N1016" s="10" t="str">
        <f aca="false">_xlfn.UNICHAR(((C1016*21)+G1016)*28+44032)</f>
        <v>베</v>
      </c>
      <c r="O1016" s="10" t="str">
        <f aca="false">_xlfn.UNICHAR(((F1016*21)+D1016)*28+44032)</f>
        <v>즈</v>
      </c>
      <c r="P1016" s="12" t="n">
        <f aca="false">COUNTIF($A$2:$A$3000, N1016) + COUNTIF($A$2:$A$3000, O1016)</f>
        <v>2</v>
      </c>
      <c r="Q1016" s="16" t="str">
        <f aca="false">IF(OR(B1016=-1,I1016=0, P1016&lt;&gt;2), "albhed_dummy", _xlfn.CONCAT("albhed ", RIGHT("  " &amp; K1016,2),", ", RIGHT("  " &amp; L1016,2), ", " ,"""",H1016,""", ", """",N1016,""", ","""",O1016,""""," ; ", A1016))</f>
        <v>albhed 11, 18, "제", "베", "즈" ; 븍</v>
      </c>
    </row>
    <row r="1017" customFormat="false" ht="17.9" hidden="false" customHeight="true" outlineLevel="0" collapsed="false">
      <c r="A1017" s="16" t="s">
        <v>1887</v>
      </c>
      <c r="B1017" s="16" t="n">
        <f aca="false">IF(_xlfn.UNICODE(A1017)&lt;44032,-1,_xlfn.UNICODE(A1017)-44032)</f>
        <v>4624</v>
      </c>
      <c r="C1017" s="16" t="n">
        <f aca="false">IF(B1017=-1,-1,INT((B1017/28)/21))</f>
        <v>7</v>
      </c>
      <c r="D1017" s="16" t="n">
        <f aca="false">IF(B1017=-1, -1, MOD(INT(B1017/28),21))</f>
        <v>18</v>
      </c>
      <c r="E1017" s="16" t="n">
        <f aca="false">IF(B1017=-1, -1, VLOOKUP(MOD(B1017,28), $T$24:$U$52,2))</f>
        <v>4</v>
      </c>
      <c r="F1017" s="16" t="n">
        <f aca="false">IF($B1017=-1, -1, VLOOKUP(C1017,$T$1:$V$20, 2))</f>
        <v>12</v>
      </c>
      <c r="G1017" s="16" t="n">
        <f aca="false">IF($B1017=-1, -1, VLOOKUP(D1017,$Y$1:$Z$22,2))</f>
        <v>5</v>
      </c>
      <c r="H1017" s="16" t="str">
        <f aca="false">_xlfn.UNICHAR(((F1017*21)+G1017)*28+44032)</f>
        <v>제</v>
      </c>
      <c r="I1017" s="16" t="n">
        <f aca="false">IF(B1017=-1, 1, COUNTIF($A$2:$A$3000, H1017))</f>
        <v>1</v>
      </c>
      <c r="J1017" s="10" t="str">
        <f aca="false">_xlfn.CONCAT(A1017, ",",H1017,",",I1017)</f>
        <v>븐,제,1</v>
      </c>
      <c r="K1017" s="16" t="n">
        <f aca="false">IF(B1017=-1,-1,VLOOKUP(C1017,$T$1:$V$20,3))</f>
        <v>11</v>
      </c>
      <c r="L1017" s="16" t="n">
        <f aca="false">IF(B1017=-1,-1,VLOOKUP(D1017,$Y$1:$AA$22,3))</f>
        <v>18</v>
      </c>
      <c r="N1017" s="10" t="str">
        <f aca="false">_xlfn.UNICHAR(((C1017*21)+G1017)*28+44032)</f>
        <v>베</v>
      </c>
      <c r="O1017" s="10" t="str">
        <f aca="false">_xlfn.UNICHAR(((F1017*21)+D1017)*28+44032)</f>
        <v>즈</v>
      </c>
      <c r="P1017" s="12" t="n">
        <f aca="false">COUNTIF($A$2:$A$3000, N1017) + COUNTIF($A$2:$A$3000, O1017)</f>
        <v>2</v>
      </c>
      <c r="Q1017" s="16" t="str">
        <f aca="false">IF(OR(B1017=-1,I1017=0, P1017&lt;&gt;2), "albhed_dummy", _xlfn.CONCAT("albhed ", RIGHT("  " &amp; K1017,2),", ", RIGHT("  " &amp; L1017,2), ", " ,"""",H1017,""", ", """",N1017,""", ","""",O1017,""""," ; ", A1017))</f>
        <v>albhed 11, 18, "제", "베", "즈" ; 븐</v>
      </c>
    </row>
    <row r="1018" customFormat="false" ht="17.9" hidden="false" customHeight="true" outlineLevel="0" collapsed="false">
      <c r="A1018" s="16" t="s">
        <v>1888</v>
      </c>
      <c r="B1018" s="16" t="n">
        <f aca="false">IF(_xlfn.UNICODE(A1018)&lt;44032,-1,_xlfn.UNICODE(A1018)-44032)</f>
        <v>4628</v>
      </c>
      <c r="C1018" s="16" t="n">
        <f aca="false">IF(B1018=-1,-1,INT((B1018/28)/21))</f>
        <v>7</v>
      </c>
      <c r="D1018" s="16" t="n">
        <f aca="false">IF(B1018=-1, -1, MOD(INT(B1018/28),21))</f>
        <v>18</v>
      </c>
      <c r="E1018" s="16" t="n">
        <f aca="false">IF(B1018=-1, -1, VLOOKUP(MOD(B1018,28), $T$24:$U$52,2))</f>
        <v>8</v>
      </c>
      <c r="F1018" s="16" t="n">
        <f aca="false">IF($B1018=-1, -1, VLOOKUP(C1018,$T$1:$V$20, 2))</f>
        <v>12</v>
      </c>
      <c r="G1018" s="16" t="n">
        <f aca="false">IF($B1018=-1, -1, VLOOKUP(D1018,$Y$1:$Z$22,2))</f>
        <v>5</v>
      </c>
      <c r="H1018" s="16" t="str">
        <f aca="false">_xlfn.UNICHAR(((F1018*21)+G1018)*28+44032)</f>
        <v>제</v>
      </c>
      <c r="I1018" s="16" t="n">
        <f aca="false">IF(B1018=-1, 1, COUNTIF($A$2:$A$3000, H1018))</f>
        <v>1</v>
      </c>
      <c r="J1018" s="10" t="str">
        <f aca="false">_xlfn.CONCAT(A1018, ",",H1018,",",I1018)</f>
        <v>블,제,1</v>
      </c>
      <c r="K1018" s="16" t="n">
        <f aca="false">IF(B1018=-1,-1,VLOOKUP(C1018,$T$1:$V$20,3))</f>
        <v>11</v>
      </c>
      <c r="L1018" s="16" t="n">
        <f aca="false">IF(B1018=-1,-1,VLOOKUP(D1018,$Y$1:$AA$22,3))</f>
        <v>18</v>
      </c>
      <c r="N1018" s="10" t="str">
        <f aca="false">_xlfn.UNICHAR(((C1018*21)+G1018)*28+44032)</f>
        <v>베</v>
      </c>
      <c r="O1018" s="10" t="str">
        <f aca="false">_xlfn.UNICHAR(((F1018*21)+D1018)*28+44032)</f>
        <v>즈</v>
      </c>
      <c r="P1018" s="12" t="n">
        <f aca="false">COUNTIF($A$2:$A$3000, N1018) + COUNTIF($A$2:$A$3000, O1018)</f>
        <v>2</v>
      </c>
      <c r="Q1018" s="16" t="str">
        <f aca="false">IF(OR(B1018=-1,I1018=0, P1018&lt;&gt;2), "albhed_dummy", _xlfn.CONCAT("albhed ", RIGHT("  " &amp; K1018,2),", ", RIGHT("  " &amp; L1018,2), ", " ,"""",H1018,""", ", """",N1018,""", ","""",O1018,""""," ; ", A1018))</f>
        <v>albhed 11, 18, "제", "베", "즈" ; 블</v>
      </c>
    </row>
    <row r="1019" customFormat="false" ht="17.9" hidden="false" customHeight="true" outlineLevel="0" collapsed="false">
      <c r="A1019" s="16" t="s">
        <v>1889</v>
      </c>
      <c r="B1019" s="16" t="n">
        <f aca="false">IF(_xlfn.UNICODE(A1019)&lt;44032,-1,_xlfn.UNICODE(A1019)-44032)</f>
        <v>4636</v>
      </c>
      <c r="C1019" s="16" t="n">
        <f aca="false">IF(B1019=-1,-1,INT((B1019/28)/21))</f>
        <v>7</v>
      </c>
      <c r="D1019" s="16" t="n">
        <f aca="false">IF(B1019=-1, -1, MOD(INT(B1019/28),21))</f>
        <v>18</v>
      </c>
      <c r="E1019" s="16" t="n">
        <f aca="false">IF(B1019=-1, -1, VLOOKUP(MOD(B1019,28), $T$24:$U$52,2))</f>
        <v>16</v>
      </c>
      <c r="F1019" s="16" t="n">
        <f aca="false">IF($B1019=-1, -1, VLOOKUP(C1019,$T$1:$V$20, 2))</f>
        <v>12</v>
      </c>
      <c r="G1019" s="16" t="n">
        <f aca="false">IF($B1019=-1, -1, VLOOKUP(D1019,$Y$1:$Z$22,2))</f>
        <v>5</v>
      </c>
      <c r="H1019" s="16" t="str">
        <f aca="false">_xlfn.UNICHAR(((F1019*21)+G1019)*28+44032)</f>
        <v>제</v>
      </c>
      <c r="I1019" s="16" t="n">
        <f aca="false">IF(B1019=-1, 1, COUNTIF($A$2:$A$3000, H1019))</f>
        <v>1</v>
      </c>
      <c r="J1019" s="10" t="str">
        <f aca="false">_xlfn.CONCAT(A1019, ",",H1019,",",I1019)</f>
        <v>븜,제,1</v>
      </c>
      <c r="K1019" s="16" t="n">
        <f aca="false">IF(B1019=-1,-1,VLOOKUP(C1019,$T$1:$V$20,3))</f>
        <v>11</v>
      </c>
      <c r="L1019" s="16" t="n">
        <f aca="false">IF(B1019=-1,-1,VLOOKUP(D1019,$Y$1:$AA$22,3))</f>
        <v>18</v>
      </c>
      <c r="N1019" s="10" t="str">
        <f aca="false">_xlfn.UNICHAR(((C1019*21)+G1019)*28+44032)</f>
        <v>베</v>
      </c>
      <c r="O1019" s="10" t="str">
        <f aca="false">_xlfn.UNICHAR(((F1019*21)+D1019)*28+44032)</f>
        <v>즈</v>
      </c>
      <c r="P1019" s="12" t="n">
        <f aca="false">COUNTIF($A$2:$A$3000, N1019) + COUNTIF($A$2:$A$3000, O1019)</f>
        <v>2</v>
      </c>
      <c r="Q1019" s="16" t="str">
        <f aca="false">IF(OR(B1019=-1,I1019=0, P1019&lt;&gt;2), "albhed_dummy", _xlfn.CONCAT("albhed ", RIGHT("  " &amp; K1019,2),", ", RIGHT("  " &amp; L1019,2), ", " ,"""",H1019,""", ", """",N1019,""", ","""",O1019,""""," ; ", A1019))</f>
        <v>albhed 11, 18, "제", "베", "즈" ; 븜</v>
      </c>
    </row>
    <row r="1020" customFormat="false" ht="17.9" hidden="false" customHeight="true" outlineLevel="0" collapsed="false">
      <c r="A1020" s="16" t="s">
        <v>1890</v>
      </c>
      <c r="B1020" s="16" t="n">
        <f aca="false">IF(_xlfn.UNICODE(A1020)&lt;44032,-1,_xlfn.UNICODE(A1020)-44032)</f>
        <v>4637</v>
      </c>
      <c r="C1020" s="16" t="n">
        <f aca="false">IF(B1020=-1,-1,INT((B1020/28)/21))</f>
        <v>7</v>
      </c>
      <c r="D1020" s="16" t="n">
        <f aca="false">IF(B1020=-1, -1, MOD(INT(B1020/28),21))</f>
        <v>18</v>
      </c>
      <c r="E1020" s="16" t="n">
        <f aca="false">IF(B1020=-1, -1, VLOOKUP(MOD(B1020,28), $T$24:$U$52,2))</f>
        <v>17</v>
      </c>
      <c r="F1020" s="16" t="n">
        <f aca="false">IF($B1020=-1, -1, VLOOKUP(C1020,$T$1:$V$20, 2))</f>
        <v>12</v>
      </c>
      <c r="G1020" s="16" t="n">
        <f aca="false">IF($B1020=-1, -1, VLOOKUP(D1020,$Y$1:$Z$22,2))</f>
        <v>5</v>
      </c>
      <c r="H1020" s="16" t="str">
        <f aca="false">_xlfn.UNICHAR(((F1020*21)+G1020)*28+44032)</f>
        <v>제</v>
      </c>
      <c r="I1020" s="16" t="n">
        <f aca="false">IF(B1020=-1, 1, COUNTIF($A$2:$A$3000, H1020))</f>
        <v>1</v>
      </c>
      <c r="J1020" s="10" t="str">
        <f aca="false">_xlfn.CONCAT(A1020, ",",H1020,",",I1020)</f>
        <v>븝,제,1</v>
      </c>
      <c r="K1020" s="16" t="n">
        <f aca="false">IF(B1020=-1,-1,VLOOKUP(C1020,$T$1:$V$20,3))</f>
        <v>11</v>
      </c>
      <c r="L1020" s="16" t="n">
        <f aca="false">IF(B1020=-1,-1,VLOOKUP(D1020,$Y$1:$AA$22,3))</f>
        <v>18</v>
      </c>
      <c r="N1020" s="10" t="str">
        <f aca="false">_xlfn.UNICHAR(((C1020*21)+G1020)*28+44032)</f>
        <v>베</v>
      </c>
      <c r="O1020" s="10" t="str">
        <f aca="false">_xlfn.UNICHAR(((F1020*21)+D1020)*28+44032)</f>
        <v>즈</v>
      </c>
      <c r="P1020" s="12" t="n">
        <f aca="false">COUNTIF($A$2:$A$3000, N1020) + COUNTIF($A$2:$A$3000, O1020)</f>
        <v>2</v>
      </c>
      <c r="Q1020" s="16" t="str">
        <f aca="false">IF(OR(B1020=-1,I1020=0, P1020&lt;&gt;2), "albhed_dummy", _xlfn.CONCAT("albhed ", RIGHT("  " &amp; K1020,2),", ", RIGHT("  " &amp; L1020,2), ", " ,"""",H1020,""", ", """",N1020,""", ","""",O1020,""""," ; ", A1020))</f>
        <v>albhed 11, 18, "제", "베", "즈" ; 븝</v>
      </c>
    </row>
    <row r="1021" customFormat="false" ht="17.9" hidden="false" customHeight="true" outlineLevel="0" collapsed="false">
      <c r="A1021" s="16" t="s">
        <v>1891</v>
      </c>
      <c r="B1021" s="16" t="n">
        <f aca="false">IF(_xlfn.UNICODE(A1021)&lt;44032,-1,_xlfn.UNICODE(A1021)-44032)</f>
        <v>4639</v>
      </c>
      <c r="C1021" s="16" t="n">
        <f aca="false">IF(B1021=-1,-1,INT((B1021/28)/21))</f>
        <v>7</v>
      </c>
      <c r="D1021" s="16" t="n">
        <f aca="false">IF(B1021=-1, -1, MOD(INT(B1021/28),21))</f>
        <v>18</v>
      </c>
      <c r="E1021" s="16" t="n">
        <f aca="false">IF(B1021=-1, -1, VLOOKUP(MOD(B1021,28), $T$24:$U$52,2))</f>
        <v>19</v>
      </c>
      <c r="F1021" s="16" t="n">
        <f aca="false">IF($B1021=-1, -1, VLOOKUP(C1021,$T$1:$V$20, 2))</f>
        <v>12</v>
      </c>
      <c r="G1021" s="16" t="n">
        <f aca="false">IF($B1021=-1, -1, VLOOKUP(D1021,$Y$1:$Z$22,2))</f>
        <v>5</v>
      </c>
      <c r="H1021" s="16" t="str">
        <f aca="false">_xlfn.UNICHAR(((F1021*21)+G1021)*28+44032)</f>
        <v>제</v>
      </c>
      <c r="I1021" s="16" t="n">
        <f aca="false">IF(B1021=-1, 1, COUNTIF($A$2:$A$3000, H1021))</f>
        <v>1</v>
      </c>
      <c r="J1021" s="10" t="str">
        <f aca="false">_xlfn.CONCAT(A1021, ",",H1021,",",I1021)</f>
        <v>븟,제,1</v>
      </c>
      <c r="K1021" s="16" t="n">
        <f aca="false">IF(B1021=-1,-1,VLOOKUP(C1021,$T$1:$V$20,3))</f>
        <v>11</v>
      </c>
      <c r="L1021" s="16" t="n">
        <f aca="false">IF(B1021=-1,-1,VLOOKUP(D1021,$Y$1:$AA$22,3))</f>
        <v>18</v>
      </c>
      <c r="N1021" s="10" t="str">
        <f aca="false">_xlfn.UNICHAR(((C1021*21)+G1021)*28+44032)</f>
        <v>베</v>
      </c>
      <c r="O1021" s="10" t="str">
        <f aca="false">_xlfn.UNICHAR(((F1021*21)+D1021)*28+44032)</f>
        <v>즈</v>
      </c>
      <c r="P1021" s="12" t="n">
        <f aca="false">COUNTIF($A$2:$A$3000, N1021) + COUNTIF($A$2:$A$3000, O1021)</f>
        <v>2</v>
      </c>
      <c r="Q1021" s="16" t="str">
        <f aca="false">IF(OR(B1021=-1,I1021=0, P1021&lt;&gt;2), "albhed_dummy", _xlfn.CONCAT("albhed ", RIGHT("  " &amp; K1021,2),", ", RIGHT("  " &amp; L1021,2), ", " ,"""",H1021,""", ", """",N1021,""", ","""",O1021,""""," ; ", A1021))</f>
        <v>albhed 11, 18, "제", "베", "즈" ; 븟</v>
      </c>
    </row>
    <row r="1022" customFormat="false" ht="17.9" hidden="false" customHeight="true" outlineLevel="0" collapsed="false">
      <c r="A1022" s="16" t="s">
        <v>1892</v>
      </c>
      <c r="B1022" s="16" t="n">
        <f aca="false">IF(_xlfn.UNICODE(A1022)&lt;44032,-1,_xlfn.UNICODE(A1022)-44032)</f>
        <v>4676</v>
      </c>
      <c r="C1022" s="16" t="n">
        <f aca="false">IF(B1022=-1,-1,INT((B1022/28)/21))</f>
        <v>7</v>
      </c>
      <c r="D1022" s="16" t="n">
        <f aca="false">IF(B1022=-1, -1, MOD(INT(B1022/28),21))</f>
        <v>20</v>
      </c>
      <c r="E1022" s="16" t="n">
        <f aca="false">IF(B1022=-1, -1, VLOOKUP(MOD(B1022,28), $T$24:$U$52,2))</f>
        <v>0</v>
      </c>
      <c r="F1022" s="16" t="n">
        <f aca="false">IF($B1022=-1, -1, VLOOKUP(C1022,$T$1:$V$20, 2))</f>
        <v>12</v>
      </c>
      <c r="G1022" s="16" t="n">
        <f aca="false">IF($B1022=-1, -1, VLOOKUP(D1022,$Y$1:$Z$22,2))</f>
        <v>5</v>
      </c>
      <c r="H1022" s="16" t="str">
        <f aca="false">_xlfn.UNICHAR(((F1022*21)+G1022)*28+44032)</f>
        <v>제</v>
      </c>
      <c r="I1022" s="16" t="n">
        <f aca="false">IF(B1022=-1, 1, COUNTIF($A$2:$A$3000, H1022))</f>
        <v>1</v>
      </c>
      <c r="J1022" s="10" t="str">
        <f aca="false">_xlfn.CONCAT(A1022, ",",H1022,",",I1022)</f>
        <v>비,제,1</v>
      </c>
      <c r="K1022" s="16" t="n">
        <f aca="false">IF(B1022=-1,-1,VLOOKUP(C1022,$T$1:$V$20,3))</f>
        <v>11</v>
      </c>
      <c r="L1022" s="16" t="n">
        <f aca="false">IF(B1022=-1,-1,VLOOKUP(D1022,$Y$1:$AA$22,3))</f>
        <v>20</v>
      </c>
      <c r="N1022" s="10" t="str">
        <f aca="false">_xlfn.UNICHAR(((C1022*21)+G1022)*28+44032)</f>
        <v>베</v>
      </c>
      <c r="O1022" s="10" t="str">
        <f aca="false">_xlfn.UNICHAR(((F1022*21)+D1022)*28+44032)</f>
        <v>지</v>
      </c>
      <c r="P1022" s="12" t="n">
        <f aca="false">COUNTIF($A$2:$A$3000, N1022) + COUNTIF($A$2:$A$3000, O1022)</f>
        <v>2</v>
      </c>
      <c r="Q1022" s="16" t="str">
        <f aca="false">IF(OR(B1022=-1,I1022=0, P1022&lt;&gt;2), "albhed_dummy", _xlfn.CONCAT("albhed ", RIGHT("  " &amp; K1022,2),", ", RIGHT("  " &amp; L1022,2), ", " ,"""",H1022,""", ", """",N1022,""", ","""",O1022,""""," ; ", A1022))</f>
        <v>albhed 11, 20, "제", "베", "지" ; 비</v>
      </c>
    </row>
    <row r="1023" customFormat="false" ht="17.9" hidden="false" customHeight="true" outlineLevel="0" collapsed="false">
      <c r="A1023" s="16" t="s">
        <v>796</v>
      </c>
      <c r="B1023" s="16" t="n">
        <f aca="false">IF(_xlfn.UNICODE(A1023)&lt;44032,-1,_xlfn.UNICODE(A1023)-44032)</f>
        <v>4677</v>
      </c>
      <c r="C1023" s="16" t="n">
        <f aca="false">IF(B1023=-1,-1,INT((B1023/28)/21))</f>
        <v>7</v>
      </c>
      <c r="D1023" s="16" t="n">
        <f aca="false">IF(B1023=-1, -1, MOD(INT(B1023/28),21))</f>
        <v>20</v>
      </c>
      <c r="E1023" s="16" t="n">
        <f aca="false">IF(B1023=-1, -1, VLOOKUP(MOD(B1023,28), $T$24:$U$52,2))</f>
        <v>1</v>
      </c>
      <c r="F1023" s="16" t="n">
        <f aca="false">IF($B1023=-1, -1, VLOOKUP(C1023,$T$1:$V$20, 2))</f>
        <v>12</v>
      </c>
      <c r="G1023" s="16" t="n">
        <f aca="false">IF($B1023=-1, -1, VLOOKUP(D1023,$Y$1:$Z$22,2))</f>
        <v>5</v>
      </c>
      <c r="H1023" s="16" t="str">
        <f aca="false">_xlfn.UNICHAR(((F1023*21)+G1023)*28+44032)</f>
        <v>제</v>
      </c>
      <c r="I1023" s="16" t="n">
        <f aca="false">IF(B1023=-1, 1, COUNTIF($A$2:$A$3000, H1023))</f>
        <v>1</v>
      </c>
      <c r="J1023" s="10" t="str">
        <f aca="false">_xlfn.CONCAT(A1023, ",",H1023,",",I1023)</f>
        <v>빅,제,1</v>
      </c>
      <c r="K1023" s="16" t="n">
        <f aca="false">IF(B1023=-1,-1,VLOOKUP(C1023,$T$1:$V$20,3))</f>
        <v>11</v>
      </c>
      <c r="L1023" s="16" t="n">
        <f aca="false">IF(B1023=-1,-1,VLOOKUP(D1023,$Y$1:$AA$22,3))</f>
        <v>20</v>
      </c>
      <c r="N1023" s="10" t="str">
        <f aca="false">_xlfn.UNICHAR(((C1023*21)+G1023)*28+44032)</f>
        <v>베</v>
      </c>
      <c r="O1023" s="10" t="str">
        <f aca="false">_xlfn.UNICHAR(((F1023*21)+D1023)*28+44032)</f>
        <v>지</v>
      </c>
      <c r="P1023" s="12" t="n">
        <f aca="false">COUNTIF($A$2:$A$3000, N1023) + COUNTIF($A$2:$A$3000, O1023)</f>
        <v>2</v>
      </c>
      <c r="Q1023" s="16" t="str">
        <f aca="false">IF(OR(B1023=-1,I1023=0, P1023&lt;&gt;2), "albhed_dummy", _xlfn.CONCAT("albhed ", RIGHT("  " &amp; K1023,2),", ", RIGHT("  " &amp; L1023,2), ", " ,"""",H1023,""", ", """",N1023,""", ","""",O1023,""""," ; ", A1023))</f>
        <v>albhed 11, 20, "제", "베", "지" ; 빅</v>
      </c>
    </row>
    <row r="1024" customFormat="false" ht="17.9" hidden="false" customHeight="true" outlineLevel="0" collapsed="false">
      <c r="A1024" s="16" t="s">
        <v>1893</v>
      </c>
      <c r="B1024" s="16" t="n">
        <f aca="false">IF(_xlfn.UNICODE(A1024)&lt;44032,-1,_xlfn.UNICODE(A1024)-44032)</f>
        <v>4680</v>
      </c>
      <c r="C1024" s="16" t="n">
        <f aca="false">IF(B1024=-1,-1,INT((B1024/28)/21))</f>
        <v>7</v>
      </c>
      <c r="D1024" s="16" t="n">
        <f aca="false">IF(B1024=-1, -1, MOD(INT(B1024/28),21))</f>
        <v>20</v>
      </c>
      <c r="E1024" s="16" t="n">
        <f aca="false">IF(B1024=-1, -1, VLOOKUP(MOD(B1024,28), $T$24:$U$52,2))</f>
        <v>4</v>
      </c>
      <c r="F1024" s="16" t="n">
        <f aca="false">IF($B1024=-1, -1, VLOOKUP(C1024,$T$1:$V$20, 2))</f>
        <v>12</v>
      </c>
      <c r="G1024" s="16" t="n">
        <f aca="false">IF($B1024=-1, -1, VLOOKUP(D1024,$Y$1:$Z$22,2))</f>
        <v>5</v>
      </c>
      <c r="H1024" s="16" t="str">
        <f aca="false">_xlfn.UNICHAR(((F1024*21)+G1024)*28+44032)</f>
        <v>제</v>
      </c>
      <c r="I1024" s="16" t="n">
        <f aca="false">IF(B1024=-1, 1, COUNTIF($A$2:$A$3000, H1024))</f>
        <v>1</v>
      </c>
      <c r="J1024" s="10" t="str">
        <f aca="false">_xlfn.CONCAT(A1024, ",",H1024,",",I1024)</f>
        <v>빈,제,1</v>
      </c>
      <c r="K1024" s="16" t="n">
        <f aca="false">IF(B1024=-1,-1,VLOOKUP(C1024,$T$1:$V$20,3))</f>
        <v>11</v>
      </c>
      <c r="L1024" s="16" t="n">
        <f aca="false">IF(B1024=-1,-1,VLOOKUP(D1024,$Y$1:$AA$22,3))</f>
        <v>20</v>
      </c>
      <c r="N1024" s="10" t="str">
        <f aca="false">_xlfn.UNICHAR(((C1024*21)+G1024)*28+44032)</f>
        <v>베</v>
      </c>
      <c r="O1024" s="10" t="str">
        <f aca="false">_xlfn.UNICHAR(((F1024*21)+D1024)*28+44032)</f>
        <v>지</v>
      </c>
      <c r="P1024" s="12" t="n">
        <f aca="false">COUNTIF($A$2:$A$3000, N1024) + COUNTIF($A$2:$A$3000, O1024)</f>
        <v>2</v>
      </c>
      <c r="Q1024" s="16" t="str">
        <f aca="false">IF(OR(B1024=-1,I1024=0, P1024&lt;&gt;2), "albhed_dummy", _xlfn.CONCAT("albhed ", RIGHT("  " &amp; K1024,2),", ", RIGHT("  " &amp; L1024,2), ", " ,"""",H1024,""", ", """",N1024,""", ","""",O1024,""""," ; ", A1024))</f>
        <v>albhed 11, 20, "제", "베", "지" ; 빈</v>
      </c>
    </row>
    <row r="1025" customFormat="false" ht="17.9" hidden="false" customHeight="true" outlineLevel="0" collapsed="false">
      <c r="A1025" s="16" t="s">
        <v>794</v>
      </c>
      <c r="B1025" s="16" t="n">
        <f aca="false">IF(_xlfn.UNICODE(A1025)&lt;44032,-1,_xlfn.UNICODE(A1025)-44032)</f>
        <v>4684</v>
      </c>
      <c r="C1025" s="16" t="n">
        <f aca="false">IF(B1025=-1,-1,INT((B1025/28)/21))</f>
        <v>7</v>
      </c>
      <c r="D1025" s="16" t="n">
        <f aca="false">IF(B1025=-1, -1, MOD(INT(B1025/28),21))</f>
        <v>20</v>
      </c>
      <c r="E1025" s="16" t="n">
        <f aca="false">IF(B1025=-1, -1, VLOOKUP(MOD(B1025,28), $T$24:$U$52,2))</f>
        <v>8</v>
      </c>
      <c r="F1025" s="16" t="n">
        <f aca="false">IF($B1025=-1, -1, VLOOKUP(C1025,$T$1:$V$20, 2))</f>
        <v>12</v>
      </c>
      <c r="G1025" s="16" t="n">
        <f aca="false">IF($B1025=-1, -1, VLOOKUP(D1025,$Y$1:$Z$22,2))</f>
        <v>5</v>
      </c>
      <c r="H1025" s="16" t="str">
        <f aca="false">_xlfn.UNICHAR(((F1025*21)+G1025)*28+44032)</f>
        <v>제</v>
      </c>
      <c r="I1025" s="16" t="n">
        <f aca="false">IF(B1025=-1, 1, COUNTIF($A$2:$A$3000, H1025))</f>
        <v>1</v>
      </c>
      <c r="J1025" s="10" t="str">
        <f aca="false">_xlfn.CONCAT(A1025, ",",H1025,",",I1025)</f>
        <v>빌,제,1</v>
      </c>
      <c r="K1025" s="16" t="n">
        <f aca="false">IF(B1025=-1,-1,VLOOKUP(C1025,$T$1:$V$20,3))</f>
        <v>11</v>
      </c>
      <c r="L1025" s="16" t="n">
        <f aca="false">IF(B1025=-1,-1,VLOOKUP(D1025,$Y$1:$AA$22,3))</f>
        <v>20</v>
      </c>
      <c r="N1025" s="10" t="str">
        <f aca="false">_xlfn.UNICHAR(((C1025*21)+G1025)*28+44032)</f>
        <v>베</v>
      </c>
      <c r="O1025" s="10" t="str">
        <f aca="false">_xlfn.UNICHAR(((F1025*21)+D1025)*28+44032)</f>
        <v>지</v>
      </c>
      <c r="P1025" s="12" t="n">
        <f aca="false">COUNTIF($A$2:$A$3000, N1025) + COUNTIF($A$2:$A$3000, O1025)</f>
        <v>2</v>
      </c>
      <c r="Q1025" s="16" t="str">
        <f aca="false">IF(OR(B1025=-1,I1025=0, P1025&lt;&gt;2), "albhed_dummy", _xlfn.CONCAT("albhed ", RIGHT("  " &amp; K1025,2),", ", RIGHT("  " &amp; L1025,2), ", " ,"""",H1025,""", ", """",N1025,""", ","""",O1025,""""," ; ", A1025))</f>
        <v>albhed 11, 20, "제", "베", "지" ; 빌</v>
      </c>
    </row>
    <row r="1026" customFormat="false" ht="17.9" hidden="false" customHeight="true" outlineLevel="0" collapsed="false">
      <c r="A1026" s="16" t="s">
        <v>1894</v>
      </c>
      <c r="B1026" s="16" t="n">
        <f aca="false">IF(_xlfn.UNICODE(A1026)&lt;44032,-1,_xlfn.UNICODE(A1026)-44032)</f>
        <v>4686</v>
      </c>
      <c r="C1026" s="16" t="n">
        <f aca="false">IF(B1026=-1,-1,INT((B1026/28)/21))</f>
        <v>7</v>
      </c>
      <c r="D1026" s="16" t="n">
        <f aca="false">IF(B1026=-1, -1, MOD(INT(B1026/28),21))</f>
        <v>20</v>
      </c>
      <c r="E1026" s="16" t="n">
        <f aca="false">IF(B1026=-1, -1, VLOOKUP(MOD(B1026,28), $T$24:$U$52,2))</f>
        <v>8</v>
      </c>
      <c r="F1026" s="16" t="n">
        <f aca="false">IF($B1026=-1, -1, VLOOKUP(C1026,$T$1:$V$20, 2))</f>
        <v>12</v>
      </c>
      <c r="G1026" s="16" t="n">
        <f aca="false">IF($B1026=-1, -1, VLOOKUP(D1026,$Y$1:$Z$22,2))</f>
        <v>5</v>
      </c>
      <c r="H1026" s="16" t="str">
        <f aca="false">_xlfn.UNICHAR(((F1026*21)+G1026)*28+44032)</f>
        <v>제</v>
      </c>
      <c r="I1026" s="16" t="n">
        <f aca="false">IF(B1026=-1, 1, COUNTIF($A$2:$A$3000, H1026))</f>
        <v>1</v>
      </c>
      <c r="J1026" s="10" t="str">
        <f aca="false">_xlfn.CONCAT(A1026, ",",H1026,",",I1026)</f>
        <v>빎,제,1</v>
      </c>
      <c r="K1026" s="16" t="n">
        <f aca="false">IF(B1026=-1,-1,VLOOKUP(C1026,$T$1:$V$20,3))</f>
        <v>11</v>
      </c>
      <c r="L1026" s="16" t="n">
        <f aca="false">IF(B1026=-1,-1,VLOOKUP(D1026,$Y$1:$AA$22,3))</f>
        <v>20</v>
      </c>
      <c r="N1026" s="10" t="str">
        <f aca="false">_xlfn.UNICHAR(((C1026*21)+G1026)*28+44032)</f>
        <v>베</v>
      </c>
      <c r="O1026" s="10" t="str">
        <f aca="false">_xlfn.UNICHAR(((F1026*21)+D1026)*28+44032)</f>
        <v>지</v>
      </c>
      <c r="P1026" s="12" t="n">
        <f aca="false">COUNTIF($A$2:$A$3000, N1026) + COUNTIF($A$2:$A$3000, O1026)</f>
        <v>2</v>
      </c>
      <c r="Q1026" s="16" t="str">
        <f aca="false">IF(OR(B1026=-1,I1026=0, P1026&lt;&gt;2), "albhed_dummy", _xlfn.CONCAT("albhed ", RIGHT("  " &amp; K1026,2),", ", RIGHT("  " &amp; L1026,2), ", " ,"""",H1026,""", ", """",N1026,""", ","""",O1026,""""," ; ", A1026))</f>
        <v>albhed 11, 20, "제", "베", "지" ; 빎</v>
      </c>
    </row>
    <row r="1027" customFormat="false" ht="17.9" hidden="false" customHeight="true" outlineLevel="0" collapsed="false">
      <c r="A1027" s="16" t="s">
        <v>1895</v>
      </c>
      <c r="B1027" s="16" t="n">
        <f aca="false">IF(_xlfn.UNICODE(A1027)&lt;44032,-1,_xlfn.UNICODE(A1027)-44032)</f>
        <v>4692</v>
      </c>
      <c r="C1027" s="16" t="n">
        <f aca="false">IF(B1027=-1,-1,INT((B1027/28)/21))</f>
        <v>7</v>
      </c>
      <c r="D1027" s="16" t="n">
        <f aca="false">IF(B1027=-1, -1, MOD(INT(B1027/28),21))</f>
        <v>20</v>
      </c>
      <c r="E1027" s="16" t="n">
        <f aca="false">IF(B1027=-1, -1, VLOOKUP(MOD(B1027,28), $T$24:$U$52,2))</f>
        <v>16</v>
      </c>
      <c r="F1027" s="16" t="n">
        <f aca="false">IF($B1027=-1, -1, VLOOKUP(C1027,$T$1:$V$20, 2))</f>
        <v>12</v>
      </c>
      <c r="G1027" s="16" t="n">
        <f aca="false">IF($B1027=-1, -1, VLOOKUP(D1027,$Y$1:$Z$22,2))</f>
        <v>5</v>
      </c>
      <c r="H1027" s="16" t="str">
        <f aca="false">_xlfn.UNICHAR(((F1027*21)+G1027)*28+44032)</f>
        <v>제</v>
      </c>
      <c r="I1027" s="16" t="n">
        <f aca="false">IF(B1027=-1, 1, COUNTIF($A$2:$A$3000, H1027))</f>
        <v>1</v>
      </c>
      <c r="J1027" s="10" t="str">
        <f aca="false">_xlfn.CONCAT(A1027, ",",H1027,",",I1027)</f>
        <v>빔,제,1</v>
      </c>
      <c r="K1027" s="16" t="n">
        <f aca="false">IF(B1027=-1,-1,VLOOKUP(C1027,$T$1:$V$20,3))</f>
        <v>11</v>
      </c>
      <c r="L1027" s="16" t="n">
        <f aca="false">IF(B1027=-1,-1,VLOOKUP(D1027,$Y$1:$AA$22,3))</f>
        <v>20</v>
      </c>
      <c r="N1027" s="10" t="str">
        <f aca="false">_xlfn.UNICHAR(((C1027*21)+G1027)*28+44032)</f>
        <v>베</v>
      </c>
      <c r="O1027" s="10" t="str">
        <f aca="false">_xlfn.UNICHAR(((F1027*21)+D1027)*28+44032)</f>
        <v>지</v>
      </c>
      <c r="P1027" s="12" t="n">
        <f aca="false">COUNTIF($A$2:$A$3000, N1027) + COUNTIF($A$2:$A$3000, O1027)</f>
        <v>2</v>
      </c>
      <c r="Q1027" s="16" t="str">
        <f aca="false">IF(OR(B1027=-1,I1027=0, P1027&lt;&gt;2), "albhed_dummy", _xlfn.CONCAT("albhed ", RIGHT("  " &amp; K1027,2),", ", RIGHT("  " &amp; L1027,2), ", " ,"""",H1027,""", ", """",N1027,""", ","""",O1027,""""," ; ", A1027))</f>
        <v>albhed 11, 20, "제", "베", "지" ; 빔</v>
      </c>
    </row>
    <row r="1028" customFormat="false" ht="17.9" hidden="false" customHeight="true" outlineLevel="0" collapsed="false">
      <c r="A1028" s="16" t="s">
        <v>1896</v>
      </c>
      <c r="B1028" s="16" t="n">
        <f aca="false">IF(_xlfn.UNICODE(A1028)&lt;44032,-1,_xlfn.UNICODE(A1028)-44032)</f>
        <v>4693</v>
      </c>
      <c r="C1028" s="16" t="n">
        <f aca="false">IF(B1028=-1,-1,INT((B1028/28)/21))</f>
        <v>7</v>
      </c>
      <c r="D1028" s="16" t="n">
        <f aca="false">IF(B1028=-1, -1, MOD(INT(B1028/28),21))</f>
        <v>20</v>
      </c>
      <c r="E1028" s="16" t="n">
        <f aca="false">IF(B1028=-1, -1, VLOOKUP(MOD(B1028,28), $T$24:$U$52,2))</f>
        <v>17</v>
      </c>
      <c r="F1028" s="16" t="n">
        <f aca="false">IF($B1028=-1, -1, VLOOKUP(C1028,$T$1:$V$20, 2))</f>
        <v>12</v>
      </c>
      <c r="G1028" s="16" t="n">
        <f aca="false">IF($B1028=-1, -1, VLOOKUP(D1028,$Y$1:$Z$22,2))</f>
        <v>5</v>
      </c>
      <c r="H1028" s="16" t="str">
        <f aca="false">_xlfn.UNICHAR(((F1028*21)+G1028)*28+44032)</f>
        <v>제</v>
      </c>
      <c r="I1028" s="16" t="n">
        <f aca="false">IF(B1028=-1, 1, COUNTIF($A$2:$A$3000, H1028))</f>
        <v>1</v>
      </c>
      <c r="J1028" s="10" t="str">
        <f aca="false">_xlfn.CONCAT(A1028, ",",H1028,",",I1028)</f>
        <v>빕,제,1</v>
      </c>
      <c r="K1028" s="16" t="n">
        <f aca="false">IF(B1028=-1,-1,VLOOKUP(C1028,$T$1:$V$20,3))</f>
        <v>11</v>
      </c>
      <c r="L1028" s="16" t="n">
        <f aca="false">IF(B1028=-1,-1,VLOOKUP(D1028,$Y$1:$AA$22,3))</f>
        <v>20</v>
      </c>
      <c r="N1028" s="10" t="str">
        <f aca="false">_xlfn.UNICHAR(((C1028*21)+G1028)*28+44032)</f>
        <v>베</v>
      </c>
      <c r="O1028" s="10" t="str">
        <f aca="false">_xlfn.UNICHAR(((F1028*21)+D1028)*28+44032)</f>
        <v>지</v>
      </c>
      <c r="P1028" s="12" t="n">
        <f aca="false">COUNTIF($A$2:$A$3000, N1028) + COUNTIF($A$2:$A$3000, O1028)</f>
        <v>2</v>
      </c>
      <c r="Q1028" s="16" t="str">
        <f aca="false">IF(OR(B1028=-1,I1028=0, P1028&lt;&gt;2), "albhed_dummy", _xlfn.CONCAT("albhed ", RIGHT("  " &amp; K1028,2),", ", RIGHT("  " &amp; L1028,2), ", " ,"""",H1028,""", ", """",N1028,""", ","""",O1028,""""," ; ", A1028))</f>
        <v>albhed 11, 20, "제", "베", "지" ; 빕</v>
      </c>
    </row>
    <row r="1029" customFormat="false" ht="17.9" hidden="false" customHeight="true" outlineLevel="0" collapsed="false">
      <c r="A1029" s="16" t="s">
        <v>1897</v>
      </c>
      <c r="B1029" s="16" t="n">
        <f aca="false">IF(_xlfn.UNICODE(A1029)&lt;44032,-1,_xlfn.UNICODE(A1029)-44032)</f>
        <v>4695</v>
      </c>
      <c r="C1029" s="16" t="n">
        <f aca="false">IF(B1029=-1,-1,INT((B1029/28)/21))</f>
        <v>7</v>
      </c>
      <c r="D1029" s="16" t="n">
        <f aca="false">IF(B1029=-1, -1, MOD(INT(B1029/28),21))</f>
        <v>20</v>
      </c>
      <c r="E1029" s="16" t="n">
        <f aca="false">IF(B1029=-1, -1, VLOOKUP(MOD(B1029,28), $T$24:$U$52,2))</f>
        <v>19</v>
      </c>
      <c r="F1029" s="16" t="n">
        <f aca="false">IF($B1029=-1, -1, VLOOKUP(C1029,$T$1:$V$20, 2))</f>
        <v>12</v>
      </c>
      <c r="G1029" s="16" t="n">
        <f aca="false">IF($B1029=-1, -1, VLOOKUP(D1029,$Y$1:$Z$22,2))</f>
        <v>5</v>
      </c>
      <c r="H1029" s="16" t="str">
        <f aca="false">_xlfn.UNICHAR(((F1029*21)+G1029)*28+44032)</f>
        <v>제</v>
      </c>
      <c r="I1029" s="16" t="n">
        <f aca="false">IF(B1029=-1, 1, COUNTIF($A$2:$A$3000, H1029))</f>
        <v>1</v>
      </c>
      <c r="J1029" s="10" t="str">
        <f aca="false">_xlfn.CONCAT(A1029, ",",H1029,",",I1029)</f>
        <v>빗,제,1</v>
      </c>
      <c r="K1029" s="16" t="n">
        <f aca="false">IF(B1029=-1,-1,VLOOKUP(C1029,$T$1:$V$20,3))</f>
        <v>11</v>
      </c>
      <c r="L1029" s="16" t="n">
        <f aca="false">IF(B1029=-1,-1,VLOOKUP(D1029,$Y$1:$AA$22,3))</f>
        <v>20</v>
      </c>
      <c r="N1029" s="10" t="str">
        <f aca="false">_xlfn.UNICHAR(((C1029*21)+G1029)*28+44032)</f>
        <v>베</v>
      </c>
      <c r="O1029" s="10" t="str">
        <f aca="false">_xlfn.UNICHAR(((F1029*21)+D1029)*28+44032)</f>
        <v>지</v>
      </c>
      <c r="P1029" s="12" t="n">
        <f aca="false">COUNTIF($A$2:$A$3000, N1029) + COUNTIF($A$2:$A$3000, O1029)</f>
        <v>2</v>
      </c>
      <c r="Q1029" s="16" t="str">
        <f aca="false">IF(OR(B1029=-1,I1029=0, P1029&lt;&gt;2), "albhed_dummy", _xlfn.CONCAT("albhed ", RIGHT("  " &amp; K1029,2),", ", RIGHT("  " &amp; L1029,2), ", " ,"""",H1029,""", ", """",N1029,""", ","""",O1029,""""," ; ", A1029))</f>
        <v>albhed 11, 20, "제", "베", "지" ; 빗</v>
      </c>
    </row>
    <row r="1030" customFormat="false" ht="17.9" hidden="false" customHeight="true" outlineLevel="0" collapsed="false">
      <c r="A1030" s="16" t="s">
        <v>1898</v>
      </c>
      <c r="B1030" s="16" t="n">
        <f aca="false">IF(_xlfn.UNICODE(A1030)&lt;44032,-1,_xlfn.UNICODE(A1030)-44032)</f>
        <v>4697</v>
      </c>
      <c r="C1030" s="16" t="n">
        <f aca="false">IF(B1030=-1,-1,INT((B1030/28)/21))</f>
        <v>7</v>
      </c>
      <c r="D1030" s="16" t="n">
        <f aca="false">IF(B1030=-1, -1, MOD(INT(B1030/28),21))</f>
        <v>20</v>
      </c>
      <c r="E1030" s="16" t="n">
        <f aca="false">IF(B1030=-1, -1, VLOOKUP(MOD(B1030,28), $T$24:$U$52,2))</f>
        <v>21</v>
      </c>
      <c r="F1030" s="16" t="n">
        <f aca="false">IF($B1030=-1, -1, VLOOKUP(C1030,$T$1:$V$20, 2))</f>
        <v>12</v>
      </c>
      <c r="G1030" s="16" t="n">
        <f aca="false">IF($B1030=-1, -1, VLOOKUP(D1030,$Y$1:$Z$22,2))</f>
        <v>5</v>
      </c>
      <c r="H1030" s="16" t="str">
        <f aca="false">_xlfn.UNICHAR(((F1030*21)+G1030)*28+44032)</f>
        <v>제</v>
      </c>
      <c r="I1030" s="16" t="n">
        <f aca="false">IF(B1030=-1, 1, COUNTIF($A$2:$A$3000, H1030))</f>
        <v>1</v>
      </c>
      <c r="J1030" s="10" t="str">
        <f aca="false">_xlfn.CONCAT(A1030, ",",H1030,",",I1030)</f>
        <v>빙,제,1</v>
      </c>
      <c r="K1030" s="16" t="n">
        <f aca="false">IF(B1030=-1,-1,VLOOKUP(C1030,$T$1:$V$20,3))</f>
        <v>11</v>
      </c>
      <c r="L1030" s="16" t="n">
        <f aca="false">IF(B1030=-1,-1,VLOOKUP(D1030,$Y$1:$AA$22,3))</f>
        <v>20</v>
      </c>
      <c r="N1030" s="10" t="str">
        <f aca="false">_xlfn.UNICHAR(((C1030*21)+G1030)*28+44032)</f>
        <v>베</v>
      </c>
      <c r="O1030" s="10" t="str">
        <f aca="false">_xlfn.UNICHAR(((F1030*21)+D1030)*28+44032)</f>
        <v>지</v>
      </c>
      <c r="P1030" s="12" t="n">
        <f aca="false">COUNTIF($A$2:$A$3000, N1030) + COUNTIF($A$2:$A$3000, O1030)</f>
        <v>2</v>
      </c>
      <c r="Q1030" s="16" t="str">
        <f aca="false">IF(OR(B1030=-1,I1030=0, P1030&lt;&gt;2), "albhed_dummy", _xlfn.CONCAT("albhed ", RIGHT("  " &amp; K1030,2),", ", RIGHT("  " &amp; L1030,2), ", " ,"""",H1030,""", ", """",N1030,""", ","""",O1030,""""," ; ", A1030))</f>
        <v>albhed 11, 20, "제", "베", "지" ; 빙</v>
      </c>
    </row>
    <row r="1031" customFormat="false" ht="17.9" hidden="false" customHeight="true" outlineLevel="0" collapsed="false">
      <c r="A1031" s="16" t="s">
        <v>1899</v>
      </c>
      <c r="B1031" s="16" t="n">
        <f aca="false">IF(_xlfn.UNICODE(A1031)&lt;44032,-1,_xlfn.UNICODE(A1031)-44032)</f>
        <v>4698</v>
      </c>
      <c r="C1031" s="16" t="n">
        <f aca="false">IF(B1031=-1,-1,INT((B1031/28)/21))</f>
        <v>7</v>
      </c>
      <c r="D1031" s="16" t="n">
        <f aca="false">IF(B1031=-1, -1, MOD(INT(B1031/28),21))</f>
        <v>20</v>
      </c>
      <c r="E1031" s="16" t="n">
        <f aca="false">IF(B1031=-1, -1, VLOOKUP(MOD(B1031,28), $T$24:$U$52,2))</f>
        <v>19</v>
      </c>
      <c r="F1031" s="16" t="n">
        <f aca="false">IF($B1031=-1, -1, VLOOKUP(C1031,$T$1:$V$20, 2))</f>
        <v>12</v>
      </c>
      <c r="G1031" s="16" t="n">
        <f aca="false">IF($B1031=-1, -1, VLOOKUP(D1031,$Y$1:$Z$22,2))</f>
        <v>5</v>
      </c>
      <c r="H1031" s="16" t="str">
        <f aca="false">_xlfn.UNICHAR(((F1031*21)+G1031)*28+44032)</f>
        <v>제</v>
      </c>
      <c r="I1031" s="16" t="n">
        <f aca="false">IF(B1031=-1, 1, COUNTIF($A$2:$A$3000, H1031))</f>
        <v>1</v>
      </c>
      <c r="J1031" s="10" t="str">
        <f aca="false">_xlfn.CONCAT(A1031, ",",H1031,",",I1031)</f>
        <v>빚,제,1</v>
      </c>
      <c r="K1031" s="16" t="n">
        <f aca="false">IF(B1031=-1,-1,VLOOKUP(C1031,$T$1:$V$20,3))</f>
        <v>11</v>
      </c>
      <c r="L1031" s="16" t="n">
        <f aca="false">IF(B1031=-1,-1,VLOOKUP(D1031,$Y$1:$AA$22,3))</f>
        <v>20</v>
      </c>
      <c r="N1031" s="10" t="str">
        <f aca="false">_xlfn.UNICHAR(((C1031*21)+G1031)*28+44032)</f>
        <v>베</v>
      </c>
      <c r="O1031" s="10" t="str">
        <f aca="false">_xlfn.UNICHAR(((F1031*21)+D1031)*28+44032)</f>
        <v>지</v>
      </c>
      <c r="P1031" s="12" t="n">
        <f aca="false">COUNTIF($A$2:$A$3000, N1031) + COUNTIF($A$2:$A$3000, O1031)</f>
        <v>2</v>
      </c>
      <c r="Q1031" s="16" t="str">
        <f aca="false">IF(OR(B1031=-1,I1031=0, P1031&lt;&gt;2), "albhed_dummy", _xlfn.CONCAT("albhed ", RIGHT("  " &amp; K1031,2),", ", RIGHT("  " &amp; L1031,2), ", " ,"""",H1031,""", ", """",N1031,""", ","""",O1031,""""," ; ", A1031))</f>
        <v>albhed 11, 20, "제", "베", "지" ; 빚</v>
      </c>
    </row>
    <row r="1032" customFormat="false" ht="17.9" hidden="false" customHeight="true" outlineLevel="0" collapsed="false">
      <c r="A1032" s="16" t="s">
        <v>1900</v>
      </c>
      <c r="B1032" s="16" t="n">
        <f aca="false">IF(_xlfn.UNICODE(A1032)&lt;44032,-1,_xlfn.UNICODE(A1032)-44032)</f>
        <v>4699</v>
      </c>
      <c r="C1032" s="16" t="n">
        <f aca="false">IF(B1032=-1,-1,INT((B1032/28)/21))</f>
        <v>7</v>
      </c>
      <c r="D1032" s="16" t="n">
        <f aca="false">IF(B1032=-1, -1, MOD(INT(B1032/28),21))</f>
        <v>20</v>
      </c>
      <c r="E1032" s="16" t="n">
        <f aca="false">IF(B1032=-1, -1, VLOOKUP(MOD(B1032,28), $T$24:$U$52,2))</f>
        <v>19</v>
      </c>
      <c r="F1032" s="16" t="n">
        <f aca="false">IF($B1032=-1, -1, VLOOKUP(C1032,$T$1:$V$20, 2))</f>
        <v>12</v>
      </c>
      <c r="G1032" s="16" t="n">
        <f aca="false">IF($B1032=-1, -1, VLOOKUP(D1032,$Y$1:$Z$22,2))</f>
        <v>5</v>
      </c>
      <c r="H1032" s="16" t="str">
        <f aca="false">_xlfn.UNICHAR(((F1032*21)+G1032)*28+44032)</f>
        <v>제</v>
      </c>
      <c r="I1032" s="16" t="n">
        <f aca="false">IF(B1032=-1, 1, COUNTIF($A$2:$A$3000, H1032))</f>
        <v>1</v>
      </c>
      <c r="J1032" s="10" t="str">
        <f aca="false">_xlfn.CONCAT(A1032, ",",H1032,",",I1032)</f>
        <v>빛,제,1</v>
      </c>
      <c r="K1032" s="16" t="n">
        <f aca="false">IF(B1032=-1,-1,VLOOKUP(C1032,$T$1:$V$20,3))</f>
        <v>11</v>
      </c>
      <c r="L1032" s="16" t="n">
        <f aca="false">IF(B1032=-1,-1,VLOOKUP(D1032,$Y$1:$AA$22,3))</f>
        <v>20</v>
      </c>
      <c r="N1032" s="10" t="str">
        <f aca="false">_xlfn.UNICHAR(((C1032*21)+G1032)*28+44032)</f>
        <v>베</v>
      </c>
      <c r="O1032" s="10" t="str">
        <f aca="false">_xlfn.UNICHAR(((F1032*21)+D1032)*28+44032)</f>
        <v>지</v>
      </c>
      <c r="P1032" s="12" t="n">
        <f aca="false">COUNTIF($A$2:$A$3000, N1032) + COUNTIF($A$2:$A$3000, O1032)</f>
        <v>2</v>
      </c>
      <c r="Q1032" s="16" t="str">
        <f aca="false">IF(OR(B1032=-1,I1032=0, P1032&lt;&gt;2), "albhed_dummy", _xlfn.CONCAT("albhed ", RIGHT("  " &amp; K1032,2),", ", RIGHT("  " &amp; L1032,2), ", " ,"""",H1032,""", ", """",N1032,""", ","""",O1032,""""," ; ", A1032))</f>
        <v>albhed 11, 20, "제", "베", "지" ; 빛</v>
      </c>
    </row>
    <row r="1033" customFormat="false" ht="17.9" hidden="false" customHeight="true" outlineLevel="0" collapsed="false">
      <c r="A1033" s="16" t="s">
        <v>1901</v>
      </c>
      <c r="B1033" s="16" t="n">
        <f aca="false">IF(_xlfn.UNICODE(A1033)&lt;44032,-1,_xlfn.UNICODE(A1033)-44032)</f>
        <v>4704</v>
      </c>
      <c r="C1033" s="16" t="n">
        <f aca="false">IF(B1033=-1,-1,INT((B1033/28)/21))</f>
        <v>8</v>
      </c>
      <c r="D1033" s="16" t="n">
        <f aca="false">IF(B1033=-1, -1, MOD(INT(B1033/28),21))</f>
        <v>0</v>
      </c>
      <c r="E1033" s="16" t="n">
        <f aca="false">IF(B1033=-1, -1, VLOOKUP(MOD(B1033,28), $T$24:$U$52,2))</f>
        <v>0</v>
      </c>
      <c r="F1033" s="16" t="n">
        <f aca="false">IF($B1033=-1, -1, VLOOKUP(C1033,$T$1:$V$20, 2))</f>
        <v>13</v>
      </c>
      <c r="G1033" s="16" t="n">
        <f aca="false">IF($B1033=-1, -1, VLOOKUP(D1033,$Y$1:$Z$22,2))</f>
        <v>13</v>
      </c>
      <c r="H1033" s="16" t="str">
        <f aca="false">_xlfn.UNICHAR(((F1033*21)+G1033)*28+44032)</f>
        <v>쭈</v>
      </c>
      <c r="I1033" s="16" t="n">
        <f aca="false">IF(B1033=-1, 1, COUNTIF($A$2:$A$3000, H1033))</f>
        <v>1</v>
      </c>
      <c r="J1033" s="10" t="str">
        <f aca="false">_xlfn.CONCAT(A1033, ",",H1033,",",I1033)</f>
        <v>빠,쭈,1</v>
      </c>
      <c r="K1033" s="16" t="n">
        <f aca="false">IF(B1033=-1,-1,VLOOKUP(C1033,$T$1:$V$20,3))</f>
        <v>11</v>
      </c>
      <c r="L1033" s="16" t="n">
        <f aca="false">IF(B1033=-1,-1,VLOOKUP(D1033,$Y$1:$AA$22,3))</f>
        <v>2</v>
      </c>
      <c r="N1033" s="10" t="str">
        <f aca="false">_xlfn.UNICHAR(((C1033*21)+G1033)*28+44032)</f>
        <v>뿌</v>
      </c>
      <c r="O1033" s="10" t="str">
        <f aca="false">_xlfn.UNICHAR(((F1033*21)+D1033)*28+44032)</f>
        <v>짜</v>
      </c>
      <c r="P1033" s="12" t="n">
        <f aca="false">COUNTIF($A$2:$A$3000, N1033) + COUNTIF($A$2:$A$3000, O1033)</f>
        <v>2</v>
      </c>
      <c r="Q1033" s="16" t="str">
        <f aca="false">IF(OR(B1033=-1,I1033=0, P1033&lt;&gt;2), "albhed_dummy", _xlfn.CONCAT("albhed ", RIGHT("  " &amp; K1033,2),", ", RIGHT("  " &amp; L1033,2), ", " ,"""",H1033,""", ", """",N1033,""", ","""",O1033,""""," ; ", A1033))</f>
        <v>albhed 11,  2, "쭈", "뿌", "짜" ; 빠</v>
      </c>
    </row>
    <row r="1034" customFormat="false" ht="17.9" hidden="false" customHeight="true" outlineLevel="0" collapsed="false">
      <c r="A1034" s="16" t="s">
        <v>1902</v>
      </c>
      <c r="B1034" s="16" t="n">
        <f aca="false">IF(_xlfn.UNICODE(A1034)&lt;44032,-1,_xlfn.UNICODE(A1034)-44032)</f>
        <v>4705</v>
      </c>
      <c r="C1034" s="16" t="n">
        <f aca="false">IF(B1034=-1,-1,INT((B1034/28)/21))</f>
        <v>8</v>
      </c>
      <c r="D1034" s="16" t="n">
        <f aca="false">IF(B1034=-1, -1, MOD(INT(B1034/28),21))</f>
        <v>0</v>
      </c>
      <c r="E1034" s="16" t="n">
        <f aca="false">IF(B1034=-1, -1, VLOOKUP(MOD(B1034,28), $T$24:$U$52,2))</f>
        <v>1</v>
      </c>
      <c r="F1034" s="16" t="n">
        <f aca="false">IF($B1034=-1, -1, VLOOKUP(C1034,$T$1:$V$20, 2))</f>
        <v>13</v>
      </c>
      <c r="G1034" s="16" t="n">
        <f aca="false">IF($B1034=-1, -1, VLOOKUP(D1034,$Y$1:$Z$22,2))</f>
        <v>13</v>
      </c>
      <c r="H1034" s="16" t="str">
        <f aca="false">_xlfn.UNICHAR(((F1034*21)+G1034)*28+44032)</f>
        <v>쭈</v>
      </c>
      <c r="I1034" s="16" t="n">
        <f aca="false">IF(B1034=-1, 1, COUNTIF($A$2:$A$3000, H1034))</f>
        <v>1</v>
      </c>
      <c r="J1034" s="10" t="str">
        <f aca="false">_xlfn.CONCAT(A1034, ",",H1034,",",I1034)</f>
        <v>빡,쭈,1</v>
      </c>
      <c r="K1034" s="16" t="n">
        <f aca="false">IF(B1034=-1,-1,VLOOKUP(C1034,$T$1:$V$20,3))</f>
        <v>11</v>
      </c>
      <c r="L1034" s="16" t="n">
        <f aca="false">IF(B1034=-1,-1,VLOOKUP(D1034,$Y$1:$AA$22,3))</f>
        <v>2</v>
      </c>
      <c r="N1034" s="10" t="str">
        <f aca="false">_xlfn.UNICHAR(((C1034*21)+G1034)*28+44032)</f>
        <v>뿌</v>
      </c>
      <c r="O1034" s="10" t="str">
        <f aca="false">_xlfn.UNICHAR(((F1034*21)+D1034)*28+44032)</f>
        <v>짜</v>
      </c>
      <c r="P1034" s="12" t="n">
        <f aca="false">COUNTIF($A$2:$A$3000, N1034) + COUNTIF($A$2:$A$3000, O1034)</f>
        <v>2</v>
      </c>
      <c r="Q1034" s="16" t="str">
        <f aca="false">IF(OR(B1034=-1,I1034=0, P1034&lt;&gt;2), "albhed_dummy", _xlfn.CONCAT("albhed ", RIGHT("  " &amp; K1034,2),", ", RIGHT("  " &amp; L1034,2), ", " ,"""",H1034,""", ", """",N1034,""", ","""",O1034,""""," ; ", A1034))</f>
        <v>albhed 11,  2, "쭈", "뿌", "짜" ; 빡</v>
      </c>
    </row>
    <row r="1035" customFormat="false" ht="17.9" hidden="false" customHeight="true" outlineLevel="0" collapsed="false">
      <c r="A1035" s="16" t="s">
        <v>1903</v>
      </c>
      <c r="B1035" s="16" t="n">
        <f aca="false">IF(_xlfn.UNICODE(A1035)&lt;44032,-1,_xlfn.UNICODE(A1035)-44032)</f>
        <v>4708</v>
      </c>
      <c r="C1035" s="16" t="n">
        <f aca="false">IF(B1035=-1,-1,INT((B1035/28)/21))</f>
        <v>8</v>
      </c>
      <c r="D1035" s="16" t="n">
        <f aca="false">IF(B1035=-1, -1, MOD(INT(B1035/28),21))</f>
        <v>0</v>
      </c>
      <c r="E1035" s="16" t="n">
        <f aca="false">IF(B1035=-1, -1, VLOOKUP(MOD(B1035,28), $T$24:$U$52,2))</f>
        <v>4</v>
      </c>
      <c r="F1035" s="16" t="n">
        <f aca="false">IF($B1035=-1, -1, VLOOKUP(C1035,$T$1:$V$20, 2))</f>
        <v>13</v>
      </c>
      <c r="G1035" s="16" t="n">
        <f aca="false">IF($B1035=-1, -1, VLOOKUP(D1035,$Y$1:$Z$22,2))</f>
        <v>13</v>
      </c>
      <c r="H1035" s="16" t="str">
        <f aca="false">_xlfn.UNICHAR(((F1035*21)+G1035)*28+44032)</f>
        <v>쭈</v>
      </c>
      <c r="I1035" s="16" t="n">
        <f aca="false">IF(B1035=-1, 1, COUNTIF($A$2:$A$3000, H1035))</f>
        <v>1</v>
      </c>
      <c r="J1035" s="10" t="str">
        <f aca="false">_xlfn.CONCAT(A1035, ",",H1035,",",I1035)</f>
        <v>빤,쭈,1</v>
      </c>
      <c r="K1035" s="16" t="n">
        <f aca="false">IF(B1035=-1,-1,VLOOKUP(C1035,$T$1:$V$20,3))</f>
        <v>11</v>
      </c>
      <c r="L1035" s="16" t="n">
        <f aca="false">IF(B1035=-1,-1,VLOOKUP(D1035,$Y$1:$AA$22,3))</f>
        <v>2</v>
      </c>
      <c r="N1035" s="10" t="str">
        <f aca="false">_xlfn.UNICHAR(((C1035*21)+G1035)*28+44032)</f>
        <v>뿌</v>
      </c>
      <c r="O1035" s="10" t="str">
        <f aca="false">_xlfn.UNICHAR(((F1035*21)+D1035)*28+44032)</f>
        <v>짜</v>
      </c>
      <c r="P1035" s="12" t="n">
        <f aca="false">COUNTIF($A$2:$A$3000, N1035) + COUNTIF($A$2:$A$3000, O1035)</f>
        <v>2</v>
      </c>
      <c r="Q1035" s="16" t="str">
        <f aca="false">IF(OR(B1035=-1,I1035=0, P1035&lt;&gt;2), "albhed_dummy", _xlfn.CONCAT("albhed ", RIGHT("  " &amp; K1035,2),", ", RIGHT("  " &amp; L1035,2), ", " ,"""",H1035,""", ", """",N1035,""", ","""",O1035,""""," ; ", A1035))</f>
        <v>albhed 11,  2, "쭈", "뿌", "짜" ; 빤</v>
      </c>
    </row>
    <row r="1036" customFormat="false" ht="17.9" hidden="false" customHeight="true" outlineLevel="0" collapsed="false">
      <c r="A1036" s="16" t="s">
        <v>1904</v>
      </c>
      <c r="B1036" s="16" t="n">
        <f aca="false">IF(_xlfn.UNICODE(A1036)&lt;44032,-1,_xlfn.UNICODE(A1036)-44032)</f>
        <v>4712</v>
      </c>
      <c r="C1036" s="16" t="n">
        <f aca="false">IF(B1036=-1,-1,INT((B1036/28)/21))</f>
        <v>8</v>
      </c>
      <c r="D1036" s="16" t="n">
        <f aca="false">IF(B1036=-1, -1, MOD(INT(B1036/28),21))</f>
        <v>0</v>
      </c>
      <c r="E1036" s="16" t="n">
        <f aca="false">IF(B1036=-1, -1, VLOOKUP(MOD(B1036,28), $T$24:$U$52,2))</f>
        <v>8</v>
      </c>
      <c r="F1036" s="16" t="n">
        <f aca="false">IF($B1036=-1, -1, VLOOKUP(C1036,$T$1:$V$20, 2))</f>
        <v>13</v>
      </c>
      <c r="G1036" s="16" t="n">
        <f aca="false">IF($B1036=-1, -1, VLOOKUP(D1036,$Y$1:$Z$22,2))</f>
        <v>13</v>
      </c>
      <c r="H1036" s="16" t="str">
        <f aca="false">_xlfn.UNICHAR(((F1036*21)+G1036)*28+44032)</f>
        <v>쭈</v>
      </c>
      <c r="I1036" s="16" t="n">
        <f aca="false">IF(B1036=-1, 1, COUNTIF($A$2:$A$3000, H1036))</f>
        <v>1</v>
      </c>
      <c r="J1036" s="10" t="str">
        <f aca="false">_xlfn.CONCAT(A1036, ",",H1036,",",I1036)</f>
        <v>빨,쭈,1</v>
      </c>
      <c r="K1036" s="16" t="n">
        <f aca="false">IF(B1036=-1,-1,VLOOKUP(C1036,$T$1:$V$20,3))</f>
        <v>11</v>
      </c>
      <c r="L1036" s="16" t="n">
        <f aca="false">IF(B1036=-1,-1,VLOOKUP(D1036,$Y$1:$AA$22,3))</f>
        <v>2</v>
      </c>
      <c r="N1036" s="10" t="str">
        <f aca="false">_xlfn.UNICHAR(((C1036*21)+G1036)*28+44032)</f>
        <v>뿌</v>
      </c>
      <c r="O1036" s="10" t="str">
        <f aca="false">_xlfn.UNICHAR(((F1036*21)+D1036)*28+44032)</f>
        <v>짜</v>
      </c>
      <c r="P1036" s="12" t="n">
        <f aca="false">COUNTIF($A$2:$A$3000, N1036) + COUNTIF($A$2:$A$3000, O1036)</f>
        <v>2</v>
      </c>
      <c r="Q1036" s="16" t="str">
        <f aca="false">IF(OR(B1036=-1,I1036=0, P1036&lt;&gt;2), "albhed_dummy", _xlfn.CONCAT("albhed ", RIGHT("  " &amp; K1036,2),", ", RIGHT("  " &amp; L1036,2), ", " ,"""",H1036,""", ", """",N1036,""", ","""",O1036,""""," ; ", A1036))</f>
        <v>albhed 11,  2, "쭈", "뿌", "짜" ; 빨</v>
      </c>
    </row>
    <row r="1037" customFormat="false" ht="17.9" hidden="false" customHeight="true" outlineLevel="0" collapsed="false">
      <c r="A1037" s="16" t="s">
        <v>1905</v>
      </c>
      <c r="B1037" s="16" t="n">
        <f aca="false">IF(_xlfn.UNICODE(A1037)&lt;44032,-1,_xlfn.UNICODE(A1037)-44032)</f>
        <v>4714</v>
      </c>
      <c r="C1037" s="16" t="n">
        <f aca="false">IF(B1037=-1,-1,INT((B1037/28)/21))</f>
        <v>8</v>
      </c>
      <c r="D1037" s="16" t="n">
        <f aca="false">IF(B1037=-1, -1, MOD(INT(B1037/28),21))</f>
        <v>0</v>
      </c>
      <c r="E1037" s="16" t="n">
        <f aca="false">IF(B1037=-1, -1, VLOOKUP(MOD(B1037,28), $T$24:$U$52,2))</f>
        <v>8</v>
      </c>
      <c r="F1037" s="16" t="n">
        <f aca="false">IF($B1037=-1, -1, VLOOKUP(C1037,$T$1:$V$20, 2))</f>
        <v>13</v>
      </c>
      <c r="G1037" s="16" t="n">
        <f aca="false">IF($B1037=-1, -1, VLOOKUP(D1037,$Y$1:$Z$22,2))</f>
        <v>13</v>
      </c>
      <c r="H1037" s="16" t="str">
        <f aca="false">_xlfn.UNICHAR(((F1037*21)+G1037)*28+44032)</f>
        <v>쭈</v>
      </c>
      <c r="I1037" s="16" t="n">
        <f aca="false">IF(B1037=-1, 1, COUNTIF($A$2:$A$3000, H1037))</f>
        <v>1</v>
      </c>
      <c r="J1037" s="10" t="str">
        <f aca="false">_xlfn.CONCAT(A1037, ",",H1037,",",I1037)</f>
        <v>빪,쭈,1</v>
      </c>
      <c r="K1037" s="16" t="n">
        <f aca="false">IF(B1037=-1,-1,VLOOKUP(C1037,$T$1:$V$20,3))</f>
        <v>11</v>
      </c>
      <c r="L1037" s="16" t="n">
        <f aca="false">IF(B1037=-1,-1,VLOOKUP(D1037,$Y$1:$AA$22,3))</f>
        <v>2</v>
      </c>
      <c r="N1037" s="10" t="str">
        <f aca="false">_xlfn.UNICHAR(((C1037*21)+G1037)*28+44032)</f>
        <v>뿌</v>
      </c>
      <c r="O1037" s="10" t="str">
        <f aca="false">_xlfn.UNICHAR(((F1037*21)+D1037)*28+44032)</f>
        <v>짜</v>
      </c>
      <c r="P1037" s="12" t="n">
        <f aca="false">COUNTIF($A$2:$A$3000, N1037) + COUNTIF($A$2:$A$3000, O1037)</f>
        <v>2</v>
      </c>
      <c r="Q1037" s="16" t="str">
        <f aca="false">IF(OR(B1037=-1,I1037=0, P1037&lt;&gt;2), "albhed_dummy", _xlfn.CONCAT("albhed ", RIGHT("  " &amp; K1037,2),", ", RIGHT("  " &amp; L1037,2), ", " ,"""",H1037,""", ", """",N1037,""", ","""",O1037,""""," ; ", A1037))</f>
        <v>albhed 11,  2, "쭈", "뿌", "짜" ; 빪</v>
      </c>
    </row>
    <row r="1038" customFormat="false" ht="17.9" hidden="false" customHeight="true" outlineLevel="0" collapsed="false">
      <c r="A1038" s="16" t="s">
        <v>1906</v>
      </c>
      <c r="B1038" s="16" t="n">
        <f aca="false">IF(_xlfn.UNICODE(A1038)&lt;44032,-1,_xlfn.UNICODE(A1038)-44032)</f>
        <v>4720</v>
      </c>
      <c r="C1038" s="16" t="n">
        <f aca="false">IF(B1038=-1,-1,INT((B1038/28)/21))</f>
        <v>8</v>
      </c>
      <c r="D1038" s="16" t="n">
        <f aca="false">IF(B1038=-1, -1, MOD(INT(B1038/28),21))</f>
        <v>0</v>
      </c>
      <c r="E1038" s="16" t="n">
        <f aca="false">IF(B1038=-1, -1, VLOOKUP(MOD(B1038,28), $T$24:$U$52,2))</f>
        <v>16</v>
      </c>
      <c r="F1038" s="16" t="n">
        <f aca="false">IF($B1038=-1, -1, VLOOKUP(C1038,$T$1:$V$20, 2))</f>
        <v>13</v>
      </c>
      <c r="G1038" s="16" t="n">
        <f aca="false">IF($B1038=-1, -1, VLOOKUP(D1038,$Y$1:$Z$22,2))</f>
        <v>13</v>
      </c>
      <c r="H1038" s="16" t="str">
        <f aca="false">_xlfn.UNICHAR(((F1038*21)+G1038)*28+44032)</f>
        <v>쭈</v>
      </c>
      <c r="I1038" s="16" t="n">
        <f aca="false">IF(B1038=-1, 1, COUNTIF($A$2:$A$3000, H1038))</f>
        <v>1</v>
      </c>
      <c r="J1038" s="10" t="str">
        <f aca="false">_xlfn.CONCAT(A1038, ",",H1038,",",I1038)</f>
        <v>빰,쭈,1</v>
      </c>
      <c r="K1038" s="16" t="n">
        <f aca="false">IF(B1038=-1,-1,VLOOKUP(C1038,$T$1:$V$20,3))</f>
        <v>11</v>
      </c>
      <c r="L1038" s="16" t="n">
        <f aca="false">IF(B1038=-1,-1,VLOOKUP(D1038,$Y$1:$AA$22,3))</f>
        <v>2</v>
      </c>
      <c r="N1038" s="10" t="str">
        <f aca="false">_xlfn.UNICHAR(((C1038*21)+G1038)*28+44032)</f>
        <v>뿌</v>
      </c>
      <c r="O1038" s="10" t="str">
        <f aca="false">_xlfn.UNICHAR(((F1038*21)+D1038)*28+44032)</f>
        <v>짜</v>
      </c>
      <c r="P1038" s="12" t="n">
        <f aca="false">COUNTIF($A$2:$A$3000, N1038) + COUNTIF($A$2:$A$3000, O1038)</f>
        <v>2</v>
      </c>
      <c r="Q1038" s="16" t="str">
        <f aca="false">IF(OR(B1038=-1,I1038=0, P1038&lt;&gt;2), "albhed_dummy", _xlfn.CONCAT("albhed ", RIGHT("  " &amp; K1038,2),", ", RIGHT("  " &amp; L1038,2), ", " ,"""",H1038,""", ", """",N1038,""", ","""",O1038,""""," ; ", A1038))</f>
        <v>albhed 11,  2, "쭈", "뿌", "짜" ; 빰</v>
      </c>
    </row>
    <row r="1039" customFormat="false" ht="17.9" hidden="false" customHeight="true" outlineLevel="0" collapsed="false">
      <c r="A1039" s="16" t="s">
        <v>1907</v>
      </c>
      <c r="B1039" s="16" t="n">
        <f aca="false">IF(_xlfn.UNICODE(A1039)&lt;44032,-1,_xlfn.UNICODE(A1039)-44032)</f>
        <v>4721</v>
      </c>
      <c r="C1039" s="16" t="n">
        <f aca="false">IF(B1039=-1,-1,INT((B1039/28)/21))</f>
        <v>8</v>
      </c>
      <c r="D1039" s="16" t="n">
        <f aca="false">IF(B1039=-1, -1, MOD(INT(B1039/28),21))</f>
        <v>0</v>
      </c>
      <c r="E1039" s="16" t="n">
        <f aca="false">IF(B1039=-1, -1, VLOOKUP(MOD(B1039,28), $T$24:$U$52,2))</f>
        <v>17</v>
      </c>
      <c r="F1039" s="16" t="n">
        <f aca="false">IF($B1039=-1, -1, VLOOKUP(C1039,$T$1:$V$20, 2))</f>
        <v>13</v>
      </c>
      <c r="G1039" s="16" t="n">
        <f aca="false">IF($B1039=-1, -1, VLOOKUP(D1039,$Y$1:$Z$22,2))</f>
        <v>13</v>
      </c>
      <c r="H1039" s="16" t="str">
        <f aca="false">_xlfn.UNICHAR(((F1039*21)+G1039)*28+44032)</f>
        <v>쭈</v>
      </c>
      <c r="I1039" s="16" t="n">
        <f aca="false">IF(B1039=-1, 1, COUNTIF($A$2:$A$3000, H1039))</f>
        <v>1</v>
      </c>
      <c r="J1039" s="10" t="str">
        <f aca="false">_xlfn.CONCAT(A1039, ",",H1039,",",I1039)</f>
        <v>빱,쭈,1</v>
      </c>
      <c r="K1039" s="16" t="n">
        <f aca="false">IF(B1039=-1,-1,VLOOKUP(C1039,$T$1:$V$20,3))</f>
        <v>11</v>
      </c>
      <c r="L1039" s="16" t="n">
        <f aca="false">IF(B1039=-1,-1,VLOOKUP(D1039,$Y$1:$AA$22,3))</f>
        <v>2</v>
      </c>
      <c r="N1039" s="10" t="str">
        <f aca="false">_xlfn.UNICHAR(((C1039*21)+G1039)*28+44032)</f>
        <v>뿌</v>
      </c>
      <c r="O1039" s="10" t="str">
        <f aca="false">_xlfn.UNICHAR(((F1039*21)+D1039)*28+44032)</f>
        <v>짜</v>
      </c>
      <c r="P1039" s="12" t="n">
        <f aca="false">COUNTIF($A$2:$A$3000, N1039) + COUNTIF($A$2:$A$3000, O1039)</f>
        <v>2</v>
      </c>
      <c r="Q1039" s="16" t="str">
        <f aca="false">IF(OR(B1039=-1,I1039=0, P1039&lt;&gt;2), "albhed_dummy", _xlfn.CONCAT("albhed ", RIGHT("  " &amp; K1039,2),", ", RIGHT("  " &amp; L1039,2), ", " ,"""",H1039,""", ", """",N1039,""", ","""",O1039,""""," ; ", A1039))</f>
        <v>albhed 11,  2, "쭈", "뿌", "짜" ; 빱</v>
      </c>
    </row>
    <row r="1040" customFormat="false" ht="17.9" hidden="false" customHeight="true" outlineLevel="0" collapsed="false">
      <c r="A1040" s="16" t="s">
        <v>1908</v>
      </c>
      <c r="B1040" s="16" t="n">
        <f aca="false">IF(_xlfn.UNICODE(A1040)&lt;44032,-1,_xlfn.UNICODE(A1040)-44032)</f>
        <v>4723</v>
      </c>
      <c r="C1040" s="16" t="n">
        <f aca="false">IF(B1040=-1,-1,INT((B1040/28)/21))</f>
        <v>8</v>
      </c>
      <c r="D1040" s="16" t="n">
        <f aca="false">IF(B1040=-1, -1, MOD(INT(B1040/28),21))</f>
        <v>0</v>
      </c>
      <c r="E1040" s="16" t="n">
        <f aca="false">IF(B1040=-1, -1, VLOOKUP(MOD(B1040,28), $T$24:$U$52,2))</f>
        <v>19</v>
      </c>
      <c r="F1040" s="16" t="n">
        <f aca="false">IF($B1040=-1, -1, VLOOKUP(C1040,$T$1:$V$20, 2))</f>
        <v>13</v>
      </c>
      <c r="G1040" s="16" t="n">
        <f aca="false">IF($B1040=-1, -1, VLOOKUP(D1040,$Y$1:$Z$22,2))</f>
        <v>13</v>
      </c>
      <c r="H1040" s="16" t="str">
        <f aca="false">_xlfn.UNICHAR(((F1040*21)+G1040)*28+44032)</f>
        <v>쭈</v>
      </c>
      <c r="I1040" s="16" t="n">
        <f aca="false">IF(B1040=-1, 1, COUNTIF($A$2:$A$3000, H1040))</f>
        <v>1</v>
      </c>
      <c r="J1040" s="10" t="str">
        <f aca="false">_xlfn.CONCAT(A1040, ",",H1040,",",I1040)</f>
        <v>빳,쭈,1</v>
      </c>
      <c r="K1040" s="16" t="n">
        <f aca="false">IF(B1040=-1,-1,VLOOKUP(C1040,$T$1:$V$20,3))</f>
        <v>11</v>
      </c>
      <c r="L1040" s="16" t="n">
        <f aca="false">IF(B1040=-1,-1,VLOOKUP(D1040,$Y$1:$AA$22,3))</f>
        <v>2</v>
      </c>
      <c r="N1040" s="10" t="str">
        <f aca="false">_xlfn.UNICHAR(((C1040*21)+G1040)*28+44032)</f>
        <v>뿌</v>
      </c>
      <c r="O1040" s="10" t="str">
        <f aca="false">_xlfn.UNICHAR(((F1040*21)+D1040)*28+44032)</f>
        <v>짜</v>
      </c>
      <c r="P1040" s="12" t="n">
        <f aca="false">COUNTIF($A$2:$A$3000, N1040) + COUNTIF($A$2:$A$3000, O1040)</f>
        <v>2</v>
      </c>
      <c r="Q1040" s="16" t="str">
        <f aca="false">IF(OR(B1040=-1,I1040=0, P1040&lt;&gt;2), "albhed_dummy", _xlfn.CONCAT("albhed ", RIGHT("  " &amp; K1040,2),", ", RIGHT("  " &amp; L1040,2), ", " ,"""",H1040,""", ", """",N1040,""", ","""",O1040,""""," ; ", A1040))</f>
        <v>albhed 11,  2, "쭈", "뿌", "짜" ; 빳</v>
      </c>
    </row>
    <row r="1041" customFormat="false" ht="17.9" hidden="false" customHeight="true" outlineLevel="0" collapsed="false">
      <c r="A1041" s="16" t="s">
        <v>1909</v>
      </c>
      <c r="B1041" s="16" t="n">
        <f aca="false">IF(_xlfn.UNICODE(A1041)&lt;44032,-1,_xlfn.UNICODE(A1041)-44032)</f>
        <v>4724</v>
      </c>
      <c r="C1041" s="16" t="n">
        <f aca="false">IF(B1041=-1,-1,INT((B1041/28)/21))</f>
        <v>8</v>
      </c>
      <c r="D1041" s="16" t="n">
        <f aca="false">IF(B1041=-1, -1, MOD(INT(B1041/28),21))</f>
        <v>0</v>
      </c>
      <c r="E1041" s="16" t="n">
        <f aca="false">IF(B1041=-1, -1, VLOOKUP(MOD(B1041,28), $T$24:$U$52,2))</f>
        <v>19</v>
      </c>
      <c r="F1041" s="16" t="n">
        <f aca="false">IF($B1041=-1, -1, VLOOKUP(C1041,$T$1:$V$20, 2))</f>
        <v>13</v>
      </c>
      <c r="G1041" s="16" t="n">
        <f aca="false">IF($B1041=-1, -1, VLOOKUP(D1041,$Y$1:$Z$22,2))</f>
        <v>13</v>
      </c>
      <c r="H1041" s="16" t="str">
        <f aca="false">_xlfn.UNICHAR(((F1041*21)+G1041)*28+44032)</f>
        <v>쭈</v>
      </c>
      <c r="I1041" s="16" t="n">
        <f aca="false">IF(B1041=-1, 1, COUNTIF($A$2:$A$3000, H1041))</f>
        <v>1</v>
      </c>
      <c r="J1041" s="10" t="str">
        <f aca="false">_xlfn.CONCAT(A1041, ",",H1041,",",I1041)</f>
        <v>빴,쭈,1</v>
      </c>
      <c r="K1041" s="16" t="n">
        <f aca="false">IF(B1041=-1,-1,VLOOKUP(C1041,$T$1:$V$20,3))</f>
        <v>11</v>
      </c>
      <c r="L1041" s="16" t="n">
        <f aca="false">IF(B1041=-1,-1,VLOOKUP(D1041,$Y$1:$AA$22,3))</f>
        <v>2</v>
      </c>
      <c r="N1041" s="10" t="str">
        <f aca="false">_xlfn.UNICHAR(((C1041*21)+G1041)*28+44032)</f>
        <v>뿌</v>
      </c>
      <c r="O1041" s="10" t="str">
        <f aca="false">_xlfn.UNICHAR(((F1041*21)+D1041)*28+44032)</f>
        <v>짜</v>
      </c>
      <c r="P1041" s="12" t="n">
        <f aca="false">COUNTIF($A$2:$A$3000, N1041) + COUNTIF($A$2:$A$3000, O1041)</f>
        <v>2</v>
      </c>
      <c r="Q1041" s="16" t="str">
        <f aca="false">IF(OR(B1041=-1,I1041=0, P1041&lt;&gt;2), "albhed_dummy", _xlfn.CONCAT("albhed ", RIGHT("  " &amp; K1041,2),", ", RIGHT("  " &amp; L1041,2), ", " ,"""",H1041,""", ", """",N1041,""", ","""",O1041,""""," ; ", A1041))</f>
        <v>albhed 11,  2, "쭈", "뿌", "짜" ; 빴</v>
      </c>
    </row>
    <row r="1042" customFormat="false" ht="17.9" hidden="false" customHeight="true" outlineLevel="0" collapsed="false">
      <c r="A1042" s="16" t="s">
        <v>1910</v>
      </c>
      <c r="B1042" s="16" t="n">
        <f aca="false">IF(_xlfn.UNICODE(A1042)&lt;44032,-1,_xlfn.UNICODE(A1042)-44032)</f>
        <v>4725</v>
      </c>
      <c r="C1042" s="16" t="n">
        <f aca="false">IF(B1042=-1,-1,INT((B1042/28)/21))</f>
        <v>8</v>
      </c>
      <c r="D1042" s="16" t="n">
        <f aca="false">IF(B1042=-1, -1, MOD(INT(B1042/28),21))</f>
        <v>0</v>
      </c>
      <c r="E1042" s="16" t="n">
        <f aca="false">IF(B1042=-1, -1, VLOOKUP(MOD(B1042,28), $T$24:$U$52,2))</f>
        <v>21</v>
      </c>
      <c r="F1042" s="16" t="n">
        <f aca="false">IF($B1042=-1, -1, VLOOKUP(C1042,$T$1:$V$20, 2))</f>
        <v>13</v>
      </c>
      <c r="G1042" s="16" t="n">
        <f aca="false">IF($B1042=-1, -1, VLOOKUP(D1042,$Y$1:$Z$22,2))</f>
        <v>13</v>
      </c>
      <c r="H1042" s="16" t="str">
        <f aca="false">_xlfn.UNICHAR(((F1042*21)+G1042)*28+44032)</f>
        <v>쭈</v>
      </c>
      <c r="I1042" s="16" t="n">
        <f aca="false">IF(B1042=-1, 1, COUNTIF($A$2:$A$3000, H1042))</f>
        <v>1</v>
      </c>
      <c r="J1042" s="10" t="str">
        <f aca="false">_xlfn.CONCAT(A1042, ",",H1042,",",I1042)</f>
        <v>빵,쭈,1</v>
      </c>
      <c r="K1042" s="16" t="n">
        <f aca="false">IF(B1042=-1,-1,VLOOKUP(C1042,$T$1:$V$20,3))</f>
        <v>11</v>
      </c>
      <c r="L1042" s="16" t="n">
        <f aca="false">IF(B1042=-1,-1,VLOOKUP(D1042,$Y$1:$AA$22,3))</f>
        <v>2</v>
      </c>
      <c r="N1042" s="10" t="str">
        <f aca="false">_xlfn.UNICHAR(((C1042*21)+G1042)*28+44032)</f>
        <v>뿌</v>
      </c>
      <c r="O1042" s="10" t="str">
        <f aca="false">_xlfn.UNICHAR(((F1042*21)+D1042)*28+44032)</f>
        <v>짜</v>
      </c>
      <c r="P1042" s="12" t="n">
        <f aca="false">COUNTIF($A$2:$A$3000, N1042) + COUNTIF($A$2:$A$3000, O1042)</f>
        <v>2</v>
      </c>
      <c r="Q1042" s="16" t="str">
        <f aca="false">IF(OR(B1042=-1,I1042=0, P1042&lt;&gt;2), "albhed_dummy", _xlfn.CONCAT("albhed ", RIGHT("  " &amp; K1042,2),", ", RIGHT("  " &amp; L1042,2), ", " ,"""",H1042,""", ", """",N1042,""", ","""",O1042,""""," ; ", A1042))</f>
        <v>albhed 11,  2, "쭈", "뿌", "짜" ; 빵</v>
      </c>
    </row>
    <row r="1043" customFormat="false" ht="17.9" hidden="false" customHeight="true" outlineLevel="0" collapsed="false">
      <c r="A1043" s="16" t="s">
        <v>1911</v>
      </c>
      <c r="B1043" s="16" t="n">
        <f aca="false">IF(_xlfn.UNICODE(A1043)&lt;44032,-1,_xlfn.UNICODE(A1043)-44032)</f>
        <v>4731</v>
      </c>
      <c r="C1043" s="16" t="n">
        <f aca="false">IF(B1043=-1,-1,INT((B1043/28)/21))</f>
        <v>8</v>
      </c>
      <c r="D1043" s="16" t="n">
        <f aca="false">IF(B1043=-1, -1, MOD(INT(B1043/28),21))</f>
        <v>0</v>
      </c>
      <c r="E1043" s="16" t="n">
        <f aca="false">IF(B1043=-1, -1, VLOOKUP(MOD(B1043,28), $T$24:$U$52,2))</f>
        <v>19</v>
      </c>
      <c r="F1043" s="16" t="n">
        <f aca="false">IF($B1043=-1, -1, VLOOKUP(C1043,$T$1:$V$20, 2))</f>
        <v>13</v>
      </c>
      <c r="G1043" s="16" t="n">
        <f aca="false">IF($B1043=-1, -1, VLOOKUP(D1043,$Y$1:$Z$22,2))</f>
        <v>13</v>
      </c>
      <c r="H1043" s="16" t="str">
        <f aca="false">_xlfn.UNICHAR(((F1043*21)+G1043)*28+44032)</f>
        <v>쭈</v>
      </c>
      <c r="I1043" s="16" t="n">
        <f aca="false">IF(B1043=-1, 1, COUNTIF($A$2:$A$3000, H1043))</f>
        <v>1</v>
      </c>
      <c r="J1043" s="10" t="str">
        <f aca="false">_xlfn.CONCAT(A1043, ",",H1043,",",I1043)</f>
        <v>빻,쭈,1</v>
      </c>
      <c r="K1043" s="16" t="n">
        <f aca="false">IF(B1043=-1,-1,VLOOKUP(C1043,$T$1:$V$20,3))</f>
        <v>11</v>
      </c>
      <c r="L1043" s="16" t="n">
        <f aca="false">IF(B1043=-1,-1,VLOOKUP(D1043,$Y$1:$AA$22,3))</f>
        <v>2</v>
      </c>
      <c r="N1043" s="10" t="str">
        <f aca="false">_xlfn.UNICHAR(((C1043*21)+G1043)*28+44032)</f>
        <v>뿌</v>
      </c>
      <c r="O1043" s="10" t="str">
        <f aca="false">_xlfn.UNICHAR(((F1043*21)+D1043)*28+44032)</f>
        <v>짜</v>
      </c>
      <c r="P1043" s="12" t="n">
        <f aca="false">COUNTIF($A$2:$A$3000, N1043) + COUNTIF($A$2:$A$3000, O1043)</f>
        <v>2</v>
      </c>
      <c r="Q1043" s="16" t="str">
        <f aca="false">IF(OR(B1043=-1,I1043=0, P1043&lt;&gt;2), "albhed_dummy", _xlfn.CONCAT("albhed ", RIGHT("  " &amp; K1043,2),", ", RIGHT("  " &amp; L1043,2), ", " ,"""",H1043,""", ", """",N1043,""", ","""",O1043,""""," ; ", A1043))</f>
        <v>albhed 11,  2, "쭈", "뿌", "짜" ; 빻</v>
      </c>
    </row>
    <row r="1044" customFormat="false" ht="17.9" hidden="false" customHeight="true" outlineLevel="0" collapsed="false">
      <c r="A1044" s="16" t="s">
        <v>1912</v>
      </c>
      <c r="B1044" s="16" t="n">
        <f aca="false">IF(_xlfn.UNICODE(A1044)&lt;44032,-1,_xlfn.UNICODE(A1044)-44032)</f>
        <v>4732</v>
      </c>
      <c r="C1044" s="16" t="n">
        <f aca="false">IF(B1044=-1,-1,INT((B1044/28)/21))</f>
        <v>8</v>
      </c>
      <c r="D1044" s="16" t="n">
        <f aca="false">IF(B1044=-1, -1, MOD(INT(B1044/28),21))</f>
        <v>1</v>
      </c>
      <c r="E1044" s="16" t="n">
        <f aca="false">IF(B1044=-1, -1, VLOOKUP(MOD(B1044,28), $T$24:$U$52,2))</f>
        <v>0</v>
      </c>
      <c r="F1044" s="16" t="n">
        <f aca="false">IF($B1044=-1, -1, VLOOKUP(C1044,$T$1:$V$20, 2))</f>
        <v>13</v>
      </c>
      <c r="G1044" s="16" t="n">
        <f aca="false">IF($B1044=-1, -1, VLOOKUP(D1044,$Y$1:$Z$22,2))</f>
        <v>18</v>
      </c>
      <c r="H1044" s="16" t="str">
        <f aca="false">_xlfn.UNICHAR(((F1044*21)+G1044)*28+44032)</f>
        <v>쯔</v>
      </c>
      <c r="I1044" s="16" t="n">
        <f aca="false">IF(B1044=-1, 1, COUNTIF($A$2:$A$3000, H1044))</f>
        <v>1</v>
      </c>
      <c r="J1044" s="10" t="str">
        <f aca="false">_xlfn.CONCAT(A1044, ",",H1044,",",I1044)</f>
        <v>빼,쯔,1</v>
      </c>
      <c r="K1044" s="16" t="n">
        <f aca="false">IF(B1044=-1,-1,VLOOKUP(C1044,$T$1:$V$20,3))</f>
        <v>11</v>
      </c>
      <c r="L1044" s="16" t="n">
        <f aca="false">IF(B1044=-1,-1,VLOOKUP(D1044,$Y$1:$AA$22,3))</f>
        <v>10</v>
      </c>
      <c r="N1044" s="10" t="str">
        <f aca="false">_xlfn.UNICHAR(((C1044*21)+G1044)*28+44032)</f>
        <v>쁘</v>
      </c>
      <c r="O1044" s="10" t="str">
        <f aca="false">_xlfn.UNICHAR(((F1044*21)+D1044)*28+44032)</f>
        <v>째</v>
      </c>
      <c r="P1044" s="12" t="n">
        <f aca="false">COUNTIF($A$2:$A$3000, N1044) + COUNTIF($A$2:$A$3000, O1044)</f>
        <v>2</v>
      </c>
      <c r="Q1044" s="16" t="str">
        <f aca="false">IF(OR(B1044=-1,I1044=0, P1044&lt;&gt;2), "albhed_dummy", _xlfn.CONCAT("albhed ", RIGHT("  " &amp; K1044,2),", ", RIGHT("  " &amp; L1044,2), ", " ,"""",H1044,""", ", """",N1044,""", ","""",O1044,""""," ; ", A1044))</f>
        <v>albhed 11, 10, "쯔", "쁘", "째" ; 빼</v>
      </c>
    </row>
    <row r="1045" customFormat="false" ht="17.9" hidden="false" customHeight="true" outlineLevel="0" collapsed="false">
      <c r="A1045" s="16" t="s">
        <v>1913</v>
      </c>
      <c r="B1045" s="16" t="n">
        <f aca="false">IF(_xlfn.UNICODE(A1045)&lt;44032,-1,_xlfn.UNICODE(A1045)-44032)</f>
        <v>4733</v>
      </c>
      <c r="C1045" s="16" t="n">
        <f aca="false">IF(B1045=-1,-1,INT((B1045/28)/21))</f>
        <v>8</v>
      </c>
      <c r="D1045" s="16" t="n">
        <f aca="false">IF(B1045=-1, -1, MOD(INT(B1045/28),21))</f>
        <v>1</v>
      </c>
      <c r="E1045" s="16" t="n">
        <f aca="false">IF(B1045=-1, -1, VLOOKUP(MOD(B1045,28), $T$24:$U$52,2))</f>
        <v>1</v>
      </c>
      <c r="F1045" s="16" t="n">
        <f aca="false">IF($B1045=-1, -1, VLOOKUP(C1045,$T$1:$V$20, 2))</f>
        <v>13</v>
      </c>
      <c r="G1045" s="16" t="n">
        <f aca="false">IF($B1045=-1, -1, VLOOKUP(D1045,$Y$1:$Z$22,2))</f>
        <v>18</v>
      </c>
      <c r="H1045" s="16" t="str">
        <f aca="false">_xlfn.UNICHAR(((F1045*21)+G1045)*28+44032)</f>
        <v>쯔</v>
      </c>
      <c r="I1045" s="16" t="n">
        <f aca="false">IF(B1045=-1, 1, COUNTIF($A$2:$A$3000, H1045))</f>
        <v>1</v>
      </c>
      <c r="J1045" s="10" t="str">
        <f aca="false">_xlfn.CONCAT(A1045, ",",H1045,",",I1045)</f>
        <v>빽,쯔,1</v>
      </c>
      <c r="K1045" s="16" t="n">
        <f aca="false">IF(B1045=-1,-1,VLOOKUP(C1045,$T$1:$V$20,3))</f>
        <v>11</v>
      </c>
      <c r="L1045" s="16" t="n">
        <f aca="false">IF(B1045=-1,-1,VLOOKUP(D1045,$Y$1:$AA$22,3))</f>
        <v>10</v>
      </c>
      <c r="N1045" s="10" t="str">
        <f aca="false">_xlfn.UNICHAR(((C1045*21)+G1045)*28+44032)</f>
        <v>쁘</v>
      </c>
      <c r="O1045" s="10" t="str">
        <f aca="false">_xlfn.UNICHAR(((F1045*21)+D1045)*28+44032)</f>
        <v>째</v>
      </c>
      <c r="P1045" s="12" t="n">
        <f aca="false">COUNTIF($A$2:$A$3000, N1045) + COUNTIF($A$2:$A$3000, O1045)</f>
        <v>2</v>
      </c>
      <c r="Q1045" s="16" t="str">
        <f aca="false">IF(OR(B1045=-1,I1045=0, P1045&lt;&gt;2), "albhed_dummy", _xlfn.CONCAT("albhed ", RIGHT("  " &amp; K1045,2),", ", RIGHT("  " &amp; L1045,2), ", " ,"""",H1045,""", ", """",N1045,""", ","""",O1045,""""," ; ", A1045))</f>
        <v>albhed 11, 10, "쯔", "쁘", "째" ; 빽</v>
      </c>
    </row>
    <row r="1046" customFormat="false" ht="17.9" hidden="false" customHeight="true" outlineLevel="0" collapsed="false">
      <c r="A1046" s="16" t="s">
        <v>1914</v>
      </c>
      <c r="B1046" s="16" t="n">
        <f aca="false">IF(_xlfn.UNICODE(A1046)&lt;44032,-1,_xlfn.UNICODE(A1046)-44032)</f>
        <v>4736</v>
      </c>
      <c r="C1046" s="16" t="n">
        <f aca="false">IF(B1046=-1,-1,INT((B1046/28)/21))</f>
        <v>8</v>
      </c>
      <c r="D1046" s="16" t="n">
        <f aca="false">IF(B1046=-1, -1, MOD(INT(B1046/28),21))</f>
        <v>1</v>
      </c>
      <c r="E1046" s="16" t="n">
        <f aca="false">IF(B1046=-1, -1, VLOOKUP(MOD(B1046,28), $T$24:$U$52,2))</f>
        <v>4</v>
      </c>
      <c r="F1046" s="16" t="n">
        <f aca="false">IF($B1046=-1, -1, VLOOKUP(C1046,$T$1:$V$20, 2))</f>
        <v>13</v>
      </c>
      <c r="G1046" s="16" t="n">
        <f aca="false">IF($B1046=-1, -1, VLOOKUP(D1046,$Y$1:$Z$22,2))</f>
        <v>18</v>
      </c>
      <c r="H1046" s="16" t="str">
        <f aca="false">_xlfn.UNICHAR(((F1046*21)+G1046)*28+44032)</f>
        <v>쯔</v>
      </c>
      <c r="I1046" s="16" t="n">
        <f aca="false">IF(B1046=-1, 1, COUNTIF($A$2:$A$3000, H1046))</f>
        <v>1</v>
      </c>
      <c r="J1046" s="10" t="str">
        <f aca="false">_xlfn.CONCAT(A1046, ",",H1046,",",I1046)</f>
        <v>뺀,쯔,1</v>
      </c>
      <c r="K1046" s="16" t="n">
        <f aca="false">IF(B1046=-1,-1,VLOOKUP(C1046,$T$1:$V$20,3))</f>
        <v>11</v>
      </c>
      <c r="L1046" s="16" t="n">
        <f aca="false">IF(B1046=-1,-1,VLOOKUP(D1046,$Y$1:$AA$22,3))</f>
        <v>10</v>
      </c>
      <c r="N1046" s="10" t="str">
        <f aca="false">_xlfn.UNICHAR(((C1046*21)+G1046)*28+44032)</f>
        <v>쁘</v>
      </c>
      <c r="O1046" s="10" t="str">
        <f aca="false">_xlfn.UNICHAR(((F1046*21)+D1046)*28+44032)</f>
        <v>째</v>
      </c>
      <c r="P1046" s="12" t="n">
        <f aca="false">COUNTIF($A$2:$A$3000, N1046) + COUNTIF($A$2:$A$3000, O1046)</f>
        <v>2</v>
      </c>
      <c r="Q1046" s="16" t="str">
        <f aca="false">IF(OR(B1046=-1,I1046=0, P1046&lt;&gt;2), "albhed_dummy", _xlfn.CONCAT("albhed ", RIGHT("  " &amp; K1046,2),", ", RIGHT("  " &amp; L1046,2), ", " ,"""",H1046,""", ", """",N1046,""", ","""",O1046,""""," ; ", A1046))</f>
        <v>albhed 11, 10, "쯔", "쁘", "째" ; 뺀</v>
      </c>
    </row>
    <row r="1047" customFormat="false" ht="17.9" hidden="false" customHeight="true" outlineLevel="0" collapsed="false">
      <c r="A1047" s="16" t="s">
        <v>1915</v>
      </c>
      <c r="B1047" s="16" t="n">
        <f aca="false">IF(_xlfn.UNICODE(A1047)&lt;44032,-1,_xlfn.UNICODE(A1047)-44032)</f>
        <v>4740</v>
      </c>
      <c r="C1047" s="16" t="n">
        <f aca="false">IF(B1047=-1,-1,INT((B1047/28)/21))</f>
        <v>8</v>
      </c>
      <c r="D1047" s="16" t="n">
        <f aca="false">IF(B1047=-1, -1, MOD(INT(B1047/28),21))</f>
        <v>1</v>
      </c>
      <c r="E1047" s="16" t="n">
        <f aca="false">IF(B1047=-1, -1, VLOOKUP(MOD(B1047,28), $T$24:$U$52,2))</f>
        <v>8</v>
      </c>
      <c r="F1047" s="16" t="n">
        <f aca="false">IF($B1047=-1, -1, VLOOKUP(C1047,$T$1:$V$20, 2))</f>
        <v>13</v>
      </c>
      <c r="G1047" s="16" t="n">
        <f aca="false">IF($B1047=-1, -1, VLOOKUP(D1047,$Y$1:$Z$22,2))</f>
        <v>18</v>
      </c>
      <c r="H1047" s="16" t="str">
        <f aca="false">_xlfn.UNICHAR(((F1047*21)+G1047)*28+44032)</f>
        <v>쯔</v>
      </c>
      <c r="I1047" s="16" t="n">
        <f aca="false">IF(B1047=-1, 1, COUNTIF($A$2:$A$3000, H1047))</f>
        <v>1</v>
      </c>
      <c r="J1047" s="10" t="str">
        <f aca="false">_xlfn.CONCAT(A1047, ",",H1047,",",I1047)</f>
        <v>뺄,쯔,1</v>
      </c>
      <c r="K1047" s="16" t="n">
        <f aca="false">IF(B1047=-1,-1,VLOOKUP(C1047,$T$1:$V$20,3))</f>
        <v>11</v>
      </c>
      <c r="L1047" s="16" t="n">
        <f aca="false">IF(B1047=-1,-1,VLOOKUP(D1047,$Y$1:$AA$22,3))</f>
        <v>10</v>
      </c>
      <c r="N1047" s="10" t="str">
        <f aca="false">_xlfn.UNICHAR(((C1047*21)+G1047)*28+44032)</f>
        <v>쁘</v>
      </c>
      <c r="O1047" s="10" t="str">
        <f aca="false">_xlfn.UNICHAR(((F1047*21)+D1047)*28+44032)</f>
        <v>째</v>
      </c>
      <c r="P1047" s="12" t="n">
        <f aca="false">COUNTIF($A$2:$A$3000, N1047) + COUNTIF($A$2:$A$3000, O1047)</f>
        <v>2</v>
      </c>
      <c r="Q1047" s="16" t="str">
        <f aca="false">IF(OR(B1047=-1,I1047=0, P1047&lt;&gt;2), "albhed_dummy", _xlfn.CONCAT("albhed ", RIGHT("  " &amp; K1047,2),", ", RIGHT("  " &amp; L1047,2), ", " ,"""",H1047,""", ", """",N1047,""", ","""",O1047,""""," ; ", A1047))</f>
        <v>albhed 11, 10, "쯔", "쁘", "째" ; 뺄</v>
      </c>
    </row>
    <row r="1048" customFormat="false" ht="17.9" hidden="false" customHeight="true" outlineLevel="0" collapsed="false">
      <c r="A1048" s="16" t="s">
        <v>1916</v>
      </c>
      <c r="B1048" s="16" t="n">
        <f aca="false">IF(_xlfn.UNICODE(A1048)&lt;44032,-1,_xlfn.UNICODE(A1048)-44032)</f>
        <v>4748</v>
      </c>
      <c r="C1048" s="16" t="n">
        <f aca="false">IF(B1048=-1,-1,INT((B1048/28)/21))</f>
        <v>8</v>
      </c>
      <c r="D1048" s="16" t="n">
        <f aca="false">IF(B1048=-1, -1, MOD(INT(B1048/28),21))</f>
        <v>1</v>
      </c>
      <c r="E1048" s="16" t="n">
        <f aca="false">IF(B1048=-1, -1, VLOOKUP(MOD(B1048,28), $T$24:$U$52,2))</f>
        <v>16</v>
      </c>
      <c r="F1048" s="16" t="n">
        <f aca="false">IF($B1048=-1, -1, VLOOKUP(C1048,$T$1:$V$20, 2))</f>
        <v>13</v>
      </c>
      <c r="G1048" s="16" t="n">
        <f aca="false">IF($B1048=-1, -1, VLOOKUP(D1048,$Y$1:$Z$22,2))</f>
        <v>18</v>
      </c>
      <c r="H1048" s="16" t="str">
        <f aca="false">_xlfn.UNICHAR(((F1048*21)+G1048)*28+44032)</f>
        <v>쯔</v>
      </c>
      <c r="I1048" s="16" t="n">
        <f aca="false">IF(B1048=-1, 1, COUNTIF($A$2:$A$3000, H1048))</f>
        <v>1</v>
      </c>
      <c r="J1048" s="10" t="str">
        <f aca="false">_xlfn.CONCAT(A1048, ",",H1048,",",I1048)</f>
        <v>뺌,쯔,1</v>
      </c>
      <c r="K1048" s="16" t="n">
        <f aca="false">IF(B1048=-1,-1,VLOOKUP(C1048,$T$1:$V$20,3))</f>
        <v>11</v>
      </c>
      <c r="L1048" s="16" t="n">
        <f aca="false">IF(B1048=-1,-1,VLOOKUP(D1048,$Y$1:$AA$22,3))</f>
        <v>10</v>
      </c>
      <c r="N1048" s="10" t="str">
        <f aca="false">_xlfn.UNICHAR(((C1048*21)+G1048)*28+44032)</f>
        <v>쁘</v>
      </c>
      <c r="O1048" s="10" t="str">
        <f aca="false">_xlfn.UNICHAR(((F1048*21)+D1048)*28+44032)</f>
        <v>째</v>
      </c>
      <c r="P1048" s="12" t="n">
        <f aca="false">COUNTIF($A$2:$A$3000, N1048) + COUNTIF($A$2:$A$3000, O1048)</f>
        <v>2</v>
      </c>
      <c r="Q1048" s="16" t="str">
        <f aca="false">IF(OR(B1048=-1,I1048=0, P1048&lt;&gt;2), "albhed_dummy", _xlfn.CONCAT("albhed ", RIGHT("  " &amp; K1048,2),", ", RIGHT("  " &amp; L1048,2), ", " ,"""",H1048,""", ", """",N1048,""", ","""",O1048,""""," ; ", A1048))</f>
        <v>albhed 11, 10, "쯔", "쁘", "째" ; 뺌</v>
      </c>
    </row>
    <row r="1049" customFormat="false" ht="17.9" hidden="false" customHeight="true" outlineLevel="0" collapsed="false">
      <c r="A1049" s="16" t="s">
        <v>1917</v>
      </c>
      <c r="B1049" s="16" t="n">
        <f aca="false">IF(_xlfn.UNICODE(A1049)&lt;44032,-1,_xlfn.UNICODE(A1049)-44032)</f>
        <v>4749</v>
      </c>
      <c r="C1049" s="16" t="n">
        <f aca="false">IF(B1049=-1,-1,INT((B1049/28)/21))</f>
        <v>8</v>
      </c>
      <c r="D1049" s="16" t="n">
        <f aca="false">IF(B1049=-1, -1, MOD(INT(B1049/28),21))</f>
        <v>1</v>
      </c>
      <c r="E1049" s="16" t="n">
        <f aca="false">IF(B1049=-1, -1, VLOOKUP(MOD(B1049,28), $T$24:$U$52,2))</f>
        <v>17</v>
      </c>
      <c r="F1049" s="16" t="n">
        <f aca="false">IF($B1049=-1, -1, VLOOKUP(C1049,$T$1:$V$20, 2))</f>
        <v>13</v>
      </c>
      <c r="G1049" s="16" t="n">
        <f aca="false">IF($B1049=-1, -1, VLOOKUP(D1049,$Y$1:$Z$22,2))</f>
        <v>18</v>
      </c>
      <c r="H1049" s="16" t="str">
        <f aca="false">_xlfn.UNICHAR(((F1049*21)+G1049)*28+44032)</f>
        <v>쯔</v>
      </c>
      <c r="I1049" s="16" t="n">
        <f aca="false">IF(B1049=-1, 1, COUNTIF($A$2:$A$3000, H1049))</f>
        <v>1</v>
      </c>
      <c r="J1049" s="10" t="str">
        <f aca="false">_xlfn.CONCAT(A1049, ",",H1049,",",I1049)</f>
        <v>뺍,쯔,1</v>
      </c>
      <c r="K1049" s="16" t="n">
        <f aca="false">IF(B1049=-1,-1,VLOOKUP(C1049,$T$1:$V$20,3))</f>
        <v>11</v>
      </c>
      <c r="L1049" s="16" t="n">
        <f aca="false">IF(B1049=-1,-1,VLOOKUP(D1049,$Y$1:$AA$22,3))</f>
        <v>10</v>
      </c>
      <c r="N1049" s="10" t="str">
        <f aca="false">_xlfn.UNICHAR(((C1049*21)+G1049)*28+44032)</f>
        <v>쁘</v>
      </c>
      <c r="O1049" s="10" t="str">
        <f aca="false">_xlfn.UNICHAR(((F1049*21)+D1049)*28+44032)</f>
        <v>째</v>
      </c>
      <c r="P1049" s="12" t="n">
        <f aca="false">COUNTIF($A$2:$A$3000, N1049) + COUNTIF($A$2:$A$3000, O1049)</f>
        <v>2</v>
      </c>
      <c r="Q1049" s="16" t="str">
        <f aca="false">IF(OR(B1049=-1,I1049=0, P1049&lt;&gt;2), "albhed_dummy", _xlfn.CONCAT("albhed ", RIGHT("  " &amp; K1049,2),", ", RIGHT("  " &amp; L1049,2), ", " ,"""",H1049,""", ", """",N1049,""", ","""",O1049,""""," ; ", A1049))</f>
        <v>albhed 11, 10, "쯔", "쁘", "째" ; 뺍</v>
      </c>
    </row>
    <row r="1050" customFormat="false" ht="17.9" hidden="false" customHeight="true" outlineLevel="0" collapsed="false">
      <c r="A1050" s="16" t="s">
        <v>1918</v>
      </c>
      <c r="B1050" s="16" t="n">
        <f aca="false">IF(_xlfn.UNICODE(A1050)&lt;44032,-1,_xlfn.UNICODE(A1050)-44032)</f>
        <v>4751</v>
      </c>
      <c r="C1050" s="16" t="n">
        <f aca="false">IF(B1050=-1,-1,INT((B1050/28)/21))</f>
        <v>8</v>
      </c>
      <c r="D1050" s="16" t="n">
        <f aca="false">IF(B1050=-1, -1, MOD(INT(B1050/28),21))</f>
        <v>1</v>
      </c>
      <c r="E1050" s="16" t="n">
        <f aca="false">IF(B1050=-1, -1, VLOOKUP(MOD(B1050,28), $T$24:$U$52,2))</f>
        <v>19</v>
      </c>
      <c r="F1050" s="16" t="n">
        <f aca="false">IF($B1050=-1, -1, VLOOKUP(C1050,$T$1:$V$20, 2))</f>
        <v>13</v>
      </c>
      <c r="G1050" s="16" t="n">
        <f aca="false">IF($B1050=-1, -1, VLOOKUP(D1050,$Y$1:$Z$22,2))</f>
        <v>18</v>
      </c>
      <c r="H1050" s="16" t="str">
        <f aca="false">_xlfn.UNICHAR(((F1050*21)+G1050)*28+44032)</f>
        <v>쯔</v>
      </c>
      <c r="I1050" s="16" t="n">
        <f aca="false">IF(B1050=-1, 1, COUNTIF($A$2:$A$3000, H1050))</f>
        <v>1</v>
      </c>
      <c r="J1050" s="10" t="str">
        <f aca="false">_xlfn.CONCAT(A1050, ",",H1050,",",I1050)</f>
        <v>뺏,쯔,1</v>
      </c>
      <c r="K1050" s="16" t="n">
        <f aca="false">IF(B1050=-1,-1,VLOOKUP(C1050,$T$1:$V$20,3))</f>
        <v>11</v>
      </c>
      <c r="L1050" s="16" t="n">
        <f aca="false">IF(B1050=-1,-1,VLOOKUP(D1050,$Y$1:$AA$22,3))</f>
        <v>10</v>
      </c>
      <c r="N1050" s="10" t="str">
        <f aca="false">_xlfn.UNICHAR(((C1050*21)+G1050)*28+44032)</f>
        <v>쁘</v>
      </c>
      <c r="O1050" s="10" t="str">
        <f aca="false">_xlfn.UNICHAR(((F1050*21)+D1050)*28+44032)</f>
        <v>째</v>
      </c>
      <c r="P1050" s="12" t="n">
        <f aca="false">COUNTIF($A$2:$A$3000, N1050) + COUNTIF($A$2:$A$3000, O1050)</f>
        <v>2</v>
      </c>
      <c r="Q1050" s="16" t="str">
        <f aca="false">IF(OR(B1050=-1,I1050=0, P1050&lt;&gt;2), "albhed_dummy", _xlfn.CONCAT("albhed ", RIGHT("  " &amp; K1050,2),", ", RIGHT("  " &amp; L1050,2), ", " ,"""",H1050,""", ", """",N1050,""", ","""",O1050,""""," ; ", A1050))</f>
        <v>albhed 11, 10, "쯔", "쁘", "째" ; 뺏</v>
      </c>
    </row>
    <row r="1051" customFormat="false" ht="17.9" hidden="false" customHeight="true" outlineLevel="0" collapsed="false">
      <c r="A1051" s="16" t="s">
        <v>1919</v>
      </c>
      <c r="B1051" s="16" t="n">
        <f aca="false">IF(_xlfn.UNICODE(A1051)&lt;44032,-1,_xlfn.UNICODE(A1051)-44032)</f>
        <v>4752</v>
      </c>
      <c r="C1051" s="16" t="n">
        <f aca="false">IF(B1051=-1,-1,INT((B1051/28)/21))</f>
        <v>8</v>
      </c>
      <c r="D1051" s="16" t="n">
        <f aca="false">IF(B1051=-1, -1, MOD(INT(B1051/28),21))</f>
        <v>1</v>
      </c>
      <c r="E1051" s="16" t="n">
        <f aca="false">IF(B1051=-1, -1, VLOOKUP(MOD(B1051,28), $T$24:$U$52,2))</f>
        <v>19</v>
      </c>
      <c r="F1051" s="16" t="n">
        <f aca="false">IF($B1051=-1, -1, VLOOKUP(C1051,$T$1:$V$20, 2))</f>
        <v>13</v>
      </c>
      <c r="G1051" s="16" t="n">
        <f aca="false">IF($B1051=-1, -1, VLOOKUP(D1051,$Y$1:$Z$22,2))</f>
        <v>18</v>
      </c>
      <c r="H1051" s="16" t="str">
        <f aca="false">_xlfn.UNICHAR(((F1051*21)+G1051)*28+44032)</f>
        <v>쯔</v>
      </c>
      <c r="I1051" s="16" t="n">
        <f aca="false">IF(B1051=-1, 1, COUNTIF($A$2:$A$3000, H1051))</f>
        <v>1</v>
      </c>
      <c r="J1051" s="10" t="str">
        <f aca="false">_xlfn.CONCAT(A1051, ",",H1051,",",I1051)</f>
        <v>뺐,쯔,1</v>
      </c>
      <c r="K1051" s="16" t="n">
        <f aca="false">IF(B1051=-1,-1,VLOOKUP(C1051,$T$1:$V$20,3))</f>
        <v>11</v>
      </c>
      <c r="L1051" s="16" t="n">
        <f aca="false">IF(B1051=-1,-1,VLOOKUP(D1051,$Y$1:$AA$22,3))</f>
        <v>10</v>
      </c>
      <c r="N1051" s="10" t="str">
        <f aca="false">_xlfn.UNICHAR(((C1051*21)+G1051)*28+44032)</f>
        <v>쁘</v>
      </c>
      <c r="O1051" s="10" t="str">
        <f aca="false">_xlfn.UNICHAR(((F1051*21)+D1051)*28+44032)</f>
        <v>째</v>
      </c>
      <c r="P1051" s="12" t="n">
        <f aca="false">COUNTIF($A$2:$A$3000, N1051) + COUNTIF($A$2:$A$3000, O1051)</f>
        <v>2</v>
      </c>
      <c r="Q1051" s="16" t="str">
        <f aca="false">IF(OR(B1051=-1,I1051=0, P1051&lt;&gt;2), "albhed_dummy", _xlfn.CONCAT("albhed ", RIGHT("  " &amp; K1051,2),", ", RIGHT("  " &amp; L1051,2), ", " ,"""",H1051,""", ", """",N1051,""", ","""",O1051,""""," ; ", A1051))</f>
        <v>albhed 11, 10, "쯔", "쁘", "째" ; 뺐</v>
      </c>
    </row>
    <row r="1052" customFormat="false" ht="17.9" hidden="false" customHeight="true" outlineLevel="0" collapsed="false">
      <c r="A1052" s="16" t="s">
        <v>1920</v>
      </c>
      <c r="B1052" s="16" t="n">
        <f aca="false">IF(_xlfn.UNICODE(A1052)&lt;44032,-1,_xlfn.UNICODE(A1052)-44032)</f>
        <v>4753</v>
      </c>
      <c r="C1052" s="16" t="n">
        <f aca="false">IF(B1052=-1,-1,INT((B1052/28)/21))</f>
        <v>8</v>
      </c>
      <c r="D1052" s="16" t="n">
        <f aca="false">IF(B1052=-1, -1, MOD(INT(B1052/28),21))</f>
        <v>1</v>
      </c>
      <c r="E1052" s="16" t="n">
        <f aca="false">IF(B1052=-1, -1, VLOOKUP(MOD(B1052,28), $T$24:$U$52,2))</f>
        <v>21</v>
      </c>
      <c r="F1052" s="16" t="n">
        <f aca="false">IF($B1052=-1, -1, VLOOKUP(C1052,$T$1:$V$20, 2))</f>
        <v>13</v>
      </c>
      <c r="G1052" s="16" t="n">
        <f aca="false">IF($B1052=-1, -1, VLOOKUP(D1052,$Y$1:$Z$22,2))</f>
        <v>18</v>
      </c>
      <c r="H1052" s="16" t="str">
        <f aca="false">_xlfn.UNICHAR(((F1052*21)+G1052)*28+44032)</f>
        <v>쯔</v>
      </c>
      <c r="I1052" s="16" t="n">
        <f aca="false">IF(B1052=-1, 1, COUNTIF($A$2:$A$3000, H1052))</f>
        <v>1</v>
      </c>
      <c r="J1052" s="10" t="str">
        <f aca="false">_xlfn.CONCAT(A1052, ",",H1052,",",I1052)</f>
        <v>뺑,쯔,1</v>
      </c>
      <c r="K1052" s="16" t="n">
        <f aca="false">IF(B1052=-1,-1,VLOOKUP(C1052,$T$1:$V$20,3))</f>
        <v>11</v>
      </c>
      <c r="L1052" s="16" t="n">
        <f aca="false">IF(B1052=-1,-1,VLOOKUP(D1052,$Y$1:$AA$22,3))</f>
        <v>10</v>
      </c>
      <c r="N1052" s="10" t="str">
        <f aca="false">_xlfn.UNICHAR(((C1052*21)+G1052)*28+44032)</f>
        <v>쁘</v>
      </c>
      <c r="O1052" s="10" t="str">
        <f aca="false">_xlfn.UNICHAR(((F1052*21)+D1052)*28+44032)</f>
        <v>째</v>
      </c>
      <c r="P1052" s="12" t="n">
        <f aca="false">COUNTIF($A$2:$A$3000, N1052) + COUNTIF($A$2:$A$3000, O1052)</f>
        <v>2</v>
      </c>
      <c r="Q1052" s="16" t="str">
        <f aca="false">IF(OR(B1052=-1,I1052=0, P1052&lt;&gt;2), "albhed_dummy", _xlfn.CONCAT("albhed ", RIGHT("  " &amp; K1052,2),", ", RIGHT("  " &amp; L1052,2), ", " ,"""",H1052,""", ", """",N1052,""", ","""",O1052,""""," ; ", A1052))</f>
        <v>albhed 11, 10, "쯔", "쁘", "째" ; 뺑</v>
      </c>
    </row>
    <row r="1053" customFormat="false" ht="17.9" hidden="false" customHeight="true" outlineLevel="0" collapsed="false">
      <c r="A1053" s="16" t="s">
        <v>1921</v>
      </c>
      <c r="B1053" s="16" t="n">
        <f aca="false">IF(_xlfn.UNICODE(A1053)&lt;44032,-1,_xlfn.UNICODE(A1053)-44032)</f>
        <v>4760</v>
      </c>
      <c r="C1053" s="16" t="n">
        <f aca="false">IF(B1053=-1,-1,INT((B1053/28)/21))</f>
        <v>8</v>
      </c>
      <c r="D1053" s="16" t="n">
        <f aca="false">IF(B1053=-1, -1, MOD(INT(B1053/28),21))</f>
        <v>2</v>
      </c>
      <c r="E1053" s="16" t="n">
        <f aca="false">IF(B1053=-1, -1, VLOOKUP(MOD(B1053,28), $T$24:$U$52,2))</f>
        <v>0</v>
      </c>
      <c r="F1053" s="16" t="n">
        <f aca="false">IF($B1053=-1, -1, VLOOKUP(C1053,$T$1:$V$20, 2))</f>
        <v>13</v>
      </c>
      <c r="G1053" s="16" t="n">
        <f aca="false">IF($B1053=-1, -1, VLOOKUP(D1053,$Y$1:$Z$22,2))</f>
        <v>17</v>
      </c>
      <c r="H1053" s="16" t="str">
        <f aca="false">_xlfn.UNICHAR(((F1053*21)+G1053)*28+44032)</f>
        <v>쮸</v>
      </c>
      <c r="I1053" s="16" t="n">
        <f aca="false">IF(B1053=-1, 1, COUNTIF($A$2:$A$3000, H1053))</f>
        <v>1</v>
      </c>
      <c r="J1053" s="10" t="str">
        <f aca="false">_xlfn.CONCAT(A1053, ",",H1053,",",I1053)</f>
        <v>뺘,쮸,1</v>
      </c>
      <c r="K1053" s="16" t="n">
        <f aca="false">IF(B1053=-1,-1,VLOOKUP(C1053,$T$1:$V$20,3))</f>
        <v>11</v>
      </c>
      <c r="L1053" s="16" t="n">
        <f aca="false">IF(B1053=-1,-1,VLOOKUP(D1053,$Y$1:$AA$22,3))</f>
        <v>2</v>
      </c>
      <c r="N1053" s="10" t="str">
        <f aca="false">_xlfn.UNICHAR(((C1053*21)+G1053)*28+44032)</f>
        <v>쀼</v>
      </c>
      <c r="O1053" s="10" t="str">
        <f aca="false">_xlfn.UNICHAR(((F1053*21)+D1053)*28+44032)</f>
        <v>쨔</v>
      </c>
      <c r="P1053" s="12" t="n">
        <f aca="false">COUNTIF($A$2:$A$3000, N1053) + COUNTIF($A$2:$A$3000, O1053)</f>
        <v>2</v>
      </c>
      <c r="Q1053" s="16" t="str">
        <f aca="false">IF(OR(B1053=-1,I1053=0, P1053&lt;&gt;2), "albhed_dummy", _xlfn.CONCAT("albhed ", RIGHT("  " &amp; K1053,2),", ", RIGHT("  " &amp; L1053,2), ", " ,"""",H1053,""", ", """",N1053,""", ","""",O1053,""""," ; ", A1053))</f>
        <v>albhed 11,  2, "쮸", "쀼", "쨔" ; 뺘</v>
      </c>
    </row>
    <row r="1054" customFormat="false" ht="17.9" hidden="false" customHeight="true" outlineLevel="0" collapsed="false">
      <c r="A1054" s="16" t="s">
        <v>1922</v>
      </c>
      <c r="B1054" s="16" t="n">
        <f aca="false">IF(_xlfn.UNICODE(A1054)&lt;44032,-1,_xlfn.UNICODE(A1054)-44032)</f>
        <v>4761</v>
      </c>
      <c r="C1054" s="16" t="n">
        <f aca="false">IF(B1054=-1,-1,INT((B1054/28)/21))</f>
        <v>8</v>
      </c>
      <c r="D1054" s="16" t="n">
        <f aca="false">IF(B1054=-1, -1, MOD(INT(B1054/28),21))</f>
        <v>2</v>
      </c>
      <c r="E1054" s="16" t="n">
        <f aca="false">IF(B1054=-1, -1, VLOOKUP(MOD(B1054,28), $T$24:$U$52,2))</f>
        <v>1</v>
      </c>
      <c r="F1054" s="16" t="n">
        <f aca="false">IF($B1054=-1, -1, VLOOKUP(C1054,$T$1:$V$20, 2))</f>
        <v>13</v>
      </c>
      <c r="G1054" s="16" t="n">
        <f aca="false">IF($B1054=-1, -1, VLOOKUP(D1054,$Y$1:$Z$22,2))</f>
        <v>17</v>
      </c>
      <c r="H1054" s="16" t="str">
        <f aca="false">_xlfn.UNICHAR(((F1054*21)+G1054)*28+44032)</f>
        <v>쮸</v>
      </c>
      <c r="I1054" s="16" t="n">
        <f aca="false">IF(B1054=-1, 1, COUNTIF($A$2:$A$3000, H1054))</f>
        <v>1</v>
      </c>
      <c r="J1054" s="10" t="str">
        <f aca="false">_xlfn.CONCAT(A1054, ",",H1054,",",I1054)</f>
        <v>뺙,쮸,1</v>
      </c>
      <c r="K1054" s="16" t="n">
        <f aca="false">IF(B1054=-1,-1,VLOOKUP(C1054,$T$1:$V$20,3))</f>
        <v>11</v>
      </c>
      <c r="L1054" s="16" t="n">
        <f aca="false">IF(B1054=-1,-1,VLOOKUP(D1054,$Y$1:$AA$22,3))</f>
        <v>2</v>
      </c>
      <c r="N1054" s="10" t="str">
        <f aca="false">_xlfn.UNICHAR(((C1054*21)+G1054)*28+44032)</f>
        <v>쀼</v>
      </c>
      <c r="O1054" s="10" t="str">
        <f aca="false">_xlfn.UNICHAR(((F1054*21)+D1054)*28+44032)</f>
        <v>쨔</v>
      </c>
      <c r="P1054" s="12" t="n">
        <f aca="false">COUNTIF($A$2:$A$3000, N1054) + COUNTIF($A$2:$A$3000, O1054)</f>
        <v>2</v>
      </c>
      <c r="Q1054" s="16" t="str">
        <f aca="false">IF(OR(B1054=-1,I1054=0, P1054&lt;&gt;2), "albhed_dummy", _xlfn.CONCAT("albhed ", RIGHT("  " &amp; K1054,2),", ", RIGHT("  " &amp; L1054,2), ", " ,"""",H1054,""", ", """",N1054,""", ","""",O1054,""""," ; ", A1054))</f>
        <v>albhed 11,  2, "쮸", "쀼", "쨔" ; 뺙</v>
      </c>
    </row>
    <row r="1055" customFormat="false" ht="17.9" hidden="false" customHeight="true" outlineLevel="0" collapsed="false">
      <c r="A1055" s="16" t="s">
        <v>1923</v>
      </c>
      <c r="B1055" s="16" t="n">
        <f aca="false">IF(_xlfn.UNICODE(A1055)&lt;44032,-1,_xlfn.UNICODE(A1055)-44032)</f>
        <v>4776</v>
      </c>
      <c r="C1055" s="16" t="n">
        <f aca="false">IF(B1055=-1,-1,INT((B1055/28)/21))</f>
        <v>8</v>
      </c>
      <c r="D1055" s="16" t="n">
        <f aca="false">IF(B1055=-1, -1, MOD(INT(B1055/28),21))</f>
        <v>2</v>
      </c>
      <c r="E1055" s="16" t="n">
        <f aca="false">IF(B1055=-1, -1, VLOOKUP(MOD(B1055,28), $T$24:$U$52,2))</f>
        <v>16</v>
      </c>
      <c r="F1055" s="16" t="n">
        <f aca="false">IF($B1055=-1, -1, VLOOKUP(C1055,$T$1:$V$20, 2))</f>
        <v>13</v>
      </c>
      <c r="G1055" s="16" t="n">
        <f aca="false">IF($B1055=-1, -1, VLOOKUP(D1055,$Y$1:$Z$22,2))</f>
        <v>17</v>
      </c>
      <c r="H1055" s="16" t="str">
        <f aca="false">_xlfn.UNICHAR(((F1055*21)+G1055)*28+44032)</f>
        <v>쮸</v>
      </c>
      <c r="I1055" s="16" t="n">
        <f aca="false">IF(B1055=-1, 1, COUNTIF($A$2:$A$3000, H1055))</f>
        <v>1</v>
      </c>
      <c r="J1055" s="10" t="str">
        <f aca="false">_xlfn.CONCAT(A1055, ",",H1055,",",I1055)</f>
        <v>뺨,쮸,1</v>
      </c>
      <c r="K1055" s="16" t="n">
        <f aca="false">IF(B1055=-1,-1,VLOOKUP(C1055,$T$1:$V$20,3))</f>
        <v>11</v>
      </c>
      <c r="L1055" s="16" t="n">
        <f aca="false">IF(B1055=-1,-1,VLOOKUP(D1055,$Y$1:$AA$22,3))</f>
        <v>2</v>
      </c>
      <c r="N1055" s="10" t="str">
        <f aca="false">_xlfn.UNICHAR(((C1055*21)+G1055)*28+44032)</f>
        <v>쀼</v>
      </c>
      <c r="O1055" s="10" t="str">
        <f aca="false">_xlfn.UNICHAR(((F1055*21)+D1055)*28+44032)</f>
        <v>쨔</v>
      </c>
      <c r="P1055" s="12" t="n">
        <f aca="false">COUNTIF($A$2:$A$3000, N1055) + COUNTIF($A$2:$A$3000, O1055)</f>
        <v>2</v>
      </c>
      <c r="Q1055" s="16" t="str">
        <f aca="false">IF(OR(B1055=-1,I1055=0, P1055&lt;&gt;2), "albhed_dummy", _xlfn.CONCAT("albhed ", RIGHT("  " &amp; K1055,2),", ", RIGHT("  " &amp; L1055,2), ", " ,"""",H1055,""", ", """",N1055,""", ","""",O1055,""""," ; ", A1055))</f>
        <v>albhed 11,  2, "쮸", "쀼", "쨔" ; 뺨</v>
      </c>
    </row>
    <row r="1056" customFormat="false" ht="17.9" hidden="false" customHeight="true" outlineLevel="0" collapsed="false">
      <c r="A1056" s="16" t="s">
        <v>1924</v>
      </c>
      <c r="B1056" s="16" t="n">
        <f aca="false">IF(_xlfn.UNICODE(A1056)&lt;44032,-1,_xlfn.UNICODE(A1056)-44032)</f>
        <v>4816</v>
      </c>
      <c r="C1056" s="16" t="n">
        <f aca="false">IF(B1056=-1,-1,INT((B1056/28)/21))</f>
        <v>8</v>
      </c>
      <c r="D1056" s="16" t="n">
        <f aca="false">IF(B1056=-1, -1, MOD(INT(B1056/28),21))</f>
        <v>4</v>
      </c>
      <c r="E1056" s="16" t="n">
        <f aca="false">IF(B1056=-1, -1, VLOOKUP(MOD(B1056,28), $T$24:$U$52,2))</f>
        <v>0</v>
      </c>
      <c r="F1056" s="16" t="n">
        <f aca="false">IF($B1056=-1, -1, VLOOKUP(C1056,$T$1:$V$20, 2))</f>
        <v>13</v>
      </c>
      <c r="G1056" s="16" t="n">
        <f aca="false">IF($B1056=-1, -1, VLOOKUP(D1056,$Y$1:$Z$22,2))</f>
        <v>8</v>
      </c>
      <c r="H1056" s="16" t="str">
        <f aca="false">_xlfn.UNICHAR(((F1056*21)+G1056)*28+44032)</f>
        <v>쪼</v>
      </c>
      <c r="I1056" s="16" t="n">
        <f aca="false">IF(B1056=-1, 1, COUNTIF($A$2:$A$3000, H1056))</f>
        <v>1</v>
      </c>
      <c r="J1056" s="10" t="str">
        <f aca="false">_xlfn.CONCAT(A1056, ",",H1056,",",I1056)</f>
        <v>뻐,쪼,1</v>
      </c>
      <c r="K1056" s="16" t="n">
        <f aca="false">IF(B1056=-1,-1,VLOOKUP(C1056,$T$1:$V$20,3))</f>
        <v>11</v>
      </c>
      <c r="L1056" s="16" t="n">
        <f aca="false">IF(B1056=-1,-1,VLOOKUP(D1056,$Y$1:$AA$22,3))</f>
        <v>4</v>
      </c>
      <c r="N1056" s="10" t="str">
        <f aca="false">_xlfn.UNICHAR(((C1056*21)+G1056)*28+44032)</f>
        <v>뽀</v>
      </c>
      <c r="O1056" s="10" t="str">
        <f aca="false">_xlfn.UNICHAR(((F1056*21)+D1056)*28+44032)</f>
        <v>쩌</v>
      </c>
      <c r="P1056" s="12" t="n">
        <f aca="false">COUNTIF($A$2:$A$3000, N1056) + COUNTIF($A$2:$A$3000, O1056)</f>
        <v>2</v>
      </c>
      <c r="Q1056" s="16" t="str">
        <f aca="false">IF(OR(B1056=-1,I1056=0, P1056&lt;&gt;2), "albhed_dummy", _xlfn.CONCAT("albhed ", RIGHT("  " &amp; K1056,2),", ", RIGHT("  " &amp; L1056,2), ", " ,"""",H1056,""", ", """",N1056,""", ","""",O1056,""""," ; ", A1056))</f>
        <v>albhed 11,  4, "쪼", "뽀", "쩌" ; 뻐</v>
      </c>
    </row>
    <row r="1057" customFormat="false" ht="17.9" hidden="false" customHeight="true" outlineLevel="0" collapsed="false">
      <c r="A1057" s="16" t="s">
        <v>1925</v>
      </c>
      <c r="B1057" s="16" t="n">
        <f aca="false">IF(_xlfn.UNICODE(A1057)&lt;44032,-1,_xlfn.UNICODE(A1057)-44032)</f>
        <v>4817</v>
      </c>
      <c r="C1057" s="16" t="n">
        <f aca="false">IF(B1057=-1,-1,INT((B1057/28)/21))</f>
        <v>8</v>
      </c>
      <c r="D1057" s="16" t="n">
        <f aca="false">IF(B1057=-1, -1, MOD(INT(B1057/28),21))</f>
        <v>4</v>
      </c>
      <c r="E1057" s="16" t="n">
        <f aca="false">IF(B1057=-1, -1, VLOOKUP(MOD(B1057,28), $T$24:$U$52,2))</f>
        <v>1</v>
      </c>
      <c r="F1057" s="16" t="n">
        <f aca="false">IF($B1057=-1, -1, VLOOKUP(C1057,$T$1:$V$20, 2))</f>
        <v>13</v>
      </c>
      <c r="G1057" s="16" t="n">
        <f aca="false">IF($B1057=-1, -1, VLOOKUP(D1057,$Y$1:$Z$22,2))</f>
        <v>8</v>
      </c>
      <c r="H1057" s="16" t="str">
        <f aca="false">_xlfn.UNICHAR(((F1057*21)+G1057)*28+44032)</f>
        <v>쪼</v>
      </c>
      <c r="I1057" s="16" t="n">
        <f aca="false">IF(B1057=-1, 1, COUNTIF($A$2:$A$3000, H1057))</f>
        <v>1</v>
      </c>
      <c r="J1057" s="10" t="str">
        <f aca="false">_xlfn.CONCAT(A1057, ",",H1057,",",I1057)</f>
        <v>뻑,쪼,1</v>
      </c>
      <c r="K1057" s="16" t="n">
        <f aca="false">IF(B1057=-1,-1,VLOOKUP(C1057,$T$1:$V$20,3))</f>
        <v>11</v>
      </c>
      <c r="L1057" s="16" t="n">
        <f aca="false">IF(B1057=-1,-1,VLOOKUP(D1057,$Y$1:$AA$22,3))</f>
        <v>4</v>
      </c>
      <c r="N1057" s="10" t="str">
        <f aca="false">_xlfn.UNICHAR(((C1057*21)+G1057)*28+44032)</f>
        <v>뽀</v>
      </c>
      <c r="O1057" s="10" t="str">
        <f aca="false">_xlfn.UNICHAR(((F1057*21)+D1057)*28+44032)</f>
        <v>쩌</v>
      </c>
      <c r="P1057" s="12" t="n">
        <f aca="false">COUNTIF($A$2:$A$3000, N1057) + COUNTIF($A$2:$A$3000, O1057)</f>
        <v>2</v>
      </c>
      <c r="Q1057" s="16" t="str">
        <f aca="false">IF(OR(B1057=-1,I1057=0, P1057&lt;&gt;2), "albhed_dummy", _xlfn.CONCAT("albhed ", RIGHT("  " &amp; K1057,2),", ", RIGHT("  " &amp; L1057,2), ", " ,"""",H1057,""", ", """",N1057,""", ","""",O1057,""""," ; ", A1057))</f>
        <v>albhed 11,  4, "쪼", "뽀", "쩌" ; 뻑</v>
      </c>
    </row>
    <row r="1058" customFormat="false" ht="17.9" hidden="false" customHeight="true" outlineLevel="0" collapsed="false">
      <c r="A1058" s="16" t="s">
        <v>1926</v>
      </c>
      <c r="B1058" s="16" t="n">
        <f aca="false">IF(_xlfn.UNICODE(A1058)&lt;44032,-1,_xlfn.UNICODE(A1058)-44032)</f>
        <v>4820</v>
      </c>
      <c r="C1058" s="16" t="n">
        <f aca="false">IF(B1058=-1,-1,INT((B1058/28)/21))</f>
        <v>8</v>
      </c>
      <c r="D1058" s="16" t="n">
        <f aca="false">IF(B1058=-1, -1, MOD(INT(B1058/28),21))</f>
        <v>4</v>
      </c>
      <c r="E1058" s="16" t="n">
        <f aca="false">IF(B1058=-1, -1, VLOOKUP(MOD(B1058,28), $T$24:$U$52,2))</f>
        <v>4</v>
      </c>
      <c r="F1058" s="16" t="n">
        <f aca="false">IF($B1058=-1, -1, VLOOKUP(C1058,$T$1:$V$20, 2))</f>
        <v>13</v>
      </c>
      <c r="G1058" s="16" t="n">
        <f aca="false">IF($B1058=-1, -1, VLOOKUP(D1058,$Y$1:$Z$22,2))</f>
        <v>8</v>
      </c>
      <c r="H1058" s="16" t="str">
        <f aca="false">_xlfn.UNICHAR(((F1058*21)+G1058)*28+44032)</f>
        <v>쪼</v>
      </c>
      <c r="I1058" s="16" t="n">
        <f aca="false">IF(B1058=-1, 1, COUNTIF($A$2:$A$3000, H1058))</f>
        <v>1</v>
      </c>
      <c r="J1058" s="10" t="str">
        <f aca="false">_xlfn.CONCAT(A1058, ",",H1058,",",I1058)</f>
        <v>뻔,쪼,1</v>
      </c>
      <c r="K1058" s="16" t="n">
        <f aca="false">IF(B1058=-1,-1,VLOOKUP(C1058,$T$1:$V$20,3))</f>
        <v>11</v>
      </c>
      <c r="L1058" s="16" t="n">
        <f aca="false">IF(B1058=-1,-1,VLOOKUP(D1058,$Y$1:$AA$22,3))</f>
        <v>4</v>
      </c>
      <c r="N1058" s="10" t="str">
        <f aca="false">_xlfn.UNICHAR(((C1058*21)+G1058)*28+44032)</f>
        <v>뽀</v>
      </c>
      <c r="O1058" s="10" t="str">
        <f aca="false">_xlfn.UNICHAR(((F1058*21)+D1058)*28+44032)</f>
        <v>쩌</v>
      </c>
      <c r="P1058" s="12" t="n">
        <f aca="false">COUNTIF($A$2:$A$3000, N1058) + COUNTIF($A$2:$A$3000, O1058)</f>
        <v>2</v>
      </c>
      <c r="Q1058" s="16" t="str">
        <f aca="false">IF(OR(B1058=-1,I1058=0, P1058&lt;&gt;2), "albhed_dummy", _xlfn.CONCAT("albhed ", RIGHT("  " &amp; K1058,2),", ", RIGHT("  " &amp; L1058,2), ", " ,"""",H1058,""", ", """",N1058,""", ","""",O1058,""""," ; ", A1058))</f>
        <v>albhed 11,  4, "쪼", "뽀", "쩌" ; 뻔</v>
      </c>
    </row>
    <row r="1059" customFormat="false" ht="17.9" hidden="false" customHeight="true" outlineLevel="0" collapsed="false">
      <c r="A1059" s="16" t="s">
        <v>1927</v>
      </c>
      <c r="B1059" s="16" t="n">
        <f aca="false">IF(_xlfn.UNICODE(A1059)&lt;44032,-1,_xlfn.UNICODE(A1059)-44032)</f>
        <v>4823</v>
      </c>
      <c r="C1059" s="16" t="n">
        <f aca="false">IF(B1059=-1,-1,INT((B1059/28)/21))</f>
        <v>8</v>
      </c>
      <c r="D1059" s="16" t="n">
        <f aca="false">IF(B1059=-1, -1, MOD(INT(B1059/28),21))</f>
        <v>4</v>
      </c>
      <c r="E1059" s="16" t="n">
        <f aca="false">IF(B1059=-1, -1, VLOOKUP(MOD(B1059,28), $T$24:$U$52,2))</f>
        <v>19</v>
      </c>
      <c r="F1059" s="16" t="n">
        <f aca="false">IF($B1059=-1, -1, VLOOKUP(C1059,$T$1:$V$20, 2))</f>
        <v>13</v>
      </c>
      <c r="G1059" s="16" t="n">
        <f aca="false">IF($B1059=-1, -1, VLOOKUP(D1059,$Y$1:$Z$22,2))</f>
        <v>8</v>
      </c>
      <c r="H1059" s="16" t="str">
        <f aca="false">_xlfn.UNICHAR(((F1059*21)+G1059)*28+44032)</f>
        <v>쪼</v>
      </c>
      <c r="I1059" s="16" t="n">
        <f aca="false">IF(B1059=-1, 1, COUNTIF($A$2:$A$3000, H1059))</f>
        <v>1</v>
      </c>
      <c r="J1059" s="10" t="str">
        <f aca="false">_xlfn.CONCAT(A1059, ",",H1059,",",I1059)</f>
        <v>뻗,쪼,1</v>
      </c>
      <c r="K1059" s="16" t="n">
        <f aca="false">IF(B1059=-1,-1,VLOOKUP(C1059,$T$1:$V$20,3))</f>
        <v>11</v>
      </c>
      <c r="L1059" s="16" t="n">
        <f aca="false">IF(B1059=-1,-1,VLOOKUP(D1059,$Y$1:$AA$22,3))</f>
        <v>4</v>
      </c>
      <c r="N1059" s="10" t="str">
        <f aca="false">_xlfn.UNICHAR(((C1059*21)+G1059)*28+44032)</f>
        <v>뽀</v>
      </c>
      <c r="O1059" s="10" t="str">
        <f aca="false">_xlfn.UNICHAR(((F1059*21)+D1059)*28+44032)</f>
        <v>쩌</v>
      </c>
      <c r="P1059" s="12" t="n">
        <f aca="false">COUNTIF($A$2:$A$3000, N1059) + COUNTIF($A$2:$A$3000, O1059)</f>
        <v>2</v>
      </c>
      <c r="Q1059" s="16" t="str">
        <f aca="false">IF(OR(B1059=-1,I1059=0, P1059&lt;&gt;2), "albhed_dummy", _xlfn.CONCAT("albhed ", RIGHT("  " &amp; K1059,2),", ", RIGHT("  " &amp; L1059,2), ", " ,"""",H1059,""", ", """",N1059,""", ","""",O1059,""""," ; ", A1059))</f>
        <v>albhed 11,  4, "쪼", "뽀", "쩌" ; 뻗</v>
      </c>
    </row>
    <row r="1060" customFormat="false" ht="17.9" hidden="false" customHeight="true" outlineLevel="0" collapsed="false">
      <c r="A1060" s="16" t="s">
        <v>1928</v>
      </c>
      <c r="B1060" s="16" t="n">
        <f aca="false">IF(_xlfn.UNICODE(A1060)&lt;44032,-1,_xlfn.UNICODE(A1060)-44032)</f>
        <v>4824</v>
      </c>
      <c r="C1060" s="16" t="n">
        <f aca="false">IF(B1060=-1,-1,INT((B1060/28)/21))</f>
        <v>8</v>
      </c>
      <c r="D1060" s="16" t="n">
        <f aca="false">IF(B1060=-1, -1, MOD(INT(B1060/28),21))</f>
        <v>4</v>
      </c>
      <c r="E1060" s="16" t="n">
        <f aca="false">IF(B1060=-1, -1, VLOOKUP(MOD(B1060,28), $T$24:$U$52,2))</f>
        <v>8</v>
      </c>
      <c r="F1060" s="16" t="n">
        <f aca="false">IF($B1060=-1, -1, VLOOKUP(C1060,$T$1:$V$20, 2))</f>
        <v>13</v>
      </c>
      <c r="G1060" s="16" t="n">
        <f aca="false">IF($B1060=-1, -1, VLOOKUP(D1060,$Y$1:$Z$22,2))</f>
        <v>8</v>
      </c>
      <c r="H1060" s="16" t="str">
        <f aca="false">_xlfn.UNICHAR(((F1060*21)+G1060)*28+44032)</f>
        <v>쪼</v>
      </c>
      <c r="I1060" s="16" t="n">
        <f aca="false">IF(B1060=-1, 1, COUNTIF($A$2:$A$3000, H1060))</f>
        <v>1</v>
      </c>
      <c r="J1060" s="10" t="str">
        <f aca="false">_xlfn.CONCAT(A1060, ",",H1060,",",I1060)</f>
        <v>뻘,쪼,1</v>
      </c>
      <c r="K1060" s="16" t="n">
        <f aca="false">IF(B1060=-1,-1,VLOOKUP(C1060,$T$1:$V$20,3))</f>
        <v>11</v>
      </c>
      <c r="L1060" s="16" t="n">
        <f aca="false">IF(B1060=-1,-1,VLOOKUP(D1060,$Y$1:$AA$22,3))</f>
        <v>4</v>
      </c>
      <c r="N1060" s="10" t="str">
        <f aca="false">_xlfn.UNICHAR(((C1060*21)+G1060)*28+44032)</f>
        <v>뽀</v>
      </c>
      <c r="O1060" s="10" t="str">
        <f aca="false">_xlfn.UNICHAR(((F1060*21)+D1060)*28+44032)</f>
        <v>쩌</v>
      </c>
      <c r="P1060" s="12" t="n">
        <f aca="false">COUNTIF($A$2:$A$3000, N1060) + COUNTIF($A$2:$A$3000, O1060)</f>
        <v>2</v>
      </c>
      <c r="Q1060" s="16" t="str">
        <f aca="false">IF(OR(B1060=-1,I1060=0, P1060&lt;&gt;2), "albhed_dummy", _xlfn.CONCAT("albhed ", RIGHT("  " &amp; K1060,2),", ", RIGHT("  " &amp; L1060,2), ", " ,"""",H1060,""", ", """",N1060,""", ","""",O1060,""""," ; ", A1060))</f>
        <v>albhed 11,  4, "쪼", "뽀", "쩌" ; 뻘</v>
      </c>
    </row>
    <row r="1061" customFormat="false" ht="17.9" hidden="false" customHeight="true" outlineLevel="0" collapsed="false">
      <c r="A1061" s="16" t="s">
        <v>1929</v>
      </c>
      <c r="B1061" s="16" t="n">
        <f aca="false">IF(_xlfn.UNICODE(A1061)&lt;44032,-1,_xlfn.UNICODE(A1061)-44032)</f>
        <v>4832</v>
      </c>
      <c r="C1061" s="16" t="n">
        <f aca="false">IF(B1061=-1,-1,INT((B1061/28)/21))</f>
        <v>8</v>
      </c>
      <c r="D1061" s="16" t="n">
        <f aca="false">IF(B1061=-1, -1, MOD(INT(B1061/28),21))</f>
        <v>4</v>
      </c>
      <c r="E1061" s="16" t="n">
        <f aca="false">IF(B1061=-1, -1, VLOOKUP(MOD(B1061,28), $T$24:$U$52,2))</f>
        <v>16</v>
      </c>
      <c r="F1061" s="16" t="n">
        <f aca="false">IF($B1061=-1, -1, VLOOKUP(C1061,$T$1:$V$20, 2))</f>
        <v>13</v>
      </c>
      <c r="G1061" s="16" t="n">
        <f aca="false">IF($B1061=-1, -1, VLOOKUP(D1061,$Y$1:$Z$22,2))</f>
        <v>8</v>
      </c>
      <c r="H1061" s="16" t="str">
        <f aca="false">_xlfn.UNICHAR(((F1061*21)+G1061)*28+44032)</f>
        <v>쪼</v>
      </c>
      <c r="I1061" s="16" t="n">
        <f aca="false">IF(B1061=-1, 1, COUNTIF($A$2:$A$3000, H1061))</f>
        <v>1</v>
      </c>
      <c r="J1061" s="10" t="str">
        <f aca="false">_xlfn.CONCAT(A1061, ",",H1061,",",I1061)</f>
        <v>뻠,쪼,1</v>
      </c>
      <c r="K1061" s="16" t="n">
        <f aca="false">IF(B1061=-1,-1,VLOOKUP(C1061,$T$1:$V$20,3))</f>
        <v>11</v>
      </c>
      <c r="L1061" s="16" t="n">
        <f aca="false">IF(B1061=-1,-1,VLOOKUP(D1061,$Y$1:$AA$22,3))</f>
        <v>4</v>
      </c>
      <c r="N1061" s="10" t="str">
        <f aca="false">_xlfn.UNICHAR(((C1061*21)+G1061)*28+44032)</f>
        <v>뽀</v>
      </c>
      <c r="O1061" s="10" t="str">
        <f aca="false">_xlfn.UNICHAR(((F1061*21)+D1061)*28+44032)</f>
        <v>쩌</v>
      </c>
      <c r="P1061" s="12" t="n">
        <f aca="false">COUNTIF($A$2:$A$3000, N1061) + COUNTIF($A$2:$A$3000, O1061)</f>
        <v>2</v>
      </c>
      <c r="Q1061" s="16" t="str">
        <f aca="false">IF(OR(B1061=-1,I1061=0, P1061&lt;&gt;2), "albhed_dummy", _xlfn.CONCAT("albhed ", RIGHT("  " &amp; K1061,2),", ", RIGHT("  " &amp; L1061,2), ", " ,"""",H1061,""", ", """",N1061,""", ","""",O1061,""""," ; ", A1061))</f>
        <v>albhed 11,  4, "쪼", "뽀", "쩌" ; 뻠</v>
      </c>
    </row>
    <row r="1062" customFormat="false" ht="17.9" hidden="false" customHeight="true" outlineLevel="0" collapsed="false">
      <c r="A1062" s="16" t="s">
        <v>1930</v>
      </c>
      <c r="B1062" s="16" t="n">
        <f aca="false">IF(_xlfn.UNICODE(A1062)&lt;44032,-1,_xlfn.UNICODE(A1062)-44032)</f>
        <v>4835</v>
      </c>
      <c r="C1062" s="16" t="n">
        <f aca="false">IF(B1062=-1,-1,INT((B1062/28)/21))</f>
        <v>8</v>
      </c>
      <c r="D1062" s="16" t="n">
        <f aca="false">IF(B1062=-1, -1, MOD(INT(B1062/28),21))</f>
        <v>4</v>
      </c>
      <c r="E1062" s="16" t="n">
        <f aca="false">IF(B1062=-1, -1, VLOOKUP(MOD(B1062,28), $T$24:$U$52,2))</f>
        <v>19</v>
      </c>
      <c r="F1062" s="16" t="n">
        <f aca="false">IF($B1062=-1, -1, VLOOKUP(C1062,$T$1:$V$20, 2))</f>
        <v>13</v>
      </c>
      <c r="G1062" s="16" t="n">
        <f aca="false">IF($B1062=-1, -1, VLOOKUP(D1062,$Y$1:$Z$22,2))</f>
        <v>8</v>
      </c>
      <c r="H1062" s="16" t="str">
        <f aca="false">_xlfn.UNICHAR(((F1062*21)+G1062)*28+44032)</f>
        <v>쪼</v>
      </c>
      <c r="I1062" s="16" t="n">
        <f aca="false">IF(B1062=-1, 1, COUNTIF($A$2:$A$3000, H1062))</f>
        <v>1</v>
      </c>
      <c r="J1062" s="10" t="str">
        <f aca="false">_xlfn.CONCAT(A1062, ",",H1062,",",I1062)</f>
        <v>뻣,쪼,1</v>
      </c>
      <c r="K1062" s="16" t="n">
        <f aca="false">IF(B1062=-1,-1,VLOOKUP(C1062,$T$1:$V$20,3))</f>
        <v>11</v>
      </c>
      <c r="L1062" s="16" t="n">
        <f aca="false">IF(B1062=-1,-1,VLOOKUP(D1062,$Y$1:$AA$22,3))</f>
        <v>4</v>
      </c>
      <c r="N1062" s="10" t="str">
        <f aca="false">_xlfn.UNICHAR(((C1062*21)+G1062)*28+44032)</f>
        <v>뽀</v>
      </c>
      <c r="O1062" s="10" t="str">
        <f aca="false">_xlfn.UNICHAR(((F1062*21)+D1062)*28+44032)</f>
        <v>쩌</v>
      </c>
      <c r="P1062" s="12" t="n">
        <f aca="false">COUNTIF($A$2:$A$3000, N1062) + COUNTIF($A$2:$A$3000, O1062)</f>
        <v>2</v>
      </c>
      <c r="Q1062" s="16" t="str">
        <f aca="false">IF(OR(B1062=-1,I1062=0, P1062&lt;&gt;2), "albhed_dummy", _xlfn.CONCAT("albhed ", RIGHT("  " &amp; K1062,2),", ", RIGHT("  " &amp; L1062,2), ", " ,"""",H1062,""", ", """",N1062,""", ","""",O1062,""""," ; ", A1062))</f>
        <v>albhed 11,  4, "쪼", "뽀", "쩌" ; 뻣</v>
      </c>
    </row>
    <row r="1063" customFormat="false" ht="17.9" hidden="false" customHeight="true" outlineLevel="0" collapsed="false">
      <c r="A1063" s="16" t="s">
        <v>1931</v>
      </c>
      <c r="B1063" s="16" t="n">
        <f aca="false">IF(_xlfn.UNICODE(A1063)&lt;44032,-1,_xlfn.UNICODE(A1063)-44032)</f>
        <v>4836</v>
      </c>
      <c r="C1063" s="16" t="n">
        <f aca="false">IF(B1063=-1,-1,INT((B1063/28)/21))</f>
        <v>8</v>
      </c>
      <c r="D1063" s="16" t="n">
        <f aca="false">IF(B1063=-1, -1, MOD(INT(B1063/28),21))</f>
        <v>4</v>
      </c>
      <c r="E1063" s="16" t="n">
        <f aca="false">IF(B1063=-1, -1, VLOOKUP(MOD(B1063,28), $T$24:$U$52,2))</f>
        <v>19</v>
      </c>
      <c r="F1063" s="16" t="n">
        <f aca="false">IF($B1063=-1, -1, VLOOKUP(C1063,$T$1:$V$20, 2))</f>
        <v>13</v>
      </c>
      <c r="G1063" s="16" t="n">
        <f aca="false">IF($B1063=-1, -1, VLOOKUP(D1063,$Y$1:$Z$22,2))</f>
        <v>8</v>
      </c>
      <c r="H1063" s="16" t="str">
        <f aca="false">_xlfn.UNICHAR(((F1063*21)+G1063)*28+44032)</f>
        <v>쪼</v>
      </c>
      <c r="I1063" s="16" t="n">
        <f aca="false">IF(B1063=-1, 1, COUNTIF($A$2:$A$3000, H1063))</f>
        <v>1</v>
      </c>
      <c r="J1063" s="10" t="str">
        <f aca="false">_xlfn.CONCAT(A1063, ",",H1063,",",I1063)</f>
        <v>뻤,쪼,1</v>
      </c>
      <c r="K1063" s="16" t="n">
        <f aca="false">IF(B1063=-1,-1,VLOOKUP(C1063,$T$1:$V$20,3))</f>
        <v>11</v>
      </c>
      <c r="L1063" s="16" t="n">
        <f aca="false">IF(B1063=-1,-1,VLOOKUP(D1063,$Y$1:$AA$22,3))</f>
        <v>4</v>
      </c>
      <c r="N1063" s="10" t="str">
        <f aca="false">_xlfn.UNICHAR(((C1063*21)+G1063)*28+44032)</f>
        <v>뽀</v>
      </c>
      <c r="O1063" s="10" t="str">
        <f aca="false">_xlfn.UNICHAR(((F1063*21)+D1063)*28+44032)</f>
        <v>쩌</v>
      </c>
      <c r="P1063" s="12" t="n">
        <f aca="false">COUNTIF($A$2:$A$3000, N1063) + COUNTIF($A$2:$A$3000, O1063)</f>
        <v>2</v>
      </c>
      <c r="Q1063" s="16" t="str">
        <f aca="false">IF(OR(B1063=-1,I1063=0, P1063&lt;&gt;2), "albhed_dummy", _xlfn.CONCAT("albhed ", RIGHT("  " &amp; K1063,2),", ", RIGHT("  " &amp; L1063,2), ", " ,"""",H1063,""", ", """",N1063,""", ","""",O1063,""""," ; ", A1063))</f>
        <v>albhed 11,  4, "쪼", "뽀", "쩌" ; 뻤</v>
      </c>
    </row>
    <row r="1064" customFormat="false" ht="17.9" hidden="false" customHeight="true" outlineLevel="0" collapsed="false">
      <c r="A1064" s="16" t="s">
        <v>1932</v>
      </c>
      <c r="B1064" s="16" t="n">
        <f aca="false">IF(_xlfn.UNICODE(A1064)&lt;44032,-1,_xlfn.UNICODE(A1064)-44032)</f>
        <v>4837</v>
      </c>
      <c r="C1064" s="16" t="n">
        <f aca="false">IF(B1064=-1,-1,INT((B1064/28)/21))</f>
        <v>8</v>
      </c>
      <c r="D1064" s="16" t="n">
        <f aca="false">IF(B1064=-1, -1, MOD(INT(B1064/28),21))</f>
        <v>4</v>
      </c>
      <c r="E1064" s="16" t="n">
        <f aca="false">IF(B1064=-1, -1, VLOOKUP(MOD(B1064,28), $T$24:$U$52,2))</f>
        <v>21</v>
      </c>
      <c r="F1064" s="16" t="n">
        <f aca="false">IF($B1064=-1, -1, VLOOKUP(C1064,$T$1:$V$20, 2))</f>
        <v>13</v>
      </c>
      <c r="G1064" s="16" t="n">
        <f aca="false">IF($B1064=-1, -1, VLOOKUP(D1064,$Y$1:$Z$22,2))</f>
        <v>8</v>
      </c>
      <c r="H1064" s="16" t="str">
        <f aca="false">_xlfn.UNICHAR(((F1064*21)+G1064)*28+44032)</f>
        <v>쪼</v>
      </c>
      <c r="I1064" s="16" t="n">
        <f aca="false">IF(B1064=-1, 1, COUNTIF($A$2:$A$3000, H1064))</f>
        <v>1</v>
      </c>
      <c r="J1064" s="10" t="str">
        <f aca="false">_xlfn.CONCAT(A1064, ",",H1064,",",I1064)</f>
        <v>뻥,쪼,1</v>
      </c>
      <c r="K1064" s="16" t="n">
        <f aca="false">IF(B1064=-1,-1,VLOOKUP(C1064,$T$1:$V$20,3))</f>
        <v>11</v>
      </c>
      <c r="L1064" s="16" t="n">
        <f aca="false">IF(B1064=-1,-1,VLOOKUP(D1064,$Y$1:$AA$22,3))</f>
        <v>4</v>
      </c>
      <c r="N1064" s="10" t="str">
        <f aca="false">_xlfn.UNICHAR(((C1064*21)+G1064)*28+44032)</f>
        <v>뽀</v>
      </c>
      <c r="O1064" s="10" t="str">
        <f aca="false">_xlfn.UNICHAR(((F1064*21)+D1064)*28+44032)</f>
        <v>쩌</v>
      </c>
      <c r="P1064" s="12" t="n">
        <f aca="false">COUNTIF($A$2:$A$3000, N1064) + COUNTIF($A$2:$A$3000, O1064)</f>
        <v>2</v>
      </c>
      <c r="Q1064" s="16" t="str">
        <f aca="false">IF(OR(B1064=-1,I1064=0, P1064&lt;&gt;2), "albhed_dummy", _xlfn.CONCAT("albhed ", RIGHT("  " &amp; K1064,2),", ", RIGHT("  " &amp; L1064,2), ", " ,"""",H1064,""", ", """",N1064,""", ","""",O1064,""""," ; ", A1064))</f>
        <v>albhed 11,  4, "쪼", "뽀", "쩌" ; 뻥</v>
      </c>
    </row>
    <row r="1065" customFormat="false" ht="17.9" hidden="false" customHeight="true" outlineLevel="0" collapsed="false">
      <c r="A1065" s="16" t="s">
        <v>1933</v>
      </c>
      <c r="B1065" s="16" t="n">
        <f aca="false">IF(_xlfn.UNICODE(A1065)&lt;44032,-1,_xlfn.UNICODE(A1065)-44032)</f>
        <v>4844</v>
      </c>
      <c r="C1065" s="16" t="n">
        <f aca="false">IF(B1065=-1,-1,INT((B1065/28)/21))</f>
        <v>8</v>
      </c>
      <c r="D1065" s="16" t="n">
        <f aca="false">IF(B1065=-1, -1, MOD(INT(B1065/28),21))</f>
        <v>5</v>
      </c>
      <c r="E1065" s="16" t="n">
        <f aca="false">IF(B1065=-1, -1, VLOOKUP(MOD(B1065,28), $T$24:$U$52,2))</f>
        <v>0</v>
      </c>
      <c r="F1065" s="16" t="n">
        <f aca="false">IF($B1065=-1, -1, VLOOKUP(C1065,$T$1:$V$20, 2))</f>
        <v>13</v>
      </c>
      <c r="G1065" s="16" t="n">
        <f aca="false">IF($B1065=-1, -1, VLOOKUP(D1065,$Y$1:$Z$22,2))</f>
        <v>18</v>
      </c>
      <c r="H1065" s="16" t="str">
        <f aca="false">_xlfn.UNICHAR(((F1065*21)+G1065)*28+44032)</f>
        <v>쯔</v>
      </c>
      <c r="I1065" s="16" t="n">
        <f aca="false">IF(B1065=-1, 1, COUNTIF($A$2:$A$3000, H1065))</f>
        <v>1</v>
      </c>
      <c r="J1065" s="10" t="str">
        <f aca="false">_xlfn.CONCAT(A1065, ",",H1065,",",I1065)</f>
        <v>뻬,쯔,1</v>
      </c>
      <c r="K1065" s="16" t="n">
        <f aca="false">IF(B1065=-1,-1,VLOOKUP(C1065,$T$1:$V$20,3))</f>
        <v>11</v>
      </c>
      <c r="L1065" s="16" t="n">
        <f aca="false">IF(B1065=-1,-1,VLOOKUP(D1065,$Y$1:$AA$22,3))</f>
        <v>10</v>
      </c>
      <c r="N1065" s="10" t="str">
        <f aca="false">_xlfn.UNICHAR(((C1065*21)+G1065)*28+44032)</f>
        <v>쁘</v>
      </c>
      <c r="O1065" s="10" t="str">
        <f aca="false">_xlfn.UNICHAR(((F1065*21)+D1065)*28+44032)</f>
        <v>쩨</v>
      </c>
      <c r="P1065" s="12" t="n">
        <f aca="false">COUNTIF($A$2:$A$3000, N1065) + COUNTIF($A$2:$A$3000, O1065)</f>
        <v>2</v>
      </c>
      <c r="Q1065" s="16" t="str">
        <f aca="false">IF(OR(B1065=-1,I1065=0, P1065&lt;&gt;2), "albhed_dummy", _xlfn.CONCAT("albhed ", RIGHT("  " &amp; K1065,2),", ", RIGHT("  " &amp; L1065,2), ", " ,"""",H1065,""", ", """",N1065,""", ","""",O1065,""""," ; ", A1065))</f>
        <v>albhed 11, 10, "쯔", "쁘", "쩨" ; 뻬</v>
      </c>
    </row>
    <row r="1066" customFormat="false" ht="17.9" hidden="false" customHeight="true" outlineLevel="0" collapsed="false">
      <c r="A1066" s="16" t="s">
        <v>1934</v>
      </c>
      <c r="B1066" s="16" t="n">
        <f aca="false">IF(_xlfn.UNICODE(A1066)&lt;44032,-1,_xlfn.UNICODE(A1066)-44032)</f>
        <v>4865</v>
      </c>
      <c r="C1066" s="16" t="n">
        <f aca="false">IF(B1066=-1,-1,INT((B1066/28)/21))</f>
        <v>8</v>
      </c>
      <c r="D1066" s="16" t="n">
        <f aca="false">IF(B1066=-1, -1, MOD(INT(B1066/28),21))</f>
        <v>5</v>
      </c>
      <c r="E1066" s="16" t="n">
        <f aca="false">IF(B1066=-1, -1, VLOOKUP(MOD(B1066,28), $T$24:$U$52,2))</f>
        <v>21</v>
      </c>
      <c r="F1066" s="16" t="n">
        <f aca="false">IF($B1066=-1, -1, VLOOKUP(C1066,$T$1:$V$20, 2))</f>
        <v>13</v>
      </c>
      <c r="G1066" s="16" t="n">
        <f aca="false">IF($B1066=-1, -1, VLOOKUP(D1066,$Y$1:$Z$22,2))</f>
        <v>18</v>
      </c>
      <c r="H1066" s="16" t="str">
        <f aca="false">_xlfn.UNICHAR(((F1066*21)+G1066)*28+44032)</f>
        <v>쯔</v>
      </c>
      <c r="I1066" s="16" t="n">
        <f aca="false">IF(B1066=-1, 1, COUNTIF($A$2:$A$3000, H1066))</f>
        <v>1</v>
      </c>
      <c r="J1066" s="10" t="str">
        <f aca="false">_xlfn.CONCAT(A1066, ",",H1066,",",I1066)</f>
        <v>뼁,쯔,1</v>
      </c>
      <c r="K1066" s="16" t="n">
        <f aca="false">IF(B1066=-1,-1,VLOOKUP(C1066,$T$1:$V$20,3))</f>
        <v>11</v>
      </c>
      <c r="L1066" s="16" t="n">
        <f aca="false">IF(B1066=-1,-1,VLOOKUP(D1066,$Y$1:$AA$22,3))</f>
        <v>10</v>
      </c>
      <c r="N1066" s="10" t="str">
        <f aca="false">_xlfn.UNICHAR(((C1066*21)+G1066)*28+44032)</f>
        <v>쁘</v>
      </c>
      <c r="O1066" s="10" t="str">
        <f aca="false">_xlfn.UNICHAR(((F1066*21)+D1066)*28+44032)</f>
        <v>쩨</v>
      </c>
      <c r="P1066" s="12" t="n">
        <f aca="false">COUNTIF($A$2:$A$3000, N1066) + COUNTIF($A$2:$A$3000, O1066)</f>
        <v>2</v>
      </c>
      <c r="Q1066" s="16" t="str">
        <f aca="false">IF(OR(B1066=-1,I1066=0, P1066&lt;&gt;2), "albhed_dummy", _xlfn.CONCAT("albhed ", RIGHT("  " &amp; K1066,2),", ", RIGHT("  " &amp; L1066,2), ", " ,"""",H1066,""", ", """",N1066,""", ","""",O1066,""""," ; ", A1066))</f>
        <v>albhed 11, 10, "쯔", "쁘", "쩨" ; 뼁</v>
      </c>
    </row>
    <row r="1067" customFormat="false" ht="17.9" hidden="false" customHeight="true" outlineLevel="0" collapsed="false">
      <c r="A1067" s="16" t="s">
        <v>1935</v>
      </c>
      <c r="B1067" s="16" t="n">
        <f aca="false">IF(_xlfn.UNICODE(A1067)&lt;44032,-1,_xlfn.UNICODE(A1067)-44032)</f>
        <v>4872</v>
      </c>
      <c r="C1067" s="16" t="n">
        <f aca="false">IF(B1067=-1,-1,INT((B1067/28)/21))</f>
        <v>8</v>
      </c>
      <c r="D1067" s="16" t="n">
        <f aca="false">IF(B1067=-1, -1, MOD(INT(B1067/28),21))</f>
        <v>6</v>
      </c>
      <c r="E1067" s="16" t="n">
        <f aca="false">IF(B1067=-1, -1, VLOOKUP(MOD(B1067,28), $T$24:$U$52,2))</f>
        <v>0</v>
      </c>
      <c r="F1067" s="16" t="n">
        <f aca="false">IF($B1067=-1, -1, VLOOKUP(C1067,$T$1:$V$20, 2))</f>
        <v>13</v>
      </c>
      <c r="G1067" s="16" t="n">
        <f aca="false">IF($B1067=-1, -1, VLOOKUP(D1067,$Y$1:$Z$22,2))</f>
        <v>12</v>
      </c>
      <c r="H1067" s="16" t="str">
        <f aca="false">_xlfn.UNICHAR(((F1067*21)+G1067)*28+44032)</f>
        <v>쬬</v>
      </c>
      <c r="I1067" s="16" t="n">
        <f aca="false">IF(B1067=-1, 1, COUNTIF($A$2:$A$3000, H1067))</f>
        <v>0</v>
      </c>
      <c r="J1067" s="10" t="str">
        <f aca="false">_xlfn.CONCAT(A1067, ",",H1067,",",I1067)</f>
        <v>뼈,쬬,0</v>
      </c>
      <c r="K1067" s="16" t="n">
        <f aca="false">IF(B1067=-1,-1,VLOOKUP(C1067,$T$1:$V$20,3))</f>
        <v>11</v>
      </c>
      <c r="L1067" s="16" t="n">
        <f aca="false">IF(B1067=-1,-1,VLOOKUP(D1067,$Y$1:$AA$22,3))</f>
        <v>4</v>
      </c>
      <c r="N1067" s="10" t="str">
        <f aca="false">_xlfn.UNICHAR(((C1067*21)+G1067)*28+44032)</f>
        <v>뾰</v>
      </c>
      <c r="O1067" s="10" t="str">
        <f aca="false">_xlfn.UNICHAR(((F1067*21)+D1067)*28+44032)</f>
        <v>쪄</v>
      </c>
      <c r="P1067" s="12" t="n">
        <f aca="false">COUNTIF($A$2:$A$3000, N1067) + COUNTIF($A$2:$A$3000, O1067)</f>
        <v>2</v>
      </c>
      <c r="Q1067" s="16" t="str">
        <f aca="false">IF(OR(B1067=-1,I1067=0, P1067&lt;&gt;2), "albhed_dummy", _xlfn.CONCAT("albhed ", RIGHT("  " &amp; K1067,2),", ", RIGHT("  " &amp; L1067,2), ", " ,"""",H1067,""", ", """",N1067,""", ","""",O1067,""""," ; ", A1067))</f>
        <v>albhed_dummy</v>
      </c>
    </row>
    <row r="1068" customFormat="false" ht="17.9" hidden="false" customHeight="true" outlineLevel="0" collapsed="false">
      <c r="A1068" s="16" t="s">
        <v>1936</v>
      </c>
      <c r="B1068" s="16" t="n">
        <f aca="false">IF(_xlfn.UNICODE(A1068)&lt;44032,-1,_xlfn.UNICODE(A1068)-44032)</f>
        <v>4873</v>
      </c>
      <c r="C1068" s="16" t="n">
        <f aca="false">IF(B1068=-1,-1,INT((B1068/28)/21))</f>
        <v>8</v>
      </c>
      <c r="D1068" s="16" t="n">
        <f aca="false">IF(B1068=-1, -1, MOD(INT(B1068/28),21))</f>
        <v>6</v>
      </c>
      <c r="E1068" s="16" t="n">
        <f aca="false">IF(B1068=-1, -1, VLOOKUP(MOD(B1068,28), $T$24:$U$52,2))</f>
        <v>1</v>
      </c>
      <c r="F1068" s="16" t="n">
        <f aca="false">IF($B1068=-1, -1, VLOOKUP(C1068,$T$1:$V$20, 2))</f>
        <v>13</v>
      </c>
      <c r="G1068" s="16" t="n">
        <f aca="false">IF($B1068=-1, -1, VLOOKUP(D1068,$Y$1:$Z$22,2))</f>
        <v>12</v>
      </c>
      <c r="H1068" s="16" t="str">
        <f aca="false">_xlfn.UNICHAR(((F1068*21)+G1068)*28+44032)</f>
        <v>쬬</v>
      </c>
      <c r="I1068" s="16" t="n">
        <f aca="false">IF(B1068=-1, 1, COUNTIF($A$2:$A$3000, H1068))</f>
        <v>0</v>
      </c>
      <c r="J1068" s="10" t="str">
        <f aca="false">_xlfn.CONCAT(A1068, ",",H1068,",",I1068)</f>
        <v>뼉,쬬,0</v>
      </c>
      <c r="K1068" s="16" t="n">
        <f aca="false">IF(B1068=-1,-1,VLOOKUP(C1068,$T$1:$V$20,3))</f>
        <v>11</v>
      </c>
      <c r="L1068" s="16" t="n">
        <f aca="false">IF(B1068=-1,-1,VLOOKUP(D1068,$Y$1:$AA$22,3))</f>
        <v>4</v>
      </c>
      <c r="N1068" s="10" t="str">
        <f aca="false">_xlfn.UNICHAR(((C1068*21)+G1068)*28+44032)</f>
        <v>뾰</v>
      </c>
      <c r="O1068" s="10" t="str">
        <f aca="false">_xlfn.UNICHAR(((F1068*21)+D1068)*28+44032)</f>
        <v>쪄</v>
      </c>
      <c r="P1068" s="12" t="n">
        <f aca="false">COUNTIF($A$2:$A$3000, N1068) + COUNTIF($A$2:$A$3000, O1068)</f>
        <v>2</v>
      </c>
      <c r="Q1068" s="16" t="str">
        <f aca="false">IF(OR(B1068=-1,I1068=0, P1068&lt;&gt;2), "albhed_dummy", _xlfn.CONCAT("albhed ", RIGHT("  " &amp; K1068,2),", ", RIGHT("  " &amp; L1068,2), ", " ,"""",H1068,""", ", """",N1068,""", ","""",O1068,""""," ; ", A1068))</f>
        <v>albhed_dummy</v>
      </c>
    </row>
    <row r="1069" customFormat="false" ht="17.9" hidden="false" customHeight="true" outlineLevel="0" collapsed="false">
      <c r="A1069" s="16" t="s">
        <v>1937</v>
      </c>
      <c r="B1069" s="16" t="n">
        <f aca="false">IF(_xlfn.UNICODE(A1069)&lt;44032,-1,_xlfn.UNICODE(A1069)-44032)</f>
        <v>4888</v>
      </c>
      <c r="C1069" s="16" t="n">
        <f aca="false">IF(B1069=-1,-1,INT((B1069/28)/21))</f>
        <v>8</v>
      </c>
      <c r="D1069" s="16" t="n">
        <f aca="false">IF(B1069=-1, -1, MOD(INT(B1069/28),21))</f>
        <v>6</v>
      </c>
      <c r="E1069" s="16" t="n">
        <f aca="false">IF(B1069=-1, -1, VLOOKUP(MOD(B1069,28), $T$24:$U$52,2))</f>
        <v>16</v>
      </c>
      <c r="F1069" s="16" t="n">
        <f aca="false">IF($B1069=-1, -1, VLOOKUP(C1069,$T$1:$V$20, 2))</f>
        <v>13</v>
      </c>
      <c r="G1069" s="16" t="n">
        <f aca="false">IF($B1069=-1, -1, VLOOKUP(D1069,$Y$1:$Z$22,2))</f>
        <v>12</v>
      </c>
      <c r="H1069" s="16" t="str">
        <f aca="false">_xlfn.UNICHAR(((F1069*21)+G1069)*28+44032)</f>
        <v>쬬</v>
      </c>
      <c r="I1069" s="16" t="n">
        <f aca="false">IF(B1069=-1, 1, COUNTIF($A$2:$A$3000, H1069))</f>
        <v>0</v>
      </c>
      <c r="J1069" s="10" t="str">
        <f aca="false">_xlfn.CONCAT(A1069, ",",H1069,",",I1069)</f>
        <v>뼘,쬬,0</v>
      </c>
      <c r="K1069" s="16" t="n">
        <f aca="false">IF(B1069=-1,-1,VLOOKUP(C1069,$T$1:$V$20,3))</f>
        <v>11</v>
      </c>
      <c r="L1069" s="16" t="n">
        <f aca="false">IF(B1069=-1,-1,VLOOKUP(D1069,$Y$1:$AA$22,3))</f>
        <v>4</v>
      </c>
      <c r="N1069" s="10" t="str">
        <f aca="false">_xlfn.UNICHAR(((C1069*21)+G1069)*28+44032)</f>
        <v>뾰</v>
      </c>
      <c r="O1069" s="10" t="str">
        <f aca="false">_xlfn.UNICHAR(((F1069*21)+D1069)*28+44032)</f>
        <v>쪄</v>
      </c>
      <c r="P1069" s="12" t="n">
        <f aca="false">COUNTIF($A$2:$A$3000, N1069) + COUNTIF($A$2:$A$3000, O1069)</f>
        <v>2</v>
      </c>
      <c r="Q1069" s="16" t="str">
        <f aca="false">IF(OR(B1069=-1,I1069=0, P1069&lt;&gt;2), "albhed_dummy", _xlfn.CONCAT("albhed ", RIGHT("  " &amp; K1069,2),", ", RIGHT("  " &amp; L1069,2), ", " ,"""",H1069,""", ", """",N1069,""", ","""",O1069,""""," ; ", A1069))</f>
        <v>albhed_dummy</v>
      </c>
    </row>
    <row r="1070" customFormat="false" ht="17.9" hidden="false" customHeight="true" outlineLevel="0" collapsed="false">
      <c r="A1070" s="16" t="s">
        <v>1938</v>
      </c>
      <c r="B1070" s="16" t="n">
        <f aca="false">IF(_xlfn.UNICODE(A1070)&lt;44032,-1,_xlfn.UNICODE(A1070)-44032)</f>
        <v>4889</v>
      </c>
      <c r="C1070" s="16" t="n">
        <f aca="false">IF(B1070=-1,-1,INT((B1070/28)/21))</f>
        <v>8</v>
      </c>
      <c r="D1070" s="16" t="n">
        <f aca="false">IF(B1070=-1, -1, MOD(INT(B1070/28),21))</f>
        <v>6</v>
      </c>
      <c r="E1070" s="16" t="n">
        <f aca="false">IF(B1070=-1, -1, VLOOKUP(MOD(B1070,28), $T$24:$U$52,2))</f>
        <v>17</v>
      </c>
      <c r="F1070" s="16" t="n">
        <f aca="false">IF($B1070=-1, -1, VLOOKUP(C1070,$T$1:$V$20, 2))</f>
        <v>13</v>
      </c>
      <c r="G1070" s="16" t="n">
        <f aca="false">IF($B1070=-1, -1, VLOOKUP(D1070,$Y$1:$Z$22,2))</f>
        <v>12</v>
      </c>
      <c r="H1070" s="16" t="str">
        <f aca="false">_xlfn.UNICHAR(((F1070*21)+G1070)*28+44032)</f>
        <v>쬬</v>
      </c>
      <c r="I1070" s="16" t="n">
        <f aca="false">IF(B1070=-1, 1, COUNTIF($A$2:$A$3000, H1070))</f>
        <v>0</v>
      </c>
      <c r="J1070" s="10" t="str">
        <f aca="false">_xlfn.CONCAT(A1070, ",",H1070,",",I1070)</f>
        <v>뼙,쬬,0</v>
      </c>
      <c r="K1070" s="16" t="n">
        <f aca="false">IF(B1070=-1,-1,VLOOKUP(C1070,$T$1:$V$20,3))</f>
        <v>11</v>
      </c>
      <c r="L1070" s="16" t="n">
        <f aca="false">IF(B1070=-1,-1,VLOOKUP(D1070,$Y$1:$AA$22,3))</f>
        <v>4</v>
      </c>
      <c r="N1070" s="10" t="str">
        <f aca="false">_xlfn.UNICHAR(((C1070*21)+G1070)*28+44032)</f>
        <v>뾰</v>
      </c>
      <c r="O1070" s="10" t="str">
        <f aca="false">_xlfn.UNICHAR(((F1070*21)+D1070)*28+44032)</f>
        <v>쪄</v>
      </c>
      <c r="P1070" s="12" t="n">
        <f aca="false">COUNTIF($A$2:$A$3000, N1070) + COUNTIF($A$2:$A$3000, O1070)</f>
        <v>2</v>
      </c>
      <c r="Q1070" s="16" t="str">
        <f aca="false">IF(OR(B1070=-1,I1070=0, P1070&lt;&gt;2), "albhed_dummy", _xlfn.CONCAT("albhed ", RIGHT("  " &amp; K1070,2),", ", RIGHT("  " &amp; L1070,2), ", " ,"""",H1070,""", ", """",N1070,""", ","""",O1070,""""," ; ", A1070))</f>
        <v>albhed_dummy</v>
      </c>
    </row>
    <row r="1071" customFormat="false" ht="17.9" hidden="false" customHeight="true" outlineLevel="0" collapsed="false">
      <c r="A1071" s="16" t="s">
        <v>1939</v>
      </c>
      <c r="B1071" s="16" t="n">
        <f aca="false">IF(_xlfn.UNICODE(A1071)&lt;44032,-1,_xlfn.UNICODE(A1071)-44032)</f>
        <v>4891</v>
      </c>
      <c r="C1071" s="16" t="n">
        <f aca="false">IF(B1071=-1,-1,INT((B1071/28)/21))</f>
        <v>8</v>
      </c>
      <c r="D1071" s="16" t="n">
        <f aca="false">IF(B1071=-1, -1, MOD(INT(B1071/28),21))</f>
        <v>6</v>
      </c>
      <c r="E1071" s="16" t="n">
        <f aca="false">IF(B1071=-1, -1, VLOOKUP(MOD(B1071,28), $T$24:$U$52,2))</f>
        <v>19</v>
      </c>
      <c r="F1071" s="16" t="n">
        <f aca="false">IF($B1071=-1, -1, VLOOKUP(C1071,$T$1:$V$20, 2))</f>
        <v>13</v>
      </c>
      <c r="G1071" s="16" t="n">
        <f aca="false">IF($B1071=-1, -1, VLOOKUP(D1071,$Y$1:$Z$22,2))</f>
        <v>12</v>
      </c>
      <c r="H1071" s="16" t="str">
        <f aca="false">_xlfn.UNICHAR(((F1071*21)+G1071)*28+44032)</f>
        <v>쬬</v>
      </c>
      <c r="I1071" s="16" t="n">
        <f aca="false">IF(B1071=-1, 1, COUNTIF($A$2:$A$3000, H1071))</f>
        <v>0</v>
      </c>
      <c r="J1071" s="10" t="str">
        <f aca="false">_xlfn.CONCAT(A1071, ",",H1071,",",I1071)</f>
        <v>뼛,쬬,0</v>
      </c>
      <c r="K1071" s="16" t="n">
        <f aca="false">IF(B1071=-1,-1,VLOOKUP(C1071,$T$1:$V$20,3))</f>
        <v>11</v>
      </c>
      <c r="L1071" s="16" t="n">
        <f aca="false">IF(B1071=-1,-1,VLOOKUP(D1071,$Y$1:$AA$22,3))</f>
        <v>4</v>
      </c>
      <c r="N1071" s="10" t="str">
        <f aca="false">_xlfn.UNICHAR(((C1071*21)+G1071)*28+44032)</f>
        <v>뾰</v>
      </c>
      <c r="O1071" s="10" t="str">
        <f aca="false">_xlfn.UNICHAR(((F1071*21)+D1071)*28+44032)</f>
        <v>쪄</v>
      </c>
      <c r="P1071" s="12" t="n">
        <f aca="false">COUNTIF($A$2:$A$3000, N1071) + COUNTIF($A$2:$A$3000, O1071)</f>
        <v>2</v>
      </c>
      <c r="Q1071" s="16" t="str">
        <f aca="false">IF(OR(B1071=-1,I1071=0, P1071&lt;&gt;2), "albhed_dummy", _xlfn.CONCAT("albhed ", RIGHT("  " &amp; K1071,2),", ", RIGHT("  " &amp; L1071,2), ", " ,"""",H1071,""", ", """",N1071,""", ","""",O1071,""""," ; ", A1071))</f>
        <v>albhed_dummy</v>
      </c>
    </row>
    <row r="1072" customFormat="false" ht="17.9" hidden="false" customHeight="true" outlineLevel="0" collapsed="false">
      <c r="A1072" s="16" t="s">
        <v>1940</v>
      </c>
      <c r="B1072" s="16" t="n">
        <f aca="false">IF(_xlfn.UNICODE(A1072)&lt;44032,-1,_xlfn.UNICODE(A1072)-44032)</f>
        <v>4892</v>
      </c>
      <c r="C1072" s="16" t="n">
        <f aca="false">IF(B1072=-1,-1,INT((B1072/28)/21))</f>
        <v>8</v>
      </c>
      <c r="D1072" s="16" t="n">
        <f aca="false">IF(B1072=-1, -1, MOD(INT(B1072/28),21))</f>
        <v>6</v>
      </c>
      <c r="E1072" s="16" t="n">
        <f aca="false">IF(B1072=-1, -1, VLOOKUP(MOD(B1072,28), $T$24:$U$52,2))</f>
        <v>19</v>
      </c>
      <c r="F1072" s="16" t="n">
        <f aca="false">IF($B1072=-1, -1, VLOOKUP(C1072,$T$1:$V$20, 2))</f>
        <v>13</v>
      </c>
      <c r="G1072" s="16" t="n">
        <f aca="false">IF($B1072=-1, -1, VLOOKUP(D1072,$Y$1:$Z$22,2))</f>
        <v>12</v>
      </c>
      <c r="H1072" s="16" t="str">
        <f aca="false">_xlfn.UNICHAR(((F1072*21)+G1072)*28+44032)</f>
        <v>쬬</v>
      </c>
      <c r="I1072" s="16" t="n">
        <f aca="false">IF(B1072=-1, 1, COUNTIF($A$2:$A$3000, H1072))</f>
        <v>0</v>
      </c>
      <c r="J1072" s="10" t="str">
        <f aca="false">_xlfn.CONCAT(A1072, ",",H1072,",",I1072)</f>
        <v>뼜,쬬,0</v>
      </c>
      <c r="K1072" s="16" t="n">
        <f aca="false">IF(B1072=-1,-1,VLOOKUP(C1072,$T$1:$V$20,3))</f>
        <v>11</v>
      </c>
      <c r="L1072" s="16" t="n">
        <f aca="false">IF(B1072=-1,-1,VLOOKUP(D1072,$Y$1:$AA$22,3))</f>
        <v>4</v>
      </c>
      <c r="N1072" s="10" t="str">
        <f aca="false">_xlfn.UNICHAR(((C1072*21)+G1072)*28+44032)</f>
        <v>뾰</v>
      </c>
      <c r="O1072" s="10" t="str">
        <f aca="false">_xlfn.UNICHAR(((F1072*21)+D1072)*28+44032)</f>
        <v>쪄</v>
      </c>
      <c r="P1072" s="12" t="n">
        <f aca="false">COUNTIF($A$2:$A$3000, N1072) + COUNTIF($A$2:$A$3000, O1072)</f>
        <v>2</v>
      </c>
      <c r="Q1072" s="16" t="str">
        <f aca="false">IF(OR(B1072=-1,I1072=0, P1072&lt;&gt;2), "albhed_dummy", _xlfn.CONCAT("albhed ", RIGHT("  " &amp; K1072,2),", ", RIGHT("  " &amp; L1072,2), ", " ,"""",H1072,""", ", """",N1072,""", ","""",O1072,""""," ; ", A1072))</f>
        <v>albhed_dummy</v>
      </c>
    </row>
    <row r="1073" customFormat="false" ht="17.9" hidden="false" customHeight="true" outlineLevel="0" collapsed="false">
      <c r="A1073" s="16" t="s">
        <v>1941</v>
      </c>
      <c r="B1073" s="16" t="n">
        <f aca="false">IF(_xlfn.UNICODE(A1073)&lt;44032,-1,_xlfn.UNICODE(A1073)-44032)</f>
        <v>4893</v>
      </c>
      <c r="C1073" s="16" t="n">
        <f aca="false">IF(B1073=-1,-1,INT((B1073/28)/21))</f>
        <v>8</v>
      </c>
      <c r="D1073" s="16" t="n">
        <f aca="false">IF(B1073=-1, -1, MOD(INT(B1073/28),21))</f>
        <v>6</v>
      </c>
      <c r="E1073" s="16" t="n">
        <f aca="false">IF(B1073=-1, -1, VLOOKUP(MOD(B1073,28), $T$24:$U$52,2))</f>
        <v>21</v>
      </c>
      <c r="F1073" s="16" t="n">
        <f aca="false">IF($B1073=-1, -1, VLOOKUP(C1073,$T$1:$V$20, 2))</f>
        <v>13</v>
      </c>
      <c r="G1073" s="16" t="n">
        <f aca="false">IF($B1073=-1, -1, VLOOKUP(D1073,$Y$1:$Z$22,2))</f>
        <v>12</v>
      </c>
      <c r="H1073" s="16" t="str">
        <f aca="false">_xlfn.UNICHAR(((F1073*21)+G1073)*28+44032)</f>
        <v>쬬</v>
      </c>
      <c r="I1073" s="16" t="n">
        <f aca="false">IF(B1073=-1, 1, COUNTIF($A$2:$A$3000, H1073))</f>
        <v>0</v>
      </c>
      <c r="J1073" s="10" t="str">
        <f aca="false">_xlfn.CONCAT(A1073, ",",H1073,",",I1073)</f>
        <v>뼝,쬬,0</v>
      </c>
      <c r="K1073" s="16" t="n">
        <f aca="false">IF(B1073=-1,-1,VLOOKUP(C1073,$T$1:$V$20,3))</f>
        <v>11</v>
      </c>
      <c r="L1073" s="16" t="n">
        <f aca="false">IF(B1073=-1,-1,VLOOKUP(D1073,$Y$1:$AA$22,3))</f>
        <v>4</v>
      </c>
      <c r="N1073" s="10" t="str">
        <f aca="false">_xlfn.UNICHAR(((C1073*21)+G1073)*28+44032)</f>
        <v>뾰</v>
      </c>
      <c r="O1073" s="10" t="str">
        <f aca="false">_xlfn.UNICHAR(((F1073*21)+D1073)*28+44032)</f>
        <v>쪄</v>
      </c>
      <c r="P1073" s="12" t="n">
        <f aca="false">COUNTIF($A$2:$A$3000, N1073) + COUNTIF($A$2:$A$3000, O1073)</f>
        <v>2</v>
      </c>
      <c r="Q1073" s="16" t="str">
        <f aca="false">IF(OR(B1073=-1,I1073=0, P1073&lt;&gt;2), "albhed_dummy", _xlfn.CONCAT("albhed ", RIGHT("  " &amp; K1073,2),", ", RIGHT("  " &amp; L1073,2), ", " ,"""",H1073,""", ", """",N1073,""", ","""",O1073,""""," ; ", A1073))</f>
        <v>albhed_dummy</v>
      </c>
    </row>
    <row r="1074" customFormat="false" ht="17.9" hidden="false" customHeight="true" outlineLevel="0" collapsed="false">
      <c r="A1074" s="16" t="s">
        <v>1942</v>
      </c>
      <c r="B1074" s="16" t="n">
        <f aca="false">IF(_xlfn.UNICODE(A1074)&lt;44032,-1,_xlfn.UNICODE(A1074)-44032)</f>
        <v>4928</v>
      </c>
      <c r="C1074" s="16" t="n">
        <f aca="false">IF(B1074=-1,-1,INT((B1074/28)/21))</f>
        <v>8</v>
      </c>
      <c r="D1074" s="16" t="n">
        <f aca="false">IF(B1074=-1, -1, MOD(INT(B1074/28),21))</f>
        <v>8</v>
      </c>
      <c r="E1074" s="16" t="n">
        <f aca="false">IF(B1074=-1, -1, VLOOKUP(MOD(B1074,28), $T$24:$U$52,2))</f>
        <v>0</v>
      </c>
      <c r="F1074" s="16" t="n">
        <f aca="false">IF($B1074=-1, -1, VLOOKUP(C1074,$T$1:$V$20, 2))</f>
        <v>13</v>
      </c>
      <c r="G1074" s="16" t="n">
        <f aca="false">IF($B1074=-1, -1, VLOOKUP(D1074,$Y$1:$Z$22,2))</f>
        <v>4</v>
      </c>
      <c r="H1074" s="16" t="str">
        <f aca="false">_xlfn.UNICHAR(((F1074*21)+G1074)*28+44032)</f>
        <v>쩌</v>
      </c>
      <c r="I1074" s="16" t="n">
        <f aca="false">IF(B1074=-1, 1, COUNTIF($A$2:$A$3000, H1074))</f>
        <v>1</v>
      </c>
      <c r="J1074" s="10" t="str">
        <f aca="false">_xlfn.CONCAT(A1074, ",",H1074,",",I1074)</f>
        <v>뽀,쩌,1</v>
      </c>
      <c r="K1074" s="16" t="n">
        <f aca="false">IF(B1074=-1,-1,VLOOKUP(C1074,$T$1:$V$20,3))</f>
        <v>11</v>
      </c>
      <c r="L1074" s="16" t="n">
        <f aca="false">IF(B1074=-1,-1,VLOOKUP(D1074,$Y$1:$AA$22,3))</f>
        <v>8</v>
      </c>
      <c r="N1074" s="10" t="str">
        <f aca="false">_xlfn.UNICHAR(((C1074*21)+G1074)*28+44032)</f>
        <v>뻐</v>
      </c>
      <c r="O1074" s="10" t="str">
        <f aca="false">_xlfn.UNICHAR(((F1074*21)+D1074)*28+44032)</f>
        <v>쪼</v>
      </c>
      <c r="P1074" s="12" t="n">
        <f aca="false">COUNTIF($A$2:$A$3000, N1074) + COUNTIF($A$2:$A$3000, O1074)</f>
        <v>2</v>
      </c>
      <c r="Q1074" s="16" t="str">
        <f aca="false">IF(OR(B1074=-1,I1074=0, P1074&lt;&gt;2), "albhed_dummy", _xlfn.CONCAT("albhed ", RIGHT("  " &amp; K1074,2),", ", RIGHT("  " &amp; L1074,2), ", " ,"""",H1074,""", ", """",N1074,""", ","""",O1074,""""," ; ", A1074))</f>
        <v>albhed 11,  8, "쩌", "뻐", "쪼" ; 뽀</v>
      </c>
    </row>
    <row r="1075" customFormat="false" ht="17.9" hidden="false" customHeight="true" outlineLevel="0" collapsed="false">
      <c r="A1075" s="16" t="s">
        <v>1943</v>
      </c>
      <c r="B1075" s="16" t="n">
        <f aca="false">IF(_xlfn.UNICODE(A1075)&lt;44032,-1,_xlfn.UNICODE(A1075)-44032)</f>
        <v>4929</v>
      </c>
      <c r="C1075" s="16" t="n">
        <f aca="false">IF(B1075=-1,-1,INT((B1075/28)/21))</f>
        <v>8</v>
      </c>
      <c r="D1075" s="16" t="n">
        <f aca="false">IF(B1075=-1, -1, MOD(INT(B1075/28),21))</f>
        <v>8</v>
      </c>
      <c r="E1075" s="16" t="n">
        <f aca="false">IF(B1075=-1, -1, VLOOKUP(MOD(B1075,28), $T$24:$U$52,2))</f>
        <v>1</v>
      </c>
      <c r="F1075" s="16" t="n">
        <f aca="false">IF($B1075=-1, -1, VLOOKUP(C1075,$T$1:$V$20, 2))</f>
        <v>13</v>
      </c>
      <c r="G1075" s="16" t="n">
        <f aca="false">IF($B1075=-1, -1, VLOOKUP(D1075,$Y$1:$Z$22,2))</f>
        <v>4</v>
      </c>
      <c r="H1075" s="16" t="str">
        <f aca="false">_xlfn.UNICHAR(((F1075*21)+G1075)*28+44032)</f>
        <v>쩌</v>
      </c>
      <c r="I1075" s="16" t="n">
        <f aca="false">IF(B1075=-1, 1, COUNTIF($A$2:$A$3000, H1075))</f>
        <v>1</v>
      </c>
      <c r="J1075" s="10" t="str">
        <f aca="false">_xlfn.CONCAT(A1075, ",",H1075,",",I1075)</f>
        <v>뽁,쩌,1</v>
      </c>
      <c r="K1075" s="16" t="n">
        <f aca="false">IF(B1075=-1,-1,VLOOKUP(C1075,$T$1:$V$20,3))</f>
        <v>11</v>
      </c>
      <c r="L1075" s="16" t="n">
        <f aca="false">IF(B1075=-1,-1,VLOOKUP(D1075,$Y$1:$AA$22,3))</f>
        <v>8</v>
      </c>
      <c r="N1075" s="10" t="str">
        <f aca="false">_xlfn.UNICHAR(((C1075*21)+G1075)*28+44032)</f>
        <v>뻐</v>
      </c>
      <c r="O1075" s="10" t="str">
        <f aca="false">_xlfn.UNICHAR(((F1075*21)+D1075)*28+44032)</f>
        <v>쪼</v>
      </c>
      <c r="P1075" s="12" t="n">
        <f aca="false">COUNTIF($A$2:$A$3000, N1075) + COUNTIF($A$2:$A$3000, O1075)</f>
        <v>2</v>
      </c>
      <c r="Q1075" s="16" t="str">
        <f aca="false">IF(OR(B1075=-1,I1075=0, P1075&lt;&gt;2), "albhed_dummy", _xlfn.CONCAT("albhed ", RIGHT("  " &amp; K1075,2),", ", RIGHT("  " &amp; L1075,2), ", " ,"""",H1075,""", ", """",N1075,""", ","""",O1075,""""," ; ", A1075))</f>
        <v>albhed 11,  8, "쩌", "뻐", "쪼" ; 뽁</v>
      </c>
    </row>
    <row r="1076" customFormat="false" ht="17.9" hidden="false" customHeight="true" outlineLevel="0" collapsed="false">
      <c r="A1076" s="16" t="s">
        <v>1944</v>
      </c>
      <c r="B1076" s="16" t="n">
        <f aca="false">IF(_xlfn.UNICODE(A1076)&lt;44032,-1,_xlfn.UNICODE(A1076)-44032)</f>
        <v>4932</v>
      </c>
      <c r="C1076" s="16" t="n">
        <f aca="false">IF(B1076=-1,-1,INT((B1076/28)/21))</f>
        <v>8</v>
      </c>
      <c r="D1076" s="16" t="n">
        <f aca="false">IF(B1076=-1, -1, MOD(INT(B1076/28),21))</f>
        <v>8</v>
      </c>
      <c r="E1076" s="16" t="n">
        <f aca="false">IF(B1076=-1, -1, VLOOKUP(MOD(B1076,28), $T$24:$U$52,2))</f>
        <v>4</v>
      </c>
      <c r="F1076" s="16" t="n">
        <f aca="false">IF($B1076=-1, -1, VLOOKUP(C1076,$T$1:$V$20, 2))</f>
        <v>13</v>
      </c>
      <c r="G1076" s="16" t="n">
        <f aca="false">IF($B1076=-1, -1, VLOOKUP(D1076,$Y$1:$Z$22,2))</f>
        <v>4</v>
      </c>
      <c r="H1076" s="16" t="str">
        <f aca="false">_xlfn.UNICHAR(((F1076*21)+G1076)*28+44032)</f>
        <v>쩌</v>
      </c>
      <c r="I1076" s="16" t="n">
        <f aca="false">IF(B1076=-1, 1, COUNTIF($A$2:$A$3000, H1076))</f>
        <v>1</v>
      </c>
      <c r="J1076" s="10" t="str">
        <f aca="false">_xlfn.CONCAT(A1076, ",",H1076,",",I1076)</f>
        <v>뽄,쩌,1</v>
      </c>
      <c r="K1076" s="16" t="n">
        <f aca="false">IF(B1076=-1,-1,VLOOKUP(C1076,$T$1:$V$20,3))</f>
        <v>11</v>
      </c>
      <c r="L1076" s="16" t="n">
        <f aca="false">IF(B1076=-1,-1,VLOOKUP(D1076,$Y$1:$AA$22,3))</f>
        <v>8</v>
      </c>
      <c r="N1076" s="10" t="str">
        <f aca="false">_xlfn.UNICHAR(((C1076*21)+G1076)*28+44032)</f>
        <v>뻐</v>
      </c>
      <c r="O1076" s="10" t="str">
        <f aca="false">_xlfn.UNICHAR(((F1076*21)+D1076)*28+44032)</f>
        <v>쪼</v>
      </c>
      <c r="P1076" s="12" t="n">
        <f aca="false">COUNTIF($A$2:$A$3000, N1076) + COUNTIF($A$2:$A$3000, O1076)</f>
        <v>2</v>
      </c>
      <c r="Q1076" s="16" t="str">
        <f aca="false">IF(OR(B1076=-1,I1076=0, P1076&lt;&gt;2), "albhed_dummy", _xlfn.CONCAT("albhed ", RIGHT("  " &amp; K1076,2),", ", RIGHT("  " &amp; L1076,2), ", " ,"""",H1076,""", ", """",N1076,""", ","""",O1076,""""," ; ", A1076))</f>
        <v>albhed 11,  8, "쩌", "뻐", "쪼" ; 뽄</v>
      </c>
    </row>
    <row r="1077" customFormat="false" ht="17.9" hidden="false" customHeight="true" outlineLevel="0" collapsed="false">
      <c r="A1077" s="16" t="s">
        <v>1945</v>
      </c>
      <c r="B1077" s="16" t="n">
        <f aca="false">IF(_xlfn.UNICODE(A1077)&lt;44032,-1,_xlfn.UNICODE(A1077)-44032)</f>
        <v>4936</v>
      </c>
      <c r="C1077" s="16" t="n">
        <f aca="false">IF(B1077=-1,-1,INT((B1077/28)/21))</f>
        <v>8</v>
      </c>
      <c r="D1077" s="16" t="n">
        <f aca="false">IF(B1077=-1, -1, MOD(INT(B1077/28),21))</f>
        <v>8</v>
      </c>
      <c r="E1077" s="16" t="n">
        <f aca="false">IF(B1077=-1, -1, VLOOKUP(MOD(B1077,28), $T$24:$U$52,2))</f>
        <v>8</v>
      </c>
      <c r="F1077" s="16" t="n">
        <f aca="false">IF($B1077=-1, -1, VLOOKUP(C1077,$T$1:$V$20, 2))</f>
        <v>13</v>
      </c>
      <c r="G1077" s="16" t="n">
        <f aca="false">IF($B1077=-1, -1, VLOOKUP(D1077,$Y$1:$Z$22,2))</f>
        <v>4</v>
      </c>
      <c r="H1077" s="16" t="str">
        <f aca="false">_xlfn.UNICHAR(((F1077*21)+G1077)*28+44032)</f>
        <v>쩌</v>
      </c>
      <c r="I1077" s="16" t="n">
        <f aca="false">IF(B1077=-1, 1, COUNTIF($A$2:$A$3000, H1077))</f>
        <v>1</v>
      </c>
      <c r="J1077" s="10" t="str">
        <f aca="false">_xlfn.CONCAT(A1077, ",",H1077,",",I1077)</f>
        <v>뽈,쩌,1</v>
      </c>
      <c r="K1077" s="16" t="n">
        <f aca="false">IF(B1077=-1,-1,VLOOKUP(C1077,$T$1:$V$20,3))</f>
        <v>11</v>
      </c>
      <c r="L1077" s="16" t="n">
        <f aca="false">IF(B1077=-1,-1,VLOOKUP(D1077,$Y$1:$AA$22,3))</f>
        <v>8</v>
      </c>
      <c r="N1077" s="10" t="str">
        <f aca="false">_xlfn.UNICHAR(((C1077*21)+G1077)*28+44032)</f>
        <v>뻐</v>
      </c>
      <c r="O1077" s="10" t="str">
        <f aca="false">_xlfn.UNICHAR(((F1077*21)+D1077)*28+44032)</f>
        <v>쪼</v>
      </c>
      <c r="P1077" s="12" t="n">
        <f aca="false">COUNTIF($A$2:$A$3000, N1077) + COUNTIF($A$2:$A$3000, O1077)</f>
        <v>2</v>
      </c>
      <c r="Q1077" s="16" t="str">
        <f aca="false">IF(OR(B1077=-1,I1077=0, P1077&lt;&gt;2), "albhed_dummy", _xlfn.CONCAT("albhed ", RIGHT("  " &amp; K1077,2),", ", RIGHT("  " &amp; L1077,2), ", " ,"""",H1077,""", ", """",N1077,""", ","""",O1077,""""," ; ", A1077))</f>
        <v>albhed 11,  8, "쩌", "뻐", "쪼" ; 뽈</v>
      </c>
    </row>
    <row r="1078" customFormat="false" ht="17.9" hidden="false" customHeight="true" outlineLevel="0" collapsed="false">
      <c r="A1078" s="16" t="s">
        <v>1946</v>
      </c>
      <c r="B1078" s="16" t="n">
        <f aca="false">IF(_xlfn.UNICODE(A1078)&lt;44032,-1,_xlfn.UNICODE(A1078)-44032)</f>
        <v>4944</v>
      </c>
      <c r="C1078" s="16" t="n">
        <f aca="false">IF(B1078=-1,-1,INT((B1078/28)/21))</f>
        <v>8</v>
      </c>
      <c r="D1078" s="16" t="n">
        <f aca="false">IF(B1078=-1, -1, MOD(INT(B1078/28),21))</f>
        <v>8</v>
      </c>
      <c r="E1078" s="16" t="n">
        <f aca="false">IF(B1078=-1, -1, VLOOKUP(MOD(B1078,28), $T$24:$U$52,2))</f>
        <v>16</v>
      </c>
      <c r="F1078" s="16" t="n">
        <f aca="false">IF($B1078=-1, -1, VLOOKUP(C1078,$T$1:$V$20, 2))</f>
        <v>13</v>
      </c>
      <c r="G1078" s="16" t="n">
        <f aca="false">IF($B1078=-1, -1, VLOOKUP(D1078,$Y$1:$Z$22,2))</f>
        <v>4</v>
      </c>
      <c r="H1078" s="16" t="str">
        <f aca="false">_xlfn.UNICHAR(((F1078*21)+G1078)*28+44032)</f>
        <v>쩌</v>
      </c>
      <c r="I1078" s="16" t="n">
        <f aca="false">IF(B1078=-1, 1, COUNTIF($A$2:$A$3000, H1078))</f>
        <v>1</v>
      </c>
      <c r="J1078" s="10" t="str">
        <f aca="false">_xlfn.CONCAT(A1078, ",",H1078,",",I1078)</f>
        <v>뽐,쩌,1</v>
      </c>
      <c r="K1078" s="16" t="n">
        <f aca="false">IF(B1078=-1,-1,VLOOKUP(C1078,$T$1:$V$20,3))</f>
        <v>11</v>
      </c>
      <c r="L1078" s="16" t="n">
        <f aca="false">IF(B1078=-1,-1,VLOOKUP(D1078,$Y$1:$AA$22,3))</f>
        <v>8</v>
      </c>
      <c r="N1078" s="10" t="str">
        <f aca="false">_xlfn.UNICHAR(((C1078*21)+G1078)*28+44032)</f>
        <v>뻐</v>
      </c>
      <c r="O1078" s="10" t="str">
        <f aca="false">_xlfn.UNICHAR(((F1078*21)+D1078)*28+44032)</f>
        <v>쪼</v>
      </c>
      <c r="P1078" s="12" t="n">
        <f aca="false">COUNTIF($A$2:$A$3000, N1078) + COUNTIF($A$2:$A$3000, O1078)</f>
        <v>2</v>
      </c>
      <c r="Q1078" s="16" t="str">
        <f aca="false">IF(OR(B1078=-1,I1078=0, P1078&lt;&gt;2), "albhed_dummy", _xlfn.CONCAT("albhed ", RIGHT("  " &amp; K1078,2),", ", RIGHT("  " &amp; L1078,2), ", " ,"""",H1078,""", ", """",N1078,""", ","""",O1078,""""," ; ", A1078))</f>
        <v>albhed 11,  8, "쩌", "뻐", "쪼" ; 뽐</v>
      </c>
    </row>
    <row r="1079" customFormat="false" ht="17.9" hidden="false" customHeight="true" outlineLevel="0" collapsed="false">
      <c r="A1079" s="16" t="s">
        <v>1947</v>
      </c>
      <c r="B1079" s="16" t="n">
        <f aca="false">IF(_xlfn.UNICODE(A1079)&lt;44032,-1,_xlfn.UNICODE(A1079)-44032)</f>
        <v>4945</v>
      </c>
      <c r="C1079" s="16" t="n">
        <f aca="false">IF(B1079=-1,-1,INT((B1079/28)/21))</f>
        <v>8</v>
      </c>
      <c r="D1079" s="16" t="n">
        <f aca="false">IF(B1079=-1, -1, MOD(INT(B1079/28),21))</f>
        <v>8</v>
      </c>
      <c r="E1079" s="16" t="n">
        <f aca="false">IF(B1079=-1, -1, VLOOKUP(MOD(B1079,28), $T$24:$U$52,2))</f>
        <v>17</v>
      </c>
      <c r="F1079" s="16" t="n">
        <f aca="false">IF($B1079=-1, -1, VLOOKUP(C1079,$T$1:$V$20, 2))</f>
        <v>13</v>
      </c>
      <c r="G1079" s="16" t="n">
        <f aca="false">IF($B1079=-1, -1, VLOOKUP(D1079,$Y$1:$Z$22,2))</f>
        <v>4</v>
      </c>
      <c r="H1079" s="16" t="str">
        <f aca="false">_xlfn.UNICHAR(((F1079*21)+G1079)*28+44032)</f>
        <v>쩌</v>
      </c>
      <c r="I1079" s="16" t="n">
        <f aca="false">IF(B1079=-1, 1, COUNTIF($A$2:$A$3000, H1079))</f>
        <v>1</v>
      </c>
      <c r="J1079" s="10" t="str">
        <f aca="false">_xlfn.CONCAT(A1079, ",",H1079,",",I1079)</f>
        <v>뽑,쩌,1</v>
      </c>
      <c r="K1079" s="16" t="n">
        <f aca="false">IF(B1079=-1,-1,VLOOKUP(C1079,$T$1:$V$20,3))</f>
        <v>11</v>
      </c>
      <c r="L1079" s="16" t="n">
        <f aca="false">IF(B1079=-1,-1,VLOOKUP(D1079,$Y$1:$AA$22,3))</f>
        <v>8</v>
      </c>
      <c r="N1079" s="10" t="str">
        <f aca="false">_xlfn.UNICHAR(((C1079*21)+G1079)*28+44032)</f>
        <v>뻐</v>
      </c>
      <c r="O1079" s="10" t="str">
        <f aca="false">_xlfn.UNICHAR(((F1079*21)+D1079)*28+44032)</f>
        <v>쪼</v>
      </c>
      <c r="P1079" s="12" t="n">
        <f aca="false">COUNTIF($A$2:$A$3000, N1079) + COUNTIF($A$2:$A$3000, O1079)</f>
        <v>2</v>
      </c>
      <c r="Q1079" s="16" t="str">
        <f aca="false">IF(OR(B1079=-1,I1079=0, P1079&lt;&gt;2), "albhed_dummy", _xlfn.CONCAT("albhed ", RIGHT("  " &amp; K1079,2),", ", RIGHT("  " &amp; L1079,2), ", " ,"""",H1079,""", ", """",N1079,""", ","""",O1079,""""," ; ", A1079))</f>
        <v>albhed 11,  8, "쩌", "뻐", "쪼" ; 뽑</v>
      </c>
    </row>
    <row r="1080" customFormat="false" ht="17.9" hidden="false" customHeight="true" outlineLevel="0" collapsed="false">
      <c r="A1080" s="16" t="s">
        <v>1948</v>
      </c>
      <c r="B1080" s="16" t="n">
        <f aca="false">IF(_xlfn.UNICODE(A1080)&lt;44032,-1,_xlfn.UNICODE(A1080)-44032)</f>
        <v>4949</v>
      </c>
      <c r="C1080" s="16" t="n">
        <f aca="false">IF(B1080=-1,-1,INT((B1080/28)/21))</f>
        <v>8</v>
      </c>
      <c r="D1080" s="16" t="n">
        <f aca="false">IF(B1080=-1, -1, MOD(INT(B1080/28),21))</f>
        <v>8</v>
      </c>
      <c r="E1080" s="16" t="n">
        <f aca="false">IF(B1080=-1, -1, VLOOKUP(MOD(B1080,28), $T$24:$U$52,2))</f>
        <v>21</v>
      </c>
      <c r="F1080" s="16" t="n">
        <f aca="false">IF($B1080=-1, -1, VLOOKUP(C1080,$T$1:$V$20, 2))</f>
        <v>13</v>
      </c>
      <c r="G1080" s="16" t="n">
        <f aca="false">IF($B1080=-1, -1, VLOOKUP(D1080,$Y$1:$Z$22,2))</f>
        <v>4</v>
      </c>
      <c r="H1080" s="16" t="str">
        <f aca="false">_xlfn.UNICHAR(((F1080*21)+G1080)*28+44032)</f>
        <v>쩌</v>
      </c>
      <c r="I1080" s="16" t="n">
        <f aca="false">IF(B1080=-1, 1, COUNTIF($A$2:$A$3000, H1080))</f>
        <v>1</v>
      </c>
      <c r="J1080" s="10" t="str">
        <f aca="false">_xlfn.CONCAT(A1080, ",",H1080,",",I1080)</f>
        <v>뽕,쩌,1</v>
      </c>
      <c r="K1080" s="16" t="n">
        <f aca="false">IF(B1080=-1,-1,VLOOKUP(C1080,$T$1:$V$20,3))</f>
        <v>11</v>
      </c>
      <c r="L1080" s="16" t="n">
        <f aca="false">IF(B1080=-1,-1,VLOOKUP(D1080,$Y$1:$AA$22,3))</f>
        <v>8</v>
      </c>
      <c r="N1080" s="10" t="str">
        <f aca="false">_xlfn.UNICHAR(((C1080*21)+G1080)*28+44032)</f>
        <v>뻐</v>
      </c>
      <c r="O1080" s="10" t="str">
        <f aca="false">_xlfn.UNICHAR(((F1080*21)+D1080)*28+44032)</f>
        <v>쪼</v>
      </c>
      <c r="P1080" s="12" t="n">
        <f aca="false">COUNTIF($A$2:$A$3000, N1080) + COUNTIF($A$2:$A$3000, O1080)</f>
        <v>2</v>
      </c>
      <c r="Q1080" s="16" t="str">
        <f aca="false">IF(OR(B1080=-1,I1080=0, P1080&lt;&gt;2), "albhed_dummy", _xlfn.CONCAT("albhed ", RIGHT("  " &amp; K1080,2),", ", RIGHT("  " &amp; L1080,2), ", " ,"""",H1080,""", ", """",N1080,""", ","""",O1080,""""," ; ", A1080))</f>
        <v>albhed 11,  8, "쩌", "뻐", "쪼" ; 뽕</v>
      </c>
    </row>
    <row r="1081" customFormat="false" ht="17.9" hidden="false" customHeight="true" outlineLevel="0" collapsed="false">
      <c r="A1081" s="16" t="s">
        <v>1949</v>
      </c>
      <c r="B1081" s="16" t="n">
        <f aca="false">IF(_xlfn.UNICODE(A1081)&lt;44032,-1,_xlfn.UNICODE(A1081)-44032)</f>
        <v>5012</v>
      </c>
      <c r="C1081" s="16" t="n">
        <f aca="false">IF(B1081=-1,-1,INT((B1081/28)/21))</f>
        <v>8</v>
      </c>
      <c r="D1081" s="16" t="n">
        <f aca="false">IF(B1081=-1, -1, MOD(INT(B1081/28),21))</f>
        <v>11</v>
      </c>
      <c r="E1081" s="16" t="n">
        <f aca="false">IF(B1081=-1, -1, VLOOKUP(MOD(B1081,28), $T$24:$U$52,2))</f>
        <v>0</v>
      </c>
      <c r="F1081" s="16" t="n">
        <f aca="false">IF($B1081=-1, -1, VLOOKUP(C1081,$T$1:$V$20, 2))</f>
        <v>13</v>
      </c>
      <c r="G1081" s="16" t="n">
        <f aca="false">IF($B1081=-1, -1, VLOOKUP(D1081,$Y$1:$Z$22,2))</f>
        <v>20</v>
      </c>
      <c r="H1081" s="16" t="str">
        <f aca="false">_xlfn.UNICHAR(((F1081*21)+G1081)*28+44032)</f>
        <v>찌</v>
      </c>
      <c r="I1081" s="16" t="n">
        <f aca="false">IF(B1081=-1, 1, COUNTIF($A$2:$A$3000, H1081))</f>
        <v>1</v>
      </c>
      <c r="J1081" s="10" t="str">
        <f aca="false">_xlfn.CONCAT(A1081, ",",H1081,",",I1081)</f>
        <v>뾔,찌,1</v>
      </c>
      <c r="K1081" s="16" t="n">
        <f aca="false">IF(B1081=-1,-1,VLOOKUP(C1081,$T$1:$V$20,3))</f>
        <v>11</v>
      </c>
      <c r="L1081" s="16" t="n">
        <f aca="false">IF(B1081=-1,-1,VLOOKUP(D1081,$Y$1:$AA$22,3))</f>
        <v>22</v>
      </c>
      <c r="N1081" s="10" t="str">
        <f aca="false">_xlfn.UNICHAR(((C1081*21)+G1081)*28+44032)</f>
        <v>삐</v>
      </c>
      <c r="O1081" s="10" t="str">
        <f aca="false">_xlfn.UNICHAR(((F1081*21)+D1081)*28+44032)</f>
        <v>쬐</v>
      </c>
      <c r="P1081" s="12" t="n">
        <f aca="false">COUNTIF($A$2:$A$3000, N1081) + COUNTIF($A$2:$A$3000, O1081)</f>
        <v>2</v>
      </c>
      <c r="Q1081" s="16" t="str">
        <f aca="false">IF(OR(B1081=-1,I1081=0, P1081&lt;&gt;2), "albhed_dummy", _xlfn.CONCAT("albhed ", RIGHT("  " &amp; K1081,2),", ", RIGHT("  " &amp; L1081,2), ", " ,"""",H1081,""", ", """",N1081,""", ","""",O1081,""""," ; ", A1081))</f>
        <v>albhed 11, 22, "찌", "삐", "쬐" ; 뾔</v>
      </c>
    </row>
    <row r="1082" customFormat="false" ht="17.9" hidden="false" customHeight="true" outlineLevel="0" collapsed="false">
      <c r="A1082" s="16" t="s">
        <v>1950</v>
      </c>
      <c r="B1082" s="16" t="n">
        <f aca="false">IF(_xlfn.UNICODE(A1082)&lt;44032,-1,_xlfn.UNICODE(A1082)-44032)</f>
        <v>5040</v>
      </c>
      <c r="C1082" s="16" t="n">
        <f aca="false">IF(B1082=-1,-1,INT((B1082/28)/21))</f>
        <v>8</v>
      </c>
      <c r="D1082" s="16" t="n">
        <f aca="false">IF(B1082=-1, -1, MOD(INT(B1082/28),21))</f>
        <v>12</v>
      </c>
      <c r="E1082" s="16" t="n">
        <f aca="false">IF(B1082=-1, -1, VLOOKUP(MOD(B1082,28), $T$24:$U$52,2))</f>
        <v>0</v>
      </c>
      <c r="F1082" s="16" t="n">
        <f aca="false">IF($B1082=-1, -1, VLOOKUP(C1082,$T$1:$V$20, 2))</f>
        <v>13</v>
      </c>
      <c r="G1082" s="16" t="n">
        <f aca="false">IF($B1082=-1, -1, VLOOKUP(D1082,$Y$1:$Z$22,2))</f>
        <v>6</v>
      </c>
      <c r="H1082" s="16" t="str">
        <f aca="false">_xlfn.UNICHAR(((F1082*21)+G1082)*28+44032)</f>
        <v>쪄</v>
      </c>
      <c r="I1082" s="16" t="n">
        <f aca="false">IF(B1082=-1, 1, COUNTIF($A$2:$A$3000, H1082))</f>
        <v>1</v>
      </c>
      <c r="J1082" s="10" t="str">
        <f aca="false">_xlfn.CONCAT(A1082, ",",H1082,",",I1082)</f>
        <v>뾰,쪄,1</v>
      </c>
      <c r="K1082" s="16" t="n">
        <f aca="false">IF(B1082=-1,-1,VLOOKUP(C1082,$T$1:$V$20,3))</f>
        <v>11</v>
      </c>
      <c r="L1082" s="16" t="n">
        <f aca="false">IF(B1082=-1,-1,VLOOKUP(D1082,$Y$1:$AA$22,3))</f>
        <v>8</v>
      </c>
      <c r="N1082" s="10" t="str">
        <f aca="false">_xlfn.UNICHAR(((C1082*21)+G1082)*28+44032)</f>
        <v>뼈</v>
      </c>
      <c r="O1082" s="10" t="str">
        <f aca="false">_xlfn.UNICHAR(((F1082*21)+D1082)*28+44032)</f>
        <v>쬬</v>
      </c>
      <c r="P1082" s="12" t="n">
        <f aca="false">COUNTIF($A$2:$A$3000, N1082) + COUNTIF($A$2:$A$3000, O1082)</f>
        <v>1</v>
      </c>
      <c r="Q1082" s="16" t="str">
        <f aca="false">IF(OR(B1082=-1,I1082=0, P1082&lt;&gt;2), "albhed_dummy", _xlfn.CONCAT("albhed ", RIGHT("  " &amp; K1082,2),", ", RIGHT("  " &amp; L1082,2), ", " ,"""",H1082,""", ", """",N1082,""", ","""",O1082,""""," ; ", A1082))</f>
        <v>albhed_dummy</v>
      </c>
    </row>
    <row r="1083" customFormat="false" ht="17.9" hidden="false" customHeight="true" outlineLevel="0" collapsed="false">
      <c r="A1083" s="16" t="s">
        <v>1951</v>
      </c>
      <c r="B1083" s="16" t="n">
        <f aca="false">IF(_xlfn.UNICODE(A1083)&lt;44032,-1,_xlfn.UNICODE(A1083)-44032)</f>
        <v>5061</v>
      </c>
      <c r="C1083" s="16" t="n">
        <f aca="false">IF(B1083=-1,-1,INT((B1083/28)/21))</f>
        <v>8</v>
      </c>
      <c r="D1083" s="16" t="n">
        <f aca="false">IF(B1083=-1, -1, MOD(INT(B1083/28),21))</f>
        <v>12</v>
      </c>
      <c r="E1083" s="16" t="n">
        <f aca="false">IF(B1083=-1, -1, VLOOKUP(MOD(B1083,28), $T$24:$U$52,2))</f>
        <v>21</v>
      </c>
      <c r="F1083" s="16" t="n">
        <f aca="false">IF($B1083=-1, -1, VLOOKUP(C1083,$T$1:$V$20, 2))</f>
        <v>13</v>
      </c>
      <c r="G1083" s="16" t="n">
        <f aca="false">IF($B1083=-1, -1, VLOOKUP(D1083,$Y$1:$Z$22,2))</f>
        <v>6</v>
      </c>
      <c r="H1083" s="16" t="str">
        <f aca="false">_xlfn.UNICHAR(((F1083*21)+G1083)*28+44032)</f>
        <v>쪄</v>
      </c>
      <c r="I1083" s="16" t="n">
        <f aca="false">IF(B1083=-1, 1, COUNTIF($A$2:$A$3000, H1083))</f>
        <v>1</v>
      </c>
      <c r="J1083" s="10" t="str">
        <f aca="false">_xlfn.CONCAT(A1083, ",",H1083,",",I1083)</f>
        <v>뿅,쪄,1</v>
      </c>
      <c r="K1083" s="16" t="n">
        <f aca="false">IF(B1083=-1,-1,VLOOKUP(C1083,$T$1:$V$20,3))</f>
        <v>11</v>
      </c>
      <c r="L1083" s="16" t="n">
        <f aca="false">IF(B1083=-1,-1,VLOOKUP(D1083,$Y$1:$AA$22,3))</f>
        <v>8</v>
      </c>
      <c r="N1083" s="10" t="str">
        <f aca="false">_xlfn.UNICHAR(((C1083*21)+G1083)*28+44032)</f>
        <v>뼈</v>
      </c>
      <c r="O1083" s="10" t="str">
        <f aca="false">_xlfn.UNICHAR(((F1083*21)+D1083)*28+44032)</f>
        <v>쬬</v>
      </c>
      <c r="P1083" s="12" t="n">
        <f aca="false">COUNTIF($A$2:$A$3000, N1083) + COUNTIF($A$2:$A$3000, O1083)</f>
        <v>1</v>
      </c>
      <c r="Q1083" s="16" t="str">
        <f aca="false">IF(OR(B1083=-1,I1083=0, P1083&lt;&gt;2), "albhed_dummy", _xlfn.CONCAT("albhed ", RIGHT("  " &amp; K1083,2),", ", RIGHT("  " &amp; L1083,2), ", " ,"""",H1083,""", ", """",N1083,""", ","""",O1083,""""," ; ", A1083))</f>
        <v>albhed_dummy</v>
      </c>
    </row>
    <row r="1084" customFormat="false" ht="17.9" hidden="false" customHeight="true" outlineLevel="0" collapsed="false">
      <c r="A1084" s="16" t="s">
        <v>1952</v>
      </c>
      <c r="B1084" s="16" t="n">
        <f aca="false">IF(_xlfn.UNICODE(A1084)&lt;44032,-1,_xlfn.UNICODE(A1084)-44032)</f>
        <v>5068</v>
      </c>
      <c r="C1084" s="16" t="n">
        <f aca="false">IF(B1084=-1,-1,INT((B1084/28)/21))</f>
        <v>8</v>
      </c>
      <c r="D1084" s="16" t="n">
        <f aca="false">IF(B1084=-1, -1, MOD(INT(B1084/28),21))</f>
        <v>13</v>
      </c>
      <c r="E1084" s="16" t="n">
        <f aca="false">IF(B1084=-1, -1, VLOOKUP(MOD(B1084,28), $T$24:$U$52,2))</f>
        <v>0</v>
      </c>
      <c r="F1084" s="16" t="n">
        <f aca="false">IF($B1084=-1, -1, VLOOKUP(C1084,$T$1:$V$20, 2))</f>
        <v>13</v>
      </c>
      <c r="G1084" s="16" t="n">
        <f aca="false">IF($B1084=-1, -1, VLOOKUP(D1084,$Y$1:$Z$22,2))</f>
        <v>0</v>
      </c>
      <c r="H1084" s="16" t="str">
        <f aca="false">_xlfn.UNICHAR(((F1084*21)+G1084)*28+44032)</f>
        <v>짜</v>
      </c>
      <c r="I1084" s="16" t="n">
        <f aca="false">IF(B1084=-1, 1, COUNTIF($A$2:$A$3000, H1084))</f>
        <v>1</v>
      </c>
      <c r="J1084" s="10" t="str">
        <f aca="false">_xlfn.CONCAT(A1084, ",",H1084,",",I1084)</f>
        <v>뿌,짜,1</v>
      </c>
      <c r="K1084" s="16" t="n">
        <f aca="false">IF(B1084=-1,-1,VLOOKUP(C1084,$T$1:$V$20,3))</f>
        <v>11</v>
      </c>
      <c r="L1084" s="16" t="n">
        <f aca="false">IF(B1084=-1,-1,VLOOKUP(D1084,$Y$1:$AA$22,3))</f>
        <v>6</v>
      </c>
      <c r="N1084" s="10" t="str">
        <f aca="false">_xlfn.UNICHAR(((C1084*21)+G1084)*28+44032)</f>
        <v>빠</v>
      </c>
      <c r="O1084" s="10" t="str">
        <f aca="false">_xlfn.UNICHAR(((F1084*21)+D1084)*28+44032)</f>
        <v>쭈</v>
      </c>
      <c r="P1084" s="12" t="n">
        <f aca="false">COUNTIF($A$2:$A$3000, N1084) + COUNTIF($A$2:$A$3000, O1084)</f>
        <v>2</v>
      </c>
      <c r="Q1084" s="16" t="str">
        <f aca="false">IF(OR(B1084=-1,I1084=0, P1084&lt;&gt;2), "albhed_dummy", _xlfn.CONCAT("albhed ", RIGHT("  " &amp; K1084,2),", ", RIGHT("  " &amp; L1084,2), ", " ,"""",H1084,""", ", """",N1084,""", ","""",O1084,""""," ; ", A1084))</f>
        <v>albhed 11,  6, "짜", "빠", "쭈" ; 뿌</v>
      </c>
    </row>
    <row r="1085" customFormat="false" ht="17.9" hidden="false" customHeight="true" outlineLevel="0" collapsed="false">
      <c r="A1085" s="16" t="s">
        <v>1953</v>
      </c>
      <c r="B1085" s="16" t="n">
        <f aca="false">IF(_xlfn.UNICODE(A1085)&lt;44032,-1,_xlfn.UNICODE(A1085)-44032)</f>
        <v>5069</v>
      </c>
      <c r="C1085" s="16" t="n">
        <f aca="false">IF(B1085=-1,-1,INT((B1085/28)/21))</f>
        <v>8</v>
      </c>
      <c r="D1085" s="16" t="n">
        <f aca="false">IF(B1085=-1, -1, MOD(INT(B1085/28),21))</f>
        <v>13</v>
      </c>
      <c r="E1085" s="16" t="n">
        <f aca="false">IF(B1085=-1, -1, VLOOKUP(MOD(B1085,28), $T$24:$U$52,2))</f>
        <v>1</v>
      </c>
      <c r="F1085" s="16" t="n">
        <f aca="false">IF($B1085=-1, -1, VLOOKUP(C1085,$T$1:$V$20, 2))</f>
        <v>13</v>
      </c>
      <c r="G1085" s="16" t="n">
        <f aca="false">IF($B1085=-1, -1, VLOOKUP(D1085,$Y$1:$Z$22,2))</f>
        <v>0</v>
      </c>
      <c r="H1085" s="16" t="str">
        <f aca="false">_xlfn.UNICHAR(((F1085*21)+G1085)*28+44032)</f>
        <v>짜</v>
      </c>
      <c r="I1085" s="16" t="n">
        <f aca="false">IF(B1085=-1, 1, COUNTIF($A$2:$A$3000, H1085))</f>
        <v>1</v>
      </c>
      <c r="J1085" s="10" t="str">
        <f aca="false">_xlfn.CONCAT(A1085, ",",H1085,",",I1085)</f>
        <v>뿍,짜,1</v>
      </c>
      <c r="K1085" s="16" t="n">
        <f aca="false">IF(B1085=-1,-1,VLOOKUP(C1085,$T$1:$V$20,3))</f>
        <v>11</v>
      </c>
      <c r="L1085" s="16" t="n">
        <f aca="false">IF(B1085=-1,-1,VLOOKUP(D1085,$Y$1:$AA$22,3))</f>
        <v>6</v>
      </c>
      <c r="N1085" s="10" t="str">
        <f aca="false">_xlfn.UNICHAR(((C1085*21)+G1085)*28+44032)</f>
        <v>빠</v>
      </c>
      <c r="O1085" s="10" t="str">
        <f aca="false">_xlfn.UNICHAR(((F1085*21)+D1085)*28+44032)</f>
        <v>쭈</v>
      </c>
      <c r="P1085" s="12" t="n">
        <f aca="false">COUNTIF($A$2:$A$3000, N1085) + COUNTIF($A$2:$A$3000, O1085)</f>
        <v>2</v>
      </c>
      <c r="Q1085" s="16" t="str">
        <f aca="false">IF(OR(B1085=-1,I1085=0, P1085&lt;&gt;2), "albhed_dummy", _xlfn.CONCAT("albhed ", RIGHT("  " &amp; K1085,2),", ", RIGHT("  " &amp; L1085,2), ", " ,"""",H1085,""", ", """",N1085,""", ","""",O1085,""""," ; ", A1085))</f>
        <v>albhed 11,  6, "짜", "빠", "쭈" ; 뿍</v>
      </c>
    </row>
    <row r="1086" customFormat="false" ht="17.9" hidden="false" customHeight="true" outlineLevel="0" collapsed="false">
      <c r="A1086" s="16" t="s">
        <v>1954</v>
      </c>
      <c r="B1086" s="16" t="n">
        <f aca="false">IF(_xlfn.UNICODE(A1086)&lt;44032,-1,_xlfn.UNICODE(A1086)-44032)</f>
        <v>5072</v>
      </c>
      <c r="C1086" s="16" t="n">
        <f aca="false">IF(B1086=-1,-1,INT((B1086/28)/21))</f>
        <v>8</v>
      </c>
      <c r="D1086" s="16" t="n">
        <f aca="false">IF(B1086=-1, -1, MOD(INT(B1086/28),21))</f>
        <v>13</v>
      </c>
      <c r="E1086" s="16" t="n">
        <f aca="false">IF(B1086=-1, -1, VLOOKUP(MOD(B1086,28), $T$24:$U$52,2))</f>
        <v>4</v>
      </c>
      <c r="F1086" s="16" t="n">
        <f aca="false">IF($B1086=-1, -1, VLOOKUP(C1086,$T$1:$V$20, 2))</f>
        <v>13</v>
      </c>
      <c r="G1086" s="16" t="n">
        <f aca="false">IF($B1086=-1, -1, VLOOKUP(D1086,$Y$1:$Z$22,2))</f>
        <v>0</v>
      </c>
      <c r="H1086" s="16" t="str">
        <f aca="false">_xlfn.UNICHAR(((F1086*21)+G1086)*28+44032)</f>
        <v>짜</v>
      </c>
      <c r="I1086" s="16" t="n">
        <f aca="false">IF(B1086=-1, 1, COUNTIF($A$2:$A$3000, H1086))</f>
        <v>1</v>
      </c>
      <c r="J1086" s="10" t="str">
        <f aca="false">_xlfn.CONCAT(A1086, ",",H1086,",",I1086)</f>
        <v>뿐,짜,1</v>
      </c>
      <c r="K1086" s="16" t="n">
        <f aca="false">IF(B1086=-1,-1,VLOOKUP(C1086,$T$1:$V$20,3))</f>
        <v>11</v>
      </c>
      <c r="L1086" s="16" t="n">
        <f aca="false">IF(B1086=-1,-1,VLOOKUP(D1086,$Y$1:$AA$22,3))</f>
        <v>6</v>
      </c>
      <c r="N1086" s="10" t="str">
        <f aca="false">_xlfn.UNICHAR(((C1086*21)+G1086)*28+44032)</f>
        <v>빠</v>
      </c>
      <c r="O1086" s="10" t="str">
        <f aca="false">_xlfn.UNICHAR(((F1086*21)+D1086)*28+44032)</f>
        <v>쭈</v>
      </c>
      <c r="P1086" s="12" t="n">
        <f aca="false">COUNTIF($A$2:$A$3000, N1086) + COUNTIF($A$2:$A$3000, O1086)</f>
        <v>2</v>
      </c>
      <c r="Q1086" s="16" t="str">
        <f aca="false">IF(OR(B1086=-1,I1086=0, P1086&lt;&gt;2), "albhed_dummy", _xlfn.CONCAT("albhed ", RIGHT("  " &amp; K1086,2),", ", RIGHT("  " &amp; L1086,2), ", " ,"""",H1086,""", ", """",N1086,""", ","""",O1086,""""," ; ", A1086))</f>
        <v>albhed 11,  6, "짜", "빠", "쭈" ; 뿐</v>
      </c>
    </row>
    <row r="1087" customFormat="false" ht="17.9" hidden="false" customHeight="true" outlineLevel="0" collapsed="false">
      <c r="A1087" s="16" t="s">
        <v>1955</v>
      </c>
      <c r="B1087" s="16" t="n">
        <f aca="false">IF(_xlfn.UNICODE(A1087)&lt;44032,-1,_xlfn.UNICODE(A1087)-44032)</f>
        <v>5076</v>
      </c>
      <c r="C1087" s="16" t="n">
        <f aca="false">IF(B1087=-1,-1,INT((B1087/28)/21))</f>
        <v>8</v>
      </c>
      <c r="D1087" s="16" t="n">
        <f aca="false">IF(B1087=-1, -1, MOD(INT(B1087/28),21))</f>
        <v>13</v>
      </c>
      <c r="E1087" s="16" t="n">
        <f aca="false">IF(B1087=-1, -1, VLOOKUP(MOD(B1087,28), $T$24:$U$52,2))</f>
        <v>8</v>
      </c>
      <c r="F1087" s="16" t="n">
        <f aca="false">IF($B1087=-1, -1, VLOOKUP(C1087,$T$1:$V$20, 2))</f>
        <v>13</v>
      </c>
      <c r="G1087" s="16" t="n">
        <f aca="false">IF($B1087=-1, -1, VLOOKUP(D1087,$Y$1:$Z$22,2))</f>
        <v>0</v>
      </c>
      <c r="H1087" s="16" t="str">
        <f aca="false">_xlfn.UNICHAR(((F1087*21)+G1087)*28+44032)</f>
        <v>짜</v>
      </c>
      <c r="I1087" s="16" t="n">
        <f aca="false">IF(B1087=-1, 1, COUNTIF($A$2:$A$3000, H1087))</f>
        <v>1</v>
      </c>
      <c r="J1087" s="10" t="str">
        <f aca="false">_xlfn.CONCAT(A1087, ",",H1087,",",I1087)</f>
        <v>뿔,짜,1</v>
      </c>
      <c r="K1087" s="16" t="n">
        <f aca="false">IF(B1087=-1,-1,VLOOKUP(C1087,$T$1:$V$20,3))</f>
        <v>11</v>
      </c>
      <c r="L1087" s="16" t="n">
        <f aca="false">IF(B1087=-1,-1,VLOOKUP(D1087,$Y$1:$AA$22,3))</f>
        <v>6</v>
      </c>
      <c r="N1087" s="10" t="str">
        <f aca="false">_xlfn.UNICHAR(((C1087*21)+G1087)*28+44032)</f>
        <v>빠</v>
      </c>
      <c r="O1087" s="10" t="str">
        <f aca="false">_xlfn.UNICHAR(((F1087*21)+D1087)*28+44032)</f>
        <v>쭈</v>
      </c>
      <c r="P1087" s="12" t="n">
        <f aca="false">COUNTIF($A$2:$A$3000, N1087) + COUNTIF($A$2:$A$3000, O1087)</f>
        <v>2</v>
      </c>
      <c r="Q1087" s="16" t="str">
        <f aca="false">IF(OR(B1087=-1,I1087=0, P1087&lt;&gt;2), "albhed_dummy", _xlfn.CONCAT("albhed ", RIGHT("  " &amp; K1087,2),", ", RIGHT("  " &amp; L1087,2), ", " ,"""",H1087,""", ", """",N1087,""", ","""",O1087,""""," ; ", A1087))</f>
        <v>albhed 11,  6, "짜", "빠", "쭈" ; 뿔</v>
      </c>
    </row>
    <row r="1088" customFormat="false" ht="17.9" hidden="false" customHeight="true" outlineLevel="0" collapsed="false">
      <c r="A1088" s="16" t="s">
        <v>1956</v>
      </c>
      <c r="B1088" s="16" t="n">
        <f aca="false">IF(_xlfn.UNICODE(A1088)&lt;44032,-1,_xlfn.UNICODE(A1088)-44032)</f>
        <v>5084</v>
      </c>
      <c r="C1088" s="16" t="n">
        <f aca="false">IF(B1088=-1,-1,INT((B1088/28)/21))</f>
        <v>8</v>
      </c>
      <c r="D1088" s="16" t="n">
        <f aca="false">IF(B1088=-1, -1, MOD(INT(B1088/28),21))</f>
        <v>13</v>
      </c>
      <c r="E1088" s="16" t="n">
        <f aca="false">IF(B1088=-1, -1, VLOOKUP(MOD(B1088,28), $T$24:$U$52,2))</f>
        <v>16</v>
      </c>
      <c r="F1088" s="16" t="n">
        <f aca="false">IF($B1088=-1, -1, VLOOKUP(C1088,$T$1:$V$20, 2))</f>
        <v>13</v>
      </c>
      <c r="G1088" s="16" t="n">
        <f aca="false">IF($B1088=-1, -1, VLOOKUP(D1088,$Y$1:$Z$22,2))</f>
        <v>0</v>
      </c>
      <c r="H1088" s="16" t="str">
        <f aca="false">_xlfn.UNICHAR(((F1088*21)+G1088)*28+44032)</f>
        <v>짜</v>
      </c>
      <c r="I1088" s="16" t="n">
        <f aca="false">IF(B1088=-1, 1, COUNTIF($A$2:$A$3000, H1088))</f>
        <v>1</v>
      </c>
      <c r="J1088" s="10" t="str">
        <f aca="false">_xlfn.CONCAT(A1088, ",",H1088,",",I1088)</f>
        <v>뿜,짜,1</v>
      </c>
      <c r="K1088" s="16" t="n">
        <f aca="false">IF(B1088=-1,-1,VLOOKUP(C1088,$T$1:$V$20,3))</f>
        <v>11</v>
      </c>
      <c r="L1088" s="16" t="n">
        <f aca="false">IF(B1088=-1,-1,VLOOKUP(D1088,$Y$1:$AA$22,3))</f>
        <v>6</v>
      </c>
      <c r="N1088" s="10" t="str">
        <f aca="false">_xlfn.UNICHAR(((C1088*21)+G1088)*28+44032)</f>
        <v>빠</v>
      </c>
      <c r="O1088" s="10" t="str">
        <f aca="false">_xlfn.UNICHAR(((F1088*21)+D1088)*28+44032)</f>
        <v>쭈</v>
      </c>
      <c r="P1088" s="12" t="n">
        <f aca="false">COUNTIF($A$2:$A$3000, N1088) + COUNTIF($A$2:$A$3000, O1088)</f>
        <v>2</v>
      </c>
      <c r="Q1088" s="16" t="str">
        <f aca="false">IF(OR(B1088=-1,I1088=0, P1088&lt;&gt;2), "albhed_dummy", _xlfn.CONCAT("albhed ", RIGHT("  " &amp; K1088,2),", ", RIGHT("  " &amp; L1088,2), ", " ,"""",H1088,""", ", """",N1088,""", ","""",O1088,""""," ; ", A1088))</f>
        <v>albhed 11,  6, "짜", "빠", "쭈" ; 뿜</v>
      </c>
    </row>
    <row r="1089" customFormat="false" ht="17.9" hidden="false" customHeight="true" outlineLevel="0" collapsed="false">
      <c r="A1089" s="16" t="s">
        <v>1957</v>
      </c>
      <c r="B1089" s="16" t="n">
        <f aca="false">IF(_xlfn.UNICODE(A1089)&lt;44032,-1,_xlfn.UNICODE(A1089)-44032)</f>
        <v>5087</v>
      </c>
      <c r="C1089" s="16" t="n">
        <f aca="false">IF(B1089=-1,-1,INT((B1089/28)/21))</f>
        <v>8</v>
      </c>
      <c r="D1089" s="16" t="n">
        <f aca="false">IF(B1089=-1, -1, MOD(INT(B1089/28),21))</f>
        <v>13</v>
      </c>
      <c r="E1089" s="16" t="n">
        <f aca="false">IF(B1089=-1, -1, VLOOKUP(MOD(B1089,28), $T$24:$U$52,2))</f>
        <v>19</v>
      </c>
      <c r="F1089" s="16" t="n">
        <f aca="false">IF($B1089=-1, -1, VLOOKUP(C1089,$T$1:$V$20, 2))</f>
        <v>13</v>
      </c>
      <c r="G1089" s="16" t="n">
        <f aca="false">IF($B1089=-1, -1, VLOOKUP(D1089,$Y$1:$Z$22,2))</f>
        <v>0</v>
      </c>
      <c r="H1089" s="16" t="str">
        <f aca="false">_xlfn.UNICHAR(((F1089*21)+G1089)*28+44032)</f>
        <v>짜</v>
      </c>
      <c r="I1089" s="16" t="n">
        <f aca="false">IF(B1089=-1, 1, COUNTIF($A$2:$A$3000, H1089))</f>
        <v>1</v>
      </c>
      <c r="J1089" s="10" t="str">
        <f aca="false">_xlfn.CONCAT(A1089, ",",H1089,",",I1089)</f>
        <v>뿟,짜,1</v>
      </c>
      <c r="K1089" s="16" t="n">
        <f aca="false">IF(B1089=-1,-1,VLOOKUP(C1089,$T$1:$V$20,3))</f>
        <v>11</v>
      </c>
      <c r="L1089" s="16" t="n">
        <f aca="false">IF(B1089=-1,-1,VLOOKUP(D1089,$Y$1:$AA$22,3))</f>
        <v>6</v>
      </c>
      <c r="N1089" s="10" t="str">
        <f aca="false">_xlfn.UNICHAR(((C1089*21)+G1089)*28+44032)</f>
        <v>빠</v>
      </c>
      <c r="O1089" s="10" t="str">
        <f aca="false">_xlfn.UNICHAR(((F1089*21)+D1089)*28+44032)</f>
        <v>쭈</v>
      </c>
      <c r="P1089" s="12" t="n">
        <f aca="false">COUNTIF($A$2:$A$3000, N1089) + COUNTIF($A$2:$A$3000, O1089)</f>
        <v>2</v>
      </c>
      <c r="Q1089" s="16" t="str">
        <f aca="false">IF(OR(B1089=-1,I1089=0, P1089&lt;&gt;2), "albhed_dummy", _xlfn.CONCAT("albhed ", RIGHT("  " &amp; K1089,2),", ", RIGHT("  " &amp; L1089,2), ", " ,"""",H1089,""", ", """",N1089,""", ","""",O1089,""""," ; ", A1089))</f>
        <v>albhed 11,  6, "짜", "빠", "쭈" ; 뿟</v>
      </c>
    </row>
    <row r="1090" customFormat="false" ht="17.9" hidden="false" customHeight="true" outlineLevel="0" collapsed="false">
      <c r="A1090" s="16" t="s">
        <v>1958</v>
      </c>
      <c r="B1090" s="16" t="n">
        <f aca="false">IF(_xlfn.UNICODE(A1090)&lt;44032,-1,_xlfn.UNICODE(A1090)-44032)</f>
        <v>5089</v>
      </c>
      <c r="C1090" s="16" t="n">
        <f aca="false">IF(B1090=-1,-1,INT((B1090/28)/21))</f>
        <v>8</v>
      </c>
      <c r="D1090" s="16" t="n">
        <f aca="false">IF(B1090=-1, -1, MOD(INT(B1090/28),21))</f>
        <v>13</v>
      </c>
      <c r="E1090" s="16" t="n">
        <f aca="false">IF(B1090=-1, -1, VLOOKUP(MOD(B1090,28), $T$24:$U$52,2))</f>
        <v>21</v>
      </c>
      <c r="F1090" s="16" t="n">
        <f aca="false">IF($B1090=-1, -1, VLOOKUP(C1090,$T$1:$V$20, 2))</f>
        <v>13</v>
      </c>
      <c r="G1090" s="16" t="n">
        <f aca="false">IF($B1090=-1, -1, VLOOKUP(D1090,$Y$1:$Z$22,2))</f>
        <v>0</v>
      </c>
      <c r="H1090" s="16" t="str">
        <f aca="false">_xlfn.UNICHAR(((F1090*21)+G1090)*28+44032)</f>
        <v>짜</v>
      </c>
      <c r="I1090" s="16" t="n">
        <f aca="false">IF(B1090=-1, 1, COUNTIF($A$2:$A$3000, H1090))</f>
        <v>1</v>
      </c>
      <c r="J1090" s="10" t="str">
        <f aca="false">_xlfn.CONCAT(A1090, ",",H1090,",",I1090)</f>
        <v>뿡,짜,1</v>
      </c>
      <c r="K1090" s="16" t="n">
        <f aca="false">IF(B1090=-1,-1,VLOOKUP(C1090,$T$1:$V$20,3))</f>
        <v>11</v>
      </c>
      <c r="L1090" s="16" t="n">
        <f aca="false">IF(B1090=-1,-1,VLOOKUP(D1090,$Y$1:$AA$22,3))</f>
        <v>6</v>
      </c>
      <c r="N1090" s="10" t="str">
        <f aca="false">_xlfn.UNICHAR(((C1090*21)+G1090)*28+44032)</f>
        <v>빠</v>
      </c>
      <c r="O1090" s="10" t="str">
        <f aca="false">_xlfn.UNICHAR(((F1090*21)+D1090)*28+44032)</f>
        <v>쭈</v>
      </c>
      <c r="P1090" s="12" t="n">
        <f aca="false">COUNTIF($A$2:$A$3000, N1090) + COUNTIF($A$2:$A$3000, O1090)</f>
        <v>2</v>
      </c>
      <c r="Q1090" s="16" t="str">
        <f aca="false">IF(OR(B1090=-1,I1090=0, P1090&lt;&gt;2), "albhed_dummy", _xlfn.CONCAT("albhed ", RIGHT("  " &amp; K1090,2),", ", RIGHT("  " &amp; L1090,2), ", " ,"""",H1090,""", ", """",N1090,""", ","""",O1090,""""," ; ", A1090))</f>
        <v>albhed 11,  6, "짜", "빠", "쭈" ; 뿡</v>
      </c>
    </row>
    <row r="1091" customFormat="false" ht="17.9" hidden="false" customHeight="true" outlineLevel="0" collapsed="false">
      <c r="A1091" s="16" t="s">
        <v>1959</v>
      </c>
      <c r="B1091" s="16" t="n">
        <f aca="false">IF(_xlfn.UNICODE(A1091)&lt;44032,-1,_xlfn.UNICODE(A1091)-44032)</f>
        <v>5180</v>
      </c>
      <c r="C1091" s="16" t="n">
        <f aca="false">IF(B1091=-1,-1,INT((B1091/28)/21))</f>
        <v>8</v>
      </c>
      <c r="D1091" s="16" t="n">
        <f aca="false">IF(B1091=-1, -1, MOD(INT(B1091/28),21))</f>
        <v>17</v>
      </c>
      <c r="E1091" s="16" t="n">
        <f aca="false">IF(B1091=-1, -1, VLOOKUP(MOD(B1091,28), $T$24:$U$52,2))</f>
        <v>0</v>
      </c>
      <c r="F1091" s="16" t="n">
        <f aca="false">IF($B1091=-1, -1, VLOOKUP(C1091,$T$1:$V$20, 2))</f>
        <v>13</v>
      </c>
      <c r="G1091" s="16" t="n">
        <f aca="false">IF($B1091=-1, -1, VLOOKUP(D1091,$Y$1:$Z$22,2))</f>
        <v>2</v>
      </c>
      <c r="H1091" s="16" t="str">
        <f aca="false">_xlfn.UNICHAR(((F1091*21)+G1091)*28+44032)</f>
        <v>쨔</v>
      </c>
      <c r="I1091" s="16" t="n">
        <f aca="false">IF(B1091=-1, 1, COUNTIF($A$2:$A$3000, H1091))</f>
        <v>1</v>
      </c>
      <c r="J1091" s="10" t="str">
        <f aca="false">_xlfn.CONCAT(A1091, ",",H1091,",",I1091)</f>
        <v>쀼,쨔,1</v>
      </c>
      <c r="K1091" s="16" t="n">
        <f aca="false">IF(B1091=-1,-1,VLOOKUP(C1091,$T$1:$V$20,3))</f>
        <v>11</v>
      </c>
      <c r="L1091" s="16" t="n">
        <f aca="false">IF(B1091=-1,-1,VLOOKUP(D1091,$Y$1:$AA$22,3))</f>
        <v>6</v>
      </c>
      <c r="N1091" s="10" t="str">
        <f aca="false">_xlfn.UNICHAR(((C1091*21)+G1091)*28+44032)</f>
        <v>뺘</v>
      </c>
      <c r="O1091" s="10" t="str">
        <f aca="false">_xlfn.UNICHAR(((F1091*21)+D1091)*28+44032)</f>
        <v>쮸</v>
      </c>
      <c r="P1091" s="12" t="n">
        <f aca="false">COUNTIF($A$2:$A$3000, N1091) + COUNTIF($A$2:$A$3000, O1091)</f>
        <v>2</v>
      </c>
      <c r="Q1091" s="16" t="str">
        <f aca="false">IF(OR(B1091=-1,I1091=0, P1091&lt;&gt;2), "albhed_dummy", _xlfn.CONCAT("albhed ", RIGHT("  " &amp; K1091,2),", ", RIGHT("  " &amp; L1091,2), ", " ,"""",H1091,""", ", """",N1091,""", ","""",O1091,""""," ; ", A1091))</f>
        <v>albhed 11,  6, "쨔", "뺘", "쮸" ; 쀼</v>
      </c>
    </row>
    <row r="1092" customFormat="false" ht="17.9" hidden="false" customHeight="true" outlineLevel="0" collapsed="false">
      <c r="A1092" s="16" t="s">
        <v>1960</v>
      </c>
      <c r="B1092" s="16" t="n">
        <f aca="false">IF(_xlfn.UNICODE(A1092)&lt;44032,-1,_xlfn.UNICODE(A1092)-44032)</f>
        <v>5201</v>
      </c>
      <c r="C1092" s="16" t="n">
        <f aca="false">IF(B1092=-1,-1,INT((B1092/28)/21))</f>
        <v>8</v>
      </c>
      <c r="D1092" s="16" t="n">
        <f aca="false">IF(B1092=-1, -1, MOD(INT(B1092/28),21))</f>
        <v>17</v>
      </c>
      <c r="E1092" s="16" t="n">
        <f aca="false">IF(B1092=-1, -1, VLOOKUP(MOD(B1092,28), $T$24:$U$52,2))</f>
        <v>21</v>
      </c>
      <c r="F1092" s="16" t="n">
        <f aca="false">IF($B1092=-1, -1, VLOOKUP(C1092,$T$1:$V$20, 2))</f>
        <v>13</v>
      </c>
      <c r="G1092" s="16" t="n">
        <f aca="false">IF($B1092=-1, -1, VLOOKUP(D1092,$Y$1:$Z$22,2))</f>
        <v>2</v>
      </c>
      <c r="H1092" s="16" t="str">
        <f aca="false">_xlfn.UNICHAR(((F1092*21)+G1092)*28+44032)</f>
        <v>쨔</v>
      </c>
      <c r="I1092" s="16" t="n">
        <f aca="false">IF(B1092=-1, 1, COUNTIF($A$2:$A$3000, H1092))</f>
        <v>1</v>
      </c>
      <c r="J1092" s="10" t="str">
        <f aca="false">_xlfn.CONCAT(A1092, ",",H1092,",",I1092)</f>
        <v>쁑,쨔,1</v>
      </c>
      <c r="K1092" s="16" t="n">
        <f aca="false">IF(B1092=-1,-1,VLOOKUP(C1092,$T$1:$V$20,3))</f>
        <v>11</v>
      </c>
      <c r="L1092" s="16" t="n">
        <f aca="false">IF(B1092=-1,-1,VLOOKUP(D1092,$Y$1:$AA$22,3))</f>
        <v>6</v>
      </c>
      <c r="N1092" s="10" t="str">
        <f aca="false">_xlfn.UNICHAR(((C1092*21)+G1092)*28+44032)</f>
        <v>뺘</v>
      </c>
      <c r="O1092" s="10" t="str">
        <f aca="false">_xlfn.UNICHAR(((F1092*21)+D1092)*28+44032)</f>
        <v>쮸</v>
      </c>
      <c r="P1092" s="12" t="n">
        <f aca="false">COUNTIF($A$2:$A$3000, N1092) + COUNTIF($A$2:$A$3000, O1092)</f>
        <v>2</v>
      </c>
      <c r="Q1092" s="16" t="str">
        <f aca="false">IF(OR(B1092=-1,I1092=0, P1092&lt;&gt;2), "albhed_dummy", _xlfn.CONCAT("albhed ", RIGHT("  " &amp; K1092,2),", ", RIGHT("  " &amp; L1092,2), ", " ,"""",H1092,""", ", """",N1092,""", ","""",O1092,""""," ; ", A1092))</f>
        <v>albhed 11,  6, "쨔", "뺘", "쮸" ; 쁑</v>
      </c>
    </row>
    <row r="1093" customFormat="false" ht="17.9" hidden="false" customHeight="true" outlineLevel="0" collapsed="false">
      <c r="A1093" s="16" t="s">
        <v>1961</v>
      </c>
      <c r="B1093" s="16" t="n">
        <f aca="false">IF(_xlfn.UNICODE(A1093)&lt;44032,-1,_xlfn.UNICODE(A1093)-44032)</f>
        <v>5208</v>
      </c>
      <c r="C1093" s="16" t="n">
        <f aca="false">IF(B1093=-1,-1,INT((B1093/28)/21))</f>
        <v>8</v>
      </c>
      <c r="D1093" s="16" t="n">
        <f aca="false">IF(B1093=-1, -1, MOD(INT(B1093/28),21))</f>
        <v>18</v>
      </c>
      <c r="E1093" s="16" t="n">
        <f aca="false">IF(B1093=-1, -1, VLOOKUP(MOD(B1093,28), $T$24:$U$52,2))</f>
        <v>0</v>
      </c>
      <c r="F1093" s="16" t="n">
        <f aca="false">IF($B1093=-1, -1, VLOOKUP(C1093,$T$1:$V$20, 2))</f>
        <v>13</v>
      </c>
      <c r="G1093" s="16" t="n">
        <f aca="false">IF($B1093=-1, -1, VLOOKUP(D1093,$Y$1:$Z$22,2))</f>
        <v>5</v>
      </c>
      <c r="H1093" s="16" t="str">
        <f aca="false">_xlfn.UNICHAR(((F1093*21)+G1093)*28+44032)</f>
        <v>쩨</v>
      </c>
      <c r="I1093" s="16" t="n">
        <f aca="false">IF(B1093=-1, 1, COUNTIF($A$2:$A$3000, H1093))</f>
        <v>1</v>
      </c>
      <c r="J1093" s="10" t="str">
        <f aca="false">_xlfn.CONCAT(A1093, ",",H1093,",",I1093)</f>
        <v>쁘,쩨,1</v>
      </c>
      <c r="K1093" s="16" t="n">
        <f aca="false">IF(B1093=-1,-1,VLOOKUP(C1093,$T$1:$V$20,3))</f>
        <v>11</v>
      </c>
      <c r="L1093" s="16" t="n">
        <f aca="false">IF(B1093=-1,-1,VLOOKUP(D1093,$Y$1:$AA$22,3))</f>
        <v>18</v>
      </c>
      <c r="N1093" s="10" t="str">
        <f aca="false">_xlfn.UNICHAR(((C1093*21)+G1093)*28+44032)</f>
        <v>뻬</v>
      </c>
      <c r="O1093" s="10" t="str">
        <f aca="false">_xlfn.UNICHAR(((F1093*21)+D1093)*28+44032)</f>
        <v>쯔</v>
      </c>
      <c r="P1093" s="12" t="n">
        <f aca="false">COUNTIF($A$2:$A$3000, N1093) + COUNTIF($A$2:$A$3000, O1093)</f>
        <v>2</v>
      </c>
      <c r="Q1093" s="16" t="str">
        <f aca="false">IF(OR(B1093=-1,I1093=0, P1093&lt;&gt;2), "albhed_dummy", _xlfn.CONCAT("albhed ", RIGHT("  " &amp; K1093,2),", ", RIGHT("  " &amp; L1093,2), ", " ,"""",H1093,""", ", """",N1093,""", ","""",O1093,""""," ; ", A1093))</f>
        <v>albhed 11, 18, "쩨", "뻬", "쯔" ; 쁘</v>
      </c>
    </row>
    <row r="1094" customFormat="false" ht="17.9" hidden="false" customHeight="true" outlineLevel="0" collapsed="false">
      <c r="A1094" s="16" t="s">
        <v>1962</v>
      </c>
      <c r="B1094" s="16" t="n">
        <f aca="false">IF(_xlfn.UNICODE(A1094)&lt;44032,-1,_xlfn.UNICODE(A1094)-44032)</f>
        <v>5212</v>
      </c>
      <c r="C1094" s="16" t="n">
        <f aca="false">IF(B1094=-1,-1,INT((B1094/28)/21))</f>
        <v>8</v>
      </c>
      <c r="D1094" s="16" t="n">
        <f aca="false">IF(B1094=-1, -1, MOD(INT(B1094/28),21))</f>
        <v>18</v>
      </c>
      <c r="E1094" s="16" t="n">
        <f aca="false">IF(B1094=-1, -1, VLOOKUP(MOD(B1094,28), $T$24:$U$52,2))</f>
        <v>4</v>
      </c>
      <c r="F1094" s="16" t="n">
        <f aca="false">IF($B1094=-1, -1, VLOOKUP(C1094,$T$1:$V$20, 2))</f>
        <v>13</v>
      </c>
      <c r="G1094" s="16" t="n">
        <f aca="false">IF($B1094=-1, -1, VLOOKUP(D1094,$Y$1:$Z$22,2))</f>
        <v>5</v>
      </c>
      <c r="H1094" s="16" t="str">
        <f aca="false">_xlfn.UNICHAR(((F1094*21)+G1094)*28+44032)</f>
        <v>쩨</v>
      </c>
      <c r="I1094" s="16" t="n">
        <f aca="false">IF(B1094=-1, 1, COUNTIF($A$2:$A$3000, H1094))</f>
        <v>1</v>
      </c>
      <c r="J1094" s="10" t="str">
        <f aca="false">_xlfn.CONCAT(A1094, ",",H1094,",",I1094)</f>
        <v>쁜,쩨,1</v>
      </c>
      <c r="K1094" s="16" t="n">
        <f aca="false">IF(B1094=-1,-1,VLOOKUP(C1094,$T$1:$V$20,3))</f>
        <v>11</v>
      </c>
      <c r="L1094" s="16" t="n">
        <f aca="false">IF(B1094=-1,-1,VLOOKUP(D1094,$Y$1:$AA$22,3))</f>
        <v>18</v>
      </c>
      <c r="N1094" s="10" t="str">
        <f aca="false">_xlfn.UNICHAR(((C1094*21)+G1094)*28+44032)</f>
        <v>뻬</v>
      </c>
      <c r="O1094" s="10" t="str">
        <f aca="false">_xlfn.UNICHAR(((F1094*21)+D1094)*28+44032)</f>
        <v>쯔</v>
      </c>
      <c r="P1094" s="12" t="n">
        <f aca="false">COUNTIF($A$2:$A$3000, N1094) + COUNTIF($A$2:$A$3000, O1094)</f>
        <v>2</v>
      </c>
      <c r="Q1094" s="16" t="str">
        <f aca="false">IF(OR(B1094=-1,I1094=0, P1094&lt;&gt;2), "albhed_dummy", _xlfn.CONCAT("albhed ", RIGHT("  " &amp; K1094,2),", ", RIGHT("  " &amp; L1094,2), ", " ,"""",H1094,""", ", """",N1094,""", ","""",O1094,""""," ; ", A1094))</f>
        <v>albhed 11, 18, "쩨", "뻬", "쯔" ; 쁜</v>
      </c>
    </row>
    <row r="1095" customFormat="false" ht="17.9" hidden="false" customHeight="true" outlineLevel="0" collapsed="false">
      <c r="A1095" s="16" t="s">
        <v>1963</v>
      </c>
      <c r="B1095" s="16" t="n">
        <f aca="false">IF(_xlfn.UNICODE(A1095)&lt;44032,-1,_xlfn.UNICODE(A1095)-44032)</f>
        <v>5216</v>
      </c>
      <c r="C1095" s="16" t="n">
        <f aca="false">IF(B1095=-1,-1,INT((B1095/28)/21))</f>
        <v>8</v>
      </c>
      <c r="D1095" s="16" t="n">
        <f aca="false">IF(B1095=-1, -1, MOD(INT(B1095/28),21))</f>
        <v>18</v>
      </c>
      <c r="E1095" s="16" t="n">
        <f aca="false">IF(B1095=-1, -1, VLOOKUP(MOD(B1095,28), $T$24:$U$52,2))</f>
        <v>8</v>
      </c>
      <c r="F1095" s="16" t="n">
        <f aca="false">IF($B1095=-1, -1, VLOOKUP(C1095,$T$1:$V$20, 2))</f>
        <v>13</v>
      </c>
      <c r="G1095" s="16" t="n">
        <f aca="false">IF($B1095=-1, -1, VLOOKUP(D1095,$Y$1:$Z$22,2))</f>
        <v>5</v>
      </c>
      <c r="H1095" s="16" t="str">
        <f aca="false">_xlfn.UNICHAR(((F1095*21)+G1095)*28+44032)</f>
        <v>쩨</v>
      </c>
      <c r="I1095" s="16" t="n">
        <f aca="false">IF(B1095=-1, 1, COUNTIF($A$2:$A$3000, H1095))</f>
        <v>1</v>
      </c>
      <c r="J1095" s="10" t="str">
        <f aca="false">_xlfn.CONCAT(A1095, ",",H1095,",",I1095)</f>
        <v>쁠,쩨,1</v>
      </c>
      <c r="K1095" s="16" t="n">
        <f aca="false">IF(B1095=-1,-1,VLOOKUP(C1095,$T$1:$V$20,3))</f>
        <v>11</v>
      </c>
      <c r="L1095" s="16" t="n">
        <f aca="false">IF(B1095=-1,-1,VLOOKUP(D1095,$Y$1:$AA$22,3))</f>
        <v>18</v>
      </c>
      <c r="N1095" s="10" t="str">
        <f aca="false">_xlfn.UNICHAR(((C1095*21)+G1095)*28+44032)</f>
        <v>뻬</v>
      </c>
      <c r="O1095" s="10" t="str">
        <f aca="false">_xlfn.UNICHAR(((F1095*21)+D1095)*28+44032)</f>
        <v>쯔</v>
      </c>
      <c r="P1095" s="12" t="n">
        <f aca="false">COUNTIF($A$2:$A$3000, N1095) + COUNTIF($A$2:$A$3000, O1095)</f>
        <v>2</v>
      </c>
      <c r="Q1095" s="16" t="str">
        <f aca="false">IF(OR(B1095=-1,I1095=0, P1095&lt;&gt;2), "albhed_dummy", _xlfn.CONCAT("albhed ", RIGHT("  " &amp; K1095,2),", ", RIGHT("  " &amp; L1095,2), ", " ,"""",H1095,""", ", """",N1095,""", ","""",O1095,""""," ; ", A1095))</f>
        <v>albhed 11, 18, "쩨", "뻬", "쯔" ; 쁠</v>
      </c>
    </row>
    <row r="1096" customFormat="false" ht="17.9" hidden="false" customHeight="true" outlineLevel="0" collapsed="false">
      <c r="A1096" s="16" t="s">
        <v>1964</v>
      </c>
      <c r="B1096" s="16" t="n">
        <f aca="false">IF(_xlfn.UNICODE(A1096)&lt;44032,-1,_xlfn.UNICODE(A1096)-44032)</f>
        <v>5224</v>
      </c>
      <c r="C1096" s="16" t="n">
        <f aca="false">IF(B1096=-1,-1,INT((B1096/28)/21))</f>
        <v>8</v>
      </c>
      <c r="D1096" s="16" t="n">
        <f aca="false">IF(B1096=-1, -1, MOD(INT(B1096/28),21))</f>
        <v>18</v>
      </c>
      <c r="E1096" s="16" t="n">
        <f aca="false">IF(B1096=-1, -1, VLOOKUP(MOD(B1096,28), $T$24:$U$52,2))</f>
        <v>16</v>
      </c>
      <c r="F1096" s="16" t="n">
        <f aca="false">IF($B1096=-1, -1, VLOOKUP(C1096,$T$1:$V$20, 2))</f>
        <v>13</v>
      </c>
      <c r="G1096" s="16" t="n">
        <f aca="false">IF($B1096=-1, -1, VLOOKUP(D1096,$Y$1:$Z$22,2))</f>
        <v>5</v>
      </c>
      <c r="H1096" s="16" t="str">
        <f aca="false">_xlfn.UNICHAR(((F1096*21)+G1096)*28+44032)</f>
        <v>쩨</v>
      </c>
      <c r="I1096" s="16" t="n">
        <f aca="false">IF(B1096=-1, 1, COUNTIF($A$2:$A$3000, H1096))</f>
        <v>1</v>
      </c>
      <c r="J1096" s="10" t="str">
        <f aca="false">_xlfn.CONCAT(A1096, ",",H1096,",",I1096)</f>
        <v>쁨,쩨,1</v>
      </c>
      <c r="K1096" s="16" t="n">
        <f aca="false">IF(B1096=-1,-1,VLOOKUP(C1096,$T$1:$V$20,3))</f>
        <v>11</v>
      </c>
      <c r="L1096" s="16" t="n">
        <f aca="false">IF(B1096=-1,-1,VLOOKUP(D1096,$Y$1:$AA$22,3))</f>
        <v>18</v>
      </c>
      <c r="N1096" s="10" t="str">
        <f aca="false">_xlfn.UNICHAR(((C1096*21)+G1096)*28+44032)</f>
        <v>뻬</v>
      </c>
      <c r="O1096" s="10" t="str">
        <f aca="false">_xlfn.UNICHAR(((F1096*21)+D1096)*28+44032)</f>
        <v>쯔</v>
      </c>
      <c r="P1096" s="12" t="n">
        <f aca="false">COUNTIF($A$2:$A$3000, N1096) + COUNTIF($A$2:$A$3000, O1096)</f>
        <v>2</v>
      </c>
      <c r="Q1096" s="16" t="str">
        <f aca="false">IF(OR(B1096=-1,I1096=0, P1096&lt;&gt;2), "albhed_dummy", _xlfn.CONCAT("albhed ", RIGHT("  " &amp; K1096,2),", ", RIGHT("  " &amp; L1096,2), ", " ,"""",H1096,""", ", """",N1096,""", ","""",O1096,""""," ; ", A1096))</f>
        <v>albhed 11, 18, "쩨", "뻬", "쯔" ; 쁨</v>
      </c>
    </row>
    <row r="1097" customFormat="false" ht="17.9" hidden="false" customHeight="true" outlineLevel="0" collapsed="false">
      <c r="A1097" s="16" t="s">
        <v>1965</v>
      </c>
      <c r="B1097" s="16" t="n">
        <f aca="false">IF(_xlfn.UNICODE(A1097)&lt;44032,-1,_xlfn.UNICODE(A1097)-44032)</f>
        <v>5225</v>
      </c>
      <c r="C1097" s="16" t="n">
        <f aca="false">IF(B1097=-1,-1,INT((B1097/28)/21))</f>
        <v>8</v>
      </c>
      <c r="D1097" s="16" t="n">
        <f aca="false">IF(B1097=-1, -1, MOD(INT(B1097/28),21))</f>
        <v>18</v>
      </c>
      <c r="E1097" s="16" t="n">
        <f aca="false">IF(B1097=-1, -1, VLOOKUP(MOD(B1097,28), $T$24:$U$52,2))</f>
        <v>17</v>
      </c>
      <c r="F1097" s="16" t="n">
        <f aca="false">IF($B1097=-1, -1, VLOOKUP(C1097,$T$1:$V$20, 2))</f>
        <v>13</v>
      </c>
      <c r="G1097" s="16" t="n">
        <f aca="false">IF($B1097=-1, -1, VLOOKUP(D1097,$Y$1:$Z$22,2))</f>
        <v>5</v>
      </c>
      <c r="H1097" s="16" t="str">
        <f aca="false">_xlfn.UNICHAR(((F1097*21)+G1097)*28+44032)</f>
        <v>쩨</v>
      </c>
      <c r="I1097" s="16" t="n">
        <f aca="false">IF(B1097=-1, 1, COUNTIF($A$2:$A$3000, H1097))</f>
        <v>1</v>
      </c>
      <c r="J1097" s="10" t="str">
        <f aca="false">_xlfn.CONCAT(A1097, ",",H1097,",",I1097)</f>
        <v>쁩,쩨,1</v>
      </c>
      <c r="K1097" s="16" t="n">
        <f aca="false">IF(B1097=-1,-1,VLOOKUP(C1097,$T$1:$V$20,3))</f>
        <v>11</v>
      </c>
      <c r="L1097" s="16" t="n">
        <f aca="false">IF(B1097=-1,-1,VLOOKUP(D1097,$Y$1:$AA$22,3))</f>
        <v>18</v>
      </c>
      <c r="N1097" s="10" t="str">
        <f aca="false">_xlfn.UNICHAR(((C1097*21)+G1097)*28+44032)</f>
        <v>뻬</v>
      </c>
      <c r="O1097" s="10" t="str">
        <f aca="false">_xlfn.UNICHAR(((F1097*21)+D1097)*28+44032)</f>
        <v>쯔</v>
      </c>
      <c r="P1097" s="12" t="n">
        <f aca="false">COUNTIF($A$2:$A$3000, N1097) + COUNTIF($A$2:$A$3000, O1097)</f>
        <v>2</v>
      </c>
      <c r="Q1097" s="16" t="str">
        <f aca="false">IF(OR(B1097=-1,I1097=0, P1097&lt;&gt;2), "albhed_dummy", _xlfn.CONCAT("albhed ", RIGHT("  " &amp; K1097,2),", ", RIGHT("  " &amp; L1097,2), ", " ,"""",H1097,""", ", """",N1097,""", ","""",O1097,""""," ; ", A1097))</f>
        <v>albhed 11, 18, "쩨", "뻬", "쯔" ; 쁩</v>
      </c>
    </row>
    <row r="1098" customFormat="false" ht="17.9" hidden="false" customHeight="true" outlineLevel="0" collapsed="false">
      <c r="A1098" s="16" t="s">
        <v>1966</v>
      </c>
      <c r="B1098" s="16" t="n">
        <f aca="false">IF(_xlfn.UNICODE(A1098)&lt;44032,-1,_xlfn.UNICODE(A1098)-44032)</f>
        <v>5264</v>
      </c>
      <c r="C1098" s="16" t="n">
        <f aca="false">IF(B1098=-1,-1,INT((B1098/28)/21))</f>
        <v>8</v>
      </c>
      <c r="D1098" s="16" t="n">
        <f aca="false">IF(B1098=-1, -1, MOD(INT(B1098/28),21))</f>
        <v>20</v>
      </c>
      <c r="E1098" s="16" t="n">
        <f aca="false">IF(B1098=-1, -1, VLOOKUP(MOD(B1098,28), $T$24:$U$52,2))</f>
        <v>0</v>
      </c>
      <c r="F1098" s="16" t="n">
        <f aca="false">IF($B1098=-1, -1, VLOOKUP(C1098,$T$1:$V$20, 2))</f>
        <v>13</v>
      </c>
      <c r="G1098" s="16" t="n">
        <f aca="false">IF($B1098=-1, -1, VLOOKUP(D1098,$Y$1:$Z$22,2))</f>
        <v>5</v>
      </c>
      <c r="H1098" s="16" t="str">
        <f aca="false">_xlfn.UNICHAR(((F1098*21)+G1098)*28+44032)</f>
        <v>쩨</v>
      </c>
      <c r="I1098" s="16" t="n">
        <f aca="false">IF(B1098=-1, 1, COUNTIF($A$2:$A$3000, H1098))</f>
        <v>1</v>
      </c>
      <c r="J1098" s="10" t="str">
        <f aca="false">_xlfn.CONCAT(A1098, ",",H1098,",",I1098)</f>
        <v>삐,쩨,1</v>
      </c>
      <c r="K1098" s="16" t="n">
        <f aca="false">IF(B1098=-1,-1,VLOOKUP(C1098,$T$1:$V$20,3))</f>
        <v>11</v>
      </c>
      <c r="L1098" s="16" t="n">
        <f aca="false">IF(B1098=-1,-1,VLOOKUP(D1098,$Y$1:$AA$22,3))</f>
        <v>20</v>
      </c>
      <c r="N1098" s="10" t="str">
        <f aca="false">_xlfn.UNICHAR(((C1098*21)+G1098)*28+44032)</f>
        <v>뻬</v>
      </c>
      <c r="O1098" s="10" t="str">
        <f aca="false">_xlfn.UNICHAR(((F1098*21)+D1098)*28+44032)</f>
        <v>찌</v>
      </c>
      <c r="P1098" s="12" t="n">
        <f aca="false">COUNTIF($A$2:$A$3000, N1098) + COUNTIF($A$2:$A$3000, O1098)</f>
        <v>2</v>
      </c>
      <c r="Q1098" s="16" t="str">
        <f aca="false">IF(OR(B1098=-1,I1098=0, P1098&lt;&gt;2), "albhed_dummy", _xlfn.CONCAT("albhed ", RIGHT("  " &amp; K1098,2),", ", RIGHT("  " &amp; L1098,2), ", " ,"""",H1098,""", ", """",N1098,""", ","""",O1098,""""," ; ", A1098))</f>
        <v>albhed 11, 20, "쩨", "뻬", "찌" ; 삐</v>
      </c>
    </row>
    <row r="1099" customFormat="false" ht="17.9" hidden="false" customHeight="true" outlineLevel="0" collapsed="false">
      <c r="A1099" s="16" t="s">
        <v>1967</v>
      </c>
      <c r="B1099" s="16" t="n">
        <f aca="false">IF(_xlfn.UNICODE(A1099)&lt;44032,-1,_xlfn.UNICODE(A1099)-44032)</f>
        <v>5265</v>
      </c>
      <c r="C1099" s="16" t="n">
        <f aca="false">IF(B1099=-1,-1,INT((B1099/28)/21))</f>
        <v>8</v>
      </c>
      <c r="D1099" s="16" t="n">
        <f aca="false">IF(B1099=-1, -1, MOD(INT(B1099/28),21))</f>
        <v>20</v>
      </c>
      <c r="E1099" s="16" t="n">
        <f aca="false">IF(B1099=-1, -1, VLOOKUP(MOD(B1099,28), $T$24:$U$52,2))</f>
        <v>1</v>
      </c>
      <c r="F1099" s="16" t="n">
        <f aca="false">IF($B1099=-1, -1, VLOOKUP(C1099,$T$1:$V$20, 2))</f>
        <v>13</v>
      </c>
      <c r="G1099" s="16" t="n">
        <f aca="false">IF($B1099=-1, -1, VLOOKUP(D1099,$Y$1:$Z$22,2))</f>
        <v>5</v>
      </c>
      <c r="H1099" s="16" t="str">
        <f aca="false">_xlfn.UNICHAR(((F1099*21)+G1099)*28+44032)</f>
        <v>쩨</v>
      </c>
      <c r="I1099" s="16" t="n">
        <f aca="false">IF(B1099=-1, 1, COUNTIF($A$2:$A$3000, H1099))</f>
        <v>1</v>
      </c>
      <c r="J1099" s="10" t="str">
        <f aca="false">_xlfn.CONCAT(A1099, ",",H1099,",",I1099)</f>
        <v>삑,쩨,1</v>
      </c>
      <c r="K1099" s="16" t="n">
        <f aca="false">IF(B1099=-1,-1,VLOOKUP(C1099,$T$1:$V$20,3))</f>
        <v>11</v>
      </c>
      <c r="L1099" s="16" t="n">
        <f aca="false">IF(B1099=-1,-1,VLOOKUP(D1099,$Y$1:$AA$22,3))</f>
        <v>20</v>
      </c>
      <c r="N1099" s="10" t="str">
        <f aca="false">_xlfn.UNICHAR(((C1099*21)+G1099)*28+44032)</f>
        <v>뻬</v>
      </c>
      <c r="O1099" s="10" t="str">
        <f aca="false">_xlfn.UNICHAR(((F1099*21)+D1099)*28+44032)</f>
        <v>찌</v>
      </c>
      <c r="P1099" s="12" t="n">
        <f aca="false">COUNTIF($A$2:$A$3000, N1099) + COUNTIF($A$2:$A$3000, O1099)</f>
        <v>2</v>
      </c>
      <c r="Q1099" s="16" t="str">
        <f aca="false">IF(OR(B1099=-1,I1099=0, P1099&lt;&gt;2), "albhed_dummy", _xlfn.CONCAT("albhed ", RIGHT("  " &amp; K1099,2),", ", RIGHT("  " &amp; L1099,2), ", " ,"""",H1099,""", ", """",N1099,""", ","""",O1099,""""," ; ", A1099))</f>
        <v>albhed 11, 20, "쩨", "뻬", "찌" ; 삑</v>
      </c>
    </row>
    <row r="1100" customFormat="false" ht="17.9" hidden="false" customHeight="true" outlineLevel="0" collapsed="false">
      <c r="A1100" s="16" t="s">
        <v>1968</v>
      </c>
      <c r="B1100" s="16" t="n">
        <f aca="false">IF(_xlfn.UNICODE(A1100)&lt;44032,-1,_xlfn.UNICODE(A1100)-44032)</f>
        <v>5268</v>
      </c>
      <c r="C1100" s="16" t="n">
        <f aca="false">IF(B1100=-1,-1,INT((B1100/28)/21))</f>
        <v>8</v>
      </c>
      <c r="D1100" s="16" t="n">
        <f aca="false">IF(B1100=-1, -1, MOD(INT(B1100/28),21))</f>
        <v>20</v>
      </c>
      <c r="E1100" s="16" t="n">
        <f aca="false">IF(B1100=-1, -1, VLOOKUP(MOD(B1100,28), $T$24:$U$52,2))</f>
        <v>4</v>
      </c>
      <c r="F1100" s="16" t="n">
        <f aca="false">IF($B1100=-1, -1, VLOOKUP(C1100,$T$1:$V$20, 2))</f>
        <v>13</v>
      </c>
      <c r="G1100" s="16" t="n">
        <f aca="false">IF($B1100=-1, -1, VLOOKUP(D1100,$Y$1:$Z$22,2))</f>
        <v>5</v>
      </c>
      <c r="H1100" s="16" t="str">
        <f aca="false">_xlfn.UNICHAR(((F1100*21)+G1100)*28+44032)</f>
        <v>쩨</v>
      </c>
      <c r="I1100" s="16" t="n">
        <f aca="false">IF(B1100=-1, 1, COUNTIF($A$2:$A$3000, H1100))</f>
        <v>1</v>
      </c>
      <c r="J1100" s="10" t="str">
        <f aca="false">_xlfn.CONCAT(A1100, ",",H1100,",",I1100)</f>
        <v>삔,쩨,1</v>
      </c>
      <c r="K1100" s="16" t="n">
        <f aca="false">IF(B1100=-1,-1,VLOOKUP(C1100,$T$1:$V$20,3))</f>
        <v>11</v>
      </c>
      <c r="L1100" s="16" t="n">
        <f aca="false">IF(B1100=-1,-1,VLOOKUP(D1100,$Y$1:$AA$22,3))</f>
        <v>20</v>
      </c>
      <c r="N1100" s="10" t="str">
        <f aca="false">_xlfn.UNICHAR(((C1100*21)+G1100)*28+44032)</f>
        <v>뻬</v>
      </c>
      <c r="O1100" s="10" t="str">
        <f aca="false">_xlfn.UNICHAR(((F1100*21)+D1100)*28+44032)</f>
        <v>찌</v>
      </c>
      <c r="P1100" s="12" t="n">
        <f aca="false">COUNTIF($A$2:$A$3000, N1100) + COUNTIF($A$2:$A$3000, O1100)</f>
        <v>2</v>
      </c>
      <c r="Q1100" s="16" t="str">
        <f aca="false">IF(OR(B1100=-1,I1100=0, P1100&lt;&gt;2), "albhed_dummy", _xlfn.CONCAT("albhed ", RIGHT("  " &amp; K1100,2),", ", RIGHT("  " &amp; L1100,2), ", " ,"""",H1100,""", ", """",N1100,""", ","""",O1100,""""," ; ", A1100))</f>
        <v>albhed 11, 20, "쩨", "뻬", "찌" ; 삔</v>
      </c>
    </row>
    <row r="1101" customFormat="false" ht="17.9" hidden="false" customHeight="true" outlineLevel="0" collapsed="false">
      <c r="A1101" s="16" t="s">
        <v>1969</v>
      </c>
      <c r="B1101" s="16" t="n">
        <f aca="false">IF(_xlfn.UNICODE(A1101)&lt;44032,-1,_xlfn.UNICODE(A1101)-44032)</f>
        <v>5272</v>
      </c>
      <c r="C1101" s="16" t="n">
        <f aca="false">IF(B1101=-1,-1,INT((B1101/28)/21))</f>
        <v>8</v>
      </c>
      <c r="D1101" s="16" t="n">
        <f aca="false">IF(B1101=-1, -1, MOD(INT(B1101/28),21))</f>
        <v>20</v>
      </c>
      <c r="E1101" s="16" t="n">
        <f aca="false">IF(B1101=-1, -1, VLOOKUP(MOD(B1101,28), $T$24:$U$52,2))</f>
        <v>8</v>
      </c>
      <c r="F1101" s="16" t="n">
        <f aca="false">IF($B1101=-1, -1, VLOOKUP(C1101,$T$1:$V$20, 2))</f>
        <v>13</v>
      </c>
      <c r="G1101" s="16" t="n">
        <f aca="false">IF($B1101=-1, -1, VLOOKUP(D1101,$Y$1:$Z$22,2))</f>
        <v>5</v>
      </c>
      <c r="H1101" s="16" t="str">
        <f aca="false">_xlfn.UNICHAR(((F1101*21)+G1101)*28+44032)</f>
        <v>쩨</v>
      </c>
      <c r="I1101" s="16" t="n">
        <f aca="false">IF(B1101=-1, 1, COUNTIF($A$2:$A$3000, H1101))</f>
        <v>1</v>
      </c>
      <c r="J1101" s="10" t="str">
        <f aca="false">_xlfn.CONCAT(A1101, ",",H1101,",",I1101)</f>
        <v>삘,쩨,1</v>
      </c>
      <c r="K1101" s="16" t="n">
        <f aca="false">IF(B1101=-1,-1,VLOOKUP(C1101,$T$1:$V$20,3))</f>
        <v>11</v>
      </c>
      <c r="L1101" s="16" t="n">
        <f aca="false">IF(B1101=-1,-1,VLOOKUP(D1101,$Y$1:$AA$22,3))</f>
        <v>20</v>
      </c>
      <c r="N1101" s="10" t="str">
        <f aca="false">_xlfn.UNICHAR(((C1101*21)+G1101)*28+44032)</f>
        <v>뻬</v>
      </c>
      <c r="O1101" s="10" t="str">
        <f aca="false">_xlfn.UNICHAR(((F1101*21)+D1101)*28+44032)</f>
        <v>찌</v>
      </c>
      <c r="P1101" s="12" t="n">
        <f aca="false">COUNTIF($A$2:$A$3000, N1101) + COUNTIF($A$2:$A$3000, O1101)</f>
        <v>2</v>
      </c>
      <c r="Q1101" s="16" t="str">
        <f aca="false">IF(OR(B1101=-1,I1101=0, P1101&lt;&gt;2), "albhed_dummy", _xlfn.CONCAT("albhed ", RIGHT("  " &amp; K1101,2),", ", RIGHT("  " &amp; L1101,2), ", " ,"""",H1101,""", ", """",N1101,""", ","""",O1101,""""," ; ", A1101))</f>
        <v>albhed 11, 20, "쩨", "뻬", "찌" ; 삘</v>
      </c>
    </row>
    <row r="1102" customFormat="false" ht="17.9" hidden="false" customHeight="true" outlineLevel="0" collapsed="false">
      <c r="A1102" s="16" t="s">
        <v>1970</v>
      </c>
      <c r="B1102" s="16" t="n">
        <f aca="false">IF(_xlfn.UNICODE(A1102)&lt;44032,-1,_xlfn.UNICODE(A1102)-44032)</f>
        <v>5280</v>
      </c>
      <c r="C1102" s="16" t="n">
        <f aca="false">IF(B1102=-1,-1,INT((B1102/28)/21))</f>
        <v>8</v>
      </c>
      <c r="D1102" s="16" t="n">
        <f aca="false">IF(B1102=-1, -1, MOD(INT(B1102/28),21))</f>
        <v>20</v>
      </c>
      <c r="E1102" s="16" t="n">
        <f aca="false">IF(B1102=-1, -1, VLOOKUP(MOD(B1102,28), $T$24:$U$52,2))</f>
        <v>16</v>
      </c>
      <c r="F1102" s="16" t="n">
        <f aca="false">IF($B1102=-1, -1, VLOOKUP(C1102,$T$1:$V$20, 2))</f>
        <v>13</v>
      </c>
      <c r="G1102" s="16" t="n">
        <f aca="false">IF($B1102=-1, -1, VLOOKUP(D1102,$Y$1:$Z$22,2))</f>
        <v>5</v>
      </c>
      <c r="H1102" s="16" t="str">
        <f aca="false">_xlfn.UNICHAR(((F1102*21)+G1102)*28+44032)</f>
        <v>쩨</v>
      </c>
      <c r="I1102" s="16" t="n">
        <f aca="false">IF(B1102=-1, 1, COUNTIF($A$2:$A$3000, H1102))</f>
        <v>1</v>
      </c>
      <c r="J1102" s="10" t="str">
        <f aca="false">_xlfn.CONCAT(A1102, ",",H1102,",",I1102)</f>
        <v>삠,쩨,1</v>
      </c>
      <c r="K1102" s="16" t="n">
        <f aca="false">IF(B1102=-1,-1,VLOOKUP(C1102,$T$1:$V$20,3))</f>
        <v>11</v>
      </c>
      <c r="L1102" s="16" t="n">
        <f aca="false">IF(B1102=-1,-1,VLOOKUP(D1102,$Y$1:$AA$22,3))</f>
        <v>20</v>
      </c>
      <c r="N1102" s="10" t="str">
        <f aca="false">_xlfn.UNICHAR(((C1102*21)+G1102)*28+44032)</f>
        <v>뻬</v>
      </c>
      <c r="O1102" s="10" t="str">
        <f aca="false">_xlfn.UNICHAR(((F1102*21)+D1102)*28+44032)</f>
        <v>찌</v>
      </c>
      <c r="P1102" s="12" t="n">
        <f aca="false">COUNTIF($A$2:$A$3000, N1102) + COUNTIF($A$2:$A$3000, O1102)</f>
        <v>2</v>
      </c>
      <c r="Q1102" s="16" t="str">
        <f aca="false">IF(OR(B1102=-1,I1102=0, P1102&lt;&gt;2), "albhed_dummy", _xlfn.CONCAT("albhed ", RIGHT("  " &amp; K1102,2),", ", RIGHT("  " &amp; L1102,2), ", " ,"""",H1102,""", ", """",N1102,""", ","""",O1102,""""," ; ", A1102))</f>
        <v>albhed 11, 20, "쩨", "뻬", "찌" ; 삠</v>
      </c>
    </row>
    <row r="1103" customFormat="false" ht="17.9" hidden="false" customHeight="true" outlineLevel="0" collapsed="false">
      <c r="A1103" s="16" t="s">
        <v>1971</v>
      </c>
      <c r="B1103" s="16" t="n">
        <f aca="false">IF(_xlfn.UNICODE(A1103)&lt;44032,-1,_xlfn.UNICODE(A1103)-44032)</f>
        <v>5281</v>
      </c>
      <c r="C1103" s="16" t="n">
        <f aca="false">IF(B1103=-1,-1,INT((B1103/28)/21))</f>
        <v>8</v>
      </c>
      <c r="D1103" s="16" t="n">
        <f aca="false">IF(B1103=-1, -1, MOD(INT(B1103/28),21))</f>
        <v>20</v>
      </c>
      <c r="E1103" s="16" t="n">
        <f aca="false">IF(B1103=-1, -1, VLOOKUP(MOD(B1103,28), $T$24:$U$52,2))</f>
        <v>17</v>
      </c>
      <c r="F1103" s="16" t="n">
        <f aca="false">IF($B1103=-1, -1, VLOOKUP(C1103,$T$1:$V$20, 2))</f>
        <v>13</v>
      </c>
      <c r="G1103" s="16" t="n">
        <f aca="false">IF($B1103=-1, -1, VLOOKUP(D1103,$Y$1:$Z$22,2))</f>
        <v>5</v>
      </c>
      <c r="H1103" s="16" t="str">
        <f aca="false">_xlfn.UNICHAR(((F1103*21)+G1103)*28+44032)</f>
        <v>쩨</v>
      </c>
      <c r="I1103" s="16" t="n">
        <f aca="false">IF(B1103=-1, 1, COUNTIF($A$2:$A$3000, H1103))</f>
        <v>1</v>
      </c>
      <c r="J1103" s="10" t="str">
        <f aca="false">_xlfn.CONCAT(A1103, ",",H1103,",",I1103)</f>
        <v>삡,쩨,1</v>
      </c>
      <c r="K1103" s="16" t="n">
        <f aca="false">IF(B1103=-1,-1,VLOOKUP(C1103,$T$1:$V$20,3))</f>
        <v>11</v>
      </c>
      <c r="L1103" s="16" t="n">
        <f aca="false">IF(B1103=-1,-1,VLOOKUP(D1103,$Y$1:$AA$22,3))</f>
        <v>20</v>
      </c>
      <c r="N1103" s="10" t="str">
        <f aca="false">_xlfn.UNICHAR(((C1103*21)+G1103)*28+44032)</f>
        <v>뻬</v>
      </c>
      <c r="O1103" s="10" t="str">
        <f aca="false">_xlfn.UNICHAR(((F1103*21)+D1103)*28+44032)</f>
        <v>찌</v>
      </c>
      <c r="P1103" s="12" t="n">
        <f aca="false">COUNTIF($A$2:$A$3000, N1103) + COUNTIF($A$2:$A$3000, O1103)</f>
        <v>2</v>
      </c>
      <c r="Q1103" s="16" t="str">
        <f aca="false">IF(OR(B1103=-1,I1103=0, P1103&lt;&gt;2), "albhed_dummy", _xlfn.CONCAT("albhed ", RIGHT("  " &amp; K1103,2),", ", RIGHT("  " &amp; L1103,2), ", " ,"""",H1103,""", ", """",N1103,""", ","""",O1103,""""," ; ", A1103))</f>
        <v>albhed 11, 20, "쩨", "뻬", "찌" ; 삡</v>
      </c>
    </row>
    <row r="1104" customFormat="false" ht="17.9" hidden="false" customHeight="true" outlineLevel="0" collapsed="false">
      <c r="A1104" s="16" t="s">
        <v>1972</v>
      </c>
      <c r="B1104" s="16" t="n">
        <f aca="false">IF(_xlfn.UNICODE(A1104)&lt;44032,-1,_xlfn.UNICODE(A1104)-44032)</f>
        <v>5283</v>
      </c>
      <c r="C1104" s="16" t="n">
        <f aca="false">IF(B1104=-1,-1,INT((B1104/28)/21))</f>
        <v>8</v>
      </c>
      <c r="D1104" s="16" t="n">
        <f aca="false">IF(B1104=-1, -1, MOD(INT(B1104/28),21))</f>
        <v>20</v>
      </c>
      <c r="E1104" s="16" t="n">
        <f aca="false">IF(B1104=-1, -1, VLOOKUP(MOD(B1104,28), $T$24:$U$52,2))</f>
        <v>19</v>
      </c>
      <c r="F1104" s="16" t="n">
        <f aca="false">IF($B1104=-1, -1, VLOOKUP(C1104,$T$1:$V$20, 2))</f>
        <v>13</v>
      </c>
      <c r="G1104" s="16" t="n">
        <f aca="false">IF($B1104=-1, -1, VLOOKUP(D1104,$Y$1:$Z$22,2))</f>
        <v>5</v>
      </c>
      <c r="H1104" s="16" t="str">
        <f aca="false">_xlfn.UNICHAR(((F1104*21)+G1104)*28+44032)</f>
        <v>쩨</v>
      </c>
      <c r="I1104" s="16" t="n">
        <f aca="false">IF(B1104=-1, 1, COUNTIF($A$2:$A$3000, H1104))</f>
        <v>1</v>
      </c>
      <c r="J1104" s="10" t="str">
        <f aca="false">_xlfn.CONCAT(A1104, ",",H1104,",",I1104)</f>
        <v>삣,쩨,1</v>
      </c>
      <c r="K1104" s="16" t="n">
        <f aca="false">IF(B1104=-1,-1,VLOOKUP(C1104,$T$1:$V$20,3))</f>
        <v>11</v>
      </c>
      <c r="L1104" s="16" t="n">
        <f aca="false">IF(B1104=-1,-1,VLOOKUP(D1104,$Y$1:$AA$22,3))</f>
        <v>20</v>
      </c>
      <c r="N1104" s="10" t="str">
        <f aca="false">_xlfn.UNICHAR(((C1104*21)+G1104)*28+44032)</f>
        <v>뻬</v>
      </c>
      <c r="O1104" s="10" t="str">
        <f aca="false">_xlfn.UNICHAR(((F1104*21)+D1104)*28+44032)</f>
        <v>찌</v>
      </c>
      <c r="P1104" s="12" t="n">
        <f aca="false">COUNTIF($A$2:$A$3000, N1104) + COUNTIF($A$2:$A$3000, O1104)</f>
        <v>2</v>
      </c>
      <c r="Q1104" s="16" t="str">
        <f aca="false">IF(OR(B1104=-1,I1104=0, P1104&lt;&gt;2), "albhed_dummy", _xlfn.CONCAT("albhed ", RIGHT("  " &amp; K1104,2),", ", RIGHT("  " &amp; L1104,2), ", " ,"""",H1104,""", ", """",N1104,""", ","""",O1104,""""," ; ", A1104))</f>
        <v>albhed 11, 20, "쩨", "뻬", "찌" ; 삣</v>
      </c>
    </row>
    <row r="1105" customFormat="false" ht="17.9" hidden="false" customHeight="true" outlineLevel="0" collapsed="false">
      <c r="A1105" s="16" t="s">
        <v>1973</v>
      </c>
      <c r="B1105" s="16" t="n">
        <f aca="false">IF(_xlfn.UNICODE(A1105)&lt;44032,-1,_xlfn.UNICODE(A1105)-44032)</f>
        <v>5285</v>
      </c>
      <c r="C1105" s="16" t="n">
        <f aca="false">IF(B1105=-1,-1,INT((B1105/28)/21))</f>
        <v>8</v>
      </c>
      <c r="D1105" s="16" t="n">
        <f aca="false">IF(B1105=-1, -1, MOD(INT(B1105/28),21))</f>
        <v>20</v>
      </c>
      <c r="E1105" s="16" t="n">
        <f aca="false">IF(B1105=-1, -1, VLOOKUP(MOD(B1105,28), $T$24:$U$52,2))</f>
        <v>21</v>
      </c>
      <c r="F1105" s="16" t="n">
        <f aca="false">IF($B1105=-1, -1, VLOOKUP(C1105,$T$1:$V$20, 2))</f>
        <v>13</v>
      </c>
      <c r="G1105" s="16" t="n">
        <f aca="false">IF($B1105=-1, -1, VLOOKUP(D1105,$Y$1:$Z$22,2))</f>
        <v>5</v>
      </c>
      <c r="H1105" s="16" t="str">
        <f aca="false">_xlfn.UNICHAR(((F1105*21)+G1105)*28+44032)</f>
        <v>쩨</v>
      </c>
      <c r="I1105" s="16" t="n">
        <f aca="false">IF(B1105=-1, 1, COUNTIF($A$2:$A$3000, H1105))</f>
        <v>1</v>
      </c>
      <c r="J1105" s="10" t="str">
        <f aca="false">_xlfn.CONCAT(A1105, ",",H1105,",",I1105)</f>
        <v>삥,쩨,1</v>
      </c>
      <c r="K1105" s="16" t="n">
        <f aca="false">IF(B1105=-1,-1,VLOOKUP(C1105,$T$1:$V$20,3))</f>
        <v>11</v>
      </c>
      <c r="L1105" s="16" t="n">
        <f aca="false">IF(B1105=-1,-1,VLOOKUP(D1105,$Y$1:$AA$22,3))</f>
        <v>20</v>
      </c>
      <c r="N1105" s="10" t="str">
        <f aca="false">_xlfn.UNICHAR(((C1105*21)+G1105)*28+44032)</f>
        <v>뻬</v>
      </c>
      <c r="O1105" s="10" t="str">
        <f aca="false">_xlfn.UNICHAR(((F1105*21)+D1105)*28+44032)</f>
        <v>찌</v>
      </c>
      <c r="P1105" s="12" t="n">
        <f aca="false">COUNTIF($A$2:$A$3000, N1105) + COUNTIF($A$2:$A$3000, O1105)</f>
        <v>2</v>
      </c>
      <c r="Q1105" s="16" t="str">
        <f aca="false">IF(OR(B1105=-1,I1105=0, P1105&lt;&gt;2), "albhed_dummy", _xlfn.CONCAT("albhed ", RIGHT("  " &amp; K1105,2),", ", RIGHT("  " &amp; L1105,2), ", " ,"""",H1105,""", ", """",N1105,""", ","""",O1105,""""," ; ", A1105))</f>
        <v>albhed 11, 20, "쩨", "뻬", "찌" ; 삥</v>
      </c>
    </row>
    <row r="1106" customFormat="false" ht="17.9" hidden="false" customHeight="true" outlineLevel="0" collapsed="false">
      <c r="A1106" s="16" t="s">
        <v>1974</v>
      </c>
      <c r="B1106" s="16" t="n">
        <f aca="false">IF(_xlfn.UNICODE(A1106)&lt;44032,-1,_xlfn.UNICODE(A1106)-44032)</f>
        <v>5292</v>
      </c>
      <c r="C1106" s="16" t="n">
        <f aca="false">IF(B1106=-1,-1,INT((B1106/28)/21))</f>
        <v>9</v>
      </c>
      <c r="D1106" s="16" t="n">
        <f aca="false">IF(B1106=-1, -1, MOD(INT(B1106/28),21))</f>
        <v>0</v>
      </c>
      <c r="E1106" s="16" t="n">
        <f aca="false">IF(B1106=-1, -1, VLOOKUP(MOD(B1106,28), $T$24:$U$52,2))</f>
        <v>0</v>
      </c>
      <c r="F1106" s="16" t="n">
        <f aca="false">IF($B1106=-1, -1, VLOOKUP(C1106,$T$1:$V$20, 2))</f>
        <v>0</v>
      </c>
      <c r="G1106" s="16" t="n">
        <f aca="false">IF($B1106=-1, -1, VLOOKUP(D1106,$Y$1:$Z$22,2))</f>
        <v>13</v>
      </c>
      <c r="H1106" s="16" t="str">
        <f aca="false">_xlfn.UNICHAR(((F1106*21)+G1106)*28+44032)</f>
        <v>구</v>
      </c>
      <c r="I1106" s="16" t="n">
        <f aca="false">IF(B1106=-1, 1, COUNTIF($A$2:$A$3000, H1106))</f>
        <v>1</v>
      </c>
      <c r="J1106" s="10" t="str">
        <f aca="false">_xlfn.CONCAT(A1106, ",",H1106,",",I1106)</f>
        <v>사,구,1</v>
      </c>
      <c r="K1106" s="16" t="n">
        <f aca="false">IF(B1106=-1,-1,VLOOKUP(C1106,$T$1:$V$20,3))</f>
        <v>13</v>
      </c>
      <c r="L1106" s="16" t="n">
        <f aca="false">IF(B1106=-1,-1,VLOOKUP(D1106,$Y$1:$AA$22,3))</f>
        <v>2</v>
      </c>
      <c r="N1106" s="10" t="str">
        <f aca="false">_xlfn.UNICHAR(((C1106*21)+G1106)*28+44032)</f>
        <v>수</v>
      </c>
      <c r="O1106" s="10" t="str">
        <f aca="false">_xlfn.UNICHAR(((F1106*21)+D1106)*28+44032)</f>
        <v>가</v>
      </c>
      <c r="P1106" s="12" t="n">
        <f aca="false">COUNTIF($A$2:$A$3000, N1106) + COUNTIF($A$2:$A$3000, O1106)</f>
        <v>2</v>
      </c>
      <c r="Q1106" s="16" t="str">
        <f aca="false">IF(OR(B1106=-1,I1106=0, P1106&lt;&gt;2), "albhed_dummy", _xlfn.CONCAT("albhed ", RIGHT("  " &amp; K1106,2),", ", RIGHT("  " &amp; L1106,2), ", " ,"""",H1106,""", ", """",N1106,""", ","""",O1106,""""," ; ", A1106))</f>
        <v>albhed 13,  2, "구", "수", "가" ; 사</v>
      </c>
    </row>
    <row r="1107" customFormat="false" ht="17.9" hidden="false" customHeight="true" outlineLevel="0" collapsed="false">
      <c r="A1107" s="16" t="s">
        <v>1975</v>
      </c>
      <c r="B1107" s="16" t="n">
        <f aca="false">IF(_xlfn.UNICODE(A1107)&lt;44032,-1,_xlfn.UNICODE(A1107)-44032)</f>
        <v>5293</v>
      </c>
      <c r="C1107" s="16" t="n">
        <f aca="false">IF(B1107=-1,-1,INT((B1107/28)/21))</f>
        <v>9</v>
      </c>
      <c r="D1107" s="16" t="n">
        <f aca="false">IF(B1107=-1, -1, MOD(INT(B1107/28),21))</f>
        <v>0</v>
      </c>
      <c r="E1107" s="16" t="n">
        <f aca="false">IF(B1107=-1, -1, VLOOKUP(MOD(B1107,28), $T$24:$U$52,2))</f>
        <v>1</v>
      </c>
      <c r="F1107" s="16" t="n">
        <f aca="false">IF($B1107=-1, -1, VLOOKUP(C1107,$T$1:$V$20, 2))</f>
        <v>0</v>
      </c>
      <c r="G1107" s="16" t="n">
        <f aca="false">IF($B1107=-1, -1, VLOOKUP(D1107,$Y$1:$Z$22,2))</f>
        <v>13</v>
      </c>
      <c r="H1107" s="16" t="str">
        <f aca="false">_xlfn.UNICHAR(((F1107*21)+G1107)*28+44032)</f>
        <v>구</v>
      </c>
      <c r="I1107" s="16" t="n">
        <f aca="false">IF(B1107=-1, 1, COUNTIF($A$2:$A$3000, H1107))</f>
        <v>1</v>
      </c>
      <c r="J1107" s="10" t="str">
        <f aca="false">_xlfn.CONCAT(A1107, ",",H1107,",",I1107)</f>
        <v>삭,구,1</v>
      </c>
      <c r="K1107" s="16" t="n">
        <f aca="false">IF(B1107=-1,-1,VLOOKUP(C1107,$T$1:$V$20,3))</f>
        <v>13</v>
      </c>
      <c r="L1107" s="16" t="n">
        <f aca="false">IF(B1107=-1,-1,VLOOKUP(D1107,$Y$1:$AA$22,3))</f>
        <v>2</v>
      </c>
      <c r="N1107" s="10" t="str">
        <f aca="false">_xlfn.UNICHAR(((C1107*21)+G1107)*28+44032)</f>
        <v>수</v>
      </c>
      <c r="O1107" s="10" t="str">
        <f aca="false">_xlfn.UNICHAR(((F1107*21)+D1107)*28+44032)</f>
        <v>가</v>
      </c>
      <c r="P1107" s="12" t="n">
        <f aca="false">COUNTIF($A$2:$A$3000, N1107) + COUNTIF($A$2:$A$3000, O1107)</f>
        <v>2</v>
      </c>
      <c r="Q1107" s="16" t="str">
        <f aca="false">IF(OR(B1107=-1,I1107=0, P1107&lt;&gt;2), "albhed_dummy", _xlfn.CONCAT("albhed ", RIGHT("  " &amp; K1107,2),", ", RIGHT("  " &amp; L1107,2), ", " ,"""",H1107,""", ", """",N1107,""", ","""",O1107,""""," ; ", A1107))</f>
        <v>albhed 13,  2, "구", "수", "가" ; 삭</v>
      </c>
    </row>
    <row r="1108" customFormat="false" ht="17.9" hidden="false" customHeight="true" outlineLevel="0" collapsed="false">
      <c r="A1108" s="16" t="s">
        <v>1976</v>
      </c>
      <c r="B1108" s="16" t="n">
        <f aca="false">IF(_xlfn.UNICODE(A1108)&lt;44032,-1,_xlfn.UNICODE(A1108)-44032)</f>
        <v>5295</v>
      </c>
      <c r="C1108" s="16" t="n">
        <f aca="false">IF(B1108=-1,-1,INT((B1108/28)/21))</f>
        <v>9</v>
      </c>
      <c r="D1108" s="16" t="n">
        <f aca="false">IF(B1108=-1, -1, MOD(INT(B1108/28),21))</f>
        <v>0</v>
      </c>
      <c r="E1108" s="16" t="n">
        <f aca="false">IF(B1108=-1, -1, VLOOKUP(MOD(B1108,28), $T$24:$U$52,2))</f>
        <v>1</v>
      </c>
      <c r="F1108" s="16" t="n">
        <f aca="false">IF($B1108=-1, -1, VLOOKUP(C1108,$T$1:$V$20, 2))</f>
        <v>0</v>
      </c>
      <c r="G1108" s="16" t="n">
        <f aca="false">IF($B1108=-1, -1, VLOOKUP(D1108,$Y$1:$Z$22,2))</f>
        <v>13</v>
      </c>
      <c r="H1108" s="16" t="str">
        <f aca="false">_xlfn.UNICHAR(((F1108*21)+G1108)*28+44032)</f>
        <v>구</v>
      </c>
      <c r="I1108" s="16" t="n">
        <f aca="false">IF(B1108=-1, 1, COUNTIF($A$2:$A$3000, H1108))</f>
        <v>1</v>
      </c>
      <c r="J1108" s="10" t="str">
        <f aca="false">_xlfn.CONCAT(A1108, ",",H1108,",",I1108)</f>
        <v>삯,구,1</v>
      </c>
      <c r="K1108" s="16" t="n">
        <f aca="false">IF(B1108=-1,-1,VLOOKUP(C1108,$T$1:$V$20,3))</f>
        <v>13</v>
      </c>
      <c r="L1108" s="16" t="n">
        <f aca="false">IF(B1108=-1,-1,VLOOKUP(D1108,$Y$1:$AA$22,3))</f>
        <v>2</v>
      </c>
      <c r="N1108" s="10" t="str">
        <f aca="false">_xlfn.UNICHAR(((C1108*21)+G1108)*28+44032)</f>
        <v>수</v>
      </c>
      <c r="O1108" s="10" t="str">
        <f aca="false">_xlfn.UNICHAR(((F1108*21)+D1108)*28+44032)</f>
        <v>가</v>
      </c>
      <c r="P1108" s="12" t="n">
        <f aca="false">COUNTIF($A$2:$A$3000, N1108) + COUNTIF($A$2:$A$3000, O1108)</f>
        <v>2</v>
      </c>
      <c r="Q1108" s="16" t="str">
        <f aca="false">IF(OR(B1108=-1,I1108=0, P1108&lt;&gt;2), "albhed_dummy", _xlfn.CONCAT("albhed ", RIGHT("  " &amp; K1108,2),", ", RIGHT("  " &amp; L1108,2), ", " ,"""",H1108,""", ", """",N1108,""", ","""",O1108,""""," ; ", A1108))</f>
        <v>albhed 13,  2, "구", "수", "가" ; 삯</v>
      </c>
    </row>
    <row r="1109" customFormat="false" ht="17.9" hidden="false" customHeight="true" outlineLevel="0" collapsed="false">
      <c r="A1109" s="16" t="s">
        <v>1977</v>
      </c>
      <c r="B1109" s="16" t="n">
        <f aca="false">IF(_xlfn.UNICODE(A1109)&lt;44032,-1,_xlfn.UNICODE(A1109)-44032)</f>
        <v>5296</v>
      </c>
      <c r="C1109" s="16" t="n">
        <f aca="false">IF(B1109=-1,-1,INT((B1109/28)/21))</f>
        <v>9</v>
      </c>
      <c r="D1109" s="16" t="n">
        <f aca="false">IF(B1109=-1, -1, MOD(INT(B1109/28),21))</f>
        <v>0</v>
      </c>
      <c r="E1109" s="16" t="n">
        <f aca="false">IF(B1109=-1, -1, VLOOKUP(MOD(B1109,28), $T$24:$U$52,2))</f>
        <v>4</v>
      </c>
      <c r="F1109" s="16" t="n">
        <f aca="false">IF($B1109=-1, -1, VLOOKUP(C1109,$T$1:$V$20, 2))</f>
        <v>0</v>
      </c>
      <c r="G1109" s="16" t="n">
        <f aca="false">IF($B1109=-1, -1, VLOOKUP(D1109,$Y$1:$Z$22,2))</f>
        <v>13</v>
      </c>
      <c r="H1109" s="16" t="str">
        <f aca="false">_xlfn.UNICHAR(((F1109*21)+G1109)*28+44032)</f>
        <v>구</v>
      </c>
      <c r="I1109" s="16" t="n">
        <f aca="false">IF(B1109=-1, 1, COUNTIF($A$2:$A$3000, H1109))</f>
        <v>1</v>
      </c>
      <c r="J1109" s="10" t="str">
        <f aca="false">_xlfn.CONCAT(A1109, ",",H1109,",",I1109)</f>
        <v>산,구,1</v>
      </c>
      <c r="K1109" s="16" t="n">
        <f aca="false">IF(B1109=-1,-1,VLOOKUP(C1109,$T$1:$V$20,3))</f>
        <v>13</v>
      </c>
      <c r="L1109" s="16" t="n">
        <f aca="false">IF(B1109=-1,-1,VLOOKUP(D1109,$Y$1:$AA$22,3))</f>
        <v>2</v>
      </c>
      <c r="N1109" s="10" t="str">
        <f aca="false">_xlfn.UNICHAR(((C1109*21)+G1109)*28+44032)</f>
        <v>수</v>
      </c>
      <c r="O1109" s="10" t="str">
        <f aca="false">_xlfn.UNICHAR(((F1109*21)+D1109)*28+44032)</f>
        <v>가</v>
      </c>
      <c r="P1109" s="12" t="n">
        <f aca="false">COUNTIF($A$2:$A$3000, N1109) + COUNTIF($A$2:$A$3000, O1109)</f>
        <v>2</v>
      </c>
      <c r="Q1109" s="16" t="str">
        <f aca="false">IF(OR(B1109=-1,I1109=0, P1109&lt;&gt;2), "albhed_dummy", _xlfn.CONCAT("albhed ", RIGHT("  " &amp; K1109,2),", ", RIGHT("  " &amp; L1109,2), ", " ,"""",H1109,""", ", """",N1109,""", ","""",O1109,""""," ; ", A1109))</f>
        <v>albhed 13,  2, "구", "수", "가" ; 산</v>
      </c>
    </row>
    <row r="1110" customFormat="false" ht="17.9" hidden="false" customHeight="true" outlineLevel="0" collapsed="false">
      <c r="A1110" s="16" t="s">
        <v>1978</v>
      </c>
      <c r="B1110" s="16" t="n">
        <f aca="false">IF(_xlfn.UNICODE(A1110)&lt;44032,-1,_xlfn.UNICODE(A1110)-44032)</f>
        <v>5299</v>
      </c>
      <c r="C1110" s="16" t="n">
        <f aca="false">IF(B1110=-1,-1,INT((B1110/28)/21))</f>
        <v>9</v>
      </c>
      <c r="D1110" s="16" t="n">
        <f aca="false">IF(B1110=-1, -1, MOD(INT(B1110/28),21))</f>
        <v>0</v>
      </c>
      <c r="E1110" s="16" t="n">
        <f aca="false">IF(B1110=-1, -1, VLOOKUP(MOD(B1110,28), $T$24:$U$52,2))</f>
        <v>19</v>
      </c>
      <c r="F1110" s="16" t="n">
        <f aca="false">IF($B1110=-1, -1, VLOOKUP(C1110,$T$1:$V$20, 2))</f>
        <v>0</v>
      </c>
      <c r="G1110" s="16" t="n">
        <f aca="false">IF($B1110=-1, -1, VLOOKUP(D1110,$Y$1:$Z$22,2))</f>
        <v>13</v>
      </c>
      <c r="H1110" s="16" t="str">
        <f aca="false">_xlfn.UNICHAR(((F1110*21)+G1110)*28+44032)</f>
        <v>구</v>
      </c>
      <c r="I1110" s="16" t="n">
        <f aca="false">IF(B1110=-1, 1, COUNTIF($A$2:$A$3000, H1110))</f>
        <v>1</v>
      </c>
      <c r="J1110" s="10" t="str">
        <f aca="false">_xlfn.CONCAT(A1110, ",",H1110,",",I1110)</f>
        <v>삳,구,1</v>
      </c>
      <c r="K1110" s="16" t="n">
        <f aca="false">IF(B1110=-1,-1,VLOOKUP(C1110,$T$1:$V$20,3))</f>
        <v>13</v>
      </c>
      <c r="L1110" s="16" t="n">
        <f aca="false">IF(B1110=-1,-1,VLOOKUP(D1110,$Y$1:$AA$22,3))</f>
        <v>2</v>
      </c>
      <c r="N1110" s="10" t="str">
        <f aca="false">_xlfn.UNICHAR(((C1110*21)+G1110)*28+44032)</f>
        <v>수</v>
      </c>
      <c r="O1110" s="10" t="str">
        <f aca="false">_xlfn.UNICHAR(((F1110*21)+D1110)*28+44032)</f>
        <v>가</v>
      </c>
      <c r="P1110" s="12" t="n">
        <f aca="false">COUNTIF($A$2:$A$3000, N1110) + COUNTIF($A$2:$A$3000, O1110)</f>
        <v>2</v>
      </c>
      <c r="Q1110" s="16" t="str">
        <f aca="false">IF(OR(B1110=-1,I1110=0, P1110&lt;&gt;2), "albhed_dummy", _xlfn.CONCAT("albhed ", RIGHT("  " &amp; K1110,2),", ", RIGHT("  " &amp; L1110,2), ", " ,"""",H1110,""", ", """",N1110,""", ","""",O1110,""""," ; ", A1110))</f>
        <v>albhed 13,  2, "구", "수", "가" ; 삳</v>
      </c>
    </row>
    <row r="1111" customFormat="false" ht="17.9" hidden="false" customHeight="true" outlineLevel="0" collapsed="false">
      <c r="A1111" s="16" t="s">
        <v>1979</v>
      </c>
      <c r="B1111" s="16" t="n">
        <f aca="false">IF(_xlfn.UNICODE(A1111)&lt;44032,-1,_xlfn.UNICODE(A1111)-44032)</f>
        <v>5300</v>
      </c>
      <c r="C1111" s="16" t="n">
        <f aca="false">IF(B1111=-1,-1,INT((B1111/28)/21))</f>
        <v>9</v>
      </c>
      <c r="D1111" s="16" t="n">
        <f aca="false">IF(B1111=-1, -1, MOD(INT(B1111/28),21))</f>
        <v>0</v>
      </c>
      <c r="E1111" s="16" t="n">
        <f aca="false">IF(B1111=-1, -1, VLOOKUP(MOD(B1111,28), $T$24:$U$52,2))</f>
        <v>8</v>
      </c>
      <c r="F1111" s="16" t="n">
        <f aca="false">IF($B1111=-1, -1, VLOOKUP(C1111,$T$1:$V$20, 2))</f>
        <v>0</v>
      </c>
      <c r="G1111" s="16" t="n">
        <f aca="false">IF($B1111=-1, -1, VLOOKUP(D1111,$Y$1:$Z$22,2))</f>
        <v>13</v>
      </c>
      <c r="H1111" s="16" t="str">
        <f aca="false">_xlfn.UNICHAR(((F1111*21)+G1111)*28+44032)</f>
        <v>구</v>
      </c>
      <c r="I1111" s="16" t="n">
        <f aca="false">IF(B1111=-1, 1, COUNTIF($A$2:$A$3000, H1111))</f>
        <v>1</v>
      </c>
      <c r="J1111" s="10" t="str">
        <f aca="false">_xlfn.CONCAT(A1111, ",",H1111,",",I1111)</f>
        <v>살,구,1</v>
      </c>
      <c r="K1111" s="16" t="n">
        <f aca="false">IF(B1111=-1,-1,VLOOKUP(C1111,$T$1:$V$20,3))</f>
        <v>13</v>
      </c>
      <c r="L1111" s="16" t="n">
        <f aca="false">IF(B1111=-1,-1,VLOOKUP(D1111,$Y$1:$AA$22,3))</f>
        <v>2</v>
      </c>
      <c r="N1111" s="10" t="str">
        <f aca="false">_xlfn.UNICHAR(((C1111*21)+G1111)*28+44032)</f>
        <v>수</v>
      </c>
      <c r="O1111" s="10" t="str">
        <f aca="false">_xlfn.UNICHAR(((F1111*21)+D1111)*28+44032)</f>
        <v>가</v>
      </c>
      <c r="P1111" s="12" t="n">
        <f aca="false">COUNTIF($A$2:$A$3000, N1111) + COUNTIF($A$2:$A$3000, O1111)</f>
        <v>2</v>
      </c>
      <c r="Q1111" s="16" t="str">
        <f aca="false">IF(OR(B1111=-1,I1111=0, P1111&lt;&gt;2), "albhed_dummy", _xlfn.CONCAT("albhed ", RIGHT("  " &amp; K1111,2),", ", RIGHT("  " &amp; L1111,2), ", " ,"""",H1111,""", ", """",N1111,""", ","""",O1111,""""," ; ", A1111))</f>
        <v>albhed 13,  2, "구", "수", "가" ; 살</v>
      </c>
    </row>
    <row r="1112" customFormat="false" ht="17.9" hidden="false" customHeight="true" outlineLevel="0" collapsed="false">
      <c r="A1112" s="16" t="s">
        <v>1980</v>
      </c>
      <c r="B1112" s="16" t="n">
        <f aca="false">IF(_xlfn.UNICODE(A1112)&lt;44032,-1,_xlfn.UNICODE(A1112)-44032)</f>
        <v>5301</v>
      </c>
      <c r="C1112" s="16" t="n">
        <f aca="false">IF(B1112=-1,-1,INT((B1112/28)/21))</f>
        <v>9</v>
      </c>
      <c r="D1112" s="16" t="n">
        <f aca="false">IF(B1112=-1, -1, MOD(INT(B1112/28),21))</f>
        <v>0</v>
      </c>
      <c r="E1112" s="16" t="n">
        <f aca="false">IF(B1112=-1, -1, VLOOKUP(MOD(B1112,28), $T$24:$U$52,2))</f>
        <v>8</v>
      </c>
      <c r="F1112" s="16" t="n">
        <f aca="false">IF($B1112=-1, -1, VLOOKUP(C1112,$T$1:$V$20, 2))</f>
        <v>0</v>
      </c>
      <c r="G1112" s="16" t="n">
        <f aca="false">IF($B1112=-1, -1, VLOOKUP(D1112,$Y$1:$Z$22,2))</f>
        <v>13</v>
      </c>
      <c r="H1112" s="16" t="str">
        <f aca="false">_xlfn.UNICHAR(((F1112*21)+G1112)*28+44032)</f>
        <v>구</v>
      </c>
      <c r="I1112" s="16" t="n">
        <f aca="false">IF(B1112=-1, 1, COUNTIF($A$2:$A$3000, H1112))</f>
        <v>1</v>
      </c>
      <c r="J1112" s="10" t="str">
        <f aca="false">_xlfn.CONCAT(A1112, ",",H1112,",",I1112)</f>
        <v>삵,구,1</v>
      </c>
      <c r="K1112" s="16" t="n">
        <f aca="false">IF(B1112=-1,-1,VLOOKUP(C1112,$T$1:$V$20,3))</f>
        <v>13</v>
      </c>
      <c r="L1112" s="16" t="n">
        <f aca="false">IF(B1112=-1,-1,VLOOKUP(D1112,$Y$1:$AA$22,3))</f>
        <v>2</v>
      </c>
      <c r="N1112" s="10" t="str">
        <f aca="false">_xlfn.UNICHAR(((C1112*21)+G1112)*28+44032)</f>
        <v>수</v>
      </c>
      <c r="O1112" s="10" t="str">
        <f aca="false">_xlfn.UNICHAR(((F1112*21)+D1112)*28+44032)</f>
        <v>가</v>
      </c>
      <c r="P1112" s="12" t="n">
        <f aca="false">COUNTIF($A$2:$A$3000, N1112) + COUNTIF($A$2:$A$3000, O1112)</f>
        <v>2</v>
      </c>
      <c r="Q1112" s="16" t="str">
        <f aca="false">IF(OR(B1112=-1,I1112=0, P1112&lt;&gt;2), "albhed_dummy", _xlfn.CONCAT("albhed ", RIGHT("  " &amp; K1112,2),", ", RIGHT("  " &amp; L1112,2), ", " ,"""",H1112,""", ", """",N1112,""", ","""",O1112,""""," ; ", A1112))</f>
        <v>albhed 13,  2, "구", "수", "가" ; 삵</v>
      </c>
    </row>
    <row r="1113" customFormat="false" ht="17.9" hidden="false" customHeight="true" outlineLevel="0" collapsed="false">
      <c r="A1113" s="16" t="s">
        <v>1981</v>
      </c>
      <c r="B1113" s="16" t="n">
        <f aca="false">IF(_xlfn.UNICODE(A1113)&lt;44032,-1,_xlfn.UNICODE(A1113)-44032)</f>
        <v>5302</v>
      </c>
      <c r="C1113" s="16" t="n">
        <f aca="false">IF(B1113=-1,-1,INT((B1113/28)/21))</f>
        <v>9</v>
      </c>
      <c r="D1113" s="16" t="n">
        <f aca="false">IF(B1113=-1, -1, MOD(INT(B1113/28),21))</f>
        <v>0</v>
      </c>
      <c r="E1113" s="16" t="n">
        <f aca="false">IF(B1113=-1, -1, VLOOKUP(MOD(B1113,28), $T$24:$U$52,2))</f>
        <v>8</v>
      </c>
      <c r="F1113" s="16" t="n">
        <f aca="false">IF($B1113=-1, -1, VLOOKUP(C1113,$T$1:$V$20, 2))</f>
        <v>0</v>
      </c>
      <c r="G1113" s="16" t="n">
        <f aca="false">IF($B1113=-1, -1, VLOOKUP(D1113,$Y$1:$Z$22,2))</f>
        <v>13</v>
      </c>
      <c r="H1113" s="16" t="str">
        <f aca="false">_xlfn.UNICHAR(((F1113*21)+G1113)*28+44032)</f>
        <v>구</v>
      </c>
      <c r="I1113" s="16" t="n">
        <f aca="false">IF(B1113=-1, 1, COUNTIF($A$2:$A$3000, H1113))</f>
        <v>1</v>
      </c>
      <c r="J1113" s="10" t="str">
        <f aca="false">_xlfn.CONCAT(A1113, ",",H1113,",",I1113)</f>
        <v>삶,구,1</v>
      </c>
      <c r="K1113" s="16" t="n">
        <f aca="false">IF(B1113=-1,-1,VLOOKUP(C1113,$T$1:$V$20,3))</f>
        <v>13</v>
      </c>
      <c r="L1113" s="16" t="n">
        <f aca="false">IF(B1113=-1,-1,VLOOKUP(D1113,$Y$1:$AA$22,3))</f>
        <v>2</v>
      </c>
      <c r="N1113" s="10" t="str">
        <f aca="false">_xlfn.UNICHAR(((C1113*21)+G1113)*28+44032)</f>
        <v>수</v>
      </c>
      <c r="O1113" s="10" t="str">
        <f aca="false">_xlfn.UNICHAR(((F1113*21)+D1113)*28+44032)</f>
        <v>가</v>
      </c>
      <c r="P1113" s="12" t="n">
        <f aca="false">COUNTIF($A$2:$A$3000, N1113) + COUNTIF($A$2:$A$3000, O1113)</f>
        <v>2</v>
      </c>
      <c r="Q1113" s="16" t="str">
        <f aca="false">IF(OR(B1113=-1,I1113=0, P1113&lt;&gt;2), "albhed_dummy", _xlfn.CONCAT("albhed ", RIGHT("  " &amp; K1113,2),", ", RIGHT("  " &amp; L1113,2), ", " ,"""",H1113,""", ", """",N1113,""", ","""",O1113,""""," ; ", A1113))</f>
        <v>albhed 13,  2, "구", "수", "가" ; 삶</v>
      </c>
    </row>
    <row r="1114" customFormat="false" ht="17.9" hidden="false" customHeight="true" outlineLevel="0" collapsed="false">
      <c r="A1114" s="16" t="s">
        <v>1982</v>
      </c>
      <c r="B1114" s="16" t="n">
        <f aca="false">IF(_xlfn.UNICODE(A1114)&lt;44032,-1,_xlfn.UNICODE(A1114)-44032)</f>
        <v>5308</v>
      </c>
      <c r="C1114" s="16" t="n">
        <f aca="false">IF(B1114=-1,-1,INT((B1114/28)/21))</f>
        <v>9</v>
      </c>
      <c r="D1114" s="16" t="n">
        <f aca="false">IF(B1114=-1, -1, MOD(INT(B1114/28),21))</f>
        <v>0</v>
      </c>
      <c r="E1114" s="16" t="n">
        <f aca="false">IF(B1114=-1, -1, VLOOKUP(MOD(B1114,28), $T$24:$U$52,2))</f>
        <v>16</v>
      </c>
      <c r="F1114" s="16" t="n">
        <f aca="false">IF($B1114=-1, -1, VLOOKUP(C1114,$T$1:$V$20, 2))</f>
        <v>0</v>
      </c>
      <c r="G1114" s="16" t="n">
        <f aca="false">IF($B1114=-1, -1, VLOOKUP(D1114,$Y$1:$Z$22,2))</f>
        <v>13</v>
      </c>
      <c r="H1114" s="16" t="str">
        <f aca="false">_xlfn.UNICHAR(((F1114*21)+G1114)*28+44032)</f>
        <v>구</v>
      </c>
      <c r="I1114" s="16" t="n">
        <f aca="false">IF(B1114=-1, 1, COUNTIF($A$2:$A$3000, H1114))</f>
        <v>1</v>
      </c>
      <c r="J1114" s="10" t="str">
        <f aca="false">_xlfn.CONCAT(A1114, ",",H1114,",",I1114)</f>
        <v>삼,구,1</v>
      </c>
      <c r="K1114" s="16" t="n">
        <f aca="false">IF(B1114=-1,-1,VLOOKUP(C1114,$T$1:$V$20,3))</f>
        <v>13</v>
      </c>
      <c r="L1114" s="16" t="n">
        <f aca="false">IF(B1114=-1,-1,VLOOKUP(D1114,$Y$1:$AA$22,3))</f>
        <v>2</v>
      </c>
      <c r="N1114" s="10" t="str">
        <f aca="false">_xlfn.UNICHAR(((C1114*21)+G1114)*28+44032)</f>
        <v>수</v>
      </c>
      <c r="O1114" s="10" t="str">
        <f aca="false">_xlfn.UNICHAR(((F1114*21)+D1114)*28+44032)</f>
        <v>가</v>
      </c>
      <c r="P1114" s="12" t="n">
        <f aca="false">COUNTIF($A$2:$A$3000, N1114) + COUNTIF($A$2:$A$3000, O1114)</f>
        <v>2</v>
      </c>
      <c r="Q1114" s="16" t="str">
        <f aca="false">IF(OR(B1114=-1,I1114=0, P1114&lt;&gt;2), "albhed_dummy", _xlfn.CONCAT("albhed ", RIGHT("  " &amp; K1114,2),", ", RIGHT("  " &amp; L1114,2), ", " ,"""",H1114,""", ", """",N1114,""", ","""",O1114,""""," ; ", A1114))</f>
        <v>albhed 13,  2, "구", "수", "가" ; 삼</v>
      </c>
    </row>
    <row r="1115" customFormat="false" ht="17.9" hidden="false" customHeight="true" outlineLevel="0" collapsed="false">
      <c r="A1115" s="16" t="s">
        <v>1983</v>
      </c>
      <c r="B1115" s="16" t="n">
        <f aca="false">IF(_xlfn.UNICODE(A1115)&lt;44032,-1,_xlfn.UNICODE(A1115)-44032)</f>
        <v>5309</v>
      </c>
      <c r="C1115" s="16" t="n">
        <f aca="false">IF(B1115=-1,-1,INT((B1115/28)/21))</f>
        <v>9</v>
      </c>
      <c r="D1115" s="16" t="n">
        <f aca="false">IF(B1115=-1, -1, MOD(INT(B1115/28),21))</f>
        <v>0</v>
      </c>
      <c r="E1115" s="16" t="n">
        <f aca="false">IF(B1115=-1, -1, VLOOKUP(MOD(B1115,28), $T$24:$U$52,2))</f>
        <v>17</v>
      </c>
      <c r="F1115" s="16" t="n">
        <f aca="false">IF($B1115=-1, -1, VLOOKUP(C1115,$T$1:$V$20, 2))</f>
        <v>0</v>
      </c>
      <c r="G1115" s="16" t="n">
        <f aca="false">IF($B1115=-1, -1, VLOOKUP(D1115,$Y$1:$Z$22,2))</f>
        <v>13</v>
      </c>
      <c r="H1115" s="16" t="str">
        <f aca="false">_xlfn.UNICHAR(((F1115*21)+G1115)*28+44032)</f>
        <v>구</v>
      </c>
      <c r="I1115" s="16" t="n">
        <f aca="false">IF(B1115=-1, 1, COUNTIF($A$2:$A$3000, H1115))</f>
        <v>1</v>
      </c>
      <c r="J1115" s="10" t="str">
        <f aca="false">_xlfn.CONCAT(A1115, ",",H1115,",",I1115)</f>
        <v>삽,구,1</v>
      </c>
      <c r="K1115" s="16" t="n">
        <f aca="false">IF(B1115=-1,-1,VLOOKUP(C1115,$T$1:$V$20,3))</f>
        <v>13</v>
      </c>
      <c r="L1115" s="16" t="n">
        <f aca="false">IF(B1115=-1,-1,VLOOKUP(D1115,$Y$1:$AA$22,3))</f>
        <v>2</v>
      </c>
      <c r="N1115" s="10" t="str">
        <f aca="false">_xlfn.UNICHAR(((C1115*21)+G1115)*28+44032)</f>
        <v>수</v>
      </c>
      <c r="O1115" s="10" t="str">
        <f aca="false">_xlfn.UNICHAR(((F1115*21)+D1115)*28+44032)</f>
        <v>가</v>
      </c>
      <c r="P1115" s="12" t="n">
        <f aca="false">COUNTIF($A$2:$A$3000, N1115) + COUNTIF($A$2:$A$3000, O1115)</f>
        <v>2</v>
      </c>
      <c r="Q1115" s="16" t="str">
        <f aca="false">IF(OR(B1115=-1,I1115=0, P1115&lt;&gt;2), "albhed_dummy", _xlfn.CONCAT("albhed ", RIGHT("  " &amp; K1115,2),", ", RIGHT("  " &amp; L1115,2), ", " ,"""",H1115,""", ", """",N1115,""", ","""",O1115,""""," ; ", A1115))</f>
        <v>albhed 13,  2, "구", "수", "가" ; 삽</v>
      </c>
    </row>
    <row r="1116" customFormat="false" ht="17.9" hidden="false" customHeight="true" outlineLevel="0" collapsed="false">
      <c r="A1116" s="16" t="s">
        <v>1984</v>
      </c>
      <c r="B1116" s="16" t="n">
        <f aca="false">IF(_xlfn.UNICODE(A1116)&lt;44032,-1,_xlfn.UNICODE(A1116)-44032)</f>
        <v>5311</v>
      </c>
      <c r="C1116" s="16" t="n">
        <f aca="false">IF(B1116=-1,-1,INT((B1116/28)/21))</f>
        <v>9</v>
      </c>
      <c r="D1116" s="16" t="n">
        <f aca="false">IF(B1116=-1, -1, MOD(INT(B1116/28),21))</f>
        <v>0</v>
      </c>
      <c r="E1116" s="16" t="n">
        <f aca="false">IF(B1116=-1, -1, VLOOKUP(MOD(B1116,28), $T$24:$U$52,2))</f>
        <v>19</v>
      </c>
      <c r="F1116" s="16" t="n">
        <f aca="false">IF($B1116=-1, -1, VLOOKUP(C1116,$T$1:$V$20, 2))</f>
        <v>0</v>
      </c>
      <c r="G1116" s="16" t="n">
        <f aca="false">IF($B1116=-1, -1, VLOOKUP(D1116,$Y$1:$Z$22,2))</f>
        <v>13</v>
      </c>
      <c r="H1116" s="16" t="str">
        <f aca="false">_xlfn.UNICHAR(((F1116*21)+G1116)*28+44032)</f>
        <v>구</v>
      </c>
      <c r="I1116" s="16" t="n">
        <f aca="false">IF(B1116=-1, 1, COUNTIF($A$2:$A$3000, H1116))</f>
        <v>1</v>
      </c>
      <c r="J1116" s="10" t="str">
        <f aca="false">_xlfn.CONCAT(A1116, ",",H1116,",",I1116)</f>
        <v>삿,구,1</v>
      </c>
      <c r="K1116" s="16" t="n">
        <f aca="false">IF(B1116=-1,-1,VLOOKUP(C1116,$T$1:$V$20,3))</f>
        <v>13</v>
      </c>
      <c r="L1116" s="16" t="n">
        <f aca="false">IF(B1116=-1,-1,VLOOKUP(D1116,$Y$1:$AA$22,3))</f>
        <v>2</v>
      </c>
      <c r="N1116" s="10" t="str">
        <f aca="false">_xlfn.UNICHAR(((C1116*21)+G1116)*28+44032)</f>
        <v>수</v>
      </c>
      <c r="O1116" s="10" t="str">
        <f aca="false">_xlfn.UNICHAR(((F1116*21)+D1116)*28+44032)</f>
        <v>가</v>
      </c>
      <c r="P1116" s="12" t="n">
        <f aca="false">COUNTIF($A$2:$A$3000, N1116) + COUNTIF($A$2:$A$3000, O1116)</f>
        <v>2</v>
      </c>
      <c r="Q1116" s="16" t="str">
        <f aca="false">IF(OR(B1116=-1,I1116=0, P1116&lt;&gt;2), "albhed_dummy", _xlfn.CONCAT("albhed ", RIGHT("  " &amp; K1116,2),", ", RIGHT("  " &amp; L1116,2), ", " ,"""",H1116,""", ", """",N1116,""", ","""",O1116,""""," ; ", A1116))</f>
        <v>albhed 13,  2, "구", "수", "가" ; 삿</v>
      </c>
    </row>
    <row r="1117" customFormat="false" ht="17.9" hidden="false" customHeight="true" outlineLevel="0" collapsed="false">
      <c r="A1117" s="16" t="s">
        <v>1985</v>
      </c>
      <c r="B1117" s="16" t="n">
        <f aca="false">IF(_xlfn.UNICODE(A1117)&lt;44032,-1,_xlfn.UNICODE(A1117)-44032)</f>
        <v>5312</v>
      </c>
      <c r="C1117" s="16" t="n">
        <f aca="false">IF(B1117=-1,-1,INT((B1117/28)/21))</f>
        <v>9</v>
      </c>
      <c r="D1117" s="16" t="n">
        <f aca="false">IF(B1117=-1, -1, MOD(INT(B1117/28),21))</f>
        <v>0</v>
      </c>
      <c r="E1117" s="16" t="n">
        <f aca="false">IF(B1117=-1, -1, VLOOKUP(MOD(B1117,28), $T$24:$U$52,2))</f>
        <v>19</v>
      </c>
      <c r="F1117" s="16" t="n">
        <f aca="false">IF($B1117=-1, -1, VLOOKUP(C1117,$T$1:$V$20, 2))</f>
        <v>0</v>
      </c>
      <c r="G1117" s="16" t="n">
        <f aca="false">IF($B1117=-1, -1, VLOOKUP(D1117,$Y$1:$Z$22,2))</f>
        <v>13</v>
      </c>
      <c r="H1117" s="16" t="str">
        <f aca="false">_xlfn.UNICHAR(((F1117*21)+G1117)*28+44032)</f>
        <v>구</v>
      </c>
      <c r="I1117" s="16" t="n">
        <f aca="false">IF(B1117=-1, 1, COUNTIF($A$2:$A$3000, H1117))</f>
        <v>1</v>
      </c>
      <c r="J1117" s="10" t="str">
        <f aca="false">_xlfn.CONCAT(A1117, ",",H1117,",",I1117)</f>
        <v>샀,구,1</v>
      </c>
      <c r="K1117" s="16" t="n">
        <f aca="false">IF(B1117=-1,-1,VLOOKUP(C1117,$T$1:$V$20,3))</f>
        <v>13</v>
      </c>
      <c r="L1117" s="16" t="n">
        <f aca="false">IF(B1117=-1,-1,VLOOKUP(D1117,$Y$1:$AA$22,3))</f>
        <v>2</v>
      </c>
      <c r="N1117" s="10" t="str">
        <f aca="false">_xlfn.UNICHAR(((C1117*21)+G1117)*28+44032)</f>
        <v>수</v>
      </c>
      <c r="O1117" s="10" t="str">
        <f aca="false">_xlfn.UNICHAR(((F1117*21)+D1117)*28+44032)</f>
        <v>가</v>
      </c>
      <c r="P1117" s="12" t="n">
        <f aca="false">COUNTIF($A$2:$A$3000, N1117) + COUNTIF($A$2:$A$3000, O1117)</f>
        <v>2</v>
      </c>
      <c r="Q1117" s="16" t="str">
        <f aca="false">IF(OR(B1117=-1,I1117=0, P1117&lt;&gt;2), "albhed_dummy", _xlfn.CONCAT("albhed ", RIGHT("  " &amp; K1117,2),", ", RIGHT("  " &amp; L1117,2), ", " ,"""",H1117,""", ", """",N1117,""", ","""",O1117,""""," ; ", A1117))</f>
        <v>albhed 13,  2, "구", "수", "가" ; 샀</v>
      </c>
    </row>
    <row r="1118" customFormat="false" ht="17.9" hidden="false" customHeight="true" outlineLevel="0" collapsed="false">
      <c r="A1118" s="16" t="s">
        <v>1986</v>
      </c>
      <c r="B1118" s="16" t="n">
        <f aca="false">IF(_xlfn.UNICODE(A1118)&lt;44032,-1,_xlfn.UNICODE(A1118)-44032)</f>
        <v>5313</v>
      </c>
      <c r="C1118" s="16" t="n">
        <f aca="false">IF(B1118=-1,-1,INT((B1118/28)/21))</f>
        <v>9</v>
      </c>
      <c r="D1118" s="16" t="n">
        <f aca="false">IF(B1118=-1, -1, MOD(INT(B1118/28),21))</f>
        <v>0</v>
      </c>
      <c r="E1118" s="16" t="n">
        <f aca="false">IF(B1118=-1, -1, VLOOKUP(MOD(B1118,28), $T$24:$U$52,2))</f>
        <v>21</v>
      </c>
      <c r="F1118" s="16" t="n">
        <f aca="false">IF($B1118=-1, -1, VLOOKUP(C1118,$T$1:$V$20, 2))</f>
        <v>0</v>
      </c>
      <c r="G1118" s="16" t="n">
        <f aca="false">IF($B1118=-1, -1, VLOOKUP(D1118,$Y$1:$Z$22,2))</f>
        <v>13</v>
      </c>
      <c r="H1118" s="16" t="str">
        <f aca="false">_xlfn.UNICHAR(((F1118*21)+G1118)*28+44032)</f>
        <v>구</v>
      </c>
      <c r="I1118" s="16" t="n">
        <f aca="false">IF(B1118=-1, 1, COUNTIF($A$2:$A$3000, H1118))</f>
        <v>1</v>
      </c>
      <c r="J1118" s="10" t="str">
        <f aca="false">_xlfn.CONCAT(A1118, ",",H1118,",",I1118)</f>
        <v>상,구,1</v>
      </c>
      <c r="K1118" s="16" t="n">
        <f aca="false">IF(B1118=-1,-1,VLOOKUP(C1118,$T$1:$V$20,3))</f>
        <v>13</v>
      </c>
      <c r="L1118" s="16" t="n">
        <f aca="false">IF(B1118=-1,-1,VLOOKUP(D1118,$Y$1:$AA$22,3))</f>
        <v>2</v>
      </c>
      <c r="N1118" s="10" t="str">
        <f aca="false">_xlfn.UNICHAR(((C1118*21)+G1118)*28+44032)</f>
        <v>수</v>
      </c>
      <c r="O1118" s="10" t="str">
        <f aca="false">_xlfn.UNICHAR(((F1118*21)+D1118)*28+44032)</f>
        <v>가</v>
      </c>
      <c r="P1118" s="12" t="n">
        <f aca="false">COUNTIF($A$2:$A$3000, N1118) + COUNTIF($A$2:$A$3000, O1118)</f>
        <v>2</v>
      </c>
      <c r="Q1118" s="16" t="str">
        <f aca="false">IF(OR(B1118=-1,I1118=0, P1118&lt;&gt;2), "albhed_dummy", _xlfn.CONCAT("albhed ", RIGHT("  " &amp; K1118,2),", ", RIGHT("  " &amp; L1118,2), ", " ,"""",H1118,""", ", """",N1118,""", ","""",O1118,""""," ; ", A1118))</f>
        <v>albhed 13,  2, "구", "수", "가" ; 상</v>
      </c>
    </row>
    <row r="1119" customFormat="false" ht="17.9" hidden="false" customHeight="true" outlineLevel="0" collapsed="false">
      <c r="A1119" s="16" t="s">
        <v>1987</v>
      </c>
      <c r="B1119" s="16" t="n">
        <f aca="false">IF(_xlfn.UNICODE(A1119)&lt;44032,-1,_xlfn.UNICODE(A1119)-44032)</f>
        <v>5317</v>
      </c>
      <c r="C1119" s="16" t="n">
        <f aca="false">IF(B1119=-1,-1,INT((B1119/28)/21))</f>
        <v>9</v>
      </c>
      <c r="D1119" s="16" t="n">
        <f aca="false">IF(B1119=-1, -1, MOD(INT(B1119/28),21))</f>
        <v>0</v>
      </c>
      <c r="E1119" s="16" t="n">
        <f aca="false">IF(B1119=-1, -1, VLOOKUP(MOD(B1119,28), $T$24:$U$52,2))</f>
        <v>19</v>
      </c>
      <c r="F1119" s="16" t="n">
        <f aca="false">IF($B1119=-1, -1, VLOOKUP(C1119,$T$1:$V$20, 2))</f>
        <v>0</v>
      </c>
      <c r="G1119" s="16" t="n">
        <f aca="false">IF($B1119=-1, -1, VLOOKUP(D1119,$Y$1:$Z$22,2))</f>
        <v>13</v>
      </c>
      <c r="H1119" s="16" t="str">
        <f aca="false">_xlfn.UNICHAR(((F1119*21)+G1119)*28+44032)</f>
        <v>구</v>
      </c>
      <c r="I1119" s="16" t="n">
        <f aca="false">IF(B1119=-1, 1, COUNTIF($A$2:$A$3000, H1119))</f>
        <v>1</v>
      </c>
      <c r="J1119" s="10" t="str">
        <f aca="false">_xlfn.CONCAT(A1119, ",",H1119,",",I1119)</f>
        <v>샅,구,1</v>
      </c>
      <c r="K1119" s="16" t="n">
        <f aca="false">IF(B1119=-1,-1,VLOOKUP(C1119,$T$1:$V$20,3))</f>
        <v>13</v>
      </c>
      <c r="L1119" s="16" t="n">
        <f aca="false">IF(B1119=-1,-1,VLOOKUP(D1119,$Y$1:$AA$22,3))</f>
        <v>2</v>
      </c>
      <c r="N1119" s="10" t="str">
        <f aca="false">_xlfn.UNICHAR(((C1119*21)+G1119)*28+44032)</f>
        <v>수</v>
      </c>
      <c r="O1119" s="10" t="str">
        <f aca="false">_xlfn.UNICHAR(((F1119*21)+D1119)*28+44032)</f>
        <v>가</v>
      </c>
      <c r="P1119" s="12" t="n">
        <f aca="false">COUNTIF($A$2:$A$3000, N1119) + COUNTIF($A$2:$A$3000, O1119)</f>
        <v>2</v>
      </c>
      <c r="Q1119" s="16" t="str">
        <f aca="false">IF(OR(B1119=-1,I1119=0, P1119&lt;&gt;2), "albhed_dummy", _xlfn.CONCAT("albhed ", RIGHT("  " &amp; K1119,2),", ", RIGHT("  " &amp; L1119,2), ", " ,"""",H1119,""", ", """",N1119,""", ","""",O1119,""""," ; ", A1119))</f>
        <v>albhed 13,  2, "구", "수", "가" ; 샅</v>
      </c>
    </row>
    <row r="1120" customFormat="false" ht="17.9" hidden="false" customHeight="true" outlineLevel="0" collapsed="false">
      <c r="A1120" s="16" t="s">
        <v>1988</v>
      </c>
      <c r="B1120" s="16" t="n">
        <f aca="false">IF(_xlfn.UNICODE(A1120)&lt;44032,-1,_xlfn.UNICODE(A1120)-44032)</f>
        <v>5320</v>
      </c>
      <c r="C1120" s="16" t="n">
        <f aca="false">IF(B1120=-1,-1,INT((B1120/28)/21))</f>
        <v>9</v>
      </c>
      <c r="D1120" s="16" t="n">
        <f aca="false">IF(B1120=-1, -1, MOD(INT(B1120/28),21))</f>
        <v>1</v>
      </c>
      <c r="E1120" s="16" t="n">
        <f aca="false">IF(B1120=-1, -1, VLOOKUP(MOD(B1120,28), $T$24:$U$52,2))</f>
        <v>0</v>
      </c>
      <c r="F1120" s="16" t="n">
        <f aca="false">IF($B1120=-1, -1, VLOOKUP(C1120,$T$1:$V$20, 2))</f>
        <v>0</v>
      </c>
      <c r="G1120" s="16" t="n">
        <f aca="false">IF($B1120=-1, -1, VLOOKUP(D1120,$Y$1:$Z$22,2))</f>
        <v>18</v>
      </c>
      <c r="H1120" s="16" t="str">
        <f aca="false">_xlfn.UNICHAR(((F1120*21)+G1120)*28+44032)</f>
        <v>그</v>
      </c>
      <c r="I1120" s="16" t="n">
        <f aca="false">IF(B1120=-1, 1, COUNTIF($A$2:$A$3000, H1120))</f>
        <v>1</v>
      </c>
      <c r="J1120" s="10" t="str">
        <f aca="false">_xlfn.CONCAT(A1120, ",",H1120,",",I1120)</f>
        <v>새,그,1</v>
      </c>
      <c r="K1120" s="16" t="n">
        <f aca="false">IF(B1120=-1,-1,VLOOKUP(C1120,$T$1:$V$20,3))</f>
        <v>13</v>
      </c>
      <c r="L1120" s="16" t="n">
        <f aca="false">IF(B1120=-1,-1,VLOOKUP(D1120,$Y$1:$AA$22,3))</f>
        <v>10</v>
      </c>
      <c r="N1120" s="10" t="str">
        <f aca="false">_xlfn.UNICHAR(((C1120*21)+G1120)*28+44032)</f>
        <v>스</v>
      </c>
      <c r="O1120" s="10" t="str">
        <f aca="false">_xlfn.UNICHAR(((F1120*21)+D1120)*28+44032)</f>
        <v>개</v>
      </c>
      <c r="P1120" s="12" t="n">
        <f aca="false">COUNTIF($A$2:$A$3000, N1120) + COUNTIF($A$2:$A$3000, O1120)</f>
        <v>2</v>
      </c>
      <c r="Q1120" s="16" t="str">
        <f aca="false">IF(OR(B1120=-1,I1120=0, P1120&lt;&gt;2), "albhed_dummy", _xlfn.CONCAT("albhed ", RIGHT("  " &amp; K1120,2),", ", RIGHT("  " &amp; L1120,2), ", " ,"""",H1120,""", ", """",N1120,""", ","""",O1120,""""," ; ", A1120))</f>
        <v>albhed 13, 10, "그", "스", "개" ; 새</v>
      </c>
    </row>
    <row r="1121" customFormat="false" ht="17.9" hidden="false" customHeight="true" outlineLevel="0" collapsed="false">
      <c r="A1121" s="16" t="s">
        <v>1989</v>
      </c>
      <c r="B1121" s="16" t="n">
        <f aca="false">IF(_xlfn.UNICODE(A1121)&lt;44032,-1,_xlfn.UNICODE(A1121)-44032)</f>
        <v>5321</v>
      </c>
      <c r="C1121" s="16" t="n">
        <f aca="false">IF(B1121=-1,-1,INT((B1121/28)/21))</f>
        <v>9</v>
      </c>
      <c r="D1121" s="16" t="n">
        <f aca="false">IF(B1121=-1, -1, MOD(INT(B1121/28),21))</f>
        <v>1</v>
      </c>
      <c r="E1121" s="16" t="n">
        <f aca="false">IF(B1121=-1, -1, VLOOKUP(MOD(B1121,28), $T$24:$U$52,2))</f>
        <v>1</v>
      </c>
      <c r="F1121" s="16" t="n">
        <f aca="false">IF($B1121=-1, -1, VLOOKUP(C1121,$T$1:$V$20, 2))</f>
        <v>0</v>
      </c>
      <c r="G1121" s="16" t="n">
        <f aca="false">IF($B1121=-1, -1, VLOOKUP(D1121,$Y$1:$Z$22,2))</f>
        <v>18</v>
      </c>
      <c r="H1121" s="16" t="str">
        <f aca="false">_xlfn.UNICHAR(((F1121*21)+G1121)*28+44032)</f>
        <v>그</v>
      </c>
      <c r="I1121" s="16" t="n">
        <f aca="false">IF(B1121=-1, 1, COUNTIF($A$2:$A$3000, H1121))</f>
        <v>1</v>
      </c>
      <c r="J1121" s="10" t="str">
        <f aca="false">_xlfn.CONCAT(A1121, ",",H1121,",",I1121)</f>
        <v>색,그,1</v>
      </c>
      <c r="K1121" s="16" t="n">
        <f aca="false">IF(B1121=-1,-1,VLOOKUP(C1121,$T$1:$V$20,3))</f>
        <v>13</v>
      </c>
      <c r="L1121" s="16" t="n">
        <f aca="false">IF(B1121=-1,-1,VLOOKUP(D1121,$Y$1:$AA$22,3))</f>
        <v>10</v>
      </c>
      <c r="N1121" s="10" t="str">
        <f aca="false">_xlfn.UNICHAR(((C1121*21)+G1121)*28+44032)</f>
        <v>스</v>
      </c>
      <c r="O1121" s="10" t="str">
        <f aca="false">_xlfn.UNICHAR(((F1121*21)+D1121)*28+44032)</f>
        <v>개</v>
      </c>
      <c r="P1121" s="12" t="n">
        <f aca="false">COUNTIF($A$2:$A$3000, N1121) + COUNTIF($A$2:$A$3000, O1121)</f>
        <v>2</v>
      </c>
      <c r="Q1121" s="16" t="str">
        <f aca="false">IF(OR(B1121=-1,I1121=0, P1121&lt;&gt;2), "albhed_dummy", _xlfn.CONCAT("albhed ", RIGHT("  " &amp; K1121,2),", ", RIGHT("  " &amp; L1121,2), ", " ,"""",H1121,""", ", """",N1121,""", ","""",O1121,""""," ; ", A1121))</f>
        <v>albhed 13, 10, "그", "스", "개" ; 색</v>
      </c>
    </row>
    <row r="1122" customFormat="false" ht="17.9" hidden="false" customHeight="true" outlineLevel="0" collapsed="false">
      <c r="A1122" s="16" t="s">
        <v>1990</v>
      </c>
      <c r="B1122" s="16" t="n">
        <f aca="false">IF(_xlfn.UNICODE(A1122)&lt;44032,-1,_xlfn.UNICODE(A1122)-44032)</f>
        <v>5324</v>
      </c>
      <c r="C1122" s="16" t="n">
        <f aca="false">IF(B1122=-1,-1,INT((B1122/28)/21))</f>
        <v>9</v>
      </c>
      <c r="D1122" s="16" t="n">
        <f aca="false">IF(B1122=-1, -1, MOD(INT(B1122/28),21))</f>
        <v>1</v>
      </c>
      <c r="E1122" s="16" t="n">
        <f aca="false">IF(B1122=-1, -1, VLOOKUP(MOD(B1122,28), $T$24:$U$52,2))</f>
        <v>4</v>
      </c>
      <c r="F1122" s="16" t="n">
        <f aca="false">IF($B1122=-1, -1, VLOOKUP(C1122,$T$1:$V$20, 2))</f>
        <v>0</v>
      </c>
      <c r="G1122" s="16" t="n">
        <f aca="false">IF($B1122=-1, -1, VLOOKUP(D1122,$Y$1:$Z$22,2))</f>
        <v>18</v>
      </c>
      <c r="H1122" s="16" t="str">
        <f aca="false">_xlfn.UNICHAR(((F1122*21)+G1122)*28+44032)</f>
        <v>그</v>
      </c>
      <c r="I1122" s="16" t="n">
        <f aca="false">IF(B1122=-1, 1, COUNTIF($A$2:$A$3000, H1122))</f>
        <v>1</v>
      </c>
      <c r="J1122" s="10" t="str">
        <f aca="false">_xlfn.CONCAT(A1122, ",",H1122,",",I1122)</f>
        <v>샌,그,1</v>
      </c>
      <c r="K1122" s="16" t="n">
        <f aca="false">IF(B1122=-1,-1,VLOOKUP(C1122,$T$1:$V$20,3))</f>
        <v>13</v>
      </c>
      <c r="L1122" s="16" t="n">
        <f aca="false">IF(B1122=-1,-1,VLOOKUP(D1122,$Y$1:$AA$22,3))</f>
        <v>10</v>
      </c>
      <c r="N1122" s="10" t="str">
        <f aca="false">_xlfn.UNICHAR(((C1122*21)+G1122)*28+44032)</f>
        <v>스</v>
      </c>
      <c r="O1122" s="10" t="str">
        <f aca="false">_xlfn.UNICHAR(((F1122*21)+D1122)*28+44032)</f>
        <v>개</v>
      </c>
      <c r="P1122" s="12" t="n">
        <f aca="false">COUNTIF($A$2:$A$3000, N1122) + COUNTIF($A$2:$A$3000, O1122)</f>
        <v>2</v>
      </c>
      <c r="Q1122" s="16" t="str">
        <f aca="false">IF(OR(B1122=-1,I1122=0, P1122&lt;&gt;2), "albhed_dummy", _xlfn.CONCAT("albhed ", RIGHT("  " &amp; K1122,2),", ", RIGHT("  " &amp; L1122,2), ", " ,"""",H1122,""", ", """",N1122,""", ","""",O1122,""""," ; ", A1122))</f>
        <v>albhed 13, 10, "그", "스", "개" ; 샌</v>
      </c>
    </row>
    <row r="1123" customFormat="false" ht="17.9" hidden="false" customHeight="true" outlineLevel="0" collapsed="false">
      <c r="A1123" s="16" t="s">
        <v>1991</v>
      </c>
      <c r="B1123" s="16" t="n">
        <f aca="false">IF(_xlfn.UNICODE(A1123)&lt;44032,-1,_xlfn.UNICODE(A1123)-44032)</f>
        <v>5328</v>
      </c>
      <c r="C1123" s="16" t="n">
        <f aca="false">IF(B1123=-1,-1,INT((B1123/28)/21))</f>
        <v>9</v>
      </c>
      <c r="D1123" s="16" t="n">
        <f aca="false">IF(B1123=-1, -1, MOD(INT(B1123/28),21))</f>
        <v>1</v>
      </c>
      <c r="E1123" s="16" t="n">
        <f aca="false">IF(B1123=-1, -1, VLOOKUP(MOD(B1123,28), $T$24:$U$52,2))</f>
        <v>8</v>
      </c>
      <c r="F1123" s="16" t="n">
        <f aca="false">IF($B1123=-1, -1, VLOOKUP(C1123,$T$1:$V$20, 2))</f>
        <v>0</v>
      </c>
      <c r="G1123" s="16" t="n">
        <f aca="false">IF($B1123=-1, -1, VLOOKUP(D1123,$Y$1:$Z$22,2))</f>
        <v>18</v>
      </c>
      <c r="H1123" s="16" t="str">
        <f aca="false">_xlfn.UNICHAR(((F1123*21)+G1123)*28+44032)</f>
        <v>그</v>
      </c>
      <c r="I1123" s="16" t="n">
        <f aca="false">IF(B1123=-1, 1, COUNTIF($A$2:$A$3000, H1123))</f>
        <v>1</v>
      </c>
      <c r="J1123" s="10" t="str">
        <f aca="false">_xlfn.CONCAT(A1123, ",",H1123,",",I1123)</f>
        <v>샐,그,1</v>
      </c>
      <c r="K1123" s="16" t="n">
        <f aca="false">IF(B1123=-1,-1,VLOOKUP(C1123,$T$1:$V$20,3))</f>
        <v>13</v>
      </c>
      <c r="L1123" s="16" t="n">
        <f aca="false">IF(B1123=-1,-1,VLOOKUP(D1123,$Y$1:$AA$22,3))</f>
        <v>10</v>
      </c>
      <c r="N1123" s="10" t="str">
        <f aca="false">_xlfn.UNICHAR(((C1123*21)+G1123)*28+44032)</f>
        <v>스</v>
      </c>
      <c r="O1123" s="10" t="str">
        <f aca="false">_xlfn.UNICHAR(((F1123*21)+D1123)*28+44032)</f>
        <v>개</v>
      </c>
      <c r="P1123" s="12" t="n">
        <f aca="false">COUNTIF($A$2:$A$3000, N1123) + COUNTIF($A$2:$A$3000, O1123)</f>
        <v>2</v>
      </c>
      <c r="Q1123" s="16" t="str">
        <f aca="false">IF(OR(B1123=-1,I1123=0, P1123&lt;&gt;2), "albhed_dummy", _xlfn.CONCAT("albhed ", RIGHT("  " &amp; K1123,2),", ", RIGHT("  " &amp; L1123,2), ", " ,"""",H1123,""", ", """",N1123,""", ","""",O1123,""""," ; ", A1123))</f>
        <v>albhed 13, 10, "그", "스", "개" ; 샐</v>
      </c>
    </row>
    <row r="1124" customFormat="false" ht="17.9" hidden="false" customHeight="true" outlineLevel="0" collapsed="false">
      <c r="A1124" s="16" t="s">
        <v>1992</v>
      </c>
      <c r="B1124" s="16" t="n">
        <f aca="false">IF(_xlfn.UNICODE(A1124)&lt;44032,-1,_xlfn.UNICODE(A1124)-44032)</f>
        <v>5336</v>
      </c>
      <c r="C1124" s="16" t="n">
        <f aca="false">IF(B1124=-1,-1,INT((B1124/28)/21))</f>
        <v>9</v>
      </c>
      <c r="D1124" s="16" t="n">
        <f aca="false">IF(B1124=-1, -1, MOD(INT(B1124/28),21))</f>
        <v>1</v>
      </c>
      <c r="E1124" s="16" t="n">
        <f aca="false">IF(B1124=-1, -1, VLOOKUP(MOD(B1124,28), $T$24:$U$52,2))</f>
        <v>16</v>
      </c>
      <c r="F1124" s="16" t="n">
        <f aca="false">IF($B1124=-1, -1, VLOOKUP(C1124,$T$1:$V$20, 2))</f>
        <v>0</v>
      </c>
      <c r="G1124" s="16" t="n">
        <f aca="false">IF($B1124=-1, -1, VLOOKUP(D1124,$Y$1:$Z$22,2))</f>
        <v>18</v>
      </c>
      <c r="H1124" s="16" t="str">
        <f aca="false">_xlfn.UNICHAR(((F1124*21)+G1124)*28+44032)</f>
        <v>그</v>
      </c>
      <c r="I1124" s="16" t="n">
        <f aca="false">IF(B1124=-1, 1, COUNTIF($A$2:$A$3000, H1124))</f>
        <v>1</v>
      </c>
      <c r="J1124" s="10" t="str">
        <f aca="false">_xlfn.CONCAT(A1124, ",",H1124,",",I1124)</f>
        <v>샘,그,1</v>
      </c>
      <c r="K1124" s="16" t="n">
        <f aca="false">IF(B1124=-1,-1,VLOOKUP(C1124,$T$1:$V$20,3))</f>
        <v>13</v>
      </c>
      <c r="L1124" s="16" t="n">
        <f aca="false">IF(B1124=-1,-1,VLOOKUP(D1124,$Y$1:$AA$22,3))</f>
        <v>10</v>
      </c>
      <c r="N1124" s="10" t="str">
        <f aca="false">_xlfn.UNICHAR(((C1124*21)+G1124)*28+44032)</f>
        <v>스</v>
      </c>
      <c r="O1124" s="10" t="str">
        <f aca="false">_xlfn.UNICHAR(((F1124*21)+D1124)*28+44032)</f>
        <v>개</v>
      </c>
      <c r="P1124" s="12" t="n">
        <f aca="false">COUNTIF($A$2:$A$3000, N1124) + COUNTIF($A$2:$A$3000, O1124)</f>
        <v>2</v>
      </c>
      <c r="Q1124" s="16" t="str">
        <f aca="false">IF(OR(B1124=-1,I1124=0, P1124&lt;&gt;2), "albhed_dummy", _xlfn.CONCAT("albhed ", RIGHT("  " &amp; K1124,2),", ", RIGHT("  " &amp; L1124,2), ", " ,"""",H1124,""", ", """",N1124,""", ","""",O1124,""""," ; ", A1124))</f>
        <v>albhed 13, 10, "그", "스", "개" ; 샘</v>
      </c>
    </row>
    <row r="1125" customFormat="false" ht="17.9" hidden="false" customHeight="true" outlineLevel="0" collapsed="false">
      <c r="A1125" s="16" t="s">
        <v>1993</v>
      </c>
      <c r="B1125" s="16" t="n">
        <f aca="false">IF(_xlfn.UNICODE(A1125)&lt;44032,-1,_xlfn.UNICODE(A1125)-44032)</f>
        <v>5337</v>
      </c>
      <c r="C1125" s="16" t="n">
        <f aca="false">IF(B1125=-1,-1,INT((B1125/28)/21))</f>
        <v>9</v>
      </c>
      <c r="D1125" s="16" t="n">
        <f aca="false">IF(B1125=-1, -1, MOD(INT(B1125/28),21))</f>
        <v>1</v>
      </c>
      <c r="E1125" s="16" t="n">
        <f aca="false">IF(B1125=-1, -1, VLOOKUP(MOD(B1125,28), $T$24:$U$52,2))</f>
        <v>17</v>
      </c>
      <c r="F1125" s="16" t="n">
        <f aca="false">IF($B1125=-1, -1, VLOOKUP(C1125,$T$1:$V$20, 2))</f>
        <v>0</v>
      </c>
      <c r="G1125" s="16" t="n">
        <f aca="false">IF($B1125=-1, -1, VLOOKUP(D1125,$Y$1:$Z$22,2))</f>
        <v>18</v>
      </c>
      <c r="H1125" s="16" t="str">
        <f aca="false">_xlfn.UNICHAR(((F1125*21)+G1125)*28+44032)</f>
        <v>그</v>
      </c>
      <c r="I1125" s="16" t="n">
        <f aca="false">IF(B1125=-1, 1, COUNTIF($A$2:$A$3000, H1125))</f>
        <v>1</v>
      </c>
      <c r="J1125" s="10" t="str">
        <f aca="false">_xlfn.CONCAT(A1125, ",",H1125,",",I1125)</f>
        <v>샙,그,1</v>
      </c>
      <c r="K1125" s="16" t="n">
        <f aca="false">IF(B1125=-1,-1,VLOOKUP(C1125,$T$1:$V$20,3))</f>
        <v>13</v>
      </c>
      <c r="L1125" s="16" t="n">
        <f aca="false">IF(B1125=-1,-1,VLOOKUP(D1125,$Y$1:$AA$22,3))</f>
        <v>10</v>
      </c>
      <c r="N1125" s="10" t="str">
        <f aca="false">_xlfn.UNICHAR(((C1125*21)+G1125)*28+44032)</f>
        <v>스</v>
      </c>
      <c r="O1125" s="10" t="str">
        <f aca="false">_xlfn.UNICHAR(((F1125*21)+D1125)*28+44032)</f>
        <v>개</v>
      </c>
      <c r="P1125" s="12" t="n">
        <f aca="false">COUNTIF($A$2:$A$3000, N1125) + COUNTIF($A$2:$A$3000, O1125)</f>
        <v>2</v>
      </c>
      <c r="Q1125" s="16" t="str">
        <f aca="false">IF(OR(B1125=-1,I1125=0, P1125&lt;&gt;2), "albhed_dummy", _xlfn.CONCAT("albhed ", RIGHT("  " &amp; K1125,2),", ", RIGHT("  " &amp; L1125,2), ", " ,"""",H1125,""", ", """",N1125,""", ","""",O1125,""""," ; ", A1125))</f>
        <v>albhed 13, 10, "그", "스", "개" ; 샙</v>
      </c>
    </row>
    <row r="1126" customFormat="false" ht="17.9" hidden="false" customHeight="true" outlineLevel="0" collapsed="false">
      <c r="A1126" s="16" t="s">
        <v>1994</v>
      </c>
      <c r="B1126" s="16" t="n">
        <f aca="false">IF(_xlfn.UNICODE(A1126)&lt;44032,-1,_xlfn.UNICODE(A1126)-44032)</f>
        <v>5339</v>
      </c>
      <c r="C1126" s="16" t="n">
        <f aca="false">IF(B1126=-1,-1,INT((B1126/28)/21))</f>
        <v>9</v>
      </c>
      <c r="D1126" s="16" t="n">
        <f aca="false">IF(B1126=-1, -1, MOD(INT(B1126/28),21))</f>
        <v>1</v>
      </c>
      <c r="E1126" s="16" t="n">
        <f aca="false">IF(B1126=-1, -1, VLOOKUP(MOD(B1126,28), $T$24:$U$52,2))</f>
        <v>19</v>
      </c>
      <c r="F1126" s="16" t="n">
        <f aca="false">IF($B1126=-1, -1, VLOOKUP(C1126,$T$1:$V$20, 2))</f>
        <v>0</v>
      </c>
      <c r="G1126" s="16" t="n">
        <f aca="false">IF($B1126=-1, -1, VLOOKUP(D1126,$Y$1:$Z$22,2))</f>
        <v>18</v>
      </c>
      <c r="H1126" s="16" t="str">
        <f aca="false">_xlfn.UNICHAR(((F1126*21)+G1126)*28+44032)</f>
        <v>그</v>
      </c>
      <c r="I1126" s="16" t="n">
        <f aca="false">IF(B1126=-1, 1, COUNTIF($A$2:$A$3000, H1126))</f>
        <v>1</v>
      </c>
      <c r="J1126" s="10" t="str">
        <f aca="false">_xlfn.CONCAT(A1126, ",",H1126,",",I1126)</f>
        <v>샛,그,1</v>
      </c>
      <c r="K1126" s="16" t="n">
        <f aca="false">IF(B1126=-1,-1,VLOOKUP(C1126,$T$1:$V$20,3))</f>
        <v>13</v>
      </c>
      <c r="L1126" s="16" t="n">
        <f aca="false">IF(B1126=-1,-1,VLOOKUP(D1126,$Y$1:$AA$22,3))</f>
        <v>10</v>
      </c>
      <c r="N1126" s="10" t="str">
        <f aca="false">_xlfn.UNICHAR(((C1126*21)+G1126)*28+44032)</f>
        <v>스</v>
      </c>
      <c r="O1126" s="10" t="str">
        <f aca="false">_xlfn.UNICHAR(((F1126*21)+D1126)*28+44032)</f>
        <v>개</v>
      </c>
      <c r="P1126" s="12" t="n">
        <f aca="false">COUNTIF($A$2:$A$3000, N1126) + COUNTIF($A$2:$A$3000, O1126)</f>
        <v>2</v>
      </c>
      <c r="Q1126" s="16" t="str">
        <f aca="false">IF(OR(B1126=-1,I1126=0, P1126&lt;&gt;2), "albhed_dummy", _xlfn.CONCAT("albhed ", RIGHT("  " &amp; K1126,2),", ", RIGHT("  " &amp; L1126,2), ", " ,"""",H1126,""", ", """",N1126,""", ","""",O1126,""""," ; ", A1126))</f>
        <v>albhed 13, 10, "그", "스", "개" ; 샛</v>
      </c>
    </row>
    <row r="1127" customFormat="false" ht="17.9" hidden="false" customHeight="true" outlineLevel="0" collapsed="false">
      <c r="A1127" s="16" t="s">
        <v>1995</v>
      </c>
      <c r="B1127" s="16" t="n">
        <f aca="false">IF(_xlfn.UNICODE(A1127)&lt;44032,-1,_xlfn.UNICODE(A1127)-44032)</f>
        <v>5340</v>
      </c>
      <c r="C1127" s="16" t="n">
        <f aca="false">IF(B1127=-1,-1,INT((B1127/28)/21))</f>
        <v>9</v>
      </c>
      <c r="D1127" s="16" t="n">
        <f aca="false">IF(B1127=-1, -1, MOD(INT(B1127/28),21))</f>
        <v>1</v>
      </c>
      <c r="E1127" s="16" t="n">
        <f aca="false">IF(B1127=-1, -1, VLOOKUP(MOD(B1127,28), $T$24:$U$52,2))</f>
        <v>19</v>
      </c>
      <c r="F1127" s="16" t="n">
        <f aca="false">IF($B1127=-1, -1, VLOOKUP(C1127,$T$1:$V$20, 2))</f>
        <v>0</v>
      </c>
      <c r="G1127" s="16" t="n">
        <f aca="false">IF($B1127=-1, -1, VLOOKUP(D1127,$Y$1:$Z$22,2))</f>
        <v>18</v>
      </c>
      <c r="H1127" s="16" t="str">
        <f aca="false">_xlfn.UNICHAR(((F1127*21)+G1127)*28+44032)</f>
        <v>그</v>
      </c>
      <c r="I1127" s="16" t="n">
        <f aca="false">IF(B1127=-1, 1, COUNTIF($A$2:$A$3000, H1127))</f>
        <v>1</v>
      </c>
      <c r="J1127" s="10" t="str">
        <f aca="false">_xlfn.CONCAT(A1127, ",",H1127,",",I1127)</f>
        <v>샜,그,1</v>
      </c>
      <c r="K1127" s="16" t="n">
        <f aca="false">IF(B1127=-1,-1,VLOOKUP(C1127,$T$1:$V$20,3))</f>
        <v>13</v>
      </c>
      <c r="L1127" s="16" t="n">
        <f aca="false">IF(B1127=-1,-1,VLOOKUP(D1127,$Y$1:$AA$22,3))</f>
        <v>10</v>
      </c>
      <c r="N1127" s="10" t="str">
        <f aca="false">_xlfn.UNICHAR(((C1127*21)+G1127)*28+44032)</f>
        <v>스</v>
      </c>
      <c r="O1127" s="10" t="str">
        <f aca="false">_xlfn.UNICHAR(((F1127*21)+D1127)*28+44032)</f>
        <v>개</v>
      </c>
      <c r="P1127" s="12" t="n">
        <f aca="false">COUNTIF($A$2:$A$3000, N1127) + COUNTIF($A$2:$A$3000, O1127)</f>
        <v>2</v>
      </c>
      <c r="Q1127" s="16" t="str">
        <f aca="false">IF(OR(B1127=-1,I1127=0, P1127&lt;&gt;2), "albhed_dummy", _xlfn.CONCAT("albhed ", RIGHT("  " &amp; K1127,2),", ", RIGHT("  " &amp; L1127,2), ", " ,"""",H1127,""", ", """",N1127,""", ","""",O1127,""""," ; ", A1127))</f>
        <v>albhed 13, 10, "그", "스", "개" ; 샜</v>
      </c>
    </row>
    <row r="1128" customFormat="false" ht="17.9" hidden="false" customHeight="true" outlineLevel="0" collapsed="false">
      <c r="A1128" s="16" t="s">
        <v>1996</v>
      </c>
      <c r="B1128" s="16" t="n">
        <f aca="false">IF(_xlfn.UNICODE(A1128)&lt;44032,-1,_xlfn.UNICODE(A1128)-44032)</f>
        <v>5341</v>
      </c>
      <c r="C1128" s="16" t="n">
        <f aca="false">IF(B1128=-1,-1,INT((B1128/28)/21))</f>
        <v>9</v>
      </c>
      <c r="D1128" s="16" t="n">
        <f aca="false">IF(B1128=-1, -1, MOD(INT(B1128/28),21))</f>
        <v>1</v>
      </c>
      <c r="E1128" s="16" t="n">
        <f aca="false">IF(B1128=-1, -1, VLOOKUP(MOD(B1128,28), $T$24:$U$52,2))</f>
        <v>21</v>
      </c>
      <c r="F1128" s="16" t="n">
        <f aca="false">IF($B1128=-1, -1, VLOOKUP(C1128,$T$1:$V$20, 2))</f>
        <v>0</v>
      </c>
      <c r="G1128" s="16" t="n">
        <f aca="false">IF($B1128=-1, -1, VLOOKUP(D1128,$Y$1:$Z$22,2))</f>
        <v>18</v>
      </c>
      <c r="H1128" s="16" t="str">
        <f aca="false">_xlfn.UNICHAR(((F1128*21)+G1128)*28+44032)</f>
        <v>그</v>
      </c>
      <c r="I1128" s="16" t="n">
        <f aca="false">IF(B1128=-1, 1, COUNTIF($A$2:$A$3000, H1128))</f>
        <v>1</v>
      </c>
      <c r="J1128" s="10" t="str">
        <f aca="false">_xlfn.CONCAT(A1128, ",",H1128,",",I1128)</f>
        <v>생,그,1</v>
      </c>
      <c r="K1128" s="16" t="n">
        <f aca="false">IF(B1128=-1,-1,VLOOKUP(C1128,$T$1:$V$20,3))</f>
        <v>13</v>
      </c>
      <c r="L1128" s="16" t="n">
        <f aca="false">IF(B1128=-1,-1,VLOOKUP(D1128,$Y$1:$AA$22,3))</f>
        <v>10</v>
      </c>
      <c r="N1128" s="10" t="str">
        <f aca="false">_xlfn.UNICHAR(((C1128*21)+G1128)*28+44032)</f>
        <v>스</v>
      </c>
      <c r="O1128" s="10" t="str">
        <f aca="false">_xlfn.UNICHAR(((F1128*21)+D1128)*28+44032)</f>
        <v>개</v>
      </c>
      <c r="P1128" s="12" t="n">
        <f aca="false">COUNTIF($A$2:$A$3000, N1128) + COUNTIF($A$2:$A$3000, O1128)</f>
        <v>2</v>
      </c>
      <c r="Q1128" s="16" t="str">
        <f aca="false">IF(OR(B1128=-1,I1128=0, P1128&lt;&gt;2), "albhed_dummy", _xlfn.CONCAT("albhed ", RIGHT("  " &amp; K1128,2),", ", RIGHT("  " &amp; L1128,2), ", " ,"""",H1128,""", ", """",N1128,""", ","""",O1128,""""," ; ", A1128))</f>
        <v>albhed 13, 10, "그", "스", "개" ; 생</v>
      </c>
    </row>
    <row r="1129" customFormat="false" ht="17.9" hidden="false" customHeight="true" outlineLevel="0" collapsed="false">
      <c r="A1129" s="16" t="s">
        <v>1997</v>
      </c>
      <c r="B1129" s="16" t="n">
        <f aca="false">IF(_xlfn.UNICODE(A1129)&lt;44032,-1,_xlfn.UNICODE(A1129)-44032)</f>
        <v>5348</v>
      </c>
      <c r="C1129" s="16" t="n">
        <f aca="false">IF(B1129=-1,-1,INT((B1129/28)/21))</f>
        <v>9</v>
      </c>
      <c r="D1129" s="16" t="n">
        <f aca="false">IF(B1129=-1, -1, MOD(INT(B1129/28),21))</f>
        <v>2</v>
      </c>
      <c r="E1129" s="16" t="n">
        <f aca="false">IF(B1129=-1, -1, VLOOKUP(MOD(B1129,28), $T$24:$U$52,2))</f>
        <v>0</v>
      </c>
      <c r="F1129" s="16" t="n">
        <f aca="false">IF($B1129=-1, -1, VLOOKUP(C1129,$T$1:$V$20, 2))</f>
        <v>0</v>
      </c>
      <c r="G1129" s="16" t="n">
        <f aca="false">IF($B1129=-1, -1, VLOOKUP(D1129,$Y$1:$Z$22,2))</f>
        <v>17</v>
      </c>
      <c r="H1129" s="16" t="str">
        <f aca="false">_xlfn.UNICHAR(((F1129*21)+G1129)*28+44032)</f>
        <v>규</v>
      </c>
      <c r="I1129" s="16" t="n">
        <f aca="false">IF(B1129=-1, 1, COUNTIF($A$2:$A$3000, H1129))</f>
        <v>1</v>
      </c>
      <c r="J1129" s="10" t="str">
        <f aca="false">_xlfn.CONCAT(A1129, ",",H1129,",",I1129)</f>
        <v>샤,규,1</v>
      </c>
      <c r="K1129" s="16" t="n">
        <f aca="false">IF(B1129=-1,-1,VLOOKUP(C1129,$T$1:$V$20,3))</f>
        <v>13</v>
      </c>
      <c r="L1129" s="16" t="n">
        <f aca="false">IF(B1129=-1,-1,VLOOKUP(D1129,$Y$1:$AA$22,3))</f>
        <v>2</v>
      </c>
      <c r="N1129" s="10" t="str">
        <f aca="false">_xlfn.UNICHAR(((C1129*21)+G1129)*28+44032)</f>
        <v>슈</v>
      </c>
      <c r="O1129" s="10" t="str">
        <f aca="false">_xlfn.UNICHAR(((F1129*21)+D1129)*28+44032)</f>
        <v>갸</v>
      </c>
      <c r="P1129" s="12" t="n">
        <f aca="false">COUNTIF($A$2:$A$3000, N1129) + COUNTIF($A$2:$A$3000, O1129)</f>
        <v>2</v>
      </c>
      <c r="Q1129" s="16" t="str">
        <f aca="false">IF(OR(B1129=-1,I1129=0, P1129&lt;&gt;2), "albhed_dummy", _xlfn.CONCAT("albhed ", RIGHT("  " &amp; K1129,2),", ", RIGHT("  " &amp; L1129,2), ", " ,"""",H1129,""", ", """",N1129,""", ","""",O1129,""""," ; ", A1129))</f>
        <v>albhed 13,  2, "규", "슈", "갸" ; 샤</v>
      </c>
    </row>
    <row r="1130" customFormat="false" ht="17.9" hidden="false" customHeight="true" outlineLevel="0" collapsed="false">
      <c r="A1130" s="16" t="s">
        <v>1998</v>
      </c>
      <c r="B1130" s="16" t="n">
        <f aca="false">IF(_xlfn.UNICODE(A1130)&lt;44032,-1,_xlfn.UNICODE(A1130)-44032)</f>
        <v>5349</v>
      </c>
      <c r="C1130" s="16" t="n">
        <f aca="false">IF(B1130=-1,-1,INT((B1130/28)/21))</f>
        <v>9</v>
      </c>
      <c r="D1130" s="16" t="n">
        <f aca="false">IF(B1130=-1, -1, MOD(INT(B1130/28),21))</f>
        <v>2</v>
      </c>
      <c r="E1130" s="16" t="n">
        <f aca="false">IF(B1130=-1, -1, VLOOKUP(MOD(B1130,28), $T$24:$U$52,2))</f>
        <v>1</v>
      </c>
      <c r="F1130" s="16" t="n">
        <f aca="false">IF($B1130=-1, -1, VLOOKUP(C1130,$T$1:$V$20, 2))</f>
        <v>0</v>
      </c>
      <c r="G1130" s="16" t="n">
        <f aca="false">IF($B1130=-1, -1, VLOOKUP(D1130,$Y$1:$Z$22,2))</f>
        <v>17</v>
      </c>
      <c r="H1130" s="16" t="str">
        <f aca="false">_xlfn.UNICHAR(((F1130*21)+G1130)*28+44032)</f>
        <v>규</v>
      </c>
      <c r="I1130" s="16" t="n">
        <f aca="false">IF(B1130=-1, 1, COUNTIF($A$2:$A$3000, H1130))</f>
        <v>1</v>
      </c>
      <c r="J1130" s="10" t="str">
        <f aca="false">_xlfn.CONCAT(A1130, ",",H1130,",",I1130)</f>
        <v>샥,규,1</v>
      </c>
      <c r="K1130" s="16" t="n">
        <f aca="false">IF(B1130=-1,-1,VLOOKUP(C1130,$T$1:$V$20,3))</f>
        <v>13</v>
      </c>
      <c r="L1130" s="16" t="n">
        <f aca="false">IF(B1130=-1,-1,VLOOKUP(D1130,$Y$1:$AA$22,3))</f>
        <v>2</v>
      </c>
      <c r="N1130" s="10" t="str">
        <f aca="false">_xlfn.UNICHAR(((C1130*21)+G1130)*28+44032)</f>
        <v>슈</v>
      </c>
      <c r="O1130" s="10" t="str">
        <f aca="false">_xlfn.UNICHAR(((F1130*21)+D1130)*28+44032)</f>
        <v>갸</v>
      </c>
      <c r="P1130" s="12" t="n">
        <f aca="false">COUNTIF($A$2:$A$3000, N1130) + COUNTIF($A$2:$A$3000, O1130)</f>
        <v>2</v>
      </c>
      <c r="Q1130" s="16" t="str">
        <f aca="false">IF(OR(B1130=-1,I1130=0, P1130&lt;&gt;2), "albhed_dummy", _xlfn.CONCAT("albhed ", RIGHT("  " &amp; K1130,2),", ", RIGHT("  " &amp; L1130,2), ", " ,"""",H1130,""", ", """",N1130,""", ","""",O1130,""""," ; ", A1130))</f>
        <v>albhed 13,  2, "규", "슈", "갸" ; 샥</v>
      </c>
    </row>
    <row r="1131" customFormat="false" ht="17.9" hidden="false" customHeight="true" outlineLevel="0" collapsed="false">
      <c r="A1131" s="16" t="s">
        <v>1999</v>
      </c>
      <c r="B1131" s="16" t="n">
        <f aca="false">IF(_xlfn.UNICODE(A1131)&lt;44032,-1,_xlfn.UNICODE(A1131)-44032)</f>
        <v>5352</v>
      </c>
      <c r="C1131" s="16" t="n">
        <f aca="false">IF(B1131=-1,-1,INT((B1131/28)/21))</f>
        <v>9</v>
      </c>
      <c r="D1131" s="16" t="n">
        <f aca="false">IF(B1131=-1, -1, MOD(INT(B1131/28),21))</f>
        <v>2</v>
      </c>
      <c r="E1131" s="16" t="n">
        <f aca="false">IF(B1131=-1, -1, VLOOKUP(MOD(B1131,28), $T$24:$U$52,2))</f>
        <v>4</v>
      </c>
      <c r="F1131" s="16" t="n">
        <f aca="false">IF($B1131=-1, -1, VLOOKUP(C1131,$T$1:$V$20, 2))</f>
        <v>0</v>
      </c>
      <c r="G1131" s="16" t="n">
        <f aca="false">IF($B1131=-1, -1, VLOOKUP(D1131,$Y$1:$Z$22,2))</f>
        <v>17</v>
      </c>
      <c r="H1131" s="16" t="str">
        <f aca="false">_xlfn.UNICHAR(((F1131*21)+G1131)*28+44032)</f>
        <v>규</v>
      </c>
      <c r="I1131" s="16" t="n">
        <f aca="false">IF(B1131=-1, 1, COUNTIF($A$2:$A$3000, H1131))</f>
        <v>1</v>
      </c>
      <c r="J1131" s="10" t="str">
        <f aca="false">_xlfn.CONCAT(A1131, ",",H1131,",",I1131)</f>
        <v>샨,규,1</v>
      </c>
      <c r="K1131" s="16" t="n">
        <f aca="false">IF(B1131=-1,-1,VLOOKUP(C1131,$T$1:$V$20,3))</f>
        <v>13</v>
      </c>
      <c r="L1131" s="16" t="n">
        <f aca="false">IF(B1131=-1,-1,VLOOKUP(D1131,$Y$1:$AA$22,3))</f>
        <v>2</v>
      </c>
      <c r="N1131" s="10" t="str">
        <f aca="false">_xlfn.UNICHAR(((C1131*21)+G1131)*28+44032)</f>
        <v>슈</v>
      </c>
      <c r="O1131" s="10" t="str">
        <f aca="false">_xlfn.UNICHAR(((F1131*21)+D1131)*28+44032)</f>
        <v>갸</v>
      </c>
      <c r="P1131" s="12" t="n">
        <f aca="false">COUNTIF($A$2:$A$3000, N1131) + COUNTIF($A$2:$A$3000, O1131)</f>
        <v>2</v>
      </c>
      <c r="Q1131" s="16" t="str">
        <f aca="false">IF(OR(B1131=-1,I1131=0, P1131&lt;&gt;2), "albhed_dummy", _xlfn.CONCAT("albhed ", RIGHT("  " &amp; K1131,2),", ", RIGHT("  " &amp; L1131,2), ", " ,"""",H1131,""", ", """",N1131,""", ","""",O1131,""""," ; ", A1131))</f>
        <v>albhed 13,  2, "규", "슈", "갸" ; 샨</v>
      </c>
    </row>
    <row r="1132" customFormat="false" ht="17.9" hidden="false" customHeight="true" outlineLevel="0" collapsed="false">
      <c r="A1132" s="16" t="s">
        <v>2000</v>
      </c>
      <c r="B1132" s="16" t="n">
        <f aca="false">IF(_xlfn.UNICODE(A1132)&lt;44032,-1,_xlfn.UNICODE(A1132)-44032)</f>
        <v>5356</v>
      </c>
      <c r="C1132" s="16" t="n">
        <f aca="false">IF(B1132=-1,-1,INT((B1132/28)/21))</f>
        <v>9</v>
      </c>
      <c r="D1132" s="16" t="n">
        <f aca="false">IF(B1132=-1, -1, MOD(INT(B1132/28),21))</f>
        <v>2</v>
      </c>
      <c r="E1132" s="16" t="n">
        <f aca="false">IF(B1132=-1, -1, VLOOKUP(MOD(B1132,28), $T$24:$U$52,2))</f>
        <v>8</v>
      </c>
      <c r="F1132" s="16" t="n">
        <f aca="false">IF($B1132=-1, -1, VLOOKUP(C1132,$T$1:$V$20, 2))</f>
        <v>0</v>
      </c>
      <c r="G1132" s="16" t="n">
        <f aca="false">IF($B1132=-1, -1, VLOOKUP(D1132,$Y$1:$Z$22,2))</f>
        <v>17</v>
      </c>
      <c r="H1132" s="16" t="str">
        <f aca="false">_xlfn.UNICHAR(((F1132*21)+G1132)*28+44032)</f>
        <v>규</v>
      </c>
      <c r="I1132" s="16" t="n">
        <f aca="false">IF(B1132=-1, 1, COUNTIF($A$2:$A$3000, H1132))</f>
        <v>1</v>
      </c>
      <c r="J1132" s="10" t="str">
        <f aca="false">_xlfn.CONCAT(A1132, ",",H1132,",",I1132)</f>
        <v>샬,규,1</v>
      </c>
      <c r="K1132" s="16" t="n">
        <f aca="false">IF(B1132=-1,-1,VLOOKUP(C1132,$T$1:$V$20,3))</f>
        <v>13</v>
      </c>
      <c r="L1132" s="16" t="n">
        <f aca="false">IF(B1132=-1,-1,VLOOKUP(D1132,$Y$1:$AA$22,3))</f>
        <v>2</v>
      </c>
      <c r="N1132" s="10" t="str">
        <f aca="false">_xlfn.UNICHAR(((C1132*21)+G1132)*28+44032)</f>
        <v>슈</v>
      </c>
      <c r="O1132" s="10" t="str">
        <f aca="false">_xlfn.UNICHAR(((F1132*21)+D1132)*28+44032)</f>
        <v>갸</v>
      </c>
      <c r="P1132" s="12" t="n">
        <f aca="false">COUNTIF($A$2:$A$3000, N1132) + COUNTIF($A$2:$A$3000, O1132)</f>
        <v>2</v>
      </c>
      <c r="Q1132" s="16" t="str">
        <f aca="false">IF(OR(B1132=-1,I1132=0, P1132&lt;&gt;2), "albhed_dummy", _xlfn.CONCAT("albhed ", RIGHT("  " &amp; K1132,2),", ", RIGHT("  " &amp; L1132,2), ", " ,"""",H1132,""", ", """",N1132,""", ","""",O1132,""""," ; ", A1132))</f>
        <v>albhed 13,  2, "규", "슈", "갸" ; 샬</v>
      </c>
    </row>
    <row r="1133" customFormat="false" ht="17.9" hidden="false" customHeight="true" outlineLevel="0" collapsed="false">
      <c r="A1133" s="16" t="s">
        <v>2001</v>
      </c>
      <c r="B1133" s="16" t="n">
        <f aca="false">IF(_xlfn.UNICODE(A1133)&lt;44032,-1,_xlfn.UNICODE(A1133)-44032)</f>
        <v>5364</v>
      </c>
      <c r="C1133" s="16" t="n">
        <f aca="false">IF(B1133=-1,-1,INT((B1133/28)/21))</f>
        <v>9</v>
      </c>
      <c r="D1133" s="16" t="n">
        <f aca="false">IF(B1133=-1, -1, MOD(INT(B1133/28),21))</f>
        <v>2</v>
      </c>
      <c r="E1133" s="16" t="n">
        <f aca="false">IF(B1133=-1, -1, VLOOKUP(MOD(B1133,28), $T$24:$U$52,2))</f>
        <v>16</v>
      </c>
      <c r="F1133" s="16" t="n">
        <f aca="false">IF($B1133=-1, -1, VLOOKUP(C1133,$T$1:$V$20, 2))</f>
        <v>0</v>
      </c>
      <c r="G1133" s="16" t="n">
        <f aca="false">IF($B1133=-1, -1, VLOOKUP(D1133,$Y$1:$Z$22,2))</f>
        <v>17</v>
      </c>
      <c r="H1133" s="16" t="str">
        <f aca="false">_xlfn.UNICHAR(((F1133*21)+G1133)*28+44032)</f>
        <v>규</v>
      </c>
      <c r="I1133" s="16" t="n">
        <f aca="false">IF(B1133=-1, 1, COUNTIF($A$2:$A$3000, H1133))</f>
        <v>1</v>
      </c>
      <c r="J1133" s="10" t="str">
        <f aca="false">_xlfn.CONCAT(A1133, ",",H1133,",",I1133)</f>
        <v>샴,규,1</v>
      </c>
      <c r="K1133" s="16" t="n">
        <f aca="false">IF(B1133=-1,-1,VLOOKUP(C1133,$T$1:$V$20,3))</f>
        <v>13</v>
      </c>
      <c r="L1133" s="16" t="n">
        <f aca="false">IF(B1133=-1,-1,VLOOKUP(D1133,$Y$1:$AA$22,3))</f>
        <v>2</v>
      </c>
      <c r="N1133" s="10" t="str">
        <f aca="false">_xlfn.UNICHAR(((C1133*21)+G1133)*28+44032)</f>
        <v>슈</v>
      </c>
      <c r="O1133" s="10" t="str">
        <f aca="false">_xlfn.UNICHAR(((F1133*21)+D1133)*28+44032)</f>
        <v>갸</v>
      </c>
      <c r="P1133" s="12" t="n">
        <f aca="false">COUNTIF($A$2:$A$3000, N1133) + COUNTIF($A$2:$A$3000, O1133)</f>
        <v>2</v>
      </c>
      <c r="Q1133" s="16" t="str">
        <f aca="false">IF(OR(B1133=-1,I1133=0, P1133&lt;&gt;2), "albhed_dummy", _xlfn.CONCAT("albhed ", RIGHT("  " &amp; K1133,2),", ", RIGHT("  " &amp; L1133,2), ", " ,"""",H1133,""", ", """",N1133,""", ","""",O1133,""""," ; ", A1133))</f>
        <v>albhed 13,  2, "규", "슈", "갸" ; 샴</v>
      </c>
    </row>
    <row r="1134" customFormat="false" ht="17.9" hidden="false" customHeight="true" outlineLevel="0" collapsed="false">
      <c r="A1134" s="16" t="s">
        <v>2002</v>
      </c>
      <c r="B1134" s="16" t="n">
        <f aca="false">IF(_xlfn.UNICODE(A1134)&lt;44032,-1,_xlfn.UNICODE(A1134)-44032)</f>
        <v>5365</v>
      </c>
      <c r="C1134" s="16" t="n">
        <f aca="false">IF(B1134=-1,-1,INT((B1134/28)/21))</f>
        <v>9</v>
      </c>
      <c r="D1134" s="16" t="n">
        <f aca="false">IF(B1134=-1, -1, MOD(INT(B1134/28),21))</f>
        <v>2</v>
      </c>
      <c r="E1134" s="16" t="n">
        <f aca="false">IF(B1134=-1, -1, VLOOKUP(MOD(B1134,28), $T$24:$U$52,2))</f>
        <v>17</v>
      </c>
      <c r="F1134" s="16" t="n">
        <f aca="false">IF($B1134=-1, -1, VLOOKUP(C1134,$T$1:$V$20, 2))</f>
        <v>0</v>
      </c>
      <c r="G1134" s="16" t="n">
        <f aca="false">IF($B1134=-1, -1, VLOOKUP(D1134,$Y$1:$Z$22,2))</f>
        <v>17</v>
      </c>
      <c r="H1134" s="16" t="str">
        <f aca="false">_xlfn.UNICHAR(((F1134*21)+G1134)*28+44032)</f>
        <v>규</v>
      </c>
      <c r="I1134" s="16" t="n">
        <f aca="false">IF(B1134=-1, 1, COUNTIF($A$2:$A$3000, H1134))</f>
        <v>1</v>
      </c>
      <c r="J1134" s="10" t="str">
        <f aca="false">_xlfn.CONCAT(A1134, ",",H1134,",",I1134)</f>
        <v>샵,규,1</v>
      </c>
      <c r="K1134" s="16" t="n">
        <f aca="false">IF(B1134=-1,-1,VLOOKUP(C1134,$T$1:$V$20,3))</f>
        <v>13</v>
      </c>
      <c r="L1134" s="16" t="n">
        <f aca="false">IF(B1134=-1,-1,VLOOKUP(D1134,$Y$1:$AA$22,3))</f>
        <v>2</v>
      </c>
      <c r="N1134" s="10" t="str">
        <f aca="false">_xlfn.UNICHAR(((C1134*21)+G1134)*28+44032)</f>
        <v>슈</v>
      </c>
      <c r="O1134" s="10" t="str">
        <f aca="false">_xlfn.UNICHAR(((F1134*21)+D1134)*28+44032)</f>
        <v>갸</v>
      </c>
      <c r="P1134" s="12" t="n">
        <f aca="false">COUNTIF($A$2:$A$3000, N1134) + COUNTIF($A$2:$A$3000, O1134)</f>
        <v>2</v>
      </c>
      <c r="Q1134" s="16" t="str">
        <f aca="false">IF(OR(B1134=-1,I1134=0, P1134&lt;&gt;2), "albhed_dummy", _xlfn.CONCAT("albhed ", RIGHT("  " &amp; K1134,2),", ", RIGHT("  " &amp; L1134,2), ", " ,"""",H1134,""", ", """",N1134,""", ","""",O1134,""""," ; ", A1134))</f>
        <v>albhed 13,  2, "규", "슈", "갸" ; 샵</v>
      </c>
    </row>
    <row r="1135" customFormat="false" ht="17.9" hidden="false" customHeight="true" outlineLevel="0" collapsed="false">
      <c r="A1135" s="16" t="s">
        <v>2003</v>
      </c>
      <c r="B1135" s="16" t="n">
        <f aca="false">IF(_xlfn.UNICODE(A1135)&lt;44032,-1,_xlfn.UNICODE(A1135)-44032)</f>
        <v>5367</v>
      </c>
      <c r="C1135" s="16" t="n">
        <f aca="false">IF(B1135=-1,-1,INT((B1135/28)/21))</f>
        <v>9</v>
      </c>
      <c r="D1135" s="16" t="n">
        <f aca="false">IF(B1135=-1, -1, MOD(INT(B1135/28),21))</f>
        <v>2</v>
      </c>
      <c r="E1135" s="16" t="n">
        <f aca="false">IF(B1135=-1, -1, VLOOKUP(MOD(B1135,28), $T$24:$U$52,2))</f>
        <v>19</v>
      </c>
      <c r="F1135" s="16" t="n">
        <f aca="false">IF($B1135=-1, -1, VLOOKUP(C1135,$T$1:$V$20, 2))</f>
        <v>0</v>
      </c>
      <c r="G1135" s="16" t="n">
        <f aca="false">IF($B1135=-1, -1, VLOOKUP(D1135,$Y$1:$Z$22,2))</f>
        <v>17</v>
      </c>
      <c r="H1135" s="16" t="str">
        <f aca="false">_xlfn.UNICHAR(((F1135*21)+G1135)*28+44032)</f>
        <v>규</v>
      </c>
      <c r="I1135" s="16" t="n">
        <f aca="false">IF(B1135=-1, 1, COUNTIF($A$2:$A$3000, H1135))</f>
        <v>1</v>
      </c>
      <c r="J1135" s="10" t="str">
        <f aca="false">_xlfn.CONCAT(A1135, ",",H1135,",",I1135)</f>
        <v>샷,규,1</v>
      </c>
      <c r="K1135" s="16" t="n">
        <f aca="false">IF(B1135=-1,-1,VLOOKUP(C1135,$T$1:$V$20,3))</f>
        <v>13</v>
      </c>
      <c r="L1135" s="16" t="n">
        <f aca="false">IF(B1135=-1,-1,VLOOKUP(D1135,$Y$1:$AA$22,3))</f>
        <v>2</v>
      </c>
      <c r="N1135" s="10" t="str">
        <f aca="false">_xlfn.UNICHAR(((C1135*21)+G1135)*28+44032)</f>
        <v>슈</v>
      </c>
      <c r="O1135" s="10" t="str">
        <f aca="false">_xlfn.UNICHAR(((F1135*21)+D1135)*28+44032)</f>
        <v>갸</v>
      </c>
      <c r="P1135" s="12" t="n">
        <f aca="false">COUNTIF($A$2:$A$3000, N1135) + COUNTIF($A$2:$A$3000, O1135)</f>
        <v>2</v>
      </c>
      <c r="Q1135" s="16" t="str">
        <f aca="false">IF(OR(B1135=-1,I1135=0, P1135&lt;&gt;2), "albhed_dummy", _xlfn.CONCAT("albhed ", RIGHT("  " &amp; K1135,2),", ", RIGHT("  " &amp; L1135,2), ", " ,"""",H1135,""", ", """",N1135,""", ","""",O1135,""""," ; ", A1135))</f>
        <v>albhed 13,  2, "규", "슈", "갸" ; 샷</v>
      </c>
    </row>
    <row r="1136" customFormat="false" ht="17.9" hidden="false" customHeight="true" outlineLevel="0" collapsed="false">
      <c r="A1136" s="16" t="s">
        <v>2004</v>
      </c>
      <c r="B1136" s="16" t="n">
        <f aca="false">IF(_xlfn.UNICODE(A1136)&lt;44032,-1,_xlfn.UNICODE(A1136)-44032)</f>
        <v>5369</v>
      </c>
      <c r="C1136" s="16" t="n">
        <f aca="false">IF(B1136=-1,-1,INT((B1136/28)/21))</f>
        <v>9</v>
      </c>
      <c r="D1136" s="16" t="n">
        <f aca="false">IF(B1136=-1, -1, MOD(INT(B1136/28),21))</f>
        <v>2</v>
      </c>
      <c r="E1136" s="16" t="n">
        <f aca="false">IF(B1136=-1, -1, VLOOKUP(MOD(B1136,28), $T$24:$U$52,2))</f>
        <v>21</v>
      </c>
      <c r="F1136" s="16" t="n">
        <f aca="false">IF($B1136=-1, -1, VLOOKUP(C1136,$T$1:$V$20, 2))</f>
        <v>0</v>
      </c>
      <c r="G1136" s="16" t="n">
        <f aca="false">IF($B1136=-1, -1, VLOOKUP(D1136,$Y$1:$Z$22,2))</f>
        <v>17</v>
      </c>
      <c r="H1136" s="16" t="str">
        <f aca="false">_xlfn.UNICHAR(((F1136*21)+G1136)*28+44032)</f>
        <v>규</v>
      </c>
      <c r="I1136" s="16" t="n">
        <f aca="false">IF(B1136=-1, 1, COUNTIF($A$2:$A$3000, H1136))</f>
        <v>1</v>
      </c>
      <c r="J1136" s="10" t="str">
        <f aca="false">_xlfn.CONCAT(A1136, ",",H1136,",",I1136)</f>
        <v>샹,규,1</v>
      </c>
      <c r="K1136" s="16" t="n">
        <f aca="false">IF(B1136=-1,-1,VLOOKUP(C1136,$T$1:$V$20,3))</f>
        <v>13</v>
      </c>
      <c r="L1136" s="16" t="n">
        <f aca="false">IF(B1136=-1,-1,VLOOKUP(D1136,$Y$1:$AA$22,3))</f>
        <v>2</v>
      </c>
      <c r="N1136" s="10" t="str">
        <f aca="false">_xlfn.UNICHAR(((C1136*21)+G1136)*28+44032)</f>
        <v>슈</v>
      </c>
      <c r="O1136" s="10" t="str">
        <f aca="false">_xlfn.UNICHAR(((F1136*21)+D1136)*28+44032)</f>
        <v>갸</v>
      </c>
      <c r="P1136" s="12" t="n">
        <f aca="false">COUNTIF($A$2:$A$3000, N1136) + COUNTIF($A$2:$A$3000, O1136)</f>
        <v>2</v>
      </c>
      <c r="Q1136" s="16" t="str">
        <f aca="false">IF(OR(B1136=-1,I1136=0, P1136&lt;&gt;2), "albhed_dummy", _xlfn.CONCAT("albhed ", RIGHT("  " &amp; K1136,2),", ", RIGHT("  " &amp; L1136,2), ", " ,"""",H1136,""", ", """",N1136,""", ","""",O1136,""""," ; ", A1136))</f>
        <v>albhed 13,  2, "규", "슈", "갸" ; 샹</v>
      </c>
    </row>
    <row r="1137" customFormat="false" ht="17.9" hidden="false" customHeight="true" outlineLevel="0" collapsed="false">
      <c r="A1137" s="16" t="s">
        <v>2005</v>
      </c>
      <c r="B1137" s="16" t="n">
        <f aca="false">IF(_xlfn.UNICODE(A1137)&lt;44032,-1,_xlfn.UNICODE(A1137)-44032)</f>
        <v>5376</v>
      </c>
      <c r="C1137" s="16" t="n">
        <f aca="false">IF(B1137=-1,-1,INT((B1137/28)/21))</f>
        <v>9</v>
      </c>
      <c r="D1137" s="16" t="n">
        <f aca="false">IF(B1137=-1, -1, MOD(INT(B1137/28),21))</f>
        <v>3</v>
      </c>
      <c r="E1137" s="16" t="n">
        <f aca="false">IF(B1137=-1, -1, VLOOKUP(MOD(B1137,28), $T$24:$U$52,2))</f>
        <v>0</v>
      </c>
      <c r="F1137" s="16" t="n">
        <f aca="false">IF($B1137=-1, -1, VLOOKUP(C1137,$T$1:$V$20, 2))</f>
        <v>0</v>
      </c>
      <c r="G1137" s="16" t="n">
        <f aca="false">IF($B1137=-1, -1, VLOOKUP(D1137,$Y$1:$Z$22,2))</f>
        <v>18</v>
      </c>
      <c r="H1137" s="16" t="str">
        <f aca="false">_xlfn.UNICHAR(((F1137*21)+G1137)*28+44032)</f>
        <v>그</v>
      </c>
      <c r="I1137" s="16" t="n">
        <f aca="false">IF(B1137=-1, 1, COUNTIF($A$2:$A$3000, H1137))</f>
        <v>1</v>
      </c>
      <c r="J1137" s="10" t="str">
        <f aca="false">_xlfn.CONCAT(A1137, ",",H1137,",",I1137)</f>
        <v>섀,그,1</v>
      </c>
      <c r="K1137" s="16" t="n">
        <f aca="false">IF(B1137=-1,-1,VLOOKUP(C1137,$T$1:$V$20,3))</f>
        <v>13</v>
      </c>
      <c r="L1137" s="16" t="n">
        <f aca="false">IF(B1137=-1,-1,VLOOKUP(D1137,$Y$1:$AA$22,3))</f>
        <v>14</v>
      </c>
      <c r="N1137" s="10" t="str">
        <f aca="false">_xlfn.UNICHAR(((C1137*21)+G1137)*28+44032)</f>
        <v>스</v>
      </c>
      <c r="O1137" s="10" t="str">
        <f aca="false">_xlfn.UNICHAR(((F1137*21)+D1137)*28+44032)</f>
        <v>걔</v>
      </c>
      <c r="P1137" s="12" t="n">
        <f aca="false">COUNTIF($A$2:$A$3000, N1137) + COUNTIF($A$2:$A$3000, O1137)</f>
        <v>2</v>
      </c>
      <c r="Q1137" s="16" t="str">
        <f aca="false">IF(OR(B1137=-1,I1137=0, P1137&lt;&gt;2), "albhed_dummy", _xlfn.CONCAT("albhed ", RIGHT("  " &amp; K1137,2),", ", RIGHT("  " &amp; L1137,2), ", " ,"""",H1137,""", ", """",N1137,""", ","""",O1137,""""," ; ", A1137))</f>
        <v>albhed 13, 14, "그", "스", "걔" ; 섀</v>
      </c>
    </row>
    <row r="1138" customFormat="false" ht="17.9" hidden="false" customHeight="true" outlineLevel="0" collapsed="false">
      <c r="A1138" s="16" t="s">
        <v>2006</v>
      </c>
      <c r="B1138" s="16" t="n">
        <f aca="false">IF(_xlfn.UNICODE(A1138)&lt;44032,-1,_xlfn.UNICODE(A1138)-44032)</f>
        <v>5380</v>
      </c>
      <c r="C1138" s="16" t="n">
        <f aca="false">IF(B1138=-1,-1,INT((B1138/28)/21))</f>
        <v>9</v>
      </c>
      <c r="D1138" s="16" t="n">
        <f aca="false">IF(B1138=-1, -1, MOD(INT(B1138/28),21))</f>
        <v>3</v>
      </c>
      <c r="E1138" s="16" t="n">
        <f aca="false">IF(B1138=-1, -1, VLOOKUP(MOD(B1138,28), $T$24:$U$52,2))</f>
        <v>4</v>
      </c>
      <c r="F1138" s="16" t="n">
        <f aca="false">IF($B1138=-1, -1, VLOOKUP(C1138,$T$1:$V$20, 2))</f>
        <v>0</v>
      </c>
      <c r="G1138" s="16" t="n">
        <f aca="false">IF($B1138=-1, -1, VLOOKUP(D1138,$Y$1:$Z$22,2))</f>
        <v>18</v>
      </c>
      <c r="H1138" s="16" t="str">
        <f aca="false">_xlfn.UNICHAR(((F1138*21)+G1138)*28+44032)</f>
        <v>그</v>
      </c>
      <c r="I1138" s="16" t="n">
        <f aca="false">IF(B1138=-1, 1, COUNTIF($A$2:$A$3000, H1138))</f>
        <v>1</v>
      </c>
      <c r="J1138" s="10" t="str">
        <f aca="false">_xlfn.CONCAT(A1138, ",",H1138,",",I1138)</f>
        <v>섄,그,1</v>
      </c>
      <c r="K1138" s="16" t="n">
        <f aca="false">IF(B1138=-1,-1,VLOOKUP(C1138,$T$1:$V$20,3))</f>
        <v>13</v>
      </c>
      <c r="L1138" s="16" t="n">
        <f aca="false">IF(B1138=-1,-1,VLOOKUP(D1138,$Y$1:$AA$22,3))</f>
        <v>14</v>
      </c>
      <c r="N1138" s="10" t="str">
        <f aca="false">_xlfn.UNICHAR(((C1138*21)+G1138)*28+44032)</f>
        <v>스</v>
      </c>
      <c r="O1138" s="10" t="str">
        <f aca="false">_xlfn.UNICHAR(((F1138*21)+D1138)*28+44032)</f>
        <v>걔</v>
      </c>
      <c r="P1138" s="12" t="n">
        <f aca="false">COUNTIF($A$2:$A$3000, N1138) + COUNTIF($A$2:$A$3000, O1138)</f>
        <v>2</v>
      </c>
      <c r="Q1138" s="16" t="str">
        <f aca="false">IF(OR(B1138=-1,I1138=0, P1138&lt;&gt;2), "albhed_dummy", _xlfn.CONCAT("albhed ", RIGHT("  " &amp; K1138,2),", ", RIGHT("  " &amp; L1138,2), ", " ,"""",H1138,""", ", """",N1138,""", ","""",O1138,""""," ; ", A1138))</f>
        <v>albhed 13, 14, "그", "스", "걔" ; 섄</v>
      </c>
    </row>
    <row r="1139" customFormat="false" ht="17.9" hidden="false" customHeight="true" outlineLevel="0" collapsed="false">
      <c r="A1139" s="16" t="s">
        <v>2007</v>
      </c>
      <c r="B1139" s="16" t="n">
        <f aca="false">IF(_xlfn.UNICODE(A1139)&lt;44032,-1,_xlfn.UNICODE(A1139)-44032)</f>
        <v>5384</v>
      </c>
      <c r="C1139" s="16" t="n">
        <f aca="false">IF(B1139=-1,-1,INT((B1139/28)/21))</f>
        <v>9</v>
      </c>
      <c r="D1139" s="16" t="n">
        <f aca="false">IF(B1139=-1, -1, MOD(INT(B1139/28),21))</f>
        <v>3</v>
      </c>
      <c r="E1139" s="16" t="n">
        <f aca="false">IF(B1139=-1, -1, VLOOKUP(MOD(B1139,28), $T$24:$U$52,2))</f>
        <v>8</v>
      </c>
      <c r="F1139" s="16" t="n">
        <f aca="false">IF($B1139=-1, -1, VLOOKUP(C1139,$T$1:$V$20, 2))</f>
        <v>0</v>
      </c>
      <c r="G1139" s="16" t="n">
        <f aca="false">IF($B1139=-1, -1, VLOOKUP(D1139,$Y$1:$Z$22,2))</f>
        <v>18</v>
      </c>
      <c r="H1139" s="16" t="str">
        <f aca="false">_xlfn.UNICHAR(((F1139*21)+G1139)*28+44032)</f>
        <v>그</v>
      </c>
      <c r="I1139" s="16" t="n">
        <f aca="false">IF(B1139=-1, 1, COUNTIF($A$2:$A$3000, H1139))</f>
        <v>1</v>
      </c>
      <c r="J1139" s="10" t="str">
        <f aca="false">_xlfn.CONCAT(A1139, ",",H1139,",",I1139)</f>
        <v>섈,그,1</v>
      </c>
      <c r="K1139" s="16" t="n">
        <f aca="false">IF(B1139=-1,-1,VLOOKUP(C1139,$T$1:$V$20,3))</f>
        <v>13</v>
      </c>
      <c r="L1139" s="16" t="n">
        <f aca="false">IF(B1139=-1,-1,VLOOKUP(D1139,$Y$1:$AA$22,3))</f>
        <v>14</v>
      </c>
      <c r="N1139" s="10" t="str">
        <f aca="false">_xlfn.UNICHAR(((C1139*21)+G1139)*28+44032)</f>
        <v>스</v>
      </c>
      <c r="O1139" s="10" t="str">
        <f aca="false">_xlfn.UNICHAR(((F1139*21)+D1139)*28+44032)</f>
        <v>걔</v>
      </c>
      <c r="P1139" s="12" t="n">
        <f aca="false">COUNTIF($A$2:$A$3000, N1139) + COUNTIF($A$2:$A$3000, O1139)</f>
        <v>2</v>
      </c>
      <c r="Q1139" s="16" t="str">
        <f aca="false">IF(OR(B1139=-1,I1139=0, P1139&lt;&gt;2), "albhed_dummy", _xlfn.CONCAT("albhed ", RIGHT("  " &amp; K1139,2),", ", RIGHT("  " &amp; L1139,2), ", " ,"""",H1139,""", ", """",N1139,""", ","""",O1139,""""," ; ", A1139))</f>
        <v>albhed 13, 14, "그", "스", "걔" ; 섈</v>
      </c>
    </row>
    <row r="1140" customFormat="false" ht="17.9" hidden="false" customHeight="true" outlineLevel="0" collapsed="false">
      <c r="A1140" s="16" t="s">
        <v>2008</v>
      </c>
      <c r="B1140" s="16" t="n">
        <f aca="false">IF(_xlfn.UNICODE(A1140)&lt;44032,-1,_xlfn.UNICODE(A1140)-44032)</f>
        <v>5392</v>
      </c>
      <c r="C1140" s="16" t="n">
        <f aca="false">IF(B1140=-1,-1,INT((B1140/28)/21))</f>
        <v>9</v>
      </c>
      <c r="D1140" s="16" t="n">
        <f aca="false">IF(B1140=-1, -1, MOD(INT(B1140/28),21))</f>
        <v>3</v>
      </c>
      <c r="E1140" s="16" t="n">
        <f aca="false">IF(B1140=-1, -1, VLOOKUP(MOD(B1140,28), $T$24:$U$52,2))</f>
        <v>16</v>
      </c>
      <c r="F1140" s="16" t="n">
        <f aca="false">IF($B1140=-1, -1, VLOOKUP(C1140,$T$1:$V$20, 2))</f>
        <v>0</v>
      </c>
      <c r="G1140" s="16" t="n">
        <f aca="false">IF($B1140=-1, -1, VLOOKUP(D1140,$Y$1:$Z$22,2))</f>
        <v>18</v>
      </c>
      <c r="H1140" s="16" t="str">
        <f aca="false">_xlfn.UNICHAR(((F1140*21)+G1140)*28+44032)</f>
        <v>그</v>
      </c>
      <c r="I1140" s="16" t="n">
        <f aca="false">IF(B1140=-1, 1, COUNTIF($A$2:$A$3000, H1140))</f>
        <v>1</v>
      </c>
      <c r="J1140" s="10" t="str">
        <f aca="false">_xlfn.CONCAT(A1140, ",",H1140,",",I1140)</f>
        <v>섐,그,1</v>
      </c>
      <c r="K1140" s="16" t="n">
        <f aca="false">IF(B1140=-1,-1,VLOOKUP(C1140,$T$1:$V$20,3))</f>
        <v>13</v>
      </c>
      <c r="L1140" s="16" t="n">
        <f aca="false">IF(B1140=-1,-1,VLOOKUP(D1140,$Y$1:$AA$22,3))</f>
        <v>14</v>
      </c>
      <c r="N1140" s="10" t="str">
        <f aca="false">_xlfn.UNICHAR(((C1140*21)+G1140)*28+44032)</f>
        <v>스</v>
      </c>
      <c r="O1140" s="10" t="str">
        <f aca="false">_xlfn.UNICHAR(((F1140*21)+D1140)*28+44032)</f>
        <v>걔</v>
      </c>
      <c r="P1140" s="12" t="n">
        <f aca="false">COUNTIF($A$2:$A$3000, N1140) + COUNTIF($A$2:$A$3000, O1140)</f>
        <v>2</v>
      </c>
      <c r="Q1140" s="16" t="str">
        <f aca="false">IF(OR(B1140=-1,I1140=0, P1140&lt;&gt;2), "albhed_dummy", _xlfn.CONCAT("albhed ", RIGHT("  " &amp; K1140,2),", ", RIGHT("  " &amp; L1140,2), ", " ,"""",H1140,""", ", """",N1140,""", ","""",O1140,""""," ; ", A1140))</f>
        <v>albhed 13, 14, "그", "스", "걔" ; 섐</v>
      </c>
    </row>
    <row r="1141" customFormat="false" ht="17.9" hidden="false" customHeight="true" outlineLevel="0" collapsed="false">
      <c r="A1141" s="16" t="s">
        <v>2009</v>
      </c>
      <c r="B1141" s="16" t="n">
        <f aca="false">IF(_xlfn.UNICODE(A1141)&lt;44032,-1,_xlfn.UNICODE(A1141)-44032)</f>
        <v>5397</v>
      </c>
      <c r="C1141" s="16" t="n">
        <f aca="false">IF(B1141=-1,-1,INT((B1141/28)/21))</f>
        <v>9</v>
      </c>
      <c r="D1141" s="16" t="n">
        <f aca="false">IF(B1141=-1, -1, MOD(INT(B1141/28),21))</f>
        <v>3</v>
      </c>
      <c r="E1141" s="16" t="n">
        <f aca="false">IF(B1141=-1, -1, VLOOKUP(MOD(B1141,28), $T$24:$U$52,2))</f>
        <v>21</v>
      </c>
      <c r="F1141" s="16" t="n">
        <f aca="false">IF($B1141=-1, -1, VLOOKUP(C1141,$T$1:$V$20, 2))</f>
        <v>0</v>
      </c>
      <c r="G1141" s="16" t="n">
        <f aca="false">IF($B1141=-1, -1, VLOOKUP(D1141,$Y$1:$Z$22,2))</f>
        <v>18</v>
      </c>
      <c r="H1141" s="16" t="str">
        <f aca="false">_xlfn.UNICHAR(((F1141*21)+G1141)*28+44032)</f>
        <v>그</v>
      </c>
      <c r="I1141" s="16" t="n">
        <f aca="false">IF(B1141=-1, 1, COUNTIF($A$2:$A$3000, H1141))</f>
        <v>1</v>
      </c>
      <c r="J1141" s="10" t="str">
        <f aca="false">_xlfn.CONCAT(A1141, ",",H1141,",",I1141)</f>
        <v>섕,그,1</v>
      </c>
      <c r="K1141" s="16" t="n">
        <f aca="false">IF(B1141=-1,-1,VLOOKUP(C1141,$T$1:$V$20,3))</f>
        <v>13</v>
      </c>
      <c r="L1141" s="16" t="n">
        <f aca="false">IF(B1141=-1,-1,VLOOKUP(D1141,$Y$1:$AA$22,3))</f>
        <v>14</v>
      </c>
      <c r="N1141" s="10" t="str">
        <f aca="false">_xlfn.UNICHAR(((C1141*21)+G1141)*28+44032)</f>
        <v>스</v>
      </c>
      <c r="O1141" s="10" t="str">
        <f aca="false">_xlfn.UNICHAR(((F1141*21)+D1141)*28+44032)</f>
        <v>걔</v>
      </c>
      <c r="P1141" s="12" t="n">
        <f aca="false">COUNTIF($A$2:$A$3000, N1141) + COUNTIF($A$2:$A$3000, O1141)</f>
        <v>2</v>
      </c>
      <c r="Q1141" s="16" t="str">
        <f aca="false">IF(OR(B1141=-1,I1141=0, P1141&lt;&gt;2), "albhed_dummy", _xlfn.CONCAT("albhed ", RIGHT("  " &amp; K1141,2),", ", RIGHT("  " &amp; L1141,2), ", " ,"""",H1141,""", ", """",N1141,""", ","""",O1141,""""," ; ", A1141))</f>
        <v>albhed 13, 14, "그", "스", "걔" ; 섕</v>
      </c>
    </row>
    <row r="1142" customFormat="false" ht="17.9" hidden="false" customHeight="true" outlineLevel="0" collapsed="false">
      <c r="A1142" s="16" t="s">
        <v>2010</v>
      </c>
      <c r="B1142" s="16" t="n">
        <f aca="false">IF(_xlfn.UNICODE(A1142)&lt;44032,-1,_xlfn.UNICODE(A1142)-44032)</f>
        <v>5404</v>
      </c>
      <c r="C1142" s="16" t="n">
        <f aca="false">IF(B1142=-1,-1,INT((B1142/28)/21))</f>
        <v>9</v>
      </c>
      <c r="D1142" s="16" t="n">
        <f aca="false">IF(B1142=-1, -1, MOD(INT(B1142/28),21))</f>
        <v>4</v>
      </c>
      <c r="E1142" s="16" t="n">
        <f aca="false">IF(B1142=-1, -1, VLOOKUP(MOD(B1142,28), $T$24:$U$52,2))</f>
        <v>0</v>
      </c>
      <c r="F1142" s="16" t="n">
        <f aca="false">IF($B1142=-1, -1, VLOOKUP(C1142,$T$1:$V$20, 2))</f>
        <v>0</v>
      </c>
      <c r="G1142" s="16" t="n">
        <f aca="false">IF($B1142=-1, -1, VLOOKUP(D1142,$Y$1:$Z$22,2))</f>
        <v>8</v>
      </c>
      <c r="H1142" s="16" t="str">
        <f aca="false">_xlfn.UNICHAR(((F1142*21)+G1142)*28+44032)</f>
        <v>고</v>
      </c>
      <c r="I1142" s="16" t="n">
        <f aca="false">IF(B1142=-1, 1, COUNTIF($A$2:$A$3000, H1142))</f>
        <v>1</v>
      </c>
      <c r="J1142" s="10" t="str">
        <f aca="false">_xlfn.CONCAT(A1142, ",",H1142,",",I1142)</f>
        <v>서,고,1</v>
      </c>
      <c r="K1142" s="16" t="n">
        <f aca="false">IF(B1142=-1,-1,VLOOKUP(C1142,$T$1:$V$20,3))</f>
        <v>13</v>
      </c>
      <c r="L1142" s="16" t="n">
        <f aca="false">IF(B1142=-1,-1,VLOOKUP(D1142,$Y$1:$AA$22,3))</f>
        <v>4</v>
      </c>
      <c r="N1142" s="10" t="str">
        <f aca="false">_xlfn.UNICHAR(((C1142*21)+G1142)*28+44032)</f>
        <v>소</v>
      </c>
      <c r="O1142" s="10" t="str">
        <f aca="false">_xlfn.UNICHAR(((F1142*21)+D1142)*28+44032)</f>
        <v>거</v>
      </c>
      <c r="P1142" s="12" t="n">
        <f aca="false">COUNTIF($A$2:$A$3000, N1142) + COUNTIF($A$2:$A$3000, O1142)</f>
        <v>2</v>
      </c>
      <c r="Q1142" s="16" t="str">
        <f aca="false">IF(OR(B1142=-1,I1142=0, P1142&lt;&gt;2), "albhed_dummy", _xlfn.CONCAT("albhed ", RIGHT("  " &amp; K1142,2),", ", RIGHT("  " &amp; L1142,2), ", " ,"""",H1142,""", ", """",N1142,""", ","""",O1142,""""," ; ", A1142))</f>
        <v>albhed 13,  4, "고", "소", "거" ; 서</v>
      </c>
    </row>
    <row r="1143" customFormat="false" ht="17.9" hidden="false" customHeight="true" outlineLevel="0" collapsed="false">
      <c r="A1143" s="16" t="s">
        <v>2011</v>
      </c>
      <c r="B1143" s="16" t="n">
        <f aca="false">IF(_xlfn.UNICODE(A1143)&lt;44032,-1,_xlfn.UNICODE(A1143)-44032)</f>
        <v>5405</v>
      </c>
      <c r="C1143" s="16" t="n">
        <f aca="false">IF(B1143=-1,-1,INT((B1143/28)/21))</f>
        <v>9</v>
      </c>
      <c r="D1143" s="16" t="n">
        <f aca="false">IF(B1143=-1, -1, MOD(INT(B1143/28),21))</f>
        <v>4</v>
      </c>
      <c r="E1143" s="16" t="n">
        <f aca="false">IF(B1143=-1, -1, VLOOKUP(MOD(B1143,28), $T$24:$U$52,2))</f>
        <v>1</v>
      </c>
      <c r="F1143" s="16" t="n">
        <f aca="false">IF($B1143=-1, -1, VLOOKUP(C1143,$T$1:$V$20, 2))</f>
        <v>0</v>
      </c>
      <c r="G1143" s="16" t="n">
        <f aca="false">IF($B1143=-1, -1, VLOOKUP(D1143,$Y$1:$Z$22,2))</f>
        <v>8</v>
      </c>
      <c r="H1143" s="16" t="str">
        <f aca="false">_xlfn.UNICHAR(((F1143*21)+G1143)*28+44032)</f>
        <v>고</v>
      </c>
      <c r="I1143" s="16" t="n">
        <f aca="false">IF(B1143=-1, 1, COUNTIF($A$2:$A$3000, H1143))</f>
        <v>1</v>
      </c>
      <c r="J1143" s="10" t="str">
        <f aca="false">_xlfn.CONCAT(A1143, ",",H1143,",",I1143)</f>
        <v>석,고,1</v>
      </c>
      <c r="K1143" s="16" t="n">
        <f aca="false">IF(B1143=-1,-1,VLOOKUP(C1143,$T$1:$V$20,3))</f>
        <v>13</v>
      </c>
      <c r="L1143" s="16" t="n">
        <f aca="false">IF(B1143=-1,-1,VLOOKUP(D1143,$Y$1:$AA$22,3))</f>
        <v>4</v>
      </c>
      <c r="N1143" s="10" t="str">
        <f aca="false">_xlfn.UNICHAR(((C1143*21)+G1143)*28+44032)</f>
        <v>소</v>
      </c>
      <c r="O1143" s="10" t="str">
        <f aca="false">_xlfn.UNICHAR(((F1143*21)+D1143)*28+44032)</f>
        <v>거</v>
      </c>
      <c r="P1143" s="12" t="n">
        <f aca="false">COUNTIF($A$2:$A$3000, N1143) + COUNTIF($A$2:$A$3000, O1143)</f>
        <v>2</v>
      </c>
      <c r="Q1143" s="16" t="str">
        <f aca="false">IF(OR(B1143=-1,I1143=0, P1143&lt;&gt;2), "albhed_dummy", _xlfn.CONCAT("albhed ", RIGHT("  " &amp; K1143,2),", ", RIGHT("  " &amp; L1143,2), ", " ,"""",H1143,""", ", """",N1143,""", ","""",O1143,""""," ; ", A1143))</f>
        <v>albhed 13,  4, "고", "소", "거" ; 석</v>
      </c>
    </row>
    <row r="1144" customFormat="false" ht="17.9" hidden="false" customHeight="true" outlineLevel="0" collapsed="false">
      <c r="A1144" s="16" t="s">
        <v>2012</v>
      </c>
      <c r="B1144" s="16" t="n">
        <f aca="false">IF(_xlfn.UNICODE(A1144)&lt;44032,-1,_xlfn.UNICODE(A1144)-44032)</f>
        <v>5406</v>
      </c>
      <c r="C1144" s="16" t="n">
        <f aca="false">IF(B1144=-1,-1,INT((B1144/28)/21))</f>
        <v>9</v>
      </c>
      <c r="D1144" s="16" t="n">
        <f aca="false">IF(B1144=-1, -1, MOD(INT(B1144/28),21))</f>
        <v>4</v>
      </c>
      <c r="E1144" s="16" t="n">
        <f aca="false">IF(B1144=-1, -1, VLOOKUP(MOD(B1144,28), $T$24:$U$52,2))</f>
        <v>1</v>
      </c>
      <c r="F1144" s="16" t="n">
        <f aca="false">IF($B1144=-1, -1, VLOOKUP(C1144,$T$1:$V$20, 2))</f>
        <v>0</v>
      </c>
      <c r="G1144" s="16" t="n">
        <f aca="false">IF($B1144=-1, -1, VLOOKUP(D1144,$Y$1:$Z$22,2))</f>
        <v>8</v>
      </c>
      <c r="H1144" s="16" t="str">
        <f aca="false">_xlfn.UNICHAR(((F1144*21)+G1144)*28+44032)</f>
        <v>고</v>
      </c>
      <c r="I1144" s="16" t="n">
        <f aca="false">IF(B1144=-1, 1, COUNTIF($A$2:$A$3000, H1144))</f>
        <v>1</v>
      </c>
      <c r="J1144" s="10" t="str">
        <f aca="false">_xlfn.CONCAT(A1144, ",",H1144,",",I1144)</f>
        <v>섞,고,1</v>
      </c>
      <c r="K1144" s="16" t="n">
        <f aca="false">IF(B1144=-1,-1,VLOOKUP(C1144,$T$1:$V$20,3))</f>
        <v>13</v>
      </c>
      <c r="L1144" s="16" t="n">
        <f aca="false">IF(B1144=-1,-1,VLOOKUP(D1144,$Y$1:$AA$22,3))</f>
        <v>4</v>
      </c>
      <c r="N1144" s="10" t="str">
        <f aca="false">_xlfn.UNICHAR(((C1144*21)+G1144)*28+44032)</f>
        <v>소</v>
      </c>
      <c r="O1144" s="10" t="str">
        <f aca="false">_xlfn.UNICHAR(((F1144*21)+D1144)*28+44032)</f>
        <v>거</v>
      </c>
      <c r="P1144" s="12" t="n">
        <f aca="false">COUNTIF($A$2:$A$3000, N1144) + COUNTIF($A$2:$A$3000, O1144)</f>
        <v>2</v>
      </c>
      <c r="Q1144" s="16" t="str">
        <f aca="false">IF(OR(B1144=-1,I1144=0, P1144&lt;&gt;2), "albhed_dummy", _xlfn.CONCAT("albhed ", RIGHT("  " &amp; K1144,2),", ", RIGHT("  " &amp; L1144,2), ", " ,"""",H1144,""", ", """",N1144,""", ","""",O1144,""""," ; ", A1144))</f>
        <v>albhed 13,  4, "고", "소", "거" ; 섞</v>
      </c>
    </row>
    <row r="1145" customFormat="false" ht="17.9" hidden="false" customHeight="true" outlineLevel="0" collapsed="false">
      <c r="A1145" s="16" t="s">
        <v>2013</v>
      </c>
      <c r="B1145" s="16" t="n">
        <f aca="false">IF(_xlfn.UNICODE(A1145)&lt;44032,-1,_xlfn.UNICODE(A1145)-44032)</f>
        <v>5407</v>
      </c>
      <c r="C1145" s="16" t="n">
        <f aca="false">IF(B1145=-1,-1,INT((B1145/28)/21))</f>
        <v>9</v>
      </c>
      <c r="D1145" s="16" t="n">
        <f aca="false">IF(B1145=-1, -1, MOD(INT(B1145/28),21))</f>
        <v>4</v>
      </c>
      <c r="E1145" s="16" t="n">
        <f aca="false">IF(B1145=-1, -1, VLOOKUP(MOD(B1145,28), $T$24:$U$52,2))</f>
        <v>1</v>
      </c>
      <c r="F1145" s="16" t="n">
        <f aca="false">IF($B1145=-1, -1, VLOOKUP(C1145,$T$1:$V$20, 2))</f>
        <v>0</v>
      </c>
      <c r="G1145" s="16" t="n">
        <f aca="false">IF($B1145=-1, -1, VLOOKUP(D1145,$Y$1:$Z$22,2))</f>
        <v>8</v>
      </c>
      <c r="H1145" s="16" t="str">
        <f aca="false">_xlfn.UNICHAR(((F1145*21)+G1145)*28+44032)</f>
        <v>고</v>
      </c>
      <c r="I1145" s="16" t="n">
        <f aca="false">IF(B1145=-1, 1, COUNTIF($A$2:$A$3000, H1145))</f>
        <v>1</v>
      </c>
      <c r="J1145" s="10" t="str">
        <f aca="false">_xlfn.CONCAT(A1145, ",",H1145,",",I1145)</f>
        <v>섟,고,1</v>
      </c>
      <c r="K1145" s="16" t="n">
        <f aca="false">IF(B1145=-1,-1,VLOOKUP(C1145,$T$1:$V$20,3))</f>
        <v>13</v>
      </c>
      <c r="L1145" s="16" t="n">
        <f aca="false">IF(B1145=-1,-1,VLOOKUP(D1145,$Y$1:$AA$22,3))</f>
        <v>4</v>
      </c>
      <c r="N1145" s="10" t="str">
        <f aca="false">_xlfn.UNICHAR(((C1145*21)+G1145)*28+44032)</f>
        <v>소</v>
      </c>
      <c r="O1145" s="10" t="str">
        <f aca="false">_xlfn.UNICHAR(((F1145*21)+D1145)*28+44032)</f>
        <v>거</v>
      </c>
      <c r="P1145" s="12" t="n">
        <f aca="false">COUNTIF($A$2:$A$3000, N1145) + COUNTIF($A$2:$A$3000, O1145)</f>
        <v>2</v>
      </c>
      <c r="Q1145" s="16" t="str">
        <f aca="false">IF(OR(B1145=-1,I1145=0, P1145&lt;&gt;2), "albhed_dummy", _xlfn.CONCAT("albhed ", RIGHT("  " &amp; K1145,2),", ", RIGHT("  " &amp; L1145,2), ", " ,"""",H1145,""", ", """",N1145,""", ","""",O1145,""""," ; ", A1145))</f>
        <v>albhed 13,  4, "고", "소", "거" ; 섟</v>
      </c>
    </row>
    <row r="1146" customFormat="false" ht="17.9" hidden="false" customHeight="true" outlineLevel="0" collapsed="false">
      <c r="A1146" s="16" t="s">
        <v>2014</v>
      </c>
      <c r="B1146" s="16" t="n">
        <f aca="false">IF(_xlfn.UNICODE(A1146)&lt;44032,-1,_xlfn.UNICODE(A1146)-44032)</f>
        <v>5408</v>
      </c>
      <c r="C1146" s="16" t="n">
        <f aca="false">IF(B1146=-1,-1,INT((B1146/28)/21))</f>
        <v>9</v>
      </c>
      <c r="D1146" s="16" t="n">
        <f aca="false">IF(B1146=-1, -1, MOD(INT(B1146/28),21))</f>
        <v>4</v>
      </c>
      <c r="E1146" s="16" t="n">
        <f aca="false">IF(B1146=-1, -1, VLOOKUP(MOD(B1146,28), $T$24:$U$52,2))</f>
        <v>4</v>
      </c>
      <c r="F1146" s="16" t="n">
        <f aca="false">IF($B1146=-1, -1, VLOOKUP(C1146,$T$1:$V$20, 2))</f>
        <v>0</v>
      </c>
      <c r="G1146" s="16" t="n">
        <f aca="false">IF($B1146=-1, -1, VLOOKUP(D1146,$Y$1:$Z$22,2))</f>
        <v>8</v>
      </c>
      <c r="H1146" s="16" t="str">
        <f aca="false">_xlfn.UNICHAR(((F1146*21)+G1146)*28+44032)</f>
        <v>고</v>
      </c>
      <c r="I1146" s="16" t="n">
        <f aca="false">IF(B1146=-1, 1, COUNTIF($A$2:$A$3000, H1146))</f>
        <v>1</v>
      </c>
      <c r="J1146" s="10" t="str">
        <f aca="false">_xlfn.CONCAT(A1146, ",",H1146,",",I1146)</f>
        <v>선,고,1</v>
      </c>
      <c r="K1146" s="16" t="n">
        <f aca="false">IF(B1146=-1,-1,VLOOKUP(C1146,$T$1:$V$20,3))</f>
        <v>13</v>
      </c>
      <c r="L1146" s="16" t="n">
        <f aca="false">IF(B1146=-1,-1,VLOOKUP(D1146,$Y$1:$AA$22,3))</f>
        <v>4</v>
      </c>
      <c r="N1146" s="10" t="str">
        <f aca="false">_xlfn.UNICHAR(((C1146*21)+G1146)*28+44032)</f>
        <v>소</v>
      </c>
      <c r="O1146" s="10" t="str">
        <f aca="false">_xlfn.UNICHAR(((F1146*21)+D1146)*28+44032)</f>
        <v>거</v>
      </c>
      <c r="P1146" s="12" t="n">
        <f aca="false">COUNTIF($A$2:$A$3000, N1146) + COUNTIF($A$2:$A$3000, O1146)</f>
        <v>2</v>
      </c>
      <c r="Q1146" s="16" t="str">
        <f aca="false">IF(OR(B1146=-1,I1146=0, P1146&lt;&gt;2), "albhed_dummy", _xlfn.CONCAT("albhed ", RIGHT("  " &amp; K1146,2),", ", RIGHT("  " &amp; L1146,2), ", " ,"""",H1146,""", ", """",N1146,""", ","""",O1146,""""," ; ", A1146))</f>
        <v>albhed 13,  4, "고", "소", "거" ; 선</v>
      </c>
    </row>
    <row r="1147" customFormat="false" ht="17.9" hidden="false" customHeight="true" outlineLevel="0" collapsed="false">
      <c r="A1147" s="16" t="s">
        <v>2015</v>
      </c>
      <c r="B1147" s="16" t="n">
        <f aca="false">IF(_xlfn.UNICODE(A1147)&lt;44032,-1,_xlfn.UNICODE(A1147)-44032)</f>
        <v>5411</v>
      </c>
      <c r="C1147" s="16" t="n">
        <f aca="false">IF(B1147=-1,-1,INT((B1147/28)/21))</f>
        <v>9</v>
      </c>
      <c r="D1147" s="16" t="n">
        <f aca="false">IF(B1147=-1, -1, MOD(INT(B1147/28),21))</f>
        <v>4</v>
      </c>
      <c r="E1147" s="16" t="n">
        <f aca="false">IF(B1147=-1, -1, VLOOKUP(MOD(B1147,28), $T$24:$U$52,2))</f>
        <v>19</v>
      </c>
      <c r="F1147" s="16" t="n">
        <f aca="false">IF($B1147=-1, -1, VLOOKUP(C1147,$T$1:$V$20, 2))</f>
        <v>0</v>
      </c>
      <c r="G1147" s="16" t="n">
        <f aca="false">IF($B1147=-1, -1, VLOOKUP(D1147,$Y$1:$Z$22,2))</f>
        <v>8</v>
      </c>
      <c r="H1147" s="16" t="str">
        <f aca="false">_xlfn.UNICHAR(((F1147*21)+G1147)*28+44032)</f>
        <v>고</v>
      </c>
      <c r="I1147" s="16" t="n">
        <f aca="false">IF(B1147=-1, 1, COUNTIF($A$2:$A$3000, H1147))</f>
        <v>1</v>
      </c>
      <c r="J1147" s="10" t="str">
        <f aca="false">_xlfn.CONCAT(A1147, ",",H1147,",",I1147)</f>
        <v>섣,고,1</v>
      </c>
      <c r="K1147" s="16" t="n">
        <f aca="false">IF(B1147=-1,-1,VLOOKUP(C1147,$T$1:$V$20,3))</f>
        <v>13</v>
      </c>
      <c r="L1147" s="16" t="n">
        <f aca="false">IF(B1147=-1,-1,VLOOKUP(D1147,$Y$1:$AA$22,3))</f>
        <v>4</v>
      </c>
      <c r="N1147" s="10" t="str">
        <f aca="false">_xlfn.UNICHAR(((C1147*21)+G1147)*28+44032)</f>
        <v>소</v>
      </c>
      <c r="O1147" s="10" t="str">
        <f aca="false">_xlfn.UNICHAR(((F1147*21)+D1147)*28+44032)</f>
        <v>거</v>
      </c>
      <c r="P1147" s="12" t="n">
        <f aca="false">COUNTIF($A$2:$A$3000, N1147) + COUNTIF($A$2:$A$3000, O1147)</f>
        <v>2</v>
      </c>
      <c r="Q1147" s="16" t="str">
        <f aca="false">IF(OR(B1147=-1,I1147=0, P1147&lt;&gt;2), "albhed_dummy", _xlfn.CONCAT("albhed ", RIGHT("  " &amp; K1147,2),", ", RIGHT("  " &amp; L1147,2), ", " ,"""",H1147,""", ", """",N1147,""", ","""",O1147,""""," ; ", A1147))</f>
        <v>albhed 13,  4, "고", "소", "거" ; 섣</v>
      </c>
    </row>
    <row r="1148" customFormat="false" ht="17.9" hidden="false" customHeight="true" outlineLevel="0" collapsed="false">
      <c r="A1148" s="16" t="s">
        <v>2016</v>
      </c>
      <c r="B1148" s="16" t="n">
        <f aca="false">IF(_xlfn.UNICODE(A1148)&lt;44032,-1,_xlfn.UNICODE(A1148)-44032)</f>
        <v>5412</v>
      </c>
      <c r="C1148" s="16" t="n">
        <f aca="false">IF(B1148=-1,-1,INT((B1148/28)/21))</f>
        <v>9</v>
      </c>
      <c r="D1148" s="16" t="n">
        <f aca="false">IF(B1148=-1, -1, MOD(INT(B1148/28),21))</f>
        <v>4</v>
      </c>
      <c r="E1148" s="16" t="n">
        <f aca="false">IF(B1148=-1, -1, VLOOKUP(MOD(B1148,28), $T$24:$U$52,2))</f>
        <v>8</v>
      </c>
      <c r="F1148" s="16" t="n">
        <f aca="false">IF($B1148=-1, -1, VLOOKUP(C1148,$T$1:$V$20, 2))</f>
        <v>0</v>
      </c>
      <c r="G1148" s="16" t="n">
        <f aca="false">IF($B1148=-1, -1, VLOOKUP(D1148,$Y$1:$Z$22,2))</f>
        <v>8</v>
      </c>
      <c r="H1148" s="16" t="str">
        <f aca="false">_xlfn.UNICHAR(((F1148*21)+G1148)*28+44032)</f>
        <v>고</v>
      </c>
      <c r="I1148" s="16" t="n">
        <f aca="false">IF(B1148=-1, 1, COUNTIF($A$2:$A$3000, H1148))</f>
        <v>1</v>
      </c>
      <c r="J1148" s="10" t="str">
        <f aca="false">_xlfn.CONCAT(A1148, ",",H1148,",",I1148)</f>
        <v>설,고,1</v>
      </c>
      <c r="K1148" s="16" t="n">
        <f aca="false">IF(B1148=-1,-1,VLOOKUP(C1148,$T$1:$V$20,3))</f>
        <v>13</v>
      </c>
      <c r="L1148" s="16" t="n">
        <f aca="false">IF(B1148=-1,-1,VLOOKUP(D1148,$Y$1:$AA$22,3))</f>
        <v>4</v>
      </c>
      <c r="N1148" s="10" t="str">
        <f aca="false">_xlfn.UNICHAR(((C1148*21)+G1148)*28+44032)</f>
        <v>소</v>
      </c>
      <c r="O1148" s="10" t="str">
        <f aca="false">_xlfn.UNICHAR(((F1148*21)+D1148)*28+44032)</f>
        <v>거</v>
      </c>
      <c r="P1148" s="12" t="n">
        <f aca="false">COUNTIF($A$2:$A$3000, N1148) + COUNTIF($A$2:$A$3000, O1148)</f>
        <v>2</v>
      </c>
      <c r="Q1148" s="16" t="str">
        <f aca="false">IF(OR(B1148=-1,I1148=0, P1148&lt;&gt;2), "albhed_dummy", _xlfn.CONCAT("albhed ", RIGHT("  " &amp; K1148,2),", ", RIGHT("  " &amp; L1148,2), ", " ,"""",H1148,""", ", """",N1148,""", ","""",O1148,""""," ; ", A1148))</f>
        <v>albhed 13,  4, "고", "소", "거" ; 설</v>
      </c>
    </row>
    <row r="1149" customFormat="false" ht="17.9" hidden="false" customHeight="true" outlineLevel="0" collapsed="false">
      <c r="A1149" s="16" t="s">
        <v>2017</v>
      </c>
      <c r="B1149" s="16" t="n">
        <f aca="false">IF(_xlfn.UNICODE(A1149)&lt;44032,-1,_xlfn.UNICODE(A1149)-44032)</f>
        <v>5414</v>
      </c>
      <c r="C1149" s="16" t="n">
        <f aca="false">IF(B1149=-1,-1,INT((B1149/28)/21))</f>
        <v>9</v>
      </c>
      <c r="D1149" s="16" t="n">
        <f aca="false">IF(B1149=-1, -1, MOD(INT(B1149/28),21))</f>
        <v>4</v>
      </c>
      <c r="E1149" s="16" t="n">
        <f aca="false">IF(B1149=-1, -1, VLOOKUP(MOD(B1149,28), $T$24:$U$52,2))</f>
        <v>8</v>
      </c>
      <c r="F1149" s="16" t="n">
        <f aca="false">IF($B1149=-1, -1, VLOOKUP(C1149,$T$1:$V$20, 2))</f>
        <v>0</v>
      </c>
      <c r="G1149" s="16" t="n">
        <f aca="false">IF($B1149=-1, -1, VLOOKUP(D1149,$Y$1:$Z$22,2))</f>
        <v>8</v>
      </c>
      <c r="H1149" s="16" t="str">
        <f aca="false">_xlfn.UNICHAR(((F1149*21)+G1149)*28+44032)</f>
        <v>고</v>
      </c>
      <c r="I1149" s="16" t="n">
        <f aca="false">IF(B1149=-1, 1, COUNTIF($A$2:$A$3000, H1149))</f>
        <v>1</v>
      </c>
      <c r="J1149" s="10" t="str">
        <f aca="false">_xlfn.CONCAT(A1149, ",",H1149,",",I1149)</f>
        <v>섦,고,1</v>
      </c>
      <c r="K1149" s="16" t="n">
        <f aca="false">IF(B1149=-1,-1,VLOOKUP(C1149,$T$1:$V$20,3))</f>
        <v>13</v>
      </c>
      <c r="L1149" s="16" t="n">
        <f aca="false">IF(B1149=-1,-1,VLOOKUP(D1149,$Y$1:$AA$22,3))</f>
        <v>4</v>
      </c>
      <c r="N1149" s="10" t="str">
        <f aca="false">_xlfn.UNICHAR(((C1149*21)+G1149)*28+44032)</f>
        <v>소</v>
      </c>
      <c r="O1149" s="10" t="str">
        <f aca="false">_xlfn.UNICHAR(((F1149*21)+D1149)*28+44032)</f>
        <v>거</v>
      </c>
      <c r="P1149" s="12" t="n">
        <f aca="false">COUNTIF($A$2:$A$3000, N1149) + COUNTIF($A$2:$A$3000, O1149)</f>
        <v>2</v>
      </c>
      <c r="Q1149" s="16" t="str">
        <f aca="false">IF(OR(B1149=-1,I1149=0, P1149&lt;&gt;2), "albhed_dummy", _xlfn.CONCAT("albhed ", RIGHT("  " &amp; K1149,2),", ", RIGHT("  " &amp; L1149,2), ", " ,"""",H1149,""", ", """",N1149,""", ","""",O1149,""""," ; ", A1149))</f>
        <v>albhed 13,  4, "고", "소", "거" ; 섦</v>
      </c>
    </row>
    <row r="1150" customFormat="false" ht="17.9" hidden="false" customHeight="true" outlineLevel="0" collapsed="false">
      <c r="A1150" s="16" t="s">
        <v>2018</v>
      </c>
      <c r="B1150" s="16" t="n">
        <f aca="false">IF(_xlfn.UNICODE(A1150)&lt;44032,-1,_xlfn.UNICODE(A1150)-44032)</f>
        <v>5415</v>
      </c>
      <c r="C1150" s="16" t="n">
        <f aca="false">IF(B1150=-1,-1,INT((B1150/28)/21))</f>
        <v>9</v>
      </c>
      <c r="D1150" s="16" t="n">
        <f aca="false">IF(B1150=-1, -1, MOD(INT(B1150/28),21))</f>
        <v>4</v>
      </c>
      <c r="E1150" s="16" t="n">
        <f aca="false">IF(B1150=-1, -1, VLOOKUP(MOD(B1150,28), $T$24:$U$52,2))</f>
        <v>8</v>
      </c>
      <c r="F1150" s="16" t="n">
        <f aca="false">IF($B1150=-1, -1, VLOOKUP(C1150,$T$1:$V$20, 2))</f>
        <v>0</v>
      </c>
      <c r="G1150" s="16" t="n">
        <f aca="false">IF($B1150=-1, -1, VLOOKUP(D1150,$Y$1:$Z$22,2))</f>
        <v>8</v>
      </c>
      <c r="H1150" s="16" t="str">
        <f aca="false">_xlfn.UNICHAR(((F1150*21)+G1150)*28+44032)</f>
        <v>고</v>
      </c>
      <c r="I1150" s="16" t="n">
        <f aca="false">IF(B1150=-1, 1, COUNTIF($A$2:$A$3000, H1150))</f>
        <v>1</v>
      </c>
      <c r="J1150" s="10" t="str">
        <f aca="false">_xlfn.CONCAT(A1150, ",",H1150,",",I1150)</f>
        <v>섧,고,1</v>
      </c>
      <c r="K1150" s="16" t="n">
        <f aca="false">IF(B1150=-1,-1,VLOOKUP(C1150,$T$1:$V$20,3))</f>
        <v>13</v>
      </c>
      <c r="L1150" s="16" t="n">
        <f aca="false">IF(B1150=-1,-1,VLOOKUP(D1150,$Y$1:$AA$22,3))</f>
        <v>4</v>
      </c>
      <c r="N1150" s="10" t="str">
        <f aca="false">_xlfn.UNICHAR(((C1150*21)+G1150)*28+44032)</f>
        <v>소</v>
      </c>
      <c r="O1150" s="10" t="str">
        <f aca="false">_xlfn.UNICHAR(((F1150*21)+D1150)*28+44032)</f>
        <v>거</v>
      </c>
      <c r="P1150" s="12" t="n">
        <f aca="false">COUNTIF($A$2:$A$3000, N1150) + COUNTIF($A$2:$A$3000, O1150)</f>
        <v>2</v>
      </c>
      <c r="Q1150" s="16" t="str">
        <f aca="false">IF(OR(B1150=-1,I1150=0, P1150&lt;&gt;2), "albhed_dummy", _xlfn.CONCAT("albhed ", RIGHT("  " &amp; K1150,2),", ", RIGHT("  " &amp; L1150,2), ", " ,"""",H1150,""", ", """",N1150,""", ","""",O1150,""""," ; ", A1150))</f>
        <v>albhed 13,  4, "고", "소", "거" ; 섧</v>
      </c>
    </row>
    <row r="1151" customFormat="false" ht="17.9" hidden="false" customHeight="true" outlineLevel="0" collapsed="false">
      <c r="A1151" s="16" t="s">
        <v>2019</v>
      </c>
      <c r="B1151" s="16" t="n">
        <f aca="false">IF(_xlfn.UNICODE(A1151)&lt;44032,-1,_xlfn.UNICODE(A1151)-44032)</f>
        <v>5420</v>
      </c>
      <c r="C1151" s="16" t="n">
        <f aca="false">IF(B1151=-1,-1,INT((B1151/28)/21))</f>
        <v>9</v>
      </c>
      <c r="D1151" s="16" t="n">
        <f aca="false">IF(B1151=-1, -1, MOD(INT(B1151/28),21))</f>
        <v>4</v>
      </c>
      <c r="E1151" s="16" t="n">
        <f aca="false">IF(B1151=-1, -1, VLOOKUP(MOD(B1151,28), $T$24:$U$52,2))</f>
        <v>16</v>
      </c>
      <c r="F1151" s="16" t="n">
        <f aca="false">IF($B1151=-1, -1, VLOOKUP(C1151,$T$1:$V$20, 2))</f>
        <v>0</v>
      </c>
      <c r="G1151" s="16" t="n">
        <f aca="false">IF($B1151=-1, -1, VLOOKUP(D1151,$Y$1:$Z$22,2))</f>
        <v>8</v>
      </c>
      <c r="H1151" s="16" t="str">
        <f aca="false">_xlfn.UNICHAR(((F1151*21)+G1151)*28+44032)</f>
        <v>고</v>
      </c>
      <c r="I1151" s="16" t="n">
        <f aca="false">IF(B1151=-1, 1, COUNTIF($A$2:$A$3000, H1151))</f>
        <v>1</v>
      </c>
      <c r="J1151" s="10" t="str">
        <f aca="false">_xlfn.CONCAT(A1151, ",",H1151,",",I1151)</f>
        <v>섬,고,1</v>
      </c>
      <c r="K1151" s="16" t="n">
        <f aca="false">IF(B1151=-1,-1,VLOOKUP(C1151,$T$1:$V$20,3))</f>
        <v>13</v>
      </c>
      <c r="L1151" s="16" t="n">
        <f aca="false">IF(B1151=-1,-1,VLOOKUP(D1151,$Y$1:$AA$22,3))</f>
        <v>4</v>
      </c>
      <c r="N1151" s="10" t="str">
        <f aca="false">_xlfn.UNICHAR(((C1151*21)+G1151)*28+44032)</f>
        <v>소</v>
      </c>
      <c r="O1151" s="10" t="str">
        <f aca="false">_xlfn.UNICHAR(((F1151*21)+D1151)*28+44032)</f>
        <v>거</v>
      </c>
      <c r="P1151" s="12" t="n">
        <f aca="false">COUNTIF($A$2:$A$3000, N1151) + COUNTIF($A$2:$A$3000, O1151)</f>
        <v>2</v>
      </c>
      <c r="Q1151" s="16" t="str">
        <f aca="false">IF(OR(B1151=-1,I1151=0, P1151&lt;&gt;2), "albhed_dummy", _xlfn.CONCAT("albhed ", RIGHT("  " &amp; K1151,2),", ", RIGHT("  " &amp; L1151,2), ", " ,"""",H1151,""", ", """",N1151,""", ","""",O1151,""""," ; ", A1151))</f>
        <v>albhed 13,  4, "고", "소", "거" ; 섬</v>
      </c>
    </row>
    <row r="1152" customFormat="false" ht="17.9" hidden="false" customHeight="true" outlineLevel="0" collapsed="false">
      <c r="A1152" s="16" t="s">
        <v>2020</v>
      </c>
      <c r="B1152" s="16" t="n">
        <f aca="false">IF(_xlfn.UNICODE(A1152)&lt;44032,-1,_xlfn.UNICODE(A1152)-44032)</f>
        <v>5421</v>
      </c>
      <c r="C1152" s="16" t="n">
        <f aca="false">IF(B1152=-1,-1,INT((B1152/28)/21))</f>
        <v>9</v>
      </c>
      <c r="D1152" s="16" t="n">
        <f aca="false">IF(B1152=-1, -1, MOD(INT(B1152/28),21))</f>
        <v>4</v>
      </c>
      <c r="E1152" s="16" t="n">
        <f aca="false">IF(B1152=-1, -1, VLOOKUP(MOD(B1152,28), $T$24:$U$52,2))</f>
        <v>17</v>
      </c>
      <c r="F1152" s="16" t="n">
        <f aca="false">IF($B1152=-1, -1, VLOOKUP(C1152,$T$1:$V$20, 2))</f>
        <v>0</v>
      </c>
      <c r="G1152" s="16" t="n">
        <f aca="false">IF($B1152=-1, -1, VLOOKUP(D1152,$Y$1:$Z$22,2))</f>
        <v>8</v>
      </c>
      <c r="H1152" s="16" t="str">
        <f aca="false">_xlfn.UNICHAR(((F1152*21)+G1152)*28+44032)</f>
        <v>고</v>
      </c>
      <c r="I1152" s="16" t="n">
        <f aca="false">IF(B1152=-1, 1, COUNTIF($A$2:$A$3000, H1152))</f>
        <v>1</v>
      </c>
      <c r="J1152" s="10" t="str">
        <f aca="false">_xlfn.CONCAT(A1152, ",",H1152,",",I1152)</f>
        <v>섭,고,1</v>
      </c>
      <c r="K1152" s="16" t="n">
        <f aca="false">IF(B1152=-1,-1,VLOOKUP(C1152,$T$1:$V$20,3))</f>
        <v>13</v>
      </c>
      <c r="L1152" s="16" t="n">
        <f aca="false">IF(B1152=-1,-1,VLOOKUP(D1152,$Y$1:$AA$22,3))</f>
        <v>4</v>
      </c>
      <c r="N1152" s="10" t="str">
        <f aca="false">_xlfn.UNICHAR(((C1152*21)+G1152)*28+44032)</f>
        <v>소</v>
      </c>
      <c r="O1152" s="10" t="str">
        <f aca="false">_xlfn.UNICHAR(((F1152*21)+D1152)*28+44032)</f>
        <v>거</v>
      </c>
      <c r="P1152" s="12" t="n">
        <f aca="false">COUNTIF($A$2:$A$3000, N1152) + COUNTIF($A$2:$A$3000, O1152)</f>
        <v>2</v>
      </c>
      <c r="Q1152" s="16" t="str">
        <f aca="false">IF(OR(B1152=-1,I1152=0, P1152&lt;&gt;2), "albhed_dummy", _xlfn.CONCAT("albhed ", RIGHT("  " &amp; K1152,2),", ", RIGHT("  " &amp; L1152,2), ", " ,"""",H1152,""", ", """",N1152,""", ","""",O1152,""""," ; ", A1152))</f>
        <v>albhed 13,  4, "고", "소", "거" ; 섭</v>
      </c>
    </row>
    <row r="1153" customFormat="false" ht="17.9" hidden="false" customHeight="true" outlineLevel="0" collapsed="false">
      <c r="A1153" s="16" t="s">
        <v>2021</v>
      </c>
      <c r="B1153" s="16" t="n">
        <f aca="false">IF(_xlfn.UNICODE(A1153)&lt;44032,-1,_xlfn.UNICODE(A1153)-44032)</f>
        <v>5423</v>
      </c>
      <c r="C1153" s="16" t="n">
        <f aca="false">IF(B1153=-1,-1,INT((B1153/28)/21))</f>
        <v>9</v>
      </c>
      <c r="D1153" s="16" t="n">
        <f aca="false">IF(B1153=-1, -1, MOD(INT(B1153/28),21))</f>
        <v>4</v>
      </c>
      <c r="E1153" s="16" t="n">
        <f aca="false">IF(B1153=-1, -1, VLOOKUP(MOD(B1153,28), $T$24:$U$52,2))</f>
        <v>19</v>
      </c>
      <c r="F1153" s="16" t="n">
        <f aca="false">IF($B1153=-1, -1, VLOOKUP(C1153,$T$1:$V$20, 2))</f>
        <v>0</v>
      </c>
      <c r="G1153" s="16" t="n">
        <f aca="false">IF($B1153=-1, -1, VLOOKUP(D1153,$Y$1:$Z$22,2))</f>
        <v>8</v>
      </c>
      <c r="H1153" s="16" t="str">
        <f aca="false">_xlfn.UNICHAR(((F1153*21)+G1153)*28+44032)</f>
        <v>고</v>
      </c>
      <c r="I1153" s="16" t="n">
        <f aca="false">IF(B1153=-1, 1, COUNTIF($A$2:$A$3000, H1153))</f>
        <v>1</v>
      </c>
      <c r="J1153" s="10" t="str">
        <f aca="false">_xlfn.CONCAT(A1153, ",",H1153,",",I1153)</f>
        <v>섯,고,1</v>
      </c>
      <c r="K1153" s="16" t="n">
        <f aca="false">IF(B1153=-1,-1,VLOOKUP(C1153,$T$1:$V$20,3))</f>
        <v>13</v>
      </c>
      <c r="L1153" s="16" t="n">
        <f aca="false">IF(B1153=-1,-1,VLOOKUP(D1153,$Y$1:$AA$22,3))</f>
        <v>4</v>
      </c>
      <c r="N1153" s="10" t="str">
        <f aca="false">_xlfn.UNICHAR(((C1153*21)+G1153)*28+44032)</f>
        <v>소</v>
      </c>
      <c r="O1153" s="10" t="str">
        <f aca="false">_xlfn.UNICHAR(((F1153*21)+D1153)*28+44032)</f>
        <v>거</v>
      </c>
      <c r="P1153" s="12" t="n">
        <f aca="false">COUNTIF($A$2:$A$3000, N1153) + COUNTIF($A$2:$A$3000, O1153)</f>
        <v>2</v>
      </c>
      <c r="Q1153" s="16" t="str">
        <f aca="false">IF(OR(B1153=-1,I1153=0, P1153&lt;&gt;2), "albhed_dummy", _xlfn.CONCAT("albhed ", RIGHT("  " &amp; K1153,2),", ", RIGHT("  " &amp; L1153,2), ", " ,"""",H1153,""", ", """",N1153,""", ","""",O1153,""""," ; ", A1153))</f>
        <v>albhed 13,  4, "고", "소", "거" ; 섯</v>
      </c>
    </row>
    <row r="1154" customFormat="false" ht="17.9" hidden="false" customHeight="true" outlineLevel="0" collapsed="false">
      <c r="A1154" s="16" t="s">
        <v>2022</v>
      </c>
      <c r="B1154" s="16" t="n">
        <f aca="false">IF(_xlfn.UNICODE(A1154)&lt;44032,-1,_xlfn.UNICODE(A1154)-44032)</f>
        <v>5424</v>
      </c>
      <c r="C1154" s="16" t="n">
        <f aca="false">IF(B1154=-1,-1,INT((B1154/28)/21))</f>
        <v>9</v>
      </c>
      <c r="D1154" s="16" t="n">
        <f aca="false">IF(B1154=-1, -1, MOD(INT(B1154/28),21))</f>
        <v>4</v>
      </c>
      <c r="E1154" s="16" t="n">
        <f aca="false">IF(B1154=-1, -1, VLOOKUP(MOD(B1154,28), $T$24:$U$52,2))</f>
        <v>19</v>
      </c>
      <c r="F1154" s="16" t="n">
        <f aca="false">IF($B1154=-1, -1, VLOOKUP(C1154,$T$1:$V$20, 2))</f>
        <v>0</v>
      </c>
      <c r="G1154" s="16" t="n">
        <f aca="false">IF($B1154=-1, -1, VLOOKUP(D1154,$Y$1:$Z$22,2))</f>
        <v>8</v>
      </c>
      <c r="H1154" s="16" t="str">
        <f aca="false">_xlfn.UNICHAR(((F1154*21)+G1154)*28+44032)</f>
        <v>고</v>
      </c>
      <c r="I1154" s="16" t="n">
        <f aca="false">IF(B1154=-1, 1, COUNTIF($A$2:$A$3000, H1154))</f>
        <v>1</v>
      </c>
      <c r="J1154" s="10" t="str">
        <f aca="false">_xlfn.CONCAT(A1154, ",",H1154,",",I1154)</f>
        <v>섰,고,1</v>
      </c>
      <c r="K1154" s="16" t="n">
        <f aca="false">IF(B1154=-1,-1,VLOOKUP(C1154,$T$1:$V$20,3))</f>
        <v>13</v>
      </c>
      <c r="L1154" s="16" t="n">
        <f aca="false">IF(B1154=-1,-1,VLOOKUP(D1154,$Y$1:$AA$22,3))</f>
        <v>4</v>
      </c>
      <c r="N1154" s="10" t="str">
        <f aca="false">_xlfn.UNICHAR(((C1154*21)+G1154)*28+44032)</f>
        <v>소</v>
      </c>
      <c r="O1154" s="10" t="str">
        <f aca="false">_xlfn.UNICHAR(((F1154*21)+D1154)*28+44032)</f>
        <v>거</v>
      </c>
      <c r="P1154" s="12" t="n">
        <f aca="false">COUNTIF($A$2:$A$3000, N1154) + COUNTIF($A$2:$A$3000, O1154)</f>
        <v>2</v>
      </c>
      <c r="Q1154" s="16" t="str">
        <f aca="false">IF(OR(B1154=-1,I1154=0, P1154&lt;&gt;2), "albhed_dummy", _xlfn.CONCAT("albhed ", RIGHT("  " &amp; K1154,2),", ", RIGHT("  " &amp; L1154,2), ", " ,"""",H1154,""", ", """",N1154,""", ","""",O1154,""""," ; ", A1154))</f>
        <v>albhed 13,  4, "고", "소", "거" ; 섰</v>
      </c>
    </row>
    <row r="1155" customFormat="false" ht="17.9" hidden="false" customHeight="true" outlineLevel="0" collapsed="false">
      <c r="A1155" s="16" t="s">
        <v>2023</v>
      </c>
      <c r="B1155" s="16" t="n">
        <f aca="false">IF(_xlfn.UNICODE(A1155)&lt;44032,-1,_xlfn.UNICODE(A1155)-44032)</f>
        <v>5425</v>
      </c>
      <c r="C1155" s="16" t="n">
        <f aca="false">IF(B1155=-1,-1,INT((B1155/28)/21))</f>
        <v>9</v>
      </c>
      <c r="D1155" s="16" t="n">
        <f aca="false">IF(B1155=-1, -1, MOD(INT(B1155/28),21))</f>
        <v>4</v>
      </c>
      <c r="E1155" s="16" t="n">
        <f aca="false">IF(B1155=-1, -1, VLOOKUP(MOD(B1155,28), $T$24:$U$52,2))</f>
        <v>21</v>
      </c>
      <c r="F1155" s="16" t="n">
        <f aca="false">IF($B1155=-1, -1, VLOOKUP(C1155,$T$1:$V$20, 2))</f>
        <v>0</v>
      </c>
      <c r="G1155" s="16" t="n">
        <f aca="false">IF($B1155=-1, -1, VLOOKUP(D1155,$Y$1:$Z$22,2))</f>
        <v>8</v>
      </c>
      <c r="H1155" s="16" t="str">
        <f aca="false">_xlfn.UNICHAR(((F1155*21)+G1155)*28+44032)</f>
        <v>고</v>
      </c>
      <c r="I1155" s="16" t="n">
        <f aca="false">IF(B1155=-1, 1, COUNTIF($A$2:$A$3000, H1155))</f>
        <v>1</v>
      </c>
      <c r="J1155" s="10" t="str">
        <f aca="false">_xlfn.CONCAT(A1155, ",",H1155,",",I1155)</f>
        <v>성,고,1</v>
      </c>
      <c r="K1155" s="16" t="n">
        <f aca="false">IF(B1155=-1,-1,VLOOKUP(C1155,$T$1:$V$20,3))</f>
        <v>13</v>
      </c>
      <c r="L1155" s="16" t="n">
        <f aca="false">IF(B1155=-1,-1,VLOOKUP(D1155,$Y$1:$AA$22,3))</f>
        <v>4</v>
      </c>
      <c r="N1155" s="10" t="str">
        <f aca="false">_xlfn.UNICHAR(((C1155*21)+G1155)*28+44032)</f>
        <v>소</v>
      </c>
      <c r="O1155" s="10" t="str">
        <f aca="false">_xlfn.UNICHAR(((F1155*21)+D1155)*28+44032)</f>
        <v>거</v>
      </c>
      <c r="P1155" s="12" t="n">
        <f aca="false">COUNTIF($A$2:$A$3000, N1155) + COUNTIF($A$2:$A$3000, O1155)</f>
        <v>2</v>
      </c>
      <c r="Q1155" s="16" t="str">
        <f aca="false">IF(OR(B1155=-1,I1155=0, P1155&lt;&gt;2), "albhed_dummy", _xlfn.CONCAT("albhed ", RIGHT("  " &amp; K1155,2),", ", RIGHT("  " &amp; L1155,2), ", " ,"""",H1155,""", ", """",N1155,""", ","""",O1155,""""," ; ", A1155))</f>
        <v>albhed 13,  4, "고", "소", "거" ; 성</v>
      </c>
    </row>
    <row r="1156" customFormat="false" ht="17.9" hidden="false" customHeight="true" outlineLevel="0" collapsed="false">
      <c r="A1156" s="16" t="s">
        <v>2024</v>
      </c>
      <c r="B1156" s="16" t="n">
        <f aca="false">IF(_xlfn.UNICODE(A1156)&lt;44032,-1,_xlfn.UNICODE(A1156)-44032)</f>
        <v>5430</v>
      </c>
      <c r="C1156" s="16" t="n">
        <f aca="false">IF(B1156=-1,-1,INT((B1156/28)/21))</f>
        <v>9</v>
      </c>
      <c r="D1156" s="16" t="n">
        <f aca="false">IF(B1156=-1, -1, MOD(INT(B1156/28),21))</f>
        <v>4</v>
      </c>
      <c r="E1156" s="16" t="n">
        <f aca="false">IF(B1156=-1, -1, VLOOKUP(MOD(B1156,28), $T$24:$U$52,2))</f>
        <v>17</v>
      </c>
      <c r="F1156" s="16" t="n">
        <f aca="false">IF($B1156=-1, -1, VLOOKUP(C1156,$T$1:$V$20, 2))</f>
        <v>0</v>
      </c>
      <c r="G1156" s="16" t="n">
        <f aca="false">IF($B1156=-1, -1, VLOOKUP(D1156,$Y$1:$Z$22,2))</f>
        <v>8</v>
      </c>
      <c r="H1156" s="16" t="str">
        <f aca="false">_xlfn.UNICHAR(((F1156*21)+G1156)*28+44032)</f>
        <v>고</v>
      </c>
      <c r="I1156" s="16" t="n">
        <f aca="false">IF(B1156=-1, 1, COUNTIF($A$2:$A$3000, H1156))</f>
        <v>1</v>
      </c>
      <c r="J1156" s="10" t="str">
        <f aca="false">_xlfn.CONCAT(A1156, ",",H1156,",",I1156)</f>
        <v>섶,고,1</v>
      </c>
      <c r="K1156" s="16" t="n">
        <f aca="false">IF(B1156=-1,-1,VLOOKUP(C1156,$T$1:$V$20,3))</f>
        <v>13</v>
      </c>
      <c r="L1156" s="16" t="n">
        <f aca="false">IF(B1156=-1,-1,VLOOKUP(D1156,$Y$1:$AA$22,3))</f>
        <v>4</v>
      </c>
      <c r="N1156" s="10" t="str">
        <f aca="false">_xlfn.UNICHAR(((C1156*21)+G1156)*28+44032)</f>
        <v>소</v>
      </c>
      <c r="O1156" s="10" t="str">
        <f aca="false">_xlfn.UNICHAR(((F1156*21)+D1156)*28+44032)</f>
        <v>거</v>
      </c>
      <c r="P1156" s="12" t="n">
        <f aca="false">COUNTIF($A$2:$A$3000, N1156) + COUNTIF($A$2:$A$3000, O1156)</f>
        <v>2</v>
      </c>
      <c r="Q1156" s="16" t="str">
        <f aca="false">IF(OR(B1156=-1,I1156=0, P1156&lt;&gt;2), "albhed_dummy", _xlfn.CONCAT("albhed ", RIGHT("  " &amp; K1156,2),", ", RIGHT("  " &amp; L1156,2), ", " ,"""",H1156,""", ", """",N1156,""", ","""",O1156,""""," ; ", A1156))</f>
        <v>albhed 13,  4, "고", "소", "거" ; 섶</v>
      </c>
    </row>
    <row r="1157" customFormat="false" ht="17.9" hidden="false" customHeight="true" outlineLevel="0" collapsed="false">
      <c r="A1157" s="16" t="s">
        <v>811</v>
      </c>
      <c r="B1157" s="16" t="n">
        <f aca="false">IF(_xlfn.UNICODE(A1157)&lt;44032,-1,_xlfn.UNICODE(A1157)-44032)</f>
        <v>5432</v>
      </c>
      <c r="C1157" s="16" t="n">
        <f aca="false">IF(B1157=-1,-1,INT((B1157/28)/21))</f>
        <v>9</v>
      </c>
      <c r="D1157" s="16" t="n">
        <f aca="false">IF(B1157=-1, -1, MOD(INT(B1157/28),21))</f>
        <v>5</v>
      </c>
      <c r="E1157" s="16" t="n">
        <f aca="false">IF(B1157=-1, -1, VLOOKUP(MOD(B1157,28), $T$24:$U$52,2))</f>
        <v>0</v>
      </c>
      <c r="F1157" s="16" t="n">
        <f aca="false">IF($B1157=-1, -1, VLOOKUP(C1157,$T$1:$V$20, 2))</f>
        <v>0</v>
      </c>
      <c r="G1157" s="16" t="n">
        <f aca="false">IF($B1157=-1, -1, VLOOKUP(D1157,$Y$1:$Z$22,2))</f>
        <v>18</v>
      </c>
      <c r="H1157" s="16" t="str">
        <f aca="false">_xlfn.UNICHAR(((F1157*21)+G1157)*28+44032)</f>
        <v>그</v>
      </c>
      <c r="I1157" s="16" t="n">
        <f aca="false">IF(B1157=-1, 1, COUNTIF($A$2:$A$3000, H1157))</f>
        <v>1</v>
      </c>
      <c r="J1157" s="10" t="str">
        <f aca="false">_xlfn.CONCAT(A1157, ",",H1157,",",I1157)</f>
        <v>세,그,1</v>
      </c>
      <c r="K1157" s="16" t="n">
        <f aca="false">IF(B1157=-1,-1,VLOOKUP(C1157,$T$1:$V$20,3))</f>
        <v>13</v>
      </c>
      <c r="L1157" s="16" t="n">
        <f aca="false">IF(B1157=-1,-1,VLOOKUP(D1157,$Y$1:$AA$22,3))</f>
        <v>10</v>
      </c>
      <c r="N1157" s="10" t="str">
        <f aca="false">_xlfn.UNICHAR(((C1157*21)+G1157)*28+44032)</f>
        <v>스</v>
      </c>
      <c r="O1157" s="10" t="str">
        <f aca="false">_xlfn.UNICHAR(((F1157*21)+D1157)*28+44032)</f>
        <v>게</v>
      </c>
      <c r="P1157" s="12" t="n">
        <f aca="false">COUNTIF($A$2:$A$3000, N1157) + COUNTIF($A$2:$A$3000, O1157)</f>
        <v>2</v>
      </c>
      <c r="Q1157" s="16" t="str">
        <f aca="false">IF(OR(B1157=-1,I1157=0, P1157&lt;&gt;2), "albhed_dummy", _xlfn.CONCAT("albhed ", RIGHT("  " &amp; K1157,2),", ", RIGHT("  " &amp; L1157,2), ", " ,"""",H1157,""", ", """",N1157,""", ","""",O1157,""""," ; ", A1157))</f>
        <v>albhed 13, 10, "그", "스", "게" ; 세</v>
      </c>
    </row>
    <row r="1158" customFormat="false" ht="17.9" hidden="false" customHeight="true" outlineLevel="0" collapsed="false">
      <c r="A1158" s="16" t="s">
        <v>2025</v>
      </c>
      <c r="B1158" s="16" t="n">
        <f aca="false">IF(_xlfn.UNICODE(A1158)&lt;44032,-1,_xlfn.UNICODE(A1158)-44032)</f>
        <v>5433</v>
      </c>
      <c r="C1158" s="16" t="n">
        <f aca="false">IF(B1158=-1,-1,INT((B1158/28)/21))</f>
        <v>9</v>
      </c>
      <c r="D1158" s="16" t="n">
        <f aca="false">IF(B1158=-1, -1, MOD(INT(B1158/28),21))</f>
        <v>5</v>
      </c>
      <c r="E1158" s="16" t="n">
        <f aca="false">IF(B1158=-1, -1, VLOOKUP(MOD(B1158,28), $T$24:$U$52,2))</f>
        <v>1</v>
      </c>
      <c r="F1158" s="16" t="n">
        <f aca="false">IF($B1158=-1, -1, VLOOKUP(C1158,$T$1:$V$20, 2))</f>
        <v>0</v>
      </c>
      <c r="G1158" s="16" t="n">
        <f aca="false">IF($B1158=-1, -1, VLOOKUP(D1158,$Y$1:$Z$22,2))</f>
        <v>18</v>
      </c>
      <c r="H1158" s="16" t="str">
        <f aca="false">_xlfn.UNICHAR(((F1158*21)+G1158)*28+44032)</f>
        <v>그</v>
      </c>
      <c r="I1158" s="16" t="n">
        <f aca="false">IF(B1158=-1, 1, COUNTIF($A$2:$A$3000, H1158))</f>
        <v>1</v>
      </c>
      <c r="J1158" s="10" t="str">
        <f aca="false">_xlfn.CONCAT(A1158, ",",H1158,",",I1158)</f>
        <v>섹,그,1</v>
      </c>
      <c r="K1158" s="16" t="n">
        <f aca="false">IF(B1158=-1,-1,VLOOKUP(C1158,$T$1:$V$20,3))</f>
        <v>13</v>
      </c>
      <c r="L1158" s="16" t="n">
        <f aca="false">IF(B1158=-1,-1,VLOOKUP(D1158,$Y$1:$AA$22,3))</f>
        <v>10</v>
      </c>
      <c r="N1158" s="10" t="str">
        <f aca="false">_xlfn.UNICHAR(((C1158*21)+G1158)*28+44032)</f>
        <v>스</v>
      </c>
      <c r="O1158" s="10" t="str">
        <f aca="false">_xlfn.UNICHAR(((F1158*21)+D1158)*28+44032)</f>
        <v>게</v>
      </c>
      <c r="P1158" s="12" t="n">
        <f aca="false">COUNTIF($A$2:$A$3000, N1158) + COUNTIF($A$2:$A$3000, O1158)</f>
        <v>2</v>
      </c>
      <c r="Q1158" s="16" t="str">
        <f aca="false">IF(OR(B1158=-1,I1158=0, P1158&lt;&gt;2), "albhed_dummy", _xlfn.CONCAT("albhed ", RIGHT("  " &amp; K1158,2),", ", RIGHT("  " &amp; L1158,2), ", " ,"""",H1158,""", ", """",N1158,""", ","""",O1158,""""," ; ", A1158))</f>
        <v>albhed 13, 10, "그", "스", "게" ; 섹</v>
      </c>
    </row>
    <row r="1159" customFormat="false" ht="17.9" hidden="false" customHeight="true" outlineLevel="0" collapsed="false">
      <c r="A1159" s="16" t="s">
        <v>2026</v>
      </c>
      <c r="B1159" s="16" t="n">
        <f aca="false">IF(_xlfn.UNICODE(A1159)&lt;44032,-1,_xlfn.UNICODE(A1159)-44032)</f>
        <v>5436</v>
      </c>
      <c r="C1159" s="16" t="n">
        <f aca="false">IF(B1159=-1,-1,INT((B1159/28)/21))</f>
        <v>9</v>
      </c>
      <c r="D1159" s="16" t="n">
        <f aca="false">IF(B1159=-1, -1, MOD(INT(B1159/28),21))</f>
        <v>5</v>
      </c>
      <c r="E1159" s="16" t="n">
        <f aca="false">IF(B1159=-1, -1, VLOOKUP(MOD(B1159,28), $T$24:$U$52,2))</f>
        <v>4</v>
      </c>
      <c r="F1159" s="16" t="n">
        <f aca="false">IF($B1159=-1, -1, VLOOKUP(C1159,$T$1:$V$20, 2))</f>
        <v>0</v>
      </c>
      <c r="G1159" s="16" t="n">
        <f aca="false">IF($B1159=-1, -1, VLOOKUP(D1159,$Y$1:$Z$22,2))</f>
        <v>18</v>
      </c>
      <c r="H1159" s="16" t="str">
        <f aca="false">_xlfn.UNICHAR(((F1159*21)+G1159)*28+44032)</f>
        <v>그</v>
      </c>
      <c r="I1159" s="16" t="n">
        <f aca="false">IF(B1159=-1, 1, COUNTIF($A$2:$A$3000, H1159))</f>
        <v>1</v>
      </c>
      <c r="J1159" s="10" t="str">
        <f aca="false">_xlfn.CONCAT(A1159, ",",H1159,",",I1159)</f>
        <v>센,그,1</v>
      </c>
      <c r="K1159" s="16" t="n">
        <f aca="false">IF(B1159=-1,-1,VLOOKUP(C1159,$T$1:$V$20,3))</f>
        <v>13</v>
      </c>
      <c r="L1159" s="16" t="n">
        <f aca="false">IF(B1159=-1,-1,VLOOKUP(D1159,$Y$1:$AA$22,3))</f>
        <v>10</v>
      </c>
      <c r="N1159" s="10" t="str">
        <f aca="false">_xlfn.UNICHAR(((C1159*21)+G1159)*28+44032)</f>
        <v>스</v>
      </c>
      <c r="O1159" s="10" t="str">
        <f aca="false">_xlfn.UNICHAR(((F1159*21)+D1159)*28+44032)</f>
        <v>게</v>
      </c>
      <c r="P1159" s="12" t="n">
        <f aca="false">COUNTIF($A$2:$A$3000, N1159) + COUNTIF($A$2:$A$3000, O1159)</f>
        <v>2</v>
      </c>
      <c r="Q1159" s="16" t="str">
        <f aca="false">IF(OR(B1159=-1,I1159=0, P1159&lt;&gt;2), "albhed_dummy", _xlfn.CONCAT("albhed ", RIGHT("  " &amp; K1159,2),", ", RIGHT("  " &amp; L1159,2), ", " ,"""",H1159,""", ", """",N1159,""", ","""",O1159,""""," ; ", A1159))</f>
        <v>albhed 13, 10, "그", "스", "게" ; 센</v>
      </c>
    </row>
    <row r="1160" customFormat="false" ht="17.9" hidden="false" customHeight="true" outlineLevel="0" collapsed="false">
      <c r="A1160" s="16" t="s">
        <v>2027</v>
      </c>
      <c r="B1160" s="16" t="n">
        <f aca="false">IF(_xlfn.UNICODE(A1160)&lt;44032,-1,_xlfn.UNICODE(A1160)-44032)</f>
        <v>5440</v>
      </c>
      <c r="C1160" s="16" t="n">
        <f aca="false">IF(B1160=-1,-1,INT((B1160/28)/21))</f>
        <v>9</v>
      </c>
      <c r="D1160" s="16" t="n">
        <f aca="false">IF(B1160=-1, -1, MOD(INT(B1160/28),21))</f>
        <v>5</v>
      </c>
      <c r="E1160" s="16" t="n">
        <f aca="false">IF(B1160=-1, -1, VLOOKUP(MOD(B1160,28), $T$24:$U$52,2))</f>
        <v>8</v>
      </c>
      <c r="F1160" s="16" t="n">
        <f aca="false">IF($B1160=-1, -1, VLOOKUP(C1160,$T$1:$V$20, 2))</f>
        <v>0</v>
      </c>
      <c r="G1160" s="16" t="n">
        <f aca="false">IF($B1160=-1, -1, VLOOKUP(D1160,$Y$1:$Z$22,2))</f>
        <v>18</v>
      </c>
      <c r="H1160" s="16" t="str">
        <f aca="false">_xlfn.UNICHAR(((F1160*21)+G1160)*28+44032)</f>
        <v>그</v>
      </c>
      <c r="I1160" s="16" t="n">
        <f aca="false">IF(B1160=-1, 1, COUNTIF($A$2:$A$3000, H1160))</f>
        <v>1</v>
      </c>
      <c r="J1160" s="10" t="str">
        <f aca="false">_xlfn.CONCAT(A1160, ",",H1160,",",I1160)</f>
        <v>셀,그,1</v>
      </c>
      <c r="K1160" s="16" t="n">
        <f aca="false">IF(B1160=-1,-1,VLOOKUP(C1160,$T$1:$V$20,3))</f>
        <v>13</v>
      </c>
      <c r="L1160" s="16" t="n">
        <f aca="false">IF(B1160=-1,-1,VLOOKUP(D1160,$Y$1:$AA$22,3))</f>
        <v>10</v>
      </c>
      <c r="N1160" s="10" t="str">
        <f aca="false">_xlfn.UNICHAR(((C1160*21)+G1160)*28+44032)</f>
        <v>스</v>
      </c>
      <c r="O1160" s="10" t="str">
        <f aca="false">_xlfn.UNICHAR(((F1160*21)+D1160)*28+44032)</f>
        <v>게</v>
      </c>
      <c r="P1160" s="12" t="n">
        <f aca="false">COUNTIF($A$2:$A$3000, N1160) + COUNTIF($A$2:$A$3000, O1160)</f>
        <v>2</v>
      </c>
      <c r="Q1160" s="16" t="str">
        <f aca="false">IF(OR(B1160=-1,I1160=0, P1160&lt;&gt;2), "albhed_dummy", _xlfn.CONCAT("albhed ", RIGHT("  " &amp; K1160,2),", ", RIGHT("  " &amp; L1160,2), ", " ,"""",H1160,""", ", """",N1160,""", ","""",O1160,""""," ; ", A1160))</f>
        <v>albhed 13, 10, "그", "스", "게" ; 셀</v>
      </c>
    </row>
    <row r="1161" customFormat="false" ht="17.9" hidden="false" customHeight="true" outlineLevel="0" collapsed="false">
      <c r="A1161" s="16" t="s">
        <v>2028</v>
      </c>
      <c r="B1161" s="16" t="n">
        <f aca="false">IF(_xlfn.UNICODE(A1161)&lt;44032,-1,_xlfn.UNICODE(A1161)-44032)</f>
        <v>5448</v>
      </c>
      <c r="C1161" s="16" t="n">
        <f aca="false">IF(B1161=-1,-1,INT((B1161/28)/21))</f>
        <v>9</v>
      </c>
      <c r="D1161" s="16" t="n">
        <f aca="false">IF(B1161=-1, -1, MOD(INT(B1161/28),21))</f>
        <v>5</v>
      </c>
      <c r="E1161" s="16" t="n">
        <f aca="false">IF(B1161=-1, -1, VLOOKUP(MOD(B1161,28), $T$24:$U$52,2))</f>
        <v>16</v>
      </c>
      <c r="F1161" s="16" t="n">
        <f aca="false">IF($B1161=-1, -1, VLOOKUP(C1161,$T$1:$V$20, 2))</f>
        <v>0</v>
      </c>
      <c r="G1161" s="16" t="n">
        <f aca="false">IF($B1161=-1, -1, VLOOKUP(D1161,$Y$1:$Z$22,2))</f>
        <v>18</v>
      </c>
      <c r="H1161" s="16" t="str">
        <f aca="false">_xlfn.UNICHAR(((F1161*21)+G1161)*28+44032)</f>
        <v>그</v>
      </c>
      <c r="I1161" s="16" t="n">
        <f aca="false">IF(B1161=-1, 1, COUNTIF($A$2:$A$3000, H1161))</f>
        <v>1</v>
      </c>
      <c r="J1161" s="10" t="str">
        <f aca="false">_xlfn.CONCAT(A1161, ",",H1161,",",I1161)</f>
        <v>셈,그,1</v>
      </c>
      <c r="K1161" s="16" t="n">
        <f aca="false">IF(B1161=-1,-1,VLOOKUP(C1161,$T$1:$V$20,3))</f>
        <v>13</v>
      </c>
      <c r="L1161" s="16" t="n">
        <f aca="false">IF(B1161=-1,-1,VLOOKUP(D1161,$Y$1:$AA$22,3))</f>
        <v>10</v>
      </c>
      <c r="N1161" s="10" t="str">
        <f aca="false">_xlfn.UNICHAR(((C1161*21)+G1161)*28+44032)</f>
        <v>스</v>
      </c>
      <c r="O1161" s="10" t="str">
        <f aca="false">_xlfn.UNICHAR(((F1161*21)+D1161)*28+44032)</f>
        <v>게</v>
      </c>
      <c r="P1161" s="12" t="n">
        <f aca="false">COUNTIF($A$2:$A$3000, N1161) + COUNTIF($A$2:$A$3000, O1161)</f>
        <v>2</v>
      </c>
      <c r="Q1161" s="16" t="str">
        <f aca="false">IF(OR(B1161=-1,I1161=0, P1161&lt;&gt;2), "albhed_dummy", _xlfn.CONCAT("albhed ", RIGHT("  " &amp; K1161,2),", ", RIGHT("  " &amp; L1161,2), ", " ,"""",H1161,""", ", """",N1161,""", ","""",O1161,""""," ; ", A1161))</f>
        <v>albhed 13, 10, "그", "스", "게" ; 셈</v>
      </c>
    </row>
    <row r="1162" customFormat="false" ht="17.9" hidden="false" customHeight="true" outlineLevel="0" collapsed="false">
      <c r="A1162" s="16" t="s">
        <v>2029</v>
      </c>
      <c r="B1162" s="16" t="n">
        <f aca="false">IF(_xlfn.UNICODE(A1162)&lt;44032,-1,_xlfn.UNICODE(A1162)-44032)</f>
        <v>5449</v>
      </c>
      <c r="C1162" s="16" t="n">
        <f aca="false">IF(B1162=-1,-1,INT((B1162/28)/21))</f>
        <v>9</v>
      </c>
      <c r="D1162" s="16" t="n">
        <f aca="false">IF(B1162=-1, -1, MOD(INT(B1162/28),21))</f>
        <v>5</v>
      </c>
      <c r="E1162" s="16" t="n">
        <f aca="false">IF(B1162=-1, -1, VLOOKUP(MOD(B1162,28), $T$24:$U$52,2))</f>
        <v>17</v>
      </c>
      <c r="F1162" s="16" t="n">
        <f aca="false">IF($B1162=-1, -1, VLOOKUP(C1162,$T$1:$V$20, 2))</f>
        <v>0</v>
      </c>
      <c r="G1162" s="16" t="n">
        <f aca="false">IF($B1162=-1, -1, VLOOKUP(D1162,$Y$1:$Z$22,2))</f>
        <v>18</v>
      </c>
      <c r="H1162" s="16" t="str">
        <f aca="false">_xlfn.UNICHAR(((F1162*21)+G1162)*28+44032)</f>
        <v>그</v>
      </c>
      <c r="I1162" s="16" t="n">
        <f aca="false">IF(B1162=-1, 1, COUNTIF($A$2:$A$3000, H1162))</f>
        <v>1</v>
      </c>
      <c r="J1162" s="10" t="str">
        <f aca="false">_xlfn.CONCAT(A1162, ",",H1162,",",I1162)</f>
        <v>셉,그,1</v>
      </c>
      <c r="K1162" s="16" t="n">
        <f aca="false">IF(B1162=-1,-1,VLOOKUP(C1162,$T$1:$V$20,3))</f>
        <v>13</v>
      </c>
      <c r="L1162" s="16" t="n">
        <f aca="false">IF(B1162=-1,-1,VLOOKUP(D1162,$Y$1:$AA$22,3))</f>
        <v>10</v>
      </c>
      <c r="N1162" s="10" t="str">
        <f aca="false">_xlfn.UNICHAR(((C1162*21)+G1162)*28+44032)</f>
        <v>스</v>
      </c>
      <c r="O1162" s="10" t="str">
        <f aca="false">_xlfn.UNICHAR(((F1162*21)+D1162)*28+44032)</f>
        <v>게</v>
      </c>
      <c r="P1162" s="12" t="n">
        <f aca="false">COUNTIF($A$2:$A$3000, N1162) + COUNTIF($A$2:$A$3000, O1162)</f>
        <v>2</v>
      </c>
      <c r="Q1162" s="16" t="str">
        <f aca="false">IF(OR(B1162=-1,I1162=0, P1162&lt;&gt;2), "albhed_dummy", _xlfn.CONCAT("albhed ", RIGHT("  " &amp; K1162,2),", ", RIGHT("  " &amp; L1162,2), ", " ,"""",H1162,""", ", """",N1162,""", ","""",O1162,""""," ; ", A1162))</f>
        <v>albhed 13, 10, "그", "스", "게" ; 셉</v>
      </c>
    </row>
    <row r="1163" customFormat="false" ht="17.9" hidden="false" customHeight="true" outlineLevel="0" collapsed="false">
      <c r="A1163" s="16" t="s">
        <v>2030</v>
      </c>
      <c r="B1163" s="16" t="n">
        <f aca="false">IF(_xlfn.UNICODE(A1163)&lt;44032,-1,_xlfn.UNICODE(A1163)-44032)</f>
        <v>5451</v>
      </c>
      <c r="C1163" s="16" t="n">
        <f aca="false">IF(B1163=-1,-1,INT((B1163/28)/21))</f>
        <v>9</v>
      </c>
      <c r="D1163" s="16" t="n">
        <f aca="false">IF(B1163=-1, -1, MOD(INT(B1163/28),21))</f>
        <v>5</v>
      </c>
      <c r="E1163" s="16" t="n">
        <f aca="false">IF(B1163=-1, -1, VLOOKUP(MOD(B1163,28), $T$24:$U$52,2))</f>
        <v>19</v>
      </c>
      <c r="F1163" s="16" t="n">
        <f aca="false">IF($B1163=-1, -1, VLOOKUP(C1163,$T$1:$V$20, 2))</f>
        <v>0</v>
      </c>
      <c r="G1163" s="16" t="n">
        <f aca="false">IF($B1163=-1, -1, VLOOKUP(D1163,$Y$1:$Z$22,2))</f>
        <v>18</v>
      </c>
      <c r="H1163" s="16" t="str">
        <f aca="false">_xlfn.UNICHAR(((F1163*21)+G1163)*28+44032)</f>
        <v>그</v>
      </c>
      <c r="I1163" s="16" t="n">
        <f aca="false">IF(B1163=-1, 1, COUNTIF($A$2:$A$3000, H1163))</f>
        <v>1</v>
      </c>
      <c r="J1163" s="10" t="str">
        <f aca="false">_xlfn.CONCAT(A1163, ",",H1163,",",I1163)</f>
        <v>셋,그,1</v>
      </c>
      <c r="K1163" s="16" t="n">
        <f aca="false">IF(B1163=-1,-1,VLOOKUP(C1163,$T$1:$V$20,3))</f>
        <v>13</v>
      </c>
      <c r="L1163" s="16" t="n">
        <f aca="false">IF(B1163=-1,-1,VLOOKUP(D1163,$Y$1:$AA$22,3))</f>
        <v>10</v>
      </c>
      <c r="N1163" s="10" t="str">
        <f aca="false">_xlfn.UNICHAR(((C1163*21)+G1163)*28+44032)</f>
        <v>스</v>
      </c>
      <c r="O1163" s="10" t="str">
        <f aca="false">_xlfn.UNICHAR(((F1163*21)+D1163)*28+44032)</f>
        <v>게</v>
      </c>
      <c r="P1163" s="12" t="n">
        <f aca="false">COUNTIF($A$2:$A$3000, N1163) + COUNTIF($A$2:$A$3000, O1163)</f>
        <v>2</v>
      </c>
      <c r="Q1163" s="16" t="str">
        <f aca="false">IF(OR(B1163=-1,I1163=0, P1163&lt;&gt;2), "albhed_dummy", _xlfn.CONCAT("albhed ", RIGHT("  " &amp; K1163,2),", ", RIGHT("  " &amp; L1163,2), ", " ,"""",H1163,""", ", """",N1163,""", ","""",O1163,""""," ; ", A1163))</f>
        <v>albhed 13, 10, "그", "스", "게" ; 셋</v>
      </c>
    </row>
    <row r="1164" customFormat="false" ht="17.9" hidden="false" customHeight="true" outlineLevel="0" collapsed="false">
      <c r="A1164" s="16" t="s">
        <v>2031</v>
      </c>
      <c r="B1164" s="16" t="n">
        <f aca="false">IF(_xlfn.UNICODE(A1164)&lt;44032,-1,_xlfn.UNICODE(A1164)-44032)</f>
        <v>5452</v>
      </c>
      <c r="C1164" s="16" t="n">
        <f aca="false">IF(B1164=-1,-1,INT((B1164/28)/21))</f>
        <v>9</v>
      </c>
      <c r="D1164" s="16" t="n">
        <f aca="false">IF(B1164=-1, -1, MOD(INT(B1164/28),21))</f>
        <v>5</v>
      </c>
      <c r="E1164" s="16" t="n">
        <f aca="false">IF(B1164=-1, -1, VLOOKUP(MOD(B1164,28), $T$24:$U$52,2))</f>
        <v>19</v>
      </c>
      <c r="F1164" s="16" t="n">
        <f aca="false">IF($B1164=-1, -1, VLOOKUP(C1164,$T$1:$V$20, 2))</f>
        <v>0</v>
      </c>
      <c r="G1164" s="16" t="n">
        <f aca="false">IF($B1164=-1, -1, VLOOKUP(D1164,$Y$1:$Z$22,2))</f>
        <v>18</v>
      </c>
      <c r="H1164" s="16" t="str">
        <f aca="false">_xlfn.UNICHAR(((F1164*21)+G1164)*28+44032)</f>
        <v>그</v>
      </c>
      <c r="I1164" s="16" t="n">
        <f aca="false">IF(B1164=-1, 1, COUNTIF($A$2:$A$3000, H1164))</f>
        <v>1</v>
      </c>
      <c r="J1164" s="10" t="str">
        <f aca="false">_xlfn.CONCAT(A1164, ",",H1164,",",I1164)</f>
        <v>셌,그,1</v>
      </c>
      <c r="K1164" s="16" t="n">
        <f aca="false">IF(B1164=-1,-1,VLOOKUP(C1164,$T$1:$V$20,3))</f>
        <v>13</v>
      </c>
      <c r="L1164" s="16" t="n">
        <f aca="false">IF(B1164=-1,-1,VLOOKUP(D1164,$Y$1:$AA$22,3))</f>
        <v>10</v>
      </c>
      <c r="N1164" s="10" t="str">
        <f aca="false">_xlfn.UNICHAR(((C1164*21)+G1164)*28+44032)</f>
        <v>스</v>
      </c>
      <c r="O1164" s="10" t="str">
        <f aca="false">_xlfn.UNICHAR(((F1164*21)+D1164)*28+44032)</f>
        <v>게</v>
      </c>
      <c r="P1164" s="12" t="n">
        <f aca="false">COUNTIF($A$2:$A$3000, N1164) + COUNTIF($A$2:$A$3000, O1164)</f>
        <v>2</v>
      </c>
      <c r="Q1164" s="16" t="str">
        <f aca="false">IF(OR(B1164=-1,I1164=0, P1164&lt;&gt;2), "albhed_dummy", _xlfn.CONCAT("albhed ", RIGHT("  " &amp; K1164,2),", ", RIGHT("  " &amp; L1164,2), ", " ,"""",H1164,""", ", """",N1164,""", ","""",O1164,""""," ; ", A1164))</f>
        <v>albhed 13, 10, "그", "스", "게" ; 셌</v>
      </c>
    </row>
    <row r="1165" customFormat="false" ht="17.9" hidden="false" customHeight="true" outlineLevel="0" collapsed="false">
      <c r="A1165" s="16" t="s">
        <v>2032</v>
      </c>
      <c r="B1165" s="16" t="n">
        <f aca="false">IF(_xlfn.UNICODE(A1165)&lt;44032,-1,_xlfn.UNICODE(A1165)-44032)</f>
        <v>5453</v>
      </c>
      <c r="C1165" s="16" t="n">
        <f aca="false">IF(B1165=-1,-1,INT((B1165/28)/21))</f>
        <v>9</v>
      </c>
      <c r="D1165" s="16" t="n">
        <f aca="false">IF(B1165=-1, -1, MOD(INT(B1165/28),21))</f>
        <v>5</v>
      </c>
      <c r="E1165" s="16" t="n">
        <f aca="false">IF(B1165=-1, -1, VLOOKUP(MOD(B1165,28), $T$24:$U$52,2))</f>
        <v>21</v>
      </c>
      <c r="F1165" s="16" t="n">
        <f aca="false">IF($B1165=-1, -1, VLOOKUP(C1165,$T$1:$V$20, 2))</f>
        <v>0</v>
      </c>
      <c r="G1165" s="16" t="n">
        <f aca="false">IF($B1165=-1, -1, VLOOKUP(D1165,$Y$1:$Z$22,2))</f>
        <v>18</v>
      </c>
      <c r="H1165" s="16" t="str">
        <f aca="false">_xlfn.UNICHAR(((F1165*21)+G1165)*28+44032)</f>
        <v>그</v>
      </c>
      <c r="I1165" s="16" t="n">
        <f aca="false">IF(B1165=-1, 1, COUNTIF($A$2:$A$3000, H1165))</f>
        <v>1</v>
      </c>
      <c r="J1165" s="10" t="str">
        <f aca="false">_xlfn.CONCAT(A1165, ",",H1165,",",I1165)</f>
        <v>셍,그,1</v>
      </c>
      <c r="K1165" s="16" t="n">
        <f aca="false">IF(B1165=-1,-1,VLOOKUP(C1165,$T$1:$V$20,3))</f>
        <v>13</v>
      </c>
      <c r="L1165" s="16" t="n">
        <f aca="false">IF(B1165=-1,-1,VLOOKUP(D1165,$Y$1:$AA$22,3))</f>
        <v>10</v>
      </c>
      <c r="N1165" s="10" t="str">
        <f aca="false">_xlfn.UNICHAR(((C1165*21)+G1165)*28+44032)</f>
        <v>스</v>
      </c>
      <c r="O1165" s="10" t="str">
        <f aca="false">_xlfn.UNICHAR(((F1165*21)+D1165)*28+44032)</f>
        <v>게</v>
      </c>
      <c r="P1165" s="12" t="n">
        <f aca="false">COUNTIF($A$2:$A$3000, N1165) + COUNTIF($A$2:$A$3000, O1165)</f>
        <v>2</v>
      </c>
      <c r="Q1165" s="16" t="str">
        <f aca="false">IF(OR(B1165=-1,I1165=0, P1165&lt;&gt;2), "albhed_dummy", _xlfn.CONCAT("albhed ", RIGHT("  " &amp; K1165,2),", ", RIGHT("  " &amp; L1165,2), ", " ,"""",H1165,""", ", """",N1165,""", ","""",O1165,""""," ; ", A1165))</f>
        <v>albhed 13, 10, "그", "스", "게" ; 셍</v>
      </c>
    </row>
    <row r="1166" customFormat="false" ht="17.9" hidden="false" customHeight="true" outlineLevel="0" collapsed="false">
      <c r="A1166" s="16" t="s">
        <v>2033</v>
      </c>
      <c r="B1166" s="16" t="n">
        <f aca="false">IF(_xlfn.UNICODE(A1166)&lt;44032,-1,_xlfn.UNICODE(A1166)-44032)</f>
        <v>5460</v>
      </c>
      <c r="C1166" s="16" t="n">
        <f aca="false">IF(B1166=-1,-1,INT((B1166/28)/21))</f>
        <v>9</v>
      </c>
      <c r="D1166" s="16" t="n">
        <f aca="false">IF(B1166=-1, -1, MOD(INT(B1166/28),21))</f>
        <v>6</v>
      </c>
      <c r="E1166" s="16" t="n">
        <f aca="false">IF(B1166=-1, -1, VLOOKUP(MOD(B1166,28), $T$24:$U$52,2))</f>
        <v>0</v>
      </c>
      <c r="F1166" s="16" t="n">
        <f aca="false">IF($B1166=-1, -1, VLOOKUP(C1166,$T$1:$V$20, 2))</f>
        <v>0</v>
      </c>
      <c r="G1166" s="16" t="n">
        <f aca="false">IF($B1166=-1, -1, VLOOKUP(D1166,$Y$1:$Z$22,2))</f>
        <v>12</v>
      </c>
      <c r="H1166" s="16" t="str">
        <f aca="false">_xlfn.UNICHAR(((F1166*21)+G1166)*28+44032)</f>
        <v>교</v>
      </c>
      <c r="I1166" s="16" t="n">
        <f aca="false">IF(B1166=-1, 1, COUNTIF($A$2:$A$3000, H1166))</f>
        <v>1</v>
      </c>
      <c r="J1166" s="10" t="str">
        <f aca="false">_xlfn.CONCAT(A1166, ",",H1166,",",I1166)</f>
        <v>셔,교,1</v>
      </c>
      <c r="K1166" s="16" t="n">
        <f aca="false">IF(B1166=-1,-1,VLOOKUP(C1166,$T$1:$V$20,3))</f>
        <v>13</v>
      </c>
      <c r="L1166" s="16" t="n">
        <f aca="false">IF(B1166=-1,-1,VLOOKUP(D1166,$Y$1:$AA$22,3))</f>
        <v>4</v>
      </c>
      <c r="N1166" s="10" t="str">
        <f aca="false">_xlfn.UNICHAR(((C1166*21)+G1166)*28+44032)</f>
        <v>쇼</v>
      </c>
      <c r="O1166" s="10" t="str">
        <f aca="false">_xlfn.UNICHAR(((F1166*21)+D1166)*28+44032)</f>
        <v>겨</v>
      </c>
      <c r="P1166" s="12" t="n">
        <f aca="false">COUNTIF($A$2:$A$3000, N1166) + COUNTIF($A$2:$A$3000, O1166)</f>
        <v>2</v>
      </c>
      <c r="Q1166" s="16" t="str">
        <f aca="false">IF(OR(B1166=-1,I1166=0, P1166&lt;&gt;2), "albhed_dummy", _xlfn.CONCAT("albhed ", RIGHT("  " &amp; K1166,2),", ", RIGHT("  " &amp; L1166,2), ", " ,"""",H1166,""", ", """",N1166,""", ","""",O1166,""""," ; ", A1166))</f>
        <v>albhed 13,  4, "교", "쇼", "겨" ; 셔</v>
      </c>
    </row>
    <row r="1167" customFormat="false" ht="17.9" hidden="false" customHeight="true" outlineLevel="0" collapsed="false">
      <c r="A1167" s="16" t="s">
        <v>2034</v>
      </c>
      <c r="B1167" s="16" t="n">
        <f aca="false">IF(_xlfn.UNICODE(A1167)&lt;44032,-1,_xlfn.UNICODE(A1167)-44032)</f>
        <v>5461</v>
      </c>
      <c r="C1167" s="16" t="n">
        <f aca="false">IF(B1167=-1,-1,INT((B1167/28)/21))</f>
        <v>9</v>
      </c>
      <c r="D1167" s="16" t="n">
        <f aca="false">IF(B1167=-1, -1, MOD(INT(B1167/28),21))</f>
        <v>6</v>
      </c>
      <c r="E1167" s="16" t="n">
        <f aca="false">IF(B1167=-1, -1, VLOOKUP(MOD(B1167,28), $T$24:$U$52,2))</f>
        <v>1</v>
      </c>
      <c r="F1167" s="16" t="n">
        <f aca="false">IF($B1167=-1, -1, VLOOKUP(C1167,$T$1:$V$20, 2))</f>
        <v>0</v>
      </c>
      <c r="G1167" s="16" t="n">
        <f aca="false">IF($B1167=-1, -1, VLOOKUP(D1167,$Y$1:$Z$22,2))</f>
        <v>12</v>
      </c>
      <c r="H1167" s="16" t="str">
        <f aca="false">_xlfn.UNICHAR(((F1167*21)+G1167)*28+44032)</f>
        <v>교</v>
      </c>
      <c r="I1167" s="16" t="n">
        <f aca="false">IF(B1167=-1, 1, COUNTIF($A$2:$A$3000, H1167))</f>
        <v>1</v>
      </c>
      <c r="J1167" s="10" t="str">
        <f aca="false">_xlfn.CONCAT(A1167, ",",H1167,",",I1167)</f>
        <v>셕,교,1</v>
      </c>
      <c r="K1167" s="16" t="n">
        <f aca="false">IF(B1167=-1,-1,VLOOKUP(C1167,$T$1:$V$20,3))</f>
        <v>13</v>
      </c>
      <c r="L1167" s="16" t="n">
        <f aca="false">IF(B1167=-1,-1,VLOOKUP(D1167,$Y$1:$AA$22,3))</f>
        <v>4</v>
      </c>
      <c r="N1167" s="10" t="str">
        <f aca="false">_xlfn.UNICHAR(((C1167*21)+G1167)*28+44032)</f>
        <v>쇼</v>
      </c>
      <c r="O1167" s="10" t="str">
        <f aca="false">_xlfn.UNICHAR(((F1167*21)+D1167)*28+44032)</f>
        <v>겨</v>
      </c>
      <c r="P1167" s="12" t="n">
        <f aca="false">COUNTIF($A$2:$A$3000, N1167) + COUNTIF($A$2:$A$3000, O1167)</f>
        <v>2</v>
      </c>
      <c r="Q1167" s="16" t="str">
        <f aca="false">IF(OR(B1167=-1,I1167=0, P1167&lt;&gt;2), "albhed_dummy", _xlfn.CONCAT("albhed ", RIGHT("  " &amp; K1167,2),", ", RIGHT("  " &amp; L1167,2), ", " ,"""",H1167,""", ", """",N1167,""", ","""",O1167,""""," ; ", A1167))</f>
        <v>albhed 13,  4, "교", "쇼", "겨" ; 셕</v>
      </c>
    </row>
    <row r="1168" customFormat="false" ht="17.9" hidden="false" customHeight="true" outlineLevel="0" collapsed="false">
      <c r="A1168" s="16" t="s">
        <v>2035</v>
      </c>
      <c r="B1168" s="16" t="n">
        <f aca="false">IF(_xlfn.UNICODE(A1168)&lt;44032,-1,_xlfn.UNICODE(A1168)-44032)</f>
        <v>5464</v>
      </c>
      <c r="C1168" s="16" t="n">
        <f aca="false">IF(B1168=-1,-1,INT((B1168/28)/21))</f>
        <v>9</v>
      </c>
      <c r="D1168" s="16" t="n">
        <f aca="false">IF(B1168=-1, -1, MOD(INT(B1168/28),21))</f>
        <v>6</v>
      </c>
      <c r="E1168" s="16" t="n">
        <f aca="false">IF(B1168=-1, -1, VLOOKUP(MOD(B1168,28), $T$24:$U$52,2))</f>
        <v>4</v>
      </c>
      <c r="F1168" s="16" t="n">
        <f aca="false">IF($B1168=-1, -1, VLOOKUP(C1168,$T$1:$V$20, 2))</f>
        <v>0</v>
      </c>
      <c r="G1168" s="16" t="n">
        <f aca="false">IF($B1168=-1, -1, VLOOKUP(D1168,$Y$1:$Z$22,2))</f>
        <v>12</v>
      </c>
      <c r="H1168" s="16" t="str">
        <f aca="false">_xlfn.UNICHAR(((F1168*21)+G1168)*28+44032)</f>
        <v>교</v>
      </c>
      <c r="I1168" s="16" t="n">
        <f aca="false">IF(B1168=-1, 1, COUNTIF($A$2:$A$3000, H1168))</f>
        <v>1</v>
      </c>
      <c r="J1168" s="10" t="str">
        <f aca="false">_xlfn.CONCAT(A1168, ",",H1168,",",I1168)</f>
        <v>션,교,1</v>
      </c>
      <c r="K1168" s="16" t="n">
        <f aca="false">IF(B1168=-1,-1,VLOOKUP(C1168,$T$1:$V$20,3))</f>
        <v>13</v>
      </c>
      <c r="L1168" s="16" t="n">
        <f aca="false">IF(B1168=-1,-1,VLOOKUP(D1168,$Y$1:$AA$22,3))</f>
        <v>4</v>
      </c>
      <c r="N1168" s="10" t="str">
        <f aca="false">_xlfn.UNICHAR(((C1168*21)+G1168)*28+44032)</f>
        <v>쇼</v>
      </c>
      <c r="O1168" s="10" t="str">
        <f aca="false">_xlfn.UNICHAR(((F1168*21)+D1168)*28+44032)</f>
        <v>겨</v>
      </c>
      <c r="P1168" s="12" t="n">
        <f aca="false">COUNTIF($A$2:$A$3000, N1168) + COUNTIF($A$2:$A$3000, O1168)</f>
        <v>2</v>
      </c>
      <c r="Q1168" s="16" t="str">
        <f aca="false">IF(OR(B1168=-1,I1168=0, P1168&lt;&gt;2), "albhed_dummy", _xlfn.CONCAT("albhed ", RIGHT("  " &amp; K1168,2),", ", RIGHT("  " &amp; L1168,2), ", " ,"""",H1168,""", ", """",N1168,""", ","""",O1168,""""," ; ", A1168))</f>
        <v>albhed 13,  4, "교", "쇼", "겨" ; 션</v>
      </c>
    </row>
    <row r="1169" customFormat="false" ht="17.9" hidden="false" customHeight="true" outlineLevel="0" collapsed="false">
      <c r="A1169" s="16" t="s">
        <v>2036</v>
      </c>
      <c r="B1169" s="16" t="n">
        <f aca="false">IF(_xlfn.UNICODE(A1169)&lt;44032,-1,_xlfn.UNICODE(A1169)-44032)</f>
        <v>5468</v>
      </c>
      <c r="C1169" s="16" t="n">
        <f aca="false">IF(B1169=-1,-1,INT((B1169/28)/21))</f>
        <v>9</v>
      </c>
      <c r="D1169" s="16" t="n">
        <f aca="false">IF(B1169=-1, -1, MOD(INT(B1169/28),21))</f>
        <v>6</v>
      </c>
      <c r="E1169" s="16" t="n">
        <f aca="false">IF(B1169=-1, -1, VLOOKUP(MOD(B1169,28), $T$24:$U$52,2))</f>
        <v>8</v>
      </c>
      <c r="F1169" s="16" t="n">
        <f aca="false">IF($B1169=-1, -1, VLOOKUP(C1169,$T$1:$V$20, 2))</f>
        <v>0</v>
      </c>
      <c r="G1169" s="16" t="n">
        <f aca="false">IF($B1169=-1, -1, VLOOKUP(D1169,$Y$1:$Z$22,2))</f>
        <v>12</v>
      </c>
      <c r="H1169" s="16" t="str">
        <f aca="false">_xlfn.UNICHAR(((F1169*21)+G1169)*28+44032)</f>
        <v>교</v>
      </c>
      <c r="I1169" s="16" t="n">
        <f aca="false">IF(B1169=-1, 1, COUNTIF($A$2:$A$3000, H1169))</f>
        <v>1</v>
      </c>
      <c r="J1169" s="10" t="str">
        <f aca="false">_xlfn.CONCAT(A1169, ",",H1169,",",I1169)</f>
        <v>셜,교,1</v>
      </c>
      <c r="K1169" s="16" t="n">
        <f aca="false">IF(B1169=-1,-1,VLOOKUP(C1169,$T$1:$V$20,3))</f>
        <v>13</v>
      </c>
      <c r="L1169" s="16" t="n">
        <f aca="false">IF(B1169=-1,-1,VLOOKUP(D1169,$Y$1:$AA$22,3))</f>
        <v>4</v>
      </c>
      <c r="N1169" s="10" t="str">
        <f aca="false">_xlfn.UNICHAR(((C1169*21)+G1169)*28+44032)</f>
        <v>쇼</v>
      </c>
      <c r="O1169" s="10" t="str">
        <f aca="false">_xlfn.UNICHAR(((F1169*21)+D1169)*28+44032)</f>
        <v>겨</v>
      </c>
      <c r="P1169" s="12" t="n">
        <f aca="false">COUNTIF($A$2:$A$3000, N1169) + COUNTIF($A$2:$A$3000, O1169)</f>
        <v>2</v>
      </c>
      <c r="Q1169" s="16" t="str">
        <f aca="false">IF(OR(B1169=-1,I1169=0, P1169&lt;&gt;2), "albhed_dummy", _xlfn.CONCAT("albhed ", RIGHT("  " &amp; K1169,2),", ", RIGHT("  " &amp; L1169,2), ", " ,"""",H1169,""", ", """",N1169,""", ","""",O1169,""""," ; ", A1169))</f>
        <v>albhed 13,  4, "교", "쇼", "겨" ; 셜</v>
      </c>
    </row>
    <row r="1170" customFormat="false" ht="17.9" hidden="false" customHeight="true" outlineLevel="0" collapsed="false">
      <c r="A1170" s="16" t="s">
        <v>2037</v>
      </c>
      <c r="B1170" s="16" t="n">
        <f aca="false">IF(_xlfn.UNICODE(A1170)&lt;44032,-1,_xlfn.UNICODE(A1170)-44032)</f>
        <v>5476</v>
      </c>
      <c r="C1170" s="16" t="n">
        <f aca="false">IF(B1170=-1,-1,INT((B1170/28)/21))</f>
        <v>9</v>
      </c>
      <c r="D1170" s="16" t="n">
        <f aca="false">IF(B1170=-1, -1, MOD(INT(B1170/28),21))</f>
        <v>6</v>
      </c>
      <c r="E1170" s="16" t="n">
        <f aca="false">IF(B1170=-1, -1, VLOOKUP(MOD(B1170,28), $T$24:$U$52,2))</f>
        <v>16</v>
      </c>
      <c r="F1170" s="16" t="n">
        <f aca="false">IF($B1170=-1, -1, VLOOKUP(C1170,$T$1:$V$20, 2))</f>
        <v>0</v>
      </c>
      <c r="G1170" s="16" t="n">
        <f aca="false">IF($B1170=-1, -1, VLOOKUP(D1170,$Y$1:$Z$22,2))</f>
        <v>12</v>
      </c>
      <c r="H1170" s="16" t="str">
        <f aca="false">_xlfn.UNICHAR(((F1170*21)+G1170)*28+44032)</f>
        <v>교</v>
      </c>
      <c r="I1170" s="16" t="n">
        <f aca="false">IF(B1170=-1, 1, COUNTIF($A$2:$A$3000, H1170))</f>
        <v>1</v>
      </c>
      <c r="J1170" s="10" t="str">
        <f aca="false">_xlfn.CONCAT(A1170, ",",H1170,",",I1170)</f>
        <v>셤,교,1</v>
      </c>
      <c r="K1170" s="16" t="n">
        <f aca="false">IF(B1170=-1,-1,VLOOKUP(C1170,$T$1:$V$20,3))</f>
        <v>13</v>
      </c>
      <c r="L1170" s="16" t="n">
        <f aca="false">IF(B1170=-1,-1,VLOOKUP(D1170,$Y$1:$AA$22,3))</f>
        <v>4</v>
      </c>
      <c r="N1170" s="10" t="str">
        <f aca="false">_xlfn.UNICHAR(((C1170*21)+G1170)*28+44032)</f>
        <v>쇼</v>
      </c>
      <c r="O1170" s="10" t="str">
        <f aca="false">_xlfn.UNICHAR(((F1170*21)+D1170)*28+44032)</f>
        <v>겨</v>
      </c>
      <c r="P1170" s="12" t="n">
        <f aca="false">COUNTIF($A$2:$A$3000, N1170) + COUNTIF($A$2:$A$3000, O1170)</f>
        <v>2</v>
      </c>
      <c r="Q1170" s="16" t="str">
        <f aca="false">IF(OR(B1170=-1,I1170=0, P1170&lt;&gt;2), "albhed_dummy", _xlfn.CONCAT("albhed ", RIGHT("  " &amp; K1170,2),", ", RIGHT("  " &amp; L1170,2), ", " ,"""",H1170,""", ", """",N1170,""", ","""",O1170,""""," ; ", A1170))</f>
        <v>albhed 13,  4, "교", "쇼", "겨" ; 셤</v>
      </c>
    </row>
    <row r="1171" customFormat="false" ht="17.9" hidden="false" customHeight="true" outlineLevel="0" collapsed="false">
      <c r="A1171" s="16" t="s">
        <v>2038</v>
      </c>
      <c r="B1171" s="16" t="n">
        <f aca="false">IF(_xlfn.UNICODE(A1171)&lt;44032,-1,_xlfn.UNICODE(A1171)-44032)</f>
        <v>5477</v>
      </c>
      <c r="C1171" s="16" t="n">
        <f aca="false">IF(B1171=-1,-1,INT((B1171/28)/21))</f>
        <v>9</v>
      </c>
      <c r="D1171" s="16" t="n">
        <f aca="false">IF(B1171=-1, -1, MOD(INT(B1171/28),21))</f>
        <v>6</v>
      </c>
      <c r="E1171" s="16" t="n">
        <f aca="false">IF(B1171=-1, -1, VLOOKUP(MOD(B1171,28), $T$24:$U$52,2))</f>
        <v>17</v>
      </c>
      <c r="F1171" s="16" t="n">
        <f aca="false">IF($B1171=-1, -1, VLOOKUP(C1171,$T$1:$V$20, 2))</f>
        <v>0</v>
      </c>
      <c r="G1171" s="16" t="n">
        <f aca="false">IF($B1171=-1, -1, VLOOKUP(D1171,$Y$1:$Z$22,2))</f>
        <v>12</v>
      </c>
      <c r="H1171" s="16" t="str">
        <f aca="false">_xlfn.UNICHAR(((F1171*21)+G1171)*28+44032)</f>
        <v>교</v>
      </c>
      <c r="I1171" s="16" t="n">
        <f aca="false">IF(B1171=-1, 1, COUNTIF($A$2:$A$3000, H1171))</f>
        <v>1</v>
      </c>
      <c r="J1171" s="10" t="str">
        <f aca="false">_xlfn.CONCAT(A1171, ",",H1171,",",I1171)</f>
        <v>셥,교,1</v>
      </c>
      <c r="K1171" s="16" t="n">
        <f aca="false">IF(B1171=-1,-1,VLOOKUP(C1171,$T$1:$V$20,3))</f>
        <v>13</v>
      </c>
      <c r="L1171" s="16" t="n">
        <f aca="false">IF(B1171=-1,-1,VLOOKUP(D1171,$Y$1:$AA$22,3))</f>
        <v>4</v>
      </c>
      <c r="N1171" s="10" t="str">
        <f aca="false">_xlfn.UNICHAR(((C1171*21)+G1171)*28+44032)</f>
        <v>쇼</v>
      </c>
      <c r="O1171" s="10" t="str">
        <f aca="false">_xlfn.UNICHAR(((F1171*21)+D1171)*28+44032)</f>
        <v>겨</v>
      </c>
      <c r="P1171" s="12" t="n">
        <f aca="false">COUNTIF($A$2:$A$3000, N1171) + COUNTIF($A$2:$A$3000, O1171)</f>
        <v>2</v>
      </c>
      <c r="Q1171" s="16" t="str">
        <f aca="false">IF(OR(B1171=-1,I1171=0, P1171&lt;&gt;2), "albhed_dummy", _xlfn.CONCAT("albhed ", RIGHT("  " &amp; K1171,2),", ", RIGHT("  " &amp; L1171,2), ", " ,"""",H1171,""", ", """",N1171,""", ","""",O1171,""""," ; ", A1171))</f>
        <v>albhed 13,  4, "교", "쇼", "겨" ; 셥</v>
      </c>
    </row>
    <row r="1172" customFormat="false" ht="17.9" hidden="false" customHeight="true" outlineLevel="0" collapsed="false">
      <c r="A1172" s="16" t="s">
        <v>2039</v>
      </c>
      <c r="B1172" s="16" t="n">
        <f aca="false">IF(_xlfn.UNICODE(A1172)&lt;44032,-1,_xlfn.UNICODE(A1172)-44032)</f>
        <v>5479</v>
      </c>
      <c r="C1172" s="16" t="n">
        <f aca="false">IF(B1172=-1,-1,INT((B1172/28)/21))</f>
        <v>9</v>
      </c>
      <c r="D1172" s="16" t="n">
        <f aca="false">IF(B1172=-1, -1, MOD(INT(B1172/28),21))</f>
        <v>6</v>
      </c>
      <c r="E1172" s="16" t="n">
        <f aca="false">IF(B1172=-1, -1, VLOOKUP(MOD(B1172,28), $T$24:$U$52,2))</f>
        <v>19</v>
      </c>
      <c r="F1172" s="16" t="n">
        <f aca="false">IF($B1172=-1, -1, VLOOKUP(C1172,$T$1:$V$20, 2))</f>
        <v>0</v>
      </c>
      <c r="G1172" s="16" t="n">
        <f aca="false">IF($B1172=-1, -1, VLOOKUP(D1172,$Y$1:$Z$22,2))</f>
        <v>12</v>
      </c>
      <c r="H1172" s="16" t="str">
        <f aca="false">_xlfn.UNICHAR(((F1172*21)+G1172)*28+44032)</f>
        <v>교</v>
      </c>
      <c r="I1172" s="16" t="n">
        <f aca="false">IF(B1172=-1, 1, COUNTIF($A$2:$A$3000, H1172))</f>
        <v>1</v>
      </c>
      <c r="J1172" s="10" t="str">
        <f aca="false">_xlfn.CONCAT(A1172, ",",H1172,",",I1172)</f>
        <v>셧,교,1</v>
      </c>
      <c r="K1172" s="16" t="n">
        <f aca="false">IF(B1172=-1,-1,VLOOKUP(C1172,$T$1:$V$20,3))</f>
        <v>13</v>
      </c>
      <c r="L1172" s="16" t="n">
        <f aca="false">IF(B1172=-1,-1,VLOOKUP(D1172,$Y$1:$AA$22,3))</f>
        <v>4</v>
      </c>
      <c r="N1172" s="10" t="str">
        <f aca="false">_xlfn.UNICHAR(((C1172*21)+G1172)*28+44032)</f>
        <v>쇼</v>
      </c>
      <c r="O1172" s="10" t="str">
        <f aca="false">_xlfn.UNICHAR(((F1172*21)+D1172)*28+44032)</f>
        <v>겨</v>
      </c>
      <c r="P1172" s="12" t="n">
        <f aca="false">COUNTIF($A$2:$A$3000, N1172) + COUNTIF($A$2:$A$3000, O1172)</f>
        <v>2</v>
      </c>
      <c r="Q1172" s="16" t="str">
        <f aca="false">IF(OR(B1172=-1,I1172=0, P1172&lt;&gt;2), "albhed_dummy", _xlfn.CONCAT("albhed ", RIGHT("  " &amp; K1172,2),", ", RIGHT("  " &amp; L1172,2), ", " ,"""",H1172,""", ", """",N1172,""", ","""",O1172,""""," ; ", A1172))</f>
        <v>albhed 13,  4, "교", "쇼", "겨" ; 셧</v>
      </c>
    </row>
    <row r="1173" customFormat="false" ht="17.9" hidden="false" customHeight="true" outlineLevel="0" collapsed="false">
      <c r="A1173" s="16" t="s">
        <v>2040</v>
      </c>
      <c r="B1173" s="16" t="n">
        <f aca="false">IF(_xlfn.UNICODE(A1173)&lt;44032,-1,_xlfn.UNICODE(A1173)-44032)</f>
        <v>5480</v>
      </c>
      <c r="C1173" s="16" t="n">
        <f aca="false">IF(B1173=-1,-1,INT((B1173/28)/21))</f>
        <v>9</v>
      </c>
      <c r="D1173" s="16" t="n">
        <f aca="false">IF(B1173=-1, -1, MOD(INT(B1173/28),21))</f>
        <v>6</v>
      </c>
      <c r="E1173" s="16" t="n">
        <f aca="false">IF(B1173=-1, -1, VLOOKUP(MOD(B1173,28), $T$24:$U$52,2))</f>
        <v>19</v>
      </c>
      <c r="F1173" s="16" t="n">
        <f aca="false">IF($B1173=-1, -1, VLOOKUP(C1173,$T$1:$V$20, 2))</f>
        <v>0</v>
      </c>
      <c r="G1173" s="16" t="n">
        <f aca="false">IF($B1173=-1, -1, VLOOKUP(D1173,$Y$1:$Z$22,2))</f>
        <v>12</v>
      </c>
      <c r="H1173" s="16" t="str">
        <f aca="false">_xlfn.UNICHAR(((F1173*21)+G1173)*28+44032)</f>
        <v>교</v>
      </c>
      <c r="I1173" s="16" t="n">
        <f aca="false">IF(B1173=-1, 1, COUNTIF($A$2:$A$3000, H1173))</f>
        <v>1</v>
      </c>
      <c r="J1173" s="10" t="str">
        <f aca="false">_xlfn.CONCAT(A1173, ",",H1173,",",I1173)</f>
        <v>셨,교,1</v>
      </c>
      <c r="K1173" s="16" t="n">
        <f aca="false">IF(B1173=-1,-1,VLOOKUP(C1173,$T$1:$V$20,3))</f>
        <v>13</v>
      </c>
      <c r="L1173" s="16" t="n">
        <f aca="false">IF(B1173=-1,-1,VLOOKUP(D1173,$Y$1:$AA$22,3))</f>
        <v>4</v>
      </c>
      <c r="N1173" s="10" t="str">
        <f aca="false">_xlfn.UNICHAR(((C1173*21)+G1173)*28+44032)</f>
        <v>쇼</v>
      </c>
      <c r="O1173" s="10" t="str">
        <f aca="false">_xlfn.UNICHAR(((F1173*21)+D1173)*28+44032)</f>
        <v>겨</v>
      </c>
      <c r="P1173" s="12" t="n">
        <f aca="false">COUNTIF($A$2:$A$3000, N1173) + COUNTIF($A$2:$A$3000, O1173)</f>
        <v>2</v>
      </c>
      <c r="Q1173" s="16" t="str">
        <f aca="false">IF(OR(B1173=-1,I1173=0, P1173&lt;&gt;2), "albhed_dummy", _xlfn.CONCAT("albhed ", RIGHT("  " &amp; K1173,2),", ", RIGHT("  " &amp; L1173,2), ", " ,"""",H1173,""", ", """",N1173,""", ","""",O1173,""""," ; ", A1173))</f>
        <v>albhed 13,  4, "교", "쇼", "겨" ; 셨</v>
      </c>
    </row>
    <row r="1174" customFormat="false" ht="17.9" hidden="false" customHeight="true" outlineLevel="0" collapsed="false">
      <c r="A1174" s="16" t="s">
        <v>2041</v>
      </c>
      <c r="B1174" s="16" t="n">
        <f aca="false">IF(_xlfn.UNICODE(A1174)&lt;44032,-1,_xlfn.UNICODE(A1174)-44032)</f>
        <v>5481</v>
      </c>
      <c r="C1174" s="16" t="n">
        <f aca="false">IF(B1174=-1,-1,INT((B1174/28)/21))</f>
        <v>9</v>
      </c>
      <c r="D1174" s="16" t="n">
        <f aca="false">IF(B1174=-1, -1, MOD(INT(B1174/28),21))</f>
        <v>6</v>
      </c>
      <c r="E1174" s="16" t="n">
        <f aca="false">IF(B1174=-1, -1, VLOOKUP(MOD(B1174,28), $T$24:$U$52,2))</f>
        <v>21</v>
      </c>
      <c r="F1174" s="16" t="n">
        <f aca="false">IF($B1174=-1, -1, VLOOKUP(C1174,$T$1:$V$20, 2))</f>
        <v>0</v>
      </c>
      <c r="G1174" s="16" t="n">
        <f aca="false">IF($B1174=-1, -1, VLOOKUP(D1174,$Y$1:$Z$22,2))</f>
        <v>12</v>
      </c>
      <c r="H1174" s="16" t="str">
        <f aca="false">_xlfn.UNICHAR(((F1174*21)+G1174)*28+44032)</f>
        <v>교</v>
      </c>
      <c r="I1174" s="16" t="n">
        <f aca="false">IF(B1174=-1, 1, COUNTIF($A$2:$A$3000, H1174))</f>
        <v>1</v>
      </c>
      <c r="J1174" s="10" t="str">
        <f aca="false">_xlfn.CONCAT(A1174, ",",H1174,",",I1174)</f>
        <v>셩,교,1</v>
      </c>
      <c r="K1174" s="16" t="n">
        <f aca="false">IF(B1174=-1,-1,VLOOKUP(C1174,$T$1:$V$20,3))</f>
        <v>13</v>
      </c>
      <c r="L1174" s="16" t="n">
        <f aca="false">IF(B1174=-1,-1,VLOOKUP(D1174,$Y$1:$AA$22,3))</f>
        <v>4</v>
      </c>
      <c r="N1174" s="10" t="str">
        <f aca="false">_xlfn.UNICHAR(((C1174*21)+G1174)*28+44032)</f>
        <v>쇼</v>
      </c>
      <c r="O1174" s="10" t="str">
        <f aca="false">_xlfn.UNICHAR(((F1174*21)+D1174)*28+44032)</f>
        <v>겨</v>
      </c>
      <c r="P1174" s="12" t="n">
        <f aca="false">COUNTIF($A$2:$A$3000, N1174) + COUNTIF($A$2:$A$3000, O1174)</f>
        <v>2</v>
      </c>
      <c r="Q1174" s="16" t="str">
        <f aca="false">IF(OR(B1174=-1,I1174=0, P1174&lt;&gt;2), "albhed_dummy", _xlfn.CONCAT("albhed ", RIGHT("  " &amp; K1174,2),", ", RIGHT("  " &amp; L1174,2), ", " ,"""",H1174,""", ", """",N1174,""", ","""",O1174,""""," ; ", A1174))</f>
        <v>albhed 13,  4, "교", "쇼", "겨" ; 셩</v>
      </c>
    </row>
    <row r="1175" customFormat="false" ht="17.9" hidden="false" customHeight="true" outlineLevel="0" collapsed="false">
      <c r="A1175" s="16" t="s">
        <v>2042</v>
      </c>
      <c r="B1175" s="16" t="n">
        <f aca="false">IF(_xlfn.UNICODE(A1175)&lt;44032,-1,_xlfn.UNICODE(A1175)-44032)</f>
        <v>5488</v>
      </c>
      <c r="C1175" s="16" t="n">
        <f aca="false">IF(B1175=-1,-1,INT((B1175/28)/21))</f>
        <v>9</v>
      </c>
      <c r="D1175" s="16" t="n">
        <f aca="false">IF(B1175=-1, -1, MOD(INT(B1175/28),21))</f>
        <v>7</v>
      </c>
      <c r="E1175" s="16" t="n">
        <f aca="false">IF(B1175=-1, -1, VLOOKUP(MOD(B1175,28), $T$24:$U$52,2))</f>
        <v>0</v>
      </c>
      <c r="F1175" s="16" t="n">
        <f aca="false">IF($B1175=-1, -1, VLOOKUP(C1175,$T$1:$V$20, 2))</f>
        <v>0</v>
      </c>
      <c r="G1175" s="16" t="n">
        <f aca="false">IF($B1175=-1, -1, VLOOKUP(D1175,$Y$1:$Z$22,2))</f>
        <v>18</v>
      </c>
      <c r="H1175" s="16" t="str">
        <f aca="false">_xlfn.UNICHAR(((F1175*21)+G1175)*28+44032)</f>
        <v>그</v>
      </c>
      <c r="I1175" s="16" t="n">
        <f aca="false">IF(B1175=-1, 1, COUNTIF($A$2:$A$3000, H1175))</f>
        <v>1</v>
      </c>
      <c r="J1175" s="10" t="str">
        <f aca="false">_xlfn.CONCAT(A1175, ",",H1175,",",I1175)</f>
        <v>셰,그,1</v>
      </c>
      <c r="K1175" s="16" t="n">
        <f aca="false">IF(B1175=-1,-1,VLOOKUP(C1175,$T$1:$V$20,3))</f>
        <v>13</v>
      </c>
      <c r="L1175" s="16" t="n">
        <f aca="false">IF(B1175=-1,-1,VLOOKUP(D1175,$Y$1:$AA$22,3))</f>
        <v>14</v>
      </c>
      <c r="N1175" s="10" t="str">
        <f aca="false">_xlfn.UNICHAR(((C1175*21)+G1175)*28+44032)</f>
        <v>스</v>
      </c>
      <c r="O1175" s="10" t="str">
        <f aca="false">_xlfn.UNICHAR(((F1175*21)+D1175)*28+44032)</f>
        <v>계</v>
      </c>
      <c r="P1175" s="12" t="n">
        <f aca="false">COUNTIF($A$2:$A$3000, N1175) + COUNTIF($A$2:$A$3000, O1175)</f>
        <v>2</v>
      </c>
      <c r="Q1175" s="16" t="str">
        <f aca="false">IF(OR(B1175=-1,I1175=0, P1175&lt;&gt;2), "albhed_dummy", _xlfn.CONCAT("albhed ", RIGHT("  " &amp; K1175,2),", ", RIGHT("  " &amp; L1175,2), ", " ,"""",H1175,""", ", """",N1175,""", ","""",O1175,""""," ; ", A1175))</f>
        <v>albhed 13, 14, "그", "스", "계" ; 셰</v>
      </c>
    </row>
    <row r="1176" customFormat="false" ht="17.9" hidden="false" customHeight="true" outlineLevel="0" collapsed="false">
      <c r="A1176" s="16" t="s">
        <v>2043</v>
      </c>
      <c r="B1176" s="16" t="n">
        <f aca="false">IF(_xlfn.UNICODE(A1176)&lt;44032,-1,_xlfn.UNICODE(A1176)-44032)</f>
        <v>5492</v>
      </c>
      <c r="C1176" s="16" t="n">
        <f aca="false">IF(B1176=-1,-1,INT((B1176/28)/21))</f>
        <v>9</v>
      </c>
      <c r="D1176" s="16" t="n">
        <f aca="false">IF(B1176=-1, -1, MOD(INT(B1176/28),21))</f>
        <v>7</v>
      </c>
      <c r="E1176" s="16" t="n">
        <f aca="false">IF(B1176=-1, -1, VLOOKUP(MOD(B1176,28), $T$24:$U$52,2))</f>
        <v>4</v>
      </c>
      <c r="F1176" s="16" t="n">
        <f aca="false">IF($B1176=-1, -1, VLOOKUP(C1176,$T$1:$V$20, 2))</f>
        <v>0</v>
      </c>
      <c r="G1176" s="16" t="n">
        <f aca="false">IF($B1176=-1, -1, VLOOKUP(D1176,$Y$1:$Z$22,2))</f>
        <v>18</v>
      </c>
      <c r="H1176" s="16" t="str">
        <f aca="false">_xlfn.UNICHAR(((F1176*21)+G1176)*28+44032)</f>
        <v>그</v>
      </c>
      <c r="I1176" s="16" t="n">
        <f aca="false">IF(B1176=-1, 1, COUNTIF($A$2:$A$3000, H1176))</f>
        <v>1</v>
      </c>
      <c r="J1176" s="10" t="str">
        <f aca="false">_xlfn.CONCAT(A1176, ",",H1176,",",I1176)</f>
        <v>셴,그,1</v>
      </c>
      <c r="K1176" s="16" t="n">
        <f aca="false">IF(B1176=-1,-1,VLOOKUP(C1176,$T$1:$V$20,3))</f>
        <v>13</v>
      </c>
      <c r="L1176" s="16" t="n">
        <f aca="false">IF(B1176=-1,-1,VLOOKUP(D1176,$Y$1:$AA$22,3))</f>
        <v>14</v>
      </c>
      <c r="N1176" s="10" t="str">
        <f aca="false">_xlfn.UNICHAR(((C1176*21)+G1176)*28+44032)</f>
        <v>스</v>
      </c>
      <c r="O1176" s="10" t="str">
        <f aca="false">_xlfn.UNICHAR(((F1176*21)+D1176)*28+44032)</f>
        <v>계</v>
      </c>
      <c r="P1176" s="12" t="n">
        <f aca="false">COUNTIF($A$2:$A$3000, N1176) + COUNTIF($A$2:$A$3000, O1176)</f>
        <v>2</v>
      </c>
      <c r="Q1176" s="16" t="str">
        <f aca="false">IF(OR(B1176=-1,I1176=0, P1176&lt;&gt;2), "albhed_dummy", _xlfn.CONCAT("albhed ", RIGHT("  " &amp; K1176,2),", ", RIGHT("  " &amp; L1176,2), ", " ,"""",H1176,""", ", """",N1176,""", ","""",O1176,""""," ; ", A1176))</f>
        <v>albhed 13, 14, "그", "스", "계" ; 셴</v>
      </c>
    </row>
    <row r="1177" customFormat="false" ht="17.9" hidden="false" customHeight="true" outlineLevel="0" collapsed="false">
      <c r="A1177" s="16" t="s">
        <v>2044</v>
      </c>
      <c r="B1177" s="16" t="n">
        <f aca="false">IF(_xlfn.UNICODE(A1177)&lt;44032,-1,_xlfn.UNICODE(A1177)-44032)</f>
        <v>5496</v>
      </c>
      <c r="C1177" s="16" t="n">
        <f aca="false">IF(B1177=-1,-1,INT((B1177/28)/21))</f>
        <v>9</v>
      </c>
      <c r="D1177" s="16" t="n">
        <f aca="false">IF(B1177=-1, -1, MOD(INT(B1177/28),21))</f>
        <v>7</v>
      </c>
      <c r="E1177" s="16" t="n">
        <f aca="false">IF(B1177=-1, -1, VLOOKUP(MOD(B1177,28), $T$24:$U$52,2))</f>
        <v>8</v>
      </c>
      <c r="F1177" s="16" t="n">
        <f aca="false">IF($B1177=-1, -1, VLOOKUP(C1177,$T$1:$V$20, 2))</f>
        <v>0</v>
      </c>
      <c r="G1177" s="16" t="n">
        <f aca="false">IF($B1177=-1, -1, VLOOKUP(D1177,$Y$1:$Z$22,2))</f>
        <v>18</v>
      </c>
      <c r="H1177" s="16" t="str">
        <f aca="false">_xlfn.UNICHAR(((F1177*21)+G1177)*28+44032)</f>
        <v>그</v>
      </c>
      <c r="I1177" s="16" t="n">
        <f aca="false">IF(B1177=-1, 1, COUNTIF($A$2:$A$3000, H1177))</f>
        <v>1</v>
      </c>
      <c r="J1177" s="10" t="str">
        <f aca="false">_xlfn.CONCAT(A1177, ",",H1177,",",I1177)</f>
        <v>셸,그,1</v>
      </c>
      <c r="K1177" s="16" t="n">
        <f aca="false">IF(B1177=-1,-1,VLOOKUP(C1177,$T$1:$V$20,3))</f>
        <v>13</v>
      </c>
      <c r="L1177" s="16" t="n">
        <f aca="false">IF(B1177=-1,-1,VLOOKUP(D1177,$Y$1:$AA$22,3))</f>
        <v>14</v>
      </c>
      <c r="N1177" s="10" t="str">
        <f aca="false">_xlfn.UNICHAR(((C1177*21)+G1177)*28+44032)</f>
        <v>스</v>
      </c>
      <c r="O1177" s="10" t="str">
        <f aca="false">_xlfn.UNICHAR(((F1177*21)+D1177)*28+44032)</f>
        <v>계</v>
      </c>
      <c r="P1177" s="12" t="n">
        <f aca="false">COUNTIF($A$2:$A$3000, N1177) + COUNTIF($A$2:$A$3000, O1177)</f>
        <v>2</v>
      </c>
      <c r="Q1177" s="16" t="str">
        <f aca="false">IF(OR(B1177=-1,I1177=0, P1177&lt;&gt;2), "albhed_dummy", _xlfn.CONCAT("albhed ", RIGHT("  " &amp; K1177,2),", ", RIGHT("  " &amp; L1177,2), ", " ,"""",H1177,""", ", """",N1177,""", ","""",O1177,""""," ; ", A1177))</f>
        <v>albhed 13, 14, "그", "스", "계" ; 셸</v>
      </c>
    </row>
    <row r="1178" customFormat="false" ht="17.9" hidden="false" customHeight="true" outlineLevel="0" collapsed="false">
      <c r="A1178" s="16" t="s">
        <v>2045</v>
      </c>
      <c r="B1178" s="16" t="n">
        <f aca="false">IF(_xlfn.UNICODE(A1178)&lt;44032,-1,_xlfn.UNICODE(A1178)-44032)</f>
        <v>5509</v>
      </c>
      <c r="C1178" s="16" t="n">
        <f aca="false">IF(B1178=-1,-1,INT((B1178/28)/21))</f>
        <v>9</v>
      </c>
      <c r="D1178" s="16" t="n">
        <f aca="false">IF(B1178=-1, -1, MOD(INT(B1178/28),21))</f>
        <v>7</v>
      </c>
      <c r="E1178" s="16" t="n">
        <f aca="false">IF(B1178=-1, -1, VLOOKUP(MOD(B1178,28), $T$24:$U$52,2))</f>
        <v>21</v>
      </c>
      <c r="F1178" s="16" t="n">
        <f aca="false">IF($B1178=-1, -1, VLOOKUP(C1178,$T$1:$V$20, 2))</f>
        <v>0</v>
      </c>
      <c r="G1178" s="16" t="n">
        <f aca="false">IF($B1178=-1, -1, VLOOKUP(D1178,$Y$1:$Z$22,2))</f>
        <v>18</v>
      </c>
      <c r="H1178" s="16" t="str">
        <f aca="false">_xlfn.UNICHAR(((F1178*21)+G1178)*28+44032)</f>
        <v>그</v>
      </c>
      <c r="I1178" s="16" t="n">
        <f aca="false">IF(B1178=-1, 1, COUNTIF($A$2:$A$3000, H1178))</f>
        <v>1</v>
      </c>
      <c r="J1178" s="10" t="str">
        <f aca="false">_xlfn.CONCAT(A1178, ",",H1178,",",I1178)</f>
        <v>솅,그,1</v>
      </c>
      <c r="K1178" s="16" t="n">
        <f aca="false">IF(B1178=-1,-1,VLOOKUP(C1178,$T$1:$V$20,3))</f>
        <v>13</v>
      </c>
      <c r="L1178" s="16" t="n">
        <f aca="false">IF(B1178=-1,-1,VLOOKUP(D1178,$Y$1:$AA$22,3))</f>
        <v>14</v>
      </c>
      <c r="N1178" s="10" t="str">
        <f aca="false">_xlfn.UNICHAR(((C1178*21)+G1178)*28+44032)</f>
        <v>스</v>
      </c>
      <c r="O1178" s="10" t="str">
        <f aca="false">_xlfn.UNICHAR(((F1178*21)+D1178)*28+44032)</f>
        <v>계</v>
      </c>
      <c r="P1178" s="12" t="n">
        <f aca="false">COUNTIF($A$2:$A$3000, N1178) + COUNTIF($A$2:$A$3000, O1178)</f>
        <v>2</v>
      </c>
      <c r="Q1178" s="16" t="str">
        <f aca="false">IF(OR(B1178=-1,I1178=0, P1178&lt;&gt;2), "albhed_dummy", _xlfn.CONCAT("albhed ", RIGHT("  " &amp; K1178,2),", ", RIGHT("  " &amp; L1178,2), ", " ,"""",H1178,""", ", """",N1178,""", ","""",O1178,""""," ; ", A1178))</f>
        <v>albhed 13, 14, "그", "스", "계" ; 솅</v>
      </c>
    </row>
    <row r="1179" customFormat="false" ht="17.9" hidden="false" customHeight="true" outlineLevel="0" collapsed="false">
      <c r="A1179" s="16" t="s">
        <v>2046</v>
      </c>
      <c r="B1179" s="16" t="n">
        <f aca="false">IF(_xlfn.UNICODE(A1179)&lt;44032,-1,_xlfn.UNICODE(A1179)-44032)</f>
        <v>5516</v>
      </c>
      <c r="C1179" s="16" t="n">
        <f aca="false">IF(B1179=-1,-1,INT((B1179/28)/21))</f>
        <v>9</v>
      </c>
      <c r="D1179" s="16" t="n">
        <f aca="false">IF(B1179=-1, -1, MOD(INT(B1179/28),21))</f>
        <v>8</v>
      </c>
      <c r="E1179" s="16" t="n">
        <f aca="false">IF(B1179=-1, -1, VLOOKUP(MOD(B1179,28), $T$24:$U$52,2))</f>
        <v>0</v>
      </c>
      <c r="F1179" s="16" t="n">
        <f aca="false">IF($B1179=-1, -1, VLOOKUP(C1179,$T$1:$V$20, 2))</f>
        <v>0</v>
      </c>
      <c r="G1179" s="16" t="n">
        <f aca="false">IF($B1179=-1, -1, VLOOKUP(D1179,$Y$1:$Z$22,2))</f>
        <v>4</v>
      </c>
      <c r="H1179" s="16" t="str">
        <f aca="false">_xlfn.UNICHAR(((F1179*21)+G1179)*28+44032)</f>
        <v>거</v>
      </c>
      <c r="I1179" s="16" t="n">
        <f aca="false">IF(B1179=-1, 1, COUNTIF($A$2:$A$3000, H1179))</f>
        <v>1</v>
      </c>
      <c r="J1179" s="10" t="str">
        <f aca="false">_xlfn.CONCAT(A1179, ",",H1179,",",I1179)</f>
        <v>소,거,1</v>
      </c>
      <c r="K1179" s="16" t="n">
        <f aca="false">IF(B1179=-1,-1,VLOOKUP(C1179,$T$1:$V$20,3))</f>
        <v>13</v>
      </c>
      <c r="L1179" s="16" t="n">
        <f aca="false">IF(B1179=-1,-1,VLOOKUP(D1179,$Y$1:$AA$22,3))</f>
        <v>8</v>
      </c>
      <c r="N1179" s="10" t="str">
        <f aca="false">_xlfn.UNICHAR(((C1179*21)+G1179)*28+44032)</f>
        <v>서</v>
      </c>
      <c r="O1179" s="10" t="str">
        <f aca="false">_xlfn.UNICHAR(((F1179*21)+D1179)*28+44032)</f>
        <v>고</v>
      </c>
      <c r="P1179" s="12" t="n">
        <f aca="false">COUNTIF($A$2:$A$3000, N1179) + COUNTIF($A$2:$A$3000, O1179)</f>
        <v>2</v>
      </c>
      <c r="Q1179" s="16" t="str">
        <f aca="false">IF(OR(B1179=-1,I1179=0, P1179&lt;&gt;2), "albhed_dummy", _xlfn.CONCAT("albhed ", RIGHT("  " &amp; K1179,2),", ", RIGHT("  " &amp; L1179,2), ", " ,"""",H1179,""", ", """",N1179,""", ","""",O1179,""""," ; ", A1179))</f>
        <v>albhed 13,  8, "거", "서", "고" ; 소</v>
      </c>
    </row>
    <row r="1180" customFormat="false" ht="17.9" hidden="false" customHeight="true" outlineLevel="0" collapsed="false">
      <c r="A1180" s="16" t="s">
        <v>2047</v>
      </c>
      <c r="B1180" s="16" t="n">
        <f aca="false">IF(_xlfn.UNICODE(A1180)&lt;44032,-1,_xlfn.UNICODE(A1180)-44032)</f>
        <v>5517</v>
      </c>
      <c r="C1180" s="16" t="n">
        <f aca="false">IF(B1180=-1,-1,INT((B1180/28)/21))</f>
        <v>9</v>
      </c>
      <c r="D1180" s="16" t="n">
        <f aca="false">IF(B1180=-1, -1, MOD(INT(B1180/28),21))</f>
        <v>8</v>
      </c>
      <c r="E1180" s="16" t="n">
        <f aca="false">IF(B1180=-1, -1, VLOOKUP(MOD(B1180,28), $T$24:$U$52,2))</f>
        <v>1</v>
      </c>
      <c r="F1180" s="16" t="n">
        <f aca="false">IF($B1180=-1, -1, VLOOKUP(C1180,$T$1:$V$20, 2))</f>
        <v>0</v>
      </c>
      <c r="G1180" s="16" t="n">
        <f aca="false">IF($B1180=-1, -1, VLOOKUP(D1180,$Y$1:$Z$22,2))</f>
        <v>4</v>
      </c>
      <c r="H1180" s="16" t="str">
        <f aca="false">_xlfn.UNICHAR(((F1180*21)+G1180)*28+44032)</f>
        <v>거</v>
      </c>
      <c r="I1180" s="16" t="n">
        <f aca="false">IF(B1180=-1, 1, COUNTIF($A$2:$A$3000, H1180))</f>
        <v>1</v>
      </c>
      <c r="J1180" s="10" t="str">
        <f aca="false">_xlfn.CONCAT(A1180, ",",H1180,",",I1180)</f>
        <v>속,거,1</v>
      </c>
      <c r="K1180" s="16" t="n">
        <f aca="false">IF(B1180=-1,-1,VLOOKUP(C1180,$T$1:$V$20,3))</f>
        <v>13</v>
      </c>
      <c r="L1180" s="16" t="n">
        <f aca="false">IF(B1180=-1,-1,VLOOKUP(D1180,$Y$1:$AA$22,3))</f>
        <v>8</v>
      </c>
      <c r="N1180" s="10" t="str">
        <f aca="false">_xlfn.UNICHAR(((C1180*21)+G1180)*28+44032)</f>
        <v>서</v>
      </c>
      <c r="O1180" s="10" t="str">
        <f aca="false">_xlfn.UNICHAR(((F1180*21)+D1180)*28+44032)</f>
        <v>고</v>
      </c>
      <c r="P1180" s="12" t="n">
        <f aca="false">COUNTIF($A$2:$A$3000, N1180) + COUNTIF($A$2:$A$3000, O1180)</f>
        <v>2</v>
      </c>
      <c r="Q1180" s="16" t="str">
        <f aca="false">IF(OR(B1180=-1,I1180=0, P1180&lt;&gt;2), "albhed_dummy", _xlfn.CONCAT("albhed ", RIGHT("  " &amp; K1180,2),", ", RIGHT("  " &amp; L1180,2), ", " ,"""",H1180,""", ", """",N1180,""", ","""",O1180,""""," ; ", A1180))</f>
        <v>albhed 13,  8, "거", "서", "고" ; 속</v>
      </c>
    </row>
    <row r="1181" customFormat="false" ht="17.9" hidden="false" customHeight="true" outlineLevel="0" collapsed="false">
      <c r="A1181" s="16" t="s">
        <v>2048</v>
      </c>
      <c r="B1181" s="16" t="n">
        <f aca="false">IF(_xlfn.UNICODE(A1181)&lt;44032,-1,_xlfn.UNICODE(A1181)-44032)</f>
        <v>5518</v>
      </c>
      <c r="C1181" s="16" t="n">
        <f aca="false">IF(B1181=-1,-1,INT((B1181/28)/21))</f>
        <v>9</v>
      </c>
      <c r="D1181" s="16" t="n">
        <f aca="false">IF(B1181=-1, -1, MOD(INT(B1181/28),21))</f>
        <v>8</v>
      </c>
      <c r="E1181" s="16" t="n">
        <f aca="false">IF(B1181=-1, -1, VLOOKUP(MOD(B1181,28), $T$24:$U$52,2))</f>
        <v>1</v>
      </c>
      <c r="F1181" s="16" t="n">
        <f aca="false">IF($B1181=-1, -1, VLOOKUP(C1181,$T$1:$V$20, 2))</f>
        <v>0</v>
      </c>
      <c r="G1181" s="16" t="n">
        <f aca="false">IF($B1181=-1, -1, VLOOKUP(D1181,$Y$1:$Z$22,2))</f>
        <v>4</v>
      </c>
      <c r="H1181" s="16" t="str">
        <f aca="false">_xlfn.UNICHAR(((F1181*21)+G1181)*28+44032)</f>
        <v>거</v>
      </c>
      <c r="I1181" s="16" t="n">
        <f aca="false">IF(B1181=-1, 1, COUNTIF($A$2:$A$3000, H1181))</f>
        <v>1</v>
      </c>
      <c r="J1181" s="10" t="str">
        <f aca="false">_xlfn.CONCAT(A1181, ",",H1181,",",I1181)</f>
        <v>솎,거,1</v>
      </c>
      <c r="K1181" s="16" t="n">
        <f aca="false">IF(B1181=-1,-1,VLOOKUP(C1181,$T$1:$V$20,3))</f>
        <v>13</v>
      </c>
      <c r="L1181" s="16" t="n">
        <f aca="false">IF(B1181=-1,-1,VLOOKUP(D1181,$Y$1:$AA$22,3))</f>
        <v>8</v>
      </c>
      <c r="N1181" s="10" t="str">
        <f aca="false">_xlfn.UNICHAR(((C1181*21)+G1181)*28+44032)</f>
        <v>서</v>
      </c>
      <c r="O1181" s="10" t="str">
        <f aca="false">_xlfn.UNICHAR(((F1181*21)+D1181)*28+44032)</f>
        <v>고</v>
      </c>
      <c r="P1181" s="12" t="n">
        <f aca="false">COUNTIF($A$2:$A$3000, N1181) + COUNTIF($A$2:$A$3000, O1181)</f>
        <v>2</v>
      </c>
      <c r="Q1181" s="16" t="str">
        <f aca="false">IF(OR(B1181=-1,I1181=0, P1181&lt;&gt;2), "albhed_dummy", _xlfn.CONCAT("albhed ", RIGHT("  " &amp; K1181,2),", ", RIGHT("  " &amp; L1181,2), ", " ,"""",H1181,""", ", """",N1181,""", ","""",O1181,""""," ; ", A1181))</f>
        <v>albhed 13,  8, "거", "서", "고" ; 솎</v>
      </c>
    </row>
    <row r="1182" customFormat="false" ht="17.9" hidden="false" customHeight="true" outlineLevel="0" collapsed="false">
      <c r="A1182" s="16" t="s">
        <v>2049</v>
      </c>
      <c r="B1182" s="16" t="n">
        <f aca="false">IF(_xlfn.UNICODE(A1182)&lt;44032,-1,_xlfn.UNICODE(A1182)-44032)</f>
        <v>5520</v>
      </c>
      <c r="C1182" s="16" t="n">
        <f aca="false">IF(B1182=-1,-1,INT((B1182/28)/21))</f>
        <v>9</v>
      </c>
      <c r="D1182" s="16" t="n">
        <f aca="false">IF(B1182=-1, -1, MOD(INT(B1182/28),21))</f>
        <v>8</v>
      </c>
      <c r="E1182" s="16" t="n">
        <f aca="false">IF(B1182=-1, -1, VLOOKUP(MOD(B1182,28), $T$24:$U$52,2))</f>
        <v>4</v>
      </c>
      <c r="F1182" s="16" t="n">
        <f aca="false">IF($B1182=-1, -1, VLOOKUP(C1182,$T$1:$V$20, 2))</f>
        <v>0</v>
      </c>
      <c r="G1182" s="16" t="n">
        <f aca="false">IF($B1182=-1, -1, VLOOKUP(D1182,$Y$1:$Z$22,2))</f>
        <v>4</v>
      </c>
      <c r="H1182" s="16" t="str">
        <f aca="false">_xlfn.UNICHAR(((F1182*21)+G1182)*28+44032)</f>
        <v>거</v>
      </c>
      <c r="I1182" s="16" t="n">
        <f aca="false">IF(B1182=-1, 1, COUNTIF($A$2:$A$3000, H1182))</f>
        <v>1</v>
      </c>
      <c r="J1182" s="10" t="str">
        <f aca="false">_xlfn.CONCAT(A1182, ",",H1182,",",I1182)</f>
        <v>손,거,1</v>
      </c>
      <c r="K1182" s="16" t="n">
        <f aca="false">IF(B1182=-1,-1,VLOOKUP(C1182,$T$1:$V$20,3))</f>
        <v>13</v>
      </c>
      <c r="L1182" s="16" t="n">
        <f aca="false">IF(B1182=-1,-1,VLOOKUP(D1182,$Y$1:$AA$22,3))</f>
        <v>8</v>
      </c>
      <c r="N1182" s="10" t="str">
        <f aca="false">_xlfn.UNICHAR(((C1182*21)+G1182)*28+44032)</f>
        <v>서</v>
      </c>
      <c r="O1182" s="10" t="str">
        <f aca="false">_xlfn.UNICHAR(((F1182*21)+D1182)*28+44032)</f>
        <v>고</v>
      </c>
      <c r="P1182" s="12" t="n">
        <f aca="false">COUNTIF($A$2:$A$3000, N1182) + COUNTIF($A$2:$A$3000, O1182)</f>
        <v>2</v>
      </c>
      <c r="Q1182" s="16" t="str">
        <f aca="false">IF(OR(B1182=-1,I1182=0, P1182&lt;&gt;2), "albhed_dummy", _xlfn.CONCAT("albhed ", RIGHT("  " &amp; K1182,2),", ", RIGHT("  " &amp; L1182,2), ", " ,"""",H1182,""", ", """",N1182,""", ","""",O1182,""""," ; ", A1182))</f>
        <v>albhed 13,  8, "거", "서", "고" ; 손</v>
      </c>
    </row>
    <row r="1183" customFormat="false" ht="17.9" hidden="false" customHeight="true" outlineLevel="0" collapsed="false">
      <c r="A1183" s="16" t="s">
        <v>2050</v>
      </c>
      <c r="B1183" s="16" t="n">
        <f aca="false">IF(_xlfn.UNICODE(A1183)&lt;44032,-1,_xlfn.UNICODE(A1183)-44032)</f>
        <v>5524</v>
      </c>
      <c r="C1183" s="16" t="n">
        <f aca="false">IF(B1183=-1,-1,INT((B1183/28)/21))</f>
        <v>9</v>
      </c>
      <c r="D1183" s="16" t="n">
        <f aca="false">IF(B1183=-1, -1, MOD(INT(B1183/28),21))</f>
        <v>8</v>
      </c>
      <c r="E1183" s="16" t="n">
        <f aca="false">IF(B1183=-1, -1, VLOOKUP(MOD(B1183,28), $T$24:$U$52,2))</f>
        <v>8</v>
      </c>
      <c r="F1183" s="16" t="n">
        <f aca="false">IF($B1183=-1, -1, VLOOKUP(C1183,$T$1:$V$20, 2))</f>
        <v>0</v>
      </c>
      <c r="G1183" s="16" t="n">
        <f aca="false">IF($B1183=-1, -1, VLOOKUP(D1183,$Y$1:$Z$22,2))</f>
        <v>4</v>
      </c>
      <c r="H1183" s="16" t="str">
        <f aca="false">_xlfn.UNICHAR(((F1183*21)+G1183)*28+44032)</f>
        <v>거</v>
      </c>
      <c r="I1183" s="16" t="n">
        <f aca="false">IF(B1183=-1, 1, COUNTIF($A$2:$A$3000, H1183))</f>
        <v>1</v>
      </c>
      <c r="J1183" s="10" t="str">
        <f aca="false">_xlfn.CONCAT(A1183, ",",H1183,",",I1183)</f>
        <v>솔,거,1</v>
      </c>
      <c r="K1183" s="16" t="n">
        <f aca="false">IF(B1183=-1,-1,VLOOKUP(C1183,$T$1:$V$20,3))</f>
        <v>13</v>
      </c>
      <c r="L1183" s="16" t="n">
        <f aca="false">IF(B1183=-1,-1,VLOOKUP(D1183,$Y$1:$AA$22,3))</f>
        <v>8</v>
      </c>
      <c r="N1183" s="10" t="str">
        <f aca="false">_xlfn.UNICHAR(((C1183*21)+G1183)*28+44032)</f>
        <v>서</v>
      </c>
      <c r="O1183" s="10" t="str">
        <f aca="false">_xlfn.UNICHAR(((F1183*21)+D1183)*28+44032)</f>
        <v>고</v>
      </c>
      <c r="P1183" s="12" t="n">
        <f aca="false">COUNTIF($A$2:$A$3000, N1183) + COUNTIF($A$2:$A$3000, O1183)</f>
        <v>2</v>
      </c>
      <c r="Q1183" s="16" t="str">
        <f aca="false">IF(OR(B1183=-1,I1183=0, P1183&lt;&gt;2), "albhed_dummy", _xlfn.CONCAT("albhed ", RIGHT("  " &amp; K1183,2),", ", RIGHT("  " &amp; L1183,2), ", " ,"""",H1183,""", ", """",N1183,""", ","""",O1183,""""," ; ", A1183))</f>
        <v>albhed 13,  8, "거", "서", "고" ; 솔</v>
      </c>
    </row>
    <row r="1184" customFormat="false" ht="17.9" hidden="false" customHeight="true" outlineLevel="0" collapsed="false">
      <c r="A1184" s="16" t="s">
        <v>2051</v>
      </c>
      <c r="B1184" s="16" t="n">
        <f aca="false">IF(_xlfn.UNICODE(A1184)&lt;44032,-1,_xlfn.UNICODE(A1184)-44032)</f>
        <v>5526</v>
      </c>
      <c r="C1184" s="16" t="n">
        <f aca="false">IF(B1184=-1,-1,INT((B1184/28)/21))</f>
        <v>9</v>
      </c>
      <c r="D1184" s="16" t="n">
        <f aca="false">IF(B1184=-1, -1, MOD(INT(B1184/28),21))</f>
        <v>8</v>
      </c>
      <c r="E1184" s="16" t="n">
        <f aca="false">IF(B1184=-1, -1, VLOOKUP(MOD(B1184,28), $T$24:$U$52,2))</f>
        <v>8</v>
      </c>
      <c r="F1184" s="16" t="n">
        <f aca="false">IF($B1184=-1, -1, VLOOKUP(C1184,$T$1:$V$20, 2))</f>
        <v>0</v>
      </c>
      <c r="G1184" s="16" t="n">
        <f aca="false">IF($B1184=-1, -1, VLOOKUP(D1184,$Y$1:$Z$22,2))</f>
        <v>4</v>
      </c>
      <c r="H1184" s="16" t="str">
        <f aca="false">_xlfn.UNICHAR(((F1184*21)+G1184)*28+44032)</f>
        <v>거</v>
      </c>
      <c r="I1184" s="16" t="n">
        <f aca="false">IF(B1184=-1, 1, COUNTIF($A$2:$A$3000, H1184))</f>
        <v>1</v>
      </c>
      <c r="J1184" s="10" t="str">
        <f aca="false">_xlfn.CONCAT(A1184, ",",H1184,",",I1184)</f>
        <v>솖,거,1</v>
      </c>
      <c r="K1184" s="16" t="n">
        <f aca="false">IF(B1184=-1,-1,VLOOKUP(C1184,$T$1:$V$20,3))</f>
        <v>13</v>
      </c>
      <c r="L1184" s="16" t="n">
        <f aca="false">IF(B1184=-1,-1,VLOOKUP(D1184,$Y$1:$AA$22,3))</f>
        <v>8</v>
      </c>
      <c r="N1184" s="10" t="str">
        <f aca="false">_xlfn.UNICHAR(((C1184*21)+G1184)*28+44032)</f>
        <v>서</v>
      </c>
      <c r="O1184" s="10" t="str">
        <f aca="false">_xlfn.UNICHAR(((F1184*21)+D1184)*28+44032)</f>
        <v>고</v>
      </c>
      <c r="P1184" s="12" t="n">
        <f aca="false">COUNTIF($A$2:$A$3000, N1184) + COUNTIF($A$2:$A$3000, O1184)</f>
        <v>2</v>
      </c>
      <c r="Q1184" s="16" t="str">
        <f aca="false">IF(OR(B1184=-1,I1184=0, P1184&lt;&gt;2), "albhed_dummy", _xlfn.CONCAT("albhed ", RIGHT("  " &amp; K1184,2),", ", RIGHT("  " &amp; L1184,2), ", " ,"""",H1184,""", ", """",N1184,""", ","""",O1184,""""," ; ", A1184))</f>
        <v>albhed 13,  8, "거", "서", "고" ; 솖</v>
      </c>
    </row>
    <row r="1185" customFormat="false" ht="17.9" hidden="false" customHeight="true" outlineLevel="0" collapsed="false">
      <c r="A1185" s="16" t="s">
        <v>2052</v>
      </c>
      <c r="B1185" s="16" t="n">
        <f aca="false">IF(_xlfn.UNICODE(A1185)&lt;44032,-1,_xlfn.UNICODE(A1185)-44032)</f>
        <v>5532</v>
      </c>
      <c r="C1185" s="16" t="n">
        <f aca="false">IF(B1185=-1,-1,INT((B1185/28)/21))</f>
        <v>9</v>
      </c>
      <c r="D1185" s="16" t="n">
        <f aca="false">IF(B1185=-1, -1, MOD(INT(B1185/28),21))</f>
        <v>8</v>
      </c>
      <c r="E1185" s="16" t="n">
        <f aca="false">IF(B1185=-1, -1, VLOOKUP(MOD(B1185,28), $T$24:$U$52,2))</f>
        <v>16</v>
      </c>
      <c r="F1185" s="16" t="n">
        <f aca="false">IF($B1185=-1, -1, VLOOKUP(C1185,$T$1:$V$20, 2))</f>
        <v>0</v>
      </c>
      <c r="G1185" s="16" t="n">
        <f aca="false">IF($B1185=-1, -1, VLOOKUP(D1185,$Y$1:$Z$22,2))</f>
        <v>4</v>
      </c>
      <c r="H1185" s="16" t="str">
        <f aca="false">_xlfn.UNICHAR(((F1185*21)+G1185)*28+44032)</f>
        <v>거</v>
      </c>
      <c r="I1185" s="16" t="n">
        <f aca="false">IF(B1185=-1, 1, COUNTIF($A$2:$A$3000, H1185))</f>
        <v>1</v>
      </c>
      <c r="J1185" s="10" t="str">
        <f aca="false">_xlfn.CONCAT(A1185, ",",H1185,",",I1185)</f>
        <v>솜,거,1</v>
      </c>
      <c r="K1185" s="16" t="n">
        <f aca="false">IF(B1185=-1,-1,VLOOKUP(C1185,$T$1:$V$20,3))</f>
        <v>13</v>
      </c>
      <c r="L1185" s="16" t="n">
        <f aca="false">IF(B1185=-1,-1,VLOOKUP(D1185,$Y$1:$AA$22,3))</f>
        <v>8</v>
      </c>
      <c r="N1185" s="10" t="str">
        <f aca="false">_xlfn.UNICHAR(((C1185*21)+G1185)*28+44032)</f>
        <v>서</v>
      </c>
      <c r="O1185" s="10" t="str">
        <f aca="false">_xlfn.UNICHAR(((F1185*21)+D1185)*28+44032)</f>
        <v>고</v>
      </c>
      <c r="P1185" s="12" t="n">
        <f aca="false">COUNTIF($A$2:$A$3000, N1185) + COUNTIF($A$2:$A$3000, O1185)</f>
        <v>2</v>
      </c>
      <c r="Q1185" s="16" t="str">
        <f aca="false">IF(OR(B1185=-1,I1185=0, P1185&lt;&gt;2), "albhed_dummy", _xlfn.CONCAT("albhed ", RIGHT("  " &amp; K1185,2),", ", RIGHT("  " &amp; L1185,2), ", " ,"""",H1185,""", ", """",N1185,""", ","""",O1185,""""," ; ", A1185))</f>
        <v>albhed 13,  8, "거", "서", "고" ; 솜</v>
      </c>
    </row>
    <row r="1186" customFormat="false" ht="17.9" hidden="false" customHeight="true" outlineLevel="0" collapsed="false">
      <c r="A1186" s="16" t="s">
        <v>2053</v>
      </c>
      <c r="B1186" s="16" t="n">
        <f aca="false">IF(_xlfn.UNICODE(A1186)&lt;44032,-1,_xlfn.UNICODE(A1186)-44032)</f>
        <v>5533</v>
      </c>
      <c r="C1186" s="16" t="n">
        <f aca="false">IF(B1186=-1,-1,INT((B1186/28)/21))</f>
        <v>9</v>
      </c>
      <c r="D1186" s="16" t="n">
        <f aca="false">IF(B1186=-1, -1, MOD(INT(B1186/28),21))</f>
        <v>8</v>
      </c>
      <c r="E1186" s="16" t="n">
        <f aca="false">IF(B1186=-1, -1, VLOOKUP(MOD(B1186,28), $T$24:$U$52,2))</f>
        <v>17</v>
      </c>
      <c r="F1186" s="16" t="n">
        <f aca="false">IF($B1186=-1, -1, VLOOKUP(C1186,$T$1:$V$20, 2))</f>
        <v>0</v>
      </c>
      <c r="G1186" s="16" t="n">
        <f aca="false">IF($B1186=-1, -1, VLOOKUP(D1186,$Y$1:$Z$22,2))</f>
        <v>4</v>
      </c>
      <c r="H1186" s="16" t="str">
        <f aca="false">_xlfn.UNICHAR(((F1186*21)+G1186)*28+44032)</f>
        <v>거</v>
      </c>
      <c r="I1186" s="16" t="n">
        <f aca="false">IF(B1186=-1, 1, COUNTIF($A$2:$A$3000, H1186))</f>
        <v>1</v>
      </c>
      <c r="J1186" s="10" t="str">
        <f aca="false">_xlfn.CONCAT(A1186, ",",H1186,",",I1186)</f>
        <v>솝,거,1</v>
      </c>
      <c r="K1186" s="16" t="n">
        <f aca="false">IF(B1186=-1,-1,VLOOKUP(C1186,$T$1:$V$20,3))</f>
        <v>13</v>
      </c>
      <c r="L1186" s="16" t="n">
        <f aca="false">IF(B1186=-1,-1,VLOOKUP(D1186,$Y$1:$AA$22,3))</f>
        <v>8</v>
      </c>
      <c r="N1186" s="10" t="str">
        <f aca="false">_xlfn.UNICHAR(((C1186*21)+G1186)*28+44032)</f>
        <v>서</v>
      </c>
      <c r="O1186" s="10" t="str">
        <f aca="false">_xlfn.UNICHAR(((F1186*21)+D1186)*28+44032)</f>
        <v>고</v>
      </c>
      <c r="P1186" s="12" t="n">
        <f aca="false">COUNTIF($A$2:$A$3000, N1186) + COUNTIF($A$2:$A$3000, O1186)</f>
        <v>2</v>
      </c>
      <c r="Q1186" s="16" t="str">
        <f aca="false">IF(OR(B1186=-1,I1186=0, P1186&lt;&gt;2), "albhed_dummy", _xlfn.CONCAT("albhed ", RIGHT("  " &amp; K1186,2),", ", RIGHT("  " &amp; L1186,2), ", " ,"""",H1186,""", ", """",N1186,""", ","""",O1186,""""," ; ", A1186))</f>
        <v>albhed 13,  8, "거", "서", "고" ; 솝</v>
      </c>
    </row>
    <row r="1187" customFormat="false" ht="17.9" hidden="false" customHeight="true" outlineLevel="0" collapsed="false">
      <c r="A1187" s="16" t="s">
        <v>2054</v>
      </c>
      <c r="B1187" s="16" t="n">
        <f aca="false">IF(_xlfn.UNICODE(A1187)&lt;44032,-1,_xlfn.UNICODE(A1187)-44032)</f>
        <v>5535</v>
      </c>
      <c r="C1187" s="16" t="n">
        <f aca="false">IF(B1187=-1,-1,INT((B1187/28)/21))</f>
        <v>9</v>
      </c>
      <c r="D1187" s="16" t="n">
        <f aca="false">IF(B1187=-1, -1, MOD(INT(B1187/28),21))</f>
        <v>8</v>
      </c>
      <c r="E1187" s="16" t="n">
        <f aca="false">IF(B1187=-1, -1, VLOOKUP(MOD(B1187,28), $T$24:$U$52,2))</f>
        <v>19</v>
      </c>
      <c r="F1187" s="16" t="n">
        <f aca="false">IF($B1187=-1, -1, VLOOKUP(C1187,$T$1:$V$20, 2))</f>
        <v>0</v>
      </c>
      <c r="G1187" s="16" t="n">
        <f aca="false">IF($B1187=-1, -1, VLOOKUP(D1187,$Y$1:$Z$22,2))</f>
        <v>4</v>
      </c>
      <c r="H1187" s="16" t="str">
        <f aca="false">_xlfn.UNICHAR(((F1187*21)+G1187)*28+44032)</f>
        <v>거</v>
      </c>
      <c r="I1187" s="16" t="n">
        <f aca="false">IF(B1187=-1, 1, COUNTIF($A$2:$A$3000, H1187))</f>
        <v>1</v>
      </c>
      <c r="J1187" s="10" t="str">
        <f aca="false">_xlfn.CONCAT(A1187, ",",H1187,",",I1187)</f>
        <v>솟,거,1</v>
      </c>
      <c r="K1187" s="16" t="n">
        <f aca="false">IF(B1187=-1,-1,VLOOKUP(C1187,$T$1:$V$20,3))</f>
        <v>13</v>
      </c>
      <c r="L1187" s="16" t="n">
        <f aca="false">IF(B1187=-1,-1,VLOOKUP(D1187,$Y$1:$AA$22,3))</f>
        <v>8</v>
      </c>
      <c r="N1187" s="10" t="str">
        <f aca="false">_xlfn.UNICHAR(((C1187*21)+G1187)*28+44032)</f>
        <v>서</v>
      </c>
      <c r="O1187" s="10" t="str">
        <f aca="false">_xlfn.UNICHAR(((F1187*21)+D1187)*28+44032)</f>
        <v>고</v>
      </c>
      <c r="P1187" s="12" t="n">
        <f aca="false">COUNTIF($A$2:$A$3000, N1187) + COUNTIF($A$2:$A$3000, O1187)</f>
        <v>2</v>
      </c>
      <c r="Q1187" s="16" t="str">
        <f aca="false">IF(OR(B1187=-1,I1187=0, P1187&lt;&gt;2), "albhed_dummy", _xlfn.CONCAT("albhed ", RIGHT("  " &amp; K1187,2),", ", RIGHT("  " &amp; L1187,2), ", " ,"""",H1187,""", ", """",N1187,""", ","""",O1187,""""," ; ", A1187))</f>
        <v>albhed 13,  8, "거", "서", "고" ; 솟</v>
      </c>
    </row>
    <row r="1188" customFormat="false" ht="17.9" hidden="false" customHeight="true" outlineLevel="0" collapsed="false">
      <c r="A1188" s="16" t="s">
        <v>2055</v>
      </c>
      <c r="B1188" s="16" t="n">
        <f aca="false">IF(_xlfn.UNICODE(A1188)&lt;44032,-1,_xlfn.UNICODE(A1188)-44032)</f>
        <v>5537</v>
      </c>
      <c r="C1188" s="16" t="n">
        <f aca="false">IF(B1188=-1,-1,INT((B1188/28)/21))</f>
        <v>9</v>
      </c>
      <c r="D1188" s="16" t="n">
        <f aca="false">IF(B1188=-1, -1, MOD(INT(B1188/28),21))</f>
        <v>8</v>
      </c>
      <c r="E1188" s="16" t="n">
        <f aca="false">IF(B1188=-1, -1, VLOOKUP(MOD(B1188,28), $T$24:$U$52,2))</f>
        <v>21</v>
      </c>
      <c r="F1188" s="16" t="n">
        <f aca="false">IF($B1188=-1, -1, VLOOKUP(C1188,$T$1:$V$20, 2))</f>
        <v>0</v>
      </c>
      <c r="G1188" s="16" t="n">
        <f aca="false">IF($B1188=-1, -1, VLOOKUP(D1188,$Y$1:$Z$22,2))</f>
        <v>4</v>
      </c>
      <c r="H1188" s="16" t="str">
        <f aca="false">_xlfn.UNICHAR(((F1188*21)+G1188)*28+44032)</f>
        <v>거</v>
      </c>
      <c r="I1188" s="16" t="n">
        <f aca="false">IF(B1188=-1, 1, COUNTIF($A$2:$A$3000, H1188))</f>
        <v>1</v>
      </c>
      <c r="J1188" s="10" t="str">
        <f aca="false">_xlfn.CONCAT(A1188, ",",H1188,",",I1188)</f>
        <v>송,거,1</v>
      </c>
      <c r="K1188" s="16" t="n">
        <f aca="false">IF(B1188=-1,-1,VLOOKUP(C1188,$T$1:$V$20,3))</f>
        <v>13</v>
      </c>
      <c r="L1188" s="16" t="n">
        <f aca="false">IF(B1188=-1,-1,VLOOKUP(D1188,$Y$1:$AA$22,3))</f>
        <v>8</v>
      </c>
      <c r="N1188" s="10" t="str">
        <f aca="false">_xlfn.UNICHAR(((C1188*21)+G1188)*28+44032)</f>
        <v>서</v>
      </c>
      <c r="O1188" s="10" t="str">
        <f aca="false">_xlfn.UNICHAR(((F1188*21)+D1188)*28+44032)</f>
        <v>고</v>
      </c>
      <c r="P1188" s="12" t="n">
        <f aca="false">COUNTIF($A$2:$A$3000, N1188) + COUNTIF($A$2:$A$3000, O1188)</f>
        <v>2</v>
      </c>
      <c r="Q1188" s="16" t="str">
        <f aca="false">IF(OR(B1188=-1,I1188=0, P1188&lt;&gt;2), "albhed_dummy", _xlfn.CONCAT("albhed ", RIGHT("  " &amp; K1188,2),", ", RIGHT("  " &amp; L1188,2), ", " ,"""",H1188,""", ", """",N1188,""", ","""",O1188,""""," ; ", A1188))</f>
        <v>albhed 13,  8, "거", "서", "고" ; 송</v>
      </c>
    </row>
    <row r="1189" customFormat="false" ht="17.9" hidden="false" customHeight="true" outlineLevel="0" collapsed="false">
      <c r="A1189" s="16" t="s">
        <v>2056</v>
      </c>
      <c r="B1189" s="16" t="n">
        <f aca="false">IF(_xlfn.UNICODE(A1189)&lt;44032,-1,_xlfn.UNICODE(A1189)-44032)</f>
        <v>5541</v>
      </c>
      <c r="C1189" s="16" t="n">
        <f aca="false">IF(B1189=-1,-1,INT((B1189/28)/21))</f>
        <v>9</v>
      </c>
      <c r="D1189" s="16" t="n">
        <f aca="false">IF(B1189=-1, -1, MOD(INT(B1189/28),21))</f>
        <v>8</v>
      </c>
      <c r="E1189" s="16" t="n">
        <f aca="false">IF(B1189=-1, -1, VLOOKUP(MOD(B1189,28), $T$24:$U$52,2))</f>
        <v>19</v>
      </c>
      <c r="F1189" s="16" t="n">
        <f aca="false">IF($B1189=-1, -1, VLOOKUP(C1189,$T$1:$V$20, 2))</f>
        <v>0</v>
      </c>
      <c r="G1189" s="16" t="n">
        <f aca="false">IF($B1189=-1, -1, VLOOKUP(D1189,$Y$1:$Z$22,2))</f>
        <v>4</v>
      </c>
      <c r="H1189" s="16" t="str">
        <f aca="false">_xlfn.UNICHAR(((F1189*21)+G1189)*28+44032)</f>
        <v>거</v>
      </c>
      <c r="I1189" s="16" t="n">
        <f aca="false">IF(B1189=-1, 1, COUNTIF($A$2:$A$3000, H1189))</f>
        <v>1</v>
      </c>
      <c r="J1189" s="10" t="str">
        <f aca="false">_xlfn.CONCAT(A1189, ",",H1189,",",I1189)</f>
        <v>솥,거,1</v>
      </c>
      <c r="K1189" s="16" t="n">
        <f aca="false">IF(B1189=-1,-1,VLOOKUP(C1189,$T$1:$V$20,3))</f>
        <v>13</v>
      </c>
      <c r="L1189" s="16" t="n">
        <f aca="false">IF(B1189=-1,-1,VLOOKUP(D1189,$Y$1:$AA$22,3))</f>
        <v>8</v>
      </c>
      <c r="N1189" s="10" t="str">
        <f aca="false">_xlfn.UNICHAR(((C1189*21)+G1189)*28+44032)</f>
        <v>서</v>
      </c>
      <c r="O1189" s="10" t="str">
        <f aca="false">_xlfn.UNICHAR(((F1189*21)+D1189)*28+44032)</f>
        <v>고</v>
      </c>
      <c r="P1189" s="12" t="n">
        <f aca="false">COUNTIF($A$2:$A$3000, N1189) + COUNTIF($A$2:$A$3000, O1189)</f>
        <v>2</v>
      </c>
      <c r="Q1189" s="16" t="str">
        <f aca="false">IF(OR(B1189=-1,I1189=0, P1189&lt;&gt;2), "albhed_dummy", _xlfn.CONCAT("albhed ", RIGHT("  " &amp; K1189,2),", ", RIGHT("  " &amp; L1189,2), ", " ,"""",H1189,""", ", """",N1189,""", ","""",O1189,""""," ; ", A1189))</f>
        <v>albhed 13,  8, "거", "서", "고" ; 솥</v>
      </c>
    </row>
    <row r="1190" customFormat="false" ht="17.9" hidden="false" customHeight="true" outlineLevel="0" collapsed="false">
      <c r="A1190" s="16" t="s">
        <v>2057</v>
      </c>
      <c r="B1190" s="16" t="n">
        <f aca="false">IF(_xlfn.UNICODE(A1190)&lt;44032,-1,_xlfn.UNICODE(A1190)-44032)</f>
        <v>5544</v>
      </c>
      <c r="C1190" s="16" t="n">
        <f aca="false">IF(B1190=-1,-1,INT((B1190/28)/21))</f>
        <v>9</v>
      </c>
      <c r="D1190" s="16" t="n">
        <f aca="false">IF(B1190=-1, -1, MOD(INT(B1190/28),21))</f>
        <v>9</v>
      </c>
      <c r="E1190" s="16" t="n">
        <f aca="false">IF(B1190=-1, -1, VLOOKUP(MOD(B1190,28), $T$24:$U$52,2))</f>
        <v>0</v>
      </c>
      <c r="F1190" s="16" t="n">
        <f aca="false">IF($B1190=-1, -1, VLOOKUP(C1190,$T$1:$V$20, 2))</f>
        <v>0</v>
      </c>
      <c r="G1190" s="16" t="n">
        <f aca="false">IF($B1190=-1, -1, VLOOKUP(D1190,$Y$1:$Z$22,2))</f>
        <v>20</v>
      </c>
      <c r="H1190" s="16" t="str">
        <f aca="false">_xlfn.UNICHAR(((F1190*21)+G1190)*28+44032)</f>
        <v>기</v>
      </c>
      <c r="I1190" s="16" t="n">
        <f aca="false">IF(B1190=-1, 1, COUNTIF($A$2:$A$3000, H1190))</f>
        <v>1</v>
      </c>
      <c r="J1190" s="10" t="str">
        <f aca="false">_xlfn.CONCAT(A1190, ",",H1190,",",I1190)</f>
        <v>솨,기,1</v>
      </c>
      <c r="K1190" s="16" t="n">
        <f aca="false">IF(B1190=-1,-1,VLOOKUP(C1190,$T$1:$V$20,3))</f>
        <v>13</v>
      </c>
      <c r="L1190" s="16" t="n">
        <f aca="false">IF(B1190=-1,-1,VLOOKUP(D1190,$Y$1:$AA$22,3))</f>
        <v>12</v>
      </c>
      <c r="N1190" s="10" t="str">
        <f aca="false">_xlfn.UNICHAR(((C1190*21)+G1190)*28+44032)</f>
        <v>시</v>
      </c>
      <c r="O1190" s="10" t="str">
        <f aca="false">_xlfn.UNICHAR(((F1190*21)+D1190)*28+44032)</f>
        <v>과</v>
      </c>
      <c r="P1190" s="12" t="n">
        <f aca="false">COUNTIF($A$2:$A$3000, N1190) + COUNTIF($A$2:$A$3000, O1190)</f>
        <v>2</v>
      </c>
      <c r="Q1190" s="16" t="str">
        <f aca="false">IF(OR(B1190=-1,I1190=0, P1190&lt;&gt;2), "albhed_dummy", _xlfn.CONCAT("albhed ", RIGHT("  " &amp; K1190,2),", ", RIGHT("  " &amp; L1190,2), ", " ,"""",H1190,""", ", """",N1190,""", ","""",O1190,""""," ; ", A1190))</f>
        <v>albhed 13, 12, "기", "시", "과" ; 솨</v>
      </c>
    </row>
    <row r="1191" customFormat="false" ht="17.9" hidden="false" customHeight="true" outlineLevel="0" collapsed="false">
      <c r="A1191" s="16" t="s">
        <v>2058</v>
      </c>
      <c r="B1191" s="16" t="n">
        <f aca="false">IF(_xlfn.UNICODE(A1191)&lt;44032,-1,_xlfn.UNICODE(A1191)-44032)</f>
        <v>5545</v>
      </c>
      <c r="C1191" s="16" t="n">
        <f aca="false">IF(B1191=-1,-1,INT((B1191/28)/21))</f>
        <v>9</v>
      </c>
      <c r="D1191" s="16" t="n">
        <f aca="false">IF(B1191=-1, -1, MOD(INT(B1191/28),21))</f>
        <v>9</v>
      </c>
      <c r="E1191" s="16" t="n">
        <f aca="false">IF(B1191=-1, -1, VLOOKUP(MOD(B1191,28), $T$24:$U$52,2))</f>
        <v>1</v>
      </c>
      <c r="F1191" s="16" t="n">
        <f aca="false">IF($B1191=-1, -1, VLOOKUP(C1191,$T$1:$V$20, 2))</f>
        <v>0</v>
      </c>
      <c r="G1191" s="16" t="n">
        <f aca="false">IF($B1191=-1, -1, VLOOKUP(D1191,$Y$1:$Z$22,2))</f>
        <v>20</v>
      </c>
      <c r="H1191" s="16" t="str">
        <f aca="false">_xlfn.UNICHAR(((F1191*21)+G1191)*28+44032)</f>
        <v>기</v>
      </c>
      <c r="I1191" s="16" t="n">
        <f aca="false">IF(B1191=-1, 1, COUNTIF($A$2:$A$3000, H1191))</f>
        <v>1</v>
      </c>
      <c r="J1191" s="10" t="str">
        <f aca="false">_xlfn.CONCAT(A1191, ",",H1191,",",I1191)</f>
        <v>솩,기,1</v>
      </c>
      <c r="K1191" s="16" t="n">
        <f aca="false">IF(B1191=-1,-1,VLOOKUP(C1191,$T$1:$V$20,3))</f>
        <v>13</v>
      </c>
      <c r="L1191" s="16" t="n">
        <f aca="false">IF(B1191=-1,-1,VLOOKUP(D1191,$Y$1:$AA$22,3))</f>
        <v>12</v>
      </c>
      <c r="N1191" s="10" t="str">
        <f aca="false">_xlfn.UNICHAR(((C1191*21)+G1191)*28+44032)</f>
        <v>시</v>
      </c>
      <c r="O1191" s="10" t="str">
        <f aca="false">_xlfn.UNICHAR(((F1191*21)+D1191)*28+44032)</f>
        <v>과</v>
      </c>
      <c r="P1191" s="12" t="n">
        <f aca="false">COUNTIF($A$2:$A$3000, N1191) + COUNTIF($A$2:$A$3000, O1191)</f>
        <v>2</v>
      </c>
      <c r="Q1191" s="16" t="str">
        <f aca="false">IF(OR(B1191=-1,I1191=0, P1191&lt;&gt;2), "albhed_dummy", _xlfn.CONCAT("albhed ", RIGHT("  " &amp; K1191,2),", ", RIGHT("  " &amp; L1191,2), ", " ,"""",H1191,""", ", """",N1191,""", ","""",O1191,""""," ; ", A1191))</f>
        <v>albhed 13, 12, "기", "시", "과" ; 솩</v>
      </c>
    </row>
    <row r="1192" customFormat="false" ht="17.9" hidden="false" customHeight="true" outlineLevel="0" collapsed="false">
      <c r="A1192" s="16" t="s">
        <v>2059</v>
      </c>
      <c r="B1192" s="16" t="n">
        <f aca="false">IF(_xlfn.UNICODE(A1192)&lt;44032,-1,_xlfn.UNICODE(A1192)-44032)</f>
        <v>5548</v>
      </c>
      <c r="C1192" s="16" t="n">
        <f aca="false">IF(B1192=-1,-1,INT((B1192/28)/21))</f>
        <v>9</v>
      </c>
      <c r="D1192" s="16" t="n">
        <f aca="false">IF(B1192=-1, -1, MOD(INT(B1192/28),21))</f>
        <v>9</v>
      </c>
      <c r="E1192" s="16" t="n">
        <f aca="false">IF(B1192=-1, -1, VLOOKUP(MOD(B1192,28), $T$24:$U$52,2))</f>
        <v>4</v>
      </c>
      <c r="F1192" s="16" t="n">
        <f aca="false">IF($B1192=-1, -1, VLOOKUP(C1192,$T$1:$V$20, 2))</f>
        <v>0</v>
      </c>
      <c r="G1192" s="16" t="n">
        <f aca="false">IF($B1192=-1, -1, VLOOKUP(D1192,$Y$1:$Z$22,2))</f>
        <v>20</v>
      </c>
      <c r="H1192" s="16" t="str">
        <f aca="false">_xlfn.UNICHAR(((F1192*21)+G1192)*28+44032)</f>
        <v>기</v>
      </c>
      <c r="I1192" s="16" t="n">
        <f aca="false">IF(B1192=-1, 1, COUNTIF($A$2:$A$3000, H1192))</f>
        <v>1</v>
      </c>
      <c r="J1192" s="10" t="str">
        <f aca="false">_xlfn.CONCAT(A1192, ",",H1192,",",I1192)</f>
        <v>솬,기,1</v>
      </c>
      <c r="K1192" s="16" t="n">
        <f aca="false">IF(B1192=-1,-1,VLOOKUP(C1192,$T$1:$V$20,3))</f>
        <v>13</v>
      </c>
      <c r="L1192" s="16" t="n">
        <f aca="false">IF(B1192=-1,-1,VLOOKUP(D1192,$Y$1:$AA$22,3))</f>
        <v>12</v>
      </c>
      <c r="N1192" s="10" t="str">
        <f aca="false">_xlfn.UNICHAR(((C1192*21)+G1192)*28+44032)</f>
        <v>시</v>
      </c>
      <c r="O1192" s="10" t="str">
        <f aca="false">_xlfn.UNICHAR(((F1192*21)+D1192)*28+44032)</f>
        <v>과</v>
      </c>
      <c r="P1192" s="12" t="n">
        <f aca="false">COUNTIF($A$2:$A$3000, N1192) + COUNTIF($A$2:$A$3000, O1192)</f>
        <v>2</v>
      </c>
      <c r="Q1192" s="16" t="str">
        <f aca="false">IF(OR(B1192=-1,I1192=0, P1192&lt;&gt;2), "albhed_dummy", _xlfn.CONCAT("albhed ", RIGHT("  " &amp; K1192,2),", ", RIGHT("  " &amp; L1192,2), ", " ,"""",H1192,""", ", """",N1192,""", ","""",O1192,""""," ; ", A1192))</f>
        <v>albhed 13, 12, "기", "시", "과" ; 솬</v>
      </c>
    </row>
    <row r="1193" customFormat="false" ht="17.9" hidden="false" customHeight="true" outlineLevel="0" collapsed="false">
      <c r="A1193" s="16" t="s">
        <v>2060</v>
      </c>
      <c r="B1193" s="16" t="n">
        <f aca="false">IF(_xlfn.UNICODE(A1193)&lt;44032,-1,_xlfn.UNICODE(A1193)-44032)</f>
        <v>5552</v>
      </c>
      <c r="C1193" s="16" t="n">
        <f aca="false">IF(B1193=-1,-1,INT((B1193/28)/21))</f>
        <v>9</v>
      </c>
      <c r="D1193" s="16" t="n">
        <f aca="false">IF(B1193=-1, -1, MOD(INT(B1193/28),21))</f>
        <v>9</v>
      </c>
      <c r="E1193" s="16" t="n">
        <f aca="false">IF(B1193=-1, -1, VLOOKUP(MOD(B1193,28), $T$24:$U$52,2))</f>
        <v>8</v>
      </c>
      <c r="F1193" s="16" t="n">
        <f aca="false">IF($B1193=-1, -1, VLOOKUP(C1193,$T$1:$V$20, 2))</f>
        <v>0</v>
      </c>
      <c r="G1193" s="16" t="n">
        <f aca="false">IF($B1193=-1, -1, VLOOKUP(D1193,$Y$1:$Z$22,2))</f>
        <v>20</v>
      </c>
      <c r="H1193" s="16" t="str">
        <f aca="false">_xlfn.UNICHAR(((F1193*21)+G1193)*28+44032)</f>
        <v>기</v>
      </c>
      <c r="I1193" s="16" t="n">
        <f aca="false">IF(B1193=-1, 1, COUNTIF($A$2:$A$3000, H1193))</f>
        <v>1</v>
      </c>
      <c r="J1193" s="10" t="str">
        <f aca="false">_xlfn.CONCAT(A1193, ",",H1193,",",I1193)</f>
        <v>솰,기,1</v>
      </c>
      <c r="K1193" s="16" t="n">
        <f aca="false">IF(B1193=-1,-1,VLOOKUP(C1193,$T$1:$V$20,3))</f>
        <v>13</v>
      </c>
      <c r="L1193" s="16" t="n">
        <f aca="false">IF(B1193=-1,-1,VLOOKUP(D1193,$Y$1:$AA$22,3))</f>
        <v>12</v>
      </c>
      <c r="N1193" s="10" t="str">
        <f aca="false">_xlfn.UNICHAR(((C1193*21)+G1193)*28+44032)</f>
        <v>시</v>
      </c>
      <c r="O1193" s="10" t="str">
        <f aca="false">_xlfn.UNICHAR(((F1193*21)+D1193)*28+44032)</f>
        <v>과</v>
      </c>
      <c r="P1193" s="12" t="n">
        <f aca="false">COUNTIF($A$2:$A$3000, N1193) + COUNTIF($A$2:$A$3000, O1193)</f>
        <v>2</v>
      </c>
      <c r="Q1193" s="16" t="str">
        <f aca="false">IF(OR(B1193=-1,I1193=0, P1193&lt;&gt;2), "albhed_dummy", _xlfn.CONCAT("albhed ", RIGHT("  " &amp; K1193,2),", ", RIGHT("  " &amp; L1193,2), ", " ,"""",H1193,""", ", """",N1193,""", ","""",O1193,""""," ; ", A1193))</f>
        <v>albhed 13, 12, "기", "시", "과" ; 솰</v>
      </c>
    </row>
    <row r="1194" customFormat="false" ht="17.9" hidden="false" customHeight="true" outlineLevel="0" collapsed="false">
      <c r="A1194" s="16" t="s">
        <v>2061</v>
      </c>
      <c r="B1194" s="16" t="n">
        <f aca="false">IF(_xlfn.UNICODE(A1194)&lt;44032,-1,_xlfn.UNICODE(A1194)-44032)</f>
        <v>5565</v>
      </c>
      <c r="C1194" s="16" t="n">
        <f aca="false">IF(B1194=-1,-1,INT((B1194/28)/21))</f>
        <v>9</v>
      </c>
      <c r="D1194" s="16" t="n">
        <f aca="false">IF(B1194=-1, -1, MOD(INT(B1194/28),21))</f>
        <v>9</v>
      </c>
      <c r="E1194" s="16" t="n">
        <f aca="false">IF(B1194=-1, -1, VLOOKUP(MOD(B1194,28), $T$24:$U$52,2))</f>
        <v>21</v>
      </c>
      <c r="F1194" s="16" t="n">
        <f aca="false">IF($B1194=-1, -1, VLOOKUP(C1194,$T$1:$V$20, 2))</f>
        <v>0</v>
      </c>
      <c r="G1194" s="16" t="n">
        <f aca="false">IF($B1194=-1, -1, VLOOKUP(D1194,$Y$1:$Z$22,2))</f>
        <v>20</v>
      </c>
      <c r="H1194" s="16" t="str">
        <f aca="false">_xlfn.UNICHAR(((F1194*21)+G1194)*28+44032)</f>
        <v>기</v>
      </c>
      <c r="I1194" s="16" t="n">
        <f aca="false">IF(B1194=-1, 1, COUNTIF($A$2:$A$3000, H1194))</f>
        <v>1</v>
      </c>
      <c r="J1194" s="10" t="str">
        <f aca="false">_xlfn.CONCAT(A1194, ",",H1194,",",I1194)</f>
        <v>솽,기,1</v>
      </c>
      <c r="K1194" s="16" t="n">
        <f aca="false">IF(B1194=-1,-1,VLOOKUP(C1194,$T$1:$V$20,3))</f>
        <v>13</v>
      </c>
      <c r="L1194" s="16" t="n">
        <f aca="false">IF(B1194=-1,-1,VLOOKUP(D1194,$Y$1:$AA$22,3))</f>
        <v>12</v>
      </c>
      <c r="N1194" s="10" t="str">
        <f aca="false">_xlfn.UNICHAR(((C1194*21)+G1194)*28+44032)</f>
        <v>시</v>
      </c>
      <c r="O1194" s="10" t="str">
        <f aca="false">_xlfn.UNICHAR(((F1194*21)+D1194)*28+44032)</f>
        <v>과</v>
      </c>
      <c r="P1194" s="12" t="n">
        <f aca="false">COUNTIF($A$2:$A$3000, N1194) + COUNTIF($A$2:$A$3000, O1194)</f>
        <v>2</v>
      </c>
      <c r="Q1194" s="16" t="str">
        <f aca="false">IF(OR(B1194=-1,I1194=0, P1194&lt;&gt;2), "albhed_dummy", _xlfn.CONCAT("albhed ", RIGHT("  " &amp; K1194,2),", ", RIGHT("  " &amp; L1194,2), ", " ,"""",H1194,""", ", """",N1194,""", ","""",O1194,""""," ; ", A1194))</f>
        <v>albhed 13, 12, "기", "시", "과" ; 솽</v>
      </c>
    </row>
    <row r="1195" customFormat="false" ht="17.9" hidden="false" customHeight="true" outlineLevel="0" collapsed="false">
      <c r="A1195" s="16" t="s">
        <v>2062</v>
      </c>
      <c r="B1195" s="16" t="n">
        <f aca="false">IF(_xlfn.UNICODE(A1195)&lt;44032,-1,_xlfn.UNICODE(A1195)-44032)</f>
        <v>5572</v>
      </c>
      <c r="C1195" s="16" t="n">
        <f aca="false">IF(B1195=-1,-1,INT((B1195/28)/21))</f>
        <v>9</v>
      </c>
      <c r="D1195" s="16" t="n">
        <f aca="false">IF(B1195=-1, -1, MOD(INT(B1195/28),21))</f>
        <v>10</v>
      </c>
      <c r="E1195" s="16" t="n">
        <f aca="false">IF(B1195=-1, -1, VLOOKUP(MOD(B1195,28), $T$24:$U$52,2))</f>
        <v>0</v>
      </c>
      <c r="F1195" s="16" t="n">
        <f aca="false">IF($B1195=-1, -1, VLOOKUP(C1195,$T$1:$V$20, 2))</f>
        <v>0</v>
      </c>
      <c r="G1195" s="16" t="n">
        <f aca="false">IF($B1195=-1, -1, VLOOKUP(D1195,$Y$1:$Z$22,2))</f>
        <v>20</v>
      </c>
      <c r="H1195" s="16" t="str">
        <f aca="false">_xlfn.UNICHAR(((F1195*21)+G1195)*28+44032)</f>
        <v>기</v>
      </c>
      <c r="I1195" s="16" t="n">
        <f aca="false">IF(B1195=-1, 1, COUNTIF($A$2:$A$3000, H1195))</f>
        <v>1</v>
      </c>
      <c r="J1195" s="10" t="str">
        <f aca="false">_xlfn.CONCAT(A1195, ",",H1195,",",I1195)</f>
        <v>쇄,기,1</v>
      </c>
      <c r="K1195" s="16" t="n">
        <f aca="false">IF(B1195=-1,-1,VLOOKUP(C1195,$T$1:$V$20,3))</f>
        <v>13</v>
      </c>
      <c r="L1195" s="16" t="n">
        <f aca="false">IF(B1195=-1,-1,VLOOKUP(D1195,$Y$1:$AA$22,3))</f>
        <v>12</v>
      </c>
      <c r="N1195" s="10" t="str">
        <f aca="false">_xlfn.UNICHAR(((C1195*21)+G1195)*28+44032)</f>
        <v>시</v>
      </c>
      <c r="O1195" s="10" t="str">
        <f aca="false">_xlfn.UNICHAR(((F1195*21)+D1195)*28+44032)</f>
        <v>괘</v>
      </c>
      <c r="P1195" s="12" t="n">
        <f aca="false">COUNTIF($A$2:$A$3000, N1195) + COUNTIF($A$2:$A$3000, O1195)</f>
        <v>2</v>
      </c>
      <c r="Q1195" s="16" t="str">
        <f aca="false">IF(OR(B1195=-1,I1195=0, P1195&lt;&gt;2), "albhed_dummy", _xlfn.CONCAT("albhed ", RIGHT("  " &amp; K1195,2),", ", RIGHT("  " &amp; L1195,2), ", " ,"""",H1195,""", ", """",N1195,""", ","""",O1195,""""," ; ", A1195))</f>
        <v>albhed 13, 12, "기", "시", "괘" ; 쇄</v>
      </c>
    </row>
    <row r="1196" customFormat="false" ht="17.9" hidden="false" customHeight="true" outlineLevel="0" collapsed="false">
      <c r="A1196" s="16" t="s">
        <v>2063</v>
      </c>
      <c r="B1196" s="16" t="n">
        <f aca="false">IF(_xlfn.UNICODE(A1196)&lt;44032,-1,_xlfn.UNICODE(A1196)-44032)</f>
        <v>5576</v>
      </c>
      <c r="C1196" s="16" t="n">
        <f aca="false">IF(B1196=-1,-1,INT((B1196/28)/21))</f>
        <v>9</v>
      </c>
      <c r="D1196" s="16" t="n">
        <f aca="false">IF(B1196=-1, -1, MOD(INT(B1196/28),21))</f>
        <v>10</v>
      </c>
      <c r="E1196" s="16" t="n">
        <f aca="false">IF(B1196=-1, -1, VLOOKUP(MOD(B1196,28), $T$24:$U$52,2))</f>
        <v>4</v>
      </c>
      <c r="F1196" s="16" t="n">
        <f aca="false">IF($B1196=-1, -1, VLOOKUP(C1196,$T$1:$V$20, 2))</f>
        <v>0</v>
      </c>
      <c r="G1196" s="16" t="n">
        <f aca="false">IF($B1196=-1, -1, VLOOKUP(D1196,$Y$1:$Z$22,2))</f>
        <v>20</v>
      </c>
      <c r="H1196" s="16" t="str">
        <f aca="false">_xlfn.UNICHAR(((F1196*21)+G1196)*28+44032)</f>
        <v>기</v>
      </c>
      <c r="I1196" s="16" t="n">
        <f aca="false">IF(B1196=-1, 1, COUNTIF($A$2:$A$3000, H1196))</f>
        <v>1</v>
      </c>
      <c r="J1196" s="10" t="str">
        <f aca="false">_xlfn.CONCAT(A1196, ",",H1196,",",I1196)</f>
        <v>쇈,기,1</v>
      </c>
      <c r="K1196" s="16" t="n">
        <f aca="false">IF(B1196=-1,-1,VLOOKUP(C1196,$T$1:$V$20,3))</f>
        <v>13</v>
      </c>
      <c r="L1196" s="16" t="n">
        <f aca="false">IF(B1196=-1,-1,VLOOKUP(D1196,$Y$1:$AA$22,3))</f>
        <v>12</v>
      </c>
      <c r="N1196" s="10" t="str">
        <f aca="false">_xlfn.UNICHAR(((C1196*21)+G1196)*28+44032)</f>
        <v>시</v>
      </c>
      <c r="O1196" s="10" t="str">
        <f aca="false">_xlfn.UNICHAR(((F1196*21)+D1196)*28+44032)</f>
        <v>괘</v>
      </c>
      <c r="P1196" s="12" t="n">
        <f aca="false">COUNTIF($A$2:$A$3000, N1196) + COUNTIF($A$2:$A$3000, O1196)</f>
        <v>2</v>
      </c>
      <c r="Q1196" s="16" t="str">
        <f aca="false">IF(OR(B1196=-1,I1196=0, P1196&lt;&gt;2), "albhed_dummy", _xlfn.CONCAT("albhed ", RIGHT("  " &amp; K1196,2),", ", RIGHT("  " &amp; L1196,2), ", " ,"""",H1196,""", ", """",N1196,""", ","""",O1196,""""," ; ", A1196))</f>
        <v>albhed 13, 12, "기", "시", "괘" ; 쇈</v>
      </c>
    </row>
    <row r="1197" customFormat="false" ht="17.9" hidden="false" customHeight="true" outlineLevel="0" collapsed="false">
      <c r="A1197" s="16" t="s">
        <v>2064</v>
      </c>
      <c r="B1197" s="16" t="n">
        <f aca="false">IF(_xlfn.UNICODE(A1197)&lt;44032,-1,_xlfn.UNICODE(A1197)-44032)</f>
        <v>5580</v>
      </c>
      <c r="C1197" s="16" t="n">
        <f aca="false">IF(B1197=-1,-1,INT((B1197/28)/21))</f>
        <v>9</v>
      </c>
      <c r="D1197" s="16" t="n">
        <f aca="false">IF(B1197=-1, -1, MOD(INT(B1197/28),21))</f>
        <v>10</v>
      </c>
      <c r="E1197" s="16" t="n">
        <f aca="false">IF(B1197=-1, -1, VLOOKUP(MOD(B1197,28), $T$24:$U$52,2))</f>
        <v>8</v>
      </c>
      <c r="F1197" s="16" t="n">
        <f aca="false">IF($B1197=-1, -1, VLOOKUP(C1197,$T$1:$V$20, 2))</f>
        <v>0</v>
      </c>
      <c r="G1197" s="16" t="n">
        <f aca="false">IF($B1197=-1, -1, VLOOKUP(D1197,$Y$1:$Z$22,2))</f>
        <v>20</v>
      </c>
      <c r="H1197" s="16" t="str">
        <f aca="false">_xlfn.UNICHAR(((F1197*21)+G1197)*28+44032)</f>
        <v>기</v>
      </c>
      <c r="I1197" s="16" t="n">
        <f aca="false">IF(B1197=-1, 1, COUNTIF($A$2:$A$3000, H1197))</f>
        <v>1</v>
      </c>
      <c r="J1197" s="10" t="str">
        <f aca="false">_xlfn.CONCAT(A1197, ",",H1197,",",I1197)</f>
        <v>쇌,기,1</v>
      </c>
      <c r="K1197" s="16" t="n">
        <f aca="false">IF(B1197=-1,-1,VLOOKUP(C1197,$T$1:$V$20,3))</f>
        <v>13</v>
      </c>
      <c r="L1197" s="16" t="n">
        <f aca="false">IF(B1197=-1,-1,VLOOKUP(D1197,$Y$1:$AA$22,3))</f>
        <v>12</v>
      </c>
      <c r="N1197" s="10" t="str">
        <f aca="false">_xlfn.UNICHAR(((C1197*21)+G1197)*28+44032)</f>
        <v>시</v>
      </c>
      <c r="O1197" s="10" t="str">
        <f aca="false">_xlfn.UNICHAR(((F1197*21)+D1197)*28+44032)</f>
        <v>괘</v>
      </c>
      <c r="P1197" s="12" t="n">
        <f aca="false">COUNTIF($A$2:$A$3000, N1197) + COUNTIF($A$2:$A$3000, O1197)</f>
        <v>2</v>
      </c>
      <c r="Q1197" s="16" t="str">
        <f aca="false">IF(OR(B1197=-1,I1197=0, P1197&lt;&gt;2), "albhed_dummy", _xlfn.CONCAT("albhed ", RIGHT("  " &amp; K1197,2),", ", RIGHT("  " &amp; L1197,2), ", " ,"""",H1197,""", ", """",N1197,""", ","""",O1197,""""," ; ", A1197))</f>
        <v>albhed 13, 12, "기", "시", "괘" ; 쇌</v>
      </c>
    </row>
    <row r="1198" customFormat="false" ht="17.9" hidden="false" customHeight="true" outlineLevel="0" collapsed="false">
      <c r="A1198" s="16" t="s">
        <v>2065</v>
      </c>
      <c r="B1198" s="16" t="n">
        <f aca="false">IF(_xlfn.UNICODE(A1198)&lt;44032,-1,_xlfn.UNICODE(A1198)-44032)</f>
        <v>5588</v>
      </c>
      <c r="C1198" s="16" t="n">
        <f aca="false">IF(B1198=-1,-1,INT((B1198/28)/21))</f>
        <v>9</v>
      </c>
      <c r="D1198" s="16" t="n">
        <f aca="false">IF(B1198=-1, -1, MOD(INT(B1198/28),21))</f>
        <v>10</v>
      </c>
      <c r="E1198" s="16" t="n">
        <f aca="false">IF(B1198=-1, -1, VLOOKUP(MOD(B1198,28), $T$24:$U$52,2))</f>
        <v>16</v>
      </c>
      <c r="F1198" s="16" t="n">
        <f aca="false">IF($B1198=-1, -1, VLOOKUP(C1198,$T$1:$V$20, 2))</f>
        <v>0</v>
      </c>
      <c r="G1198" s="16" t="n">
        <f aca="false">IF($B1198=-1, -1, VLOOKUP(D1198,$Y$1:$Z$22,2))</f>
        <v>20</v>
      </c>
      <c r="H1198" s="16" t="str">
        <f aca="false">_xlfn.UNICHAR(((F1198*21)+G1198)*28+44032)</f>
        <v>기</v>
      </c>
      <c r="I1198" s="16" t="n">
        <f aca="false">IF(B1198=-1, 1, COUNTIF($A$2:$A$3000, H1198))</f>
        <v>1</v>
      </c>
      <c r="J1198" s="10" t="str">
        <f aca="false">_xlfn.CONCAT(A1198, ",",H1198,",",I1198)</f>
        <v>쇔,기,1</v>
      </c>
      <c r="K1198" s="16" t="n">
        <f aca="false">IF(B1198=-1,-1,VLOOKUP(C1198,$T$1:$V$20,3))</f>
        <v>13</v>
      </c>
      <c r="L1198" s="16" t="n">
        <f aca="false">IF(B1198=-1,-1,VLOOKUP(D1198,$Y$1:$AA$22,3))</f>
        <v>12</v>
      </c>
      <c r="N1198" s="10" t="str">
        <f aca="false">_xlfn.UNICHAR(((C1198*21)+G1198)*28+44032)</f>
        <v>시</v>
      </c>
      <c r="O1198" s="10" t="str">
        <f aca="false">_xlfn.UNICHAR(((F1198*21)+D1198)*28+44032)</f>
        <v>괘</v>
      </c>
      <c r="P1198" s="12" t="n">
        <f aca="false">COUNTIF($A$2:$A$3000, N1198) + COUNTIF($A$2:$A$3000, O1198)</f>
        <v>2</v>
      </c>
      <c r="Q1198" s="16" t="str">
        <f aca="false">IF(OR(B1198=-1,I1198=0, P1198&lt;&gt;2), "albhed_dummy", _xlfn.CONCAT("albhed ", RIGHT("  " &amp; K1198,2),", ", RIGHT("  " &amp; L1198,2), ", " ,"""",H1198,""", ", """",N1198,""", ","""",O1198,""""," ; ", A1198))</f>
        <v>albhed 13, 12, "기", "시", "괘" ; 쇔</v>
      </c>
    </row>
    <row r="1199" customFormat="false" ht="17.9" hidden="false" customHeight="true" outlineLevel="0" collapsed="false">
      <c r="A1199" s="16" t="s">
        <v>2066</v>
      </c>
      <c r="B1199" s="16" t="n">
        <f aca="false">IF(_xlfn.UNICODE(A1199)&lt;44032,-1,_xlfn.UNICODE(A1199)-44032)</f>
        <v>5591</v>
      </c>
      <c r="C1199" s="16" t="n">
        <f aca="false">IF(B1199=-1,-1,INT((B1199/28)/21))</f>
        <v>9</v>
      </c>
      <c r="D1199" s="16" t="n">
        <f aca="false">IF(B1199=-1, -1, MOD(INT(B1199/28),21))</f>
        <v>10</v>
      </c>
      <c r="E1199" s="16" t="n">
        <f aca="false">IF(B1199=-1, -1, VLOOKUP(MOD(B1199,28), $T$24:$U$52,2))</f>
        <v>19</v>
      </c>
      <c r="F1199" s="16" t="n">
        <f aca="false">IF($B1199=-1, -1, VLOOKUP(C1199,$T$1:$V$20, 2))</f>
        <v>0</v>
      </c>
      <c r="G1199" s="16" t="n">
        <f aca="false">IF($B1199=-1, -1, VLOOKUP(D1199,$Y$1:$Z$22,2))</f>
        <v>20</v>
      </c>
      <c r="H1199" s="16" t="str">
        <f aca="false">_xlfn.UNICHAR(((F1199*21)+G1199)*28+44032)</f>
        <v>기</v>
      </c>
      <c r="I1199" s="16" t="n">
        <f aca="false">IF(B1199=-1, 1, COUNTIF($A$2:$A$3000, H1199))</f>
        <v>1</v>
      </c>
      <c r="J1199" s="10" t="str">
        <f aca="false">_xlfn.CONCAT(A1199, ",",H1199,",",I1199)</f>
        <v>쇗,기,1</v>
      </c>
      <c r="K1199" s="16" t="n">
        <f aca="false">IF(B1199=-1,-1,VLOOKUP(C1199,$T$1:$V$20,3))</f>
        <v>13</v>
      </c>
      <c r="L1199" s="16" t="n">
        <f aca="false">IF(B1199=-1,-1,VLOOKUP(D1199,$Y$1:$AA$22,3))</f>
        <v>12</v>
      </c>
      <c r="N1199" s="10" t="str">
        <f aca="false">_xlfn.UNICHAR(((C1199*21)+G1199)*28+44032)</f>
        <v>시</v>
      </c>
      <c r="O1199" s="10" t="str">
        <f aca="false">_xlfn.UNICHAR(((F1199*21)+D1199)*28+44032)</f>
        <v>괘</v>
      </c>
      <c r="P1199" s="12" t="n">
        <f aca="false">COUNTIF($A$2:$A$3000, N1199) + COUNTIF($A$2:$A$3000, O1199)</f>
        <v>2</v>
      </c>
      <c r="Q1199" s="16" t="str">
        <f aca="false">IF(OR(B1199=-1,I1199=0, P1199&lt;&gt;2), "albhed_dummy", _xlfn.CONCAT("albhed ", RIGHT("  " &amp; K1199,2),", ", RIGHT("  " &amp; L1199,2), ", " ,"""",H1199,""", ", """",N1199,""", ","""",O1199,""""," ; ", A1199))</f>
        <v>albhed 13, 12, "기", "시", "괘" ; 쇗</v>
      </c>
    </row>
    <row r="1200" customFormat="false" ht="17.9" hidden="false" customHeight="true" outlineLevel="0" collapsed="false">
      <c r="A1200" s="16" t="s">
        <v>2067</v>
      </c>
      <c r="B1200" s="16" t="n">
        <f aca="false">IF(_xlfn.UNICODE(A1200)&lt;44032,-1,_xlfn.UNICODE(A1200)-44032)</f>
        <v>5592</v>
      </c>
      <c r="C1200" s="16" t="n">
        <f aca="false">IF(B1200=-1,-1,INT((B1200/28)/21))</f>
        <v>9</v>
      </c>
      <c r="D1200" s="16" t="n">
        <f aca="false">IF(B1200=-1, -1, MOD(INT(B1200/28),21))</f>
        <v>10</v>
      </c>
      <c r="E1200" s="16" t="n">
        <f aca="false">IF(B1200=-1, -1, VLOOKUP(MOD(B1200,28), $T$24:$U$52,2))</f>
        <v>19</v>
      </c>
      <c r="F1200" s="16" t="n">
        <f aca="false">IF($B1200=-1, -1, VLOOKUP(C1200,$T$1:$V$20, 2))</f>
        <v>0</v>
      </c>
      <c r="G1200" s="16" t="n">
        <f aca="false">IF($B1200=-1, -1, VLOOKUP(D1200,$Y$1:$Z$22,2))</f>
        <v>20</v>
      </c>
      <c r="H1200" s="16" t="str">
        <f aca="false">_xlfn.UNICHAR(((F1200*21)+G1200)*28+44032)</f>
        <v>기</v>
      </c>
      <c r="I1200" s="16" t="n">
        <f aca="false">IF(B1200=-1, 1, COUNTIF($A$2:$A$3000, H1200))</f>
        <v>1</v>
      </c>
      <c r="J1200" s="10" t="str">
        <f aca="false">_xlfn.CONCAT(A1200, ",",H1200,",",I1200)</f>
        <v>쇘,기,1</v>
      </c>
      <c r="K1200" s="16" t="n">
        <f aca="false">IF(B1200=-1,-1,VLOOKUP(C1200,$T$1:$V$20,3))</f>
        <v>13</v>
      </c>
      <c r="L1200" s="16" t="n">
        <f aca="false">IF(B1200=-1,-1,VLOOKUP(D1200,$Y$1:$AA$22,3))</f>
        <v>12</v>
      </c>
      <c r="N1200" s="10" t="str">
        <f aca="false">_xlfn.UNICHAR(((C1200*21)+G1200)*28+44032)</f>
        <v>시</v>
      </c>
      <c r="O1200" s="10" t="str">
        <f aca="false">_xlfn.UNICHAR(((F1200*21)+D1200)*28+44032)</f>
        <v>괘</v>
      </c>
      <c r="P1200" s="12" t="n">
        <f aca="false">COUNTIF($A$2:$A$3000, N1200) + COUNTIF($A$2:$A$3000, O1200)</f>
        <v>2</v>
      </c>
      <c r="Q1200" s="16" t="str">
        <f aca="false">IF(OR(B1200=-1,I1200=0, P1200&lt;&gt;2), "albhed_dummy", _xlfn.CONCAT("albhed ", RIGHT("  " &amp; K1200,2),", ", RIGHT("  " &amp; L1200,2), ", " ,"""",H1200,""", ", """",N1200,""", ","""",O1200,""""," ; ", A1200))</f>
        <v>albhed 13, 12, "기", "시", "괘" ; 쇘</v>
      </c>
    </row>
    <row r="1201" customFormat="false" ht="17.9" hidden="false" customHeight="true" outlineLevel="0" collapsed="false">
      <c r="A1201" s="16" t="s">
        <v>2068</v>
      </c>
      <c r="B1201" s="16" t="n">
        <f aca="false">IF(_xlfn.UNICODE(A1201)&lt;44032,-1,_xlfn.UNICODE(A1201)-44032)</f>
        <v>5600</v>
      </c>
      <c r="C1201" s="16" t="n">
        <f aca="false">IF(B1201=-1,-1,INT((B1201/28)/21))</f>
        <v>9</v>
      </c>
      <c r="D1201" s="16" t="n">
        <f aca="false">IF(B1201=-1, -1, MOD(INT(B1201/28),21))</f>
        <v>11</v>
      </c>
      <c r="E1201" s="16" t="n">
        <f aca="false">IF(B1201=-1, -1, VLOOKUP(MOD(B1201,28), $T$24:$U$52,2))</f>
        <v>0</v>
      </c>
      <c r="F1201" s="16" t="n">
        <f aca="false">IF($B1201=-1, -1, VLOOKUP(C1201,$T$1:$V$20, 2))</f>
        <v>0</v>
      </c>
      <c r="G1201" s="16" t="n">
        <f aca="false">IF($B1201=-1, -1, VLOOKUP(D1201,$Y$1:$Z$22,2))</f>
        <v>20</v>
      </c>
      <c r="H1201" s="16" t="str">
        <f aca="false">_xlfn.UNICHAR(((F1201*21)+G1201)*28+44032)</f>
        <v>기</v>
      </c>
      <c r="I1201" s="16" t="n">
        <f aca="false">IF(B1201=-1, 1, COUNTIF($A$2:$A$3000, H1201))</f>
        <v>1</v>
      </c>
      <c r="J1201" s="10" t="str">
        <f aca="false">_xlfn.CONCAT(A1201, ",",H1201,",",I1201)</f>
        <v>쇠,기,1</v>
      </c>
      <c r="K1201" s="16" t="n">
        <f aca="false">IF(B1201=-1,-1,VLOOKUP(C1201,$T$1:$V$20,3))</f>
        <v>13</v>
      </c>
      <c r="L1201" s="16" t="n">
        <f aca="false">IF(B1201=-1,-1,VLOOKUP(D1201,$Y$1:$AA$22,3))</f>
        <v>22</v>
      </c>
      <c r="N1201" s="10" t="str">
        <f aca="false">_xlfn.UNICHAR(((C1201*21)+G1201)*28+44032)</f>
        <v>시</v>
      </c>
      <c r="O1201" s="10" t="str">
        <f aca="false">_xlfn.UNICHAR(((F1201*21)+D1201)*28+44032)</f>
        <v>괴</v>
      </c>
      <c r="P1201" s="12" t="n">
        <f aca="false">COUNTIF($A$2:$A$3000, N1201) + COUNTIF($A$2:$A$3000, O1201)</f>
        <v>2</v>
      </c>
      <c r="Q1201" s="16" t="str">
        <f aca="false">IF(OR(B1201=-1,I1201=0, P1201&lt;&gt;2), "albhed_dummy", _xlfn.CONCAT("albhed ", RIGHT("  " &amp; K1201,2),", ", RIGHT("  " &amp; L1201,2), ", " ,"""",H1201,""", ", """",N1201,""", ","""",O1201,""""," ; ", A1201))</f>
        <v>albhed 13, 22, "기", "시", "괴" ; 쇠</v>
      </c>
    </row>
    <row r="1202" customFormat="false" ht="17.9" hidden="false" customHeight="true" outlineLevel="0" collapsed="false">
      <c r="A1202" s="16" t="s">
        <v>2069</v>
      </c>
      <c r="B1202" s="16" t="n">
        <f aca="false">IF(_xlfn.UNICODE(A1202)&lt;44032,-1,_xlfn.UNICODE(A1202)-44032)</f>
        <v>5604</v>
      </c>
      <c r="C1202" s="16" t="n">
        <f aca="false">IF(B1202=-1,-1,INT((B1202/28)/21))</f>
        <v>9</v>
      </c>
      <c r="D1202" s="16" t="n">
        <f aca="false">IF(B1202=-1, -1, MOD(INT(B1202/28),21))</f>
        <v>11</v>
      </c>
      <c r="E1202" s="16" t="n">
        <f aca="false">IF(B1202=-1, -1, VLOOKUP(MOD(B1202,28), $T$24:$U$52,2))</f>
        <v>4</v>
      </c>
      <c r="F1202" s="16" t="n">
        <f aca="false">IF($B1202=-1, -1, VLOOKUP(C1202,$T$1:$V$20, 2))</f>
        <v>0</v>
      </c>
      <c r="G1202" s="16" t="n">
        <f aca="false">IF($B1202=-1, -1, VLOOKUP(D1202,$Y$1:$Z$22,2))</f>
        <v>20</v>
      </c>
      <c r="H1202" s="16" t="str">
        <f aca="false">_xlfn.UNICHAR(((F1202*21)+G1202)*28+44032)</f>
        <v>기</v>
      </c>
      <c r="I1202" s="16" t="n">
        <f aca="false">IF(B1202=-1, 1, COUNTIF($A$2:$A$3000, H1202))</f>
        <v>1</v>
      </c>
      <c r="J1202" s="10" t="str">
        <f aca="false">_xlfn.CONCAT(A1202, ",",H1202,",",I1202)</f>
        <v>쇤,기,1</v>
      </c>
      <c r="K1202" s="16" t="n">
        <f aca="false">IF(B1202=-1,-1,VLOOKUP(C1202,$T$1:$V$20,3))</f>
        <v>13</v>
      </c>
      <c r="L1202" s="16" t="n">
        <f aca="false">IF(B1202=-1,-1,VLOOKUP(D1202,$Y$1:$AA$22,3))</f>
        <v>22</v>
      </c>
      <c r="N1202" s="10" t="str">
        <f aca="false">_xlfn.UNICHAR(((C1202*21)+G1202)*28+44032)</f>
        <v>시</v>
      </c>
      <c r="O1202" s="10" t="str">
        <f aca="false">_xlfn.UNICHAR(((F1202*21)+D1202)*28+44032)</f>
        <v>괴</v>
      </c>
      <c r="P1202" s="12" t="n">
        <f aca="false">COUNTIF($A$2:$A$3000, N1202) + COUNTIF($A$2:$A$3000, O1202)</f>
        <v>2</v>
      </c>
      <c r="Q1202" s="16" t="str">
        <f aca="false">IF(OR(B1202=-1,I1202=0, P1202&lt;&gt;2), "albhed_dummy", _xlfn.CONCAT("albhed ", RIGHT("  " &amp; K1202,2),", ", RIGHT("  " &amp; L1202,2), ", " ,"""",H1202,""", ", """",N1202,""", ","""",O1202,""""," ; ", A1202))</f>
        <v>albhed 13, 22, "기", "시", "괴" ; 쇤</v>
      </c>
    </row>
    <row r="1203" customFormat="false" ht="17.9" hidden="false" customHeight="true" outlineLevel="0" collapsed="false">
      <c r="A1203" s="16" t="s">
        <v>2070</v>
      </c>
      <c r="B1203" s="16" t="n">
        <f aca="false">IF(_xlfn.UNICODE(A1203)&lt;44032,-1,_xlfn.UNICODE(A1203)-44032)</f>
        <v>5608</v>
      </c>
      <c r="C1203" s="16" t="n">
        <f aca="false">IF(B1203=-1,-1,INT((B1203/28)/21))</f>
        <v>9</v>
      </c>
      <c r="D1203" s="16" t="n">
        <f aca="false">IF(B1203=-1, -1, MOD(INT(B1203/28),21))</f>
        <v>11</v>
      </c>
      <c r="E1203" s="16" t="n">
        <f aca="false">IF(B1203=-1, -1, VLOOKUP(MOD(B1203,28), $T$24:$U$52,2))</f>
        <v>8</v>
      </c>
      <c r="F1203" s="16" t="n">
        <f aca="false">IF($B1203=-1, -1, VLOOKUP(C1203,$T$1:$V$20, 2))</f>
        <v>0</v>
      </c>
      <c r="G1203" s="16" t="n">
        <f aca="false">IF($B1203=-1, -1, VLOOKUP(D1203,$Y$1:$Z$22,2))</f>
        <v>20</v>
      </c>
      <c r="H1203" s="16" t="str">
        <f aca="false">_xlfn.UNICHAR(((F1203*21)+G1203)*28+44032)</f>
        <v>기</v>
      </c>
      <c r="I1203" s="16" t="n">
        <f aca="false">IF(B1203=-1, 1, COUNTIF($A$2:$A$3000, H1203))</f>
        <v>1</v>
      </c>
      <c r="J1203" s="10" t="str">
        <f aca="false">_xlfn.CONCAT(A1203, ",",H1203,",",I1203)</f>
        <v>쇨,기,1</v>
      </c>
      <c r="K1203" s="16" t="n">
        <f aca="false">IF(B1203=-1,-1,VLOOKUP(C1203,$T$1:$V$20,3))</f>
        <v>13</v>
      </c>
      <c r="L1203" s="16" t="n">
        <f aca="false">IF(B1203=-1,-1,VLOOKUP(D1203,$Y$1:$AA$22,3))</f>
        <v>22</v>
      </c>
      <c r="N1203" s="10" t="str">
        <f aca="false">_xlfn.UNICHAR(((C1203*21)+G1203)*28+44032)</f>
        <v>시</v>
      </c>
      <c r="O1203" s="10" t="str">
        <f aca="false">_xlfn.UNICHAR(((F1203*21)+D1203)*28+44032)</f>
        <v>괴</v>
      </c>
      <c r="P1203" s="12" t="n">
        <f aca="false">COUNTIF($A$2:$A$3000, N1203) + COUNTIF($A$2:$A$3000, O1203)</f>
        <v>2</v>
      </c>
      <c r="Q1203" s="16" t="str">
        <f aca="false">IF(OR(B1203=-1,I1203=0, P1203&lt;&gt;2), "albhed_dummy", _xlfn.CONCAT("albhed ", RIGHT("  " &amp; K1203,2),", ", RIGHT("  " &amp; L1203,2), ", " ,"""",H1203,""", ", """",N1203,""", ","""",O1203,""""," ; ", A1203))</f>
        <v>albhed 13, 22, "기", "시", "괴" ; 쇨</v>
      </c>
    </row>
    <row r="1204" customFormat="false" ht="17.9" hidden="false" customHeight="true" outlineLevel="0" collapsed="false">
      <c r="A1204" s="16" t="s">
        <v>2071</v>
      </c>
      <c r="B1204" s="16" t="n">
        <f aca="false">IF(_xlfn.UNICODE(A1204)&lt;44032,-1,_xlfn.UNICODE(A1204)-44032)</f>
        <v>5616</v>
      </c>
      <c r="C1204" s="16" t="n">
        <f aca="false">IF(B1204=-1,-1,INT((B1204/28)/21))</f>
        <v>9</v>
      </c>
      <c r="D1204" s="16" t="n">
        <f aca="false">IF(B1204=-1, -1, MOD(INT(B1204/28),21))</f>
        <v>11</v>
      </c>
      <c r="E1204" s="16" t="n">
        <f aca="false">IF(B1204=-1, -1, VLOOKUP(MOD(B1204,28), $T$24:$U$52,2))</f>
        <v>16</v>
      </c>
      <c r="F1204" s="16" t="n">
        <f aca="false">IF($B1204=-1, -1, VLOOKUP(C1204,$T$1:$V$20, 2))</f>
        <v>0</v>
      </c>
      <c r="G1204" s="16" t="n">
        <f aca="false">IF($B1204=-1, -1, VLOOKUP(D1204,$Y$1:$Z$22,2))</f>
        <v>20</v>
      </c>
      <c r="H1204" s="16" t="str">
        <f aca="false">_xlfn.UNICHAR(((F1204*21)+G1204)*28+44032)</f>
        <v>기</v>
      </c>
      <c r="I1204" s="16" t="n">
        <f aca="false">IF(B1204=-1, 1, COUNTIF($A$2:$A$3000, H1204))</f>
        <v>1</v>
      </c>
      <c r="J1204" s="10" t="str">
        <f aca="false">_xlfn.CONCAT(A1204, ",",H1204,",",I1204)</f>
        <v>쇰,기,1</v>
      </c>
      <c r="K1204" s="16" t="n">
        <f aca="false">IF(B1204=-1,-1,VLOOKUP(C1204,$T$1:$V$20,3))</f>
        <v>13</v>
      </c>
      <c r="L1204" s="16" t="n">
        <f aca="false">IF(B1204=-1,-1,VLOOKUP(D1204,$Y$1:$AA$22,3))</f>
        <v>22</v>
      </c>
      <c r="N1204" s="10" t="str">
        <f aca="false">_xlfn.UNICHAR(((C1204*21)+G1204)*28+44032)</f>
        <v>시</v>
      </c>
      <c r="O1204" s="10" t="str">
        <f aca="false">_xlfn.UNICHAR(((F1204*21)+D1204)*28+44032)</f>
        <v>괴</v>
      </c>
      <c r="P1204" s="12" t="n">
        <f aca="false">COUNTIF($A$2:$A$3000, N1204) + COUNTIF($A$2:$A$3000, O1204)</f>
        <v>2</v>
      </c>
      <c r="Q1204" s="16" t="str">
        <f aca="false">IF(OR(B1204=-1,I1204=0, P1204&lt;&gt;2), "albhed_dummy", _xlfn.CONCAT("albhed ", RIGHT("  " &amp; K1204,2),", ", RIGHT("  " &amp; L1204,2), ", " ,"""",H1204,""", ", """",N1204,""", ","""",O1204,""""," ; ", A1204))</f>
        <v>albhed 13, 22, "기", "시", "괴" ; 쇰</v>
      </c>
    </row>
    <row r="1205" customFormat="false" ht="17.9" hidden="false" customHeight="true" outlineLevel="0" collapsed="false">
      <c r="A1205" s="16" t="s">
        <v>2072</v>
      </c>
      <c r="B1205" s="16" t="n">
        <f aca="false">IF(_xlfn.UNICODE(A1205)&lt;44032,-1,_xlfn.UNICODE(A1205)-44032)</f>
        <v>5617</v>
      </c>
      <c r="C1205" s="16" t="n">
        <f aca="false">IF(B1205=-1,-1,INT((B1205/28)/21))</f>
        <v>9</v>
      </c>
      <c r="D1205" s="16" t="n">
        <f aca="false">IF(B1205=-1, -1, MOD(INT(B1205/28),21))</f>
        <v>11</v>
      </c>
      <c r="E1205" s="16" t="n">
        <f aca="false">IF(B1205=-1, -1, VLOOKUP(MOD(B1205,28), $T$24:$U$52,2))</f>
        <v>17</v>
      </c>
      <c r="F1205" s="16" t="n">
        <f aca="false">IF($B1205=-1, -1, VLOOKUP(C1205,$T$1:$V$20, 2))</f>
        <v>0</v>
      </c>
      <c r="G1205" s="16" t="n">
        <f aca="false">IF($B1205=-1, -1, VLOOKUP(D1205,$Y$1:$Z$22,2))</f>
        <v>20</v>
      </c>
      <c r="H1205" s="16" t="str">
        <f aca="false">_xlfn.UNICHAR(((F1205*21)+G1205)*28+44032)</f>
        <v>기</v>
      </c>
      <c r="I1205" s="16" t="n">
        <f aca="false">IF(B1205=-1, 1, COUNTIF($A$2:$A$3000, H1205))</f>
        <v>1</v>
      </c>
      <c r="J1205" s="10" t="str">
        <f aca="false">_xlfn.CONCAT(A1205, ",",H1205,",",I1205)</f>
        <v>쇱,기,1</v>
      </c>
      <c r="K1205" s="16" t="n">
        <f aca="false">IF(B1205=-1,-1,VLOOKUP(C1205,$T$1:$V$20,3))</f>
        <v>13</v>
      </c>
      <c r="L1205" s="16" t="n">
        <f aca="false">IF(B1205=-1,-1,VLOOKUP(D1205,$Y$1:$AA$22,3))</f>
        <v>22</v>
      </c>
      <c r="N1205" s="10" t="str">
        <f aca="false">_xlfn.UNICHAR(((C1205*21)+G1205)*28+44032)</f>
        <v>시</v>
      </c>
      <c r="O1205" s="10" t="str">
        <f aca="false">_xlfn.UNICHAR(((F1205*21)+D1205)*28+44032)</f>
        <v>괴</v>
      </c>
      <c r="P1205" s="12" t="n">
        <f aca="false">COUNTIF($A$2:$A$3000, N1205) + COUNTIF($A$2:$A$3000, O1205)</f>
        <v>2</v>
      </c>
      <c r="Q1205" s="16" t="str">
        <f aca="false">IF(OR(B1205=-1,I1205=0, P1205&lt;&gt;2), "albhed_dummy", _xlfn.CONCAT("albhed ", RIGHT("  " &amp; K1205,2),", ", RIGHT("  " &amp; L1205,2), ", " ,"""",H1205,""", ", """",N1205,""", ","""",O1205,""""," ; ", A1205))</f>
        <v>albhed 13, 22, "기", "시", "괴" ; 쇱</v>
      </c>
    </row>
    <row r="1206" customFormat="false" ht="17.9" hidden="false" customHeight="true" outlineLevel="0" collapsed="false">
      <c r="A1206" s="16" t="s">
        <v>2073</v>
      </c>
      <c r="B1206" s="16" t="n">
        <f aca="false">IF(_xlfn.UNICODE(A1206)&lt;44032,-1,_xlfn.UNICODE(A1206)-44032)</f>
        <v>5619</v>
      </c>
      <c r="C1206" s="16" t="n">
        <f aca="false">IF(B1206=-1,-1,INT((B1206/28)/21))</f>
        <v>9</v>
      </c>
      <c r="D1206" s="16" t="n">
        <f aca="false">IF(B1206=-1, -1, MOD(INT(B1206/28),21))</f>
        <v>11</v>
      </c>
      <c r="E1206" s="16" t="n">
        <f aca="false">IF(B1206=-1, -1, VLOOKUP(MOD(B1206,28), $T$24:$U$52,2))</f>
        <v>19</v>
      </c>
      <c r="F1206" s="16" t="n">
        <f aca="false">IF($B1206=-1, -1, VLOOKUP(C1206,$T$1:$V$20, 2))</f>
        <v>0</v>
      </c>
      <c r="G1206" s="16" t="n">
        <f aca="false">IF($B1206=-1, -1, VLOOKUP(D1206,$Y$1:$Z$22,2))</f>
        <v>20</v>
      </c>
      <c r="H1206" s="16" t="str">
        <f aca="false">_xlfn.UNICHAR(((F1206*21)+G1206)*28+44032)</f>
        <v>기</v>
      </c>
      <c r="I1206" s="16" t="n">
        <f aca="false">IF(B1206=-1, 1, COUNTIF($A$2:$A$3000, H1206))</f>
        <v>1</v>
      </c>
      <c r="J1206" s="10" t="str">
        <f aca="false">_xlfn.CONCAT(A1206, ",",H1206,",",I1206)</f>
        <v>쇳,기,1</v>
      </c>
      <c r="K1206" s="16" t="n">
        <f aca="false">IF(B1206=-1,-1,VLOOKUP(C1206,$T$1:$V$20,3))</f>
        <v>13</v>
      </c>
      <c r="L1206" s="16" t="n">
        <f aca="false">IF(B1206=-1,-1,VLOOKUP(D1206,$Y$1:$AA$22,3))</f>
        <v>22</v>
      </c>
      <c r="N1206" s="10" t="str">
        <f aca="false">_xlfn.UNICHAR(((C1206*21)+G1206)*28+44032)</f>
        <v>시</v>
      </c>
      <c r="O1206" s="10" t="str">
        <f aca="false">_xlfn.UNICHAR(((F1206*21)+D1206)*28+44032)</f>
        <v>괴</v>
      </c>
      <c r="P1206" s="12" t="n">
        <f aca="false">COUNTIF($A$2:$A$3000, N1206) + COUNTIF($A$2:$A$3000, O1206)</f>
        <v>2</v>
      </c>
      <c r="Q1206" s="16" t="str">
        <f aca="false">IF(OR(B1206=-1,I1206=0, P1206&lt;&gt;2), "albhed_dummy", _xlfn.CONCAT("albhed ", RIGHT("  " &amp; K1206,2),", ", RIGHT("  " &amp; L1206,2), ", " ,"""",H1206,""", ", """",N1206,""", ","""",O1206,""""," ; ", A1206))</f>
        <v>albhed 13, 22, "기", "시", "괴" ; 쇳</v>
      </c>
    </row>
    <row r="1207" customFormat="false" ht="17.9" hidden="false" customHeight="true" outlineLevel="0" collapsed="false">
      <c r="A1207" s="16" t="s">
        <v>2074</v>
      </c>
      <c r="B1207" s="16" t="n">
        <f aca="false">IF(_xlfn.UNICODE(A1207)&lt;44032,-1,_xlfn.UNICODE(A1207)-44032)</f>
        <v>5628</v>
      </c>
      <c r="C1207" s="16" t="n">
        <f aca="false">IF(B1207=-1,-1,INT((B1207/28)/21))</f>
        <v>9</v>
      </c>
      <c r="D1207" s="16" t="n">
        <f aca="false">IF(B1207=-1, -1, MOD(INT(B1207/28),21))</f>
        <v>12</v>
      </c>
      <c r="E1207" s="16" t="n">
        <f aca="false">IF(B1207=-1, -1, VLOOKUP(MOD(B1207,28), $T$24:$U$52,2))</f>
        <v>0</v>
      </c>
      <c r="F1207" s="16" t="n">
        <f aca="false">IF($B1207=-1, -1, VLOOKUP(C1207,$T$1:$V$20, 2))</f>
        <v>0</v>
      </c>
      <c r="G1207" s="16" t="n">
        <f aca="false">IF($B1207=-1, -1, VLOOKUP(D1207,$Y$1:$Z$22,2))</f>
        <v>6</v>
      </c>
      <c r="H1207" s="16" t="str">
        <f aca="false">_xlfn.UNICHAR(((F1207*21)+G1207)*28+44032)</f>
        <v>겨</v>
      </c>
      <c r="I1207" s="16" t="n">
        <f aca="false">IF(B1207=-1, 1, COUNTIF($A$2:$A$3000, H1207))</f>
        <v>1</v>
      </c>
      <c r="J1207" s="10" t="str">
        <f aca="false">_xlfn.CONCAT(A1207, ",",H1207,",",I1207)</f>
        <v>쇼,겨,1</v>
      </c>
      <c r="K1207" s="16" t="n">
        <f aca="false">IF(B1207=-1,-1,VLOOKUP(C1207,$T$1:$V$20,3))</f>
        <v>13</v>
      </c>
      <c r="L1207" s="16" t="n">
        <f aca="false">IF(B1207=-1,-1,VLOOKUP(D1207,$Y$1:$AA$22,3))</f>
        <v>8</v>
      </c>
      <c r="N1207" s="10" t="str">
        <f aca="false">_xlfn.UNICHAR(((C1207*21)+G1207)*28+44032)</f>
        <v>셔</v>
      </c>
      <c r="O1207" s="10" t="str">
        <f aca="false">_xlfn.UNICHAR(((F1207*21)+D1207)*28+44032)</f>
        <v>교</v>
      </c>
      <c r="P1207" s="12" t="n">
        <f aca="false">COUNTIF($A$2:$A$3000, N1207) + COUNTIF($A$2:$A$3000, O1207)</f>
        <v>2</v>
      </c>
      <c r="Q1207" s="16" t="str">
        <f aca="false">IF(OR(B1207=-1,I1207=0, P1207&lt;&gt;2), "albhed_dummy", _xlfn.CONCAT("albhed ", RIGHT("  " &amp; K1207,2),", ", RIGHT("  " &amp; L1207,2), ", " ,"""",H1207,""", ", """",N1207,""", ","""",O1207,""""," ; ", A1207))</f>
        <v>albhed 13,  8, "겨", "셔", "교" ; 쇼</v>
      </c>
    </row>
    <row r="1208" customFormat="false" ht="17.9" hidden="false" customHeight="true" outlineLevel="0" collapsed="false">
      <c r="A1208" s="16" t="s">
        <v>2075</v>
      </c>
      <c r="B1208" s="16" t="n">
        <f aca="false">IF(_xlfn.UNICODE(A1208)&lt;44032,-1,_xlfn.UNICODE(A1208)-44032)</f>
        <v>5629</v>
      </c>
      <c r="C1208" s="16" t="n">
        <f aca="false">IF(B1208=-1,-1,INT((B1208/28)/21))</f>
        <v>9</v>
      </c>
      <c r="D1208" s="16" t="n">
        <f aca="false">IF(B1208=-1, -1, MOD(INT(B1208/28),21))</f>
        <v>12</v>
      </c>
      <c r="E1208" s="16" t="n">
        <f aca="false">IF(B1208=-1, -1, VLOOKUP(MOD(B1208,28), $T$24:$U$52,2))</f>
        <v>1</v>
      </c>
      <c r="F1208" s="16" t="n">
        <f aca="false">IF($B1208=-1, -1, VLOOKUP(C1208,$T$1:$V$20, 2))</f>
        <v>0</v>
      </c>
      <c r="G1208" s="16" t="n">
        <f aca="false">IF($B1208=-1, -1, VLOOKUP(D1208,$Y$1:$Z$22,2))</f>
        <v>6</v>
      </c>
      <c r="H1208" s="16" t="str">
        <f aca="false">_xlfn.UNICHAR(((F1208*21)+G1208)*28+44032)</f>
        <v>겨</v>
      </c>
      <c r="I1208" s="16" t="n">
        <f aca="false">IF(B1208=-1, 1, COUNTIF($A$2:$A$3000, H1208))</f>
        <v>1</v>
      </c>
      <c r="J1208" s="10" t="str">
        <f aca="false">_xlfn.CONCAT(A1208, ",",H1208,",",I1208)</f>
        <v>쇽,겨,1</v>
      </c>
      <c r="K1208" s="16" t="n">
        <f aca="false">IF(B1208=-1,-1,VLOOKUP(C1208,$T$1:$V$20,3))</f>
        <v>13</v>
      </c>
      <c r="L1208" s="16" t="n">
        <f aca="false">IF(B1208=-1,-1,VLOOKUP(D1208,$Y$1:$AA$22,3))</f>
        <v>8</v>
      </c>
      <c r="N1208" s="10" t="str">
        <f aca="false">_xlfn.UNICHAR(((C1208*21)+G1208)*28+44032)</f>
        <v>셔</v>
      </c>
      <c r="O1208" s="10" t="str">
        <f aca="false">_xlfn.UNICHAR(((F1208*21)+D1208)*28+44032)</f>
        <v>교</v>
      </c>
      <c r="P1208" s="12" t="n">
        <f aca="false">COUNTIF($A$2:$A$3000, N1208) + COUNTIF($A$2:$A$3000, O1208)</f>
        <v>2</v>
      </c>
      <c r="Q1208" s="16" t="str">
        <f aca="false">IF(OR(B1208=-1,I1208=0, P1208&lt;&gt;2), "albhed_dummy", _xlfn.CONCAT("albhed ", RIGHT("  " &amp; K1208,2),", ", RIGHT("  " &amp; L1208,2), ", " ,"""",H1208,""", ", """",N1208,""", ","""",O1208,""""," ; ", A1208))</f>
        <v>albhed 13,  8, "겨", "셔", "교" ; 쇽</v>
      </c>
    </row>
    <row r="1209" customFormat="false" ht="17.9" hidden="false" customHeight="true" outlineLevel="0" collapsed="false">
      <c r="A1209" s="16" t="s">
        <v>2076</v>
      </c>
      <c r="B1209" s="16" t="n">
        <f aca="false">IF(_xlfn.UNICODE(A1209)&lt;44032,-1,_xlfn.UNICODE(A1209)-44032)</f>
        <v>5632</v>
      </c>
      <c r="C1209" s="16" t="n">
        <f aca="false">IF(B1209=-1,-1,INT((B1209/28)/21))</f>
        <v>9</v>
      </c>
      <c r="D1209" s="16" t="n">
        <f aca="false">IF(B1209=-1, -1, MOD(INT(B1209/28),21))</f>
        <v>12</v>
      </c>
      <c r="E1209" s="16" t="n">
        <f aca="false">IF(B1209=-1, -1, VLOOKUP(MOD(B1209,28), $T$24:$U$52,2))</f>
        <v>4</v>
      </c>
      <c r="F1209" s="16" t="n">
        <f aca="false">IF($B1209=-1, -1, VLOOKUP(C1209,$T$1:$V$20, 2))</f>
        <v>0</v>
      </c>
      <c r="G1209" s="16" t="n">
        <f aca="false">IF($B1209=-1, -1, VLOOKUP(D1209,$Y$1:$Z$22,2))</f>
        <v>6</v>
      </c>
      <c r="H1209" s="16" t="str">
        <f aca="false">_xlfn.UNICHAR(((F1209*21)+G1209)*28+44032)</f>
        <v>겨</v>
      </c>
      <c r="I1209" s="16" t="n">
        <f aca="false">IF(B1209=-1, 1, COUNTIF($A$2:$A$3000, H1209))</f>
        <v>1</v>
      </c>
      <c r="J1209" s="10" t="str">
        <f aca="false">_xlfn.CONCAT(A1209, ",",H1209,",",I1209)</f>
        <v>숀,겨,1</v>
      </c>
      <c r="K1209" s="16" t="n">
        <f aca="false">IF(B1209=-1,-1,VLOOKUP(C1209,$T$1:$V$20,3))</f>
        <v>13</v>
      </c>
      <c r="L1209" s="16" t="n">
        <f aca="false">IF(B1209=-1,-1,VLOOKUP(D1209,$Y$1:$AA$22,3))</f>
        <v>8</v>
      </c>
      <c r="N1209" s="10" t="str">
        <f aca="false">_xlfn.UNICHAR(((C1209*21)+G1209)*28+44032)</f>
        <v>셔</v>
      </c>
      <c r="O1209" s="10" t="str">
        <f aca="false">_xlfn.UNICHAR(((F1209*21)+D1209)*28+44032)</f>
        <v>교</v>
      </c>
      <c r="P1209" s="12" t="n">
        <f aca="false">COUNTIF($A$2:$A$3000, N1209) + COUNTIF($A$2:$A$3000, O1209)</f>
        <v>2</v>
      </c>
      <c r="Q1209" s="16" t="str">
        <f aca="false">IF(OR(B1209=-1,I1209=0, P1209&lt;&gt;2), "albhed_dummy", _xlfn.CONCAT("albhed ", RIGHT("  " &amp; K1209,2),", ", RIGHT("  " &amp; L1209,2), ", " ,"""",H1209,""", ", """",N1209,""", ","""",O1209,""""," ; ", A1209))</f>
        <v>albhed 13,  8, "겨", "셔", "교" ; 숀</v>
      </c>
    </row>
    <row r="1210" customFormat="false" ht="17.9" hidden="false" customHeight="true" outlineLevel="0" collapsed="false">
      <c r="A1210" s="16" t="s">
        <v>2077</v>
      </c>
      <c r="B1210" s="16" t="n">
        <f aca="false">IF(_xlfn.UNICODE(A1210)&lt;44032,-1,_xlfn.UNICODE(A1210)-44032)</f>
        <v>5636</v>
      </c>
      <c r="C1210" s="16" t="n">
        <f aca="false">IF(B1210=-1,-1,INT((B1210/28)/21))</f>
        <v>9</v>
      </c>
      <c r="D1210" s="16" t="n">
        <f aca="false">IF(B1210=-1, -1, MOD(INT(B1210/28),21))</f>
        <v>12</v>
      </c>
      <c r="E1210" s="16" t="n">
        <f aca="false">IF(B1210=-1, -1, VLOOKUP(MOD(B1210,28), $T$24:$U$52,2))</f>
        <v>8</v>
      </c>
      <c r="F1210" s="16" t="n">
        <f aca="false">IF($B1210=-1, -1, VLOOKUP(C1210,$T$1:$V$20, 2))</f>
        <v>0</v>
      </c>
      <c r="G1210" s="16" t="n">
        <f aca="false">IF($B1210=-1, -1, VLOOKUP(D1210,$Y$1:$Z$22,2))</f>
        <v>6</v>
      </c>
      <c r="H1210" s="16" t="str">
        <f aca="false">_xlfn.UNICHAR(((F1210*21)+G1210)*28+44032)</f>
        <v>겨</v>
      </c>
      <c r="I1210" s="16" t="n">
        <f aca="false">IF(B1210=-1, 1, COUNTIF($A$2:$A$3000, H1210))</f>
        <v>1</v>
      </c>
      <c r="J1210" s="10" t="str">
        <f aca="false">_xlfn.CONCAT(A1210, ",",H1210,",",I1210)</f>
        <v>숄,겨,1</v>
      </c>
      <c r="K1210" s="16" t="n">
        <f aca="false">IF(B1210=-1,-1,VLOOKUP(C1210,$T$1:$V$20,3))</f>
        <v>13</v>
      </c>
      <c r="L1210" s="16" t="n">
        <f aca="false">IF(B1210=-1,-1,VLOOKUP(D1210,$Y$1:$AA$22,3))</f>
        <v>8</v>
      </c>
      <c r="N1210" s="10" t="str">
        <f aca="false">_xlfn.UNICHAR(((C1210*21)+G1210)*28+44032)</f>
        <v>셔</v>
      </c>
      <c r="O1210" s="10" t="str">
        <f aca="false">_xlfn.UNICHAR(((F1210*21)+D1210)*28+44032)</f>
        <v>교</v>
      </c>
      <c r="P1210" s="12" t="n">
        <f aca="false">COUNTIF($A$2:$A$3000, N1210) + COUNTIF($A$2:$A$3000, O1210)</f>
        <v>2</v>
      </c>
      <c r="Q1210" s="16" t="str">
        <f aca="false">IF(OR(B1210=-1,I1210=0, P1210&lt;&gt;2), "albhed_dummy", _xlfn.CONCAT("albhed ", RIGHT("  " &amp; K1210,2),", ", RIGHT("  " &amp; L1210,2), ", " ,"""",H1210,""", ", """",N1210,""", ","""",O1210,""""," ; ", A1210))</f>
        <v>albhed 13,  8, "겨", "셔", "교" ; 숄</v>
      </c>
    </row>
    <row r="1211" customFormat="false" ht="17.9" hidden="false" customHeight="true" outlineLevel="0" collapsed="false">
      <c r="A1211" s="16" t="s">
        <v>2078</v>
      </c>
      <c r="B1211" s="16" t="n">
        <f aca="false">IF(_xlfn.UNICODE(A1211)&lt;44032,-1,_xlfn.UNICODE(A1211)-44032)</f>
        <v>5644</v>
      </c>
      <c r="C1211" s="16" t="n">
        <f aca="false">IF(B1211=-1,-1,INT((B1211/28)/21))</f>
        <v>9</v>
      </c>
      <c r="D1211" s="16" t="n">
        <f aca="false">IF(B1211=-1, -1, MOD(INT(B1211/28),21))</f>
        <v>12</v>
      </c>
      <c r="E1211" s="16" t="n">
        <f aca="false">IF(B1211=-1, -1, VLOOKUP(MOD(B1211,28), $T$24:$U$52,2))</f>
        <v>16</v>
      </c>
      <c r="F1211" s="16" t="n">
        <f aca="false">IF($B1211=-1, -1, VLOOKUP(C1211,$T$1:$V$20, 2))</f>
        <v>0</v>
      </c>
      <c r="G1211" s="16" t="n">
        <f aca="false">IF($B1211=-1, -1, VLOOKUP(D1211,$Y$1:$Z$22,2))</f>
        <v>6</v>
      </c>
      <c r="H1211" s="16" t="str">
        <f aca="false">_xlfn.UNICHAR(((F1211*21)+G1211)*28+44032)</f>
        <v>겨</v>
      </c>
      <c r="I1211" s="16" t="n">
        <f aca="false">IF(B1211=-1, 1, COUNTIF($A$2:$A$3000, H1211))</f>
        <v>1</v>
      </c>
      <c r="J1211" s="10" t="str">
        <f aca="false">_xlfn.CONCAT(A1211, ",",H1211,",",I1211)</f>
        <v>숌,겨,1</v>
      </c>
      <c r="K1211" s="16" t="n">
        <f aca="false">IF(B1211=-1,-1,VLOOKUP(C1211,$T$1:$V$20,3))</f>
        <v>13</v>
      </c>
      <c r="L1211" s="16" t="n">
        <f aca="false">IF(B1211=-1,-1,VLOOKUP(D1211,$Y$1:$AA$22,3))</f>
        <v>8</v>
      </c>
      <c r="N1211" s="10" t="str">
        <f aca="false">_xlfn.UNICHAR(((C1211*21)+G1211)*28+44032)</f>
        <v>셔</v>
      </c>
      <c r="O1211" s="10" t="str">
        <f aca="false">_xlfn.UNICHAR(((F1211*21)+D1211)*28+44032)</f>
        <v>교</v>
      </c>
      <c r="P1211" s="12" t="n">
        <f aca="false">COUNTIF($A$2:$A$3000, N1211) + COUNTIF($A$2:$A$3000, O1211)</f>
        <v>2</v>
      </c>
      <c r="Q1211" s="16" t="str">
        <f aca="false">IF(OR(B1211=-1,I1211=0, P1211&lt;&gt;2), "albhed_dummy", _xlfn.CONCAT("albhed ", RIGHT("  " &amp; K1211,2),", ", RIGHT("  " &amp; L1211,2), ", " ,"""",H1211,""", ", """",N1211,""", ","""",O1211,""""," ; ", A1211))</f>
        <v>albhed 13,  8, "겨", "셔", "교" ; 숌</v>
      </c>
    </row>
    <row r="1212" customFormat="false" ht="17.9" hidden="false" customHeight="true" outlineLevel="0" collapsed="false">
      <c r="A1212" s="16" t="s">
        <v>2079</v>
      </c>
      <c r="B1212" s="16" t="n">
        <f aca="false">IF(_xlfn.UNICODE(A1212)&lt;44032,-1,_xlfn.UNICODE(A1212)-44032)</f>
        <v>5645</v>
      </c>
      <c r="C1212" s="16" t="n">
        <f aca="false">IF(B1212=-1,-1,INT((B1212/28)/21))</f>
        <v>9</v>
      </c>
      <c r="D1212" s="16" t="n">
        <f aca="false">IF(B1212=-1, -1, MOD(INT(B1212/28),21))</f>
        <v>12</v>
      </c>
      <c r="E1212" s="16" t="n">
        <f aca="false">IF(B1212=-1, -1, VLOOKUP(MOD(B1212,28), $T$24:$U$52,2))</f>
        <v>17</v>
      </c>
      <c r="F1212" s="16" t="n">
        <f aca="false">IF($B1212=-1, -1, VLOOKUP(C1212,$T$1:$V$20, 2))</f>
        <v>0</v>
      </c>
      <c r="G1212" s="16" t="n">
        <f aca="false">IF($B1212=-1, -1, VLOOKUP(D1212,$Y$1:$Z$22,2))</f>
        <v>6</v>
      </c>
      <c r="H1212" s="16" t="str">
        <f aca="false">_xlfn.UNICHAR(((F1212*21)+G1212)*28+44032)</f>
        <v>겨</v>
      </c>
      <c r="I1212" s="16" t="n">
        <f aca="false">IF(B1212=-1, 1, COUNTIF($A$2:$A$3000, H1212))</f>
        <v>1</v>
      </c>
      <c r="J1212" s="10" t="str">
        <f aca="false">_xlfn.CONCAT(A1212, ",",H1212,",",I1212)</f>
        <v>숍,겨,1</v>
      </c>
      <c r="K1212" s="16" t="n">
        <f aca="false">IF(B1212=-1,-1,VLOOKUP(C1212,$T$1:$V$20,3))</f>
        <v>13</v>
      </c>
      <c r="L1212" s="16" t="n">
        <f aca="false">IF(B1212=-1,-1,VLOOKUP(D1212,$Y$1:$AA$22,3))</f>
        <v>8</v>
      </c>
      <c r="N1212" s="10" t="str">
        <f aca="false">_xlfn.UNICHAR(((C1212*21)+G1212)*28+44032)</f>
        <v>셔</v>
      </c>
      <c r="O1212" s="10" t="str">
        <f aca="false">_xlfn.UNICHAR(((F1212*21)+D1212)*28+44032)</f>
        <v>교</v>
      </c>
      <c r="P1212" s="12" t="n">
        <f aca="false">COUNTIF($A$2:$A$3000, N1212) + COUNTIF($A$2:$A$3000, O1212)</f>
        <v>2</v>
      </c>
      <c r="Q1212" s="16" t="str">
        <f aca="false">IF(OR(B1212=-1,I1212=0, P1212&lt;&gt;2), "albhed_dummy", _xlfn.CONCAT("albhed ", RIGHT("  " &amp; K1212,2),", ", RIGHT("  " &amp; L1212,2), ", " ,"""",H1212,""", ", """",N1212,""", ","""",O1212,""""," ; ", A1212))</f>
        <v>albhed 13,  8, "겨", "셔", "교" ; 숍</v>
      </c>
    </row>
    <row r="1213" customFormat="false" ht="17.9" hidden="false" customHeight="true" outlineLevel="0" collapsed="false">
      <c r="A1213" s="16" t="s">
        <v>2080</v>
      </c>
      <c r="B1213" s="16" t="n">
        <f aca="false">IF(_xlfn.UNICODE(A1213)&lt;44032,-1,_xlfn.UNICODE(A1213)-44032)</f>
        <v>5647</v>
      </c>
      <c r="C1213" s="16" t="n">
        <f aca="false">IF(B1213=-1,-1,INT((B1213/28)/21))</f>
        <v>9</v>
      </c>
      <c r="D1213" s="16" t="n">
        <f aca="false">IF(B1213=-1, -1, MOD(INT(B1213/28),21))</f>
        <v>12</v>
      </c>
      <c r="E1213" s="16" t="n">
        <f aca="false">IF(B1213=-1, -1, VLOOKUP(MOD(B1213,28), $T$24:$U$52,2))</f>
        <v>19</v>
      </c>
      <c r="F1213" s="16" t="n">
        <f aca="false">IF($B1213=-1, -1, VLOOKUP(C1213,$T$1:$V$20, 2))</f>
        <v>0</v>
      </c>
      <c r="G1213" s="16" t="n">
        <f aca="false">IF($B1213=-1, -1, VLOOKUP(D1213,$Y$1:$Z$22,2))</f>
        <v>6</v>
      </c>
      <c r="H1213" s="16" t="str">
        <f aca="false">_xlfn.UNICHAR(((F1213*21)+G1213)*28+44032)</f>
        <v>겨</v>
      </c>
      <c r="I1213" s="16" t="n">
        <f aca="false">IF(B1213=-1, 1, COUNTIF($A$2:$A$3000, H1213))</f>
        <v>1</v>
      </c>
      <c r="J1213" s="10" t="str">
        <f aca="false">_xlfn.CONCAT(A1213, ",",H1213,",",I1213)</f>
        <v>숏,겨,1</v>
      </c>
      <c r="K1213" s="16" t="n">
        <f aca="false">IF(B1213=-1,-1,VLOOKUP(C1213,$T$1:$V$20,3))</f>
        <v>13</v>
      </c>
      <c r="L1213" s="16" t="n">
        <f aca="false">IF(B1213=-1,-1,VLOOKUP(D1213,$Y$1:$AA$22,3))</f>
        <v>8</v>
      </c>
      <c r="N1213" s="10" t="str">
        <f aca="false">_xlfn.UNICHAR(((C1213*21)+G1213)*28+44032)</f>
        <v>셔</v>
      </c>
      <c r="O1213" s="10" t="str">
        <f aca="false">_xlfn.UNICHAR(((F1213*21)+D1213)*28+44032)</f>
        <v>교</v>
      </c>
      <c r="P1213" s="12" t="n">
        <f aca="false">COUNTIF($A$2:$A$3000, N1213) + COUNTIF($A$2:$A$3000, O1213)</f>
        <v>2</v>
      </c>
      <c r="Q1213" s="16" t="str">
        <f aca="false">IF(OR(B1213=-1,I1213=0, P1213&lt;&gt;2), "albhed_dummy", _xlfn.CONCAT("albhed ", RIGHT("  " &amp; K1213,2),", ", RIGHT("  " &amp; L1213,2), ", " ,"""",H1213,""", ", """",N1213,""", ","""",O1213,""""," ; ", A1213))</f>
        <v>albhed 13,  8, "겨", "셔", "교" ; 숏</v>
      </c>
    </row>
    <row r="1214" customFormat="false" ht="17.9" hidden="false" customHeight="true" outlineLevel="0" collapsed="false">
      <c r="A1214" s="16" t="s">
        <v>2081</v>
      </c>
      <c r="B1214" s="16" t="n">
        <f aca="false">IF(_xlfn.UNICODE(A1214)&lt;44032,-1,_xlfn.UNICODE(A1214)-44032)</f>
        <v>5649</v>
      </c>
      <c r="C1214" s="16" t="n">
        <f aca="false">IF(B1214=-1,-1,INT((B1214/28)/21))</f>
        <v>9</v>
      </c>
      <c r="D1214" s="16" t="n">
        <f aca="false">IF(B1214=-1, -1, MOD(INT(B1214/28),21))</f>
        <v>12</v>
      </c>
      <c r="E1214" s="16" t="n">
        <f aca="false">IF(B1214=-1, -1, VLOOKUP(MOD(B1214,28), $T$24:$U$52,2))</f>
        <v>21</v>
      </c>
      <c r="F1214" s="16" t="n">
        <f aca="false">IF($B1214=-1, -1, VLOOKUP(C1214,$T$1:$V$20, 2))</f>
        <v>0</v>
      </c>
      <c r="G1214" s="16" t="n">
        <f aca="false">IF($B1214=-1, -1, VLOOKUP(D1214,$Y$1:$Z$22,2))</f>
        <v>6</v>
      </c>
      <c r="H1214" s="16" t="str">
        <f aca="false">_xlfn.UNICHAR(((F1214*21)+G1214)*28+44032)</f>
        <v>겨</v>
      </c>
      <c r="I1214" s="16" t="n">
        <f aca="false">IF(B1214=-1, 1, COUNTIF($A$2:$A$3000, H1214))</f>
        <v>1</v>
      </c>
      <c r="J1214" s="10" t="str">
        <f aca="false">_xlfn.CONCAT(A1214, ",",H1214,",",I1214)</f>
        <v>숑,겨,1</v>
      </c>
      <c r="K1214" s="16" t="n">
        <f aca="false">IF(B1214=-1,-1,VLOOKUP(C1214,$T$1:$V$20,3))</f>
        <v>13</v>
      </c>
      <c r="L1214" s="16" t="n">
        <f aca="false">IF(B1214=-1,-1,VLOOKUP(D1214,$Y$1:$AA$22,3))</f>
        <v>8</v>
      </c>
      <c r="N1214" s="10" t="str">
        <f aca="false">_xlfn.UNICHAR(((C1214*21)+G1214)*28+44032)</f>
        <v>셔</v>
      </c>
      <c r="O1214" s="10" t="str">
        <f aca="false">_xlfn.UNICHAR(((F1214*21)+D1214)*28+44032)</f>
        <v>교</v>
      </c>
      <c r="P1214" s="12" t="n">
        <f aca="false">COUNTIF($A$2:$A$3000, N1214) + COUNTIF($A$2:$A$3000, O1214)</f>
        <v>2</v>
      </c>
      <c r="Q1214" s="16" t="str">
        <f aca="false">IF(OR(B1214=-1,I1214=0, P1214&lt;&gt;2), "albhed_dummy", _xlfn.CONCAT("albhed ", RIGHT("  " &amp; K1214,2),", ", RIGHT("  " &amp; L1214,2), ", " ,"""",H1214,""", ", """",N1214,""", ","""",O1214,""""," ; ", A1214))</f>
        <v>albhed 13,  8, "겨", "셔", "교" ; 숑</v>
      </c>
    </row>
    <row r="1215" customFormat="false" ht="17.9" hidden="false" customHeight="true" outlineLevel="0" collapsed="false">
      <c r="A1215" s="16" t="s">
        <v>2082</v>
      </c>
      <c r="B1215" s="16" t="n">
        <f aca="false">IF(_xlfn.UNICODE(A1215)&lt;44032,-1,_xlfn.UNICODE(A1215)-44032)</f>
        <v>5656</v>
      </c>
      <c r="C1215" s="16" t="n">
        <f aca="false">IF(B1215=-1,-1,INT((B1215/28)/21))</f>
        <v>9</v>
      </c>
      <c r="D1215" s="16" t="n">
        <f aca="false">IF(B1215=-1, -1, MOD(INT(B1215/28),21))</f>
        <v>13</v>
      </c>
      <c r="E1215" s="16" t="n">
        <f aca="false">IF(B1215=-1, -1, VLOOKUP(MOD(B1215,28), $T$24:$U$52,2))</f>
        <v>0</v>
      </c>
      <c r="F1215" s="16" t="n">
        <f aca="false">IF($B1215=-1, -1, VLOOKUP(C1215,$T$1:$V$20, 2))</f>
        <v>0</v>
      </c>
      <c r="G1215" s="16" t="n">
        <f aca="false">IF($B1215=-1, -1, VLOOKUP(D1215,$Y$1:$Z$22,2))</f>
        <v>0</v>
      </c>
      <c r="H1215" s="16" t="str">
        <f aca="false">_xlfn.UNICHAR(((F1215*21)+G1215)*28+44032)</f>
        <v>가</v>
      </c>
      <c r="I1215" s="16" t="n">
        <f aca="false">IF(B1215=-1, 1, COUNTIF($A$2:$A$3000, H1215))</f>
        <v>1</v>
      </c>
      <c r="J1215" s="10" t="str">
        <f aca="false">_xlfn.CONCAT(A1215, ",",H1215,",",I1215)</f>
        <v>수,가,1</v>
      </c>
      <c r="K1215" s="16" t="n">
        <f aca="false">IF(B1215=-1,-1,VLOOKUP(C1215,$T$1:$V$20,3))</f>
        <v>13</v>
      </c>
      <c r="L1215" s="16" t="n">
        <f aca="false">IF(B1215=-1,-1,VLOOKUP(D1215,$Y$1:$AA$22,3))</f>
        <v>6</v>
      </c>
      <c r="N1215" s="10" t="str">
        <f aca="false">_xlfn.UNICHAR(((C1215*21)+G1215)*28+44032)</f>
        <v>사</v>
      </c>
      <c r="O1215" s="10" t="str">
        <f aca="false">_xlfn.UNICHAR(((F1215*21)+D1215)*28+44032)</f>
        <v>구</v>
      </c>
      <c r="P1215" s="12" t="n">
        <f aca="false">COUNTIF($A$2:$A$3000, N1215) + COUNTIF($A$2:$A$3000, O1215)</f>
        <v>2</v>
      </c>
      <c r="Q1215" s="16" t="str">
        <f aca="false">IF(OR(B1215=-1,I1215=0, P1215&lt;&gt;2), "albhed_dummy", _xlfn.CONCAT("albhed ", RIGHT("  " &amp; K1215,2),", ", RIGHT("  " &amp; L1215,2), ", " ,"""",H1215,""", ", """",N1215,""", ","""",O1215,""""," ; ", A1215))</f>
        <v>albhed 13,  6, "가", "사", "구" ; 수</v>
      </c>
    </row>
    <row r="1216" customFormat="false" ht="17.9" hidden="false" customHeight="true" outlineLevel="0" collapsed="false">
      <c r="A1216" s="16" t="s">
        <v>2083</v>
      </c>
      <c r="B1216" s="16" t="n">
        <f aca="false">IF(_xlfn.UNICODE(A1216)&lt;44032,-1,_xlfn.UNICODE(A1216)-44032)</f>
        <v>5657</v>
      </c>
      <c r="C1216" s="16" t="n">
        <f aca="false">IF(B1216=-1,-1,INT((B1216/28)/21))</f>
        <v>9</v>
      </c>
      <c r="D1216" s="16" t="n">
        <f aca="false">IF(B1216=-1, -1, MOD(INT(B1216/28),21))</f>
        <v>13</v>
      </c>
      <c r="E1216" s="16" t="n">
        <f aca="false">IF(B1216=-1, -1, VLOOKUP(MOD(B1216,28), $T$24:$U$52,2))</f>
        <v>1</v>
      </c>
      <c r="F1216" s="16" t="n">
        <f aca="false">IF($B1216=-1, -1, VLOOKUP(C1216,$T$1:$V$20, 2))</f>
        <v>0</v>
      </c>
      <c r="G1216" s="16" t="n">
        <f aca="false">IF($B1216=-1, -1, VLOOKUP(D1216,$Y$1:$Z$22,2))</f>
        <v>0</v>
      </c>
      <c r="H1216" s="16" t="str">
        <f aca="false">_xlfn.UNICHAR(((F1216*21)+G1216)*28+44032)</f>
        <v>가</v>
      </c>
      <c r="I1216" s="16" t="n">
        <f aca="false">IF(B1216=-1, 1, COUNTIF($A$2:$A$3000, H1216))</f>
        <v>1</v>
      </c>
      <c r="J1216" s="10" t="str">
        <f aca="false">_xlfn.CONCAT(A1216, ",",H1216,",",I1216)</f>
        <v>숙,가,1</v>
      </c>
      <c r="K1216" s="16" t="n">
        <f aca="false">IF(B1216=-1,-1,VLOOKUP(C1216,$T$1:$V$20,3))</f>
        <v>13</v>
      </c>
      <c r="L1216" s="16" t="n">
        <f aca="false">IF(B1216=-1,-1,VLOOKUP(D1216,$Y$1:$AA$22,3))</f>
        <v>6</v>
      </c>
      <c r="N1216" s="10" t="str">
        <f aca="false">_xlfn.UNICHAR(((C1216*21)+G1216)*28+44032)</f>
        <v>사</v>
      </c>
      <c r="O1216" s="10" t="str">
        <f aca="false">_xlfn.UNICHAR(((F1216*21)+D1216)*28+44032)</f>
        <v>구</v>
      </c>
      <c r="P1216" s="12" t="n">
        <f aca="false">COUNTIF($A$2:$A$3000, N1216) + COUNTIF($A$2:$A$3000, O1216)</f>
        <v>2</v>
      </c>
      <c r="Q1216" s="16" t="str">
        <f aca="false">IF(OR(B1216=-1,I1216=0, P1216&lt;&gt;2), "albhed_dummy", _xlfn.CONCAT("albhed ", RIGHT("  " &amp; K1216,2),", ", RIGHT("  " &amp; L1216,2), ", " ,"""",H1216,""", ", """",N1216,""", ","""",O1216,""""," ; ", A1216))</f>
        <v>albhed 13,  6, "가", "사", "구" ; 숙</v>
      </c>
    </row>
    <row r="1217" customFormat="false" ht="17.9" hidden="false" customHeight="true" outlineLevel="0" collapsed="false">
      <c r="A1217" s="16" t="s">
        <v>2084</v>
      </c>
      <c r="B1217" s="16" t="n">
        <f aca="false">IF(_xlfn.UNICODE(A1217)&lt;44032,-1,_xlfn.UNICODE(A1217)-44032)</f>
        <v>5660</v>
      </c>
      <c r="C1217" s="16" t="n">
        <f aca="false">IF(B1217=-1,-1,INT((B1217/28)/21))</f>
        <v>9</v>
      </c>
      <c r="D1217" s="16" t="n">
        <f aca="false">IF(B1217=-1, -1, MOD(INT(B1217/28),21))</f>
        <v>13</v>
      </c>
      <c r="E1217" s="16" t="n">
        <f aca="false">IF(B1217=-1, -1, VLOOKUP(MOD(B1217,28), $T$24:$U$52,2))</f>
        <v>4</v>
      </c>
      <c r="F1217" s="16" t="n">
        <f aca="false">IF($B1217=-1, -1, VLOOKUP(C1217,$T$1:$V$20, 2))</f>
        <v>0</v>
      </c>
      <c r="G1217" s="16" t="n">
        <f aca="false">IF($B1217=-1, -1, VLOOKUP(D1217,$Y$1:$Z$22,2))</f>
        <v>0</v>
      </c>
      <c r="H1217" s="16" t="str">
        <f aca="false">_xlfn.UNICHAR(((F1217*21)+G1217)*28+44032)</f>
        <v>가</v>
      </c>
      <c r="I1217" s="16" t="n">
        <f aca="false">IF(B1217=-1, 1, COUNTIF($A$2:$A$3000, H1217))</f>
        <v>1</v>
      </c>
      <c r="J1217" s="10" t="str">
        <f aca="false">_xlfn.CONCAT(A1217, ",",H1217,",",I1217)</f>
        <v>순,가,1</v>
      </c>
      <c r="K1217" s="16" t="n">
        <f aca="false">IF(B1217=-1,-1,VLOOKUP(C1217,$T$1:$V$20,3))</f>
        <v>13</v>
      </c>
      <c r="L1217" s="16" t="n">
        <f aca="false">IF(B1217=-1,-1,VLOOKUP(D1217,$Y$1:$AA$22,3))</f>
        <v>6</v>
      </c>
      <c r="N1217" s="10" t="str">
        <f aca="false">_xlfn.UNICHAR(((C1217*21)+G1217)*28+44032)</f>
        <v>사</v>
      </c>
      <c r="O1217" s="10" t="str">
        <f aca="false">_xlfn.UNICHAR(((F1217*21)+D1217)*28+44032)</f>
        <v>구</v>
      </c>
      <c r="P1217" s="12" t="n">
        <f aca="false">COUNTIF($A$2:$A$3000, N1217) + COUNTIF($A$2:$A$3000, O1217)</f>
        <v>2</v>
      </c>
      <c r="Q1217" s="16" t="str">
        <f aca="false">IF(OR(B1217=-1,I1217=0, P1217&lt;&gt;2), "albhed_dummy", _xlfn.CONCAT("albhed ", RIGHT("  " &amp; K1217,2),", ", RIGHT("  " &amp; L1217,2), ", " ,"""",H1217,""", ", """",N1217,""", ","""",O1217,""""," ; ", A1217))</f>
        <v>albhed 13,  6, "가", "사", "구" ; 순</v>
      </c>
    </row>
    <row r="1218" customFormat="false" ht="17.9" hidden="false" customHeight="true" outlineLevel="0" collapsed="false">
      <c r="A1218" s="16" t="s">
        <v>2085</v>
      </c>
      <c r="B1218" s="16" t="n">
        <f aca="false">IF(_xlfn.UNICODE(A1218)&lt;44032,-1,_xlfn.UNICODE(A1218)-44032)</f>
        <v>5663</v>
      </c>
      <c r="C1218" s="16" t="n">
        <f aca="false">IF(B1218=-1,-1,INT((B1218/28)/21))</f>
        <v>9</v>
      </c>
      <c r="D1218" s="16" t="n">
        <f aca="false">IF(B1218=-1, -1, MOD(INT(B1218/28),21))</f>
        <v>13</v>
      </c>
      <c r="E1218" s="16" t="n">
        <f aca="false">IF(B1218=-1, -1, VLOOKUP(MOD(B1218,28), $T$24:$U$52,2))</f>
        <v>19</v>
      </c>
      <c r="F1218" s="16" t="n">
        <f aca="false">IF($B1218=-1, -1, VLOOKUP(C1218,$T$1:$V$20, 2))</f>
        <v>0</v>
      </c>
      <c r="G1218" s="16" t="n">
        <f aca="false">IF($B1218=-1, -1, VLOOKUP(D1218,$Y$1:$Z$22,2))</f>
        <v>0</v>
      </c>
      <c r="H1218" s="16" t="str">
        <f aca="false">_xlfn.UNICHAR(((F1218*21)+G1218)*28+44032)</f>
        <v>가</v>
      </c>
      <c r="I1218" s="16" t="n">
        <f aca="false">IF(B1218=-1, 1, COUNTIF($A$2:$A$3000, H1218))</f>
        <v>1</v>
      </c>
      <c r="J1218" s="10" t="str">
        <f aca="false">_xlfn.CONCAT(A1218, ",",H1218,",",I1218)</f>
        <v>숟,가,1</v>
      </c>
      <c r="K1218" s="16" t="n">
        <f aca="false">IF(B1218=-1,-1,VLOOKUP(C1218,$T$1:$V$20,3))</f>
        <v>13</v>
      </c>
      <c r="L1218" s="16" t="n">
        <f aca="false">IF(B1218=-1,-1,VLOOKUP(D1218,$Y$1:$AA$22,3))</f>
        <v>6</v>
      </c>
      <c r="N1218" s="10" t="str">
        <f aca="false">_xlfn.UNICHAR(((C1218*21)+G1218)*28+44032)</f>
        <v>사</v>
      </c>
      <c r="O1218" s="10" t="str">
        <f aca="false">_xlfn.UNICHAR(((F1218*21)+D1218)*28+44032)</f>
        <v>구</v>
      </c>
      <c r="P1218" s="12" t="n">
        <f aca="false">COUNTIF($A$2:$A$3000, N1218) + COUNTIF($A$2:$A$3000, O1218)</f>
        <v>2</v>
      </c>
      <c r="Q1218" s="16" t="str">
        <f aca="false">IF(OR(B1218=-1,I1218=0, P1218&lt;&gt;2), "albhed_dummy", _xlfn.CONCAT("albhed ", RIGHT("  " &amp; K1218,2),", ", RIGHT("  " &amp; L1218,2), ", " ,"""",H1218,""", ", """",N1218,""", ","""",O1218,""""," ; ", A1218))</f>
        <v>albhed 13,  6, "가", "사", "구" ; 숟</v>
      </c>
    </row>
    <row r="1219" customFormat="false" ht="17.9" hidden="false" customHeight="true" outlineLevel="0" collapsed="false">
      <c r="A1219" s="16" t="s">
        <v>2086</v>
      </c>
      <c r="B1219" s="16" t="n">
        <f aca="false">IF(_xlfn.UNICODE(A1219)&lt;44032,-1,_xlfn.UNICODE(A1219)-44032)</f>
        <v>5664</v>
      </c>
      <c r="C1219" s="16" t="n">
        <f aca="false">IF(B1219=-1,-1,INT((B1219/28)/21))</f>
        <v>9</v>
      </c>
      <c r="D1219" s="16" t="n">
        <f aca="false">IF(B1219=-1, -1, MOD(INT(B1219/28),21))</f>
        <v>13</v>
      </c>
      <c r="E1219" s="16" t="n">
        <f aca="false">IF(B1219=-1, -1, VLOOKUP(MOD(B1219,28), $T$24:$U$52,2))</f>
        <v>8</v>
      </c>
      <c r="F1219" s="16" t="n">
        <f aca="false">IF($B1219=-1, -1, VLOOKUP(C1219,$T$1:$V$20, 2))</f>
        <v>0</v>
      </c>
      <c r="G1219" s="16" t="n">
        <f aca="false">IF($B1219=-1, -1, VLOOKUP(D1219,$Y$1:$Z$22,2))</f>
        <v>0</v>
      </c>
      <c r="H1219" s="16" t="str">
        <f aca="false">_xlfn.UNICHAR(((F1219*21)+G1219)*28+44032)</f>
        <v>가</v>
      </c>
      <c r="I1219" s="16" t="n">
        <f aca="false">IF(B1219=-1, 1, COUNTIF($A$2:$A$3000, H1219))</f>
        <v>1</v>
      </c>
      <c r="J1219" s="10" t="str">
        <f aca="false">_xlfn.CONCAT(A1219, ",",H1219,",",I1219)</f>
        <v>술,가,1</v>
      </c>
      <c r="K1219" s="16" t="n">
        <f aca="false">IF(B1219=-1,-1,VLOOKUP(C1219,$T$1:$V$20,3))</f>
        <v>13</v>
      </c>
      <c r="L1219" s="16" t="n">
        <f aca="false">IF(B1219=-1,-1,VLOOKUP(D1219,$Y$1:$AA$22,3))</f>
        <v>6</v>
      </c>
      <c r="N1219" s="10" t="str">
        <f aca="false">_xlfn.UNICHAR(((C1219*21)+G1219)*28+44032)</f>
        <v>사</v>
      </c>
      <c r="O1219" s="10" t="str">
        <f aca="false">_xlfn.UNICHAR(((F1219*21)+D1219)*28+44032)</f>
        <v>구</v>
      </c>
      <c r="P1219" s="12" t="n">
        <f aca="false">COUNTIF($A$2:$A$3000, N1219) + COUNTIF($A$2:$A$3000, O1219)</f>
        <v>2</v>
      </c>
      <c r="Q1219" s="16" t="str">
        <f aca="false">IF(OR(B1219=-1,I1219=0, P1219&lt;&gt;2), "albhed_dummy", _xlfn.CONCAT("albhed ", RIGHT("  " &amp; K1219,2),", ", RIGHT("  " &amp; L1219,2), ", " ,"""",H1219,""", ", """",N1219,""", ","""",O1219,""""," ; ", A1219))</f>
        <v>albhed 13,  6, "가", "사", "구" ; 술</v>
      </c>
    </row>
    <row r="1220" customFormat="false" ht="17.9" hidden="false" customHeight="true" outlineLevel="0" collapsed="false">
      <c r="A1220" s="16" t="s">
        <v>2087</v>
      </c>
      <c r="B1220" s="16" t="n">
        <f aca="false">IF(_xlfn.UNICODE(A1220)&lt;44032,-1,_xlfn.UNICODE(A1220)-44032)</f>
        <v>5672</v>
      </c>
      <c r="C1220" s="16" t="n">
        <f aca="false">IF(B1220=-1,-1,INT((B1220/28)/21))</f>
        <v>9</v>
      </c>
      <c r="D1220" s="16" t="n">
        <f aca="false">IF(B1220=-1, -1, MOD(INT(B1220/28),21))</f>
        <v>13</v>
      </c>
      <c r="E1220" s="16" t="n">
        <f aca="false">IF(B1220=-1, -1, VLOOKUP(MOD(B1220,28), $T$24:$U$52,2))</f>
        <v>16</v>
      </c>
      <c r="F1220" s="16" t="n">
        <f aca="false">IF($B1220=-1, -1, VLOOKUP(C1220,$T$1:$V$20, 2))</f>
        <v>0</v>
      </c>
      <c r="G1220" s="16" t="n">
        <f aca="false">IF($B1220=-1, -1, VLOOKUP(D1220,$Y$1:$Z$22,2))</f>
        <v>0</v>
      </c>
      <c r="H1220" s="16" t="str">
        <f aca="false">_xlfn.UNICHAR(((F1220*21)+G1220)*28+44032)</f>
        <v>가</v>
      </c>
      <c r="I1220" s="16" t="n">
        <f aca="false">IF(B1220=-1, 1, COUNTIF($A$2:$A$3000, H1220))</f>
        <v>1</v>
      </c>
      <c r="J1220" s="10" t="str">
        <f aca="false">_xlfn.CONCAT(A1220, ",",H1220,",",I1220)</f>
        <v>숨,가,1</v>
      </c>
      <c r="K1220" s="16" t="n">
        <f aca="false">IF(B1220=-1,-1,VLOOKUP(C1220,$T$1:$V$20,3))</f>
        <v>13</v>
      </c>
      <c r="L1220" s="16" t="n">
        <f aca="false">IF(B1220=-1,-1,VLOOKUP(D1220,$Y$1:$AA$22,3))</f>
        <v>6</v>
      </c>
      <c r="N1220" s="10" t="str">
        <f aca="false">_xlfn.UNICHAR(((C1220*21)+G1220)*28+44032)</f>
        <v>사</v>
      </c>
      <c r="O1220" s="10" t="str">
        <f aca="false">_xlfn.UNICHAR(((F1220*21)+D1220)*28+44032)</f>
        <v>구</v>
      </c>
      <c r="P1220" s="12" t="n">
        <f aca="false">COUNTIF($A$2:$A$3000, N1220) + COUNTIF($A$2:$A$3000, O1220)</f>
        <v>2</v>
      </c>
      <c r="Q1220" s="16" t="str">
        <f aca="false">IF(OR(B1220=-1,I1220=0, P1220&lt;&gt;2), "albhed_dummy", _xlfn.CONCAT("albhed ", RIGHT("  " &amp; K1220,2),", ", RIGHT("  " &amp; L1220,2), ", " ,"""",H1220,""", ", """",N1220,""", ","""",O1220,""""," ; ", A1220))</f>
        <v>albhed 13,  6, "가", "사", "구" ; 숨</v>
      </c>
    </row>
    <row r="1221" customFormat="false" ht="17.9" hidden="false" customHeight="true" outlineLevel="0" collapsed="false">
      <c r="A1221" s="16" t="s">
        <v>2088</v>
      </c>
      <c r="B1221" s="16" t="n">
        <f aca="false">IF(_xlfn.UNICODE(A1221)&lt;44032,-1,_xlfn.UNICODE(A1221)-44032)</f>
        <v>5673</v>
      </c>
      <c r="C1221" s="16" t="n">
        <f aca="false">IF(B1221=-1,-1,INT((B1221/28)/21))</f>
        <v>9</v>
      </c>
      <c r="D1221" s="16" t="n">
        <f aca="false">IF(B1221=-1, -1, MOD(INT(B1221/28),21))</f>
        <v>13</v>
      </c>
      <c r="E1221" s="16" t="n">
        <f aca="false">IF(B1221=-1, -1, VLOOKUP(MOD(B1221,28), $T$24:$U$52,2))</f>
        <v>17</v>
      </c>
      <c r="F1221" s="16" t="n">
        <f aca="false">IF($B1221=-1, -1, VLOOKUP(C1221,$T$1:$V$20, 2))</f>
        <v>0</v>
      </c>
      <c r="G1221" s="16" t="n">
        <f aca="false">IF($B1221=-1, -1, VLOOKUP(D1221,$Y$1:$Z$22,2))</f>
        <v>0</v>
      </c>
      <c r="H1221" s="16" t="str">
        <f aca="false">_xlfn.UNICHAR(((F1221*21)+G1221)*28+44032)</f>
        <v>가</v>
      </c>
      <c r="I1221" s="16" t="n">
        <f aca="false">IF(B1221=-1, 1, COUNTIF($A$2:$A$3000, H1221))</f>
        <v>1</v>
      </c>
      <c r="J1221" s="10" t="str">
        <f aca="false">_xlfn.CONCAT(A1221, ",",H1221,",",I1221)</f>
        <v>숩,가,1</v>
      </c>
      <c r="K1221" s="16" t="n">
        <f aca="false">IF(B1221=-1,-1,VLOOKUP(C1221,$T$1:$V$20,3))</f>
        <v>13</v>
      </c>
      <c r="L1221" s="16" t="n">
        <f aca="false">IF(B1221=-1,-1,VLOOKUP(D1221,$Y$1:$AA$22,3))</f>
        <v>6</v>
      </c>
      <c r="N1221" s="10" t="str">
        <f aca="false">_xlfn.UNICHAR(((C1221*21)+G1221)*28+44032)</f>
        <v>사</v>
      </c>
      <c r="O1221" s="10" t="str">
        <f aca="false">_xlfn.UNICHAR(((F1221*21)+D1221)*28+44032)</f>
        <v>구</v>
      </c>
      <c r="P1221" s="12" t="n">
        <f aca="false">COUNTIF($A$2:$A$3000, N1221) + COUNTIF($A$2:$A$3000, O1221)</f>
        <v>2</v>
      </c>
      <c r="Q1221" s="16" t="str">
        <f aca="false">IF(OR(B1221=-1,I1221=0, P1221&lt;&gt;2), "albhed_dummy", _xlfn.CONCAT("albhed ", RIGHT("  " &amp; K1221,2),", ", RIGHT("  " &amp; L1221,2), ", " ,"""",H1221,""", ", """",N1221,""", ","""",O1221,""""," ; ", A1221))</f>
        <v>albhed 13,  6, "가", "사", "구" ; 숩</v>
      </c>
    </row>
    <row r="1222" customFormat="false" ht="17.9" hidden="false" customHeight="true" outlineLevel="0" collapsed="false">
      <c r="A1222" s="16" t="s">
        <v>2089</v>
      </c>
      <c r="B1222" s="16" t="n">
        <f aca="false">IF(_xlfn.UNICODE(A1222)&lt;44032,-1,_xlfn.UNICODE(A1222)-44032)</f>
        <v>5675</v>
      </c>
      <c r="C1222" s="16" t="n">
        <f aca="false">IF(B1222=-1,-1,INT((B1222/28)/21))</f>
        <v>9</v>
      </c>
      <c r="D1222" s="16" t="n">
        <f aca="false">IF(B1222=-1, -1, MOD(INT(B1222/28),21))</f>
        <v>13</v>
      </c>
      <c r="E1222" s="16" t="n">
        <f aca="false">IF(B1222=-1, -1, VLOOKUP(MOD(B1222,28), $T$24:$U$52,2))</f>
        <v>19</v>
      </c>
      <c r="F1222" s="16" t="n">
        <f aca="false">IF($B1222=-1, -1, VLOOKUP(C1222,$T$1:$V$20, 2))</f>
        <v>0</v>
      </c>
      <c r="G1222" s="16" t="n">
        <f aca="false">IF($B1222=-1, -1, VLOOKUP(D1222,$Y$1:$Z$22,2))</f>
        <v>0</v>
      </c>
      <c r="H1222" s="16" t="str">
        <f aca="false">_xlfn.UNICHAR(((F1222*21)+G1222)*28+44032)</f>
        <v>가</v>
      </c>
      <c r="I1222" s="16" t="n">
        <f aca="false">IF(B1222=-1, 1, COUNTIF($A$2:$A$3000, H1222))</f>
        <v>1</v>
      </c>
      <c r="J1222" s="10" t="str">
        <f aca="false">_xlfn.CONCAT(A1222, ",",H1222,",",I1222)</f>
        <v>숫,가,1</v>
      </c>
      <c r="K1222" s="16" t="n">
        <f aca="false">IF(B1222=-1,-1,VLOOKUP(C1222,$T$1:$V$20,3))</f>
        <v>13</v>
      </c>
      <c r="L1222" s="16" t="n">
        <f aca="false">IF(B1222=-1,-1,VLOOKUP(D1222,$Y$1:$AA$22,3))</f>
        <v>6</v>
      </c>
      <c r="N1222" s="10" t="str">
        <f aca="false">_xlfn.UNICHAR(((C1222*21)+G1222)*28+44032)</f>
        <v>사</v>
      </c>
      <c r="O1222" s="10" t="str">
        <f aca="false">_xlfn.UNICHAR(((F1222*21)+D1222)*28+44032)</f>
        <v>구</v>
      </c>
      <c r="P1222" s="12" t="n">
        <f aca="false">COUNTIF($A$2:$A$3000, N1222) + COUNTIF($A$2:$A$3000, O1222)</f>
        <v>2</v>
      </c>
      <c r="Q1222" s="16" t="str">
        <f aca="false">IF(OR(B1222=-1,I1222=0, P1222&lt;&gt;2), "albhed_dummy", _xlfn.CONCAT("albhed ", RIGHT("  " &amp; K1222,2),", ", RIGHT("  " &amp; L1222,2), ", " ,"""",H1222,""", ", """",N1222,""", ","""",O1222,""""," ; ", A1222))</f>
        <v>albhed 13,  6, "가", "사", "구" ; 숫</v>
      </c>
    </row>
    <row r="1223" customFormat="false" ht="17.9" hidden="false" customHeight="true" outlineLevel="0" collapsed="false">
      <c r="A1223" s="16" t="s">
        <v>2090</v>
      </c>
      <c r="B1223" s="16" t="n">
        <f aca="false">IF(_xlfn.UNICODE(A1223)&lt;44032,-1,_xlfn.UNICODE(A1223)-44032)</f>
        <v>5677</v>
      </c>
      <c r="C1223" s="16" t="n">
        <f aca="false">IF(B1223=-1,-1,INT((B1223/28)/21))</f>
        <v>9</v>
      </c>
      <c r="D1223" s="16" t="n">
        <f aca="false">IF(B1223=-1, -1, MOD(INT(B1223/28),21))</f>
        <v>13</v>
      </c>
      <c r="E1223" s="16" t="n">
        <f aca="false">IF(B1223=-1, -1, VLOOKUP(MOD(B1223,28), $T$24:$U$52,2))</f>
        <v>21</v>
      </c>
      <c r="F1223" s="16" t="n">
        <f aca="false">IF($B1223=-1, -1, VLOOKUP(C1223,$T$1:$V$20, 2))</f>
        <v>0</v>
      </c>
      <c r="G1223" s="16" t="n">
        <f aca="false">IF($B1223=-1, -1, VLOOKUP(D1223,$Y$1:$Z$22,2))</f>
        <v>0</v>
      </c>
      <c r="H1223" s="16" t="str">
        <f aca="false">_xlfn.UNICHAR(((F1223*21)+G1223)*28+44032)</f>
        <v>가</v>
      </c>
      <c r="I1223" s="16" t="n">
        <f aca="false">IF(B1223=-1, 1, COUNTIF($A$2:$A$3000, H1223))</f>
        <v>1</v>
      </c>
      <c r="J1223" s="10" t="str">
        <f aca="false">_xlfn.CONCAT(A1223, ",",H1223,",",I1223)</f>
        <v>숭,가,1</v>
      </c>
      <c r="K1223" s="16" t="n">
        <f aca="false">IF(B1223=-1,-1,VLOOKUP(C1223,$T$1:$V$20,3))</f>
        <v>13</v>
      </c>
      <c r="L1223" s="16" t="n">
        <f aca="false">IF(B1223=-1,-1,VLOOKUP(D1223,$Y$1:$AA$22,3))</f>
        <v>6</v>
      </c>
      <c r="N1223" s="10" t="str">
        <f aca="false">_xlfn.UNICHAR(((C1223*21)+G1223)*28+44032)</f>
        <v>사</v>
      </c>
      <c r="O1223" s="10" t="str">
        <f aca="false">_xlfn.UNICHAR(((F1223*21)+D1223)*28+44032)</f>
        <v>구</v>
      </c>
      <c r="P1223" s="12" t="n">
        <f aca="false">COUNTIF($A$2:$A$3000, N1223) + COUNTIF($A$2:$A$3000, O1223)</f>
        <v>2</v>
      </c>
      <c r="Q1223" s="16" t="str">
        <f aca="false">IF(OR(B1223=-1,I1223=0, P1223&lt;&gt;2), "albhed_dummy", _xlfn.CONCAT("albhed ", RIGHT("  " &amp; K1223,2),", ", RIGHT("  " &amp; L1223,2), ", " ,"""",H1223,""", ", """",N1223,""", ","""",O1223,""""," ; ", A1223))</f>
        <v>albhed 13,  6, "가", "사", "구" ; 숭</v>
      </c>
    </row>
    <row r="1224" customFormat="false" ht="17.9" hidden="false" customHeight="true" outlineLevel="0" collapsed="false">
      <c r="A1224" s="16" t="s">
        <v>2091</v>
      </c>
      <c r="B1224" s="16" t="n">
        <f aca="false">IF(_xlfn.UNICODE(A1224)&lt;44032,-1,_xlfn.UNICODE(A1224)-44032)</f>
        <v>5679</v>
      </c>
      <c r="C1224" s="16" t="n">
        <f aca="false">IF(B1224=-1,-1,INT((B1224/28)/21))</f>
        <v>9</v>
      </c>
      <c r="D1224" s="16" t="n">
        <f aca="false">IF(B1224=-1, -1, MOD(INT(B1224/28),21))</f>
        <v>13</v>
      </c>
      <c r="E1224" s="16" t="n">
        <f aca="false">IF(B1224=-1, -1, VLOOKUP(MOD(B1224,28), $T$24:$U$52,2))</f>
        <v>19</v>
      </c>
      <c r="F1224" s="16" t="n">
        <f aca="false">IF($B1224=-1, -1, VLOOKUP(C1224,$T$1:$V$20, 2))</f>
        <v>0</v>
      </c>
      <c r="G1224" s="16" t="n">
        <f aca="false">IF($B1224=-1, -1, VLOOKUP(D1224,$Y$1:$Z$22,2))</f>
        <v>0</v>
      </c>
      <c r="H1224" s="16" t="str">
        <f aca="false">_xlfn.UNICHAR(((F1224*21)+G1224)*28+44032)</f>
        <v>가</v>
      </c>
      <c r="I1224" s="16" t="n">
        <f aca="false">IF(B1224=-1, 1, COUNTIF($A$2:$A$3000, H1224))</f>
        <v>1</v>
      </c>
      <c r="J1224" s="10" t="str">
        <f aca="false">_xlfn.CONCAT(A1224, ",",H1224,",",I1224)</f>
        <v>숯,가,1</v>
      </c>
      <c r="K1224" s="16" t="n">
        <f aca="false">IF(B1224=-1,-1,VLOOKUP(C1224,$T$1:$V$20,3))</f>
        <v>13</v>
      </c>
      <c r="L1224" s="16" t="n">
        <f aca="false">IF(B1224=-1,-1,VLOOKUP(D1224,$Y$1:$AA$22,3))</f>
        <v>6</v>
      </c>
      <c r="N1224" s="10" t="str">
        <f aca="false">_xlfn.UNICHAR(((C1224*21)+G1224)*28+44032)</f>
        <v>사</v>
      </c>
      <c r="O1224" s="10" t="str">
        <f aca="false">_xlfn.UNICHAR(((F1224*21)+D1224)*28+44032)</f>
        <v>구</v>
      </c>
      <c r="P1224" s="12" t="n">
        <f aca="false">COUNTIF($A$2:$A$3000, N1224) + COUNTIF($A$2:$A$3000, O1224)</f>
        <v>2</v>
      </c>
      <c r="Q1224" s="16" t="str">
        <f aca="false">IF(OR(B1224=-1,I1224=0, P1224&lt;&gt;2), "albhed_dummy", _xlfn.CONCAT("albhed ", RIGHT("  " &amp; K1224,2),", ", RIGHT("  " &amp; L1224,2), ", " ,"""",H1224,""", ", """",N1224,""", ","""",O1224,""""," ; ", A1224))</f>
        <v>albhed 13,  6, "가", "사", "구" ; 숯</v>
      </c>
    </row>
    <row r="1225" customFormat="false" ht="17.9" hidden="false" customHeight="true" outlineLevel="0" collapsed="false">
      <c r="A1225" s="16" t="s">
        <v>2092</v>
      </c>
      <c r="B1225" s="16" t="n">
        <f aca="false">IF(_xlfn.UNICODE(A1225)&lt;44032,-1,_xlfn.UNICODE(A1225)-44032)</f>
        <v>5681</v>
      </c>
      <c r="C1225" s="16" t="n">
        <f aca="false">IF(B1225=-1,-1,INT((B1225/28)/21))</f>
        <v>9</v>
      </c>
      <c r="D1225" s="16" t="n">
        <f aca="false">IF(B1225=-1, -1, MOD(INT(B1225/28),21))</f>
        <v>13</v>
      </c>
      <c r="E1225" s="16" t="n">
        <f aca="false">IF(B1225=-1, -1, VLOOKUP(MOD(B1225,28), $T$24:$U$52,2))</f>
        <v>19</v>
      </c>
      <c r="F1225" s="16" t="n">
        <f aca="false">IF($B1225=-1, -1, VLOOKUP(C1225,$T$1:$V$20, 2))</f>
        <v>0</v>
      </c>
      <c r="G1225" s="16" t="n">
        <f aca="false">IF($B1225=-1, -1, VLOOKUP(D1225,$Y$1:$Z$22,2))</f>
        <v>0</v>
      </c>
      <c r="H1225" s="16" t="str">
        <f aca="false">_xlfn.UNICHAR(((F1225*21)+G1225)*28+44032)</f>
        <v>가</v>
      </c>
      <c r="I1225" s="16" t="n">
        <f aca="false">IF(B1225=-1, 1, COUNTIF($A$2:$A$3000, H1225))</f>
        <v>1</v>
      </c>
      <c r="J1225" s="10" t="str">
        <f aca="false">_xlfn.CONCAT(A1225, ",",H1225,",",I1225)</f>
        <v>숱,가,1</v>
      </c>
      <c r="K1225" s="16" t="n">
        <f aca="false">IF(B1225=-1,-1,VLOOKUP(C1225,$T$1:$V$20,3))</f>
        <v>13</v>
      </c>
      <c r="L1225" s="16" t="n">
        <f aca="false">IF(B1225=-1,-1,VLOOKUP(D1225,$Y$1:$AA$22,3))</f>
        <v>6</v>
      </c>
      <c r="N1225" s="10" t="str">
        <f aca="false">_xlfn.UNICHAR(((C1225*21)+G1225)*28+44032)</f>
        <v>사</v>
      </c>
      <c r="O1225" s="10" t="str">
        <f aca="false">_xlfn.UNICHAR(((F1225*21)+D1225)*28+44032)</f>
        <v>구</v>
      </c>
      <c r="P1225" s="12" t="n">
        <f aca="false">COUNTIF($A$2:$A$3000, N1225) + COUNTIF($A$2:$A$3000, O1225)</f>
        <v>2</v>
      </c>
      <c r="Q1225" s="16" t="str">
        <f aca="false">IF(OR(B1225=-1,I1225=0, P1225&lt;&gt;2), "albhed_dummy", _xlfn.CONCAT("albhed ", RIGHT("  " &amp; K1225,2),", ", RIGHT("  " &amp; L1225,2), ", " ,"""",H1225,""", ", """",N1225,""", ","""",O1225,""""," ; ", A1225))</f>
        <v>albhed 13,  6, "가", "사", "구" ; 숱</v>
      </c>
    </row>
    <row r="1226" customFormat="false" ht="17.9" hidden="false" customHeight="true" outlineLevel="0" collapsed="false">
      <c r="A1226" s="16" t="s">
        <v>2093</v>
      </c>
      <c r="B1226" s="16" t="n">
        <f aca="false">IF(_xlfn.UNICODE(A1226)&lt;44032,-1,_xlfn.UNICODE(A1226)-44032)</f>
        <v>5682</v>
      </c>
      <c r="C1226" s="16" t="n">
        <f aca="false">IF(B1226=-1,-1,INT((B1226/28)/21))</f>
        <v>9</v>
      </c>
      <c r="D1226" s="16" t="n">
        <f aca="false">IF(B1226=-1, -1, MOD(INT(B1226/28),21))</f>
        <v>13</v>
      </c>
      <c r="E1226" s="16" t="n">
        <f aca="false">IF(B1226=-1, -1, VLOOKUP(MOD(B1226,28), $T$24:$U$52,2))</f>
        <v>17</v>
      </c>
      <c r="F1226" s="16" t="n">
        <f aca="false">IF($B1226=-1, -1, VLOOKUP(C1226,$T$1:$V$20, 2))</f>
        <v>0</v>
      </c>
      <c r="G1226" s="16" t="n">
        <f aca="false">IF($B1226=-1, -1, VLOOKUP(D1226,$Y$1:$Z$22,2))</f>
        <v>0</v>
      </c>
      <c r="H1226" s="16" t="str">
        <f aca="false">_xlfn.UNICHAR(((F1226*21)+G1226)*28+44032)</f>
        <v>가</v>
      </c>
      <c r="I1226" s="16" t="n">
        <f aca="false">IF(B1226=-1, 1, COUNTIF($A$2:$A$3000, H1226))</f>
        <v>1</v>
      </c>
      <c r="J1226" s="10" t="str">
        <f aca="false">_xlfn.CONCAT(A1226, ",",H1226,",",I1226)</f>
        <v>숲,가,1</v>
      </c>
      <c r="K1226" s="16" t="n">
        <f aca="false">IF(B1226=-1,-1,VLOOKUP(C1226,$T$1:$V$20,3))</f>
        <v>13</v>
      </c>
      <c r="L1226" s="16" t="n">
        <f aca="false">IF(B1226=-1,-1,VLOOKUP(D1226,$Y$1:$AA$22,3))</f>
        <v>6</v>
      </c>
      <c r="N1226" s="10" t="str">
        <f aca="false">_xlfn.UNICHAR(((C1226*21)+G1226)*28+44032)</f>
        <v>사</v>
      </c>
      <c r="O1226" s="10" t="str">
        <f aca="false">_xlfn.UNICHAR(((F1226*21)+D1226)*28+44032)</f>
        <v>구</v>
      </c>
      <c r="P1226" s="12" t="n">
        <f aca="false">COUNTIF($A$2:$A$3000, N1226) + COUNTIF($A$2:$A$3000, O1226)</f>
        <v>2</v>
      </c>
      <c r="Q1226" s="16" t="str">
        <f aca="false">IF(OR(B1226=-1,I1226=0, P1226&lt;&gt;2), "albhed_dummy", _xlfn.CONCAT("albhed ", RIGHT("  " &amp; K1226,2),", ", RIGHT("  " &amp; L1226,2), ", " ,"""",H1226,""", ", """",N1226,""", ","""",O1226,""""," ; ", A1226))</f>
        <v>albhed 13,  6, "가", "사", "구" ; 숲</v>
      </c>
    </row>
    <row r="1227" customFormat="false" ht="17.9" hidden="false" customHeight="true" outlineLevel="0" collapsed="false">
      <c r="A1227" s="16" t="s">
        <v>2094</v>
      </c>
      <c r="B1227" s="16" t="n">
        <f aca="false">IF(_xlfn.UNICODE(A1227)&lt;44032,-1,_xlfn.UNICODE(A1227)-44032)</f>
        <v>5684</v>
      </c>
      <c r="C1227" s="16" t="n">
        <f aca="false">IF(B1227=-1,-1,INT((B1227/28)/21))</f>
        <v>9</v>
      </c>
      <c r="D1227" s="16" t="n">
        <f aca="false">IF(B1227=-1, -1, MOD(INT(B1227/28),21))</f>
        <v>14</v>
      </c>
      <c r="E1227" s="16" t="n">
        <f aca="false">IF(B1227=-1, -1, VLOOKUP(MOD(B1227,28), $T$24:$U$52,2))</f>
        <v>0</v>
      </c>
      <c r="F1227" s="16" t="n">
        <f aca="false">IF($B1227=-1, -1, VLOOKUP(C1227,$T$1:$V$20, 2))</f>
        <v>0</v>
      </c>
      <c r="G1227" s="16" t="n">
        <f aca="false">IF($B1227=-1, -1, VLOOKUP(D1227,$Y$1:$Z$22,2))</f>
        <v>20</v>
      </c>
      <c r="H1227" s="16" t="str">
        <f aca="false">_xlfn.UNICHAR(((F1227*21)+G1227)*28+44032)</f>
        <v>기</v>
      </c>
      <c r="I1227" s="16" t="n">
        <f aca="false">IF(B1227=-1, 1, COUNTIF($A$2:$A$3000, H1227))</f>
        <v>1</v>
      </c>
      <c r="J1227" s="10" t="str">
        <f aca="false">_xlfn.CONCAT(A1227, ",",H1227,",",I1227)</f>
        <v>숴,기,1</v>
      </c>
      <c r="K1227" s="16" t="n">
        <f aca="false">IF(B1227=-1,-1,VLOOKUP(C1227,$T$1:$V$20,3))</f>
        <v>13</v>
      </c>
      <c r="L1227" s="16" t="n">
        <f aca="false">IF(B1227=-1,-1,VLOOKUP(D1227,$Y$1:$AA$22,3))</f>
        <v>16</v>
      </c>
      <c r="N1227" s="10" t="str">
        <f aca="false">_xlfn.UNICHAR(((C1227*21)+G1227)*28+44032)</f>
        <v>시</v>
      </c>
      <c r="O1227" s="10" t="str">
        <f aca="false">_xlfn.UNICHAR(((F1227*21)+D1227)*28+44032)</f>
        <v>궈</v>
      </c>
      <c r="P1227" s="12" t="n">
        <f aca="false">COUNTIF($A$2:$A$3000, N1227) + COUNTIF($A$2:$A$3000, O1227)</f>
        <v>2</v>
      </c>
      <c r="Q1227" s="16" t="str">
        <f aca="false">IF(OR(B1227=-1,I1227=0, P1227&lt;&gt;2), "albhed_dummy", _xlfn.CONCAT("albhed ", RIGHT("  " &amp; K1227,2),", ", RIGHT("  " &amp; L1227,2), ", " ,"""",H1227,""", ", """",N1227,""", ","""",O1227,""""," ; ", A1227))</f>
        <v>albhed 13, 16, "기", "시", "궈" ; 숴</v>
      </c>
    </row>
    <row r="1228" customFormat="false" ht="17.9" hidden="false" customHeight="true" outlineLevel="0" collapsed="false">
      <c r="A1228" s="16" t="s">
        <v>2095</v>
      </c>
      <c r="B1228" s="16" t="n">
        <f aca="false">IF(_xlfn.UNICODE(A1228)&lt;44032,-1,_xlfn.UNICODE(A1228)-44032)</f>
        <v>5704</v>
      </c>
      <c r="C1228" s="16" t="n">
        <f aca="false">IF(B1228=-1,-1,INT((B1228/28)/21))</f>
        <v>9</v>
      </c>
      <c r="D1228" s="16" t="n">
        <f aca="false">IF(B1228=-1, -1, MOD(INT(B1228/28),21))</f>
        <v>14</v>
      </c>
      <c r="E1228" s="16" t="n">
        <f aca="false">IF(B1228=-1, -1, VLOOKUP(MOD(B1228,28), $T$24:$U$52,2))</f>
        <v>19</v>
      </c>
      <c r="F1228" s="16" t="n">
        <f aca="false">IF($B1228=-1, -1, VLOOKUP(C1228,$T$1:$V$20, 2))</f>
        <v>0</v>
      </c>
      <c r="G1228" s="16" t="n">
        <f aca="false">IF($B1228=-1, -1, VLOOKUP(D1228,$Y$1:$Z$22,2))</f>
        <v>20</v>
      </c>
      <c r="H1228" s="16" t="str">
        <f aca="false">_xlfn.UNICHAR(((F1228*21)+G1228)*28+44032)</f>
        <v>기</v>
      </c>
      <c r="I1228" s="16" t="n">
        <f aca="false">IF(B1228=-1, 1, COUNTIF($A$2:$A$3000, H1228))</f>
        <v>1</v>
      </c>
      <c r="J1228" s="10" t="str">
        <f aca="false">_xlfn.CONCAT(A1228, ",",H1228,",",I1228)</f>
        <v>쉈,기,1</v>
      </c>
      <c r="K1228" s="16" t="n">
        <f aca="false">IF(B1228=-1,-1,VLOOKUP(C1228,$T$1:$V$20,3))</f>
        <v>13</v>
      </c>
      <c r="L1228" s="16" t="n">
        <f aca="false">IF(B1228=-1,-1,VLOOKUP(D1228,$Y$1:$AA$22,3))</f>
        <v>16</v>
      </c>
      <c r="N1228" s="10" t="str">
        <f aca="false">_xlfn.UNICHAR(((C1228*21)+G1228)*28+44032)</f>
        <v>시</v>
      </c>
      <c r="O1228" s="10" t="str">
        <f aca="false">_xlfn.UNICHAR(((F1228*21)+D1228)*28+44032)</f>
        <v>궈</v>
      </c>
      <c r="P1228" s="12" t="n">
        <f aca="false">COUNTIF($A$2:$A$3000, N1228) + COUNTIF($A$2:$A$3000, O1228)</f>
        <v>2</v>
      </c>
      <c r="Q1228" s="16" t="str">
        <f aca="false">IF(OR(B1228=-1,I1228=0, P1228&lt;&gt;2), "albhed_dummy", _xlfn.CONCAT("albhed ", RIGHT("  " &amp; K1228,2),", ", RIGHT("  " &amp; L1228,2), ", " ,"""",H1228,""", ", """",N1228,""", ","""",O1228,""""," ; ", A1228))</f>
        <v>albhed 13, 16, "기", "시", "궈" ; 쉈</v>
      </c>
    </row>
    <row r="1229" customFormat="false" ht="17.9" hidden="false" customHeight="true" outlineLevel="0" collapsed="false">
      <c r="A1229" s="16" t="s">
        <v>2096</v>
      </c>
      <c r="B1229" s="16" t="n">
        <f aca="false">IF(_xlfn.UNICODE(A1229)&lt;44032,-1,_xlfn.UNICODE(A1229)-44032)</f>
        <v>5712</v>
      </c>
      <c r="C1229" s="16" t="n">
        <f aca="false">IF(B1229=-1,-1,INT((B1229/28)/21))</f>
        <v>9</v>
      </c>
      <c r="D1229" s="16" t="n">
        <f aca="false">IF(B1229=-1, -1, MOD(INT(B1229/28),21))</f>
        <v>15</v>
      </c>
      <c r="E1229" s="16" t="n">
        <f aca="false">IF(B1229=-1, -1, VLOOKUP(MOD(B1229,28), $T$24:$U$52,2))</f>
        <v>0</v>
      </c>
      <c r="F1229" s="16" t="n">
        <f aca="false">IF($B1229=-1, -1, VLOOKUP(C1229,$T$1:$V$20, 2))</f>
        <v>0</v>
      </c>
      <c r="G1229" s="16" t="n">
        <f aca="false">IF($B1229=-1, -1, VLOOKUP(D1229,$Y$1:$Z$22,2))</f>
        <v>20</v>
      </c>
      <c r="H1229" s="16" t="str">
        <f aca="false">_xlfn.UNICHAR(((F1229*21)+G1229)*28+44032)</f>
        <v>기</v>
      </c>
      <c r="I1229" s="16" t="n">
        <f aca="false">IF(B1229=-1, 1, COUNTIF($A$2:$A$3000, H1229))</f>
        <v>1</v>
      </c>
      <c r="J1229" s="10" t="str">
        <f aca="false">_xlfn.CONCAT(A1229, ",",H1229,",",I1229)</f>
        <v>쉐,기,1</v>
      </c>
      <c r="K1229" s="16" t="n">
        <f aca="false">IF(B1229=-1,-1,VLOOKUP(C1229,$T$1:$V$20,3))</f>
        <v>13</v>
      </c>
      <c r="L1229" s="16" t="n">
        <f aca="false">IF(B1229=-1,-1,VLOOKUP(D1229,$Y$1:$AA$22,3))</f>
        <v>16</v>
      </c>
      <c r="N1229" s="10" t="str">
        <f aca="false">_xlfn.UNICHAR(((C1229*21)+G1229)*28+44032)</f>
        <v>시</v>
      </c>
      <c r="O1229" s="10" t="str">
        <f aca="false">_xlfn.UNICHAR(((F1229*21)+D1229)*28+44032)</f>
        <v>궤</v>
      </c>
      <c r="P1229" s="12" t="n">
        <f aca="false">COUNTIF($A$2:$A$3000, N1229) + COUNTIF($A$2:$A$3000, O1229)</f>
        <v>2</v>
      </c>
      <c r="Q1229" s="16" t="str">
        <f aca="false">IF(OR(B1229=-1,I1229=0, P1229&lt;&gt;2), "albhed_dummy", _xlfn.CONCAT("albhed ", RIGHT("  " &amp; K1229,2),", ", RIGHT("  " &amp; L1229,2), ", " ,"""",H1229,""", ", """",N1229,""", ","""",O1229,""""," ; ", A1229))</f>
        <v>albhed 13, 16, "기", "시", "궤" ; 쉐</v>
      </c>
    </row>
    <row r="1230" customFormat="false" ht="17.9" hidden="false" customHeight="true" outlineLevel="0" collapsed="false">
      <c r="A1230" s="16" t="s">
        <v>2097</v>
      </c>
      <c r="B1230" s="16" t="n">
        <f aca="false">IF(_xlfn.UNICODE(A1230)&lt;44032,-1,_xlfn.UNICODE(A1230)-44032)</f>
        <v>5713</v>
      </c>
      <c r="C1230" s="16" t="n">
        <f aca="false">IF(B1230=-1,-1,INT((B1230/28)/21))</f>
        <v>9</v>
      </c>
      <c r="D1230" s="16" t="n">
        <f aca="false">IF(B1230=-1, -1, MOD(INT(B1230/28),21))</f>
        <v>15</v>
      </c>
      <c r="E1230" s="16" t="n">
        <f aca="false">IF(B1230=-1, -1, VLOOKUP(MOD(B1230,28), $T$24:$U$52,2))</f>
        <v>1</v>
      </c>
      <c r="F1230" s="16" t="n">
        <f aca="false">IF($B1230=-1, -1, VLOOKUP(C1230,$T$1:$V$20, 2))</f>
        <v>0</v>
      </c>
      <c r="G1230" s="16" t="n">
        <f aca="false">IF($B1230=-1, -1, VLOOKUP(D1230,$Y$1:$Z$22,2))</f>
        <v>20</v>
      </c>
      <c r="H1230" s="16" t="str">
        <f aca="false">_xlfn.UNICHAR(((F1230*21)+G1230)*28+44032)</f>
        <v>기</v>
      </c>
      <c r="I1230" s="16" t="n">
        <f aca="false">IF(B1230=-1, 1, COUNTIF($A$2:$A$3000, H1230))</f>
        <v>1</v>
      </c>
      <c r="J1230" s="10" t="str">
        <f aca="false">_xlfn.CONCAT(A1230, ",",H1230,",",I1230)</f>
        <v>쉑,기,1</v>
      </c>
      <c r="K1230" s="16" t="n">
        <f aca="false">IF(B1230=-1,-1,VLOOKUP(C1230,$T$1:$V$20,3))</f>
        <v>13</v>
      </c>
      <c r="L1230" s="16" t="n">
        <f aca="false">IF(B1230=-1,-1,VLOOKUP(D1230,$Y$1:$AA$22,3))</f>
        <v>16</v>
      </c>
      <c r="N1230" s="10" t="str">
        <f aca="false">_xlfn.UNICHAR(((C1230*21)+G1230)*28+44032)</f>
        <v>시</v>
      </c>
      <c r="O1230" s="10" t="str">
        <f aca="false">_xlfn.UNICHAR(((F1230*21)+D1230)*28+44032)</f>
        <v>궤</v>
      </c>
      <c r="P1230" s="12" t="n">
        <f aca="false">COUNTIF($A$2:$A$3000, N1230) + COUNTIF($A$2:$A$3000, O1230)</f>
        <v>2</v>
      </c>
      <c r="Q1230" s="16" t="str">
        <f aca="false">IF(OR(B1230=-1,I1230=0, P1230&lt;&gt;2), "albhed_dummy", _xlfn.CONCAT("albhed ", RIGHT("  " &amp; K1230,2),", ", RIGHT("  " &amp; L1230,2), ", " ,"""",H1230,""", ", """",N1230,""", ","""",O1230,""""," ; ", A1230))</f>
        <v>albhed 13, 16, "기", "시", "궤" ; 쉑</v>
      </c>
    </row>
    <row r="1231" customFormat="false" ht="17.9" hidden="false" customHeight="true" outlineLevel="0" collapsed="false">
      <c r="A1231" s="16" t="s">
        <v>2098</v>
      </c>
      <c r="B1231" s="16" t="n">
        <f aca="false">IF(_xlfn.UNICODE(A1231)&lt;44032,-1,_xlfn.UNICODE(A1231)-44032)</f>
        <v>5716</v>
      </c>
      <c r="C1231" s="16" t="n">
        <f aca="false">IF(B1231=-1,-1,INT((B1231/28)/21))</f>
        <v>9</v>
      </c>
      <c r="D1231" s="16" t="n">
        <f aca="false">IF(B1231=-1, -1, MOD(INT(B1231/28),21))</f>
        <v>15</v>
      </c>
      <c r="E1231" s="16" t="n">
        <f aca="false">IF(B1231=-1, -1, VLOOKUP(MOD(B1231,28), $T$24:$U$52,2))</f>
        <v>4</v>
      </c>
      <c r="F1231" s="16" t="n">
        <f aca="false">IF($B1231=-1, -1, VLOOKUP(C1231,$T$1:$V$20, 2))</f>
        <v>0</v>
      </c>
      <c r="G1231" s="16" t="n">
        <f aca="false">IF($B1231=-1, -1, VLOOKUP(D1231,$Y$1:$Z$22,2))</f>
        <v>20</v>
      </c>
      <c r="H1231" s="16" t="str">
        <f aca="false">_xlfn.UNICHAR(((F1231*21)+G1231)*28+44032)</f>
        <v>기</v>
      </c>
      <c r="I1231" s="16" t="n">
        <f aca="false">IF(B1231=-1, 1, COUNTIF($A$2:$A$3000, H1231))</f>
        <v>1</v>
      </c>
      <c r="J1231" s="10" t="str">
        <f aca="false">_xlfn.CONCAT(A1231, ",",H1231,",",I1231)</f>
        <v>쉔,기,1</v>
      </c>
      <c r="K1231" s="16" t="n">
        <f aca="false">IF(B1231=-1,-1,VLOOKUP(C1231,$T$1:$V$20,3))</f>
        <v>13</v>
      </c>
      <c r="L1231" s="16" t="n">
        <f aca="false">IF(B1231=-1,-1,VLOOKUP(D1231,$Y$1:$AA$22,3))</f>
        <v>16</v>
      </c>
      <c r="N1231" s="10" t="str">
        <f aca="false">_xlfn.UNICHAR(((C1231*21)+G1231)*28+44032)</f>
        <v>시</v>
      </c>
      <c r="O1231" s="10" t="str">
        <f aca="false">_xlfn.UNICHAR(((F1231*21)+D1231)*28+44032)</f>
        <v>궤</v>
      </c>
      <c r="P1231" s="12" t="n">
        <f aca="false">COUNTIF($A$2:$A$3000, N1231) + COUNTIF($A$2:$A$3000, O1231)</f>
        <v>2</v>
      </c>
      <c r="Q1231" s="16" t="str">
        <f aca="false">IF(OR(B1231=-1,I1231=0, P1231&lt;&gt;2), "albhed_dummy", _xlfn.CONCAT("albhed ", RIGHT("  " &amp; K1231,2),", ", RIGHT("  " &amp; L1231,2), ", " ,"""",H1231,""", ", """",N1231,""", ","""",O1231,""""," ; ", A1231))</f>
        <v>albhed 13, 16, "기", "시", "궤" ; 쉔</v>
      </c>
    </row>
    <row r="1232" customFormat="false" ht="17.9" hidden="false" customHeight="true" outlineLevel="0" collapsed="false">
      <c r="A1232" s="16" t="s">
        <v>2099</v>
      </c>
      <c r="B1232" s="16" t="n">
        <f aca="false">IF(_xlfn.UNICODE(A1232)&lt;44032,-1,_xlfn.UNICODE(A1232)-44032)</f>
        <v>5720</v>
      </c>
      <c r="C1232" s="16" t="n">
        <f aca="false">IF(B1232=-1,-1,INT((B1232/28)/21))</f>
        <v>9</v>
      </c>
      <c r="D1232" s="16" t="n">
        <f aca="false">IF(B1232=-1, -1, MOD(INT(B1232/28),21))</f>
        <v>15</v>
      </c>
      <c r="E1232" s="16" t="n">
        <f aca="false">IF(B1232=-1, -1, VLOOKUP(MOD(B1232,28), $T$24:$U$52,2))</f>
        <v>8</v>
      </c>
      <c r="F1232" s="16" t="n">
        <f aca="false">IF($B1232=-1, -1, VLOOKUP(C1232,$T$1:$V$20, 2))</f>
        <v>0</v>
      </c>
      <c r="G1232" s="16" t="n">
        <f aca="false">IF($B1232=-1, -1, VLOOKUP(D1232,$Y$1:$Z$22,2))</f>
        <v>20</v>
      </c>
      <c r="H1232" s="16" t="str">
        <f aca="false">_xlfn.UNICHAR(((F1232*21)+G1232)*28+44032)</f>
        <v>기</v>
      </c>
      <c r="I1232" s="16" t="n">
        <f aca="false">IF(B1232=-1, 1, COUNTIF($A$2:$A$3000, H1232))</f>
        <v>1</v>
      </c>
      <c r="J1232" s="10" t="str">
        <f aca="false">_xlfn.CONCAT(A1232, ",",H1232,",",I1232)</f>
        <v>쉘,기,1</v>
      </c>
      <c r="K1232" s="16" t="n">
        <f aca="false">IF(B1232=-1,-1,VLOOKUP(C1232,$T$1:$V$20,3))</f>
        <v>13</v>
      </c>
      <c r="L1232" s="16" t="n">
        <f aca="false">IF(B1232=-1,-1,VLOOKUP(D1232,$Y$1:$AA$22,3))</f>
        <v>16</v>
      </c>
      <c r="N1232" s="10" t="str">
        <f aca="false">_xlfn.UNICHAR(((C1232*21)+G1232)*28+44032)</f>
        <v>시</v>
      </c>
      <c r="O1232" s="10" t="str">
        <f aca="false">_xlfn.UNICHAR(((F1232*21)+D1232)*28+44032)</f>
        <v>궤</v>
      </c>
      <c r="P1232" s="12" t="n">
        <f aca="false">COUNTIF($A$2:$A$3000, N1232) + COUNTIF($A$2:$A$3000, O1232)</f>
        <v>2</v>
      </c>
      <c r="Q1232" s="16" t="str">
        <f aca="false">IF(OR(B1232=-1,I1232=0, P1232&lt;&gt;2), "albhed_dummy", _xlfn.CONCAT("albhed ", RIGHT("  " &amp; K1232,2),", ", RIGHT("  " &amp; L1232,2), ", " ,"""",H1232,""", ", """",N1232,""", ","""",O1232,""""," ; ", A1232))</f>
        <v>albhed 13, 16, "기", "시", "궤" ; 쉘</v>
      </c>
    </row>
    <row r="1233" customFormat="false" ht="17.9" hidden="false" customHeight="true" outlineLevel="0" collapsed="false">
      <c r="A1233" s="16" t="s">
        <v>2100</v>
      </c>
      <c r="B1233" s="16" t="n">
        <f aca="false">IF(_xlfn.UNICODE(A1233)&lt;44032,-1,_xlfn.UNICODE(A1233)-44032)</f>
        <v>5728</v>
      </c>
      <c r="C1233" s="16" t="n">
        <f aca="false">IF(B1233=-1,-1,INT((B1233/28)/21))</f>
        <v>9</v>
      </c>
      <c r="D1233" s="16" t="n">
        <f aca="false">IF(B1233=-1, -1, MOD(INT(B1233/28),21))</f>
        <v>15</v>
      </c>
      <c r="E1233" s="16" t="n">
        <f aca="false">IF(B1233=-1, -1, VLOOKUP(MOD(B1233,28), $T$24:$U$52,2))</f>
        <v>16</v>
      </c>
      <c r="F1233" s="16" t="n">
        <f aca="false">IF($B1233=-1, -1, VLOOKUP(C1233,$T$1:$V$20, 2))</f>
        <v>0</v>
      </c>
      <c r="G1233" s="16" t="n">
        <f aca="false">IF($B1233=-1, -1, VLOOKUP(D1233,$Y$1:$Z$22,2))</f>
        <v>20</v>
      </c>
      <c r="H1233" s="16" t="str">
        <f aca="false">_xlfn.UNICHAR(((F1233*21)+G1233)*28+44032)</f>
        <v>기</v>
      </c>
      <c r="I1233" s="16" t="n">
        <f aca="false">IF(B1233=-1, 1, COUNTIF($A$2:$A$3000, H1233))</f>
        <v>1</v>
      </c>
      <c r="J1233" s="10" t="str">
        <f aca="false">_xlfn.CONCAT(A1233, ",",H1233,",",I1233)</f>
        <v>쉠,기,1</v>
      </c>
      <c r="K1233" s="16" t="n">
        <f aca="false">IF(B1233=-1,-1,VLOOKUP(C1233,$T$1:$V$20,3))</f>
        <v>13</v>
      </c>
      <c r="L1233" s="16" t="n">
        <f aca="false">IF(B1233=-1,-1,VLOOKUP(D1233,$Y$1:$AA$22,3))</f>
        <v>16</v>
      </c>
      <c r="N1233" s="10" t="str">
        <f aca="false">_xlfn.UNICHAR(((C1233*21)+G1233)*28+44032)</f>
        <v>시</v>
      </c>
      <c r="O1233" s="10" t="str">
        <f aca="false">_xlfn.UNICHAR(((F1233*21)+D1233)*28+44032)</f>
        <v>궤</v>
      </c>
      <c r="P1233" s="12" t="n">
        <f aca="false">COUNTIF($A$2:$A$3000, N1233) + COUNTIF($A$2:$A$3000, O1233)</f>
        <v>2</v>
      </c>
      <c r="Q1233" s="16" t="str">
        <f aca="false">IF(OR(B1233=-1,I1233=0, P1233&lt;&gt;2), "albhed_dummy", _xlfn.CONCAT("albhed ", RIGHT("  " &amp; K1233,2),", ", RIGHT("  " &amp; L1233,2), ", " ,"""",H1233,""", ", """",N1233,""", ","""",O1233,""""," ; ", A1233))</f>
        <v>albhed 13, 16, "기", "시", "궤" ; 쉠</v>
      </c>
    </row>
    <row r="1234" customFormat="false" ht="17.9" hidden="false" customHeight="true" outlineLevel="0" collapsed="false">
      <c r="A1234" s="16" t="s">
        <v>2101</v>
      </c>
      <c r="B1234" s="16" t="n">
        <f aca="false">IF(_xlfn.UNICODE(A1234)&lt;44032,-1,_xlfn.UNICODE(A1234)-44032)</f>
        <v>5733</v>
      </c>
      <c r="C1234" s="16" t="n">
        <f aca="false">IF(B1234=-1,-1,INT((B1234/28)/21))</f>
        <v>9</v>
      </c>
      <c r="D1234" s="16" t="n">
        <f aca="false">IF(B1234=-1, -1, MOD(INT(B1234/28),21))</f>
        <v>15</v>
      </c>
      <c r="E1234" s="16" t="n">
        <f aca="false">IF(B1234=-1, -1, VLOOKUP(MOD(B1234,28), $T$24:$U$52,2))</f>
        <v>21</v>
      </c>
      <c r="F1234" s="16" t="n">
        <f aca="false">IF($B1234=-1, -1, VLOOKUP(C1234,$T$1:$V$20, 2))</f>
        <v>0</v>
      </c>
      <c r="G1234" s="16" t="n">
        <f aca="false">IF($B1234=-1, -1, VLOOKUP(D1234,$Y$1:$Z$22,2))</f>
        <v>20</v>
      </c>
      <c r="H1234" s="16" t="str">
        <f aca="false">_xlfn.UNICHAR(((F1234*21)+G1234)*28+44032)</f>
        <v>기</v>
      </c>
      <c r="I1234" s="16" t="n">
        <f aca="false">IF(B1234=-1, 1, COUNTIF($A$2:$A$3000, H1234))</f>
        <v>1</v>
      </c>
      <c r="J1234" s="10" t="str">
        <f aca="false">_xlfn.CONCAT(A1234, ",",H1234,",",I1234)</f>
        <v>쉥,기,1</v>
      </c>
      <c r="K1234" s="16" t="n">
        <f aca="false">IF(B1234=-1,-1,VLOOKUP(C1234,$T$1:$V$20,3))</f>
        <v>13</v>
      </c>
      <c r="L1234" s="16" t="n">
        <f aca="false">IF(B1234=-1,-1,VLOOKUP(D1234,$Y$1:$AA$22,3))</f>
        <v>16</v>
      </c>
      <c r="N1234" s="10" t="str">
        <f aca="false">_xlfn.UNICHAR(((C1234*21)+G1234)*28+44032)</f>
        <v>시</v>
      </c>
      <c r="O1234" s="10" t="str">
        <f aca="false">_xlfn.UNICHAR(((F1234*21)+D1234)*28+44032)</f>
        <v>궤</v>
      </c>
      <c r="P1234" s="12" t="n">
        <f aca="false">COUNTIF($A$2:$A$3000, N1234) + COUNTIF($A$2:$A$3000, O1234)</f>
        <v>2</v>
      </c>
      <c r="Q1234" s="16" t="str">
        <f aca="false">IF(OR(B1234=-1,I1234=0, P1234&lt;&gt;2), "albhed_dummy", _xlfn.CONCAT("albhed ", RIGHT("  " &amp; K1234,2),", ", RIGHT("  " &amp; L1234,2), ", " ,"""",H1234,""", ", """",N1234,""", ","""",O1234,""""," ; ", A1234))</f>
        <v>albhed 13, 16, "기", "시", "궤" ; 쉥</v>
      </c>
    </row>
    <row r="1235" customFormat="false" ht="17.9" hidden="false" customHeight="true" outlineLevel="0" collapsed="false">
      <c r="A1235" s="16" t="s">
        <v>2102</v>
      </c>
      <c r="B1235" s="16" t="n">
        <f aca="false">IF(_xlfn.UNICODE(A1235)&lt;44032,-1,_xlfn.UNICODE(A1235)-44032)</f>
        <v>5740</v>
      </c>
      <c r="C1235" s="16" t="n">
        <f aca="false">IF(B1235=-1,-1,INT((B1235/28)/21))</f>
        <v>9</v>
      </c>
      <c r="D1235" s="16" t="n">
        <f aca="false">IF(B1235=-1, -1, MOD(INT(B1235/28),21))</f>
        <v>16</v>
      </c>
      <c r="E1235" s="16" t="n">
        <f aca="false">IF(B1235=-1, -1, VLOOKUP(MOD(B1235,28), $T$24:$U$52,2))</f>
        <v>0</v>
      </c>
      <c r="F1235" s="16" t="n">
        <f aca="false">IF($B1235=-1, -1, VLOOKUP(C1235,$T$1:$V$20, 2))</f>
        <v>0</v>
      </c>
      <c r="G1235" s="16" t="n">
        <f aca="false">IF($B1235=-1, -1, VLOOKUP(D1235,$Y$1:$Z$22,2))</f>
        <v>20</v>
      </c>
      <c r="H1235" s="16" t="str">
        <f aca="false">_xlfn.UNICHAR(((F1235*21)+G1235)*28+44032)</f>
        <v>기</v>
      </c>
      <c r="I1235" s="16" t="n">
        <f aca="false">IF(B1235=-1, 1, COUNTIF($A$2:$A$3000, H1235))</f>
        <v>1</v>
      </c>
      <c r="J1235" s="10" t="str">
        <f aca="false">_xlfn.CONCAT(A1235, ",",H1235,",",I1235)</f>
        <v>쉬,기,1</v>
      </c>
      <c r="K1235" s="16" t="n">
        <f aca="false">IF(B1235=-1,-1,VLOOKUP(C1235,$T$1:$V$20,3))</f>
        <v>13</v>
      </c>
      <c r="L1235" s="16" t="n">
        <f aca="false">IF(B1235=-1,-1,VLOOKUP(D1235,$Y$1:$AA$22,3))</f>
        <v>22</v>
      </c>
      <c r="N1235" s="10" t="str">
        <f aca="false">_xlfn.UNICHAR(((C1235*21)+G1235)*28+44032)</f>
        <v>시</v>
      </c>
      <c r="O1235" s="10" t="str">
        <f aca="false">_xlfn.UNICHAR(((F1235*21)+D1235)*28+44032)</f>
        <v>귀</v>
      </c>
      <c r="P1235" s="12" t="n">
        <f aca="false">COUNTIF($A$2:$A$3000, N1235) + COUNTIF($A$2:$A$3000, O1235)</f>
        <v>2</v>
      </c>
      <c r="Q1235" s="16" t="str">
        <f aca="false">IF(OR(B1235=-1,I1235=0, P1235&lt;&gt;2), "albhed_dummy", _xlfn.CONCAT("albhed ", RIGHT("  " &amp; K1235,2),", ", RIGHT("  " &amp; L1235,2), ", " ,"""",H1235,""", ", """",N1235,""", ","""",O1235,""""," ; ", A1235))</f>
        <v>albhed 13, 22, "기", "시", "귀" ; 쉬</v>
      </c>
    </row>
    <row r="1236" customFormat="false" ht="17.9" hidden="false" customHeight="true" outlineLevel="0" collapsed="false">
      <c r="A1236" s="16" t="s">
        <v>2103</v>
      </c>
      <c r="B1236" s="16" t="n">
        <f aca="false">IF(_xlfn.UNICODE(A1236)&lt;44032,-1,_xlfn.UNICODE(A1236)-44032)</f>
        <v>5741</v>
      </c>
      <c r="C1236" s="16" t="n">
        <f aca="false">IF(B1236=-1,-1,INT((B1236/28)/21))</f>
        <v>9</v>
      </c>
      <c r="D1236" s="16" t="n">
        <f aca="false">IF(B1236=-1, -1, MOD(INT(B1236/28),21))</f>
        <v>16</v>
      </c>
      <c r="E1236" s="16" t="n">
        <f aca="false">IF(B1236=-1, -1, VLOOKUP(MOD(B1236,28), $T$24:$U$52,2))</f>
        <v>1</v>
      </c>
      <c r="F1236" s="16" t="n">
        <f aca="false">IF($B1236=-1, -1, VLOOKUP(C1236,$T$1:$V$20, 2))</f>
        <v>0</v>
      </c>
      <c r="G1236" s="16" t="n">
        <f aca="false">IF($B1236=-1, -1, VLOOKUP(D1236,$Y$1:$Z$22,2))</f>
        <v>20</v>
      </c>
      <c r="H1236" s="16" t="str">
        <f aca="false">_xlfn.UNICHAR(((F1236*21)+G1236)*28+44032)</f>
        <v>기</v>
      </c>
      <c r="I1236" s="16" t="n">
        <f aca="false">IF(B1236=-1, 1, COUNTIF($A$2:$A$3000, H1236))</f>
        <v>1</v>
      </c>
      <c r="J1236" s="10" t="str">
        <f aca="false">_xlfn.CONCAT(A1236, ",",H1236,",",I1236)</f>
        <v>쉭,기,1</v>
      </c>
      <c r="K1236" s="16" t="n">
        <f aca="false">IF(B1236=-1,-1,VLOOKUP(C1236,$T$1:$V$20,3))</f>
        <v>13</v>
      </c>
      <c r="L1236" s="16" t="n">
        <f aca="false">IF(B1236=-1,-1,VLOOKUP(D1236,$Y$1:$AA$22,3))</f>
        <v>22</v>
      </c>
      <c r="N1236" s="10" t="str">
        <f aca="false">_xlfn.UNICHAR(((C1236*21)+G1236)*28+44032)</f>
        <v>시</v>
      </c>
      <c r="O1236" s="10" t="str">
        <f aca="false">_xlfn.UNICHAR(((F1236*21)+D1236)*28+44032)</f>
        <v>귀</v>
      </c>
      <c r="P1236" s="12" t="n">
        <f aca="false">COUNTIF($A$2:$A$3000, N1236) + COUNTIF($A$2:$A$3000, O1236)</f>
        <v>2</v>
      </c>
      <c r="Q1236" s="16" t="str">
        <f aca="false">IF(OR(B1236=-1,I1236=0, P1236&lt;&gt;2), "albhed_dummy", _xlfn.CONCAT("albhed ", RIGHT("  " &amp; K1236,2),", ", RIGHT("  " &amp; L1236,2), ", " ,"""",H1236,""", ", """",N1236,""", ","""",O1236,""""," ; ", A1236))</f>
        <v>albhed 13, 22, "기", "시", "귀" ; 쉭</v>
      </c>
    </row>
    <row r="1237" customFormat="false" ht="17.9" hidden="false" customHeight="true" outlineLevel="0" collapsed="false">
      <c r="A1237" s="16" t="s">
        <v>2104</v>
      </c>
      <c r="B1237" s="16" t="n">
        <f aca="false">IF(_xlfn.UNICODE(A1237)&lt;44032,-1,_xlfn.UNICODE(A1237)-44032)</f>
        <v>5744</v>
      </c>
      <c r="C1237" s="16" t="n">
        <f aca="false">IF(B1237=-1,-1,INT((B1237/28)/21))</f>
        <v>9</v>
      </c>
      <c r="D1237" s="16" t="n">
        <f aca="false">IF(B1237=-1, -1, MOD(INT(B1237/28),21))</f>
        <v>16</v>
      </c>
      <c r="E1237" s="16" t="n">
        <f aca="false">IF(B1237=-1, -1, VLOOKUP(MOD(B1237,28), $T$24:$U$52,2))</f>
        <v>4</v>
      </c>
      <c r="F1237" s="16" t="n">
        <f aca="false">IF($B1237=-1, -1, VLOOKUP(C1237,$T$1:$V$20, 2))</f>
        <v>0</v>
      </c>
      <c r="G1237" s="16" t="n">
        <f aca="false">IF($B1237=-1, -1, VLOOKUP(D1237,$Y$1:$Z$22,2))</f>
        <v>20</v>
      </c>
      <c r="H1237" s="16" t="str">
        <f aca="false">_xlfn.UNICHAR(((F1237*21)+G1237)*28+44032)</f>
        <v>기</v>
      </c>
      <c r="I1237" s="16" t="n">
        <f aca="false">IF(B1237=-1, 1, COUNTIF($A$2:$A$3000, H1237))</f>
        <v>1</v>
      </c>
      <c r="J1237" s="10" t="str">
        <f aca="false">_xlfn.CONCAT(A1237, ",",H1237,",",I1237)</f>
        <v>쉰,기,1</v>
      </c>
      <c r="K1237" s="16" t="n">
        <f aca="false">IF(B1237=-1,-1,VLOOKUP(C1237,$T$1:$V$20,3))</f>
        <v>13</v>
      </c>
      <c r="L1237" s="16" t="n">
        <f aca="false">IF(B1237=-1,-1,VLOOKUP(D1237,$Y$1:$AA$22,3))</f>
        <v>22</v>
      </c>
      <c r="N1237" s="10" t="str">
        <f aca="false">_xlfn.UNICHAR(((C1237*21)+G1237)*28+44032)</f>
        <v>시</v>
      </c>
      <c r="O1237" s="10" t="str">
        <f aca="false">_xlfn.UNICHAR(((F1237*21)+D1237)*28+44032)</f>
        <v>귀</v>
      </c>
      <c r="P1237" s="12" t="n">
        <f aca="false">COUNTIF($A$2:$A$3000, N1237) + COUNTIF($A$2:$A$3000, O1237)</f>
        <v>2</v>
      </c>
      <c r="Q1237" s="16" t="str">
        <f aca="false">IF(OR(B1237=-1,I1237=0, P1237&lt;&gt;2), "albhed_dummy", _xlfn.CONCAT("albhed ", RIGHT("  " &amp; K1237,2),", ", RIGHT("  " &amp; L1237,2), ", " ,"""",H1237,""", ", """",N1237,""", ","""",O1237,""""," ; ", A1237))</f>
        <v>albhed 13, 22, "기", "시", "귀" ; 쉰</v>
      </c>
    </row>
    <row r="1238" customFormat="false" ht="17.9" hidden="false" customHeight="true" outlineLevel="0" collapsed="false">
      <c r="A1238" s="16" t="s">
        <v>2105</v>
      </c>
      <c r="B1238" s="16" t="n">
        <f aca="false">IF(_xlfn.UNICODE(A1238)&lt;44032,-1,_xlfn.UNICODE(A1238)-44032)</f>
        <v>5748</v>
      </c>
      <c r="C1238" s="16" t="n">
        <f aca="false">IF(B1238=-1,-1,INT((B1238/28)/21))</f>
        <v>9</v>
      </c>
      <c r="D1238" s="16" t="n">
        <f aca="false">IF(B1238=-1, -1, MOD(INT(B1238/28),21))</f>
        <v>16</v>
      </c>
      <c r="E1238" s="16" t="n">
        <f aca="false">IF(B1238=-1, -1, VLOOKUP(MOD(B1238,28), $T$24:$U$52,2))</f>
        <v>8</v>
      </c>
      <c r="F1238" s="16" t="n">
        <f aca="false">IF($B1238=-1, -1, VLOOKUP(C1238,$T$1:$V$20, 2))</f>
        <v>0</v>
      </c>
      <c r="G1238" s="16" t="n">
        <f aca="false">IF($B1238=-1, -1, VLOOKUP(D1238,$Y$1:$Z$22,2))</f>
        <v>20</v>
      </c>
      <c r="H1238" s="16" t="str">
        <f aca="false">_xlfn.UNICHAR(((F1238*21)+G1238)*28+44032)</f>
        <v>기</v>
      </c>
      <c r="I1238" s="16" t="n">
        <f aca="false">IF(B1238=-1, 1, COUNTIF($A$2:$A$3000, H1238))</f>
        <v>1</v>
      </c>
      <c r="J1238" s="10" t="str">
        <f aca="false">_xlfn.CONCAT(A1238, ",",H1238,",",I1238)</f>
        <v>쉴,기,1</v>
      </c>
      <c r="K1238" s="16" t="n">
        <f aca="false">IF(B1238=-1,-1,VLOOKUP(C1238,$T$1:$V$20,3))</f>
        <v>13</v>
      </c>
      <c r="L1238" s="16" t="n">
        <f aca="false">IF(B1238=-1,-1,VLOOKUP(D1238,$Y$1:$AA$22,3))</f>
        <v>22</v>
      </c>
      <c r="N1238" s="10" t="str">
        <f aca="false">_xlfn.UNICHAR(((C1238*21)+G1238)*28+44032)</f>
        <v>시</v>
      </c>
      <c r="O1238" s="10" t="str">
        <f aca="false">_xlfn.UNICHAR(((F1238*21)+D1238)*28+44032)</f>
        <v>귀</v>
      </c>
      <c r="P1238" s="12" t="n">
        <f aca="false">COUNTIF($A$2:$A$3000, N1238) + COUNTIF($A$2:$A$3000, O1238)</f>
        <v>2</v>
      </c>
      <c r="Q1238" s="16" t="str">
        <f aca="false">IF(OR(B1238=-1,I1238=0, P1238&lt;&gt;2), "albhed_dummy", _xlfn.CONCAT("albhed ", RIGHT("  " &amp; K1238,2),", ", RIGHT("  " &amp; L1238,2), ", " ,"""",H1238,""", ", """",N1238,""", ","""",O1238,""""," ; ", A1238))</f>
        <v>albhed 13, 22, "기", "시", "귀" ; 쉴</v>
      </c>
    </row>
    <row r="1239" customFormat="false" ht="17.9" hidden="false" customHeight="true" outlineLevel="0" collapsed="false">
      <c r="A1239" s="16" t="s">
        <v>2106</v>
      </c>
      <c r="B1239" s="16" t="n">
        <f aca="false">IF(_xlfn.UNICODE(A1239)&lt;44032,-1,_xlfn.UNICODE(A1239)-44032)</f>
        <v>5756</v>
      </c>
      <c r="C1239" s="16" t="n">
        <f aca="false">IF(B1239=-1,-1,INT((B1239/28)/21))</f>
        <v>9</v>
      </c>
      <c r="D1239" s="16" t="n">
        <f aca="false">IF(B1239=-1, -1, MOD(INT(B1239/28),21))</f>
        <v>16</v>
      </c>
      <c r="E1239" s="16" t="n">
        <f aca="false">IF(B1239=-1, -1, VLOOKUP(MOD(B1239,28), $T$24:$U$52,2))</f>
        <v>16</v>
      </c>
      <c r="F1239" s="16" t="n">
        <f aca="false">IF($B1239=-1, -1, VLOOKUP(C1239,$T$1:$V$20, 2))</f>
        <v>0</v>
      </c>
      <c r="G1239" s="16" t="n">
        <f aca="false">IF($B1239=-1, -1, VLOOKUP(D1239,$Y$1:$Z$22,2))</f>
        <v>20</v>
      </c>
      <c r="H1239" s="16" t="str">
        <f aca="false">_xlfn.UNICHAR(((F1239*21)+G1239)*28+44032)</f>
        <v>기</v>
      </c>
      <c r="I1239" s="16" t="n">
        <f aca="false">IF(B1239=-1, 1, COUNTIF($A$2:$A$3000, H1239))</f>
        <v>1</v>
      </c>
      <c r="J1239" s="10" t="str">
        <f aca="false">_xlfn.CONCAT(A1239, ",",H1239,",",I1239)</f>
        <v>쉼,기,1</v>
      </c>
      <c r="K1239" s="16" t="n">
        <f aca="false">IF(B1239=-1,-1,VLOOKUP(C1239,$T$1:$V$20,3))</f>
        <v>13</v>
      </c>
      <c r="L1239" s="16" t="n">
        <f aca="false">IF(B1239=-1,-1,VLOOKUP(D1239,$Y$1:$AA$22,3))</f>
        <v>22</v>
      </c>
      <c r="N1239" s="10" t="str">
        <f aca="false">_xlfn.UNICHAR(((C1239*21)+G1239)*28+44032)</f>
        <v>시</v>
      </c>
      <c r="O1239" s="10" t="str">
        <f aca="false">_xlfn.UNICHAR(((F1239*21)+D1239)*28+44032)</f>
        <v>귀</v>
      </c>
      <c r="P1239" s="12" t="n">
        <f aca="false">COUNTIF($A$2:$A$3000, N1239) + COUNTIF($A$2:$A$3000, O1239)</f>
        <v>2</v>
      </c>
      <c r="Q1239" s="16" t="str">
        <f aca="false">IF(OR(B1239=-1,I1239=0, P1239&lt;&gt;2), "albhed_dummy", _xlfn.CONCAT("albhed ", RIGHT("  " &amp; K1239,2),", ", RIGHT("  " &amp; L1239,2), ", " ,"""",H1239,""", ", """",N1239,""", ","""",O1239,""""," ; ", A1239))</f>
        <v>albhed 13, 22, "기", "시", "귀" ; 쉼</v>
      </c>
    </row>
    <row r="1240" customFormat="false" ht="17.9" hidden="false" customHeight="true" outlineLevel="0" collapsed="false">
      <c r="A1240" s="16" t="s">
        <v>2107</v>
      </c>
      <c r="B1240" s="16" t="n">
        <f aca="false">IF(_xlfn.UNICODE(A1240)&lt;44032,-1,_xlfn.UNICODE(A1240)-44032)</f>
        <v>5757</v>
      </c>
      <c r="C1240" s="16" t="n">
        <f aca="false">IF(B1240=-1,-1,INT((B1240/28)/21))</f>
        <v>9</v>
      </c>
      <c r="D1240" s="16" t="n">
        <f aca="false">IF(B1240=-1, -1, MOD(INT(B1240/28),21))</f>
        <v>16</v>
      </c>
      <c r="E1240" s="16" t="n">
        <f aca="false">IF(B1240=-1, -1, VLOOKUP(MOD(B1240,28), $T$24:$U$52,2))</f>
        <v>17</v>
      </c>
      <c r="F1240" s="16" t="n">
        <f aca="false">IF($B1240=-1, -1, VLOOKUP(C1240,$T$1:$V$20, 2))</f>
        <v>0</v>
      </c>
      <c r="G1240" s="16" t="n">
        <f aca="false">IF($B1240=-1, -1, VLOOKUP(D1240,$Y$1:$Z$22,2))</f>
        <v>20</v>
      </c>
      <c r="H1240" s="16" t="str">
        <f aca="false">_xlfn.UNICHAR(((F1240*21)+G1240)*28+44032)</f>
        <v>기</v>
      </c>
      <c r="I1240" s="16" t="n">
        <f aca="false">IF(B1240=-1, 1, COUNTIF($A$2:$A$3000, H1240))</f>
        <v>1</v>
      </c>
      <c r="J1240" s="10" t="str">
        <f aca="false">_xlfn.CONCAT(A1240, ",",H1240,",",I1240)</f>
        <v>쉽,기,1</v>
      </c>
      <c r="K1240" s="16" t="n">
        <f aca="false">IF(B1240=-1,-1,VLOOKUP(C1240,$T$1:$V$20,3))</f>
        <v>13</v>
      </c>
      <c r="L1240" s="16" t="n">
        <f aca="false">IF(B1240=-1,-1,VLOOKUP(D1240,$Y$1:$AA$22,3))</f>
        <v>22</v>
      </c>
      <c r="N1240" s="10" t="str">
        <f aca="false">_xlfn.UNICHAR(((C1240*21)+G1240)*28+44032)</f>
        <v>시</v>
      </c>
      <c r="O1240" s="10" t="str">
        <f aca="false">_xlfn.UNICHAR(((F1240*21)+D1240)*28+44032)</f>
        <v>귀</v>
      </c>
      <c r="P1240" s="12" t="n">
        <f aca="false">COUNTIF($A$2:$A$3000, N1240) + COUNTIF($A$2:$A$3000, O1240)</f>
        <v>2</v>
      </c>
      <c r="Q1240" s="16" t="str">
        <f aca="false">IF(OR(B1240=-1,I1240=0, P1240&lt;&gt;2), "albhed_dummy", _xlfn.CONCAT("albhed ", RIGHT("  " &amp; K1240,2),", ", RIGHT("  " &amp; L1240,2), ", " ,"""",H1240,""", ", """",N1240,""", ","""",O1240,""""," ; ", A1240))</f>
        <v>albhed 13, 22, "기", "시", "귀" ; 쉽</v>
      </c>
    </row>
    <row r="1241" customFormat="false" ht="17.9" hidden="false" customHeight="true" outlineLevel="0" collapsed="false">
      <c r="A1241" s="16" t="s">
        <v>2108</v>
      </c>
      <c r="B1241" s="16" t="n">
        <f aca="false">IF(_xlfn.UNICODE(A1241)&lt;44032,-1,_xlfn.UNICODE(A1241)-44032)</f>
        <v>5759</v>
      </c>
      <c r="C1241" s="16" t="n">
        <f aca="false">IF(B1241=-1,-1,INT((B1241/28)/21))</f>
        <v>9</v>
      </c>
      <c r="D1241" s="16" t="n">
        <f aca="false">IF(B1241=-1, -1, MOD(INT(B1241/28),21))</f>
        <v>16</v>
      </c>
      <c r="E1241" s="16" t="n">
        <f aca="false">IF(B1241=-1, -1, VLOOKUP(MOD(B1241,28), $T$24:$U$52,2))</f>
        <v>19</v>
      </c>
      <c r="F1241" s="16" t="n">
        <f aca="false">IF($B1241=-1, -1, VLOOKUP(C1241,$T$1:$V$20, 2))</f>
        <v>0</v>
      </c>
      <c r="G1241" s="16" t="n">
        <f aca="false">IF($B1241=-1, -1, VLOOKUP(D1241,$Y$1:$Z$22,2))</f>
        <v>20</v>
      </c>
      <c r="H1241" s="16" t="str">
        <f aca="false">_xlfn.UNICHAR(((F1241*21)+G1241)*28+44032)</f>
        <v>기</v>
      </c>
      <c r="I1241" s="16" t="n">
        <f aca="false">IF(B1241=-1, 1, COUNTIF($A$2:$A$3000, H1241))</f>
        <v>1</v>
      </c>
      <c r="J1241" s="10" t="str">
        <f aca="false">_xlfn.CONCAT(A1241, ",",H1241,",",I1241)</f>
        <v>쉿,기,1</v>
      </c>
      <c r="K1241" s="16" t="n">
        <f aca="false">IF(B1241=-1,-1,VLOOKUP(C1241,$T$1:$V$20,3))</f>
        <v>13</v>
      </c>
      <c r="L1241" s="16" t="n">
        <f aca="false">IF(B1241=-1,-1,VLOOKUP(D1241,$Y$1:$AA$22,3))</f>
        <v>22</v>
      </c>
      <c r="N1241" s="10" t="str">
        <f aca="false">_xlfn.UNICHAR(((C1241*21)+G1241)*28+44032)</f>
        <v>시</v>
      </c>
      <c r="O1241" s="10" t="str">
        <f aca="false">_xlfn.UNICHAR(((F1241*21)+D1241)*28+44032)</f>
        <v>귀</v>
      </c>
      <c r="P1241" s="12" t="n">
        <f aca="false">COUNTIF($A$2:$A$3000, N1241) + COUNTIF($A$2:$A$3000, O1241)</f>
        <v>2</v>
      </c>
      <c r="Q1241" s="16" t="str">
        <f aca="false">IF(OR(B1241=-1,I1241=0, P1241&lt;&gt;2), "albhed_dummy", _xlfn.CONCAT("albhed ", RIGHT("  " &amp; K1241,2),", ", RIGHT("  " &amp; L1241,2), ", " ,"""",H1241,""", ", """",N1241,""", ","""",O1241,""""," ; ", A1241))</f>
        <v>albhed 13, 22, "기", "시", "귀" ; 쉿</v>
      </c>
    </row>
    <row r="1242" customFormat="false" ht="17.9" hidden="false" customHeight="true" outlineLevel="0" collapsed="false">
      <c r="A1242" s="16" t="s">
        <v>2109</v>
      </c>
      <c r="B1242" s="16" t="n">
        <f aca="false">IF(_xlfn.UNICODE(A1242)&lt;44032,-1,_xlfn.UNICODE(A1242)-44032)</f>
        <v>5761</v>
      </c>
      <c r="C1242" s="16" t="n">
        <f aca="false">IF(B1242=-1,-1,INT((B1242/28)/21))</f>
        <v>9</v>
      </c>
      <c r="D1242" s="16" t="n">
        <f aca="false">IF(B1242=-1, -1, MOD(INT(B1242/28),21))</f>
        <v>16</v>
      </c>
      <c r="E1242" s="16" t="n">
        <f aca="false">IF(B1242=-1, -1, VLOOKUP(MOD(B1242,28), $T$24:$U$52,2))</f>
        <v>21</v>
      </c>
      <c r="F1242" s="16" t="n">
        <f aca="false">IF($B1242=-1, -1, VLOOKUP(C1242,$T$1:$V$20, 2))</f>
        <v>0</v>
      </c>
      <c r="G1242" s="16" t="n">
        <f aca="false">IF($B1242=-1, -1, VLOOKUP(D1242,$Y$1:$Z$22,2))</f>
        <v>20</v>
      </c>
      <c r="H1242" s="16" t="str">
        <f aca="false">_xlfn.UNICHAR(((F1242*21)+G1242)*28+44032)</f>
        <v>기</v>
      </c>
      <c r="I1242" s="16" t="n">
        <f aca="false">IF(B1242=-1, 1, COUNTIF($A$2:$A$3000, H1242))</f>
        <v>1</v>
      </c>
      <c r="J1242" s="10" t="str">
        <f aca="false">_xlfn.CONCAT(A1242, ",",H1242,",",I1242)</f>
        <v>슁,기,1</v>
      </c>
      <c r="K1242" s="16" t="n">
        <f aca="false">IF(B1242=-1,-1,VLOOKUP(C1242,$T$1:$V$20,3))</f>
        <v>13</v>
      </c>
      <c r="L1242" s="16" t="n">
        <f aca="false">IF(B1242=-1,-1,VLOOKUP(D1242,$Y$1:$AA$22,3))</f>
        <v>22</v>
      </c>
      <c r="N1242" s="10" t="str">
        <f aca="false">_xlfn.UNICHAR(((C1242*21)+G1242)*28+44032)</f>
        <v>시</v>
      </c>
      <c r="O1242" s="10" t="str">
        <f aca="false">_xlfn.UNICHAR(((F1242*21)+D1242)*28+44032)</f>
        <v>귀</v>
      </c>
      <c r="P1242" s="12" t="n">
        <f aca="false">COUNTIF($A$2:$A$3000, N1242) + COUNTIF($A$2:$A$3000, O1242)</f>
        <v>2</v>
      </c>
      <c r="Q1242" s="16" t="str">
        <f aca="false">IF(OR(B1242=-1,I1242=0, P1242&lt;&gt;2), "albhed_dummy", _xlfn.CONCAT("albhed ", RIGHT("  " &amp; K1242,2),", ", RIGHT("  " &amp; L1242,2), ", " ,"""",H1242,""", ", """",N1242,""", ","""",O1242,""""," ; ", A1242))</f>
        <v>albhed 13, 22, "기", "시", "귀" ; 슁</v>
      </c>
    </row>
    <row r="1243" customFormat="false" ht="17.9" hidden="false" customHeight="true" outlineLevel="0" collapsed="false">
      <c r="A1243" s="16" t="s">
        <v>2110</v>
      </c>
      <c r="B1243" s="16" t="n">
        <f aca="false">IF(_xlfn.UNICODE(A1243)&lt;44032,-1,_xlfn.UNICODE(A1243)-44032)</f>
        <v>5768</v>
      </c>
      <c r="C1243" s="16" t="n">
        <f aca="false">IF(B1243=-1,-1,INT((B1243/28)/21))</f>
        <v>9</v>
      </c>
      <c r="D1243" s="16" t="n">
        <f aca="false">IF(B1243=-1, -1, MOD(INT(B1243/28),21))</f>
        <v>17</v>
      </c>
      <c r="E1243" s="16" t="n">
        <f aca="false">IF(B1243=-1, -1, VLOOKUP(MOD(B1243,28), $T$24:$U$52,2))</f>
        <v>0</v>
      </c>
      <c r="F1243" s="16" t="n">
        <f aca="false">IF($B1243=-1, -1, VLOOKUP(C1243,$T$1:$V$20, 2))</f>
        <v>0</v>
      </c>
      <c r="G1243" s="16" t="n">
        <f aca="false">IF($B1243=-1, -1, VLOOKUP(D1243,$Y$1:$Z$22,2))</f>
        <v>2</v>
      </c>
      <c r="H1243" s="16" t="str">
        <f aca="false">_xlfn.UNICHAR(((F1243*21)+G1243)*28+44032)</f>
        <v>갸</v>
      </c>
      <c r="I1243" s="16" t="n">
        <f aca="false">IF(B1243=-1, 1, COUNTIF($A$2:$A$3000, H1243))</f>
        <v>1</v>
      </c>
      <c r="J1243" s="10" t="str">
        <f aca="false">_xlfn.CONCAT(A1243, ",",H1243,",",I1243)</f>
        <v>슈,갸,1</v>
      </c>
      <c r="K1243" s="16" t="n">
        <f aca="false">IF(B1243=-1,-1,VLOOKUP(C1243,$T$1:$V$20,3))</f>
        <v>13</v>
      </c>
      <c r="L1243" s="16" t="n">
        <f aca="false">IF(B1243=-1,-1,VLOOKUP(D1243,$Y$1:$AA$22,3))</f>
        <v>6</v>
      </c>
      <c r="N1243" s="10" t="str">
        <f aca="false">_xlfn.UNICHAR(((C1243*21)+G1243)*28+44032)</f>
        <v>샤</v>
      </c>
      <c r="O1243" s="10" t="str">
        <f aca="false">_xlfn.UNICHAR(((F1243*21)+D1243)*28+44032)</f>
        <v>규</v>
      </c>
      <c r="P1243" s="12" t="n">
        <f aca="false">COUNTIF($A$2:$A$3000, N1243) + COUNTIF($A$2:$A$3000, O1243)</f>
        <v>2</v>
      </c>
      <c r="Q1243" s="16" t="str">
        <f aca="false">IF(OR(B1243=-1,I1243=0, P1243&lt;&gt;2), "albhed_dummy", _xlfn.CONCAT("albhed ", RIGHT("  " &amp; K1243,2),", ", RIGHT("  " &amp; L1243,2), ", " ,"""",H1243,""", ", """",N1243,""", ","""",O1243,""""," ; ", A1243))</f>
        <v>albhed 13,  6, "갸", "샤", "규" ; 슈</v>
      </c>
    </row>
    <row r="1244" customFormat="false" ht="17.9" hidden="false" customHeight="true" outlineLevel="0" collapsed="false">
      <c r="A1244" s="16" t="s">
        <v>2111</v>
      </c>
      <c r="B1244" s="16" t="n">
        <f aca="false">IF(_xlfn.UNICODE(A1244)&lt;44032,-1,_xlfn.UNICODE(A1244)-44032)</f>
        <v>5769</v>
      </c>
      <c r="C1244" s="16" t="n">
        <f aca="false">IF(B1244=-1,-1,INT((B1244/28)/21))</f>
        <v>9</v>
      </c>
      <c r="D1244" s="16" t="n">
        <f aca="false">IF(B1244=-1, -1, MOD(INT(B1244/28),21))</f>
        <v>17</v>
      </c>
      <c r="E1244" s="16" t="n">
        <f aca="false">IF(B1244=-1, -1, VLOOKUP(MOD(B1244,28), $T$24:$U$52,2))</f>
        <v>1</v>
      </c>
      <c r="F1244" s="16" t="n">
        <f aca="false">IF($B1244=-1, -1, VLOOKUP(C1244,$T$1:$V$20, 2))</f>
        <v>0</v>
      </c>
      <c r="G1244" s="16" t="n">
        <f aca="false">IF($B1244=-1, -1, VLOOKUP(D1244,$Y$1:$Z$22,2))</f>
        <v>2</v>
      </c>
      <c r="H1244" s="16" t="str">
        <f aca="false">_xlfn.UNICHAR(((F1244*21)+G1244)*28+44032)</f>
        <v>갸</v>
      </c>
      <c r="I1244" s="16" t="n">
        <f aca="false">IF(B1244=-1, 1, COUNTIF($A$2:$A$3000, H1244))</f>
        <v>1</v>
      </c>
      <c r="J1244" s="10" t="str">
        <f aca="false">_xlfn.CONCAT(A1244, ",",H1244,",",I1244)</f>
        <v>슉,갸,1</v>
      </c>
      <c r="K1244" s="16" t="n">
        <f aca="false">IF(B1244=-1,-1,VLOOKUP(C1244,$T$1:$V$20,3))</f>
        <v>13</v>
      </c>
      <c r="L1244" s="16" t="n">
        <f aca="false">IF(B1244=-1,-1,VLOOKUP(D1244,$Y$1:$AA$22,3))</f>
        <v>6</v>
      </c>
      <c r="N1244" s="10" t="str">
        <f aca="false">_xlfn.UNICHAR(((C1244*21)+G1244)*28+44032)</f>
        <v>샤</v>
      </c>
      <c r="O1244" s="10" t="str">
        <f aca="false">_xlfn.UNICHAR(((F1244*21)+D1244)*28+44032)</f>
        <v>규</v>
      </c>
      <c r="P1244" s="12" t="n">
        <f aca="false">COUNTIF($A$2:$A$3000, N1244) + COUNTIF($A$2:$A$3000, O1244)</f>
        <v>2</v>
      </c>
      <c r="Q1244" s="16" t="str">
        <f aca="false">IF(OR(B1244=-1,I1244=0, P1244&lt;&gt;2), "albhed_dummy", _xlfn.CONCAT("albhed ", RIGHT("  " &amp; K1244,2),", ", RIGHT("  " &amp; L1244,2), ", " ,"""",H1244,""", ", """",N1244,""", ","""",O1244,""""," ; ", A1244))</f>
        <v>albhed 13,  6, "갸", "샤", "규" ; 슉</v>
      </c>
    </row>
    <row r="1245" customFormat="false" ht="17.9" hidden="false" customHeight="true" outlineLevel="0" collapsed="false">
      <c r="A1245" s="16" t="s">
        <v>2112</v>
      </c>
      <c r="B1245" s="16" t="n">
        <f aca="false">IF(_xlfn.UNICODE(A1245)&lt;44032,-1,_xlfn.UNICODE(A1245)-44032)</f>
        <v>5776</v>
      </c>
      <c r="C1245" s="16" t="n">
        <f aca="false">IF(B1245=-1,-1,INT((B1245/28)/21))</f>
        <v>9</v>
      </c>
      <c r="D1245" s="16" t="n">
        <f aca="false">IF(B1245=-1, -1, MOD(INT(B1245/28),21))</f>
        <v>17</v>
      </c>
      <c r="E1245" s="16" t="n">
        <f aca="false">IF(B1245=-1, -1, VLOOKUP(MOD(B1245,28), $T$24:$U$52,2))</f>
        <v>8</v>
      </c>
      <c r="F1245" s="16" t="n">
        <f aca="false">IF($B1245=-1, -1, VLOOKUP(C1245,$T$1:$V$20, 2))</f>
        <v>0</v>
      </c>
      <c r="G1245" s="16" t="n">
        <f aca="false">IF($B1245=-1, -1, VLOOKUP(D1245,$Y$1:$Z$22,2))</f>
        <v>2</v>
      </c>
      <c r="H1245" s="16" t="str">
        <f aca="false">_xlfn.UNICHAR(((F1245*21)+G1245)*28+44032)</f>
        <v>갸</v>
      </c>
      <c r="I1245" s="16" t="n">
        <f aca="false">IF(B1245=-1, 1, COUNTIF($A$2:$A$3000, H1245))</f>
        <v>1</v>
      </c>
      <c r="J1245" s="10" t="str">
        <f aca="false">_xlfn.CONCAT(A1245, ",",H1245,",",I1245)</f>
        <v>슐,갸,1</v>
      </c>
      <c r="K1245" s="16" t="n">
        <f aca="false">IF(B1245=-1,-1,VLOOKUP(C1245,$T$1:$V$20,3))</f>
        <v>13</v>
      </c>
      <c r="L1245" s="16" t="n">
        <f aca="false">IF(B1245=-1,-1,VLOOKUP(D1245,$Y$1:$AA$22,3))</f>
        <v>6</v>
      </c>
      <c r="N1245" s="10" t="str">
        <f aca="false">_xlfn.UNICHAR(((C1245*21)+G1245)*28+44032)</f>
        <v>샤</v>
      </c>
      <c r="O1245" s="10" t="str">
        <f aca="false">_xlfn.UNICHAR(((F1245*21)+D1245)*28+44032)</f>
        <v>규</v>
      </c>
      <c r="P1245" s="12" t="n">
        <f aca="false">COUNTIF($A$2:$A$3000, N1245) + COUNTIF($A$2:$A$3000, O1245)</f>
        <v>2</v>
      </c>
      <c r="Q1245" s="16" t="str">
        <f aca="false">IF(OR(B1245=-1,I1245=0, P1245&lt;&gt;2), "albhed_dummy", _xlfn.CONCAT("albhed ", RIGHT("  " &amp; K1245,2),", ", RIGHT("  " &amp; L1245,2), ", " ,"""",H1245,""", ", """",N1245,""", ","""",O1245,""""," ; ", A1245))</f>
        <v>albhed 13,  6, "갸", "샤", "규" ; 슐</v>
      </c>
    </row>
    <row r="1246" customFormat="false" ht="17.9" hidden="false" customHeight="true" outlineLevel="0" collapsed="false">
      <c r="A1246" s="16" t="s">
        <v>2113</v>
      </c>
      <c r="B1246" s="16" t="n">
        <f aca="false">IF(_xlfn.UNICODE(A1246)&lt;44032,-1,_xlfn.UNICODE(A1246)-44032)</f>
        <v>5784</v>
      </c>
      <c r="C1246" s="16" t="n">
        <f aca="false">IF(B1246=-1,-1,INT((B1246/28)/21))</f>
        <v>9</v>
      </c>
      <c r="D1246" s="16" t="n">
        <f aca="false">IF(B1246=-1, -1, MOD(INT(B1246/28),21))</f>
        <v>17</v>
      </c>
      <c r="E1246" s="16" t="n">
        <f aca="false">IF(B1246=-1, -1, VLOOKUP(MOD(B1246,28), $T$24:$U$52,2))</f>
        <v>16</v>
      </c>
      <c r="F1246" s="16" t="n">
        <f aca="false">IF($B1246=-1, -1, VLOOKUP(C1246,$T$1:$V$20, 2))</f>
        <v>0</v>
      </c>
      <c r="G1246" s="16" t="n">
        <f aca="false">IF($B1246=-1, -1, VLOOKUP(D1246,$Y$1:$Z$22,2))</f>
        <v>2</v>
      </c>
      <c r="H1246" s="16" t="str">
        <f aca="false">_xlfn.UNICHAR(((F1246*21)+G1246)*28+44032)</f>
        <v>갸</v>
      </c>
      <c r="I1246" s="16" t="n">
        <f aca="false">IF(B1246=-1, 1, COUNTIF($A$2:$A$3000, H1246))</f>
        <v>1</v>
      </c>
      <c r="J1246" s="10" t="str">
        <f aca="false">_xlfn.CONCAT(A1246, ",",H1246,",",I1246)</f>
        <v>슘,갸,1</v>
      </c>
      <c r="K1246" s="16" t="n">
        <f aca="false">IF(B1246=-1,-1,VLOOKUP(C1246,$T$1:$V$20,3))</f>
        <v>13</v>
      </c>
      <c r="L1246" s="16" t="n">
        <f aca="false">IF(B1246=-1,-1,VLOOKUP(D1246,$Y$1:$AA$22,3))</f>
        <v>6</v>
      </c>
      <c r="N1246" s="10" t="str">
        <f aca="false">_xlfn.UNICHAR(((C1246*21)+G1246)*28+44032)</f>
        <v>샤</v>
      </c>
      <c r="O1246" s="10" t="str">
        <f aca="false">_xlfn.UNICHAR(((F1246*21)+D1246)*28+44032)</f>
        <v>규</v>
      </c>
      <c r="P1246" s="12" t="n">
        <f aca="false">COUNTIF($A$2:$A$3000, N1246) + COUNTIF($A$2:$A$3000, O1246)</f>
        <v>2</v>
      </c>
      <c r="Q1246" s="16" t="str">
        <f aca="false">IF(OR(B1246=-1,I1246=0, P1246&lt;&gt;2), "albhed_dummy", _xlfn.CONCAT("albhed ", RIGHT("  " &amp; K1246,2),", ", RIGHT("  " &amp; L1246,2), ", " ,"""",H1246,""", ", """",N1246,""", ","""",O1246,""""," ; ", A1246))</f>
        <v>albhed 13,  6, "갸", "샤", "규" ; 슘</v>
      </c>
    </row>
    <row r="1247" customFormat="false" ht="17.9" hidden="false" customHeight="true" outlineLevel="0" collapsed="false">
      <c r="A1247" s="16" t="s">
        <v>2114</v>
      </c>
      <c r="B1247" s="16" t="n">
        <f aca="false">IF(_xlfn.UNICODE(A1247)&lt;44032,-1,_xlfn.UNICODE(A1247)-44032)</f>
        <v>5787</v>
      </c>
      <c r="C1247" s="16" t="n">
        <f aca="false">IF(B1247=-1,-1,INT((B1247/28)/21))</f>
        <v>9</v>
      </c>
      <c r="D1247" s="16" t="n">
        <f aca="false">IF(B1247=-1, -1, MOD(INT(B1247/28),21))</f>
        <v>17</v>
      </c>
      <c r="E1247" s="16" t="n">
        <f aca="false">IF(B1247=-1, -1, VLOOKUP(MOD(B1247,28), $T$24:$U$52,2))</f>
        <v>19</v>
      </c>
      <c r="F1247" s="16" t="n">
        <f aca="false">IF($B1247=-1, -1, VLOOKUP(C1247,$T$1:$V$20, 2))</f>
        <v>0</v>
      </c>
      <c r="G1247" s="16" t="n">
        <f aca="false">IF($B1247=-1, -1, VLOOKUP(D1247,$Y$1:$Z$22,2))</f>
        <v>2</v>
      </c>
      <c r="H1247" s="16" t="str">
        <f aca="false">_xlfn.UNICHAR(((F1247*21)+G1247)*28+44032)</f>
        <v>갸</v>
      </c>
      <c r="I1247" s="16" t="n">
        <f aca="false">IF(B1247=-1, 1, COUNTIF($A$2:$A$3000, H1247))</f>
        <v>1</v>
      </c>
      <c r="J1247" s="10" t="str">
        <f aca="false">_xlfn.CONCAT(A1247, ",",H1247,",",I1247)</f>
        <v>슛,갸,1</v>
      </c>
      <c r="K1247" s="16" t="n">
        <f aca="false">IF(B1247=-1,-1,VLOOKUP(C1247,$T$1:$V$20,3))</f>
        <v>13</v>
      </c>
      <c r="L1247" s="16" t="n">
        <f aca="false">IF(B1247=-1,-1,VLOOKUP(D1247,$Y$1:$AA$22,3))</f>
        <v>6</v>
      </c>
      <c r="N1247" s="10" t="str">
        <f aca="false">_xlfn.UNICHAR(((C1247*21)+G1247)*28+44032)</f>
        <v>샤</v>
      </c>
      <c r="O1247" s="10" t="str">
        <f aca="false">_xlfn.UNICHAR(((F1247*21)+D1247)*28+44032)</f>
        <v>규</v>
      </c>
      <c r="P1247" s="12" t="n">
        <f aca="false">COUNTIF($A$2:$A$3000, N1247) + COUNTIF($A$2:$A$3000, O1247)</f>
        <v>2</v>
      </c>
      <c r="Q1247" s="16" t="str">
        <f aca="false">IF(OR(B1247=-1,I1247=0, P1247&lt;&gt;2), "albhed_dummy", _xlfn.CONCAT("albhed ", RIGHT("  " &amp; K1247,2),", ", RIGHT("  " &amp; L1247,2), ", " ,"""",H1247,""", ", """",N1247,""", ","""",O1247,""""," ; ", A1247))</f>
        <v>albhed 13,  6, "갸", "샤", "규" ; 슛</v>
      </c>
    </row>
    <row r="1248" customFormat="false" ht="17.9" hidden="false" customHeight="true" outlineLevel="0" collapsed="false">
      <c r="A1248" s="16" t="s">
        <v>2115</v>
      </c>
      <c r="B1248" s="16" t="n">
        <f aca="false">IF(_xlfn.UNICODE(A1248)&lt;44032,-1,_xlfn.UNICODE(A1248)-44032)</f>
        <v>5789</v>
      </c>
      <c r="C1248" s="16" t="n">
        <f aca="false">IF(B1248=-1,-1,INT((B1248/28)/21))</f>
        <v>9</v>
      </c>
      <c r="D1248" s="16" t="n">
        <f aca="false">IF(B1248=-1, -1, MOD(INT(B1248/28),21))</f>
        <v>17</v>
      </c>
      <c r="E1248" s="16" t="n">
        <f aca="false">IF(B1248=-1, -1, VLOOKUP(MOD(B1248,28), $T$24:$U$52,2))</f>
        <v>21</v>
      </c>
      <c r="F1248" s="16" t="n">
        <f aca="false">IF($B1248=-1, -1, VLOOKUP(C1248,$T$1:$V$20, 2))</f>
        <v>0</v>
      </c>
      <c r="G1248" s="16" t="n">
        <f aca="false">IF($B1248=-1, -1, VLOOKUP(D1248,$Y$1:$Z$22,2))</f>
        <v>2</v>
      </c>
      <c r="H1248" s="16" t="str">
        <f aca="false">_xlfn.UNICHAR(((F1248*21)+G1248)*28+44032)</f>
        <v>갸</v>
      </c>
      <c r="I1248" s="16" t="n">
        <f aca="false">IF(B1248=-1, 1, COUNTIF($A$2:$A$3000, H1248))</f>
        <v>1</v>
      </c>
      <c r="J1248" s="10" t="str">
        <f aca="false">_xlfn.CONCAT(A1248, ",",H1248,",",I1248)</f>
        <v>슝,갸,1</v>
      </c>
      <c r="K1248" s="16" t="n">
        <f aca="false">IF(B1248=-1,-1,VLOOKUP(C1248,$T$1:$V$20,3))</f>
        <v>13</v>
      </c>
      <c r="L1248" s="16" t="n">
        <f aca="false">IF(B1248=-1,-1,VLOOKUP(D1248,$Y$1:$AA$22,3))</f>
        <v>6</v>
      </c>
      <c r="N1248" s="10" t="str">
        <f aca="false">_xlfn.UNICHAR(((C1248*21)+G1248)*28+44032)</f>
        <v>샤</v>
      </c>
      <c r="O1248" s="10" t="str">
        <f aca="false">_xlfn.UNICHAR(((F1248*21)+D1248)*28+44032)</f>
        <v>규</v>
      </c>
      <c r="P1248" s="12" t="n">
        <f aca="false">COUNTIF($A$2:$A$3000, N1248) + COUNTIF($A$2:$A$3000, O1248)</f>
        <v>2</v>
      </c>
      <c r="Q1248" s="16" t="str">
        <f aca="false">IF(OR(B1248=-1,I1248=0, P1248&lt;&gt;2), "albhed_dummy", _xlfn.CONCAT("albhed ", RIGHT("  " &amp; K1248,2),", ", RIGHT("  " &amp; L1248,2), ", " ,"""",H1248,""", ", """",N1248,""", ","""",O1248,""""," ; ", A1248))</f>
        <v>albhed 13,  6, "갸", "샤", "규" ; 슝</v>
      </c>
    </row>
    <row r="1249" customFormat="false" ht="17.9" hidden="false" customHeight="true" outlineLevel="0" collapsed="false">
      <c r="A1249" s="16" t="s">
        <v>789</v>
      </c>
      <c r="B1249" s="16" t="n">
        <f aca="false">IF(_xlfn.UNICODE(A1249)&lt;44032,-1,_xlfn.UNICODE(A1249)-44032)</f>
        <v>5796</v>
      </c>
      <c r="C1249" s="16" t="n">
        <f aca="false">IF(B1249=-1,-1,INT((B1249/28)/21))</f>
        <v>9</v>
      </c>
      <c r="D1249" s="16" t="n">
        <f aca="false">IF(B1249=-1, -1, MOD(INT(B1249/28),21))</f>
        <v>18</v>
      </c>
      <c r="E1249" s="16" t="n">
        <f aca="false">IF(B1249=-1, -1, VLOOKUP(MOD(B1249,28), $T$24:$U$52,2))</f>
        <v>0</v>
      </c>
      <c r="F1249" s="16" t="n">
        <f aca="false">IF($B1249=-1, -1, VLOOKUP(C1249,$T$1:$V$20, 2))</f>
        <v>0</v>
      </c>
      <c r="G1249" s="16" t="n">
        <f aca="false">IF($B1249=-1, -1, VLOOKUP(D1249,$Y$1:$Z$22,2))</f>
        <v>5</v>
      </c>
      <c r="H1249" s="16" t="str">
        <f aca="false">_xlfn.UNICHAR(((F1249*21)+G1249)*28+44032)</f>
        <v>게</v>
      </c>
      <c r="I1249" s="16" t="n">
        <f aca="false">IF(B1249=-1, 1, COUNTIF($A$2:$A$3000, H1249))</f>
        <v>1</v>
      </c>
      <c r="J1249" s="10" t="str">
        <f aca="false">_xlfn.CONCAT(A1249, ",",H1249,",",I1249)</f>
        <v>스,게,1</v>
      </c>
      <c r="K1249" s="16" t="n">
        <f aca="false">IF(B1249=-1,-1,VLOOKUP(C1249,$T$1:$V$20,3))</f>
        <v>13</v>
      </c>
      <c r="L1249" s="16" t="n">
        <f aca="false">IF(B1249=-1,-1,VLOOKUP(D1249,$Y$1:$AA$22,3))</f>
        <v>18</v>
      </c>
      <c r="N1249" s="10" t="str">
        <f aca="false">_xlfn.UNICHAR(((C1249*21)+G1249)*28+44032)</f>
        <v>세</v>
      </c>
      <c r="O1249" s="10" t="str">
        <f aca="false">_xlfn.UNICHAR(((F1249*21)+D1249)*28+44032)</f>
        <v>그</v>
      </c>
      <c r="P1249" s="12" t="n">
        <f aca="false">COUNTIF($A$2:$A$3000, N1249) + COUNTIF($A$2:$A$3000, O1249)</f>
        <v>2</v>
      </c>
      <c r="Q1249" s="16" t="str">
        <f aca="false">IF(OR(B1249=-1,I1249=0, P1249&lt;&gt;2), "albhed_dummy", _xlfn.CONCAT("albhed ", RIGHT("  " &amp; K1249,2),", ", RIGHT("  " &amp; L1249,2), ", " ,"""",H1249,""", ", """",N1249,""", ","""",O1249,""""," ; ", A1249))</f>
        <v>albhed 13, 18, "게", "세", "그" ; 스</v>
      </c>
    </row>
    <row r="1250" customFormat="false" ht="17.9" hidden="false" customHeight="true" outlineLevel="0" collapsed="false">
      <c r="A1250" s="16" t="s">
        <v>2116</v>
      </c>
      <c r="B1250" s="16" t="n">
        <f aca="false">IF(_xlfn.UNICODE(A1250)&lt;44032,-1,_xlfn.UNICODE(A1250)-44032)</f>
        <v>5797</v>
      </c>
      <c r="C1250" s="16" t="n">
        <f aca="false">IF(B1250=-1,-1,INT((B1250/28)/21))</f>
        <v>9</v>
      </c>
      <c r="D1250" s="16" t="n">
        <f aca="false">IF(B1250=-1, -1, MOD(INT(B1250/28),21))</f>
        <v>18</v>
      </c>
      <c r="E1250" s="16" t="n">
        <f aca="false">IF(B1250=-1, -1, VLOOKUP(MOD(B1250,28), $T$24:$U$52,2))</f>
        <v>1</v>
      </c>
      <c r="F1250" s="16" t="n">
        <f aca="false">IF($B1250=-1, -1, VLOOKUP(C1250,$T$1:$V$20, 2))</f>
        <v>0</v>
      </c>
      <c r="G1250" s="16" t="n">
        <f aca="false">IF($B1250=-1, -1, VLOOKUP(D1250,$Y$1:$Z$22,2))</f>
        <v>5</v>
      </c>
      <c r="H1250" s="16" t="str">
        <f aca="false">_xlfn.UNICHAR(((F1250*21)+G1250)*28+44032)</f>
        <v>게</v>
      </c>
      <c r="I1250" s="16" t="n">
        <f aca="false">IF(B1250=-1, 1, COUNTIF($A$2:$A$3000, H1250))</f>
        <v>1</v>
      </c>
      <c r="J1250" s="10" t="str">
        <f aca="false">_xlfn.CONCAT(A1250, ",",H1250,",",I1250)</f>
        <v>슥,게,1</v>
      </c>
      <c r="K1250" s="16" t="n">
        <f aca="false">IF(B1250=-1,-1,VLOOKUP(C1250,$T$1:$V$20,3))</f>
        <v>13</v>
      </c>
      <c r="L1250" s="16" t="n">
        <f aca="false">IF(B1250=-1,-1,VLOOKUP(D1250,$Y$1:$AA$22,3))</f>
        <v>18</v>
      </c>
      <c r="N1250" s="10" t="str">
        <f aca="false">_xlfn.UNICHAR(((C1250*21)+G1250)*28+44032)</f>
        <v>세</v>
      </c>
      <c r="O1250" s="10" t="str">
        <f aca="false">_xlfn.UNICHAR(((F1250*21)+D1250)*28+44032)</f>
        <v>그</v>
      </c>
      <c r="P1250" s="12" t="n">
        <f aca="false">COUNTIF($A$2:$A$3000, N1250) + COUNTIF($A$2:$A$3000, O1250)</f>
        <v>2</v>
      </c>
      <c r="Q1250" s="16" t="str">
        <f aca="false">IF(OR(B1250=-1,I1250=0, P1250&lt;&gt;2), "albhed_dummy", _xlfn.CONCAT("albhed ", RIGHT("  " &amp; K1250,2),", ", RIGHT("  " &amp; L1250,2), ", " ,"""",H1250,""", ", """",N1250,""", ","""",O1250,""""," ; ", A1250))</f>
        <v>albhed 13, 18, "게", "세", "그" ; 슥</v>
      </c>
    </row>
    <row r="1251" customFormat="false" ht="17.9" hidden="false" customHeight="true" outlineLevel="0" collapsed="false">
      <c r="A1251" s="16" t="s">
        <v>2117</v>
      </c>
      <c r="B1251" s="16" t="n">
        <f aca="false">IF(_xlfn.UNICODE(A1251)&lt;44032,-1,_xlfn.UNICODE(A1251)-44032)</f>
        <v>5800</v>
      </c>
      <c r="C1251" s="16" t="n">
        <f aca="false">IF(B1251=-1,-1,INT((B1251/28)/21))</f>
        <v>9</v>
      </c>
      <c r="D1251" s="16" t="n">
        <f aca="false">IF(B1251=-1, -1, MOD(INT(B1251/28),21))</f>
        <v>18</v>
      </c>
      <c r="E1251" s="16" t="n">
        <f aca="false">IF(B1251=-1, -1, VLOOKUP(MOD(B1251,28), $T$24:$U$52,2))</f>
        <v>4</v>
      </c>
      <c r="F1251" s="16" t="n">
        <f aca="false">IF($B1251=-1, -1, VLOOKUP(C1251,$T$1:$V$20, 2))</f>
        <v>0</v>
      </c>
      <c r="G1251" s="16" t="n">
        <f aca="false">IF($B1251=-1, -1, VLOOKUP(D1251,$Y$1:$Z$22,2))</f>
        <v>5</v>
      </c>
      <c r="H1251" s="16" t="str">
        <f aca="false">_xlfn.UNICHAR(((F1251*21)+G1251)*28+44032)</f>
        <v>게</v>
      </c>
      <c r="I1251" s="16" t="n">
        <f aca="false">IF(B1251=-1, 1, COUNTIF($A$2:$A$3000, H1251))</f>
        <v>1</v>
      </c>
      <c r="J1251" s="10" t="str">
        <f aca="false">_xlfn.CONCAT(A1251, ",",H1251,",",I1251)</f>
        <v>슨,게,1</v>
      </c>
      <c r="K1251" s="16" t="n">
        <f aca="false">IF(B1251=-1,-1,VLOOKUP(C1251,$T$1:$V$20,3))</f>
        <v>13</v>
      </c>
      <c r="L1251" s="16" t="n">
        <f aca="false">IF(B1251=-1,-1,VLOOKUP(D1251,$Y$1:$AA$22,3))</f>
        <v>18</v>
      </c>
      <c r="N1251" s="10" t="str">
        <f aca="false">_xlfn.UNICHAR(((C1251*21)+G1251)*28+44032)</f>
        <v>세</v>
      </c>
      <c r="O1251" s="10" t="str">
        <f aca="false">_xlfn.UNICHAR(((F1251*21)+D1251)*28+44032)</f>
        <v>그</v>
      </c>
      <c r="P1251" s="12" t="n">
        <f aca="false">COUNTIF($A$2:$A$3000, N1251) + COUNTIF($A$2:$A$3000, O1251)</f>
        <v>2</v>
      </c>
      <c r="Q1251" s="16" t="str">
        <f aca="false">IF(OR(B1251=-1,I1251=0, P1251&lt;&gt;2), "albhed_dummy", _xlfn.CONCAT("albhed ", RIGHT("  " &amp; K1251,2),", ", RIGHT("  " &amp; L1251,2), ", " ,"""",H1251,""", ", """",N1251,""", ","""",O1251,""""," ; ", A1251))</f>
        <v>albhed 13, 18, "게", "세", "그" ; 슨</v>
      </c>
    </row>
    <row r="1252" customFormat="false" ht="17.9" hidden="false" customHeight="true" outlineLevel="0" collapsed="false">
      <c r="A1252" s="16" t="s">
        <v>2118</v>
      </c>
      <c r="B1252" s="16" t="n">
        <f aca="false">IF(_xlfn.UNICODE(A1252)&lt;44032,-1,_xlfn.UNICODE(A1252)-44032)</f>
        <v>5804</v>
      </c>
      <c r="C1252" s="16" t="n">
        <f aca="false">IF(B1252=-1,-1,INT((B1252/28)/21))</f>
        <v>9</v>
      </c>
      <c r="D1252" s="16" t="n">
        <f aca="false">IF(B1252=-1, -1, MOD(INT(B1252/28),21))</f>
        <v>18</v>
      </c>
      <c r="E1252" s="16" t="n">
        <f aca="false">IF(B1252=-1, -1, VLOOKUP(MOD(B1252,28), $T$24:$U$52,2))</f>
        <v>8</v>
      </c>
      <c r="F1252" s="16" t="n">
        <f aca="false">IF($B1252=-1, -1, VLOOKUP(C1252,$T$1:$V$20, 2))</f>
        <v>0</v>
      </c>
      <c r="G1252" s="16" t="n">
        <f aca="false">IF($B1252=-1, -1, VLOOKUP(D1252,$Y$1:$Z$22,2))</f>
        <v>5</v>
      </c>
      <c r="H1252" s="16" t="str">
        <f aca="false">_xlfn.UNICHAR(((F1252*21)+G1252)*28+44032)</f>
        <v>게</v>
      </c>
      <c r="I1252" s="16" t="n">
        <f aca="false">IF(B1252=-1, 1, COUNTIF($A$2:$A$3000, H1252))</f>
        <v>1</v>
      </c>
      <c r="J1252" s="10" t="str">
        <f aca="false">_xlfn.CONCAT(A1252, ",",H1252,",",I1252)</f>
        <v>슬,게,1</v>
      </c>
      <c r="K1252" s="16" t="n">
        <f aca="false">IF(B1252=-1,-1,VLOOKUP(C1252,$T$1:$V$20,3))</f>
        <v>13</v>
      </c>
      <c r="L1252" s="16" t="n">
        <f aca="false">IF(B1252=-1,-1,VLOOKUP(D1252,$Y$1:$AA$22,3))</f>
        <v>18</v>
      </c>
      <c r="N1252" s="10" t="str">
        <f aca="false">_xlfn.UNICHAR(((C1252*21)+G1252)*28+44032)</f>
        <v>세</v>
      </c>
      <c r="O1252" s="10" t="str">
        <f aca="false">_xlfn.UNICHAR(((F1252*21)+D1252)*28+44032)</f>
        <v>그</v>
      </c>
      <c r="P1252" s="12" t="n">
        <f aca="false">COUNTIF($A$2:$A$3000, N1252) + COUNTIF($A$2:$A$3000, O1252)</f>
        <v>2</v>
      </c>
      <c r="Q1252" s="16" t="str">
        <f aca="false">IF(OR(B1252=-1,I1252=0, P1252&lt;&gt;2), "albhed_dummy", _xlfn.CONCAT("albhed ", RIGHT("  " &amp; K1252,2),", ", RIGHT("  " &amp; L1252,2), ", " ,"""",H1252,""", ", """",N1252,""", ","""",O1252,""""," ; ", A1252))</f>
        <v>albhed 13, 18, "게", "세", "그" ; 슬</v>
      </c>
    </row>
    <row r="1253" customFormat="false" ht="17.9" hidden="false" customHeight="true" outlineLevel="0" collapsed="false">
      <c r="A1253" s="16" t="s">
        <v>2119</v>
      </c>
      <c r="B1253" s="16" t="n">
        <f aca="false">IF(_xlfn.UNICODE(A1253)&lt;44032,-1,_xlfn.UNICODE(A1253)-44032)</f>
        <v>5805</v>
      </c>
      <c r="C1253" s="16" t="n">
        <f aca="false">IF(B1253=-1,-1,INT((B1253/28)/21))</f>
        <v>9</v>
      </c>
      <c r="D1253" s="16" t="n">
        <f aca="false">IF(B1253=-1, -1, MOD(INT(B1253/28),21))</f>
        <v>18</v>
      </c>
      <c r="E1253" s="16" t="n">
        <f aca="false">IF(B1253=-1, -1, VLOOKUP(MOD(B1253,28), $T$24:$U$52,2))</f>
        <v>8</v>
      </c>
      <c r="F1253" s="16" t="n">
        <f aca="false">IF($B1253=-1, -1, VLOOKUP(C1253,$T$1:$V$20, 2))</f>
        <v>0</v>
      </c>
      <c r="G1253" s="16" t="n">
        <f aca="false">IF($B1253=-1, -1, VLOOKUP(D1253,$Y$1:$Z$22,2))</f>
        <v>5</v>
      </c>
      <c r="H1253" s="16" t="str">
        <f aca="false">_xlfn.UNICHAR(((F1253*21)+G1253)*28+44032)</f>
        <v>게</v>
      </c>
      <c r="I1253" s="16" t="n">
        <f aca="false">IF(B1253=-1, 1, COUNTIF($A$2:$A$3000, H1253))</f>
        <v>1</v>
      </c>
      <c r="J1253" s="10" t="str">
        <f aca="false">_xlfn.CONCAT(A1253, ",",H1253,",",I1253)</f>
        <v>슭,게,1</v>
      </c>
      <c r="K1253" s="16" t="n">
        <f aca="false">IF(B1253=-1,-1,VLOOKUP(C1253,$T$1:$V$20,3))</f>
        <v>13</v>
      </c>
      <c r="L1253" s="16" t="n">
        <f aca="false">IF(B1253=-1,-1,VLOOKUP(D1253,$Y$1:$AA$22,3))</f>
        <v>18</v>
      </c>
      <c r="N1253" s="10" t="str">
        <f aca="false">_xlfn.UNICHAR(((C1253*21)+G1253)*28+44032)</f>
        <v>세</v>
      </c>
      <c r="O1253" s="10" t="str">
        <f aca="false">_xlfn.UNICHAR(((F1253*21)+D1253)*28+44032)</f>
        <v>그</v>
      </c>
      <c r="P1253" s="12" t="n">
        <f aca="false">COUNTIF($A$2:$A$3000, N1253) + COUNTIF($A$2:$A$3000, O1253)</f>
        <v>2</v>
      </c>
      <c r="Q1253" s="16" t="str">
        <f aca="false">IF(OR(B1253=-1,I1253=0, P1253&lt;&gt;2), "albhed_dummy", _xlfn.CONCAT("albhed ", RIGHT("  " &amp; K1253,2),", ", RIGHT("  " &amp; L1253,2), ", " ,"""",H1253,""", ", """",N1253,""", ","""",O1253,""""," ; ", A1253))</f>
        <v>albhed 13, 18, "게", "세", "그" ; 슭</v>
      </c>
    </row>
    <row r="1254" customFormat="false" ht="17.9" hidden="false" customHeight="true" outlineLevel="0" collapsed="false">
      <c r="A1254" s="16" t="s">
        <v>2120</v>
      </c>
      <c r="B1254" s="16" t="n">
        <f aca="false">IF(_xlfn.UNICODE(A1254)&lt;44032,-1,_xlfn.UNICODE(A1254)-44032)</f>
        <v>5812</v>
      </c>
      <c r="C1254" s="16" t="n">
        <f aca="false">IF(B1254=-1,-1,INT((B1254/28)/21))</f>
        <v>9</v>
      </c>
      <c r="D1254" s="16" t="n">
        <f aca="false">IF(B1254=-1, -1, MOD(INT(B1254/28),21))</f>
        <v>18</v>
      </c>
      <c r="E1254" s="16" t="n">
        <f aca="false">IF(B1254=-1, -1, VLOOKUP(MOD(B1254,28), $T$24:$U$52,2))</f>
        <v>16</v>
      </c>
      <c r="F1254" s="16" t="n">
        <f aca="false">IF($B1254=-1, -1, VLOOKUP(C1254,$T$1:$V$20, 2))</f>
        <v>0</v>
      </c>
      <c r="G1254" s="16" t="n">
        <f aca="false">IF($B1254=-1, -1, VLOOKUP(D1254,$Y$1:$Z$22,2))</f>
        <v>5</v>
      </c>
      <c r="H1254" s="16" t="str">
        <f aca="false">_xlfn.UNICHAR(((F1254*21)+G1254)*28+44032)</f>
        <v>게</v>
      </c>
      <c r="I1254" s="16" t="n">
        <f aca="false">IF(B1254=-1, 1, COUNTIF($A$2:$A$3000, H1254))</f>
        <v>1</v>
      </c>
      <c r="J1254" s="10" t="str">
        <f aca="false">_xlfn.CONCAT(A1254, ",",H1254,",",I1254)</f>
        <v>슴,게,1</v>
      </c>
      <c r="K1254" s="16" t="n">
        <f aca="false">IF(B1254=-1,-1,VLOOKUP(C1254,$T$1:$V$20,3))</f>
        <v>13</v>
      </c>
      <c r="L1254" s="16" t="n">
        <f aca="false">IF(B1254=-1,-1,VLOOKUP(D1254,$Y$1:$AA$22,3))</f>
        <v>18</v>
      </c>
      <c r="N1254" s="10" t="str">
        <f aca="false">_xlfn.UNICHAR(((C1254*21)+G1254)*28+44032)</f>
        <v>세</v>
      </c>
      <c r="O1254" s="10" t="str">
        <f aca="false">_xlfn.UNICHAR(((F1254*21)+D1254)*28+44032)</f>
        <v>그</v>
      </c>
      <c r="P1254" s="12" t="n">
        <f aca="false">COUNTIF($A$2:$A$3000, N1254) + COUNTIF($A$2:$A$3000, O1254)</f>
        <v>2</v>
      </c>
      <c r="Q1254" s="16" t="str">
        <f aca="false">IF(OR(B1254=-1,I1254=0, P1254&lt;&gt;2), "albhed_dummy", _xlfn.CONCAT("albhed ", RIGHT("  " &amp; K1254,2),", ", RIGHT("  " &amp; L1254,2), ", " ,"""",H1254,""", ", """",N1254,""", ","""",O1254,""""," ; ", A1254))</f>
        <v>albhed 13, 18, "게", "세", "그" ; 슴</v>
      </c>
    </row>
    <row r="1255" customFormat="false" ht="17.9" hidden="false" customHeight="true" outlineLevel="0" collapsed="false">
      <c r="A1255" s="16" t="s">
        <v>816</v>
      </c>
      <c r="B1255" s="16" t="n">
        <f aca="false">IF(_xlfn.UNICODE(A1255)&lt;44032,-1,_xlfn.UNICODE(A1255)-44032)</f>
        <v>5813</v>
      </c>
      <c r="C1255" s="16" t="n">
        <f aca="false">IF(B1255=-1,-1,INT((B1255/28)/21))</f>
        <v>9</v>
      </c>
      <c r="D1255" s="16" t="n">
        <f aca="false">IF(B1255=-1, -1, MOD(INT(B1255/28),21))</f>
        <v>18</v>
      </c>
      <c r="E1255" s="16" t="n">
        <f aca="false">IF(B1255=-1, -1, VLOOKUP(MOD(B1255,28), $T$24:$U$52,2))</f>
        <v>17</v>
      </c>
      <c r="F1255" s="16" t="n">
        <f aca="false">IF($B1255=-1, -1, VLOOKUP(C1255,$T$1:$V$20, 2))</f>
        <v>0</v>
      </c>
      <c r="G1255" s="16" t="n">
        <f aca="false">IF($B1255=-1, -1, VLOOKUP(D1255,$Y$1:$Z$22,2))</f>
        <v>5</v>
      </c>
      <c r="H1255" s="16" t="str">
        <f aca="false">_xlfn.UNICHAR(((F1255*21)+G1255)*28+44032)</f>
        <v>게</v>
      </c>
      <c r="I1255" s="16" t="n">
        <f aca="false">IF(B1255=-1, 1, COUNTIF($A$2:$A$3000, H1255))</f>
        <v>1</v>
      </c>
      <c r="J1255" s="10" t="str">
        <f aca="false">_xlfn.CONCAT(A1255, ",",H1255,",",I1255)</f>
        <v>습,게,1</v>
      </c>
      <c r="K1255" s="16" t="n">
        <f aca="false">IF(B1255=-1,-1,VLOOKUP(C1255,$T$1:$V$20,3))</f>
        <v>13</v>
      </c>
      <c r="L1255" s="16" t="n">
        <f aca="false">IF(B1255=-1,-1,VLOOKUP(D1255,$Y$1:$AA$22,3))</f>
        <v>18</v>
      </c>
      <c r="N1255" s="10" t="str">
        <f aca="false">_xlfn.UNICHAR(((C1255*21)+G1255)*28+44032)</f>
        <v>세</v>
      </c>
      <c r="O1255" s="10" t="str">
        <f aca="false">_xlfn.UNICHAR(((F1255*21)+D1255)*28+44032)</f>
        <v>그</v>
      </c>
      <c r="P1255" s="12" t="n">
        <f aca="false">COUNTIF($A$2:$A$3000, N1255) + COUNTIF($A$2:$A$3000, O1255)</f>
        <v>2</v>
      </c>
      <c r="Q1255" s="16" t="str">
        <f aca="false">IF(OR(B1255=-1,I1255=0, P1255&lt;&gt;2), "albhed_dummy", _xlfn.CONCAT("albhed ", RIGHT("  " &amp; K1255,2),", ", RIGHT("  " &amp; L1255,2), ", " ,"""",H1255,""", ", """",N1255,""", ","""",O1255,""""," ; ", A1255))</f>
        <v>albhed 13, 18, "게", "세", "그" ; 습</v>
      </c>
    </row>
    <row r="1256" customFormat="false" ht="17.9" hidden="false" customHeight="true" outlineLevel="0" collapsed="false">
      <c r="A1256" s="16" t="s">
        <v>2121</v>
      </c>
      <c r="B1256" s="16" t="n">
        <f aca="false">IF(_xlfn.UNICODE(A1256)&lt;44032,-1,_xlfn.UNICODE(A1256)-44032)</f>
        <v>5815</v>
      </c>
      <c r="C1256" s="16" t="n">
        <f aca="false">IF(B1256=-1,-1,INT((B1256/28)/21))</f>
        <v>9</v>
      </c>
      <c r="D1256" s="16" t="n">
        <f aca="false">IF(B1256=-1, -1, MOD(INT(B1256/28),21))</f>
        <v>18</v>
      </c>
      <c r="E1256" s="16" t="n">
        <f aca="false">IF(B1256=-1, -1, VLOOKUP(MOD(B1256,28), $T$24:$U$52,2))</f>
        <v>19</v>
      </c>
      <c r="F1256" s="16" t="n">
        <f aca="false">IF($B1256=-1, -1, VLOOKUP(C1256,$T$1:$V$20, 2))</f>
        <v>0</v>
      </c>
      <c r="G1256" s="16" t="n">
        <f aca="false">IF($B1256=-1, -1, VLOOKUP(D1256,$Y$1:$Z$22,2))</f>
        <v>5</v>
      </c>
      <c r="H1256" s="16" t="str">
        <f aca="false">_xlfn.UNICHAR(((F1256*21)+G1256)*28+44032)</f>
        <v>게</v>
      </c>
      <c r="I1256" s="16" t="n">
        <f aca="false">IF(B1256=-1, 1, COUNTIF($A$2:$A$3000, H1256))</f>
        <v>1</v>
      </c>
      <c r="J1256" s="10" t="str">
        <f aca="false">_xlfn.CONCAT(A1256, ",",H1256,",",I1256)</f>
        <v>슷,게,1</v>
      </c>
      <c r="K1256" s="16" t="n">
        <f aca="false">IF(B1256=-1,-1,VLOOKUP(C1256,$T$1:$V$20,3))</f>
        <v>13</v>
      </c>
      <c r="L1256" s="16" t="n">
        <f aca="false">IF(B1256=-1,-1,VLOOKUP(D1256,$Y$1:$AA$22,3))</f>
        <v>18</v>
      </c>
      <c r="N1256" s="10" t="str">
        <f aca="false">_xlfn.UNICHAR(((C1256*21)+G1256)*28+44032)</f>
        <v>세</v>
      </c>
      <c r="O1256" s="10" t="str">
        <f aca="false">_xlfn.UNICHAR(((F1256*21)+D1256)*28+44032)</f>
        <v>그</v>
      </c>
      <c r="P1256" s="12" t="n">
        <f aca="false">COUNTIF($A$2:$A$3000, N1256) + COUNTIF($A$2:$A$3000, O1256)</f>
        <v>2</v>
      </c>
      <c r="Q1256" s="16" t="str">
        <f aca="false">IF(OR(B1256=-1,I1256=0, P1256&lt;&gt;2), "albhed_dummy", _xlfn.CONCAT("albhed ", RIGHT("  " &amp; K1256,2),", ", RIGHT("  " &amp; L1256,2), ", " ,"""",H1256,""", ", """",N1256,""", ","""",O1256,""""," ; ", A1256))</f>
        <v>albhed 13, 18, "게", "세", "그" ; 슷</v>
      </c>
    </row>
    <row r="1257" customFormat="false" ht="17.9" hidden="false" customHeight="true" outlineLevel="0" collapsed="false">
      <c r="A1257" s="16" t="s">
        <v>2122</v>
      </c>
      <c r="B1257" s="16" t="n">
        <f aca="false">IF(_xlfn.UNICODE(A1257)&lt;44032,-1,_xlfn.UNICODE(A1257)-44032)</f>
        <v>5817</v>
      </c>
      <c r="C1257" s="16" t="n">
        <f aca="false">IF(B1257=-1,-1,INT((B1257/28)/21))</f>
        <v>9</v>
      </c>
      <c r="D1257" s="16" t="n">
        <f aca="false">IF(B1257=-1, -1, MOD(INT(B1257/28),21))</f>
        <v>18</v>
      </c>
      <c r="E1257" s="16" t="n">
        <f aca="false">IF(B1257=-1, -1, VLOOKUP(MOD(B1257,28), $T$24:$U$52,2))</f>
        <v>21</v>
      </c>
      <c r="F1257" s="16" t="n">
        <f aca="false">IF($B1257=-1, -1, VLOOKUP(C1257,$T$1:$V$20, 2))</f>
        <v>0</v>
      </c>
      <c r="G1257" s="16" t="n">
        <f aca="false">IF($B1257=-1, -1, VLOOKUP(D1257,$Y$1:$Z$22,2))</f>
        <v>5</v>
      </c>
      <c r="H1257" s="16" t="str">
        <f aca="false">_xlfn.UNICHAR(((F1257*21)+G1257)*28+44032)</f>
        <v>게</v>
      </c>
      <c r="I1257" s="16" t="n">
        <f aca="false">IF(B1257=-1, 1, COUNTIF($A$2:$A$3000, H1257))</f>
        <v>1</v>
      </c>
      <c r="J1257" s="10" t="str">
        <f aca="false">_xlfn.CONCAT(A1257, ",",H1257,",",I1257)</f>
        <v>승,게,1</v>
      </c>
      <c r="K1257" s="16" t="n">
        <f aca="false">IF(B1257=-1,-1,VLOOKUP(C1257,$T$1:$V$20,3))</f>
        <v>13</v>
      </c>
      <c r="L1257" s="16" t="n">
        <f aca="false">IF(B1257=-1,-1,VLOOKUP(D1257,$Y$1:$AA$22,3))</f>
        <v>18</v>
      </c>
      <c r="N1257" s="10" t="str">
        <f aca="false">_xlfn.UNICHAR(((C1257*21)+G1257)*28+44032)</f>
        <v>세</v>
      </c>
      <c r="O1257" s="10" t="str">
        <f aca="false">_xlfn.UNICHAR(((F1257*21)+D1257)*28+44032)</f>
        <v>그</v>
      </c>
      <c r="P1257" s="12" t="n">
        <f aca="false">COUNTIF($A$2:$A$3000, N1257) + COUNTIF($A$2:$A$3000, O1257)</f>
        <v>2</v>
      </c>
      <c r="Q1257" s="16" t="str">
        <f aca="false">IF(OR(B1257=-1,I1257=0, P1257&lt;&gt;2), "albhed_dummy", _xlfn.CONCAT("albhed ", RIGHT("  " &amp; K1257,2),", ", RIGHT("  " &amp; L1257,2), ", " ,"""",H1257,""", ", """",N1257,""", ","""",O1257,""""," ; ", A1257))</f>
        <v>albhed 13, 18, "게", "세", "그" ; 승</v>
      </c>
    </row>
    <row r="1258" customFormat="false" ht="17.9" hidden="false" customHeight="true" outlineLevel="0" collapsed="false">
      <c r="A1258" s="16" t="s">
        <v>2123</v>
      </c>
      <c r="B1258" s="16" t="n">
        <f aca="false">IF(_xlfn.UNICODE(A1258)&lt;44032,-1,_xlfn.UNICODE(A1258)-44032)</f>
        <v>5852</v>
      </c>
      <c r="C1258" s="16" t="n">
        <f aca="false">IF(B1258=-1,-1,INT((B1258/28)/21))</f>
        <v>9</v>
      </c>
      <c r="D1258" s="16" t="n">
        <f aca="false">IF(B1258=-1, -1, MOD(INT(B1258/28),21))</f>
        <v>20</v>
      </c>
      <c r="E1258" s="16" t="n">
        <f aca="false">IF(B1258=-1, -1, VLOOKUP(MOD(B1258,28), $T$24:$U$52,2))</f>
        <v>0</v>
      </c>
      <c r="F1258" s="16" t="n">
        <f aca="false">IF($B1258=-1, -1, VLOOKUP(C1258,$T$1:$V$20, 2))</f>
        <v>0</v>
      </c>
      <c r="G1258" s="16" t="n">
        <f aca="false">IF($B1258=-1, -1, VLOOKUP(D1258,$Y$1:$Z$22,2))</f>
        <v>5</v>
      </c>
      <c r="H1258" s="16" t="str">
        <f aca="false">_xlfn.UNICHAR(((F1258*21)+G1258)*28+44032)</f>
        <v>게</v>
      </c>
      <c r="I1258" s="16" t="n">
        <f aca="false">IF(B1258=-1, 1, COUNTIF($A$2:$A$3000, H1258))</f>
        <v>1</v>
      </c>
      <c r="J1258" s="10" t="str">
        <f aca="false">_xlfn.CONCAT(A1258, ",",H1258,",",I1258)</f>
        <v>시,게,1</v>
      </c>
      <c r="K1258" s="16" t="n">
        <f aca="false">IF(B1258=-1,-1,VLOOKUP(C1258,$T$1:$V$20,3))</f>
        <v>13</v>
      </c>
      <c r="L1258" s="16" t="n">
        <f aca="false">IF(B1258=-1,-1,VLOOKUP(D1258,$Y$1:$AA$22,3))</f>
        <v>20</v>
      </c>
      <c r="N1258" s="10" t="str">
        <f aca="false">_xlfn.UNICHAR(((C1258*21)+G1258)*28+44032)</f>
        <v>세</v>
      </c>
      <c r="O1258" s="10" t="str">
        <f aca="false">_xlfn.UNICHAR(((F1258*21)+D1258)*28+44032)</f>
        <v>기</v>
      </c>
      <c r="P1258" s="12" t="n">
        <f aca="false">COUNTIF($A$2:$A$3000, N1258) + COUNTIF($A$2:$A$3000, O1258)</f>
        <v>2</v>
      </c>
      <c r="Q1258" s="16" t="str">
        <f aca="false">IF(OR(B1258=-1,I1258=0, P1258&lt;&gt;2), "albhed_dummy", _xlfn.CONCAT("albhed ", RIGHT("  " &amp; K1258,2),", ", RIGHT("  " &amp; L1258,2), ", " ,"""",H1258,""", ", """",N1258,""", ","""",O1258,""""," ; ", A1258))</f>
        <v>albhed 13, 20, "게", "세", "기" ; 시</v>
      </c>
    </row>
    <row r="1259" customFormat="false" ht="17.9" hidden="false" customHeight="true" outlineLevel="0" collapsed="false">
      <c r="A1259" s="16" t="s">
        <v>2124</v>
      </c>
      <c r="B1259" s="16" t="n">
        <f aca="false">IF(_xlfn.UNICODE(A1259)&lt;44032,-1,_xlfn.UNICODE(A1259)-44032)</f>
        <v>5853</v>
      </c>
      <c r="C1259" s="16" t="n">
        <f aca="false">IF(B1259=-1,-1,INT((B1259/28)/21))</f>
        <v>9</v>
      </c>
      <c r="D1259" s="16" t="n">
        <f aca="false">IF(B1259=-1, -1, MOD(INT(B1259/28),21))</f>
        <v>20</v>
      </c>
      <c r="E1259" s="16" t="n">
        <f aca="false">IF(B1259=-1, -1, VLOOKUP(MOD(B1259,28), $T$24:$U$52,2))</f>
        <v>1</v>
      </c>
      <c r="F1259" s="16" t="n">
        <f aca="false">IF($B1259=-1, -1, VLOOKUP(C1259,$T$1:$V$20, 2))</f>
        <v>0</v>
      </c>
      <c r="G1259" s="16" t="n">
        <f aca="false">IF($B1259=-1, -1, VLOOKUP(D1259,$Y$1:$Z$22,2))</f>
        <v>5</v>
      </c>
      <c r="H1259" s="16" t="str">
        <f aca="false">_xlfn.UNICHAR(((F1259*21)+G1259)*28+44032)</f>
        <v>게</v>
      </c>
      <c r="I1259" s="16" t="n">
        <f aca="false">IF(B1259=-1, 1, COUNTIF($A$2:$A$3000, H1259))</f>
        <v>1</v>
      </c>
      <c r="J1259" s="10" t="str">
        <f aca="false">_xlfn.CONCAT(A1259, ",",H1259,",",I1259)</f>
        <v>식,게,1</v>
      </c>
      <c r="K1259" s="16" t="n">
        <f aca="false">IF(B1259=-1,-1,VLOOKUP(C1259,$T$1:$V$20,3))</f>
        <v>13</v>
      </c>
      <c r="L1259" s="16" t="n">
        <f aca="false">IF(B1259=-1,-1,VLOOKUP(D1259,$Y$1:$AA$22,3))</f>
        <v>20</v>
      </c>
      <c r="N1259" s="10" t="str">
        <f aca="false">_xlfn.UNICHAR(((C1259*21)+G1259)*28+44032)</f>
        <v>세</v>
      </c>
      <c r="O1259" s="10" t="str">
        <f aca="false">_xlfn.UNICHAR(((F1259*21)+D1259)*28+44032)</f>
        <v>기</v>
      </c>
      <c r="P1259" s="12" t="n">
        <f aca="false">COUNTIF($A$2:$A$3000, N1259) + COUNTIF($A$2:$A$3000, O1259)</f>
        <v>2</v>
      </c>
      <c r="Q1259" s="16" t="str">
        <f aca="false">IF(OR(B1259=-1,I1259=0, P1259&lt;&gt;2), "albhed_dummy", _xlfn.CONCAT("albhed ", RIGHT("  " &amp; K1259,2),", ", RIGHT("  " &amp; L1259,2), ", " ,"""",H1259,""", ", """",N1259,""", ","""",O1259,""""," ; ", A1259))</f>
        <v>albhed 13, 20, "게", "세", "기" ; 식</v>
      </c>
    </row>
    <row r="1260" customFormat="false" ht="17.9" hidden="false" customHeight="true" outlineLevel="0" collapsed="false">
      <c r="A1260" s="16" t="s">
        <v>2125</v>
      </c>
      <c r="B1260" s="16" t="n">
        <f aca="false">IF(_xlfn.UNICODE(A1260)&lt;44032,-1,_xlfn.UNICODE(A1260)-44032)</f>
        <v>5856</v>
      </c>
      <c r="C1260" s="16" t="n">
        <f aca="false">IF(B1260=-1,-1,INT((B1260/28)/21))</f>
        <v>9</v>
      </c>
      <c r="D1260" s="16" t="n">
        <f aca="false">IF(B1260=-1, -1, MOD(INT(B1260/28),21))</f>
        <v>20</v>
      </c>
      <c r="E1260" s="16" t="n">
        <f aca="false">IF(B1260=-1, -1, VLOOKUP(MOD(B1260,28), $T$24:$U$52,2))</f>
        <v>4</v>
      </c>
      <c r="F1260" s="16" t="n">
        <f aca="false">IF($B1260=-1, -1, VLOOKUP(C1260,$T$1:$V$20, 2))</f>
        <v>0</v>
      </c>
      <c r="G1260" s="16" t="n">
        <f aca="false">IF($B1260=-1, -1, VLOOKUP(D1260,$Y$1:$Z$22,2))</f>
        <v>5</v>
      </c>
      <c r="H1260" s="16" t="str">
        <f aca="false">_xlfn.UNICHAR(((F1260*21)+G1260)*28+44032)</f>
        <v>게</v>
      </c>
      <c r="I1260" s="16" t="n">
        <f aca="false">IF(B1260=-1, 1, COUNTIF($A$2:$A$3000, H1260))</f>
        <v>1</v>
      </c>
      <c r="J1260" s="10" t="str">
        <f aca="false">_xlfn.CONCAT(A1260, ",",H1260,",",I1260)</f>
        <v>신,게,1</v>
      </c>
      <c r="K1260" s="16" t="n">
        <f aca="false">IF(B1260=-1,-1,VLOOKUP(C1260,$T$1:$V$20,3))</f>
        <v>13</v>
      </c>
      <c r="L1260" s="16" t="n">
        <f aca="false">IF(B1260=-1,-1,VLOOKUP(D1260,$Y$1:$AA$22,3))</f>
        <v>20</v>
      </c>
      <c r="N1260" s="10" t="str">
        <f aca="false">_xlfn.UNICHAR(((C1260*21)+G1260)*28+44032)</f>
        <v>세</v>
      </c>
      <c r="O1260" s="10" t="str">
        <f aca="false">_xlfn.UNICHAR(((F1260*21)+D1260)*28+44032)</f>
        <v>기</v>
      </c>
      <c r="P1260" s="12" t="n">
        <f aca="false">COUNTIF($A$2:$A$3000, N1260) + COUNTIF($A$2:$A$3000, O1260)</f>
        <v>2</v>
      </c>
      <c r="Q1260" s="16" t="str">
        <f aca="false">IF(OR(B1260=-1,I1260=0, P1260&lt;&gt;2), "albhed_dummy", _xlfn.CONCAT("albhed ", RIGHT("  " &amp; K1260,2),", ", RIGHT("  " &amp; L1260,2), ", " ,"""",H1260,""", ", """",N1260,""", ","""",O1260,""""," ; ", A1260))</f>
        <v>albhed 13, 20, "게", "세", "기" ; 신</v>
      </c>
    </row>
    <row r="1261" customFormat="false" ht="17.9" hidden="false" customHeight="true" outlineLevel="0" collapsed="false">
      <c r="A1261" s="16" t="s">
        <v>2126</v>
      </c>
      <c r="B1261" s="16" t="n">
        <f aca="false">IF(_xlfn.UNICODE(A1261)&lt;44032,-1,_xlfn.UNICODE(A1261)-44032)</f>
        <v>5859</v>
      </c>
      <c r="C1261" s="16" t="n">
        <f aca="false">IF(B1261=-1,-1,INT((B1261/28)/21))</f>
        <v>9</v>
      </c>
      <c r="D1261" s="16" t="n">
        <f aca="false">IF(B1261=-1, -1, MOD(INT(B1261/28),21))</f>
        <v>20</v>
      </c>
      <c r="E1261" s="16" t="n">
        <f aca="false">IF(B1261=-1, -1, VLOOKUP(MOD(B1261,28), $T$24:$U$52,2))</f>
        <v>19</v>
      </c>
      <c r="F1261" s="16" t="n">
        <f aca="false">IF($B1261=-1, -1, VLOOKUP(C1261,$T$1:$V$20, 2))</f>
        <v>0</v>
      </c>
      <c r="G1261" s="16" t="n">
        <f aca="false">IF($B1261=-1, -1, VLOOKUP(D1261,$Y$1:$Z$22,2))</f>
        <v>5</v>
      </c>
      <c r="H1261" s="16" t="str">
        <f aca="false">_xlfn.UNICHAR(((F1261*21)+G1261)*28+44032)</f>
        <v>게</v>
      </c>
      <c r="I1261" s="16" t="n">
        <f aca="false">IF(B1261=-1, 1, COUNTIF($A$2:$A$3000, H1261))</f>
        <v>1</v>
      </c>
      <c r="J1261" s="10" t="str">
        <f aca="false">_xlfn.CONCAT(A1261, ",",H1261,",",I1261)</f>
        <v>싣,게,1</v>
      </c>
      <c r="K1261" s="16" t="n">
        <f aca="false">IF(B1261=-1,-1,VLOOKUP(C1261,$T$1:$V$20,3))</f>
        <v>13</v>
      </c>
      <c r="L1261" s="16" t="n">
        <f aca="false">IF(B1261=-1,-1,VLOOKUP(D1261,$Y$1:$AA$22,3))</f>
        <v>20</v>
      </c>
      <c r="N1261" s="10" t="str">
        <f aca="false">_xlfn.UNICHAR(((C1261*21)+G1261)*28+44032)</f>
        <v>세</v>
      </c>
      <c r="O1261" s="10" t="str">
        <f aca="false">_xlfn.UNICHAR(((F1261*21)+D1261)*28+44032)</f>
        <v>기</v>
      </c>
      <c r="P1261" s="12" t="n">
        <f aca="false">COUNTIF($A$2:$A$3000, N1261) + COUNTIF($A$2:$A$3000, O1261)</f>
        <v>2</v>
      </c>
      <c r="Q1261" s="16" t="str">
        <f aca="false">IF(OR(B1261=-1,I1261=0, P1261&lt;&gt;2), "albhed_dummy", _xlfn.CONCAT("albhed ", RIGHT("  " &amp; K1261,2),", ", RIGHT("  " &amp; L1261,2), ", " ,"""",H1261,""", ", """",N1261,""", ","""",O1261,""""," ; ", A1261))</f>
        <v>albhed 13, 20, "게", "세", "기" ; 싣</v>
      </c>
    </row>
    <row r="1262" customFormat="false" ht="17.9" hidden="false" customHeight="true" outlineLevel="0" collapsed="false">
      <c r="A1262" s="16" t="s">
        <v>2127</v>
      </c>
      <c r="B1262" s="16" t="n">
        <f aca="false">IF(_xlfn.UNICODE(A1262)&lt;44032,-1,_xlfn.UNICODE(A1262)-44032)</f>
        <v>5860</v>
      </c>
      <c r="C1262" s="16" t="n">
        <f aca="false">IF(B1262=-1,-1,INT((B1262/28)/21))</f>
        <v>9</v>
      </c>
      <c r="D1262" s="16" t="n">
        <f aca="false">IF(B1262=-1, -1, MOD(INT(B1262/28),21))</f>
        <v>20</v>
      </c>
      <c r="E1262" s="16" t="n">
        <f aca="false">IF(B1262=-1, -1, VLOOKUP(MOD(B1262,28), $T$24:$U$52,2))</f>
        <v>8</v>
      </c>
      <c r="F1262" s="16" t="n">
        <f aca="false">IF($B1262=-1, -1, VLOOKUP(C1262,$T$1:$V$20, 2))</f>
        <v>0</v>
      </c>
      <c r="G1262" s="16" t="n">
        <f aca="false">IF($B1262=-1, -1, VLOOKUP(D1262,$Y$1:$Z$22,2))</f>
        <v>5</v>
      </c>
      <c r="H1262" s="16" t="str">
        <f aca="false">_xlfn.UNICHAR(((F1262*21)+G1262)*28+44032)</f>
        <v>게</v>
      </c>
      <c r="I1262" s="16" t="n">
        <f aca="false">IF(B1262=-1, 1, COUNTIF($A$2:$A$3000, H1262))</f>
        <v>1</v>
      </c>
      <c r="J1262" s="10" t="str">
        <f aca="false">_xlfn.CONCAT(A1262, ",",H1262,",",I1262)</f>
        <v>실,게,1</v>
      </c>
      <c r="K1262" s="16" t="n">
        <f aca="false">IF(B1262=-1,-1,VLOOKUP(C1262,$T$1:$V$20,3))</f>
        <v>13</v>
      </c>
      <c r="L1262" s="16" t="n">
        <f aca="false">IF(B1262=-1,-1,VLOOKUP(D1262,$Y$1:$AA$22,3))</f>
        <v>20</v>
      </c>
      <c r="N1262" s="10" t="str">
        <f aca="false">_xlfn.UNICHAR(((C1262*21)+G1262)*28+44032)</f>
        <v>세</v>
      </c>
      <c r="O1262" s="10" t="str">
        <f aca="false">_xlfn.UNICHAR(((F1262*21)+D1262)*28+44032)</f>
        <v>기</v>
      </c>
      <c r="P1262" s="12" t="n">
        <f aca="false">COUNTIF($A$2:$A$3000, N1262) + COUNTIF($A$2:$A$3000, O1262)</f>
        <v>2</v>
      </c>
      <c r="Q1262" s="16" t="str">
        <f aca="false">IF(OR(B1262=-1,I1262=0, P1262&lt;&gt;2), "albhed_dummy", _xlfn.CONCAT("albhed ", RIGHT("  " &amp; K1262,2),", ", RIGHT("  " &amp; L1262,2), ", " ,"""",H1262,""", ", """",N1262,""", ","""",O1262,""""," ; ", A1262))</f>
        <v>albhed 13, 20, "게", "세", "기" ; 실</v>
      </c>
    </row>
    <row r="1263" customFormat="false" ht="17.9" hidden="false" customHeight="true" outlineLevel="0" collapsed="false">
      <c r="A1263" s="16" t="s">
        <v>2128</v>
      </c>
      <c r="B1263" s="16" t="n">
        <f aca="false">IF(_xlfn.UNICODE(A1263)&lt;44032,-1,_xlfn.UNICODE(A1263)-44032)</f>
        <v>5867</v>
      </c>
      <c r="C1263" s="16" t="n">
        <f aca="false">IF(B1263=-1,-1,INT((B1263/28)/21))</f>
        <v>9</v>
      </c>
      <c r="D1263" s="16" t="n">
        <f aca="false">IF(B1263=-1, -1, MOD(INT(B1263/28),21))</f>
        <v>20</v>
      </c>
      <c r="E1263" s="16" t="n">
        <f aca="false">IF(B1263=-1, -1, VLOOKUP(MOD(B1263,28), $T$24:$U$52,2))</f>
        <v>8</v>
      </c>
      <c r="F1263" s="16" t="n">
        <f aca="false">IF($B1263=-1, -1, VLOOKUP(C1263,$T$1:$V$20, 2))</f>
        <v>0</v>
      </c>
      <c r="G1263" s="16" t="n">
        <f aca="false">IF($B1263=-1, -1, VLOOKUP(D1263,$Y$1:$Z$22,2))</f>
        <v>5</v>
      </c>
      <c r="H1263" s="16" t="str">
        <f aca="false">_xlfn.UNICHAR(((F1263*21)+G1263)*28+44032)</f>
        <v>게</v>
      </c>
      <c r="I1263" s="16" t="n">
        <f aca="false">IF(B1263=-1, 1, COUNTIF($A$2:$A$3000, H1263))</f>
        <v>1</v>
      </c>
      <c r="J1263" s="10" t="str">
        <f aca="false">_xlfn.CONCAT(A1263, ",",H1263,",",I1263)</f>
        <v>싫,게,1</v>
      </c>
      <c r="K1263" s="16" t="n">
        <f aca="false">IF(B1263=-1,-1,VLOOKUP(C1263,$T$1:$V$20,3))</f>
        <v>13</v>
      </c>
      <c r="L1263" s="16" t="n">
        <f aca="false">IF(B1263=-1,-1,VLOOKUP(D1263,$Y$1:$AA$22,3))</f>
        <v>20</v>
      </c>
      <c r="N1263" s="10" t="str">
        <f aca="false">_xlfn.UNICHAR(((C1263*21)+G1263)*28+44032)</f>
        <v>세</v>
      </c>
      <c r="O1263" s="10" t="str">
        <f aca="false">_xlfn.UNICHAR(((F1263*21)+D1263)*28+44032)</f>
        <v>기</v>
      </c>
      <c r="P1263" s="12" t="n">
        <f aca="false">COUNTIF($A$2:$A$3000, N1263) + COUNTIF($A$2:$A$3000, O1263)</f>
        <v>2</v>
      </c>
      <c r="Q1263" s="16" t="str">
        <f aca="false">IF(OR(B1263=-1,I1263=0, P1263&lt;&gt;2), "albhed_dummy", _xlfn.CONCAT("albhed ", RIGHT("  " &amp; K1263,2),", ", RIGHT("  " &amp; L1263,2), ", " ,"""",H1263,""", ", """",N1263,""", ","""",O1263,""""," ; ", A1263))</f>
        <v>albhed 13, 20, "게", "세", "기" ; 싫</v>
      </c>
    </row>
    <row r="1264" customFormat="false" ht="17.9" hidden="false" customHeight="true" outlineLevel="0" collapsed="false">
      <c r="A1264" s="16" t="s">
        <v>2129</v>
      </c>
      <c r="B1264" s="16" t="n">
        <f aca="false">IF(_xlfn.UNICODE(A1264)&lt;44032,-1,_xlfn.UNICODE(A1264)-44032)</f>
        <v>5868</v>
      </c>
      <c r="C1264" s="16" t="n">
        <f aca="false">IF(B1264=-1,-1,INT((B1264/28)/21))</f>
        <v>9</v>
      </c>
      <c r="D1264" s="16" t="n">
        <f aca="false">IF(B1264=-1, -1, MOD(INT(B1264/28),21))</f>
        <v>20</v>
      </c>
      <c r="E1264" s="16" t="n">
        <f aca="false">IF(B1264=-1, -1, VLOOKUP(MOD(B1264,28), $T$24:$U$52,2))</f>
        <v>16</v>
      </c>
      <c r="F1264" s="16" t="n">
        <f aca="false">IF($B1264=-1, -1, VLOOKUP(C1264,$T$1:$V$20, 2))</f>
        <v>0</v>
      </c>
      <c r="G1264" s="16" t="n">
        <f aca="false">IF($B1264=-1, -1, VLOOKUP(D1264,$Y$1:$Z$22,2))</f>
        <v>5</v>
      </c>
      <c r="H1264" s="16" t="str">
        <f aca="false">_xlfn.UNICHAR(((F1264*21)+G1264)*28+44032)</f>
        <v>게</v>
      </c>
      <c r="I1264" s="16" t="n">
        <f aca="false">IF(B1264=-1, 1, COUNTIF($A$2:$A$3000, H1264))</f>
        <v>1</v>
      </c>
      <c r="J1264" s="10" t="str">
        <f aca="false">_xlfn.CONCAT(A1264, ",",H1264,",",I1264)</f>
        <v>심,게,1</v>
      </c>
      <c r="K1264" s="16" t="n">
        <f aca="false">IF(B1264=-1,-1,VLOOKUP(C1264,$T$1:$V$20,3))</f>
        <v>13</v>
      </c>
      <c r="L1264" s="16" t="n">
        <f aca="false">IF(B1264=-1,-1,VLOOKUP(D1264,$Y$1:$AA$22,3))</f>
        <v>20</v>
      </c>
      <c r="N1264" s="10" t="str">
        <f aca="false">_xlfn.UNICHAR(((C1264*21)+G1264)*28+44032)</f>
        <v>세</v>
      </c>
      <c r="O1264" s="10" t="str">
        <f aca="false">_xlfn.UNICHAR(((F1264*21)+D1264)*28+44032)</f>
        <v>기</v>
      </c>
      <c r="P1264" s="12" t="n">
        <f aca="false">COUNTIF($A$2:$A$3000, N1264) + COUNTIF($A$2:$A$3000, O1264)</f>
        <v>2</v>
      </c>
      <c r="Q1264" s="16" t="str">
        <f aca="false">IF(OR(B1264=-1,I1264=0, P1264&lt;&gt;2), "albhed_dummy", _xlfn.CONCAT("albhed ", RIGHT("  " &amp; K1264,2),", ", RIGHT("  " &amp; L1264,2), ", " ,"""",H1264,""", ", """",N1264,""", ","""",O1264,""""," ; ", A1264))</f>
        <v>albhed 13, 20, "게", "세", "기" ; 심</v>
      </c>
    </row>
    <row r="1265" customFormat="false" ht="17.9" hidden="false" customHeight="true" outlineLevel="0" collapsed="false">
      <c r="A1265" s="16" t="s">
        <v>2130</v>
      </c>
      <c r="B1265" s="16" t="n">
        <f aca="false">IF(_xlfn.UNICODE(A1265)&lt;44032,-1,_xlfn.UNICODE(A1265)-44032)</f>
        <v>5869</v>
      </c>
      <c r="C1265" s="16" t="n">
        <f aca="false">IF(B1265=-1,-1,INT((B1265/28)/21))</f>
        <v>9</v>
      </c>
      <c r="D1265" s="16" t="n">
        <f aca="false">IF(B1265=-1, -1, MOD(INT(B1265/28),21))</f>
        <v>20</v>
      </c>
      <c r="E1265" s="16" t="n">
        <f aca="false">IF(B1265=-1, -1, VLOOKUP(MOD(B1265,28), $T$24:$U$52,2))</f>
        <v>17</v>
      </c>
      <c r="F1265" s="16" t="n">
        <f aca="false">IF($B1265=-1, -1, VLOOKUP(C1265,$T$1:$V$20, 2))</f>
        <v>0</v>
      </c>
      <c r="G1265" s="16" t="n">
        <f aca="false">IF($B1265=-1, -1, VLOOKUP(D1265,$Y$1:$Z$22,2))</f>
        <v>5</v>
      </c>
      <c r="H1265" s="16" t="str">
        <f aca="false">_xlfn.UNICHAR(((F1265*21)+G1265)*28+44032)</f>
        <v>게</v>
      </c>
      <c r="I1265" s="16" t="n">
        <f aca="false">IF(B1265=-1, 1, COUNTIF($A$2:$A$3000, H1265))</f>
        <v>1</v>
      </c>
      <c r="J1265" s="10" t="str">
        <f aca="false">_xlfn.CONCAT(A1265, ",",H1265,",",I1265)</f>
        <v>십,게,1</v>
      </c>
      <c r="K1265" s="16" t="n">
        <f aca="false">IF(B1265=-1,-1,VLOOKUP(C1265,$T$1:$V$20,3))</f>
        <v>13</v>
      </c>
      <c r="L1265" s="16" t="n">
        <f aca="false">IF(B1265=-1,-1,VLOOKUP(D1265,$Y$1:$AA$22,3))</f>
        <v>20</v>
      </c>
      <c r="N1265" s="10" t="str">
        <f aca="false">_xlfn.UNICHAR(((C1265*21)+G1265)*28+44032)</f>
        <v>세</v>
      </c>
      <c r="O1265" s="10" t="str">
        <f aca="false">_xlfn.UNICHAR(((F1265*21)+D1265)*28+44032)</f>
        <v>기</v>
      </c>
      <c r="P1265" s="12" t="n">
        <f aca="false">COUNTIF($A$2:$A$3000, N1265) + COUNTIF($A$2:$A$3000, O1265)</f>
        <v>2</v>
      </c>
      <c r="Q1265" s="16" t="str">
        <f aca="false">IF(OR(B1265=-1,I1265=0, P1265&lt;&gt;2), "albhed_dummy", _xlfn.CONCAT("albhed ", RIGHT("  " &amp; K1265,2),", ", RIGHT("  " &amp; L1265,2), ", " ,"""",H1265,""", ", """",N1265,""", ","""",O1265,""""," ; ", A1265))</f>
        <v>albhed 13, 20, "게", "세", "기" ; 십</v>
      </c>
    </row>
    <row r="1266" customFormat="false" ht="17.9" hidden="false" customHeight="true" outlineLevel="0" collapsed="false">
      <c r="A1266" s="16" t="s">
        <v>2131</v>
      </c>
      <c r="B1266" s="16" t="n">
        <f aca="false">IF(_xlfn.UNICODE(A1266)&lt;44032,-1,_xlfn.UNICODE(A1266)-44032)</f>
        <v>5871</v>
      </c>
      <c r="C1266" s="16" t="n">
        <f aca="false">IF(B1266=-1,-1,INT((B1266/28)/21))</f>
        <v>9</v>
      </c>
      <c r="D1266" s="16" t="n">
        <f aca="false">IF(B1266=-1, -1, MOD(INT(B1266/28),21))</f>
        <v>20</v>
      </c>
      <c r="E1266" s="16" t="n">
        <f aca="false">IF(B1266=-1, -1, VLOOKUP(MOD(B1266,28), $T$24:$U$52,2))</f>
        <v>19</v>
      </c>
      <c r="F1266" s="16" t="n">
        <f aca="false">IF($B1266=-1, -1, VLOOKUP(C1266,$T$1:$V$20, 2))</f>
        <v>0</v>
      </c>
      <c r="G1266" s="16" t="n">
        <f aca="false">IF($B1266=-1, -1, VLOOKUP(D1266,$Y$1:$Z$22,2))</f>
        <v>5</v>
      </c>
      <c r="H1266" s="16" t="str">
        <f aca="false">_xlfn.UNICHAR(((F1266*21)+G1266)*28+44032)</f>
        <v>게</v>
      </c>
      <c r="I1266" s="16" t="n">
        <f aca="false">IF(B1266=-1, 1, COUNTIF($A$2:$A$3000, H1266))</f>
        <v>1</v>
      </c>
      <c r="J1266" s="10" t="str">
        <f aca="false">_xlfn.CONCAT(A1266, ",",H1266,",",I1266)</f>
        <v>싯,게,1</v>
      </c>
      <c r="K1266" s="16" t="n">
        <f aca="false">IF(B1266=-1,-1,VLOOKUP(C1266,$T$1:$V$20,3))</f>
        <v>13</v>
      </c>
      <c r="L1266" s="16" t="n">
        <f aca="false">IF(B1266=-1,-1,VLOOKUP(D1266,$Y$1:$AA$22,3))</f>
        <v>20</v>
      </c>
      <c r="N1266" s="10" t="str">
        <f aca="false">_xlfn.UNICHAR(((C1266*21)+G1266)*28+44032)</f>
        <v>세</v>
      </c>
      <c r="O1266" s="10" t="str">
        <f aca="false">_xlfn.UNICHAR(((F1266*21)+D1266)*28+44032)</f>
        <v>기</v>
      </c>
      <c r="P1266" s="12" t="n">
        <f aca="false">COUNTIF($A$2:$A$3000, N1266) + COUNTIF($A$2:$A$3000, O1266)</f>
        <v>2</v>
      </c>
      <c r="Q1266" s="16" t="str">
        <f aca="false">IF(OR(B1266=-1,I1266=0, P1266&lt;&gt;2), "albhed_dummy", _xlfn.CONCAT("albhed ", RIGHT("  " &amp; K1266,2),", ", RIGHT("  " &amp; L1266,2), ", " ,"""",H1266,""", ", """",N1266,""", ","""",O1266,""""," ; ", A1266))</f>
        <v>albhed 13, 20, "게", "세", "기" ; 싯</v>
      </c>
    </row>
    <row r="1267" customFormat="false" ht="17.9" hidden="false" customHeight="true" outlineLevel="0" collapsed="false">
      <c r="A1267" s="16" t="s">
        <v>2132</v>
      </c>
      <c r="B1267" s="16" t="n">
        <f aca="false">IF(_xlfn.UNICODE(A1267)&lt;44032,-1,_xlfn.UNICODE(A1267)-44032)</f>
        <v>5873</v>
      </c>
      <c r="C1267" s="16" t="n">
        <f aca="false">IF(B1267=-1,-1,INT((B1267/28)/21))</f>
        <v>9</v>
      </c>
      <c r="D1267" s="16" t="n">
        <f aca="false">IF(B1267=-1, -1, MOD(INT(B1267/28),21))</f>
        <v>20</v>
      </c>
      <c r="E1267" s="16" t="n">
        <f aca="false">IF(B1267=-1, -1, VLOOKUP(MOD(B1267,28), $T$24:$U$52,2))</f>
        <v>21</v>
      </c>
      <c r="F1267" s="16" t="n">
        <f aca="false">IF($B1267=-1, -1, VLOOKUP(C1267,$T$1:$V$20, 2))</f>
        <v>0</v>
      </c>
      <c r="G1267" s="16" t="n">
        <f aca="false">IF($B1267=-1, -1, VLOOKUP(D1267,$Y$1:$Z$22,2))</f>
        <v>5</v>
      </c>
      <c r="H1267" s="16" t="str">
        <f aca="false">_xlfn.UNICHAR(((F1267*21)+G1267)*28+44032)</f>
        <v>게</v>
      </c>
      <c r="I1267" s="16" t="n">
        <f aca="false">IF(B1267=-1, 1, COUNTIF($A$2:$A$3000, H1267))</f>
        <v>1</v>
      </c>
      <c r="J1267" s="10" t="str">
        <f aca="false">_xlfn.CONCAT(A1267, ",",H1267,",",I1267)</f>
        <v>싱,게,1</v>
      </c>
      <c r="K1267" s="16" t="n">
        <f aca="false">IF(B1267=-1,-1,VLOOKUP(C1267,$T$1:$V$20,3))</f>
        <v>13</v>
      </c>
      <c r="L1267" s="16" t="n">
        <f aca="false">IF(B1267=-1,-1,VLOOKUP(D1267,$Y$1:$AA$22,3))</f>
        <v>20</v>
      </c>
      <c r="N1267" s="10" t="str">
        <f aca="false">_xlfn.UNICHAR(((C1267*21)+G1267)*28+44032)</f>
        <v>세</v>
      </c>
      <c r="O1267" s="10" t="str">
        <f aca="false">_xlfn.UNICHAR(((F1267*21)+D1267)*28+44032)</f>
        <v>기</v>
      </c>
      <c r="P1267" s="12" t="n">
        <f aca="false">COUNTIF($A$2:$A$3000, N1267) + COUNTIF($A$2:$A$3000, O1267)</f>
        <v>2</v>
      </c>
      <c r="Q1267" s="16" t="str">
        <f aca="false">IF(OR(B1267=-1,I1267=0, P1267&lt;&gt;2), "albhed_dummy", _xlfn.CONCAT("albhed ", RIGHT("  " &amp; K1267,2),", ", RIGHT("  " &amp; L1267,2), ", " ,"""",H1267,""", ", """",N1267,""", ","""",O1267,""""," ; ", A1267))</f>
        <v>albhed 13, 20, "게", "세", "기" ; 싱</v>
      </c>
    </row>
    <row r="1268" customFormat="false" ht="17.9" hidden="false" customHeight="true" outlineLevel="0" collapsed="false">
      <c r="A1268" s="16" t="s">
        <v>2133</v>
      </c>
      <c r="B1268" s="16" t="n">
        <f aca="false">IF(_xlfn.UNICODE(A1268)&lt;44032,-1,_xlfn.UNICODE(A1268)-44032)</f>
        <v>5878</v>
      </c>
      <c r="C1268" s="16" t="n">
        <f aca="false">IF(B1268=-1,-1,INT((B1268/28)/21))</f>
        <v>9</v>
      </c>
      <c r="D1268" s="16" t="n">
        <f aca="false">IF(B1268=-1, -1, MOD(INT(B1268/28),21))</f>
        <v>20</v>
      </c>
      <c r="E1268" s="16" t="n">
        <f aca="false">IF(B1268=-1, -1, VLOOKUP(MOD(B1268,28), $T$24:$U$52,2))</f>
        <v>17</v>
      </c>
      <c r="F1268" s="16" t="n">
        <f aca="false">IF($B1268=-1, -1, VLOOKUP(C1268,$T$1:$V$20, 2))</f>
        <v>0</v>
      </c>
      <c r="G1268" s="16" t="n">
        <f aca="false">IF($B1268=-1, -1, VLOOKUP(D1268,$Y$1:$Z$22,2))</f>
        <v>5</v>
      </c>
      <c r="H1268" s="16" t="str">
        <f aca="false">_xlfn.UNICHAR(((F1268*21)+G1268)*28+44032)</f>
        <v>게</v>
      </c>
      <c r="I1268" s="16" t="n">
        <f aca="false">IF(B1268=-1, 1, COUNTIF($A$2:$A$3000, H1268))</f>
        <v>1</v>
      </c>
      <c r="J1268" s="10" t="str">
        <f aca="false">_xlfn.CONCAT(A1268, ",",H1268,",",I1268)</f>
        <v>싶,게,1</v>
      </c>
      <c r="K1268" s="16" t="n">
        <f aca="false">IF(B1268=-1,-1,VLOOKUP(C1268,$T$1:$V$20,3))</f>
        <v>13</v>
      </c>
      <c r="L1268" s="16" t="n">
        <f aca="false">IF(B1268=-1,-1,VLOOKUP(D1268,$Y$1:$AA$22,3))</f>
        <v>20</v>
      </c>
      <c r="N1268" s="10" t="str">
        <f aca="false">_xlfn.UNICHAR(((C1268*21)+G1268)*28+44032)</f>
        <v>세</v>
      </c>
      <c r="O1268" s="10" t="str">
        <f aca="false">_xlfn.UNICHAR(((F1268*21)+D1268)*28+44032)</f>
        <v>기</v>
      </c>
      <c r="P1268" s="12" t="n">
        <f aca="false">COUNTIF($A$2:$A$3000, N1268) + COUNTIF($A$2:$A$3000, O1268)</f>
        <v>2</v>
      </c>
      <c r="Q1268" s="16" t="str">
        <f aca="false">IF(OR(B1268=-1,I1268=0, P1268&lt;&gt;2), "albhed_dummy", _xlfn.CONCAT("albhed ", RIGHT("  " &amp; K1268,2),", ", RIGHT("  " &amp; L1268,2), ", " ,"""",H1268,""", ", """",N1268,""", ","""",O1268,""""," ; ", A1268))</f>
        <v>albhed 13, 20, "게", "세", "기" ; 싶</v>
      </c>
    </row>
    <row r="1269" customFormat="false" ht="17.9" hidden="false" customHeight="true" outlineLevel="0" collapsed="false">
      <c r="A1269" s="16" t="s">
        <v>2134</v>
      </c>
      <c r="B1269" s="16" t="n">
        <f aca="false">IF(_xlfn.UNICODE(A1269)&lt;44032,-1,_xlfn.UNICODE(A1269)-44032)</f>
        <v>5880</v>
      </c>
      <c r="C1269" s="16" t="n">
        <f aca="false">IF(B1269=-1,-1,INT((B1269/28)/21))</f>
        <v>10</v>
      </c>
      <c r="D1269" s="16" t="n">
        <f aca="false">IF(B1269=-1, -1, MOD(INT(B1269/28),21))</f>
        <v>0</v>
      </c>
      <c r="E1269" s="16" t="n">
        <f aca="false">IF(B1269=-1, -1, VLOOKUP(MOD(B1269,28), $T$24:$U$52,2))</f>
        <v>0</v>
      </c>
      <c r="F1269" s="16" t="n">
        <f aca="false">IF($B1269=-1, -1, VLOOKUP(C1269,$T$1:$V$20, 2))</f>
        <v>1</v>
      </c>
      <c r="G1269" s="16" t="n">
        <f aca="false">IF($B1269=-1, -1, VLOOKUP(D1269,$Y$1:$Z$22,2))</f>
        <v>13</v>
      </c>
      <c r="H1269" s="16" t="str">
        <f aca="false">_xlfn.UNICHAR(((F1269*21)+G1269)*28+44032)</f>
        <v>꾸</v>
      </c>
      <c r="I1269" s="16" t="n">
        <f aca="false">IF(B1269=-1, 1, COUNTIF($A$2:$A$3000, H1269))</f>
        <v>1</v>
      </c>
      <c r="J1269" s="10" t="str">
        <f aca="false">_xlfn.CONCAT(A1269, ",",H1269,",",I1269)</f>
        <v>싸,꾸,1</v>
      </c>
      <c r="K1269" s="16" t="n">
        <f aca="false">IF(B1269=-1,-1,VLOOKUP(C1269,$T$1:$V$20,3))</f>
        <v>13</v>
      </c>
      <c r="L1269" s="16" t="n">
        <f aca="false">IF(B1269=-1,-1,VLOOKUP(D1269,$Y$1:$AA$22,3))</f>
        <v>2</v>
      </c>
      <c r="N1269" s="10" t="str">
        <f aca="false">_xlfn.UNICHAR(((C1269*21)+G1269)*28+44032)</f>
        <v>쑤</v>
      </c>
      <c r="O1269" s="10" t="str">
        <f aca="false">_xlfn.UNICHAR(((F1269*21)+D1269)*28+44032)</f>
        <v>까</v>
      </c>
      <c r="P1269" s="12" t="n">
        <f aca="false">COUNTIF($A$2:$A$3000, N1269) + COUNTIF($A$2:$A$3000, O1269)</f>
        <v>2</v>
      </c>
      <c r="Q1269" s="16" t="str">
        <f aca="false">IF(OR(B1269=-1,I1269=0, P1269&lt;&gt;2), "albhed_dummy", _xlfn.CONCAT("albhed ", RIGHT("  " &amp; K1269,2),", ", RIGHT("  " &amp; L1269,2), ", " ,"""",H1269,""", ", """",N1269,""", ","""",O1269,""""," ; ", A1269))</f>
        <v>albhed 13,  2, "꾸", "쑤", "까" ; 싸</v>
      </c>
    </row>
    <row r="1270" customFormat="false" ht="17.9" hidden="false" customHeight="true" outlineLevel="0" collapsed="false">
      <c r="A1270" s="16" t="s">
        <v>2135</v>
      </c>
      <c r="B1270" s="16" t="n">
        <f aca="false">IF(_xlfn.UNICODE(A1270)&lt;44032,-1,_xlfn.UNICODE(A1270)-44032)</f>
        <v>5881</v>
      </c>
      <c r="C1270" s="16" t="n">
        <f aca="false">IF(B1270=-1,-1,INT((B1270/28)/21))</f>
        <v>10</v>
      </c>
      <c r="D1270" s="16" t="n">
        <f aca="false">IF(B1270=-1, -1, MOD(INT(B1270/28),21))</f>
        <v>0</v>
      </c>
      <c r="E1270" s="16" t="n">
        <f aca="false">IF(B1270=-1, -1, VLOOKUP(MOD(B1270,28), $T$24:$U$52,2))</f>
        <v>1</v>
      </c>
      <c r="F1270" s="16" t="n">
        <f aca="false">IF($B1270=-1, -1, VLOOKUP(C1270,$T$1:$V$20, 2))</f>
        <v>1</v>
      </c>
      <c r="G1270" s="16" t="n">
        <f aca="false">IF($B1270=-1, -1, VLOOKUP(D1270,$Y$1:$Z$22,2))</f>
        <v>13</v>
      </c>
      <c r="H1270" s="16" t="str">
        <f aca="false">_xlfn.UNICHAR(((F1270*21)+G1270)*28+44032)</f>
        <v>꾸</v>
      </c>
      <c r="I1270" s="16" t="n">
        <f aca="false">IF(B1270=-1, 1, COUNTIF($A$2:$A$3000, H1270))</f>
        <v>1</v>
      </c>
      <c r="J1270" s="10" t="str">
        <f aca="false">_xlfn.CONCAT(A1270, ",",H1270,",",I1270)</f>
        <v>싹,꾸,1</v>
      </c>
      <c r="K1270" s="16" t="n">
        <f aca="false">IF(B1270=-1,-1,VLOOKUP(C1270,$T$1:$V$20,3))</f>
        <v>13</v>
      </c>
      <c r="L1270" s="16" t="n">
        <f aca="false">IF(B1270=-1,-1,VLOOKUP(D1270,$Y$1:$AA$22,3))</f>
        <v>2</v>
      </c>
      <c r="N1270" s="10" t="str">
        <f aca="false">_xlfn.UNICHAR(((C1270*21)+G1270)*28+44032)</f>
        <v>쑤</v>
      </c>
      <c r="O1270" s="10" t="str">
        <f aca="false">_xlfn.UNICHAR(((F1270*21)+D1270)*28+44032)</f>
        <v>까</v>
      </c>
      <c r="P1270" s="12" t="n">
        <f aca="false">COUNTIF($A$2:$A$3000, N1270) + COUNTIF($A$2:$A$3000, O1270)</f>
        <v>2</v>
      </c>
      <c r="Q1270" s="16" t="str">
        <f aca="false">IF(OR(B1270=-1,I1270=0, P1270&lt;&gt;2), "albhed_dummy", _xlfn.CONCAT("albhed ", RIGHT("  " &amp; K1270,2),", ", RIGHT("  " &amp; L1270,2), ", " ,"""",H1270,""", ", """",N1270,""", ","""",O1270,""""," ; ", A1270))</f>
        <v>albhed 13,  2, "꾸", "쑤", "까" ; 싹</v>
      </c>
    </row>
    <row r="1271" customFormat="false" ht="17.9" hidden="false" customHeight="true" outlineLevel="0" collapsed="false">
      <c r="A1271" s="16" t="s">
        <v>2136</v>
      </c>
      <c r="B1271" s="16" t="n">
        <f aca="false">IF(_xlfn.UNICODE(A1271)&lt;44032,-1,_xlfn.UNICODE(A1271)-44032)</f>
        <v>5883</v>
      </c>
      <c r="C1271" s="16" t="n">
        <f aca="false">IF(B1271=-1,-1,INT((B1271/28)/21))</f>
        <v>10</v>
      </c>
      <c r="D1271" s="16" t="n">
        <f aca="false">IF(B1271=-1, -1, MOD(INT(B1271/28),21))</f>
        <v>0</v>
      </c>
      <c r="E1271" s="16" t="n">
        <f aca="false">IF(B1271=-1, -1, VLOOKUP(MOD(B1271,28), $T$24:$U$52,2))</f>
        <v>1</v>
      </c>
      <c r="F1271" s="16" t="n">
        <f aca="false">IF($B1271=-1, -1, VLOOKUP(C1271,$T$1:$V$20, 2))</f>
        <v>1</v>
      </c>
      <c r="G1271" s="16" t="n">
        <f aca="false">IF($B1271=-1, -1, VLOOKUP(D1271,$Y$1:$Z$22,2))</f>
        <v>13</v>
      </c>
      <c r="H1271" s="16" t="str">
        <f aca="false">_xlfn.UNICHAR(((F1271*21)+G1271)*28+44032)</f>
        <v>꾸</v>
      </c>
      <c r="I1271" s="16" t="n">
        <f aca="false">IF(B1271=-1, 1, COUNTIF($A$2:$A$3000, H1271))</f>
        <v>1</v>
      </c>
      <c r="J1271" s="10" t="str">
        <f aca="false">_xlfn.CONCAT(A1271, ",",H1271,",",I1271)</f>
        <v>싻,꾸,1</v>
      </c>
      <c r="K1271" s="16" t="n">
        <f aca="false">IF(B1271=-1,-1,VLOOKUP(C1271,$T$1:$V$20,3))</f>
        <v>13</v>
      </c>
      <c r="L1271" s="16" t="n">
        <f aca="false">IF(B1271=-1,-1,VLOOKUP(D1271,$Y$1:$AA$22,3))</f>
        <v>2</v>
      </c>
      <c r="N1271" s="10" t="str">
        <f aca="false">_xlfn.UNICHAR(((C1271*21)+G1271)*28+44032)</f>
        <v>쑤</v>
      </c>
      <c r="O1271" s="10" t="str">
        <f aca="false">_xlfn.UNICHAR(((F1271*21)+D1271)*28+44032)</f>
        <v>까</v>
      </c>
      <c r="P1271" s="12" t="n">
        <f aca="false">COUNTIF($A$2:$A$3000, N1271) + COUNTIF($A$2:$A$3000, O1271)</f>
        <v>2</v>
      </c>
      <c r="Q1271" s="16" t="str">
        <f aca="false">IF(OR(B1271=-1,I1271=0, P1271&lt;&gt;2), "albhed_dummy", _xlfn.CONCAT("albhed ", RIGHT("  " &amp; K1271,2),", ", RIGHT("  " &amp; L1271,2), ", " ,"""",H1271,""", ", """",N1271,""", ","""",O1271,""""," ; ", A1271))</f>
        <v>albhed 13,  2, "꾸", "쑤", "까" ; 싻</v>
      </c>
    </row>
    <row r="1272" customFormat="false" ht="17.9" hidden="false" customHeight="true" outlineLevel="0" collapsed="false">
      <c r="A1272" s="16" t="s">
        <v>2137</v>
      </c>
      <c r="B1272" s="16" t="n">
        <f aca="false">IF(_xlfn.UNICODE(A1272)&lt;44032,-1,_xlfn.UNICODE(A1272)-44032)</f>
        <v>5884</v>
      </c>
      <c r="C1272" s="16" t="n">
        <f aca="false">IF(B1272=-1,-1,INT((B1272/28)/21))</f>
        <v>10</v>
      </c>
      <c r="D1272" s="16" t="n">
        <f aca="false">IF(B1272=-1, -1, MOD(INT(B1272/28),21))</f>
        <v>0</v>
      </c>
      <c r="E1272" s="16" t="n">
        <f aca="false">IF(B1272=-1, -1, VLOOKUP(MOD(B1272,28), $T$24:$U$52,2))</f>
        <v>4</v>
      </c>
      <c r="F1272" s="16" t="n">
        <f aca="false">IF($B1272=-1, -1, VLOOKUP(C1272,$T$1:$V$20, 2))</f>
        <v>1</v>
      </c>
      <c r="G1272" s="16" t="n">
        <f aca="false">IF($B1272=-1, -1, VLOOKUP(D1272,$Y$1:$Z$22,2))</f>
        <v>13</v>
      </c>
      <c r="H1272" s="16" t="str">
        <f aca="false">_xlfn.UNICHAR(((F1272*21)+G1272)*28+44032)</f>
        <v>꾸</v>
      </c>
      <c r="I1272" s="16" t="n">
        <f aca="false">IF(B1272=-1, 1, COUNTIF($A$2:$A$3000, H1272))</f>
        <v>1</v>
      </c>
      <c r="J1272" s="10" t="str">
        <f aca="false">_xlfn.CONCAT(A1272, ",",H1272,",",I1272)</f>
        <v>싼,꾸,1</v>
      </c>
      <c r="K1272" s="16" t="n">
        <f aca="false">IF(B1272=-1,-1,VLOOKUP(C1272,$T$1:$V$20,3))</f>
        <v>13</v>
      </c>
      <c r="L1272" s="16" t="n">
        <f aca="false">IF(B1272=-1,-1,VLOOKUP(D1272,$Y$1:$AA$22,3))</f>
        <v>2</v>
      </c>
      <c r="N1272" s="10" t="str">
        <f aca="false">_xlfn.UNICHAR(((C1272*21)+G1272)*28+44032)</f>
        <v>쑤</v>
      </c>
      <c r="O1272" s="10" t="str">
        <f aca="false">_xlfn.UNICHAR(((F1272*21)+D1272)*28+44032)</f>
        <v>까</v>
      </c>
      <c r="P1272" s="12" t="n">
        <f aca="false">COUNTIF($A$2:$A$3000, N1272) + COUNTIF($A$2:$A$3000, O1272)</f>
        <v>2</v>
      </c>
      <c r="Q1272" s="16" t="str">
        <f aca="false">IF(OR(B1272=-1,I1272=0, P1272&lt;&gt;2), "albhed_dummy", _xlfn.CONCAT("albhed ", RIGHT("  " &amp; K1272,2),", ", RIGHT("  " &amp; L1272,2), ", " ,"""",H1272,""", ", """",N1272,""", ","""",O1272,""""," ; ", A1272))</f>
        <v>albhed 13,  2, "꾸", "쑤", "까" ; 싼</v>
      </c>
    </row>
    <row r="1273" customFormat="false" ht="17.9" hidden="false" customHeight="true" outlineLevel="0" collapsed="false">
      <c r="A1273" s="16" t="s">
        <v>2138</v>
      </c>
      <c r="B1273" s="16" t="n">
        <f aca="false">IF(_xlfn.UNICODE(A1273)&lt;44032,-1,_xlfn.UNICODE(A1273)-44032)</f>
        <v>5888</v>
      </c>
      <c r="C1273" s="16" t="n">
        <f aca="false">IF(B1273=-1,-1,INT((B1273/28)/21))</f>
        <v>10</v>
      </c>
      <c r="D1273" s="16" t="n">
        <f aca="false">IF(B1273=-1, -1, MOD(INT(B1273/28),21))</f>
        <v>0</v>
      </c>
      <c r="E1273" s="16" t="n">
        <f aca="false">IF(B1273=-1, -1, VLOOKUP(MOD(B1273,28), $T$24:$U$52,2))</f>
        <v>8</v>
      </c>
      <c r="F1273" s="16" t="n">
        <f aca="false">IF($B1273=-1, -1, VLOOKUP(C1273,$T$1:$V$20, 2))</f>
        <v>1</v>
      </c>
      <c r="G1273" s="16" t="n">
        <f aca="false">IF($B1273=-1, -1, VLOOKUP(D1273,$Y$1:$Z$22,2))</f>
        <v>13</v>
      </c>
      <c r="H1273" s="16" t="str">
        <f aca="false">_xlfn.UNICHAR(((F1273*21)+G1273)*28+44032)</f>
        <v>꾸</v>
      </c>
      <c r="I1273" s="16" t="n">
        <f aca="false">IF(B1273=-1, 1, COUNTIF($A$2:$A$3000, H1273))</f>
        <v>1</v>
      </c>
      <c r="J1273" s="10" t="str">
        <f aca="false">_xlfn.CONCAT(A1273, ",",H1273,",",I1273)</f>
        <v>쌀,꾸,1</v>
      </c>
      <c r="K1273" s="16" t="n">
        <f aca="false">IF(B1273=-1,-1,VLOOKUP(C1273,$T$1:$V$20,3))</f>
        <v>13</v>
      </c>
      <c r="L1273" s="16" t="n">
        <f aca="false">IF(B1273=-1,-1,VLOOKUP(D1273,$Y$1:$AA$22,3))</f>
        <v>2</v>
      </c>
      <c r="N1273" s="10" t="str">
        <f aca="false">_xlfn.UNICHAR(((C1273*21)+G1273)*28+44032)</f>
        <v>쑤</v>
      </c>
      <c r="O1273" s="10" t="str">
        <f aca="false">_xlfn.UNICHAR(((F1273*21)+D1273)*28+44032)</f>
        <v>까</v>
      </c>
      <c r="P1273" s="12" t="n">
        <f aca="false">COUNTIF($A$2:$A$3000, N1273) + COUNTIF($A$2:$A$3000, O1273)</f>
        <v>2</v>
      </c>
      <c r="Q1273" s="16" t="str">
        <f aca="false">IF(OR(B1273=-1,I1273=0, P1273&lt;&gt;2), "albhed_dummy", _xlfn.CONCAT("albhed ", RIGHT("  " &amp; K1273,2),", ", RIGHT("  " &amp; L1273,2), ", " ,"""",H1273,""", ", """",N1273,""", ","""",O1273,""""," ; ", A1273))</f>
        <v>albhed 13,  2, "꾸", "쑤", "까" ; 쌀</v>
      </c>
    </row>
    <row r="1274" customFormat="false" ht="17.9" hidden="false" customHeight="true" outlineLevel="0" collapsed="false">
      <c r="A1274" s="16" t="s">
        <v>2139</v>
      </c>
      <c r="B1274" s="16" t="n">
        <f aca="false">IF(_xlfn.UNICODE(A1274)&lt;44032,-1,_xlfn.UNICODE(A1274)-44032)</f>
        <v>5896</v>
      </c>
      <c r="C1274" s="16" t="n">
        <f aca="false">IF(B1274=-1,-1,INT((B1274/28)/21))</f>
        <v>10</v>
      </c>
      <c r="D1274" s="16" t="n">
        <f aca="false">IF(B1274=-1, -1, MOD(INT(B1274/28),21))</f>
        <v>0</v>
      </c>
      <c r="E1274" s="16" t="n">
        <f aca="false">IF(B1274=-1, -1, VLOOKUP(MOD(B1274,28), $T$24:$U$52,2))</f>
        <v>16</v>
      </c>
      <c r="F1274" s="16" t="n">
        <f aca="false">IF($B1274=-1, -1, VLOOKUP(C1274,$T$1:$V$20, 2))</f>
        <v>1</v>
      </c>
      <c r="G1274" s="16" t="n">
        <f aca="false">IF($B1274=-1, -1, VLOOKUP(D1274,$Y$1:$Z$22,2))</f>
        <v>13</v>
      </c>
      <c r="H1274" s="16" t="str">
        <f aca="false">_xlfn.UNICHAR(((F1274*21)+G1274)*28+44032)</f>
        <v>꾸</v>
      </c>
      <c r="I1274" s="16" t="n">
        <f aca="false">IF(B1274=-1, 1, COUNTIF($A$2:$A$3000, H1274))</f>
        <v>1</v>
      </c>
      <c r="J1274" s="10" t="str">
        <f aca="false">_xlfn.CONCAT(A1274, ",",H1274,",",I1274)</f>
        <v>쌈,꾸,1</v>
      </c>
      <c r="K1274" s="16" t="n">
        <f aca="false">IF(B1274=-1,-1,VLOOKUP(C1274,$T$1:$V$20,3))</f>
        <v>13</v>
      </c>
      <c r="L1274" s="16" t="n">
        <f aca="false">IF(B1274=-1,-1,VLOOKUP(D1274,$Y$1:$AA$22,3))</f>
        <v>2</v>
      </c>
      <c r="N1274" s="10" t="str">
        <f aca="false">_xlfn.UNICHAR(((C1274*21)+G1274)*28+44032)</f>
        <v>쑤</v>
      </c>
      <c r="O1274" s="10" t="str">
        <f aca="false">_xlfn.UNICHAR(((F1274*21)+D1274)*28+44032)</f>
        <v>까</v>
      </c>
      <c r="P1274" s="12" t="n">
        <f aca="false">COUNTIF($A$2:$A$3000, N1274) + COUNTIF($A$2:$A$3000, O1274)</f>
        <v>2</v>
      </c>
      <c r="Q1274" s="16" t="str">
        <f aca="false">IF(OR(B1274=-1,I1274=0, P1274&lt;&gt;2), "albhed_dummy", _xlfn.CONCAT("albhed ", RIGHT("  " &amp; K1274,2),", ", RIGHT("  " &amp; L1274,2), ", " ,"""",H1274,""", ", """",N1274,""", ","""",O1274,""""," ; ", A1274))</f>
        <v>albhed 13,  2, "꾸", "쑤", "까" ; 쌈</v>
      </c>
    </row>
    <row r="1275" customFormat="false" ht="17.9" hidden="false" customHeight="true" outlineLevel="0" collapsed="false">
      <c r="A1275" s="16" t="s">
        <v>2140</v>
      </c>
      <c r="B1275" s="16" t="n">
        <f aca="false">IF(_xlfn.UNICODE(A1275)&lt;44032,-1,_xlfn.UNICODE(A1275)-44032)</f>
        <v>5897</v>
      </c>
      <c r="C1275" s="16" t="n">
        <f aca="false">IF(B1275=-1,-1,INT((B1275/28)/21))</f>
        <v>10</v>
      </c>
      <c r="D1275" s="16" t="n">
        <f aca="false">IF(B1275=-1, -1, MOD(INT(B1275/28),21))</f>
        <v>0</v>
      </c>
      <c r="E1275" s="16" t="n">
        <f aca="false">IF(B1275=-1, -1, VLOOKUP(MOD(B1275,28), $T$24:$U$52,2))</f>
        <v>17</v>
      </c>
      <c r="F1275" s="16" t="n">
        <f aca="false">IF($B1275=-1, -1, VLOOKUP(C1275,$T$1:$V$20, 2))</f>
        <v>1</v>
      </c>
      <c r="G1275" s="16" t="n">
        <f aca="false">IF($B1275=-1, -1, VLOOKUP(D1275,$Y$1:$Z$22,2))</f>
        <v>13</v>
      </c>
      <c r="H1275" s="16" t="str">
        <f aca="false">_xlfn.UNICHAR(((F1275*21)+G1275)*28+44032)</f>
        <v>꾸</v>
      </c>
      <c r="I1275" s="16" t="n">
        <f aca="false">IF(B1275=-1, 1, COUNTIF($A$2:$A$3000, H1275))</f>
        <v>1</v>
      </c>
      <c r="J1275" s="10" t="str">
        <f aca="false">_xlfn.CONCAT(A1275, ",",H1275,",",I1275)</f>
        <v>쌉,꾸,1</v>
      </c>
      <c r="K1275" s="16" t="n">
        <f aca="false">IF(B1275=-1,-1,VLOOKUP(C1275,$T$1:$V$20,3))</f>
        <v>13</v>
      </c>
      <c r="L1275" s="16" t="n">
        <f aca="false">IF(B1275=-1,-1,VLOOKUP(D1275,$Y$1:$AA$22,3))</f>
        <v>2</v>
      </c>
      <c r="N1275" s="10" t="str">
        <f aca="false">_xlfn.UNICHAR(((C1275*21)+G1275)*28+44032)</f>
        <v>쑤</v>
      </c>
      <c r="O1275" s="10" t="str">
        <f aca="false">_xlfn.UNICHAR(((F1275*21)+D1275)*28+44032)</f>
        <v>까</v>
      </c>
      <c r="P1275" s="12" t="n">
        <f aca="false">COUNTIF($A$2:$A$3000, N1275) + COUNTIF($A$2:$A$3000, O1275)</f>
        <v>2</v>
      </c>
      <c r="Q1275" s="16" t="str">
        <f aca="false">IF(OR(B1275=-1,I1275=0, P1275&lt;&gt;2), "albhed_dummy", _xlfn.CONCAT("albhed ", RIGHT("  " &amp; K1275,2),", ", RIGHT("  " &amp; L1275,2), ", " ,"""",H1275,""", ", """",N1275,""", ","""",O1275,""""," ; ", A1275))</f>
        <v>albhed 13,  2, "꾸", "쑤", "까" ; 쌉</v>
      </c>
    </row>
    <row r="1276" customFormat="false" ht="17.9" hidden="false" customHeight="true" outlineLevel="0" collapsed="false">
      <c r="A1276" s="16" t="s">
        <v>2141</v>
      </c>
      <c r="B1276" s="16" t="n">
        <f aca="false">IF(_xlfn.UNICODE(A1276)&lt;44032,-1,_xlfn.UNICODE(A1276)-44032)</f>
        <v>5900</v>
      </c>
      <c r="C1276" s="16" t="n">
        <f aca="false">IF(B1276=-1,-1,INT((B1276/28)/21))</f>
        <v>10</v>
      </c>
      <c r="D1276" s="16" t="n">
        <f aca="false">IF(B1276=-1, -1, MOD(INT(B1276/28),21))</f>
        <v>0</v>
      </c>
      <c r="E1276" s="16" t="n">
        <f aca="false">IF(B1276=-1, -1, VLOOKUP(MOD(B1276,28), $T$24:$U$52,2))</f>
        <v>19</v>
      </c>
      <c r="F1276" s="16" t="n">
        <f aca="false">IF($B1276=-1, -1, VLOOKUP(C1276,$T$1:$V$20, 2))</f>
        <v>1</v>
      </c>
      <c r="G1276" s="16" t="n">
        <f aca="false">IF($B1276=-1, -1, VLOOKUP(D1276,$Y$1:$Z$22,2))</f>
        <v>13</v>
      </c>
      <c r="H1276" s="16" t="str">
        <f aca="false">_xlfn.UNICHAR(((F1276*21)+G1276)*28+44032)</f>
        <v>꾸</v>
      </c>
      <c r="I1276" s="16" t="n">
        <f aca="false">IF(B1276=-1, 1, COUNTIF($A$2:$A$3000, H1276))</f>
        <v>1</v>
      </c>
      <c r="J1276" s="10" t="str">
        <f aca="false">_xlfn.CONCAT(A1276, ",",H1276,",",I1276)</f>
        <v>쌌,꾸,1</v>
      </c>
      <c r="K1276" s="16" t="n">
        <f aca="false">IF(B1276=-1,-1,VLOOKUP(C1276,$T$1:$V$20,3))</f>
        <v>13</v>
      </c>
      <c r="L1276" s="16" t="n">
        <f aca="false">IF(B1276=-1,-1,VLOOKUP(D1276,$Y$1:$AA$22,3))</f>
        <v>2</v>
      </c>
      <c r="N1276" s="10" t="str">
        <f aca="false">_xlfn.UNICHAR(((C1276*21)+G1276)*28+44032)</f>
        <v>쑤</v>
      </c>
      <c r="O1276" s="10" t="str">
        <f aca="false">_xlfn.UNICHAR(((F1276*21)+D1276)*28+44032)</f>
        <v>까</v>
      </c>
      <c r="P1276" s="12" t="n">
        <f aca="false">COUNTIF($A$2:$A$3000, N1276) + COUNTIF($A$2:$A$3000, O1276)</f>
        <v>2</v>
      </c>
      <c r="Q1276" s="16" t="str">
        <f aca="false">IF(OR(B1276=-1,I1276=0, P1276&lt;&gt;2), "albhed_dummy", _xlfn.CONCAT("albhed ", RIGHT("  " &amp; K1276,2),", ", RIGHT("  " &amp; L1276,2), ", " ,"""",H1276,""", ", """",N1276,""", ","""",O1276,""""," ; ", A1276))</f>
        <v>albhed 13,  2, "꾸", "쑤", "까" ; 쌌</v>
      </c>
    </row>
    <row r="1277" customFormat="false" ht="17.9" hidden="false" customHeight="true" outlineLevel="0" collapsed="false">
      <c r="A1277" s="16" t="s">
        <v>2142</v>
      </c>
      <c r="B1277" s="16" t="n">
        <f aca="false">IF(_xlfn.UNICODE(A1277)&lt;44032,-1,_xlfn.UNICODE(A1277)-44032)</f>
        <v>5901</v>
      </c>
      <c r="C1277" s="16" t="n">
        <f aca="false">IF(B1277=-1,-1,INT((B1277/28)/21))</f>
        <v>10</v>
      </c>
      <c r="D1277" s="16" t="n">
        <f aca="false">IF(B1277=-1, -1, MOD(INT(B1277/28),21))</f>
        <v>0</v>
      </c>
      <c r="E1277" s="16" t="n">
        <f aca="false">IF(B1277=-1, -1, VLOOKUP(MOD(B1277,28), $T$24:$U$52,2))</f>
        <v>21</v>
      </c>
      <c r="F1277" s="16" t="n">
        <f aca="false">IF($B1277=-1, -1, VLOOKUP(C1277,$T$1:$V$20, 2))</f>
        <v>1</v>
      </c>
      <c r="G1277" s="16" t="n">
        <f aca="false">IF($B1277=-1, -1, VLOOKUP(D1277,$Y$1:$Z$22,2))</f>
        <v>13</v>
      </c>
      <c r="H1277" s="16" t="str">
        <f aca="false">_xlfn.UNICHAR(((F1277*21)+G1277)*28+44032)</f>
        <v>꾸</v>
      </c>
      <c r="I1277" s="16" t="n">
        <f aca="false">IF(B1277=-1, 1, COUNTIF($A$2:$A$3000, H1277))</f>
        <v>1</v>
      </c>
      <c r="J1277" s="10" t="str">
        <f aca="false">_xlfn.CONCAT(A1277, ",",H1277,",",I1277)</f>
        <v>쌍,꾸,1</v>
      </c>
      <c r="K1277" s="16" t="n">
        <f aca="false">IF(B1277=-1,-1,VLOOKUP(C1277,$T$1:$V$20,3))</f>
        <v>13</v>
      </c>
      <c r="L1277" s="16" t="n">
        <f aca="false">IF(B1277=-1,-1,VLOOKUP(D1277,$Y$1:$AA$22,3))</f>
        <v>2</v>
      </c>
      <c r="N1277" s="10" t="str">
        <f aca="false">_xlfn.UNICHAR(((C1277*21)+G1277)*28+44032)</f>
        <v>쑤</v>
      </c>
      <c r="O1277" s="10" t="str">
        <f aca="false">_xlfn.UNICHAR(((F1277*21)+D1277)*28+44032)</f>
        <v>까</v>
      </c>
      <c r="P1277" s="12" t="n">
        <f aca="false">COUNTIF($A$2:$A$3000, N1277) + COUNTIF($A$2:$A$3000, O1277)</f>
        <v>2</v>
      </c>
      <c r="Q1277" s="16" t="str">
        <f aca="false">IF(OR(B1277=-1,I1277=0, P1277&lt;&gt;2), "albhed_dummy", _xlfn.CONCAT("albhed ", RIGHT("  " &amp; K1277,2),", ", RIGHT("  " &amp; L1277,2), ", " ,"""",H1277,""", ", """",N1277,""", ","""",O1277,""""," ; ", A1277))</f>
        <v>albhed 13,  2, "꾸", "쑤", "까" ; 쌍</v>
      </c>
    </row>
    <row r="1278" customFormat="false" ht="17.9" hidden="false" customHeight="true" outlineLevel="0" collapsed="false">
      <c r="A1278" s="16" t="s">
        <v>2143</v>
      </c>
      <c r="B1278" s="16" t="n">
        <f aca="false">IF(_xlfn.UNICODE(A1278)&lt;44032,-1,_xlfn.UNICODE(A1278)-44032)</f>
        <v>5907</v>
      </c>
      <c r="C1278" s="16" t="n">
        <f aca="false">IF(B1278=-1,-1,INT((B1278/28)/21))</f>
        <v>10</v>
      </c>
      <c r="D1278" s="16" t="n">
        <f aca="false">IF(B1278=-1, -1, MOD(INT(B1278/28),21))</f>
        <v>0</v>
      </c>
      <c r="E1278" s="16" t="n">
        <f aca="false">IF(B1278=-1, -1, VLOOKUP(MOD(B1278,28), $T$24:$U$52,2))</f>
        <v>19</v>
      </c>
      <c r="F1278" s="16" t="n">
        <f aca="false">IF($B1278=-1, -1, VLOOKUP(C1278,$T$1:$V$20, 2))</f>
        <v>1</v>
      </c>
      <c r="G1278" s="16" t="n">
        <f aca="false">IF($B1278=-1, -1, VLOOKUP(D1278,$Y$1:$Z$22,2))</f>
        <v>13</v>
      </c>
      <c r="H1278" s="16" t="str">
        <f aca="false">_xlfn.UNICHAR(((F1278*21)+G1278)*28+44032)</f>
        <v>꾸</v>
      </c>
      <c r="I1278" s="16" t="n">
        <f aca="false">IF(B1278=-1, 1, COUNTIF($A$2:$A$3000, H1278))</f>
        <v>1</v>
      </c>
      <c r="J1278" s="10" t="str">
        <f aca="false">_xlfn.CONCAT(A1278, ",",H1278,",",I1278)</f>
        <v>쌓,꾸,1</v>
      </c>
      <c r="K1278" s="16" t="n">
        <f aca="false">IF(B1278=-1,-1,VLOOKUP(C1278,$T$1:$V$20,3))</f>
        <v>13</v>
      </c>
      <c r="L1278" s="16" t="n">
        <f aca="false">IF(B1278=-1,-1,VLOOKUP(D1278,$Y$1:$AA$22,3))</f>
        <v>2</v>
      </c>
      <c r="N1278" s="10" t="str">
        <f aca="false">_xlfn.UNICHAR(((C1278*21)+G1278)*28+44032)</f>
        <v>쑤</v>
      </c>
      <c r="O1278" s="10" t="str">
        <f aca="false">_xlfn.UNICHAR(((F1278*21)+D1278)*28+44032)</f>
        <v>까</v>
      </c>
      <c r="P1278" s="12" t="n">
        <f aca="false">COUNTIF($A$2:$A$3000, N1278) + COUNTIF($A$2:$A$3000, O1278)</f>
        <v>2</v>
      </c>
      <c r="Q1278" s="16" t="str">
        <f aca="false">IF(OR(B1278=-1,I1278=0, P1278&lt;&gt;2), "albhed_dummy", _xlfn.CONCAT("albhed ", RIGHT("  " &amp; K1278,2),", ", RIGHT("  " &amp; L1278,2), ", " ,"""",H1278,""", ", """",N1278,""", ","""",O1278,""""," ; ", A1278))</f>
        <v>albhed 13,  2, "꾸", "쑤", "까" ; 쌓</v>
      </c>
    </row>
    <row r="1279" customFormat="false" ht="17.9" hidden="false" customHeight="true" outlineLevel="0" collapsed="false">
      <c r="A1279" s="16" t="s">
        <v>2144</v>
      </c>
      <c r="B1279" s="16" t="n">
        <f aca="false">IF(_xlfn.UNICODE(A1279)&lt;44032,-1,_xlfn.UNICODE(A1279)-44032)</f>
        <v>5908</v>
      </c>
      <c r="C1279" s="16" t="n">
        <f aca="false">IF(B1279=-1,-1,INT((B1279/28)/21))</f>
        <v>10</v>
      </c>
      <c r="D1279" s="16" t="n">
        <f aca="false">IF(B1279=-1, -1, MOD(INT(B1279/28),21))</f>
        <v>1</v>
      </c>
      <c r="E1279" s="16" t="n">
        <f aca="false">IF(B1279=-1, -1, VLOOKUP(MOD(B1279,28), $T$24:$U$52,2))</f>
        <v>0</v>
      </c>
      <c r="F1279" s="16" t="n">
        <f aca="false">IF($B1279=-1, -1, VLOOKUP(C1279,$T$1:$V$20, 2))</f>
        <v>1</v>
      </c>
      <c r="G1279" s="16" t="n">
        <f aca="false">IF($B1279=-1, -1, VLOOKUP(D1279,$Y$1:$Z$22,2))</f>
        <v>18</v>
      </c>
      <c r="H1279" s="16" t="str">
        <f aca="false">_xlfn.UNICHAR(((F1279*21)+G1279)*28+44032)</f>
        <v>끄</v>
      </c>
      <c r="I1279" s="16" t="n">
        <f aca="false">IF(B1279=-1, 1, COUNTIF($A$2:$A$3000, H1279))</f>
        <v>1</v>
      </c>
      <c r="J1279" s="10" t="str">
        <f aca="false">_xlfn.CONCAT(A1279, ",",H1279,",",I1279)</f>
        <v>쌔,끄,1</v>
      </c>
      <c r="K1279" s="16" t="n">
        <f aca="false">IF(B1279=-1,-1,VLOOKUP(C1279,$T$1:$V$20,3))</f>
        <v>13</v>
      </c>
      <c r="L1279" s="16" t="n">
        <f aca="false">IF(B1279=-1,-1,VLOOKUP(D1279,$Y$1:$AA$22,3))</f>
        <v>10</v>
      </c>
      <c r="N1279" s="10" t="str">
        <f aca="false">_xlfn.UNICHAR(((C1279*21)+G1279)*28+44032)</f>
        <v>쓰</v>
      </c>
      <c r="O1279" s="10" t="str">
        <f aca="false">_xlfn.UNICHAR(((F1279*21)+D1279)*28+44032)</f>
        <v>깨</v>
      </c>
      <c r="P1279" s="12" t="n">
        <f aca="false">COUNTIF($A$2:$A$3000, N1279) + COUNTIF($A$2:$A$3000, O1279)</f>
        <v>2</v>
      </c>
      <c r="Q1279" s="16" t="str">
        <f aca="false">IF(OR(B1279=-1,I1279=0, P1279&lt;&gt;2), "albhed_dummy", _xlfn.CONCAT("albhed ", RIGHT("  " &amp; K1279,2),", ", RIGHT("  " &amp; L1279,2), ", " ,"""",H1279,""", ", """",N1279,""", ","""",O1279,""""," ; ", A1279))</f>
        <v>albhed 13, 10, "끄", "쓰", "깨" ; 쌔</v>
      </c>
    </row>
    <row r="1280" customFormat="false" ht="17.9" hidden="false" customHeight="true" outlineLevel="0" collapsed="false">
      <c r="A1280" s="16" t="s">
        <v>2145</v>
      </c>
      <c r="B1280" s="16" t="n">
        <f aca="false">IF(_xlfn.UNICODE(A1280)&lt;44032,-1,_xlfn.UNICODE(A1280)-44032)</f>
        <v>5909</v>
      </c>
      <c r="C1280" s="16" t="n">
        <f aca="false">IF(B1280=-1,-1,INT((B1280/28)/21))</f>
        <v>10</v>
      </c>
      <c r="D1280" s="16" t="n">
        <f aca="false">IF(B1280=-1, -1, MOD(INT(B1280/28),21))</f>
        <v>1</v>
      </c>
      <c r="E1280" s="16" t="n">
        <f aca="false">IF(B1280=-1, -1, VLOOKUP(MOD(B1280,28), $T$24:$U$52,2))</f>
        <v>1</v>
      </c>
      <c r="F1280" s="16" t="n">
        <f aca="false">IF($B1280=-1, -1, VLOOKUP(C1280,$T$1:$V$20, 2))</f>
        <v>1</v>
      </c>
      <c r="G1280" s="16" t="n">
        <f aca="false">IF($B1280=-1, -1, VLOOKUP(D1280,$Y$1:$Z$22,2))</f>
        <v>18</v>
      </c>
      <c r="H1280" s="16" t="str">
        <f aca="false">_xlfn.UNICHAR(((F1280*21)+G1280)*28+44032)</f>
        <v>끄</v>
      </c>
      <c r="I1280" s="16" t="n">
        <f aca="false">IF(B1280=-1, 1, COUNTIF($A$2:$A$3000, H1280))</f>
        <v>1</v>
      </c>
      <c r="J1280" s="10" t="str">
        <f aca="false">_xlfn.CONCAT(A1280, ",",H1280,",",I1280)</f>
        <v>쌕,끄,1</v>
      </c>
      <c r="K1280" s="16" t="n">
        <f aca="false">IF(B1280=-1,-1,VLOOKUP(C1280,$T$1:$V$20,3))</f>
        <v>13</v>
      </c>
      <c r="L1280" s="16" t="n">
        <f aca="false">IF(B1280=-1,-1,VLOOKUP(D1280,$Y$1:$AA$22,3))</f>
        <v>10</v>
      </c>
      <c r="N1280" s="10" t="str">
        <f aca="false">_xlfn.UNICHAR(((C1280*21)+G1280)*28+44032)</f>
        <v>쓰</v>
      </c>
      <c r="O1280" s="10" t="str">
        <f aca="false">_xlfn.UNICHAR(((F1280*21)+D1280)*28+44032)</f>
        <v>깨</v>
      </c>
      <c r="P1280" s="12" t="n">
        <f aca="false">COUNTIF($A$2:$A$3000, N1280) + COUNTIF($A$2:$A$3000, O1280)</f>
        <v>2</v>
      </c>
      <c r="Q1280" s="16" t="str">
        <f aca="false">IF(OR(B1280=-1,I1280=0, P1280&lt;&gt;2), "albhed_dummy", _xlfn.CONCAT("albhed ", RIGHT("  " &amp; K1280,2),", ", RIGHT("  " &amp; L1280,2), ", " ,"""",H1280,""", ", """",N1280,""", ","""",O1280,""""," ; ", A1280))</f>
        <v>albhed 13, 10, "끄", "쓰", "깨" ; 쌕</v>
      </c>
    </row>
    <row r="1281" customFormat="false" ht="17.9" hidden="false" customHeight="true" outlineLevel="0" collapsed="false">
      <c r="A1281" s="16" t="s">
        <v>2146</v>
      </c>
      <c r="B1281" s="16" t="n">
        <f aca="false">IF(_xlfn.UNICODE(A1281)&lt;44032,-1,_xlfn.UNICODE(A1281)-44032)</f>
        <v>5912</v>
      </c>
      <c r="C1281" s="16" t="n">
        <f aca="false">IF(B1281=-1,-1,INT((B1281/28)/21))</f>
        <v>10</v>
      </c>
      <c r="D1281" s="16" t="n">
        <f aca="false">IF(B1281=-1, -1, MOD(INT(B1281/28),21))</f>
        <v>1</v>
      </c>
      <c r="E1281" s="16" t="n">
        <f aca="false">IF(B1281=-1, -1, VLOOKUP(MOD(B1281,28), $T$24:$U$52,2))</f>
        <v>4</v>
      </c>
      <c r="F1281" s="16" t="n">
        <f aca="false">IF($B1281=-1, -1, VLOOKUP(C1281,$T$1:$V$20, 2))</f>
        <v>1</v>
      </c>
      <c r="G1281" s="16" t="n">
        <f aca="false">IF($B1281=-1, -1, VLOOKUP(D1281,$Y$1:$Z$22,2))</f>
        <v>18</v>
      </c>
      <c r="H1281" s="16" t="str">
        <f aca="false">_xlfn.UNICHAR(((F1281*21)+G1281)*28+44032)</f>
        <v>끄</v>
      </c>
      <c r="I1281" s="16" t="n">
        <f aca="false">IF(B1281=-1, 1, COUNTIF($A$2:$A$3000, H1281))</f>
        <v>1</v>
      </c>
      <c r="J1281" s="10" t="str">
        <f aca="false">_xlfn.CONCAT(A1281, ",",H1281,",",I1281)</f>
        <v>쌘,끄,1</v>
      </c>
      <c r="K1281" s="16" t="n">
        <f aca="false">IF(B1281=-1,-1,VLOOKUP(C1281,$T$1:$V$20,3))</f>
        <v>13</v>
      </c>
      <c r="L1281" s="16" t="n">
        <f aca="false">IF(B1281=-1,-1,VLOOKUP(D1281,$Y$1:$AA$22,3))</f>
        <v>10</v>
      </c>
      <c r="N1281" s="10" t="str">
        <f aca="false">_xlfn.UNICHAR(((C1281*21)+G1281)*28+44032)</f>
        <v>쓰</v>
      </c>
      <c r="O1281" s="10" t="str">
        <f aca="false">_xlfn.UNICHAR(((F1281*21)+D1281)*28+44032)</f>
        <v>깨</v>
      </c>
      <c r="P1281" s="12" t="n">
        <f aca="false">COUNTIF($A$2:$A$3000, N1281) + COUNTIF($A$2:$A$3000, O1281)</f>
        <v>2</v>
      </c>
      <c r="Q1281" s="16" t="str">
        <f aca="false">IF(OR(B1281=-1,I1281=0, P1281&lt;&gt;2), "albhed_dummy", _xlfn.CONCAT("albhed ", RIGHT("  " &amp; K1281,2),", ", RIGHT("  " &amp; L1281,2), ", " ,"""",H1281,""", ", """",N1281,""", ","""",O1281,""""," ; ", A1281))</f>
        <v>albhed 13, 10, "끄", "쓰", "깨" ; 쌘</v>
      </c>
    </row>
    <row r="1282" customFormat="false" ht="17.9" hidden="false" customHeight="true" outlineLevel="0" collapsed="false">
      <c r="A1282" s="16" t="s">
        <v>2147</v>
      </c>
      <c r="B1282" s="16" t="n">
        <f aca="false">IF(_xlfn.UNICODE(A1282)&lt;44032,-1,_xlfn.UNICODE(A1282)-44032)</f>
        <v>5916</v>
      </c>
      <c r="C1282" s="16" t="n">
        <f aca="false">IF(B1282=-1,-1,INT((B1282/28)/21))</f>
        <v>10</v>
      </c>
      <c r="D1282" s="16" t="n">
        <f aca="false">IF(B1282=-1, -1, MOD(INT(B1282/28),21))</f>
        <v>1</v>
      </c>
      <c r="E1282" s="16" t="n">
        <f aca="false">IF(B1282=-1, -1, VLOOKUP(MOD(B1282,28), $T$24:$U$52,2))</f>
        <v>8</v>
      </c>
      <c r="F1282" s="16" t="n">
        <f aca="false">IF($B1282=-1, -1, VLOOKUP(C1282,$T$1:$V$20, 2))</f>
        <v>1</v>
      </c>
      <c r="G1282" s="16" t="n">
        <f aca="false">IF($B1282=-1, -1, VLOOKUP(D1282,$Y$1:$Z$22,2))</f>
        <v>18</v>
      </c>
      <c r="H1282" s="16" t="str">
        <f aca="false">_xlfn.UNICHAR(((F1282*21)+G1282)*28+44032)</f>
        <v>끄</v>
      </c>
      <c r="I1282" s="16" t="n">
        <f aca="false">IF(B1282=-1, 1, COUNTIF($A$2:$A$3000, H1282))</f>
        <v>1</v>
      </c>
      <c r="J1282" s="10" t="str">
        <f aca="false">_xlfn.CONCAT(A1282, ",",H1282,",",I1282)</f>
        <v>쌜,끄,1</v>
      </c>
      <c r="K1282" s="16" t="n">
        <f aca="false">IF(B1282=-1,-1,VLOOKUP(C1282,$T$1:$V$20,3))</f>
        <v>13</v>
      </c>
      <c r="L1282" s="16" t="n">
        <f aca="false">IF(B1282=-1,-1,VLOOKUP(D1282,$Y$1:$AA$22,3))</f>
        <v>10</v>
      </c>
      <c r="N1282" s="10" t="str">
        <f aca="false">_xlfn.UNICHAR(((C1282*21)+G1282)*28+44032)</f>
        <v>쓰</v>
      </c>
      <c r="O1282" s="10" t="str">
        <f aca="false">_xlfn.UNICHAR(((F1282*21)+D1282)*28+44032)</f>
        <v>깨</v>
      </c>
      <c r="P1282" s="12" t="n">
        <f aca="false">COUNTIF($A$2:$A$3000, N1282) + COUNTIF($A$2:$A$3000, O1282)</f>
        <v>2</v>
      </c>
      <c r="Q1282" s="16" t="str">
        <f aca="false">IF(OR(B1282=-1,I1282=0, P1282&lt;&gt;2), "albhed_dummy", _xlfn.CONCAT("albhed ", RIGHT("  " &amp; K1282,2),", ", RIGHT("  " &amp; L1282,2), ", " ,"""",H1282,""", ", """",N1282,""", ","""",O1282,""""," ; ", A1282))</f>
        <v>albhed 13, 10, "끄", "쓰", "깨" ; 쌜</v>
      </c>
    </row>
    <row r="1283" customFormat="false" ht="17.9" hidden="false" customHeight="true" outlineLevel="0" collapsed="false">
      <c r="A1283" s="16" t="s">
        <v>2148</v>
      </c>
      <c r="B1283" s="16" t="n">
        <f aca="false">IF(_xlfn.UNICODE(A1283)&lt;44032,-1,_xlfn.UNICODE(A1283)-44032)</f>
        <v>5924</v>
      </c>
      <c r="C1283" s="16" t="n">
        <f aca="false">IF(B1283=-1,-1,INT((B1283/28)/21))</f>
        <v>10</v>
      </c>
      <c r="D1283" s="16" t="n">
        <f aca="false">IF(B1283=-1, -1, MOD(INT(B1283/28),21))</f>
        <v>1</v>
      </c>
      <c r="E1283" s="16" t="n">
        <f aca="false">IF(B1283=-1, -1, VLOOKUP(MOD(B1283,28), $T$24:$U$52,2))</f>
        <v>16</v>
      </c>
      <c r="F1283" s="16" t="n">
        <f aca="false">IF($B1283=-1, -1, VLOOKUP(C1283,$T$1:$V$20, 2))</f>
        <v>1</v>
      </c>
      <c r="G1283" s="16" t="n">
        <f aca="false">IF($B1283=-1, -1, VLOOKUP(D1283,$Y$1:$Z$22,2))</f>
        <v>18</v>
      </c>
      <c r="H1283" s="16" t="str">
        <f aca="false">_xlfn.UNICHAR(((F1283*21)+G1283)*28+44032)</f>
        <v>끄</v>
      </c>
      <c r="I1283" s="16" t="n">
        <f aca="false">IF(B1283=-1, 1, COUNTIF($A$2:$A$3000, H1283))</f>
        <v>1</v>
      </c>
      <c r="J1283" s="10" t="str">
        <f aca="false">_xlfn.CONCAT(A1283, ",",H1283,",",I1283)</f>
        <v>쌤,끄,1</v>
      </c>
      <c r="K1283" s="16" t="n">
        <f aca="false">IF(B1283=-1,-1,VLOOKUP(C1283,$T$1:$V$20,3))</f>
        <v>13</v>
      </c>
      <c r="L1283" s="16" t="n">
        <f aca="false">IF(B1283=-1,-1,VLOOKUP(D1283,$Y$1:$AA$22,3))</f>
        <v>10</v>
      </c>
      <c r="N1283" s="10" t="str">
        <f aca="false">_xlfn.UNICHAR(((C1283*21)+G1283)*28+44032)</f>
        <v>쓰</v>
      </c>
      <c r="O1283" s="10" t="str">
        <f aca="false">_xlfn.UNICHAR(((F1283*21)+D1283)*28+44032)</f>
        <v>깨</v>
      </c>
      <c r="P1283" s="12" t="n">
        <f aca="false">COUNTIF($A$2:$A$3000, N1283) + COUNTIF($A$2:$A$3000, O1283)</f>
        <v>2</v>
      </c>
      <c r="Q1283" s="16" t="str">
        <f aca="false">IF(OR(B1283=-1,I1283=0, P1283&lt;&gt;2), "albhed_dummy", _xlfn.CONCAT("albhed ", RIGHT("  " &amp; K1283,2),", ", RIGHT("  " &amp; L1283,2), ", " ,"""",H1283,""", ", """",N1283,""", ","""",O1283,""""," ; ", A1283))</f>
        <v>albhed 13, 10, "끄", "쓰", "깨" ; 쌤</v>
      </c>
    </row>
    <row r="1284" customFormat="false" ht="17.9" hidden="false" customHeight="true" outlineLevel="0" collapsed="false">
      <c r="A1284" s="16" t="s">
        <v>2149</v>
      </c>
      <c r="B1284" s="16" t="n">
        <f aca="false">IF(_xlfn.UNICODE(A1284)&lt;44032,-1,_xlfn.UNICODE(A1284)-44032)</f>
        <v>5925</v>
      </c>
      <c r="C1284" s="16" t="n">
        <f aca="false">IF(B1284=-1,-1,INT((B1284/28)/21))</f>
        <v>10</v>
      </c>
      <c r="D1284" s="16" t="n">
        <f aca="false">IF(B1284=-1, -1, MOD(INT(B1284/28),21))</f>
        <v>1</v>
      </c>
      <c r="E1284" s="16" t="n">
        <f aca="false">IF(B1284=-1, -1, VLOOKUP(MOD(B1284,28), $T$24:$U$52,2))</f>
        <v>17</v>
      </c>
      <c r="F1284" s="16" t="n">
        <f aca="false">IF($B1284=-1, -1, VLOOKUP(C1284,$T$1:$V$20, 2))</f>
        <v>1</v>
      </c>
      <c r="G1284" s="16" t="n">
        <f aca="false">IF($B1284=-1, -1, VLOOKUP(D1284,$Y$1:$Z$22,2))</f>
        <v>18</v>
      </c>
      <c r="H1284" s="16" t="str">
        <f aca="false">_xlfn.UNICHAR(((F1284*21)+G1284)*28+44032)</f>
        <v>끄</v>
      </c>
      <c r="I1284" s="16" t="n">
        <f aca="false">IF(B1284=-1, 1, COUNTIF($A$2:$A$3000, H1284))</f>
        <v>1</v>
      </c>
      <c r="J1284" s="10" t="str">
        <f aca="false">_xlfn.CONCAT(A1284, ",",H1284,",",I1284)</f>
        <v>쌥,끄,1</v>
      </c>
      <c r="K1284" s="16" t="n">
        <f aca="false">IF(B1284=-1,-1,VLOOKUP(C1284,$T$1:$V$20,3))</f>
        <v>13</v>
      </c>
      <c r="L1284" s="16" t="n">
        <f aca="false">IF(B1284=-1,-1,VLOOKUP(D1284,$Y$1:$AA$22,3))</f>
        <v>10</v>
      </c>
      <c r="N1284" s="10" t="str">
        <f aca="false">_xlfn.UNICHAR(((C1284*21)+G1284)*28+44032)</f>
        <v>쓰</v>
      </c>
      <c r="O1284" s="10" t="str">
        <f aca="false">_xlfn.UNICHAR(((F1284*21)+D1284)*28+44032)</f>
        <v>깨</v>
      </c>
      <c r="P1284" s="12" t="n">
        <f aca="false">COUNTIF($A$2:$A$3000, N1284) + COUNTIF($A$2:$A$3000, O1284)</f>
        <v>2</v>
      </c>
      <c r="Q1284" s="16" t="str">
        <f aca="false">IF(OR(B1284=-1,I1284=0, P1284&lt;&gt;2), "albhed_dummy", _xlfn.CONCAT("albhed ", RIGHT("  " &amp; K1284,2),", ", RIGHT("  " &amp; L1284,2), ", " ,"""",H1284,""", ", """",N1284,""", ","""",O1284,""""," ; ", A1284))</f>
        <v>albhed 13, 10, "끄", "쓰", "깨" ; 쌥</v>
      </c>
    </row>
    <row r="1285" customFormat="false" ht="17.9" hidden="false" customHeight="true" outlineLevel="0" collapsed="false">
      <c r="A1285" s="16" t="s">
        <v>2150</v>
      </c>
      <c r="B1285" s="16" t="n">
        <f aca="false">IF(_xlfn.UNICODE(A1285)&lt;44032,-1,_xlfn.UNICODE(A1285)-44032)</f>
        <v>5928</v>
      </c>
      <c r="C1285" s="16" t="n">
        <f aca="false">IF(B1285=-1,-1,INT((B1285/28)/21))</f>
        <v>10</v>
      </c>
      <c r="D1285" s="16" t="n">
        <f aca="false">IF(B1285=-1, -1, MOD(INT(B1285/28),21))</f>
        <v>1</v>
      </c>
      <c r="E1285" s="16" t="n">
        <f aca="false">IF(B1285=-1, -1, VLOOKUP(MOD(B1285,28), $T$24:$U$52,2))</f>
        <v>19</v>
      </c>
      <c r="F1285" s="16" t="n">
        <f aca="false">IF($B1285=-1, -1, VLOOKUP(C1285,$T$1:$V$20, 2))</f>
        <v>1</v>
      </c>
      <c r="G1285" s="16" t="n">
        <f aca="false">IF($B1285=-1, -1, VLOOKUP(D1285,$Y$1:$Z$22,2))</f>
        <v>18</v>
      </c>
      <c r="H1285" s="16" t="str">
        <f aca="false">_xlfn.UNICHAR(((F1285*21)+G1285)*28+44032)</f>
        <v>끄</v>
      </c>
      <c r="I1285" s="16" t="n">
        <f aca="false">IF(B1285=-1, 1, COUNTIF($A$2:$A$3000, H1285))</f>
        <v>1</v>
      </c>
      <c r="J1285" s="10" t="str">
        <f aca="false">_xlfn.CONCAT(A1285, ",",H1285,",",I1285)</f>
        <v>쌨,끄,1</v>
      </c>
      <c r="K1285" s="16" t="n">
        <f aca="false">IF(B1285=-1,-1,VLOOKUP(C1285,$T$1:$V$20,3))</f>
        <v>13</v>
      </c>
      <c r="L1285" s="16" t="n">
        <f aca="false">IF(B1285=-1,-1,VLOOKUP(D1285,$Y$1:$AA$22,3))</f>
        <v>10</v>
      </c>
      <c r="N1285" s="10" t="str">
        <f aca="false">_xlfn.UNICHAR(((C1285*21)+G1285)*28+44032)</f>
        <v>쓰</v>
      </c>
      <c r="O1285" s="10" t="str">
        <f aca="false">_xlfn.UNICHAR(((F1285*21)+D1285)*28+44032)</f>
        <v>깨</v>
      </c>
      <c r="P1285" s="12" t="n">
        <f aca="false">COUNTIF($A$2:$A$3000, N1285) + COUNTIF($A$2:$A$3000, O1285)</f>
        <v>2</v>
      </c>
      <c r="Q1285" s="16" t="str">
        <f aca="false">IF(OR(B1285=-1,I1285=0, P1285&lt;&gt;2), "albhed_dummy", _xlfn.CONCAT("albhed ", RIGHT("  " &amp; K1285,2),", ", RIGHT("  " &amp; L1285,2), ", " ,"""",H1285,""", ", """",N1285,""", ","""",O1285,""""," ; ", A1285))</f>
        <v>albhed 13, 10, "끄", "쓰", "깨" ; 쌨</v>
      </c>
    </row>
    <row r="1286" customFormat="false" ht="17.9" hidden="false" customHeight="true" outlineLevel="0" collapsed="false">
      <c r="A1286" s="16" t="s">
        <v>2151</v>
      </c>
      <c r="B1286" s="16" t="n">
        <f aca="false">IF(_xlfn.UNICODE(A1286)&lt;44032,-1,_xlfn.UNICODE(A1286)-44032)</f>
        <v>5929</v>
      </c>
      <c r="C1286" s="16" t="n">
        <f aca="false">IF(B1286=-1,-1,INT((B1286/28)/21))</f>
        <v>10</v>
      </c>
      <c r="D1286" s="16" t="n">
        <f aca="false">IF(B1286=-1, -1, MOD(INT(B1286/28),21))</f>
        <v>1</v>
      </c>
      <c r="E1286" s="16" t="n">
        <f aca="false">IF(B1286=-1, -1, VLOOKUP(MOD(B1286,28), $T$24:$U$52,2))</f>
        <v>21</v>
      </c>
      <c r="F1286" s="16" t="n">
        <f aca="false">IF($B1286=-1, -1, VLOOKUP(C1286,$T$1:$V$20, 2))</f>
        <v>1</v>
      </c>
      <c r="G1286" s="16" t="n">
        <f aca="false">IF($B1286=-1, -1, VLOOKUP(D1286,$Y$1:$Z$22,2))</f>
        <v>18</v>
      </c>
      <c r="H1286" s="16" t="str">
        <f aca="false">_xlfn.UNICHAR(((F1286*21)+G1286)*28+44032)</f>
        <v>끄</v>
      </c>
      <c r="I1286" s="16" t="n">
        <f aca="false">IF(B1286=-1, 1, COUNTIF($A$2:$A$3000, H1286))</f>
        <v>1</v>
      </c>
      <c r="J1286" s="10" t="str">
        <f aca="false">_xlfn.CONCAT(A1286, ",",H1286,",",I1286)</f>
        <v>쌩,끄,1</v>
      </c>
      <c r="K1286" s="16" t="n">
        <f aca="false">IF(B1286=-1,-1,VLOOKUP(C1286,$T$1:$V$20,3))</f>
        <v>13</v>
      </c>
      <c r="L1286" s="16" t="n">
        <f aca="false">IF(B1286=-1,-1,VLOOKUP(D1286,$Y$1:$AA$22,3))</f>
        <v>10</v>
      </c>
      <c r="N1286" s="10" t="str">
        <f aca="false">_xlfn.UNICHAR(((C1286*21)+G1286)*28+44032)</f>
        <v>쓰</v>
      </c>
      <c r="O1286" s="10" t="str">
        <f aca="false">_xlfn.UNICHAR(((F1286*21)+D1286)*28+44032)</f>
        <v>깨</v>
      </c>
      <c r="P1286" s="12" t="n">
        <f aca="false">COUNTIF($A$2:$A$3000, N1286) + COUNTIF($A$2:$A$3000, O1286)</f>
        <v>2</v>
      </c>
      <c r="Q1286" s="16" t="str">
        <f aca="false">IF(OR(B1286=-1,I1286=0, P1286&lt;&gt;2), "albhed_dummy", _xlfn.CONCAT("albhed ", RIGHT("  " &amp; K1286,2),", ", RIGHT("  " &amp; L1286,2), ", " ,"""",H1286,""", ", """",N1286,""", ","""",O1286,""""," ; ", A1286))</f>
        <v>albhed 13, 10, "끄", "쓰", "깨" ; 쌩</v>
      </c>
    </row>
    <row r="1287" customFormat="false" ht="17.9" hidden="false" customHeight="true" outlineLevel="0" collapsed="false">
      <c r="A1287" s="16" t="s">
        <v>2152</v>
      </c>
      <c r="B1287" s="16" t="n">
        <f aca="false">IF(_xlfn.UNICODE(A1287)&lt;44032,-1,_xlfn.UNICODE(A1287)-44032)</f>
        <v>5957</v>
      </c>
      <c r="C1287" s="16" t="n">
        <f aca="false">IF(B1287=-1,-1,INT((B1287/28)/21))</f>
        <v>10</v>
      </c>
      <c r="D1287" s="16" t="n">
        <f aca="false">IF(B1287=-1, -1, MOD(INT(B1287/28),21))</f>
        <v>2</v>
      </c>
      <c r="E1287" s="16" t="n">
        <f aca="false">IF(B1287=-1, -1, VLOOKUP(MOD(B1287,28), $T$24:$U$52,2))</f>
        <v>21</v>
      </c>
      <c r="F1287" s="16" t="n">
        <f aca="false">IF($B1287=-1, -1, VLOOKUP(C1287,$T$1:$V$20, 2))</f>
        <v>1</v>
      </c>
      <c r="G1287" s="16" t="n">
        <f aca="false">IF($B1287=-1, -1, VLOOKUP(D1287,$Y$1:$Z$22,2))</f>
        <v>17</v>
      </c>
      <c r="H1287" s="16" t="str">
        <f aca="false">_xlfn.UNICHAR(((F1287*21)+G1287)*28+44032)</f>
        <v>뀨</v>
      </c>
      <c r="I1287" s="16" t="n">
        <f aca="false">IF(B1287=-1, 1, COUNTIF($A$2:$A$3000, H1287))</f>
        <v>1</v>
      </c>
      <c r="J1287" s="10" t="str">
        <f aca="false">_xlfn.CONCAT(A1287, ",",H1287,",",I1287)</f>
        <v>썅,뀨,1</v>
      </c>
      <c r="K1287" s="16" t="n">
        <f aca="false">IF(B1287=-1,-1,VLOOKUP(C1287,$T$1:$V$20,3))</f>
        <v>13</v>
      </c>
      <c r="L1287" s="16" t="n">
        <f aca="false">IF(B1287=-1,-1,VLOOKUP(D1287,$Y$1:$AA$22,3))</f>
        <v>2</v>
      </c>
      <c r="N1287" s="10" t="str">
        <f aca="false">_xlfn.UNICHAR(((C1287*21)+G1287)*28+44032)</f>
        <v>쓔</v>
      </c>
      <c r="O1287" s="10" t="str">
        <f aca="false">_xlfn.UNICHAR(((F1287*21)+D1287)*28+44032)</f>
        <v>꺄</v>
      </c>
      <c r="P1287" s="12" t="n">
        <f aca="false">COUNTIF($A$2:$A$3000, N1287) + COUNTIF($A$2:$A$3000, O1287)</f>
        <v>1</v>
      </c>
      <c r="Q1287" s="16" t="str">
        <f aca="false">IF(OR(B1287=-1,I1287=0, P1287&lt;&gt;2), "albhed_dummy", _xlfn.CONCAT("albhed ", RIGHT("  " &amp; K1287,2),", ", RIGHT("  " &amp; L1287,2), ", " ,"""",H1287,""", ", """",N1287,""", ","""",O1287,""""," ; ", A1287))</f>
        <v>albhed_dummy</v>
      </c>
    </row>
    <row r="1288" customFormat="false" ht="17.9" hidden="false" customHeight="true" outlineLevel="0" collapsed="false">
      <c r="A1288" s="16" t="s">
        <v>2153</v>
      </c>
      <c r="B1288" s="16" t="n">
        <f aca="false">IF(_xlfn.UNICODE(A1288)&lt;44032,-1,_xlfn.UNICODE(A1288)-44032)</f>
        <v>5992</v>
      </c>
      <c r="C1288" s="16" t="n">
        <f aca="false">IF(B1288=-1,-1,INT((B1288/28)/21))</f>
        <v>10</v>
      </c>
      <c r="D1288" s="16" t="n">
        <f aca="false">IF(B1288=-1, -1, MOD(INT(B1288/28),21))</f>
        <v>4</v>
      </c>
      <c r="E1288" s="16" t="n">
        <f aca="false">IF(B1288=-1, -1, VLOOKUP(MOD(B1288,28), $T$24:$U$52,2))</f>
        <v>0</v>
      </c>
      <c r="F1288" s="16" t="n">
        <f aca="false">IF($B1288=-1, -1, VLOOKUP(C1288,$T$1:$V$20, 2))</f>
        <v>1</v>
      </c>
      <c r="G1288" s="16" t="n">
        <f aca="false">IF($B1288=-1, -1, VLOOKUP(D1288,$Y$1:$Z$22,2))</f>
        <v>8</v>
      </c>
      <c r="H1288" s="16" t="str">
        <f aca="false">_xlfn.UNICHAR(((F1288*21)+G1288)*28+44032)</f>
        <v>꼬</v>
      </c>
      <c r="I1288" s="16" t="n">
        <f aca="false">IF(B1288=-1, 1, COUNTIF($A$2:$A$3000, H1288))</f>
        <v>1</v>
      </c>
      <c r="J1288" s="10" t="str">
        <f aca="false">_xlfn.CONCAT(A1288, ",",H1288,",",I1288)</f>
        <v>써,꼬,1</v>
      </c>
      <c r="K1288" s="16" t="n">
        <f aca="false">IF(B1288=-1,-1,VLOOKUP(C1288,$T$1:$V$20,3))</f>
        <v>13</v>
      </c>
      <c r="L1288" s="16" t="n">
        <f aca="false">IF(B1288=-1,-1,VLOOKUP(D1288,$Y$1:$AA$22,3))</f>
        <v>4</v>
      </c>
      <c r="N1288" s="10" t="str">
        <f aca="false">_xlfn.UNICHAR(((C1288*21)+G1288)*28+44032)</f>
        <v>쏘</v>
      </c>
      <c r="O1288" s="10" t="str">
        <f aca="false">_xlfn.UNICHAR(((F1288*21)+D1288)*28+44032)</f>
        <v>꺼</v>
      </c>
      <c r="P1288" s="12" t="n">
        <f aca="false">COUNTIF($A$2:$A$3000, N1288) + COUNTIF($A$2:$A$3000, O1288)</f>
        <v>2</v>
      </c>
      <c r="Q1288" s="16" t="str">
        <f aca="false">IF(OR(B1288=-1,I1288=0, P1288&lt;&gt;2), "albhed_dummy", _xlfn.CONCAT("albhed ", RIGHT("  " &amp; K1288,2),", ", RIGHT("  " &amp; L1288,2), ", " ,"""",H1288,""", ", """",N1288,""", ","""",O1288,""""," ; ", A1288))</f>
        <v>albhed 13,  4, "꼬", "쏘", "꺼" ; 써</v>
      </c>
    </row>
    <row r="1289" customFormat="false" ht="17.9" hidden="false" customHeight="true" outlineLevel="0" collapsed="false">
      <c r="A1289" s="16" t="s">
        <v>2154</v>
      </c>
      <c r="B1289" s="16" t="n">
        <f aca="false">IF(_xlfn.UNICODE(A1289)&lt;44032,-1,_xlfn.UNICODE(A1289)-44032)</f>
        <v>5993</v>
      </c>
      <c r="C1289" s="16" t="n">
        <f aca="false">IF(B1289=-1,-1,INT((B1289/28)/21))</f>
        <v>10</v>
      </c>
      <c r="D1289" s="16" t="n">
        <f aca="false">IF(B1289=-1, -1, MOD(INT(B1289/28),21))</f>
        <v>4</v>
      </c>
      <c r="E1289" s="16" t="n">
        <f aca="false">IF(B1289=-1, -1, VLOOKUP(MOD(B1289,28), $T$24:$U$52,2))</f>
        <v>1</v>
      </c>
      <c r="F1289" s="16" t="n">
        <f aca="false">IF($B1289=-1, -1, VLOOKUP(C1289,$T$1:$V$20, 2))</f>
        <v>1</v>
      </c>
      <c r="G1289" s="16" t="n">
        <f aca="false">IF($B1289=-1, -1, VLOOKUP(D1289,$Y$1:$Z$22,2))</f>
        <v>8</v>
      </c>
      <c r="H1289" s="16" t="str">
        <f aca="false">_xlfn.UNICHAR(((F1289*21)+G1289)*28+44032)</f>
        <v>꼬</v>
      </c>
      <c r="I1289" s="16" t="n">
        <f aca="false">IF(B1289=-1, 1, COUNTIF($A$2:$A$3000, H1289))</f>
        <v>1</v>
      </c>
      <c r="J1289" s="10" t="str">
        <f aca="false">_xlfn.CONCAT(A1289, ",",H1289,",",I1289)</f>
        <v>썩,꼬,1</v>
      </c>
      <c r="K1289" s="16" t="n">
        <f aca="false">IF(B1289=-1,-1,VLOOKUP(C1289,$T$1:$V$20,3))</f>
        <v>13</v>
      </c>
      <c r="L1289" s="16" t="n">
        <f aca="false">IF(B1289=-1,-1,VLOOKUP(D1289,$Y$1:$AA$22,3))</f>
        <v>4</v>
      </c>
      <c r="N1289" s="10" t="str">
        <f aca="false">_xlfn.UNICHAR(((C1289*21)+G1289)*28+44032)</f>
        <v>쏘</v>
      </c>
      <c r="O1289" s="10" t="str">
        <f aca="false">_xlfn.UNICHAR(((F1289*21)+D1289)*28+44032)</f>
        <v>꺼</v>
      </c>
      <c r="P1289" s="12" t="n">
        <f aca="false">COUNTIF($A$2:$A$3000, N1289) + COUNTIF($A$2:$A$3000, O1289)</f>
        <v>2</v>
      </c>
      <c r="Q1289" s="16" t="str">
        <f aca="false">IF(OR(B1289=-1,I1289=0, P1289&lt;&gt;2), "albhed_dummy", _xlfn.CONCAT("albhed ", RIGHT("  " &amp; K1289,2),", ", RIGHT("  " &amp; L1289,2), ", " ,"""",H1289,""", ", """",N1289,""", ","""",O1289,""""," ; ", A1289))</f>
        <v>albhed 13,  4, "꼬", "쏘", "꺼" ; 썩</v>
      </c>
    </row>
    <row r="1290" customFormat="false" ht="17.9" hidden="false" customHeight="true" outlineLevel="0" collapsed="false">
      <c r="A1290" s="16" t="s">
        <v>2155</v>
      </c>
      <c r="B1290" s="16" t="n">
        <f aca="false">IF(_xlfn.UNICODE(A1290)&lt;44032,-1,_xlfn.UNICODE(A1290)-44032)</f>
        <v>5996</v>
      </c>
      <c r="C1290" s="16" t="n">
        <f aca="false">IF(B1290=-1,-1,INT((B1290/28)/21))</f>
        <v>10</v>
      </c>
      <c r="D1290" s="16" t="n">
        <f aca="false">IF(B1290=-1, -1, MOD(INT(B1290/28),21))</f>
        <v>4</v>
      </c>
      <c r="E1290" s="16" t="n">
        <f aca="false">IF(B1290=-1, -1, VLOOKUP(MOD(B1290,28), $T$24:$U$52,2))</f>
        <v>4</v>
      </c>
      <c r="F1290" s="16" t="n">
        <f aca="false">IF($B1290=-1, -1, VLOOKUP(C1290,$T$1:$V$20, 2))</f>
        <v>1</v>
      </c>
      <c r="G1290" s="16" t="n">
        <f aca="false">IF($B1290=-1, -1, VLOOKUP(D1290,$Y$1:$Z$22,2))</f>
        <v>8</v>
      </c>
      <c r="H1290" s="16" t="str">
        <f aca="false">_xlfn.UNICHAR(((F1290*21)+G1290)*28+44032)</f>
        <v>꼬</v>
      </c>
      <c r="I1290" s="16" t="n">
        <f aca="false">IF(B1290=-1, 1, COUNTIF($A$2:$A$3000, H1290))</f>
        <v>1</v>
      </c>
      <c r="J1290" s="10" t="str">
        <f aca="false">_xlfn.CONCAT(A1290, ",",H1290,",",I1290)</f>
        <v>썬,꼬,1</v>
      </c>
      <c r="K1290" s="16" t="n">
        <f aca="false">IF(B1290=-1,-1,VLOOKUP(C1290,$T$1:$V$20,3))</f>
        <v>13</v>
      </c>
      <c r="L1290" s="16" t="n">
        <f aca="false">IF(B1290=-1,-1,VLOOKUP(D1290,$Y$1:$AA$22,3))</f>
        <v>4</v>
      </c>
      <c r="N1290" s="10" t="str">
        <f aca="false">_xlfn.UNICHAR(((C1290*21)+G1290)*28+44032)</f>
        <v>쏘</v>
      </c>
      <c r="O1290" s="10" t="str">
        <f aca="false">_xlfn.UNICHAR(((F1290*21)+D1290)*28+44032)</f>
        <v>꺼</v>
      </c>
      <c r="P1290" s="12" t="n">
        <f aca="false">COUNTIF($A$2:$A$3000, N1290) + COUNTIF($A$2:$A$3000, O1290)</f>
        <v>2</v>
      </c>
      <c r="Q1290" s="16" t="str">
        <f aca="false">IF(OR(B1290=-1,I1290=0, P1290&lt;&gt;2), "albhed_dummy", _xlfn.CONCAT("albhed ", RIGHT("  " &amp; K1290,2),", ", RIGHT("  " &amp; L1290,2), ", " ,"""",H1290,""", ", """",N1290,""", ","""",O1290,""""," ; ", A1290))</f>
        <v>albhed 13,  4, "꼬", "쏘", "꺼" ; 썬</v>
      </c>
    </row>
    <row r="1291" customFormat="false" ht="17.9" hidden="false" customHeight="true" outlineLevel="0" collapsed="false">
      <c r="A1291" s="16" t="s">
        <v>2156</v>
      </c>
      <c r="B1291" s="16" t="n">
        <f aca="false">IF(_xlfn.UNICODE(A1291)&lt;44032,-1,_xlfn.UNICODE(A1291)-44032)</f>
        <v>6000</v>
      </c>
      <c r="C1291" s="16" t="n">
        <f aca="false">IF(B1291=-1,-1,INT((B1291/28)/21))</f>
        <v>10</v>
      </c>
      <c r="D1291" s="16" t="n">
        <f aca="false">IF(B1291=-1, -1, MOD(INT(B1291/28),21))</f>
        <v>4</v>
      </c>
      <c r="E1291" s="16" t="n">
        <f aca="false">IF(B1291=-1, -1, VLOOKUP(MOD(B1291,28), $T$24:$U$52,2))</f>
        <v>8</v>
      </c>
      <c r="F1291" s="16" t="n">
        <f aca="false">IF($B1291=-1, -1, VLOOKUP(C1291,$T$1:$V$20, 2))</f>
        <v>1</v>
      </c>
      <c r="G1291" s="16" t="n">
        <f aca="false">IF($B1291=-1, -1, VLOOKUP(D1291,$Y$1:$Z$22,2))</f>
        <v>8</v>
      </c>
      <c r="H1291" s="16" t="str">
        <f aca="false">_xlfn.UNICHAR(((F1291*21)+G1291)*28+44032)</f>
        <v>꼬</v>
      </c>
      <c r="I1291" s="16" t="n">
        <f aca="false">IF(B1291=-1, 1, COUNTIF($A$2:$A$3000, H1291))</f>
        <v>1</v>
      </c>
      <c r="J1291" s="10" t="str">
        <f aca="false">_xlfn.CONCAT(A1291, ",",H1291,",",I1291)</f>
        <v>썰,꼬,1</v>
      </c>
      <c r="K1291" s="16" t="n">
        <f aca="false">IF(B1291=-1,-1,VLOOKUP(C1291,$T$1:$V$20,3))</f>
        <v>13</v>
      </c>
      <c r="L1291" s="16" t="n">
        <f aca="false">IF(B1291=-1,-1,VLOOKUP(D1291,$Y$1:$AA$22,3))</f>
        <v>4</v>
      </c>
      <c r="N1291" s="10" t="str">
        <f aca="false">_xlfn.UNICHAR(((C1291*21)+G1291)*28+44032)</f>
        <v>쏘</v>
      </c>
      <c r="O1291" s="10" t="str">
        <f aca="false">_xlfn.UNICHAR(((F1291*21)+D1291)*28+44032)</f>
        <v>꺼</v>
      </c>
      <c r="P1291" s="12" t="n">
        <f aca="false">COUNTIF($A$2:$A$3000, N1291) + COUNTIF($A$2:$A$3000, O1291)</f>
        <v>2</v>
      </c>
      <c r="Q1291" s="16" t="str">
        <f aca="false">IF(OR(B1291=-1,I1291=0, P1291&lt;&gt;2), "albhed_dummy", _xlfn.CONCAT("albhed ", RIGHT("  " &amp; K1291,2),", ", RIGHT("  " &amp; L1291,2), ", " ,"""",H1291,""", ", """",N1291,""", ","""",O1291,""""," ; ", A1291))</f>
        <v>albhed 13,  4, "꼬", "쏘", "꺼" ; 썰</v>
      </c>
    </row>
    <row r="1292" customFormat="false" ht="17.9" hidden="false" customHeight="true" outlineLevel="0" collapsed="false">
      <c r="A1292" s="16" t="s">
        <v>2157</v>
      </c>
      <c r="B1292" s="16" t="n">
        <f aca="false">IF(_xlfn.UNICODE(A1292)&lt;44032,-1,_xlfn.UNICODE(A1292)-44032)</f>
        <v>6002</v>
      </c>
      <c r="C1292" s="16" t="n">
        <f aca="false">IF(B1292=-1,-1,INT((B1292/28)/21))</f>
        <v>10</v>
      </c>
      <c r="D1292" s="16" t="n">
        <f aca="false">IF(B1292=-1, -1, MOD(INT(B1292/28),21))</f>
        <v>4</v>
      </c>
      <c r="E1292" s="16" t="n">
        <f aca="false">IF(B1292=-1, -1, VLOOKUP(MOD(B1292,28), $T$24:$U$52,2))</f>
        <v>8</v>
      </c>
      <c r="F1292" s="16" t="n">
        <f aca="false">IF($B1292=-1, -1, VLOOKUP(C1292,$T$1:$V$20, 2))</f>
        <v>1</v>
      </c>
      <c r="G1292" s="16" t="n">
        <f aca="false">IF($B1292=-1, -1, VLOOKUP(D1292,$Y$1:$Z$22,2))</f>
        <v>8</v>
      </c>
      <c r="H1292" s="16" t="str">
        <f aca="false">_xlfn.UNICHAR(((F1292*21)+G1292)*28+44032)</f>
        <v>꼬</v>
      </c>
      <c r="I1292" s="16" t="n">
        <f aca="false">IF(B1292=-1, 1, COUNTIF($A$2:$A$3000, H1292))</f>
        <v>1</v>
      </c>
      <c r="J1292" s="10" t="str">
        <f aca="false">_xlfn.CONCAT(A1292, ",",H1292,",",I1292)</f>
        <v>썲,꼬,1</v>
      </c>
      <c r="K1292" s="16" t="n">
        <f aca="false">IF(B1292=-1,-1,VLOOKUP(C1292,$T$1:$V$20,3))</f>
        <v>13</v>
      </c>
      <c r="L1292" s="16" t="n">
        <f aca="false">IF(B1292=-1,-1,VLOOKUP(D1292,$Y$1:$AA$22,3))</f>
        <v>4</v>
      </c>
      <c r="N1292" s="10" t="str">
        <f aca="false">_xlfn.UNICHAR(((C1292*21)+G1292)*28+44032)</f>
        <v>쏘</v>
      </c>
      <c r="O1292" s="10" t="str">
        <f aca="false">_xlfn.UNICHAR(((F1292*21)+D1292)*28+44032)</f>
        <v>꺼</v>
      </c>
      <c r="P1292" s="12" t="n">
        <f aca="false">COUNTIF($A$2:$A$3000, N1292) + COUNTIF($A$2:$A$3000, O1292)</f>
        <v>2</v>
      </c>
      <c r="Q1292" s="16" t="str">
        <f aca="false">IF(OR(B1292=-1,I1292=0, P1292&lt;&gt;2), "albhed_dummy", _xlfn.CONCAT("albhed ", RIGHT("  " &amp; K1292,2),", ", RIGHT("  " &amp; L1292,2), ", " ,"""",H1292,""", ", """",N1292,""", ","""",O1292,""""," ; ", A1292))</f>
        <v>albhed 13,  4, "꼬", "쏘", "꺼" ; 썲</v>
      </c>
    </row>
    <row r="1293" customFormat="false" ht="17.9" hidden="false" customHeight="true" outlineLevel="0" collapsed="false">
      <c r="A1293" s="16" t="s">
        <v>2158</v>
      </c>
      <c r="B1293" s="16" t="n">
        <f aca="false">IF(_xlfn.UNICODE(A1293)&lt;44032,-1,_xlfn.UNICODE(A1293)-44032)</f>
        <v>6008</v>
      </c>
      <c r="C1293" s="16" t="n">
        <f aca="false">IF(B1293=-1,-1,INT((B1293/28)/21))</f>
        <v>10</v>
      </c>
      <c r="D1293" s="16" t="n">
        <f aca="false">IF(B1293=-1, -1, MOD(INT(B1293/28),21))</f>
        <v>4</v>
      </c>
      <c r="E1293" s="16" t="n">
        <f aca="false">IF(B1293=-1, -1, VLOOKUP(MOD(B1293,28), $T$24:$U$52,2))</f>
        <v>16</v>
      </c>
      <c r="F1293" s="16" t="n">
        <f aca="false">IF($B1293=-1, -1, VLOOKUP(C1293,$T$1:$V$20, 2))</f>
        <v>1</v>
      </c>
      <c r="G1293" s="16" t="n">
        <f aca="false">IF($B1293=-1, -1, VLOOKUP(D1293,$Y$1:$Z$22,2))</f>
        <v>8</v>
      </c>
      <c r="H1293" s="16" t="str">
        <f aca="false">_xlfn.UNICHAR(((F1293*21)+G1293)*28+44032)</f>
        <v>꼬</v>
      </c>
      <c r="I1293" s="16" t="n">
        <f aca="false">IF(B1293=-1, 1, COUNTIF($A$2:$A$3000, H1293))</f>
        <v>1</v>
      </c>
      <c r="J1293" s="10" t="str">
        <f aca="false">_xlfn.CONCAT(A1293, ",",H1293,",",I1293)</f>
        <v>썸,꼬,1</v>
      </c>
      <c r="K1293" s="16" t="n">
        <f aca="false">IF(B1293=-1,-1,VLOOKUP(C1293,$T$1:$V$20,3))</f>
        <v>13</v>
      </c>
      <c r="L1293" s="16" t="n">
        <f aca="false">IF(B1293=-1,-1,VLOOKUP(D1293,$Y$1:$AA$22,3))</f>
        <v>4</v>
      </c>
      <c r="N1293" s="10" t="str">
        <f aca="false">_xlfn.UNICHAR(((C1293*21)+G1293)*28+44032)</f>
        <v>쏘</v>
      </c>
      <c r="O1293" s="10" t="str">
        <f aca="false">_xlfn.UNICHAR(((F1293*21)+D1293)*28+44032)</f>
        <v>꺼</v>
      </c>
      <c r="P1293" s="12" t="n">
        <f aca="false">COUNTIF($A$2:$A$3000, N1293) + COUNTIF($A$2:$A$3000, O1293)</f>
        <v>2</v>
      </c>
      <c r="Q1293" s="16" t="str">
        <f aca="false">IF(OR(B1293=-1,I1293=0, P1293&lt;&gt;2), "albhed_dummy", _xlfn.CONCAT("albhed ", RIGHT("  " &amp; K1293,2),", ", RIGHT("  " &amp; L1293,2), ", " ,"""",H1293,""", ", """",N1293,""", ","""",O1293,""""," ; ", A1293))</f>
        <v>albhed 13,  4, "꼬", "쏘", "꺼" ; 썸</v>
      </c>
    </row>
    <row r="1294" customFormat="false" ht="17.9" hidden="false" customHeight="true" outlineLevel="0" collapsed="false">
      <c r="A1294" s="16" t="s">
        <v>2159</v>
      </c>
      <c r="B1294" s="16" t="n">
        <f aca="false">IF(_xlfn.UNICODE(A1294)&lt;44032,-1,_xlfn.UNICODE(A1294)-44032)</f>
        <v>6009</v>
      </c>
      <c r="C1294" s="16" t="n">
        <f aca="false">IF(B1294=-1,-1,INT((B1294/28)/21))</f>
        <v>10</v>
      </c>
      <c r="D1294" s="16" t="n">
        <f aca="false">IF(B1294=-1, -1, MOD(INT(B1294/28),21))</f>
        <v>4</v>
      </c>
      <c r="E1294" s="16" t="n">
        <f aca="false">IF(B1294=-1, -1, VLOOKUP(MOD(B1294,28), $T$24:$U$52,2))</f>
        <v>17</v>
      </c>
      <c r="F1294" s="16" t="n">
        <f aca="false">IF($B1294=-1, -1, VLOOKUP(C1294,$T$1:$V$20, 2))</f>
        <v>1</v>
      </c>
      <c r="G1294" s="16" t="n">
        <f aca="false">IF($B1294=-1, -1, VLOOKUP(D1294,$Y$1:$Z$22,2))</f>
        <v>8</v>
      </c>
      <c r="H1294" s="16" t="str">
        <f aca="false">_xlfn.UNICHAR(((F1294*21)+G1294)*28+44032)</f>
        <v>꼬</v>
      </c>
      <c r="I1294" s="16" t="n">
        <f aca="false">IF(B1294=-1, 1, COUNTIF($A$2:$A$3000, H1294))</f>
        <v>1</v>
      </c>
      <c r="J1294" s="10" t="str">
        <f aca="false">_xlfn.CONCAT(A1294, ",",H1294,",",I1294)</f>
        <v>썹,꼬,1</v>
      </c>
      <c r="K1294" s="16" t="n">
        <f aca="false">IF(B1294=-1,-1,VLOOKUP(C1294,$T$1:$V$20,3))</f>
        <v>13</v>
      </c>
      <c r="L1294" s="16" t="n">
        <f aca="false">IF(B1294=-1,-1,VLOOKUP(D1294,$Y$1:$AA$22,3))</f>
        <v>4</v>
      </c>
      <c r="N1294" s="10" t="str">
        <f aca="false">_xlfn.UNICHAR(((C1294*21)+G1294)*28+44032)</f>
        <v>쏘</v>
      </c>
      <c r="O1294" s="10" t="str">
        <f aca="false">_xlfn.UNICHAR(((F1294*21)+D1294)*28+44032)</f>
        <v>꺼</v>
      </c>
      <c r="P1294" s="12" t="n">
        <f aca="false">COUNTIF($A$2:$A$3000, N1294) + COUNTIF($A$2:$A$3000, O1294)</f>
        <v>2</v>
      </c>
      <c r="Q1294" s="16" t="str">
        <f aca="false">IF(OR(B1294=-1,I1294=0, P1294&lt;&gt;2), "albhed_dummy", _xlfn.CONCAT("albhed ", RIGHT("  " &amp; K1294,2),", ", RIGHT("  " &amp; L1294,2), ", " ,"""",H1294,""", ", """",N1294,""", ","""",O1294,""""," ; ", A1294))</f>
        <v>albhed 13,  4, "꼬", "쏘", "꺼" ; 썹</v>
      </c>
    </row>
    <row r="1295" customFormat="false" ht="17.9" hidden="false" customHeight="true" outlineLevel="0" collapsed="false">
      <c r="A1295" s="16" t="s">
        <v>2160</v>
      </c>
      <c r="B1295" s="16" t="n">
        <f aca="false">IF(_xlfn.UNICODE(A1295)&lt;44032,-1,_xlfn.UNICODE(A1295)-44032)</f>
        <v>6012</v>
      </c>
      <c r="C1295" s="16" t="n">
        <f aca="false">IF(B1295=-1,-1,INT((B1295/28)/21))</f>
        <v>10</v>
      </c>
      <c r="D1295" s="16" t="n">
        <f aca="false">IF(B1295=-1, -1, MOD(INT(B1295/28),21))</f>
        <v>4</v>
      </c>
      <c r="E1295" s="16" t="n">
        <f aca="false">IF(B1295=-1, -1, VLOOKUP(MOD(B1295,28), $T$24:$U$52,2))</f>
        <v>19</v>
      </c>
      <c r="F1295" s="16" t="n">
        <f aca="false">IF($B1295=-1, -1, VLOOKUP(C1295,$T$1:$V$20, 2))</f>
        <v>1</v>
      </c>
      <c r="G1295" s="16" t="n">
        <f aca="false">IF($B1295=-1, -1, VLOOKUP(D1295,$Y$1:$Z$22,2))</f>
        <v>8</v>
      </c>
      <c r="H1295" s="16" t="str">
        <f aca="false">_xlfn.UNICHAR(((F1295*21)+G1295)*28+44032)</f>
        <v>꼬</v>
      </c>
      <c r="I1295" s="16" t="n">
        <f aca="false">IF(B1295=-1, 1, COUNTIF($A$2:$A$3000, H1295))</f>
        <v>1</v>
      </c>
      <c r="J1295" s="10" t="str">
        <f aca="false">_xlfn.CONCAT(A1295, ",",H1295,",",I1295)</f>
        <v>썼,꼬,1</v>
      </c>
      <c r="K1295" s="16" t="n">
        <f aca="false">IF(B1295=-1,-1,VLOOKUP(C1295,$T$1:$V$20,3))</f>
        <v>13</v>
      </c>
      <c r="L1295" s="16" t="n">
        <f aca="false">IF(B1295=-1,-1,VLOOKUP(D1295,$Y$1:$AA$22,3))</f>
        <v>4</v>
      </c>
      <c r="N1295" s="10" t="str">
        <f aca="false">_xlfn.UNICHAR(((C1295*21)+G1295)*28+44032)</f>
        <v>쏘</v>
      </c>
      <c r="O1295" s="10" t="str">
        <f aca="false">_xlfn.UNICHAR(((F1295*21)+D1295)*28+44032)</f>
        <v>꺼</v>
      </c>
      <c r="P1295" s="12" t="n">
        <f aca="false">COUNTIF($A$2:$A$3000, N1295) + COUNTIF($A$2:$A$3000, O1295)</f>
        <v>2</v>
      </c>
      <c r="Q1295" s="16" t="str">
        <f aca="false">IF(OR(B1295=-1,I1295=0, P1295&lt;&gt;2), "albhed_dummy", _xlfn.CONCAT("albhed ", RIGHT("  " &amp; K1295,2),", ", RIGHT("  " &amp; L1295,2), ", " ,"""",H1295,""", ", """",N1295,""", ","""",O1295,""""," ; ", A1295))</f>
        <v>albhed 13,  4, "꼬", "쏘", "꺼" ; 썼</v>
      </c>
    </row>
    <row r="1296" customFormat="false" ht="17.9" hidden="false" customHeight="true" outlineLevel="0" collapsed="false">
      <c r="A1296" s="16" t="s">
        <v>2161</v>
      </c>
      <c r="B1296" s="16" t="n">
        <f aca="false">IF(_xlfn.UNICODE(A1296)&lt;44032,-1,_xlfn.UNICODE(A1296)-44032)</f>
        <v>6013</v>
      </c>
      <c r="C1296" s="16" t="n">
        <f aca="false">IF(B1296=-1,-1,INT((B1296/28)/21))</f>
        <v>10</v>
      </c>
      <c r="D1296" s="16" t="n">
        <f aca="false">IF(B1296=-1, -1, MOD(INT(B1296/28),21))</f>
        <v>4</v>
      </c>
      <c r="E1296" s="16" t="n">
        <f aca="false">IF(B1296=-1, -1, VLOOKUP(MOD(B1296,28), $T$24:$U$52,2))</f>
        <v>21</v>
      </c>
      <c r="F1296" s="16" t="n">
        <f aca="false">IF($B1296=-1, -1, VLOOKUP(C1296,$T$1:$V$20, 2))</f>
        <v>1</v>
      </c>
      <c r="G1296" s="16" t="n">
        <f aca="false">IF($B1296=-1, -1, VLOOKUP(D1296,$Y$1:$Z$22,2))</f>
        <v>8</v>
      </c>
      <c r="H1296" s="16" t="str">
        <f aca="false">_xlfn.UNICHAR(((F1296*21)+G1296)*28+44032)</f>
        <v>꼬</v>
      </c>
      <c r="I1296" s="16" t="n">
        <f aca="false">IF(B1296=-1, 1, COUNTIF($A$2:$A$3000, H1296))</f>
        <v>1</v>
      </c>
      <c r="J1296" s="10" t="str">
        <f aca="false">_xlfn.CONCAT(A1296, ",",H1296,",",I1296)</f>
        <v>썽,꼬,1</v>
      </c>
      <c r="K1296" s="16" t="n">
        <f aca="false">IF(B1296=-1,-1,VLOOKUP(C1296,$T$1:$V$20,3))</f>
        <v>13</v>
      </c>
      <c r="L1296" s="16" t="n">
        <f aca="false">IF(B1296=-1,-1,VLOOKUP(D1296,$Y$1:$AA$22,3))</f>
        <v>4</v>
      </c>
      <c r="N1296" s="10" t="str">
        <f aca="false">_xlfn.UNICHAR(((C1296*21)+G1296)*28+44032)</f>
        <v>쏘</v>
      </c>
      <c r="O1296" s="10" t="str">
        <f aca="false">_xlfn.UNICHAR(((F1296*21)+D1296)*28+44032)</f>
        <v>꺼</v>
      </c>
      <c r="P1296" s="12" t="n">
        <f aca="false">COUNTIF($A$2:$A$3000, N1296) + COUNTIF($A$2:$A$3000, O1296)</f>
        <v>2</v>
      </c>
      <c r="Q1296" s="16" t="str">
        <f aca="false">IF(OR(B1296=-1,I1296=0, P1296&lt;&gt;2), "albhed_dummy", _xlfn.CONCAT("albhed ", RIGHT("  " &amp; K1296,2),", ", RIGHT("  " &amp; L1296,2), ", " ,"""",H1296,""", ", """",N1296,""", ","""",O1296,""""," ; ", A1296))</f>
        <v>albhed 13,  4, "꼬", "쏘", "꺼" ; 썽</v>
      </c>
    </row>
    <row r="1297" customFormat="false" ht="17.9" hidden="false" customHeight="true" outlineLevel="0" collapsed="false">
      <c r="A1297" s="16" t="s">
        <v>2162</v>
      </c>
      <c r="B1297" s="16" t="n">
        <f aca="false">IF(_xlfn.UNICODE(A1297)&lt;44032,-1,_xlfn.UNICODE(A1297)-44032)</f>
        <v>6020</v>
      </c>
      <c r="C1297" s="16" t="n">
        <f aca="false">IF(B1297=-1,-1,INT((B1297/28)/21))</f>
        <v>10</v>
      </c>
      <c r="D1297" s="16" t="n">
        <f aca="false">IF(B1297=-1, -1, MOD(INT(B1297/28),21))</f>
        <v>5</v>
      </c>
      <c r="E1297" s="16" t="n">
        <f aca="false">IF(B1297=-1, -1, VLOOKUP(MOD(B1297,28), $T$24:$U$52,2))</f>
        <v>0</v>
      </c>
      <c r="F1297" s="16" t="n">
        <f aca="false">IF($B1297=-1, -1, VLOOKUP(C1297,$T$1:$V$20, 2))</f>
        <v>1</v>
      </c>
      <c r="G1297" s="16" t="n">
        <f aca="false">IF($B1297=-1, -1, VLOOKUP(D1297,$Y$1:$Z$22,2))</f>
        <v>18</v>
      </c>
      <c r="H1297" s="16" t="str">
        <f aca="false">_xlfn.UNICHAR(((F1297*21)+G1297)*28+44032)</f>
        <v>끄</v>
      </c>
      <c r="I1297" s="16" t="n">
        <f aca="false">IF(B1297=-1, 1, COUNTIF($A$2:$A$3000, H1297))</f>
        <v>1</v>
      </c>
      <c r="J1297" s="10" t="str">
        <f aca="false">_xlfn.CONCAT(A1297, ",",H1297,",",I1297)</f>
        <v>쎄,끄,1</v>
      </c>
      <c r="K1297" s="16" t="n">
        <f aca="false">IF(B1297=-1,-1,VLOOKUP(C1297,$T$1:$V$20,3))</f>
        <v>13</v>
      </c>
      <c r="L1297" s="16" t="n">
        <f aca="false">IF(B1297=-1,-1,VLOOKUP(D1297,$Y$1:$AA$22,3))</f>
        <v>10</v>
      </c>
      <c r="N1297" s="10" t="str">
        <f aca="false">_xlfn.UNICHAR(((C1297*21)+G1297)*28+44032)</f>
        <v>쓰</v>
      </c>
      <c r="O1297" s="10" t="str">
        <f aca="false">_xlfn.UNICHAR(((F1297*21)+D1297)*28+44032)</f>
        <v>께</v>
      </c>
      <c r="P1297" s="12" t="n">
        <f aca="false">COUNTIF($A$2:$A$3000, N1297) + COUNTIF($A$2:$A$3000, O1297)</f>
        <v>2</v>
      </c>
      <c r="Q1297" s="16" t="str">
        <f aca="false">IF(OR(B1297=-1,I1297=0, P1297&lt;&gt;2), "albhed_dummy", _xlfn.CONCAT("albhed ", RIGHT("  " &amp; K1297,2),", ", RIGHT("  " &amp; L1297,2), ", " ,"""",H1297,""", ", """",N1297,""", ","""",O1297,""""," ; ", A1297))</f>
        <v>albhed 13, 10, "끄", "쓰", "께" ; 쎄</v>
      </c>
    </row>
    <row r="1298" customFormat="false" ht="17.9" hidden="false" customHeight="true" outlineLevel="0" collapsed="false">
      <c r="A1298" s="16" t="s">
        <v>2163</v>
      </c>
      <c r="B1298" s="16" t="n">
        <f aca="false">IF(_xlfn.UNICODE(A1298)&lt;44032,-1,_xlfn.UNICODE(A1298)-44032)</f>
        <v>6024</v>
      </c>
      <c r="C1298" s="16" t="n">
        <f aca="false">IF(B1298=-1,-1,INT((B1298/28)/21))</f>
        <v>10</v>
      </c>
      <c r="D1298" s="16" t="n">
        <f aca="false">IF(B1298=-1, -1, MOD(INT(B1298/28),21))</f>
        <v>5</v>
      </c>
      <c r="E1298" s="16" t="n">
        <f aca="false">IF(B1298=-1, -1, VLOOKUP(MOD(B1298,28), $T$24:$U$52,2))</f>
        <v>4</v>
      </c>
      <c r="F1298" s="16" t="n">
        <f aca="false">IF($B1298=-1, -1, VLOOKUP(C1298,$T$1:$V$20, 2))</f>
        <v>1</v>
      </c>
      <c r="G1298" s="16" t="n">
        <f aca="false">IF($B1298=-1, -1, VLOOKUP(D1298,$Y$1:$Z$22,2))</f>
        <v>18</v>
      </c>
      <c r="H1298" s="16" t="str">
        <f aca="false">_xlfn.UNICHAR(((F1298*21)+G1298)*28+44032)</f>
        <v>끄</v>
      </c>
      <c r="I1298" s="16" t="n">
        <f aca="false">IF(B1298=-1, 1, COUNTIF($A$2:$A$3000, H1298))</f>
        <v>1</v>
      </c>
      <c r="J1298" s="10" t="str">
        <f aca="false">_xlfn.CONCAT(A1298, ",",H1298,",",I1298)</f>
        <v>쎈,끄,1</v>
      </c>
      <c r="K1298" s="16" t="n">
        <f aca="false">IF(B1298=-1,-1,VLOOKUP(C1298,$T$1:$V$20,3))</f>
        <v>13</v>
      </c>
      <c r="L1298" s="16" t="n">
        <f aca="false">IF(B1298=-1,-1,VLOOKUP(D1298,$Y$1:$AA$22,3))</f>
        <v>10</v>
      </c>
      <c r="N1298" s="10" t="str">
        <f aca="false">_xlfn.UNICHAR(((C1298*21)+G1298)*28+44032)</f>
        <v>쓰</v>
      </c>
      <c r="O1298" s="10" t="str">
        <f aca="false">_xlfn.UNICHAR(((F1298*21)+D1298)*28+44032)</f>
        <v>께</v>
      </c>
      <c r="P1298" s="12" t="n">
        <f aca="false">COUNTIF($A$2:$A$3000, N1298) + COUNTIF($A$2:$A$3000, O1298)</f>
        <v>2</v>
      </c>
      <c r="Q1298" s="16" t="str">
        <f aca="false">IF(OR(B1298=-1,I1298=0, P1298&lt;&gt;2), "albhed_dummy", _xlfn.CONCAT("albhed ", RIGHT("  " &amp; K1298,2),", ", RIGHT("  " &amp; L1298,2), ", " ,"""",H1298,""", ", """",N1298,""", ","""",O1298,""""," ; ", A1298))</f>
        <v>albhed 13, 10, "끄", "쓰", "께" ; 쎈</v>
      </c>
    </row>
    <row r="1299" customFormat="false" ht="17.9" hidden="false" customHeight="true" outlineLevel="0" collapsed="false">
      <c r="A1299" s="16" t="s">
        <v>2164</v>
      </c>
      <c r="B1299" s="16" t="n">
        <f aca="false">IF(_xlfn.UNICODE(A1299)&lt;44032,-1,_xlfn.UNICODE(A1299)-44032)</f>
        <v>6028</v>
      </c>
      <c r="C1299" s="16" t="n">
        <f aca="false">IF(B1299=-1,-1,INT((B1299/28)/21))</f>
        <v>10</v>
      </c>
      <c r="D1299" s="16" t="n">
        <f aca="false">IF(B1299=-1, -1, MOD(INT(B1299/28),21))</f>
        <v>5</v>
      </c>
      <c r="E1299" s="16" t="n">
        <f aca="false">IF(B1299=-1, -1, VLOOKUP(MOD(B1299,28), $T$24:$U$52,2))</f>
        <v>8</v>
      </c>
      <c r="F1299" s="16" t="n">
        <f aca="false">IF($B1299=-1, -1, VLOOKUP(C1299,$T$1:$V$20, 2))</f>
        <v>1</v>
      </c>
      <c r="G1299" s="16" t="n">
        <f aca="false">IF($B1299=-1, -1, VLOOKUP(D1299,$Y$1:$Z$22,2))</f>
        <v>18</v>
      </c>
      <c r="H1299" s="16" t="str">
        <f aca="false">_xlfn.UNICHAR(((F1299*21)+G1299)*28+44032)</f>
        <v>끄</v>
      </c>
      <c r="I1299" s="16" t="n">
        <f aca="false">IF(B1299=-1, 1, COUNTIF($A$2:$A$3000, H1299))</f>
        <v>1</v>
      </c>
      <c r="J1299" s="10" t="str">
        <f aca="false">_xlfn.CONCAT(A1299, ",",H1299,",",I1299)</f>
        <v>쎌,끄,1</v>
      </c>
      <c r="K1299" s="16" t="n">
        <f aca="false">IF(B1299=-1,-1,VLOOKUP(C1299,$T$1:$V$20,3))</f>
        <v>13</v>
      </c>
      <c r="L1299" s="16" t="n">
        <f aca="false">IF(B1299=-1,-1,VLOOKUP(D1299,$Y$1:$AA$22,3))</f>
        <v>10</v>
      </c>
      <c r="N1299" s="10" t="str">
        <f aca="false">_xlfn.UNICHAR(((C1299*21)+G1299)*28+44032)</f>
        <v>쓰</v>
      </c>
      <c r="O1299" s="10" t="str">
        <f aca="false">_xlfn.UNICHAR(((F1299*21)+D1299)*28+44032)</f>
        <v>께</v>
      </c>
      <c r="P1299" s="12" t="n">
        <f aca="false">COUNTIF($A$2:$A$3000, N1299) + COUNTIF($A$2:$A$3000, O1299)</f>
        <v>2</v>
      </c>
      <c r="Q1299" s="16" t="str">
        <f aca="false">IF(OR(B1299=-1,I1299=0, P1299&lt;&gt;2), "albhed_dummy", _xlfn.CONCAT("albhed ", RIGHT("  " &amp; K1299,2),", ", RIGHT("  " &amp; L1299,2), ", " ,"""",H1299,""", ", """",N1299,""", ","""",O1299,""""," ; ", A1299))</f>
        <v>albhed 13, 10, "끄", "쓰", "께" ; 쎌</v>
      </c>
    </row>
    <row r="1300" customFormat="false" ht="17.9" hidden="false" customHeight="true" outlineLevel="0" collapsed="false">
      <c r="A1300" s="16" t="s">
        <v>2165</v>
      </c>
      <c r="B1300" s="16" t="n">
        <f aca="false">IF(_xlfn.UNICODE(A1300)&lt;44032,-1,_xlfn.UNICODE(A1300)-44032)</f>
        <v>6080</v>
      </c>
      <c r="C1300" s="16" t="n">
        <f aca="false">IF(B1300=-1,-1,INT((B1300/28)/21))</f>
        <v>10</v>
      </c>
      <c r="D1300" s="16" t="n">
        <f aca="false">IF(B1300=-1, -1, MOD(INT(B1300/28),21))</f>
        <v>7</v>
      </c>
      <c r="E1300" s="16" t="n">
        <f aca="false">IF(B1300=-1, -1, VLOOKUP(MOD(B1300,28), $T$24:$U$52,2))</f>
        <v>4</v>
      </c>
      <c r="F1300" s="16" t="n">
        <f aca="false">IF($B1300=-1, -1, VLOOKUP(C1300,$T$1:$V$20, 2))</f>
        <v>1</v>
      </c>
      <c r="G1300" s="16" t="n">
        <f aca="false">IF($B1300=-1, -1, VLOOKUP(D1300,$Y$1:$Z$22,2))</f>
        <v>18</v>
      </c>
      <c r="H1300" s="16" t="str">
        <f aca="false">_xlfn.UNICHAR(((F1300*21)+G1300)*28+44032)</f>
        <v>끄</v>
      </c>
      <c r="I1300" s="16" t="n">
        <f aca="false">IF(B1300=-1, 1, COUNTIF($A$2:$A$3000, H1300))</f>
        <v>1</v>
      </c>
      <c r="J1300" s="10" t="str">
        <f aca="false">_xlfn.CONCAT(A1300, ",",H1300,",",I1300)</f>
        <v>쏀,끄,1</v>
      </c>
      <c r="K1300" s="16" t="n">
        <f aca="false">IF(B1300=-1,-1,VLOOKUP(C1300,$T$1:$V$20,3))</f>
        <v>13</v>
      </c>
      <c r="L1300" s="16" t="n">
        <f aca="false">IF(B1300=-1,-1,VLOOKUP(D1300,$Y$1:$AA$22,3))</f>
        <v>14</v>
      </c>
      <c r="N1300" s="10" t="str">
        <f aca="false">_xlfn.UNICHAR(((C1300*21)+G1300)*28+44032)</f>
        <v>쓰</v>
      </c>
      <c r="O1300" s="10" t="str">
        <f aca="false">_xlfn.UNICHAR(((F1300*21)+D1300)*28+44032)</f>
        <v>꼐</v>
      </c>
      <c r="P1300" s="12" t="n">
        <f aca="false">COUNTIF($A$2:$A$3000, N1300) + COUNTIF($A$2:$A$3000, O1300)</f>
        <v>2</v>
      </c>
      <c r="Q1300" s="16" t="str">
        <f aca="false">IF(OR(B1300=-1,I1300=0, P1300&lt;&gt;2), "albhed_dummy", _xlfn.CONCAT("albhed ", RIGHT("  " &amp; K1300,2),", ", RIGHT("  " &amp; L1300,2), ", " ,"""",H1300,""", ", """",N1300,""", ","""",O1300,""""," ; ", A1300))</f>
        <v>albhed 13, 14, "끄", "쓰", "꼐" ; 쏀</v>
      </c>
    </row>
    <row r="1301" customFormat="false" ht="17.9" hidden="false" customHeight="true" outlineLevel="0" collapsed="false">
      <c r="A1301" s="16" t="s">
        <v>2166</v>
      </c>
      <c r="B1301" s="16" t="n">
        <f aca="false">IF(_xlfn.UNICODE(A1301)&lt;44032,-1,_xlfn.UNICODE(A1301)-44032)</f>
        <v>6104</v>
      </c>
      <c r="C1301" s="16" t="n">
        <f aca="false">IF(B1301=-1,-1,INT((B1301/28)/21))</f>
        <v>10</v>
      </c>
      <c r="D1301" s="16" t="n">
        <f aca="false">IF(B1301=-1, -1, MOD(INT(B1301/28),21))</f>
        <v>8</v>
      </c>
      <c r="E1301" s="16" t="n">
        <f aca="false">IF(B1301=-1, -1, VLOOKUP(MOD(B1301,28), $T$24:$U$52,2))</f>
        <v>0</v>
      </c>
      <c r="F1301" s="16" t="n">
        <f aca="false">IF($B1301=-1, -1, VLOOKUP(C1301,$T$1:$V$20, 2))</f>
        <v>1</v>
      </c>
      <c r="G1301" s="16" t="n">
        <f aca="false">IF($B1301=-1, -1, VLOOKUP(D1301,$Y$1:$Z$22,2))</f>
        <v>4</v>
      </c>
      <c r="H1301" s="16" t="str">
        <f aca="false">_xlfn.UNICHAR(((F1301*21)+G1301)*28+44032)</f>
        <v>꺼</v>
      </c>
      <c r="I1301" s="16" t="n">
        <f aca="false">IF(B1301=-1, 1, COUNTIF($A$2:$A$3000, H1301))</f>
        <v>1</v>
      </c>
      <c r="J1301" s="10" t="str">
        <f aca="false">_xlfn.CONCAT(A1301, ",",H1301,",",I1301)</f>
        <v>쏘,꺼,1</v>
      </c>
      <c r="K1301" s="16" t="n">
        <f aca="false">IF(B1301=-1,-1,VLOOKUP(C1301,$T$1:$V$20,3))</f>
        <v>13</v>
      </c>
      <c r="L1301" s="16" t="n">
        <f aca="false">IF(B1301=-1,-1,VLOOKUP(D1301,$Y$1:$AA$22,3))</f>
        <v>8</v>
      </c>
      <c r="N1301" s="10" t="str">
        <f aca="false">_xlfn.UNICHAR(((C1301*21)+G1301)*28+44032)</f>
        <v>써</v>
      </c>
      <c r="O1301" s="10" t="str">
        <f aca="false">_xlfn.UNICHAR(((F1301*21)+D1301)*28+44032)</f>
        <v>꼬</v>
      </c>
      <c r="P1301" s="12" t="n">
        <f aca="false">COUNTIF($A$2:$A$3000, N1301) + COUNTIF($A$2:$A$3000, O1301)</f>
        <v>2</v>
      </c>
      <c r="Q1301" s="16" t="str">
        <f aca="false">IF(OR(B1301=-1,I1301=0, P1301&lt;&gt;2), "albhed_dummy", _xlfn.CONCAT("albhed ", RIGHT("  " &amp; K1301,2),", ", RIGHT("  " &amp; L1301,2), ", " ,"""",H1301,""", ", """",N1301,""", ","""",O1301,""""," ; ", A1301))</f>
        <v>albhed 13,  8, "꺼", "써", "꼬" ; 쏘</v>
      </c>
    </row>
    <row r="1302" customFormat="false" ht="17.9" hidden="false" customHeight="true" outlineLevel="0" collapsed="false">
      <c r="A1302" s="16" t="s">
        <v>2167</v>
      </c>
      <c r="B1302" s="16" t="n">
        <f aca="false">IF(_xlfn.UNICODE(A1302)&lt;44032,-1,_xlfn.UNICODE(A1302)-44032)</f>
        <v>6105</v>
      </c>
      <c r="C1302" s="16" t="n">
        <f aca="false">IF(B1302=-1,-1,INT((B1302/28)/21))</f>
        <v>10</v>
      </c>
      <c r="D1302" s="16" t="n">
        <f aca="false">IF(B1302=-1, -1, MOD(INT(B1302/28),21))</f>
        <v>8</v>
      </c>
      <c r="E1302" s="16" t="n">
        <f aca="false">IF(B1302=-1, -1, VLOOKUP(MOD(B1302,28), $T$24:$U$52,2))</f>
        <v>1</v>
      </c>
      <c r="F1302" s="16" t="n">
        <f aca="false">IF($B1302=-1, -1, VLOOKUP(C1302,$T$1:$V$20, 2))</f>
        <v>1</v>
      </c>
      <c r="G1302" s="16" t="n">
        <f aca="false">IF($B1302=-1, -1, VLOOKUP(D1302,$Y$1:$Z$22,2))</f>
        <v>4</v>
      </c>
      <c r="H1302" s="16" t="str">
        <f aca="false">_xlfn.UNICHAR(((F1302*21)+G1302)*28+44032)</f>
        <v>꺼</v>
      </c>
      <c r="I1302" s="16" t="n">
        <f aca="false">IF(B1302=-1, 1, COUNTIF($A$2:$A$3000, H1302))</f>
        <v>1</v>
      </c>
      <c r="J1302" s="10" t="str">
        <f aca="false">_xlfn.CONCAT(A1302, ",",H1302,",",I1302)</f>
        <v>쏙,꺼,1</v>
      </c>
      <c r="K1302" s="16" t="n">
        <f aca="false">IF(B1302=-1,-1,VLOOKUP(C1302,$T$1:$V$20,3))</f>
        <v>13</v>
      </c>
      <c r="L1302" s="16" t="n">
        <f aca="false">IF(B1302=-1,-1,VLOOKUP(D1302,$Y$1:$AA$22,3))</f>
        <v>8</v>
      </c>
      <c r="N1302" s="10" t="str">
        <f aca="false">_xlfn.UNICHAR(((C1302*21)+G1302)*28+44032)</f>
        <v>써</v>
      </c>
      <c r="O1302" s="10" t="str">
        <f aca="false">_xlfn.UNICHAR(((F1302*21)+D1302)*28+44032)</f>
        <v>꼬</v>
      </c>
      <c r="P1302" s="12" t="n">
        <f aca="false">COUNTIF($A$2:$A$3000, N1302) + COUNTIF($A$2:$A$3000, O1302)</f>
        <v>2</v>
      </c>
      <c r="Q1302" s="16" t="str">
        <f aca="false">IF(OR(B1302=-1,I1302=0, P1302&lt;&gt;2), "albhed_dummy", _xlfn.CONCAT("albhed ", RIGHT("  " &amp; K1302,2),", ", RIGHT("  " &amp; L1302,2), ", " ,"""",H1302,""", ", """",N1302,""", ","""",O1302,""""," ; ", A1302))</f>
        <v>albhed 13,  8, "꺼", "써", "꼬" ; 쏙</v>
      </c>
    </row>
    <row r="1303" customFormat="false" ht="17.9" hidden="false" customHeight="true" outlineLevel="0" collapsed="false">
      <c r="A1303" s="16" t="s">
        <v>2168</v>
      </c>
      <c r="B1303" s="16" t="n">
        <f aca="false">IF(_xlfn.UNICODE(A1303)&lt;44032,-1,_xlfn.UNICODE(A1303)-44032)</f>
        <v>6108</v>
      </c>
      <c r="C1303" s="16" t="n">
        <f aca="false">IF(B1303=-1,-1,INT((B1303/28)/21))</f>
        <v>10</v>
      </c>
      <c r="D1303" s="16" t="n">
        <f aca="false">IF(B1303=-1, -1, MOD(INT(B1303/28),21))</f>
        <v>8</v>
      </c>
      <c r="E1303" s="16" t="n">
        <f aca="false">IF(B1303=-1, -1, VLOOKUP(MOD(B1303,28), $T$24:$U$52,2))</f>
        <v>4</v>
      </c>
      <c r="F1303" s="16" t="n">
        <f aca="false">IF($B1303=-1, -1, VLOOKUP(C1303,$T$1:$V$20, 2))</f>
        <v>1</v>
      </c>
      <c r="G1303" s="16" t="n">
        <f aca="false">IF($B1303=-1, -1, VLOOKUP(D1303,$Y$1:$Z$22,2))</f>
        <v>4</v>
      </c>
      <c r="H1303" s="16" t="str">
        <f aca="false">_xlfn.UNICHAR(((F1303*21)+G1303)*28+44032)</f>
        <v>꺼</v>
      </c>
      <c r="I1303" s="16" t="n">
        <f aca="false">IF(B1303=-1, 1, COUNTIF($A$2:$A$3000, H1303))</f>
        <v>1</v>
      </c>
      <c r="J1303" s="10" t="str">
        <f aca="false">_xlfn.CONCAT(A1303, ",",H1303,",",I1303)</f>
        <v>쏜,꺼,1</v>
      </c>
      <c r="K1303" s="16" t="n">
        <f aca="false">IF(B1303=-1,-1,VLOOKUP(C1303,$T$1:$V$20,3))</f>
        <v>13</v>
      </c>
      <c r="L1303" s="16" t="n">
        <f aca="false">IF(B1303=-1,-1,VLOOKUP(D1303,$Y$1:$AA$22,3))</f>
        <v>8</v>
      </c>
      <c r="N1303" s="10" t="str">
        <f aca="false">_xlfn.UNICHAR(((C1303*21)+G1303)*28+44032)</f>
        <v>써</v>
      </c>
      <c r="O1303" s="10" t="str">
        <f aca="false">_xlfn.UNICHAR(((F1303*21)+D1303)*28+44032)</f>
        <v>꼬</v>
      </c>
      <c r="P1303" s="12" t="n">
        <f aca="false">COUNTIF($A$2:$A$3000, N1303) + COUNTIF($A$2:$A$3000, O1303)</f>
        <v>2</v>
      </c>
      <c r="Q1303" s="16" t="str">
        <f aca="false">IF(OR(B1303=-1,I1303=0, P1303&lt;&gt;2), "albhed_dummy", _xlfn.CONCAT("albhed ", RIGHT("  " &amp; K1303,2),", ", RIGHT("  " &amp; L1303,2), ", " ,"""",H1303,""", ", """",N1303,""", ","""",O1303,""""," ; ", A1303))</f>
        <v>albhed 13,  8, "꺼", "써", "꼬" ; 쏜</v>
      </c>
    </row>
    <row r="1304" customFormat="false" ht="17.9" hidden="false" customHeight="true" outlineLevel="0" collapsed="false">
      <c r="A1304" s="16" t="s">
        <v>2169</v>
      </c>
      <c r="B1304" s="16" t="n">
        <f aca="false">IF(_xlfn.UNICODE(A1304)&lt;44032,-1,_xlfn.UNICODE(A1304)-44032)</f>
        <v>6111</v>
      </c>
      <c r="C1304" s="16" t="n">
        <f aca="false">IF(B1304=-1,-1,INT((B1304/28)/21))</f>
        <v>10</v>
      </c>
      <c r="D1304" s="16" t="n">
        <f aca="false">IF(B1304=-1, -1, MOD(INT(B1304/28),21))</f>
        <v>8</v>
      </c>
      <c r="E1304" s="16" t="n">
        <f aca="false">IF(B1304=-1, -1, VLOOKUP(MOD(B1304,28), $T$24:$U$52,2))</f>
        <v>19</v>
      </c>
      <c r="F1304" s="16" t="n">
        <f aca="false">IF($B1304=-1, -1, VLOOKUP(C1304,$T$1:$V$20, 2))</f>
        <v>1</v>
      </c>
      <c r="G1304" s="16" t="n">
        <f aca="false">IF($B1304=-1, -1, VLOOKUP(D1304,$Y$1:$Z$22,2))</f>
        <v>4</v>
      </c>
      <c r="H1304" s="16" t="str">
        <f aca="false">_xlfn.UNICHAR(((F1304*21)+G1304)*28+44032)</f>
        <v>꺼</v>
      </c>
      <c r="I1304" s="16" t="n">
        <f aca="false">IF(B1304=-1, 1, COUNTIF($A$2:$A$3000, H1304))</f>
        <v>1</v>
      </c>
      <c r="J1304" s="10" t="str">
        <f aca="false">_xlfn.CONCAT(A1304, ",",H1304,",",I1304)</f>
        <v>쏟,꺼,1</v>
      </c>
      <c r="K1304" s="16" t="n">
        <f aca="false">IF(B1304=-1,-1,VLOOKUP(C1304,$T$1:$V$20,3))</f>
        <v>13</v>
      </c>
      <c r="L1304" s="16" t="n">
        <f aca="false">IF(B1304=-1,-1,VLOOKUP(D1304,$Y$1:$AA$22,3))</f>
        <v>8</v>
      </c>
      <c r="N1304" s="10" t="str">
        <f aca="false">_xlfn.UNICHAR(((C1304*21)+G1304)*28+44032)</f>
        <v>써</v>
      </c>
      <c r="O1304" s="10" t="str">
        <f aca="false">_xlfn.UNICHAR(((F1304*21)+D1304)*28+44032)</f>
        <v>꼬</v>
      </c>
      <c r="P1304" s="12" t="n">
        <f aca="false">COUNTIF($A$2:$A$3000, N1304) + COUNTIF($A$2:$A$3000, O1304)</f>
        <v>2</v>
      </c>
      <c r="Q1304" s="16" t="str">
        <f aca="false">IF(OR(B1304=-1,I1304=0, P1304&lt;&gt;2), "albhed_dummy", _xlfn.CONCAT("albhed ", RIGHT("  " &amp; K1304,2),", ", RIGHT("  " &amp; L1304,2), ", " ,"""",H1304,""", ", """",N1304,""", ","""",O1304,""""," ; ", A1304))</f>
        <v>albhed 13,  8, "꺼", "써", "꼬" ; 쏟</v>
      </c>
    </row>
    <row r="1305" customFormat="false" ht="17.9" hidden="false" customHeight="true" outlineLevel="0" collapsed="false">
      <c r="A1305" s="16" t="s">
        <v>2170</v>
      </c>
      <c r="B1305" s="16" t="n">
        <f aca="false">IF(_xlfn.UNICODE(A1305)&lt;44032,-1,_xlfn.UNICODE(A1305)-44032)</f>
        <v>6112</v>
      </c>
      <c r="C1305" s="16" t="n">
        <f aca="false">IF(B1305=-1,-1,INT((B1305/28)/21))</f>
        <v>10</v>
      </c>
      <c r="D1305" s="16" t="n">
        <f aca="false">IF(B1305=-1, -1, MOD(INT(B1305/28),21))</f>
        <v>8</v>
      </c>
      <c r="E1305" s="16" t="n">
        <f aca="false">IF(B1305=-1, -1, VLOOKUP(MOD(B1305,28), $T$24:$U$52,2))</f>
        <v>8</v>
      </c>
      <c r="F1305" s="16" t="n">
        <f aca="false">IF($B1305=-1, -1, VLOOKUP(C1305,$T$1:$V$20, 2))</f>
        <v>1</v>
      </c>
      <c r="G1305" s="16" t="n">
        <f aca="false">IF($B1305=-1, -1, VLOOKUP(D1305,$Y$1:$Z$22,2))</f>
        <v>4</v>
      </c>
      <c r="H1305" s="16" t="str">
        <f aca="false">_xlfn.UNICHAR(((F1305*21)+G1305)*28+44032)</f>
        <v>꺼</v>
      </c>
      <c r="I1305" s="16" t="n">
        <f aca="false">IF(B1305=-1, 1, COUNTIF($A$2:$A$3000, H1305))</f>
        <v>1</v>
      </c>
      <c r="J1305" s="10" t="str">
        <f aca="false">_xlfn.CONCAT(A1305, ",",H1305,",",I1305)</f>
        <v>쏠,꺼,1</v>
      </c>
      <c r="K1305" s="16" t="n">
        <f aca="false">IF(B1305=-1,-1,VLOOKUP(C1305,$T$1:$V$20,3))</f>
        <v>13</v>
      </c>
      <c r="L1305" s="16" t="n">
        <f aca="false">IF(B1305=-1,-1,VLOOKUP(D1305,$Y$1:$AA$22,3))</f>
        <v>8</v>
      </c>
      <c r="N1305" s="10" t="str">
        <f aca="false">_xlfn.UNICHAR(((C1305*21)+G1305)*28+44032)</f>
        <v>써</v>
      </c>
      <c r="O1305" s="10" t="str">
        <f aca="false">_xlfn.UNICHAR(((F1305*21)+D1305)*28+44032)</f>
        <v>꼬</v>
      </c>
      <c r="P1305" s="12" t="n">
        <f aca="false">COUNTIF($A$2:$A$3000, N1305) + COUNTIF($A$2:$A$3000, O1305)</f>
        <v>2</v>
      </c>
      <c r="Q1305" s="16" t="str">
        <f aca="false">IF(OR(B1305=-1,I1305=0, P1305&lt;&gt;2), "albhed_dummy", _xlfn.CONCAT("albhed ", RIGHT("  " &amp; K1305,2),", ", RIGHT("  " &amp; L1305,2), ", " ,"""",H1305,""", ", """",N1305,""", ","""",O1305,""""," ; ", A1305))</f>
        <v>albhed 13,  8, "꺼", "써", "꼬" ; 쏠</v>
      </c>
    </row>
    <row r="1306" customFormat="false" ht="17.9" hidden="false" customHeight="true" outlineLevel="0" collapsed="false">
      <c r="A1306" s="16" t="s">
        <v>2171</v>
      </c>
      <c r="B1306" s="16" t="n">
        <f aca="false">IF(_xlfn.UNICODE(A1306)&lt;44032,-1,_xlfn.UNICODE(A1306)-44032)</f>
        <v>6114</v>
      </c>
      <c r="C1306" s="16" t="n">
        <f aca="false">IF(B1306=-1,-1,INT((B1306/28)/21))</f>
        <v>10</v>
      </c>
      <c r="D1306" s="16" t="n">
        <f aca="false">IF(B1306=-1, -1, MOD(INT(B1306/28),21))</f>
        <v>8</v>
      </c>
      <c r="E1306" s="16" t="n">
        <f aca="false">IF(B1306=-1, -1, VLOOKUP(MOD(B1306,28), $T$24:$U$52,2))</f>
        <v>8</v>
      </c>
      <c r="F1306" s="16" t="n">
        <f aca="false">IF($B1306=-1, -1, VLOOKUP(C1306,$T$1:$V$20, 2))</f>
        <v>1</v>
      </c>
      <c r="G1306" s="16" t="n">
        <f aca="false">IF($B1306=-1, -1, VLOOKUP(D1306,$Y$1:$Z$22,2))</f>
        <v>4</v>
      </c>
      <c r="H1306" s="16" t="str">
        <f aca="false">_xlfn.UNICHAR(((F1306*21)+G1306)*28+44032)</f>
        <v>꺼</v>
      </c>
      <c r="I1306" s="16" t="n">
        <f aca="false">IF(B1306=-1, 1, COUNTIF($A$2:$A$3000, H1306))</f>
        <v>1</v>
      </c>
      <c r="J1306" s="10" t="str">
        <f aca="false">_xlfn.CONCAT(A1306, ",",H1306,",",I1306)</f>
        <v>쏢,꺼,1</v>
      </c>
      <c r="K1306" s="16" t="n">
        <f aca="false">IF(B1306=-1,-1,VLOOKUP(C1306,$T$1:$V$20,3))</f>
        <v>13</v>
      </c>
      <c r="L1306" s="16" t="n">
        <f aca="false">IF(B1306=-1,-1,VLOOKUP(D1306,$Y$1:$AA$22,3))</f>
        <v>8</v>
      </c>
      <c r="N1306" s="10" t="str">
        <f aca="false">_xlfn.UNICHAR(((C1306*21)+G1306)*28+44032)</f>
        <v>써</v>
      </c>
      <c r="O1306" s="10" t="str">
        <f aca="false">_xlfn.UNICHAR(((F1306*21)+D1306)*28+44032)</f>
        <v>꼬</v>
      </c>
      <c r="P1306" s="12" t="n">
        <f aca="false">COUNTIF($A$2:$A$3000, N1306) + COUNTIF($A$2:$A$3000, O1306)</f>
        <v>2</v>
      </c>
      <c r="Q1306" s="16" t="str">
        <f aca="false">IF(OR(B1306=-1,I1306=0, P1306&lt;&gt;2), "albhed_dummy", _xlfn.CONCAT("albhed ", RIGHT("  " &amp; K1306,2),", ", RIGHT("  " &amp; L1306,2), ", " ,"""",H1306,""", ", """",N1306,""", ","""",O1306,""""," ; ", A1306))</f>
        <v>albhed 13,  8, "꺼", "써", "꼬" ; 쏢</v>
      </c>
    </row>
    <row r="1307" customFormat="false" ht="17.9" hidden="false" customHeight="true" outlineLevel="0" collapsed="false">
      <c r="A1307" s="16" t="s">
        <v>2172</v>
      </c>
      <c r="B1307" s="16" t="n">
        <f aca="false">IF(_xlfn.UNICODE(A1307)&lt;44032,-1,_xlfn.UNICODE(A1307)-44032)</f>
        <v>6120</v>
      </c>
      <c r="C1307" s="16" t="n">
        <f aca="false">IF(B1307=-1,-1,INT((B1307/28)/21))</f>
        <v>10</v>
      </c>
      <c r="D1307" s="16" t="n">
        <f aca="false">IF(B1307=-1, -1, MOD(INT(B1307/28),21))</f>
        <v>8</v>
      </c>
      <c r="E1307" s="16" t="n">
        <f aca="false">IF(B1307=-1, -1, VLOOKUP(MOD(B1307,28), $T$24:$U$52,2))</f>
        <v>16</v>
      </c>
      <c r="F1307" s="16" t="n">
        <f aca="false">IF($B1307=-1, -1, VLOOKUP(C1307,$T$1:$V$20, 2))</f>
        <v>1</v>
      </c>
      <c r="G1307" s="16" t="n">
        <f aca="false">IF($B1307=-1, -1, VLOOKUP(D1307,$Y$1:$Z$22,2))</f>
        <v>4</v>
      </c>
      <c r="H1307" s="16" t="str">
        <f aca="false">_xlfn.UNICHAR(((F1307*21)+G1307)*28+44032)</f>
        <v>꺼</v>
      </c>
      <c r="I1307" s="16" t="n">
        <f aca="false">IF(B1307=-1, 1, COUNTIF($A$2:$A$3000, H1307))</f>
        <v>1</v>
      </c>
      <c r="J1307" s="10" t="str">
        <f aca="false">_xlfn.CONCAT(A1307, ",",H1307,",",I1307)</f>
        <v>쏨,꺼,1</v>
      </c>
      <c r="K1307" s="16" t="n">
        <f aca="false">IF(B1307=-1,-1,VLOOKUP(C1307,$T$1:$V$20,3))</f>
        <v>13</v>
      </c>
      <c r="L1307" s="16" t="n">
        <f aca="false">IF(B1307=-1,-1,VLOOKUP(D1307,$Y$1:$AA$22,3))</f>
        <v>8</v>
      </c>
      <c r="N1307" s="10" t="str">
        <f aca="false">_xlfn.UNICHAR(((C1307*21)+G1307)*28+44032)</f>
        <v>써</v>
      </c>
      <c r="O1307" s="10" t="str">
        <f aca="false">_xlfn.UNICHAR(((F1307*21)+D1307)*28+44032)</f>
        <v>꼬</v>
      </c>
      <c r="P1307" s="12" t="n">
        <f aca="false">COUNTIF($A$2:$A$3000, N1307) + COUNTIF($A$2:$A$3000, O1307)</f>
        <v>2</v>
      </c>
      <c r="Q1307" s="16" t="str">
        <f aca="false">IF(OR(B1307=-1,I1307=0, P1307&lt;&gt;2), "albhed_dummy", _xlfn.CONCAT("albhed ", RIGHT("  " &amp; K1307,2),", ", RIGHT("  " &amp; L1307,2), ", " ,"""",H1307,""", ", """",N1307,""", ","""",O1307,""""," ; ", A1307))</f>
        <v>albhed 13,  8, "꺼", "써", "꼬" ; 쏨</v>
      </c>
    </row>
    <row r="1308" customFormat="false" ht="17.9" hidden="false" customHeight="true" outlineLevel="0" collapsed="false">
      <c r="A1308" s="16" t="s">
        <v>2173</v>
      </c>
      <c r="B1308" s="16" t="n">
        <f aca="false">IF(_xlfn.UNICODE(A1308)&lt;44032,-1,_xlfn.UNICODE(A1308)-44032)</f>
        <v>6121</v>
      </c>
      <c r="C1308" s="16" t="n">
        <f aca="false">IF(B1308=-1,-1,INT((B1308/28)/21))</f>
        <v>10</v>
      </c>
      <c r="D1308" s="16" t="n">
        <f aca="false">IF(B1308=-1, -1, MOD(INT(B1308/28),21))</f>
        <v>8</v>
      </c>
      <c r="E1308" s="16" t="n">
        <f aca="false">IF(B1308=-1, -1, VLOOKUP(MOD(B1308,28), $T$24:$U$52,2))</f>
        <v>17</v>
      </c>
      <c r="F1308" s="16" t="n">
        <f aca="false">IF($B1308=-1, -1, VLOOKUP(C1308,$T$1:$V$20, 2))</f>
        <v>1</v>
      </c>
      <c r="G1308" s="16" t="n">
        <f aca="false">IF($B1308=-1, -1, VLOOKUP(D1308,$Y$1:$Z$22,2))</f>
        <v>4</v>
      </c>
      <c r="H1308" s="16" t="str">
        <f aca="false">_xlfn.UNICHAR(((F1308*21)+G1308)*28+44032)</f>
        <v>꺼</v>
      </c>
      <c r="I1308" s="16" t="n">
        <f aca="false">IF(B1308=-1, 1, COUNTIF($A$2:$A$3000, H1308))</f>
        <v>1</v>
      </c>
      <c r="J1308" s="10" t="str">
        <f aca="false">_xlfn.CONCAT(A1308, ",",H1308,",",I1308)</f>
        <v>쏩,꺼,1</v>
      </c>
      <c r="K1308" s="16" t="n">
        <f aca="false">IF(B1308=-1,-1,VLOOKUP(C1308,$T$1:$V$20,3))</f>
        <v>13</v>
      </c>
      <c r="L1308" s="16" t="n">
        <f aca="false">IF(B1308=-1,-1,VLOOKUP(D1308,$Y$1:$AA$22,3))</f>
        <v>8</v>
      </c>
      <c r="N1308" s="10" t="str">
        <f aca="false">_xlfn.UNICHAR(((C1308*21)+G1308)*28+44032)</f>
        <v>써</v>
      </c>
      <c r="O1308" s="10" t="str">
        <f aca="false">_xlfn.UNICHAR(((F1308*21)+D1308)*28+44032)</f>
        <v>꼬</v>
      </c>
      <c r="P1308" s="12" t="n">
        <f aca="false">COUNTIF($A$2:$A$3000, N1308) + COUNTIF($A$2:$A$3000, O1308)</f>
        <v>2</v>
      </c>
      <c r="Q1308" s="16" t="str">
        <f aca="false">IF(OR(B1308=-1,I1308=0, P1308&lt;&gt;2), "albhed_dummy", _xlfn.CONCAT("albhed ", RIGHT("  " &amp; K1308,2),", ", RIGHT("  " &amp; L1308,2), ", " ,"""",H1308,""", ", """",N1308,""", ","""",O1308,""""," ; ", A1308))</f>
        <v>albhed 13,  8, "꺼", "써", "꼬" ; 쏩</v>
      </c>
    </row>
    <row r="1309" customFormat="false" ht="17.9" hidden="false" customHeight="true" outlineLevel="0" collapsed="false">
      <c r="A1309" s="16" t="s">
        <v>2174</v>
      </c>
      <c r="B1309" s="16" t="n">
        <f aca="false">IF(_xlfn.UNICODE(A1309)&lt;44032,-1,_xlfn.UNICODE(A1309)-44032)</f>
        <v>6125</v>
      </c>
      <c r="C1309" s="16" t="n">
        <f aca="false">IF(B1309=-1,-1,INT((B1309/28)/21))</f>
        <v>10</v>
      </c>
      <c r="D1309" s="16" t="n">
        <f aca="false">IF(B1309=-1, -1, MOD(INT(B1309/28),21))</f>
        <v>8</v>
      </c>
      <c r="E1309" s="16" t="n">
        <f aca="false">IF(B1309=-1, -1, VLOOKUP(MOD(B1309,28), $T$24:$U$52,2))</f>
        <v>21</v>
      </c>
      <c r="F1309" s="16" t="n">
        <f aca="false">IF($B1309=-1, -1, VLOOKUP(C1309,$T$1:$V$20, 2))</f>
        <v>1</v>
      </c>
      <c r="G1309" s="16" t="n">
        <f aca="false">IF($B1309=-1, -1, VLOOKUP(D1309,$Y$1:$Z$22,2))</f>
        <v>4</v>
      </c>
      <c r="H1309" s="16" t="str">
        <f aca="false">_xlfn.UNICHAR(((F1309*21)+G1309)*28+44032)</f>
        <v>꺼</v>
      </c>
      <c r="I1309" s="16" t="n">
        <f aca="false">IF(B1309=-1, 1, COUNTIF($A$2:$A$3000, H1309))</f>
        <v>1</v>
      </c>
      <c r="J1309" s="10" t="str">
        <f aca="false">_xlfn.CONCAT(A1309, ",",H1309,",",I1309)</f>
        <v>쏭,꺼,1</v>
      </c>
      <c r="K1309" s="16" t="n">
        <f aca="false">IF(B1309=-1,-1,VLOOKUP(C1309,$T$1:$V$20,3))</f>
        <v>13</v>
      </c>
      <c r="L1309" s="16" t="n">
        <f aca="false">IF(B1309=-1,-1,VLOOKUP(D1309,$Y$1:$AA$22,3))</f>
        <v>8</v>
      </c>
      <c r="N1309" s="10" t="str">
        <f aca="false">_xlfn.UNICHAR(((C1309*21)+G1309)*28+44032)</f>
        <v>써</v>
      </c>
      <c r="O1309" s="10" t="str">
        <f aca="false">_xlfn.UNICHAR(((F1309*21)+D1309)*28+44032)</f>
        <v>꼬</v>
      </c>
      <c r="P1309" s="12" t="n">
        <f aca="false">COUNTIF($A$2:$A$3000, N1309) + COUNTIF($A$2:$A$3000, O1309)</f>
        <v>2</v>
      </c>
      <c r="Q1309" s="16" t="str">
        <f aca="false">IF(OR(B1309=-1,I1309=0, P1309&lt;&gt;2), "albhed_dummy", _xlfn.CONCAT("albhed ", RIGHT("  " &amp; K1309,2),", ", RIGHT("  " &amp; L1309,2), ", " ,"""",H1309,""", ", """",N1309,""", ","""",O1309,""""," ; ", A1309))</f>
        <v>albhed 13,  8, "꺼", "써", "꼬" ; 쏭</v>
      </c>
    </row>
    <row r="1310" customFormat="false" ht="17.9" hidden="false" customHeight="true" outlineLevel="0" collapsed="false">
      <c r="A1310" s="16" t="s">
        <v>2175</v>
      </c>
      <c r="B1310" s="16" t="n">
        <f aca="false">IF(_xlfn.UNICODE(A1310)&lt;44032,-1,_xlfn.UNICODE(A1310)-44032)</f>
        <v>6132</v>
      </c>
      <c r="C1310" s="16" t="n">
        <f aca="false">IF(B1310=-1,-1,INT((B1310/28)/21))</f>
        <v>10</v>
      </c>
      <c r="D1310" s="16" t="n">
        <f aca="false">IF(B1310=-1, -1, MOD(INT(B1310/28),21))</f>
        <v>9</v>
      </c>
      <c r="E1310" s="16" t="n">
        <f aca="false">IF(B1310=-1, -1, VLOOKUP(MOD(B1310,28), $T$24:$U$52,2))</f>
        <v>0</v>
      </c>
      <c r="F1310" s="16" t="n">
        <f aca="false">IF($B1310=-1, -1, VLOOKUP(C1310,$T$1:$V$20, 2))</f>
        <v>1</v>
      </c>
      <c r="G1310" s="16" t="n">
        <f aca="false">IF($B1310=-1, -1, VLOOKUP(D1310,$Y$1:$Z$22,2))</f>
        <v>20</v>
      </c>
      <c r="H1310" s="16" t="str">
        <f aca="false">_xlfn.UNICHAR(((F1310*21)+G1310)*28+44032)</f>
        <v>끼</v>
      </c>
      <c r="I1310" s="16" t="n">
        <f aca="false">IF(B1310=-1, 1, COUNTIF($A$2:$A$3000, H1310))</f>
        <v>1</v>
      </c>
      <c r="J1310" s="10" t="str">
        <f aca="false">_xlfn.CONCAT(A1310, ",",H1310,",",I1310)</f>
        <v>쏴,끼,1</v>
      </c>
      <c r="K1310" s="16" t="n">
        <f aca="false">IF(B1310=-1,-1,VLOOKUP(C1310,$T$1:$V$20,3))</f>
        <v>13</v>
      </c>
      <c r="L1310" s="16" t="n">
        <f aca="false">IF(B1310=-1,-1,VLOOKUP(D1310,$Y$1:$AA$22,3))</f>
        <v>12</v>
      </c>
      <c r="N1310" s="10" t="str">
        <f aca="false">_xlfn.UNICHAR(((C1310*21)+G1310)*28+44032)</f>
        <v>씨</v>
      </c>
      <c r="O1310" s="10" t="str">
        <f aca="false">_xlfn.UNICHAR(((F1310*21)+D1310)*28+44032)</f>
        <v>꽈</v>
      </c>
      <c r="P1310" s="12" t="n">
        <f aca="false">COUNTIF($A$2:$A$3000, N1310) + COUNTIF($A$2:$A$3000, O1310)</f>
        <v>2</v>
      </c>
      <c r="Q1310" s="16" t="str">
        <f aca="false">IF(OR(B1310=-1,I1310=0, P1310&lt;&gt;2), "albhed_dummy", _xlfn.CONCAT("albhed ", RIGHT("  " &amp; K1310,2),", ", RIGHT("  " &amp; L1310,2), ", " ,"""",H1310,""", ", """",N1310,""", ","""",O1310,""""," ; ", A1310))</f>
        <v>albhed 13, 12, "끼", "씨", "꽈" ; 쏴</v>
      </c>
    </row>
    <row r="1311" customFormat="false" ht="17.9" hidden="false" customHeight="true" outlineLevel="0" collapsed="false">
      <c r="A1311" s="16" t="s">
        <v>2176</v>
      </c>
      <c r="B1311" s="16" t="n">
        <f aca="false">IF(_xlfn.UNICODE(A1311)&lt;44032,-1,_xlfn.UNICODE(A1311)-44032)</f>
        <v>6133</v>
      </c>
      <c r="C1311" s="16" t="n">
        <f aca="false">IF(B1311=-1,-1,INT((B1311/28)/21))</f>
        <v>10</v>
      </c>
      <c r="D1311" s="16" t="n">
        <f aca="false">IF(B1311=-1, -1, MOD(INT(B1311/28),21))</f>
        <v>9</v>
      </c>
      <c r="E1311" s="16" t="n">
        <f aca="false">IF(B1311=-1, -1, VLOOKUP(MOD(B1311,28), $T$24:$U$52,2))</f>
        <v>1</v>
      </c>
      <c r="F1311" s="16" t="n">
        <f aca="false">IF($B1311=-1, -1, VLOOKUP(C1311,$T$1:$V$20, 2))</f>
        <v>1</v>
      </c>
      <c r="G1311" s="16" t="n">
        <f aca="false">IF($B1311=-1, -1, VLOOKUP(D1311,$Y$1:$Z$22,2))</f>
        <v>20</v>
      </c>
      <c r="H1311" s="16" t="str">
        <f aca="false">_xlfn.UNICHAR(((F1311*21)+G1311)*28+44032)</f>
        <v>끼</v>
      </c>
      <c r="I1311" s="16" t="n">
        <f aca="false">IF(B1311=-1, 1, COUNTIF($A$2:$A$3000, H1311))</f>
        <v>1</v>
      </c>
      <c r="J1311" s="10" t="str">
        <f aca="false">_xlfn.CONCAT(A1311, ",",H1311,",",I1311)</f>
        <v>쏵,끼,1</v>
      </c>
      <c r="K1311" s="16" t="n">
        <f aca="false">IF(B1311=-1,-1,VLOOKUP(C1311,$T$1:$V$20,3))</f>
        <v>13</v>
      </c>
      <c r="L1311" s="16" t="n">
        <f aca="false">IF(B1311=-1,-1,VLOOKUP(D1311,$Y$1:$AA$22,3))</f>
        <v>12</v>
      </c>
      <c r="N1311" s="10" t="str">
        <f aca="false">_xlfn.UNICHAR(((C1311*21)+G1311)*28+44032)</f>
        <v>씨</v>
      </c>
      <c r="O1311" s="10" t="str">
        <f aca="false">_xlfn.UNICHAR(((F1311*21)+D1311)*28+44032)</f>
        <v>꽈</v>
      </c>
      <c r="P1311" s="12" t="n">
        <f aca="false">COUNTIF($A$2:$A$3000, N1311) + COUNTIF($A$2:$A$3000, O1311)</f>
        <v>2</v>
      </c>
      <c r="Q1311" s="16" t="str">
        <f aca="false">IF(OR(B1311=-1,I1311=0, P1311&lt;&gt;2), "albhed_dummy", _xlfn.CONCAT("albhed ", RIGHT("  " &amp; K1311,2),", ", RIGHT("  " &amp; L1311,2), ", " ,"""",H1311,""", ", """",N1311,""", ","""",O1311,""""," ; ", A1311))</f>
        <v>albhed 13, 12, "끼", "씨", "꽈" ; 쏵</v>
      </c>
    </row>
    <row r="1312" customFormat="false" ht="17.9" hidden="false" customHeight="true" outlineLevel="0" collapsed="false">
      <c r="A1312" s="16" t="s">
        <v>2177</v>
      </c>
      <c r="B1312" s="16" t="n">
        <f aca="false">IF(_xlfn.UNICODE(A1312)&lt;44032,-1,_xlfn.UNICODE(A1312)-44032)</f>
        <v>6136</v>
      </c>
      <c r="C1312" s="16" t="n">
        <f aca="false">IF(B1312=-1,-1,INT((B1312/28)/21))</f>
        <v>10</v>
      </c>
      <c r="D1312" s="16" t="n">
        <f aca="false">IF(B1312=-1, -1, MOD(INT(B1312/28),21))</f>
        <v>9</v>
      </c>
      <c r="E1312" s="16" t="n">
        <f aca="false">IF(B1312=-1, -1, VLOOKUP(MOD(B1312,28), $T$24:$U$52,2))</f>
        <v>4</v>
      </c>
      <c r="F1312" s="16" t="n">
        <f aca="false">IF($B1312=-1, -1, VLOOKUP(C1312,$T$1:$V$20, 2))</f>
        <v>1</v>
      </c>
      <c r="G1312" s="16" t="n">
        <f aca="false">IF($B1312=-1, -1, VLOOKUP(D1312,$Y$1:$Z$22,2))</f>
        <v>20</v>
      </c>
      <c r="H1312" s="16" t="str">
        <f aca="false">_xlfn.UNICHAR(((F1312*21)+G1312)*28+44032)</f>
        <v>끼</v>
      </c>
      <c r="I1312" s="16" t="n">
        <f aca="false">IF(B1312=-1, 1, COUNTIF($A$2:$A$3000, H1312))</f>
        <v>1</v>
      </c>
      <c r="J1312" s="10" t="str">
        <f aca="false">_xlfn.CONCAT(A1312, ",",H1312,",",I1312)</f>
        <v>쏸,끼,1</v>
      </c>
      <c r="K1312" s="16" t="n">
        <f aca="false">IF(B1312=-1,-1,VLOOKUP(C1312,$T$1:$V$20,3))</f>
        <v>13</v>
      </c>
      <c r="L1312" s="16" t="n">
        <f aca="false">IF(B1312=-1,-1,VLOOKUP(D1312,$Y$1:$AA$22,3))</f>
        <v>12</v>
      </c>
      <c r="N1312" s="10" t="str">
        <f aca="false">_xlfn.UNICHAR(((C1312*21)+G1312)*28+44032)</f>
        <v>씨</v>
      </c>
      <c r="O1312" s="10" t="str">
        <f aca="false">_xlfn.UNICHAR(((F1312*21)+D1312)*28+44032)</f>
        <v>꽈</v>
      </c>
      <c r="P1312" s="12" t="n">
        <f aca="false">COUNTIF($A$2:$A$3000, N1312) + COUNTIF($A$2:$A$3000, O1312)</f>
        <v>2</v>
      </c>
      <c r="Q1312" s="16" t="str">
        <f aca="false">IF(OR(B1312=-1,I1312=0, P1312&lt;&gt;2), "albhed_dummy", _xlfn.CONCAT("albhed ", RIGHT("  " &amp; K1312,2),", ", RIGHT("  " &amp; L1312,2), ", " ,"""",H1312,""", ", """",N1312,""", ","""",O1312,""""," ; ", A1312))</f>
        <v>albhed 13, 12, "끼", "씨", "꽈" ; 쏸</v>
      </c>
    </row>
    <row r="1313" customFormat="false" ht="17.9" hidden="false" customHeight="true" outlineLevel="0" collapsed="false">
      <c r="A1313" s="16" t="s">
        <v>2178</v>
      </c>
      <c r="B1313" s="16" t="n">
        <f aca="false">IF(_xlfn.UNICODE(A1313)&lt;44032,-1,_xlfn.UNICODE(A1313)-44032)</f>
        <v>6152</v>
      </c>
      <c r="C1313" s="16" t="n">
        <f aca="false">IF(B1313=-1,-1,INT((B1313/28)/21))</f>
        <v>10</v>
      </c>
      <c r="D1313" s="16" t="n">
        <f aca="false">IF(B1313=-1, -1, MOD(INT(B1313/28),21))</f>
        <v>9</v>
      </c>
      <c r="E1313" s="16" t="n">
        <f aca="false">IF(B1313=-1, -1, VLOOKUP(MOD(B1313,28), $T$24:$U$52,2))</f>
        <v>19</v>
      </c>
      <c r="F1313" s="16" t="n">
        <f aca="false">IF($B1313=-1, -1, VLOOKUP(C1313,$T$1:$V$20, 2))</f>
        <v>1</v>
      </c>
      <c r="G1313" s="16" t="n">
        <f aca="false">IF($B1313=-1, -1, VLOOKUP(D1313,$Y$1:$Z$22,2))</f>
        <v>20</v>
      </c>
      <c r="H1313" s="16" t="str">
        <f aca="false">_xlfn.UNICHAR(((F1313*21)+G1313)*28+44032)</f>
        <v>끼</v>
      </c>
      <c r="I1313" s="16" t="n">
        <f aca="false">IF(B1313=-1, 1, COUNTIF($A$2:$A$3000, H1313))</f>
        <v>1</v>
      </c>
      <c r="J1313" s="10" t="str">
        <f aca="false">_xlfn.CONCAT(A1313, ",",H1313,",",I1313)</f>
        <v>쐈,끼,1</v>
      </c>
      <c r="K1313" s="16" t="n">
        <f aca="false">IF(B1313=-1,-1,VLOOKUP(C1313,$T$1:$V$20,3))</f>
        <v>13</v>
      </c>
      <c r="L1313" s="16" t="n">
        <f aca="false">IF(B1313=-1,-1,VLOOKUP(D1313,$Y$1:$AA$22,3))</f>
        <v>12</v>
      </c>
      <c r="N1313" s="10" t="str">
        <f aca="false">_xlfn.UNICHAR(((C1313*21)+G1313)*28+44032)</f>
        <v>씨</v>
      </c>
      <c r="O1313" s="10" t="str">
        <f aca="false">_xlfn.UNICHAR(((F1313*21)+D1313)*28+44032)</f>
        <v>꽈</v>
      </c>
      <c r="P1313" s="12" t="n">
        <f aca="false">COUNTIF($A$2:$A$3000, N1313) + COUNTIF($A$2:$A$3000, O1313)</f>
        <v>2</v>
      </c>
      <c r="Q1313" s="16" t="str">
        <f aca="false">IF(OR(B1313=-1,I1313=0, P1313&lt;&gt;2), "albhed_dummy", _xlfn.CONCAT("albhed ", RIGHT("  " &amp; K1313,2),", ", RIGHT("  " &amp; L1313,2), ", " ,"""",H1313,""", ", """",N1313,""", ","""",O1313,""""," ; ", A1313))</f>
        <v>albhed 13, 12, "끼", "씨", "꽈" ; 쐈</v>
      </c>
    </row>
    <row r="1314" customFormat="false" ht="17.9" hidden="false" customHeight="true" outlineLevel="0" collapsed="false">
      <c r="A1314" s="16" t="s">
        <v>2179</v>
      </c>
      <c r="B1314" s="16" t="n">
        <f aca="false">IF(_xlfn.UNICODE(A1314)&lt;44032,-1,_xlfn.UNICODE(A1314)-44032)</f>
        <v>6160</v>
      </c>
      <c r="C1314" s="16" t="n">
        <f aca="false">IF(B1314=-1,-1,INT((B1314/28)/21))</f>
        <v>10</v>
      </c>
      <c r="D1314" s="16" t="n">
        <f aca="false">IF(B1314=-1, -1, MOD(INT(B1314/28),21))</f>
        <v>10</v>
      </c>
      <c r="E1314" s="16" t="n">
        <f aca="false">IF(B1314=-1, -1, VLOOKUP(MOD(B1314,28), $T$24:$U$52,2))</f>
        <v>0</v>
      </c>
      <c r="F1314" s="16" t="n">
        <f aca="false">IF($B1314=-1, -1, VLOOKUP(C1314,$T$1:$V$20, 2))</f>
        <v>1</v>
      </c>
      <c r="G1314" s="16" t="n">
        <f aca="false">IF($B1314=-1, -1, VLOOKUP(D1314,$Y$1:$Z$22,2))</f>
        <v>20</v>
      </c>
      <c r="H1314" s="16" t="str">
        <f aca="false">_xlfn.UNICHAR(((F1314*21)+G1314)*28+44032)</f>
        <v>끼</v>
      </c>
      <c r="I1314" s="16" t="n">
        <f aca="false">IF(B1314=-1, 1, COUNTIF($A$2:$A$3000, H1314))</f>
        <v>1</v>
      </c>
      <c r="J1314" s="10" t="str">
        <f aca="false">_xlfn.CONCAT(A1314, ",",H1314,",",I1314)</f>
        <v>쐐,끼,1</v>
      </c>
      <c r="K1314" s="16" t="n">
        <f aca="false">IF(B1314=-1,-1,VLOOKUP(C1314,$T$1:$V$20,3))</f>
        <v>13</v>
      </c>
      <c r="L1314" s="16" t="n">
        <f aca="false">IF(B1314=-1,-1,VLOOKUP(D1314,$Y$1:$AA$22,3))</f>
        <v>12</v>
      </c>
      <c r="N1314" s="10" t="str">
        <f aca="false">_xlfn.UNICHAR(((C1314*21)+G1314)*28+44032)</f>
        <v>씨</v>
      </c>
      <c r="O1314" s="10" t="str">
        <f aca="false">_xlfn.UNICHAR(((F1314*21)+D1314)*28+44032)</f>
        <v>꽤</v>
      </c>
      <c r="P1314" s="12" t="n">
        <f aca="false">COUNTIF($A$2:$A$3000, N1314) + COUNTIF($A$2:$A$3000, O1314)</f>
        <v>2</v>
      </c>
      <c r="Q1314" s="16" t="str">
        <f aca="false">IF(OR(B1314=-1,I1314=0, P1314&lt;&gt;2), "albhed_dummy", _xlfn.CONCAT("albhed ", RIGHT("  " &amp; K1314,2),", ", RIGHT("  " &amp; L1314,2), ", " ,"""",H1314,""", ", """",N1314,""", ","""",O1314,""""," ; ", A1314))</f>
        <v>albhed 13, 12, "끼", "씨", "꽤" ; 쐐</v>
      </c>
    </row>
    <row r="1315" customFormat="false" ht="17.9" hidden="false" customHeight="true" outlineLevel="0" collapsed="false">
      <c r="A1315" s="16" t="s">
        <v>2180</v>
      </c>
      <c r="B1315" s="16" t="n">
        <f aca="false">IF(_xlfn.UNICODE(A1315)&lt;44032,-1,_xlfn.UNICODE(A1315)-44032)</f>
        <v>6180</v>
      </c>
      <c r="C1315" s="16" t="n">
        <f aca="false">IF(B1315=-1,-1,INT((B1315/28)/21))</f>
        <v>10</v>
      </c>
      <c r="D1315" s="16" t="n">
        <f aca="false">IF(B1315=-1, -1, MOD(INT(B1315/28),21))</f>
        <v>10</v>
      </c>
      <c r="E1315" s="16" t="n">
        <f aca="false">IF(B1315=-1, -1, VLOOKUP(MOD(B1315,28), $T$24:$U$52,2))</f>
        <v>19</v>
      </c>
      <c r="F1315" s="16" t="n">
        <f aca="false">IF($B1315=-1, -1, VLOOKUP(C1315,$T$1:$V$20, 2))</f>
        <v>1</v>
      </c>
      <c r="G1315" s="16" t="n">
        <f aca="false">IF($B1315=-1, -1, VLOOKUP(D1315,$Y$1:$Z$22,2))</f>
        <v>20</v>
      </c>
      <c r="H1315" s="16" t="str">
        <f aca="false">_xlfn.UNICHAR(((F1315*21)+G1315)*28+44032)</f>
        <v>끼</v>
      </c>
      <c r="I1315" s="16" t="n">
        <f aca="false">IF(B1315=-1, 1, COUNTIF($A$2:$A$3000, H1315))</f>
        <v>1</v>
      </c>
      <c r="J1315" s="10" t="str">
        <f aca="false">_xlfn.CONCAT(A1315, ",",H1315,",",I1315)</f>
        <v>쐤,끼,1</v>
      </c>
      <c r="K1315" s="16" t="n">
        <f aca="false">IF(B1315=-1,-1,VLOOKUP(C1315,$T$1:$V$20,3))</f>
        <v>13</v>
      </c>
      <c r="L1315" s="16" t="n">
        <f aca="false">IF(B1315=-1,-1,VLOOKUP(D1315,$Y$1:$AA$22,3))</f>
        <v>12</v>
      </c>
      <c r="N1315" s="10" t="str">
        <f aca="false">_xlfn.UNICHAR(((C1315*21)+G1315)*28+44032)</f>
        <v>씨</v>
      </c>
      <c r="O1315" s="10" t="str">
        <f aca="false">_xlfn.UNICHAR(((F1315*21)+D1315)*28+44032)</f>
        <v>꽤</v>
      </c>
      <c r="P1315" s="12" t="n">
        <f aca="false">COUNTIF($A$2:$A$3000, N1315) + COUNTIF($A$2:$A$3000, O1315)</f>
        <v>2</v>
      </c>
      <c r="Q1315" s="16" t="str">
        <f aca="false">IF(OR(B1315=-1,I1315=0, P1315&lt;&gt;2), "albhed_dummy", _xlfn.CONCAT("albhed ", RIGHT("  " &amp; K1315,2),", ", RIGHT("  " &amp; L1315,2), ", " ,"""",H1315,""", ", """",N1315,""", ","""",O1315,""""," ; ", A1315))</f>
        <v>albhed 13, 12, "끼", "씨", "꽤" ; 쐤</v>
      </c>
    </row>
    <row r="1316" customFormat="false" ht="17.9" hidden="false" customHeight="true" outlineLevel="0" collapsed="false">
      <c r="A1316" s="16" t="s">
        <v>2181</v>
      </c>
      <c r="B1316" s="16" t="n">
        <f aca="false">IF(_xlfn.UNICODE(A1316)&lt;44032,-1,_xlfn.UNICODE(A1316)-44032)</f>
        <v>6188</v>
      </c>
      <c r="C1316" s="16" t="n">
        <f aca="false">IF(B1316=-1,-1,INT((B1316/28)/21))</f>
        <v>10</v>
      </c>
      <c r="D1316" s="16" t="n">
        <f aca="false">IF(B1316=-1, -1, MOD(INT(B1316/28),21))</f>
        <v>11</v>
      </c>
      <c r="E1316" s="16" t="n">
        <f aca="false">IF(B1316=-1, -1, VLOOKUP(MOD(B1316,28), $T$24:$U$52,2))</f>
        <v>0</v>
      </c>
      <c r="F1316" s="16" t="n">
        <f aca="false">IF($B1316=-1, -1, VLOOKUP(C1316,$T$1:$V$20, 2))</f>
        <v>1</v>
      </c>
      <c r="G1316" s="16" t="n">
        <f aca="false">IF($B1316=-1, -1, VLOOKUP(D1316,$Y$1:$Z$22,2))</f>
        <v>20</v>
      </c>
      <c r="H1316" s="16" t="str">
        <f aca="false">_xlfn.UNICHAR(((F1316*21)+G1316)*28+44032)</f>
        <v>끼</v>
      </c>
      <c r="I1316" s="16" t="n">
        <f aca="false">IF(B1316=-1, 1, COUNTIF($A$2:$A$3000, H1316))</f>
        <v>1</v>
      </c>
      <c r="J1316" s="10" t="str">
        <f aca="false">_xlfn.CONCAT(A1316, ",",H1316,",",I1316)</f>
        <v>쐬,끼,1</v>
      </c>
      <c r="K1316" s="16" t="n">
        <f aca="false">IF(B1316=-1,-1,VLOOKUP(C1316,$T$1:$V$20,3))</f>
        <v>13</v>
      </c>
      <c r="L1316" s="16" t="n">
        <f aca="false">IF(B1316=-1,-1,VLOOKUP(D1316,$Y$1:$AA$22,3))</f>
        <v>22</v>
      </c>
      <c r="N1316" s="10" t="str">
        <f aca="false">_xlfn.UNICHAR(((C1316*21)+G1316)*28+44032)</f>
        <v>씨</v>
      </c>
      <c r="O1316" s="10" t="str">
        <f aca="false">_xlfn.UNICHAR(((F1316*21)+D1316)*28+44032)</f>
        <v>꾀</v>
      </c>
      <c r="P1316" s="12" t="n">
        <f aca="false">COUNTIF($A$2:$A$3000, N1316) + COUNTIF($A$2:$A$3000, O1316)</f>
        <v>2</v>
      </c>
      <c r="Q1316" s="16" t="str">
        <f aca="false">IF(OR(B1316=-1,I1316=0, P1316&lt;&gt;2), "albhed_dummy", _xlfn.CONCAT("albhed ", RIGHT("  " &amp; K1316,2),", ", RIGHT("  " &amp; L1316,2), ", " ,"""",H1316,""", ", """",N1316,""", ","""",O1316,""""," ; ", A1316))</f>
        <v>albhed 13, 22, "끼", "씨", "꾀" ; 쐬</v>
      </c>
    </row>
    <row r="1317" customFormat="false" ht="17.9" hidden="false" customHeight="true" outlineLevel="0" collapsed="false">
      <c r="A1317" s="16" t="s">
        <v>2182</v>
      </c>
      <c r="B1317" s="16" t="n">
        <f aca="false">IF(_xlfn.UNICODE(A1317)&lt;44032,-1,_xlfn.UNICODE(A1317)-44032)</f>
        <v>6192</v>
      </c>
      <c r="C1317" s="16" t="n">
        <f aca="false">IF(B1317=-1,-1,INT((B1317/28)/21))</f>
        <v>10</v>
      </c>
      <c r="D1317" s="16" t="n">
        <f aca="false">IF(B1317=-1, -1, MOD(INT(B1317/28),21))</f>
        <v>11</v>
      </c>
      <c r="E1317" s="16" t="n">
        <f aca="false">IF(B1317=-1, -1, VLOOKUP(MOD(B1317,28), $T$24:$U$52,2))</f>
        <v>4</v>
      </c>
      <c r="F1317" s="16" t="n">
        <f aca="false">IF($B1317=-1, -1, VLOOKUP(C1317,$T$1:$V$20, 2))</f>
        <v>1</v>
      </c>
      <c r="G1317" s="16" t="n">
        <f aca="false">IF($B1317=-1, -1, VLOOKUP(D1317,$Y$1:$Z$22,2))</f>
        <v>20</v>
      </c>
      <c r="H1317" s="16" t="str">
        <f aca="false">_xlfn.UNICHAR(((F1317*21)+G1317)*28+44032)</f>
        <v>끼</v>
      </c>
      <c r="I1317" s="16" t="n">
        <f aca="false">IF(B1317=-1, 1, COUNTIF($A$2:$A$3000, H1317))</f>
        <v>1</v>
      </c>
      <c r="J1317" s="10" t="str">
        <f aca="false">_xlfn.CONCAT(A1317, ",",H1317,",",I1317)</f>
        <v>쐰,끼,1</v>
      </c>
      <c r="K1317" s="16" t="n">
        <f aca="false">IF(B1317=-1,-1,VLOOKUP(C1317,$T$1:$V$20,3))</f>
        <v>13</v>
      </c>
      <c r="L1317" s="16" t="n">
        <f aca="false">IF(B1317=-1,-1,VLOOKUP(D1317,$Y$1:$AA$22,3))</f>
        <v>22</v>
      </c>
      <c r="N1317" s="10" t="str">
        <f aca="false">_xlfn.UNICHAR(((C1317*21)+G1317)*28+44032)</f>
        <v>씨</v>
      </c>
      <c r="O1317" s="10" t="str">
        <f aca="false">_xlfn.UNICHAR(((F1317*21)+D1317)*28+44032)</f>
        <v>꾀</v>
      </c>
      <c r="P1317" s="12" t="n">
        <f aca="false">COUNTIF($A$2:$A$3000, N1317) + COUNTIF($A$2:$A$3000, O1317)</f>
        <v>2</v>
      </c>
      <c r="Q1317" s="16" t="str">
        <f aca="false">IF(OR(B1317=-1,I1317=0, P1317&lt;&gt;2), "albhed_dummy", _xlfn.CONCAT("albhed ", RIGHT("  " &amp; K1317,2),", ", RIGHT("  " &amp; L1317,2), ", " ,"""",H1317,""", ", """",N1317,""", ","""",O1317,""""," ; ", A1317))</f>
        <v>albhed 13, 22, "끼", "씨", "꾀" ; 쐰</v>
      </c>
    </row>
    <row r="1318" customFormat="false" ht="17.9" hidden="false" customHeight="true" outlineLevel="0" collapsed="false">
      <c r="A1318" s="16" t="s">
        <v>2183</v>
      </c>
      <c r="B1318" s="16" t="n">
        <f aca="false">IF(_xlfn.UNICODE(A1318)&lt;44032,-1,_xlfn.UNICODE(A1318)-44032)</f>
        <v>6196</v>
      </c>
      <c r="C1318" s="16" t="n">
        <f aca="false">IF(B1318=-1,-1,INT((B1318/28)/21))</f>
        <v>10</v>
      </c>
      <c r="D1318" s="16" t="n">
        <f aca="false">IF(B1318=-1, -1, MOD(INT(B1318/28),21))</f>
        <v>11</v>
      </c>
      <c r="E1318" s="16" t="n">
        <f aca="false">IF(B1318=-1, -1, VLOOKUP(MOD(B1318,28), $T$24:$U$52,2))</f>
        <v>8</v>
      </c>
      <c r="F1318" s="16" t="n">
        <f aca="false">IF($B1318=-1, -1, VLOOKUP(C1318,$T$1:$V$20, 2))</f>
        <v>1</v>
      </c>
      <c r="G1318" s="16" t="n">
        <f aca="false">IF($B1318=-1, -1, VLOOKUP(D1318,$Y$1:$Z$22,2))</f>
        <v>20</v>
      </c>
      <c r="H1318" s="16" t="str">
        <f aca="false">_xlfn.UNICHAR(((F1318*21)+G1318)*28+44032)</f>
        <v>끼</v>
      </c>
      <c r="I1318" s="16" t="n">
        <f aca="false">IF(B1318=-1, 1, COUNTIF($A$2:$A$3000, H1318))</f>
        <v>1</v>
      </c>
      <c r="J1318" s="10" t="str">
        <f aca="false">_xlfn.CONCAT(A1318, ",",H1318,",",I1318)</f>
        <v>쐴,끼,1</v>
      </c>
      <c r="K1318" s="16" t="n">
        <f aca="false">IF(B1318=-1,-1,VLOOKUP(C1318,$T$1:$V$20,3))</f>
        <v>13</v>
      </c>
      <c r="L1318" s="16" t="n">
        <f aca="false">IF(B1318=-1,-1,VLOOKUP(D1318,$Y$1:$AA$22,3))</f>
        <v>22</v>
      </c>
      <c r="N1318" s="10" t="str">
        <f aca="false">_xlfn.UNICHAR(((C1318*21)+G1318)*28+44032)</f>
        <v>씨</v>
      </c>
      <c r="O1318" s="10" t="str">
        <f aca="false">_xlfn.UNICHAR(((F1318*21)+D1318)*28+44032)</f>
        <v>꾀</v>
      </c>
      <c r="P1318" s="12" t="n">
        <f aca="false">COUNTIF($A$2:$A$3000, N1318) + COUNTIF($A$2:$A$3000, O1318)</f>
        <v>2</v>
      </c>
      <c r="Q1318" s="16" t="str">
        <f aca="false">IF(OR(B1318=-1,I1318=0, P1318&lt;&gt;2), "albhed_dummy", _xlfn.CONCAT("albhed ", RIGHT("  " &amp; K1318,2),", ", RIGHT("  " &amp; L1318,2), ", " ,"""",H1318,""", ", """",N1318,""", ","""",O1318,""""," ; ", A1318))</f>
        <v>albhed 13, 22, "끼", "씨", "꾀" ; 쐴</v>
      </c>
    </row>
    <row r="1319" customFormat="false" ht="17.9" hidden="false" customHeight="true" outlineLevel="0" collapsed="false">
      <c r="A1319" s="16" t="s">
        <v>2184</v>
      </c>
      <c r="B1319" s="16" t="n">
        <f aca="false">IF(_xlfn.UNICODE(A1319)&lt;44032,-1,_xlfn.UNICODE(A1319)-44032)</f>
        <v>6204</v>
      </c>
      <c r="C1319" s="16" t="n">
        <f aca="false">IF(B1319=-1,-1,INT((B1319/28)/21))</f>
        <v>10</v>
      </c>
      <c r="D1319" s="16" t="n">
        <f aca="false">IF(B1319=-1, -1, MOD(INT(B1319/28),21))</f>
        <v>11</v>
      </c>
      <c r="E1319" s="16" t="n">
        <f aca="false">IF(B1319=-1, -1, VLOOKUP(MOD(B1319,28), $T$24:$U$52,2))</f>
        <v>16</v>
      </c>
      <c r="F1319" s="16" t="n">
        <f aca="false">IF($B1319=-1, -1, VLOOKUP(C1319,$T$1:$V$20, 2))</f>
        <v>1</v>
      </c>
      <c r="G1319" s="16" t="n">
        <f aca="false">IF($B1319=-1, -1, VLOOKUP(D1319,$Y$1:$Z$22,2))</f>
        <v>20</v>
      </c>
      <c r="H1319" s="16" t="str">
        <f aca="false">_xlfn.UNICHAR(((F1319*21)+G1319)*28+44032)</f>
        <v>끼</v>
      </c>
      <c r="I1319" s="16" t="n">
        <f aca="false">IF(B1319=-1, 1, COUNTIF($A$2:$A$3000, H1319))</f>
        <v>1</v>
      </c>
      <c r="J1319" s="10" t="str">
        <f aca="false">_xlfn.CONCAT(A1319, ",",H1319,",",I1319)</f>
        <v>쐼,끼,1</v>
      </c>
      <c r="K1319" s="16" t="n">
        <f aca="false">IF(B1319=-1,-1,VLOOKUP(C1319,$T$1:$V$20,3))</f>
        <v>13</v>
      </c>
      <c r="L1319" s="16" t="n">
        <f aca="false">IF(B1319=-1,-1,VLOOKUP(D1319,$Y$1:$AA$22,3))</f>
        <v>22</v>
      </c>
      <c r="N1319" s="10" t="str">
        <f aca="false">_xlfn.UNICHAR(((C1319*21)+G1319)*28+44032)</f>
        <v>씨</v>
      </c>
      <c r="O1319" s="10" t="str">
        <f aca="false">_xlfn.UNICHAR(((F1319*21)+D1319)*28+44032)</f>
        <v>꾀</v>
      </c>
      <c r="P1319" s="12" t="n">
        <f aca="false">COUNTIF($A$2:$A$3000, N1319) + COUNTIF($A$2:$A$3000, O1319)</f>
        <v>2</v>
      </c>
      <c r="Q1319" s="16" t="str">
        <f aca="false">IF(OR(B1319=-1,I1319=0, P1319&lt;&gt;2), "albhed_dummy", _xlfn.CONCAT("albhed ", RIGHT("  " &amp; K1319,2),", ", RIGHT("  " &amp; L1319,2), ", " ,"""",H1319,""", ", """",N1319,""", ","""",O1319,""""," ; ", A1319))</f>
        <v>albhed 13, 22, "끼", "씨", "꾀" ; 쐼</v>
      </c>
    </row>
    <row r="1320" customFormat="false" ht="17.9" hidden="false" customHeight="true" outlineLevel="0" collapsed="false">
      <c r="A1320" s="16" t="s">
        <v>2185</v>
      </c>
      <c r="B1320" s="16" t="n">
        <f aca="false">IF(_xlfn.UNICODE(A1320)&lt;44032,-1,_xlfn.UNICODE(A1320)-44032)</f>
        <v>6205</v>
      </c>
      <c r="C1320" s="16" t="n">
        <f aca="false">IF(B1320=-1,-1,INT((B1320/28)/21))</f>
        <v>10</v>
      </c>
      <c r="D1320" s="16" t="n">
        <f aca="false">IF(B1320=-1, -1, MOD(INT(B1320/28),21))</f>
        <v>11</v>
      </c>
      <c r="E1320" s="16" t="n">
        <f aca="false">IF(B1320=-1, -1, VLOOKUP(MOD(B1320,28), $T$24:$U$52,2))</f>
        <v>17</v>
      </c>
      <c r="F1320" s="16" t="n">
        <f aca="false">IF($B1320=-1, -1, VLOOKUP(C1320,$T$1:$V$20, 2))</f>
        <v>1</v>
      </c>
      <c r="G1320" s="16" t="n">
        <f aca="false">IF($B1320=-1, -1, VLOOKUP(D1320,$Y$1:$Z$22,2))</f>
        <v>20</v>
      </c>
      <c r="H1320" s="16" t="str">
        <f aca="false">_xlfn.UNICHAR(((F1320*21)+G1320)*28+44032)</f>
        <v>끼</v>
      </c>
      <c r="I1320" s="16" t="n">
        <f aca="false">IF(B1320=-1, 1, COUNTIF($A$2:$A$3000, H1320))</f>
        <v>1</v>
      </c>
      <c r="J1320" s="10" t="str">
        <f aca="false">_xlfn.CONCAT(A1320, ",",H1320,",",I1320)</f>
        <v>쐽,끼,1</v>
      </c>
      <c r="K1320" s="16" t="n">
        <f aca="false">IF(B1320=-1,-1,VLOOKUP(C1320,$T$1:$V$20,3))</f>
        <v>13</v>
      </c>
      <c r="L1320" s="16" t="n">
        <f aca="false">IF(B1320=-1,-1,VLOOKUP(D1320,$Y$1:$AA$22,3))</f>
        <v>22</v>
      </c>
      <c r="N1320" s="10" t="str">
        <f aca="false">_xlfn.UNICHAR(((C1320*21)+G1320)*28+44032)</f>
        <v>씨</v>
      </c>
      <c r="O1320" s="10" t="str">
        <f aca="false">_xlfn.UNICHAR(((F1320*21)+D1320)*28+44032)</f>
        <v>꾀</v>
      </c>
      <c r="P1320" s="12" t="n">
        <f aca="false">COUNTIF($A$2:$A$3000, N1320) + COUNTIF($A$2:$A$3000, O1320)</f>
        <v>2</v>
      </c>
      <c r="Q1320" s="16" t="str">
        <f aca="false">IF(OR(B1320=-1,I1320=0, P1320&lt;&gt;2), "albhed_dummy", _xlfn.CONCAT("albhed ", RIGHT("  " &amp; K1320,2),", ", RIGHT("  " &amp; L1320,2), ", " ,"""",H1320,""", ", """",N1320,""", ","""",O1320,""""," ; ", A1320))</f>
        <v>albhed 13, 22, "끼", "씨", "꾀" ; 쐽</v>
      </c>
    </row>
    <row r="1321" customFormat="false" ht="17.9" hidden="false" customHeight="true" outlineLevel="0" collapsed="false">
      <c r="A1321" s="16" t="s">
        <v>2186</v>
      </c>
      <c r="B1321" s="16" t="n">
        <f aca="false">IF(_xlfn.UNICODE(A1321)&lt;44032,-1,_xlfn.UNICODE(A1321)-44032)</f>
        <v>6216</v>
      </c>
      <c r="C1321" s="16" t="n">
        <f aca="false">IF(B1321=-1,-1,INT((B1321/28)/21))</f>
        <v>10</v>
      </c>
      <c r="D1321" s="16" t="n">
        <f aca="false">IF(B1321=-1, -1, MOD(INT(B1321/28),21))</f>
        <v>12</v>
      </c>
      <c r="E1321" s="16" t="n">
        <f aca="false">IF(B1321=-1, -1, VLOOKUP(MOD(B1321,28), $T$24:$U$52,2))</f>
        <v>0</v>
      </c>
      <c r="F1321" s="16" t="n">
        <f aca="false">IF($B1321=-1, -1, VLOOKUP(C1321,$T$1:$V$20, 2))</f>
        <v>1</v>
      </c>
      <c r="G1321" s="16" t="n">
        <f aca="false">IF($B1321=-1, -1, VLOOKUP(D1321,$Y$1:$Z$22,2))</f>
        <v>6</v>
      </c>
      <c r="H1321" s="16" t="str">
        <f aca="false">_xlfn.UNICHAR(((F1321*21)+G1321)*28+44032)</f>
        <v>껴</v>
      </c>
      <c r="I1321" s="16" t="n">
        <f aca="false">IF(B1321=-1, 1, COUNTIF($A$2:$A$3000, H1321))</f>
        <v>1</v>
      </c>
      <c r="J1321" s="10" t="str">
        <f aca="false">_xlfn.CONCAT(A1321, ",",H1321,",",I1321)</f>
        <v>쑈,껴,1</v>
      </c>
      <c r="K1321" s="16" t="n">
        <f aca="false">IF(B1321=-1,-1,VLOOKUP(C1321,$T$1:$V$20,3))</f>
        <v>13</v>
      </c>
      <c r="L1321" s="16" t="n">
        <f aca="false">IF(B1321=-1,-1,VLOOKUP(D1321,$Y$1:$AA$22,3))</f>
        <v>8</v>
      </c>
      <c r="N1321" s="10" t="str">
        <f aca="false">_xlfn.UNICHAR(((C1321*21)+G1321)*28+44032)</f>
        <v>쎠</v>
      </c>
      <c r="O1321" s="10" t="str">
        <f aca="false">_xlfn.UNICHAR(((F1321*21)+D1321)*28+44032)</f>
        <v>꾜</v>
      </c>
      <c r="P1321" s="12" t="n">
        <f aca="false">COUNTIF($A$2:$A$3000, N1321) + COUNTIF($A$2:$A$3000, O1321)</f>
        <v>1</v>
      </c>
      <c r="Q1321" s="16" t="str">
        <f aca="false">IF(OR(B1321=-1,I1321=0, P1321&lt;&gt;2), "albhed_dummy", _xlfn.CONCAT("albhed ", RIGHT("  " &amp; K1321,2),", ", RIGHT("  " &amp; L1321,2), ", " ,"""",H1321,""", ", """",N1321,""", ","""",O1321,""""," ; ", A1321))</f>
        <v>albhed_dummy</v>
      </c>
    </row>
    <row r="1322" customFormat="false" ht="17.9" hidden="false" customHeight="true" outlineLevel="0" collapsed="false">
      <c r="A1322" s="16" t="s">
        <v>2187</v>
      </c>
      <c r="B1322" s="16" t="n">
        <f aca="false">IF(_xlfn.UNICODE(A1322)&lt;44032,-1,_xlfn.UNICODE(A1322)-44032)</f>
        <v>6244</v>
      </c>
      <c r="C1322" s="16" t="n">
        <f aca="false">IF(B1322=-1,-1,INT((B1322/28)/21))</f>
        <v>10</v>
      </c>
      <c r="D1322" s="16" t="n">
        <f aca="false">IF(B1322=-1, -1, MOD(INT(B1322/28),21))</f>
        <v>13</v>
      </c>
      <c r="E1322" s="16" t="n">
        <f aca="false">IF(B1322=-1, -1, VLOOKUP(MOD(B1322,28), $T$24:$U$52,2))</f>
        <v>0</v>
      </c>
      <c r="F1322" s="16" t="n">
        <f aca="false">IF($B1322=-1, -1, VLOOKUP(C1322,$T$1:$V$20, 2))</f>
        <v>1</v>
      </c>
      <c r="G1322" s="16" t="n">
        <f aca="false">IF($B1322=-1, -1, VLOOKUP(D1322,$Y$1:$Z$22,2))</f>
        <v>0</v>
      </c>
      <c r="H1322" s="16" t="str">
        <f aca="false">_xlfn.UNICHAR(((F1322*21)+G1322)*28+44032)</f>
        <v>까</v>
      </c>
      <c r="I1322" s="16" t="n">
        <f aca="false">IF(B1322=-1, 1, COUNTIF($A$2:$A$3000, H1322))</f>
        <v>1</v>
      </c>
      <c r="J1322" s="10" t="str">
        <f aca="false">_xlfn.CONCAT(A1322, ",",H1322,",",I1322)</f>
        <v>쑤,까,1</v>
      </c>
      <c r="K1322" s="16" t="n">
        <f aca="false">IF(B1322=-1,-1,VLOOKUP(C1322,$T$1:$V$20,3))</f>
        <v>13</v>
      </c>
      <c r="L1322" s="16" t="n">
        <f aca="false">IF(B1322=-1,-1,VLOOKUP(D1322,$Y$1:$AA$22,3))</f>
        <v>6</v>
      </c>
      <c r="N1322" s="10" t="str">
        <f aca="false">_xlfn.UNICHAR(((C1322*21)+G1322)*28+44032)</f>
        <v>싸</v>
      </c>
      <c r="O1322" s="10" t="str">
        <f aca="false">_xlfn.UNICHAR(((F1322*21)+D1322)*28+44032)</f>
        <v>꾸</v>
      </c>
      <c r="P1322" s="12" t="n">
        <f aca="false">COUNTIF($A$2:$A$3000, N1322) + COUNTIF($A$2:$A$3000, O1322)</f>
        <v>2</v>
      </c>
      <c r="Q1322" s="16" t="str">
        <f aca="false">IF(OR(B1322=-1,I1322=0, P1322&lt;&gt;2), "albhed_dummy", _xlfn.CONCAT("albhed ", RIGHT("  " &amp; K1322,2),", ", RIGHT("  " &amp; L1322,2), ", " ,"""",H1322,""", ", """",N1322,""", ","""",O1322,""""," ; ", A1322))</f>
        <v>albhed 13,  6, "까", "싸", "꾸" ; 쑤</v>
      </c>
    </row>
    <row r="1323" customFormat="false" ht="17.9" hidden="false" customHeight="true" outlineLevel="0" collapsed="false">
      <c r="A1323" s="16" t="s">
        <v>2188</v>
      </c>
      <c r="B1323" s="16" t="n">
        <f aca="false">IF(_xlfn.UNICODE(A1323)&lt;44032,-1,_xlfn.UNICODE(A1323)-44032)</f>
        <v>6245</v>
      </c>
      <c r="C1323" s="16" t="n">
        <f aca="false">IF(B1323=-1,-1,INT((B1323/28)/21))</f>
        <v>10</v>
      </c>
      <c r="D1323" s="16" t="n">
        <f aca="false">IF(B1323=-1, -1, MOD(INT(B1323/28),21))</f>
        <v>13</v>
      </c>
      <c r="E1323" s="16" t="n">
        <f aca="false">IF(B1323=-1, -1, VLOOKUP(MOD(B1323,28), $T$24:$U$52,2))</f>
        <v>1</v>
      </c>
      <c r="F1323" s="16" t="n">
        <f aca="false">IF($B1323=-1, -1, VLOOKUP(C1323,$T$1:$V$20, 2))</f>
        <v>1</v>
      </c>
      <c r="G1323" s="16" t="n">
        <f aca="false">IF($B1323=-1, -1, VLOOKUP(D1323,$Y$1:$Z$22,2))</f>
        <v>0</v>
      </c>
      <c r="H1323" s="16" t="str">
        <f aca="false">_xlfn.UNICHAR(((F1323*21)+G1323)*28+44032)</f>
        <v>까</v>
      </c>
      <c r="I1323" s="16" t="n">
        <f aca="false">IF(B1323=-1, 1, COUNTIF($A$2:$A$3000, H1323))</f>
        <v>1</v>
      </c>
      <c r="J1323" s="10" t="str">
        <f aca="false">_xlfn.CONCAT(A1323, ",",H1323,",",I1323)</f>
        <v>쑥,까,1</v>
      </c>
      <c r="K1323" s="16" t="n">
        <f aca="false">IF(B1323=-1,-1,VLOOKUP(C1323,$T$1:$V$20,3))</f>
        <v>13</v>
      </c>
      <c r="L1323" s="16" t="n">
        <f aca="false">IF(B1323=-1,-1,VLOOKUP(D1323,$Y$1:$AA$22,3))</f>
        <v>6</v>
      </c>
      <c r="N1323" s="10" t="str">
        <f aca="false">_xlfn.UNICHAR(((C1323*21)+G1323)*28+44032)</f>
        <v>싸</v>
      </c>
      <c r="O1323" s="10" t="str">
        <f aca="false">_xlfn.UNICHAR(((F1323*21)+D1323)*28+44032)</f>
        <v>꾸</v>
      </c>
      <c r="P1323" s="12" t="n">
        <f aca="false">COUNTIF($A$2:$A$3000, N1323) + COUNTIF($A$2:$A$3000, O1323)</f>
        <v>2</v>
      </c>
      <c r="Q1323" s="16" t="str">
        <f aca="false">IF(OR(B1323=-1,I1323=0, P1323&lt;&gt;2), "albhed_dummy", _xlfn.CONCAT("albhed ", RIGHT("  " &amp; K1323,2),", ", RIGHT("  " &amp; L1323,2), ", " ,"""",H1323,""", ", """",N1323,""", ","""",O1323,""""," ; ", A1323))</f>
        <v>albhed 13,  6, "까", "싸", "꾸" ; 쑥</v>
      </c>
    </row>
    <row r="1324" customFormat="false" ht="17.9" hidden="false" customHeight="true" outlineLevel="0" collapsed="false">
      <c r="A1324" s="16" t="s">
        <v>2189</v>
      </c>
      <c r="B1324" s="16" t="n">
        <f aca="false">IF(_xlfn.UNICODE(A1324)&lt;44032,-1,_xlfn.UNICODE(A1324)-44032)</f>
        <v>6248</v>
      </c>
      <c r="C1324" s="16" t="n">
        <f aca="false">IF(B1324=-1,-1,INT((B1324/28)/21))</f>
        <v>10</v>
      </c>
      <c r="D1324" s="16" t="n">
        <f aca="false">IF(B1324=-1, -1, MOD(INT(B1324/28),21))</f>
        <v>13</v>
      </c>
      <c r="E1324" s="16" t="n">
        <f aca="false">IF(B1324=-1, -1, VLOOKUP(MOD(B1324,28), $T$24:$U$52,2))</f>
        <v>4</v>
      </c>
      <c r="F1324" s="16" t="n">
        <f aca="false">IF($B1324=-1, -1, VLOOKUP(C1324,$T$1:$V$20, 2))</f>
        <v>1</v>
      </c>
      <c r="G1324" s="16" t="n">
        <f aca="false">IF($B1324=-1, -1, VLOOKUP(D1324,$Y$1:$Z$22,2))</f>
        <v>0</v>
      </c>
      <c r="H1324" s="16" t="str">
        <f aca="false">_xlfn.UNICHAR(((F1324*21)+G1324)*28+44032)</f>
        <v>까</v>
      </c>
      <c r="I1324" s="16" t="n">
        <f aca="false">IF(B1324=-1, 1, COUNTIF($A$2:$A$3000, H1324))</f>
        <v>1</v>
      </c>
      <c r="J1324" s="10" t="str">
        <f aca="false">_xlfn.CONCAT(A1324, ",",H1324,",",I1324)</f>
        <v>쑨,까,1</v>
      </c>
      <c r="K1324" s="16" t="n">
        <f aca="false">IF(B1324=-1,-1,VLOOKUP(C1324,$T$1:$V$20,3))</f>
        <v>13</v>
      </c>
      <c r="L1324" s="16" t="n">
        <f aca="false">IF(B1324=-1,-1,VLOOKUP(D1324,$Y$1:$AA$22,3))</f>
        <v>6</v>
      </c>
      <c r="N1324" s="10" t="str">
        <f aca="false">_xlfn.UNICHAR(((C1324*21)+G1324)*28+44032)</f>
        <v>싸</v>
      </c>
      <c r="O1324" s="10" t="str">
        <f aca="false">_xlfn.UNICHAR(((F1324*21)+D1324)*28+44032)</f>
        <v>꾸</v>
      </c>
      <c r="P1324" s="12" t="n">
        <f aca="false">COUNTIF($A$2:$A$3000, N1324) + COUNTIF($A$2:$A$3000, O1324)</f>
        <v>2</v>
      </c>
      <c r="Q1324" s="16" t="str">
        <f aca="false">IF(OR(B1324=-1,I1324=0, P1324&lt;&gt;2), "albhed_dummy", _xlfn.CONCAT("albhed ", RIGHT("  " &amp; K1324,2),", ", RIGHT("  " &amp; L1324,2), ", " ,"""",H1324,""", ", """",N1324,""", ","""",O1324,""""," ; ", A1324))</f>
        <v>albhed 13,  6, "까", "싸", "꾸" ; 쑨</v>
      </c>
    </row>
    <row r="1325" customFormat="false" ht="17.9" hidden="false" customHeight="true" outlineLevel="0" collapsed="false">
      <c r="A1325" s="16" t="s">
        <v>2190</v>
      </c>
      <c r="B1325" s="16" t="n">
        <f aca="false">IF(_xlfn.UNICODE(A1325)&lt;44032,-1,_xlfn.UNICODE(A1325)-44032)</f>
        <v>6252</v>
      </c>
      <c r="C1325" s="16" t="n">
        <f aca="false">IF(B1325=-1,-1,INT((B1325/28)/21))</f>
        <v>10</v>
      </c>
      <c r="D1325" s="16" t="n">
        <f aca="false">IF(B1325=-1, -1, MOD(INT(B1325/28),21))</f>
        <v>13</v>
      </c>
      <c r="E1325" s="16" t="n">
        <f aca="false">IF(B1325=-1, -1, VLOOKUP(MOD(B1325,28), $T$24:$U$52,2))</f>
        <v>8</v>
      </c>
      <c r="F1325" s="16" t="n">
        <f aca="false">IF($B1325=-1, -1, VLOOKUP(C1325,$T$1:$V$20, 2))</f>
        <v>1</v>
      </c>
      <c r="G1325" s="16" t="n">
        <f aca="false">IF($B1325=-1, -1, VLOOKUP(D1325,$Y$1:$Z$22,2))</f>
        <v>0</v>
      </c>
      <c r="H1325" s="16" t="str">
        <f aca="false">_xlfn.UNICHAR(((F1325*21)+G1325)*28+44032)</f>
        <v>까</v>
      </c>
      <c r="I1325" s="16" t="n">
        <f aca="false">IF(B1325=-1, 1, COUNTIF($A$2:$A$3000, H1325))</f>
        <v>1</v>
      </c>
      <c r="J1325" s="10" t="str">
        <f aca="false">_xlfn.CONCAT(A1325, ",",H1325,",",I1325)</f>
        <v>쑬,까,1</v>
      </c>
      <c r="K1325" s="16" t="n">
        <f aca="false">IF(B1325=-1,-1,VLOOKUP(C1325,$T$1:$V$20,3))</f>
        <v>13</v>
      </c>
      <c r="L1325" s="16" t="n">
        <f aca="false">IF(B1325=-1,-1,VLOOKUP(D1325,$Y$1:$AA$22,3))</f>
        <v>6</v>
      </c>
      <c r="N1325" s="10" t="str">
        <f aca="false">_xlfn.UNICHAR(((C1325*21)+G1325)*28+44032)</f>
        <v>싸</v>
      </c>
      <c r="O1325" s="10" t="str">
        <f aca="false">_xlfn.UNICHAR(((F1325*21)+D1325)*28+44032)</f>
        <v>꾸</v>
      </c>
      <c r="P1325" s="12" t="n">
        <f aca="false">COUNTIF($A$2:$A$3000, N1325) + COUNTIF($A$2:$A$3000, O1325)</f>
        <v>2</v>
      </c>
      <c r="Q1325" s="16" t="str">
        <f aca="false">IF(OR(B1325=-1,I1325=0, P1325&lt;&gt;2), "albhed_dummy", _xlfn.CONCAT("albhed ", RIGHT("  " &amp; K1325,2),", ", RIGHT("  " &amp; L1325,2), ", " ,"""",H1325,""", ", """",N1325,""", ","""",O1325,""""," ; ", A1325))</f>
        <v>albhed 13,  6, "까", "싸", "꾸" ; 쑬</v>
      </c>
    </row>
    <row r="1326" customFormat="false" ht="17.9" hidden="false" customHeight="true" outlineLevel="0" collapsed="false">
      <c r="A1326" s="16" t="s">
        <v>2191</v>
      </c>
      <c r="B1326" s="16" t="n">
        <f aca="false">IF(_xlfn.UNICODE(A1326)&lt;44032,-1,_xlfn.UNICODE(A1326)-44032)</f>
        <v>6260</v>
      </c>
      <c r="C1326" s="16" t="n">
        <f aca="false">IF(B1326=-1,-1,INT((B1326/28)/21))</f>
        <v>10</v>
      </c>
      <c r="D1326" s="16" t="n">
        <f aca="false">IF(B1326=-1, -1, MOD(INT(B1326/28),21))</f>
        <v>13</v>
      </c>
      <c r="E1326" s="16" t="n">
        <f aca="false">IF(B1326=-1, -1, VLOOKUP(MOD(B1326,28), $T$24:$U$52,2))</f>
        <v>16</v>
      </c>
      <c r="F1326" s="16" t="n">
        <f aca="false">IF($B1326=-1, -1, VLOOKUP(C1326,$T$1:$V$20, 2))</f>
        <v>1</v>
      </c>
      <c r="G1326" s="16" t="n">
        <f aca="false">IF($B1326=-1, -1, VLOOKUP(D1326,$Y$1:$Z$22,2))</f>
        <v>0</v>
      </c>
      <c r="H1326" s="16" t="str">
        <f aca="false">_xlfn.UNICHAR(((F1326*21)+G1326)*28+44032)</f>
        <v>까</v>
      </c>
      <c r="I1326" s="16" t="n">
        <f aca="false">IF(B1326=-1, 1, COUNTIF($A$2:$A$3000, H1326))</f>
        <v>1</v>
      </c>
      <c r="J1326" s="10" t="str">
        <f aca="false">_xlfn.CONCAT(A1326, ",",H1326,",",I1326)</f>
        <v>쑴,까,1</v>
      </c>
      <c r="K1326" s="16" t="n">
        <f aca="false">IF(B1326=-1,-1,VLOOKUP(C1326,$T$1:$V$20,3))</f>
        <v>13</v>
      </c>
      <c r="L1326" s="16" t="n">
        <f aca="false">IF(B1326=-1,-1,VLOOKUP(D1326,$Y$1:$AA$22,3))</f>
        <v>6</v>
      </c>
      <c r="N1326" s="10" t="str">
        <f aca="false">_xlfn.UNICHAR(((C1326*21)+G1326)*28+44032)</f>
        <v>싸</v>
      </c>
      <c r="O1326" s="10" t="str">
        <f aca="false">_xlfn.UNICHAR(((F1326*21)+D1326)*28+44032)</f>
        <v>꾸</v>
      </c>
      <c r="P1326" s="12" t="n">
        <f aca="false">COUNTIF($A$2:$A$3000, N1326) + COUNTIF($A$2:$A$3000, O1326)</f>
        <v>2</v>
      </c>
      <c r="Q1326" s="16" t="str">
        <f aca="false">IF(OR(B1326=-1,I1326=0, P1326&lt;&gt;2), "albhed_dummy", _xlfn.CONCAT("albhed ", RIGHT("  " &amp; K1326,2),", ", RIGHT("  " &amp; L1326,2), ", " ,"""",H1326,""", ", """",N1326,""", ","""",O1326,""""," ; ", A1326))</f>
        <v>albhed 13,  6, "까", "싸", "꾸" ; 쑴</v>
      </c>
    </row>
    <row r="1327" customFormat="false" ht="17.9" hidden="false" customHeight="true" outlineLevel="0" collapsed="false">
      <c r="A1327" s="16" t="s">
        <v>2192</v>
      </c>
      <c r="B1327" s="16" t="n">
        <f aca="false">IF(_xlfn.UNICODE(A1327)&lt;44032,-1,_xlfn.UNICODE(A1327)-44032)</f>
        <v>6261</v>
      </c>
      <c r="C1327" s="16" t="n">
        <f aca="false">IF(B1327=-1,-1,INT((B1327/28)/21))</f>
        <v>10</v>
      </c>
      <c r="D1327" s="16" t="n">
        <f aca="false">IF(B1327=-1, -1, MOD(INT(B1327/28),21))</f>
        <v>13</v>
      </c>
      <c r="E1327" s="16" t="n">
        <f aca="false">IF(B1327=-1, -1, VLOOKUP(MOD(B1327,28), $T$24:$U$52,2))</f>
        <v>17</v>
      </c>
      <c r="F1327" s="16" t="n">
        <f aca="false">IF($B1327=-1, -1, VLOOKUP(C1327,$T$1:$V$20, 2))</f>
        <v>1</v>
      </c>
      <c r="G1327" s="16" t="n">
        <f aca="false">IF($B1327=-1, -1, VLOOKUP(D1327,$Y$1:$Z$22,2))</f>
        <v>0</v>
      </c>
      <c r="H1327" s="16" t="str">
        <f aca="false">_xlfn.UNICHAR(((F1327*21)+G1327)*28+44032)</f>
        <v>까</v>
      </c>
      <c r="I1327" s="16" t="n">
        <f aca="false">IF(B1327=-1, 1, COUNTIF($A$2:$A$3000, H1327))</f>
        <v>1</v>
      </c>
      <c r="J1327" s="10" t="str">
        <f aca="false">_xlfn.CONCAT(A1327, ",",H1327,",",I1327)</f>
        <v>쑵,까,1</v>
      </c>
      <c r="K1327" s="16" t="n">
        <f aca="false">IF(B1327=-1,-1,VLOOKUP(C1327,$T$1:$V$20,3))</f>
        <v>13</v>
      </c>
      <c r="L1327" s="16" t="n">
        <f aca="false">IF(B1327=-1,-1,VLOOKUP(D1327,$Y$1:$AA$22,3))</f>
        <v>6</v>
      </c>
      <c r="N1327" s="10" t="str">
        <f aca="false">_xlfn.UNICHAR(((C1327*21)+G1327)*28+44032)</f>
        <v>싸</v>
      </c>
      <c r="O1327" s="10" t="str">
        <f aca="false">_xlfn.UNICHAR(((F1327*21)+D1327)*28+44032)</f>
        <v>꾸</v>
      </c>
      <c r="P1327" s="12" t="n">
        <f aca="false">COUNTIF($A$2:$A$3000, N1327) + COUNTIF($A$2:$A$3000, O1327)</f>
        <v>2</v>
      </c>
      <c r="Q1327" s="16" t="str">
        <f aca="false">IF(OR(B1327=-1,I1327=0, P1327&lt;&gt;2), "albhed_dummy", _xlfn.CONCAT("albhed ", RIGHT("  " &amp; K1327,2),", ", RIGHT("  " &amp; L1327,2), ", " ,"""",H1327,""", ", """",N1327,""", ","""",O1327,""""," ; ", A1327))</f>
        <v>albhed 13,  6, "까", "싸", "꾸" ; 쑵</v>
      </c>
    </row>
    <row r="1328" customFormat="false" ht="17.9" hidden="false" customHeight="true" outlineLevel="0" collapsed="false">
      <c r="A1328" s="16" t="s">
        <v>2193</v>
      </c>
      <c r="B1328" s="16" t="n">
        <f aca="false">IF(_xlfn.UNICODE(A1328)&lt;44032,-1,_xlfn.UNICODE(A1328)-44032)</f>
        <v>6265</v>
      </c>
      <c r="C1328" s="16" t="n">
        <f aca="false">IF(B1328=-1,-1,INT((B1328/28)/21))</f>
        <v>10</v>
      </c>
      <c r="D1328" s="16" t="n">
        <f aca="false">IF(B1328=-1, -1, MOD(INT(B1328/28),21))</f>
        <v>13</v>
      </c>
      <c r="E1328" s="16" t="n">
        <f aca="false">IF(B1328=-1, -1, VLOOKUP(MOD(B1328,28), $T$24:$U$52,2))</f>
        <v>21</v>
      </c>
      <c r="F1328" s="16" t="n">
        <f aca="false">IF($B1328=-1, -1, VLOOKUP(C1328,$T$1:$V$20, 2))</f>
        <v>1</v>
      </c>
      <c r="G1328" s="16" t="n">
        <f aca="false">IF($B1328=-1, -1, VLOOKUP(D1328,$Y$1:$Z$22,2))</f>
        <v>0</v>
      </c>
      <c r="H1328" s="16" t="str">
        <f aca="false">_xlfn.UNICHAR(((F1328*21)+G1328)*28+44032)</f>
        <v>까</v>
      </c>
      <c r="I1328" s="16" t="n">
        <f aca="false">IF(B1328=-1, 1, COUNTIF($A$2:$A$3000, H1328))</f>
        <v>1</v>
      </c>
      <c r="J1328" s="10" t="str">
        <f aca="false">_xlfn.CONCAT(A1328, ",",H1328,",",I1328)</f>
        <v>쑹,까,1</v>
      </c>
      <c r="K1328" s="16" t="n">
        <f aca="false">IF(B1328=-1,-1,VLOOKUP(C1328,$T$1:$V$20,3))</f>
        <v>13</v>
      </c>
      <c r="L1328" s="16" t="n">
        <f aca="false">IF(B1328=-1,-1,VLOOKUP(D1328,$Y$1:$AA$22,3))</f>
        <v>6</v>
      </c>
      <c r="N1328" s="10" t="str">
        <f aca="false">_xlfn.UNICHAR(((C1328*21)+G1328)*28+44032)</f>
        <v>싸</v>
      </c>
      <c r="O1328" s="10" t="str">
        <f aca="false">_xlfn.UNICHAR(((F1328*21)+D1328)*28+44032)</f>
        <v>꾸</v>
      </c>
      <c r="P1328" s="12" t="n">
        <f aca="false">COUNTIF($A$2:$A$3000, N1328) + COUNTIF($A$2:$A$3000, O1328)</f>
        <v>2</v>
      </c>
      <c r="Q1328" s="16" t="str">
        <f aca="false">IF(OR(B1328=-1,I1328=0, P1328&lt;&gt;2), "albhed_dummy", _xlfn.CONCAT("albhed ", RIGHT("  " &amp; K1328,2),", ", RIGHT("  " &amp; L1328,2), ", " ,"""",H1328,""", ", """",N1328,""", ","""",O1328,""""," ; ", A1328))</f>
        <v>albhed 13,  6, "까", "싸", "꾸" ; 쑹</v>
      </c>
    </row>
    <row r="1329" customFormat="false" ht="17.9" hidden="false" customHeight="true" outlineLevel="0" collapsed="false">
      <c r="A1329" s="16" t="s">
        <v>2194</v>
      </c>
      <c r="B1329" s="16" t="n">
        <f aca="false">IF(_xlfn.UNICODE(A1329)&lt;44032,-1,_xlfn.UNICODE(A1329)-44032)</f>
        <v>6272</v>
      </c>
      <c r="C1329" s="16" t="n">
        <f aca="false">IF(B1329=-1,-1,INT((B1329/28)/21))</f>
        <v>10</v>
      </c>
      <c r="D1329" s="16" t="n">
        <f aca="false">IF(B1329=-1, -1, MOD(INT(B1329/28),21))</f>
        <v>14</v>
      </c>
      <c r="E1329" s="16" t="n">
        <f aca="false">IF(B1329=-1, -1, VLOOKUP(MOD(B1329,28), $T$24:$U$52,2))</f>
        <v>0</v>
      </c>
      <c r="F1329" s="16" t="n">
        <f aca="false">IF($B1329=-1, -1, VLOOKUP(C1329,$T$1:$V$20, 2))</f>
        <v>1</v>
      </c>
      <c r="G1329" s="16" t="n">
        <f aca="false">IF($B1329=-1, -1, VLOOKUP(D1329,$Y$1:$Z$22,2))</f>
        <v>20</v>
      </c>
      <c r="H1329" s="16" t="str">
        <f aca="false">_xlfn.UNICHAR(((F1329*21)+G1329)*28+44032)</f>
        <v>끼</v>
      </c>
      <c r="I1329" s="16" t="n">
        <f aca="false">IF(B1329=-1, 1, COUNTIF($A$2:$A$3000, H1329))</f>
        <v>1</v>
      </c>
      <c r="J1329" s="10" t="str">
        <f aca="false">_xlfn.CONCAT(A1329, ",",H1329,",",I1329)</f>
        <v>쒀,끼,1</v>
      </c>
      <c r="K1329" s="16" t="n">
        <f aca="false">IF(B1329=-1,-1,VLOOKUP(C1329,$T$1:$V$20,3))</f>
        <v>13</v>
      </c>
      <c r="L1329" s="16" t="n">
        <f aca="false">IF(B1329=-1,-1,VLOOKUP(D1329,$Y$1:$AA$22,3))</f>
        <v>16</v>
      </c>
      <c r="N1329" s="10" t="str">
        <f aca="false">_xlfn.UNICHAR(((C1329*21)+G1329)*28+44032)</f>
        <v>씨</v>
      </c>
      <c r="O1329" s="10" t="str">
        <f aca="false">_xlfn.UNICHAR(((F1329*21)+D1329)*28+44032)</f>
        <v>꿔</v>
      </c>
      <c r="P1329" s="12" t="n">
        <f aca="false">COUNTIF($A$2:$A$3000, N1329) + COUNTIF($A$2:$A$3000, O1329)</f>
        <v>2</v>
      </c>
      <c r="Q1329" s="16" t="str">
        <f aca="false">IF(OR(B1329=-1,I1329=0, P1329&lt;&gt;2), "albhed_dummy", _xlfn.CONCAT("albhed ", RIGHT("  " &amp; K1329,2),", ", RIGHT("  " &amp; L1329,2), ", " ,"""",H1329,""", ", """",N1329,""", ","""",O1329,""""," ; ", A1329))</f>
        <v>albhed 13, 16, "끼", "씨", "꿔" ; 쒀</v>
      </c>
    </row>
    <row r="1330" customFormat="false" ht="17.9" hidden="false" customHeight="true" outlineLevel="0" collapsed="false">
      <c r="A1330" s="16" t="s">
        <v>2195</v>
      </c>
      <c r="B1330" s="16" t="n">
        <f aca="false">IF(_xlfn.UNICODE(A1330)&lt;44032,-1,_xlfn.UNICODE(A1330)-44032)</f>
        <v>6292</v>
      </c>
      <c r="C1330" s="16" t="n">
        <f aca="false">IF(B1330=-1,-1,INT((B1330/28)/21))</f>
        <v>10</v>
      </c>
      <c r="D1330" s="16" t="n">
        <f aca="false">IF(B1330=-1, -1, MOD(INT(B1330/28),21))</f>
        <v>14</v>
      </c>
      <c r="E1330" s="16" t="n">
        <f aca="false">IF(B1330=-1, -1, VLOOKUP(MOD(B1330,28), $T$24:$U$52,2))</f>
        <v>19</v>
      </c>
      <c r="F1330" s="16" t="n">
        <f aca="false">IF($B1330=-1, -1, VLOOKUP(C1330,$T$1:$V$20, 2))</f>
        <v>1</v>
      </c>
      <c r="G1330" s="16" t="n">
        <f aca="false">IF($B1330=-1, -1, VLOOKUP(D1330,$Y$1:$Z$22,2))</f>
        <v>20</v>
      </c>
      <c r="H1330" s="16" t="str">
        <f aca="false">_xlfn.UNICHAR(((F1330*21)+G1330)*28+44032)</f>
        <v>끼</v>
      </c>
      <c r="I1330" s="16" t="n">
        <f aca="false">IF(B1330=-1, 1, COUNTIF($A$2:$A$3000, H1330))</f>
        <v>1</v>
      </c>
      <c r="J1330" s="10" t="str">
        <f aca="false">_xlfn.CONCAT(A1330, ",",H1330,",",I1330)</f>
        <v>쒔,끼,1</v>
      </c>
      <c r="K1330" s="16" t="n">
        <f aca="false">IF(B1330=-1,-1,VLOOKUP(C1330,$T$1:$V$20,3))</f>
        <v>13</v>
      </c>
      <c r="L1330" s="16" t="n">
        <f aca="false">IF(B1330=-1,-1,VLOOKUP(D1330,$Y$1:$AA$22,3))</f>
        <v>16</v>
      </c>
      <c r="N1330" s="10" t="str">
        <f aca="false">_xlfn.UNICHAR(((C1330*21)+G1330)*28+44032)</f>
        <v>씨</v>
      </c>
      <c r="O1330" s="10" t="str">
        <f aca="false">_xlfn.UNICHAR(((F1330*21)+D1330)*28+44032)</f>
        <v>꿔</v>
      </c>
      <c r="P1330" s="12" t="n">
        <f aca="false">COUNTIF($A$2:$A$3000, N1330) + COUNTIF($A$2:$A$3000, O1330)</f>
        <v>2</v>
      </c>
      <c r="Q1330" s="16" t="str">
        <f aca="false">IF(OR(B1330=-1,I1330=0, P1330&lt;&gt;2), "albhed_dummy", _xlfn.CONCAT("albhed ", RIGHT("  " &amp; K1330,2),", ", RIGHT("  " &amp; L1330,2), ", " ,"""",H1330,""", ", """",N1330,""", ","""",O1330,""""," ; ", A1330))</f>
        <v>albhed 13, 16, "끼", "씨", "꿔" ; 쒔</v>
      </c>
    </row>
    <row r="1331" customFormat="false" ht="17.9" hidden="false" customHeight="true" outlineLevel="0" collapsed="false">
      <c r="A1331" s="16" t="s">
        <v>2196</v>
      </c>
      <c r="B1331" s="16" t="n">
        <f aca="false">IF(_xlfn.UNICODE(A1331)&lt;44032,-1,_xlfn.UNICODE(A1331)-44032)</f>
        <v>6300</v>
      </c>
      <c r="C1331" s="16" t="n">
        <f aca="false">IF(B1331=-1,-1,INT((B1331/28)/21))</f>
        <v>10</v>
      </c>
      <c r="D1331" s="16" t="n">
        <f aca="false">IF(B1331=-1, -1, MOD(INT(B1331/28),21))</f>
        <v>15</v>
      </c>
      <c r="E1331" s="16" t="n">
        <f aca="false">IF(B1331=-1, -1, VLOOKUP(MOD(B1331,28), $T$24:$U$52,2))</f>
        <v>0</v>
      </c>
      <c r="F1331" s="16" t="n">
        <f aca="false">IF($B1331=-1, -1, VLOOKUP(C1331,$T$1:$V$20, 2))</f>
        <v>1</v>
      </c>
      <c r="G1331" s="16" t="n">
        <f aca="false">IF($B1331=-1, -1, VLOOKUP(D1331,$Y$1:$Z$22,2))</f>
        <v>20</v>
      </c>
      <c r="H1331" s="16" t="str">
        <f aca="false">_xlfn.UNICHAR(((F1331*21)+G1331)*28+44032)</f>
        <v>끼</v>
      </c>
      <c r="I1331" s="16" t="n">
        <f aca="false">IF(B1331=-1, 1, COUNTIF($A$2:$A$3000, H1331))</f>
        <v>1</v>
      </c>
      <c r="J1331" s="10" t="str">
        <f aca="false">_xlfn.CONCAT(A1331, ",",H1331,",",I1331)</f>
        <v>쒜,끼,1</v>
      </c>
      <c r="K1331" s="16" t="n">
        <f aca="false">IF(B1331=-1,-1,VLOOKUP(C1331,$T$1:$V$20,3))</f>
        <v>13</v>
      </c>
      <c r="L1331" s="16" t="n">
        <f aca="false">IF(B1331=-1,-1,VLOOKUP(D1331,$Y$1:$AA$22,3))</f>
        <v>16</v>
      </c>
      <c r="N1331" s="10" t="str">
        <f aca="false">_xlfn.UNICHAR(((C1331*21)+G1331)*28+44032)</f>
        <v>씨</v>
      </c>
      <c r="O1331" s="10" t="str">
        <f aca="false">_xlfn.UNICHAR(((F1331*21)+D1331)*28+44032)</f>
        <v>꿰</v>
      </c>
      <c r="P1331" s="12" t="n">
        <f aca="false">COUNTIF($A$2:$A$3000, N1331) + COUNTIF($A$2:$A$3000, O1331)</f>
        <v>2</v>
      </c>
      <c r="Q1331" s="16" t="str">
        <f aca="false">IF(OR(B1331=-1,I1331=0, P1331&lt;&gt;2), "albhed_dummy", _xlfn.CONCAT("albhed ", RIGHT("  " &amp; K1331,2),", ", RIGHT("  " &amp; L1331,2), ", " ,"""",H1331,""", ", """",N1331,""", ","""",O1331,""""," ; ", A1331))</f>
        <v>albhed 13, 16, "끼", "씨", "꿰" ; 쒜</v>
      </c>
    </row>
    <row r="1332" customFormat="false" ht="17.9" hidden="false" customHeight="true" outlineLevel="0" collapsed="false">
      <c r="A1332" s="16" t="s">
        <v>2197</v>
      </c>
      <c r="B1332" s="16" t="n">
        <f aca="false">IF(_xlfn.UNICODE(A1332)&lt;44032,-1,_xlfn.UNICODE(A1332)-44032)</f>
        <v>6328</v>
      </c>
      <c r="C1332" s="16" t="n">
        <f aca="false">IF(B1332=-1,-1,INT((B1332/28)/21))</f>
        <v>10</v>
      </c>
      <c r="D1332" s="16" t="n">
        <f aca="false">IF(B1332=-1, -1, MOD(INT(B1332/28),21))</f>
        <v>16</v>
      </c>
      <c r="E1332" s="16" t="n">
        <f aca="false">IF(B1332=-1, -1, VLOOKUP(MOD(B1332,28), $T$24:$U$52,2))</f>
        <v>0</v>
      </c>
      <c r="F1332" s="16" t="n">
        <f aca="false">IF($B1332=-1, -1, VLOOKUP(C1332,$T$1:$V$20, 2))</f>
        <v>1</v>
      </c>
      <c r="G1332" s="16" t="n">
        <f aca="false">IF($B1332=-1, -1, VLOOKUP(D1332,$Y$1:$Z$22,2))</f>
        <v>20</v>
      </c>
      <c r="H1332" s="16" t="str">
        <f aca="false">_xlfn.UNICHAR(((F1332*21)+G1332)*28+44032)</f>
        <v>끼</v>
      </c>
      <c r="I1332" s="16" t="n">
        <f aca="false">IF(B1332=-1, 1, COUNTIF($A$2:$A$3000, H1332))</f>
        <v>1</v>
      </c>
      <c r="J1332" s="10" t="str">
        <f aca="false">_xlfn.CONCAT(A1332, ",",H1332,",",I1332)</f>
        <v>쒸,끼,1</v>
      </c>
      <c r="K1332" s="16" t="n">
        <f aca="false">IF(B1332=-1,-1,VLOOKUP(C1332,$T$1:$V$20,3))</f>
        <v>13</v>
      </c>
      <c r="L1332" s="16" t="n">
        <f aca="false">IF(B1332=-1,-1,VLOOKUP(D1332,$Y$1:$AA$22,3))</f>
        <v>22</v>
      </c>
      <c r="N1332" s="10" t="str">
        <f aca="false">_xlfn.UNICHAR(((C1332*21)+G1332)*28+44032)</f>
        <v>씨</v>
      </c>
      <c r="O1332" s="10" t="str">
        <f aca="false">_xlfn.UNICHAR(((F1332*21)+D1332)*28+44032)</f>
        <v>뀌</v>
      </c>
      <c r="P1332" s="12" t="n">
        <f aca="false">COUNTIF($A$2:$A$3000, N1332) + COUNTIF($A$2:$A$3000, O1332)</f>
        <v>2</v>
      </c>
      <c r="Q1332" s="16" t="str">
        <f aca="false">IF(OR(B1332=-1,I1332=0, P1332&lt;&gt;2), "albhed_dummy", _xlfn.CONCAT("albhed ", RIGHT("  " &amp; K1332,2),", ", RIGHT("  " &amp; L1332,2), ", " ,"""",H1332,""", ", """",N1332,""", ","""",O1332,""""," ; ", A1332))</f>
        <v>albhed 13, 22, "끼", "씨", "뀌" ; 쒸</v>
      </c>
    </row>
    <row r="1333" customFormat="false" ht="17.9" hidden="false" customHeight="true" outlineLevel="0" collapsed="false">
      <c r="A1333" s="16" t="s">
        <v>2198</v>
      </c>
      <c r="B1333" s="16" t="n">
        <f aca="false">IF(_xlfn.UNICODE(A1333)&lt;44032,-1,_xlfn.UNICODE(A1333)-44032)</f>
        <v>6332</v>
      </c>
      <c r="C1333" s="16" t="n">
        <f aca="false">IF(B1333=-1,-1,INT((B1333/28)/21))</f>
        <v>10</v>
      </c>
      <c r="D1333" s="16" t="n">
        <f aca="false">IF(B1333=-1, -1, MOD(INT(B1333/28),21))</f>
        <v>16</v>
      </c>
      <c r="E1333" s="16" t="n">
        <f aca="false">IF(B1333=-1, -1, VLOOKUP(MOD(B1333,28), $T$24:$U$52,2))</f>
        <v>4</v>
      </c>
      <c r="F1333" s="16" t="n">
        <f aca="false">IF($B1333=-1, -1, VLOOKUP(C1333,$T$1:$V$20, 2))</f>
        <v>1</v>
      </c>
      <c r="G1333" s="16" t="n">
        <f aca="false">IF($B1333=-1, -1, VLOOKUP(D1333,$Y$1:$Z$22,2))</f>
        <v>20</v>
      </c>
      <c r="H1333" s="16" t="str">
        <f aca="false">_xlfn.UNICHAR(((F1333*21)+G1333)*28+44032)</f>
        <v>끼</v>
      </c>
      <c r="I1333" s="16" t="n">
        <f aca="false">IF(B1333=-1, 1, COUNTIF($A$2:$A$3000, H1333))</f>
        <v>1</v>
      </c>
      <c r="J1333" s="10" t="str">
        <f aca="false">_xlfn.CONCAT(A1333, ",",H1333,",",I1333)</f>
        <v>쒼,끼,1</v>
      </c>
      <c r="K1333" s="16" t="n">
        <f aca="false">IF(B1333=-1,-1,VLOOKUP(C1333,$T$1:$V$20,3))</f>
        <v>13</v>
      </c>
      <c r="L1333" s="16" t="n">
        <f aca="false">IF(B1333=-1,-1,VLOOKUP(D1333,$Y$1:$AA$22,3))</f>
        <v>22</v>
      </c>
      <c r="N1333" s="10" t="str">
        <f aca="false">_xlfn.UNICHAR(((C1333*21)+G1333)*28+44032)</f>
        <v>씨</v>
      </c>
      <c r="O1333" s="10" t="str">
        <f aca="false">_xlfn.UNICHAR(((F1333*21)+D1333)*28+44032)</f>
        <v>뀌</v>
      </c>
      <c r="P1333" s="12" t="n">
        <f aca="false">COUNTIF($A$2:$A$3000, N1333) + COUNTIF($A$2:$A$3000, O1333)</f>
        <v>2</v>
      </c>
      <c r="Q1333" s="16" t="str">
        <f aca="false">IF(OR(B1333=-1,I1333=0, P1333&lt;&gt;2), "albhed_dummy", _xlfn.CONCAT("albhed ", RIGHT("  " &amp; K1333,2),", ", RIGHT("  " &amp; L1333,2), ", " ,"""",H1333,""", ", """",N1333,""", ","""",O1333,""""," ; ", A1333))</f>
        <v>albhed 13, 22, "끼", "씨", "뀌" ; 쒼</v>
      </c>
    </row>
    <row r="1334" customFormat="false" ht="17.9" hidden="false" customHeight="true" outlineLevel="0" collapsed="false">
      <c r="A1334" s="16" t="s">
        <v>2199</v>
      </c>
      <c r="B1334" s="16" t="n">
        <f aca="false">IF(_xlfn.UNICODE(A1334)&lt;44032,-1,_xlfn.UNICODE(A1334)-44032)</f>
        <v>6377</v>
      </c>
      <c r="C1334" s="16" t="n">
        <f aca="false">IF(B1334=-1,-1,INT((B1334/28)/21))</f>
        <v>10</v>
      </c>
      <c r="D1334" s="16" t="n">
        <f aca="false">IF(B1334=-1, -1, MOD(INT(B1334/28),21))</f>
        <v>17</v>
      </c>
      <c r="E1334" s="16" t="n">
        <f aca="false">IF(B1334=-1, -1, VLOOKUP(MOD(B1334,28), $T$24:$U$52,2))</f>
        <v>21</v>
      </c>
      <c r="F1334" s="16" t="n">
        <f aca="false">IF($B1334=-1, -1, VLOOKUP(C1334,$T$1:$V$20, 2))</f>
        <v>1</v>
      </c>
      <c r="G1334" s="16" t="n">
        <f aca="false">IF($B1334=-1, -1, VLOOKUP(D1334,$Y$1:$Z$22,2))</f>
        <v>2</v>
      </c>
      <c r="H1334" s="16" t="str">
        <f aca="false">_xlfn.UNICHAR(((F1334*21)+G1334)*28+44032)</f>
        <v>꺄</v>
      </c>
      <c r="I1334" s="16" t="n">
        <f aca="false">IF(B1334=-1, 1, COUNTIF($A$2:$A$3000, H1334))</f>
        <v>1</v>
      </c>
      <c r="J1334" s="10" t="str">
        <f aca="false">_xlfn.CONCAT(A1334, ",",H1334,",",I1334)</f>
        <v>쓩,꺄,1</v>
      </c>
      <c r="K1334" s="16" t="n">
        <f aca="false">IF(B1334=-1,-1,VLOOKUP(C1334,$T$1:$V$20,3))</f>
        <v>13</v>
      </c>
      <c r="L1334" s="16" t="n">
        <f aca="false">IF(B1334=-1,-1,VLOOKUP(D1334,$Y$1:$AA$22,3))</f>
        <v>6</v>
      </c>
      <c r="N1334" s="10" t="str">
        <f aca="false">_xlfn.UNICHAR(((C1334*21)+G1334)*28+44032)</f>
        <v>쌰</v>
      </c>
      <c r="O1334" s="10" t="str">
        <f aca="false">_xlfn.UNICHAR(((F1334*21)+D1334)*28+44032)</f>
        <v>뀨</v>
      </c>
      <c r="P1334" s="12" t="n">
        <f aca="false">COUNTIF($A$2:$A$3000, N1334) + COUNTIF($A$2:$A$3000, O1334)</f>
        <v>1</v>
      </c>
      <c r="Q1334" s="16" t="str">
        <f aca="false">IF(OR(B1334=-1,I1334=0, P1334&lt;&gt;2), "albhed_dummy", _xlfn.CONCAT("albhed ", RIGHT("  " &amp; K1334,2),", ", RIGHT("  " &amp; L1334,2), ", " ,"""",H1334,""", ", """",N1334,""", ","""",O1334,""""," ; ", A1334))</f>
        <v>albhed_dummy</v>
      </c>
    </row>
    <row r="1335" customFormat="false" ht="17.9" hidden="false" customHeight="true" outlineLevel="0" collapsed="false">
      <c r="A1335" s="16" t="s">
        <v>2200</v>
      </c>
      <c r="B1335" s="16" t="n">
        <f aca="false">IF(_xlfn.UNICODE(A1335)&lt;44032,-1,_xlfn.UNICODE(A1335)-44032)</f>
        <v>6384</v>
      </c>
      <c r="C1335" s="16" t="n">
        <f aca="false">IF(B1335=-1,-1,INT((B1335/28)/21))</f>
        <v>10</v>
      </c>
      <c r="D1335" s="16" t="n">
        <f aca="false">IF(B1335=-1, -1, MOD(INT(B1335/28),21))</f>
        <v>18</v>
      </c>
      <c r="E1335" s="16" t="n">
        <f aca="false">IF(B1335=-1, -1, VLOOKUP(MOD(B1335,28), $T$24:$U$52,2))</f>
        <v>0</v>
      </c>
      <c r="F1335" s="16" t="n">
        <f aca="false">IF($B1335=-1, -1, VLOOKUP(C1335,$T$1:$V$20, 2))</f>
        <v>1</v>
      </c>
      <c r="G1335" s="16" t="n">
        <f aca="false">IF($B1335=-1, -1, VLOOKUP(D1335,$Y$1:$Z$22,2))</f>
        <v>5</v>
      </c>
      <c r="H1335" s="16" t="str">
        <f aca="false">_xlfn.UNICHAR(((F1335*21)+G1335)*28+44032)</f>
        <v>께</v>
      </c>
      <c r="I1335" s="16" t="n">
        <f aca="false">IF(B1335=-1, 1, COUNTIF($A$2:$A$3000, H1335))</f>
        <v>1</v>
      </c>
      <c r="J1335" s="10" t="str">
        <f aca="false">_xlfn.CONCAT(A1335, ",",H1335,",",I1335)</f>
        <v>쓰,께,1</v>
      </c>
      <c r="K1335" s="16" t="n">
        <f aca="false">IF(B1335=-1,-1,VLOOKUP(C1335,$T$1:$V$20,3))</f>
        <v>13</v>
      </c>
      <c r="L1335" s="16" t="n">
        <f aca="false">IF(B1335=-1,-1,VLOOKUP(D1335,$Y$1:$AA$22,3))</f>
        <v>18</v>
      </c>
      <c r="N1335" s="10" t="str">
        <f aca="false">_xlfn.UNICHAR(((C1335*21)+G1335)*28+44032)</f>
        <v>쎄</v>
      </c>
      <c r="O1335" s="10" t="str">
        <f aca="false">_xlfn.UNICHAR(((F1335*21)+D1335)*28+44032)</f>
        <v>끄</v>
      </c>
      <c r="P1335" s="12" t="n">
        <f aca="false">COUNTIF($A$2:$A$3000, N1335) + COUNTIF($A$2:$A$3000, O1335)</f>
        <v>2</v>
      </c>
      <c r="Q1335" s="16" t="str">
        <f aca="false">IF(OR(B1335=-1,I1335=0, P1335&lt;&gt;2), "albhed_dummy", _xlfn.CONCAT("albhed ", RIGHT("  " &amp; K1335,2),", ", RIGHT("  " &amp; L1335,2), ", " ,"""",H1335,""", ", """",N1335,""", ","""",O1335,""""," ; ", A1335))</f>
        <v>albhed 13, 18, "께", "쎄", "끄" ; 쓰</v>
      </c>
    </row>
    <row r="1336" customFormat="false" ht="17.9" hidden="false" customHeight="true" outlineLevel="0" collapsed="false">
      <c r="A1336" s="16" t="s">
        <v>2201</v>
      </c>
      <c r="B1336" s="16" t="n">
        <f aca="false">IF(_xlfn.UNICODE(A1336)&lt;44032,-1,_xlfn.UNICODE(A1336)-44032)</f>
        <v>6385</v>
      </c>
      <c r="C1336" s="16" t="n">
        <f aca="false">IF(B1336=-1,-1,INT((B1336/28)/21))</f>
        <v>10</v>
      </c>
      <c r="D1336" s="16" t="n">
        <f aca="false">IF(B1336=-1, -1, MOD(INT(B1336/28),21))</f>
        <v>18</v>
      </c>
      <c r="E1336" s="16" t="n">
        <f aca="false">IF(B1336=-1, -1, VLOOKUP(MOD(B1336,28), $T$24:$U$52,2))</f>
        <v>1</v>
      </c>
      <c r="F1336" s="16" t="n">
        <f aca="false">IF($B1336=-1, -1, VLOOKUP(C1336,$T$1:$V$20, 2))</f>
        <v>1</v>
      </c>
      <c r="G1336" s="16" t="n">
        <f aca="false">IF($B1336=-1, -1, VLOOKUP(D1336,$Y$1:$Z$22,2))</f>
        <v>5</v>
      </c>
      <c r="H1336" s="16" t="str">
        <f aca="false">_xlfn.UNICHAR(((F1336*21)+G1336)*28+44032)</f>
        <v>께</v>
      </c>
      <c r="I1336" s="16" t="n">
        <f aca="false">IF(B1336=-1, 1, COUNTIF($A$2:$A$3000, H1336))</f>
        <v>1</v>
      </c>
      <c r="J1336" s="10" t="str">
        <f aca="false">_xlfn.CONCAT(A1336, ",",H1336,",",I1336)</f>
        <v>쓱,께,1</v>
      </c>
      <c r="K1336" s="16" t="n">
        <f aca="false">IF(B1336=-1,-1,VLOOKUP(C1336,$T$1:$V$20,3))</f>
        <v>13</v>
      </c>
      <c r="L1336" s="16" t="n">
        <f aca="false">IF(B1336=-1,-1,VLOOKUP(D1336,$Y$1:$AA$22,3))</f>
        <v>18</v>
      </c>
      <c r="N1336" s="10" t="str">
        <f aca="false">_xlfn.UNICHAR(((C1336*21)+G1336)*28+44032)</f>
        <v>쎄</v>
      </c>
      <c r="O1336" s="10" t="str">
        <f aca="false">_xlfn.UNICHAR(((F1336*21)+D1336)*28+44032)</f>
        <v>끄</v>
      </c>
      <c r="P1336" s="12" t="n">
        <f aca="false">COUNTIF($A$2:$A$3000, N1336) + COUNTIF($A$2:$A$3000, O1336)</f>
        <v>2</v>
      </c>
      <c r="Q1336" s="16" t="str">
        <f aca="false">IF(OR(B1336=-1,I1336=0, P1336&lt;&gt;2), "albhed_dummy", _xlfn.CONCAT("albhed ", RIGHT("  " &amp; K1336,2),", ", RIGHT("  " &amp; L1336,2), ", " ,"""",H1336,""", ", """",N1336,""", ","""",O1336,""""," ; ", A1336))</f>
        <v>albhed 13, 18, "께", "쎄", "끄" ; 쓱</v>
      </c>
    </row>
    <row r="1337" customFormat="false" ht="17.9" hidden="false" customHeight="true" outlineLevel="0" collapsed="false">
      <c r="A1337" s="16" t="s">
        <v>2202</v>
      </c>
      <c r="B1337" s="16" t="n">
        <f aca="false">IF(_xlfn.UNICODE(A1337)&lt;44032,-1,_xlfn.UNICODE(A1337)-44032)</f>
        <v>6388</v>
      </c>
      <c r="C1337" s="16" t="n">
        <f aca="false">IF(B1337=-1,-1,INT((B1337/28)/21))</f>
        <v>10</v>
      </c>
      <c r="D1337" s="16" t="n">
        <f aca="false">IF(B1337=-1, -1, MOD(INT(B1337/28),21))</f>
        <v>18</v>
      </c>
      <c r="E1337" s="16" t="n">
        <f aca="false">IF(B1337=-1, -1, VLOOKUP(MOD(B1337,28), $T$24:$U$52,2))</f>
        <v>4</v>
      </c>
      <c r="F1337" s="16" t="n">
        <f aca="false">IF($B1337=-1, -1, VLOOKUP(C1337,$T$1:$V$20, 2))</f>
        <v>1</v>
      </c>
      <c r="G1337" s="16" t="n">
        <f aca="false">IF($B1337=-1, -1, VLOOKUP(D1337,$Y$1:$Z$22,2))</f>
        <v>5</v>
      </c>
      <c r="H1337" s="16" t="str">
        <f aca="false">_xlfn.UNICHAR(((F1337*21)+G1337)*28+44032)</f>
        <v>께</v>
      </c>
      <c r="I1337" s="16" t="n">
        <f aca="false">IF(B1337=-1, 1, COUNTIF($A$2:$A$3000, H1337))</f>
        <v>1</v>
      </c>
      <c r="J1337" s="10" t="str">
        <f aca="false">_xlfn.CONCAT(A1337, ",",H1337,",",I1337)</f>
        <v>쓴,께,1</v>
      </c>
      <c r="K1337" s="16" t="n">
        <f aca="false">IF(B1337=-1,-1,VLOOKUP(C1337,$T$1:$V$20,3))</f>
        <v>13</v>
      </c>
      <c r="L1337" s="16" t="n">
        <f aca="false">IF(B1337=-1,-1,VLOOKUP(D1337,$Y$1:$AA$22,3))</f>
        <v>18</v>
      </c>
      <c r="N1337" s="10" t="str">
        <f aca="false">_xlfn.UNICHAR(((C1337*21)+G1337)*28+44032)</f>
        <v>쎄</v>
      </c>
      <c r="O1337" s="10" t="str">
        <f aca="false">_xlfn.UNICHAR(((F1337*21)+D1337)*28+44032)</f>
        <v>끄</v>
      </c>
      <c r="P1337" s="12" t="n">
        <f aca="false">COUNTIF($A$2:$A$3000, N1337) + COUNTIF($A$2:$A$3000, O1337)</f>
        <v>2</v>
      </c>
      <c r="Q1337" s="16" t="str">
        <f aca="false">IF(OR(B1337=-1,I1337=0, P1337&lt;&gt;2), "albhed_dummy", _xlfn.CONCAT("albhed ", RIGHT("  " &amp; K1337,2),", ", RIGHT("  " &amp; L1337,2), ", " ,"""",H1337,""", ", """",N1337,""", ","""",O1337,""""," ; ", A1337))</f>
        <v>albhed 13, 18, "께", "쎄", "끄" ; 쓴</v>
      </c>
    </row>
    <row r="1338" customFormat="false" ht="17.9" hidden="false" customHeight="true" outlineLevel="0" collapsed="false">
      <c r="A1338" s="16" t="s">
        <v>2203</v>
      </c>
      <c r="B1338" s="16" t="n">
        <f aca="false">IF(_xlfn.UNICODE(A1338)&lt;44032,-1,_xlfn.UNICODE(A1338)-44032)</f>
        <v>6392</v>
      </c>
      <c r="C1338" s="16" t="n">
        <f aca="false">IF(B1338=-1,-1,INT((B1338/28)/21))</f>
        <v>10</v>
      </c>
      <c r="D1338" s="16" t="n">
        <f aca="false">IF(B1338=-1, -1, MOD(INT(B1338/28),21))</f>
        <v>18</v>
      </c>
      <c r="E1338" s="16" t="n">
        <f aca="false">IF(B1338=-1, -1, VLOOKUP(MOD(B1338,28), $T$24:$U$52,2))</f>
        <v>8</v>
      </c>
      <c r="F1338" s="16" t="n">
        <f aca="false">IF($B1338=-1, -1, VLOOKUP(C1338,$T$1:$V$20, 2))</f>
        <v>1</v>
      </c>
      <c r="G1338" s="16" t="n">
        <f aca="false">IF($B1338=-1, -1, VLOOKUP(D1338,$Y$1:$Z$22,2))</f>
        <v>5</v>
      </c>
      <c r="H1338" s="16" t="str">
        <f aca="false">_xlfn.UNICHAR(((F1338*21)+G1338)*28+44032)</f>
        <v>께</v>
      </c>
      <c r="I1338" s="16" t="n">
        <f aca="false">IF(B1338=-1, 1, COUNTIF($A$2:$A$3000, H1338))</f>
        <v>1</v>
      </c>
      <c r="J1338" s="10" t="str">
        <f aca="false">_xlfn.CONCAT(A1338, ",",H1338,",",I1338)</f>
        <v>쓸,께,1</v>
      </c>
      <c r="K1338" s="16" t="n">
        <f aca="false">IF(B1338=-1,-1,VLOOKUP(C1338,$T$1:$V$20,3))</f>
        <v>13</v>
      </c>
      <c r="L1338" s="16" t="n">
        <f aca="false">IF(B1338=-1,-1,VLOOKUP(D1338,$Y$1:$AA$22,3))</f>
        <v>18</v>
      </c>
      <c r="N1338" s="10" t="str">
        <f aca="false">_xlfn.UNICHAR(((C1338*21)+G1338)*28+44032)</f>
        <v>쎄</v>
      </c>
      <c r="O1338" s="10" t="str">
        <f aca="false">_xlfn.UNICHAR(((F1338*21)+D1338)*28+44032)</f>
        <v>끄</v>
      </c>
      <c r="P1338" s="12" t="n">
        <f aca="false">COUNTIF($A$2:$A$3000, N1338) + COUNTIF($A$2:$A$3000, O1338)</f>
        <v>2</v>
      </c>
      <c r="Q1338" s="16" t="str">
        <f aca="false">IF(OR(B1338=-1,I1338=0, P1338&lt;&gt;2), "albhed_dummy", _xlfn.CONCAT("albhed ", RIGHT("  " &amp; K1338,2),", ", RIGHT("  " &amp; L1338,2), ", " ,"""",H1338,""", ", """",N1338,""", ","""",O1338,""""," ; ", A1338))</f>
        <v>albhed 13, 18, "께", "쎄", "끄" ; 쓸</v>
      </c>
    </row>
    <row r="1339" customFormat="false" ht="17.9" hidden="false" customHeight="true" outlineLevel="0" collapsed="false">
      <c r="A1339" s="16" t="s">
        <v>2204</v>
      </c>
      <c r="B1339" s="16" t="n">
        <f aca="false">IF(_xlfn.UNICODE(A1339)&lt;44032,-1,_xlfn.UNICODE(A1339)-44032)</f>
        <v>6394</v>
      </c>
      <c r="C1339" s="16" t="n">
        <f aca="false">IF(B1339=-1,-1,INT((B1339/28)/21))</f>
        <v>10</v>
      </c>
      <c r="D1339" s="16" t="n">
        <f aca="false">IF(B1339=-1, -1, MOD(INT(B1339/28),21))</f>
        <v>18</v>
      </c>
      <c r="E1339" s="16" t="n">
        <f aca="false">IF(B1339=-1, -1, VLOOKUP(MOD(B1339,28), $T$24:$U$52,2))</f>
        <v>8</v>
      </c>
      <c r="F1339" s="16" t="n">
        <f aca="false">IF($B1339=-1, -1, VLOOKUP(C1339,$T$1:$V$20, 2))</f>
        <v>1</v>
      </c>
      <c r="G1339" s="16" t="n">
        <f aca="false">IF($B1339=-1, -1, VLOOKUP(D1339,$Y$1:$Z$22,2))</f>
        <v>5</v>
      </c>
      <c r="H1339" s="16" t="str">
        <f aca="false">_xlfn.UNICHAR(((F1339*21)+G1339)*28+44032)</f>
        <v>께</v>
      </c>
      <c r="I1339" s="16" t="n">
        <f aca="false">IF(B1339=-1, 1, COUNTIF($A$2:$A$3000, H1339))</f>
        <v>1</v>
      </c>
      <c r="J1339" s="10" t="str">
        <f aca="false">_xlfn.CONCAT(A1339, ",",H1339,",",I1339)</f>
        <v>쓺,께,1</v>
      </c>
      <c r="K1339" s="16" t="n">
        <f aca="false">IF(B1339=-1,-1,VLOOKUP(C1339,$T$1:$V$20,3))</f>
        <v>13</v>
      </c>
      <c r="L1339" s="16" t="n">
        <f aca="false">IF(B1339=-1,-1,VLOOKUP(D1339,$Y$1:$AA$22,3))</f>
        <v>18</v>
      </c>
      <c r="N1339" s="10" t="str">
        <f aca="false">_xlfn.UNICHAR(((C1339*21)+G1339)*28+44032)</f>
        <v>쎄</v>
      </c>
      <c r="O1339" s="10" t="str">
        <f aca="false">_xlfn.UNICHAR(((F1339*21)+D1339)*28+44032)</f>
        <v>끄</v>
      </c>
      <c r="P1339" s="12" t="n">
        <f aca="false">COUNTIF($A$2:$A$3000, N1339) + COUNTIF($A$2:$A$3000, O1339)</f>
        <v>2</v>
      </c>
      <c r="Q1339" s="16" t="str">
        <f aca="false">IF(OR(B1339=-1,I1339=0, P1339&lt;&gt;2), "albhed_dummy", _xlfn.CONCAT("albhed ", RIGHT("  " &amp; K1339,2),", ", RIGHT("  " &amp; L1339,2), ", " ,"""",H1339,""", ", """",N1339,""", ","""",O1339,""""," ; ", A1339))</f>
        <v>albhed 13, 18, "께", "쎄", "끄" ; 쓺</v>
      </c>
    </row>
    <row r="1340" customFormat="false" ht="17.9" hidden="false" customHeight="true" outlineLevel="0" collapsed="false">
      <c r="A1340" s="16" t="s">
        <v>2205</v>
      </c>
      <c r="B1340" s="16" t="n">
        <f aca="false">IF(_xlfn.UNICODE(A1340)&lt;44032,-1,_xlfn.UNICODE(A1340)-44032)</f>
        <v>6399</v>
      </c>
      <c r="C1340" s="16" t="n">
        <f aca="false">IF(B1340=-1,-1,INT((B1340/28)/21))</f>
        <v>10</v>
      </c>
      <c r="D1340" s="16" t="n">
        <f aca="false">IF(B1340=-1, -1, MOD(INT(B1340/28),21))</f>
        <v>18</v>
      </c>
      <c r="E1340" s="16" t="n">
        <f aca="false">IF(B1340=-1, -1, VLOOKUP(MOD(B1340,28), $T$24:$U$52,2))</f>
        <v>8</v>
      </c>
      <c r="F1340" s="16" t="n">
        <f aca="false">IF($B1340=-1, -1, VLOOKUP(C1340,$T$1:$V$20, 2))</f>
        <v>1</v>
      </c>
      <c r="G1340" s="16" t="n">
        <f aca="false">IF($B1340=-1, -1, VLOOKUP(D1340,$Y$1:$Z$22,2))</f>
        <v>5</v>
      </c>
      <c r="H1340" s="16" t="str">
        <f aca="false">_xlfn.UNICHAR(((F1340*21)+G1340)*28+44032)</f>
        <v>께</v>
      </c>
      <c r="I1340" s="16" t="n">
        <f aca="false">IF(B1340=-1, 1, COUNTIF($A$2:$A$3000, H1340))</f>
        <v>1</v>
      </c>
      <c r="J1340" s="10" t="str">
        <f aca="false">_xlfn.CONCAT(A1340, ",",H1340,",",I1340)</f>
        <v>쓿,께,1</v>
      </c>
      <c r="K1340" s="16" t="n">
        <f aca="false">IF(B1340=-1,-1,VLOOKUP(C1340,$T$1:$V$20,3))</f>
        <v>13</v>
      </c>
      <c r="L1340" s="16" t="n">
        <f aca="false">IF(B1340=-1,-1,VLOOKUP(D1340,$Y$1:$AA$22,3))</f>
        <v>18</v>
      </c>
      <c r="N1340" s="10" t="str">
        <f aca="false">_xlfn.UNICHAR(((C1340*21)+G1340)*28+44032)</f>
        <v>쎄</v>
      </c>
      <c r="O1340" s="10" t="str">
        <f aca="false">_xlfn.UNICHAR(((F1340*21)+D1340)*28+44032)</f>
        <v>끄</v>
      </c>
      <c r="P1340" s="12" t="n">
        <f aca="false">COUNTIF($A$2:$A$3000, N1340) + COUNTIF($A$2:$A$3000, O1340)</f>
        <v>2</v>
      </c>
      <c r="Q1340" s="16" t="str">
        <f aca="false">IF(OR(B1340=-1,I1340=0, P1340&lt;&gt;2), "albhed_dummy", _xlfn.CONCAT("albhed ", RIGHT("  " &amp; K1340,2),", ", RIGHT("  " &amp; L1340,2), ", " ,"""",H1340,""", ", """",N1340,""", ","""",O1340,""""," ; ", A1340))</f>
        <v>albhed 13, 18, "께", "쎄", "끄" ; 쓿</v>
      </c>
    </row>
    <row r="1341" customFormat="false" ht="17.9" hidden="false" customHeight="true" outlineLevel="0" collapsed="false">
      <c r="A1341" s="16" t="s">
        <v>2206</v>
      </c>
      <c r="B1341" s="16" t="n">
        <f aca="false">IF(_xlfn.UNICODE(A1341)&lt;44032,-1,_xlfn.UNICODE(A1341)-44032)</f>
        <v>6400</v>
      </c>
      <c r="C1341" s="16" t="n">
        <f aca="false">IF(B1341=-1,-1,INT((B1341/28)/21))</f>
        <v>10</v>
      </c>
      <c r="D1341" s="16" t="n">
        <f aca="false">IF(B1341=-1, -1, MOD(INT(B1341/28),21))</f>
        <v>18</v>
      </c>
      <c r="E1341" s="16" t="n">
        <f aca="false">IF(B1341=-1, -1, VLOOKUP(MOD(B1341,28), $T$24:$U$52,2))</f>
        <v>16</v>
      </c>
      <c r="F1341" s="16" t="n">
        <f aca="false">IF($B1341=-1, -1, VLOOKUP(C1341,$T$1:$V$20, 2))</f>
        <v>1</v>
      </c>
      <c r="G1341" s="16" t="n">
        <f aca="false">IF($B1341=-1, -1, VLOOKUP(D1341,$Y$1:$Z$22,2))</f>
        <v>5</v>
      </c>
      <c r="H1341" s="16" t="str">
        <f aca="false">_xlfn.UNICHAR(((F1341*21)+G1341)*28+44032)</f>
        <v>께</v>
      </c>
      <c r="I1341" s="16" t="n">
        <f aca="false">IF(B1341=-1, 1, COUNTIF($A$2:$A$3000, H1341))</f>
        <v>1</v>
      </c>
      <c r="J1341" s="10" t="str">
        <f aca="false">_xlfn.CONCAT(A1341, ",",H1341,",",I1341)</f>
        <v>씀,께,1</v>
      </c>
      <c r="K1341" s="16" t="n">
        <f aca="false">IF(B1341=-1,-1,VLOOKUP(C1341,$T$1:$V$20,3))</f>
        <v>13</v>
      </c>
      <c r="L1341" s="16" t="n">
        <f aca="false">IF(B1341=-1,-1,VLOOKUP(D1341,$Y$1:$AA$22,3))</f>
        <v>18</v>
      </c>
      <c r="N1341" s="10" t="str">
        <f aca="false">_xlfn.UNICHAR(((C1341*21)+G1341)*28+44032)</f>
        <v>쎄</v>
      </c>
      <c r="O1341" s="10" t="str">
        <f aca="false">_xlfn.UNICHAR(((F1341*21)+D1341)*28+44032)</f>
        <v>끄</v>
      </c>
      <c r="P1341" s="12" t="n">
        <f aca="false">COUNTIF($A$2:$A$3000, N1341) + COUNTIF($A$2:$A$3000, O1341)</f>
        <v>2</v>
      </c>
      <c r="Q1341" s="16" t="str">
        <f aca="false">IF(OR(B1341=-1,I1341=0, P1341&lt;&gt;2), "albhed_dummy", _xlfn.CONCAT("albhed ", RIGHT("  " &amp; K1341,2),", ", RIGHT("  " &amp; L1341,2), ", " ,"""",H1341,""", ", """",N1341,""", ","""",O1341,""""," ; ", A1341))</f>
        <v>albhed 13, 18, "께", "쎄", "끄" ; 씀</v>
      </c>
    </row>
    <row r="1342" customFormat="false" ht="17.9" hidden="false" customHeight="true" outlineLevel="0" collapsed="false">
      <c r="A1342" s="16" t="s">
        <v>2207</v>
      </c>
      <c r="B1342" s="16" t="n">
        <f aca="false">IF(_xlfn.UNICODE(A1342)&lt;44032,-1,_xlfn.UNICODE(A1342)-44032)</f>
        <v>6401</v>
      </c>
      <c r="C1342" s="16" t="n">
        <f aca="false">IF(B1342=-1,-1,INT((B1342/28)/21))</f>
        <v>10</v>
      </c>
      <c r="D1342" s="16" t="n">
        <f aca="false">IF(B1342=-1, -1, MOD(INT(B1342/28),21))</f>
        <v>18</v>
      </c>
      <c r="E1342" s="16" t="n">
        <f aca="false">IF(B1342=-1, -1, VLOOKUP(MOD(B1342,28), $T$24:$U$52,2))</f>
        <v>17</v>
      </c>
      <c r="F1342" s="16" t="n">
        <f aca="false">IF($B1342=-1, -1, VLOOKUP(C1342,$T$1:$V$20, 2))</f>
        <v>1</v>
      </c>
      <c r="G1342" s="16" t="n">
        <f aca="false">IF($B1342=-1, -1, VLOOKUP(D1342,$Y$1:$Z$22,2))</f>
        <v>5</v>
      </c>
      <c r="H1342" s="16" t="str">
        <f aca="false">_xlfn.UNICHAR(((F1342*21)+G1342)*28+44032)</f>
        <v>께</v>
      </c>
      <c r="I1342" s="16" t="n">
        <f aca="false">IF(B1342=-1, 1, COUNTIF($A$2:$A$3000, H1342))</f>
        <v>1</v>
      </c>
      <c r="J1342" s="10" t="str">
        <f aca="false">_xlfn.CONCAT(A1342, ",",H1342,",",I1342)</f>
        <v>씁,께,1</v>
      </c>
      <c r="K1342" s="16" t="n">
        <f aca="false">IF(B1342=-1,-1,VLOOKUP(C1342,$T$1:$V$20,3))</f>
        <v>13</v>
      </c>
      <c r="L1342" s="16" t="n">
        <f aca="false">IF(B1342=-1,-1,VLOOKUP(D1342,$Y$1:$AA$22,3))</f>
        <v>18</v>
      </c>
      <c r="N1342" s="10" t="str">
        <f aca="false">_xlfn.UNICHAR(((C1342*21)+G1342)*28+44032)</f>
        <v>쎄</v>
      </c>
      <c r="O1342" s="10" t="str">
        <f aca="false">_xlfn.UNICHAR(((F1342*21)+D1342)*28+44032)</f>
        <v>끄</v>
      </c>
      <c r="P1342" s="12" t="n">
        <f aca="false">COUNTIF($A$2:$A$3000, N1342) + COUNTIF($A$2:$A$3000, O1342)</f>
        <v>2</v>
      </c>
      <c r="Q1342" s="16" t="str">
        <f aca="false">IF(OR(B1342=-1,I1342=0, P1342&lt;&gt;2), "albhed_dummy", _xlfn.CONCAT("albhed ", RIGHT("  " &amp; K1342,2),", ", RIGHT("  " &amp; L1342,2), ", " ,"""",H1342,""", ", """",N1342,""", ","""",O1342,""""," ; ", A1342))</f>
        <v>albhed 13, 18, "께", "쎄", "끄" ; 씁</v>
      </c>
    </row>
    <row r="1343" customFormat="false" ht="17.9" hidden="false" customHeight="true" outlineLevel="0" collapsed="false">
      <c r="A1343" s="16" t="s">
        <v>2208</v>
      </c>
      <c r="B1343" s="16" t="n">
        <f aca="false">IF(_xlfn.UNICODE(A1343)&lt;44032,-1,_xlfn.UNICODE(A1343)-44032)</f>
        <v>6412</v>
      </c>
      <c r="C1343" s="16" t="n">
        <f aca="false">IF(B1343=-1,-1,INT((B1343/28)/21))</f>
        <v>10</v>
      </c>
      <c r="D1343" s="16" t="n">
        <f aca="false">IF(B1343=-1, -1, MOD(INT(B1343/28),21))</f>
        <v>19</v>
      </c>
      <c r="E1343" s="16" t="n">
        <f aca="false">IF(B1343=-1, -1, VLOOKUP(MOD(B1343,28), $T$24:$U$52,2))</f>
        <v>0</v>
      </c>
      <c r="F1343" s="16" t="n">
        <f aca="false">IF($B1343=-1, -1, VLOOKUP(C1343,$T$1:$V$20, 2))</f>
        <v>1</v>
      </c>
      <c r="G1343" s="16" t="n">
        <f aca="false">IF($B1343=-1, -1, VLOOKUP(D1343,$Y$1:$Z$22,2))</f>
        <v>5</v>
      </c>
      <c r="H1343" s="16" t="str">
        <f aca="false">_xlfn.UNICHAR(((F1343*21)+G1343)*28+44032)</f>
        <v>께</v>
      </c>
      <c r="I1343" s="16" t="n">
        <f aca="false">IF(B1343=-1, 1, COUNTIF($A$2:$A$3000, H1343))</f>
        <v>1</v>
      </c>
      <c r="J1343" s="10" t="str">
        <f aca="false">_xlfn.CONCAT(A1343, ",",H1343,",",I1343)</f>
        <v>씌,께,1</v>
      </c>
      <c r="K1343" s="16" t="n">
        <f aca="false">IF(B1343=-1,-1,VLOOKUP(C1343,$T$1:$V$20,3))</f>
        <v>13</v>
      </c>
      <c r="L1343" s="16" t="n">
        <f aca="false">IF(B1343=-1,-1,VLOOKUP(D1343,$Y$1:$AA$22,3))</f>
        <v>24</v>
      </c>
      <c r="N1343" s="10" t="str">
        <f aca="false">_xlfn.UNICHAR(((C1343*21)+G1343)*28+44032)</f>
        <v>쎄</v>
      </c>
      <c r="O1343" s="10" t="str">
        <f aca="false">_xlfn.UNICHAR(((F1343*21)+D1343)*28+44032)</f>
        <v>끠</v>
      </c>
      <c r="P1343" s="12" t="n">
        <f aca="false">COUNTIF($A$2:$A$3000, N1343) + COUNTIF($A$2:$A$3000, O1343)</f>
        <v>1</v>
      </c>
      <c r="Q1343" s="16" t="str">
        <f aca="false">IF(OR(B1343=-1,I1343=0, P1343&lt;&gt;2), "albhed_dummy", _xlfn.CONCAT("albhed ", RIGHT("  " &amp; K1343,2),", ", RIGHT("  " &amp; L1343,2), ", " ,"""",H1343,""", ", """",N1343,""", ","""",O1343,""""," ; ", A1343))</f>
        <v>albhed_dummy</v>
      </c>
    </row>
    <row r="1344" customFormat="false" ht="17.9" hidden="false" customHeight="true" outlineLevel="0" collapsed="false">
      <c r="A1344" s="16" t="s">
        <v>2209</v>
      </c>
      <c r="B1344" s="16" t="n">
        <f aca="false">IF(_xlfn.UNICODE(A1344)&lt;44032,-1,_xlfn.UNICODE(A1344)-44032)</f>
        <v>6416</v>
      </c>
      <c r="C1344" s="16" t="n">
        <f aca="false">IF(B1344=-1,-1,INT((B1344/28)/21))</f>
        <v>10</v>
      </c>
      <c r="D1344" s="16" t="n">
        <f aca="false">IF(B1344=-1, -1, MOD(INT(B1344/28),21))</f>
        <v>19</v>
      </c>
      <c r="E1344" s="16" t="n">
        <f aca="false">IF(B1344=-1, -1, VLOOKUP(MOD(B1344,28), $T$24:$U$52,2))</f>
        <v>4</v>
      </c>
      <c r="F1344" s="16" t="n">
        <f aca="false">IF($B1344=-1, -1, VLOOKUP(C1344,$T$1:$V$20, 2))</f>
        <v>1</v>
      </c>
      <c r="G1344" s="16" t="n">
        <f aca="false">IF($B1344=-1, -1, VLOOKUP(D1344,$Y$1:$Z$22,2))</f>
        <v>5</v>
      </c>
      <c r="H1344" s="16" t="str">
        <f aca="false">_xlfn.UNICHAR(((F1344*21)+G1344)*28+44032)</f>
        <v>께</v>
      </c>
      <c r="I1344" s="16" t="n">
        <f aca="false">IF(B1344=-1, 1, COUNTIF($A$2:$A$3000, H1344))</f>
        <v>1</v>
      </c>
      <c r="J1344" s="10" t="str">
        <f aca="false">_xlfn.CONCAT(A1344, ",",H1344,",",I1344)</f>
        <v>씐,께,1</v>
      </c>
      <c r="K1344" s="16" t="n">
        <f aca="false">IF(B1344=-1,-1,VLOOKUP(C1344,$T$1:$V$20,3))</f>
        <v>13</v>
      </c>
      <c r="L1344" s="16" t="n">
        <f aca="false">IF(B1344=-1,-1,VLOOKUP(D1344,$Y$1:$AA$22,3))</f>
        <v>24</v>
      </c>
      <c r="N1344" s="10" t="str">
        <f aca="false">_xlfn.UNICHAR(((C1344*21)+G1344)*28+44032)</f>
        <v>쎄</v>
      </c>
      <c r="O1344" s="10" t="str">
        <f aca="false">_xlfn.UNICHAR(((F1344*21)+D1344)*28+44032)</f>
        <v>끠</v>
      </c>
      <c r="P1344" s="12" t="n">
        <f aca="false">COUNTIF($A$2:$A$3000, N1344) + COUNTIF($A$2:$A$3000, O1344)</f>
        <v>1</v>
      </c>
      <c r="Q1344" s="16" t="str">
        <f aca="false">IF(OR(B1344=-1,I1344=0, P1344&lt;&gt;2), "albhed_dummy", _xlfn.CONCAT("albhed ", RIGHT("  " &amp; K1344,2),", ", RIGHT("  " &amp; L1344,2), ", " ,"""",H1344,""", ", """",N1344,""", ","""",O1344,""""," ; ", A1344))</f>
        <v>albhed_dummy</v>
      </c>
    </row>
    <row r="1345" customFormat="false" ht="17.9" hidden="false" customHeight="true" outlineLevel="0" collapsed="false">
      <c r="A1345" s="16" t="s">
        <v>2210</v>
      </c>
      <c r="B1345" s="16" t="n">
        <f aca="false">IF(_xlfn.UNICODE(A1345)&lt;44032,-1,_xlfn.UNICODE(A1345)-44032)</f>
        <v>6420</v>
      </c>
      <c r="C1345" s="16" t="n">
        <f aca="false">IF(B1345=-1,-1,INT((B1345/28)/21))</f>
        <v>10</v>
      </c>
      <c r="D1345" s="16" t="n">
        <f aca="false">IF(B1345=-1, -1, MOD(INT(B1345/28),21))</f>
        <v>19</v>
      </c>
      <c r="E1345" s="16" t="n">
        <f aca="false">IF(B1345=-1, -1, VLOOKUP(MOD(B1345,28), $T$24:$U$52,2))</f>
        <v>8</v>
      </c>
      <c r="F1345" s="16" t="n">
        <f aca="false">IF($B1345=-1, -1, VLOOKUP(C1345,$T$1:$V$20, 2))</f>
        <v>1</v>
      </c>
      <c r="G1345" s="16" t="n">
        <f aca="false">IF($B1345=-1, -1, VLOOKUP(D1345,$Y$1:$Z$22,2))</f>
        <v>5</v>
      </c>
      <c r="H1345" s="16" t="str">
        <f aca="false">_xlfn.UNICHAR(((F1345*21)+G1345)*28+44032)</f>
        <v>께</v>
      </c>
      <c r="I1345" s="16" t="n">
        <f aca="false">IF(B1345=-1, 1, COUNTIF($A$2:$A$3000, H1345))</f>
        <v>1</v>
      </c>
      <c r="J1345" s="10" t="str">
        <f aca="false">_xlfn.CONCAT(A1345, ",",H1345,",",I1345)</f>
        <v>씔,께,1</v>
      </c>
      <c r="K1345" s="16" t="n">
        <f aca="false">IF(B1345=-1,-1,VLOOKUP(C1345,$T$1:$V$20,3))</f>
        <v>13</v>
      </c>
      <c r="L1345" s="16" t="n">
        <f aca="false">IF(B1345=-1,-1,VLOOKUP(D1345,$Y$1:$AA$22,3))</f>
        <v>24</v>
      </c>
      <c r="N1345" s="10" t="str">
        <f aca="false">_xlfn.UNICHAR(((C1345*21)+G1345)*28+44032)</f>
        <v>쎄</v>
      </c>
      <c r="O1345" s="10" t="str">
        <f aca="false">_xlfn.UNICHAR(((F1345*21)+D1345)*28+44032)</f>
        <v>끠</v>
      </c>
      <c r="P1345" s="12" t="n">
        <f aca="false">COUNTIF($A$2:$A$3000, N1345) + COUNTIF($A$2:$A$3000, O1345)</f>
        <v>1</v>
      </c>
      <c r="Q1345" s="16" t="str">
        <f aca="false">IF(OR(B1345=-1,I1345=0, P1345&lt;&gt;2), "albhed_dummy", _xlfn.CONCAT("albhed ", RIGHT("  " &amp; K1345,2),", ", RIGHT("  " &amp; L1345,2), ", " ,"""",H1345,""", ", """",N1345,""", ","""",O1345,""""," ; ", A1345))</f>
        <v>albhed_dummy</v>
      </c>
    </row>
    <row r="1346" customFormat="false" ht="17.9" hidden="false" customHeight="true" outlineLevel="0" collapsed="false">
      <c r="A1346" s="16" t="s">
        <v>2211</v>
      </c>
      <c r="B1346" s="16" t="n">
        <f aca="false">IF(_xlfn.UNICODE(A1346)&lt;44032,-1,_xlfn.UNICODE(A1346)-44032)</f>
        <v>6428</v>
      </c>
      <c r="C1346" s="16" t="n">
        <f aca="false">IF(B1346=-1,-1,INT((B1346/28)/21))</f>
        <v>10</v>
      </c>
      <c r="D1346" s="16" t="n">
        <f aca="false">IF(B1346=-1, -1, MOD(INT(B1346/28),21))</f>
        <v>19</v>
      </c>
      <c r="E1346" s="16" t="n">
        <f aca="false">IF(B1346=-1, -1, VLOOKUP(MOD(B1346,28), $T$24:$U$52,2))</f>
        <v>16</v>
      </c>
      <c r="F1346" s="16" t="n">
        <f aca="false">IF($B1346=-1, -1, VLOOKUP(C1346,$T$1:$V$20, 2))</f>
        <v>1</v>
      </c>
      <c r="G1346" s="16" t="n">
        <f aca="false">IF($B1346=-1, -1, VLOOKUP(D1346,$Y$1:$Z$22,2))</f>
        <v>5</v>
      </c>
      <c r="H1346" s="16" t="str">
        <f aca="false">_xlfn.UNICHAR(((F1346*21)+G1346)*28+44032)</f>
        <v>께</v>
      </c>
      <c r="I1346" s="16" t="n">
        <f aca="false">IF(B1346=-1, 1, COUNTIF($A$2:$A$3000, H1346))</f>
        <v>1</v>
      </c>
      <c r="J1346" s="10" t="str">
        <f aca="false">_xlfn.CONCAT(A1346, ",",H1346,",",I1346)</f>
        <v>씜,께,1</v>
      </c>
      <c r="K1346" s="16" t="n">
        <f aca="false">IF(B1346=-1,-1,VLOOKUP(C1346,$T$1:$V$20,3))</f>
        <v>13</v>
      </c>
      <c r="L1346" s="16" t="n">
        <f aca="false">IF(B1346=-1,-1,VLOOKUP(D1346,$Y$1:$AA$22,3))</f>
        <v>24</v>
      </c>
      <c r="N1346" s="10" t="str">
        <f aca="false">_xlfn.UNICHAR(((C1346*21)+G1346)*28+44032)</f>
        <v>쎄</v>
      </c>
      <c r="O1346" s="10" t="str">
        <f aca="false">_xlfn.UNICHAR(((F1346*21)+D1346)*28+44032)</f>
        <v>끠</v>
      </c>
      <c r="P1346" s="12" t="n">
        <f aca="false">COUNTIF($A$2:$A$3000, N1346) + COUNTIF($A$2:$A$3000, O1346)</f>
        <v>1</v>
      </c>
      <c r="Q1346" s="16" t="str">
        <f aca="false">IF(OR(B1346=-1,I1346=0, P1346&lt;&gt;2), "albhed_dummy", _xlfn.CONCAT("albhed ", RIGHT("  " &amp; K1346,2),", ", RIGHT("  " &amp; L1346,2), ", " ,"""",H1346,""", ", """",N1346,""", ","""",O1346,""""," ; ", A1346))</f>
        <v>albhed_dummy</v>
      </c>
    </row>
    <row r="1347" customFormat="false" ht="17.9" hidden="false" customHeight="true" outlineLevel="0" collapsed="false">
      <c r="A1347" s="16" t="s">
        <v>2212</v>
      </c>
      <c r="B1347" s="16" t="n">
        <f aca="false">IF(_xlfn.UNICODE(A1347)&lt;44032,-1,_xlfn.UNICODE(A1347)-44032)</f>
        <v>6440</v>
      </c>
      <c r="C1347" s="16" t="n">
        <f aca="false">IF(B1347=-1,-1,INT((B1347/28)/21))</f>
        <v>10</v>
      </c>
      <c r="D1347" s="16" t="n">
        <f aca="false">IF(B1347=-1, -1, MOD(INT(B1347/28),21))</f>
        <v>20</v>
      </c>
      <c r="E1347" s="16" t="n">
        <f aca="false">IF(B1347=-1, -1, VLOOKUP(MOD(B1347,28), $T$24:$U$52,2))</f>
        <v>0</v>
      </c>
      <c r="F1347" s="16" t="n">
        <f aca="false">IF($B1347=-1, -1, VLOOKUP(C1347,$T$1:$V$20, 2))</f>
        <v>1</v>
      </c>
      <c r="G1347" s="16" t="n">
        <f aca="false">IF($B1347=-1, -1, VLOOKUP(D1347,$Y$1:$Z$22,2))</f>
        <v>5</v>
      </c>
      <c r="H1347" s="16" t="str">
        <f aca="false">_xlfn.UNICHAR(((F1347*21)+G1347)*28+44032)</f>
        <v>께</v>
      </c>
      <c r="I1347" s="16" t="n">
        <f aca="false">IF(B1347=-1, 1, COUNTIF($A$2:$A$3000, H1347))</f>
        <v>1</v>
      </c>
      <c r="J1347" s="10" t="str">
        <f aca="false">_xlfn.CONCAT(A1347, ",",H1347,",",I1347)</f>
        <v>씨,께,1</v>
      </c>
      <c r="K1347" s="16" t="n">
        <f aca="false">IF(B1347=-1,-1,VLOOKUP(C1347,$T$1:$V$20,3))</f>
        <v>13</v>
      </c>
      <c r="L1347" s="16" t="n">
        <f aca="false">IF(B1347=-1,-1,VLOOKUP(D1347,$Y$1:$AA$22,3))</f>
        <v>20</v>
      </c>
      <c r="N1347" s="10" t="str">
        <f aca="false">_xlfn.UNICHAR(((C1347*21)+G1347)*28+44032)</f>
        <v>쎄</v>
      </c>
      <c r="O1347" s="10" t="str">
        <f aca="false">_xlfn.UNICHAR(((F1347*21)+D1347)*28+44032)</f>
        <v>끼</v>
      </c>
      <c r="P1347" s="12" t="n">
        <f aca="false">COUNTIF($A$2:$A$3000, N1347) + COUNTIF($A$2:$A$3000, O1347)</f>
        <v>2</v>
      </c>
      <c r="Q1347" s="16" t="str">
        <f aca="false">IF(OR(B1347=-1,I1347=0, P1347&lt;&gt;2), "albhed_dummy", _xlfn.CONCAT("albhed ", RIGHT("  " &amp; K1347,2),", ", RIGHT("  " &amp; L1347,2), ", " ,"""",H1347,""", ", """",N1347,""", ","""",O1347,""""," ; ", A1347))</f>
        <v>albhed 13, 20, "께", "쎄", "끼" ; 씨</v>
      </c>
    </row>
    <row r="1348" customFormat="false" ht="17.9" hidden="false" customHeight="true" outlineLevel="0" collapsed="false">
      <c r="A1348" s="16" t="s">
        <v>2213</v>
      </c>
      <c r="B1348" s="16" t="n">
        <f aca="false">IF(_xlfn.UNICODE(A1348)&lt;44032,-1,_xlfn.UNICODE(A1348)-44032)</f>
        <v>6441</v>
      </c>
      <c r="C1348" s="16" t="n">
        <f aca="false">IF(B1348=-1,-1,INT((B1348/28)/21))</f>
        <v>10</v>
      </c>
      <c r="D1348" s="16" t="n">
        <f aca="false">IF(B1348=-1, -1, MOD(INT(B1348/28),21))</f>
        <v>20</v>
      </c>
      <c r="E1348" s="16" t="n">
        <f aca="false">IF(B1348=-1, -1, VLOOKUP(MOD(B1348,28), $T$24:$U$52,2))</f>
        <v>1</v>
      </c>
      <c r="F1348" s="16" t="n">
        <f aca="false">IF($B1348=-1, -1, VLOOKUP(C1348,$T$1:$V$20, 2))</f>
        <v>1</v>
      </c>
      <c r="G1348" s="16" t="n">
        <f aca="false">IF($B1348=-1, -1, VLOOKUP(D1348,$Y$1:$Z$22,2))</f>
        <v>5</v>
      </c>
      <c r="H1348" s="16" t="str">
        <f aca="false">_xlfn.UNICHAR(((F1348*21)+G1348)*28+44032)</f>
        <v>께</v>
      </c>
      <c r="I1348" s="16" t="n">
        <f aca="false">IF(B1348=-1, 1, COUNTIF($A$2:$A$3000, H1348))</f>
        <v>1</v>
      </c>
      <c r="J1348" s="10" t="str">
        <f aca="false">_xlfn.CONCAT(A1348, ",",H1348,",",I1348)</f>
        <v>씩,께,1</v>
      </c>
      <c r="K1348" s="16" t="n">
        <f aca="false">IF(B1348=-1,-1,VLOOKUP(C1348,$T$1:$V$20,3))</f>
        <v>13</v>
      </c>
      <c r="L1348" s="16" t="n">
        <f aca="false">IF(B1348=-1,-1,VLOOKUP(D1348,$Y$1:$AA$22,3))</f>
        <v>20</v>
      </c>
      <c r="N1348" s="10" t="str">
        <f aca="false">_xlfn.UNICHAR(((C1348*21)+G1348)*28+44032)</f>
        <v>쎄</v>
      </c>
      <c r="O1348" s="10" t="str">
        <f aca="false">_xlfn.UNICHAR(((F1348*21)+D1348)*28+44032)</f>
        <v>끼</v>
      </c>
      <c r="P1348" s="12" t="n">
        <f aca="false">COUNTIF($A$2:$A$3000, N1348) + COUNTIF($A$2:$A$3000, O1348)</f>
        <v>2</v>
      </c>
      <c r="Q1348" s="16" t="str">
        <f aca="false">IF(OR(B1348=-1,I1348=0, P1348&lt;&gt;2), "albhed_dummy", _xlfn.CONCAT("albhed ", RIGHT("  " &amp; K1348,2),", ", RIGHT("  " &amp; L1348,2), ", " ,"""",H1348,""", ", """",N1348,""", ","""",O1348,""""," ; ", A1348))</f>
        <v>albhed 13, 20, "께", "쎄", "끼" ; 씩</v>
      </c>
    </row>
    <row r="1349" customFormat="false" ht="17.9" hidden="false" customHeight="true" outlineLevel="0" collapsed="false">
      <c r="A1349" s="16" t="s">
        <v>2214</v>
      </c>
      <c r="B1349" s="16" t="n">
        <f aca="false">IF(_xlfn.UNICODE(A1349)&lt;44032,-1,_xlfn.UNICODE(A1349)-44032)</f>
        <v>6444</v>
      </c>
      <c r="C1349" s="16" t="n">
        <f aca="false">IF(B1349=-1,-1,INT((B1349/28)/21))</f>
        <v>10</v>
      </c>
      <c r="D1349" s="16" t="n">
        <f aca="false">IF(B1349=-1, -1, MOD(INT(B1349/28),21))</f>
        <v>20</v>
      </c>
      <c r="E1349" s="16" t="n">
        <f aca="false">IF(B1349=-1, -1, VLOOKUP(MOD(B1349,28), $T$24:$U$52,2))</f>
        <v>4</v>
      </c>
      <c r="F1349" s="16" t="n">
        <f aca="false">IF($B1349=-1, -1, VLOOKUP(C1349,$T$1:$V$20, 2))</f>
        <v>1</v>
      </c>
      <c r="G1349" s="16" t="n">
        <f aca="false">IF($B1349=-1, -1, VLOOKUP(D1349,$Y$1:$Z$22,2))</f>
        <v>5</v>
      </c>
      <c r="H1349" s="16" t="str">
        <f aca="false">_xlfn.UNICHAR(((F1349*21)+G1349)*28+44032)</f>
        <v>께</v>
      </c>
      <c r="I1349" s="16" t="n">
        <f aca="false">IF(B1349=-1, 1, COUNTIF($A$2:$A$3000, H1349))</f>
        <v>1</v>
      </c>
      <c r="J1349" s="10" t="str">
        <f aca="false">_xlfn.CONCAT(A1349, ",",H1349,",",I1349)</f>
        <v>씬,께,1</v>
      </c>
      <c r="K1349" s="16" t="n">
        <f aca="false">IF(B1349=-1,-1,VLOOKUP(C1349,$T$1:$V$20,3))</f>
        <v>13</v>
      </c>
      <c r="L1349" s="16" t="n">
        <f aca="false">IF(B1349=-1,-1,VLOOKUP(D1349,$Y$1:$AA$22,3))</f>
        <v>20</v>
      </c>
      <c r="N1349" s="10" t="str">
        <f aca="false">_xlfn.UNICHAR(((C1349*21)+G1349)*28+44032)</f>
        <v>쎄</v>
      </c>
      <c r="O1349" s="10" t="str">
        <f aca="false">_xlfn.UNICHAR(((F1349*21)+D1349)*28+44032)</f>
        <v>끼</v>
      </c>
      <c r="P1349" s="12" t="n">
        <f aca="false">COUNTIF($A$2:$A$3000, N1349) + COUNTIF($A$2:$A$3000, O1349)</f>
        <v>2</v>
      </c>
      <c r="Q1349" s="16" t="str">
        <f aca="false">IF(OR(B1349=-1,I1349=0, P1349&lt;&gt;2), "albhed_dummy", _xlfn.CONCAT("albhed ", RIGHT("  " &amp; K1349,2),", ", RIGHT("  " &amp; L1349,2), ", " ,"""",H1349,""", ", """",N1349,""", ","""",O1349,""""," ; ", A1349))</f>
        <v>albhed 13, 20, "께", "쎄", "끼" ; 씬</v>
      </c>
    </row>
    <row r="1350" customFormat="false" ht="17.9" hidden="false" customHeight="true" outlineLevel="0" collapsed="false">
      <c r="A1350" s="16" t="s">
        <v>2215</v>
      </c>
      <c r="B1350" s="16" t="n">
        <f aca="false">IF(_xlfn.UNICODE(A1350)&lt;44032,-1,_xlfn.UNICODE(A1350)-44032)</f>
        <v>6448</v>
      </c>
      <c r="C1350" s="16" t="n">
        <f aca="false">IF(B1350=-1,-1,INT((B1350/28)/21))</f>
        <v>10</v>
      </c>
      <c r="D1350" s="16" t="n">
        <f aca="false">IF(B1350=-1, -1, MOD(INT(B1350/28),21))</f>
        <v>20</v>
      </c>
      <c r="E1350" s="16" t="n">
        <f aca="false">IF(B1350=-1, -1, VLOOKUP(MOD(B1350,28), $T$24:$U$52,2))</f>
        <v>8</v>
      </c>
      <c r="F1350" s="16" t="n">
        <f aca="false">IF($B1350=-1, -1, VLOOKUP(C1350,$T$1:$V$20, 2))</f>
        <v>1</v>
      </c>
      <c r="G1350" s="16" t="n">
        <f aca="false">IF($B1350=-1, -1, VLOOKUP(D1350,$Y$1:$Z$22,2))</f>
        <v>5</v>
      </c>
      <c r="H1350" s="16" t="str">
        <f aca="false">_xlfn.UNICHAR(((F1350*21)+G1350)*28+44032)</f>
        <v>께</v>
      </c>
      <c r="I1350" s="16" t="n">
        <f aca="false">IF(B1350=-1, 1, COUNTIF($A$2:$A$3000, H1350))</f>
        <v>1</v>
      </c>
      <c r="J1350" s="10" t="str">
        <f aca="false">_xlfn.CONCAT(A1350, ",",H1350,",",I1350)</f>
        <v>씰,께,1</v>
      </c>
      <c r="K1350" s="16" t="n">
        <f aca="false">IF(B1350=-1,-1,VLOOKUP(C1350,$T$1:$V$20,3))</f>
        <v>13</v>
      </c>
      <c r="L1350" s="16" t="n">
        <f aca="false">IF(B1350=-1,-1,VLOOKUP(D1350,$Y$1:$AA$22,3))</f>
        <v>20</v>
      </c>
      <c r="N1350" s="10" t="str">
        <f aca="false">_xlfn.UNICHAR(((C1350*21)+G1350)*28+44032)</f>
        <v>쎄</v>
      </c>
      <c r="O1350" s="10" t="str">
        <f aca="false">_xlfn.UNICHAR(((F1350*21)+D1350)*28+44032)</f>
        <v>끼</v>
      </c>
      <c r="P1350" s="12" t="n">
        <f aca="false">COUNTIF($A$2:$A$3000, N1350) + COUNTIF($A$2:$A$3000, O1350)</f>
        <v>2</v>
      </c>
      <c r="Q1350" s="16" t="str">
        <f aca="false">IF(OR(B1350=-1,I1350=0, P1350&lt;&gt;2), "albhed_dummy", _xlfn.CONCAT("albhed ", RIGHT("  " &amp; K1350,2),", ", RIGHT("  " &amp; L1350,2), ", " ,"""",H1350,""", ", """",N1350,""", ","""",O1350,""""," ; ", A1350))</f>
        <v>albhed 13, 20, "께", "쎄", "끼" ; 씰</v>
      </c>
    </row>
    <row r="1351" customFormat="false" ht="17.9" hidden="false" customHeight="true" outlineLevel="0" collapsed="false">
      <c r="A1351" s="16" t="s">
        <v>2216</v>
      </c>
      <c r="B1351" s="16" t="n">
        <f aca="false">IF(_xlfn.UNICODE(A1351)&lt;44032,-1,_xlfn.UNICODE(A1351)-44032)</f>
        <v>6456</v>
      </c>
      <c r="C1351" s="16" t="n">
        <f aca="false">IF(B1351=-1,-1,INT((B1351/28)/21))</f>
        <v>10</v>
      </c>
      <c r="D1351" s="16" t="n">
        <f aca="false">IF(B1351=-1, -1, MOD(INT(B1351/28),21))</f>
        <v>20</v>
      </c>
      <c r="E1351" s="16" t="n">
        <f aca="false">IF(B1351=-1, -1, VLOOKUP(MOD(B1351,28), $T$24:$U$52,2))</f>
        <v>16</v>
      </c>
      <c r="F1351" s="16" t="n">
        <f aca="false">IF($B1351=-1, -1, VLOOKUP(C1351,$T$1:$V$20, 2))</f>
        <v>1</v>
      </c>
      <c r="G1351" s="16" t="n">
        <f aca="false">IF($B1351=-1, -1, VLOOKUP(D1351,$Y$1:$Z$22,2))</f>
        <v>5</v>
      </c>
      <c r="H1351" s="16" t="str">
        <f aca="false">_xlfn.UNICHAR(((F1351*21)+G1351)*28+44032)</f>
        <v>께</v>
      </c>
      <c r="I1351" s="16" t="n">
        <f aca="false">IF(B1351=-1, 1, COUNTIF($A$2:$A$3000, H1351))</f>
        <v>1</v>
      </c>
      <c r="J1351" s="10" t="str">
        <f aca="false">_xlfn.CONCAT(A1351, ",",H1351,",",I1351)</f>
        <v>씸,께,1</v>
      </c>
      <c r="K1351" s="16" t="n">
        <f aca="false">IF(B1351=-1,-1,VLOOKUP(C1351,$T$1:$V$20,3))</f>
        <v>13</v>
      </c>
      <c r="L1351" s="16" t="n">
        <f aca="false">IF(B1351=-1,-1,VLOOKUP(D1351,$Y$1:$AA$22,3))</f>
        <v>20</v>
      </c>
      <c r="N1351" s="10" t="str">
        <f aca="false">_xlfn.UNICHAR(((C1351*21)+G1351)*28+44032)</f>
        <v>쎄</v>
      </c>
      <c r="O1351" s="10" t="str">
        <f aca="false">_xlfn.UNICHAR(((F1351*21)+D1351)*28+44032)</f>
        <v>끼</v>
      </c>
      <c r="P1351" s="12" t="n">
        <f aca="false">COUNTIF($A$2:$A$3000, N1351) + COUNTIF($A$2:$A$3000, O1351)</f>
        <v>2</v>
      </c>
      <c r="Q1351" s="16" t="str">
        <f aca="false">IF(OR(B1351=-1,I1351=0, P1351&lt;&gt;2), "albhed_dummy", _xlfn.CONCAT("albhed ", RIGHT("  " &amp; K1351,2),", ", RIGHT("  " &amp; L1351,2), ", " ,"""",H1351,""", ", """",N1351,""", ","""",O1351,""""," ; ", A1351))</f>
        <v>albhed 13, 20, "께", "쎄", "끼" ; 씸</v>
      </c>
    </row>
    <row r="1352" customFormat="false" ht="17.9" hidden="false" customHeight="true" outlineLevel="0" collapsed="false">
      <c r="A1352" s="16" t="s">
        <v>2217</v>
      </c>
      <c r="B1352" s="16" t="n">
        <f aca="false">IF(_xlfn.UNICODE(A1352)&lt;44032,-1,_xlfn.UNICODE(A1352)-44032)</f>
        <v>6457</v>
      </c>
      <c r="C1352" s="16" t="n">
        <f aca="false">IF(B1352=-1,-1,INT((B1352/28)/21))</f>
        <v>10</v>
      </c>
      <c r="D1352" s="16" t="n">
        <f aca="false">IF(B1352=-1, -1, MOD(INT(B1352/28),21))</f>
        <v>20</v>
      </c>
      <c r="E1352" s="16" t="n">
        <f aca="false">IF(B1352=-1, -1, VLOOKUP(MOD(B1352,28), $T$24:$U$52,2))</f>
        <v>17</v>
      </c>
      <c r="F1352" s="16" t="n">
        <f aca="false">IF($B1352=-1, -1, VLOOKUP(C1352,$T$1:$V$20, 2))</f>
        <v>1</v>
      </c>
      <c r="G1352" s="16" t="n">
        <f aca="false">IF($B1352=-1, -1, VLOOKUP(D1352,$Y$1:$Z$22,2))</f>
        <v>5</v>
      </c>
      <c r="H1352" s="16" t="str">
        <f aca="false">_xlfn.UNICHAR(((F1352*21)+G1352)*28+44032)</f>
        <v>께</v>
      </c>
      <c r="I1352" s="16" t="n">
        <f aca="false">IF(B1352=-1, 1, COUNTIF($A$2:$A$3000, H1352))</f>
        <v>1</v>
      </c>
      <c r="J1352" s="10" t="str">
        <f aca="false">_xlfn.CONCAT(A1352, ",",H1352,",",I1352)</f>
        <v>씹,께,1</v>
      </c>
      <c r="K1352" s="16" t="n">
        <f aca="false">IF(B1352=-1,-1,VLOOKUP(C1352,$T$1:$V$20,3))</f>
        <v>13</v>
      </c>
      <c r="L1352" s="16" t="n">
        <f aca="false">IF(B1352=-1,-1,VLOOKUP(D1352,$Y$1:$AA$22,3))</f>
        <v>20</v>
      </c>
      <c r="N1352" s="10" t="str">
        <f aca="false">_xlfn.UNICHAR(((C1352*21)+G1352)*28+44032)</f>
        <v>쎄</v>
      </c>
      <c r="O1352" s="10" t="str">
        <f aca="false">_xlfn.UNICHAR(((F1352*21)+D1352)*28+44032)</f>
        <v>끼</v>
      </c>
      <c r="P1352" s="12" t="n">
        <f aca="false">COUNTIF($A$2:$A$3000, N1352) + COUNTIF($A$2:$A$3000, O1352)</f>
        <v>2</v>
      </c>
      <c r="Q1352" s="16" t="str">
        <f aca="false">IF(OR(B1352=-1,I1352=0, P1352&lt;&gt;2), "albhed_dummy", _xlfn.CONCAT("albhed ", RIGHT("  " &amp; K1352,2),", ", RIGHT("  " &amp; L1352,2), ", " ,"""",H1352,""", ", """",N1352,""", ","""",O1352,""""," ; ", A1352))</f>
        <v>albhed 13, 20, "께", "쎄", "끼" ; 씹</v>
      </c>
    </row>
    <row r="1353" customFormat="false" ht="17.9" hidden="false" customHeight="true" outlineLevel="0" collapsed="false">
      <c r="A1353" s="16" t="s">
        <v>2218</v>
      </c>
      <c r="B1353" s="16" t="n">
        <f aca="false">IF(_xlfn.UNICODE(A1353)&lt;44032,-1,_xlfn.UNICODE(A1353)-44032)</f>
        <v>6459</v>
      </c>
      <c r="C1353" s="16" t="n">
        <f aca="false">IF(B1353=-1,-1,INT((B1353/28)/21))</f>
        <v>10</v>
      </c>
      <c r="D1353" s="16" t="n">
        <f aca="false">IF(B1353=-1, -1, MOD(INT(B1353/28),21))</f>
        <v>20</v>
      </c>
      <c r="E1353" s="16" t="n">
        <f aca="false">IF(B1353=-1, -1, VLOOKUP(MOD(B1353,28), $T$24:$U$52,2))</f>
        <v>19</v>
      </c>
      <c r="F1353" s="16" t="n">
        <f aca="false">IF($B1353=-1, -1, VLOOKUP(C1353,$T$1:$V$20, 2))</f>
        <v>1</v>
      </c>
      <c r="G1353" s="16" t="n">
        <f aca="false">IF($B1353=-1, -1, VLOOKUP(D1353,$Y$1:$Z$22,2))</f>
        <v>5</v>
      </c>
      <c r="H1353" s="16" t="str">
        <f aca="false">_xlfn.UNICHAR(((F1353*21)+G1353)*28+44032)</f>
        <v>께</v>
      </c>
      <c r="I1353" s="16" t="n">
        <f aca="false">IF(B1353=-1, 1, COUNTIF($A$2:$A$3000, H1353))</f>
        <v>1</v>
      </c>
      <c r="J1353" s="10" t="str">
        <f aca="false">_xlfn.CONCAT(A1353, ",",H1353,",",I1353)</f>
        <v>씻,께,1</v>
      </c>
      <c r="K1353" s="16" t="n">
        <f aca="false">IF(B1353=-1,-1,VLOOKUP(C1353,$T$1:$V$20,3))</f>
        <v>13</v>
      </c>
      <c r="L1353" s="16" t="n">
        <f aca="false">IF(B1353=-1,-1,VLOOKUP(D1353,$Y$1:$AA$22,3))</f>
        <v>20</v>
      </c>
      <c r="N1353" s="10" t="str">
        <f aca="false">_xlfn.UNICHAR(((C1353*21)+G1353)*28+44032)</f>
        <v>쎄</v>
      </c>
      <c r="O1353" s="10" t="str">
        <f aca="false">_xlfn.UNICHAR(((F1353*21)+D1353)*28+44032)</f>
        <v>끼</v>
      </c>
      <c r="P1353" s="12" t="n">
        <f aca="false">COUNTIF($A$2:$A$3000, N1353) + COUNTIF($A$2:$A$3000, O1353)</f>
        <v>2</v>
      </c>
      <c r="Q1353" s="16" t="str">
        <f aca="false">IF(OR(B1353=-1,I1353=0, P1353&lt;&gt;2), "albhed_dummy", _xlfn.CONCAT("albhed ", RIGHT("  " &amp; K1353,2),", ", RIGHT("  " &amp; L1353,2), ", " ,"""",H1353,""", ", """",N1353,""", ","""",O1353,""""," ; ", A1353))</f>
        <v>albhed 13, 20, "께", "쎄", "끼" ; 씻</v>
      </c>
    </row>
    <row r="1354" customFormat="false" ht="17.9" hidden="false" customHeight="true" outlineLevel="0" collapsed="false">
      <c r="A1354" s="16" t="s">
        <v>2219</v>
      </c>
      <c r="B1354" s="16" t="n">
        <f aca="false">IF(_xlfn.UNICODE(A1354)&lt;44032,-1,_xlfn.UNICODE(A1354)-44032)</f>
        <v>6461</v>
      </c>
      <c r="C1354" s="16" t="n">
        <f aca="false">IF(B1354=-1,-1,INT((B1354/28)/21))</f>
        <v>10</v>
      </c>
      <c r="D1354" s="16" t="n">
        <f aca="false">IF(B1354=-1, -1, MOD(INT(B1354/28),21))</f>
        <v>20</v>
      </c>
      <c r="E1354" s="16" t="n">
        <f aca="false">IF(B1354=-1, -1, VLOOKUP(MOD(B1354,28), $T$24:$U$52,2))</f>
        <v>21</v>
      </c>
      <c r="F1354" s="16" t="n">
        <f aca="false">IF($B1354=-1, -1, VLOOKUP(C1354,$T$1:$V$20, 2))</f>
        <v>1</v>
      </c>
      <c r="G1354" s="16" t="n">
        <f aca="false">IF($B1354=-1, -1, VLOOKUP(D1354,$Y$1:$Z$22,2))</f>
        <v>5</v>
      </c>
      <c r="H1354" s="16" t="str">
        <f aca="false">_xlfn.UNICHAR(((F1354*21)+G1354)*28+44032)</f>
        <v>께</v>
      </c>
      <c r="I1354" s="16" t="n">
        <f aca="false">IF(B1354=-1, 1, COUNTIF($A$2:$A$3000, H1354))</f>
        <v>1</v>
      </c>
      <c r="J1354" s="10" t="str">
        <f aca="false">_xlfn.CONCAT(A1354, ",",H1354,",",I1354)</f>
        <v>씽,께,1</v>
      </c>
      <c r="K1354" s="16" t="n">
        <f aca="false">IF(B1354=-1,-1,VLOOKUP(C1354,$T$1:$V$20,3))</f>
        <v>13</v>
      </c>
      <c r="L1354" s="16" t="n">
        <f aca="false">IF(B1354=-1,-1,VLOOKUP(D1354,$Y$1:$AA$22,3))</f>
        <v>20</v>
      </c>
      <c r="N1354" s="10" t="str">
        <f aca="false">_xlfn.UNICHAR(((C1354*21)+G1354)*28+44032)</f>
        <v>쎄</v>
      </c>
      <c r="O1354" s="10" t="str">
        <f aca="false">_xlfn.UNICHAR(((F1354*21)+D1354)*28+44032)</f>
        <v>끼</v>
      </c>
      <c r="P1354" s="12" t="n">
        <f aca="false">COUNTIF($A$2:$A$3000, N1354) + COUNTIF($A$2:$A$3000, O1354)</f>
        <v>2</v>
      </c>
      <c r="Q1354" s="16" t="str">
        <f aca="false">IF(OR(B1354=-1,I1354=0, P1354&lt;&gt;2), "albhed_dummy", _xlfn.CONCAT("albhed ", RIGHT("  " &amp; K1354,2),", ", RIGHT("  " &amp; L1354,2), ", " ,"""",H1354,""", ", """",N1354,""", ","""",O1354,""""," ; ", A1354))</f>
        <v>albhed 13, 20, "께", "쎄", "끼" ; 씽</v>
      </c>
    </row>
    <row r="1355" customFormat="false" ht="17.9" hidden="false" customHeight="true" outlineLevel="0" collapsed="false">
      <c r="A1355" s="16" t="s">
        <v>2220</v>
      </c>
      <c r="B1355" s="16" t="n">
        <f aca="false">IF(_xlfn.UNICODE(A1355)&lt;44032,-1,_xlfn.UNICODE(A1355)-44032)</f>
        <v>6468</v>
      </c>
      <c r="C1355" s="16" t="n">
        <f aca="false">IF(B1355=-1,-1,INT((B1355/28)/21))</f>
        <v>11</v>
      </c>
      <c r="D1355" s="16" t="n">
        <f aca="false">IF(B1355=-1, -1, MOD(INT(B1355/28),21))</f>
        <v>0</v>
      </c>
      <c r="E1355" s="16" t="n">
        <f aca="false">IF(B1355=-1, -1, VLOOKUP(MOD(B1355,28), $T$24:$U$52,2))</f>
        <v>0</v>
      </c>
      <c r="F1355" s="16" t="n">
        <f aca="false">IF($B1355=-1, -1, VLOOKUP(C1355,$T$1:$V$20, 2))</f>
        <v>15</v>
      </c>
      <c r="G1355" s="16" t="n">
        <f aca="false">IF($B1355=-1, -1, VLOOKUP(D1355,$Y$1:$Z$22,2))</f>
        <v>13</v>
      </c>
      <c r="H1355" s="16" t="str">
        <f aca="false">_xlfn.UNICHAR(((F1355*21)+G1355)*28+44032)</f>
        <v>쿠</v>
      </c>
      <c r="I1355" s="16" t="n">
        <f aca="false">IF(B1355=-1, 1, COUNTIF($A$2:$A$3000, H1355))</f>
        <v>1</v>
      </c>
      <c r="J1355" s="10" t="str">
        <f aca="false">_xlfn.CONCAT(A1355, ",",H1355,",",I1355)</f>
        <v>아,쿠,1</v>
      </c>
      <c r="K1355" s="16" t="n">
        <f aca="false">IF(B1355=-1,-1,VLOOKUP(C1355,$T$1:$V$20,3))</f>
        <v>15</v>
      </c>
      <c r="L1355" s="16" t="n">
        <f aca="false">IF(B1355=-1,-1,VLOOKUP(D1355,$Y$1:$AA$22,3))</f>
        <v>2</v>
      </c>
      <c r="N1355" s="10" t="str">
        <f aca="false">_xlfn.UNICHAR(((C1355*21)+G1355)*28+44032)</f>
        <v>우</v>
      </c>
      <c r="O1355" s="10" t="str">
        <f aca="false">_xlfn.UNICHAR(((F1355*21)+D1355)*28+44032)</f>
        <v>카</v>
      </c>
      <c r="P1355" s="12" t="n">
        <f aca="false">COUNTIF($A$2:$A$3000, N1355) + COUNTIF($A$2:$A$3000, O1355)</f>
        <v>2</v>
      </c>
      <c r="Q1355" s="16" t="str">
        <f aca="false">IF(OR(B1355=-1,I1355=0, P1355&lt;&gt;2), "albhed_dummy", _xlfn.CONCAT("albhed ", RIGHT("  " &amp; K1355,2),", ", RIGHT("  " &amp; L1355,2), ", " ,"""",H1355,""", ", """",N1355,""", ","""",O1355,""""," ; ", A1355))</f>
        <v>albhed 15,  2, "쿠", "우", "카" ; 아</v>
      </c>
    </row>
    <row r="1356" customFormat="false" ht="17.9" hidden="false" customHeight="true" outlineLevel="0" collapsed="false">
      <c r="A1356" s="16" t="s">
        <v>2221</v>
      </c>
      <c r="B1356" s="16" t="n">
        <f aca="false">IF(_xlfn.UNICODE(A1356)&lt;44032,-1,_xlfn.UNICODE(A1356)-44032)</f>
        <v>6469</v>
      </c>
      <c r="C1356" s="16" t="n">
        <f aca="false">IF(B1356=-1,-1,INT((B1356/28)/21))</f>
        <v>11</v>
      </c>
      <c r="D1356" s="16" t="n">
        <f aca="false">IF(B1356=-1, -1, MOD(INT(B1356/28),21))</f>
        <v>0</v>
      </c>
      <c r="E1356" s="16" t="n">
        <f aca="false">IF(B1356=-1, -1, VLOOKUP(MOD(B1356,28), $T$24:$U$52,2))</f>
        <v>1</v>
      </c>
      <c r="F1356" s="16" t="n">
        <f aca="false">IF($B1356=-1, -1, VLOOKUP(C1356,$T$1:$V$20, 2))</f>
        <v>15</v>
      </c>
      <c r="G1356" s="16" t="n">
        <f aca="false">IF($B1356=-1, -1, VLOOKUP(D1356,$Y$1:$Z$22,2))</f>
        <v>13</v>
      </c>
      <c r="H1356" s="16" t="str">
        <f aca="false">_xlfn.UNICHAR(((F1356*21)+G1356)*28+44032)</f>
        <v>쿠</v>
      </c>
      <c r="I1356" s="16" t="n">
        <f aca="false">IF(B1356=-1, 1, COUNTIF($A$2:$A$3000, H1356))</f>
        <v>1</v>
      </c>
      <c r="J1356" s="10" t="str">
        <f aca="false">_xlfn.CONCAT(A1356, ",",H1356,",",I1356)</f>
        <v>악,쿠,1</v>
      </c>
      <c r="K1356" s="16" t="n">
        <f aca="false">IF(B1356=-1,-1,VLOOKUP(C1356,$T$1:$V$20,3))</f>
        <v>15</v>
      </c>
      <c r="L1356" s="16" t="n">
        <f aca="false">IF(B1356=-1,-1,VLOOKUP(D1356,$Y$1:$AA$22,3))</f>
        <v>2</v>
      </c>
      <c r="N1356" s="10" t="str">
        <f aca="false">_xlfn.UNICHAR(((C1356*21)+G1356)*28+44032)</f>
        <v>우</v>
      </c>
      <c r="O1356" s="10" t="str">
        <f aca="false">_xlfn.UNICHAR(((F1356*21)+D1356)*28+44032)</f>
        <v>카</v>
      </c>
      <c r="P1356" s="12" t="n">
        <f aca="false">COUNTIF($A$2:$A$3000, N1356) + COUNTIF($A$2:$A$3000, O1356)</f>
        <v>2</v>
      </c>
      <c r="Q1356" s="16" t="str">
        <f aca="false">IF(OR(B1356=-1,I1356=0, P1356&lt;&gt;2), "albhed_dummy", _xlfn.CONCAT("albhed ", RIGHT("  " &amp; K1356,2),", ", RIGHT("  " &amp; L1356,2), ", " ,"""",H1356,""", ", """",N1356,""", ","""",O1356,""""," ; ", A1356))</f>
        <v>albhed 15,  2, "쿠", "우", "카" ; 악</v>
      </c>
    </row>
    <row r="1357" customFormat="false" ht="17.9" hidden="false" customHeight="true" outlineLevel="0" collapsed="false">
      <c r="A1357" s="16" t="s">
        <v>808</v>
      </c>
      <c r="B1357" s="16" t="n">
        <f aca="false">IF(_xlfn.UNICODE(A1357)&lt;44032,-1,_xlfn.UNICODE(A1357)-44032)</f>
        <v>6472</v>
      </c>
      <c r="C1357" s="16" t="n">
        <f aca="false">IF(B1357=-1,-1,INT((B1357/28)/21))</f>
        <v>11</v>
      </c>
      <c r="D1357" s="16" t="n">
        <f aca="false">IF(B1357=-1, -1, MOD(INT(B1357/28),21))</f>
        <v>0</v>
      </c>
      <c r="E1357" s="16" t="n">
        <f aca="false">IF(B1357=-1, -1, VLOOKUP(MOD(B1357,28), $T$24:$U$52,2))</f>
        <v>4</v>
      </c>
      <c r="F1357" s="16" t="n">
        <f aca="false">IF($B1357=-1, -1, VLOOKUP(C1357,$T$1:$V$20, 2))</f>
        <v>15</v>
      </c>
      <c r="G1357" s="16" t="n">
        <f aca="false">IF($B1357=-1, -1, VLOOKUP(D1357,$Y$1:$Z$22,2))</f>
        <v>13</v>
      </c>
      <c r="H1357" s="16" t="str">
        <f aca="false">_xlfn.UNICHAR(((F1357*21)+G1357)*28+44032)</f>
        <v>쿠</v>
      </c>
      <c r="I1357" s="16" t="n">
        <f aca="false">IF(B1357=-1, 1, COUNTIF($A$2:$A$3000, H1357))</f>
        <v>1</v>
      </c>
      <c r="J1357" s="10" t="str">
        <f aca="false">_xlfn.CONCAT(A1357, ",",H1357,",",I1357)</f>
        <v>안,쿠,1</v>
      </c>
      <c r="K1357" s="16" t="n">
        <f aca="false">IF(B1357=-1,-1,VLOOKUP(C1357,$T$1:$V$20,3))</f>
        <v>15</v>
      </c>
      <c r="L1357" s="16" t="n">
        <f aca="false">IF(B1357=-1,-1,VLOOKUP(D1357,$Y$1:$AA$22,3))</f>
        <v>2</v>
      </c>
      <c r="N1357" s="10" t="str">
        <f aca="false">_xlfn.UNICHAR(((C1357*21)+G1357)*28+44032)</f>
        <v>우</v>
      </c>
      <c r="O1357" s="10" t="str">
        <f aca="false">_xlfn.UNICHAR(((F1357*21)+D1357)*28+44032)</f>
        <v>카</v>
      </c>
      <c r="P1357" s="12" t="n">
        <f aca="false">COUNTIF($A$2:$A$3000, N1357) + COUNTIF($A$2:$A$3000, O1357)</f>
        <v>2</v>
      </c>
      <c r="Q1357" s="16" t="str">
        <f aca="false">IF(OR(B1357=-1,I1357=0, P1357&lt;&gt;2), "albhed_dummy", _xlfn.CONCAT("albhed ", RIGHT("  " &amp; K1357,2),", ", RIGHT("  " &amp; L1357,2), ", " ,"""",H1357,""", ", """",N1357,""", ","""",O1357,""""," ; ", A1357))</f>
        <v>albhed 15,  2, "쿠", "우", "카" ; 안</v>
      </c>
    </row>
    <row r="1358" customFormat="false" ht="17.9" hidden="false" customHeight="true" outlineLevel="0" collapsed="false">
      <c r="A1358" s="16" t="s">
        <v>2222</v>
      </c>
      <c r="B1358" s="16" t="n">
        <f aca="false">IF(_xlfn.UNICODE(A1358)&lt;44032,-1,_xlfn.UNICODE(A1358)-44032)</f>
        <v>6473</v>
      </c>
      <c r="C1358" s="16" t="n">
        <f aca="false">IF(B1358=-1,-1,INT((B1358/28)/21))</f>
        <v>11</v>
      </c>
      <c r="D1358" s="16" t="n">
        <f aca="false">IF(B1358=-1, -1, MOD(INT(B1358/28),21))</f>
        <v>0</v>
      </c>
      <c r="E1358" s="16" t="n">
        <f aca="false">IF(B1358=-1, -1, VLOOKUP(MOD(B1358,28), $T$24:$U$52,2))</f>
        <v>4</v>
      </c>
      <c r="F1358" s="16" t="n">
        <f aca="false">IF($B1358=-1, -1, VLOOKUP(C1358,$T$1:$V$20, 2))</f>
        <v>15</v>
      </c>
      <c r="G1358" s="16" t="n">
        <f aca="false">IF($B1358=-1, -1, VLOOKUP(D1358,$Y$1:$Z$22,2))</f>
        <v>13</v>
      </c>
      <c r="H1358" s="16" t="str">
        <f aca="false">_xlfn.UNICHAR(((F1358*21)+G1358)*28+44032)</f>
        <v>쿠</v>
      </c>
      <c r="I1358" s="16" t="n">
        <f aca="false">IF(B1358=-1, 1, COUNTIF($A$2:$A$3000, H1358))</f>
        <v>1</v>
      </c>
      <c r="J1358" s="10" t="str">
        <f aca="false">_xlfn.CONCAT(A1358, ",",H1358,",",I1358)</f>
        <v>앉,쿠,1</v>
      </c>
      <c r="K1358" s="16" t="n">
        <f aca="false">IF(B1358=-1,-1,VLOOKUP(C1358,$T$1:$V$20,3))</f>
        <v>15</v>
      </c>
      <c r="L1358" s="16" t="n">
        <f aca="false">IF(B1358=-1,-1,VLOOKUP(D1358,$Y$1:$AA$22,3))</f>
        <v>2</v>
      </c>
      <c r="N1358" s="10" t="str">
        <f aca="false">_xlfn.UNICHAR(((C1358*21)+G1358)*28+44032)</f>
        <v>우</v>
      </c>
      <c r="O1358" s="10" t="str">
        <f aca="false">_xlfn.UNICHAR(((F1358*21)+D1358)*28+44032)</f>
        <v>카</v>
      </c>
      <c r="P1358" s="12" t="n">
        <f aca="false">COUNTIF($A$2:$A$3000, N1358) + COUNTIF($A$2:$A$3000, O1358)</f>
        <v>2</v>
      </c>
      <c r="Q1358" s="16" t="str">
        <f aca="false">IF(OR(B1358=-1,I1358=0, P1358&lt;&gt;2), "albhed_dummy", _xlfn.CONCAT("albhed ", RIGHT("  " &amp; K1358,2),", ", RIGHT("  " &amp; L1358,2), ", " ,"""",H1358,""", ", """",N1358,""", ","""",O1358,""""," ; ", A1358))</f>
        <v>albhed 15,  2, "쿠", "우", "카" ; 앉</v>
      </c>
    </row>
    <row r="1359" customFormat="false" ht="17.9" hidden="false" customHeight="true" outlineLevel="0" collapsed="false">
      <c r="A1359" s="16" t="s">
        <v>2223</v>
      </c>
      <c r="B1359" s="16" t="n">
        <f aca="false">IF(_xlfn.UNICODE(A1359)&lt;44032,-1,_xlfn.UNICODE(A1359)-44032)</f>
        <v>6474</v>
      </c>
      <c r="C1359" s="16" t="n">
        <f aca="false">IF(B1359=-1,-1,INT((B1359/28)/21))</f>
        <v>11</v>
      </c>
      <c r="D1359" s="16" t="n">
        <f aca="false">IF(B1359=-1, -1, MOD(INT(B1359/28),21))</f>
        <v>0</v>
      </c>
      <c r="E1359" s="16" t="n">
        <f aca="false">IF(B1359=-1, -1, VLOOKUP(MOD(B1359,28), $T$24:$U$52,2))</f>
        <v>4</v>
      </c>
      <c r="F1359" s="16" t="n">
        <f aca="false">IF($B1359=-1, -1, VLOOKUP(C1359,$T$1:$V$20, 2))</f>
        <v>15</v>
      </c>
      <c r="G1359" s="16" t="n">
        <f aca="false">IF($B1359=-1, -1, VLOOKUP(D1359,$Y$1:$Z$22,2))</f>
        <v>13</v>
      </c>
      <c r="H1359" s="16" t="str">
        <f aca="false">_xlfn.UNICHAR(((F1359*21)+G1359)*28+44032)</f>
        <v>쿠</v>
      </c>
      <c r="I1359" s="16" t="n">
        <f aca="false">IF(B1359=-1, 1, COUNTIF($A$2:$A$3000, H1359))</f>
        <v>1</v>
      </c>
      <c r="J1359" s="10" t="str">
        <f aca="false">_xlfn.CONCAT(A1359, ",",H1359,",",I1359)</f>
        <v>않,쿠,1</v>
      </c>
      <c r="K1359" s="16" t="n">
        <f aca="false">IF(B1359=-1,-1,VLOOKUP(C1359,$T$1:$V$20,3))</f>
        <v>15</v>
      </c>
      <c r="L1359" s="16" t="n">
        <f aca="false">IF(B1359=-1,-1,VLOOKUP(D1359,$Y$1:$AA$22,3))</f>
        <v>2</v>
      </c>
      <c r="N1359" s="10" t="str">
        <f aca="false">_xlfn.UNICHAR(((C1359*21)+G1359)*28+44032)</f>
        <v>우</v>
      </c>
      <c r="O1359" s="10" t="str">
        <f aca="false">_xlfn.UNICHAR(((F1359*21)+D1359)*28+44032)</f>
        <v>카</v>
      </c>
      <c r="P1359" s="12" t="n">
        <f aca="false">COUNTIF($A$2:$A$3000, N1359) + COUNTIF($A$2:$A$3000, O1359)</f>
        <v>2</v>
      </c>
      <c r="Q1359" s="16" t="str">
        <f aca="false">IF(OR(B1359=-1,I1359=0, P1359&lt;&gt;2), "albhed_dummy", _xlfn.CONCAT("albhed ", RIGHT("  " &amp; K1359,2),", ", RIGHT("  " &amp; L1359,2), ", " ,"""",H1359,""", ", """",N1359,""", ","""",O1359,""""," ; ", A1359))</f>
        <v>albhed 15,  2, "쿠", "우", "카" ; 않</v>
      </c>
    </row>
    <row r="1360" customFormat="false" ht="17.9" hidden="false" customHeight="true" outlineLevel="0" collapsed="false">
      <c r="A1360" s="16" t="s">
        <v>2224</v>
      </c>
      <c r="B1360" s="16" t="n">
        <f aca="false">IF(_xlfn.UNICODE(A1360)&lt;44032,-1,_xlfn.UNICODE(A1360)-44032)</f>
        <v>6476</v>
      </c>
      <c r="C1360" s="16" t="n">
        <f aca="false">IF(B1360=-1,-1,INT((B1360/28)/21))</f>
        <v>11</v>
      </c>
      <c r="D1360" s="16" t="n">
        <f aca="false">IF(B1360=-1, -1, MOD(INT(B1360/28),21))</f>
        <v>0</v>
      </c>
      <c r="E1360" s="16" t="n">
        <f aca="false">IF(B1360=-1, -1, VLOOKUP(MOD(B1360,28), $T$24:$U$52,2))</f>
        <v>8</v>
      </c>
      <c r="F1360" s="16" t="n">
        <f aca="false">IF($B1360=-1, -1, VLOOKUP(C1360,$T$1:$V$20, 2))</f>
        <v>15</v>
      </c>
      <c r="G1360" s="16" t="n">
        <f aca="false">IF($B1360=-1, -1, VLOOKUP(D1360,$Y$1:$Z$22,2))</f>
        <v>13</v>
      </c>
      <c r="H1360" s="16" t="str">
        <f aca="false">_xlfn.UNICHAR(((F1360*21)+G1360)*28+44032)</f>
        <v>쿠</v>
      </c>
      <c r="I1360" s="16" t="n">
        <f aca="false">IF(B1360=-1, 1, COUNTIF($A$2:$A$3000, H1360))</f>
        <v>1</v>
      </c>
      <c r="J1360" s="10" t="str">
        <f aca="false">_xlfn.CONCAT(A1360, ",",H1360,",",I1360)</f>
        <v>알,쿠,1</v>
      </c>
      <c r="K1360" s="16" t="n">
        <f aca="false">IF(B1360=-1,-1,VLOOKUP(C1360,$T$1:$V$20,3))</f>
        <v>15</v>
      </c>
      <c r="L1360" s="16" t="n">
        <f aca="false">IF(B1360=-1,-1,VLOOKUP(D1360,$Y$1:$AA$22,3))</f>
        <v>2</v>
      </c>
      <c r="N1360" s="10" t="str">
        <f aca="false">_xlfn.UNICHAR(((C1360*21)+G1360)*28+44032)</f>
        <v>우</v>
      </c>
      <c r="O1360" s="10" t="str">
        <f aca="false">_xlfn.UNICHAR(((F1360*21)+D1360)*28+44032)</f>
        <v>카</v>
      </c>
      <c r="P1360" s="12" t="n">
        <f aca="false">COUNTIF($A$2:$A$3000, N1360) + COUNTIF($A$2:$A$3000, O1360)</f>
        <v>2</v>
      </c>
      <c r="Q1360" s="16" t="str">
        <f aca="false">IF(OR(B1360=-1,I1360=0, P1360&lt;&gt;2), "albhed_dummy", _xlfn.CONCAT("albhed ", RIGHT("  " &amp; K1360,2),", ", RIGHT("  " &amp; L1360,2), ", " ,"""",H1360,""", ", """",N1360,""", ","""",O1360,""""," ; ", A1360))</f>
        <v>albhed 15,  2, "쿠", "우", "카" ; 알</v>
      </c>
    </row>
    <row r="1361" customFormat="false" ht="17.9" hidden="false" customHeight="true" outlineLevel="0" collapsed="false">
      <c r="A1361" s="16" t="s">
        <v>2225</v>
      </c>
      <c r="B1361" s="16" t="n">
        <f aca="false">IF(_xlfn.UNICODE(A1361)&lt;44032,-1,_xlfn.UNICODE(A1361)-44032)</f>
        <v>6477</v>
      </c>
      <c r="C1361" s="16" t="n">
        <f aca="false">IF(B1361=-1,-1,INT((B1361/28)/21))</f>
        <v>11</v>
      </c>
      <c r="D1361" s="16" t="n">
        <f aca="false">IF(B1361=-1, -1, MOD(INT(B1361/28),21))</f>
        <v>0</v>
      </c>
      <c r="E1361" s="16" t="n">
        <f aca="false">IF(B1361=-1, -1, VLOOKUP(MOD(B1361,28), $T$24:$U$52,2))</f>
        <v>8</v>
      </c>
      <c r="F1361" s="16" t="n">
        <f aca="false">IF($B1361=-1, -1, VLOOKUP(C1361,$T$1:$V$20, 2))</f>
        <v>15</v>
      </c>
      <c r="G1361" s="16" t="n">
        <f aca="false">IF($B1361=-1, -1, VLOOKUP(D1361,$Y$1:$Z$22,2))</f>
        <v>13</v>
      </c>
      <c r="H1361" s="16" t="str">
        <f aca="false">_xlfn.UNICHAR(((F1361*21)+G1361)*28+44032)</f>
        <v>쿠</v>
      </c>
      <c r="I1361" s="16" t="n">
        <f aca="false">IF(B1361=-1, 1, COUNTIF($A$2:$A$3000, H1361))</f>
        <v>1</v>
      </c>
      <c r="J1361" s="10" t="str">
        <f aca="false">_xlfn.CONCAT(A1361, ",",H1361,",",I1361)</f>
        <v>앍,쿠,1</v>
      </c>
      <c r="K1361" s="16" t="n">
        <f aca="false">IF(B1361=-1,-1,VLOOKUP(C1361,$T$1:$V$20,3))</f>
        <v>15</v>
      </c>
      <c r="L1361" s="16" t="n">
        <f aca="false">IF(B1361=-1,-1,VLOOKUP(D1361,$Y$1:$AA$22,3))</f>
        <v>2</v>
      </c>
      <c r="N1361" s="10" t="str">
        <f aca="false">_xlfn.UNICHAR(((C1361*21)+G1361)*28+44032)</f>
        <v>우</v>
      </c>
      <c r="O1361" s="10" t="str">
        <f aca="false">_xlfn.UNICHAR(((F1361*21)+D1361)*28+44032)</f>
        <v>카</v>
      </c>
      <c r="P1361" s="12" t="n">
        <f aca="false">COUNTIF($A$2:$A$3000, N1361) + COUNTIF($A$2:$A$3000, O1361)</f>
        <v>2</v>
      </c>
      <c r="Q1361" s="16" t="str">
        <f aca="false">IF(OR(B1361=-1,I1361=0, P1361&lt;&gt;2), "albhed_dummy", _xlfn.CONCAT("albhed ", RIGHT("  " &amp; K1361,2),", ", RIGHT("  " &amp; L1361,2), ", " ,"""",H1361,""", ", """",N1361,""", ","""",O1361,""""," ; ", A1361))</f>
        <v>albhed 15,  2, "쿠", "우", "카" ; 앍</v>
      </c>
    </row>
    <row r="1362" customFormat="false" ht="17.9" hidden="false" customHeight="true" outlineLevel="0" collapsed="false">
      <c r="A1362" s="16" t="s">
        <v>2226</v>
      </c>
      <c r="B1362" s="16" t="n">
        <f aca="false">IF(_xlfn.UNICODE(A1362)&lt;44032,-1,_xlfn.UNICODE(A1362)-44032)</f>
        <v>6478</v>
      </c>
      <c r="C1362" s="16" t="n">
        <f aca="false">IF(B1362=-1,-1,INT((B1362/28)/21))</f>
        <v>11</v>
      </c>
      <c r="D1362" s="16" t="n">
        <f aca="false">IF(B1362=-1, -1, MOD(INT(B1362/28),21))</f>
        <v>0</v>
      </c>
      <c r="E1362" s="16" t="n">
        <f aca="false">IF(B1362=-1, -1, VLOOKUP(MOD(B1362,28), $T$24:$U$52,2))</f>
        <v>8</v>
      </c>
      <c r="F1362" s="16" t="n">
        <f aca="false">IF($B1362=-1, -1, VLOOKUP(C1362,$T$1:$V$20, 2))</f>
        <v>15</v>
      </c>
      <c r="G1362" s="16" t="n">
        <f aca="false">IF($B1362=-1, -1, VLOOKUP(D1362,$Y$1:$Z$22,2))</f>
        <v>13</v>
      </c>
      <c r="H1362" s="16" t="str">
        <f aca="false">_xlfn.UNICHAR(((F1362*21)+G1362)*28+44032)</f>
        <v>쿠</v>
      </c>
      <c r="I1362" s="16" t="n">
        <f aca="false">IF(B1362=-1, 1, COUNTIF($A$2:$A$3000, H1362))</f>
        <v>1</v>
      </c>
      <c r="J1362" s="10" t="str">
        <f aca="false">_xlfn.CONCAT(A1362, ",",H1362,",",I1362)</f>
        <v>앎,쿠,1</v>
      </c>
      <c r="K1362" s="16" t="n">
        <f aca="false">IF(B1362=-1,-1,VLOOKUP(C1362,$T$1:$V$20,3))</f>
        <v>15</v>
      </c>
      <c r="L1362" s="16" t="n">
        <f aca="false">IF(B1362=-1,-1,VLOOKUP(D1362,$Y$1:$AA$22,3))</f>
        <v>2</v>
      </c>
      <c r="N1362" s="10" t="str">
        <f aca="false">_xlfn.UNICHAR(((C1362*21)+G1362)*28+44032)</f>
        <v>우</v>
      </c>
      <c r="O1362" s="10" t="str">
        <f aca="false">_xlfn.UNICHAR(((F1362*21)+D1362)*28+44032)</f>
        <v>카</v>
      </c>
      <c r="P1362" s="12" t="n">
        <f aca="false">COUNTIF($A$2:$A$3000, N1362) + COUNTIF($A$2:$A$3000, O1362)</f>
        <v>2</v>
      </c>
      <c r="Q1362" s="16" t="str">
        <f aca="false">IF(OR(B1362=-1,I1362=0, P1362&lt;&gt;2), "albhed_dummy", _xlfn.CONCAT("albhed ", RIGHT("  " &amp; K1362,2),", ", RIGHT("  " &amp; L1362,2), ", " ,"""",H1362,""", ", """",N1362,""", ","""",O1362,""""," ; ", A1362))</f>
        <v>albhed 15,  2, "쿠", "우", "카" ; 앎</v>
      </c>
    </row>
    <row r="1363" customFormat="false" ht="17.9" hidden="false" customHeight="true" outlineLevel="0" collapsed="false">
      <c r="A1363" s="16" t="s">
        <v>2227</v>
      </c>
      <c r="B1363" s="16" t="n">
        <f aca="false">IF(_xlfn.UNICODE(A1363)&lt;44032,-1,_xlfn.UNICODE(A1363)-44032)</f>
        <v>6483</v>
      </c>
      <c r="C1363" s="16" t="n">
        <f aca="false">IF(B1363=-1,-1,INT((B1363/28)/21))</f>
        <v>11</v>
      </c>
      <c r="D1363" s="16" t="n">
        <f aca="false">IF(B1363=-1, -1, MOD(INT(B1363/28),21))</f>
        <v>0</v>
      </c>
      <c r="E1363" s="16" t="n">
        <f aca="false">IF(B1363=-1, -1, VLOOKUP(MOD(B1363,28), $T$24:$U$52,2))</f>
        <v>8</v>
      </c>
      <c r="F1363" s="16" t="n">
        <f aca="false">IF($B1363=-1, -1, VLOOKUP(C1363,$T$1:$V$20, 2))</f>
        <v>15</v>
      </c>
      <c r="G1363" s="16" t="n">
        <f aca="false">IF($B1363=-1, -1, VLOOKUP(D1363,$Y$1:$Z$22,2))</f>
        <v>13</v>
      </c>
      <c r="H1363" s="16" t="str">
        <f aca="false">_xlfn.UNICHAR(((F1363*21)+G1363)*28+44032)</f>
        <v>쿠</v>
      </c>
      <c r="I1363" s="16" t="n">
        <f aca="false">IF(B1363=-1, 1, COUNTIF($A$2:$A$3000, H1363))</f>
        <v>1</v>
      </c>
      <c r="J1363" s="10" t="str">
        <f aca="false">_xlfn.CONCAT(A1363, ",",H1363,",",I1363)</f>
        <v>앓,쿠,1</v>
      </c>
      <c r="K1363" s="16" t="n">
        <f aca="false">IF(B1363=-1,-1,VLOOKUP(C1363,$T$1:$V$20,3))</f>
        <v>15</v>
      </c>
      <c r="L1363" s="16" t="n">
        <f aca="false">IF(B1363=-1,-1,VLOOKUP(D1363,$Y$1:$AA$22,3))</f>
        <v>2</v>
      </c>
      <c r="N1363" s="10" t="str">
        <f aca="false">_xlfn.UNICHAR(((C1363*21)+G1363)*28+44032)</f>
        <v>우</v>
      </c>
      <c r="O1363" s="10" t="str">
        <f aca="false">_xlfn.UNICHAR(((F1363*21)+D1363)*28+44032)</f>
        <v>카</v>
      </c>
      <c r="P1363" s="12" t="n">
        <f aca="false">COUNTIF($A$2:$A$3000, N1363) + COUNTIF($A$2:$A$3000, O1363)</f>
        <v>2</v>
      </c>
      <c r="Q1363" s="16" t="str">
        <f aca="false">IF(OR(B1363=-1,I1363=0, P1363&lt;&gt;2), "albhed_dummy", _xlfn.CONCAT("albhed ", RIGHT("  " &amp; K1363,2),", ", RIGHT("  " &amp; L1363,2), ", " ,"""",H1363,""", ", """",N1363,""", ","""",O1363,""""," ; ", A1363))</f>
        <v>albhed 15,  2, "쿠", "우", "카" ; 앓</v>
      </c>
    </row>
    <row r="1364" customFormat="false" ht="17.9" hidden="false" customHeight="true" outlineLevel="0" collapsed="false">
      <c r="A1364" s="16" t="s">
        <v>2228</v>
      </c>
      <c r="B1364" s="16" t="n">
        <f aca="false">IF(_xlfn.UNICODE(A1364)&lt;44032,-1,_xlfn.UNICODE(A1364)-44032)</f>
        <v>6484</v>
      </c>
      <c r="C1364" s="16" t="n">
        <f aca="false">IF(B1364=-1,-1,INT((B1364/28)/21))</f>
        <v>11</v>
      </c>
      <c r="D1364" s="16" t="n">
        <f aca="false">IF(B1364=-1, -1, MOD(INT(B1364/28),21))</f>
        <v>0</v>
      </c>
      <c r="E1364" s="16" t="n">
        <f aca="false">IF(B1364=-1, -1, VLOOKUP(MOD(B1364,28), $T$24:$U$52,2))</f>
        <v>16</v>
      </c>
      <c r="F1364" s="16" t="n">
        <f aca="false">IF($B1364=-1, -1, VLOOKUP(C1364,$T$1:$V$20, 2))</f>
        <v>15</v>
      </c>
      <c r="G1364" s="16" t="n">
        <f aca="false">IF($B1364=-1, -1, VLOOKUP(D1364,$Y$1:$Z$22,2))</f>
        <v>13</v>
      </c>
      <c r="H1364" s="16" t="str">
        <f aca="false">_xlfn.UNICHAR(((F1364*21)+G1364)*28+44032)</f>
        <v>쿠</v>
      </c>
      <c r="I1364" s="16" t="n">
        <f aca="false">IF(B1364=-1, 1, COUNTIF($A$2:$A$3000, H1364))</f>
        <v>1</v>
      </c>
      <c r="J1364" s="10" t="str">
        <f aca="false">_xlfn.CONCAT(A1364, ",",H1364,",",I1364)</f>
        <v>암,쿠,1</v>
      </c>
      <c r="K1364" s="16" t="n">
        <f aca="false">IF(B1364=-1,-1,VLOOKUP(C1364,$T$1:$V$20,3))</f>
        <v>15</v>
      </c>
      <c r="L1364" s="16" t="n">
        <f aca="false">IF(B1364=-1,-1,VLOOKUP(D1364,$Y$1:$AA$22,3))</f>
        <v>2</v>
      </c>
      <c r="N1364" s="10" t="str">
        <f aca="false">_xlfn.UNICHAR(((C1364*21)+G1364)*28+44032)</f>
        <v>우</v>
      </c>
      <c r="O1364" s="10" t="str">
        <f aca="false">_xlfn.UNICHAR(((F1364*21)+D1364)*28+44032)</f>
        <v>카</v>
      </c>
      <c r="P1364" s="12" t="n">
        <f aca="false">COUNTIF($A$2:$A$3000, N1364) + COUNTIF($A$2:$A$3000, O1364)</f>
        <v>2</v>
      </c>
      <c r="Q1364" s="16" t="str">
        <f aca="false">IF(OR(B1364=-1,I1364=0, P1364&lt;&gt;2), "albhed_dummy", _xlfn.CONCAT("albhed ", RIGHT("  " &amp; K1364,2),", ", RIGHT("  " &amp; L1364,2), ", " ,"""",H1364,""", ", """",N1364,""", ","""",O1364,""""," ; ", A1364))</f>
        <v>albhed 15,  2, "쿠", "우", "카" ; 암</v>
      </c>
    </row>
    <row r="1365" customFormat="false" ht="17.9" hidden="false" customHeight="true" outlineLevel="0" collapsed="false">
      <c r="A1365" s="16" t="s">
        <v>2229</v>
      </c>
      <c r="B1365" s="16" t="n">
        <f aca="false">IF(_xlfn.UNICODE(A1365)&lt;44032,-1,_xlfn.UNICODE(A1365)-44032)</f>
        <v>6485</v>
      </c>
      <c r="C1365" s="16" t="n">
        <f aca="false">IF(B1365=-1,-1,INT((B1365/28)/21))</f>
        <v>11</v>
      </c>
      <c r="D1365" s="16" t="n">
        <f aca="false">IF(B1365=-1, -1, MOD(INT(B1365/28),21))</f>
        <v>0</v>
      </c>
      <c r="E1365" s="16" t="n">
        <f aca="false">IF(B1365=-1, -1, VLOOKUP(MOD(B1365,28), $T$24:$U$52,2))</f>
        <v>17</v>
      </c>
      <c r="F1365" s="16" t="n">
        <f aca="false">IF($B1365=-1, -1, VLOOKUP(C1365,$T$1:$V$20, 2))</f>
        <v>15</v>
      </c>
      <c r="G1365" s="16" t="n">
        <f aca="false">IF($B1365=-1, -1, VLOOKUP(D1365,$Y$1:$Z$22,2))</f>
        <v>13</v>
      </c>
      <c r="H1365" s="16" t="str">
        <f aca="false">_xlfn.UNICHAR(((F1365*21)+G1365)*28+44032)</f>
        <v>쿠</v>
      </c>
      <c r="I1365" s="16" t="n">
        <f aca="false">IF(B1365=-1, 1, COUNTIF($A$2:$A$3000, H1365))</f>
        <v>1</v>
      </c>
      <c r="J1365" s="10" t="str">
        <f aca="false">_xlfn.CONCAT(A1365, ",",H1365,",",I1365)</f>
        <v>압,쿠,1</v>
      </c>
      <c r="K1365" s="16" t="n">
        <f aca="false">IF(B1365=-1,-1,VLOOKUP(C1365,$T$1:$V$20,3))</f>
        <v>15</v>
      </c>
      <c r="L1365" s="16" t="n">
        <f aca="false">IF(B1365=-1,-1,VLOOKUP(D1365,$Y$1:$AA$22,3))</f>
        <v>2</v>
      </c>
      <c r="N1365" s="10" t="str">
        <f aca="false">_xlfn.UNICHAR(((C1365*21)+G1365)*28+44032)</f>
        <v>우</v>
      </c>
      <c r="O1365" s="10" t="str">
        <f aca="false">_xlfn.UNICHAR(((F1365*21)+D1365)*28+44032)</f>
        <v>카</v>
      </c>
      <c r="P1365" s="12" t="n">
        <f aca="false">COUNTIF($A$2:$A$3000, N1365) + COUNTIF($A$2:$A$3000, O1365)</f>
        <v>2</v>
      </c>
      <c r="Q1365" s="16" t="str">
        <f aca="false">IF(OR(B1365=-1,I1365=0, P1365&lt;&gt;2), "albhed_dummy", _xlfn.CONCAT("albhed ", RIGHT("  " &amp; K1365,2),", ", RIGHT("  " &amp; L1365,2), ", " ,"""",H1365,""", ", """",N1365,""", ","""",O1365,""""," ; ", A1365))</f>
        <v>albhed 15,  2, "쿠", "우", "카" ; 압</v>
      </c>
    </row>
    <row r="1366" customFormat="false" ht="17.9" hidden="false" customHeight="true" outlineLevel="0" collapsed="false">
      <c r="A1366" s="16" t="s">
        <v>2230</v>
      </c>
      <c r="B1366" s="16" t="n">
        <f aca="false">IF(_xlfn.UNICODE(A1366)&lt;44032,-1,_xlfn.UNICODE(A1366)-44032)</f>
        <v>6487</v>
      </c>
      <c r="C1366" s="16" t="n">
        <f aca="false">IF(B1366=-1,-1,INT((B1366/28)/21))</f>
        <v>11</v>
      </c>
      <c r="D1366" s="16" t="n">
        <f aca="false">IF(B1366=-1, -1, MOD(INT(B1366/28),21))</f>
        <v>0</v>
      </c>
      <c r="E1366" s="16" t="n">
        <f aca="false">IF(B1366=-1, -1, VLOOKUP(MOD(B1366,28), $T$24:$U$52,2))</f>
        <v>19</v>
      </c>
      <c r="F1366" s="16" t="n">
        <f aca="false">IF($B1366=-1, -1, VLOOKUP(C1366,$T$1:$V$20, 2))</f>
        <v>15</v>
      </c>
      <c r="G1366" s="16" t="n">
        <f aca="false">IF($B1366=-1, -1, VLOOKUP(D1366,$Y$1:$Z$22,2))</f>
        <v>13</v>
      </c>
      <c r="H1366" s="16" t="str">
        <f aca="false">_xlfn.UNICHAR(((F1366*21)+G1366)*28+44032)</f>
        <v>쿠</v>
      </c>
      <c r="I1366" s="16" t="n">
        <f aca="false">IF(B1366=-1, 1, COUNTIF($A$2:$A$3000, H1366))</f>
        <v>1</v>
      </c>
      <c r="J1366" s="10" t="str">
        <f aca="false">_xlfn.CONCAT(A1366, ",",H1366,",",I1366)</f>
        <v>앗,쿠,1</v>
      </c>
      <c r="K1366" s="16" t="n">
        <f aca="false">IF(B1366=-1,-1,VLOOKUP(C1366,$T$1:$V$20,3))</f>
        <v>15</v>
      </c>
      <c r="L1366" s="16" t="n">
        <f aca="false">IF(B1366=-1,-1,VLOOKUP(D1366,$Y$1:$AA$22,3))</f>
        <v>2</v>
      </c>
      <c r="N1366" s="10" t="str">
        <f aca="false">_xlfn.UNICHAR(((C1366*21)+G1366)*28+44032)</f>
        <v>우</v>
      </c>
      <c r="O1366" s="10" t="str">
        <f aca="false">_xlfn.UNICHAR(((F1366*21)+D1366)*28+44032)</f>
        <v>카</v>
      </c>
      <c r="P1366" s="12" t="n">
        <f aca="false">COUNTIF($A$2:$A$3000, N1366) + COUNTIF($A$2:$A$3000, O1366)</f>
        <v>2</v>
      </c>
      <c r="Q1366" s="16" t="str">
        <f aca="false">IF(OR(B1366=-1,I1366=0, P1366&lt;&gt;2), "albhed_dummy", _xlfn.CONCAT("albhed ", RIGHT("  " &amp; K1366,2),", ", RIGHT("  " &amp; L1366,2), ", " ,"""",H1366,""", ", """",N1366,""", ","""",O1366,""""," ; ", A1366))</f>
        <v>albhed 15,  2, "쿠", "우", "카" ; 앗</v>
      </c>
    </row>
    <row r="1367" customFormat="false" ht="17.9" hidden="false" customHeight="true" outlineLevel="0" collapsed="false">
      <c r="A1367" s="16" t="s">
        <v>2231</v>
      </c>
      <c r="B1367" s="16" t="n">
        <f aca="false">IF(_xlfn.UNICODE(A1367)&lt;44032,-1,_xlfn.UNICODE(A1367)-44032)</f>
        <v>6488</v>
      </c>
      <c r="C1367" s="16" t="n">
        <f aca="false">IF(B1367=-1,-1,INT((B1367/28)/21))</f>
        <v>11</v>
      </c>
      <c r="D1367" s="16" t="n">
        <f aca="false">IF(B1367=-1, -1, MOD(INT(B1367/28),21))</f>
        <v>0</v>
      </c>
      <c r="E1367" s="16" t="n">
        <f aca="false">IF(B1367=-1, -1, VLOOKUP(MOD(B1367,28), $T$24:$U$52,2))</f>
        <v>19</v>
      </c>
      <c r="F1367" s="16" t="n">
        <f aca="false">IF($B1367=-1, -1, VLOOKUP(C1367,$T$1:$V$20, 2))</f>
        <v>15</v>
      </c>
      <c r="G1367" s="16" t="n">
        <f aca="false">IF($B1367=-1, -1, VLOOKUP(D1367,$Y$1:$Z$22,2))</f>
        <v>13</v>
      </c>
      <c r="H1367" s="16" t="str">
        <f aca="false">_xlfn.UNICHAR(((F1367*21)+G1367)*28+44032)</f>
        <v>쿠</v>
      </c>
      <c r="I1367" s="16" t="n">
        <f aca="false">IF(B1367=-1, 1, COUNTIF($A$2:$A$3000, H1367))</f>
        <v>1</v>
      </c>
      <c r="J1367" s="10" t="str">
        <f aca="false">_xlfn.CONCAT(A1367, ",",H1367,",",I1367)</f>
        <v>았,쿠,1</v>
      </c>
      <c r="K1367" s="16" t="n">
        <f aca="false">IF(B1367=-1,-1,VLOOKUP(C1367,$T$1:$V$20,3))</f>
        <v>15</v>
      </c>
      <c r="L1367" s="16" t="n">
        <f aca="false">IF(B1367=-1,-1,VLOOKUP(D1367,$Y$1:$AA$22,3))</f>
        <v>2</v>
      </c>
      <c r="N1367" s="10" t="str">
        <f aca="false">_xlfn.UNICHAR(((C1367*21)+G1367)*28+44032)</f>
        <v>우</v>
      </c>
      <c r="O1367" s="10" t="str">
        <f aca="false">_xlfn.UNICHAR(((F1367*21)+D1367)*28+44032)</f>
        <v>카</v>
      </c>
      <c r="P1367" s="12" t="n">
        <f aca="false">COUNTIF($A$2:$A$3000, N1367) + COUNTIF($A$2:$A$3000, O1367)</f>
        <v>2</v>
      </c>
      <c r="Q1367" s="16" t="str">
        <f aca="false">IF(OR(B1367=-1,I1367=0, P1367&lt;&gt;2), "albhed_dummy", _xlfn.CONCAT("albhed ", RIGHT("  " &amp; K1367,2),", ", RIGHT("  " &amp; L1367,2), ", " ,"""",H1367,""", ", """",N1367,""", ","""",O1367,""""," ; ", A1367))</f>
        <v>albhed 15,  2, "쿠", "우", "카" ; 았</v>
      </c>
    </row>
    <row r="1368" customFormat="false" ht="17.9" hidden="false" customHeight="true" outlineLevel="0" collapsed="false">
      <c r="A1368" s="16" t="s">
        <v>2232</v>
      </c>
      <c r="B1368" s="16" t="n">
        <f aca="false">IF(_xlfn.UNICODE(A1368)&lt;44032,-1,_xlfn.UNICODE(A1368)-44032)</f>
        <v>6489</v>
      </c>
      <c r="C1368" s="16" t="n">
        <f aca="false">IF(B1368=-1,-1,INT((B1368/28)/21))</f>
        <v>11</v>
      </c>
      <c r="D1368" s="16" t="n">
        <f aca="false">IF(B1368=-1, -1, MOD(INT(B1368/28),21))</f>
        <v>0</v>
      </c>
      <c r="E1368" s="16" t="n">
        <f aca="false">IF(B1368=-1, -1, VLOOKUP(MOD(B1368,28), $T$24:$U$52,2))</f>
        <v>21</v>
      </c>
      <c r="F1368" s="16" t="n">
        <f aca="false">IF($B1368=-1, -1, VLOOKUP(C1368,$T$1:$V$20, 2))</f>
        <v>15</v>
      </c>
      <c r="G1368" s="16" t="n">
        <f aca="false">IF($B1368=-1, -1, VLOOKUP(D1368,$Y$1:$Z$22,2))</f>
        <v>13</v>
      </c>
      <c r="H1368" s="16" t="str">
        <f aca="false">_xlfn.UNICHAR(((F1368*21)+G1368)*28+44032)</f>
        <v>쿠</v>
      </c>
      <c r="I1368" s="16" t="n">
        <f aca="false">IF(B1368=-1, 1, COUNTIF($A$2:$A$3000, H1368))</f>
        <v>1</v>
      </c>
      <c r="J1368" s="10" t="str">
        <f aca="false">_xlfn.CONCAT(A1368, ",",H1368,",",I1368)</f>
        <v>앙,쿠,1</v>
      </c>
      <c r="K1368" s="16" t="n">
        <f aca="false">IF(B1368=-1,-1,VLOOKUP(C1368,$T$1:$V$20,3))</f>
        <v>15</v>
      </c>
      <c r="L1368" s="16" t="n">
        <f aca="false">IF(B1368=-1,-1,VLOOKUP(D1368,$Y$1:$AA$22,3))</f>
        <v>2</v>
      </c>
      <c r="N1368" s="10" t="str">
        <f aca="false">_xlfn.UNICHAR(((C1368*21)+G1368)*28+44032)</f>
        <v>우</v>
      </c>
      <c r="O1368" s="10" t="str">
        <f aca="false">_xlfn.UNICHAR(((F1368*21)+D1368)*28+44032)</f>
        <v>카</v>
      </c>
      <c r="P1368" s="12" t="n">
        <f aca="false">COUNTIF($A$2:$A$3000, N1368) + COUNTIF($A$2:$A$3000, O1368)</f>
        <v>2</v>
      </c>
      <c r="Q1368" s="16" t="str">
        <f aca="false">IF(OR(B1368=-1,I1368=0, P1368&lt;&gt;2), "albhed_dummy", _xlfn.CONCAT("albhed ", RIGHT("  " &amp; K1368,2),", ", RIGHT("  " &amp; L1368,2), ", " ,"""",H1368,""", ", """",N1368,""", ","""",O1368,""""," ; ", A1368))</f>
        <v>albhed 15,  2, "쿠", "우", "카" ; 앙</v>
      </c>
    </row>
    <row r="1369" customFormat="false" ht="17.9" hidden="false" customHeight="true" outlineLevel="0" collapsed="false">
      <c r="A1369" s="16" t="s">
        <v>2233</v>
      </c>
      <c r="B1369" s="16" t="n">
        <f aca="false">IF(_xlfn.UNICODE(A1369)&lt;44032,-1,_xlfn.UNICODE(A1369)-44032)</f>
        <v>6493</v>
      </c>
      <c r="C1369" s="16" t="n">
        <f aca="false">IF(B1369=-1,-1,INT((B1369/28)/21))</f>
        <v>11</v>
      </c>
      <c r="D1369" s="16" t="n">
        <f aca="false">IF(B1369=-1, -1, MOD(INT(B1369/28),21))</f>
        <v>0</v>
      </c>
      <c r="E1369" s="16" t="n">
        <f aca="false">IF(B1369=-1, -1, VLOOKUP(MOD(B1369,28), $T$24:$U$52,2))</f>
        <v>19</v>
      </c>
      <c r="F1369" s="16" t="n">
        <f aca="false">IF($B1369=-1, -1, VLOOKUP(C1369,$T$1:$V$20, 2))</f>
        <v>15</v>
      </c>
      <c r="G1369" s="16" t="n">
        <f aca="false">IF($B1369=-1, -1, VLOOKUP(D1369,$Y$1:$Z$22,2))</f>
        <v>13</v>
      </c>
      <c r="H1369" s="16" t="str">
        <f aca="false">_xlfn.UNICHAR(((F1369*21)+G1369)*28+44032)</f>
        <v>쿠</v>
      </c>
      <c r="I1369" s="16" t="n">
        <f aca="false">IF(B1369=-1, 1, COUNTIF($A$2:$A$3000, H1369))</f>
        <v>1</v>
      </c>
      <c r="J1369" s="10" t="str">
        <f aca="false">_xlfn.CONCAT(A1369, ",",H1369,",",I1369)</f>
        <v>앝,쿠,1</v>
      </c>
      <c r="K1369" s="16" t="n">
        <f aca="false">IF(B1369=-1,-1,VLOOKUP(C1369,$T$1:$V$20,3))</f>
        <v>15</v>
      </c>
      <c r="L1369" s="16" t="n">
        <f aca="false">IF(B1369=-1,-1,VLOOKUP(D1369,$Y$1:$AA$22,3))</f>
        <v>2</v>
      </c>
      <c r="N1369" s="10" t="str">
        <f aca="false">_xlfn.UNICHAR(((C1369*21)+G1369)*28+44032)</f>
        <v>우</v>
      </c>
      <c r="O1369" s="10" t="str">
        <f aca="false">_xlfn.UNICHAR(((F1369*21)+D1369)*28+44032)</f>
        <v>카</v>
      </c>
      <c r="P1369" s="12" t="n">
        <f aca="false">COUNTIF($A$2:$A$3000, N1369) + COUNTIF($A$2:$A$3000, O1369)</f>
        <v>2</v>
      </c>
      <c r="Q1369" s="16" t="str">
        <f aca="false">IF(OR(B1369=-1,I1369=0, P1369&lt;&gt;2), "albhed_dummy", _xlfn.CONCAT("albhed ", RIGHT("  " &amp; K1369,2),", ", RIGHT("  " &amp; L1369,2), ", " ,"""",H1369,""", ", """",N1369,""", ","""",O1369,""""," ; ", A1369))</f>
        <v>albhed 15,  2, "쿠", "우", "카" ; 앝</v>
      </c>
    </row>
    <row r="1370" customFormat="false" ht="17.9" hidden="false" customHeight="true" outlineLevel="0" collapsed="false">
      <c r="A1370" s="16" t="s">
        <v>2234</v>
      </c>
      <c r="B1370" s="16" t="n">
        <f aca="false">IF(_xlfn.UNICODE(A1370)&lt;44032,-1,_xlfn.UNICODE(A1370)-44032)</f>
        <v>6494</v>
      </c>
      <c r="C1370" s="16" t="n">
        <f aca="false">IF(B1370=-1,-1,INT((B1370/28)/21))</f>
        <v>11</v>
      </c>
      <c r="D1370" s="16" t="n">
        <f aca="false">IF(B1370=-1, -1, MOD(INT(B1370/28),21))</f>
        <v>0</v>
      </c>
      <c r="E1370" s="16" t="n">
        <f aca="false">IF(B1370=-1, -1, VLOOKUP(MOD(B1370,28), $T$24:$U$52,2))</f>
        <v>17</v>
      </c>
      <c r="F1370" s="16" t="n">
        <f aca="false">IF($B1370=-1, -1, VLOOKUP(C1370,$T$1:$V$20, 2))</f>
        <v>15</v>
      </c>
      <c r="G1370" s="16" t="n">
        <f aca="false">IF($B1370=-1, -1, VLOOKUP(D1370,$Y$1:$Z$22,2))</f>
        <v>13</v>
      </c>
      <c r="H1370" s="16" t="str">
        <f aca="false">_xlfn.UNICHAR(((F1370*21)+G1370)*28+44032)</f>
        <v>쿠</v>
      </c>
      <c r="I1370" s="16" t="n">
        <f aca="false">IF(B1370=-1, 1, COUNTIF($A$2:$A$3000, H1370))</f>
        <v>1</v>
      </c>
      <c r="J1370" s="10" t="str">
        <f aca="false">_xlfn.CONCAT(A1370, ",",H1370,",",I1370)</f>
        <v>앞,쿠,1</v>
      </c>
      <c r="K1370" s="16" t="n">
        <f aca="false">IF(B1370=-1,-1,VLOOKUP(C1370,$T$1:$V$20,3))</f>
        <v>15</v>
      </c>
      <c r="L1370" s="16" t="n">
        <f aca="false">IF(B1370=-1,-1,VLOOKUP(D1370,$Y$1:$AA$22,3))</f>
        <v>2</v>
      </c>
      <c r="N1370" s="10" t="str">
        <f aca="false">_xlfn.UNICHAR(((C1370*21)+G1370)*28+44032)</f>
        <v>우</v>
      </c>
      <c r="O1370" s="10" t="str">
        <f aca="false">_xlfn.UNICHAR(((F1370*21)+D1370)*28+44032)</f>
        <v>카</v>
      </c>
      <c r="P1370" s="12" t="n">
        <f aca="false">COUNTIF($A$2:$A$3000, N1370) + COUNTIF($A$2:$A$3000, O1370)</f>
        <v>2</v>
      </c>
      <c r="Q1370" s="16" t="str">
        <f aca="false">IF(OR(B1370=-1,I1370=0, P1370&lt;&gt;2), "albhed_dummy", _xlfn.CONCAT("albhed ", RIGHT("  " &amp; K1370,2),", ", RIGHT("  " &amp; L1370,2), ", " ,"""",H1370,""", ", """",N1370,""", ","""",O1370,""""," ; ", A1370))</f>
        <v>albhed 15,  2, "쿠", "우", "카" ; 앞</v>
      </c>
    </row>
    <row r="1371" customFormat="false" ht="17.9" hidden="false" customHeight="true" outlineLevel="0" collapsed="false">
      <c r="A1371" s="16" t="s">
        <v>2235</v>
      </c>
      <c r="B1371" s="16" t="n">
        <f aca="false">IF(_xlfn.UNICODE(A1371)&lt;44032,-1,_xlfn.UNICODE(A1371)-44032)</f>
        <v>6496</v>
      </c>
      <c r="C1371" s="16" t="n">
        <f aca="false">IF(B1371=-1,-1,INT((B1371/28)/21))</f>
        <v>11</v>
      </c>
      <c r="D1371" s="16" t="n">
        <f aca="false">IF(B1371=-1, -1, MOD(INT(B1371/28),21))</f>
        <v>1</v>
      </c>
      <c r="E1371" s="16" t="n">
        <f aca="false">IF(B1371=-1, -1, VLOOKUP(MOD(B1371,28), $T$24:$U$52,2))</f>
        <v>0</v>
      </c>
      <c r="F1371" s="16" t="n">
        <f aca="false">IF($B1371=-1, -1, VLOOKUP(C1371,$T$1:$V$20, 2))</f>
        <v>15</v>
      </c>
      <c r="G1371" s="16" t="n">
        <f aca="false">IF($B1371=-1, -1, VLOOKUP(D1371,$Y$1:$Z$22,2))</f>
        <v>18</v>
      </c>
      <c r="H1371" s="16" t="str">
        <f aca="false">_xlfn.UNICHAR(((F1371*21)+G1371)*28+44032)</f>
        <v>크</v>
      </c>
      <c r="I1371" s="16" t="n">
        <f aca="false">IF(B1371=-1, 1, COUNTIF($A$2:$A$3000, H1371))</f>
        <v>1</v>
      </c>
      <c r="J1371" s="10" t="str">
        <f aca="false">_xlfn.CONCAT(A1371, ",",H1371,",",I1371)</f>
        <v>애,크,1</v>
      </c>
      <c r="K1371" s="16" t="n">
        <f aca="false">IF(B1371=-1,-1,VLOOKUP(C1371,$T$1:$V$20,3))</f>
        <v>15</v>
      </c>
      <c r="L1371" s="16" t="n">
        <f aca="false">IF(B1371=-1,-1,VLOOKUP(D1371,$Y$1:$AA$22,3))</f>
        <v>10</v>
      </c>
      <c r="N1371" s="10" t="str">
        <f aca="false">_xlfn.UNICHAR(((C1371*21)+G1371)*28+44032)</f>
        <v>으</v>
      </c>
      <c r="O1371" s="10" t="str">
        <f aca="false">_xlfn.UNICHAR(((F1371*21)+D1371)*28+44032)</f>
        <v>캐</v>
      </c>
      <c r="P1371" s="12" t="n">
        <f aca="false">COUNTIF($A$2:$A$3000, N1371) + COUNTIF($A$2:$A$3000, O1371)</f>
        <v>2</v>
      </c>
      <c r="Q1371" s="16" t="str">
        <f aca="false">IF(OR(B1371=-1,I1371=0, P1371&lt;&gt;2), "albhed_dummy", _xlfn.CONCAT("albhed ", RIGHT("  " &amp; K1371,2),", ", RIGHT("  " &amp; L1371,2), ", " ,"""",H1371,""", ", """",N1371,""", ","""",O1371,""""," ; ", A1371))</f>
        <v>albhed 15, 10, "크", "으", "캐" ; 애</v>
      </c>
    </row>
    <row r="1372" customFormat="false" ht="17.9" hidden="false" customHeight="true" outlineLevel="0" collapsed="false">
      <c r="A1372" s="16" t="s">
        <v>2236</v>
      </c>
      <c r="B1372" s="16" t="n">
        <f aca="false">IF(_xlfn.UNICODE(A1372)&lt;44032,-1,_xlfn.UNICODE(A1372)-44032)</f>
        <v>6497</v>
      </c>
      <c r="C1372" s="16" t="n">
        <f aca="false">IF(B1372=-1,-1,INT((B1372/28)/21))</f>
        <v>11</v>
      </c>
      <c r="D1372" s="16" t="n">
        <f aca="false">IF(B1372=-1, -1, MOD(INT(B1372/28),21))</f>
        <v>1</v>
      </c>
      <c r="E1372" s="16" t="n">
        <f aca="false">IF(B1372=-1, -1, VLOOKUP(MOD(B1372,28), $T$24:$U$52,2))</f>
        <v>1</v>
      </c>
      <c r="F1372" s="16" t="n">
        <f aca="false">IF($B1372=-1, -1, VLOOKUP(C1372,$T$1:$V$20, 2))</f>
        <v>15</v>
      </c>
      <c r="G1372" s="16" t="n">
        <f aca="false">IF($B1372=-1, -1, VLOOKUP(D1372,$Y$1:$Z$22,2))</f>
        <v>18</v>
      </c>
      <c r="H1372" s="16" t="str">
        <f aca="false">_xlfn.UNICHAR(((F1372*21)+G1372)*28+44032)</f>
        <v>크</v>
      </c>
      <c r="I1372" s="16" t="n">
        <f aca="false">IF(B1372=-1, 1, COUNTIF($A$2:$A$3000, H1372))</f>
        <v>1</v>
      </c>
      <c r="J1372" s="10" t="str">
        <f aca="false">_xlfn.CONCAT(A1372, ",",H1372,",",I1372)</f>
        <v>액,크,1</v>
      </c>
      <c r="K1372" s="16" t="n">
        <f aca="false">IF(B1372=-1,-1,VLOOKUP(C1372,$T$1:$V$20,3))</f>
        <v>15</v>
      </c>
      <c r="L1372" s="16" t="n">
        <f aca="false">IF(B1372=-1,-1,VLOOKUP(D1372,$Y$1:$AA$22,3))</f>
        <v>10</v>
      </c>
      <c r="N1372" s="10" t="str">
        <f aca="false">_xlfn.UNICHAR(((C1372*21)+G1372)*28+44032)</f>
        <v>으</v>
      </c>
      <c r="O1372" s="10" t="str">
        <f aca="false">_xlfn.UNICHAR(((F1372*21)+D1372)*28+44032)</f>
        <v>캐</v>
      </c>
      <c r="P1372" s="12" t="n">
        <f aca="false">COUNTIF($A$2:$A$3000, N1372) + COUNTIF($A$2:$A$3000, O1372)</f>
        <v>2</v>
      </c>
      <c r="Q1372" s="16" t="str">
        <f aca="false">IF(OR(B1372=-1,I1372=0, P1372&lt;&gt;2), "albhed_dummy", _xlfn.CONCAT("albhed ", RIGHT("  " &amp; K1372,2),", ", RIGHT("  " &amp; L1372,2), ", " ,"""",H1372,""", ", """",N1372,""", ","""",O1372,""""," ; ", A1372))</f>
        <v>albhed 15, 10, "크", "으", "캐" ; 액</v>
      </c>
    </row>
    <row r="1373" customFormat="false" ht="17.9" hidden="false" customHeight="true" outlineLevel="0" collapsed="false">
      <c r="A1373" s="16" t="s">
        <v>2237</v>
      </c>
      <c r="B1373" s="16" t="n">
        <f aca="false">IF(_xlfn.UNICODE(A1373)&lt;44032,-1,_xlfn.UNICODE(A1373)-44032)</f>
        <v>6500</v>
      </c>
      <c r="C1373" s="16" t="n">
        <f aca="false">IF(B1373=-1,-1,INT((B1373/28)/21))</f>
        <v>11</v>
      </c>
      <c r="D1373" s="16" t="n">
        <f aca="false">IF(B1373=-1, -1, MOD(INT(B1373/28),21))</f>
        <v>1</v>
      </c>
      <c r="E1373" s="16" t="n">
        <f aca="false">IF(B1373=-1, -1, VLOOKUP(MOD(B1373,28), $T$24:$U$52,2))</f>
        <v>4</v>
      </c>
      <c r="F1373" s="16" t="n">
        <f aca="false">IF($B1373=-1, -1, VLOOKUP(C1373,$T$1:$V$20, 2))</f>
        <v>15</v>
      </c>
      <c r="G1373" s="16" t="n">
        <f aca="false">IF($B1373=-1, -1, VLOOKUP(D1373,$Y$1:$Z$22,2))</f>
        <v>18</v>
      </c>
      <c r="H1373" s="16" t="str">
        <f aca="false">_xlfn.UNICHAR(((F1373*21)+G1373)*28+44032)</f>
        <v>크</v>
      </c>
      <c r="I1373" s="16" t="n">
        <f aca="false">IF(B1373=-1, 1, COUNTIF($A$2:$A$3000, H1373))</f>
        <v>1</v>
      </c>
      <c r="J1373" s="10" t="str">
        <f aca="false">_xlfn.CONCAT(A1373, ",",H1373,",",I1373)</f>
        <v>앤,크,1</v>
      </c>
      <c r="K1373" s="16" t="n">
        <f aca="false">IF(B1373=-1,-1,VLOOKUP(C1373,$T$1:$V$20,3))</f>
        <v>15</v>
      </c>
      <c r="L1373" s="16" t="n">
        <f aca="false">IF(B1373=-1,-1,VLOOKUP(D1373,$Y$1:$AA$22,3))</f>
        <v>10</v>
      </c>
      <c r="N1373" s="10" t="str">
        <f aca="false">_xlfn.UNICHAR(((C1373*21)+G1373)*28+44032)</f>
        <v>으</v>
      </c>
      <c r="O1373" s="10" t="str">
        <f aca="false">_xlfn.UNICHAR(((F1373*21)+D1373)*28+44032)</f>
        <v>캐</v>
      </c>
      <c r="P1373" s="12" t="n">
        <f aca="false">COUNTIF($A$2:$A$3000, N1373) + COUNTIF($A$2:$A$3000, O1373)</f>
        <v>2</v>
      </c>
      <c r="Q1373" s="16" t="str">
        <f aca="false">IF(OR(B1373=-1,I1373=0, P1373&lt;&gt;2), "albhed_dummy", _xlfn.CONCAT("albhed ", RIGHT("  " &amp; K1373,2),", ", RIGHT("  " &amp; L1373,2), ", " ,"""",H1373,""", ", """",N1373,""", ","""",O1373,""""," ; ", A1373))</f>
        <v>albhed 15, 10, "크", "으", "캐" ; 앤</v>
      </c>
    </row>
    <row r="1374" customFormat="false" ht="17.9" hidden="false" customHeight="true" outlineLevel="0" collapsed="false">
      <c r="A1374" s="16" t="s">
        <v>2238</v>
      </c>
      <c r="B1374" s="16" t="n">
        <f aca="false">IF(_xlfn.UNICODE(A1374)&lt;44032,-1,_xlfn.UNICODE(A1374)-44032)</f>
        <v>6504</v>
      </c>
      <c r="C1374" s="16" t="n">
        <f aca="false">IF(B1374=-1,-1,INT((B1374/28)/21))</f>
        <v>11</v>
      </c>
      <c r="D1374" s="16" t="n">
        <f aca="false">IF(B1374=-1, -1, MOD(INT(B1374/28),21))</f>
        <v>1</v>
      </c>
      <c r="E1374" s="16" t="n">
        <f aca="false">IF(B1374=-1, -1, VLOOKUP(MOD(B1374,28), $T$24:$U$52,2))</f>
        <v>8</v>
      </c>
      <c r="F1374" s="16" t="n">
        <f aca="false">IF($B1374=-1, -1, VLOOKUP(C1374,$T$1:$V$20, 2))</f>
        <v>15</v>
      </c>
      <c r="G1374" s="16" t="n">
        <f aca="false">IF($B1374=-1, -1, VLOOKUP(D1374,$Y$1:$Z$22,2))</f>
        <v>18</v>
      </c>
      <c r="H1374" s="16" t="str">
        <f aca="false">_xlfn.UNICHAR(((F1374*21)+G1374)*28+44032)</f>
        <v>크</v>
      </c>
      <c r="I1374" s="16" t="n">
        <f aca="false">IF(B1374=-1, 1, COUNTIF($A$2:$A$3000, H1374))</f>
        <v>1</v>
      </c>
      <c r="J1374" s="10" t="str">
        <f aca="false">_xlfn.CONCAT(A1374, ",",H1374,",",I1374)</f>
        <v>앨,크,1</v>
      </c>
      <c r="K1374" s="16" t="n">
        <f aca="false">IF(B1374=-1,-1,VLOOKUP(C1374,$T$1:$V$20,3))</f>
        <v>15</v>
      </c>
      <c r="L1374" s="16" t="n">
        <f aca="false">IF(B1374=-1,-1,VLOOKUP(D1374,$Y$1:$AA$22,3))</f>
        <v>10</v>
      </c>
      <c r="N1374" s="10" t="str">
        <f aca="false">_xlfn.UNICHAR(((C1374*21)+G1374)*28+44032)</f>
        <v>으</v>
      </c>
      <c r="O1374" s="10" t="str">
        <f aca="false">_xlfn.UNICHAR(((F1374*21)+D1374)*28+44032)</f>
        <v>캐</v>
      </c>
      <c r="P1374" s="12" t="n">
        <f aca="false">COUNTIF($A$2:$A$3000, N1374) + COUNTIF($A$2:$A$3000, O1374)</f>
        <v>2</v>
      </c>
      <c r="Q1374" s="16" t="str">
        <f aca="false">IF(OR(B1374=-1,I1374=0, P1374&lt;&gt;2), "albhed_dummy", _xlfn.CONCAT("albhed ", RIGHT("  " &amp; K1374,2),", ", RIGHT("  " &amp; L1374,2), ", " ,"""",H1374,""", ", """",N1374,""", ","""",O1374,""""," ; ", A1374))</f>
        <v>albhed 15, 10, "크", "으", "캐" ; 앨</v>
      </c>
    </row>
    <row r="1375" customFormat="false" ht="17.9" hidden="false" customHeight="true" outlineLevel="0" collapsed="false">
      <c r="A1375" s="16" t="s">
        <v>2239</v>
      </c>
      <c r="B1375" s="16" t="n">
        <f aca="false">IF(_xlfn.UNICODE(A1375)&lt;44032,-1,_xlfn.UNICODE(A1375)-44032)</f>
        <v>6512</v>
      </c>
      <c r="C1375" s="16" t="n">
        <f aca="false">IF(B1375=-1,-1,INT((B1375/28)/21))</f>
        <v>11</v>
      </c>
      <c r="D1375" s="16" t="n">
        <f aca="false">IF(B1375=-1, -1, MOD(INT(B1375/28),21))</f>
        <v>1</v>
      </c>
      <c r="E1375" s="16" t="n">
        <f aca="false">IF(B1375=-1, -1, VLOOKUP(MOD(B1375,28), $T$24:$U$52,2))</f>
        <v>16</v>
      </c>
      <c r="F1375" s="16" t="n">
        <f aca="false">IF($B1375=-1, -1, VLOOKUP(C1375,$T$1:$V$20, 2))</f>
        <v>15</v>
      </c>
      <c r="G1375" s="16" t="n">
        <f aca="false">IF($B1375=-1, -1, VLOOKUP(D1375,$Y$1:$Z$22,2))</f>
        <v>18</v>
      </c>
      <c r="H1375" s="16" t="str">
        <f aca="false">_xlfn.UNICHAR(((F1375*21)+G1375)*28+44032)</f>
        <v>크</v>
      </c>
      <c r="I1375" s="16" t="n">
        <f aca="false">IF(B1375=-1, 1, COUNTIF($A$2:$A$3000, H1375))</f>
        <v>1</v>
      </c>
      <c r="J1375" s="10" t="str">
        <f aca="false">_xlfn.CONCAT(A1375, ",",H1375,",",I1375)</f>
        <v>앰,크,1</v>
      </c>
      <c r="K1375" s="16" t="n">
        <f aca="false">IF(B1375=-1,-1,VLOOKUP(C1375,$T$1:$V$20,3))</f>
        <v>15</v>
      </c>
      <c r="L1375" s="16" t="n">
        <f aca="false">IF(B1375=-1,-1,VLOOKUP(D1375,$Y$1:$AA$22,3))</f>
        <v>10</v>
      </c>
      <c r="N1375" s="10" t="str">
        <f aca="false">_xlfn.UNICHAR(((C1375*21)+G1375)*28+44032)</f>
        <v>으</v>
      </c>
      <c r="O1375" s="10" t="str">
        <f aca="false">_xlfn.UNICHAR(((F1375*21)+D1375)*28+44032)</f>
        <v>캐</v>
      </c>
      <c r="P1375" s="12" t="n">
        <f aca="false">COUNTIF($A$2:$A$3000, N1375) + COUNTIF($A$2:$A$3000, O1375)</f>
        <v>2</v>
      </c>
      <c r="Q1375" s="16" t="str">
        <f aca="false">IF(OR(B1375=-1,I1375=0, P1375&lt;&gt;2), "albhed_dummy", _xlfn.CONCAT("albhed ", RIGHT("  " &amp; K1375,2),", ", RIGHT("  " &amp; L1375,2), ", " ,"""",H1375,""", ", """",N1375,""", ","""",O1375,""""," ; ", A1375))</f>
        <v>albhed 15, 10, "크", "으", "캐" ; 앰</v>
      </c>
    </row>
    <row r="1376" customFormat="false" ht="17.9" hidden="false" customHeight="true" outlineLevel="0" collapsed="false">
      <c r="A1376" s="16" t="s">
        <v>2240</v>
      </c>
      <c r="B1376" s="16" t="n">
        <f aca="false">IF(_xlfn.UNICODE(A1376)&lt;44032,-1,_xlfn.UNICODE(A1376)-44032)</f>
        <v>6513</v>
      </c>
      <c r="C1376" s="16" t="n">
        <f aca="false">IF(B1376=-1,-1,INT((B1376/28)/21))</f>
        <v>11</v>
      </c>
      <c r="D1376" s="16" t="n">
        <f aca="false">IF(B1376=-1, -1, MOD(INT(B1376/28),21))</f>
        <v>1</v>
      </c>
      <c r="E1376" s="16" t="n">
        <f aca="false">IF(B1376=-1, -1, VLOOKUP(MOD(B1376,28), $T$24:$U$52,2))</f>
        <v>17</v>
      </c>
      <c r="F1376" s="16" t="n">
        <f aca="false">IF($B1376=-1, -1, VLOOKUP(C1376,$T$1:$V$20, 2))</f>
        <v>15</v>
      </c>
      <c r="G1376" s="16" t="n">
        <f aca="false">IF($B1376=-1, -1, VLOOKUP(D1376,$Y$1:$Z$22,2))</f>
        <v>18</v>
      </c>
      <c r="H1376" s="16" t="str">
        <f aca="false">_xlfn.UNICHAR(((F1376*21)+G1376)*28+44032)</f>
        <v>크</v>
      </c>
      <c r="I1376" s="16" t="n">
        <f aca="false">IF(B1376=-1, 1, COUNTIF($A$2:$A$3000, H1376))</f>
        <v>1</v>
      </c>
      <c r="J1376" s="10" t="str">
        <f aca="false">_xlfn.CONCAT(A1376, ",",H1376,",",I1376)</f>
        <v>앱,크,1</v>
      </c>
      <c r="K1376" s="16" t="n">
        <f aca="false">IF(B1376=-1,-1,VLOOKUP(C1376,$T$1:$V$20,3))</f>
        <v>15</v>
      </c>
      <c r="L1376" s="16" t="n">
        <f aca="false">IF(B1376=-1,-1,VLOOKUP(D1376,$Y$1:$AA$22,3))</f>
        <v>10</v>
      </c>
      <c r="N1376" s="10" t="str">
        <f aca="false">_xlfn.UNICHAR(((C1376*21)+G1376)*28+44032)</f>
        <v>으</v>
      </c>
      <c r="O1376" s="10" t="str">
        <f aca="false">_xlfn.UNICHAR(((F1376*21)+D1376)*28+44032)</f>
        <v>캐</v>
      </c>
      <c r="P1376" s="12" t="n">
        <f aca="false">COUNTIF($A$2:$A$3000, N1376) + COUNTIF($A$2:$A$3000, O1376)</f>
        <v>2</v>
      </c>
      <c r="Q1376" s="16" t="str">
        <f aca="false">IF(OR(B1376=-1,I1376=0, P1376&lt;&gt;2), "albhed_dummy", _xlfn.CONCAT("albhed ", RIGHT("  " &amp; K1376,2),", ", RIGHT("  " &amp; L1376,2), ", " ,"""",H1376,""", ", """",N1376,""", ","""",O1376,""""," ; ", A1376))</f>
        <v>albhed 15, 10, "크", "으", "캐" ; 앱</v>
      </c>
    </row>
    <row r="1377" customFormat="false" ht="17.9" hidden="false" customHeight="true" outlineLevel="0" collapsed="false">
      <c r="A1377" s="16" t="s">
        <v>2241</v>
      </c>
      <c r="B1377" s="16" t="n">
        <f aca="false">IF(_xlfn.UNICODE(A1377)&lt;44032,-1,_xlfn.UNICODE(A1377)-44032)</f>
        <v>6515</v>
      </c>
      <c r="C1377" s="16" t="n">
        <f aca="false">IF(B1377=-1,-1,INT((B1377/28)/21))</f>
        <v>11</v>
      </c>
      <c r="D1377" s="16" t="n">
        <f aca="false">IF(B1377=-1, -1, MOD(INT(B1377/28),21))</f>
        <v>1</v>
      </c>
      <c r="E1377" s="16" t="n">
        <f aca="false">IF(B1377=-1, -1, VLOOKUP(MOD(B1377,28), $T$24:$U$52,2))</f>
        <v>19</v>
      </c>
      <c r="F1377" s="16" t="n">
        <f aca="false">IF($B1377=-1, -1, VLOOKUP(C1377,$T$1:$V$20, 2))</f>
        <v>15</v>
      </c>
      <c r="G1377" s="16" t="n">
        <f aca="false">IF($B1377=-1, -1, VLOOKUP(D1377,$Y$1:$Z$22,2))</f>
        <v>18</v>
      </c>
      <c r="H1377" s="16" t="str">
        <f aca="false">_xlfn.UNICHAR(((F1377*21)+G1377)*28+44032)</f>
        <v>크</v>
      </c>
      <c r="I1377" s="16" t="n">
        <f aca="false">IF(B1377=-1, 1, COUNTIF($A$2:$A$3000, H1377))</f>
        <v>1</v>
      </c>
      <c r="J1377" s="10" t="str">
        <f aca="false">_xlfn.CONCAT(A1377, ",",H1377,",",I1377)</f>
        <v>앳,크,1</v>
      </c>
      <c r="K1377" s="16" t="n">
        <f aca="false">IF(B1377=-1,-1,VLOOKUP(C1377,$T$1:$V$20,3))</f>
        <v>15</v>
      </c>
      <c r="L1377" s="16" t="n">
        <f aca="false">IF(B1377=-1,-1,VLOOKUP(D1377,$Y$1:$AA$22,3))</f>
        <v>10</v>
      </c>
      <c r="N1377" s="10" t="str">
        <f aca="false">_xlfn.UNICHAR(((C1377*21)+G1377)*28+44032)</f>
        <v>으</v>
      </c>
      <c r="O1377" s="10" t="str">
        <f aca="false">_xlfn.UNICHAR(((F1377*21)+D1377)*28+44032)</f>
        <v>캐</v>
      </c>
      <c r="P1377" s="12" t="n">
        <f aca="false">COUNTIF($A$2:$A$3000, N1377) + COUNTIF($A$2:$A$3000, O1377)</f>
        <v>2</v>
      </c>
      <c r="Q1377" s="16" t="str">
        <f aca="false">IF(OR(B1377=-1,I1377=0, P1377&lt;&gt;2), "albhed_dummy", _xlfn.CONCAT("albhed ", RIGHT("  " &amp; K1377,2),", ", RIGHT("  " &amp; L1377,2), ", " ,"""",H1377,""", ", """",N1377,""", ","""",O1377,""""," ; ", A1377))</f>
        <v>albhed 15, 10, "크", "으", "캐" ; 앳</v>
      </c>
    </row>
    <row r="1378" customFormat="false" ht="17.9" hidden="false" customHeight="true" outlineLevel="0" collapsed="false">
      <c r="A1378" s="16" t="s">
        <v>2242</v>
      </c>
      <c r="B1378" s="16" t="n">
        <f aca="false">IF(_xlfn.UNICODE(A1378)&lt;44032,-1,_xlfn.UNICODE(A1378)-44032)</f>
        <v>6516</v>
      </c>
      <c r="C1378" s="16" t="n">
        <f aca="false">IF(B1378=-1,-1,INT((B1378/28)/21))</f>
        <v>11</v>
      </c>
      <c r="D1378" s="16" t="n">
        <f aca="false">IF(B1378=-1, -1, MOD(INT(B1378/28),21))</f>
        <v>1</v>
      </c>
      <c r="E1378" s="16" t="n">
        <f aca="false">IF(B1378=-1, -1, VLOOKUP(MOD(B1378,28), $T$24:$U$52,2))</f>
        <v>19</v>
      </c>
      <c r="F1378" s="16" t="n">
        <f aca="false">IF($B1378=-1, -1, VLOOKUP(C1378,$T$1:$V$20, 2))</f>
        <v>15</v>
      </c>
      <c r="G1378" s="16" t="n">
        <f aca="false">IF($B1378=-1, -1, VLOOKUP(D1378,$Y$1:$Z$22,2))</f>
        <v>18</v>
      </c>
      <c r="H1378" s="16" t="str">
        <f aca="false">_xlfn.UNICHAR(((F1378*21)+G1378)*28+44032)</f>
        <v>크</v>
      </c>
      <c r="I1378" s="16" t="n">
        <f aca="false">IF(B1378=-1, 1, COUNTIF($A$2:$A$3000, H1378))</f>
        <v>1</v>
      </c>
      <c r="J1378" s="10" t="str">
        <f aca="false">_xlfn.CONCAT(A1378, ",",H1378,",",I1378)</f>
        <v>앴,크,1</v>
      </c>
      <c r="K1378" s="16" t="n">
        <f aca="false">IF(B1378=-1,-1,VLOOKUP(C1378,$T$1:$V$20,3))</f>
        <v>15</v>
      </c>
      <c r="L1378" s="16" t="n">
        <f aca="false">IF(B1378=-1,-1,VLOOKUP(D1378,$Y$1:$AA$22,3))</f>
        <v>10</v>
      </c>
      <c r="N1378" s="10" t="str">
        <f aca="false">_xlfn.UNICHAR(((C1378*21)+G1378)*28+44032)</f>
        <v>으</v>
      </c>
      <c r="O1378" s="10" t="str">
        <f aca="false">_xlfn.UNICHAR(((F1378*21)+D1378)*28+44032)</f>
        <v>캐</v>
      </c>
      <c r="P1378" s="12" t="n">
        <f aca="false">COUNTIF($A$2:$A$3000, N1378) + COUNTIF($A$2:$A$3000, O1378)</f>
        <v>2</v>
      </c>
      <c r="Q1378" s="16" t="str">
        <f aca="false">IF(OR(B1378=-1,I1378=0, P1378&lt;&gt;2), "albhed_dummy", _xlfn.CONCAT("albhed ", RIGHT("  " &amp; K1378,2),", ", RIGHT("  " &amp; L1378,2), ", " ,"""",H1378,""", ", """",N1378,""", ","""",O1378,""""," ; ", A1378))</f>
        <v>albhed 15, 10, "크", "으", "캐" ; 앴</v>
      </c>
    </row>
    <row r="1379" customFormat="false" ht="17.9" hidden="false" customHeight="true" outlineLevel="0" collapsed="false">
      <c r="A1379" s="16" t="s">
        <v>2243</v>
      </c>
      <c r="B1379" s="16" t="n">
        <f aca="false">IF(_xlfn.UNICODE(A1379)&lt;44032,-1,_xlfn.UNICODE(A1379)-44032)</f>
        <v>6517</v>
      </c>
      <c r="C1379" s="16" t="n">
        <f aca="false">IF(B1379=-1,-1,INT((B1379/28)/21))</f>
        <v>11</v>
      </c>
      <c r="D1379" s="16" t="n">
        <f aca="false">IF(B1379=-1, -1, MOD(INT(B1379/28),21))</f>
        <v>1</v>
      </c>
      <c r="E1379" s="16" t="n">
        <f aca="false">IF(B1379=-1, -1, VLOOKUP(MOD(B1379,28), $T$24:$U$52,2))</f>
        <v>21</v>
      </c>
      <c r="F1379" s="16" t="n">
        <f aca="false">IF($B1379=-1, -1, VLOOKUP(C1379,$T$1:$V$20, 2))</f>
        <v>15</v>
      </c>
      <c r="G1379" s="16" t="n">
        <f aca="false">IF($B1379=-1, -1, VLOOKUP(D1379,$Y$1:$Z$22,2))</f>
        <v>18</v>
      </c>
      <c r="H1379" s="16" t="str">
        <f aca="false">_xlfn.UNICHAR(((F1379*21)+G1379)*28+44032)</f>
        <v>크</v>
      </c>
      <c r="I1379" s="16" t="n">
        <f aca="false">IF(B1379=-1, 1, COUNTIF($A$2:$A$3000, H1379))</f>
        <v>1</v>
      </c>
      <c r="J1379" s="10" t="str">
        <f aca="false">_xlfn.CONCAT(A1379, ",",H1379,",",I1379)</f>
        <v>앵,크,1</v>
      </c>
      <c r="K1379" s="16" t="n">
        <f aca="false">IF(B1379=-1,-1,VLOOKUP(C1379,$T$1:$V$20,3))</f>
        <v>15</v>
      </c>
      <c r="L1379" s="16" t="n">
        <f aca="false">IF(B1379=-1,-1,VLOOKUP(D1379,$Y$1:$AA$22,3))</f>
        <v>10</v>
      </c>
      <c r="N1379" s="10" t="str">
        <f aca="false">_xlfn.UNICHAR(((C1379*21)+G1379)*28+44032)</f>
        <v>으</v>
      </c>
      <c r="O1379" s="10" t="str">
        <f aca="false">_xlfn.UNICHAR(((F1379*21)+D1379)*28+44032)</f>
        <v>캐</v>
      </c>
      <c r="P1379" s="12" t="n">
        <f aca="false">COUNTIF($A$2:$A$3000, N1379) + COUNTIF($A$2:$A$3000, O1379)</f>
        <v>2</v>
      </c>
      <c r="Q1379" s="16" t="str">
        <f aca="false">IF(OR(B1379=-1,I1379=0, P1379&lt;&gt;2), "albhed_dummy", _xlfn.CONCAT("albhed ", RIGHT("  " &amp; K1379,2),", ", RIGHT("  " &amp; L1379,2), ", " ,"""",H1379,""", ", """",N1379,""", ","""",O1379,""""," ; ", A1379))</f>
        <v>albhed 15, 10, "크", "으", "캐" ; 앵</v>
      </c>
    </row>
    <row r="1380" customFormat="false" ht="17.9" hidden="false" customHeight="true" outlineLevel="0" collapsed="false">
      <c r="A1380" s="16" t="s">
        <v>2244</v>
      </c>
      <c r="B1380" s="16" t="n">
        <f aca="false">IF(_xlfn.UNICODE(A1380)&lt;44032,-1,_xlfn.UNICODE(A1380)-44032)</f>
        <v>6524</v>
      </c>
      <c r="C1380" s="16" t="n">
        <f aca="false">IF(B1380=-1,-1,INT((B1380/28)/21))</f>
        <v>11</v>
      </c>
      <c r="D1380" s="16" t="n">
        <f aca="false">IF(B1380=-1, -1, MOD(INT(B1380/28),21))</f>
        <v>2</v>
      </c>
      <c r="E1380" s="16" t="n">
        <f aca="false">IF(B1380=-1, -1, VLOOKUP(MOD(B1380,28), $T$24:$U$52,2))</f>
        <v>0</v>
      </c>
      <c r="F1380" s="16" t="n">
        <f aca="false">IF($B1380=-1, -1, VLOOKUP(C1380,$T$1:$V$20, 2))</f>
        <v>15</v>
      </c>
      <c r="G1380" s="16" t="n">
        <f aca="false">IF($B1380=-1, -1, VLOOKUP(D1380,$Y$1:$Z$22,2))</f>
        <v>17</v>
      </c>
      <c r="H1380" s="16" t="str">
        <f aca="false">_xlfn.UNICHAR(((F1380*21)+G1380)*28+44032)</f>
        <v>큐</v>
      </c>
      <c r="I1380" s="16" t="n">
        <f aca="false">IF(B1380=-1, 1, COUNTIF($A$2:$A$3000, H1380))</f>
        <v>1</v>
      </c>
      <c r="J1380" s="10" t="str">
        <f aca="false">_xlfn.CONCAT(A1380, ",",H1380,",",I1380)</f>
        <v>야,큐,1</v>
      </c>
      <c r="K1380" s="16" t="n">
        <f aca="false">IF(B1380=-1,-1,VLOOKUP(C1380,$T$1:$V$20,3))</f>
        <v>15</v>
      </c>
      <c r="L1380" s="16" t="n">
        <f aca="false">IF(B1380=-1,-1,VLOOKUP(D1380,$Y$1:$AA$22,3))</f>
        <v>2</v>
      </c>
      <c r="N1380" s="10" t="str">
        <f aca="false">_xlfn.UNICHAR(((C1380*21)+G1380)*28+44032)</f>
        <v>유</v>
      </c>
      <c r="O1380" s="10" t="str">
        <f aca="false">_xlfn.UNICHAR(((F1380*21)+D1380)*28+44032)</f>
        <v>캬</v>
      </c>
      <c r="P1380" s="12" t="n">
        <f aca="false">COUNTIF($A$2:$A$3000, N1380) + COUNTIF($A$2:$A$3000, O1380)</f>
        <v>2</v>
      </c>
      <c r="Q1380" s="16" t="str">
        <f aca="false">IF(OR(B1380=-1,I1380=0, P1380&lt;&gt;2), "albhed_dummy", _xlfn.CONCAT("albhed ", RIGHT("  " &amp; K1380,2),", ", RIGHT("  " &amp; L1380,2), ", " ,"""",H1380,""", ", """",N1380,""", ","""",O1380,""""," ; ", A1380))</f>
        <v>albhed 15,  2, "큐", "유", "캬" ; 야</v>
      </c>
    </row>
    <row r="1381" customFormat="false" ht="17.9" hidden="false" customHeight="true" outlineLevel="0" collapsed="false">
      <c r="A1381" s="16" t="s">
        <v>2245</v>
      </c>
      <c r="B1381" s="16" t="n">
        <f aca="false">IF(_xlfn.UNICODE(A1381)&lt;44032,-1,_xlfn.UNICODE(A1381)-44032)</f>
        <v>6525</v>
      </c>
      <c r="C1381" s="16" t="n">
        <f aca="false">IF(B1381=-1,-1,INT((B1381/28)/21))</f>
        <v>11</v>
      </c>
      <c r="D1381" s="16" t="n">
        <f aca="false">IF(B1381=-1, -1, MOD(INT(B1381/28),21))</f>
        <v>2</v>
      </c>
      <c r="E1381" s="16" t="n">
        <f aca="false">IF(B1381=-1, -1, VLOOKUP(MOD(B1381,28), $T$24:$U$52,2))</f>
        <v>1</v>
      </c>
      <c r="F1381" s="16" t="n">
        <f aca="false">IF($B1381=-1, -1, VLOOKUP(C1381,$T$1:$V$20, 2))</f>
        <v>15</v>
      </c>
      <c r="G1381" s="16" t="n">
        <f aca="false">IF($B1381=-1, -1, VLOOKUP(D1381,$Y$1:$Z$22,2))</f>
        <v>17</v>
      </c>
      <c r="H1381" s="16" t="str">
        <f aca="false">_xlfn.UNICHAR(((F1381*21)+G1381)*28+44032)</f>
        <v>큐</v>
      </c>
      <c r="I1381" s="16" t="n">
        <f aca="false">IF(B1381=-1, 1, COUNTIF($A$2:$A$3000, H1381))</f>
        <v>1</v>
      </c>
      <c r="J1381" s="10" t="str">
        <f aca="false">_xlfn.CONCAT(A1381, ",",H1381,",",I1381)</f>
        <v>약,큐,1</v>
      </c>
      <c r="K1381" s="16" t="n">
        <f aca="false">IF(B1381=-1,-1,VLOOKUP(C1381,$T$1:$V$20,3))</f>
        <v>15</v>
      </c>
      <c r="L1381" s="16" t="n">
        <f aca="false">IF(B1381=-1,-1,VLOOKUP(D1381,$Y$1:$AA$22,3))</f>
        <v>2</v>
      </c>
      <c r="N1381" s="10" t="str">
        <f aca="false">_xlfn.UNICHAR(((C1381*21)+G1381)*28+44032)</f>
        <v>유</v>
      </c>
      <c r="O1381" s="10" t="str">
        <f aca="false">_xlfn.UNICHAR(((F1381*21)+D1381)*28+44032)</f>
        <v>캬</v>
      </c>
      <c r="P1381" s="12" t="n">
        <f aca="false">COUNTIF($A$2:$A$3000, N1381) + COUNTIF($A$2:$A$3000, O1381)</f>
        <v>2</v>
      </c>
      <c r="Q1381" s="16" t="str">
        <f aca="false">IF(OR(B1381=-1,I1381=0, P1381&lt;&gt;2), "albhed_dummy", _xlfn.CONCAT("albhed ", RIGHT("  " &amp; K1381,2),", ", RIGHT("  " &amp; L1381,2), ", " ,"""",H1381,""", ", """",N1381,""", ","""",O1381,""""," ; ", A1381))</f>
        <v>albhed 15,  2, "큐", "유", "캬" ; 약</v>
      </c>
    </row>
    <row r="1382" customFormat="false" ht="17.9" hidden="false" customHeight="true" outlineLevel="0" collapsed="false">
      <c r="A1382" s="16" t="s">
        <v>2246</v>
      </c>
      <c r="B1382" s="16" t="n">
        <f aca="false">IF(_xlfn.UNICODE(A1382)&lt;44032,-1,_xlfn.UNICODE(A1382)-44032)</f>
        <v>6528</v>
      </c>
      <c r="C1382" s="16" t="n">
        <f aca="false">IF(B1382=-1,-1,INT((B1382/28)/21))</f>
        <v>11</v>
      </c>
      <c r="D1382" s="16" t="n">
        <f aca="false">IF(B1382=-1, -1, MOD(INT(B1382/28),21))</f>
        <v>2</v>
      </c>
      <c r="E1382" s="16" t="n">
        <f aca="false">IF(B1382=-1, -1, VLOOKUP(MOD(B1382,28), $T$24:$U$52,2))</f>
        <v>4</v>
      </c>
      <c r="F1382" s="16" t="n">
        <f aca="false">IF($B1382=-1, -1, VLOOKUP(C1382,$T$1:$V$20, 2))</f>
        <v>15</v>
      </c>
      <c r="G1382" s="16" t="n">
        <f aca="false">IF($B1382=-1, -1, VLOOKUP(D1382,$Y$1:$Z$22,2))</f>
        <v>17</v>
      </c>
      <c r="H1382" s="16" t="str">
        <f aca="false">_xlfn.UNICHAR(((F1382*21)+G1382)*28+44032)</f>
        <v>큐</v>
      </c>
      <c r="I1382" s="16" t="n">
        <f aca="false">IF(B1382=-1, 1, COUNTIF($A$2:$A$3000, H1382))</f>
        <v>1</v>
      </c>
      <c r="J1382" s="10" t="str">
        <f aca="false">_xlfn.CONCAT(A1382, ",",H1382,",",I1382)</f>
        <v>얀,큐,1</v>
      </c>
      <c r="K1382" s="16" t="n">
        <f aca="false">IF(B1382=-1,-1,VLOOKUP(C1382,$T$1:$V$20,3))</f>
        <v>15</v>
      </c>
      <c r="L1382" s="16" t="n">
        <f aca="false">IF(B1382=-1,-1,VLOOKUP(D1382,$Y$1:$AA$22,3))</f>
        <v>2</v>
      </c>
      <c r="N1382" s="10" t="str">
        <f aca="false">_xlfn.UNICHAR(((C1382*21)+G1382)*28+44032)</f>
        <v>유</v>
      </c>
      <c r="O1382" s="10" t="str">
        <f aca="false">_xlfn.UNICHAR(((F1382*21)+D1382)*28+44032)</f>
        <v>캬</v>
      </c>
      <c r="P1382" s="12" t="n">
        <f aca="false">COUNTIF($A$2:$A$3000, N1382) + COUNTIF($A$2:$A$3000, O1382)</f>
        <v>2</v>
      </c>
      <c r="Q1382" s="16" t="str">
        <f aca="false">IF(OR(B1382=-1,I1382=0, P1382&lt;&gt;2), "albhed_dummy", _xlfn.CONCAT("albhed ", RIGHT("  " &amp; K1382,2),", ", RIGHT("  " &amp; L1382,2), ", " ,"""",H1382,""", ", """",N1382,""", ","""",O1382,""""," ; ", A1382))</f>
        <v>albhed 15,  2, "큐", "유", "캬" ; 얀</v>
      </c>
    </row>
    <row r="1383" customFormat="false" ht="17.9" hidden="false" customHeight="true" outlineLevel="0" collapsed="false">
      <c r="A1383" s="16" t="s">
        <v>2247</v>
      </c>
      <c r="B1383" s="16" t="n">
        <f aca="false">IF(_xlfn.UNICODE(A1383)&lt;44032,-1,_xlfn.UNICODE(A1383)-44032)</f>
        <v>6532</v>
      </c>
      <c r="C1383" s="16" t="n">
        <f aca="false">IF(B1383=-1,-1,INT((B1383/28)/21))</f>
        <v>11</v>
      </c>
      <c r="D1383" s="16" t="n">
        <f aca="false">IF(B1383=-1, -1, MOD(INT(B1383/28),21))</f>
        <v>2</v>
      </c>
      <c r="E1383" s="16" t="n">
        <f aca="false">IF(B1383=-1, -1, VLOOKUP(MOD(B1383,28), $T$24:$U$52,2))</f>
        <v>8</v>
      </c>
      <c r="F1383" s="16" t="n">
        <f aca="false">IF($B1383=-1, -1, VLOOKUP(C1383,$T$1:$V$20, 2))</f>
        <v>15</v>
      </c>
      <c r="G1383" s="16" t="n">
        <f aca="false">IF($B1383=-1, -1, VLOOKUP(D1383,$Y$1:$Z$22,2))</f>
        <v>17</v>
      </c>
      <c r="H1383" s="16" t="str">
        <f aca="false">_xlfn.UNICHAR(((F1383*21)+G1383)*28+44032)</f>
        <v>큐</v>
      </c>
      <c r="I1383" s="16" t="n">
        <f aca="false">IF(B1383=-1, 1, COUNTIF($A$2:$A$3000, H1383))</f>
        <v>1</v>
      </c>
      <c r="J1383" s="10" t="str">
        <f aca="false">_xlfn.CONCAT(A1383, ",",H1383,",",I1383)</f>
        <v>얄,큐,1</v>
      </c>
      <c r="K1383" s="16" t="n">
        <f aca="false">IF(B1383=-1,-1,VLOOKUP(C1383,$T$1:$V$20,3))</f>
        <v>15</v>
      </c>
      <c r="L1383" s="16" t="n">
        <f aca="false">IF(B1383=-1,-1,VLOOKUP(D1383,$Y$1:$AA$22,3))</f>
        <v>2</v>
      </c>
      <c r="N1383" s="10" t="str">
        <f aca="false">_xlfn.UNICHAR(((C1383*21)+G1383)*28+44032)</f>
        <v>유</v>
      </c>
      <c r="O1383" s="10" t="str">
        <f aca="false">_xlfn.UNICHAR(((F1383*21)+D1383)*28+44032)</f>
        <v>캬</v>
      </c>
      <c r="P1383" s="12" t="n">
        <f aca="false">COUNTIF($A$2:$A$3000, N1383) + COUNTIF($A$2:$A$3000, O1383)</f>
        <v>2</v>
      </c>
      <c r="Q1383" s="16" t="str">
        <f aca="false">IF(OR(B1383=-1,I1383=0, P1383&lt;&gt;2), "albhed_dummy", _xlfn.CONCAT("albhed ", RIGHT("  " &amp; K1383,2),", ", RIGHT("  " &amp; L1383,2), ", " ,"""",H1383,""", ", """",N1383,""", ","""",O1383,""""," ; ", A1383))</f>
        <v>albhed 15,  2, "큐", "유", "캬" ; 얄</v>
      </c>
    </row>
    <row r="1384" customFormat="false" ht="17.9" hidden="false" customHeight="true" outlineLevel="0" collapsed="false">
      <c r="A1384" s="16" t="s">
        <v>2248</v>
      </c>
      <c r="B1384" s="16" t="n">
        <f aca="false">IF(_xlfn.UNICODE(A1384)&lt;44032,-1,_xlfn.UNICODE(A1384)-44032)</f>
        <v>6535</v>
      </c>
      <c r="C1384" s="16" t="n">
        <f aca="false">IF(B1384=-1,-1,INT((B1384/28)/21))</f>
        <v>11</v>
      </c>
      <c r="D1384" s="16" t="n">
        <f aca="false">IF(B1384=-1, -1, MOD(INT(B1384/28),21))</f>
        <v>2</v>
      </c>
      <c r="E1384" s="16" t="n">
        <f aca="false">IF(B1384=-1, -1, VLOOKUP(MOD(B1384,28), $T$24:$U$52,2))</f>
        <v>8</v>
      </c>
      <c r="F1384" s="16" t="n">
        <f aca="false">IF($B1384=-1, -1, VLOOKUP(C1384,$T$1:$V$20, 2))</f>
        <v>15</v>
      </c>
      <c r="G1384" s="16" t="n">
        <f aca="false">IF($B1384=-1, -1, VLOOKUP(D1384,$Y$1:$Z$22,2))</f>
        <v>17</v>
      </c>
      <c r="H1384" s="16" t="str">
        <f aca="false">_xlfn.UNICHAR(((F1384*21)+G1384)*28+44032)</f>
        <v>큐</v>
      </c>
      <c r="I1384" s="16" t="n">
        <f aca="false">IF(B1384=-1, 1, COUNTIF($A$2:$A$3000, H1384))</f>
        <v>1</v>
      </c>
      <c r="J1384" s="10" t="str">
        <f aca="false">_xlfn.CONCAT(A1384, ",",H1384,",",I1384)</f>
        <v>얇,큐,1</v>
      </c>
      <c r="K1384" s="16" t="n">
        <f aca="false">IF(B1384=-1,-1,VLOOKUP(C1384,$T$1:$V$20,3))</f>
        <v>15</v>
      </c>
      <c r="L1384" s="16" t="n">
        <f aca="false">IF(B1384=-1,-1,VLOOKUP(D1384,$Y$1:$AA$22,3))</f>
        <v>2</v>
      </c>
      <c r="N1384" s="10" t="str">
        <f aca="false">_xlfn.UNICHAR(((C1384*21)+G1384)*28+44032)</f>
        <v>유</v>
      </c>
      <c r="O1384" s="10" t="str">
        <f aca="false">_xlfn.UNICHAR(((F1384*21)+D1384)*28+44032)</f>
        <v>캬</v>
      </c>
      <c r="P1384" s="12" t="n">
        <f aca="false">COUNTIF($A$2:$A$3000, N1384) + COUNTIF($A$2:$A$3000, O1384)</f>
        <v>2</v>
      </c>
      <c r="Q1384" s="16" t="str">
        <f aca="false">IF(OR(B1384=-1,I1384=0, P1384&lt;&gt;2), "albhed_dummy", _xlfn.CONCAT("albhed ", RIGHT("  " &amp; K1384,2),", ", RIGHT("  " &amp; L1384,2), ", " ,"""",H1384,""", ", """",N1384,""", ","""",O1384,""""," ; ", A1384))</f>
        <v>albhed 15,  2, "큐", "유", "캬" ; 얇</v>
      </c>
    </row>
    <row r="1385" customFormat="false" ht="17.9" hidden="false" customHeight="true" outlineLevel="0" collapsed="false">
      <c r="A1385" s="16" t="s">
        <v>2249</v>
      </c>
      <c r="B1385" s="16" t="n">
        <f aca="false">IF(_xlfn.UNICODE(A1385)&lt;44032,-1,_xlfn.UNICODE(A1385)-44032)</f>
        <v>6540</v>
      </c>
      <c r="C1385" s="16" t="n">
        <f aca="false">IF(B1385=-1,-1,INT((B1385/28)/21))</f>
        <v>11</v>
      </c>
      <c r="D1385" s="16" t="n">
        <f aca="false">IF(B1385=-1, -1, MOD(INT(B1385/28),21))</f>
        <v>2</v>
      </c>
      <c r="E1385" s="16" t="n">
        <f aca="false">IF(B1385=-1, -1, VLOOKUP(MOD(B1385,28), $T$24:$U$52,2))</f>
        <v>16</v>
      </c>
      <c r="F1385" s="16" t="n">
        <f aca="false">IF($B1385=-1, -1, VLOOKUP(C1385,$T$1:$V$20, 2))</f>
        <v>15</v>
      </c>
      <c r="G1385" s="16" t="n">
        <f aca="false">IF($B1385=-1, -1, VLOOKUP(D1385,$Y$1:$Z$22,2))</f>
        <v>17</v>
      </c>
      <c r="H1385" s="16" t="str">
        <f aca="false">_xlfn.UNICHAR(((F1385*21)+G1385)*28+44032)</f>
        <v>큐</v>
      </c>
      <c r="I1385" s="16" t="n">
        <f aca="false">IF(B1385=-1, 1, COUNTIF($A$2:$A$3000, H1385))</f>
        <v>1</v>
      </c>
      <c r="J1385" s="10" t="str">
        <f aca="false">_xlfn.CONCAT(A1385, ",",H1385,",",I1385)</f>
        <v>얌,큐,1</v>
      </c>
      <c r="K1385" s="16" t="n">
        <f aca="false">IF(B1385=-1,-1,VLOOKUP(C1385,$T$1:$V$20,3))</f>
        <v>15</v>
      </c>
      <c r="L1385" s="16" t="n">
        <f aca="false">IF(B1385=-1,-1,VLOOKUP(D1385,$Y$1:$AA$22,3))</f>
        <v>2</v>
      </c>
      <c r="N1385" s="10" t="str">
        <f aca="false">_xlfn.UNICHAR(((C1385*21)+G1385)*28+44032)</f>
        <v>유</v>
      </c>
      <c r="O1385" s="10" t="str">
        <f aca="false">_xlfn.UNICHAR(((F1385*21)+D1385)*28+44032)</f>
        <v>캬</v>
      </c>
      <c r="P1385" s="12" t="n">
        <f aca="false">COUNTIF($A$2:$A$3000, N1385) + COUNTIF($A$2:$A$3000, O1385)</f>
        <v>2</v>
      </c>
      <c r="Q1385" s="16" t="str">
        <f aca="false">IF(OR(B1385=-1,I1385=0, P1385&lt;&gt;2), "albhed_dummy", _xlfn.CONCAT("albhed ", RIGHT("  " &amp; K1385,2),", ", RIGHT("  " &amp; L1385,2), ", " ,"""",H1385,""", ", """",N1385,""", ","""",O1385,""""," ; ", A1385))</f>
        <v>albhed 15,  2, "큐", "유", "캬" ; 얌</v>
      </c>
    </row>
    <row r="1386" customFormat="false" ht="17.9" hidden="false" customHeight="true" outlineLevel="0" collapsed="false">
      <c r="A1386" s="16" t="s">
        <v>2250</v>
      </c>
      <c r="B1386" s="16" t="n">
        <f aca="false">IF(_xlfn.UNICODE(A1386)&lt;44032,-1,_xlfn.UNICODE(A1386)-44032)</f>
        <v>6541</v>
      </c>
      <c r="C1386" s="16" t="n">
        <f aca="false">IF(B1386=-1,-1,INT((B1386/28)/21))</f>
        <v>11</v>
      </c>
      <c r="D1386" s="16" t="n">
        <f aca="false">IF(B1386=-1, -1, MOD(INT(B1386/28),21))</f>
        <v>2</v>
      </c>
      <c r="E1386" s="16" t="n">
        <f aca="false">IF(B1386=-1, -1, VLOOKUP(MOD(B1386,28), $T$24:$U$52,2))</f>
        <v>17</v>
      </c>
      <c r="F1386" s="16" t="n">
        <f aca="false">IF($B1386=-1, -1, VLOOKUP(C1386,$T$1:$V$20, 2))</f>
        <v>15</v>
      </c>
      <c r="G1386" s="16" t="n">
        <f aca="false">IF($B1386=-1, -1, VLOOKUP(D1386,$Y$1:$Z$22,2))</f>
        <v>17</v>
      </c>
      <c r="H1386" s="16" t="str">
        <f aca="false">_xlfn.UNICHAR(((F1386*21)+G1386)*28+44032)</f>
        <v>큐</v>
      </c>
      <c r="I1386" s="16" t="n">
        <f aca="false">IF(B1386=-1, 1, COUNTIF($A$2:$A$3000, H1386))</f>
        <v>1</v>
      </c>
      <c r="J1386" s="10" t="str">
        <f aca="false">_xlfn.CONCAT(A1386, ",",H1386,",",I1386)</f>
        <v>얍,큐,1</v>
      </c>
      <c r="K1386" s="16" t="n">
        <f aca="false">IF(B1386=-1,-1,VLOOKUP(C1386,$T$1:$V$20,3))</f>
        <v>15</v>
      </c>
      <c r="L1386" s="16" t="n">
        <f aca="false">IF(B1386=-1,-1,VLOOKUP(D1386,$Y$1:$AA$22,3))</f>
        <v>2</v>
      </c>
      <c r="N1386" s="10" t="str">
        <f aca="false">_xlfn.UNICHAR(((C1386*21)+G1386)*28+44032)</f>
        <v>유</v>
      </c>
      <c r="O1386" s="10" t="str">
        <f aca="false">_xlfn.UNICHAR(((F1386*21)+D1386)*28+44032)</f>
        <v>캬</v>
      </c>
      <c r="P1386" s="12" t="n">
        <f aca="false">COUNTIF($A$2:$A$3000, N1386) + COUNTIF($A$2:$A$3000, O1386)</f>
        <v>2</v>
      </c>
      <c r="Q1386" s="16" t="str">
        <f aca="false">IF(OR(B1386=-1,I1386=0, P1386&lt;&gt;2), "albhed_dummy", _xlfn.CONCAT("albhed ", RIGHT("  " &amp; K1386,2),", ", RIGHT("  " &amp; L1386,2), ", " ,"""",H1386,""", ", """",N1386,""", ","""",O1386,""""," ; ", A1386))</f>
        <v>albhed 15,  2, "큐", "유", "캬" ; 얍</v>
      </c>
    </row>
    <row r="1387" customFormat="false" ht="17.9" hidden="false" customHeight="true" outlineLevel="0" collapsed="false">
      <c r="A1387" s="16" t="s">
        <v>2251</v>
      </c>
      <c r="B1387" s="16" t="n">
        <f aca="false">IF(_xlfn.UNICODE(A1387)&lt;44032,-1,_xlfn.UNICODE(A1387)-44032)</f>
        <v>6543</v>
      </c>
      <c r="C1387" s="16" t="n">
        <f aca="false">IF(B1387=-1,-1,INT((B1387/28)/21))</f>
        <v>11</v>
      </c>
      <c r="D1387" s="16" t="n">
        <f aca="false">IF(B1387=-1, -1, MOD(INT(B1387/28),21))</f>
        <v>2</v>
      </c>
      <c r="E1387" s="16" t="n">
        <f aca="false">IF(B1387=-1, -1, VLOOKUP(MOD(B1387,28), $T$24:$U$52,2))</f>
        <v>19</v>
      </c>
      <c r="F1387" s="16" t="n">
        <f aca="false">IF($B1387=-1, -1, VLOOKUP(C1387,$T$1:$V$20, 2))</f>
        <v>15</v>
      </c>
      <c r="G1387" s="16" t="n">
        <f aca="false">IF($B1387=-1, -1, VLOOKUP(D1387,$Y$1:$Z$22,2))</f>
        <v>17</v>
      </c>
      <c r="H1387" s="16" t="str">
        <f aca="false">_xlfn.UNICHAR(((F1387*21)+G1387)*28+44032)</f>
        <v>큐</v>
      </c>
      <c r="I1387" s="16" t="n">
        <f aca="false">IF(B1387=-1, 1, COUNTIF($A$2:$A$3000, H1387))</f>
        <v>1</v>
      </c>
      <c r="J1387" s="10" t="str">
        <f aca="false">_xlfn.CONCAT(A1387, ",",H1387,",",I1387)</f>
        <v>얏,큐,1</v>
      </c>
      <c r="K1387" s="16" t="n">
        <f aca="false">IF(B1387=-1,-1,VLOOKUP(C1387,$T$1:$V$20,3))</f>
        <v>15</v>
      </c>
      <c r="L1387" s="16" t="n">
        <f aca="false">IF(B1387=-1,-1,VLOOKUP(D1387,$Y$1:$AA$22,3))</f>
        <v>2</v>
      </c>
      <c r="N1387" s="10" t="str">
        <f aca="false">_xlfn.UNICHAR(((C1387*21)+G1387)*28+44032)</f>
        <v>유</v>
      </c>
      <c r="O1387" s="10" t="str">
        <f aca="false">_xlfn.UNICHAR(((F1387*21)+D1387)*28+44032)</f>
        <v>캬</v>
      </c>
      <c r="P1387" s="12" t="n">
        <f aca="false">COUNTIF($A$2:$A$3000, N1387) + COUNTIF($A$2:$A$3000, O1387)</f>
        <v>2</v>
      </c>
      <c r="Q1387" s="16" t="str">
        <f aca="false">IF(OR(B1387=-1,I1387=0, P1387&lt;&gt;2), "albhed_dummy", _xlfn.CONCAT("albhed ", RIGHT("  " &amp; K1387,2),", ", RIGHT("  " &amp; L1387,2), ", " ,"""",H1387,""", ", """",N1387,""", ","""",O1387,""""," ; ", A1387))</f>
        <v>albhed 15,  2, "큐", "유", "캬" ; 얏</v>
      </c>
    </row>
    <row r="1388" customFormat="false" ht="17.9" hidden="false" customHeight="true" outlineLevel="0" collapsed="false">
      <c r="A1388" s="16" t="s">
        <v>2252</v>
      </c>
      <c r="B1388" s="16" t="n">
        <f aca="false">IF(_xlfn.UNICODE(A1388)&lt;44032,-1,_xlfn.UNICODE(A1388)-44032)</f>
        <v>6545</v>
      </c>
      <c r="C1388" s="16" t="n">
        <f aca="false">IF(B1388=-1,-1,INT((B1388/28)/21))</f>
        <v>11</v>
      </c>
      <c r="D1388" s="16" t="n">
        <f aca="false">IF(B1388=-1, -1, MOD(INT(B1388/28),21))</f>
        <v>2</v>
      </c>
      <c r="E1388" s="16" t="n">
        <f aca="false">IF(B1388=-1, -1, VLOOKUP(MOD(B1388,28), $T$24:$U$52,2))</f>
        <v>21</v>
      </c>
      <c r="F1388" s="16" t="n">
        <f aca="false">IF($B1388=-1, -1, VLOOKUP(C1388,$T$1:$V$20, 2))</f>
        <v>15</v>
      </c>
      <c r="G1388" s="16" t="n">
        <f aca="false">IF($B1388=-1, -1, VLOOKUP(D1388,$Y$1:$Z$22,2))</f>
        <v>17</v>
      </c>
      <c r="H1388" s="16" t="str">
        <f aca="false">_xlfn.UNICHAR(((F1388*21)+G1388)*28+44032)</f>
        <v>큐</v>
      </c>
      <c r="I1388" s="16" t="n">
        <f aca="false">IF(B1388=-1, 1, COUNTIF($A$2:$A$3000, H1388))</f>
        <v>1</v>
      </c>
      <c r="J1388" s="10" t="str">
        <f aca="false">_xlfn.CONCAT(A1388, ",",H1388,",",I1388)</f>
        <v>양,큐,1</v>
      </c>
      <c r="K1388" s="16" t="n">
        <f aca="false">IF(B1388=-1,-1,VLOOKUP(C1388,$T$1:$V$20,3))</f>
        <v>15</v>
      </c>
      <c r="L1388" s="16" t="n">
        <f aca="false">IF(B1388=-1,-1,VLOOKUP(D1388,$Y$1:$AA$22,3))</f>
        <v>2</v>
      </c>
      <c r="N1388" s="10" t="str">
        <f aca="false">_xlfn.UNICHAR(((C1388*21)+G1388)*28+44032)</f>
        <v>유</v>
      </c>
      <c r="O1388" s="10" t="str">
        <f aca="false">_xlfn.UNICHAR(((F1388*21)+D1388)*28+44032)</f>
        <v>캬</v>
      </c>
      <c r="P1388" s="12" t="n">
        <f aca="false">COUNTIF($A$2:$A$3000, N1388) + COUNTIF($A$2:$A$3000, O1388)</f>
        <v>2</v>
      </c>
      <c r="Q1388" s="16" t="str">
        <f aca="false">IF(OR(B1388=-1,I1388=0, P1388&lt;&gt;2), "albhed_dummy", _xlfn.CONCAT("albhed ", RIGHT("  " &amp; K1388,2),", ", RIGHT("  " &amp; L1388,2), ", " ,"""",H1388,""", ", """",N1388,""", ","""",O1388,""""," ; ", A1388))</f>
        <v>albhed 15,  2, "큐", "유", "캬" ; 양</v>
      </c>
    </row>
    <row r="1389" customFormat="false" ht="17.9" hidden="false" customHeight="true" outlineLevel="0" collapsed="false">
      <c r="A1389" s="16" t="s">
        <v>2253</v>
      </c>
      <c r="B1389" s="16" t="n">
        <f aca="false">IF(_xlfn.UNICODE(A1389)&lt;44032,-1,_xlfn.UNICODE(A1389)-44032)</f>
        <v>6549</v>
      </c>
      <c r="C1389" s="16" t="n">
        <f aca="false">IF(B1389=-1,-1,INT((B1389/28)/21))</f>
        <v>11</v>
      </c>
      <c r="D1389" s="16" t="n">
        <f aca="false">IF(B1389=-1, -1, MOD(INT(B1389/28),21))</f>
        <v>2</v>
      </c>
      <c r="E1389" s="16" t="n">
        <f aca="false">IF(B1389=-1, -1, VLOOKUP(MOD(B1389,28), $T$24:$U$52,2))</f>
        <v>19</v>
      </c>
      <c r="F1389" s="16" t="n">
        <f aca="false">IF($B1389=-1, -1, VLOOKUP(C1389,$T$1:$V$20, 2))</f>
        <v>15</v>
      </c>
      <c r="G1389" s="16" t="n">
        <f aca="false">IF($B1389=-1, -1, VLOOKUP(D1389,$Y$1:$Z$22,2))</f>
        <v>17</v>
      </c>
      <c r="H1389" s="16" t="str">
        <f aca="false">_xlfn.UNICHAR(((F1389*21)+G1389)*28+44032)</f>
        <v>큐</v>
      </c>
      <c r="I1389" s="16" t="n">
        <f aca="false">IF(B1389=-1, 1, COUNTIF($A$2:$A$3000, H1389))</f>
        <v>1</v>
      </c>
      <c r="J1389" s="10" t="str">
        <f aca="false">_xlfn.CONCAT(A1389, ",",H1389,",",I1389)</f>
        <v>얕,큐,1</v>
      </c>
      <c r="K1389" s="16" t="n">
        <f aca="false">IF(B1389=-1,-1,VLOOKUP(C1389,$T$1:$V$20,3))</f>
        <v>15</v>
      </c>
      <c r="L1389" s="16" t="n">
        <f aca="false">IF(B1389=-1,-1,VLOOKUP(D1389,$Y$1:$AA$22,3))</f>
        <v>2</v>
      </c>
      <c r="N1389" s="10" t="str">
        <f aca="false">_xlfn.UNICHAR(((C1389*21)+G1389)*28+44032)</f>
        <v>유</v>
      </c>
      <c r="O1389" s="10" t="str">
        <f aca="false">_xlfn.UNICHAR(((F1389*21)+D1389)*28+44032)</f>
        <v>캬</v>
      </c>
      <c r="P1389" s="12" t="n">
        <f aca="false">COUNTIF($A$2:$A$3000, N1389) + COUNTIF($A$2:$A$3000, O1389)</f>
        <v>2</v>
      </c>
      <c r="Q1389" s="16" t="str">
        <f aca="false">IF(OR(B1389=-1,I1389=0, P1389&lt;&gt;2), "albhed_dummy", _xlfn.CONCAT("albhed ", RIGHT("  " &amp; K1389,2),", ", RIGHT("  " &amp; L1389,2), ", " ,"""",H1389,""", ", """",N1389,""", ","""",O1389,""""," ; ", A1389))</f>
        <v>albhed 15,  2, "큐", "유", "캬" ; 얕</v>
      </c>
    </row>
    <row r="1390" customFormat="false" ht="17.9" hidden="false" customHeight="true" outlineLevel="0" collapsed="false">
      <c r="A1390" s="16" t="s">
        <v>2254</v>
      </c>
      <c r="B1390" s="16" t="n">
        <f aca="false">IF(_xlfn.UNICODE(A1390)&lt;44032,-1,_xlfn.UNICODE(A1390)-44032)</f>
        <v>6551</v>
      </c>
      <c r="C1390" s="16" t="n">
        <f aca="false">IF(B1390=-1,-1,INT((B1390/28)/21))</f>
        <v>11</v>
      </c>
      <c r="D1390" s="16" t="n">
        <f aca="false">IF(B1390=-1, -1, MOD(INT(B1390/28),21))</f>
        <v>2</v>
      </c>
      <c r="E1390" s="16" t="n">
        <f aca="false">IF(B1390=-1, -1, VLOOKUP(MOD(B1390,28), $T$24:$U$52,2))</f>
        <v>19</v>
      </c>
      <c r="F1390" s="16" t="n">
        <f aca="false">IF($B1390=-1, -1, VLOOKUP(C1390,$T$1:$V$20, 2))</f>
        <v>15</v>
      </c>
      <c r="G1390" s="16" t="n">
        <f aca="false">IF($B1390=-1, -1, VLOOKUP(D1390,$Y$1:$Z$22,2))</f>
        <v>17</v>
      </c>
      <c r="H1390" s="16" t="str">
        <f aca="false">_xlfn.UNICHAR(((F1390*21)+G1390)*28+44032)</f>
        <v>큐</v>
      </c>
      <c r="I1390" s="16" t="n">
        <f aca="false">IF(B1390=-1, 1, COUNTIF($A$2:$A$3000, H1390))</f>
        <v>1</v>
      </c>
      <c r="J1390" s="10" t="str">
        <f aca="false">_xlfn.CONCAT(A1390, ",",H1390,",",I1390)</f>
        <v>얗,큐,1</v>
      </c>
      <c r="K1390" s="16" t="n">
        <f aca="false">IF(B1390=-1,-1,VLOOKUP(C1390,$T$1:$V$20,3))</f>
        <v>15</v>
      </c>
      <c r="L1390" s="16" t="n">
        <f aca="false">IF(B1390=-1,-1,VLOOKUP(D1390,$Y$1:$AA$22,3))</f>
        <v>2</v>
      </c>
      <c r="N1390" s="10" t="str">
        <f aca="false">_xlfn.UNICHAR(((C1390*21)+G1390)*28+44032)</f>
        <v>유</v>
      </c>
      <c r="O1390" s="10" t="str">
        <f aca="false">_xlfn.UNICHAR(((F1390*21)+D1390)*28+44032)</f>
        <v>캬</v>
      </c>
      <c r="P1390" s="12" t="n">
        <f aca="false">COUNTIF($A$2:$A$3000, N1390) + COUNTIF($A$2:$A$3000, O1390)</f>
        <v>2</v>
      </c>
      <c r="Q1390" s="16" t="str">
        <f aca="false">IF(OR(B1390=-1,I1390=0, P1390&lt;&gt;2), "albhed_dummy", _xlfn.CONCAT("albhed ", RIGHT("  " &amp; K1390,2),", ", RIGHT("  " &amp; L1390,2), ", " ,"""",H1390,""", ", """",N1390,""", ","""",O1390,""""," ; ", A1390))</f>
        <v>albhed 15,  2, "큐", "유", "캬" ; 얗</v>
      </c>
    </row>
    <row r="1391" customFormat="false" ht="17.9" hidden="false" customHeight="true" outlineLevel="0" collapsed="false">
      <c r="A1391" s="16" t="s">
        <v>2255</v>
      </c>
      <c r="B1391" s="16" t="n">
        <f aca="false">IF(_xlfn.UNICODE(A1391)&lt;44032,-1,_xlfn.UNICODE(A1391)-44032)</f>
        <v>6552</v>
      </c>
      <c r="C1391" s="16" t="n">
        <f aca="false">IF(B1391=-1,-1,INT((B1391/28)/21))</f>
        <v>11</v>
      </c>
      <c r="D1391" s="16" t="n">
        <f aca="false">IF(B1391=-1, -1, MOD(INT(B1391/28),21))</f>
        <v>3</v>
      </c>
      <c r="E1391" s="16" t="n">
        <f aca="false">IF(B1391=-1, -1, VLOOKUP(MOD(B1391,28), $T$24:$U$52,2))</f>
        <v>0</v>
      </c>
      <c r="F1391" s="16" t="n">
        <f aca="false">IF($B1391=-1, -1, VLOOKUP(C1391,$T$1:$V$20, 2))</f>
        <v>15</v>
      </c>
      <c r="G1391" s="16" t="n">
        <f aca="false">IF($B1391=-1, -1, VLOOKUP(D1391,$Y$1:$Z$22,2))</f>
        <v>18</v>
      </c>
      <c r="H1391" s="16" t="str">
        <f aca="false">_xlfn.UNICHAR(((F1391*21)+G1391)*28+44032)</f>
        <v>크</v>
      </c>
      <c r="I1391" s="16" t="n">
        <f aca="false">IF(B1391=-1, 1, COUNTIF($A$2:$A$3000, H1391))</f>
        <v>1</v>
      </c>
      <c r="J1391" s="10" t="str">
        <f aca="false">_xlfn.CONCAT(A1391, ",",H1391,",",I1391)</f>
        <v>얘,크,1</v>
      </c>
      <c r="K1391" s="16" t="n">
        <f aca="false">IF(B1391=-1,-1,VLOOKUP(C1391,$T$1:$V$20,3))</f>
        <v>15</v>
      </c>
      <c r="L1391" s="16" t="n">
        <f aca="false">IF(B1391=-1,-1,VLOOKUP(D1391,$Y$1:$AA$22,3))</f>
        <v>14</v>
      </c>
      <c r="N1391" s="10" t="str">
        <f aca="false">_xlfn.UNICHAR(((C1391*21)+G1391)*28+44032)</f>
        <v>으</v>
      </c>
      <c r="O1391" s="10" t="str">
        <f aca="false">_xlfn.UNICHAR(((F1391*21)+D1391)*28+44032)</f>
        <v>컈</v>
      </c>
      <c r="P1391" s="12" t="n">
        <f aca="false">COUNTIF($A$2:$A$3000, N1391) + COUNTIF($A$2:$A$3000, O1391)</f>
        <v>1</v>
      </c>
      <c r="Q1391" s="16" t="str">
        <f aca="false">IF(OR(B1391=-1,I1391=0, P1391&lt;&gt;2), "albhed_dummy", _xlfn.CONCAT("albhed ", RIGHT("  " &amp; K1391,2),", ", RIGHT("  " &amp; L1391,2), ", " ,"""",H1391,""", ", """",N1391,""", ","""",O1391,""""," ; ", A1391))</f>
        <v>albhed_dummy</v>
      </c>
    </row>
    <row r="1392" customFormat="false" ht="17.9" hidden="false" customHeight="true" outlineLevel="0" collapsed="false">
      <c r="A1392" s="16" t="s">
        <v>2256</v>
      </c>
      <c r="B1392" s="16" t="n">
        <f aca="false">IF(_xlfn.UNICODE(A1392)&lt;44032,-1,_xlfn.UNICODE(A1392)-44032)</f>
        <v>6556</v>
      </c>
      <c r="C1392" s="16" t="n">
        <f aca="false">IF(B1392=-1,-1,INT((B1392/28)/21))</f>
        <v>11</v>
      </c>
      <c r="D1392" s="16" t="n">
        <f aca="false">IF(B1392=-1, -1, MOD(INT(B1392/28),21))</f>
        <v>3</v>
      </c>
      <c r="E1392" s="16" t="n">
        <f aca="false">IF(B1392=-1, -1, VLOOKUP(MOD(B1392,28), $T$24:$U$52,2))</f>
        <v>4</v>
      </c>
      <c r="F1392" s="16" t="n">
        <f aca="false">IF($B1392=-1, -1, VLOOKUP(C1392,$T$1:$V$20, 2))</f>
        <v>15</v>
      </c>
      <c r="G1392" s="16" t="n">
        <f aca="false">IF($B1392=-1, -1, VLOOKUP(D1392,$Y$1:$Z$22,2))</f>
        <v>18</v>
      </c>
      <c r="H1392" s="16" t="str">
        <f aca="false">_xlfn.UNICHAR(((F1392*21)+G1392)*28+44032)</f>
        <v>크</v>
      </c>
      <c r="I1392" s="16" t="n">
        <f aca="false">IF(B1392=-1, 1, COUNTIF($A$2:$A$3000, H1392))</f>
        <v>1</v>
      </c>
      <c r="J1392" s="10" t="str">
        <f aca="false">_xlfn.CONCAT(A1392, ",",H1392,",",I1392)</f>
        <v>얜,크,1</v>
      </c>
      <c r="K1392" s="16" t="n">
        <f aca="false">IF(B1392=-1,-1,VLOOKUP(C1392,$T$1:$V$20,3))</f>
        <v>15</v>
      </c>
      <c r="L1392" s="16" t="n">
        <f aca="false">IF(B1392=-1,-1,VLOOKUP(D1392,$Y$1:$AA$22,3))</f>
        <v>14</v>
      </c>
      <c r="N1392" s="10" t="str">
        <f aca="false">_xlfn.UNICHAR(((C1392*21)+G1392)*28+44032)</f>
        <v>으</v>
      </c>
      <c r="O1392" s="10" t="str">
        <f aca="false">_xlfn.UNICHAR(((F1392*21)+D1392)*28+44032)</f>
        <v>컈</v>
      </c>
      <c r="P1392" s="12" t="n">
        <f aca="false">COUNTIF($A$2:$A$3000, N1392) + COUNTIF($A$2:$A$3000, O1392)</f>
        <v>1</v>
      </c>
      <c r="Q1392" s="16" t="str">
        <f aca="false">IF(OR(B1392=-1,I1392=0, P1392&lt;&gt;2), "albhed_dummy", _xlfn.CONCAT("albhed ", RIGHT("  " &amp; K1392,2),", ", RIGHT("  " &amp; L1392,2), ", " ,"""",H1392,""", ", """",N1392,""", ","""",O1392,""""," ; ", A1392))</f>
        <v>albhed_dummy</v>
      </c>
    </row>
    <row r="1393" customFormat="false" ht="17.9" hidden="false" customHeight="true" outlineLevel="0" collapsed="false">
      <c r="A1393" s="16" t="s">
        <v>2257</v>
      </c>
      <c r="B1393" s="16" t="n">
        <f aca="false">IF(_xlfn.UNICODE(A1393)&lt;44032,-1,_xlfn.UNICODE(A1393)-44032)</f>
        <v>6560</v>
      </c>
      <c r="C1393" s="16" t="n">
        <f aca="false">IF(B1393=-1,-1,INT((B1393/28)/21))</f>
        <v>11</v>
      </c>
      <c r="D1393" s="16" t="n">
        <f aca="false">IF(B1393=-1, -1, MOD(INT(B1393/28),21))</f>
        <v>3</v>
      </c>
      <c r="E1393" s="16" t="n">
        <f aca="false">IF(B1393=-1, -1, VLOOKUP(MOD(B1393,28), $T$24:$U$52,2))</f>
        <v>8</v>
      </c>
      <c r="F1393" s="16" t="n">
        <f aca="false">IF($B1393=-1, -1, VLOOKUP(C1393,$T$1:$V$20, 2))</f>
        <v>15</v>
      </c>
      <c r="G1393" s="16" t="n">
        <f aca="false">IF($B1393=-1, -1, VLOOKUP(D1393,$Y$1:$Z$22,2))</f>
        <v>18</v>
      </c>
      <c r="H1393" s="16" t="str">
        <f aca="false">_xlfn.UNICHAR(((F1393*21)+G1393)*28+44032)</f>
        <v>크</v>
      </c>
      <c r="I1393" s="16" t="n">
        <f aca="false">IF(B1393=-1, 1, COUNTIF($A$2:$A$3000, H1393))</f>
        <v>1</v>
      </c>
      <c r="J1393" s="10" t="str">
        <f aca="false">_xlfn.CONCAT(A1393, ",",H1393,",",I1393)</f>
        <v>얠,크,1</v>
      </c>
      <c r="K1393" s="16" t="n">
        <f aca="false">IF(B1393=-1,-1,VLOOKUP(C1393,$T$1:$V$20,3))</f>
        <v>15</v>
      </c>
      <c r="L1393" s="16" t="n">
        <f aca="false">IF(B1393=-1,-1,VLOOKUP(D1393,$Y$1:$AA$22,3))</f>
        <v>14</v>
      </c>
      <c r="N1393" s="10" t="str">
        <f aca="false">_xlfn.UNICHAR(((C1393*21)+G1393)*28+44032)</f>
        <v>으</v>
      </c>
      <c r="O1393" s="10" t="str">
        <f aca="false">_xlfn.UNICHAR(((F1393*21)+D1393)*28+44032)</f>
        <v>컈</v>
      </c>
      <c r="P1393" s="12" t="n">
        <f aca="false">COUNTIF($A$2:$A$3000, N1393) + COUNTIF($A$2:$A$3000, O1393)</f>
        <v>1</v>
      </c>
      <c r="Q1393" s="16" t="str">
        <f aca="false">IF(OR(B1393=-1,I1393=0, P1393&lt;&gt;2), "albhed_dummy", _xlfn.CONCAT("albhed ", RIGHT("  " &amp; K1393,2),", ", RIGHT("  " &amp; L1393,2), ", " ,"""",H1393,""", ", """",N1393,""", ","""",O1393,""""," ; ", A1393))</f>
        <v>albhed_dummy</v>
      </c>
    </row>
    <row r="1394" customFormat="false" ht="17.9" hidden="false" customHeight="true" outlineLevel="0" collapsed="false">
      <c r="A1394" s="16" t="s">
        <v>2258</v>
      </c>
      <c r="B1394" s="16" t="n">
        <f aca="false">IF(_xlfn.UNICODE(A1394)&lt;44032,-1,_xlfn.UNICODE(A1394)-44032)</f>
        <v>6569</v>
      </c>
      <c r="C1394" s="16" t="n">
        <f aca="false">IF(B1394=-1,-1,INT((B1394/28)/21))</f>
        <v>11</v>
      </c>
      <c r="D1394" s="16" t="n">
        <f aca="false">IF(B1394=-1, -1, MOD(INT(B1394/28),21))</f>
        <v>3</v>
      </c>
      <c r="E1394" s="16" t="n">
        <f aca="false">IF(B1394=-1, -1, VLOOKUP(MOD(B1394,28), $T$24:$U$52,2))</f>
        <v>17</v>
      </c>
      <c r="F1394" s="16" t="n">
        <f aca="false">IF($B1394=-1, -1, VLOOKUP(C1394,$T$1:$V$20, 2))</f>
        <v>15</v>
      </c>
      <c r="G1394" s="16" t="n">
        <f aca="false">IF($B1394=-1, -1, VLOOKUP(D1394,$Y$1:$Z$22,2))</f>
        <v>18</v>
      </c>
      <c r="H1394" s="16" t="str">
        <f aca="false">_xlfn.UNICHAR(((F1394*21)+G1394)*28+44032)</f>
        <v>크</v>
      </c>
      <c r="I1394" s="16" t="n">
        <f aca="false">IF(B1394=-1, 1, COUNTIF($A$2:$A$3000, H1394))</f>
        <v>1</v>
      </c>
      <c r="J1394" s="10" t="str">
        <f aca="false">_xlfn.CONCAT(A1394, ",",H1394,",",I1394)</f>
        <v>얩,크,1</v>
      </c>
      <c r="K1394" s="16" t="n">
        <f aca="false">IF(B1394=-1,-1,VLOOKUP(C1394,$T$1:$V$20,3))</f>
        <v>15</v>
      </c>
      <c r="L1394" s="16" t="n">
        <f aca="false">IF(B1394=-1,-1,VLOOKUP(D1394,$Y$1:$AA$22,3))</f>
        <v>14</v>
      </c>
      <c r="N1394" s="10" t="str">
        <f aca="false">_xlfn.UNICHAR(((C1394*21)+G1394)*28+44032)</f>
        <v>으</v>
      </c>
      <c r="O1394" s="10" t="str">
        <f aca="false">_xlfn.UNICHAR(((F1394*21)+D1394)*28+44032)</f>
        <v>컈</v>
      </c>
      <c r="P1394" s="12" t="n">
        <f aca="false">COUNTIF($A$2:$A$3000, N1394) + COUNTIF($A$2:$A$3000, O1394)</f>
        <v>1</v>
      </c>
      <c r="Q1394" s="16" t="str">
        <f aca="false">IF(OR(B1394=-1,I1394=0, P1394&lt;&gt;2), "albhed_dummy", _xlfn.CONCAT("albhed ", RIGHT("  " &amp; K1394,2),", ", RIGHT("  " &amp; L1394,2), ", " ,"""",H1394,""", ", """",N1394,""", ","""",O1394,""""," ; ", A1394))</f>
        <v>albhed_dummy</v>
      </c>
    </row>
    <row r="1395" customFormat="false" ht="17.9" hidden="false" customHeight="true" outlineLevel="0" collapsed="false">
      <c r="A1395" s="16" t="s">
        <v>798</v>
      </c>
      <c r="B1395" s="16" t="n">
        <f aca="false">IF(_xlfn.UNICODE(A1395)&lt;44032,-1,_xlfn.UNICODE(A1395)-44032)</f>
        <v>6580</v>
      </c>
      <c r="C1395" s="16" t="n">
        <f aca="false">IF(B1395=-1,-1,INT((B1395/28)/21))</f>
        <v>11</v>
      </c>
      <c r="D1395" s="16" t="n">
        <f aca="false">IF(B1395=-1, -1, MOD(INT(B1395/28),21))</f>
        <v>4</v>
      </c>
      <c r="E1395" s="16" t="n">
        <f aca="false">IF(B1395=-1, -1, VLOOKUP(MOD(B1395,28), $T$24:$U$52,2))</f>
        <v>0</v>
      </c>
      <c r="F1395" s="16" t="n">
        <f aca="false">IF($B1395=-1, -1, VLOOKUP(C1395,$T$1:$V$20, 2))</f>
        <v>15</v>
      </c>
      <c r="G1395" s="16" t="n">
        <f aca="false">IF($B1395=-1, -1, VLOOKUP(D1395,$Y$1:$Z$22,2))</f>
        <v>8</v>
      </c>
      <c r="H1395" s="16" t="str">
        <f aca="false">_xlfn.UNICHAR(((F1395*21)+G1395)*28+44032)</f>
        <v>코</v>
      </c>
      <c r="I1395" s="16" t="n">
        <f aca="false">IF(B1395=-1, 1, COUNTIF($A$2:$A$3000, H1395))</f>
        <v>1</v>
      </c>
      <c r="J1395" s="10" t="str">
        <f aca="false">_xlfn.CONCAT(A1395, ",",H1395,",",I1395)</f>
        <v>어,코,1</v>
      </c>
      <c r="K1395" s="16" t="n">
        <f aca="false">IF(B1395=-1,-1,VLOOKUP(C1395,$T$1:$V$20,3))</f>
        <v>15</v>
      </c>
      <c r="L1395" s="16" t="n">
        <f aca="false">IF(B1395=-1,-1,VLOOKUP(D1395,$Y$1:$AA$22,3))</f>
        <v>4</v>
      </c>
      <c r="N1395" s="10" t="str">
        <f aca="false">_xlfn.UNICHAR(((C1395*21)+G1395)*28+44032)</f>
        <v>오</v>
      </c>
      <c r="O1395" s="10" t="str">
        <f aca="false">_xlfn.UNICHAR(((F1395*21)+D1395)*28+44032)</f>
        <v>커</v>
      </c>
      <c r="P1395" s="12" t="n">
        <f aca="false">COUNTIF($A$2:$A$3000, N1395) + COUNTIF($A$2:$A$3000, O1395)</f>
        <v>2</v>
      </c>
      <c r="Q1395" s="16" t="str">
        <f aca="false">IF(OR(B1395=-1,I1395=0, P1395&lt;&gt;2), "albhed_dummy", _xlfn.CONCAT("albhed ", RIGHT("  " &amp; K1395,2),", ", RIGHT("  " &amp; L1395,2), ", " ,"""",H1395,""", ", """",N1395,""", ","""",O1395,""""," ; ", A1395))</f>
        <v>albhed 15,  4, "코", "오", "커" ; 어</v>
      </c>
    </row>
    <row r="1396" customFormat="false" ht="17.9" hidden="false" customHeight="true" outlineLevel="0" collapsed="false">
      <c r="A1396" s="16" t="s">
        <v>2259</v>
      </c>
      <c r="B1396" s="16" t="n">
        <f aca="false">IF(_xlfn.UNICODE(A1396)&lt;44032,-1,_xlfn.UNICODE(A1396)-44032)</f>
        <v>6581</v>
      </c>
      <c r="C1396" s="16" t="n">
        <f aca="false">IF(B1396=-1,-1,INT((B1396/28)/21))</f>
        <v>11</v>
      </c>
      <c r="D1396" s="16" t="n">
        <f aca="false">IF(B1396=-1, -1, MOD(INT(B1396/28),21))</f>
        <v>4</v>
      </c>
      <c r="E1396" s="16" t="n">
        <f aca="false">IF(B1396=-1, -1, VLOOKUP(MOD(B1396,28), $T$24:$U$52,2))</f>
        <v>1</v>
      </c>
      <c r="F1396" s="16" t="n">
        <f aca="false">IF($B1396=-1, -1, VLOOKUP(C1396,$T$1:$V$20, 2))</f>
        <v>15</v>
      </c>
      <c r="G1396" s="16" t="n">
        <f aca="false">IF($B1396=-1, -1, VLOOKUP(D1396,$Y$1:$Z$22,2))</f>
        <v>8</v>
      </c>
      <c r="H1396" s="16" t="str">
        <f aca="false">_xlfn.UNICHAR(((F1396*21)+G1396)*28+44032)</f>
        <v>코</v>
      </c>
      <c r="I1396" s="16" t="n">
        <f aca="false">IF(B1396=-1, 1, COUNTIF($A$2:$A$3000, H1396))</f>
        <v>1</v>
      </c>
      <c r="J1396" s="10" t="str">
        <f aca="false">_xlfn.CONCAT(A1396, ",",H1396,",",I1396)</f>
        <v>억,코,1</v>
      </c>
      <c r="K1396" s="16" t="n">
        <f aca="false">IF(B1396=-1,-1,VLOOKUP(C1396,$T$1:$V$20,3))</f>
        <v>15</v>
      </c>
      <c r="L1396" s="16" t="n">
        <f aca="false">IF(B1396=-1,-1,VLOOKUP(D1396,$Y$1:$AA$22,3))</f>
        <v>4</v>
      </c>
      <c r="N1396" s="10" t="str">
        <f aca="false">_xlfn.UNICHAR(((C1396*21)+G1396)*28+44032)</f>
        <v>오</v>
      </c>
      <c r="O1396" s="10" t="str">
        <f aca="false">_xlfn.UNICHAR(((F1396*21)+D1396)*28+44032)</f>
        <v>커</v>
      </c>
      <c r="P1396" s="12" t="n">
        <f aca="false">COUNTIF($A$2:$A$3000, N1396) + COUNTIF($A$2:$A$3000, O1396)</f>
        <v>2</v>
      </c>
      <c r="Q1396" s="16" t="str">
        <f aca="false">IF(OR(B1396=-1,I1396=0, P1396&lt;&gt;2), "albhed_dummy", _xlfn.CONCAT("albhed ", RIGHT("  " &amp; K1396,2),", ", RIGHT("  " &amp; L1396,2), ", " ,"""",H1396,""", ", """",N1396,""", ","""",O1396,""""," ; ", A1396))</f>
        <v>albhed 15,  4, "코", "오", "커" ; 억</v>
      </c>
    </row>
    <row r="1397" customFormat="false" ht="17.9" hidden="false" customHeight="true" outlineLevel="0" collapsed="false">
      <c r="A1397" s="16" t="s">
        <v>2260</v>
      </c>
      <c r="B1397" s="16" t="n">
        <f aca="false">IF(_xlfn.UNICODE(A1397)&lt;44032,-1,_xlfn.UNICODE(A1397)-44032)</f>
        <v>6584</v>
      </c>
      <c r="C1397" s="16" t="n">
        <f aca="false">IF(B1397=-1,-1,INT((B1397/28)/21))</f>
        <v>11</v>
      </c>
      <c r="D1397" s="16" t="n">
        <f aca="false">IF(B1397=-1, -1, MOD(INT(B1397/28),21))</f>
        <v>4</v>
      </c>
      <c r="E1397" s="16" t="n">
        <f aca="false">IF(B1397=-1, -1, VLOOKUP(MOD(B1397,28), $T$24:$U$52,2))</f>
        <v>4</v>
      </c>
      <c r="F1397" s="16" t="n">
        <f aca="false">IF($B1397=-1, -1, VLOOKUP(C1397,$T$1:$V$20, 2))</f>
        <v>15</v>
      </c>
      <c r="G1397" s="16" t="n">
        <f aca="false">IF($B1397=-1, -1, VLOOKUP(D1397,$Y$1:$Z$22,2))</f>
        <v>8</v>
      </c>
      <c r="H1397" s="16" t="str">
        <f aca="false">_xlfn.UNICHAR(((F1397*21)+G1397)*28+44032)</f>
        <v>코</v>
      </c>
      <c r="I1397" s="16" t="n">
        <f aca="false">IF(B1397=-1, 1, COUNTIF($A$2:$A$3000, H1397))</f>
        <v>1</v>
      </c>
      <c r="J1397" s="10" t="str">
        <f aca="false">_xlfn.CONCAT(A1397, ",",H1397,",",I1397)</f>
        <v>언,코,1</v>
      </c>
      <c r="K1397" s="16" t="n">
        <f aca="false">IF(B1397=-1,-1,VLOOKUP(C1397,$T$1:$V$20,3))</f>
        <v>15</v>
      </c>
      <c r="L1397" s="16" t="n">
        <f aca="false">IF(B1397=-1,-1,VLOOKUP(D1397,$Y$1:$AA$22,3))</f>
        <v>4</v>
      </c>
      <c r="N1397" s="10" t="str">
        <f aca="false">_xlfn.UNICHAR(((C1397*21)+G1397)*28+44032)</f>
        <v>오</v>
      </c>
      <c r="O1397" s="10" t="str">
        <f aca="false">_xlfn.UNICHAR(((F1397*21)+D1397)*28+44032)</f>
        <v>커</v>
      </c>
      <c r="P1397" s="12" t="n">
        <f aca="false">COUNTIF($A$2:$A$3000, N1397) + COUNTIF($A$2:$A$3000, O1397)</f>
        <v>2</v>
      </c>
      <c r="Q1397" s="16" t="str">
        <f aca="false">IF(OR(B1397=-1,I1397=0, P1397&lt;&gt;2), "albhed_dummy", _xlfn.CONCAT("albhed ", RIGHT("  " &amp; K1397,2),", ", RIGHT("  " &amp; L1397,2), ", " ,"""",H1397,""", ", """",N1397,""", ","""",O1397,""""," ; ", A1397))</f>
        <v>albhed 15,  4, "코", "오", "커" ; 언</v>
      </c>
    </row>
    <row r="1398" customFormat="false" ht="17.9" hidden="false" customHeight="true" outlineLevel="0" collapsed="false">
      <c r="A1398" s="16" t="s">
        <v>2261</v>
      </c>
      <c r="B1398" s="16" t="n">
        <f aca="false">IF(_xlfn.UNICODE(A1398)&lt;44032,-1,_xlfn.UNICODE(A1398)-44032)</f>
        <v>6585</v>
      </c>
      <c r="C1398" s="16" t="n">
        <f aca="false">IF(B1398=-1,-1,INT((B1398/28)/21))</f>
        <v>11</v>
      </c>
      <c r="D1398" s="16" t="n">
        <f aca="false">IF(B1398=-1, -1, MOD(INT(B1398/28),21))</f>
        <v>4</v>
      </c>
      <c r="E1398" s="16" t="n">
        <f aca="false">IF(B1398=-1, -1, VLOOKUP(MOD(B1398,28), $T$24:$U$52,2))</f>
        <v>4</v>
      </c>
      <c r="F1398" s="16" t="n">
        <f aca="false">IF($B1398=-1, -1, VLOOKUP(C1398,$T$1:$V$20, 2))</f>
        <v>15</v>
      </c>
      <c r="G1398" s="16" t="n">
        <f aca="false">IF($B1398=-1, -1, VLOOKUP(D1398,$Y$1:$Z$22,2))</f>
        <v>8</v>
      </c>
      <c r="H1398" s="16" t="str">
        <f aca="false">_xlfn.UNICHAR(((F1398*21)+G1398)*28+44032)</f>
        <v>코</v>
      </c>
      <c r="I1398" s="16" t="n">
        <f aca="false">IF(B1398=-1, 1, COUNTIF($A$2:$A$3000, H1398))</f>
        <v>1</v>
      </c>
      <c r="J1398" s="10" t="str">
        <f aca="false">_xlfn.CONCAT(A1398, ",",H1398,",",I1398)</f>
        <v>얹,코,1</v>
      </c>
      <c r="K1398" s="16" t="n">
        <f aca="false">IF(B1398=-1,-1,VLOOKUP(C1398,$T$1:$V$20,3))</f>
        <v>15</v>
      </c>
      <c r="L1398" s="16" t="n">
        <f aca="false">IF(B1398=-1,-1,VLOOKUP(D1398,$Y$1:$AA$22,3))</f>
        <v>4</v>
      </c>
      <c r="N1398" s="10" t="str">
        <f aca="false">_xlfn.UNICHAR(((C1398*21)+G1398)*28+44032)</f>
        <v>오</v>
      </c>
      <c r="O1398" s="10" t="str">
        <f aca="false">_xlfn.UNICHAR(((F1398*21)+D1398)*28+44032)</f>
        <v>커</v>
      </c>
      <c r="P1398" s="12" t="n">
        <f aca="false">COUNTIF($A$2:$A$3000, N1398) + COUNTIF($A$2:$A$3000, O1398)</f>
        <v>2</v>
      </c>
      <c r="Q1398" s="16" t="str">
        <f aca="false">IF(OR(B1398=-1,I1398=0, P1398&lt;&gt;2), "albhed_dummy", _xlfn.CONCAT("albhed ", RIGHT("  " &amp; K1398,2),", ", RIGHT("  " &amp; L1398,2), ", " ,"""",H1398,""", ", """",N1398,""", ","""",O1398,""""," ; ", A1398))</f>
        <v>albhed 15,  4, "코", "오", "커" ; 얹</v>
      </c>
    </row>
    <row r="1399" customFormat="false" ht="17.9" hidden="false" customHeight="true" outlineLevel="0" collapsed="false">
      <c r="A1399" s="16" t="s">
        <v>2262</v>
      </c>
      <c r="B1399" s="16" t="n">
        <f aca="false">IF(_xlfn.UNICODE(A1399)&lt;44032,-1,_xlfn.UNICODE(A1399)-44032)</f>
        <v>6587</v>
      </c>
      <c r="C1399" s="16" t="n">
        <f aca="false">IF(B1399=-1,-1,INT((B1399/28)/21))</f>
        <v>11</v>
      </c>
      <c r="D1399" s="16" t="n">
        <f aca="false">IF(B1399=-1, -1, MOD(INT(B1399/28),21))</f>
        <v>4</v>
      </c>
      <c r="E1399" s="16" t="n">
        <f aca="false">IF(B1399=-1, -1, VLOOKUP(MOD(B1399,28), $T$24:$U$52,2))</f>
        <v>19</v>
      </c>
      <c r="F1399" s="16" t="n">
        <f aca="false">IF($B1399=-1, -1, VLOOKUP(C1399,$T$1:$V$20, 2))</f>
        <v>15</v>
      </c>
      <c r="G1399" s="16" t="n">
        <f aca="false">IF($B1399=-1, -1, VLOOKUP(D1399,$Y$1:$Z$22,2))</f>
        <v>8</v>
      </c>
      <c r="H1399" s="16" t="str">
        <f aca="false">_xlfn.UNICHAR(((F1399*21)+G1399)*28+44032)</f>
        <v>코</v>
      </c>
      <c r="I1399" s="16" t="n">
        <f aca="false">IF(B1399=-1, 1, COUNTIF($A$2:$A$3000, H1399))</f>
        <v>1</v>
      </c>
      <c r="J1399" s="10" t="str">
        <f aca="false">_xlfn.CONCAT(A1399, ",",H1399,",",I1399)</f>
        <v>얻,코,1</v>
      </c>
      <c r="K1399" s="16" t="n">
        <f aca="false">IF(B1399=-1,-1,VLOOKUP(C1399,$T$1:$V$20,3))</f>
        <v>15</v>
      </c>
      <c r="L1399" s="16" t="n">
        <f aca="false">IF(B1399=-1,-1,VLOOKUP(D1399,$Y$1:$AA$22,3))</f>
        <v>4</v>
      </c>
      <c r="N1399" s="10" t="str">
        <f aca="false">_xlfn.UNICHAR(((C1399*21)+G1399)*28+44032)</f>
        <v>오</v>
      </c>
      <c r="O1399" s="10" t="str">
        <f aca="false">_xlfn.UNICHAR(((F1399*21)+D1399)*28+44032)</f>
        <v>커</v>
      </c>
      <c r="P1399" s="12" t="n">
        <f aca="false">COUNTIF($A$2:$A$3000, N1399) + COUNTIF($A$2:$A$3000, O1399)</f>
        <v>2</v>
      </c>
      <c r="Q1399" s="16" t="str">
        <f aca="false">IF(OR(B1399=-1,I1399=0, P1399&lt;&gt;2), "albhed_dummy", _xlfn.CONCAT("albhed ", RIGHT("  " &amp; K1399,2),", ", RIGHT("  " &amp; L1399,2), ", " ,"""",H1399,""", ", """",N1399,""", ","""",O1399,""""," ; ", A1399))</f>
        <v>albhed 15,  4, "코", "오", "커" ; 얻</v>
      </c>
    </row>
    <row r="1400" customFormat="false" ht="17.9" hidden="false" customHeight="true" outlineLevel="0" collapsed="false">
      <c r="A1400" s="16" t="s">
        <v>2263</v>
      </c>
      <c r="B1400" s="16" t="n">
        <f aca="false">IF(_xlfn.UNICODE(A1400)&lt;44032,-1,_xlfn.UNICODE(A1400)-44032)</f>
        <v>6588</v>
      </c>
      <c r="C1400" s="16" t="n">
        <f aca="false">IF(B1400=-1,-1,INT((B1400/28)/21))</f>
        <v>11</v>
      </c>
      <c r="D1400" s="16" t="n">
        <f aca="false">IF(B1400=-1, -1, MOD(INT(B1400/28),21))</f>
        <v>4</v>
      </c>
      <c r="E1400" s="16" t="n">
        <f aca="false">IF(B1400=-1, -1, VLOOKUP(MOD(B1400,28), $T$24:$U$52,2))</f>
        <v>8</v>
      </c>
      <c r="F1400" s="16" t="n">
        <f aca="false">IF($B1400=-1, -1, VLOOKUP(C1400,$T$1:$V$20, 2))</f>
        <v>15</v>
      </c>
      <c r="G1400" s="16" t="n">
        <f aca="false">IF($B1400=-1, -1, VLOOKUP(D1400,$Y$1:$Z$22,2))</f>
        <v>8</v>
      </c>
      <c r="H1400" s="16" t="str">
        <f aca="false">_xlfn.UNICHAR(((F1400*21)+G1400)*28+44032)</f>
        <v>코</v>
      </c>
      <c r="I1400" s="16" t="n">
        <f aca="false">IF(B1400=-1, 1, COUNTIF($A$2:$A$3000, H1400))</f>
        <v>1</v>
      </c>
      <c r="J1400" s="10" t="str">
        <f aca="false">_xlfn.CONCAT(A1400, ",",H1400,",",I1400)</f>
        <v>얼,코,1</v>
      </c>
      <c r="K1400" s="16" t="n">
        <f aca="false">IF(B1400=-1,-1,VLOOKUP(C1400,$T$1:$V$20,3))</f>
        <v>15</v>
      </c>
      <c r="L1400" s="16" t="n">
        <f aca="false">IF(B1400=-1,-1,VLOOKUP(D1400,$Y$1:$AA$22,3))</f>
        <v>4</v>
      </c>
      <c r="N1400" s="10" t="str">
        <f aca="false">_xlfn.UNICHAR(((C1400*21)+G1400)*28+44032)</f>
        <v>오</v>
      </c>
      <c r="O1400" s="10" t="str">
        <f aca="false">_xlfn.UNICHAR(((F1400*21)+D1400)*28+44032)</f>
        <v>커</v>
      </c>
      <c r="P1400" s="12" t="n">
        <f aca="false">COUNTIF($A$2:$A$3000, N1400) + COUNTIF($A$2:$A$3000, O1400)</f>
        <v>2</v>
      </c>
      <c r="Q1400" s="16" t="str">
        <f aca="false">IF(OR(B1400=-1,I1400=0, P1400&lt;&gt;2), "albhed_dummy", _xlfn.CONCAT("albhed ", RIGHT("  " &amp; K1400,2),", ", RIGHT("  " &amp; L1400,2), ", " ,"""",H1400,""", ", """",N1400,""", ","""",O1400,""""," ; ", A1400))</f>
        <v>albhed 15,  4, "코", "오", "커" ; 얼</v>
      </c>
    </row>
    <row r="1401" customFormat="false" ht="17.9" hidden="false" customHeight="true" outlineLevel="0" collapsed="false">
      <c r="A1401" s="16" t="s">
        <v>2264</v>
      </c>
      <c r="B1401" s="16" t="n">
        <f aca="false">IF(_xlfn.UNICODE(A1401)&lt;44032,-1,_xlfn.UNICODE(A1401)-44032)</f>
        <v>6589</v>
      </c>
      <c r="C1401" s="16" t="n">
        <f aca="false">IF(B1401=-1,-1,INT((B1401/28)/21))</f>
        <v>11</v>
      </c>
      <c r="D1401" s="16" t="n">
        <f aca="false">IF(B1401=-1, -1, MOD(INT(B1401/28),21))</f>
        <v>4</v>
      </c>
      <c r="E1401" s="16" t="n">
        <f aca="false">IF(B1401=-1, -1, VLOOKUP(MOD(B1401,28), $T$24:$U$52,2))</f>
        <v>8</v>
      </c>
      <c r="F1401" s="16" t="n">
        <f aca="false">IF($B1401=-1, -1, VLOOKUP(C1401,$T$1:$V$20, 2))</f>
        <v>15</v>
      </c>
      <c r="G1401" s="16" t="n">
        <f aca="false">IF($B1401=-1, -1, VLOOKUP(D1401,$Y$1:$Z$22,2))</f>
        <v>8</v>
      </c>
      <c r="H1401" s="16" t="str">
        <f aca="false">_xlfn.UNICHAR(((F1401*21)+G1401)*28+44032)</f>
        <v>코</v>
      </c>
      <c r="I1401" s="16" t="n">
        <f aca="false">IF(B1401=-1, 1, COUNTIF($A$2:$A$3000, H1401))</f>
        <v>1</v>
      </c>
      <c r="J1401" s="10" t="str">
        <f aca="false">_xlfn.CONCAT(A1401, ",",H1401,",",I1401)</f>
        <v>얽,코,1</v>
      </c>
      <c r="K1401" s="16" t="n">
        <f aca="false">IF(B1401=-1,-1,VLOOKUP(C1401,$T$1:$V$20,3))</f>
        <v>15</v>
      </c>
      <c r="L1401" s="16" t="n">
        <f aca="false">IF(B1401=-1,-1,VLOOKUP(D1401,$Y$1:$AA$22,3))</f>
        <v>4</v>
      </c>
      <c r="N1401" s="10" t="str">
        <f aca="false">_xlfn.UNICHAR(((C1401*21)+G1401)*28+44032)</f>
        <v>오</v>
      </c>
      <c r="O1401" s="10" t="str">
        <f aca="false">_xlfn.UNICHAR(((F1401*21)+D1401)*28+44032)</f>
        <v>커</v>
      </c>
      <c r="P1401" s="12" t="n">
        <f aca="false">COUNTIF($A$2:$A$3000, N1401) + COUNTIF($A$2:$A$3000, O1401)</f>
        <v>2</v>
      </c>
      <c r="Q1401" s="16" t="str">
        <f aca="false">IF(OR(B1401=-1,I1401=0, P1401&lt;&gt;2), "albhed_dummy", _xlfn.CONCAT("albhed ", RIGHT("  " &amp; K1401,2),", ", RIGHT("  " &amp; L1401,2), ", " ,"""",H1401,""", ", """",N1401,""", ","""",O1401,""""," ; ", A1401))</f>
        <v>albhed 15,  4, "코", "오", "커" ; 얽</v>
      </c>
    </row>
    <row r="1402" customFormat="false" ht="17.9" hidden="false" customHeight="true" outlineLevel="0" collapsed="false">
      <c r="A1402" s="16" t="s">
        <v>2265</v>
      </c>
      <c r="B1402" s="16" t="n">
        <f aca="false">IF(_xlfn.UNICODE(A1402)&lt;44032,-1,_xlfn.UNICODE(A1402)-44032)</f>
        <v>6590</v>
      </c>
      <c r="C1402" s="16" t="n">
        <f aca="false">IF(B1402=-1,-1,INT((B1402/28)/21))</f>
        <v>11</v>
      </c>
      <c r="D1402" s="16" t="n">
        <f aca="false">IF(B1402=-1, -1, MOD(INT(B1402/28),21))</f>
        <v>4</v>
      </c>
      <c r="E1402" s="16" t="n">
        <f aca="false">IF(B1402=-1, -1, VLOOKUP(MOD(B1402,28), $T$24:$U$52,2))</f>
        <v>8</v>
      </c>
      <c r="F1402" s="16" t="n">
        <f aca="false">IF($B1402=-1, -1, VLOOKUP(C1402,$T$1:$V$20, 2))</f>
        <v>15</v>
      </c>
      <c r="G1402" s="16" t="n">
        <f aca="false">IF($B1402=-1, -1, VLOOKUP(D1402,$Y$1:$Z$22,2))</f>
        <v>8</v>
      </c>
      <c r="H1402" s="16" t="str">
        <f aca="false">_xlfn.UNICHAR(((F1402*21)+G1402)*28+44032)</f>
        <v>코</v>
      </c>
      <c r="I1402" s="16" t="n">
        <f aca="false">IF(B1402=-1, 1, COUNTIF($A$2:$A$3000, H1402))</f>
        <v>1</v>
      </c>
      <c r="J1402" s="10" t="str">
        <f aca="false">_xlfn.CONCAT(A1402, ",",H1402,",",I1402)</f>
        <v>얾,코,1</v>
      </c>
      <c r="K1402" s="16" t="n">
        <f aca="false">IF(B1402=-1,-1,VLOOKUP(C1402,$T$1:$V$20,3))</f>
        <v>15</v>
      </c>
      <c r="L1402" s="16" t="n">
        <f aca="false">IF(B1402=-1,-1,VLOOKUP(D1402,$Y$1:$AA$22,3))</f>
        <v>4</v>
      </c>
      <c r="N1402" s="10" t="str">
        <f aca="false">_xlfn.UNICHAR(((C1402*21)+G1402)*28+44032)</f>
        <v>오</v>
      </c>
      <c r="O1402" s="10" t="str">
        <f aca="false">_xlfn.UNICHAR(((F1402*21)+D1402)*28+44032)</f>
        <v>커</v>
      </c>
      <c r="P1402" s="12" t="n">
        <f aca="false">COUNTIF($A$2:$A$3000, N1402) + COUNTIF($A$2:$A$3000, O1402)</f>
        <v>2</v>
      </c>
      <c r="Q1402" s="16" t="str">
        <f aca="false">IF(OR(B1402=-1,I1402=0, P1402&lt;&gt;2), "albhed_dummy", _xlfn.CONCAT("albhed ", RIGHT("  " &amp; K1402,2),", ", RIGHT("  " &amp; L1402,2), ", " ,"""",H1402,""", ", """",N1402,""", ","""",O1402,""""," ; ", A1402))</f>
        <v>albhed 15,  4, "코", "오", "커" ; 얾</v>
      </c>
    </row>
    <row r="1403" customFormat="false" ht="17.9" hidden="false" customHeight="true" outlineLevel="0" collapsed="false">
      <c r="A1403" s="16" t="s">
        <v>2266</v>
      </c>
      <c r="B1403" s="16" t="n">
        <f aca="false">IF(_xlfn.UNICODE(A1403)&lt;44032,-1,_xlfn.UNICODE(A1403)-44032)</f>
        <v>6596</v>
      </c>
      <c r="C1403" s="16" t="n">
        <f aca="false">IF(B1403=-1,-1,INT((B1403/28)/21))</f>
        <v>11</v>
      </c>
      <c r="D1403" s="16" t="n">
        <f aca="false">IF(B1403=-1, -1, MOD(INT(B1403/28),21))</f>
        <v>4</v>
      </c>
      <c r="E1403" s="16" t="n">
        <f aca="false">IF(B1403=-1, -1, VLOOKUP(MOD(B1403,28), $T$24:$U$52,2))</f>
        <v>16</v>
      </c>
      <c r="F1403" s="16" t="n">
        <f aca="false">IF($B1403=-1, -1, VLOOKUP(C1403,$T$1:$V$20, 2))</f>
        <v>15</v>
      </c>
      <c r="G1403" s="16" t="n">
        <f aca="false">IF($B1403=-1, -1, VLOOKUP(D1403,$Y$1:$Z$22,2))</f>
        <v>8</v>
      </c>
      <c r="H1403" s="16" t="str">
        <f aca="false">_xlfn.UNICHAR(((F1403*21)+G1403)*28+44032)</f>
        <v>코</v>
      </c>
      <c r="I1403" s="16" t="n">
        <f aca="false">IF(B1403=-1, 1, COUNTIF($A$2:$A$3000, H1403))</f>
        <v>1</v>
      </c>
      <c r="J1403" s="10" t="str">
        <f aca="false">_xlfn.CONCAT(A1403, ",",H1403,",",I1403)</f>
        <v>엄,코,1</v>
      </c>
      <c r="K1403" s="16" t="n">
        <f aca="false">IF(B1403=-1,-1,VLOOKUP(C1403,$T$1:$V$20,3))</f>
        <v>15</v>
      </c>
      <c r="L1403" s="16" t="n">
        <f aca="false">IF(B1403=-1,-1,VLOOKUP(D1403,$Y$1:$AA$22,3))</f>
        <v>4</v>
      </c>
      <c r="N1403" s="10" t="str">
        <f aca="false">_xlfn.UNICHAR(((C1403*21)+G1403)*28+44032)</f>
        <v>오</v>
      </c>
      <c r="O1403" s="10" t="str">
        <f aca="false">_xlfn.UNICHAR(((F1403*21)+D1403)*28+44032)</f>
        <v>커</v>
      </c>
      <c r="P1403" s="12" t="n">
        <f aca="false">COUNTIF($A$2:$A$3000, N1403) + COUNTIF($A$2:$A$3000, O1403)</f>
        <v>2</v>
      </c>
      <c r="Q1403" s="16" t="str">
        <f aca="false">IF(OR(B1403=-1,I1403=0, P1403&lt;&gt;2), "albhed_dummy", _xlfn.CONCAT("albhed ", RIGHT("  " &amp; K1403,2),", ", RIGHT("  " &amp; L1403,2), ", " ,"""",H1403,""", ", """",N1403,""", ","""",O1403,""""," ; ", A1403))</f>
        <v>albhed 15,  4, "코", "오", "커" ; 엄</v>
      </c>
    </row>
    <row r="1404" customFormat="false" ht="17.9" hidden="false" customHeight="true" outlineLevel="0" collapsed="false">
      <c r="A1404" s="16" t="s">
        <v>2267</v>
      </c>
      <c r="B1404" s="16" t="n">
        <f aca="false">IF(_xlfn.UNICODE(A1404)&lt;44032,-1,_xlfn.UNICODE(A1404)-44032)</f>
        <v>6597</v>
      </c>
      <c r="C1404" s="16" t="n">
        <f aca="false">IF(B1404=-1,-1,INT((B1404/28)/21))</f>
        <v>11</v>
      </c>
      <c r="D1404" s="16" t="n">
        <f aca="false">IF(B1404=-1, -1, MOD(INT(B1404/28),21))</f>
        <v>4</v>
      </c>
      <c r="E1404" s="16" t="n">
        <f aca="false">IF(B1404=-1, -1, VLOOKUP(MOD(B1404,28), $T$24:$U$52,2))</f>
        <v>17</v>
      </c>
      <c r="F1404" s="16" t="n">
        <f aca="false">IF($B1404=-1, -1, VLOOKUP(C1404,$T$1:$V$20, 2))</f>
        <v>15</v>
      </c>
      <c r="G1404" s="16" t="n">
        <f aca="false">IF($B1404=-1, -1, VLOOKUP(D1404,$Y$1:$Z$22,2))</f>
        <v>8</v>
      </c>
      <c r="H1404" s="16" t="str">
        <f aca="false">_xlfn.UNICHAR(((F1404*21)+G1404)*28+44032)</f>
        <v>코</v>
      </c>
      <c r="I1404" s="16" t="n">
        <f aca="false">IF(B1404=-1, 1, COUNTIF($A$2:$A$3000, H1404))</f>
        <v>1</v>
      </c>
      <c r="J1404" s="10" t="str">
        <f aca="false">_xlfn.CONCAT(A1404, ",",H1404,",",I1404)</f>
        <v>업,코,1</v>
      </c>
      <c r="K1404" s="16" t="n">
        <f aca="false">IF(B1404=-1,-1,VLOOKUP(C1404,$T$1:$V$20,3))</f>
        <v>15</v>
      </c>
      <c r="L1404" s="16" t="n">
        <f aca="false">IF(B1404=-1,-1,VLOOKUP(D1404,$Y$1:$AA$22,3))</f>
        <v>4</v>
      </c>
      <c r="N1404" s="10" t="str">
        <f aca="false">_xlfn.UNICHAR(((C1404*21)+G1404)*28+44032)</f>
        <v>오</v>
      </c>
      <c r="O1404" s="10" t="str">
        <f aca="false">_xlfn.UNICHAR(((F1404*21)+D1404)*28+44032)</f>
        <v>커</v>
      </c>
      <c r="P1404" s="12" t="n">
        <f aca="false">COUNTIF($A$2:$A$3000, N1404) + COUNTIF($A$2:$A$3000, O1404)</f>
        <v>2</v>
      </c>
      <c r="Q1404" s="16" t="str">
        <f aca="false">IF(OR(B1404=-1,I1404=0, P1404&lt;&gt;2), "albhed_dummy", _xlfn.CONCAT("albhed ", RIGHT("  " &amp; K1404,2),", ", RIGHT("  " &amp; L1404,2), ", " ,"""",H1404,""", ", """",N1404,""", ","""",O1404,""""," ; ", A1404))</f>
        <v>albhed 15,  4, "코", "오", "커" ; 업</v>
      </c>
    </row>
    <row r="1405" customFormat="false" ht="17.9" hidden="false" customHeight="true" outlineLevel="0" collapsed="false">
      <c r="A1405" s="16" t="s">
        <v>819</v>
      </c>
      <c r="B1405" s="16" t="n">
        <f aca="false">IF(_xlfn.UNICODE(A1405)&lt;44032,-1,_xlfn.UNICODE(A1405)-44032)</f>
        <v>6598</v>
      </c>
      <c r="C1405" s="16" t="n">
        <f aca="false">IF(B1405=-1,-1,INT((B1405/28)/21))</f>
        <v>11</v>
      </c>
      <c r="D1405" s="16" t="n">
        <f aca="false">IF(B1405=-1, -1, MOD(INT(B1405/28),21))</f>
        <v>4</v>
      </c>
      <c r="E1405" s="16" t="n">
        <f aca="false">IF(B1405=-1, -1, VLOOKUP(MOD(B1405,28), $T$24:$U$52,2))</f>
        <v>17</v>
      </c>
      <c r="F1405" s="16" t="n">
        <f aca="false">IF($B1405=-1, -1, VLOOKUP(C1405,$T$1:$V$20, 2))</f>
        <v>15</v>
      </c>
      <c r="G1405" s="16" t="n">
        <f aca="false">IF($B1405=-1, -1, VLOOKUP(D1405,$Y$1:$Z$22,2))</f>
        <v>8</v>
      </c>
      <c r="H1405" s="16" t="str">
        <f aca="false">_xlfn.UNICHAR(((F1405*21)+G1405)*28+44032)</f>
        <v>코</v>
      </c>
      <c r="I1405" s="16" t="n">
        <f aca="false">IF(B1405=-1, 1, COUNTIF($A$2:$A$3000, H1405))</f>
        <v>1</v>
      </c>
      <c r="J1405" s="10" t="str">
        <f aca="false">_xlfn.CONCAT(A1405, ",",H1405,",",I1405)</f>
        <v>없,코,1</v>
      </c>
      <c r="K1405" s="16" t="n">
        <f aca="false">IF(B1405=-1,-1,VLOOKUP(C1405,$T$1:$V$20,3))</f>
        <v>15</v>
      </c>
      <c r="L1405" s="16" t="n">
        <f aca="false">IF(B1405=-1,-1,VLOOKUP(D1405,$Y$1:$AA$22,3))</f>
        <v>4</v>
      </c>
      <c r="N1405" s="10" t="str">
        <f aca="false">_xlfn.UNICHAR(((C1405*21)+G1405)*28+44032)</f>
        <v>오</v>
      </c>
      <c r="O1405" s="10" t="str">
        <f aca="false">_xlfn.UNICHAR(((F1405*21)+D1405)*28+44032)</f>
        <v>커</v>
      </c>
      <c r="P1405" s="12" t="n">
        <f aca="false">COUNTIF($A$2:$A$3000, N1405) + COUNTIF($A$2:$A$3000, O1405)</f>
        <v>2</v>
      </c>
      <c r="Q1405" s="16" t="str">
        <f aca="false">IF(OR(B1405=-1,I1405=0, P1405&lt;&gt;2), "albhed_dummy", _xlfn.CONCAT("albhed ", RIGHT("  " &amp; K1405,2),", ", RIGHT("  " &amp; L1405,2), ", " ,"""",H1405,""", ", """",N1405,""", ","""",O1405,""""," ; ", A1405))</f>
        <v>albhed 15,  4, "코", "오", "커" ; 없</v>
      </c>
    </row>
    <row r="1406" customFormat="false" ht="17.9" hidden="false" customHeight="true" outlineLevel="0" collapsed="false">
      <c r="A1406" s="16" t="s">
        <v>2268</v>
      </c>
      <c r="B1406" s="16" t="n">
        <f aca="false">IF(_xlfn.UNICODE(A1406)&lt;44032,-1,_xlfn.UNICODE(A1406)-44032)</f>
        <v>6599</v>
      </c>
      <c r="C1406" s="16" t="n">
        <f aca="false">IF(B1406=-1,-1,INT((B1406/28)/21))</f>
        <v>11</v>
      </c>
      <c r="D1406" s="16" t="n">
        <f aca="false">IF(B1406=-1, -1, MOD(INT(B1406/28),21))</f>
        <v>4</v>
      </c>
      <c r="E1406" s="16" t="n">
        <f aca="false">IF(B1406=-1, -1, VLOOKUP(MOD(B1406,28), $T$24:$U$52,2))</f>
        <v>19</v>
      </c>
      <c r="F1406" s="16" t="n">
        <f aca="false">IF($B1406=-1, -1, VLOOKUP(C1406,$T$1:$V$20, 2))</f>
        <v>15</v>
      </c>
      <c r="G1406" s="16" t="n">
        <f aca="false">IF($B1406=-1, -1, VLOOKUP(D1406,$Y$1:$Z$22,2))</f>
        <v>8</v>
      </c>
      <c r="H1406" s="16" t="str">
        <f aca="false">_xlfn.UNICHAR(((F1406*21)+G1406)*28+44032)</f>
        <v>코</v>
      </c>
      <c r="I1406" s="16" t="n">
        <f aca="false">IF(B1406=-1, 1, COUNTIF($A$2:$A$3000, H1406))</f>
        <v>1</v>
      </c>
      <c r="J1406" s="10" t="str">
        <f aca="false">_xlfn.CONCAT(A1406, ",",H1406,",",I1406)</f>
        <v>엇,코,1</v>
      </c>
      <c r="K1406" s="16" t="n">
        <f aca="false">IF(B1406=-1,-1,VLOOKUP(C1406,$T$1:$V$20,3))</f>
        <v>15</v>
      </c>
      <c r="L1406" s="16" t="n">
        <f aca="false">IF(B1406=-1,-1,VLOOKUP(D1406,$Y$1:$AA$22,3))</f>
        <v>4</v>
      </c>
      <c r="N1406" s="10" t="str">
        <f aca="false">_xlfn.UNICHAR(((C1406*21)+G1406)*28+44032)</f>
        <v>오</v>
      </c>
      <c r="O1406" s="10" t="str">
        <f aca="false">_xlfn.UNICHAR(((F1406*21)+D1406)*28+44032)</f>
        <v>커</v>
      </c>
      <c r="P1406" s="12" t="n">
        <f aca="false">COUNTIF($A$2:$A$3000, N1406) + COUNTIF($A$2:$A$3000, O1406)</f>
        <v>2</v>
      </c>
      <c r="Q1406" s="16" t="str">
        <f aca="false">IF(OR(B1406=-1,I1406=0, P1406&lt;&gt;2), "albhed_dummy", _xlfn.CONCAT("albhed ", RIGHT("  " &amp; K1406,2),", ", RIGHT("  " &amp; L1406,2), ", " ,"""",H1406,""", ", """",N1406,""", ","""",O1406,""""," ; ", A1406))</f>
        <v>albhed 15,  4, "코", "오", "커" ; 엇</v>
      </c>
    </row>
    <row r="1407" customFormat="false" ht="17.9" hidden="false" customHeight="true" outlineLevel="0" collapsed="false">
      <c r="A1407" s="16" t="s">
        <v>2269</v>
      </c>
      <c r="B1407" s="16" t="n">
        <f aca="false">IF(_xlfn.UNICODE(A1407)&lt;44032,-1,_xlfn.UNICODE(A1407)-44032)</f>
        <v>6600</v>
      </c>
      <c r="C1407" s="16" t="n">
        <f aca="false">IF(B1407=-1,-1,INT((B1407/28)/21))</f>
        <v>11</v>
      </c>
      <c r="D1407" s="16" t="n">
        <f aca="false">IF(B1407=-1, -1, MOD(INT(B1407/28),21))</f>
        <v>4</v>
      </c>
      <c r="E1407" s="16" t="n">
        <f aca="false">IF(B1407=-1, -1, VLOOKUP(MOD(B1407,28), $T$24:$U$52,2))</f>
        <v>19</v>
      </c>
      <c r="F1407" s="16" t="n">
        <f aca="false">IF($B1407=-1, -1, VLOOKUP(C1407,$T$1:$V$20, 2))</f>
        <v>15</v>
      </c>
      <c r="G1407" s="16" t="n">
        <f aca="false">IF($B1407=-1, -1, VLOOKUP(D1407,$Y$1:$Z$22,2))</f>
        <v>8</v>
      </c>
      <c r="H1407" s="16" t="str">
        <f aca="false">_xlfn.UNICHAR(((F1407*21)+G1407)*28+44032)</f>
        <v>코</v>
      </c>
      <c r="I1407" s="16" t="n">
        <f aca="false">IF(B1407=-1, 1, COUNTIF($A$2:$A$3000, H1407))</f>
        <v>1</v>
      </c>
      <c r="J1407" s="10" t="str">
        <f aca="false">_xlfn.CONCAT(A1407, ",",H1407,",",I1407)</f>
        <v>었,코,1</v>
      </c>
      <c r="K1407" s="16" t="n">
        <f aca="false">IF(B1407=-1,-1,VLOOKUP(C1407,$T$1:$V$20,3))</f>
        <v>15</v>
      </c>
      <c r="L1407" s="16" t="n">
        <f aca="false">IF(B1407=-1,-1,VLOOKUP(D1407,$Y$1:$AA$22,3))</f>
        <v>4</v>
      </c>
      <c r="N1407" s="10" t="str">
        <f aca="false">_xlfn.UNICHAR(((C1407*21)+G1407)*28+44032)</f>
        <v>오</v>
      </c>
      <c r="O1407" s="10" t="str">
        <f aca="false">_xlfn.UNICHAR(((F1407*21)+D1407)*28+44032)</f>
        <v>커</v>
      </c>
      <c r="P1407" s="12" t="n">
        <f aca="false">COUNTIF($A$2:$A$3000, N1407) + COUNTIF($A$2:$A$3000, O1407)</f>
        <v>2</v>
      </c>
      <c r="Q1407" s="16" t="str">
        <f aca="false">IF(OR(B1407=-1,I1407=0, P1407&lt;&gt;2), "albhed_dummy", _xlfn.CONCAT("albhed ", RIGHT("  " &amp; K1407,2),", ", RIGHT("  " &amp; L1407,2), ", " ,"""",H1407,""", ", """",N1407,""", ","""",O1407,""""," ; ", A1407))</f>
        <v>albhed 15,  4, "코", "오", "커" ; 었</v>
      </c>
    </row>
    <row r="1408" customFormat="false" ht="17.9" hidden="false" customHeight="true" outlineLevel="0" collapsed="false">
      <c r="A1408" s="16" t="s">
        <v>2270</v>
      </c>
      <c r="B1408" s="16" t="n">
        <f aca="false">IF(_xlfn.UNICODE(A1408)&lt;44032,-1,_xlfn.UNICODE(A1408)-44032)</f>
        <v>6601</v>
      </c>
      <c r="C1408" s="16" t="n">
        <f aca="false">IF(B1408=-1,-1,INT((B1408/28)/21))</f>
        <v>11</v>
      </c>
      <c r="D1408" s="16" t="n">
        <f aca="false">IF(B1408=-1, -1, MOD(INT(B1408/28),21))</f>
        <v>4</v>
      </c>
      <c r="E1408" s="16" t="n">
        <f aca="false">IF(B1408=-1, -1, VLOOKUP(MOD(B1408,28), $T$24:$U$52,2))</f>
        <v>21</v>
      </c>
      <c r="F1408" s="16" t="n">
        <f aca="false">IF($B1408=-1, -1, VLOOKUP(C1408,$T$1:$V$20, 2))</f>
        <v>15</v>
      </c>
      <c r="G1408" s="16" t="n">
        <f aca="false">IF($B1408=-1, -1, VLOOKUP(D1408,$Y$1:$Z$22,2))</f>
        <v>8</v>
      </c>
      <c r="H1408" s="16" t="str">
        <f aca="false">_xlfn.UNICHAR(((F1408*21)+G1408)*28+44032)</f>
        <v>코</v>
      </c>
      <c r="I1408" s="16" t="n">
        <f aca="false">IF(B1408=-1, 1, COUNTIF($A$2:$A$3000, H1408))</f>
        <v>1</v>
      </c>
      <c r="J1408" s="10" t="str">
        <f aca="false">_xlfn.CONCAT(A1408, ",",H1408,",",I1408)</f>
        <v>엉,코,1</v>
      </c>
      <c r="K1408" s="16" t="n">
        <f aca="false">IF(B1408=-1,-1,VLOOKUP(C1408,$T$1:$V$20,3))</f>
        <v>15</v>
      </c>
      <c r="L1408" s="16" t="n">
        <f aca="false">IF(B1408=-1,-1,VLOOKUP(D1408,$Y$1:$AA$22,3))</f>
        <v>4</v>
      </c>
      <c r="N1408" s="10" t="str">
        <f aca="false">_xlfn.UNICHAR(((C1408*21)+G1408)*28+44032)</f>
        <v>오</v>
      </c>
      <c r="O1408" s="10" t="str">
        <f aca="false">_xlfn.UNICHAR(((F1408*21)+D1408)*28+44032)</f>
        <v>커</v>
      </c>
      <c r="P1408" s="12" t="n">
        <f aca="false">COUNTIF($A$2:$A$3000, N1408) + COUNTIF($A$2:$A$3000, O1408)</f>
        <v>2</v>
      </c>
      <c r="Q1408" s="16" t="str">
        <f aca="false">IF(OR(B1408=-1,I1408=0, P1408&lt;&gt;2), "albhed_dummy", _xlfn.CONCAT("albhed ", RIGHT("  " &amp; K1408,2),", ", RIGHT("  " &amp; L1408,2), ", " ,"""",H1408,""", ", """",N1408,""", ","""",O1408,""""," ; ", A1408))</f>
        <v>albhed 15,  4, "코", "오", "커" ; 엉</v>
      </c>
    </row>
    <row r="1409" customFormat="false" ht="17.9" hidden="false" customHeight="true" outlineLevel="0" collapsed="false">
      <c r="A1409" s="16" t="s">
        <v>2271</v>
      </c>
      <c r="B1409" s="16" t="n">
        <f aca="false">IF(_xlfn.UNICODE(A1409)&lt;44032,-1,_xlfn.UNICODE(A1409)-44032)</f>
        <v>6602</v>
      </c>
      <c r="C1409" s="16" t="n">
        <f aca="false">IF(B1409=-1,-1,INT((B1409/28)/21))</f>
        <v>11</v>
      </c>
      <c r="D1409" s="16" t="n">
        <f aca="false">IF(B1409=-1, -1, MOD(INT(B1409/28),21))</f>
        <v>4</v>
      </c>
      <c r="E1409" s="16" t="n">
        <f aca="false">IF(B1409=-1, -1, VLOOKUP(MOD(B1409,28), $T$24:$U$52,2))</f>
        <v>19</v>
      </c>
      <c r="F1409" s="16" t="n">
        <f aca="false">IF($B1409=-1, -1, VLOOKUP(C1409,$T$1:$V$20, 2))</f>
        <v>15</v>
      </c>
      <c r="G1409" s="16" t="n">
        <f aca="false">IF($B1409=-1, -1, VLOOKUP(D1409,$Y$1:$Z$22,2))</f>
        <v>8</v>
      </c>
      <c r="H1409" s="16" t="str">
        <f aca="false">_xlfn.UNICHAR(((F1409*21)+G1409)*28+44032)</f>
        <v>코</v>
      </c>
      <c r="I1409" s="16" t="n">
        <f aca="false">IF(B1409=-1, 1, COUNTIF($A$2:$A$3000, H1409))</f>
        <v>1</v>
      </c>
      <c r="J1409" s="10" t="str">
        <f aca="false">_xlfn.CONCAT(A1409, ",",H1409,",",I1409)</f>
        <v>엊,코,1</v>
      </c>
      <c r="K1409" s="16" t="n">
        <f aca="false">IF(B1409=-1,-1,VLOOKUP(C1409,$T$1:$V$20,3))</f>
        <v>15</v>
      </c>
      <c r="L1409" s="16" t="n">
        <f aca="false">IF(B1409=-1,-1,VLOOKUP(D1409,$Y$1:$AA$22,3))</f>
        <v>4</v>
      </c>
      <c r="N1409" s="10" t="str">
        <f aca="false">_xlfn.UNICHAR(((C1409*21)+G1409)*28+44032)</f>
        <v>오</v>
      </c>
      <c r="O1409" s="10" t="str">
        <f aca="false">_xlfn.UNICHAR(((F1409*21)+D1409)*28+44032)</f>
        <v>커</v>
      </c>
      <c r="P1409" s="12" t="n">
        <f aca="false">COUNTIF($A$2:$A$3000, N1409) + COUNTIF($A$2:$A$3000, O1409)</f>
        <v>2</v>
      </c>
      <c r="Q1409" s="16" t="str">
        <f aca="false">IF(OR(B1409=-1,I1409=0, P1409&lt;&gt;2), "albhed_dummy", _xlfn.CONCAT("albhed ", RIGHT("  " &amp; K1409,2),", ", RIGHT("  " &amp; L1409,2), ", " ,"""",H1409,""", ", """",N1409,""", ","""",O1409,""""," ; ", A1409))</f>
        <v>albhed 15,  4, "코", "오", "커" ; 엊</v>
      </c>
    </row>
    <row r="1410" customFormat="false" ht="17.9" hidden="false" customHeight="true" outlineLevel="0" collapsed="false">
      <c r="A1410" s="16" t="s">
        <v>2272</v>
      </c>
      <c r="B1410" s="16" t="n">
        <f aca="false">IF(_xlfn.UNICODE(A1410)&lt;44032,-1,_xlfn.UNICODE(A1410)-44032)</f>
        <v>6604</v>
      </c>
      <c r="C1410" s="16" t="n">
        <f aca="false">IF(B1410=-1,-1,INT((B1410/28)/21))</f>
        <v>11</v>
      </c>
      <c r="D1410" s="16" t="n">
        <f aca="false">IF(B1410=-1, -1, MOD(INT(B1410/28),21))</f>
        <v>4</v>
      </c>
      <c r="E1410" s="16" t="n">
        <f aca="false">IF(B1410=-1, -1, VLOOKUP(MOD(B1410,28), $T$24:$U$52,2))</f>
        <v>1</v>
      </c>
      <c r="F1410" s="16" t="n">
        <f aca="false">IF($B1410=-1, -1, VLOOKUP(C1410,$T$1:$V$20, 2))</f>
        <v>15</v>
      </c>
      <c r="G1410" s="16" t="n">
        <f aca="false">IF($B1410=-1, -1, VLOOKUP(D1410,$Y$1:$Z$22,2))</f>
        <v>8</v>
      </c>
      <c r="H1410" s="16" t="str">
        <f aca="false">_xlfn.UNICHAR(((F1410*21)+G1410)*28+44032)</f>
        <v>코</v>
      </c>
      <c r="I1410" s="16" t="n">
        <f aca="false">IF(B1410=-1, 1, COUNTIF($A$2:$A$3000, H1410))</f>
        <v>1</v>
      </c>
      <c r="J1410" s="10" t="str">
        <f aca="false">_xlfn.CONCAT(A1410, ",",H1410,",",I1410)</f>
        <v>엌,코,1</v>
      </c>
      <c r="K1410" s="16" t="n">
        <f aca="false">IF(B1410=-1,-1,VLOOKUP(C1410,$T$1:$V$20,3))</f>
        <v>15</v>
      </c>
      <c r="L1410" s="16" t="n">
        <f aca="false">IF(B1410=-1,-1,VLOOKUP(D1410,$Y$1:$AA$22,3))</f>
        <v>4</v>
      </c>
      <c r="N1410" s="10" t="str">
        <f aca="false">_xlfn.UNICHAR(((C1410*21)+G1410)*28+44032)</f>
        <v>오</v>
      </c>
      <c r="O1410" s="10" t="str">
        <f aca="false">_xlfn.UNICHAR(((F1410*21)+D1410)*28+44032)</f>
        <v>커</v>
      </c>
      <c r="P1410" s="12" t="n">
        <f aca="false">COUNTIF($A$2:$A$3000, N1410) + COUNTIF($A$2:$A$3000, O1410)</f>
        <v>2</v>
      </c>
      <c r="Q1410" s="16" t="str">
        <f aca="false">IF(OR(B1410=-1,I1410=0, P1410&lt;&gt;2), "albhed_dummy", _xlfn.CONCAT("albhed ", RIGHT("  " &amp; K1410,2),", ", RIGHT("  " &amp; L1410,2), ", " ,"""",H1410,""", ", """",N1410,""", ","""",O1410,""""," ; ", A1410))</f>
        <v>albhed 15,  4, "코", "오", "커" ; 엌</v>
      </c>
    </row>
    <row r="1411" customFormat="false" ht="17.9" hidden="false" customHeight="true" outlineLevel="0" collapsed="false">
      <c r="A1411" s="16" t="s">
        <v>2273</v>
      </c>
      <c r="B1411" s="16" t="n">
        <f aca="false">IF(_xlfn.UNICODE(A1411)&lt;44032,-1,_xlfn.UNICODE(A1411)-44032)</f>
        <v>6606</v>
      </c>
      <c r="C1411" s="16" t="n">
        <f aca="false">IF(B1411=-1,-1,INT((B1411/28)/21))</f>
        <v>11</v>
      </c>
      <c r="D1411" s="16" t="n">
        <f aca="false">IF(B1411=-1, -1, MOD(INT(B1411/28),21))</f>
        <v>4</v>
      </c>
      <c r="E1411" s="16" t="n">
        <f aca="false">IF(B1411=-1, -1, VLOOKUP(MOD(B1411,28), $T$24:$U$52,2))</f>
        <v>17</v>
      </c>
      <c r="F1411" s="16" t="n">
        <f aca="false">IF($B1411=-1, -1, VLOOKUP(C1411,$T$1:$V$20, 2))</f>
        <v>15</v>
      </c>
      <c r="G1411" s="16" t="n">
        <f aca="false">IF($B1411=-1, -1, VLOOKUP(D1411,$Y$1:$Z$22,2))</f>
        <v>8</v>
      </c>
      <c r="H1411" s="16" t="str">
        <f aca="false">_xlfn.UNICHAR(((F1411*21)+G1411)*28+44032)</f>
        <v>코</v>
      </c>
      <c r="I1411" s="16" t="n">
        <f aca="false">IF(B1411=-1, 1, COUNTIF($A$2:$A$3000, H1411))</f>
        <v>1</v>
      </c>
      <c r="J1411" s="10" t="str">
        <f aca="false">_xlfn.CONCAT(A1411, ",",H1411,",",I1411)</f>
        <v>엎,코,1</v>
      </c>
      <c r="K1411" s="16" t="n">
        <f aca="false">IF(B1411=-1,-1,VLOOKUP(C1411,$T$1:$V$20,3))</f>
        <v>15</v>
      </c>
      <c r="L1411" s="16" t="n">
        <f aca="false">IF(B1411=-1,-1,VLOOKUP(D1411,$Y$1:$AA$22,3))</f>
        <v>4</v>
      </c>
      <c r="N1411" s="10" t="str">
        <f aca="false">_xlfn.UNICHAR(((C1411*21)+G1411)*28+44032)</f>
        <v>오</v>
      </c>
      <c r="O1411" s="10" t="str">
        <f aca="false">_xlfn.UNICHAR(((F1411*21)+D1411)*28+44032)</f>
        <v>커</v>
      </c>
      <c r="P1411" s="12" t="n">
        <f aca="false">COUNTIF($A$2:$A$3000, N1411) + COUNTIF($A$2:$A$3000, O1411)</f>
        <v>2</v>
      </c>
      <c r="Q1411" s="16" t="str">
        <f aca="false">IF(OR(B1411=-1,I1411=0, P1411&lt;&gt;2), "albhed_dummy", _xlfn.CONCAT("albhed ", RIGHT("  " &amp; K1411,2),", ", RIGHT("  " &amp; L1411,2), ", " ,"""",H1411,""", ", """",N1411,""", ","""",O1411,""""," ; ", A1411))</f>
        <v>albhed 15,  4, "코", "오", "커" ; 엎</v>
      </c>
    </row>
    <row r="1412" customFormat="false" ht="17.9" hidden="false" customHeight="true" outlineLevel="0" collapsed="false">
      <c r="A1412" s="16" t="s">
        <v>2274</v>
      </c>
      <c r="B1412" s="16" t="n">
        <f aca="false">IF(_xlfn.UNICODE(A1412)&lt;44032,-1,_xlfn.UNICODE(A1412)-44032)</f>
        <v>6608</v>
      </c>
      <c r="C1412" s="16" t="n">
        <f aca="false">IF(B1412=-1,-1,INT((B1412/28)/21))</f>
        <v>11</v>
      </c>
      <c r="D1412" s="16" t="n">
        <f aca="false">IF(B1412=-1, -1, MOD(INT(B1412/28),21))</f>
        <v>5</v>
      </c>
      <c r="E1412" s="16" t="n">
        <f aca="false">IF(B1412=-1, -1, VLOOKUP(MOD(B1412,28), $T$24:$U$52,2))</f>
        <v>0</v>
      </c>
      <c r="F1412" s="16" t="n">
        <f aca="false">IF($B1412=-1, -1, VLOOKUP(C1412,$T$1:$V$20, 2))</f>
        <v>15</v>
      </c>
      <c r="G1412" s="16" t="n">
        <f aca="false">IF($B1412=-1, -1, VLOOKUP(D1412,$Y$1:$Z$22,2))</f>
        <v>18</v>
      </c>
      <c r="H1412" s="16" t="str">
        <f aca="false">_xlfn.UNICHAR(((F1412*21)+G1412)*28+44032)</f>
        <v>크</v>
      </c>
      <c r="I1412" s="16" t="n">
        <f aca="false">IF(B1412=-1, 1, COUNTIF($A$2:$A$3000, H1412))</f>
        <v>1</v>
      </c>
      <c r="J1412" s="10" t="str">
        <f aca="false">_xlfn.CONCAT(A1412, ",",H1412,",",I1412)</f>
        <v>에,크,1</v>
      </c>
      <c r="K1412" s="16" t="n">
        <f aca="false">IF(B1412=-1,-1,VLOOKUP(C1412,$T$1:$V$20,3))</f>
        <v>15</v>
      </c>
      <c r="L1412" s="16" t="n">
        <f aca="false">IF(B1412=-1,-1,VLOOKUP(D1412,$Y$1:$AA$22,3))</f>
        <v>10</v>
      </c>
      <c r="N1412" s="10" t="str">
        <f aca="false">_xlfn.UNICHAR(((C1412*21)+G1412)*28+44032)</f>
        <v>으</v>
      </c>
      <c r="O1412" s="10" t="str">
        <f aca="false">_xlfn.UNICHAR(((F1412*21)+D1412)*28+44032)</f>
        <v>케</v>
      </c>
      <c r="P1412" s="12" t="n">
        <f aca="false">COUNTIF($A$2:$A$3000, N1412) + COUNTIF($A$2:$A$3000, O1412)</f>
        <v>2</v>
      </c>
      <c r="Q1412" s="16" t="str">
        <f aca="false">IF(OR(B1412=-1,I1412=0, P1412&lt;&gt;2), "albhed_dummy", _xlfn.CONCAT("albhed ", RIGHT("  " &amp; K1412,2),", ", RIGHT("  " &amp; L1412,2), ", " ,"""",H1412,""", ", """",N1412,""", ","""",O1412,""""," ; ", A1412))</f>
        <v>albhed 15, 10, "크", "으", "케" ; 에</v>
      </c>
    </row>
    <row r="1413" customFormat="false" ht="17.9" hidden="false" customHeight="true" outlineLevel="0" collapsed="false">
      <c r="A1413" s="16" t="s">
        <v>2275</v>
      </c>
      <c r="B1413" s="16" t="n">
        <f aca="false">IF(_xlfn.UNICODE(A1413)&lt;44032,-1,_xlfn.UNICODE(A1413)-44032)</f>
        <v>6609</v>
      </c>
      <c r="C1413" s="16" t="n">
        <f aca="false">IF(B1413=-1,-1,INT((B1413/28)/21))</f>
        <v>11</v>
      </c>
      <c r="D1413" s="16" t="n">
        <f aca="false">IF(B1413=-1, -1, MOD(INT(B1413/28),21))</f>
        <v>5</v>
      </c>
      <c r="E1413" s="16" t="n">
        <f aca="false">IF(B1413=-1, -1, VLOOKUP(MOD(B1413,28), $T$24:$U$52,2))</f>
        <v>1</v>
      </c>
      <c r="F1413" s="16" t="n">
        <f aca="false">IF($B1413=-1, -1, VLOOKUP(C1413,$T$1:$V$20, 2))</f>
        <v>15</v>
      </c>
      <c r="G1413" s="16" t="n">
        <f aca="false">IF($B1413=-1, -1, VLOOKUP(D1413,$Y$1:$Z$22,2))</f>
        <v>18</v>
      </c>
      <c r="H1413" s="16" t="str">
        <f aca="false">_xlfn.UNICHAR(((F1413*21)+G1413)*28+44032)</f>
        <v>크</v>
      </c>
      <c r="I1413" s="16" t="n">
        <f aca="false">IF(B1413=-1, 1, COUNTIF($A$2:$A$3000, H1413))</f>
        <v>1</v>
      </c>
      <c r="J1413" s="10" t="str">
        <f aca="false">_xlfn.CONCAT(A1413, ",",H1413,",",I1413)</f>
        <v>엑,크,1</v>
      </c>
      <c r="K1413" s="16" t="n">
        <f aca="false">IF(B1413=-1,-1,VLOOKUP(C1413,$T$1:$V$20,3))</f>
        <v>15</v>
      </c>
      <c r="L1413" s="16" t="n">
        <f aca="false">IF(B1413=-1,-1,VLOOKUP(D1413,$Y$1:$AA$22,3))</f>
        <v>10</v>
      </c>
      <c r="N1413" s="10" t="str">
        <f aca="false">_xlfn.UNICHAR(((C1413*21)+G1413)*28+44032)</f>
        <v>으</v>
      </c>
      <c r="O1413" s="10" t="str">
        <f aca="false">_xlfn.UNICHAR(((F1413*21)+D1413)*28+44032)</f>
        <v>케</v>
      </c>
      <c r="P1413" s="12" t="n">
        <f aca="false">COUNTIF($A$2:$A$3000, N1413) + COUNTIF($A$2:$A$3000, O1413)</f>
        <v>2</v>
      </c>
      <c r="Q1413" s="16" t="str">
        <f aca="false">IF(OR(B1413=-1,I1413=0, P1413&lt;&gt;2), "albhed_dummy", _xlfn.CONCAT("albhed ", RIGHT("  " &amp; K1413,2),", ", RIGHT("  " &amp; L1413,2), ", " ,"""",H1413,""", ", """",N1413,""", ","""",O1413,""""," ; ", A1413))</f>
        <v>albhed 15, 10, "크", "으", "케" ; 엑</v>
      </c>
    </row>
    <row r="1414" customFormat="false" ht="17.9" hidden="false" customHeight="true" outlineLevel="0" collapsed="false">
      <c r="A1414" s="16" t="s">
        <v>2276</v>
      </c>
      <c r="B1414" s="16" t="n">
        <f aca="false">IF(_xlfn.UNICODE(A1414)&lt;44032,-1,_xlfn.UNICODE(A1414)-44032)</f>
        <v>6612</v>
      </c>
      <c r="C1414" s="16" t="n">
        <f aca="false">IF(B1414=-1,-1,INT((B1414/28)/21))</f>
        <v>11</v>
      </c>
      <c r="D1414" s="16" t="n">
        <f aca="false">IF(B1414=-1, -1, MOD(INT(B1414/28),21))</f>
        <v>5</v>
      </c>
      <c r="E1414" s="16" t="n">
        <f aca="false">IF(B1414=-1, -1, VLOOKUP(MOD(B1414,28), $T$24:$U$52,2))</f>
        <v>4</v>
      </c>
      <c r="F1414" s="16" t="n">
        <f aca="false">IF($B1414=-1, -1, VLOOKUP(C1414,$T$1:$V$20, 2))</f>
        <v>15</v>
      </c>
      <c r="G1414" s="16" t="n">
        <f aca="false">IF($B1414=-1, -1, VLOOKUP(D1414,$Y$1:$Z$22,2))</f>
        <v>18</v>
      </c>
      <c r="H1414" s="16" t="str">
        <f aca="false">_xlfn.UNICHAR(((F1414*21)+G1414)*28+44032)</f>
        <v>크</v>
      </c>
      <c r="I1414" s="16" t="n">
        <f aca="false">IF(B1414=-1, 1, COUNTIF($A$2:$A$3000, H1414))</f>
        <v>1</v>
      </c>
      <c r="J1414" s="10" t="str">
        <f aca="false">_xlfn.CONCAT(A1414, ",",H1414,",",I1414)</f>
        <v>엔,크,1</v>
      </c>
      <c r="K1414" s="16" t="n">
        <f aca="false">IF(B1414=-1,-1,VLOOKUP(C1414,$T$1:$V$20,3))</f>
        <v>15</v>
      </c>
      <c r="L1414" s="16" t="n">
        <f aca="false">IF(B1414=-1,-1,VLOOKUP(D1414,$Y$1:$AA$22,3))</f>
        <v>10</v>
      </c>
      <c r="N1414" s="10" t="str">
        <f aca="false">_xlfn.UNICHAR(((C1414*21)+G1414)*28+44032)</f>
        <v>으</v>
      </c>
      <c r="O1414" s="10" t="str">
        <f aca="false">_xlfn.UNICHAR(((F1414*21)+D1414)*28+44032)</f>
        <v>케</v>
      </c>
      <c r="P1414" s="12" t="n">
        <f aca="false">COUNTIF($A$2:$A$3000, N1414) + COUNTIF($A$2:$A$3000, O1414)</f>
        <v>2</v>
      </c>
      <c r="Q1414" s="16" t="str">
        <f aca="false">IF(OR(B1414=-1,I1414=0, P1414&lt;&gt;2), "albhed_dummy", _xlfn.CONCAT("albhed ", RIGHT("  " &amp; K1414,2),", ", RIGHT("  " &amp; L1414,2), ", " ,"""",H1414,""", ", """",N1414,""", ","""",O1414,""""," ; ", A1414))</f>
        <v>albhed 15, 10, "크", "으", "케" ; 엔</v>
      </c>
    </row>
    <row r="1415" customFormat="false" ht="17.9" hidden="false" customHeight="true" outlineLevel="0" collapsed="false">
      <c r="A1415" s="16" t="s">
        <v>2277</v>
      </c>
      <c r="B1415" s="16" t="n">
        <f aca="false">IF(_xlfn.UNICODE(A1415)&lt;44032,-1,_xlfn.UNICODE(A1415)-44032)</f>
        <v>6616</v>
      </c>
      <c r="C1415" s="16" t="n">
        <f aca="false">IF(B1415=-1,-1,INT((B1415/28)/21))</f>
        <v>11</v>
      </c>
      <c r="D1415" s="16" t="n">
        <f aca="false">IF(B1415=-1, -1, MOD(INT(B1415/28),21))</f>
        <v>5</v>
      </c>
      <c r="E1415" s="16" t="n">
        <f aca="false">IF(B1415=-1, -1, VLOOKUP(MOD(B1415,28), $T$24:$U$52,2))</f>
        <v>8</v>
      </c>
      <c r="F1415" s="16" t="n">
        <f aca="false">IF($B1415=-1, -1, VLOOKUP(C1415,$T$1:$V$20, 2))</f>
        <v>15</v>
      </c>
      <c r="G1415" s="16" t="n">
        <f aca="false">IF($B1415=-1, -1, VLOOKUP(D1415,$Y$1:$Z$22,2))</f>
        <v>18</v>
      </c>
      <c r="H1415" s="16" t="str">
        <f aca="false">_xlfn.UNICHAR(((F1415*21)+G1415)*28+44032)</f>
        <v>크</v>
      </c>
      <c r="I1415" s="16" t="n">
        <f aca="false">IF(B1415=-1, 1, COUNTIF($A$2:$A$3000, H1415))</f>
        <v>1</v>
      </c>
      <c r="J1415" s="10" t="str">
        <f aca="false">_xlfn.CONCAT(A1415, ",",H1415,",",I1415)</f>
        <v>엘,크,1</v>
      </c>
      <c r="K1415" s="16" t="n">
        <f aca="false">IF(B1415=-1,-1,VLOOKUP(C1415,$T$1:$V$20,3))</f>
        <v>15</v>
      </c>
      <c r="L1415" s="16" t="n">
        <f aca="false">IF(B1415=-1,-1,VLOOKUP(D1415,$Y$1:$AA$22,3))</f>
        <v>10</v>
      </c>
      <c r="N1415" s="10" t="str">
        <f aca="false">_xlfn.UNICHAR(((C1415*21)+G1415)*28+44032)</f>
        <v>으</v>
      </c>
      <c r="O1415" s="10" t="str">
        <f aca="false">_xlfn.UNICHAR(((F1415*21)+D1415)*28+44032)</f>
        <v>케</v>
      </c>
      <c r="P1415" s="12" t="n">
        <f aca="false">COUNTIF($A$2:$A$3000, N1415) + COUNTIF($A$2:$A$3000, O1415)</f>
        <v>2</v>
      </c>
      <c r="Q1415" s="16" t="str">
        <f aca="false">IF(OR(B1415=-1,I1415=0, P1415&lt;&gt;2), "albhed_dummy", _xlfn.CONCAT("albhed ", RIGHT("  " &amp; K1415,2),", ", RIGHT("  " &amp; L1415,2), ", " ,"""",H1415,""", ", """",N1415,""", ","""",O1415,""""," ; ", A1415))</f>
        <v>albhed 15, 10, "크", "으", "케" ; 엘</v>
      </c>
    </row>
    <row r="1416" customFormat="false" ht="17.9" hidden="false" customHeight="true" outlineLevel="0" collapsed="false">
      <c r="A1416" s="16" t="s">
        <v>2278</v>
      </c>
      <c r="B1416" s="16" t="n">
        <f aca="false">IF(_xlfn.UNICODE(A1416)&lt;44032,-1,_xlfn.UNICODE(A1416)-44032)</f>
        <v>6624</v>
      </c>
      <c r="C1416" s="16" t="n">
        <f aca="false">IF(B1416=-1,-1,INT((B1416/28)/21))</f>
        <v>11</v>
      </c>
      <c r="D1416" s="16" t="n">
        <f aca="false">IF(B1416=-1, -1, MOD(INT(B1416/28),21))</f>
        <v>5</v>
      </c>
      <c r="E1416" s="16" t="n">
        <f aca="false">IF(B1416=-1, -1, VLOOKUP(MOD(B1416,28), $T$24:$U$52,2))</f>
        <v>16</v>
      </c>
      <c r="F1416" s="16" t="n">
        <f aca="false">IF($B1416=-1, -1, VLOOKUP(C1416,$T$1:$V$20, 2))</f>
        <v>15</v>
      </c>
      <c r="G1416" s="16" t="n">
        <f aca="false">IF($B1416=-1, -1, VLOOKUP(D1416,$Y$1:$Z$22,2))</f>
        <v>18</v>
      </c>
      <c r="H1416" s="16" t="str">
        <f aca="false">_xlfn.UNICHAR(((F1416*21)+G1416)*28+44032)</f>
        <v>크</v>
      </c>
      <c r="I1416" s="16" t="n">
        <f aca="false">IF(B1416=-1, 1, COUNTIF($A$2:$A$3000, H1416))</f>
        <v>1</v>
      </c>
      <c r="J1416" s="10" t="str">
        <f aca="false">_xlfn.CONCAT(A1416, ",",H1416,",",I1416)</f>
        <v>엠,크,1</v>
      </c>
      <c r="K1416" s="16" t="n">
        <f aca="false">IF(B1416=-1,-1,VLOOKUP(C1416,$T$1:$V$20,3))</f>
        <v>15</v>
      </c>
      <c r="L1416" s="16" t="n">
        <f aca="false">IF(B1416=-1,-1,VLOOKUP(D1416,$Y$1:$AA$22,3))</f>
        <v>10</v>
      </c>
      <c r="N1416" s="10" t="str">
        <f aca="false">_xlfn.UNICHAR(((C1416*21)+G1416)*28+44032)</f>
        <v>으</v>
      </c>
      <c r="O1416" s="10" t="str">
        <f aca="false">_xlfn.UNICHAR(((F1416*21)+D1416)*28+44032)</f>
        <v>케</v>
      </c>
      <c r="P1416" s="12" t="n">
        <f aca="false">COUNTIF($A$2:$A$3000, N1416) + COUNTIF($A$2:$A$3000, O1416)</f>
        <v>2</v>
      </c>
      <c r="Q1416" s="16" t="str">
        <f aca="false">IF(OR(B1416=-1,I1416=0, P1416&lt;&gt;2), "albhed_dummy", _xlfn.CONCAT("albhed ", RIGHT("  " &amp; K1416,2),", ", RIGHT("  " &amp; L1416,2), ", " ,"""",H1416,""", ", """",N1416,""", ","""",O1416,""""," ; ", A1416))</f>
        <v>albhed 15, 10, "크", "으", "케" ; 엠</v>
      </c>
    </row>
    <row r="1417" customFormat="false" ht="17.9" hidden="false" customHeight="true" outlineLevel="0" collapsed="false">
      <c r="A1417" s="16" t="s">
        <v>2279</v>
      </c>
      <c r="B1417" s="16" t="n">
        <f aca="false">IF(_xlfn.UNICODE(A1417)&lt;44032,-1,_xlfn.UNICODE(A1417)-44032)</f>
        <v>6625</v>
      </c>
      <c r="C1417" s="16" t="n">
        <f aca="false">IF(B1417=-1,-1,INT((B1417/28)/21))</f>
        <v>11</v>
      </c>
      <c r="D1417" s="16" t="n">
        <f aca="false">IF(B1417=-1, -1, MOD(INT(B1417/28),21))</f>
        <v>5</v>
      </c>
      <c r="E1417" s="16" t="n">
        <f aca="false">IF(B1417=-1, -1, VLOOKUP(MOD(B1417,28), $T$24:$U$52,2))</f>
        <v>17</v>
      </c>
      <c r="F1417" s="16" t="n">
        <f aca="false">IF($B1417=-1, -1, VLOOKUP(C1417,$T$1:$V$20, 2))</f>
        <v>15</v>
      </c>
      <c r="G1417" s="16" t="n">
        <f aca="false">IF($B1417=-1, -1, VLOOKUP(D1417,$Y$1:$Z$22,2))</f>
        <v>18</v>
      </c>
      <c r="H1417" s="16" t="str">
        <f aca="false">_xlfn.UNICHAR(((F1417*21)+G1417)*28+44032)</f>
        <v>크</v>
      </c>
      <c r="I1417" s="16" t="n">
        <f aca="false">IF(B1417=-1, 1, COUNTIF($A$2:$A$3000, H1417))</f>
        <v>1</v>
      </c>
      <c r="J1417" s="10" t="str">
        <f aca="false">_xlfn.CONCAT(A1417, ",",H1417,",",I1417)</f>
        <v>엡,크,1</v>
      </c>
      <c r="K1417" s="16" t="n">
        <f aca="false">IF(B1417=-1,-1,VLOOKUP(C1417,$T$1:$V$20,3))</f>
        <v>15</v>
      </c>
      <c r="L1417" s="16" t="n">
        <f aca="false">IF(B1417=-1,-1,VLOOKUP(D1417,$Y$1:$AA$22,3))</f>
        <v>10</v>
      </c>
      <c r="N1417" s="10" t="str">
        <f aca="false">_xlfn.UNICHAR(((C1417*21)+G1417)*28+44032)</f>
        <v>으</v>
      </c>
      <c r="O1417" s="10" t="str">
        <f aca="false">_xlfn.UNICHAR(((F1417*21)+D1417)*28+44032)</f>
        <v>케</v>
      </c>
      <c r="P1417" s="12" t="n">
        <f aca="false">COUNTIF($A$2:$A$3000, N1417) + COUNTIF($A$2:$A$3000, O1417)</f>
        <v>2</v>
      </c>
      <c r="Q1417" s="16" t="str">
        <f aca="false">IF(OR(B1417=-1,I1417=0, P1417&lt;&gt;2), "albhed_dummy", _xlfn.CONCAT("albhed ", RIGHT("  " &amp; K1417,2),", ", RIGHT("  " &amp; L1417,2), ", " ,"""",H1417,""", ", """",N1417,""", ","""",O1417,""""," ; ", A1417))</f>
        <v>albhed 15, 10, "크", "으", "케" ; 엡</v>
      </c>
    </row>
    <row r="1418" customFormat="false" ht="17.9" hidden="false" customHeight="true" outlineLevel="0" collapsed="false">
      <c r="A1418" s="16" t="s">
        <v>2280</v>
      </c>
      <c r="B1418" s="16" t="n">
        <f aca="false">IF(_xlfn.UNICODE(A1418)&lt;44032,-1,_xlfn.UNICODE(A1418)-44032)</f>
        <v>6627</v>
      </c>
      <c r="C1418" s="16" t="n">
        <f aca="false">IF(B1418=-1,-1,INT((B1418/28)/21))</f>
        <v>11</v>
      </c>
      <c r="D1418" s="16" t="n">
        <f aca="false">IF(B1418=-1, -1, MOD(INT(B1418/28),21))</f>
        <v>5</v>
      </c>
      <c r="E1418" s="16" t="n">
        <f aca="false">IF(B1418=-1, -1, VLOOKUP(MOD(B1418,28), $T$24:$U$52,2))</f>
        <v>19</v>
      </c>
      <c r="F1418" s="16" t="n">
        <f aca="false">IF($B1418=-1, -1, VLOOKUP(C1418,$T$1:$V$20, 2))</f>
        <v>15</v>
      </c>
      <c r="G1418" s="16" t="n">
        <f aca="false">IF($B1418=-1, -1, VLOOKUP(D1418,$Y$1:$Z$22,2))</f>
        <v>18</v>
      </c>
      <c r="H1418" s="16" t="str">
        <f aca="false">_xlfn.UNICHAR(((F1418*21)+G1418)*28+44032)</f>
        <v>크</v>
      </c>
      <c r="I1418" s="16" t="n">
        <f aca="false">IF(B1418=-1, 1, COUNTIF($A$2:$A$3000, H1418))</f>
        <v>1</v>
      </c>
      <c r="J1418" s="10" t="str">
        <f aca="false">_xlfn.CONCAT(A1418, ",",H1418,",",I1418)</f>
        <v>엣,크,1</v>
      </c>
      <c r="K1418" s="16" t="n">
        <f aca="false">IF(B1418=-1,-1,VLOOKUP(C1418,$T$1:$V$20,3))</f>
        <v>15</v>
      </c>
      <c r="L1418" s="16" t="n">
        <f aca="false">IF(B1418=-1,-1,VLOOKUP(D1418,$Y$1:$AA$22,3))</f>
        <v>10</v>
      </c>
      <c r="N1418" s="10" t="str">
        <f aca="false">_xlfn.UNICHAR(((C1418*21)+G1418)*28+44032)</f>
        <v>으</v>
      </c>
      <c r="O1418" s="10" t="str">
        <f aca="false">_xlfn.UNICHAR(((F1418*21)+D1418)*28+44032)</f>
        <v>케</v>
      </c>
      <c r="P1418" s="12" t="n">
        <f aca="false">COUNTIF($A$2:$A$3000, N1418) + COUNTIF($A$2:$A$3000, O1418)</f>
        <v>2</v>
      </c>
      <c r="Q1418" s="16" t="str">
        <f aca="false">IF(OR(B1418=-1,I1418=0, P1418&lt;&gt;2), "albhed_dummy", _xlfn.CONCAT("albhed ", RIGHT("  " &amp; K1418,2),", ", RIGHT("  " &amp; L1418,2), ", " ,"""",H1418,""", ", """",N1418,""", ","""",O1418,""""," ; ", A1418))</f>
        <v>albhed 15, 10, "크", "으", "케" ; 엣</v>
      </c>
    </row>
    <row r="1419" customFormat="false" ht="17.9" hidden="false" customHeight="true" outlineLevel="0" collapsed="false">
      <c r="A1419" s="16" t="s">
        <v>2281</v>
      </c>
      <c r="B1419" s="16" t="n">
        <f aca="false">IF(_xlfn.UNICODE(A1419)&lt;44032,-1,_xlfn.UNICODE(A1419)-44032)</f>
        <v>6629</v>
      </c>
      <c r="C1419" s="16" t="n">
        <f aca="false">IF(B1419=-1,-1,INT((B1419/28)/21))</f>
        <v>11</v>
      </c>
      <c r="D1419" s="16" t="n">
        <f aca="false">IF(B1419=-1, -1, MOD(INT(B1419/28),21))</f>
        <v>5</v>
      </c>
      <c r="E1419" s="16" t="n">
        <f aca="false">IF(B1419=-1, -1, VLOOKUP(MOD(B1419,28), $T$24:$U$52,2))</f>
        <v>21</v>
      </c>
      <c r="F1419" s="16" t="n">
        <f aca="false">IF($B1419=-1, -1, VLOOKUP(C1419,$T$1:$V$20, 2))</f>
        <v>15</v>
      </c>
      <c r="G1419" s="16" t="n">
        <f aca="false">IF($B1419=-1, -1, VLOOKUP(D1419,$Y$1:$Z$22,2))</f>
        <v>18</v>
      </c>
      <c r="H1419" s="16" t="str">
        <f aca="false">_xlfn.UNICHAR(((F1419*21)+G1419)*28+44032)</f>
        <v>크</v>
      </c>
      <c r="I1419" s="16" t="n">
        <f aca="false">IF(B1419=-1, 1, COUNTIF($A$2:$A$3000, H1419))</f>
        <v>1</v>
      </c>
      <c r="J1419" s="10" t="str">
        <f aca="false">_xlfn.CONCAT(A1419, ",",H1419,",",I1419)</f>
        <v>엥,크,1</v>
      </c>
      <c r="K1419" s="16" t="n">
        <f aca="false">IF(B1419=-1,-1,VLOOKUP(C1419,$T$1:$V$20,3))</f>
        <v>15</v>
      </c>
      <c r="L1419" s="16" t="n">
        <f aca="false">IF(B1419=-1,-1,VLOOKUP(D1419,$Y$1:$AA$22,3))</f>
        <v>10</v>
      </c>
      <c r="N1419" s="10" t="str">
        <f aca="false">_xlfn.UNICHAR(((C1419*21)+G1419)*28+44032)</f>
        <v>으</v>
      </c>
      <c r="O1419" s="10" t="str">
        <f aca="false">_xlfn.UNICHAR(((F1419*21)+D1419)*28+44032)</f>
        <v>케</v>
      </c>
      <c r="P1419" s="12" t="n">
        <f aca="false">COUNTIF($A$2:$A$3000, N1419) + COUNTIF($A$2:$A$3000, O1419)</f>
        <v>2</v>
      </c>
      <c r="Q1419" s="16" t="str">
        <f aca="false">IF(OR(B1419=-1,I1419=0, P1419&lt;&gt;2), "albhed_dummy", _xlfn.CONCAT("albhed ", RIGHT("  " &amp; K1419,2),", ", RIGHT("  " &amp; L1419,2), ", " ,"""",H1419,""", ", """",N1419,""", ","""",O1419,""""," ; ", A1419))</f>
        <v>albhed 15, 10, "크", "으", "케" ; 엥</v>
      </c>
    </row>
    <row r="1420" customFormat="false" ht="17.9" hidden="false" customHeight="true" outlineLevel="0" collapsed="false">
      <c r="A1420" s="16" t="s">
        <v>2282</v>
      </c>
      <c r="B1420" s="16" t="n">
        <f aca="false">IF(_xlfn.UNICODE(A1420)&lt;44032,-1,_xlfn.UNICODE(A1420)-44032)</f>
        <v>6636</v>
      </c>
      <c r="C1420" s="16" t="n">
        <f aca="false">IF(B1420=-1,-1,INT((B1420/28)/21))</f>
        <v>11</v>
      </c>
      <c r="D1420" s="16" t="n">
        <f aca="false">IF(B1420=-1, -1, MOD(INT(B1420/28),21))</f>
        <v>6</v>
      </c>
      <c r="E1420" s="16" t="n">
        <f aca="false">IF(B1420=-1, -1, VLOOKUP(MOD(B1420,28), $T$24:$U$52,2))</f>
        <v>0</v>
      </c>
      <c r="F1420" s="16" t="n">
        <f aca="false">IF($B1420=-1, -1, VLOOKUP(C1420,$T$1:$V$20, 2))</f>
        <v>15</v>
      </c>
      <c r="G1420" s="16" t="n">
        <f aca="false">IF($B1420=-1, -1, VLOOKUP(D1420,$Y$1:$Z$22,2))</f>
        <v>12</v>
      </c>
      <c r="H1420" s="16" t="str">
        <f aca="false">_xlfn.UNICHAR(((F1420*21)+G1420)*28+44032)</f>
        <v>쿄</v>
      </c>
      <c r="I1420" s="16" t="n">
        <f aca="false">IF(B1420=-1, 1, COUNTIF($A$2:$A$3000, H1420))</f>
        <v>1</v>
      </c>
      <c r="J1420" s="10" t="str">
        <f aca="false">_xlfn.CONCAT(A1420, ",",H1420,",",I1420)</f>
        <v>여,쿄,1</v>
      </c>
      <c r="K1420" s="16" t="n">
        <f aca="false">IF(B1420=-1,-1,VLOOKUP(C1420,$T$1:$V$20,3))</f>
        <v>15</v>
      </c>
      <c r="L1420" s="16" t="n">
        <f aca="false">IF(B1420=-1,-1,VLOOKUP(D1420,$Y$1:$AA$22,3))</f>
        <v>4</v>
      </c>
      <c r="N1420" s="10" t="str">
        <f aca="false">_xlfn.UNICHAR(((C1420*21)+G1420)*28+44032)</f>
        <v>요</v>
      </c>
      <c r="O1420" s="10" t="str">
        <f aca="false">_xlfn.UNICHAR(((F1420*21)+D1420)*28+44032)</f>
        <v>켜</v>
      </c>
      <c r="P1420" s="12" t="n">
        <f aca="false">COUNTIF($A$2:$A$3000, N1420) + COUNTIF($A$2:$A$3000, O1420)</f>
        <v>2</v>
      </c>
      <c r="Q1420" s="16" t="str">
        <f aca="false">IF(OR(B1420=-1,I1420=0, P1420&lt;&gt;2), "albhed_dummy", _xlfn.CONCAT("albhed ", RIGHT("  " &amp; K1420,2),", ", RIGHT("  " &amp; L1420,2), ", " ,"""",H1420,""", ", """",N1420,""", ","""",O1420,""""," ; ", A1420))</f>
        <v>albhed 15,  4, "쿄", "요", "켜" ; 여</v>
      </c>
    </row>
    <row r="1421" customFormat="false" ht="17.9" hidden="false" customHeight="true" outlineLevel="0" collapsed="false">
      <c r="A1421" s="16" t="s">
        <v>2283</v>
      </c>
      <c r="B1421" s="16" t="n">
        <f aca="false">IF(_xlfn.UNICODE(A1421)&lt;44032,-1,_xlfn.UNICODE(A1421)-44032)</f>
        <v>6637</v>
      </c>
      <c r="C1421" s="16" t="n">
        <f aca="false">IF(B1421=-1,-1,INT((B1421/28)/21))</f>
        <v>11</v>
      </c>
      <c r="D1421" s="16" t="n">
        <f aca="false">IF(B1421=-1, -1, MOD(INT(B1421/28),21))</f>
        <v>6</v>
      </c>
      <c r="E1421" s="16" t="n">
        <f aca="false">IF(B1421=-1, -1, VLOOKUP(MOD(B1421,28), $T$24:$U$52,2))</f>
        <v>1</v>
      </c>
      <c r="F1421" s="16" t="n">
        <f aca="false">IF($B1421=-1, -1, VLOOKUP(C1421,$T$1:$V$20, 2))</f>
        <v>15</v>
      </c>
      <c r="G1421" s="16" t="n">
        <f aca="false">IF($B1421=-1, -1, VLOOKUP(D1421,$Y$1:$Z$22,2))</f>
        <v>12</v>
      </c>
      <c r="H1421" s="16" t="str">
        <f aca="false">_xlfn.UNICHAR(((F1421*21)+G1421)*28+44032)</f>
        <v>쿄</v>
      </c>
      <c r="I1421" s="16" t="n">
        <f aca="false">IF(B1421=-1, 1, COUNTIF($A$2:$A$3000, H1421))</f>
        <v>1</v>
      </c>
      <c r="J1421" s="10" t="str">
        <f aca="false">_xlfn.CONCAT(A1421, ",",H1421,",",I1421)</f>
        <v>역,쿄,1</v>
      </c>
      <c r="K1421" s="16" t="n">
        <f aca="false">IF(B1421=-1,-1,VLOOKUP(C1421,$T$1:$V$20,3))</f>
        <v>15</v>
      </c>
      <c r="L1421" s="16" t="n">
        <f aca="false">IF(B1421=-1,-1,VLOOKUP(D1421,$Y$1:$AA$22,3))</f>
        <v>4</v>
      </c>
      <c r="N1421" s="10" t="str">
        <f aca="false">_xlfn.UNICHAR(((C1421*21)+G1421)*28+44032)</f>
        <v>요</v>
      </c>
      <c r="O1421" s="10" t="str">
        <f aca="false">_xlfn.UNICHAR(((F1421*21)+D1421)*28+44032)</f>
        <v>켜</v>
      </c>
      <c r="P1421" s="12" t="n">
        <f aca="false">COUNTIF($A$2:$A$3000, N1421) + COUNTIF($A$2:$A$3000, O1421)</f>
        <v>2</v>
      </c>
      <c r="Q1421" s="16" t="str">
        <f aca="false">IF(OR(B1421=-1,I1421=0, P1421&lt;&gt;2), "albhed_dummy", _xlfn.CONCAT("albhed ", RIGHT("  " &amp; K1421,2),", ", RIGHT("  " &amp; L1421,2), ", " ,"""",H1421,""", ", """",N1421,""", ","""",O1421,""""," ; ", A1421))</f>
        <v>albhed 15,  4, "쿄", "요", "켜" ; 역</v>
      </c>
    </row>
    <row r="1422" customFormat="false" ht="17.9" hidden="false" customHeight="true" outlineLevel="0" collapsed="false">
      <c r="A1422" s="16" t="s">
        <v>2284</v>
      </c>
      <c r="B1422" s="16" t="n">
        <f aca="false">IF(_xlfn.UNICODE(A1422)&lt;44032,-1,_xlfn.UNICODE(A1422)-44032)</f>
        <v>6638</v>
      </c>
      <c r="C1422" s="16" t="n">
        <f aca="false">IF(B1422=-1,-1,INT((B1422/28)/21))</f>
        <v>11</v>
      </c>
      <c r="D1422" s="16" t="n">
        <f aca="false">IF(B1422=-1, -1, MOD(INT(B1422/28),21))</f>
        <v>6</v>
      </c>
      <c r="E1422" s="16" t="n">
        <f aca="false">IF(B1422=-1, -1, VLOOKUP(MOD(B1422,28), $T$24:$U$52,2))</f>
        <v>1</v>
      </c>
      <c r="F1422" s="16" t="n">
        <f aca="false">IF($B1422=-1, -1, VLOOKUP(C1422,$T$1:$V$20, 2))</f>
        <v>15</v>
      </c>
      <c r="G1422" s="16" t="n">
        <f aca="false">IF($B1422=-1, -1, VLOOKUP(D1422,$Y$1:$Z$22,2))</f>
        <v>12</v>
      </c>
      <c r="H1422" s="16" t="str">
        <f aca="false">_xlfn.UNICHAR(((F1422*21)+G1422)*28+44032)</f>
        <v>쿄</v>
      </c>
      <c r="I1422" s="16" t="n">
        <f aca="false">IF(B1422=-1, 1, COUNTIF($A$2:$A$3000, H1422))</f>
        <v>1</v>
      </c>
      <c r="J1422" s="10" t="str">
        <f aca="false">_xlfn.CONCAT(A1422, ",",H1422,",",I1422)</f>
        <v>엮,쿄,1</v>
      </c>
      <c r="K1422" s="16" t="n">
        <f aca="false">IF(B1422=-1,-1,VLOOKUP(C1422,$T$1:$V$20,3))</f>
        <v>15</v>
      </c>
      <c r="L1422" s="16" t="n">
        <f aca="false">IF(B1422=-1,-1,VLOOKUP(D1422,$Y$1:$AA$22,3))</f>
        <v>4</v>
      </c>
      <c r="N1422" s="10" t="str">
        <f aca="false">_xlfn.UNICHAR(((C1422*21)+G1422)*28+44032)</f>
        <v>요</v>
      </c>
      <c r="O1422" s="10" t="str">
        <f aca="false">_xlfn.UNICHAR(((F1422*21)+D1422)*28+44032)</f>
        <v>켜</v>
      </c>
      <c r="P1422" s="12" t="n">
        <f aca="false">COUNTIF($A$2:$A$3000, N1422) + COUNTIF($A$2:$A$3000, O1422)</f>
        <v>2</v>
      </c>
      <c r="Q1422" s="16" t="str">
        <f aca="false">IF(OR(B1422=-1,I1422=0, P1422&lt;&gt;2), "albhed_dummy", _xlfn.CONCAT("albhed ", RIGHT("  " &amp; K1422,2),", ", RIGHT("  " &amp; L1422,2), ", " ,"""",H1422,""", ", """",N1422,""", ","""",O1422,""""," ; ", A1422))</f>
        <v>albhed 15,  4, "쿄", "요", "켜" ; 엮</v>
      </c>
    </row>
    <row r="1423" customFormat="false" ht="17.9" hidden="false" customHeight="true" outlineLevel="0" collapsed="false">
      <c r="A1423" s="16" t="s">
        <v>2285</v>
      </c>
      <c r="B1423" s="16" t="n">
        <f aca="false">IF(_xlfn.UNICODE(A1423)&lt;44032,-1,_xlfn.UNICODE(A1423)-44032)</f>
        <v>6640</v>
      </c>
      <c r="C1423" s="16" t="n">
        <f aca="false">IF(B1423=-1,-1,INT((B1423/28)/21))</f>
        <v>11</v>
      </c>
      <c r="D1423" s="16" t="n">
        <f aca="false">IF(B1423=-1, -1, MOD(INT(B1423/28),21))</f>
        <v>6</v>
      </c>
      <c r="E1423" s="16" t="n">
        <f aca="false">IF(B1423=-1, -1, VLOOKUP(MOD(B1423,28), $T$24:$U$52,2))</f>
        <v>4</v>
      </c>
      <c r="F1423" s="16" t="n">
        <f aca="false">IF($B1423=-1, -1, VLOOKUP(C1423,$T$1:$V$20, 2))</f>
        <v>15</v>
      </c>
      <c r="G1423" s="16" t="n">
        <f aca="false">IF($B1423=-1, -1, VLOOKUP(D1423,$Y$1:$Z$22,2))</f>
        <v>12</v>
      </c>
      <c r="H1423" s="16" t="str">
        <f aca="false">_xlfn.UNICHAR(((F1423*21)+G1423)*28+44032)</f>
        <v>쿄</v>
      </c>
      <c r="I1423" s="16" t="n">
        <f aca="false">IF(B1423=-1, 1, COUNTIF($A$2:$A$3000, H1423))</f>
        <v>1</v>
      </c>
      <c r="J1423" s="10" t="str">
        <f aca="false">_xlfn.CONCAT(A1423, ",",H1423,",",I1423)</f>
        <v>연,쿄,1</v>
      </c>
      <c r="K1423" s="16" t="n">
        <f aca="false">IF(B1423=-1,-1,VLOOKUP(C1423,$T$1:$V$20,3))</f>
        <v>15</v>
      </c>
      <c r="L1423" s="16" t="n">
        <f aca="false">IF(B1423=-1,-1,VLOOKUP(D1423,$Y$1:$AA$22,3))</f>
        <v>4</v>
      </c>
      <c r="N1423" s="10" t="str">
        <f aca="false">_xlfn.UNICHAR(((C1423*21)+G1423)*28+44032)</f>
        <v>요</v>
      </c>
      <c r="O1423" s="10" t="str">
        <f aca="false">_xlfn.UNICHAR(((F1423*21)+D1423)*28+44032)</f>
        <v>켜</v>
      </c>
      <c r="P1423" s="12" t="n">
        <f aca="false">COUNTIF($A$2:$A$3000, N1423) + COUNTIF($A$2:$A$3000, O1423)</f>
        <v>2</v>
      </c>
      <c r="Q1423" s="16" t="str">
        <f aca="false">IF(OR(B1423=-1,I1423=0, P1423&lt;&gt;2), "albhed_dummy", _xlfn.CONCAT("albhed ", RIGHT("  " &amp; K1423,2),", ", RIGHT("  " &amp; L1423,2), ", " ,"""",H1423,""", ", """",N1423,""", ","""",O1423,""""," ; ", A1423))</f>
        <v>albhed 15,  4, "쿄", "요", "켜" ; 연</v>
      </c>
    </row>
    <row r="1424" customFormat="false" ht="17.9" hidden="false" customHeight="true" outlineLevel="0" collapsed="false">
      <c r="A1424" s="16" t="s">
        <v>2286</v>
      </c>
      <c r="B1424" s="16" t="n">
        <f aca="false">IF(_xlfn.UNICODE(A1424)&lt;44032,-1,_xlfn.UNICODE(A1424)-44032)</f>
        <v>6644</v>
      </c>
      <c r="C1424" s="16" t="n">
        <f aca="false">IF(B1424=-1,-1,INT((B1424/28)/21))</f>
        <v>11</v>
      </c>
      <c r="D1424" s="16" t="n">
        <f aca="false">IF(B1424=-1, -1, MOD(INT(B1424/28),21))</f>
        <v>6</v>
      </c>
      <c r="E1424" s="16" t="n">
        <f aca="false">IF(B1424=-1, -1, VLOOKUP(MOD(B1424,28), $T$24:$U$52,2))</f>
        <v>8</v>
      </c>
      <c r="F1424" s="16" t="n">
        <f aca="false">IF($B1424=-1, -1, VLOOKUP(C1424,$T$1:$V$20, 2))</f>
        <v>15</v>
      </c>
      <c r="G1424" s="16" t="n">
        <f aca="false">IF($B1424=-1, -1, VLOOKUP(D1424,$Y$1:$Z$22,2))</f>
        <v>12</v>
      </c>
      <c r="H1424" s="16" t="str">
        <f aca="false">_xlfn.UNICHAR(((F1424*21)+G1424)*28+44032)</f>
        <v>쿄</v>
      </c>
      <c r="I1424" s="16" t="n">
        <f aca="false">IF(B1424=-1, 1, COUNTIF($A$2:$A$3000, H1424))</f>
        <v>1</v>
      </c>
      <c r="J1424" s="10" t="str">
        <f aca="false">_xlfn.CONCAT(A1424, ",",H1424,",",I1424)</f>
        <v>열,쿄,1</v>
      </c>
      <c r="K1424" s="16" t="n">
        <f aca="false">IF(B1424=-1,-1,VLOOKUP(C1424,$T$1:$V$20,3))</f>
        <v>15</v>
      </c>
      <c r="L1424" s="16" t="n">
        <f aca="false">IF(B1424=-1,-1,VLOOKUP(D1424,$Y$1:$AA$22,3))</f>
        <v>4</v>
      </c>
      <c r="N1424" s="10" t="str">
        <f aca="false">_xlfn.UNICHAR(((C1424*21)+G1424)*28+44032)</f>
        <v>요</v>
      </c>
      <c r="O1424" s="10" t="str">
        <f aca="false">_xlfn.UNICHAR(((F1424*21)+D1424)*28+44032)</f>
        <v>켜</v>
      </c>
      <c r="P1424" s="12" t="n">
        <f aca="false">COUNTIF($A$2:$A$3000, N1424) + COUNTIF($A$2:$A$3000, O1424)</f>
        <v>2</v>
      </c>
      <c r="Q1424" s="16" t="str">
        <f aca="false">IF(OR(B1424=-1,I1424=0, P1424&lt;&gt;2), "albhed_dummy", _xlfn.CONCAT("albhed ", RIGHT("  " &amp; K1424,2),", ", RIGHT("  " &amp; L1424,2), ", " ,"""",H1424,""", ", """",N1424,""", ","""",O1424,""""," ; ", A1424))</f>
        <v>albhed 15,  4, "쿄", "요", "켜" ; 열</v>
      </c>
    </row>
    <row r="1425" customFormat="false" ht="17.9" hidden="false" customHeight="true" outlineLevel="0" collapsed="false">
      <c r="A1425" s="16" t="s">
        <v>2287</v>
      </c>
      <c r="B1425" s="16" t="n">
        <f aca="false">IF(_xlfn.UNICODE(A1425)&lt;44032,-1,_xlfn.UNICODE(A1425)-44032)</f>
        <v>6646</v>
      </c>
      <c r="C1425" s="16" t="n">
        <f aca="false">IF(B1425=-1,-1,INT((B1425/28)/21))</f>
        <v>11</v>
      </c>
      <c r="D1425" s="16" t="n">
        <f aca="false">IF(B1425=-1, -1, MOD(INT(B1425/28),21))</f>
        <v>6</v>
      </c>
      <c r="E1425" s="16" t="n">
        <f aca="false">IF(B1425=-1, -1, VLOOKUP(MOD(B1425,28), $T$24:$U$52,2))</f>
        <v>8</v>
      </c>
      <c r="F1425" s="16" t="n">
        <f aca="false">IF($B1425=-1, -1, VLOOKUP(C1425,$T$1:$V$20, 2))</f>
        <v>15</v>
      </c>
      <c r="G1425" s="16" t="n">
        <f aca="false">IF($B1425=-1, -1, VLOOKUP(D1425,$Y$1:$Z$22,2))</f>
        <v>12</v>
      </c>
      <c r="H1425" s="16" t="str">
        <f aca="false">_xlfn.UNICHAR(((F1425*21)+G1425)*28+44032)</f>
        <v>쿄</v>
      </c>
      <c r="I1425" s="16" t="n">
        <f aca="false">IF(B1425=-1, 1, COUNTIF($A$2:$A$3000, H1425))</f>
        <v>1</v>
      </c>
      <c r="J1425" s="10" t="str">
        <f aca="false">_xlfn.CONCAT(A1425, ",",H1425,",",I1425)</f>
        <v>엶,쿄,1</v>
      </c>
      <c r="K1425" s="16" t="n">
        <f aca="false">IF(B1425=-1,-1,VLOOKUP(C1425,$T$1:$V$20,3))</f>
        <v>15</v>
      </c>
      <c r="L1425" s="16" t="n">
        <f aca="false">IF(B1425=-1,-1,VLOOKUP(D1425,$Y$1:$AA$22,3))</f>
        <v>4</v>
      </c>
      <c r="N1425" s="10" t="str">
        <f aca="false">_xlfn.UNICHAR(((C1425*21)+G1425)*28+44032)</f>
        <v>요</v>
      </c>
      <c r="O1425" s="10" t="str">
        <f aca="false">_xlfn.UNICHAR(((F1425*21)+D1425)*28+44032)</f>
        <v>켜</v>
      </c>
      <c r="P1425" s="12" t="n">
        <f aca="false">COUNTIF($A$2:$A$3000, N1425) + COUNTIF($A$2:$A$3000, O1425)</f>
        <v>2</v>
      </c>
      <c r="Q1425" s="16" t="str">
        <f aca="false">IF(OR(B1425=-1,I1425=0, P1425&lt;&gt;2), "albhed_dummy", _xlfn.CONCAT("albhed ", RIGHT("  " &amp; K1425,2),", ", RIGHT("  " &amp; L1425,2), ", " ,"""",H1425,""", ", """",N1425,""", ","""",O1425,""""," ; ", A1425))</f>
        <v>albhed 15,  4, "쿄", "요", "켜" ; 엶</v>
      </c>
    </row>
    <row r="1426" customFormat="false" ht="17.9" hidden="false" customHeight="true" outlineLevel="0" collapsed="false">
      <c r="A1426" s="16" t="s">
        <v>2288</v>
      </c>
      <c r="B1426" s="16" t="n">
        <f aca="false">IF(_xlfn.UNICODE(A1426)&lt;44032,-1,_xlfn.UNICODE(A1426)-44032)</f>
        <v>6647</v>
      </c>
      <c r="C1426" s="16" t="n">
        <f aca="false">IF(B1426=-1,-1,INT((B1426/28)/21))</f>
        <v>11</v>
      </c>
      <c r="D1426" s="16" t="n">
        <f aca="false">IF(B1426=-1, -1, MOD(INT(B1426/28),21))</f>
        <v>6</v>
      </c>
      <c r="E1426" s="16" t="n">
        <f aca="false">IF(B1426=-1, -1, VLOOKUP(MOD(B1426,28), $T$24:$U$52,2))</f>
        <v>8</v>
      </c>
      <c r="F1426" s="16" t="n">
        <f aca="false">IF($B1426=-1, -1, VLOOKUP(C1426,$T$1:$V$20, 2))</f>
        <v>15</v>
      </c>
      <c r="G1426" s="16" t="n">
        <f aca="false">IF($B1426=-1, -1, VLOOKUP(D1426,$Y$1:$Z$22,2))</f>
        <v>12</v>
      </c>
      <c r="H1426" s="16" t="str">
        <f aca="false">_xlfn.UNICHAR(((F1426*21)+G1426)*28+44032)</f>
        <v>쿄</v>
      </c>
      <c r="I1426" s="16" t="n">
        <f aca="false">IF(B1426=-1, 1, COUNTIF($A$2:$A$3000, H1426))</f>
        <v>1</v>
      </c>
      <c r="J1426" s="10" t="str">
        <f aca="false">_xlfn.CONCAT(A1426, ",",H1426,",",I1426)</f>
        <v>엷,쿄,1</v>
      </c>
      <c r="K1426" s="16" t="n">
        <f aca="false">IF(B1426=-1,-1,VLOOKUP(C1426,$T$1:$V$20,3))</f>
        <v>15</v>
      </c>
      <c r="L1426" s="16" t="n">
        <f aca="false">IF(B1426=-1,-1,VLOOKUP(D1426,$Y$1:$AA$22,3))</f>
        <v>4</v>
      </c>
      <c r="N1426" s="10" t="str">
        <f aca="false">_xlfn.UNICHAR(((C1426*21)+G1426)*28+44032)</f>
        <v>요</v>
      </c>
      <c r="O1426" s="10" t="str">
        <f aca="false">_xlfn.UNICHAR(((F1426*21)+D1426)*28+44032)</f>
        <v>켜</v>
      </c>
      <c r="P1426" s="12" t="n">
        <f aca="false">COUNTIF($A$2:$A$3000, N1426) + COUNTIF($A$2:$A$3000, O1426)</f>
        <v>2</v>
      </c>
      <c r="Q1426" s="16" t="str">
        <f aca="false">IF(OR(B1426=-1,I1426=0, P1426&lt;&gt;2), "albhed_dummy", _xlfn.CONCAT("albhed ", RIGHT("  " &amp; K1426,2),", ", RIGHT("  " &amp; L1426,2), ", " ,"""",H1426,""", ", """",N1426,""", ","""",O1426,""""," ; ", A1426))</f>
        <v>albhed 15,  4, "쿄", "요", "켜" ; 엷</v>
      </c>
    </row>
    <row r="1427" customFormat="false" ht="17.9" hidden="false" customHeight="true" outlineLevel="0" collapsed="false">
      <c r="A1427" s="16" t="s">
        <v>2289</v>
      </c>
      <c r="B1427" s="16" t="n">
        <f aca="false">IF(_xlfn.UNICODE(A1427)&lt;44032,-1,_xlfn.UNICODE(A1427)-44032)</f>
        <v>6652</v>
      </c>
      <c r="C1427" s="16" t="n">
        <f aca="false">IF(B1427=-1,-1,INT((B1427/28)/21))</f>
        <v>11</v>
      </c>
      <c r="D1427" s="16" t="n">
        <f aca="false">IF(B1427=-1, -1, MOD(INT(B1427/28),21))</f>
        <v>6</v>
      </c>
      <c r="E1427" s="16" t="n">
        <f aca="false">IF(B1427=-1, -1, VLOOKUP(MOD(B1427,28), $T$24:$U$52,2))</f>
        <v>16</v>
      </c>
      <c r="F1427" s="16" t="n">
        <f aca="false">IF($B1427=-1, -1, VLOOKUP(C1427,$T$1:$V$20, 2))</f>
        <v>15</v>
      </c>
      <c r="G1427" s="16" t="n">
        <f aca="false">IF($B1427=-1, -1, VLOOKUP(D1427,$Y$1:$Z$22,2))</f>
        <v>12</v>
      </c>
      <c r="H1427" s="16" t="str">
        <f aca="false">_xlfn.UNICHAR(((F1427*21)+G1427)*28+44032)</f>
        <v>쿄</v>
      </c>
      <c r="I1427" s="16" t="n">
        <f aca="false">IF(B1427=-1, 1, COUNTIF($A$2:$A$3000, H1427))</f>
        <v>1</v>
      </c>
      <c r="J1427" s="10" t="str">
        <f aca="false">_xlfn.CONCAT(A1427, ",",H1427,",",I1427)</f>
        <v>염,쿄,1</v>
      </c>
      <c r="K1427" s="16" t="n">
        <f aca="false">IF(B1427=-1,-1,VLOOKUP(C1427,$T$1:$V$20,3))</f>
        <v>15</v>
      </c>
      <c r="L1427" s="16" t="n">
        <f aca="false">IF(B1427=-1,-1,VLOOKUP(D1427,$Y$1:$AA$22,3))</f>
        <v>4</v>
      </c>
      <c r="N1427" s="10" t="str">
        <f aca="false">_xlfn.UNICHAR(((C1427*21)+G1427)*28+44032)</f>
        <v>요</v>
      </c>
      <c r="O1427" s="10" t="str">
        <f aca="false">_xlfn.UNICHAR(((F1427*21)+D1427)*28+44032)</f>
        <v>켜</v>
      </c>
      <c r="P1427" s="12" t="n">
        <f aca="false">COUNTIF($A$2:$A$3000, N1427) + COUNTIF($A$2:$A$3000, O1427)</f>
        <v>2</v>
      </c>
      <c r="Q1427" s="16" t="str">
        <f aca="false">IF(OR(B1427=-1,I1427=0, P1427&lt;&gt;2), "albhed_dummy", _xlfn.CONCAT("albhed ", RIGHT("  " &amp; K1427,2),", ", RIGHT("  " &amp; L1427,2), ", " ,"""",H1427,""", ", """",N1427,""", ","""",O1427,""""," ; ", A1427))</f>
        <v>albhed 15,  4, "쿄", "요", "켜" ; 염</v>
      </c>
    </row>
    <row r="1428" customFormat="false" ht="17.9" hidden="false" customHeight="true" outlineLevel="0" collapsed="false">
      <c r="A1428" s="16" t="s">
        <v>2290</v>
      </c>
      <c r="B1428" s="16" t="n">
        <f aca="false">IF(_xlfn.UNICODE(A1428)&lt;44032,-1,_xlfn.UNICODE(A1428)-44032)</f>
        <v>6653</v>
      </c>
      <c r="C1428" s="16" t="n">
        <f aca="false">IF(B1428=-1,-1,INT((B1428/28)/21))</f>
        <v>11</v>
      </c>
      <c r="D1428" s="16" t="n">
        <f aca="false">IF(B1428=-1, -1, MOD(INT(B1428/28),21))</f>
        <v>6</v>
      </c>
      <c r="E1428" s="16" t="n">
        <f aca="false">IF(B1428=-1, -1, VLOOKUP(MOD(B1428,28), $T$24:$U$52,2))</f>
        <v>17</v>
      </c>
      <c r="F1428" s="16" t="n">
        <f aca="false">IF($B1428=-1, -1, VLOOKUP(C1428,$T$1:$V$20, 2))</f>
        <v>15</v>
      </c>
      <c r="G1428" s="16" t="n">
        <f aca="false">IF($B1428=-1, -1, VLOOKUP(D1428,$Y$1:$Z$22,2))</f>
        <v>12</v>
      </c>
      <c r="H1428" s="16" t="str">
        <f aca="false">_xlfn.UNICHAR(((F1428*21)+G1428)*28+44032)</f>
        <v>쿄</v>
      </c>
      <c r="I1428" s="16" t="n">
        <f aca="false">IF(B1428=-1, 1, COUNTIF($A$2:$A$3000, H1428))</f>
        <v>1</v>
      </c>
      <c r="J1428" s="10" t="str">
        <f aca="false">_xlfn.CONCAT(A1428, ",",H1428,",",I1428)</f>
        <v>엽,쿄,1</v>
      </c>
      <c r="K1428" s="16" t="n">
        <f aca="false">IF(B1428=-1,-1,VLOOKUP(C1428,$T$1:$V$20,3))</f>
        <v>15</v>
      </c>
      <c r="L1428" s="16" t="n">
        <f aca="false">IF(B1428=-1,-1,VLOOKUP(D1428,$Y$1:$AA$22,3))</f>
        <v>4</v>
      </c>
      <c r="N1428" s="10" t="str">
        <f aca="false">_xlfn.UNICHAR(((C1428*21)+G1428)*28+44032)</f>
        <v>요</v>
      </c>
      <c r="O1428" s="10" t="str">
        <f aca="false">_xlfn.UNICHAR(((F1428*21)+D1428)*28+44032)</f>
        <v>켜</v>
      </c>
      <c r="P1428" s="12" t="n">
        <f aca="false">COUNTIF($A$2:$A$3000, N1428) + COUNTIF($A$2:$A$3000, O1428)</f>
        <v>2</v>
      </c>
      <c r="Q1428" s="16" t="str">
        <f aca="false">IF(OR(B1428=-1,I1428=0, P1428&lt;&gt;2), "albhed_dummy", _xlfn.CONCAT("albhed ", RIGHT("  " &amp; K1428,2),", ", RIGHT("  " &amp; L1428,2), ", " ,"""",H1428,""", ", """",N1428,""", ","""",O1428,""""," ; ", A1428))</f>
        <v>albhed 15,  4, "쿄", "요", "켜" ; 엽</v>
      </c>
    </row>
    <row r="1429" customFormat="false" ht="17.9" hidden="false" customHeight="true" outlineLevel="0" collapsed="false">
      <c r="A1429" s="16" t="s">
        <v>2291</v>
      </c>
      <c r="B1429" s="16" t="n">
        <f aca="false">IF(_xlfn.UNICODE(A1429)&lt;44032,-1,_xlfn.UNICODE(A1429)-44032)</f>
        <v>6654</v>
      </c>
      <c r="C1429" s="16" t="n">
        <f aca="false">IF(B1429=-1,-1,INT((B1429/28)/21))</f>
        <v>11</v>
      </c>
      <c r="D1429" s="16" t="n">
        <f aca="false">IF(B1429=-1, -1, MOD(INT(B1429/28),21))</f>
        <v>6</v>
      </c>
      <c r="E1429" s="16" t="n">
        <f aca="false">IF(B1429=-1, -1, VLOOKUP(MOD(B1429,28), $T$24:$U$52,2))</f>
        <v>17</v>
      </c>
      <c r="F1429" s="16" t="n">
        <f aca="false">IF($B1429=-1, -1, VLOOKUP(C1429,$T$1:$V$20, 2))</f>
        <v>15</v>
      </c>
      <c r="G1429" s="16" t="n">
        <f aca="false">IF($B1429=-1, -1, VLOOKUP(D1429,$Y$1:$Z$22,2))</f>
        <v>12</v>
      </c>
      <c r="H1429" s="16" t="str">
        <f aca="false">_xlfn.UNICHAR(((F1429*21)+G1429)*28+44032)</f>
        <v>쿄</v>
      </c>
      <c r="I1429" s="16" t="n">
        <f aca="false">IF(B1429=-1, 1, COUNTIF($A$2:$A$3000, H1429))</f>
        <v>1</v>
      </c>
      <c r="J1429" s="10" t="str">
        <f aca="false">_xlfn.CONCAT(A1429, ",",H1429,",",I1429)</f>
        <v>엾,쿄,1</v>
      </c>
      <c r="K1429" s="16" t="n">
        <f aca="false">IF(B1429=-1,-1,VLOOKUP(C1429,$T$1:$V$20,3))</f>
        <v>15</v>
      </c>
      <c r="L1429" s="16" t="n">
        <f aca="false">IF(B1429=-1,-1,VLOOKUP(D1429,$Y$1:$AA$22,3))</f>
        <v>4</v>
      </c>
      <c r="N1429" s="10" t="str">
        <f aca="false">_xlfn.UNICHAR(((C1429*21)+G1429)*28+44032)</f>
        <v>요</v>
      </c>
      <c r="O1429" s="10" t="str">
        <f aca="false">_xlfn.UNICHAR(((F1429*21)+D1429)*28+44032)</f>
        <v>켜</v>
      </c>
      <c r="P1429" s="12" t="n">
        <f aca="false">COUNTIF($A$2:$A$3000, N1429) + COUNTIF($A$2:$A$3000, O1429)</f>
        <v>2</v>
      </c>
      <c r="Q1429" s="16" t="str">
        <f aca="false">IF(OR(B1429=-1,I1429=0, P1429&lt;&gt;2), "albhed_dummy", _xlfn.CONCAT("albhed ", RIGHT("  " &amp; K1429,2),", ", RIGHT("  " &amp; L1429,2), ", " ,"""",H1429,""", ", """",N1429,""", ","""",O1429,""""," ; ", A1429))</f>
        <v>albhed 15,  4, "쿄", "요", "켜" ; 엾</v>
      </c>
    </row>
    <row r="1430" customFormat="false" ht="17.9" hidden="false" customHeight="true" outlineLevel="0" collapsed="false">
      <c r="A1430" s="16" t="s">
        <v>2292</v>
      </c>
      <c r="B1430" s="16" t="n">
        <f aca="false">IF(_xlfn.UNICODE(A1430)&lt;44032,-1,_xlfn.UNICODE(A1430)-44032)</f>
        <v>6655</v>
      </c>
      <c r="C1430" s="16" t="n">
        <f aca="false">IF(B1430=-1,-1,INT((B1430/28)/21))</f>
        <v>11</v>
      </c>
      <c r="D1430" s="16" t="n">
        <f aca="false">IF(B1430=-1, -1, MOD(INT(B1430/28),21))</f>
        <v>6</v>
      </c>
      <c r="E1430" s="16" t="n">
        <f aca="false">IF(B1430=-1, -1, VLOOKUP(MOD(B1430,28), $T$24:$U$52,2))</f>
        <v>19</v>
      </c>
      <c r="F1430" s="16" t="n">
        <f aca="false">IF($B1430=-1, -1, VLOOKUP(C1430,$T$1:$V$20, 2))</f>
        <v>15</v>
      </c>
      <c r="G1430" s="16" t="n">
        <f aca="false">IF($B1430=-1, -1, VLOOKUP(D1430,$Y$1:$Z$22,2))</f>
        <v>12</v>
      </c>
      <c r="H1430" s="16" t="str">
        <f aca="false">_xlfn.UNICHAR(((F1430*21)+G1430)*28+44032)</f>
        <v>쿄</v>
      </c>
      <c r="I1430" s="16" t="n">
        <f aca="false">IF(B1430=-1, 1, COUNTIF($A$2:$A$3000, H1430))</f>
        <v>1</v>
      </c>
      <c r="J1430" s="10" t="str">
        <f aca="false">_xlfn.CONCAT(A1430, ",",H1430,",",I1430)</f>
        <v>엿,쿄,1</v>
      </c>
      <c r="K1430" s="16" t="n">
        <f aca="false">IF(B1430=-1,-1,VLOOKUP(C1430,$T$1:$V$20,3))</f>
        <v>15</v>
      </c>
      <c r="L1430" s="16" t="n">
        <f aca="false">IF(B1430=-1,-1,VLOOKUP(D1430,$Y$1:$AA$22,3))</f>
        <v>4</v>
      </c>
      <c r="N1430" s="10" t="str">
        <f aca="false">_xlfn.UNICHAR(((C1430*21)+G1430)*28+44032)</f>
        <v>요</v>
      </c>
      <c r="O1430" s="10" t="str">
        <f aca="false">_xlfn.UNICHAR(((F1430*21)+D1430)*28+44032)</f>
        <v>켜</v>
      </c>
      <c r="P1430" s="12" t="n">
        <f aca="false">COUNTIF($A$2:$A$3000, N1430) + COUNTIF($A$2:$A$3000, O1430)</f>
        <v>2</v>
      </c>
      <c r="Q1430" s="16" t="str">
        <f aca="false">IF(OR(B1430=-1,I1430=0, P1430&lt;&gt;2), "albhed_dummy", _xlfn.CONCAT("albhed ", RIGHT("  " &amp; K1430,2),", ", RIGHT("  " &amp; L1430,2), ", " ,"""",H1430,""", ", """",N1430,""", ","""",O1430,""""," ; ", A1430))</f>
        <v>albhed 15,  4, "쿄", "요", "켜" ; 엿</v>
      </c>
    </row>
    <row r="1431" customFormat="false" ht="17.9" hidden="false" customHeight="true" outlineLevel="0" collapsed="false">
      <c r="A1431" s="16" t="s">
        <v>2293</v>
      </c>
      <c r="B1431" s="16" t="n">
        <f aca="false">IF(_xlfn.UNICODE(A1431)&lt;44032,-1,_xlfn.UNICODE(A1431)-44032)</f>
        <v>6656</v>
      </c>
      <c r="C1431" s="16" t="n">
        <f aca="false">IF(B1431=-1,-1,INT((B1431/28)/21))</f>
        <v>11</v>
      </c>
      <c r="D1431" s="16" t="n">
        <f aca="false">IF(B1431=-1, -1, MOD(INT(B1431/28),21))</f>
        <v>6</v>
      </c>
      <c r="E1431" s="16" t="n">
        <f aca="false">IF(B1431=-1, -1, VLOOKUP(MOD(B1431,28), $T$24:$U$52,2))</f>
        <v>19</v>
      </c>
      <c r="F1431" s="16" t="n">
        <f aca="false">IF($B1431=-1, -1, VLOOKUP(C1431,$T$1:$V$20, 2))</f>
        <v>15</v>
      </c>
      <c r="G1431" s="16" t="n">
        <f aca="false">IF($B1431=-1, -1, VLOOKUP(D1431,$Y$1:$Z$22,2))</f>
        <v>12</v>
      </c>
      <c r="H1431" s="16" t="str">
        <f aca="false">_xlfn.UNICHAR(((F1431*21)+G1431)*28+44032)</f>
        <v>쿄</v>
      </c>
      <c r="I1431" s="16" t="n">
        <f aca="false">IF(B1431=-1, 1, COUNTIF($A$2:$A$3000, H1431))</f>
        <v>1</v>
      </c>
      <c r="J1431" s="10" t="str">
        <f aca="false">_xlfn.CONCAT(A1431, ",",H1431,",",I1431)</f>
        <v>였,쿄,1</v>
      </c>
      <c r="K1431" s="16" t="n">
        <f aca="false">IF(B1431=-1,-1,VLOOKUP(C1431,$T$1:$V$20,3))</f>
        <v>15</v>
      </c>
      <c r="L1431" s="16" t="n">
        <f aca="false">IF(B1431=-1,-1,VLOOKUP(D1431,$Y$1:$AA$22,3))</f>
        <v>4</v>
      </c>
      <c r="N1431" s="10" t="str">
        <f aca="false">_xlfn.UNICHAR(((C1431*21)+G1431)*28+44032)</f>
        <v>요</v>
      </c>
      <c r="O1431" s="10" t="str">
        <f aca="false">_xlfn.UNICHAR(((F1431*21)+D1431)*28+44032)</f>
        <v>켜</v>
      </c>
      <c r="P1431" s="12" t="n">
        <f aca="false">COUNTIF($A$2:$A$3000, N1431) + COUNTIF($A$2:$A$3000, O1431)</f>
        <v>2</v>
      </c>
      <c r="Q1431" s="16" t="str">
        <f aca="false">IF(OR(B1431=-1,I1431=0, P1431&lt;&gt;2), "albhed_dummy", _xlfn.CONCAT("albhed ", RIGHT("  " &amp; K1431,2),", ", RIGHT("  " &amp; L1431,2), ", " ,"""",H1431,""", ", """",N1431,""", ","""",O1431,""""," ; ", A1431))</f>
        <v>albhed 15,  4, "쿄", "요", "켜" ; 였</v>
      </c>
    </row>
    <row r="1432" customFormat="false" ht="17.9" hidden="false" customHeight="true" outlineLevel="0" collapsed="false">
      <c r="A1432" s="16" t="s">
        <v>2294</v>
      </c>
      <c r="B1432" s="16" t="n">
        <f aca="false">IF(_xlfn.UNICODE(A1432)&lt;44032,-1,_xlfn.UNICODE(A1432)-44032)</f>
        <v>6657</v>
      </c>
      <c r="C1432" s="16" t="n">
        <f aca="false">IF(B1432=-1,-1,INT((B1432/28)/21))</f>
        <v>11</v>
      </c>
      <c r="D1432" s="16" t="n">
        <f aca="false">IF(B1432=-1, -1, MOD(INT(B1432/28),21))</f>
        <v>6</v>
      </c>
      <c r="E1432" s="16" t="n">
        <f aca="false">IF(B1432=-1, -1, VLOOKUP(MOD(B1432,28), $T$24:$U$52,2))</f>
        <v>21</v>
      </c>
      <c r="F1432" s="16" t="n">
        <f aca="false">IF($B1432=-1, -1, VLOOKUP(C1432,$T$1:$V$20, 2))</f>
        <v>15</v>
      </c>
      <c r="G1432" s="16" t="n">
        <f aca="false">IF($B1432=-1, -1, VLOOKUP(D1432,$Y$1:$Z$22,2))</f>
        <v>12</v>
      </c>
      <c r="H1432" s="16" t="str">
        <f aca="false">_xlfn.UNICHAR(((F1432*21)+G1432)*28+44032)</f>
        <v>쿄</v>
      </c>
      <c r="I1432" s="16" t="n">
        <f aca="false">IF(B1432=-1, 1, COUNTIF($A$2:$A$3000, H1432))</f>
        <v>1</v>
      </c>
      <c r="J1432" s="10" t="str">
        <f aca="false">_xlfn.CONCAT(A1432, ",",H1432,",",I1432)</f>
        <v>영,쿄,1</v>
      </c>
      <c r="K1432" s="16" t="n">
        <f aca="false">IF(B1432=-1,-1,VLOOKUP(C1432,$T$1:$V$20,3))</f>
        <v>15</v>
      </c>
      <c r="L1432" s="16" t="n">
        <f aca="false">IF(B1432=-1,-1,VLOOKUP(D1432,$Y$1:$AA$22,3))</f>
        <v>4</v>
      </c>
      <c r="N1432" s="10" t="str">
        <f aca="false">_xlfn.UNICHAR(((C1432*21)+G1432)*28+44032)</f>
        <v>요</v>
      </c>
      <c r="O1432" s="10" t="str">
        <f aca="false">_xlfn.UNICHAR(((F1432*21)+D1432)*28+44032)</f>
        <v>켜</v>
      </c>
      <c r="P1432" s="12" t="n">
        <f aca="false">COUNTIF($A$2:$A$3000, N1432) + COUNTIF($A$2:$A$3000, O1432)</f>
        <v>2</v>
      </c>
      <c r="Q1432" s="16" t="str">
        <f aca="false">IF(OR(B1432=-1,I1432=0, P1432&lt;&gt;2), "albhed_dummy", _xlfn.CONCAT("albhed ", RIGHT("  " &amp; K1432,2),", ", RIGHT("  " &amp; L1432,2), ", " ,"""",H1432,""", ", """",N1432,""", ","""",O1432,""""," ; ", A1432))</f>
        <v>albhed 15,  4, "쿄", "요", "켜" ; 영</v>
      </c>
    </row>
    <row r="1433" customFormat="false" ht="17.9" hidden="false" customHeight="true" outlineLevel="0" collapsed="false">
      <c r="A1433" s="16" t="s">
        <v>2295</v>
      </c>
      <c r="B1433" s="16" t="n">
        <f aca="false">IF(_xlfn.UNICODE(A1433)&lt;44032,-1,_xlfn.UNICODE(A1433)-44032)</f>
        <v>6661</v>
      </c>
      <c r="C1433" s="16" t="n">
        <f aca="false">IF(B1433=-1,-1,INT((B1433/28)/21))</f>
        <v>11</v>
      </c>
      <c r="D1433" s="16" t="n">
        <f aca="false">IF(B1433=-1, -1, MOD(INT(B1433/28),21))</f>
        <v>6</v>
      </c>
      <c r="E1433" s="16" t="n">
        <f aca="false">IF(B1433=-1, -1, VLOOKUP(MOD(B1433,28), $T$24:$U$52,2))</f>
        <v>19</v>
      </c>
      <c r="F1433" s="16" t="n">
        <f aca="false">IF($B1433=-1, -1, VLOOKUP(C1433,$T$1:$V$20, 2))</f>
        <v>15</v>
      </c>
      <c r="G1433" s="16" t="n">
        <f aca="false">IF($B1433=-1, -1, VLOOKUP(D1433,$Y$1:$Z$22,2))</f>
        <v>12</v>
      </c>
      <c r="H1433" s="16" t="str">
        <f aca="false">_xlfn.UNICHAR(((F1433*21)+G1433)*28+44032)</f>
        <v>쿄</v>
      </c>
      <c r="I1433" s="16" t="n">
        <f aca="false">IF(B1433=-1, 1, COUNTIF($A$2:$A$3000, H1433))</f>
        <v>1</v>
      </c>
      <c r="J1433" s="10" t="str">
        <f aca="false">_xlfn.CONCAT(A1433, ",",H1433,",",I1433)</f>
        <v>옅,쿄,1</v>
      </c>
      <c r="K1433" s="16" t="n">
        <f aca="false">IF(B1433=-1,-1,VLOOKUP(C1433,$T$1:$V$20,3))</f>
        <v>15</v>
      </c>
      <c r="L1433" s="16" t="n">
        <f aca="false">IF(B1433=-1,-1,VLOOKUP(D1433,$Y$1:$AA$22,3))</f>
        <v>4</v>
      </c>
      <c r="N1433" s="10" t="str">
        <f aca="false">_xlfn.UNICHAR(((C1433*21)+G1433)*28+44032)</f>
        <v>요</v>
      </c>
      <c r="O1433" s="10" t="str">
        <f aca="false">_xlfn.UNICHAR(((F1433*21)+D1433)*28+44032)</f>
        <v>켜</v>
      </c>
      <c r="P1433" s="12" t="n">
        <f aca="false">COUNTIF($A$2:$A$3000, N1433) + COUNTIF($A$2:$A$3000, O1433)</f>
        <v>2</v>
      </c>
      <c r="Q1433" s="16" t="str">
        <f aca="false">IF(OR(B1433=-1,I1433=0, P1433&lt;&gt;2), "albhed_dummy", _xlfn.CONCAT("albhed ", RIGHT("  " &amp; K1433,2),", ", RIGHT("  " &amp; L1433,2), ", " ,"""",H1433,""", ", """",N1433,""", ","""",O1433,""""," ; ", A1433))</f>
        <v>albhed 15,  4, "쿄", "요", "켜" ; 옅</v>
      </c>
    </row>
    <row r="1434" customFormat="false" ht="17.9" hidden="false" customHeight="true" outlineLevel="0" collapsed="false">
      <c r="A1434" s="16" t="s">
        <v>2296</v>
      </c>
      <c r="B1434" s="16" t="n">
        <f aca="false">IF(_xlfn.UNICODE(A1434)&lt;44032,-1,_xlfn.UNICODE(A1434)-44032)</f>
        <v>6662</v>
      </c>
      <c r="C1434" s="16" t="n">
        <f aca="false">IF(B1434=-1,-1,INT((B1434/28)/21))</f>
        <v>11</v>
      </c>
      <c r="D1434" s="16" t="n">
        <f aca="false">IF(B1434=-1, -1, MOD(INT(B1434/28),21))</f>
        <v>6</v>
      </c>
      <c r="E1434" s="16" t="n">
        <f aca="false">IF(B1434=-1, -1, VLOOKUP(MOD(B1434,28), $T$24:$U$52,2))</f>
        <v>17</v>
      </c>
      <c r="F1434" s="16" t="n">
        <f aca="false">IF($B1434=-1, -1, VLOOKUP(C1434,$T$1:$V$20, 2))</f>
        <v>15</v>
      </c>
      <c r="G1434" s="16" t="n">
        <f aca="false">IF($B1434=-1, -1, VLOOKUP(D1434,$Y$1:$Z$22,2))</f>
        <v>12</v>
      </c>
      <c r="H1434" s="16" t="str">
        <f aca="false">_xlfn.UNICHAR(((F1434*21)+G1434)*28+44032)</f>
        <v>쿄</v>
      </c>
      <c r="I1434" s="16" t="n">
        <f aca="false">IF(B1434=-1, 1, COUNTIF($A$2:$A$3000, H1434))</f>
        <v>1</v>
      </c>
      <c r="J1434" s="10" t="str">
        <f aca="false">_xlfn.CONCAT(A1434, ",",H1434,",",I1434)</f>
        <v>옆,쿄,1</v>
      </c>
      <c r="K1434" s="16" t="n">
        <f aca="false">IF(B1434=-1,-1,VLOOKUP(C1434,$T$1:$V$20,3))</f>
        <v>15</v>
      </c>
      <c r="L1434" s="16" t="n">
        <f aca="false">IF(B1434=-1,-1,VLOOKUP(D1434,$Y$1:$AA$22,3))</f>
        <v>4</v>
      </c>
      <c r="N1434" s="10" t="str">
        <f aca="false">_xlfn.UNICHAR(((C1434*21)+G1434)*28+44032)</f>
        <v>요</v>
      </c>
      <c r="O1434" s="10" t="str">
        <f aca="false">_xlfn.UNICHAR(((F1434*21)+D1434)*28+44032)</f>
        <v>켜</v>
      </c>
      <c r="P1434" s="12" t="n">
        <f aca="false">COUNTIF($A$2:$A$3000, N1434) + COUNTIF($A$2:$A$3000, O1434)</f>
        <v>2</v>
      </c>
      <c r="Q1434" s="16" t="str">
        <f aca="false">IF(OR(B1434=-1,I1434=0, P1434&lt;&gt;2), "albhed_dummy", _xlfn.CONCAT("albhed ", RIGHT("  " &amp; K1434,2),", ", RIGHT("  " &amp; L1434,2), ", " ,"""",H1434,""", ", """",N1434,""", ","""",O1434,""""," ; ", A1434))</f>
        <v>albhed 15,  4, "쿄", "요", "켜" ; 옆</v>
      </c>
    </row>
    <row r="1435" customFormat="false" ht="17.9" hidden="false" customHeight="true" outlineLevel="0" collapsed="false">
      <c r="A1435" s="16" t="s">
        <v>2297</v>
      </c>
      <c r="B1435" s="16" t="n">
        <f aca="false">IF(_xlfn.UNICODE(A1435)&lt;44032,-1,_xlfn.UNICODE(A1435)-44032)</f>
        <v>6663</v>
      </c>
      <c r="C1435" s="16" t="n">
        <f aca="false">IF(B1435=-1,-1,INT((B1435/28)/21))</f>
        <v>11</v>
      </c>
      <c r="D1435" s="16" t="n">
        <f aca="false">IF(B1435=-1, -1, MOD(INT(B1435/28),21))</f>
        <v>6</v>
      </c>
      <c r="E1435" s="16" t="n">
        <f aca="false">IF(B1435=-1, -1, VLOOKUP(MOD(B1435,28), $T$24:$U$52,2))</f>
        <v>19</v>
      </c>
      <c r="F1435" s="16" t="n">
        <f aca="false">IF($B1435=-1, -1, VLOOKUP(C1435,$T$1:$V$20, 2))</f>
        <v>15</v>
      </c>
      <c r="G1435" s="16" t="n">
        <f aca="false">IF($B1435=-1, -1, VLOOKUP(D1435,$Y$1:$Z$22,2))</f>
        <v>12</v>
      </c>
      <c r="H1435" s="16" t="str">
        <f aca="false">_xlfn.UNICHAR(((F1435*21)+G1435)*28+44032)</f>
        <v>쿄</v>
      </c>
      <c r="I1435" s="16" t="n">
        <f aca="false">IF(B1435=-1, 1, COUNTIF($A$2:$A$3000, H1435))</f>
        <v>1</v>
      </c>
      <c r="J1435" s="10" t="str">
        <f aca="false">_xlfn.CONCAT(A1435, ",",H1435,",",I1435)</f>
        <v>옇,쿄,1</v>
      </c>
      <c r="K1435" s="16" t="n">
        <f aca="false">IF(B1435=-1,-1,VLOOKUP(C1435,$T$1:$V$20,3))</f>
        <v>15</v>
      </c>
      <c r="L1435" s="16" t="n">
        <f aca="false">IF(B1435=-1,-1,VLOOKUP(D1435,$Y$1:$AA$22,3))</f>
        <v>4</v>
      </c>
      <c r="N1435" s="10" t="str">
        <f aca="false">_xlfn.UNICHAR(((C1435*21)+G1435)*28+44032)</f>
        <v>요</v>
      </c>
      <c r="O1435" s="10" t="str">
        <f aca="false">_xlfn.UNICHAR(((F1435*21)+D1435)*28+44032)</f>
        <v>켜</v>
      </c>
      <c r="P1435" s="12" t="n">
        <f aca="false">COUNTIF($A$2:$A$3000, N1435) + COUNTIF($A$2:$A$3000, O1435)</f>
        <v>2</v>
      </c>
      <c r="Q1435" s="16" t="str">
        <f aca="false">IF(OR(B1435=-1,I1435=0, P1435&lt;&gt;2), "albhed_dummy", _xlfn.CONCAT("albhed ", RIGHT("  " &amp; K1435,2),", ", RIGHT("  " &amp; L1435,2), ", " ,"""",H1435,""", ", """",N1435,""", ","""",O1435,""""," ; ", A1435))</f>
        <v>albhed 15,  4, "쿄", "요", "켜" ; 옇</v>
      </c>
    </row>
    <row r="1436" customFormat="false" ht="17.9" hidden="false" customHeight="true" outlineLevel="0" collapsed="false">
      <c r="A1436" s="16" t="s">
        <v>2298</v>
      </c>
      <c r="B1436" s="16" t="n">
        <f aca="false">IF(_xlfn.UNICODE(A1436)&lt;44032,-1,_xlfn.UNICODE(A1436)-44032)</f>
        <v>6664</v>
      </c>
      <c r="C1436" s="16" t="n">
        <f aca="false">IF(B1436=-1,-1,INT((B1436/28)/21))</f>
        <v>11</v>
      </c>
      <c r="D1436" s="16" t="n">
        <f aca="false">IF(B1436=-1, -1, MOD(INT(B1436/28),21))</f>
        <v>7</v>
      </c>
      <c r="E1436" s="16" t="n">
        <f aca="false">IF(B1436=-1, -1, VLOOKUP(MOD(B1436,28), $T$24:$U$52,2))</f>
        <v>0</v>
      </c>
      <c r="F1436" s="16" t="n">
        <f aca="false">IF($B1436=-1, -1, VLOOKUP(C1436,$T$1:$V$20, 2))</f>
        <v>15</v>
      </c>
      <c r="G1436" s="16" t="n">
        <f aca="false">IF($B1436=-1, -1, VLOOKUP(D1436,$Y$1:$Z$22,2))</f>
        <v>18</v>
      </c>
      <c r="H1436" s="16" t="str">
        <f aca="false">_xlfn.UNICHAR(((F1436*21)+G1436)*28+44032)</f>
        <v>크</v>
      </c>
      <c r="I1436" s="16" t="n">
        <f aca="false">IF(B1436=-1, 1, COUNTIF($A$2:$A$3000, H1436))</f>
        <v>1</v>
      </c>
      <c r="J1436" s="10" t="str">
        <f aca="false">_xlfn.CONCAT(A1436, ",",H1436,",",I1436)</f>
        <v>예,크,1</v>
      </c>
      <c r="K1436" s="16" t="n">
        <f aca="false">IF(B1436=-1,-1,VLOOKUP(C1436,$T$1:$V$20,3))</f>
        <v>15</v>
      </c>
      <c r="L1436" s="16" t="n">
        <f aca="false">IF(B1436=-1,-1,VLOOKUP(D1436,$Y$1:$AA$22,3))</f>
        <v>14</v>
      </c>
      <c r="N1436" s="10" t="str">
        <f aca="false">_xlfn.UNICHAR(((C1436*21)+G1436)*28+44032)</f>
        <v>으</v>
      </c>
      <c r="O1436" s="10" t="str">
        <f aca="false">_xlfn.UNICHAR(((F1436*21)+D1436)*28+44032)</f>
        <v>켸</v>
      </c>
      <c r="P1436" s="12" t="n">
        <f aca="false">COUNTIF($A$2:$A$3000, N1436) + COUNTIF($A$2:$A$3000, O1436)</f>
        <v>2</v>
      </c>
      <c r="Q1436" s="16" t="str">
        <f aca="false">IF(OR(B1436=-1,I1436=0, P1436&lt;&gt;2), "albhed_dummy", _xlfn.CONCAT("albhed ", RIGHT("  " &amp; K1436,2),", ", RIGHT("  " &amp; L1436,2), ", " ,"""",H1436,""", ", """",N1436,""", ","""",O1436,""""," ; ", A1436))</f>
        <v>albhed 15, 14, "크", "으", "켸" ; 예</v>
      </c>
    </row>
    <row r="1437" customFormat="false" ht="17.9" hidden="false" customHeight="true" outlineLevel="0" collapsed="false">
      <c r="A1437" s="16" t="s">
        <v>2299</v>
      </c>
      <c r="B1437" s="16" t="n">
        <f aca="false">IF(_xlfn.UNICODE(A1437)&lt;44032,-1,_xlfn.UNICODE(A1437)-44032)</f>
        <v>6668</v>
      </c>
      <c r="C1437" s="16" t="n">
        <f aca="false">IF(B1437=-1,-1,INT((B1437/28)/21))</f>
        <v>11</v>
      </c>
      <c r="D1437" s="16" t="n">
        <f aca="false">IF(B1437=-1, -1, MOD(INT(B1437/28),21))</f>
        <v>7</v>
      </c>
      <c r="E1437" s="16" t="n">
        <f aca="false">IF(B1437=-1, -1, VLOOKUP(MOD(B1437,28), $T$24:$U$52,2))</f>
        <v>4</v>
      </c>
      <c r="F1437" s="16" t="n">
        <f aca="false">IF($B1437=-1, -1, VLOOKUP(C1437,$T$1:$V$20, 2))</f>
        <v>15</v>
      </c>
      <c r="G1437" s="16" t="n">
        <f aca="false">IF($B1437=-1, -1, VLOOKUP(D1437,$Y$1:$Z$22,2))</f>
        <v>18</v>
      </c>
      <c r="H1437" s="16" t="str">
        <f aca="false">_xlfn.UNICHAR(((F1437*21)+G1437)*28+44032)</f>
        <v>크</v>
      </c>
      <c r="I1437" s="16" t="n">
        <f aca="false">IF(B1437=-1, 1, COUNTIF($A$2:$A$3000, H1437))</f>
        <v>1</v>
      </c>
      <c r="J1437" s="10" t="str">
        <f aca="false">_xlfn.CONCAT(A1437, ",",H1437,",",I1437)</f>
        <v>옌,크,1</v>
      </c>
      <c r="K1437" s="16" t="n">
        <f aca="false">IF(B1437=-1,-1,VLOOKUP(C1437,$T$1:$V$20,3))</f>
        <v>15</v>
      </c>
      <c r="L1437" s="16" t="n">
        <f aca="false">IF(B1437=-1,-1,VLOOKUP(D1437,$Y$1:$AA$22,3))</f>
        <v>14</v>
      </c>
      <c r="N1437" s="10" t="str">
        <f aca="false">_xlfn.UNICHAR(((C1437*21)+G1437)*28+44032)</f>
        <v>으</v>
      </c>
      <c r="O1437" s="10" t="str">
        <f aca="false">_xlfn.UNICHAR(((F1437*21)+D1437)*28+44032)</f>
        <v>켸</v>
      </c>
      <c r="P1437" s="12" t="n">
        <f aca="false">COUNTIF($A$2:$A$3000, N1437) + COUNTIF($A$2:$A$3000, O1437)</f>
        <v>2</v>
      </c>
      <c r="Q1437" s="16" t="str">
        <f aca="false">IF(OR(B1437=-1,I1437=0, P1437&lt;&gt;2), "albhed_dummy", _xlfn.CONCAT("albhed ", RIGHT("  " &amp; K1437,2),", ", RIGHT("  " &amp; L1437,2), ", " ,"""",H1437,""", ", """",N1437,""", ","""",O1437,""""," ; ", A1437))</f>
        <v>albhed 15, 14, "크", "으", "켸" ; 옌</v>
      </c>
    </row>
    <row r="1438" customFormat="false" ht="17.9" hidden="false" customHeight="true" outlineLevel="0" collapsed="false">
      <c r="A1438" s="16" t="s">
        <v>2300</v>
      </c>
      <c r="B1438" s="16" t="n">
        <f aca="false">IF(_xlfn.UNICODE(A1438)&lt;44032,-1,_xlfn.UNICODE(A1438)-44032)</f>
        <v>6672</v>
      </c>
      <c r="C1438" s="16" t="n">
        <f aca="false">IF(B1438=-1,-1,INT((B1438/28)/21))</f>
        <v>11</v>
      </c>
      <c r="D1438" s="16" t="n">
        <f aca="false">IF(B1438=-1, -1, MOD(INT(B1438/28),21))</f>
        <v>7</v>
      </c>
      <c r="E1438" s="16" t="n">
        <f aca="false">IF(B1438=-1, -1, VLOOKUP(MOD(B1438,28), $T$24:$U$52,2))</f>
        <v>8</v>
      </c>
      <c r="F1438" s="16" t="n">
        <f aca="false">IF($B1438=-1, -1, VLOOKUP(C1438,$T$1:$V$20, 2))</f>
        <v>15</v>
      </c>
      <c r="G1438" s="16" t="n">
        <f aca="false">IF($B1438=-1, -1, VLOOKUP(D1438,$Y$1:$Z$22,2))</f>
        <v>18</v>
      </c>
      <c r="H1438" s="16" t="str">
        <f aca="false">_xlfn.UNICHAR(((F1438*21)+G1438)*28+44032)</f>
        <v>크</v>
      </c>
      <c r="I1438" s="16" t="n">
        <f aca="false">IF(B1438=-1, 1, COUNTIF($A$2:$A$3000, H1438))</f>
        <v>1</v>
      </c>
      <c r="J1438" s="10" t="str">
        <f aca="false">_xlfn.CONCAT(A1438, ",",H1438,",",I1438)</f>
        <v>옐,크,1</v>
      </c>
      <c r="K1438" s="16" t="n">
        <f aca="false">IF(B1438=-1,-1,VLOOKUP(C1438,$T$1:$V$20,3))</f>
        <v>15</v>
      </c>
      <c r="L1438" s="16" t="n">
        <f aca="false">IF(B1438=-1,-1,VLOOKUP(D1438,$Y$1:$AA$22,3))</f>
        <v>14</v>
      </c>
      <c r="N1438" s="10" t="str">
        <f aca="false">_xlfn.UNICHAR(((C1438*21)+G1438)*28+44032)</f>
        <v>으</v>
      </c>
      <c r="O1438" s="10" t="str">
        <f aca="false">_xlfn.UNICHAR(((F1438*21)+D1438)*28+44032)</f>
        <v>켸</v>
      </c>
      <c r="P1438" s="12" t="n">
        <f aca="false">COUNTIF($A$2:$A$3000, N1438) + COUNTIF($A$2:$A$3000, O1438)</f>
        <v>2</v>
      </c>
      <c r="Q1438" s="16" t="str">
        <f aca="false">IF(OR(B1438=-1,I1438=0, P1438&lt;&gt;2), "albhed_dummy", _xlfn.CONCAT("albhed ", RIGHT("  " &amp; K1438,2),", ", RIGHT("  " &amp; L1438,2), ", " ,"""",H1438,""", ", """",N1438,""", ","""",O1438,""""," ; ", A1438))</f>
        <v>albhed 15, 14, "크", "으", "켸" ; 옐</v>
      </c>
    </row>
    <row r="1439" customFormat="false" ht="17.9" hidden="false" customHeight="true" outlineLevel="0" collapsed="false">
      <c r="A1439" s="16" t="s">
        <v>2301</v>
      </c>
      <c r="B1439" s="16" t="n">
        <f aca="false">IF(_xlfn.UNICODE(A1439)&lt;44032,-1,_xlfn.UNICODE(A1439)-44032)</f>
        <v>6680</v>
      </c>
      <c r="C1439" s="16" t="n">
        <f aca="false">IF(B1439=-1,-1,INT((B1439/28)/21))</f>
        <v>11</v>
      </c>
      <c r="D1439" s="16" t="n">
        <f aca="false">IF(B1439=-1, -1, MOD(INT(B1439/28),21))</f>
        <v>7</v>
      </c>
      <c r="E1439" s="16" t="n">
        <f aca="false">IF(B1439=-1, -1, VLOOKUP(MOD(B1439,28), $T$24:$U$52,2))</f>
        <v>16</v>
      </c>
      <c r="F1439" s="16" t="n">
        <f aca="false">IF($B1439=-1, -1, VLOOKUP(C1439,$T$1:$V$20, 2))</f>
        <v>15</v>
      </c>
      <c r="G1439" s="16" t="n">
        <f aca="false">IF($B1439=-1, -1, VLOOKUP(D1439,$Y$1:$Z$22,2))</f>
        <v>18</v>
      </c>
      <c r="H1439" s="16" t="str">
        <f aca="false">_xlfn.UNICHAR(((F1439*21)+G1439)*28+44032)</f>
        <v>크</v>
      </c>
      <c r="I1439" s="16" t="n">
        <f aca="false">IF(B1439=-1, 1, COUNTIF($A$2:$A$3000, H1439))</f>
        <v>1</v>
      </c>
      <c r="J1439" s="10" t="str">
        <f aca="false">_xlfn.CONCAT(A1439, ",",H1439,",",I1439)</f>
        <v>옘,크,1</v>
      </c>
      <c r="K1439" s="16" t="n">
        <f aca="false">IF(B1439=-1,-1,VLOOKUP(C1439,$T$1:$V$20,3))</f>
        <v>15</v>
      </c>
      <c r="L1439" s="16" t="n">
        <f aca="false">IF(B1439=-1,-1,VLOOKUP(D1439,$Y$1:$AA$22,3))</f>
        <v>14</v>
      </c>
      <c r="N1439" s="10" t="str">
        <f aca="false">_xlfn.UNICHAR(((C1439*21)+G1439)*28+44032)</f>
        <v>으</v>
      </c>
      <c r="O1439" s="10" t="str">
        <f aca="false">_xlfn.UNICHAR(((F1439*21)+D1439)*28+44032)</f>
        <v>켸</v>
      </c>
      <c r="P1439" s="12" t="n">
        <f aca="false">COUNTIF($A$2:$A$3000, N1439) + COUNTIF($A$2:$A$3000, O1439)</f>
        <v>2</v>
      </c>
      <c r="Q1439" s="16" t="str">
        <f aca="false">IF(OR(B1439=-1,I1439=0, P1439&lt;&gt;2), "albhed_dummy", _xlfn.CONCAT("albhed ", RIGHT("  " &amp; K1439,2),", ", RIGHT("  " &amp; L1439,2), ", " ,"""",H1439,""", ", """",N1439,""", ","""",O1439,""""," ; ", A1439))</f>
        <v>albhed 15, 14, "크", "으", "켸" ; 옘</v>
      </c>
    </row>
    <row r="1440" customFormat="false" ht="17.9" hidden="false" customHeight="true" outlineLevel="0" collapsed="false">
      <c r="A1440" s="16" t="s">
        <v>2302</v>
      </c>
      <c r="B1440" s="16" t="n">
        <f aca="false">IF(_xlfn.UNICODE(A1440)&lt;44032,-1,_xlfn.UNICODE(A1440)-44032)</f>
        <v>6681</v>
      </c>
      <c r="C1440" s="16" t="n">
        <f aca="false">IF(B1440=-1,-1,INT((B1440/28)/21))</f>
        <v>11</v>
      </c>
      <c r="D1440" s="16" t="n">
        <f aca="false">IF(B1440=-1, -1, MOD(INT(B1440/28),21))</f>
        <v>7</v>
      </c>
      <c r="E1440" s="16" t="n">
        <f aca="false">IF(B1440=-1, -1, VLOOKUP(MOD(B1440,28), $T$24:$U$52,2))</f>
        <v>17</v>
      </c>
      <c r="F1440" s="16" t="n">
        <f aca="false">IF($B1440=-1, -1, VLOOKUP(C1440,$T$1:$V$20, 2))</f>
        <v>15</v>
      </c>
      <c r="G1440" s="16" t="n">
        <f aca="false">IF($B1440=-1, -1, VLOOKUP(D1440,$Y$1:$Z$22,2))</f>
        <v>18</v>
      </c>
      <c r="H1440" s="16" t="str">
        <f aca="false">_xlfn.UNICHAR(((F1440*21)+G1440)*28+44032)</f>
        <v>크</v>
      </c>
      <c r="I1440" s="16" t="n">
        <f aca="false">IF(B1440=-1, 1, COUNTIF($A$2:$A$3000, H1440))</f>
        <v>1</v>
      </c>
      <c r="J1440" s="10" t="str">
        <f aca="false">_xlfn.CONCAT(A1440, ",",H1440,",",I1440)</f>
        <v>옙,크,1</v>
      </c>
      <c r="K1440" s="16" t="n">
        <f aca="false">IF(B1440=-1,-1,VLOOKUP(C1440,$T$1:$V$20,3))</f>
        <v>15</v>
      </c>
      <c r="L1440" s="16" t="n">
        <f aca="false">IF(B1440=-1,-1,VLOOKUP(D1440,$Y$1:$AA$22,3))</f>
        <v>14</v>
      </c>
      <c r="N1440" s="10" t="str">
        <f aca="false">_xlfn.UNICHAR(((C1440*21)+G1440)*28+44032)</f>
        <v>으</v>
      </c>
      <c r="O1440" s="10" t="str">
        <f aca="false">_xlfn.UNICHAR(((F1440*21)+D1440)*28+44032)</f>
        <v>켸</v>
      </c>
      <c r="P1440" s="12" t="n">
        <f aca="false">COUNTIF($A$2:$A$3000, N1440) + COUNTIF($A$2:$A$3000, O1440)</f>
        <v>2</v>
      </c>
      <c r="Q1440" s="16" t="str">
        <f aca="false">IF(OR(B1440=-1,I1440=0, P1440&lt;&gt;2), "albhed_dummy", _xlfn.CONCAT("albhed ", RIGHT("  " &amp; K1440,2),", ", RIGHT("  " &amp; L1440,2), ", " ,"""",H1440,""", ", """",N1440,""", ","""",O1440,""""," ; ", A1440))</f>
        <v>albhed 15, 14, "크", "으", "켸" ; 옙</v>
      </c>
    </row>
    <row r="1441" customFormat="false" ht="17.9" hidden="false" customHeight="true" outlineLevel="0" collapsed="false">
      <c r="A1441" s="16" t="s">
        <v>2303</v>
      </c>
      <c r="B1441" s="16" t="n">
        <f aca="false">IF(_xlfn.UNICODE(A1441)&lt;44032,-1,_xlfn.UNICODE(A1441)-44032)</f>
        <v>6683</v>
      </c>
      <c r="C1441" s="16" t="n">
        <f aca="false">IF(B1441=-1,-1,INT((B1441/28)/21))</f>
        <v>11</v>
      </c>
      <c r="D1441" s="16" t="n">
        <f aca="false">IF(B1441=-1, -1, MOD(INT(B1441/28),21))</f>
        <v>7</v>
      </c>
      <c r="E1441" s="16" t="n">
        <f aca="false">IF(B1441=-1, -1, VLOOKUP(MOD(B1441,28), $T$24:$U$52,2))</f>
        <v>19</v>
      </c>
      <c r="F1441" s="16" t="n">
        <f aca="false">IF($B1441=-1, -1, VLOOKUP(C1441,$T$1:$V$20, 2))</f>
        <v>15</v>
      </c>
      <c r="G1441" s="16" t="n">
        <f aca="false">IF($B1441=-1, -1, VLOOKUP(D1441,$Y$1:$Z$22,2))</f>
        <v>18</v>
      </c>
      <c r="H1441" s="16" t="str">
        <f aca="false">_xlfn.UNICHAR(((F1441*21)+G1441)*28+44032)</f>
        <v>크</v>
      </c>
      <c r="I1441" s="16" t="n">
        <f aca="false">IF(B1441=-1, 1, COUNTIF($A$2:$A$3000, H1441))</f>
        <v>1</v>
      </c>
      <c r="J1441" s="10" t="str">
        <f aca="false">_xlfn.CONCAT(A1441, ",",H1441,",",I1441)</f>
        <v>옛,크,1</v>
      </c>
      <c r="K1441" s="16" t="n">
        <f aca="false">IF(B1441=-1,-1,VLOOKUP(C1441,$T$1:$V$20,3))</f>
        <v>15</v>
      </c>
      <c r="L1441" s="16" t="n">
        <f aca="false">IF(B1441=-1,-1,VLOOKUP(D1441,$Y$1:$AA$22,3))</f>
        <v>14</v>
      </c>
      <c r="N1441" s="10" t="str">
        <f aca="false">_xlfn.UNICHAR(((C1441*21)+G1441)*28+44032)</f>
        <v>으</v>
      </c>
      <c r="O1441" s="10" t="str">
        <f aca="false">_xlfn.UNICHAR(((F1441*21)+D1441)*28+44032)</f>
        <v>켸</v>
      </c>
      <c r="P1441" s="12" t="n">
        <f aca="false">COUNTIF($A$2:$A$3000, N1441) + COUNTIF($A$2:$A$3000, O1441)</f>
        <v>2</v>
      </c>
      <c r="Q1441" s="16" t="str">
        <f aca="false">IF(OR(B1441=-1,I1441=0, P1441&lt;&gt;2), "albhed_dummy", _xlfn.CONCAT("albhed ", RIGHT("  " &amp; K1441,2),", ", RIGHT("  " &amp; L1441,2), ", " ,"""",H1441,""", ", """",N1441,""", ","""",O1441,""""," ; ", A1441))</f>
        <v>albhed 15, 14, "크", "으", "켸" ; 옛</v>
      </c>
    </row>
    <row r="1442" customFormat="false" ht="17.9" hidden="false" customHeight="true" outlineLevel="0" collapsed="false">
      <c r="A1442" s="16" t="s">
        <v>2304</v>
      </c>
      <c r="B1442" s="16" t="n">
        <f aca="false">IF(_xlfn.UNICODE(A1442)&lt;44032,-1,_xlfn.UNICODE(A1442)-44032)</f>
        <v>6684</v>
      </c>
      <c r="C1442" s="16" t="n">
        <f aca="false">IF(B1442=-1,-1,INT((B1442/28)/21))</f>
        <v>11</v>
      </c>
      <c r="D1442" s="16" t="n">
        <f aca="false">IF(B1442=-1, -1, MOD(INT(B1442/28),21))</f>
        <v>7</v>
      </c>
      <c r="E1442" s="16" t="n">
        <f aca="false">IF(B1442=-1, -1, VLOOKUP(MOD(B1442,28), $T$24:$U$52,2))</f>
        <v>19</v>
      </c>
      <c r="F1442" s="16" t="n">
        <f aca="false">IF($B1442=-1, -1, VLOOKUP(C1442,$T$1:$V$20, 2))</f>
        <v>15</v>
      </c>
      <c r="G1442" s="16" t="n">
        <f aca="false">IF($B1442=-1, -1, VLOOKUP(D1442,$Y$1:$Z$22,2))</f>
        <v>18</v>
      </c>
      <c r="H1442" s="16" t="str">
        <f aca="false">_xlfn.UNICHAR(((F1442*21)+G1442)*28+44032)</f>
        <v>크</v>
      </c>
      <c r="I1442" s="16" t="n">
        <f aca="false">IF(B1442=-1, 1, COUNTIF($A$2:$A$3000, H1442))</f>
        <v>1</v>
      </c>
      <c r="J1442" s="10" t="str">
        <f aca="false">_xlfn.CONCAT(A1442, ",",H1442,",",I1442)</f>
        <v>옜,크,1</v>
      </c>
      <c r="K1442" s="16" t="n">
        <f aca="false">IF(B1442=-1,-1,VLOOKUP(C1442,$T$1:$V$20,3))</f>
        <v>15</v>
      </c>
      <c r="L1442" s="16" t="n">
        <f aca="false">IF(B1442=-1,-1,VLOOKUP(D1442,$Y$1:$AA$22,3))</f>
        <v>14</v>
      </c>
      <c r="N1442" s="10" t="str">
        <f aca="false">_xlfn.UNICHAR(((C1442*21)+G1442)*28+44032)</f>
        <v>으</v>
      </c>
      <c r="O1442" s="10" t="str">
        <f aca="false">_xlfn.UNICHAR(((F1442*21)+D1442)*28+44032)</f>
        <v>켸</v>
      </c>
      <c r="P1442" s="12" t="n">
        <f aca="false">COUNTIF($A$2:$A$3000, N1442) + COUNTIF($A$2:$A$3000, O1442)</f>
        <v>2</v>
      </c>
      <c r="Q1442" s="16" t="str">
        <f aca="false">IF(OR(B1442=-1,I1442=0, P1442&lt;&gt;2), "albhed_dummy", _xlfn.CONCAT("albhed ", RIGHT("  " &amp; K1442,2),", ", RIGHT("  " &amp; L1442,2), ", " ,"""",H1442,""", ", """",N1442,""", ","""",O1442,""""," ; ", A1442))</f>
        <v>albhed 15, 14, "크", "으", "켸" ; 옜</v>
      </c>
    </row>
    <row r="1443" customFormat="false" ht="17.9" hidden="false" customHeight="true" outlineLevel="0" collapsed="false">
      <c r="A1443" s="16" t="s">
        <v>2305</v>
      </c>
      <c r="B1443" s="16" t="n">
        <f aca="false">IF(_xlfn.UNICODE(A1443)&lt;44032,-1,_xlfn.UNICODE(A1443)-44032)</f>
        <v>6692</v>
      </c>
      <c r="C1443" s="16" t="n">
        <f aca="false">IF(B1443=-1,-1,INT((B1443/28)/21))</f>
        <v>11</v>
      </c>
      <c r="D1443" s="16" t="n">
        <f aca="false">IF(B1443=-1, -1, MOD(INT(B1443/28),21))</f>
        <v>8</v>
      </c>
      <c r="E1443" s="16" t="n">
        <f aca="false">IF(B1443=-1, -1, VLOOKUP(MOD(B1443,28), $T$24:$U$52,2))</f>
        <v>0</v>
      </c>
      <c r="F1443" s="16" t="n">
        <f aca="false">IF($B1443=-1, -1, VLOOKUP(C1443,$T$1:$V$20, 2))</f>
        <v>15</v>
      </c>
      <c r="G1443" s="16" t="n">
        <f aca="false">IF($B1443=-1, -1, VLOOKUP(D1443,$Y$1:$Z$22,2))</f>
        <v>4</v>
      </c>
      <c r="H1443" s="16" t="str">
        <f aca="false">_xlfn.UNICHAR(((F1443*21)+G1443)*28+44032)</f>
        <v>커</v>
      </c>
      <c r="I1443" s="16" t="n">
        <f aca="false">IF(B1443=-1, 1, COUNTIF($A$2:$A$3000, H1443))</f>
        <v>1</v>
      </c>
      <c r="J1443" s="10" t="str">
        <f aca="false">_xlfn.CONCAT(A1443, ",",H1443,",",I1443)</f>
        <v>오,커,1</v>
      </c>
      <c r="K1443" s="16" t="n">
        <f aca="false">IF(B1443=-1,-1,VLOOKUP(C1443,$T$1:$V$20,3))</f>
        <v>15</v>
      </c>
      <c r="L1443" s="16" t="n">
        <f aca="false">IF(B1443=-1,-1,VLOOKUP(D1443,$Y$1:$AA$22,3))</f>
        <v>8</v>
      </c>
      <c r="N1443" s="10" t="str">
        <f aca="false">_xlfn.UNICHAR(((C1443*21)+G1443)*28+44032)</f>
        <v>어</v>
      </c>
      <c r="O1443" s="10" t="str">
        <f aca="false">_xlfn.UNICHAR(((F1443*21)+D1443)*28+44032)</f>
        <v>코</v>
      </c>
      <c r="P1443" s="12" t="n">
        <f aca="false">COUNTIF($A$2:$A$3000, N1443) + COUNTIF($A$2:$A$3000, O1443)</f>
        <v>2</v>
      </c>
      <c r="Q1443" s="16" t="str">
        <f aca="false">IF(OR(B1443=-1,I1443=0, P1443&lt;&gt;2), "albhed_dummy", _xlfn.CONCAT("albhed ", RIGHT("  " &amp; K1443,2),", ", RIGHT("  " &amp; L1443,2), ", " ,"""",H1443,""", ", """",N1443,""", ","""",O1443,""""," ; ", A1443))</f>
        <v>albhed 15,  8, "커", "어", "코" ; 오</v>
      </c>
    </row>
    <row r="1444" customFormat="false" ht="17.9" hidden="false" customHeight="true" outlineLevel="0" collapsed="false">
      <c r="A1444" s="16" t="s">
        <v>2306</v>
      </c>
      <c r="B1444" s="16" t="n">
        <f aca="false">IF(_xlfn.UNICODE(A1444)&lt;44032,-1,_xlfn.UNICODE(A1444)-44032)</f>
        <v>6693</v>
      </c>
      <c r="C1444" s="16" t="n">
        <f aca="false">IF(B1444=-1,-1,INT((B1444/28)/21))</f>
        <v>11</v>
      </c>
      <c r="D1444" s="16" t="n">
        <f aca="false">IF(B1444=-1, -1, MOD(INT(B1444/28),21))</f>
        <v>8</v>
      </c>
      <c r="E1444" s="16" t="n">
        <f aca="false">IF(B1444=-1, -1, VLOOKUP(MOD(B1444,28), $T$24:$U$52,2))</f>
        <v>1</v>
      </c>
      <c r="F1444" s="16" t="n">
        <f aca="false">IF($B1444=-1, -1, VLOOKUP(C1444,$T$1:$V$20, 2))</f>
        <v>15</v>
      </c>
      <c r="G1444" s="16" t="n">
        <f aca="false">IF($B1444=-1, -1, VLOOKUP(D1444,$Y$1:$Z$22,2))</f>
        <v>4</v>
      </c>
      <c r="H1444" s="16" t="str">
        <f aca="false">_xlfn.UNICHAR(((F1444*21)+G1444)*28+44032)</f>
        <v>커</v>
      </c>
      <c r="I1444" s="16" t="n">
        <f aca="false">IF(B1444=-1, 1, COUNTIF($A$2:$A$3000, H1444))</f>
        <v>1</v>
      </c>
      <c r="J1444" s="10" t="str">
        <f aca="false">_xlfn.CONCAT(A1444, ",",H1444,",",I1444)</f>
        <v>옥,커,1</v>
      </c>
      <c r="K1444" s="16" t="n">
        <f aca="false">IF(B1444=-1,-1,VLOOKUP(C1444,$T$1:$V$20,3))</f>
        <v>15</v>
      </c>
      <c r="L1444" s="16" t="n">
        <f aca="false">IF(B1444=-1,-1,VLOOKUP(D1444,$Y$1:$AA$22,3))</f>
        <v>8</v>
      </c>
      <c r="N1444" s="10" t="str">
        <f aca="false">_xlfn.UNICHAR(((C1444*21)+G1444)*28+44032)</f>
        <v>어</v>
      </c>
      <c r="O1444" s="10" t="str">
        <f aca="false">_xlfn.UNICHAR(((F1444*21)+D1444)*28+44032)</f>
        <v>코</v>
      </c>
      <c r="P1444" s="12" t="n">
        <f aca="false">COUNTIF($A$2:$A$3000, N1444) + COUNTIF($A$2:$A$3000, O1444)</f>
        <v>2</v>
      </c>
      <c r="Q1444" s="16" t="str">
        <f aca="false">IF(OR(B1444=-1,I1444=0, P1444&lt;&gt;2), "albhed_dummy", _xlfn.CONCAT("albhed ", RIGHT("  " &amp; K1444,2),", ", RIGHT("  " &amp; L1444,2), ", " ,"""",H1444,""", ", """",N1444,""", ","""",O1444,""""," ; ", A1444))</f>
        <v>albhed 15,  8, "커", "어", "코" ; 옥</v>
      </c>
    </row>
    <row r="1445" customFormat="false" ht="17.9" hidden="false" customHeight="true" outlineLevel="0" collapsed="false">
      <c r="A1445" s="16" t="s">
        <v>2307</v>
      </c>
      <c r="B1445" s="16" t="n">
        <f aca="false">IF(_xlfn.UNICODE(A1445)&lt;44032,-1,_xlfn.UNICODE(A1445)-44032)</f>
        <v>6696</v>
      </c>
      <c r="C1445" s="16" t="n">
        <f aca="false">IF(B1445=-1,-1,INT((B1445/28)/21))</f>
        <v>11</v>
      </c>
      <c r="D1445" s="16" t="n">
        <f aca="false">IF(B1445=-1, -1, MOD(INT(B1445/28),21))</f>
        <v>8</v>
      </c>
      <c r="E1445" s="16" t="n">
        <f aca="false">IF(B1445=-1, -1, VLOOKUP(MOD(B1445,28), $T$24:$U$52,2))</f>
        <v>4</v>
      </c>
      <c r="F1445" s="16" t="n">
        <f aca="false">IF($B1445=-1, -1, VLOOKUP(C1445,$T$1:$V$20, 2))</f>
        <v>15</v>
      </c>
      <c r="G1445" s="16" t="n">
        <f aca="false">IF($B1445=-1, -1, VLOOKUP(D1445,$Y$1:$Z$22,2))</f>
        <v>4</v>
      </c>
      <c r="H1445" s="16" t="str">
        <f aca="false">_xlfn.UNICHAR(((F1445*21)+G1445)*28+44032)</f>
        <v>커</v>
      </c>
      <c r="I1445" s="16" t="n">
        <f aca="false">IF(B1445=-1, 1, COUNTIF($A$2:$A$3000, H1445))</f>
        <v>1</v>
      </c>
      <c r="J1445" s="10" t="str">
        <f aca="false">_xlfn.CONCAT(A1445, ",",H1445,",",I1445)</f>
        <v>온,커,1</v>
      </c>
      <c r="K1445" s="16" t="n">
        <f aca="false">IF(B1445=-1,-1,VLOOKUP(C1445,$T$1:$V$20,3))</f>
        <v>15</v>
      </c>
      <c r="L1445" s="16" t="n">
        <f aca="false">IF(B1445=-1,-1,VLOOKUP(D1445,$Y$1:$AA$22,3))</f>
        <v>8</v>
      </c>
      <c r="N1445" s="10" t="str">
        <f aca="false">_xlfn.UNICHAR(((C1445*21)+G1445)*28+44032)</f>
        <v>어</v>
      </c>
      <c r="O1445" s="10" t="str">
        <f aca="false">_xlfn.UNICHAR(((F1445*21)+D1445)*28+44032)</f>
        <v>코</v>
      </c>
      <c r="P1445" s="12" t="n">
        <f aca="false">COUNTIF($A$2:$A$3000, N1445) + COUNTIF($A$2:$A$3000, O1445)</f>
        <v>2</v>
      </c>
      <c r="Q1445" s="16" t="str">
        <f aca="false">IF(OR(B1445=-1,I1445=0, P1445&lt;&gt;2), "albhed_dummy", _xlfn.CONCAT("albhed ", RIGHT("  " &amp; K1445,2),", ", RIGHT("  " &amp; L1445,2), ", " ,"""",H1445,""", ", """",N1445,""", ","""",O1445,""""," ; ", A1445))</f>
        <v>albhed 15,  8, "커", "어", "코" ; 온</v>
      </c>
    </row>
    <row r="1446" customFormat="false" ht="17.9" hidden="false" customHeight="true" outlineLevel="0" collapsed="false">
      <c r="A1446" s="16" t="s">
        <v>2308</v>
      </c>
      <c r="B1446" s="16" t="n">
        <f aca="false">IF(_xlfn.UNICODE(A1446)&lt;44032,-1,_xlfn.UNICODE(A1446)-44032)</f>
        <v>6700</v>
      </c>
      <c r="C1446" s="16" t="n">
        <f aca="false">IF(B1446=-1,-1,INT((B1446/28)/21))</f>
        <v>11</v>
      </c>
      <c r="D1446" s="16" t="n">
        <f aca="false">IF(B1446=-1, -1, MOD(INT(B1446/28),21))</f>
        <v>8</v>
      </c>
      <c r="E1446" s="16" t="n">
        <f aca="false">IF(B1446=-1, -1, VLOOKUP(MOD(B1446,28), $T$24:$U$52,2))</f>
        <v>8</v>
      </c>
      <c r="F1446" s="16" t="n">
        <f aca="false">IF($B1446=-1, -1, VLOOKUP(C1446,$T$1:$V$20, 2))</f>
        <v>15</v>
      </c>
      <c r="G1446" s="16" t="n">
        <f aca="false">IF($B1446=-1, -1, VLOOKUP(D1446,$Y$1:$Z$22,2))</f>
        <v>4</v>
      </c>
      <c r="H1446" s="16" t="str">
        <f aca="false">_xlfn.UNICHAR(((F1446*21)+G1446)*28+44032)</f>
        <v>커</v>
      </c>
      <c r="I1446" s="16" t="n">
        <f aca="false">IF(B1446=-1, 1, COUNTIF($A$2:$A$3000, H1446))</f>
        <v>1</v>
      </c>
      <c r="J1446" s="10" t="str">
        <f aca="false">_xlfn.CONCAT(A1446, ",",H1446,",",I1446)</f>
        <v>올,커,1</v>
      </c>
      <c r="K1446" s="16" t="n">
        <f aca="false">IF(B1446=-1,-1,VLOOKUP(C1446,$T$1:$V$20,3))</f>
        <v>15</v>
      </c>
      <c r="L1446" s="16" t="n">
        <f aca="false">IF(B1446=-1,-1,VLOOKUP(D1446,$Y$1:$AA$22,3))</f>
        <v>8</v>
      </c>
      <c r="N1446" s="10" t="str">
        <f aca="false">_xlfn.UNICHAR(((C1446*21)+G1446)*28+44032)</f>
        <v>어</v>
      </c>
      <c r="O1446" s="10" t="str">
        <f aca="false">_xlfn.UNICHAR(((F1446*21)+D1446)*28+44032)</f>
        <v>코</v>
      </c>
      <c r="P1446" s="12" t="n">
        <f aca="false">COUNTIF($A$2:$A$3000, N1446) + COUNTIF($A$2:$A$3000, O1446)</f>
        <v>2</v>
      </c>
      <c r="Q1446" s="16" t="str">
        <f aca="false">IF(OR(B1446=-1,I1446=0, P1446&lt;&gt;2), "albhed_dummy", _xlfn.CONCAT("albhed ", RIGHT("  " &amp; K1446,2),", ", RIGHT("  " &amp; L1446,2), ", " ,"""",H1446,""", ", """",N1446,""", ","""",O1446,""""," ; ", A1446))</f>
        <v>albhed 15,  8, "커", "어", "코" ; 올</v>
      </c>
    </row>
    <row r="1447" customFormat="false" ht="17.9" hidden="false" customHeight="true" outlineLevel="0" collapsed="false">
      <c r="A1447" s="16" t="s">
        <v>2309</v>
      </c>
      <c r="B1447" s="16" t="n">
        <f aca="false">IF(_xlfn.UNICODE(A1447)&lt;44032,-1,_xlfn.UNICODE(A1447)-44032)</f>
        <v>6701</v>
      </c>
      <c r="C1447" s="16" t="n">
        <f aca="false">IF(B1447=-1,-1,INT((B1447/28)/21))</f>
        <v>11</v>
      </c>
      <c r="D1447" s="16" t="n">
        <f aca="false">IF(B1447=-1, -1, MOD(INT(B1447/28),21))</f>
        <v>8</v>
      </c>
      <c r="E1447" s="16" t="n">
        <f aca="false">IF(B1447=-1, -1, VLOOKUP(MOD(B1447,28), $T$24:$U$52,2))</f>
        <v>8</v>
      </c>
      <c r="F1447" s="16" t="n">
        <f aca="false">IF($B1447=-1, -1, VLOOKUP(C1447,$T$1:$V$20, 2))</f>
        <v>15</v>
      </c>
      <c r="G1447" s="16" t="n">
        <f aca="false">IF($B1447=-1, -1, VLOOKUP(D1447,$Y$1:$Z$22,2))</f>
        <v>4</v>
      </c>
      <c r="H1447" s="16" t="str">
        <f aca="false">_xlfn.UNICHAR(((F1447*21)+G1447)*28+44032)</f>
        <v>커</v>
      </c>
      <c r="I1447" s="16" t="n">
        <f aca="false">IF(B1447=-1, 1, COUNTIF($A$2:$A$3000, H1447))</f>
        <v>1</v>
      </c>
      <c r="J1447" s="10" t="str">
        <f aca="false">_xlfn.CONCAT(A1447, ",",H1447,",",I1447)</f>
        <v>옭,커,1</v>
      </c>
      <c r="K1447" s="16" t="n">
        <f aca="false">IF(B1447=-1,-1,VLOOKUP(C1447,$T$1:$V$20,3))</f>
        <v>15</v>
      </c>
      <c r="L1447" s="16" t="n">
        <f aca="false">IF(B1447=-1,-1,VLOOKUP(D1447,$Y$1:$AA$22,3))</f>
        <v>8</v>
      </c>
      <c r="N1447" s="10" t="str">
        <f aca="false">_xlfn.UNICHAR(((C1447*21)+G1447)*28+44032)</f>
        <v>어</v>
      </c>
      <c r="O1447" s="10" t="str">
        <f aca="false">_xlfn.UNICHAR(((F1447*21)+D1447)*28+44032)</f>
        <v>코</v>
      </c>
      <c r="P1447" s="12" t="n">
        <f aca="false">COUNTIF($A$2:$A$3000, N1447) + COUNTIF($A$2:$A$3000, O1447)</f>
        <v>2</v>
      </c>
      <c r="Q1447" s="16" t="str">
        <f aca="false">IF(OR(B1447=-1,I1447=0, P1447&lt;&gt;2), "albhed_dummy", _xlfn.CONCAT("albhed ", RIGHT("  " &amp; K1447,2),", ", RIGHT("  " &amp; L1447,2), ", " ,"""",H1447,""", ", """",N1447,""", ","""",O1447,""""," ; ", A1447))</f>
        <v>albhed 15,  8, "커", "어", "코" ; 옭</v>
      </c>
    </row>
    <row r="1448" customFormat="false" ht="17.9" hidden="false" customHeight="true" outlineLevel="0" collapsed="false">
      <c r="A1448" s="16" t="s">
        <v>2310</v>
      </c>
      <c r="B1448" s="16" t="n">
        <f aca="false">IF(_xlfn.UNICODE(A1448)&lt;44032,-1,_xlfn.UNICODE(A1448)-44032)</f>
        <v>6702</v>
      </c>
      <c r="C1448" s="16" t="n">
        <f aca="false">IF(B1448=-1,-1,INT((B1448/28)/21))</f>
        <v>11</v>
      </c>
      <c r="D1448" s="16" t="n">
        <f aca="false">IF(B1448=-1, -1, MOD(INT(B1448/28),21))</f>
        <v>8</v>
      </c>
      <c r="E1448" s="16" t="n">
        <f aca="false">IF(B1448=-1, -1, VLOOKUP(MOD(B1448,28), $T$24:$U$52,2))</f>
        <v>8</v>
      </c>
      <c r="F1448" s="16" t="n">
        <f aca="false">IF($B1448=-1, -1, VLOOKUP(C1448,$T$1:$V$20, 2))</f>
        <v>15</v>
      </c>
      <c r="G1448" s="16" t="n">
        <f aca="false">IF($B1448=-1, -1, VLOOKUP(D1448,$Y$1:$Z$22,2))</f>
        <v>4</v>
      </c>
      <c r="H1448" s="16" t="str">
        <f aca="false">_xlfn.UNICHAR(((F1448*21)+G1448)*28+44032)</f>
        <v>커</v>
      </c>
      <c r="I1448" s="16" t="n">
        <f aca="false">IF(B1448=-1, 1, COUNTIF($A$2:$A$3000, H1448))</f>
        <v>1</v>
      </c>
      <c r="J1448" s="10" t="str">
        <f aca="false">_xlfn.CONCAT(A1448, ",",H1448,",",I1448)</f>
        <v>옮,커,1</v>
      </c>
      <c r="K1448" s="16" t="n">
        <f aca="false">IF(B1448=-1,-1,VLOOKUP(C1448,$T$1:$V$20,3))</f>
        <v>15</v>
      </c>
      <c r="L1448" s="16" t="n">
        <f aca="false">IF(B1448=-1,-1,VLOOKUP(D1448,$Y$1:$AA$22,3))</f>
        <v>8</v>
      </c>
      <c r="N1448" s="10" t="str">
        <f aca="false">_xlfn.UNICHAR(((C1448*21)+G1448)*28+44032)</f>
        <v>어</v>
      </c>
      <c r="O1448" s="10" t="str">
        <f aca="false">_xlfn.UNICHAR(((F1448*21)+D1448)*28+44032)</f>
        <v>코</v>
      </c>
      <c r="P1448" s="12" t="n">
        <f aca="false">COUNTIF($A$2:$A$3000, N1448) + COUNTIF($A$2:$A$3000, O1448)</f>
        <v>2</v>
      </c>
      <c r="Q1448" s="16" t="str">
        <f aca="false">IF(OR(B1448=-1,I1448=0, P1448&lt;&gt;2), "albhed_dummy", _xlfn.CONCAT("albhed ", RIGHT("  " &amp; K1448,2),", ", RIGHT("  " &amp; L1448,2), ", " ,"""",H1448,""", ", """",N1448,""", ","""",O1448,""""," ; ", A1448))</f>
        <v>albhed 15,  8, "커", "어", "코" ; 옮</v>
      </c>
    </row>
    <row r="1449" customFormat="false" ht="17.9" hidden="false" customHeight="true" outlineLevel="0" collapsed="false">
      <c r="A1449" s="16" t="s">
        <v>2311</v>
      </c>
      <c r="B1449" s="16" t="n">
        <f aca="false">IF(_xlfn.UNICODE(A1449)&lt;44032,-1,_xlfn.UNICODE(A1449)-44032)</f>
        <v>6704</v>
      </c>
      <c r="C1449" s="16" t="n">
        <f aca="false">IF(B1449=-1,-1,INT((B1449/28)/21))</f>
        <v>11</v>
      </c>
      <c r="D1449" s="16" t="n">
        <f aca="false">IF(B1449=-1, -1, MOD(INT(B1449/28),21))</f>
        <v>8</v>
      </c>
      <c r="E1449" s="16" t="n">
        <f aca="false">IF(B1449=-1, -1, VLOOKUP(MOD(B1449,28), $T$24:$U$52,2))</f>
        <v>8</v>
      </c>
      <c r="F1449" s="16" t="n">
        <f aca="false">IF($B1449=-1, -1, VLOOKUP(C1449,$T$1:$V$20, 2))</f>
        <v>15</v>
      </c>
      <c r="G1449" s="16" t="n">
        <f aca="false">IF($B1449=-1, -1, VLOOKUP(D1449,$Y$1:$Z$22,2))</f>
        <v>4</v>
      </c>
      <c r="H1449" s="16" t="str">
        <f aca="false">_xlfn.UNICHAR(((F1449*21)+G1449)*28+44032)</f>
        <v>커</v>
      </c>
      <c r="I1449" s="16" t="n">
        <f aca="false">IF(B1449=-1, 1, COUNTIF($A$2:$A$3000, H1449))</f>
        <v>1</v>
      </c>
      <c r="J1449" s="10" t="str">
        <f aca="false">_xlfn.CONCAT(A1449, ",",H1449,",",I1449)</f>
        <v>옰,커,1</v>
      </c>
      <c r="K1449" s="16" t="n">
        <f aca="false">IF(B1449=-1,-1,VLOOKUP(C1449,$T$1:$V$20,3))</f>
        <v>15</v>
      </c>
      <c r="L1449" s="16" t="n">
        <f aca="false">IF(B1449=-1,-1,VLOOKUP(D1449,$Y$1:$AA$22,3))</f>
        <v>8</v>
      </c>
      <c r="N1449" s="10" t="str">
        <f aca="false">_xlfn.UNICHAR(((C1449*21)+G1449)*28+44032)</f>
        <v>어</v>
      </c>
      <c r="O1449" s="10" t="str">
        <f aca="false">_xlfn.UNICHAR(((F1449*21)+D1449)*28+44032)</f>
        <v>코</v>
      </c>
      <c r="P1449" s="12" t="n">
        <f aca="false">COUNTIF($A$2:$A$3000, N1449) + COUNTIF($A$2:$A$3000, O1449)</f>
        <v>2</v>
      </c>
      <c r="Q1449" s="16" t="str">
        <f aca="false">IF(OR(B1449=-1,I1449=0, P1449&lt;&gt;2), "albhed_dummy", _xlfn.CONCAT("albhed ", RIGHT("  " &amp; K1449,2),", ", RIGHT("  " &amp; L1449,2), ", " ,"""",H1449,""", ", """",N1449,""", ","""",O1449,""""," ; ", A1449))</f>
        <v>albhed 15,  8, "커", "어", "코" ; 옰</v>
      </c>
    </row>
    <row r="1450" customFormat="false" ht="17.9" hidden="false" customHeight="true" outlineLevel="0" collapsed="false">
      <c r="A1450" s="16" t="s">
        <v>2312</v>
      </c>
      <c r="B1450" s="16" t="n">
        <f aca="false">IF(_xlfn.UNICODE(A1450)&lt;44032,-1,_xlfn.UNICODE(A1450)-44032)</f>
        <v>6707</v>
      </c>
      <c r="C1450" s="16" t="n">
        <f aca="false">IF(B1450=-1,-1,INT((B1450/28)/21))</f>
        <v>11</v>
      </c>
      <c r="D1450" s="16" t="n">
        <f aca="false">IF(B1450=-1, -1, MOD(INT(B1450/28),21))</f>
        <v>8</v>
      </c>
      <c r="E1450" s="16" t="n">
        <f aca="false">IF(B1450=-1, -1, VLOOKUP(MOD(B1450,28), $T$24:$U$52,2))</f>
        <v>8</v>
      </c>
      <c r="F1450" s="16" t="n">
        <f aca="false">IF($B1450=-1, -1, VLOOKUP(C1450,$T$1:$V$20, 2))</f>
        <v>15</v>
      </c>
      <c r="G1450" s="16" t="n">
        <f aca="false">IF($B1450=-1, -1, VLOOKUP(D1450,$Y$1:$Z$22,2))</f>
        <v>4</v>
      </c>
      <c r="H1450" s="16" t="str">
        <f aca="false">_xlfn.UNICHAR(((F1450*21)+G1450)*28+44032)</f>
        <v>커</v>
      </c>
      <c r="I1450" s="16" t="n">
        <f aca="false">IF(B1450=-1, 1, COUNTIF($A$2:$A$3000, H1450))</f>
        <v>1</v>
      </c>
      <c r="J1450" s="10" t="str">
        <f aca="false">_xlfn.CONCAT(A1450, ",",H1450,",",I1450)</f>
        <v>옳,커,1</v>
      </c>
      <c r="K1450" s="16" t="n">
        <f aca="false">IF(B1450=-1,-1,VLOOKUP(C1450,$T$1:$V$20,3))</f>
        <v>15</v>
      </c>
      <c r="L1450" s="16" t="n">
        <f aca="false">IF(B1450=-1,-1,VLOOKUP(D1450,$Y$1:$AA$22,3))</f>
        <v>8</v>
      </c>
      <c r="N1450" s="10" t="str">
        <f aca="false">_xlfn.UNICHAR(((C1450*21)+G1450)*28+44032)</f>
        <v>어</v>
      </c>
      <c r="O1450" s="10" t="str">
        <f aca="false">_xlfn.UNICHAR(((F1450*21)+D1450)*28+44032)</f>
        <v>코</v>
      </c>
      <c r="P1450" s="12" t="n">
        <f aca="false">COUNTIF($A$2:$A$3000, N1450) + COUNTIF($A$2:$A$3000, O1450)</f>
        <v>2</v>
      </c>
      <c r="Q1450" s="16" t="str">
        <f aca="false">IF(OR(B1450=-1,I1450=0, P1450&lt;&gt;2), "albhed_dummy", _xlfn.CONCAT("albhed ", RIGHT("  " &amp; K1450,2),", ", RIGHT("  " &amp; L1450,2), ", " ,"""",H1450,""", ", """",N1450,""", ","""",O1450,""""," ; ", A1450))</f>
        <v>albhed 15,  8, "커", "어", "코" ; 옳</v>
      </c>
    </row>
    <row r="1451" customFormat="false" ht="17.9" hidden="false" customHeight="true" outlineLevel="0" collapsed="false">
      <c r="A1451" s="16" t="s">
        <v>2313</v>
      </c>
      <c r="B1451" s="16" t="n">
        <f aca="false">IF(_xlfn.UNICODE(A1451)&lt;44032,-1,_xlfn.UNICODE(A1451)-44032)</f>
        <v>6708</v>
      </c>
      <c r="C1451" s="16" t="n">
        <f aca="false">IF(B1451=-1,-1,INT((B1451/28)/21))</f>
        <v>11</v>
      </c>
      <c r="D1451" s="16" t="n">
        <f aca="false">IF(B1451=-1, -1, MOD(INT(B1451/28),21))</f>
        <v>8</v>
      </c>
      <c r="E1451" s="16" t="n">
        <f aca="false">IF(B1451=-1, -1, VLOOKUP(MOD(B1451,28), $T$24:$U$52,2))</f>
        <v>16</v>
      </c>
      <c r="F1451" s="16" t="n">
        <f aca="false">IF($B1451=-1, -1, VLOOKUP(C1451,$T$1:$V$20, 2))</f>
        <v>15</v>
      </c>
      <c r="G1451" s="16" t="n">
        <f aca="false">IF($B1451=-1, -1, VLOOKUP(D1451,$Y$1:$Z$22,2))</f>
        <v>4</v>
      </c>
      <c r="H1451" s="16" t="str">
        <f aca="false">_xlfn.UNICHAR(((F1451*21)+G1451)*28+44032)</f>
        <v>커</v>
      </c>
      <c r="I1451" s="16" t="n">
        <f aca="false">IF(B1451=-1, 1, COUNTIF($A$2:$A$3000, H1451))</f>
        <v>1</v>
      </c>
      <c r="J1451" s="10" t="str">
        <f aca="false">_xlfn.CONCAT(A1451, ",",H1451,",",I1451)</f>
        <v>옴,커,1</v>
      </c>
      <c r="K1451" s="16" t="n">
        <f aca="false">IF(B1451=-1,-1,VLOOKUP(C1451,$T$1:$V$20,3))</f>
        <v>15</v>
      </c>
      <c r="L1451" s="16" t="n">
        <f aca="false">IF(B1451=-1,-1,VLOOKUP(D1451,$Y$1:$AA$22,3))</f>
        <v>8</v>
      </c>
      <c r="N1451" s="10" t="str">
        <f aca="false">_xlfn.UNICHAR(((C1451*21)+G1451)*28+44032)</f>
        <v>어</v>
      </c>
      <c r="O1451" s="10" t="str">
        <f aca="false">_xlfn.UNICHAR(((F1451*21)+D1451)*28+44032)</f>
        <v>코</v>
      </c>
      <c r="P1451" s="12" t="n">
        <f aca="false">COUNTIF($A$2:$A$3000, N1451) + COUNTIF($A$2:$A$3000, O1451)</f>
        <v>2</v>
      </c>
      <c r="Q1451" s="16" t="str">
        <f aca="false">IF(OR(B1451=-1,I1451=0, P1451&lt;&gt;2), "albhed_dummy", _xlfn.CONCAT("albhed ", RIGHT("  " &amp; K1451,2),", ", RIGHT("  " &amp; L1451,2), ", " ,"""",H1451,""", ", """",N1451,""", ","""",O1451,""""," ; ", A1451))</f>
        <v>albhed 15,  8, "커", "어", "코" ; 옴</v>
      </c>
    </row>
    <row r="1452" customFormat="false" ht="17.9" hidden="false" customHeight="true" outlineLevel="0" collapsed="false">
      <c r="A1452" s="16" t="s">
        <v>2314</v>
      </c>
      <c r="B1452" s="16" t="n">
        <f aca="false">IF(_xlfn.UNICODE(A1452)&lt;44032,-1,_xlfn.UNICODE(A1452)-44032)</f>
        <v>6709</v>
      </c>
      <c r="C1452" s="16" t="n">
        <f aca="false">IF(B1452=-1,-1,INT((B1452/28)/21))</f>
        <v>11</v>
      </c>
      <c r="D1452" s="16" t="n">
        <f aca="false">IF(B1452=-1, -1, MOD(INT(B1452/28),21))</f>
        <v>8</v>
      </c>
      <c r="E1452" s="16" t="n">
        <f aca="false">IF(B1452=-1, -1, VLOOKUP(MOD(B1452,28), $T$24:$U$52,2))</f>
        <v>17</v>
      </c>
      <c r="F1452" s="16" t="n">
        <f aca="false">IF($B1452=-1, -1, VLOOKUP(C1452,$T$1:$V$20, 2))</f>
        <v>15</v>
      </c>
      <c r="G1452" s="16" t="n">
        <f aca="false">IF($B1452=-1, -1, VLOOKUP(D1452,$Y$1:$Z$22,2))</f>
        <v>4</v>
      </c>
      <c r="H1452" s="16" t="str">
        <f aca="false">_xlfn.UNICHAR(((F1452*21)+G1452)*28+44032)</f>
        <v>커</v>
      </c>
      <c r="I1452" s="16" t="n">
        <f aca="false">IF(B1452=-1, 1, COUNTIF($A$2:$A$3000, H1452))</f>
        <v>1</v>
      </c>
      <c r="J1452" s="10" t="str">
        <f aca="false">_xlfn.CONCAT(A1452, ",",H1452,",",I1452)</f>
        <v>옵,커,1</v>
      </c>
      <c r="K1452" s="16" t="n">
        <f aca="false">IF(B1452=-1,-1,VLOOKUP(C1452,$T$1:$V$20,3))</f>
        <v>15</v>
      </c>
      <c r="L1452" s="16" t="n">
        <f aca="false">IF(B1452=-1,-1,VLOOKUP(D1452,$Y$1:$AA$22,3))</f>
        <v>8</v>
      </c>
      <c r="N1452" s="10" t="str">
        <f aca="false">_xlfn.UNICHAR(((C1452*21)+G1452)*28+44032)</f>
        <v>어</v>
      </c>
      <c r="O1452" s="10" t="str">
        <f aca="false">_xlfn.UNICHAR(((F1452*21)+D1452)*28+44032)</f>
        <v>코</v>
      </c>
      <c r="P1452" s="12" t="n">
        <f aca="false">COUNTIF($A$2:$A$3000, N1452) + COUNTIF($A$2:$A$3000, O1452)</f>
        <v>2</v>
      </c>
      <c r="Q1452" s="16" t="str">
        <f aca="false">IF(OR(B1452=-1,I1452=0, P1452&lt;&gt;2), "albhed_dummy", _xlfn.CONCAT("albhed ", RIGHT("  " &amp; K1452,2),", ", RIGHT("  " &amp; L1452,2), ", " ,"""",H1452,""", ", """",N1452,""", ","""",O1452,""""," ; ", A1452))</f>
        <v>albhed 15,  8, "커", "어", "코" ; 옵</v>
      </c>
    </row>
    <row r="1453" customFormat="false" ht="17.9" hidden="false" customHeight="true" outlineLevel="0" collapsed="false">
      <c r="A1453" s="16" t="s">
        <v>2315</v>
      </c>
      <c r="B1453" s="16" t="n">
        <f aca="false">IF(_xlfn.UNICODE(A1453)&lt;44032,-1,_xlfn.UNICODE(A1453)-44032)</f>
        <v>6711</v>
      </c>
      <c r="C1453" s="16" t="n">
        <f aca="false">IF(B1453=-1,-1,INT((B1453/28)/21))</f>
        <v>11</v>
      </c>
      <c r="D1453" s="16" t="n">
        <f aca="false">IF(B1453=-1, -1, MOD(INT(B1453/28),21))</f>
        <v>8</v>
      </c>
      <c r="E1453" s="16" t="n">
        <f aca="false">IF(B1453=-1, -1, VLOOKUP(MOD(B1453,28), $T$24:$U$52,2))</f>
        <v>19</v>
      </c>
      <c r="F1453" s="16" t="n">
        <f aca="false">IF($B1453=-1, -1, VLOOKUP(C1453,$T$1:$V$20, 2))</f>
        <v>15</v>
      </c>
      <c r="G1453" s="16" t="n">
        <f aca="false">IF($B1453=-1, -1, VLOOKUP(D1453,$Y$1:$Z$22,2))</f>
        <v>4</v>
      </c>
      <c r="H1453" s="16" t="str">
        <f aca="false">_xlfn.UNICHAR(((F1453*21)+G1453)*28+44032)</f>
        <v>커</v>
      </c>
      <c r="I1453" s="16" t="n">
        <f aca="false">IF(B1453=-1, 1, COUNTIF($A$2:$A$3000, H1453))</f>
        <v>1</v>
      </c>
      <c r="J1453" s="10" t="str">
        <f aca="false">_xlfn.CONCAT(A1453, ",",H1453,",",I1453)</f>
        <v>옷,커,1</v>
      </c>
      <c r="K1453" s="16" t="n">
        <f aca="false">IF(B1453=-1,-1,VLOOKUP(C1453,$T$1:$V$20,3))</f>
        <v>15</v>
      </c>
      <c r="L1453" s="16" t="n">
        <f aca="false">IF(B1453=-1,-1,VLOOKUP(D1453,$Y$1:$AA$22,3))</f>
        <v>8</v>
      </c>
      <c r="N1453" s="10" t="str">
        <f aca="false">_xlfn.UNICHAR(((C1453*21)+G1453)*28+44032)</f>
        <v>어</v>
      </c>
      <c r="O1453" s="10" t="str">
        <f aca="false">_xlfn.UNICHAR(((F1453*21)+D1453)*28+44032)</f>
        <v>코</v>
      </c>
      <c r="P1453" s="12" t="n">
        <f aca="false">COUNTIF($A$2:$A$3000, N1453) + COUNTIF($A$2:$A$3000, O1453)</f>
        <v>2</v>
      </c>
      <c r="Q1453" s="16" t="str">
        <f aca="false">IF(OR(B1453=-1,I1453=0, P1453&lt;&gt;2), "albhed_dummy", _xlfn.CONCAT("albhed ", RIGHT("  " &amp; K1453,2),", ", RIGHT("  " &amp; L1453,2), ", " ,"""",H1453,""", ", """",N1453,""", ","""",O1453,""""," ; ", A1453))</f>
        <v>albhed 15,  8, "커", "어", "코" ; 옷</v>
      </c>
    </row>
    <row r="1454" customFormat="false" ht="17.9" hidden="false" customHeight="true" outlineLevel="0" collapsed="false">
      <c r="A1454" s="16" t="s">
        <v>2316</v>
      </c>
      <c r="B1454" s="16" t="n">
        <f aca="false">IF(_xlfn.UNICODE(A1454)&lt;44032,-1,_xlfn.UNICODE(A1454)-44032)</f>
        <v>6713</v>
      </c>
      <c r="C1454" s="16" t="n">
        <f aca="false">IF(B1454=-1,-1,INT((B1454/28)/21))</f>
        <v>11</v>
      </c>
      <c r="D1454" s="16" t="n">
        <f aca="false">IF(B1454=-1, -1, MOD(INT(B1454/28),21))</f>
        <v>8</v>
      </c>
      <c r="E1454" s="16" t="n">
        <f aca="false">IF(B1454=-1, -1, VLOOKUP(MOD(B1454,28), $T$24:$U$52,2))</f>
        <v>21</v>
      </c>
      <c r="F1454" s="16" t="n">
        <f aca="false">IF($B1454=-1, -1, VLOOKUP(C1454,$T$1:$V$20, 2))</f>
        <v>15</v>
      </c>
      <c r="G1454" s="16" t="n">
        <f aca="false">IF($B1454=-1, -1, VLOOKUP(D1454,$Y$1:$Z$22,2))</f>
        <v>4</v>
      </c>
      <c r="H1454" s="16" t="str">
        <f aca="false">_xlfn.UNICHAR(((F1454*21)+G1454)*28+44032)</f>
        <v>커</v>
      </c>
      <c r="I1454" s="16" t="n">
        <f aca="false">IF(B1454=-1, 1, COUNTIF($A$2:$A$3000, H1454))</f>
        <v>1</v>
      </c>
      <c r="J1454" s="10" t="str">
        <f aca="false">_xlfn.CONCAT(A1454, ",",H1454,",",I1454)</f>
        <v>옹,커,1</v>
      </c>
      <c r="K1454" s="16" t="n">
        <f aca="false">IF(B1454=-1,-1,VLOOKUP(C1454,$T$1:$V$20,3))</f>
        <v>15</v>
      </c>
      <c r="L1454" s="16" t="n">
        <f aca="false">IF(B1454=-1,-1,VLOOKUP(D1454,$Y$1:$AA$22,3))</f>
        <v>8</v>
      </c>
      <c r="N1454" s="10" t="str">
        <f aca="false">_xlfn.UNICHAR(((C1454*21)+G1454)*28+44032)</f>
        <v>어</v>
      </c>
      <c r="O1454" s="10" t="str">
        <f aca="false">_xlfn.UNICHAR(((F1454*21)+D1454)*28+44032)</f>
        <v>코</v>
      </c>
      <c r="P1454" s="12" t="n">
        <f aca="false">COUNTIF($A$2:$A$3000, N1454) + COUNTIF($A$2:$A$3000, O1454)</f>
        <v>2</v>
      </c>
      <c r="Q1454" s="16" t="str">
        <f aca="false">IF(OR(B1454=-1,I1454=0, P1454&lt;&gt;2), "albhed_dummy", _xlfn.CONCAT("albhed ", RIGHT("  " &amp; K1454,2),", ", RIGHT("  " &amp; L1454,2), ", " ,"""",H1454,""", ", """",N1454,""", ","""",O1454,""""," ; ", A1454))</f>
        <v>albhed 15,  8, "커", "어", "코" ; 옹</v>
      </c>
    </row>
    <row r="1455" customFormat="false" ht="17.9" hidden="false" customHeight="true" outlineLevel="0" collapsed="false">
      <c r="A1455" s="16" t="s">
        <v>2317</v>
      </c>
      <c r="B1455" s="16" t="n">
        <f aca="false">IF(_xlfn.UNICODE(A1455)&lt;44032,-1,_xlfn.UNICODE(A1455)-44032)</f>
        <v>6715</v>
      </c>
      <c r="C1455" s="16" t="n">
        <f aca="false">IF(B1455=-1,-1,INT((B1455/28)/21))</f>
        <v>11</v>
      </c>
      <c r="D1455" s="16" t="n">
        <f aca="false">IF(B1455=-1, -1, MOD(INT(B1455/28),21))</f>
        <v>8</v>
      </c>
      <c r="E1455" s="16" t="n">
        <f aca="false">IF(B1455=-1, -1, VLOOKUP(MOD(B1455,28), $T$24:$U$52,2))</f>
        <v>19</v>
      </c>
      <c r="F1455" s="16" t="n">
        <f aca="false">IF($B1455=-1, -1, VLOOKUP(C1455,$T$1:$V$20, 2))</f>
        <v>15</v>
      </c>
      <c r="G1455" s="16" t="n">
        <f aca="false">IF($B1455=-1, -1, VLOOKUP(D1455,$Y$1:$Z$22,2))</f>
        <v>4</v>
      </c>
      <c r="H1455" s="16" t="str">
        <f aca="false">_xlfn.UNICHAR(((F1455*21)+G1455)*28+44032)</f>
        <v>커</v>
      </c>
      <c r="I1455" s="16" t="n">
        <f aca="false">IF(B1455=-1, 1, COUNTIF($A$2:$A$3000, H1455))</f>
        <v>1</v>
      </c>
      <c r="J1455" s="10" t="str">
        <f aca="false">_xlfn.CONCAT(A1455, ",",H1455,",",I1455)</f>
        <v>옻,커,1</v>
      </c>
      <c r="K1455" s="16" t="n">
        <f aca="false">IF(B1455=-1,-1,VLOOKUP(C1455,$T$1:$V$20,3))</f>
        <v>15</v>
      </c>
      <c r="L1455" s="16" t="n">
        <f aca="false">IF(B1455=-1,-1,VLOOKUP(D1455,$Y$1:$AA$22,3))</f>
        <v>8</v>
      </c>
      <c r="N1455" s="10" t="str">
        <f aca="false">_xlfn.UNICHAR(((C1455*21)+G1455)*28+44032)</f>
        <v>어</v>
      </c>
      <c r="O1455" s="10" t="str">
        <f aca="false">_xlfn.UNICHAR(((F1455*21)+D1455)*28+44032)</f>
        <v>코</v>
      </c>
      <c r="P1455" s="12" t="n">
        <f aca="false">COUNTIF($A$2:$A$3000, N1455) + COUNTIF($A$2:$A$3000, O1455)</f>
        <v>2</v>
      </c>
      <c r="Q1455" s="16" t="str">
        <f aca="false">IF(OR(B1455=-1,I1455=0, P1455&lt;&gt;2), "albhed_dummy", _xlfn.CONCAT("albhed ", RIGHT("  " &amp; K1455,2),", ", RIGHT("  " &amp; L1455,2), ", " ,"""",H1455,""", ", """",N1455,""", ","""",O1455,""""," ; ", A1455))</f>
        <v>albhed 15,  8, "커", "어", "코" ; 옻</v>
      </c>
    </row>
    <row r="1456" customFormat="false" ht="17.9" hidden="false" customHeight="true" outlineLevel="0" collapsed="false">
      <c r="A1456" s="16" t="s">
        <v>821</v>
      </c>
      <c r="B1456" s="16" t="n">
        <f aca="false">IF(_xlfn.UNICODE(A1456)&lt;44032,-1,_xlfn.UNICODE(A1456)-44032)</f>
        <v>6720</v>
      </c>
      <c r="C1456" s="16" t="n">
        <f aca="false">IF(B1456=-1,-1,INT((B1456/28)/21))</f>
        <v>11</v>
      </c>
      <c r="D1456" s="16" t="n">
        <f aca="false">IF(B1456=-1, -1, MOD(INT(B1456/28),21))</f>
        <v>9</v>
      </c>
      <c r="E1456" s="16" t="n">
        <f aca="false">IF(B1456=-1, -1, VLOOKUP(MOD(B1456,28), $T$24:$U$52,2))</f>
        <v>0</v>
      </c>
      <c r="F1456" s="16" t="n">
        <f aca="false">IF($B1456=-1, -1, VLOOKUP(C1456,$T$1:$V$20, 2))</f>
        <v>15</v>
      </c>
      <c r="G1456" s="16" t="n">
        <f aca="false">IF($B1456=-1, -1, VLOOKUP(D1456,$Y$1:$Z$22,2))</f>
        <v>20</v>
      </c>
      <c r="H1456" s="16" t="str">
        <f aca="false">_xlfn.UNICHAR(((F1456*21)+G1456)*28+44032)</f>
        <v>키</v>
      </c>
      <c r="I1456" s="16" t="n">
        <f aca="false">IF(B1456=-1, 1, COUNTIF($A$2:$A$3000, H1456))</f>
        <v>1</v>
      </c>
      <c r="J1456" s="10" t="str">
        <f aca="false">_xlfn.CONCAT(A1456, ",",H1456,",",I1456)</f>
        <v>와,키,1</v>
      </c>
      <c r="K1456" s="16" t="n">
        <f aca="false">IF(B1456=-1,-1,VLOOKUP(C1456,$T$1:$V$20,3))</f>
        <v>15</v>
      </c>
      <c r="L1456" s="16" t="n">
        <f aca="false">IF(B1456=-1,-1,VLOOKUP(D1456,$Y$1:$AA$22,3))</f>
        <v>12</v>
      </c>
      <c r="N1456" s="10" t="str">
        <f aca="false">_xlfn.UNICHAR(((C1456*21)+G1456)*28+44032)</f>
        <v>이</v>
      </c>
      <c r="O1456" s="10" t="str">
        <f aca="false">_xlfn.UNICHAR(((F1456*21)+D1456)*28+44032)</f>
        <v>콰</v>
      </c>
      <c r="P1456" s="12" t="n">
        <f aca="false">COUNTIF($A$2:$A$3000, N1456) + COUNTIF($A$2:$A$3000, O1456)</f>
        <v>2</v>
      </c>
      <c r="Q1456" s="16" t="str">
        <f aca="false">IF(OR(B1456=-1,I1456=0, P1456&lt;&gt;2), "albhed_dummy", _xlfn.CONCAT("albhed ", RIGHT("  " &amp; K1456,2),", ", RIGHT("  " &amp; L1456,2), ", " ,"""",H1456,""", ", """",N1456,""", ","""",O1456,""""," ; ", A1456))</f>
        <v>albhed 15, 12, "키", "이", "콰" ; 와</v>
      </c>
    </row>
    <row r="1457" customFormat="false" ht="17.9" hidden="false" customHeight="true" outlineLevel="0" collapsed="false">
      <c r="A1457" s="16" t="s">
        <v>2318</v>
      </c>
      <c r="B1457" s="16" t="n">
        <f aca="false">IF(_xlfn.UNICODE(A1457)&lt;44032,-1,_xlfn.UNICODE(A1457)-44032)</f>
        <v>6721</v>
      </c>
      <c r="C1457" s="16" t="n">
        <f aca="false">IF(B1457=-1,-1,INT((B1457/28)/21))</f>
        <v>11</v>
      </c>
      <c r="D1457" s="16" t="n">
        <f aca="false">IF(B1457=-1, -1, MOD(INT(B1457/28),21))</f>
        <v>9</v>
      </c>
      <c r="E1457" s="16" t="n">
        <f aca="false">IF(B1457=-1, -1, VLOOKUP(MOD(B1457,28), $T$24:$U$52,2))</f>
        <v>1</v>
      </c>
      <c r="F1457" s="16" t="n">
        <f aca="false">IF($B1457=-1, -1, VLOOKUP(C1457,$T$1:$V$20, 2))</f>
        <v>15</v>
      </c>
      <c r="G1457" s="16" t="n">
        <f aca="false">IF($B1457=-1, -1, VLOOKUP(D1457,$Y$1:$Z$22,2))</f>
        <v>20</v>
      </c>
      <c r="H1457" s="16" t="str">
        <f aca="false">_xlfn.UNICHAR(((F1457*21)+G1457)*28+44032)</f>
        <v>키</v>
      </c>
      <c r="I1457" s="16" t="n">
        <f aca="false">IF(B1457=-1, 1, COUNTIF($A$2:$A$3000, H1457))</f>
        <v>1</v>
      </c>
      <c r="J1457" s="10" t="str">
        <f aca="false">_xlfn.CONCAT(A1457, ",",H1457,",",I1457)</f>
        <v>왁,키,1</v>
      </c>
      <c r="K1457" s="16" t="n">
        <f aca="false">IF(B1457=-1,-1,VLOOKUP(C1457,$T$1:$V$20,3))</f>
        <v>15</v>
      </c>
      <c r="L1457" s="16" t="n">
        <f aca="false">IF(B1457=-1,-1,VLOOKUP(D1457,$Y$1:$AA$22,3))</f>
        <v>12</v>
      </c>
      <c r="N1457" s="10" t="str">
        <f aca="false">_xlfn.UNICHAR(((C1457*21)+G1457)*28+44032)</f>
        <v>이</v>
      </c>
      <c r="O1457" s="10" t="str">
        <f aca="false">_xlfn.UNICHAR(((F1457*21)+D1457)*28+44032)</f>
        <v>콰</v>
      </c>
      <c r="P1457" s="12" t="n">
        <f aca="false">COUNTIF($A$2:$A$3000, N1457) + COUNTIF($A$2:$A$3000, O1457)</f>
        <v>2</v>
      </c>
      <c r="Q1457" s="16" t="str">
        <f aca="false">IF(OR(B1457=-1,I1457=0, P1457&lt;&gt;2), "albhed_dummy", _xlfn.CONCAT("albhed ", RIGHT("  " &amp; K1457,2),", ", RIGHT("  " &amp; L1457,2), ", " ,"""",H1457,""", ", """",N1457,""", ","""",O1457,""""," ; ", A1457))</f>
        <v>albhed 15, 12, "키", "이", "콰" ; 왁</v>
      </c>
    </row>
    <row r="1458" customFormat="false" ht="17.9" hidden="false" customHeight="true" outlineLevel="0" collapsed="false">
      <c r="A1458" s="16" t="s">
        <v>2319</v>
      </c>
      <c r="B1458" s="16" t="n">
        <f aca="false">IF(_xlfn.UNICODE(A1458)&lt;44032,-1,_xlfn.UNICODE(A1458)-44032)</f>
        <v>6724</v>
      </c>
      <c r="C1458" s="16" t="n">
        <f aca="false">IF(B1458=-1,-1,INT((B1458/28)/21))</f>
        <v>11</v>
      </c>
      <c r="D1458" s="16" t="n">
        <f aca="false">IF(B1458=-1, -1, MOD(INT(B1458/28),21))</f>
        <v>9</v>
      </c>
      <c r="E1458" s="16" t="n">
        <f aca="false">IF(B1458=-1, -1, VLOOKUP(MOD(B1458,28), $T$24:$U$52,2))</f>
        <v>4</v>
      </c>
      <c r="F1458" s="16" t="n">
        <f aca="false">IF($B1458=-1, -1, VLOOKUP(C1458,$T$1:$V$20, 2))</f>
        <v>15</v>
      </c>
      <c r="G1458" s="16" t="n">
        <f aca="false">IF($B1458=-1, -1, VLOOKUP(D1458,$Y$1:$Z$22,2))</f>
        <v>20</v>
      </c>
      <c r="H1458" s="16" t="str">
        <f aca="false">_xlfn.UNICHAR(((F1458*21)+G1458)*28+44032)</f>
        <v>키</v>
      </c>
      <c r="I1458" s="16" t="n">
        <f aca="false">IF(B1458=-1, 1, COUNTIF($A$2:$A$3000, H1458))</f>
        <v>1</v>
      </c>
      <c r="J1458" s="10" t="str">
        <f aca="false">_xlfn.CONCAT(A1458, ",",H1458,",",I1458)</f>
        <v>완,키,1</v>
      </c>
      <c r="K1458" s="16" t="n">
        <f aca="false">IF(B1458=-1,-1,VLOOKUP(C1458,$T$1:$V$20,3))</f>
        <v>15</v>
      </c>
      <c r="L1458" s="16" t="n">
        <f aca="false">IF(B1458=-1,-1,VLOOKUP(D1458,$Y$1:$AA$22,3))</f>
        <v>12</v>
      </c>
      <c r="N1458" s="10" t="str">
        <f aca="false">_xlfn.UNICHAR(((C1458*21)+G1458)*28+44032)</f>
        <v>이</v>
      </c>
      <c r="O1458" s="10" t="str">
        <f aca="false">_xlfn.UNICHAR(((F1458*21)+D1458)*28+44032)</f>
        <v>콰</v>
      </c>
      <c r="P1458" s="12" t="n">
        <f aca="false">COUNTIF($A$2:$A$3000, N1458) + COUNTIF($A$2:$A$3000, O1458)</f>
        <v>2</v>
      </c>
      <c r="Q1458" s="16" t="str">
        <f aca="false">IF(OR(B1458=-1,I1458=0, P1458&lt;&gt;2), "albhed_dummy", _xlfn.CONCAT("albhed ", RIGHT("  " &amp; K1458,2),", ", RIGHT("  " &amp; L1458,2), ", " ,"""",H1458,""", ", """",N1458,""", ","""",O1458,""""," ; ", A1458))</f>
        <v>albhed 15, 12, "키", "이", "콰" ; 완</v>
      </c>
    </row>
    <row r="1459" customFormat="false" ht="17.9" hidden="false" customHeight="true" outlineLevel="0" collapsed="false">
      <c r="A1459" s="16" t="s">
        <v>2320</v>
      </c>
      <c r="B1459" s="16" t="n">
        <f aca="false">IF(_xlfn.UNICODE(A1459)&lt;44032,-1,_xlfn.UNICODE(A1459)-44032)</f>
        <v>6728</v>
      </c>
      <c r="C1459" s="16" t="n">
        <f aca="false">IF(B1459=-1,-1,INT((B1459/28)/21))</f>
        <v>11</v>
      </c>
      <c r="D1459" s="16" t="n">
        <f aca="false">IF(B1459=-1, -1, MOD(INT(B1459/28),21))</f>
        <v>9</v>
      </c>
      <c r="E1459" s="16" t="n">
        <f aca="false">IF(B1459=-1, -1, VLOOKUP(MOD(B1459,28), $T$24:$U$52,2))</f>
        <v>8</v>
      </c>
      <c r="F1459" s="16" t="n">
        <f aca="false">IF($B1459=-1, -1, VLOOKUP(C1459,$T$1:$V$20, 2))</f>
        <v>15</v>
      </c>
      <c r="G1459" s="16" t="n">
        <f aca="false">IF($B1459=-1, -1, VLOOKUP(D1459,$Y$1:$Z$22,2))</f>
        <v>20</v>
      </c>
      <c r="H1459" s="16" t="str">
        <f aca="false">_xlfn.UNICHAR(((F1459*21)+G1459)*28+44032)</f>
        <v>키</v>
      </c>
      <c r="I1459" s="16" t="n">
        <f aca="false">IF(B1459=-1, 1, COUNTIF($A$2:$A$3000, H1459))</f>
        <v>1</v>
      </c>
      <c r="J1459" s="10" t="str">
        <f aca="false">_xlfn.CONCAT(A1459, ",",H1459,",",I1459)</f>
        <v>왈,키,1</v>
      </c>
      <c r="K1459" s="16" t="n">
        <f aca="false">IF(B1459=-1,-1,VLOOKUP(C1459,$T$1:$V$20,3))</f>
        <v>15</v>
      </c>
      <c r="L1459" s="16" t="n">
        <f aca="false">IF(B1459=-1,-1,VLOOKUP(D1459,$Y$1:$AA$22,3))</f>
        <v>12</v>
      </c>
      <c r="N1459" s="10" t="str">
        <f aca="false">_xlfn.UNICHAR(((C1459*21)+G1459)*28+44032)</f>
        <v>이</v>
      </c>
      <c r="O1459" s="10" t="str">
        <f aca="false">_xlfn.UNICHAR(((F1459*21)+D1459)*28+44032)</f>
        <v>콰</v>
      </c>
      <c r="P1459" s="12" t="n">
        <f aca="false">COUNTIF($A$2:$A$3000, N1459) + COUNTIF($A$2:$A$3000, O1459)</f>
        <v>2</v>
      </c>
      <c r="Q1459" s="16" t="str">
        <f aca="false">IF(OR(B1459=-1,I1459=0, P1459&lt;&gt;2), "albhed_dummy", _xlfn.CONCAT("albhed ", RIGHT("  " &amp; K1459,2),", ", RIGHT("  " &amp; L1459,2), ", " ,"""",H1459,""", ", """",N1459,""", ","""",O1459,""""," ; ", A1459))</f>
        <v>albhed 15, 12, "키", "이", "콰" ; 왈</v>
      </c>
    </row>
    <row r="1460" customFormat="false" ht="17.9" hidden="false" customHeight="true" outlineLevel="0" collapsed="false">
      <c r="A1460" s="16" t="s">
        <v>2321</v>
      </c>
      <c r="B1460" s="16" t="n">
        <f aca="false">IF(_xlfn.UNICODE(A1460)&lt;44032,-1,_xlfn.UNICODE(A1460)-44032)</f>
        <v>6736</v>
      </c>
      <c r="C1460" s="16" t="n">
        <f aca="false">IF(B1460=-1,-1,INT((B1460/28)/21))</f>
        <v>11</v>
      </c>
      <c r="D1460" s="16" t="n">
        <f aca="false">IF(B1460=-1, -1, MOD(INT(B1460/28),21))</f>
        <v>9</v>
      </c>
      <c r="E1460" s="16" t="n">
        <f aca="false">IF(B1460=-1, -1, VLOOKUP(MOD(B1460,28), $T$24:$U$52,2))</f>
        <v>16</v>
      </c>
      <c r="F1460" s="16" t="n">
        <f aca="false">IF($B1460=-1, -1, VLOOKUP(C1460,$T$1:$V$20, 2))</f>
        <v>15</v>
      </c>
      <c r="G1460" s="16" t="n">
        <f aca="false">IF($B1460=-1, -1, VLOOKUP(D1460,$Y$1:$Z$22,2))</f>
        <v>20</v>
      </c>
      <c r="H1460" s="16" t="str">
        <f aca="false">_xlfn.UNICHAR(((F1460*21)+G1460)*28+44032)</f>
        <v>키</v>
      </c>
      <c r="I1460" s="16" t="n">
        <f aca="false">IF(B1460=-1, 1, COUNTIF($A$2:$A$3000, H1460))</f>
        <v>1</v>
      </c>
      <c r="J1460" s="10" t="str">
        <f aca="false">_xlfn.CONCAT(A1460, ",",H1460,",",I1460)</f>
        <v>왐,키,1</v>
      </c>
      <c r="K1460" s="16" t="n">
        <f aca="false">IF(B1460=-1,-1,VLOOKUP(C1460,$T$1:$V$20,3))</f>
        <v>15</v>
      </c>
      <c r="L1460" s="16" t="n">
        <f aca="false">IF(B1460=-1,-1,VLOOKUP(D1460,$Y$1:$AA$22,3))</f>
        <v>12</v>
      </c>
      <c r="N1460" s="10" t="str">
        <f aca="false">_xlfn.UNICHAR(((C1460*21)+G1460)*28+44032)</f>
        <v>이</v>
      </c>
      <c r="O1460" s="10" t="str">
        <f aca="false">_xlfn.UNICHAR(((F1460*21)+D1460)*28+44032)</f>
        <v>콰</v>
      </c>
      <c r="P1460" s="12" t="n">
        <f aca="false">COUNTIF($A$2:$A$3000, N1460) + COUNTIF($A$2:$A$3000, O1460)</f>
        <v>2</v>
      </c>
      <c r="Q1460" s="16" t="str">
        <f aca="false">IF(OR(B1460=-1,I1460=0, P1460&lt;&gt;2), "albhed_dummy", _xlfn.CONCAT("albhed ", RIGHT("  " &amp; K1460,2),", ", RIGHT("  " &amp; L1460,2), ", " ,"""",H1460,""", ", """",N1460,""", ","""",O1460,""""," ; ", A1460))</f>
        <v>albhed 15, 12, "키", "이", "콰" ; 왐</v>
      </c>
    </row>
    <row r="1461" customFormat="false" ht="17.9" hidden="false" customHeight="true" outlineLevel="0" collapsed="false">
      <c r="A1461" s="16" t="s">
        <v>2322</v>
      </c>
      <c r="B1461" s="16" t="n">
        <f aca="false">IF(_xlfn.UNICODE(A1461)&lt;44032,-1,_xlfn.UNICODE(A1461)-44032)</f>
        <v>6737</v>
      </c>
      <c r="C1461" s="16" t="n">
        <f aca="false">IF(B1461=-1,-1,INT((B1461/28)/21))</f>
        <v>11</v>
      </c>
      <c r="D1461" s="16" t="n">
        <f aca="false">IF(B1461=-1, -1, MOD(INT(B1461/28),21))</f>
        <v>9</v>
      </c>
      <c r="E1461" s="16" t="n">
        <f aca="false">IF(B1461=-1, -1, VLOOKUP(MOD(B1461,28), $T$24:$U$52,2))</f>
        <v>17</v>
      </c>
      <c r="F1461" s="16" t="n">
        <f aca="false">IF($B1461=-1, -1, VLOOKUP(C1461,$T$1:$V$20, 2))</f>
        <v>15</v>
      </c>
      <c r="G1461" s="16" t="n">
        <f aca="false">IF($B1461=-1, -1, VLOOKUP(D1461,$Y$1:$Z$22,2))</f>
        <v>20</v>
      </c>
      <c r="H1461" s="16" t="str">
        <f aca="false">_xlfn.UNICHAR(((F1461*21)+G1461)*28+44032)</f>
        <v>키</v>
      </c>
      <c r="I1461" s="16" t="n">
        <f aca="false">IF(B1461=-1, 1, COUNTIF($A$2:$A$3000, H1461))</f>
        <v>1</v>
      </c>
      <c r="J1461" s="10" t="str">
        <f aca="false">_xlfn.CONCAT(A1461, ",",H1461,",",I1461)</f>
        <v>왑,키,1</v>
      </c>
      <c r="K1461" s="16" t="n">
        <f aca="false">IF(B1461=-1,-1,VLOOKUP(C1461,$T$1:$V$20,3))</f>
        <v>15</v>
      </c>
      <c r="L1461" s="16" t="n">
        <f aca="false">IF(B1461=-1,-1,VLOOKUP(D1461,$Y$1:$AA$22,3))</f>
        <v>12</v>
      </c>
      <c r="N1461" s="10" t="str">
        <f aca="false">_xlfn.UNICHAR(((C1461*21)+G1461)*28+44032)</f>
        <v>이</v>
      </c>
      <c r="O1461" s="10" t="str">
        <f aca="false">_xlfn.UNICHAR(((F1461*21)+D1461)*28+44032)</f>
        <v>콰</v>
      </c>
      <c r="P1461" s="12" t="n">
        <f aca="false">COUNTIF($A$2:$A$3000, N1461) + COUNTIF($A$2:$A$3000, O1461)</f>
        <v>2</v>
      </c>
      <c r="Q1461" s="16" t="str">
        <f aca="false">IF(OR(B1461=-1,I1461=0, P1461&lt;&gt;2), "albhed_dummy", _xlfn.CONCAT("albhed ", RIGHT("  " &amp; K1461,2),", ", RIGHT("  " &amp; L1461,2), ", " ,"""",H1461,""", ", """",N1461,""", ","""",O1461,""""," ; ", A1461))</f>
        <v>albhed 15, 12, "키", "이", "콰" ; 왑</v>
      </c>
    </row>
    <row r="1462" customFormat="false" ht="17.9" hidden="false" customHeight="true" outlineLevel="0" collapsed="false">
      <c r="A1462" s="16" t="s">
        <v>2323</v>
      </c>
      <c r="B1462" s="16" t="n">
        <f aca="false">IF(_xlfn.UNICODE(A1462)&lt;44032,-1,_xlfn.UNICODE(A1462)-44032)</f>
        <v>6739</v>
      </c>
      <c r="C1462" s="16" t="n">
        <f aca="false">IF(B1462=-1,-1,INT((B1462/28)/21))</f>
        <v>11</v>
      </c>
      <c r="D1462" s="16" t="n">
        <f aca="false">IF(B1462=-1, -1, MOD(INT(B1462/28),21))</f>
        <v>9</v>
      </c>
      <c r="E1462" s="16" t="n">
        <f aca="false">IF(B1462=-1, -1, VLOOKUP(MOD(B1462,28), $T$24:$U$52,2))</f>
        <v>19</v>
      </c>
      <c r="F1462" s="16" t="n">
        <f aca="false">IF($B1462=-1, -1, VLOOKUP(C1462,$T$1:$V$20, 2))</f>
        <v>15</v>
      </c>
      <c r="G1462" s="16" t="n">
        <f aca="false">IF($B1462=-1, -1, VLOOKUP(D1462,$Y$1:$Z$22,2))</f>
        <v>20</v>
      </c>
      <c r="H1462" s="16" t="str">
        <f aca="false">_xlfn.UNICHAR(((F1462*21)+G1462)*28+44032)</f>
        <v>키</v>
      </c>
      <c r="I1462" s="16" t="n">
        <f aca="false">IF(B1462=-1, 1, COUNTIF($A$2:$A$3000, H1462))</f>
        <v>1</v>
      </c>
      <c r="J1462" s="10" t="str">
        <f aca="false">_xlfn.CONCAT(A1462, ",",H1462,",",I1462)</f>
        <v>왓,키,1</v>
      </c>
      <c r="K1462" s="16" t="n">
        <f aca="false">IF(B1462=-1,-1,VLOOKUP(C1462,$T$1:$V$20,3))</f>
        <v>15</v>
      </c>
      <c r="L1462" s="16" t="n">
        <f aca="false">IF(B1462=-1,-1,VLOOKUP(D1462,$Y$1:$AA$22,3))</f>
        <v>12</v>
      </c>
      <c r="N1462" s="10" t="str">
        <f aca="false">_xlfn.UNICHAR(((C1462*21)+G1462)*28+44032)</f>
        <v>이</v>
      </c>
      <c r="O1462" s="10" t="str">
        <f aca="false">_xlfn.UNICHAR(((F1462*21)+D1462)*28+44032)</f>
        <v>콰</v>
      </c>
      <c r="P1462" s="12" t="n">
        <f aca="false">COUNTIF($A$2:$A$3000, N1462) + COUNTIF($A$2:$A$3000, O1462)</f>
        <v>2</v>
      </c>
      <c r="Q1462" s="16" t="str">
        <f aca="false">IF(OR(B1462=-1,I1462=0, P1462&lt;&gt;2), "albhed_dummy", _xlfn.CONCAT("albhed ", RIGHT("  " &amp; K1462,2),", ", RIGHT("  " &amp; L1462,2), ", " ,"""",H1462,""", ", """",N1462,""", ","""",O1462,""""," ; ", A1462))</f>
        <v>albhed 15, 12, "키", "이", "콰" ; 왓</v>
      </c>
    </row>
    <row r="1463" customFormat="false" ht="17.9" hidden="false" customHeight="true" outlineLevel="0" collapsed="false">
      <c r="A1463" s="16" t="s">
        <v>825</v>
      </c>
      <c r="B1463" s="16" t="n">
        <f aca="false">IF(_xlfn.UNICODE(A1463)&lt;44032,-1,_xlfn.UNICODE(A1463)-44032)</f>
        <v>6740</v>
      </c>
      <c r="C1463" s="16" t="n">
        <f aca="false">IF(B1463=-1,-1,INT((B1463/28)/21))</f>
        <v>11</v>
      </c>
      <c r="D1463" s="16" t="n">
        <f aca="false">IF(B1463=-1, -1, MOD(INT(B1463/28),21))</f>
        <v>9</v>
      </c>
      <c r="E1463" s="16" t="n">
        <f aca="false">IF(B1463=-1, -1, VLOOKUP(MOD(B1463,28), $T$24:$U$52,2))</f>
        <v>19</v>
      </c>
      <c r="F1463" s="16" t="n">
        <f aca="false">IF($B1463=-1, -1, VLOOKUP(C1463,$T$1:$V$20, 2))</f>
        <v>15</v>
      </c>
      <c r="G1463" s="16" t="n">
        <f aca="false">IF($B1463=-1, -1, VLOOKUP(D1463,$Y$1:$Z$22,2))</f>
        <v>20</v>
      </c>
      <c r="H1463" s="16" t="str">
        <f aca="false">_xlfn.UNICHAR(((F1463*21)+G1463)*28+44032)</f>
        <v>키</v>
      </c>
      <c r="I1463" s="16" t="n">
        <f aca="false">IF(B1463=-1, 1, COUNTIF($A$2:$A$3000, H1463))</f>
        <v>1</v>
      </c>
      <c r="J1463" s="10" t="str">
        <f aca="false">_xlfn.CONCAT(A1463, ",",H1463,",",I1463)</f>
        <v>왔,키,1</v>
      </c>
      <c r="K1463" s="16" t="n">
        <f aca="false">IF(B1463=-1,-1,VLOOKUP(C1463,$T$1:$V$20,3))</f>
        <v>15</v>
      </c>
      <c r="L1463" s="16" t="n">
        <f aca="false">IF(B1463=-1,-1,VLOOKUP(D1463,$Y$1:$AA$22,3))</f>
        <v>12</v>
      </c>
      <c r="N1463" s="10" t="str">
        <f aca="false">_xlfn.UNICHAR(((C1463*21)+G1463)*28+44032)</f>
        <v>이</v>
      </c>
      <c r="O1463" s="10" t="str">
        <f aca="false">_xlfn.UNICHAR(((F1463*21)+D1463)*28+44032)</f>
        <v>콰</v>
      </c>
      <c r="P1463" s="12" t="n">
        <f aca="false">COUNTIF($A$2:$A$3000, N1463) + COUNTIF($A$2:$A$3000, O1463)</f>
        <v>2</v>
      </c>
      <c r="Q1463" s="16" t="str">
        <f aca="false">IF(OR(B1463=-1,I1463=0, P1463&lt;&gt;2), "albhed_dummy", _xlfn.CONCAT("albhed ", RIGHT("  " &amp; K1463,2),", ", RIGHT("  " &amp; L1463,2), ", " ,"""",H1463,""", ", """",N1463,""", ","""",O1463,""""," ; ", A1463))</f>
        <v>albhed 15, 12, "키", "이", "콰" ; 왔</v>
      </c>
    </row>
    <row r="1464" customFormat="false" ht="17.9" hidden="false" customHeight="true" outlineLevel="0" collapsed="false">
      <c r="A1464" s="16" t="s">
        <v>2324</v>
      </c>
      <c r="B1464" s="16" t="n">
        <f aca="false">IF(_xlfn.UNICODE(A1464)&lt;44032,-1,_xlfn.UNICODE(A1464)-44032)</f>
        <v>6741</v>
      </c>
      <c r="C1464" s="16" t="n">
        <f aca="false">IF(B1464=-1,-1,INT((B1464/28)/21))</f>
        <v>11</v>
      </c>
      <c r="D1464" s="16" t="n">
        <f aca="false">IF(B1464=-1, -1, MOD(INT(B1464/28),21))</f>
        <v>9</v>
      </c>
      <c r="E1464" s="16" t="n">
        <f aca="false">IF(B1464=-1, -1, VLOOKUP(MOD(B1464,28), $T$24:$U$52,2))</f>
        <v>21</v>
      </c>
      <c r="F1464" s="16" t="n">
        <f aca="false">IF($B1464=-1, -1, VLOOKUP(C1464,$T$1:$V$20, 2))</f>
        <v>15</v>
      </c>
      <c r="G1464" s="16" t="n">
        <f aca="false">IF($B1464=-1, -1, VLOOKUP(D1464,$Y$1:$Z$22,2))</f>
        <v>20</v>
      </c>
      <c r="H1464" s="16" t="str">
        <f aca="false">_xlfn.UNICHAR(((F1464*21)+G1464)*28+44032)</f>
        <v>키</v>
      </c>
      <c r="I1464" s="16" t="n">
        <f aca="false">IF(B1464=-1, 1, COUNTIF($A$2:$A$3000, H1464))</f>
        <v>1</v>
      </c>
      <c r="J1464" s="10" t="str">
        <f aca="false">_xlfn.CONCAT(A1464, ",",H1464,",",I1464)</f>
        <v>왕,키,1</v>
      </c>
      <c r="K1464" s="16" t="n">
        <f aca="false">IF(B1464=-1,-1,VLOOKUP(C1464,$T$1:$V$20,3))</f>
        <v>15</v>
      </c>
      <c r="L1464" s="16" t="n">
        <f aca="false">IF(B1464=-1,-1,VLOOKUP(D1464,$Y$1:$AA$22,3))</f>
        <v>12</v>
      </c>
      <c r="N1464" s="10" t="str">
        <f aca="false">_xlfn.UNICHAR(((C1464*21)+G1464)*28+44032)</f>
        <v>이</v>
      </c>
      <c r="O1464" s="10" t="str">
        <f aca="false">_xlfn.UNICHAR(((F1464*21)+D1464)*28+44032)</f>
        <v>콰</v>
      </c>
      <c r="P1464" s="12" t="n">
        <f aca="false">COUNTIF($A$2:$A$3000, N1464) + COUNTIF($A$2:$A$3000, O1464)</f>
        <v>2</v>
      </c>
      <c r="Q1464" s="16" t="str">
        <f aca="false">IF(OR(B1464=-1,I1464=0, P1464&lt;&gt;2), "albhed_dummy", _xlfn.CONCAT("albhed ", RIGHT("  " &amp; K1464,2),", ", RIGHT("  " &amp; L1464,2), ", " ,"""",H1464,""", ", """",N1464,""", ","""",O1464,""""," ; ", A1464))</f>
        <v>albhed 15, 12, "키", "이", "콰" ; 왕</v>
      </c>
    </row>
    <row r="1465" customFormat="false" ht="17.9" hidden="false" customHeight="true" outlineLevel="0" collapsed="false">
      <c r="A1465" s="16" t="s">
        <v>822</v>
      </c>
      <c r="B1465" s="16" t="n">
        <f aca="false">IF(_xlfn.UNICODE(A1465)&lt;44032,-1,_xlfn.UNICODE(A1465)-44032)</f>
        <v>6748</v>
      </c>
      <c r="C1465" s="16" t="n">
        <f aca="false">IF(B1465=-1,-1,INT((B1465/28)/21))</f>
        <v>11</v>
      </c>
      <c r="D1465" s="16" t="n">
        <f aca="false">IF(B1465=-1, -1, MOD(INT(B1465/28),21))</f>
        <v>10</v>
      </c>
      <c r="E1465" s="16" t="n">
        <f aca="false">IF(B1465=-1, -1, VLOOKUP(MOD(B1465,28), $T$24:$U$52,2))</f>
        <v>0</v>
      </c>
      <c r="F1465" s="16" t="n">
        <f aca="false">IF($B1465=-1, -1, VLOOKUP(C1465,$T$1:$V$20, 2))</f>
        <v>15</v>
      </c>
      <c r="G1465" s="16" t="n">
        <f aca="false">IF($B1465=-1, -1, VLOOKUP(D1465,$Y$1:$Z$22,2))</f>
        <v>20</v>
      </c>
      <c r="H1465" s="16" t="str">
        <f aca="false">_xlfn.UNICHAR(((F1465*21)+G1465)*28+44032)</f>
        <v>키</v>
      </c>
      <c r="I1465" s="16" t="n">
        <f aca="false">IF(B1465=-1, 1, COUNTIF($A$2:$A$3000, H1465))</f>
        <v>1</v>
      </c>
      <c r="J1465" s="10" t="str">
        <f aca="false">_xlfn.CONCAT(A1465, ",",H1465,",",I1465)</f>
        <v>왜,키,1</v>
      </c>
      <c r="K1465" s="16" t="n">
        <f aca="false">IF(B1465=-1,-1,VLOOKUP(C1465,$T$1:$V$20,3))</f>
        <v>15</v>
      </c>
      <c r="L1465" s="16" t="n">
        <f aca="false">IF(B1465=-1,-1,VLOOKUP(D1465,$Y$1:$AA$22,3))</f>
        <v>12</v>
      </c>
      <c r="N1465" s="10" t="str">
        <f aca="false">_xlfn.UNICHAR(((C1465*21)+G1465)*28+44032)</f>
        <v>이</v>
      </c>
      <c r="O1465" s="10" t="str">
        <f aca="false">_xlfn.UNICHAR(((F1465*21)+D1465)*28+44032)</f>
        <v>쾌</v>
      </c>
      <c r="P1465" s="12" t="n">
        <f aca="false">COUNTIF($A$2:$A$3000, N1465) + COUNTIF($A$2:$A$3000, O1465)</f>
        <v>2</v>
      </c>
      <c r="Q1465" s="16" t="str">
        <f aca="false">IF(OR(B1465=-1,I1465=0, P1465&lt;&gt;2), "albhed_dummy", _xlfn.CONCAT("albhed ", RIGHT("  " &amp; K1465,2),", ", RIGHT("  " &amp; L1465,2), ", " ,"""",H1465,""", ", """",N1465,""", ","""",O1465,""""," ; ", A1465))</f>
        <v>albhed 15, 12, "키", "이", "쾌" ; 왜</v>
      </c>
    </row>
    <row r="1466" customFormat="false" ht="17.9" hidden="false" customHeight="true" outlineLevel="0" collapsed="false">
      <c r="A1466" s="16" t="s">
        <v>2325</v>
      </c>
      <c r="B1466" s="16" t="n">
        <f aca="false">IF(_xlfn.UNICODE(A1466)&lt;44032,-1,_xlfn.UNICODE(A1466)-44032)</f>
        <v>6749</v>
      </c>
      <c r="C1466" s="16" t="n">
        <f aca="false">IF(B1466=-1,-1,INT((B1466/28)/21))</f>
        <v>11</v>
      </c>
      <c r="D1466" s="16" t="n">
        <f aca="false">IF(B1466=-1, -1, MOD(INT(B1466/28),21))</f>
        <v>10</v>
      </c>
      <c r="E1466" s="16" t="n">
        <f aca="false">IF(B1466=-1, -1, VLOOKUP(MOD(B1466,28), $T$24:$U$52,2))</f>
        <v>1</v>
      </c>
      <c r="F1466" s="16" t="n">
        <f aca="false">IF($B1466=-1, -1, VLOOKUP(C1466,$T$1:$V$20, 2))</f>
        <v>15</v>
      </c>
      <c r="G1466" s="16" t="n">
        <f aca="false">IF($B1466=-1, -1, VLOOKUP(D1466,$Y$1:$Z$22,2))</f>
        <v>20</v>
      </c>
      <c r="H1466" s="16" t="str">
        <f aca="false">_xlfn.UNICHAR(((F1466*21)+G1466)*28+44032)</f>
        <v>키</v>
      </c>
      <c r="I1466" s="16" t="n">
        <f aca="false">IF(B1466=-1, 1, COUNTIF($A$2:$A$3000, H1466))</f>
        <v>1</v>
      </c>
      <c r="J1466" s="10" t="str">
        <f aca="false">_xlfn.CONCAT(A1466, ",",H1466,",",I1466)</f>
        <v>왝,키,1</v>
      </c>
      <c r="K1466" s="16" t="n">
        <f aca="false">IF(B1466=-1,-1,VLOOKUP(C1466,$T$1:$V$20,3))</f>
        <v>15</v>
      </c>
      <c r="L1466" s="16" t="n">
        <f aca="false">IF(B1466=-1,-1,VLOOKUP(D1466,$Y$1:$AA$22,3))</f>
        <v>12</v>
      </c>
      <c r="N1466" s="10" t="str">
        <f aca="false">_xlfn.UNICHAR(((C1466*21)+G1466)*28+44032)</f>
        <v>이</v>
      </c>
      <c r="O1466" s="10" t="str">
        <f aca="false">_xlfn.UNICHAR(((F1466*21)+D1466)*28+44032)</f>
        <v>쾌</v>
      </c>
      <c r="P1466" s="12" t="n">
        <f aca="false">COUNTIF($A$2:$A$3000, N1466) + COUNTIF($A$2:$A$3000, O1466)</f>
        <v>2</v>
      </c>
      <c r="Q1466" s="16" t="str">
        <f aca="false">IF(OR(B1466=-1,I1466=0, P1466&lt;&gt;2), "albhed_dummy", _xlfn.CONCAT("albhed ", RIGHT("  " &amp; K1466,2),", ", RIGHT("  " &amp; L1466,2), ", " ,"""",H1466,""", ", """",N1466,""", ","""",O1466,""""," ; ", A1466))</f>
        <v>albhed 15, 12, "키", "이", "쾌" ; 왝</v>
      </c>
    </row>
    <row r="1467" customFormat="false" ht="17.9" hidden="false" customHeight="true" outlineLevel="0" collapsed="false">
      <c r="A1467" s="16" t="s">
        <v>2326</v>
      </c>
      <c r="B1467" s="16" t="n">
        <f aca="false">IF(_xlfn.UNICODE(A1467)&lt;44032,-1,_xlfn.UNICODE(A1467)-44032)</f>
        <v>6752</v>
      </c>
      <c r="C1467" s="16" t="n">
        <f aca="false">IF(B1467=-1,-1,INT((B1467/28)/21))</f>
        <v>11</v>
      </c>
      <c r="D1467" s="16" t="n">
        <f aca="false">IF(B1467=-1, -1, MOD(INT(B1467/28),21))</f>
        <v>10</v>
      </c>
      <c r="E1467" s="16" t="n">
        <f aca="false">IF(B1467=-1, -1, VLOOKUP(MOD(B1467,28), $T$24:$U$52,2))</f>
        <v>4</v>
      </c>
      <c r="F1467" s="16" t="n">
        <f aca="false">IF($B1467=-1, -1, VLOOKUP(C1467,$T$1:$V$20, 2))</f>
        <v>15</v>
      </c>
      <c r="G1467" s="16" t="n">
        <f aca="false">IF($B1467=-1, -1, VLOOKUP(D1467,$Y$1:$Z$22,2))</f>
        <v>20</v>
      </c>
      <c r="H1467" s="16" t="str">
        <f aca="false">_xlfn.UNICHAR(((F1467*21)+G1467)*28+44032)</f>
        <v>키</v>
      </c>
      <c r="I1467" s="16" t="n">
        <f aca="false">IF(B1467=-1, 1, COUNTIF($A$2:$A$3000, H1467))</f>
        <v>1</v>
      </c>
      <c r="J1467" s="10" t="str">
        <f aca="false">_xlfn.CONCAT(A1467, ",",H1467,",",I1467)</f>
        <v>왠,키,1</v>
      </c>
      <c r="K1467" s="16" t="n">
        <f aca="false">IF(B1467=-1,-1,VLOOKUP(C1467,$T$1:$V$20,3))</f>
        <v>15</v>
      </c>
      <c r="L1467" s="16" t="n">
        <f aca="false">IF(B1467=-1,-1,VLOOKUP(D1467,$Y$1:$AA$22,3))</f>
        <v>12</v>
      </c>
      <c r="N1467" s="10" t="str">
        <f aca="false">_xlfn.UNICHAR(((C1467*21)+G1467)*28+44032)</f>
        <v>이</v>
      </c>
      <c r="O1467" s="10" t="str">
        <f aca="false">_xlfn.UNICHAR(((F1467*21)+D1467)*28+44032)</f>
        <v>쾌</v>
      </c>
      <c r="P1467" s="12" t="n">
        <f aca="false">COUNTIF($A$2:$A$3000, N1467) + COUNTIF($A$2:$A$3000, O1467)</f>
        <v>2</v>
      </c>
      <c r="Q1467" s="16" t="str">
        <f aca="false">IF(OR(B1467=-1,I1467=0, P1467&lt;&gt;2), "albhed_dummy", _xlfn.CONCAT("albhed ", RIGHT("  " &amp; K1467,2),", ", RIGHT("  " &amp; L1467,2), ", " ,"""",H1467,""", ", """",N1467,""", ","""",O1467,""""," ; ", A1467))</f>
        <v>albhed 15, 12, "키", "이", "쾌" ; 왠</v>
      </c>
    </row>
    <row r="1468" customFormat="false" ht="17.9" hidden="false" customHeight="true" outlineLevel="0" collapsed="false">
      <c r="A1468" s="16" t="s">
        <v>2327</v>
      </c>
      <c r="B1468" s="16" t="n">
        <f aca="false">IF(_xlfn.UNICODE(A1468)&lt;44032,-1,_xlfn.UNICODE(A1468)-44032)</f>
        <v>6764</v>
      </c>
      <c r="C1468" s="16" t="n">
        <f aca="false">IF(B1468=-1,-1,INT((B1468/28)/21))</f>
        <v>11</v>
      </c>
      <c r="D1468" s="16" t="n">
        <f aca="false">IF(B1468=-1, -1, MOD(INT(B1468/28),21))</f>
        <v>10</v>
      </c>
      <c r="E1468" s="16" t="n">
        <f aca="false">IF(B1468=-1, -1, VLOOKUP(MOD(B1468,28), $T$24:$U$52,2))</f>
        <v>16</v>
      </c>
      <c r="F1468" s="16" t="n">
        <f aca="false">IF($B1468=-1, -1, VLOOKUP(C1468,$T$1:$V$20, 2))</f>
        <v>15</v>
      </c>
      <c r="G1468" s="16" t="n">
        <f aca="false">IF($B1468=-1, -1, VLOOKUP(D1468,$Y$1:$Z$22,2))</f>
        <v>20</v>
      </c>
      <c r="H1468" s="16" t="str">
        <f aca="false">_xlfn.UNICHAR(((F1468*21)+G1468)*28+44032)</f>
        <v>키</v>
      </c>
      <c r="I1468" s="16" t="n">
        <f aca="false">IF(B1468=-1, 1, COUNTIF($A$2:$A$3000, H1468))</f>
        <v>1</v>
      </c>
      <c r="J1468" s="10" t="str">
        <f aca="false">_xlfn.CONCAT(A1468, ",",H1468,",",I1468)</f>
        <v>왬,키,1</v>
      </c>
      <c r="K1468" s="16" t="n">
        <f aca="false">IF(B1468=-1,-1,VLOOKUP(C1468,$T$1:$V$20,3))</f>
        <v>15</v>
      </c>
      <c r="L1468" s="16" t="n">
        <f aca="false">IF(B1468=-1,-1,VLOOKUP(D1468,$Y$1:$AA$22,3))</f>
        <v>12</v>
      </c>
      <c r="N1468" s="10" t="str">
        <f aca="false">_xlfn.UNICHAR(((C1468*21)+G1468)*28+44032)</f>
        <v>이</v>
      </c>
      <c r="O1468" s="10" t="str">
        <f aca="false">_xlfn.UNICHAR(((F1468*21)+D1468)*28+44032)</f>
        <v>쾌</v>
      </c>
      <c r="P1468" s="12" t="n">
        <f aca="false">COUNTIF($A$2:$A$3000, N1468) + COUNTIF($A$2:$A$3000, O1468)</f>
        <v>2</v>
      </c>
      <c r="Q1468" s="16" t="str">
        <f aca="false">IF(OR(B1468=-1,I1468=0, P1468&lt;&gt;2), "albhed_dummy", _xlfn.CONCAT("albhed ", RIGHT("  " &amp; K1468,2),", ", RIGHT("  " &amp; L1468,2), ", " ,"""",H1468,""", ", """",N1468,""", ","""",O1468,""""," ; ", A1468))</f>
        <v>albhed 15, 12, "키", "이", "쾌" ; 왬</v>
      </c>
    </row>
    <row r="1469" customFormat="false" ht="17.9" hidden="false" customHeight="true" outlineLevel="0" collapsed="false">
      <c r="A1469" s="16" t="s">
        <v>2328</v>
      </c>
      <c r="B1469" s="16" t="n">
        <f aca="false">IF(_xlfn.UNICODE(A1469)&lt;44032,-1,_xlfn.UNICODE(A1469)-44032)</f>
        <v>6767</v>
      </c>
      <c r="C1469" s="16" t="n">
        <f aca="false">IF(B1469=-1,-1,INT((B1469/28)/21))</f>
        <v>11</v>
      </c>
      <c r="D1469" s="16" t="n">
        <f aca="false">IF(B1469=-1, -1, MOD(INT(B1469/28),21))</f>
        <v>10</v>
      </c>
      <c r="E1469" s="16" t="n">
        <f aca="false">IF(B1469=-1, -1, VLOOKUP(MOD(B1469,28), $T$24:$U$52,2))</f>
        <v>19</v>
      </c>
      <c r="F1469" s="16" t="n">
        <f aca="false">IF($B1469=-1, -1, VLOOKUP(C1469,$T$1:$V$20, 2))</f>
        <v>15</v>
      </c>
      <c r="G1469" s="16" t="n">
        <f aca="false">IF($B1469=-1, -1, VLOOKUP(D1469,$Y$1:$Z$22,2))</f>
        <v>20</v>
      </c>
      <c r="H1469" s="16" t="str">
        <f aca="false">_xlfn.UNICHAR(((F1469*21)+G1469)*28+44032)</f>
        <v>키</v>
      </c>
      <c r="I1469" s="16" t="n">
        <f aca="false">IF(B1469=-1, 1, COUNTIF($A$2:$A$3000, H1469))</f>
        <v>1</v>
      </c>
      <c r="J1469" s="10" t="str">
        <f aca="false">_xlfn.CONCAT(A1469, ",",H1469,",",I1469)</f>
        <v>왯,키,1</v>
      </c>
      <c r="K1469" s="16" t="n">
        <f aca="false">IF(B1469=-1,-1,VLOOKUP(C1469,$T$1:$V$20,3))</f>
        <v>15</v>
      </c>
      <c r="L1469" s="16" t="n">
        <f aca="false">IF(B1469=-1,-1,VLOOKUP(D1469,$Y$1:$AA$22,3))</f>
        <v>12</v>
      </c>
      <c r="N1469" s="10" t="str">
        <f aca="false">_xlfn.UNICHAR(((C1469*21)+G1469)*28+44032)</f>
        <v>이</v>
      </c>
      <c r="O1469" s="10" t="str">
        <f aca="false">_xlfn.UNICHAR(((F1469*21)+D1469)*28+44032)</f>
        <v>쾌</v>
      </c>
      <c r="P1469" s="12" t="n">
        <f aca="false">COUNTIF($A$2:$A$3000, N1469) + COUNTIF($A$2:$A$3000, O1469)</f>
        <v>2</v>
      </c>
      <c r="Q1469" s="16" t="str">
        <f aca="false">IF(OR(B1469=-1,I1469=0, P1469&lt;&gt;2), "albhed_dummy", _xlfn.CONCAT("albhed ", RIGHT("  " &amp; K1469,2),", ", RIGHT("  " &amp; L1469,2), ", " ,"""",H1469,""", ", """",N1469,""", ","""",O1469,""""," ; ", A1469))</f>
        <v>albhed 15, 12, "키", "이", "쾌" ; 왯</v>
      </c>
    </row>
    <row r="1470" customFormat="false" ht="17.9" hidden="false" customHeight="true" outlineLevel="0" collapsed="false">
      <c r="A1470" s="16" t="s">
        <v>2329</v>
      </c>
      <c r="B1470" s="16" t="n">
        <f aca="false">IF(_xlfn.UNICODE(A1470)&lt;44032,-1,_xlfn.UNICODE(A1470)-44032)</f>
        <v>6769</v>
      </c>
      <c r="C1470" s="16" t="n">
        <f aca="false">IF(B1470=-1,-1,INT((B1470/28)/21))</f>
        <v>11</v>
      </c>
      <c r="D1470" s="16" t="n">
        <f aca="false">IF(B1470=-1, -1, MOD(INT(B1470/28),21))</f>
        <v>10</v>
      </c>
      <c r="E1470" s="16" t="n">
        <f aca="false">IF(B1470=-1, -1, VLOOKUP(MOD(B1470,28), $T$24:$U$52,2))</f>
        <v>21</v>
      </c>
      <c r="F1470" s="16" t="n">
        <f aca="false">IF($B1470=-1, -1, VLOOKUP(C1470,$T$1:$V$20, 2))</f>
        <v>15</v>
      </c>
      <c r="G1470" s="16" t="n">
        <f aca="false">IF($B1470=-1, -1, VLOOKUP(D1470,$Y$1:$Z$22,2))</f>
        <v>20</v>
      </c>
      <c r="H1470" s="16" t="str">
        <f aca="false">_xlfn.UNICHAR(((F1470*21)+G1470)*28+44032)</f>
        <v>키</v>
      </c>
      <c r="I1470" s="16" t="n">
        <f aca="false">IF(B1470=-1, 1, COUNTIF($A$2:$A$3000, H1470))</f>
        <v>1</v>
      </c>
      <c r="J1470" s="10" t="str">
        <f aca="false">_xlfn.CONCAT(A1470, ",",H1470,",",I1470)</f>
        <v>왱,키,1</v>
      </c>
      <c r="K1470" s="16" t="n">
        <f aca="false">IF(B1470=-1,-1,VLOOKUP(C1470,$T$1:$V$20,3))</f>
        <v>15</v>
      </c>
      <c r="L1470" s="16" t="n">
        <f aca="false">IF(B1470=-1,-1,VLOOKUP(D1470,$Y$1:$AA$22,3))</f>
        <v>12</v>
      </c>
      <c r="N1470" s="10" t="str">
        <f aca="false">_xlfn.UNICHAR(((C1470*21)+G1470)*28+44032)</f>
        <v>이</v>
      </c>
      <c r="O1470" s="10" t="str">
        <f aca="false">_xlfn.UNICHAR(((F1470*21)+D1470)*28+44032)</f>
        <v>쾌</v>
      </c>
      <c r="P1470" s="12" t="n">
        <f aca="false">COUNTIF($A$2:$A$3000, N1470) + COUNTIF($A$2:$A$3000, O1470)</f>
        <v>2</v>
      </c>
      <c r="Q1470" s="16" t="str">
        <f aca="false">IF(OR(B1470=-1,I1470=0, P1470&lt;&gt;2), "albhed_dummy", _xlfn.CONCAT("albhed ", RIGHT("  " &amp; K1470,2),", ", RIGHT("  " &amp; L1470,2), ", " ,"""",H1470,""", ", """",N1470,""", ","""",O1470,""""," ; ", A1470))</f>
        <v>albhed 15, 12, "키", "이", "쾌" ; 왱</v>
      </c>
    </row>
    <row r="1471" customFormat="false" ht="17.9" hidden="false" customHeight="true" outlineLevel="0" collapsed="false">
      <c r="A1471" s="16" t="s">
        <v>2330</v>
      </c>
      <c r="B1471" s="16" t="n">
        <f aca="false">IF(_xlfn.UNICODE(A1471)&lt;44032,-1,_xlfn.UNICODE(A1471)-44032)</f>
        <v>6776</v>
      </c>
      <c r="C1471" s="16" t="n">
        <f aca="false">IF(B1471=-1,-1,INT((B1471/28)/21))</f>
        <v>11</v>
      </c>
      <c r="D1471" s="16" t="n">
        <f aca="false">IF(B1471=-1, -1, MOD(INT(B1471/28),21))</f>
        <v>11</v>
      </c>
      <c r="E1471" s="16" t="n">
        <f aca="false">IF(B1471=-1, -1, VLOOKUP(MOD(B1471,28), $T$24:$U$52,2))</f>
        <v>0</v>
      </c>
      <c r="F1471" s="16" t="n">
        <f aca="false">IF($B1471=-1, -1, VLOOKUP(C1471,$T$1:$V$20, 2))</f>
        <v>15</v>
      </c>
      <c r="G1471" s="16" t="n">
        <f aca="false">IF($B1471=-1, -1, VLOOKUP(D1471,$Y$1:$Z$22,2))</f>
        <v>20</v>
      </c>
      <c r="H1471" s="16" t="str">
        <f aca="false">_xlfn.UNICHAR(((F1471*21)+G1471)*28+44032)</f>
        <v>키</v>
      </c>
      <c r="I1471" s="16" t="n">
        <f aca="false">IF(B1471=-1, 1, COUNTIF($A$2:$A$3000, H1471))</f>
        <v>1</v>
      </c>
      <c r="J1471" s="10" t="str">
        <f aca="false">_xlfn.CONCAT(A1471, ",",H1471,",",I1471)</f>
        <v>외,키,1</v>
      </c>
      <c r="K1471" s="16" t="n">
        <f aca="false">IF(B1471=-1,-1,VLOOKUP(C1471,$T$1:$V$20,3))</f>
        <v>15</v>
      </c>
      <c r="L1471" s="16" t="n">
        <f aca="false">IF(B1471=-1,-1,VLOOKUP(D1471,$Y$1:$AA$22,3))</f>
        <v>22</v>
      </c>
      <c r="N1471" s="10" t="str">
        <f aca="false">_xlfn.UNICHAR(((C1471*21)+G1471)*28+44032)</f>
        <v>이</v>
      </c>
      <c r="O1471" s="10" t="str">
        <f aca="false">_xlfn.UNICHAR(((F1471*21)+D1471)*28+44032)</f>
        <v>쾨</v>
      </c>
      <c r="P1471" s="12" t="n">
        <f aca="false">COUNTIF($A$2:$A$3000, N1471) + COUNTIF($A$2:$A$3000, O1471)</f>
        <v>2</v>
      </c>
      <c r="Q1471" s="16" t="str">
        <f aca="false">IF(OR(B1471=-1,I1471=0, P1471&lt;&gt;2), "albhed_dummy", _xlfn.CONCAT("albhed ", RIGHT("  " &amp; K1471,2),", ", RIGHT("  " &amp; L1471,2), ", " ,"""",H1471,""", ", """",N1471,""", ","""",O1471,""""," ; ", A1471))</f>
        <v>albhed 15, 22, "키", "이", "쾨" ; 외</v>
      </c>
    </row>
    <row r="1472" customFormat="false" ht="17.9" hidden="false" customHeight="true" outlineLevel="0" collapsed="false">
      <c r="A1472" s="16" t="s">
        <v>2331</v>
      </c>
      <c r="B1472" s="16" t="n">
        <f aca="false">IF(_xlfn.UNICODE(A1472)&lt;44032,-1,_xlfn.UNICODE(A1472)-44032)</f>
        <v>6777</v>
      </c>
      <c r="C1472" s="16" t="n">
        <f aca="false">IF(B1472=-1,-1,INT((B1472/28)/21))</f>
        <v>11</v>
      </c>
      <c r="D1472" s="16" t="n">
        <f aca="false">IF(B1472=-1, -1, MOD(INT(B1472/28),21))</f>
        <v>11</v>
      </c>
      <c r="E1472" s="16" t="n">
        <f aca="false">IF(B1472=-1, -1, VLOOKUP(MOD(B1472,28), $T$24:$U$52,2))</f>
        <v>1</v>
      </c>
      <c r="F1472" s="16" t="n">
        <f aca="false">IF($B1472=-1, -1, VLOOKUP(C1472,$T$1:$V$20, 2))</f>
        <v>15</v>
      </c>
      <c r="G1472" s="16" t="n">
        <f aca="false">IF($B1472=-1, -1, VLOOKUP(D1472,$Y$1:$Z$22,2))</f>
        <v>20</v>
      </c>
      <c r="H1472" s="16" t="str">
        <f aca="false">_xlfn.UNICHAR(((F1472*21)+G1472)*28+44032)</f>
        <v>키</v>
      </c>
      <c r="I1472" s="16" t="n">
        <f aca="false">IF(B1472=-1, 1, COUNTIF($A$2:$A$3000, H1472))</f>
        <v>1</v>
      </c>
      <c r="J1472" s="10" t="str">
        <f aca="false">_xlfn.CONCAT(A1472, ",",H1472,",",I1472)</f>
        <v>왹,키,1</v>
      </c>
      <c r="K1472" s="16" t="n">
        <f aca="false">IF(B1472=-1,-1,VLOOKUP(C1472,$T$1:$V$20,3))</f>
        <v>15</v>
      </c>
      <c r="L1472" s="16" t="n">
        <f aca="false">IF(B1472=-1,-1,VLOOKUP(D1472,$Y$1:$AA$22,3))</f>
        <v>22</v>
      </c>
      <c r="N1472" s="10" t="str">
        <f aca="false">_xlfn.UNICHAR(((C1472*21)+G1472)*28+44032)</f>
        <v>이</v>
      </c>
      <c r="O1472" s="10" t="str">
        <f aca="false">_xlfn.UNICHAR(((F1472*21)+D1472)*28+44032)</f>
        <v>쾨</v>
      </c>
      <c r="P1472" s="12" t="n">
        <f aca="false">COUNTIF($A$2:$A$3000, N1472) + COUNTIF($A$2:$A$3000, O1472)</f>
        <v>2</v>
      </c>
      <c r="Q1472" s="16" t="str">
        <f aca="false">IF(OR(B1472=-1,I1472=0, P1472&lt;&gt;2), "albhed_dummy", _xlfn.CONCAT("albhed ", RIGHT("  " &amp; K1472,2),", ", RIGHT("  " &amp; L1472,2), ", " ,"""",H1472,""", ", """",N1472,""", ","""",O1472,""""," ; ", A1472))</f>
        <v>albhed 15, 22, "키", "이", "쾨" ; 왹</v>
      </c>
    </row>
    <row r="1473" customFormat="false" ht="17.9" hidden="false" customHeight="true" outlineLevel="0" collapsed="false">
      <c r="A1473" s="16" t="s">
        <v>2332</v>
      </c>
      <c r="B1473" s="16" t="n">
        <f aca="false">IF(_xlfn.UNICODE(A1473)&lt;44032,-1,_xlfn.UNICODE(A1473)-44032)</f>
        <v>6780</v>
      </c>
      <c r="C1473" s="16" t="n">
        <f aca="false">IF(B1473=-1,-1,INT((B1473/28)/21))</f>
        <v>11</v>
      </c>
      <c r="D1473" s="16" t="n">
        <f aca="false">IF(B1473=-1, -1, MOD(INT(B1473/28),21))</f>
        <v>11</v>
      </c>
      <c r="E1473" s="16" t="n">
        <f aca="false">IF(B1473=-1, -1, VLOOKUP(MOD(B1473,28), $T$24:$U$52,2))</f>
        <v>4</v>
      </c>
      <c r="F1473" s="16" t="n">
        <f aca="false">IF($B1473=-1, -1, VLOOKUP(C1473,$T$1:$V$20, 2))</f>
        <v>15</v>
      </c>
      <c r="G1473" s="16" t="n">
        <f aca="false">IF($B1473=-1, -1, VLOOKUP(D1473,$Y$1:$Z$22,2))</f>
        <v>20</v>
      </c>
      <c r="H1473" s="16" t="str">
        <f aca="false">_xlfn.UNICHAR(((F1473*21)+G1473)*28+44032)</f>
        <v>키</v>
      </c>
      <c r="I1473" s="16" t="n">
        <f aca="false">IF(B1473=-1, 1, COUNTIF($A$2:$A$3000, H1473))</f>
        <v>1</v>
      </c>
      <c r="J1473" s="10" t="str">
        <f aca="false">_xlfn.CONCAT(A1473, ",",H1473,",",I1473)</f>
        <v>왼,키,1</v>
      </c>
      <c r="K1473" s="16" t="n">
        <f aca="false">IF(B1473=-1,-1,VLOOKUP(C1473,$T$1:$V$20,3))</f>
        <v>15</v>
      </c>
      <c r="L1473" s="16" t="n">
        <f aca="false">IF(B1473=-1,-1,VLOOKUP(D1473,$Y$1:$AA$22,3))</f>
        <v>22</v>
      </c>
      <c r="N1473" s="10" t="str">
        <f aca="false">_xlfn.UNICHAR(((C1473*21)+G1473)*28+44032)</f>
        <v>이</v>
      </c>
      <c r="O1473" s="10" t="str">
        <f aca="false">_xlfn.UNICHAR(((F1473*21)+D1473)*28+44032)</f>
        <v>쾨</v>
      </c>
      <c r="P1473" s="12" t="n">
        <f aca="false">COUNTIF($A$2:$A$3000, N1473) + COUNTIF($A$2:$A$3000, O1473)</f>
        <v>2</v>
      </c>
      <c r="Q1473" s="16" t="str">
        <f aca="false">IF(OR(B1473=-1,I1473=0, P1473&lt;&gt;2), "albhed_dummy", _xlfn.CONCAT("albhed ", RIGHT("  " &amp; K1473,2),", ", RIGHT("  " &amp; L1473,2), ", " ,"""",H1473,""", ", """",N1473,""", ","""",O1473,""""," ; ", A1473))</f>
        <v>albhed 15, 22, "키", "이", "쾨" ; 왼</v>
      </c>
    </row>
    <row r="1474" customFormat="false" ht="17.9" hidden="false" customHeight="true" outlineLevel="0" collapsed="false">
      <c r="A1474" s="16" t="s">
        <v>2333</v>
      </c>
      <c r="B1474" s="16" t="n">
        <f aca="false">IF(_xlfn.UNICODE(A1474)&lt;44032,-1,_xlfn.UNICODE(A1474)-44032)</f>
        <v>6784</v>
      </c>
      <c r="C1474" s="16" t="n">
        <f aca="false">IF(B1474=-1,-1,INT((B1474/28)/21))</f>
        <v>11</v>
      </c>
      <c r="D1474" s="16" t="n">
        <f aca="false">IF(B1474=-1, -1, MOD(INT(B1474/28),21))</f>
        <v>11</v>
      </c>
      <c r="E1474" s="16" t="n">
        <f aca="false">IF(B1474=-1, -1, VLOOKUP(MOD(B1474,28), $T$24:$U$52,2))</f>
        <v>8</v>
      </c>
      <c r="F1474" s="16" t="n">
        <f aca="false">IF($B1474=-1, -1, VLOOKUP(C1474,$T$1:$V$20, 2))</f>
        <v>15</v>
      </c>
      <c r="G1474" s="16" t="n">
        <f aca="false">IF($B1474=-1, -1, VLOOKUP(D1474,$Y$1:$Z$22,2))</f>
        <v>20</v>
      </c>
      <c r="H1474" s="16" t="str">
        <f aca="false">_xlfn.UNICHAR(((F1474*21)+G1474)*28+44032)</f>
        <v>키</v>
      </c>
      <c r="I1474" s="16" t="n">
        <f aca="false">IF(B1474=-1, 1, COUNTIF($A$2:$A$3000, H1474))</f>
        <v>1</v>
      </c>
      <c r="J1474" s="10" t="str">
        <f aca="false">_xlfn.CONCAT(A1474, ",",H1474,",",I1474)</f>
        <v>욀,키,1</v>
      </c>
      <c r="K1474" s="16" t="n">
        <f aca="false">IF(B1474=-1,-1,VLOOKUP(C1474,$T$1:$V$20,3))</f>
        <v>15</v>
      </c>
      <c r="L1474" s="16" t="n">
        <f aca="false">IF(B1474=-1,-1,VLOOKUP(D1474,$Y$1:$AA$22,3))</f>
        <v>22</v>
      </c>
      <c r="N1474" s="10" t="str">
        <f aca="false">_xlfn.UNICHAR(((C1474*21)+G1474)*28+44032)</f>
        <v>이</v>
      </c>
      <c r="O1474" s="10" t="str">
        <f aca="false">_xlfn.UNICHAR(((F1474*21)+D1474)*28+44032)</f>
        <v>쾨</v>
      </c>
      <c r="P1474" s="12" t="n">
        <f aca="false">COUNTIF($A$2:$A$3000, N1474) + COUNTIF($A$2:$A$3000, O1474)</f>
        <v>2</v>
      </c>
      <c r="Q1474" s="16" t="str">
        <f aca="false">IF(OR(B1474=-1,I1474=0, P1474&lt;&gt;2), "albhed_dummy", _xlfn.CONCAT("albhed ", RIGHT("  " &amp; K1474,2),", ", RIGHT("  " &amp; L1474,2), ", " ,"""",H1474,""", ", """",N1474,""", ","""",O1474,""""," ; ", A1474))</f>
        <v>albhed 15, 22, "키", "이", "쾨" ; 욀</v>
      </c>
    </row>
    <row r="1475" customFormat="false" ht="17.9" hidden="false" customHeight="true" outlineLevel="0" collapsed="false">
      <c r="A1475" s="16" t="s">
        <v>2334</v>
      </c>
      <c r="B1475" s="16" t="n">
        <f aca="false">IF(_xlfn.UNICODE(A1475)&lt;44032,-1,_xlfn.UNICODE(A1475)-44032)</f>
        <v>6792</v>
      </c>
      <c r="C1475" s="16" t="n">
        <f aca="false">IF(B1475=-1,-1,INT((B1475/28)/21))</f>
        <v>11</v>
      </c>
      <c r="D1475" s="16" t="n">
        <f aca="false">IF(B1475=-1, -1, MOD(INT(B1475/28),21))</f>
        <v>11</v>
      </c>
      <c r="E1475" s="16" t="n">
        <f aca="false">IF(B1475=-1, -1, VLOOKUP(MOD(B1475,28), $T$24:$U$52,2))</f>
        <v>16</v>
      </c>
      <c r="F1475" s="16" t="n">
        <f aca="false">IF($B1475=-1, -1, VLOOKUP(C1475,$T$1:$V$20, 2))</f>
        <v>15</v>
      </c>
      <c r="G1475" s="16" t="n">
        <f aca="false">IF($B1475=-1, -1, VLOOKUP(D1475,$Y$1:$Z$22,2))</f>
        <v>20</v>
      </c>
      <c r="H1475" s="16" t="str">
        <f aca="false">_xlfn.UNICHAR(((F1475*21)+G1475)*28+44032)</f>
        <v>키</v>
      </c>
      <c r="I1475" s="16" t="n">
        <f aca="false">IF(B1475=-1, 1, COUNTIF($A$2:$A$3000, H1475))</f>
        <v>1</v>
      </c>
      <c r="J1475" s="10" t="str">
        <f aca="false">_xlfn.CONCAT(A1475, ",",H1475,",",I1475)</f>
        <v>욈,키,1</v>
      </c>
      <c r="K1475" s="16" t="n">
        <f aca="false">IF(B1475=-1,-1,VLOOKUP(C1475,$T$1:$V$20,3))</f>
        <v>15</v>
      </c>
      <c r="L1475" s="16" t="n">
        <f aca="false">IF(B1475=-1,-1,VLOOKUP(D1475,$Y$1:$AA$22,3))</f>
        <v>22</v>
      </c>
      <c r="N1475" s="10" t="str">
        <f aca="false">_xlfn.UNICHAR(((C1475*21)+G1475)*28+44032)</f>
        <v>이</v>
      </c>
      <c r="O1475" s="10" t="str">
        <f aca="false">_xlfn.UNICHAR(((F1475*21)+D1475)*28+44032)</f>
        <v>쾨</v>
      </c>
      <c r="P1475" s="12" t="n">
        <f aca="false">COUNTIF($A$2:$A$3000, N1475) + COUNTIF($A$2:$A$3000, O1475)</f>
        <v>2</v>
      </c>
      <c r="Q1475" s="16" t="str">
        <f aca="false">IF(OR(B1475=-1,I1475=0, P1475&lt;&gt;2), "albhed_dummy", _xlfn.CONCAT("albhed ", RIGHT("  " &amp; K1475,2),", ", RIGHT("  " &amp; L1475,2), ", " ,"""",H1475,""", ", """",N1475,""", ","""",O1475,""""," ; ", A1475))</f>
        <v>albhed 15, 22, "키", "이", "쾨" ; 욈</v>
      </c>
    </row>
    <row r="1476" customFormat="false" ht="17.9" hidden="false" customHeight="true" outlineLevel="0" collapsed="false">
      <c r="A1476" s="16" t="s">
        <v>2335</v>
      </c>
      <c r="B1476" s="16" t="n">
        <f aca="false">IF(_xlfn.UNICODE(A1476)&lt;44032,-1,_xlfn.UNICODE(A1476)-44032)</f>
        <v>6793</v>
      </c>
      <c r="C1476" s="16" t="n">
        <f aca="false">IF(B1476=-1,-1,INT((B1476/28)/21))</f>
        <v>11</v>
      </c>
      <c r="D1476" s="16" t="n">
        <f aca="false">IF(B1476=-1, -1, MOD(INT(B1476/28),21))</f>
        <v>11</v>
      </c>
      <c r="E1476" s="16" t="n">
        <f aca="false">IF(B1476=-1, -1, VLOOKUP(MOD(B1476,28), $T$24:$U$52,2))</f>
        <v>17</v>
      </c>
      <c r="F1476" s="16" t="n">
        <f aca="false">IF($B1476=-1, -1, VLOOKUP(C1476,$T$1:$V$20, 2))</f>
        <v>15</v>
      </c>
      <c r="G1476" s="16" t="n">
        <f aca="false">IF($B1476=-1, -1, VLOOKUP(D1476,$Y$1:$Z$22,2))</f>
        <v>20</v>
      </c>
      <c r="H1476" s="16" t="str">
        <f aca="false">_xlfn.UNICHAR(((F1476*21)+G1476)*28+44032)</f>
        <v>키</v>
      </c>
      <c r="I1476" s="16" t="n">
        <f aca="false">IF(B1476=-1, 1, COUNTIF($A$2:$A$3000, H1476))</f>
        <v>1</v>
      </c>
      <c r="J1476" s="10" t="str">
        <f aca="false">_xlfn.CONCAT(A1476, ",",H1476,",",I1476)</f>
        <v>욉,키,1</v>
      </c>
      <c r="K1476" s="16" t="n">
        <f aca="false">IF(B1476=-1,-1,VLOOKUP(C1476,$T$1:$V$20,3))</f>
        <v>15</v>
      </c>
      <c r="L1476" s="16" t="n">
        <f aca="false">IF(B1476=-1,-1,VLOOKUP(D1476,$Y$1:$AA$22,3))</f>
        <v>22</v>
      </c>
      <c r="N1476" s="10" t="str">
        <f aca="false">_xlfn.UNICHAR(((C1476*21)+G1476)*28+44032)</f>
        <v>이</v>
      </c>
      <c r="O1476" s="10" t="str">
        <f aca="false">_xlfn.UNICHAR(((F1476*21)+D1476)*28+44032)</f>
        <v>쾨</v>
      </c>
      <c r="P1476" s="12" t="n">
        <f aca="false">COUNTIF($A$2:$A$3000, N1476) + COUNTIF($A$2:$A$3000, O1476)</f>
        <v>2</v>
      </c>
      <c r="Q1476" s="16" t="str">
        <f aca="false">IF(OR(B1476=-1,I1476=0, P1476&lt;&gt;2), "albhed_dummy", _xlfn.CONCAT("albhed ", RIGHT("  " &amp; K1476,2),", ", RIGHT("  " &amp; L1476,2), ", " ,"""",H1476,""", ", """",N1476,""", ","""",O1476,""""," ; ", A1476))</f>
        <v>albhed 15, 22, "키", "이", "쾨" ; 욉</v>
      </c>
    </row>
    <row r="1477" customFormat="false" ht="17.9" hidden="false" customHeight="true" outlineLevel="0" collapsed="false">
      <c r="A1477" s="16" t="s">
        <v>2336</v>
      </c>
      <c r="B1477" s="16" t="n">
        <f aca="false">IF(_xlfn.UNICODE(A1477)&lt;44032,-1,_xlfn.UNICODE(A1477)-44032)</f>
        <v>6795</v>
      </c>
      <c r="C1477" s="16" t="n">
        <f aca="false">IF(B1477=-1,-1,INT((B1477/28)/21))</f>
        <v>11</v>
      </c>
      <c r="D1477" s="16" t="n">
        <f aca="false">IF(B1477=-1, -1, MOD(INT(B1477/28),21))</f>
        <v>11</v>
      </c>
      <c r="E1477" s="16" t="n">
        <f aca="false">IF(B1477=-1, -1, VLOOKUP(MOD(B1477,28), $T$24:$U$52,2))</f>
        <v>19</v>
      </c>
      <c r="F1477" s="16" t="n">
        <f aca="false">IF($B1477=-1, -1, VLOOKUP(C1477,$T$1:$V$20, 2))</f>
        <v>15</v>
      </c>
      <c r="G1477" s="16" t="n">
        <f aca="false">IF($B1477=-1, -1, VLOOKUP(D1477,$Y$1:$Z$22,2))</f>
        <v>20</v>
      </c>
      <c r="H1477" s="16" t="str">
        <f aca="false">_xlfn.UNICHAR(((F1477*21)+G1477)*28+44032)</f>
        <v>키</v>
      </c>
      <c r="I1477" s="16" t="n">
        <f aca="false">IF(B1477=-1, 1, COUNTIF($A$2:$A$3000, H1477))</f>
        <v>1</v>
      </c>
      <c r="J1477" s="10" t="str">
        <f aca="false">_xlfn.CONCAT(A1477, ",",H1477,",",I1477)</f>
        <v>욋,키,1</v>
      </c>
      <c r="K1477" s="16" t="n">
        <f aca="false">IF(B1477=-1,-1,VLOOKUP(C1477,$T$1:$V$20,3))</f>
        <v>15</v>
      </c>
      <c r="L1477" s="16" t="n">
        <f aca="false">IF(B1477=-1,-1,VLOOKUP(D1477,$Y$1:$AA$22,3))</f>
        <v>22</v>
      </c>
      <c r="N1477" s="10" t="str">
        <f aca="false">_xlfn.UNICHAR(((C1477*21)+G1477)*28+44032)</f>
        <v>이</v>
      </c>
      <c r="O1477" s="10" t="str">
        <f aca="false">_xlfn.UNICHAR(((F1477*21)+D1477)*28+44032)</f>
        <v>쾨</v>
      </c>
      <c r="P1477" s="12" t="n">
        <f aca="false">COUNTIF($A$2:$A$3000, N1477) + COUNTIF($A$2:$A$3000, O1477)</f>
        <v>2</v>
      </c>
      <c r="Q1477" s="16" t="str">
        <f aca="false">IF(OR(B1477=-1,I1477=0, P1477&lt;&gt;2), "albhed_dummy", _xlfn.CONCAT("albhed ", RIGHT("  " &amp; K1477,2),", ", RIGHT("  " &amp; L1477,2), ", " ,"""",H1477,""", ", """",N1477,""", ","""",O1477,""""," ; ", A1477))</f>
        <v>albhed 15, 22, "키", "이", "쾨" ; 욋</v>
      </c>
    </row>
    <row r="1478" customFormat="false" ht="17.9" hidden="false" customHeight="true" outlineLevel="0" collapsed="false">
      <c r="A1478" s="16" t="s">
        <v>2337</v>
      </c>
      <c r="B1478" s="16" t="n">
        <f aca="false">IF(_xlfn.UNICODE(A1478)&lt;44032,-1,_xlfn.UNICODE(A1478)-44032)</f>
        <v>6797</v>
      </c>
      <c r="C1478" s="16" t="n">
        <f aca="false">IF(B1478=-1,-1,INT((B1478/28)/21))</f>
        <v>11</v>
      </c>
      <c r="D1478" s="16" t="n">
        <f aca="false">IF(B1478=-1, -1, MOD(INT(B1478/28),21))</f>
        <v>11</v>
      </c>
      <c r="E1478" s="16" t="n">
        <f aca="false">IF(B1478=-1, -1, VLOOKUP(MOD(B1478,28), $T$24:$U$52,2))</f>
        <v>21</v>
      </c>
      <c r="F1478" s="16" t="n">
        <f aca="false">IF($B1478=-1, -1, VLOOKUP(C1478,$T$1:$V$20, 2))</f>
        <v>15</v>
      </c>
      <c r="G1478" s="16" t="n">
        <f aca="false">IF($B1478=-1, -1, VLOOKUP(D1478,$Y$1:$Z$22,2))</f>
        <v>20</v>
      </c>
      <c r="H1478" s="16" t="str">
        <f aca="false">_xlfn.UNICHAR(((F1478*21)+G1478)*28+44032)</f>
        <v>키</v>
      </c>
      <c r="I1478" s="16" t="n">
        <f aca="false">IF(B1478=-1, 1, COUNTIF($A$2:$A$3000, H1478))</f>
        <v>1</v>
      </c>
      <c r="J1478" s="10" t="str">
        <f aca="false">_xlfn.CONCAT(A1478, ",",H1478,",",I1478)</f>
        <v>욍,키,1</v>
      </c>
      <c r="K1478" s="16" t="n">
        <f aca="false">IF(B1478=-1,-1,VLOOKUP(C1478,$T$1:$V$20,3))</f>
        <v>15</v>
      </c>
      <c r="L1478" s="16" t="n">
        <f aca="false">IF(B1478=-1,-1,VLOOKUP(D1478,$Y$1:$AA$22,3))</f>
        <v>22</v>
      </c>
      <c r="N1478" s="10" t="str">
        <f aca="false">_xlfn.UNICHAR(((C1478*21)+G1478)*28+44032)</f>
        <v>이</v>
      </c>
      <c r="O1478" s="10" t="str">
        <f aca="false">_xlfn.UNICHAR(((F1478*21)+D1478)*28+44032)</f>
        <v>쾨</v>
      </c>
      <c r="P1478" s="12" t="n">
        <f aca="false">COUNTIF($A$2:$A$3000, N1478) + COUNTIF($A$2:$A$3000, O1478)</f>
        <v>2</v>
      </c>
      <c r="Q1478" s="16" t="str">
        <f aca="false">IF(OR(B1478=-1,I1478=0, P1478&lt;&gt;2), "albhed_dummy", _xlfn.CONCAT("albhed ", RIGHT("  " &amp; K1478,2),", ", RIGHT("  " &amp; L1478,2), ", " ,"""",H1478,""", ", """",N1478,""", ","""",O1478,""""," ; ", A1478))</f>
        <v>albhed 15, 22, "키", "이", "쾨" ; 욍</v>
      </c>
    </row>
    <row r="1479" customFormat="false" ht="17.9" hidden="false" customHeight="true" outlineLevel="0" collapsed="false">
      <c r="A1479" s="16" t="s">
        <v>812</v>
      </c>
      <c r="B1479" s="16" t="n">
        <f aca="false">IF(_xlfn.UNICODE(A1479)&lt;44032,-1,_xlfn.UNICODE(A1479)-44032)</f>
        <v>6804</v>
      </c>
      <c r="C1479" s="16" t="n">
        <f aca="false">IF(B1479=-1,-1,INT((B1479/28)/21))</f>
        <v>11</v>
      </c>
      <c r="D1479" s="16" t="n">
        <f aca="false">IF(B1479=-1, -1, MOD(INT(B1479/28),21))</f>
        <v>12</v>
      </c>
      <c r="E1479" s="16" t="n">
        <f aca="false">IF(B1479=-1, -1, VLOOKUP(MOD(B1479,28), $T$24:$U$52,2))</f>
        <v>0</v>
      </c>
      <c r="F1479" s="16" t="n">
        <f aca="false">IF($B1479=-1, -1, VLOOKUP(C1479,$T$1:$V$20, 2))</f>
        <v>15</v>
      </c>
      <c r="G1479" s="16" t="n">
        <f aca="false">IF($B1479=-1, -1, VLOOKUP(D1479,$Y$1:$Z$22,2))</f>
        <v>6</v>
      </c>
      <c r="H1479" s="16" t="str">
        <f aca="false">_xlfn.UNICHAR(((F1479*21)+G1479)*28+44032)</f>
        <v>켜</v>
      </c>
      <c r="I1479" s="16" t="n">
        <f aca="false">IF(B1479=-1, 1, COUNTIF($A$2:$A$3000, H1479))</f>
        <v>1</v>
      </c>
      <c r="J1479" s="10" t="str">
        <f aca="false">_xlfn.CONCAT(A1479, ",",H1479,",",I1479)</f>
        <v>요,켜,1</v>
      </c>
      <c r="K1479" s="16" t="n">
        <f aca="false">IF(B1479=-1,-1,VLOOKUP(C1479,$T$1:$V$20,3))</f>
        <v>15</v>
      </c>
      <c r="L1479" s="16" t="n">
        <f aca="false">IF(B1479=-1,-1,VLOOKUP(D1479,$Y$1:$AA$22,3))</f>
        <v>8</v>
      </c>
      <c r="N1479" s="10" t="str">
        <f aca="false">_xlfn.UNICHAR(((C1479*21)+G1479)*28+44032)</f>
        <v>여</v>
      </c>
      <c r="O1479" s="10" t="str">
        <f aca="false">_xlfn.UNICHAR(((F1479*21)+D1479)*28+44032)</f>
        <v>쿄</v>
      </c>
      <c r="P1479" s="12" t="n">
        <f aca="false">COUNTIF($A$2:$A$3000, N1479) + COUNTIF($A$2:$A$3000, O1479)</f>
        <v>2</v>
      </c>
      <c r="Q1479" s="16" t="str">
        <f aca="false">IF(OR(B1479=-1,I1479=0, P1479&lt;&gt;2), "albhed_dummy", _xlfn.CONCAT("albhed ", RIGHT("  " &amp; K1479,2),", ", RIGHT("  " &amp; L1479,2), ", " ,"""",H1479,""", ", """",N1479,""", ","""",O1479,""""," ; ", A1479))</f>
        <v>albhed 15,  8, "켜", "여", "쿄" ; 요</v>
      </c>
    </row>
    <row r="1480" customFormat="false" ht="17.9" hidden="false" customHeight="true" outlineLevel="0" collapsed="false">
      <c r="A1480" s="16" t="s">
        <v>2338</v>
      </c>
      <c r="B1480" s="16" t="n">
        <f aca="false">IF(_xlfn.UNICODE(A1480)&lt;44032,-1,_xlfn.UNICODE(A1480)-44032)</f>
        <v>6805</v>
      </c>
      <c r="C1480" s="16" t="n">
        <f aca="false">IF(B1480=-1,-1,INT((B1480/28)/21))</f>
        <v>11</v>
      </c>
      <c r="D1480" s="16" t="n">
        <f aca="false">IF(B1480=-1, -1, MOD(INT(B1480/28),21))</f>
        <v>12</v>
      </c>
      <c r="E1480" s="16" t="n">
        <f aca="false">IF(B1480=-1, -1, VLOOKUP(MOD(B1480,28), $T$24:$U$52,2))</f>
        <v>1</v>
      </c>
      <c r="F1480" s="16" t="n">
        <f aca="false">IF($B1480=-1, -1, VLOOKUP(C1480,$T$1:$V$20, 2))</f>
        <v>15</v>
      </c>
      <c r="G1480" s="16" t="n">
        <f aca="false">IF($B1480=-1, -1, VLOOKUP(D1480,$Y$1:$Z$22,2))</f>
        <v>6</v>
      </c>
      <c r="H1480" s="16" t="str">
        <f aca="false">_xlfn.UNICHAR(((F1480*21)+G1480)*28+44032)</f>
        <v>켜</v>
      </c>
      <c r="I1480" s="16" t="n">
        <f aca="false">IF(B1480=-1, 1, COUNTIF($A$2:$A$3000, H1480))</f>
        <v>1</v>
      </c>
      <c r="J1480" s="10" t="str">
        <f aca="false">_xlfn.CONCAT(A1480, ",",H1480,",",I1480)</f>
        <v>욕,켜,1</v>
      </c>
      <c r="K1480" s="16" t="n">
        <f aca="false">IF(B1480=-1,-1,VLOOKUP(C1480,$T$1:$V$20,3))</f>
        <v>15</v>
      </c>
      <c r="L1480" s="16" t="n">
        <f aca="false">IF(B1480=-1,-1,VLOOKUP(D1480,$Y$1:$AA$22,3))</f>
        <v>8</v>
      </c>
      <c r="N1480" s="10" t="str">
        <f aca="false">_xlfn.UNICHAR(((C1480*21)+G1480)*28+44032)</f>
        <v>여</v>
      </c>
      <c r="O1480" s="10" t="str">
        <f aca="false">_xlfn.UNICHAR(((F1480*21)+D1480)*28+44032)</f>
        <v>쿄</v>
      </c>
      <c r="P1480" s="12" t="n">
        <f aca="false">COUNTIF($A$2:$A$3000, N1480) + COUNTIF($A$2:$A$3000, O1480)</f>
        <v>2</v>
      </c>
      <c r="Q1480" s="16" t="str">
        <f aca="false">IF(OR(B1480=-1,I1480=0, P1480&lt;&gt;2), "albhed_dummy", _xlfn.CONCAT("albhed ", RIGHT("  " &amp; K1480,2),", ", RIGHT("  " &amp; L1480,2), ", " ,"""",H1480,""", ", """",N1480,""", ","""",O1480,""""," ; ", A1480))</f>
        <v>albhed 15,  8, "켜", "여", "쿄" ; 욕</v>
      </c>
    </row>
    <row r="1481" customFormat="false" ht="17.9" hidden="false" customHeight="true" outlineLevel="0" collapsed="false">
      <c r="A1481" s="16" t="s">
        <v>2339</v>
      </c>
      <c r="B1481" s="16" t="n">
        <f aca="false">IF(_xlfn.UNICODE(A1481)&lt;44032,-1,_xlfn.UNICODE(A1481)-44032)</f>
        <v>6808</v>
      </c>
      <c r="C1481" s="16" t="n">
        <f aca="false">IF(B1481=-1,-1,INT((B1481/28)/21))</f>
        <v>11</v>
      </c>
      <c r="D1481" s="16" t="n">
        <f aca="false">IF(B1481=-1, -1, MOD(INT(B1481/28),21))</f>
        <v>12</v>
      </c>
      <c r="E1481" s="16" t="n">
        <f aca="false">IF(B1481=-1, -1, VLOOKUP(MOD(B1481,28), $T$24:$U$52,2))</f>
        <v>4</v>
      </c>
      <c r="F1481" s="16" t="n">
        <f aca="false">IF($B1481=-1, -1, VLOOKUP(C1481,$T$1:$V$20, 2))</f>
        <v>15</v>
      </c>
      <c r="G1481" s="16" t="n">
        <f aca="false">IF($B1481=-1, -1, VLOOKUP(D1481,$Y$1:$Z$22,2))</f>
        <v>6</v>
      </c>
      <c r="H1481" s="16" t="str">
        <f aca="false">_xlfn.UNICHAR(((F1481*21)+G1481)*28+44032)</f>
        <v>켜</v>
      </c>
      <c r="I1481" s="16" t="n">
        <f aca="false">IF(B1481=-1, 1, COUNTIF($A$2:$A$3000, H1481))</f>
        <v>1</v>
      </c>
      <c r="J1481" s="10" t="str">
        <f aca="false">_xlfn.CONCAT(A1481, ",",H1481,",",I1481)</f>
        <v>욘,켜,1</v>
      </c>
      <c r="K1481" s="16" t="n">
        <f aca="false">IF(B1481=-1,-1,VLOOKUP(C1481,$T$1:$V$20,3))</f>
        <v>15</v>
      </c>
      <c r="L1481" s="16" t="n">
        <f aca="false">IF(B1481=-1,-1,VLOOKUP(D1481,$Y$1:$AA$22,3))</f>
        <v>8</v>
      </c>
      <c r="N1481" s="10" t="str">
        <f aca="false">_xlfn.UNICHAR(((C1481*21)+G1481)*28+44032)</f>
        <v>여</v>
      </c>
      <c r="O1481" s="10" t="str">
        <f aca="false">_xlfn.UNICHAR(((F1481*21)+D1481)*28+44032)</f>
        <v>쿄</v>
      </c>
      <c r="P1481" s="12" t="n">
        <f aca="false">COUNTIF($A$2:$A$3000, N1481) + COUNTIF($A$2:$A$3000, O1481)</f>
        <v>2</v>
      </c>
      <c r="Q1481" s="16" t="str">
        <f aca="false">IF(OR(B1481=-1,I1481=0, P1481&lt;&gt;2), "albhed_dummy", _xlfn.CONCAT("albhed ", RIGHT("  " &amp; K1481,2),", ", RIGHT("  " &amp; L1481,2), ", " ,"""",H1481,""", ", """",N1481,""", ","""",O1481,""""," ; ", A1481))</f>
        <v>albhed 15,  8, "켜", "여", "쿄" ; 욘</v>
      </c>
    </row>
    <row r="1482" customFormat="false" ht="17.9" hidden="false" customHeight="true" outlineLevel="0" collapsed="false">
      <c r="A1482" s="16" t="s">
        <v>2340</v>
      </c>
      <c r="B1482" s="16" t="n">
        <f aca="false">IF(_xlfn.UNICODE(A1482)&lt;44032,-1,_xlfn.UNICODE(A1482)-44032)</f>
        <v>6812</v>
      </c>
      <c r="C1482" s="16" t="n">
        <f aca="false">IF(B1482=-1,-1,INT((B1482/28)/21))</f>
        <v>11</v>
      </c>
      <c r="D1482" s="16" t="n">
        <f aca="false">IF(B1482=-1, -1, MOD(INT(B1482/28),21))</f>
        <v>12</v>
      </c>
      <c r="E1482" s="16" t="n">
        <f aca="false">IF(B1482=-1, -1, VLOOKUP(MOD(B1482,28), $T$24:$U$52,2))</f>
        <v>8</v>
      </c>
      <c r="F1482" s="16" t="n">
        <f aca="false">IF($B1482=-1, -1, VLOOKUP(C1482,$T$1:$V$20, 2))</f>
        <v>15</v>
      </c>
      <c r="G1482" s="16" t="n">
        <f aca="false">IF($B1482=-1, -1, VLOOKUP(D1482,$Y$1:$Z$22,2))</f>
        <v>6</v>
      </c>
      <c r="H1482" s="16" t="str">
        <f aca="false">_xlfn.UNICHAR(((F1482*21)+G1482)*28+44032)</f>
        <v>켜</v>
      </c>
      <c r="I1482" s="16" t="n">
        <f aca="false">IF(B1482=-1, 1, COUNTIF($A$2:$A$3000, H1482))</f>
        <v>1</v>
      </c>
      <c r="J1482" s="10" t="str">
        <f aca="false">_xlfn.CONCAT(A1482, ",",H1482,",",I1482)</f>
        <v>욜,켜,1</v>
      </c>
      <c r="K1482" s="16" t="n">
        <f aca="false">IF(B1482=-1,-1,VLOOKUP(C1482,$T$1:$V$20,3))</f>
        <v>15</v>
      </c>
      <c r="L1482" s="16" t="n">
        <f aca="false">IF(B1482=-1,-1,VLOOKUP(D1482,$Y$1:$AA$22,3))</f>
        <v>8</v>
      </c>
      <c r="N1482" s="10" t="str">
        <f aca="false">_xlfn.UNICHAR(((C1482*21)+G1482)*28+44032)</f>
        <v>여</v>
      </c>
      <c r="O1482" s="10" t="str">
        <f aca="false">_xlfn.UNICHAR(((F1482*21)+D1482)*28+44032)</f>
        <v>쿄</v>
      </c>
      <c r="P1482" s="12" t="n">
        <f aca="false">COUNTIF($A$2:$A$3000, N1482) + COUNTIF($A$2:$A$3000, O1482)</f>
        <v>2</v>
      </c>
      <c r="Q1482" s="16" t="str">
        <f aca="false">IF(OR(B1482=-1,I1482=0, P1482&lt;&gt;2), "albhed_dummy", _xlfn.CONCAT("albhed ", RIGHT("  " &amp; K1482,2),", ", RIGHT("  " &amp; L1482,2), ", " ,"""",H1482,""", ", """",N1482,""", ","""",O1482,""""," ; ", A1482))</f>
        <v>albhed 15,  8, "켜", "여", "쿄" ; 욜</v>
      </c>
    </row>
    <row r="1483" customFormat="false" ht="17.9" hidden="false" customHeight="true" outlineLevel="0" collapsed="false">
      <c r="A1483" s="16" t="s">
        <v>2341</v>
      </c>
      <c r="B1483" s="16" t="n">
        <f aca="false">IF(_xlfn.UNICODE(A1483)&lt;44032,-1,_xlfn.UNICODE(A1483)-44032)</f>
        <v>6820</v>
      </c>
      <c r="C1483" s="16" t="n">
        <f aca="false">IF(B1483=-1,-1,INT((B1483/28)/21))</f>
        <v>11</v>
      </c>
      <c r="D1483" s="16" t="n">
        <f aca="false">IF(B1483=-1, -1, MOD(INT(B1483/28),21))</f>
        <v>12</v>
      </c>
      <c r="E1483" s="16" t="n">
        <f aca="false">IF(B1483=-1, -1, VLOOKUP(MOD(B1483,28), $T$24:$U$52,2))</f>
        <v>16</v>
      </c>
      <c r="F1483" s="16" t="n">
        <f aca="false">IF($B1483=-1, -1, VLOOKUP(C1483,$T$1:$V$20, 2))</f>
        <v>15</v>
      </c>
      <c r="G1483" s="16" t="n">
        <f aca="false">IF($B1483=-1, -1, VLOOKUP(D1483,$Y$1:$Z$22,2))</f>
        <v>6</v>
      </c>
      <c r="H1483" s="16" t="str">
        <f aca="false">_xlfn.UNICHAR(((F1483*21)+G1483)*28+44032)</f>
        <v>켜</v>
      </c>
      <c r="I1483" s="16" t="n">
        <f aca="false">IF(B1483=-1, 1, COUNTIF($A$2:$A$3000, H1483))</f>
        <v>1</v>
      </c>
      <c r="J1483" s="10" t="str">
        <f aca="false">_xlfn.CONCAT(A1483, ",",H1483,",",I1483)</f>
        <v>욤,켜,1</v>
      </c>
      <c r="K1483" s="16" t="n">
        <f aca="false">IF(B1483=-1,-1,VLOOKUP(C1483,$T$1:$V$20,3))</f>
        <v>15</v>
      </c>
      <c r="L1483" s="16" t="n">
        <f aca="false">IF(B1483=-1,-1,VLOOKUP(D1483,$Y$1:$AA$22,3))</f>
        <v>8</v>
      </c>
      <c r="N1483" s="10" t="str">
        <f aca="false">_xlfn.UNICHAR(((C1483*21)+G1483)*28+44032)</f>
        <v>여</v>
      </c>
      <c r="O1483" s="10" t="str">
        <f aca="false">_xlfn.UNICHAR(((F1483*21)+D1483)*28+44032)</f>
        <v>쿄</v>
      </c>
      <c r="P1483" s="12" t="n">
        <f aca="false">COUNTIF($A$2:$A$3000, N1483) + COUNTIF($A$2:$A$3000, O1483)</f>
        <v>2</v>
      </c>
      <c r="Q1483" s="16" t="str">
        <f aca="false">IF(OR(B1483=-1,I1483=0, P1483&lt;&gt;2), "albhed_dummy", _xlfn.CONCAT("albhed ", RIGHT("  " &amp; K1483,2),", ", RIGHT("  " &amp; L1483,2), ", " ,"""",H1483,""", ", """",N1483,""", ","""",O1483,""""," ; ", A1483))</f>
        <v>albhed 15,  8, "켜", "여", "쿄" ; 욤</v>
      </c>
    </row>
    <row r="1484" customFormat="false" ht="17.9" hidden="false" customHeight="true" outlineLevel="0" collapsed="false">
      <c r="A1484" s="16" t="s">
        <v>2342</v>
      </c>
      <c r="B1484" s="16" t="n">
        <f aca="false">IF(_xlfn.UNICODE(A1484)&lt;44032,-1,_xlfn.UNICODE(A1484)-44032)</f>
        <v>6821</v>
      </c>
      <c r="C1484" s="16" t="n">
        <f aca="false">IF(B1484=-1,-1,INT((B1484/28)/21))</f>
        <v>11</v>
      </c>
      <c r="D1484" s="16" t="n">
        <f aca="false">IF(B1484=-1, -1, MOD(INT(B1484/28),21))</f>
        <v>12</v>
      </c>
      <c r="E1484" s="16" t="n">
        <f aca="false">IF(B1484=-1, -1, VLOOKUP(MOD(B1484,28), $T$24:$U$52,2))</f>
        <v>17</v>
      </c>
      <c r="F1484" s="16" t="n">
        <f aca="false">IF($B1484=-1, -1, VLOOKUP(C1484,$T$1:$V$20, 2))</f>
        <v>15</v>
      </c>
      <c r="G1484" s="16" t="n">
        <f aca="false">IF($B1484=-1, -1, VLOOKUP(D1484,$Y$1:$Z$22,2))</f>
        <v>6</v>
      </c>
      <c r="H1484" s="16" t="str">
        <f aca="false">_xlfn.UNICHAR(((F1484*21)+G1484)*28+44032)</f>
        <v>켜</v>
      </c>
      <c r="I1484" s="16" t="n">
        <f aca="false">IF(B1484=-1, 1, COUNTIF($A$2:$A$3000, H1484))</f>
        <v>1</v>
      </c>
      <c r="J1484" s="10" t="str">
        <f aca="false">_xlfn.CONCAT(A1484, ",",H1484,",",I1484)</f>
        <v>욥,켜,1</v>
      </c>
      <c r="K1484" s="16" t="n">
        <f aca="false">IF(B1484=-1,-1,VLOOKUP(C1484,$T$1:$V$20,3))</f>
        <v>15</v>
      </c>
      <c r="L1484" s="16" t="n">
        <f aca="false">IF(B1484=-1,-1,VLOOKUP(D1484,$Y$1:$AA$22,3))</f>
        <v>8</v>
      </c>
      <c r="N1484" s="10" t="str">
        <f aca="false">_xlfn.UNICHAR(((C1484*21)+G1484)*28+44032)</f>
        <v>여</v>
      </c>
      <c r="O1484" s="10" t="str">
        <f aca="false">_xlfn.UNICHAR(((F1484*21)+D1484)*28+44032)</f>
        <v>쿄</v>
      </c>
      <c r="P1484" s="12" t="n">
        <f aca="false">COUNTIF($A$2:$A$3000, N1484) + COUNTIF($A$2:$A$3000, O1484)</f>
        <v>2</v>
      </c>
      <c r="Q1484" s="16" t="str">
        <f aca="false">IF(OR(B1484=-1,I1484=0, P1484&lt;&gt;2), "albhed_dummy", _xlfn.CONCAT("albhed ", RIGHT("  " &amp; K1484,2),", ", RIGHT("  " &amp; L1484,2), ", " ,"""",H1484,""", ", """",N1484,""", ","""",O1484,""""," ; ", A1484))</f>
        <v>albhed 15,  8, "켜", "여", "쿄" ; 욥</v>
      </c>
    </row>
    <row r="1485" customFormat="false" ht="17.9" hidden="false" customHeight="true" outlineLevel="0" collapsed="false">
      <c r="A1485" s="16" t="s">
        <v>2343</v>
      </c>
      <c r="B1485" s="16" t="n">
        <f aca="false">IF(_xlfn.UNICODE(A1485)&lt;44032,-1,_xlfn.UNICODE(A1485)-44032)</f>
        <v>6823</v>
      </c>
      <c r="C1485" s="16" t="n">
        <f aca="false">IF(B1485=-1,-1,INT((B1485/28)/21))</f>
        <v>11</v>
      </c>
      <c r="D1485" s="16" t="n">
        <f aca="false">IF(B1485=-1, -1, MOD(INT(B1485/28),21))</f>
        <v>12</v>
      </c>
      <c r="E1485" s="16" t="n">
        <f aca="false">IF(B1485=-1, -1, VLOOKUP(MOD(B1485,28), $T$24:$U$52,2))</f>
        <v>19</v>
      </c>
      <c r="F1485" s="16" t="n">
        <f aca="false">IF($B1485=-1, -1, VLOOKUP(C1485,$T$1:$V$20, 2))</f>
        <v>15</v>
      </c>
      <c r="G1485" s="16" t="n">
        <f aca="false">IF($B1485=-1, -1, VLOOKUP(D1485,$Y$1:$Z$22,2))</f>
        <v>6</v>
      </c>
      <c r="H1485" s="16" t="str">
        <f aca="false">_xlfn.UNICHAR(((F1485*21)+G1485)*28+44032)</f>
        <v>켜</v>
      </c>
      <c r="I1485" s="16" t="n">
        <f aca="false">IF(B1485=-1, 1, COUNTIF($A$2:$A$3000, H1485))</f>
        <v>1</v>
      </c>
      <c r="J1485" s="10" t="str">
        <f aca="false">_xlfn.CONCAT(A1485, ",",H1485,",",I1485)</f>
        <v>욧,켜,1</v>
      </c>
      <c r="K1485" s="16" t="n">
        <f aca="false">IF(B1485=-1,-1,VLOOKUP(C1485,$T$1:$V$20,3))</f>
        <v>15</v>
      </c>
      <c r="L1485" s="16" t="n">
        <f aca="false">IF(B1485=-1,-1,VLOOKUP(D1485,$Y$1:$AA$22,3))</f>
        <v>8</v>
      </c>
      <c r="N1485" s="10" t="str">
        <f aca="false">_xlfn.UNICHAR(((C1485*21)+G1485)*28+44032)</f>
        <v>여</v>
      </c>
      <c r="O1485" s="10" t="str">
        <f aca="false">_xlfn.UNICHAR(((F1485*21)+D1485)*28+44032)</f>
        <v>쿄</v>
      </c>
      <c r="P1485" s="12" t="n">
        <f aca="false">COUNTIF($A$2:$A$3000, N1485) + COUNTIF($A$2:$A$3000, O1485)</f>
        <v>2</v>
      </c>
      <c r="Q1485" s="16" t="str">
        <f aca="false">IF(OR(B1485=-1,I1485=0, P1485&lt;&gt;2), "albhed_dummy", _xlfn.CONCAT("albhed ", RIGHT("  " &amp; K1485,2),", ", RIGHT("  " &amp; L1485,2), ", " ,"""",H1485,""", ", """",N1485,""", ","""",O1485,""""," ; ", A1485))</f>
        <v>albhed 15,  8, "켜", "여", "쿄" ; 욧</v>
      </c>
    </row>
    <row r="1486" customFormat="false" ht="17.9" hidden="false" customHeight="true" outlineLevel="0" collapsed="false">
      <c r="A1486" s="16" t="s">
        <v>2344</v>
      </c>
      <c r="B1486" s="16" t="n">
        <f aca="false">IF(_xlfn.UNICODE(A1486)&lt;44032,-1,_xlfn.UNICODE(A1486)-44032)</f>
        <v>6825</v>
      </c>
      <c r="C1486" s="16" t="n">
        <f aca="false">IF(B1486=-1,-1,INT((B1486/28)/21))</f>
        <v>11</v>
      </c>
      <c r="D1486" s="16" t="n">
        <f aca="false">IF(B1486=-1, -1, MOD(INT(B1486/28),21))</f>
        <v>12</v>
      </c>
      <c r="E1486" s="16" t="n">
        <f aca="false">IF(B1486=-1, -1, VLOOKUP(MOD(B1486,28), $T$24:$U$52,2))</f>
        <v>21</v>
      </c>
      <c r="F1486" s="16" t="n">
        <f aca="false">IF($B1486=-1, -1, VLOOKUP(C1486,$T$1:$V$20, 2))</f>
        <v>15</v>
      </c>
      <c r="G1486" s="16" t="n">
        <f aca="false">IF($B1486=-1, -1, VLOOKUP(D1486,$Y$1:$Z$22,2))</f>
        <v>6</v>
      </c>
      <c r="H1486" s="16" t="str">
        <f aca="false">_xlfn.UNICHAR(((F1486*21)+G1486)*28+44032)</f>
        <v>켜</v>
      </c>
      <c r="I1486" s="16" t="n">
        <f aca="false">IF(B1486=-1, 1, COUNTIF($A$2:$A$3000, H1486))</f>
        <v>1</v>
      </c>
      <c r="J1486" s="10" t="str">
        <f aca="false">_xlfn.CONCAT(A1486, ",",H1486,",",I1486)</f>
        <v>용,켜,1</v>
      </c>
      <c r="K1486" s="16" t="n">
        <f aca="false">IF(B1486=-1,-1,VLOOKUP(C1486,$T$1:$V$20,3))</f>
        <v>15</v>
      </c>
      <c r="L1486" s="16" t="n">
        <f aca="false">IF(B1486=-1,-1,VLOOKUP(D1486,$Y$1:$AA$22,3))</f>
        <v>8</v>
      </c>
      <c r="N1486" s="10" t="str">
        <f aca="false">_xlfn.UNICHAR(((C1486*21)+G1486)*28+44032)</f>
        <v>여</v>
      </c>
      <c r="O1486" s="10" t="str">
        <f aca="false">_xlfn.UNICHAR(((F1486*21)+D1486)*28+44032)</f>
        <v>쿄</v>
      </c>
      <c r="P1486" s="12" t="n">
        <f aca="false">COUNTIF($A$2:$A$3000, N1486) + COUNTIF($A$2:$A$3000, O1486)</f>
        <v>2</v>
      </c>
      <c r="Q1486" s="16" t="str">
        <f aca="false">IF(OR(B1486=-1,I1486=0, P1486&lt;&gt;2), "albhed_dummy", _xlfn.CONCAT("albhed ", RIGHT("  " &amp; K1486,2),", ", RIGHT("  " &amp; L1486,2), ", " ,"""",H1486,""", ", """",N1486,""", ","""",O1486,""""," ; ", A1486))</f>
        <v>albhed 15,  8, "켜", "여", "쿄" ; 용</v>
      </c>
    </row>
    <row r="1487" customFormat="false" ht="17.9" hidden="false" customHeight="true" outlineLevel="0" collapsed="false">
      <c r="A1487" s="16" t="s">
        <v>2345</v>
      </c>
      <c r="B1487" s="16" t="n">
        <f aca="false">IF(_xlfn.UNICODE(A1487)&lt;44032,-1,_xlfn.UNICODE(A1487)-44032)</f>
        <v>6832</v>
      </c>
      <c r="C1487" s="16" t="n">
        <f aca="false">IF(B1487=-1,-1,INT((B1487/28)/21))</f>
        <v>11</v>
      </c>
      <c r="D1487" s="16" t="n">
        <f aca="false">IF(B1487=-1, -1, MOD(INT(B1487/28),21))</f>
        <v>13</v>
      </c>
      <c r="E1487" s="16" t="n">
        <f aca="false">IF(B1487=-1, -1, VLOOKUP(MOD(B1487,28), $T$24:$U$52,2))</f>
        <v>0</v>
      </c>
      <c r="F1487" s="16" t="n">
        <f aca="false">IF($B1487=-1, -1, VLOOKUP(C1487,$T$1:$V$20, 2))</f>
        <v>15</v>
      </c>
      <c r="G1487" s="16" t="n">
        <f aca="false">IF($B1487=-1, -1, VLOOKUP(D1487,$Y$1:$Z$22,2))</f>
        <v>0</v>
      </c>
      <c r="H1487" s="16" t="str">
        <f aca="false">_xlfn.UNICHAR(((F1487*21)+G1487)*28+44032)</f>
        <v>카</v>
      </c>
      <c r="I1487" s="16" t="n">
        <f aca="false">IF(B1487=-1, 1, COUNTIF($A$2:$A$3000, H1487))</f>
        <v>1</v>
      </c>
      <c r="J1487" s="10" t="str">
        <f aca="false">_xlfn.CONCAT(A1487, ",",H1487,",",I1487)</f>
        <v>우,카,1</v>
      </c>
      <c r="K1487" s="16" t="n">
        <f aca="false">IF(B1487=-1,-1,VLOOKUP(C1487,$T$1:$V$20,3))</f>
        <v>15</v>
      </c>
      <c r="L1487" s="16" t="n">
        <f aca="false">IF(B1487=-1,-1,VLOOKUP(D1487,$Y$1:$AA$22,3))</f>
        <v>6</v>
      </c>
      <c r="N1487" s="10" t="str">
        <f aca="false">_xlfn.UNICHAR(((C1487*21)+G1487)*28+44032)</f>
        <v>아</v>
      </c>
      <c r="O1487" s="10" t="str">
        <f aca="false">_xlfn.UNICHAR(((F1487*21)+D1487)*28+44032)</f>
        <v>쿠</v>
      </c>
      <c r="P1487" s="12" t="n">
        <f aca="false">COUNTIF($A$2:$A$3000, N1487) + COUNTIF($A$2:$A$3000, O1487)</f>
        <v>2</v>
      </c>
      <c r="Q1487" s="16" t="str">
        <f aca="false">IF(OR(B1487=-1,I1487=0, P1487&lt;&gt;2), "albhed_dummy", _xlfn.CONCAT("albhed ", RIGHT("  " &amp; K1487,2),", ", RIGHT("  " &amp; L1487,2), ", " ,"""",H1487,""", ", """",N1487,""", ","""",O1487,""""," ; ", A1487))</f>
        <v>albhed 15,  6, "카", "아", "쿠" ; 우</v>
      </c>
    </row>
    <row r="1488" customFormat="false" ht="17.9" hidden="false" customHeight="true" outlineLevel="0" collapsed="false">
      <c r="A1488" s="16" t="s">
        <v>2346</v>
      </c>
      <c r="B1488" s="16" t="n">
        <f aca="false">IF(_xlfn.UNICODE(A1488)&lt;44032,-1,_xlfn.UNICODE(A1488)-44032)</f>
        <v>6833</v>
      </c>
      <c r="C1488" s="16" t="n">
        <f aca="false">IF(B1488=-1,-1,INT((B1488/28)/21))</f>
        <v>11</v>
      </c>
      <c r="D1488" s="16" t="n">
        <f aca="false">IF(B1488=-1, -1, MOD(INT(B1488/28),21))</f>
        <v>13</v>
      </c>
      <c r="E1488" s="16" t="n">
        <f aca="false">IF(B1488=-1, -1, VLOOKUP(MOD(B1488,28), $T$24:$U$52,2))</f>
        <v>1</v>
      </c>
      <c r="F1488" s="16" t="n">
        <f aca="false">IF($B1488=-1, -1, VLOOKUP(C1488,$T$1:$V$20, 2))</f>
        <v>15</v>
      </c>
      <c r="G1488" s="16" t="n">
        <f aca="false">IF($B1488=-1, -1, VLOOKUP(D1488,$Y$1:$Z$22,2))</f>
        <v>0</v>
      </c>
      <c r="H1488" s="16" t="str">
        <f aca="false">_xlfn.UNICHAR(((F1488*21)+G1488)*28+44032)</f>
        <v>카</v>
      </c>
      <c r="I1488" s="16" t="n">
        <f aca="false">IF(B1488=-1, 1, COUNTIF($A$2:$A$3000, H1488))</f>
        <v>1</v>
      </c>
      <c r="J1488" s="10" t="str">
        <f aca="false">_xlfn.CONCAT(A1488, ",",H1488,",",I1488)</f>
        <v>욱,카,1</v>
      </c>
      <c r="K1488" s="16" t="n">
        <f aca="false">IF(B1488=-1,-1,VLOOKUP(C1488,$T$1:$V$20,3))</f>
        <v>15</v>
      </c>
      <c r="L1488" s="16" t="n">
        <f aca="false">IF(B1488=-1,-1,VLOOKUP(D1488,$Y$1:$AA$22,3))</f>
        <v>6</v>
      </c>
      <c r="N1488" s="10" t="str">
        <f aca="false">_xlfn.UNICHAR(((C1488*21)+G1488)*28+44032)</f>
        <v>아</v>
      </c>
      <c r="O1488" s="10" t="str">
        <f aca="false">_xlfn.UNICHAR(((F1488*21)+D1488)*28+44032)</f>
        <v>쿠</v>
      </c>
      <c r="P1488" s="12" t="n">
        <f aca="false">COUNTIF($A$2:$A$3000, N1488) + COUNTIF($A$2:$A$3000, O1488)</f>
        <v>2</v>
      </c>
      <c r="Q1488" s="16" t="str">
        <f aca="false">IF(OR(B1488=-1,I1488=0, P1488&lt;&gt;2), "albhed_dummy", _xlfn.CONCAT("albhed ", RIGHT("  " &amp; K1488,2),", ", RIGHT("  " &amp; L1488,2), ", " ,"""",H1488,""", ", """",N1488,""", ","""",O1488,""""," ; ", A1488))</f>
        <v>albhed 15,  6, "카", "아", "쿠" ; 욱</v>
      </c>
    </row>
    <row r="1489" customFormat="false" ht="17.9" hidden="false" customHeight="true" outlineLevel="0" collapsed="false">
      <c r="A1489" s="16" t="s">
        <v>2347</v>
      </c>
      <c r="B1489" s="16" t="n">
        <f aca="false">IF(_xlfn.UNICODE(A1489)&lt;44032,-1,_xlfn.UNICODE(A1489)-44032)</f>
        <v>6836</v>
      </c>
      <c r="C1489" s="16" t="n">
        <f aca="false">IF(B1489=-1,-1,INT((B1489/28)/21))</f>
        <v>11</v>
      </c>
      <c r="D1489" s="16" t="n">
        <f aca="false">IF(B1489=-1, -1, MOD(INT(B1489/28),21))</f>
        <v>13</v>
      </c>
      <c r="E1489" s="16" t="n">
        <f aca="false">IF(B1489=-1, -1, VLOOKUP(MOD(B1489,28), $T$24:$U$52,2))</f>
        <v>4</v>
      </c>
      <c r="F1489" s="16" t="n">
        <f aca="false">IF($B1489=-1, -1, VLOOKUP(C1489,$T$1:$V$20, 2))</f>
        <v>15</v>
      </c>
      <c r="G1489" s="16" t="n">
        <f aca="false">IF($B1489=-1, -1, VLOOKUP(D1489,$Y$1:$Z$22,2))</f>
        <v>0</v>
      </c>
      <c r="H1489" s="16" t="str">
        <f aca="false">_xlfn.UNICHAR(((F1489*21)+G1489)*28+44032)</f>
        <v>카</v>
      </c>
      <c r="I1489" s="16" t="n">
        <f aca="false">IF(B1489=-1, 1, COUNTIF($A$2:$A$3000, H1489))</f>
        <v>1</v>
      </c>
      <c r="J1489" s="10" t="str">
        <f aca="false">_xlfn.CONCAT(A1489, ",",H1489,",",I1489)</f>
        <v>운,카,1</v>
      </c>
      <c r="K1489" s="16" t="n">
        <f aca="false">IF(B1489=-1,-1,VLOOKUP(C1489,$T$1:$V$20,3))</f>
        <v>15</v>
      </c>
      <c r="L1489" s="16" t="n">
        <f aca="false">IF(B1489=-1,-1,VLOOKUP(D1489,$Y$1:$AA$22,3))</f>
        <v>6</v>
      </c>
      <c r="N1489" s="10" t="str">
        <f aca="false">_xlfn.UNICHAR(((C1489*21)+G1489)*28+44032)</f>
        <v>아</v>
      </c>
      <c r="O1489" s="10" t="str">
        <f aca="false">_xlfn.UNICHAR(((F1489*21)+D1489)*28+44032)</f>
        <v>쿠</v>
      </c>
      <c r="P1489" s="12" t="n">
        <f aca="false">COUNTIF($A$2:$A$3000, N1489) + COUNTIF($A$2:$A$3000, O1489)</f>
        <v>2</v>
      </c>
      <c r="Q1489" s="16" t="str">
        <f aca="false">IF(OR(B1489=-1,I1489=0, P1489&lt;&gt;2), "albhed_dummy", _xlfn.CONCAT("albhed ", RIGHT("  " &amp; K1489,2),", ", RIGHT("  " &amp; L1489,2), ", " ,"""",H1489,""", ", """",N1489,""", ","""",O1489,""""," ; ", A1489))</f>
        <v>albhed 15,  6, "카", "아", "쿠" ; 운</v>
      </c>
    </row>
    <row r="1490" customFormat="false" ht="17.9" hidden="false" customHeight="true" outlineLevel="0" collapsed="false">
      <c r="A1490" s="16" t="s">
        <v>2348</v>
      </c>
      <c r="B1490" s="16" t="n">
        <f aca="false">IF(_xlfn.UNICODE(A1490)&lt;44032,-1,_xlfn.UNICODE(A1490)-44032)</f>
        <v>6840</v>
      </c>
      <c r="C1490" s="16" t="n">
        <f aca="false">IF(B1490=-1,-1,INT((B1490/28)/21))</f>
        <v>11</v>
      </c>
      <c r="D1490" s="16" t="n">
        <f aca="false">IF(B1490=-1, -1, MOD(INT(B1490/28),21))</f>
        <v>13</v>
      </c>
      <c r="E1490" s="16" t="n">
        <f aca="false">IF(B1490=-1, -1, VLOOKUP(MOD(B1490,28), $T$24:$U$52,2))</f>
        <v>8</v>
      </c>
      <c r="F1490" s="16" t="n">
        <f aca="false">IF($B1490=-1, -1, VLOOKUP(C1490,$T$1:$V$20, 2))</f>
        <v>15</v>
      </c>
      <c r="G1490" s="16" t="n">
        <f aca="false">IF($B1490=-1, -1, VLOOKUP(D1490,$Y$1:$Z$22,2))</f>
        <v>0</v>
      </c>
      <c r="H1490" s="16" t="str">
        <f aca="false">_xlfn.UNICHAR(((F1490*21)+G1490)*28+44032)</f>
        <v>카</v>
      </c>
      <c r="I1490" s="16" t="n">
        <f aca="false">IF(B1490=-1, 1, COUNTIF($A$2:$A$3000, H1490))</f>
        <v>1</v>
      </c>
      <c r="J1490" s="10" t="str">
        <f aca="false">_xlfn.CONCAT(A1490, ",",H1490,",",I1490)</f>
        <v>울,카,1</v>
      </c>
      <c r="K1490" s="16" t="n">
        <f aca="false">IF(B1490=-1,-1,VLOOKUP(C1490,$T$1:$V$20,3))</f>
        <v>15</v>
      </c>
      <c r="L1490" s="16" t="n">
        <f aca="false">IF(B1490=-1,-1,VLOOKUP(D1490,$Y$1:$AA$22,3))</f>
        <v>6</v>
      </c>
      <c r="N1490" s="10" t="str">
        <f aca="false">_xlfn.UNICHAR(((C1490*21)+G1490)*28+44032)</f>
        <v>아</v>
      </c>
      <c r="O1490" s="10" t="str">
        <f aca="false">_xlfn.UNICHAR(((F1490*21)+D1490)*28+44032)</f>
        <v>쿠</v>
      </c>
      <c r="P1490" s="12" t="n">
        <f aca="false">COUNTIF($A$2:$A$3000, N1490) + COUNTIF($A$2:$A$3000, O1490)</f>
        <v>2</v>
      </c>
      <c r="Q1490" s="16" t="str">
        <f aca="false">IF(OR(B1490=-1,I1490=0, P1490&lt;&gt;2), "albhed_dummy", _xlfn.CONCAT("albhed ", RIGHT("  " &amp; K1490,2),", ", RIGHT("  " &amp; L1490,2), ", " ,"""",H1490,""", ", """",N1490,""", ","""",O1490,""""," ; ", A1490))</f>
        <v>albhed 15,  6, "카", "아", "쿠" ; 울</v>
      </c>
    </row>
    <row r="1491" customFormat="false" ht="17.9" hidden="false" customHeight="true" outlineLevel="0" collapsed="false">
      <c r="A1491" s="16" t="s">
        <v>2349</v>
      </c>
      <c r="B1491" s="16" t="n">
        <f aca="false">IF(_xlfn.UNICODE(A1491)&lt;44032,-1,_xlfn.UNICODE(A1491)-44032)</f>
        <v>6841</v>
      </c>
      <c r="C1491" s="16" t="n">
        <f aca="false">IF(B1491=-1,-1,INT((B1491/28)/21))</f>
        <v>11</v>
      </c>
      <c r="D1491" s="16" t="n">
        <f aca="false">IF(B1491=-1, -1, MOD(INT(B1491/28),21))</f>
        <v>13</v>
      </c>
      <c r="E1491" s="16" t="n">
        <f aca="false">IF(B1491=-1, -1, VLOOKUP(MOD(B1491,28), $T$24:$U$52,2))</f>
        <v>8</v>
      </c>
      <c r="F1491" s="16" t="n">
        <f aca="false">IF($B1491=-1, -1, VLOOKUP(C1491,$T$1:$V$20, 2))</f>
        <v>15</v>
      </c>
      <c r="G1491" s="16" t="n">
        <f aca="false">IF($B1491=-1, -1, VLOOKUP(D1491,$Y$1:$Z$22,2))</f>
        <v>0</v>
      </c>
      <c r="H1491" s="16" t="str">
        <f aca="false">_xlfn.UNICHAR(((F1491*21)+G1491)*28+44032)</f>
        <v>카</v>
      </c>
      <c r="I1491" s="16" t="n">
        <f aca="false">IF(B1491=-1, 1, COUNTIF($A$2:$A$3000, H1491))</f>
        <v>1</v>
      </c>
      <c r="J1491" s="10" t="str">
        <f aca="false">_xlfn.CONCAT(A1491, ",",H1491,",",I1491)</f>
        <v>욹,카,1</v>
      </c>
      <c r="K1491" s="16" t="n">
        <f aca="false">IF(B1491=-1,-1,VLOOKUP(C1491,$T$1:$V$20,3))</f>
        <v>15</v>
      </c>
      <c r="L1491" s="16" t="n">
        <f aca="false">IF(B1491=-1,-1,VLOOKUP(D1491,$Y$1:$AA$22,3))</f>
        <v>6</v>
      </c>
      <c r="N1491" s="10" t="str">
        <f aca="false">_xlfn.UNICHAR(((C1491*21)+G1491)*28+44032)</f>
        <v>아</v>
      </c>
      <c r="O1491" s="10" t="str">
        <f aca="false">_xlfn.UNICHAR(((F1491*21)+D1491)*28+44032)</f>
        <v>쿠</v>
      </c>
      <c r="P1491" s="12" t="n">
        <f aca="false">COUNTIF($A$2:$A$3000, N1491) + COUNTIF($A$2:$A$3000, O1491)</f>
        <v>2</v>
      </c>
      <c r="Q1491" s="16" t="str">
        <f aca="false">IF(OR(B1491=-1,I1491=0, P1491&lt;&gt;2), "albhed_dummy", _xlfn.CONCAT("albhed ", RIGHT("  " &amp; K1491,2),", ", RIGHT("  " &amp; L1491,2), ", " ,"""",H1491,""", ", """",N1491,""", ","""",O1491,""""," ; ", A1491))</f>
        <v>albhed 15,  6, "카", "아", "쿠" ; 욹</v>
      </c>
    </row>
    <row r="1492" customFormat="false" ht="17.9" hidden="false" customHeight="true" outlineLevel="0" collapsed="false">
      <c r="A1492" s="16" t="s">
        <v>2350</v>
      </c>
      <c r="B1492" s="16" t="n">
        <f aca="false">IF(_xlfn.UNICODE(A1492)&lt;44032,-1,_xlfn.UNICODE(A1492)-44032)</f>
        <v>6842</v>
      </c>
      <c r="C1492" s="16" t="n">
        <f aca="false">IF(B1492=-1,-1,INT((B1492/28)/21))</f>
        <v>11</v>
      </c>
      <c r="D1492" s="16" t="n">
        <f aca="false">IF(B1492=-1, -1, MOD(INT(B1492/28),21))</f>
        <v>13</v>
      </c>
      <c r="E1492" s="16" t="n">
        <f aca="false">IF(B1492=-1, -1, VLOOKUP(MOD(B1492,28), $T$24:$U$52,2))</f>
        <v>8</v>
      </c>
      <c r="F1492" s="16" t="n">
        <f aca="false">IF($B1492=-1, -1, VLOOKUP(C1492,$T$1:$V$20, 2))</f>
        <v>15</v>
      </c>
      <c r="G1492" s="16" t="n">
        <f aca="false">IF($B1492=-1, -1, VLOOKUP(D1492,$Y$1:$Z$22,2))</f>
        <v>0</v>
      </c>
      <c r="H1492" s="16" t="str">
        <f aca="false">_xlfn.UNICHAR(((F1492*21)+G1492)*28+44032)</f>
        <v>카</v>
      </c>
      <c r="I1492" s="16" t="n">
        <f aca="false">IF(B1492=-1, 1, COUNTIF($A$2:$A$3000, H1492))</f>
        <v>1</v>
      </c>
      <c r="J1492" s="10" t="str">
        <f aca="false">_xlfn.CONCAT(A1492, ",",H1492,",",I1492)</f>
        <v>욺,카,1</v>
      </c>
      <c r="K1492" s="16" t="n">
        <f aca="false">IF(B1492=-1,-1,VLOOKUP(C1492,$T$1:$V$20,3))</f>
        <v>15</v>
      </c>
      <c r="L1492" s="16" t="n">
        <f aca="false">IF(B1492=-1,-1,VLOOKUP(D1492,$Y$1:$AA$22,3))</f>
        <v>6</v>
      </c>
      <c r="N1492" s="10" t="str">
        <f aca="false">_xlfn.UNICHAR(((C1492*21)+G1492)*28+44032)</f>
        <v>아</v>
      </c>
      <c r="O1492" s="10" t="str">
        <f aca="false">_xlfn.UNICHAR(((F1492*21)+D1492)*28+44032)</f>
        <v>쿠</v>
      </c>
      <c r="P1492" s="12" t="n">
        <f aca="false">COUNTIF($A$2:$A$3000, N1492) + COUNTIF($A$2:$A$3000, O1492)</f>
        <v>2</v>
      </c>
      <c r="Q1492" s="16" t="str">
        <f aca="false">IF(OR(B1492=-1,I1492=0, P1492&lt;&gt;2), "albhed_dummy", _xlfn.CONCAT("albhed ", RIGHT("  " &amp; K1492,2),", ", RIGHT("  " &amp; L1492,2), ", " ,"""",H1492,""", ", """",N1492,""", ","""",O1492,""""," ; ", A1492))</f>
        <v>albhed 15,  6, "카", "아", "쿠" ; 욺</v>
      </c>
    </row>
    <row r="1493" customFormat="false" ht="17.9" hidden="false" customHeight="true" outlineLevel="0" collapsed="false">
      <c r="A1493" s="16" t="s">
        <v>2351</v>
      </c>
      <c r="B1493" s="16" t="n">
        <f aca="false">IF(_xlfn.UNICODE(A1493)&lt;44032,-1,_xlfn.UNICODE(A1493)-44032)</f>
        <v>6848</v>
      </c>
      <c r="C1493" s="16" t="n">
        <f aca="false">IF(B1493=-1,-1,INT((B1493/28)/21))</f>
        <v>11</v>
      </c>
      <c r="D1493" s="16" t="n">
        <f aca="false">IF(B1493=-1, -1, MOD(INT(B1493/28),21))</f>
        <v>13</v>
      </c>
      <c r="E1493" s="16" t="n">
        <f aca="false">IF(B1493=-1, -1, VLOOKUP(MOD(B1493,28), $T$24:$U$52,2))</f>
        <v>16</v>
      </c>
      <c r="F1493" s="16" t="n">
        <f aca="false">IF($B1493=-1, -1, VLOOKUP(C1493,$T$1:$V$20, 2))</f>
        <v>15</v>
      </c>
      <c r="G1493" s="16" t="n">
        <f aca="false">IF($B1493=-1, -1, VLOOKUP(D1493,$Y$1:$Z$22,2))</f>
        <v>0</v>
      </c>
      <c r="H1493" s="16" t="str">
        <f aca="false">_xlfn.UNICHAR(((F1493*21)+G1493)*28+44032)</f>
        <v>카</v>
      </c>
      <c r="I1493" s="16" t="n">
        <f aca="false">IF(B1493=-1, 1, COUNTIF($A$2:$A$3000, H1493))</f>
        <v>1</v>
      </c>
      <c r="J1493" s="10" t="str">
        <f aca="false">_xlfn.CONCAT(A1493, ",",H1493,",",I1493)</f>
        <v>움,카,1</v>
      </c>
      <c r="K1493" s="16" t="n">
        <f aca="false">IF(B1493=-1,-1,VLOOKUP(C1493,$T$1:$V$20,3))</f>
        <v>15</v>
      </c>
      <c r="L1493" s="16" t="n">
        <f aca="false">IF(B1493=-1,-1,VLOOKUP(D1493,$Y$1:$AA$22,3))</f>
        <v>6</v>
      </c>
      <c r="N1493" s="10" t="str">
        <f aca="false">_xlfn.UNICHAR(((C1493*21)+G1493)*28+44032)</f>
        <v>아</v>
      </c>
      <c r="O1493" s="10" t="str">
        <f aca="false">_xlfn.UNICHAR(((F1493*21)+D1493)*28+44032)</f>
        <v>쿠</v>
      </c>
      <c r="P1493" s="12" t="n">
        <f aca="false">COUNTIF($A$2:$A$3000, N1493) + COUNTIF($A$2:$A$3000, O1493)</f>
        <v>2</v>
      </c>
      <c r="Q1493" s="16" t="str">
        <f aca="false">IF(OR(B1493=-1,I1493=0, P1493&lt;&gt;2), "albhed_dummy", _xlfn.CONCAT("albhed ", RIGHT("  " &amp; K1493,2),", ", RIGHT("  " &amp; L1493,2), ", " ,"""",H1493,""", ", """",N1493,""", ","""",O1493,""""," ; ", A1493))</f>
        <v>albhed 15,  6, "카", "아", "쿠" ; 움</v>
      </c>
    </row>
    <row r="1494" customFormat="false" ht="17.9" hidden="false" customHeight="true" outlineLevel="0" collapsed="false">
      <c r="A1494" s="16" t="s">
        <v>2352</v>
      </c>
      <c r="B1494" s="16" t="n">
        <f aca="false">IF(_xlfn.UNICODE(A1494)&lt;44032,-1,_xlfn.UNICODE(A1494)-44032)</f>
        <v>6849</v>
      </c>
      <c r="C1494" s="16" t="n">
        <f aca="false">IF(B1494=-1,-1,INT((B1494/28)/21))</f>
        <v>11</v>
      </c>
      <c r="D1494" s="16" t="n">
        <f aca="false">IF(B1494=-1, -1, MOD(INT(B1494/28),21))</f>
        <v>13</v>
      </c>
      <c r="E1494" s="16" t="n">
        <f aca="false">IF(B1494=-1, -1, VLOOKUP(MOD(B1494,28), $T$24:$U$52,2))</f>
        <v>17</v>
      </c>
      <c r="F1494" s="16" t="n">
        <f aca="false">IF($B1494=-1, -1, VLOOKUP(C1494,$T$1:$V$20, 2))</f>
        <v>15</v>
      </c>
      <c r="G1494" s="16" t="n">
        <f aca="false">IF($B1494=-1, -1, VLOOKUP(D1494,$Y$1:$Z$22,2))</f>
        <v>0</v>
      </c>
      <c r="H1494" s="16" t="str">
        <f aca="false">_xlfn.UNICHAR(((F1494*21)+G1494)*28+44032)</f>
        <v>카</v>
      </c>
      <c r="I1494" s="16" t="n">
        <f aca="false">IF(B1494=-1, 1, COUNTIF($A$2:$A$3000, H1494))</f>
        <v>1</v>
      </c>
      <c r="J1494" s="10" t="str">
        <f aca="false">_xlfn.CONCAT(A1494, ",",H1494,",",I1494)</f>
        <v>웁,카,1</v>
      </c>
      <c r="K1494" s="16" t="n">
        <f aca="false">IF(B1494=-1,-1,VLOOKUP(C1494,$T$1:$V$20,3))</f>
        <v>15</v>
      </c>
      <c r="L1494" s="16" t="n">
        <f aca="false">IF(B1494=-1,-1,VLOOKUP(D1494,$Y$1:$AA$22,3))</f>
        <v>6</v>
      </c>
      <c r="N1494" s="10" t="str">
        <f aca="false">_xlfn.UNICHAR(((C1494*21)+G1494)*28+44032)</f>
        <v>아</v>
      </c>
      <c r="O1494" s="10" t="str">
        <f aca="false">_xlfn.UNICHAR(((F1494*21)+D1494)*28+44032)</f>
        <v>쿠</v>
      </c>
      <c r="P1494" s="12" t="n">
        <f aca="false">COUNTIF($A$2:$A$3000, N1494) + COUNTIF($A$2:$A$3000, O1494)</f>
        <v>2</v>
      </c>
      <c r="Q1494" s="16" t="str">
        <f aca="false">IF(OR(B1494=-1,I1494=0, P1494&lt;&gt;2), "albhed_dummy", _xlfn.CONCAT("albhed ", RIGHT("  " &amp; K1494,2),", ", RIGHT("  " &amp; L1494,2), ", " ,"""",H1494,""", ", """",N1494,""", ","""",O1494,""""," ; ", A1494))</f>
        <v>albhed 15,  6, "카", "아", "쿠" ; 웁</v>
      </c>
    </row>
    <row r="1495" customFormat="false" ht="17.9" hidden="false" customHeight="true" outlineLevel="0" collapsed="false">
      <c r="A1495" s="16" t="s">
        <v>2353</v>
      </c>
      <c r="B1495" s="16" t="n">
        <f aca="false">IF(_xlfn.UNICODE(A1495)&lt;44032,-1,_xlfn.UNICODE(A1495)-44032)</f>
        <v>6851</v>
      </c>
      <c r="C1495" s="16" t="n">
        <f aca="false">IF(B1495=-1,-1,INT((B1495/28)/21))</f>
        <v>11</v>
      </c>
      <c r="D1495" s="16" t="n">
        <f aca="false">IF(B1495=-1, -1, MOD(INT(B1495/28),21))</f>
        <v>13</v>
      </c>
      <c r="E1495" s="16" t="n">
        <f aca="false">IF(B1495=-1, -1, VLOOKUP(MOD(B1495,28), $T$24:$U$52,2))</f>
        <v>19</v>
      </c>
      <c r="F1495" s="16" t="n">
        <f aca="false">IF($B1495=-1, -1, VLOOKUP(C1495,$T$1:$V$20, 2))</f>
        <v>15</v>
      </c>
      <c r="G1495" s="16" t="n">
        <f aca="false">IF($B1495=-1, -1, VLOOKUP(D1495,$Y$1:$Z$22,2))</f>
        <v>0</v>
      </c>
      <c r="H1495" s="16" t="str">
        <f aca="false">_xlfn.UNICHAR(((F1495*21)+G1495)*28+44032)</f>
        <v>카</v>
      </c>
      <c r="I1495" s="16" t="n">
        <f aca="false">IF(B1495=-1, 1, COUNTIF($A$2:$A$3000, H1495))</f>
        <v>1</v>
      </c>
      <c r="J1495" s="10" t="str">
        <f aca="false">_xlfn.CONCAT(A1495, ",",H1495,",",I1495)</f>
        <v>웃,카,1</v>
      </c>
      <c r="K1495" s="16" t="n">
        <f aca="false">IF(B1495=-1,-1,VLOOKUP(C1495,$T$1:$V$20,3))</f>
        <v>15</v>
      </c>
      <c r="L1495" s="16" t="n">
        <f aca="false">IF(B1495=-1,-1,VLOOKUP(D1495,$Y$1:$AA$22,3))</f>
        <v>6</v>
      </c>
      <c r="N1495" s="10" t="str">
        <f aca="false">_xlfn.UNICHAR(((C1495*21)+G1495)*28+44032)</f>
        <v>아</v>
      </c>
      <c r="O1495" s="10" t="str">
        <f aca="false">_xlfn.UNICHAR(((F1495*21)+D1495)*28+44032)</f>
        <v>쿠</v>
      </c>
      <c r="P1495" s="12" t="n">
        <f aca="false">COUNTIF($A$2:$A$3000, N1495) + COUNTIF($A$2:$A$3000, O1495)</f>
        <v>2</v>
      </c>
      <c r="Q1495" s="16" t="str">
        <f aca="false">IF(OR(B1495=-1,I1495=0, P1495&lt;&gt;2), "albhed_dummy", _xlfn.CONCAT("albhed ", RIGHT("  " &amp; K1495,2),", ", RIGHT("  " &amp; L1495,2), ", " ,"""",H1495,""", ", """",N1495,""", ","""",O1495,""""," ; ", A1495))</f>
        <v>albhed 15,  6, "카", "아", "쿠" ; 웃</v>
      </c>
    </row>
    <row r="1496" customFormat="false" ht="17.9" hidden="false" customHeight="true" outlineLevel="0" collapsed="false">
      <c r="A1496" s="16" t="s">
        <v>2354</v>
      </c>
      <c r="B1496" s="16" t="n">
        <f aca="false">IF(_xlfn.UNICODE(A1496)&lt;44032,-1,_xlfn.UNICODE(A1496)-44032)</f>
        <v>6853</v>
      </c>
      <c r="C1496" s="16" t="n">
        <f aca="false">IF(B1496=-1,-1,INT((B1496/28)/21))</f>
        <v>11</v>
      </c>
      <c r="D1496" s="16" t="n">
        <f aca="false">IF(B1496=-1, -1, MOD(INT(B1496/28),21))</f>
        <v>13</v>
      </c>
      <c r="E1496" s="16" t="n">
        <f aca="false">IF(B1496=-1, -1, VLOOKUP(MOD(B1496,28), $T$24:$U$52,2))</f>
        <v>21</v>
      </c>
      <c r="F1496" s="16" t="n">
        <f aca="false">IF($B1496=-1, -1, VLOOKUP(C1496,$T$1:$V$20, 2))</f>
        <v>15</v>
      </c>
      <c r="G1496" s="16" t="n">
        <f aca="false">IF($B1496=-1, -1, VLOOKUP(D1496,$Y$1:$Z$22,2))</f>
        <v>0</v>
      </c>
      <c r="H1496" s="16" t="str">
        <f aca="false">_xlfn.UNICHAR(((F1496*21)+G1496)*28+44032)</f>
        <v>카</v>
      </c>
      <c r="I1496" s="16" t="n">
        <f aca="false">IF(B1496=-1, 1, COUNTIF($A$2:$A$3000, H1496))</f>
        <v>1</v>
      </c>
      <c r="J1496" s="10" t="str">
        <f aca="false">_xlfn.CONCAT(A1496, ",",H1496,",",I1496)</f>
        <v>웅,카,1</v>
      </c>
      <c r="K1496" s="16" t="n">
        <f aca="false">IF(B1496=-1,-1,VLOOKUP(C1496,$T$1:$V$20,3))</f>
        <v>15</v>
      </c>
      <c r="L1496" s="16" t="n">
        <f aca="false">IF(B1496=-1,-1,VLOOKUP(D1496,$Y$1:$AA$22,3))</f>
        <v>6</v>
      </c>
      <c r="N1496" s="10" t="str">
        <f aca="false">_xlfn.UNICHAR(((C1496*21)+G1496)*28+44032)</f>
        <v>아</v>
      </c>
      <c r="O1496" s="10" t="str">
        <f aca="false">_xlfn.UNICHAR(((F1496*21)+D1496)*28+44032)</f>
        <v>쿠</v>
      </c>
      <c r="P1496" s="12" t="n">
        <f aca="false">COUNTIF($A$2:$A$3000, N1496) + COUNTIF($A$2:$A$3000, O1496)</f>
        <v>2</v>
      </c>
      <c r="Q1496" s="16" t="str">
        <f aca="false">IF(OR(B1496=-1,I1496=0, P1496&lt;&gt;2), "albhed_dummy", _xlfn.CONCAT("albhed ", RIGHT("  " &amp; K1496,2),", ", RIGHT("  " &amp; L1496,2), ", " ,"""",H1496,""", ", """",N1496,""", ","""",O1496,""""," ; ", A1496))</f>
        <v>albhed 15,  6, "카", "아", "쿠" ; 웅</v>
      </c>
    </row>
    <row r="1497" customFormat="false" ht="17.9" hidden="false" customHeight="true" outlineLevel="0" collapsed="false">
      <c r="A1497" s="16" t="s">
        <v>823</v>
      </c>
      <c r="B1497" s="16" t="n">
        <f aca="false">IF(_xlfn.UNICODE(A1497)&lt;44032,-1,_xlfn.UNICODE(A1497)-44032)</f>
        <v>6860</v>
      </c>
      <c r="C1497" s="16" t="n">
        <f aca="false">IF(B1497=-1,-1,INT((B1497/28)/21))</f>
        <v>11</v>
      </c>
      <c r="D1497" s="16" t="n">
        <f aca="false">IF(B1497=-1, -1, MOD(INT(B1497/28),21))</f>
        <v>14</v>
      </c>
      <c r="E1497" s="16" t="n">
        <f aca="false">IF(B1497=-1, -1, VLOOKUP(MOD(B1497,28), $T$24:$U$52,2))</f>
        <v>0</v>
      </c>
      <c r="F1497" s="16" t="n">
        <f aca="false">IF($B1497=-1, -1, VLOOKUP(C1497,$T$1:$V$20, 2))</f>
        <v>15</v>
      </c>
      <c r="G1497" s="16" t="n">
        <f aca="false">IF($B1497=-1, -1, VLOOKUP(D1497,$Y$1:$Z$22,2))</f>
        <v>20</v>
      </c>
      <c r="H1497" s="16" t="str">
        <f aca="false">_xlfn.UNICHAR(((F1497*21)+G1497)*28+44032)</f>
        <v>키</v>
      </c>
      <c r="I1497" s="16" t="n">
        <f aca="false">IF(B1497=-1, 1, COUNTIF($A$2:$A$3000, H1497))</f>
        <v>1</v>
      </c>
      <c r="J1497" s="10" t="str">
        <f aca="false">_xlfn.CONCAT(A1497, ",",H1497,",",I1497)</f>
        <v>워,키,1</v>
      </c>
      <c r="K1497" s="16" t="n">
        <f aca="false">IF(B1497=-1,-1,VLOOKUP(C1497,$T$1:$V$20,3))</f>
        <v>15</v>
      </c>
      <c r="L1497" s="16" t="n">
        <f aca="false">IF(B1497=-1,-1,VLOOKUP(D1497,$Y$1:$AA$22,3))</f>
        <v>16</v>
      </c>
      <c r="N1497" s="10" t="str">
        <f aca="false">_xlfn.UNICHAR(((C1497*21)+G1497)*28+44032)</f>
        <v>이</v>
      </c>
      <c r="O1497" s="10" t="str">
        <f aca="false">_xlfn.UNICHAR(((F1497*21)+D1497)*28+44032)</f>
        <v>쿼</v>
      </c>
      <c r="P1497" s="12" t="n">
        <f aca="false">COUNTIF($A$2:$A$3000, N1497) + COUNTIF($A$2:$A$3000, O1497)</f>
        <v>2</v>
      </c>
      <c r="Q1497" s="16" t="str">
        <f aca="false">IF(OR(B1497=-1,I1497=0, P1497&lt;&gt;2), "albhed_dummy", _xlfn.CONCAT("albhed ", RIGHT("  " &amp; K1497,2),", ", RIGHT("  " &amp; L1497,2), ", " ,"""",H1497,""", ", """",N1497,""", ","""",O1497,""""," ; ", A1497))</f>
        <v>albhed 15, 16, "키", "이", "쿼" ; 워</v>
      </c>
    </row>
    <row r="1498" customFormat="false" ht="17.9" hidden="false" customHeight="true" outlineLevel="0" collapsed="false">
      <c r="A1498" s="16" t="s">
        <v>2355</v>
      </c>
      <c r="B1498" s="16" t="n">
        <f aca="false">IF(_xlfn.UNICODE(A1498)&lt;44032,-1,_xlfn.UNICODE(A1498)-44032)</f>
        <v>6861</v>
      </c>
      <c r="C1498" s="16" t="n">
        <f aca="false">IF(B1498=-1,-1,INT((B1498/28)/21))</f>
        <v>11</v>
      </c>
      <c r="D1498" s="16" t="n">
        <f aca="false">IF(B1498=-1, -1, MOD(INT(B1498/28),21))</f>
        <v>14</v>
      </c>
      <c r="E1498" s="16" t="n">
        <f aca="false">IF(B1498=-1, -1, VLOOKUP(MOD(B1498,28), $T$24:$U$52,2))</f>
        <v>1</v>
      </c>
      <c r="F1498" s="16" t="n">
        <f aca="false">IF($B1498=-1, -1, VLOOKUP(C1498,$T$1:$V$20, 2))</f>
        <v>15</v>
      </c>
      <c r="G1498" s="16" t="n">
        <f aca="false">IF($B1498=-1, -1, VLOOKUP(D1498,$Y$1:$Z$22,2))</f>
        <v>20</v>
      </c>
      <c r="H1498" s="16" t="str">
        <f aca="false">_xlfn.UNICHAR(((F1498*21)+G1498)*28+44032)</f>
        <v>키</v>
      </c>
      <c r="I1498" s="16" t="n">
        <f aca="false">IF(B1498=-1, 1, COUNTIF($A$2:$A$3000, H1498))</f>
        <v>1</v>
      </c>
      <c r="J1498" s="10" t="str">
        <f aca="false">_xlfn.CONCAT(A1498, ",",H1498,",",I1498)</f>
        <v>웍,키,1</v>
      </c>
      <c r="K1498" s="16" t="n">
        <f aca="false">IF(B1498=-1,-1,VLOOKUP(C1498,$T$1:$V$20,3))</f>
        <v>15</v>
      </c>
      <c r="L1498" s="16" t="n">
        <f aca="false">IF(B1498=-1,-1,VLOOKUP(D1498,$Y$1:$AA$22,3))</f>
        <v>16</v>
      </c>
      <c r="N1498" s="10" t="str">
        <f aca="false">_xlfn.UNICHAR(((C1498*21)+G1498)*28+44032)</f>
        <v>이</v>
      </c>
      <c r="O1498" s="10" t="str">
        <f aca="false">_xlfn.UNICHAR(((F1498*21)+D1498)*28+44032)</f>
        <v>쿼</v>
      </c>
      <c r="P1498" s="12" t="n">
        <f aca="false">COUNTIF($A$2:$A$3000, N1498) + COUNTIF($A$2:$A$3000, O1498)</f>
        <v>2</v>
      </c>
      <c r="Q1498" s="16" t="str">
        <f aca="false">IF(OR(B1498=-1,I1498=0, P1498&lt;&gt;2), "albhed_dummy", _xlfn.CONCAT("albhed ", RIGHT("  " &amp; K1498,2),", ", RIGHT("  " &amp; L1498,2), ", " ,"""",H1498,""", ", """",N1498,""", ","""",O1498,""""," ; ", A1498))</f>
        <v>albhed 15, 16, "키", "이", "쿼" ; 웍</v>
      </c>
    </row>
    <row r="1499" customFormat="false" ht="17.9" hidden="false" customHeight="true" outlineLevel="0" collapsed="false">
      <c r="A1499" s="16" t="s">
        <v>2356</v>
      </c>
      <c r="B1499" s="16" t="n">
        <f aca="false">IF(_xlfn.UNICODE(A1499)&lt;44032,-1,_xlfn.UNICODE(A1499)-44032)</f>
        <v>6864</v>
      </c>
      <c r="C1499" s="16" t="n">
        <f aca="false">IF(B1499=-1,-1,INT((B1499/28)/21))</f>
        <v>11</v>
      </c>
      <c r="D1499" s="16" t="n">
        <f aca="false">IF(B1499=-1, -1, MOD(INT(B1499/28),21))</f>
        <v>14</v>
      </c>
      <c r="E1499" s="16" t="n">
        <f aca="false">IF(B1499=-1, -1, VLOOKUP(MOD(B1499,28), $T$24:$U$52,2))</f>
        <v>4</v>
      </c>
      <c r="F1499" s="16" t="n">
        <f aca="false">IF($B1499=-1, -1, VLOOKUP(C1499,$T$1:$V$20, 2))</f>
        <v>15</v>
      </c>
      <c r="G1499" s="16" t="n">
        <f aca="false">IF($B1499=-1, -1, VLOOKUP(D1499,$Y$1:$Z$22,2))</f>
        <v>20</v>
      </c>
      <c r="H1499" s="16" t="str">
        <f aca="false">_xlfn.UNICHAR(((F1499*21)+G1499)*28+44032)</f>
        <v>키</v>
      </c>
      <c r="I1499" s="16" t="n">
        <f aca="false">IF(B1499=-1, 1, COUNTIF($A$2:$A$3000, H1499))</f>
        <v>1</v>
      </c>
      <c r="J1499" s="10" t="str">
        <f aca="false">_xlfn.CONCAT(A1499, ",",H1499,",",I1499)</f>
        <v>원,키,1</v>
      </c>
      <c r="K1499" s="16" t="n">
        <f aca="false">IF(B1499=-1,-1,VLOOKUP(C1499,$T$1:$V$20,3))</f>
        <v>15</v>
      </c>
      <c r="L1499" s="16" t="n">
        <f aca="false">IF(B1499=-1,-1,VLOOKUP(D1499,$Y$1:$AA$22,3))</f>
        <v>16</v>
      </c>
      <c r="N1499" s="10" t="str">
        <f aca="false">_xlfn.UNICHAR(((C1499*21)+G1499)*28+44032)</f>
        <v>이</v>
      </c>
      <c r="O1499" s="10" t="str">
        <f aca="false">_xlfn.UNICHAR(((F1499*21)+D1499)*28+44032)</f>
        <v>쿼</v>
      </c>
      <c r="P1499" s="12" t="n">
        <f aca="false">COUNTIF($A$2:$A$3000, N1499) + COUNTIF($A$2:$A$3000, O1499)</f>
        <v>2</v>
      </c>
      <c r="Q1499" s="16" t="str">
        <f aca="false">IF(OR(B1499=-1,I1499=0, P1499&lt;&gt;2), "albhed_dummy", _xlfn.CONCAT("albhed ", RIGHT("  " &amp; K1499,2),", ", RIGHT("  " &amp; L1499,2), ", " ,"""",H1499,""", ", """",N1499,""", ","""",O1499,""""," ; ", A1499))</f>
        <v>albhed 15, 16, "키", "이", "쿼" ; 원</v>
      </c>
    </row>
    <row r="1500" customFormat="false" ht="17.9" hidden="false" customHeight="true" outlineLevel="0" collapsed="false">
      <c r="A1500" s="16" t="s">
        <v>2357</v>
      </c>
      <c r="B1500" s="16" t="n">
        <f aca="false">IF(_xlfn.UNICODE(A1500)&lt;44032,-1,_xlfn.UNICODE(A1500)-44032)</f>
        <v>6868</v>
      </c>
      <c r="C1500" s="16" t="n">
        <f aca="false">IF(B1500=-1,-1,INT((B1500/28)/21))</f>
        <v>11</v>
      </c>
      <c r="D1500" s="16" t="n">
        <f aca="false">IF(B1500=-1, -1, MOD(INT(B1500/28),21))</f>
        <v>14</v>
      </c>
      <c r="E1500" s="16" t="n">
        <f aca="false">IF(B1500=-1, -1, VLOOKUP(MOD(B1500,28), $T$24:$U$52,2))</f>
        <v>8</v>
      </c>
      <c r="F1500" s="16" t="n">
        <f aca="false">IF($B1500=-1, -1, VLOOKUP(C1500,$T$1:$V$20, 2))</f>
        <v>15</v>
      </c>
      <c r="G1500" s="16" t="n">
        <f aca="false">IF($B1500=-1, -1, VLOOKUP(D1500,$Y$1:$Z$22,2))</f>
        <v>20</v>
      </c>
      <c r="H1500" s="16" t="str">
        <f aca="false">_xlfn.UNICHAR(((F1500*21)+G1500)*28+44032)</f>
        <v>키</v>
      </c>
      <c r="I1500" s="16" t="n">
        <f aca="false">IF(B1500=-1, 1, COUNTIF($A$2:$A$3000, H1500))</f>
        <v>1</v>
      </c>
      <c r="J1500" s="10" t="str">
        <f aca="false">_xlfn.CONCAT(A1500, ",",H1500,",",I1500)</f>
        <v>월,키,1</v>
      </c>
      <c r="K1500" s="16" t="n">
        <f aca="false">IF(B1500=-1,-1,VLOOKUP(C1500,$T$1:$V$20,3))</f>
        <v>15</v>
      </c>
      <c r="L1500" s="16" t="n">
        <f aca="false">IF(B1500=-1,-1,VLOOKUP(D1500,$Y$1:$AA$22,3))</f>
        <v>16</v>
      </c>
      <c r="N1500" s="10" t="str">
        <f aca="false">_xlfn.UNICHAR(((C1500*21)+G1500)*28+44032)</f>
        <v>이</v>
      </c>
      <c r="O1500" s="10" t="str">
        <f aca="false">_xlfn.UNICHAR(((F1500*21)+D1500)*28+44032)</f>
        <v>쿼</v>
      </c>
      <c r="P1500" s="12" t="n">
        <f aca="false">COUNTIF($A$2:$A$3000, N1500) + COUNTIF($A$2:$A$3000, O1500)</f>
        <v>2</v>
      </c>
      <c r="Q1500" s="16" t="str">
        <f aca="false">IF(OR(B1500=-1,I1500=0, P1500&lt;&gt;2), "albhed_dummy", _xlfn.CONCAT("albhed ", RIGHT("  " &amp; K1500,2),", ", RIGHT("  " &amp; L1500,2), ", " ,"""",H1500,""", ", """",N1500,""", ","""",O1500,""""," ; ", A1500))</f>
        <v>albhed 15, 16, "키", "이", "쿼" ; 월</v>
      </c>
    </row>
    <row r="1501" customFormat="false" ht="17.9" hidden="false" customHeight="true" outlineLevel="0" collapsed="false">
      <c r="A1501" s="16" t="s">
        <v>2358</v>
      </c>
      <c r="B1501" s="16" t="n">
        <f aca="false">IF(_xlfn.UNICODE(A1501)&lt;44032,-1,_xlfn.UNICODE(A1501)-44032)</f>
        <v>6876</v>
      </c>
      <c r="C1501" s="16" t="n">
        <f aca="false">IF(B1501=-1,-1,INT((B1501/28)/21))</f>
        <v>11</v>
      </c>
      <c r="D1501" s="16" t="n">
        <f aca="false">IF(B1501=-1, -1, MOD(INT(B1501/28),21))</f>
        <v>14</v>
      </c>
      <c r="E1501" s="16" t="n">
        <f aca="false">IF(B1501=-1, -1, VLOOKUP(MOD(B1501,28), $T$24:$U$52,2))</f>
        <v>16</v>
      </c>
      <c r="F1501" s="16" t="n">
        <f aca="false">IF($B1501=-1, -1, VLOOKUP(C1501,$T$1:$V$20, 2))</f>
        <v>15</v>
      </c>
      <c r="G1501" s="16" t="n">
        <f aca="false">IF($B1501=-1, -1, VLOOKUP(D1501,$Y$1:$Z$22,2))</f>
        <v>20</v>
      </c>
      <c r="H1501" s="16" t="str">
        <f aca="false">_xlfn.UNICHAR(((F1501*21)+G1501)*28+44032)</f>
        <v>키</v>
      </c>
      <c r="I1501" s="16" t="n">
        <f aca="false">IF(B1501=-1, 1, COUNTIF($A$2:$A$3000, H1501))</f>
        <v>1</v>
      </c>
      <c r="J1501" s="10" t="str">
        <f aca="false">_xlfn.CONCAT(A1501, ",",H1501,",",I1501)</f>
        <v>웜,키,1</v>
      </c>
      <c r="K1501" s="16" t="n">
        <f aca="false">IF(B1501=-1,-1,VLOOKUP(C1501,$T$1:$V$20,3))</f>
        <v>15</v>
      </c>
      <c r="L1501" s="16" t="n">
        <f aca="false">IF(B1501=-1,-1,VLOOKUP(D1501,$Y$1:$AA$22,3))</f>
        <v>16</v>
      </c>
      <c r="N1501" s="10" t="str">
        <f aca="false">_xlfn.UNICHAR(((C1501*21)+G1501)*28+44032)</f>
        <v>이</v>
      </c>
      <c r="O1501" s="10" t="str">
        <f aca="false">_xlfn.UNICHAR(((F1501*21)+D1501)*28+44032)</f>
        <v>쿼</v>
      </c>
      <c r="P1501" s="12" t="n">
        <f aca="false">COUNTIF($A$2:$A$3000, N1501) + COUNTIF($A$2:$A$3000, O1501)</f>
        <v>2</v>
      </c>
      <c r="Q1501" s="16" t="str">
        <f aca="false">IF(OR(B1501=-1,I1501=0, P1501&lt;&gt;2), "albhed_dummy", _xlfn.CONCAT("albhed ", RIGHT("  " &amp; K1501,2),", ", RIGHT("  " &amp; L1501,2), ", " ,"""",H1501,""", ", """",N1501,""", ","""",O1501,""""," ; ", A1501))</f>
        <v>albhed 15, 16, "키", "이", "쿼" ; 웜</v>
      </c>
    </row>
    <row r="1502" customFormat="false" ht="17.9" hidden="false" customHeight="true" outlineLevel="0" collapsed="false">
      <c r="A1502" s="16" t="s">
        <v>2359</v>
      </c>
      <c r="B1502" s="16" t="n">
        <f aca="false">IF(_xlfn.UNICODE(A1502)&lt;44032,-1,_xlfn.UNICODE(A1502)-44032)</f>
        <v>6877</v>
      </c>
      <c r="C1502" s="16" t="n">
        <f aca="false">IF(B1502=-1,-1,INT((B1502/28)/21))</f>
        <v>11</v>
      </c>
      <c r="D1502" s="16" t="n">
        <f aca="false">IF(B1502=-1, -1, MOD(INT(B1502/28),21))</f>
        <v>14</v>
      </c>
      <c r="E1502" s="16" t="n">
        <f aca="false">IF(B1502=-1, -1, VLOOKUP(MOD(B1502,28), $T$24:$U$52,2))</f>
        <v>17</v>
      </c>
      <c r="F1502" s="16" t="n">
        <f aca="false">IF($B1502=-1, -1, VLOOKUP(C1502,$T$1:$V$20, 2))</f>
        <v>15</v>
      </c>
      <c r="G1502" s="16" t="n">
        <f aca="false">IF($B1502=-1, -1, VLOOKUP(D1502,$Y$1:$Z$22,2))</f>
        <v>20</v>
      </c>
      <c r="H1502" s="16" t="str">
        <f aca="false">_xlfn.UNICHAR(((F1502*21)+G1502)*28+44032)</f>
        <v>키</v>
      </c>
      <c r="I1502" s="16" t="n">
        <f aca="false">IF(B1502=-1, 1, COUNTIF($A$2:$A$3000, H1502))</f>
        <v>1</v>
      </c>
      <c r="J1502" s="10" t="str">
        <f aca="false">_xlfn.CONCAT(A1502, ",",H1502,",",I1502)</f>
        <v>웝,키,1</v>
      </c>
      <c r="K1502" s="16" t="n">
        <f aca="false">IF(B1502=-1,-1,VLOOKUP(C1502,$T$1:$V$20,3))</f>
        <v>15</v>
      </c>
      <c r="L1502" s="16" t="n">
        <f aca="false">IF(B1502=-1,-1,VLOOKUP(D1502,$Y$1:$AA$22,3))</f>
        <v>16</v>
      </c>
      <c r="N1502" s="10" t="str">
        <f aca="false">_xlfn.UNICHAR(((C1502*21)+G1502)*28+44032)</f>
        <v>이</v>
      </c>
      <c r="O1502" s="10" t="str">
        <f aca="false">_xlfn.UNICHAR(((F1502*21)+D1502)*28+44032)</f>
        <v>쿼</v>
      </c>
      <c r="P1502" s="12" t="n">
        <f aca="false">COUNTIF($A$2:$A$3000, N1502) + COUNTIF($A$2:$A$3000, O1502)</f>
        <v>2</v>
      </c>
      <c r="Q1502" s="16" t="str">
        <f aca="false">IF(OR(B1502=-1,I1502=0, P1502&lt;&gt;2), "albhed_dummy", _xlfn.CONCAT("albhed ", RIGHT("  " &amp; K1502,2),", ", RIGHT("  " &amp; L1502,2), ", " ,"""",H1502,""", ", """",N1502,""", ","""",O1502,""""," ; ", A1502))</f>
        <v>albhed 15, 16, "키", "이", "쿼" ; 웝</v>
      </c>
    </row>
    <row r="1503" customFormat="false" ht="17.9" hidden="false" customHeight="true" outlineLevel="0" collapsed="false">
      <c r="A1503" s="16" t="s">
        <v>2360</v>
      </c>
      <c r="B1503" s="16" t="n">
        <f aca="false">IF(_xlfn.UNICODE(A1503)&lt;44032,-1,_xlfn.UNICODE(A1503)-44032)</f>
        <v>6880</v>
      </c>
      <c r="C1503" s="16" t="n">
        <f aca="false">IF(B1503=-1,-1,INT((B1503/28)/21))</f>
        <v>11</v>
      </c>
      <c r="D1503" s="16" t="n">
        <f aca="false">IF(B1503=-1, -1, MOD(INT(B1503/28),21))</f>
        <v>14</v>
      </c>
      <c r="E1503" s="16" t="n">
        <f aca="false">IF(B1503=-1, -1, VLOOKUP(MOD(B1503,28), $T$24:$U$52,2))</f>
        <v>19</v>
      </c>
      <c r="F1503" s="16" t="n">
        <f aca="false">IF($B1503=-1, -1, VLOOKUP(C1503,$T$1:$V$20, 2))</f>
        <v>15</v>
      </c>
      <c r="G1503" s="16" t="n">
        <f aca="false">IF($B1503=-1, -1, VLOOKUP(D1503,$Y$1:$Z$22,2))</f>
        <v>20</v>
      </c>
      <c r="H1503" s="16" t="str">
        <f aca="false">_xlfn.UNICHAR(((F1503*21)+G1503)*28+44032)</f>
        <v>키</v>
      </c>
      <c r="I1503" s="16" t="n">
        <f aca="false">IF(B1503=-1, 1, COUNTIF($A$2:$A$3000, H1503))</f>
        <v>1</v>
      </c>
      <c r="J1503" s="10" t="str">
        <f aca="false">_xlfn.CONCAT(A1503, ",",H1503,",",I1503)</f>
        <v>웠,키,1</v>
      </c>
      <c r="K1503" s="16" t="n">
        <f aca="false">IF(B1503=-1,-1,VLOOKUP(C1503,$T$1:$V$20,3))</f>
        <v>15</v>
      </c>
      <c r="L1503" s="16" t="n">
        <f aca="false">IF(B1503=-1,-1,VLOOKUP(D1503,$Y$1:$AA$22,3))</f>
        <v>16</v>
      </c>
      <c r="N1503" s="10" t="str">
        <f aca="false">_xlfn.UNICHAR(((C1503*21)+G1503)*28+44032)</f>
        <v>이</v>
      </c>
      <c r="O1503" s="10" t="str">
        <f aca="false">_xlfn.UNICHAR(((F1503*21)+D1503)*28+44032)</f>
        <v>쿼</v>
      </c>
      <c r="P1503" s="12" t="n">
        <f aca="false">COUNTIF($A$2:$A$3000, N1503) + COUNTIF($A$2:$A$3000, O1503)</f>
        <v>2</v>
      </c>
      <c r="Q1503" s="16" t="str">
        <f aca="false">IF(OR(B1503=-1,I1503=0, P1503&lt;&gt;2), "albhed_dummy", _xlfn.CONCAT("albhed ", RIGHT("  " &amp; K1503,2),", ", RIGHT("  " &amp; L1503,2), ", " ,"""",H1503,""", ", """",N1503,""", ","""",O1503,""""," ; ", A1503))</f>
        <v>albhed 15, 16, "키", "이", "쿼" ; 웠</v>
      </c>
    </row>
    <row r="1504" customFormat="false" ht="17.9" hidden="false" customHeight="true" outlineLevel="0" collapsed="false">
      <c r="A1504" s="16" t="s">
        <v>2361</v>
      </c>
      <c r="B1504" s="16" t="n">
        <f aca="false">IF(_xlfn.UNICODE(A1504)&lt;44032,-1,_xlfn.UNICODE(A1504)-44032)</f>
        <v>6881</v>
      </c>
      <c r="C1504" s="16" t="n">
        <f aca="false">IF(B1504=-1,-1,INT((B1504/28)/21))</f>
        <v>11</v>
      </c>
      <c r="D1504" s="16" t="n">
        <f aca="false">IF(B1504=-1, -1, MOD(INT(B1504/28),21))</f>
        <v>14</v>
      </c>
      <c r="E1504" s="16" t="n">
        <f aca="false">IF(B1504=-1, -1, VLOOKUP(MOD(B1504,28), $T$24:$U$52,2))</f>
        <v>21</v>
      </c>
      <c r="F1504" s="16" t="n">
        <f aca="false">IF($B1504=-1, -1, VLOOKUP(C1504,$T$1:$V$20, 2))</f>
        <v>15</v>
      </c>
      <c r="G1504" s="16" t="n">
        <f aca="false">IF($B1504=-1, -1, VLOOKUP(D1504,$Y$1:$Z$22,2))</f>
        <v>20</v>
      </c>
      <c r="H1504" s="16" t="str">
        <f aca="false">_xlfn.UNICHAR(((F1504*21)+G1504)*28+44032)</f>
        <v>키</v>
      </c>
      <c r="I1504" s="16" t="n">
        <f aca="false">IF(B1504=-1, 1, COUNTIF($A$2:$A$3000, H1504))</f>
        <v>1</v>
      </c>
      <c r="J1504" s="10" t="str">
        <f aca="false">_xlfn.CONCAT(A1504, ",",H1504,",",I1504)</f>
        <v>웡,키,1</v>
      </c>
      <c r="K1504" s="16" t="n">
        <f aca="false">IF(B1504=-1,-1,VLOOKUP(C1504,$T$1:$V$20,3))</f>
        <v>15</v>
      </c>
      <c r="L1504" s="16" t="n">
        <f aca="false">IF(B1504=-1,-1,VLOOKUP(D1504,$Y$1:$AA$22,3))</f>
        <v>16</v>
      </c>
      <c r="N1504" s="10" t="str">
        <f aca="false">_xlfn.UNICHAR(((C1504*21)+G1504)*28+44032)</f>
        <v>이</v>
      </c>
      <c r="O1504" s="10" t="str">
        <f aca="false">_xlfn.UNICHAR(((F1504*21)+D1504)*28+44032)</f>
        <v>쿼</v>
      </c>
      <c r="P1504" s="12" t="n">
        <f aca="false">COUNTIF($A$2:$A$3000, N1504) + COUNTIF($A$2:$A$3000, O1504)</f>
        <v>2</v>
      </c>
      <c r="Q1504" s="16" t="str">
        <f aca="false">IF(OR(B1504=-1,I1504=0, P1504&lt;&gt;2), "albhed_dummy", _xlfn.CONCAT("albhed ", RIGHT("  " &amp; K1504,2),", ", RIGHT("  " &amp; L1504,2), ", " ,"""",H1504,""", ", """",N1504,""", ","""",O1504,""""," ; ", A1504))</f>
        <v>albhed 15, 16, "키", "이", "쿼" ; 웡</v>
      </c>
    </row>
    <row r="1505" customFormat="false" ht="17.9" hidden="false" customHeight="true" outlineLevel="0" collapsed="false">
      <c r="A1505" s="16" t="s">
        <v>824</v>
      </c>
      <c r="B1505" s="16" t="n">
        <f aca="false">IF(_xlfn.UNICODE(A1505)&lt;44032,-1,_xlfn.UNICODE(A1505)-44032)</f>
        <v>6888</v>
      </c>
      <c r="C1505" s="16" t="n">
        <f aca="false">IF(B1505=-1,-1,INT((B1505/28)/21))</f>
        <v>11</v>
      </c>
      <c r="D1505" s="16" t="n">
        <f aca="false">IF(B1505=-1, -1, MOD(INT(B1505/28),21))</f>
        <v>15</v>
      </c>
      <c r="E1505" s="16" t="n">
        <f aca="false">IF(B1505=-1, -1, VLOOKUP(MOD(B1505,28), $T$24:$U$52,2))</f>
        <v>0</v>
      </c>
      <c r="F1505" s="16" t="n">
        <f aca="false">IF($B1505=-1, -1, VLOOKUP(C1505,$T$1:$V$20, 2))</f>
        <v>15</v>
      </c>
      <c r="G1505" s="16" t="n">
        <f aca="false">IF($B1505=-1, -1, VLOOKUP(D1505,$Y$1:$Z$22,2))</f>
        <v>20</v>
      </c>
      <c r="H1505" s="16" t="str">
        <f aca="false">_xlfn.UNICHAR(((F1505*21)+G1505)*28+44032)</f>
        <v>키</v>
      </c>
      <c r="I1505" s="16" t="n">
        <f aca="false">IF(B1505=-1, 1, COUNTIF($A$2:$A$3000, H1505))</f>
        <v>1</v>
      </c>
      <c r="J1505" s="10" t="str">
        <f aca="false">_xlfn.CONCAT(A1505, ",",H1505,",",I1505)</f>
        <v>웨,키,1</v>
      </c>
      <c r="K1505" s="16" t="n">
        <f aca="false">IF(B1505=-1,-1,VLOOKUP(C1505,$T$1:$V$20,3))</f>
        <v>15</v>
      </c>
      <c r="L1505" s="16" t="n">
        <f aca="false">IF(B1505=-1,-1,VLOOKUP(D1505,$Y$1:$AA$22,3))</f>
        <v>16</v>
      </c>
      <c r="N1505" s="10" t="str">
        <f aca="false">_xlfn.UNICHAR(((C1505*21)+G1505)*28+44032)</f>
        <v>이</v>
      </c>
      <c r="O1505" s="10" t="str">
        <f aca="false">_xlfn.UNICHAR(((F1505*21)+D1505)*28+44032)</f>
        <v>퀘</v>
      </c>
      <c r="P1505" s="12" t="n">
        <f aca="false">COUNTIF($A$2:$A$3000, N1505) + COUNTIF($A$2:$A$3000, O1505)</f>
        <v>2</v>
      </c>
      <c r="Q1505" s="16" t="str">
        <f aca="false">IF(OR(B1505=-1,I1505=0, P1505&lt;&gt;2), "albhed_dummy", _xlfn.CONCAT("albhed ", RIGHT("  " &amp; K1505,2),", ", RIGHT("  " &amp; L1505,2), ", " ,"""",H1505,""", ", """",N1505,""", ","""",O1505,""""," ; ", A1505))</f>
        <v>albhed 15, 16, "키", "이", "퀘" ; 웨</v>
      </c>
    </row>
    <row r="1506" customFormat="false" ht="17.9" hidden="false" customHeight="true" outlineLevel="0" collapsed="false">
      <c r="A1506" s="16" t="s">
        <v>2362</v>
      </c>
      <c r="B1506" s="16" t="n">
        <f aca="false">IF(_xlfn.UNICODE(A1506)&lt;44032,-1,_xlfn.UNICODE(A1506)-44032)</f>
        <v>6889</v>
      </c>
      <c r="C1506" s="16" t="n">
        <f aca="false">IF(B1506=-1,-1,INT((B1506/28)/21))</f>
        <v>11</v>
      </c>
      <c r="D1506" s="16" t="n">
        <f aca="false">IF(B1506=-1, -1, MOD(INT(B1506/28),21))</f>
        <v>15</v>
      </c>
      <c r="E1506" s="16" t="n">
        <f aca="false">IF(B1506=-1, -1, VLOOKUP(MOD(B1506,28), $T$24:$U$52,2))</f>
        <v>1</v>
      </c>
      <c r="F1506" s="16" t="n">
        <f aca="false">IF($B1506=-1, -1, VLOOKUP(C1506,$T$1:$V$20, 2))</f>
        <v>15</v>
      </c>
      <c r="G1506" s="16" t="n">
        <f aca="false">IF($B1506=-1, -1, VLOOKUP(D1506,$Y$1:$Z$22,2))</f>
        <v>20</v>
      </c>
      <c r="H1506" s="16" t="str">
        <f aca="false">_xlfn.UNICHAR(((F1506*21)+G1506)*28+44032)</f>
        <v>키</v>
      </c>
      <c r="I1506" s="16" t="n">
        <f aca="false">IF(B1506=-1, 1, COUNTIF($A$2:$A$3000, H1506))</f>
        <v>1</v>
      </c>
      <c r="J1506" s="10" t="str">
        <f aca="false">_xlfn.CONCAT(A1506, ",",H1506,",",I1506)</f>
        <v>웩,키,1</v>
      </c>
      <c r="K1506" s="16" t="n">
        <f aca="false">IF(B1506=-1,-1,VLOOKUP(C1506,$T$1:$V$20,3))</f>
        <v>15</v>
      </c>
      <c r="L1506" s="16" t="n">
        <f aca="false">IF(B1506=-1,-1,VLOOKUP(D1506,$Y$1:$AA$22,3))</f>
        <v>16</v>
      </c>
      <c r="N1506" s="10" t="str">
        <f aca="false">_xlfn.UNICHAR(((C1506*21)+G1506)*28+44032)</f>
        <v>이</v>
      </c>
      <c r="O1506" s="10" t="str">
        <f aca="false">_xlfn.UNICHAR(((F1506*21)+D1506)*28+44032)</f>
        <v>퀘</v>
      </c>
      <c r="P1506" s="12" t="n">
        <f aca="false">COUNTIF($A$2:$A$3000, N1506) + COUNTIF($A$2:$A$3000, O1506)</f>
        <v>2</v>
      </c>
      <c r="Q1506" s="16" t="str">
        <f aca="false">IF(OR(B1506=-1,I1506=0, P1506&lt;&gt;2), "albhed_dummy", _xlfn.CONCAT("albhed ", RIGHT("  " &amp; K1506,2),", ", RIGHT("  " &amp; L1506,2), ", " ,"""",H1506,""", ", """",N1506,""", ","""",O1506,""""," ; ", A1506))</f>
        <v>albhed 15, 16, "키", "이", "퀘" ; 웩</v>
      </c>
    </row>
    <row r="1507" customFormat="false" ht="17.9" hidden="false" customHeight="true" outlineLevel="0" collapsed="false">
      <c r="A1507" s="16" t="s">
        <v>2363</v>
      </c>
      <c r="B1507" s="16" t="n">
        <f aca="false">IF(_xlfn.UNICODE(A1507)&lt;44032,-1,_xlfn.UNICODE(A1507)-44032)</f>
        <v>6892</v>
      </c>
      <c r="C1507" s="16" t="n">
        <f aca="false">IF(B1507=-1,-1,INT((B1507/28)/21))</f>
        <v>11</v>
      </c>
      <c r="D1507" s="16" t="n">
        <f aca="false">IF(B1507=-1, -1, MOD(INT(B1507/28),21))</f>
        <v>15</v>
      </c>
      <c r="E1507" s="16" t="n">
        <f aca="false">IF(B1507=-1, -1, VLOOKUP(MOD(B1507,28), $T$24:$U$52,2))</f>
        <v>4</v>
      </c>
      <c r="F1507" s="16" t="n">
        <f aca="false">IF($B1507=-1, -1, VLOOKUP(C1507,$T$1:$V$20, 2))</f>
        <v>15</v>
      </c>
      <c r="G1507" s="16" t="n">
        <f aca="false">IF($B1507=-1, -1, VLOOKUP(D1507,$Y$1:$Z$22,2))</f>
        <v>20</v>
      </c>
      <c r="H1507" s="16" t="str">
        <f aca="false">_xlfn.UNICHAR(((F1507*21)+G1507)*28+44032)</f>
        <v>키</v>
      </c>
      <c r="I1507" s="16" t="n">
        <f aca="false">IF(B1507=-1, 1, COUNTIF($A$2:$A$3000, H1507))</f>
        <v>1</v>
      </c>
      <c r="J1507" s="10" t="str">
        <f aca="false">_xlfn.CONCAT(A1507, ",",H1507,",",I1507)</f>
        <v>웬,키,1</v>
      </c>
      <c r="K1507" s="16" t="n">
        <f aca="false">IF(B1507=-1,-1,VLOOKUP(C1507,$T$1:$V$20,3))</f>
        <v>15</v>
      </c>
      <c r="L1507" s="16" t="n">
        <f aca="false">IF(B1507=-1,-1,VLOOKUP(D1507,$Y$1:$AA$22,3))</f>
        <v>16</v>
      </c>
      <c r="N1507" s="10" t="str">
        <f aca="false">_xlfn.UNICHAR(((C1507*21)+G1507)*28+44032)</f>
        <v>이</v>
      </c>
      <c r="O1507" s="10" t="str">
        <f aca="false">_xlfn.UNICHAR(((F1507*21)+D1507)*28+44032)</f>
        <v>퀘</v>
      </c>
      <c r="P1507" s="12" t="n">
        <f aca="false">COUNTIF($A$2:$A$3000, N1507) + COUNTIF($A$2:$A$3000, O1507)</f>
        <v>2</v>
      </c>
      <c r="Q1507" s="16" t="str">
        <f aca="false">IF(OR(B1507=-1,I1507=0, P1507&lt;&gt;2), "albhed_dummy", _xlfn.CONCAT("albhed ", RIGHT("  " &amp; K1507,2),", ", RIGHT("  " &amp; L1507,2), ", " ,"""",H1507,""", ", """",N1507,""", ","""",O1507,""""," ; ", A1507))</f>
        <v>albhed 15, 16, "키", "이", "퀘" ; 웬</v>
      </c>
    </row>
    <row r="1508" customFormat="false" ht="17.9" hidden="false" customHeight="true" outlineLevel="0" collapsed="false">
      <c r="A1508" s="16" t="s">
        <v>2364</v>
      </c>
      <c r="B1508" s="16" t="n">
        <f aca="false">IF(_xlfn.UNICODE(A1508)&lt;44032,-1,_xlfn.UNICODE(A1508)-44032)</f>
        <v>6896</v>
      </c>
      <c r="C1508" s="16" t="n">
        <f aca="false">IF(B1508=-1,-1,INT((B1508/28)/21))</f>
        <v>11</v>
      </c>
      <c r="D1508" s="16" t="n">
        <f aca="false">IF(B1508=-1, -1, MOD(INT(B1508/28),21))</f>
        <v>15</v>
      </c>
      <c r="E1508" s="16" t="n">
        <f aca="false">IF(B1508=-1, -1, VLOOKUP(MOD(B1508,28), $T$24:$U$52,2))</f>
        <v>8</v>
      </c>
      <c r="F1508" s="16" t="n">
        <f aca="false">IF($B1508=-1, -1, VLOOKUP(C1508,$T$1:$V$20, 2))</f>
        <v>15</v>
      </c>
      <c r="G1508" s="16" t="n">
        <f aca="false">IF($B1508=-1, -1, VLOOKUP(D1508,$Y$1:$Z$22,2))</f>
        <v>20</v>
      </c>
      <c r="H1508" s="16" t="str">
        <f aca="false">_xlfn.UNICHAR(((F1508*21)+G1508)*28+44032)</f>
        <v>키</v>
      </c>
      <c r="I1508" s="16" t="n">
        <f aca="false">IF(B1508=-1, 1, COUNTIF($A$2:$A$3000, H1508))</f>
        <v>1</v>
      </c>
      <c r="J1508" s="10" t="str">
        <f aca="false">_xlfn.CONCAT(A1508, ",",H1508,",",I1508)</f>
        <v>웰,키,1</v>
      </c>
      <c r="K1508" s="16" t="n">
        <f aca="false">IF(B1508=-1,-1,VLOOKUP(C1508,$T$1:$V$20,3))</f>
        <v>15</v>
      </c>
      <c r="L1508" s="16" t="n">
        <f aca="false">IF(B1508=-1,-1,VLOOKUP(D1508,$Y$1:$AA$22,3))</f>
        <v>16</v>
      </c>
      <c r="N1508" s="10" t="str">
        <f aca="false">_xlfn.UNICHAR(((C1508*21)+G1508)*28+44032)</f>
        <v>이</v>
      </c>
      <c r="O1508" s="10" t="str">
        <f aca="false">_xlfn.UNICHAR(((F1508*21)+D1508)*28+44032)</f>
        <v>퀘</v>
      </c>
      <c r="P1508" s="12" t="n">
        <f aca="false">COUNTIF($A$2:$A$3000, N1508) + COUNTIF($A$2:$A$3000, O1508)</f>
        <v>2</v>
      </c>
      <c r="Q1508" s="16" t="str">
        <f aca="false">IF(OR(B1508=-1,I1508=0, P1508&lt;&gt;2), "albhed_dummy", _xlfn.CONCAT("albhed ", RIGHT("  " &amp; K1508,2),", ", RIGHT("  " &amp; L1508,2), ", " ,"""",H1508,""", ", """",N1508,""", ","""",O1508,""""," ; ", A1508))</f>
        <v>albhed 15, 16, "키", "이", "퀘" ; 웰</v>
      </c>
    </row>
    <row r="1509" customFormat="false" ht="17.9" hidden="false" customHeight="true" outlineLevel="0" collapsed="false">
      <c r="A1509" s="16" t="s">
        <v>2365</v>
      </c>
      <c r="B1509" s="16" t="n">
        <f aca="false">IF(_xlfn.UNICODE(A1509)&lt;44032,-1,_xlfn.UNICODE(A1509)-44032)</f>
        <v>6904</v>
      </c>
      <c r="C1509" s="16" t="n">
        <f aca="false">IF(B1509=-1,-1,INT((B1509/28)/21))</f>
        <v>11</v>
      </c>
      <c r="D1509" s="16" t="n">
        <f aca="false">IF(B1509=-1, -1, MOD(INT(B1509/28),21))</f>
        <v>15</v>
      </c>
      <c r="E1509" s="16" t="n">
        <f aca="false">IF(B1509=-1, -1, VLOOKUP(MOD(B1509,28), $T$24:$U$52,2))</f>
        <v>16</v>
      </c>
      <c r="F1509" s="16" t="n">
        <f aca="false">IF($B1509=-1, -1, VLOOKUP(C1509,$T$1:$V$20, 2))</f>
        <v>15</v>
      </c>
      <c r="G1509" s="16" t="n">
        <f aca="false">IF($B1509=-1, -1, VLOOKUP(D1509,$Y$1:$Z$22,2))</f>
        <v>20</v>
      </c>
      <c r="H1509" s="16" t="str">
        <f aca="false">_xlfn.UNICHAR(((F1509*21)+G1509)*28+44032)</f>
        <v>키</v>
      </c>
      <c r="I1509" s="16" t="n">
        <f aca="false">IF(B1509=-1, 1, COUNTIF($A$2:$A$3000, H1509))</f>
        <v>1</v>
      </c>
      <c r="J1509" s="10" t="str">
        <f aca="false">_xlfn.CONCAT(A1509, ",",H1509,",",I1509)</f>
        <v>웸,키,1</v>
      </c>
      <c r="K1509" s="16" t="n">
        <f aca="false">IF(B1509=-1,-1,VLOOKUP(C1509,$T$1:$V$20,3))</f>
        <v>15</v>
      </c>
      <c r="L1509" s="16" t="n">
        <f aca="false">IF(B1509=-1,-1,VLOOKUP(D1509,$Y$1:$AA$22,3))</f>
        <v>16</v>
      </c>
      <c r="N1509" s="10" t="str">
        <f aca="false">_xlfn.UNICHAR(((C1509*21)+G1509)*28+44032)</f>
        <v>이</v>
      </c>
      <c r="O1509" s="10" t="str">
        <f aca="false">_xlfn.UNICHAR(((F1509*21)+D1509)*28+44032)</f>
        <v>퀘</v>
      </c>
      <c r="P1509" s="12" t="n">
        <f aca="false">COUNTIF($A$2:$A$3000, N1509) + COUNTIF($A$2:$A$3000, O1509)</f>
        <v>2</v>
      </c>
      <c r="Q1509" s="16" t="str">
        <f aca="false">IF(OR(B1509=-1,I1509=0, P1509&lt;&gt;2), "albhed_dummy", _xlfn.CONCAT("albhed ", RIGHT("  " &amp; K1509,2),", ", RIGHT("  " &amp; L1509,2), ", " ,"""",H1509,""", ", """",N1509,""", ","""",O1509,""""," ; ", A1509))</f>
        <v>albhed 15, 16, "키", "이", "퀘" ; 웸</v>
      </c>
    </row>
    <row r="1510" customFormat="false" ht="17.9" hidden="false" customHeight="true" outlineLevel="0" collapsed="false">
      <c r="A1510" s="16" t="s">
        <v>2366</v>
      </c>
      <c r="B1510" s="16" t="n">
        <f aca="false">IF(_xlfn.UNICODE(A1510)&lt;44032,-1,_xlfn.UNICODE(A1510)-44032)</f>
        <v>6905</v>
      </c>
      <c r="C1510" s="16" t="n">
        <f aca="false">IF(B1510=-1,-1,INT((B1510/28)/21))</f>
        <v>11</v>
      </c>
      <c r="D1510" s="16" t="n">
        <f aca="false">IF(B1510=-1, -1, MOD(INT(B1510/28),21))</f>
        <v>15</v>
      </c>
      <c r="E1510" s="16" t="n">
        <f aca="false">IF(B1510=-1, -1, VLOOKUP(MOD(B1510,28), $T$24:$U$52,2))</f>
        <v>17</v>
      </c>
      <c r="F1510" s="16" t="n">
        <f aca="false">IF($B1510=-1, -1, VLOOKUP(C1510,$T$1:$V$20, 2))</f>
        <v>15</v>
      </c>
      <c r="G1510" s="16" t="n">
        <f aca="false">IF($B1510=-1, -1, VLOOKUP(D1510,$Y$1:$Z$22,2))</f>
        <v>20</v>
      </c>
      <c r="H1510" s="16" t="str">
        <f aca="false">_xlfn.UNICHAR(((F1510*21)+G1510)*28+44032)</f>
        <v>키</v>
      </c>
      <c r="I1510" s="16" t="n">
        <f aca="false">IF(B1510=-1, 1, COUNTIF($A$2:$A$3000, H1510))</f>
        <v>1</v>
      </c>
      <c r="J1510" s="10" t="str">
        <f aca="false">_xlfn.CONCAT(A1510, ",",H1510,",",I1510)</f>
        <v>웹,키,1</v>
      </c>
      <c r="K1510" s="16" t="n">
        <f aca="false">IF(B1510=-1,-1,VLOOKUP(C1510,$T$1:$V$20,3))</f>
        <v>15</v>
      </c>
      <c r="L1510" s="16" t="n">
        <f aca="false">IF(B1510=-1,-1,VLOOKUP(D1510,$Y$1:$AA$22,3))</f>
        <v>16</v>
      </c>
      <c r="N1510" s="10" t="str">
        <f aca="false">_xlfn.UNICHAR(((C1510*21)+G1510)*28+44032)</f>
        <v>이</v>
      </c>
      <c r="O1510" s="10" t="str">
        <f aca="false">_xlfn.UNICHAR(((F1510*21)+D1510)*28+44032)</f>
        <v>퀘</v>
      </c>
      <c r="P1510" s="12" t="n">
        <f aca="false">COUNTIF($A$2:$A$3000, N1510) + COUNTIF($A$2:$A$3000, O1510)</f>
        <v>2</v>
      </c>
      <c r="Q1510" s="16" t="str">
        <f aca="false">IF(OR(B1510=-1,I1510=0, P1510&lt;&gt;2), "albhed_dummy", _xlfn.CONCAT("albhed ", RIGHT("  " &amp; K1510,2),", ", RIGHT("  " &amp; L1510,2), ", " ,"""",H1510,""", ", """",N1510,""", ","""",O1510,""""," ; ", A1510))</f>
        <v>albhed 15, 16, "키", "이", "퀘" ; 웹</v>
      </c>
    </row>
    <row r="1511" customFormat="false" ht="17.9" hidden="false" customHeight="true" outlineLevel="0" collapsed="false">
      <c r="A1511" s="16" t="s">
        <v>2367</v>
      </c>
      <c r="B1511" s="16" t="n">
        <f aca="false">IF(_xlfn.UNICODE(A1511)&lt;44032,-1,_xlfn.UNICODE(A1511)-44032)</f>
        <v>6909</v>
      </c>
      <c r="C1511" s="16" t="n">
        <f aca="false">IF(B1511=-1,-1,INT((B1511/28)/21))</f>
        <v>11</v>
      </c>
      <c r="D1511" s="16" t="n">
        <f aca="false">IF(B1511=-1, -1, MOD(INT(B1511/28),21))</f>
        <v>15</v>
      </c>
      <c r="E1511" s="16" t="n">
        <f aca="false">IF(B1511=-1, -1, VLOOKUP(MOD(B1511,28), $T$24:$U$52,2))</f>
        <v>21</v>
      </c>
      <c r="F1511" s="16" t="n">
        <f aca="false">IF($B1511=-1, -1, VLOOKUP(C1511,$T$1:$V$20, 2))</f>
        <v>15</v>
      </c>
      <c r="G1511" s="16" t="n">
        <f aca="false">IF($B1511=-1, -1, VLOOKUP(D1511,$Y$1:$Z$22,2))</f>
        <v>20</v>
      </c>
      <c r="H1511" s="16" t="str">
        <f aca="false">_xlfn.UNICHAR(((F1511*21)+G1511)*28+44032)</f>
        <v>키</v>
      </c>
      <c r="I1511" s="16" t="n">
        <f aca="false">IF(B1511=-1, 1, COUNTIF($A$2:$A$3000, H1511))</f>
        <v>1</v>
      </c>
      <c r="J1511" s="10" t="str">
        <f aca="false">_xlfn.CONCAT(A1511, ",",H1511,",",I1511)</f>
        <v>웽,키,1</v>
      </c>
      <c r="K1511" s="16" t="n">
        <f aca="false">IF(B1511=-1,-1,VLOOKUP(C1511,$T$1:$V$20,3))</f>
        <v>15</v>
      </c>
      <c r="L1511" s="16" t="n">
        <f aca="false">IF(B1511=-1,-1,VLOOKUP(D1511,$Y$1:$AA$22,3))</f>
        <v>16</v>
      </c>
      <c r="N1511" s="10" t="str">
        <f aca="false">_xlfn.UNICHAR(((C1511*21)+G1511)*28+44032)</f>
        <v>이</v>
      </c>
      <c r="O1511" s="10" t="str">
        <f aca="false">_xlfn.UNICHAR(((F1511*21)+D1511)*28+44032)</f>
        <v>퀘</v>
      </c>
      <c r="P1511" s="12" t="n">
        <f aca="false">COUNTIF($A$2:$A$3000, N1511) + COUNTIF($A$2:$A$3000, O1511)</f>
        <v>2</v>
      </c>
      <c r="Q1511" s="16" t="str">
        <f aca="false">IF(OR(B1511=-1,I1511=0, P1511&lt;&gt;2), "albhed_dummy", _xlfn.CONCAT("albhed ", RIGHT("  " &amp; K1511,2),", ", RIGHT("  " &amp; L1511,2), ", " ,"""",H1511,""", ", """",N1511,""", ","""",O1511,""""," ; ", A1511))</f>
        <v>albhed 15, 16, "키", "이", "퀘" ; 웽</v>
      </c>
    </row>
    <row r="1512" customFormat="false" ht="17.9" hidden="false" customHeight="true" outlineLevel="0" collapsed="false">
      <c r="A1512" s="16" t="s">
        <v>2368</v>
      </c>
      <c r="B1512" s="16" t="n">
        <f aca="false">IF(_xlfn.UNICODE(A1512)&lt;44032,-1,_xlfn.UNICODE(A1512)-44032)</f>
        <v>6916</v>
      </c>
      <c r="C1512" s="16" t="n">
        <f aca="false">IF(B1512=-1,-1,INT((B1512/28)/21))</f>
        <v>11</v>
      </c>
      <c r="D1512" s="16" t="n">
        <f aca="false">IF(B1512=-1, -1, MOD(INT(B1512/28),21))</f>
        <v>16</v>
      </c>
      <c r="E1512" s="16" t="n">
        <f aca="false">IF(B1512=-1, -1, VLOOKUP(MOD(B1512,28), $T$24:$U$52,2))</f>
        <v>0</v>
      </c>
      <c r="F1512" s="16" t="n">
        <f aca="false">IF($B1512=-1, -1, VLOOKUP(C1512,$T$1:$V$20, 2))</f>
        <v>15</v>
      </c>
      <c r="G1512" s="16" t="n">
        <f aca="false">IF($B1512=-1, -1, VLOOKUP(D1512,$Y$1:$Z$22,2))</f>
        <v>20</v>
      </c>
      <c r="H1512" s="16" t="str">
        <f aca="false">_xlfn.UNICHAR(((F1512*21)+G1512)*28+44032)</f>
        <v>키</v>
      </c>
      <c r="I1512" s="16" t="n">
        <f aca="false">IF(B1512=-1, 1, COUNTIF($A$2:$A$3000, H1512))</f>
        <v>1</v>
      </c>
      <c r="J1512" s="10" t="str">
        <f aca="false">_xlfn.CONCAT(A1512, ",",H1512,",",I1512)</f>
        <v>위,키,1</v>
      </c>
      <c r="K1512" s="16" t="n">
        <f aca="false">IF(B1512=-1,-1,VLOOKUP(C1512,$T$1:$V$20,3))</f>
        <v>15</v>
      </c>
      <c r="L1512" s="16" t="n">
        <f aca="false">IF(B1512=-1,-1,VLOOKUP(D1512,$Y$1:$AA$22,3))</f>
        <v>22</v>
      </c>
      <c r="N1512" s="10" t="str">
        <f aca="false">_xlfn.UNICHAR(((C1512*21)+G1512)*28+44032)</f>
        <v>이</v>
      </c>
      <c r="O1512" s="10" t="str">
        <f aca="false">_xlfn.UNICHAR(((F1512*21)+D1512)*28+44032)</f>
        <v>퀴</v>
      </c>
      <c r="P1512" s="12" t="n">
        <f aca="false">COUNTIF($A$2:$A$3000, N1512) + COUNTIF($A$2:$A$3000, O1512)</f>
        <v>2</v>
      </c>
      <c r="Q1512" s="16" t="str">
        <f aca="false">IF(OR(B1512=-1,I1512=0, P1512&lt;&gt;2), "albhed_dummy", _xlfn.CONCAT("albhed ", RIGHT("  " &amp; K1512,2),", ", RIGHT("  " &amp; L1512,2), ", " ,"""",H1512,""", ", """",N1512,""", ","""",O1512,""""," ; ", A1512))</f>
        <v>albhed 15, 22, "키", "이", "퀴" ; 위</v>
      </c>
    </row>
    <row r="1513" customFormat="false" ht="17.9" hidden="false" customHeight="true" outlineLevel="0" collapsed="false">
      <c r="A1513" s="16" t="s">
        <v>2369</v>
      </c>
      <c r="B1513" s="16" t="n">
        <f aca="false">IF(_xlfn.UNICODE(A1513)&lt;44032,-1,_xlfn.UNICODE(A1513)-44032)</f>
        <v>6917</v>
      </c>
      <c r="C1513" s="16" t="n">
        <f aca="false">IF(B1513=-1,-1,INT((B1513/28)/21))</f>
        <v>11</v>
      </c>
      <c r="D1513" s="16" t="n">
        <f aca="false">IF(B1513=-1, -1, MOD(INT(B1513/28),21))</f>
        <v>16</v>
      </c>
      <c r="E1513" s="16" t="n">
        <f aca="false">IF(B1513=-1, -1, VLOOKUP(MOD(B1513,28), $T$24:$U$52,2))</f>
        <v>1</v>
      </c>
      <c r="F1513" s="16" t="n">
        <f aca="false">IF($B1513=-1, -1, VLOOKUP(C1513,$T$1:$V$20, 2))</f>
        <v>15</v>
      </c>
      <c r="G1513" s="16" t="n">
        <f aca="false">IF($B1513=-1, -1, VLOOKUP(D1513,$Y$1:$Z$22,2))</f>
        <v>20</v>
      </c>
      <c r="H1513" s="16" t="str">
        <f aca="false">_xlfn.UNICHAR(((F1513*21)+G1513)*28+44032)</f>
        <v>키</v>
      </c>
      <c r="I1513" s="16" t="n">
        <f aca="false">IF(B1513=-1, 1, COUNTIF($A$2:$A$3000, H1513))</f>
        <v>1</v>
      </c>
      <c r="J1513" s="10" t="str">
        <f aca="false">_xlfn.CONCAT(A1513, ",",H1513,",",I1513)</f>
        <v>윅,키,1</v>
      </c>
      <c r="K1513" s="16" t="n">
        <f aca="false">IF(B1513=-1,-1,VLOOKUP(C1513,$T$1:$V$20,3))</f>
        <v>15</v>
      </c>
      <c r="L1513" s="16" t="n">
        <f aca="false">IF(B1513=-1,-1,VLOOKUP(D1513,$Y$1:$AA$22,3))</f>
        <v>22</v>
      </c>
      <c r="N1513" s="10" t="str">
        <f aca="false">_xlfn.UNICHAR(((C1513*21)+G1513)*28+44032)</f>
        <v>이</v>
      </c>
      <c r="O1513" s="10" t="str">
        <f aca="false">_xlfn.UNICHAR(((F1513*21)+D1513)*28+44032)</f>
        <v>퀴</v>
      </c>
      <c r="P1513" s="12" t="n">
        <f aca="false">COUNTIF($A$2:$A$3000, N1513) + COUNTIF($A$2:$A$3000, O1513)</f>
        <v>2</v>
      </c>
      <c r="Q1513" s="16" t="str">
        <f aca="false">IF(OR(B1513=-1,I1513=0, P1513&lt;&gt;2), "albhed_dummy", _xlfn.CONCAT("albhed ", RIGHT("  " &amp; K1513,2),", ", RIGHT("  " &amp; L1513,2), ", " ,"""",H1513,""", ", """",N1513,""", ","""",O1513,""""," ; ", A1513))</f>
        <v>albhed 15, 22, "키", "이", "퀴" ; 윅</v>
      </c>
    </row>
    <row r="1514" customFormat="false" ht="17.9" hidden="false" customHeight="true" outlineLevel="0" collapsed="false">
      <c r="A1514" s="16" t="s">
        <v>2370</v>
      </c>
      <c r="B1514" s="16" t="n">
        <f aca="false">IF(_xlfn.UNICODE(A1514)&lt;44032,-1,_xlfn.UNICODE(A1514)-44032)</f>
        <v>6920</v>
      </c>
      <c r="C1514" s="16" t="n">
        <f aca="false">IF(B1514=-1,-1,INT((B1514/28)/21))</f>
        <v>11</v>
      </c>
      <c r="D1514" s="16" t="n">
        <f aca="false">IF(B1514=-1, -1, MOD(INT(B1514/28),21))</f>
        <v>16</v>
      </c>
      <c r="E1514" s="16" t="n">
        <f aca="false">IF(B1514=-1, -1, VLOOKUP(MOD(B1514,28), $T$24:$U$52,2))</f>
        <v>4</v>
      </c>
      <c r="F1514" s="16" t="n">
        <f aca="false">IF($B1514=-1, -1, VLOOKUP(C1514,$T$1:$V$20, 2))</f>
        <v>15</v>
      </c>
      <c r="G1514" s="16" t="n">
        <f aca="false">IF($B1514=-1, -1, VLOOKUP(D1514,$Y$1:$Z$22,2))</f>
        <v>20</v>
      </c>
      <c r="H1514" s="16" t="str">
        <f aca="false">_xlfn.UNICHAR(((F1514*21)+G1514)*28+44032)</f>
        <v>키</v>
      </c>
      <c r="I1514" s="16" t="n">
        <f aca="false">IF(B1514=-1, 1, COUNTIF($A$2:$A$3000, H1514))</f>
        <v>1</v>
      </c>
      <c r="J1514" s="10" t="str">
        <f aca="false">_xlfn.CONCAT(A1514, ",",H1514,",",I1514)</f>
        <v>윈,키,1</v>
      </c>
      <c r="K1514" s="16" t="n">
        <f aca="false">IF(B1514=-1,-1,VLOOKUP(C1514,$T$1:$V$20,3))</f>
        <v>15</v>
      </c>
      <c r="L1514" s="16" t="n">
        <f aca="false">IF(B1514=-1,-1,VLOOKUP(D1514,$Y$1:$AA$22,3))</f>
        <v>22</v>
      </c>
      <c r="N1514" s="10" t="str">
        <f aca="false">_xlfn.UNICHAR(((C1514*21)+G1514)*28+44032)</f>
        <v>이</v>
      </c>
      <c r="O1514" s="10" t="str">
        <f aca="false">_xlfn.UNICHAR(((F1514*21)+D1514)*28+44032)</f>
        <v>퀴</v>
      </c>
      <c r="P1514" s="12" t="n">
        <f aca="false">COUNTIF($A$2:$A$3000, N1514) + COUNTIF($A$2:$A$3000, O1514)</f>
        <v>2</v>
      </c>
      <c r="Q1514" s="16" t="str">
        <f aca="false">IF(OR(B1514=-1,I1514=0, P1514&lt;&gt;2), "albhed_dummy", _xlfn.CONCAT("albhed ", RIGHT("  " &amp; K1514,2),", ", RIGHT("  " &amp; L1514,2), ", " ,"""",H1514,""", ", """",N1514,""", ","""",O1514,""""," ; ", A1514))</f>
        <v>albhed 15, 22, "키", "이", "퀴" ; 윈</v>
      </c>
    </row>
    <row r="1515" customFormat="false" ht="17.9" hidden="false" customHeight="true" outlineLevel="0" collapsed="false">
      <c r="A1515" s="16" t="s">
        <v>2371</v>
      </c>
      <c r="B1515" s="16" t="n">
        <f aca="false">IF(_xlfn.UNICODE(A1515)&lt;44032,-1,_xlfn.UNICODE(A1515)-44032)</f>
        <v>6924</v>
      </c>
      <c r="C1515" s="16" t="n">
        <f aca="false">IF(B1515=-1,-1,INT((B1515/28)/21))</f>
        <v>11</v>
      </c>
      <c r="D1515" s="16" t="n">
        <f aca="false">IF(B1515=-1, -1, MOD(INT(B1515/28),21))</f>
        <v>16</v>
      </c>
      <c r="E1515" s="16" t="n">
        <f aca="false">IF(B1515=-1, -1, VLOOKUP(MOD(B1515,28), $T$24:$U$52,2))</f>
        <v>8</v>
      </c>
      <c r="F1515" s="16" t="n">
        <f aca="false">IF($B1515=-1, -1, VLOOKUP(C1515,$T$1:$V$20, 2))</f>
        <v>15</v>
      </c>
      <c r="G1515" s="16" t="n">
        <f aca="false">IF($B1515=-1, -1, VLOOKUP(D1515,$Y$1:$Z$22,2))</f>
        <v>20</v>
      </c>
      <c r="H1515" s="16" t="str">
        <f aca="false">_xlfn.UNICHAR(((F1515*21)+G1515)*28+44032)</f>
        <v>키</v>
      </c>
      <c r="I1515" s="16" t="n">
        <f aca="false">IF(B1515=-1, 1, COUNTIF($A$2:$A$3000, H1515))</f>
        <v>1</v>
      </c>
      <c r="J1515" s="10" t="str">
        <f aca="false">_xlfn.CONCAT(A1515, ",",H1515,",",I1515)</f>
        <v>윌,키,1</v>
      </c>
      <c r="K1515" s="16" t="n">
        <f aca="false">IF(B1515=-1,-1,VLOOKUP(C1515,$T$1:$V$20,3))</f>
        <v>15</v>
      </c>
      <c r="L1515" s="16" t="n">
        <f aca="false">IF(B1515=-1,-1,VLOOKUP(D1515,$Y$1:$AA$22,3))</f>
        <v>22</v>
      </c>
      <c r="N1515" s="10" t="str">
        <f aca="false">_xlfn.UNICHAR(((C1515*21)+G1515)*28+44032)</f>
        <v>이</v>
      </c>
      <c r="O1515" s="10" t="str">
        <f aca="false">_xlfn.UNICHAR(((F1515*21)+D1515)*28+44032)</f>
        <v>퀴</v>
      </c>
      <c r="P1515" s="12" t="n">
        <f aca="false">COUNTIF($A$2:$A$3000, N1515) + COUNTIF($A$2:$A$3000, O1515)</f>
        <v>2</v>
      </c>
      <c r="Q1515" s="16" t="str">
        <f aca="false">IF(OR(B1515=-1,I1515=0, P1515&lt;&gt;2), "albhed_dummy", _xlfn.CONCAT("albhed ", RIGHT("  " &amp; K1515,2),", ", RIGHT("  " &amp; L1515,2), ", " ,"""",H1515,""", ", """",N1515,""", ","""",O1515,""""," ; ", A1515))</f>
        <v>albhed 15, 22, "키", "이", "퀴" ; 윌</v>
      </c>
    </row>
    <row r="1516" customFormat="false" ht="17.9" hidden="false" customHeight="true" outlineLevel="0" collapsed="false">
      <c r="A1516" s="16" t="s">
        <v>2372</v>
      </c>
      <c r="B1516" s="16" t="n">
        <f aca="false">IF(_xlfn.UNICODE(A1516)&lt;44032,-1,_xlfn.UNICODE(A1516)-44032)</f>
        <v>6932</v>
      </c>
      <c r="C1516" s="16" t="n">
        <f aca="false">IF(B1516=-1,-1,INT((B1516/28)/21))</f>
        <v>11</v>
      </c>
      <c r="D1516" s="16" t="n">
        <f aca="false">IF(B1516=-1, -1, MOD(INT(B1516/28),21))</f>
        <v>16</v>
      </c>
      <c r="E1516" s="16" t="n">
        <f aca="false">IF(B1516=-1, -1, VLOOKUP(MOD(B1516,28), $T$24:$U$52,2))</f>
        <v>16</v>
      </c>
      <c r="F1516" s="16" t="n">
        <f aca="false">IF($B1516=-1, -1, VLOOKUP(C1516,$T$1:$V$20, 2))</f>
        <v>15</v>
      </c>
      <c r="G1516" s="16" t="n">
        <f aca="false">IF($B1516=-1, -1, VLOOKUP(D1516,$Y$1:$Z$22,2))</f>
        <v>20</v>
      </c>
      <c r="H1516" s="16" t="str">
        <f aca="false">_xlfn.UNICHAR(((F1516*21)+G1516)*28+44032)</f>
        <v>키</v>
      </c>
      <c r="I1516" s="16" t="n">
        <f aca="false">IF(B1516=-1, 1, COUNTIF($A$2:$A$3000, H1516))</f>
        <v>1</v>
      </c>
      <c r="J1516" s="10" t="str">
        <f aca="false">_xlfn.CONCAT(A1516, ",",H1516,",",I1516)</f>
        <v>윔,키,1</v>
      </c>
      <c r="K1516" s="16" t="n">
        <f aca="false">IF(B1516=-1,-1,VLOOKUP(C1516,$T$1:$V$20,3))</f>
        <v>15</v>
      </c>
      <c r="L1516" s="16" t="n">
        <f aca="false">IF(B1516=-1,-1,VLOOKUP(D1516,$Y$1:$AA$22,3))</f>
        <v>22</v>
      </c>
      <c r="N1516" s="10" t="str">
        <f aca="false">_xlfn.UNICHAR(((C1516*21)+G1516)*28+44032)</f>
        <v>이</v>
      </c>
      <c r="O1516" s="10" t="str">
        <f aca="false">_xlfn.UNICHAR(((F1516*21)+D1516)*28+44032)</f>
        <v>퀴</v>
      </c>
      <c r="P1516" s="12" t="n">
        <f aca="false">COUNTIF($A$2:$A$3000, N1516) + COUNTIF($A$2:$A$3000, O1516)</f>
        <v>2</v>
      </c>
      <c r="Q1516" s="16" t="str">
        <f aca="false">IF(OR(B1516=-1,I1516=0, P1516&lt;&gt;2), "albhed_dummy", _xlfn.CONCAT("albhed ", RIGHT("  " &amp; K1516,2),", ", RIGHT("  " &amp; L1516,2), ", " ,"""",H1516,""", ", """",N1516,""", ","""",O1516,""""," ; ", A1516))</f>
        <v>albhed 15, 22, "키", "이", "퀴" ; 윔</v>
      </c>
    </row>
    <row r="1517" customFormat="false" ht="17.9" hidden="false" customHeight="true" outlineLevel="0" collapsed="false">
      <c r="A1517" s="16" t="s">
        <v>2373</v>
      </c>
      <c r="B1517" s="16" t="n">
        <f aca="false">IF(_xlfn.UNICODE(A1517)&lt;44032,-1,_xlfn.UNICODE(A1517)-44032)</f>
        <v>6933</v>
      </c>
      <c r="C1517" s="16" t="n">
        <f aca="false">IF(B1517=-1,-1,INT((B1517/28)/21))</f>
        <v>11</v>
      </c>
      <c r="D1517" s="16" t="n">
        <f aca="false">IF(B1517=-1, -1, MOD(INT(B1517/28),21))</f>
        <v>16</v>
      </c>
      <c r="E1517" s="16" t="n">
        <f aca="false">IF(B1517=-1, -1, VLOOKUP(MOD(B1517,28), $T$24:$U$52,2))</f>
        <v>17</v>
      </c>
      <c r="F1517" s="16" t="n">
        <f aca="false">IF($B1517=-1, -1, VLOOKUP(C1517,$T$1:$V$20, 2))</f>
        <v>15</v>
      </c>
      <c r="G1517" s="16" t="n">
        <f aca="false">IF($B1517=-1, -1, VLOOKUP(D1517,$Y$1:$Z$22,2))</f>
        <v>20</v>
      </c>
      <c r="H1517" s="16" t="str">
        <f aca="false">_xlfn.UNICHAR(((F1517*21)+G1517)*28+44032)</f>
        <v>키</v>
      </c>
      <c r="I1517" s="16" t="n">
        <f aca="false">IF(B1517=-1, 1, COUNTIF($A$2:$A$3000, H1517))</f>
        <v>1</v>
      </c>
      <c r="J1517" s="10" t="str">
        <f aca="false">_xlfn.CONCAT(A1517, ",",H1517,",",I1517)</f>
        <v>윕,키,1</v>
      </c>
      <c r="K1517" s="16" t="n">
        <f aca="false">IF(B1517=-1,-1,VLOOKUP(C1517,$T$1:$V$20,3))</f>
        <v>15</v>
      </c>
      <c r="L1517" s="16" t="n">
        <f aca="false">IF(B1517=-1,-1,VLOOKUP(D1517,$Y$1:$AA$22,3))</f>
        <v>22</v>
      </c>
      <c r="N1517" s="10" t="str">
        <f aca="false">_xlfn.UNICHAR(((C1517*21)+G1517)*28+44032)</f>
        <v>이</v>
      </c>
      <c r="O1517" s="10" t="str">
        <f aca="false">_xlfn.UNICHAR(((F1517*21)+D1517)*28+44032)</f>
        <v>퀴</v>
      </c>
      <c r="P1517" s="12" t="n">
        <f aca="false">COUNTIF($A$2:$A$3000, N1517) + COUNTIF($A$2:$A$3000, O1517)</f>
        <v>2</v>
      </c>
      <c r="Q1517" s="16" t="str">
        <f aca="false">IF(OR(B1517=-1,I1517=0, P1517&lt;&gt;2), "albhed_dummy", _xlfn.CONCAT("albhed ", RIGHT("  " &amp; K1517,2),", ", RIGHT("  " &amp; L1517,2), ", " ,"""",H1517,""", ", """",N1517,""", ","""",O1517,""""," ; ", A1517))</f>
        <v>albhed 15, 22, "키", "이", "퀴" ; 윕</v>
      </c>
    </row>
    <row r="1518" customFormat="false" ht="17.9" hidden="false" customHeight="true" outlineLevel="0" collapsed="false">
      <c r="A1518" s="16" t="s">
        <v>2374</v>
      </c>
      <c r="B1518" s="16" t="n">
        <f aca="false">IF(_xlfn.UNICODE(A1518)&lt;44032,-1,_xlfn.UNICODE(A1518)-44032)</f>
        <v>6935</v>
      </c>
      <c r="C1518" s="16" t="n">
        <f aca="false">IF(B1518=-1,-1,INT((B1518/28)/21))</f>
        <v>11</v>
      </c>
      <c r="D1518" s="16" t="n">
        <f aca="false">IF(B1518=-1, -1, MOD(INT(B1518/28),21))</f>
        <v>16</v>
      </c>
      <c r="E1518" s="16" t="n">
        <f aca="false">IF(B1518=-1, -1, VLOOKUP(MOD(B1518,28), $T$24:$U$52,2))</f>
        <v>19</v>
      </c>
      <c r="F1518" s="16" t="n">
        <f aca="false">IF($B1518=-1, -1, VLOOKUP(C1518,$T$1:$V$20, 2))</f>
        <v>15</v>
      </c>
      <c r="G1518" s="16" t="n">
        <f aca="false">IF($B1518=-1, -1, VLOOKUP(D1518,$Y$1:$Z$22,2))</f>
        <v>20</v>
      </c>
      <c r="H1518" s="16" t="str">
        <f aca="false">_xlfn.UNICHAR(((F1518*21)+G1518)*28+44032)</f>
        <v>키</v>
      </c>
      <c r="I1518" s="16" t="n">
        <f aca="false">IF(B1518=-1, 1, COUNTIF($A$2:$A$3000, H1518))</f>
        <v>1</v>
      </c>
      <c r="J1518" s="10" t="str">
        <f aca="false">_xlfn.CONCAT(A1518, ",",H1518,",",I1518)</f>
        <v>윗,키,1</v>
      </c>
      <c r="K1518" s="16" t="n">
        <f aca="false">IF(B1518=-1,-1,VLOOKUP(C1518,$T$1:$V$20,3))</f>
        <v>15</v>
      </c>
      <c r="L1518" s="16" t="n">
        <f aca="false">IF(B1518=-1,-1,VLOOKUP(D1518,$Y$1:$AA$22,3))</f>
        <v>22</v>
      </c>
      <c r="N1518" s="10" t="str">
        <f aca="false">_xlfn.UNICHAR(((C1518*21)+G1518)*28+44032)</f>
        <v>이</v>
      </c>
      <c r="O1518" s="10" t="str">
        <f aca="false">_xlfn.UNICHAR(((F1518*21)+D1518)*28+44032)</f>
        <v>퀴</v>
      </c>
      <c r="P1518" s="12" t="n">
        <f aca="false">COUNTIF($A$2:$A$3000, N1518) + COUNTIF($A$2:$A$3000, O1518)</f>
        <v>2</v>
      </c>
      <c r="Q1518" s="16" t="str">
        <f aca="false">IF(OR(B1518=-1,I1518=0, P1518&lt;&gt;2), "albhed_dummy", _xlfn.CONCAT("albhed ", RIGHT("  " &amp; K1518,2),", ", RIGHT("  " &amp; L1518,2), ", " ,"""",H1518,""", ", """",N1518,""", ","""",O1518,""""," ; ", A1518))</f>
        <v>albhed 15, 22, "키", "이", "퀴" ; 윗</v>
      </c>
    </row>
    <row r="1519" customFormat="false" ht="17.9" hidden="false" customHeight="true" outlineLevel="0" collapsed="false">
      <c r="A1519" s="16" t="s">
        <v>2375</v>
      </c>
      <c r="B1519" s="16" t="n">
        <f aca="false">IF(_xlfn.UNICODE(A1519)&lt;44032,-1,_xlfn.UNICODE(A1519)-44032)</f>
        <v>6937</v>
      </c>
      <c r="C1519" s="16" t="n">
        <f aca="false">IF(B1519=-1,-1,INT((B1519/28)/21))</f>
        <v>11</v>
      </c>
      <c r="D1519" s="16" t="n">
        <f aca="false">IF(B1519=-1, -1, MOD(INT(B1519/28),21))</f>
        <v>16</v>
      </c>
      <c r="E1519" s="16" t="n">
        <f aca="false">IF(B1519=-1, -1, VLOOKUP(MOD(B1519,28), $T$24:$U$52,2))</f>
        <v>21</v>
      </c>
      <c r="F1519" s="16" t="n">
        <f aca="false">IF($B1519=-1, -1, VLOOKUP(C1519,$T$1:$V$20, 2))</f>
        <v>15</v>
      </c>
      <c r="G1519" s="16" t="n">
        <f aca="false">IF($B1519=-1, -1, VLOOKUP(D1519,$Y$1:$Z$22,2))</f>
        <v>20</v>
      </c>
      <c r="H1519" s="16" t="str">
        <f aca="false">_xlfn.UNICHAR(((F1519*21)+G1519)*28+44032)</f>
        <v>키</v>
      </c>
      <c r="I1519" s="16" t="n">
        <f aca="false">IF(B1519=-1, 1, COUNTIF($A$2:$A$3000, H1519))</f>
        <v>1</v>
      </c>
      <c r="J1519" s="10" t="str">
        <f aca="false">_xlfn.CONCAT(A1519, ",",H1519,",",I1519)</f>
        <v>윙,키,1</v>
      </c>
      <c r="K1519" s="16" t="n">
        <f aca="false">IF(B1519=-1,-1,VLOOKUP(C1519,$T$1:$V$20,3))</f>
        <v>15</v>
      </c>
      <c r="L1519" s="16" t="n">
        <f aca="false">IF(B1519=-1,-1,VLOOKUP(D1519,$Y$1:$AA$22,3))</f>
        <v>22</v>
      </c>
      <c r="N1519" s="10" t="str">
        <f aca="false">_xlfn.UNICHAR(((C1519*21)+G1519)*28+44032)</f>
        <v>이</v>
      </c>
      <c r="O1519" s="10" t="str">
        <f aca="false">_xlfn.UNICHAR(((F1519*21)+D1519)*28+44032)</f>
        <v>퀴</v>
      </c>
      <c r="P1519" s="12" t="n">
        <f aca="false">COUNTIF($A$2:$A$3000, N1519) + COUNTIF($A$2:$A$3000, O1519)</f>
        <v>2</v>
      </c>
      <c r="Q1519" s="16" t="str">
        <f aca="false">IF(OR(B1519=-1,I1519=0, P1519&lt;&gt;2), "albhed_dummy", _xlfn.CONCAT("albhed ", RIGHT("  " &amp; K1519,2),", ", RIGHT("  " &amp; L1519,2), ", " ,"""",H1519,""", ", """",N1519,""", ","""",O1519,""""," ; ", A1519))</f>
        <v>albhed 15, 22, "키", "이", "퀴" ; 윙</v>
      </c>
    </row>
    <row r="1520" customFormat="false" ht="17.9" hidden="false" customHeight="true" outlineLevel="0" collapsed="false">
      <c r="A1520" s="16" t="s">
        <v>2376</v>
      </c>
      <c r="B1520" s="16" t="n">
        <f aca="false">IF(_xlfn.UNICODE(A1520)&lt;44032,-1,_xlfn.UNICODE(A1520)-44032)</f>
        <v>6944</v>
      </c>
      <c r="C1520" s="16" t="n">
        <f aca="false">IF(B1520=-1,-1,INT((B1520/28)/21))</f>
        <v>11</v>
      </c>
      <c r="D1520" s="16" t="n">
        <f aca="false">IF(B1520=-1, -1, MOD(INT(B1520/28),21))</f>
        <v>17</v>
      </c>
      <c r="E1520" s="16" t="n">
        <f aca="false">IF(B1520=-1, -1, VLOOKUP(MOD(B1520,28), $T$24:$U$52,2))</f>
        <v>0</v>
      </c>
      <c r="F1520" s="16" t="n">
        <f aca="false">IF($B1520=-1, -1, VLOOKUP(C1520,$T$1:$V$20, 2))</f>
        <v>15</v>
      </c>
      <c r="G1520" s="16" t="n">
        <f aca="false">IF($B1520=-1, -1, VLOOKUP(D1520,$Y$1:$Z$22,2))</f>
        <v>2</v>
      </c>
      <c r="H1520" s="16" t="str">
        <f aca="false">_xlfn.UNICHAR(((F1520*21)+G1520)*28+44032)</f>
        <v>캬</v>
      </c>
      <c r="I1520" s="16" t="n">
        <f aca="false">IF(B1520=-1, 1, COUNTIF($A$2:$A$3000, H1520))</f>
        <v>1</v>
      </c>
      <c r="J1520" s="10" t="str">
        <f aca="false">_xlfn.CONCAT(A1520, ",",H1520,",",I1520)</f>
        <v>유,캬,1</v>
      </c>
      <c r="K1520" s="16" t="n">
        <f aca="false">IF(B1520=-1,-1,VLOOKUP(C1520,$T$1:$V$20,3))</f>
        <v>15</v>
      </c>
      <c r="L1520" s="16" t="n">
        <f aca="false">IF(B1520=-1,-1,VLOOKUP(D1520,$Y$1:$AA$22,3))</f>
        <v>6</v>
      </c>
      <c r="N1520" s="10" t="str">
        <f aca="false">_xlfn.UNICHAR(((C1520*21)+G1520)*28+44032)</f>
        <v>야</v>
      </c>
      <c r="O1520" s="10" t="str">
        <f aca="false">_xlfn.UNICHAR(((F1520*21)+D1520)*28+44032)</f>
        <v>큐</v>
      </c>
      <c r="P1520" s="12" t="n">
        <f aca="false">COUNTIF($A$2:$A$3000, N1520) + COUNTIF($A$2:$A$3000, O1520)</f>
        <v>2</v>
      </c>
      <c r="Q1520" s="16" t="str">
        <f aca="false">IF(OR(B1520=-1,I1520=0, P1520&lt;&gt;2), "albhed_dummy", _xlfn.CONCAT("albhed ", RIGHT("  " &amp; K1520,2),", ", RIGHT("  " &amp; L1520,2), ", " ,"""",H1520,""", ", """",N1520,""", ","""",O1520,""""," ; ", A1520))</f>
        <v>albhed 15,  6, "캬", "야", "큐" ; 유</v>
      </c>
    </row>
    <row r="1521" customFormat="false" ht="17.9" hidden="false" customHeight="true" outlineLevel="0" collapsed="false">
      <c r="A1521" s="16" t="s">
        <v>2377</v>
      </c>
      <c r="B1521" s="16" t="n">
        <f aca="false">IF(_xlfn.UNICODE(A1521)&lt;44032,-1,_xlfn.UNICODE(A1521)-44032)</f>
        <v>6945</v>
      </c>
      <c r="C1521" s="16" t="n">
        <f aca="false">IF(B1521=-1,-1,INT((B1521/28)/21))</f>
        <v>11</v>
      </c>
      <c r="D1521" s="16" t="n">
        <f aca="false">IF(B1521=-1, -1, MOD(INT(B1521/28),21))</f>
        <v>17</v>
      </c>
      <c r="E1521" s="16" t="n">
        <f aca="false">IF(B1521=-1, -1, VLOOKUP(MOD(B1521,28), $T$24:$U$52,2))</f>
        <v>1</v>
      </c>
      <c r="F1521" s="16" t="n">
        <f aca="false">IF($B1521=-1, -1, VLOOKUP(C1521,$T$1:$V$20, 2))</f>
        <v>15</v>
      </c>
      <c r="G1521" s="16" t="n">
        <f aca="false">IF($B1521=-1, -1, VLOOKUP(D1521,$Y$1:$Z$22,2))</f>
        <v>2</v>
      </c>
      <c r="H1521" s="16" t="str">
        <f aca="false">_xlfn.UNICHAR(((F1521*21)+G1521)*28+44032)</f>
        <v>캬</v>
      </c>
      <c r="I1521" s="16" t="n">
        <f aca="false">IF(B1521=-1, 1, COUNTIF($A$2:$A$3000, H1521))</f>
        <v>1</v>
      </c>
      <c r="J1521" s="10" t="str">
        <f aca="false">_xlfn.CONCAT(A1521, ",",H1521,",",I1521)</f>
        <v>육,캬,1</v>
      </c>
      <c r="K1521" s="16" t="n">
        <f aca="false">IF(B1521=-1,-1,VLOOKUP(C1521,$T$1:$V$20,3))</f>
        <v>15</v>
      </c>
      <c r="L1521" s="16" t="n">
        <f aca="false">IF(B1521=-1,-1,VLOOKUP(D1521,$Y$1:$AA$22,3))</f>
        <v>6</v>
      </c>
      <c r="N1521" s="10" t="str">
        <f aca="false">_xlfn.UNICHAR(((C1521*21)+G1521)*28+44032)</f>
        <v>야</v>
      </c>
      <c r="O1521" s="10" t="str">
        <f aca="false">_xlfn.UNICHAR(((F1521*21)+D1521)*28+44032)</f>
        <v>큐</v>
      </c>
      <c r="P1521" s="12" t="n">
        <f aca="false">COUNTIF($A$2:$A$3000, N1521) + COUNTIF($A$2:$A$3000, O1521)</f>
        <v>2</v>
      </c>
      <c r="Q1521" s="16" t="str">
        <f aca="false">IF(OR(B1521=-1,I1521=0, P1521&lt;&gt;2), "albhed_dummy", _xlfn.CONCAT("albhed ", RIGHT("  " &amp; K1521,2),", ", RIGHT("  " &amp; L1521,2), ", " ,"""",H1521,""", ", """",N1521,""", ","""",O1521,""""," ; ", A1521))</f>
        <v>albhed 15,  6, "캬", "야", "큐" ; 육</v>
      </c>
    </row>
    <row r="1522" customFormat="false" ht="17.9" hidden="false" customHeight="true" outlineLevel="0" collapsed="false">
      <c r="A1522" s="16" t="s">
        <v>2378</v>
      </c>
      <c r="B1522" s="16" t="n">
        <f aca="false">IF(_xlfn.UNICODE(A1522)&lt;44032,-1,_xlfn.UNICODE(A1522)-44032)</f>
        <v>6948</v>
      </c>
      <c r="C1522" s="16" t="n">
        <f aca="false">IF(B1522=-1,-1,INT((B1522/28)/21))</f>
        <v>11</v>
      </c>
      <c r="D1522" s="16" t="n">
        <f aca="false">IF(B1522=-1, -1, MOD(INT(B1522/28),21))</f>
        <v>17</v>
      </c>
      <c r="E1522" s="16" t="n">
        <f aca="false">IF(B1522=-1, -1, VLOOKUP(MOD(B1522,28), $T$24:$U$52,2))</f>
        <v>4</v>
      </c>
      <c r="F1522" s="16" t="n">
        <f aca="false">IF($B1522=-1, -1, VLOOKUP(C1522,$T$1:$V$20, 2))</f>
        <v>15</v>
      </c>
      <c r="G1522" s="16" t="n">
        <f aca="false">IF($B1522=-1, -1, VLOOKUP(D1522,$Y$1:$Z$22,2))</f>
        <v>2</v>
      </c>
      <c r="H1522" s="16" t="str">
        <f aca="false">_xlfn.UNICHAR(((F1522*21)+G1522)*28+44032)</f>
        <v>캬</v>
      </c>
      <c r="I1522" s="16" t="n">
        <f aca="false">IF(B1522=-1, 1, COUNTIF($A$2:$A$3000, H1522))</f>
        <v>1</v>
      </c>
      <c r="J1522" s="10" t="str">
        <f aca="false">_xlfn.CONCAT(A1522, ",",H1522,",",I1522)</f>
        <v>윤,캬,1</v>
      </c>
      <c r="K1522" s="16" t="n">
        <f aca="false">IF(B1522=-1,-1,VLOOKUP(C1522,$T$1:$V$20,3))</f>
        <v>15</v>
      </c>
      <c r="L1522" s="16" t="n">
        <f aca="false">IF(B1522=-1,-1,VLOOKUP(D1522,$Y$1:$AA$22,3))</f>
        <v>6</v>
      </c>
      <c r="N1522" s="10" t="str">
        <f aca="false">_xlfn.UNICHAR(((C1522*21)+G1522)*28+44032)</f>
        <v>야</v>
      </c>
      <c r="O1522" s="10" t="str">
        <f aca="false">_xlfn.UNICHAR(((F1522*21)+D1522)*28+44032)</f>
        <v>큐</v>
      </c>
      <c r="P1522" s="12" t="n">
        <f aca="false">COUNTIF($A$2:$A$3000, N1522) + COUNTIF($A$2:$A$3000, O1522)</f>
        <v>2</v>
      </c>
      <c r="Q1522" s="16" t="str">
        <f aca="false">IF(OR(B1522=-1,I1522=0, P1522&lt;&gt;2), "albhed_dummy", _xlfn.CONCAT("albhed ", RIGHT("  " &amp; K1522,2),", ", RIGHT("  " &amp; L1522,2), ", " ,"""",H1522,""", ", """",N1522,""", ","""",O1522,""""," ; ", A1522))</f>
        <v>albhed 15,  6, "캬", "야", "큐" ; 윤</v>
      </c>
    </row>
    <row r="1523" customFormat="false" ht="17.9" hidden="false" customHeight="true" outlineLevel="0" collapsed="false">
      <c r="A1523" s="16" t="s">
        <v>2379</v>
      </c>
      <c r="B1523" s="16" t="n">
        <f aca="false">IF(_xlfn.UNICODE(A1523)&lt;44032,-1,_xlfn.UNICODE(A1523)-44032)</f>
        <v>6952</v>
      </c>
      <c r="C1523" s="16" t="n">
        <f aca="false">IF(B1523=-1,-1,INT((B1523/28)/21))</f>
        <v>11</v>
      </c>
      <c r="D1523" s="16" t="n">
        <f aca="false">IF(B1523=-1, -1, MOD(INT(B1523/28),21))</f>
        <v>17</v>
      </c>
      <c r="E1523" s="16" t="n">
        <f aca="false">IF(B1523=-1, -1, VLOOKUP(MOD(B1523,28), $T$24:$U$52,2))</f>
        <v>8</v>
      </c>
      <c r="F1523" s="16" t="n">
        <f aca="false">IF($B1523=-1, -1, VLOOKUP(C1523,$T$1:$V$20, 2))</f>
        <v>15</v>
      </c>
      <c r="G1523" s="16" t="n">
        <f aca="false">IF($B1523=-1, -1, VLOOKUP(D1523,$Y$1:$Z$22,2))</f>
        <v>2</v>
      </c>
      <c r="H1523" s="16" t="str">
        <f aca="false">_xlfn.UNICHAR(((F1523*21)+G1523)*28+44032)</f>
        <v>캬</v>
      </c>
      <c r="I1523" s="16" t="n">
        <f aca="false">IF(B1523=-1, 1, COUNTIF($A$2:$A$3000, H1523))</f>
        <v>1</v>
      </c>
      <c r="J1523" s="10" t="str">
        <f aca="false">_xlfn.CONCAT(A1523, ",",H1523,",",I1523)</f>
        <v>율,캬,1</v>
      </c>
      <c r="K1523" s="16" t="n">
        <f aca="false">IF(B1523=-1,-1,VLOOKUP(C1523,$T$1:$V$20,3))</f>
        <v>15</v>
      </c>
      <c r="L1523" s="16" t="n">
        <f aca="false">IF(B1523=-1,-1,VLOOKUP(D1523,$Y$1:$AA$22,3))</f>
        <v>6</v>
      </c>
      <c r="N1523" s="10" t="str">
        <f aca="false">_xlfn.UNICHAR(((C1523*21)+G1523)*28+44032)</f>
        <v>야</v>
      </c>
      <c r="O1523" s="10" t="str">
        <f aca="false">_xlfn.UNICHAR(((F1523*21)+D1523)*28+44032)</f>
        <v>큐</v>
      </c>
      <c r="P1523" s="12" t="n">
        <f aca="false">COUNTIF($A$2:$A$3000, N1523) + COUNTIF($A$2:$A$3000, O1523)</f>
        <v>2</v>
      </c>
      <c r="Q1523" s="16" t="str">
        <f aca="false">IF(OR(B1523=-1,I1523=0, P1523&lt;&gt;2), "albhed_dummy", _xlfn.CONCAT("albhed ", RIGHT("  " &amp; K1523,2),", ", RIGHT("  " &amp; L1523,2), ", " ,"""",H1523,""", ", """",N1523,""", ","""",O1523,""""," ; ", A1523))</f>
        <v>albhed 15,  6, "캬", "야", "큐" ; 율</v>
      </c>
    </row>
    <row r="1524" customFormat="false" ht="17.9" hidden="false" customHeight="true" outlineLevel="0" collapsed="false">
      <c r="A1524" s="16" t="s">
        <v>2380</v>
      </c>
      <c r="B1524" s="16" t="n">
        <f aca="false">IF(_xlfn.UNICODE(A1524)&lt;44032,-1,_xlfn.UNICODE(A1524)-44032)</f>
        <v>6960</v>
      </c>
      <c r="C1524" s="16" t="n">
        <f aca="false">IF(B1524=-1,-1,INT((B1524/28)/21))</f>
        <v>11</v>
      </c>
      <c r="D1524" s="16" t="n">
        <f aca="false">IF(B1524=-1, -1, MOD(INT(B1524/28),21))</f>
        <v>17</v>
      </c>
      <c r="E1524" s="16" t="n">
        <f aca="false">IF(B1524=-1, -1, VLOOKUP(MOD(B1524,28), $T$24:$U$52,2))</f>
        <v>16</v>
      </c>
      <c r="F1524" s="16" t="n">
        <f aca="false">IF($B1524=-1, -1, VLOOKUP(C1524,$T$1:$V$20, 2))</f>
        <v>15</v>
      </c>
      <c r="G1524" s="16" t="n">
        <f aca="false">IF($B1524=-1, -1, VLOOKUP(D1524,$Y$1:$Z$22,2))</f>
        <v>2</v>
      </c>
      <c r="H1524" s="16" t="str">
        <f aca="false">_xlfn.UNICHAR(((F1524*21)+G1524)*28+44032)</f>
        <v>캬</v>
      </c>
      <c r="I1524" s="16" t="n">
        <f aca="false">IF(B1524=-1, 1, COUNTIF($A$2:$A$3000, H1524))</f>
        <v>1</v>
      </c>
      <c r="J1524" s="10" t="str">
        <f aca="false">_xlfn.CONCAT(A1524, ",",H1524,",",I1524)</f>
        <v>윰,캬,1</v>
      </c>
      <c r="K1524" s="16" t="n">
        <f aca="false">IF(B1524=-1,-1,VLOOKUP(C1524,$T$1:$V$20,3))</f>
        <v>15</v>
      </c>
      <c r="L1524" s="16" t="n">
        <f aca="false">IF(B1524=-1,-1,VLOOKUP(D1524,$Y$1:$AA$22,3))</f>
        <v>6</v>
      </c>
      <c r="N1524" s="10" t="str">
        <f aca="false">_xlfn.UNICHAR(((C1524*21)+G1524)*28+44032)</f>
        <v>야</v>
      </c>
      <c r="O1524" s="10" t="str">
        <f aca="false">_xlfn.UNICHAR(((F1524*21)+D1524)*28+44032)</f>
        <v>큐</v>
      </c>
      <c r="P1524" s="12" t="n">
        <f aca="false">COUNTIF($A$2:$A$3000, N1524) + COUNTIF($A$2:$A$3000, O1524)</f>
        <v>2</v>
      </c>
      <c r="Q1524" s="16" t="str">
        <f aca="false">IF(OR(B1524=-1,I1524=0, P1524&lt;&gt;2), "albhed_dummy", _xlfn.CONCAT("albhed ", RIGHT("  " &amp; K1524,2),", ", RIGHT("  " &amp; L1524,2), ", " ,"""",H1524,""", ", """",N1524,""", ","""",O1524,""""," ; ", A1524))</f>
        <v>albhed 15,  6, "캬", "야", "큐" ; 윰</v>
      </c>
    </row>
    <row r="1525" customFormat="false" ht="17.9" hidden="false" customHeight="true" outlineLevel="0" collapsed="false">
      <c r="A1525" s="16" t="s">
        <v>2381</v>
      </c>
      <c r="B1525" s="16" t="n">
        <f aca="false">IF(_xlfn.UNICODE(A1525)&lt;44032,-1,_xlfn.UNICODE(A1525)-44032)</f>
        <v>6961</v>
      </c>
      <c r="C1525" s="16" t="n">
        <f aca="false">IF(B1525=-1,-1,INT((B1525/28)/21))</f>
        <v>11</v>
      </c>
      <c r="D1525" s="16" t="n">
        <f aca="false">IF(B1525=-1, -1, MOD(INT(B1525/28),21))</f>
        <v>17</v>
      </c>
      <c r="E1525" s="16" t="n">
        <f aca="false">IF(B1525=-1, -1, VLOOKUP(MOD(B1525,28), $T$24:$U$52,2))</f>
        <v>17</v>
      </c>
      <c r="F1525" s="16" t="n">
        <f aca="false">IF($B1525=-1, -1, VLOOKUP(C1525,$T$1:$V$20, 2))</f>
        <v>15</v>
      </c>
      <c r="G1525" s="16" t="n">
        <f aca="false">IF($B1525=-1, -1, VLOOKUP(D1525,$Y$1:$Z$22,2))</f>
        <v>2</v>
      </c>
      <c r="H1525" s="16" t="str">
        <f aca="false">_xlfn.UNICHAR(((F1525*21)+G1525)*28+44032)</f>
        <v>캬</v>
      </c>
      <c r="I1525" s="16" t="n">
        <f aca="false">IF(B1525=-1, 1, COUNTIF($A$2:$A$3000, H1525))</f>
        <v>1</v>
      </c>
      <c r="J1525" s="10" t="str">
        <f aca="false">_xlfn.CONCAT(A1525, ",",H1525,",",I1525)</f>
        <v>윱,캬,1</v>
      </c>
      <c r="K1525" s="16" t="n">
        <f aca="false">IF(B1525=-1,-1,VLOOKUP(C1525,$T$1:$V$20,3))</f>
        <v>15</v>
      </c>
      <c r="L1525" s="16" t="n">
        <f aca="false">IF(B1525=-1,-1,VLOOKUP(D1525,$Y$1:$AA$22,3))</f>
        <v>6</v>
      </c>
      <c r="N1525" s="10" t="str">
        <f aca="false">_xlfn.UNICHAR(((C1525*21)+G1525)*28+44032)</f>
        <v>야</v>
      </c>
      <c r="O1525" s="10" t="str">
        <f aca="false">_xlfn.UNICHAR(((F1525*21)+D1525)*28+44032)</f>
        <v>큐</v>
      </c>
      <c r="P1525" s="12" t="n">
        <f aca="false">COUNTIF($A$2:$A$3000, N1525) + COUNTIF($A$2:$A$3000, O1525)</f>
        <v>2</v>
      </c>
      <c r="Q1525" s="16" t="str">
        <f aca="false">IF(OR(B1525=-1,I1525=0, P1525&lt;&gt;2), "albhed_dummy", _xlfn.CONCAT("albhed ", RIGHT("  " &amp; K1525,2),", ", RIGHT("  " &amp; L1525,2), ", " ,"""",H1525,""", ", """",N1525,""", ","""",O1525,""""," ; ", A1525))</f>
        <v>albhed 15,  6, "캬", "야", "큐" ; 윱</v>
      </c>
    </row>
    <row r="1526" customFormat="false" ht="17.9" hidden="false" customHeight="true" outlineLevel="0" collapsed="false">
      <c r="A1526" s="16" t="s">
        <v>2382</v>
      </c>
      <c r="B1526" s="16" t="n">
        <f aca="false">IF(_xlfn.UNICODE(A1526)&lt;44032,-1,_xlfn.UNICODE(A1526)-44032)</f>
        <v>6963</v>
      </c>
      <c r="C1526" s="16" t="n">
        <f aca="false">IF(B1526=-1,-1,INT((B1526/28)/21))</f>
        <v>11</v>
      </c>
      <c r="D1526" s="16" t="n">
        <f aca="false">IF(B1526=-1, -1, MOD(INT(B1526/28),21))</f>
        <v>17</v>
      </c>
      <c r="E1526" s="16" t="n">
        <f aca="false">IF(B1526=-1, -1, VLOOKUP(MOD(B1526,28), $T$24:$U$52,2))</f>
        <v>19</v>
      </c>
      <c r="F1526" s="16" t="n">
        <f aca="false">IF($B1526=-1, -1, VLOOKUP(C1526,$T$1:$V$20, 2))</f>
        <v>15</v>
      </c>
      <c r="G1526" s="16" t="n">
        <f aca="false">IF($B1526=-1, -1, VLOOKUP(D1526,$Y$1:$Z$22,2))</f>
        <v>2</v>
      </c>
      <c r="H1526" s="16" t="str">
        <f aca="false">_xlfn.UNICHAR(((F1526*21)+G1526)*28+44032)</f>
        <v>캬</v>
      </c>
      <c r="I1526" s="16" t="n">
        <f aca="false">IF(B1526=-1, 1, COUNTIF($A$2:$A$3000, H1526))</f>
        <v>1</v>
      </c>
      <c r="J1526" s="10" t="str">
        <f aca="false">_xlfn.CONCAT(A1526, ",",H1526,",",I1526)</f>
        <v>윳,캬,1</v>
      </c>
      <c r="K1526" s="16" t="n">
        <f aca="false">IF(B1526=-1,-1,VLOOKUP(C1526,$T$1:$V$20,3))</f>
        <v>15</v>
      </c>
      <c r="L1526" s="16" t="n">
        <f aca="false">IF(B1526=-1,-1,VLOOKUP(D1526,$Y$1:$AA$22,3))</f>
        <v>6</v>
      </c>
      <c r="N1526" s="10" t="str">
        <f aca="false">_xlfn.UNICHAR(((C1526*21)+G1526)*28+44032)</f>
        <v>야</v>
      </c>
      <c r="O1526" s="10" t="str">
        <f aca="false">_xlfn.UNICHAR(((F1526*21)+D1526)*28+44032)</f>
        <v>큐</v>
      </c>
      <c r="P1526" s="12" t="n">
        <f aca="false">COUNTIF($A$2:$A$3000, N1526) + COUNTIF($A$2:$A$3000, O1526)</f>
        <v>2</v>
      </c>
      <c r="Q1526" s="16" t="str">
        <f aca="false">IF(OR(B1526=-1,I1526=0, P1526&lt;&gt;2), "albhed_dummy", _xlfn.CONCAT("albhed ", RIGHT("  " &amp; K1526,2),", ", RIGHT("  " &amp; L1526,2), ", " ,"""",H1526,""", ", """",N1526,""", ","""",O1526,""""," ; ", A1526))</f>
        <v>albhed 15,  6, "캬", "야", "큐" ; 윳</v>
      </c>
    </row>
    <row r="1527" customFormat="false" ht="17.9" hidden="false" customHeight="true" outlineLevel="0" collapsed="false">
      <c r="A1527" s="16" t="s">
        <v>2383</v>
      </c>
      <c r="B1527" s="16" t="n">
        <f aca="false">IF(_xlfn.UNICODE(A1527)&lt;44032,-1,_xlfn.UNICODE(A1527)-44032)</f>
        <v>6965</v>
      </c>
      <c r="C1527" s="16" t="n">
        <f aca="false">IF(B1527=-1,-1,INT((B1527/28)/21))</f>
        <v>11</v>
      </c>
      <c r="D1527" s="16" t="n">
        <f aca="false">IF(B1527=-1, -1, MOD(INT(B1527/28),21))</f>
        <v>17</v>
      </c>
      <c r="E1527" s="16" t="n">
        <f aca="false">IF(B1527=-1, -1, VLOOKUP(MOD(B1527,28), $T$24:$U$52,2))</f>
        <v>21</v>
      </c>
      <c r="F1527" s="16" t="n">
        <f aca="false">IF($B1527=-1, -1, VLOOKUP(C1527,$T$1:$V$20, 2))</f>
        <v>15</v>
      </c>
      <c r="G1527" s="16" t="n">
        <f aca="false">IF($B1527=-1, -1, VLOOKUP(D1527,$Y$1:$Z$22,2))</f>
        <v>2</v>
      </c>
      <c r="H1527" s="16" t="str">
        <f aca="false">_xlfn.UNICHAR(((F1527*21)+G1527)*28+44032)</f>
        <v>캬</v>
      </c>
      <c r="I1527" s="16" t="n">
        <f aca="false">IF(B1527=-1, 1, COUNTIF($A$2:$A$3000, H1527))</f>
        <v>1</v>
      </c>
      <c r="J1527" s="10" t="str">
        <f aca="false">_xlfn.CONCAT(A1527, ",",H1527,",",I1527)</f>
        <v>융,캬,1</v>
      </c>
      <c r="K1527" s="16" t="n">
        <f aca="false">IF(B1527=-1,-1,VLOOKUP(C1527,$T$1:$V$20,3))</f>
        <v>15</v>
      </c>
      <c r="L1527" s="16" t="n">
        <f aca="false">IF(B1527=-1,-1,VLOOKUP(D1527,$Y$1:$AA$22,3))</f>
        <v>6</v>
      </c>
      <c r="N1527" s="10" t="str">
        <f aca="false">_xlfn.UNICHAR(((C1527*21)+G1527)*28+44032)</f>
        <v>야</v>
      </c>
      <c r="O1527" s="10" t="str">
        <f aca="false">_xlfn.UNICHAR(((F1527*21)+D1527)*28+44032)</f>
        <v>큐</v>
      </c>
      <c r="P1527" s="12" t="n">
        <f aca="false">COUNTIF($A$2:$A$3000, N1527) + COUNTIF($A$2:$A$3000, O1527)</f>
        <v>2</v>
      </c>
      <c r="Q1527" s="16" t="str">
        <f aca="false">IF(OR(B1527=-1,I1527=0, P1527&lt;&gt;2), "albhed_dummy", _xlfn.CONCAT("albhed ", RIGHT("  " &amp; K1527,2),", ", RIGHT("  " &amp; L1527,2), ", " ,"""",H1527,""", ", """",N1527,""", ","""",O1527,""""," ; ", A1527))</f>
        <v>albhed 15,  6, "캬", "야", "큐" ; 융</v>
      </c>
    </row>
    <row r="1528" customFormat="false" ht="17.9" hidden="false" customHeight="true" outlineLevel="0" collapsed="false">
      <c r="A1528" s="16" t="s">
        <v>2384</v>
      </c>
      <c r="B1528" s="16" t="n">
        <f aca="false">IF(_xlfn.UNICODE(A1528)&lt;44032,-1,_xlfn.UNICODE(A1528)-44032)</f>
        <v>6967</v>
      </c>
      <c r="C1528" s="16" t="n">
        <f aca="false">IF(B1528=-1,-1,INT((B1528/28)/21))</f>
        <v>11</v>
      </c>
      <c r="D1528" s="16" t="n">
        <f aca="false">IF(B1528=-1, -1, MOD(INT(B1528/28),21))</f>
        <v>17</v>
      </c>
      <c r="E1528" s="16" t="n">
        <f aca="false">IF(B1528=-1, -1, VLOOKUP(MOD(B1528,28), $T$24:$U$52,2))</f>
        <v>19</v>
      </c>
      <c r="F1528" s="16" t="n">
        <f aca="false">IF($B1528=-1, -1, VLOOKUP(C1528,$T$1:$V$20, 2))</f>
        <v>15</v>
      </c>
      <c r="G1528" s="16" t="n">
        <f aca="false">IF($B1528=-1, -1, VLOOKUP(D1528,$Y$1:$Z$22,2))</f>
        <v>2</v>
      </c>
      <c r="H1528" s="16" t="str">
        <f aca="false">_xlfn.UNICHAR(((F1528*21)+G1528)*28+44032)</f>
        <v>캬</v>
      </c>
      <c r="I1528" s="16" t="n">
        <f aca="false">IF(B1528=-1, 1, COUNTIF($A$2:$A$3000, H1528))</f>
        <v>1</v>
      </c>
      <c r="J1528" s="10" t="str">
        <f aca="false">_xlfn.CONCAT(A1528, ",",H1528,",",I1528)</f>
        <v>윷,캬,1</v>
      </c>
      <c r="K1528" s="16" t="n">
        <f aca="false">IF(B1528=-1,-1,VLOOKUP(C1528,$T$1:$V$20,3))</f>
        <v>15</v>
      </c>
      <c r="L1528" s="16" t="n">
        <f aca="false">IF(B1528=-1,-1,VLOOKUP(D1528,$Y$1:$AA$22,3))</f>
        <v>6</v>
      </c>
      <c r="N1528" s="10" t="str">
        <f aca="false">_xlfn.UNICHAR(((C1528*21)+G1528)*28+44032)</f>
        <v>야</v>
      </c>
      <c r="O1528" s="10" t="str">
        <f aca="false">_xlfn.UNICHAR(((F1528*21)+D1528)*28+44032)</f>
        <v>큐</v>
      </c>
      <c r="P1528" s="12" t="n">
        <f aca="false">COUNTIF($A$2:$A$3000, N1528) + COUNTIF($A$2:$A$3000, O1528)</f>
        <v>2</v>
      </c>
      <c r="Q1528" s="16" t="str">
        <f aca="false">IF(OR(B1528=-1,I1528=0, P1528&lt;&gt;2), "albhed_dummy", _xlfn.CONCAT("albhed ", RIGHT("  " &amp; K1528,2),", ", RIGHT("  " &amp; L1528,2), ", " ,"""",H1528,""", ", """",N1528,""", ","""",O1528,""""," ; ", A1528))</f>
        <v>albhed 15,  6, "캬", "야", "큐" ; 윷</v>
      </c>
    </row>
    <row r="1529" customFormat="false" ht="17.9" hidden="false" customHeight="true" outlineLevel="0" collapsed="false">
      <c r="A1529" s="16" t="s">
        <v>2385</v>
      </c>
      <c r="B1529" s="16" t="n">
        <f aca="false">IF(_xlfn.UNICODE(A1529)&lt;44032,-1,_xlfn.UNICODE(A1529)-44032)</f>
        <v>6972</v>
      </c>
      <c r="C1529" s="16" t="n">
        <f aca="false">IF(B1529=-1,-1,INT((B1529/28)/21))</f>
        <v>11</v>
      </c>
      <c r="D1529" s="16" t="n">
        <f aca="false">IF(B1529=-1, -1, MOD(INT(B1529/28),21))</f>
        <v>18</v>
      </c>
      <c r="E1529" s="16" t="n">
        <f aca="false">IF(B1529=-1, -1, VLOOKUP(MOD(B1529,28), $T$24:$U$52,2))</f>
        <v>0</v>
      </c>
      <c r="F1529" s="16" t="n">
        <f aca="false">IF($B1529=-1, -1, VLOOKUP(C1529,$T$1:$V$20, 2))</f>
        <v>15</v>
      </c>
      <c r="G1529" s="16" t="n">
        <f aca="false">IF($B1529=-1, -1, VLOOKUP(D1529,$Y$1:$Z$22,2))</f>
        <v>5</v>
      </c>
      <c r="H1529" s="16" t="str">
        <f aca="false">_xlfn.UNICHAR(((F1529*21)+G1529)*28+44032)</f>
        <v>케</v>
      </c>
      <c r="I1529" s="16" t="n">
        <f aca="false">IF(B1529=-1, 1, COUNTIF($A$2:$A$3000, H1529))</f>
        <v>1</v>
      </c>
      <c r="J1529" s="10" t="str">
        <f aca="false">_xlfn.CONCAT(A1529, ",",H1529,",",I1529)</f>
        <v>으,케,1</v>
      </c>
      <c r="K1529" s="16" t="n">
        <f aca="false">IF(B1529=-1,-1,VLOOKUP(C1529,$T$1:$V$20,3))</f>
        <v>15</v>
      </c>
      <c r="L1529" s="16" t="n">
        <f aca="false">IF(B1529=-1,-1,VLOOKUP(D1529,$Y$1:$AA$22,3))</f>
        <v>18</v>
      </c>
      <c r="N1529" s="10" t="str">
        <f aca="false">_xlfn.UNICHAR(((C1529*21)+G1529)*28+44032)</f>
        <v>에</v>
      </c>
      <c r="O1529" s="10" t="str">
        <f aca="false">_xlfn.UNICHAR(((F1529*21)+D1529)*28+44032)</f>
        <v>크</v>
      </c>
      <c r="P1529" s="12" t="n">
        <f aca="false">COUNTIF($A$2:$A$3000, N1529) + COUNTIF($A$2:$A$3000, O1529)</f>
        <v>2</v>
      </c>
      <c r="Q1529" s="16" t="str">
        <f aca="false">IF(OR(B1529=-1,I1529=0, P1529&lt;&gt;2), "albhed_dummy", _xlfn.CONCAT("albhed ", RIGHT("  " &amp; K1529,2),", ", RIGHT("  " &amp; L1529,2), ", " ,"""",H1529,""", ", """",N1529,""", ","""",O1529,""""," ; ", A1529))</f>
        <v>albhed 15, 18, "케", "에", "크" ; 으</v>
      </c>
    </row>
    <row r="1530" customFormat="false" ht="17.9" hidden="false" customHeight="true" outlineLevel="0" collapsed="false">
      <c r="A1530" s="16" t="s">
        <v>2386</v>
      </c>
      <c r="B1530" s="16" t="n">
        <f aca="false">IF(_xlfn.UNICODE(A1530)&lt;44032,-1,_xlfn.UNICODE(A1530)-44032)</f>
        <v>6973</v>
      </c>
      <c r="C1530" s="16" t="n">
        <f aca="false">IF(B1530=-1,-1,INT((B1530/28)/21))</f>
        <v>11</v>
      </c>
      <c r="D1530" s="16" t="n">
        <f aca="false">IF(B1530=-1, -1, MOD(INT(B1530/28),21))</f>
        <v>18</v>
      </c>
      <c r="E1530" s="16" t="n">
        <f aca="false">IF(B1530=-1, -1, VLOOKUP(MOD(B1530,28), $T$24:$U$52,2))</f>
        <v>1</v>
      </c>
      <c r="F1530" s="16" t="n">
        <f aca="false">IF($B1530=-1, -1, VLOOKUP(C1530,$T$1:$V$20, 2))</f>
        <v>15</v>
      </c>
      <c r="G1530" s="16" t="n">
        <f aca="false">IF($B1530=-1, -1, VLOOKUP(D1530,$Y$1:$Z$22,2))</f>
        <v>5</v>
      </c>
      <c r="H1530" s="16" t="str">
        <f aca="false">_xlfn.UNICHAR(((F1530*21)+G1530)*28+44032)</f>
        <v>케</v>
      </c>
      <c r="I1530" s="16" t="n">
        <f aca="false">IF(B1530=-1, 1, COUNTIF($A$2:$A$3000, H1530))</f>
        <v>1</v>
      </c>
      <c r="J1530" s="10" t="str">
        <f aca="false">_xlfn.CONCAT(A1530, ",",H1530,",",I1530)</f>
        <v>윽,케,1</v>
      </c>
      <c r="K1530" s="16" t="n">
        <f aca="false">IF(B1530=-1,-1,VLOOKUP(C1530,$T$1:$V$20,3))</f>
        <v>15</v>
      </c>
      <c r="L1530" s="16" t="n">
        <f aca="false">IF(B1530=-1,-1,VLOOKUP(D1530,$Y$1:$AA$22,3))</f>
        <v>18</v>
      </c>
      <c r="N1530" s="10" t="str">
        <f aca="false">_xlfn.UNICHAR(((C1530*21)+G1530)*28+44032)</f>
        <v>에</v>
      </c>
      <c r="O1530" s="10" t="str">
        <f aca="false">_xlfn.UNICHAR(((F1530*21)+D1530)*28+44032)</f>
        <v>크</v>
      </c>
      <c r="P1530" s="12" t="n">
        <f aca="false">COUNTIF($A$2:$A$3000, N1530) + COUNTIF($A$2:$A$3000, O1530)</f>
        <v>2</v>
      </c>
      <c r="Q1530" s="16" t="str">
        <f aca="false">IF(OR(B1530=-1,I1530=0, P1530&lt;&gt;2), "albhed_dummy", _xlfn.CONCAT("albhed ", RIGHT("  " &amp; K1530,2),", ", RIGHT("  " &amp; L1530,2), ", " ,"""",H1530,""", ", """",N1530,""", ","""",O1530,""""," ; ", A1530))</f>
        <v>albhed 15, 18, "케", "에", "크" ; 윽</v>
      </c>
    </row>
    <row r="1531" customFormat="false" ht="17.9" hidden="false" customHeight="true" outlineLevel="0" collapsed="false">
      <c r="A1531" s="16" t="s">
        <v>2387</v>
      </c>
      <c r="B1531" s="16" t="n">
        <f aca="false">IF(_xlfn.UNICODE(A1531)&lt;44032,-1,_xlfn.UNICODE(A1531)-44032)</f>
        <v>6976</v>
      </c>
      <c r="C1531" s="16" t="n">
        <f aca="false">IF(B1531=-1,-1,INT((B1531/28)/21))</f>
        <v>11</v>
      </c>
      <c r="D1531" s="16" t="n">
        <f aca="false">IF(B1531=-1, -1, MOD(INT(B1531/28),21))</f>
        <v>18</v>
      </c>
      <c r="E1531" s="16" t="n">
        <f aca="false">IF(B1531=-1, -1, VLOOKUP(MOD(B1531,28), $T$24:$U$52,2))</f>
        <v>4</v>
      </c>
      <c r="F1531" s="16" t="n">
        <f aca="false">IF($B1531=-1, -1, VLOOKUP(C1531,$T$1:$V$20, 2))</f>
        <v>15</v>
      </c>
      <c r="G1531" s="16" t="n">
        <f aca="false">IF($B1531=-1, -1, VLOOKUP(D1531,$Y$1:$Z$22,2))</f>
        <v>5</v>
      </c>
      <c r="H1531" s="16" t="str">
        <f aca="false">_xlfn.UNICHAR(((F1531*21)+G1531)*28+44032)</f>
        <v>케</v>
      </c>
      <c r="I1531" s="16" t="n">
        <f aca="false">IF(B1531=-1, 1, COUNTIF($A$2:$A$3000, H1531))</f>
        <v>1</v>
      </c>
      <c r="J1531" s="10" t="str">
        <f aca="false">_xlfn.CONCAT(A1531, ",",H1531,",",I1531)</f>
        <v>은,케,1</v>
      </c>
      <c r="K1531" s="16" t="n">
        <f aca="false">IF(B1531=-1,-1,VLOOKUP(C1531,$T$1:$V$20,3))</f>
        <v>15</v>
      </c>
      <c r="L1531" s="16" t="n">
        <f aca="false">IF(B1531=-1,-1,VLOOKUP(D1531,$Y$1:$AA$22,3))</f>
        <v>18</v>
      </c>
      <c r="N1531" s="10" t="str">
        <f aca="false">_xlfn.UNICHAR(((C1531*21)+G1531)*28+44032)</f>
        <v>에</v>
      </c>
      <c r="O1531" s="10" t="str">
        <f aca="false">_xlfn.UNICHAR(((F1531*21)+D1531)*28+44032)</f>
        <v>크</v>
      </c>
      <c r="P1531" s="12" t="n">
        <f aca="false">COUNTIF($A$2:$A$3000, N1531) + COUNTIF($A$2:$A$3000, O1531)</f>
        <v>2</v>
      </c>
      <c r="Q1531" s="16" t="str">
        <f aca="false">IF(OR(B1531=-1,I1531=0, P1531&lt;&gt;2), "albhed_dummy", _xlfn.CONCAT("albhed ", RIGHT("  " &amp; K1531,2),", ", RIGHT("  " &amp; L1531,2), ", " ,"""",H1531,""", ", """",N1531,""", ","""",O1531,""""," ; ", A1531))</f>
        <v>albhed 15, 18, "케", "에", "크" ; 은</v>
      </c>
    </row>
    <row r="1532" customFormat="false" ht="17.9" hidden="false" customHeight="true" outlineLevel="0" collapsed="false">
      <c r="A1532" s="16" t="s">
        <v>2388</v>
      </c>
      <c r="B1532" s="16" t="n">
        <f aca="false">IF(_xlfn.UNICODE(A1532)&lt;44032,-1,_xlfn.UNICODE(A1532)-44032)</f>
        <v>6980</v>
      </c>
      <c r="C1532" s="16" t="n">
        <f aca="false">IF(B1532=-1,-1,INT((B1532/28)/21))</f>
        <v>11</v>
      </c>
      <c r="D1532" s="16" t="n">
        <f aca="false">IF(B1532=-1, -1, MOD(INT(B1532/28),21))</f>
        <v>18</v>
      </c>
      <c r="E1532" s="16" t="n">
        <f aca="false">IF(B1532=-1, -1, VLOOKUP(MOD(B1532,28), $T$24:$U$52,2))</f>
        <v>8</v>
      </c>
      <c r="F1532" s="16" t="n">
        <f aca="false">IF($B1532=-1, -1, VLOOKUP(C1532,$T$1:$V$20, 2))</f>
        <v>15</v>
      </c>
      <c r="G1532" s="16" t="n">
        <f aca="false">IF($B1532=-1, -1, VLOOKUP(D1532,$Y$1:$Z$22,2))</f>
        <v>5</v>
      </c>
      <c r="H1532" s="16" t="str">
        <f aca="false">_xlfn.UNICHAR(((F1532*21)+G1532)*28+44032)</f>
        <v>케</v>
      </c>
      <c r="I1532" s="16" t="n">
        <f aca="false">IF(B1532=-1, 1, COUNTIF($A$2:$A$3000, H1532))</f>
        <v>1</v>
      </c>
      <c r="J1532" s="10" t="str">
        <f aca="false">_xlfn.CONCAT(A1532, ",",H1532,",",I1532)</f>
        <v>을,케,1</v>
      </c>
      <c r="K1532" s="16" t="n">
        <f aca="false">IF(B1532=-1,-1,VLOOKUP(C1532,$T$1:$V$20,3))</f>
        <v>15</v>
      </c>
      <c r="L1532" s="16" t="n">
        <f aca="false">IF(B1532=-1,-1,VLOOKUP(D1532,$Y$1:$AA$22,3))</f>
        <v>18</v>
      </c>
      <c r="N1532" s="10" t="str">
        <f aca="false">_xlfn.UNICHAR(((C1532*21)+G1532)*28+44032)</f>
        <v>에</v>
      </c>
      <c r="O1532" s="10" t="str">
        <f aca="false">_xlfn.UNICHAR(((F1532*21)+D1532)*28+44032)</f>
        <v>크</v>
      </c>
      <c r="P1532" s="12" t="n">
        <f aca="false">COUNTIF($A$2:$A$3000, N1532) + COUNTIF($A$2:$A$3000, O1532)</f>
        <v>2</v>
      </c>
      <c r="Q1532" s="16" t="str">
        <f aca="false">IF(OR(B1532=-1,I1532=0, P1532&lt;&gt;2), "albhed_dummy", _xlfn.CONCAT("albhed ", RIGHT("  " &amp; K1532,2),", ", RIGHT("  " &amp; L1532,2), ", " ,"""",H1532,""", ", """",N1532,""", ","""",O1532,""""," ; ", A1532))</f>
        <v>albhed 15, 18, "케", "에", "크" ; 을</v>
      </c>
    </row>
    <row r="1533" customFormat="false" ht="17.9" hidden="false" customHeight="true" outlineLevel="0" collapsed="false">
      <c r="A1533" s="16" t="s">
        <v>2389</v>
      </c>
      <c r="B1533" s="16" t="n">
        <f aca="false">IF(_xlfn.UNICODE(A1533)&lt;44032,-1,_xlfn.UNICODE(A1533)-44032)</f>
        <v>6986</v>
      </c>
      <c r="C1533" s="16" t="n">
        <f aca="false">IF(B1533=-1,-1,INT((B1533/28)/21))</f>
        <v>11</v>
      </c>
      <c r="D1533" s="16" t="n">
        <f aca="false">IF(B1533=-1, -1, MOD(INT(B1533/28),21))</f>
        <v>18</v>
      </c>
      <c r="E1533" s="16" t="n">
        <f aca="false">IF(B1533=-1, -1, VLOOKUP(MOD(B1533,28), $T$24:$U$52,2))</f>
        <v>8</v>
      </c>
      <c r="F1533" s="16" t="n">
        <f aca="false">IF($B1533=-1, -1, VLOOKUP(C1533,$T$1:$V$20, 2))</f>
        <v>15</v>
      </c>
      <c r="G1533" s="16" t="n">
        <f aca="false">IF($B1533=-1, -1, VLOOKUP(D1533,$Y$1:$Z$22,2))</f>
        <v>5</v>
      </c>
      <c r="H1533" s="16" t="str">
        <f aca="false">_xlfn.UNICHAR(((F1533*21)+G1533)*28+44032)</f>
        <v>케</v>
      </c>
      <c r="I1533" s="16" t="n">
        <f aca="false">IF(B1533=-1, 1, COUNTIF($A$2:$A$3000, H1533))</f>
        <v>1</v>
      </c>
      <c r="J1533" s="10" t="str">
        <f aca="false">_xlfn.CONCAT(A1533, ",",H1533,",",I1533)</f>
        <v>읊,케,1</v>
      </c>
      <c r="K1533" s="16" t="n">
        <f aca="false">IF(B1533=-1,-1,VLOOKUP(C1533,$T$1:$V$20,3))</f>
        <v>15</v>
      </c>
      <c r="L1533" s="16" t="n">
        <f aca="false">IF(B1533=-1,-1,VLOOKUP(D1533,$Y$1:$AA$22,3))</f>
        <v>18</v>
      </c>
      <c r="N1533" s="10" t="str">
        <f aca="false">_xlfn.UNICHAR(((C1533*21)+G1533)*28+44032)</f>
        <v>에</v>
      </c>
      <c r="O1533" s="10" t="str">
        <f aca="false">_xlfn.UNICHAR(((F1533*21)+D1533)*28+44032)</f>
        <v>크</v>
      </c>
      <c r="P1533" s="12" t="n">
        <f aca="false">COUNTIF($A$2:$A$3000, N1533) + COUNTIF($A$2:$A$3000, O1533)</f>
        <v>2</v>
      </c>
      <c r="Q1533" s="16" t="str">
        <f aca="false">IF(OR(B1533=-1,I1533=0, P1533&lt;&gt;2), "albhed_dummy", _xlfn.CONCAT("albhed ", RIGHT("  " &amp; K1533,2),", ", RIGHT("  " &amp; L1533,2), ", " ,"""",H1533,""", ", """",N1533,""", ","""",O1533,""""," ; ", A1533))</f>
        <v>albhed 15, 18, "케", "에", "크" ; 읊</v>
      </c>
    </row>
    <row r="1534" customFormat="false" ht="17.9" hidden="false" customHeight="true" outlineLevel="0" collapsed="false">
      <c r="A1534" s="16" t="s">
        <v>2390</v>
      </c>
      <c r="B1534" s="16" t="n">
        <f aca="false">IF(_xlfn.UNICODE(A1534)&lt;44032,-1,_xlfn.UNICODE(A1534)-44032)</f>
        <v>6988</v>
      </c>
      <c r="C1534" s="16" t="n">
        <f aca="false">IF(B1534=-1,-1,INT((B1534/28)/21))</f>
        <v>11</v>
      </c>
      <c r="D1534" s="16" t="n">
        <f aca="false">IF(B1534=-1, -1, MOD(INT(B1534/28),21))</f>
        <v>18</v>
      </c>
      <c r="E1534" s="16" t="n">
        <f aca="false">IF(B1534=-1, -1, VLOOKUP(MOD(B1534,28), $T$24:$U$52,2))</f>
        <v>16</v>
      </c>
      <c r="F1534" s="16" t="n">
        <f aca="false">IF($B1534=-1, -1, VLOOKUP(C1534,$T$1:$V$20, 2))</f>
        <v>15</v>
      </c>
      <c r="G1534" s="16" t="n">
        <f aca="false">IF($B1534=-1, -1, VLOOKUP(D1534,$Y$1:$Z$22,2))</f>
        <v>5</v>
      </c>
      <c r="H1534" s="16" t="str">
        <f aca="false">_xlfn.UNICHAR(((F1534*21)+G1534)*28+44032)</f>
        <v>케</v>
      </c>
      <c r="I1534" s="16" t="n">
        <f aca="false">IF(B1534=-1, 1, COUNTIF($A$2:$A$3000, H1534))</f>
        <v>1</v>
      </c>
      <c r="J1534" s="10" t="str">
        <f aca="false">_xlfn.CONCAT(A1534, ",",H1534,",",I1534)</f>
        <v>음,케,1</v>
      </c>
      <c r="K1534" s="16" t="n">
        <f aca="false">IF(B1534=-1,-1,VLOOKUP(C1534,$T$1:$V$20,3))</f>
        <v>15</v>
      </c>
      <c r="L1534" s="16" t="n">
        <f aca="false">IF(B1534=-1,-1,VLOOKUP(D1534,$Y$1:$AA$22,3))</f>
        <v>18</v>
      </c>
      <c r="N1534" s="10" t="str">
        <f aca="false">_xlfn.UNICHAR(((C1534*21)+G1534)*28+44032)</f>
        <v>에</v>
      </c>
      <c r="O1534" s="10" t="str">
        <f aca="false">_xlfn.UNICHAR(((F1534*21)+D1534)*28+44032)</f>
        <v>크</v>
      </c>
      <c r="P1534" s="12" t="n">
        <f aca="false">COUNTIF($A$2:$A$3000, N1534) + COUNTIF($A$2:$A$3000, O1534)</f>
        <v>2</v>
      </c>
      <c r="Q1534" s="16" t="str">
        <f aca="false">IF(OR(B1534=-1,I1534=0, P1534&lt;&gt;2), "albhed_dummy", _xlfn.CONCAT("albhed ", RIGHT("  " &amp; K1534,2),", ", RIGHT("  " &amp; L1534,2), ", " ,"""",H1534,""", ", """",N1534,""", ","""",O1534,""""," ; ", A1534))</f>
        <v>albhed 15, 18, "케", "에", "크" ; 음</v>
      </c>
    </row>
    <row r="1535" customFormat="false" ht="17.9" hidden="false" customHeight="true" outlineLevel="0" collapsed="false">
      <c r="A1535" s="16" t="s">
        <v>2391</v>
      </c>
      <c r="B1535" s="16" t="n">
        <f aca="false">IF(_xlfn.UNICODE(A1535)&lt;44032,-1,_xlfn.UNICODE(A1535)-44032)</f>
        <v>6989</v>
      </c>
      <c r="C1535" s="16" t="n">
        <f aca="false">IF(B1535=-1,-1,INT((B1535/28)/21))</f>
        <v>11</v>
      </c>
      <c r="D1535" s="16" t="n">
        <f aca="false">IF(B1535=-1, -1, MOD(INT(B1535/28),21))</f>
        <v>18</v>
      </c>
      <c r="E1535" s="16" t="n">
        <f aca="false">IF(B1535=-1, -1, VLOOKUP(MOD(B1535,28), $T$24:$U$52,2))</f>
        <v>17</v>
      </c>
      <c r="F1535" s="16" t="n">
        <f aca="false">IF($B1535=-1, -1, VLOOKUP(C1535,$T$1:$V$20, 2))</f>
        <v>15</v>
      </c>
      <c r="G1535" s="16" t="n">
        <f aca="false">IF($B1535=-1, -1, VLOOKUP(D1535,$Y$1:$Z$22,2))</f>
        <v>5</v>
      </c>
      <c r="H1535" s="16" t="str">
        <f aca="false">_xlfn.UNICHAR(((F1535*21)+G1535)*28+44032)</f>
        <v>케</v>
      </c>
      <c r="I1535" s="16" t="n">
        <f aca="false">IF(B1535=-1, 1, COUNTIF($A$2:$A$3000, H1535))</f>
        <v>1</v>
      </c>
      <c r="J1535" s="10" t="str">
        <f aca="false">_xlfn.CONCAT(A1535, ",",H1535,",",I1535)</f>
        <v>읍,케,1</v>
      </c>
      <c r="K1535" s="16" t="n">
        <f aca="false">IF(B1535=-1,-1,VLOOKUP(C1535,$T$1:$V$20,3))</f>
        <v>15</v>
      </c>
      <c r="L1535" s="16" t="n">
        <f aca="false">IF(B1535=-1,-1,VLOOKUP(D1535,$Y$1:$AA$22,3))</f>
        <v>18</v>
      </c>
      <c r="N1535" s="10" t="str">
        <f aca="false">_xlfn.UNICHAR(((C1535*21)+G1535)*28+44032)</f>
        <v>에</v>
      </c>
      <c r="O1535" s="10" t="str">
        <f aca="false">_xlfn.UNICHAR(((F1535*21)+D1535)*28+44032)</f>
        <v>크</v>
      </c>
      <c r="P1535" s="12" t="n">
        <f aca="false">COUNTIF($A$2:$A$3000, N1535) + COUNTIF($A$2:$A$3000, O1535)</f>
        <v>2</v>
      </c>
      <c r="Q1535" s="16" t="str">
        <f aca="false">IF(OR(B1535=-1,I1535=0, P1535&lt;&gt;2), "albhed_dummy", _xlfn.CONCAT("albhed ", RIGHT("  " &amp; K1535,2),", ", RIGHT("  " &amp; L1535,2), ", " ,"""",H1535,""", ", """",N1535,""", ","""",O1535,""""," ; ", A1535))</f>
        <v>albhed 15, 18, "케", "에", "크" ; 읍</v>
      </c>
    </row>
    <row r="1536" customFormat="false" ht="17.9" hidden="false" customHeight="true" outlineLevel="0" collapsed="false">
      <c r="A1536" s="16" t="s">
        <v>2392</v>
      </c>
      <c r="B1536" s="16" t="n">
        <f aca="false">IF(_xlfn.UNICODE(A1536)&lt;44032,-1,_xlfn.UNICODE(A1536)-44032)</f>
        <v>6991</v>
      </c>
      <c r="C1536" s="16" t="n">
        <f aca="false">IF(B1536=-1,-1,INT((B1536/28)/21))</f>
        <v>11</v>
      </c>
      <c r="D1536" s="16" t="n">
        <f aca="false">IF(B1536=-1, -1, MOD(INT(B1536/28),21))</f>
        <v>18</v>
      </c>
      <c r="E1536" s="16" t="n">
        <f aca="false">IF(B1536=-1, -1, VLOOKUP(MOD(B1536,28), $T$24:$U$52,2))</f>
        <v>19</v>
      </c>
      <c r="F1536" s="16" t="n">
        <f aca="false">IF($B1536=-1, -1, VLOOKUP(C1536,$T$1:$V$20, 2))</f>
        <v>15</v>
      </c>
      <c r="G1536" s="16" t="n">
        <f aca="false">IF($B1536=-1, -1, VLOOKUP(D1536,$Y$1:$Z$22,2))</f>
        <v>5</v>
      </c>
      <c r="H1536" s="16" t="str">
        <f aca="false">_xlfn.UNICHAR(((F1536*21)+G1536)*28+44032)</f>
        <v>케</v>
      </c>
      <c r="I1536" s="16" t="n">
        <f aca="false">IF(B1536=-1, 1, COUNTIF($A$2:$A$3000, H1536))</f>
        <v>1</v>
      </c>
      <c r="J1536" s="10" t="str">
        <f aca="false">_xlfn.CONCAT(A1536, ",",H1536,",",I1536)</f>
        <v>읏,케,1</v>
      </c>
      <c r="K1536" s="16" t="n">
        <f aca="false">IF(B1536=-1,-1,VLOOKUP(C1536,$T$1:$V$20,3))</f>
        <v>15</v>
      </c>
      <c r="L1536" s="16" t="n">
        <f aca="false">IF(B1536=-1,-1,VLOOKUP(D1536,$Y$1:$AA$22,3))</f>
        <v>18</v>
      </c>
      <c r="N1536" s="10" t="str">
        <f aca="false">_xlfn.UNICHAR(((C1536*21)+G1536)*28+44032)</f>
        <v>에</v>
      </c>
      <c r="O1536" s="10" t="str">
        <f aca="false">_xlfn.UNICHAR(((F1536*21)+D1536)*28+44032)</f>
        <v>크</v>
      </c>
      <c r="P1536" s="12" t="n">
        <f aca="false">COUNTIF($A$2:$A$3000, N1536) + COUNTIF($A$2:$A$3000, O1536)</f>
        <v>2</v>
      </c>
      <c r="Q1536" s="16" t="str">
        <f aca="false">IF(OR(B1536=-1,I1536=0, P1536&lt;&gt;2), "albhed_dummy", _xlfn.CONCAT("albhed ", RIGHT("  " &amp; K1536,2),", ", RIGHT("  " &amp; L1536,2), ", " ,"""",H1536,""", ", """",N1536,""", ","""",O1536,""""," ; ", A1536))</f>
        <v>albhed 15, 18, "케", "에", "크" ; 읏</v>
      </c>
    </row>
    <row r="1537" customFormat="false" ht="17.9" hidden="false" customHeight="true" outlineLevel="0" collapsed="false">
      <c r="A1537" s="16" t="s">
        <v>2393</v>
      </c>
      <c r="B1537" s="16" t="n">
        <f aca="false">IF(_xlfn.UNICODE(A1537)&lt;44032,-1,_xlfn.UNICODE(A1537)-44032)</f>
        <v>6993</v>
      </c>
      <c r="C1537" s="16" t="n">
        <f aca="false">IF(B1537=-1,-1,INT((B1537/28)/21))</f>
        <v>11</v>
      </c>
      <c r="D1537" s="16" t="n">
        <f aca="false">IF(B1537=-1, -1, MOD(INT(B1537/28),21))</f>
        <v>18</v>
      </c>
      <c r="E1537" s="16" t="n">
        <f aca="false">IF(B1537=-1, -1, VLOOKUP(MOD(B1537,28), $T$24:$U$52,2))</f>
        <v>21</v>
      </c>
      <c r="F1537" s="16" t="n">
        <f aca="false">IF($B1537=-1, -1, VLOOKUP(C1537,$T$1:$V$20, 2))</f>
        <v>15</v>
      </c>
      <c r="G1537" s="16" t="n">
        <f aca="false">IF($B1537=-1, -1, VLOOKUP(D1537,$Y$1:$Z$22,2))</f>
        <v>5</v>
      </c>
      <c r="H1537" s="16" t="str">
        <f aca="false">_xlfn.UNICHAR(((F1537*21)+G1537)*28+44032)</f>
        <v>케</v>
      </c>
      <c r="I1537" s="16" t="n">
        <f aca="false">IF(B1537=-1, 1, COUNTIF($A$2:$A$3000, H1537))</f>
        <v>1</v>
      </c>
      <c r="J1537" s="10" t="str">
        <f aca="false">_xlfn.CONCAT(A1537, ",",H1537,",",I1537)</f>
        <v>응,케,1</v>
      </c>
      <c r="K1537" s="16" t="n">
        <f aca="false">IF(B1537=-1,-1,VLOOKUP(C1537,$T$1:$V$20,3))</f>
        <v>15</v>
      </c>
      <c r="L1537" s="16" t="n">
        <f aca="false">IF(B1537=-1,-1,VLOOKUP(D1537,$Y$1:$AA$22,3))</f>
        <v>18</v>
      </c>
      <c r="N1537" s="10" t="str">
        <f aca="false">_xlfn.UNICHAR(((C1537*21)+G1537)*28+44032)</f>
        <v>에</v>
      </c>
      <c r="O1537" s="10" t="str">
        <f aca="false">_xlfn.UNICHAR(((F1537*21)+D1537)*28+44032)</f>
        <v>크</v>
      </c>
      <c r="P1537" s="12" t="n">
        <f aca="false">COUNTIF($A$2:$A$3000, N1537) + COUNTIF($A$2:$A$3000, O1537)</f>
        <v>2</v>
      </c>
      <c r="Q1537" s="16" t="str">
        <f aca="false">IF(OR(B1537=-1,I1537=0, P1537&lt;&gt;2), "albhed_dummy", _xlfn.CONCAT("albhed ", RIGHT("  " &amp; K1537,2),", ", RIGHT("  " &amp; L1537,2), ", " ,"""",H1537,""", ", """",N1537,""", ","""",O1537,""""," ; ", A1537))</f>
        <v>albhed 15, 18, "케", "에", "크" ; 응</v>
      </c>
    </row>
    <row r="1538" customFormat="false" ht="17.9" hidden="false" customHeight="true" outlineLevel="0" collapsed="false">
      <c r="A1538" s="16" t="s">
        <v>2394</v>
      </c>
      <c r="B1538" s="16" t="n">
        <f aca="false">IF(_xlfn.UNICODE(A1538)&lt;44032,-1,_xlfn.UNICODE(A1538)-44032)</f>
        <v>6994</v>
      </c>
      <c r="C1538" s="16" t="n">
        <f aca="false">IF(B1538=-1,-1,INT((B1538/28)/21))</f>
        <v>11</v>
      </c>
      <c r="D1538" s="16" t="n">
        <f aca="false">IF(B1538=-1, -1, MOD(INT(B1538/28),21))</f>
        <v>18</v>
      </c>
      <c r="E1538" s="16" t="n">
        <f aca="false">IF(B1538=-1, -1, VLOOKUP(MOD(B1538,28), $T$24:$U$52,2))</f>
        <v>19</v>
      </c>
      <c r="F1538" s="16" t="n">
        <f aca="false">IF($B1538=-1, -1, VLOOKUP(C1538,$T$1:$V$20, 2))</f>
        <v>15</v>
      </c>
      <c r="G1538" s="16" t="n">
        <f aca="false">IF($B1538=-1, -1, VLOOKUP(D1538,$Y$1:$Z$22,2))</f>
        <v>5</v>
      </c>
      <c r="H1538" s="16" t="str">
        <f aca="false">_xlfn.UNICHAR(((F1538*21)+G1538)*28+44032)</f>
        <v>케</v>
      </c>
      <c r="I1538" s="16" t="n">
        <f aca="false">IF(B1538=-1, 1, COUNTIF($A$2:$A$3000, H1538))</f>
        <v>1</v>
      </c>
      <c r="J1538" s="10" t="str">
        <f aca="false">_xlfn.CONCAT(A1538, ",",H1538,",",I1538)</f>
        <v>읒,케,1</v>
      </c>
      <c r="K1538" s="16" t="n">
        <f aca="false">IF(B1538=-1,-1,VLOOKUP(C1538,$T$1:$V$20,3))</f>
        <v>15</v>
      </c>
      <c r="L1538" s="16" t="n">
        <f aca="false">IF(B1538=-1,-1,VLOOKUP(D1538,$Y$1:$AA$22,3))</f>
        <v>18</v>
      </c>
      <c r="N1538" s="10" t="str">
        <f aca="false">_xlfn.UNICHAR(((C1538*21)+G1538)*28+44032)</f>
        <v>에</v>
      </c>
      <c r="O1538" s="10" t="str">
        <f aca="false">_xlfn.UNICHAR(((F1538*21)+D1538)*28+44032)</f>
        <v>크</v>
      </c>
      <c r="P1538" s="12" t="n">
        <f aca="false">COUNTIF($A$2:$A$3000, N1538) + COUNTIF($A$2:$A$3000, O1538)</f>
        <v>2</v>
      </c>
      <c r="Q1538" s="16" t="str">
        <f aca="false">IF(OR(B1538=-1,I1538=0, P1538&lt;&gt;2), "albhed_dummy", _xlfn.CONCAT("albhed ", RIGHT("  " &amp; K1538,2),", ", RIGHT("  " &amp; L1538,2), ", " ,"""",H1538,""", ", """",N1538,""", ","""",O1538,""""," ; ", A1538))</f>
        <v>albhed 15, 18, "케", "에", "크" ; 읒</v>
      </c>
    </row>
    <row r="1539" customFormat="false" ht="17.9" hidden="false" customHeight="true" outlineLevel="0" collapsed="false">
      <c r="A1539" s="16" t="s">
        <v>2395</v>
      </c>
      <c r="B1539" s="16" t="n">
        <f aca="false">IF(_xlfn.UNICODE(A1539)&lt;44032,-1,_xlfn.UNICODE(A1539)-44032)</f>
        <v>6995</v>
      </c>
      <c r="C1539" s="16" t="n">
        <f aca="false">IF(B1539=-1,-1,INT((B1539/28)/21))</f>
        <v>11</v>
      </c>
      <c r="D1539" s="16" t="n">
        <f aca="false">IF(B1539=-1, -1, MOD(INT(B1539/28),21))</f>
        <v>18</v>
      </c>
      <c r="E1539" s="16" t="n">
        <f aca="false">IF(B1539=-1, -1, VLOOKUP(MOD(B1539,28), $T$24:$U$52,2))</f>
        <v>19</v>
      </c>
      <c r="F1539" s="16" t="n">
        <f aca="false">IF($B1539=-1, -1, VLOOKUP(C1539,$T$1:$V$20, 2))</f>
        <v>15</v>
      </c>
      <c r="G1539" s="16" t="n">
        <f aca="false">IF($B1539=-1, -1, VLOOKUP(D1539,$Y$1:$Z$22,2))</f>
        <v>5</v>
      </c>
      <c r="H1539" s="16" t="str">
        <f aca="false">_xlfn.UNICHAR(((F1539*21)+G1539)*28+44032)</f>
        <v>케</v>
      </c>
      <c r="I1539" s="16" t="n">
        <f aca="false">IF(B1539=-1, 1, COUNTIF($A$2:$A$3000, H1539))</f>
        <v>1</v>
      </c>
      <c r="J1539" s="10" t="str">
        <f aca="false">_xlfn.CONCAT(A1539, ",",H1539,",",I1539)</f>
        <v>읓,케,1</v>
      </c>
      <c r="K1539" s="16" t="n">
        <f aca="false">IF(B1539=-1,-1,VLOOKUP(C1539,$T$1:$V$20,3))</f>
        <v>15</v>
      </c>
      <c r="L1539" s="16" t="n">
        <f aca="false">IF(B1539=-1,-1,VLOOKUP(D1539,$Y$1:$AA$22,3))</f>
        <v>18</v>
      </c>
      <c r="N1539" s="10" t="str">
        <f aca="false">_xlfn.UNICHAR(((C1539*21)+G1539)*28+44032)</f>
        <v>에</v>
      </c>
      <c r="O1539" s="10" t="str">
        <f aca="false">_xlfn.UNICHAR(((F1539*21)+D1539)*28+44032)</f>
        <v>크</v>
      </c>
      <c r="P1539" s="12" t="n">
        <f aca="false">COUNTIF($A$2:$A$3000, N1539) + COUNTIF($A$2:$A$3000, O1539)</f>
        <v>2</v>
      </c>
      <c r="Q1539" s="16" t="str">
        <f aca="false">IF(OR(B1539=-1,I1539=0, P1539&lt;&gt;2), "albhed_dummy", _xlfn.CONCAT("albhed ", RIGHT("  " &amp; K1539,2),", ", RIGHT("  " &amp; L1539,2), ", " ,"""",H1539,""", ", """",N1539,""", ","""",O1539,""""," ; ", A1539))</f>
        <v>albhed 15, 18, "케", "에", "크" ; 읓</v>
      </c>
    </row>
    <row r="1540" customFormat="false" ht="17.9" hidden="false" customHeight="true" outlineLevel="0" collapsed="false">
      <c r="A1540" s="16" t="s">
        <v>2396</v>
      </c>
      <c r="B1540" s="16" t="n">
        <f aca="false">IF(_xlfn.UNICODE(A1540)&lt;44032,-1,_xlfn.UNICODE(A1540)-44032)</f>
        <v>6996</v>
      </c>
      <c r="C1540" s="16" t="n">
        <f aca="false">IF(B1540=-1,-1,INT((B1540/28)/21))</f>
        <v>11</v>
      </c>
      <c r="D1540" s="16" t="n">
        <f aca="false">IF(B1540=-1, -1, MOD(INT(B1540/28),21))</f>
        <v>18</v>
      </c>
      <c r="E1540" s="16" t="n">
        <f aca="false">IF(B1540=-1, -1, VLOOKUP(MOD(B1540,28), $T$24:$U$52,2))</f>
        <v>1</v>
      </c>
      <c r="F1540" s="16" t="n">
        <f aca="false">IF($B1540=-1, -1, VLOOKUP(C1540,$T$1:$V$20, 2))</f>
        <v>15</v>
      </c>
      <c r="G1540" s="16" t="n">
        <f aca="false">IF($B1540=-1, -1, VLOOKUP(D1540,$Y$1:$Z$22,2))</f>
        <v>5</v>
      </c>
      <c r="H1540" s="16" t="str">
        <f aca="false">_xlfn.UNICHAR(((F1540*21)+G1540)*28+44032)</f>
        <v>케</v>
      </c>
      <c r="I1540" s="16" t="n">
        <f aca="false">IF(B1540=-1, 1, COUNTIF($A$2:$A$3000, H1540))</f>
        <v>1</v>
      </c>
      <c r="J1540" s="10" t="str">
        <f aca="false">_xlfn.CONCAT(A1540, ",",H1540,",",I1540)</f>
        <v>읔,케,1</v>
      </c>
      <c r="K1540" s="16" t="n">
        <f aca="false">IF(B1540=-1,-1,VLOOKUP(C1540,$T$1:$V$20,3))</f>
        <v>15</v>
      </c>
      <c r="L1540" s="16" t="n">
        <f aca="false">IF(B1540=-1,-1,VLOOKUP(D1540,$Y$1:$AA$22,3))</f>
        <v>18</v>
      </c>
      <c r="N1540" s="10" t="str">
        <f aca="false">_xlfn.UNICHAR(((C1540*21)+G1540)*28+44032)</f>
        <v>에</v>
      </c>
      <c r="O1540" s="10" t="str">
        <f aca="false">_xlfn.UNICHAR(((F1540*21)+D1540)*28+44032)</f>
        <v>크</v>
      </c>
      <c r="P1540" s="12" t="n">
        <f aca="false">COUNTIF($A$2:$A$3000, N1540) + COUNTIF($A$2:$A$3000, O1540)</f>
        <v>2</v>
      </c>
      <c r="Q1540" s="16" t="str">
        <f aca="false">IF(OR(B1540=-1,I1540=0, P1540&lt;&gt;2), "albhed_dummy", _xlfn.CONCAT("albhed ", RIGHT("  " &amp; K1540,2),", ", RIGHT("  " &amp; L1540,2), ", " ,"""",H1540,""", ", """",N1540,""", ","""",O1540,""""," ; ", A1540))</f>
        <v>albhed 15, 18, "케", "에", "크" ; 읔</v>
      </c>
    </row>
    <row r="1541" customFormat="false" ht="17.9" hidden="false" customHeight="true" outlineLevel="0" collapsed="false">
      <c r="A1541" s="16" t="s">
        <v>2397</v>
      </c>
      <c r="B1541" s="16" t="n">
        <f aca="false">IF(_xlfn.UNICODE(A1541)&lt;44032,-1,_xlfn.UNICODE(A1541)-44032)</f>
        <v>6997</v>
      </c>
      <c r="C1541" s="16" t="n">
        <f aca="false">IF(B1541=-1,-1,INT((B1541/28)/21))</f>
        <v>11</v>
      </c>
      <c r="D1541" s="16" t="n">
        <f aca="false">IF(B1541=-1, -1, MOD(INT(B1541/28),21))</f>
        <v>18</v>
      </c>
      <c r="E1541" s="16" t="n">
        <f aca="false">IF(B1541=-1, -1, VLOOKUP(MOD(B1541,28), $T$24:$U$52,2))</f>
        <v>19</v>
      </c>
      <c r="F1541" s="16" t="n">
        <f aca="false">IF($B1541=-1, -1, VLOOKUP(C1541,$T$1:$V$20, 2))</f>
        <v>15</v>
      </c>
      <c r="G1541" s="16" t="n">
        <f aca="false">IF($B1541=-1, -1, VLOOKUP(D1541,$Y$1:$Z$22,2))</f>
        <v>5</v>
      </c>
      <c r="H1541" s="16" t="str">
        <f aca="false">_xlfn.UNICHAR(((F1541*21)+G1541)*28+44032)</f>
        <v>케</v>
      </c>
      <c r="I1541" s="16" t="n">
        <f aca="false">IF(B1541=-1, 1, COUNTIF($A$2:$A$3000, H1541))</f>
        <v>1</v>
      </c>
      <c r="J1541" s="10" t="str">
        <f aca="false">_xlfn.CONCAT(A1541, ",",H1541,",",I1541)</f>
        <v>읕,케,1</v>
      </c>
      <c r="K1541" s="16" t="n">
        <f aca="false">IF(B1541=-1,-1,VLOOKUP(C1541,$T$1:$V$20,3))</f>
        <v>15</v>
      </c>
      <c r="L1541" s="16" t="n">
        <f aca="false">IF(B1541=-1,-1,VLOOKUP(D1541,$Y$1:$AA$22,3))</f>
        <v>18</v>
      </c>
      <c r="N1541" s="10" t="str">
        <f aca="false">_xlfn.UNICHAR(((C1541*21)+G1541)*28+44032)</f>
        <v>에</v>
      </c>
      <c r="O1541" s="10" t="str">
        <f aca="false">_xlfn.UNICHAR(((F1541*21)+D1541)*28+44032)</f>
        <v>크</v>
      </c>
      <c r="P1541" s="12" t="n">
        <f aca="false">COUNTIF($A$2:$A$3000, N1541) + COUNTIF($A$2:$A$3000, O1541)</f>
        <v>2</v>
      </c>
      <c r="Q1541" s="16" t="str">
        <f aca="false">IF(OR(B1541=-1,I1541=0, P1541&lt;&gt;2), "albhed_dummy", _xlfn.CONCAT("albhed ", RIGHT("  " &amp; K1541,2),", ", RIGHT("  " &amp; L1541,2), ", " ,"""",H1541,""", ", """",N1541,""", ","""",O1541,""""," ; ", A1541))</f>
        <v>albhed 15, 18, "케", "에", "크" ; 읕</v>
      </c>
    </row>
    <row r="1542" customFormat="false" ht="17.9" hidden="false" customHeight="true" outlineLevel="0" collapsed="false">
      <c r="A1542" s="16" t="s">
        <v>2398</v>
      </c>
      <c r="B1542" s="16" t="n">
        <f aca="false">IF(_xlfn.UNICODE(A1542)&lt;44032,-1,_xlfn.UNICODE(A1542)-44032)</f>
        <v>6998</v>
      </c>
      <c r="C1542" s="16" t="n">
        <f aca="false">IF(B1542=-1,-1,INT((B1542/28)/21))</f>
        <v>11</v>
      </c>
      <c r="D1542" s="16" t="n">
        <f aca="false">IF(B1542=-1, -1, MOD(INT(B1542/28),21))</f>
        <v>18</v>
      </c>
      <c r="E1542" s="16" t="n">
        <f aca="false">IF(B1542=-1, -1, VLOOKUP(MOD(B1542,28), $T$24:$U$52,2))</f>
        <v>17</v>
      </c>
      <c r="F1542" s="16" t="n">
        <f aca="false">IF($B1542=-1, -1, VLOOKUP(C1542,$T$1:$V$20, 2))</f>
        <v>15</v>
      </c>
      <c r="G1542" s="16" t="n">
        <f aca="false">IF($B1542=-1, -1, VLOOKUP(D1542,$Y$1:$Z$22,2))</f>
        <v>5</v>
      </c>
      <c r="H1542" s="16" t="str">
        <f aca="false">_xlfn.UNICHAR(((F1542*21)+G1542)*28+44032)</f>
        <v>케</v>
      </c>
      <c r="I1542" s="16" t="n">
        <f aca="false">IF(B1542=-1, 1, COUNTIF($A$2:$A$3000, H1542))</f>
        <v>1</v>
      </c>
      <c r="J1542" s="10" t="str">
        <f aca="false">_xlfn.CONCAT(A1542, ",",H1542,",",I1542)</f>
        <v>읖,케,1</v>
      </c>
      <c r="K1542" s="16" t="n">
        <f aca="false">IF(B1542=-1,-1,VLOOKUP(C1542,$T$1:$V$20,3))</f>
        <v>15</v>
      </c>
      <c r="L1542" s="16" t="n">
        <f aca="false">IF(B1542=-1,-1,VLOOKUP(D1542,$Y$1:$AA$22,3))</f>
        <v>18</v>
      </c>
      <c r="N1542" s="10" t="str">
        <f aca="false">_xlfn.UNICHAR(((C1542*21)+G1542)*28+44032)</f>
        <v>에</v>
      </c>
      <c r="O1542" s="10" t="str">
        <f aca="false">_xlfn.UNICHAR(((F1542*21)+D1542)*28+44032)</f>
        <v>크</v>
      </c>
      <c r="P1542" s="12" t="n">
        <f aca="false">COUNTIF($A$2:$A$3000, N1542) + COUNTIF($A$2:$A$3000, O1542)</f>
        <v>2</v>
      </c>
      <c r="Q1542" s="16" t="str">
        <f aca="false">IF(OR(B1542=-1,I1542=0, P1542&lt;&gt;2), "albhed_dummy", _xlfn.CONCAT("albhed ", RIGHT("  " &amp; K1542,2),", ", RIGHT("  " &amp; L1542,2), ", " ,"""",H1542,""", ", """",N1542,""", ","""",O1542,""""," ; ", A1542))</f>
        <v>albhed 15, 18, "케", "에", "크" ; 읖</v>
      </c>
    </row>
    <row r="1543" customFormat="false" ht="17.9" hidden="false" customHeight="true" outlineLevel="0" collapsed="false">
      <c r="A1543" s="16" t="s">
        <v>2399</v>
      </c>
      <c r="B1543" s="16" t="n">
        <f aca="false">IF(_xlfn.UNICODE(A1543)&lt;44032,-1,_xlfn.UNICODE(A1543)-44032)</f>
        <v>6999</v>
      </c>
      <c r="C1543" s="16" t="n">
        <f aca="false">IF(B1543=-1,-1,INT((B1543/28)/21))</f>
        <v>11</v>
      </c>
      <c r="D1543" s="16" t="n">
        <f aca="false">IF(B1543=-1, -1, MOD(INT(B1543/28),21))</f>
        <v>18</v>
      </c>
      <c r="E1543" s="16" t="n">
        <f aca="false">IF(B1543=-1, -1, VLOOKUP(MOD(B1543,28), $T$24:$U$52,2))</f>
        <v>19</v>
      </c>
      <c r="F1543" s="16" t="n">
        <f aca="false">IF($B1543=-1, -1, VLOOKUP(C1543,$T$1:$V$20, 2))</f>
        <v>15</v>
      </c>
      <c r="G1543" s="16" t="n">
        <f aca="false">IF($B1543=-1, -1, VLOOKUP(D1543,$Y$1:$Z$22,2))</f>
        <v>5</v>
      </c>
      <c r="H1543" s="16" t="str">
        <f aca="false">_xlfn.UNICHAR(((F1543*21)+G1543)*28+44032)</f>
        <v>케</v>
      </c>
      <c r="I1543" s="16" t="n">
        <f aca="false">IF(B1543=-1, 1, COUNTIF($A$2:$A$3000, H1543))</f>
        <v>1</v>
      </c>
      <c r="J1543" s="10" t="str">
        <f aca="false">_xlfn.CONCAT(A1543, ",",H1543,",",I1543)</f>
        <v>읗,케,1</v>
      </c>
      <c r="K1543" s="16" t="n">
        <f aca="false">IF(B1543=-1,-1,VLOOKUP(C1543,$T$1:$V$20,3))</f>
        <v>15</v>
      </c>
      <c r="L1543" s="16" t="n">
        <f aca="false">IF(B1543=-1,-1,VLOOKUP(D1543,$Y$1:$AA$22,3))</f>
        <v>18</v>
      </c>
      <c r="N1543" s="10" t="str">
        <f aca="false">_xlfn.UNICHAR(((C1543*21)+G1543)*28+44032)</f>
        <v>에</v>
      </c>
      <c r="O1543" s="10" t="str">
        <f aca="false">_xlfn.UNICHAR(((F1543*21)+D1543)*28+44032)</f>
        <v>크</v>
      </c>
      <c r="P1543" s="12" t="n">
        <f aca="false">COUNTIF($A$2:$A$3000, N1543) + COUNTIF($A$2:$A$3000, O1543)</f>
        <v>2</v>
      </c>
      <c r="Q1543" s="16" t="str">
        <f aca="false">IF(OR(B1543=-1,I1543=0, P1543&lt;&gt;2), "albhed_dummy", _xlfn.CONCAT("albhed ", RIGHT("  " &amp; K1543,2),", ", RIGHT("  " &amp; L1543,2), ", " ,"""",H1543,""", ", """",N1543,""", ","""",O1543,""""," ; ", A1543))</f>
        <v>albhed 15, 18, "케", "에", "크" ; 읗</v>
      </c>
    </row>
    <row r="1544" customFormat="false" ht="17.9" hidden="false" customHeight="true" outlineLevel="0" collapsed="false">
      <c r="A1544" s="16" t="s">
        <v>827</v>
      </c>
      <c r="B1544" s="16" t="n">
        <f aca="false">IF(_xlfn.UNICODE(A1544)&lt;44032,-1,_xlfn.UNICODE(A1544)-44032)</f>
        <v>7000</v>
      </c>
      <c r="C1544" s="16" t="n">
        <f aca="false">IF(B1544=-1,-1,INT((B1544/28)/21))</f>
        <v>11</v>
      </c>
      <c r="D1544" s="16" t="n">
        <f aca="false">IF(B1544=-1, -1, MOD(INT(B1544/28),21))</f>
        <v>19</v>
      </c>
      <c r="E1544" s="16" t="n">
        <f aca="false">IF(B1544=-1, -1, VLOOKUP(MOD(B1544,28), $T$24:$U$52,2))</f>
        <v>0</v>
      </c>
      <c r="F1544" s="16" t="n">
        <f aca="false">IF($B1544=-1, -1, VLOOKUP(C1544,$T$1:$V$20, 2))</f>
        <v>15</v>
      </c>
      <c r="G1544" s="16" t="n">
        <f aca="false">IF($B1544=-1, -1, VLOOKUP(D1544,$Y$1:$Z$22,2))</f>
        <v>5</v>
      </c>
      <c r="H1544" s="16" t="str">
        <f aca="false">_xlfn.UNICHAR(((F1544*21)+G1544)*28+44032)</f>
        <v>케</v>
      </c>
      <c r="I1544" s="16" t="n">
        <f aca="false">IF(B1544=-1, 1, COUNTIF($A$2:$A$3000, H1544))</f>
        <v>1</v>
      </c>
      <c r="J1544" s="10" t="str">
        <f aca="false">_xlfn.CONCAT(A1544, ",",H1544,",",I1544)</f>
        <v>의,케,1</v>
      </c>
      <c r="K1544" s="16" t="n">
        <f aca="false">IF(B1544=-1,-1,VLOOKUP(C1544,$T$1:$V$20,3))</f>
        <v>15</v>
      </c>
      <c r="L1544" s="16" t="n">
        <f aca="false">IF(B1544=-1,-1,VLOOKUP(D1544,$Y$1:$AA$22,3))</f>
        <v>24</v>
      </c>
      <c r="N1544" s="10" t="str">
        <f aca="false">_xlfn.UNICHAR(((C1544*21)+G1544)*28+44032)</f>
        <v>에</v>
      </c>
      <c r="O1544" s="10" t="str">
        <f aca="false">_xlfn.UNICHAR(((F1544*21)+D1544)*28+44032)</f>
        <v>킈</v>
      </c>
      <c r="P1544" s="12" t="n">
        <f aca="false">COUNTIF($A$2:$A$3000, N1544) + COUNTIF($A$2:$A$3000, O1544)</f>
        <v>1</v>
      </c>
      <c r="Q1544" s="16" t="str">
        <f aca="false">IF(OR(B1544=-1,I1544=0, P1544&lt;&gt;2), "albhed_dummy", _xlfn.CONCAT("albhed ", RIGHT("  " &amp; K1544,2),", ", RIGHT("  " &amp; L1544,2), ", " ,"""",H1544,""", ", """",N1544,""", ","""",O1544,""""," ; ", A1544))</f>
        <v>albhed_dummy</v>
      </c>
    </row>
    <row r="1545" customFormat="false" ht="17.9" hidden="false" customHeight="true" outlineLevel="0" collapsed="false">
      <c r="A1545" s="16" t="s">
        <v>2400</v>
      </c>
      <c r="B1545" s="16" t="n">
        <f aca="false">IF(_xlfn.UNICODE(A1545)&lt;44032,-1,_xlfn.UNICODE(A1545)-44032)</f>
        <v>7004</v>
      </c>
      <c r="C1545" s="16" t="n">
        <f aca="false">IF(B1545=-1,-1,INT((B1545/28)/21))</f>
        <v>11</v>
      </c>
      <c r="D1545" s="16" t="n">
        <f aca="false">IF(B1545=-1, -1, MOD(INT(B1545/28),21))</f>
        <v>19</v>
      </c>
      <c r="E1545" s="16" t="n">
        <f aca="false">IF(B1545=-1, -1, VLOOKUP(MOD(B1545,28), $T$24:$U$52,2))</f>
        <v>4</v>
      </c>
      <c r="F1545" s="16" t="n">
        <f aca="false">IF($B1545=-1, -1, VLOOKUP(C1545,$T$1:$V$20, 2))</f>
        <v>15</v>
      </c>
      <c r="G1545" s="16" t="n">
        <f aca="false">IF($B1545=-1, -1, VLOOKUP(D1545,$Y$1:$Z$22,2))</f>
        <v>5</v>
      </c>
      <c r="H1545" s="16" t="str">
        <f aca="false">_xlfn.UNICHAR(((F1545*21)+G1545)*28+44032)</f>
        <v>케</v>
      </c>
      <c r="I1545" s="16" t="n">
        <f aca="false">IF(B1545=-1, 1, COUNTIF($A$2:$A$3000, H1545))</f>
        <v>1</v>
      </c>
      <c r="J1545" s="10" t="str">
        <f aca="false">_xlfn.CONCAT(A1545, ",",H1545,",",I1545)</f>
        <v>읜,케,1</v>
      </c>
      <c r="K1545" s="16" t="n">
        <f aca="false">IF(B1545=-1,-1,VLOOKUP(C1545,$T$1:$V$20,3))</f>
        <v>15</v>
      </c>
      <c r="L1545" s="16" t="n">
        <f aca="false">IF(B1545=-1,-1,VLOOKUP(D1545,$Y$1:$AA$22,3))</f>
        <v>24</v>
      </c>
      <c r="N1545" s="10" t="str">
        <f aca="false">_xlfn.UNICHAR(((C1545*21)+G1545)*28+44032)</f>
        <v>에</v>
      </c>
      <c r="O1545" s="10" t="str">
        <f aca="false">_xlfn.UNICHAR(((F1545*21)+D1545)*28+44032)</f>
        <v>킈</v>
      </c>
      <c r="P1545" s="12" t="n">
        <f aca="false">COUNTIF($A$2:$A$3000, N1545) + COUNTIF($A$2:$A$3000, O1545)</f>
        <v>1</v>
      </c>
      <c r="Q1545" s="16" t="str">
        <f aca="false">IF(OR(B1545=-1,I1545=0, P1545&lt;&gt;2), "albhed_dummy", _xlfn.CONCAT("albhed ", RIGHT("  " &amp; K1545,2),", ", RIGHT("  " &amp; L1545,2), ", " ,"""",H1545,""", ", """",N1545,""", ","""",O1545,""""," ; ", A1545))</f>
        <v>albhed_dummy</v>
      </c>
    </row>
    <row r="1546" customFormat="false" ht="17.9" hidden="false" customHeight="true" outlineLevel="0" collapsed="false">
      <c r="A1546" s="16" t="s">
        <v>2401</v>
      </c>
      <c r="B1546" s="16" t="n">
        <f aca="false">IF(_xlfn.UNICODE(A1546)&lt;44032,-1,_xlfn.UNICODE(A1546)-44032)</f>
        <v>7008</v>
      </c>
      <c r="C1546" s="16" t="n">
        <f aca="false">IF(B1546=-1,-1,INT((B1546/28)/21))</f>
        <v>11</v>
      </c>
      <c r="D1546" s="16" t="n">
        <f aca="false">IF(B1546=-1, -1, MOD(INT(B1546/28),21))</f>
        <v>19</v>
      </c>
      <c r="E1546" s="16" t="n">
        <f aca="false">IF(B1546=-1, -1, VLOOKUP(MOD(B1546,28), $T$24:$U$52,2))</f>
        <v>8</v>
      </c>
      <c r="F1546" s="16" t="n">
        <f aca="false">IF($B1546=-1, -1, VLOOKUP(C1546,$T$1:$V$20, 2))</f>
        <v>15</v>
      </c>
      <c r="G1546" s="16" t="n">
        <f aca="false">IF($B1546=-1, -1, VLOOKUP(D1546,$Y$1:$Z$22,2))</f>
        <v>5</v>
      </c>
      <c r="H1546" s="16" t="str">
        <f aca="false">_xlfn.UNICHAR(((F1546*21)+G1546)*28+44032)</f>
        <v>케</v>
      </c>
      <c r="I1546" s="16" t="n">
        <f aca="false">IF(B1546=-1, 1, COUNTIF($A$2:$A$3000, H1546))</f>
        <v>1</v>
      </c>
      <c r="J1546" s="10" t="str">
        <f aca="false">_xlfn.CONCAT(A1546, ",",H1546,",",I1546)</f>
        <v>읠,케,1</v>
      </c>
      <c r="K1546" s="16" t="n">
        <f aca="false">IF(B1546=-1,-1,VLOOKUP(C1546,$T$1:$V$20,3))</f>
        <v>15</v>
      </c>
      <c r="L1546" s="16" t="n">
        <f aca="false">IF(B1546=-1,-1,VLOOKUP(D1546,$Y$1:$AA$22,3))</f>
        <v>24</v>
      </c>
      <c r="N1546" s="10" t="str">
        <f aca="false">_xlfn.UNICHAR(((C1546*21)+G1546)*28+44032)</f>
        <v>에</v>
      </c>
      <c r="O1546" s="10" t="str">
        <f aca="false">_xlfn.UNICHAR(((F1546*21)+D1546)*28+44032)</f>
        <v>킈</v>
      </c>
      <c r="P1546" s="12" t="n">
        <f aca="false">COUNTIF($A$2:$A$3000, N1546) + COUNTIF($A$2:$A$3000, O1546)</f>
        <v>1</v>
      </c>
      <c r="Q1546" s="16" t="str">
        <f aca="false">IF(OR(B1546=-1,I1546=0, P1546&lt;&gt;2), "albhed_dummy", _xlfn.CONCAT("albhed ", RIGHT("  " &amp; K1546,2),", ", RIGHT("  " &amp; L1546,2), ", " ,"""",H1546,""", ", """",N1546,""", ","""",O1546,""""," ; ", A1546))</f>
        <v>albhed_dummy</v>
      </c>
    </row>
    <row r="1547" customFormat="false" ht="17.9" hidden="false" customHeight="true" outlineLevel="0" collapsed="false">
      <c r="A1547" s="16" t="s">
        <v>2402</v>
      </c>
      <c r="B1547" s="16" t="n">
        <f aca="false">IF(_xlfn.UNICODE(A1547)&lt;44032,-1,_xlfn.UNICODE(A1547)-44032)</f>
        <v>7016</v>
      </c>
      <c r="C1547" s="16" t="n">
        <f aca="false">IF(B1547=-1,-1,INT((B1547/28)/21))</f>
        <v>11</v>
      </c>
      <c r="D1547" s="16" t="n">
        <f aca="false">IF(B1547=-1, -1, MOD(INT(B1547/28),21))</f>
        <v>19</v>
      </c>
      <c r="E1547" s="16" t="n">
        <f aca="false">IF(B1547=-1, -1, VLOOKUP(MOD(B1547,28), $T$24:$U$52,2))</f>
        <v>16</v>
      </c>
      <c r="F1547" s="16" t="n">
        <f aca="false">IF($B1547=-1, -1, VLOOKUP(C1547,$T$1:$V$20, 2))</f>
        <v>15</v>
      </c>
      <c r="G1547" s="16" t="n">
        <f aca="false">IF($B1547=-1, -1, VLOOKUP(D1547,$Y$1:$Z$22,2))</f>
        <v>5</v>
      </c>
      <c r="H1547" s="16" t="str">
        <f aca="false">_xlfn.UNICHAR(((F1547*21)+G1547)*28+44032)</f>
        <v>케</v>
      </c>
      <c r="I1547" s="16" t="n">
        <f aca="false">IF(B1547=-1, 1, COUNTIF($A$2:$A$3000, H1547))</f>
        <v>1</v>
      </c>
      <c r="J1547" s="10" t="str">
        <f aca="false">_xlfn.CONCAT(A1547, ",",H1547,",",I1547)</f>
        <v>읨,케,1</v>
      </c>
      <c r="K1547" s="16" t="n">
        <f aca="false">IF(B1547=-1,-1,VLOOKUP(C1547,$T$1:$V$20,3))</f>
        <v>15</v>
      </c>
      <c r="L1547" s="16" t="n">
        <f aca="false">IF(B1547=-1,-1,VLOOKUP(D1547,$Y$1:$AA$22,3))</f>
        <v>24</v>
      </c>
      <c r="N1547" s="10" t="str">
        <f aca="false">_xlfn.UNICHAR(((C1547*21)+G1547)*28+44032)</f>
        <v>에</v>
      </c>
      <c r="O1547" s="10" t="str">
        <f aca="false">_xlfn.UNICHAR(((F1547*21)+D1547)*28+44032)</f>
        <v>킈</v>
      </c>
      <c r="P1547" s="12" t="n">
        <f aca="false">COUNTIF($A$2:$A$3000, N1547) + COUNTIF($A$2:$A$3000, O1547)</f>
        <v>1</v>
      </c>
      <c r="Q1547" s="16" t="str">
        <f aca="false">IF(OR(B1547=-1,I1547=0, P1547&lt;&gt;2), "albhed_dummy", _xlfn.CONCAT("albhed ", RIGHT("  " &amp; K1547,2),", ", RIGHT("  " &amp; L1547,2), ", " ,"""",H1547,""", ", """",N1547,""", ","""",O1547,""""," ; ", A1547))</f>
        <v>albhed_dummy</v>
      </c>
    </row>
    <row r="1548" customFormat="false" ht="17.9" hidden="false" customHeight="true" outlineLevel="0" collapsed="false">
      <c r="A1548" s="16" t="s">
        <v>2403</v>
      </c>
      <c r="B1548" s="16" t="n">
        <f aca="false">IF(_xlfn.UNICODE(A1548)&lt;44032,-1,_xlfn.UNICODE(A1548)-44032)</f>
        <v>7019</v>
      </c>
      <c r="C1548" s="16" t="n">
        <f aca="false">IF(B1548=-1,-1,INT((B1548/28)/21))</f>
        <v>11</v>
      </c>
      <c r="D1548" s="16" t="n">
        <f aca="false">IF(B1548=-1, -1, MOD(INT(B1548/28),21))</f>
        <v>19</v>
      </c>
      <c r="E1548" s="16" t="n">
        <f aca="false">IF(B1548=-1, -1, VLOOKUP(MOD(B1548,28), $T$24:$U$52,2))</f>
        <v>19</v>
      </c>
      <c r="F1548" s="16" t="n">
        <f aca="false">IF($B1548=-1, -1, VLOOKUP(C1548,$T$1:$V$20, 2))</f>
        <v>15</v>
      </c>
      <c r="G1548" s="16" t="n">
        <f aca="false">IF($B1548=-1, -1, VLOOKUP(D1548,$Y$1:$Z$22,2))</f>
        <v>5</v>
      </c>
      <c r="H1548" s="16" t="str">
        <f aca="false">_xlfn.UNICHAR(((F1548*21)+G1548)*28+44032)</f>
        <v>케</v>
      </c>
      <c r="I1548" s="16" t="n">
        <f aca="false">IF(B1548=-1, 1, COUNTIF($A$2:$A$3000, H1548))</f>
        <v>1</v>
      </c>
      <c r="J1548" s="10" t="str">
        <f aca="false">_xlfn.CONCAT(A1548, ",",H1548,",",I1548)</f>
        <v>읫,케,1</v>
      </c>
      <c r="K1548" s="16" t="n">
        <f aca="false">IF(B1548=-1,-1,VLOOKUP(C1548,$T$1:$V$20,3))</f>
        <v>15</v>
      </c>
      <c r="L1548" s="16" t="n">
        <f aca="false">IF(B1548=-1,-1,VLOOKUP(D1548,$Y$1:$AA$22,3))</f>
        <v>24</v>
      </c>
      <c r="N1548" s="10" t="str">
        <f aca="false">_xlfn.UNICHAR(((C1548*21)+G1548)*28+44032)</f>
        <v>에</v>
      </c>
      <c r="O1548" s="10" t="str">
        <f aca="false">_xlfn.UNICHAR(((F1548*21)+D1548)*28+44032)</f>
        <v>킈</v>
      </c>
      <c r="P1548" s="12" t="n">
        <f aca="false">COUNTIF($A$2:$A$3000, N1548) + COUNTIF($A$2:$A$3000, O1548)</f>
        <v>1</v>
      </c>
      <c r="Q1548" s="16" t="str">
        <f aca="false">IF(OR(B1548=-1,I1548=0, P1548&lt;&gt;2), "albhed_dummy", _xlfn.CONCAT("albhed ", RIGHT("  " &amp; K1548,2),", ", RIGHT("  " &amp; L1548,2), ", " ,"""",H1548,""", ", """",N1548,""", ","""",O1548,""""," ; ", A1548))</f>
        <v>albhed_dummy</v>
      </c>
    </row>
    <row r="1549" customFormat="false" ht="17.9" hidden="false" customHeight="true" outlineLevel="0" collapsed="false">
      <c r="A1549" s="16" t="s">
        <v>826</v>
      </c>
      <c r="B1549" s="16" t="n">
        <f aca="false">IF(_xlfn.UNICODE(A1549)&lt;44032,-1,_xlfn.UNICODE(A1549)-44032)</f>
        <v>7028</v>
      </c>
      <c r="C1549" s="16" t="n">
        <f aca="false">IF(B1549=-1,-1,INT((B1549/28)/21))</f>
        <v>11</v>
      </c>
      <c r="D1549" s="16" t="n">
        <f aca="false">IF(B1549=-1, -1, MOD(INT(B1549/28),21))</f>
        <v>20</v>
      </c>
      <c r="E1549" s="16" t="n">
        <f aca="false">IF(B1549=-1, -1, VLOOKUP(MOD(B1549,28), $T$24:$U$52,2))</f>
        <v>0</v>
      </c>
      <c r="F1549" s="16" t="n">
        <f aca="false">IF($B1549=-1, -1, VLOOKUP(C1549,$T$1:$V$20, 2))</f>
        <v>15</v>
      </c>
      <c r="G1549" s="16" t="n">
        <f aca="false">IF($B1549=-1, -1, VLOOKUP(D1549,$Y$1:$Z$22,2))</f>
        <v>5</v>
      </c>
      <c r="H1549" s="16" t="str">
        <f aca="false">_xlfn.UNICHAR(((F1549*21)+G1549)*28+44032)</f>
        <v>케</v>
      </c>
      <c r="I1549" s="16" t="n">
        <f aca="false">IF(B1549=-1, 1, COUNTIF($A$2:$A$3000, H1549))</f>
        <v>1</v>
      </c>
      <c r="J1549" s="10" t="str">
        <f aca="false">_xlfn.CONCAT(A1549, ",",H1549,",",I1549)</f>
        <v>이,케,1</v>
      </c>
      <c r="K1549" s="16" t="n">
        <f aca="false">IF(B1549=-1,-1,VLOOKUP(C1549,$T$1:$V$20,3))</f>
        <v>15</v>
      </c>
      <c r="L1549" s="16" t="n">
        <f aca="false">IF(B1549=-1,-1,VLOOKUP(D1549,$Y$1:$AA$22,3))</f>
        <v>20</v>
      </c>
      <c r="N1549" s="10" t="str">
        <f aca="false">_xlfn.UNICHAR(((C1549*21)+G1549)*28+44032)</f>
        <v>에</v>
      </c>
      <c r="O1549" s="10" t="str">
        <f aca="false">_xlfn.UNICHAR(((F1549*21)+D1549)*28+44032)</f>
        <v>키</v>
      </c>
      <c r="P1549" s="12" t="n">
        <f aca="false">COUNTIF($A$2:$A$3000, N1549) + COUNTIF($A$2:$A$3000, O1549)</f>
        <v>2</v>
      </c>
      <c r="Q1549" s="16" t="str">
        <f aca="false">IF(OR(B1549=-1,I1549=0, P1549&lt;&gt;2), "albhed_dummy", _xlfn.CONCAT("albhed ", RIGHT("  " &amp; K1549,2),", ", RIGHT("  " &amp; L1549,2), ", " ,"""",H1549,""", ", """",N1549,""", ","""",O1549,""""," ; ", A1549))</f>
        <v>albhed 15, 20, "케", "에", "키" ; 이</v>
      </c>
    </row>
    <row r="1550" customFormat="false" ht="17.9" hidden="false" customHeight="true" outlineLevel="0" collapsed="false">
      <c r="A1550" s="16" t="s">
        <v>2404</v>
      </c>
      <c r="B1550" s="16" t="n">
        <f aca="false">IF(_xlfn.UNICODE(A1550)&lt;44032,-1,_xlfn.UNICODE(A1550)-44032)</f>
        <v>7029</v>
      </c>
      <c r="C1550" s="16" t="n">
        <f aca="false">IF(B1550=-1,-1,INT((B1550/28)/21))</f>
        <v>11</v>
      </c>
      <c r="D1550" s="16" t="n">
        <f aca="false">IF(B1550=-1, -1, MOD(INT(B1550/28),21))</f>
        <v>20</v>
      </c>
      <c r="E1550" s="16" t="n">
        <f aca="false">IF(B1550=-1, -1, VLOOKUP(MOD(B1550,28), $T$24:$U$52,2))</f>
        <v>1</v>
      </c>
      <c r="F1550" s="16" t="n">
        <f aca="false">IF($B1550=-1, -1, VLOOKUP(C1550,$T$1:$V$20, 2))</f>
        <v>15</v>
      </c>
      <c r="G1550" s="16" t="n">
        <f aca="false">IF($B1550=-1, -1, VLOOKUP(D1550,$Y$1:$Z$22,2))</f>
        <v>5</v>
      </c>
      <c r="H1550" s="16" t="str">
        <f aca="false">_xlfn.UNICHAR(((F1550*21)+G1550)*28+44032)</f>
        <v>케</v>
      </c>
      <c r="I1550" s="16" t="n">
        <f aca="false">IF(B1550=-1, 1, COUNTIF($A$2:$A$3000, H1550))</f>
        <v>1</v>
      </c>
      <c r="J1550" s="10" t="str">
        <f aca="false">_xlfn.CONCAT(A1550, ",",H1550,",",I1550)</f>
        <v>익,케,1</v>
      </c>
      <c r="K1550" s="16" t="n">
        <f aca="false">IF(B1550=-1,-1,VLOOKUP(C1550,$T$1:$V$20,3))</f>
        <v>15</v>
      </c>
      <c r="L1550" s="16" t="n">
        <f aca="false">IF(B1550=-1,-1,VLOOKUP(D1550,$Y$1:$AA$22,3))</f>
        <v>20</v>
      </c>
      <c r="N1550" s="10" t="str">
        <f aca="false">_xlfn.UNICHAR(((C1550*21)+G1550)*28+44032)</f>
        <v>에</v>
      </c>
      <c r="O1550" s="10" t="str">
        <f aca="false">_xlfn.UNICHAR(((F1550*21)+D1550)*28+44032)</f>
        <v>키</v>
      </c>
      <c r="P1550" s="12" t="n">
        <f aca="false">COUNTIF($A$2:$A$3000, N1550) + COUNTIF($A$2:$A$3000, O1550)</f>
        <v>2</v>
      </c>
      <c r="Q1550" s="16" t="str">
        <f aca="false">IF(OR(B1550=-1,I1550=0, P1550&lt;&gt;2), "albhed_dummy", _xlfn.CONCAT("albhed ", RIGHT("  " &amp; K1550,2),", ", RIGHT("  " &amp; L1550,2), ", " ,"""",H1550,""", ", """",N1550,""", ","""",O1550,""""," ; ", A1550))</f>
        <v>albhed 15, 20, "케", "에", "키" ; 익</v>
      </c>
    </row>
    <row r="1551" customFormat="false" ht="17.9" hidden="false" customHeight="true" outlineLevel="0" collapsed="false">
      <c r="A1551" s="16" t="s">
        <v>2405</v>
      </c>
      <c r="B1551" s="16" t="n">
        <f aca="false">IF(_xlfn.UNICODE(A1551)&lt;44032,-1,_xlfn.UNICODE(A1551)-44032)</f>
        <v>7032</v>
      </c>
      <c r="C1551" s="16" t="n">
        <f aca="false">IF(B1551=-1,-1,INT((B1551/28)/21))</f>
        <v>11</v>
      </c>
      <c r="D1551" s="16" t="n">
        <f aca="false">IF(B1551=-1, -1, MOD(INT(B1551/28),21))</f>
        <v>20</v>
      </c>
      <c r="E1551" s="16" t="n">
        <f aca="false">IF(B1551=-1, -1, VLOOKUP(MOD(B1551,28), $T$24:$U$52,2))</f>
        <v>4</v>
      </c>
      <c r="F1551" s="16" t="n">
        <f aca="false">IF($B1551=-1, -1, VLOOKUP(C1551,$T$1:$V$20, 2))</f>
        <v>15</v>
      </c>
      <c r="G1551" s="16" t="n">
        <f aca="false">IF($B1551=-1, -1, VLOOKUP(D1551,$Y$1:$Z$22,2))</f>
        <v>5</v>
      </c>
      <c r="H1551" s="16" t="str">
        <f aca="false">_xlfn.UNICHAR(((F1551*21)+G1551)*28+44032)</f>
        <v>케</v>
      </c>
      <c r="I1551" s="16" t="n">
        <f aca="false">IF(B1551=-1, 1, COUNTIF($A$2:$A$3000, H1551))</f>
        <v>1</v>
      </c>
      <c r="J1551" s="10" t="str">
        <f aca="false">_xlfn.CONCAT(A1551, ",",H1551,",",I1551)</f>
        <v>인,케,1</v>
      </c>
      <c r="K1551" s="16" t="n">
        <f aca="false">IF(B1551=-1,-1,VLOOKUP(C1551,$T$1:$V$20,3))</f>
        <v>15</v>
      </c>
      <c r="L1551" s="16" t="n">
        <f aca="false">IF(B1551=-1,-1,VLOOKUP(D1551,$Y$1:$AA$22,3))</f>
        <v>20</v>
      </c>
      <c r="N1551" s="10" t="str">
        <f aca="false">_xlfn.UNICHAR(((C1551*21)+G1551)*28+44032)</f>
        <v>에</v>
      </c>
      <c r="O1551" s="10" t="str">
        <f aca="false">_xlfn.UNICHAR(((F1551*21)+D1551)*28+44032)</f>
        <v>키</v>
      </c>
      <c r="P1551" s="12" t="n">
        <f aca="false">COUNTIF($A$2:$A$3000, N1551) + COUNTIF($A$2:$A$3000, O1551)</f>
        <v>2</v>
      </c>
      <c r="Q1551" s="16" t="str">
        <f aca="false">IF(OR(B1551=-1,I1551=0, P1551&lt;&gt;2), "albhed_dummy", _xlfn.CONCAT("albhed ", RIGHT("  " &amp; K1551,2),", ", RIGHT("  " &amp; L1551,2), ", " ,"""",H1551,""", ", """",N1551,""", ","""",O1551,""""," ; ", A1551))</f>
        <v>albhed 15, 20, "케", "에", "키" ; 인</v>
      </c>
    </row>
    <row r="1552" customFormat="false" ht="17.9" hidden="false" customHeight="true" outlineLevel="0" collapsed="false">
      <c r="A1552" s="16" t="s">
        <v>2406</v>
      </c>
      <c r="B1552" s="16" t="n">
        <f aca="false">IF(_xlfn.UNICODE(A1552)&lt;44032,-1,_xlfn.UNICODE(A1552)-44032)</f>
        <v>7036</v>
      </c>
      <c r="C1552" s="16" t="n">
        <f aca="false">IF(B1552=-1,-1,INT((B1552/28)/21))</f>
        <v>11</v>
      </c>
      <c r="D1552" s="16" t="n">
        <f aca="false">IF(B1552=-1, -1, MOD(INT(B1552/28),21))</f>
        <v>20</v>
      </c>
      <c r="E1552" s="16" t="n">
        <f aca="false">IF(B1552=-1, -1, VLOOKUP(MOD(B1552,28), $T$24:$U$52,2))</f>
        <v>8</v>
      </c>
      <c r="F1552" s="16" t="n">
        <f aca="false">IF($B1552=-1, -1, VLOOKUP(C1552,$T$1:$V$20, 2))</f>
        <v>15</v>
      </c>
      <c r="G1552" s="16" t="n">
        <f aca="false">IF($B1552=-1, -1, VLOOKUP(D1552,$Y$1:$Z$22,2))</f>
        <v>5</v>
      </c>
      <c r="H1552" s="16" t="str">
        <f aca="false">_xlfn.UNICHAR(((F1552*21)+G1552)*28+44032)</f>
        <v>케</v>
      </c>
      <c r="I1552" s="16" t="n">
        <f aca="false">IF(B1552=-1, 1, COUNTIF($A$2:$A$3000, H1552))</f>
        <v>1</v>
      </c>
      <c r="J1552" s="10" t="str">
        <f aca="false">_xlfn.CONCAT(A1552, ",",H1552,",",I1552)</f>
        <v>일,케,1</v>
      </c>
      <c r="K1552" s="16" t="n">
        <f aca="false">IF(B1552=-1,-1,VLOOKUP(C1552,$T$1:$V$20,3))</f>
        <v>15</v>
      </c>
      <c r="L1552" s="16" t="n">
        <f aca="false">IF(B1552=-1,-1,VLOOKUP(D1552,$Y$1:$AA$22,3))</f>
        <v>20</v>
      </c>
      <c r="N1552" s="10" t="str">
        <f aca="false">_xlfn.UNICHAR(((C1552*21)+G1552)*28+44032)</f>
        <v>에</v>
      </c>
      <c r="O1552" s="10" t="str">
        <f aca="false">_xlfn.UNICHAR(((F1552*21)+D1552)*28+44032)</f>
        <v>키</v>
      </c>
      <c r="P1552" s="12" t="n">
        <f aca="false">COUNTIF($A$2:$A$3000, N1552) + COUNTIF($A$2:$A$3000, O1552)</f>
        <v>2</v>
      </c>
      <c r="Q1552" s="16" t="str">
        <f aca="false">IF(OR(B1552=-1,I1552=0, P1552&lt;&gt;2), "albhed_dummy", _xlfn.CONCAT("albhed ", RIGHT("  " &amp; K1552,2),", ", RIGHT("  " &amp; L1552,2), ", " ,"""",H1552,""", ", """",N1552,""", ","""",O1552,""""," ; ", A1552))</f>
        <v>albhed 15, 20, "케", "에", "키" ; 일</v>
      </c>
    </row>
    <row r="1553" customFormat="false" ht="17.9" hidden="false" customHeight="true" outlineLevel="0" collapsed="false">
      <c r="A1553" s="16" t="s">
        <v>2407</v>
      </c>
      <c r="B1553" s="16" t="n">
        <f aca="false">IF(_xlfn.UNICODE(A1553)&lt;44032,-1,_xlfn.UNICODE(A1553)-44032)</f>
        <v>7037</v>
      </c>
      <c r="C1553" s="16" t="n">
        <f aca="false">IF(B1553=-1,-1,INT((B1553/28)/21))</f>
        <v>11</v>
      </c>
      <c r="D1553" s="16" t="n">
        <f aca="false">IF(B1553=-1, -1, MOD(INT(B1553/28),21))</f>
        <v>20</v>
      </c>
      <c r="E1553" s="16" t="n">
        <f aca="false">IF(B1553=-1, -1, VLOOKUP(MOD(B1553,28), $T$24:$U$52,2))</f>
        <v>8</v>
      </c>
      <c r="F1553" s="16" t="n">
        <f aca="false">IF($B1553=-1, -1, VLOOKUP(C1553,$T$1:$V$20, 2))</f>
        <v>15</v>
      </c>
      <c r="G1553" s="16" t="n">
        <f aca="false">IF($B1553=-1, -1, VLOOKUP(D1553,$Y$1:$Z$22,2))</f>
        <v>5</v>
      </c>
      <c r="H1553" s="16" t="str">
        <f aca="false">_xlfn.UNICHAR(((F1553*21)+G1553)*28+44032)</f>
        <v>케</v>
      </c>
      <c r="I1553" s="16" t="n">
        <f aca="false">IF(B1553=-1, 1, COUNTIF($A$2:$A$3000, H1553))</f>
        <v>1</v>
      </c>
      <c r="J1553" s="10" t="str">
        <f aca="false">_xlfn.CONCAT(A1553, ",",H1553,",",I1553)</f>
        <v>읽,케,1</v>
      </c>
      <c r="K1553" s="16" t="n">
        <f aca="false">IF(B1553=-1,-1,VLOOKUP(C1553,$T$1:$V$20,3))</f>
        <v>15</v>
      </c>
      <c r="L1553" s="16" t="n">
        <f aca="false">IF(B1553=-1,-1,VLOOKUP(D1553,$Y$1:$AA$22,3))</f>
        <v>20</v>
      </c>
      <c r="N1553" s="10" t="str">
        <f aca="false">_xlfn.UNICHAR(((C1553*21)+G1553)*28+44032)</f>
        <v>에</v>
      </c>
      <c r="O1553" s="10" t="str">
        <f aca="false">_xlfn.UNICHAR(((F1553*21)+D1553)*28+44032)</f>
        <v>키</v>
      </c>
      <c r="P1553" s="12" t="n">
        <f aca="false">COUNTIF($A$2:$A$3000, N1553) + COUNTIF($A$2:$A$3000, O1553)</f>
        <v>2</v>
      </c>
      <c r="Q1553" s="16" t="str">
        <f aca="false">IF(OR(B1553=-1,I1553=0, P1553&lt;&gt;2), "albhed_dummy", _xlfn.CONCAT("albhed ", RIGHT("  " &amp; K1553,2),", ", RIGHT("  " &amp; L1553,2), ", " ,"""",H1553,""", ", """",N1553,""", ","""",O1553,""""," ; ", A1553))</f>
        <v>albhed 15, 20, "케", "에", "키" ; 읽</v>
      </c>
    </row>
    <row r="1554" customFormat="false" ht="17.9" hidden="false" customHeight="true" outlineLevel="0" collapsed="false">
      <c r="A1554" s="16" t="s">
        <v>2408</v>
      </c>
      <c r="B1554" s="16" t="n">
        <f aca="false">IF(_xlfn.UNICODE(A1554)&lt;44032,-1,_xlfn.UNICODE(A1554)-44032)</f>
        <v>7038</v>
      </c>
      <c r="C1554" s="16" t="n">
        <f aca="false">IF(B1554=-1,-1,INT((B1554/28)/21))</f>
        <v>11</v>
      </c>
      <c r="D1554" s="16" t="n">
        <f aca="false">IF(B1554=-1, -1, MOD(INT(B1554/28),21))</f>
        <v>20</v>
      </c>
      <c r="E1554" s="16" t="n">
        <f aca="false">IF(B1554=-1, -1, VLOOKUP(MOD(B1554,28), $T$24:$U$52,2))</f>
        <v>8</v>
      </c>
      <c r="F1554" s="16" t="n">
        <f aca="false">IF($B1554=-1, -1, VLOOKUP(C1554,$T$1:$V$20, 2))</f>
        <v>15</v>
      </c>
      <c r="G1554" s="16" t="n">
        <f aca="false">IF($B1554=-1, -1, VLOOKUP(D1554,$Y$1:$Z$22,2))</f>
        <v>5</v>
      </c>
      <c r="H1554" s="16" t="str">
        <f aca="false">_xlfn.UNICHAR(((F1554*21)+G1554)*28+44032)</f>
        <v>케</v>
      </c>
      <c r="I1554" s="16" t="n">
        <f aca="false">IF(B1554=-1, 1, COUNTIF($A$2:$A$3000, H1554))</f>
        <v>1</v>
      </c>
      <c r="J1554" s="10" t="str">
        <f aca="false">_xlfn.CONCAT(A1554, ",",H1554,",",I1554)</f>
        <v>읾,케,1</v>
      </c>
      <c r="K1554" s="16" t="n">
        <f aca="false">IF(B1554=-1,-1,VLOOKUP(C1554,$T$1:$V$20,3))</f>
        <v>15</v>
      </c>
      <c r="L1554" s="16" t="n">
        <f aca="false">IF(B1554=-1,-1,VLOOKUP(D1554,$Y$1:$AA$22,3))</f>
        <v>20</v>
      </c>
      <c r="N1554" s="10" t="str">
        <f aca="false">_xlfn.UNICHAR(((C1554*21)+G1554)*28+44032)</f>
        <v>에</v>
      </c>
      <c r="O1554" s="10" t="str">
        <f aca="false">_xlfn.UNICHAR(((F1554*21)+D1554)*28+44032)</f>
        <v>키</v>
      </c>
      <c r="P1554" s="12" t="n">
        <f aca="false">COUNTIF($A$2:$A$3000, N1554) + COUNTIF($A$2:$A$3000, O1554)</f>
        <v>2</v>
      </c>
      <c r="Q1554" s="16" t="str">
        <f aca="false">IF(OR(B1554=-1,I1554=0, P1554&lt;&gt;2), "albhed_dummy", _xlfn.CONCAT("albhed ", RIGHT("  " &amp; K1554,2),", ", RIGHT("  " &amp; L1554,2), ", " ,"""",H1554,""", ", """",N1554,""", ","""",O1554,""""," ; ", A1554))</f>
        <v>albhed 15, 20, "케", "에", "키" ; 읾</v>
      </c>
    </row>
    <row r="1555" customFormat="false" ht="17.9" hidden="false" customHeight="true" outlineLevel="0" collapsed="false">
      <c r="A1555" s="16" t="s">
        <v>2409</v>
      </c>
      <c r="B1555" s="16" t="n">
        <f aca="false">IF(_xlfn.UNICODE(A1555)&lt;44032,-1,_xlfn.UNICODE(A1555)-44032)</f>
        <v>7043</v>
      </c>
      <c r="C1555" s="16" t="n">
        <f aca="false">IF(B1555=-1,-1,INT((B1555/28)/21))</f>
        <v>11</v>
      </c>
      <c r="D1555" s="16" t="n">
        <f aca="false">IF(B1555=-1, -1, MOD(INT(B1555/28),21))</f>
        <v>20</v>
      </c>
      <c r="E1555" s="16" t="n">
        <f aca="false">IF(B1555=-1, -1, VLOOKUP(MOD(B1555,28), $T$24:$U$52,2))</f>
        <v>8</v>
      </c>
      <c r="F1555" s="16" t="n">
        <f aca="false">IF($B1555=-1, -1, VLOOKUP(C1555,$T$1:$V$20, 2))</f>
        <v>15</v>
      </c>
      <c r="G1555" s="16" t="n">
        <f aca="false">IF($B1555=-1, -1, VLOOKUP(D1555,$Y$1:$Z$22,2))</f>
        <v>5</v>
      </c>
      <c r="H1555" s="16" t="str">
        <f aca="false">_xlfn.UNICHAR(((F1555*21)+G1555)*28+44032)</f>
        <v>케</v>
      </c>
      <c r="I1555" s="16" t="n">
        <f aca="false">IF(B1555=-1, 1, COUNTIF($A$2:$A$3000, H1555))</f>
        <v>1</v>
      </c>
      <c r="J1555" s="10" t="str">
        <f aca="false">_xlfn.CONCAT(A1555, ",",H1555,",",I1555)</f>
        <v>잃,케,1</v>
      </c>
      <c r="K1555" s="16" t="n">
        <f aca="false">IF(B1555=-1,-1,VLOOKUP(C1555,$T$1:$V$20,3))</f>
        <v>15</v>
      </c>
      <c r="L1555" s="16" t="n">
        <f aca="false">IF(B1555=-1,-1,VLOOKUP(D1555,$Y$1:$AA$22,3))</f>
        <v>20</v>
      </c>
      <c r="N1555" s="10" t="str">
        <f aca="false">_xlfn.UNICHAR(((C1555*21)+G1555)*28+44032)</f>
        <v>에</v>
      </c>
      <c r="O1555" s="10" t="str">
        <f aca="false">_xlfn.UNICHAR(((F1555*21)+D1555)*28+44032)</f>
        <v>키</v>
      </c>
      <c r="P1555" s="12" t="n">
        <f aca="false">COUNTIF($A$2:$A$3000, N1555) + COUNTIF($A$2:$A$3000, O1555)</f>
        <v>2</v>
      </c>
      <c r="Q1555" s="16" t="str">
        <f aca="false">IF(OR(B1555=-1,I1555=0, P1555&lt;&gt;2), "albhed_dummy", _xlfn.CONCAT("albhed ", RIGHT("  " &amp; K1555,2),", ", RIGHT("  " &amp; L1555,2), ", " ,"""",H1555,""", ", """",N1555,""", ","""",O1555,""""," ; ", A1555))</f>
        <v>albhed 15, 20, "케", "에", "키" ; 잃</v>
      </c>
    </row>
    <row r="1556" customFormat="false" ht="17.9" hidden="false" customHeight="true" outlineLevel="0" collapsed="false">
      <c r="A1556" s="16" t="s">
        <v>2410</v>
      </c>
      <c r="B1556" s="16" t="n">
        <f aca="false">IF(_xlfn.UNICODE(A1556)&lt;44032,-1,_xlfn.UNICODE(A1556)-44032)</f>
        <v>7044</v>
      </c>
      <c r="C1556" s="16" t="n">
        <f aca="false">IF(B1556=-1,-1,INT((B1556/28)/21))</f>
        <v>11</v>
      </c>
      <c r="D1556" s="16" t="n">
        <f aca="false">IF(B1556=-1, -1, MOD(INT(B1556/28),21))</f>
        <v>20</v>
      </c>
      <c r="E1556" s="16" t="n">
        <f aca="false">IF(B1556=-1, -1, VLOOKUP(MOD(B1556,28), $T$24:$U$52,2))</f>
        <v>16</v>
      </c>
      <c r="F1556" s="16" t="n">
        <f aca="false">IF($B1556=-1, -1, VLOOKUP(C1556,$T$1:$V$20, 2))</f>
        <v>15</v>
      </c>
      <c r="G1556" s="16" t="n">
        <f aca="false">IF($B1556=-1, -1, VLOOKUP(D1556,$Y$1:$Z$22,2))</f>
        <v>5</v>
      </c>
      <c r="H1556" s="16" t="str">
        <f aca="false">_xlfn.UNICHAR(((F1556*21)+G1556)*28+44032)</f>
        <v>케</v>
      </c>
      <c r="I1556" s="16" t="n">
        <f aca="false">IF(B1556=-1, 1, COUNTIF($A$2:$A$3000, H1556))</f>
        <v>1</v>
      </c>
      <c r="J1556" s="10" t="str">
        <f aca="false">_xlfn.CONCAT(A1556, ",",H1556,",",I1556)</f>
        <v>임,케,1</v>
      </c>
      <c r="K1556" s="16" t="n">
        <f aca="false">IF(B1556=-1,-1,VLOOKUP(C1556,$T$1:$V$20,3))</f>
        <v>15</v>
      </c>
      <c r="L1556" s="16" t="n">
        <f aca="false">IF(B1556=-1,-1,VLOOKUP(D1556,$Y$1:$AA$22,3))</f>
        <v>20</v>
      </c>
      <c r="N1556" s="10" t="str">
        <f aca="false">_xlfn.UNICHAR(((C1556*21)+G1556)*28+44032)</f>
        <v>에</v>
      </c>
      <c r="O1556" s="10" t="str">
        <f aca="false">_xlfn.UNICHAR(((F1556*21)+D1556)*28+44032)</f>
        <v>키</v>
      </c>
      <c r="P1556" s="12" t="n">
        <f aca="false">COUNTIF($A$2:$A$3000, N1556) + COUNTIF($A$2:$A$3000, O1556)</f>
        <v>2</v>
      </c>
      <c r="Q1556" s="16" t="str">
        <f aca="false">IF(OR(B1556=-1,I1556=0, P1556&lt;&gt;2), "albhed_dummy", _xlfn.CONCAT("albhed ", RIGHT("  " &amp; K1556,2),", ", RIGHT("  " &amp; L1556,2), ", " ,"""",H1556,""", ", """",N1556,""", ","""",O1556,""""," ; ", A1556))</f>
        <v>albhed 15, 20, "케", "에", "키" ; 임</v>
      </c>
    </row>
    <row r="1557" customFormat="false" ht="17.9" hidden="false" customHeight="true" outlineLevel="0" collapsed="false">
      <c r="A1557" s="16" t="s">
        <v>2411</v>
      </c>
      <c r="B1557" s="16" t="n">
        <f aca="false">IF(_xlfn.UNICODE(A1557)&lt;44032,-1,_xlfn.UNICODE(A1557)-44032)</f>
        <v>7045</v>
      </c>
      <c r="C1557" s="16" t="n">
        <f aca="false">IF(B1557=-1,-1,INT((B1557/28)/21))</f>
        <v>11</v>
      </c>
      <c r="D1557" s="16" t="n">
        <f aca="false">IF(B1557=-1, -1, MOD(INT(B1557/28),21))</f>
        <v>20</v>
      </c>
      <c r="E1557" s="16" t="n">
        <f aca="false">IF(B1557=-1, -1, VLOOKUP(MOD(B1557,28), $T$24:$U$52,2))</f>
        <v>17</v>
      </c>
      <c r="F1557" s="16" t="n">
        <f aca="false">IF($B1557=-1, -1, VLOOKUP(C1557,$T$1:$V$20, 2))</f>
        <v>15</v>
      </c>
      <c r="G1557" s="16" t="n">
        <f aca="false">IF($B1557=-1, -1, VLOOKUP(D1557,$Y$1:$Z$22,2))</f>
        <v>5</v>
      </c>
      <c r="H1557" s="16" t="str">
        <f aca="false">_xlfn.UNICHAR(((F1557*21)+G1557)*28+44032)</f>
        <v>케</v>
      </c>
      <c r="I1557" s="16" t="n">
        <f aca="false">IF(B1557=-1, 1, COUNTIF($A$2:$A$3000, H1557))</f>
        <v>1</v>
      </c>
      <c r="J1557" s="10" t="str">
        <f aca="false">_xlfn.CONCAT(A1557, ",",H1557,",",I1557)</f>
        <v>입,케,1</v>
      </c>
      <c r="K1557" s="16" t="n">
        <f aca="false">IF(B1557=-1,-1,VLOOKUP(C1557,$T$1:$V$20,3))</f>
        <v>15</v>
      </c>
      <c r="L1557" s="16" t="n">
        <f aca="false">IF(B1557=-1,-1,VLOOKUP(D1557,$Y$1:$AA$22,3))</f>
        <v>20</v>
      </c>
      <c r="N1557" s="10" t="str">
        <f aca="false">_xlfn.UNICHAR(((C1557*21)+G1557)*28+44032)</f>
        <v>에</v>
      </c>
      <c r="O1557" s="10" t="str">
        <f aca="false">_xlfn.UNICHAR(((F1557*21)+D1557)*28+44032)</f>
        <v>키</v>
      </c>
      <c r="P1557" s="12" t="n">
        <f aca="false">COUNTIF($A$2:$A$3000, N1557) + COUNTIF($A$2:$A$3000, O1557)</f>
        <v>2</v>
      </c>
      <c r="Q1557" s="16" t="str">
        <f aca="false">IF(OR(B1557=-1,I1557=0, P1557&lt;&gt;2), "albhed_dummy", _xlfn.CONCAT("albhed ", RIGHT("  " &amp; K1557,2),", ", RIGHT("  " &amp; L1557,2), ", " ,"""",H1557,""", ", """",N1557,""", ","""",O1557,""""," ; ", A1557))</f>
        <v>albhed 15, 20, "케", "에", "키" ; 입</v>
      </c>
    </row>
    <row r="1558" customFormat="false" ht="17.9" hidden="false" customHeight="true" outlineLevel="0" collapsed="false">
      <c r="A1558" s="16" t="s">
        <v>2412</v>
      </c>
      <c r="B1558" s="16" t="n">
        <f aca="false">IF(_xlfn.UNICODE(A1558)&lt;44032,-1,_xlfn.UNICODE(A1558)-44032)</f>
        <v>7047</v>
      </c>
      <c r="C1558" s="16" t="n">
        <f aca="false">IF(B1558=-1,-1,INT((B1558/28)/21))</f>
        <v>11</v>
      </c>
      <c r="D1558" s="16" t="n">
        <f aca="false">IF(B1558=-1, -1, MOD(INT(B1558/28),21))</f>
        <v>20</v>
      </c>
      <c r="E1558" s="16" t="n">
        <f aca="false">IF(B1558=-1, -1, VLOOKUP(MOD(B1558,28), $T$24:$U$52,2))</f>
        <v>19</v>
      </c>
      <c r="F1558" s="16" t="n">
        <f aca="false">IF($B1558=-1, -1, VLOOKUP(C1558,$T$1:$V$20, 2))</f>
        <v>15</v>
      </c>
      <c r="G1558" s="16" t="n">
        <f aca="false">IF($B1558=-1, -1, VLOOKUP(D1558,$Y$1:$Z$22,2))</f>
        <v>5</v>
      </c>
      <c r="H1558" s="16" t="str">
        <f aca="false">_xlfn.UNICHAR(((F1558*21)+G1558)*28+44032)</f>
        <v>케</v>
      </c>
      <c r="I1558" s="16" t="n">
        <f aca="false">IF(B1558=-1, 1, COUNTIF($A$2:$A$3000, H1558))</f>
        <v>1</v>
      </c>
      <c r="J1558" s="10" t="str">
        <f aca="false">_xlfn.CONCAT(A1558, ",",H1558,",",I1558)</f>
        <v>잇,케,1</v>
      </c>
      <c r="K1558" s="16" t="n">
        <f aca="false">IF(B1558=-1,-1,VLOOKUP(C1558,$T$1:$V$20,3))</f>
        <v>15</v>
      </c>
      <c r="L1558" s="16" t="n">
        <f aca="false">IF(B1558=-1,-1,VLOOKUP(D1558,$Y$1:$AA$22,3))</f>
        <v>20</v>
      </c>
      <c r="N1558" s="10" t="str">
        <f aca="false">_xlfn.UNICHAR(((C1558*21)+G1558)*28+44032)</f>
        <v>에</v>
      </c>
      <c r="O1558" s="10" t="str">
        <f aca="false">_xlfn.UNICHAR(((F1558*21)+D1558)*28+44032)</f>
        <v>키</v>
      </c>
      <c r="P1558" s="12" t="n">
        <f aca="false">COUNTIF($A$2:$A$3000, N1558) + COUNTIF($A$2:$A$3000, O1558)</f>
        <v>2</v>
      </c>
      <c r="Q1558" s="16" t="str">
        <f aca="false">IF(OR(B1558=-1,I1558=0, P1558&lt;&gt;2), "albhed_dummy", _xlfn.CONCAT("albhed ", RIGHT("  " &amp; K1558,2),", ", RIGHT("  " &amp; L1558,2), ", " ,"""",H1558,""", ", """",N1558,""", ","""",O1558,""""," ; ", A1558))</f>
        <v>albhed 15, 20, "케", "에", "키" ; 잇</v>
      </c>
    </row>
    <row r="1559" customFormat="false" ht="17.9" hidden="false" customHeight="true" outlineLevel="0" collapsed="false">
      <c r="A1559" s="16" t="s">
        <v>815</v>
      </c>
      <c r="B1559" s="16" t="n">
        <f aca="false">IF(_xlfn.UNICODE(A1559)&lt;44032,-1,_xlfn.UNICODE(A1559)-44032)</f>
        <v>7048</v>
      </c>
      <c r="C1559" s="16" t="n">
        <f aca="false">IF(B1559=-1,-1,INT((B1559/28)/21))</f>
        <v>11</v>
      </c>
      <c r="D1559" s="16" t="n">
        <f aca="false">IF(B1559=-1, -1, MOD(INT(B1559/28),21))</f>
        <v>20</v>
      </c>
      <c r="E1559" s="16" t="n">
        <f aca="false">IF(B1559=-1, -1, VLOOKUP(MOD(B1559,28), $T$24:$U$52,2))</f>
        <v>19</v>
      </c>
      <c r="F1559" s="16" t="n">
        <f aca="false">IF($B1559=-1, -1, VLOOKUP(C1559,$T$1:$V$20, 2))</f>
        <v>15</v>
      </c>
      <c r="G1559" s="16" t="n">
        <f aca="false">IF($B1559=-1, -1, VLOOKUP(D1559,$Y$1:$Z$22,2))</f>
        <v>5</v>
      </c>
      <c r="H1559" s="16" t="str">
        <f aca="false">_xlfn.UNICHAR(((F1559*21)+G1559)*28+44032)</f>
        <v>케</v>
      </c>
      <c r="I1559" s="16" t="n">
        <f aca="false">IF(B1559=-1, 1, COUNTIF($A$2:$A$3000, H1559))</f>
        <v>1</v>
      </c>
      <c r="J1559" s="10" t="str">
        <f aca="false">_xlfn.CONCAT(A1559, ",",H1559,",",I1559)</f>
        <v>있,케,1</v>
      </c>
      <c r="K1559" s="16" t="n">
        <f aca="false">IF(B1559=-1,-1,VLOOKUP(C1559,$T$1:$V$20,3))</f>
        <v>15</v>
      </c>
      <c r="L1559" s="16" t="n">
        <f aca="false">IF(B1559=-1,-1,VLOOKUP(D1559,$Y$1:$AA$22,3))</f>
        <v>20</v>
      </c>
      <c r="N1559" s="10" t="str">
        <f aca="false">_xlfn.UNICHAR(((C1559*21)+G1559)*28+44032)</f>
        <v>에</v>
      </c>
      <c r="O1559" s="10" t="str">
        <f aca="false">_xlfn.UNICHAR(((F1559*21)+D1559)*28+44032)</f>
        <v>키</v>
      </c>
      <c r="P1559" s="12" t="n">
        <f aca="false">COUNTIF($A$2:$A$3000, N1559) + COUNTIF($A$2:$A$3000, O1559)</f>
        <v>2</v>
      </c>
      <c r="Q1559" s="16" t="str">
        <f aca="false">IF(OR(B1559=-1,I1559=0, P1559&lt;&gt;2), "albhed_dummy", _xlfn.CONCAT("albhed ", RIGHT("  " &amp; K1559,2),", ", RIGHT("  " &amp; L1559,2), ", " ,"""",H1559,""", ", """",N1559,""", ","""",O1559,""""," ; ", A1559))</f>
        <v>albhed 15, 20, "케", "에", "키" ; 있</v>
      </c>
    </row>
    <row r="1560" customFormat="false" ht="17.9" hidden="false" customHeight="true" outlineLevel="0" collapsed="false">
      <c r="A1560" s="16" t="s">
        <v>2413</v>
      </c>
      <c r="B1560" s="16" t="n">
        <f aca="false">IF(_xlfn.UNICODE(A1560)&lt;44032,-1,_xlfn.UNICODE(A1560)-44032)</f>
        <v>7049</v>
      </c>
      <c r="C1560" s="16" t="n">
        <f aca="false">IF(B1560=-1,-1,INT((B1560/28)/21))</f>
        <v>11</v>
      </c>
      <c r="D1560" s="16" t="n">
        <f aca="false">IF(B1560=-1, -1, MOD(INT(B1560/28),21))</f>
        <v>20</v>
      </c>
      <c r="E1560" s="16" t="n">
        <f aca="false">IF(B1560=-1, -1, VLOOKUP(MOD(B1560,28), $T$24:$U$52,2))</f>
        <v>21</v>
      </c>
      <c r="F1560" s="16" t="n">
        <f aca="false">IF($B1560=-1, -1, VLOOKUP(C1560,$T$1:$V$20, 2))</f>
        <v>15</v>
      </c>
      <c r="G1560" s="16" t="n">
        <f aca="false">IF($B1560=-1, -1, VLOOKUP(D1560,$Y$1:$Z$22,2))</f>
        <v>5</v>
      </c>
      <c r="H1560" s="16" t="str">
        <f aca="false">_xlfn.UNICHAR(((F1560*21)+G1560)*28+44032)</f>
        <v>케</v>
      </c>
      <c r="I1560" s="16" t="n">
        <f aca="false">IF(B1560=-1, 1, COUNTIF($A$2:$A$3000, H1560))</f>
        <v>1</v>
      </c>
      <c r="J1560" s="10" t="str">
        <f aca="false">_xlfn.CONCAT(A1560, ",",H1560,",",I1560)</f>
        <v>잉,케,1</v>
      </c>
      <c r="K1560" s="16" t="n">
        <f aca="false">IF(B1560=-1,-1,VLOOKUP(C1560,$T$1:$V$20,3))</f>
        <v>15</v>
      </c>
      <c r="L1560" s="16" t="n">
        <f aca="false">IF(B1560=-1,-1,VLOOKUP(D1560,$Y$1:$AA$22,3))</f>
        <v>20</v>
      </c>
      <c r="N1560" s="10" t="str">
        <f aca="false">_xlfn.UNICHAR(((C1560*21)+G1560)*28+44032)</f>
        <v>에</v>
      </c>
      <c r="O1560" s="10" t="str">
        <f aca="false">_xlfn.UNICHAR(((F1560*21)+D1560)*28+44032)</f>
        <v>키</v>
      </c>
      <c r="P1560" s="12" t="n">
        <f aca="false">COUNTIF($A$2:$A$3000, N1560) + COUNTIF($A$2:$A$3000, O1560)</f>
        <v>2</v>
      </c>
      <c r="Q1560" s="16" t="str">
        <f aca="false">IF(OR(B1560=-1,I1560=0, P1560&lt;&gt;2), "albhed_dummy", _xlfn.CONCAT("albhed ", RIGHT("  " &amp; K1560,2),", ", RIGHT("  " &amp; L1560,2), ", " ,"""",H1560,""", ", """",N1560,""", ","""",O1560,""""," ; ", A1560))</f>
        <v>albhed 15, 20, "케", "에", "키" ; 잉</v>
      </c>
    </row>
    <row r="1561" customFormat="false" ht="17.9" hidden="false" customHeight="true" outlineLevel="0" collapsed="false">
      <c r="A1561" s="16" t="s">
        <v>2414</v>
      </c>
      <c r="B1561" s="16" t="n">
        <f aca="false">IF(_xlfn.UNICODE(A1561)&lt;44032,-1,_xlfn.UNICODE(A1561)-44032)</f>
        <v>7050</v>
      </c>
      <c r="C1561" s="16" t="n">
        <f aca="false">IF(B1561=-1,-1,INT((B1561/28)/21))</f>
        <v>11</v>
      </c>
      <c r="D1561" s="16" t="n">
        <f aca="false">IF(B1561=-1, -1, MOD(INT(B1561/28),21))</f>
        <v>20</v>
      </c>
      <c r="E1561" s="16" t="n">
        <f aca="false">IF(B1561=-1, -1, VLOOKUP(MOD(B1561,28), $T$24:$U$52,2))</f>
        <v>19</v>
      </c>
      <c r="F1561" s="16" t="n">
        <f aca="false">IF($B1561=-1, -1, VLOOKUP(C1561,$T$1:$V$20, 2))</f>
        <v>15</v>
      </c>
      <c r="G1561" s="16" t="n">
        <f aca="false">IF($B1561=-1, -1, VLOOKUP(D1561,$Y$1:$Z$22,2))</f>
        <v>5</v>
      </c>
      <c r="H1561" s="16" t="str">
        <f aca="false">_xlfn.UNICHAR(((F1561*21)+G1561)*28+44032)</f>
        <v>케</v>
      </c>
      <c r="I1561" s="16" t="n">
        <f aca="false">IF(B1561=-1, 1, COUNTIF($A$2:$A$3000, H1561))</f>
        <v>1</v>
      </c>
      <c r="J1561" s="10" t="str">
        <f aca="false">_xlfn.CONCAT(A1561, ",",H1561,",",I1561)</f>
        <v>잊,케,1</v>
      </c>
      <c r="K1561" s="16" t="n">
        <f aca="false">IF(B1561=-1,-1,VLOOKUP(C1561,$T$1:$V$20,3))</f>
        <v>15</v>
      </c>
      <c r="L1561" s="16" t="n">
        <f aca="false">IF(B1561=-1,-1,VLOOKUP(D1561,$Y$1:$AA$22,3))</f>
        <v>20</v>
      </c>
      <c r="N1561" s="10" t="str">
        <f aca="false">_xlfn.UNICHAR(((C1561*21)+G1561)*28+44032)</f>
        <v>에</v>
      </c>
      <c r="O1561" s="10" t="str">
        <f aca="false">_xlfn.UNICHAR(((F1561*21)+D1561)*28+44032)</f>
        <v>키</v>
      </c>
      <c r="P1561" s="12" t="n">
        <f aca="false">COUNTIF($A$2:$A$3000, N1561) + COUNTIF($A$2:$A$3000, O1561)</f>
        <v>2</v>
      </c>
      <c r="Q1561" s="16" t="str">
        <f aca="false">IF(OR(B1561=-1,I1561=0, P1561&lt;&gt;2), "albhed_dummy", _xlfn.CONCAT("albhed ", RIGHT("  " &amp; K1561,2),", ", RIGHT("  " &amp; L1561,2), ", " ,"""",H1561,""", ", """",N1561,""", ","""",O1561,""""," ; ", A1561))</f>
        <v>albhed 15, 20, "케", "에", "키" ; 잊</v>
      </c>
    </row>
    <row r="1562" customFormat="false" ht="17.9" hidden="false" customHeight="true" outlineLevel="0" collapsed="false">
      <c r="A1562" s="16" t="s">
        <v>2415</v>
      </c>
      <c r="B1562" s="16" t="n">
        <f aca="false">IF(_xlfn.UNICODE(A1562)&lt;44032,-1,_xlfn.UNICODE(A1562)-44032)</f>
        <v>7054</v>
      </c>
      <c r="C1562" s="16" t="n">
        <f aca="false">IF(B1562=-1,-1,INT((B1562/28)/21))</f>
        <v>11</v>
      </c>
      <c r="D1562" s="16" t="n">
        <f aca="false">IF(B1562=-1, -1, MOD(INT(B1562/28),21))</f>
        <v>20</v>
      </c>
      <c r="E1562" s="16" t="n">
        <f aca="false">IF(B1562=-1, -1, VLOOKUP(MOD(B1562,28), $T$24:$U$52,2))</f>
        <v>17</v>
      </c>
      <c r="F1562" s="16" t="n">
        <f aca="false">IF($B1562=-1, -1, VLOOKUP(C1562,$T$1:$V$20, 2))</f>
        <v>15</v>
      </c>
      <c r="G1562" s="16" t="n">
        <f aca="false">IF($B1562=-1, -1, VLOOKUP(D1562,$Y$1:$Z$22,2))</f>
        <v>5</v>
      </c>
      <c r="H1562" s="16" t="str">
        <f aca="false">_xlfn.UNICHAR(((F1562*21)+G1562)*28+44032)</f>
        <v>케</v>
      </c>
      <c r="I1562" s="16" t="n">
        <f aca="false">IF(B1562=-1, 1, COUNTIF($A$2:$A$3000, H1562))</f>
        <v>1</v>
      </c>
      <c r="J1562" s="10" t="str">
        <f aca="false">_xlfn.CONCAT(A1562, ",",H1562,",",I1562)</f>
        <v>잎,케,1</v>
      </c>
      <c r="K1562" s="16" t="n">
        <f aca="false">IF(B1562=-1,-1,VLOOKUP(C1562,$T$1:$V$20,3))</f>
        <v>15</v>
      </c>
      <c r="L1562" s="16" t="n">
        <f aca="false">IF(B1562=-1,-1,VLOOKUP(D1562,$Y$1:$AA$22,3))</f>
        <v>20</v>
      </c>
      <c r="N1562" s="10" t="str">
        <f aca="false">_xlfn.UNICHAR(((C1562*21)+G1562)*28+44032)</f>
        <v>에</v>
      </c>
      <c r="O1562" s="10" t="str">
        <f aca="false">_xlfn.UNICHAR(((F1562*21)+D1562)*28+44032)</f>
        <v>키</v>
      </c>
      <c r="P1562" s="12" t="n">
        <f aca="false">COUNTIF($A$2:$A$3000, N1562) + COUNTIF($A$2:$A$3000, O1562)</f>
        <v>2</v>
      </c>
      <c r="Q1562" s="16" t="str">
        <f aca="false">IF(OR(B1562=-1,I1562=0, P1562&lt;&gt;2), "albhed_dummy", _xlfn.CONCAT("albhed ", RIGHT("  " &amp; K1562,2),", ", RIGHT("  " &amp; L1562,2), ", " ,"""",H1562,""", ", """",N1562,""", ","""",O1562,""""," ; ", A1562))</f>
        <v>albhed 15, 20, "케", "에", "키" ; 잎</v>
      </c>
    </row>
    <row r="1563" customFormat="false" ht="17.9" hidden="false" customHeight="true" outlineLevel="0" collapsed="false">
      <c r="A1563" s="16" t="s">
        <v>787</v>
      </c>
      <c r="B1563" s="16" t="n">
        <f aca="false">IF(_xlfn.UNICODE(A1563)&lt;44032,-1,_xlfn.UNICODE(A1563)-44032)</f>
        <v>7056</v>
      </c>
      <c r="C1563" s="16" t="n">
        <f aca="false">IF(B1563=-1,-1,INT((B1563/28)/21))</f>
        <v>12</v>
      </c>
      <c r="D1563" s="16" t="n">
        <f aca="false">IF(B1563=-1, -1, MOD(INT(B1563/28),21))</f>
        <v>0</v>
      </c>
      <c r="E1563" s="16" t="n">
        <f aca="false">IF(B1563=-1, -1, VLOOKUP(MOD(B1563,28), $T$24:$U$52,2))</f>
        <v>0</v>
      </c>
      <c r="F1563" s="16" t="n">
        <f aca="false">IF($B1563=-1, -1, VLOOKUP(C1563,$T$1:$V$20, 2))</f>
        <v>3</v>
      </c>
      <c r="G1563" s="16" t="n">
        <f aca="false">IF($B1563=-1, -1, VLOOKUP(D1563,$Y$1:$Z$22,2))</f>
        <v>13</v>
      </c>
      <c r="H1563" s="16" t="str">
        <f aca="false">_xlfn.UNICHAR(((F1563*21)+G1563)*28+44032)</f>
        <v>두</v>
      </c>
      <c r="I1563" s="16" t="n">
        <f aca="false">IF(B1563=-1, 1, COUNTIF($A$2:$A$3000, H1563))</f>
        <v>1</v>
      </c>
      <c r="J1563" s="10" t="str">
        <f aca="false">_xlfn.CONCAT(A1563, ",",H1563,",",I1563)</f>
        <v>자,두,1</v>
      </c>
      <c r="K1563" s="16" t="n">
        <f aca="false">IF(B1563=-1,-1,VLOOKUP(C1563,$T$1:$V$20,3))</f>
        <v>17</v>
      </c>
      <c r="L1563" s="16" t="n">
        <f aca="false">IF(B1563=-1,-1,VLOOKUP(D1563,$Y$1:$AA$22,3))</f>
        <v>2</v>
      </c>
      <c r="N1563" s="10" t="str">
        <f aca="false">_xlfn.UNICHAR(((C1563*21)+G1563)*28+44032)</f>
        <v>주</v>
      </c>
      <c r="O1563" s="10" t="str">
        <f aca="false">_xlfn.UNICHAR(((F1563*21)+D1563)*28+44032)</f>
        <v>다</v>
      </c>
      <c r="P1563" s="12" t="n">
        <f aca="false">COUNTIF($A$2:$A$3000, N1563) + COUNTIF($A$2:$A$3000, O1563)</f>
        <v>2</v>
      </c>
      <c r="Q1563" s="16" t="str">
        <f aca="false">IF(OR(B1563=-1,I1563=0, P1563&lt;&gt;2), "albhed_dummy", _xlfn.CONCAT("albhed ", RIGHT("  " &amp; K1563,2),", ", RIGHT("  " &amp; L1563,2), ", " ,"""",H1563,""", ", """",N1563,""", ","""",O1563,""""," ; ", A1563))</f>
        <v>albhed 17,  2, "두", "주", "다" ; 자</v>
      </c>
    </row>
    <row r="1564" customFormat="false" ht="17.9" hidden="false" customHeight="true" outlineLevel="0" collapsed="false">
      <c r="A1564" s="16" t="s">
        <v>2416</v>
      </c>
      <c r="B1564" s="16" t="n">
        <f aca="false">IF(_xlfn.UNICODE(A1564)&lt;44032,-1,_xlfn.UNICODE(A1564)-44032)</f>
        <v>7057</v>
      </c>
      <c r="C1564" s="16" t="n">
        <f aca="false">IF(B1564=-1,-1,INT((B1564/28)/21))</f>
        <v>12</v>
      </c>
      <c r="D1564" s="16" t="n">
        <f aca="false">IF(B1564=-1, -1, MOD(INT(B1564/28),21))</f>
        <v>0</v>
      </c>
      <c r="E1564" s="16" t="n">
        <f aca="false">IF(B1564=-1, -1, VLOOKUP(MOD(B1564,28), $T$24:$U$52,2))</f>
        <v>1</v>
      </c>
      <c r="F1564" s="16" t="n">
        <f aca="false">IF($B1564=-1, -1, VLOOKUP(C1564,$T$1:$V$20, 2))</f>
        <v>3</v>
      </c>
      <c r="G1564" s="16" t="n">
        <f aca="false">IF($B1564=-1, -1, VLOOKUP(D1564,$Y$1:$Z$22,2))</f>
        <v>13</v>
      </c>
      <c r="H1564" s="16" t="str">
        <f aca="false">_xlfn.UNICHAR(((F1564*21)+G1564)*28+44032)</f>
        <v>두</v>
      </c>
      <c r="I1564" s="16" t="n">
        <f aca="false">IF(B1564=-1, 1, COUNTIF($A$2:$A$3000, H1564))</f>
        <v>1</v>
      </c>
      <c r="J1564" s="10" t="str">
        <f aca="false">_xlfn.CONCAT(A1564, ",",H1564,",",I1564)</f>
        <v>작,두,1</v>
      </c>
      <c r="K1564" s="16" t="n">
        <f aca="false">IF(B1564=-1,-1,VLOOKUP(C1564,$T$1:$V$20,3))</f>
        <v>17</v>
      </c>
      <c r="L1564" s="16" t="n">
        <f aca="false">IF(B1564=-1,-1,VLOOKUP(D1564,$Y$1:$AA$22,3))</f>
        <v>2</v>
      </c>
      <c r="N1564" s="10" t="str">
        <f aca="false">_xlfn.UNICHAR(((C1564*21)+G1564)*28+44032)</f>
        <v>주</v>
      </c>
      <c r="O1564" s="10" t="str">
        <f aca="false">_xlfn.UNICHAR(((F1564*21)+D1564)*28+44032)</f>
        <v>다</v>
      </c>
      <c r="P1564" s="12" t="n">
        <f aca="false">COUNTIF($A$2:$A$3000, N1564) + COUNTIF($A$2:$A$3000, O1564)</f>
        <v>2</v>
      </c>
      <c r="Q1564" s="16" t="str">
        <f aca="false">IF(OR(B1564=-1,I1564=0, P1564&lt;&gt;2), "albhed_dummy", _xlfn.CONCAT("albhed ", RIGHT("  " &amp; K1564,2),", ", RIGHT("  " &amp; L1564,2), ", " ,"""",H1564,""", ", """",N1564,""", ","""",O1564,""""," ; ", A1564))</f>
        <v>albhed 17,  2, "두", "주", "다" ; 작</v>
      </c>
    </row>
    <row r="1565" customFormat="false" ht="17.9" hidden="false" customHeight="true" outlineLevel="0" collapsed="false">
      <c r="A1565" s="16" t="s">
        <v>2417</v>
      </c>
      <c r="B1565" s="16" t="n">
        <f aca="false">IF(_xlfn.UNICODE(A1565)&lt;44032,-1,_xlfn.UNICODE(A1565)-44032)</f>
        <v>7060</v>
      </c>
      <c r="C1565" s="16" t="n">
        <f aca="false">IF(B1565=-1,-1,INT((B1565/28)/21))</f>
        <v>12</v>
      </c>
      <c r="D1565" s="16" t="n">
        <f aca="false">IF(B1565=-1, -1, MOD(INT(B1565/28),21))</f>
        <v>0</v>
      </c>
      <c r="E1565" s="16" t="n">
        <f aca="false">IF(B1565=-1, -1, VLOOKUP(MOD(B1565,28), $T$24:$U$52,2))</f>
        <v>4</v>
      </c>
      <c r="F1565" s="16" t="n">
        <f aca="false">IF($B1565=-1, -1, VLOOKUP(C1565,$T$1:$V$20, 2))</f>
        <v>3</v>
      </c>
      <c r="G1565" s="16" t="n">
        <f aca="false">IF($B1565=-1, -1, VLOOKUP(D1565,$Y$1:$Z$22,2))</f>
        <v>13</v>
      </c>
      <c r="H1565" s="16" t="str">
        <f aca="false">_xlfn.UNICHAR(((F1565*21)+G1565)*28+44032)</f>
        <v>두</v>
      </c>
      <c r="I1565" s="16" t="n">
        <f aca="false">IF(B1565=-1, 1, COUNTIF($A$2:$A$3000, H1565))</f>
        <v>1</v>
      </c>
      <c r="J1565" s="10" t="str">
        <f aca="false">_xlfn.CONCAT(A1565, ",",H1565,",",I1565)</f>
        <v>잔,두,1</v>
      </c>
      <c r="K1565" s="16" t="n">
        <f aca="false">IF(B1565=-1,-1,VLOOKUP(C1565,$T$1:$V$20,3))</f>
        <v>17</v>
      </c>
      <c r="L1565" s="16" t="n">
        <f aca="false">IF(B1565=-1,-1,VLOOKUP(D1565,$Y$1:$AA$22,3))</f>
        <v>2</v>
      </c>
      <c r="N1565" s="10" t="str">
        <f aca="false">_xlfn.UNICHAR(((C1565*21)+G1565)*28+44032)</f>
        <v>주</v>
      </c>
      <c r="O1565" s="10" t="str">
        <f aca="false">_xlfn.UNICHAR(((F1565*21)+D1565)*28+44032)</f>
        <v>다</v>
      </c>
      <c r="P1565" s="12" t="n">
        <f aca="false">COUNTIF($A$2:$A$3000, N1565) + COUNTIF($A$2:$A$3000, O1565)</f>
        <v>2</v>
      </c>
      <c r="Q1565" s="16" t="str">
        <f aca="false">IF(OR(B1565=-1,I1565=0, P1565&lt;&gt;2), "albhed_dummy", _xlfn.CONCAT("albhed ", RIGHT("  " &amp; K1565,2),", ", RIGHT("  " &amp; L1565,2), ", " ,"""",H1565,""", ", """",N1565,""", ","""",O1565,""""," ; ", A1565))</f>
        <v>albhed 17,  2, "두", "주", "다" ; 잔</v>
      </c>
    </row>
    <row r="1566" customFormat="false" ht="17.9" hidden="false" customHeight="true" outlineLevel="0" collapsed="false">
      <c r="A1566" s="16" t="s">
        <v>2418</v>
      </c>
      <c r="B1566" s="16" t="n">
        <f aca="false">IF(_xlfn.UNICODE(A1566)&lt;44032,-1,_xlfn.UNICODE(A1566)-44032)</f>
        <v>7062</v>
      </c>
      <c r="C1566" s="16" t="n">
        <f aca="false">IF(B1566=-1,-1,INT((B1566/28)/21))</f>
        <v>12</v>
      </c>
      <c r="D1566" s="16" t="n">
        <f aca="false">IF(B1566=-1, -1, MOD(INT(B1566/28),21))</f>
        <v>0</v>
      </c>
      <c r="E1566" s="16" t="n">
        <f aca="false">IF(B1566=-1, -1, VLOOKUP(MOD(B1566,28), $T$24:$U$52,2))</f>
        <v>4</v>
      </c>
      <c r="F1566" s="16" t="n">
        <f aca="false">IF($B1566=-1, -1, VLOOKUP(C1566,$T$1:$V$20, 2))</f>
        <v>3</v>
      </c>
      <c r="G1566" s="16" t="n">
        <f aca="false">IF($B1566=-1, -1, VLOOKUP(D1566,$Y$1:$Z$22,2))</f>
        <v>13</v>
      </c>
      <c r="H1566" s="16" t="str">
        <f aca="false">_xlfn.UNICHAR(((F1566*21)+G1566)*28+44032)</f>
        <v>두</v>
      </c>
      <c r="I1566" s="16" t="n">
        <f aca="false">IF(B1566=-1, 1, COUNTIF($A$2:$A$3000, H1566))</f>
        <v>1</v>
      </c>
      <c r="J1566" s="10" t="str">
        <f aca="false">_xlfn.CONCAT(A1566, ",",H1566,",",I1566)</f>
        <v>잖,두,1</v>
      </c>
      <c r="K1566" s="16" t="n">
        <f aca="false">IF(B1566=-1,-1,VLOOKUP(C1566,$T$1:$V$20,3))</f>
        <v>17</v>
      </c>
      <c r="L1566" s="16" t="n">
        <f aca="false">IF(B1566=-1,-1,VLOOKUP(D1566,$Y$1:$AA$22,3))</f>
        <v>2</v>
      </c>
      <c r="N1566" s="10" t="str">
        <f aca="false">_xlfn.UNICHAR(((C1566*21)+G1566)*28+44032)</f>
        <v>주</v>
      </c>
      <c r="O1566" s="10" t="str">
        <f aca="false">_xlfn.UNICHAR(((F1566*21)+D1566)*28+44032)</f>
        <v>다</v>
      </c>
      <c r="P1566" s="12" t="n">
        <f aca="false">COUNTIF($A$2:$A$3000, N1566) + COUNTIF($A$2:$A$3000, O1566)</f>
        <v>2</v>
      </c>
      <c r="Q1566" s="16" t="str">
        <f aca="false">IF(OR(B1566=-1,I1566=0, P1566&lt;&gt;2), "albhed_dummy", _xlfn.CONCAT("albhed ", RIGHT("  " &amp; K1566,2),", ", RIGHT("  " &amp; L1566,2), ", " ,"""",H1566,""", ", """",N1566,""", ","""",O1566,""""," ; ", A1566))</f>
        <v>albhed 17,  2, "두", "주", "다" ; 잖</v>
      </c>
    </row>
    <row r="1567" customFormat="false" ht="17.9" hidden="false" customHeight="true" outlineLevel="0" collapsed="false">
      <c r="A1567" s="16" t="s">
        <v>2419</v>
      </c>
      <c r="B1567" s="16" t="n">
        <f aca="false">IF(_xlfn.UNICODE(A1567)&lt;44032,-1,_xlfn.UNICODE(A1567)-44032)</f>
        <v>7063</v>
      </c>
      <c r="C1567" s="16" t="n">
        <f aca="false">IF(B1567=-1,-1,INT((B1567/28)/21))</f>
        <v>12</v>
      </c>
      <c r="D1567" s="16" t="n">
        <f aca="false">IF(B1567=-1, -1, MOD(INT(B1567/28),21))</f>
        <v>0</v>
      </c>
      <c r="E1567" s="16" t="n">
        <f aca="false">IF(B1567=-1, -1, VLOOKUP(MOD(B1567,28), $T$24:$U$52,2))</f>
        <v>19</v>
      </c>
      <c r="F1567" s="16" t="n">
        <f aca="false">IF($B1567=-1, -1, VLOOKUP(C1567,$T$1:$V$20, 2))</f>
        <v>3</v>
      </c>
      <c r="G1567" s="16" t="n">
        <f aca="false">IF($B1567=-1, -1, VLOOKUP(D1567,$Y$1:$Z$22,2))</f>
        <v>13</v>
      </c>
      <c r="H1567" s="16" t="str">
        <f aca="false">_xlfn.UNICHAR(((F1567*21)+G1567)*28+44032)</f>
        <v>두</v>
      </c>
      <c r="I1567" s="16" t="n">
        <f aca="false">IF(B1567=-1, 1, COUNTIF($A$2:$A$3000, H1567))</f>
        <v>1</v>
      </c>
      <c r="J1567" s="10" t="str">
        <f aca="false">_xlfn.CONCAT(A1567, ",",H1567,",",I1567)</f>
        <v>잗,두,1</v>
      </c>
      <c r="K1567" s="16" t="n">
        <f aca="false">IF(B1567=-1,-1,VLOOKUP(C1567,$T$1:$V$20,3))</f>
        <v>17</v>
      </c>
      <c r="L1567" s="16" t="n">
        <f aca="false">IF(B1567=-1,-1,VLOOKUP(D1567,$Y$1:$AA$22,3))</f>
        <v>2</v>
      </c>
      <c r="N1567" s="10" t="str">
        <f aca="false">_xlfn.UNICHAR(((C1567*21)+G1567)*28+44032)</f>
        <v>주</v>
      </c>
      <c r="O1567" s="10" t="str">
        <f aca="false">_xlfn.UNICHAR(((F1567*21)+D1567)*28+44032)</f>
        <v>다</v>
      </c>
      <c r="P1567" s="12" t="n">
        <f aca="false">COUNTIF($A$2:$A$3000, N1567) + COUNTIF($A$2:$A$3000, O1567)</f>
        <v>2</v>
      </c>
      <c r="Q1567" s="16" t="str">
        <f aca="false">IF(OR(B1567=-1,I1567=0, P1567&lt;&gt;2), "albhed_dummy", _xlfn.CONCAT("albhed ", RIGHT("  " &amp; K1567,2),", ", RIGHT("  " &amp; L1567,2), ", " ,"""",H1567,""", ", """",N1567,""", ","""",O1567,""""," ; ", A1567))</f>
        <v>albhed 17,  2, "두", "주", "다" ; 잗</v>
      </c>
    </row>
    <row r="1568" customFormat="false" ht="17.9" hidden="false" customHeight="true" outlineLevel="0" collapsed="false">
      <c r="A1568" s="16" t="s">
        <v>2420</v>
      </c>
      <c r="B1568" s="16" t="n">
        <f aca="false">IF(_xlfn.UNICODE(A1568)&lt;44032,-1,_xlfn.UNICODE(A1568)-44032)</f>
        <v>7064</v>
      </c>
      <c r="C1568" s="16" t="n">
        <f aca="false">IF(B1568=-1,-1,INT((B1568/28)/21))</f>
        <v>12</v>
      </c>
      <c r="D1568" s="16" t="n">
        <f aca="false">IF(B1568=-1, -1, MOD(INT(B1568/28),21))</f>
        <v>0</v>
      </c>
      <c r="E1568" s="16" t="n">
        <f aca="false">IF(B1568=-1, -1, VLOOKUP(MOD(B1568,28), $T$24:$U$52,2))</f>
        <v>8</v>
      </c>
      <c r="F1568" s="16" t="n">
        <f aca="false">IF($B1568=-1, -1, VLOOKUP(C1568,$T$1:$V$20, 2))</f>
        <v>3</v>
      </c>
      <c r="G1568" s="16" t="n">
        <f aca="false">IF($B1568=-1, -1, VLOOKUP(D1568,$Y$1:$Z$22,2))</f>
        <v>13</v>
      </c>
      <c r="H1568" s="16" t="str">
        <f aca="false">_xlfn.UNICHAR(((F1568*21)+G1568)*28+44032)</f>
        <v>두</v>
      </c>
      <c r="I1568" s="16" t="n">
        <f aca="false">IF(B1568=-1, 1, COUNTIF($A$2:$A$3000, H1568))</f>
        <v>1</v>
      </c>
      <c r="J1568" s="10" t="str">
        <f aca="false">_xlfn.CONCAT(A1568, ",",H1568,",",I1568)</f>
        <v>잘,두,1</v>
      </c>
      <c r="K1568" s="16" t="n">
        <f aca="false">IF(B1568=-1,-1,VLOOKUP(C1568,$T$1:$V$20,3))</f>
        <v>17</v>
      </c>
      <c r="L1568" s="16" t="n">
        <f aca="false">IF(B1568=-1,-1,VLOOKUP(D1568,$Y$1:$AA$22,3))</f>
        <v>2</v>
      </c>
      <c r="N1568" s="10" t="str">
        <f aca="false">_xlfn.UNICHAR(((C1568*21)+G1568)*28+44032)</f>
        <v>주</v>
      </c>
      <c r="O1568" s="10" t="str">
        <f aca="false">_xlfn.UNICHAR(((F1568*21)+D1568)*28+44032)</f>
        <v>다</v>
      </c>
      <c r="P1568" s="12" t="n">
        <f aca="false">COUNTIF($A$2:$A$3000, N1568) + COUNTIF($A$2:$A$3000, O1568)</f>
        <v>2</v>
      </c>
      <c r="Q1568" s="16" t="str">
        <f aca="false">IF(OR(B1568=-1,I1568=0, P1568&lt;&gt;2), "albhed_dummy", _xlfn.CONCAT("albhed ", RIGHT("  " &amp; K1568,2),", ", RIGHT("  " &amp; L1568,2), ", " ,"""",H1568,""", ", """",N1568,""", ","""",O1568,""""," ; ", A1568))</f>
        <v>albhed 17,  2, "두", "주", "다" ; 잘</v>
      </c>
    </row>
    <row r="1569" customFormat="false" ht="17.9" hidden="false" customHeight="true" outlineLevel="0" collapsed="false">
      <c r="A1569" s="16" t="s">
        <v>2421</v>
      </c>
      <c r="B1569" s="16" t="n">
        <f aca="false">IF(_xlfn.UNICODE(A1569)&lt;44032,-1,_xlfn.UNICODE(A1569)-44032)</f>
        <v>7066</v>
      </c>
      <c r="C1569" s="16" t="n">
        <f aca="false">IF(B1569=-1,-1,INT((B1569/28)/21))</f>
        <v>12</v>
      </c>
      <c r="D1569" s="16" t="n">
        <f aca="false">IF(B1569=-1, -1, MOD(INT(B1569/28),21))</f>
        <v>0</v>
      </c>
      <c r="E1569" s="16" t="n">
        <f aca="false">IF(B1569=-1, -1, VLOOKUP(MOD(B1569,28), $T$24:$U$52,2))</f>
        <v>8</v>
      </c>
      <c r="F1569" s="16" t="n">
        <f aca="false">IF($B1569=-1, -1, VLOOKUP(C1569,$T$1:$V$20, 2))</f>
        <v>3</v>
      </c>
      <c r="G1569" s="16" t="n">
        <f aca="false">IF($B1569=-1, -1, VLOOKUP(D1569,$Y$1:$Z$22,2))</f>
        <v>13</v>
      </c>
      <c r="H1569" s="16" t="str">
        <f aca="false">_xlfn.UNICHAR(((F1569*21)+G1569)*28+44032)</f>
        <v>두</v>
      </c>
      <c r="I1569" s="16" t="n">
        <f aca="false">IF(B1569=-1, 1, COUNTIF($A$2:$A$3000, H1569))</f>
        <v>1</v>
      </c>
      <c r="J1569" s="10" t="str">
        <f aca="false">_xlfn.CONCAT(A1569, ",",H1569,",",I1569)</f>
        <v>잚,두,1</v>
      </c>
      <c r="K1569" s="16" t="n">
        <f aca="false">IF(B1569=-1,-1,VLOOKUP(C1569,$T$1:$V$20,3))</f>
        <v>17</v>
      </c>
      <c r="L1569" s="16" t="n">
        <f aca="false">IF(B1569=-1,-1,VLOOKUP(D1569,$Y$1:$AA$22,3))</f>
        <v>2</v>
      </c>
      <c r="N1569" s="10" t="str">
        <f aca="false">_xlfn.UNICHAR(((C1569*21)+G1569)*28+44032)</f>
        <v>주</v>
      </c>
      <c r="O1569" s="10" t="str">
        <f aca="false">_xlfn.UNICHAR(((F1569*21)+D1569)*28+44032)</f>
        <v>다</v>
      </c>
      <c r="P1569" s="12" t="n">
        <f aca="false">COUNTIF($A$2:$A$3000, N1569) + COUNTIF($A$2:$A$3000, O1569)</f>
        <v>2</v>
      </c>
      <c r="Q1569" s="16" t="str">
        <f aca="false">IF(OR(B1569=-1,I1569=0, P1569&lt;&gt;2), "albhed_dummy", _xlfn.CONCAT("albhed ", RIGHT("  " &amp; K1569,2),", ", RIGHT("  " &amp; L1569,2), ", " ,"""",H1569,""", ", """",N1569,""", ","""",O1569,""""," ; ", A1569))</f>
        <v>albhed 17,  2, "두", "주", "다" ; 잚</v>
      </c>
    </row>
    <row r="1570" customFormat="false" ht="17.9" hidden="false" customHeight="true" outlineLevel="0" collapsed="false">
      <c r="A1570" s="16" t="s">
        <v>2422</v>
      </c>
      <c r="B1570" s="16" t="n">
        <f aca="false">IF(_xlfn.UNICODE(A1570)&lt;44032,-1,_xlfn.UNICODE(A1570)-44032)</f>
        <v>7072</v>
      </c>
      <c r="C1570" s="16" t="n">
        <f aca="false">IF(B1570=-1,-1,INT((B1570/28)/21))</f>
        <v>12</v>
      </c>
      <c r="D1570" s="16" t="n">
        <f aca="false">IF(B1570=-1, -1, MOD(INT(B1570/28),21))</f>
        <v>0</v>
      </c>
      <c r="E1570" s="16" t="n">
        <f aca="false">IF(B1570=-1, -1, VLOOKUP(MOD(B1570,28), $T$24:$U$52,2))</f>
        <v>16</v>
      </c>
      <c r="F1570" s="16" t="n">
        <f aca="false">IF($B1570=-1, -1, VLOOKUP(C1570,$T$1:$V$20, 2))</f>
        <v>3</v>
      </c>
      <c r="G1570" s="16" t="n">
        <f aca="false">IF($B1570=-1, -1, VLOOKUP(D1570,$Y$1:$Z$22,2))</f>
        <v>13</v>
      </c>
      <c r="H1570" s="16" t="str">
        <f aca="false">_xlfn.UNICHAR(((F1570*21)+G1570)*28+44032)</f>
        <v>두</v>
      </c>
      <c r="I1570" s="16" t="n">
        <f aca="false">IF(B1570=-1, 1, COUNTIF($A$2:$A$3000, H1570))</f>
        <v>1</v>
      </c>
      <c r="J1570" s="10" t="str">
        <f aca="false">_xlfn.CONCAT(A1570, ",",H1570,",",I1570)</f>
        <v>잠,두,1</v>
      </c>
      <c r="K1570" s="16" t="n">
        <f aca="false">IF(B1570=-1,-1,VLOOKUP(C1570,$T$1:$V$20,3))</f>
        <v>17</v>
      </c>
      <c r="L1570" s="16" t="n">
        <f aca="false">IF(B1570=-1,-1,VLOOKUP(D1570,$Y$1:$AA$22,3))</f>
        <v>2</v>
      </c>
      <c r="N1570" s="10" t="str">
        <f aca="false">_xlfn.UNICHAR(((C1570*21)+G1570)*28+44032)</f>
        <v>주</v>
      </c>
      <c r="O1570" s="10" t="str">
        <f aca="false">_xlfn.UNICHAR(((F1570*21)+D1570)*28+44032)</f>
        <v>다</v>
      </c>
      <c r="P1570" s="12" t="n">
        <f aca="false">COUNTIF($A$2:$A$3000, N1570) + COUNTIF($A$2:$A$3000, O1570)</f>
        <v>2</v>
      </c>
      <c r="Q1570" s="16" t="str">
        <f aca="false">IF(OR(B1570=-1,I1570=0, P1570&lt;&gt;2), "albhed_dummy", _xlfn.CONCAT("albhed ", RIGHT("  " &amp; K1570,2),", ", RIGHT("  " &amp; L1570,2), ", " ,"""",H1570,""", ", """",N1570,""", ","""",O1570,""""," ; ", A1570))</f>
        <v>albhed 17,  2, "두", "주", "다" ; 잠</v>
      </c>
    </row>
    <row r="1571" customFormat="false" ht="17.9" hidden="false" customHeight="true" outlineLevel="0" collapsed="false">
      <c r="A1571" s="16" t="s">
        <v>2423</v>
      </c>
      <c r="B1571" s="16" t="n">
        <f aca="false">IF(_xlfn.UNICODE(A1571)&lt;44032,-1,_xlfn.UNICODE(A1571)-44032)</f>
        <v>7073</v>
      </c>
      <c r="C1571" s="16" t="n">
        <f aca="false">IF(B1571=-1,-1,INT((B1571/28)/21))</f>
        <v>12</v>
      </c>
      <c r="D1571" s="16" t="n">
        <f aca="false">IF(B1571=-1, -1, MOD(INT(B1571/28),21))</f>
        <v>0</v>
      </c>
      <c r="E1571" s="16" t="n">
        <f aca="false">IF(B1571=-1, -1, VLOOKUP(MOD(B1571,28), $T$24:$U$52,2))</f>
        <v>17</v>
      </c>
      <c r="F1571" s="16" t="n">
        <f aca="false">IF($B1571=-1, -1, VLOOKUP(C1571,$T$1:$V$20, 2))</f>
        <v>3</v>
      </c>
      <c r="G1571" s="16" t="n">
        <f aca="false">IF($B1571=-1, -1, VLOOKUP(D1571,$Y$1:$Z$22,2))</f>
        <v>13</v>
      </c>
      <c r="H1571" s="16" t="str">
        <f aca="false">_xlfn.UNICHAR(((F1571*21)+G1571)*28+44032)</f>
        <v>두</v>
      </c>
      <c r="I1571" s="16" t="n">
        <f aca="false">IF(B1571=-1, 1, COUNTIF($A$2:$A$3000, H1571))</f>
        <v>1</v>
      </c>
      <c r="J1571" s="10" t="str">
        <f aca="false">_xlfn.CONCAT(A1571, ",",H1571,",",I1571)</f>
        <v>잡,두,1</v>
      </c>
      <c r="K1571" s="16" t="n">
        <f aca="false">IF(B1571=-1,-1,VLOOKUP(C1571,$T$1:$V$20,3))</f>
        <v>17</v>
      </c>
      <c r="L1571" s="16" t="n">
        <f aca="false">IF(B1571=-1,-1,VLOOKUP(D1571,$Y$1:$AA$22,3))</f>
        <v>2</v>
      </c>
      <c r="N1571" s="10" t="str">
        <f aca="false">_xlfn.UNICHAR(((C1571*21)+G1571)*28+44032)</f>
        <v>주</v>
      </c>
      <c r="O1571" s="10" t="str">
        <f aca="false">_xlfn.UNICHAR(((F1571*21)+D1571)*28+44032)</f>
        <v>다</v>
      </c>
      <c r="P1571" s="12" t="n">
        <f aca="false">COUNTIF($A$2:$A$3000, N1571) + COUNTIF($A$2:$A$3000, O1571)</f>
        <v>2</v>
      </c>
      <c r="Q1571" s="16" t="str">
        <f aca="false">IF(OR(B1571=-1,I1571=0, P1571&lt;&gt;2), "albhed_dummy", _xlfn.CONCAT("albhed ", RIGHT("  " &amp; K1571,2),", ", RIGHT("  " &amp; L1571,2), ", " ,"""",H1571,""", ", """",N1571,""", ","""",O1571,""""," ; ", A1571))</f>
        <v>albhed 17,  2, "두", "주", "다" ; 잡</v>
      </c>
    </row>
    <row r="1572" customFormat="false" ht="17.9" hidden="false" customHeight="true" outlineLevel="0" collapsed="false">
      <c r="A1572" s="16" t="s">
        <v>2424</v>
      </c>
      <c r="B1572" s="16" t="n">
        <f aca="false">IF(_xlfn.UNICODE(A1572)&lt;44032,-1,_xlfn.UNICODE(A1572)-44032)</f>
        <v>7075</v>
      </c>
      <c r="C1572" s="16" t="n">
        <f aca="false">IF(B1572=-1,-1,INT((B1572/28)/21))</f>
        <v>12</v>
      </c>
      <c r="D1572" s="16" t="n">
        <f aca="false">IF(B1572=-1, -1, MOD(INT(B1572/28),21))</f>
        <v>0</v>
      </c>
      <c r="E1572" s="16" t="n">
        <f aca="false">IF(B1572=-1, -1, VLOOKUP(MOD(B1572,28), $T$24:$U$52,2))</f>
        <v>19</v>
      </c>
      <c r="F1572" s="16" t="n">
        <f aca="false">IF($B1572=-1, -1, VLOOKUP(C1572,$T$1:$V$20, 2))</f>
        <v>3</v>
      </c>
      <c r="G1572" s="16" t="n">
        <f aca="false">IF($B1572=-1, -1, VLOOKUP(D1572,$Y$1:$Z$22,2))</f>
        <v>13</v>
      </c>
      <c r="H1572" s="16" t="str">
        <f aca="false">_xlfn.UNICHAR(((F1572*21)+G1572)*28+44032)</f>
        <v>두</v>
      </c>
      <c r="I1572" s="16" t="n">
        <f aca="false">IF(B1572=-1, 1, COUNTIF($A$2:$A$3000, H1572))</f>
        <v>1</v>
      </c>
      <c r="J1572" s="10" t="str">
        <f aca="false">_xlfn.CONCAT(A1572, ",",H1572,",",I1572)</f>
        <v>잣,두,1</v>
      </c>
      <c r="K1572" s="16" t="n">
        <f aca="false">IF(B1572=-1,-1,VLOOKUP(C1572,$T$1:$V$20,3))</f>
        <v>17</v>
      </c>
      <c r="L1572" s="16" t="n">
        <f aca="false">IF(B1572=-1,-1,VLOOKUP(D1572,$Y$1:$AA$22,3))</f>
        <v>2</v>
      </c>
      <c r="N1572" s="10" t="str">
        <f aca="false">_xlfn.UNICHAR(((C1572*21)+G1572)*28+44032)</f>
        <v>주</v>
      </c>
      <c r="O1572" s="10" t="str">
        <f aca="false">_xlfn.UNICHAR(((F1572*21)+D1572)*28+44032)</f>
        <v>다</v>
      </c>
      <c r="P1572" s="12" t="n">
        <f aca="false">COUNTIF($A$2:$A$3000, N1572) + COUNTIF($A$2:$A$3000, O1572)</f>
        <v>2</v>
      </c>
      <c r="Q1572" s="16" t="str">
        <f aca="false">IF(OR(B1572=-1,I1572=0, P1572&lt;&gt;2), "albhed_dummy", _xlfn.CONCAT("albhed ", RIGHT("  " &amp; K1572,2),", ", RIGHT("  " &amp; L1572,2), ", " ,"""",H1572,""", ", """",N1572,""", ","""",O1572,""""," ; ", A1572))</f>
        <v>albhed 17,  2, "두", "주", "다" ; 잣</v>
      </c>
    </row>
    <row r="1573" customFormat="false" ht="17.9" hidden="false" customHeight="true" outlineLevel="0" collapsed="false">
      <c r="A1573" s="16" t="s">
        <v>2425</v>
      </c>
      <c r="B1573" s="16" t="n">
        <f aca="false">IF(_xlfn.UNICODE(A1573)&lt;44032,-1,_xlfn.UNICODE(A1573)-44032)</f>
        <v>7076</v>
      </c>
      <c r="C1573" s="16" t="n">
        <f aca="false">IF(B1573=-1,-1,INT((B1573/28)/21))</f>
        <v>12</v>
      </c>
      <c r="D1573" s="16" t="n">
        <f aca="false">IF(B1573=-1, -1, MOD(INT(B1573/28),21))</f>
        <v>0</v>
      </c>
      <c r="E1573" s="16" t="n">
        <f aca="false">IF(B1573=-1, -1, VLOOKUP(MOD(B1573,28), $T$24:$U$52,2))</f>
        <v>19</v>
      </c>
      <c r="F1573" s="16" t="n">
        <f aca="false">IF($B1573=-1, -1, VLOOKUP(C1573,$T$1:$V$20, 2))</f>
        <v>3</v>
      </c>
      <c r="G1573" s="16" t="n">
        <f aca="false">IF($B1573=-1, -1, VLOOKUP(D1573,$Y$1:$Z$22,2))</f>
        <v>13</v>
      </c>
      <c r="H1573" s="16" t="str">
        <f aca="false">_xlfn.UNICHAR(((F1573*21)+G1573)*28+44032)</f>
        <v>두</v>
      </c>
      <c r="I1573" s="16" t="n">
        <f aca="false">IF(B1573=-1, 1, COUNTIF($A$2:$A$3000, H1573))</f>
        <v>1</v>
      </c>
      <c r="J1573" s="10" t="str">
        <f aca="false">_xlfn.CONCAT(A1573, ",",H1573,",",I1573)</f>
        <v>잤,두,1</v>
      </c>
      <c r="K1573" s="16" t="n">
        <f aca="false">IF(B1573=-1,-1,VLOOKUP(C1573,$T$1:$V$20,3))</f>
        <v>17</v>
      </c>
      <c r="L1573" s="16" t="n">
        <f aca="false">IF(B1573=-1,-1,VLOOKUP(D1573,$Y$1:$AA$22,3))</f>
        <v>2</v>
      </c>
      <c r="N1573" s="10" t="str">
        <f aca="false">_xlfn.UNICHAR(((C1573*21)+G1573)*28+44032)</f>
        <v>주</v>
      </c>
      <c r="O1573" s="10" t="str">
        <f aca="false">_xlfn.UNICHAR(((F1573*21)+D1573)*28+44032)</f>
        <v>다</v>
      </c>
      <c r="P1573" s="12" t="n">
        <f aca="false">COUNTIF($A$2:$A$3000, N1573) + COUNTIF($A$2:$A$3000, O1573)</f>
        <v>2</v>
      </c>
      <c r="Q1573" s="16" t="str">
        <f aca="false">IF(OR(B1573=-1,I1573=0, P1573&lt;&gt;2), "albhed_dummy", _xlfn.CONCAT("albhed ", RIGHT("  " &amp; K1573,2),", ", RIGHT("  " &amp; L1573,2), ", " ,"""",H1573,""", ", """",N1573,""", ","""",O1573,""""," ; ", A1573))</f>
        <v>albhed 17,  2, "두", "주", "다" ; 잤</v>
      </c>
    </row>
    <row r="1574" customFormat="false" ht="17.9" hidden="false" customHeight="true" outlineLevel="0" collapsed="false">
      <c r="A1574" s="16" t="s">
        <v>2426</v>
      </c>
      <c r="B1574" s="16" t="n">
        <f aca="false">IF(_xlfn.UNICODE(A1574)&lt;44032,-1,_xlfn.UNICODE(A1574)-44032)</f>
        <v>7077</v>
      </c>
      <c r="C1574" s="16" t="n">
        <f aca="false">IF(B1574=-1,-1,INT((B1574/28)/21))</f>
        <v>12</v>
      </c>
      <c r="D1574" s="16" t="n">
        <f aca="false">IF(B1574=-1, -1, MOD(INT(B1574/28),21))</f>
        <v>0</v>
      </c>
      <c r="E1574" s="16" t="n">
        <f aca="false">IF(B1574=-1, -1, VLOOKUP(MOD(B1574,28), $T$24:$U$52,2))</f>
        <v>21</v>
      </c>
      <c r="F1574" s="16" t="n">
        <f aca="false">IF($B1574=-1, -1, VLOOKUP(C1574,$T$1:$V$20, 2))</f>
        <v>3</v>
      </c>
      <c r="G1574" s="16" t="n">
        <f aca="false">IF($B1574=-1, -1, VLOOKUP(D1574,$Y$1:$Z$22,2))</f>
        <v>13</v>
      </c>
      <c r="H1574" s="16" t="str">
        <f aca="false">_xlfn.UNICHAR(((F1574*21)+G1574)*28+44032)</f>
        <v>두</v>
      </c>
      <c r="I1574" s="16" t="n">
        <f aca="false">IF(B1574=-1, 1, COUNTIF($A$2:$A$3000, H1574))</f>
        <v>1</v>
      </c>
      <c r="J1574" s="10" t="str">
        <f aca="false">_xlfn.CONCAT(A1574, ",",H1574,",",I1574)</f>
        <v>장,두,1</v>
      </c>
      <c r="K1574" s="16" t="n">
        <f aca="false">IF(B1574=-1,-1,VLOOKUP(C1574,$T$1:$V$20,3))</f>
        <v>17</v>
      </c>
      <c r="L1574" s="16" t="n">
        <f aca="false">IF(B1574=-1,-1,VLOOKUP(D1574,$Y$1:$AA$22,3))</f>
        <v>2</v>
      </c>
      <c r="N1574" s="10" t="str">
        <f aca="false">_xlfn.UNICHAR(((C1574*21)+G1574)*28+44032)</f>
        <v>주</v>
      </c>
      <c r="O1574" s="10" t="str">
        <f aca="false">_xlfn.UNICHAR(((F1574*21)+D1574)*28+44032)</f>
        <v>다</v>
      </c>
      <c r="P1574" s="12" t="n">
        <f aca="false">COUNTIF($A$2:$A$3000, N1574) + COUNTIF($A$2:$A$3000, O1574)</f>
        <v>2</v>
      </c>
      <c r="Q1574" s="16" t="str">
        <f aca="false">IF(OR(B1574=-1,I1574=0, P1574&lt;&gt;2), "albhed_dummy", _xlfn.CONCAT("albhed ", RIGHT("  " &amp; K1574,2),", ", RIGHT("  " &amp; L1574,2), ", " ,"""",H1574,""", ", """",N1574,""", ","""",O1574,""""," ; ", A1574))</f>
        <v>albhed 17,  2, "두", "주", "다" ; 장</v>
      </c>
    </row>
    <row r="1575" customFormat="false" ht="17.9" hidden="false" customHeight="true" outlineLevel="0" collapsed="false">
      <c r="A1575" s="16" t="s">
        <v>2427</v>
      </c>
      <c r="B1575" s="16" t="n">
        <f aca="false">IF(_xlfn.UNICODE(A1575)&lt;44032,-1,_xlfn.UNICODE(A1575)-44032)</f>
        <v>7078</v>
      </c>
      <c r="C1575" s="16" t="n">
        <f aca="false">IF(B1575=-1,-1,INT((B1575/28)/21))</f>
        <v>12</v>
      </c>
      <c r="D1575" s="16" t="n">
        <f aca="false">IF(B1575=-1, -1, MOD(INT(B1575/28),21))</f>
        <v>0</v>
      </c>
      <c r="E1575" s="16" t="n">
        <f aca="false">IF(B1575=-1, -1, VLOOKUP(MOD(B1575,28), $T$24:$U$52,2))</f>
        <v>19</v>
      </c>
      <c r="F1575" s="16" t="n">
        <f aca="false">IF($B1575=-1, -1, VLOOKUP(C1575,$T$1:$V$20, 2))</f>
        <v>3</v>
      </c>
      <c r="G1575" s="16" t="n">
        <f aca="false">IF($B1575=-1, -1, VLOOKUP(D1575,$Y$1:$Z$22,2))</f>
        <v>13</v>
      </c>
      <c r="H1575" s="16" t="str">
        <f aca="false">_xlfn.UNICHAR(((F1575*21)+G1575)*28+44032)</f>
        <v>두</v>
      </c>
      <c r="I1575" s="16" t="n">
        <f aca="false">IF(B1575=-1, 1, COUNTIF($A$2:$A$3000, H1575))</f>
        <v>1</v>
      </c>
      <c r="J1575" s="10" t="str">
        <f aca="false">_xlfn.CONCAT(A1575, ",",H1575,",",I1575)</f>
        <v>잦,두,1</v>
      </c>
      <c r="K1575" s="16" t="n">
        <f aca="false">IF(B1575=-1,-1,VLOOKUP(C1575,$T$1:$V$20,3))</f>
        <v>17</v>
      </c>
      <c r="L1575" s="16" t="n">
        <f aca="false">IF(B1575=-1,-1,VLOOKUP(D1575,$Y$1:$AA$22,3))</f>
        <v>2</v>
      </c>
      <c r="N1575" s="10" t="str">
        <f aca="false">_xlfn.UNICHAR(((C1575*21)+G1575)*28+44032)</f>
        <v>주</v>
      </c>
      <c r="O1575" s="10" t="str">
        <f aca="false">_xlfn.UNICHAR(((F1575*21)+D1575)*28+44032)</f>
        <v>다</v>
      </c>
      <c r="P1575" s="12" t="n">
        <f aca="false">COUNTIF($A$2:$A$3000, N1575) + COUNTIF($A$2:$A$3000, O1575)</f>
        <v>2</v>
      </c>
      <c r="Q1575" s="16" t="str">
        <f aca="false">IF(OR(B1575=-1,I1575=0, P1575&lt;&gt;2), "albhed_dummy", _xlfn.CONCAT("albhed ", RIGHT("  " &amp; K1575,2),", ", RIGHT("  " &amp; L1575,2), ", " ,"""",H1575,""", ", """",N1575,""", ","""",O1575,""""," ; ", A1575))</f>
        <v>albhed 17,  2, "두", "주", "다" ; 잦</v>
      </c>
    </row>
    <row r="1576" customFormat="false" ht="17.9" hidden="false" customHeight="true" outlineLevel="0" collapsed="false">
      <c r="A1576" s="16" t="s">
        <v>2428</v>
      </c>
      <c r="B1576" s="16" t="n">
        <f aca="false">IF(_xlfn.UNICODE(A1576)&lt;44032,-1,_xlfn.UNICODE(A1576)-44032)</f>
        <v>7084</v>
      </c>
      <c r="C1576" s="16" t="n">
        <f aca="false">IF(B1576=-1,-1,INT((B1576/28)/21))</f>
        <v>12</v>
      </c>
      <c r="D1576" s="16" t="n">
        <f aca="false">IF(B1576=-1, -1, MOD(INT(B1576/28),21))</f>
        <v>1</v>
      </c>
      <c r="E1576" s="16" t="n">
        <f aca="false">IF(B1576=-1, -1, VLOOKUP(MOD(B1576,28), $T$24:$U$52,2))</f>
        <v>0</v>
      </c>
      <c r="F1576" s="16" t="n">
        <f aca="false">IF($B1576=-1, -1, VLOOKUP(C1576,$T$1:$V$20, 2))</f>
        <v>3</v>
      </c>
      <c r="G1576" s="16" t="n">
        <f aca="false">IF($B1576=-1, -1, VLOOKUP(D1576,$Y$1:$Z$22,2))</f>
        <v>18</v>
      </c>
      <c r="H1576" s="16" t="str">
        <f aca="false">_xlfn.UNICHAR(((F1576*21)+G1576)*28+44032)</f>
        <v>드</v>
      </c>
      <c r="I1576" s="16" t="n">
        <f aca="false">IF(B1576=-1, 1, COUNTIF($A$2:$A$3000, H1576))</f>
        <v>1</v>
      </c>
      <c r="J1576" s="10" t="str">
        <f aca="false">_xlfn.CONCAT(A1576, ",",H1576,",",I1576)</f>
        <v>재,드,1</v>
      </c>
      <c r="K1576" s="16" t="n">
        <f aca="false">IF(B1576=-1,-1,VLOOKUP(C1576,$T$1:$V$20,3))</f>
        <v>17</v>
      </c>
      <c r="L1576" s="16" t="n">
        <f aca="false">IF(B1576=-1,-1,VLOOKUP(D1576,$Y$1:$AA$22,3))</f>
        <v>10</v>
      </c>
      <c r="N1576" s="10" t="str">
        <f aca="false">_xlfn.UNICHAR(((C1576*21)+G1576)*28+44032)</f>
        <v>즈</v>
      </c>
      <c r="O1576" s="10" t="str">
        <f aca="false">_xlfn.UNICHAR(((F1576*21)+D1576)*28+44032)</f>
        <v>대</v>
      </c>
      <c r="P1576" s="12" t="n">
        <f aca="false">COUNTIF($A$2:$A$3000, N1576) + COUNTIF($A$2:$A$3000, O1576)</f>
        <v>2</v>
      </c>
      <c r="Q1576" s="16" t="str">
        <f aca="false">IF(OR(B1576=-1,I1576=0, P1576&lt;&gt;2), "albhed_dummy", _xlfn.CONCAT("albhed ", RIGHT("  " &amp; K1576,2),", ", RIGHT("  " &amp; L1576,2), ", " ,"""",H1576,""", ", """",N1576,""", ","""",O1576,""""," ; ", A1576))</f>
        <v>albhed 17, 10, "드", "즈", "대" ; 재</v>
      </c>
    </row>
    <row r="1577" customFormat="false" ht="17.9" hidden="false" customHeight="true" outlineLevel="0" collapsed="false">
      <c r="A1577" s="16" t="s">
        <v>2429</v>
      </c>
      <c r="B1577" s="16" t="n">
        <f aca="false">IF(_xlfn.UNICODE(A1577)&lt;44032,-1,_xlfn.UNICODE(A1577)-44032)</f>
        <v>7085</v>
      </c>
      <c r="C1577" s="16" t="n">
        <f aca="false">IF(B1577=-1,-1,INT((B1577/28)/21))</f>
        <v>12</v>
      </c>
      <c r="D1577" s="16" t="n">
        <f aca="false">IF(B1577=-1, -1, MOD(INT(B1577/28),21))</f>
        <v>1</v>
      </c>
      <c r="E1577" s="16" t="n">
        <f aca="false">IF(B1577=-1, -1, VLOOKUP(MOD(B1577,28), $T$24:$U$52,2))</f>
        <v>1</v>
      </c>
      <c r="F1577" s="16" t="n">
        <f aca="false">IF($B1577=-1, -1, VLOOKUP(C1577,$T$1:$V$20, 2))</f>
        <v>3</v>
      </c>
      <c r="G1577" s="16" t="n">
        <f aca="false">IF($B1577=-1, -1, VLOOKUP(D1577,$Y$1:$Z$22,2))</f>
        <v>18</v>
      </c>
      <c r="H1577" s="16" t="str">
        <f aca="false">_xlfn.UNICHAR(((F1577*21)+G1577)*28+44032)</f>
        <v>드</v>
      </c>
      <c r="I1577" s="16" t="n">
        <f aca="false">IF(B1577=-1, 1, COUNTIF($A$2:$A$3000, H1577))</f>
        <v>1</v>
      </c>
      <c r="J1577" s="10" t="str">
        <f aca="false">_xlfn.CONCAT(A1577, ",",H1577,",",I1577)</f>
        <v>잭,드,1</v>
      </c>
      <c r="K1577" s="16" t="n">
        <f aca="false">IF(B1577=-1,-1,VLOOKUP(C1577,$T$1:$V$20,3))</f>
        <v>17</v>
      </c>
      <c r="L1577" s="16" t="n">
        <f aca="false">IF(B1577=-1,-1,VLOOKUP(D1577,$Y$1:$AA$22,3))</f>
        <v>10</v>
      </c>
      <c r="N1577" s="10" t="str">
        <f aca="false">_xlfn.UNICHAR(((C1577*21)+G1577)*28+44032)</f>
        <v>즈</v>
      </c>
      <c r="O1577" s="10" t="str">
        <f aca="false">_xlfn.UNICHAR(((F1577*21)+D1577)*28+44032)</f>
        <v>대</v>
      </c>
      <c r="P1577" s="12" t="n">
        <f aca="false">COUNTIF($A$2:$A$3000, N1577) + COUNTIF($A$2:$A$3000, O1577)</f>
        <v>2</v>
      </c>
      <c r="Q1577" s="16" t="str">
        <f aca="false">IF(OR(B1577=-1,I1577=0, P1577&lt;&gt;2), "albhed_dummy", _xlfn.CONCAT("albhed ", RIGHT("  " &amp; K1577,2),", ", RIGHT("  " &amp; L1577,2), ", " ,"""",H1577,""", ", """",N1577,""", ","""",O1577,""""," ; ", A1577))</f>
        <v>albhed 17, 10, "드", "즈", "대" ; 잭</v>
      </c>
    </row>
    <row r="1578" customFormat="false" ht="17.9" hidden="false" customHeight="true" outlineLevel="0" collapsed="false">
      <c r="A1578" s="16" t="s">
        <v>2430</v>
      </c>
      <c r="B1578" s="16" t="n">
        <f aca="false">IF(_xlfn.UNICODE(A1578)&lt;44032,-1,_xlfn.UNICODE(A1578)-44032)</f>
        <v>7088</v>
      </c>
      <c r="C1578" s="16" t="n">
        <f aca="false">IF(B1578=-1,-1,INT((B1578/28)/21))</f>
        <v>12</v>
      </c>
      <c r="D1578" s="16" t="n">
        <f aca="false">IF(B1578=-1, -1, MOD(INT(B1578/28),21))</f>
        <v>1</v>
      </c>
      <c r="E1578" s="16" t="n">
        <f aca="false">IF(B1578=-1, -1, VLOOKUP(MOD(B1578,28), $T$24:$U$52,2))</f>
        <v>4</v>
      </c>
      <c r="F1578" s="16" t="n">
        <f aca="false">IF($B1578=-1, -1, VLOOKUP(C1578,$T$1:$V$20, 2))</f>
        <v>3</v>
      </c>
      <c r="G1578" s="16" t="n">
        <f aca="false">IF($B1578=-1, -1, VLOOKUP(D1578,$Y$1:$Z$22,2))</f>
        <v>18</v>
      </c>
      <c r="H1578" s="16" t="str">
        <f aca="false">_xlfn.UNICHAR(((F1578*21)+G1578)*28+44032)</f>
        <v>드</v>
      </c>
      <c r="I1578" s="16" t="n">
        <f aca="false">IF(B1578=-1, 1, COUNTIF($A$2:$A$3000, H1578))</f>
        <v>1</v>
      </c>
      <c r="J1578" s="10" t="str">
        <f aca="false">_xlfn.CONCAT(A1578, ",",H1578,",",I1578)</f>
        <v>잰,드,1</v>
      </c>
      <c r="K1578" s="16" t="n">
        <f aca="false">IF(B1578=-1,-1,VLOOKUP(C1578,$T$1:$V$20,3))</f>
        <v>17</v>
      </c>
      <c r="L1578" s="16" t="n">
        <f aca="false">IF(B1578=-1,-1,VLOOKUP(D1578,$Y$1:$AA$22,3))</f>
        <v>10</v>
      </c>
      <c r="N1578" s="10" t="str">
        <f aca="false">_xlfn.UNICHAR(((C1578*21)+G1578)*28+44032)</f>
        <v>즈</v>
      </c>
      <c r="O1578" s="10" t="str">
        <f aca="false">_xlfn.UNICHAR(((F1578*21)+D1578)*28+44032)</f>
        <v>대</v>
      </c>
      <c r="P1578" s="12" t="n">
        <f aca="false">COUNTIF($A$2:$A$3000, N1578) + COUNTIF($A$2:$A$3000, O1578)</f>
        <v>2</v>
      </c>
      <c r="Q1578" s="16" t="str">
        <f aca="false">IF(OR(B1578=-1,I1578=0, P1578&lt;&gt;2), "albhed_dummy", _xlfn.CONCAT("albhed ", RIGHT("  " &amp; K1578,2),", ", RIGHT("  " &amp; L1578,2), ", " ,"""",H1578,""", ", """",N1578,""", ","""",O1578,""""," ; ", A1578))</f>
        <v>albhed 17, 10, "드", "즈", "대" ; 잰</v>
      </c>
    </row>
    <row r="1579" customFormat="false" ht="17.9" hidden="false" customHeight="true" outlineLevel="0" collapsed="false">
      <c r="A1579" s="16" t="s">
        <v>2431</v>
      </c>
      <c r="B1579" s="16" t="n">
        <f aca="false">IF(_xlfn.UNICODE(A1579)&lt;44032,-1,_xlfn.UNICODE(A1579)-44032)</f>
        <v>7092</v>
      </c>
      <c r="C1579" s="16" t="n">
        <f aca="false">IF(B1579=-1,-1,INT((B1579/28)/21))</f>
        <v>12</v>
      </c>
      <c r="D1579" s="16" t="n">
        <f aca="false">IF(B1579=-1, -1, MOD(INT(B1579/28),21))</f>
        <v>1</v>
      </c>
      <c r="E1579" s="16" t="n">
        <f aca="false">IF(B1579=-1, -1, VLOOKUP(MOD(B1579,28), $T$24:$U$52,2))</f>
        <v>8</v>
      </c>
      <c r="F1579" s="16" t="n">
        <f aca="false">IF($B1579=-1, -1, VLOOKUP(C1579,$T$1:$V$20, 2))</f>
        <v>3</v>
      </c>
      <c r="G1579" s="16" t="n">
        <f aca="false">IF($B1579=-1, -1, VLOOKUP(D1579,$Y$1:$Z$22,2))</f>
        <v>18</v>
      </c>
      <c r="H1579" s="16" t="str">
        <f aca="false">_xlfn.UNICHAR(((F1579*21)+G1579)*28+44032)</f>
        <v>드</v>
      </c>
      <c r="I1579" s="16" t="n">
        <f aca="false">IF(B1579=-1, 1, COUNTIF($A$2:$A$3000, H1579))</f>
        <v>1</v>
      </c>
      <c r="J1579" s="10" t="str">
        <f aca="false">_xlfn.CONCAT(A1579, ",",H1579,",",I1579)</f>
        <v>잴,드,1</v>
      </c>
      <c r="K1579" s="16" t="n">
        <f aca="false">IF(B1579=-1,-1,VLOOKUP(C1579,$T$1:$V$20,3))</f>
        <v>17</v>
      </c>
      <c r="L1579" s="16" t="n">
        <f aca="false">IF(B1579=-1,-1,VLOOKUP(D1579,$Y$1:$AA$22,3))</f>
        <v>10</v>
      </c>
      <c r="N1579" s="10" t="str">
        <f aca="false">_xlfn.UNICHAR(((C1579*21)+G1579)*28+44032)</f>
        <v>즈</v>
      </c>
      <c r="O1579" s="10" t="str">
        <f aca="false">_xlfn.UNICHAR(((F1579*21)+D1579)*28+44032)</f>
        <v>대</v>
      </c>
      <c r="P1579" s="12" t="n">
        <f aca="false">COUNTIF($A$2:$A$3000, N1579) + COUNTIF($A$2:$A$3000, O1579)</f>
        <v>2</v>
      </c>
      <c r="Q1579" s="16" t="str">
        <f aca="false">IF(OR(B1579=-1,I1579=0, P1579&lt;&gt;2), "albhed_dummy", _xlfn.CONCAT("albhed ", RIGHT("  " &amp; K1579,2),", ", RIGHT("  " &amp; L1579,2), ", " ,"""",H1579,""", ", """",N1579,""", ","""",O1579,""""," ; ", A1579))</f>
        <v>albhed 17, 10, "드", "즈", "대" ; 잴</v>
      </c>
    </row>
    <row r="1580" customFormat="false" ht="17.9" hidden="false" customHeight="true" outlineLevel="0" collapsed="false">
      <c r="A1580" s="16" t="s">
        <v>2432</v>
      </c>
      <c r="B1580" s="16" t="n">
        <f aca="false">IF(_xlfn.UNICODE(A1580)&lt;44032,-1,_xlfn.UNICODE(A1580)-44032)</f>
        <v>7100</v>
      </c>
      <c r="C1580" s="16" t="n">
        <f aca="false">IF(B1580=-1,-1,INT((B1580/28)/21))</f>
        <v>12</v>
      </c>
      <c r="D1580" s="16" t="n">
        <f aca="false">IF(B1580=-1, -1, MOD(INT(B1580/28),21))</f>
        <v>1</v>
      </c>
      <c r="E1580" s="16" t="n">
        <f aca="false">IF(B1580=-1, -1, VLOOKUP(MOD(B1580,28), $T$24:$U$52,2))</f>
        <v>16</v>
      </c>
      <c r="F1580" s="16" t="n">
        <f aca="false">IF($B1580=-1, -1, VLOOKUP(C1580,$T$1:$V$20, 2))</f>
        <v>3</v>
      </c>
      <c r="G1580" s="16" t="n">
        <f aca="false">IF($B1580=-1, -1, VLOOKUP(D1580,$Y$1:$Z$22,2))</f>
        <v>18</v>
      </c>
      <c r="H1580" s="16" t="str">
        <f aca="false">_xlfn.UNICHAR(((F1580*21)+G1580)*28+44032)</f>
        <v>드</v>
      </c>
      <c r="I1580" s="16" t="n">
        <f aca="false">IF(B1580=-1, 1, COUNTIF($A$2:$A$3000, H1580))</f>
        <v>1</v>
      </c>
      <c r="J1580" s="10" t="str">
        <f aca="false">_xlfn.CONCAT(A1580, ",",H1580,",",I1580)</f>
        <v>잼,드,1</v>
      </c>
      <c r="K1580" s="16" t="n">
        <f aca="false">IF(B1580=-1,-1,VLOOKUP(C1580,$T$1:$V$20,3))</f>
        <v>17</v>
      </c>
      <c r="L1580" s="16" t="n">
        <f aca="false">IF(B1580=-1,-1,VLOOKUP(D1580,$Y$1:$AA$22,3))</f>
        <v>10</v>
      </c>
      <c r="N1580" s="10" t="str">
        <f aca="false">_xlfn.UNICHAR(((C1580*21)+G1580)*28+44032)</f>
        <v>즈</v>
      </c>
      <c r="O1580" s="10" t="str">
        <f aca="false">_xlfn.UNICHAR(((F1580*21)+D1580)*28+44032)</f>
        <v>대</v>
      </c>
      <c r="P1580" s="12" t="n">
        <f aca="false">COUNTIF($A$2:$A$3000, N1580) + COUNTIF($A$2:$A$3000, O1580)</f>
        <v>2</v>
      </c>
      <c r="Q1580" s="16" t="str">
        <f aca="false">IF(OR(B1580=-1,I1580=0, P1580&lt;&gt;2), "albhed_dummy", _xlfn.CONCAT("albhed ", RIGHT("  " &amp; K1580,2),", ", RIGHT("  " &amp; L1580,2), ", " ,"""",H1580,""", ", """",N1580,""", ","""",O1580,""""," ; ", A1580))</f>
        <v>albhed 17, 10, "드", "즈", "대" ; 잼</v>
      </c>
    </row>
    <row r="1581" customFormat="false" ht="17.9" hidden="false" customHeight="true" outlineLevel="0" collapsed="false">
      <c r="A1581" s="16" t="s">
        <v>2433</v>
      </c>
      <c r="B1581" s="16" t="n">
        <f aca="false">IF(_xlfn.UNICODE(A1581)&lt;44032,-1,_xlfn.UNICODE(A1581)-44032)</f>
        <v>7101</v>
      </c>
      <c r="C1581" s="16" t="n">
        <f aca="false">IF(B1581=-1,-1,INT((B1581/28)/21))</f>
        <v>12</v>
      </c>
      <c r="D1581" s="16" t="n">
        <f aca="false">IF(B1581=-1, -1, MOD(INT(B1581/28),21))</f>
        <v>1</v>
      </c>
      <c r="E1581" s="16" t="n">
        <f aca="false">IF(B1581=-1, -1, VLOOKUP(MOD(B1581,28), $T$24:$U$52,2))</f>
        <v>17</v>
      </c>
      <c r="F1581" s="16" t="n">
        <f aca="false">IF($B1581=-1, -1, VLOOKUP(C1581,$T$1:$V$20, 2))</f>
        <v>3</v>
      </c>
      <c r="G1581" s="16" t="n">
        <f aca="false">IF($B1581=-1, -1, VLOOKUP(D1581,$Y$1:$Z$22,2))</f>
        <v>18</v>
      </c>
      <c r="H1581" s="16" t="str">
        <f aca="false">_xlfn.UNICHAR(((F1581*21)+G1581)*28+44032)</f>
        <v>드</v>
      </c>
      <c r="I1581" s="16" t="n">
        <f aca="false">IF(B1581=-1, 1, COUNTIF($A$2:$A$3000, H1581))</f>
        <v>1</v>
      </c>
      <c r="J1581" s="10" t="str">
        <f aca="false">_xlfn.CONCAT(A1581, ",",H1581,",",I1581)</f>
        <v>잽,드,1</v>
      </c>
      <c r="K1581" s="16" t="n">
        <f aca="false">IF(B1581=-1,-1,VLOOKUP(C1581,$T$1:$V$20,3))</f>
        <v>17</v>
      </c>
      <c r="L1581" s="16" t="n">
        <f aca="false">IF(B1581=-1,-1,VLOOKUP(D1581,$Y$1:$AA$22,3))</f>
        <v>10</v>
      </c>
      <c r="N1581" s="10" t="str">
        <f aca="false">_xlfn.UNICHAR(((C1581*21)+G1581)*28+44032)</f>
        <v>즈</v>
      </c>
      <c r="O1581" s="10" t="str">
        <f aca="false">_xlfn.UNICHAR(((F1581*21)+D1581)*28+44032)</f>
        <v>대</v>
      </c>
      <c r="P1581" s="12" t="n">
        <f aca="false">COUNTIF($A$2:$A$3000, N1581) + COUNTIF($A$2:$A$3000, O1581)</f>
        <v>2</v>
      </c>
      <c r="Q1581" s="16" t="str">
        <f aca="false">IF(OR(B1581=-1,I1581=0, P1581&lt;&gt;2), "albhed_dummy", _xlfn.CONCAT("albhed ", RIGHT("  " &amp; K1581,2),", ", RIGHT("  " &amp; L1581,2), ", " ,"""",H1581,""", ", """",N1581,""", ","""",O1581,""""," ; ", A1581))</f>
        <v>albhed 17, 10, "드", "즈", "대" ; 잽</v>
      </c>
    </row>
    <row r="1582" customFormat="false" ht="17.9" hidden="false" customHeight="true" outlineLevel="0" collapsed="false">
      <c r="A1582" s="16" t="s">
        <v>2434</v>
      </c>
      <c r="B1582" s="16" t="n">
        <f aca="false">IF(_xlfn.UNICODE(A1582)&lt;44032,-1,_xlfn.UNICODE(A1582)-44032)</f>
        <v>7103</v>
      </c>
      <c r="C1582" s="16" t="n">
        <f aca="false">IF(B1582=-1,-1,INT((B1582/28)/21))</f>
        <v>12</v>
      </c>
      <c r="D1582" s="16" t="n">
        <f aca="false">IF(B1582=-1, -1, MOD(INT(B1582/28),21))</f>
        <v>1</v>
      </c>
      <c r="E1582" s="16" t="n">
        <f aca="false">IF(B1582=-1, -1, VLOOKUP(MOD(B1582,28), $T$24:$U$52,2))</f>
        <v>19</v>
      </c>
      <c r="F1582" s="16" t="n">
        <f aca="false">IF($B1582=-1, -1, VLOOKUP(C1582,$T$1:$V$20, 2))</f>
        <v>3</v>
      </c>
      <c r="G1582" s="16" t="n">
        <f aca="false">IF($B1582=-1, -1, VLOOKUP(D1582,$Y$1:$Z$22,2))</f>
        <v>18</v>
      </c>
      <c r="H1582" s="16" t="str">
        <f aca="false">_xlfn.UNICHAR(((F1582*21)+G1582)*28+44032)</f>
        <v>드</v>
      </c>
      <c r="I1582" s="16" t="n">
        <f aca="false">IF(B1582=-1, 1, COUNTIF($A$2:$A$3000, H1582))</f>
        <v>1</v>
      </c>
      <c r="J1582" s="10" t="str">
        <f aca="false">_xlfn.CONCAT(A1582, ",",H1582,",",I1582)</f>
        <v>잿,드,1</v>
      </c>
      <c r="K1582" s="16" t="n">
        <f aca="false">IF(B1582=-1,-1,VLOOKUP(C1582,$T$1:$V$20,3))</f>
        <v>17</v>
      </c>
      <c r="L1582" s="16" t="n">
        <f aca="false">IF(B1582=-1,-1,VLOOKUP(D1582,$Y$1:$AA$22,3))</f>
        <v>10</v>
      </c>
      <c r="N1582" s="10" t="str">
        <f aca="false">_xlfn.UNICHAR(((C1582*21)+G1582)*28+44032)</f>
        <v>즈</v>
      </c>
      <c r="O1582" s="10" t="str">
        <f aca="false">_xlfn.UNICHAR(((F1582*21)+D1582)*28+44032)</f>
        <v>대</v>
      </c>
      <c r="P1582" s="12" t="n">
        <f aca="false">COUNTIF($A$2:$A$3000, N1582) + COUNTIF($A$2:$A$3000, O1582)</f>
        <v>2</v>
      </c>
      <c r="Q1582" s="16" t="str">
        <f aca="false">IF(OR(B1582=-1,I1582=0, P1582&lt;&gt;2), "albhed_dummy", _xlfn.CONCAT("albhed ", RIGHT("  " &amp; K1582,2),", ", RIGHT("  " &amp; L1582,2), ", " ,"""",H1582,""", ", """",N1582,""", ","""",O1582,""""," ; ", A1582))</f>
        <v>albhed 17, 10, "드", "즈", "대" ; 잿</v>
      </c>
    </row>
    <row r="1583" customFormat="false" ht="17.9" hidden="false" customHeight="true" outlineLevel="0" collapsed="false">
      <c r="A1583" s="16" t="s">
        <v>2435</v>
      </c>
      <c r="B1583" s="16" t="n">
        <f aca="false">IF(_xlfn.UNICODE(A1583)&lt;44032,-1,_xlfn.UNICODE(A1583)-44032)</f>
        <v>7104</v>
      </c>
      <c r="C1583" s="16" t="n">
        <f aca="false">IF(B1583=-1,-1,INT((B1583/28)/21))</f>
        <v>12</v>
      </c>
      <c r="D1583" s="16" t="n">
        <f aca="false">IF(B1583=-1, -1, MOD(INT(B1583/28),21))</f>
        <v>1</v>
      </c>
      <c r="E1583" s="16" t="n">
        <f aca="false">IF(B1583=-1, -1, VLOOKUP(MOD(B1583,28), $T$24:$U$52,2))</f>
        <v>19</v>
      </c>
      <c r="F1583" s="16" t="n">
        <f aca="false">IF($B1583=-1, -1, VLOOKUP(C1583,$T$1:$V$20, 2))</f>
        <v>3</v>
      </c>
      <c r="G1583" s="16" t="n">
        <f aca="false">IF($B1583=-1, -1, VLOOKUP(D1583,$Y$1:$Z$22,2))</f>
        <v>18</v>
      </c>
      <c r="H1583" s="16" t="str">
        <f aca="false">_xlfn.UNICHAR(((F1583*21)+G1583)*28+44032)</f>
        <v>드</v>
      </c>
      <c r="I1583" s="16" t="n">
        <f aca="false">IF(B1583=-1, 1, COUNTIF($A$2:$A$3000, H1583))</f>
        <v>1</v>
      </c>
      <c r="J1583" s="10" t="str">
        <f aca="false">_xlfn.CONCAT(A1583, ",",H1583,",",I1583)</f>
        <v>쟀,드,1</v>
      </c>
      <c r="K1583" s="16" t="n">
        <f aca="false">IF(B1583=-1,-1,VLOOKUP(C1583,$T$1:$V$20,3))</f>
        <v>17</v>
      </c>
      <c r="L1583" s="16" t="n">
        <f aca="false">IF(B1583=-1,-1,VLOOKUP(D1583,$Y$1:$AA$22,3))</f>
        <v>10</v>
      </c>
      <c r="N1583" s="10" t="str">
        <f aca="false">_xlfn.UNICHAR(((C1583*21)+G1583)*28+44032)</f>
        <v>즈</v>
      </c>
      <c r="O1583" s="10" t="str">
        <f aca="false">_xlfn.UNICHAR(((F1583*21)+D1583)*28+44032)</f>
        <v>대</v>
      </c>
      <c r="P1583" s="12" t="n">
        <f aca="false">COUNTIF($A$2:$A$3000, N1583) + COUNTIF($A$2:$A$3000, O1583)</f>
        <v>2</v>
      </c>
      <c r="Q1583" s="16" t="str">
        <f aca="false">IF(OR(B1583=-1,I1583=0, P1583&lt;&gt;2), "albhed_dummy", _xlfn.CONCAT("albhed ", RIGHT("  " &amp; K1583,2),", ", RIGHT("  " &amp; L1583,2), ", " ,"""",H1583,""", ", """",N1583,""", ","""",O1583,""""," ; ", A1583))</f>
        <v>albhed 17, 10, "드", "즈", "대" ; 쟀</v>
      </c>
    </row>
    <row r="1584" customFormat="false" ht="17.9" hidden="false" customHeight="true" outlineLevel="0" collapsed="false">
      <c r="A1584" s="16" t="s">
        <v>2436</v>
      </c>
      <c r="B1584" s="16" t="n">
        <f aca="false">IF(_xlfn.UNICODE(A1584)&lt;44032,-1,_xlfn.UNICODE(A1584)-44032)</f>
        <v>7105</v>
      </c>
      <c r="C1584" s="16" t="n">
        <f aca="false">IF(B1584=-1,-1,INT((B1584/28)/21))</f>
        <v>12</v>
      </c>
      <c r="D1584" s="16" t="n">
        <f aca="false">IF(B1584=-1, -1, MOD(INT(B1584/28),21))</f>
        <v>1</v>
      </c>
      <c r="E1584" s="16" t="n">
        <f aca="false">IF(B1584=-1, -1, VLOOKUP(MOD(B1584,28), $T$24:$U$52,2))</f>
        <v>21</v>
      </c>
      <c r="F1584" s="16" t="n">
        <f aca="false">IF($B1584=-1, -1, VLOOKUP(C1584,$T$1:$V$20, 2))</f>
        <v>3</v>
      </c>
      <c r="G1584" s="16" t="n">
        <f aca="false">IF($B1584=-1, -1, VLOOKUP(D1584,$Y$1:$Z$22,2))</f>
        <v>18</v>
      </c>
      <c r="H1584" s="16" t="str">
        <f aca="false">_xlfn.UNICHAR(((F1584*21)+G1584)*28+44032)</f>
        <v>드</v>
      </c>
      <c r="I1584" s="16" t="n">
        <f aca="false">IF(B1584=-1, 1, COUNTIF($A$2:$A$3000, H1584))</f>
        <v>1</v>
      </c>
      <c r="J1584" s="10" t="str">
        <f aca="false">_xlfn.CONCAT(A1584, ",",H1584,",",I1584)</f>
        <v>쟁,드,1</v>
      </c>
      <c r="K1584" s="16" t="n">
        <f aca="false">IF(B1584=-1,-1,VLOOKUP(C1584,$T$1:$V$20,3))</f>
        <v>17</v>
      </c>
      <c r="L1584" s="16" t="n">
        <f aca="false">IF(B1584=-1,-1,VLOOKUP(D1584,$Y$1:$AA$22,3))</f>
        <v>10</v>
      </c>
      <c r="N1584" s="10" t="str">
        <f aca="false">_xlfn.UNICHAR(((C1584*21)+G1584)*28+44032)</f>
        <v>즈</v>
      </c>
      <c r="O1584" s="10" t="str">
        <f aca="false">_xlfn.UNICHAR(((F1584*21)+D1584)*28+44032)</f>
        <v>대</v>
      </c>
      <c r="P1584" s="12" t="n">
        <f aca="false">COUNTIF($A$2:$A$3000, N1584) + COUNTIF($A$2:$A$3000, O1584)</f>
        <v>2</v>
      </c>
      <c r="Q1584" s="16" t="str">
        <f aca="false">IF(OR(B1584=-1,I1584=0, P1584&lt;&gt;2), "albhed_dummy", _xlfn.CONCAT("albhed ", RIGHT("  " &amp; K1584,2),", ", RIGHT("  " &amp; L1584,2), ", " ,"""",H1584,""", ", """",N1584,""", ","""",O1584,""""," ; ", A1584))</f>
        <v>albhed 17, 10, "드", "즈", "대" ; 쟁</v>
      </c>
    </row>
    <row r="1585" customFormat="false" ht="17.9" hidden="false" customHeight="true" outlineLevel="0" collapsed="false">
      <c r="A1585" s="16" t="s">
        <v>2437</v>
      </c>
      <c r="B1585" s="16" t="n">
        <f aca="false">IF(_xlfn.UNICODE(A1585)&lt;44032,-1,_xlfn.UNICODE(A1585)-44032)</f>
        <v>7112</v>
      </c>
      <c r="C1585" s="16" t="n">
        <f aca="false">IF(B1585=-1,-1,INT((B1585/28)/21))</f>
        <v>12</v>
      </c>
      <c r="D1585" s="16" t="n">
        <f aca="false">IF(B1585=-1, -1, MOD(INT(B1585/28),21))</f>
        <v>2</v>
      </c>
      <c r="E1585" s="16" t="n">
        <f aca="false">IF(B1585=-1, -1, VLOOKUP(MOD(B1585,28), $T$24:$U$52,2))</f>
        <v>0</v>
      </c>
      <c r="F1585" s="16" t="n">
        <f aca="false">IF($B1585=-1, -1, VLOOKUP(C1585,$T$1:$V$20, 2))</f>
        <v>3</v>
      </c>
      <c r="G1585" s="16" t="n">
        <f aca="false">IF($B1585=-1, -1, VLOOKUP(D1585,$Y$1:$Z$22,2))</f>
        <v>17</v>
      </c>
      <c r="H1585" s="16" t="str">
        <f aca="false">_xlfn.UNICHAR(((F1585*21)+G1585)*28+44032)</f>
        <v>듀</v>
      </c>
      <c r="I1585" s="16" t="n">
        <f aca="false">IF(B1585=-1, 1, COUNTIF($A$2:$A$3000, H1585))</f>
        <v>1</v>
      </c>
      <c r="J1585" s="10" t="str">
        <f aca="false">_xlfn.CONCAT(A1585, ",",H1585,",",I1585)</f>
        <v>쟈,듀,1</v>
      </c>
      <c r="K1585" s="16" t="n">
        <f aca="false">IF(B1585=-1,-1,VLOOKUP(C1585,$T$1:$V$20,3))</f>
        <v>17</v>
      </c>
      <c r="L1585" s="16" t="n">
        <f aca="false">IF(B1585=-1,-1,VLOOKUP(D1585,$Y$1:$AA$22,3))</f>
        <v>2</v>
      </c>
      <c r="N1585" s="10" t="str">
        <f aca="false">_xlfn.UNICHAR(((C1585*21)+G1585)*28+44032)</f>
        <v>쥬</v>
      </c>
      <c r="O1585" s="10" t="str">
        <f aca="false">_xlfn.UNICHAR(((F1585*21)+D1585)*28+44032)</f>
        <v>댜</v>
      </c>
      <c r="P1585" s="12" t="n">
        <f aca="false">COUNTIF($A$2:$A$3000, N1585) + COUNTIF($A$2:$A$3000, O1585)</f>
        <v>2</v>
      </c>
      <c r="Q1585" s="16" t="str">
        <f aca="false">IF(OR(B1585=-1,I1585=0, P1585&lt;&gt;2), "albhed_dummy", _xlfn.CONCAT("albhed ", RIGHT("  " &amp; K1585,2),", ", RIGHT("  " &amp; L1585,2), ", " ,"""",H1585,""", ", """",N1585,""", ","""",O1585,""""," ; ", A1585))</f>
        <v>albhed 17,  2, "듀", "쥬", "댜" ; 쟈</v>
      </c>
    </row>
    <row r="1586" customFormat="false" ht="17.9" hidden="false" customHeight="true" outlineLevel="0" collapsed="false">
      <c r="A1586" s="16" t="s">
        <v>2438</v>
      </c>
      <c r="B1586" s="16" t="n">
        <f aca="false">IF(_xlfn.UNICODE(A1586)&lt;44032,-1,_xlfn.UNICODE(A1586)-44032)</f>
        <v>7113</v>
      </c>
      <c r="C1586" s="16" t="n">
        <f aca="false">IF(B1586=-1,-1,INT((B1586/28)/21))</f>
        <v>12</v>
      </c>
      <c r="D1586" s="16" t="n">
        <f aca="false">IF(B1586=-1, -1, MOD(INT(B1586/28),21))</f>
        <v>2</v>
      </c>
      <c r="E1586" s="16" t="n">
        <f aca="false">IF(B1586=-1, -1, VLOOKUP(MOD(B1586,28), $T$24:$U$52,2))</f>
        <v>1</v>
      </c>
      <c r="F1586" s="16" t="n">
        <f aca="false">IF($B1586=-1, -1, VLOOKUP(C1586,$T$1:$V$20, 2))</f>
        <v>3</v>
      </c>
      <c r="G1586" s="16" t="n">
        <f aca="false">IF($B1586=-1, -1, VLOOKUP(D1586,$Y$1:$Z$22,2))</f>
        <v>17</v>
      </c>
      <c r="H1586" s="16" t="str">
        <f aca="false">_xlfn.UNICHAR(((F1586*21)+G1586)*28+44032)</f>
        <v>듀</v>
      </c>
      <c r="I1586" s="16" t="n">
        <f aca="false">IF(B1586=-1, 1, COUNTIF($A$2:$A$3000, H1586))</f>
        <v>1</v>
      </c>
      <c r="J1586" s="10" t="str">
        <f aca="false">_xlfn.CONCAT(A1586, ",",H1586,",",I1586)</f>
        <v>쟉,듀,1</v>
      </c>
      <c r="K1586" s="16" t="n">
        <f aca="false">IF(B1586=-1,-1,VLOOKUP(C1586,$T$1:$V$20,3))</f>
        <v>17</v>
      </c>
      <c r="L1586" s="16" t="n">
        <f aca="false">IF(B1586=-1,-1,VLOOKUP(D1586,$Y$1:$AA$22,3))</f>
        <v>2</v>
      </c>
      <c r="N1586" s="10" t="str">
        <f aca="false">_xlfn.UNICHAR(((C1586*21)+G1586)*28+44032)</f>
        <v>쥬</v>
      </c>
      <c r="O1586" s="10" t="str">
        <f aca="false">_xlfn.UNICHAR(((F1586*21)+D1586)*28+44032)</f>
        <v>댜</v>
      </c>
      <c r="P1586" s="12" t="n">
        <f aca="false">COUNTIF($A$2:$A$3000, N1586) + COUNTIF($A$2:$A$3000, O1586)</f>
        <v>2</v>
      </c>
      <c r="Q1586" s="16" t="str">
        <f aca="false">IF(OR(B1586=-1,I1586=0, P1586&lt;&gt;2), "albhed_dummy", _xlfn.CONCAT("albhed ", RIGHT("  " &amp; K1586,2),", ", RIGHT("  " &amp; L1586,2), ", " ,"""",H1586,""", ", """",N1586,""", ","""",O1586,""""," ; ", A1586))</f>
        <v>albhed 17,  2, "듀", "쥬", "댜" ; 쟉</v>
      </c>
    </row>
    <row r="1587" customFormat="false" ht="17.9" hidden="false" customHeight="true" outlineLevel="0" collapsed="false">
      <c r="A1587" s="16" t="s">
        <v>2439</v>
      </c>
      <c r="B1587" s="16" t="n">
        <f aca="false">IF(_xlfn.UNICODE(A1587)&lt;44032,-1,_xlfn.UNICODE(A1587)-44032)</f>
        <v>7116</v>
      </c>
      <c r="C1587" s="16" t="n">
        <f aca="false">IF(B1587=-1,-1,INT((B1587/28)/21))</f>
        <v>12</v>
      </c>
      <c r="D1587" s="16" t="n">
        <f aca="false">IF(B1587=-1, -1, MOD(INT(B1587/28),21))</f>
        <v>2</v>
      </c>
      <c r="E1587" s="16" t="n">
        <f aca="false">IF(B1587=-1, -1, VLOOKUP(MOD(B1587,28), $T$24:$U$52,2))</f>
        <v>4</v>
      </c>
      <c r="F1587" s="16" t="n">
        <f aca="false">IF($B1587=-1, -1, VLOOKUP(C1587,$T$1:$V$20, 2))</f>
        <v>3</v>
      </c>
      <c r="G1587" s="16" t="n">
        <f aca="false">IF($B1587=-1, -1, VLOOKUP(D1587,$Y$1:$Z$22,2))</f>
        <v>17</v>
      </c>
      <c r="H1587" s="16" t="str">
        <f aca="false">_xlfn.UNICHAR(((F1587*21)+G1587)*28+44032)</f>
        <v>듀</v>
      </c>
      <c r="I1587" s="16" t="n">
        <f aca="false">IF(B1587=-1, 1, COUNTIF($A$2:$A$3000, H1587))</f>
        <v>1</v>
      </c>
      <c r="J1587" s="10" t="str">
        <f aca="false">_xlfn.CONCAT(A1587, ",",H1587,",",I1587)</f>
        <v>쟌,듀,1</v>
      </c>
      <c r="K1587" s="16" t="n">
        <f aca="false">IF(B1587=-1,-1,VLOOKUP(C1587,$T$1:$V$20,3))</f>
        <v>17</v>
      </c>
      <c r="L1587" s="16" t="n">
        <f aca="false">IF(B1587=-1,-1,VLOOKUP(D1587,$Y$1:$AA$22,3))</f>
        <v>2</v>
      </c>
      <c r="N1587" s="10" t="str">
        <f aca="false">_xlfn.UNICHAR(((C1587*21)+G1587)*28+44032)</f>
        <v>쥬</v>
      </c>
      <c r="O1587" s="10" t="str">
        <f aca="false">_xlfn.UNICHAR(((F1587*21)+D1587)*28+44032)</f>
        <v>댜</v>
      </c>
      <c r="P1587" s="12" t="n">
        <f aca="false">COUNTIF($A$2:$A$3000, N1587) + COUNTIF($A$2:$A$3000, O1587)</f>
        <v>2</v>
      </c>
      <c r="Q1587" s="16" t="str">
        <f aca="false">IF(OR(B1587=-1,I1587=0, P1587&lt;&gt;2), "albhed_dummy", _xlfn.CONCAT("albhed ", RIGHT("  " &amp; K1587,2),", ", RIGHT("  " &amp; L1587,2), ", " ,"""",H1587,""", ", """",N1587,""", ","""",O1587,""""," ; ", A1587))</f>
        <v>albhed 17,  2, "듀", "쥬", "댜" ; 쟌</v>
      </c>
    </row>
    <row r="1588" customFormat="false" ht="17.9" hidden="false" customHeight="true" outlineLevel="0" collapsed="false">
      <c r="A1588" s="16" t="s">
        <v>2440</v>
      </c>
      <c r="B1588" s="16" t="n">
        <f aca="false">IF(_xlfn.UNICODE(A1588)&lt;44032,-1,_xlfn.UNICODE(A1588)-44032)</f>
        <v>7118</v>
      </c>
      <c r="C1588" s="16" t="n">
        <f aca="false">IF(B1588=-1,-1,INT((B1588/28)/21))</f>
        <v>12</v>
      </c>
      <c r="D1588" s="16" t="n">
        <f aca="false">IF(B1588=-1, -1, MOD(INT(B1588/28),21))</f>
        <v>2</v>
      </c>
      <c r="E1588" s="16" t="n">
        <f aca="false">IF(B1588=-1, -1, VLOOKUP(MOD(B1588,28), $T$24:$U$52,2))</f>
        <v>4</v>
      </c>
      <c r="F1588" s="16" t="n">
        <f aca="false">IF($B1588=-1, -1, VLOOKUP(C1588,$T$1:$V$20, 2))</f>
        <v>3</v>
      </c>
      <c r="G1588" s="16" t="n">
        <f aca="false">IF($B1588=-1, -1, VLOOKUP(D1588,$Y$1:$Z$22,2))</f>
        <v>17</v>
      </c>
      <c r="H1588" s="16" t="str">
        <f aca="false">_xlfn.UNICHAR(((F1588*21)+G1588)*28+44032)</f>
        <v>듀</v>
      </c>
      <c r="I1588" s="16" t="n">
        <f aca="false">IF(B1588=-1, 1, COUNTIF($A$2:$A$3000, H1588))</f>
        <v>1</v>
      </c>
      <c r="J1588" s="10" t="str">
        <f aca="false">_xlfn.CONCAT(A1588, ",",H1588,",",I1588)</f>
        <v>쟎,듀,1</v>
      </c>
      <c r="K1588" s="16" t="n">
        <f aca="false">IF(B1588=-1,-1,VLOOKUP(C1588,$T$1:$V$20,3))</f>
        <v>17</v>
      </c>
      <c r="L1588" s="16" t="n">
        <f aca="false">IF(B1588=-1,-1,VLOOKUP(D1588,$Y$1:$AA$22,3))</f>
        <v>2</v>
      </c>
      <c r="N1588" s="10" t="str">
        <f aca="false">_xlfn.UNICHAR(((C1588*21)+G1588)*28+44032)</f>
        <v>쥬</v>
      </c>
      <c r="O1588" s="10" t="str">
        <f aca="false">_xlfn.UNICHAR(((F1588*21)+D1588)*28+44032)</f>
        <v>댜</v>
      </c>
      <c r="P1588" s="12" t="n">
        <f aca="false">COUNTIF($A$2:$A$3000, N1588) + COUNTIF($A$2:$A$3000, O1588)</f>
        <v>2</v>
      </c>
      <c r="Q1588" s="16" t="str">
        <f aca="false">IF(OR(B1588=-1,I1588=0, P1588&lt;&gt;2), "albhed_dummy", _xlfn.CONCAT("albhed ", RIGHT("  " &amp; K1588,2),", ", RIGHT("  " &amp; L1588,2), ", " ,"""",H1588,""", ", """",N1588,""", ","""",O1588,""""," ; ", A1588))</f>
        <v>albhed 17,  2, "듀", "쥬", "댜" ; 쟎</v>
      </c>
    </row>
    <row r="1589" customFormat="false" ht="17.9" hidden="false" customHeight="true" outlineLevel="0" collapsed="false">
      <c r="A1589" s="16" t="s">
        <v>2441</v>
      </c>
      <c r="B1589" s="16" t="n">
        <f aca="false">IF(_xlfn.UNICODE(A1589)&lt;44032,-1,_xlfn.UNICODE(A1589)-44032)</f>
        <v>7120</v>
      </c>
      <c r="C1589" s="16" t="n">
        <f aca="false">IF(B1589=-1,-1,INT((B1589/28)/21))</f>
        <v>12</v>
      </c>
      <c r="D1589" s="16" t="n">
        <f aca="false">IF(B1589=-1, -1, MOD(INT(B1589/28),21))</f>
        <v>2</v>
      </c>
      <c r="E1589" s="16" t="n">
        <f aca="false">IF(B1589=-1, -1, VLOOKUP(MOD(B1589,28), $T$24:$U$52,2))</f>
        <v>8</v>
      </c>
      <c r="F1589" s="16" t="n">
        <f aca="false">IF($B1589=-1, -1, VLOOKUP(C1589,$T$1:$V$20, 2))</f>
        <v>3</v>
      </c>
      <c r="G1589" s="16" t="n">
        <f aca="false">IF($B1589=-1, -1, VLOOKUP(D1589,$Y$1:$Z$22,2))</f>
        <v>17</v>
      </c>
      <c r="H1589" s="16" t="str">
        <f aca="false">_xlfn.UNICHAR(((F1589*21)+G1589)*28+44032)</f>
        <v>듀</v>
      </c>
      <c r="I1589" s="16" t="n">
        <f aca="false">IF(B1589=-1, 1, COUNTIF($A$2:$A$3000, H1589))</f>
        <v>1</v>
      </c>
      <c r="J1589" s="10" t="str">
        <f aca="false">_xlfn.CONCAT(A1589, ",",H1589,",",I1589)</f>
        <v>쟐,듀,1</v>
      </c>
      <c r="K1589" s="16" t="n">
        <f aca="false">IF(B1589=-1,-1,VLOOKUP(C1589,$T$1:$V$20,3))</f>
        <v>17</v>
      </c>
      <c r="L1589" s="16" t="n">
        <f aca="false">IF(B1589=-1,-1,VLOOKUP(D1589,$Y$1:$AA$22,3))</f>
        <v>2</v>
      </c>
      <c r="N1589" s="10" t="str">
        <f aca="false">_xlfn.UNICHAR(((C1589*21)+G1589)*28+44032)</f>
        <v>쥬</v>
      </c>
      <c r="O1589" s="10" t="str">
        <f aca="false">_xlfn.UNICHAR(((F1589*21)+D1589)*28+44032)</f>
        <v>댜</v>
      </c>
      <c r="P1589" s="12" t="n">
        <f aca="false">COUNTIF($A$2:$A$3000, N1589) + COUNTIF($A$2:$A$3000, O1589)</f>
        <v>2</v>
      </c>
      <c r="Q1589" s="16" t="str">
        <f aca="false">IF(OR(B1589=-1,I1589=0, P1589&lt;&gt;2), "albhed_dummy", _xlfn.CONCAT("albhed ", RIGHT("  " &amp; K1589,2),", ", RIGHT("  " &amp; L1589,2), ", " ,"""",H1589,""", ", """",N1589,""", ","""",O1589,""""," ; ", A1589))</f>
        <v>albhed 17,  2, "듀", "쥬", "댜" ; 쟐</v>
      </c>
    </row>
    <row r="1590" customFormat="false" ht="17.9" hidden="false" customHeight="true" outlineLevel="0" collapsed="false">
      <c r="A1590" s="16" t="s">
        <v>2442</v>
      </c>
      <c r="B1590" s="16" t="n">
        <f aca="false">IF(_xlfn.UNICODE(A1590)&lt;44032,-1,_xlfn.UNICODE(A1590)-44032)</f>
        <v>7128</v>
      </c>
      <c r="C1590" s="16" t="n">
        <f aca="false">IF(B1590=-1,-1,INT((B1590/28)/21))</f>
        <v>12</v>
      </c>
      <c r="D1590" s="16" t="n">
        <f aca="false">IF(B1590=-1, -1, MOD(INT(B1590/28),21))</f>
        <v>2</v>
      </c>
      <c r="E1590" s="16" t="n">
        <f aca="false">IF(B1590=-1, -1, VLOOKUP(MOD(B1590,28), $T$24:$U$52,2))</f>
        <v>16</v>
      </c>
      <c r="F1590" s="16" t="n">
        <f aca="false">IF($B1590=-1, -1, VLOOKUP(C1590,$T$1:$V$20, 2))</f>
        <v>3</v>
      </c>
      <c r="G1590" s="16" t="n">
        <f aca="false">IF($B1590=-1, -1, VLOOKUP(D1590,$Y$1:$Z$22,2))</f>
        <v>17</v>
      </c>
      <c r="H1590" s="16" t="str">
        <f aca="false">_xlfn.UNICHAR(((F1590*21)+G1590)*28+44032)</f>
        <v>듀</v>
      </c>
      <c r="I1590" s="16" t="n">
        <f aca="false">IF(B1590=-1, 1, COUNTIF($A$2:$A$3000, H1590))</f>
        <v>1</v>
      </c>
      <c r="J1590" s="10" t="str">
        <f aca="false">_xlfn.CONCAT(A1590, ",",H1590,",",I1590)</f>
        <v>쟘,듀,1</v>
      </c>
      <c r="K1590" s="16" t="n">
        <f aca="false">IF(B1590=-1,-1,VLOOKUP(C1590,$T$1:$V$20,3))</f>
        <v>17</v>
      </c>
      <c r="L1590" s="16" t="n">
        <f aca="false">IF(B1590=-1,-1,VLOOKUP(D1590,$Y$1:$AA$22,3))</f>
        <v>2</v>
      </c>
      <c r="N1590" s="10" t="str">
        <f aca="false">_xlfn.UNICHAR(((C1590*21)+G1590)*28+44032)</f>
        <v>쥬</v>
      </c>
      <c r="O1590" s="10" t="str">
        <f aca="false">_xlfn.UNICHAR(((F1590*21)+D1590)*28+44032)</f>
        <v>댜</v>
      </c>
      <c r="P1590" s="12" t="n">
        <f aca="false">COUNTIF($A$2:$A$3000, N1590) + COUNTIF($A$2:$A$3000, O1590)</f>
        <v>2</v>
      </c>
      <c r="Q1590" s="16" t="str">
        <f aca="false">IF(OR(B1590=-1,I1590=0, P1590&lt;&gt;2), "albhed_dummy", _xlfn.CONCAT("albhed ", RIGHT("  " &amp; K1590,2),", ", RIGHT("  " &amp; L1590,2), ", " ,"""",H1590,""", ", """",N1590,""", ","""",O1590,""""," ; ", A1590))</f>
        <v>albhed 17,  2, "듀", "쥬", "댜" ; 쟘</v>
      </c>
    </row>
    <row r="1591" customFormat="false" ht="17.9" hidden="false" customHeight="true" outlineLevel="0" collapsed="false">
      <c r="A1591" s="16" t="s">
        <v>2443</v>
      </c>
      <c r="B1591" s="16" t="n">
        <f aca="false">IF(_xlfn.UNICODE(A1591)&lt;44032,-1,_xlfn.UNICODE(A1591)-44032)</f>
        <v>7133</v>
      </c>
      <c r="C1591" s="16" t="n">
        <f aca="false">IF(B1591=-1,-1,INT((B1591/28)/21))</f>
        <v>12</v>
      </c>
      <c r="D1591" s="16" t="n">
        <f aca="false">IF(B1591=-1, -1, MOD(INT(B1591/28),21))</f>
        <v>2</v>
      </c>
      <c r="E1591" s="16" t="n">
        <f aca="false">IF(B1591=-1, -1, VLOOKUP(MOD(B1591,28), $T$24:$U$52,2))</f>
        <v>21</v>
      </c>
      <c r="F1591" s="16" t="n">
        <f aca="false">IF($B1591=-1, -1, VLOOKUP(C1591,$T$1:$V$20, 2))</f>
        <v>3</v>
      </c>
      <c r="G1591" s="16" t="n">
        <f aca="false">IF($B1591=-1, -1, VLOOKUP(D1591,$Y$1:$Z$22,2))</f>
        <v>17</v>
      </c>
      <c r="H1591" s="16" t="str">
        <f aca="false">_xlfn.UNICHAR(((F1591*21)+G1591)*28+44032)</f>
        <v>듀</v>
      </c>
      <c r="I1591" s="16" t="n">
        <f aca="false">IF(B1591=-1, 1, COUNTIF($A$2:$A$3000, H1591))</f>
        <v>1</v>
      </c>
      <c r="J1591" s="10" t="str">
        <f aca="false">_xlfn.CONCAT(A1591, ",",H1591,",",I1591)</f>
        <v>쟝,듀,1</v>
      </c>
      <c r="K1591" s="16" t="n">
        <f aca="false">IF(B1591=-1,-1,VLOOKUP(C1591,$T$1:$V$20,3))</f>
        <v>17</v>
      </c>
      <c r="L1591" s="16" t="n">
        <f aca="false">IF(B1591=-1,-1,VLOOKUP(D1591,$Y$1:$AA$22,3))</f>
        <v>2</v>
      </c>
      <c r="N1591" s="10" t="str">
        <f aca="false">_xlfn.UNICHAR(((C1591*21)+G1591)*28+44032)</f>
        <v>쥬</v>
      </c>
      <c r="O1591" s="10" t="str">
        <f aca="false">_xlfn.UNICHAR(((F1591*21)+D1591)*28+44032)</f>
        <v>댜</v>
      </c>
      <c r="P1591" s="12" t="n">
        <f aca="false">COUNTIF($A$2:$A$3000, N1591) + COUNTIF($A$2:$A$3000, O1591)</f>
        <v>2</v>
      </c>
      <c r="Q1591" s="16" t="str">
        <f aca="false">IF(OR(B1591=-1,I1591=0, P1591&lt;&gt;2), "albhed_dummy", _xlfn.CONCAT("albhed ", RIGHT("  " &amp; K1591,2),", ", RIGHT("  " &amp; L1591,2), ", " ,"""",H1591,""", ", """",N1591,""", ","""",O1591,""""," ; ", A1591))</f>
        <v>albhed 17,  2, "듀", "쥬", "댜" ; 쟝</v>
      </c>
    </row>
    <row r="1592" customFormat="false" ht="17.9" hidden="false" customHeight="true" outlineLevel="0" collapsed="false">
      <c r="A1592" s="16" t="s">
        <v>2444</v>
      </c>
      <c r="B1592" s="16" t="n">
        <f aca="false">IF(_xlfn.UNICODE(A1592)&lt;44032,-1,_xlfn.UNICODE(A1592)-44032)</f>
        <v>7140</v>
      </c>
      <c r="C1592" s="16" t="n">
        <f aca="false">IF(B1592=-1,-1,INT((B1592/28)/21))</f>
        <v>12</v>
      </c>
      <c r="D1592" s="16" t="n">
        <f aca="false">IF(B1592=-1, -1, MOD(INT(B1592/28),21))</f>
        <v>3</v>
      </c>
      <c r="E1592" s="16" t="n">
        <f aca="false">IF(B1592=-1, -1, VLOOKUP(MOD(B1592,28), $T$24:$U$52,2))</f>
        <v>0</v>
      </c>
      <c r="F1592" s="16" t="n">
        <f aca="false">IF($B1592=-1, -1, VLOOKUP(C1592,$T$1:$V$20, 2))</f>
        <v>3</v>
      </c>
      <c r="G1592" s="16" t="n">
        <f aca="false">IF($B1592=-1, -1, VLOOKUP(D1592,$Y$1:$Z$22,2))</f>
        <v>18</v>
      </c>
      <c r="H1592" s="16" t="str">
        <f aca="false">_xlfn.UNICHAR(((F1592*21)+G1592)*28+44032)</f>
        <v>드</v>
      </c>
      <c r="I1592" s="16" t="n">
        <f aca="false">IF(B1592=-1, 1, COUNTIF($A$2:$A$3000, H1592))</f>
        <v>1</v>
      </c>
      <c r="J1592" s="10" t="str">
        <f aca="false">_xlfn.CONCAT(A1592, ",",H1592,",",I1592)</f>
        <v>쟤,드,1</v>
      </c>
      <c r="K1592" s="16" t="n">
        <f aca="false">IF(B1592=-1,-1,VLOOKUP(C1592,$T$1:$V$20,3))</f>
        <v>17</v>
      </c>
      <c r="L1592" s="16" t="n">
        <f aca="false">IF(B1592=-1,-1,VLOOKUP(D1592,$Y$1:$AA$22,3))</f>
        <v>14</v>
      </c>
      <c r="N1592" s="10" t="str">
        <f aca="false">_xlfn.UNICHAR(((C1592*21)+G1592)*28+44032)</f>
        <v>즈</v>
      </c>
      <c r="O1592" s="10" t="str">
        <f aca="false">_xlfn.UNICHAR(((F1592*21)+D1592)*28+44032)</f>
        <v>댸</v>
      </c>
      <c r="P1592" s="12" t="n">
        <f aca="false">COUNTIF($A$2:$A$3000, N1592) + COUNTIF($A$2:$A$3000, O1592)</f>
        <v>1</v>
      </c>
      <c r="Q1592" s="16" t="str">
        <f aca="false">IF(OR(B1592=-1,I1592=0, P1592&lt;&gt;2), "albhed_dummy", _xlfn.CONCAT("albhed ", RIGHT("  " &amp; K1592,2),", ", RIGHT("  " &amp; L1592,2), ", " ,"""",H1592,""", ", """",N1592,""", ","""",O1592,""""," ; ", A1592))</f>
        <v>albhed_dummy</v>
      </c>
    </row>
    <row r="1593" customFormat="false" ht="17.9" hidden="false" customHeight="true" outlineLevel="0" collapsed="false">
      <c r="A1593" s="16" t="s">
        <v>2445</v>
      </c>
      <c r="B1593" s="16" t="n">
        <f aca="false">IF(_xlfn.UNICODE(A1593)&lt;44032,-1,_xlfn.UNICODE(A1593)-44032)</f>
        <v>7144</v>
      </c>
      <c r="C1593" s="16" t="n">
        <f aca="false">IF(B1593=-1,-1,INT((B1593/28)/21))</f>
        <v>12</v>
      </c>
      <c r="D1593" s="16" t="n">
        <f aca="false">IF(B1593=-1, -1, MOD(INT(B1593/28),21))</f>
        <v>3</v>
      </c>
      <c r="E1593" s="16" t="n">
        <f aca="false">IF(B1593=-1, -1, VLOOKUP(MOD(B1593,28), $T$24:$U$52,2))</f>
        <v>4</v>
      </c>
      <c r="F1593" s="16" t="n">
        <f aca="false">IF($B1593=-1, -1, VLOOKUP(C1593,$T$1:$V$20, 2))</f>
        <v>3</v>
      </c>
      <c r="G1593" s="16" t="n">
        <f aca="false">IF($B1593=-1, -1, VLOOKUP(D1593,$Y$1:$Z$22,2))</f>
        <v>18</v>
      </c>
      <c r="H1593" s="16" t="str">
        <f aca="false">_xlfn.UNICHAR(((F1593*21)+G1593)*28+44032)</f>
        <v>드</v>
      </c>
      <c r="I1593" s="16" t="n">
        <f aca="false">IF(B1593=-1, 1, COUNTIF($A$2:$A$3000, H1593))</f>
        <v>1</v>
      </c>
      <c r="J1593" s="10" t="str">
        <f aca="false">_xlfn.CONCAT(A1593, ",",H1593,",",I1593)</f>
        <v>쟨,드,1</v>
      </c>
      <c r="K1593" s="16" t="n">
        <f aca="false">IF(B1593=-1,-1,VLOOKUP(C1593,$T$1:$V$20,3))</f>
        <v>17</v>
      </c>
      <c r="L1593" s="16" t="n">
        <f aca="false">IF(B1593=-1,-1,VLOOKUP(D1593,$Y$1:$AA$22,3))</f>
        <v>14</v>
      </c>
      <c r="N1593" s="10" t="str">
        <f aca="false">_xlfn.UNICHAR(((C1593*21)+G1593)*28+44032)</f>
        <v>즈</v>
      </c>
      <c r="O1593" s="10" t="str">
        <f aca="false">_xlfn.UNICHAR(((F1593*21)+D1593)*28+44032)</f>
        <v>댸</v>
      </c>
      <c r="P1593" s="12" t="n">
        <f aca="false">COUNTIF($A$2:$A$3000, N1593) + COUNTIF($A$2:$A$3000, O1593)</f>
        <v>1</v>
      </c>
      <c r="Q1593" s="16" t="str">
        <f aca="false">IF(OR(B1593=-1,I1593=0, P1593&lt;&gt;2), "albhed_dummy", _xlfn.CONCAT("albhed ", RIGHT("  " &amp; K1593,2),", ", RIGHT("  " &amp; L1593,2), ", " ,"""",H1593,""", ", """",N1593,""", ","""",O1593,""""," ; ", A1593))</f>
        <v>albhed_dummy</v>
      </c>
    </row>
    <row r="1594" customFormat="false" ht="17.9" hidden="false" customHeight="true" outlineLevel="0" collapsed="false">
      <c r="A1594" s="16" t="s">
        <v>2446</v>
      </c>
      <c r="B1594" s="16" t="n">
        <f aca="false">IF(_xlfn.UNICODE(A1594)&lt;44032,-1,_xlfn.UNICODE(A1594)-44032)</f>
        <v>7148</v>
      </c>
      <c r="C1594" s="16" t="n">
        <f aca="false">IF(B1594=-1,-1,INT((B1594/28)/21))</f>
        <v>12</v>
      </c>
      <c r="D1594" s="16" t="n">
        <f aca="false">IF(B1594=-1, -1, MOD(INT(B1594/28),21))</f>
        <v>3</v>
      </c>
      <c r="E1594" s="16" t="n">
        <f aca="false">IF(B1594=-1, -1, VLOOKUP(MOD(B1594,28), $T$24:$U$52,2))</f>
        <v>8</v>
      </c>
      <c r="F1594" s="16" t="n">
        <f aca="false">IF($B1594=-1, -1, VLOOKUP(C1594,$T$1:$V$20, 2))</f>
        <v>3</v>
      </c>
      <c r="G1594" s="16" t="n">
        <f aca="false">IF($B1594=-1, -1, VLOOKUP(D1594,$Y$1:$Z$22,2))</f>
        <v>18</v>
      </c>
      <c r="H1594" s="16" t="str">
        <f aca="false">_xlfn.UNICHAR(((F1594*21)+G1594)*28+44032)</f>
        <v>드</v>
      </c>
      <c r="I1594" s="16" t="n">
        <f aca="false">IF(B1594=-1, 1, COUNTIF($A$2:$A$3000, H1594))</f>
        <v>1</v>
      </c>
      <c r="J1594" s="10" t="str">
        <f aca="false">_xlfn.CONCAT(A1594, ",",H1594,",",I1594)</f>
        <v>쟬,드,1</v>
      </c>
      <c r="K1594" s="16" t="n">
        <f aca="false">IF(B1594=-1,-1,VLOOKUP(C1594,$T$1:$V$20,3))</f>
        <v>17</v>
      </c>
      <c r="L1594" s="16" t="n">
        <f aca="false">IF(B1594=-1,-1,VLOOKUP(D1594,$Y$1:$AA$22,3))</f>
        <v>14</v>
      </c>
      <c r="N1594" s="10" t="str">
        <f aca="false">_xlfn.UNICHAR(((C1594*21)+G1594)*28+44032)</f>
        <v>즈</v>
      </c>
      <c r="O1594" s="10" t="str">
        <f aca="false">_xlfn.UNICHAR(((F1594*21)+D1594)*28+44032)</f>
        <v>댸</v>
      </c>
      <c r="P1594" s="12" t="n">
        <f aca="false">COUNTIF($A$2:$A$3000, N1594) + COUNTIF($A$2:$A$3000, O1594)</f>
        <v>1</v>
      </c>
      <c r="Q1594" s="16" t="str">
        <f aca="false">IF(OR(B1594=-1,I1594=0, P1594&lt;&gt;2), "albhed_dummy", _xlfn.CONCAT("albhed ", RIGHT("  " &amp; K1594,2),", ", RIGHT("  " &amp; L1594,2), ", " ,"""",H1594,""", ", """",N1594,""", ","""",O1594,""""," ; ", A1594))</f>
        <v>albhed_dummy</v>
      </c>
    </row>
    <row r="1595" customFormat="false" ht="17.9" hidden="false" customHeight="true" outlineLevel="0" collapsed="false">
      <c r="A1595" s="16" t="s">
        <v>2447</v>
      </c>
      <c r="B1595" s="16" t="n">
        <f aca="false">IF(_xlfn.UNICODE(A1595)&lt;44032,-1,_xlfn.UNICODE(A1595)-44032)</f>
        <v>7168</v>
      </c>
      <c r="C1595" s="16" t="n">
        <f aca="false">IF(B1595=-1,-1,INT((B1595/28)/21))</f>
        <v>12</v>
      </c>
      <c r="D1595" s="16" t="n">
        <f aca="false">IF(B1595=-1, -1, MOD(INT(B1595/28),21))</f>
        <v>4</v>
      </c>
      <c r="E1595" s="16" t="n">
        <f aca="false">IF(B1595=-1, -1, VLOOKUP(MOD(B1595,28), $T$24:$U$52,2))</f>
        <v>0</v>
      </c>
      <c r="F1595" s="16" t="n">
        <f aca="false">IF($B1595=-1, -1, VLOOKUP(C1595,$T$1:$V$20, 2))</f>
        <v>3</v>
      </c>
      <c r="G1595" s="16" t="n">
        <f aca="false">IF($B1595=-1, -1, VLOOKUP(D1595,$Y$1:$Z$22,2))</f>
        <v>8</v>
      </c>
      <c r="H1595" s="16" t="str">
        <f aca="false">_xlfn.UNICHAR(((F1595*21)+G1595)*28+44032)</f>
        <v>도</v>
      </c>
      <c r="I1595" s="16" t="n">
        <f aca="false">IF(B1595=-1, 1, COUNTIF($A$2:$A$3000, H1595))</f>
        <v>1</v>
      </c>
      <c r="J1595" s="10" t="str">
        <f aca="false">_xlfn.CONCAT(A1595, ",",H1595,",",I1595)</f>
        <v>저,도,1</v>
      </c>
      <c r="K1595" s="16" t="n">
        <f aca="false">IF(B1595=-1,-1,VLOOKUP(C1595,$T$1:$V$20,3))</f>
        <v>17</v>
      </c>
      <c r="L1595" s="16" t="n">
        <f aca="false">IF(B1595=-1,-1,VLOOKUP(D1595,$Y$1:$AA$22,3))</f>
        <v>4</v>
      </c>
      <c r="N1595" s="10" t="str">
        <f aca="false">_xlfn.UNICHAR(((C1595*21)+G1595)*28+44032)</f>
        <v>조</v>
      </c>
      <c r="O1595" s="10" t="str">
        <f aca="false">_xlfn.UNICHAR(((F1595*21)+D1595)*28+44032)</f>
        <v>더</v>
      </c>
      <c r="P1595" s="12" t="n">
        <f aca="false">COUNTIF($A$2:$A$3000, N1595) + COUNTIF($A$2:$A$3000, O1595)</f>
        <v>2</v>
      </c>
      <c r="Q1595" s="16" t="str">
        <f aca="false">IF(OR(B1595=-1,I1595=0, P1595&lt;&gt;2), "albhed_dummy", _xlfn.CONCAT("albhed ", RIGHT("  " &amp; K1595,2),", ", RIGHT("  " &amp; L1595,2), ", " ,"""",H1595,""", ", """",N1595,""", ","""",O1595,""""," ; ", A1595))</f>
        <v>albhed 17,  4, "도", "조", "더" ; 저</v>
      </c>
    </row>
    <row r="1596" customFormat="false" ht="17.9" hidden="false" customHeight="true" outlineLevel="0" collapsed="false">
      <c r="A1596" s="16" t="s">
        <v>2448</v>
      </c>
      <c r="B1596" s="16" t="n">
        <f aca="false">IF(_xlfn.UNICODE(A1596)&lt;44032,-1,_xlfn.UNICODE(A1596)-44032)</f>
        <v>7169</v>
      </c>
      <c r="C1596" s="16" t="n">
        <f aca="false">IF(B1596=-1,-1,INT((B1596/28)/21))</f>
        <v>12</v>
      </c>
      <c r="D1596" s="16" t="n">
        <f aca="false">IF(B1596=-1, -1, MOD(INT(B1596/28),21))</f>
        <v>4</v>
      </c>
      <c r="E1596" s="16" t="n">
        <f aca="false">IF(B1596=-1, -1, VLOOKUP(MOD(B1596,28), $T$24:$U$52,2))</f>
        <v>1</v>
      </c>
      <c r="F1596" s="16" t="n">
        <f aca="false">IF($B1596=-1, -1, VLOOKUP(C1596,$T$1:$V$20, 2))</f>
        <v>3</v>
      </c>
      <c r="G1596" s="16" t="n">
        <f aca="false">IF($B1596=-1, -1, VLOOKUP(D1596,$Y$1:$Z$22,2))</f>
        <v>8</v>
      </c>
      <c r="H1596" s="16" t="str">
        <f aca="false">_xlfn.UNICHAR(((F1596*21)+G1596)*28+44032)</f>
        <v>도</v>
      </c>
      <c r="I1596" s="16" t="n">
        <f aca="false">IF(B1596=-1, 1, COUNTIF($A$2:$A$3000, H1596))</f>
        <v>1</v>
      </c>
      <c r="J1596" s="10" t="str">
        <f aca="false">_xlfn.CONCAT(A1596, ",",H1596,",",I1596)</f>
        <v>적,도,1</v>
      </c>
      <c r="K1596" s="16" t="n">
        <f aca="false">IF(B1596=-1,-1,VLOOKUP(C1596,$T$1:$V$20,3))</f>
        <v>17</v>
      </c>
      <c r="L1596" s="16" t="n">
        <f aca="false">IF(B1596=-1,-1,VLOOKUP(D1596,$Y$1:$AA$22,3))</f>
        <v>4</v>
      </c>
      <c r="N1596" s="10" t="str">
        <f aca="false">_xlfn.UNICHAR(((C1596*21)+G1596)*28+44032)</f>
        <v>조</v>
      </c>
      <c r="O1596" s="10" t="str">
        <f aca="false">_xlfn.UNICHAR(((F1596*21)+D1596)*28+44032)</f>
        <v>더</v>
      </c>
      <c r="P1596" s="12" t="n">
        <f aca="false">COUNTIF($A$2:$A$3000, N1596) + COUNTIF($A$2:$A$3000, O1596)</f>
        <v>2</v>
      </c>
      <c r="Q1596" s="16" t="str">
        <f aca="false">IF(OR(B1596=-1,I1596=0, P1596&lt;&gt;2), "albhed_dummy", _xlfn.CONCAT("albhed ", RIGHT("  " &amp; K1596,2),", ", RIGHT("  " &amp; L1596,2), ", " ,"""",H1596,""", ", """",N1596,""", ","""",O1596,""""," ; ", A1596))</f>
        <v>albhed 17,  4, "도", "조", "더" ; 적</v>
      </c>
    </row>
    <row r="1597" customFormat="false" ht="17.9" hidden="false" customHeight="true" outlineLevel="0" collapsed="false">
      <c r="A1597" s="16" t="s">
        <v>2449</v>
      </c>
      <c r="B1597" s="16" t="n">
        <f aca="false">IF(_xlfn.UNICODE(A1597)&lt;44032,-1,_xlfn.UNICODE(A1597)-44032)</f>
        <v>7172</v>
      </c>
      <c r="C1597" s="16" t="n">
        <f aca="false">IF(B1597=-1,-1,INT((B1597/28)/21))</f>
        <v>12</v>
      </c>
      <c r="D1597" s="16" t="n">
        <f aca="false">IF(B1597=-1, -1, MOD(INT(B1597/28),21))</f>
        <v>4</v>
      </c>
      <c r="E1597" s="16" t="n">
        <f aca="false">IF(B1597=-1, -1, VLOOKUP(MOD(B1597,28), $T$24:$U$52,2))</f>
        <v>4</v>
      </c>
      <c r="F1597" s="16" t="n">
        <f aca="false">IF($B1597=-1, -1, VLOOKUP(C1597,$T$1:$V$20, 2))</f>
        <v>3</v>
      </c>
      <c r="G1597" s="16" t="n">
        <f aca="false">IF($B1597=-1, -1, VLOOKUP(D1597,$Y$1:$Z$22,2))</f>
        <v>8</v>
      </c>
      <c r="H1597" s="16" t="str">
        <f aca="false">_xlfn.UNICHAR(((F1597*21)+G1597)*28+44032)</f>
        <v>도</v>
      </c>
      <c r="I1597" s="16" t="n">
        <f aca="false">IF(B1597=-1, 1, COUNTIF($A$2:$A$3000, H1597))</f>
        <v>1</v>
      </c>
      <c r="J1597" s="10" t="str">
        <f aca="false">_xlfn.CONCAT(A1597, ",",H1597,",",I1597)</f>
        <v>전,도,1</v>
      </c>
      <c r="K1597" s="16" t="n">
        <f aca="false">IF(B1597=-1,-1,VLOOKUP(C1597,$T$1:$V$20,3))</f>
        <v>17</v>
      </c>
      <c r="L1597" s="16" t="n">
        <f aca="false">IF(B1597=-1,-1,VLOOKUP(D1597,$Y$1:$AA$22,3))</f>
        <v>4</v>
      </c>
      <c r="N1597" s="10" t="str">
        <f aca="false">_xlfn.UNICHAR(((C1597*21)+G1597)*28+44032)</f>
        <v>조</v>
      </c>
      <c r="O1597" s="10" t="str">
        <f aca="false">_xlfn.UNICHAR(((F1597*21)+D1597)*28+44032)</f>
        <v>더</v>
      </c>
      <c r="P1597" s="12" t="n">
        <f aca="false">COUNTIF($A$2:$A$3000, N1597) + COUNTIF($A$2:$A$3000, O1597)</f>
        <v>2</v>
      </c>
      <c r="Q1597" s="16" t="str">
        <f aca="false">IF(OR(B1597=-1,I1597=0, P1597&lt;&gt;2), "albhed_dummy", _xlfn.CONCAT("albhed ", RIGHT("  " &amp; K1597,2),", ", RIGHT("  " &amp; L1597,2), ", " ,"""",H1597,""", ", """",N1597,""", ","""",O1597,""""," ; ", A1597))</f>
        <v>albhed 17,  4, "도", "조", "더" ; 전</v>
      </c>
    </row>
    <row r="1598" customFormat="false" ht="17.9" hidden="false" customHeight="true" outlineLevel="0" collapsed="false">
      <c r="A1598" s="16" t="s">
        <v>2450</v>
      </c>
      <c r="B1598" s="16" t="n">
        <f aca="false">IF(_xlfn.UNICODE(A1598)&lt;44032,-1,_xlfn.UNICODE(A1598)-44032)</f>
        <v>7176</v>
      </c>
      <c r="C1598" s="16" t="n">
        <f aca="false">IF(B1598=-1,-1,INT((B1598/28)/21))</f>
        <v>12</v>
      </c>
      <c r="D1598" s="16" t="n">
        <f aca="false">IF(B1598=-1, -1, MOD(INT(B1598/28),21))</f>
        <v>4</v>
      </c>
      <c r="E1598" s="16" t="n">
        <f aca="false">IF(B1598=-1, -1, VLOOKUP(MOD(B1598,28), $T$24:$U$52,2))</f>
        <v>8</v>
      </c>
      <c r="F1598" s="16" t="n">
        <f aca="false">IF($B1598=-1, -1, VLOOKUP(C1598,$T$1:$V$20, 2))</f>
        <v>3</v>
      </c>
      <c r="G1598" s="16" t="n">
        <f aca="false">IF($B1598=-1, -1, VLOOKUP(D1598,$Y$1:$Z$22,2))</f>
        <v>8</v>
      </c>
      <c r="H1598" s="16" t="str">
        <f aca="false">_xlfn.UNICHAR(((F1598*21)+G1598)*28+44032)</f>
        <v>도</v>
      </c>
      <c r="I1598" s="16" t="n">
        <f aca="false">IF(B1598=-1, 1, COUNTIF($A$2:$A$3000, H1598))</f>
        <v>1</v>
      </c>
      <c r="J1598" s="10" t="str">
        <f aca="false">_xlfn.CONCAT(A1598, ",",H1598,",",I1598)</f>
        <v>절,도,1</v>
      </c>
      <c r="K1598" s="16" t="n">
        <f aca="false">IF(B1598=-1,-1,VLOOKUP(C1598,$T$1:$V$20,3))</f>
        <v>17</v>
      </c>
      <c r="L1598" s="16" t="n">
        <f aca="false">IF(B1598=-1,-1,VLOOKUP(D1598,$Y$1:$AA$22,3))</f>
        <v>4</v>
      </c>
      <c r="N1598" s="10" t="str">
        <f aca="false">_xlfn.UNICHAR(((C1598*21)+G1598)*28+44032)</f>
        <v>조</v>
      </c>
      <c r="O1598" s="10" t="str">
        <f aca="false">_xlfn.UNICHAR(((F1598*21)+D1598)*28+44032)</f>
        <v>더</v>
      </c>
      <c r="P1598" s="12" t="n">
        <f aca="false">COUNTIF($A$2:$A$3000, N1598) + COUNTIF($A$2:$A$3000, O1598)</f>
        <v>2</v>
      </c>
      <c r="Q1598" s="16" t="str">
        <f aca="false">IF(OR(B1598=-1,I1598=0, P1598&lt;&gt;2), "albhed_dummy", _xlfn.CONCAT("albhed ", RIGHT("  " &amp; K1598,2),", ", RIGHT("  " &amp; L1598,2), ", " ,"""",H1598,""", ", """",N1598,""", ","""",O1598,""""," ; ", A1598))</f>
        <v>albhed 17,  4, "도", "조", "더" ; 절</v>
      </c>
    </row>
    <row r="1599" customFormat="false" ht="17.9" hidden="false" customHeight="true" outlineLevel="0" collapsed="false">
      <c r="A1599" s="16" t="s">
        <v>2451</v>
      </c>
      <c r="B1599" s="16" t="n">
        <f aca="false">IF(_xlfn.UNICODE(A1599)&lt;44032,-1,_xlfn.UNICODE(A1599)-44032)</f>
        <v>7178</v>
      </c>
      <c r="C1599" s="16" t="n">
        <f aca="false">IF(B1599=-1,-1,INT((B1599/28)/21))</f>
        <v>12</v>
      </c>
      <c r="D1599" s="16" t="n">
        <f aca="false">IF(B1599=-1, -1, MOD(INT(B1599/28),21))</f>
        <v>4</v>
      </c>
      <c r="E1599" s="16" t="n">
        <f aca="false">IF(B1599=-1, -1, VLOOKUP(MOD(B1599,28), $T$24:$U$52,2))</f>
        <v>8</v>
      </c>
      <c r="F1599" s="16" t="n">
        <f aca="false">IF($B1599=-1, -1, VLOOKUP(C1599,$T$1:$V$20, 2))</f>
        <v>3</v>
      </c>
      <c r="G1599" s="16" t="n">
        <f aca="false">IF($B1599=-1, -1, VLOOKUP(D1599,$Y$1:$Z$22,2))</f>
        <v>8</v>
      </c>
      <c r="H1599" s="16" t="str">
        <f aca="false">_xlfn.UNICHAR(((F1599*21)+G1599)*28+44032)</f>
        <v>도</v>
      </c>
      <c r="I1599" s="16" t="n">
        <f aca="false">IF(B1599=-1, 1, COUNTIF($A$2:$A$3000, H1599))</f>
        <v>1</v>
      </c>
      <c r="J1599" s="10" t="str">
        <f aca="false">_xlfn.CONCAT(A1599, ",",H1599,",",I1599)</f>
        <v>젊,도,1</v>
      </c>
      <c r="K1599" s="16" t="n">
        <f aca="false">IF(B1599=-1,-1,VLOOKUP(C1599,$T$1:$V$20,3))</f>
        <v>17</v>
      </c>
      <c r="L1599" s="16" t="n">
        <f aca="false">IF(B1599=-1,-1,VLOOKUP(D1599,$Y$1:$AA$22,3))</f>
        <v>4</v>
      </c>
      <c r="N1599" s="10" t="str">
        <f aca="false">_xlfn.UNICHAR(((C1599*21)+G1599)*28+44032)</f>
        <v>조</v>
      </c>
      <c r="O1599" s="10" t="str">
        <f aca="false">_xlfn.UNICHAR(((F1599*21)+D1599)*28+44032)</f>
        <v>더</v>
      </c>
      <c r="P1599" s="12" t="n">
        <f aca="false">COUNTIF($A$2:$A$3000, N1599) + COUNTIF($A$2:$A$3000, O1599)</f>
        <v>2</v>
      </c>
      <c r="Q1599" s="16" t="str">
        <f aca="false">IF(OR(B1599=-1,I1599=0, P1599&lt;&gt;2), "albhed_dummy", _xlfn.CONCAT("albhed ", RIGHT("  " &amp; K1599,2),", ", RIGHT("  " &amp; L1599,2), ", " ,"""",H1599,""", ", """",N1599,""", ","""",O1599,""""," ; ", A1599))</f>
        <v>albhed 17,  4, "도", "조", "더" ; 젊</v>
      </c>
    </row>
    <row r="1600" customFormat="false" ht="17.9" hidden="false" customHeight="true" outlineLevel="0" collapsed="false">
      <c r="A1600" s="16" t="s">
        <v>2452</v>
      </c>
      <c r="B1600" s="16" t="n">
        <f aca="false">IF(_xlfn.UNICODE(A1600)&lt;44032,-1,_xlfn.UNICODE(A1600)-44032)</f>
        <v>7184</v>
      </c>
      <c r="C1600" s="16" t="n">
        <f aca="false">IF(B1600=-1,-1,INT((B1600/28)/21))</f>
        <v>12</v>
      </c>
      <c r="D1600" s="16" t="n">
        <f aca="false">IF(B1600=-1, -1, MOD(INT(B1600/28),21))</f>
        <v>4</v>
      </c>
      <c r="E1600" s="16" t="n">
        <f aca="false">IF(B1600=-1, -1, VLOOKUP(MOD(B1600,28), $T$24:$U$52,2))</f>
        <v>16</v>
      </c>
      <c r="F1600" s="16" t="n">
        <f aca="false">IF($B1600=-1, -1, VLOOKUP(C1600,$T$1:$V$20, 2))</f>
        <v>3</v>
      </c>
      <c r="G1600" s="16" t="n">
        <f aca="false">IF($B1600=-1, -1, VLOOKUP(D1600,$Y$1:$Z$22,2))</f>
        <v>8</v>
      </c>
      <c r="H1600" s="16" t="str">
        <f aca="false">_xlfn.UNICHAR(((F1600*21)+G1600)*28+44032)</f>
        <v>도</v>
      </c>
      <c r="I1600" s="16" t="n">
        <f aca="false">IF(B1600=-1, 1, COUNTIF($A$2:$A$3000, H1600))</f>
        <v>1</v>
      </c>
      <c r="J1600" s="10" t="str">
        <f aca="false">_xlfn.CONCAT(A1600, ",",H1600,",",I1600)</f>
        <v>점,도,1</v>
      </c>
      <c r="K1600" s="16" t="n">
        <f aca="false">IF(B1600=-1,-1,VLOOKUP(C1600,$T$1:$V$20,3))</f>
        <v>17</v>
      </c>
      <c r="L1600" s="16" t="n">
        <f aca="false">IF(B1600=-1,-1,VLOOKUP(D1600,$Y$1:$AA$22,3))</f>
        <v>4</v>
      </c>
      <c r="N1600" s="10" t="str">
        <f aca="false">_xlfn.UNICHAR(((C1600*21)+G1600)*28+44032)</f>
        <v>조</v>
      </c>
      <c r="O1600" s="10" t="str">
        <f aca="false">_xlfn.UNICHAR(((F1600*21)+D1600)*28+44032)</f>
        <v>더</v>
      </c>
      <c r="P1600" s="12" t="n">
        <f aca="false">COUNTIF($A$2:$A$3000, N1600) + COUNTIF($A$2:$A$3000, O1600)</f>
        <v>2</v>
      </c>
      <c r="Q1600" s="16" t="str">
        <f aca="false">IF(OR(B1600=-1,I1600=0, P1600&lt;&gt;2), "albhed_dummy", _xlfn.CONCAT("albhed ", RIGHT("  " &amp; K1600,2),", ", RIGHT("  " &amp; L1600,2), ", " ,"""",H1600,""", ", """",N1600,""", ","""",O1600,""""," ; ", A1600))</f>
        <v>albhed 17,  4, "도", "조", "더" ; 점</v>
      </c>
    </row>
    <row r="1601" customFormat="false" ht="17.9" hidden="false" customHeight="true" outlineLevel="0" collapsed="false">
      <c r="A1601" s="16" t="s">
        <v>2453</v>
      </c>
      <c r="B1601" s="16" t="n">
        <f aca="false">IF(_xlfn.UNICODE(A1601)&lt;44032,-1,_xlfn.UNICODE(A1601)-44032)</f>
        <v>7185</v>
      </c>
      <c r="C1601" s="16" t="n">
        <f aca="false">IF(B1601=-1,-1,INT((B1601/28)/21))</f>
        <v>12</v>
      </c>
      <c r="D1601" s="16" t="n">
        <f aca="false">IF(B1601=-1, -1, MOD(INT(B1601/28),21))</f>
        <v>4</v>
      </c>
      <c r="E1601" s="16" t="n">
        <f aca="false">IF(B1601=-1, -1, VLOOKUP(MOD(B1601,28), $T$24:$U$52,2))</f>
        <v>17</v>
      </c>
      <c r="F1601" s="16" t="n">
        <f aca="false">IF($B1601=-1, -1, VLOOKUP(C1601,$T$1:$V$20, 2))</f>
        <v>3</v>
      </c>
      <c r="G1601" s="16" t="n">
        <f aca="false">IF($B1601=-1, -1, VLOOKUP(D1601,$Y$1:$Z$22,2))</f>
        <v>8</v>
      </c>
      <c r="H1601" s="16" t="str">
        <f aca="false">_xlfn.UNICHAR(((F1601*21)+G1601)*28+44032)</f>
        <v>도</v>
      </c>
      <c r="I1601" s="16" t="n">
        <f aca="false">IF(B1601=-1, 1, COUNTIF($A$2:$A$3000, H1601))</f>
        <v>1</v>
      </c>
      <c r="J1601" s="10" t="str">
        <f aca="false">_xlfn.CONCAT(A1601, ",",H1601,",",I1601)</f>
        <v>접,도,1</v>
      </c>
      <c r="K1601" s="16" t="n">
        <f aca="false">IF(B1601=-1,-1,VLOOKUP(C1601,$T$1:$V$20,3))</f>
        <v>17</v>
      </c>
      <c r="L1601" s="16" t="n">
        <f aca="false">IF(B1601=-1,-1,VLOOKUP(D1601,$Y$1:$AA$22,3))</f>
        <v>4</v>
      </c>
      <c r="N1601" s="10" t="str">
        <f aca="false">_xlfn.UNICHAR(((C1601*21)+G1601)*28+44032)</f>
        <v>조</v>
      </c>
      <c r="O1601" s="10" t="str">
        <f aca="false">_xlfn.UNICHAR(((F1601*21)+D1601)*28+44032)</f>
        <v>더</v>
      </c>
      <c r="P1601" s="12" t="n">
        <f aca="false">COUNTIF($A$2:$A$3000, N1601) + COUNTIF($A$2:$A$3000, O1601)</f>
        <v>2</v>
      </c>
      <c r="Q1601" s="16" t="str">
        <f aca="false">IF(OR(B1601=-1,I1601=0, P1601&lt;&gt;2), "albhed_dummy", _xlfn.CONCAT("albhed ", RIGHT("  " &amp; K1601,2),", ", RIGHT("  " &amp; L1601,2), ", " ,"""",H1601,""", ", """",N1601,""", ","""",O1601,""""," ; ", A1601))</f>
        <v>albhed 17,  4, "도", "조", "더" ; 접</v>
      </c>
    </row>
    <row r="1602" customFormat="false" ht="17.9" hidden="false" customHeight="true" outlineLevel="0" collapsed="false">
      <c r="A1602" s="16" t="s">
        <v>2454</v>
      </c>
      <c r="B1602" s="16" t="n">
        <f aca="false">IF(_xlfn.UNICODE(A1602)&lt;44032,-1,_xlfn.UNICODE(A1602)-44032)</f>
        <v>7187</v>
      </c>
      <c r="C1602" s="16" t="n">
        <f aca="false">IF(B1602=-1,-1,INT((B1602/28)/21))</f>
        <v>12</v>
      </c>
      <c r="D1602" s="16" t="n">
        <f aca="false">IF(B1602=-1, -1, MOD(INT(B1602/28),21))</f>
        <v>4</v>
      </c>
      <c r="E1602" s="16" t="n">
        <f aca="false">IF(B1602=-1, -1, VLOOKUP(MOD(B1602,28), $T$24:$U$52,2))</f>
        <v>19</v>
      </c>
      <c r="F1602" s="16" t="n">
        <f aca="false">IF($B1602=-1, -1, VLOOKUP(C1602,$T$1:$V$20, 2))</f>
        <v>3</v>
      </c>
      <c r="G1602" s="16" t="n">
        <f aca="false">IF($B1602=-1, -1, VLOOKUP(D1602,$Y$1:$Z$22,2))</f>
        <v>8</v>
      </c>
      <c r="H1602" s="16" t="str">
        <f aca="false">_xlfn.UNICHAR(((F1602*21)+G1602)*28+44032)</f>
        <v>도</v>
      </c>
      <c r="I1602" s="16" t="n">
        <f aca="false">IF(B1602=-1, 1, COUNTIF($A$2:$A$3000, H1602))</f>
        <v>1</v>
      </c>
      <c r="J1602" s="10" t="str">
        <f aca="false">_xlfn.CONCAT(A1602, ",",H1602,",",I1602)</f>
        <v>젓,도,1</v>
      </c>
      <c r="K1602" s="16" t="n">
        <f aca="false">IF(B1602=-1,-1,VLOOKUP(C1602,$T$1:$V$20,3))</f>
        <v>17</v>
      </c>
      <c r="L1602" s="16" t="n">
        <f aca="false">IF(B1602=-1,-1,VLOOKUP(D1602,$Y$1:$AA$22,3))</f>
        <v>4</v>
      </c>
      <c r="N1602" s="10" t="str">
        <f aca="false">_xlfn.UNICHAR(((C1602*21)+G1602)*28+44032)</f>
        <v>조</v>
      </c>
      <c r="O1602" s="10" t="str">
        <f aca="false">_xlfn.UNICHAR(((F1602*21)+D1602)*28+44032)</f>
        <v>더</v>
      </c>
      <c r="P1602" s="12" t="n">
        <f aca="false">COUNTIF($A$2:$A$3000, N1602) + COUNTIF($A$2:$A$3000, O1602)</f>
        <v>2</v>
      </c>
      <c r="Q1602" s="16" t="str">
        <f aca="false">IF(OR(B1602=-1,I1602=0, P1602&lt;&gt;2), "albhed_dummy", _xlfn.CONCAT("albhed ", RIGHT("  " &amp; K1602,2),", ", RIGHT("  " &amp; L1602,2), ", " ,"""",H1602,""", ", """",N1602,""", ","""",O1602,""""," ; ", A1602))</f>
        <v>albhed 17,  4, "도", "조", "더" ; 젓</v>
      </c>
    </row>
    <row r="1603" customFormat="false" ht="17.9" hidden="false" customHeight="true" outlineLevel="0" collapsed="false">
      <c r="A1603" s="16" t="s">
        <v>2455</v>
      </c>
      <c r="B1603" s="16" t="n">
        <f aca="false">IF(_xlfn.UNICODE(A1603)&lt;44032,-1,_xlfn.UNICODE(A1603)-44032)</f>
        <v>7189</v>
      </c>
      <c r="C1603" s="16" t="n">
        <f aca="false">IF(B1603=-1,-1,INT((B1603/28)/21))</f>
        <v>12</v>
      </c>
      <c r="D1603" s="16" t="n">
        <f aca="false">IF(B1603=-1, -1, MOD(INT(B1603/28),21))</f>
        <v>4</v>
      </c>
      <c r="E1603" s="16" t="n">
        <f aca="false">IF(B1603=-1, -1, VLOOKUP(MOD(B1603,28), $T$24:$U$52,2))</f>
        <v>21</v>
      </c>
      <c r="F1603" s="16" t="n">
        <f aca="false">IF($B1603=-1, -1, VLOOKUP(C1603,$T$1:$V$20, 2))</f>
        <v>3</v>
      </c>
      <c r="G1603" s="16" t="n">
        <f aca="false">IF($B1603=-1, -1, VLOOKUP(D1603,$Y$1:$Z$22,2))</f>
        <v>8</v>
      </c>
      <c r="H1603" s="16" t="str">
        <f aca="false">_xlfn.UNICHAR(((F1603*21)+G1603)*28+44032)</f>
        <v>도</v>
      </c>
      <c r="I1603" s="16" t="n">
        <f aca="false">IF(B1603=-1, 1, COUNTIF($A$2:$A$3000, H1603))</f>
        <v>1</v>
      </c>
      <c r="J1603" s="10" t="str">
        <f aca="false">_xlfn.CONCAT(A1603, ",",H1603,",",I1603)</f>
        <v>정,도,1</v>
      </c>
      <c r="K1603" s="16" t="n">
        <f aca="false">IF(B1603=-1,-1,VLOOKUP(C1603,$T$1:$V$20,3))</f>
        <v>17</v>
      </c>
      <c r="L1603" s="16" t="n">
        <f aca="false">IF(B1603=-1,-1,VLOOKUP(D1603,$Y$1:$AA$22,3))</f>
        <v>4</v>
      </c>
      <c r="N1603" s="10" t="str">
        <f aca="false">_xlfn.UNICHAR(((C1603*21)+G1603)*28+44032)</f>
        <v>조</v>
      </c>
      <c r="O1603" s="10" t="str">
        <f aca="false">_xlfn.UNICHAR(((F1603*21)+D1603)*28+44032)</f>
        <v>더</v>
      </c>
      <c r="P1603" s="12" t="n">
        <f aca="false">COUNTIF($A$2:$A$3000, N1603) + COUNTIF($A$2:$A$3000, O1603)</f>
        <v>2</v>
      </c>
      <c r="Q1603" s="16" t="str">
        <f aca="false">IF(OR(B1603=-1,I1603=0, P1603&lt;&gt;2), "albhed_dummy", _xlfn.CONCAT("albhed ", RIGHT("  " &amp; K1603,2),", ", RIGHT("  " &amp; L1603,2), ", " ,"""",H1603,""", ", """",N1603,""", ","""",O1603,""""," ; ", A1603))</f>
        <v>albhed 17,  4, "도", "조", "더" ; 정</v>
      </c>
    </row>
    <row r="1604" customFormat="false" ht="17.9" hidden="false" customHeight="true" outlineLevel="0" collapsed="false">
      <c r="A1604" s="16" t="s">
        <v>2456</v>
      </c>
      <c r="B1604" s="16" t="n">
        <f aca="false">IF(_xlfn.UNICODE(A1604)&lt;44032,-1,_xlfn.UNICODE(A1604)-44032)</f>
        <v>7190</v>
      </c>
      <c r="C1604" s="16" t="n">
        <f aca="false">IF(B1604=-1,-1,INT((B1604/28)/21))</f>
        <v>12</v>
      </c>
      <c r="D1604" s="16" t="n">
        <f aca="false">IF(B1604=-1, -1, MOD(INT(B1604/28),21))</f>
        <v>4</v>
      </c>
      <c r="E1604" s="16" t="n">
        <f aca="false">IF(B1604=-1, -1, VLOOKUP(MOD(B1604,28), $T$24:$U$52,2))</f>
        <v>19</v>
      </c>
      <c r="F1604" s="16" t="n">
        <f aca="false">IF($B1604=-1, -1, VLOOKUP(C1604,$T$1:$V$20, 2))</f>
        <v>3</v>
      </c>
      <c r="G1604" s="16" t="n">
        <f aca="false">IF($B1604=-1, -1, VLOOKUP(D1604,$Y$1:$Z$22,2))</f>
        <v>8</v>
      </c>
      <c r="H1604" s="16" t="str">
        <f aca="false">_xlfn.UNICHAR(((F1604*21)+G1604)*28+44032)</f>
        <v>도</v>
      </c>
      <c r="I1604" s="16" t="n">
        <f aca="false">IF(B1604=-1, 1, COUNTIF($A$2:$A$3000, H1604))</f>
        <v>1</v>
      </c>
      <c r="J1604" s="10" t="str">
        <f aca="false">_xlfn.CONCAT(A1604, ",",H1604,",",I1604)</f>
        <v>젖,도,1</v>
      </c>
      <c r="K1604" s="16" t="n">
        <f aca="false">IF(B1604=-1,-1,VLOOKUP(C1604,$T$1:$V$20,3))</f>
        <v>17</v>
      </c>
      <c r="L1604" s="16" t="n">
        <f aca="false">IF(B1604=-1,-1,VLOOKUP(D1604,$Y$1:$AA$22,3))</f>
        <v>4</v>
      </c>
      <c r="N1604" s="10" t="str">
        <f aca="false">_xlfn.UNICHAR(((C1604*21)+G1604)*28+44032)</f>
        <v>조</v>
      </c>
      <c r="O1604" s="10" t="str">
        <f aca="false">_xlfn.UNICHAR(((F1604*21)+D1604)*28+44032)</f>
        <v>더</v>
      </c>
      <c r="P1604" s="12" t="n">
        <f aca="false">COUNTIF($A$2:$A$3000, N1604) + COUNTIF($A$2:$A$3000, O1604)</f>
        <v>2</v>
      </c>
      <c r="Q1604" s="16" t="str">
        <f aca="false">IF(OR(B1604=-1,I1604=0, P1604&lt;&gt;2), "albhed_dummy", _xlfn.CONCAT("albhed ", RIGHT("  " &amp; K1604,2),", ", RIGHT("  " &amp; L1604,2), ", " ,"""",H1604,""", ", """",N1604,""", ","""",O1604,""""," ; ", A1604))</f>
        <v>albhed 17,  4, "도", "조", "더" ; 젖</v>
      </c>
    </row>
    <row r="1605" customFormat="false" ht="17.9" hidden="false" customHeight="true" outlineLevel="0" collapsed="false">
      <c r="A1605" s="16" t="s">
        <v>2457</v>
      </c>
      <c r="B1605" s="16" t="n">
        <f aca="false">IF(_xlfn.UNICODE(A1605)&lt;44032,-1,_xlfn.UNICODE(A1605)-44032)</f>
        <v>7196</v>
      </c>
      <c r="C1605" s="16" t="n">
        <f aca="false">IF(B1605=-1,-1,INT((B1605/28)/21))</f>
        <v>12</v>
      </c>
      <c r="D1605" s="16" t="n">
        <f aca="false">IF(B1605=-1, -1, MOD(INT(B1605/28),21))</f>
        <v>5</v>
      </c>
      <c r="E1605" s="16" t="n">
        <f aca="false">IF(B1605=-1, -1, VLOOKUP(MOD(B1605,28), $T$24:$U$52,2))</f>
        <v>0</v>
      </c>
      <c r="F1605" s="16" t="n">
        <f aca="false">IF($B1605=-1, -1, VLOOKUP(C1605,$T$1:$V$20, 2))</f>
        <v>3</v>
      </c>
      <c r="G1605" s="16" t="n">
        <f aca="false">IF($B1605=-1, -1, VLOOKUP(D1605,$Y$1:$Z$22,2))</f>
        <v>18</v>
      </c>
      <c r="H1605" s="16" t="str">
        <f aca="false">_xlfn.UNICHAR(((F1605*21)+G1605)*28+44032)</f>
        <v>드</v>
      </c>
      <c r="I1605" s="16" t="n">
        <f aca="false">IF(B1605=-1, 1, COUNTIF($A$2:$A$3000, H1605))</f>
        <v>1</v>
      </c>
      <c r="J1605" s="10" t="str">
        <f aca="false">_xlfn.CONCAT(A1605, ",",H1605,",",I1605)</f>
        <v>제,드,1</v>
      </c>
      <c r="K1605" s="16" t="n">
        <f aca="false">IF(B1605=-1,-1,VLOOKUP(C1605,$T$1:$V$20,3))</f>
        <v>17</v>
      </c>
      <c r="L1605" s="16" t="n">
        <f aca="false">IF(B1605=-1,-1,VLOOKUP(D1605,$Y$1:$AA$22,3))</f>
        <v>10</v>
      </c>
      <c r="N1605" s="10" t="str">
        <f aca="false">_xlfn.UNICHAR(((C1605*21)+G1605)*28+44032)</f>
        <v>즈</v>
      </c>
      <c r="O1605" s="10" t="str">
        <f aca="false">_xlfn.UNICHAR(((F1605*21)+D1605)*28+44032)</f>
        <v>데</v>
      </c>
      <c r="P1605" s="12" t="n">
        <f aca="false">COUNTIF($A$2:$A$3000, N1605) + COUNTIF($A$2:$A$3000, O1605)</f>
        <v>2</v>
      </c>
      <c r="Q1605" s="16" t="str">
        <f aca="false">IF(OR(B1605=-1,I1605=0, P1605&lt;&gt;2), "albhed_dummy", _xlfn.CONCAT("albhed ", RIGHT("  " &amp; K1605,2),", ", RIGHT("  " &amp; L1605,2), ", " ,"""",H1605,""", ", """",N1605,""", ","""",O1605,""""," ; ", A1605))</f>
        <v>albhed 17, 10, "드", "즈", "데" ; 제</v>
      </c>
    </row>
    <row r="1606" customFormat="false" ht="17.9" hidden="false" customHeight="true" outlineLevel="0" collapsed="false">
      <c r="A1606" s="16" t="s">
        <v>2458</v>
      </c>
      <c r="B1606" s="16" t="n">
        <f aca="false">IF(_xlfn.UNICODE(A1606)&lt;44032,-1,_xlfn.UNICODE(A1606)-44032)</f>
        <v>7197</v>
      </c>
      <c r="C1606" s="16" t="n">
        <f aca="false">IF(B1606=-1,-1,INT((B1606/28)/21))</f>
        <v>12</v>
      </c>
      <c r="D1606" s="16" t="n">
        <f aca="false">IF(B1606=-1, -1, MOD(INT(B1606/28),21))</f>
        <v>5</v>
      </c>
      <c r="E1606" s="16" t="n">
        <f aca="false">IF(B1606=-1, -1, VLOOKUP(MOD(B1606,28), $T$24:$U$52,2))</f>
        <v>1</v>
      </c>
      <c r="F1606" s="16" t="n">
        <f aca="false">IF($B1606=-1, -1, VLOOKUP(C1606,$T$1:$V$20, 2))</f>
        <v>3</v>
      </c>
      <c r="G1606" s="16" t="n">
        <f aca="false">IF($B1606=-1, -1, VLOOKUP(D1606,$Y$1:$Z$22,2))</f>
        <v>18</v>
      </c>
      <c r="H1606" s="16" t="str">
        <f aca="false">_xlfn.UNICHAR(((F1606*21)+G1606)*28+44032)</f>
        <v>드</v>
      </c>
      <c r="I1606" s="16" t="n">
        <f aca="false">IF(B1606=-1, 1, COUNTIF($A$2:$A$3000, H1606))</f>
        <v>1</v>
      </c>
      <c r="J1606" s="10" t="str">
        <f aca="false">_xlfn.CONCAT(A1606, ",",H1606,",",I1606)</f>
        <v>젝,드,1</v>
      </c>
      <c r="K1606" s="16" t="n">
        <f aca="false">IF(B1606=-1,-1,VLOOKUP(C1606,$T$1:$V$20,3))</f>
        <v>17</v>
      </c>
      <c r="L1606" s="16" t="n">
        <f aca="false">IF(B1606=-1,-1,VLOOKUP(D1606,$Y$1:$AA$22,3))</f>
        <v>10</v>
      </c>
      <c r="N1606" s="10" t="str">
        <f aca="false">_xlfn.UNICHAR(((C1606*21)+G1606)*28+44032)</f>
        <v>즈</v>
      </c>
      <c r="O1606" s="10" t="str">
        <f aca="false">_xlfn.UNICHAR(((F1606*21)+D1606)*28+44032)</f>
        <v>데</v>
      </c>
      <c r="P1606" s="12" t="n">
        <f aca="false">COUNTIF($A$2:$A$3000, N1606) + COUNTIF($A$2:$A$3000, O1606)</f>
        <v>2</v>
      </c>
      <c r="Q1606" s="16" t="str">
        <f aca="false">IF(OR(B1606=-1,I1606=0, P1606&lt;&gt;2), "albhed_dummy", _xlfn.CONCAT("albhed ", RIGHT("  " &amp; K1606,2),", ", RIGHT("  " &amp; L1606,2), ", " ,"""",H1606,""", ", """",N1606,""", ","""",O1606,""""," ; ", A1606))</f>
        <v>albhed 17, 10, "드", "즈", "데" ; 젝</v>
      </c>
    </row>
    <row r="1607" customFormat="false" ht="17.9" hidden="false" customHeight="true" outlineLevel="0" collapsed="false">
      <c r="A1607" s="16" t="s">
        <v>2459</v>
      </c>
      <c r="B1607" s="16" t="n">
        <f aca="false">IF(_xlfn.UNICODE(A1607)&lt;44032,-1,_xlfn.UNICODE(A1607)-44032)</f>
        <v>7200</v>
      </c>
      <c r="C1607" s="16" t="n">
        <f aca="false">IF(B1607=-1,-1,INT((B1607/28)/21))</f>
        <v>12</v>
      </c>
      <c r="D1607" s="16" t="n">
        <f aca="false">IF(B1607=-1, -1, MOD(INT(B1607/28),21))</f>
        <v>5</v>
      </c>
      <c r="E1607" s="16" t="n">
        <f aca="false">IF(B1607=-1, -1, VLOOKUP(MOD(B1607,28), $T$24:$U$52,2))</f>
        <v>4</v>
      </c>
      <c r="F1607" s="16" t="n">
        <f aca="false">IF($B1607=-1, -1, VLOOKUP(C1607,$T$1:$V$20, 2))</f>
        <v>3</v>
      </c>
      <c r="G1607" s="16" t="n">
        <f aca="false">IF($B1607=-1, -1, VLOOKUP(D1607,$Y$1:$Z$22,2))</f>
        <v>18</v>
      </c>
      <c r="H1607" s="16" t="str">
        <f aca="false">_xlfn.UNICHAR(((F1607*21)+G1607)*28+44032)</f>
        <v>드</v>
      </c>
      <c r="I1607" s="16" t="n">
        <f aca="false">IF(B1607=-1, 1, COUNTIF($A$2:$A$3000, H1607))</f>
        <v>1</v>
      </c>
      <c r="J1607" s="10" t="str">
        <f aca="false">_xlfn.CONCAT(A1607, ",",H1607,",",I1607)</f>
        <v>젠,드,1</v>
      </c>
      <c r="K1607" s="16" t="n">
        <f aca="false">IF(B1607=-1,-1,VLOOKUP(C1607,$T$1:$V$20,3))</f>
        <v>17</v>
      </c>
      <c r="L1607" s="16" t="n">
        <f aca="false">IF(B1607=-1,-1,VLOOKUP(D1607,$Y$1:$AA$22,3))</f>
        <v>10</v>
      </c>
      <c r="N1607" s="10" t="str">
        <f aca="false">_xlfn.UNICHAR(((C1607*21)+G1607)*28+44032)</f>
        <v>즈</v>
      </c>
      <c r="O1607" s="10" t="str">
        <f aca="false">_xlfn.UNICHAR(((F1607*21)+D1607)*28+44032)</f>
        <v>데</v>
      </c>
      <c r="P1607" s="12" t="n">
        <f aca="false">COUNTIF($A$2:$A$3000, N1607) + COUNTIF($A$2:$A$3000, O1607)</f>
        <v>2</v>
      </c>
      <c r="Q1607" s="16" t="str">
        <f aca="false">IF(OR(B1607=-1,I1607=0, P1607&lt;&gt;2), "albhed_dummy", _xlfn.CONCAT("albhed ", RIGHT("  " &amp; K1607,2),", ", RIGHT("  " &amp; L1607,2), ", " ,"""",H1607,""", ", """",N1607,""", ","""",O1607,""""," ; ", A1607))</f>
        <v>albhed 17, 10, "드", "즈", "데" ; 젠</v>
      </c>
    </row>
    <row r="1608" customFormat="false" ht="17.9" hidden="false" customHeight="true" outlineLevel="0" collapsed="false">
      <c r="A1608" s="16" t="s">
        <v>2460</v>
      </c>
      <c r="B1608" s="16" t="n">
        <f aca="false">IF(_xlfn.UNICODE(A1608)&lt;44032,-1,_xlfn.UNICODE(A1608)-44032)</f>
        <v>7204</v>
      </c>
      <c r="C1608" s="16" t="n">
        <f aca="false">IF(B1608=-1,-1,INT((B1608/28)/21))</f>
        <v>12</v>
      </c>
      <c r="D1608" s="16" t="n">
        <f aca="false">IF(B1608=-1, -1, MOD(INT(B1608/28),21))</f>
        <v>5</v>
      </c>
      <c r="E1608" s="16" t="n">
        <f aca="false">IF(B1608=-1, -1, VLOOKUP(MOD(B1608,28), $T$24:$U$52,2))</f>
        <v>8</v>
      </c>
      <c r="F1608" s="16" t="n">
        <f aca="false">IF($B1608=-1, -1, VLOOKUP(C1608,$T$1:$V$20, 2))</f>
        <v>3</v>
      </c>
      <c r="G1608" s="16" t="n">
        <f aca="false">IF($B1608=-1, -1, VLOOKUP(D1608,$Y$1:$Z$22,2))</f>
        <v>18</v>
      </c>
      <c r="H1608" s="16" t="str">
        <f aca="false">_xlfn.UNICHAR(((F1608*21)+G1608)*28+44032)</f>
        <v>드</v>
      </c>
      <c r="I1608" s="16" t="n">
        <f aca="false">IF(B1608=-1, 1, COUNTIF($A$2:$A$3000, H1608))</f>
        <v>1</v>
      </c>
      <c r="J1608" s="10" t="str">
        <f aca="false">_xlfn.CONCAT(A1608, ",",H1608,",",I1608)</f>
        <v>젤,드,1</v>
      </c>
      <c r="K1608" s="16" t="n">
        <f aca="false">IF(B1608=-1,-1,VLOOKUP(C1608,$T$1:$V$20,3))</f>
        <v>17</v>
      </c>
      <c r="L1608" s="16" t="n">
        <f aca="false">IF(B1608=-1,-1,VLOOKUP(D1608,$Y$1:$AA$22,3))</f>
        <v>10</v>
      </c>
      <c r="N1608" s="10" t="str">
        <f aca="false">_xlfn.UNICHAR(((C1608*21)+G1608)*28+44032)</f>
        <v>즈</v>
      </c>
      <c r="O1608" s="10" t="str">
        <f aca="false">_xlfn.UNICHAR(((F1608*21)+D1608)*28+44032)</f>
        <v>데</v>
      </c>
      <c r="P1608" s="12" t="n">
        <f aca="false">COUNTIF($A$2:$A$3000, N1608) + COUNTIF($A$2:$A$3000, O1608)</f>
        <v>2</v>
      </c>
      <c r="Q1608" s="16" t="str">
        <f aca="false">IF(OR(B1608=-1,I1608=0, P1608&lt;&gt;2), "albhed_dummy", _xlfn.CONCAT("albhed ", RIGHT("  " &amp; K1608,2),", ", RIGHT("  " &amp; L1608,2), ", " ,"""",H1608,""", ", """",N1608,""", ","""",O1608,""""," ; ", A1608))</f>
        <v>albhed 17, 10, "드", "즈", "데" ; 젤</v>
      </c>
    </row>
    <row r="1609" customFormat="false" ht="17.9" hidden="false" customHeight="true" outlineLevel="0" collapsed="false">
      <c r="A1609" s="16" t="s">
        <v>2461</v>
      </c>
      <c r="B1609" s="16" t="n">
        <f aca="false">IF(_xlfn.UNICODE(A1609)&lt;44032,-1,_xlfn.UNICODE(A1609)-44032)</f>
        <v>7212</v>
      </c>
      <c r="C1609" s="16" t="n">
        <f aca="false">IF(B1609=-1,-1,INT((B1609/28)/21))</f>
        <v>12</v>
      </c>
      <c r="D1609" s="16" t="n">
        <f aca="false">IF(B1609=-1, -1, MOD(INT(B1609/28),21))</f>
        <v>5</v>
      </c>
      <c r="E1609" s="16" t="n">
        <f aca="false">IF(B1609=-1, -1, VLOOKUP(MOD(B1609,28), $T$24:$U$52,2))</f>
        <v>16</v>
      </c>
      <c r="F1609" s="16" t="n">
        <f aca="false">IF($B1609=-1, -1, VLOOKUP(C1609,$T$1:$V$20, 2))</f>
        <v>3</v>
      </c>
      <c r="G1609" s="16" t="n">
        <f aca="false">IF($B1609=-1, -1, VLOOKUP(D1609,$Y$1:$Z$22,2))</f>
        <v>18</v>
      </c>
      <c r="H1609" s="16" t="str">
        <f aca="false">_xlfn.UNICHAR(((F1609*21)+G1609)*28+44032)</f>
        <v>드</v>
      </c>
      <c r="I1609" s="16" t="n">
        <f aca="false">IF(B1609=-1, 1, COUNTIF($A$2:$A$3000, H1609))</f>
        <v>1</v>
      </c>
      <c r="J1609" s="10" t="str">
        <f aca="false">_xlfn.CONCAT(A1609, ",",H1609,",",I1609)</f>
        <v>젬,드,1</v>
      </c>
      <c r="K1609" s="16" t="n">
        <f aca="false">IF(B1609=-1,-1,VLOOKUP(C1609,$T$1:$V$20,3))</f>
        <v>17</v>
      </c>
      <c r="L1609" s="16" t="n">
        <f aca="false">IF(B1609=-1,-1,VLOOKUP(D1609,$Y$1:$AA$22,3))</f>
        <v>10</v>
      </c>
      <c r="N1609" s="10" t="str">
        <f aca="false">_xlfn.UNICHAR(((C1609*21)+G1609)*28+44032)</f>
        <v>즈</v>
      </c>
      <c r="O1609" s="10" t="str">
        <f aca="false">_xlfn.UNICHAR(((F1609*21)+D1609)*28+44032)</f>
        <v>데</v>
      </c>
      <c r="P1609" s="12" t="n">
        <f aca="false">COUNTIF($A$2:$A$3000, N1609) + COUNTIF($A$2:$A$3000, O1609)</f>
        <v>2</v>
      </c>
      <c r="Q1609" s="16" t="str">
        <f aca="false">IF(OR(B1609=-1,I1609=0, P1609&lt;&gt;2), "albhed_dummy", _xlfn.CONCAT("albhed ", RIGHT("  " &amp; K1609,2),", ", RIGHT("  " &amp; L1609,2), ", " ,"""",H1609,""", ", """",N1609,""", ","""",O1609,""""," ; ", A1609))</f>
        <v>albhed 17, 10, "드", "즈", "데" ; 젬</v>
      </c>
    </row>
    <row r="1610" customFormat="false" ht="17.9" hidden="false" customHeight="true" outlineLevel="0" collapsed="false">
      <c r="A1610" s="16" t="s">
        <v>2462</v>
      </c>
      <c r="B1610" s="16" t="n">
        <f aca="false">IF(_xlfn.UNICODE(A1610)&lt;44032,-1,_xlfn.UNICODE(A1610)-44032)</f>
        <v>7213</v>
      </c>
      <c r="C1610" s="16" t="n">
        <f aca="false">IF(B1610=-1,-1,INT((B1610/28)/21))</f>
        <v>12</v>
      </c>
      <c r="D1610" s="16" t="n">
        <f aca="false">IF(B1610=-1, -1, MOD(INT(B1610/28),21))</f>
        <v>5</v>
      </c>
      <c r="E1610" s="16" t="n">
        <f aca="false">IF(B1610=-1, -1, VLOOKUP(MOD(B1610,28), $T$24:$U$52,2))</f>
        <v>17</v>
      </c>
      <c r="F1610" s="16" t="n">
        <f aca="false">IF($B1610=-1, -1, VLOOKUP(C1610,$T$1:$V$20, 2))</f>
        <v>3</v>
      </c>
      <c r="G1610" s="16" t="n">
        <f aca="false">IF($B1610=-1, -1, VLOOKUP(D1610,$Y$1:$Z$22,2))</f>
        <v>18</v>
      </c>
      <c r="H1610" s="16" t="str">
        <f aca="false">_xlfn.UNICHAR(((F1610*21)+G1610)*28+44032)</f>
        <v>드</v>
      </c>
      <c r="I1610" s="16" t="n">
        <f aca="false">IF(B1610=-1, 1, COUNTIF($A$2:$A$3000, H1610))</f>
        <v>1</v>
      </c>
      <c r="J1610" s="10" t="str">
        <f aca="false">_xlfn.CONCAT(A1610, ",",H1610,",",I1610)</f>
        <v>젭,드,1</v>
      </c>
      <c r="K1610" s="16" t="n">
        <f aca="false">IF(B1610=-1,-1,VLOOKUP(C1610,$T$1:$V$20,3))</f>
        <v>17</v>
      </c>
      <c r="L1610" s="16" t="n">
        <f aca="false">IF(B1610=-1,-1,VLOOKUP(D1610,$Y$1:$AA$22,3))</f>
        <v>10</v>
      </c>
      <c r="N1610" s="10" t="str">
        <f aca="false">_xlfn.UNICHAR(((C1610*21)+G1610)*28+44032)</f>
        <v>즈</v>
      </c>
      <c r="O1610" s="10" t="str">
        <f aca="false">_xlfn.UNICHAR(((F1610*21)+D1610)*28+44032)</f>
        <v>데</v>
      </c>
      <c r="P1610" s="12" t="n">
        <f aca="false">COUNTIF($A$2:$A$3000, N1610) + COUNTIF($A$2:$A$3000, O1610)</f>
        <v>2</v>
      </c>
      <c r="Q1610" s="16" t="str">
        <f aca="false">IF(OR(B1610=-1,I1610=0, P1610&lt;&gt;2), "albhed_dummy", _xlfn.CONCAT("albhed ", RIGHT("  " &amp; K1610,2),", ", RIGHT("  " &amp; L1610,2), ", " ,"""",H1610,""", ", """",N1610,""", ","""",O1610,""""," ; ", A1610))</f>
        <v>albhed 17, 10, "드", "즈", "데" ; 젭</v>
      </c>
    </row>
    <row r="1611" customFormat="false" ht="17.9" hidden="false" customHeight="true" outlineLevel="0" collapsed="false">
      <c r="A1611" s="16" t="s">
        <v>2463</v>
      </c>
      <c r="B1611" s="16" t="n">
        <f aca="false">IF(_xlfn.UNICODE(A1611)&lt;44032,-1,_xlfn.UNICODE(A1611)-44032)</f>
        <v>7215</v>
      </c>
      <c r="C1611" s="16" t="n">
        <f aca="false">IF(B1611=-1,-1,INT((B1611/28)/21))</f>
        <v>12</v>
      </c>
      <c r="D1611" s="16" t="n">
        <f aca="false">IF(B1611=-1, -1, MOD(INT(B1611/28),21))</f>
        <v>5</v>
      </c>
      <c r="E1611" s="16" t="n">
        <f aca="false">IF(B1611=-1, -1, VLOOKUP(MOD(B1611,28), $T$24:$U$52,2))</f>
        <v>19</v>
      </c>
      <c r="F1611" s="16" t="n">
        <f aca="false">IF($B1611=-1, -1, VLOOKUP(C1611,$T$1:$V$20, 2))</f>
        <v>3</v>
      </c>
      <c r="G1611" s="16" t="n">
        <f aca="false">IF($B1611=-1, -1, VLOOKUP(D1611,$Y$1:$Z$22,2))</f>
        <v>18</v>
      </c>
      <c r="H1611" s="16" t="str">
        <f aca="false">_xlfn.UNICHAR(((F1611*21)+G1611)*28+44032)</f>
        <v>드</v>
      </c>
      <c r="I1611" s="16" t="n">
        <f aca="false">IF(B1611=-1, 1, COUNTIF($A$2:$A$3000, H1611))</f>
        <v>1</v>
      </c>
      <c r="J1611" s="10" t="str">
        <f aca="false">_xlfn.CONCAT(A1611, ",",H1611,",",I1611)</f>
        <v>젯,드,1</v>
      </c>
      <c r="K1611" s="16" t="n">
        <f aca="false">IF(B1611=-1,-1,VLOOKUP(C1611,$T$1:$V$20,3))</f>
        <v>17</v>
      </c>
      <c r="L1611" s="16" t="n">
        <f aca="false">IF(B1611=-1,-1,VLOOKUP(D1611,$Y$1:$AA$22,3))</f>
        <v>10</v>
      </c>
      <c r="N1611" s="10" t="str">
        <f aca="false">_xlfn.UNICHAR(((C1611*21)+G1611)*28+44032)</f>
        <v>즈</v>
      </c>
      <c r="O1611" s="10" t="str">
        <f aca="false">_xlfn.UNICHAR(((F1611*21)+D1611)*28+44032)</f>
        <v>데</v>
      </c>
      <c r="P1611" s="12" t="n">
        <f aca="false">COUNTIF($A$2:$A$3000, N1611) + COUNTIF($A$2:$A$3000, O1611)</f>
        <v>2</v>
      </c>
      <c r="Q1611" s="16" t="str">
        <f aca="false">IF(OR(B1611=-1,I1611=0, P1611&lt;&gt;2), "albhed_dummy", _xlfn.CONCAT("albhed ", RIGHT("  " &amp; K1611,2),", ", RIGHT("  " &amp; L1611,2), ", " ,"""",H1611,""", ", """",N1611,""", ","""",O1611,""""," ; ", A1611))</f>
        <v>albhed 17, 10, "드", "즈", "데" ; 젯</v>
      </c>
    </row>
    <row r="1612" customFormat="false" ht="17.9" hidden="false" customHeight="true" outlineLevel="0" collapsed="false">
      <c r="A1612" s="16" t="s">
        <v>2464</v>
      </c>
      <c r="B1612" s="16" t="n">
        <f aca="false">IF(_xlfn.UNICODE(A1612)&lt;44032,-1,_xlfn.UNICODE(A1612)-44032)</f>
        <v>7217</v>
      </c>
      <c r="C1612" s="16" t="n">
        <f aca="false">IF(B1612=-1,-1,INT((B1612/28)/21))</f>
        <v>12</v>
      </c>
      <c r="D1612" s="16" t="n">
        <f aca="false">IF(B1612=-1, -1, MOD(INT(B1612/28),21))</f>
        <v>5</v>
      </c>
      <c r="E1612" s="16" t="n">
        <f aca="false">IF(B1612=-1, -1, VLOOKUP(MOD(B1612,28), $T$24:$U$52,2))</f>
        <v>21</v>
      </c>
      <c r="F1612" s="16" t="n">
        <f aca="false">IF($B1612=-1, -1, VLOOKUP(C1612,$T$1:$V$20, 2))</f>
        <v>3</v>
      </c>
      <c r="G1612" s="16" t="n">
        <f aca="false">IF($B1612=-1, -1, VLOOKUP(D1612,$Y$1:$Z$22,2))</f>
        <v>18</v>
      </c>
      <c r="H1612" s="16" t="str">
        <f aca="false">_xlfn.UNICHAR(((F1612*21)+G1612)*28+44032)</f>
        <v>드</v>
      </c>
      <c r="I1612" s="16" t="n">
        <f aca="false">IF(B1612=-1, 1, COUNTIF($A$2:$A$3000, H1612))</f>
        <v>1</v>
      </c>
      <c r="J1612" s="10" t="str">
        <f aca="false">_xlfn.CONCAT(A1612, ",",H1612,",",I1612)</f>
        <v>젱,드,1</v>
      </c>
      <c r="K1612" s="16" t="n">
        <f aca="false">IF(B1612=-1,-1,VLOOKUP(C1612,$T$1:$V$20,3))</f>
        <v>17</v>
      </c>
      <c r="L1612" s="16" t="n">
        <f aca="false">IF(B1612=-1,-1,VLOOKUP(D1612,$Y$1:$AA$22,3))</f>
        <v>10</v>
      </c>
      <c r="N1612" s="10" t="str">
        <f aca="false">_xlfn.UNICHAR(((C1612*21)+G1612)*28+44032)</f>
        <v>즈</v>
      </c>
      <c r="O1612" s="10" t="str">
        <f aca="false">_xlfn.UNICHAR(((F1612*21)+D1612)*28+44032)</f>
        <v>데</v>
      </c>
      <c r="P1612" s="12" t="n">
        <f aca="false">COUNTIF($A$2:$A$3000, N1612) + COUNTIF($A$2:$A$3000, O1612)</f>
        <v>2</v>
      </c>
      <c r="Q1612" s="16" t="str">
        <f aca="false">IF(OR(B1612=-1,I1612=0, P1612&lt;&gt;2), "albhed_dummy", _xlfn.CONCAT("albhed ", RIGHT("  " &amp; K1612,2),", ", RIGHT("  " &amp; L1612,2), ", " ,"""",H1612,""", ", """",N1612,""", ","""",O1612,""""," ; ", A1612))</f>
        <v>albhed 17, 10, "드", "즈", "데" ; 젱</v>
      </c>
    </row>
    <row r="1613" customFormat="false" ht="17.9" hidden="false" customHeight="true" outlineLevel="0" collapsed="false">
      <c r="A1613" s="16" t="s">
        <v>2465</v>
      </c>
      <c r="B1613" s="16" t="n">
        <f aca="false">IF(_xlfn.UNICODE(A1613)&lt;44032,-1,_xlfn.UNICODE(A1613)-44032)</f>
        <v>7224</v>
      </c>
      <c r="C1613" s="16" t="n">
        <f aca="false">IF(B1613=-1,-1,INT((B1613/28)/21))</f>
        <v>12</v>
      </c>
      <c r="D1613" s="16" t="n">
        <f aca="false">IF(B1613=-1, -1, MOD(INT(B1613/28),21))</f>
        <v>6</v>
      </c>
      <c r="E1613" s="16" t="n">
        <f aca="false">IF(B1613=-1, -1, VLOOKUP(MOD(B1613,28), $T$24:$U$52,2))</f>
        <v>0</v>
      </c>
      <c r="F1613" s="16" t="n">
        <f aca="false">IF($B1613=-1, -1, VLOOKUP(C1613,$T$1:$V$20, 2))</f>
        <v>3</v>
      </c>
      <c r="G1613" s="16" t="n">
        <f aca="false">IF($B1613=-1, -1, VLOOKUP(D1613,$Y$1:$Z$22,2))</f>
        <v>12</v>
      </c>
      <c r="H1613" s="16" t="str">
        <f aca="false">_xlfn.UNICHAR(((F1613*21)+G1613)*28+44032)</f>
        <v>됴</v>
      </c>
      <c r="I1613" s="16" t="n">
        <f aca="false">IF(B1613=-1, 1, COUNTIF($A$2:$A$3000, H1613))</f>
        <v>1</v>
      </c>
      <c r="J1613" s="10" t="str">
        <f aca="false">_xlfn.CONCAT(A1613, ",",H1613,",",I1613)</f>
        <v>져,됴,1</v>
      </c>
      <c r="K1613" s="16" t="n">
        <f aca="false">IF(B1613=-1,-1,VLOOKUP(C1613,$T$1:$V$20,3))</f>
        <v>17</v>
      </c>
      <c r="L1613" s="16" t="n">
        <f aca="false">IF(B1613=-1,-1,VLOOKUP(D1613,$Y$1:$AA$22,3))</f>
        <v>4</v>
      </c>
      <c r="N1613" s="10" t="str">
        <f aca="false">_xlfn.UNICHAR(((C1613*21)+G1613)*28+44032)</f>
        <v>죠</v>
      </c>
      <c r="O1613" s="10" t="str">
        <f aca="false">_xlfn.UNICHAR(((F1613*21)+D1613)*28+44032)</f>
        <v>뎌</v>
      </c>
      <c r="P1613" s="12" t="n">
        <f aca="false">COUNTIF($A$2:$A$3000, N1613) + COUNTIF($A$2:$A$3000, O1613)</f>
        <v>2</v>
      </c>
      <c r="Q1613" s="16" t="str">
        <f aca="false">IF(OR(B1613=-1,I1613=0, P1613&lt;&gt;2), "albhed_dummy", _xlfn.CONCAT("albhed ", RIGHT("  " &amp; K1613,2),", ", RIGHT("  " &amp; L1613,2), ", " ,"""",H1613,""", ", """",N1613,""", ","""",O1613,""""," ; ", A1613))</f>
        <v>albhed 17,  4, "됴", "죠", "뎌" ; 져</v>
      </c>
    </row>
    <row r="1614" customFormat="false" ht="17.9" hidden="false" customHeight="true" outlineLevel="0" collapsed="false">
      <c r="A1614" s="16" t="s">
        <v>2466</v>
      </c>
      <c r="B1614" s="16" t="n">
        <f aca="false">IF(_xlfn.UNICODE(A1614)&lt;44032,-1,_xlfn.UNICODE(A1614)-44032)</f>
        <v>7228</v>
      </c>
      <c r="C1614" s="16" t="n">
        <f aca="false">IF(B1614=-1,-1,INT((B1614/28)/21))</f>
        <v>12</v>
      </c>
      <c r="D1614" s="16" t="n">
        <f aca="false">IF(B1614=-1, -1, MOD(INT(B1614/28),21))</f>
        <v>6</v>
      </c>
      <c r="E1614" s="16" t="n">
        <f aca="false">IF(B1614=-1, -1, VLOOKUP(MOD(B1614,28), $T$24:$U$52,2))</f>
        <v>4</v>
      </c>
      <c r="F1614" s="16" t="n">
        <f aca="false">IF($B1614=-1, -1, VLOOKUP(C1614,$T$1:$V$20, 2))</f>
        <v>3</v>
      </c>
      <c r="G1614" s="16" t="n">
        <f aca="false">IF($B1614=-1, -1, VLOOKUP(D1614,$Y$1:$Z$22,2))</f>
        <v>12</v>
      </c>
      <c r="H1614" s="16" t="str">
        <f aca="false">_xlfn.UNICHAR(((F1614*21)+G1614)*28+44032)</f>
        <v>됴</v>
      </c>
      <c r="I1614" s="16" t="n">
        <f aca="false">IF(B1614=-1, 1, COUNTIF($A$2:$A$3000, H1614))</f>
        <v>1</v>
      </c>
      <c r="J1614" s="10" t="str">
        <f aca="false">_xlfn.CONCAT(A1614, ",",H1614,",",I1614)</f>
        <v>젼,됴,1</v>
      </c>
      <c r="K1614" s="16" t="n">
        <f aca="false">IF(B1614=-1,-1,VLOOKUP(C1614,$T$1:$V$20,3))</f>
        <v>17</v>
      </c>
      <c r="L1614" s="16" t="n">
        <f aca="false">IF(B1614=-1,-1,VLOOKUP(D1614,$Y$1:$AA$22,3))</f>
        <v>4</v>
      </c>
      <c r="N1614" s="10" t="str">
        <f aca="false">_xlfn.UNICHAR(((C1614*21)+G1614)*28+44032)</f>
        <v>죠</v>
      </c>
      <c r="O1614" s="10" t="str">
        <f aca="false">_xlfn.UNICHAR(((F1614*21)+D1614)*28+44032)</f>
        <v>뎌</v>
      </c>
      <c r="P1614" s="12" t="n">
        <f aca="false">COUNTIF($A$2:$A$3000, N1614) + COUNTIF($A$2:$A$3000, O1614)</f>
        <v>2</v>
      </c>
      <c r="Q1614" s="16" t="str">
        <f aca="false">IF(OR(B1614=-1,I1614=0, P1614&lt;&gt;2), "albhed_dummy", _xlfn.CONCAT("albhed ", RIGHT("  " &amp; K1614,2),", ", RIGHT("  " &amp; L1614,2), ", " ,"""",H1614,""", ", """",N1614,""", ","""",O1614,""""," ; ", A1614))</f>
        <v>albhed 17,  4, "됴", "죠", "뎌" ; 젼</v>
      </c>
    </row>
    <row r="1615" customFormat="false" ht="17.9" hidden="false" customHeight="true" outlineLevel="0" collapsed="false">
      <c r="A1615" s="16" t="s">
        <v>2467</v>
      </c>
      <c r="B1615" s="16" t="n">
        <f aca="false">IF(_xlfn.UNICODE(A1615)&lt;44032,-1,_xlfn.UNICODE(A1615)-44032)</f>
        <v>7232</v>
      </c>
      <c r="C1615" s="16" t="n">
        <f aca="false">IF(B1615=-1,-1,INT((B1615/28)/21))</f>
        <v>12</v>
      </c>
      <c r="D1615" s="16" t="n">
        <f aca="false">IF(B1615=-1, -1, MOD(INT(B1615/28),21))</f>
        <v>6</v>
      </c>
      <c r="E1615" s="16" t="n">
        <f aca="false">IF(B1615=-1, -1, VLOOKUP(MOD(B1615,28), $T$24:$U$52,2))</f>
        <v>8</v>
      </c>
      <c r="F1615" s="16" t="n">
        <f aca="false">IF($B1615=-1, -1, VLOOKUP(C1615,$T$1:$V$20, 2))</f>
        <v>3</v>
      </c>
      <c r="G1615" s="16" t="n">
        <f aca="false">IF($B1615=-1, -1, VLOOKUP(D1615,$Y$1:$Z$22,2))</f>
        <v>12</v>
      </c>
      <c r="H1615" s="16" t="str">
        <f aca="false">_xlfn.UNICHAR(((F1615*21)+G1615)*28+44032)</f>
        <v>됴</v>
      </c>
      <c r="I1615" s="16" t="n">
        <f aca="false">IF(B1615=-1, 1, COUNTIF($A$2:$A$3000, H1615))</f>
        <v>1</v>
      </c>
      <c r="J1615" s="10" t="str">
        <f aca="false">_xlfn.CONCAT(A1615, ",",H1615,",",I1615)</f>
        <v>졀,됴,1</v>
      </c>
      <c r="K1615" s="16" t="n">
        <f aca="false">IF(B1615=-1,-1,VLOOKUP(C1615,$T$1:$V$20,3))</f>
        <v>17</v>
      </c>
      <c r="L1615" s="16" t="n">
        <f aca="false">IF(B1615=-1,-1,VLOOKUP(D1615,$Y$1:$AA$22,3))</f>
        <v>4</v>
      </c>
      <c r="N1615" s="10" t="str">
        <f aca="false">_xlfn.UNICHAR(((C1615*21)+G1615)*28+44032)</f>
        <v>죠</v>
      </c>
      <c r="O1615" s="10" t="str">
        <f aca="false">_xlfn.UNICHAR(((F1615*21)+D1615)*28+44032)</f>
        <v>뎌</v>
      </c>
      <c r="P1615" s="12" t="n">
        <f aca="false">COUNTIF($A$2:$A$3000, N1615) + COUNTIF($A$2:$A$3000, O1615)</f>
        <v>2</v>
      </c>
      <c r="Q1615" s="16" t="str">
        <f aca="false">IF(OR(B1615=-1,I1615=0, P1615&lt;&gt;2), "albhed_dummy", _xlfn.CONCAT("albhed ", RIGHT("  " &amp; K1615,2),", ", RIGHT("  " &amp; L1615,2), ", " ,"""",H1615,""", ", """",N1615,""", ","""",O1615,""""," ; ", A1615))</f>
        <v>albhed 17,  4, "됴", "죠", "뎌" ; 졀</v>
      </c>
    </row>
    <row r="1616" customFormat="false" ht="17.9" hidden="false" customHeight="true" outlineLevel="0" collapsed="false">
      <c r="A1616" s="16" t="s">
        <v>2468</v>
      </c>
      <c r="B1616" s="16" t="n">
        <f aca="false">IF(_xlfn.UNICODE(A1616)&lt;44032,-1,_xlfn.UNICODE(A1616)-44032)</f>
        <v>7240</v>
      </c>
      <c r="C1616" s="16" t="n">
        <f aca="false">IF(B1616=-1,-1,INT((B1616/28)/21))</f>
        <v>12</v>
      </c>
      <c r="D1616" s="16" t="n">
        <f aca="false">IF(B1616=-1, -1, MOD(INT(B1616/28),21))</f>
        <v>6</v>
      </c>
      <c r="E1616" s="16" t="n">
        <f aca="false">IF(B1616=-1, -1, VLOOKUP(MOD(B1616,28), $T$24:$U$52,2))</f>
        <v>16</v>
      </c>
      <c r="F1616" s="16" t="n">
        <f aca="false">IF($B1616=-1, -1, VLOOKUP(C1616,$T$1:$V$20, 2))</f>
        <v>3</v>
      </c>
      <c r="G1616" s="16" t="n">
        <f aca="false">IF($B1616=-1, -1, VLOOKUP(D1616,$Y$1:$Z$22,2))</f>
        <v>12</v>
      </c>
      <c r="H1616" s="16" t="str">
        <f aca="false">_xlfn.UNICHAR(((F1616*21)+G1616)*28+44032)</f>
        <v>됴</v>
      </c>
      <c r="I1616" s="16" t="n">
        <f aca="false">IF(B1616=-1, 1, COUNTIF($A$2:$A$3000, H1616))</f>
        <v>1</v>
      </c>
      <c r="J1616" s="10" t="str">
        <f aca="false">_xlfn.CONCAT(A1616, ",",H1616,",",I1616)</f>
        <v>졈,됴,1</v>
      </c>
      <c r="K1616" s="16" t="n">
        <f aca="false">IF(B1616=-1,-1,VLOOKUP(C1616,$T$1:$V$20,3))</f>
        <v>17</v>
      </c>
      <c r="L1616" s="16" t="n">
        <f aca="false">IF(B1616=-1,-1,VLOOKUP(D1616,$Y$1:$AA$22,3))</f>
        <v>4</v>
      </c>
      <c r="N1616" s="10" t="str">
        <f aca="false">_xlfn.UNICHAR(((C1616*21)+G1616)*28+44032)</f>
        <v>죠</v>
      </c>
      <c r="O1616" s="10" t="str">
        <f aca="false">_xlfn.UNICHAR(((F1616*21)+D1616)*28+44032)</f>
        <v>뎌</v>
      </c>
      <c r="P1616" s="12" t="n">
        <f aca="false">COUNTIF($A$2:$A$3000, N1616) + COUNTIF($A$2:$A$3000, O1616)</f>
        <v>2</v>
      </c>
      <c r="Q1616" s="16" t="str">
        <f aca="false">IF(OR(B1616=-1,I1616=0, P1616&lt;&gt;2), "albhed_dummy", _xlfn.CONCAT("albhed ", RIGHT("  " &amp; K1616,2),", ", RIGHT("  " &amp; L1616,2), ", " ,"""",H1616,""", ", """",N1616,""", ","""",O1616,""""," ; ", A1616))</f>
        <v>albhed 17,  4, "됴", "죠", "뎌" ; 졈</v>
      </c>
    </row>
    <row r="1617" customFormat="false" ht="17.9" hidden="false" customHeight="true" outlineLevel="0" collapsed="false">
      <c r="A1617" s="16" t="s">
        <v>2469</v>
      </c>
      <c r="B1617" s="16" t="n">
        <f aca="false">IF(_xlfn.UNICODE(A1617)&lt;44032,-1,_xlfn.UNICODE(A1617)-44032)</f>
        <v>7241</v>
      </c>
      <c r="C1617" s="16" t="n">
        <f aca="false">IF(B1617=-1,-1,INT((B1617/28)/21))</f>
        <v>12</v>
      </c>
      <c r="D1617" s="16" t="n">
        <f aca="false">IF(B1617=-1, -1, MOD(INT(B1617/28),21))</f>
        <v>6</v>
      </c>
      <c r="E1617" s="16" t="n">
        <f aca="false">IF(B1617=-1, -1, VLOOKUP(MOD(B1617,28), $T$24:$U$52,2))</f>
        <v>17</v>
      </c>
      <c r="F1617" s="16" t="n">
        <f aca="false">IF($B1617=-1, -1, VLOOKUP(C1617,$T$1:$V$20, 2))</f>
        <v>3</v>
      </c>
      <c r="G1617" s="16" t="n">
        <f aca="false">IF($B1617=-1, -1, VLOOKUP(D1617,$Y$1:$Z$22,2))</f>
        <v>12</v>
      </c>
      <c r="H1617" s="16" t="str">
        <f aca="false">_xlfn.UNICHAR(((F1617*21)+G1617)*28+44032)</f>
        <v>됴</v>
      </c>
      <c r="I1617" s="16" t="n">
        <f aca="false">IF(B1617=-1, 1, COUNTIF($A$2:$A$3000, H1617))</f>
        <v>1</v>
      </c>
      <c r="J1617" s="10" t="str">
        <f aca="false">_xlfn.CONCAT(A1617, ",",H1617,",",I1617)</f>
        <v>졉,됴,1</v>
      </c>
      <c r="K1617" s="16" t="n">
        <f aca="false">IF(B1617=-1,-1,VLOOKUP(C1617,$T$1:$V$20,3))</f>
        <v>17</v>
      </c>
      <c r="L1617" s="16" t="n">
        <f aca="false">IF(B1617=-1,-1,VLOOKUP(D1617,$Y$1:$AA$22,3))</f>
        <v>4</v>
      </c>
      <c r="N1617" s="10" t="str">
        <f aca="false">_xlfn.UNICHAR(((C1617*21)+G1617)*28+44032)</f>
        <v>죠</v>
      </c>
      <c r="O1617" s="10" t="str">
        <f aca="false">_xlfn.UNICHAR(((F1617*21)+D1617)*28+44032)</f>
        <v>뎌</v>
      </c>
      <c r="P1617" s="12" t="n">
        <f aca="false">COUNTIF($A$2:$A$3000, N1617) + COUNTIF($A$2:$A$3000, O1617)</f>
        <v>2</v>
      </c>
      <c r="Q1617" s="16" t="str">
        <f aca="false">IF(OR(B1617=-1,I1617=0, P1617&lt;&gt;2), "albhed_dummy", _xlfn.CONCAT("albhed ", RIGHT("  " &amp; K1617,2),", ", RIGHT("  " &amp; L1617,2), ", " ,"""",H1617,""", ", """",N1617,""", ","""",O1617,""""," ; ", A1617))</f>
        <v>albhed 17,  4, "됴", "죠", "뎌" ; 졉</v>
      </c>
    </row>
    <row r="1618" customFormat="false" ht="17.9" hidden="false" customHeight="true" outlineLevel="0" collapsed="false">
      <c r="A1618" s="16" t="s">
        <v>2470</v>
      </c>
      <c r="B1618" s="16" t="n">
        <f aca="false">IF(_xlfn.UNICODE(A1618)&lt;44032,-1,_xlfn.UNICODE(A1618)-44032)</f>
        <v>7244</v>
      </c>
      <c r="C1618" s="16" t="n">
        <f aca="false">IF(B1618=-1,-1,INT((B1618/28)/21))</f>
        <v>12</v>
      </c>
      <c r="D1618" s="16" t="n">
        <f aca="false">IF(B1618=-1, -1, MOD(INT(B1618/28),21))</f>
        <v>6</v>
      </c>
      <c r="E1618" s="16" t="n">
        <f aca="false">IF(B1618=-1, -1, VLOOKUP(MOD(B1618,28), $T$24:$U$52,2))</f>
        <v>19</v>
      </c>
      <c r="F1618" s="16" t="n">
        <f aca="false">IF($B1618=-1, -1, VLOOKUP(C1618,$T$1:$V$20, 2))</f>
        <v>3</v>
      </c>
      <c r="G1618" s="16" t="n">
        <f aca="false">IF($B1618=-1, -1, VLOOKUP(D1618,$Y$1:$Z$22,2))</f>
        <v>12</v>
      </c>
      <c r="H1618" s="16" t="str">
        <f aca="false">_xlfn.UNICHAR(((F1618*21)+G1618)*28+44032)</f>
        <v>됴</v>
      </c>
      <c r="I1618" s="16" t="n">
        <f aca="false">IF(B1618=-1, 1, COUNTIF($A$2:$A$3000, H1618))</f>
        <v>1</v>
      </c>
      <c r="J1618" s="10" t="str">
        <f aca="false">_xlfn.CONCAT(A1618, ",",H1618,",",I1618)</f>
        <v>졌,됴,1</v>
      </c>
      <c r="K1618" s="16" t="n">
        <f aca="false">IF(B1618=-1,-1,VLOOKUP(C1618,$T$1:$V$20,3))</f>
        <v>17</v>
      </c>
      <c r="L1618" s="16" t="n">
        <f aca="false">IF(B1618=-1,-1,VLOOKUP(D1618,$Y$1:$AA$22,3))</f>
        <v>4</v>
      </c>
      <c r="N1618" s="10" t="str">
        <f aca="false">_xlfn.UNICHAR(((C1618*21)+G1618)*28+44032)</f>
        <v>죠</v>
      </c>
      <c r="O1618" s="10" t="str">
        <f aca="false">_xlfn.UNICHAR(((F1618*21)+D1618)*28+44032)</f>
        <v>뎌</v>
      </c>
      <c r="P1618" s="12" t="n">
        <f aca="false">COUNTIF($A$2:$A$3000, N1618) + COUNTIF($A$2:$A$3000, O1618)</f>
        <v>2</v>
      </c>
      <c r="Q1618" s="16" t="str">
        <f aca="false">IF(OR(B1618=-1,I1618=0, P1618&lt;&gt;2), "albhed_dummy", _xlfn.CONCAT("albhed ", RIGHT("  " &amp; K1618,2),", ", RIGHT("  " &amp; L1618,2), ", " ,"""",H1618,""", ", """",N1618,""", ","""",O1618,""""," ; ", A1618))</f>
        <v>albhed 17,  4, "됴", "죠", "뎌" ; 졌</v>
      </c>
    </row>
    <row r="1619" customFormat="false" ht="17.9" hidden="false" customHeight="true" outlineLevel="0" collapsed="false">
      <c r="A1619" s="16" t="s">
        <v>2471</v>
      </c>
      <c r="B1619" s="16" t="n">
        <f aca="false">IF(_xlfn.UNICODE(A1619)&lt;44032,-1,_xlfn.UNICODE(A1619)-44032)</f>
        <v>7245</v>
      </c>
      <c r="C1619" s="16" t="n">
        <f aca="false">IF(B1619=-1,-1,INT((B1619/28)/21))</f>
        <v>12</v>
      </c>
      <c r="D1619" s="16" t="n">
        <f aca="false">IF(B1619=-1, -1, MOD(INT(B1619/28),21))</f>
        <v>6</v>
      </c>
      <c r="E1619" s="16" t="n">
        <f aca="false">IF(B1619=-1, -1, VLOOKUP(MOD(B1619,28), $T$24:$U$52,2))</f>
        <v>21</v>
      </c>
      <c r="F1619" s="16" t="n">
        <f aca="false">IF($B1619=-1, -1, VLOOKUP(C1619,$T$1:$V$20, 2))</f>
        <v>3</v>
      </c>
      <c r="G1619" s="16" t="n">
        <f aca="false">IF($B1619=-1, -1, VLOOKUP(D1619,$Y$1:$Z$22,2))</f>
        <v>12</v>
      </c>
      <c r="H1619" s="16" t="str">
        <f aca="false">_xlfn.UNICHAR(((F1619*21)+G1619)*28+44032)</f>
        <v>됴</v>
      </c>
      <c r="I1619" s="16" t="n">
        <f aca="false">IF(B1619=-1, 1, COUNTIF($A$2:$A$3000, H1619))</f>
        <v>1</v>
      </c>
      <c r="J1619" s="10" t="str">
        <f aca="false">_xlfn.CONCAT(A1619, ",",H1619,",",I1619)</f>
        <v>졍,됴,1</v>
      </c>
      <c r="K1619" s="16" t="n">
        <f aca="false">IF(B1619=-1,-1,VLOOKUP(C1619,$T$1:$V$20,3))</f>
        <v>17</v>
      </c>
      <c r="L1619" s="16" t="n">
        <f aca="false">IF(B1619=-1,-1,VLOOKUP(D1619,$Y$1:$AA$22,3))</f>
        <v>4</v>
      </c>
      <c r="N1619" s="10" t="str">
        <f aca="false">_xlfn.UNICHAR(((C1619*21)+G1619)*28+44032)</f>
        <v>죠</v>
      </c>
      <c r="O1619" s="10" t="str">
        <f aca="false">_xlfn.UNICHAR(((F1619*21)+D1619)*28+44032)</f>
        <v>뎌</v>
      </c>
      <c r="P1619" s="12" t="n">
        <f aca="false">COUNTIF($A$2:$A$3000, N1619) + COUNTIF($A$2:$A$3000, O1619)</f>
        <v>2</v>
      </c>
      <c r="Q1619" s="16" t="str">
        <f aca="false">IF(OR(B1619=-1,I1619=0, P1619&lt;&gt;2), "albhed_dummy", _xlfn.CONCAT("albhed ", RIGHT("  " &amp; K1619,2),", ", RIGHT("  " &amp; L1619,2), ", " ,"""",H1619,""", ", """",N1619,""", ","""",O1619,""""," ; ", A1619))</f>
        <v>albhed 17,  4, "됴", "죠", "뎌" ; 졍</v>
      </c>
    </row>
    <row r="1620" customFormat="false" ht="17.9" hidden="false" customHeight="true" outlineLevel="0" collapsed="false">
      <c r="A1620" s="16" t="s">
        <v>2472</v>
      </c>
      <c r="B1620" s="16" t="n">
        <f aca="false">IF(_xlfn.UNICODE(A1620)&lt;44032,-1,_xlfn.UNICODE(A1620)-44032)</f>
        <v>7252</v>
      </c>
      <c r="C1620" s="16" t="n">
        <f aca="false">IF(B1620=-1,-1,INT((B1620/28)/21))</f>
        <v>12</v>
      </c>
      <c r="D1620" s="16" t="n">
        <f aca="false">IF(B1620=-1, -1, MOD(INT(B1620/28),21))</f>
        <v>7</v>
      </c>
      <c r="E1620" s="16" t="n">
        <f aca="false">IF(B1620=-1, -1, VLOOKUP(MOD(B1620,28), $T$24:$U$52,2))</f>
        <v>0</v>
      </c>
      <c r="F1620" s="16" t="n">
        <f aca="false">IF($B1620=-1, -1, VLOOKUP(C1620,$T$1:$V$20, 2))</f>
        <v>3</v>
      </c>
      <c r="G1620" s="16" t="n">
        <f aca="false">IF($B1620=-1, -1, VLOOKUP(D1620,$Y$1:$Z$22,2))</f>
        <v>18</v>
      </c>
      <c r="H1620" s="16" t="str">
        <f aca="false">_xlfn.UNICHAR(((F1620*21)+G1620)*28+44032)</f>
        <v>드</v>
      </c>
      <c r="I1620" s="16" t="n">
        <f aca="false">IF(B1620=-1, 1, COUNTIF($A$2:$A$3000, H1620))</f>
        <v>1</v>
      </c>
      <c r="J1620" s="10" t="str">
        <f aca="false">_xlfn.CONCAT(A1620, ",",H1620,",",I1620)</f>
        <v>졔,드,1</v>
      </c>
      <c r="K1620" s="16" t="n">
        <f aca="false">IF(B1620=-1,-1,VLOOKUP(C1620,$T$1:$V$20,3))</f>
        <v>17</v>
      </c>
      <c r="L1620" s="16" t="n">
        <f aca="false">IF(B1620=-1,-1,VLOOKUP(D1620,$Y$1:$AA$22,3))</f>
        <v>14</v>
      </c>
      <c r="N1620" s="10" t="str">
        <f aca="false">_xlfn.UNICHAR(((C1620*21)+G1620)*28+44032)</f>
        <v>즈</v>
      </c>
      <c r="O1620" s="10" t="str">
        <f aca="false">_xlfn.UNICHAR(((F1620*21)+D1620)*28+44032)</f>
        <v>뎨</v>
      </c>
      <c r="P1620" s="12" t="n">
        <f aca="false">COUNTIF($A$2:$A$3000, N1620) + COUNTIF($A$2:$A$3000, O1620)</f>
        <v>2</v>
      </c>
      <c r="Q1620" s="16" t="str">
        <f aca="false">IF(OR(B1620=-1,I1620=0, P1620&lt;&gt;2), "albhed_dummy", _xlfn.CONCAT("albhed ", RIGHT("  " &amp; K1620,2),", ", RIGHT("  " &amp; L1620,2), ", " ,"""",H1620,""", ", """",N1620,""", ","""",O1620,""""," ; ", A1620))</f>
        <v>albhed 17, 14, "드", "즈", "뎨" ; 졔</v>
      </c>
    </row>
    <row r="1621" customFormat="false" ht="17.9" hidden="false" customHeight="true" outlineLevel="0" collapsed="false">
      <c r="A1621" s="16" t="s">
        <v>2473</v>
      </c>
      <c r="B1621" s="16" t="n">
        <f aca="false">IF(_xlfn.UNICODE(A1621)&lt;44032,-1,_xlfn.UNICODE(A1621)-44032)</f>
        <v>7280</v>
      </c>
      <c r="C1621" s="16" t="n">
        <f aca="false">IF(B1621=-1,-1,INT((B1621/28)/21))</f>
        <v>12</v>
      </c>
      <c r="D1621" s="16" t="n">
        <f aca="false">IF(B1621=-1, -1, MOD(INT(B1621/28),21))</f>
        <v>8</v>
      </c>
      <c r="E1621" s="16" t="n">
        <f aca="false">IF(B1621=-1, -1, VLOOKUP(MOD(B1621,28), $T$24:$U$52,2))</f>
        <v>0</v>
      </c>
      <c r="F1621" s="16" t="n">
        <f aca="false">IF($B1621=-1, -1, VLOOKUP(C1621,$T$1:$V$20, 2))</f>
        <v>3</v>
      </c>
      <c r="G1621" s="16" t="n">
        <f aca="false">IF($B1621=-1, -1, VLOOKUP(D1621,$Y$1:$Z$22,2))</f>
        <v>4</v>
      </c>
      <c r="H1621" s="16" t="str">
        <f aca="false">_xlfn.UNICHAR(((F1621*21)+G1621)*28+44032)</f>
        <v>더</v>
      </c>
      <c r="I1621" s="16" t="n">
        <f aca="false">IF(B1621=-1, 1, COUNTIF($A$2:$A$3000, H1621))</f>
        <v>1</v>
      </c>
      <c r="J1621" s="10" t="str">
        <f aca="false">_xlfn.CONCAT(A1621, ",",H1621,",",I1621)</f>
        <v>조,더,1</v>
      </c>
      <c r="K1621" s="16" t="n">
        <f aca="false">IF(B1621=-1,-1,VLOOKUP(C1621,$T$1:$V$20,3))</f>
        <v>17</v>
      </c>
      <c r="L1621" s="16" t="n">
        <f aca="false">IF(B1621=-1,-1,VLOOKUP(D1621,$Y$1:$AA$22,3))</f>
        <v>8</v>
      </c>
      <c r="N1621" s="10" t="str">
        <f aca="false">_xlfn.UNICHAR(((C1621*21)+G1621)*28+44032)</f>
        <v>저</v>
      </c>
      <c r="O1621" s="10" t="str">
        <f aca="false">_xlfn.UNICHAR(((F1621*21)+D1621)*28+44032)</f>
        <v>도</v>
      </c>
      <c r="P1621" s="12" t="n">
        <f aca="false">COUNTIF($A$2:$A$3000, N1621) + COUNTIF($A$2:$A$3000, O1621)</f>
        <v>2</v>
      </c>
      <c r="Q1621" s="16" t="str">
        <f aca="false">IF(OR(B1621=-1,I1621=0, P1621&lt;&gt;2), "albhed_dummy", _xlfn.CONCAT("albhed ", RIGHT("  " &amp; K1621,2),", ", RIGHT("  " &amp; L1621,2), ", " ,"""",H1621,""", ", """",N1621,""", ","""",O1621,""""," ; ", A1621))</f>
        <v>albhed 17,  8, "더", "저", "도" ; 조</v>
      </c>
    </row>
    <row r="1622" customFormat="false" ht="17.9" hidden="false" customHeight="true" outlineLevel="0" collapsed="false">
      <c r="A1622" s="16" t="s">
        <v>2474</v>
      </c>
      <c r="B1622" s="16" t="n">
        <f aca="false">IF(_xlfn.UNICODE(A1622)&lt;44032,-1,_xlfn.UNICODE(A1622)-44032)</f>
        <v>7281</v>
      </c>
      <c r="C1622" s="16" t="n">
        <f aca="false">IF(B1622=-1,-1,INT((B1622/28)/21))</f>
        <v>12</v>
      </c>
      <c r="D1622" s="16" t="n">
        <f aca="false">IF(B1622=-1, -1, MOD(INT(B1622/28),21))</f>
        <v>8</v>
      </c>
      <c r="E1622" s="16" t="n">
        <f aca="false">IF(B1622=-1, -1, VLOOKUP(MOD(B1622,28), $T$24:$U$52,2))</f>
        <v>1</v>
      </c>
      <c r="F1622" s="16" t="n">
        <f aca="false">IF($B1622=-1, -1, VLOOKUP(C1622,$T$1:$V$20, 2))</f>
        <v>3</v>
      </c>
      <c r="G1622" s="16" t="n">
        <f aca="false">IF($B1622=-1, -1, VLOOKUP(D1622,$Y$1:$Z$22,2))</f>
        <v>4</v>
      </c>
      <c r="H1622" s="16" t="str">
        <f aca="false">_xlfn.UNICHAR(((F1622*21)+G1622)*28+44032)</f>
        <v>더</v>
      </c>
      <c r="I1622" s="16" t="n">
        <f aca="false">IF(B1622=-1, 1, COUNTIF($A$2:$A$3000, H1622))</f>
        <v>1</v>
      </c>
      <c r="J1622" s="10" t="str">
        <f aca="false">_xlfn.CONCAT(A1622, ",",H1622,",",I1622)</f>
        <v>족,더,1</v>
      </c>
      <c r="K1622" s="16" t="n">
        <f aca="false">IF(B1622=-1,-1,VLOOKUP(C1622,$T$1:$V$20,3))</f>
        <v>17</v>
      </c>
      <c r="L1622" s="16" t="n">
        <f aca="false">IF(B1622=-1,-1,VLOOKUP(D1622,$Y$1:$AA$22,3))</f>
        <v>8</v>
      </c>
      <c r="N1622" s="10" t="str">
        <f aca="false">_xlfn.UNICHAR(((C1622*21)+G1622)*28+44032)</f>
        <v>저</v>
      </c>
      <c r="O1622" s="10" t="str">
        <f aca="false">_xlfn.UNICHAR(((F1622*21)+D1622)*28+44032)</f>
        <v>도</v>
      </c>
      <c r="P1622" s="12" t="n">
        <f aca="false">COUNTIF($A$2:$A$3000, N1622) + COUNTIF($A$2:$A$3000, O1622)</f>
        <v>2</v>
      </c>
      <c r="Q1622" s="16" t="str">
        <f aca="false">IF(OR(B1622=-1,I1622=0, P1622&lt;&gt;2), "albhed_dummy", _xlfn.CONCAT("albhed ", RIGHT("  " &amp; K1622,2),", ", RIGHT("  " &amp; L1622,2), ", " ,"""",H1622,""", ", """",N1622,""", ","""",O1622,""""," ; ", A1622))</f>
        <v>albhed 17,  8, "더", "저", "도" ; 족</v>
      </c>
    </row>
    <row r="1623" customFormat="false" ht="17.9" hidden="false" customHeight="true" outlineLevel="0" collapsed="false">
      <c r="A1623" s="16" t="s">
        <v>2475</v>
      </c>
      <c r="B1623" s="16" t="n">
        <f aca="false">IF(_xlfn.UNICODE(A1623)&lt;44032,-1,_xlfn.UNICODE(A1623)-44032)</f>
        <v>7284</v>
      </c>
      <c r="C1623" s="16" t="n">
        <f aca="false">IF(B1623=-1,-1,INT((B1623/28)/21))</f>
        <v>12</v>
      </c>
      <c r="D1623" s="16" t="n">
        <f aca="false">IF(B1623=-1, -1, MOD(INT(B1623/28),21))</f>
        <v>8</v>
      </c>
      <c r="E1623" s="16" t="n">
        <f aca="false">IF(B1623=-1, -1, VLOOKUP(MOD(B1623,28), $T$24:$U$52,2))</f>
        <v>4</v>
      </c>
      <c r="F1623" s="16" t="n">
        <f aca="false">IF($B1623=-1, -1, VLOOKUP(C1623,$T$1:$V$20, 2))</f>
        <v>3</v>
      </c>
      <c r="G1623" s="16" t="n">
        <f aca="false">IF($B1623=-1, -1, VLOOKUP(D1623,$Y$1:$Z$22,2))</f>
        <v>4</v>
      </c>
      <c r="H1623" s="16" t="str">
        <f aca="false">_xlfn.UNICHAR(((F1623*21)+G1623)*28+44032)</f>
        <v>더</v>
      </c>
      <c r="I1623" s="16" t="n">
        <f aca="false">IF(B1623=-1, 1, COUNTIF($A$2:$A$3000, H1623))</f>
        <v>1</v>
      </c>
      <c r="J1623" s="10" t="str">
        <f aca="false">_xlfn.CONCAT(A1623, ",",H1623,",",I1623)</f>
        <v>존,더,1</v>
      </c>
      <c r="K1623" s="16" t="n">
        <f aca="false">IF(B1623=-1,-1,VLOOKUP(C1623,$T$1:$V$20,3))</f>
        <v>17</v>
      </c>
      <c r="L1623" s="16" t="n">
        <f aca="false">IF(B1623=-1,-1,VLOOKUP(D1623,$Y$1:$AA$22,3))</f>
        <v>8</v>
      </c>
      <c r="N1623" s="10" t="str">
        <f aca="false">_xlfn.UNICHAR(((C1623*21)+G1623)*28+44032)</f>
        <v>저</v>
      </c>
      <c r="O1623" s="10" t="str">
        <f aca="false">_xlfn.UNICHAR(((F1623*21)+D1623)*28+44032)</f>
        <v>도</v>
      </c>
      <c r="P1623" s="12" t="n">
        <f aca="false">COUNTIF($A$2:$A$3000, N1623) + COUNTIF($A$2:$A$3000, O1623)</f>
        <v>2</v>
      </c>
      <c r="Q1623" s="16" t="str">
        <f aca="false">IF(OR(B1623=-1,I1623=0, P1623&lt;&gt;2), "albhed_dummy", _xlfn.CONCAT("albhed ", RIGHT("  " &amp; K1623,2),", ", RIGHT("  " &amp; L1623,2), ", " ,"""",H1623,""", ", """",N1623,""", ","""",O1623,""""," ; ", A1623))</f>
        <v>albhed 17,  8, "더", "저", "도" ; 존</v>
      </c>
    </row>
    <row r="1624" customFormat="false" ht="17.9" hidden="false" customHeight="true" outlineLevel="0" collapsed="false">
      <c r="A1624" s="16" t="s">
        <v>2476</v>
      </c>
      <c r="B1624" s="16" t="n">
        <f aca="false">IF(_xlfn.UNICODE(A1624)&lt;44032,-1,_xlfn.UNICODE(A1624)-44032)</f>
        <v>7288</v>
      </c>
      <c r="C1624" s="16" t="n">
        <f aca="false">IF(B1624=-1,-1,INT((B1624/28)/21))</f>
        <v>12</v>
      </c>
      <c r="D1624" s="16" t="n">
        <f aca="false">IF(B1624=-1, -1, MOD(INT(B1624/28),21))</f>
        <v>8</v>
      </c>
      <c r="E1624" s="16" t="n">
        <f aca="false">IF(B1624=-1, -1, VLOOKUP(MOD(B1624,28), $T$24:$U$52,2))</f>
        <v>8</v>
      </c>
      <c r="F1624" s="16" t="n">
        <f aca="false">IF($B1624=-1, -1, VLOOKUP(C1624,$T$1:$V$20, 2))</f>
        <v>3</v>
      </c>
      <c r="G1624" s="16" t="n">
        <f aca="false">IF($B1624=-1, -1, VLOOKUP(D1624,$Y$1:$Z$22,2))</f>
        <v>4</v>
      </c>
      <c r="H1624" s="16" t="str">
        <f aca="false">_xlfn.UNICHAR(((F1624*21)+G1624)*28+44032)</f>
        <v>더</v>
      </c>
      <c r="I1624" s="16" t="n">
        <f aca="false">IF(B1624=-1, 1, COUNTIF($A$2:$A$3000, H1624))</f>
        <v>1</v>
      </c>
      <c r="J1624" s="10" t="str">
        <f aca="false">_xlfn.CONCAT(A1624, ",",H1624,",",I1624)</f>
        <v>졸,더,1</v>
      </c>
      <c r="K1624" s="16" t="n">
        <f aca="false">IF(B1624=-1,-1,VLOOKUP(C1624,$T$1:$V$20,3))</f>
        <v>17</v>
      </c>
      <c r="L1624" s="16" t="n">
        <f aca="false">IF(B1624=-1,-1,VLOOKUP(D1624,$Y$1:$AA$22,3))</f>
        <v>8</v>
      </c>
      <c r="N1624" s="10" t="str">
        <f aca="false">_xlfn.UNICHAR(((C1624*21)+G1624)*28+44032)</f>
        <v>저</v>
      </c>
      <c r="O1624" s="10" t="str">
        <f aca="false">_xlfn.UNICHAR(((F1624*21)+D1624)*28+44032)</f>
        <v>도</v>
      </c>
      <c r="P1624" s="12" t="n">
        <f aca="false">COUNTIF($A$2:$A$3000, N1624) + COUNTIF($A$2:$A$3000, O1624)</f>
        <v>2</v>
      </c>
      <c r="Q1624" s="16" t="str">
        <f aca="false">IF(OR(B1624=-1,I1624=0, P1624&lt;&gt;2), "albhed_dummy", _xlfn.CONCAT("albhed ", RIGHT("  " &amp; K1624,2),", ", RIGHT("  " &amp; L1624,2), ", " ,"""",H1624,""", ", """",N1624,""", ","""",O1624,""""," ; ", A1624))</f>
        <v>albhed 17,  8, "더", "저", "도" ; 졸</v>
      </c>
    </row>
    <row r="1625" customFormat="false" ht="17.9" hidden="false" customHeight="true" outlineLevel="0" collapsed="false">
      <c r="A1625" s="16" t="s">
        <v>2477</v>
      </c>
      <c r="B1625" s="16" t="n">
        <f aca="false">IF(_xlfn.UNICODE(A1625)&lt;44032,-1,_xlfn.UNICODE(A1625)-44032)</f>
        <v>7290</v>
      </c>
      <c r="C1625" s="16" t="n">
        <f aca="false">IF(B1625=-1,-1,INT((B1625/28)/21))</f>
        <v>12</v>
      </c>
      <c r="D1625" s="16" t="n">
        <f aca="false">IF(B1625=-1, -1, MOD(INT(B1625/28),21))</f>
        <v>8</v>
      </c>
      <c r="E1625" s="16" t="n">
        <f aca="false">IF(B1625=-1, -1, VLOOKUP(MOD(B1625,28), $T$24:$U$52,2))</f>
        <v>8</v>
      </c>
      <c r="F1625" s="16" t="n">
        <f aca="false">IF($B1625=-1, -1, VLOOKUP(C1625,$T$1:$V$20, 2))</f>
        <v>3</v>
      </c>
      <c r="G1625" s="16" t="n">
        <f aca="false">IF($B1625=-1, -1, VLOOKUP(D1625,$Y$1:$Z$22,2))</f>
        <v>4</v>
      </c>
      <c r="H1625" s="16" t="str">
        <f aca="false">_xlfn.UNICHAR(((F1625*21)+G1625)*28+44032)</f>
        <v>더</v>
      </c>
      <c r="I1625" s="16" t="n">
        <f aca="false">IF(B1625=-1, 1, COUNTIF($A$2:$A$3000, H1625))</f>
        <v>1</v>
      </c>
      <c r="J1625" s="10" t="str">
        <f aca="false">_xlfn.CONCAT(A1625, ",",H1625,",",I1625)</f>
        <v>졺,더,1</v>
      </c>
      <c r="K1625" s="16" t="n">
        <f aca="false">IF(B1625=-1,-1,VLOOKUP(C1625,$T$1:$V$20,3))</f>
        <v>17</v>
      </c>
      <c r="L1625" s="16" t="n">
        <f aca="false">IF(B1625=-1,-1,VLOOKUP(D1625,$Y$1:$AA$22,3))</f>
        <v>8</v>
      </c>
      <c r="N1625" s="10" t="str">
        <f aca="false">_xlfn.UNICHAR(((C1625*21)+G1625)*28+44032)</f>
        <v>저</v>
      </c>
      <c r="O1625" s="10" t="str">
        <f aca="false">_xlfn.UNICHAR(((F1625*21)+D1625)*28+44032)</f>
        <v>도</v>
      </c>
      <c r="P1625" s="12" t="n">
        <f aca="false">COUNTIF($A$2:$A$3000, N1625) + COUNTIF($A$2:$A$3000, O1625)</f>
        <v>2</v>
      </c>
      <c r="Q1625" s="16" t="str">
        <f aca="false">IF(OR(B1625=-1,I1625=0, P1625&lt;&gt;2), "albhed_dummy", _xlfn.CONCAT("albhed ", RIGHT("  " &amp; K1625,2),", ", RIGHT("  " &amp; L1625,2), ", " ,"""",H1625,""", ", """",N1625,""", ","""",O1625,""""," ; ", A1625))</f>
        <v>albhed 17,  8, "더", "저", "도" ; 졺</v>
      </c>
    </row>
    <row r="1626" customFormat="false" ht="17.9" hidden="false" customHeight="true" outlineLevel="0" collapsed="false">
      <c r="A1626" s="16" t="s">
        <v>2478</v>
      </c>
      <c r="B1626" s="16" t="n">
        <f aca="false">IF(_xlfn.UNICODE(A1626)&lt;44032,-1,_xlfn.UNICODE(A1626)-44032)</f>
        <v>7296</v>
      </c>
      <c r="C1626" s="16" t="n">
        <f aca="false">IF(B1626=-1,-1,INT((B1626/28)/21))</f>
        <v>12</v>
      </c>
      <c r="D1626" s="16" t="n">
        <f aca="false">IF(B1626=-1, -1, MOD(INT(B1626/28),21))</f>
        <v>8</v>
      </c>
      <c r="E1626" s="16" t="n">
        <f aca="false">IF(B1626=-1, -1, VLOOKUP(MOD(B1626,28), $T$24:$U$52,2))</f>
        <v>16</v>
      </c>
      <c r="F1626" s="16" t="n">
        <f aca="false">IF($B1626=-1, -1, VLOOKUP(C1626,$T$1:$V$20, 2))</f>
        <v>3</v>
      </c>
      <c r="G1626" s="16" t="n">
        <f aca="false">IF($B1626=-1, -1, VLOOKUP(D1626,$Y$1:$Z$22,2))</f>
        <v>4</v>
      </c>
      <c r="H1626" s="16" t="str">
        <f aca="false">_xlfn.UNICHAR(((F1626*21)+G1626)*28+44032)</f>
        <v>더</v>
      </c>
      <c r="I1626" s="16" t="n">
        <f aca="false">IF(B1626=-1, 1, COUNTIF($A$2:$A$3000, H1626))</f>
        <v>1</v>
      </c>
      <c r="J1626" s="10" t="str">
        <f aca="false">_xlfn.CONCAT(A1626, ",",H1626,",",I1626)</f>
        <v>좀,더,1</v>
      </c>
      <c r="K1626" s="16" t="n">
        <f aca="false">IF(B1626=-1,-1,VLOOKUP(C1626,$T$1:$V$20,3))</f>
        <v>17</v>
      </c>
      <c r="L1626" s="16" t="n">
        <f aca="false">IF(B1626=-1,-1,VLOOKUP(D1626,$Y$1:$AA$22,3))</f>
        <v>8</v>
      </c>
      <c r="N1626" s="10" t="str">
        <f aca="false">_xlfn.UNICHAR(((C1626*21)+G1626)*28+44032)</f>
        <v>저</v>
      </c>
      <c r="O1626" s="10" t="str">
        <f aca="false">_xlfn.UNICHAR(((F1626*21)+D1626)*28+44032)</f>
        <v>도</v>
      </c>
      <c r="P1626" s="12" t="n">
        <f aca="false">COUNTIF($A$2:$A$3000, N1626) + COUNTIF($A$2:$A$3000, O1626)</f>
        <v>2</v>
      </c>
      <c r="Q1626" s="16" t="str">
        <f aca="false">IF(OR(B1626=-1,I1626=0, P1626&lt;&gt;2), "albhed_dummy", _xlfn.CONCAT("albhed ", RIGHT("  " &amp; K1626,2),", ", RIGHT("  " &amp; L1626,2), ", " ,"""",H1626,""", ", """",N1626,""", ","""",O1626,""""," ; ", A1626))</f>
        <v>albhed 17,  8, "더", "저", "도" ; 좀</v>
      </c>
    </row>
    <row r="1627" customFormat="false" ht="17.9" hidden="false" customHeight="true" outlineLevel="0" collapsed="false">
      <c r="A1627" s="16" t="s">
        <v>2479</v>
      </c>
      <c r="B1627" s="16" t="n">
        <f aca="false">IF(_xlfn.UNICODE(A1627)&lt;44032,-1,_xlfn.UNICODE(A1627)-44032)</f>
        <v>7297</v>
      </c>
      <c r="C1627" s="16" t="n">
        <f aca="false">IF(B1627=-1,-1,INT((B1627/28)/21))</f>
        <v>12</v>
      </c>
      <c r="D1627" s="16" t="n">
        <f aca="false">IF(B1627=-1, -1, MOD(INT(B1627/28),21))</f>
        <v>8</v>
      </c>
      <c r="E1627" s="16" t="n">
        <f aca="false">IF(B1627=-1, -1, VLOOKUP(MOD(B1627,28), $T$24:$U$52,2))</f>
        <v>17</v>
      </c>
      <c r="F1627" s="16" t="n">
        <f aca="false">IF($B1627=-1, -1, VLOOKUP(C1627,$T$1:$V$20, 2))</f>
        <v>3</v>
      </c>
      <c r="G1627" s="16" t="n">
        <f aca="false">IF($B1627=-1, -1, VLOOKUP(D1627,$Y$1:$Z$22,2))</f>
        <v>4</v>
      </c>
      <c r="H1627" s="16" t="str">
        <f aca="false">_xlfn.UNICHAR(((F1627*21)+G1627)*28+44032)</f>
        <v>더</v>
      </c>
      <c r="I1627" s="16" t="n">
        <f aca="false">IF(B1627=-1, 1, COUNTIF($A$2:$A$3000, H1627))</f>
        <v>1</v>
      </c>
      <c r="J1627" s="10" t="str">
        <f aca="false">_xlfn.CONCAT(A1627, ",",H1627,",",I1627)</f>
        <v>좁,더,1</v>
      </c>
      <c r="K1627" s="16" t="n">
        <f aca="false">IF(B1627=-1,-1,VLOOKUP(C1627,$T$1:$V$20,3))</f>
        <v>17</v>
      </c>
      <c r="L1627" s="16" t="n">
        <f aca="false">IF(B1627=-1,-1,VLOOKUP(D1627,$Y$1:$AA$22,3))</f>
        <v>8</v>
      </c>
      <c r="N1627" s="10" t="str">
        <f aca="false">_xlfn.UNICHAR(((C1627*21)+G1627)*28+44032)</f>
        <v>저</v>
      </c>
      <c r="O1627" s="10" t="str">
        <f aca="false">_xlfn.UNICHAR(((F1627*21)+D1627)*28+44032)</f>
        <v>도</v>
      </c>
      <c r="P1627" s="12" t="n">
        <f aca="false">COUNTIF($A$2:$A$3000, N1627) + COUNTIF($A$2:$A$3000, O1627)</f>
        <v>2</v>
      </c>
      <c r="Q1627" s="16" t="str">
        <f aca="false">IF(OR(B1627=-1,I1627=0, P1627&lt;&gt;2), "albhed_dummy", _xlfn.CONCAT("albhed ", RIGHT("  " &amp; K1627,2),", ", RIGHT("  " &amp; L1627,2), ", " ,"""",H1627,""", ", """",N1627,""", ","""",O1627,""""," ; ", A1627))</f>
        <v>albhed 17,  8, "더", "저", "도" ; 좁</v>
      </c>
    </row>
    <row r="1628" customFormat="false" ht="17.9" hidden="false" customHeight="true" outlineLevel="0" collapsed="false">
      <c r="A1628" s="16" t="s">
        <v>2480</v>
      </c>
      <c r="B1628" s="16" t="n">
        <f aca="false">IF(_xlfn.UNICODE(A1628)&lt;44032,-1,_xlfn.UNICODE(A1628)-44032)</f>
        <v>7299</v>
      </c>
      <c r="C1628" s="16" t="n">
        <f aca="false">IF(B1628=-1,-1,INT((B1628/28)/21))</f>
        <v>12</v>
      </c>
      <c r="D1628" s="16" t="n">
        <f aca="false">IF(B1628=-1, -1, MOD(INT(B1628/28),21))</f>
        <v>8</v>
      </c>
      <c r="E1628" s="16" t="n">
        <f aca="false">IF(B1628=-1, -1, VLOOKUP(MOD(B1628,28), $T$24:$U$52,2))</f>
        <v>19</v>
      </c>
      <c r="F1628" s="16" t="n">
        <f aca="false">IF($B1628=-1, -1, VLOOKUP(C1628,$T$1:$V$20, 2))</f>
        <v>3</v>
      </c>
      <c r="G1628" s="16" t="n">
        <f aca="false">IF($B1628=-1, -1, VLOOKUP(D1628,$Y$1:$Z$22,2))</f>
        <v>4</v>
      </c>
      <c r="H1628" s="16" t="str">
        <f aca="false">_xlfn.UNICHAR(((F1628*21)+G1628)*28+44032)</f>
        <v>더</v>
      </c>
      <c r="I1628" s="16" t="n">
        <f aca="false">IF(B1628=-1, 1, COUNTIF($A$2:$A$3000, H1628))</f>
        <v>1</v>
      </c>
      <c r="J1628" s="10" t="str">
        <f aca="false">_xlfn.CONCAT(A1628, ",",H1628,",",I1628)</f>
        <v>좃,더,1</v>
      </c>
      <c r="K1628" s="16" t="n">
        <f aca="false">IF(B1628=-1,-1,VLOOKUP(C1628,$T$1:$V$20,3))</f>
        <v>17</v>
      </c>
      <c r="L1628" s="16" t="n">
        <f aca="false">IF(B1628=-1,-1,VLOOKUP(D1628,$Y$1:$AA$22,3))</f>
        <v>8</v>
      </c>
      <c r="N1628" s="10" t="str">
        <f aca="false">_xlfn.UNICHAR(((C1628*21)+G1628)*28+44032)</f>
        <v>저</v>
      </c>
      <c r="O1628" s="10" t="str">
        <f aca="false">_xlfn.UNICHAR(((F1628*21)+D1628)*28+44032)</f>
        <v>도</v>
      </c>
      <c r="P1628" s="12" t="n">
        <f aca="false">COUNTIF($A$2:$A$3000, N1628) + COUNTIF($A$2:$A$3000, O1628)</f>
        <v>2</v>
      </c>
      <c r="Q1628" s="16" t="str">
        <f aca="false">IF(OR(B1628=-1,I1628=0, P1628&lt;&gt;2), "albhed_dummy", _xlfn.CONCAT("albhed ", RIGHT("  " &amp; K1628,2),", ", RIGHT("  " &amp; L1628,2), ", " ,"""",H1628,""", ", """",N1628,""", ","""",O1628,""""," ; ", A1628))</f>
        <v>albhed 17,  8, "더", "저", "도" ; 좃</v>
      </c>
    </row>
    <row r="1629" customFormat="false" ht="17.9" hidden="false" customHeight="true" outlineLevel="0" collapsed="false">
      <c r="A1629" s="16" t="s">
        <v>2481</v>
      </c>
      <c r="B1629" s="16" t="n">
        <f aca="false">IF(_xlfn.UNICODE(A1629)&lt;44032,-1,_xlfn.UNICODE(A1629)-44032)</f>
        <v>7301</v>
      </c>
      <c r="C1629" s="16" t="n">
        <f aca="false">IF(B1629=-1,-1,INT((B1629/28)/21))</f>
        <v>12</v>
      </c>
      <c r="D1629" s="16" t="n">
        <f aca="false">IF(B1629=-1, -1, MOD(INT(B1629/28),21))</f>
        <v>8</v>
      </c>
      <c r="E1629" s="16" t="n">
        <f aca="false">IF(B1629=-1, -1, VLOOKUP(MOD(B1629,28), $T$24:$U$52,2))</f>
        <v>21</v>
      </c>
      <c r="F1629" s="16" t="n">
        <f aca="false">IF($B1629=-1, -1, VLOOKUP(C1629,$T$1:$V$20, 2))</f>
        <v>3</v>
      </c>
      <c r="G1629" s="16" t="n">
        <f aca="false">IF($B1629=-1, -1, VLOOKUP(D1629,$Y$1:$Z$22,2))</f>
        <v>4</v>
      </c>
      <c r="H1629" s="16" t="str">
        <f aca="false">_xlfn.UNICHAR(((F1629*21)+G1629)*28+44032)</f>
        <v>더</v>
      </c>
      <c r="I1629" s="16" t="n">
        <f aca="false">IF(B1629=-1, 1, COUNTIF($A$2:$A$3000, H1629))</f>
        <v>1</v>
      </c>
      <c r="J1629" s="10" t="str">
        <f aca="false">_xlfn.CONCAT(A1629, ",",H1629,",",I1629)</f>
        <v>종,더,1</v>
      </c>
      <c r="K1629" s="16" t="n">
        <f aca="false">IF(B1629=-1,-1,VLOOKUP(C1629,$T$1:$V$20,3))</f>
        <v>17</v>
      </c>
      <c r="L1629" s="16" t="n">
        <f aca="false">IF(B1629=-1,-1,VLOOKUP(D1629,$Y$1:$AA$22,3))</f>
        <v>8</v>
      </c>
      <c r="N1629" s="10" t="str">
        <f aca="false">_xlfn.UNICHAR(((C1629*21)+G1629)*28+44032)</f>
        <v>저</v>
      </c>
      <c r="O1629" s="10" t="str">
        <f aca="false">_xlfn.UNICHAR(((F1629*21)+D1629)*28+44032)</f>
        <v>도</v>
      </c>
      <c r="P1629" s="12" t="n">
        <f aca="false">COUNTIF($A$2:$A$3000, N1629) + COUNTIF($A$2:$A$3000, O1629)</f>
        <v>2</v>
      </c>
      <c r="Q1629" s="16" t="str">
        <f aca="false">IF(OR(B1629=-1,I1629=0, P1629&lt;&gt;2), "albhed_dummy", _xlfn.CONCAT("albhed ", RIGHT("  " &amp; K1629,2),", ", RIGHT("  " &amp; L1629,2), ", " ,"""",H1629,""", ", """",N1629,""", ","""",O1629,""""," ; ", A1629))</f>
        <v>albhed 17,  8, "더", "저", "도" ; 종</v>
      </c>
    </row>
    <row r="1630" customFormat="false" ht="17.9" hidden="false" customHeight="true" outlineLevel="0" collapsed="false">
      <c r="A1630" s="16" t="s">
        <v>2482</v>
      </c>
      <c r="B1630" s="16" t="n">
        <f aca="false">IF(_xlfn.UNICODE(A1630)&lt;44032,-1,_xlfn.UNICODE(A1630)-44032)</f>
        <v>7302</v>
      </c>
      <c r="C1630" s="16" t="n">
        <f aca="false">IF(B1630=-1,-1,INT((B1630/28)/21))</f>
        <v>12</v>
      </c>
      <c r="D1630" s="16" t="n">
        <f aca="false">IF(B1630=-1, -1, MOD(INT(B1630/28),21))</f>
        <v>8</v>
      </c>
      <c r="E1630" s="16" t="n">
        <f aca="false">IF(B1630=-1, -1, VLOOKUP(MOD(B1630,28), $T$24:$U$52,2))</f>
        <v>19</v>
      </c>
      <c r="F1630" s="16" t="n">
        <f aca="false">IF($B1630=-1, -1, VLOOKUP(C1630,$T$1:$V$20, 2))</f>
        <v>3</v>
      </c>
      <c r="G1630" s="16" t="n">
        <f aca="false">IF($B1630=-1, -1, VLOOKUP(D1630,$Y$1:$Z$22,2))</f>
        <v>4</v>
      </c>
      <c r="H1630" s="16" t="str">
        <f aca="false">_xlfn.UNICHAR(((F1630*21)+G1630)*28+44032)</f>
        <v>더</v>
      </c>
      <c r="I1630" s="16" t="n">
        <f aca="false">IF(B1630=-1, 1, COUNTIF($A$2:$A$3000, H1630))</f>
        <v>1</v>
      </c>
      <c r="J1630" s="10" t="str">
        <f aca="false">_xlfn.CONCAT(A1630, ",",H1630,",",I1630)</f>
        <v>좆,더,1</v>
      </c>
      <c r="K1630" s="16" t="n">
        <f aca="false">IF(B1630=-1,-1,VLOOKUP(C1630,$T$1:$V$20,3))</f>
        <v>17</v>
      </c>
      <c r="L1630" s="16" t="n">
        <f aca="false">IF(B1630=-1,-1,VLOOKUP(D1630,$Y$1:$AA$22,3))</f>
        <v>8</v>
      </c>
      <c r="N1630" s="10" t="str">
        <f aca="false">_xlfn.UNICHAR(((C1630*21)+G1630)*28+44032)</f>
        <v>저</v>
      </c>
      <c r="O1630" s="10" t="str">
        <f aca="false">_xlfn.UNICHAR(((F1630*21)+D1630)*28+44032)</f>
        <v>도</v>
      </c>
      <c r="P1630" s="12" t="n">
        <f aca="false">COUNTIF($A$2:$A$3000, N1630) + COUNTIF($A$2:$A$3000, O1630)</f>
        <v>2</v>
      </c>
      <c r="Q1630" s="16" t="str">
        <f aca="false">IF(OR(B1630=-1,I1630=0, P1630&lt;&gt;2), "albhed_dummy", _xlfn.CONCAT("albhed ", RIGHT("  " &amp; K1630,2),", ", RIGHT("  " &amp; L1630,2), ", " ,"""",H1630,""", ", """",N1630,""", ","""",O1630,""""," ; ", A1630))</f>
        <v>albhed 17,  8, "더", "저", "도" ; 좆</v>
      </c>
    </row>
    <row r="1631" customFormat="false" ht="17.9" hidden="false" customHeight="true" outlineLevel="0" collapsed="false">
      <c r="A1631" s="16" t="s">
        <v>2483</v>
      </c>
      <c r="B1631" s="16" t="n">
        <f aca="false">IF(_xlfn.UNICODE(A1631)&lt;44032,-1,_xlfn.UNICODE(A1631)-44032)</f>
        <v>7303</v>
      </c>
      <c r="C1631" s="16" t="n">
        <f aca="false">IF(B1631=-1,-1,INT((B1631/28)/21))</f>
        <v>12</v>
      </c>
      <c r="D1631" s="16" t="n">
        <f aca="false">IF(B1631=-1, -1, MOD(INT(B1631/28),21))</f>
        <v>8</v>
      </c>
      <c r="E1631" s="16" t="n">
        <f aca="false">IF(B1631=-1, -1, VLOOKUP(MOD(B1631,28), $T$24:$U$52,2))</f>
        <v>19</v>
      </c>
      <c r="F1631" s="16" t="n">
        <f aca="false">IF($B1631=-1, -1, VLOOKUP(C1631,$T$1:$V$20, 2))</f>
        <v>3</v>
      </c>
      <c r="G1631" s="16" t="n">
        <f aca="false">IF($B1631=-1, -1, VLOOKUP(D1631,$Y$1:$Z$22,2))</f>
        <v>4</v>
      </c>
      <c r="H1631" s="16" t="str">
        <f aca="false">_xlfn.UNICHAR(((F1631*21)+G1631)*28+44032)</f>
        <v>더</v>
      </c>
      <c r="I1631" s="16" t="n">
        <f aca="false">IF(B1631=-1, 1, COUNTIF($A$2:$A$3000, H1631))</f>
        <v>1</v>
      </c>
      <c r="J1631" s="10" t="str">
        <f aca="false">_xlfn.CONCAT(A1631, ",",H1631,",",I1631)</f>
        <v>좇,더,1</v>
      </c>
      <c r="K1631" s="16" t="n">
        <f aca="false">IF(B1631=-1,-1,VLOOKUP(C1631,$T$1:$V$20,3))</f>
        <v>17</v>
      </c>
      <c r="L1631" s="16" t="n">
        <f aca="false">IF(B1631=-1,-1,VLOOKUP(D1631,$Y$1:$AA$22,3))</f>
        <v>8</v>
      </c>
      <c r="N1631" s="10" t="str">
        <f aca="false">_xlfn.UNICHAR(((C1631*21)+G1631)*28+44032)</f>
        <v>저</v>
      </c>
      <c r="O1631" s="10" t="str">
        <f aca="false">_xlfn.UNICHAR(((F1631*21)+D1631)*28+44032)</f>
        <v>도</v>
      </c>
      <c r="P1631" s="12" t="n">
        <f aca="false">COUNTIF($A$2:$A$3000, N1631) + COUNTIF($A$2:$A$3000, O1631)</f>
        <v>2</v>
      </c>
      <c r="Q1631" s="16" t="str">
        <f aca="false">IF(OR(B1631=-1,I1631=0, P1631&lt;&gt;2), "albhed_dummy", _xlfn.CONCAT("albhed ", RIGHT("  " &amp; K1631,2),", ", RIGHT("  " &amp; L1631,2), ", " ,"""",H1631,""", ", """",N1631,""", ","""",O1631,""""," ; ", A1631))</f>
        <v>albhed 17,  8, "더", "저", "도" ; 좇</v>
      </c>
    </row>
    <row r="1632" customFormat="false" ht="17.9" hidden="false" customHeight="true" outlineLevel="0" collapsed="false">
      <c r="A1632" s="16" t="s">
        <v>2484</v>
      </c>
      <c r="B1632" s="16" t="n">
        <f aca="false">IF(_xlfn.UNICODE(A1632)&lt;44032,-1,_xlfn.UNICODE(A1632)-44032)</f>
        <v>7307</v>
      </c>
      <c r="C1632" s="16" t="n">
        <f aca="false">IF(B1632=-1,-1,INT((B1632/28)/21))</f>
        <v>12</v>
      </c>
      <c r="D1632" s="16" t="n">
        <f aca="false">IF(B1632=-1, -1, MOD(INT(B1632/28),21))</f>
        <v>8</v>
      </c>
      <c r="E1632" s="16" t="n">
        <f aca="false">IF(B1632=-1, -1, VLOOKUP(MOD(B1632,28), $T$24:$U$52,2))</f>
        <v>19</v>
      </c>
      <c r="F1632" s="16" t="n">
        <f aca="false">IF($B1632=-1, -1, VLOOKUP(C1632,$T$1:$V$20, 2))</f>
        <v>3</v>
      </c>
      <c r="G1632" s="16" t="n">
        <f aca="false">IF($B1632=-1, -1, VLOOKUP(D1632,$Y$1:$Z$22,2))</f>
        <v>4</v>
      </c>
      <c r="H1632" s="16" t="str">
        <f aca="false">_xlfn.UNICHAR(((F1632*21)+G1632)*28+44032)</f>
        <v>더</v>
      </c>
      <c r="I1632" s="16" t="n">
        <f aca="false">IF(B1632=-1, 1, COUNTIF($A$2:$A$3000, H1632))</f>
        <v>1</v>
      </c>
      <c r="J1632" s="10" t="str">
        <f aca="false">_xlfn.CONCAT(A1632, ",",H1632,",",I1632)</f>
        <v>좋,더,1</v>
      </c>
      <c r="K1632" s="16" t="n">
        <f aca="false">IF(B1632=-1,-1,VLOOKUP(C1632,$T$1:$V$20,3))</f>
        <v>17</v>
      </c>
      <c r="L1632" s="16" t="n">
        <f aca="false">IF(B1632=-1,-1,VLOOKUP(D1632,$Y$1:$AA$22,3))</f>
        <v>8</v>
      </c>
      <c r="N1632" s="10" t="str">
        <f aca="false">_xlfn.UNICHAR(((C1632*21)+G1632)*28+44032)</f>
        <v>저</v>
      </c>
      <c r="O1632" s="10" t="str">
        <f aca="false">_xlfn.UNICHAR(((F1632*21)+D1632)*28+44032)</f>
        <v>도</v>
      </c>
      <c r="P1632" s="12" t="n">
        <f aca="false">COUNTIF($A$2:$A$3000, N1632) + COUNTIF($A$2:$A$3000, O1632)</f>
        <v>2</v>
      </c>
      <c r="Q1632" s="16" t="str">
        <f aca="false">IF(OR(B1632=-1,I1632=0, P1632&lt;&gt;2), "albhed_dummy", _xlfn.CONCAT("albhed ", RIGHT("  " &amp; K1632,2),", ", RIGHT("  " &amp; L1632,2), ", " ,"""",H1632,""", ", """",N1632,""", ","""",O1632,""""," ; ", A1632))</f>
        <v>albhed 17,  8, "더", "저", "도" ; 좋</v>
      </c>
    </row>
    <row r="1633" customFormat="false" ht="17.9" hidden="false" customHeight="true" outlineLevel="0" collapsed="false">
      <c r="A1633" s="16" t="s">
        <v>2485</v>
      </c>
      <c r="B1633" s="16" t="n">
        <f aca="false">IF(_xlfn.UNICODE(A1633)&lt;44032,-1,_xlfn.UNICODE(A1633)-44032)</f>
        <v>7308</v>
      </c>
      <c r="C1633" s="16" t="n">
        <f aca="false">IF(B1633=-1,-1,INT((B1633/28)/21))</f>
        <v>12</v>
      </c>
      <c r="D1633" s="16" t="n">
        <f aca="false">IF(B1633=-1, -1, MOD(INT(B1633/28),21))</f>
        <v>9</v>
      </c>
      <c r="E1633" s="16" t="n">
        <f aca="false">IF(B1633=-1, -1, VLOOKUP(MOD(B1633,28), $T$24:$U$52,2))</f>
        <v>0</v>
      </c>
      <c r="F1633" s="16" t="n">
        <f aca="false">IF($B1633=-1, -1, VLOOKUP(C1633,$T$1:$V$20, 2))</f>
        <v>3</v>
      </c>
      <c r="G1633" s="16" t="n">
        <f aca="false">IF($B1633=-1, -1, VLOOKUP(D1633,$Y$1:$Z$22,2))</f>
        <v>20</v>
      </c>
      <c r="H1633" s="16" t="str">
        <f aca="false">_xlfn.UNICHAR(((F1633*21)+G1633)*28+44032)</f>
        <v>디</v>
      </c>
      <c r="I1633" s="16" t="n">
        <f aca="false">IF(B1633=-1, 1, COUNTIF($A$2:$A$3000, H1633))</f>
        <v>1</v>
      </c>
      <c r="J1633" s="10" t="str">
        <f aca="false">_xlfn.CONCAT(A1633, ",",H1633,",",I1633)</f>
        <v>좌,디,1</v>
      </c>
      <c r="K1633" s="16" t="n">
        <f aca="false">IF(B1633=-1,-1,VLOOKUP(C1633,$T$1:$V$20,3))</f>
        <v>17</v>
      </c>
      <c r="L1633" s="16" t="n">
        <f aca="false">IF(B1633=-1,-1,VLOOKUP(D1633,$Y$1:$AA$22,3))</f>
        <v>12</v>
      </c>
      <c r="N1633" s="10" t="str">
        <f aca="false">_xlfn.UNICHAR(((C1633*21)+G1633)*28+44032)</f>
        <v>지</v>
      </c>
      <c r="O1633" s="10" t="str">
        <f aca="false">_xlfn.UNICHAR(((F1633*21)+D1633)*28+44032)</f>
        <v>돠</v>
      </c>
      <c r="P1633" s="12" t="n">
        <f aca="false">COUNTIF($A$2:$A$3000, N1633) + COUNTIF($A$2:$A$3000, O1633)</f>
        <v>2</v>
      </c>
      <c r="Q1633" s="16" t="str">
        <f aca="false">IF(OR(B1633=-1,I1633=0, P1633&lt;&gt;2), "albhed_dummy", _xlfn.CONCAT("albhed ", RIGHT("  " &amp; K1633,2),", ", RIGHT("  " &amp; L1633,2), ", " ,"""",H1633,""", ", """",N1633,""", ","""",O1633,""""," ; ", A1633))</f>
        <v>albhed 17, 12, "디", "지", "돠" ; 좌</v>
      </c>
    </row>
    <row r="1634" customFormat="false" ht="17.9" hidden="false" customHeight="true" outlineLevel="0" collapsed="false">
      <c r="A1634" s="16" t="s">
        <v>2486</v>
      </c>
      <c r="B1634" s="16" t="n">
        <f aca="false">IF(_xlfn.UNICODE(A1634)&lt;44032,-1,_xlfn.UNICODE(A1634)-44032)</f>
        <v>7309</v>
      </c>
      <c r="C1634" s="16" t="n">
        <f aca="false">IF(B1634=-1,-1,INT((B1634/28)/21))</f>
        <v>12</v>
      </c>
      <c r="D1634" s="16" t="n">
        <f aca="false">IF(B1634=-1, -1, MOD(INT(B1634/28),21))</f>
        <v>9</v>
      </c>
      <c r="E1634" s="16" t="n">
        <f aca="false">IF(B1634=-1, -1, VLOOKUP(MOD(B1634,28), $T$24:$U$52,2))</f>
        <v>1</v>
      </c>
      <c r="F1634" s="16" t="n">
        <f aca="false">IF($B1634=-1, -1, VLOOKUP(C1634,$T$1:$V$20, 2))</f>
        <v>3</v>
      </c>
      <c r="G1634" s="16" t="n">
        <f aca="false">IF($B1634=-1, -1, VLOOKUP(D1634,$Y$1:$Z$22,2))</f>
        <v>20</v>
      </c>
      <c r="H1634" s="16" t="str">
        <f aca="false">_xlfn.UNICHAR(((F1634*21)+G1634)*28+44032)</f>
        <v>디</v>
      </c>
      <c r="I1634" s="16" t="n">
        <f aca="false">IF(B1634=-1, 1, COUNTIF($A$2:$A$3000, H1634))</f>
        <v>1</v>
      </c>
      <c r="J1634" s="10" t="str">
        <f aca="false">_xlfn.CONCAT(A1634, ",",H1634,",",I1634)</f>
        <v>좍,디,1</v>
      </c>
      <c r="K1634" s="16" t="n">
        <f aca="false">IF(B1634=-1,-1,VLOOKUP(C1634,$T$1:$V$20,3))</f>
        <v>17</v>
      </c>
      <c r="L1634" s="16" t="n">
        <f aca="false">IF(B1634=-1,-1,VLOOKUP(D1634,$Y$1:$AA$22,3))</f>
        <v>12</v>
      </c>
      <c r="N1634" s="10" t="str">
        <f aca="false">_xlfn.UNICHAR(((C1634*21)+G1634)*28+44032)</f>
        <v>지</v>
      </c>
      <c r="O1634" s="10" t="str">
        <f aca="false">_xlfn.UNICHAR(((F1634*21)+D1634)*28+44032)</f>
        <v>돠</v>
      </c>
      <c r="P1634" s="12" t="n">
        <f aca="false">COUNTIF($A$2:$A$3000, N1634) + COUNTIF($A$2:$A$3000, O1634)</f>
        <v>2</v>
      </c>
      <c r="Q1634" s="16" t="str">
        <f aca="false">IF(OR(B1634=-1,I1634=0, P1634&lt;&gt;2), "albhed_dummy", _xlfn.CONCAT("albhed ", RIGHT("  " &amp; K1634,2),", ", RIGHT("  " &amp; L1634,2), ", " ,"""",H1634,""", ", """",N1634,""", ","""",O1634,""""," ; ", A1634))</f>
        <v>albhed 17, 12, "디", "지", "돠" ; 좍</v>
      </c>
    </row>
    <row r="1635" customFormat="false" ht="17.9" hidden="false" customHeight="true" outlineLevel="0" collapsed="false">
      <c r="A1635" s="16" t="s">
        <v>2487</v>
      </c>
      <c r="B1635" s="16" t="n">
        <f aca="false">IF(_xlfn.UNICODE(A1635)&lt;44032,-1,_xlfn.UNICODE(A1635)-44032)</f>
        <v>7316</v>
      </c>
      <c r="C1635" s="16" t="n">
        <f aca="false">IF(B1635=-1,-1,INT((B1635/28)/21))</f>
        <v>12</v>
      </c>
      <c r="D1635" s="16" t="n">
        <f aca="false">IF(B1635=-1, -1, MOD(INT(B1635/28),21))</f>
        <v>9</v>
      </c>
      <c r="E1635" s="16" t="n">
        <f aca="false">IF(B1635=-1, -1, VLOOKUP(MOD(B1635,28), $T$24:$U$52,2))</f>
        <v>8</v>
      </c>
      <c r="F1635" s="16" t="n">
        <f aca="false">IF($B1635=-1, -1, VLOOKUP(C1635,$T$1:$V$20, 2))</f>
        <v>3</v>
      </c>
      <c r="G1635" s="16" t="n">
        <f aca="false">IF($B1635=-1, -1, VLOOKUP(D1635,$Y$1:$Z$22,2))</f>
        <v>20</v>
      </c>
      <c r="H1635" s="16" t="str">
        <f aca="false">_xlfn.UNICHAR(((F1635*21)+G1635)*28+44032)</f>
        <v>디</v>
      </c>
      <c r="I1635" s="16" t="n">
        <f aca="false">IF(B1635=-1, 1, COUNTIF($A$2:$A$3000, H1635))</f>
        <v>1</v>
      </c>
      <c r="J1635" s="10" t="str">
        <f aca="false">_xlfn.CONCAT(A1635, ",",H1635,",",I1635)</f>
        <v>좔,디,1</v>
      </c>
      <c r="K1635" s="16" t="n">
        <f aca="false">IF(B1635=-1,-1,VLOOKUP(C1635,$T$1:$V$20,3))</f>
        <v>17</v>
      </c>
      <c r="L1635" s="16" t="n">
        <f aca="false">IF(B1635=-1,-1,VLOOKUP(D1635,$Y$1:$AA$22,3))</f>
        <v>12</v>
      </c>
      <c r="N1635" s="10" t="str">
        <f aca="false">_xlfn.UNICHAR(((C1635*21)+G1635)*28+44032)</f>
        <v>지</v>
      </c>
      <c r="O1635" s="10" t="str">
        <f aca="false">_xlfn.UNICHAR(((F1635*21)+D1635)*28+44032)</f>
        <v>돠</v>
      </c>
      <c r="P1635" s="12" t="n">
        <f aca="false">COUNTIF($A$2:$A$3000, N1635) + COUNTIF($A$2:$A$3000, O1635)</f>
        <v>2</v>
      </c>
      <c r="Q1635" s="16" t="str">
        <f aca="false">IF(OR(B1635=-1,I1635=0, P1635&lt;&gt;2), "albhed_dummy", _xlfn.CONCAT("albhed ", RIGHT("  " &amp; K1635,2),", ", RIGHT("  " &amp; L1635,2), ", " ,"""",H1635,""", ", """",N1635,""", ","""",O1635,""""," ; ", A1635))</f>
        <v>albhed 17, 12, "디", "지", "돠" ; 좔</v>
      </c>
    </row>
    <row r="1636" customFormat="false" ht="17.9" hidden="false" customHeight="true" outlineLevel="0" collapsed="false">
      <c r="A1636" s="16" t="s">
        <v>2488</v>
      </c>
      <c r="B1636" s="16" t="n">
        <f aca="false">IF(_xlfn.UNICODE(A1636)&lt;44032,-1,_xlfn.UNICODE(A1636)-44032)</f>
        <v>7325</v>
      </c>
      <c r="C1636" s="16" t="n">
        <f aca="false">IF(B1636=-1,-1,INT((B1636/28)/21))</f>
        <v>12</v>
      </c>
      <c r="D1636" s="16" t="n">
        <f aca="false">IF(B1636=-1, -1, MOD(INT(B1636/28),21))</f>
        <v>9</v>
      </c>
      <c r="E1636" s="16" t="n">
        <f aca="false">IF(B1636=-1, -1, VLOOKUP(MOD(B1636,28), $T$24:$U$52,2))</f>
        <v>17</v>
      </c>
      <c r="F1636" s="16" t="n">
        <f aca="false">IF($B1636=-1, -1, VLOOKUP(C1636,$T$1:$V$20, 2))</f>
        <v>3</v>
      </c>
      <c r="G1636" s="16" t="n">
        <f aca="false">IF($B1636=-1, -1, VLOOKUP(D1636,$Y$1:$Z$22,2))</f>
        <v>20</v>
      </c>
      <c r="H1636" s="16" t="str">
        <f aca="false">_xlfn.UNICHAR(((F1636*21)+G1636)*28+44032)</f>
        <v>디</v>
      </c>
      <c r="I1636" s="16" t="n">
        <f aca="false">IF(B1636=-1, 1, COUNTIF($A$2:$A$3000, H1636))</f>
        <v>1</v>
      </c>
      <c r="J1636" s="10" t="str">
        <f aca="false">_xlfn.CONCAT(A1636, ",",H1636,",",I1636)</f>
        <v>좝,디,1</v>
      </c>
      <c r="K1636" s="16" t="n">
        <f aca="false">IF(B1636=-1,-1,VLOOKUP(C1636,$T$1:$V$20,3))</f>
        <v>17</v>
      </c>
      <c r="L1636" s="16" t="n">
        <f aca="false">IF(B1636=-1,-1,VLOOKUP(D1636,$Y$1:$AA$22,3))</f>
        <v>12</v>
      </c>
      <c r="N1636" s="10" t="str">
        <f aca="false">_xlfn.UNICHAR(((C1636*21)+G1636)*28+44032)</f>
        <v>지</v>
      </c>
      <c r="O1636" s="10" t="str">
        <f aca="false">_xlfn.UNICHAR(((F1636*21)+D1636)*28+44032)</f>
        <v>돠</v>
      </c>
      <c r="P1636" s="12" t="n">
        <f aca="false">COUNTIF($A$2:$A$3000, N1636) + COUNTIF($A$2:$A$3000, O1636)</f>
        <v>2</v>
      </c>
      <c r="Q1636" s="16" t="str">
        <f aca="false">IF(OR(B1636=-1,I1636=0, P1636&lt;&gt;2), "albhed_dummy", _xlfn.CONCAT("albhed ", RIGHT("  " &amp; K1636,2),", ", RIGHT("  " &amp; L1636,2), ", " ,"""",H1636,""", ", """",N1636,""", ","""",O1636,""""," ; ", A1636))</f>
        <v>albhed 17, 12, "디", "지", "돠" ; 좝</v>
      </c>
    </row>
    <row r="1637" customFormat="false" ht="17.9" hidden="false" customHeight="true" outlineLevel="0" collapsed="false">
      <c r="A1637" s="16" t="s">
        <v>2489</v>
      </c>
      <c r="B1637" s="16" t="n">
        <f aca="false">IF(_xlfn.UNICODE(A1637)&lt;44032,-1,_xlfn.UNICODE(A1637)-44032)</f>
        <v>7327</v>
      </c>
      <c r="C1637" s="16" t="n">
        <f aca="false">IF(B1637=-1,-1,INT((B1637/28)/21))</f>
        <v>12</v>
      </c>
      <c r="D1637" s="16" t="n">
        <f aca="false">IF(B1637=-1, -1, MOD(INT(B1637/28),21))</f>
        <v>9</v>
      </c>
      <c r="E1637" s="16" t="n">
        <f aca="false">IF(B1637=-1, -1, VLOOKUP(MOD(B1637,28), $T$24:$U$52,2))</f>
        <v>19</v>
      </c>
      <c r="F1637" s="16" t="n">
        <f aca="false">IF($B1637=-1, -1, VLOOKUP(C1637,$T$1:$V$20, 2))</f>
        <v>3</v>
      </c>
      <c r="G1637" s="16" t="n">
        <f aca="false">IF($B1637=-1, -1, VLOOKUP(D1637,$Y$1:$Z$22,2))</f>
        <v>20</v>
      </c>
      <c r="H1637" s="16" t="str">
        <f aca="false">_xlfn.UNICHAR(((F1637*21)+G1637)*28+44032)</f>
        <v>디</v>
      </c>
      <c r="I1637" s="16" t="n">
        <f aca="false">IF(B1637=-1, 1, COUNTIF($A$2:$A$3000, H1637))</f>
        <v>1</v>
      </c>
      <c r="J1637" s="10" t="str">
        <f aca="false">_xlfn.CONCAT(A1637, ",",H1637,",",I1637)</f>
        <v>좟,디,1</v>
      </c>
      <c r="K1637" s="16" t="n">
        <f aca="false">IF(B1637=-1,-1,VLOOKUP(C1637,$T$1:$V$20,3))</f>
        <v>17</v>
      </c>
      <c r="L1637" s="16" t="n">
        <f aca="false">IF(B1637=-1,-1,VLOOKUP(D1637,$Y$1:$AA$22,3))</f>
        <v>12</v>
      </c>
      <c r="N1637" s="10" t="str">
        <f aca="false">_xlfn.UNICHAR(((C1637*21)+G1637)*28+44032)</f>
        <v>지</v>
      </c>
      <c r="O1637" s="10" t="str">
        <f aca="false">_xlfn.UNICHAR(((F1637*21)+D1637)*28+44032)</f>
        <v>돠</v>
      </c>
      <c r="P1637" s="12" t="n">
        <f aca="false">COUNTIF($A$2:$A$3000, N1637) + COUNTIF($A$2:$A$3000, O1637)</f>
        <v>2</v>
      </c>
      <c r="Q1637" s="16" t="str">
        <f aca="false">IF(OR(B1637=-1,I1637=0, P1637&lt;&gt;2), "albhed_dummy", _xlfn.CONCAT("albhed ", RIGHT("  " &amp; K1637,2),", ", RIGHT("  " &amp; L1637,2), ", " ,"""",H1637,""", ", """",N1637,""", ","""",O1637,""""," ; ", A1637))</f>
        <v>albhed 17, 12, "디", "지", "돠" ; 좟</v>
      </c>
    </row>
    <row r="1638" customFormat="false" ht="17.9" hidden="false" customHeight="true" outlineLevel="0" collapsed="false">
      <c r="A1638" s="16" t="s">
        <v>2490</v>
      </c>
      <c r="B1638" s="16" t="n">
        <f aca="false">IF(_xlfn.UNICODE(A1638)&lt;44032,-1,_xlfn.UNICODE(A1638)-44032)</f>
        <v>7329</v>
      </c>
      <c r="C1638" s="16" t="n">
        <f aca="false">IF(B1638=-1,-1,INT((B1638/28)/21))</f>
        <v>12</v>
      </c>
      <c r="D1638" s="16" t="n">
        <f aca="false">IF(B1638=-1, -1, MOD(INT(B1638/28),21))</f>
        <v>9</v>
      </c>
      <c r="E1638" s="16" t="n">
        <f aca="false">IF(B1638=-1, -1, VLOOKUP(MOD(B1638,28), $T$24:$U$52,2))</f>
        <v>21</v>
      </c>
      <c r="F1638" s="16" t="n">
        <f aca="false">IF($B1638=-1, -1, VLOOKUP(C1638,$T$1:$V$20, 2))</f>
        <v>3</v>
      </c>
      <c r="G1638" s="16" t="n">
        <f aca="false">IF($B1638=-1, -1, VLOOKUP(D1638,$Y$1:$Z$22,2))</f>
        <v>20</v>
      </c>
      <c r="H1638" s="16" t="str">
        <f aca="false">_xlfn.UNICHAR(((F1638*21)+G1638)*28+44032)</f>
        <v>디</v>
      </c>
      <c r="I1638" s="16" t="n">
        <f aca="false">IF(B1638=-1, 1, COUNTIF($A$2:$A$3000, H1638))</f>
        <v>1</v>
      </c>
      <c r="J1638" s="10" t="str">
        <f aca="false">_xlfn.CONCAT(A1638, ",",H1638,",",I1638)</f>
        <v>좡,디,1</v>
      </c>
      <c r="K1638" s="16" t="n">
        <f aca="false">IF(B1638=-1,-1,VLOOKUP(C1638,$T$1:$V$20,3))</f>
        <v>17</v>
      </c>
      <c r="L1638" s="16" t="n">
        <f aca="false">IF(B1638=-1,-1,VLOOKUP(D1638,$Y$1:$AA$22,3))</f>
        <v>12</v>
      </c>
      <c r="N1638" s="10" t="str">
        <f aca="false">_xlfn.UNICHAR(((C1638*21)+G1638)*28+44032)</f>
        <v>지</v>
      </c>
      <c r="O1638" s="10" t="str">
        <f aca="false">_xlfn.UNICHAR(((F1638*21)+D1638)*28+44032)</f>
        <v>돠</v>
      </c>
      <c r="P1638" s="12" t="n">
        <f aca="false">COUNTIF($A$2:$A$3000, N1638) + COUNTIF($A$2:$A$3000, O1638)</f>
        <v>2</v>
      </c>
      <c r="Q1638" s="16" t="str">
        <f aca="false">IF(OR(B1638=-1,I1638=0, P1638&lt;&gt;2), "albhed_dummy", _xlfn.CONCAT("albhed ", RIGHT("  " &amp; K1638,2),", ", RIGHT("  " &amp; L1638,2), ", " ,"""",H1638,""", ", """",N1638,""", ","""",O1638,""""," ; ", A1638))</f>
        <v>albhed 17, 12, "디", "지", "돠" ; 좡</v>
      </c>
    </row>
    <row r="1639" customFormat="false" ht="17.9" hidden="false" customHeight="true" outlineLevel="0" collapsed="false">
      <c r="A1639" s="16" t="s">
        <v>2491</v>
      </c>
      <c r="B1639" s="16" t="n">
        <f aca="false">IF(_xlfn.UNICODE(A1639)&lt;44032,-1,_xlfn.UNICODE(A1639)-44032)</f>
        <v>7336</v>
      </c>
      <c r="C1639" s="16" t="n">
        <f aca="false">IF(B1639=-1,-1,INT((B1639/28)/21))</f>
        <v>12</v>
      </c>
      <c r="D1639" s="16" t="n">
        <f aca="false">IF(B1639=-1, -1, MOD(INT(B1639/28),21))</f>
        <v>10</v>
      </c>
      <c r="E1639" s="16" t="n">
        <f aca="false">IF(B1639=-1, -1, VLOOKUP(MOD(B1639,28), $T$24:$U$52,2))</f>
        <v>0</v>
      </c>
      <c r="F1639" s="16" t="n">
        <f aca="false">IF($B1639=-1, -1, VLOOKUP(C1639,$T$1:$V$20, 2))</f>
        <v>3</v>
      </c>
      <c r="G1639" s="16" t="n">
        <f aca="false">IF($B1639=-1, -1, VLOOKUP(D1639,$Y$1:$Z$22,2))</f>
        <v>20</v>
      </c>
      <c r="H1639" s="16" t="str">
        <f aca="false">_xlfn.UNICHAR(((F1639*21)+G1639)*28+44032)</f>
        <v>디</v>
      </c>
      <c r="I1639" s="16" t="n">
        <f aca="false">IF(B1639=-1, 1, COUNTIF($A$2:$A$3000, H1639))</f>
        <v>1</v>
      </c>
      <c r="J1639" s="10" t="str">
        <f aca="false">_xlfn.CONCAT(A1639, ",",H1639,",",I1639)</f>
        <v>좨,디,1</v>
      </c>
      <c r="K1639" s="16" t="n">
        <f aca="false">IF(B1639=-1,-1,VLOOKUP(C1639,$T$1:$V$20,3))</f>
        <v>17</v>
      </c>
      <c r="L1639" s="16" t="n">
        <f aca="false">IF(B1639=-1,-1,VLOOKUP(D1639,$Y$1:$AA$22,3))</f>
        <v>12</v>
      </c>
      <c r="N1639" s="10" t="str">
        <f aca="false">_xlfn.UNICHAR(((C1639*21)+G1639)*28+44032)</f>
        <v>지</v>
      </c>
      <c r="O1639" s="10" t="str">
        <f aca="false">_xlfn.UNICHAR(((F1639*21)+D1639)*28+44032)</f>
        <v>돼</v>
      </c>
      <c r="P1639" s="12" t="n">
        <f aca="false">COUNTIF($A$2:$A$3000, N1639) + COUNTIF($A$2:$A$3000, O1639)</f>
        <v>2</v>
      </c>
      <c r="Q1639" s="16" t="str">
        <f aca="false">IF(OR(B1639=-1,I1639=0, P1639&lt;&gt;2), "albhed_dummy", _xlfn.CONCAT("albhed ", RIGHT("  " &amp; K1639,2),", ", RIGHT("  " &amp; L1639,2), ", " ,"""",H1639,""", ", """",N1639,""", ","""",O1639,""""," ; ", A1639))</f>
        <v>albhed 17, 12, "디", "지", "돼" ; 좨</v>
      </c>
    </row>
    <row r="1640" customFormat="false" ht="17.9" hidden="false" customHeight="true" outlineLevel="0" collapsed="false">
      <c r="A1640" s="16" t="s">
        <v>2492</v>
      </c>
      <c r="B1640" s="16" t="n">
        <f aca="false">IF(_xlfn.UNICODE(A1640)&lt;44032,-1,_xlfn.UNICODE(A1640)-44032)</f>
        <v>7356</v>
      </c>
      <c r="C1640" s="16" t="n">
        <f aca="false">IF(B1640=-1,-1,INT((B1640/28)/21))</f>
        <v>12</v>
      </c>
      <c r="D1640" s="16" t="n">
        <f aca="false">IF(B1640=-1, -1, MOD(INT(B1640/28),21))</f>
        <v>10</v>
      </c>
      <c r="E1640" s="16" t="n">
        <f aca="false">IF(B1640=-1, -1, VLOOKUP(MOD(B1640,28), $T$24:$U$52,2))</f>
        <v>19</v>
      </c>
      <c r="F1640" s="16" t="n">
        <f aca="false">IF($B1640=-1, -1, VLOOKUP(C1640,$T$1:$V$20, 2))</f>
        <v>3</v>
      </c>
      <c r="G1640" s="16" t="n">
        <f aca="false">IF($B1640=-1, -1, VLOOKUP(D1640,$Y$1:$Z$22,2))</f>
        <v>20</v>
      </c>
      <c r="H1640" s="16" t="str">
        <f aca="false">_xlfn.UNICHAR(((F1640*21)+G1640)*28+44032)</f>
        <v>디</v>
      </c>
      <c r="I1640" s="16" t="n">
        <f aca="false">IF(B1640=-1, 1, COUNTIF($A$2:$A$3000, H1640))</f>
        <v>1</v>
      </c>
      <c r="J1640" s="10" t="str">
        <f aca="false">_xlfn.CONCAT(A1640, ",",H1640,",",I1640)</f>
        <v>좼,디,1</v>
      </c>
      <c r="K1640" s="16" t="n">
        <f aca="false">IF(B1640=-1,-1,VLOOKUP(C1640,$T$1:$V$20,3))</f>
        <v>17</v>
      </c>
      <c r="L1640" s="16" t="n">
        <f aca="false">IF(B1640=-1,-1,VLOOKUP(D1640,$Y$1:$AA$22,3))</f>
        <v>12</v>
      </c>
      <c r="N1640" s="10" t="str">
        <f aca="false">_xlfn.UNICHAR(((C1640*21)+G1640)*28+44032)</f>
        <v>지</v>
      </c>
      <c r="O1640" s="10" t="str">
        <f aca="false">_xlfn.UNICHAR(((F1640*21)+D1640)*28+44032)</f>
        <v>돼</v>
      </c>
      <c r="P1640" s="12" t="n">
        <f aca="false">COUNTIF($A$2:$A$3000, N1640) + COUNTIF($A$2:$A$3000, O1640)</f>
        <v>2</v>
      </c>
      <c r="Q1640" s="16" t="str">
        <f aca="false">IF(OR(B1640=-1,I1640=0, P1640&lt;&gt;2), "albhed_dummy", _xlfn.CONCAT("albhed ", RIGHT("  " &amp; K1640,2),", ", RIGHT("  " &amp; L1640,2), ", " ,"""",H1640,""", ", """",N1640,""", ","""",O1640,""""," ; ", A1640))</f>
        <v>albhed 17, 12, "디", "지", "돼" ; 좼</v>
      </c>
    </row>
    <row r="1641" customFormat="false" ht="17.9" hidden="false" customHeight="true" outlineLevel="0" collapsed="false">
      <c r="A1641" s="16" t="s">
        <v>2493</v>
      </c>
      <c r="B1641" s="16" t="n">
        <f aca="false">IF(_xlfn.UNICODE(A1641)&lt;44032,-1,_xlfn.UNICODE(A1641)-44032)</f>
        <v>7357</v>
      </c>
      <c r="C1641" s="16" t="n">
        <f aca="false">IF(B1641=-1,-1,INT((B1641/28)/21))</f>
        <v>12</v>
      </c>
      <c r="D1641" s="16" t="n">
        <f aca="false">IF(B1641=-1, -1, MOD(INT(B1641/28),21))</f>
        <v>10</v>
      </c>
      <c r="E1641" s="16" t="n">
        <f aca="false">IF(B1641=-1, -1, VLOOKUP(MOD(B1641,28), $T$24:$U$52,2))</f>
        <v>21</v>
      </c>
      <c r="F1641" s="16" t="n">
        <f aca="false">IF($B1641=-1, -1, VLOOKUP(C1641,$T$1:$V$20, 2))</f>
        <v>3</v>
      </c>
      <c r="G1641" s="16" t="n">
        <f aca="false">IF($B1641=-1, -1, VLOOKUP(D1641,$Y$1:$Z$22,2))</f>
        <v>20</v>
      </c>
      <c r="H1641" s="16" t="str">
        <f aca="false">_xlfn.UNICHAR(((F1641*21)+G1641)*28+44032)</f>
        <v>디</v>
      </c>
      <c r="I1641" s="16" t="n">
        <f aca="false">IF(B1641=-1, 1, COUNTIF($A$2:$A$3000, H1641))</f>
        <v>1</v>
      </c>
      <c r="J1641" s="10" t="str">
        <f aca="false">_xlfn.CONCAT(A1641, ",",H1641,",",I1641)</f>
        <v>좽,디,1</v>
      </c>
      <c r="K1641" s="16" t="n">
        <f aca="false">IF(B1641=-1,-1,VLOOKUP(C1641,$T$1:$V$20,3))</f>
        <v>17</v>
      </c>
      <c r="L1641" s="16" t="n">
        <f aca="false">IF(B1641=-1,-1,VLOOKUP(D1641,$Y$1:$AA$22,3))</f>
        <v>12</v>
      </c>
      <c r="N1641" s="10" t="str">
        <f aca="false">_xlfn.UNICHAR(((C1641*21)+G1641)*28+44032)</f>
        <v>지</v>
      </c>
      <c r="O1641" s="10" t="str">
        <f aca="false">_xlfn.UNICHAR(((F1641*21)+D1641)*28+44032)</f>
        <v>돼</v>
      </c>
      <c r="P1641" s="12" t="n">
        <f aca="false">COUNTIF($A$2:$A$3000, N1641) + COUNTIF($A$2:$A$3000, O1641)</f>
        <v>2</v>
      </c>
      <c r="Q1641" s="16" t="str">
        <f aca="false">IF(OR(B1641=-1,I1641=0, P1641&lt;&gt;2), "albhed_dummy", _xlfn.CONCAT("albhed ", RIGHT("  " &amp; K1641,2),", ", RIGHT("  " &amp; L1641,2), ", " ,"""",H1641,""", ", """",N1641,""", ","""",O1641,""""," ; ", A1641))</f>
        <v>albhed 17, 12, "디", "지", "돼" ; 좽</v>
      </c>
    </row>
    <row r="1642" customFormat="false" ht="17.9" hidden="false" customHeight="true" outlineLevel="0" collapsed="false">
      <c r="A1642" s="16" t="s">
        <v>2494</v>
      </c>
      <c r="B1642" s="16" t="n">
        <f aca="false">IF(_xlfn.UNICODE(A1642)&lt;44032,-1,_xlfn.UNICODE(A1642)-44032)</f>
        <v>7364</v>
      </c>
      <c r="C1642" s="16" t="n">
        <f aca="false">IF(B1642=-1,-1,INT((B1642/28)/21))</f>
        <v>12</v>
      </c>
      <c r="D1642" s="16" t="n">
        <f aca="false">IF(B1642=-1, -1, MOD(INT(B1642/28),21))</f>
        <v>11</v>
      </c>
      <c r="E1642" s="16" t="n">
        <f aca="false">IF(B1642=-1, -1, VLOOKUP(MOD(B1642,28), $T$24:$U$52,2))</f>
        <v>0</v>
      </c>
      <c r="F1642" s="16" t="n">
        <f aca="false">IF($B1642=-1, -1, VLOOKUP(C1642,$T$1:$V$20, 2))</f>
        <v>3</v>
      </c>
      <c r="G1642" s="16" t="n">
        <f aca="false">IF($B1642=-1, -1, VLOOKUP(D1642,$Y$1:$Z$22,2))</f>
        <v>20</v>
      </c>
      <c r="H1642" s="16" t="str">
        <f aca="false">_xlfn.UNICHAR(((F1642*21)+G1642)*28+44032)</f>
        <v>디</v>
      </c>
      <c r="I1642" s="16" t="n">
        <f aca="false">IF(B1642=-1, 1, COUNTIF($A$2:$A$3000, H1642))</f>
        <v>1</v>
      </c>
      <c r="J1642" s="10" t="str">
        <f aca="false">_xlfn.CONCAT(A1642, ",",H1642,",",I1642)</f>
        <v>죄,디,1</v>
      </c>
      <c r="K1642" s="16" t="n">
        <f aca="false">IF(B1642=-1,-1,VLOOKUP(C1642,$T$1:$V$20,3))</f>
        <v>17</v>
      </c>
      <c r="L1642" s="16" t="n">
        <f aca="false">IF(B1642=-1,-1,VLOOKUP(D1642,$Y$1:$AA$22,3))</f>
        <v>22</v>
      </c>
      <c r="N1642" s="10" t="str">
        <f aca="false">_xlfn.UNICHAR(((C1642*21)+G1642)*28+44032)</f>
        <v>지</v>
      </c>
      <c r="O1642" s="10" t="str">
        <f aca="false">_xlfn.UNICHAR(((F1642*21)+D1642)*28+44032)</f>
        <v>되</v>
      </c>
      <c r="P1642" s="12" t="n">
        <f aca="false">COUNTIF($A$2:$A$3000, N1642) + COUNTIF($A$2:$A$3000, O1642)</f>
        <v>2</v>
      </c>
      <c r="Q1642" s="16" t="str">
        <f aca="false">IF(OR(B1642=-1,I1642=0, P1642&lt;&gt;2), "albhed_dummy", _xlfn.CONCAT("albhed ", RIGHT("  " &amp; K1642,2),", ", RIGHT("  " &amp; L1642,2), ", " ,"""",H1642,""", ", """",N1642,""", ","""",O1642,""""," ; ", A1642))</f>
        <v>albhed 17, 22, "디", "지", "되" ; 죄</v>
      </c>
    </row>
    <row r="1643" customFormat="false" ht="17.9" hidden="false" customHeight="true" outlineLevel="0" collapsed="false">
      <c r="A1643" s="16" t="s">
        <v>2495</v>
      </c>
      <c r="B1643" s="16" t="n">
        <f aca="false">IF(_xlfn.UNICODE(A1643)&lt;44032,-1,_xlfn.UNICODE(A1643)-44032)</f>
        <v>7368</v>
      </c>
      <c r="C1643" s="16" t="n">
        <f aca="false">IF(B1643=-1,-1,INT((B1643/28)/21))</f>
        <v>12</v>
      </c>
      <c r="D1643" s="16" t="n">
        <f aca="false">IF(B1643=-1, -1, MOD(INT(B1643/28),21))</f>
        <v>11</v>
      </c>
      <c r="E1643" s="16" t="n">
        <f aca="false">IF(B1643=-1, -1, VLOOKUP(MOD(B1643,28), $T$24:$U$52,2))</f>
        <v>4</v>
      </c>
      <c r="F1643" s="16" t="n">
        <f aca="false">IF($B1643=-1, -1, VLOOKUP(C1643,$T$1:$V$20, 2))</f>
        <v>3</v>
      </c>
      <c r="G1643" s="16" t="n">
        <f aca="false">IF($B1643=-1, -1, VLOOKUP(D1643,$Y$1:$Z$22,2))</f>
        <v>20</v>
      </c>
      <c r="H1643" s="16" t="str">
        <f aca="false">_xlfn.UNICHAR(((F1643*21)+G1643)*28+44032)</f>
        <v>디</v>
      </c>
      <c r="I1643" s="16" t="n">
        <f aca="false">IF(B1643=-1, 1, COUNTIF($A$2:$A$3000, H1643))</f>
        <v>1</v>
      </c>
      <c r="J1643" s="10" t="str">
        <f aca="false">_xlfn.CONCAT(A1643, ",",H1643,",",I1643)</f>
        <v>죈,디,1</v>
      </c>
      <c r="K1643" s="16" t="n">
        <f aca="false">IF(B1643=-1,-1,VLOOKUP(C1643,$T$1:$V$20,3))</f>
        <v>17</v>
      </c>
      <c r="L1643" s="16" t="n">
        <f aca="false">IF(B1643=-1,-1,VLOOKUP(D1643,$Y$1:$AA$22,3))</f>
        <v>22</v>
      </c>
      <c r="N1643" s="10" t="str">
        <f aca="false">_xlfn.UNICHAR(((C1643*21)+G1643)*28+44032)</f>
        <v>지</v>
      </c>
      <c r="O1643" s="10" t="str">
        <f aca="false">_xlfn.UNICHAR(((F1643*21)+D1643)*28+44032)</f>
        <v>되</v>
      </c>
      <c r="P1643" s="12" t="n">
        <f aca="false">COUNTIF($A$2:$A$3000, N1643) + COUNTIF($A$2:$A$3000, O1643)</f>
        <v>2</v>
      </c>
      <c r="Q1643" s="16" t="str">
        <f aca="false">IF(OR(B1643=-1,I1643=0, P1643&lt;&gt;2), "albhed_dummy", _xlfn.CONCAT("albhed ", RIGHT("  " &amp; K1643,2),", ", RIGHT("  " &amp; L1643,2), ", " ,"""",H1643,""", ", """",N1643,""", ","""",O1643,""""," ; ", A1643))</f>
        <v>albhed 17, 22, "디", "지", "되" ; 죈</v>
      </c>
    </row>
    <row r="1644" customFormat="false" ht="17.9" hidden="false" customHeight="true" outlineLevel="0" collapsed="false">
      <c r="A1644" s="16" t="s">
        <v>2496</v>
      </c>
      <c r="B1644" s="16" t="n">
        <f aca="false">IF(_xlfn.UNICODE(A1644)&lt;44032,-1,_xlfn.UNICODE(A1644)-44032)</f>
        <v>7372</v>
      </c>
      <c r="C1644" s="16" t="n">
        <f aca="false">IF(B1644=-1,-1,INT((B1644/28)/21))</f>
        <v>12</v>
      </c>
      <c r="D1644" s="16" t="n">
        <f aca="false">IF(B1644=-1, -1, MOD(INT(B1644/28),21))</f>
        <v>11</v>
      </c>
      <c r="E1644" s="16" t="n">
        <f aca="false">IF(B1644=-1, -1, VLOOKUP(MOD(B1644,28), $T$24:$U$52,2))</f>
        <v>8</v>
      </c>
      <c r="F1644" s="16" t="n">
        <f aca="false">IF($B1644=-1, -1, VLOOKUP(C1644,$T$1:$V$20, 2))</f>
        <v>3</v>
      </c>
      <c r="G1644" s="16" t="n">
        <f aca="false">IF($B1644=-1, -1, VLOOKUP(D1644,$Y$1:$Z$22,2))</f>
        <v>20</v>
      </c>
      <c r="H1644" s="16" t="str">
        <f aca="false">_xlfn.UNICHAR(((F1644*21)+G1644)*28+44032)</f>
        <v>디</v>
      </c>
      <c r="I1644" s="16" t="n">
        <f aca="false">IF(B1644=-1, 1, COUNTIF($A$2:$A$3000, H1644))</f>
        <v>1</v>
      </c>
      <c r="J1644" s="10" t="str">
        <f aca="false">_xlfn.CONCAT(A1644, ",",H1644,",",I1644)</f>
        <v>죌,디,1</v>
      </c>
      <c r="K1644" s="16" t="n">
        <f aca="false">IF(B1644=-1,-1,VLOOKUP(C1644,$T$1:$V$20,3))</f>
        <v>17</v>
      </c>
      <c r="L1644" s="16" t="n">
        <f aca="false">IF(B1644=-1,-1,VLOOKUP(D1644,$Y$1:$AA$22,3))</f>
        <v>22</v>
      </c>
      <c r="N1644" s="10" t="str">
        <f aca="false">_xlfn.UNICHAR(((C1644*21)+G1644)*28+44032)</f>
        <v>지</v>
      </c>
      <c r="O1644" s="10" t="str">
        <f aca="false">_xlfn.UNICHAR(((F1644*21)+D1644)*28+44032)</f>
        <v>되</v>
      </c>
      <c r="P1644" s="12" t="n">
        <f aca="false">COUNTIF($A$2:$A$3000, N1644) + COUNTIF($A$2:$A$3000, O1644)</f>
        <v>2</v>
      </c>
      <c r="Q1644" s="16" t="str">
        <f aca="false">IF(OR(B1644=-1,I1644=0, P1644&lt;&gt;2), "albhed_dummy", _xlfn.CONCAT("albhed ", RIGHT("  " &amp; K1644,2),", ", RIGHT("  " &amp; L1644,2), ", " ,"""",H1644,""", ", """",N1644,""", ","""",O1644,""""," ; ", A1644))</f>
        <v>albhed 17, 22, "디", "지", "되" ; 죌</v>
      </c>
    </row>
    <row r="1645" customFormat="false" ht="17.9" hidden="false" customHeight="true" outlineLevel="0" collapsed="false">
      <c r="A1645" s="16" t="s">
        <v>2497</v>
      </c>
      <c r="B1645" s="16" t="n">
        <f aca="false">IF(_xlfn.UNICODE(A1645)&lt;44032,-1,_xlfn.UNICODE(A1645)-44032)</f>
        <v>7380</v>
      </c>
      <c r="C1645" s="16" t="n">
        <f aca="false">IF(B1645=-1,-1,INT((B1645/28)/21))</f>
        <v>12</v>
      </c>
      <c r="D1645" s="16" t="n">
        <f aca="false">IF(B1645=-1, -1, MOD(INT(B1645/28),21))</f>
        <v>11</v>
      </c>
      <c r="E1645" s="16" t="n">
        <f aca="false">IF(B1645=-1, -1, VLOOKUP(MOD(B1645,28), $T$24:$U$52,2))</f>
        <v>16</v>
      </c>
      <c r="F1645" s="16" t="n">
        <f aca="false">IF($B1645=-1, -1, VLOOKUP(C1645,$T$1:$V$20, 2))</f>
        <v>3</v>
      </c>
      <c r="G1645" s="16" t="n">
        <f aca="false">IF($B1645=-1, -1, VLOOKUP(D1645,$Y$1:$Z$22,2))</f>
        <v>20</v>
      </c>
      <c r="H1645" s="16" t="str">
        <f aca="false">_xlfn.UNICHAR(((F1645*21)+G1645)*28+44032)</f>
        <v>디</v>
      </c>
      <c r="I1645" s="16" t="n">
        <f aca="false">IF(B1645=-1, 1, COUNTIF($A$2:$A$3000, H1645))</f>
        <v>1</v>
      </c>
      <c r="J1645" s="10" t="str">
        <f aca="false">_xlfn.CONCAT(A1645, ",",H1645,",",I1645)</f>
        <v>죔,디,1</v>
      </c>
      <c r="K1645" s="16" t="n">
        <f aca="false">IF(B1645=-1,-1,VLOOKUP(C1645,$T$1:$V$20,3))</f>
        <v>17</v>
      </c>
      <c r="L1645" s="16" t="n">
        <f aca="false">IF(B1645=-1,-1,VLOOKUP(D1645,$Y$1:$AA$22,3))</f>
        <v>22</v>
      </c>
      <c r="N1645" s="10" t="str">
        <f aca="false">_xlfn.UNICHAR(((C1645*21)+G1645)*28+44032)</f>
        <v>지</v>
      </c>
      <c r="O1645" s="10" t="str">
        <f aca="false">_xlfn.UNICHAR(((F1645*21)+D1645)*28+44032)</f>
        <v>되</v>
      </c>
      <c r="P1645" s="12" t="n">
        <f aca="false">COUNTIF($A$2:$A$3000, N1645) + COUNTIF($A$2:$A$3000, O1645)</f>
        <v>2</v>
      </c>
      <c r="Q1645" s="16" t="str">
        <f aca="false">IF(OR(B1645=-1,I1645=0, P1645&lt;&gt;2), "albhed_dummy", _xlfn.CONCAT("albhed ", RIGHT("  " &amp; K1645,2),", ", RIGHT("  " &amp; L1645,2), ", " ,"""",H1645,""", ", """",N1645,""", ","""",O1645,""""," ; ", A1645))</f>
        <v>albhed 17, 22, "디", "지", "되" ; 죔</v>
      </c>
    </row>
    <row r="1646" customFormat="false" ht="17.9" hidden="false" customHeight="true" outlineLevel="0" collapsed="false">
      <c r="A1646" s="16" t="s">
        <v>2498</v>
      </c>
      <c r="B1646" s="16" t="n">
        <f aca="false">IF(_xlfn.UNICODE(A1646)&lt;44032,-1,_xlfn.UNICODE(A1646)-44032)</f>
        <v>7381</v>
      </c>
      <c r="C1646" s="16" t="n">
        <f aca="false">IF(B1646=-1,-1,INT((B1646/28)/21))</f>
        <v>12</v>
      </c>
      <c r="D1646" s="16" t="n">
        <f aca="false">IF(B1646=-1, -1, MOD(INT(B1646/28),21))</f>
        <v>11</v>
      </c>
      <c r="E1646" s="16" t="n">
        <f aca="false">IF(B1646=-1, -1, VLOOKUP(MOD(B1646,28), $T$24:$U$52,2))</f>
        <v>17</v>
      </c>
      <c r="F1646" s="16" t="n">
        <f aca="false">IF($B1646=-1, -1, VLOOKUP(C1646,$T$1:$V$20, 2))</f>
        <v>3</v>
      </c>
      <c r="G1646" s="16" t="n">
        <f aca="false">IF($B1646=-1, -1, VLOOKUP(D1646,$Y$1:$Z$22,2))</f>
        <v>20</v>
      </c>
      <c r="H1646" s="16" t="str">
        <f aca="false">_xlfn.UNICHAR(((F1646*21)+G1646)*28+44032)</f>
        <v>디</v>
      </c>
      <c r="I1646" s="16" t="n">
        <f aca="false">IF(B1646=-1, 1, COUNTIF($A$2:$A$3000, H1646))</f>
        <v>1</v>
      </c>
      <c r="J1646" s="10" t="str">
        <f aca="false">_xlfn.CONCAT(A1646, ",",H1646,",",I1646)</f>
        <v>죕,디,1</v>
      </c>
      <c r="K1646" s="16" t="n">
        <f aca="false">IF(B1646=-1,-1,VLOOKUP(C1646,$T$1:$V$20,3))</f>
        <v>17</v>
      </c>
      <c r="L1646" s="16" t="n">
        <f aca="false">IF(B1646=-1,-1,VLOOKUP(D1646,$Y$1:$AA$22,3))</f>
        <v>22</v>
      </c>
      <c r="N1646" s="10" t="str">
        <f aca="false">_xlfn.UNICHAR(((C1646*21)+G1646)*28+44032)</f>
        <v>지</v>
      </c>
      <c r="O1646" s="10" t="str">
        <f aca="false">_xlfn.UNICHAR(((F1646*21)+D1646)*28+44032)</f>
        <v>되</v>
      </c>
      <c r="P1646" s="12" t="n">
        <f aca="false">COUNTIF($A$2:$A$3000, N1646) + COUNTIF($A$2:$A$3000, O1646)</f>
        <v>2</v>
      </c>
      <c r="Q1646" s="16" t="str">
        <f aca="false">IF(OR(B1646=-1,I1646=0, P1646&lt;&gt;2), "albhed_dummy", _xlfn.CONCAT("albhed ", RIGHT("  " &amp; K1646,2),", ", RIGHT("  " &amp; L1646,2), ", " ,"""",H1646,""", ", """",N1646,""", ","""",O1646,""""," ; ", A1646))</f>
        <v>albhed 17, 22, "디", "지", "되" ; 죕</v>
      </c>
    </row>
    <row r="1647" customFormat="false" ht="17.9" hidden="false" customHeight="true" outlineLevel="0" collapsed="false">
      <c r="A1647" s="16" t="s">
        <v>2499</v>
      </c>
      <c r="B1647" s="16" t="n">
        <f aca="false">IF(_xlfn.UNICODE(A1647)&lt;44032,-1,_xlfn.UNICODE(A1647)-44032)</f>
        <v>7383</v>
      </c>
      <c r="C1647" s="16" t="n">
        <f aca="false">IF(B1647=-1,-1,INT((B1647/28)/21))</f>
        <v>12</v>
      </c>
      <c r="D1647" s="16" t="n">
        <f aca="false">IF(B1647=-1, -1, MOD(INT(B1647/28),21))</f>
        <v>11</v>
      </c>
      <c r="E1647" s="16" t="n">
        <f aca="false">IF(B1647=-1, -1, VLOOKUP(MOD(B1647,28), $T$24:$U$52,2))</f>
        <v>19</v>
      </c>
      <c r="F1647" s="16" t="n">
        <f aca="false">IF($B1647=-1, -1, VLOOKUP(C1647,$T$1:$V$20, 2))</f>
        <v>3</v>
      </c>
      <c r="G1647" s="16" t="n">
        <f aca="false">IF($B1647=-1, -1, VLOOKUP(D1647,$Y$1:$Z$22,2))</f>
        <v>20</v>
      </c>
      <c r="H1647" s="16" t="str">
        <f aca="false">_xlfn.UNICHAR(((F1647*21)+G1647)*28+44032)</f>
        <v>디</v>
      </c>
      <c r="I1647" s="16" t="n">
        <f aca="false">IF(B1647=-1, 1, COUNTIF($A$2:$A$3000, H1647))</f>
        <v>1</v>
      </c>
      <c r="J1647" s="10" t="str">
        <f aca="false">_xlfn.CONCAT(A1647, ",",H1647,",",I1647)</f>
        <v>죗,디,1</v>
      </c>
      <c r="K1647" s="16" t="n">
        <f aca="false">IF(B1647=-1,-1,VLOOKUP(C1647,$T$1:$V$20,3))</f>
        <v>17</v>
      </c>
      <c r="L1647" s="16" t="n">
        <f aca="false">IF(B1647=-1,-1,VLOOKUP(D1647,$Y$1:$AA$22,3))</f>
        <v>22</v>
      </c>
      <c r="N1647" s="10" t="str">
        <f aca="false">_xlfn.UNICHAR(((C1647*21)+G1647)*28+44032)</f>
        <v>지</v>
      </c>
      <c r="O1647" s="10" t="str">
        <f aca="false">_xlfn.UNICHAR(((F1647*21)+D1647)*28+44032)</f>
        <v>되</v>
      </c>
      <c r="P1647" s="12" t="n">
        <f aca="false">COUNTIF($A$2:$A$3000, N1647) + COUNTIF($A$2:$A$3000, O1647)</f>
        <v>2</v>
      </c>
      <c r="Q1647" s="16" t="str">
        <f aca="false">IF(OR(B1647=-1,I1647=0, P1647&lt;&gt;2), "albhed_dummy", _xlfn.CONCAT("albhed ", RIGHT("  " &amp; K1647,2),", ", RIGHT("  " &amp; L1647,2), ", " ,"""",H1647,""", ", """",N1647,""", ","""",O1647,""""," ; ", A1647))</f>
        <v>albhed 17, 22, "디", "지", "되" ; 죗</v>
      </c>
    </row>
    <row r="1648" customFormat="false" ht="17.9" hidden="false" customHeight="true" outlineLevel="0" collapsed="false">
      <c r="A1648" s="16" t="s">
        <v>2500</v>
      </c>
      <c r="B1648" s="16" t="n">
        <f aca="false">IF(_xlfn.UNICODE(A1648)&lt;44032,-1,_xlfn.UNICODE(A1648)-44032)</f>
        <v>7385</v>
      </c>
      <c r="C1648" s="16" t="n">
        <f aca="false">IF(B1648=-1,-1,INT((B1648/28)/21))</f>
        <v>12</v>
      </c>
      <c r="D1648" s="16" t="n">
        <f aca="false">IF(B1648=-1, -1, MOD(INT(B1648/28),21))</f>
        <v>11</v>
      </c>
      <c r="E1648" s="16" t="n">
        <f aca="false">IF(B1648=-1, -1, VLOOKUP(MOD(B1648,28), $T$24:$U$52,2))</f>
        <v>21</v>
      </c>
      <c r="F1648" s="16" t="n">
        <f aca="false">IF($B1648=-1, -1, VLOOKUP(C1648,$T$1:$V$20, 2))</f>
        <v>3</v>
      </c>
      <c r="G1648" s="16" t="n">
        <f aca="false">IF($B1648=-1, -1, VLOOKUP(D1648,$Y$1:$Z$22,2))</f>
        <v>20</v>
      </c>
      <c r="H1648" s="16" t="str">
        <f aca="false">_xlfn.UNICHAR(((F1648*21)+G1648)*28+44032)</f>
        <v>디</v>
      </c>
      <c r="I1648" s="16" t="n">
        <f aca="false">IF(B1648=-1, 1, COUNTIF($A$2:$A$3000, H1648))</f>
        <v>1</v>
      </c>
      <c r="J1648" s="10" t="str">
        <f aca="false">_xlfn.CONCAT(A1648, ",",H1648,",",I1648)</f>
        <v>죙,디,1</v>
      </c>
      <c r="K1648" s="16" t="n">
        <f aca="false">IF(B1648=-1,-1,VLOOKUP(C1648,$T$1:$V$20,3))</f>
        <v>17</v>
      </c>
      <c r="L1648" s="16" t="n">
        <f aca="false">IF(B1648=-1,-1,VLOOKUP(D1648,$Y$1:$AA$22,3))</f>
        <v>22</v>
      </c>
      <c r="N1648" s="10" t="str">
        <f aca="false">_xlfn.UNICHAR(((C1648*21)+G1648)*28+44032)</f>
        <v>지</v>
      </c>
      <c r="O1648" s="10" t="str">
        <f aca="false">_xlfn.UNICHAR(((F1648*21)+D1648)*28+44032)</f>
        <v>되</v>
      </c>
      <c r="P1648" s="12" t="n">
        <f aca="false">COUNTIF($A$2:$A$3000, N1648) + COUNTIF($A$2:$A$3000, O1648)</f>
        <v>2</v>
      </c>
      <c r="Q1648" s="16" t="str">
        <f aca="false">IF(OR(B1648=-1,I1648=0, P1648&lt;&gt;2), "albhed_dummy", _xlfn.CONCAT("albhed ", RIGHT("  " &amp; K1648,2),", ", RIGHT("  " &amp; L1648,2), ", " ,"""",H1648,""", ", """",N1648,""", ","""",O1648,""""," ; ", A1648))</f>
        <v>albhed 17, 22, "디", "지", "되" ; 죙</v>
      </c>
    </row>
    <row r="1649" customFormat="false" ht="17.9" hidden="false" customHeight="true" outlineLevel="0" collapsed="false">
      <c r="A1649" s="16" t="s">
        <v>2501</v>
      </c>
      <c r="B1649" s="16" t="n">
        <f aca="false">IF(_xlfn.UNICODE(A1649)&lt;44032,-1,_xlfn.UNICODE(A1649)-44032)</f>
        <v>7392</v>
      </c>
      <c r="C1649" s="16" t="n">
        <f aca="false">IF(B1649=-1,-1,INT((B1649/28)/21))</f>
        <v>12</v>
      </c>
      <c r="D1649" s="16" t="n">
        <f aca="false">IF(B1649=-1, -1, MOD(INT(B1649/28),21))</f>
        <v>12</v>
      </c>
      <c r="E1649" s="16" t="n">
        <f aca="false">IF(B1649=-1, -1, VLOOKUP(MOD(B1649,28), $T$24:$U$52,2))</f>
        <v>0</v>
      </c>
      <c r="F1649" s="16" t="n">
        <f aca="false">IF($B1649=-1, -1, VLOOKUP(C1649,$T$1:$V$20, 2))</f>
        <v>3</v>
      </c>
      <c r="G1649" s="16" t="n">
        <f aca="false">IF($B1649=-1, -1, VLOOKUP(D1649,$Y$1:$Z$22,2))</f>
        <v>6</v>
      </c>
      <c r="H1649" s="16" t="str">
        <f aca="false">_xlfn.UNICHAR(((F1649*21)+G1649)*28+44032)</f>
        <v>뎌</v>
      </c>
      <c r="I1649" s="16" t="n">
        <f aca="false">IF(B1649=-1, 1, COUNTIF($A$2:$A$3000, H1649))</f>
        <v>1</v>
      </c>
      <c r="J1649" s="10" t="str">
        <f aca="false">_xlfn.CONCAT(A1649, ",",H1649,",",I1649)</f>
        <v>죠,뎌,1</v>
      </c>
      <c r="K1649" s="16" t="n">
        <f aca="false">IF(B1649=-1,-1,VLOOKUP(C1649,$T$1:$V$20,3))</f>
        <v>17</v>
      </c>
      <c r="L1649" s="16" t="n">
        <f aca="false">IF(B1649=-1,-1,VLOOKUP(D1649,$Y$1:$AA$22,3))</f>
        <v>8</v>
      </c>
      <c r="N1649" s="10" t="str">
        <f aca="false">_xlfn.UNICHAR(((C1649*21)+G1649)*28+44032)</f>
        <v>져</v>
      </c>
      <c r="O1649" s="10" t="str">
        <f aca="false">_xlfn.UNICHAR(((F1649*21)+D1649)*28+44032)</f>
        <v>됴</v>
      </c>
      <c r="P1649" s="12" t="n">
        <f aca="false">COUNTIF($A$2:$A$3000, N1649) + COUNTIF($A$2:$A$3000, O1649)</f>
        <v>2</v>
      </c>
      <c r="Q1649" s="16" t="str">
        <f aca="false">IF(OR(B1649=-1,I1649=0, P1649&lt;&gt;2), "albhed_dummy", _xlfn.CONCAT("albhed ", RIGHT("  " &amp; K1649,2),", ", RIGHT("  " &amp; L1649,2), ", " ,"""",H1649,""", ", """",N1649,""", ","""",O1649,""""," ; ", A1649))</f>
        <v>albhed 17,  8, "뎌", "져", "됴" ; 죠</v>
      </c>
    </row>
    <row r="1650" customFormat="false" ht="17.9" hidden="false" customHeight="true" outlineLevel="0" collapsed="false">
      <c r="A1650" s="16" t="s">
        <v>2502</v>
      </c>
      <c r="B1650" s="16" t="n">
        <f aca="false">IF(_xlfn.UNICODE(A1650)&lt;44032,-1,_xlfn.UNICODE(A1650)-44032)</f>
        <v>7393</v>
      </c>
      <c r="C1650" s="16" t="n">
        <f aca="false">IF(B1650=-1,-1,INT((B1650/28)/21))</f>
        <v>12</v>
      </c>
      <c r="D1650" s="16" t="n">
        <f aca="false">IF(B1650=-1, -1, MOD(INT(B1650/28),21))</f>
        <v>12</v>
      </c>
      <c r="E1650" s="16" t="n">
        <f aca="false">IF(B1650=-1, -1, VLOOKUP(MOD(B1650,28), $T$24:$U$52,2))</f>
        <v>1</v>
      </c>
      <c r="F1650" s="16" t="n">
        <f aca="false">IF($B1650=-1, -1, VLOOKUP(C1650,$T$1:$V$20, 2))</f>
        <v>3</v>
      </c>
      <c r="G1650" s="16" t="n">
        <f aca="false">IF($B1650=-1, -1, VLOOKUP(D1650,$Y$1:$Z$22,2))</f>
        <v>6</v>
      </c>
      <c r="H1650" s="16" t="str">
        <f aca="false">_xlfn.UNICHAR(((F1650*21)+G1650)*28+44032)</f>
        <v>뎌</v>
      </c>
      <c r="I1650" s="16" t="n">
        <f aca="false">IF(B1650=-1, 1, COUNTIF($A$2:$A$3000, H1650))</f>
        <v>1</v>
      </c>
      <c r="J1650" s="10" t="str">
        <f aca="false">_xlfn.CONCAT(A1650, ",",H1650,",",I1650)</f>
        <v>죡,뎌,1</v>
      </c>
      <c r="K1650" s="16" t="n">
        <f aca="false">IF(B1650=-1,-1,VLOOKUP(C1650,$T$1:$V$20,3))</f>
        <v>17</v>
      </c>
      <c r="L1650" s="16" t="n">
        <f aca="false">IF(B1650=-1,-1,VLOOKUP(D1650,$Y$1:$AA$22,3))</f>
        <v>8</v>
      </c>
      <c r="N1650" s="10" t="str">
        <f aca="false">_xlfn.UNICHAR(((C1650*21)+G1650)*28+44032)</f>
        <v>져</v>
      </c>
      <c r="O1650" s="10" t="str">
        <f aca="false">_xlfn.UNICHAR(((F1650*21)+D1650)*28+44032)</f>
        <v>됴</v>
      </c>
      <c r="P1650" s="12" t="n">
        <f aca="false">COUNTIF($A$2:$A$3000, N1650) + COUNTIF($A$2:$A$3000, O1650)</f>
        <v>2</v>
      </c>
      <c r="Q1650" s="16" t="str">
        <f aca="false">IF(OR(B1650=-1,I1650=0, P1650&lt;&gt;2), "albhed_dummy", _xlfn.CONCAT("albhed ", RIGHT("  " &amp; K1650,2),", ", RIGHT("  " &amp; L1650,2), ", " ,"""",H1650,""", ", """",N1650,""", ","""",O1650,""""," ; ", A1650))</f>
        <v>albhed 17,  8, "뎌", "져", "됴" ; 죡</v>
      </c>
    </row>
    <row r="1651" customFormat="false" ht="17.9" hidden="false" customHeight="true" outlineLevel="0" collapsed="false">
      <c r="A1651" s="16" t="s">
        <v>2503</v>
      </c>
      <c r="B1651" s="16" t="n">
        <f aca="false">IF(_xlfn.UNICODE(A1651)&lt;44032,-1,_xlfn.UNICODE(A1651)-44032)</f>
        <v>7396</v>
      </c>
      <c r="C1651" s="16" t="n">
        <f aca="false">IF(B1651=-1,-1,INT((B1651/28)/21))</f>
        <v>12</v>
      </c>
      <c r="D1651" s="16" t="n">
        <f aca="false">IF(B1651=-1, -1, MOD(INT(B1651/28),21))</f>
        <v>12</v>
      </c>
      <c r="E1651" s="16" t="n">
        <f aca="false">IF(B1651=-1, -1, VLOOKUP(MOD(B1651,28), $T$24:$U$52,2))</f>
        <v>4</v>
      </c>
      <c r="F1651" s="16" t="n">
        <f aca="false">IF($B1651=-1, -1, VLOOKUP(C1651,$T$1:$V$20, 2))</f>
        <v>3</v>
      </c>
      <c r="G1651" s="16" t="n">
        <f aca="false">IF($B1651=-1, -1, VLOOKUP(D1651,$Y$1:$Z$22,2))</f>
        <v>6</v>
      </c>
      <c r="H1651" s="16" t="str">
        <f aca="false">_xlfn.UNICHAR(((F1651*21)+G1651)*28+44032)</f>
        <v>뎌</v>
      </c>
      <c r="I1651" s="16" t="n">
        <f aca="false">IF(B1651=-1, 1, COUNTIF($A$2:$A$3000, H1651))</f>
        <v>1</v>
      </c>
      <c r="J1651" s="10" t="str">
        <f aca="false">_xlfn.CONCAT(A1651, ",",H1651,",",I1651)</f>
        <v>죤,뎌,1</v>
      </c>
      <c r="K1651" s="16" t="n">
        <f aca="false">IF(B1651=-1,-1,VLOOKUP(C1651,$T$1:$V$20,3))</f>
        <v>17</v>
      </c>
      <c r="L1651" s="16" t="n">
        <f aca="false">IF(B1651=-1,-1,VLOOKUP(D1651,$Y$1:$AA$22,3))</f>
        <v>8</v>
      </c>
      <c r="N1651" s="10" t="str">
        <f aca="false">_xlfn.UNICHAR(((C1651*21)+G1651)*28+44032)</f>
        <v>져</v>
      </c>
      <c r="O1651" s="10" t="str">
        <f aca="false">_xlfn.UNICHAR(((F1651*21)+D1651)*28+44032)</f>
        <v>됴</v>
      </c>
      <c r="P1651" s="12" t="n">
        <f aca="false">COUNTIF($A$2:$A$3000, N1651) + COUNTIF($A$2:$A$3000, O1651)</f>
        <v>2</v>
      </c>
      <c r="Q1651" s="16" t="str">
        <f aca="false">IF(OR(B1651=-1,I1651=0, P1651&lt;&gt;2), "albhed_dummy", _xlfn.CONCAT("albhed ", RIGHT("  " &amp; K1651,2),", ", RIGHT("  " &amp; L1651,2), ", " ,"""",H1651,""", ", """",N1651,""", ","""",O1651,""""," ; ", A1651))</f>
        <v>albhed 17,  8, "뎌", "져", "됴" ; 죤</v>
      </c>
    </row>
    <row r="1652" customFormat="false" ht="17.9" hidden="false" customHeight="true" outlineLevel="0" collapsed="false">
      <c r="A1652" s="16" t="s">
        <v>2504</v>
      </c>
      <c r="B1652" s="16" t="n">
        <f aca="false">IF(_xlfn.UNICODE(A1652)&lt;44032,-1,_xlfn.UNICODE(A1652)-44032)</f>
        <v>7413</v>
      </c>
      <c r="C1652" s="16" t="n">
        <f aca="false">IF(B1652=-1,-1,INT((B1652/28)/21))</f>
        <v>12</v>
      </c>
      <c r="D1652" s="16" t="n">
        <f aca="false">IF(B1652=-1, -1, MOD(INT(B1652/28),21))</f>
        <v>12</v>
      </c>
      <c r="E1652" s="16" t="n">
        <f aca="false">IF(B1652=-1, -1, VLOOKUP(MOD(B1652,28), $T$24:$U$52,2))</f>
        <v>21</v>
      </c>
      <c r="F1652" s="16" t="n">
        <f aca="false">IF($B1652=-1, -1, VLOOKUP(C1652,$T$1:$V$20, 2))</f>
        <v>3</v>
      </c>
      <c r="G1652" s="16" t="n">
        <f aca="false">IF($B1652=-1, -1, VLOOKUP(D1652,$Y$1:$Z$22,2))</f>
        <v>6</v>
      </c>
      <c r="H1652" s="16" t="str">
        <f aca="false">_xlfn.UNICHAR(((F1652*21)+G1652)*28+44032)</f>
        <v>뎌</v>
      </c>
      <c r="I1652" s="16" t="n">
        <f aca="false">IF(B1652=-1, 1, COUNTIF($A$2:$A$3000, H1652))</f>
        <v>1</v>
      </c>
      <c r="J1652" s="10" t="str">
        <f aca="false">_xlfn.CONCAT(A1652, ",",H1652,",",I1652)</f>
        <v>죵,뎌,1</v>
      </c>
      <c r="K1652" s="16" t="n">
        <f aca="false">IF(B1652=-1,-1,VLOOKUP(C1652,$T$1:$V$20,3))</f>
        <v>17</v>
      </c>
      <c r="L1652" s="16" t="n">
        <f aca="false">IF(B1652=-1,-1,VLOOKUP(D1652,$Y$1:$AA$22,3))</f>
        <v>8</v>
      </c>
      <c r="N1652" s="10" t="str">
        <f aca="false">_xlfn.UNICHAR(((C1652*21)+G1652)*28+44032)</f>
        <v>져</v>
      </c>
      <c r="O1652" s="10" t="str">
        <f aca="false">_xlfn.UNICHAR(((F1652*21)+D1652)*28+44032)</f>
        <v>됴</v>
      </c>
      <c r="P1652" s="12" t="n">
        <f aca="false">COUNTIF($A$2:$A$3000, N1652) + COUNTIF($A$2:$A$3000, O1652)</f>
        <v>2</v>
      </c>
      <c r="Q1652" s="16" t="str">
        <f aca="false">IF(OR(B1652=-1,I1652=0, P1652&lt;&gt;2), "albhed_dummy", _xlfn.CONCAT("albhed ", RIGHT("  " &amp; K1652,2),", ", RIGHT("  " &amp; L1652,2), ", " ,"""",H1652,""", ", """",N1652,""", ","""",O1652,""""," ; ", A1652))</f>
        <v>albhed 17,  8, "뎌", "져", "됴" ; 죵</v>
      </c>
    </row>
    <row r="1653" customFormat="false" ht="17.9" hidden="false" customHeight="true" outlineLevel="0" collapsed="false">
      <c r="A1653" s="16" t="s">
        <v>2505</v>
      </c>
      <c r="B1653" s="16" t="n">
        <f aca="false">IF(_xlfn.UNICODE(A1653)&lt;44032,-1,_xlfn.UNICODE(A1653)-44032)</f>
        <v>7420</v>
      </c>
      <c r="C1653" s="16" t="n">
        <f aca="false">IF(B1653=-1,-1,INT((B1653/28)/21))</f>
        <v>12</v>
      </c>
      <c r="D1653" s="16" t="n">
        <f aca="false">IF(B1653=-1, -1, MOD(INT(B1653/28),21))</f>
        <v>13</v>
      </c>
      <c r="E1653" s="16" t="n">
        <f aca="false">IF(B1653=-1, -1, VLOOKUP(MOD(B1653,28), $T$24:$U$52,2))</f>
        <v>0</v>
      </c>
      <c r="F1653" s="16" t="n">
        <f aca="false">IF($B1653=-1, -1, VLOOKUP(C1653,$T$1:$V$20, 2))</f>
        <v>3</v>
      </c>
      <c r="G1653" s="16" t="n">
        <f aca="false">IF($B1653=-1, -1, VLOOKUP(D1653,$Y$1:$Z$22,2))</f>
        <v>0</v>
      </c>
      <c r="H1653" s="16" t="str">
        <f aca="false">_xlfn.UNICHAR(((F1653*21)+G1653)*28+44032)</f>
        <v>다</v>
      </c>
      <c r="I1653" s="16" t="n">
        <f aca="false">IF(B1653=-1, 1, COUNTIF($A$2:$A$3000, H1653))</f>
        <v>1</v>
      </c>
      <c r="J1653" s="10" t="str">
        <f aca="false">_xlfn.CONCAT(A1653, ",",H1653,",",I1653)</f>
        <v>주,다,1</v>
      </c>
      <c r="K1653" s="16" t="n">
        <f aca="false">IF(B1653=-1,-1,VLOOKUP(C1653,$T$1:$V$20,3))</f>
        <v>17</v>
      </c>
      <c r="L1653" s="16" t="n">
        <f aca="false">IF(B1653=-1,-1,VLOOKUP(D1653,$Y$1:$AA$22,3))</f>
        <v>6</v>
      </c>
      <c r="N1653" s="10" t="str">
        <f aca="false">_xlfn.UNICHAR(((C1653*21)+G1653)*28+44032)</f>
        <v>자</v>
      </c>
      <c r="O1653" s="10" t="str">
        <f aca="false">_xlfn.UNICHAR(((F1653*21)+D1653)*28+44032)</f>
        <v>두</v>
      </c>
      <c r="P1653" s="12" t="n">
        <f aca="false">COUNTIF($A$2:$A$3000, N1653) + COUNTIF($A$2:$A$3000, O1653)</f>
        <v>2</v>
      </c>
      <c r="Q1653" s="16" t="str">
        <f aca="false">IF(OR(B1653=-1,I1653=0, P1653&lt;&gt;2), "albhed_dummy", _xlfn.CONCAT("albhed ", RIGHT("  " &amp; K1653,2),", ", RIGHT("  " &amp; L1653,2), ", " ,"""",H1653,""", ", """",N1653,""", ","""",O1653,""""," ; ", A1653))</f>
        <v>albhed 17,  6, "다", "자", "두" ; 주</v>
      </c>
    </row>
    <row r="1654" customFormat="false" ht="17.9" hidden="false" customHeight="true" outlineLevel="0" collapsed="false">
      <c r="A1654" s="16" t="s">
        <v>2506</v>
      </c>
      <c r="B1654" s="16" t="n">
        <f aca="false">IF(_xlfn.UNICODE(A1654)&lt;44032,-1,_xlfn.UNICODE(A1654)-44032)</f>
        <v>7421</v>
      </c>
      <c r="C1654" s="16" t="n">
        <f aca="false">IF(B1654=-1,-1,INT((B1654/28)/21))</f>
        <v>12</v>
      </c>
      <c r="D1654" s="16" t="n">
        <f aca="false">IF(B1654=-1, -1, MOD(INT(B1654/28),21))</f>
        <v>13</v>
      </c>
      <c r="E1654" s="16" t="n">
        <f aca="false">IF(B1654=-1, -1, VLOOKUP(MOD(B1654,28), $T$24:$U$52,2))</f>
        <v>1</v>
      </c>
      <c r="F1654" s="16" t="n">
        <f aca="false">IF($B1654=-1, -1, VLOOKUP(C1654,$T$1:$V$20, 2))</f>
        <v>3</v>
      </c>
      <c r="G1654" s="16" t="n">
        <f aca="false">IF($B1654=-1, -1, VLOOKUP(D1654,$Y$1:$Z$22,2))</f>
        <v>0</v>
      </c>
      <c r="H1654" s="16" t="str">
        <f aca="false">_xlfn.UNICHAR(((F1654*21)+G1654)*28+44032)</f>
        <v>다</v>
      </c>
      <c r="I1654" s="16" t="n">
        <f aca="false">IF(B1654=-1, 1, COUNTIF($A$2:$A$3000, H1654))</f>
        <v>1</v>
      </c>
      <c r="J1654" s="10" t="str">
        <f aca="false">_xlfn.CONCAT(A1654, ",",H1654,",",I1654)</f>
        <v>죽,다,1</v>
      </c>
      <c r="K1654" s="16" t="n">
        <f aca="false">IF(B1654=-1,-1,VLOOKUP(C1654,$T$1:$V$20,3))</f>
        <v>17</v>
      </c>
      <c r="L1654" s="16" t="n">
        <f aca="false">IF(B1654=-1,-1,VLOOKUP(D1654,$Y$1:$AA$22,3))</f>
        <v>6</v>
      </c>
      <c r="N1654" s="10" t="str">
        <f aca="false">_xlfn.UNICHAR(((C1654*21)+G1654)*28+44032)</f>
        <v>자</v>
      </c>
      <c r="O1654" s="10" t="str">
        <f aca="false">_xlfn.UNICHAR(((F1654*21)+D1654)*28+44032)</f>
        <v>두</v>
      </c>
      <c r="P1654" s="12" t="n">
        <f aca="false">COUNTIF($A$2:$A$3000, N1654) + COUNTIF($A$2:$A$3000, O1654)</f>
        <v>2</v>
      </c>
      <c r="Q1654" s="16" t="str">
        <f aca="false">IF(OR(B1654=-1,I1654=0, P1654&lt;&gt;2), "albhed_dummy", _xlfn.CONCAT("albhed ", RIGHT("  " &amp; K1654,2),", ", RIGHT("  " &amp; L1654,2), ", " ,"""",H1654,""", ", """",N1654,""", ","""",O1654,""""," ; ", A1654))</f>
        <v>albhed 17,  6, "다", "자", "두" ; 죽</v>
      </c>
    </row>
    <row r="1655" customFormat="false" ht="17.9" hidden="false" customHeight="true" outlineLevel="0" collapsed="false">
      <c r="A1655" s="16" t="s">
        <v>2507</v>
      </c>
      <c r="B1655" s="16" t="n">
        <f aca="false">IF(_xlfn.UNICODE(A1655)&lt;44032,-1,_xlfn.UNICODE(A1655)-44032)</f>
        <v>7424</v>
      </c>
      <c r="C1655" s="16" t="n">
        <f aca="false">IF(B1655=-1,-1,INT((B1655/28)/21))</f>
        <v>12</v>
      </c>
      <c r="D1655" s="16" t="n">
        <f aca="false">IF(B1655=-1, -1, MOD(INT(B1655/28),21))</f>
        <v>13</v>
      </c>
      <c r="E1655" s="16" t="n">
        <f aca="false">IF(B1655=-1, -1, VLOOKUP(MOD(B1655,28), $T$24:$U$52,2))</f>
        <v>4</v>
      </c>
      <c r="F1655" s="16" t="n">
        <f aca="false">IF($B1655=-1, -1, VLOOKUP(C1655,$T$1:$V$20, 2))</f>
        <v>3</v>
      </c>
      <c r="G1655" s="16" t="n">
        <f aca="false">IF($B1655=-1, -1, VLOOKUP(D1655,$Y$1:$Z$22,2))</f>
        <v>0</v>
      </c>
      <c r="H1655" s="16" t="str">
        <f aca="false">_xlfn.UNICHAR(((F1655*21)+G1655)*28+44032)</f>
        <v>다</v>
      </c>
      <c r="I1655" s="16" t="n">
        <f aca="false">IF(B1655=-1, 1, COUNTIF($A$2:$A$3000, H1655))</f>
        <v>1</v>
      </c>
      <c r="J1655" s="10" t="str">
        <f aca="false">_xlfn.CONCAT(A1655, ",",H1655,",",I1655)</f>
        <v>준,다,1</v>
      </c>
      <c r="K1655" s="16" t="n">
        <f aca="false">IF(B1655=-1,-1,VLOOKUP(C1655,$T$1:$V$20,3))</f>
        <v>17</v>
      </c>
      <c r="L1655" s="16" t="n">
        <f aca="false">IF(B1655=-1,-1,VLOOKUP(D1655,$Y$1:$AA$22,3))</f>
        <v>6</v>
      </c>
      <c r="N1655" s="10" t="str">
        <f aca="false">_xlfn.UNICHAR(((C1655*21)+G1655)*28+44032)</f>
        <v>자</v>
      </c>
      <c r="O1655" s="10" t="str">
        <f aca="false">_xlfn.UNICHAR(((F1655*21)+D1655)*28+44032)</f>
        <v>두</v>
      </c>
      <c r="P1655" s="12" t="n">
        <f aca="false">COUNTIF($A$2:$A$3000, N1655) + COUNTIF($A$2:$A$3000, O1655)</f>
        <v>2</v>
      </c>
      <c r="Q1655" s="16" t="str">
        <f aca="false">IF(OR(B1655=-1,I1655=0, P1655&lt;&gt;2), "albhed_dummy", _xlfn.CONCAT("albhed ", RIGHT("  " &amp; K1655,2),", ", RIGHT("  " &amp; L1655,2), ", " ,"""",H1655,""", ", """",N1655,""", ","""",O1655,""""," ; ", A1655))</f>
        <v>albhed 17,  6, "다", "자", "두" ; 준</v>
      </c>
    </row>
    <row r="1656" customFormat="false" ht="17.9" hidden="false" customHeight="true" outlineLevel="0" collapsed="false">
      <c r="A1656" s="16" t="s">
        <v>2508</v>
      </c>
      <c r="B1656" s="16" t="n">
        <f aca="false">IF(_xlfn.UNICODE(A1656)&lt;44032,-1,_xlfn.UNICODE(A1656)-44032)</f>
        <v>7428</v>
      </c>
      <c r="C1656" s="16" t="n">
        <f aca="false">IF(B1656=-1,-1,INT((B1656/28)/21))</f>
        <v>12</v>
      </c>
      <c r="D1656" s="16" t="n">
        <f aca="false">IF(B1656=-1, -1, MOD(INT(B1656/28),21))</f>
        <v>13</v>
      </c>
      <c r="E1656" s="16" t="n">
        <f aca="false">IF(B1656=-1, -1, VLOOKUP(MOD(B1656,28), $T$24:$U$52,2))</f>
        <v>8</v>
      </c>
      <c r="F1656" s="16" t="n">
        <f aca="false">IF($B1656=-1, -1, VLOOKUP(C1656,$T$1:$V$20, 2))</f>
        <v>3</v>
      </c>
      <c r="G1656" s="16" t="n">
        <f aca="false">IF($B1656=-1, -1, VLOOKUP(D1656,$Y$1:$Z$22,2))</f>
        <v>0</v>
      </c>
      <c r="H1656" s="16" t="str">
        <f aca="false">_xlfn.UNICHAR(((F1656*21)+G1656)*28+44032)</f>
        <v>다</v>
      </c>
      <c r="I1656" s="16" t="n">
        <f aca="false">IF(B1656=-1, 1, COUNTIF($A$2:$A$3000, H1656))</f>
        <v>1</v>
      </c>
      <c r="J1656" s="10" t="str">
        <f aca="false">_xlfn.CONCAT(A1656, ",",H1656,",",I1656)</f>
        <v>줄,다,1</v>
      </c>
      <c r="K1656" s="16" t="n">
        <f aca="false">IF(B1656=-1,-1,VLOOKUP(C1656,$T$1:$V$20,3))</f>
        <v>17</v>
      </c>
      <c r="L1656" s="16" t="n">
        <f aca="false">IF(B1656=-1,-1,VLOOKUP(D1656,$Y$1:$AA$22,3))</f>
        <v>6</v>
      </c>
      <c r="N1656" s="10" t="str">
        <f aca="false">_xlfn.UNICHAR(((C1656*21)+G1656)*28+44032)</f>
        <v>자</v>
      </c>
      <c r="O1656" s="10" t="str">
        <f aca="false">_xlfn.UNICHAR(((F1656*21)+D1656)*28+44032)</f>
        <v>두</v>
      </c>
      <c r="P1656" s="12" t="n">
        <f aca="false">COUNTIF($A$2:$A$3000, N1656) + COUNTIF($A$2:$A$3000, O1656)</f>
        <v>2</v>
      </c>
      <c r="Q1656" s="16" t="str">
        <f aca="false">IF(OR(B1656=-1,I1656=0, P1656&lt;&gt;2), "albhed_dummy", _xlfn.CONCAT("albhed ", RIGHT("  " &amp; K1656,2),", ", RIGHT("  " &amp; L1656,2), ", " ,"""",H1656,""", ", """",N1656,""", ","""",O1656,""""," ; ", A1656))</f>
        <v>albhed 17,  6, "다", "자", "두" ; 줄</v>
      </c>
    </row>
    <row r="1657" customFormat="false" ht="17.9" hidden="false" customHeight="true" outlineLevel="0" collapsed="false">
      <c r="A1657" s="16" t="s">
        <v>2509</v>
      </c>
      <c r="B1657" s="16" t="n">
        <f aca="false">IF(_xlfn.UNICODE(A1657)&lt;44032,-1,_xlfn.UNICODE(A1657)-44032)</f>
        <v>7429</v>
      </c>
      <c r="C1657" s="16" t="n">
        <f aca="false">IF(B1657=-1,-1,INT((B1657/28)/21))</f>
        <v>12</v>
      </c>
      <c r="D1657" s="16" t="n">
        <f aca="false">IF(B1657=-1, -1, MOD(INT(B1657/28),21))</f>
        <v>13</v>
      </c>
      <c r="E1657" s="16" t="n">
        <f aca="false">IF(B1657=-1, -1, VLOOKUP(MOD(B1657,28), $T$24:$U$52,2))</f>
        <v>8</v>
      </c>
      <c r="F1657" s="16" t="n">
        <f aca="false">IF($B1657=-1, -1, VLOOKUP(C1657,$T$1:$V$20, 2))</f>
        <v>3</v>
      </c>
      <c r="G1657" s="16" t="n">
        <f aca="false">IF($B1657=-1, -1, VLOOKUP(D1657,$Y$1:$Z$22,2))</f>
        <v>0</v>
      </c>
      <c r="H1657" s="16" t="str">
        <f aca="false">_xlfn.UNICHAR(((F1657*21)+G1657)*28+44032)</f>
        <v>다</v>
      </c>
      <c r="I1657" s="16" t="n">
        <f aca="false">IF(B1657=-1, 1, COUNTIF($A$2:$A$3000, H1657))</f>
        <v>1</v>
      </c>
      <c r="J1657" s="10" t="str">
        <f aca="false">_xlfn.CONCAT(A1657, ",",H1657,",",I1657)</f>
        <v>줅,다,1</v>
      </c>
      <c r="K1657" s="16" t="n">
        <f aca="false">IF(B1657=-1,-1,VLOOKUP(C1657,$T$1:$V$20,3))</f>
        <v>17</v>
      </c>
      <c r="L1657" s="16" t="n">
        <f aca="false">IF(B1657=-1,-1,VLOOKUP(D1657,$Y$1:$AA$22,3))</f>
        <v>6</v>
      </c>
      <c r="N1657" s="10" t="str">
        <f aca="false">_xlfn.UNICHAR(((C1657*21)+G1657)*28+44032)</f>
        <v>자</v>
      </c>
      <c r="O1657" s="10" t="str">
        <f aca="false">_xlfn.UNICHAR(((F1657*21)+D1657)*28+44032)</f>
        <v>두</v>
      </c>
      <c r="P1657" s="12" t="n">
        <f aca="false">COUNTIF($A$2:$A$3000, N1657) + COUNTIF($A$2:$A$3000, O1657)</f>
        <v>2</v>
      </c>
      <c r="Q1657" s="16" t="str">
        <f aca="false">IF(OR(B1657=-1,I1657=0, P1657&lt;&gt;2), "albhed_dummy", _xlfn.CONCAT("albhed ", RIGHT("  " &amp; K1657,2),", ", RIGHT("  " &amp; L1657,2), ", " ,"""",H1657,""", ", """",N1657,""", ","""",O1657,""""," ; ", A1657))</f>
        <v>albhed 17,  6, "다", "자", "두" ; 줅</v>
      </c>
    </row>
    <row r="1658" customFormat="false" ht="17.9" hidden="false" customHeight="true" outlineLevel="0" collapsed="false">
      <c r="A1658" s="16" t="s">
        <v>2510</v>
      </c>
      <c r="B1658" s="16" t="n">
        <f aca="false">IF(_xlfn.UNICODE(A1658)&lt;44032,-1,_xlfn.UNICODE(A1658)-44032)</f>
        <v>7430</v>
      </c>
      <c r="C1658" s="16" t="n">
        <f aca="false">IF(B1658=-1,-1,INT((B1658/28)/21))</f>
        <v>12</v>
      </c>
      <c r="D1658" s="16" t="n">
        <f aca="false">IF(B1658=-1, -1, MOD(INT(B1658/28),21))</f>
        <v>13</v>
      </c>
      <c r="E1658" s="16" t="n">
        <f aca="false">IF(B1658=-1, -1, VLOOKUP(MOD(B1658,28), $T$24:$U$52,2))</f>
        <v>8</v>
      </c>
      <c r="F1658" s="16" t="n">
        <f aca="false">IF($B1658=-1, -1, VLOOKUP(C1658,$T$1:$V$20, 2))</f>
        <v>3</v>
      </c>
      <c r="G1658" s="16" t="n">
        <f aca="false">IF($B1658=-1, -1, VLOOKUP(D1658,$Y$1:$Z$22,2))</f>
        <v>0</v>
      </c>
      <c r="H1658" s="16" t="str">
        <f aca="false">_xlfn.UNICHAR(((F1658*21)+G1658)*28+44032)</f>
        <v>다</v>
      </c>
      <c r="I1658" s="16" t="n">
        <f aca="false">IF(B1658=-1, 1, COUNTIF($A$2:$A$3000, H1658))</f>
        <v>1</v>
      </c>
      <c r="J1658" s="10" t="str">
        <f aca="false">_xlfn.CONCAT(A1658, ",",H1658,",",I1658)</f>
        <v>줆,다,1</v>
      </c>
      <c r="K1658" s="16" t="n">
        <f aca="false">IF(B1658=-1,-1,VLOOKUP(C1658,$T$1:$V$20,3))</f>
        <v>17</v>
      </c>
      <c r="L1658" s="16" t="n">
        <f aca="false">IF(B1658=-1,-1,VLOOKUP(D1658,$Y$1:$AA$22,3))</f>
        <v>6</v>
      </c>
      <c r="N1658" s="10" t="str">
        <f aca="false">_xlfn.UNICHAR(((C1658*21)+G1658)*28+44032)</f>
        <v>자</v>
      </c>
      <c r="O1658" s="10" t="str">
        <f aca="false">_xlfn.UNICHAR(((F1658*21)+D1658)*28+44032)</f>
        <v>두</v>
      </c>
      <c r="P1658" s="12" t="n">
        <f aca="false">COUNTIF($A$2:$A$3000, N1658) + COUNTIF($A$2:$A$3000, O1658)</f>
        <v>2</v>
      </c>
      <c r="Q1658" s="16" t="str">
        <f aca="false">IF(OR(B1658=-1,I1658=0, P1658&lt;&gt;2), "albhed_dummy", _xlfn.CONCAT("albhed ", RIGHT("  " &amp; K1658,2),", ", RIGHT("  " &amp; L1658,2), ", " ,"""",H1658,""", ", """",N1658,""", ","""",O1658,""""," ; ", A1658))</f>
        <v>albhed 17,  6, "다", "자", "두" ; 줆</v>
      </c>
    </row>
    <row r="1659" customFormat="false" ht="17.9" hidden="false" customHeight="true" outlineLevel="0" collapsed="false">
      <c r="A1659" s="16" t="s">
        <v>2511</v>
      </c>
      <c r="B1659" s="16" t="n">
        <f aca="false">IF(_xlfn.UNICODE(A1659)&lt;44032,-1,_xlfn.UNICODE(A1659)-44032)</f>
        <v>7436</v>
      </c>
      <c r="C1659" s="16" t="n">
        <f aca="false">IF(B1659=-1,-1,INT((B1659/28)/21))</f>
        <v>12</v>
      </c>
      <c r="D1659" s="16" t="n">
        <f aca="false">IF(B1659=-1, -1, MOD(INT(B1659/28),21))</f>
        <v>13</v>
      </c>
      <c r="E1659" s="16" t="n">
        <f aca="false">IF(B1659=-1, -1, VLOOKUP(MOD(B1659,28), $T$24:$U$52,2))</f>
        <v>16</v>
      </c>
      <c r="F1659" s="16" t="n">
        <f aca="false">IF($B1659=-1, -1, VLOOKUP(C1659,$T$1:$V$20, 2))</f>
        <v>3</v>
      </c>
      <c r="G1659" s="16" t="n">
        <f aca="false">IF($B1659=-1, -1, VLOOKUP(D1659,$Y$1:$Z$22,2))</f>
        <v>0</v>
      </c>
      <c r="H1659" s="16" t="str">
        <f aca="false">_xlfn.UNICHAR(((F1659*21)+G1659)*28+44032)</f>
        <v>다</v>
      </c>
      <c r="I1659" s="16" t="n">
        <f aca="false">IF(B1659=-1, 1, COUNTIF($A$2:$A$3000, H1659))</f>
        <v>1</v>
      </c>
      <c r="J1659" s="10" t="str">
        <f aca="false">_xlfn.CONCAT(A1659, ",",H1659,",",I1659)</f>
        <v>줌,다,1</v>
      </c>
      <c r="K1659" s="16" t="n">
        <f aca="false">IF(B1659=-1,-1,VLOOKUP(C1659,$T$1:$V$20,3))</f>
        <v>17</v>
      </c>
      <c r="L1659" s="16" t="n">
        <f aca="false">IF(B1659=-1,-1,VLOOKUP(D1659,$Y$1:$AA$22,3))</f>
        <v>6</v>
      </c>
      <c r="N1659" s="10" t="str">
        <f aca="false">_xlfn.UNICHAR(((C1659*21)+G1659)*28+44032)</f>
        <v>자</v>
      </c>
      <c r="O1659" s="10" t="str">
        <f aca="false">_xlfn.UNICHAR(((F1659*21)+D1659)*28+44032)</f>
        <v>두</v>
      </c>
      <c r="P1659" s="12" t="n">
        <f aca="false">COUNTIF($A$2:$A$3000, N1659) + COUNTIF($A$2:$A$3000, O1659)</f>
        <v>2</v>
      </c>
      <c r="Q1659" s="16" t="str">
        <f aca="false">IF(OR(B1659=-1,I1659=0, P1659&lt;&gt;2), "albhed_dummy", _xlfn.CONCAT("albhed ", RIGHT("  " &amp; K1659,2),", ", RIGHT("  " &amp; L1659,2), ", " ,"""",H1659,""", ", """",N1659,""", ","""",O1659,""""," ; ", A1659))</f>
        <v>albhed 17,  6, "다", "자", "두" ; 줌</v>
      </c>
    </row>
    <row r="1660" customFormat="false" ht="17.9" hidden="false" customHeight="true" outlineLevel="0" collapsed="false">
      <c r="A1660" s="16" t="s">
        <v>2512</v>
      </c>
      <c r="B1660" s="16" t="n">
        <f aca="false">IF(_xlfn.UNICODE(A1660)&lt;44032,-1,_xlfn.UNICODE(A1660)-44032)</f>
        <v>7437</v>
      </c>
      <c r="C1660" s="16" t="n">
        <f aca="false">IF(B1660=-1,-1,INT((B1660/28)/21))</f>
        <v>12</v>
      </c>
      <c r="D1660" s="16" t="n">
        <f aca="false">IF(B1660=-1, -1, MOD(INT(B1660/28),21))</f>
        <v>13</v>
      </c>
      <c r="E1660" s="16" t="n">
        <f aca="false">IF(B1660=-1, -1, VLOOKUP(MOD(B1660,28), $T$24:$U$52,2))</f>
        <v>17</v>
      </c>
      <c r="F1660" s="16" t="n">
        <f aca="false">IF($B1660=-1, -1, VLOOKUP(C1660,$T$1:$V$20, 2))</f>
        <v>3</v>
      </c>
      <c r="G1660" s="16" t="n">
        <f aca="false">IF($B1660=-1, -1, VLOOKUP(D1660,$Y$1:$Z$22,2))</f>
        <v>0</v>
      </c>
      <c r="H1660" s="16" t="str">
        <f aca="false">_xlfn.UNICHAR(((F1660*21)+G1660)*28+44032)</f>
        <v>다</v>
      </c>
      <c r="I1660" s="16" t="n">
        <f aca="false">IF(B1660=-1, 1, COUNTIF($A$2:$A$3000, H1660))</f>
        <v>1</v>
      </c>
      <c r="J1660" s="10" t="str">
        <f aca="false">_xlfn.CONCAT(A1660, ",",H1660,",",I1660)</f>
        <v>줍,다,1</v>
      </c>
      <c r="K1660" s="16" t="n">
        <f aca="false">IF(B1660=-1,-1,VLOOKUP(C1660,$T$1:$V$20,3))</f>
        <v>17</v>
      </c>
      <c r="L1660" s="16" t="n">
        <f aca="false">IF(B1660=-1,-1,VLOOKUP(D1660,$Y$1:$AA$22,3))</f>
        <v>6</v>
      </c>
      <c r="N1660" s="10" t="str">
        <f aca="false">_xlfn.UNICHAR(((C1660*21)+G1660)*28+44032)</f>
        <v>자</v>
      </c>
      <c r="O1660" s="10" t="str">
        <f aca="false">_xlfn.UNICHAR(((F1660*21)+D1660)*28+44032)</f>
        <v>두</v>
      </c>
      <c r="P1660" s="12" t="n">
        <f aca="false">COUNTIF($A$2:$A$3000, N1660) + COUNTIF($A$2:$A$3000, O1660)</f>
        <v>2</v>
      </c>
      <c r="Q1660" s="16" t="str">
        <f aca="false">IF(OR(B1660=-1,I1660=0, P1660&lt;&gt;2), "albhed_dummy", _xlfn.CONCAT("albhed ", RIGHT("  " &amp; K1660,2),", ", RIGHT("  " &amp; L1660,2), ", " ,"""",H1660,""", ", """",N1660,""", ","""",O1660,""""," ; ", A1660))</f>
        <v>albhed 17,  6, "다", "자", "두" ; 줍</v>
      </c>
    </row>
    <row r="1661" customFormat="false" ht="17.9" hidden="false" customHeight="true" outlineLevel="0" collapsed="false">
      <c r="A1661" s="16" t="s">
        <v>2513</v>
      </c>
      <c r="B1661" s="16" t="n">
        <f aca="false">IF(_xlfn.UNICODE(A1661)&lt;44032,-1,_xlfn.UNICODE(A1661)-44032)</f>
        <v>7439</v>
      </c>
      <c r="C1661" s="16" t="n">
        <f aca="false">IF(B1661=-1,-1,INT((B1661/28)/21))</f>
        <v>12</v>
      </c>
      <c r="D1661" s="16" t="n">
        <f aca="false">IF(B1661=-1, -1, MOD(INT(B1661/28),21))</f>
        <v>13</v>
      </c>
      <c r="E1661" s="16" t="n">
        <f aca="false">IF(B1661=-1, -1, VLOOKUP(MOD(B1661,28), $T$24:$U$52,2))</f>
        <v>19</v>
      </c>
      <c r="F1661" s="16" t="n">
        <f aca="false">IF($B1661=-1, -1, VLOOKUP(C1661,$T$1:$V$20, 2))</f>
        <v>3</v>
      </c>
      <c r="G1661" s="16" t="n">
        <f aca="false">IF($B1661=-1, -1, VLOOKUP(D1661,$Y$1:$Z$22,2))</f>
        <v>0</v>
      </c>
      <c r="H1661" s="16" t="str">
        <f aca="false">_xlfn.UNICHAR(((F1661*21)+G1661)*28+44032)</f>
        <v>다</v>
      </c>
      <c r="I1661" s="16" t="n">
        <f aca="false">IF(B1661=-1, 1, COUNTIF($A$2:$A$3000, H1661))</f>
        <v>1</v>
      </c>
      <c r="J1661" s="10" t="str">
        <f aca="false">_xlfn.CONCAT(A1661, ",",H1661,",",I1661)</f>
        <v>줏,다,1</v>
      </c>
      <c r="K1661" s="16" t="n">
        <f aca="false">IF(B1661=-1,-1,VLOOKUP(C1661,$T$1:$V$20,3))</f>
        <v>17</v>
      </c>
      <c r="L1661" s="16" t="n">
        <f aca="false">IF(B1661=-1,-1,VLOOKUP(D1661,$Y$1:$AA$22,3))</f>
        <v>6</v>
      </c>
      <c r="N1661" s="10" t="str">
        <f aca="false">_xlfn.UNICHAR(((C1661*21)+G1661)*28+44032)</f>
        <v>자</v>
      </c>
      <c r="O1661" s="10" t="str">
        <f aca="false">_xlfn.UNICHAR(((F1661*21)+D1661)*28+44032)</f>
        <v>두</v>
      </c>
      <c r="P1661" s="12" t="n">
        <f aca="false">COUNTIF($A$2:$A$3000, N1661) + COUNTIF($A$2:$A$3000, O1661)</f>
        <v>2</v>
      </c>
      <c r="Q1661" s="16" t="str">
        <f aca="false">IF(OR(B1661=-1,I1661=0, P1661&lt;&gt;2), "albhed_dummy", _xlfn.CONCAT("albhed ", RIGHT("  " &amp; K1661,2),", ", RIGHT("  " &amp; L1661,2), ", " ,"""",H1661,""", ", """",N1661,""", ","""",O1661,""""," ; ", A1661))</f>
        <v>albhed 17,  6, "다", "자", "두" ; 줏</v>
      </c>
    </row>
    <row r="1662" customFormat="false" ht="17.9" hidden="false" customHeight="true" outlineLevel="0" collapsed="false">
      <c r="A1662" s="16" t="s">
        <v>2514</v>
      </c>
      <c r="B1662" s="16" t="n">
        <f aca="false">IF(_xlfn.UNICODE(A1662)&lt;44032,-1,_xlfn.UNICODE(A1662)-44032)</f>
        <v>7441</v>
      </c>
      <c r="C1662" s="16" t="n">
        <f aca="false">IF(B1662=-1,-1,INT((B1662/28)/21))</f>
        <v>12</v>
      </c>
      <c r="D1662" s="16" t="n">
        <f aca="false">IF(B1662=-1, -1, MOD(INT(B1662/28),21))</f>
        <v>13</v>
      </c>
      <c r="E1662" s="16" t="n">
        <f aca="false">IF(B1662=-1, -1, VLOOKUP(MOD(B1662,28), $T$24:$U$52,2))</f>
        <v>21</v>
      </c>
      <c r="F1662" s="16" t="n">
        <f aca="false">IF($B1662=-1, -1, VLOOKUP(C1662,$T$1:$V$20, 2))</f>
        <v>3</v>
      </c>
      <c r="G1662" s="16" t="n">
        <f aca="false">IF($B1662=-1, -1, VLOOKUP(D1662,$Y$1:$Z$22,2))</f>
        <v>0</v>
      </c>
      <c r="H1662" s="16" t="str">
        <f aca="false">_xlfn.UNICHAR(((F1662*21)+G1662)*28+44032)</f>
        <v>다</v>
      </c>
      <c r="I1662" s="16" t="n">
        <f aca="false">IF(B1662=-1, 1, COUNTIF($A$2:$A$3000, H1662))</f>
        <v>1</v>
      </c>
      <c r="J1662" s="10" t="str">
        <f aca="false">_xlfn.CONCAT(A1662, ",",H1662,",",I1662)</f>
        <v>중,다,1</v>
      </c>
      <c r="K1662" s="16" t="n">
        <f aca="false">IF(B1662=-1,-1,VLOOKUP(C1662,$T$1:$V$20,3))</f>
        <v>17</v>
      </c>
      <c r="L1662" s="16" t="n">
        <f aca="false">IF(B1662=-1,-1,VLOOKUP(D1662,$Y$1:$AA$22,3))</f>
        <v>6</v>
      </c>
      <c r="N1662" s="10" t="str">
        <f aca="false">_xlfn.UNICHAR(((C1662*21)+G1662)*28+44032)</f>
        <v>자</v>
      </c>
      <c r="O1662" s="10" t="str">
        <f aca="false">_xlfn.UNICHAR(((F1662*21)+D1662)*28+44032)</f>
        <v>두</v>
      </c>
      <c r="P1662" s="12" t="n">
        <f aca="false">COUNTIF($A$2:$A$3000, N1662) + COUNTIF($A$2:$A$3000, O1662)</f>
        <v>2</v>
      </c>
      <c r="Q1662" s="16" t="str">
        <f aca="false">IF(OR(B1662=-1,I1662=0, P1662&lt;&gt;2), "albhed_dummy", _xlfn.CONCAT("albhed ", RIGHT("  " &amp; K1662,2),", ", RIGHT("  " &amp; L1662,2), ", " ,"""",H1662,""", ", """",N1662,""", ","""",O1662,""""," ; ", A1662))</f>
        <v>albhed 17,  6, "다", "자", "두" ; 중</v>
      </c>
    </row>
    <row r="1663" customFormat="false" ht="17.9" hidden="false" customHeight="true" outlineLevel="0" collapsed="false">
      <c r="A1663" s="16" t="s">
        <v>2515</v>
      </c>
      <c r="B1663" s="16" t="n">
        <f aca="false">IF(_xlfn.UNICODE(A1663)&lt;44032,-1,_xlfn.UNICODE(A1663)-44032)</f>
        <v>7448</v>
      </c>
      <c r="C1663" s="16" t="n">
        <f aca="false">IF(B1663=-1,-1,INT((B1663/28)/21))</f>
        <v>12</v>
      </c>
      <c r="D1663" s="16" t="n">
        <f aca="false">IF(B1663=-1, -1, MOD(INT(B1663/28),21))</f>
        <v>14</v>
      </c>
      <c r="E1663" s="16" t="n">
        <f aca="false">IF(B1663=-1, -1, VLOOKUP(MOD(B1663,28), $T$24:$U$52,2))</f>
        <v>0</v>
      </c>
      <c r="F1663" s="16" t="n">
        <f aca="false">IF($B1663=-1, -1, VLOOKUP(C1663,$T$1:$V$20, 2))</f>
        <v>3</v>
      </c>
      <c r="G1663" s="16" t="n">
        <f aca="false">IF($B1663=-1, -1, VLOOKUP(D1663,$Y$1:$Z$22,2))</f>
        <v>20</v>
      </c>
      <c r="H1663" s="16" t="str">
        <f aca="false">_xlfn.UNICHAR(((F1663*21)+G1663)*28+44032)</f>
        <v>디</v>
      </c>
      <c r="I1663" s="16" t="n">
        <f aca="false">IF(B1663=-1, 1, COUNTIF($A$2:$A$3000, H1663))</f>
        <v>1</v>
      </c>
      <c r="J1663" s="10" t="str">
        <f aca="false">_xlfn.CONCAT(A1663, ",",H1663,",",I1663)</f>
        <v>줘,디,1</v>
      </c>
      <c r="K1663" s="16" t="n">
        <f aca="false">IF(B1663=-1,-1,VLOOKUP(C1663,$T$1:$V$20,3))</f>
        <v>17</v>
      </c>
      <c r="L1663" s="16" t="n">
        <f aca="false">IF(B1663=-1,-1,VLOOKUP(D1663,$Y$1:$AA$22,3))</f>
        <v>16</v>
      </c>
      <c r="N1663" s="10" t="str">
        <f aca="false">_xlfn.UNICHAR(((C1663*21)+G1663)*28+44032)</f>
        <v>지</v>
      </c>
      <c r="O1663" s="10" t="str">
        <f aca="false">_xlfn.UNICHAR(((F1663*21)+D1663)*28+44032)</f>
        <v>둬</v>
      </c>
      <c r="P1663" s="12" t="n">
        <f aca="false">COUNTIF($A$2:$A$3000, N1663) + COUNTIF($A$2:$A$3000, O1663)</f>
        <v>2</v>
      </c>
      <c r="Q1663" s="16" t="str">
        <f aca="false">IF(OR(B1663=-1,I1663=0, P1663&lt;&gt;2), "albhed_dummy", _xlfn.CONCAT("albhed ", RIGHT("  " &amp; K1663,2),", ", RIGHT("  " &amp; L1663,2), ", " ,"""",H1663,""", ", """",N1663,""", ","""",O1663,""""," ; ", A1663))</f>
        <v>albhed 17, 16, "디", "지", "둬" ; 줘</v>
      </c>
    </row>
    <row r="1664" customFormat="false" ht="17.9" hidden="false" customHeight="true" outlineLevel="0" collapsed="false">
      <c r="A1664" s="16" t="s">
        <v>2516</v>
      </c>
      <c r="B1664" s="16" t="n">
        <f aca="false">IF(_xlfn.UNICODE(A1664)&lt;44032,-1,_xlfn.UNICODE(A1664)-44032)</f>
        <v>7468</v>
      </c>
      <c r="C1664" s="16" t="n">
        <f aca="false">IF(B1664=-1,-1,INT((B1664/28)/21))</f>
        <v>12</v>
      </c>
      <c r="D1664" s="16" t="n">
        <f aca="false">IF(B1664=-1, -1, MOD(INT(B1664/28),21))</f>
        <v>14</v>
      </c>
      <c r="E1664" s="16" t="n">
        <f aca="false">IF(B1664=-1, -1, VLOOKUP(MOD(B1664,28), $T$24:$U$52,2))</f>
        <v>19</v>
      </c>
      <c r="F1664" s="16" t="n">
        <f aca="false">IF($B1664=-1, -1, VLOOKUP(C1664,$T$1:$V$20, 2))</f>
        <v>3</v>
      </c>
      <c r="G1664" s="16" t="n">
        <f aca="false">IF($B1664=-1, -1, VLOOKUP(D1664,$Y$1:$Z$22,2))</f>
        <v>20</v>
      </c>
      <c r="H1664" s="16" t="str">
        <f aca="false">_xlfn.UNICHAR(((F1664*21)+G1664)*28+44032)</f>
        <v>디</v>
      </c>
      <c r="I1664" s="16" t="n">
        <f aca="false">IF(B1664=-1, 1, COUNTIF($A$2:$A$3000, H1664))</f>
        <v>1</v>
      </c>
      <c r="J1664" s="10" t="str">
        <f aca="false">_xlfn.CONCAT(A1664, ",",H1664,",",I1664)</f>
        <v>줬,디,1</v>
      </c>
      <c r="K1664" s="16" t="n">
        <f aca="false">IF(B1664=-1,-1,VLOOKUP(C1664,$T$1:$V$20,3))</f>
        <v>17</v>
      </c>
      <c r="L1664" s="16" t="n">
        <f aca="false">IF(B1664=-1,-1,VLOOKUP(D1664,$Y$1:$AA$22,3))</f>
        <v>16</v>
      </c>
      <c r="N1664" s="10" t="str">
        <f aca="false">_xlfn.UNICHAR(((C1664*21)+G1664)*28+44032)</f>
        <v>지</v>
      </c>
      <c r="O1664" s="10" t="str">
        <f aca="false">_xlfn.UNICHAR(((F1664*21)+D1664)*28+44032)</f>
        <v>둬</v>
      </c>
      <c r="P1664" s="12" t="n">
        <f aca="false">COUNTIF($A$2:$A$3000, N1664) + COUNTIF($A$2:$A$3000, O1664)</f>
        <v>2</v>
      </c>
      <c r="Q1664" s="16" t="str">
        <f aca="false">IF(OR(B1664=-1,I1664=0, P1664&lt;&gt;2), "albhed_dummy", _xlfn.CONCAT("albhed ", RIGHT("  " &amp; K1664,2),", ", RIGHT("  " &amp; L1664,2), ", " ,"""",H1664,""", ", """",N1664,""", ","""",O1664,""""," ; ", A1664))</f>
        <v>albhed 17, 16, "디", "지", "둬" ; 줬</v>
      </c>
    </row>
    <row r="1665" customFormat="false" ht="17.9" hidden="false" customHeight="true" outlineLevel="0" collapsed="false">
      <c r="A1665" s="16" t="s">
        <v>2517</v>
      </c>
      <c r="B1665" s="16" t="n">
        <f aca="false">IF(_xlfn.UNICODE(A1665)&lt;44032,-1,_xlfn.UNICODE(A1665)-44032)</f>
        <v>7476</v>
      </c>
      <c r="C1665" s="16" t="n">
        <f aca="false">IF(B1665=-1,-1,INT((B1665/28)/21))</f>
        <v>12</v>
      </c>
      <c r="D1665" s="16" t="n">
        <f aca="false">IF(B1665=-1, -1, MOD(INT(B1665/28),21))</f>
        <v>15</v>
      </c>
      <c r="E1665" s="16" t="n">
        <f aca="false">IF(B1665=-1, -1, VLOOKUP(MOD(B1665,28), $T$24:$U$52,2))</f>
        <v>0</v>
      </c>
      <c r="F1665" s="16" t="n">
        <f aca="false">IF($B1665=-1, -1, VLOOKUP(C1665,$T$1:$V$20, 2))</f>
        <v>3</v>
      </c>
      <c r="G1665" s="16" t="n">
        <f aca="false">IF($B1665=-1, -1, VLOOKUP(D1665,$Y$1:$Z$22,2))</f>
        <v>20</v>
      </c>
      <c r="H1665" s="16" t="str">
        <f aca="false">_xlfn.UNICHAR(((F1665*21)+G1665)*28+44032)</f>
        <v>디</v>
      </c>
      <c r="I1665" s="16" t="n">
        <f aca="false">IF(B1665=-1, 1, COUNTIF($A$2:$A$3000, H1665))</f>
        <v>1</v>
      </c>
      <c r="J1665" s="10" t="str">
        <f aca="false">_xlfn.CONCAT(A1665, ",",H1665,",",I1665)</f>
        <v>줴,디,1</v>
      </c>
      <c r="K1665" s="16" t="n">
        <f aca="false">IF(B1665=-1,-1,VLOOKUP(C1665,$T$1:$V$20,3))</f>
        <v>17</v>
      </c>
      <c r="L1665" s="16" t="n">
        <f aca="false">IF(B1665=-1,-1,VLOOKUP(D1665,$Y$1:$AA$22,3))</f>
        <v>16</v>
      </c>
      <c r="N1665" s="10" t="str">
        <f aca="false">_xlfn.UNICHAR(((C1665*21)+G1665)*28+44032)</f>
        <v>지</v>
      </c>
      <c r="O1665" s="10" t="str">
        <f aca="false">_xlfn.UNICHAR(((F1665*21)+D1665)*28+44032)</f>
        <v>뒈</v>
      </c>
      <c r="P1665" s="12" t="n">
        <f aca="false">COUNTIF($A$2:$A$3000, N1665) + COUNTIF($A$2:$A$3000, O1665)</f>
        <v>2</v>
      </c>
      <c r="Q1665" s="16" t="str">
        <f aca="false">IF(OR(B1665=-1,I1665=0, P1665&lt;&gt;2), "albhed_dummy", _xlfn.CONCAT("albhed ", RIGHT("  " &amp; K1665,2),", ", RIGHT("  " &amp; L1665,2), ", " ,"""",H1665,""", ", """",N1665,""", ","""",O1665,""""," ; ", A1665))</f>
        <v>albhed 17, 16, "디", "지", "뒈" ; 줴</v>
      </c>
    </row>
    <row r="1666" customFormat="false" ht="17.9" hidden="false" customHeight="true" outlineLevel="0" collapsed="false">
      <c r="A1666" s="16" t="s">
        <v>2518</v>
      </c>
      <c r="B1666" s="16" t="n">
        <f aca="false">IF(_xlfn.UNICODE(A1666)&lt;44032,-1,_xlfn.UNICODE(A1666)-44032)</f>
        <v>-1</v>
      </c>
      <c r="C1666" s="16" t="n">
        <f aca="false">IF(B1666=-1,-1,INT((B1666/28)/21))</f>
        <v>-1</v>
      </c>
      <c r="D1666" s="16" t="n">
        <f aca="false">IF(B1666=-1, -1, MOD(INT(B1666/28),21))</f>
        <v>-1</v>
      </c>
      <c r="E1666" s="16" t="n">
        <f aca="false">IF(B1666=-1, -1, VLOOKUP(MOD(B1666,28), $T$24:$U$52,2))</f>
        <v>-1</v>
      </c>
      <c r="F1666" s="16" t="n">
        <f aca="false">IF($B1666=-1, -1, VLOOKUP(C1666,$T$1:$V$20, 2))</f>
        <v>-1</v>
      </c>
      <c r="G1666" s="16" t="n">
        <f aca="false">IF($B1666=-1, -1, VLOOKUP(D1666,$Y$1:$Z$22,2))</f>
        <v>-1</v>
      </c>
      <c r="H1666" s="16" t="str">
        <f aca="false">_xlfn.UNICHAR(((F1666*21)+G1666)*28+44032)</f>
        <v>ꦘ</v>
      </c>
      <c r="I1666" s="16" t="n">
        <f aca="false">IF(B1666=-1, 1, COUNTIF($A$2:$A$3000, H1666))</f>
        <v>1</v>
      </c>
      <c r="J1666" s="10" t="str">
        <f aca="false">_xlfn.CONCAT(A1666, ",",H1666,",",I1666)</f>
        <v>A,ꦘ,1</v>
      </c>
      <c r="K1666" s="16" t="n">
        <f aca="false">IF(B1666=-1,-1,VLOOKUP(C1666,$T$1:$V$20,3))</f>
        <v>-1</v>
      </c>
      <c r="L1666" s="16" t="n">
        <f aca="false">IF(B1666=-1,-1,VLOOKUP(D1666,$Y$1:$AA$22,3))</f>
        <v>-1</v>
      </c>
      <c r="N1666" s="10" t="str">
        <f aca="false">_xlfn.UNICHAR(((C1666*21)+G1666)*28+44032)</f>
        <v>ꦘ</v>
      </c>
      <c r="O1666" s="10" t="str">
        <f aca="false">_xlfn.UNICHAR(((F1666*21)+D1666)*28+44032)</f>
        <v>ꦘ</v>
      </c>
      <c r="P1666" s="12" t="n">
        <f aca="false">COUNTIF($A$2:$A$3000, N1666) + COUNTIF($A$2:$A$3000, O1666)</f>
        <v>0</v>
      </c>
      <c r="Q1666" s="16" t="str">
        <f aca="false">IF(OR(B1666=-1,I1666=0, P1666&lt;&gt;2), "albhed_dummy", _xlfn.CONCAT("albhed ", RIGHT("  " &amp; K1666,2),", ", RIGHT("  " &amp; L1666,2), ", " ,"""",H1666,""", ", """",N1666,""", ","""",O1666,""""," ; ", A1666))</f>
        <v>albhed_dummy</v>
      </c>
    </row>
    <row r="1667" customFormat="false" ht="17.9" hidden="false" customHeight="true" outlineLevel="0" collapsed="false">
      <c r="A1667" s="16" t="s">
        <v>2519</v>
      </c>
      <c r="B1667" s="16" t="n">
        <f aca="false">IF(_xlfn.UNICODE(A1667)&lt;44032,-1,_xlfn.UNICODE(A1667)-44032)</f>
        <v>-1</v>
      </c>
      <c r="C1667" s="16" t="n">
        <f aca="false">IF(B1667=-1,-1,INT((B1667/28)/21))</f>
        <v>-1</v>
      </c>
      <c r="D1667" s="16" t="n">
        <f aca="false">IF(B1667=-1, -1, MOD(INT(B1667/28),21))</f>
        <v>-1</v>
      </c>
      <c r="E1667" s="16" t="n">
        <f aca="false">IF(B1667=-1, -1, VLOOKUP(MOD(B1667,28), $T$24:$U$52,2))</f>
        <v>-1</v>
      </c>
      <c r="F1667" s="16" t="n">
        <f aca="false">IF($B1667=-1, -1, VLOOKUP(C1667,$T$1:$V$20, 2))</f>
        <v>-1</v>
      </c>
      <c r="G1667" s="16" t="n">
        <f aca="false">IF($B1667=-1, -1, VLOOKUP(D1667,$Y$1:$Z$22,2))</f>
        <v>-1</v>
      </c>
      <c r="H1667" s="16" t="str">
        <f aca="false">_xlfn.UNICHAR(((F1667*21)+G1667)*28+44032)</f>
        <v>ꦘ</v>
      </c>
      <c r="I1667" s="16" t="n">
        <f aca="false">IF(B1667=-1, 1, COUNTIF($A$2:$A$3000, H1667))</f>
        <v>1</v>
      </c>
      <c r="J1667" s="10" t="str">
        <f aca="false">_xlfn.CONCAT(A1667, ",",H1667,",",I1667)</f>
        <v>B,ꦘ,1</v>
      </c>
      <c r="K1667" s="16" t="n">
        <f aca="false">IF(B1667=-1,-1,VLOOKUP(C1667,$T$1:$V$20,3))</f>
        <v>-1</v>
      </c>
      <c r="L1667" s="16" t="n">
        <f aca="false">IF(B1667=-1,-1,VLOOKUP(D1667,$Y$1:$AA$22,3))</f>
        <v>-1</v>
      </c>
      <c r="N1667" s="10" t="str">
        <f aca="false">_xlfn.UNICHAR(((C1667*21)+G1667)*28+44032)</f>
        <v>ꦘ</v>
      </c>
      <c r="O1667" s="10" t="str">
        <f aca="false">_xlfn.UNICHAR(((F1667*21)+D1667)*28+44032)</f>
        <v>ꦘ</v>
      </c>
      <c r="P1667" s="12" t="n">
        <f aca="false">COUNTIF($A$2:$A$3000, N1667) + COUNTIF($A$2:$A$3000, O1667)</f>
        <v>0</v>
      </c>
      <c r="Q1667" s="16" t="str">
        <f aca="false">IF(OR(B1667=-1,I1667=0, P1667&lt;&gt;2), "albhed_dummy", _xlfn.CONCAT("albhed ", RIGHT("  " &amp; K1667,2),", ", RIGHT("  " &amp; L1667,2), ", " ,"""",H1667,""", ", """",N1667,""", ","""",O1667,""""," ; ", A1667))</f>
        <v>albhed_dummy</v>
      </c>
    </row>
    <row r="1668" customFormat="false" ht="17.9" hidden="false" customHeight="true" outlineLevel="0" collapsed="false">
      <c r="A1668" s="16" t="s">
        <v>2520</v>
      </c>
      <c r="B1668" s="16" t="n">
        <f aca="false">IF(_xlfn.UNICODE(A1668)&lt;44032,-1,_xlfn.UNICODE(A1668)-44032)</f>
        <v>-1</v>
      </c>
      <c r="C1668" s="16" t="n">
        <f aca="false">IF(B1668=-1,-1,INT((B1668/28)/21))</f>
        <v>-1</v>
      </c>
      <c r="D1668" s="16" t="n">
        <f aca="false">IF(B1668=-1, -1, MOD(INT(B1668/28),21))</f>
        <v>-1</v>
      </c>
      <c r="E1668" s="16" t="n">
        <f aca="false">IF(B1668=-1, -1, VLOOKUP(MOD(B1668,28), $T$24:$U$52,2))</f>
        <v>-1</v>
      </c>
      <c r="F1668" s="16" t="n">
        <f aca="false">IF($B1668=-1, -1, VLOOKUP(C1668,$T$1:$V$20, 2))</f>
        <v>-1</v>
      </c>
      <c r="G1668" s="16" t="n">
        <f aca="false">IF($B1668=-1, -1, VLOOKUP(D1668,$Y$1:$Z$22,2))</f>
        <v>-1</v>
      </c>
      <c r="H1668" s="16" t="str">
        <f aca="false">_xlfn.UNICHAR(((F1668*21)+G1668)*28+44032)</f>
        <v>ꦘ</v>
      </c>
      <c r="I1668" s="16" t="n">
        <f aca="false">IF(B1668=-1, 1, COUNTIF($A$2:$A$3000, H1668))</f>
        <v>1</v>
      </c>
      <c r="J1668" s="10" t="str">
        <f aca="false">_xlfn.CONCAT(A1668, ",",H1668,",",I1668)</f>
        <v>C,ꦘ,1</v>
      </c>
      <c r="K1668" s="16" t="n">
        <f aca="false">IF(B1668=-1,-1,VLOOKUP(C1668,$T$1:$V$20,3))</f>
        <v>-1</v>
      </c>
      <c r="L1668" s="16" t="n">
        <f aca="false">IF(B1668=-1,-1,VLOOKUP(D1668,$Y$1:$AA$22,3))</f>
        <v>-1</v>
      </c>
      <c r="N1668" s="10" t="str">
        <f aca="false">_xlfn.UNICHAR(((C1668*21)+G1668)*28+44032)</f>
        <v>ꦘ</v>
      </c>
      <c r="O1668" s="10" t="str">
        <f aca="false">_xlfn.UNICHAR(((F1668*21)+D1668)*28+44032)</f>
        <v>ꦘ</v>
      </c>
      <c r="P1668" s="12" t="n">
        <f aca="false">COUNTIF($A$2:$A$3000, N1668) + COUNTIF($A$2:$A$3000, O1668)</f>
        <v>0</v>
      </c>
      <c r="Q1668" s="16" t="str">
        <f aca="false">IF(OR(B1668=-1,I1668=0, P1668&lt;&gt;2), "albhed_dummy", _xlfn.CONCAT("albhed ", RIGHT("  " &amp; K1668,2),", ", RIGHT("  " &amp; L1668,2), ", " ,"""",H1668,""", ", """",N1668,""", ","""",O1668,""""," ; ", A1668))</f>
        <v>albhed_dummy</v>
      </c>
    </row>
    <row r="1669" customFormat="false" ht="17.9" hidden="false" customHeight="true" outlineLevel="0" collapsed="false">
      <c r="A1669" s="16" t="s">
        <v>2521</v>
      </c>
      <c r="B1669" s="16" t="n">
        <f aca="false">IF(_xlfn.UNICODE(A1669)&lt;44032,-1,_xlfn.UNICODE(A1669)-44032)</f>
        <v>-1</v>
      </c>
      <c r="C1669" s="16" t="n">
        <f aca="false">IF(B1669=-1,-1,INT((B1669/28)/21))</f>
        <v>-1</v>
      </c>
      <c r="D1669" s="16" t="n">
        <f aca="false">IF(B1669=-1, -1, MOD(INT(B1669/28),21))</f>
        <v>-1</v>
      </c>
      <c r="E1669" s="16" t="n">
        <f aca="false">IF(B1669=-1, -1, VLOOKUP(MOD(B1669,28), $T$24:$U$52,2))</f>
        <v>-1</v>
      </c>
      <c r="F1669" s="16" t="n">
        <f aca="false">IF($B1669=-1, -1, VLOOKUP(C1669,$T$1:$V$20, 2))</f>
        <v>-1</v>
      </c>
      <c r="G1669" s="16" t="n">
        <f aca="false">IF($B1669=-1, -1, VLOOKUP(D1669,$Y$1:$Z$22,2))</f>
        <v>-1</v>
      </c>
      <c r="H1669" s="16" t="str">
        <f aca="false">_xlfn.UNICHAR(((F1669*21)+G1669)*28+44032)</f>
        <v>ꦘ</v>
      </c>
      <c r="I1669" s="16" t="n">
        <f aca="false">IF(B1669=-1, 1, COUNTIF($A$2:$A$3000, H1669))</f>
        <v>1</v>
      </c>
      <c r="J1669" s="10" t="str">
        <f aca="false">_xlfn.CONCAT(A1669, ",",H1669,",",I1669)</f>
        <v>D,ꦘ,1</v>
      </c>
      <c r="K1669" s="16" t="n">
        <f aca="false">IF(B1669=-1,-1,VLOOKUP(C1669,$T$1:$V$20,3))</f>
        <v>-1</v>
      </c>
      <c r="L1669" s="16" t="n">
        <f aca="false">IF(B1669=-1,-1,VLOOKUP(D1669,$Y$1:$AA$22,3))</f>
        <v>-1</v>
      </c>
      <c r="N1669" s="10" t="str">
        <f aca="false">_xlfn.UNICHAR(((C1669*21)+G1669)*28+44032)</f>
        <v>ꦘ</v>
      </c>
      <c r="O1669" s="10" t="str">
        <f aca="false">_xlfn.UNICHAR(((F1669*21)+D1669)*28+44032)</f>
        <v>ꦘ</v>
      </c>
      <c r="P1669" s="12" t="n">
        <f aca="false">COUNTIF($A$2:$A$3000, N1669) + COUNTIF($A$2:$A$3000, O1669)</f>
        <v>0</v>
      </c>
      <c r="Q1669" s="16" t="str">
        <f aca="false">IF(OR(B1669=-1,I1669=0, P1669&lt;&gt;2), "albhed_dummy", _xlfn.CONCAT("albhed ", RIGHT("  " &amp; K1669,2),", ", RIGHT("  " &amp; L1669,2), ", " ,"""",H1669,""", ", """",N1669,""", ","""",O1669,""""," ; ", A1669))</f>
        <v>albhed_dummy</v>
      </c>
    </row>
    <row r="1670" customFormat="false" ht="17.9" hidden="false" customHeight="true" outlineLevel="0" collapsed="false">
      <c r="A1670" s="16" t="s">
        <v>8</v>
      </c>
      <c r="B1670" s="16" t="n">
        <f aca="false">IF(_xlfn.UNICODE(A1670)&lt;44032,-1,_xlfn.UNICODE(A1670)-44032)</f>
        <v>-1</v>
      </c>
      <c r="C1670" s="16" t="n">
        <f aca="false">IF(B1670=-1,-1,INT((B1670/28)/21))</f>
        <v>-1</v>
      </c>
      <c r="D1670" s="16" t="n">
        <f aca="false">IF(B1670=-1, -1, MOD(INT(B1670/28),21))</f>
        <v>-1</v>
      </c>
      <c r="E1670" s="16" t="n">
        <f aca="false">IF(B1670=-1, -1, VLOOKUP(MOD(B1670,28), $T$24:$U$52,2))</f>
        <v>-1</v>
      </c>
      <c r="F1670" s="16" t="n">
        <f aca="false">IF($B1670=-1, -1, VLOOKUP(C1670,$T$1:$V$20, 2))</f>
        <v>-1</v>
      </c>
      <c r="G1670" s="16" t="n">
        <f aca="false">IF($B1670=-1, -1, VLOOKUP(D1670,$Y$1:$Z$22,2))</f>
        <v>-1</v>
      </c>
      <c r="H1670" s="16" t="str">
        <f aca="false">_xlfn.UNICHAR(((F1670*21)+G1670)*28+44032)</f>
        <v>ꦘ</v>
      </c>
      <c r="I1670" s="16" t="n">
        <f aca="false">IF(B1670=-1, 1, COUNTIF($A$2:$A$3000, H1670))</f>
        <v>1</v>
      </c>
      <c r="J1670" s="10" t="str">
        <f aca="false">_xlfn.CONCAT(A1670, ",",H1670,",",I1670)</f>
        <v>E,ꦘ,1</v>
      </c>
      <c r="K1670" s="16" t="n">
        <f aca="false">IF(B1670=-1,-1,VLOOKUP(C1670,$T$1:$V$20,3))</f>
        <v>-1</v>
      </c>
      <c r="L1670" s="16" t="n">
        <f aca="false">IF(B1670=-1,-1,VLOOKUP(D1670,$Y$1:$AA$22,3))</f>
        <v>-1</v>
      </c>
      <c r="N1670" s="10" t="str">
        <f aca="false">_xlfn.UNICHAR(((C1670*21)+G1670)*28+44032)</f>
        <v>ꦘ</v>
      </c>
      <c r="O1670" s="10" t="str">
        <f aca="false">_xlfn.UNICHAR(((F1670*21)+D1670)*28+44032)</f>
        <v>ꦘ</v>
      </c>
      <c r="P1670" s="12" t="n">
        <f aca="false">COUNTIF($A$2:$A$3000, N1670) + COUNTIF($A$2:$A$3000, O1670)</f>
        <v>0</v>
      </c>
      <c r="Q1670" s="16" t="str">
        <f aca="false">IF(OR(B1670=-1,I1670=0, P1670&lt;&gt;2), "albhed_dummy", _xlfn.CONCAT("albhed ", RIGHT("  " &amp; K1670,2),", ", RIGHT("  " &amp; L1670,2), ", " ,"""",H1670,""", ", """",N1670,""", ","""",O1670,""""," ; ", A1670))</f>
        <v>albhed_dummy</v>
      </c>
    </row>
    <row r="1671" customFormat="false" ht="17.9" hidden="false" customHeight="true" outlineLevel="0" collapsed="false">
      <c r="A1671" s="16" t="s">
        <v>2522</v>
      </c>
      <c r="B1671" s="16" t="n">
        <f aca="false">IF(_xlfn.UNICODE(A1671)&lt;44032,-1,_xlfn.UNICODE(A1671)-44032)</f>
        <v>-1</v>
      </c>
      <c r="C1671" s="16" t="n">
        <f aca="false">IF(B1671=-1,-1,INT((B1671/28)/21))</f>
        <v>-1</v>
      </c>
      <c r="D1671" s="16" t="n">
        <f aca="false">IF(B1671=-1, -1, MOD(INT(B1671/28),21))</f>
        <v>-1</v>
      </c>
      <c r="E1671" s="16" t="n">
        <f aca="false">IF(B1671=-1, -1, VLOOKUP(MOD(B1671,28), $T$24:$U$52,2))</f>
        <v>-1</v>
      </c>
      <c r="F1671" s="16" t="n">
        <f aca="false">IF($B1671=-1, -1, VLOOKUP(C1671,$T$1:$V$20, 2))</f>
        <v>-1</v>
      </c>
      <c r="G1671" s="16" t="n">
        <f aca="false">IF($B1671=-1, -1, VLOOKUP(D1671,$Y$1:$Z$22,2))</f>
        <v>-1</v>
      </c>
      <c r="H1671" s="16" t="str">
        <f aca="false">_xlfn.UNICHAR(((F1671*21)+G1671)*28+44032)</f>
        <v>ꦘ</v>
      </c>
      <c r="I1671" s="16" t="n">
        <f aca="false">IF(B1671=-1, 1, COUNTIF($A$2:$A$3000, H1671))</f>
        <v>1</v>
      </c>
      <c r="J1671" s="10" t="str">
        <f aca="false">_xlfn.CONCAT(A1671, ",",H1671,",",I1671)</f>
        <v>F,ꦘ,1</v>
      </c>
      <c r="K1671" s="16" t="n">
        <f aca="false">IF(B1671=-1,-1,VLOOKUP(C1671,$T$1:$V$20,3))</f>
        <v>-1</v>
      </c>
      <c r="L1671" s="16" t="n">
        <f aca="false">IF(B1671=-1,-1,VLOOKUP(D1671,$Y$1:$AA$22,3))</f>
        <v>-1</v>
      </c>
      <c r="N1671" s="10" t="str">
        <f aca="false">_xlfn.UNICHAR(((C1671*21)+G1671)*28+44032)</f>
        <v>ꦘ</v>
      </c>
      <c r="O1671" s="10" t="str">
        <f aca="false">_xlfn.UNICHAR(((F1671*21)+D1671)*28+44032)</f>
        <v>ꦘ</v>
      </c>
      <c r="P1671" s="12" t="n">
        <f aca="false">COUNTIF($A$2:$A$3000, N1671) + COUNTIF($A$2:$A$3000, O1671)</f>
        <v>0</v>
      </c>
      <c r="Q1671" s="16" t="str">
        <f aca="false">IF(OR(B1671=-1,I1671=0, P1671&lt;&gt;2), "albhed_dummy", _xlfn.CONCAT("albhed ", RIGHT("  " &amp; K1671,2),", ", RIGHT("  " &amp; L1671,2), ", " ,"""",H1671,""", ", """",N1671,""", ","""",O1671,""""," ; ", A1671))</f>
        <v>albhed_dummy</v>
      </c>
    </row>
    <row r="1672" customFormat="false" ht="17.9" hidden="false" customHeight="true" outlineLevel="0" collapsed="false">
      <c r="A1672" s="16" t="s">
        <v>2523</v>
      </c>
      <c r="B1672" s="16" t="n">
        <f aca="false">IF(_xlfn.UNICODE(A1672)&lt;44032,-1,_xlfn.UNICODE(A1672)-44032)</f>
        <v>-1</v>
      </c>
      <c r="C1672" s="16" t="n">
        <f aca="false">IF(B1672=-1,-1,INT((B1672/28)/21))</f>
        <v>-1</v>
      </c>
      <c r="D1672" s="16" t="n">
        <f aca="false">IF(B1672=-1, -1, MOD(INT(B1672/28),21))</f>
        <v>-1</v>
      </c>
      <c r="E1672" s="16" t="n">
        <f aca="false">IF(B1672=-1, -1, VLOOKUP(MOD(B1672,28), $T$24:$U$52,2))</f>
        <v>-1</v>
      </c>
      <c r="F1672" s="16" t="n">
        <f aca="false">IF($B1672=-1, -1, VLOOKUP(C1672,$T$1:$V$20, 2))</f>
        <v>-1</v>
      </c>
      <c r="G1672" s="16" t="n">
        <f aca="false">IF($B1672=-1, -1, VLOOKUP(D1672,$Y$1:$Z$22,2))</f>
        <v>-1</v>
      </c>
      <c r="H1672" s="16" t="str">
        <f aca="false">_xlfn.UNICHAR(((F1672*21)+G1672)*28+44032)</f>
        <v>ꦘ</v>
      </c>
      <c r="I1672" s="16" t="n">
        <f aca="false">IF(B1672=-1, 1, COUNTIF($A$2:$A$3000, H1672))</f>
        <v>1</v>
      </c>
      <c r="J1672" s="10" t="str">
        <f aca="false">_xlfn.CONCAT(A1672, ",",H1672,",",I1672)</f>
        <v>G,ꦘ,1</v>
      </c>
      <c r="K1672" s="16" t="n">
        <f aca="false">IF(B1672=-1,-1,VLOOKUP(C1672,$T$1:$V$20,3))</f>
        <v>-1</v>
      </c>
      <c r="L1672" s="16" t="n">
        <f aca="false">IF(B1672=-1,-1,VLOOKUP(D1672,$Y$1:$AA$22,3))</f>
        <v>-1</v>
      </c>
      <c r="N1672" s="10" t="str">
        <f aca="false">_xlfn.UNICHAR(((C1672*21)+G1672)*28+44032)</f>
        <v>ꦘ</v>
      </c>
      <c r="O1672" s="10" t="str">
        <f aca="false">_xlfn.UNICHAR(((F1672*21)+D1672)*28+44032)</f>
        <v>ꦘ</v>
      </c>
      <c r="P1672" s="12" t="n">
        <f aca="false">COUNTIF($A$2:$A$3000, N1672) + COUNTIF($A$2:$A$3000, O1672)</f>
        <v>0</v>
      </c>
      <c r="Q1672" s="16" t="str">
        <f aca="false">IF(OR(B1672=-1,I1672=0, P1672&lt;&gt;2), "albhed_dummy", _xlfn.CONCAT("albhed ", RIGHT("  " &amp; K1672,2),", ", RIGHT("  " &amp; L1672,2), ", " ,"""",H1672,""", ", """",N1672,""", ","""",O1672,""""," ; ", A1672))</f>
        <v>albhed_dummy</v>
      </c>
    </row>
    <row r="1673" customFormat="false" ht="17.9" hidden="false" customHeight="true" outlineLevel="0" collapsed="false">
      <c r="A1673" s="16" t="s">
        <v>2524</v>
      </c>
      <c r="B1673" s="16" t="n">
        <f aca="false">IF(_xlfn.UNICODE(A1673)&lt;44032,-1,_xlfn.UNICODE(A1673)-44032)</f>
        <v>-1</v>
      </c>
      <c r="C1673" s="16" t="n">
        <f aca="false">IF(B1673=-1,-1,INT((B1673/28)/21))</f>
        <v>-1</v>
      </c>
      <c r="D1673" s="16" t="n">
        <f aca="false">IF(B1673=-1, -1, MOD(INT(B1673/28),21))</f>
        <v>-1</v>
      </c>
      <c r="E1673" s="16" t="n">
        <f aca="false">IF(B1673=-1, -1, VLOOKUP(MOD(B1673,28), $T$24:$U$52,2))</f>
        <v>-1</v>
      </c>
      <c r="F1673" s="16" t="n">
        <f aca="false">IF($B1673=-1, -1, VLOOKUP(C1673,$T$1:$V$20, 2))</f>
        <v>-1</v>
      </c>
      <c r="G1673" s="16" t="n">
        <f aca="false">IF($B1673=-1, -1, VLOOKUP(D1673,$Y$1:$Z$22,2))</f>
        <v>-1</v>
      </c>
      <c r="H1673" s="16" t="str">
        <f aca="false">_xlfn.UNICHAR(((F1673*21)+G1673)*28+44032)</f>
        <v>ꦘ</v>
      </c>
      <c r="I1673" s="16" t="n">
        <f aca="false">IF(B1673=-1, 1, COUNTIF($A$2:$A$3000, H1673))</f>
        <v>1</v>
      </c>
      <c r="J1673" s="10" t="str">
        <f aca="false">_xlfn.CONCAT(A1673, ",",H1673,",",I1673)</f>
        <v>H,ꦘ,1</v>
      </c>
      <c r="K1673" s="16" t="n">
        <f aca="false">IF(B1673=-1,-1,VLOOKUP(C1673,$T$1:$V$20,3))</f>
        <v>-1</v>
      </c>
      <c r="L1673" s="16" t="n">
        <f aca="false">IF(B1673=-1,-1,VLOOKUP(D1673,$Y$1:$AA$22,3))</f>
        <v>-1</v>
      </c>
      <c r="N1673" s="10" t="str">
        <f aca="false">_xlfn.UNICHAR(((C1673*21)+G1673)*28+44032)</f>
        <v>ꦘ</v>
      </c>
      <c r="O1673" s="10" t="str">
        <f aca="false">_xlfn.UNICHAR(((F1673*21)+D1673)*28+44032)</f>
        <v>ꦘ</v>
      </c>
      <c r="P1673" s="12" t="n">
        <f aca="false">COUNTIF($A$2:$A$3000, N1673) + COUNTIF($A$2:$A$3000, O1673)</f>
        <v>0</v>
      </c>
      <c r="Q1673" s="16" t="str">
        <f aca="false">IF(OR(B1673=-1,I1673=0, P1673&lt;&gt;2), "albhed_dummy", _xlfn.CONCAT("albhed ", RIGHT("  " &amp; K1673,2),", ", RIGHT("  " &amp; L1673,2), ", " ,"""",H1673,""", ", """",N1673,""", ","""",O1673,""""," ; ", A1673))</f>
        <v>albhed_dummy</v>
      </c>
    </row>
    <row r="1674" customFormat="false" ht="17.9" hidden="false" customHeight="true" outlineLevel="0" collapsed="false">
      <c r="A1674" s="16" t="s">
        <v>2525</v>
      </c>
      <c r="B1674" s="16" t="n">
        <f aca="false">IF(_xlfn.UNICODE(A1674)&lt;44032,-1,_xlfn.UNICODE(A1674)-44032)</f>
        <v>-1</v>
      </c>
      <c r="C1674" s="16" t="n">
        <f aca="false">IF(B1674=-1,-1,INT((B1674/28)/21))</f>
        <v>-1</v>
      </c>
      <c r="D1674" s="16" t="n">
        <f aca="false">IF(B1674=-1, -1, MOD(INT(B1674/28),21))</f>
        <v>-1</v>
      </c>
      <c r="E1674" s="16" t="n">
        <f aca="false">IF(B1674=-1, -1, VLOOKUP(MOD(B1674,28), $T$24:$U$52,2))</f>
        <v>-1</v>
      </c>
      <c r="F1674" s="16" t="n">
        <f aca="false">IF($B1674=-1, -1, VLOOKUP(C1674,$T$1:$V$20, 2))</f>
        <v>-1</v>
      </c>
      <c r="G1674" s="16" t="n">
        <f aca="false">IF($B1674=-1, -1, VLOOKUP(D1674,$Y$1:$Z$22,2))</f>
        <v>-1</v>
      </c>
      <c r="H1674" s="16" t="str">
        <f aca="false">_xlfn.UNICHAR(((F1674*21)+G1674)*28+44032)</f>
        <v>ꦘ</v>
      </c>
      <c r="I1674" s="16" t="n">
        <f aca="false">IF(B1674=-1, 1, COUNTIF($A$2:$A$3000, H1674))</f>
        <v>1</v>
      </c>
      <c r="J1674" s="10" t="str">
        <f aca="false">_xlfn.CONCAT(A1674, ",",H1674,",",I1674)</f>
        <v>I,ꦘ,1</v>
      </c>
      <c r="K1674" s="16" t="n">
        <f aca="false">IF(B1674=-1,-1,VLOOKUP(C1674,$T$1:$V$20,3))</f>
        <v>-1</v>
      </c>
      <c r="L1674" s="16" t="n">
        <f aca="false">IF(B1674=-1,-1,VLOOKUP(D1674,$Y$1:$AA$22,3))</f>
        <v>-1</v>
      </c>
      <c r="N1674" s="10" t="str">
        <f aca="false">_xlfn.UNICHAR(((C1674*21)+G1674)*28+44032)</f>
        <v>ꦘ</v>
      </c>
      <c r="O1674" s="10" t="str">
        <f aca="false">_xlfn.UNICHAR(((F1674*21)+D1674)*28+44032)</f>
        <v>ꦘ</v>
      </c>
      <c r="P1674" s="12" t="n">
        <f aca="false">COUNTIF($A$2:$A$3000, N1674) + COUNTIF($A$2:$A$3000, O1674)</f>
        <v>0</v>
      </c>
      <c r="Q1674" s="16" t="str">
        <f aca="false">IF(OR(B1674=-1,I1674=0, P1674&lt;&gt;2), "albhed_dummy", _xlfn.CONCAT("albhed ", RIGHT("  " &amp; K1674,2),", ", RIGHT("  " &amp; L1674,2), ", " ,"""",H1674,""", ", """",N1674,""", ","""",O1674,""""," ; ", A1674))</f>
        <v>albhed_dummy</v>
      </c>
    </row>
    <row r="1675" customFormat="false" ht="17.9" hidden="false" customHeight="true" outlineLevel="0" collapsed="false">
      <c r="A1675" s="16" t="s">
        <v>2526</v>
      </c>
      <c r="B1675" s="16" t="n">
        <f aca="false">IF(_xlfn.UNICODE(A1675)&lt;44032,-1,_xlfn.UNICODE(A1675)-44032)</f>
        <v>-1</v>
      </c>
      <c r="C1675" s="16" t="n">
        <f aca="false">IF(B1675=-1,-1,INT((B1675/28)/21))</f>
        <v>-1</v>
      </c>
      <c r="D1675" s="16" t="n">
        <f aca="false">IF(B1675=-1, -1, MOD(INT(B1675/28),21))</f>
        <v>-1</v>
      </c>
      <c r="E1675" s="16" t="n">
        <f aca="false">IF(B1675=-1, -1, VLOOKUP(MOD(B1675,28), $T$24:$U$52,2))</f>
        <v>-1</v>
      </c>
      <c r="F1675" s="16" t="n">
        <f aca="false">IF($B1675=-1, -1, VLOOKUP(C1675,$T$1:$V$20, 2))</f>
        <v>-1</v>
      </c>
      <c r="G1675" s="16" t="n">
        <f aca="false">IF($B1675=-1, -1, VLOOKUP(D1675,$Y$1:$Z$22,2))</f>
        <v>-1</v>
      </c>
      <c r="H1675" s="16" t="str">
        <f aca="false">_xlfn.UNICHAR(((F1675*21)+G1675)*28+44032)</f>
        <v>ꦘ</v>
      </c>
      <c r="I1675" s="16" t="n">
        <f aca="false">IF(B1675=-1, 1, COUNTIF($A$2:$A$3000, H1675))</f>
        <v>1</v>
      </c>
      <c r="J1675" s="10" t="str">
        <f aca="false">_xlfn.CONCAT(A1675, ",",H1675,",",I1675)</f>
        <v>J,ꦘ,1</v>
      </c>
      <c r="K1675" s="16" t="n">
        <f aca="false">IF(B1675=-1,-1,VLOOKUP(C1675,$T$1:$V$20,3))</f>
        <v>-1</v>
      </c>
      <c r="L1675" s="16" t="n">
        <f aca="false">IF(B1675=-1,-1,VLOOKUP(D1675,$Y$1:$AA$22,3))</f>
        <v>-1</v>
      </c>
      <c r="N1675" s="10" t="str">
        <f aca="false">_xlfn.UNICHAR(((C1675*21)+G1675)*28+44032)</f>
        <v>ꦘ</v>
      </c>
      <c r="O1675" s="10" t="str">
        <f aca="false">_xlfn.UNICHAR(((F1675*21)+D1675)*28+44032)</f>
        <v>ꦘ</v>
      </c>
      <c r="P1675" s="12" t="n">
        <f aca="false">COUNTIF($A$2:$A$3000, N1675) + COUNTIF($A$2:$A$3000, O1675)</f>
        <v>0</v>
      </c>
      <c r="Q1675" s="16" t="str">
        <f aca="false">IF(OR(B1675=-1,I1675=0, P1675&lt;&gt;2), "albhed_dummy", _xlfn.CONCAT("albhed ", RIGHT("  " &amp; K1675,2),", ", RIGHT("  " &amp; L1675,2), ", " ,"""",H1675,""", ", """",N1675,""", ","""",O1675,""""," ; ", A1675))</f>
        <v>albhed_dummy</v>
      </c>
    </row>
    <row r="1676" customFormat="false" ht="17.9" hidden="false" customHeight="true" outlineLevel="0" collapsed="false">
      <c r="A1676" s="16" t="s">
        <v>2527</v>
      </c>
      <c r="B1676" s="16" t="n">
        <f aca="false">IF(_xlfn.UNICODE(A1676)&lt;44032,-1,_xlfn.UNICODE(A1676)-44032)</f>
        <v>-1</v>
      </c>
      <c r="C1676" s="16" t="n">
        <f aca="false">IF(B1676=-1,-1,INT((B1676/28)/21))</f>
        <v>-1</v>
      </c>
      <c r="D1676" s="16" t="n">
        <f aca="false">IF(B1676=-1, -1, MOD(INT(B1676/28),21))</f>
        <v>-1</v>
      </c>
      <c r="E1676" s="16" t="n">
        <f aca="false">IF(B1676=-1, -1, VLOOKUP(MOD(B1676,28), $T$24:$U$52,2))</f>
        <v>-1</v>
      </c>
      <c r="F1676" s="16" t="n">
        <f aca="false">IF($B1676=-1, -1, VLOOKUP(C1676,$T$1:$V$20, 2))</f>
        <v>-1</v>
      </c>
      <c r="G1676" s="16" t="n">
        <f aca="false">IF($B1676=-1, -1, VLOOKUP(D1676,$Y$1:$Z$22,2))</f>
        <v>-1</v>
      </c>
      <c r="H1676" s="16" t="str">
        <f aca="false">_xlfn.UNICHAR(((F1676*21)+G1676)*28+44032)</f>
        <v>ꦘ</v>
      </c>
      <c r="I1676" s="16" t="n">
        <f aca="false">IF(B1676=-1, 1, COUNTIF($A$2:$A$3000, H1676))</f>
        <v>1</v>
      </c>
      <c r="J1676" s="10" t="str">
        <f aca="false">_xlfn.CONCAT(A1676, ",",H1676,",",I1676)</f>
        <v>K,ꦘ,1</v>
      </c>
      <c r="K1676" s="16" t="n">
        <f aca="false">IF(B1676=-1,-1,VLOOKUP(C1676,$T$1:$V$20,3))</f>
        <v>-1</v>
      </c>
      <c r="L1676" s="16" t="n">
        <f aca="false">IF(B1676=-1,-1,VLOOKUP(D1676,$Y$1:$AA$22,3))</f>
        <v>-1</v>
      </c>
      <c r="N1676" s="10" t="str">
        <f aca="false">_xlfn.UNICHAR(((C1676*21)+G1676)*28+44032)</f>
        <v>ꦘ</v>
      </c>
      <c r="O1676" s="10" t="str">
        <f aca="false">_xlfn.UNICHAR(((F1676*21)+D1676)*28+44032)</f>
        <v>ꦘ</v>
      </c>
      <c r="P1676" s="12" t="n">
        <f aca="false">COUNTIF($A$2:$A$3000, N1676) + COUNTIF($A$2:$A$3000, O1676)</f>
        <v>0</v>
      </c>
      <c r="Q1676" s="16" t="str">
        <f aca="false">IF(OR(B1676=-1,I1676=0, P1676&lt;&gt;2), "albhed_dummy", _xlfn.CONCAT("albhed ", RIGHT("  " &amp; K1676,2),", ", RIGHT("  " &amp; L1676,2), ", " ,"""",H1676,""", ", """",N1676,""", ","""",O1676,""""," ; ", A1676))</f>
        <v>albhed_dummy</v>
      </c>
    </row>
    <row r="1677" customFormat="false" ht="17.9" hidden="false" customHeight="true" outlineLevel="0" collapsed="false">
      <c r="A1677" s="16" t="s">
        <v>2528</v>
      </c>
      <c r="B1677" s="16" t="n">
        <f aca="false">IF(_xlfn.UNICODE(A1677)&lt;44032,-1,_xlfn.UNICODE(A1677)-44032)</f>
        <v>-1</v>
      </c>
      <c r="C1677" s="16" t="n">
        <f aca="false">IF(B1677=-1,-1,INT((B1677/28)/21))</f>
        <v>-1</v>
      </c>
      <c r="D1677" s="16" t="n">
        <f aca="false">IF(B1677=-1, -1, MOD(INT(B1677/28),21))</f>
        <v>-1</v>
      </c>
      <c r="E1677" s="16" t="n">
        <f aca="false">IF(B1677=-1, -1, VLOOKUP(MOD(B1677,28), $T$24:$U$52,2))</f>
        <v>-1</v>
      </c>
      <c r="F1677" s="16" t="n">
        <f aca="false">IF($B1677=-1, -1, VLOOKUP(C1677,$T$1:$V$20, 2))</f>
        <v>-1</v>
      </c>
      <c r="G1677" s="16" t="n">
        <f aca="false">IF($B1677=-1, -1, VLOOKUP(D1677,$Y$1:$Z$22,2))</f>
        <v>-1</v>
      </c>
      <c r="H1677" s="16" t="str">
        <f aca="false">_xlfn.UNICHAR(((F1677*21)+G1677)*28+44032)</f>
        <v>ꦘ</v>
      </c>
      <c r="I1677" s="16" t="n">
        <f aca="false">IF(B1677=-1, 1, COUNTIF($A$2:$A$3000, H1677))</f>
        <v>1</v>
      </c>
      <c r="J1677" s="10" t="str">
        <f aca="false">_xlfn.CONCAT(A1677, ",",H1677,",",I1677)</f>
        <v>L,ꦘ,1</v>
      </c>
      <c r="K1677" s="16" t="n">
        <f aca="false">IF(B1677=-1,-1,VLOOKUP(C1677,$T$1:$V$20,3))</f>
        <v>-1</v>
      </c>
      <c r="L1677" s="16" t="n">
        <f aca="false">IF(B1677=-1,-1,VLOOKUP(D1677,$Y$1:$AA$22,3))</f>
        <v>-1</v>
      </c>
      <c r="N1677" s="10" t="str">
        <f aca="false">_xlfn.UNICHAR(((C1677*21)+G1677)*28+44032)</f>
        <v>ꦘ</v>
      </c>
      <c r="O1677" s="10" t="str">
        <f aca="false">_xlfn.UNICHAR(((F1677*21)+D1677)*28+44032)</f>
        <v>ꦘ</v>
      </c>
      <c r="P1677" s="12" t="n">
        <f aca="false">COUNTIF($A$2:$A$3000, N1677) + COUNTIF($A$2:$A$3000, O1677)</f>
        <v>0</v>
      </c>
      <c r="Q1677" s="16" t="str">
        <f aca="false">IF(OR(B1677=-1,I1677=0, P1677&lt;&gt;2), "albhed_dummy", _xlfn.CONCAT("albhed ", RIGHT("  " &amp; K1677,2),", ", RIGHT("  " &amp; L1677,2), ", " ,"""",H1677,""", ", """",N1677,""", ","""",O1677,""""," ; ", A1677))</f>
        <v>albhed_dummy</v>
      </c>
    </row>
    <row r="1678" customFormat="false" ht="17.9" hidden="false" customHeight="true" outlineLevel="0" collapsed="false">
      <c r="A1678" s="16" t="s">
        <v>2529</v>
      </c>
      <c r="B1678" s="16" t="n">
        <f aca="false">IF(_xlfn.UNICODE(A1678)&lt;44032,-1,_xlfn.UNICODE(A1678)-44032)</f>
        <v>-1</v>
      </c>
      <c r="C1678" s="16" t="n">
        <f aca="false">IF(B1678=-1,-1,INT((B1678/28)/21))</f>
        <v>-1</v>
      </c>
      <c r="D1678" s="16" t="n">
        <f aca="false">IF(B1678=-1, -1, MOD(INT(B1678/28),21))</f>
        <v>-1</v>
      </c>
      <c r="E1678" s="16" t="n">
        <f aca="false">IF(B1678=-1, -1, VLOOKUP(MOD(B1678,28), $T$24:$U$52,2))</f>
        <v>-1</v>
      </c>
      <c r="F1678" s="16" t="n">
        <f aca="false">IF($B1678=-1, -1, VLOOKUP(C1678,$T$1:$V$20, 2))</f>
        <v>-1</v>
      </c>
      <c r="G1678" s="16" t="n">
        <f aca="false">IF($B1678=-1, -1, VLOOKUP(D1678,$Y$1:$Z$22,2))</f>
        <v>-1</v>
      </c>
      <c r="H1678" s="16" t="str">
        <f aca="false">_xlfn.UNICHAR(((F1678*21)+G1678)*28+44032)</f>
        <v>ꦘ</v>
      </c>
      <c r="I1678" s="16" t="n">
        <f aca="false">IF(B1678=-1, 1, COUNTIF($A$2:$A$3000, H1678))</f>
        <v>1</v>
      </c>
      <c r="J1678" s="10" t="str">
        <f aca="false">_xlfn.CONCAT(A1678, ",",H1678,",",I1678)</f>
        <v>M,ꦘ,1</v>
      </c>
      <c r="K1678" s="16" t="n">
        <f aca="false">IF(B1678=-1,-1,VLOOKUP(C1678,$T$1:$V$20,3))</f>
        <v>-1</v>
      </c>
      <c r="L1678" s="16" t="n">
        <f aca="false">IF(B1678=-1,-1,VLOOKUP(D1678,$Y$1:$AA$22,3))</f>
        <v>-1</v>
      </c>
      <c r="N1678" s="10" t="str">
        <f aca="false">_xlfn.UNICHAR(((C1678*21)+G1678)*28+44032)</f>
        <v>ꦘ</v>
      </c>
      <c r="O1678" s="10" t="str">
        <f aca="false">_xlfn.UNICHAR(((F1678*21)+D1678)*28+44032)</f>
        <v>ꦘ</v>
      </c>
      <c r="P1678" s="12" t="n">
        <f aca="false">COUNTIF($A$2:$A$3000, N1678) + COUNTIF($A$2:$A$3000, O1678)</f>
        <v>0</v>
      </c>
      <c r="Q1678" s="16" t="str">
        <f aca="false">IF(OR(B1678=-1,I1678=0, P1678&lt;&gt;2), "albhed_dummy", _xlfn.CONCAT("albhed ", RIGHT("  " &amp; K1678,2),", ", RIGHT("  " &amp; L1678,2), ", " ,"""",H1678,""", ", """",N1678,""", ","""",O1678,""""," ; ", A1678))</f>
        <v>albhed_dummy</v>
      </c>
    </row>
    <row r="1679" customFormat="false" ht="17.9" hidden="false" customHeight="true" outlineLevel="0" collapsed="false">
      <c r="A1679" s="16" t="s">
        <v>2530</v>
      </c>
      <c r="B1679" s="16" t="n">
        <f aca="false">IF(_xlfn.UNICODE(A1679)&lt;44032,-1,_xlfn.UNICODE(A1679)-44032)</f>
        <v>-1</v>
      </c>
      <c r="C1679" s="16" t="n">
        <f aca="false">IF(B1679=-1,-1,INT((B1679/28)/21))</f>
        <v>-1</v>
      </c>
      <c r="D1679" s="16" t="n">
        <f aca="false">IF(B1679=-1, -1, MOD(INT(B1679/28),21))</f>
        <v>-1</v>
      </c>
      <c r="E1679" s="16" t="n">
        <f aca="false">IF(B1679=-1, -1, VLOOKUP(MOD(B1679,28), $T$24:$U$52,2))</f>
        <v>-1</v>
      </c>
      <c r="F1679" s="16" t="n">
        <f aca="false">IF($B1679=-1, -1, VLOOKUP(C1679,$T$1:$V$20, 2))</f>
        <v>-1</v>
      </c>
      <c r="G1679" s="16" t="n">
        <f aca="false">IF($B1679=-1, -1, VLOOKUP(D1679,$Y$1:$Z$22,2))</f>
        <v>-1</v>
      </c>
      <c r="H1679" s="16" t="str">
        <f aca="false">_xlfn.UNICHAR(((F1679*21)+G1679)*28+44032)</f>
        <v>ꦘ</v>
      </c>
      <c r="I1679" s="16" t="n">
        <f aca="false">IF(B1679=-1, 1, COUNTIF($A$2:$A$3000, H1679))</f>
        <v>1</v>
      </c>
      <c r="J1679" s="10" t="str">
        <f aca="false">_xlfn.CONCAT(A1679, ",",H1679,",",I1679)</f>
        <v>N,ꦘ,1</v>
      </c>
      <c r="K1679" s="16" t="n">
        <f aca="false">IF(B1679=-1,-1,VLOOKUP(C1679,$T$1:$V$20,3))</f>
        <v>-1</v>
      </c>
      <c r="L1679" s="16" t="n">
        <f aca="false">IF(B1679=-1,-1,VLOOKUP(D1679,$Y$1:$AA$22,3))</f>
        <v>-1</v>
      </c>
      <c r="N1679" s="10" t="str">
        <f aca="false">_xlfn.UNICHAR(((C1679*21)+G1679)*28+44032)</f>
        <v>ꦘ</v>
      </c>
      <c r="O1679" s="10" t="str">
        <f aca="false">_xlfn.UNICHAR(((F1679*21)+D1679)*28+44032)</f>
        <v>ꦘ</v>
      </c>
      <c r="P1679" s="12" t="n">
        <f aca="false">COUNTIF($A$2:$A$3000, N1679) + COUNTIF($A$2:$A$3000, O1679)</f>
        <v>0</v>
      </c>
      <c r="Q1679" s="16" t="str">
        <f aca="false">IF(OR(B1679=-1,I1679=0, P1679&lt;&gt;2), "albhed_dummy", _xlfn.CONCAT("albhed ", RIGHT("  " &amp; K1679,2),", ", RIGHT("  " &amp; L1679,2), ", " ,"""",H1679,""", ", """",N1679,""", ","""",O1679,""""," ; ", A1679))</f>
        <v>albhed_dummy</v>
      </c>
    </row>
    <row r="1680" customFormat="false" ht="17.9" hidden="false" customHeight="true" outlineLevel="0" collapsed="false">
      <c r="A1680" s="16" t="s">
        <v>2531</v>
      </c>
      <c r="B1680" s="16" t="n">
        <f aca="false">IF(_xlfn.UNICODE(A1680)&lt;44032,-1,_xlfn.UNICODE(A1680)-44032)</f>
        <v>-1</v>
      </c>
      <c r="C1680" s="16" t="n">
        <f aca="false">IF(B1680=-1,-1,INT((B1680/28)/21))</f>
        <v>-1</v>
      </c>
      <c r="D1680" s="16" t="n">
        <f aca="false">IF(B1680=-1, -1, MOD(INT(B1680/28),21))</f>
        <v>-1</v>
      </c>
      <c r="E1680" s="16" t="n">
        <f aca="false">IF(B1680=-1, -1, VLOOKUP(MOD(B1680,28), $T$24:$U$52,2))</f>
        <v>-1</v>
      </c>
      <c r="F1680" s="16" t="n">
        <f aca="false">IF($B1680=-1, -1, VLOOKUP(C1680,$T$1:$V$20, 2))</f>
        <v>-1</v>
      </c>
      <c r="G1680" s="16" t="n">
        <f aca="false">IF($B1680=-1, -1, VLOOKUP(D1680,$Y$1:$Z$22,2))</f>
        <v>-1</v>
      </c>
      <c r="H1680" s="16" t="str">
        <f aca="false">_xlfn.UNICHAR(((F1680*21)+G1680)*28+44032)</f>
        <v>ꦘ</v>
      </c>
      <c r="I1680" s="16" t="n">
        <f aca="false">IF(B1680=-1, 1, COUNTIF($A$2:$A$3000, H1680))</f>
        <v>1</v>
      </c>
      <c r="J1680" s="10" t="str">
        <f aca="false">_xlfn.CONCAT(A1680, ",",H1680,",",I1680)</f>
        <v>O,ꦘ,1</v>
      </c>
      <c r="K1680" s="16" t="n">
        <f aca="false">IF(B1680=-1,-1,VLOOKUP(C1680,$T$1:$V$20,3))</f>
        <v>-1</v>
      </c>
      <c r="L1680" s="16" t="n">
        <f aca="false">IF(B1680=-1,-1,VLOOKUP(D1680,$Y$1:$AA$22,3))</f>
        <v>-1</v>
      </c>
      <c r="N1680" s="10" t="str">
        <f aca="false">_xlfn.UNICHAR(((C1680*21)+G1680)*28+44032)</f>
        <v>ꦘ</v>
      </c>
      <c r="O1680" s="10" t="str">
        <f aca="false">_xlfn.UNICHAR(((F1680*21)+D1680)*28+44032)</f>
        <v>ꦘ</v>
      </c>
      <c r="P1680" s="12" t="n">
        <f aca="false">COUNTIF($A$2:$A$3000, N1680) + COUNTIF($A$2:$A$3000, O1680)</f>
        <v>0</v>
      </c>
      <c r="Q1680" s="16" t="str">
        <f aca="false">IF(OR(B1680=-1,I1680=0, P1680&lt;&gt;2), "albhed_dummy", _xlfn.CONCAT("albhed ", RIGHT("  " &amp; K1680,2),", ", RIGHT("  " &amp; L1680,2), ", " ,"""",H1680,""", ", """",N1680,""", ","""",O1680,""""," ; ", A1680))</f>
        <v>albhed_dummy</v>
      </c>
    </row>
    <row r="1681" customFormat="false" ht="17.9" hidden="false" customHeight="true" outlineLevel="0" collapsed="false">
      <c r="A1681" s="16" t="s">
        <v>2532</v>
      </c>
      <c r="B1681" s="16" t="n">
        <f aca="false">IF(_xlfn.UNICODE(A1681)&lt;44032,-1,_xlfn.UNICODE(A1681)-44032)</f>
        <v>-1</v>
      </c>
      <c r="C1681" s="16" t="n">
        <f aca="false">IF(B1681=-1,-1,INT((B1681/28)/21))</f>
        <v>-1</v>
      </c>
      <c r="D1681" s="16" t="n">
        <f aca="false">IF(B1681=-1, -1, MOD(INT(B1681/28),21))</f>
        <v>-1</v>
      </c>
      <c r="E1681" s="16" t="n">
        <f aca="false">IF(B1681=-1, -1, VLOOKUP(MOD(B1681,28), $T$24:$U$52,2))</f>
        <v>-1</v>
      </c>
      <c r="F1681" s="16" t="n">
        <f aca="false">IF($B1681=-1, -1, VLOOKUP(C1681,$T$1:$V$20, 2))</f>
        <v>-1</v>
      </c>
      <c r="G1681" s="16" t="n">
        <f aca="false">IF($B1681=-1, -1, VLOOKUP(D1681,$Y$1:$Z$22,2))</f>
        <v>-1</v>
      </c>
      <c r="H1681" s="16" t="str">
        <f aca="false">_xlfn.UNICHAR(((F1681*21)+G1681)*28+44032)</f>
        <v>ꦘ</v>
      </c>
      <c r="I1681" s="16" t="n">
        <f aca="false">IF(B1681=-1, 1, COUNTIF($A$2:$A$3000, H1681))</f>
        <v>1</v>
      </c>
      <c r="J1681" s="10" t="str">
        <f aca="false">_xlfn.CONCAT(A1681, ",",H1681,",",I1681)</f>
        <v>P,ꦘ,1</v>
      </c>
      <c r="K1681" s="16" t="n">
        <f aca="false">IF(B1681=-1,-1,VLOOKUP(C1681,$T$1:$V$20,3))</f>
        <v>-1</v>
      </c>
      <c r="L1681" s="16" t="n">
        <f aca="false">IF(B1681=-1,-1,VLOOKUP(D1681,$Y$1:$AA$22,3))</f>
        <v>-1</v>
      </c>
      <c r="N1681" s="10" t="str">
        <f aca="false">_xlfn.UNICHAR(((C1681*21)+G1681)*28+44032)</f>
        <v>ꦘ</v>
      </c>
      <c r="O1681" s="10" t="str">
        <f aca="false">_xlfn.UNICHAR(((F1681*21)+D1681)*28+44032)</f>
        <v>ꦘ</v>
      </c>
      <c r="P1681" s="12" t="n">
        <f aca="false">COUNTIF($A$2:$A$3000, N1681) + COUNTIF($A$2:$A$3000, O1681)</f>
        <v>0</v>
      </c>
      <c r="Q1681" s="16" t="str">
        <f aca="false">IF(OR(B1681=-1,I1681=0, P1681&lt;&gt;2), "albhed_dummy", _xlfn.CONCAT("albhed ", RIGHT("  " &amp; K1681,2),", ", RIGHT("  " &amp; L1681,2), ", " ,"""",H1681,""", ", """",N1681,""", ","""",O1681,""""," ; ", A1681))</f>
        <v>albhed_dummy</v>
      </c>
    </row>
    <row r="1682" customFormat="false" ht="17.9" hidden="false" customHeight="true" outlineLevel="0" collapsed="false">
      <c r="A1682" s="16" t="s">
        <v>2533</v>
      </c>
      <c r="B1682" s="16" t="n">
        <f aca="false">IF(_xlfn.UNICODE(A1682)&lt;44032,-1,_xlfn.UNICODE(A1682)-44032)</f>
        <v>-1</v>
      </c>
      <c r="C1682" s="16" t="n">
        <f aca="false">IF(B1682=-1,-1,INT((B1682/28)/21))</f>
        <v>-1</v>
      </c>
      <c r="D1682" s="16" t="n">
        <f aca="false">IF(B1682=-1, -1, MOD(INT(B1682/28),21))</f>
        <v>-1</v>
      </c>
      <c r="E1682" s="16" t="n">
        <f aca="false">IF(B1682=-1, -1, VLOOKUP(MOD(B1682,28), $T$24:$U$52,2))</f>
        <v>-1</v>
      </c>
      <c r="F1682" s="16" t="n">
        <f aca="false">IF($B1682=-1, -1, VLOOKUP(C1682,$T$1:$V$20, 2))</f>
        <v>-1</v>
      </c>
      <c r="G1682" s="16" t="n">
        <f aca="false">IF($B1682=-1, -1, VLOOKUP(D1682,$Y$1:$Z$22,2))</f>
        <v>-1</v>
      </c>
      <c r="H1682" s="16" t="str">
        <f aca="false">_xlfn.UNICHAR(((F1682*21)+G1682)*28+44032)</f>
        <v>ꦘ</v>
      </c>
      <c r="I1682" s="16" t="n">
        <f aca="false">IF(B1682=-1, 1, COUNTIF($A$2:$A$3000, H1682))</f>
        <v>1</v>
      </c>
      <c r="J1682" s="10" t="str">
        <f aca="false">_xlfn.CONCAT(A1682, ",",H1682,",",I1682)</f>
        <v>Q,ꦘ,1</v>
      </c>
      <c r="K1682" s="16" t="n">
        <f aca="false">IF(B1682=-1,-1,VLOOKUP(C1682,$T$1:$V$20,3))</f>
        <v>-1</v>
      </c>
      <c r="L1682" s="16" t="n">
        <f aca="false">IF(B1682=-1,-1,VLOOKUP(D1682,$Y$1:$AA$22,3))</f>
        <v>-1</v>
      </c>
      <c r="N1682" s="10" t="str">
        <f aca="false">_xlfn.UNICHAR(((C1682*21)+G1682)*28+44032)</f>
        <v>ꦘ</v>
      </c>
      <c r="O1682" s="10" t="str">
        <f aca="false">_xlfn.UNICHAR(((F1682*21)+D1682)*28+44032)</f>
        <v>ꦘ</v>
      </c>
      <c r="P1682" s="12" t="n">
        <f aca="false">COUNTIF($A$2:$A$3000, N1682) + COUNTIF($A$2:$A$3000, O1682)</f>
        <v>0</v>
      </c>
      <c r="Q1682" s="16" t="str">
        <f aca="false">IF(OR(B1682=-1,I1682=0, P1682&lt;&gt;2), "albhed_dummy", _xlfn.CONCAT("albhed ", RIGHT("  " &amp; K1682,2),", ", RIGHT("  " &amp; L1682,2), ", " ,"""",H1682,""", ", """",N1682,""", ","""",O1682,""""," ; ", A1682))</f>
        <v>albhed_dummy</v>
      </c>
    </row>
    <row r="1683" customFormat="false" ht="17.9" hidden="false" customHeight="true" outlineLevel="0" collapsed="false">
      <c r="A1683" s="16" t="s">
        <v>2534</v>
      </c>
      <c r="B1683" s="16" t="n">
        <f aca="false">IF(_xlfn.UNICODE(A1683)&lt;44032,-1,_xlfn.UNICODE(A1683)-44032)</f>
        <v>-1</v>
      </c>
      <c r="C1683" s="16" t="n">
        <f aca="false">IF(B1683=-1,-1,INT((B1683/28)/21))</f>
        <v>-1</v>
      </c>
      <c r="D1683" s="16" t="n">
        <f aca="false">IF(B1683=-1, -1, MOD(INT(B1683/28),21))</f>
        <v>-1</v>
      </c>
      <c r="E1683" s="16" t="n">
        <f aca="false">IF(B1683=-1, -1, VLOOKUP(MOD(B1683,28), $T$24:$U$52,2))</f>
        <v>-1</v>
      </c>
      <c r="F1683" s="16" t="n">
        <f aca="false">IF($B1683=-1, -1, VLOOKUP(C1683,$T$1:$V$20, 2))</f>
        <v>-1</v>
      </c>
      <c r="G1683" s="16" t="n">
        <f aca="false">IF($B1683=-1, -1, VLOOKUP(D1683,$Y$1:$Z$22,2))</f>
        <v>-1</v>
      </c>
      <c r="H1683" s="16" t="str">
        <f aca="false">_xlfn.UNICHAR(((F1683*21)+G1683)*28+44032)</f>
        <v>ꦘ</v>
      </c>
      <c r="I1683" s="16" t="n">
        <f aca="false">IF(B1683=-1, 1, COUNTIF($A$2:$A$3000, H1683))</f>
        <v>1</v>
      </c>
      <c r="J1683" s="10" t="str">
        <f aca="false">_xlfn.CONCAT(A1683, ",",H1683,",",I1683)</f>
        <v>R,ꦘ,1</v>
      </c>
      <c r="K1683" s="16" t="n">
        <f aca="false">IF(B1683=-1,-1,VLOOKUP(C1683,$T$1:$V$20,3))</f>
        <v>-1</v>
      </c>
      <c r="L1683" s="16" t="n">
        <f aca="false">IF(B1683=-1,-1,VLOOKUP(D1683,$Y$1:$AA$22,3))</f>
        <v>-1</v>
      </c>
      <c r="N1683" s="10" t="str">
        <f aca="false">_xlfn.UNICHAR(((C1683*21)+G1683)*28+44032)</f>
        <v>ꦘ</v>
      </c>
      <c r="O1683" s="10" t="str">
        <f aca="false">_xlfn.UNICHAR(((F1683*21)+D1683)*28+44032)</f>
        <v>ꦘ</v>
      </c>
      <c r="P1683" s="12" t="n">
        <f aca="false">COUNTIF($A$2:$A$3000, N1683) + COUNTIF($A$2:$A$3000, O1683)</f>
        <v>0</v>
      </c>
      <c r="Q1683" s="16" t="str">
        <f aca="false">IF(OR(B1683=-1,I1683=0, P1683&lt;&gt;2), "albhed_dummy", _xlfn.CONCAT("albhed ", RIGHT("  " &amp; K1683,2),", ", RIGHT("  " &amp; L1683,2), ", " ,"""",H1683,""", ", """",N1683,""", ","""",O1683,""""," ; ", A1683))</f>
        <v>albhed_dummy</v>
      </c>
    </row>
    <row r="1684" customFormat="false" ht="17.9" hidden="false" customHeight="true" outlineLevel="0" collapsed="false">
      <c r="A1684" s="16" t="s">
        <v>2535</v>
      </c>
      <c r="B1684" s="16" t="n">
        <f aca="false">IF(_xlfn.UNICODE(A1684)&lt;44032,-1,_xlfn.UNICODE(A1684)-44032)</f>
        <v>-1</v>
      </c>
      <c r="C1684" s="16" t="n">
        <f aca="false">IF(B1684=-1,-1,INT((B1684/28)/21))</f>
        <v>-1</v>
      </c>
      <c r="D1684" s="16" t="n">
        <f aca="false">IF(B1684=-1, -1, MOD(INT(B1684/28),21))</f>
        <v>-1</v>
      </c>
      <c r="E1684" s="16" t="n">
        <f aca="false">IF(B1684=-1, -1, VLOOKUP(MOD(B1684,28), $T$24:$U$52,2))</f>
        <v>-1</v>
      </c>
      <c r="F1684" s="16" t="n">
        <f aca="false">IF($B1684=-1, -1, VLOOKUP(C1684,$T$1:$V$20, 2))</f>
        <v>-1</v>
      </c>
      <c r="G1684" s="16" t="n">
        <f aca="false">IF($B1684=-1, -1, VLOOKUP(D1684,$Y$1:$Z$22,2))</f>
        <v>-1</v>
      </c>
      <c r="H1684" s="16" t="str">
        <f aca="false">_xlfn.UNICHAR(((F1684*21)+G1684)*28+44032)</f>
        <v>ꦘ</v>
      </c>
      <c r="I1684" s="16" t="n">
        <f aca="false">IF(B1684=-1, 1, COUNTIF($A$2:$A$3000, H1684))</f>
        <v>1</v>
      </c>
      <c r="J1684" s="10" t="str">
        <f aca="false">_xlfn.CONCAT(A1684, ",",H1684,",",I1684)</f>
        <v>S,ꦘ,1</v>
      </c>
      <c r="K1684" s="16" t="n">
        <f aca="false">IF(B1684=-1,-1,VLOOKUP(C1684,$T$1:$V$20,3))</f>
        <v>-1</v>
      </c>
      <c r="L1684" s="16" t="n">
        <f aca="false">IF(B1684=-1,-1,VLOOKUP(D1684,$Y$1:$AA$22,3))</f>
        <v>-1</v>
      </c>
      <c r="N1684" s="10" t="str">
        <f aca="false">_xlfn.UNICHAR(((C1684*21)+G1684)*28+44032)</f>
        <v>ꦘ</v>
      </c>
      <c r="O1684" s="10" t="str">
        <f aca="false">_xlfn.UNICHAR(((F1684*21)+D1684)*28+44032)</f>
        <v>ꦘ</v>
      </c>
      <c r="P1684" s="12" t="n">
        <f aca="false">COUNTIF($A$2:$A$3000, N1684) + COUNTIF($A$2:$A$3000, O1684)</f>
        <v>0</v>
      </c>
      <c r="Q1684" s="16" t="str">
        <f aca="false">IF(OR(B1684=-1,I1684=0, P1684&lt;&gt;2), "albhed_dummy", _xlfn.CONCAT("albhed ", RIGHT("  " &amp; K1684,2),", ", RIGHT("  " &amp; L1684,2), ", " ,"""",H1684,""", ", """",N1684,""", ","""",O1684,""""," ; ", A1684))</f>
        <v>albhed_dummy</v>
      </c>
    </row>
    <row r="1685" customFormat="false" ht="17.9" hidden="false" customHeight="true" outlineLevel="0" collapsed="false">
      <c r="A1685" s="16" t="s">
        <v>2536</v>
      </c>
      <c r="B1685" s="16" t="n">
        <f aca="false">IF(_xlfn.UNICODE(A1685)&lt;44032,-1,_xlfn.UNICODE(A1685)-44032)</f>
        <v>-1</v>
      </c>
      <c r="C1685" s="16" t="n">
        <f aca="false">IF(B1685=-1,-1,INT((B1685/28)/21))</f>
        <v>-1</v>
      </c>
      <c r="D1685" s="16" t="n">
        <f aca="false">IF(B1685=-1, -1, MOD(INT(B1685/28),21))</f>
        <v>-1</v>
      </c>
      <c r="E1685" s="16" t="n">
        <f aca="false">IF(B1685=-1, -1, VLOOKUP(MOD(B1685,28), $T$24:$U$52,2))</f>
        <v>-1</v>
      </c>
      <c r="F1685" s="16" t="n">
        <f aca="false">IF($B1685=-1, -1, VLOOKUP(C1685,$T$1:$V$20, 2))</f>
        <v>-1</v>
      </c>
      <c r="G1685" s="16" t="n">
        <f aca="false">IF($B1685=-1, -1, VLOOKUP(D1685,$Y$1:$Z$22,2))</f>
        <v>-1</v>
      </c>
      <c r="H1685" s="16" t="str">
        <f aca="false">_xlfn.UNICHAR(((F1685*21)+G1685)*28+44032)</f>
        <v>ꦘ</v>
      </c>
      <c r="I1685" s="16" t="n">
        <f aca="false">IF(B1685=-1, 1, COUNTIF($A$2:$A$3000, H1685))</f>
        <v>1</v>
      </c>
      <c r="J1685" s="10" t="str">
        <f aca="false">_xlfn.CONCAT(A1685, ",",H1685,",",I1685)</f>
        <v>T,ꦘ,1</v>
      </c>
      <c r="K1685" s="16" t="n">
        <f aca="false">IF(B1685=-1,-1,VLOOKUP(C1685,$T$1:$V$20,3))</f>
        <v>-1</v>
      </c>
      <c r="L1685" s="16" t="n">
        <f aca="false">IF(B1685=-1,-1,VLOOKUP(D1685,$Y$1:$AA$22,3))</f>
        <v>-1</v>
      </c>
      <c r="N1685" s="10" t="str">
        <f aca="false">_xlfn.UNICHAR(((C1685*21)+G1685)*28+44032)</f>
        <v>ꦘ</v>
      </c>
      <c r="O1685" s="10" t="str">
        <f aca="false">_xlfn.UNICHAR(((F1685*21)+D1685)*28+44032)</f>
        <v>ꦘ</v>
      </c>
      <c r="P1685" s="12" t="n">
        <f aca="false">COUNTIF($A$2:$A$3000, N1685) + COUNTIF($A$2:$A$3000, O1685)</f>
        <v>0</v>
      </c>
      <c r="Q1685" s="16" t="str">
        <f aca="false">IF(OR(B1685=-1,I1685=0, P1685&lt;&gt;2), "albhed_dummy", _xlfn.CONCAT("albhed ", RIGHT("  " &amp; K1685,2),", ", RIGHT("  " &amp; L1685,2), ", " ,"""",H1685,""", ", """",N1685,""", ","""",O1685,""""," ; ", A1685))</f>
        <v>albhed_dummy</v>
      </c>
    </row>
    <row r="1686" customFormat="false" ht="17.9" hidden="false" customHeight="true" outlineLevel="0" collapsed="false">
      <c r="A1686" s="16" t="s">
        <v>2537</v>
      </c>
      <c r="B1686" s="16" t="n">
        <f aca="false">IF(_xlfn.UNICODE(A1686)&lt;44032,-1,_xlfn.UNICODE(A1686)-44032)</f>
        <v>-1</v>
      </c>
      <c r="C1686" s="16" t="n">
        <f aca="false">IF(B1686=-1,-1,INT((B1686/28)/21))</f>
        <v>-1</v>
      </c>
      <c r="D1686" s="16" t="n">
        <f aca="false">IF(B1686=-1, -1, MOD(INT(B1686/28),21))</f>
        <v>-1</v>
      </c>
      <c r="E1686" s="16" t="n">
        <f aca="false">IF(B1686=-1, -1, VLOOKUP(MOD(B1686,28), $T$24:$U$52,2))</f>
        <v>-1</v>
      </c>
      <c r="F1686" s="16" t="n">
        <f aca="false">IF($B1686=-1, -1, VLOOKUP(C1686,$T$1:$V$20, 2))</f>
        <v>-1</v>
      </c>
      <c r="G1686" s="16" t="n">
        <f aca="false">IF($B1686=-1, -1, VLOOKUP(D1686,$Y$1:$Z$22,2))</f>
        <v>-1</v>
      </c>
      <c r="H1686" s="16" t="str">
        <f aca="false">_xlfn.UNICHAR(((F1686*21)+G1686)*28+44032)</f>
        <v>ꦘ</v>
      </c>
      <c r="I1686" s="16" t="n">
        <f aca="false">IF(B1686=-1, 1, COUNTIF($A$2:$A$3000, H1686))</f>
        <v>1</v>
      </c>
      <c r="J1686" s="10" t="str">
        <f aca="false">_xlfn.CONCAT(A1686, ",",H1686,",",I1686)</f>
        <v>U,ꦘ,1</v>
      </c>
      <c r="K1686" s="16" t="n">
        <f aca="false">IF(B1686=-1,-1,VLOOKUP(C1686,$T$1:$V$20,3))</f>
        <v>-1</v>
      </c>
      <c r="L1686" s="16" t="n">
        <f aca="false">IF(B1686=-1,-1,VLOOKUP(D1686,$Y$1:$AA$22,3))</f>
        <v>-1</v>
      </c>
      <c r="N1686" s="10" t="str">
        <f aca="false">_xlfn.UNICHAR(((C1686*21)+G1686)*28+44032)</f>
        <v>ꦘ</v>
      </c>
      <c r="O1686" s="10" t="str">
        <f aca="false">_xlfn.UNICHAR(((F1686*21)+D1686)*28+44032)</f>
        <v>ꦘ</v>
      </c>
      <c r="P1686" s="12" t="n">
        <f aca="false">COUNTIF($A$2:$A$3000, N1686) + COUNTIF($A$2:$A$3000, O1686)</f>
        <v>0</v>
      </c>
      <c r="Q1686" s="16" t="str">
        <f aca="false">IF(OR(B1686=-1,I1686=0, P1686&lt;&gt;2), "albhed_dummy", _xlfn.CONCAT("albhed ", RIGHT("  " &amp; K1686,2),", ", RIGHT("  " &amp; L1686,2), ", " ,"""",H1686,""", ", """",N1686,""", ","""",O1686,""""," ; ", A1686))</f>
        <v>albhed_dummy</v>
      </c>
    </row>
    <row r="1687" customFormat="false" ht="17.9" hidden="false" customHeight="true" outlineLevel="0" collapsed="false">
      <c r="A1687" s="16" t="s">
        <v>2538</v>
      </c>
      <c r="B1687" s="16" t="n">
        <f aca="false">IF(_xlfn.UNICODE(A1687)&lt;44032,-1,_xlfn.UNICODE(A1687)-44032)</f>
        <v>-1</v>
      </c>
      <c r="C1687" s="16" t="n">
        <f aca="false">IF(B1687=-1,-1,INT((B1687/28)/21))</f>
        <v>-1</v>
      </c>
      <c r="D1687" s="16" t="n">
        <f aca="false">IF(B1687=-1, -1, MOD(INT(B1687/28),21))</f>
        <v>-1</v>
      </c>
      <c r="E1687" s="16" t="n">
        <f aca="false">IF(B1687=-1, -1, VLOOKUP(MOD(B1687,28), $T$24:$U$52,2))</f>
        <v>-1</v>
      </c>
      <c r="F1687" s="16" t="n">
        <f aca="false">IF($B1687=-1, -1, VLOOKUP(C1687,$T$1:$V$20, 2))</f>
        <v>-1</v>
      </c>
      <c r="G1687" s="16" t="n">
        <f aca="false">IF($B1687=-1, -1, VLOOKUP(D1687,$Y$1:$Z$22,2))</f>
        <v>-1</v>
      </c>
      <c r="H1687" s="16" t="str">
        <f aca="false">_xlfn.UNICHAR(((F1687*21)+G1687)*28+44032)</f>
        <v>ꦘ</v>
      </c>
      <c r="I1687" s="16" t="n">
        <f aca="false">IF(B1687=-1, 1, COUNTIF($A$2:$A$3000, H1687))</f>
        <v>1</v>
      </c>
      <c r="J1687" s="10" t="str">
        <f aca="false">_xlfn.CONCAT(A1687, ",",H1687,",",I1687)</f>
        <v>V,ꦘ,1</v>
      </c>
      <c r="K1687" s="16" t="n">
        <f aca="false">IF(B1687=-1,-1,VLOOKUP(C1687,$T$1:$V$20,3))</f>
        <v>-1</v>
      </c>
      <c r="L1687" s="16" t="n">
        <f aca="false">IF(B1687=-1,-1,VLOOKUP(D1687,$Y$1:$AA$22,3))</f>
        <v>-1</v>
      </c>
      <c r="N1687" s="10" t="str">
        <f aca="false">_xlfn.UNICHAR(((C1687*21)+G1687)*28+44032)</f>
        <v>ꦘ</v>
      </c>
      <c r="O1687" s="10" t="str">
        <f aca="false">_xlfn.UNICHAR(((F1687*21)+D1687)*28+44032)</f>
        <v>ꦘ</v>
      </c>
      <c r="P1687" s="12" t="n">
        <f aca="false">COUNTIF($A$2:$A$3000, N1687) + COUNTIF($A$2:$A$3000, O1687)</f>
        <v>0</v>
      </c>
      <c r="Q1687" s="16" t="str">
        <f aca="false">IF(OR(B1687=-1,I1687=0, P1687&lt;&gt;2), "albhed_dummy", _xlfn.CONCAT("albhed ", RIGHT("  " &amp; K1687,2),", ", RIGHT("  " &amp; L1687,2), ", " ,"""",H1687,""", ", """",N1687,""", ","""",O1687,""""," ; ", A1687))</f>
        <v>albhed_dummy</v>
      </c>
    </row>
    <row r="1688" customFormat="false" ht="17.9" hidden="false" customHeight="true" outlineLevel="0" collapsed="false">
      <c r="A1688" s="16" t="s">
        <v>2539</v>
      </c>
      <c r="B1688" s="16" t="n">
        <f aca="false">IF(_xlfn.UNICODE(A1688)&lt;44032,-1,_xlfn.UNICODE(A1688)-44032)</f>
        <v>-1</v>
      </c>
      <c r="C1688" s="16" t="n">
        <f aca="false">IF(B1688=-1,-1,INT((B1688/28)/21))</f>
        <v>-1</v>
      </c>
      <c r="D1688" s="16" t="n">
        <f aca="false">IF(B1688=-1, -1, MOD(INT(B1688/28),21))</f>
        <v>-1</v>
      </c>
      <c r="E1688" s="16" t="n">
        <f aca="false">IF(B1688=-1, -1, VLOOKUP(MOD(B1688,28), $T$24:$U$52,2))</f>
        <v>-1</v>
      </c>
      <c r="F1688" s="16" t="n">
        <f aca="false">IF($B1688=-1, -1, VLOOKUP(C1688,$T$1:$V$20, 2))</f>
        <v>-1</v>
      </c>
      <c r="G1688" s="16" t="n">
        <f aca="false">IF($B1688=-1, -1, VLOOKUP(D1688,$Y$1:$Z$22,2))</f>
        <v>-1</v>
      </c>
      <c r="H1688" s="16" t="str">
        <f aca="false">_xlfn.UNICHAR(((F1688*21)+G1688)*28+44032)</f>
        <v>ꦘ</v>
      </c>
      <c r="I1688" s="16" t="n">
        <f aca="false">IF(B1688=-1, 1, COUNTIF($A$2:$A$3000, H1688))</f>
        <v>1</v>
      </c>
      <c r="J1688" s="10" t="str">
        <f aca="false">_xlfn.CONCAT(A1688, ",",H1688,",",I1688)</f>
        <v>W,ꦘ,1</v>
      </c>
      <c r="K1688" s="16" t="n">
        <f aca="false">IF(B1688=-1,-1,VLOOKUP(C1688,$T$1:$V$20,3))</f>
        <v>-1</v>
      </c>
      <c r="L1688" s="16" t="n">
        <f aca="false">IF(B1688=-1,-1,VLOOKUP(D1688,$Y$1:$AA$22,3))</f>
        <v>-1</v>
      </c>
      <c r="N1688" s="10" t="str">
        <f aca="false">_xlfn.UNICHAR(((C1688*21)+G1688)*28+44032)</f>
        <v>ꦘ</v>
      </c>
      <c r="O1688" s="10" t="str">
        <f aca="false">_xlfn.UNICHAR(((F1688*21)+D1688)*28+44032)</f>
        <v>ꦘ</v>
      </c>
      <c r="P1688" s="12" t="n">
        <f aca="false">COUNTIF($A$2:$A$3000, N1688) + COUNTIF($A$2:$A$3000, O1688)</f>
        <v>0</v>
      </c>
      <c r="Q1688" s="16" t="str">
        <f aca="false">IF(OR(B1688=-1,I1688=0, P1688&lt;&gt;2), "albhed_dummy", _xlfn.CONCAT("albhed ", RIGHT("  " &amp; K1688,2),", ", RIGHT("  " &amp; L1688,2), ", " ,"""",H1688,""", ", """",N1688,""", ","""",O1688,""""," ; ", A1688))</f>
        <v>albhed_dummy</v>
      </c>
    </row>
    <row r="1689" customFormat="false" ht="17.9" hidden="false" customHeight="true" outlineLevel="0" collapsed="false">
      <c r="A1689" s="16" t="s">
        <v>2540</v>
      </c>
      <c r="B1689" s="16" t="n">
        <f aca="false">IF(_xlfn.UNICODE(A1689)&lt;44032,-1,_xlfn.UNICODE(A1689)-44032)</f>
        <v>-1</v>
      </c>
      <c r="C1689" s="16" t="n">
        <f aca="false">IF(B1689=-1,-1,INT((B1689/28)/21))</f>
        <v>-1</v>
      </c>
      <c r="D1689" s="16" t="n">
        <f aca="false">IF(B1689=-1, -1, MOD(INT(B1689/28),21))</f>
        <v>-1</v>
      </c>
      <c r="E1689" s="16" t="n">
        <f aca="false">IF(B1689=-1, -1, VLOOKUP(MOD(B1689,28), $T$24:$U$52,2))</f>
        <v>-1</v>
      </c>
      <c r="F1689" s="16" t="n">
        <f aca="false">IF($B1689=-1, -1, VLOOKUP(C1689,$T$1:$V$20, 2))</f>
        <v>-1</v>
      </c>
      <c r="G1689" s="16" t="n">
        <f aca="false">IF($B1689=-1, -1, VLOOKUP(D1689,$Y$1:$Z$22,2))</f>
        <v>-1</v>
      </c>
      <c r="H1689" s="16" t="str">
        <f aca="false">_xlfn.UNICHAR(((F1689*21)+G1689)*28+44032)</f>
        <v>ꦘ</v>
      </c>
      <c r="I1689" s="16" t="n">
        <f aca="false">IF(B1689=-1, 1, COUNTIF($A$2:$A$3000, H1689))</f>
        <v>1</v>
      </c>
      <c r="J1689" s="10" t="str">
        <f aca="false">_xlfn.CONCAT(A1689, ",",H1689,",",I1689)</f>
        <v>X,ꦘ,1</v>
      </c>
      <c r="K1689" s="16" t="n">
        <f aca="false">IF(B1689=-1,-1,VLOOKUP(C1689,$T$1:$V$20,3))</f>
        <v>-1</v>
      </c>
      <c r="L1689" s="16" t="n">
        <f aca="false">IF(B1689=-1,-1,VLOOKUP(D1689,$Y$1:$AA$22,3))</f>
        <v>-1</v>
      </c>
      <c r="N1689" s="10" t="str">
        <f aca="false">_xlfn.UNICHAR(((C1689*21)+G1689)*28+44032)</f>
        <v>ꦘ</v>
      </c>
      <c r="O1689" s="10" t="str">
        <f aca="false">_xlfn.UNICHAR(((F1689*21)+D1689)*28+44032)</f>
        <v>ꦘ</v>
      </c>
      <c r="P1689" s="12" t="n">
        <f aca="false">COUNTIF($A$2:$A$3000, N1689) + COUNTIF($A$2:$A$3000, O1689)</f>
        <v>0</v>
      </c>
      <c r="Q1689" s="16" t="str">
        <f aca="false">IF(OR(B1689=-1,I1689=0, P1689&lt;&gt;2), "albhed_dummy", _xlfn.CONCAT("albhed ", RIGHT("  " &amp; K1689,2),", ", RIGHT("  " &amp; L1689,2), ", " ,"""",H1689,""", ", """",N1689,""", ","""",O1689,""""," ; ", A1689))</f>
        <v>albhed_dummy</v>
      </c>
    </row>
    <row r="1690" customFormat="false" ht="17.9" hidden="false" customHeight="true" outlineLevel="0" collapsed="false">
      <c r="A1690" s="16" t="s">
        <v>2541</v>
      </c>
      <c r="B1690" s="16" t="n">
        <f aca="false">IF(_xlfn.UNICODE(A1690)&lt;44032,-1,_xlfn.UNICODE(A1690)-44032)</f>
        <v>-1</v>
      </c>
      <c r="C1690" s="16" t="n">
        <f aca="false">IF(B1690=-1,-1,INT((B1690/28)/21))</f>
        <v>-1</v>
      </c>
      <c r="D1690" s="16" t="n">
        <f aca="false">IF(B1690=-1, -1, MOD(INT(B1690/28),21))</f>
        <v>-1</v>
      </c>
      <c r="E1690" s="16" t="n">
        <f aca="false">IF(B1690=-1, -1, VLOOKUP(MOD(B1690,28), $T$24:$U$52,2))</f>
        <v>-1</v>
      </c>
      <c r="F1690" s="16" t="n">
        <f aca="false">IF($B1690=-1, -1, VLOOKUP(C1690,$T$1:$V$20, 2))</f>
        <v>-1</v>
      </c>
      <c r="G1690" s="16" t="n">
        <f aca="false">IF($B1690=-1, -1, VLOOKUP(D1690,$Y$1:$Z$22,2))</f>
        <v>-1</v>
      </c>
      <c r="H1690" s="16" t="str">
        <f aca="false">_xlfn.UNICHAR(((F1690*21)+G1690)*28+44032)</f>
        <v>ꦘ</v>
      </c>
      <c r="I1690" s="16" t="n">
        <f aca="false">IF(B1690=-1, 1, COUNTIF($A$2:$A$3000, H1690))</f>
        <v>1</v>
      </c>
      <c r="J1690" s="10" t="str">
        <f aca="false">_xlfn.CONCAT(A1690, ",",H1690,",",I1690)</f>
        <v>Y,ꦘ,1</v>
      </c>
      <c r="K1690" s="16" t="n">
        <f aca="false">IF(B1690=-1,-1,VLOOKUP(C1690,$T$1:$V$20,3))</f>
        <v>-1</v>
      </c>
      <c r="L1690" s="16" t="n">
        <f aca="false">IF(B1690=-1,-1,VLOOKUP(D1690,$Y$1:$AA$22,3))</f>
        <v>-1</v>
      </c>
      <c r="N1690" s="10" t="str">
        <f aca="false">_xlfn.UNICHAR(((C1690*21)+G1690)*28+44032)</f>
        <v>ꦘ</v>
      </c>
      <c r="O1690" s="10" t="str">
        <f aca="false">_xlfn.UNICHAR(((F1690*21)+D1690)*28+44032)</f>
        <v>ꦘ</v>
      </c>
      <c r="P1690" s="12" t="n">
        <f aca="false">COUNTIF($A$2:$A$3000, N1690) + COUNTIF($A$2:$A$3000, O1690)</f>
        <v>0</v>
      </c>
      <c r="Q1690" s="16" t="str">
        <f aca="false">IF(OR(B1690=-1,I1690=0, P1690&lt;&gt;2), "albhed_dummy", _xlfn.CONCAT("albhed ", RIGHT("  " &amp; K1690,2),", ", RIGHT("  " &amp; L1690,2), ", " ,"""",H1690,""", ", """",N1690,""", ","""",O1690,""""," ; ", A1690))</f>
        <v>albhed_dummy</v>
      </c>
    </row>
    <row r="1691" customFormat="false" ht="17.9" hidden="false" customHeight="true" outlineLevel="0" collapsed="false">
      <c r="A1691" s="16" t="s">
        <v>2542</v>
      </c>
      <c r="B1691" s="16" t="n">
        <f aca="false">IF(_xlfn.UNICODE(A1691)&lt;44032,-1,_xlfn.UNICODE(A1691)-44032)</f>
        <v>-1</v>
      </c>
      <c r="C1691" s="16" t="n">
        <f aca="false">IF(B1691=-1,-1,INT((B1691/28)/21))</f>
        <v>-1</v>
      </c>
      <c r="D1691" s="16" t="n">
        <f aca="false">IF(B1691=-1, -1, MOD(INT(B1691/28),21))</f>
        <v>-1</v>
      </c>
      <c r="E1691" s="16" t="n">
        <f aca="false">IF(B1691=-1, -1, VLOOKUP(MOD(B1691,28), $T$24:$U$52,2))</f>
        <v>-1</v>
      </c>
      <c r="F1691" s="16" t="n">
        <f aca="false">IF($B1691=-1, -1, VLOOKUP(C1691,$T$1:$V$20, 2))</f>
        <v>-1</v>
      </c>
      <c r="G1691" s="16" t="n">
        <f aca="false">IF($B1691=-1, -1, VLOOKUP(D1691,$Y$1:$Z$22,2))</f>
        <v>-1</v>
      </c>
      <c r="H1691" s="16" t="str">
        <f aca="false">_xlfn.UNICHAR(((F1691*21)+G1691)*28+44032)</f>
        <v>ꦘ</v>
      </c>
      <c r="I1691" s="16" t="n">
        <f aca="false">IF(B1691=-1, 1, COUNTIF($A$2:$A$3000, H1691))</f>
        <v>1</v>
      </c>
      <c r="J1691" s="10" t="str">
        <f aca="false">_xlfn.CONCAT(A1691, ",",H1691,",",I1691)</f>
        <v>Z,ꦘ,1</v>
      </c>
      <c r="K1691" s="16" t="n">
        <f aca="false">IF(B1691=-1,-1,VLOOKUP(C1691,$T$1:$V$20,3))</f>
        <v>-1</v>
      </c>
      <c r="L1691" s="16" t="n">
        <f aca="false">IF(B1691=-1,-1,VLOOKUP(D1691,$Y$1:$AA$22,3))</f>
        <v>-1</v>
      </c>
      <c r="N1691" s="10" t="str">
        <f aca="false">_xlfn.UNICHAR(((C1691*21)+G1691)*28+44032)</f>
        <v>ꦘ</v>
      </c>
      <c r="O1691" s="10" t="str">
        <f aca="false">_xlfn.UNICHAR(((F1691*21)+D1691)*28+44032)</f>
        <v>ꦘ</v>
      </c>
      <c r="P1691" s="12" t="n">
        <f aca="false">COUNTIF($A$2:$A$3000, N1691) + COUNTIF($A$2:$A$3000, O1691)</f>
        <v>0</v>
      </c>
      <c r="Q1691" s="16" t="str">
        <f aca="false">IF(OR(B1691=-1,I1691=0, P1691&lt;&gt;2), "albhed_dummy", _xlfn.CONCAT("albhed ", RIGHT("  " &amp; K1691,2),", ", RIGHT("  " &amp; L1691,2), ", " ,"""",H1691,""", ", """",N1691,""", ","""",O1691,""""," ; ", A1691))</f>
        <v>albhed_dummy</v>
      </c>
    </row>
    <row r="1692" customFormat="false" ht="17.9" hidden="false" customHeight="true" outlineLevel="0" collapsed="false">
      <c r="A1692" s="16" t="s">
        <v>2543</v>
      </c>
      <c r="B1692" s="16" t="n">
        <f aca="false">IF(_xlfn.UNICODE(A1692)&lt;44032,-1,_xlfn.UNICODE(A1692)-44032)</f>
        <v>-1</v>
      </c>
      <c r="C1692" s="16" t="n">
        <f aca="false">IF(B1692=-1,-1,INT((B1692/28)/21))</f>
        <v>-1</v>
      </c>
      <c r="D1692" s="16" t="n">
        <f aca="false">IF(B1692=-1, -1, MOD(INT(B1692/28),21))</f>
        <v>-1</v>
      </c>
      <c r="E1692" s="16" t="n">
        <f aca="false">IF(B1692=-1, -1, VLOOKUP(MOD(B1692,28), $T$24:$U$52,2))</f>
        <v>-1</v>
      </c>
      <c r="F1692" s="16" t="n">
        <f aca="false">IF($B1692=-1, -1, VLOOKUP(C1692,$T$1:$V$20, 2))</f>
        <v>-1</v>
      </c>
      <c r="G1692" s="16" t="n">
        <f aca="false">IF($B1692=-1, -1, VLOOKUP(D1692,$Y$1:$Z$22,2))</f>
        <v>-1</v>
      </c>
      <c r="H1692" s="16" t="str">
        <f aca="false">_xlfn.UNICHAR(((F1692*21)+G1692)*28+44032)</f>
        <v>ꦘ</v>
      </c>
      <c r="I1692" s="16" t="n">
        <f aca="false">IF(B1692=-1, 1, COUNTIF($A$2:$A$3000, H1692))</f>
        <v>1</v>
      </c>
      <c r="J1692" s="10" t="str">
        <f aca="false">_xlfn.CONCAT(A1692, ",",H1692,",",I1692)</f>
        <v>a,ꦘ,1</v>
      </c>
      <c r="K1692" s="16" t="n">
        <f aca="false">IF(B1692=-1,-1,VLOOKUP(C1692,$T$1:$V$20,3))</f>
        <v>-1</v>
      </c>
      <c r="L1692" s="16" t="n">
        <f aca="false">IF(B1692=-1,-1,VLOOKUP(D1692,$Y$1:$AA$22,3))</f>
        <v>-1</v>
      </c>
      <c r="N1692" s="10" t="str">
        <f aca="false">_xlfn.UNICHAR(((C1692*21)+G1692)*28+44032)</f>
        <v>ꦘ</v>
      </c>
      <c r="O1692" s="10" t="str">
        <f aca="false">_xlfn.UNICHAR(((F1692*21)+D1692)*28+44032)</f>
        <v>ꦘ</v>
      </c>
      <c r="P1692" s="12" t="n">
        <f aca="false">COUNTIF($A$2:$A$3000, N1692) + COUNTIF($A$2:$A$3000, O1692)</f>
        <v>0</v>
      </c>
      <c r="Q1692" s="16" t="str">
        <f aca="false">IF(OR(B1692=-1,I1692=0, P1692&lt;&gt;2), "albhed_dummy", _xlfn.CONCAT("albhed ", RIGHT("  " &amp; K1692,2),", ", RIGHT("  " &amp; L1692,2), ", " ,"""",H1692,""", ", """",N1692,""", ","""",O1692,""""," ; ", A1692))</f>
        <v>albhed_dummy</v>
      </c>
    </row>
    <row r="1693" customFormat="false" ht="17.9" hidden="false" customHeight="true" outlineLevel="0" collapsed="false">
      <c r="A1693" s="16" t="s">
        <v>2544</v>
      </c>
      <c r="B1693" s="16" t="n">
        <f aca="false">IF(_xlfn.UNICODE(A1693)&lt;44032,-1,_xlfn.UNICODE(A1693)-44032)</f>
        <v>-1</v>
      </c>
      <c r="C1693" s="16" t="n">
        <f aca="false">IF(B1693=-1,-1,INT((B1693/28)/21))</f>
        <v>-1</v>
      </c>
      <c r="D1693" s="16" t="n">
        <f aca="false">IF(B1693=-1, -1, MOD(INT(B1693/28),21))</f>
        <v>-1</v>
      </c>
      <c r="E1693" s="16" t="n">
        <f aca="false">IF(B1693=-1, -1, VLOOKUP(MOD(B1693,28), $T$24:$U$52,2))</f>
        <v>-1</v>
      </c>
      <c r="F1693" s="16" t="n">
        <f aca="false">IF($B1693=-1, -1, VLOOKUP(C1693,$T$1:$V$20, 2))</f>
        <v>-1</v>
      </c>
      <c r="G1693" s="16" t="n">
        <f aca="false">IF($B1693=-1, -1, VLOOKUP(D1693,$Y$1:$Z$22,2))</f>
        <v>-1</v>
      </c>
      <c r="H1693" s="16" t="str">
        <f aca="false">_xlfn.UNICHAR(((F1693*21)+G1693)*28+44032)</f>
        <v>ꦘ</v>
      </c>
      <c r="I1693" s="16" t="n">
        <f aca="false">IF(B1693=-1, 1, COUNTIF($A$2:$A$3000, H1693))</f>
        <v>1</v>
      </c>
      <c r="J1693" s="10" t="str">
        <f aca="false">_xlfn.CONCAT(A1693, ",",H1693,",",I1693)</f>
        <v>b,ꦘ,1</v>
      </c>
      <c r="K1693" s="16" t="n">
        <f aca="false">IF(B1693=-1,-1,VLOOKUP(C1693,$T$1:$V$20,3))</f>
        <v>-1</v>
      </c>
      <c r="L1693" s="16" t="n">
        <f aca="false">IF(B1693=-1,-1,VLOOKUP(D1693,$Y$1:$AA$22,3))</f>
        <v>-1</v>
      </c>
      <c r="N1693" s="10" t="str">
        <f aca="false">_xlfn.UNICHAR(((C1693*21)+G1693)*28+44032)</f>
        <v>ꦘ</v>
      </c>
      <c r="O1693" s="10" t="str">
        <f aca="false">_xlfn.UNICHAR(((F1693*21)+D1693)*28+44032)</f>
        <v>ꦘ</v>
      </c>
      <c r="P1693" s="12" t="n">
        <f aca="false">COUNTIF($A$2:$A$3000, N1693) + COUNTIF($A$2:$A$3000, O1693)</f>
        <v>0</v>
      </c>
      <c r="Q1693" s="16" t="str">
        <f aca="false">IF(OR(B1693=-1,I1693=0, P1693&lt;&gt;2), "albhed_dummy", _xlfn.CONCAT("albhed ", RIGHT("  " &amp; K1693,2),", ", RIGHT("  " &amp; L1693,2), ", " ,"""",H1693,""", ", """",N1693,""", ","""",O1693,""""," ; ", A1693))</f>
        <v>albhed_dummy</v>
      </c>
    </row>
    <row r="1694" customFormat="false" ht="17.9" hidden="false" customHeight="true" outlineLevel="0" collapsed="false">
      <c r="A1694" s="16" t="s">
        <v>2545</v>
      </c>
      <c r="B1694" s="16" t="n">
        <f aca="false">IF(_xlfn.UNICODE(A1694)&lt;44032,-1,_xlfn.UNICODE(A1694)-44032)</f>
        <v>-1</v>
      </c>
      <c r="C1694" s="16" t="n">
        <f aca="false">IF(B1694=-1,-1,INT((B1694/28)/21))</f>
        <v>-1</v>
      </c>
      <c r="D1694" s="16" t="n">
        <f aca="false">IF(B1694=-1, -1, MOD(INT(B1694/28),21))</f>
        <v>-1</v>
      </c>
      <c r="E1694" s="16" t="n">
        <f aca="false">IF(B1694=-1, -1, VLOOKUP(MOD(B1694,28), $T$24:$U$52,2))</f>
        <v>-1</v>
      </c>
      <c r="F1694" s="16" t="n">
        <f aca="false">IF($B1694=-1, -1, VLOOKUP(C1694,$T$1:$V$20, 2))</f>
        <v>-1</v>
      </c>
      <c r="G1694" s="16" t="n">
        <f aca="false">IF($B1694=-1, -1, VLOOKUP(D1694,$Y$1:$Z$22,2))</f>
        <v>-1</v>
      </c>
      <c r="H1694" s="16" t="str">
        <f aca="false">_xlfn.UNICHAR(((F1694*21)+G1694)*28+44032)</f>
        <v>ꦘ</v>
      </c>
      <c r="I1694" s="16" t="n">
        <f aca="false">IF(B1694=-1, 1, COUNTIF($A$2:$A$3000, H1694))</f>
        <v>1</v>
      </c>
      <c r="J1694" s="10" t="str">
        <f aca="false">_xlfn.CONCAT(A1694, ",",H1694,",",I1694)</f>
        <v>c,ꦘ,1</v>
      </c>
      <c r="K1694" s="16" t="n">
        <f aca="false">IF(B1694=-1,-1,VLOOKUP(C1694,$T$1:$V$20,3))</f>
        <v>-1</v>
      </c>
      <c r="L1694" s="16" t="n">
        <f aca="false">IF(B1694=-1,-1,VLOOKUP(D1694,$Y$1:$AA$22,3))</f>
        <v>-1</v>
      </c>
      <c r="N1694" s="10" t="str">
        <f aca="false">_xlfn.UNICHAR(((C1694*21)+G1694)*28+44032)</f>
        <v>ꦘ</v>
      </c>
      <c r="O1694" s="10" t="str">
        <f aca="false">_xlfn.UNICHAR(((F1694*21)+D1694)*28+44032)</f>
        <v>ꦘ</v>
      </c>
      <c r="P1694" s="12" t="n">
        <f aca="false">COUNTIF($A$2:$A$3000, N1694) + COUNTIF($A$2:$A$3000, O1694)</f>
        <v>0</v>
      </c>
      <c r="Q1694" s="16" t="str">
        <f aca="false">IF(OR(B1694=-1,I1694=0, P1694&lt;&gt;2), "albhed_dummy", _xlfn.CONCAT("albhed ", RIGHT("  " &amp; K1694,2),", ", RIGHT("  " &amp; L1694,2), ", " ,"""",H1694,""", ", """",N1694,""", ","""",O1694,""""," ; ", A1694))</f>
        <v>albhed_dummy</v>
      </c>
    </row>
    <row r="1695" customFormat="false" ht="17.9" hidden="false" customHeight="true" outlineLevel="0" collapsed="false">
      <c r="A1695" s="16" t="s">
        <v>2546</v>
      </c>
      <c r="B1695" s="16" t="n">
        <f aca="false">IF(_xlfn.UNICODE(A1695)&lt;44032,-1,_xlfn.UNICODE(A1695)-44032)</f>
        <v>-1</v>
      </c>
      <c r="C1695" s="16" t="n">
        <f aca="false">IF(B1695=-1,-1,INT((B1695/28)/21))</f>
        <v>-1</v>
      </c>
      <c r="D1695" s="16" t="n">
        <f aca="false">IF(B1695=-1, -1, MOD(INT(B1695/28),21))</f>
        <v>-1</v>
      </c>
      <c r="E1695" s="16" t="n">
        <f aca="false">IF(B1695=-1, -1, VLOOKUP(MOD(B1695,28), $T$24:$U$52,2))</f>
        <v>-1</v>
      </c>
      <c r="F1695" s="16" t="n">
        <f aca="false">IF($B1695=-1, -1, VLOOKUP(C1695,$T$1:$V$20, 2))</f>
        <v>-1</v>
      </c>
      <c r="G1695" s="16" t="n">
        <f aca="false">IF($B1695=-1, -1, VLOOKUP(D1695,$Y$1:$Z$22,2))</f>
        <v>-1</v>
      </c>
      <c r="H1695" s="16" t="str">
        <f aca="false">_xlfn.UNICHAR(((F1695*21)+G1695)*28+44032)</f>
        <v>ꦘ</v>
      </c>
      <c r="I1695" s="16" t="n">
        <f aca="false">IF(B1695=-1, 1, COUNTIF($A$2:$A$3000, H1695))</f>
        <v>1</v>
      </c>
      <c r="J1695" s="10" t="str">
        <f aca="false">_xlfn.CONCAT(A1695, ",",H1695,",",I1695)</f>
        <v>d,ꦘ,1</v>
      </c>
      <c r="K1695" s="16" t="n">
        <f aca="false">IF(B1695=-1,-1,VLOOKUP(C1695,$T$1:$V$20,3))</f>
        <v>-1</v>
      </c>
      <c r="L1695" s="16" t="n">
        <f aca="false">IF(B1695=-1,-1,VLOOKUP(D1695,$Y$1:$AA$22,3))</f>
        <v>-1</v>
      </c>
      <c r="N1695" s="10" t="str">
        <f aca="false">_xlfn.UNICHAR(((C1695*21)+G1695)*28+44032)</f>
        <v>ꦘ</v>
      </c>
      <c r="O1695" s="10" t="str">
        <f aca="false">_xlfn.UNICHAR(((F1695*21)+D1695)*28+44032)</f>
        <v>ꦘ</v>
      </c>
      <c r="P1695" s="12" t="n">
        <f aca="false">COUNTIF($A$2:$A$3000, N1695) + COUNTIF($A$2:$A$3000, O1695)</f>
        <v>0</v>
      </c>
      <c r="Q1695" s="16" t="str">
        <f aca="false">IF(OR(B1695=-1,I1695=0, P1695&lt;&gt;2), "albhed_dummy", _xlfn.CONCAT("albhed ", RIGHT("  " &amp; K1695,2),", ", RIGHT("  " &amp; L1695,2), ", " ,"""",H1695,""", ", """",N1695,""", ","""",O1695,""""," ; ", A1695))</f>
        <v>albhed_dummy</v>
      </c>
    </row>
    <row r="1696" customFormat="false" ht="17.9" hidden="false" customHeight="true" outlineLevel="0" collapsed="false">
      <c r="A1696" s="16" t="s">
        <v>29</v>
      </c>
      <c r="B1696" s="16" t="n">
        <f aca="false">IF(_xlfn.UNICODE(A1696)&lt;44032,-1,_xlfn.UNICODE(A1696)-44032)</f>
        <v>-1</v>
      </c>
      <c r="C1696" s="16" t="n">
        <f aca="false">IF(B1696=-1,-1,INT((B1696/28)/21))</f>
        <v>-1</v>
      </c>
      <c r="D1696" s="16" t="n">
        <f aca="false">IF(B1696=-1, -1, MOD(INT(B1696/28),21))</f>
        <v>-1</v>
      </c>
      <c r="E1696" s="16" t="n">
        <f aca="false">IF(B1696=-1, -1, VLOOKUP(MOD(B1696,28), $T$24:$U$52,2))</f>
        <v>-1</v>
      </c>
      <c r="F1696" s="16" t="n">
        <f aca="false">IF($B1696=-1, -1, VLOOKUP(C1696,$T$1:$V$20, 2))</f>
        <v>-1</v>
      </c>
      <c r="G1696" s="16" t="n">
        <f aca="false">IF($B1696=-1, -1, VLOOKUP(D1696,$Y$1:$Z$22,2))</f>
        <v>-1</v>
      </c>
      <c r="H1696" s="16" t="str">
        <f aca="false">_xlfn.UNICHAR(((F1696*21)+G1696)*28+44032)</f>
        <v>ꦘ</v>
      </c>
      <c r="I1696" s="16" t="n">
        <f aca="false">IF(B1696=-1, 1, COUNTIF($A$2:$A$3000, H1696))</f>
        <v>1</v>
      </c>
      <c r="J1696" s="10" t="str">
        <f aca="false">_xlfn.CONCAT(A1696, ",",H1696,",",I1696)</f>
        <v>e,ꦘ,1</v>
      </c>
      <c r="K1696" s="16" t="n">
        <f aca="false">IF(B1696=-1,-1,VLOOKUP(C1696,$T$1:$V$20,3))</f>
        <v>-1</v>
      </c>
      <c r="L1696" s="16" t="n">
        <f aca="false">IF(B1696=-1,-1,VLOOKUP(D1696,$Y$1:$AA$22,3))</f>
        <v>-1</v>
      </c>
      <c r="N1696" s="10" t="str">
        <f aca="false">_xlfn.UNICHAR(((C1696*21)+G1696)*28+44032)</f>
        <v>ꦘ</v>
      </c>
      <c r="O1696" s="10" t="str">
        <f aca="false">_xlfn.UNICHAR(((F1696*21)+D1696)*28+44032)</f>
        <v>ꦘ</v>
      </c>
      <c r="P1696" s="12" t="n">
        <f aca="false">COUNTIF($A$2:$A$3000, N1696) + COUNTIF($A$2:$A$3000, O1696)</f>
        <v>0</v>
      </c>
      <c r="Q1696" s="16" t="str">
        <f aca="false">IF(OR(B1696=-1,I1696=0, P1696&lt;&gt;2), "albhed_dummy", _xlfn.CONCAT("albhed ", RIGHT("  " &amp; K1696,2),", ", RIGHT("  " &amp; L1696,2), ", " ,"""",H1696,""", ", """",N1696,""", ","""",O1696,""""," ; ", A1696))</f>
        <v>albhed_dummy</v>
      </c>
    </row>
    <row r="1697" customFormat="false" ht="17.9" hidden="false" customHeight="true" outlineLevel="0" collapsed="false">
      <c r="A1697" s="16" t="s">
        <v>2547</v>
      </c>
      <c r="B1697" s="16" t="n">
        <f aca="false">IF(_xlfn.UNICODE(A1697)&lt;44032,-1,_xlfn.UNICODE(A1697)-44032)</f>
        <v>-1</v>
      </c>
      <c r="C1697" s="16" t="n">
        <f aca="false">IF(B1697=-1,-1,INT((B1697/28)/21))</f>
        <v>-1</v>
      </c>
      <c r="D1697" s="16" t="n">
        <f aca="false">IF(B1697=-1, -1, MOD(INT(B1697/28),21))</f>
        <v>-1</v>
      </c>
      <c r="E1697" s="16" t="n">
        <f aca="false">IF(B1697=-1, -1, VLOOKUP(MOD(B1697,28), $T$24:$U$52,2))</f>
        <v>-1</v>
      </c>
      <c r="F1697" s="16" t="n">
        <f aca="false">IF($B1697=-1, -1, VLOOKUP(C1697,$T$1:$V$20, 2))</f>
        <v>-1</v>
      </c>
      <c r="G1697" s="16" t="n">
        <f aca="false">IF($B1697=-1, -1, VLOOKUP(D1697,$Y$1:$Z$22,2))</f>
        <v>-1</v>
      </c>
      <c r="H1697" s="16" t="str">
        <f aca="false">_xlfn.UNICHAR(((F1697*21)+G1697)*28+44032)</f>
        <v>ꦘ</v>
      </c>
      <c r="I1697" s="16" t="n">
        <f aca="false">IF(B1697=-1, 1, COUNTIF($A$2:$A$3000, H1697))</f>
        <v>1</v>
      </c>
      <c r="J1697" s="10" t="str">
        <f aca="false">_xlfn.CONCAT(A1697, ",",H1697,",",I1697)</f>
        <v>f,ꦘ,1</v>
      </c>
      <c r="K1697" s="16" t="n">
        <f aca="false">IF(B1697=-1,-1,VLOOKUP(C1697,$T$1:$V$20,3))</f>
        <v>-1</v>
      </c>
      <c r="L1697" s="16" t="n">
        <f aca="false">IF(B1697=-1,-1,VLOOKUP(D1697,$Y$1:$AA$22,3))</f>
        <v>-1</v>
      </c>
      <c r="N1697" s="10" t="str">
        <f aca="false">_xlfn.UNICHAR(((C1697*21)+G1697)*28+44032)</f>
        <v>ꦘ</v>
      </c>
      <c r="O1697" s="10" t="str">
        <f aca="false">_xlfn.UNICHAR(((F1697*21)+D1697)*28+44032)</f>
        <v>ꦘ</v>
      </c>
      <c r="P1697" s="12" t="n">
        <f aca="false">COUNTIF($A$2:$A$3000, N1697) + COUNTIF($A$2:$A$3000, O1697)</f>
        <v>0</v>
      </c>
      <c r="Q1697" s="16" t="str">
        <f aca="false">IF(OR(B1697=-1,I1697=0, P1697&lt;&gt;2), "albhed_dummy", _xlfn.CONCAT("albhed ", RIGHT("  " &amp; K1697,2),", ", RIGHT("  " &amp; L1697,2), ", " ,"""",H1697,""", ", """",N1697,""", ","""",O1697,""""," ; ", A1697))</f>
        <v>albhed_dummy</v>
      </c>
    </row>
    <row r="1698" customFormat="false" ht="17.9" hidden="false" customHeight="true" outlineLevel="0" collapsed="false">
      <c r="A1698" s="16" t="s">
        <v>2548</v>
      </c>
      <c r="B1698" s="16" t="n">
        <f aca="false">IF(_xlfn.UNICODE(A1698)&lt;44032,-1,_xlfn.UNICODE(A1698)-44032)</f>
        <v>-1</v>
      </c>
      <c r="C1698" s="16" t="n">
        <f aca="false">IF(B1698=-1,-1,INT((B1698/28)/21))</f>
        <v>-1</v>
      </c>
      <c r="D1698" s="16" t="n">
        <f aca="false">IF(B1698=-1, -1, MOD(INT(B1698/28),21))</f>
        <v>-1</v>
      </c>
      <c r="E1698" s="16" t="n">
        <f aca="false">IF(B1698=-1, -1, VLOOKUP(MOD(B1698,28), $T$24:$U$52,2))</f>
        <v>-1</v>
      </c>
      <c r="F1698" s="16" t="n">
        <f aca="false">IF($B1698=-1, -1, VLOOKUP(C1698,$T$1:$V$20, 2))</f>
        <v>-1</v>
      </c>
      <c r="G1698" s="16" t="n">
        <f aca="false">IF($B1698=-1, -1, VLOOKUP(D1698,$Y$1:$Z$22,2))</f>
        <v>-1</v>
      </c>
      <c r="H1698" s="16" t="str">
        <f aca="false">_xlfn.UNICHAR(((F1698*21)+G1698)*28+44032)</f>
        <v>ꦘ</v>
      </c>
      <c r="I1698" s="16" t="n">
        <f aca="false">IF(B1698=-1, 1, COUNTIF($A$2:$A$3000, H1698))</f>
        <v>1</v>
      </c>
      <c r="J1698" s="10" t="str">
        <f aca="false">_xlfn.CONCAT(A1698, ",",H1698,",",I1698)</f>
        <v>g,ꦘ,1</v>
      </c>
      <c r="K1698" s="16" t="n">
        <f aca="false">IF(B1698=-1,-1,VLOOKUP(C1698,$T$1:$V$20,3))</f>
        <v>-1</v>
      </c>
      <c r="L1698" s="16" t="n">
        <f aca="false">IF(B1698=-1,-1,VLOOKUP(D1698,$Y$1:$AA$22,3))</f>
        <v>-1</v>
      </c>
      <c r="N1698" s="10" t="str">
        <f aca="false">_xlfn.UNICHAR(((C1698*21)+G1698)*28+44032)</f>
        <v>ꦘ</v>
      </c>
      <c r="O1698" s="10" t="str">
        <f aca="false">_xlfn.UNICHAR(((F1698*21)+D1698)*28+44032)</f>
        <v>ꦘ</v>
      </c>
      <c r="P1698" s="12" t="n">
        <f aca="false">COUNTIF($A$2:$A$3000, N1698) + COUNTIF($A$2:$A$3000, O1698)</f>
        <v>0</v>
      </c>
      <c r="Q1698" s="16" t="str">
        <f aca="false">IF(OR(B1698=-1,I1698=0, P1698&lt;&gt;2), "albhed_dummy", _xlfn.CONCAT("albhed ", RIGHT("  " &amp; K1698,2),", ", RIGHT("  " &amp; L1698,2), ", " ,"""",H1698,""", ", """",N1698,""", ","""",O1698,""""," ; ", A1698))</f>
        <v>albhed_dummy</v>
      </c>
    </row>
    <row r="1699" customFormat="false" ht="17.9" hidden="false" customHeight="true" outlineLevel="0" collapsed="false">
      <c r="A1699" s="16" t="s">
        <v>2549</v>
      </c>
      <c r="B1699" s="16" t="n">
        <f aca="false">IF(_xlfn.UNICODE(A1699)&lt;44032,-1,_xlfn.UNICODE(A1699)-44032)</f>
        <v>-1</v>
      </c>
      <c r="C1699" s="16" t="n">
        <f aca="false">IF(B1699=-1,-1,INT((B1699/28)/21))</f>
        <v>-1</v>
      </c>
      <c r="D1699" s="16" t="n">
        <f aca="false">IF(B1699=-1, -1, MOD(INT(B1699/28),21))</f>
        <v>-1</v>
      </c>
      <c r="E1699" s="16" t="n">
        <f aca="false">IF(B1699=-1, -1, VLOOKUP(MOD(B1699,28), $T$24:$U$52,2))</f>
        <v>-1</v>
      </c>
      <c r="F1699" s="16" t="n">
        <f aca="false">IF($B1699=-1, -1, VLOOKUP(C1699,$T$1:$V$20, 2))</f>
        <v>-1</v>
      </c>
      <c r="G1699" s="16" t="n">
        <f aca="false">IF($B1699=-1, -1, VLOOKUP(D1699,$Y$1:$Z$22,2))</f>
        <v>-1</v>
      </c>
      <c r="H1699" s="16" t="str">
        <f aca="false">_xlfn.UNICHAR(((F1699*21)+G1699)*28+44032)</f>
        <v>ꦘ</v>
      </c>
      <c r="I1699" s="16" t="n">
        <f aca="false">IF(B1699=-1, 1, COUNTIF($A$2:$A$3000, H1699))</f>
        <v>1</v>
      </c>
      <c r="J1699" s="10" t="str">
        <f aca="false">_xlfn.CONCAT(A1699, ",",H1699,",",I1699)</f>
        <v>h,ꦘ,1</v>
      </c>
      <c r="K1699" s="16" t="n">
        <f aca="false">IF(B1699=-1,-1,VLOOKUP(C1699,$T$1:$V$20,3))</f>
        <v>-1</v>
      </c>
      <c r="L1699" s="16" t="n">
        <f aca="false">IF(B1699=-1,-1,VLOOKUP(D1699,$Y$1:$AA$22,3))</f>
        <v>-1</v>
      </c>
      <c r="N1699" s="10" t="str">
        <f aca="false">_xlfn.UNICHAR(((C1699*21)+G1699)*28+44032)</f>
        <v>ꦘ</v>
      </c>
      <c r="O1699" s="10" t="str">
        <f aca="false">_xlfn.UNICHAR(((F1699*21)+D1699)*28+44032)</f>
        <v>ꦘ</v>
      </c>
      <c r="P1699" s="12" t="n">
        <f aca="false">COUNTIF($A$2:$A$3000, N1699) + COUNTIF($A$2:$A$3000, O1699)</f>
        <v>0</v>
      </c>
      <c r="Q1699" s="16" t="str">
        <f aca="false">IF(OR(B1699=-1,I1699=0, P1699&lt;&gt;2), "albhed_dummy", _xlfn.CONCAT("albhed ", RIGHT("  " &amp; K1699,2),", ", RIGHT("  " &amp; L1699,2), ", " ,"""",H1699,""", ", """",N1699,""", ","""",O1699,""""," ; ", A1699))</f>
        <v>albhed_dummy</v>
      </c>
    </row>
    <row r="1700" customFormat="false" ht="17.9" hidden="false" customHeight="true" outlineLevel="0" collapsed="false">
      <c r="A1700" s="16" t="s">
        <v>2550</v>
      </c>
      <c r="B1700" s="16" t="n">
        <f aca="false">IF(_xlfn.UNICODE(A1700)&lt;44032,-1,_xlfn.UNICODE(A1700)-44032)</f>
        <v>-1</v>
      </c>
      <c r="C1700" s="16" t="n">
        <f aca="false">IF(B1700=-1,-1,INT((B1700/28)/21))</f>
        <v>-1</v>
      </c>
      <c r="D1700" s="16" t="n">
        <f aca="false">IF(B1700=-1, -1, MOD(INT(B1700/28),21))</f>
        <v>-1</v>
      </c>
      <c r="E1700" s="16" t="n">
        <f aca="false">IF(B1700=-1, -1, VLOOKUP(MOD(B1700,28), $T$24:$U$52,2))</f>
        <v>-1</v>
      </c>
      <c r="F1700" s="16" t="n">
        <f aca="false">IF($B1700=-1, -1, VLOOKUP(C1700,$T$1:$V$20, 2))</f>
        <v>-1</v>
      </c>
      <c r="G1700" s="16" t="n">
        <f aca="false">IF($B1700=-1, -1, VLOOKUP(D1700,$Y$1:$Z$22,2))</f>
        <v>-1</v>
      </c>
      <c r="H1700" s="16" t="str">
        <f aca="false">_xlfn.UNICHAR(((F1700*21)+G1700)*28+44032)</f>
        <v>ꦘ</v>
      </c>
      <c r="I1700" s="16" t="n">
        <f aca="false">IF(B1700=-1, 1, COUNTIF($A$2:$A$3000, H1700))</f>
        <v>1</v>
      </c>
      <c r="J1700" s="10" t="str">
        <f aca="false">_xlfn.CONCAT(A1700, ",",H1700,",",I1700)</f>
        <v>i,ꦘ,1</v>
      </c>
      <c r="K1700" s="16" t="n">
        <f aca="false">IF(B1700=-1,-1,VLOOKUP(C1700,$T$1:$V$20,3))</f>
        <v>-1</v>
      </c>
      <c r="L1700" s="16" t="n">
        <f aca="false">IF(B1700=-1,-1,VLOOKUP(D1700,$Y$1:$AA$22,3))</f>
        <v>-1</v>
      </c>
      <c r="N1700" s="10" t="str">
        <f aca="false">_xlfn.UNICHAR(((C1700*21)+G1700)*28+44032)</f>
        <v>ꦘ</v>
      </c>
      <c r="O1700" s="10" t="str">
        <f aca="false">_xlfn.UNICHAR(((F1700*21)+D1700)*28+44032)</f>
        <v>ꦘ</v>
      </c>
      <c r="P1700" s="12" t="n">
        <f aca="false">COUNTIF($A$2:$A$3000, N1700) + COUNTIF($A$2:$A$3000, O1700)</f>
        <v>0</v>
      </c>
      <c r="Q1700" s="16" t="str">
        <f aca="false">IF(OR(B1700=-1,I1700=0, P1700&lt;&gt;2), "albhed_dummy", _xlfn.CONCAT("albhed ", RIGHT("  " &amp; K1700,2),", ", RIGHT("  " &amp; L1700,2), ", " ,"""",H1700,""", ", """",N1700,""", ","""",O1700,""""," ; ", A1700))</f>
        <v>albhed_dummy</v>
      </c>
    </row>
    <row r="1701" customFormat="false" ht="17.9" hidden="false" customHeight="true" outlineLevel="0" collapsed="false">
      <c r="A1701" s="16" t="s">
        <v>2551</v>
      </c>
      <c r="B1701" s="16" t="n">
        <f aca="false">IF(_xlfn.UNICODE(A1701)&lt;44032,-1,_xlfn.UNICODE(A1701)-44032)</f>
        <v>-1</v>
      </c>
      <c r="C1701" s="16" t="n">
        <f aca="false">IF(B1701=-1,-1,INT((B1701/28)/21))</f>
        <v>-1</v>
      </c>
      <c r="D1701" s="16" t="n">
        <f aca="false">IF(B1701=-1, -1, MOD(INT(B1701/28),21))</f>
        <v>-1</v>
      </c>
      <c r="E1701" s="16" t="n">
        <f aca="false">IF(B1701=-1, -1, VLOOKUP(MOD(B1701,28), $T$24:$U$52,2))</f>
        <v>-1</v>
      </c>
      <c r="F1701" s="16" t="n">
        <f aca="false">IF($B1701=-1, -1, VLOOKUP(C1701,$T$1:$V$20, 2))</f>
        <v>-1</v>
      </c>
      <c r="G1701" s="16" t="n">
        <f aca="false">IF($B1701=-1, -1, VLOOKUP(D1701,$Y$1:$Z$22,2))</f>
        <v>-1</v>
      </c>
      <c r="H1701" s="16" t="str">
        <f aca="false">_xlfn.UNICHAR(((F1701*21)+G1701)*28+44032)</f>
        <v>ꦘ</v>
      </c>
      <c r="I1701" s="16" t="n">
        <f aca="false">IF(B1701=-1, 1, COUNTIF($A$2:$A$3000, H1701))</f>
        <v>1</v>
      </c>
      <c r="J1701" s="10" t="str">
        <f aca="false">_xlfn.CONCAT(A1701, ",",H1701,",",I1701)</f>
        <v>j,ꦘ,1</v>
      </c>
      <c r="K1701" s="16" t="n">
        <f aca="false">IF(B1701=-1,-1,VLOOKUP(C1701,$T$1:$V$20,3))</f>
        <v>-1</v>
      </c>
      <c r="L1701" s="16" t="n">
        <f aca="false">IF(B1701=-1,-1,VLOOKUP(D1701,$Y$1:$AA$22,3))</f>
        <v>-1</v>
      </c>
      <c r="N1701" s="10" t="str">
        <f aca="false">_xlfn.UNICHAR(((C1701*21)+G1701)*28+44032)</f>
        <v>ꦘ</v>
      </c>
      <c r="O1701" s="10" t="str">
        <f aca="false">_xlfn.UNICHAR(((F1701*21)+D1701)*28+44032)</f>
        <v>ꦘ</v>
      </c>
      <c r="P1701" s="12" t="n">
        <f aca="false">COUNTIF($A$2:$A$3000, N1701) + COUNTIF($A$2:$A$3000, O1701)</f>
        <v>0</v>
      </c>
      <c r="Q1701" s="16" t="str">
        <f aca="false">IF(OR(B1701=-1,I1701=0, P1701&lt;&gt;2), "albhed_dummy", _xlfn.CONCAT("albhed ", RIGHT("  " &amp; K1701,2),", ", RIGHT("  " &amp; L1701,2), ", " ,"""",H1701,""", ", """",N1701,""", ","""",O1701,""""," ; ", A1701))</f>
        <v>albhed_dummy</v>
      </c>
    </row>
    <row r="1702" customFormat="false" ht="17.9" hidden="false" customHeight="true" outlineLevel="0" collapsed="false">
      <c r="A1702" s="16" t="s">
        <v>2552</v>
      </c>
      <c r="B1702" s="16" t="n">
        <f aca="false">IF(_xlfn.UNICODE(A1702)&lt;44032,-1,_xlfn.UNICODE(A1702)-44032)</f>
        <v>-1</v>
      </c>
      <c r="C1702" s="16" t="n">
        <f aca="false">IF(B1702=-1,-1,INT((B1702/28)/21))</f>
        <v>-1</v>
      </c>
      <c r="D1702" s="16" t="n">
        <f aca="false">IF(B1702=-1, -1, MOD(INT(B1702/28),21))</f>
        <v>-1</v>
      </c>
      <c r="E1702" s="16" t="n">
        <f aca="false">IF(B1702=-1, -1, VLOOKUP(MOD(B1702,28), $T$24:$U$52,2))</f>
        <v>-1</v>
      </c>
      <c r="F1702" s="16" t="n">
        <f aca="false">IF($B1702=-1, -1, VLOOKUP(C1702,$T$1:$V$20, 2))</f>
        <v>-1</v>
      </c>
      <c r="G1702" s="16" t="n">
        <f aca="false">IF($B1702=-1, -1, VLOOKUP(D1702,$Y$1:$Z$22,2))</f>
        <v>-1</v>
      </c>
      <c r="H1702" s="16" t="str">
        <f aca="false">_xlfn.UNICHAR(((F1702*21)+G1702)*28+44032)</f>
        <v>ꦘ</v>
      </c>
      <c r="I1702" s="16" t="n">
        <f aca="false">IF(B1702=-1, 1, COUNTIF($A$2:$A$3000, H1702))</f>
        <v>1</v>
      </c>
      <c r="J1702" s="10" t="str">
        <f aca="false">_xlfn.CONCAT(A1702, ",",H1702,",",I1702)</f>
        <v>k,ꦘ,1</v>
      </c>
      <c r="K1702" s="16" t="n">
        <f aca="false">IF(B1702=-1,-1,VLOOKUP(C1702,$T$1:$V$20,3))</f>
        <v>-1</v>
      </c>
      <c r="L1702" s="16" t="n">
        <f aca="false">IF(B1702=-1,-1,VLOOKUP(D1702,$Y$1:$AA$22,3))</f>
        <v>-1</v>
      </c>
      <c r="N1702" s="10" t="str">
        <f aca="false">_xlfn.UNICHAR(((C1702*21)+G1702)*28+44032)</f>
        <v>ꦘ</v>
      </c>
      <c r="O1702" s="10" t="str">
        <f aca="false">_xlfn.UNICHAR(((F1702*21)+D1702)*28+44032)</f>
        <v>ꦘ</v>
      </c>
      <c r="P1702" s="12" t="n">
        <f aca="false">COUNTIF($A$2:$A$3000, N1702) + COUNTIF($A$2:$A$3000, O1702)</f>
        <v>0</v>
      </c>
      <c r="Q1702" s="16" t="str">
        <f aca="false">IF(OR(B1702=-1,I1702=0, P1702&lt;&gt;2), "albhed_dummy", _xlfn.CONCAT("albhed ", RIGHT("  " &amp; K1702,2),", ", RIGHT("  " &amp; L1702,2), ", " ,"""",H1702,""", ", """",N1702,""", ","""",O1702,""""," ; ", A1702))</f>
        <v>albhed_dummy</v>
      </c>
    </row>
    <row r="1703" customFormat="false" ht="17.9" hidden="false" customHeight="true" outlineLevel="0" collapsed="false">
      <c r="A1703" s="16" t="s">
        <v>2553</v>
      </c>
      <c r="B1703" s="16" t="n">
        <f aca="false">IF(_xlfn.UNICODE(A1703)&lt;44032,-1,_xlfn.UNICODE(A1703)-44032)</f>
        <v>-1</v>
      </c>
      <c r="C1703" s="16" t="n">
        <f aca="false">IF(B1703=-1,-1,INT((B1703/28)/21))</f>
        <v>-1</v>
      </c>
      <c r="D1703" s="16" t="n">
        <f aca="false">IF(B1703=-1, -1, MOD(INT(B1703/28),21))</f>
        <v>-1</v>
      </c>
      <c r="E1703" s="16" t="n">
        <f aca="false">IF(B1703=-1, -1, VLOOKUP(MOD(B1703,28), $T$24:$U$52,2))</f>
        <v>-1</v>
      </c>
      <c r="F1703" s="16" t="n">
        <f aca="false">IF($B1703=-1, -1, VLOOKUP(C1703,$T$1:$V$20, 2))</f>
        <v>-1</v>
      </c>
      <c r="G1703" s="16" t="n">
        <f aca="false">IF($B1703=-1, -1, VLOOKUP(D1703,$Y$1:$Z$22,2))</f>
        <v>-1</v>
      </c>
      <c r="H1703" s="16" t="str">
        <f aca="false">_xlfn.UNICHAR(((F1703*21)+G1703)*28+44032)</f>
        <v>ꦘ</v>
      </c>
      <c r="I1703" s="16" t="n">
        <f aca="false">IF(B1703=-1, 1, COUNTIF($A$2:$A$3000, H1703))</f>
        <v>1</v>
      </c>
      <c r="J1703" s="10" t="str">
        <f aca="false">_xlfn.CONCAT(A1703, ",",H1703,",",I1703)</f>
        <v>l,ꦘ,1</v>
      </c>
      <c r="K1703" s="16" t="n">
        <f aca="false">IF(B1703=-1,-1,VLOOKUP(C1703,$T$1:$V$20,3))</f>
        <v>-1</v>
      </c>
      <c r="L1703" s="16" t="n">
        <f aca="false">IF(B1703=-1,-1,VLOOKUP(D1703,$Y$1:$AA$22,3))</f>
        <v>-1</v>
      </c>
      <c r="N1703" s="10" t="str">
        <f aca="false">_xlfn.UNICHAR(((C1703*21)+G1703)*28+44032)</f>
        <v>ꦘ</v>
      </c>
      <c r="O1703" s="10" t="str">
        <f aca="false">_xlfn.UNICHAR(((F1703*21)+D1703)*28+44032)</f>
        <v>ꦘ</v>
      </c>
      <c r="P1703" s="12" t="n">
        <f aca="false">COUNTIF($A$2:$A$3000, N1703) + COUNTIF($A$2:$A$3000, O1703)</f>
        <v>0</v>
      </c>
      <c r="Q1703" s="16" t="str">
        <f aca="false">IF(OR(B1703=-1,I1703=0, P1703&lt;&gt;2), "albhed_dummy", _xlfn.CONCAT("albhed ", RIGHT("  " &amp; K1703,2),", ", RIGHT("  " &amp; L1703,2), ", " ,"""",H1703,""", ", """",N1703,""", ","""",O1703,""""," ; ", A1703))</f>
        <v>albhed_dummy</v>
      </c>
    </row>
    <row r="1704" customFormat="false" ht="17.9" hidden="false" customHeight="true" outlineLevel="0" collapsed="false">
      <c r="A1704" s="16" t="s">
        <v>2554</v>
      </c>
      <c r="B1704" s="16" t="n">
        <f aca="false">IF(_xlfn.UNICODE(A1704)&lt;44032,-1,_xlfn.UNICODE(A1704)-44032)</f>
        <v>-1</v>
      </c>
      <c r="C1704" s="16" t="n">
        <f aca="false">IF(B1704=-1,-1,INT((B1704/28)/21))</f>
        <v>-1</v>
      </c>
      <c r="D1704" s="16" t="n">
        <f aca="false">IF(B1704=-1, -1, MOD(INT(B1704/28),21))</f>
        <v>-1</v>
      </c>
      <c r="E1704" s="16" t="n">
        <f aca="false">IF(B1704=-1, -1, VLOOKUP(MOD(B1704,28), $T$24:$U$52,2))</f>
        <v>-1</v>
      </c>
      <c r="F1704" s="16" t="n">
        <f aca="false">IF($B1704=-1, -1, VLOOKUP(C1704,$T$1:$V$20, 2))</f>
        <v>-1</v>
      </c>
      <c r="G1704" s="16" t="n">
        <f aca="false">IF($B1704=-1, -1, VLOOKUP(D1704,$Y$1:$Z$22,2))</f>
        <v>-1</v>
      </c>
      <c r="H1704" s="16" t="str">
        <f aca="false">_xlfn.UNICHAR(((F1704*21)+G1704)*28+44032)</f>
        <v>ꦘ</v>
      </c>
      <c r="I1704" s="16" t="n">
        <f aca="false">IF(B1704=-1, 1, COUNTIF($A$2:$A$3000, H1704))</f>
        <v>1</v>
      </c>
      <c r="J1704" s="10" t="str">
        <f aca="false">_xlfn.CONCAT(A1704, ",",H1704,",",I1704)</f>
        <v>m,ꦘ,1</v>
      </c>
      <c r="K1704" s="16" t="n">
        <f aca="false">IF(B1704=-1,-1,VLOOKUP(C1704,$T$1:$V$20,3))</f>
        <v>-1</v>
      </c>
      <c r="L1704" s="16" t="n">
        <f aca="false">IF(B1704=-1,-1,VLOOKUP(D1704,$Y$1:$AA$22,3))</f>
        <v>-1</v>
      </c>
      <c r="N1704" s="10" t="str">
        <f aca="false">_xlfn.UNICHAR(((C1704*21)+G1704)*28+44032)</f>
        <v>ꦘ</v>
      </c>
      <c r="O1704" s="10" t="str">
        <f aca="false">_xlfn.UNICHAR(((F1704*21)+D1704)*28+44032)</f>
        <v>ꦘ</v>
      </c>
      <c r="P1704" s="12" t="n">
        <f aca="false">COUNTIF($A$2:$A$3000, N1704) + COUNTIF($A$2:$A$3000, O1704)</f>
        <v>0</v>
      </c>
      <c r="Q1704" s="16" t="str">
        <f aca="false">IF(OR(B1704=-1,I1704=0, P1704&lt;&gt;2), "albhed_dummy", _xlfn.CONCAT("albhed ", RIGHT("  " &amp; K1704,2),", ", RIGHT("  " &amp; L1704,2), ", " ,"""",H1704,""", ", """",N1704,""", ","""",O1704,""""," ; ", A1704))</f>
        <v>albhed_dummy</v>
      </c>
    </row>
    <row r="1705" customFormat="false" ht="17.9" hidden="false" customHeight="true" outlineLevel="0" collapsed="false">
      <c r="A1705" s="16" t="s">
        <v>2555</v>
      </c>
      <c r="B1705" s="16" t="n">
        <f aca="false">IF(_xlfn.UNICODE(A1705)&lt;44032,-1,_xlfn.UNICODE(A1705)-44032)</f>
        <v>-1</v>
      </c>
      <c r="C1705" s="16" t="n">
        <f aca="false">IF(B1705=-1,-1,INT((B1705/28)/21))</f>
        <v>-1</v>
      </c>
      <c r="D1705" s="16" t="n">
        <f aca="false">IF(B1705=-1, -1, MOD(INT(B1705/28),21))</f>
        <v>-1</v>
      </c>
      <c r="E1705" s="16" t="n">
        <f aca="false">IF(B1705=-1, -1, VLOOKUP(MOD(B1705,28), $T$24:$U$52,2))</f>
        <v>-1</v>
      </c>
      <c r="F1705" s="16" t="n">
        <f aca="false">IF($B1705=-1, -1, VLOOKUP(C1705,$T$1:$V$20, 2))</f>
        <v>-1</v>
      </c>
      <c r="G1705" s="16" t="n">
        <f aca="false">IF($B1705=-1, -1, VLOOKUP(D1705,$Y$1:$Z$22,2))</f>
        <v>-1</v>
      </c>
      <c r="H1705" s="16" t="str">
        <f aca="false">_xlfn.UNICHAR(((F1705*21)+G1705)*28+44032)</f>
        <v>ꦘ</v>
      </c>
      <c r="I1705" s="16" t="n">
        <f aca="false">IF(B1705=-1, 1, COUNTIF($A$2:$A$3000, H1705))</f>
        <v>1</v>
      </c>
      <c r="J1705" s="10" t="str">
        <f aca="false">_xlfn.CONCAT(A1705, ",",H1705,",",I1705)</f>
        <v>n,ꦘ,1</v>
      </c>
      <c r="K1705" s="16" t="n">
        <f aca="false">IF(B1705=-1,-1,VLOOKUP(C1705,$T$1:$V$20,3))</f>
        <v>-1</v>
      </c>
      <c r="L1705" s="16" t="n">
        <f aca="false">IF(B1705=-1,-1,VLOOKUP(D1705,$Y$1:$AA$22,3))</f>
        <v>-1</v>
      </c>
      <c r="N1705" s="10" t="str">
        <f aca="false">_xlfn.UNICHAR(((C1705*21)+G1705)*28+44032)</f>
        <v>ꦘ</v>
      </c>
      <c r="O1705" s="10" t="str">
        <f aca="false">_xlfn.UNICHAR(((F1705*21)+D1705)*28+44032)</f>
        <v>ꦘ</v>
      </c>
      <c r="P1705" s="12" t="n">
        <f aca="false">COUNTIF($A$2:$A$3000, N1705) + COUNTIF($A$2:$A$3000, O1705)</f>
        <v>0</v>
      </c>
      <c r="Q1705" s="16" t="str">
        <f aca="false">IF(OR(B1705=-1,I1705=0, P1705&lt;&gt;2), "albhed_dummy", _xlfn.CONCAT("albhed ", RIGHT("  " &amp; K1705,2),", ", RIGHT("  " &amp; L1705,2), ", " ,"""",H1705,""", ", """",N1705,""", ","""",O1705,""""," ; ", A1705))</f>
        <v>albhed_dummy</v>
      </c>
    </row>
    <row r="1706" customFormat="false" ht="17.9" hidden="false" customHeight="true" outlineLevel="0" collapsed="false">
      <c r="A1706" s="16" t="s">
        <v>2556</v>
      </c>
      <c r="B1706" s="16" t="n">
        <f aca="false">IF(_xlfn.UNICODE(A1706)&lt;44032,-1,_xlfn.UNICODE(A1706)-44032)</f>
        <v>-1</v>
      </c>
      <c r="C1706" s="16" t="n">
        <f aca="false">IF(B1706=-1,-1,INT((B1706/28)/21))</f>
        <v>-1</v>
      </c>
      <c r="D1706" s="16" t="n">
        <f aca="false">IF(B1706=-1, -1, MOD(INT(B1706/28),21))</f>
        <v>-1</v>
      </c>
      <c r="E1706" s="16" t="n">
        <f aca="false">IF(B1706=-1, -1, VLOOKUP(MOD(B1706,28), $T$24:$U$52,2))</f>
        <v>-1</v>
      </c>
      <c r="F1706" s="16" t="n">
        <f aca="false">IF($B1706=-1, -1, VLOOKUP(C1706,$T$1:$V$20, 2))</f>
        <v>-1</v>
      </c>
      <c r="G1706" s="16" t="n">
        <f aca="false">IF($B1706=-1, -1, VLOOKUP(D1706,$Y$1:$Z$22,2))</f>
        <v>-1</v>
      </c>
      <c r="H1706" s="16" t="str">
        <f aca="false">_xlfn.UNICHAR(((F1706*21)+G1706)*28+44032)</f>
        <v>ꦘ</v>
      </c>
      <c r="I1706" s="16" t="n">
        <f aca="false">IF(B1706=-1, 1, COUNTIF($A$2:$A$3000, H1706))</f>
        <v>1</v>
      </c>
      <c r="J1706" s="10" t="str">
        <f aca="false">_xlfn.CONCAT(A1706, ",",H1706,",",I1706)</f>
        <v>o,ꦘ,1</v>
      </c>
      <c r="K1706" s="16" t="n">
        <f aca="false">IF(B1706=-1,-1,VLOOKUP(C1706,$T$1:$V$20,3))</f>
        <v>-1</v>
      </c>
      <c r="L1706" s="16" t="n">
        <f aca="false">IF(B1706=-1,-1,VLOOKUP(D1706,$Y$1:$AA$22,3))</f>
        <v>-1</v>
      </c>
      <c r="N1706" s="10" t="str">
        <f aca="false">_xlfn.UNICHAR(((C1706*21)+G1706)*28+44032)</f>
        <v>ꦘ</v>
      </c>
      <c r="O1706" s="10" t="str">
        <f aca="false">_xlfn.UNICHAR(((F1706*21)+D1706)*28+44032)</f>
        <v>ꦘ</v>
      </c>
      <c r="P1706" s="12" t="n">
        <f aca="false">COUNTIF($A$2:$A$3000, N1706) + COUNTIF($A$2:$A$3000, O1706)</f>
        <v>0</v>
      </c>
      <c r="Q1706" s="16" t="str">
        <f aca="false">IF(OR(B1706=-1,I1706=0, P1706&lt;&gt;2), "albhed_dummy", _xlfn.CONCAT("albhed ", RIGHT("  " &amp; K1706,2),", ", RIGHT("  " &amp; L1706,2), ", " ,"""",H1706,""", ", """",N1706,""", ","""",O1706,""""," ; ", A1706))</f>
        <v>albhed_dummy</v>
      </c>
    </row>
    <row r="1707" customFormat="false" ht="17.9" hidden="false" customHeight="true" outlineLevel="0" collapsed="false">
      <c r="A1707" s="16" t="s">
        <v>2557</v>
      </c>
      <c r="B1707" s="16" t="n">
        <f aca="false">IF(_xlfn.UNICODE(A1707)&lt;44032,-1,_xlfn.UNICODE(A1707)-44032)</f>
        <v>-1</v>
      </c>
      <c r="C1707" s="16" t="n">
        <f aca="false">IF(B1707=-1,-1,INT((B1707/28)/21))</f>
        <v>-1</v>
      </c>
      <c r="D1707" s="16" t="n">
        <f aca="false">IF(B1707=-1, -1, MOD(INT(B1707/28),21))</f>
        <v>-1</v>
      </c>
      <c r="E1707" s="16" t="n">
        <f aca="false">IF(B1707=-1, -1, VLOOKUP(MOD(B1707,28), $T$24:$U$52,2))</f>
        <v>-1</v>
      </c>
      <c r="F1707" s="16" t="n">
        <f aca="false">IF($B1707=-1, -1, VLOOKUP(C1707,$T$1:$V$20, 2))</f>
        <v>-1</v>
      </c>
      <c r="G1707" s="16" t="n">
        <f aca="false">IF($B1707=-1, -1, VLOOKUP(D1707,$Y$1:$Z$22,2))</f>
        <v>-1</v>
      </c>
      <c r="H1707" s="16" t="str">
        <f aca="false">_xlfn.UNICHAR(((F1707*21)+G1707)*28+44032)</f>
        <v>ꦘ</v>
      </c>
      <c r="I1707" s="16" t="n">
        <f aca="false">IF(B1707=-1, 1, COUNTIF($A$2:$A$3000, H1707))</f>
        <v>1</v>
      </c>
      <c r="J1707" s="10" t="str">
        <f aca="false">_xlfn.CONCAT(A1707, ",",H1707,",",I1707)</f>
        <v>p,ꦘ,1</v>
      </c>
      <c r="K1707" s="16" t="n">
        <f aca="false">IF(B1707=-1,-1,VLOOKUP(C1707,$T$1:$V$20,3))</f>
        <v>-1</v>
      </c>
      <c r="L1707" s="16" t="n">
        <f aca="false">IF(B1707=-1,-1,VLOOKUP(D1707,$Y$1:$AA$22,3))</f>
        <v>-1</v>
      </c>
      <c r="N1707" s="10" t="str">
        <f aca="false">_xlfn.UNICHAR(((C1707*21)+G1707)*28+44032)</f>
        <v>ꦘ</v>
      </c>
      <c r="O1707" s="10" t="str">
        <f aca="false">_xlfn.UNICHAR(((F1707*21)+D1707)*28+44032)</f>
        <v>ꦘ</v>
      </c>
      <c r="P1707" s="12" t="n">
        <f aca="false">COUNTIF($A$2:$A$3000, N1707) + COUNTIF($A$2:$A$3000, O1707)</f>
        <v>0</v>
      </c>
      <c r="Q1707" s="16" t="str">
        <f aca="false">IF(OR(B1707=-1,I1707=0, P1707&lt;&gt;2), "albhed_dummy", _xlfn.CONCAT("albhed ", RIGHT("  " &amp; K1707,2),", ", RIGHT("  " &amp; L1707,2), ", " ,"""",H1707,""", ", """",N1707,""", ","""",O1707,""""," ; ", A1707))</f>
        <v>albhed_dummy</v>
      </c>
    </row>
    <row r="1708" customFormat="false" ht="17.9" hidden="false" customHeight="true" outlineLevel="0" collapsed="false">
      <c r="A1708" s="16" t="s">
        <v>2558</v>
      </c>
      <c r="B1708" s="16" t="n">
        <f aca="false">IF(_xlfn.UNICODE(A1708)&lt;44032,-1,_xlfn.UNICODE(A1708)-44032)</f>
        <v>-1</v>
      </c>
      <c r="C1708" s="16" t="n">
        <f aca="false">IF(B1708=-1,-1,INT((B1708/28)/21))</f>
        <v>-1</v>
      </c>
      <c r="D1708" s="16" t="n">
        <f aca="false">IF(B1708=-1, -1, MOD(INT(B1708/28),21))</f>
        <v>-1</v>
      </c>
      <c r="E1708" s="16" t="n">
        <f aca="false">IF(B1708=-1, -1, VLOOKUP(MOD(B1708,28), $T$24:$U$52,2))</f>
        <v>-1</v>
      </c>
      <c r="F1708" s="16" t="n">
        <f aca="false">IF($B1708=-1, -1, VLOOKUP(C1708,$T$1:$V$20, 2))</f>
        <v>-1</v>
      </c>
      <c r="G1708" s="16" t="n">
        <f aca="false">IF($B1708=-1, -1, VLOOKUP(D1708,$Y$1:$Z$22,2))</f>
        <v>-1</v>
      </c>
      <c r="H1708" s="16" t="str">
        <f aca="false">_xlfn.UNICHAR(((F1708*21)+G1708)*28+44032)</f>
        <v>ꦘ</v>
      </c>
      <c r="I1708" s="16" t="n">
        <f aca="false">IF(B1708=-1, 1, COUNTIF($A$2:$A$3000, H1708))</f>
        <v>1</v>
      </c>
      <c r="J1708" s="10" t="str">
        <f aca="false">_xlfn.CONCAT(A1708, ",",H1708,",",I1708)</f>
        <v>q,ꦘ,1</v>
      </c>
      <c r="K1708" s="16" t="n">
        <f aca="false">IF(B1708=-1,-1,VLOOKUP(C1708,$T$1:$V$20,3))</f>
        <v>-1</v>
      </c>
      <c r="L1708" s="16" t="n">
        <f aca="false">IF(B1708=-1,-1,VLOOKUP(D1708,$Y$1:$AA$22,3))</f>
        <v>-1</v>
      </c>
      <c r="N1708" s="10" t="str">
        <f aca="false">_xlfn.UNICHAR(((C1708*21)+G1708)*28+44032)</f>
        <v>ꦘ</v>
      </c>
      <c r="O1708" s="10" t="str">
        <f aca="false">_xlfn.UNICHAR(((F1708*21)+D1708)*28+44032)</f>
        <v>ꦘ</v>
      </c>
      <c r="P1708" s="12" t="n">
        <f aca="false">COUNTIF($A$2:$A$3000, N1708) + COUNTIF($A$2:$A$3000, O1708)</f>
        <v>0</v>
      </c>
      <c r="Q1708" s="16" t="str">
        <f aca="false">IF(OR(B1708=-1,I1708=0, P1708&lt;&gt;2), "albhed_dummy", _xlfn.CONCAT("albhed ", RIGHT("  " &amp; K1708,2),", ", RIGHT("  " &amp; L1708,2), ", " ,"""",H1708,""", ", """",N1708,""", ","""",O1708,""""," ; ", A1708))</f>
        <v>albhed_dummy</v>
      </c>
    </row>
    <row r="1709" customFormat="false" ht="17.9" hidden="false" customHeight="true" outlineLevel="0" collapsed="false">
      <c r="A1709" s="16" t="s">
        <v>2559</v>
      </c>
      <c r="B1709" s="16" t="n">
        <f aca="false">IF(_xlfn.UNICODE(A1709)&lt;44032,-1,_xlfn.UNICODE(A1709)-44032)</f>
        <v>-1</v>
      </c>
      <c r="C1709" s="16" t="n">
        <f aca="false">IF(B1709=-1,-1,INT((B1709/28)/21))</f>
        <v>-1</v>
      </c>
      <c r="D1709" s="16" t="n">
        <f aca="false">IF(B1709=-1, -1, MOD(INT(B1709/28),21))</f>
        <v>-1</v>
      </c>
      <c r="E1709" s="16" t="n">
        <f aca="false">IF(B1709=-1, -1, VLOOKUP(MOD(B1709,28), $T$24:$U$52,2))</f>
        <v>-1</v>
      </c>
      <c r="F1709" s="16" t="n">
        <f aca="false">IF($B1709=-1, -1, VLOOKUP(C1709,$T$1:$V$20, 2))</f>
        <v>-1</v>
      </c>
      <c r="G1709" s="16" t="n">
        <f aca="false">IF($B1709=-1, -1, VLOOKUP(D1709,$Y$1:$Z$22,2))</f>
        <v>-1</v>
      </c>
      <c r="H1709" s="16" t="str">
        <f aca="false">_xlfn.UNICHAR(((F1709*21)+G1709)*28+44032)</f>
        <v>ꦘ</v>
      </c>
      <c r="I1709" s="16" t="n">
        <f aca="false">IF(B1709=-1, 1, COUNTIF($A$2:$A$3000, H1709))</f>
        <v>1</v>
      </c>
      <c r="J1709" s="10" t="str">
        <f aca="false">_xlfn.CONCAT(A1709, ",",H1709,",",I1709)</f>
        <v>r,ꦘ,1</v>
      </c>
      <c r="K1709" s="16" t="n">
        <f aca="false">IF(B1709=-1,-1,VLOOKUP(C1709,$T$1:$V$20,3))</f>
        <v>-1</v>
      </c>
      <c r="L1709" s="16" t="n">
        <f aca="false">IF(B1709=-1,-1,VLOOKUP(D1709,$Y$1:$AA$22,3))</f>
        <v>-1</v>
      </c>
      <c r="N1709" s="10" t="str">
        <f aca="false">_xlfn.UNICHAR(((C1709*21)+G1709)*28+44032)</f>
        <v>ꦘ</v>
      </c>
      <c r="O1709" s="10" t="str">
        <f aca="false">_xlfn.UNICHAR(((F1709*21)+D1709)*28+44032)</f>
        <v>ꦘ</v>
      </c>
      <c r="P1709" s="12" t="n">
        <f aca="false">COUNTIF($A$2:$A$3000, N1709) + COUNTIF($A$2:$A$3000, O1709)</f>
        <v>0</v>
      </c>
      <c r="Q1709" s="16" t="str">
        <f aca="false">IF(OR(B1709=-1,I1709=0, P1709&lt;&gt;2), "albhed_dummy", _xlfn.CONCAT("albhed ", RIGHT("  " &amp; K1709,2),", ", RIGHT("  " &amp; L1709,2), ", " ,"""",H1709,""", ", """",N1709,""", ","""",O1709,""""," ; ", A1709))</f>
        <v>albhed_dummy</v>
      </c>
    </row>
    <row r="1710" customFormat="false" ht="17.9" hidden="false" customHeight="true" outlineLevel="0" collapsed="false">
      <c r="A1710" s="16" t="s">
        <v>2560</v>
      </c>
      <c r="B1710" s="16" t="n">
        <f aca="false">IF(_xlfn.UNICODE(A1710)&lt;44032,-1,_xlfn.UNICODE(A1710)-44032)</f>
        <v>-1</v>
      </c>
      <c r="C1710" s="16" t="n">
        <f aca="false">IF(B1710=-1,-1,INT((B1710/28)/21))</f>
        <v>-1</v>
      </c>
      <c r="D1710" s="16" t="n">
        <f aca="false">IF(B1710=-1, -1, MOD(INT(B1710/28),21))</f>
        <v>-1</v>
      </c>
      <c r="E1710" s="16" t="n">
        <f aca="false">IF(B1710=-1, -1, VLOOKUP(MOD(B1710,28), $T$24:$U$52,2))</f>
        <v>-1</v>
      </c>
      <c r="F1710" s="16" t="n">
        <f aca="false">IF($B1710=-1, -1, VLOOKUP(C1710,$T$1:$V$20, 2))</f>
        <v>-1</v>
      </c>
      <c r="G1710" s="16" t="n">
        <f aca="false">IF($B1710=-1, -1, VLOOKUP(D1710,$Y$1:$Z$22,2))</f>
        <v>-1</v>
      </c>
      <c r="H1710" s="16" t="str">
        <f aca="false">_xlfn.UNICHAR(((F1710*21)+G1710)*28+44032)</f>
        <v>ꦘ</v>
      </c>
      <c r="I1710" s="16" t="n">
        <f aca="false">IF(B1710=-1, 1, COUNTIF($A$2:$A$3000, H1710))</f>
        <v>1</v>
      </c>
      <c r="J1710" s="10" t="str">
        <f aca="false">_xlfn.CONCAT(A1710, ",",H1710,",",I1710)</f>
        <v>s,ꦘ,1</v>
      </c>
      <c r="K1710" s="16" t="n">
        <f aca="false">IF(B1710=-1,-1,VLOOKUP(C1710,$T$1:$V$20,3))</f>
        <v>-1</v>
      </c>
      <c r="L1710" s="16" t="n">
        <f aca="false">IF(B1710=-1,-1,VLOOKUP(D1710,$Y$1:$AA$22,3))</f>
        <v>-1</v>
      </c>
      <c r="N1710" s="10" t="str">
        <f aca="false">_xlfn.UNICHAR(((C1710*21)+G1710)*28+44032)</f>
        <v>ꦘ</v>
      </c>
      <c r="O1710" s="10" t="str">
        <f aca="false">_xlfn.UNICHAR(((F1710*21)+D1710)*28+44032)</f>
        <v>ꦘ</v>
      </c>
      <c r="P1710" s="12" t="n">
        <f aca="false">COUNTIF($A$2:$A$3000, N1710) + COUNTIF($A$2:$A$3000, O1710)</f>
        <v>0</v>
      </c>
      <c r="Q1710" s="16" t="str">
        <f aca="false">IF(OR(B1710=-1,I1710=0, P1710&lt;&gt;2), "albhed_dummy", _xlfn.CONCAT("albhed ", RIGHT("  " &amp; K1710,2),", ", RIGHT("  " &amp; L1710,2), ", " ,"""",H1710,""", ", """",N1710,""", ","""",O1710,""""," ; ", A1710))</f>
        <v>albhed_dummy</v>
      </c>
    </row>
    <row r="1711" customFormat="false" ht="17.9" hidden="false" customHeight="true" outlineLevel="0" collapsed="false">
      <c r="A1711" s="16" t="s">
        <v>2561</v>
      </c>
      <c r="B1711" s="16" t="n">
        <f aca="false">IF(_xlfn.UNICODE(A1711)&lt;44032,-1,_xlfn.UNICODE(A1711)-44032)</f>
        <v>-1</v>
      </c>
      <c r="C1711" s="16" t="n">
        <f aca="false">IF(B1711=-1,-1,INT((B1711/28)/21))</f>
        <v>-1</v>
      </c>
      <c r="D1711" s="16" t="n">
        <f aca="false">IF(B1711=-1, -1, MOD(INT(B1711/28),21))</f>
        <v>-1</v>
      </c>
      <c r="E1711" s="16" t="n">
        <f aca="false">IF(B1711=-1, -1, VLOOKUP(MOD(B1711,28), $T$24:$U$52,2))</f>
        <v>-1</v>
      </c>
      <c r="F1711" s="16" t="n">
        <f aca="false">IF($B1711=-1, -1, VLOOKUP(C1711,$T$1:$V$20, 2))</f>
        <v>-1</v>
      </c>
      <c r="G1711" s="16" t="n">
        <f aca="false">IF($B1711=-1, -1, VLOOKUP(D1711,$Y$1:$Z$22,2))</f>
        <v>-1</v>
      </c>
      <c r="H1711" s="16" t="str">
        <f aca="false">_xlfn.UNICHAR(((F1711*21)+G1711)*28+44032)</f>
        <v>ꦘ</v>
      </c>
      <c r="I1711" s="16" t="n">
        <f aca="false">IF(B1711=-1, 1, COUNTIF($A$2:$A$3000, H1711))</f>
        <v>1</v>
      </c>
      <c r="J1711" s="10" t="str">
        <f aca="false">_xlfn.CONCAT(A1711, ",",H1711,",",I1711)</f>
        <v>t,ꦘ,1</v>
      </c>
      <c r="K1711" s="16" t="n">
        <f aca="false">IF(B1711=-1,-1,VLOOKUP(C1711,$T$1:$V$20,3))</f>
        <v>-1</v>
      </c>
      <c r="L1711" s="16" t="n">
        <f aca="false">IF(B1711=-1,-1,VLOOKUP(D1711,$Y$1:$AA$22,3))</f>
        <v>-1</v>
      </c>
      <c r="N1711" s="10" t="str">
        <f aca="false">_xlfn.UNICHAR(((C1711*21)+G1711)*28+44032)</f>
        <v>ꦘ</v>
      </c>
      <c r="O1711" s="10" t="str">
        <f aca="false">_xlfn.UNICHAR(((F1711*21)+D1711)*28+44032)</f>
        <v>ꦘ</v>
      </c>
      <c r="P1711" s="12" t="n">
        <f aca="false">COUNTIF($A$2:$A$3000, N1711) + COUNTIF($A$2:$A$3000, O1711)</f>
        <v>0</v>
      </c>
      <c r="Q1711" s="16" t="str">
        <f aca="false">IF(OR(B1711=-1,I1711=0, P1711&lt;&gt;2), "albhed_dummy", _xlfn.CONCAT("albhed ", RIGHT("  " &amp; K1711,2),", ", RIGHT("  " &amp; L1711,2), ", " ,"""",H1711,""", ", """",N1711,""", ","""",O1711,""""," ; ", A1711))</f>
        <v>albhed_dummy</v>
      </c>
    </row>
    <row r="1712" customFormat="false" ht="17.9" hidden="false" customHeight="true" outlineLevel="0" collapsed="false">
      <c r="A1712" s="16" t="s">
        <v>2562</v>
      </c>
      <c r="B1712" s="16" t="n">
        <f aca="false">IF(_xlfn.UNICODE(A1712)&lt;44032,-1,_xlfn.UNICODE(A1712)-44032)</f>
        <v>-1</v>
      </c>
      <c r="C1712" s="16" t="n">
        <f aca="false">IF(B1712=-1,-1,INT((B1712/28)/21))</f>
        <v>-1</v>
      </c>
      <c r="D1712" s="16" t="n">
        <f aca="false">IF(B1712=-1, -1, MOD(INT(B1712/28),21))</f>
        <v>-1</v>
      </c>
      <c r="E1712" s="16" t="n">
        <f aca="false">IF(B1712=-1, -1, VLOOKUP(MOD(B1712,28), $T$24:$U$52,2))</f>
        <v>-1</v>
      </c>
      <c r="F1712" s="16" t="n">
        <f aca="false">IF($B1712=-1, -1, VLOOKUP(C1712,$T$1:$V$20, 2))</f>
        <v>-1</v>
      </c>
      <c r="G1712" s="16" t="n">
        <f aca="false">IF($B1712=-1, -1, VLOOKUP(D1712,$Y$1:$Z$22,2))</f>
        <v>-1</v>
      </c>
      <c r="H1712" s="16" t="str">
        <f aca="false">_xlfn.UNICHAR(((F1712*21)+G1712)*28+44032)</f>
        <v>ꦘ</v>
      </c>
      <c r="I1712" s="16" t="n">
        <f aca="false">IF(B1712=-1, 1, COUNTIF($A$2:$A$3000, H1712))</f>
        <v>1</v>
      </c>
      <c r="J1712" s="10" t="str">
        <f aca="false">_xlfn.CONCAT(A1712, ",",H1712,",",I1712)</f>
        <v>u,ꦘ,1</v>
      </c>
      <c r="K1712" s="16" t="n">
        <f aca="false">IF(B1712=-1,-1,VLOOKUP(C1712,$T$1:$V$20,3))</f>
        <v>-1</v>
      </c>
      <c r="L1712" s="16" t="n">
        <f aca="false">IF(B1712=-1,-1,VLOOKUP(D1712,$Y$1:$AA$22,3))</f>
        <v>-1</v>
      </c>
      <c r="N1712" s="10" t="str">
        <f aca="false">_xlfn.UNICHAR(((C1712*21)+G1712)*28+44032)</f>
        <v>ꦘ</v>
      </c>
      <c r="O1712" s="10" t="str">
        <f aca="false">_xlfn.UNICHAR(((F1712*21)+D1712)*28+44032)</f>
        <v>ꦘ</v>
      </c>
      <c r="P1712" s="12" t="n">
        <f aca="false">COUNTIF($A$2:$A$3000, N1712) + COUNTIF($A$2:$A$3000, O1712)</f>
        <v>0</v>
      </c>
      <c r="Q1712" s="16" t="str">
        <f aca="false">IF(OR(B1712=-1,I1712=0, P1712&lt;&gt;2), "albhed_dummy", _xlfn.CONCAT("albhed ", RIGHT("  " &amp; K1712,2),", ", RIGHT("  " &amp; L1712,2), ", " ,"""",H1712,""", ", """",N1712,""", ","""",O1712,""""," ; ", A1712))</f>
        <v>albhed_dummy</v>
      </c>
    </row>
    <row r="1713" customFormat="false" ht="17.9" hidden="false" customHeight="true" outlineLevel="0" collapsed="false">
      <c r="A1713" s="16" t="s">
        <v>2563</v>
      </c>
      <c r="B1713" s="16" t="n">
        <f aca="false">IF(_xlfn.UNICODE(A1713)&lt;44032,-1,_xlfn.UNICODE(A1713)-44032)</f>
        <v>-1</v>
      </c>
      <c r="C1713" s="16" t="n">
        <f aca="false">IF(B1713=-1,-1,INT((B1713/28)/21))</f>
        <v>-1</v>
      </c>
      <c r="D1713" s="16" t="n">
        <f aca="false">IF(B1713=-1, -1, MOD(INT(B1713/28),21))</f>
        <v>-1</v>
      </c>
      <c r="E1713" s="16" t="n">
        <f aca="false">IF(B1713=-1, -1, VLOOKUP(MOD(B1713,28), $T$24:$U$52,2))</f>
        <v>-1</v>
      </c>
      <c r="F1713" s="16" t="n">
        <f aca="false">IF($B1713=-1, -1, VLOOKUP(C1713,$T$1:$V$20, 2))</f>
        <v>-1</v>
      </c>
      <c r="G1713" s="16" t="n">
        <f aca="false">IF($B1713=-1, -1, VLOOKUP(D1713,$Y$1:$Z$22,2))</f>
        <v>-1</v>
      </c>
      <c r="H1713" s="16" t="str">
        <f aca="false">_xlfn.UNICHAR(((F1713*21)+G1713)*28+44032)</f>
        <v>ꦘ</v>
      </c>
      <c r="I1713" s="16" t="n">
        <f aca="false">IF(B1713=-1, 1, COUNTIF($A$2:$A$3000, H1713))</f>
        <v>1</v>
      </c>
      <c r="J1713" s="10" t="str">
        <f aca="false">_xlfn.CONCAT(A1713, ",",H1713,",",I1713)</f>
        <v>v,ꦘ,1</v>
      </c>
      <c r="K1713" s="16" t="n">
        <f aca="false">IF(B1713=-1,-1,VLOOKUP(C1713,$T$1:$V$20,3))</f>
        <v>-1</v>
      </c>
      <c r="L1713" s="16" t="n">
        <f aca="false">IF(B1713=-1,-1,VLOOKUP(D1713,$Y$1:$AA$22,3))</f>
        <v>-1</v>
      </c>
      <c r="N1713" s="10" t="str">
        <f aca="false">_xlfn.UNICHAR(((C1713*21)+G1713)*28+44032)</f>
        <v>ꦘ</v>
      </c>
      <c r="O1713" s="10" t="str">
        <f aca="false">_xlfn.UNICHAR(((F1713*21)+D1713)*28+44032)</f>
        <v>ꦘ</v>
      </c>
      <c r="P1713" s="12" t="n">
        <f aca="false">COUNTIF($A$2:$A$3000, N1713) + COUNTIF($A$2:$A$3000, O1713)</f>
        <v>0</v>
      </c>
      <c r="Q1713" s="16" t="str">
        <f aca="false">IF(OR(B1713=-1,I1713=0, P1713&lt;&gt;2), "albhed_dummy", _xlfn.CONCAT("albhed ", RIGHT("  " &amp; K1713,2),", ", RIGHT("  " &amp; L1713,2), ", " ,"""",H1713,""", ", """",N1713,""", ","""",O1713,""""," ; ", A1713))</f>
        <v>albhed_dummy</v>
      </c>
    </row>
    <row r="1714" customFormat="false" ht="17.9" hidden="false" customHeight="true" outlineLevel="0" collapsed="false">
      <c r="A1714" s="16" t="s">
        <v>2564</v>
      </c>
      <c r="B1714" s="16" t="n">
        <f aca="false">IF(_xlfn.UNICODE(A1714)&lt;44032,-1,_xlfn.UNICODE(A1714)-44032)</f>
        <v>-1</v>
      </c>
      <c r="C1714" s="16" t="n">
        <f aca="false">IF(B1714=-1,-1,INT((B1714/28)/21))</f>
        <v>-1</v>
      </c>
      <c r="D1714" s="16" t="n">
        <f aca="false">IF(B1714=-1, -1, MOD(INT(B1714/28),21))</f>
        <v>-1</v>
      </c>
      <c r="E1714" s="16" t="n">
        <f aca="false">IF(B1714=-1, -1, VLOOKUP(MOD(B1714,28), $T$24:$U$52,2))</f>
        <v>-1</v>
      </c>
      <c r="F1714" s="16" t="n">
        <f aca="false">IF($B1714=-1, -1, VLOOKUP(C1714,$T$1:$V$20, 2))</f>
        <v>-1</v>
      </c>
      <c r="G1714" s="16" t="n">
        <f aca="false">IF($B1714=-1, -1, VLOOKUP(D1714,$Y$1:$Z$22,2))</f>
        <v>-1</v>
      </c>
      <c r="H1714" s="16" t="str">
        <f aca="false">_xlfn.UNICHAR(((F1714*21)+G1714)*28+44032)</f>
        <v>ꦘ</v>
      </c>
      <c r="I1714" s="16" t="n">
        <f aca="false">IF(B1714=-1, 1, COUNTIF($A$2:$A$3000, H1714))</f>
        <v>1</v>
      </c>
      <c r="J1714" s="10" t="str">
        <f aca="false">_xlfn.CONCAT(A1714, ",",H1714,",",I1714)</f>
        <v>w,ꦘ,1</v>
      </c>
      <c r="K1714" s="16" t="n">
        <f aca="false">IF(B1714=-1,-1,VLOOKUP(C1714,$T$1:$V$20,3))</f>
        <v>-1</v>
      </c>
      <c r="L1714" s="16" t="n">
        <f aca="false">IF(B1714=-1,-1,VLOOKUP(D1714,$Y$1:$AA$22,3))</f>
        <v>-1</v>
      </c>
      <c r="N1714" s="10" t="str">
        <f aca="false">_xlfn.UNICHAR(((C1714*21)+G1714)*28+44032)</f>
        <v>ꦘ</v>
      </c>
      <c r="O1714" s="10" t="str">
        <f aca="false">_xlfn.UNICHAR(((F1714*21)+D1714)*28+44032)</f>
        <v>ꦘ</v>
      </c>
      <c r="P1714" s="12" t="n">
        <f aca="false">COUNTIF($A$2:$A$3000, N1714) + COUNTIF($A$2:$A$3000, O1714)</f>
        <v>0</v>
      </c>
      <c r="Q1714" s="16" t="str">
        <f aca="false">IF(OR(B1714=-1,I1714=0, P1714&lt;&gt;2), "albhed_dummy", _xlfn.CONCAT("albhed ", RIGHT("  " &amp; K1714,2),", ", RIGHT("  " &amp; L1714,2), ", " ,"""",H1714,""", ", """",N1714,""", ","""",O1714,""""," ; ", A1714))</f>
        <v>albhed_dummy</v>
      </c>
    </row>
    <row r="1715" customFormat="false" ht="17.9" hidden="false" customHeight="true" outlineLevel="0" collapsed="false">
      <c r="A1715" s="16" t="s">
        <v>2565</v>
      </c>
      <c r="B1715" s="16" t="n">
        <f aca="false">IF(_xlfn.UNICODE(A1715)&lt;44032,-1,_xlfn.UNICODE(A1715)-44032)</f>
        <v>-1</v>
      </c>
      <c r="C1715" s="16" t="n">
        <f aca="false">IF(B1715=-1,-1,INT((B1715/28)/21))</f>
        <v>-1</v>
      </c>
      <c r="D1715" s="16" t="n">
        <f aca="false">IF(B1715=-1, -1, MOD(INT(B1715/28),21))</f>
        <v>-1</v>
      </c>
      <c r="E1715" s="16" t="n">
        <f aca="false">IF(B1715=-1, -1, VLOOKUP(MOD(B1715,28), $T$24:$U$52,2))</f>
        <v>-1</v>
      </c>
      <c r="F1715" s="16" t="n">
        <f aca="false">IF($B1715=-1, -1, VLOOKUP(C1715,$T$1:$V$20, 2))</f>
        <v>-1</v>
      </c>
      <c r="G1715" s="16" t="n">
        <f aca="false">IF($B1715=-1, -1, VLOOKUP(D1715,$Y$1:$Z$22,2))</f>
        <v>-1</v>
      </c>
      <c r="H1715" s="16" t="str">
        <f aca="false">_xlfn.UNICHAR(((F1715*21)+G1715)*28+44032)</f>
        <v>ꦘ</v>
      </c>
      <c r="I1715" s="16" t="n">
        <f aca="false">IF(B1715=-1, 1, COUNTIF($A$2:$A$3000, H1715))</f>
        <v>1</v>
      </c>
      <c r="J1715" s="10" t="str">
        <f aca="false">_xlfn.CONCAT(A1715, ",",H1715,",",I1715)</f>
        <v>x,ꦘ,1</v>
      </c>
      <c r="K1715" s="16" t="n">
        <f aca="false">IF(B1715=-1,-1,VLOOKUP(C1715,$T$1:$V$20,3))</f>
        <v>-1</v>
      </c>
      <c r="L1715" s="16" t="n">
        <f aca="false">IF(B1715=-1,-1,VLOOKUP(D1715,$Y$1:$AA$22,3))</f>
        <v>-1</v>
      </c>
      <c r="N1715" s="10" t="str">
        <f aca="false">_xlfn.UNICHAR(((C1715*21)+G1715)*28+44032)</f>
        <v>ꦘ</v>
      </c>
      <c r="O1715" s="10" t="str">
        <f aca="false">_xlfn.UNICHAR(((F1715*21)+D1715)*28+44032)</f>
        <v>ꦘ</v>
      </c>
      <c r="P1715" s="12" t="n">
        <f aca="false">COUNTIF($A$2:$A$3000, N1715) + COUNTIF($A$2:$A$3000, O1715)</f>
        <v>0</v>
      </c>
      <c r="Q1715" s="16" t="str">
        <f aca="false">IF(OR(B1715=-1,I1715=0, P1715&lt;&gt;2), "albhed_dummy", _xlfn.CONCAT("albhed ", RIGHT("  " &amp; K1715,2),", ", RIGHT("  " &amp; L1715,2), ", " ,"""",H1715,""", ", """",N1715,""", ","""",O1715,""""," ; ", A1715))</f>
        <v>albhed_dummy</v>
      </c>
    </row>
    <row r="1716" customFormat="false" ht="17.9" hidden="false" customHeight="true" outlineLevel="0" collapsed="false">
      <c r="A1716" s="16" t="s">
        <v>2566</v>
      </c>
      <c r="B1716" s="16" t="n">
        <f aca="false">IF(_xlfn.UNICODE(A1716)&lt;44032,-1,_xlfn.UNICODE(A1716)-44032)</f>
        <v>-1</v>
      </c>
      <c r="C1716" s="16" t="n">
        <f aca="false">IF(B1716=-1,-1,INT((B1716/28)/21))</f>
        <v>-1</v>
      </c>
      <c r="D1716" s="16" t="n">
        <f aca="false">IF(B1716=-1, -1, MOD(INT(B1716/28),21))</f>
        <v>-1</v>
      </c>
      <c r="E1716" s="16" t="n">
        <f aca="false">IF(B1716=-1, -1, VLOOKUP(MOD(B1716,28), $T$24:$U$52,2))</f>
        <v>-1</v>
      </c>
      <c r="F1716" s="16" t="n">
        <f aca="false">IF($B1716=-1, -1, VLOOKUP(C1716,$T$1:$V$20, 2))</f>
        <v>-1</v>
      </c>
      <c r="G1716" s="16" t="n">
        <f aca="false">IF($B1716=-1, -1, VLOOKUP(D1716,$Y$1:$Z$22,2))</f>
        <v>-1</v>
      </c>
      <c r="H1716" s="16" t="str">
        <f aca="false">_xlfn.UNICHAR(((F1716*21)+G1716)*28+44032)</f>
        <v>ꦘ</v>
      </c>
      <c r="I1716" s="16" t="n">
        <f aca="false">IF(B1716=-1, 1, COUNTIF($A$2:$A$3000, H1716))</f>
        <v>1</v>
      </c>
      <c r="J1716" s="10" t="str">
        <f aca="false">_xlfn.CONCAT(A1716, ",",H1716,",",I1716)</f>
        <v>y,ꦘ,1</v>
      </c>
      <c r="K1716" s="16" t="n">
        <f aca="false">IF(B1716=-1,-1,VLOOKUP(C1716,$T$1:$V$20,3))</f>
        <v>-1</v>
      </c>
      <c r="L1716" s="16" t="n">
        <f aca="false">IF(B1716=-1,-1,VLOOKUP(D1716,$Y$1:$AA$22,3))</f>
        <v>-1</v>
      </c>
      <c r="N1716" s="10" t="str">
        <f aca="false">_xlfn.UNICHAR(((C1716*21)+G1716)*28+44032)</f>
        <v>ꦘ</v>
      </c>
      <c r="O1716" s="10" t="str">
        <f aca="false">_xlfn.UNICHAR(((F1716*21)+D1716)*28+44032)</f>
        <v>ꦘ</v>
      </c>
      <c r="P1716" s="12" t="n">
        <f aca="false">COUNTIF($A$2:$A$3000, N1716) + COUNTIF($A$2:$A$3000, O1716)</f>
        <v>0</v>
      </c>
      <c r="Q1716" s="16" t="str">
        <f aca="false">IF(OR(B1716=-1,I1716=0, P1716&lt;&gt;2), "albhed_dummy", _xlfn.CONCAT("albhed ", RIGHT("  " &amp; K1716,2),", ", RIGHT("  " &amp; L1716,2), ", " ,"""",H1716,""", ", """",N1716,""", ","""",O1716,""""," ; ", A1716))</f>
        <v>albhed_dummy</v>
      </c>
    </row>
    <row r="1717" customFormat="false" ht="17.9" hidden="false" customHeight="true" outlineLevel="0" collapsed="false">
      <c r="A1717" s="16" t="s">
        <v>2567</v>
      </c>
      <c r="B1717" s="16" t="n">
        <f aca="false">IF(_xlfn.UNICODE(A1717)&lt;44032,-1,_xlfn.UNICODE(A1717)-44032)</f>
        <v>-1</v>
      </c>
      <c r="C1717" s="16" t="n">
        <f aca="false">IF(B1717=-1,-1,INT((B1717/28)/21))</f>
        <v>-1</v>
      </c>
      <c r="D1717" s="16" t="n">
        <f aca="false">IF(B1717=-1, -1, MOD(INT(B1717/28),21))</f>
        <v>-1</v>
      </c>
      <c r="E1717" s="16" t="n">
        <f aca="false">IF(B1717=-1, -1, VLOOKUP(MOD(B1717,28), $T$24:$U$52,2))</f>
        <v>-1</v>
      </c>
      <c r="F1717" s="16" t="n">
        <f aca="false">IF($B1717=-1, -1, VLOOKUP(C1717,$T$1:$V$20, 2))</f>
        <v>-1</v>
      </c>
      <c r="G1717" s="16" t="n">
        <f aca="false">IF($B1717=-1, -1, VLOOKUP(D1717,$Y$1:$Z$22,2))</f>
        <v>-1</v>
      </c>
      <c r="H1717" s="16" t="str">
        <f aca="false">_xlfn.UNICHAR(((F1717*21)+G1717)*28+44032)</f>
        <v>ꦘ</v>
      </c>
      <c r="I1717" s="16" t="n">
        <f aca="false">IF(B1717=-1, 1, COUNTIF($A$2:$A$3000, H1717))</f>
        <v>1</v>
      </c>
      <c r="J1717" s="10" t="str">
        <f aca="false">_xlfn.CONCAT(A1717, ",",H1717,",",I1717)</f>
        <v>z,ꦘ,1</v>
      </c>
      <c r="K1717" s="16" t="n">
        <f aca="false">IF(B1717=-1,-1,VLOOKUP(C1717,$T$1:$V$20,3))</f>
        <v>-1</v>
      </c>
      <c r="L1717" s="16" t="n">
        <f aca="false">IF(B1717=-1,-1,VLOOKUP(D1717,$Y$1:$AA$22,3))</f>
        <v>-1</v>
      </c>
      <c r="N1717" s="10" t="str">
        <f aca="false">_xlfn.UNICHAR(((C1717*21)+G1717)*28+44032)</f>
        <v>ꦘ</v>
      </c>
      <c r="O1717" s="10" t="str">
        <f aca="false">_xlfn.UNICHAR(((F1717*21)+D1717)*28+44032)</f>
        <v>ꦘ</v>
      </c>
      <c r="P1717" s="12" t="n">
        <f aca="false">COUNTIF($A$2:$A$3000, N1717) + COUNTIF($A$2:$A$3000, O1717)</f>
        <v>0</v>
      </c>
      <c r="Q1717" s="16" t="str">
        <f aca="false">IF(OR(B1717=-1,I1717=0, P1717&lt;&gt;2), "albhed_dummy", _xlfn.CONCAT("albhed ", RIGHT("  " &amp; K1717,2),", ", RIGHT("  " &amp; L1717,2), ", " ,"""",H1717,""", ", """",N1717,""", ","""",O1717,""""," ; ", A1717))</f>
        <v>albhed_dummy</v>
      </c>
    </row>
    <row r="1718" customFormat="false" ht="17.9" hidden="false" customHeight="true" outlineLevel="0" collapsed="false">
      <c r="A1718" s="16" t="s">
        <v>2568</v>
      </c>
      <c r="B1718" s="16" t="n">
        <f aca="false">IF(_xlfn.UNICODE(A1718)&lt;44032,-1,_xlfn.UNICODE(A1718)-44032)</f>
        <v>7504</v>
      </c>
      <c r="C1718" s="16" t="n">
        <f aca="false">IF(B1718=-1,-1,INT((B1718/28)/21))</f>
        <v>12</v>
      </c>
      <c r="D1718" s="16" t="n">
        <f aca="false">IF(B1718=-1, -1, MOD(INT(B1718/28),21))</f>
        <v>16</v>
      </c>
      <c r="E1718" s="16" t="n">
        <f aca="false">IF(B1718=-1, -1, VLOOKUP(MOD(B1718,28), $T$24:$U$52,2))</f>
        <v>0</v>
      </c>
      <c r="F1718" s="16" t="n">
        <f aca="false">IF($B1718=-1, -1, VLOOKUP(C1718,$T$1:$V$20, 2))</f>
        <v>3</v>
      </c>
      <c r="G1718" s="16" t="n">
        <f aca="false">IF($B1718=-1, -1, VLOOKUP(D1718,$Y$1:$Z$22,2))</f>
        <v>20</v>
      </c>
      <c r="H1718" s="16" t="str">
        <f aca="false">_xlfn.UNICHAR(((F1718*21)+G1718)*28+44032)</f>
        <v>디</v>
      </c>
      <c r="I1718" s="16" t="n">
        <f aca="false">IF(B1718=-1, 1, COUNTIF($A$2:$A$3000, H1718))</f>
        <v>1</v>
      </c>
      <c r="J1718" s="10" t="str">
        <f aca="false">_xlfn.CONCAT(A1718, ",",H1718,",",I1718)</f>
        <v>쥐,디,1</v>
      </c>
      <c r="K1718" s="16" t="n">
        <f aca="false">IF(B1718=-1,-1,VLOOKUP(C1718,$T$1:$V$20,3))</f>
        <v>17</v>
      </c>
      <c r="L1718" s="16" t="n">
        <f aca="false">IF(B1718=-1,-1,VLOOKUP(D1718,$Y$1:$AA$22,3))</f>
        <v>22</v>
      </c>
      <c r="N1718" s="10" t="str">
        <f aca="false">_xlfn.UNICHAR(((C1718*21)+G1718)*28+44032)</f>
        <v>지</v>
      </c>
      <c r="O1718" s="10" t="str">
        <f aca="false">_xlfn.UNICHAR(((F1718*21)+D1718)*28+44032)</f>
        <v>뒤</v>
      </c>
      <c r="P1718" s="12" t="n">
        <f aca="false">COUNTIF($A$2:$A$3000, N1718) + COUNTIF($A$2:$A$3000, O1718)</f>
        <v>2</v>
      </c>
      <c r="Q1718" s="16" t="str">
        <f aca="false">IF(OR(B1718=-1,I1718=0, P1718&lt;&gt;2), "albhed_dummy", _xlfn.CONCAT("albhed ", RIGHT("  " &amp; K1718,2),", ", RIGHT("  " &amp; L1718,2), ", " ,"""",H1718,""", ", """",N1718,""", ","""",O1718,""""," ; ", A1718))</f>
        <v>albhed 17, 22, "디", "지", "뒤" ; 쥐</v>
      </c>
    </row>
    <row r="1719" customFormat="false" ht="17.9" hidden="false" customHeight="true" outlineLevel="0" collapsed="false">
      <c r="A1719" s="16" t="s">
        <v>2569</v>
      </c>
      <c r="B1719" s="16" t="n">
        <f aca="false">IF(_xlfn.UNICODE(A1719)&lt;44032,-1,_xlfn.UNICODE(A1719)-44032)</f>
        <v>7505</v>
      </c>
      <c r="C1719" s="16" t="n">
        <f aca="false">IF(B1719=-1,-1,INT((B1719/28)/21))</f>
        <v>12</v>
      </c>
      <c r="D1719" s="16" t="n">
        <f aca="false">IF(B1719=-1, -1, MOD(INT(B1719/28),21))</f>
        <v>16</v>
      </c>
      <c r="E1719" s="16" t="n">
        <f aca="false">IF(B1719=-1, -1, VLOOKUP(MOD(B1719,28), $T$24:$U$52,2))</f>
        <v>1</v>
      </c>
      <c r="F1719" s="16" t="n">
        <f aca="false">IF($B1719=-1, -1, VLOOKUP(C1719,$T$1:$V$20, 2))</f>
        <v>3</v>
      </c>
      <c r="G1719" s="16" t="n">
        <f aca="false">IF($B1719=-1, -1, VLOOKUP(D1719,$Y$1:$Z$22,2))</f>
        <v>20</v>
      </c>
      <c r="H1719" s="16" t="str">
        <f aca="false">_xlfn.UNICHAR(((F1719*21)+G1719)*28+44032)</f>
        <v>디</v>
      </c>
      <c r="I1719" s="16" t="n">
        <f aca="false">IF(B1719=-1, 1, COUNTIF($A$2:$A$3000, H1719))</f>
        <v>1</v>
      </c>
      <c r="J1719" s="10" t="str">
        <f aca="false">_xlfn.CONCAT(A1719, ",",H1719,",",I1719)</f>
        <v>쥑,디,1</v>
      </c>
      <c r="K1719" s="16" t="n">
        <f aca="false">IF(B1719=-1,-1,VLOOKUP(C1719,$T$1:$V$20,3))</f>
        <v>17</v>
      </c>
      <c r="L1719" s="16" t="n">
        <f aca="false">IF(B1719=-1,-1,VLOOKUP(D1719,$Y$1:$AA$22,3))</f>
        <v>22</v>
      </c>
      <c r="N1719" s="10" t="str">
        <f aca="false">_xlfn.UNICHAR(((C1719*21)+G1719)*28+44032)</f>
        <v>지</v>
      </c>
      <c r="O1719" s="10" t="str">
        <f aca="false">_xlfn.UNICHAR(((F1719*21)+D1719)*28+44032)</f>
        <v>뒤</v>
      </c>
      <c r="P1719" s="12" t="n">
        <f aca="false">COUNTIF($A$2:$A$3000, N1719) + COUNTIF($A$2:$A$3000, O1719)</f>
        <v>2</v>
      </c>
      <c r="Q1719" s="16" t="str">
        <f aca="false">IF(OR(B1719=-1,I1719=0, P1719&lt;&gt;2), "albhed_dummy", _xlfn.CONCAT("albhed ", RIGHT("  " &amp; K1719,2),", ", RIGHT("  " &amp; L1719,2), ", " ,"""",H1719,""", ", """",N1719,""", ","""",O1719,""""," ; ", A1719))</f>
        <v>albhed 17, 22, "디", "지", "뒤" ; 쥑</v>
      </c>
    </row>
    <row r="1720" customFormat="false" ht="17.9" hidden="false" customHeight="true" outlineLevel="0" collapsed="false">
      <c r="A1720" s="16" t="s">
        <v>2570</v>
      </c>
      <c r="B1720" s="16" t="n">
        <f aca="false">IF(_xlfn.UNICODE(A1720)&lt;44032,-1,_xlfn.UNICODE(A1720)-44032)</f>
        <v>7508</v>
      </c>
      <c r="C1720" s="16" t="n">
        <f aca="false">IF(B1720=-1,-1,INT((B1720/28)/21))</f>
        <v>12</v>
      </c>
      <c r="D1720" s="16" t="n">
        <f aca="false">IF(B1720=-1, -1, MOD(INT(B1720/28),21))</f>
        <v>16</v>
      </c>
      <c r="E1720" s="16" t="n">
        <f aca="false">IF(B1720=-1, -1, VLOOKUP(MOD(B1720,28), $T$24:$U$52,2))</f>
        <v>4</v>
      </c>
      <c r="F1720" s="16" t="n">
        <f aca="false">IF($B1720=-1, -1, VLOOKUP(C1720,$T$1:$V$20, 2))</f>
        <v>3</v>
      </c>
      <c r="G1720" s="16" t="n">
        <f aca="false">IF($B1720=-1, -1, VLOOKUP(D1720,$Y$1:$Z$22,2))</f>
        <v>20</v>
      </c>
      <c r="H1720" s="16" t="str">
        <f aca="false">_xlfn.UNICHAR(((F1720*21)+G1720)*28+44032)</f>
        <v>디</v>
      </c>
      <c r="I1720" s="16" t="n">
        <f aca="false">IF(B1720=-1, 1, COUNTIF($A$2:$A$3000, H1720))</f>
        <v>1</v>
      </c>
      <c r="J1720" s="10" t="str">
        <f aca="false">_xlfn.CONCAT(A1720, ",",H1720,",",I1720)</f>
        <v>쥔,디,1</v>
      </c>
      <c r="K1720" s="16" t="n">
        <f aca="false">IF(B1720=-1,-1,VLOOKUP(C1720,$T$1:$V$20,3))</f>
        <v>17</v>
      </c>
      <c r="L1720" s="16" t="n">
        <f aca="false">IF(B1720=-1,-1,VLOOKUP(D1720,$Y$1:$AA$22,3))</f>
        <v>22</v>
      </c>
      <c r="N1720" s="10" t="str">
        <f aca="false">_xlfn.UNICHAR(((C1720*21)+G1720)*28+44032)</f>
        <v>지</v>
      </c>
      <c r="O1720" s="10" t="str">
        <f aca="false">_xlfn.UNICHAR(((F1720*21)+D1720)*28+44032)</f>
        <v>뒤</v>
      </c>
      <c r="P1720" s="12" t="n">
        <f aca="false">COUNTIF($A$2:$A$3000, N1720) + COUNTIF($A$2:$A$3000, O1720)</f>
        <v>2</v>
      </c>
      <c r="Q1720" s="16" t="str">
        <f aca="false">IF(OR(B1720=-1,I1720=0, P1720&lt;&gt;2), "albhed_dummy", _xlfn.CONCAT("albhed ", RIGHT("  " &amp; K1720,2),", ", RIGHT("  " &amp; L1720,2), ", " ,"""",H1720,""", ", """",N1720,""", ","""",O1720,""""," ; ", A1720))</f>
        <v>albhed 17, 22, "디", "지", "뒤" ; 쥔</v>
      </c>
    </row>
    <row r="1721" customFormat="false" ht="17.9" hidden="false" customHeight="true" outlineLevel="0" collapsed="false">
      <c r="A1721" s="16" t="s">
        <v>2571</v>
      </c>
      <c r="B1721" s="16" t="n">
        <f aca="false">IF(_xlfn.UNICODE(A1721)&lt;44032,-1,_xlfn.UNICODE(A1721)-44032)</f>
        <v>7512</v>
      </c>
      <c r="C1721" s="16" t="n">
        <f aca="false">IF(B1721=-1,-1,INT((B1721/28)/21))</f>
        <v>12</v>
      </c>
      <c r="D1721" s="16" t="n">
        <f aca="false">IF(B1721=-1, -1, MOD(INT(B1721/28),21))</f>
        <v>16</v>
      </c>
      <c r="E1721" s="16" t="n">
        <f aca="false">IF(B1721=-1, -1, VLOOKUP(MOD(B1721,28), $T$24:$U$52,2))</f>
        <v>8</v>
      </c>
      <c r="F1721" s="16" t="n">
        <f aca="false">IF($B1721=-1, -1, VLOOKUP(C1721,$T$1:$V$20, 2))</f>
        <v>3</v>
      </c>
      <c r="G1721" s="16" t="n">
        <f aca="false">IF($B1721=-1, -1, VLOOKUP(D1721,$Y$1:$Z$22,2))</f>
        <v>20</v>
      </c>
      <c r="H1721" s="16" t="str">
        <f aca="false">_xlfn.UNICHAR(((F1721*21)+G1721)*28+44032)</f>
        <v>디</v>
      </c>
      <c r="I1721" s="16" t="n">
        <f aca="false">IF(B1721=-1, 1, COUNTIF($A$2:$A$3000, H1721))</f>
        <v>1</v>
      </c>
      <c r="J1721" s="10" t="str">
        <f aca="false">_xlfn.CONCAT(A1721, ",",H1721,",",I1721)</f>
        <v>쥘,디,1</v>
      </c>
      <c r="K1721" s="16" t="n">
        <f aca="false">IF(B1721=-1,-1,VLOOKUP(C1721,$T$1:$V$20,3))</f>
        <v>17</v>
      </c>
      <c r="L1721" s="16" t="n">
        <f aca="false">IF(B1721=-1,-1,VLOOKUP(D1721,$Y$1:$AA$22,3))</f>
        <v>22</v>
      </c>
      <c r="N1721" s="10" t="str">
        <f aca="false">_xlfn.UNICHAR(((C1721*21)+G1721)*28+44032)</f>
        <v>지</v>
      </c>
      <c r="O1721" s="10" t="str">
        <f aca="false">_xlfn.UNICHAR(((F1721*21)+D1721)*28+44032)</f>
        <v>뒤</v>
      </c>
      <c r="P1721" s="12" t="n">
        <f aca="false">COUNTIF($A$2:$A$3000, N1721) + COUNTIF($A$2:$A$3000, O1721)</f>
        <v>2</v>
      </c>
      <c r="Q1721" s="16" t="str">
        <f aca="false">IF(OR(B1721=-1,I1721=0, P1721&lt;&gt;2), "albhed_dummy", _xlfn.CONCAT("albhed ", RIGHT("  " &amp; K1721,2),", ", RIGHT("  " &amp; L1721,2), ", " ,"""",H1721,""", ", """",N1721,""", ","""",O1721,""""," ; ", A1721))</f>
        <v>albhed 17, 22, "디", "지", "뒤" ; 쥘</v>
      </c>
    </row>
    <row r="1722" customFormat="false" ht="17.9" hidden="false" customHeight="true" outlineLevel="0" collapsed="false">
      <c r="A1722" s="16" t="s">
        <v>2572</v>
      </c>
      <c r="B1722" s="16" t="n">
        <f aca="false">IF(_xlfn.UNICODE(A1722)&lt;44032,-1,_xlfn.UNICODE(A1722)-44032)</f>
        <v>7520</v>
      </c>
      <c r="C1722" s="16" t="n">
        <f aca="false">IF(B1722=-1,-1,INT((B1722/28)/21))</f>
        <v>12</v>
      </c>
      <c r="D1722" s="16" t="n">
        <f aca="false">IF(B1722=-1, -1, MOD(INT(B1722/28),21))</f>
        <v>16</v>
      </c>
      <c r="E1722" s="16" t="n">
        <f aca="false">IF(B1722=-1, -1, VLOOKUP(MOD(B1722,28), $T$24:$U$52,2))</f>
        <v>16</v>
      </c>
      <c r="F1722" s="16" t="n">
        <f aca="false">IF($B1722=-1, -1, VLOOKUP(C1722,$T$1:$V$20, 2))</f>
        <v>3</v>
      </c>
      <c r="G1722" s="16" t="n">
        <f aca="false">IF($B1722=-1, -1, VLOOKUP(D1722,$Y$1:$Z$22,2))</f>
        <v>20</v>
      </c>
      <c r="H1722" s="16" t="str">
        <f aca="false">_xlfn.UNICHAR(((F1722*21)+G1722)*28+44032)</f>
        <v>디</v>
      </c>
      <c r="I1722" s="16" t="n">
        <f aca="false">IF(B1722=-1, 1, COUNTIF($A$2:$A$3000, H1722))</f>
        <v>1</v>
      </c>
      <c r="J1722" s="10" t="str">
        <f aca="false">_xlfn.CONCAT(A1722, ",",H1722,",",I1722)</f>
        <v>쥠,디,1</v>
      </c>
      <c r="K1722" s="16" t="n">
        <f aca="false">IF(B1722=-1,-1,VLOOKUP(C1722,$T$1:$V$20,3))</f>
        <v>17</v>
      </c>
      <c r="L1722" s="16" t="n">
        <f aca="false">IF(B1722=-1,-1,VLOOKUP(D1722,$Y$1:$AA$22,3))</f>
        <v>22</v>
      </c>
      <c r="N1722" s="10" t="str">
        <f aca="false">_xlfn.UNICHAR(((C1722*21)+G1722)*28+44032)</f>
        <v>지</v>
      </c>
      <c r="O1722" s="10" t="str">
        <f aca="false">_xlfn.UNICHAR(((F1722*21)+D1722)*28+44032)</f>
        <v>뒤</v>
      </c>
      <c r="P1722" s="12" t="n">
        <f aca="false">COUNTIF($A$2:$A$3000, N1722) + COUNTIF($A$2:$A$3000, O1722)</f>
        <v>2</v>
      </c>
      <c r="Q1722" s="16" t="str">
        <f aca="false">IF(OR(B1722=-1,I1722=0, P1722&lt;&gt;2), "albhed_dummy", _xlfn.CONCAT("albhed ", RIGHT("  " &amp; K1722,2),", ", RIGHT("  " &amp; L1722,2), ", " ,"""",H1722,""", ", """",N1722,""", ","""",O1722,""""," ; ", A1722))</f>
        <v>albhed 17, 22, "디", "지", "뒤" ; 쥠</v>
      </c>
    </row>
    <row r="1723" customFormat="false" ht="17.9" hidden="false" customHeight="true" outlineLevel="0" collapsed="false">
      <c r="A1723" s="16" t="s">
        <v>2573</v>
      </c>
      <c r="B1723" s="16" t="n">
        <f aca="false">IF(_xlfn.UNICODE(A1723)&lt;44032,-1,_xlfn.UNICODE(A1723)-44032)</f>
        <v>7521</v>
      </c>
      <c r="C1723" s="16" t="n">
        <f aca="false">IF(B1723=-1,-1,INT((B1723/28)/21))</f>
        <v>12</v>
      </c>
      <c r="D1723" s="16" t="n">
        <f aca="false">IF(B1723=-1, -1, MOD(INT(B1723/28),21))</f>
        <v>16</v>
      </c>
      <c r="E1723" s="16" t="n">
        <f aca="false">IF(B1723=-1, -1, VLOOKUP(MOD(B1723,28), $T$24:$U$52,2))</f>
        <v>17</v>
      </c>
      <c r="F1723" s="16" t="n">
        <f aca="false">IF($B1723=-1, -1, VLOOKUP(C1723,$T$1:$V$20, 2))</f>
        <v>3</v>
      </c>
      <c r="G1723" s="16" t="n">
        <f aca="false">IF($B1723=-1, -1, VLOOKUP(D1723,$Y$1:$Z$22,2))</f>
        <v>20</v>
      </c>
      <c r="H1723" s="16" t="str">
        <f aca="false">_xlfn.UNICHAR(((F1723*21)+G1723)*28+44032)</f>
        <v>디</v>
      </c>
      <c r="I1723" s="16" t="n">
        <f aca="false">IF(B1723=-1, 1, COUNTIF($A$2:$A$3000, H1723))</f>
        <v>1</v>
      </c>
      <c r="J1723" s="10" t="str">
        <f aca="false">_xlfn.CONCAT(A1723, ",",H1723,",",I1723)</f>
        <v>쥡,디,1</v>
      </c>
      <c r="K1723" s="16" t="n">
        <f aca="false">IF(B1723=-1,-1,VLOOKUP(C1723,$T$1:$V$20,3))</f>
        <v>17</v>
      </c>
      <c r="L1723" s="16" t="n">
        <f aca="false">IF(B1723=-1,-1,VLOOKUP(D1723,$Y$1:$AA$22,3))</f>
        <v>22</v>
      </c>
      <c r="N1723" s="10" t="str">
        <f aca="false">_xlfn.UNICHAR(((C1723*21)+G1723)*28+44032)</f>
        <v>지</v>
      </c>
      <c r="O1723" s="10" t="str">
        <f aca="false">_xlfn.UNICHAR(((F1723*21)+D1723)*28+44032)</f>
        <v>뒤</v>
      </c>
      <c r="P1723" s="12" t="n">
        <f aca="false">COUNTIF($A$2:$A$3000, N1723) + COUNTIF($A$2:$A$3000, O1723)</f>
        <v>2</v>
      </c>
      <c r="Q1723" s="16" t="str">
        <f aca="false">IF(OR(B1723=-1,I1723=0, P1723&lt;&gt;2), "albhed_dummy", _xlfn.CONCAT("albhed ", RIGHT("  " &amp; K1723,2),", ", RIGHT("  " &amp; L1723,2), ", " ,"""",H1723,""", ", """",N1723,""", ","""",O1723,""""," ; ", A1723))</f>
        <v>albhed 17, 22, "디", "지", "뒤" ; 쥡</v>
      </c>
    </row>
    <row r="1724" customFormat="false" ht="17.9" hidden="false" customHeight="true" outlineLevel="0" collapsed="false">
      <c r="A1724" s="16" t="s">
        <v>2574</v>
      </c>
      <c r="B1724" s="16" t="n">
        <f aca="false">IF(_xlfn.UNICODE(A1724)&lt;44032,-1,_xlfn.UNICODE(A1724)-44032)</f>
        <v>7523</v>
      </c>
      <c r="C1724" s="16" t="n">
        <f aca="false">IF(B1724=-1,-1,INT((B1724/28)/21))</f>
        <v>12</v>
      </c>
      <c r="D1724" s="16" t="n">
        <f aca="false">IF(B1724=-1, -1, MOD(INT(B1724/28),21))</f>
        <v>16</v>
      </c>
      <c r="E1724" s="16" t="n">
        <f aca="false">IF(B1724=-1, -1, VLOOKUP(MOD(B1724,28), $T$24:$U$52,2))</f>
        <v>19</v>
      </c>
      <c r="F1724" s="16" t="n">
        <f aca="false">IF($B1724=-1, -1, VLOOKUP(C1724,$T$1:$V$20, 2))</f>
        <v>3</v>
      </c>
      <c r="G1724" s="16" t="n">
        <f aca="false">IF($B1724=-1, -1, VLOOKUP(D1724,$Y$1:$Z$22,2))</f>
        <v>20</v>
      </c>
      <c r="H1724" s="16" t="str">
        <f aca="false">_xlfn.UNICHAR(((F1724*21)+G1724)*28+44032)</f>
        <v>디</v>
      </c>
      <c r="I1724" s="16" t="n">
        <f aca="false">IF(B1724=-1, 1, COUNTIF($A$2:$A$3000, H1724))</f>
        <v>1</v>
      </c>
      <c r="J1724" s="10" t="str">
        <f aca="false">_xlfn.CONCAT(A1724, ",",H1724,",",I1724)</f>
        <v>쥣,디,1</v>
      </c>
      <c r="K1724" s="16" t="n">
        <f aca="false">IF(B1724=-1,-1,VLOOKUP(C1724,$T$1:$V$20,3))</f>
        <v>17</v>
      </c>
      <c r="L1724" s="16" t="n">
        <f aca="false">IF(B1724=-1,-1,VLOOKUP(D1724,$Y$1:$AA$22,3))</f>
        <v>22</v>
      </c>
      <c r="N1724" s="10" t="str">
        <f aca="false">_xlfn.UNICHAR(((C1724*21)+G1724)*28+44032)</f>
        <v>지</v>
      </c>
      <c r="O1724" s="10" t="str">
        <f aca="false">_xlfn.UNICHAR(((F1724*21)+D1724)*28+44032)</f>
        <v>뒤</v>
      </c>
      <c r="P1724" s="12" t="n">
        <f aca="false">COUNTIF($A$2:$A$3000, N1724) + COUNTIF($A$2:$A$3000, O1724)</f>
        <v>2</v>
      </c>
      <c r="Q1724" s="16" t="str">
        <f aca="false">IF(OR(B1724=-1,I1724=0, P1724&lt;&gt;2), "albhed_dummy", _xlfn.CONCAT("albhed ", RIGHT("  " &amp; K1724,2),", ", RIGHT("  " &amp; L1724,2), ", " ,"""",H1724,""", ", """",N1724,""", ","""",O1724,""""," ; ", A1724))</f>
        <v>albhed 17, 22, "디", "지", "뒤" ; 쥣</v>
      </c>
    </row>
    <row r="1725" customFormat="false" ht="17.9" hidden="false" customHeight="true" outlineLevel="0" collapsed="false">
      <c r="A1725" s="16" t="s">
        <v>2575</v>
      </c>
      <c r="B1725" s="16" t="n">
        <f aca="false">IF(_xlfn.UNICODE(A1725)&lt;44032,-1,_xlfn.UNICODE(A1725)-44032)</f>
        <v>7532</v>
      </c>
      <c r="C1725" s="16" t="n">
        <f aca="false">IF(B1725=-1,-1,INT((B1725/28)/21))</f>
        <v>12</v>
      </c>
      <c r="D1725" s="16" t="n">
        <f aca="false">IF(B1725=-1, -1, MOD(INT(B1725/28),21))</f>
        <v>17</v>
      </c>
      <c r="E1725" s="16" t="n">
        <f aca="false">IF(B1725=-1, -1, VLOOKUP(MOD(B1725,28), $T$24:$U$52,2))</f>
        <v>0</v>
      </c>
      <c r="F1725" s="16" t="n">
        <f aca="false">IF($B1725=-1, -1, VLOOKUP(C1725,$T$1:$V$20, 2))</f>
        <v>3</v>
      </c>
      <c r="G1725" s="16" t="n">
        <f aca="false">IF($B1725=-1, -1, VLOOKUP(D1725,$Y$1:$Z$22,2))</f>
        <v>2</v>
      </c>
      <c r="H1725" s="16" t="str">
        <f aca="false">_xlfn.UNICHAR(((F1725*21)+G1725)*28+44032)</f>
        <v>댜</v>
      </c>
      <c r="I1725" s="16" t="n">
        <f aca="false">IF(B1725=-1, 1, COUNTIF($A$2:$A$3000, H1725))</f>
        <v>1</v>
      </c>
      <c r="J1725" s="10" t="str">
        <f aca="false">_xlfn.CONCAT(A1725, ",",H1725,",",I1725)</f>
        <v>쥬,댜,1</v>
      </c>
      <c r="K1725" s="16" t="n">
        <f aca="false">IF(B1725=-1,-1,VLOOKUP(C1725,$T$1:$V$20,3))</f>
        <v>17</v>
      </c>
      <c r="L1725" s="16" t="n">
        <f aca="false">IF(B1725=-1,-1,VLOOKUP(D1725,$Y$1:$AA$22,3))</f>
        <v>6</v>
      </c>
      <c r="N1725" s="10" t="str">
        <f aca="false">_xlfn.UNICHAR(((C1725*21)+G1725)*28+44032)</f>
        <v>쟈</v>
      </c>
      <c r="O1725" s="10" t="str">
        <f aca="false">_xlfn.UNICHAR(((F1725*21)+D1725)*28+44032)</f>
        <v>듀</v>
      </c>
      <c r="P1725" s="12" t="n">
        <f aca="false">COUNTIF($A$2:$A$3000, N1725) + COUNTIF($A$2:$A$3000, O1725)</f>
        <v>2</v>
      </c>
      <c r="Q1725" s="16" t="str">
        <f aca="false">IF(OR(B1725=-1,I1725=0, P1725&lt;&gt;2), "albhed_dummy", _xlfn.CONCAT("albhed ", RIGHT("  " &amp; K1725,2),", ", RIGHT("  " &amp; L1725,2), ", " ,"""",H1725,""", ", """",N1725,""", ","""",O1725,""""," ; ", A1725))</f>
        <v>albhed 17,  6, "댜", "쟈", "듀" ; 쥬</v>
      </c>
    </row>
    <row r="1726" customFormat="false" ht="17.9" hidden="false" customHeight="true" outlineLevel="0" collapsed="false">
      <c r="A1726" s="16" t="s">
        <v>2576</v>
      </c>
      <c r="B1726" s="16" t="n">
        <f aca="false">IF(_xlfn.UNICODE(A1726)&lt;44032,-1,_xlfn.UNICODE(A1726)-44032)</f>
        <v>7536</v>
      </c>
      <c r="C1726" s="16" t="n">
        <f aca="false">IF(B1726=-1,-1,INT((B1726/28)/21))</f>
        <v>12</v>
      </c>
      <c r="D1726" s="16" t="n">
        <f aca="false">IF(B1726=-1, -1, MOD(INT(B1726/28),21))</f>
        <v>17</v>
      </c>
      <c r="E1726" s="16" t="n">
        <f aca="false">IF(B1726=-1, -1, VLOOKUP(MOD(B1726,28), $T$24:$U$52,2))</f>
        <v>4</v>
      </c>
      <c r="F1726" s="16" t="n">
        <f aca="false">IF($B1726=-1, -1, VLOOKUP(C1726,$T$1:$V$20, 2))</f>
        <v>3</v>
      </c>
      <c r="G1726" s="16" t="n">
        <f aca="false">IF($B1726=-1, -1, VLOOKUP(D1726,$Y$1:$Z$22,2))</f>
        <v>2</v>
      </c>
      <c r="H1726" s="16" t="str">
        <f aca="false">_xlfn.UNICHAR(((F1726*21)+G1726)*28+44032)</f>
        <v>댜</v>
      </c>
      <c r="I1726" s="16" t="n">
        <f aca="false">IF(B1726=-1, 1, COUNTIF($A$2:$A$3000, H1726))</f>
        <v>1</v>
      </c>
      <c r="J1726" s="10" t="str">
        <f aca="false">_xlfn.CONCAT(A1726, ",",H1726,",",I1726)</f>
        <v>쥰,댜,1</v>
      </c>
      <c r="K1726" s="16" t="n">
        <f aca="false">IF(B1726=-1,-1,VLOOKUP(C1726,$T$1:$V$20,3))</f>
        <v>17</v>
      </c>
      <c r="L1726" s="16" t="n">
        <f aca="false">IF(B1726=-1,-1,VLOOKUP(D1726,$Y$1:$AA$22,3))</f>
        <v>6</v>
      </c>
      <c r="N1726" s="10" t="str">
        <f aca="false">_xlfn.UNICHAR(((C1726*21)+G1726)*28+44032)</f>
        <v>쟈</v>
      </c>
      <c r="O1726" s="10" t="str">
        <f aca="false">_xlfn.UNICHAR(((F1726*21)+D1726)*28+44032)</f>
        <v>듀</v>
      </c>
      <c r="P1726" s="12" t="n">
        <f aca="false">COUNTIF($A$2:$A$3000, N1726) + COUNTIF($A$2:$A$3000, O1726)</f>
        <v>2</v>
      </c>
      <c r="Q1726" s="16" t="str">
        <f aca="false">IF(OR(B1726=-1,I1726=0, P1726&lt;&gt;2), "albhed_dummy", _xlfn.CONCAT("albhed ", RIGHT("  " &amp; K1726,2),", ", RIGHT("  " &amp; L1726,2), ", " ,"""",H1726,""", ", """",N1726,""", ","""",O1726,""""," ; ", A1726))</f>
        <v>albhed 17,  6, "댜", "쟈", "듀" ; 쥰</v>
      </c>
    </row>
    <row r="1727" customFormat="false" ht="17.9" hidden="false" customHeight="true" outlineLevel="0" collapsed="false">
      <c r="A1727" s="16" t="s">
        <v>2577</v>
      </c>
      <c r="B1727" s="16" t="n">
        <f aca="false">IF(_xlfn.UNICODE(A1727)&lt;44032,-1,_xlfn.UNICODE(A1727)-44032)</f>
        <v>7540</v>
      </c>
      <c r="C1727" s="16" t="n">
        <f aca="false">IF(B1727=-1,-1,INT((B1727/28)/21))</f>
        <v>12</v>
      </c>
      <c r="D1727" s="16" t="n">
        <f aca="false">IF(B1727=-1, -1, MOD(INT(B1727/28),21))</f>
        <v>17</v>
      </c>
      <c r="E1727" s="16" t="n">
        <f aca="false">IF(B1727=-1, -1, VLOOKUP(MOD(B1727,28), $T$24:$U$52,2))</f>
        <v>8</v>
      </c>
      <c r="F1727" s="16" t="n">
        <f aca="false">IF($B1727=-1, -1, VLOOKUP(C1727,$T$1:$V$20, 2))</f>
        <v>3</v>
      </c>
      <c r="G1727" s="16" t="n">
        <f aca="false">IF($B1727=-1, -1, VLOOKUP(D1727,$Y$1:$Z$22,2))</f>
        <v>2</v>
      </c>
      <c r="H1727" s="16" t="str">
        <f aca="false">_xlfn.UNICHAR(((F1727*21)+G1727)*28+44032)</f>
        <v>댜</v>
      </c>
      <c r="I1727" s="16" t="n">
        <f aca="false">IF(B1727=-1, 1, COUNTIF($A$2:$A$3000, H1727))</f>
        <v>1</v>
      </c>
      <c r="J1727" s="10" t="str">
        <f aca="false">_xlfn.CONCAT(A1727, ",",H1727,",",I1727)</f>
        <v>쥴,댜,1</v>
      </c>
      <c r="K1727" s="16" t="n">
        <f aca="false">IF(B1727=-1,-1,VLOOKUP(C1727,$T$1:$V$20,3))</f>
        <v>17</v>
      </c>
      <c r="L1727" s="16" t="n">
        <f aca="false">IF(B1727=-1,-1,VLOOKUP(D1727,$Y$1:$AA$22,3))</f>
        <v>6</v>
      </c>
      <c r="N1727" s="10" t="str">
        <f aca="false">_xlfn.UNICHAR(((C1727*21)+G1727)*28+44032)</f>
        <v>쟈</v>
      </c>
      <c r="O1727" s="10" t="str">
        <f aca="false">_xlfn.UNICHAR(((F1727*21)+D1727)*28+44032)</f>
        <v>듀</v>
      </c>
      <c r="P1727" s="12" t="n">
        <f aca="false">COUNTIF($A$2:$A$3000, N1727) + COUNTIF($A$2:$A$3000, O1727)</f>
        <v>2</v>
      </c>
      <c r="Q1727" s="16" t="str">
        <f aca="false">IF(OR(B1727=-1,I1727=0, P1727&lt;&gt;2), "albhed_dummy", _xlfn.CONCAT("albhed ", RIGHT("  " &amp; K1727,2),", ", RIGHT("  " &amp; L1727,2), ", " ,"""",H1727,""", ", """",N1727,""", ","""",O1727,""""," ; ", A1727))</f>
        <v>albhed 17,  6, "댜", "쟈", "듀" ; 쥴</v>
      </c>
    </row>
    <row r="1728" customFormat="false" ht="17.9" hidden="false" customHeight="true" outlineLevel="0" collapsed="false">
      <c r="A1728" s="16" t="s">
        <v>2578</v>
      </c>
      <c r="B1728" s="16" t="n">
        <f aca="false">IF(_xlfn.UNICODE(A1728)&lt;44032,-1,_xlfn.UNICODE(A1728)-44032)</f>
        <v>7548</v>
      </c>
      <c r="C1728" s="16" t="n">
        <f aca="false">IF(B1728=-1,-1,INT((B1728/28)/21))</f>
        <v>12</v>
      </c>
      <c r="D1728" s="16" t="n">
        <f aca="false">IF(B1728=-1, -1, MOD(INT(B1728/28),21))</f>
        <v>17</v>
      </c>
      <c r="E1728" s="16" t="n">
        <f aca="false">IF(B1728=-1, -1, VLOOKUP(MOD(B1728,28), $T$24:$U$52,2))</f>
        <v>16</v>
      </c>
      <c r="F1728" s="16" t="n">
        <f aca="false">IF($B1728=-1, -1, VLOOKUP(C1728,$T$1:$V$20, 2))</f>
        <v>3</v>
      </c>
      <c r="G1728" s="16" t="n">
        <f aca="false">IF($B1728=-1, -1, VLOOKUP(D1728,$Y$1:$Z$22,2))</f>
        <v>2</v>
      </c>
      <c r="H1728" s="16" t="str">
        <f aca="false">_xlfn.UNICHAR(((F1728*21)+G1728)*28+44032)</f>
        <v>댜</v>
      </c>
      <c r="I1728" s="16" t="n">
        <f aca="false">IF(B1728=-1, 1, COUNTIF($A$2:$A$3000, H1728))</f>
        <v>1</v>
      </c>
      <c r="J1728" s="10" t="str">
        <f aca="false">_xlfn.CONCAT(A1728, ",",H1728,",",I1728)</f>
        <v>쥼,댜,1</v>
      </c>
      <c r="K1728" s="16" t="n">
        <f aca="false">IF(B1728=-1,-1,VLOOKUP(C1728,$T$1:$V$20,3))</f>
        <v>17</v>
      </c>
      <c r="L1728" s="16" t="n">
        <f aca="false">IF(B1728=-1,-1,VLOOKUP(D1728,$Y$1:$AA$22,3))</f>
        <v>6</v>
      </c>
      <c r="N1728" s="10" t="str">
        <f aca="false">_xlfn.UNICHAR(((C1728*21)+G1728)*28+44032)</f>
        <v>쟈</v>
      </c>
      <c r="O1728" s="10" t="str">
        <f aca="false">_xlfn.UNICHAR(((F1728*21)+D1728)*28+44032)</f>
        <v>듀</v>
      </c>
      <c r="P1728" s="12" t="n">
        <f aca="false">COUNTIF($A$2:$A$3000, N1728) + COUNTIF($A$2:$A$3000, O1728)</f>
        <v>2</v>
      </c>
      <c r="Q1728" s="16" t="str">
        <f aca="false">IF(OR(B1728=-1,I1728=0, P1728&lt;&gt;2), "albhed_dummy", _xlfn.CONCAT("albhed ", RIGHT("  " &amp; K1728,2),", ", RIGHT("  " &amp; L1728,2), ", " ,"""",H1728,""", ", """",N1728,""", ","""",O1728,""""," ; ", A1728))</f>
        <v>albhed 17,  6, "댜", "쟈", "듀" ; 쥼</v>
      </c>
    </row>
    <row r="1729" customFormat="false" ht="17.9" hidden="false" customHeight="true" outlineLevel="0" collapsed="false">
      <c r="A1729" s="16" t="s">
        <v>2579</v>
      </c>
      <c r="B1729" s="16" t="n">
        <f aca="false">IF(_xlfn.UNICODE(A1729)&lt;44032,-1,_xlfn.UNICODE(A1729)-44032)</f>
        <v>7560</v>
      </c>
      <c r="C1729" s="16" t="n">
        <f aca="false">IF(B1729=-1,-1,INT((B1729/28)/21))</f>
        <v>12</v>
      </c>
      <c r="D1729" s="16" t="n">
        <f aca="false">IF(B1729=-1, -1, MOD(INT(B1729/28),21))</f>
        <v>18</v>
      </c>
      <c r="E1729" s="16" t="n">
        <f aca="false">IF(B1729=-1, -1, VLOOKUP(MOD(B1729,28), $T$24:$U$52,2))</f>
        <v>0</v>
      </c>
      <c r="F1729" s="16" t="n">
        <f aca="false">IF($B1729=-1, -1, VLOOKUP(C1729,$T$1:$V$20, 2))</f>
        <v>3</v>
      </c>
      <c r="G1729" s="16" t="n">
        <f aca="false">IF($B1729=-1, -1, VLOOKUP(D1729,$Y$1:$Z$22,2))</f>
        <v>5</v>
      </c>
      <c r="H1729" s="16" t="str">
        <f aca="false">_xlfn.UNICHAR(((F1729*21)+G1729)*28+44032)</f>
        <v>데</v>
      </c>
      <c r="I1729" s="16" t="n">
        <f aca="false">IF(B1729=-1, 1, COUNTIF($A$2:$A$3000, H1729))</f>
        <v>1</v>
      </c>
      <c r="J1729" s="10" t="str">
        <f aca="false">_xlfn.CONCAT(A1729, ",",H1729,",",I1729)</f>
        <v>즈,데,1</v>
      </c>
      <c r="K1729" s="16" t="n">
        <f aca="false">IF(B1729=-1,-1,VLOOKUP(C1729,$T$1:$V$20,3))</f>
        <v>17</v>
      </c>
      <c r="L1729" s="16" t="n">
        <f aca="false">IF(B1729=-1,-1,VLOOKUP(D1729,$Y$1:$AA$22,3))</f>
        <v>18</v>
      </c>
      <c r="N1729" s="10" t="str">
        <f aca="false">_xlfn.UNICHAR(((C1729*21)+G1729)*28+44032)</f>
        <v>제</v>
      </c>
      <c r="O1729" s="10" t="str">
        <f aca="false">_xlfn.UNICHAR(((F1729*21)+D1729)*28+44032)</f>
        <v>드</v>
      </c>
      <c r="P1729" s="12" t="n">
        <f aca="false">COUNTIF($A$2:$A$3000, N1729) + COUNTIF($A$2:$A$3000, O1729)</f>
        <v>2</v>
      </c>
      <c r="Q1729" s="16" t="str">
        <f aca="false">IF(OR(B1729=-1,I1729=0, P1729&lt;&gt;2), "albhed_dummy", _xlfn.CONCAT("albhed ", RIGHT("  " &amp; K1729,2),", ", RIGHT("  " &amp; L1729,2), ", " ,"""",H1729,""", ", """",N1729,""", ","""",O1729,""""," ; ", A1729))</f>
        <v>albhed 17, 18, "데", "제", "드" ; 즈</v>
      </c>
    </row>
    <row r="1730" customFormat="false" ht="17.9" hidden="false" customHeight="true" outlineLevel="0" collapsed="false">
      <c r="A1730" s="16" t="s">
        <v>2580</v>
      </c>
      <c r="B1730" s="16" t="n">
        <f aca="false">IF(_xlfn.UNICODE(A1730)&lt;44032,-1,_xlfn.UNICODE(A1730)-44032)</f>
        <v>7561</v>
      </c>
      <c r="C1730" s="16" t="n">
        <f aca="false">IF(B1730=-1,-1,INT((B1730/28)/21))</f>
        <v>12</v>
      </c>
      <c r="D1730" s="16" t="n">
        <f aca="false">IF(B1730=-1, -1, MOD(INT(B1730/28),21))</f>
        <v>18</v>
      </c>
      <c r="E1730" s="16" t="n">
        <f aca="false">IF(B1730=-1, -1, VLOOKUP(MOD(B1730,28), $T$24:$U$52,2))</f>
        <v>1</v>
      </c>
      <c r="F1730" s="16" t="n">
        <f aca="false">IF($B1730=-1, -1, VLOOKUP(C1730,$T$1:$V$20, 2))</f>
        <v>3</v>
      </c>
      <c r="G1730" s="16" t="n">
        <f aca="false">IF($B1730=-1, -1, VLOOKUP(D1730,$Y$1:$Z$22,2))</f>
        <v>5</v>
      </c>
      <c r="H1730" s="16" t="str">
        <f aca="false">_xlfn.UNICHAR(((F1730*21)+G1730)*28+44032)</f>
        <v>데</v>
      </c>
      <c r="I1730" s="16" t="n">
        <f aca="false">IF(B1730=-1, 1, COUNTIF($A$2:$A$3000, H1730))</f>
        <v>1</v>
      </c>
      <c r="J1730" s="10" t="str">
        <f aca="false">_xlfn.CONCAT(A1730, ",",H1730,",",I1730)</f>
        <v>즉,데,1</v>
      </c>
      <c r="K1730" s="16" t="n">
        <f aca="false">IF(B1730=-1,-1,VLOOKUP(C1730,$T$1:$V$20,3))</f>
        <v>17</v>
      </c>
      <c r="L1730" s="16" t="n">
        <f aca="false">IF(B1730=-1,-1,VLOOKUP(D1730,$Y$1:$AA$22,3))</f>
        <v>18</v>
      </c>
      <c r="N1730" s="10" t="str">
        <f aca="false">_xlfn.UNICHAR(((C1730*21)+G1730)*28+44032)</f>
        <v>제</v>
      </c>
      <c r="O1730" s="10" t="str">
        <f aca="false">_xlfn.UNICHAR(((F1730*21)+D1730)*28+44032)</f>
        <v>드</v>
      </c>
      <c r="P1730" s="12" t="n">
        <f aca="false">COUNTIF($A$2:$A$3000, N1730) + COUNTIF($A$2:$A$3000, O1730)</f>
        <v>2</v>
      </c>
      <c r="Q1730" s="16" t="str">
        <f aca="false">IF(OR(B1730=-1,I1730=0, P1730&lt;&gt;2), "albhed_dummy", _xlfn.CONCAT("albhed ", RIGHT("  " &amp; K1730,2),", ", RIGHT("  " &amp; L1730,2), ", " ,"""",H1730,""", ", """",N1730,""", ","""",O1730,""""," ; ", A1730))</f>
        <v>albhed 17, 18, "데", "제", "드" ; 즉</v>
      </c>
    </row>
    <row r="1731" customFormat="false" ht="17.9" hidden="false" customHeight="true" outlineLevel="0" collapsed="false">
      <c r="A1731" s="16" t="s">
        <v>2581</v>
      </c>
      <c r="B1731" s="16" t="n">
        <f aca="false">IF(_xlfn.UNICODE(A1731)&lt;44032,-1,_xlfn.UNICODE(A1731)-44032)</f>
        <v>7564</v>
      </c>
      <c r="C1731" s="16" t="n">
        <f aca="false">IF(B1731=-1,-1,INT((B1731/28)/21))</f>
        <v>12</v>
      </c>
      <c r="D1731" s="16" t="n">
        <f aca="false">IF(B1731=-1, -1, MOD(INT(B1731/28),21))</f>
        <v>18</v>
      </c>
      <c r="E1731" s="16" t="n">
        <f aca="false">IF(B1731=-1, -1, VLOOKUP(MOD(B1731,28), $T$24:$U$52,2))</f>
        <v>4</v>
      </c>
      <c r="F1731" s="16" t="n">
        <f aca="false">IF($B1731=-1, -1, VLOOKUP(C1731,$T$1:$V$20, 2))</f>
        <v>3</v>
      </c>
      <c r="G1731" s="16" t="n">
        <f aca="false">IF($B1731=-1, -1, VLOOKUP(D1731,$Y$1:$Z$22,2))</f>
        <v>5</v>
      </c>
      <c r="H1731" s="16" t="str">
        <f aca="false">_xlfn.UNICHAR(((F1731*21)+G1731)*28+44032)</f>
        <v>데</v>
      </c>
      <c r="I1731" s="16" t="n">
        <f aca="false">IF(B1731=-1, 1, COUNTIF($A$2:$A$3000, H1731))</f>
        <v>1</v>
      </c>
      <c r="J1731" s="10" t="str">
        <f aca="false">_xlfn.CONCAT(A1731, ",",H1731,",",I1731)</f>
        <v>즌,데,1</v>
      </c>
      <c r="K1731" s="16" t="n">
        <f aca="false">IF(B1731=-1,-1,VLOOKUP(C1731,$T$1:$V$20,3))</f>
        <v>17</v>
      </c>
      <c r="L1731" s="16" t="n">
        <f aca="false">IF(B1731=-1,-1,VLOOKUP(D1731,$Y$1:$AA$22,3))</f>
        <v>18</v>
      </c>
      <c r="N1731" s="10" t="str">
        <f aca="false">_xlfn.UNICHAR(((C1731*21)+G1731)*28+44032)</f>
        <v>제</v>
      </c>
      <c r="O1731" s="10" t="str">
        <f aca="false">_xlfn.UNICHAR(((F1731*21)+D1731)*28+44032)</f>
        <v>드</v>
      </c>
      <c r="P1731" s="12" t="n">
        <f aca="false">COUNTIF($A$2:$A$3000, N1731) + COUNTIF($A$2:$A$3000, O1731)</f>
        <v>2</v>
      </c>
      <c r="Q1731" s="16" t="str">
        <f aca="false">IF(OR(B1731=-1,I1731=0, P1731&lt;&gt;2), "albhed_dummy", _xlfn.CONCAT("albhed ", RIGHT("  " &amp; K1731,2),", ", RIGHT("  " &amp; L1731,2), ", " ,"""",H1731,""", ", """",N1731,""", ","""",O1731,""""," ; ", A1731))</f>
        <v>albhed 17, 18, "데", "제", "드" ; 즌</v>
      </c>
    </row>
    <row r="1732" customFormat="false" ht="17.9" hidden="false" customHeight="true" outlineLevel="0" collapsed="false">
      <c r="A1732" s="16" t="s">
        <v>2582</v>
      </c>
      <c r="B1732" s="16" t="n">
        <f aca="false">IF(_xlfn.UNICODE(A1732)&lt;44032,-1,_xlfn.UNICODE(A1732)-44032)</f>
        <v>7568</v>
      </c>
      <c r="C1732" s="16" t="n">
        <f aca="false">IF(B1732=-1,-1,INT((B1732/28)/21))</f>
        <v>12</v>
      </c>
      <c r="D1732" s="16" t="n">
        <f aca="false">IF(B1732=-1, -1, MOD(INT(B1732/28),21))</f>
        <v>18</v>
      </c>
      <c r="E1732" s="16" t="n">
        <f aca="false">IF(B1732=-1, -1, VLOOKUP(MOD(B1732,28), $T$24:$U$52,2))</f>
        <v>8</v>
      </c>
      <c r="F1732" s="16" t="n">
        <f aca="false">IF($B1732=-1, -1, VLOOKUP(C1732,$T$1:$V$20, 2))</f>
        <v>3</v>
      </c>
      <c r="G1732" s="16" t="n">
        <f aca="false">IF($B1732=-1, -1, VLOOKUP(D1732,$Y$1:$Z$22,2))</f>
        <v>5</v>
      </c>
      <c r="H1732" s="16" t="str">
        <f aca="false">_xlfn.UNICHAR(((F1732*21)+G1732)*28+44032)</f>
        <v>데</v>
      </c>
      <c r="I1732" s="16" t="n">
        <f aca="false">IF(B1732=-1, 1, COUNTIF($A$2:$A$3000, H1732))</f>
        <v>1</v>
      </c>
      <c r="J1732" s="10" t="str">
        <f aca="false">_xlfn.CONCAT(A1732, ",",H1732,",",I1732)</f>
        <v>즐,데,1</v>
      </c>
      <c r="K1732" s="16" t="n">
        <f aca="false">IF(B1732=-1,-1,VLOOKUP(C1732,$T$1:$V$20,3))</f>
        <v>17</v>
      </c>
      <c r="L1732" s="16" t="n">
        <f aca="false">IF(B1732=-1,-1,VLOOKUP(D1732,$Y$1:$AA$22,3))</f>
        <v>18</v>
      </c>
      <c r="N1732" s="10" t="str">
        <f aca="false">_xlfn.UNICHAR(((C1732*21)+G1732)*28+44032)</f>
        <v>제</v>
      </c>
      <c r="O1732" s="10" t="str">
        <f aca="false">_xlfn.UNICHAR(((F1732*21)+D1732)*28+44032)</f>
        <v>드</v>
      </c>
      <c r="P1732" s="12" t="n">
        <f aca="false">COUNTIF($A$2:$A$3000, N1732) + COUNTIF($A$2:$A$3000, O1732)</f>
        <v>2</v>
      </c>
      <c r="Q1732" s="16" t="str">
        <f aca="false">IF(OR(B1732=-1,I1732=0, P1732&lt;&gt;2), "albhed_dummy", _xlfn.CONCAT("albhed ", RIGHT("  " &amp; K1732,2),", ", RIGHT("  " &amp; L1732,2), ", " ,"""",H1732,""", ", """",N1732,""", ","""",O1732,""""," ; ", A1732))</f>
        <v>albhed 17, 18, "데", "제", "드" ; 즐</v>
      </c>
    </row>
    <row r="1733" customFormat="false" ht="17.9" hidden="false" customHeight="true" outlineLevel="0" collapsed="false">
      <c r="A1733" s="16" t="s">
        <v>2583</v>
      </c>
      <c r="B1733" s="16" t="n">
        <f aca="false">IF(_xlfn.UNICODE(A1733)&lt;44032,-1,_xlfn.UNICODE(A1733)-44032)</f>
        <v>7576</v>
      </c>
      <c r="C1733" s="16" t="n">
        <f aca="false">IF(B1733=-1,-1,INT((B1733/28)/21))</f>
        <v>12</v>
      </c>
      <c r="D1733" s="16" t="n">
        <f aca="false">IF(B1733=-1, -1, MOD(INT(B1733/28),21))</f>
        <v>18</v>
      </c>
      <c r="E1733" s="16" t="n">
        <f aca="false">IF(B1733=-1, -1, VLOOKUP(MOD(B1733,28), $T$24:$U$52,2))</f>
        <v>16</v>
      </c>
      <c r="F1733" s="16" t="n">
        <f aca="false">IF($B1733=-1, -1, VLOOKUP(C1733,$T$1:$V$20, 2))</f>
        <v>3</v>
      </c>
      <c r="G1733" s="16" t="n">
        <f aca="false">IF($B1733=-1, -1, VLOOKUP(D1733,$Y$1:$Z$22,2))</f>
        <v>5</v>
      </c>
      <c r="H1733" s="16" t="str">
        <f aca="false">_xlfn.UNICHAR(((F1733*21)+G1733)*28+44032)</f>
        <v>데</v>
      </c>
      <c r="I1733" s="16" t="n">
        <f aca="false">IF(B1733=-1, 1, COUNTIF($A$2:$A$3000, H1733))</f>
        <v>1</v>
      </c>
      <c r="J1733" s="10" t="str">
        <f aca="false">_xlfn.CONCAT(A1733, ",",H1733,",",I1733)</f>
        <v>즘,데,1</v>
      </c>
      <c r="K1733" s="16" t="n">
        <f aca="false">IF(B1733=-1,-1,VLOOKUP(C1733,$T$1:$V$20,3))</f>
        <v>17</v>
      </c>
      <c r="L1733" s="16" t="n">
        <f aca="false">IF(B1733=-1,-1,VLOOKUP(D1733,$Y$1:$AA$22,3))</f>
        <v>18</v>
      </c>
      <c r="N1733" s="10" t="str">
        <f aca="false">_xlfn.UNICHAR(((C1733*21)+G1733)*28+44032)</f>
        <v>제</v>
      </c>
      <c r="O1733" s="10" t="str">
        <f aca="false">_xlfn.UNICHAR(((F1733*21)+D1733)*28+44032)</f>
        <v>드</v>
      </c>
      <c r="P1733" s="12" t="n">
        <f aca="false">COUNTIF($A$2:$A$3000, N1733) + COUNTIF($A$2:$A$3000, O1733)</f>
        <v>2</v>
      </c>
      <c r="Q1733" s="16" t="str">
        <f aca="false">IF(OR(B1733=-1,I1733=0, P1733&lt;&gt;2), "albhed_dummy", _xlfn.CONCAT("albhed ", RIGHT("  " &amp; K1733,2),", ", RIGHT("  " &amp; L1733,2), ", " ,"""",H1733,""", ", """",N1733,""", ","""",O1733,""""," ; ", A1733))</f>
        <v>albhed 17, 18, "데", "제", "드" ; 즘</v>
      </c>
    </row>
    <row r="1734" customFormat="false" ht="17.9" hidden="false" customHeight="true" outlineLevel="0" collapsed="false">
      <c r="A1734" s="16" t="s">
        <v>2584</v>
      </c>
      <c r="B1734" s="16" t="n">
        <f aca="false">IF(_xlfn.UNICODE(A1734)&lt;44032,-1,_xlfn.UNICODE(A1734)-44032)</f>
        <v>7577</v>
      </c>
      <c r="C1734" s="16" t="n">
        <f aca="false">IF(B1734=-1,-1,INT((B1734/28)/21))</f>
        <v>12</v>
      </c>
      <c r="D1734" s="16" t="n">
        <f aca="false">IF(B1734=-1, -1, MOD(INT(B1734/28),21))</f>
        <v>18</v>
      </c>
      <c r="E1734" s="16" t="n">
        <f aca="false">IF(B1734=-1, -1, VLOOKUP(MOD(B1734,28), $T$24:$U$52,2))</f>
        <v>17</v>
      </c>
      <c r="F1734" s="16" t="n">
        <f aca="false">IF($B1734=-1, -1, VLOOKUP(C1734,$T$1:$V$20, 2))</f>
        <v>3</v>
      </c>
      <c r="G1734" s="16" t="n">
        <f aca="false">IF($B1734=-1, -1, VLOOKUP(D1734,$Y$1:$Z$22,2))</f>
        <v>5</v>
      </c>
      <c r="H1734" s="16" t="str">
        <f aca="false">_xlfn.UNICHAR(((F1734*21)+G1734)*28+44032)</f>
        <v>데</v>
      </c>
      <c r="I1734" s="16" t="n">
        <f aca="false">IF(B1734=-1, 1, COUNTIF($A$2:$A$3000, H1734))</f>
        <v>1</v>
      </c>
      <c r="J1734" s="10" t="str">
        <f aca="false">_xlfn.CONCAT(A1734, ",",H1734,",",I1734)</f>
        <v>즙,데,1</v>
      </c>
      <c r="K1734" s="16" t="n">
        <f aca="false">IF(B1734=-1,-1,VLOOKUP(C1734,$T$1:$V$20,3))</f>
        <v>17</v>
      </c>
      <c r="L1734" s="16" t="n">
        <f aca="false">IF(B1734=-1,-1,VLOOKUP(D1734,$Y$1:$AA$22,3))</f>
        <v>18</v>
      </c>
      <c r="N1734" s="10" t="str">
        <f aca="false">_xlfn.UNICHAR(((C1734*21)+G1734)*28+44032)</f>
        <v>제</v>
      </c>
      <c r="O1734" s="10" t="str">
        <f aca="false">_xlfn.UNICHAR(((F1734*21)+D1734)*28+44032)</f>
        <v>드</v>
      </c>
      <c r="P1734" s="12" t="n">
        <f aca="false">COUNTIF($A$2:$A$3000, N1734) + COUNTIF($A$2:$A$3000, O1734)</f>
        <v>2</v>
      </c>
      <c r="Q1734" s="16" t="str">
        <f aca="false">IF(OR(B1734=-1,I1734=0, P1734&lt;&gt;2), "albhed_dummy", _xlfn.CONCAT("albhed ", RIGHT("  " &amp; K1734,2),", ", RIGHT("  " &amp; L1734,2), ", " ,"""",H1734,""", ", """",N1734,""", ","""",O1734,""""," ; ", A1734))</f>
        <v>albhed 17, 18, "데", "제", "드" ; 즙</v>
      </c>
    </row>
    <row r="1735" customFormat="false" ht="17.9" hidden="false" customHeight="true" outlineLevel="0" collapsed="false">
      <c r="A1735" s="16" t="s">
        <v>2585</v>
      </c>
      <c r="B1735" s="16" t="n">
        <f aca="false">IF(_xlfn.UNICODE(A1735)&lt;44032,-1,_xlfn.UNICODE(A1735)-44032)</f>
        <v>7579</v>
      </c>
      <c r="C1735" s="16" t="n">
        <f aca="false">IF(B1735=-1,-1,INT((B1735/28)/21))</f>
        <v>12</v>
      </c>
      <c r="D1735" s="16" t="n">
        <f aca="false">IF(B1735=-1, -1, MOD(INT(B1735/28),21))</f>
        <v>18</v>
      </c>
      <c r="E1735" s="16" t="n">
        <f aca="false">IF(B1735=-1, -1, VLOOKUP(MOD(B1735,28), $T$24:$U$52,2))</f>
        <v>19</v>
      </c>
      <c r="F1735" s="16" t="n">
        <f aca="false">IF($B1735=-1, -1, VLOOKUP(C1735,$T$1:$V$20, 2))</f>
        <v>3</v>
      </c>
      <c r="G1735" s="16" t="n">
        <f aca="false">IF($B1735=-1, -1, VLOOKUP(D1735,$Y$1:$Z$22,2))</f>
        <v>5</v>
      </c>
      <c r="H1735" s="16" t="str">
        <f aca="false">_xlfn.UNICHAR(((F1735*21)+G1735)*28+44032)</f>
        <v>데</v>
      </c>
      <c r="I1735" s="16" t="n">
        <f aca="false">IF(B1735=-1, 1, COUNTIF($A$2:$A$3000, H1735))</f>
        <v>1</v>
      </c>
      <c r="J1735" s="10" t="str">
        <f aca="false">_xlfn.CONCAT(A1735, ",",H1735,",",I1735)</f>
        <v>즛,데,1</v>
      </c>
      <c r="K1735" s="16" t="n">
        <f aca="false">IF(B1735=-1,-1,VLOOKUP(C1735,$T$1:$V$20,3))</f>
        <v>17</v>
      </c>
      <c r="L1735" s="16" t="n">
        <f aca="false">IF(B1735=-1,-1,VLOOKUP(D1735,$Y$1:$AA$22,3))</f>
        <v>18</v>
      </c>
      <c r="N1735" s="10" t="str">
        <f aca="false">_xlfn.UNICHAR(((C1735*21)+G1735)*28+44032)</f>
        <v>제</v>
      </c>
      <c r="O1735" s="10" t="str">
        <f aca="false">_xlfn.UNICHAR(((F1735*21)+D1735)*28+44032)</f>
        <v>드</v>
      </c>
      <c r="P1735" s="12" t="n">
        <f aca="false">COUNTIF($A$2:$A$3000, N1735) + COUNTIF($A$2:$A$3000, O1735)</f>
        <v>2</v>
      </c>
      <c r="Q1735" s="16" t="str">
        <f aca="false">IF(OR(B1735=-1,I1735=0, P1735&lt;&gt;2), "albhed_dummy", _xlfn.CONCAT("albhed ", RIGHT("  " &amp; K1735,2),", ", RIGHT("  " &amp; L1735,2), ", " ,"""",H1735,""", ", """",N1735,""", ","""",O1735,""""," ; ", A1735))</f>
        <v>albhed 17, 18, "데", "제", "드" ; 즛</v>
      </c>
    </row>
    <row r="1736" customFormat="false" ht="17.9" hidden="false" customHeight="true" outlineLevel="0" collapsed="false">
      <c r="A1736" s="16" t="s">
        <v>2586</v>
      </c>
      <c r="B1736" s="16" t="n">
        <f aca="false">IF(_xlfn.UNICODE(A1736)&lt;44032,-1,_xlfn.UNICODE(A1736)-44032)</f>
        <v>7581</v>
      </c>
      <c r="C1736" s="16" t="n">
        <f aca="false">IF(B1736=-1,-1,INT((B1736/28)/21))</f>
        <v>12</v>
      </c>
      <c r="D1736" s="16" t="n">
        <f aca="false">IF(B1736=-1, -1, MOD(INT(B1736/28),21))</f>
        <v>18</v>
      </c>
      <c r="E1736" s="16" t="n">
        <f aca="false">IF(B1736=-1, -1, VLOOKUP(MOD(B1736,28), $T$24:$U$52,2))</f>
        <v>21</v>
      </c>
      <c r="F1736" s="16" t="n">
        <f aca="false">IF($B1736=-1, -1, VLOOKUP(C1736,$T$1:$V$20, 2))</f>
        <v>3</v>
      </c>
      <c r="G1736" s="16" t="n">
        <f aca="false">IF($B1736=-1, -1, VLOOKUP(D1736,$Y$1:$Z$22,2))</f>
        <v>5</v>
      </c>
      <c r="H1736" s="16" t="str">
        <f aca="false">_xlfn.UNICHAR(((F1736*21)+G1736)*28+44032)</f>
        <v>데</v>
      </c>
      <c r="I1736" s="16" t="n">
        <f aca="false">IF(B1736=-1, 1, COUNTIF($A$2:$A$3000, H1736))</f>
        <v>1</v>
      </c>
      <c r="J1736" s="10" t="str">
        <f aca="false">_xlfn.CONCAT(A1736, ",",H1736,",",I1736)</f>
        <v>증,데,1</v>
      </c>
      <c r="K1736" s="16" t="n">
        <f aca="false">IF(B1736=-1,-1,VLOOKUP(C1736,$T$1:$V$20,3))</f>
        <v>17</v>
      </c>
      <c r="L1736" s="16" t="n">
        <f aca="false">IF(B1736=-1,-1,VLOOKUP(D1736,$Y$1:$AA$22,3))</f>
        <v>18</v>
      </c>
      <c r="N1736" s="10" t="str">
        <f aca="false">_xlfn.UNICHAR(((C1736*21)+G1736)*28+44032)</f>
        <v>제</v>
      </c>
      <c r="O1736" s="10" t="str">
        <f aca="false">_xlfn.UNICHAR(((F1736*21)+D1736)*28+44032)</f>
        <v>드</v>
      </c>
      <c r="P1736" s="12" t="n">
        <f aca="false">COUNTIF($A$2:$A$3000, N1736) + COUNTIF($A$2:$A$3000, O1736)</f>
        <v>2</v>
      </c>
      <c r="Q1736" s="16" t="str">
        <f aca="false">IF(OR(B1736=-1,I1736=0, P1736&lt;&gt;2), "albhed_dummy", _xlfn.CONCAT("albhed ", RIGHT("  " &amp; K1736,2),", ", RIGHT("  " &amp; L1736,2), ", " ,"""",H1736,""", ", """",N1736,""", ","""",O1736,""""," ; ", A1736))</f>
        <v>albhed 17, 18, "데", "제", "드" ; 증</v>
      </c>
    </row>
    <row r="1737" customFormat="false" ht="17.9" hidden="false" customHeight="true" outlineLevel="0" collapsed="false">
      <c r="A1737" s="16" t="s">
        <v>2587</v>
      </c>
      <c r="B1737" s="16" t="n">
        <f aca="false">IF(_xlfn.UNICODE(A1737)&lt;44032,-1,_xlfn.UNICODE(A1737)-44032)</f>
        <v>7616</v>
      </c>
      <c r="C1737" s="16" t="n">
        <f aca="false">IF(B1737=-1,-1,INT((B1737/28)/21))</f>
        <v>12</v>
      </c>
      <c r="D1737" s="16" t="n">
        <f aca="false">IF(B1737=-1, -1, MOD(INT(B1737/28),21))</f>
        <v>20</v>
      </c>
      <c r="E1737" s="16" t="n">
        <f aca="false">IF(B1737=-1, -1, VLOOKUP(MOD(B1737,28), $T$24:$U$52,2))</f>
        <v>0</v>
      </c>
      <c r="F1737" s="16" t="n">
        <f aca="false">IF($B1737=-1, -1, VLOOKUP(C1737,$T$1:$V$20, 2))</f>
        <v>3</v>
      </c>
      <c r="G1737" s="16" t="n">
        <f aca="false">IF($B1737=-1, -1, VLOOKUP(D1737,$Y$1:$Z$22,2))</f>
        <v>5</v>
      </c>
      <c r="H1737" s="16" t="str">
        <f aca="false">_xlfn.UNICHAR(((F1737*21)+G1737)*28+44032)</f>
        <v>데</v>
      </c>
      <c r="I1737" s="16" t="n">
        <f aca="false">IF(B1737=-1, 1, COUNTIF($A$2:$A$3000, H1737))</f>
        <v>1</v>
      </c>
      <c r="J1737" s="10" t="str">
        <f aca="false">_xlfn.CONCAT(A1737, ",",H1737,",",I1737)</f>
        <v>지,데,1</v>
      </c>
      <c r="K1737" s="16" t="n">
        <f aca="false">IF(B1737=-1,-1,VLOOKUP(C1737,$T$1:$V$20,3))</f>
        <v>17</v>
      </c>
      <c r="L1737" s="16" t="n">
        <f aca="false">IF(B1737=-1,-1,VLOOKUP(D1737,$Y$1:$AA$22,3))</f>
        <v>20</v>
      </c>
      <c r="N1737" s="10" t="str">
        <f aca="false">_xlfn.UNICHAR(((C1737*21)+G1737)*28+44032)</f>
        <v>제</v>
      </c>
      <c r="O1737" s="10" t="str">
        <f aca="false">_xlfn.UNICHAR(((F1737*21)+D1737)*28+44032)</f>
        <v>디</v>
      </c>
      <c r="P1737" s="12" t="n">
        <f aca="false">COUNTIF($A$2:$A$3000, N1737) + COUNTIF($A$2:$A$3000, O1737)</f>
        <v>2</v>
      </c>
      <c r="Q1737" s="16" t="str">
        <f aca="false">IF(OR(B1737=-1,I1737=0, P1737&lt;&gt;2), "albhed_dummy", _xlfn.CONCAT("albhed ", RIGHT("  " &amp; K1737,2),", ", RIGHT("  " &amp; L1737,2), ", " ,"""",H1737,""", ", """",N1737,""", ","""",O1737,""""," ; ", A1737))</f>
        <v>albhed 17, 20, "데", "제", "디" ; 지</v>
      </c>
    </row>
    <row r="1738" customFormat="false" ht="17.9" hidden="false" customHeight="true" outlineLevel="0" collapsed="false">
      <c r="A1738" s="16" t="s">
        <v>2588</v>
      </c>
      <c r="B1738" s="16" t="n">
        <f aca="false">IF(_xlfn.UNICODE(A1738)&lt;44032,-1,_xlfn.UNICODE(A1738)-44032)</f>
        <v>7617</v>
      </c>
      <c r="C1738" s="16" t="n">
        <f aca="false">IF(B1738=-1,-1,INT((B1738/28)/21))</f>
        <v>12</v>
      </c>
      <c r="D1738" s="16" t="n">
        <f aca="false">IF(B1738=-1, -1, MOD(INT(B1738/28),21))</f>
        <v>20</v>
      </c>
      <c r="E1738" s="16" t="n">
        <f aca="false">IF(B1738=-1, -1, VLOOKUP(MOD(B1738,28), $T$24:$U$52,2))</f>
        <v>1</v>
      </c>
      <c r="F1738" s="16" t="n">
        <f aca="false">IF($B1738=-1, -1, VLOOKUP(C1738,$T$1:$V$20, 2))</f>
        <v>3</v>
      </c>
      <c r="G1738" s="16" t="n">
        <f aca="false">IF($B1738=-1, -1, VLOOKUP(D1738,$Y$1:$Z$22,2))</f>
        <v>5</v>
      </c>
      <c r="H1738" s="16" t="str">
        <f aca="false">_xlfn.UNICHAR(((F1738*21)+G1738)*28+44032)</f>
        <v>데</v>
      </c>
      <c r="I1738" s="16" t="n">
        <f aca="false">IF(B1738=-1, 1, COUNTIF($A$2:$A$3000, H1738))</f>
        <v>1</v>
      </c>
      <c r="J1738" s="10" t="str">
        <f aca="false">_xlfn.CONCAT(A1738, ",",H1738,",",I1738)</f>
        <v>직,데,1</v>
      </c>
      <c r="K1738" s="16" t="n">
        <f aca="false">IF(B1738=-1,-1,VLOOKUP(C1738,$T$1:$V$20,3))</f>
        <v>17</v>
      </c>
      <c r="L1738" s="16" t="n">
        <f aca="false">IF(B1738=-1,-1,VLOOKUP(D1738,$Y$1:$AA$22,3))</f>
        <v>20</v>
      </c>
      <c r="N1738" s="10" t="str">
        <f aca="false">_xlfn.UNICHAR(((C1738*21)+G1738)*28+44032)</f>
        <v>제</v>
      </c>
      <c r="O1738" s="10" t="str">
        <f aca="false">_xlfn.UNICHAR(((F1738*21)+D1738)*28+44032)</f>
        <v>디</v>
      </c>
      <c r="P1738" s="12" t="n">
        <f aca="false">COUNTIF($A$2:$A$3000, N1738) + COUNTIF($A$2:$A$3000, O1738)</f>
        <v>2</v>
      </c>
      <c r="Q1738" s="16" t="str">
        <f aca="false">IF(OR(B1738=-1,I1738=0, P1738&lt;&gt;2), "albhed_dummy", _xlfn.CONCAT("albhed ", RIGHT("  " &amp; K1738,2),", ", RIGHT("  " &amp; L1738,2), ", " ,"""",H1738,""", ", """",N1738,""", ","""",O1738,""""," ; ", A1738))</f>
        <v>albhed 17, 20, "데", "제", "디" ; 직</v>
      </c>
    </row>
    <row r="1739" customFormat="false" ht="17.9" hidden="false" customHeight="true" outlineLevel="0" collapsed="false">
      <c r="A1739" s="16" t="s">
        <v>2589</v>
      </c>
      <c r="B1739" s="16" t="n">
        <f aca="false">IF(_xlfn.UNICODE(A1739)&lt;44032,-1,_xlfn.UNICODE(A1739)-44032)</f>
        <v>7620</v>
      </c>
      <c r="C1739" s="16" t="n">
        <f aca="false">IF(B1739=-1,-1,INT((B1739/28)/21))</f>
        <v>12</v>
      </c>
      <c r="D1739" s="16" t="n">
        <f aca="false">IF(B1739=-1, -1, MOD(INT(B1739/28),21))</f>
        <v>20</v>
      </c>
      <c r="E1739" s="16" t="n">
        <f aca="false">IF(B1739=-1, -1, VLOOKUP(MOD(B1739,28), $T$24:$U$52,2))</f>
        <v>4</v>
      </c>
      <c r="F1739" s="16" t="n">
        <f aca="false">IF($B1739=-1, -1, VLOOKUP(C1739,$T$1:$V$20, 2))</f>
        <v>3</v>
      </c>
      <c r="G1739" s="16" t="n">
        <f aca="false">IF($B1739=-1, -1, VLOOKUP(D1739,$Y$1:$Z$22,2))</f>
        <v>5</v>
      </c>
      <c r="H1739" s="16" t="str">
        <f aca="false">_xlfn.UNICHAR(((F1739*21)+G1739)*28+44032)</f>
        <v>데</v>
      </c>
      <c r="I1739" s="16" t="n">
        <f aca="false">IF(B1739=-1, 1, COUNTIF($A$2:$A$3000, H1739))</f>
        <v>1</v>
      </c>
      <c r="J1739" s="10" t="str">
        <f aca="false">_xlfn.CONCAT(A1739, ",",H1739,",",I1739)</f>
        <v>진,데,1</v>
      </c>
      <c r="K1739" s="16" t="n">
        <f aca="false">IF(B1739=-1,-1,VLOOKUP(C1739,$T$1:$V$20,3))</f>
        <v>17</v>
      </c>
      <c r="L1739" s="16" t="n">
        <f aca="false">IF(B1739=-1,-1,VLOOKUP(D1739,$Y$1:$AA$22,3))</f>
        <v>20</v>
      </c>
      <c r="N1739" s="10" t="str">
        <f aca="false">_xlfn.UNICHAR(((C1739*21)+G1739)*28+44032)</f>
        <v>제</v>
      </c>
      <c r="O1739" s="10" t="str">
        <f aca="false">_xlfn.UNICHAR(((F1739*21)+D1739)*28+44032)</f>
        <v>디</v>
      </c>
      <c r="P1739" s="12" t="n">
        <f aca="false">COUNTIF($A$2:$A$3000, N1739) + COUNTIF($A$2:$A$3000, O1739)</f>
        <v>2</v>
      </c>
      <c r="Q1739" s="16" t="str">
        <f aca="false">IF(OR(B1739=-1,I1739=0, P1739&lt;&gt;2), "albhed_dummy", _xlfn.CONCAT("albhed ", RIGHT("  " &amp; K1739,2),", ", RIGHT("  " &amp; L1739,2), ", " ,"""",H1739,""", ", """",N1739,""", ","""",O1739,""""," ; ", A1739))</f>
        <v>albhed 17, 20, "데", "제", "디" ; 진</v>
      </c>
    </row>
    <row r="1740" customFormat="false" ht="17.9" hidden="false" customHeight="true" outlineLevel="0" collapsed="false">
      <c r="A1740" s="16" t="s">
        <v>2590</v>
      </c>
      <c r="B1740" s="16" t="n">
        <f aca="false">IF(_xlfn.UNICODE(A1740)&lt;44032,-1,_xlfn.UNICODE(A1740)-44032)</f>
        <v>7623</v>
      </c>
      <c r="C1740" s="16" t="n">
        <f aca="false">IF(B1740=-1,-1,INT((B1740/28)/21))</f>
        <v>12</v>
      </c>
      <c r="D1740" s="16" t="n">
        <f aca="false">IF(B1740=-1, -1, MOD(INT(B1740/28),21))</f>
        <v>20</v>
      </c>
      <c r="E1740" s="16" t="n">
        <f aca="false">IF(B1740=-1, -1, VLOOKUP(MOD(B1740,28), $T$24:$U$52,2))</f>
        <v>19</v>
      </c>
      <c r="F1740" s="16" t="n">
        <f aca="false">IF($B1740=-1, -1, VLOOKUP(C1740,$T$1:$V$20, 2))</f>
        <v>3</v>
      </c>
      <c r="G1740" s="16" t="n">
        <f aca="false">IF($B1740=-1, -1, VLOOKUP(D1740,$Y$1:$Z$22,2))</f>
        <v>5</v>
      </c>
      <c r="H1740" s="16" t="str">
        <f aca="false">_xlfn.UNICHAR(((F1740*21)+G1740)*28+44032)</f>
        <v>데</v>
      </c>
      <c r="I1740" s="16" t="n">
        <f aca="false">IF(B1740=-1, 1, COUNTIF($A$2:$A$3000, H1740))</f>
        <v>1</v>
      </c>
      <c r="J1740" s="10" t="str">
        <f aca="false">_xlfn.CONCAT(A1740, ",",H1740,",",I1740)</f>
        <v>짇,데,1</v>
      </c>
      <c r="K1740" s="16" t="n">
        <f aca="false">IF(B1740=-1,-1,VLOOKUP(C1740,$T$1:$V$20,3))</f>
        <v>17</v>
      </c>
      <c r="L1740" s="16" t="n">
        <f aca="false">IF(B1740=-1,-1,VLOOKUP(D1740,$Y$1:$AA$22,3))</f>
        <v>20</v>
      </c>
      <c r="N1740" s="10" t="str">
        <f aca="false">_xlfn.UNICHAR(((C1740*21)+G1740)*28+44032)</f>
        <v>제</v>
      </c>
      <c r="O1740" s="10" t="str">
        <f aca="false">_xlfn.UNICHAR(((F1740*21)+D1740)*28+44032)</f>
        <v>디</v>
      </c>
      <c r="P1740" s="12" t="n">
        <f aca="false">COUNTIF($A$2:$A$3000, N1740) + COUNTIF($A$2:$A$3000, O1740)</f>
        <v>2</v>
      </c>
      <c r="Q1740" s="16" t="str">
        <f aca="false">IF(OR(B1740=-1,I1740=0, P1740&lt;&gt;2), "albhed_dummy", _xlfn.CONCAT("albhed ", RIGHT("  " &amp; K1740,2),", ", RIGHT("  " &amp; L1740,2), ", " ,"""",H1740,""", ", """",N1740,""", ","""",O1740,""""," ; ", A1740))</f>
        <v>albhed 17, 20, "데", "제", "디" ; 짇</v>
      </c>
    </row>
    <row r="1741" customFormat="false" ht="17.9" hidden="false" customHeight="true" outlineLevel="0" collapsed="false">
      <c r="A1741" s="16" t="s">
        <v>2591</v>
      </c>
      <c r="B1741" s="16" t="n">
        <f aca="false">IF(_xlfn.UNICODE(A1741)&lt;44032,-1,_xlfn.UNICODE(A1741)-44032)</f>
        <v>7624</v>
      </c>
      <c r="C1741" s="16" t="n">
        <f aca="false">IF(B1741=-1,-1,INT((B1741/28)/21))</f>
        <v>12</v>
      </c>
      <c r="D1741" s="16" t="n">
        <f aca="false">IF(B1741=-1, -1, MOD(INT(B1741/28),21))</f>
        <v>20</v>
      </c>
      <c r="E1741" s="16" t="n">
        <f aca="false">IF(B1741=-1, -1, VLOOKUP(MOD(B1741,28), $T$24:$U$52,2))</f>
        <v>8</v>
      </c>
      <c r="F1741" s="16" t="n">
        <f aca="false">IF($B1741=-1, -1, VLOOKUP(C1741,$T$1:$V$20, 2))</f>
        <v>3</v>
      </c>
      <c r="G1741" s="16" t="n">
        <f aca="false">IF($B1741=-1, -1, VLOOKUP(D1741,$Y$1:$Z$22,2))</f>
        <v>5</v>
      </c>
      <c r="H1741" s="16" t="str">
        <f aca="false">_xlfn.UNICHAR(((F1741*21)+G1741)*28+44032)</f>
        <v>데</v>
      </c>
      <c r="I1741" s="16" t="n">
        <f aca="false">IF(B1741=-1, 1, COUNTIF($A$2:$A$3000, H1741))</f>
        <v>1</v>
      </c>
      <c r="J1741" s="10" t="str">
        <f aca="false">_xlfn.CONCAT(A1741, ",",H1741,",",I1741)</f>
        <v>질,데,1</v>
      </c>
      <c r="K1741" s="16" t="n">
        <f aca="false">IF(B1741=-1,-1,VLOOKUP(C1741,$T$1:$V$20,3))</f>
        <v>17</v>
      </c>
      <c r="L1741" s="16" t="n">
        <f aca="false">IF(B1741=-1,-1,VLOOKUP(D1741,$Y$1:$AA$22,3))</f>
        <v>20</v>
      </c>
      <c r="N1741" s="10" t="str">
        <f aca="false">_xlfn.UNICHAR(((C1741*21)+G1741)*28+44032)</f>
        <v>제</v>
      </c>
      <c r="O1741" s="10" t="str">
        <f aca="false">_xlfn.UNICHAR(((F1741*21)+D1741)*28+44032)</f>
        <v>디</v>
      </c>
      <c r="P1741" s="12" t="n">
        <f aca="false">COUNTIF($A$2:$A$3000, N1741) + COUNTIF($A$2:$A$3000, O1741)</f>
        <v>2</v>
      </c>
      <c r="Q1741" s="16" t="str">
        <f aca="false">IF(OR(B1741=-1,I1741=0, P1741&lt;&gt;2), "albhed_dummy", _xlfn.CONCAT("albhed ", RIGHT("  " &amp; K1741,2),", ", RIGHT("  " &amp; L1741,2), ", " ,"""",H1741,""", ", """",N1741,""", ","""",O1741,""""," ; ", A1741))</f>
        <v>albhed 17, 20, "데", "제", "디" ; 질</v>
      </c>
    </row>
    <row r="1742" customFormat="false" ht="17.9" hidden="false" customHeight="true" outlineLevel="0" collapsed="false">
      <c r="A1742" s="16" t="s">
        <v>2592</v>
      </c>
      <c r="B1742" s="16" t="n">
        <f aca="false">IF(_xlfn.UNICODE(A1742)&lt;44032,-1,_xlfn.UNICODE(A1742)-44032)</f>
        <v>7626</v>
      </c>
      <c r="C1742" s="16" t="n">
        <f aca="false">IF(B1742=-1,-1,INT((B1742/28)/21))</f>
        <v>12</v>
      </c>
      <c r="D1742" s="16" t="n">
        <f aca="false">IF(B1742=-1, -1, MOD(INT(B1742/28),21))</f>
        <v>20</v>
      </c>
      <c r="E1742" s="16" t="n">
        <f aca="false">IF(B1742=-1, -1, VLOOKUP(MOD(B1742,28), $T$24:$U$52,2))</f>
        <v>8</v>
      </c>
      <c r="F1742" s="16" t="n">
        <f aca="false">IF($B1742=-1, -1, VLOOKUP(C1742,$T$1:$V$20, 2))</f>
        <v>3</v>
      </c>
      <c r="G1742" s="16" t="n">
        <f aca="false">IF($B1742=-1, -1, VLOOKUP(D1742,$Y$1:$Z$22,2))</f>
        <v>5</v>
      </c>
      <c r="H1742" s="16" t="str">
        <f aca="false">_xlfn.UNICHAR(((F1742*21)+G1742)*28+44032)</f>
        <v>데</v>
      </c>
      <c r="I1742" s="16" t="n">
        <f aca="false">IF(B1742=-1, 1, COUNTIF($A$2:$A$3000, H1742))</f>
        <v>1</v>
      </c>
      <c r="J1742" s="10" t="str">
        <f aca="false">_xlfn.CONCAT(A1742, ",",H1742,",",I1742)</f>
        <v>짊,데,1</v>
      </c>
      <c r="K1742" s="16" t="n">
        <f aca="false">IF(B1742=-1,-1,VLOOKUP(C1742,$T$1:$V$20,3))</f>
        <v>17</v>
      </c>
      <c r="L1742" s="16" t="n">
        <f aca="false">IF(B1742=-1,-1,VLOOKUP(D1742,$Y$1:$AA$22,3))</f>
        <v>20</v>
      </c>
      <c r="N1742" s="10" t="str">
        <f aca="false">_xlfn.UNICHAR(((C1742*21)+G1742)*28+44032)</f>
        <v>제</v>
      </c>
      <c r="O1742" s="10" t="str">
        <f aca="false">_xlfn.UNICHAR(((F1742*21)+D1742)*28+44032)</f>
        <v>디</v>
      </c>
      <c r="P1742" s="12" t="n">
        <f aca="false">COUNTIF($A$2:$A$3000, N1742) + COUNTIF($A$2:$A$3000, O1742)</f>
        <v>2</v>
      </c>
      <c r="Q1742" s="16" t="str">
        <f aca="false">IF(OR(B1742=-1,I1742=0, P1742&lt;&gt;2), "albhed_dummy", _xlfn.CONCAT("albhed ", RIGHT("  " &amp; K1742,2),", ", RIGHT("  " &amp; L1742,2), ", " ,"""",H1742,""", ", """",N1742,""", ","""",O1742,""""," ; ", A1742))</f>
        <v>albhed 17, 20, "데", "제", "디" ; 짊</v>
      </c>
    </row>
    <row r="1743" customFormat="false" ht="17.9" hidden="false" customHeight="true" outlineLevel="0" collapsed="false">
      <c r="A1743" s="16" t="s">
        <v>2593</v>
      </c>
      <c r="B1743" s="16" t="n">
        <f aca="false">IF(_xlfn.UNICODE(A1743)&lt;44032,-1,_xlfn.UNICODE(A1743)-44032)</f>
        <v>7632</v>
      </c>
      <c r="C1743" s="16" t="n">
        <f aca="false">IF(B1743=-1,-1,INT((B1743/28)/21))</f>
        <v>12</v>
      </c>
      <c r="D1743" s="16" t="n">
        <f aca="false">IF(B1743=-1, -1, MOD(INT(B1743/28),21))</f>
        <v>20</v>
      </c>
      <c r="E1743" s="16" t="n">
        <f aca="false">IF(B1743=-1, -1, VLOOKUP(MOD(B1743,28), $T$24:$U$52,2))</f>
        <v>16</v>
      </c>
      <c r="F1743" s="16" t="n">
        <f aca="false">IF($B1743=-1, -1, VLOOKUP(C1743,$T$1:$V$20, 2))</f>
        <v>3</v>
      </c>
      <c r="G1743" s="16" t="n">
        <f aca="false">IF($B1743=-1, -1, VLOOKUP(D1743,$Y$1:$Z$22,2))</f>
        <v>5</v>
      </c>
      <c r="H1743" s="16" t="str">
        <f aca="false">_xlfn.UNICHAR(((F1743*21)+G1743)*28+44032)</f>
        <v>데</v>
      </c>
      <c r="I1743" s="16" t="n">
        <f aca="false">IF(B1743=-1, 1, COUNTIF($A$2:$A$3000, H1743))</f>
        <v>1</v>
      </c>
      <c r="J1743" s="10" t="str">
        <f aca="false">_xlfn.CONCAT(A1743, ",",H1743,",",I1743)</f>
        <v>짐,데,1</v>
      </c>
      <c r="K1743" s="16" t="n">
        <f aca="false">IF(B1743=-1,-1,VLOOKUP(C1743,$T$1:$V$20,3))</f>
        <v>17</v>
      </c>
      <c r="L1743" s="16" t="n">
        <f aca="false">IF(B1743=-1,-1,VLOOKUP(D1743,$Y$1:$AA$22,3))</f>
        <v>20</v>
      </c>
      <c r="N1743" s="10" t="str">
        <f aca="false">_xlfn.UNICHAR(((C1743*21)+G1743)*28+44032)</f>
        <v>제</v>
      </c>
      <c r="O1743" s="10" t="str">
        <f aca="false">_xlfn.UNICHAR(((F1743*21)+D1743)*28+44032)</f>
        <v>디</v>
      </c>
      <c r="P1743" s="12" t="n">
        <f aca="false">COUNTIF($A$2:$A$3000, N1743) + COUNTIF($A$2:$A$3000, O1743)</f>
        <v>2</v>
      </c>
      <c r="Q1743" s="16" t="str">
        <f aca="false">IF(OR(B1743=-1,I1743=0, P1743&lt;&gt;2), "albhed_dummy", _xlfn.CONCAT("albhed ", RIGHT("  " &amp; K1743,2),", ", RIGHT("  " &amp; L1743,2), ", " ,"""",H1743,""", ", """",N1743,""", ","""",O1743,""""," ; ", A1743))</f>
        <v>albhed 17, 20, "데", "제", "디" ; 짐</v>
      </c>
    </row>
    <row r="1744" customFormat="false" ht="17.9" hidden="false" customHeight="true" outlineLevel="0" collapsed="false">
      <c r="A1744" s="16" t="s">
        <v>2594</v>
      </c>
      <c r="B1744" s="16" t="n">
        <f aca="false">IF(_xlfn.UNICODE(A1744)&lt;44032,-1,_xlfn.UNICODE(A1744)-44032)</f>
        <v>7633</v>
      </c>
      <c r="C1744" s="16" t="n">
        <f aca="false">IF(B1744=-1,-1,INT((B1744/28)/21))</f>
        <v>12</v>
      </c>
      <c r="D1744" s="16" t="n">
        <f aca="false">IF(B1744=-1, -1, MOD(INT(B1744/28),21))</f>
        <v>20</v>
      </c>
      <c r="E1744" s="16" t="n">
        <f aca="false">IF(B1744=-1, -1, VLOOKUP(MOD(B1744,28), $T$24:$U$52,2))</f>
        <v>17</v>
      </c>
      <c r="F1744" s="16" t="n">
        <f aca="false">IF($B1744=-1, -1, VLOOKUP(C1744,$T$1:$V$20, 2))</f>
        <v>3</v>
      </c>
      <c r="G1744" s="16" t="n">
        <f aca="false">IF($B1744=-1, -1, VLOOKUP(D1744,$Y$1:$Z$22,2))</f>
        <v>5</v>
      </c>
      <c r="H1744" s="16" t="str">
        <f aca="false">_xlfn.UNICHAR(((F1744*21)+G1744)*28+44032)</f>
        <v>데</v>
      </c>
      <c r="I1744" s="16" t="n">
        <f aca="false">IF(B1744=-1, 1, COUNTIF($A$2:$A$3000, H1744))</f>
        <v>1</v>
      </c>
      <c r="J1744" s="10" t="str">
        <f aca="false">_xlfn.CONCAT(A1744, ",",H1744,",",I1744)</f>
        <v>집,데,1</v>
      </c>
      <c r="K1744" s="16" t="n">
        <f aca="false">IF(B1744=-1,-1,VLOOKUP(C1744,$T$1:$V$20,3))</f>
        <v>17</v>
      </c>
      <c r="L1744" s="16" t="n">
        <f aca="false">IF(B1744=-1,-1,VLOOKUP(D1744,$Y$1:$AA$22,3))</f>
        <v>20</v>
      </c>
      <c r="N1744" s="10" t="str">
        <f aca="false">_xlfn.UNICHAR(((C1744*21)+G1744)*28+44032)</f>
        <v>제</v>
      </c>
      <c r="O1744" s="10" t="str">
        <f aca="false">_xlfn.UNICHAR(((F1744*21)+D1744)*28+44032)</f>
        <v>디</v>
      </c>
      <c r="P1744" s="12" t="n">
        <f aca="false">COUNTIF($A$2:$A$3000, N1744) + COUNTIF($A$2:$A$3000, O1744)</f>
        <v>2</v>
      </c>
      <c r="Q1744" s="16" t="str">
        <f aca="false">IF(OR(B1744=-1,I1744=0, P1744&lt;&gt;2), "albhed_dummy", _xlfn.CONCAT("albhed ", RIGHT("  " &amp; K1744,2),", ", RIGHT("  " &amp; L1744,2), ", " ,"""",H1744,""", ", """",N1744,""", ","""",O1744,""""," ; ", A1744))</f>
        <v>albhed 17, 20, "데", "제", "디" ; 집</v>
      </c>
    </row>
    <row r="1745" customFormat="false" ht="17.9" hidden="false" customHeight="true" outlineLevel="0" collapsed="false">
      <c r="A1745" s="16" t="s">
        <v>2595</v>
      </c>
      <c r="B1745" s="16" t="n">
        <f aca="false">IF(_xlfn.UNICODE(A1745)&lt;44032,-1,_xlfn.UNICODE(A1745)-44032)</f>
        <v>7635</v>
      </c>
      <c r="C1745" s="16" t="n">
        <f aca="false">IF(B1745=-1,-1,INT((B1745/28)/21))</f>
        <v>12</v>
      </c>
      <c r="D1745" s="16" t="n">
        <f aca="false">IF(B1745=-1, -1, MOD(INT(B1745/28),21))</f>
        <v>20</v>
      </c>
      <c r="E1745" s="16" t="n">
        <f aca="false">IF(B1745=-1, -1, VLOOKUP(MOD(B1745,28), $T$24:$U$52,2))</f>
        <v>19</v>
      </c>
      <c r="F1745" s="16" t="n">
        <f aca="false">IF($B1745=-1, -1, VLOOKUP(C1745,$T$1:$V$20, 2))</f>
        <v>3</v>
      </c>
      <c r="G1745" s="16" t="n">
        <f aca="false">IF($B1745=-1, -1, VLOOKUP(D1745,$Y$1:$Z$22,2))</f>
        <v>5</v>
      </c>
      <c r="H1745" s="16" t="str">
        <f aca="false">_xlfn.UNICHAR(((F1745*21)+G1745)*28+44032)</f>
        <v>데</v>
      </c>
      <c r="I1745" s="16" t="n">
        <f aca="false">IF(B1745=-1, 1, COUNTIF($A$2:$A$3000, H1745))</f>
        <v>1</v>
      </c>
      <c r="J1745" s="10" t="str">
        <f aca="false">_xlfn.CONCAT(A1745, ",",H1745,",",I1745)</f>
        <v>짓,데,1</v>
      </c>
      <c r="K1745" s="16" t="n">
        <f aca="false">IF(B1745=-1,-1,VLOOKUP(C1745,$T$1:$V$20,3))</f>
        <v>17</v>
      </c>
      <c r="L1745" s="16" t="n">
        <f aca="false">IF(B1745=-1,-1,VLOOKUP(D1745,$Y$1:$AA$22,3))</f>
        <v>20</v>
      </c>
      <c r="N1745" s="10" t="str">
        <f aca="false">_xlfn.UNICHAR(((C1745*21)+G1745)*28+44032)</f>
        <v>제</v>
      </c>
      <c r="O1745" s="10" t="str">
        <f aca="false">_xlfn.UNICHAR(((F1745*21)+D1745)*28+44032)</f>
        <v>디</v>
      </c>
      <c r="P1745" s="12" t="n">
        <f aca="false">COUNTIF($A$2:$A$3000, N1745) + COUNTIF($A$2:$A$3000, O1745)</f>
        <v>2</v>
      </c>
      <c r="Q1745" s="16" t="str">
        <f aca="false">IF(OR(B1745=-1,I1745=0, P1745&lt;&gt;2), "albhed_dummy", _xlfn.CONCAT("albhed ", RIGHT("  " &amp; K1745,2),", ", RIGHT("  " &amp; L1745,2), ", " ,"""",H1745,""", ", """",N1745,""", ","""",O1745,""""," ; ", A1745))</f>
        <v>albhed 17, 20, "데", "제", "디" ; 짓</v>
      </c>
    </row>
    <row r="1746" customFormat="false" ht="17.9" hidden="false" customHeight="true" outlineLevel="0" collapsed="false">
      <c r="A1746" s="16" t="s">
        <v>2596</v>
      </c>
      <c r="B1746" s="16" t="n">
        <f aca="false">IF(_xlfn.UNICODE(A1746)&lt;44032,-1,_xlfn.UNICODE(A1746)-44032)</f>
        <v>7637</v>
      </c>
      <c r="C1746" s="16" t="n">
        <f aca="false">IF(B1746=-1,-1,INT((B1746/28)/21))</f>
        <v>12</v>
      </c>
      <c r="D1746" s="16" t="n">
        <f aca="false">IF(B1746=-1, -1, MOD(INT(B1746/28),21))</f>
        <v>20</v>
      </c>
      <c r="E1746" s="16" t="n">
        <f aca="false">IF(B1746=-1, -1, VLOOKUP(MOD(B1746,28), $T$24:$U$52,2))</f>
        <v>21</v>
      </c>
      <c r="F1746" s="16" t="n">
        <f aca="false">IF($B1746=-1, -1, VLOOKUP(C1746,$T$1:$V$20, 2))</f>
        <v>3</v>
      </c>
      <c r="G1746" s="16" t="n">
        <f aca="false">IF($B1746=-1, -1, VLOOKUP(D1746,$Y$1:$Z$22,2))</f>
        <v>5</v>
      </c>
      <c r="H1746" s="16" t="str">
        <f aca="false">_xlfn.UNICHAR(((F1746*21)+G1746)*28+44032)</f>
        <v>데</v>
      </c>
      <c r="I1746" s="16" t="n">
        <f aca="false">IF(B1746=-1, 1, COUNTIF($A$2:$A$3000, H1746))</f>
        <v>1</v>
      </c>
      <c r="J1746" s="10" t="str">
        <f aca="false">_xlfn.CONCAT(A1746, ",",H1746,",",I1746)</f>
        <v>징,데,1</v>
      </c>
      <c r="K1746" s="16" t="n">
        <f aca="false">IF(B1746=-1,-1,VLOOKUP(C1746,$T$1:$V$20,3))</f>
        <v>17</v>
      </c>
      <c r="L1746" s="16" t="n">
        <f aca="false">IF(B1746=-1,-1,VLOOKUP(D1746,$Y$1:$AA$22,3))</f>
        <v>20</v>
      </c>
      <c r="N1746" s="10" t="str">
        <f aca="false">_xlfn.UNICHAR(((C1746*21)+G1746)*28+44032)</f>
        <v>제</v>
      </c>
      <c r="O1746" s="10" t="str">
        <f aca="false">_xlfn.UNICHAR(((F1746*21)+D1746)*28+44032)</f>
        <v>디</v>
      </c>
      <c r="P1746" s="12" t="n">
        <f aca="false">COUNTIF($A$2:$A$3000, N1746) + COUNTIF($A$2:$A$3000, O1746)</f>
        <v>2</v>
      </c>
      <c r="Q1746" s="16" t="str">
        <f aca="false">IF(OR(B1746=-1,I1746=0, P1746&lt;&gt;2), "albhed_dummy", _xlfn.CONCAT("albhed ", RIGHT("  " &amp; K1746,2),", ", RIGHT("  " &amp; L1746,2), ", " ,"""",H1746,""", ", """",N1746,""", ","""",O1746,""""," ; ", A1746))</f>
        <v>albhed 17, 20, "데", "제", "디" ; 징</v>
      </c>
    </row>
    <row r="1747" customFormat="false" ht="17.9" hidden="false" customHeight="true" outlineLevel="0" collapsed="false">
      <c r="A1747" s="16" t="s">
        <v>2597</v>
      </c>
      <c r="B1747" s="16" t="n">
        <f aca="false">IF(_xlfn.UNICODE(A1747)&lt;44032,-1,_xlfn.UNICODE(A1747)-44032)</f>
        <v>7638</v>
      </c>
      <c r="C1747" s="16" t="n">
        <f aca="false">IF(B1747=-1,-1,INT((B1747/28)/21))</f>
        <v>12</v>
      </c>
      <c r="D1747" s="16" t="n">
        <f aca="false">IF(B1747=-1, -1, MOD(INT(B1747/28),21))</f>
        <v>20</v>
      </c>
      <c r="E1747" s="16" t="n">
        <f aca="false">IF(B1747=-1, -1, VLOOKUP(MOD(B1747,28), $T$24:$U$52,2))</f>
        <v>19</v>
      </c>
      <c r="F1747" s="16" t="n">
        <f aca="false">IF($B1747=-1, -1, VLOOKUP(C1747,$T$1:$V$20, 2))</f>
        <v>3</v>
      </c>
      <c r="G1747" s="16" t="n">
        <f aca="false">IF($B1747=-1, -1, VLOOKUP(D1747,$Y$1:$Z$22,2))</f>
        <v>5</v>
      </c>
      <c r="H1747" s="16" t="str">
        <f aca="false">_xlfn.UNICHAR(((F1747*21)+G1747)*28+44032)</f>
        <v>데</v>
      </c>
      <c r="I1747" s="16" t="n">
        <f aca="false">IF(B1747=-1, 1, COUNTIF($A$2:$A$3000, H1747))</f>
        <v>1</v>
      </c>
      <c r="J1747" s="10" t="str">
        <f aca="false">_xlfn.CONCAT(A1747, ",",H1747,",",I1747)</f>
        <v>짖,데,1</v>
      </c>
      <c r="K1747" s="16" t="n">
        <f aca="false">IF(B1747=-1,-1,VLOOKUP(C1747,$T$1:$V$20,3))</f>
        <v>17</v>
      </c>
      <c r="L1747" s="16" t="n">
        <f aca="false">IF(B1747=-1,-1,VLOOKUP(D1747,$Y$1:$AA$22,3))</f>
        <v>20</v>
      </c>
      <c r="N1747" s="10" t="str">
        <f aca="false">_xlfn.UNICHAR(((C1747*21)+G1747)*28+44032)</f>
        <v>제</v>
      </c>
      <c r="O1747" s="10" t="str">
        <f aca="false">_xlfn.UNICHAR(((F1747*21)+D1747)*28+44032)</f>
        <v>디</v>
      </c>
      <c r="P1747" s="12" t="n">
        <f aca="false">COUNTIF($A$2:$A$3000, N1747) + COUNTIF($A$2:$A$3000, O1747)</f>
        <v>2</v>
      </c>
      <c r="Q1747" s="16" t="str">
        <f aca="false">IF(OR(B1747=-1,I1747=0, P1747&lt;&gt;2), "albhed_dummy", _xlfn.CONCAT("albhed ", RIGHT("  " &amp; K1747,2),", ", RIGHT("  " &amp; L1747,2), ", " ,"""",H1747,""", ", """",N1747,""", ","""",O1747,""""," ; ", A1747))</f>
        <v>albhed 17, 20, "데", "제", "디" ; 짖</v>
      </c>
    </row>
    <row r="1748" customFormat="false" ht="17.9" hidden="false" customHeight="true" outlineLevel="0" collapsed="false">
      <c r="A1748" s="16" t="s">
        <v>2598</v>
      </c>
      <c r="B1748" s="16" t="n">
        <f aca="false">IF(_xlfn.UNICODE(A1748)&lt;44032,-1,_xlfn.UNICODE(A1748)-44032)</f>
        <v>7641</v>
      </c>
      <c r="C1748" s="16" t="n">
        <f aca="false">IF(B1748=-1,-1,INT((B1748/28)/21))</f>
        <v>12</v>
      </c>
      <c r="D1748" s="16" t="n">
        <f aca="false">IF(B1748=-1, -1, MOD(INT(B1748/28),21))</f>
        <v>20</v>
      </c>
      <c r="E1748" s="16" t="n">
        <f aca="false">IF(B1748=-1, -1, VLOOKUP(MOD(B1748,28), $T$24:$U$52,2))</f>
        <v>19</v>
      </c>
      <c r="F1748" s="16" t="n">
        <f aca="false">IF($B1748=-1, -1, VLOOKUP(C1748,$T$1:$V$20, 2))</f>
        <v>3</v>
      </c>
      <c r="G1748" s="16" t="n">
        <f aca="false">IF($B1748=-1, -1, VLOOKUP(D1748,$Y$1:$Z$22,2))</f>
        <v>5</v>
      </c>
      <c r="H1748" s="16" t="str">
        <f aca="false">_xlfn.UNICHAR(((F1748*21)+G1748)*28+44032)</f>
        <v>데</v>
      </c>
      <c r="I1748" s="16" t="n">
        <f aca="false">IF(B1748=-1, 1, COUNTIF($A$2:$A$3000, H1748))</f>
        <v>1</v>
      </c>
      <c r="J1748" s="10" t="str">
        <f aca="false">_xlfn.CONCAT(A1748, ",",H1748,",",I1748)</f>
        <v>짙,데,1</v>
      </c>
      <c r="K1748" s="16" t="n">
        <f aca="false">IF(B1748=-1,-1,VLOOKUP(C1748,$T$1:$V$20,3))</f>
        <v>17</v>
      </c>
      <c r="L1748" s="16" t="n">
        <f aca="false">IF(B1748=-1,-1,VLOOKUP(D1748,$Y$1:$AA$22,3))</f>
        <v>20</v>
      </c>
      <c r="N1748" s="10" t="str">
        <f aca="false">_xlfn.UNICHAR(((C1748*21)+G1748)*28+44032)</f>
        <v>제</v>
      </c>
      <c r="O1748" s="10" t="str">
        <f aca="false">_xlfn.UNICHAR(((F1748*21)+D1748)*28+44032)</f>
        <v>디</v>
      </c>
      <c r="P1748" s="12" t="n">
        <f aca="false">COUNTIF($A$2:$A$3000, N1748) + COUNTIF($A$2:$A$3000, O1748)</f>
        <v>2</v>
      </c>
      <c r="Q1748" s="16" t="str">
        <f aca="false">IF(OR(B1748=-1,I1748=0, P1748&lt;&gt;2), "albhed_dummy", _xlfn.CONCAT("albhed ", RIGHT("  " &amp; K1748,2),", ", RIGHT("  " &amp; L1748,2), ", " ,"""",H1748,""", ", """",N1748,""", ","""",O1748,""""," ; ", A1748))</f>
        <v>albhed 17, 20, "데", "제", "디" ; 짙</v>
      </c>
    </row>
    <row r="1749" customFormat="false" ht="17.9" hidden="false" customHeight="true" outlineLevel="0" collapsed="false">
      <c r="A1749" s="16" t="s">
        <v>2599</v>
      </c>
      <c r="B1749" s="16" t="n">
        <f aca="false">IF(_xlfn.UNICODE(A1749)&lt;44032,-1,_xlfn.UNICODE(A1749)-44032)</f>
        <v>7642</v>
      </c>
      <c r="C1749" s="16" t="n">
        <f aca="false">IF(B1749=-1,-1,INT((B1749/28)/21))</f>
        <v>12</v>
      </c>
      <c r="D1749" s="16" t="n">
        <f aca="false">IF(B1749=-1, -1, MOD(INT(B1749/28),21))</f>
        <v>20</v>
      </c>
      <c r="E1749" s="16" t="n">
        <f aca="false">IF(B1749=-1, -1, VLOOKUP(MOD(B1749,28), $T$24:$U$52,2))</f>
        <v>17</v>
      </c>
      <c r="F1749" s="16" t="n">
        <f aca="false">IF($B1749=-1, -1, VLOOKUP(C1749,$T$1:$V$20, 2))</f>
        <v>3</v>
      </c>
      <c r="G1749" s="16" t="n">
        <f aca="false">IF($B1749=-1, -1, VLOOKUP(D1749,$Y$1:$Z$22,2))</f>
        <v>5</v>
      </c>
      <c r="H1749" s="16" t="str">
        <f aca="false">_xlfn.UNICHAR(((F1749*21)+G1749)*28+44032)</f>
        <v>데</v>
      </c>
      <c r="I1749" s="16" t="n">
        <f aca="false">IF(B1749=-1, 1, COUNTIF($A$2:$A$3000, H1749))</f>
        <v>1</v>
      </c>
      <c r="J1749" s="10" t="str">
        <f aca="false">_xlfn.CONCAT(A1749, ",",H1749,",",I1749)</f>
        <v>짚,데,1</v>
      </c>
      <c r="K1749" s="16" t="n">
        <f aca="false">IF(B1749=-1,-1,VLOOKUP(C1749,$T$1:$V$20,3))</f>
        <v>17</v>
      </c>
      <c r="L1749" s="16" t="n">
        <f aca="false">IF(B1749=-1,-1,VLOOKUP(D1749,$Y$1:$AA$22,3))</f>
        <v>20</v>
      </c>
      <c r="N1749" s="10" t="str">
        <f aca="false">_xlfn.UNICHAR(((C1749*21)+G1749)*28+44032)</f>
        <v>제</v>
      </c>
      <c r="O1749" s="10" t="str">
        <f aca="false">_xlfn.UNICHAR(((F1749*21)+D1749)*28+44032)</f>
        <v>디</v>
      </c>
      <c r="P1749" s="12" t="n">
        <f aca="false">COUNTIF($A$2:$A$3000, N1749) + COUNTIF($A$2:$A$3000, O1749)</f>
        <v>2</v>
      </c>
      <c r="Q1749" s="16" t="str">
        <f aca="false">IF(OR(B1749=-1,I1749=0, P1749&lt;&gt;2), "albhed_dummy", _xlfn.CONCAT("albhed ", RIGHT("  " &amp; K1749,2),", ", RIGHT("  " &amp; L1749,2), ", " ,"""",H1749,""", ", """",N1749,""", ","""",O1749,""""," ; ", A1749))</f>
        <v>albhed 17, 20, "데", "제", "디" ; 짚</v>
      </c>
    </row>
    <row r="1750" customFormat="false" ht="17.9" hidden="false" customHeight="true" outlineLevel="0" collapsed="false">
      <c r="A1750" s="16" t="s">
        <v>2600</v>
      </c>
      <c r="B1750" s="16" t="n">
        <f aca="false">IF(_xlfn.UNICODE(A1750)&lt;44032,-1,_xlfn.UNICODE(A1750)-44032)</f>
        <v>7644</v>
      </c>
      <c r="C1750" s="16" t="n">
        <f aca="false">IF(B1750=-1,-1,INT((B1750/28)/21))</f>
        <v>13</v>
      </c>
      <c r="D1750" s="16" t="n">
        <f aca="false">IF(B1750=-1, -1, MOD(INT(B1750/28),21))</f>
        <v>0</v>
      </c>
      <c r="E1750" s="16" t="n">
        <f aca="false">IF(B1750=-1, -1, VLOOKUP(MOD(B1750,28), $T$24:$U$52,2))</f>
        <v>0</v>
      </c>
      <c r="F1750" s="16" t="n">
        <f aca="false">IF($B1750=-1, -1, VLOOKUP(C1750,$T$1:$V$20, 2))</f>
        <v>4</v>
      </c>
      <c r="G1750" s="16" t="n">
        <f aca="false">IF($B1750=-1, -1, VLOOKUP(D1750,$Y$1:$Z$22,2))</f>
        <v>13</v>
      </c>
      <c r="H1750" s="16" t="str">
        <f aca="false">_xlfn.UNICHAR(((F1750*21)+G1750)*28+44032)</f>
        <v>뚜</v>
      </c>
      <c r="I1750" s="16" t="n">
        <f aca="false">IF(B1750=-1, 1, COUNTIF($A$2:$A$3000, H1750))</f>
        <v>1</v>
      </c>
      <c r="J1750" s="10" t="str">
        <f aca="false">_xlfn.CONCAT(A1750, ",",H1750,",",I1750)</f>
        <v>짜,뚜,1</v>
      </c>
      <c r="K1750" s="16" t="n">
        <f aca="false">IF(B1750=-1,-1,VLOOKUP(C1750,$T$1:$V$20,3))</f>
        <v>17</v>
      </c>
      <c r="L1750" s="16" t="n">
        <f aca="false">IF(B1750=-1,-1,VLOOKUP(D1750,$Y$1:$AA$22,3))</f>
        <v>2</v>
      </c>
      <c r="N1750" s="10" t="str">
        <f aca="false">_xlfn.UNICHAR(((C1750*21)+G1750)*28+44032)</f>
        <v>쭈</v>
      </c>
      <c r="O1750" s="10" t="str">
        <f aca="false">_xlfn.UNICHAR(((F1750*21)+D1750)*28+44032)</f>
        <v>따</v>
      </c>
      <c r="P1750" s="12" t="n">
        <f aca="false">COUNTIF($A$2:$A$3000, N1750) + COUNTIF($A$2:$A$3000, O1750)</f>
        <v>2</v>
      </c>
      <c r="Q1750" s="16" t="str">
        <f aca="false">IF(OR(B1750=-1,I1750=0, P1750&lt;&gt;2), "albhed_dummy", _xlfn.CONCAT("albhed ", RIGHT("  " &amp; K1750,2),", ", RIGHT("  " &amp; L1750,2), ", " ,"""",H1750,""", ", """",N1750,""", ","""",O1750,""""," ; ", A1750))</f>
        <v>albhed 17,  2, "뚜", "쭈", "따" ; 짜</v>
      </c>
    </row>
    <row r="1751" customFormat="false" ht="17.9" hidden="false" customHeight="true" outlineLevel="0" collapsed="false">
      <c r="A1751" s="16" t="s">
        <v>2601</v>
      </c>
      <c r="B1751" s="16" t="n">
        <f aca="false">IF(_xlfn.UNICODE(A1751)&lt;44032,-1,_xlfn.UNICODE(A1751)-44032)</f>
        <v>7645</v>
      </c>
      <c r="C1751" s="16" t="n">
        <f aca="false">IF(B1751=-1,-1,INT((B1751/28)/21))</f>
        <v>13</v>
      </c>
      <c r="D1751" s="16" t="n">
        <f aca="false">IF(B1751=-1, -1, MOD(INT(B1751/28),21))</f>
        <v>0</v>
      </c>
      <c r="E1751" s="16" t="n">
        <f aca="false">IF(B1751=-1, -1, VLOOKUP(MOD(B1751,28), $T$24:$U$52,2))</f>
        <v>1</v>
      </c>
      <c r="F1751" s="16" t="n">
        <f aca="false">IF($B1751=-1, -1, VLOOKUP(C1751,$T$1:$V$20, 2))</f>
        <v>4</v>
      </c>
      <c r="G1751" s="16" t="n">
        <f aca="false">IF($B1751=-1, -1, VLOOKUP(D1751,$Y$1:$Z$22,2))</f>
        <v>13</v>
      </c>
      <c r="H1751" s="16" t="str">
        <f aca="false">_xlfn.UNICHAR(((F1751*21)+G1751)*28+44032)</f>
        <v>뚜</v>
      </c>
      <c r="I1751" s="16" t="n">
        <f aca="false">IF(B1751=-1, 1, COUNTIF($A$2:$A$3000, H1751))</f>
        <v>1</v>
      </c>
      <c r="J1751" s="10" t="str">
        <f aca="false">_xlfn.CONCAT(A1751, ",",H1751,",",I1751)</f>
        <v>짝,뚜,1</v>
      </c>
      <c r="K1751" s="16" t="n">
        <f aca="false">IF(B1751=-1,-1,VLOOKUP(C1751,$T$1:$V$20,3))</f>
        <v>17</v>
      </c>
      <c r="L1751" s="16" t="n">
        <f aca="false">IF(B1751=-1,-1,VLOOKUP(D1751,$Y$1:$AA$22,3))</f>
        <v>2</v>
      </c>
      <c r="N1751" s="10" t="str">
        <f aca="false">_xlfn.UNICHAR(((C1751*21)+G1751)*28+44032)</f>
        <v>쭈</v>
      </c>
      <c r="O1751" s="10" t="str">
        <f aca="false">_xlfn.UNICHAR(((F1751*21)+D1751)*28+44032)</f>
        <v>따</v>
      </c>
      <c r="P1751" s="12" t="n">
        <f aca="false">COUNTIF($A$2:$A$3000, N1751) + COUNTIF($A$2:$A$3000, O1751)</f>
        <v>2</v>
      </c>
      <c r="Q1751" s="16" t="str">
        <f aca="false">IF(OR(B1751=-1,I1751=0, P1751&lt;&gt;2), "albhed_dummy", _xlfn.CONCAT("albhed ", RIGHT("  " &amp; K1751,2),", ", RIGHT("  " &amp; L1751,2), ", " ,"""",H1751,""", ", """",N1751,""", ","""",O1751,""""," ; ", A1751))</f>
        <v>albhed 17,  2, "뚜", "쭈", "따" ; 짝</v>
      </c>
    </row>
    <row r="1752" customFormat="false" ht="17.9" hidden="false" customHeight="true" outlineLevel="0" collapsed="false">
      <c r="A1752" s="16" t="s">
        <v>2602</v>
      </c>
      <c r="B1752" s="16" t="n">
        <f aca="false">IF(_xlfn.UNICODE(A1752)&lt;44032,-1,_xlfn.UNICODE(A1752)-44032)</f>
        <v>7648</v>
      </c>
      <c r="C1752" s="16" t="n">
        <f aca="false">IF(B1752=-1,-1,INT((B1752/28)/21))</f>
        <v>13</v>
      </c>
      <c r="D1752" s="16" t="n">
        <f aca="false">IF(B1752=-1, -1, MOD(INT(B1752/28),21))</f>
        <v>0</v>
      </c>
      <c r="E1752" s="16" t="n">
        <f aca="false">IF(B1752=-1, -1, VLOOKUP(MOD(B1752,28), $T$24:$U$52,2))</f>
        <v>4</v>
      </c>
      <c r="F1752" s="16" t="n">
        <f aca="false">IF($B1752=-1, -1, VLOOKUP(C1752,$T$1:$V$20, 2))</f>
        <v>4</v>
      </c>
      <c r="G1752" s="16" t="n">
        <f aca="false">IF($B1752=-1, -1, VLOOKUP(D1752,$Y$1:$Z$22,2))</f>
        <v>13</v>
      </c>
      <c r="H1752" s="16" t="str">
        <f aca="false">_xlfn.UNICHAR(((F1752*21)+G1752)*28+44032)</f>
        <v>뚜</v>
      </c>
      <c r="I1752" s="16" t="n">
        <f aca="false">IF(B1752=-1, 1, COUNTIF($A$2:$A$3000, H1752))</f>
        <v>1</v>
      </c>
      <c r="J1752" s="10" t="str">
        <f aca="false">_xlfn.CONCAT(A1752, ",",H1752,",",I1752)</f>
        <v>짠,뚜,1</v>
      </c>
      <c r="K1752" s="16" t="n">
        <f aca="false">IF(B1752=-1,-1,VLOOKUP(C1752,$T$1:$V$20,3))</f>
        <v>17</v>
      </c>
      <c r="L1752" s="16" t="n">
        <f aca="false">IF(B1752=-1,-1,VLOOKUP(D1752,$Y$1:$AA$22,3))</f>
        <v>2</v>
      </c>
      <c r="N1752" s="10" t="str">
        <f aca="false">_xlfn.UNICHAR(((C1752*21)+G1752)*28+44032)</f>
        <v>쭈</v>
      </c>
      <c r="O1752" s="10" t="str">
        <f aca="false">_xlfn.UNICHAR(((F1752*21)+D1752)*28+44032)</f>
        <v>따</v>
      </c>
      <c r="P1752" s="12" t="n">
        <f aca="false">COUNTIF($A$2:$A$3000, N1752) + COUNTIF($A$2:$A$3000, O1752)</f>
        <v>2</v>
      </c>
      <c r="Q1752" s="16" t="str">
        <f aca="false">IF(OR(B1752=-1,I1752=0, P1752&lt;&gt;2), "albhed_dummy", _xlfn.CONCAT("albhed ", RIGHT("  " &amp; K1752,2),", ", RIGHT("  " &amp; L1752,2), ", " ,"""",H1752,""", ", """",N1752,""", ","""",O1752,""""," ; ", A1752))</f>
        <v>albhed 17,  2, "뚜", "쭈", "따" ; 짠</v>
      </c>
    </row>
    <row r="1753" customFormat="false" ht="17.9" hidden="false" customHeight="true" outlineLevel="0" collapsed="false">
      <c r="A1753" s="16" t="s">
        <v>2603</v>
      </c>
      <c r="B1753" s="16" t="n">
        <f aca="false">IF(_xlfn.UNICODE(A1753)&lt;44032,-1,_xlfn.UNICODE(A1753)-44032)</f>
        <v>7650</v>
      </c>
      <c r="C1753" s="16" t="n">
        <f aca="false">IF(B1753=-1,-1,INT((B1753/28)/21))</f>
        <v>13</v>
      </c>
      <c r="D1753" s="16" t="n">
        <f aca="false">IF(B1753=-1, -1, MOD(INT(B1753/28),21))</f>
        <v>0</v>
      </c>
      <c r="E1753" s="16" t="n">
        <f aca="false">IF(B1753=-1, -1, VLOOKUP(MOD(B1753,28), $T$24:$U$52,2))</f>
        <v>4</v>
      </c>
      <c r="F1753" s="16" t="n">
        <f aca="false">IF($B1753=-1, -1, VLOOKUP(C1753,$T$1:$V$20, 2))</f>
        <v>4</v>
      </c>
      <c r="G1753" s="16" t="n">
        <f aca="false">IF($B1753=-1, -1, VLOOKUP(D1753,$Y$1:$Z$22,2))</f>
        <v>13</v>
      </c>
      <c r="H1753" s="16" t="str">
        <f aca="false">_xlfn.UNICHAR(((F1753*21)+G1753)*28+44032)</f>
        <v>뚜</v>
      </c>
      <c r="I1753" s="16" t="n">
        <f aca="false">IF(B1753=-1, 1, COUNTIF($A$2:$A$3000, H1753))</f>
        <v>1</v>
      </c>
      <c r="J1753" s="10" t="str">
        <f aca="false">_xlfn.CONCAT(A1753, ",",H1753,",",I1753)</f>
        <v>짢,뚜,1</v>
      </c>
      <c r="K1753" s="16" t="n">
        <f aca="false">IF(B1753=-1,-1,VLOOKUP(C1753,$T$1:$V$20,3))</f>
        <v>17</v>
      </c>
      <c r="L1753" s="16" t="n">
        <f aca="false">IF(B1753=-1,-1,VLOOKUP(D1753,$Y$1:$AA$22,3))</f>
        <v>2</v>
      </c>
      <c r="N1753" s="10" t="str">
        <f aca="false">_xlfn.UNICHAR(((C1753*21)+G1753)*28+44032)</f>
        <v>쭈</v>
      </c>
      <c r="O1753" s="10" t="str">
        <f aca="false">_xlfn.UNICHAR(((F1753*21)+D1753)*28+44032)</f>
        <v>따</v>
      </c>
      <c r="P1753" s="12" t="n">
        <f aca="false">COUNTIF($A$2:$A$3000, N1753) + COUNTIF($A$2:$A$3000, O1753)</f>
        <v>2</v>
      </c>
      <c r="Q1753" s="16" t="str">
        <f aca="false">IF(OR(B1753=-1,I1753=0, P1753&lt;&gt;2), "albhed_dummy", _xlfn.CONCAT("albhed ", RIGHT("  " &amp; K1753,2),", ", RIGHT("  " &amp; L1753,2), ", " ,"""",H1753,""", ", """",N1753,""", ","""",O1753,""""," ; ", A1753))</f>
        <v>albhed 17,  2, "뚜", "쭈", "따" ; 짢</v>
      </c>
    </row>
    <row r="1754" customFormat="false" ht="17.9" hidden="false" customHeight="true" outlineLevel="0" collapsed="false">
      <c r="A1754" s="16" t="s">
        <v>2604</v>
      </c>
      <c r="B1754" s="16" t="n">
        <f aca="false">IF(_xlfn.UNICODE(A1754)&lt;44032,-1,_xlfn.UNICODE(A1754)-44032)</f>
        <v>7652</v>
      </c>
      <c r="C1754" s="16" t="n">
        <f aca="false">IF(B1754=-1,-1,INT((B1754/28)/21))</f>
        <v>13</v>
      </c>
      <c r="D1754" s="16" t="n">
        <f aca="false">IF(B1754=-1, -1, MOD(INT(B1754/28),21))</f>
        <v>0</v>
      </c>
      <c r="E1754" s="16" t="n">
        <f aca="false">IF(B1754=-1, -1, VLOOKUP(MOD(B1754,28), $T$24:$U$52,2))</f>
        <v>8</v>
      </c>
      <c r="F1754" s="16" t="n">
        <f aca="false">IF($B1754=-1, -1, VLOOKUP(C1754,$T$1:$V$20, 2))</f>
        <v>4</v>
      </c>
      <c r="G1754" s="16" t="n">
        <f aca="false">IF($B1754=-1, -1, VLOOKUP(D1754,$Y$1:$Z$22,2))</f>
        <v>13</v>
      </c>
      <c r="H1754" s="16" t="str">
        <f aca="false">_xlfn.UNICHAR(((F1754*21)+G1754)*28+44032)</f>
        <v>뚜</v>
      </c>
      <c r="I1754" s="16" t="n">
        <f aca="false">IF(B1754=-1, 1, COUNTIF($A$2:$A$3000, H1754))</f>
        <v>1</v>
      </c>
      <c r="J1754" s="10" t="str">
        <f aca="false">_xlfn.CONCAT(A1754, ",",H1754,",",I1754)</f>
        <v>짤,뚜,1</v>
      </c>
      <c r="K1754" s="16" t="n">
        <f aca="false">IF(B1754=-1,-1,VLOOKUP(C1754,$T$1:$V$20,3))</f>
        <v>17</v>
      </c>
      <c r="L1754" s="16" t="n">
        <f aca="false">IF(B1754=-1,-1,VLOOKUP(D1754,$Y$1:$AA$22,3))</f>
        <v>2</v>
      </c>
      <c r="N1754" s="10" t="str">
        <f aca="false">_xlfn.UNICHAR(((C1754*21)+G1754)*28+44032)</f>
        <v>쭈</v>
      </c>
      <c r="O1754" s="10" t="str">
        <f aca="false">_xlfn.UNICHAR(((F1754*21)+D1754)*28+44032)</f>
        <v>따</v>
      </c>
      <c r="P1754" s="12" t="n">
        <f aca="false">COUNTIF($A$2:$A$3000, N1754) + COUNTIF($A$2:$A$3000, O1754)</f>
        <v>2</v>
      </c>
      <c r="Q1754" s="16" t="str">
        <f aca="false">IF(OR(B1754=-1,I1754=0, P1754&lt;&gt;2), "albhed_dummy", _xlfn.CONCAT("albhed ", RIGHT("  " &amp; K1754,2),", ", RIGHT("  " &amp; L1754,2), ", " ,"""",H1754,""", ", """",N1754,""", ","""",O1754,""""," ; ", A1754))</f>
        <v>albhed 17,  2, "뚜", "쭈", "따" ; 짤</v>
      </c>
    </row>
    <row r="1755" customFormat="false" ht="17.9" hidden="false" customHeight="true" outlineLevel="0" collapsed="false">
      <c r="A1755" s="16" t="s">
        <v>2605</v>
      </c>
      <c r="B1755" s="16" t="n">
        <f aca="false">IF(_xlfn.UNICODE(A1755)&lt;44032,-1,_xlfn.UNICODE(A1755)-44032)</f>
        <v>7655</v>
      </c>
      <c r="C1755" s="16" t="n">
        <f aca="false">IF(B1755=-1,-1,INT((B1755/28)/21))</f>
        <v>13</v>
      </c>
      <c r="D1755" s="16" t="n">
        <f aca="false">IF(B1755=-1, -1, MOD(INT(B1755/28),21))</f>
        <v>0</v>
      </c>
      <c r="E1755" s="16" t="n">
        <f aca="false">IF(B1755=-1, -1, VLOOKUP(MOD(B1755,28), $T$24:$U$52,2))</f>
        <v>8</v>
      </c>
      <c r="F1755" s="16" t="n">
        <f aca="false">IF($B1755=-1, -1, VLOOKUP(C1755,$T$1:$V$20, 2))</f>
        <v>4</v>
      </c>
      <c r="G1755" s="16" t="n">
        <f aca="false">IF($B1755=-1, -1, VLOOKUP(D1755,$Y$1:$Z$22,2))</f>
        <v>13</v>
      </c>
      <c r="H1755" s="16" t="str">
        <f aca="false">_xlfn.UNICHAR(((F1755*21)+G1755)*28+44032)</f>
        <v>뚜</v>
      </c>
      <c r="I1755" s="16" t="n">
        <f aca="false">IF(B1755=-1, 1, COUNTIF($A$2:$A$3000, H1755))</f>
        <v>1</v>
      </c>
      <c r="J1755" s="10" t="str">
        <f aca="false">_xlfn.CONCAT(A1755, ",",H1755,",",I1755)</f>
        <v>짧,뚜,1</v>
      </c>
      <c r="K1755" s="16" t="n">
        <f aca="false">IF(B1755=-1,-1,VLOOKUP(C1755,$T$1:$V$20,3))</f>
        <v>17</v>
      </c>
      <c r="L1755" s="16" t="n">
        <f aca="false">IF(B1755=-1,-1,VLOOKUP(D1755,$Y$1:$AA$22,3))</f>
        <v>2</v>
      </c>
      <c r="N1755" s="10" t="str">
        <f aca="false">_xlfn.UNICHAR(((C1755*21)+G1755)*28+44032)</f>
        <v>쭈</v>
      </c>
      <c r="O1755" s="10" t="str">
        <f aca="false">_xlfn.UNICHAR(((F1755*21)+D1755)*28+44032)</f>
        <v>따</v>
      </c>
      <c r="P1755" s="12" t="n">
        <f aca="false">COUNTIF($A$2:$A$3000, N1755) + COUNTIF($A$2:$A$3000, O1755)</f>
        <v>2</v>
      </c>
      <c r="Q1755" s="16" t="str">
        <f aca="false">IF(OR(B1755=-1,I1755=0, P1755&lt;&gt;2), "albhed_dummy", _xlfn.CONCAT("albhed ", RIGHT("  " &amp; K1755,2),", ", RIGHT("  " &amp; L1755,2), ", " ,"""",H1755,""", ", """",N1755,""", ","""",O1755,""""," ; ", A1755))</f>
        <v>albhed 17,  2, "뚜", "쭈", "따" ; 짧</v>
      </c>
    </row>
    <row r="1756" customFormat="false" ht="17.9" hidden="false" customHeight="true" outlineLevel="0" collapsed="false">
      <c r="A1756" s="16" t="s">
        <v>2606</v>
      </c>
      <c r="B1756" s="16" t="n">
        <f aca="false">IF(_xlfn.UNICODE(A1756)&lt;44032,-1,_xlfn.UNICODE(A1756)-44032)</f>
        <v>7660</v>
      </c>
      <c r="C1756" s="16" t="n">
        <f aca="false">IF(B1756=-1,-1,INT((B1756/28)/21))</f>
        <v>13</v>
      </c>
      <c r="D1756" s="16" t="n">
        <f aca="false">IF(B1756=-1, -1, MOD(INT(B1756/28),21))</f>
        <v>0</v>
      </c>
      <c r="E1756" s="16" t="n">
        <f aca="false">IF(B1756=-1, -1, VLOOKUP(MOD(B1756,28), $T$24:$U$52,2))</f>
        <v>16</v>
      </c>
      <c r="F1756" s="16" t="n">
        <f aca="false">IF($B1756=-1, -1, VLOOKUP(C1756,$T$1:$V$20, 2))</f>
        <v>4</v>
      </c>
      <c r="G1756" s="16" t="n">
        <f aca="false">IF($B1756=-1, -1, VLOOKUP(D1756,$Y$1:$Z$22,2))</f>
        <v>13</v>
      </c>
      <c r="H1756" s="16" t="str">
        <f aca="false">_xlfn.UNICHAR(((F1756*21)+G1756)*28+44032)</f>
        <v>뚜</v>
      </c>
      <c r="I1756" s="16" t="n">
        <f aca="false">IF(B1756=-1, 1, COUNTIF($A$2:$A$3000, H1756))</f>
        <v>1</v>
      </c>
      <c r="J1756" s="10" t="str">
        <f aca="false">_xlfn.CONCAT(A1756, ",",H1756,",",I1756)</f>
        <v>짬,뚜,1</v>
      </c>
      <c r="K1756" s="16" t="n">
        <f aca="false">IF(B1756=-1,-1,VLOOKUP(C1756,$T$1:$V$20,3))</f>
        <v>17</v>
      </c>
      <c r="L1756" s="16" t="n">
        <f aca="false">IF(B1756=-1,-1,VLOOKUP(D1756,$Y$1:$AA$22,3))</f>
        <v>2</v>
      </c>
      <c r="N1756" s="10" t="str">
        <f aca="false">_xlfn.UNICHAR(((C1756*21)+G1756)*28+44032)</f>
        <v>쭈</v>
      </c>
      <c r="O1756" s="10" t="str">
        <f aca="false">_xlfn.UNICHAR(((F1756*21)+D1756)*28+44032)</f>
        <v>따</v>
      </c>
      <c r="P1756" s="12" t="n">
        <f aca="false">COUNTIF($A$2:$A$3000, N1756) + COUNTIF($A$2:$A$3000, O1756)</f>
        <v>2</v>
      </c>
      <c r="Q1756" s="16" t="str">
        <f aca="false">IF(OR(B1756=-1,I1756=0, P1756&lt;&gt;2), "albhed_dummy", _xlfn.CONCAT("albhed ", RIGHT("  " &amp; K1756,2),", ", RIGHT("  " &amp; L1756,2), ", " ,"""",H1756,""", ", """",N1756,""", ","""",O1756,""""," ; ", A1756))</f>
        <v>albhed 17,  2, "뚜", "쭈", "따" ; 짬</v>
      </c>
    </row>
    <row r="1757" customFormat="false" ht="17.9" hidden="false" customHeight="true" outlineLevel="0" collapsed="false">
      <c r="A1757" s="16" t="s">
        <v>2607</v>
      </c>
      <c r="B1757" s="16" t="n">
        <f aca="false">IF(_xlfn.UNICODE(A1757)&lt;44032,-1,_xlfn.UNICODE(A1757)-44032)</f>
        <v>7661</v>
      </c>
      <c r="C1757" s="16" t="n">
        <f aca="false">IF(B1757=-1,-1,INT((B1757/28)/21))</f>
        <v>13</v>
      </c>
      <c r="D1757" s="16" t="n">
        <f aca="false">IF(B1757=-1, -1, MOD(INT(B1757/28),21))</f>
        <v>0</v>
      </c>
      <c r="E1757" s="16" t="n">
        <f aca="false">IF(B1757=-1, -1, VLOOKUP(MOD(B1757,28), $T$24:$U$52,2))</f>
        <v>17</v>
      </c>
      <c r="F1757" s="16" t="n">
        <f aca="false">IF($B1757=-1, -1, VLOOKUP(C1757,$T$1:$V$20, 2))</f>
        <v>4</v>
      </c>
      <c r="G1757" s="16" t="n">
        <f aca="false">IF($B1757=-1, -1, VLOOKUP(D1757,$Y$1:$Z$22,2))</f>
        <v>13</v>
      </c>
      <c r="H1757" s="16" t="str">
        <f aca="false">_xlfn.UNICHAR(((F1757*21)+G1757)*28+44032)</f>
        <v>뚜</v>
      </c>
      <c r="I1757" s="16" t="n">
        <f aca="false">IF(B1757=-1, 1, COUNTIF($A$2:$A$3000, H1757))</f>
        <v>1</v>
      </c>
      <c r="J1757" s="10" t="str">
        <f aca="false">_xlfn.CONCAT(A1757, ",",H1757,",",I1757)</f>
        <v>짭,뚜,1</v>
      </c>
      <c r="K1757" s="16" t="n">
        <f aca="false">IF(B1757=-1,-1,VLOOKUP(C1757,$T$1:$V$20,3))</f>
        <v>17</v>
      </c>
      <c r="L1757" s="16" t="n">
        <f aca="false">IF(B1757=-1,-1,VLOOKUP(D1757,$Y$1:$AA$22,3))</f>
        <v>2</v>
      </c>
      <c r="N1757" s="10" t="str">
        <f aca="false">_xlfn.UNICHAR(((C1757*21)+G1757)*28+44032)</f>
        <v>쭈</v>
      </c>
      <c r="O1757" s="10" t="str">
        <f aca="false">_xlfn.UNICHAR(((F1757*21)+D1757)*28+44032)</f>
        <v>따</v>
      </c>
      <c r="P1757" s="12" t="n">
        <f aca="false">COUNTIF($A$2:$A$3000, N1757) + COUNTIF($A$2:$A$3000, O1757)</f>
        <v>2</v>
      </c>
      <c r="Q1757" s="16" t="str">
        <f aca="false">IF(OR(B1757=-1,I1757=0, P1757&lt;&gt;2), "albhed_dummy", _xlfn.CONCAT("albhed ", RIGHT("  " &amp; K1757,2),", ", RIGHT("  " &amp; L1757,2), ", " ,"""",H1757,""", ", """",N1757,""", ","""",O1757,""""," ; ", A1757))</f>
        <v>albhed 17,  2, "뚜", "쭈", "따" ; 짭</v>
      </c>
    </row>
    <row r="1758" customFormat="false" ht="17.9" hidden="false" customHeight="true" outlineLevel="0" collapsed="false">
      <c r="A1758" s="16" t="s">
        <v>2608</v>
      </c>
      <c r="B1758" s="16" t="n">
        <f aca="false">IF(_xlfn.UNICODE(A1758)&lt;44032,-1,_xlfn.UNICODE(A1758)-44032)</f>
        <v>7663</v>
      </c>
      <c r="C1758" s="16" t="n">
        <f aca="false">IF(B1758=-1,-1,INT((B1758/28)/21))</f>
        <v>13</v>
      </c>
      <c r="D1758" s="16" t="n">
        <f aca="false">IF(B1758=-1, -1, MOD(INT(B1758/28),21))</f>
        <v>0</v>
      </c>
      <c r="E1758" s="16" t="n">
        <f aca="false">IF(B1758=-1, -1, VLOOKUP(MOD(B1758,28), $T$24:$U$52,2))</f>
        <v>19</v>
      </c>
      <c r="F1758" s="16" t="n">
        <f aca="false">IF($B1758=-1, -1, VLOOKUP(C1758,$T$1:$V$20, 2))</f>
        <v>4</v>
      </c>
      <c r="G1758" s="16" t="n">
        <f aca="false">IF($B1758=-1, -1, VLOOKUP(D1758,$Y$1:$Z$22,2))</f>
        <v>13</v>
      </c>
      <c r="H1758" s="16" t="str">
        <f aca="false">_xlfn.UNICHAR(((F1758*21)+G1758)*28+44032)</f>
        <v>뚜</v>
      </c>
      <c r="I1758" s="16" t="n">
        <f aca="false">IF(B1758=-1, 1, COUNTIF($A$2:$A$3000, H1758))</f>
        <v>1</v>
      </c>
      <c r="J1758" s="10" t="str">
        <f aca="false">_xlfn.CONCAT(A1758, ",",H1758,",",I1758)</f>
        <v>짯,뚜,1</v>
      </c>
      <c r="K1758" s="16" t="n">
        <f aca="false">IF(B1758=-1,-1,VLOOKUP(C1758,$T$1:$V$20,3))</f>
        <v>17</v>
      </c>
      <c r="L1758" s="16" t="n">
        <f aca="false">IF(B1758=-1,-1,VLOOKUP(D1758,$Y$1:$AA$22,3))</f>
        <v>2</v>
      </c>
      <c r="N1758" s="10" t="str">
        <f aca="false">_xlfn.UNICHAR(((C1758*21)+G1758)*28+44032)</f>
        <v>쭈</v>
      </c>
      <c r="O1758" s="10" t="str">
        <f aca="false">_xlfn.UNICHAR(((F1758*21)+D1758)*28+44032)</f>
        <v>따</v>
      </c>
      <c r="P1758" s="12" t="n">
        <f aca="false">COUNTIF($A$2:$A$3000, N1758) + COUNTIF($A$2:$A$3000, O1758)</f>
        <v>2</v>
      </c>
      <c r="Q1758" s="16" t="str">
        <f aca="false">IF(OR(B1758=-1,I1758=0, P1758&lt;&gt;2), "albhed_dummy", _xlfn.CONCAT("albhed ", RIGHT("  " &amp; K1758,2),", ", RIGHT("  " &amp; L1758,2), ", " ,"""",H1758,""", ", """",N1758,""", ","""",O1758,""""," ; ", A1758))</f>
        <v>albhed 17,  2, "뚜", "쭈", "따" ; 짯</v>
      </c>
    </row>
    <row r="1759" customFormat="false" ht="17.9" hidden="false" customHeight="true" outlineLevel="0" collapsed="false">
      <c r="A1759" s="16" t="s">
        <v>2609</v>
      </c>
      <c r="B1759" s="16" t="n">
        <f aca="false">IF(_xlfn.UNICODE(A1759)&lt;44032,-1,_xlfn.UNICODE(A1759)-44032)</f>
        <v>7664</v>
      </c>
      <c r="C1759" s="16" t="n">
        <f aca="false">IF(B1759=-1,-1,INT((B1759/28)/21))</f>
        <v>13</v>
      </c>
      <c r="D1759" s="16" t="n">
        <f aca="false">IF(B1759=-1, -1, MOD(INT(B1759/28),21))</f>
        <v>0</v>
      </c>
      <c r="E1759" s="16" t="n">
        <f aca="false">IF(B1759=-1, -1, VLOOKUP(MOD(B1759,28), $T$24:$U$52,2))</f>
        <v>19</v>
      </c>
      <c r="F1759" s="16" t="n">
        <f aca="false">IF($B1759=-1, -1, VLOOKUP(C1759,$T$1:$V$20, 2))</f>
        <v>4</v>
      </c>
      <c r="G1759" s="16" t="n">
        <f aca="false">IF($B1759=-1, -1, VLOOKUP(D1759,$Y$1:$Z$22,2))</f>
        <v>13</v>
      </c>
      <c r="H1759" s="16" t="str">
        <f aca="false">_xlfn.UNICHAR(((F1759*21)+G1759)*28+44032)</f>
        <v>뚜</v>
      </c>
      <c r="I1759" s="16" t="n">
        <f aca="false">IF(B1759=-1, 1, COUNTIF($A$2:$A$3000, H1759))</f>
        <v>1</v>
      </c>
      <c r="J1759" s="10" t="str">
        <f aca="false">_xlfn.CONCAT(A1759, ",",H1759,",",I1759)</f>
        <v>짰,뚜,1</v>
      </c>
      <c r="K1759" s="16" t="n">
        <f aca="false">IF(B1759=-1,-1,VLOOKUP(C1759,$T$1:$V$20,3))</f>
        <v>17</v>
      </c>
      <c r="L1759" s="16" t="n">
        <f aca="false">IF(B1759=-1,-1,VLOOKUP(D1759,$Y$1:$AA$22,3))</f>
        <v>2</v>
      </c>
      <c r="N1759" s="10" t="str">
        <f aca="false">_xlfn.UNICHAR(((C1759*21)+G1759)*28+44032)</f>
        <v>쭈</v>
      </c>
      <c r="O1759" s="10" t="str">
        <f aca="false">_xlfn.UNICHAR(((F1759*21)+D1759)*28+44032)</f>
        <v>따</v>
      </c>
      <c r="P1759" s="12" t="n">
        <f aca="false">COUNTIF($A$2:$A$3000, N1759) + COUNTIF($A$2:$A$3000, O1759)</f>
        <v>2</v>
      </c>
      <c r="Q1759" s="16" t="str">
        <f aca="false">IF(OR(B1759=-1,I1759=0, P1759&lt;&gt;2), "albhed_dummy", _xlfn.CONCAT("albhed ", RIGHT("  " &amp; K1759,2),", ", RIGHT("  " &amp; L1759,2), ", " ,"""",H1759,""", ", """",N1759,""", ","""",O1759,""""," ; ", A1759))</f>
        <v>albhed 17,  2, "뚜", "쭈", "따" ; 짰</v>
      </c>
    </row>
    <row r="1760" customFormat="false" ht="17.9" hidden="false" customHeight="true" outlineLevel="0" collapsed="false">
      <c r="A1760" s="16" t="s">
        <v>2610</v>
      </c>
      <c r="B1760" s="16" t="n">
        <f aca="false">IF(_xlfn.UNICODE(A1760)&lt;44032,-1,_xlfn.UNICODE(A1760)-44032)</f>
        <v>7665</v>
      </c>
      <c r="C1760" s="16" t="n">
        <f aca="false">IF(B1760=-1,-1,INT((B1760/28)/21))</f>
        <v>13</v>
      </c>
      <c r="D1760" s="16" t="n">
        <f aca="false">IF(B1760=-1, -1, MOD(INT(B1760/28),21))</f>
        <v>0</v>
      </c>
      <c r="E1760" s="16" t="n">
        <f aca="false">IF(B1760=-1, -1, VLOOKUP(MOD(B1760,28), $T$24:$U$52,2))</f>
        <v>21</v>
      </c>
      <c r="F1760" s="16" t="n">
        <f aca="false">IF($B1760=-1, -1, VLOOKUP(C1760,$T$1:$V$20, 2))</f>
        <v>4</v>
      </c>
      <c r="G1760" s="16" t="n">
        <f aca="false">IF($B1760=-1, -1, VLOOKUP(D1760,$Y$1:$Z$22,2))</f>
        <v>13</v>
      </c>
      <c r="H1760" s="16" t="str">
        <f aca="false">_xlfn.UNICHAR(((F1760*21)+G1760)*28+44032)</f>
        <v>뚜</v>
      </c>
      <c r="I1760" s="16" t="n">
        <f aca="false">IF(B1760=-1, 1, COUNTIF($A$2:$A$3000, H1760))</f>
        <v>1</v>
      </c>
      <c r="J1760" s="10" t="str">
        <f aca="false">_xlfn.CONCAT(A1760, ",",H1760,",",I1760)</f>
        <v>짱,뚜,1</v>
      </c>
      <c r="K1760" s="16" t="n">
        <f aca="false">IF(B1760=-1,-1,VLOOKUP(C1760,$T$1:$V$20,3))</f>
        <v>17</v>
      </c>
      <c r="L1760" s="16" t="n">
        <f aca="false">IF(B1760=-1,-1,VLOOKUP(D1760,$Y$1:$AA$22,3))</f>
        <v>2</v>
      </c>
      <c r="N1760" s="10" t="str">
        <f aca="false">_xlfn.UNICHAR(((C1760*21)+G1760)*28+44032)</f>
        <v>쭈</v>
      </c>
      <c r="O1760" s="10" t="str">
        <f aca="false">_xlfn.UNICHAR(((F1760*21)+D1760)*28+44032)</f>
        <v>따</v>
      </c>
      <c r="P1760" s="12" t="n">
        <f aca="false">COUNTIF($A$2:$A$3000, N1760) + COUNTIF($A$2:$A$3000, O1760)</f>
        <v>2</v>
      </c>
      <c r="Q1760" s="16" t="str">
        <f aca="false">IF(OR(B1760=-1,I1760=0, P1760&lt;&gt;2), "albhed_dummy", _xlfn.CONCAT("albhed ", RIGHT("  " &amp; K1760,2),", ", RIGHT("  " &amp; L1760,2), ", " ,"""",H1760,""", ", """",N1760,""", ","""",O1760,""""," ; ", A1760))</f>
        <v>albhed 17,  2, "뚜", "쭈", "따" ; 짱</v>
      </c>
    </row>
    <row r="1761" customFormat="false" ht="17.9" hidden="false" customHeight="true" outlineLevel="0" collapsed="false">
      <c r="A1761" s="16" t="s">
        <v>2611</v>
      </c>
      <c r="B1761" s="16" t="n">
        <f aca="false">IF(_xlfn.UNICODE(A1761)&lt;44032,-1,_xlfn.UNICODE(A1761)-44032)</f>
        <v>7672</v>
      </c>
      <c r="C1761" s="16" t="n">
        <f aca="false">IF(B1761=-1,-1,INT((B1761/28)/21))</f>
        <v>13</v>
      </c>
      <c r="D1761" s="16" t="n">
        <f aca="false">IF(B1761=-1, -1, MOD(INT(B1761/28),21))</f>
        <v>1</v>
      </c>
      <c r="E1761" s="16" t="n">
        <f aca="false">IF(B1761=-1, -1, VLOOKUP(MOD(B1761,28), $T$24:$U$52,2))</f>
        <v>0</v>
      </c>
      <c r="F1761" s="16" t="n">
        <f aca="false">IF($B1761=-1, -1, VLOOKUP(C1761,$T$1:$V$20, 2))</f>
        <v>4</v>
      </c>
      <c r="G1761" s="16" t="n">
        <f aca="false">IF($B1761=-1, -1, VLOOKUP(D1761,$Y$1:$Z$22,2))</f>
        <v>18</v>
      </c>
      <c r="H1761" s="16" t="str">
        <f aca="false">_xlfn.UNICHAR(((F1761*21)+G1761)*28+44032)</f>
        <v>뜨</v>
      </c>
      <c r="I1761" s="16" t="n">
        <f aca="false">IF(B1761=-1, 1, COUNTIF($A$2:$A$3000, H1761))</f>
        <v>1</v>
      </c>
      <c r="J1761" s="10" t="str">
        <f aca="false">_xlfn.CONCAT(A1761, ",",H1761,",",I1761)</f>
        <v>째,뜨,1</v>
      </c>
      <c r="K1761" s="16" t="n">
        <f aca="false">IF(B1761=-1,-1,VLOOKUP(C1761,$T$1:$V$20,3))</f>
        <v>17</v>
      </c>
      <c r="L1761" s="16" t="n">
        <f aca="false">IF(B1761=-1,-1,VLOOKUP(D1761,$Y$1:$AA$22,3))</f>
        <v>10</v>
      </c>
      <c r="N1761" s="10" t="str">
        <f aca="false">_xlfn.UNICHAR(((C1761*21)+G1761)*28+44032)</f>
        <v>쯔</v>
      </c>
      <c r="O1761" s="10" t="str">
        <f aca="false">_xlfn.UNICHAR(((F1761*21)+D1761)*28+44032)</f>
        <v>때</v>
      </c>
      <c r="P1761" s="12" t="n">
        <f aca="false">COUNTIF($A$2:$A$3000, N1761) + COUNTIF($A$2:$A$3000, O1761)</f>
        <v>2</v>
      </c>
      <c r="Q1761" s="16" t="str">
        <f aca="false">IF(OR(B1761=-1,I1761=0, P1761&lt;&gt;2), "albhed_dummy", _xlfn.CONCAT("albhed ", RIGHT("  " &amp; K1761,2),", ", RIGHT("  " &amp; L1761,2), ", " ,"""",H1761,""", ", """",N1761,""", ","""",O1761,""""," ; ", A1761))</f>
        <v>albhed 17, 10, "뜨", "쯔", "때" ; 째</v>
      </c>
    </row>
    <row r="1762" customFormat="false" ht="17.9" hidden="false" customHeight="true" outlineLevel="0" collapsed="false">
      <c r="A1762" s="16" t="s">
        <v>2612</v>
      </c>
      <c r="B1762" s="16" t="n">
        <f aca="false">IF(_xlfn.UNICODE(A1762)&lt;44032,-1,_xlfn.UNICODE(A1762)-44032)</f>
        <v>7673</v>
      </c>
      <c r="C1762" s="16" t="n">
        <f aca="false">IF(B1762=-1,-1,INT((B1762/28)/21))</f>
        <v>13</v>
      </c>
      <c r="D1762" s="16" t="n">
        <f aca="false">IF(B1762=-1, -1, MOD(INT(B1762/28),21))</f>
        <v>1</v>
      </c>
      <c r="E1762" s="16" t="n">
        <f aca="false">IF(B1762=-1, -1, VLOOKUP(MOD(B1762,28), $T$24:$U$52,2))</f>
        <v>1</v>
      </c>
      <c r="F1762" s="16" t="n">
        <f aca="false">IF($B1762=-1, -1, VLOOKUP(C1762,$T$1:$V$20, 2))</f>
        <v>4</v>
      </c>
      <c r="G1762" s="16" t="n">
        <f aca="false">IF($B1762=-1, -1, VLOOKUP(D1762,$Y$1:$Z$22,2))</f>
        <v>18</v>
      </c>
      <c r="H1762" s="16" t="str">
        <f aca="false">_xlfn.UNICHAR(((F1762*21)+G1762)*28+44032)</f>
        <v>뜨</v>
      </c>
      <c r="I1762" s="16" t="n">
        <f aca="false">IF(B1762=-1, 1, COUNTIF($A$2:$A$3000, H1762))</f>
        <v>1</v>
      </c>
      <c r="J1762" s="10" t="str">
        <f aca="false">_xlfn.CONCAT(A1762, ",",H1762,",",I1762)</f>
        <v>짹,뜨,1</v>
      </c>
      <c r="K1762" s="16" t="n">
        <f aca="false">IF(B1762=-1,-1,VLOOKUP(C1762,$T$1:$V$20,3))</f>
        <v>17</v>
      </c>
      <c r="L1762" s="16" t="n">
        <f aca="false">IF(B1762=-1,-1,VLOOKUP(D1762,$Y$1:$AA$22,3))</f>
        <v>10</v>
      </c>
      <c r="N1762" s="10" t="str">
        <f aca="false">_xlfn.UNICHAR(((C1762*21)+G1762)*28+44032)</f>
        <v>쯔</v>
      </c>
      <c r="O1762" s="10" t="str">
        <f aca="false">_xlfn.UNICHAR(((F1762*21)+D1762)*28+44032)</f>
        <v>때</v>
      </c>
      <c r="P1762" s="12" t="n">
        <f aca="false">COUNTIF($A$2:$A$3000, N1762) + COUNTIF($A$2:$A$3000, O1762)</f>
        <v>2</v>
      </c>
      <c r="Q1762" s="16" t="str">
        <f aca="false">IF(OR(B1762=-1,I1762=0, P1762&lt;&gt;2), "albhed_dummy", _xlfn.CONCAT("albhed ", RIGHT("  " &amp; K1762,2),", ", RIGHT("  " &amp; L1762,2), ", " ,"""",H1762,""", ", """",N1762,""", ","""",O1762,""""," ; ", A1762))</f>
        <v>albhed 17, 10, "뜨", "쯔", "때" ; 짹</v>
      </c>
    </row>
    <row r="1763" customFormat="false" ht="17.9" hidden="false" customHeight="true" outlineLevel="0" collapsed="false">
      <c r="A1763" s="16" t="s">
        <v>2613</v>
      </c>
      <c r="B1763" s="16" t="n">
        <f aca="false">IF(_xlfn.UNICODE(A1763)&lt;44032,-1,_xlfn.UNICODE(A1763)-44032)</f>
        <v>7676</v>
      </c>
      <c r="C1763" s="16" t="n">
        <f aca="false">IF(B1763=-1,-1,INT((B1763/28)/21))</f>
        <v>13</v>
      </c>
      <c r="D1763" s="16" t="n">
        <f aca="false">IF(B1763=-1, -1, MOD(INT(B1763/28),21))</f>
        <v>1</v>
      </c>
      <c r="E1763" s="16" t="n">
        <f aca="false">IF(B1763=-1, -1, VLOOKUP(MOD(B1763,28), $T$24:$U$52,2))</f>
        <v>4</v>
      </c>
      <c r="F1763" s="16" t="n">
        <f aca="false">IF($B1763=-1, -1, VLOOKUP(C1763,$T$1:$V$20, 2))</f>
        <v>4</v>
      </c>
      <c r="G1763" s="16" t="n">
        <f aca="false">IF($B1763=-1, -1, VLOOKUP(D1763,$Y$1:$Z$22,2))</f>
        <v>18</v>
      </c>
      <c r="H1763" s="16" t="str">
        <f aca="false">_xlfn.UNICHAR(((F1763*21)+G1763)*28+44032)</f>
        <v>뜨</v>
      </c>
      <c r="I1763" s="16" t="n">
        <f aca="false">IF(B1763=-1, 1, COUNTIF($A$2:$A$3000, H1763))</f>
        <v>1</v>
      </c>
      <c r="J1763" s="10" t="str">
        <f aca="false">_xlfn.CONCAT(A1763, ",",H1763,",",I1763)</f>
        <v>짼,뜨,1</v>
      </c>
      <c r="K1763" s="16" t="n">
        <f aca="false">IF(B1763=-1,-1,VLOOKUP(C1763,$T$1:$V$20,3))</f>
        <v>17</v>
      </c>
      <c r="L1763" s="16" t="n">
        <f aca="false">IF(B1763=-1,-1,VLOOKUP(D1763,$Y$1:$AA$22,3))</f>
        <v>10</v>
      </c>
      <c r="N1763" s="10" t="str">
        <f aca="false">_xlfn.UNICHAR(((C1763*21)+G1763)*28+44032)</f>
        <v>쯔</v>
      </c>
      <c r="O1763" s="10" t="str">
        <f aca="false">_xlfn.UNICHAR(((F1763*21)+D1763)*28+44032)</f>
        <v>때</v>
      </c>
      <c r="P1763" s="12" t="n">
        <f aca="false">COUNTIF($A$2:$A$3000, N1763) + COUNTIF($A$2:$A$3000, O1763)</f>
        <v>2</v>
      </c>
      <c r="Q1763" s="16" t="str">
        <f aca="false">IF(OR(B1763=-1,I1763=0, P1763&lt;&gt;2), "albhed_dummy", _xlfn.CONCAT("albhed ", RIGHT("  " &amp; K1763,2),", ", RIGHT("  " &amp; L1763,2), ", " ,"""",H1763,""", ", """",N1763,""", ","""",O1763,""""," ; ", A1763))</f>
        <v>albhed 17, 10, "뜨", "쯔", "때" ; 짼</v>
      </c>
    </row>
    <row r="1764" customFormat="false" ht="17.9" hidden="false" customHeight="true" outlineLevel="0" collapsed="false">
      <c r="A1764" s="16" t="s">
        <v>2614</v>
      </c>
      <c r="B1764" s="16" t="n">
        <f aca="false">IF(_xlfn.UNICODE(A1764)&lt;44032,-1,_xlfn.UNICODE(A1764)-44032)</f>
        <v>7680</v>
      </c>
      <c r="C1764" s="16" t="n">
        <f aca="false">IF(B1764=-1,-1,INT((B1764/28)/21))</f>
        <v>13</v>
      </c>
      <c r="D1764" s="16" t="n">
        <f aca="false">IF(B1764=-1, -1, MOD(INT(B1764/28),21))</f>
        <v>1</v>
      </c>
      <c r="E1764" s="16" t="n">
        <f aca="false">IF(B1764=-1, -1, VLOOKUP(MOD(B1764,28), $T$24:$U$52,2))</f>
        <v>8</v>
      </c>
      <c r="F1764" s="16" t="n">
        <f aca="false">IF($B1764=-1, -1, VLOOKUP(C1764,$T$1:$V$20, 2))</f>
        <v>4</v>
      </c>
      <c r="G1764" s="16" t="n">
        <f aca="false">IF($B1764=-1, -1, VLOOKUP(D1764,$Y$1:$Z$22,2))</f>
        <v>18</v>
      </c>
      <c r="H1764" s="16" t="str">
        <f aca="false">_xlfn.UNICHAR(((F1764*21)+G1764)*28+44032)</f>
        <v>뜨</v>
      </c>
      <c r="I1764" s="16" t="n">
        <f aca="false">IF(B1764=-1, 1, COUNTIF($A$2:$A$3000, H1764))</f>
        <v>1</v>
      </c>
      <c r="J1764" s="10" t="str">
        <f aca="false">_xlfn.CONCAT(A1764, ",",H1764,",",I1764)</f>
        <v>쨀,뜨,1</v>
      </c>
      <c r="K1764" s="16" t="n">
        <f aca="false">IF(B1764=-1,-1,VLOOKUP(C1764,$T$1:$V$20,3))</f>
        <v>17</v>
      </c>
      <c r="L1764" s="16" t="n">
        <f aca="false">IF(B1764=-1,-1,VLOOKUP(D1764,$Y$1:$AA$22,3))</f>
        <v>10</v>
      </c>
      <c r="N1764" s="10" t="str">
        <f aca="false">_xlfn.UNICHAR(((C1764*21)+G1764)*28+44032)</f>
        <v>쯔</v>
      </c>
      <c r="O1764" s="10" t="str">
        <f aca="false">_xlfn.UNICHAR(((F1764*21)+D1764)*28+44032)</f>
        <v>때</v>
      </c>
      <c r="P1764" s="12" t="n">
        <f aca="false">COUNTIF($A$2:$A$3000, N1764) + COUNTIF($A$2:$A$3000, O1764)</f>
        <v>2</v>
      </c>
      <c r="Q1764" s="16" t="str">
        <f aca="false">IF(OR(B1764=-1,I1764=0, P1764&lt;&gt;2), "albhed_dummy", _xlfn.CONCAT("albhed ", RIGHT("  " &amp; K1764,2),", ", RIGHT("  " &amp; L1764,2), ", " ,"""",H1764,""", ", """",N1764,""", ","""",O1764,""""," ; ", A1764))</f>
        <v>albhed 17, 10, "뜨", "쯔", "때" ; 쨀</v>
      </c>
    </row>
    <row r="1765" customFormat="false" ht="17.9" hidden="false" customHeight="true" outlineLevel="0" collapsed="false">
      <c r="A1765" s="16" t="s">
        <v>2615</v>
      </c>
      <c r="B1765" s="16" t="n">
        <f aca="false">IF(_xlfn.UNICODE(A1765)&lt;44032,-1,_xlfn.UNICODE(A1765)-44032)</f>
        <v>7688</v>
      </c>
      <c r="C1765" s="16" t="n">
        <f aca="false">IF(B1765=-1,-1,INT((B1765/28)/21))</f>
        <v>13</v>
      </c>
      <c r="D1765" s="16" t="n">
        <f aca="false">IF(B1765=-1, -1, MOD(INT(B1765/28),21))</f>
        <v>1</v>
      </c>
      <c r="E1765" s="16" t="n">
        <f aca="false">IF(B1765=-1, -1, VLOOKUP(MOD(B1765,28), $T$24:$U$52,2))</f>
        <v>16</v>
      </c>
      <c r="F1765" s="16" t="n">
        <f aca="false">IF($B1765=-1, -1, VLOOKUP(C1765,$T$1:$V$20, 2))</f>
        <v>4</v>
      </c>
      <c r="G1765" s="16" t="n">
        <f aca="false">IF($B1765=-1, -1, VLOOKUP(D1765,$Y$1:$Z$22,2))</f>
        <v>18</v>
      </c>
      <c r="H1765" s="16" t="str">
        <f aca="false">_xlfn.UNICHAR(((F1765*21)+G1765)*28+44032)</f>
        <v>뜨</v>
      </c>
      <c r="I1765" s="16" t="n">
        <f aca="false">IF(B1765=-1, 1, COUNTIF($A$2:$A$3000, H1765))</f>
        <v>1</v>
      </c>
      <c r="J1765" s="10" t="str">
        <f aca="false">_xlfn.CONCAT(A1765, ",",H1765,",",I1765)</f>
        <v>쨈,뜨,1</v>
      </c>
      <c r="K1765" s="16" t="n">
        <f aca="false">IF(B1765=-1,-1,VLOOKUP(C1765,$T$1:$V$20,3))</f>
        <v>17</v>
      </c>
      <c r="L1765" s="16" t="n">
        <f aca="false">IF(B1765=-1,-1,VLOOKUP(D1765,$Y$1:$AA$22,3))</f>
        <v>10</v>
      </c>
      <c r="N1765" s="10" t="str">
        <f aca="false">_xlfn.UNICHAR(((C1765*21)+G1765)*28+44032)</f>
        <v>쯔</v>
      </c>
      <c r="O1765" s="10" t="str">
        <f aca="false">_xlfn.UNICHAR(((F1765*21)+D1765)*28+44032)</f>
        <v>때</v>
      </c>
      <c r="P1765" s="12" t="n">
        <f aca="false">COUNTIF($A$2:$A$3000, N1765) + COUNTIF($A$2:$A$3000, O1765)</f>
        <v>2</v>
      </c>
      <c r="Q1765" s="16" t="str">
        <f aca="false">IF(OR(B1765=-1,I1765=0, P1765&lt;&gt;2), "albhed_dummy", _xlfn.CONCAT("albhed ", RIGHT("  " &amp; K1765,2),", ", RIGHT("  " &amp; L1765,2), ", " ,"""",H1765,""", ", """",N1765,""", ","""",O1765,""""," ; ", A1765))</f>
        <v>albhed 17, 10, "뜨", "쯔", "때" ; 쨈</v>
      </c>
    </row>
    <row r="1766" customFormat="false" ht="17.9" hidden="false" customHeight="true" outlineLevel="0" collapsed="false">
      <c r="A1766" s="16" t="s">
        <v>2616</v>
      </c>
      <c r="B1766" s="16" t="n">
        <f aca="false">IF(_xlfn.UNICODE(A1766)&lt;44032,-1,_xlfn.UNICODE(A1766)-44032)</f>
        <v>7689</v>
      </c>
      <c r="C1766" s="16" t="n">
        <f aca="false">IF(B1766=-1,-1,INT((B1766/28)/21))</f>
        <v>13</v>
      </c>
      <c r="D1766" s="16" t="n">
        <f aca="false">IF(B1766=-1, -1, MOD(INT(B1766/28),21))</f>
        <v>1</v>
      </c>
      <c r="E1766" s="16" t="n">
        <f aca="false">IF(B1766=-1, -1, VLOOKUP(MOD(B1766,28), $T$24:$U$52,2))</f>
        <v>17</v>
      </c>
      <c r="F1766" s="16" t="n">
        <f aca="false">IF($B1766=-1, -1, VLOOKUP(C1766,$T$1:$V$20, 2))</f>
        <v>4</v>
      </c>
      <c r="G1766" s="16" t="n">
        <f aca="false">IF($B1766=-1, -1, VLOOKUP(D1766,$Y$1:$Z$22,2))</f>
        <v>18</v>
      </c>
      <c r="H1766" s="16" t="str">
        <f aca="false">_xlfn.UNICHAR(((F1766*21)+G1766)*28+44032)</f>
        <v>뜨</v>
      </c>
      <c r="I1766" s="16" t="n">
        <f aca="false">IF(B1766=-1, 1, COUNTIF($A$2:$A$3000, H1766))</f>
        <v>1</v>
      </c>
      <c r="J1766" s="10" t="str">
        <f aca="false">_xlfn.CONCAT(A1766, ",",H1766,",",I1766)</f>
        <v>쨉,뜨,1</v>
      </c>
      <c r="K1766" s="16" t="n">
        <f aca="false">IF(B1766=-1,-1,VLOOKUP(C1766,$T$1:$V$20,3))</f>
        <v>17</v>
      </c>
      <c r="L1766" s="16" t="n">
        <f aca="false">IF(B1766=-1,-1,VLOOKUP(D1766,$Y$1:$AA$22,3))</f>
        <v>10</v>
      </c>
      <c r="N1766" s="10" t="str">
        <f aca="false">_xlfn.UNICHAR(((C1766*21)+G1766)*28+44032)</f>
        <v>쯔</v>
      </c>
      <c r="O1766" s="10" t="str">
        <f aca="false">_xlfn.UNICHAR(((F1766*21)+D1766)*28+44032)</f>
        <v>때</v>
      </c>
      <c r="P1766" s="12" t="n">
        <f aca="false">COUNTIF($A$2:$A$3000, N1766) + COUNTIF($A$2:$A$3000, O1766)</f>
        <v>2</v>
      </c>
      <c r="Q1766" s="16" t="str">
        <f aca="false">IF(OR(B1766=-1,I1766=0, P1766&lt;&gt;2), "albhed_dummy", _xlfn.CONCAT("albhed ", RIGHT("  " &amp; K1766,2),", ", RIGHT("  " &amp; L1766,2), ", " ,"""",H1766,""", ", """",N1766,""", ","""",O1766,""""," ; ", A1766))</f>
        <v>albhed 17, 10, "뜨", "쯔", "때" ; 쨉</v>
      </c>
    </row>
    <row r="1767" customFormat="false" ht="17.9" hidden="false" customHeight="true" outlineLevel="0" collapsed="false">
      <c r="A1767" s="16" t="s">
        <v>2617</v>
      </c>
      <c r="B1767" s="16" t="n">
        <f aca="false">IF(_xlfn.UNICODE(A1767)&lt;44032,-1,_xlfn.UNICODE(A1767)-44032)</f>
        <v>7691</v>
      </c>
      <c r="C1767" s="16" t="n">
        <f aca="false">IF(B1767=-1,-1,INT((B1767/28)/21))</f>
        <v>13</v>
      </c>
      <c r="D1767" s="16" t="n">
        <f aca="false">IF(B1767=-1, -1, MOD(INT(B1767/28),21))</f>
        <v>1</v>
      </c>
      <c r="E1767" s="16" t="n">
        <f aca="false">IF(B1767=-1, -1, VLOOKUP(MOD(B1767,28), $T$24:$U$52,2))</f>
        <v>19</v>
      </c>
      <c r="F1767" s="16" t="n">
        <f aca="false">IF($B1767=-1, -1, VLOOKUP(C1767,$T$1:$V$20, 2))</f>
        <v>4</v>
      </c>
      <c r="G1767" s="16" t="n">
        <f aca="false">IF($B1767=-1, -1, VLOOKUP(D1767,$Y$1:$Z$22,2))</f>
        <v>18</v>
      </c>
      <c r="H1767" s="16" t="str">
        <f aca="false">_xlfn.UNICHAR(((F1767*21)+G1767)*28+44032)</f>
        <v>뜨</v>
      </c>
      <c r="I1767" s="16" t="n">
        <f aca="false">IF(B1767=-1, 1, COUNTIF($A$2:$A$3000, H1767))</f>
        <v>1</v>
      </c>
      <c r="J1767" s="10" t="str">
        <f aca="false">_xlfn.CONCAT(A1767, ",",H1767,",",I1767)</f>
        <v>쨋,뜨,1</v>
      </c>
      <c r="K1767" s="16" t="n">
        <f aca="false">IF(B1767=-1,-1,VLOOKUP(C1767,$T$1:$V$20,3))</f>
        <v>17</v>
      </c>
      <c r="L1767" s="16" t="n">
        <f aca="false">IF(B1767=-1,-1,VLOOKUP(D1767,$Y$1:$AA$22,3))</f>
        <v>10</v>
      </c>
      <c r="N1767" s="10" t="str">
        <f aca="false">_xlfn.UNICHAR(((C1767*21)+G1767)*28+44032)</f>
        <v>쯔</v>
      </c>
      <c r="O1767" s="10" t="str">
        <f aca="false">_xlfn.UNICHAR(((F1767*21)+D1767)*28+44032)</f>
        <v>때</v>
      </c>
      <c r="P1767" s="12" t="n">
        <f aca="false">COUNTIF($A$2:$A$3000, N1767) + COUNTIF($A$2:$A$3000, O1767)</f>
        <v>2</v>
      </c>
      <c r="Q1767" s="16" t="str">
        <f aca="false">IF(OR(B1767=-1,I1767=0, P1767&lt;&gt;2), "albhed_dummy", _xlfn.CONCAT("albhed ", RIGHT("  " &amp; K1767,2),", ", RIGHT("  " &amp; L1767,2), ", " ,"""",H1767,""", ", """",N1767,""", ","""",O1767,""""," ; ", A1767))</f>
        <v>albhed 17, 10, "뜨", "쯔", "때" ; 쨋</v>
      </c>
    </row>
    <row r="1768" customFormat="false" ht="17.9" hidden="false" customHeight="true" outlineLevel="0" collapsed="false">
      <c r="A1768" s="16" t="s">
        <v>2618</v>
      </c>
      <c r="B1768" s="16" t="n">
        <f aca="false">IF(_xlfn.UNICODE(A1768)&lt;44032,-1,_xlfn.UNICODE(A1768)-44032)</f>
        <v>7692</v>
      </c>
      <c r="C1768" s="16" t="n">
        <f aca="false">IF(B1768=-1,-1,INT((B1768/28)/21))</f>
        <v>13</v>
      </c>
      <c r="D1768" s="16" t="n">
        <f aca="false">IF(B1768=-1, -1, MOD(INT(B1768/28),21))</f>
        <v>1</v>
      </c>
      <c r="E1768" s="16" t="n">
        <f aca="false">IF(B1768=-1, -1, VLOOKUP(MOD(B1768,28), $T$24:$U$52,2))</f>
        <v>19</v>
      </c>
      <c r="F1768" s="16" t="n">
        <f aca="false">IF($B1768=-1, -1, VLOOKUP(C1768,$T$1:$V$20, 2))</f>
        <v>4</v>
      </c>
      <c r="G1768" s="16" t="n">
        <f aca="false">IF($B1768=-1, -1, VLOOKUP(D1768,$Y$1:$Z$22,2))</f>
        <v>18</v>
      </c>
      <c r="H1768" s="16" t="str">
        <f aca="false">_xlfn.UNICHAR(((F1768*21)+G1768)*28+44032)</f>
        <v>뜨</v>
      </c>
      <c r="I1768" s="16" t="n">
        <f aca="false">IF(B1768=-1, 1, COUNTIF($A$2:$A$3000, H1768))</f>
        <v>1</v>
      </c>
      <c r="J1768" s="10" t="str">
        <f aca="false">_xlfn.CONCAT(A1768, ",",H1768,",",I1768)</f>
        <v>쨌,뜨,1</v>
      </c>
      <c r="K1768" s="16" t="n">
        <f aca="false">IF(B1768=-1,-1,VLOOKUP(C1768,$T$1:$V$20,3))</f>
        <v>17</v>
      </c>
      <c r="L1768" s="16" t="n">
        <f aca="false">IF(B1768=-1,-1,VLOOKUP(D1768,$Y$1:$AA$22,3))</f>
        <v>10</v>
      </c>
      <c r="N1768" s="10" t="str">
        <f aca="false">_xlfn.UNICHAR(((C1768*21)+G1768)*28+44032)</f>
        <v>쯔</v>
      </c>
      <c r="O1768" s="10" t="str">
        <f aca="false">_xlfn.UNICHAR(((F1768*21)+D1768)*28+44032)</f>
        <v>때</v>
      </c>
      <c r="P1768" s="12" t="n">
        <f aca="false">COUNTIF($A$2:$A$3000, N1768) + COUNTIF($A$2:$A$3000, O1768)</f>
        <v>2</v>
      </c>
      <c r="Q1768" s="16" t="str">
        <f aca="false">IF(OR(B1768=-1,I1768=0, P1768&lt;&gt;2), "albhed_dummy", _xlfn.CONCAT("albhed ", RIGHT("  " &amp; K1768,2),", ", RIGHT("  " &amp; L1768,2), ", " ,"""",H1768,""", ", """",N1768,""", ","""",O1768,""""," ; ", A1768))</f>
        <v>albhed 17, 10, "뜨", "쯔", "때" ; 쨌</v>
      </c>
    </row>
    <row r="1769" customFormat="false" ht="17.9" hidden="false" customHeight="true" outlineLevel="0" collapsed="false">
      <c r="A1769" s="16" t="s">
        <v>2619</v>
      </c>
      <c r="B1769" s="16" t="n">
        <f aca="false">IF(_xlfn.UNICODE(A1769)&lt;44032,-1,_xlfn.UNICODE(A1769)-44032)</f>
        <v>7693</v>
      </c>
      <c r="C1769" s="16" t="n">
        <f aca="false">IF(B1769=-1,-1,INT((B1769/28)/21))</f>
        <v>13</v>
      </c>
      <c r="D1769" s="16" t="n">
        <f aca="false">IF(B1769=-1, -1, MOD(INT(B1769/28),21))</f>
        <v>1</v>
      </c>
      <c r="E1769" s="16" t="n">
        <f aca="false">IF(B1769=-1, -1, VLOOKUP(MOD(B1769,28), $T$24:$U$52,2))</f>
        <v>21</v>
      </c>
      <c r="F1769" s="16" t="n">
        <f aca="false">IF($B1769=-1, -1, VLOOKUP(C1769,$T$1:$V$20, 2))</f>
        <v>4</v>
      </c>
      <c r="G1769" s="16" t="n">
        <f aca="false">IF($B1769=-1, -1, VLOOKUP(D1769,$Y$1:$Z$22,2))</f>
        <v>18</v>
      </c>
      <c r="H1769" s="16" t="str">
        <f aca="false">_xlfn.UNICHAR(((F1769*21)+G1769)*28+44032)</f>
        <v>뜨</v>
      </c>
      <c r="I1769" s="16" t="n">
        <f aca="false">IF(B1769=-1, 1, COUNTIF($A$2:$A$3000, H1769))</f>
        <v>1</v>
      </c>
      <c r="J1769" s="10" t="str">
        <f aca="false">_xlfn.CONCAT(A1769, ",",H1769,",",I1769)</f>
        <v>쨍,뜨,1</v>
      </c>
      <c r="K1769" s="16" t="n">
        <f aca="false">IF(B1769=-1,-1,VLOOKUP(C1769,$T$1:$V$20,3))</f>
        <v>17</v>
      </c>
      <c r="L1769" s="16" t="n">
        <f aca="false">IF(B1769=-1,-1,VLOOKUP(D1769,$Y$1:$AA$22,3))</f>
        <v>10</v>
      </c>
      <c r="N1769" s="10" t="str">
        <f aca="false">_xlfn.UNICHAR(((C1769*21)+G1769)*28+44032)</f>
        <v>쯔</v>
      </c>
      <c r="O1769" s="10" t="str">
        <f aca="false">_xlfn.UNICHAR(((F1769*21)+D1769)*28+44032)</f>
        <v>때</v>
      </c>
      <c r="P1769" s="12" t="n">
        <f aca="false">COUNTIF($A$2:$A$3000, N1769) + COUNTIF($A$2:$A$3000, O1769)</f>
        <v>2</v>
      </c>
      <c r="Q1769" s="16" t="str">
        <f aca="false">IF(OR(B1769=-1,I1769=0, P1769&lt;&gt;2), "albhed_dummy", _xlfn.CONCAT("albhed ", RIGHT("  " &amp; K1769,2),", ", RIGHT("  " &amp; L1769,2), ", " ,"""",H1769,""", ", """",N1769,""", ","""",O1769,""""," ; ", A1769))</f>
        <v>albhed 17, 10, "뜨", "쯔", "때" ; 쨍</v>
      </c>
    </row>
    <row r="1770" customFormat="false" ht="17.9" hidden="false" customHeight="true" outlineLevel="0" collapsed="false">
      <c r="A1770" s="16" t="s">
        <v>2620</v>
      </c>
      <c r="B1770" s="16" t="n">
        <f aca="false">IF(_xlfn.UNICODE(A1770)&lt;44032,-1,_xlfn.UNICODE(A1770)-44032)</f>
        <v>7700</v>
      </c>
      <c r="C1770" s="16" t="n">
        <f aca="false">IF(B1770=-1,-1,INT((B1770/28)/21))</f>
        <v>13</v>
      </c>
      <c r="D1770" s="16" t="n">
        <f aca="false">IF(B1770=-1, -1, MOD(INT(B1770/28),21))</f>
        <v>2</v>
      </c>
      <c r="E1770" s="16" t="n">
        <f aca="false">IF(B1770=-1, -1, VLOOKUP(MOD(B1770,28), $T$24:$U$52,2))</f>
        <v>0</v>
      </c>
      <c r="F1770" s="16" t="n">
        <f aca="false">IF($B1770=-1, -1, VLOOKUP(C1770,$T$1:$V$20, 2))</f>
        <v>4</v>
      </c>
      <c r="G1770" s="16" t="n">
        <f aca="false">IF($B1770=-1, -1, VLOOKUP(D1770,$Y$1:$Z$22,2))</f>
        <v>17</v>
      </c>
      <c r="H1770" s="16" t="str">
        <f aca="false">_xlfn.UNICHAR(((F1770*21)+G1770)*28+44032)</f>
        <v>뜌</v>
      </c>
      <c r="I1770" s="16" t="n">
        <f aca="false">IF(B1770=-1, 1, COUNTIF($A$2:$A$3000, H1770))</f>
        <v>0</v>
      </c>
      <c r="J1770" s="10" t="str">
        <f aca="false">_xlfn.CONCAT(A1770, ",",H1770,",",I1770)</f>
        <v>쨔,뜌,0</v>
      </c>
      <c r="K1770" s="16" t="n">
        <f aca="false">IF(B1770=-1,-1,VLOOKUP(C1770,$T$1:$V$20,3))</f>
        <v>17</v>
      </c>
      <c r="L1770" s="16" t="n">
        <f aca="false">IF(B1770=-1,-1,VLOOKUP(D1770,$Y$1:$AA$22,3))</f>
        <v>2</v>
      </c>
      <c r="N1770" s="10" t="str">
        <f aca="false">_xlfn.UNICHAR(((C1770*21)+G1770)*28+44032)</f>
        <v>쮸</v>
      </c>
      <c r="O1770" s="10" t="str">
        <f aca="false">_xlfn.UNICHAR(((F1770*21)+D1770)*28+44032)</f>
        <v>땨</v>
      </c>
      <c r="P1770" s="12" t="n">
        <f aca="false">COUNTIF($A$2:$A$3000, N1770) + COUNTIF($A$2:$A$3000, O1770)</f>
        <v>1</v>
      </c>
      <c r="Q1770" s="16" t="str">
        <f aca="false">IF(OR(B1770=-1,I1770=0, P1770&lt;&gt;2), "albhed_dummy", _xlfn.CONCAT("albhed ", RIGHT("  " &amp; K1770,2),", ", RIGHT("  " &amp; L1770,2), ", " ,"""",H1770,""", ", """",N1770,""", ","""",O1770,""""," ; ", A1770))</f>
        <v>albhed_dummy</v>
      </c>
    </row>
    <row r="1771" customFormat="false" ht="17.9" hidden="false" customHeight="true" outlineLevel="0" collapsed="false">
      <c r="A1771" s="16" t="s">
        <v>2621</v>
      </c>
      <c r="B1771" s="16" t="n">
        <f aca="false">IF(_xlfn.UNICODE(A1771)&lt;44032,-1,_xlfn.UNICODE(A1771)-44032)</f>
        <v>7704</v>
      </c>
      <c r="C1771" s="16" t="n">
        <f aca="false">IF(B1771=-1,-1,INT((B1771/28)/21))</f>
        <v>13</v>
      </c>
      <c r="D1771" s="16" t="n">
        <f aca="false">IF(B1771=-1, -1, MOD(INT(B1771/28),21))</f>
        <v>2</v>
      </c>
      <c r="E1771" s="16" t="n">
        <f aca="false">IF(B1771=-1, -1, VLOOKUP(MOD(B1771,28), $T$24:$U$52,2))</f>
        <v>4</v>
      </c>
      <c r="F1771" s="16" t="n">
        <f aca="false">IF($B1771=-1, -1, VLOOKUP(C1771,$T$1:$V$20, 2))</f>
        <v>4</v>
      </c>
      <c r="G1771" s="16" t="n">
        <f aca="false">IF($B1771=-1, -1, VLOOKUP(D1771,$Y$1:$Z$22,2))</f>
        <v>17</v>
      </c>
      <c r="H1771" s="16" t="str">
        <f aca="false">_xlfn.UNICHAR(((F1771*21)+G1771)*28+44032)</f>
        <v>뜌</v>
      </c>
      <c r="I1771" s="16" t="n">
        <f aca="false">IF(B1771=-1, 1, COUNTIF($A$2:$A$3000, H1771))</f>
        <v>0</v>
      </c>
      <c r="J1771" s="10" t="str">
        <f aca="false">_xlfn.CONCAT(A1771, ",",H1771,",",I1771)</f>
        <v>쨘,뜌,0</v>
      </c>
      <c r="K1771" s="16" t="n">
        <f aca="false">IF(B1771=-1,-1,VLOOKUP(C1771,$T$1:$V$20,3))</f>
        <v>17</v>
      </c>
      <c r="L1771" s="16" t="n">
        <f aca="false">IF(B1771=-1,-1,VLOOKUP(D1771,$Y$1:$AA$22,3))</f>
        <v>2</v>
      </c>
      <c r="N1771" s="10" t="str">
        <f aca="false">_xlfn.UNICHAR(((C1771*21)+G1771)*28+44032)</f>
        <v>쮸</v>
      </c>
      <c r="O1771" s="10" t="str">
        <f aca="false">_xlfn.UNICHAR(((F1771*21)+D1771)*28+44032)</f>
        <v>땨</v>
      </c>
      <c r="P1771" s="12" t="n">
        <f aca="false">COUNTIF($A$2:$A$3000, N1771) + COUNTIF($A$2:$A$3000, O1771)</f>
        <v>1</v>
      </c>
      <c r="Q1771" s="16" t="str">
        <f aca="false">IF(OR(B1771=-1,I1771=0, P1771&lt;&gt;2), "albhed_dummy", _xlfn.CONCAT("albhed ", RIGHT("  " &amp; K1771,2),", ", RIGHT("  " &amp; L1771,2), ", " ,"""",H1771,""", ", """",N1771,""", ","""",O1771,""""," ; ", A1771))</f>
        <v>albhed_dummy</v>
      </c>
    </row>
    <row r="1772" customFormat="false" ht="17.9" hidden="false" customHeight="true" outlineLevel="0" collapsed="false">
      <c r="A1772" s="16" t="s">
        <v>2622</v>
      </c>
      <c r="B1772" s="16" t="n">
        <f aca="false">IF(_xlfn.UNICODE(A1772)&lt;44032,-1,_xlfn.UNICODE(A1772)-44032)</f>
        <v>7721</v>
      </c>
      <c r="C1772" s="16" t="n">
        <f aca="false">IF(B1772=-1,-1,INT((B1772/28)/21))</f>
        <v>13</v>
      </c>
      <c r="D1772" s="16" t="n">
        <f aca="false">IF(B1772=-1, -1, MOD(INT(B1772/28),21))</f>
        <v>2</v>
      </c>
      <c r="E1772" s="16" t="n">
        <f aca="false">IF(B1772=-1, -1, VLOOKUP(MOD(B1772,28), $T$24:$U$52,2))</f>
        <v>21</v>
      </c>
      <c r="F1772" s="16" t="n">
        <f aca="false">IF($B1772=-1, -1, VLOOKUP(C1772,$T$1:$V$20, 2))</f>
        <v>4</v>
      </c>
      <c r="G1772" s="16" t="n">
        <f aca="false">IF($B1772=-1, -1, VLOOKUP(D1772,$Y$1:$Z$22,2))</f>
        <v>17</v>
      </c>
      <c r="H1772" s="16" t="str">
        <f aca="false">_xlfn.UNICHAR(((F1772*21)+G1772)*28+44032)</f>
        <v>뜌</v>
      </c>
      <c r="I1772" s="16" t="n">
        <f aca="false">IF(B1772=-1, 1, COUNTIF($A$2:$A$3000, H1772))</f>
        <v>0</v>
      </c>
      <c r="J1772" s="10" t="str">
        <f aca="false">_xlfn.CONCAT(A1772, ",",H1772,",",I1772)</f>
        <v>쨩,뜌,0</v>
      </c>
      <c r="K1772" s="16" t="n">
        <f aca="false">IF(B1772=-1,-1,VLOOKUP(C1772,$T$1:$V$20,3))</f>
        <v>17</v>
      </c>
      <c r="L1772" s="16" t="n">
        <f aca="false">IF(B1772=-1,-1,VLOOKUP(D1772,$Y$1:$AA$22,3))</f>
        <v>2</v>
      </c>
      <c r="N1772" s="10" t="str">
        <f aca="false">_xlfn.UNICHAR(((C1772*21)+G1772)*28+44032)</f>
        <v>쮸</v>
      </c>
      <c r="O1772" s="10" t="str">
        <f aca="false">_xlfn.UNICHAR(((F1772*21)+D1772)*28+44032)</f>
        <v>땨</v>
      </c>
      <c r="P1772" s="12" t="n">
        <f aca="false">COUNTIF($A$2:$A$3000, N1772) + COUNTIF($A$2:$A$3000, O1772)</f>
        <v>1</v>
      </c>
      <c r="Q1772" s="16" t="str">
        <f aca="false">IF(OR(B1772=-1,I1772=0, P1772&lt;&gt;2), "albhed_dummy", _xlfn.CONCAT("albhed ", RIGHT("  " &amp; K1772,2),", ", RIGHT("  " &amp; L1772,2), ", " ,"""",H1772,""", ", """",N1772,""", ","""",O1772,""""," ; ", A1772))</f>
        <v>albhed_dummy</v>
      </c>
    </row>
    <row r="1773" customFormat="false" ht="17.9" hidden="false" customHeight="true" outlineLevel="0" collapsed="false">
      <c r="A1773" s="16" t="s">
        <v>2623</v>
      </c>
      <c r="B1773" s="16" t="n">
        <f aca="false">IF(_xlfn.UNICODE(A1773)&lt;44032,-1,_xlfn.UNICODE(A1773)-44032)</f>
        <v>7756</v>
      </c>
      <c r="C1773" s="16" t="n">
        <f aca="false">IF(B1773=-1,-1,INT((B1773/28)/21))</f>
        <v>13</v>
      </c>
      <c r="D1773" s="16" t="n">
        <f aca="false">IF(B1773=-1, -1, MOD(INT(B1773/28),21))</f>
        <v>4</v>
      </c>
      <c r="E1773" s="16" t="n">
        <f aca="false">IF(B1773=-1, -1, VLOOKUP(MOD(B1773,28), $T$24:$U$52,2))</f>
        <v>0</v>
      </c>
      <c r="F1773" s="16" t="n">
        <f aca="false">IF($B1773=-1, -1, VLOOKUP(C1773,$T$1:$V$20, 2))</f>
        <v>4</v>
      </c>
      <c r="G1773" s="16" t="n">
        <f aca="false">IF($B1773=-1, -1, VLOOKUP(D1773,$Y$1:$Z$22,2))</f>
        <v>8</v>
      </c>
      <c r="H1773" s="16" t="str">
        <f aca="false">_xlfn.UNICHAR(((F1773*21)+G1773)*28+44032)</f>
        <v>또</v>
      </c>
      <c r="I1773" s="16" t="n">
        <f aca="false">IF(B1773=-1, 1, COUNTIF($A$2:$A$3000, H1773))</f>
        <v>1</v>
      </c>
      <c r="J1773" s="10" t="str">
        <f aca="false">_xlfn.CONCAT(A1773, ",",H1773,",",I1773)</f>
        <v>쩌,또,1</v>
      </c>
      <c r="K1773" s="16" t="n">
        <f aca="false">IF(B1773=-1,-1,VLOOKUP(C1773,$T$1:$V$20,3))</f>
        <v>17</v>
      </c>
      <c r="L1773" s="16" t="n">
        <f aca="false">IF(B1773=-1,-1,VLOOKUP(D1773,$Y$1:$AA$22,3))</f>
        <v>4</v>
      </c>
      <c r="N1773" s="10" t="str">
        <f aca="false">_xlfn.UNICHAR(((C1773*21)+G1773)*28+44032)</f>
        <v>쪼</v>
      </c>
      <c r="O1773" s="10" t="str">
        <f aca="false">_xlfn.UNICHAR(((F1773*21)+D1773)*28+44032)</f>
        <v>떠</v>
      </c>
      <c r="P1773" s="12" t="n">
        <f aca="false">COUNTIF($A$2:$A$3000, N1773) + COUNTIF($A$2:$A$3000, O1773)</f>
        <v>2</v>
      </c>
      <c r="Q1773" s="16" t="str">
        <f aca="false">IF(OR(B1773=-1,I1773=0, P1773&lt;&gt;2), "albhed_dummy", _xlfn.CONCAT("albhed ", RIGHT("  " &amp; K1773,2),", ", RIGHT("  " &amp; L1773,2), ", " ,"""",H1773,""", ", """",N1773,""", ","""",O1773,""""," ; ", A1773))</f>
        <v>albhed 17,  4, "또", "쪼", "떠" ; 쩌</v>
      </c>
    </row>
    <row r="1774" customFormat="false" ht="17.9" hidden="false" customHeight="true" outlineLevel="0" collapsed="false">
      <c r="A1774" s="16" t="s">
        <v>2624</v>
      </c>
      <c r="B1774" s="16" t="n">
        <f aca="false">IF(_xlfn.UNICODE(A1774)&lt;44032,-1,_xlfn.UNICODE(A1774)-44032)</f>
        <v>7757</v>
      </c>
      <c r="C1774" s="16" t="n">
        <f aca="false">IF(B1774=-1,-1,INT((B1774/28)/21))</f>
        <v>13</v>
      </c>
      <c r="D1774" s="16" t="n">
        <f aca="false">IF(B1774=-1, -1, MOD(INT(B1774/28),21))</f>
        <v>4</v>
      </c>
      <c r="E1774" s="16" t="n">
        <f aca="false">IF(B1774=-1, -1, VLOOKUP(MOD(B1774,28), $T$24:$U$52,2))</f>
        <v>1</v>
      </c>
      <c r="F1774" s="16" t="n">
        <f aca="false">IF($B1774=-1, -1, VLOOKUP(C1774,$T$1:$V$20, 2))</f>
        <v>4</v>
      </c>
      <c r="G1774" s="16" t="n">
        <f aca="false">IF($B1774=-1, -1, VLOOKUP(D1774,$Y$1:$Z$22,2))</f>
        <v>8</v>
      </c>
      <c r="H1774" s="16" t="str">
        <f aca="false">_xlfn.UNICHAR(((F1774*21)+G1774)*28+44032)</f>
        <v>또</v>
      </c>
      <c r="I1774" s="16" t="n">
        <f aca="false">IF(B1774=-1, 1, COUNTIF($A$2:$A$3000, H1774))</f>
        <v>1</v>
      </c>
      <c r="J1774" s="10" t="str">
        <f aca="false">_xlfn.CONCAT(A1774, ",",H1774,",",I1774)</f>
        <v>쩍,또,1</v>
      </c>
      <c r="K1774" s="16" t="n">
        <f aca="false">IF(B1774=-1,-1,VLOOKUP(C1774,$T$1:$V$20,3))</f>
        <v>17</v>
      </c>
      <c r="L1774" s="16" t="n">
        <f aca="false">IF(B1774=-1,-1,VLOOKUP(D1774,$Y$1:$AA$22,3))</f>
        <v>4</v>
      </c>
      <c r="N1774" s="10" t="str">
        <f aca="false">_xlfn.UNICHAR(((C1774*21)+G1774)*28+44032)</f>
        <v>쪼</v>
      </c>
      <c r="O1774" s="10" t="str">
        <f aca="false">_xlfn.UNICHAR(((F1774*21)+D1774)*28+44032)</f>
        <v>떠</v>
      </c>
      <c r="P1774" s="12" t="n">
        <f aca="false">COUNTIF($A$2:$A$3000, N1774) + COUNTIF($A$2:$A$3000, O1774)</f>
        <v>2</v>
      </c>
      <c r="Q1774" s="16" t="str">
        <f aca="false">IF(OR(B1774=-1,I1774=0, P1774&lt;&gt;2), "albhed_dummy", _xlfn.CONCAT("albhed ", RIGHT("  " &amp; K1774,2),", ", RIGHT("  " &amp; L1774,2), ", " ,"""",H1774,""", ", """",N1774,""", ","""",O1774,""""," ; ", A1774))</f>
        <v>albhed 17,  4, "또", "쪼", "떠" ; 쩍</v>
      </c>
    </row>
    <row r="1775" customFormat="false" ht="17.9" hidden="false" customHeight="true" outlineLevel="0" collapsed="false">
      <c r="A1775" s="16" t="s">
        <v>2625</v>
      </c>
      <c r="B1775" s="16" t="n">
        <f aca="false">IF(_xlfn.UNICODE(A1775)&lt;44032,-1,_xlfn.UNICODE(A1775)-44032)</f>
        <v>7760</v>
      </c>
      <c r="C1775" s="16" t="n">
        <f aca="false">IF(B1775=-1,-1,INT((B1775/28)/21))</f>
        <v>13</v>
      </c>
      <c r="D1775" s="16" t="n">
        <f aca="false">IF(B1775=-1, -1, MOD(INT(B1775/28),21))</f>
        <v>4</v>
      </c>
      <c r="E1775" s="16" t="n">
        <f aca="false">IF(B1775=-1, -1, VLOOKUP(MOD(B1775,28), $T$24:$U$52,2))</f>
        <v>4</v>
      </c>
      <c r="F1775" s="16" t="n">
        <f aca="false">IF($B1775=-1, -1, VLOOKUP(C1775,$T$1:$V$20, 2))</f>
        <v>4</v>
      </c>
      <c r="G1775" s="16" t="n">
        <f aca="false">IF($B1775=-1, -1, VLOOKUP(D1775,$Y$1:$Z$22,2))</f>
        <v>8</v>
      </c>
      <c r="H1775" s="16" t="str">
        <f aca="false">_xlfn.UNICHAR(((F1775*21)+G1775)*28+44032)</f>
        <v>또</v>
      </c>
      <c r="I1775" s="16" t="n">
        <f aca="false">IF(B1775=-1, 1, COUNTIF($A$2:$A$3000, H1775))</f>
        <v>1</v>
      </c>
      <c r="J1775" s="10" t="str">
        <f aca="false">_xlfn.CONCAT(A1775, ",",H1775,",",I1775)</f>
        <v>쩐,또,1</v>
      </c>
      <c r="K1775" s="16" t="n">
        <f aca="false">IF(B1775=-1,-1,VLOOKUP(C1775,$T$1:$V$20,3))</f>
        <v>17</v>
      </c>
      <c r="L1775" s="16" t="n">
        <f aca="false">IF(B1775=-1,-1,VLOOKUP(D1775,$Y$1:$AA$22,3))</f>
        <v>4</v>
      </c>
      <c r="N1775" s="10" t="str">
        <f aca="false">_xlfn.UNICHAR(((C1775*21)+G1775)*28+44032)</f>
        <v>쪼</v>
      </c>
      <c r="O1775" s="10" t="str">
        <f aca="false">_xlfn.UNICHAR(((F1775*21)+D1775)*28+44032)</f>
        <v>떠</v>
      </c>
      <c r="P1775" s="12" t="n">
        <f aca="false">COUNTIF($A$2:$A$3000, N1775) + COUNTIF($A$2:$A$3000, O1775)</f>
        <v>2</v>
      </c>
      <c r="Q1775" s="16" t="str">
        <f aca="false">IF(OR(B1775=-1,I1775=0, P1775&lt;&gt;2), "albhed_dummy", _xlfn.CONCAT("albhed ", RIGHT("  " &amp; K1775,2),", ", RIGHT("  " &amp; L1775,2), ", " ,"""",H1775,""", ", """",N1775,""", ","""",O1775,""""," ; ", A1775))</f>
        <v>albhed 17,  4, "또", "쪼", "떠" ; 쩐</v>
      </c>
    </row>
    <row r="1776" customFormat="false" ht="17.9" hidden="false" customHeight="true" outlineLevel="0" collapsed="false">
      <c r="A1776" s="16" t="s">
        <v>2626</v>
      </c>
      <c r="B1776" s="16" t="n">
        <f aca="false">IF(_xlfn.UNICODE(A1776)&lt;44032,-1,_xlfn.UNICODE(A1776)-44032)</f>
        <v>7764</v>
      </c>
      <c r="C1776" s="16" t="n">
        <f aca="false">IF(B1776=-1,-1,INT((B1776/28)/21))</f>
        <v>13</v>
      </c>
      <c r="D1776" s="16" t="n">
        <f aca="false">IF(B1776=-1, -1, MOD(INT(B1776/28),21))</f>
        <v>4</v>
      </c>
      <c r="E1776" s="16" t="n">
        <f aca="false">IF(B1776=-1, -1, VLOOKUP(MOD(B1776,28), $T$24:$U$52,2))</f>
        <v>8</v>
      </c>
      <c r="F1776" s="16" t="n">
        <f aca="false">IF($B1776=-1, -1, VLOOKUP(C1776,$T$1:$V$20, 2))</f>
        <v>4</v>
      </c>
      <c r="G1776" s="16" t="n">
        <f aca="false">IF($B1776=-1, -1, VLOOKUP(D1776,$Y$1:$Z$22,2))</f>
        <v>8</v>
      </c>
      <c r="H1776" s="16" t="str">
        <f aca="false">_xlfn.UNICHAR(((F1776*21)+G1776)*28+44032)</f>
        <v>또</v>
      </c>
      <c r="I1776" s="16" t="n">
        <f aca="false">IF(B1776=-1, 1, COUNTIF($A$2:$A$3000, H1776))</f>
        <v>1</v>
      </c>
      <c r="J1776" s="10" t="str">
        <f aca="false">_xlfn.CONCAT(A1776, ",",H1776,",",I1776)</f>
        <v>쩔,또,1</v>
      </c>
      <c r="K1776" s="16" t="n">
        <f aca="false">IF(B1776=-1,-1,VLOOKUP(C1776,$T$1:$V$20,3))</f>
        <v>17</v>
      </c>
      <c r="L1776" s="16" t="n">
        <f aca="false">IF(B1776=-1,-1,VLOOKUP(D1776,$Y$1:$AA$22,3))</f>
        <v>4</v>
      </c>
      <c r="N1776" s="10" t="str">
        <f aca="false">_xlfn.UNICHAR(((C1776*21)+G1776)*28+44032)</f>
        <v>쪼</v>
      </c>
      <c r="O1776" s="10" t="str">
        <f aca="false">_xlfn.UNICHAR(((F1776*21)+D1776)*28+44032)</f>
        <v>떠</v>
      </c>
      <c r="P1776" s="12" t="n">
        <f aca="false">COUNTIF($A$2:$A$3000, N1776) + COUNTIF($A$2:$A$3000, O1776)</f>
        <v>2</v>
      </c>
      <c r="Q1776" s="16" t="str">
        <f aca="false">IF(OR(B1776=-1,I1776=0, P1776&lt;&gt;2), "albhed_dummy", _xlfn.CONCAT("albhed ", RIGHT("  " &amp; K1776,2),", ", RIGHT("  " &amp; L1776,2), ", " ,"""",H1776,""", ", """",N1776,""", ","""",O1776,""""," ; ", A1776))</f>
        <v>albhed 17,  4, "또", "쪼", "떠" ; 쩔</v>
      </c>
    </row>
    <row r="1777" customFormat="false" ht="17.9" hidden="false" customHeight="true" outlineLevel="0" collapsed="false">
      <c r="A1777" s="16" t="s">
        <v>2627</v>
      </c>
      <c r="B1777" s="16" t="n">
        <f aca="false">IF(_xlfn.UNICODE(A1777)&lt;44032,-1,_xlfn.UNICODE(A1777)-44032)</f>
        <v>7772</v>
      </c>
      <c r="C1777" s="16" t="n">
        <f aca="false">IF(B1777=-1,-1,INT((B1777/28)/21))</f>
        <v>13</v>
      </c>
      <c r="D1777" s="16" t="n">
        <f aca="false">IF(B1777=-1, -1, MOD(INT(B1777/28),21))</f>
        <v>4</v>
      </c>
      <c r="E1777" s="16" t="n">
        <f aca="false">IF(B1777=-1, -1, VLOOKUP(MOD(B1777,28), $T$24:$U$52,2))</f>
        <v>16</v>
      </c>
      <c r="F1777" s="16" t="n">
        <f aca="false">IF($B1777=-1, -1, VLOOKUP(C1777,$T$1:$V$20, 2))</f>
        <v>4</v>
      </c>
      <c r="G1777" s="16" t="n">
        <f aca="false">IF($B1777=-1, -1, VLOOKUP(D1777,$Y$1:$Z$22,2))</f>
        <v>8</v>
      </c>
      <c r="H1777" s="16" t="str">
        <f aca="false">_xlfn.UNICHAR(((F1777*21)+G1777)*28+44032)</f>
        <v>또</v>
      </c>
      <c r="I1777" s="16" t="n">
        <f aca="false">IF(B1777=-1, 1, COUNTIF($A$2:$A$3000, H1777))</f>
        <v>1</v>
      </c>
      <c r="J1777" s="10" t="str">
        <f aca="false">_xlfn.CONCAT(A1777, ",",H1777,",",I1777)</f>
        <v>쩜,또,1</v>
      </c>
      <c r="K1777" s="16" t="n">
        <f aca="false">IF(B1777=-1,-1,VLOOKUP(C1777,$T$1:$V$20,3))</f>
        <v>17</v>
      </c>
      <c r="L1777" s="16" t="n">
        <f aca="false">IF(B1777=-1,-1,VLOOKUP(D1777,$Y$1:$AA$22,3))</f>
        <v>4</v>
      </c>
      <c r="N1777" s="10" t="str">
        <f aca="false">_xlfn.UNICHAR(((C1777*21)+G1777)*28+44032)</f>
        <v>쪼</v>
      </c>
      <c r="O1777" s="10" t="str">
        <f aca="false">_xlfn.UNICHAR(((F1777*21)+D1777)*28+44032)</f>
        <v>떠</v>
      </c>
      <c r="P1777" s="12" t="n">
        <f aca="false">COUNTIF($A$2:$A$3000, N1777) + COUNTIF($A$2:$A$3000, O1777)</f>
        <v>2</v>
      </c>
      <c r="Q1777" s="16" t="str">
        <f aca="false">IF(OR(B1777=-1,I1777=0, P1777&lt;&gt;2), "albhed_dummy", _xlfn.CONCAT("albhed ", RIGHT("  " &amp; K1777,2),", ", RIGHT("  " &amp; L1777,2), ", " ,"""",H1777,""", ", """",N1777,""", ","""",O1777,""""," ; ", A1777))</f>
        <v>albhed 17,  4, "또", "쪼", "떠" ; 쩜</v>
      </c>
    </row>
    <row r="1778" customFormat="false" ht="17.9" hidden="false" customHeight="true" outlineLevel="0" collapsed="false">
      <c r="A1778" s="16" t="s">
        <v>2628</v>
      </c>
      <c r="B1778" s="16" t="n">
        <f aca="false">IF(_xlfn.UNICODE(A1778)&lt;44032,-1,_xlfn.UNICODE(A1778)-44032)</f>
        <v>7773</v>
      </c>
      <c r="C1778" s="16" t="n">
        <f aca="false">IF(B1778=-1,-1,INT((B1778/28)/21))</f>
        <v>13</v>
      </c>
      <c r="D1778" s="16" t="n">
        <f aca="false">IF(B1778=-1, -1, MOD(INT(B1778/28),21))</f>
        <v>4</v>
      </c>
      <c r="E1778" s="16" t="n">
        <f aca="false">IF(B1778=-1, -1, VLOOKUP(MOD(B1778,28), $T$24:$U$52,2))</f>
        <v>17</v>
      </c>
      <c r="F1778" s="16" t="n">
        <f aca="false">IF($B1778=-1, -1, VLOOKUP(C1778,$T$1:$V$20, 2))</f>
        <v>4</v>
      </c>
      <c r="G1778" s="16" t="n">
        <f aca="false">IF($B1778=-1, -1, VLOOKUP(D1778,$Y$1:$Z$22,2))</f>
        <v>8</v>
      </c>
      <c r="H1778" s="16" t="str">
        <f aca="false">_xlfn.UNICHAR(((F1778*21)+G1778)*28+44032)</f>
        <v>또</v>
      </c>
      <c r="I1778" s="16" t="n">
        <f aca="false">IF(B1778=-1, 1, COUNTIF($A$2:$A$3000, H1778))</f>
        <v>1</v>
      </c>
      <c r="J1778" s="10" t="str">
        <f aca="false">_xlfn.CONCAT(A1778, ",",H1778,",",I1778)</f>
        <v>쩝,또,1</v>
      </c>
      <c r="K1778" s="16" t="n">
        <f aca="false">IF(B1778=-1,-1,VLOOKUP(C1778,$T$1:$V$20,3))</f>
        <v>17</v>
      </c>
      <c r="L1778" s="16" t="n">
        <f aca="false">IF(B1778=-1,-1,VLOOKUP(D1778,$Y$1:$AA$22,3))</f>
        <v>4</v>
      </c>
      <c r="N1778" s="10" t="str">
        <f aca="false">_xlfn.UNICHAR(((C1778*21)+G1778)*28+44032)</f>
        <v>쪼</v>
      </c>
      <c r="O1778" s="10" t="str">
        <f aca="false">_xlfn.UNICHAR(((F1778*21)+D1778)*28+44032)</f>
        <v>떠</v>
      </c>
      <c r="P1778" s="12" t="n">
        <f aca="false">COUNTIF($A$2:$A$3000, N1778) + COUNTIF($A$2:$A$3000, O1778)</f>
        <v>2</v>
      </c>
      <c r="Q1778" s="16" t="str">
        <f aca="false">IF(OR(B1778=-1,I1778=0, P1778&lt;&gt;2), "albhed_dummy", _xlfn.CONCAT("albhed ", RIGHT("  " &amp; K1778,2),", ", RIGHT("  " &amp; L1778,2), ", " ,"""",H1778,""", ", """",N1778,""", ","""",O1778,""""," ; ", A1778))</f>
        <v>albhed 17,  4, "또", "쪼", "떠" ; 쩝</v>
      </c>
    </row>
    <row r="1779" customFormat="false" ht="17.9" hidden="false" customHeight="true" outlineLevel="0" collapsed="false">
      <c r="A1779" s="16" t="s">
        <v>2629</v>
      </c>
      <c r="B1779" s="16" t="n">
        <f aca="false">IF(_xlfn.UNICODE(A1779)&lt;44032,-1,_xlfn.UNICODE(A1779)-44032)</f>
        <v>7775</v>
      </c>
      <c r="C1779" s="16" t="n">
        <f aca="false">IF(B1779=-1,-1,INT((B1779/28)/21))</f>
        <v>13</v>
      </c>
      <c r="D1779" s="16" t="n">
        <f aca="false">IF(B1779=-1, -1, MOD(INT(B1779/28),21))</f>
        <v>4</v>
      </c>
      <c r="E1779" s="16" t="n">
        <f aca="false">IF(B1779=-1, -1, VLOOKUP(MOD(B1779,28), $T$24:$U$52,2))</f>
        <v>19</v>
      </c>
      <c r="F1779" s="16" t="n">
        <f aca="false">IF($B1779=-1, -1, VLOOKUP(C1779,$T$1:$V$20, 2))</f>
        <v>4</v>
      </c>
      <c r="G1779" s="16" t="n">
        <f aca="false">IF($B1779=-1, -1, VLOOKUP(D1779,$Y$1:$Z$22,2))</f>
        <v>8</v>
      </c>
      <c r="H1779" s="16" t="str">
        <f aca="false">_xlfn.UNICHAR(((F1779*21)+G1779)*28+44032)</f>
        <v>또</v>
      </c>
      <c r="I1779" s="16" t="n">
        <f aca="false">IF(B1779=-1, 1, COUNTIF($A$2:$A$3000, H1779))</f>
        <v>1</v>
      </c>
      <c r="J1779" s="10" t="str">
        <f aca="false">_xlfn.CONCAT(A1779, ",",H1779,",",I1779)</f>
        <v>쩟,또,1</v>
      </c>
      <c r="K1779" s="16" t="n">
        <f aca="false">IF(B1779=-1,-1,VLOOKUP(C1779,$T$1:$V$20,3))</f>
        <v>17</v>
      </c>
      <c r="L1779" s="16" t="n">
        <f aca="false">IF(B1779=-1,-1,VLOOKUP(D1779,$Y$1:$AA$22,3))</f>
        <v>4</v>
      </c>
      <c r="N1779" s="10" t="str">
        <f aca="false">_xlfn.UNICHAR(((C1779*21)+G1779)*28+44032)</f>
        <v>쪼</v>
      </c>
      <c r="O1779" s="10" t="str">
        <f aca="false">_xlfn.UNICHAR(((F1779*21)+D1779)*28+44032)</f>
        <v>떠</v>
      </c>
      <c r="P1779" s="12" t="n">
        <f aca="false">COUNTIF($A$2:$A$3000, N1779) + COUNTIF($A$2:$A$3000, O1779)</f>
        <v>2</v>
      </c>
      <c r="Q1779" s="16" t="str">
        <f aca="false">IF(OR(B1779=-1,I1779=0, P1779&lt;&gt;2), "albhed_dummy", _xlfn.CONCAT("albhed ", RIGHT("  " &amp; K1779,2),", ", RIGHT("  " &amp; L1779,2), ", " ,"""",H1779,""", ", """",N1779,""", ","""",O1779,""""," ; ", A1779))</f>
        <v>albhed 17,  4, "또", "쪼", "떠" ; 쩟</v>
      </c>
    </row>
    <row r="1780" customFormat="false" ht="17.9" hidden="false" customHeight="true" outlineLevel="0" collapsed="false">
      <c r="A1780" s="16" t="s">
        <v>2630</v>
      </c>
      <c r="B1780" s="16" t="n">
        <f aca="false">IF(_xlfn.UNICODE(A1780)&lt;44032,-1,_xlfn.UNICODE(A1780)-44032)</f>
        <v>7776</v>
      </c>
      <c r="C1780" s="16" t="n">
        <f aca="false">IF(B1780=-1,-1,INT((B1780/28)/21))</f>
        <v>13</v>
      </c>
      <c r="D1780" s="16" t="n">
        <f aca="false">IF(B1780=-1, -1, MOD(INT(B1780/28),21))</f>
        <v>4</v>
      </c>
      <c r="E1780" s="16" t="n">
        <f aca="false">IF(B1780=-1, -1, VLOOKUP(MOD(B1780,28), $T$24:$U$52,2))</f>
        <v>19</v>
      </c>
      <c r="F1780" s="16" t="n">
        <f aca="false">IF($B1780=-1, -1, VLOOKUP(C1780,$T$1:$V$20, 2))</f>
        <v>4</v>
      </c>
      <c r="G1780" s="16" t="n">
        <f aca="false">IF($B1780=-1, -1, VLOOKUP(D1780,$Y$1:$Z$22,2))</f>
        <v>8</v>
      </c>
      <c r="H1780" s="16" t="str">
        <f aca="false">_xlfn.UNICHAR(((F1780*21)+G1780)*28+44032)</f>
        <v>또</v>
      </c>
      <c r="I1780" s="16" t="n">
        <f aca="false">IF(B1780=-1, 1, COUNTIF($A$2:$A$3000, H1780))</f>
        <v>1</v>
      </c>
      <c r="J1780" s="10" t="str">
        <f aca="false">_xlfn.CONCAT(A1780, ",",H1780,",",I1780)</f>
        <v>쩠,또,1</v>
      </c>
      <c r="K1780" s="16" t="n">
        <f aca="false">IF(B1780=-1,-1,VLOOKUP(C1780,$T$1:$V$20,3))</f>
        <v>17</v>
      </c>
      <c r="L1780" s="16" t="n">
        <f aca="false">IF(B1780=-1,-1,VLOOKUP(D1780,$Y$1:$AA$22,3))</f>
        <v>4</v>
      </c>
      <c r="N1780" s="10" t="str">
        <f aca="false">_xlfn.UNICHAR(((C1780*21)+G1780)*28+44032)</f>
        <v>쪼</v>
      </c>
      <c r="O1780" s="10" t="str">
        <f aca="false">_xlfn.UNICHAR(((F1780*21)+D1780)*28+44032)</f>
        <v>떠</v>
      </c>
      <c r="P1780" s="12" t="n">
        <f aca="false">COUNTIF($A$2:$A$3000, N1780) + COUNTIF($A$2:$A$3000, O1780)</f>
        <v>2</v>
      </c>
      <c r="Q1780" s="16" t="str">
        <f aca="false">IF(OR(B1780=-1,I1780=0, P1780&lt;&gt;2), "albhed_dummy", _xlfn.CONCAT("albhed ", RIGHT("  " &amp; K1780,2),", ", RIGHT("  " &amp; L1780,2), ", " ,"""",H1780,""", ", """",N1780,""", ","""",O1780,""""," ; ", A1780))</f>
        <v>albhed 17,  4, "또", "쪼", "떠" ; 쩠</v>
      </c>
    </row>
    <row r="1781" customFormat="false" ht="17.9" hidden="false" customHeight="true" outlineLevel="0" collapsed="false">
      <c r="A1781" s="16" t="s">
        <v>2631</v>
      </c>
      <c r="B1781" s="16" t="n">
        <f aca="false">IF(_xlfn.UNICODE(A1781)&lt;44032,-1,_xlfn.UNICODE(A1781)-44032)</f>
        <v>7777</v>
      </c>
      <c r="C1781" s="16" t="n">
        <f aca="false">IF(B1781=-1,-1,INT((B1781/28)/21))</f>
        <v>13</v>
      </c>
      <c r="D1781" s="16" t="n">
        <f aca="false">IF(B1781=-1, -1, MOD(INT(B1781/28),21))</f>
        <v>4</v>
      </c>
      <c r="E1781" s="16" t="n">
        <f aca="false">IF(B1781=-1, -1, VLOOKUP(MOD(B1781,28), $T$24:$U$52,2))</f>
        <v>21</v>
      </c>
      <c r="F1781" s="16" t="n">
        <f aca="false">IF($B1781=-1, -1, VLOOKUP(C1781,$T$1:$V$20, 2))</f>
        <v>4</v>
      </c>
      <c r="G1781" s="16" t="n">
        <f aca="false">IF($B1781=-1, -1, VLOOKUP(D1781,$Y$1:$Z$22,2))</f>
        <v>8</v>
      </c>
      <c r="H1781" s="16" t="str">
        <f aca="false">_xlfn.UNICHAR(((F1781*21)+G1781)*28+44032)</f>
        <v>또</v>
      </c>
      <c r="I1781" s="16" t="n">
        <f aca="false">IF(B1781=-1, 1, COUNTIF($A$2:$A$3000, H1781))</f>
        <v>1</v>
      </c>
      <c r="J1781" s="10" t="str">
        <f aca="false">_xlfn.CONCAT(A1781, ",",H1781,",",I1781)</f>
        <v>쩡,또,1</v>
      </c>
      <c r="K1781" s="16" t="n">
        <f aca="false">IF(B1781=-1,-1,VLOOKUP(C1781,$T$1:$V$20,3))</f>
        <v>17</v>
      </c>
      <c r="L1781" s="16" t="n">
        <f aca="false">IF(B1781=-1,-1,VLOOKUP(D1781,$Y$1:$AA$22,3))</f>
        <v>4</v>
      </c>
      <c r="N1781" s="10" t="str">
        <f aca="false">_xlfn.UNICHAR(((C1781*21)+G1781)*28+44032)</f>
        <v>쪼</v>
      </c>
      <c r="O1781" s="10" t="str">
        <f aca="false">_xlfn.UNICHAR(((F1781*21)+D1781)*28+44032)</f>
        <v>떠</v>
      </c>
      <c r="P1781" s="12" t="n">
        <f aca="false">COUNTIF($A$2:$A$3000, N1781) + COUNTIF($A$2:$A$3000, O1781)</f>
        <v>2</v>
      </c>
      <c r="Q1781" s="16" t="str">
        <f aca="false">IF(OR(B1781=-1,I1781=0, P1781&lt;&gt;2), "albhed_dummy", _xlfn.CONCAT("albhed ", RIGHT("  " &amp; K1781,2),", ", RIGHT("  " &amp; L1781,2), ", " ,"""",H1781,""", ", """",N1781,""", ","""",O1781,""""," ; ", A1781))</f>
        <v>albhed 17,  4, "또", "쪼", "떠" ; 쩡</v>
      </c>
    </row>
    <row r="1782" customFormat="false" ht="17.9" hidden="false" customHeight="true" outlineLevel="0" collapsed="false">
      <c r="A1782" s="16" t="s">
        <v>2632</v>
      </c>
      <c r="B1782" s="16" t="n">
        <f aca="false">IF(_xlfn.UNICODE(A1782)&lt;44032,-1,_xlfn.UNICODE(A1782)-44032)</f>
        <v>7784</v>
      </c>
      <c r="C1782" s="16" t="n">
        <f aca="false">IF(B1782=-1,-1,INT((B1782/28)/21))</f>
        <v>13</v>
      </c>
      <c r="D1782" s="16" t="n">
        <f aca="false">IF(B1782=-1, -1, MOD(INT(B1782/28),21))</f>
        <v>5</v>
      </c>
      <c r="E1782" s="16" t="n">
        <f aca="false">IF(B1782=-1, -1, VLOOKUP(MOD(B1782,28), $T$24:$U$52,2))</f>
        <v>0</v>
      </c>
      <c r="F1782" s="16" t="n">
        <f aca="false">IF($B1782=-1, -1, VLOOKUP(C1782,$T$1:$V$20, 2))</f>
        <v>4</v>
      </c>
      <c r="G1782" s="16" t="n">
        <f aca="false">IF($B1782=-1, -1, VLOOKUP(D1782,$Y$1:$Z$22,2))</f>
        <v>18</v>
      </c>
      <c r="H1782" s="16" t="str">
        <f aca="false">_xlfn.UNICHAR(((F1782*21)+G1782)*28+44032)</f>
        <v>뜨</v>
      </c>
      <c r="I1782" s="16" t="n">
        <f aca="false">IF(B1782=-1, 1, COUNTIF($A$2:$A$3000, H1782))</f>
        <v>1</v>
      </c>
      <c r="J1782" s="10" t="str">
        <f aca="false">_xlfn.CONCAT(A1782, ",",H1782,",",I1782)</f>
        <v>쩨,뜨,1</v>
      </c>
      <c r="K1782" s="16" t="n">
        <f aca="false">IF(B1782=-1,-1,VLOOKUP(C1782,$T$1:$V$20,3))</f>
        <v>17</v>
      </c>
      <c r="L1782" s="16" t="n">
        <f aca="false">IF(B1782=-1,-1,VLOOKUP(D1782,$Y$1:$AA$22,3))</f>
        <v>10</v>
      </c>
      <c r="N1782" s="10" t="str">
        <f aca="false">_xlfn.UNICHAR(((C1782*21)+G1782)*28+44032)</f>
        <v>쯔</v>
      </c>
      <c r="O1782" s="10" t="str">
        <f aca="false">_xlfn.UNICHAR(((F1782*21)+D1782)*28+44032)</f>
        <v>떼</v>
      </c>
      <c r="P1782" s="12" t="n">
        <f aca="false">COUNTIF($A$2:$A$3000, N1782) + COUNTIF($A$2:$A$3000, O1782)</f>
        <v>2</v>
      </c>
      <c r="Q1782" s="16" t="str">
        <f aca="false">IF(OR(B1782=-1,I1782=0, P1782&lt;&gt;2), "albhed_dummy", _xlfn.CONCAT("albhed ", RIGHT("  " &amp; K1782,2),", ", RIGHT("  " &amp; L1782,2), ", " ,"""",H1782,""", ", """",N1782,""", ","""",O1782,""""," ; ", A1782))</f>
        <v>albhed 17, 10, "뜨", "쯔", "떼" ; 쩨</v>
      </c>
    </row>
    <row r="1783" customFormat="false" ht="17.9" hidden="false" customHeight="true" outlineLevel="0" collapsed="false">
      <c r="A1783" s="16" t="s">
        <v>2633</v>
      </c>
      <c r="B1783" s="16" t="n">
        <f aca="false">IF(_xlfn.UNICODE(A1783)&lt;44032,-1,_xlfn.UNICODE(A1783)-44032)</f>
        <v>7805</v>
      </c>
      <c r="C1783" s="16" t="n">
        <f aca="false">IF(B1783=-1,-1,INT((B1783/28)/21))</f>
        <v>13</v>
      </c>
      <c r="D1783" s="16" t="n">
        <f aca="false">IF(B1783=-1, -1, MOD(INT(B1783/28),21))</f>
        <v>5</v>
      </c>
      <c r="E1783" s="16" t="n">
        <f aca="false">IF(B1783=-1, -1, VLOOKUP(MOD(B1783,28), $T$24:$U$52,2))</f>
        <v>21</v>
      </c>
      <c r="F1783" s="16" t="n">
        <f aca="false">IF($B1783=-1, -1, VLOOKUP(C1783,$T$1:$V$20, 2))</f>
        <v>4</v>
      </c>
      <c r="G1783" s="16" t="n">
        <f aca="false">IF($B1783=-1, -1, VLOOKUP(D1783,$Y$1:$Z$22,2))</f>
        <v>18</v>
      </c>
      <c r="H1783" s="16" t="str">
        <f aca="false">_xlfn.UNICHAR(((F1783*21)+G1783)*28+44032)</f>
        <v>뜨</v>
      </c>
      <c r="I1783" s="16" t="n">
        <f aca="false">IF(B1783=-1, 1, COUNTIF($A$2:$A$3000, H1783))</f>
        <v>1</v>
      </c>
      <c r="J1783" s="10" t="str">
        <f aca="false">_xlfn.CONCAT(A1783, ",",H1783,",",I1783)</f>
        <v>쩽,뜨,1</v>
      </c>
      <c r="K1783" s="16" t="n">
        <f aca="false">IF(B1783=-1,-1,VLOOKUP(C1783,$T$1:$V$20,3))</f>
        <v>17</v>
      </c>
      <c r="L1783" s="16" t="n">
        <f aca="false">IF(B1783=-1,-1,VLOOKUP(D1783,$Y$1:$AA$22,3))</f>
        <v>10</v>
      </c>
      <c r="N1783" s="10" t="str">
        <f aca="false">_xlfn.UNICHAR(((C1783*21)+G1783)*28+44032)</f>
        <v>쯔</v>
      </c>
      <c r="O1783" s="10" t="str">
        <f aca="false">_xlfn.UNICHAR(((F1783*21)+D1783)*28+44032)</f>
        <v>떼</v>
      </c>
      <c r="P1783" s="12" t="n">
        <f aca="false">COUNTIF($A$2:$A$3000, N1783) + COUNTIF($A$2:$A$3000, O1783)</f>
        <v>2</v>
      </c>
      <c r="Q1783" s="16" t="str">
        <f aca="false">IF(OR(B1783=-1,I1783=0, P1783&lt;&gt;2), "albhed_dummy", _xlfn.CONCAT("albhed ", RIGHT("  " &amp; K1783,2),", ", RIGHT("  " &amp; L1783,2), ", " ,"""",H1783,""", ", """",N1783,""", ","""",O1783,""""," ; ", A1783))</f>
        <v>albhed 17, 10, "뜨", "쯔", "떼" ; 쩽</v>
      </c>
    </row>
    <row r="1784" customFormat="false" ht="17.9" hidden="false" customHeight="true" outlineLevel="0" collapsed="false">
      <c r="A1784" s="16" t="s">
        <v>2634</v>
      </c>
      <c r="B1784" s="16" t="n">
        <f aca="false">IF(_xlfn.UNICODE(A1784)&lt;44032,-1,_xlfn.UNICODE(A1784)-44032)</f>
        <v>7812</v>
      </c>
      <c r="C1784" s="16" t="n">
        <f aca="false">IF(B1784=-1,-1,INT((B1784/28)/21))</f>
        <v>13</v>
      </c>
      <c r="D1784" s="16" t="n">
        <f aca="false">IF(B1784=-1, -1, MOD(INT(B1784/28),21))</f>
        <v>6</v>
      </c>
      <c r="E1784" s="16" t="n">
        <f aca="false">IF(B1784=-1, -1, VLOOKUP(MOD(B1784,28), $T$24:$U$52,2))</f>
        <v>0</v>
      </c>
      <c r="F1784" s="16" t="n">
        <f aca="false">IF($B1784=-1, -1, VLOOKUP(C1784,$T$1:$V$20, 2))</f>
        <v>4</v>
      </c>
      <c r="G1784" s="16" t="n">
        <f aca="false">IF($B1784=-1, -1, VLOOKUP(D1784,$Y$1:$Z$22,2))</f>
        <v>12</v>
      </c>
      <c r="H1784" s="16" t="str">
        <f aca="false">_xlfn.UNICHAR(((F1784*21)+G1784)*28+44032)</f>
        <v>뚀</v>
      </c>
      <c r="I1784" s="16" t="n">
        <f aca="false">IF(B1784=-1, 1, COUNTIF($A$2:$A$3000, H1784))</f>
        <v>0</v>
      </c>
      <c r="J1784" s="10" t="str">
        <f aca="false">_xlfn.CONCAT(A1784, ",",H1784,",",I1784)</f>
        <v>쪄,뚀,0</v>
      </c>
      <c r="K1784" s="16" t="n">
        <f aca="false">IF(B1784=-1,-1,VLOOKUP(C1784,$T$1:$V$20,3))</f>
        <v>17</v>
      </c>
      <c r="L1784" s="16" t="n">
        <f aca="false">IF(B1784=-1,-1,VLOOKUP(D1784,$Y$1:$AA$22,3))</f>
        <v>4</v>
      </c>
      <c r="N1784" s="10" t="str">
        <f aca="false">_xlfn.UNICHAR(((C1784*21)+G1784)*28+44032)</f>
        <v>쬬</v>
      </c>
      <c r="O1784" s="10" t="str">
        <f aca="false">_xlfn.UNICHAR(((F1784*21)+D1784)*28+44032)</f>
        <v>뗘</v>
      </c>
      <c r="P1784" s="12" t="n">
        <f aca="false">COUNTIF($A$2:$A$3000, N1784) + COUNTIF($A$2:$A$3000, O1784)</f>
        <v>1</v>
      </c>
      <c r="Q1784" s="16" t="str">
        <f aca="false">IF(OR(B1784=-1,I1784=0, P1784&lt;&gt;2), "albhed_dummy", _xlfn.CONCAT("albhed ", RIGHT("  " &amp; K1784,2),", ", RIGHT("  " &amp; L1784,2), ", " ,"""",H1784,""", ", """",N1784,""", ","""",O1784,""""," ; ", A1784))</f>
        <v>albhed_dummy</v>
      </c>
    </row>
    <row r="1785" customFormat="false" ht="17.9" hidden="false" customHeight="true" outlineLevel="0" collapsed="false">
      <c r="A1785" s="16" t="s">
        <v>2635</v>
      </c>
      <c r="B1785" s="16" t="n">
        <f aca="false">IF(_xlfn.UNICODE(A1785)&lt;44032,-1,_xlfn.UNICODE(A1785)-44032)</f>
        <v>7832</v>
      </c>
      <c r="C1785" s="16" t="n">
        <f aca="false">IF(B1785=-1,-1,INT((B1785/28)/21))</f>
        <v>13</v>
      </c>
      <c r="D1785" s="16" t="n">
        <f aca="false">IF(B1785=-1, -1, MOD(INT(B1785/28),21))</f>
        <v>6</v>
      </c>
      <c r="E1785" s="16" t="n">
        <f aca="false">IF(B1785=-1, -1, VLOOKUP(MOD(B1785,28), $T$24:$U$52,2))</f>
        <v>19</v>
      </c>
      <c r="F1785" s="16" t="n">
        <f aca="false">IF($B1785=-1, -1, VLOOKUP(C1785,$T$1:$V$20, 2))</f>
        <v>4</v>
      </c>
      <c r="G1785" s="16" t="n">
        <f aca="false">IF($B1785=-1, -1, VLOOKUP(D1785,$Y$1:$Z$22,2))</f>
        <v>12</v>
      </c>
      <c r="H1785" s="16" t="str">
        <f aca="false">_xlfn.UNICHAR(((F1785*21)+G1785)*28+44032)</f>
        <v>뚀</v>
      </c>
      <c r="I1785" s="16" t="n">
        <f aca="false">IF(B1785=-1, 1, COUNTIF($A$2:$A$3000, H1785))</f>
        <v>0</v>
      </c>
      <c r="J1785" s="10" t="str">
        <f aca="false">_xlfn.CONCAT(A1785, ",",H1785,",",I1785)</f>
        <v>쪘,뚀,0</v>
      </c>
      <c r="K1785" s="16" t="n">
        <f aca="false">IF(B1785=-1,-1,VLOOKUP(C1785,$T$1:$V$20,3))</f>
        <v>17</v>
      </c>
      <c r="L1785" s="16" t="n">
        <f aca="false">IF(B1785=-1,-1,VLOOKUP(D1785,$Y$1:$AA$22,3))</f>
        <v>4</v>
      </c>
      <c r="N1785" s="10" t="str">
        <f aca="false">_xlfn.UNICHAR(((C1785*21)+G1785)*28+44032)</f>
        <v>쬬</v>
      </c>
      <c r="O1785" s="10" t="str">
        <f aca="false">_xlfn.UNICHAR(((F1785*21)+D1785)*28+44032)</f>
        <v>뗘</v>
      </c>
      <c r="P1785" s="12" t="n">
        <f aca="false">COUNTIF($A$2:$A$3000, N1785) + COUNTIF($A$2:$A$3000, O1785)</f>
        <v>1</v>
      </c>
      <c r="Q1785" s="16" t="str">
        <f aca="false">IF(OR(B1785=-1,I1785=0, P1785&lt;&gt;2), "albhed_dummy", _xlfn.CONCAT("albhed ", RIGHT("  " &amp; K1785,2),", ", RIGHT("  " &amp; L1785,2), ", " ,"""",H1785,""", ", """",N1785,""", ","""",O1785,""""," ; ", A1785))</f>
        <v>albhed_dummy</v>
      </c>
    </row>
    <row r="1786" customFormat="false" ht="17.9" hidden="false" customHeight="true" outlineLevel="0" collapsed="false">
      <c r="A1786" s="16" t="s">
        <v>2636</v>
      </c>
      <c r="B1786" s="16" t="n">
        <f aca="false">IF(_xlfn.UNICODE(A1786)&lt;44032,-1,_xlfn.UNICODE(A1786)-44032)</f>
        <v>7868</v>
      </c>
      <c r="C1786" s="16" t="n">
        <f aca="false">IF(B1786=-1,-1,INT((B1786/28)/21))</f>
        <v>13</v>
      </c>
      <c r="D1786" s="16" t="n">
        <f aca="false">IF(B1786=-1, -1, MOD(INT(B1786/28),21))</f>
        <v>8</v>
      </c>
      <c r="E1786" s="16" t="n">
        <f aca="false">IF(B1786=-1, -1, VLOOKUP(MOD(B1786,28), $T$24:$U$52,2))</f>
        <v>0</v>
      </c>
      <c r="F1786" s="16" t="n">
        <f aca="false">IF($B1786=-1, -1, VLOOKUP(C1786,$T$1:$V$20, 2))</f>
        <v>4</v>
      </c>
      <c r="G1786" s="16" t="n">
        <f aca="false">IF($B1786=-1, -1, VLOOKUP(D1786,$Y$1:$Z$22,2))</f>
        <v>4</v>
      </c>
      <c r="H1786" s="16" t="str">
        <f aca="false">_xlfn.UNICHAR(((F1786*21)+G1786)*28+44032)</f>
        <v>떠</v>
      </c>
      <c r="I1786" s="16" t="n">
        <f aca="false">IF(B1786=-1, 1, COUNTIF($A$2:$A$3000, H1786))</f>
        <v>1</v>
      </c>
      <c r="J1786" s="10" t="str">
        <f aca="false">_xlfn.CONCAT(A1786, ",",H1786,",",I1786)</f>
        <v>쪼,떠,1</v>
      </c>
      <c r="K1786" s="16" t="n">
        <f aca="false">IF(B1786=-1,-1,VLOOKUP(C1786,$T$1:$V$20,3))</f>
        <v>17</v>
      </c>
      <c r="L1786" s="16" t="n">
        <f aca="false">IF(B1786=-1,-1,VLOOKUP(D1786,$Y$1:$AA$22,3))</f>
        <v>8</v>
      </c>
      <c r="N1786" s="10" t="str">
        <f aca="false">_xlfn.UNICHAR(((C1786*21)+G1786)*28+44032)</f>
        <v>쩌</v>
      </c>
      <c r="O1786" s="10" t="str">
        <f aca="false">_xlfn.UNICHAR(((F1786*21)+D1786)*28+44032)</f>
        <v>또</v>
      </c>
      <c r="P1786" s="12" t="n">
        <f aca="false">COUNTIF($A$2:$A$3000, N1786) + COUNTIF($A$2:$A$3000, O1786)</f>
        <v>2</v>
      </c>
      <c r="Q1786" s="16" t="str">
        <f aca="false">IF(OR(B1786=-1,I1786=0, P1786&lt;&gt;2), "albhed_dummy", _xlfn.CONCAT("albhed ", RIGHT("  " &amp; K1786,2),", ", RIGHT("  " &amp; L1786,2), ", " ,"""",H1786,""", ", """",N1786,""", ","""",O1786,""""," ; ", A1786))</f>
        <v>albhed 17,  8, "떠", "쩌", "또" ; 쪼</v>
      </c>
    </row>
    <row r="1787" customFormat="false" ht="17.9" hidden="false" customHeight="true" outlineLevel="0" collapsed="false">
      <c r="A1787" s="16" t="s">
        <v>2637</v>
      </c>
      <c r="B1787" s="16" t="n">
        <f aca="false">IF(_xlfn.UNICODE(A1787)&lt;44032,-1,_xlfn.UNICODE(A1787)-44032)</f>
        <v>7869</v>
      </c>
      <c r="C1787" s="16" t="n">
        <f aca="false">IF(B1787=-1,-1,INT((B1787/28)/21))</f>
        <v>13</v>
      </c>
      <c r="D1787" s="16" t="n">
        <f aca="false">IF(B1787=-1, -1, MOD(INT(B1787/28),21))</f>
        <v>8</v>
      </c>
      <c r="E1787" s="16" t="n">
        <f aca="false">IF(B1787=-1, -1, VLOOKUP(MOD(B1787,28), $T$24:$U$52,2))</f>
        <v>1</v>
      </c>
      <c r="F1787" s="16" t="n">
        <f aca="false">IF($B1787=-1, -1, VLOOKUP(C1787,$T$1:$V$20, 2))</f>
        <v>4</v>
      </c>
      <c r="G1787" s="16" t="n">
        <f aca="false">IF($B1787=-1, -1, VLOOKUP(D1787,$Y$1:$Z$22,2))</f>
        <v>4</v>
      </c>
      <c r="H1787" s="16" t="str">
        <f aca="false">_xlfn.UNICHAR(((F1787*21)+G1787)*28+44032)</f>
        <v>떠</v>
      </c>
      <c r="I1787" s="16" t="n">
        <f aca="false">IF(B1787=-1, 1, COUNTIF($A$2:$A$3000, H1787))</f>
        <v>1</v>
      </c>
      <c r="J1787" s="10" t="str">
        <f aca="false">_xlfn.CONCAT(A1787, ",",H1787,",",I1787)</f>
        <v>쪽,떠,1</v>
      </c>
      <c r="K1787" s="16" t="n">
        <f aca="false">IF(B1787=-1,-1,VLOOKUP(C1787,$T$1:$V$20,3))</f>
        <v>17</v>
      </c>
      <c r="L1787" s="16" t="n">
        <f aca="false">IF(B1787=-1,-1,VLOOKUP(D1787,$Y$1:$AA$22,3))</f>
        <v>8</v>
      </c>
      <c r="N1787" s="10" t="str">
        <f aca="false">_xlfn.UNICHAR(((C1787*21)+G1787)*28+44032)</f>
        <v>쩌</v>
      </c>
      <c r="O1787" s="10" t="str">
        <f aca="false">_xlfn.UNICHAR(((F1787*21)+D1787)*28+44032)</f>
        <v>또</v>
      </c>
      <c r="P1787" s="12" t="n">
        <f aca="false">COUNTIF($A$2:$A$3000, N1787) + COUNTIF($A$2:$A$3000, O1787)</f>
        <v>2</v>
      </c>
      <c r="Q1787" s="16" t="str">
        <f aca="false">IF(OR(B1787=-1,I1787=0, P1787&lt;&gt;2), "albhed_dummy", _xlfn.CONCAT("albhed ", RIGHT("  " &amp; K1787,2),", ", RIGHT("  " &amp; L1787,2), ", " ,"""",H1787,""", ", """",N1787,""", ","""",O1787,""""," ; ", A1787))</f>
        <v>albhed 17,  8, "떠", "쩌", "또" ; 쪽</v>
      </c>
    </row>
    <row r="1788" customFormat="false" ht="17.9" hidden="false" customHeight="true" outlineLevel="0" collapsed="false">
      <c r="A1788" s="16" t="s">
        <v>2638</v>
      </c>
      <c r="B1788" s="16" t="n">
        <f aca="false">IF(_xlfn.UNICODE(A1788)&lt;44032,-1,_xlfn.UNICODE(A1788)-44032)</f>
        <v>7872</v>
      </c>
      <c r="C1788" s="16" t="n">
        <f aca="false">IF(B1788=-1,-1,INT((B1788/28)/21))</f>
        <v>13</v>
      </c>
      <c r="D1788" s="16" t="n">
        <f aca="false">IF(B1788=-1, -1, MOD(INT(B1788/28),21))</f>
        <v>8</v>
      </c>
      <c r="E1788" s="16" t="n">
        <f aca="false">IF(B1788=-1, -1, VLOOKUP(MOD(B1788,28), $T$24:$U$52,2))</f>
        <v>4</v>
      </c>
      <c r="F1788" s="16" t="n">
        <f aca="false">IF($B1788=-1, -1, VLOOKUP(C1788,$T$1:$V$20, 2))</f>
        <v>4</v>
      </c>
      <c r="G1788" s="16" t="n">
        <f aca="false">IF($B1788=-1, -1, VLOOKUP(D1788,$Y$1:$Z$22,2))</f>
        <v>4</v>
      </c>
      <c r="H1788" s="16" t="str">
        <f aca="false">_xlfn.UNICHAR(((F1788*21)+G1788)*28+44032)</f>
        <v>떠</v>
      </c>
      <c r="I1788" s="16" t="n">
        <f aca="false">IF(B1788=-1, 1, COUNTIF($A$2:$A$3000, H1788))</f>
        <v>1</v>
      </c>
      <c r="J1788" s="10" t="str">
        <f aca="false">_xlfn.CONCAT(A1788, ",",H1788,",",I1788)</f>
        <v>쫀,떠,1</v>
      </c>
      <c r="K1788" s="16" t="n">
        <f aca="false">IF(B1788=-1,-1,VLOOKUP(C1788,$T$1:$V$20,3))</f>
        <v>17</v>
      </c>
      <c r="L1788" s="16" t="n">
        <f aca="false">IF(B1788=-1,-1,VLOOKUP(D1788,$Y$1:$AA$22,3))</f>
        <v>8</v>
      </c>
      <c r="N1788" s="10" t="str">
        <f aca="false">_xlfn.UNICHAR(((C1788*21)+G1788)*28+44032)</f>
        <v>쩌</v>
      </c>
      <c r="O1788" s="10" t="str">
        <f aca="false">_xlfn.UNICHAR(((F1788*21)+D1788)*28+44032)</f>
        <v>또</v>
      </c>
      <c r="P1788" s="12" t="n">
        <f aca="false">COUNTIF($A$2:$A$3000, N1788) + COUNTIF($A$2:$A$3000, O1788)</f>
        <v>2</v>
      </c>
      <c r="Q1788" s="16" t="str">
        <f aca="false">IF(OR(B1788=-1,I1788=0, P1788&lt;&gt;2), "albhed_dummy", _xlfn.CONCAT("albhed ", RIGHT("  " &amp; K1788,2),", ", RIGHT("  " &amp; L1788,2), ", " ,"""",H1788,""", ", """",N1788,""", ","""",O1788,""""," ; ", A1788))</f>
        <v>albhed 17,  8, "떠", "쩌", "또" ; 쫀</v>
      </c>
    </row>
    <row r="1789" customFormat="false" ht="17.9" hidden="false" customHeight="true" outlineLevel="0" collapsed="false">
      <c r="A1789" s="16" t="s">
        <v>2639</v>
      </c>
      <c r="B1789" s="16" t="n">
        <f aca="false">IF(_xlfn.UNICODE(A1789)&lt;44032,-1,_xlfn.UNICODE(A1789)-44032)</f>
        <v>7876</v>
      </c>
      <c r="C1789" s="16" t="n">
        <f aca="false">IF(B1789=-1,-1,INT((B1789/28)/21))</f>
        <v>13</v>
      </c>
      <c r="D1789" s="16" t="n">
        <f aca="false">IF(B1789=-1, -1, MOD(INT(B1789/28),21))</f>
        <v>8</v>
      </c>
      <c r="E1789" s="16" t="n">
        <f aca="false">IF(B1789=-1, -1, VLOOKUP(MOD(B1789,28), $T$24:$U$52,2))</f>
        <v>8</v>
      </c>
      <c r="F1789" s="16" t="n">
        <f aca="false">IF($B1789=-1, -1, VLOOKUP(C1789,$T$1:$V$20, 2))</f>
        <v>4</v>
      </c>
      <c r="G1789" s="16" t="n">
        <f aca="false">IF($B1789=-1, -1, VLOOKUP(D1789,$Y$1:$Z$22,2))</f>
        <v>4</v>
      </c>
      <c r="H1789" s="16" t="str">
        <f aca="false">_xlfn.UNICHAR(((F1789*21)+G1789)*28+44032)</f>
        <v>떠</v>
      </c>
      <c r="I1789" s="16" t="n">
        <f aca="false">IF(B1789=-1, 1, COUNTIF($A$2:$A$3000, H1789))</f>
        <v>1</v>
      </c>
      <c r="J1789" s="10" t="str">
        <f aca="false">_xlfn.CONCAT(A1789, ",",H1789,",",I1789)</f>
        <v>쫄,떠,1</v>
      </c>
      <c r="K1789" s="16" t="n">
        <f aca="false">IF(B1789=-1,-1,VLOOKUP(C1789,$T$1:$V$20,3))</f>
        <v>17</v>
      </c>
      <c r="L1789" s="16" t="n">
        <f aca="false">IF(B1789=-1,-1,VLOOKUP(D1789,$Y$1:$AA$22,3))</f>
        <v>8</v>
      </c>
      <c r="N1789" s="10" t="str">
        <f aca="false">_xlfn.UNICHAR(((C1789*21)+G1789)*28+44032)</f>
        <v>쩌</v>
      </c>
      <c r="O1789" s="10" t="str">
        <f aca="false">_xlfn.UNICHAR(((F1789*21)+D1789)*28+44032)</f>
        <v>또</v>
      </c>
      <c r="P1789" s="12" t="n">
        <f aca="false">COUNTIF($A$2:$A$3000, N1789) + COUNTIF($A$2:$A$3000, O1789)</f>
        <v>2</v>
      </c>
      <c r="Q1789" s="16" t="str">
        <f aca="false">IF(OR(B1789=-1,I1789=0, P1789&lt;&gt;2), "albhed_dummy", _xlfn.CONCAT("albhed ", RIGHT("  " &amp; K1789,2),", ", RIGHT("  " &amp; L1789,2), ", " ,"""",H1789,""", ", """",N1789,""", ","""",O1789,""""," ; ", A1789))</f>
        <v>albhed 17,  8, "떠", "쩌", "또" ; 쫄</v>
      </c>
    </row>
    <row r="1790" customFormat="false" ht="17.9" hidden="false" customHeight="true" outlineLevel="0" collapsed="false">
      <c r="A1790" s="16" t="s">
        <v>2640</v>
      </c>
      <c r="B1790" s="16" t="n">
        <f aca="false">IF(_xlfn.UNICODE(A1790)&lt;44032,-1,_xlfn.UNICODE(A1790)-44032)</f>
        <v>7884</v>
      </c>
      <c r="C1790" s="16" t="n">
        <f aca="false">IF(B1790=-1,-1,INT((B1790/28)/21))</f>
        <v>13</v>
      </c>
      <c r="D1790" s="16" t="n">
        <f aca="false">IF(B1790=-1, -1, MOD(INT(B1790/28),21))</f>
        <v>8</v>
      </c>
      <c r="E1790" s="16" t="n">
        <f aca="false">IF(B1790=-1, -1, VLOOKUP(MOD(B1790,28), $T$24:$U$52,2))</f>
        <v>16</v>
      </c>
      <c r="F1790" s="16" t="n">
        <f aca="false">IF($B1790=-1, -1, VLOOKUP(C1790,$T$1:$V$20, 2))</f>
        <v>4</v>
      </c>
      <c r="G1790" s="16" t="n">
        <f aca="false">IF($B1790=-1, -1, VLOOKUP(D1790,$Y$1:$Z$22,2))</f>
        <v>4</v>
      </c>
      <c r="H1790" s="16" t="str">
        <f aca="false">_xlfn.UNICHAR(((F1790*21)+G1790)*28+44032)</f>
        <v>떠</v>
      </c>
      <c r="I1790" s="16" t="n">
        <f aca="false">IF(B1790=-1, 1, COUNTIF($A$2:$A$3000, H1790))</f>
        <v>1</v>
      </c>
      <c r="J1790" s="10" t="str">
        <f aca="false">_xlfn.CONCAT(A1790, ",",H1790,",",I1790)</f>
        <v>쫌,떠,1</v>
      </c>
      <c r="K1790" s="16" t="n">
        <f aca="false">IF(B1790=-1,-1,VLOOKUP(C1790,$T$1:$V$20,3))</f>
        <v>17</v>
      </c>
      <c r="L1790" s="16" t="n">
        <f aca="false">IF(B1790=-1,-1,VLOOKUP(D1790,$Y$1:$AA$22,3))</f>
        <v>8</v>
      </c>
      <c r="N1790" s="10" t="str">
        <f aca="false">_xlfn.UNICHAR(((C1790*21)+G1790)*28+44032)</f>
        <v>쩌</v>
      </c>
      <c r="O1790" s="10" t="str">
        <f aca="false">_xlfn.UNICHAR(((F1790*21)+D1790)*28+44032)</f>
        <v>또</v>
      </c>
      <c r="P1790" s="12" t="n">
        <f aca="false">COUNTIF($A$2:$A$3000, N1790) + COUNTIF($A$2:$A$3000, O1790)</f>
        <v>2</v>
      </c>
      <c r="Q1790" s="16" t="str">
        <f aca="false">IF(OR(B1790=-1,I1790=0, P1790&lt;&gt;2), "albhed_dummy", _xlfn.CONCAT("albhed ", RIGHT("  " &amp; K1790,2),", ", RIGHT("  " &amp; L1790,2), ", " ,"""",H1790,""", ", """",N1790,""", ","""",O1790,""""," ; ", A1790))</f>
        <v>albhed 17,  8, "떠", "쩌", "또" ; 쫌</v>
      </c>
    </row>
    <row r="1791" customFormat="false" ht="17.9" hidden="false" customHeight="true" outlineLevel="0" collapsed="false">
      <c r="A1791" s="16" t="s">
        <v>2641</v>
      </c>
      <c r="B1791" s="16" t="n">
        <f aca="false">IF(_xlfn.UNICODE(A1791)&lt;44032,-1,_xlfn.UNICODE(A1791)-44032)</f>
        <v>7885</v>
      </c>
      <c r="C1791" s="16" t="n">
        <f aca="false">IF(B1791=-1,-1,INT((B1791/28)/21))</f>
        <v>13</v>
      </c>
      <c r="D1791" s="16" t="n">
        <f aca="false">IF(B1791=-1, -1, MOD(INT(B1791/28),21))</f>
        <v>8</v>
      </c>
      <c r="E1791" s="16" t="n">
        <f aca="false">IF(B1791=-1, -1, VLOOKUP(MOD(B1791,28), $T$24:$U$52,2))</f>
        <v>17</v>
      </c>
      <c r="F1791" s="16" t="n">
        <f aca="false">IF($B1791=-1, -1, VLOOKUP(C1791,$T$1:$V$20, 2))</f>
        <v>4</v>
      </c>
      <c r="G1791" s="16" t="n">
        <f aca="false">IF($B1791=-1, -1, VLOOKUP(D1791,$Y$1:$Z$22,2))</f>
        <v>4</v>
      </c>
      <c r="H1791" s="16" t="str">
        <f aca="false">_xlfn.UNICHAR(((F1791*21)+G1791)*28+44032)</f>
        <v>떠</v>
      </c>
      <c r="I1791" s="16" t="n">
        <f aca="false">IF(B1791=-1, 1, COUNTIF($A$2:$A$3000, H1791))</f>
        <v>1</v>
      </c>
      <c r="J1791" s="10" t="str">
        <f aca="false">_xlfn.CONCAT(A1791, ",",H1791,",",I1791)</f>
        <v>쫍,떠,1</v>
      </c>
      <c r="K1791" s="16" t="n">
        <f aca="false">IF(B1791=-1,-1,VLOOKUP(C1791,$T$1:$V$20,3))</f>
        <v>17</v>
      </c>
      <c r="L1791" s="16" t="n">
        <f aca="false">IF(B1791=-1,-1,VLOOKUP(D1791,$Y$1:$AA$22,3))</f>
        <v>8</v>
      </c>
      <c r="N1791" s="10" t="str">
        <f aca="false">_xlfn.UNICHAR(((C1791*21)+G1791)*28+44032)</f>
        <v>쩌</v>
      </c>
      <c r="O1791" s="10" t="str">
        <f aca="false">_xlfn.UNICHAR(((F1791*21)+D1791)*28+44032)</f>
        <v>또</v>
      </c>
      <c r="P1791" s="12" t="n">
        <f aca="false">COUNTIF($A$2:$A$3000, N1791) + COUNTIF($A$2:$A$3000, O1791)</f>
        <v>2</v>
      </c>
      <c r="Q1791" s="16" t="str">
        <f aca="false">IF(OR(B1791=-1,I1791=0, P1791&lt;&gt;2), "albhed_dummy", _xlfn.CONCAT("albhed ", RIGHT("  " &amp; K1791,2),", ", RIGHT("  " &amp; L1791,2), ", " ,"""",H1791,""", ", """",N1791,""", ","""",O1791,""""," ; ", A1791))</f>
        <v>albhed 17,  8, "떠", "쩌", "또" ; 쫍</v>
      </c>
    </row>
    <row r="1792" customFormat="false" ht="17.9" hidden="false" customHeight="true" outlineLevel="0" collapsed="false">
      <c r="A1792" s="16" t="s">
        <v>2642</v>
      </c>
      <c r="B1792" s="16" t="n">
        <f aca="false">IF(_xlfn.UNICODE(A1792)&lt;44032,-1,_xlfn.UNICODE(A1792)-44032)</f>
        <v>7887</v>
      </c>
      <c r="C1792" s="16" t="n">
        <f aca="false">IF(B1792=-1,-1,INT((B1792/28)/21))</f>
        <v>13</v>
      </c>
      <c r="D1792" s="16" t="n">
        <f aca="false">IF(B1792=-1, -1, MOD(INT(B1792/28),21))</f>
        <v>8</v>
      </c>
      <c r="E1792" s="16" t="n">
        <f aca="false">IF(B1792=-1, -1, VLOOKUP(MOD(B1792,28), $T$24:$U$52,2))</f>
        <v>19</v>
      </c>
      <c r="F1792" s="16" t="n">
        <f aca="false">IF($B1792=-1, -1, VLOOKUP(C1792,$T$1:$V$20, 2))</f>
        <v>4</v>
      </c>
      <c r="G1792" s="16" t="n">
        <f aca="false">IF($B1792=-1, -1, VLOOKUP(D1792,$Y$1:$Z$22,2))</f>
        <v>4</v>
      </c>
      <c r="H1792" s="16" t="str">
        <f aca="false">_xlfn.UNICHAR(((F1792*21)+G1792)*28+44032)</f>
        <v>떠</v>
      </c>
      <c r="I1792" s="16" t="n">
        <f aca="false">IF(B1792=-1, 1, COUNTIF($A$2:$A$3000, H1792))</f>
        <v>1</v>
      </c>
      <c r="J1792" s="10" t="str">
        <f aca="false">_xlfn.CONCAT(A1792, ",",H1792,",",I1792)</f>
        <v>쫏,떠,1</v>
      </c>
      <c r="K1792" s="16" t="n">
        <f aca="false">IF(B1792=-1,-1,VLOOKUP(C1792,$T$1:$V$20,3))</f>
        <v>17</v>
      </c>
      <c r="L1792" s="16" t="n">
        <f aca="false">IF(B1792=-1,-1,VLOOKUP(D1792,$Y$1:$AA$22,3))</f>
        <v>8</v>
      </c>
      <c r="N1792" s="10" t="str">
        <f aca="false">_xlfn.UNICHAR(((C1792*21)+G1792)*28+44032)</f>
        <v>쩌</v>
      </c>
      <c r="O1792" s="10" t="str">
        <f aca="false">_xlfn.UNICHAR(((F1792*21)+D1792)*28+44032)</f>
        <v>또</v>
      </c>
      <c r="P1792" s="12" t="n">
        <f aca="false">COUNTIF($A$2:$A$3000, N1792) + COUNTIF($A$2:$A$3000, O1792)</f>
        <v>2</v>
      </c>
      <c r="Q1792" s="16" t="str">
        <f aca="false">IF(OR(B1792=-1,I1792=0, P1792&lt;&gt;2), "albhed_dummy", _xlfn.CONCAT("albhed ", RIGHT("  " &amp; K1792,2),", ", RIGHT("  " &amp; L1792,2), ", " ,"""",H1792,""", ", """",N1792,""", ","""",O1792,""""," ; ", A1792))</f>
        <v>albhed 17,  8, "떠", "쩌", "또" ; 쫏</v>
      </c>
    </row>
    <row r="1793" customFormat="false" ht="17.9" hidden="false" customHeight="true" outlineLevel="0" collapsed="false">
      <c r="A1793" s="16" t="s">
        <v>2643</v>
      </c>
      <c r="B1793" s="16" t="n">
        <f aca="false">IF(_xlfn.UNICODE(A1793)&lt;44032,-1,_xlfn.UNICODE(A1793)-44032)</f>
        <v>7889</v>
      </c>
      <c r="C1793" s="16" t="n">
        <f aca="false">IF(B1793=-1,-1,INT((B1793/28)/21))</f>
        <v>13</v>
      </c>
      <c r="D1793" s="16" t="n">
        <f aca="false">IF(B1793=-1, -1, MOD(INT(B1793/28),21))</f>
        <v>8</v>
      </c>
      <c r="E1793" s="16" t="n">
        <f aca="false">IF(B1793=-1, -1, VLOOKUP(MOD(B1793,28), $T$24:$U$52,2))</f>
        <v>21</v>
      </c>
      <c r="F1793" s="16" t="n">
        <f aca="false">IF($B1793=-1, -1, VLOOKUP(C1793,$T$1:$V$20, 2))</f>
        <v>4</v>
      </c>
      <c r="G1793" s="16" t="n">
        <f aca="false">IF($B1793=-1, -1, VLOOKUP(D1793,$Y$1:$Z$22,2))</f>
        <v>4</v>
      </c>
      <c r="H1793" s="16" t="str">
        <f aca="false">_xlfn.UNICHAR(((F1793*21)+G1793)*28+44032)</f>
        <v>떠</v>
      </c>
      <c r="I1793" s="16" t="n">
        <f aca="false">IF(B1793=-1, 1, COUNTIF($A$2:$A$3000, H1793))</f>
        <v>1</v>
      </c>
      <c r="J1793" s="10" t="str">
        <f aca="false">_xlfn.CONCAT(A1793, ",",H1793,",",I1793)</f>
        <v>쫑,떠,1</v>
      </c>
      <c r="K1793" s="16" t="n">
        <f aca="false">IF(B1793=-1,-1,VLOOKUP(C1793,$T$1:$V$20,3))</f>
        <v>17</v>
      </c>
      <c r="L1793" s="16" t="n">
        <f aca="false">IF(B1793=-1,-1,VLOOKUP(D1793,$Y$1:$AA$22,3))</f>
        <v>8</v>
      </c>
      <c r="N1793" s="10" t="str">
        <f aca="false">_xlfn.UNICHAR(((C1793*21)+G1793)*28+44032)</f>
        <v>쩌</v>
      </c>
      <c r="O1793" s="10" t="str">
        <f aca="false">_xlfn.UNICHAR(((F1793*21)+D1793)*28+44032)</f>
        <v>또</v>
      </c>
      <c r="P1793" s="12" t="n">
        <f aca="false">COUNTIF($A$2:$A$3000, N1793) + COUNTIF($A$2:$A$3000, O1793)</f>
        <v>2</v>
      </c>
      <c r="Q1793" s="16" t="str">
        <f aca="false">IF(OR(B1793=-1,I1793=0, P1793&lt;&gt;2), "albhed_dummy", _xlfn.CONCAT("albhed ", RIGHT("  " &amp; K1793,2),", ", RIGHT("  " &amp; L1793,2), ", " ,"""",H1793,""", ", """",N1793,""", ","""",O1793,""""," ; ", A1793))</f>
        <v>albhed 17,  8, "떠", "쩌", "또" ; 쫑</v>
      </c>
    </row>
    <row r="1794" customFormat="false" ht="17.9" hidden="false" customHeight="true" outlineLevel="0" collapsed="false">
      <c r="A1794" s="16" t="s">
        <v>2644</v>
      </c>
      <c r="B1794" s="16" t="n">
        <f aca="false">IF(_xlfn.UNICODE(A1794)&lt;44032,-1,_xlfn.UNICODE(A1794)-44032)</f>
        <v>7891</v>
      </c>
      <c r="C1794" s="16" t="n">
        <f aca="false">IF(B1794=-1,-1,INT((B1794/28)/21))</f>
        <v>13</v>
      </c>
      <c r="D1794" s="16" t="n">
        <f aca="false">IF(B1794=-1, -1, MOD(INT(B1794/28),21))</f>
        <v>8</v>
      </c>
      <c r="E1794" s="16" t="n">
        <f aca="false">IF(B1794=-1, -1, VLOOKUP(MOD(B1794,28), $T$24:$U$52,2))</f>
        <v>19</v>
      </c>
      <c r="F1794" s="16" t="n">
        <f aca="false">IF($B1794=-1, -1, VLOOKUP(C1794,$T$1:$V$20, 2))</f>
        <v>4</v>
      </c>
      <c r="G1794" s="16" t="n">
        <f aca="false">IF($B1794=-1, -1, VLOOKUP(D1794,$Y$1:$Z$22,2))</f>
        <v>4</v>
      </c>
      <c r="H1794" s="16" t="str">
        <f aca="false">_xlfn.UNICHAR(((F1794*21)+G1794)*28+44032)</f>
        <v>떠</v>
      </c>
      <c r="I1794" s="16" t="n">
        <f aca="false">IF(B1794=-1, 1, COUNTIF($A$2:$A$3000, H1794))</f>
        <v>1</v>
      </c>
      <c r="J1794" s="10" t="str">
        <f aca="false">_xlfn.CONCAT(A1794, ",",H1794,",",I1794)</f>
        <v>쫓,떠,1</v>
      </c>
      <c r="K1794" s="16" t="n">
        <f aca="false">IF(B1794=-1,-1,VLOOKUP(C1794,$T$1:$V$20,3))</f>
        <v>17</v>
      </c>
      <c r="L1794" s="16" t="n">
        <f aca="false">IF(B1794=-1,-1,VLOOKUP(D1794,$Y$1:$AA$22,3))</f>
        <v>8</v>
      </c>
      <c r="N1794" s="10" t="str">
        <f aca="false">_xlfn.UNICHAR(((C1794*21)+G1794)*28+44032)</f>
        <v>쩌</v>
      </c>
      <c r="O1794" s="10" t="str">
        <f aca="false">_xlfn.UNICHAR(((F1794*21)+D1794)*28+44032)</f>
        <v>또</v>
      </c>
      <c r="P1794" s="12" t="n">
        <f aca="false">COUNTIF($A$2:$A$3000, N1794) + COUNTIF($A$2:$A$3000, O1794)</f>
        <v>2</v>
      </c>
      <c r="Q1794" s="16" t="str">
        <f aca="false">IF(OR(B1794=-1,I1794=0, P1794&lt;&gt;2), "albhed_dummy", _xlfn.CONCAT("albhed ", RIGHT("  " &amp; K1794,2),", ", RIGHT("  " &amp; L1794,2), ", " ,"""",H1794,""", ", """",N1794,""", ","""",O1794,""""," ; ", A1794))</f>
        <v>albhed 17,  8, "떠", "쩌", "또" ; 쫓</v>
      </c>
    </row>
    <row r="1795" customFormat="false" ht="17.9" hidden="false" customHeight="true" outlineLevel="0" collapsed="false">
      <c r="A1795" s="16" t="s">
        <v>2645</v>
      </c>
      <c r="B1795" s="16" t="n">
        <f aca="false">IF(_xlfn.UNICODE(A1795)&lt;44032,-1,_xlfn.UNICODE(A1795)-44032)</f>
        <v>7896</v>
      </c>
      <c r="C1795" s="16" t="n">
        <f aca="false">IF(B1795=-1,-1,INT((B1795/28)/21))</f>
        <v>13</v>
      </c>
      <c r="D1795" s="16" t="n">
        <f aca="false">IF(B1795=-1, -1, MOD(INT(B1795/28),21))</f>
        <v>9</v>
      </c>
      <c r="E1795" s="16" t="n">
        <f aca="false">IF(B1795=-1, -1, VLOOKUP(MOD(B1795,28), $T$24:$U$52,2))</f>
        <v>0</v>
      </c>
      <c r="F1795" s="16" t="n">
        <f aca="false">IF($B1795=-1, -1, VLOOKUP(C1795,$T$1:$V$20, 2))</f>
        <v>4</v>
      </c>
      <c r="G1795" s="16" t="n">
        <f aca="false">IF($B1795=-1, -1, VLOOKUP(D1795,$Y$1:$Z$22,2))</f>
        <v>20</v>
      </c>
      <c r="H1795" s="16" t="str">
        <f aca="false">_xlfn.UNICHAR(((F1795*21)+G1795)*28+44032)</f>
        <v>띠</v>
      </c>
      <c r="I1795" s="16" t="n">
        <f aca="false">IF(B1795=-1, 1, COUNTIF($A$2:$A$3000, H1795))</f>
        <v>1</v>
      </c>
      <c r="J1795" s="10" t="str">
        <f aca="false">_xlfn.CONCAT(A1795, ",",H1795,",",I1795)</f>
        <v>쫘,띠,1</v>
      </c>
      <c r="K1795" s="16" t="n">
        <f aca="false">IF(B1795=-1,-1,VLOOKUP(C1795,$T$1:$V$20,3))</f>
        <v>17</v>
      </c>
      <c r="L1795" s="16" t="n">
        <f aca="false">IF(B1795=-1,-1,VLOOKUP(D1795,$Y$1:$AA$22,3))</f>
        <v>12</v>
      </c>
      <c r="N1795" s="10" t="str">
        <f aca="false">_xlfn.UNICHAR(((C1795*21)+G1795)*28+44032)</f>
        <v>찌</v>
      </c>
      <c r="O1795" s="10" t="str">
        <f aca="false">_xlfn.UNICHAR(((F1795*21)+D1795)*28+44032)</f>
        <v>똬</v>
      </c>
      <c r="P1795" s="12" t="n">
        <f aca="false">COUNTIF($A$2:$A$3000, N1795) + COUNTIF($A$2:$A$3000, O1795)</f>
        <v>2</v>
      </c>
      <c r="Q1795" s="16" t="str">
        <f aca="false">IF(OR(B1795=-1,I1795=0, P1795&lt;&gt;2), "albhed_dummy", _xlfn.CONCAT("albhed ", RIGHT("  " &amp; K1795,2),", ", RIGHT("  " &amp; L1795,2), ", " ,"""",H1795,""", ", """",N1795,""", ","""",O1795,""""," ; ", A1795))</f>
        <v>albhed 17, 12, "띠", "찌", "똬" ; 쫘</v>
      </c>
    </row>
    <row r="1796" customFormat="false" ht="17.9" hidden="false" customHeight="true" outlineLevel="0" collapsed="false">
      <c r="A1796" s="16" t="s">
        <v>2646</v>
      </c>
      <c r="B1796" s="16" t="n">
        <f aca="false">IF(_xlfn.UNICODE(A1796)&lt;44032,-1,_xlfn.UNICODE(A1796)-44032)</f>
        <v>7897</v>
      </c>
      <c r="C1796" s="16" t="n">
        <f aca="false">IF(B1796=-1,-1,INT((B1796/28)/21))</f>
        <v>13</v>
      </c>
      <c r="D1796" s="16" t="n">
        <f aca="false">IF(B1796=-1, -1, MOD(INT(B1796/28),21))</f>
        <v>9</v>
      </c>
      <c r="E1796" s="16" t="n">
        <f aca="false">IF(B1796=-1, -1, VLOOKUP(MOD(B1796,28), $T$24:$U$52,2))</f>
        <v>1</v>
      </c>
      <c r="F1796" s="16" t="n">
        <f aca="false">IF($B1796=-1, -1, VLOOKUP(C1796,$T$1:$V$20, 2))</f>
        <v>4</v>
      </c>
      <c r="G1796" s="16" t="n">
        <f aca="false">IF($B1796=-1, -1, VLOOKUP(D1796,$Y$1:$Z$22,2))</f>
        <v>20</v>
      </c>
      <c r="H1796" s="16" t="str">
        <f aca="false">_xlfn.UNICHAR(((F1796*21)+G1796)*28+44032)</f>
        <v>띠</v>
      </c>
      <c r="I1796" s="16" t="n">
        <f aca="false">IF(B1796=-1, 1, COUNTIF($A$2:$A$3000, H1796))</f>
        <v>1</v>
      </c>
      <c r="J1796" s="10" t="str">
        <f aca="false">_xlfn.CONCAT(A1796, ",",H1796,",",I1796)</f>
        <v>쫙,띠,1</v>
      </c>
      <c r="K1796" s="16" t="n">
        <f aca="false">IF(B1796=-1,-1,VLOOKUP(C1796,$T$1:$V$20,3))</f>
        <v>17</v>
      </c>
      <c r="L1796" s="16" t="n">
        <f aca="false">IF(B1796=-1,-1,VLOOKUP(D1796,$Y$1:$AA$22,3))</f>
        <v>12</v>
      </c>
      <c r="N1796" s="10" t="str">
        <f aca="false">_xlfn.UNICHAR(((C1796*21)+G1796)*28+44032)</f>
        <v>찌</v>
      </c>
      <c r="O1796" s="10" t="str">
        <f aca="false">_xlfn.UNICHAR(((F1796*21)+D1796)*28+44032)</f>
        <v>똬</v>
      </c>
      <c r="P1796" s="12" t="n">
        <f aca="false">COUNTIF($A$2:$A$3000, N1796) + COUNTIF($A$2:$A$3000, O1796)</f>
        <v>2</v>
      </c>
      <c r="Q1796" s="16" t="str">
        <f aca="false">IF(OR(B1796=-1,I1796=0, P1796&lt;&gt;2), "albhed_dummy", _xlfn.CONCAT("albhed ", RIGHT("  " &amp; K1796,2),", ", RIGHT("  " &amp; L1796,2), ", " ,"""",H1796,""", ", """",N1796,""", ","""",O1796,""""," ; ", A1796))</f>
        <v>albhed 17, 12, "띠", "찌", "똬" ; 쫙</v>
      </c>
    </row>
    <row r="1797" customFormat="false" ht="17.9" hidden="false" customHeight="true" outlineLevel="0" collapsed="false">
      <c r="A1797" s="16" t="s">
        <v>2647</v>
      </c>
      <c r="B1797" s="16" t="n">
        <f aca="false">IF(_xlfn.UNICODE(A1797)&lt;44032,-1,_xlfn.UNICODE(A1797)-44032)</f>
        <v>7904</v>
      </c>
      <c r="C1797" s="16" t="n">
        <f aca="false">IF(B1797=-1,-1,INT((B1797/28)/21))</f>
        <v>13</v>
      </c>
      <c r="D1797" s="16" t="n">
        <f aca="false">IF(B1797=-1, -1, MOD(INT(B1797/28),21))</f>
        <v>9</v>
      </c>
      <c r="E1797" s="16" t="n">
        <f aca="false">IF(B1797=-1, -1, VLOOKUP(MOD(B1797,28), $T$24:$U$52,2))</f>
        <v>8</v>
      </c>
      <c r="F1797" s="16" t="n">
        <f aca="false">IF($B1797=-1, -1, VLOOKUP(C1797,$T$1:$V$20, 2))</f>
        <v>4</v>
      </c>
      <c r="G1797" s="16" t="n">
        <f aca="false">IF($B1797=-1, -1, VLOOKUP(D1797,$Y$1:$Z$22,2))</f>
        <v>20</v>
      </c>
      <c r="H1797" s="16" t="str">
        <f aca="false">_xlfn.UNICHAR(((F1797*21)+G1797)*28+44032)</f>
        <v>띠</v>
      </c>
      <c r="I1797" s="16" t="n">
        <f aca="false">IF(B1797=-1, 1, COUNTIF($A$2:$A$3000, H1797))</f>
        <v>1</v>
      </c>
      <c r="J1797" s="10" t="str">
        <f aca="false">_xlfn.CONCAT(A1797, ",",H1797,",",I1797)</f>
        <v>쫠,띠,1</v>
      </c>
      <c r="K1797" s="16" t="n">
        <f aca="false">IF(B1797=-1,-1,VLOOKUP(C1797,$T$1:$V$20,3))</f>
        <v>17</v>
      </c>
      <c r="L1797" s="16" t="n">
        <f aca="false">IF(B1797=-1,-1,VLOOKUP(D1797,$Y$1:$AA$22,3))</f>
        <v>12</v>
      </c>
      <c r="N1797" s="10" t="str">
        <f aca="false">_xlfn.UNICHAR(((C1797*21)+G1797)*28+44032)</f>
        <v>찌</v>
      </c>
      <c r="O1797" s="10" t="str">
        <f aca="false">_xlfn.UNICHAR(((F1797*21)+D1797)*28+44032)</f>
        <v>똬</v>
      </c>
      <c r="P1797" s="12" t="n">
        <f aca="false">COUNTIF($A$2:$A$3000, N1797) + COUNTIF($A$2:$A$3000, O1797)</f>
        <v>2</v>
      </c>
      <c r="Q1797" s="16" t="str">
        <f aca="false">IF(OR(B1797=-1,I1797=0, P1797&lt;&gt;2), "albhed_dummy", _xlfn.CONCAT("albhed ", RIGHT("  " &amp; K1797,2),", ", RIGHT("  " &amp; L1797,2), ", " ,"""",H1797,""", ", """",N1797,""", ","""",O1797,""""," ; ", A1797))</f>
        <v>albhed 17, 12, "띠", "찌", "똬" ; 쫠</v>
      </c>
    </row>
    <row r="1798" customFormat="false" ht="17.9" hidden="false" customHeight="true" outlineLevel="0" collapsed="false">
      <c r="A1798" s="16" t="s">
        <v>2648</v>
      </c>
      <c r="B1798" s="16" t="n">
        <f aca="false">IF(_xlfn.UNICODE(A1798)&lt;44032,-1,_xlfn.UNICODE(A1798)-44032)</f>
        <v>7916</v>
      </c>
      <c r="C1798" s="16" t="n">
        <f aca="false">IF(B1798=-1,-1,INT((B1798/28)/21))</f>
        <v>13</v>
      </c>
      <c r="D1798" s="16" t="n">
        <f aca="false">IF(B1798=-1, -1, MOD(INT(B1798/28),21))</f>
        <v>9</v>
      </c>
      <c r="E1798" s="16" t="n">
        <f aca="false">IF(B1798=-1, -1, VLOOKUP(MOD(B1798,28), $T$24:$U$52,2))</f>
        <v>19</v>
      </c>
      <c r="F1798" s="16" t="n">
        <f aca="false">IF($B1798=-1, -1, VLOOKUP(C1798,$T$1:$V$20, 2))</f>
        <v>4</v>
      </c>
      <c r="G1798" s="16" t="n">
        <f aca="false">IF($B1798=-1, -1, VLOOKUP(D1798,$Y$1:$Z$22,2))</f>
        <v>20</v>
      </c>
      <c r="H1798" s="16" t="str">
        <f aca="false">_xlfn.UNICHAR(((F1798*21)+G1798)*28+44032)</f>
        <v>띠</v>
      </c>
      <c r="I1798" s="16" t="n">
        <f aca="false">IF(B1798=-1, 1, COUNTIF($A$2:$A$3000, H1798))</f>
        <v>1</v>
      </c>
      <c r="J1798" s="10" t="str">
        <f aca="false">_xlfn.CONCAT(A1798, ",",H1798,",",I1798)</f>
        <v>쫬,띠,1</v>
      </c>
      <c r="K1798" s="16" t="n">
        <f aca="false">IF(B1798=-1,-1,VLOOKUP(C1798,$T$1:$V$20,3))</f>
        <v>17</v>
      </c>
      <c r="L1798" s="16" t="n">
        <f aca="false">IF(B1798=-1,-1,VLOOKUP(D1798,$Y$1:$AA$22,3))</f>
        <v>12</v>
      </c>
      <c r="N1798" s="10" t="str">
        <f aca="false">_xlfn.UNICHAR(((C1798*21)+G1798)*28+44032)</f>
        <v>찌</v>
      </c>
      <c r="O1798" s="10" t="str">
        <f aca="false">_xlfn.UNICHAR(((F1798*21)+D1798)*28+44032)</f>
        <v>똬</v>
      </c>
      <c r="P1798" s="12" t="n">
        <f aca="false">COUNTIF($A$2:$A$3000, N1798) + COUNTIF($A$2:$A$3000, O1798)</f>
        <v>2</v>
      </c>
      <c r="Q1798" s="16" t="str">
        <f aca="false">IF(OR(B1798=-1,I1798=0, P1798&lt;&gt;2), "albhed_dummy", _xlfn.CONCAT("albhed ", RIGHT("  " &amp; K1798,2),", ", RIGHT("  " &amp; L1798,2), ", " ,"""",H1798,""", ", """",N1798,""", ","""",O1798,""""," ; ", A1798))</f>
        <v>albhed 17, 12, "띠", "찌", "똬" ; 쫬</v>
      </c>
    </row>
    <row r="1799" customFormat="false" ht="17.9" hidden="false" customHeight="true" outlineLevel="0" collapsed="false">
      <c r="A1799" s="16" t="s">
        <v>2649</v>
      </c>
      <c r="B1799" s="16" t="n">
        <f aca="false">IF(_xlfn.UNICODE(A1799)&lt;44032,-1,_xlfn.UNICODE(A1799)-44032)</f>
        <v>7924</v>
      </c>
      <c r="C1799" s="16" t="n">
        <f aca="false">IF(B1799=-1,-1,INT((B1799/28)/21))</f>
        <v>13</v>
      </c>
      <c r="D1799" s="16" t="n">
        <f aca="false">IF(B1799=-1, -1, MOD(INT(B1799/28),21))</f>
        <v>10</v>
      </c>
      <c r="E1799" s="16" t="n">
        <f aca="false">IF(B1799=-1, -1, VLOOKUP(MOD(B1799,28), $T$24:$U$52,2))</f>
        <v>0</v>
      </c>
      <c r="F1799" s="16" t="n">
        <f aca="false">IF($B1799=-1, -1, VLOOKUP(C1799,$T$1:$V$20, 2))</f>
        <v>4</v>
      </c>
      <c r="G1799" s="16" t="n">
        <f aca="false">IF($B1799=-1, -1, VLOOKUP(D1799,$Y$1:$Z$22,2))</f>
        <v>20</v>
      </c>
      <c r="H1799" s="16" t="str">
        <f aca="false">_xlfn.UNICHAR(((F1799*21)+G1799)*28+44032)</f>
        <v>띠</v>
      </c>
      <c r="I1799" s="16" t="n">
        <f aca="false">IF(B1799=-1, 1, COUNTIF($A$2:$A$3000, H1799))</f>
        <v>1</v>
      </c>
      <c r="J1799" s="10" t="str">
        <f aca="false">_xlfn.CONCAT(A1799, ",",H1799,",",I1799)</f>
        <v>쫴,띠,1</v>
      </c>
      <c r="K1799" s="16" t="n">
        <f aca="false">IF(B1799=-1,-1,VLOOKUP(C1799,$T$1:$V$20,3))</f>
        <v>17</v>
      </c>
      <c r="L1799" s="16" t="n">
        <f aca="false">IF(B1799=-1,-1,VLOOKUP(D1799,$Y$1:$AA$22,3))</f>
        <v>12</v>
      </c>
      <c r="N1799" s="10" t="str">
        <f aca="false">_xlfn.UNICHAR(((C1799*21)+G1799)*28+44032)</f>
        <v>찌</v>
      </c>
      <c r="O1799" s="10" t="str">
        <f aca="false">_xlfn.UNICHAR(((F1799*21)+D1799)*28+44032)</f>
        <v>뙈</v>
      </c>
      <c r="P1799" s="12" t="n">
        <f aca="false">COUNTIF($A$2:$A$3000, N1799) + COUNTIF($A$2:$A$3000, O1799)</f>
        <v>2</v>
      </c>
      <c r="Q1799" s="16" t="str">
        <f aca="false">IF(OR(B1799=-1,I1799=0, P1799&lt;&gt;2), "albhed_dummy", _xlfn.CONCAT("albhed ", RIGHT("  " &amp; K1799,2),", ", RIGHT("  " &amp; L1799,2), ", " ,"""",H1799,""", ", """",N1799,""", ","""",O1799,""""," ; ", A1799))</f>
        <v>albhed 17, 12, "띠", "찌", "뙈" ; 쫴</v>
      </c>
    </row>
    <row r="1800" customFormat="false" ht="17.9" hidden="false" customHeight="true" outlineLevel="0" collapsed="false">
      <c r="A1800" s="16" t="s">
        <v>2650</v>
      </c>
      <c r="B1800" s="16" t="n">
        <f aca="false">IF(_xlfn.UNICODE(A1800)&lt;44032,-1,_xlfn.UNICODE(A1800)-44032)</f>
        <v>7944</v>
      </c>
      <c r="C1800" s="16" t="n">
        <f aca="false">IF(B1800=-1,-1,INT((B1800/28)/21))</f>
        <v>13</v>
      </c>
      <c r="D1800" s="16" t="n">
        <f aca="false">IF(B1800=-1, -1, MOD(INT(B1800/28),21))</f>
        <v>10</v>
      </c>
      <c r="E1800" s="16" t="n">
        <f aca="false">IF(B1800=-1, -1, VLOOKUP(MOD(B1800,28), $T$24:$U$52,2))</f>
        <v>19</v>
      </c>
      <c r="F1800" s="16" t="n">
        <f aca="false">IF($B1800=-1, -1, VLOOKUP(C1800,$T$1:$V$20, 2))</f>
        <v>4</v>
      </c>
      <c r="G1800" s="16" t="n">
        <f aca="false">IF($B1800=-1, -1, VLOOKUP(D1800,$Y$1:$Z$22,2))</f>
        <v>20</v>
      </c>
      <c r="H1800" s="16" t="str">
        <f aca="false">_xlfn.UNICHAR(((F1800*21)+G1800)*28+44032)</f>
        <v>띠</v>
      </c>
      <c r="I1800" s="16" t="n">
        <f aca="false">IF(B1800=-1, 1, COUNTIF($A$2:$A$3000, H1800))</f>
        <v>1</v>
      </c>
      <c r="J1800" s="10" t="str">
        <f aca="false">_xlfn.CONCAT(A1800, ",",H1800,",",I1800)</f>
        <v>쬈,띠,1</v>
      </c>
      <c r="K1800" s="16" t="n">
        <f aca="false">IF(B1800=-1,-1,VLOOKUP(C1800,$T$1:$V$20,3))</f>
        <v>17</v>
      </c>
      <c r="L1800" s="16" t="n">
        <f aca="false">IF(B1800=-1,-1,VLOOKUP(D1800,$Y$1:$AA$22,3))</f>
        <v>12</v>
      </c>
      <c r="N1800" s="10" t="str">
        <f aca="false">_xlfn.UNICHAR(((C1800*21)+G1800)*28+44032)</f>
        <v>찌</v>
      </c>
      <c r="O1800" s="10" t="str">
        <f aca="false">_xlfn.UNICHAR(((F1800*21)+D1800)*28+44032)</f>
        <v>뙈</v>
      </c>
      <c r="P1800" s="12" t="n">
        <f aca="false">COUNTIF($A$2:$A$3000, N1800) + COUNTIF($A$2:$A$3000, O1800)</f>
        <v>2</v>
      </c>
      <c r="Q1800" s="16" t="str">
        <f aca="false">IF(OR(B1800=-1,I1800=0, P1800&lt;&gt;2), "albhed_dummy", _xlfn.CONCAT("albhed ", RIGHT("  " &amp; K1800,2),", ", RIGHT("  " &amp; L1800,2), ", " ,"""",H1800,""", ", """",N1800,""", ","""",O1800,""""," ; ", A1800))</f>
        <v>albhed 17, 12, "띠", "찌", "뙈" ; 쬈</v>
      </c>
    </row>
    <row r="1801" customFormat="false" ht="17.9" hidden="false" customHeight="true" outlineLevel="0" collapsed="false">
      <c r="A1801" s="16" t="s">
        <v>2651</v>
      </c>
      <c r="B1801" s="16" t="n">
        <f aca="false">IF(_xlfn.UNICODE(A1801)&lt;44032,-1,_xlfn.UNICODE(A1801)-44032)</f>
        <v>7952</v>
      </c>
      <c r="C1801" s="16" t="n">
        <f aca="false">IF(B1801=-1,-1,INT((B1801/28)/21))</f>
        <v>13</v>
      </c>
      <c r="D1801" s="16" t="n">
        <f aca="false">IF(B1801=-1, -1, MOD(INT(B1801/28),21))</f>
        <v>11</v>
      </c>
      <c r="E1801" s="16" t="n">
        <f aca="false">IF(B1801=-1, -1, VLOOKUP(MOD(B1801,28), $T$24:$U$52,2))</f>
        <v>0</v>
      </c>
      <c r="F1801" s="16" t="n">
        <f aca="false">IF($B1801=-1, -1, VLOOKUP(C1801,$T$1:$V$20, 2))</f>
        <v>4</v>
      </c>
      <c r="G1801" s="16" t="n">
        <f aca="false">IF($B1801=-1, -1, VLOOKUP(D1801,$Y$1:$Z$22,2))</f>
        <v>20</v>
      </c>
      <c r="H1801" s="16" t="str">
        <f aca="false">_xlfn.UNICHAR(((F1801*21)+G1801)*28+44032)</f>
        <v>띠</v>
      </c>
      <c r="I1801" s="16" t="n">
        <f aca="false">IF(B1801=-1, 1, COUNTIF($A$2:$A$3000, H1801))</f>
        <v>1</v>
      </c>
      <c r="J1801" s="10" t="str">
        <f aca="false">_xlfn.CONCAT(A1801, ",",H1801,",",I1801)</f>
        <v>쬐,띠,1</v>
      </c>
      <c r="K1801" s="16" t="n">
        <f aca="false">IF(B1801=-1,-1,VLOOKUP(C1801,$T$1:$V$20,3))</f>
        <v>17</v>
      </c>
      <c r="L1801" s="16" t="n">
        <f aca="false">IF(B1801=-1,-1,VLOOKUP(D1801,$Y$1:$AA$22,3))</f>
        <v>22</v>
      </c>
      <c r="N1801" s="10" t="str">
        <f aca="false">_xlfn.UNICHAR(((C1801*21)+G1801)*28+44032)</f>
        <v>찌</v>
      </c>
      <c r="O1801" s="10" t="str">
        <f aca="false">_xlfn.UNICHAR(((F1801*21)+D1801)*28+44032)</f>
        <v>뙤</v>
      </c>
      <c r="P1801" s="12" t="n">
        <f aca="false">COUNTIF($A$2:$A$3000, N1801) + COUNTIF($A$2:$A$3000, O1801)</f>
        <v>2</v>
      </c>
      <c r="Q1801" s="16" t="str">
        <f aca="false">IF(OR(B1801=-1,I1801=0, P1801&lt;&gt;2), "albhed_dummy", _xlfn.CONCAT("albhed ", RIGHT("  " &amp; K1801,2),", ", RIGHT("  " &amp; L1801,2), ", " ,"""",H1801,""", ", """",N1801,""", ","""",O1801,""""," ; ", A1801))</f>
        <v>albhed 17, 22, "띠", "찌", "뙤" ; 쬐</v>
      </c>
    </row>
    <row r="1802" customFormat="false" ht="17.9" hidden="false" customHeight="true" outlineLevel="0" collapsed="false">
      <c r="A1802" s="16" t="s">
        <v>2652</v>
      </c>
      <c r="B1802" s="16" t="n">
        <f aca="false">IF(_xlfn.UNICODE(A1802)&lt;44032,-1,_xlfn.UNICODE(A1802)-44032)</f>
        <v>7956</v>
      </c>
      <c r="C1802" s="16" t="n">
        <f aca="false">IF(B1802=-1,-1,INT((B1802/28)/21))</f>
        <v>13</v>
      </c>
      <c r="D1802" s="16" t="n">
        <f aca="false">IF(B1802=-1, -1, MOD(INT(B1802/28),21))</f>
        <v>11</v>
      </c>
      <c r="E1802" s="16" t="n">
        <f aca="false">IF(B1802=-1, -1, VLOOKUP(MOD(B1802,28), $T$24:$U$52,2))</f>
        <v>4</v>
      </c>
      <c r="F1802" s="16" t="n">
        <f aca="false">IF($B1802=-1, -1, VLOOKUP(C1802,$T$1:$V$20, 2))</f>
        <v>4</v>
      </c>
      <c r="G1802" s="16" t="n">
        <f aca="false">IF($B1802=-1, -1, VLOOKUP(D1802,$Y$1:$Z$22,2))</f>
        <v>20</v>
      </c>
      <c r="H1802" s="16" t="str">
        <f aca="false">_xlfn.UNICHAR(((F1802*21)+G1802)*28+44032)</f>
        <v>띠</v>
      </c>
      <c r="I1802" s="16" t="n">
        <f aca="false">IF(B1802=-1, 1, COUNTIF($A$2:$A$3000, H1802))</f>
        <v>1</v>
      </c>
      <c r="J1802" s="10" t="str">
        <f aca="false">_xlfn.CONCAT(A1802, ",",H1802,",",I1802)</f>
        <v>쬔,띠,1</v>
      </c>
      <c r="K1802" s="16" t="n">
        <f aca="false">IF(B1802=-1,-1,VLOOKUP(C1802,$T$1:$V$20,3))</f>
        <v>17</v>
      </c>
      <c r="L1802" s="16" t="n">
        <f aca="false">IF(B1802=-1,-1,VLOOKUP(D1802,$Y$1:$AA$22,3))</f>
        <v>22</v>
      </c>
      <c r="N1802" s="10" t="str">
        <f aca="false">_xlfn.UNICHAR(((C1802*21)+G1802)*28+44032)</f>
        <v>찌</v>
      </c>
      <c r="O1802" s="10" t="str">
        <f aca="false">_xlfn.UNICHAR(((F1802*21)+D1802)*28+44032)</f>
        <v>뙤</v>
      </c>
      <c r="P1802" s="12" t="n">
        <f aca="false">COUNTIF($A$2:$A$3000, N1802) + COUNTIF($A$2:$A$3000, O1802)</f>
        <v>2</v>
      </c>
      <c r="Q1802" s="16" t="str">
        <f aca="false">IF(OR(B1802=-1,I1802=0, P1802&lt;&gt;2), "albhed_dummy", _xlfn.CONCAT("albhed ", RIGHT("  " &amp; K1802,2),", ", RIGHT("  " &amp; L1802,2), ", " ,"""",H1802,""", ", """",N1802,""", ","""",O1802,""""," ; ", A1802))</f>
        <v>albhed 17, 22, "띠", "찌", "뙤" ; 쬔</v>
      </c>
    </row>
    <row r="1803" customFormat="false" ht="17.9" hidden="false" customHeight="true" outlineLevel="0" collapsed="false">
      <c r="A1803" s="16" t="s">
        <v>2653</v>
      </c>
      <c r="B1803" s="16" t="n">
        <f aca="false">IF(_xlfn.UNICODE(A1803)&lt;44032,-1,_xlfn.UNICODE(A1803)-44032)</f>
        <v>7960</v>
      </c>
      <c r="C1803" s="16" t="n">
        <f aca="false">IF(B1803=-1,-1,INT((B1803/28)/21))</f>
        <v>13</v>
      </c>
      <c r="D1803" s="16" t="n">
        <f aca="false">IF(B1803=-1, -1, MOD(INT(B1803/28),21))</f>
        <v>11</v>
      </c>
      <c r="E1803" s="16" t="n">
        <f aca="false">IF(B1803=-1, -1, VLOOKUP(MOD(B1803,28), $T$24:$U$52,2))</f>
        <v>8</v>
      </c>
      <c r="F1803" s="16" t="n">
        <f aca="false">IF($B1803=-1, -1, VLOOKUP(C1803,$T$1:$V$20, 2))</f>
        <v>4</v>
      </c>
      <c r="G1803" s="16" t="n">
        <f aca="false">IF($B1803=-1, -1, VLOOKUP(D1803,$Y$1:$Z$22,2))</f>
        <v>20</v>
      </c>
      <c r="H1803" s="16" t="str">
        <f aca="false">_xlfn.UNICHAR(((F1803*21)+G1803)*28+44032)</f>
        <v>띠</v>
      </c>
      <c r="I1803" s="16" t="n">
        <f aca="false">IF(B1803=-1, 1, COUNTIF($A$2:$A$3000, H1803))</f>
        <v>1</v>
      </c>
      <c r="J1803" s="10" t="str">
        <f aca="false">_xlfn.CONCAT(A1803, ",",H1803,",",I1803)</f>
        <v>쬘,띠,1</v>
      </c>
      <c r="K1803" s="16" t="n">
        <f aca="false">IF(B1803=-1,-1,VLOOKUP(C1803,$T$1:$V$20,3))</f>
        <v>17</v>
      </c>
      <c r="L1803" s="16" t="n">
        <f aca="false">IF(B1803=-1,-1,VLOOKUP(D1803,$Y$1:$AA$22,3))</f>
        <v>22</v>
      </c>
      <c r="N1803" s="10" t="str">
        <f aca="false">_xlfn.UNICHAR(((C1803*21)+G1803)*28+44032)</f>
        <v>찌</v>
      </c>
      <c r="O1803" s="10" t="str">
        <f aca="false">_xlfn.UNICHAR(((F1803*21)+D1803)*28+44032)</f>
        <v>뙤</v>
      </c>
      <c r="P1803" s="12" t="n">
        <f aca="false">COUNTIF($A$2:$A$3000, N1803) + COUNTIF($A$2:$A$3000, O1803)</f>
        <v>2</v>
      </c>
      <c r="Q1803" s="16" t="str">
        <f aca="false">IF(OR(B1803=-1,I1803=0, P1803&lt;&gt;2), "albhed_dummy", _xlfn.CONCAT("albhed ", RIGHT("  " &amp; K1803,2),", ", RIGHT("  " &amp; L1803,2), ", " ,"""",H1803,""", ", """",N1803,""", ","""",O1803,""""," ; ", A1803))</f>
        <v>albhed 17, 22, "띠", "찌", "뙤" ; 쬘</v>
      </c>
    </row>
    <row r="1804" customFormat="false" ht="17.9" hidden="false" customHeight="true" outlineLevel="0" collapsed="false">
      <c r="A1804" s="16" t="s">
        <v>2654</v>
      </c>
      <c r="B1804" s="16" t="n">
        <f aca="false">IF(_xlfn.UNICODE(A1804)&lt;44032,-1,_xlfn.UNICODE(A1804)-44032)</f>
        <v>7968</v>
      </c>
      <c r="C1804" s="16" t="n">
        <f aca="false">IF(B1804=-1,-1,INT((B1804/28)/21))</f>
        <v>13</v>
      </c>
      <c r="D1804" s="16" t="n">
        <f aca="false">IF(B1804=-1, -1, MOD(INT(B1804/28),21))</f>
        <v>11</v>
      </c>
      <c r="E1804" s="16" t="n">
        <f aca="false">IF(B1804=-1, -1, VLOOKUP(MOD(B1804,28), $T$24:$U$52,2))</f>
        <v>16</v>
      </c>
      <c r="F1804" s="16" t="n">
        <f aca="false">IF($B1804=-1, -1, VLOOKUP(C1804,$T$1:$V$20, 2))</f>
        <v>4</v>
      </c>
      <c r="G1804" s="16" t="n">
        <f aca="false">IF($B1804=-1, -1, VLOOKUP(D1804,$Y$1:$Z$22,2))</f>
        <v>20</v>
      </c>
      <c r="H1804" s="16" t="str">
        <f aca="false">_xlfn.UNICHAR(((F1804*21)+G1804)*28+44032)</f>
        <v>띠</v>
      </c>
      <c r="I1804" s="16" t="n">
        <f aca="false">IF(B1804=-1, 1, COUNTIF($A$2:$A$3000, H1804))</f>
        <v>1</v>
      </c>
      <c r="J1804" s="10" t="str">
        <f aca="false">_xlfn.CONCAT(A1804, ",",H1804,",",I1804)</f>
        <v>쬠,띠,1</v>
      </c>
      <c r="K1804" s="16" t="n">
        <f aca="false">IF(B1804=-1,-1,VLOOKUP(C1804,$T$1:$V$20,3))</f>
        <v>17</v>
      </c>
      <c r="L1804" s="16" t="n">
        <f aca="false">IF(B1804=-1,-1,VLOOKUP(D1804,$Y$1:$AA$22,3))</f>
        <v>22</v>
      </c>
      <c r="N1804" s="10" t="str">
        <f aca="false">_xlfn.UNICHAR(((C1804*21)+G1804)*28+44032)</f>
        <v>찌</v>
      </c>
      <c r="O1804" s="10" t="str">
        <f aca="false">_xlfn.UNICHAR(((F1804*21)+D1804)*28+44032)</f>
        <v>뙤</v>
      </c>
      <c r="P1804" s="12" t="n">
        <f aca="false">COUNTIF($A$2:$A$3000, N1804) + COUNTIF($A$2:$A$3000, O1804)</f>
        <v>2</v>
      </c>
      <c r="Q1804" s="16" t="str">
        <f aca="false">IF(OR(B1804=-1,I1804=0, P1804&lt;&gt;2), "albhed_dummy", _xlfn.CONCAT("albhed ", RIGHT("  " &amp; K1804,2),", ", RIGHT("  " &amp; L1804,2), ", " ,"""",H1804,""", ", """",N1804,""", ","""",O1804,""""," ; ", A1804))</f>
        <v>albhed 17, 22, "띠", "찌", "뙤" ; 쬠</v>
      </c>
    </row>
    <row r="1805" customFormat="false" ht="17.9" hidden="false" customHeight="true" outlineLevel="0" collapsed="false">
      <c r="A1805" s="16" t="s">
        <v>2655</v>
      </c>
      <c r="B1805" s="16" t="n">
        <f aca="false">IF(_xlfn.UNICODE(A1805)&lt;44032,-1,_xlfn.UNICODE(A1805)-44032)</f>
        <v>7969</v>
      </c>
      <c r="C1805" s="16" t="n">
        <f aca="false">IF(B1805=-1,-1,INT((B1805/28)/21))</f>
        <v>13</v>
      </c>
      <c r="D1805" s="16" t="n">
        <f aca="false">IF(B1805=-1, -1, MOD(INT(B1805/28),21))</f>
        <v>11</v>
      </c>
      <c r="E1805" s="16" t="n">
        <f aca="false">IF(B1805=-1, -1, VLOOKUP(MOD(B1805,28), $T$24:$U$52,2))</f>
        <v>17</v>
      </c>
      <c r="F1805" s="16" t="n">
        <f aca="false">IF($B1805=-1, -1, VLOOKUP(C1805,$T$1:$V$20, 2))</f>
        <v>4</v>
      </c>
      <c r="G1805" s="16" t="n">
        <f aca="false">IF($B1805=-1, -1, VLOOKUP(D1805,$Y$1:$Z$22,2))</f>
        <v>20</v>
      </c>
      <c r="H1805" s="16" t="str">
        <f aca="false">_xlfn.UNICHAR(((F1805*21)+G1805)*28+44032)</f>
        <v>띠</v>
      </c>
      <c r="I1805" s="16" t="n">
        <f aca="false">IF(B1805=-1, 1, COUNTIF($A$2:$A$3000, H1805))</f>
        <v>1</v>
      </c>
      <c r="J1805" s="10" t="str">
        <f aca="false">_xlfn.CONCAT(A1805, ",",H1805,",",I1805)</f>
        <v>쬡,띠,1</v>
      </c>
      <c r="K1805" s="16" t="n">
        <f aca="false">IF(B1805=-1,-1,VLOOKUP(C1805,$T$1:$V$20,3))</f>
        <v>17</v>
      </c>
      <c r="L1805" s="16" t="n">
        <f aca="false">IF(B1805=-1,-1,VLOOKUP(D1805,$Y$1:$AA$22,3))</f>
        <v>22</v>
      </c>
      <c r="N1805" s="10" t="str">
        <f aca="false">_xlfn.UNICHAR(((C1805*21)+G1805)*28+44032)</f>
        <v>찌</v>
      </c>
      <c r="O1805" s="10" t="str">
        <f aca="false">_xlfn.UNICHAR(((F1805*21)+D1805)*28+44032)</f>
        <v>뙤</v>
      </c>
      <c r="P1805" s="12" t="n">
        <f aca="false">COUNTIF($A$2:$A$3000, N1805) + COUNTIF($A$2:$A$3000, O1805)</f>
        <v>2</v>
      </c>
      <c r="Q1805" s="16" t="str">
        <f aca="false">IF(OR(B1805=-1,I1805=0, P1805&lt;&gt;2), "albhed_dummy", _xlfn.CONCAT("albhed ", RIGHT("  " &amp; K1805,2),", ", RIGHT("  " &amp; L1805,2), ", " ,"""",H1805,""", ", """",N1805,""", ","""",O1805,""""," ; ", A1805))</f>
        <v>albhed 17, 22, "띠", "찌", "뙤" ; 쬡</v>
      </c>
    </row>
    <row r="1806" customFormat="false" ht="17.9" hidden="false" customHeight="true" outlineLevel="0" collapsed="false">
      <c r="A1806" s="16" t="s">
        <v>2656</v>
      </c>
      <c r="B1806" s="16" t="n">
        <f aca="false">IF(_xlfn.UNICODE(A1806)&lt;44032,-1,_xlfn.UNICODE(A1806)-44032)</f>
        <v>8001</v>
      </c>
      <c r="C1806" s="16" t="n">
        <f aca="false">IF(B1806=-1,-1,INT((B1806/28)/21))</f>
        <v>13</v>
      </c>
      <c r="D1806" s="16" t="n">
        <f aca="false">IF(B1806=-1, -1, MOD(INT(B1806/28),21))</f>
        <v>12</v>
      </c>
      <c r="E1806" s="16" t="n">
        <f aca="false">IF(B1806=-1, -1, VLOOKUP(MOD(B1806,28), $T$24:$U$52,2))</f>
        <v>21</v>
      </c>
      <c r="F1806" s="16" t="n">
        <f aca="false">IF($B1806=-1, -1, VLOOKUP(C1806,$T$1:$V$20, 2))</f>
        <v>4</v>
      </c>
      <c r="G1806" s="16" t="n">
        <f aca="false">IF($B1806=-1, -1, VLOOKUP(D1806,$Y$1:$Z$22,2))</f>
        <v>6</v>
      </c>
      <c r="H1806" s="16" t="str">
        <f aca="false">_xlfn.UNICHAR(((F1806*21)+G1806)*28+44032)</f>
        <v>뗘</v>
      </c>
      <c r="I1806" s="16" t="n">
        <f aca="false">IF(B1806=-1, 1, COUNTIF($A$2:$A$3000, H1806))</f>
        <v>1</v>
      </c>
      <c r="J1806" s="10" t="str">
        <f aca="false">_xlfn.CONCAT(A1806, ",",H1806,",",I1806)</f>
        <v>쭁,뗘,1</v>
      </c>
      <c r="K1806" s="16" t="n">
        <f aca="false">IF(B1806=-1,-1,VLOOKUP(C1806,$T$1:$V$20,3))</f>
        <v>17</v>
      </c>
      <c r="L1806" s="16" t="n">
        <f aca="false">IF(B1806=-1,-1,VLOOKUP(D1806,$Y$1:$AA$22,3))</f>
        <v>8</v>
      </c>
      <c r="N1806" s="10" t="str">
        <f aca="false">_xlfn.UNICHAR(((C1806*21)+G1806)*28+44032)</f>
        <v>쪄</v>
      </c>
      <c r="O1806" s="10" t="str">
        <f aca="false">_xlfn.UNICHAR(((F1806*21)+D1806)*28+44032)</f>
        <v>뚀</v>
      </c>
      <c r="P1806" s="12" t="n">
        <f aca="false">COUNTIF($A$2:$A$3000, N1806) + COUNTIF($A$2:$A$3000, O1806)</f>
        <v>1</v>
      </c>
      <c r="Q1806" s="16" t="str">
        <f aca="false">IF(OR(B1806=-1,I1806=0, P1806&lt;&gt;2), "albhed_dummy", _xlfn.CONCAT("albhed ", RIGHT("  " &amp; K1806,2),", ", RIGHT("  " &amp; L1806,2), ", " ,"""",H1806,""", ", """",N1806,""", ","""",O1806,""""," ; ", A1806))</f>
        <v>albhed_dummy</v>
      </c>
    </row>
    <row r="1807" customFormat="false" ht="17.9" hidden="false" customHeight="true" outlineLevel="0" collapsed="false">
      <c r="A1807" s="16" t="s">
        <v>2657</v>
      </c>
      <c r="B1807" s="16" t="n">
        <f aca="false">IF(_xlfn.UNICODE(A1807)&lt;44032,-1,_xlfn.UNICODE(A1807)-44032)</f>
        <v>8008</v>
      </c>
      <c r="C1807" s="16" t="n">
        <f aca="false">IF(B1807=-1,-1,INT((B1807/28)/21))</f>
        <v>13</v>
      </c>
      <c r="D1807" s="16" t="n">
        <f aca="false">IF(B1807=-1, -1, MOD(INT(B1807/28),21))</f>
        <v>13</v>
      </c>
      <c r="E1807" s="16" t="n">
        <f aca="false">IF(B1807=-1, -1, VLOOKUP(MOD(B1807,28), $T$24:$U$52,2))</f>
        <v>0</v>
      </c>
      <c r="F1807" s="16" t="n">
        <f aca="false">IF($B1807=-1, -1, VLOOKUP(C1807,$T$1:$V$20, 2))</f>
        <v>4</v>
      </c>
      <c r="G1807" s="16" t="n">
        <f aca="false">IF($B1807=-1, -1, VLOOKUP(D1807,$Y$1:$Z$22,2))</f>
        <v>0</v>
      </c>
      <c r="H1807" s="16" t="str">
        <f aca="false">_xlfn.UNICHAR(((F1807*21)+G1807)*28+44032)</f>
        <v>따</v>
      </c>
      <c r="I1807" s="16" t="n">
        <f aca="false">IF(B1807=-1, 1, COUNTIF($A$2:$A$3000, H1807))</f>
        <v>1</v>
      </c>
      <c r="J1807" s="10" t="str">
        <f aca="false">_xlfn.CONCAT(A1807, ",",H1807,",",I1807)</f>
        <v>쭈,따,1</v>
      </c>
      <c r="K1807" s="16" t="n">
        <f aca="false">IF(B1807=-1,-1,VLOOKUP(C1807,$T$1:$V$20,3))</f>
        <v>17</v>
      </c>
      <c r="L1807" s="16" t="n">
        <f aca="false">IF(B1807=-1,-1,VLOOKUP(D1807,$Y$1:$AA$22,3))</f>
        <v>6</v>
      </c>
      <c r="N1807" s="10" t="str">
        <f aca="false">_xlfn.UNICHAR(((C1807*21)+G1807)*28+44032)</f>
        <v>짜</v>
      </c>
      <c r="O1807" s="10" t="str">
        <f aca="false">_xlfn.UNICHAR(((F1807*21)+D1807)*28+44032)</f>
        <v>뚜</v>
      </c>
      <c r="P1807" s="12" t="n">
        <f aca="false">COUNTIF($A$2:$A$3000, N1807) + COUNTIF($A$2:$A$3000, O1807)</f>
        <v>2</v>
      </c>
      <c r="Q1807" s="16" t="str">
        <f aca="false">IF(OR(B1807=-1,I1807=0, P1807&lt;&gt;2), "albhed_dummy", _xlfn.CONCAT("albhed ", RIGHT("  " &amp; K1807,2),", ", RIGHT("  " &amp; L1807,2), ", " ,"""",H1807,""", ", """",N1807,""", ","""",O1807,""""," ; ", A1807))</f>
        <v>albhed 17,  6, "따", "짜", "뚜" ; 쭈</v>
      </c>
    </row>
    <row r="1808" customFormat="false" ht="17.9" hidden="false" customHeight="true" outlineLevel="0" collapsed="false">
      <c r="A1808" s="16" t="s">
        <v>2658</v>
      </c>
      <c r="B1808" s="16" t="n">
        <f aca="false">IF(_xlfn.UNICODE(A1808)&lt;44032,-1,_xlfn.UNICODE(A1808)-44032)</f>
        <v>8009</v>
      </c>
      <c r="C1808" s="16" t="n">
        <f aca="false">IF(B1808=-1,-1,INT((B1808/28)/21))</f>
        <v>13</v>
      </c>
      <c r="D1808" s="16" t="n">
        <f aca="false">IF(B1808=-1, -1, MOD(INT(B1808/28),21))</f>
        <v>13</v>
      </c>
      <c r="E1808" s="16" t="n">
        <f aca="false">IF(B1808=-1, -1, VLOOKUP(MOD(B1808,28), $T$24:$U$52,2))</f>
        <v>1</v>
      </c>
      <c r="F1808" s="16" t="n">
        <f aca="false">IF($B1808=-1, -1, VLOOKUP(C1808,$T$1:$V$20, 2))</f>
        <v>4</v>
      </c>
      <c r="G1808" s="16" t="n">
        <f aca="false">IF($B1808=-1, -1, VLOOKUP(D1808,$Y$1:$Z$22,2))</f>
        <v>0</v>
      </c>
      <c r="H1808" s="16" t="str">
        <f aca="false">_xlfn.UNICHAR(((F1808*21)+G1808)*28+44032)</f>
        <v>따</v>
      </c>
      <c r="I1808" s="16" t="n">
        <f aca="false">IF(B1808=-1, 1, COUNTIF($A$2:$A$3000, H1808))</f>
        <v>1</v>
      </c>
      <c r="J1808" s="10" t="str">
        <f aca="false">_xlfn.CONCAT(A1808, ",",H1808,",",I1808)</f>
        <v>쭉,따,1</v>
      </c>
      <c r="K1808" s="16" t="n">
        <f aca="false">IF(B1808=-1,-1,VLOOKUP(C1808,$T$1:$V$20,3))</f>
        <v>17</v>
      </c>
      <c r="L1808" s="16" t="n">
        <f aca="false">IF(B1808=-1,-1,VLOOKUP(D1808,$Y$1:$AA$22,3))</f>
        <v>6</v>
      </c>
      <c r="N1808" s="10" t="str">
        <f aca="false">_xlfn.UNICHAR(((C1808*21)+G1808)*28+44032)</f>
        <v>짜</v>
      </c>
      <c r="O1808" s="10" t="str">
        <f aca="false">_xlfn.UNICHAR(((F1808*21)+D1808)*28+44032)</f>
        <v>뚜</v>
      </c>
      <c r="P1808" s="12" t="n">
        <f aca="false">COUNTIF($A$2:$A$3000, N1808) + COUNTIF($A$2:$A$3000, O1808)</f>
        <v>2</v>
      </c>
      <c r="Q1808" s="16" t="str">
        <f aca="false">IF(OR(B1808=-1,I1808=0, P1808&lt;&gt;2), "albhed_dummy", _xlfn.CONCAT("albhed ", RIGHT("  " &amp; K1808,2),", ", RIGHT("  " &amp; L1808,2), ", " ,"""",H1808,""", ", """",N1808,""", ","""",O1808,""""," ; ", A1808))</f>
        <v>albhed 17,  6, "따", "짜", "뚜" ; 쭉</v>
      </c>
    </row>
    <row r="1809" customFormat="false" ht="17.9" hidden="false" customHeight="true" outlineLevel="0" collapsed="false">
      <c r="A1809" s="16" t="s">
        <v>2659</v>
      </c>
      <c r="B1809" s="16" t="n">
        <f aca="false">IF(_xlfn.UNICODE(A1809)&lt;44032,-1,_xlfn.UNICODE(A1809)-44032)</f>
        <v>8012</v>
      </c>
      <c r="C1809" s="16" t="n">
        <f aca="false">IF(B1809=-1,-1,INT((B1809/28)/21))</f>
        <v>13</v>
      </c>
      <c r="D1809" s="16" t="n">
        <f aca="false">IF(B1809=-1, -1, MOD(INT(B1809/28),21))</f>
        <v>13</v>
      </c>
      <c r="E1809" s="16" t="n">
        <f aca="false">IF(B1809=-1, -1, VLOOKUP(MOD(B1809,28), $T$24:$U$52,2))</f>
        <v>4</v>
      </c>
      <c r="F1809" s="16" t="n">
        <f aca="false">IF($B1809=-1, -1, VLOOKUP(C1809,$T$1:$V$20, 2))</f>
        <v>4</v>
      </c>
      <c r="G1809" s="16" t="n">
        <f aca="false">IF($B1809=-1, -1, VLOOKUP(D1809,$Y$1:$Z$22,2))</f>
        <v>0</v>
      </c>
      <c r="H1809" s="16" t="str">
        <f aca="false">_xlfn.UNICHAR(((F1809*21)+G1809)*28+44032)</f>
        <v>따</v>
      </c>
      <c r="I1809" s="16" t="n">
        <f aca="false">IF(B1809=-1, 1, COUNTIF($A$2:$A$3000, H1809))</f>
        <v>1</v>
      </c>
      <c r="J1809" s="10" t="str">
        <f aca="false">_xlfn.CONCAT(A1809, ",",H1809,",",I1809)</f>
        <v>쭌,따,1</v>
      </c>
      <c r="K1809" s="16" t="n">
        <f aca="false">IF(B1809=-1,-1,VLOOKUP(C1809,$T$1:$V$20,3))</f>
        <v>17</v>
      </c>
      <c r="L1809" s="16" t="n">
        <f aca="false">IF(B1809=-1,-1,VLOOKUP(D1809,$Y$1:$AA$22,3))</f>
        <v>6</v>
      </c>
      <c r="N1809" s="10" t="str">
        <f aca="false">_xlfn.UNICHAR(((C1809*21)+G1809)*28+44032)</f>
        <v>짜</v>
      </c>
      <c r="O1809" s="10" t="str">
        <f aca="false">_xlfn.UNICHAR(((F1809*21)+D1809)*28+44032)</f>
        <v>뚜</v>
      </c>
      <c r="P1809" s="12" t="n">
        <f aca="false">COUNTIF($A$2:$A$3000, N1809) + COUNTIF($A$2:$A$3000, O1809)</f>
        <v>2</v>
      </c>
      <c r="Q1809" s="16" t="str">
        <f aca="false">IF(OR(B1809=-1,I1809=0, P1809&lt;&gt;2), "albhed_dummy", _xlfn.CONCAT("albhed ", RIGHT("  " &amp; K1809,2),", ", RIGHT("  " &amp; L1809,2), ", " ,"""",H1809,""", ", """",N1809,""", ","""",O1809,""""," ; ", A1809))</f>
        <v>albhed 17,  6, "따", "짜", "뚜" ; 쭌</v>
      </c>
    </row>
    <row r="1810" customFormat="false" ht="17.9" hidden="false" customHeight="true" outlineLevel="0" collapsed="false">
      <c r="A1810" s="16" t="s">
        <v>2660</v>
      </c>
      <c r="B1810" s="16" t="n">
        <f aca="false">IF(_xlfn.UNICODE(A1810)&lt;44032,-1,_xlfn.UNICODE(A1810)-44032)</f>
        <v>8016</v>
      </c>
      <c r="C1810" s="16" t="n">
        <f aca="false">IF(B1810=-1,-1,INT((B1810/28)/21))</f>
        <v>13</v>
      </c>
      <c r="D1810" s="16" t="n">
        <f aca="false">IF(B1810=-1, -1, MOD(INT(B1810/28),21))</f>
        <v>13</v>
      </c>
      <c r="E1810" s="16" t="n">
        <f aca="false">IF(B1810=-1, -1, VLOOKUP(MOD(B1810,28), $T$24:$U$52,2))</f>
        <v>8</v>
      </c>
      <c r="F1810" s="16" t="n">
        <f aca="false">IF($B1810=-1, -1, VLOOKUP(C1810,$T$1:$V$20, 2))</f>
        <v>4</v>
      </c>
      <c r="G1810" s="16" t="n">
        <f aca="false">IF($B1810=-1, -1, VLOOKUP(D1810,$Y$1:$Z$22,2))</f>
        <v>0</v>
      </c>
      <c r="H1810" s="16" t="str">
        <f aca="false">_xlfn.UNICHAR(((F1810*21)+G1810)*28+44032)</f>
        <v>따</v>
      </c>
      <c r="I1810" s="16" t="n">
        <f aca="false">IF(B1810=-1, 1, COUNTIF($A$2:$A$3000, H1810))</f>
        <v>1</v>
      </c>
      <c r="J1810" s="10" t="str">
        <f aca="false">_xlfn.CONCAT(A1810, ",",H1810,",",I1810)</f>
        <v>쭐,따,1</v>
      </c>
      <c r="K1810" s="16" t="n">
        <f aca="false">IF(B1810=-1,-1,VLOOKUP(C1810,$T$1:$V$20,3))</f>
        <v>17</v>
      </c>
      <c r="L1810" s="16" t="n">
        <f aca="false">IF(B1810=-1,-1,VLOOKUP(D1810,$Y$1:$AA$22,3))</f>
        <v>6</v>
      </c>
      <c r="N1810" s="10" t="str">
        <f aca="false">_xlfn.UNICHAR(((C1810*21)+G1810)*28+44032)</f>
        <v>짜</v>
      </c>
      <c r="O1810" s="10" t="str">
        <f aca="false">_xlfn.UNICHAR(((F1810*21)+D1810)*28+44032)</f>
        <v>뚜</v>
      </c>
      <c r="P1810" s="12" t="n">
        <f aca="false">COUNTIF($A$2:$A$3000, N1810) + COUNTIF($A$2:$A$3000, O1810)</f>
        <v>2</v>
      </c>
      <c r="Q1810" s="16" t="str">
        <f aca="false">IF(OR(B1810=-1,I1810=0, P1810&lt;&gt;2), "albhed_dummy", _xlfn.CONCAT("albhed ", RIGHT("  " &amp; K1810,2),", ", RIGHT("  " &amp; L1810,2), ", " ,"""",H1810,""", ", """",N1810,""", ","""",O1810,""""," ; ", A1810))</f>
        <v>albhed 17,  6, "따", "짜", "뚜" ; 쭐</v>
      </c>
    </row>
    <row r="1811" customFormat="false" ht="17.9" hidden="false" customHeight="true" outlineLevel="0" collapsed="false">
      <c r="A1811" s="16" t="s">
        <v>2661</v>
      </c>
      <c r="B1811" s="16" t="n">
        <f aca="false">IF(_xlfn.UNICODE(A1811)&lt;44032,-1,_xlfn.UNICODE(A1811)-44032)</f>
        <v>8024</v>
      </c>
      <c r="C1811" s="16" t="n">
        <f aca="false">IF(B1811=-1,-1,INT((B1811/28)/21))</f>
        <v>13</v>
      </c>
      <c r="D1811" s="16" t="n">
        <f aca="false">IF(B1811=-1, -1, MOD(INT(B1811/28),21))</f>
        <v>13</v>
      </c>
      <c r="E1811" s="16" t="n">
        <f aca="false">IF(B1811=-1, -1, VLOOKUP(MOD(B1811,28), $T$24:$U$52,2))</f>
        <v>16</v>
      </c>
      <c r="F1811" s="16" t="n">
        <f aca="false">IF($B1811=-1, -1, VLOOKUP(C1811,$T$1:$V$20, 2))</f>
        <v>4</v>
      </c>
      <c r="G1811" s="16" t="n">
        <f aca="false">IF($B1811=-1, -1, VLOOKUP(D1811,$Y$1:$Z$22,2))</f>
        <v>0</v>
      </c>
      <c r="H1811" s="16" t="str">
        <f aca="false">_xlfn.UNICHAR(((F1811*21)+G1811)*28+44032)</f>
        <v>따</v>
      </c>
      <c r="I1811" s="16" t="n">
        <f aca="false">IF(B1811=-1, 1, COUNTIF($A$2:$A$3000, H1811))</f>
        <v>1</v>
      </c>
      <c r="J1811" s="10" t="str">
        <f aca="false">_xlfn.CONCAT(A1811, ",",H1811,",",I1811)</f>
        <v>쭘,따,1</v>
      </c>
      <c r="K1811" s="16" t="n">
        <f aca="false">IF(B1811=-1,-1,VLOOKUP(C1811,$T$1:$V$20,3))</f>
        <v>17</v>
      </c>
      <c r="L1811" s="16" t="n">
        <f aca="false">IF(B1811=-1,-1,VLOOKUP(D1811,$Y$1:$AA$22,3))</f>
        <v>6</v>
      </c>
      <c r="N1811" s="10" t="str">
        <f aca="false">_xlfn.UNICHAR(((C1811*21)+G1811)*28+44032)</f>
        <v>짜</v>
      </c>
      <c r="O1811" s="10" t="str">
        <f aca="false">_xlfn.UNICHAR(((F1811*21)+D1811)*28+44032)</f>
        <v>뚜</v>
      </c>
      <c r="P1811" s="12" t="n">
        <f aca="false">COUNTIF($A$2:$A$3000, N1811) + COUNTIF($A$2:$A$3000, O1811)</f>
        <v>2</v>
      </c>
      <c r="Q1811" s="16" t="str">
        <f aca="false">IF(OR(B1811=-1,I1811=0, P1811&lt;&gt;2), "albhed_dummy", _xlfn.CONCAT("albhed ", RIGHT("  " &amp; K1811,2),", ", RIGHT("  " &amp; L1811,2), ", " ,"""",H1811,""", ", """",N1811,""", ","""",O1811,""""," ; ", A1811))</f>
        <v>albhed 17,  6, "따", "짜", "뚜" ; 쭘</v>
      </c>
    </row>
    <row r="1812" customFormat="false" ht="17.9" hidden="false" customHeight="true" outlineLevel="0" collapsed="false">
      <c r="A1812" s="16" t="s">
        <v>2662</v>
      </c>
      <c r="B1812" s="16" t="n">
        <f aca="false">IF(_xlfn.UNICODE(A1812)&lt;44032,-1,_xlfn.UNICODE(A1812)-44032)</f>
        <v>8025</v>
      </c>
      <c r="C1812" s="16" t="n">
        <f aca="false">IF(B1812=-1,-1,INT((B1812/28)/21))</f>
        <v>13</v>
      </c>
      <c r="D1812" s="16" t="n">
        <f aca="false">IF(B1812=-1, -1, MOD(INT(B1812/28),21))</f>
        <v>13</v>
      </c>
      <c r="E1812" s="16" t="n">
        <f aca="false">IF(B1812=-1, -1, VLOOKUP(MOD(B1812,28), $T$24:$U$52,2))</f>
        <v>17</v>
      </c>
      <c r="F1812" s="16" t="n">
        <f aca="false">IF($B1812=-1, -1, VLOOKUP(C1812,$T$1:$V$20, 2))</f>
        <v>4</v>
      </c>
      <c r="G1812" s="16" t="n">
        <f aca="false">IF($B1812=-1, -1, VLOOKUP(D1812,$Y$1:$Z$22,2))</f>
        <v>0</v>
      </c>
      <c r="H1812" s="16" t="str">
        <f aca="false">_xlfn.UNICHAR(((F1812*21)+G1812)*28+44032)</f>
        <v>따</v>
      </c>
      <c r="I1812" s="16" t="n">
        <f aca="false">IF(B1812=-1, 1, COUNTIF($A$2:$A$3000, H1812))</f>
        <v>1</v>
      </c>
      <c r="J1812" s="10" t="str">
        <f aca="false">_xlfn.CONCAT(A1812, ",",H1812,",",I1812)</f>
        <v>쭙,따,1</v>
      </c>
      <c r="K1812" s="16" t="n">
        <f aca="false">IF(B1812=-1,-1,VLOOKUP(C1812,$T$1:$V$20,3))</f>
        <v>17</v>
      </c>
      <c r="L1812" s="16" t="n">
        <f aca="false">IF(B1812=-1,-1,VLOOKUP(D1812,$Y$1:$AA$22,3))</f>
        <v>6</v>
      </c>
      <c r="N1812" s="10" t="str">
        <f aca="false">_xlfn.UNICHAR(((C1812*21)+G1812)*28+44032)</f>
        <v>짜</v>
      </c>
      <c r="O1812" s="10" t="str">
        <f aca="false">_xlfn.UNICHAR(((F1812*21)+D1812)*28+44032)</f>
        <v>뚜</v>
      </c>
      <c r="P1812" s="12" t="n">
        <f aca="false">COUNTIF($A$2:$A$3000, N1812) + COUNTIF($A$2:$A$3000, O1812)</f>
        <v>2</v>
      </c>
      <c r="Q1812" s="16" t="str">
        <f aca="false">IF(OR(B1812=-1,I1812=0, P1812&lt;&gt;2), "albhed_dummy", _xlfn.CONCAT("albhed ", RIGHT("  " &amp; K1812,2),", ", RIGHT("  " &amp; L1812,2), ", " ,"""",H1812,""", ", """",N1812,""", ","""",O1812,""""," ; ", A1812))</f>
        <v>albhed 17,  6, "따", "짜", "뚜" ; 쭙</v>
      </c>
    </row>
    <row r="1813" customFormat="false" ht="17.9" hidden="false" customHeight="true" outlineLevel="0" collapsed="false">
      <c r="A1813" s="16" t="s">
        <v>2663</v>
      </c>
      <c r="B1813" s="16" t="n">
        <f aca="false">IF(_xlfn.UNICODE(A1813)&lt;44032,-1,_xlfn.UNICODE(A1813)-44032)</f>
        <v>8029</v>
      </c>
      <c r="C1813" s="16" t="n">
        <f aca="false">IF(B1813=-1,-1,INT((B1813/28)/21))</f>
        <v>13</v>
      </c>
      <c r="D1813" s="16" t="n">
        <f aca="false">IF(B1813=-1, -1, MOD(INT(B1813/28),21))</f>
        <v>13</v>
      </c>
      <c r="E1813" s="16" t="n">
        <f aca="false">IF(B1813=-1, -1, VLOOKUP(MOD(B1813,28), $T$24:$U$52,2))</f>
        <v>21</v>
      </c>
      <c r="F1813" s="16" t="n">
        <f aca="false">IF($B1813=-1, -1, VLOOKUP(C1813,$T$1:$V$20, 2))</f>
        <v>4</v>
      </c>
      <c r="G1813" s="16" t="n">
        <f aca="false">IF($B1813=-1, -1, VLOOKUP(D1813,$Y$1:$Z$22,2))</f>
        <v>0</v>
      </c>
      <c r="H1813" s="16" t="str">
        <f aca="false">_xlfn.UNICHAR(((F1813*21)+G1813)*28+44032)</f>
        <v>따</v>
      </c>
      <c r="I1813" s="16" t="n">
        <f aca="false">IF(B1813=-1, 1, COUNTIF($A$2:$A$3000, H1813))</f>
        <v>1</v>
      </c>
      <c r="J1813" s="10" t="str">
        <f aca="false">_xlfn.CONCAT(A1813, ",",H1813,",",I1813)</f>
        <v>쭝,따,1</v>
      </c>
      <c r="K1813" s="16" t="n">
        <f aca="false">IF(B1813=-1,-1,VLOOKUP(C1813,$T$1:$V$20,3))</f>
        <v>17</v>
      </c>
      <c r="L1813" s="16" t="n">
        <f aca="false">IF(B1813=-1,-1,VLOOKUP(D1813,$Y$1:$AA$22,3))</f>
        <v>6</v>
      </c>
      <c r="N1813" s="10" t="str">
        <f aca="false">_xlfn.UNICHAR(((C1813*21)+G1813)*28+44032)</f>
        <v>짜</v>
      </c>
      <c r="O1813" s="10" t="str">
        <f aca="false">_xlfn.UNICHAR(((F1813*21)+D1813)*28+44032)</f>
        <v>뚜</v>
      </c>
      <c r="P1813" s="12" t="n">
        <f aca="false">COUNTIF($A$2:$A$3000, N1813) + COUNTIF($A$2:$A$3000, O1813)</f>
        <v>2</v>
      </c>
      <c r="Q1813" s="16" t="str">
        <f aca="false">IF(OR(B1813=-1,I1813=0, P1813&lt;&gt;2), "albhed_dummy", _xlfn.CONCAT("albhed ", RIGHT("  " &amp; K1813,2),", ", RIGHT("  " &amp; L1813,2), ", " ,"""",H1813,""", ", """",N1813,""", ","""",O1813,""""," ; ", A1813))</f>
        <v>albhed 17,  6, "따", "짜", "뚜" ; 쭝</v>
      </c>
    </row>
    <row r="1814" customFormat="false" ht="17.9" hidden="false" customHeight="true" outlineLevel="0" collapsed="false">
      <c r="A1814" s="16" t="s">
        <v>2664</v>
      </c>
      <c r="B1814" s="16" t="n">
        <f aca="false">IF(_xlfn.UNICODE(A1814)&lt;44032,-1,_xlfn.UNICODE(A1814)-44032)</f>
        <v>8036</v>
      </c>
      <c r="C1814" s="16" t="n">
        <f aca="false">IF(B1814=-1,-1,INT((B1814/28)/21))</f>
        <v>13</v>
      </c>
      <c r="D1814" s="16" t="n">
        <f aca="false">IF(B1814=-1, -1, MOD(INT(B1814/28),21))</f>
        <v>14</v>
      </c>
      <c r="E1814" s="16" t="n">
        <f aca="false">IF(B1814=-1, -1, VLOOKUP(MOD(B1814,28), $T$24:$U$52,2))</f>
        <v>0</v>
      </c>
      <c r="F1814" s="16" t="n">
        <f aca="false">IF($B1814=-1, -1, VLOOKUP(C1814,$T$1:$V$20, 2))</f>
        <v>4</v>
      </c>
      <c r="G1814" s="16" t="n">
        <f aca="false">IF($B1814=-1, -1, VLOOKUP(D1814,$Y$1:$Z$22,2))</f>
        <v>20</v>
      </c>
      <c r="H1814" s="16" t="str">
        <f aca="false">_xlfn.UNICHAR(((F1814*21)+G1814)*28+44032)</f>
        <v>띠</v>
      </c>
      <c r="I1814" s="16" t="n">
        <f aca="false">IF(B1814=-1, 1, COUNTIF($A$2:$A$3000, H1814))</f>
        <v>1</v>
      </c>
      <c r="J1814" s="10" t="str">
        <f aca="false">_xlfn.CONCAT(A1814, ",",H1814,",",I1814)</f>
        <v>쭤,띠,1</v>
      </c>
      <c r="K1814" s="16" t="n">
        <f aca="false">IF(B1814=-1,-1,VLOOKUP(C1814,$T$1:$V$20,3))</f>
        <v>17</v>
      </c>
      <c r="L1814" s="16" t="n">
        <f aca="false">IF(B1814=-1,-1,VLOOKUP(D1814,$Y$1:$AA$22,3))</f>
        <v>16</v>
      </c>
      <c r="N1814" s="10" t="str">
        <f aca="false">_xlfn.UNICHAR(((C1814*21)+G1814)*28+44032)</f>
        <v>찌</v>
      </c>
      <c r="O1814" s="10" t="str">
        <f aca="false">_xlfn.UNICHAR(((F1814*21)+D1814)*28+44032)</f>
        <v>뚸</v>
      </c>
      <c r="P1814" s="12" t="n">
        <f aca="false">COUNTIF($A$2:$A$3000, N1814) + COUNTIF($A$2:$A$3000, O1814)</f>
        <v>1</v>
      </c>
      <c r="Q1814" s="16" t="str">
        <f aca="false">IF(OR(B1814=-1,I1814=0, P1814&lt;&gt;2), "albhed_dummy", _xlfn.CONCAT("albhed ", RIGHT("  " &amp; K1814,2),", ", RIGHT("  " &amp; L1814,2), ", " ,"""",H1814,""", ", """",N1814,""", ","""",O1814,""""," ; ", A1814))</f>
        <v>albhed_dummy</v>
      </c>
    </row>
    <row r="1815" customFormat="false" ht="17.9" hidden="false" customHeight="true" outlineLevel="0" collapsed="false">
      <c r="A1815" s="16" t="s">
        <v>2665</v>
      </c>
      <c r="B1815" s="16" t="n">
        <f aca="false">IF(_xlfn.UNICODE(A1815)&lt;44032,-1,_xlfn.UNICODE(A1815)-44032)</f>
        <v>8056</v>
      </c>
      <c r="C1815" s="16" t="n">
        <f aca="false">IF(B1815=-1,-1,INT((B1815/28)/21))</f>
        <v>13</v>
      </c>
      <c r="D1815" s="16" t="n">
        <f aca="false">IF(B1815=-1, -1, MOD(INT(B1815/28),21))</f>
        <v>14</v>
      </c>
      <c r="E1815" s="16" t="n">
        <f aca="false">IF(B1815=-1, -1, VLOOKUP(MOD(B1815,28), $T$24:$U$52,2))</f>
        <v>19</v>
      </c>
      <c r="F1815" s="16" t="n">
        <f aca="false">IF($B1815=-1, -1, VLOOKUP(C1815,$T$1:$V$20, 2))</f>
        <v>4</v>
      </c>
      <c r="G1815" s="16" t="n">
        <f aca="false">IF($B1815=-1, -1, VLOOKUP(D1815,$Y$1:$Z$22,2))</f>
        <v>20</v>
      </c>
      <c r="H1815" s="16" t="str">
        <f aca="false">_xlfn.UNICHAR(((F1815*21)+G1815)*28+44032)</f>
        <v>띠</v>
      </c>
      <c r="I1815" s="16" t="n">
        <f aca="false">IF(B1815=-1, 1, COUNTIF($A$2:$A$3000, H1815))</f>
        <v>1</v>
      </c>
      <c r="J1815" s="10" t="str">
        <f aca="false">_xlfn.CONCAT(A1815, ",",H1815,",",I1815)</f>
        <v>쭸,띠,1</v>
      </c>
      <c r="K1815" s="16" t="n">
        <f aca="false">IF(B1815=-1,-1,VLOOKUP(C1815,$T$1:$V$20,3))</f>
        <v>17</v>
      </c>
      <c r="L1815" s="16" t="n">
        <f aca="false">IF(B1815=-1,-1,VLOOKUP(D1815,$Y$1:$AA$22,3))</f>
        <v>16</v>
      </c>
      <c r="N1815" s="10" t="str">
        <f aca="false">_xlfn.UNICHAR(((C1815*21)+G1815)*28+44032)</f>
        <v>찌</v>
      </c>
      <c r="O1815" s="10" t="str">
        <f aca="false">_xlfn.UNICHAR(((F1815*21)+D1815)*28+44032)</f>
        <v>뚸</v>
      </c>
      <c r="P1815" s="12" t="n">
        <f aca="false">COUNTIF($A$2:$A$3000, N1815) + COUNTIF($A$2:$A$3000, O1815)</f>
        <v>1</v>
      </c>
      <c r="Q1815" s="16" t="str">
        <f aca="false">IF(OR(B1815=-1,I1815=0, P1815&lt;&gt;2), "albhed_dummy", _xlfn.CONCAT("albhed ", RIGHT("  " &amp; K1815,2),", ", RIGHT("  " &amp; L1815,2), ", " ,"""",H1815,""", ", """",N1815,""", ","""",O1815,""""," ; ", A1815))</f>
        <v>albhed_dummy</v>
      </c>
    </row>
    <row r="1816" customFormat="false" ht="17.9" hidden="false" customHeight="true" outlineLevel="0" collapsed="false">
      <c r="A1816" s="16" t="s">
        <v>2666</v>
      </c>
      <c r="B1816" s="16" t="n">
        <f aca="false">IF(_xlfn.UNICODE(A1816)&lt;44032,-1,_xlfn.UNICODE(A1816)-44032)</f>
        <v>8057</v>
      </c>
      <c r="C1816" s="16" t="n">
        <f aca="false">IF(B1816=-1,-1,INT((B1816/28)/21))</f>
        <v>13</v>
      </c>
      <c r="D1816" s="16" t="n">
        <f aca="false">IF(B1816=-1, -1, MOD(INT(B1816/28),21))</f>
        <v>14</v>
      </c>
      <c r="E1816" s="16" t="n">
        <f aca="false">IF(B1816=-1, -1, VLOOKUP(MOD(B1816,28), $T$24:$U$52,2))</f>
        <v>21</v>
      </c>
      <c r="F1816" s="16" t="n">
        <f aca="false">IF($B1816=-1, -1, VLOOKUP(C1816,$T$1:$V$20, 2))</f>
        <v>4</v>
      </c>
      <c r="G1816" s="16" t="n">
        <f aca="false">IF($B1816=-1, -1, VLOOKUP(D1816,$Y$1:$Z$22,2))</f>
        <v>20</v>
      </c>
      <c r="H1816" s="16" t="str">
        <f aca="false">_xlfn.UNICHAR(((F1816*21)+G1816)*28+44032)</f>
        <v>띠</v>
      </c>
      <c r="I1816" s="16" t="n">
        <f aca="false">IF(B1816=-1, 1, COUNTIF($A$2:$A$3000, H1816))</f>
        <v>1</v>
      </c>
      <c r="J1816" s="10" t="str">
        <f aca="false">_xlfn.CONCAT(A1816, ",",H1816,",",I1816)</f>
        <v>쭹,띠,1</v>
      </c>
      <c r="K1816" s="16" t="n">
        <f aca="false">IF(B1816=-1,-1,VLOOKUP(C1816,$T$1:$V$20,3))</f>
        <v>17</v>
      </c>
      <c r="L1816" s="16" t="n">
        <f aca="false">IF(B1816=-1,-1,VLOOKUP(D1816,$Y$1:$AA$22,3))</f>
        <v>16</v>
      </c>
      <c r="N1816" s="10" t="str">
        <f aca="false">_xlfn.UNICHAR(((C1816*21)+G1816)*28+44032)</f>
        <v>찌</v>
      </c>
      <c r="O1816" s="10" t="str">
        <f aca="false">_xlfn.UNICHAR(((F1816*21)+D1816)*28+44032)</f>
        <v>뚸</v>
      </c>
      <c r="P1816" s="12" t="n">
        <f aca="false">COUNTIF($A$2:$A$3000, N1816) + COUNTIF($A$2:$A$3000, O1816)</f>
        <v>1</v>
      </c>
      <c r="Q1816" s="16" t="str">
        <f aca="false">IF(OR(B1816=-1,I1816=0, P1816&lt;&gt;2), "albhed_dummy", _xlfn.CONCAT("albhed ", RIGHT("  " &amp; K1816,2),", ", RIGHT("  " &amp; L1816,2), ", " ,"""",H1816,""", ", """",N1816,""", ","""",O1816,""""," ; ", A1816))</f>
        <v>albhed_dummy</v>
      </c>
    </row>
    <row r="1817" customFormat="false" ht="17.9" hidden="false" customHeight="true" outlineLevel="0" collapsed="false">
      <c r="A1817" s="16" t="s">
        <v>2667</v>
      </c>
      <c r="B1817" s="16" t="n">
        <f aca="false">IF(_xlfn.UNICODE(A1817)&lt;44032,-1,_xlfn.UNICODE(A1817)-44032)</f>
        <v>8092</v>
      </c>
      <c r="C1817" s="16" t="n">
        <f aca="false">IF(B1817=-1,-1,INT((B1817/28)/21))</f>
        <v>13</v>
      </c>
      <c r="D1817" s="16" t="n">
        <f aca="false">IF(B1817=-1, -1, MOD(INT(B1817/28),21))</f>
        <v>16</v>
      </c>
      <c r="E1817" s="16" t="n">
        <f aca="false">IF(B1817=-1, -1, VLOOKUP(MOD(B1817,28), $T$24:$U$52,2))</f>
        <v>0</v>
      </c>
      <c r="F1817" s="16" t="n">
        <f aca="false">IF($B1817=-1, -1, VLOOKUP(C1817,$T$1:$V$20, 2))</f>
        <v>4</v>
      </c>
      <c r="G1817" s="16" t="n">
        <f aca="false">IF($B1817=-1, -1, VLOOKUP(D1817,$Y$1:$Z$22,2))</f>
        <v>20</v>
      </c>
      <c r="H1817" s="16" t="str">
        <f aca="false">_xlfn.UNICHAR(((F1817*21)+G1817)*28+44032)</f>
        <v>띠</v>
      </c>
      <c r="I1817" s="16" t="n">
        <f aca="false">IF(B1817=-1, 1, COUNTIF($A$2:$A$3000, H1817))</f>
        <v>1</v>
      </c>
      <c r="J1817" s="10" t="str">
        <f aca="false">_xlfn.CONCAT(A1817, ",",H1817,",",I1817)</f>
        <v>쮜,띠,1</v>
      </c>
      <c r="K1817" s="16" t="n">
        <f aca="false">IF(B1817=-1,-1,VLOOKUP(C1817,$T$1:$V$20,3))</f>
        <v>17</v>
      </c>
      <c r="L1817" s="16" t="n">
        <f aca="false">IF(B1817=-1,-1,VLOOKUP(D1817,$Y$1:$AA$22,3))</f>
        <v>22</v>
      </c>
      <c r="N1817" s="10" t="str">
        <f aca="false">_xlfn.UNICHAR(((C1817*21)+G1817)*28+44032)</f>
        <v>찌</v>
      </c>
      <c r="O1817" s="10" t="str">
        <f aca="false">_xlfn.UNICHAR(((F1817*21)+D1817)*28+44032)</f>
        <v>뛰</v>
      </c>
      <c r="P1817" s="12" t="n">
        <f aca="false">COUNTIF($A$2:$A$3000, N1817) + COUNTIF($A$2:$A$3000, O1817)</f>
        <v>2</v>
      </c>
      <c r="Q1817" s="16" t="str">
        <f aca="false">IF(OR(B1817=-1,I1817=0, P1817&lt;&gt;2), "albhed_dummy", _xlfn.CONCAT("albhed ", RIGHT("  " &amp; K1817,2),", ", RIGHT("  " &amp; L1817,2), ", " ,"""",H1817,""", ", """",N1817,""", ","""",O1817,""""," ; ", A1817))</f>
        <v>albhed 17, 22, "띠", "찌", "뛰" ; 쮜</v>
      </c>
    </row>
    <row r="1818" customFormat="false" ht="17.9" hidden="false" customHeight="true" outlineLevel="0" collapsed="false">
      <c r="A1818" s="16" t="s">
        <v>2668</v>
      </c>
      <c r="B1818" s="16" t="n">
        <f aca="false">IF(_xlfn.UNICODE(A1818)&lt;44032,-1,_xlfn.UNICODE(A1818)-44032)</f>
        <v>8120</v>
      </c>
      <c r="C1818" s="16" t="n">
        <f aca="false">IF(B1818=-1,-1,INT((B1818/28)/21))</f>
        <v>13</v>
      </c>
      <c r="D1818" s="16" t="n">
        <f aca="false">IF(B1818=-1, -1, MOD(INT(B1818/28),21))</f>
        <v>17</v>
      </c>
      <c r="E1818" s="16" t="n">
        <f aca="false">IF(B1818=-1, -1, VLOOKUP(MOD(B1818,28), $T$24:$U$52,2))</f>
        <v>0</v>
      </c>
      <c r="F1818" s="16" t="n">
        <f aca="false">IF($B1818=-1, -1, VLOOKUP(C1818,$T$1:$V$20, 2))</f>
        <v>4</v>
      </c>
      <c r="G1818" s="16" t="n">
        <f aca="false">IF($B1818=-1, -1, VLOOKUP(D1818,$Y$1:$Z$22,2))</f>
        <v>2</v>
      </c>
      <c r="H1818" s="16" t="str">
        <f aca="false">_xlfn.UNICHAR(((F1818*21)+G1818)*28+44032)</f>
        <v>땨</v>
      </c>
      <c r="I1818" s="16" t="n">
        <f aca="false">IF(B1818=-1, 1, COUNTIF($A$2:$A$3000, H1818))</f>
        <v>0</v>
      </c>
      <c r="J1818" s="10" t="str">
        <f aca="false">_xlfn.CONCAT(A1818, ",",H1818,",",I1818)</f>
        <v>쮸,땨,0</v>
      </c>
      <c r="K1818" s="16" t="n">
        <f aca="false">IF(B1818=-1,-1,VLOOKUP(C1818,$T$1:$V$20,3))</f>
        <v>17</v>
      </c>
      <c r="L1818" s="16" t="n">
        <f aca="false">IF(B1818=-1,-1,VLOOKUP(D1818,$Y$1:$AA$22,3))</f>
        <v>6</v>
      </c>
      <c r="N1818" s="10" t="str">
        <f aca="false">_xlfn.UNICHAR(((C1818*21)+G1818)*28+44032)</f>
        <v>쨔</v>
      </c>
      <c r="O1818" s="10" t="str">
        <f aca="false">_xlfn.UNICHAR(((F1818*21)+D1818)*28+44032)</f>
        <v>뜌</v>
      </c>
      <c r="P1818" s="12" t="n">
        <f aca="false">COUNTIF($A$2:$A$3000, N1818) + COUNTIF($A$2:$A$3000, O1818)</f>
        <v>1</v>
      </c>
      <c r="Q1818" s="16" t="str">
        <f aca="false">IF(OR(B1818=-1,I1818=0, P1818&lt;&gt;2), "albhed_dummy", _xlfn.CONCAT("albhed ", RIGHT("  " &amp; K1818,2),", ", RIGHT("  " &amp; L1818,2), ", " ,"""",H1818,""", ", """",N1818,""", ","""",O1818,""""," ; ", A1818))</f>
        <v>albhed_dummy</v>
      </c>
    </row>
    <row r="1819" customFormat="false" ht="17.9" hidden="false" customHeight="true" outlineLevel="0" collapsed="false">
      <c r="A1819" s="16" t="s">
        <v>2669</v>
      </c>
      <c r="B1819" s="16" t="n">
        <f aca="false">IF(_xlfn.UNICODE(A1819)&lt;44032,-1,_xlfn.UNICODE(A1819)-44032)</f>
        <v>8148</v>
      </c>
      <c r="C1819" s="16" t="n">
        <f aca="false">IF(B1819=-1,-1,INT((B1819/28)/21))</f>
        <v>13</v>
      </c>
      <c r="D1819" s="16" t="n">
        <f aca="false">IF(B1819=-1, -1, MOD(INT(B1819/28),21))</f>
        <v>18</v>
      </c>
      <c r="E1819" s="16" t="n">
        <f aca="false">IF(B1819=-1, -1, VLOOKUP(MOD(B1819,28), $T$24:$U$52,2))</f>
        <v>0</v>
      </c>
      <c r="F1819" s="16" t="n">
        <f aca="false">IF($B1819=-1, -1, VLOOKUP(C1819,$T$1:$V$20, 2))</f>
        <v>4</v>
      </c>
      <c r="G1819" s="16" t="n">
        <f aca="false">IF($B1819=-1, -1, VLOOKUP(D1819,$Y$1:$Z$22,2))</f>
        <v>5</v>
      </c>
      <c r="H1819" s="16" t="str">
        <f aca="false">_xlfn.UNICHAR(((F1819*21)+G1819)*28+44032)</f>
        <v>떼</v>
      </c>
      <c r="I1819" s="16" t="n">
        <f aca="false">IF(B1819=-1, 1, COUNTIF($A$2:$A$3000, H1819))</f>
        <v>1</v>
      </c>
      <c r="J1819" s="10" t="str">
        <f aca="false">_xlfn.CONCAT(A1819, ",",H1819,",",I1819)</f>
        <v>쯔,떼,1</v>
      </c>
      <c r="K1819" s="16" t="n">
        <f aca="false">IF(B1819=-1,-1,VLOOKUP(C1819,$T$1:$V$20,3))</f>
        <v>17</v>
      </c>
      <c r="L1819" s="16" t="n">
        <f aca="false">IF(B1819=-1,-1,VLOOKUP(D1819,$Y$1:$AA$22,3))</f>
        <v>18</v>
      </c>
      <c r="N1819" s="10" t="str">
        <f aca="false">_xlfn.UNICHAR(((C1819*21)+G1819)*28+44032)</f>
        <v>쩨</v>
      </c>
      <c r="O1819" s="10" t="str">
        <f aca="false">_xlfn.UNICHAR(((F1819*21)+D1819)*28+44032)</f>
        <v>뜨</v>
      </c>
      <c r="P1819" s="12" t="n">
        <f aca="false">COUNTIF($A$2:$A$3000, N1819) + COUNTIF($A$2:$A$3000, O1819)</f>
        <v>2</v>
      </c>
      <c r="Q1819" s="16" t="str">
        <f aca="false">IF(OR(B1819=-1,I1819=0, P1819&lt;&gt;2), "albhed_dummy", _xlfn.CONCAT("albhed ", RIGHT("  " &amp; K1819,2),", ", RIGHT("  " &amp; L1819,2), ", " ,"""",H1819,""", ", """",N1819,""", ","""",O1819,""""," ; ", A1819))</f>
        <v>albhed 17, 18, "떼", "쩨", "뜨" ; 쯔</v>
      </c>
    </row>
    <row r="1820" customFormat="false" ht="17.9" hidden="false" customHeight="true" outlineLevel="0" collapsed="false">
      <c r="A1820" s="16" t="s">
        <v>2670</v>
      </c>
      <c r="B1820" s="16" t="n">
        <f aca="false">IF(_xlfn.UNICODE(A1820)&lt;44032,-1,_xlfn.UNICODE(A1820)-44032)</f>
        <v>8164</v>
      </c>
      <c r="C1820" s="16" t="n">
        <f aca="false">IF(B1820=-1,-1,INT((B1820/28)/21))</f>
        <v>13</v>
      </c>
      <c r="D1820" s="16" t="n">
        <f aca="false">IF(B1820=-1, -1, MOD(INT(B1820/28),21))</f>
        <v>18</v>
      </c>
      <c r="E1820" s="16" t="n">
        <f aca="false">IF(B1820=-1, -1, VLOOKUP(MOD(B1820,28), $T$24:$U$52,2))</f>
        <v>16</v>
      </c>
      <c r="F1820" s="16" t="n">
        <f aca="false">IF($B1820=-1, -1, VLOOKUP(C1820,$T$1:$V$20, 2))</f>
        <v>4</v>
      </c>
      <c r="G1820" s="16" t="n">
        <f aca="false">IF($B1820=-1, -1, VLOOKUP(D1820,$Y$1:$Z$22,2))</f>
        <v>5</v>
      </c>
      <c r="H1820" s="16" t="str">
        <f aca="false">_xlfn.UNICHAR(((F1820*21)+G1820)*28+44032)</f>
        <v>떼</v>
      </c>
      <c r="I1820" s="16" t="n">
        <f aca="false">IF(B1820=-1, 1, COUNTIF($A$2:$A$3000, H1820))</f>
        <v>1</v>
      </c>
      <c r="J1820" s="10" t="str">
        <f aca="false">_xlfn.CONCAT(A1820, ",",H1820,",",I1820)</f>
        <v>쯤,떼,1</v>
      </c>
      <c r="K1820" s="16" t="n">
        <f aca="false">IF(B1820=-1,-1,VLOOKUP(C1820,$T$1:$V$20,3))</f>
        <v>17</v>
      </c>
      <c r="L1820" s="16" t="n">
        <f aca="false">IF(B1820=-1,-1,VLOOKUP(D1820,$Y$1:$AA$22,3))</f>
        <v>18</v>
      </c>
      <c r="N1820" s="10" t="str">
        <f aca="false">_xlfn.UNICHAR(((C1820*21)+G1820)*28+44032)</f>
        <v>쩨</v>
      </c>
      <c r="O1820" s="10" t="str">
        <f aca="false">_xlfn.UNICHAR(((F1820*21)+D1820)*28+44032)</f>
        <v>뜨</v>
      </c>
      <c r="P1820" s="12" t="n">
        <f aca="false">COUNTIF($A$2:$A$3000, N1820) + COUNTIF($A$2:$A$3000, O1820)</f>
        <v>2</v>
      </c>
      <c r="Q1820" s="16" t="str">
        <f aca="false">IF(OR(B1820=-1,I1820=0, P1820&lt;&gt;2), "albhed_dummy", _xlfn.CONCAT("albhed ", RIGHT("  " &amp; K1820,2),", ", RIGHT("  " &amp; L1820,2), ", " ,"""",H1820,""", ", """",N1820,""", ","""",O1820,""""," ; ", A1820))</f>
        <v>albhed 17, 18, "떼", "쩨", "뜨" ; 쯤</v>
      </c>
    </row>
    <row r="1821" customFormat="false" ht="17.9" hidden="false" customHeight="true" outlineLevel="0" collapsed="false">
      <c r="A1821" s="16" t="s">
        <v>2671</v>
      </c>
      <c r="B1821" s="16" t="n">
        <f aca="false">IF(_xlfn.UNICODE(A1821)&lt;44032,-1,_xlfn.UNICODE(A1821)-44032)</f>
        <v>8167</v>
      </c>
      <c r="C1821" s="16" t="n">
        <f aca="false">IF(B1821=-1,-1,INT((B1821/28)/21))</f>
        <v>13</v>
      </c>
      <c r="D1821" s="16" t="n">
        <f aca="false">IF(B1821=-1, -1, MOD(INT(B1821/28),21))</f>
        <v>18</v>
      </c>
      <c r="E1821" s="16" t="n">
        <f aca="false">IF(B1821=-1, -1, VLOOKUP(MOD(B1821,28), $T$24:$U$52,2))</f>
        <v>19</v>
      </c>
      <c r="F1821" s="16" t="n">
        <f aca="false">IF($B1821=-1, -1, VLOOKUP(C1821,$T$1:$V$20, 2))</f>
        <v>4</v>
      </c>
      <c r="G1821" s="16" t="n">
        <f aca="false">IF($B1821=-1, -1, VLOOKUP(D1821,$Y$1:$Z$22,2))</f>
        <v>5</v>
      </c>
      <c r="H1821" s="16" t="str">
        <f aca="false">_xlfn.UNICHAR(((F1821*21)+G1821)*28+44032)</f>
        <v>떼</v>
      </c>
      <c r="I1821" s="16" t="n">
        <f aca="false">IF(B1821=-1, 1, COUNTIF($A$2:$A$3000, H1821))</f>
        <v>1</v>
      </c>
      <c r="J1821" s="10" t="str">
        <f aca="false">_xlfn.CONCAT(A1821, ",",H1821,",",I1821)</f>
        <v>쯧,떼,1</v>
      </c>
      <c r="K1821" s="16" t="n">
        <f aca="false">IF(B1821=-1,-1,VLOOKUP(C1821,$T$1:$V$20,3))</f>
        <v>17</v>
      </c>
      <c r="L1821" s="16" t="n">
        <f aca="false">IF(B1821=-1,-1,VLOOKUP(D1821,$Y$1:$AA$22,3))</f>
        <v>18</v>
      </c>
      <c r="N1821" s="10" t="str">
        <f aca="false">_xlfn.UNICHAR(((C1821*21)+G1821)*28+44032)</f>
        <v>쩨</v>
      </c>
      <c r="O1821" s="10" t="str">
        <f aca="false">_xlfn.UNICHAR(((F1821*21)+D1821)*28+44032)</f>
        <v>뜨</v>
      </c>
      <c r="P1821" s="12" t="n">
        <f aca="false">COUNTIF($A$2:$A$3000, N1821) + COUNTIF($A$2:$A$3000, O1821)</f>
        <v>2</v>
      </c>
      <c r="Q1821" s="16" t="str">
        <f aca="false">IF(OR(B1821=-1,I1821=0, P1821&lt;&gt;2), "albhed_dummy", _xlfn.CONCAT("albhed ", RIGHT("  " &amp; K1821,2),", ", RIGHT("  " &amp; L1821,2), ", " ,"""",H1821,""", ", """",N1821,""", ","""",O1821,""""," ; ", A1821))</f>
        <v>albhed 17, 18, "떼", "쩨", "뜨" ; 쯧</v>
      </c>
    </row>
    <row r="1822" customFormat="false" ht="17.9" hidden="false" customHeight="true" outlineLevel="0" collapsed="false">
      <c r="A1822" s="16" t="s">
        <v>2672</v>
      </c>
      <c r="B1822" s="16" t="n">
        <f aca="false">IF(_xlfn.UNICODE(A1822)&lt;44032,-1,_xlfn.UNICODE(A1822)-44032)</f>
        <v>8169</v>
      </c>
      <c r="C1822" s="16" t="n">
        <f aca="false">IF(B1822=-1,-1,INT((B1822/28)/21))</f>
        <v>13</v>
      </c>
      <c r="D1822" s="16" t="n">
        <f aca="false">IF(B1822=-1, -1, MOD(INT(B1822/28),21))</f>
        <v>18</v>
      </c>
      <c r="E1822" s="16" t="n">
        <f aca="false">IF(B1822=-1, -1, VLOOKUP(MOD(B1822,28), $T$24:$U$52,2))</f>
        <v>21</v>
      </c>
      <c r="F1822" s="16" t="n">
        <f aca="false">IF($B1822=-1, -1, VLOOKUP(C1822,$T$1:$V$20, 2))</f>
        <v>4</v>
      </c>
      <c r="G1822" s="16" t="n">
        <f aca="false">IF($B1822=-1, -1, VLOOKUP(D1822,$Y$1:$Z$22,2))</f>
        <v>5</v>
      </c>
      <c r="H1822" s="16" t="str">
        <f aca="false">_xlfn.UNICHAR(((F1822*21)+G1822)*28+44032)</f>
        <v>떼</v>
      </c>
      <c r="I1822" s="16" t="n">
        <f aca="false">IF(B1822=-1, 1, COUNTIF($A$2:$A$3000, H1822))</f>
        <v>1</v>
      </c>
      <c r="J1822" s="10" t="str">
        <f aca="false">_xlfn.CONCAT(A1822, ",",H1822,",",I1822)</f>
        <v>쯩,떼,1</v>
      </c>
      <c r="K1822" s="16" t="n">
        <f aca="false">IF(B1822=-1,-1,VLOOKUP(C1822,$T$1:$V$20,3))</f>
        <v>17</v>
      </c>
      <c r="L1822" s="16" t="n">
        <f aca="false">IF(B1822=-1,-1,VLOOKUP(D1822,$Y$1:$AA$22,3))</f>
        <v>18</v>
      </c>
      <c r="N1822" s="10" t="str">
        <f aca="false">_xlfn.UNICHAR(((C1822*21)+G1822)*28+44032)</f>
        <v>쩨</v>
      </c>
      <c r="O1822" s="10" t="str">
        <f aca="false">_xlfn.UNICHAR(((F1822*21)+D1822)*28+44032)</f>
        <v>뜨</v>
      </c>
      <c r="P1822" s="12" t="n">
        <f aca="false">COUNTIF($A$2:$A$3000, N1822) + COUNTIF($A$2:$A$3000, O1822)</f>
        <v>2</v>
      </c>
      <c r="Q1822" s="16" t="str">
        <f aca="false">IF(OR(B1822=-1,I1822=0, P1822&lt;&gt;2), "albhed_dummy", _xlfn.CONCAT("albhed ", RIGHT("  " &amp; K1822,2),", ", RIGHT("  " &amp; L1822,2), ", " ,"""",H1822,""", ", """",N1822,""", ","""",O1822,""""," ; ", A1822))</f>
        <v>albhed 17, 18, "떼", "쩨", "뜨" ; 쯩</v>
      </c>
    </row>
    <row r="1823" customFormat="false" ht="17.9" hidden="false" customHeight="true" outlineLevel="0" collapsed="false">
      <c r="A1823" s="16" t="s">
        <v>2673</v>
      </c>
      <c r="B1823" s="16" t="n">
        <f aca="false">IF(_xlfn.UNICODE(A1823)&lt;44032,-1,_xlfn.UNICODE(A1823)-44032)</f>
        <v>8204</v>
      </c>
      <c r="C1823" s="16" t="n">
        <f aca="false">IF(B1823=-1,-1,INT((B1823/28)/21))</f>
        <v>13</v>
      </c>
      <c r="D1823" s="16" t="n">
        <f aca="false">IF(B1823=-1, -1, MOD(INT(B1823/28),21))</f>
        <v>20</v>
      </c>
      <c r="E1823" s="16" t="n">
        <f aca="false">IF(B1823=-1, -1, VLOOKUP(MOD(B1823,28), $T$24:$U$52,2))</f>
        <v>0</v>
      </c>
      <c r="F1823" s="16" t="n">
        <f aca="false">IF($B1823=-1, -1, VLOOKUP(C1823,$T$1:$V$20, 2))</f>
        <v>4</v>
      </c>
      <c r="G1823" s="16" t="n">
        <f aca="false">IF($B1823=-1, -1, VLOOKUP(D1823,$Y$1:$Z$22,2))</f>
        <v>5</v>
      </c>
      <c r="H1823" s="16" t="str">
        <f aca="false">_xlfn.UNICHAR(((F1823*21)+G1823)*28+44032)</f>
        <v>떼</v>
      </c>
      <c r="I1823" s="16" t="n">
        <f aca="false">IF(B1823=-1, 1, COUNTIF($A$2:$A$3000, H1823))</f>
        <v>1</v>
      </c>
      <c r="J1823" s="10" t="str">
        <f aca="false">_xlfn.CONCAT(A1823, ",",H1823,",",I1823)</f>
        <v>찌,떼,1</v>
      </c>
      <c r="K1823" s="16" t="n">
        <f aca="false">IF(B1823=-1,-1,VLOOKUP(C1823,$T$1:$V$20,3))</f>
        <v>17</v>
      </c>
      <c r="L1823" s="16" t="n">
        <f aca="false">IF(B1823=-1,-1,VLOOKUP(D1823,$Y$1:$AA$22,3))</f>
        <v>20</v>
      </c>
      <c r="N1823" s="10" t="str">
        <f aca="false">_xlfn.UNICHAR(((C1823*21)+G1823)*28+44032)</f>
        <v>쩨</v>
      </c>
      <c r="O1823" s="10" t="str">
        <f aca="false">_xlfn.UNICHAR(((F1823*21)+D1823)*28+44032)</f>
        <v>띠</v>
      </c>
      <c r="P1823" s="12" t="n">
        <f aca="false">COUNTIF($A$2:$A$3000, N1823) + COUNTIF($A$2:$A$3000, O1823)</f>
        <v>2</v>
      </c>
      <c r="Q1823" s="16" t="str">
        <f aca="false">IF(OR(B1823=-1,I1823=0, P1823&lt;&gt;2), "albhed_dummy", _xlfn.CONCAT("albhed ", RIGHT("  " &amp; K1823,2),", ", RIGHT("  " &amp; L1823,2), ", " ,"""",H1823,""", ", """",N1823,""", ","""",O1823,""""," ; ", A1823))</f>
        <v>albhed 17, 20, "떼", "쩨", "띠" ; 찌</v>
      </c>
    </row>
    <row r="1824" customFormat="false" ht="17.9" hidden="false" customHeight="true" outlineLevel="0" collapsed="false">
      <c r="A1824" s="16" t="s">
        <v>2674</v>
      </c>
      <c r="B1824" s="16" t="n">
        <f aca="false">IF(_xlfn.UNICODE(A1824)&lt;44032,-1,_xlfn.UNICODE(A1824)-44032)</f>
        <v>8205</v>
      </c>
      <c r="C1824" s="16" t="n">
        <f aca="false">IF(B1824=-1,-1,INT((B1824/28)/21))</f>
        <v>13</v>
      </c>
      <c r="D1824" s="16" t="n">
        <f aca="false">IF(B1824=-1, -1, MOD(INT(B1824/28),21))</f>
        <v>20</v>
      </c>
      <c r="E1824" s="16" t="n">
        <f aca="false">IF(B1824=-1, -1, VLOOKUP(MOD(B1824,28), $T$24:$U$52,2))</f>
        <v>1</v>
      </c>
      <c r="F1824" s="16" t="n">
        <f aca="false">IF($B1824=-1, -1, VLOOKUP(C1824,$T$1:$V$20, 2))</f>
        <v>4</v>
      </c>
      <c r="G1824" s="16" t="n">
        <f aca="false">IF($B1824=-1, -1, VLOOKUP(D1824,$Y$1:$Z$22,2))</f>
        <v>5</v>
      </c>
      <c r="H1824" s="16" t="str">
        <f aca="false">_xlfn.UNICHAR(((F1824*21)+G1824)*28+44032)</f>
        <v>떼</v>
      </c>
      <c r="I1824" s="16" t="n">
        <f aca="false">IF(B1824=-1, 1, COUNTIF($A$2:$A$3000, H1824))</f>
        <v>1</v>
      </c>
      <c r="J1824" s="10" t="str">
        <f aca="false">_xlfn.CONCAT(A1824, ",",H1824,",",I1824)</f>
        <v>찍,떼,1</v>
      </c>
      <c r="K1824" s="16" t="n">
        <f aca="false">IF(B1824=-1,-1,VLOOKUP(C1824,$T$1:$V$20,3))</f>
        <v>17</v>
      </c>
      <c r="L1824" s="16" t="n">
        <f aca="false">IF(B1824=-1,-1,VLOOKUP(D1824,$Y$1:$AA$22,3))</f>
        <v>20</v>
      </c>
      <c r="N1824" s="10" t="str">
        <f aca="false">_xlfn.UNICHAR(((C1824*21)+G1824)*28+44032)</f>
        <v>쩨</v>
      </c>
      <c r="O1824" s="10" t="str">
        <f aca="false">_xlfn.UNICHAR(((F1824*21)+D1824)*28+44032)</f>
        <v>띠</v>
      </c>
      <c r="P1824" s="12" t="n">
        <f aca="false">COUNTIF($A$2:$A$3000, N1824) + COUNTIF($A$2:$A$3000, O1824)</f>
        <v>2</v>
      </c>
      <c r="Q1824" s="16" t="str">
        <f aca="false">IF(OR(B1824=-1,I1824=0, P1824&lt;&gt;2), "albhed_dummy", _xlfn.CONCAT("albhed ", RIGHT("  " &amp; K1824,2),", ", RIGHT("  " &amp; L1824,2), ", " ,"""",H1824,""", ", """",N1824,""", ","""",O1824,""""," ; ", A1824))</f>
        <v>albhed 17, 20, "떼", "쩨", "띠" ; 찍</v>
      </c>
    </row>
    <row r="1825" customFormat="false" ht="17.9" hidden="false" customHeight="true" outlineLevel="0" collapsed="false">
      <c r="A1825" s="16" t="s">
        <v>2675</v>
      </c>
      <c r="B1825" s="16" t="n">
        <f aca="false">IF(_xlfn.UNICODE(A1825)&lt;44032,-1,_xlfn.UNICODE(A1825)-44032)</f>
        <v>8208</v>
      </c>
      <c r="C1825" s="16" t="n">
        <f aca="false">IF(B1825=-1,-1,INT((B1825/28)/21))</f>
        <v>13</v>
      </c>
      <c r="D1825" s="16" t="n">
        <f aca="false">IF(B1825=-1, -1, MOD(INT(B1825/28),21))</f>
        <v>20</v>
      </c>
      <c r="E1825" s="16" t="n">
        <f aca="false">IF(B1825=-1, -1, VLOOKUP(MOD(B1825,28), $T$24:$U$52,2))</f>
        <v>4</v>
      </c>
      <c r="F1825" s="16" t="n">
        <f aca="false">IF($B1825=-1, -1, VLOOKUP(C1825,$T$1:$V$20, 2))</f>
        <v>4</v>
      </c>
      <c r="G1825" s="16" t="n">
        <f aca="false">IF($B1825=-1, -1, VLOOKUP(D1825,$Y$1:$Z$22,2))</f>
        <v>5</v>
      </c>
      <c r="H1825" s="16" t="str">
        <f aca="false">_xlfn.UNICHAR(((F1825*21)+G1825)*28+44032)</f>
        <v>떼</v>
      </c>
      <c r="I1825" s="16" t="n">
        <f aca="false">IF(B1825=-1, 1, COUNTIF($A$2:$A$3000, H1825))</f>
        <v>1</v>
      </c>
      <c r="J1825" s="10" t="str">
        <f aca="false">_xlfn.CONCAT(A1825, ",",H1825,",",I1825)</f>
        <v>찐,떼,1</v>
      </c>
      <c r="K1825" s="16" t="n">
        <f aca="false">IF(B1825=-1,-1,VLOOKUP(C1825,$T$1:$V$20,3))</f>
        <v>17</v>
      </c>
      <c r="L1825" s="16" t="n">
        <f aca="false">IF(B1825=-1,-1,VLOOKUP(D1825,$Y$1:$AA$22,3))</f>
        <v>20</v>
      </c>
      <c r="N1825" s="10" t="str">
        <f aca="false">_xlfn.UNICHAR(((C1825*21)+G1825)*28+44032)</f>
        <v>쩨</v>
      </c>
      <c r="O1825" s="10" t="str">
        <f aca="false">_xlfn.UNICHAR(((F1825*21)+D1825)*28+44032)</f>
        <v>띠</v>
      </c>
      <c r="P1825" s="12" t="n">
        <f aca="false">COUNTIF($A$2:$A$3000, N1825) + COUNTIF($A$2:$A$3000, O1825)</f>
        <v>2</v>
      </c>
      <c r="Q1825" s="16" t="str">
        <f aca="false">IF(OR(B1825=-1,I1825=0, P1825&lt;&gt;2), "albhed_dummy", _xlfn.CONCAT("albhed ", RIGHT("  " &amp; K1825,2),", ", RIGHT("  " &amp; L1825,2), ", " ,"""",H1825,""", ", """",N1825,""", ","""",O1825,""""," ; ", A1825))</f>
        <v>albhed 17, 20, "떼", "쩨", "띠" ; 찐</v>
      </c>
    </row>
    <row r="1826" customFormat="false" ht="17.9" hidden="false" customHeight="true" outlineLevel="0" collapsed="false">
      <c r="A1826" s="16" t="s">
        <v>2676</v>
      </c>
      <c r="B1826" s="16" t="n">
        <f aca="false">IF(_xlfn.UNICODE(A1826)&lt;44032,-1,_xlfn.UNICODE(A1826)-44032)</f>
        <v>8212</v>
      </c>
      <c r="C1826" s="16" t="n">
        <f aca="false">IF(B1826=-1,-1,INT((B1826/28)/21))</f>
        <v>13</v>
      </c>
      <c r="D1826" s="16" t="n">
        <f aca="false">IF(B1826=-1, -1, MOD(INT(B1826/28),21))</f>
        <v>20</v>
      </c>
      <c r="E1826" s="16" t="n">
        <f aca="false">IF(B1826=-1, -1, VLOOKUP(MOD(B1826,28), $T$24:$U$52,2))</f>
        <v>8</v>
      </c>
      <c r="F1826" s="16" t="n">
        <f aca="false">IF($B1826=-1, -1, VLOOKUP(C1826,$T$1:$V$20, 2))</f>
        <v>4</v>
      </c>
      <c r="G1826" s="16" t="n">
        <f aca="false">IF($B1826=-1, -1, VLOOKUP(D1826,$Y$1:$Z$22,2))</f>
        <v>5</v>
      </c>
      <c r="H1826" s="16" t="str">
        <f aca="false">_xlfn.UNICHAR(((F1826*21)+G1826)*28+44032)</f>
        <v>떼</v>
      </c>
      <c r="I1826" s="16" t="n">
        <f aca="false">IF(B1826=-1, 1, COUNTIF($A$2:$A$3000, H1826))</f>
        <v>1</v>
      </c>
      <c r="J1826" s="10" t="str">
        <f aca="false">_xlfn.CONCAT(A1826, ",",H1826,",",I1826)</f>
        <v>찔,떼,1</v>
      </c>
      <c r="K1826" s="16" t="n">
        <f aca="false">IF(B1826=-1,-1,VLOOKUP(C1826,$T$1:$V$20,3))</f>
        <v>17</v>
      </c>
      <c r="L1826" s="16" t="n">
        <f aca="false">IF(B1826=-1,-1,VLOOKUP(D1826,$Y$1:$AA$22,3))</f>
        <v>20</v>
      </c>
      <c r="N1826" s="10" t="str">
        <f aca="false">_xlfn.UNICHAR(((C1826*21)+G1826)*28+44032)</f>
        <v>쩨</v>
      </c>
      <c r="O1826" s="10" t="str">
        <f aca="false">_xlfn.UNICHAR(((F1826*21)+D1826)*28+44032)</f>
        <v>띠</v>
      </c>
      <c r="P1826" s="12" t="n">
        <f aca="false">COUNTIF($A$2:$A$3000, N1826) + COUNTIF($A$2:$A$3000, O1826)</f>
        <v>2</v>
      </c>
      <c r="Q1826" s="16" t="str">
        <f aca="false">IF(OR(B1826=-1,I1826=0, P1826&lt;&gt;2), "albhed_dummy", _xlfn.CONCAT("albhed ", RIGHT("  " &amp; K1826,2),", ", RIGHT("  " &amp; L1826,2), ", " ,"""",H1826,""", ", """",N1826,""", ","""",O1826,""""," ; ", A1826))</f>
        <v>albhed 17, 20, "떼", "쩨", "띠" ; 찔</v>
      </c>
    </row>
    <row r="1827" customFormat="false" ht="17.9" hidden="false" customHeight="true" outlineLevel="0" collapsed="false">
      <c r="A1827" s="16" t="s">
        <v>2677</v>
      </c>
      <c r="B1827" s="16" t="n">
        <f aca="false">IF(_xlfn.UNICODE(A1827)&lt;44032,-1,_xlfn.UNICODE(A1827)-44032)</f>
        <v>8220</v>
      </c>
      <c r="C1827" s="16" t="n">
        <f aca="false">IF(B1827=-1,-1,INT((B1827/28)/21))</f>
        <v>13</v>
      </c>
      <c r="D1827" s="16" t="n">
        <f aca="false">IF(B1827=-1, -1, MOD(INT(B1827/28),21))</f>
        <v>20</v>
      </c>
      <c r="E1827" s="16" t="n">
        <f aca="false">IF(B1827=-1, -1, VLOOKUP(MOD(B1827,28), $T$24:$U$52,2))</f>
        <v>16</v>
      </c>
      <c r="F1827" s="16" t="n">
        <f aca="false">IF($B1827=-1, -1, VLOOKUP(C1827,$T$1:$V$20, 2))</f>
        <v>4</v>
      </c>
      <c r="G1827" s="16" t="n">
        <f aca="false">IF($B1827=-1, -1, VLOOKUP(D1827,$Y$1:$Z$22,2))</f>
        <v>5</v>
      </c>
      <c r="H1827" s="16" t="str">
        <f aca="false">_xlfn.UNICHAR(((F1827*21)+G1827)*28+44032)</f>
        <v>떼</v>
      </c>
      <c r="I1827" s="16" t="n">
        <f aca="false">IF(B1827=-1, 1, COUNTIF($A$2:$A$3000, H1827))</f>
        <v>1</v>
      </c>
      <c r="J1827" s="10" t="str">
        <f aca="false">_xlfn.CONCAT(A1827, ",",H1827,",",I1827)</f>
        <v>찜,떼,1</v>
      </c>
      <c r="K1827" s="16" t="n">
        <f aca="false">IF(B1827=-1,-1,VLOOKUP(C1827,$T$1:$V$20,3))</f>
        <v>17</v>
      </c>
      <c r="L1827" s="16" t="n">
        <f aca="false">IF(B1827=-1,-1,VLOOKUP(D1827,$Y$1:$AA$22,3))</f>
        <v>20</v>
      </c>
      <c r="N1827" s="10" t="str">
        <f aca="false">_xlfn.UNICHAR(((C1827*21)+G1827)*28+44032)</f>
        <v>쩨</v>
      </c>
      <c r="O1827" s="10" t="str">
        <f aca="false">_xlfn.UNICHAR(((F1827*21)+D1827)*28+44032)</f>
        <v>띠</v>
      </c>
      <c r="P1827" s="12" t="n">
        <f aca="false">COUNTIF($A$2:$A$3000, N1827) + COUNTIF($A$2:$A$3000, O1827)</f>
        <v>2</v>
      </c>
      <c r="Q1827" s="16" t="str">
        <f aca="false">IF(OR(B1827=-1,I1827=0, P1827&lt;&gt;2), "albhed_dummy", _xlfn.CONCAT("albhed ", RIGHT("  " &amp; K1827,2),", ", RIGHT("  " &amp; L1827,2), ", " ,"""",H1827,""", ", """",N1827,""", ","""",O1827,""""," ; ", A1827))</f>
        <v>albhed 17, 20, "떼", "쩨", "띠" ; 찜</v>
      </c>
    </row>
    <row r="1828" customFormat="false" ht="17.9" hidden="false" customHeight="true" outlineLevel="0" collapsed="false">
      <c r="A1828" s="16" t="s">
        <v>2678</v>
      </c>
      <c r="B1828" s="16" t="n">
        <f aca="false">IF(_xlfn.UNICODE(A1828)&lt;44032,-1,_xlfn.UNICODE(A1828)-44032)</f>
        <v>8221</v>
      </c>
      <c r="C1828" s="16" t="n">
        <f aca="false">IF(B1828=-1,-1,INT((B1828/28)/21))</f>
        <v>13</v>
      </c>
      <c r="D1828" s="16" t="n">
        <f aca="false">IF(B1828=-1, -1, MOD(INT(B1828/28),21))</f>
        <v>20</v>
      </c>
      <c r="E1828" s="16" t="n">
        <f aca="false">IF(B1828=-1, -1, VLOOKUP(MOD(B1828,28), $T$24:$U$52,2))</f>
        <v>17</v>
      </c>
      <c r="F1828" s="16" t="n">
        <f aca="false">IF($B1828=-1, -1, VLOOKUP(C1828,$T$1:$V$20, 2))</f>
        <v>4</v>
      </c>
      <c r="G1828" s="16" t="n">
        <f aca="false">IF($B1828=-1, -1, VLOOKUP(D1828,$Y$1:$Z$22,2))</f>
        <v>5</v>
      </c>
      <c r="H1828" s="16" t="str">
        <f aca="false">_xlfn.UNICHAR(((F1828*21)+G1828)*28+44032)</f>
        <v>떼</v>
      </c>
      <c r="I1828" s="16" t="n">
        <f aca="false">IF(B1828=-1, 1, COUNTIF($A$2:$A$3000, H1828))</f>
        <v>1</v>
      </c>
      <c r="J1828" s="10" t="str">
        <f aca="false">_xlfn.CONCAT(A1828, ",",H1828,",",I1828)</f>
        <v>찝,떼,1</v>
      </c>
      <c r="K1828" s="16" t="n">
        <f aca="false">IF(B1828=-1,-1,VLOOKUP(C1828,$T$1:$V$20,3))</f>
        <v>17</v>
      </c>
      <c r="L1828" s="16" t="n">
        <f aca="false">IF(B1828=-1,-1,VLOOKUP(D1828,$Y$1:$AA$22,3))</f>
        <v>20</v>
      </c>
      <c r="N1828" s="10" t="str">
        <f aca="false">_xlfn.UNICHAR(((C1828*21)+G1828)*28+44032)</f>
        <v>쩨</v>
      </c>
      <c r="O1828" s="10" t="str">
        <f aca="false">_xlfn.UNICHAR(((F1828*21)+D1828)*28+44032)</f>
        <v>띠</v>
      </c>
      <c r="P1828" s="12" t="n">
        <f aca="false">COUNTIF($A$2:$A$3000, N1828) + COUNTIF($A$2:$A$3000, O1828)</f>
        <v>2</v>
      </c>
      <c r="Q1828" s="16" t="str">
        <f aca="false">IF(OR(B1828=-1,I1828=0, P1828&lt;&gt;2), "albhed_dummy", _xlfn.CONCAT("albhed ", RIGHT("  " &amp; K1828,2),", ", RIGHT("  " &amp; L1828,2), ", " ,"""",H1828,""", ", """",N1828,""", ","""",O1828,""""," ; ", A1828))</f>
        <v>albhed 17, 20, "떼", "쩨", "띠" ; 찝</v>
      </c>
    </row>
    <row r="1829" customFormat="false" ht="17.9" hidden="false" customHeight="true" outlineLevel="0" collapsed="false">
      <c r="A1829" s="16" t="s">
        <v>2679</v>
      </c>
      <c r="B1829" s="16" t="n">
        <f aca="false">IF(_xlfn.UNICODE(A1829)&lt;44032,-1,_xlfn.UNICODE(A1829)-44032)</f>
        <v>8225</v>
      </c>
      <c r="C1829" s="16" t="n">
        <f aca="false">IF(B1829=-1,-1,INT((B1829/28)/21))</f>
        <v>13</v>
      </c>
      <c r="D1829" s="16" t="n">
        <f aca="false">IF(B1829=-1, -1, MOD(INT(B1829/28),21))</f>
        <v>20</v>
      </c>
      <c r="E1829" s="16" t="n">
        <f aca="false">IF(B1829=-1, -1, VLOOKUP(MOD(B1829,28), $T$24:$U$52,2))</f>
        <v>21</v>
      </c>
      <c r="F1829" s="16" t="n">
        <f aca="false">IF($B1829=-1, -1, VLOOKUP(C1829,$T$1:$V$20, 2))</f>
        <v>4</v>
      </c>
      <c r="G1829" s="16" t="n">
        <f aca="false">IF($B1829=-1, -1, VLOOKUP(D1829,$Y$1:$Z$22,2))</f>
        <v>5</v>
      </c>
      <c r="H1829" s="16" t="str">
        <f aca="false">_xlfn.UNICHAR(((F1829*21)+G1829)*28+44032)</f>
        <v>떼</v>
      </c>
      <c r="I1829" s="16" t="n">
        <f aca="false">IF(B1829=-1, 1, COUNTIF($A$2:$A$3000, H1829))</f>
        <v>1</v>
      </c>
      <c r="J1829" s="10" t="str">
        <f aca="false">_xlfn.CONCAT(A1829, ",",H1829,",",I1829)</f>
        <v>찡,떼,1</v>
      </c>
      <c r="K1829" s="16" t="n">
        <f aca="false">IF(B1829=-1,-1,VLOOKUP(C1829,$T$1:$V$20,3))</f>
        <v>17</v>
      </c>
      <c r="L1829" s="16" t="n">
        <f aca="false">IF(B1829=-1,-1,VLOOKUP(D1829,$Y$1:$AA$22,3))</f>
        <v>20</v>
      </c>
      <c r="N1829" s="10" t="str">
        <f aca="false">_xlfn.UNICHAR(((C1829*21)+G1829)*28+44032)</f>
        <v>쩨</v>
      </c>
      <c r="O1829" s="10" t="str">
        <f aca="false">_xlfn.UNICHAR(((F1829*21)+D1829)*28+44032)</f>
        <v>띠</v>
      </c>
      <c r="P1829" s="12" t="n">
        <f aca="false">COUNTIF($A$2:$A$3000, N1829) + COUNTIF($A$2:$A$3000, O1829)</f>
        <v>2</v>
      </c>
      <c r="Q1829" s="16" t="str">
        <f aca="false">IF(OR(B1829=-1,I1829=0, P1829&lt;&gt;2), "albhed_dummy", _xlfn.CONCAT("albhed ", RIGHT("  " &amp; K1829,2),", ", RIGHT("  " &amp; L1829,2), ", " ,"""",H1829,""", ", """",N1829,""", ","""",O1829,""""," ; ", A1829))</f>
        <v>albhed 17, 20, "떼", "쩨", "띠" ; 찡</v>
      </c>
    </row>
    <row r="1830" customFormat="false" ht="17.9" hidden="false" customHeight="true" outlineLevel="0" collapsed="false">
      <c r="A1830" s="16" t="s">
        <v>2680</v>
      </c>
      <c r="B1830" s="16" t="n">
        <f aca="false">IF(_xlfn.UNICODE(A1830)&lt;44032,-1,_xlfn.UNICODE(A1830)-44032)</f>
        <v>8226</v>
      </c>
      <c r="C1830" s="16" t="n">
        <f aca="false">IF(B1830=-1,-1,INT((B1830/28)/21))</f>
        <v>13</v>
      </c>
      <c r="D1830" s="16" t="n">
        <f aca="false">IF(B1830=-1, -1, MOD(INT(B1830/28),21))</f>
        <v>20</v>
      </c>
      <c r="E1830" s="16" t="n">
        <f aca="false">IF(B1830=-1, -1, VLOOKUP(MOD(B1830,28), $T$24:$U$52,2))</f>
        <v>19</v>
      </c>
      <c r="F1830" s="16" t="n">
        <f aca="false">IF($B1830=-1, -1, VLOOKUP(C1830,$T$1:$V$20, 2))</f>
        <v>4</v>
      </c>
      <c r="G1830" s="16" t="n">
        <f aca="false">IF($B1830=-1, -1, VLOOKUP(D1830,$Y$1:$Z$22,2))</f>
        <v>5</v>
      </c>
      <c r="H1830" s="16" t="str">
        <f aca="false">_xlfn.UNICHAR(((F1830*21)+G1830)*28+44032)</f>
        <v>떼</v>
      </c>
      <c r="I1830" s="16" t="n">
        <f aca="false">IF(B1830=-1, 1, COUNTIF($A$2:$A$3000, H1830))</f>
        <v>1</v>
      </c>
      <c r="J1830" s="10" t="str">
        <f aca="false">_xlfn.CONCAT(A1830, ",",H1830,",",I1830)</f>
        <v>찢,떼,1</v>
      </c>
      <c r="K1830" s="16" t="n">
        <f aca="false">IF(B1830=-1,-1,VLOOKUP(C1830,$T$1:$V$20,3))</f>
        <v>17</v>
      </c>
      <c r="L1830" s="16" t="n">
        <f aca="false">IF(B1830=-1,-1,VLOOKUP(D1830,$Y$1:$AA$22,3))</f>
        <v>20</v>
      </c>
      <c r="N1830" s="10" t="str">
        <f aca="false">_xlfn.UNICHAR(((C1830*21)+G1830)*28+44032)</f>
        <v>쩨</v>
      </c>
      <c r="O1830" s="10" t="str">
        <f aca="false">_xlfn.UNICHAR(((F1830*21)+D1830)*28+44032)</f>
        <v>띠</v>
      </c>
      <c r="P1830" s="12" t="n">
        <f aca="false">COUNTIF($A$2:$A$3000, N1830) + COUNTIF($A$2:$A$3000, O1830)</f>
        <v>2</v>
      </c>
      <c r="Q1830" s="16" t="str">
        <f aca="false">IF(OR(B1830=-1,I1830=0, P1830&lt;&gt;2), "albhed_dummy", _xlfn.CONCAT("albhed ", RIGHT("  " &amp; K1830,2),", ", RIGHT("  " &amp; L1830,2), ", " ,"""",H1830,""", ", """",N1830,""", ","""",O1830,""""," ; ", A1830))</f>
        <v>albhed 17, 20, "떼", "쩨", "띠" ; 찢</v>
      </c>
    </row>
    <row r="1831" customFormat="false" ht="17.9" hidden="false" customHeight="true" outlineLevel="0" collapsed="false">
      <c r="A1831" s="16" t="s">
        <v>2681</v>
      </c>
      <c r="B1831" s="16" t="n">
        <f aca="false">IF(_xlfn.UNICODE(A1831)&lt;44032,-1,_xlfn.UNICODE(A1831)-44032)</f>
        <v>8231</v>
      </c>
      <c r="C1831" s="16" t="n">
        <f aca="false">IF(B1831=-1,-1,INT((B1831/28)/21))</f>
        <v>13</v>
      </c>
      <c r="D1831" s="16" t="n">
        <f aca="false">IF(B1831=-1, -1, MOD(INT(B1831/28),21))</f>
        <v>20</v>
      </c>
      <c r="E1831" s="16" t="n">
        <f aca="false">IF(B1831=-1, -1, VLOOKUP(MOD(B1831,28), $T$24:$U$52,2))</f>
        <v>19</v>
      </c>
      <c r="F1831" s="16" t="n">
        <f aca="false">IF($B1831=-1, -1, VLOOKUP(C1831,$T$1:$V$20, 2))</f>
        <v>4</v>
      </c>
      <c r="G1831" s="16" t="n">
        <f aca="false">IF($B1831=-1, -1, VLOOKUP(D1831,$Y$1:$Z$22,2))</f>
        <v>5</v>
      </c>
      <c r="H1831" s="16" t="str">
        <f aca="false">_xlfn.UNICHAR(((F1831*21)+G1831)*28+44032)</f>
        <v>떼</v>
      </c>
      <c r="I1831" s="16" t="n">
        <f aca="false">IF(B1831=-1, 1, COUNTIF($A$2:$A$3000, H1831))</f>
        <v>1</v>
      </c>
      <c r="J1831" s="10" t="str">
        <f aca="false">_xlfn.CONCAT(A1831, ",",H1831,",",I1831)</f>
        <v>찧,떼,1</v>
      </c>
      <c r="K1831" s="16" t="n">
        <f aca="false">IF(B1831=-1,-1,VLOOKUP(C1831,$T$1:$V$20,3))</f>
        <v>17</v>
      </c>
      <c r="L1831" s="16" t="n">
        <f aca="false">IF(B1831=-1,-1,VLOOKUP(D1831,$Y$1:$AA$22,3))</f>
        <v>20</v>
      </c>
      <c r="N1831" s="10" t="str">
        <f aca="false">_xlfn.UNICHAR(((C1831*21)+G1831)*28+44032)</f>
        <v>쩨</v>
      </c>
      <c r="O1831" s="10" t="str">
        <f aca="false">_xlfn.UNICHAR(((F1831*21)+D1831)*28+44032)</f>
        <v>띠</v>
      </c>
      <c r="P1831" s="12" t="n">
        <f aca="false">COUNTIF($A$2:$A$3000, N1831) + COUNTIF($A$2:$A$3000, O1831)</f>
        <v>2</v>
      </c>
      <c r="Q1831" s="16" t="str">
        <f aca="false">IF(OR(B1831=-1,I1831=0, P1831&lt;&gt;2), "albhed_dummy", _xlfn.CONCAT("albhed ", RIGHT("  " &amp; K1831,2),", ", RIGHT("  " &amp; L1831,2), ", " ,"""",H1831,""", ", """",N1831,""", ","""",O1831,""""," ; ", A1831))</f>
        <v>albhed 17, 20, "떼", "쩨", "띠" ; 찧</v>
      </c>
    </row>
    <row r="1832" customFormat="false" ht="17.9" hidden="false" customHeight="true" outlineLevel="0" collapsed="false">
      <c r="A1832" s="16" t="s">
        <v>2682</v>
      </c>
      <c r="B1832" s="16" t="n">
        <f aca="false">IF(_xlfn.UNICODE(A1832)&lt;44032,-1,_xlfn.UNICODE(A1832)-44032)</f>
        <v>8232</v>
      </c>
      <c r="C1832" s="16" t="n">
        <f aca="false">IF(B1832=-1,-1,INT((B1832/28)/21))</f>
        <v>14</v>
      </c>
      <c r="D1832" s="16" t="n">
        <f aca="false">IF(B1832=-1, -1, MOD(INT(B1832/28),21))</f>
        <v>0</v>
      </c>
      <c r="E1832" s="16" t="n">
        <f aca="false">IF(B1832=-1, -1, VLOOKUP(MOD(B1832,28), $T$24:$U$52,2))</f>
        <v>0</v>
      </c>
      <c r="F1832" s="16" t="n">
        <f aca="false">IF($B1832=-1, -1, VLOOKUP(C1832,$T$1:$V$20, 2))</f>
        <v>17</v>
      </c>
      <c r="G1832" s="16" t="n">
        <f aca="false">IF($B1832=-1, -1, VLOOKUP(D1832,$Y$1:$Z$22,2))</f>
        <v>13</v>
      </c>
      <c r="H1832" s="16" t="str">
        <f aca="false">_xlfn.UNICHAR(((F1832*21)+G1832)*28+44032)</f>
        <v>푸</v>
      </c>
      <c r="I1832" s="16" t="n">
        <f aca="false">IF(B1832=-1, 1, COUNTIF($A$2:$A$3000, H1832))</f>
        <v>1</v>
      </c>
      <c r="J1832" s="10" t="str">
        <f aca="false">_xlfn.CONCAT(A1832, ",",H1832,",",I1832)</f>
        <v>차,푸,1</v>
      </c>
      <c r="K1832" s="16" t="n">
        <f aca="false">IF(B1832=-1,-1,VLOOKUP(C1832,$T$1:$V$20,3))</f>
        <v>19</v>
      </c>
      <c r="L1832" s="16" t="n">
        <f aca="false">IF(B1832=-1,-1,VLOOKUP(D1832,$Y$1:$AA$22,3))</f>
        <v>2</v>
      </c>
      <c r="N1832" s="10" t="str">
        <f aca="false">_xlfn.UNICHAR(((C1832*21)+G1832)*28+44032)</f>
        <v>추</v>
      </c>
      <c r="O1832" s="10" t="str">
        <f aca="false">_xlfn.UNICHAR(((F1832*21)+D1832)*28+44032)</f>
        <v>파</v>
      </c>
      <c r="P1832" s="12" t="n">
        <f aca="false">COUNTIF($A$2:$A$3000, N1832) + COUNTIF($A$2:$A$3000, O1832)</f>
        <v>2</v>
      </c>
      <c r="Q1832" s="16" t="str">
        <f aca="false">IF(OR(B1832=-1,I1832=0, P1832&lt;&gt;2), "albhed_dummy", _xlfn.CONCAT("albhed ", RIGHT("  " &amp; K1832,2),", ", RIGHT("  " &amp; L1832,2), ", " ,"""",H1832,""", ", """",N1832,""", ","""",O1832,""""," ; ", A1832))</f>
        <v>albhed 19,  2, "푸", "추", "파" ; 차</v>
      </c>
    </row>
    <row r="1833" customFormat="false" ht="17.9" hidden="false" customHeight="true" outlineLevel="0" collapsed="false">
      <c r="A1833" s="16" t="s">
        <v>2683</v>
      </c>
      <c r="B1833" s="16" t="n">
        <f aca="false">IF(_xlfn.UNICODE(A1833)&lt;44032,-1,_xlfn.UNICODE(A1833)-44032)</f>
        <v>8233</v>
      </c>
      <c r="C1833" s="16" t="n">
        <f aca="false">IF(B1833=-1,-1,INT((B1833/28)/21))</f>
        <v>14</v>
      </c>
      <c r="D1833" s="16" t="n">
        <f aca="false">IF(B1833=-1, -1, MOD(INT(B1833/28),21))</f>
        <v>0</v>
      </c>
      <c r="E1833" s="16" t="n">
        <f aca="false">IF(B1833=-1, -1, VLOOKUP(MOD(B1833,28), $T$24:$U$52,2))</f>
        <v>1</v>
      </c>
      <c r="F1833" s="16" t="n">
        <f aca="false">IF($B1833=-1, -1, VLOOKUP(C1833,$T$1:$V$20, 2))</f>
        <v>17</v>
      </c>
      <c r="G1833" s="16" t="n">
        <f aca="false">IF($B1833=-1, -1, VLOOKUP(D1833,$Y$1:$Z$22,2))</f>
        <v>13</v>
      </c>
      <c r="H1833" s="16" t="str">
        <f aca="false">_xlfn.UNICHAR(((F1833*21)+G1833)*28+44032)</f>
        <v>푸</v>
      </c>
      <c r="I1833" s="16" t="n">
        <f aca="false">IF(B1833=-1, 1, COUNTIF($A$2:$A$3000, H1833))</f>
        <v>1</v>
      </c>
      <c r="J1833" s="10" t="str">
        <f aca="false">_xlfn.CONCAT(A1833, ",",H1833,",",I1833)</f>
        <v>착,푸,1</v>
      </c>
      <c r="K1833" s="16" t="n">
        <f aca="false">IF(B1833=-1,-1,VLOOKUP(C1833,$T$1:$V$20,3))</f>
        <v>19</v>
      </c>
      <c r="L1833" s="16" t="n">
        <f aca="false">IF(B1833=-1,-1,VLOOKUP(D1833,$Y$1:$AA$22,3))</f>
        <v>2</v>
      </c>
      <c r="N1833" s="10" t="str">
        <f aca="false">_xlfn.UNICHAR(((C1833*21)+G1833)*28+44032)</f>
        <v>추</v>
      </c>
      <c r="O1833" s="10" t="str">
        <f aca="false">_xlfn.UNICHAR(((F1833*21)+D1833)*28+44032)</f>
        <v>파</v>
      </c>
      <c r="P1833" s="12" t="n">
        <f aca="false">COUNTIF($A$2:$A$3000, N1833) + COUNTIF($A$2:$A$3000, O1833)</f>
        <v>2</v>
      </c>
      <c r="Q1833" s="16" t="str">
        <f aca="false">IF(OR(B1833=-1,I1833=0, P1833&lt;&gt;2), "albhed_dummy", _xlfn.CONCAT("albhed ", RIGHT("  " &amp; K1833,2),", ", RIGHT("  " &amp; L1833,2), ", " ,"""",H1833,""", ", """",N1833,""", ","""",O1833,""""," ; ", A1833))</f>
        <v>albhed 19,  2, "푸", "추", "파" ; 착</v>
      </c>
    </row>
    <row r="1834" customFormat="false" ht="17.9" hidden="false" customHeight="true" outlineLevel="0" collapsed="false">
      <c r="A1834" s="16" t="s">
        <v>2684</v>
      </c>
      <c r="B1834" s="16" t="n">
        <f aca="false">IF(_xlfn.UNICODE(A1834)&lt;44032,-1,_xlfn.UNICODE(A1834)-44032)</f>
        <v>8236</v>
      </c>
      <c r="C1834" s="16" t="n">
        <f aca="false">IF(B1834=-1,-1,INT((B1834/28)/21))</f>
        <v>14</v>
      </c>
      <c r="D1834" s="16" t="n">
        <f aca="false">IF(B1834=-1, -1, MOD(INT(B1834/28),21))</f>
        <v>0</v>
      </c>
      <c r="E1834" s="16" t="n">
        <f aca="false">IF(B1834=-1, -1, VLOOKUP(MOD(B1834,28), $T$24:$U$52,2))</f>
        <v>4</v>
      </c>
      <c r="F1834" s="16" t="n">
        <f aca="false">IF($B1834=-1, -1, VLOOKUP(C1834,$T$1:$V$20, 2))</f>
        <v>17</v>
      </c>
      <c r="G1834" s="16" t="n">
        <f aca="false">IF($B1834=-1, -1, VLOOKUP(D1834,$Y$1:$Z$22,2))</f>
        <v>13</v>
      </c>
      <c r="H1834" s="16" t="str">
        <f aca="false">_xlfn.UNICHAR(((F1834*21)+G1834)*28+44032)</f>
        <v>푸</v>
      </c>
      <c r="I1834" s="16" t="n">
        <f aca="false">IF(B1834=-1, 1, COUNTIF($A$2:$A$3000, H1834))</f>
        <v>1</v>
      </c>
      <c r="J1834" s="10" t="str">
        <f aca="false">_xlfn.CONCAT(A1834, ",",H1834,",",I1834)</f>
        <v>찬,푸,1</v>
      </c>
      <c r="K1834" s="16" t="n">
        <f aca="false">IF(B1834=-1,-1,VLOOKUP(C1834,$T$1:$V$20,3))</f>
        <v>19</v>
      </c>
      <c r="L1834" s="16" t="n">
        <f aca="false">IF(B1834=-1,-1,VLOOKUP(D1834,$Y$1:$AA$22,3))</f>
        <v>2</v>
      </c>
      <c r="N1834" s="10" t="str">
        <f aca="false">_xlfn.UNICHAR(((C1834*21)+G1834)*28+44032)</f>
        <v>추</v>
      </c>
      <c r="O1834" s="10" t="str">
        <f aca="false">_xlfn.UNICHAR(((F1834*21)+D1834)*28+44032)</f>
        <v>파</v>
      </c>
      <c r="P1834" s="12" t="n">
        <f aca="false">COUNTIF($A$2:$A$3000, N1834) + COUNTIF($A$2:$A$3000, O1834)</f>
        <v>2</v>
      </c>
      <c r="Q1834" s="16" t="str">
        <f aca="false">IF(OR(B1834=-1,I1834=0, P1834&lt;&gt;2), "albhed_dummy", _xlfn.CONCAT("albhed ", RIGHT("  " &amp; K1834,2),", ", RIGHT("  " &amp; L1834,2), ", " ,"""",H1834,""", ", """",N1834,""", ","""",O1834,""""," ; ", A1834))</f>
        <v>albhed 19,  2, "푸", "추", "파" ; 찬</v>
      </c>
    </row>
    <row r="1835" customFormat="false" ht="17.9" hidden="false" customHeight="true" outlineLevel="0" collapsed="false">
      <c r="A1835" s="16" t="s">
        <v>2685</v>
      </c>
      <c r="B1835" s="16" t="n">
        <f aca="false">IF(_xlfn.UNICODE(A1835)&lt;44032,-1,_xlfn.UNICODE(A1835)-44032)</f>
        <v>8238</v>
      </c>
      <c r="C1835" s="16" t="n">
        <f aca="false">IF(B1835=-1,-1,INT((B1835/28)/21))</f>
        <v>14</v>
      </c>
      <c r="D1835" s="16" t="n">
        <f aca="false">IF(B1835=-1, -1, MOD(INT(B1835/28),21))</f>
        <v>0</v>
      </c>
      <c r="E1835" s="16" t="n">
        <f aca="false">IF(B1835=-1, -1, VLOOKUP(MOD(B1835,28), $T$24:$U$52,2))</f>
        <v>4</v>
      </c>
      <c r="F1835" s="16" t="n">
        <f aca="false">IF($B1835=-1, -1, VLOOKUP(C1835,$T$1:$V$20, 2))</f>
        <v>17</v>
      </c>
      <c r="G1835" s="16" t="n">
        <f aca="false">IF($B1835=-1, -1, VLOOKUP(D1835,$Y$1:$Z$22,2))</f>
        <v>13</v>
      </c>
      <c r="H1835" s="16" t="str">
        <f aca="false">_xlfn.UNICHAR(((F1835*21)+G1835)*28+44032)</f>
        <v>푸</v>
      </c>
      <c r="I1835" s="16" t="n">
        <f aca="false">IF(B1835=-1, 1, COUNTIF($A$2:$A$3000, H1835))</f>
        <v>1</v>
      </c>
      <c r="J1835" s="10" t="str">
        <f aca="false">_xlfn.CONCAT(A1835, ",",H1835,",",I1835)</f>
        <v>찮,푸,1</v>
      </c>
      <c r="K1835" s="16" t="n">
        <f aca="false">IF(B1835=-1,-1,VLOOKUP(C1835,$T$1:$V$20,3))</f>
        <v>19</v>
      </c>
      <c r="L1835" s="16" t="n">
        <f aca="false">IF(B1835=-1,-1,VLOOKUP(D1835,$Y$1:$AA$22,3))</f>
        <v>2</v>
      </c>
      <c r="N1835" s="10" t="str">
        <f aca="false">_xlfn.UNICHAR(((C1835*21)+G1835)*28+44032)</f>
        <v>추</v>
      </c>
      <c r="O1835" s="10" t="str">
        <f aca="false">_xlfn.UNICHAR(((F1835*21)+D1835)*28+44032)</f>
        <v>파</v>
      </c>
      <c r="P1835" s="12" t="n">
        <f aca="false">COUNTIF($A$2:$A$3000, N1835) + COUNTIF($A$2:$A$3000, O1835)</f>
        <v>2</v>
      </c>
      <c r="Q1835" s="16" t="str">
        <f aca="false">IF(OR(B1835=-1,I1835=0, P1835&lt;&gt;2), "albhed_dummy", _xlfn.CONCAT("albhed ", RIGHT("  " &amp; K1835,2),", ", RIGHT("  " &amp; L1835,2), ", " ,"""",H1835,""", ", """",N1835,""", ","""",O1835,""""," ; ", A1835))</f>
        <v>albhed 19,  2, "푸", "추", "파" ; 찮</v>
      </c>
    </row>
    <row r="1836" customFormat="false" ht="17.9" hidden="false" customHeight="true" outlineLevel="0" collapsed="false">
      <c r="A1836" s="16" t="s">
        <v>2686</v>
      </c>
      <c r="B1836" s="16" t="n">
        <f aca="false">IF(_xlfn.UNICODE(A1836)&lt;44032,-1,_xlfn.UNICODE(A1836)-44032)</f>
        <v>8240</v>
      </c>
      <c r="C1836" s="16" t="n">
        <f aca="false">IF(B1836=-1,-1,INT((B1836/28)/21))</f>
        <v>14</v>
      </c>
      <c r="D1836" s="16" t="n">
        <f aca="false">IF(B1836=-1, -1, MOD(INT(B1836/28),21))</f>
        <v>0</v>
      </c>
      <c r="E1836" s="16" t="n">
        <f aca="false">IF(B1836=-1, -1, VLOOKUP(MOD(B1836,28), $T$24:$U$52,2))</f>
        <v>8</v>
      </c>
      <c r="F1836" s="16" t="n">
        <f aca="false">IF($B1836=-1, -1, VLOOKUP(C1836,$T$1:$V$20, 2))</f>
        <v>17</v>
      </c>
      <c r="G1836" s="16" t="n">
        <f aca="false">IF($B1836=-1, -1, VLOOKUP(D1836,$Y$1:$Z$22,2))</f>
        <v>13</v>
      </c>
      <c r="H1836" s="16" t="str">
        <f aca="false">_xlfn.UNICHAR(((F1836*21)+G1836)*28+44032)</f>
        <v>푸</v>
      </c>
      <c r="I1836" s="16" t="n">
        <f aca="false">IF(B1836=-1, 1, COUNTIF($A$2:$A$3000, H1836))</f>
        <v>1</v>
      </c>
      <c r="J1836" s="10" t="str">
        <f aca="false">_xlfn.CONCAT(A1836, ",",H1836,",",I1836)</f>
        <v>찰,푸,1</v>
      </c>
      <c r="K1836" s="16" t="n">
        <f aca="false">IF(B1836=-1,-1,VLOOKUP(C1836,$T$1:$V$20,3))</f>
        <v>19</v>
      </c>
      <c r="L1836" s="16" t="n">
        <f aca="false">IF(B1836=-1,-1,VLOOKUP(D1836,$Y$1:$AA$22,3))</f>
        <v>2</v>
      </c>
      <c r="N1836" s="10" t="str">
        <f aca="false">_xlfn.UNICHAR(((C1836*21)+G1836)*28+44032)</f>
        <v>추</v>
      </c>
      <c r="O1836" s="10" t="str">
        <f aca="false">_xlfn.UNICHAR(((F1836*21)+D1836)*28+44032)</f>
        <v>파</v>
      </c>
      <c r="P1836" s="12" t="n">
        <f aca="false">COUNTIF($A$2:$A$3000, N1836) + COUNTIF($A$2:$A$3000, O1836)</f>
        <v>2</v>
      </c>
      <c r="Q1836" s="16" t="str">
        <f aca="false">IF(OR(B1836=-1,I1836=0, P1836&lt;&gt;2), "albhed_dummy", _xlfn.CONCAT("albhed ", RIGHT("  " &amp; K1836,2),", ", RIGHT("  " &amp; L1836,2), ", " ,"""",H1836,""", ", """",N1836,""", ","""",O1836,""""," ; ", A1836))</f>
        <v>albhed 19,  2, "푸", "추", "파" ; 찰</v>
      </c>
    </row>
    <row r="1837" customFormat="false" ht="17.9" hidden="false" customHeight="true" outlineLevel="0" collapsed="false">
      <c r="A1837" s="16" t="s">
        <v>2687</v>
      </c>
      <c r="B1837" s="16" t="n">
        <f aca="false">IF(_xlfn.UNICODE(A1837)&lt;44032,-1,_xlfn.UNICODE(A1837)-44032)</f>
        <v>8248</v>
      </c>
      <c r="C1837" s="16" t="n">
        <f aca="false">IF(B1837=-1,-1,INT((B1837/28)/21))</f>
        <v>14</v>
      </c>
      <c r="D1837" s="16" t="n">
        <f aca="false">IF(B1837=-1, -1, MOD(INT(B1837/28),21))</f>
        <v>0</v>
      </c>
      <c r="E1837" s="16" t="n">
        <f aca="false">IF(B1837=-1, -1, VLOOKUP(MOD(B1837,28), $T$24:$U$52,2))</f>
        <v>16</v>
      </c>
      <c r="F1837" s="16" t="n">
        <f aca="false">IF($B1837=-1, -1, VLOOKUP(C1837,$T$1:$V$20, 2))</f>
        <v>17</v>
      </c>
      <c r="G1837" s="16" t="n">
        <f aca="false">IF($B1837=-1, -1, VLOOKUP(D1837,$Y$1:$Z$22,2))</f>
        <v>13</v>
      </c>
      <c r="H1837" s="16" t="str">
        <f aca="false">_xlfn.UNICHAR(((F1837*21)+G1837)*28+44032)</f>
        <v>푸</v>
      </c>
      <c r="I1837" s="16" t="n">
        <f aca="false">IF(B1837=-1, 1, COUNTIF($A$2:$A$3000, H1837))</f>
        <v>1</v>
      </c>
      <c r="J1837" s="10" t="str">
        <f aca="false">_xlfn.CONCAT(A1837, ",",H1837,",",I1837)</f>
        <v>참,푸,1</v>
      </c>
      <c r="K1837" s="16" t="n">
        <f aca="false">IF(B1837=-1,-1,VLOOKUP(C1837,$T$1:$V$20,3))</f>
        <v>19</v>
      </c>
      <c r="L1837" s="16" t="n">
        <f aca="false">IF(B1837=-1,-1,VLOOKUP(D1837,$Y$1:$AA$22,3))</f>
        <v>2</v>
      </c>
      <c r="N1837" s="10" t="str">
        <f aca="false">_xlfn.UNICHAR(((C1837*21)+G1837)*28+44032)</f>
        <v>추</v>
      </c>
      <c r="O1837" s="10" t="str">
        <f aca="false">_xlfn.UNICHAR(((F1837*21)+D1837)*28+44032)</f>
        <v>파</v>
      </c>
      <c r="P1837" s="12" t="n">
        <f aca="false">COUNTIF($A$2:$A$3000, N1837) + COUNTIF($A$2:$A$3000, O1837)</f>
        <v>2</v>
      </c>
      <c r="Q1837" s="16" t="str">
        <f aca="false">IF(OR(B1837=-1,I1837=0, P1837&lt;&gt;2), "albhed_dummy", _xlfn.CONCAT("albhed ", RIGHT("  " &amp; K1837,2),", ", RIGHT("  " &amp; L1837,2), ", " ,"""",H1837,""", ", """",N1837,""", ","""",O1837,""""," ; ", A1837))</f>
        <v>albhed 19,  2, "푸", "추", "파" ; 참</v>
      </c>
    </row>
    <row r="1838" customFormat="false" ht="17.9" hidden="false" customHeight="true" outlineLevel="0" collapsed="false">
      <c r="A1838" s="16" t="s">
        <v>2688</v>
      </c>
      <c r="B1838" s="16" t="n">
        <f aca="false">IF(_xlfn.UNICODE(A1838)&lt;44032,-1,_xlfn.UNICODE(A1838)-44032)</f>
        <v>8249</v>
      </c>
      <c r="C1838" s="16" t="n">
        <f aca="false">IF(B1838=-1,-1,INT((B1838/28)/21))</f>
        <v>14</v>
      </c>
      <c r="D1838" s="16" t="n">
        <f aca="false">IF(B1838=-1, -1, MOD(INT(B1838/28),21))</f>
        <v>0</v>
      </c>
      <c r="E1838" s="16" t="n">
        <f aca="false">IF(B1838=-1, -1, VLOOKUP(MOD(B1838,28), $T$24:$U$52,2))</f>
        <v>17</v>
      </c>
      <c r="F1838" s="16" t="n">
        <f aca="false">IF($B1838=-1, -1, VLOOKUP(C1838,$T$1:$V$20, 2))</f>
        <v>17</v>
      </c>
      <c r="G1838" s="16" t="n">
        <f aca="false">IF($B1838=-1, -1, VLOOKUP(D1838,$Y$1:$Z$22,2))</f>
        <v>13</v>
      </c>
      <c r="H1838" s="16" t="str">
        <f aca="false">_xlfn.UNICHAR(((F1838*21)+G1838)*28+44032)</f>
        <v>푸</v>
      </c>
      <c r="I1838" s="16" t="n">
        <f aca="false">IF(B1838=-1, 1, COUNTIF($A$2:$A$3000, H1838))</f>
        <v>1</v>
      </c>
      <c r="J1838" s="10" t="str">
        <f aca="false">_xlfn.CONCAT(A1838, ",",H1838,",",I1838)</f>
        <v>찹,푸,1</v>
      </c>
      <c r="K1838" s="16" t="n">
        <f aca="false">IF(B1838=-1,-1,VLOOKUP(C1838,$T$1:$V$20,3))</f>
        <v>19</v>
      </c>
      <c r="L1838" s="16" t="n">
        <f aca="false">IF(B1838=-1,-1,VLOOKUP(D1838,$Y$1:$AA$22,3))</f>
        <v>2</v>
      </c>
      <c r="N1838" s="10" t="str">
        <f aca="false">_xlfn.UNICHAR(((C1838*21)+G1838)*28+44032)</f>
        <v>추</v>
      </c>
      <c r="O1838" s="10" t="str">
        <f aca="false">_xlfn.UNICHAR(((F1838*21)+D1838)*28+44032)</f>
        <v>파</v>
      </c>
      <c r="P1838" s="12" t="n">
        <f aca="false">COUNTIF($A$2:$A$3000, N1838) + COUNTIF($A$2:$A$3000, O1838)</f>
        <v>2</v>
      </c>
      <c r="Q1838" s="16" t="str">
        <f aca="false">IF(OR(B1838=-1,I1838=0, P1838&lt;&gt;2), "albhed_dummy", _xlfn.CONCAT("albhed ", RIGHT("  " &amp; K1838,2),", ", RIGHT("  " &amp; L1838,2), ", " ,"""",H1838,""", ", """",N1838,""", ","""",O1838,""""," ; ", A1838))</f>
        <v>albhed 19,  2, "푸", "추", "파" ; 찹</v>
      </c>
    </row>
    <row r="1839" customFormat="false" ht="17.9" hidden="false" customHeight="true" outlineLevel="0" collapsed="false">
      <c r="A1839" s="16" t="s">
        <v>2689</v>
      </c>
      <c r="B1839" s="16" t="n">
        <f aca="false">IF(_xlfn.UNICODE(A1839)&lt;44032,-1,_xlfn.UNICODE(A1839)-44032)</f>
        <v>8251</v>
      </c>
      <c r="C1839" s="16" t="n">
        <f aca="false">IF(B1839=-1,-1,INT((B1839/28)/21))</f>
        <v>14</v>
      </c>
      <c r="D1839" s="16" t="n">
        <f aca="false">IF(B1839=-1, -1, MOD(INT(B1839/28),21))</f>
        <v>0</v>
      </c>
      <c r="E1839" s="16" t="n">
        <f aca="false">IF(B1839=-1, -1, VLOOKUP(MOD(B1839,28), $T$24:$U$52,2))</f>
        <v>19</v>
      </c>
      <c r="F1839" s="16" t="n">
        <f aca="false">IF($B1839=-1, -1, VLOOKUP(C1839,$T$1:$V$20, 2))</f>
        <v>17</v>
      </c>
      <c r="G1839" s="16" t="n">
        <f aca="false">IF($B1839=-1, -1, VLOOKUP(D1839,$Y$1:$Z$22,2))</f>
        <v>13</v>
      </c>
      <c r="H1839" s="16" t="str">
        <f aca="false">_xlfn.UNICHAR(((F1839*21)+G1839)*28+44032)</f>
        <v>푸</v>
      </c>
      <c r="I1839" s="16" t="n">
        <f aca="false">IF(B1839=-1, 1, COUNTIF($A$2:$A$3000, H1839))</f>
        <v>1</v>
      </c>
      <c r="J1839" s="10" t="str">
        <f aca="false">_xlfn.CONCAT(A1839, ",",H1839,",",I1839)</f>
        <v>찻,푸,1</v>
      </c>
      <c r="K1839" s="16" t="n">
        <f aca="false">IF(B1839=-1,-1,VLOOKUP(C1839,$T$1:$V$20,3))</f>
        <v>19</v>
      </c>
      <c r="L1839" s="16" t="n">
        <f aca="false">IF(B1839=-1,-1,VLOOKUP(D1839,$Y$1:$AA$22,3))</f>
        <v>2</v>
      </c>
      <c r="N1839" s="10" t="str">
        <f aca="false">_xlfn.UNICHAR(((C1839*21)+G1839)*28+44032)</f>
        <v>추</v>
      </c>
      <c r="O1839" s="10" t="str">
        <f aca="false">_xlfn.UNICHAR(((F1839*21)+D1839)*28+44032)</f>
        <v>파</v>
      </c>
      <c r="P1839" s="12" t="n">
        <f aca="false">COUNTIF($A$2:$A$3000, N1839) + COUNTIF($A$2:$A$3000, O1839)</f>
        <v>2</v>
      </c>
      <c r="Q1839" s="16" t="str">
        <f aca="false">IF(OR(B1839=-1,I1839=0, P1839&lt;&gt;2), "albhed_dummy", _xlfn.CONCAT("albhed ", RIGHT("  " &amp; K1839,2),", ", RIGHT("  " &amp; L1839,2), ", " ,"""",H1839,""", ", """",N1839,""", ","""",O1839,""""," ; ", A1839))</f>
        <v>albhed 19,  2, "푸", "추", "파" ; 찻</v>
      </c>
    </row>
    <row r="1840" customFormat="false" ht="17.9" hidden="false" customHeight="true" outlineLevel="0" collapsed="false">
      <c r="A1840" s="16" t="s">
        <v>2690</v>
      </c>
      <c r="B1840" s="16" t="n">
        <f aca="false">IF(_xlfn.UNICODE(A1840)&lt;44032,-1,_xlfn.UNICODE(A1840)-44032)</f>
        <v>8252</v>
      </c>
      <c r="C1840" s="16" t="n">
        <f aca="false">IF(B1840=-1,-1,INT((B1840/28)/21))</f>
        <v>14</v>
      </c>
      <c r="D1840" s="16" t="n">
        <f aca="false">IF(B1840=-1, -1, MOD(INT(B1840/28),21))</f>
        <v>0</v>
      </c>
      <c r="E1840" s="16" t="n">
        <f aca="false">IF(B1840=-1, -1, VLOOKUP(MOD(B1840,28), $T$24:$U$52,2))</f>
        <v>19</v>
      </c>
      <c r="F1840" s="16" t="n">
        <f aca="false">IF($B1840=-1, -1, VLOOKUP(C1840,$T$1:$V$20, 2))</f>
        <v>17</v>
      </c>
      <c r="G1840" s="16" t="n">
        <f aca="false">IF($B1840=-1, -1, VLOOKUP(D1840,$Y$1:$Z$22,2))</f>
        <v>13</v>
      </c>
      <c r="H1840" s="16" t="str">
        <f aca="false">_xlfn.UNICHAR(((F1840*21)+G1840)*28+44032)</f>
        <v>푸</v>
      </c>
      <c r="I1840" s="16" t="n">
        <f aca="false">IF(B1840=-1, 1, COUNTIF($A$2:$A$3000, H1840))</f>
        <v>1</v>
      </c>
      <c r="J1840" s="10" t="str">
        <f aca="false">_xlfn.CONCAT(A1840, ",",H1840,",",I1840)</f>
        <v>찼,푸,1</v>
      </c>
      <c r="K1840" s="16" t="n">
        <f aca="false">IF(B1840=-1,-1,VLOOKUP(C1840,$T$1:$V$20,3))</f>
        <v>19</v>
      </c>
      <c r="L1840" s="16" t="n">
        <f aca="false">IF(B1840=-1,-1,VLOOKUP(D1840,$Y$1:$AA$22,3))</f>
        <v>2</v>
      </c>
      <c r="N1840" s="10" t="str">
        <f aca="false">_xlfn.UNICHAR(((C1840*21)+G1840)*28+44032)</f>
        <v>추</v>
      </c>
      <c r="O1840" s="10" t="str">
        <f aca="false">_xlfn.UNICHAR(((F1840*21)+D1840)*28+44032)</f>
        <v>파</v>
      </c>
      <c r="P1840" s="12" t="n">
        <f aca="false">COUNTIF($A$2:$A$3000, N1840) + COUNTIF($A$2:$A$3000, O1840)</f>
        <v>2</v>
      </c>
      <c r="Q1840" s="16" t="str">
        <f aca="false">IF(OR(B1840=-1,I1840=0, P1840&lt;&gt;2), "albhed_dummy", _xlfn.CONCAT("albhed ", RIGHT("  " &amp; K1840,2),", ", RIGHT("  " &amp; L1840,2), ", " ,"""",H1840,""", ", """",N1840,""", ","""",O1840,""""," ; ", A1840))</f>
        <v>albhed 19,  2, "푸", "추", "파" ; 찼</v>
      </c>
    </row>
    <row r="1841" customFormat="false" ht="17.9" hidden="false" customHeight="true" outlineLevel="0" collapsed="false">
      <c r="A1841" s="16" t="s">
        <v>2691</v>
      </c>
      <c r="B1841" s="16" t="n">
        <f aca="false">IF(_xlfn.UNICODE(A1841)&lt;44032,-1,_xlfn.UNICODE(A1841)-44032)</f>
        <v>8253</v>
      </c>
      <c r="C1841" s="16" t="n">
        <f aca="false">IF(B1841=-1,-1,INT((B1841/28)/21))</f>
        <v>14</v>
      </c>
      <c r="D1841" s="16" t="n">
        <f aca="false">IF(B1841=-1, -1, MOD(INT(B1841/28),21))</f>
        <v>0</v>
      </c>
      <c r="E1841" s="16" t="n">
        <f aca="false">IF(B1841=-1, -1, VLOOKUP(MOD(B1841,28), $T$24:$U$52,2))</f>
        <v>21</v>
      </c>
      <c r="F1841" s="16" t="n">
        <f aca="false">IF($B1841=-1, -1, VLOOKUP(C1841,$T$1:$V$20, 2))</f>
        <v>17</v>
      </c>
      <c r="G1841" s="16" t="n">
        <f aca="false">IF($B1841=-1, -1, VLOOKUP(D1841,$Y$1:$Z$22,2))</f>
        <v>13</v>
      </c>
      <c r="H1841" s="16" t="str">
        <f aca="false">_xlfn.UNICHAR(((F1841*21)+G1841)*28+44032)</f>
        <v>푸</v>
      </c>
      <c r="I1841" s="16" t="n">
        <f aca="false">IF(B1841=-1, 1, COUNTIF($A$2:$A$3000, H1841))</f>
        <v>1</v>
      </c>
      <c r="J1841" s="10" t="str">
        <f aca="false">_xlfn.CONCAT(A1841, ",",H1841,",",I1841)</f>
        <v>창,푸,1</v>
      </c>
      <c r="K1841" s="16" t="n">
        <f aca="false">IF(B1841=-1,-1,VLOOKUP(C1841,$T$1:$V$20,3))</f>
        <v>19</v>
      </c>
      <c r="L1841" s="16" t="n">
        <f aca="false">IF(B1841=-1,-1,VLOOKUP(D1841,$Y$1:$AA$22,3))</f>
        <v>2</v>
      </c>
      <c r="N1841" s="10" t="str">
        <f aca="false">_xlfn.UNICHAR(((C1841*21)+G1841)*28+44032)</f>
        <v>추</v>
      </c>
      <c r="O1841" s="10" t="str">
        <f aca="false">_xlfn.UNICHAR(((F1841*21)+D1841)*28+44032)</f>
        <v>파</v>
      </c>
      <c r="P1841" s="12" t="n">
        <f aca="false">COUNTIF($A$2:$A$3000, N1841) + COUNTIF($A$2:$A$3000, O1841)</f>
        <v>2</v>
      </c>
      <c r="Q1841" s="16" t="str">
        <f aca="false">IF(OR(B1841=-1,I1841=0, P1841&lt;&gt;2), "albhed_dummy", _xlfn.CONCAT("albhed ", RIGHT("  " &amp; K1841,2),", ", RIGHT("  " &amp; L1841,2), ", " ,"""",H1841,""", ", """",N1841,""", ","""",O1841,""""," ; ", A1841))</f>
        <v>albhed 19,  2, "푸", "추", "파" ; 창</v>
      </c>
    </row>
    <row r="1842" customFormat="false" ht="17.9" hidden="false" customHeight="true" outlineLevel="0" collapsed="false">
      <c r="A1842" s="16" t="s">
        <v>2692</v>
      </c>
      <c r="B1842" s="16" t="n">
        <f aca="false">IF(_xlfn.UNICODE(A1842)&lt;44032,-1,_xlfn.UNICODE(A1842)-44032)</f>
        <v>8254</v>
      </c>
      <c r="C1842" s="16" t="n">
        <f aca="false">IF(B1842=-1,-1,INT((B1842/28)/21))</f>
        <v>14</v>
      </c>
      <c r="D1842" s="16" t="n">
        <f aca="false">IF(B1842=-1, -1, MOD(INT(B1842/28),21))</f>
        <v>0</v>
      </c>
      <c r="E1842" s="16" t="n">
        <f aca="false">IF(B1842=-1, -1, VLOOKUP(MOD(B1842,28), $T$24:$U$52,2))</f>
        <v>19</v>
      </c>
      <c r="F1842" s="16" t="n">
        <f aca="false">IF($B1842=-1, -1, VLOOKUP(C1842,$T$1:$V$20, 2))</f>
        <v>17</v>
      </c>
      <c r="G1842" s="16" t="n">
        <f aca="false">IF($B1842=-1, -1, VLOOKUP(D1842,$Y$1:$Z$22,2))</f>
        <v>13</v>
      </c>
      <c r="H1842" s="16" t="str">
        <f aca="false">_xlfn.UNICHAR(((F1842*21)+G1842)*28+44032)</f>
        <v>푸</v>
      </c>
      <c r="I1842" s="16" t="n">
        <f aca="false">IF(B1842=-1, 1, COUNTIF($A$2:$A$3000, H1842))</f>
        <v>1</v>
      </c>
      <c r="J1842" s="10" t="str">
        <f aca="false">_xlfn.CONCAT(A1842, ",",H1842,",",I1842)</f>
        <v>찾,푸,1</v>
      </c>
      <c r="K1842" s="16" t="n">
        <f aca="false">IF(B1842=-1,-1,VLOOKUP(C1842,$T$1:$V$20,3))</f>
        <v>19</v>
      </c>
      <c r="L1842" s="16" t="n">
        <f aca="false">IF(B1842=-1,-1,VLOOKUP(D1842,$Y$1:$AA$22,3))</f>
        <v>2</v>
      </c>
      <c r="N1842" s="10" t="str">
        <f aca="false">_xlfn.UNICHAR(((C1842*21)+G1842)*28+44032)</f>
        <v>추</v>
      </c>
      <c r="O1842" s="10" t="str">
        <f aca="false">_xlfn.UNICHAR(((F1842*21)+D1842)*28+44032)</f>
        <v>파</v>
      </c>
      <c r="P1842" s="12" t="n">
        <f aca="false">COUNTIF($A$2:$A$3000, N1842) + COUNTIF($A$2:$A$3000, O1842)</f>
        <v>2</v>
      </c>
      <c r="Q1842" s="16" t="str">
        <f aca="false">IF(OR(B1842=-1,I1842=0, P1842&lt;&gt;2), "albhed_dummy", _xlfn.CONCAT("albhed ", RIGHT("  " &amp; K1842,2),", ", RIGHT("  " &amp; L1842,2), ", " ,"""",H1842,""", ", """",N1842,""", ","""",O1842,""""," ; ", A1842))</f>
        <v>albhed 19,  2, "푸", "추", "파" ; 찾</v>
      </c>
    </row>
    <row r="1843" customFormat="false" ht="17.9" hidden="false" customHeight="true" outlineLevel="0" collapsed="false">
      <c r="A1843" s="16" t="s">
        <v>2693</v>
      </c>
      <c r="B1843" s="16" t="n">
        <f aca="false">IF(_xlfn.UNICODE(A1843)&lt;44032,-1,_xlfn.UNICODE(A1843)-44032)</f>
        <v>8260</v>
      </c>
      <c r="C1843" s="16" t="n">
        <f aca="false">IF(B1843=-1,-1,INT((B1843/28)/21))</f>
        <v>14</v>
      </c>
      <c r="D1843" s="16" t="n">
        <f aca="false">IF(B1843=-1, -1, MOD(INT(B1843/28),21))</f>
        <v>1</v>
      </c>
      <c r="E1843" s="16" t="n">
        <f aca="false">IF(B1843=-1, -1, VLOOKUP(MOD(B1843,28), $T$24:$U$52,2))</f>
        <v>0</v>
      </c>
      <c r="F1843" s="16" t="n">
        <f aca="false">IF($B1843=-1, -1, VLOOKUP(C1843,$T$1:$V$20, 2))</f>
        <v>17</v>
      </c>
      <c r="G1843" s="16" t="n">
        <f aca="false">IF($B1843=-1, -1, VLOOKUP(D1843,$Y$1:$Z$22,2))</f>
        <v>18</v>
      </c>
      <c r="H1843" s="16" t="str">
        <f aca="false">_xlfn.UNICHAR(((F1843*21)+G1843)*28+44032)</f>
        <v>프</v>
      </c>
      <c r="I1843" s="16" t="n">
        <f aca="false">IF(B1843=-1, 1, COUNTIF($A$2:$A$3000, H1843))</f>
        <v>1</v>
      </c>
      <c r="J1843" s="10" t="str">
        <f aca="false">_xlfn.CONCAT(A1843, ",",H1843,",",I1843)</f>
        <v>채,프,1</v>
      </c>
      <c r="K1843" s="16" t="n">
        <f aca="false">IF(B1843=-1,-1,VLOOKUP(C1843,$T$1:$V$20,3))</f>
        <v>19</v>
      </c>
      <c r="L1843" s="16" t="n">
        <f aca="false">IF(B1843=-1,-1,VLOOKUP(D1843,$Y$1:$AA$22,3))</f>
        <v>10</v>
      </c>
      <c r="N1843" s="10" t="str">
        <f aca="false">_xlfn.UNICHAR(((C1843*21)+G1843)*28+44032)</f>
        <v>츠</v>
      </c>
      <c r="O1843" s="10" t="str">
        <f aca="false">_xlfn.UNICHAR(((F1843*21)+D1843)*28+44032)</f>
        <v>패</v>
      </c>
      <c r="P1843" s="12" t="n">
        <f aca="false">COUNTIF($A$2:$A$3000, N1843) + COUNTIF($A$2:$A$3000, O1843)</f>
        <v>2</v>
      </c>
      <c r="Q1843" s="16" t="str">
        <f aca="false">IF(OR(B1843=-1,I1843=0, P1843&lt;&gt;2), "albhed_dummy", _xlfn.CONCAT("albhed ", RIGHT("  " &amp; K1843,2),", ", RIGHT("  " &amp; L1843,2), ", " ,"""",H1843,""", ", """",N1843,""", ","""",O1843,""""," ; ", A1843))</f>
        <v>albhed 19, 10, "프", "츠", "패" ; 채</v>
      </c>
    </row>
    <row r="1844" customFormat="false" ht="17.9" hidden="false" customHeight="true" outlineLevel="0" collapsed="false">
      <c r="A1844" s="16" t="s">
        <v>2694</v>
      </c>
      <c r="B1844" s="16" t="n">
        <f aca="false">IF(_xlfn.UNICODE(A1844)&lt;44032,-1,_xlfn.UNICODE(A1844)-44032)</f>
        <v>8261</v>
      </c>
      <c r="C1844" s="16" t="n">
        <f aca="false">IF(B1844=-1,-1,INT((B1844/28)/21))</f>
        <v>14</v>
      </c>
      <c r="D1844" s="16" t="n">
        <f aca="false">IF(B1844=-1, -1, MOD(INT(B1844/28),21))</f>
        <v>1</v>
      </c>
      <c r="E1844" s="16" t="n">
        <f aca="false">IF(B1844=-1, -1, VLOOKUP(MOD(B1844,28), $T$24:$U$52,2))</f>
        <v>1</v>
      </c>
      <c r="F1844" s="16" t="n">
        <f aca="false">IF($B1844=-1, -1, VLOOKUP(C1844,$T$1:$V$20, 2))</f>
        <v>17</v>
      </c>
      <c r="G1844" s="16" t="n">
        <f aca="false">IF($B1844=-1, -1, VLOOKUP(D1844,$Y$1:$Z$22,2))</f>
        <v>18</v>
      </c>
      <c r="H1844" s="16" t="str">
        <f aca="false">_xlfn.UNICHAR(((F1844*21)+G1844)*28+44032)</f>
        <v>프</v>
      </c>
      <c r="I1844" s="16" t="n">
        <f aca="false">IF(B1844=-1, 1, COUNTIF($A$2:$A$3000, H1844))</f>
        <v>1</v>
      </c>
      <c r="J1844" s="10" t="str">
        <f aca="false">_xlfn.CONCAT(A1844, ",",H1844,",",I1844)</f>
        <v>책,프,1</v>
      </c>
      <c r="K1844" s="16" t="n">
        <f aca="false">IF(B1844=-1,-1,VLOOKUP(C1844,$T$1:$V$20,3))</f>
        <v>19</v>
      </c>
      <c r="L1844" s="16" t="n">
        <f aca="false">IF(B1844=-1,-1,VLOOKUP(D1844,$Y$1:$AA$22,3))</f>
        <v>10</v>
      </c>
      <c r="N1844" s="10" t="str">
        <f aca="false">_xlfn.UNICHAR(((C1844*21)+G1844)*28+44032)</f>
        <v>츠</v>
      </c>
      <c r="O1844" s="10" t="str">
        <f aca="false">_xlfn.UNICHAR(((F1844*21)+D1844)*28+44032)</f>
        <v>패</v>
      </c>
      <c r="P1844" s="12" t="n">
        <f aca="false">COUNTIF($A$2:$A$3000, N1844) + COUNTIF($A$2:$A$3000, O1844)</f>
        <v>2</v>
      </c>
      <c r="Q1844" s="16" t="str">
        <f aca="false">IF(OR(B1844=-1,I1844=0, P1844&lt;&gt;2), "albhed_dummy", _xlfn.CONCAT("albhed ", RIGHT("  " &amp; K1844,2),", ", RIGHT("  " &amp; L1844,2), ", " ,"""",H1844,""", ", """",N1844,""", ","""",O1844,""""," ; ", A1844))</f>
        <v>albhed 19, 10, "프", "츠", "패" ; 책</v>
      </c>
    </row>
    <row r="1845" customFormat="false" ht="17.9" hidden="false" customHeight="true" outlineLevel="0" collapsed="false">
      <c r="A1845" s="16" t="s">
        <v>2695</v>
      </c>
      <c r="B1845" s="16" t="n">
        <f aca="false">IF(_xlfn.UNICODE(A1845)&lt;44032,-1,_xlfn.UNICODE(A1845)-44032)</f>
        <v>8264</v>
      </c>
      <c r="C1845" s="16" t="n">
        <f aca="false">IF(B1845=-1,-1,INT((B1845/28)/21))</f>
        <v>14</v>
      </c>
      <c r="D1845" s="16" t="n">
        <f aca="false">IF(B1845=-1, -1, MOD(INT(B1845/28),21))</f>
        <v>1</v>
      </c>
      <c r="E1845" s="16" t="n">
        <f aca="false">IF(B1845=-1, -1, VLOOKUP(MOD(B1845,28), $T$24:$U$52,2))</f>
        <v>4</v>
      </c>
      <c r="F1845" s="16" t="n">
        <f aca="false">IF($B1845=-1, -1, VLOOKUP(C1845,$T$1:$V$20, 2))</f>
        <v>17</v>
      </c>
      <c r="G1845" s="16" t="n">
        <f aca="false">IF($B1845=-1, -1, VLOOKUP(D1845,$Y$1:$Z$22,2))</f>
        <v>18</v>
      </c>
      <c r="H1845" s="16" t="str">
        <f aca="false">_xlfn.UNICHAR(((F1845*21)+G1845)*28+44032)</f>
        <v>프</v>
      </c>
      <c r="I1845" s="16" t="n">
        <f aca="false">IF(B1845=-1, 1, COUNTIF($A$2:$A$3000, H1845))</f>
        <v>1</v>
      </c>
      <c r="J1845" s="10" t="str">
        <f aca="false">_xlfn.CONCAT(A1845, ",",H1845,",",I1845)</f>
        <v>챈,프,1</v>
      </c>
      <c r="K1845" s="16" t="n">
        <f aca="false">IF(B1845=-1,-1,VLOOKUP(C1845,$T$1:$V$20,3))</f>
        <v>19</v>
      </c>
      <c r="L1845" s="16" t="n">
        <f aca="false">IF(B1845=-1,-1,VLOOKUP(D1845,$Y$1:$AA$22,3))</f>
        <v>10</v>
      </c>
      <c r="N1845" s="10" t="str">
        <f aca="false">_xlfn.UNICHAR(((C1845*21)+G1845)*28+44032)</f>
        <v>츠</v>
      </c>
      <c r="O1845" s="10" t="str">
        <f aca="false">_xlfn.UNICHAR(((F1845*21)+D1845)*28+44032)</f>
        <v>패</v>
      </c>
      <c r="P1845" s="12" t="n">
        <f aca="false">COUNTIF($A$2:$A$3000, N1845) + COUNTIF($A$2:$A$3000, O1845)</f>
        <v>2</v>
      </c>
      <c r="Q1845" s="16" t="str">
        <f aca="false">IF(OR(B1845=-1,I1845=0, P1845&lt;&gt;2), "albhed_dummy", _xlfn.CONCAT("albhed ", RIGHT("  " &amp; K1845,2),", ", RIGHT("  " &amp; L1845,2), ", " ,"""",H1845,""", ", """",N1845,""", ","""",O1845,""""," ; ", A1845))</f>
        <v>albhed 19, 10, "프", "츠", "패" ; 챈</v>
      </c>
    </row>
    <row r="1846" customFormat="false" ht="17.9" hidden="false" customHeight="true" outlineLevel="0" collapsed="false">
      <c r="A1846" s="16" t="s">
        <v>2696</v>
      </c>
      <c r="B1846" s="16" t="n">
        <f aca="false">IF(_xlfn.UNICODE(A1846)&lt;44032,-1,_xlfn.UNICODE(A1846)-44032)</f>
        <v>8268</v>
      </c>
      <c r="C1846" s="16" t="n">
        <f aca="false">IF(B1846=-1,-1,INT((B1846/28)/21))</f>
        <v>14</v>
      </c>
      <c r="D1846" s="16" t="n">
        <f aca="false">IF(B1846=-1, -1, MOD(INT(B1846/28),21))</f>
        <v>1</v>
      </c>
      <c r="E1846" s="16" t="n">
        <f aca="false">IF(B1846=-1, -1, VLOOKUP(MOD(B1846,28), $T$24:$U$52,2))</f>
        <v>8</v>
      </c>
      <c r="F1846" s="16" t="n">
        <f aca="false">IF($B1846=-1, -1, VLOOKUP(C1846,$T$1:$V$20, 2))</f>
        <v>17</v>
      </c>
      <c r="G1846" s="16" t="n">
        <f aca="false">IF($B1846=-1, -1, VLOOKUP(D1846,$Y$1:$Z$22,2))</f>
        <v>18</v>
      </c>
      <c r="H1846" s="16" t="str">
        <f aca="false">_xlfn.UNICHAR(((F1846*21)+G1846)*28+44032)</f>
        <v>프</v>
      </c>
      <c r="I1846" s="16" t="n">
        <f aca="false">IF(B1846=-1, 1, COUNTIF($A$2:$A$3000, H1846))</f>
        <v>1</v>
      </c>
      <c r="J1846" s="10" t="str">
        <f aca="false">_xlfn.CONCAT(A1846, ",",H1846,",",I1846)</f>
        <v>챌,프,1</v>
      </c>
      <c r="K1846" s="16" t="n">
        <f aca="false">IF(B1846=-1,-1,VLOOKUP(C1846,$T$1:$V$20,3))</f>
        <v>19</v>
      </c>
      <c r="L1846" s="16" t="n">
        <f aca="false">IF(B1846=-1,-1,VLOOKUP(D1846,$Y$1:$AA$22,3))</f>
        <v>10</v>
      </c>
      <c r="N1846" s="10" t="str">
        <f aca="false">_xlfn.UNICHAR(((C1846*21)+G1846)*28+44032)</f>
        <v>츠</v>
      </c>
      <c r="O1846" s="10" t="str">
        <f aca="false">_xlfn.UNICHAR(((F1846*21)+D1846)*28+44032)</f>
        <v>패</v>
      </c>
      <c r="P1846" s="12" t="n">
        <f aca="false">COUNTIF($A$2:$A$3000, N1846) + COUNTIF($A$2:$A$3000, O1846)</f>
        <v>2</v>
      </c>
      <c r="Q1846" s="16" t="str">
        <f aca="false">IF(OR(B1846=-1,I1846=0, P1846&lt;&gt;2), "albhed_dummy", _xlfn.CONCAT("albhed ", RIGHT("  " &amp; K1846,2),", ", RIGHT("  " &amp; L1846,2), ", " ,"""",H1846,""", ", """",N1846,""", ","""",O1846,""""," ; ", A1846))</f>
        <v>albhed 19, 10, "프", "츠", "패" ; 챌</v>
      </c>
    </row>
    <row r="1847" customFormat="false" ht="17.9" hidden="false" customHeight="true" outlineLevel="0" collapsed="false">
      <c r="A1847" s="16" t="s">
        <v>2697</v>
      </c>
      <c r="B1847" s="16" t="n">
        <f aca="false">IF(_xlfn.UNICODE(A1847)&lt;44032,-1,_xlfn.UNICODE(A1847)-44032)</f>
        <v>8276</v>
      </c>
      <c r="C1847" s="16" t="n">
        <f aca="false">IF(B1847=-1,-1,INT((B1847/28)/21))</f>
        <v>14</v>
      </c>
      <c r="D1847" s="16" t="n">
        <f aca="false">IF(B1847=-1, -1, MOD(INT(B1847/28),21))</f>
        <v>1</v>
      </c>
      <c r="E1847" s="16" t="n">
        <f aca="false">IF(B1847=-1, -1, VLOOKUP(MOD(B1847,28), $T$24:$U$52,2))</f>
        <v>16</v>
      </c>
      <c r="F1847" s="16" t="n">
        <f aca="false">IF($B1847=-1, -1, VLOOKUP(C1847,$T$1:$V$20, 2))</f>
        <v>17</v>
      </c>
      <c r="G1847" s="16" t="n">
        <f aca="false">IF($B1847=-1, -1, VLOOKUP(D1847,$Y$1:$Z$22,2))</f>
        <v>18</v>
      </c>
      <c r="H1847" s="16" t="str">
        <f aca="false">_xlfn.UNICHAR(((F1847*21)+G1847)*28+44032)</f>
        <v>프</v>
      </c>
      <c r="I1847" s="16" t="n">
        <f aca="false">IF(B1847=-1, 1, COUNTIF($A$2:$A$3000, H1847))</f>
        <v>1</v>
      </c>
      <c r="J1847" s="10" t="str">
        <f aca="false">_xlfn.CONCAT(A1847, ",",H1847,",",I1847)</f>
        <v>챔,프,1</v>
      </c>
      <c r="K1847" s="16" t="n">
        <f aca="false">IF(B1847=-1,-1,VLOOKUP(C1847,$T$1:$V$20,3))</f>
        <v>19</v>
      </c>
      <c r="L1847" s="16" t="n">
        <f aca="false">IF(B1847=-1,-1,VLOOKUP(D1847,$Y$1:$AA$22,3))</f>
        <v>10</v>
      </c>
      <c r="N1847" s="10" t="str">
        <f aca="false">_xlfn.UNICHAR(((C1847*21)+G1847)*28+44032)</f>
        <v>츠</v>
      </c>
      <c r="O1847" s="10" t="str">
        <f aca="false">_xlfn.UNICHAR(((F1847*21)+D1847)*28+44032)</f>
        <v>패</v>
      </c>
      <c r="P1847" s="12" t="n">
        <f aca="false">COUNTIF($A$2:$A$3000, N1847) + COUNTIF($A$2:$A$3000, O1847)</f>
        <v>2</v>
      </c>
      <c r="Q1847" s="16" t="str">
        <f aca="false">IF(OR(B1847=-1,I1847=0, P1847&lt;&gt;2), "albhed_dummy", _xlfn.CONCAT("albhed ", RIGHT("  " &amp; K1847,2),", ", RIGHT("  " &amp; L1847,2), ", " ,"""",H1847,""", ", """",N1847,""", ","""",O1847,""""," ; ", A1847))</f>
        <v>albhed 19, 10, "프", "츠", "패" ; 챔</v>
      </c>
    </row>
    <row r="1848" customFormat="false" ht="17.9" hidden="false" customHeight="true" outlineLevel="0" collapsed="false">
      <c r="A1848" s="16" t="s">
        <v>2698</v>
      </c>
      <c r="B1848" s="16" t="n">
        <f aca="false">IF(_xlfn.UNICODE(A1848)&lt;44032,-1,_xlfn.UNICODE(A1848)-44032)</f>
        <v>8277</v>
      </c>
      <c r="C1848" s="16" t="n">
        <f aca="false">IF(B1848=-1,-1,INT((B1848/28)/21))</f>
        <v>14</v>
      </c>
      <c r="D1848" s="16" t="n">
        <f aca="false">IF(B1848=-1, -1, MOD(INT(B1848/28),21))</f>
        <v>1</v>
      </c>
      <c r="E1848" s="16" t="n">
        <f aca="false">IF(B1848=-1, -1, VLOOKUP(MOD(B1848,28), $T$24:$U$52,2))</f>
        <v>17</v>
      </c>
      <c r="F1848" s="16" t="n">
        <f aca="false">IF($B1848=-1, -1, VLOOKUP(C1848,$T$1:$V$20, 2))</f>
        <v>17</v>
      </c>
      <c r="G1848" s="16" t="n">
        <f aca="false">IF($B1848=-1, -1, VLOOKUP(D1848,$Y$1:$Z$22,2))</f>
        <v>18</v>
      </c>
      <c r="H1848" s="16" t="str">
        <f aca="false">_xlfn.UNICHAR(((F1848*21)+G1848)*28+44032)</f>
        <v>프</v>
      </c>
      <c r="I1848" s="16" t="n">
        <f aca="false">IF(B1848=-1, 1, COUNTIF($A$2:$A$3000, H1848))</f>
        <v>1</v>
      </c>
      <c r="J1848" s="10" t="str">
        <f aca="false">_xlfn.CONCAT(A1848, ",",H1848,",",I1848)</f>
        <v>챕,프,1</v>
      </c>
      <c r="K1848" s="16" t="n">
        <f aca="false">IF(B1848=-1,-1,VLOOKUP(C1848,$T$1:$V$20,3))</f>
        <v>19</v>
      </c>
      <c r="L1848" s="16" t="n">
        <f aca="false">IF(B1848=-1,-1,VLOOKUP(D1848,$Y$1:$AA$22,3))</f>
        <v>10</v>
      </c>
      <c r="N1848" s="10" t="str">
        <f aca="false">_xlfn.UNICHAR(((C1848*21)+G1848)*28+44032)</f>
        <v>츠</v>
      </c>
      <c r="O1848" s="10" t="str">
        <f aca="false">_xlfn.UNICHAR(((F1848*21)+D1848)*28+44032)</f>
        <v>패</v>
      </c>
      <c r="P1848" s="12" t="n">
        <f aca="false">COUNTIF($A$2:$A$3000, N1848) + COUNTIF($A$2:$A$3000, O1848)</f>
        <v>2</v>
      </c>
      <c r="Q1848" s="16" t="str">
        <f aca="false">IF(OR(B1848=-1,I1848=0, P1848&lt;&gt;2), "albhed_dummy", _xlfn.CONCAT("albhed ", RIGHT("  " &amp; K1848,2),", ", RIGHT("  " &amp; L1848,2), ", " ,"""",H1848,""", ", """",N1848,""", ","""",O1848,""""," ; ", A1848))</f>
        <v>albhed 19, 10, "프", "츠", "패" ; 챕</v>
      </c>
    </row>
    <row r="1849" customFormat="false" ht="17.9" hidden="false" customHeight="true" outlineLevel="0" collapsed="false">
      <c r="A1849" s="16" t="s">
        <v>2699</v>
      </c>
      <c r="B1849" s="16" t="n">
        <f aca="false">IF(_xlfn.UNICODE(A1849)&lt;44032,-1,_xlfn.UNICODE(A1849)-44032)</f>
        <v>8279</v>
      </c>
      <c r="C1849" s="16" t="n">
        <f aca="false">IF(B1849=-1,-1,INT((B1849/28)/21))</f>
        <v>14</v>
      </c>
      <c r="D1849" s="16" t="n">
        <f aca="false">IF(B1849=-1, -1, MOD(INT(B1849/28),21))</f>
        <v>1</v>
      </c>
      <c r="E1849" s="16" t="n">
        <f aca="false">IF(B1849=-1, -1, VLOOKUP(MOD(B1849,28), $T$24:$U$52,2))</f>
        <v>19</v>
      </c>
      <c r="F1849" s="16" t="n">
        <f aca="false">IF($B1849=-1, -1, VLOOKUP(C1849,$T$1:$V$20, 2))</f>
        <v>17</v>
      </c>
      <c r="G1849" s="16" t="n">
        <f aca="false">IF($B1849=-1, -1, VLOOKUP(D1849,$Y$1:$Z$22,2))</f>
        <v>18</v>
      </c>
      <c r="H1849" s="16" t="str">
        <f aca="false">_xlfn.UNICHAR(((F1849*21)+G1849)*28+44032)</f>
        <v>프</v>
      </c>
      <c r="I1849" s="16" t="n">
        <f aca="false">IF(B1849=-1, 1, COUNTIF($A$2:$A$3000, H1849))</f>
        <v>1</v>
      </c>
      <c r="J1849" s="10" t="str">
        <f aca="false">_xlfn.CONCAT(A1849, ",",H1849,",",I1849)</f>
        <v>챗,프,1</v>
      </c>
      <c r="K1849" s="16" t="n">
        <f aca="false">IF(B1849=-1,-1,VLOOKUP(C1849,$T$1:$V$20,3))</f>
        <v>19</v>
      </c>
      <c r="L1849" s="16" t="n">
        <f aca="false">IF(B1849=-1,-1,VLOOKUP(D1849,$Y$1:$AA$22,3))</f>
        <v>10</v>
      </c>
      <c r="N1849" s="10" t="str">
        <f aca="false">_xlfn.UNICHAR(((C1849*21)+G1849)*28+44032)</f>
        <v>츠</v>
      </c>
      <c r="O1849" s="10" t="str">
        <f aca="false">_xlfn.UNICHAR(((F1849*21)+D1849)*28+44032)</f>
        <v>패</v>
      </c>
      <c r="P1849" s="12" t="n">
        <f aca="false">COUNTIF($A$2:$A$3000, N1849) + COUNTIF($A$2:$A$3000, O1849)</f>
        <v>2</v>
      </c>
      <c r="Q1849" s="16" t="str">
        <f aca="false">IF(OR(B1849=-1,I1849=0, P1849&lt;&gt;2), "albhed_dummy", _xlfn.CONCAT("albhed ", RIGHT("  " &amp; K1849,2),", ", RIGHT("  " &amp; L1849,2), ", " ,"""",H1849,""", ", """",N1849,""", ","""",O1849,""""," ; ", A1849))</f>
        <v>albhed 19, 10, "프", "츠", "패" ; 챗</v>
      </c>
    </row>
    <row r="1850" customFormat="false" ht="17.9" hidden="false" customHeight="true" outlineLevel="0" collapsed="false">
      <c r="A1850" s="16" t="s">
        <v>2700</v>
      </c>
      <c r="B1850" s="16" t="n">
        <f aca="false">IF(_xlfn.UNICODE(A1850)&lt;44032,-1,_xlfn.UNICODE(A1850)-44032)</f>
        <v>8280</v>
      </c>
      <c r="C1850" s="16" t="n">
        <f aca="false">IF(B1850=-1,-1,INT((B1850/28)/21))</f>
        <v>14</v>
      </c>
      <c r="D1850" s="16" t="n">
        <f aca="false">IF(B1850=-1, -1, MOD(INT(B1850/28),21))</f>
        <v>1</v>
      </c>
      <c r="E1850" s="16" t="n">
        <f aca="false">IF(B1850=-1, -1, VLOOKUP(MOD(B1850,28), $T$24:$U$52,2))</f>
        <v>19</v>
      </c>
      <c r="F1850" s="16" t="n">
        <f aca="false">IF($B1850=-1, -1, VLOOKUP(C1850,$T$1:$V$20, 2))</f>
        <v>17</v>
      </c>
      <c r="G1850" s="16" t="n">
        <f aca="false">IF($B1850=-1, -1, VLOOKUP(D1850,$Y$1:$Z$22,2))</f>
        <v>18</v>
      </c>
      <c r="H1850" s="16" t="str">
        <f aca="false">_xlfn.UNICHAR(((F1850*21)+G1850)*28+44032)</f>
        <v>프</v>
      </c>
      <c r="I1850" s="16" t="n">
        <f aca="false">IF(B1850=-1, 1, COUNTIF($A$2:$A$3000, H1850))</f>
        <v>1</v>
      </c>
      <c r="J1850" s="10" t="str">
        <f aca="false">_xlfn.CONCAT(A1850, ",",H1850,",",I1850)</f>
        <v>챘,프,1</v>
      </c>
      <c r="K1850" s="16" t="n">
        <f aca="false">IF(B1850=-1,-1,VLOOKUP(C1850,$T$1:$V$20,3))</f>
        <v>19</v>
      </c>
      <c r="L1850" s="16" t="n">
        <f aca="false">IF(B1850=-1,-1,VLOOKUP(D1850,$Y$1:$AA$22,3))</f>
        <v>10</v>
      </c>
      <c r="N1850" s="10" t="str">
        <f aca="false">_xlfn.UNICHAR(((C1850*21)+G1850)*28+44032)</f>
        <v>츠</v>
      </c>
      <c r="O1850" s="10" t="str">
        <f aca="false">_xlfn.UNICHAR(((F1850*21)+D1850)*28+44032)</f>
        <v>패</v>
      </c>
      <c r="P1850" s="12" t="n">
        <f aca="false">COUNTIF($A$2:$A$3000, N1850) + COUNTIF($A$2:$A$3000, O1850)</f>
        <v>2</v>
      </c>
      <c r="Q1850" s="16" t="str">
        <f aca="false">IF(OR(B1850=-1,I1850=0, P1850&lt;&gt;2), "albhed_dummy", _xlfn.CONCAT("albhed ", RIGHT("  " &amp; K1850,2),", ", RIGHT("  " &amp; L1850,2), ", " ,"""",H1850,""", ", """",N1850,""", ","""",O1850,""""," ; ", A1850))</f>
        <v>albhed 19, 10, "프", "츠", "패" ; 챘</v>
      </c>
    </row>
    <row r="1851" customFormat="false" ht="17.9" hidden="false" customHeight="true" outlineLevel="0" collapsed="false">
      <c r="A1851" s="16" t="s">
        <v>2701</v>
      </c>
      <c r="B1851" s="16" t="n">
        <f aca="false">IF(_xlfn.UNICODE(A1851)&lt;44032,-1,_xlfn.UNICODE(A1851)-44032)</f>
        <v>8281</v>
      </c>
      <c r="C1851" s="16" t="n">
        <f aca="false">IF(B1851=-1,-1,INT((B1851/28)/21))</f>
        <v>14</v>
      </c>
      <c r="D1851" s="16" t="n">
        <f aca="false">IF(B1851=-1, -1, MOD(INT(B1851/28),21))</f>
        <v>1</v>
      </c>
      <c r="E1851" s="16" t="n">
        <f aca="false">IF(B1851=-1, -1, VLOOKUP(MOD(B1851,28), $T$24:$U$52,2))</f>
        <v>21</v>
      </c>
      <c r="F1851" s="16" t="n">
        <f aca="false">IF($B1851=-1, -1, VLOOKUP(C1851,$T$1:$V$20, 2))</f>
        <v>17</v>
      </c>
      <c r="G1851" s="16" t="n">
        <f aca="false">IF($B1851=-1, -1, VLOOKUP(D1851,$Y$1:$Z$22,2))</f>
        <v>18</v>
      </c>
      <c r="H1851" s="16" t="str">
        <f aca="false">_xlfn.UNICHAR(((F1851*21)+G1851)*28+44032)</f>
        <v>프</v>
      </c>
      <c r="I1851" s="16" t="n">
        <f aca="false">IF(B1851=-1, 1, COUNTIF($A$2:$A$3000, H1851))</f>
        <v>1</v>
      </c>
      <c r="J1851" s="10" t="str">
        <f aca="false">_xlfn.CONCAT(A1851, ",",H1851,",",I1851)</f>
        <v>챙,프,1</v>
      </c>
      <c r="K1851" s="16" t="n">
        <f aca="false">IF(B1851=-1,-1,VLOOKUP(C1851,$T$1:$V$20,3))</f>
        <v>19</v>
      </c>
      <c r="L1851" s="16" t="n">
        <f aca="false">IF(B1851=-1,-1,VLOOKUP(D1851,$Y$1:$AA$22,3))</f>
        <v>10</v>
      </c>
      <c r="N1851" s="10" t="str">
        <f aca="false">_xlfn.UNICHAR(((C1851*21)+G1851)*28+44032)</f>
        <v>츠</v>
      </c>
      <c r="O1851" s="10" t="str">
        <f aca="false">_xlfn.UNICHAR(((F1851*21)+D1851)*28+44032)</f>
        <v>패</v>
      </c>
      <c r="P1851" s="12" t="n">
        <f aca="false">COUNTIF($A$2:$A$3000, N1851) + COUNTIF($A$2:$A$3000, O1851)</f>
        <v>2</v>
      </c>
      <c r="Q1851" s="16" t="str">
        <f aca="false">IF(OR(B1851=-1,I1851=0, P1851&lt;&gt;2), "albhed_dummy", _xlfn.CONCAT("albhed ", RIGHT("  " &amp; K1851,2),", ", RIGHT("  " &amp; L1851,2), ", " ,"""",H1851,""", ", """",N1851,""", ","""",O1851,""""," ; ", A1851))</f>
        <v>albhed 19, 10, "프", "츠", "패" ; 챙</v>
      </c>
    </row>
    <row r="1852" customFormat="false" ht="17.9" hidden="false" customHeight="true" outlineLevel="0" collapsed="false">
      <c r="A1852" s="16" t="s">
        <v>2702</v>
      </c>
      <c r="B1852" s="16" t="n">
        <f aca="false">IF(_xlfn.UNICODE(A1852)&lt;44032,-1,_xlfn.UNICODE(A1852)-44032)</f>
        <v>8288</v>
      </c>
      <c r="C1852" s="16" t="n">
        <f aca="false">IF(B1852=-1,-1,INT((B1852/28)/21))</f>
        <v>14</v>
      </c>
      <c r="D1852" s="16" t="n">
        <f aca="false">IF(B1852=-1, -1, MOD(INT(B1852/28),21))</f>
        <v>2</v>
      </c>
      <c r="E1852" s="16" t="n">
        <f aca="false">IF(B1852=-1, -1, VLOOKUP(MOD(B1852,28), $T$24:$U$52,2))</f>
        <v>0</v>
      </c>
      <c r="F1852" s="16" t="n">
        <f aca="false">IF($B1852=-1, -1, VLOOKUP(C1852,$T$1:$V$20, 2))</f>
        <v>17</v>
      </c>
      <c r="G1852" s="16" t="n">
        <f aca="false">IF($B1852=-1, -1, VLOOKUP(D1852,$Y$1:$Z$22,2))</f>
        <v>17</v>
      </c>
      <c r="H1852" s="16" t="str">
        <f aca="false">_xlfn.UNICHAR(((F1852*21)+G1852)*28+44032)</f>
        <v>퓨</v>
      </c>
      <c r="I1852" s="16" t="n">
        <f aca="false">IF(B1852=-1, 1, COUNTIF($A$2:$A$3000, H1852))</f>
        <v>1</v>
      </c>
      <c r="J1852" s="10" t="str">
        <f aca="false">_xlfn.CONCAT(A1852, ",",H1852,",",I1852)</f>
        <v>챠,퓨,1</v>
      </c>
      <c r="K1852" s="16" t="n">
        <f aca="false">IF(B1852=-1,-1,VLOOKUP(C1852,$T$1:$V$20,3))</f>
        <v>19</v>
      </c>
      <c r="L1852" s="16" t="n">
        <f aca="false">IF(B1852=-1,-1,VLOOKUP(D1852,$Y$1:$AA$22,3))</f>
        <v>2</v>
      </c>
      <c r="N1852" s="10" t="str">
        <f aca="false">_xlfn.UNICHAR(((C1852*21)+G1852)*28+44032)</f>
        <v>츄</v>
      </c>
      <c r="O1852" s="10" t="str">
        <f aca="false">_xlfn.UNICHAR(((F1852*21)+D1852)*28+44032)</f>
        <v>퍄</v>
      </c>
      <c r="P1852" s="12" t="n">
        <f aca="false">COUNTIF($A$2:$A$3000, N1852) + COUNTIF($A$2:$A$3000, O1852)</f>
        <v>2</v>
      </c>
      <c r="Q1852" s="16" t="str">
        <f aca="false">IF(OR(B1852=-1,I1852=0, P1852&lt;&gt;2), "albhed_dummy", _xlfn.CONCAT("albhed ", RIGHT("  " &amp; K1852,2),", ", RIGHT("  " &amp; L1852,2), ", " ,"""",H1852,""", ", """",N1852,""", ","""",O1852,""""," ; ", A1852))</f>
        <v>albhed 19,  2, "퓨", "츄", "퍄" ; 챠</v>
      </c>
    </row>
    <row r="1853" customFormat="false" ht="17.9" hidden="false" customHeight="true" outlineLevel="0" collapsed="false">
      <c r="A1853" s="16" t="s">
        <v>2703</v>
      </c>
      <c r="B1853" s="16" t="n">
        <f aca="false">IF(_xlfn.UNICODE(A1853)&lt;44032,-1,_xlfn.UNICODE(A1853)-44032)</f>
        <v>8292</v>
      </c>
      <c r="C1853" s="16" t="n">
        <f aca="false">IF(B1853=-1,-1,INT((B1853/28)/21))</f>
        <v>14</v>
      </c>
      <c r="D1853" s="16" t="n">
        <f aca="false">IF(B1853=-1, -1, MOD(INT(B1853/28),21))</f>
        <v>2</v>
      </c>
      <c r="E1853" s="16" t="n">
        <f aca="false">IF(B1853=-1, -1, VLOOKUP(MOD(B1853,28), $T$24:$U$52,2))</f>
        <v>4</v>
      </c>
      <c r="F1853" s="16" t="n">
        <f aca="false">IF($B1853=-1, -1, VLOOKUP(C1853,$T$1:$V$20, 2))</f>
        <v>17</v>
      </c>
      <c r="G1853" s="16" t="n">
        <f aca="false">IF($B1853=-1, -1, VLOOKUP(D1853,$Y$1:$Z$22,2))</f>
        <v>17</v>
      </c>
      <c r="H1853" s="16" t="str">
        <f aca="false">_xlfn.UNICHAR(((F1853*21)+G1853)*28+44032)</f>
        <v>퓨</v>
      </c>
      <c r="I1853" s="16" t="n">
        <f aca="false">IF(B1853=-1, 1, COUNTIF($A$2:$A$3000, H1853))</f>
        <v>1</v>
      </c>
      <c r="J1853" s="10" t="str">
        <f aca="false">_xlfn.CONCAT(A1853, ",",H1853,",",I1853)</f>
        <v>챤,퓨,1</v>
      </c>
      <c r="K1853" s="16" t="n">
        <f aca="false">IF(B1853=-1,-1,VLOOKUP(C1853,$T$1:$V$20,3))</f>
        <v>19</v>
      </c>
      <c r="L1853" s="16" t="n">
        <f aca="false">IF(B1853=-1,-1,VLOOKUP(D1853,$Y$1:$AA$22,3))</f>
        <v>2</v>
      </c>
      <c r="N1853" s="10" t="str">
        <f aca="false">_xlfn.UNICHAR(((C1853*21)+G1853)*28+44032)</f>
        <v>츄</v>
      </c>
      <c r="O1853" s="10" t="str">
        <f aca="false">_xlfn.UNICHAR(((F1853*21)+D1853)*28+44032)</f>
        <v>퍄</v>
      </c>
      <c r="P1853" s="12" t="n">
        <f aca="false">COUNTIF($A$2:$A$3000, N1853) + COUNTIF($A$2:$A$3000, O1853)</f>
        <v>2</v>
      </c>
      <c r="Q1853" s="16" t="str">
        <f aca="false">IF(OR(B1853=-1,I1853=0, P1853&lt;&gt;2), "albhed_dummy", _xlfn.CONCAT("albhed ", RIGHT("  " &amp; K1853,2),", ", RIGHT("  " &amp; L1853,2), ", " ,"""",H1853,""", ", """",N1853,""", ","""",O1853,""""," ; ", A1853))</f>
        <v>albhed 19,  2, "퓨", "츄", "퍄" ; 챤</v>
      </c>
    </row>
    <row r="1854" customFormat="false" ht="17.9" hidden="false" customHeight="true" outlineLevel="0" collapsed="false">
      <c r="A1854" s="16" t="s">
        <v>2704</v>
      </c>
      <c r="B1854" s="16" t="n">
        <f aca="false">IF(_xlfn.UNICODE(A1854)&lt;44032,-1,_xlfn.UNICODE(A1854)-44032)</f>
        <v>8294</v>
      </c>
      <c r="C1854" s="16" t="n">
        <f aca="false">IF(B1854=-1,-1,INT((B1854/28)/21))</f>
        <v>14</v>
      </c>
      <c r="D1854" s="16" t="n">
        <f aca="false">IF(B1854=-1, -1, MOD(INT(B1854/28),21))</f>
        <v>2</v>
      </c>
      <c r="E1854" s="16" t="n">
        <f aca="false">IF(B1854=-1, -1, VLOOKUP(MOD(B1854,28), $T$24:$U$52,2))</f>
        <v>4</v>
      </c>
      <c r="F1854" s="16" t="n">
        <f aca="false">IF($B1854=-1, -1, VLOOKUP(C1854,$T$1:$V$20, 2))</f>
        <v>17</v>
      </c>
      <c r="G1854" s="16" t="n">
        <f aca="false">IF($B1854=-1, -1, VLOOKUP(D1854,$Y$1:$Z$22,2))</f>
        <v>17</v>
      </c>
      <c r="H1854" s="16" t="str">
        <f aca="false">_xlfn.UNICHAR(((F1854*21)+G1854)*28+44032)</f>
        <v>퓨</v>
      </c>
      <c r="I1854" s="16" t="n">
        <f aca="false">IF(B1854=-1, 1, COUNTIF($A$2:$A$3000, H1854))</f>
        <v>1</v>
      </c>
      <c r="J1854" s="10" t="str">
        <f aca="false">_xlfn.CONCAT(A1854, ",",H1854,",",I1854)</f>
        <v>챦,퓨,1</v>
      </c>
      <c r="K1854" s="16" t="n">
        <f aca="false">IF(B1854=-1,-1,VLOOKUP(C1854,$T$1:$V$20,3))</f>
        <v>19</v>
      </c>
      <c r="L1854" s="16" t="n">
        <f aca="false">IF(B1854=-1,-1,VLOOKUP(D1854,$Y$1:$AA$22,3))</f>
        <v>2</v>
      </c>
      <c r="N1854" s="10" t="str">
        <f aca="false">_xlfn.UNICHAR(((C1854*21)+G1854)*28+44032)</f>
        <v>츄</v>
      </c>
      <c r="O1854" s="10" t="str">
        <f aca="false">_xlfn.UNICHAR(((F1854*21)+D1854)*28+44032)</f>
        <v>퍄</v>
      </c>
      <c r="P1854" s="12" t="n">
        <f aca="false">COUNTIF($A$2:$A$3000, N1854) + COUNTIF($A$2:$A$3000, O1854)</f>
        <v>2</v>
      </c>
      <c r="Q1854" s="16" t="str">
        <f aca="false">IF(OR(B1854=-1,I1854=0, P1854&lt;&gt;2), "albhed_dummy", _xlfn.CONCAT("albhed ", RIGHT("  " &amp; K1854,2),", ", RIGHT("  " &amp; L1854,2), ", " ,"""",H1854,""", ", """",N1854,""", ","""",O1854,""""," ; ", A1854))</f>
        <v>albhed 19,  2, "퓨", "츄", "퍄" ; 챦</v>
      </c>
    </row>
    <row r="1855" customFormat="false" ht="17.9" hidden="false" customHeight="true" outlineLevel="0" collapsed="false">
      <c r="A1855" s="16" t="s">
        <v>2705</v>
      </c>
      <c r="B1855" s="16" t="n">
        <f aca="false">IF(_xlfn.UNICODE(A1855)&lt;44032,-1,_xlfn.UNICODE(A1855)-44032)</f>
        <v>8296</v>
      </c>
      <c r="C1855" s="16" t="n">
        <f aca="false">IF(B1855=-1,-1,INT((B1855/28)/21))</f>
        <v>14</v>
      </c>
      <c r="D1855" s="16" t="n">
        <f aca="false">IF(B1855=-1, -1, MOD(INT(B1855/28),21))</f>
        <v>2</v>
      </c>
      <c r="E1855" s="16" t="n">
        <f aca="false">IF(B1855=-1, -1, VLOOKUP(MOD(B1855,28), $T$24:$U$52,2))</f>
        <v>8</v>
      </c>
      <c r="F1855" s="16" t="n">
        <f aca="false">IF($B1855=-1, -1, VLOOKUP(C1855,$T$1:$V$20, 2))</f>
        <v>17</v>
      </c>
      <c r="G1855" s="16" t="n">
        <f aca="false">IF($B1855=-1, -1, VLOOKUP(D1855,$Y$1:$Z$22,2))</f>
        <v>17</v>
      </c>
      <c r="H1855" s="16" t="str">
        <f aca="false">_xlfn.UNICHAR(((F1855*21)+G1855)*28+44032)</f>
        <v>퓨</v>
      </c>
      <c r="I1855" s="16" t="n">
        <f aca="false">IF(B1855=-1, 1, COUNTIF($A$2:$A$3000, H1855))</f>
        <v>1</v>
      </c>
      <c r="J1855" s="10" t="str">
        <f aca="false">_xlfn.CONCAT(A1855, ",",H1855,",",I1855)</f>
        <v>챨,퓨,1</v>
      </c>
      <c r="K1855" s="16" t="n">
        <f aca="false">IF(B1855=-1,-1,VLOOKUP(C1855,$T$1:$V$20,3))</f>
        <v>19</v>
      </c>
      <c r="L1855" s="16" t="n">
        <f aca="false">IF(B1855=-1,-1,VLOOKUP(D1855,$Y$1:$AA$22,3))</f>
        <v>2</v>
      </c>
      <c r="N1855" s="10" t="str">
        <f aca="false">_xlfn.UNICHAR(((C1855*21)+G1855)*28+44032)</f>
        <v>츄</v>
      </c>
      <c r="O1855" s="10" t="str">
        <f aca="false">_xlfn.UNICHAR(((F1855*21)+D1855)*28+44032)</f>
        <v>퍄</v>
      </c>
      <c r="P1855" s="12" t="n">
        <f aca="false">COUNTIF($A$2:$A$3000, N1855) + COUNTIF($A$2:$A$3000, O1855)</f>
        <v>2</v>
      </c>
      <c r="Q1855" s="16" t="str">
        <f aca="false">IF(OR(B1855=-1,I1855=0, P1855&lt;&gt;2), "albhed_dummy", _xlfn.CONCAT("albhed ", RIGHT("  " &amp; K1855,2),", ", RIGHT("  " &amp; L1855,2), ", " ,"""",H1855,""", ", """",N1855,""", ","""",O1855,""""," ; ", A1855))</f>
        <v>albhed 19,  2, "퓨", "츄", "퍄" ; 챨</v>
      </c>
    </row>
    <row r="1856" customFormat="false" ht="17.9" hidden="false" customHeight="true" outlineLevel="0" collapsed="false">
      <c r="A1856" s="16" t="s">
        <v>2706</v>
      </c>
      <c r="B1856" s="16" t="n">
        <f aca="false">IF(_xlfn.UNICODE(A1856)&lt;44032,-1,_xlfn.UNICODE(A1856)-44032)</f>
        <v>8304</v>
      </c>
      <c r="C1856" s="16" t="n">
        <f aca="false">IF(B1856=-1,-1,INT((B1856/28)/21))</f>
        <v>14</v>
      </c>
      <c r="D1856" s="16" t="n">
        <f aca="false">IF(B1856=-1, -1, MOD(INT(B1856/28),21))</f>
        <v>2</v>
      </c>
      <c r="E1856" s="16" t="n">
        <f aca="false">IF(B1856=-1, -1, VLOOKUP(MOD(B1856,28), $T$24:$U$52,2))</f>
        <v>16</v>
      </c>
      <c r="F1856" s="16" t="n">
        <f aca="false">IF($B1856=-1, -1, VLOOKUP(C1856,$T$1:$V$20, 2))</f>
        <v>17</v>
      </c>
      <c r="G1856" s="16" t="n">
        <f aca="false">IF($B1856=-1, -1, VLOOKUP(D1856,$Y$1:$Z$22,2))</f>
        <v>17</v>
      </c>
      <c r="H1856" s="16" t="str">
        <f aca="false">_xlfn.UNICHAR(((F1856*21)+G1856)*28+44032)</f>
        <v>퓨</v>
      </c>
      <c r="I1856" s="16" t="n">
        <f aca="false">IF(B1856=-1, 1, COUNTIF($A$2:$A$3000, H1856))</f>
        <v>1</v>
      </c>
      <c r="J1856" s="10" t="str">
        <f aca="false">_xlfn.CONCAT(A1856, ",",H1856,",",I1856)</f>
        <v>챰,퓨,1</v>
      </c>
      <c r="K1856" s="16" t="n">
        <f aca="false">IF(B1856=-1,-1,VLOOKUP(C1856,$T$1:$V$20,3))</f>
        <v>19</v>
      </c>
      <c r="L1856" s="16" t="n">
        <f aca="false">IF(B1856=-1,-1,VLOOKUP(D1856,$Y$1:$AA$22,3))</f>
        <v>2</v>
      </c>
      <c r="N1856" s="10" t="str">
        <f aca="false">_xlfn.UNICHAR(((C1856*21)+G1856)*28+44032)</f>
        <v>츄</v>
      </c>
      <c r="O1856" s="10" t="str">
        <f aca="false">_xlfn.UNICHAR(((F1856*21)+D1856)*28+44032)</f>
        <v>퍄</v>
      </c>
      <c r="P1856" s="12" t="n">
        <f aca="false">COUNTIF($A$2:$A$3000, N1856) + COUNTIF($A$2:$A$3000, O1856)</f>
        <v>2</v>
      </c>
      <c r="Q1856" s="16" t="str">
        <f aca="false">IF(OR(B1856=-1,I1856=0, P1856&lt;&gt;2), "albhed_dummy", _xlfn.CONCAT("albhed ", RIGHT("  " &amp; K1856,2),", ", RIGHT("  " &amp; L1856,2), ", " ,"""",H1856,""", ", """",N1856,""", ","""",O1856,""""," ; ", A1856))</f>
        <v>albhed 19,  2, "퓨", "츄", "퍄" ; 챰</v>
      </c>
    </row>
    <row r="1857" customFormat="false" ht="17.9" hidden="false" customHeight="true" outlineLevel="0" collapsed="false">
      <c r="A1857" s="16" t="s">
        <v>2707</v>
      </c>
      <c r="B1857" s="16" t="n">
        <f aca="false">IF(_xlfn.UNICODE(A1857)&lt;44032,-1,_xlfn.UNICODE(A1857)-44032)</f>
        <v>8309</v>
      </c>
      <c r="C1857" s="16" t="n">
        <f aca="false">IF(B1857=-1,-1,INT((B1857/28)/21))</f>
        <v>14</v>
      </c>
      <c r="D1857" s="16" t="n">
        <f aca="false">IF(B1857=-1, -1, MOD(INT(B1857/28),21))</f>
        <v>2</v>
      </c>
      <c r="E1857" s="16" t="n">
        <f aca="false">IF(B1857=-1, -1, VLOOKUP(MOD(B1857,28), $T$24:$U$52,2))</f>
        <v>21</v>
      </c>
      <c r="F1857" s="16" t="n">
        <f aca="false">IF($B1857=-1, -1, VLOOKUP(C1857,$T$1:$V$20, 2))</f>
        <v>17</v>
      </c>
      <c r="G1857" s="16" t="n">
        <f aca="false">IF($B1857=-1, -1, VLOOKUP(D1857,$Y$1:$Z$22,2))</f>
        <v>17</v>
      </c>
      <c r="H1857" s="16" t="str">
        <f aca="false">_xlfn.UNICHAR(((F1857*21)+G1857)*28+44032)</f>
        <v>퓨</v>
      </c>
      <c r="I1857" s="16" t="n">
        <f aca="false">IF(B1857=-1, 1, COUNTIF($A$2:$A$3000, H1857))</f>
        <v>1</v>
      </c>
      <c r="J1857" s="10" t="str">
        <f aca="false">_xlfn.CONCAT(A1857, ",",H1857,",",I1857)</f>
        <v>챵,퓨,1</v>
      </c>
      <c r="K1857" s="16" t="n">
        <f aca="false">IF(B1857=-1,-1,VLOOKUP(C1857,$T$1:$V$20,3))</f>
        <v>19</v>
      </c>
      <c r="L1857" s="16" t="n">
        <f aca="false">IF(B1857=-1,-1,VLOOKUP(D1857,$Y$1:$AA$22,3))</f>
        <v>2</v>
      </c>
      <c r="N1857" s="10" t="str">
        <f aca="false">_xlfn.UNICHAR(((C1857*21)+G1857)*28+44032)</f>
        <v>츄</v>
      </c>
      <c r="O1857" s="10" t="str">
        <f aca="false">_xlfn.UNICHAR(((F1857*21)+D1857)*28+44032)</f>
        <v>퍄</v>
      </c>
      <c r="P1857" s="12" t="n">
        <f aca="false">COUNTIF($A$2:$A$3000, N1857) + COUNTIF($A$2:$A$3000, O1857)</f>
        <v>2</v>
      </c>
      <c r="Q1857" s="16" t="str">
        <f aca="false">IF(OR(B1857=-1,I1857=0, P1857&lt;&gt;2), "albhed_dummy", _xlfn.CONCAT("albhed ", RIGHT("  " &amp; K1857,2),", ", RIGHT("  " &amp; L1857,2), ", " ,"""",H1857,""", ", """",N1857,""", ","""",O1857,""""," ; ", A1857))</f>
        <v>albhed 19,  2, "퓨", "츄", "퍄" ; 챵</v>
      </c>
    </row>
    <row r="1858" customFormat="false" ht="17.9" hidden="false" customHeight="true" outlineLevel="0" collapsed="false">
      <c r="A1858" s="16" t="s">
        <v>2708</v>
      </c>
      <c r="B1858" s="16" t="n">
        <f aca="false">IF(_xlfn.UNICODE(A1858)&lt;44032,-1,_xlfn.UNICODE(A1858)-44032)</f>
        <v>8344</v>
      </c>
      <c r="C1858" s="16" t="n">
        <f aca="false">IF(B1858=-1,-1,INT((B1858/28)/21))</f>
        <v>14</v>
      </c>
      <c r="D1858" s="16" t="n">
        <f aca="false">IF(B1858=-1, -1, MOD(INT(B1858/28),21))</f>
        <v>4</v>
      </c>
      <c r="E1858" s="16" t="n">
        <f aca="false">IF(B1858=-1, -1, VLOOKUP(MOD(B1858,28), $T$24:$U$52,2))</f>
        <v>0</v>
      </c>
      <c r="F1858" s="16" t="n">
        <f aca="false">IF($B1858=-1, -1, VLOOKUP(C1858,$T$1:$V$20, 2))</f>
        <v>17</v>
      </c>
      <c r="G1858" s="16" t="n">
        <f aca="false">IF($B1858=-1, -1, VLOOKUP(D1858,$Y$1:$Z$22,2))</f>
        <v>8</v>
      </c>
      <c r="H1858" s="16" t="str">
        <f aca="false">_xlfn.UNICHAR(((F1858*21)+G1858)*28+44032)</f>
        <v>포</v>
      </c>
      <c r="I1858" s="16" t="n">
        <f aca="false">IF(B1858=-1, 1, COUNTIF($A$2:$A$3000, H1858))</f>
        <v>1</v>
      </c>
      <c r="J1858" s="10" t="str">
        <f aca="false">_xlfn.CONCAT(A1858, ",",H1858,",",I1858)</f>
        <v>처,포,1</v>
      </c>
      <c r="K1858" s="16" t="n">
        <f aca="false">IF(B1858=-1,-1,VLOOKUP(C1858,$T$1:$V$20,3))</f>
        <v>19</v>
      </c>
      <c r="L1858" s="16" t="n">
        <f aca="false">IF(B1858=-1,-1,VLOOKUP(D1858,$Y$1:$AA$22,3))</f>
        <v>4</v>
      </c>
      <c r="N1858" s="10" t="str">
        <f aca="false">_xlfn.UNICHAR(((C1858*21)+G1858)*28+44032)</f>
        <v>초</v>
      </c>
      <c r="O1858" s="10" t="str">
        <f aca="false">_xlfn.UNICHAR(((F1858*21)+D1858)*28+44032)</f>
        <v>퍼</v>
      </c>
      <c r="P1858" s="12" t="n">
        <f aca="false">COUNTIF($A$2:$A$3000, N1858) + COUNTIF($A$2:$A$3000, O1858)</f>
        <v>2</v>
      </c>
      <c r="Q1858" s="16" t="str">
        <f aca="false">IF(OR(B1858=-1,I1858=0, P1858&lt;&gt;2), "albhed_dummy", _xlfn.CONCAT("albhed ", RIGHT("  " &amp; K1858,2),", ", RIGHT("  " &amp; L1858,2), ", " ,"""",H1858,""", ", """",N1858,""", ","""",O1858,""""," ; ", A1858))</f>
        <v>albhed 19,  4, "포", "초", "퍼" ; 처</v>
      </c>
    </row>
    <row r="1859" customFormat="false" ht="17.9" hidden="false" customHeight="true" outlineLevel="0" collapsed="false">
      <c r="A1859" s="16" t="s">
        <v>2709</v>
      </c>
      <c r="B1859" s="16" t="n">
        <f aca="false">IF(_xlfn.UNICODE(A1859)&lt;44032,-1,_xlfn.UNICODE(A1859)-44032)</f>
        <v>8345</v>
      </c>
      <c r="C1859" s="16" t="n">
        <f aca="false">IF(B1859=-1,-1,INT((B1859/28)/21))</f>
        <v>14</v>
      </c>
      <c r="D1859" s="16" t="n">
        <f aca="false">IF(B1859=-1, -1, MOD(INT(B1859/28),21))</f>
        <v>4</v>
      </c>
      <c r="E1859" s="16" t="n">
        <f aca="false">IF(B1859=-1, -1, VLOOKUP(MOD(B1859,28), $T$24:$U$52,2))</f>
        <v>1</v>
      </c>
      <c r="F1859" s="16" t="n">
        <f aca="false">IF($B1859=-1, -1, VLOOKUP(C1859,$T$1:$V$20, 2))</f>
        <v>17</v>
      </c>
      <c r="G1859" s="16" t="n">
        <f aca="false">IF($B1859=-1, -1, VLOOKUP(D1859,$Y$1:$Z$22,2))</f>
        <v>8</v>
      </c>
      <c r="H1859" s="16" t="str">
        <f aca="false">_xlfn.UNICHAR(((F1859*21)+G1859)*28+44032)</f>
        <v>포</v>
      </c>
      <c r="I1859" s="16" t="n">
        <f aca="false">IF(B1859=-1, 1, COUNTIF($A$2:$A$3000, H1859))</f>
        <v>1</v>
      </c>
      <c r="J1859" s="10" t="str">
        <f aca="false">_xlfn.CONCAT(A1859, ",",H1859,",",I1859)</f>
        <v>척,포,1</v>
      </c>
      <c r="K1859" s="16" t="n">
        <f aca="false">IF(B1859=-1,-1,VLOOKUP(C1859,$T$1:$V$20,3))</f>
        <v>19</v>
      </c>
      <c r="L1859" s="16" t="n">
        <f aca="false">IF(B1859=-1,-1,VLOOKUP(D1859,$Y$1:$AA$22,3))</f>
        <v>4</v>
      </c>
      <c r="N1859" s="10" t="str">
        <f aca="false">_xlfn.UNICHAR(((C1859*21)+G1859)*28+44032)</f>
        <v>초</v>
      </c>
      <c r="O1859" s="10" t="str">
        <f aca="false">_xlfn.UNICHAR(((F1859*21)+D1859)*28+44032)</f>
        <v>퍼</v>
      </c>
      <c r="P1859" s="12" t="n">
        <f aca="false">COUNTIF($A$2:$A$3000, N1859) + COUNTIF($A$2:$A$3000, O1859)</f>
        <v>2</v>
      </c>
      <c r="Q1859" s="16" t="str">
        <f aca="false">IF(OR(B1859=-1,I1859=0, P1859&lt;&gt;2), "albhed_dummy", _xlfn.CONCAT("albhed ", RIGHT("  " &amp; K1859,2),", ", RIGHT("  " &amp; L1859,2), ", " ,"""",H1859,""", ", """",N1859,""", ","""",O1859,""""," ; ", A1859))</f>
        <v>albhed 19,  4, "포", "초", "퍼" ; 척</v>
      </c>
    </row>
    <row r="1860" customFormat="false" ht="17.9" hidden="false" customHeight="true" outlineLevel="0" collapsed="false">
      <c r="A1860" s="16" t="s">
        <v>2710</v>
      </c>
      <c r="B1860" s="16" t="n">
        <f aca="false">IF(_xlfn.UNICODE(A1860)&lt;44032,-1,_xlfn.UNICODE(A1860)-44032)</f>
        <v>8348</v>
      </c>
      <c r="C1860" s="16" t="n">
        <f aca="false">IF(B1860=-1,-1,INT((B1860/28)/21))</f>
        <v>14</v>
      </c>
      <c r="D1860" s="16" t="n">
        <f aca="false">IF(B1860=-1, -1, MOD(INT(B1860/28),21))</f>
        <v>4</v>
      </c>
      <c r="E1860" s="16" t="n">
        <f aca="false">IF(B1860=-1, -1, VLOOKUP(MOD(B1860,28), $T$24:$U$52,2))</f>
        <v>4</v>
      </c>
      <c r="F1860" s="16" t="n">
        <f aca="false">IF($B1860=-1, -1, VLOOKUP(C1860,$T$1:$V$20, 2))</f>
        <v>17</v>
      </c>
      <c r="G1860" s="16" t="n">
        <f aca="false">IF($B1860=-1, -1, VLOOKUP(D1860,$Y$1:$Z$22,2))</f>
        <v>8</v>
      </c>
      <c r="H1860" s="16" t="str">
        <f aca="false">_xlfn.UNICHAR(((F1860*21)+G1860)*28+44032)</f>
        <v>포</v>
      </c>
      <c r="I1860" s="16" t="n">
        <f aca="false">IF(B1860=-1, 1, COUNTIF($A$2:$A$3000, H1860))</f>
        <v>1</v>
      </c>
      <c r="J1860" s="10" t="str">
        <f aca="false">_xlfn.CONCAT(A1860, ",",H1860,",",I1860)</f>
        <v>천,포,1</v>
      </c>
      <c r="K1860" s="16" t="n">
        <f aca="false">IF(B1860=-1,-1,VLOOKUP(C1860,$T$1:$V$20,3))</f>
        <v>19</v>
      </c>
      <c r="L1860" s="16" t="n">
        <f aca="false">IF(B1860=-1,-1,VLOOKUP(D1860,$Y$1:$AA$22,3))</f>
        <v>4</v>
      </c>
      <c r="N1860" s="10" t="str">
        <f aca="false">_xlfn.UNICHAR(((C1860*21)+G1860)*28+44032)</f>
        <v>초</v>
      </c>
      <c r="O1860" s="10" t="str">
        <f aca="false">_xlfn.UNICHAR(((F1860*21)+D1860)*28+44032)</f>
        <v>퍼</v>
      </c>
      <c r="P1860" s="12" t="n">
        <f aca="false">COUNTIF($A$2:$A$3000, N1860) + COUNTIF($A$2:$A$3000, O1860)</f>
        <v>2</v>
      </c>
      <c r="Q1860" s="16" t="str">
        <f aca="false">IF(OR(B1860=-1,I1860=0, P1860&lt;&gt;2), "albhed_dummy", _xlfn.CONCAT("albhed ", RIGHT("  " &amp; K1860,2),", ", RIGHT("  " &amp; L1860,2), ", " ,"""",H1860,""", ", """",N1860,""", ","""",O1860,""""," ; ", A1860))</f>
        <v>albhed 19,  4, "포", "초", "퍼" ; 천</v>
      </c>
    </row>
    <row r="1861" customFormat="false" ht="17.9" hidden="false" customHeight="true" outlineLevel="0" collapsed="false">
      <c r="A1861" s="16" t="s">
        <v>2711</v>
      </c>
      <c r="B1861" s="16" t="n">
        <f aca="false">IF(_xlfn.UNICODE(A1861)&lt;44032,-1,_xlfn.UNICODE(A1861)-44032)</f>
        <v>8352</v>
      </c>
      <c r="C1861" s="16" t="n">
        <f aca="false">IF(B1861=-1,-1,INT((B1861/28)/21))</f>
        <v>14</v>
      </c>
      <c r="D1861" s="16" t="n">
        <f aca="false">IF(B1861=-1, -1, MOD(INT(B1861/28),21))</f>
        <v>4</v>
      </c>
      <c r="E1861" s="16" t="n">
        <f aca="false">IF(B1861=-1, -1, VLOOKUP(MOD(B1861,28), $T$24:$U$52,2))</f>
        <v>8</v>
      </c>
      <c r="F1861" s="16" t="n">
        <f aca="false">IF($B1861=-1, -1, VLOOKUP(C1861,$T$1:$V$20, 2))</f>
        <v>17</v>
      </c>
      <c r="G1861" s="16" t="n">
        <f aca="false">IF($B1861=-1, -1, VLOOKUP(D1861,$Y$1:$Z$22,2))</f>
        <v>8</v>
      </c>
      <c r="H1861" s="16" t="str">
        <f aca="false">_xlfn.UNICHAR(((F1861*21)+G1861)*28+44032)</f>
        <v>포</v>
      </c>
      <c r="I1861" s="16" t="n">
        <f aca="false">IF(B1861=-1, 1, COUNTIF($A$2:$A$3000, H1861))</f>
        <v>1</v>
      </c>
      <c r="J1861" s="10" t="str">
        <f aca="false">_xlfn.CONCAT(A1861, ",",H1861,",",I1861)</f>
        <v>철,포,1</v>
      </c>
      <c r="K1861" s="16" t="n">
        <f aca="false">IF(B1861=-1,-1,VLOOKUP(C1861,$T$1:$V$20,3))</f>
        <v>19</v>
      </c>
      <c r="L1861" s="16" t="n">
        <f aca="false">IF(B1861=-1,-1,VLOOKUP(D1861,$Y$1:$AA$22,3))</f>
        <v>4</v>
      </c>
      <c r="N1861" s="10" t="str">
        <f aca="false">_xlfn.UNICHAR(((C1861*21)+G1861)*28+44032)</f>
        <v>초</v>
      </c>
      <c r="O1861" s="10" t="str">
        <f aca="false">_xlfn.UNICHAR(((F1861*21)+D1861)*28+44032)</f>
        <v>퍼</v>
      </c>
      <c r="P1861" s="12" t="n">
        <f aca="false">COUNTIF($A$2:$A$3000, N1861) + COUNTIF($A$2:$A$3000, O1861)</f>
        <v>2</v>
      </c>
      <c r="Q1861" s="16" t="str">
        <f aca="false">IF(OR(B1861=-1,I1861=0, P1861&lt;&gt;2), "albhed_dummy", _xlfn.CONCAT("albhed ", RIGHT("  " &amp; K1861,2),", ", RIGHT("  " &amp; L1861,2), ", " ,"""",H1861,""", ", """",N1861,""", ","""",O1861,""""," ; ", A1861))</f>
        <v>albhed 19,  4, "포", "초", "퍼" ; 철</v>
      </c>
    </row>
    <row r="1862" customFormat="false" ht="17.9" hidden="false" customHeight="true" outlineLevel="0" collapsed="false">
      <c r="A1862" s="16" t="s">
        <v>2712</v>
      </c>
      <c r="B1862" s="16" t="n">
        <f aca="false">IF(_xlfn.UNICODE(A1862)&lt;44032,-1,_xlfn.UNICODE(A1862)-44032)</f>
        <v>8360</v>
      </c>
      <c r="C1862" s="16" t="n">
        <f aca="false">IF(B1862=-1,-1,INT((B1862/28)/21))</f>
        <v>14</v>
      </c>
      <c r="D1862" s="16" t="n">
        <f aca="false">IF(B1862=-1, -1, MOD(INT(B1862/28),21))</f>
        <v>4</v>
      </c>
      <c r="E1862" s="16" t="n">
        <f aca="false">IF(B1862=-1, -1, VLOOKUP(MOD(B1862,28), $T$24:$U$52,2))</f>
        <v>16</v>
      </c>
      <c r="F1862" s="16" t="n">
        <f aca="false">IF($B1862=-1, -1, VLOOKUP(C1862,$T$1:$V$20, 2))</f>
        <v>17</v>
      </c>
      <c r="G1862" s="16" t="n">
        <f aca="false">IF($B1862=-1, -1, VLOOKUP(D1862,$Y$1:$Z$22,2))</f>
        <v>8</v>
      </c>
      <c r="H1862" s="16" t="str">
        <f aca="false">_xlfn.UNICHAR(((F1862*21)+G1862)*28+44032)</f>
        <v>포</v>
      </c>
      <c r="I1862" s="16" t="n">
        <f aca="false">IF(B1862=-1, 1, COUNTIF($A$2:$A$3000, H1862))</f>
        <v>1</v>
      </c>
      <c r="J1862" s="10" t="str">
        <f aca="false">_xlfn.CONCAT(A1862, ",",H1862,",",I1862)</f>
        <v>첨,포,1</v>
      </c>
      <c r="K1862" s="16" t="n">
        <f aca="false">IF(B1862=-1,-1,VLOOKUP(C1862,$T$1:$V$20,3))</f>
        <v>19</v>
      </c>
      <c r="L1862" s="16" t="n">
        <f aca="false">IF(B1862=-1,-1,VLOOKUP(D1862,$Y$1:$AA$22,3))</f>
        <v>4</v>
      </c>
      <c r="N1862" s="10" t="str">
        <f aca="false">_xlfn.UNICHAR(((C1862*21)+G1862)*28+44032)</f>
        <v>초</v>
      </c>
      <c r="O1862" s="10" t="str">
        <f aca="false">_xlfn.UNICHAR(((F1862*21)+D1862)*28+44032)</f>
        <v>퍼</v>
      </c>
      <c r="P1862" s="12" t="n">
        <f aca="false">COUNTIF($A$2:$A$3000, N1862) + COUNTIF($A$2:$A$3000, O1862)</f>
        <v>2</v>
      </c>
      <c r="Q1862" s="16" t="str">
        <f aca="false">IF(OR(B1862=-1,I1862=0, P1862&lt;&gt;2), "albhed_dummy", _xlfn.CONCAT("albhed ", RIGHT("  " &amp; K1862,2),", ", RIGHT("  " &amp; L1862,2), ", " ,"""",H1862,""", ", """",N1862,""", ","""",O1862,""""," ; ", A1862))</f>
        <v>albhed 19,  4, "포", "초", "퍼" ; 첨</v>
      </c>
    </row>
    <row r="1863" customFormat="false" ht="17.9" hidden="false" customHeight="true" outlineLevel="0" collapsed="false">
      <c r="A1863" s="16" t="s">
        <v>2713</v>
      </c>
      <c r="B1863" s="16" t="n">
        <f aca="false">IF(_xlfn.UNICODE(A1863)&lt;44032,-1,_xlfn.UNICODE(A1863)-44032)</f>
        <v>8361</v>
      </c>
      <c r="C1863" s="16" t="n">
        <f aca="false">IF(B1863=-1,-1,INT((B1863/28)/21))</f>
        <v>14</v>
      </c>
      <c r="D1863" s="16" t="n">
        <f aca="false">IF(B1863=-1, -1, MOD(INT(B1863/28),21))</f>
        <v>4</v>
      </c>
      <c r="E1863" s="16" t="n">
        <f aca="false">IF(B1863=-1, -1, VLOOKUP(MOD(B1863,28), $T$24:$U$52,2))</f>
        <v>17</v>
      </c>
      <c r="F1863" s="16" t="n">
        <f aca="false">IF($B1863=-1, -1, VLOOKUP(C1863,$T$1:$V$20, 2))</f>
        <v>17</v>
      </c>
      <c r="G1863" s="16" t="n">
        <f aca="false">IF($B1863=-1, -1, VLOOKUP(D1863,$Y$1:$Z$22,2))</f>
        <v>8</v>
      </c>
      <c r="H1863" s="16" t="str">
        <f aca="false">_xlfn.UNICHAR(((F1863*21)+G1863)*28+44032)</f>
        <v>포</v>
      </c>
      <c r="I1863" s="16" t="n">
        <f aca="false">IF(B1863=-1, 1, COUNTIF($A$2:$A$3000, H1863))</f>
        <v>1</v>
      </c>
      <c r="J1863" s="10" t="str">
        <f aca="false">_xlfn.CONCAT(A1863, ",",H1863,",",I1863)</f>
        <v>첩,포,1</v>
      </c>
      <c r="K1863" s="16" t="n">
        <f aca="false">IF(B1863=-1,-1,VLOOKUP(C1863,$T$1:$V$20,3))</f>
        <v>19</v>
      </c>
      <c r="L1863" s="16" t="n">
        <f aca="false">IF(B1863=-1,-1,VLOOKUP(D1863,$Y$1:$AA$22,3))</f>
        <v>4</v>
      </c>
      <c r="N1863" s="10" t="str">
        <f aca="false">_xlfn.UNICHAR(((C1863*21)+G1863)*28+44032)</f>
        <v>초</v>
      </c>
      <c r="O1863" s="10" t="str">
        <f aca="false">_xlfn.UNICHAR(((F1863*21)+D1863)*28+44032)</f>
        <v>퍼</v>
      </c>
      <c r="P1863" s="12" t="n">
        <f aca="false">COUNTIF($A$2:$A$3000, N1863) + COUNTIF($A$2:$A$3000, O1863)</f>
        <v>2</v>
      </c>
      <c r="Q1863" s="16" t="str">
        <f aca="false">IF(OR(B1863=-1,I1863=0, P1863&lt;&gt;2), "albhed_dummy", _xlfn.CONCAT("albhed ", RIGHT("  " &amp; K1863,2),", ", RIGHT("  " &amp; L1863,2), ", " ,"""",H1863,""", ", """",N1863,""", ","""",O1863,""""," ; ", A1863))</f>
        <v>albhed 19,  4, "포", "초", "퍼" ; 첩</v>
      </c>
    </row>
    <row r="1864" customFormat="false" ht="17.9" hidden="false" customHeight="true" outlineLevel="0" collapsed="false">
      <c r="A1864" s="16" t="s">
        <v>2714</v>
      </c>
      <c r="B1864" s="16" t="n">
        <f aca="false">IF(_xlfn.UNICODE(A1864)&lt;44032,-1,_xlfn.UNICODE(A1864)-44032)</f>
        <v>8363</v>
      </c>
      <c r="C1864" s="16" t="n">
        <f aca="false">IF(B1864=-1,-1,INT((B1864/28)/21))</f>
        <v>14</v>
      </c>
      <c r="D1864" s="16" t="n">
        <f aca="false">IF(B1864=-1, -1, MOD(INT(B1864/28),21))</f>
        <v>4</v>
      </c>
      <c r="E1864" s="16" t="n">
        <f aca="false">IF(B1864=-1, -1, VLOOKUP(MOD(B1864,28), $T$24:$U$52,2))</f>
        <v>19</v>
      </c>
      <c r="F1864" s="16" t="n">
        <f aca="false">IF($B1864=-1, -1, VLOOKUP(C1864,$T$1:$V$20, 2))</f>
        <v>17</v>
      </c>
      <c r="G1864" s="16" t="n">
        <f aca="false">IF($B1864=-1, -1, VLOOKUP(D1864,$Y$1:$Z$22,2))</f>
        <v>8</v>
      </c>
      <c r="H1864" s="16" t="str">
        <f aca="false">_xlfn.UNICHAR(((F1864*21)+G1864)*28+44032)</f>
        <v>포</v>
      </c>
      <c r="I1864" s="16" t="n">
        <f aca="false">IF(B1864=-1, 1, COUNTIF($A$2:$A$3000, H1864))</f>
        <v>1</v>
      </c>
      <c r="J1864" s="10" t="str">
        <f aca="false">_xlfn.CONCAT(A1864, ",",H1864,",",I1864)</f>
        <v>첫,포,1</v>
      </c>
      <c r="K1864" s="16" t="n">
        <f aca="false">IF(B1864=-1,-1,VLOOKUP(C1864,$T$1:$V$20,3))</f>
        <v>19</v>
      </c>
      <c r="L1864" s="16" t="n">
        <f aca="false">IF(B1864=-1,-1,VLOOKUP(D1864,$Y$1:$AA$22,3))</f>
        <v>4</v>
      </c>
      <c r="N1864" s="10" t="str">
        <f aca="false">_xlfn.UNICHAR(((C1864*21)+G1864)*28+44032)</f>
        <v>초</v>
      </c>
      <c r="O1864" s="10" t="str">
        <f aca="false">_xlfn.UNICHAR(((F1864*21)+D1864)*28+44032)</f>
        <v>퍼</v>
      </c>
      <c r="P1864" s="12" t="n">
        <f aca="false">COUNTIF($A$2:$A$3000, N1864) + COUNTIF($A$2:$A$3000, O1864)</f>
        <v>2</v>
      </c>
      <c r="Q1864" s="16" t="str">
        <f aca="false">IF(OR(B1864=-1,I1864=0, P1864&lt;&gt;2), "albhed_dummy", _xlfn.CONCAT("albhed ", RIGHT("  " &amp; K1864,2),", ", RIGHT("  " &amp; L1864,2), ", " ,"""",H1864,""", ", """",N1864,""", ","""",O1864,""""," ; ", A1864))</f>
        <v>albhed 19,  4, "포", "초", "퍼" ; 첫</v>
      </c>
    </row>
    <row r="1865" customFormat="false" ht="17.9" hidden="false" customHeight="true" outlineLevel="0" collapsed="false">
      <c r="A1865" s="16" t="s">
        <v>2715</v>
      </c>
      <c r="B1865" s="16" t="n">
        <f aca="false">IF(_xlfn.UNICODE(A1865)&lt;44032,-1,_xlfn.UNICODE(A1865)-44032)</f>
        <v>8364</v>
      </c>
      <c r="C1865" s="16" t="n">
        <f aca="false">IF(B1865=-1,-1,INT((B1865/28)/21))</f>
        <v>14</v>
      </c>
      <c r="D1865" s="16" t="n">
        <f aca="false">IF(B1865=-1, -1, MOD(INT(B1865/28),21))</f>
        <v>4</v>
      </c>
      <c r="E1865" s="16" t="n">
        <f aca="false">IF(B1865=-1, -1, VLOOKUP(MOD(B1865,28), $T$24:$U$52,2))</f>
        <v>19</v>
      </c>
      <c r="F1865" s="16" t="n">
        <f aca="false">IF($B1865=-1, -1, VLOOKUP(C1865,$T$1:$V$20, 2))</f>
        <v>17</v>
      </c>
      <c r="G1865" s="16" t="n">
        <f aca="false">IF($B1865=-1, -1, VLOOKUP(D1865,$Y$1:$Z$22,2))</f>
        <v>8</v>
      </c>
      <c r="H1865" s="16" t="str">
        <f aca="false">_xlfn.UNICHAR(((F1865*21)+G1865)*28+44032)</f>
        <v>포</v>
      </c>
      <c r="I1865" s="16" t="n">
        <f aca="false">IF(B1865=-1, 1, COUNTIF($A$2:$A$3000, H1865))</f>
        <v>1</v>
      </c>
      <c r="J1865" s="10" t="str">
        <f aca="false">_xlfn.CONCAT(A1865, ",",H1865,",",I1865)</f>
        <v>첬,포,1</v>
      </c>
      <c r="K1865" s="16" t="n">
        <f aca="false">IF(B1865=-1,-1,VLOOKUP(C1865,$T$1:$V$20,3))</f>
        <v>19</v>
      </c>
      <c r="L1865" s="16" t="n">
        <f aca="false">IF(B1865=-1,-1,VLOOKUP(D1865,$Y$1:$AA$22,3))</f>
        <v>4</v>
      </c>
      <c r="N1865" s="10" t="str">
        <f aca="false">_xlfn.UNICHAR(((C1865*21)+G1865)*28+44032)</f>
        <v>초</v>
      </c>
      <c r="O1865" s="10" t="str">
        <f aca="false">_xlfn.UNICHAR(((F1865*21)+D1865)*28+44032)</f>
        <v>퍼</v>
      </c>
      <c r="P1865" s="12" t="n">
        <f aca="false">COUNTIF($A$2:$A$3000, N1865) + COUNTIF($A$2:$A$3000, O1865)</f>
        <v>2</v>
      </c>
      <c r="Q1865" s="16" t="str">
        <f aca="false">IF(OR(B1865=-1,I1865=0, P1865&lt;&gt;2), "albhed_dummy", _xlfn.CONCAT("albhed ", RIGHT("  " &amp; K1865,2),", ", RIGHT("  " &amp; L1865,2), ", " ,"""",H1865,""", ", """",N1865,""", ","""",O1865,""""," ; ", A1865))</f>
        <v>albhed 19,  4, "포", "초", "퍼" ; 첬</v>
      </c>
    </row>
    <row r="1866" customFormat="false" ht="17.9" hidden="false" customHeight="true" outlineLevel="0" collapsed="false">
      <c r="A1866" s="16" t="s">
        <v>2716</v>
      </c>
      <c r="B1866" s="16" t="n">
        <f aca="false">IF(_xlfn.UNICODE(A1866)&lt;44032,-1,_xlfn.UNICODE(A1866)-44032)</f>
        <v>8365</v>
      </c>
      <c r="C1866" s="16" t="n">
        <f aca="false">IF(B1866=-1,-1,INT((B1866/28)/21))</f>
        <v>14</v>
      </c>
      <c r="D1866" s="16" t="n">
        <f aca="false">IF(B1866=-1, -1, MOD(INT(B1866/28),21))</f>
        <v>4</v>
      </c>
      <c r="E1866" s="16" t="n">
        <f aca="false">IF(B1866=-1, -1, VLOOKUP(MOD(B1866,28), $T$24:$U$52,2))</f>
        <v>21</v>
      </c>
      <c r="F1866" s="16" t="n">
        <f aca="false">IF($B1866=-1, -1, VLOOKUP(C1866,$T$1:$V$20, 2))</f>
        <v>17</v>
      </c>
      <c r="G1866" s="16" t="n">
        <f aca="false">IF($B1866=-1, -1, VLOOKUP(D1866,$Y$1:$Z$22,2))</f>
        <v>8</v>
      </c>
      <c r="H1866" s="16" t="str">
        <f aca="false">_xlfn.UNICHAR(((F1866*21)+G1866)*28+44032)</f>
        <v>포</v>
      </c>
      <c r="I1866" s="16" t="n">
        <f aca="false">IF(B1866=-1, 1, COUNTIF($A$2:$A$3000, H1866))</f>
        <v>1</v>
      </c>
      <c r="J1866" s="10" t="str">
        <f aca="false">_xlfn.CONCAT(A1866, ",",H1866,",",I1866)</f>
        <v>청,포,1</v>
      </c>
      <c r="K1866" s="16" t="n">
        <f aca="false">IF(B1866=-1,-1,VLOOKUP(C1866,$T$1:$V$20,3))</f>
        <v>19</v>
      </c>
      <c r="L1866" s="16" t="n">
        <f aca="false">IF(B1866=-1,-1,VLOOKUP(D1866,$Y$1:$AA$22,3))</f>
        <v>4</v>
      </c>
      <c r="N1866" s="10" t="str">
        <f aca="false">_xlfn.UNICHAR(((C1866*21)+G1866)*28+44032)</f>
        <v>초</v>
      </c>
      <c r="O1866" s="10" t="str">
        <f aca="false">_xlfn.UNICHAR(((F1866*21)+D1866)*28+44032)</f>
        <v>퍼</v>
      </c>
      <c r="P1866" s="12" t="n">
        <f aca="false">COUNTIF($A$2:$A$3000, N1866) + COUNTIF($A$2:$A$3000, O1866)</f>
        <v>2</v>
      </c>
      <c r="Q1866" s="16" t="str">
        <f aca="false">IF(OR(B1866=-1,I1866=0, P1866&lt;&gt;2), "albhed_dummy", _xlfn.CONCAT("albhed ", RIGHT("  " &amp; K1866,2),", ", RIGHT("  " &amp; L1866,2), ", " ,"""",H1866,""", ", """",N1866,""", ","""",O1866,""""," ; ", A1866))</f>
        <v>albhed 19,  4, "포", "초", "퍼" ; 청</v>
      </c>
    </row>
    <row r="1867" customFormat="false" ht="17.9" hidden="false" customHeight="true" outlineLevel="0" collapsed="false">
      <c r="A1867" s="16" t="s">
        <v>2717</v>
      </c>
      <c r="B1867" s="16" t="n">
        <f aca="false">IF(_xlfn.UNICODE(A1867)&lt;44032,-1,_xlfn.UNICODE(A1867)-44032)</f>
        <v>8372</v>
      </c>
      <c r="C1867" s="16" t="n">
        <f aca="false">IF(B1867=-1,-1,INT((B1867/28)/21))</f>
        <v>14</v>
      </c>
      <c r="D1867" s="16" t="n">
        <f aca="false">IF(B1867=-1, -1, MOD(INT(B1867/28),21))</f>
        <v>5</v>
      </c>
      <c r="E1867" s="16" t="n">
        <f aca="false">IF(B1867=-1, -1, VLOOKUP(MOD(B1867,28), $T$24:$U$52,2))</f>
        <v>0</v>
      </c>
      <c r="F1867" s="16" t="n">
        <f aca="false">IF($B1867=-1, -1, VLOOKUP(C1867,$T$1:$V$20, 2))</f>
        <v>17</v>
      </c>
      <c r="G1867" s="16" t="n">
        <f aca="false">IF($B1867=-1, -1, VLOOKUP(D1867,$Y$1:$Z$22,2))</f>
        <v>18</v>
      </c>
      <c r="H1867" s="16" t="str">
        <f aca="false">_xlfn.UNICHAR(((F1867*21)+G1867)*28+44032)</f>
        <v>프</v>
      </c>
      <c r="I1867" s="16" t="n">
        <f aca="false">IF(B1867=-1, 1, COUNTIF($A$2:$A$3000, H1867))</f>
        <v>1</v>
      </c>
      <c r="J1867" s="10" t="str">
        <f aca="false">_xlfn.CONCAT(A1867, ",",H1867,",",I1867)</f>
        <v>체,프,1</v>
      </c>
      <c r="K1867" s="16" t="n">
        <f aca="false">IF(B1867=-1,-1,VLOOKUP(C1867,$T$1:$V$20,3))</f>
        <v>19</v>
      </c>
      <c r="L1867" s="16" t="n">
        <f aca="false">IF(B1867=-1,-1,VLOOKUP(D1867,$Y$1:$AA$22,3))</f>
        <v>10</v>
      </c>
      <c r="N1867" s="10" t="str">
        <f aca="false">_xlfn.UNICHAR(((C1867*21)+G1867)*28+44032)</f>
        <v>츠</v>
      </c>
      <c r="O1867" s="10" t="str">
        <f aca="false">_xlfn.UNICHAR(((F1867*21)+D1867)*28+44032)</f>
        <v>페</v>
      </c>
      <c r="P1867" s="12" t="n">
        <f aca="false">COUNTIF($A$2:$A$3000, N1867) + COUNTIF($A$2:$A$3000, O1867)</f>
        <v>2</v>
      </c>
      <c r="Q1867" s="16" t="str">
        <f aca="false">IF(OR(B1867=-1,I1867=0, P1867&lt;&gt;2), "albhed_dummy", _xlfn.CONCAT("albhed ", RIGHT("  " &amp; K1867,2),", ", RIGHT("  " &amp; L1867,2), ", " ,"""",H1867,""", ", """",N1867,""", ","""",O1867,""""," ; ", A1867))</f>
        <v>albhed 19, 10, "프", "츠", "페" ; 체</v>
      </c>
    </row>
    <row r="1868" customFormat="false" ht="17.9" hidden="false" customHeight="true" outlineLevel="0" collapsed="false">
      <c r="A1868" s="16" t="s">
        <v>2718</v>
      </c>
      <c r="B1868" s="16" t="n">
        <f aca="false">IF(_xlfn.UNICODE(A1868)&lt;44032,-1,_xlfn.UNICODE(A1868)-44032)</f>
        <v>8373</v>
      </c>
      <c r="C1868" s="16" t="n">
        <f aca="false">IF(B1868=-1,-1,INT((B1868/28)/21))</f>
        <v>14</v>
      </c>
      <c r="D1868" s="16" t="n">
        <f aca="false">IF(B1868=-1, -1, MOD(INT(B1868/28),21))</f>
        <v>5</v>
      </c>
      <c r="E1868" s="16" t="n">
        <f aca="false">IF(B1868=-1, -1, VLOOKUP(MOD(B1868,28), $T$24:$U$52,2))</f>
        <v>1</v>
      </c>
      <c r="F1868" s="16" t="n">
        <f aca="false">IF($B1868=-1, -1, VLOOKUP(C1868,$T$1:$V$20, 2))</f>
        <v>17</v>
      </c>
      <c r="G1868" s="16" t="n">
        <f aca="false">IF($B1868=-1, -1, VLOOKUP(D1868,$Y$1:$Z$22,2))</f>
        <v>18</v>
      </c>
      <c r="H1868" s="16" t="str">
        <f aca="false">_xlfn.UNICHAR(((F1868*21)+G1868)*28+44032)</f>
        <v>프</v>
      </c>
      <c r="I1868" s="16" t="n">
        <f aca="false">IF(B1868=-1, 1, COUNTIF($A$2:$A$3000, H1868))</f>
        <v>1</v>
      </c>
      <c r="J1868" s="10" t="str">
        <f aca="false">_xlfn.CONCAT(A1868, ",",H1868,",",I1868)</f>
        <v>첵,프,1</v>
      </c>
      <c r="K1868" s="16" t="n">
        <f aca="false">IF(B1868=-1,-1,VLOOKUP(C1868,$T$1:$V$20,3))</f>
        <v>19</v>
      </c>
      <c r="L1868" s="16" t="n">
        <f aca="false">IF(B1868=-1,-1,VLOOKUP(D1868,$Y$1:$AA$22,3))</f>
        <v>10</v>
      </c>
      <c r="N1868" s="10" t="str">
        <f aca="false">_xlfn.UNICHAR(((C1868*21)+G1868)*28+44032)</f>
        <v>츠</v>
      </c>
      <c r="O1868" s="10" t="str">
        <f aca="false">_xlfn.UNICHAR(((F1868*21)+D1868)*28+44032)</f>
        <v>페</v>
      </c>
      <c r="P1868" s="12" t="n">
        <f aca="false">COUNTIF($A$2:$A$3000, N1868) + COUNTIF($A$2:$A$3000, O1868)</f>
        <v>2</v>
      </c>
      <c r="Q1868" s="16" t="str">
        <f aca="false">IF(OR(B1868=-1,I1868=0, P1868&lt;&gt;2), "albhed_dummy", _xlfn.CONCAT("albhed ", RIGHT("  " &amp; K1868,2),", ", RIGHT("  " &amp; L1868,2), ", " ,"""",H1868,""", ", """",N1868,""", ","""",O1868,""""," ; ", A1868))</f>
        <v>albhed 19, 10, "프", "츠", "페" ; 첵</v>
      </c>
    </row>
    <row r="1869" customFormat="false" ht="17.9" hidden="false" customHeight="true" outlineLevel="0" collapsed="false">
      <c r="A1869" s="16" t="s">
        <v>2719</v>
      </c>
      <c r="B1869" s="16" t="n">
        <f aca="false">IF(_xlfn.UNICODE(A1869)&lt;44032,-1,_xlfn.UNICODE(A1869)-44032)</f>
        <v>8376</v>
      </c>
      <c r="C1869" s="16" t="n">
        <f aca="false">IF(B1869=-1,-1,INT((B1869/28)/21))</f>
        <v>14</v>
      </c>
      <c r="D1869" s="16" t="n">
        <f aca="false">IF(B1869=-1, -1, MOD(INT(B1869/28),21))</f>
        <v>5</v>
      </c>
      <c r="E1869" s="16" t="n">
        <f aca="false">IF(B1869=-1, -1, VLOOKUP(MOD(B1869,28), $T$24:$U$52,2))</f>
        <v>4</v>
      </c>
      <c r="F1869" s="16" t="n">
        <f aca="false">IF($B1869=-1, -1, VLOOKUP(C1869,$T$1:$V$20, 2))</f>
        <v>17</v>
      </c>
      <c r="G1869" s="16" t="n">
        <f aca="false">IF($B1869=-1, -1, VLOOKUP(D1869,$Y$1:$Z$22,2))</f>
        <v>18</v>
      </c>
      <c r="H1869" s="16" t="str">
        <f aca="false">_xlfn.UNICHAR(((F1869*21)+G1869)*28+44032)</f>
        <v>프</v>
      </c>
      <c r="I1869" s="16" t="n">
        <f aca="false">IF(B1869=-1, 1, COUNTIF($A$2:$A$3000, H1869))</f>
        <v>1</v>
      </c>
      <c r="J1869" s="10" t="str">
        <f aca="false">_xlfn.CONCAT(A1869, ",",H1869,",",I1869)</f>
        <v>첸,프,1</v>
      </c>
      <c r="K1869" s="16" t="n">
        <f aca="false">IF(B1869=-1,-1,VLOOKUP(C1869,$T$1:$V$20,3))</f>
        <v>19</v>
      </c>
      <c r="L1869" s="16" t="n">
        <f aca="false">IF(B1869=-1,-1,VLOOKUP(D1869,$Y$1:$AA$22,3))</f>
        <v>10</v>
      </c>
      <c r="N1869" s="10" t="str">
        <f aca="false">_xlfn.UNICHAR(((C1869*21)+G1869)*28+44032)</f>
        <v>츠</v>
      </c>
      <c r="O1869" s="10" t="str">
        <f aca="false">_xlfn.UNICHAR(((F1869*21)+D1869)*28+44032)</f>
        <v>페</v>
      </c>
      <c r="P1869" s="12" t="n">
        <f aca="false">COUNTIF($A$2:$A$3000, N1869) + COUNTIF($A$2:$A$3000, O1869)</f>
        <v>2</v>
      </c>
      <c r="Q1869" s="16" t="str">
        <f aca="false">IF(OR(B1869=-1,I1869=0, P1869&lt;&gt;2), "albhed_dummy", _xlfn.CONCAT("albhed ", RIGHT("  " &amp; K1869,2),", ", RIGHT("  " &amp; L1869,2), ", " ,"""",H1869,""", ", """",N1869,""", ","""",O1869,""""," ; ", A1869))</f>
        <v>albhed 19, 10, "프", "츠", "페" ; 첸</v>
      </c>
    </row>
    <row r="1870" customFormat="false" ht="17.9" hidden="false" customHeight="true" outlineLevel="0" collapsed="false">
      <c r="A1870" s="16" t="s">
        <v>2720</v>
      </c>
      <c r="B1870" s="16" t="n">
        <f aca="false">IF(_xlfn.UNICODE(A1870)&lt;44032,-1,_xlfn.UNICODE(A1870)-44032)</f>
        <v>8380</v>
      </c>
      <c r="C1870" s="16" t="n">
        <f aca="false">IF(B1870=-1,-1,INT((B1870/28)/21))</f>
        <v>14</v>
      </c>
      <c r="D1870" s="16" t="n">
        <f aca="false">IF(B1870=-1, -1, MOD(INT(B1870/28),21))</f>
        <v>5</v>
      </c>
      <c r="E1870" s="16" t="n">
        <f aca="false">IF(B1870=-1, -1, VLOOKUP(MOD(B1870,28), $T$24:$U$52,2))</f>
        <v>8</v>
      </c>
      <c r="F1870" s="16" t="n">
        <f aca="false">IF($B1870=-1, -1, VLOOKUP(C1870,$T$1:$V$20, 2))</f>
        <v>17</v>
      </c>
      <c r="G1870" s="16" t="n">
        <f aca="false">IF($B1870=-1, -1, VLOOKUP(D1870,$Y$1:$Z$22,2))</f>
        <v>18</v>
      </c>
      <c r="H1870" s="16" t="str">
        <f aca="false">_xlfn.UNICHAR(((F1870*21)+G1870)*28+44032)</f>
        <v>프</v>
      </c>
      <c r="I1870" s="16" t="n">
        <f aca="false">IF(B1870=-1, 1, COUNTIF($A$2:$A$3000, H1870))</f>
        <v>1</v>
      </c>
      <c r="J1870" s="10" t="str">
        <f aca="false">_xlfn.CONCAT(A1870, ",",H1870,",",I1870)</f>
        <v>첼,프,1</v>
      </c>
      <c r="K1870" s="16" t="n">
        <f aca="false">IF(B1870=-1,-1,VLOOKUP(C1870,$T$1:$V$20,3))</f>
        <v>19</v>
      </c>
      <c r="L1870" s="16" t="n">
        <f aca="false">IF(B1870=-1,-1,VLOOKUP(D1870,$Y$1:$AA$22,3))</f>
        <v>10</v>
      </c>
      <c r="N1870" s="10" t="str">
        <f aca="false">_xlfn.UNICHAR(((C1870*21)+G1870)*28+44032)</f>
        <v>츠</v>
      </c>
      <c r="O1870" s="10" t="str">
        <f aca="false">_xlfn.UNICHAR(((F1870*21)+D1870)*28+44032)</f>
        <v>페</v>
      </c>
      <c r="P1870" s="12" t="n">
        <f aca="false">COUNTIF($A$2:$A$3000, N1870) + COUNTIF($A$2:$A$3000, O1870)</f>
        <v>2</v>
      </c>
      <c r="Q1870" s="16" t="str">
        <f aca="false">IF(OR(B1870=-1,I1870=0, P1870&lt;&gt;2), "albhed_dummy", _xlfn.CONCAT("albhed ", RIGHT("  " &amp; K1870,2),", ", RIGHT("  " &amp; L1870,2), ", " ,"""",H1870,""", ", """",N1870,""", ","""",O1870,""""," ; ", A1870))</f>
        <v>albhed 19, 10, "프", "츠", "페" ; 첼</v>
      </c>
    </row>
    <row r="1871" customFormat="false" ht="17.9" hidden="false" customHeight="true" outlineLevel="0" collapsed="false">
      <c r="A1871" s="16" t="s">
        <v>2721</v>
      </c>
      <c r="B1871" s="16" t="n">
        <f aca="false">IF(_xlfn.UNICODE(A1871)&lt;44032,-1,_xlfn.UNICODE(A1871)-44032)</f>
        <v>8388</v>
      </c>
      <c r="C1871" s="16" t="n">
        <f aca="false">IF(B1871=-1,-1,INT((B1871/28)/21))</f>
        <v>14</v>
      </c>
      <c r="D1871" s="16" t="n">
        <f aca="false">IF(B1871=-1, -1, MOD(INT(B1871/28),21))</f>
        <v>5</v>
      </c>
      <c r="E1871" s="16" t="n">
        <f aca="false">IF(B1871=-1, -1, VLOOKUP(MOD(B1871,28), $T$24:$U$52,2))</f>
        <v>16</v>
      </c>
      <c r="F1871" s="16" t="n">
        <f aca="false">IF($B1871=-1, -1, VLOOKUP(C1871,$T$1:$V$20, 2))</f>
        <v>17</v>
      </c>
      <c r="G1871" s="16" t="n">
        <f aca="false">IF($B1871=-1, -1, VLOOKUP(D1871,$Y$1:$Z$22,2))</f>
        <v>18</v>
      </c>
      <c r="H1871" s="16" t="str">
        <f aca="false">_xlfn.UNICHAR(((F1871*21)+G1871)*28+44032)</f>
        <v>프</v>
      </c>
      <c r="I1871" s="16" t="n">
        <f aca="false">IF(B1871=-1, 1, COUNTIF($A$2:$A$3000, H1871))</f>
        <v>1</v>
      </c>
      <c r="J1871" s="10" t="str">
        <f aca="false">_xlfn.CONCAT(A1871, ",",H1871,",",I1871)</f>
        <v>쳄,프,1</v>
      </c>
      <c r="K1871" s="16" t="n">
        <f aca="false">IF(B1871=-1,-1,VLOOKUP(C1871,$T$1:$V$20,3))</f>
        <v>19</v>
      </c>
      <c r="L1871" s="16" t="n">
        <f aca="false">IF(B1871=-1,-1,VLOOKUP(D1871,$Y$1:$AA$22,3))</f>
        <v>10</v>
      </c>
      <c r="N1871" s="10" t="str">
        <f aca="false">_xlfn.UNICHAR(((C1871*21)+G1871)*28+44032)</f>
        <v>츠</v>
      </c>
      <c r="O1871" s="10" t="str">
        <f aca="false">_xlfn.UNICHAR(((F1871*21)+D1871)*28+44032)</f>
        <v>페</v>
      </c>
      <c r="P1871" s="12" t="n">
        <f aca="false">COUNTIF($A$2:$A$3000, N1871) + COUNTIF($A$2:$A$3000, O1871)</f>
        <v>2</v>
      </c>
      <c r="Q1871" s="16" t="str">
        <f aca="false">IF(OR(B1871=-1,I1871=0, P1871&lt;&gt;2), "albhed_dummy", _xlfn.CONCAT("albhed ", RIGHT("  " &amp; K1871,2),", ", RIGHT("  " &amp; L1871,2), ", " ,"""",H1871,""", ", """",N1871,""", ","""",O1871,""""," ; ", A1871))</f>
        <v>albhed 19, 10, "프", "츠", "페" ; 쳄</v>
      </c>
    </row>
    <row r="1872" customFormat="false" ht="17.9" hidden="false" customHeight="true" outlineLevel="0" collapsed="false">
      <c r="A1872" s="16" t="s">
        <v>2722</v>
      </c>
      <c r="B1872" s="16" t="n">
        <f aca="false">IF(_xlfn.UNICODE(A1872)&lt;44032,-1,_xlfn.UNICODE(A1872)-44032)</f>
        <v>8389</v>
      </c>
      <c r="C1872" s="16" t="n">
        <f aca="false">IF(B1872=-1,-1,INT((B1872/28)/21))</f>
        <v>14</v>
      </c>
      <c r="D1872" s="16" t="n">
        <f aca="false">IF(B1872=-1, -1, MOD(INT(B1872/28),21))</f>
        <v>5</v>
      </c>
      <c r="E1872" s="16" t="n">
        <f aca="false">IF(B1872=-1, -1, VLOOKUP(MOD(B1872,28), $T$24:$U$52,2))</f>
        <v>17</v>
      </c>
      <c r="F1872" s="16" t="n">
        <f aca="false">IF($B1872=-1, -1, VLOOKUP(C1872,$T$1:$V$20, 2))</f>
        <v>17</v>
      </c>
      <c r="G1872" s="16" t="n">
        <f aca="false">IF($B1872=-1, -1, VLOOKUP(D1872,$Y$1:$Z$22,2))</f>
        <v>18</v>
      </c>
      <c r="H1872" s="16" t="str">
        <f aca="false">_xlfn.UNICHAR(((F1872*21)+G1872)*28+44032)</f>
        <v>프</v>
      </c>
      <c r="I1872" s="16" t="n">
        <f aca="false">IF(B1872=-1, 1, COUNTIF($A$2:$A$3000, H1872))</f>
        <v>1</v>
      </c>
      <c r="J1872" s="10" t="str">
        <f aca="false">_xlfn.CONCAT(A1872, ",",H1872,",",I1872)</f>
        <v>쳅,프,1</v>
      </c>
      <c r="K1872" s="16" t="n">
        <f aca="false">IF(B1872=-1,-1,VLOOKUP(C1872,$T$1:$V$20,3))</f>
        <v>19</v>
      </c>
      <c r="L1872" s="16" t="n">
        <f aca="false">IF(B1872=-1,-1,VLOOKUP(D1872,$Y$1:$AA$22,3))</f>
        <v>10</v>
      </c>
      <c r="N1872" s="10" t="str">
        <f aca="false">_xlfn.UNICHAR(((C1872*21)+G1872)*28+44032)</f>
        <v>츠</v>
      </c>
      <c r="O1872" s="10" t="str">
        <f aca="false">_xlfn.UNICHAR(((F1872*21)+D1872)*28+44032)</f>
        <v>페</v>
      </c>
      <c r="P1872" s="12" t="n">
        <f aca="false">COUNTIF($A$2:$A$3000, N1872) + COUNTIF($A$2:$A$3000, O1872)</f>
        <v>2</v>
      </c>
      <c r="Q1872" s="16" t="str">
        <f aca="false">IF(OR(B1872=-1,I1872=0, P1872&lt;&gt;2), "albhed_dummy", _xlfn.CONCAT("albhed ", RIGHT("  " &amp; K1872,2),", ", RIGHT("  " &amp; L1872,2), ", " ,"""",H1872,""", ", """",N1872,""", ","""",O1872,""""," ; ", A1872))</f>
        <v>albhed 19, 10, "프", "츠", "페" ; 쳅</v>
      </c>
    </row>
    <row r="1873" customFormat="false" ht="17.9" hidden="false" customHeight="true" outlineLevel="0" collapsed="false">
      <c r="A1873" s="16" t="s">
        <v>2723</v>
      </c>
      <c r="B1873" s="16" t="n">
        <f aca="false">IF(_xlfn.UNICODE(A1873)&lt;44032,-1,_xlfn.UNICODE(A1873)-44032)</f>
        <v>8391</v>
      </c>
      <c r="C1873" s="16" t="n">
        <f aca="false">IF(B1873=-1,-1,INT((B1873/28)/21))</f>
        <v>14</v>
      </c>
      <c r="D1873" s="16" t="n">
        <f aca="false">IF(B1873=-1, -1, MOD(INT(B1873/28),21))</f>
        <v>5</v>
      </c>
      <c r="E1873" s="16" t="n">
        <f aca="false">IF(B1873=-1, -1, VLOOKUP(MOD(B1873,28), $T$24:$U$52,2))</f>
        <v>19</v>
      </c>
      <c r="F1873" s="16" t="n">
        <f aca="false">IF($B1873=-1, -1, VLOOKUP(C1873,$T$1:$V$20, 2))</f>
        <v>17</v>
      </c>
      <c r="G1873" s="16" t="n">
        <f aca="false">IF($B1873=-1, -1, VLOOKUP(D1873,$Y$1:$Z$22,2))</f>
        <v>18</v>
      </c>
      <c r="H1873" s="16" t="str">
        <f aca="false">_xlfn.UNICHAR(((F1873*21)+G1873)*28+44032)</f>
        <v>프</v>
      </c>
      <c r="I1873" s="16" t="n">
        <f aca="false">IF(B1873=-1, 1, COUNTIF($A$2:$A$3000, H1873))</f>
        <v>1</v>
      </c>
      <c r="J1873" s="10" t="str">
        <f aca="false">_xlfn.CONCAT(A1873, ",",H1873,",",I1873)</f>
        <v>쳇,프,1</v>
      </c>
      <c r="K1873" s="16" t="n">
        <f aca="false">IF(B1873=-1,-1,VLOOKUP(C1873,$T$1:$V$20,3))</f>
        <v>19</v>
      </c>
      <c r="L1873" s="16" t="n">
        <f aca="false">IF(B1873=-1,-1,VLOOKUP(D1873,$Y$1:$AA$22,3))</f>
        <v>10</v>
      </c>
      <c r="N1873" s="10" t="str">
        <f aca="false">_xlfn.UNICHAR(((C1873*21)+G1873)*28+44032)</f>
        <v>츠</v>
      </c>
      <c r="O1873" s="10" t="str">
        <f aca="false">_xlfn.UNICHAR(((F1873*21)+D1873)*28+44032)</f>
        <v>페</v>
      </c>
      <c r="P1873" s="12" t="n">
        <f aca="false">COUNTIF($A$2:$A$3000, N1873) + COUNTIF($A$2:$A$3000, O1873)</f>
        <v>2</v>
      </c>
      <c r="Q1873" s="16" t="str">
        <f aca="false">IF(OR(B1873=-1,I1873=0, P1873&lt;&gt;2), "albhed_dummy", _xlfn.CONCAT("albhed ", RIGHT("  " &amp; K1873,2),", ", RIGHT("  " &amp; L1873,2), ", " ,"""",H1873,""", ", """",N1873,""", ","""",O1873,""""," ; ", A1873))</f>
        <v>albhed 19, 10, "프", "츠", "페" ; 쳇</v>
      </c>
    </row>
    <row r="1874" customFormat="false" ht="17.9" hidden="false" customHeight="true" outlineLevel="0" collapsed="false">
      <c r="A1874" s="16" t="s">
        <v>2724</v>
      </c>
      <c r="B1874" s="16" t="n">
        <f aca="false">IF(_xlfn.UNICODE(A1874)&lt;44032,-1,_xlfn.UNICODE(A1874)-44032)</f>
        <v>8393</v>
      </c>
      <c r="C1874" s="16" t="n">
        <f aca="false">IF(B1874=-1,-1,INT((B1874/28)/21))</f>
        <v>14</v>
      </c>
      <c r="D1874" s="16" t="n">
        <f aca="false">IF(B1874=-1, -1, MOD(INT(B1874/28),21))</f>
        <v>5</v>
      </c>
      <c r="E1874" s="16" t="n">
        <f aca="false">IF(B1874=-1, -1, VLOOKUP(MOD(B1874,28), $T$24:$U$52,2))</f>
        <v>21</v>
      </c>
      <c r="F1874" s="16" t="n">
        <f aca="false">IF($B1874=-1, -1, VLOOKUP(C1874,$T$1:$V$20, 2))</f>
        <v>17</v>
      </c>
      <c r="G1874" s="16" t="n">
        <f aca="false">IF($B1874=-1, -1, VLOOKUP(D1874,$Y$1:$Z$22,2))</f>
        <v>18</v>
      </c>
      <c r="H1874" s="16" t="str">
        <f aca="false">_xlfn.UNICHAR(((F1874*21)+G1874)*28+44032)</f>
        <v>프</v>
      </c>
      <c r="I1874" s="16" t="n">
        <f aca="false">IF(B1874=-1, 1, COUNTIF($A$2:$A$3000, H1874))</f>
        <v>1</v>
      </c>
      <c r="J1874" s="10" t="str">
        <f aca="false">_xlfn.CONCAT(A1874, ",",H1874,",",I1874)</f>
        <v>쳉,프,1</v>
      </c>
      <c r="K1874" s="16" t="n">
        <f aca="false">IF(B1874=-1,-1,VLOOKUP(C1874,$T$1:$V$20,3))</f>
        <v>19</v>
      </c>
      <c r="L1874" s="16" t="n">
        <f aca="false">IF(B1874=-1,-1,VLOOKUP(D1874,$Y$1:$AA$22,3))</f>
        <v>10</v>
      </c>
      <c r="N1874" s="10" t="str">
        <f aca="false">_xlfn.UNICHAR(((C1874*21)+G1874)*28+44032)</f>
        <v>츠</v>
      </c>
      <c r="O1874" s="10" t="str">
        <f aca="false">_xlfn.UNICHAR(((F1874*21)+D1874)*28+44032)</f>
        <v>페</v>
      </c>
      <c r="P1874" s="12" t="n">
        <f aca="false">COUNTIF($A$2:$A$3000, N1874) + COUNTIF($A$2:$A$3000, O1874)</f>
        <v>2</v>
      </c>
      <c r="Q1874" s="16" t="str">
        <f aca="false">IF(OR(B1874=-1,I1874=0, P1874&lt;&gt;2), "albhed_dummy", _xlfn.CONCAT("albhed ", RIGHT("  " &amp; K1874,2),", ", RIGHT("  " &amp; L1874,2), ", " ,"""",H1874,""", ", """",N1874,""", ","""",O1874,""""," ; ", A1874))</f>
        <v>albhed 19, 10, "프", "츠", "페" ; 쳉</v>
      </c>
    </row>
    <row r="1875" customFormat="false" ht="17.9" hidden="false" customHeight="true" outlineLevel="0" collapsed="false">
      <c r="A1875" s="16" t="s">
        <v>2725</v>
      </c>
      <c r="B1875" s="16" t="n">
        <f aca="false">IF(_xlfn.UNICODE(A1875)&lt;44032,-1,_xlfn.UNICODE(A1875)-44032)</f>
        <v>8400</v>
      </c>
      <c r="C1875" s="16" t="n">
        <f aca="false">IF(B1875=-1,-1,INT((B1875/28)/21))</f>
        <v>14</v>
      </c>
      <c r="D1875" s="16" t="n">
        <f aca="false">IF(B1875=-1, -1, MOD(INT(B1875/28),21))</f>
        <v>6</v>
      </c>
      <c r="E1875" s="16" t="n">
        <f aca="false">IF(B1875=-1, -1, VLOOKUP(MOD(B1875,28), $T$24:$U$52,2))</f>
        <v>0</v>
      </c>
      <c r="F1875" s="16" t="n">
        <f aca="false">IF($B1875=-1, -1, VLOOKUP(C1875,$T$1:$V$20, 2))</f>
        <v>17</v>
      </c>
      <c r="G1875" s="16" t="n">
        <f aca="false">IF($B1875=-1, -1, VLOOKUP(D1875,$Y$1:$Z$22,2))</f>
        <v>12</v>
      </c>
      <c r="H1875" s="16" t="str">
        <f aca="false">_xlfn.UNICHAR(((F1875*21)+G1875)*28+44032)</f>
        <v>표</v>
      </c>
      <c r="I1875" s="16" t="n">
        <f aca="false">IF(B1875=-1, 1, COUNTIF($A$2:$A$3000, H1875))</f>
        <v>1</v>
      </c>
      <c r="J1875" s="10" t="str">
        <f aca="false">_xlfn.CONCAT(A1875, ",",H1875,",",I1875)</f>
        <v>쳐,표,1</v>
      </c>
      <c r="K1875" s="16" t="n">
        <f aca="false">IF(B1875=-1,-1,VLOOKUP(C1875,$T$1:$V$20,3))</f>
        <v>19</v>
      </c>
      <c r="L1875" s="16" t="n">
        <f aca="false">IF(B1875=-1,-1,VLOOKUP(D1875,$Y$1:$AA$22,3))</f>
        <v>4</v>
      </c>
      <c r="N1875" s="10" t="str">
        <f aca="false">_xlfn.UNICHAR(((C1875*21)+G1875)*28+44032)</f>
        <v>쵸</v>
      </c>
      <c r="O1875" s="10" t="str">
        <f aca="false">_xlfn.UNICHAR(((F1875*21)+D1875)*28+44032)</f>
        <v>펴</v>
      </c>
      <c r="P1875" s="12" t="n">
        <f aca="false">COUNTIF($A$2:$A$3000, N1875) + COUNTIF($A$2:$A$3000, O1875)</f>
        <v>2</v>
      </c>
      <c r="Q1875" s="16" t="str">
        <f aca="false">IF(OR(B1875=-1,I1875=0, P1875&lt;&gt;2), "albhed_dummy", _xlfn.CONCAT("albhed ", RIGHT("  " &amp; K1875,2),", ", RIGHT("  " &amp; L1875,2), ", " ,"""",H1875,""", ", """",N1875,""", ","""",O1875,""""," ; ", A1875))</f>
        <v>albhed 19,  4, "표", "쵸", "펴" ; 쳐</v>
      </c>
    </row>
    <row r="1876" customFormat="false" ht="17.9" hidden="false" customHeight="true" outlineLevel="0" collapsed="false">
      <c r="A1876" s="16" t="s">
        <v>2726</v>
      </c>
      <c r="B1876" s="16" t="n">
        <f aca="false">IF(_xlfn.UNICODE(A1876)&lt;44032,-1,_xlfn.UNICODE(A1876)-44032)</f>
        <v>8404</v>
      </c>
      <c r="C1876" s="16" t="n">
        <f aca="false">IF(B1876=-1,-1,INT((B1876/28)/21))</f>
        <v>14</v>
      </c>
      <c r="D1876" s="16" t="n">
        <f aca="false">IF(B1876=-1, -1, MOD(INT(B1876/28),21))</f>
        <v>6</v>
      </c>
      <c r="E1876" s="16" t="n">
        <f aca="false">IF(B1876=-1, -1, VLOOKUP(MOD(B1876,28), $T$24:$U$52,2))</f>
        <v>4</v>
      </c>
      <c r="F1876" s="16" t="n">
        <f aca="false">IF($B1876=-1, -1, VLOOKUP(C1876,$T$1:$V$20, 2))</f>
        <v>17</v>
      </c>
      <c r="G1876" s="16" t="n">
        <f aca="false">IF($B1876=-1, -1, VLOOKUP(D1876,$Y$1:$Z$22,2))</f>
        <v>12</v>
      </c>
      <c r="H1876" s="16" t="str">
        <f aca="false">_xlfn.UNICHAR(((F1876*21)+G1876)*28+44032)</f>
        <v>표</v>
      </c>
      <c r="I1876" s="16" t="n">
        <f aca="false">IF(B1876=-1, 1, COUNTIF($A$2:$A$3000, H1876))</f>
        <v>1</v>
      </c>
      <c r="J1876" s="10" t="str">
        <f aca="false">_xlfn.CONCAT(A1876, ",",H1876,",",I1876)</f>
        <v>쳔,표,1</v>
      </c>
      <c r="K1876" s="16" t="n">
        <f aca="false">IF(B1876=-1,-1,VLOOKUP(C1876,$T$1:$V$20,3))</f>
        <v>19</v>
      </c>
      <c r="L1876" s="16" t="n">
        <f aca="false">IF(B1876=-1,-1,VLOOKUP(D1876,$Y$1:$AA$22,3))</f>
        <v>4</v>
      </c>
      <c r="N1876" s="10" t="str">
        <f aca="false">_xlfn.UNICHAR(((C1876*21)+G1876)*28+44032)</f>
        <v>쵸</v>
      </c>
      <c r="O1876" s="10" t="str">
        <f aca="false">_xlfn.UNICHAR(((F1876*21)+D1876)*28+44032)</f>
        <v>펴</v>
      </c>
      <c r="P1876" s="12" t="n">
        <f aca="false">COUNTIF($A$2:$A$3000, N1876) + COUNTIF($A$2:$A$3000, O1876)</f>
        <v>2</v>
      </c>
      <c r="Q1876" s="16" t="str">
        <f aca="false">IF(OR(B1876=-1,I1876=0, P1876&lt;&gt;2), "albhed_dummy", _xlfn.CONCAT("albhed ", RIGHT("  " &amp; K1876,2),", ", RIGHT("  " &amp; L1876,2), ", " ,"""",H1876,""", ", """",N1876,""", ","""",O1876,""""," ; ", A1876))</f>
        <v>albhed 19,  4, "표", "쵸", "펴" ; 쳔</v>
      </c>
    </row>
    <row r="1877" customFormat="false" ht="17.9" hidden="false" customHeight="true" outlineLevel="0" collapsed="false">
      <c r="A1877" s="16" t="s">
        <v>2727</v>
      </c>
      <c r="B1877" s="16" t="n">
        <f aca="false">IF(_xlfn.UNICODE(A1877)&lt;44032,-1,_xlfn.UNICODE(A1877)-44032)</f>
        <v>8420</v>
      </c>
      <c r="C1877" s="16" t="n">
        <f aca="false">IF(B1877=-1,-1,INT((B1877/28)/21))</f>
        <v>14</v>
      </c>
      <c r="D1877" s="16" t="n">
        <f aca="false">IF(B1877=-1, -1, MOD(INT(B1877/28),21))</f>
        <v>6</v>
      </c>
      <c r="E1877" s="16" t="n">
        <f aca="false">IF(B1877=-1, -1, VLOOKUP(MOD(B1877,28), $T$24:$U$52,2))</f>
        <v>19</v>
      </c>
      <c r="F1877" s="16" t="n">
        <f aca="false">IF($B1877=-1, -1, VLOOKUP(C1877,$T$1:$V$20, 2))</f>
        <v>17</v>
      </c>
      <c r="G1877" s="16" t="n">
        <f aca="false">IF($B1877=-1, -1, VLOOKUP(D1877,$Y$1:$Z$22,2))</f>
        <v>12</v>
      </c>
      <c r="H1877" s="16" t="str">
        <f aca="false">_xlfn.UNICHAR(((F1877*21)+G1877)*28+44032)</f>
        <v>표</v>
      </c>
      <c r="I1877" s="16" t="n">
        <f aca="false">IF(B1877=-1, 1, COUNTIF($A$2:$A$3000, H1877))</f>
        <v>1</v>
      </c>
      <c r="J1877" s="10" t="str">
        <f aca="false">_xlfn.CONCAT(A1877, ",",H1877,",",I1877)</f>
        <v>쳤,표,1</v>
      </c>
      <c r="K1877" s="16" t="n">
        <f aca="false">IF(B1877=-1,-1,VLOOKUP(C1877,$T$1:$V$20,3))</f>
        <v>19</v>
      </c>
      <c r="L1877" s="16" t="n">
        <f aca="false">IF(B1877=-1,-1,VLOOKUP(D1877,$Y$1:$AA$22,3))</f>
        <v>4</v>
      </c>
      <c r="N1877" s="10" t="str">
        <f aca="false">_xlfn.UNICHAR(((C1877*21)+G1877)*28+44032)</f>
        <v>쵸</v>
      </c>
      <c r="O1877" s="10" t="str">
        <f aca="false">_xlfn.UNICHAR(((F1877*21)+D1877)*28+44032)</f>
        <v>펴</v>
      </c>
      <c r="P1877" s="12" t="n">
        <f aca="false">COUNTIF($A$2:$A$3000, N1877) + COUNTIF($A$2:$A$3000, O1877)</f>
        <v>2</v>
      </c>
      <c r="Q1877" s="16" t="str">
        <f aca="false">IF(OR(B1877=-1,I1877=0, P1877&lt;&gt;2), "albhed_dummy", _xlfn.CONCAT("albhed ", RIGHT("  " &amp; K1877,2),", ", RIGHT("  " &amp; L1877,2), ", " ,"""",H1877,""", ", """",N1877,""", ","""",O1877,""""," ; ", A1877))</f>
        <v>albhed 19,  4, "표", "쵸", "펴" ; 쳤</v>
      </c>
    </row>
    <row r="1878" customFormat="false" ht="17.9" hidden="false" customHeight="true" outlineLevel="0" collapsed="false">
      <c r="A1878" s="16" t="s">
        <v>2728</v>
      </c>
      <c r="B1878" s="16" t="n">
        <f aca="false">IF(_xlfn.UNICODE(A1878)&lt;44032,-1,_xlfn.UNICODE(A1878)-44032)</f>
        <v>8428</v>
      </c>
      <c r="C1878" s="16" t="n">
        <f aca="false">IF(B1878=-1,-1,INT((B1878/28)/21))</f>
        <v>14</v>
      </c>
      <c r="D1878" s="16" t="n">
        <f aca="false">IF(B1878=-1, -1, MOD(INT(B1878/28),21))</f>
        <v>7</v>
      </c>
      <c r="E1878" s="16" t="n">
        <f aca="false">IF(B1878=-1, -1, VLOOKUP(MOD(B1878,28), $T$24:$U$52,2))</f>
        <v>0</v>
      </c>
      <c r="F1878" s="16" t="n">
        <f aca="false">IF($B1878=-1, -1, VLOOKUP(C1878,$T$1:$V$20, 2))</f>
        <v>17</v>
      </c>
      <c r="G1878" s="16" t="n">
        <f aca="false">IF($B1878=-1, -1, VLOOKUP(D1878,$Y$1:$Z$22,2))</f>
        <v>18</v>
      </c>
      <c r="H1878" s="16" t="str">
        <f aca="false">_xlfn.UNICHAR(((F1878*21)+G1878)*28+44032)</f>
        <v>프</v>
      </c>
      <c r="I1878" s="16" t="n">
        <f aca="false">IF(B1878=-1, 1, COUNTIF($A$2:$A$3000, H1878))</f>
        <v>1</v>
      </c>
      <c r="J1878" s="10" t="str">
        <f aca="false">_xlfn.CONCAT(A1878, ",",H1878,",",I1878)</f>
        <v>쳬,프,1</v>
      </c>
      <c r="K1878" s="16" t="n">
        <f aca="false">IF(B1878=-1,-1,VLOOKUP(C1878,$T$1:$V$20,3))</f>
        <v>19</v>
      </c>
      <c r="L1878" s="16" t="n">
        <f aca="false">IF(B1878=-1,-1,VLOOKUP(D1878,$Y$1:$AA$22,3))</f>
        <v>14</v>
      </c>
      <c r="N1878" s="10" t="str">
        <f aca="false">_xlfn.UNICHAR(((C1878*21)+G1878)*28+44032)</f>
        <v>츠</v>
      </c>
      <c r="O1878" s="10" t="str">
        <f aca="false">_xlfn.UNICHAR(((F1878*21)+D1878)*28+44032)</f>
        <v>폐</v>
      </c>
      <c r="P1878" s="12" t="n">
        <f aca="false">COUNTIF($A$2:$A$3000, N1878) + COUNTIF($A$2:$A$3000, O1878)</f>
        <v>2</v>
      </c>
      <c r="Q1878" s="16" t="str">
        <f aca="false">IF(OR(B1878=-1,I1878=0, P1878&lt;&gt;2), "albhed_dummy", _xlfn.CONCAT("albhed ", RIGHT("  " &amp; K1878,2),", ", RIGHT("  " &amp; L1878,2), ", " ,"""",H1878,""", ", """",N1878,""", ","""",O1878,""""," ; ", A1878))</f>
        <v>albhed 19, 14, "프", "츠", "폐" ; 쳬</v>
      </c>
    </row>
    <row r="1879" customFormat="false" ht="17.9" hidden="false" customHeight="true" outlineLevel="0" collapsed="false">
      <c r="A1879" s="16" t="s">
        <v>2729</v>
      </c>
      <c r="B1879" s="16" t="n">
        <f aca="false">IF(_xlfn.UNICODE(A1879)&lt;44032,-1,_xlfn.UNICODE(A1879)-44032)</f>
        <v>8432</v>
      </c>
      <c r="C1879" s="16" t="n">
        <f aca="false">IF(B1879=-1,-1,INT((B1879/28)/21))</f>
        <v>14</v>
      </c>
      <c r="D1879" s="16" t="n">
        <f aca="false">IF(B1879=-1, -1, MOD(INT(B1879/28),21))</f>
        <v>7</v>
      </c>
      <c r="E1879" s="16" t="n">
        <f aca="false">IF(B1879=-1, -1, VLOOKUP(MOD(B1879,28), $T$24:$U$52,2))</f>
        <v>4</v>
      </c>
      <c r="F1879" s="16" t="n">
        <f aca="false">IF($B1879=-1, -1, VLOOKUP(C1879,$T$1:$V$20, 2))</f>
        <v>17</v>
      </c>
      <c r="G1879" s="16" t="n">
        <f aca="false">IF($B1879=-1, -1, VLOOKUP(D1879,$Y$1:$Z$22,2))</f>
        <v>18</v>
      </c>
      <c r="H1879" s="16" t="str">
        <f aca="false">_xlfn.UNICHAR(((F1879*21)+G1879)*28+44032)</f>
        <v>프</v>
      </c>
      <c r="I1879" s="16" t="n">
        <f aca="false">IF(B1879=-1, 1, COUNTIF($A$2:$A$3000, H1879))</f>
        <v>1</v>
      </c>
      <c r="J1879" s="10" t="str">
        <f aca="false">_xlfn.CONCAT(A1879, ",",H1879,",",I1879)</f>
        <v>쳰,프,1</v>
      </c>
      <c r="K1879" s="16" t="n">
        <f aca="false">IF(B1879=-1,-1,VLOOKUP(C1879,$T$1:$V$20,3))</f>
        <v>19</v>
      </c>
      <c r="L1879" s="16" t="n">
        <f aca="false">IF(B1879=-1,-1,VLOOKUP(D1879,$Y$1:$AA$22,3))</f>
        <v>14</v>
      </c>
      <c r="N1879" s="10" t="str">
        <f aca="false">_xlfn.UNICHAR(((C1879*21)+G1879)*28+44032)</f>
        <v>츠</v>
      </c>
      <c r="O1879" s="10" t="str">
        <f aca="false">_xlfn.UNICHAR(((F1879*21)+D1879)*28+44032)</f>
        <v>폐</v>
      </c>
      <c r="P1879" s="12" t="n">
        <f aca="false">COUNTIF($A$2:$A$3000, N1879) + COUNTIF($A$2:$A$3000, O1879)</f>
        <v>2</v>
      </c>
      <c r="Q1879" s="16" t="str">
        <f aca="false">IF(OR(B1879=-1,I1879=0, P1879&lt;&gt;2), "albhed_dummy", _xlfn.CONCAT("albhed ", RIGHT("  " &amp; K1879,2),", ", RIGHT("  " &amp; L1879,2), ", " ,"""",H1879,""", ", """",N1879,""", ","""",O1879,""""," ; ", A1879))</f>
        <v>albhed 19, 14, "프", "츠", "폐" ; 쳰</v>
      </c>
    </row>
    <row r="1880" customFormat="false" ht="17.9" hidden="false" customHeight="true" outlineLevel="0" collapsed="false">
      <c r="A1880" s="16" t="s">
        <v>2730</v>
      </c>
      <c r="B1880" s="16" t="n">
        <f aca="false">IF(_xlfn.UNICODE(A1880)&lt;44032,-1,_xlfn.UNICODE(A1880)-44032)</f>
        <v>8449</v>
      </c>
      <c r="C1880" s="16" t="n">
        <f aca="false">IF(B1880=-1,-1,INT((B1880/28)/21))</f>
        <v>14</v>
      </c>
      <c r="D1880" s="16" t="n">
        <f aca="false">IF(B1880=-1, -1, MOD(INT(B1880/28),21))</f>
        <v>7</v>
      </c>
      <c r="E1880" s="16" t="n">
        <f aca="false">IF(B1880=-1, -1, VLOOKUP(MOD(B1880,28), $T$24:$U$52,2))</f>
        <v>21</v>
      </c>
      <c r="F1880" s="16" t="n">
        <f aca="false">IF($B1880=-1, -1, VLOOKUP(C1880,$T$1:$V$20, 2))</f>
        <v>17</v>
      </c>
      <c r="G1880" s="16" t="n">
        <f aca="false">IF($B1880=-1, -1, VLOOKUP(D1880,$Y$1:$Z$22,2))</f>
        <v>18</v>
      </c>
      <c r="H1880" s="16" t="str">
        <f aca="false">_xlfn.UNICHAR(((F1880*21)+G1880)*28+44032)</f>
        <v>프</v>
      </c>
      <c r="I1880" s="16" t="n">
        <f aca="false">IF(B1880=-1, 1, COUNTIF($A$2:$A$3000, H1880))</f>
        <v>1</v>
      </c>
      <c r="J1880" s="10" t="str">
        <f aca="false">_xlfn.CONCAT(A1880, ",",H1880,",",I1880)</f>
        <v>촁,프,1</v>
      </c>
      <c r="K1880" s="16" t="n">
        <f aca="false">IF(B1880=-1,-1,VLOOKUP(C1880,$T$1:$V$20,3))</f>
        <v>19</v>
      </c>
      <c r="L1880" s="16" t="n">
        <f aca="false">IF(B1880=-1,-1,VLOOKUP(D1880,$Y$1:$AA$22,3))</f>
        <v>14</v>
      </c>
      <c r="N1880" s="10" t="str">
        <f aca="false">_xlfn.UNICHAR(((C1880*21)+G1880)*28+44032)</f>
        <v>츠</v>
      </c>
      <c r="O1880" s="10" t="str">
        <f aca="false">_xlfn.UNICHAR(((F1880*21)+D1880)*28+44032)</f>
        <v>폐</v>
      </c>
      <c r="P1880" s="12" t="n">
        <f aca="false">COUNTIF($A$2:$A$3000, N1880) + COUNTIF($A$2:$A$3000, O1880)</f>
        <v>2</v>
      </c>
      <c r="Q1880" s="16" t="str">
        <f aca="false">IF(OR(B1880=-1,I1880=0, P1880&lt;&gt;2), "albhed_dummy", _xlfn.CONCAT("albhed ", RIGHT("  " &amp; K1880,2),", ", RIGHT("  " &amp; L1880,2), ", " ,"""",H1880,""", ", """",N1880,""", ","""",O1880,""""," ; ", A1880))</f>
        <v>albhed 19, 14, "프", "츠", "폐" ; 촁</v>
      </c>
    </row>
    <row r="1881" customFormat="false" ht="17.9" hidden="false" customHeight="true" outlineLevel="0" collapsed="false">
      <c r="A1881" s="16" t="s">
        <v>2731</v>
      </c>
      <c r="B1881" s="16" t="n">
        <f aca="false">IF(_xlfn.UNICODE(A1881)&lt;44032,-1,_xlfn.UNICODE(A1881)-44032)</f>
        <v>8456</v>
      </c>
      <c r="C1881" s="16" t="n">
        <f aca="false">IF(B1881=-1,-1,INT((B1881/28)/21))</f>
        <v>14</v>
      </c>
      <c r="D1881" s="16" t="n">
        <f aca="false">IF(B1881=-1, -1, MOD(INT(B1881/28),21))</f>
        <v>8</v>
      </c>
      <c r="E1881" s="16" t="n">
        <f aca="false">IF(B1881=-1, -1, VLOOKUP(MOD(B1881,28), $T$24:$U$52,2))</f>
        <v>0</v>
      </c>
      <c r="F1881" s="16" t="n">
        <f aca="false">IF($B1881=-1, -1, VLOOKUP(C1881,$T$1:$V$20, 2))</f>
        <v>17</v>
      </c>
      <c r="G1881" s="16" t="n">
        <f aca="false">IF($B1881=-1, -1, VLOOKUP(D1881,$Y$1:$Z$22,2))</f>
        <v>4</v>
      </c>
      <c r="H1881" s="16" t="str">
        <f aca="false">_xlfn.UNICHAR(((F1881*21)+G1881)*28+44032)</f>
        <v>퍼</v>
      </c>
      <c r="I1881" s="16" t="n">
        <f aca="false">IF(B1881=-1, 1, COUNTIF($A$2:$A$3000, H1881))</f>
        <v>1</v>
      </c>
      <c r="J1881" s="10" t="str">
        <f aca="false">_xlfn.CONCAT(A1881, ",",H1881,",",I1881)</f>
        <v>초,퍼,1</v>
      </c>
      <c r="K1881" s="16" t="n">
        <f aca="false">IF(B1881=-1,-1,VLOOKUP(C1881,$T$1:$V$20,3))</f>
        <v>19</v>
      </c>
      <c r="L1881" s="16" t="n">
        <f aca="false">IF(B1881=-1,-1,VLOOKUP(D1881,$Y$1:$AA$22,3))</f>
        <v>8</v>
      </c>
      <c r="N1881" s="10" t="str">
        <f aca="false">_xlfn.UNICHAR(((C1881*21)+G1881)*28+44032)</f>
        <v>처</v>
      </c>
      <c r="O1881" s="10" t="str">
        <f aca="false">_xlfn.UNICHAR(((F1881*21)+D1881)*28+44032)</f>
        <v>포</v>
      </c>
      <c r="P1881" s="12" t="n">
        <f aca="false">COUNTIF($A$2:$A$3000, N1881) + COUNTIF($A$2:$A$3000, O1881)</f>
        <v>2</v>
      </c>
      <c r="Q1881" s="16" t="str">
        <f aca="false">IF(OR(B1881=-1,I1881=0, P1881&lt;&gt;2), "albhed_dummy", _xlfn.CONCAT("albhed ", RIGHT("  " &amp; K1881,2),", ", RIGHT("  " &amp; L1881,2), ", " ,"""",H1881,""", ", """",N1881,""", ","""",O1881,""""," ; ", A1881))</f>
        <v>albhed 19,  8, "퍼", "처", "포" ; 초</v>
      </c>
    </row>
    <row r="1882" customFormat="false" ht="17.9" hidden="false" customHeight="true" outlineLevel="0" collapsed="false">
      <c r="A1882" s="16" t="s">
        <v>2732</v>
      </c>
      <c r="B1882" s="16" t="n">
        <f aca="false">IF(_xlfn.UNICODE(A1882)&lt;44032,-1,_xlfn.UNICODE(A1882)-44032)</f>
        <v>8457</v>
      </c>
      <c r="C1882" s="16" t="n">
        <f aca="false">IF(B1882=-1,-1,INT((B1882/28)/21))</f>
        <v>14</v>
      </c>
      <c r="D1882" s="16" t="n">
        <f aca="false">IF(B1882=-1, -1, MOD(INT(B1882/28),21))</f>
        <v>8</v>
      </c>
      <c r="E1882" s="16" t="n">
        <f aca="false">IF(B1882=-1, -1, VLOOKUP(MOD(B1882,28), $T$24:$U$52,2))</f>
        <v>1</v>
      </c>
      <c r="F1882" s="16" t="n">
        <f aca="false">IF($B1882=-1, -1, VLOOKUP(C1882,$T$1:$V$20, 2))</f>
        <v>17</v>
      </c>
      <c r="G1882" s="16" t="n">
        <f aca="false">IF($B1882=-1, -1, VLOOKUP(D1882,$Y$1:$Z$22,2))</f>
        <v>4</v>
      </c>
      <c r="H1882" s="16" t="str">
        <f aca="false">_xlfn.UNICHAR(((F1882*21)+G1882)*28+44032)</f>
        <v>퍼</v>
      </c>
      <c r="I1882" s="16" t="n">
        <f aca="false">IF(B1882=-1, 1, COUNTIF($A$2:$A$3000, H1882))</f>
        <v>1</v>
      </c>
      <c r="J1882" s="10" t="str">
        <f aca="false">_xlfn.CONCAT(A1882, ",",H1882,",",I1882)</f>
        <v>촉,퍼,1</v>
      </c>
      <c r="K1882" s="16" t="n">
        <f aca="false">IF(B1882=-1,-1,VLOOKUP(C1882,$T$1:$V$20,3))</f>
        <v>19</v>
      </c>
      <c r="L1882" s="16" t="n">
        <f aca="false">IF(B1882=-1,-1,VLOOKUP(D1882,$Y$1:$AA$22,3))</f>
        <v>8</v>
      </c>
      <c r="N1882" s="10" t="str">
        <f aca="false">_xlfn.UNICHAR(((C1882*21)+G1882)*28+44032)</f>
        <v>처</v>
      </c>
      <c r="O1882" s="10" t="str">
        <f aca="false">_xlfn.UNICHAR(((F1882*21)+D1882)*28+44032)</f>
        <v>포</v>
      </c>
      <c r="P1882" s="12" t="n">
        <f aca="false">COUNTIF($A$2:$A$3000, N1882) + COUNTIF($A$2:$A$3000, O1882)</f>
        <v>2</v>
      </c>
      <c r="Q1882" s="16" t="str">
        <f aca="false">IF(OR(B1882=-1,I1882=0, P1882&lt;&gt;2), "albhed_dummy", _xlfn.CONCAT("albhed ", RIGHT("  " &amp; K1882,2),", ", RIGHT("  " &amp; L1882,2), ", " ,"""",H1882,""", ", """",N1882,""", ","""",O1882,""""," ; ", A1882))</f>
        <v>albhed 19,  8, "퍼", "처", "포" ; 촉</v>
      </c>
    </row>
    <row r="1883" customFormat="false" ht="17.9" hidden="false" customHeight="true" outlineLevel="0" collapsed="false">
      <c r="A1883" s="16" t="s">
        <v>2733</v>
      </c>
      <c r="B1883" s="16" t="n">
        <f aca="false">IF(_xlfn.UNICODE(A1883)&lt;44032,-1,_xlfn.UNICODE(A1883)-44032)</f>
        <v>8460</v>
      </c>
      <c r="C1883" s="16" t="n">
        <f aca="false">IF(B1883=-1,-1,INT((B1883/28)/21))</f>
        <v>14</v>
      </c>
      <c r="D1883" s="16" t="n">
        <f aca="false">IF(B1883=-1, -1, MOD(INT(B1883/28),21))</f>
        <v>8</v>
      </c>
      <c r="E1883" s="16" t="n">
        <f aca="false">IF(B1883=-1, -1, VLOOKUP(MOD(B1883,28), $T$24:$U$52,2))</f>
        <v>4</v>
      </c>
      <c r="F1883" s="16" t="n">
        <f aca="false">IF($B1883=-1, -1, VLOOKUP(C1883,$T$1:$V$20, 2))</f>
        <v>17</v>
      </c>
      <c r="G1883" s="16" t="n">
        <f aca="false">IF($B1883=-1, -1, VLOOKUP(D1883,$Y$1:$Z$22,2))</f>
        <v>4</v>
      </c>
      <c r="H1883" s="16" t="str">
        <f aca="false">_xlfn.UNICHAR(((F1883*21)+G1883)*28+44032)</f>
        <v>퍼</v>
      </c>
      <c r="I1883" s="16" t="n">
        <f aca="false">IF(B1883=-1, 1, COUNTIF($A$2:$A$3000, H1883))</f>
        <v>1</v>
      </c>
      <c r="J1883" s="10" t="str">
        <f aca="false">_xlfn.CONCAT(A1883, ",",H1883,",",I1883)</f>
        <v>촌,퍼,1</v>
      </c>
      <c r="K1883" s="16" t="n">
        <f aca="false">IF(B1883=-1,-1,VLOOKUP(C1883,$T$1:$V$20,3))</f>
        <v>19</v>
      </c>
      <c r="L1883" s="16" t="n">
        <f aca="false">IF(B1883=-1,-1,VLOOKUP(D1883,$Y$1:$AA$22,3))</f>
        <v>8</v>
      </c>
      <c r="N1883" s="10" t="str">
        <f aca="false">_xlfn.UNICHAR(((C1883*21)+G1883)*28+44032)</f>
        <v>처</v>
      </c>
      <c r="O1883" s="10" t="str">
        <f aca="false">_xlfn.UNICHAR(((F1883*21)+D1883)*28+44032)</f>
        <v>포</v>
      </c>
      <c r="P1883" s="12" t="n">
        <f aca="false">COUNTIF($A$2:$A$3000, N1883) + COUNTIF($A$2:$A$3000, O1883)</f>
        <v>2</v>
      </c>
      <c r="Q1883" s="16" t="str">
        <f aca="false">IF(OR(B1883=-1,I1883=0, P1883&lt;&gt;2), "albhed_dummy", _xlfn.CONCAT("albhed ", RIGHT("  " &amp; K1883,2),", ", RIGHT("  " &amp; L1883,2), ", " ,"""",H1883,""", ", """",N1883,""", ","""",O1883,""""," ; ", A1883))</f>
        <v>albhed 19,  8, "퍼", "처", "포" ; 촌</v>
      </c>
    </row>
    <row r="1884" customFormat="false" ht="17.9" hidden="false" customHeight="true" outlineLevel="0" collapsed="false">
      <c r="A1884" s="16" t="s">
        <v>2734</v>
      </c>
      <c r="B1884" s="16" t="n">
        <f aca="false">IF(_xlfn.UNICODE(A1884)&lt;44032,-1,_xlfn.UNICODE(A1884)-44032)</f>
        <v>8464</v>
      </c>
      <c r="C1884" s="16" t="n">
        <f aca="false">IF(B1884=-1,-1,INT((B1884/28)/21))</f>
        <v>14</v>
      </c>
      <c r="D1884" s="16" t="n">
        <f aca="false">IF(B1884=-1, -1, MOD(INT(B1884/28),21))</f>
        <v>8</v>
      </c>
      <c r="E1884" s="16" t="n">
        <f aca="false">IF(B1884=-1, -1, VLOOKUP(MOD(B1884,28), $T$24:$U$52,2))</f>
        <v>8</v>
      </c>
      <c r="F1884" s="16" t="n">
        <f aca="false">IF($B1884=-1, -1, VLOOKUP(C1884,$T$1:$V$20, 2))</f>
        <v>17</v>
      </c>
      <c r="G1884" s="16" t="n">
        <f aca="false">IF($B1884=-1, -1, VLOOKUP(D1884,$Y$1:$Z$22,2))</f>
        <v>4</v>
      </c>
      <c r="H1884" s="16" t="str">
        <f aca="false">_xlfn.UNICHAR(((F1884*21)+G1884)*28+44032)</f>
        <v>퍼</v>
      </c>
      <c r="I1884" s="16" t="n">
        <f aca="false">IF(B1884=-1, 1, COUNTIF($A$2:$A$3000, H1884))</f>
        <v>1</v>
      </c>
      <c r="J1884" s="10" t="str">
        <f aca="false">_xlfn.CONCAT(A1884, ",",H1884,",",I1884)</f>
        <v>촐,퍼,1</v>
      </c>
      <c r="K1884" s="16" t="n">
        <f aca="false">IF(B1884=-1,-1,VLOOKUP(C1884,$T$1:$V$20,3))</f>
        <v>19</v>
      </c>
      <c r="L1884" s="16" t="n">
        <f aca="false">IF(B1884=-1,-1,VLOOKUP(D1884,$Y$1:$AA$22,3))</f>
        <v>8</v>
      </c>
      <c r="N1884" s="10" t="str">
        <f aca="false">_xlfn.UNICHAR(((C1884*21)+G1884)*28+44032)</f>
        <v>처</v>
      </c>
      <c r="O1884" s="10" t="str">
        <f aca="false">_xlfn.UNICHAR(((F1884*21)+D1884)*28+44032)</f>
        <v>포</v>
      </c>
      <c r="P1884" s="12" t="n">
        <f aca="false">COUNTIF($A$2:$A$3000, N1884) + COUNTIF($A$2:$A$3000, O1884)</f>
        <v>2</v>
      </c>
      <c r="Q1884" s="16" t="str">
        <f aca="false">IF(OR(B1884=-1,I1884=0, P1884&lt;&gt;2), "albhed_dummy", _xlfn.CONCAT("albhed ", RIGHT("  " &amp; K1884,2),", ", RIGHT("  " &amp; L1884,2), ", " ,"""",H1884,""", ", """",N1884,""", ","""",O1884,""""," ; ", A1884))</f>
        <v>albhed 19,  8, "퍼", "처", "포" ; 촐</v>
      </c>
    </row>
    <row r="1885" customFormat="false" ht="17.9" hidden="false" customHeight="true" outlineLevel="0" collapsed="false">
      <c r="A1885" s="16" t="s">
        <v>2735</v>
      </c>
      <c r="B1885" s="16" t="n">
        <f aca="false">IF(_xlfn.UNICODE(A1885)&lt;44032,-1,_xlfn.UNICODE(A1885)-44032)</f>
        <v>8472</v>
      </c>
      <c r="C1885" s="16" t="n">
        <f aca="false">IF(B1885=-1,-1,INT((B1885/28)/21))</f>
        <v>14</v>
      </c>
      <c r="D1885" s="16" t="n">
        <f aca="false">IF(B1885=-1, -1, MOD(INT(B1885/28),21))</f>
        <v>8</v>
      </c>
      <c r="E1885" s="16" t="n">
        <f aca="false">IF(B1885=-1, -1, VLOOKUP(MOD(B1885,28), $T$24:$U$52,2))</f>
        <v>16</v>
      </c>
      <c r="F1885" s="16" t="n">
        <f aca="false">IF($B1885=-1, -1, VLOOKUP(C1885,$T$1:$V$20, 2))</f>
        <v>17</v>
      </c>
      <c r="G1885" s="16" t="n">
        <f aca="false">IF($B1885=-1, -1, VLOOKUP(D1885,$Y$1:$Z$22,2))</f>
        <v>4</v>
      </c>
      <c r="H1885" s="16" t="str">
        <f aca="false">_xlfn.UNICHAR(((F1885*21)+G1885)*28+44032)</f>
        <v>퍼</v>
      </c>
      <c r="I1885" s="16" t="n">
        <f aca="false">IF(B1885=-1, 1, COUNTIF($A$2:$A$3000, H1885))</f>
        <v>1</v>
      </c>
      <c r="J1885" s="10" t="str">
        <f aca="false">_xlfn.CONCAT(A1885, ",",H1885,",",I1885)</f>
        <v>촘,퍼,1</v>
      </c>
      <c r="K1885" s="16" t="n">
        <f aca="false">IF(B1885=-1,-1,VLOOKUP(C1885,$T$1:$V$20,3))</f>
        <v>19</v>
      </c>
      <c r="L1885" s="16" t="n">
        <f aca="false">IF(B1885=-1,-1,VLOOKUP(D1885,$Y$1:$AA$22,3))</f>
        <v>8</v>
      </c>
      <c r="N1885" s="10" t="str">
        <f aca="false">_xlfn.UNICHAR(((C1885*21)+G1885)*28+44032)</f>
        <v>처</v>
      </c>
      <c r="O1885" s="10" t="str">
        <f aca="false">_xlfn.UNICHAR(((F1885*21)+D1885)*28+44032)</f>
        <v>포</v>
      </c>
      <c r="P1885" s="12" t="n">
        <f aca="false">COUNTIF($A$2:$A$3000, N1885) + COUNTIF($A$2:$A$3000, O1885)</f>
        <v>2</v>
      </c>
      <c r="Q1885" s="16" t="str">
        <f aca="false">IF(OR(B1885=-1,I1885=0, P1885&lt;&gt;2), "albhed_dummy", _xlfn.CONCAT("albhed ", RIGHT("  " &amp; K1885,2),", ", RIGHT("  " &amp; L1885,2), ", " ,"""",H1885,""", ", """",N1885,""", ","""",O1885,""""," ; ", A1885))</f>
        <v>albhed 19,  8, "퍼", "처", "포" ; 촘</v>
      </c>
    </row>
    <row r="1886" customFormat="false" ht="17.9" hidden="false" customHeight="true" outlineLevel="0" collapsed="false">
      <c r="A1886" s="16" t="s">
        <v>2736</v>
      </c>
      <c r="B1886" s="16" t="n">
        <f aca="false">IF(_xlfn.UNICODE(A1886)&lt;44032,-1,_xlfn.UNICODE(A1886)-44032)</f>
        <v>8473</v>
      </c>
      <c r="C1886" s="16" t="n">
        <f aca="false">IF(B1886=-1,-1,INT((B1886/28)/21))</f>
        <v>14</v>
      </c>
      <c r="D1886" s="16" t="n">
        <f aca="false">IF(B1886=-1, -1, MOD(INT(B1886/28),21))</f>
        <v>8</v>
      </c>
      <c r="E1886" s="16" t="n">
        <f aca="false">IF(B1886=-1, -1, VLOOKUP(MOD(B1886,28), $T$24:$U$52,2))</f>
        <v>17</v>
      </c>
      <c r="F1886" s="16" t="n">
        <f aca="false">IF($B1886=-1, -1, VLOOKUP(C1886,$T$1:$V$20, 2))</f>
        <v>17</v>
      </c>
      <c r="G1886" s="16" t="n">
        <f aca="false">IF($B1886=-1, -1, VLOOKUP(D1886,$Y$1:$Z$22,2))</f>
        <v>4</v>
      </c>
      <c r="H1886" s="16" t="str">
        <f aca="false">_xlfn.UNICHAR(((F1886*21)+G1886)*28+44032)</f>
        <v>퍼</v>
      </c>
      <c r="I1886" s="16" t="n">
        <f aca="false">IF(B1886=-1, 1, COUNTIF($A$2:$A$3000, H1886))</f>
        <v>1</v>
      </c>
      <c r="J1886" s="10" t="str">
        <f aca="false">_xlfn.CONCAT(A1886, ",",H1886,",",I1886)</f>
        <v>촙,퍼,1</v>
      </c>
      <c r="K1886" s="16" t="n">
        <f aca="false">IF(B1886=-1,-1,VLOOKUP(C1886,$T$1:$V$20,3))</f>
        <v>19</v>
      </c>
      <c r="L1886" s="16" t="n">
        <f aca="false">IF(B1886=-1,-1,VLOOKUP(D1886,$Y$1:$AA$22,3))</f>
        <v>8</v>
      </c>
      <c r="N1886" s="10" t="str">
        <f aca="false">_xlfn.UNICHAR(((C1886*21)+G1886)*28+44032)</f>
        <v>처</v>
      </c>
      <c r="O1886" s="10" t="str">
        <f aca="false">_xlfn.UNICHAR(((F1886*21)+D1886)*28+44032)</f>
        <v>포</v>
      </c>
      <c r="P1886" s="12" t="n">
        <f aca="false">COUNTIF($A$2:$A$3000, N1886) + COUNTIF($A$2:$A$3000, O1886)</f>
        <v>2</v>
      </c>
      <c r="Q1886" s="16" t="str">
        <f aca="false">IF(OR(B1886=-1,I1886=0, P1886&lt;&gt;2), "albhed_dummy", _xlfn.CONCAT("albhed ", RIGHT("  " &amp; K1886,2),", ", RIGHT("  " &amp; L1886,2), ", " ,"""",H1886,""", ", """",N1886,""", ","""",O1886,""""," ; ", A1886))</f>
        <v>albhed 19,  8, "퍼", "처", "포" ; 촙</v>
      </c>
    </row>
    <row r="1887" customFormat="false" ht="17.9" hidden="false" customHeight="true" outlineLevel="0" collapsed="false">
      <c r="A1887" s="16" t="s">
        <v>2737</v>
      </c>
      <c r="B1887" s="16" t="n">
        <f aca="false">IF(_xlfn.UNICODE(A1887)&lt;44032,-1,_xlfn.UNICODE(A1887)-44032)</f>
        <v>8475</v>
      </c>
      <c r="C1887" s="16" t="n">
        <f aca="false">IF(B1887=-1,-1,INT((B1887/28)/21))</f>
        <v>14</v>
      </c>
      <c r="D1887" s="16" t="n">
        <f aca="false">IF(B1887=-1, -1, MOD(INT(B1887/28),21))</f>
        <v>8</v>
      </c>
      <c r="E1887" s="16" t="n">
        <f aca="false">IF(B1887=-1, -1, VLOOKUP(MOD(B1887,28), $T$24:$U$52,2))</f>
        <v>19</v>
      </c>
      <c r="F1887" s="16" t="n">
        <f aca="false">IF($B1887=-1, -1, VLOOKUP(C1887,$T$1:$V$20, 2))</f>
        <v>17</v>
      </c>
      <c r="G1887" s="16" t="n">
        <f aca="false">IF($B1887=-1, -1, VLOOKUP(D1887,$Y$1:$Z$22,2))</f>
        <v>4</v>
      </c>
      <c r="H1887" s="16" t="str">
        <f aca="false">_xlfn.UNICHAR(((F1887*21)+G1887)*28+44032)</f>
        <v>퍼</v>
      </c>
      <c r="I1887" s="16" t="n">
        <f aca="false">IF(B1887=-1, 1, COUNTIF($A$2:$A$3000, H1887))</f>
        <v>1</v>
      </c>
      <c r="J1887" s="10" t="str">
        <f aca="false">_xlfn.CONCAT(A1887, ",",H1887,",",I1887)</f>
        <v>촛,퍼,1</v>
      </c>
      <c r="K1887" s="16" t="n">
        <f aca="false">IF(B1887=-1,-1,VLOOKUP(C1887,$T$1:$V$20,3))</f>
        <v>19</v>
      </c>
      <c r="L1887" s="16" t="n">
        <f aca="false">IF(B1887=-1,-1,VLOOKUP(D1887,$Y$1:$AA$22,3))</f>
        <v>8</v>
      </c>
      <c r="N1887" s="10" t="str">
        <f aca="false">_xlfn.UNICHAR(((C1887*21)+G1887)*28+44032)</f>
        <v>처</v>
      </c>
      <c r="O1887" s="10" t="str">
        <f aca="false">_xlfn.UNICHAR(((F1887*21)+D1887)*28+44032)</f>
        <v>포</v>
      </c>
      <c r="P1887" s="12" t="n">
        <f aca="false">COUNTIF($A$2:$A$3000, N1887) + COUNTIF($A$2:$A$3000, O1887)</f>
        <v>2</v>
      </c>
      <c r="Q1887" s="16" t="str">
        <f aca="false">IF(OR(B1887=-1,I1887=0, P1887&lt;&gt;2), "albhed_dummy", _xlfn.CONCAT("albhed ", RIGHT("  " &amp; K1887,2),", ", RIGHT("  " &amp; L1887,2), ", " ,"""",H1887,""", ", """",N1887,""", ","""",O1887,""""," ; ", A1887))</f>
        <v>albhed 19,  8, "퍼", "처", "포" ; 촛</v>
      </c>
    </row>
    <row r="1888" customFormat="false" ht="17.9" hidden="false" customHeight="true" outlineLevel="0" collapsed="false">
      <c r="A1888" s="16" t="s">
        <v>2738</v>
      </c>
      <c r="B1888" s="16" t="n">
        <f aca="false">IF(_xlfn.UNICODE(A1888)&lt;44032,-1,_xlfn.UNICODE(A1888)-44032)</f>
        <v>8477</v>
      </c>
      <c r="C1888" s="16" t="n">
        <f aca="false">IF(B1888=-1,-1,INT((B1888/28)/21))</f>
        <v>14</v>
      </c>
      <c r="D1888" s="16" t="n">
        <f aca="false">IF(B1888=-1, -1, MOD(INT(B1888/28),21))</f>
        <v>8</v>
      </c>
      <c r="E1888" s="16" t="n">
        <f aca="false">IF(B1888=-1, -1, VLOOKUP(MOD(B1888,28), $T$24:$U$52,2))</f>
        <v>21</v>
      </c>
      <c r="F1888" s="16" t="n">
        <f aca="false">IF($B1888=-1, -1, VLOOKUP(C1888,$T$1:$V$20, 2))</f>
        <v>17</v>
      </c>
      <c r="G1888" s="16" t="n">
        <f aca="false">IF($B1888=-1, -1, VLOOKUP(D1888,$Y$1:$Z$22,2))</f>
        <v>4</v>
      </c>
      <c r="H1888" s="16" t="str">
        <f aca="false">_xlfn.UNICHAR(((F1888*21)+G1888)*28+44032)</f>
        <v>퍼</v>
      </c>
      <c r="I1888" s="16" t="n">
        <f aca="false">IF(B1888=-1, 1, COUNTIF($A$2:$A$3000, H1888))</f>
        <v>1</v>
      </c>
      <c r="J1888" s="10" t="str">
        <f aca="false">_xlfn.CONCAT(A1888, ",",H1888,",",I1888)</f>
        <v>총,퍼,1</v>
      </c>
      <c r="K1888" s="16" t="n">
        <f aca="false">IF(B1888=-1,-1,VLOOKUP(C1888,$T$1:$V$20,3))</f>
        <v>19</v>
      </c>
      <c r="L1888" s="16" t="n">
        <f aca="false">IF(B1888=-1,-1,VLOOKUP(D1888,$Y$1:$AA$22,3))</f>
        <v>8</v>
      </c>
      <c r="N1888" s="10" t="str">
        <f aca="false">_xlfn.UNICHAR(((C1888*21)+G1888)*28+44032)</f>
        <v>처</v>
      </c>
      <c r="O1888" s="10" t="str">
        <f aca="false">_xlfn.UNICHAR(((F1888*21)+D1888)*28+44032)</f>
        <v>포</v>
      </c>
      <c r="P1888" s="12" t="n">
        <f aca="false">COUNTIF($A$2:$A$3000, N1888) + COUNTIF($A$2:$A$3000, O1888)</f>
        <v>2</v>
      </c>
      <c r="Q1888" s="16" t="str">
        <f aca="false">IF(OR(B1888=-1,I1888=0, P1888&lt;&gt;2), "albhed_dummy", _xlfn.CONCAT("albhed ", RIGHT("  " &amp; K1888,2),", ", RIGHT("  " &amp; L1888,2), ", " ,"""",H1888,""", ", """",N1888,""", ","""",O1888,""""," ; ", A1888))</f>
        <v>albhed 19,  8, "퍼", "처", "포" ; 총</v>
      </c>
    </row>
    <row r="1889" customFormat="false" ht="17.9" hidden="false" customHeight="true" outlineLevel="0" collapsed="false">
      <c r="A1889" s="16" t="s">
        <v>2739</v>
      </c>
      <c r="B1889" s="16" t="n">
        <f aca="false">IF(_xlfn.UNICODE(A1889)&lt;44032,-1,_xlfn.UNICODE(A1889)-44032)</f>
        <v>8484</v>
      </c>
      <c r="C1889" s="16" t="n">
        <f aca="false">IF(B1889=-1,-1,INT((B1889/28)/21))</f>
        <v>14</v>
      </c>
      <c r="D1889" s="16" t="n">
        <f aca="false">IF(B1889=-1, -1, MOD(INT(B1889/28),21))</f>
        <v>9</v>
      </c>
      <c r="E1889" s="16" t="n">
        <f aca="false">IF(B1889=-1, -1, VLOOKUP(MOD(B1889,28), $T$24:$U$52,2))</f>
        <v>0</v>
      </c>
      <c r="F1889" s="16" t="n">
        <f aca="false">IF($B1889=-1, -1, VLOOKUP(C1889,$T$1:$V$20, 2))</f>
        <v>17</v>
      </c>
      <c r="G1889" s="16" t="n">
        <f aca="false">IF($B1889=-1, -1, VLOOKUP(D1889,$Y$1:$Z$22,2))</f>
        <v>20</v>
      </c>
      <c r="H1889" s="16" t="str">
        <f aca="false">_xlfn.UNICHAR(((F1889*21)+G1889)*28+44032)</f>
        <v>피</v>
      </c>
      <c r="I1889" s="16" t="n">
        <f aca="false">IF(B1889=-1, 1, COUNTIF($A$2:$A$3000, H1889))</f>
        <v>1</v>
      </c>
      <c r="J1889" s="10" t="str">
        <f aca="false">_xlfn.CONCAT(A1889, ",",H1889,",",I1889)</f>
        <v>촤,피,1</v>
      </c>
      <c r="K1889" s="16" t="n">
        <f aca="false">IF(B1889=-1,-1,VLOOKUP(C1889,$T$1:$V$20,3))</f>
        <v>19</v>
      </c>
      <c r="L1889" s="16" t="n">
        <f aca="false">IF(B1889=-1,-1,VLOOKUP(D1889,$Y$1:$AA$22,3))</f>
        <v>12</v>
      </c>
      <c r="N1889" s="10" t="str">
        <f aca="false">_xlfn.UNICHAR(((C1889*21)+G1889)*28+44032)</f>
        <v>치</v>
      </c>
      <c r="O1889" s="10" t="str">
        <f aca="false">_xlfn.UNICHAR(((F1889*21)+D1889)*28+44032)</f>
        <v>퐈</v>
      </c>
      <c r="P1889" s="12" t="n">
        <f aca="false">COUNTIF($A$2:$A$3000, N1889) + COUNTIF($A$2:$A$3000, O1889)</f>
        <v>2</v>
      </c>
      <c r="Q1889" s="16" t="str">
        <f aca="false">IF(OR(B1889=-1,I1889=0, P1889&lt;&gt;2), "albhed_dummy", _xlfn.CONCAT("albhed ", RIGHT("  " &amp; K1889,2),", ", RIGHT("  " &amp; L1889,2), ", " ,"""",H1889,""", ", """",N1889,""", ","""",O1889,""""," ; ", A1889))</f>
        <v>albhed 19, 12, "피", "치", "퐈" ; 촤</v>
      </c>
    </row>
    <row r="1890" customFormat="false" ht="17.9" hidden="false" customHeight="true" outlineLevel="0" collapsed="false">
      <c r="A1890" s="16" t="s">
        <v>2740</v>
      </c>
      <c r="B1890" s="16" t="n">
        <f aca="false">IF(_xlfn.UNICODE(A1890)&lt;44032,-1,_xlfn.UNICODE(A1890)-44032)</f>
        <v>8488</v>
      </c>
      <c r="C1890" s="16" t="n">
        <f aca="false">IF(B1890=-1,-1,INT((B1890/28)/21))</f>
        <v>14</v>
      </c>
      <c r="D1890" s="16" t="n">
        <f aca="false">IF(B1890=-1, -1, MOD(INT(B1890/28),21))</f>
        <v>9</v>
      </c>
      <c r="E1890" s="16" t="n">
        <f aca="false">IF(B1890=-1, -1, VLOOKUP(MOD(B1890,28), $T$24:$U$52,2))</f>
        <v>4</v>
      </c>
      <c r="F1890" s="16" t="n">
        <f aca="false">IF($B1890=-1, -1, VLOOKUP(C1890,$T$1:$V$20, 2))</f>
        <v>17</v>
      </c>
      <c r="G1890" s="16" t="n">
        <f aca="false">IF($B1890=-1, -1, VLOOKUP(D1890,$Y$1:$Z$22,2))</f>
        <v>20</v>
      </c>
      <c r="H1890" s="16" t="str">
        <f aca="false">_xlfn.UNICHAR(((F1890*21)+G1890)*28+44032)</f>
        <v>피</v>
      </c>
      <c r="I1890" s="16" t="n">
        <f aca="false">IF(B1890=-1, 1, COUNTIF($A$2:$A$3000, H1890))</f>
        <v>1</v>
      </c>
      <c r="J1890" s="10" t="str">
        <f aca="false">_xlfn.CONCAT(A1890, ",",H1890,",",I1890)</f>
        <v>촨,피,1</v>
      </c>
      <c r="K1890" s="16" t="n">
        <f aca="false">IF(B1890=-1,-1,VLOOKUP(C1890,$T$1:$V$20,3))</f>
        <v>19</v>
      </c>
      <c r="L1890" s="16" t="n">
        <f aca="false">IF(B1890=-1,-1,VLOOKUP(D1890,$Y$1:$AA$22,3))</f>
        <v>12</v>
      </c>
      <c r="N1890" s="10" t="str">
        <f aca="false">_xlfn.UNICHAR(((C1890*21)+G1890)*28+44032)</f>
        <v>치</v>
      </c>
      <c r="O1890" s="10" t="str">
        <f aca="false">_xlfn.UNICHAR(((F1890*21)+D1890)*28+44032)</f>
        <v>퐈</v>
      </c>
      <c r="P1890" s="12" t="n">
        <f aca="false">COUNTIF($A$2:$A$3000, N1890) + COUNTIF($A$2:$A$3000, O1890)</f>
        <v>2</v>
      </c>
      <c r="Q1890" s="16" t="str">
        <f aca="false">IF(OR(B1890=-1,I1890=0, P1890&lt;&gt;2), "albhed_dummy", _xlfn.CONCAT("albhed ", RIGHT("  " &amp; K1890,2),", ", RIGHT("  " &amp; L1890,2), ", " ,"""",H1890,""", ", """",N1890,""", ","""",O1890,""""," ; ", A1890))</f>
        <v>albhed 19, 12, "피", "치", "퐈" ; 촨</v>
      </c>
    </row>
    <row r="1891" customFormat="false" ht="17.9" hidden="false" customHeight="true" outlineLevel="0" collapsed="false">
      <c r="A1891" s="16" t="s">
        <v>2741</v>
      </c>
      <c r="B1891" s="16" t="n">
        <f aca="false">IF(_xlfn.UNICODE(A1891)&lt;44032,-1,_xlfn.UNICODE(A1891)-44032)</f>
        <v>8492</v>
      </c>
      <c r="C1891" s="16" t="n">
        <f aca="false">IF(B1891=-1,-1,INT((B1891/28)/21))</f>
        <v>14</v>
      </c>
      <c r="D1891" s="16" t="n">
        <f aca="false">IF(B1891=-1, -1, MOD(INT(B1891/28),21))</f>
        <v>9</v>
      </c>
      <c r="E1891" s="16" t="n">
        <f aca="false">IF(B1891=-1, -1, VLOOKUP(MOD(B1891,28), $T$24:$U$52,2))</f>
        <v>8</v>
      </c>
      <c r="F1891" s="16" t="n">
        <f aca="false">IF($B1891=-1, -1, VLOOKUP(C1891,$T$1:$V$20, 2))</f>
        <v>17</v>
      </c>
      <c r="G1891" s="16" t="n">
        <f aca="false">IF($B1891=-1, -1, VLOOKUP(D1891,$Y$1:$Z$22,2))</f>
        <v>20</v>
      </c>
      <c r="H1891" s="16" t="str">
        <f aca="false">_xlfn.UNICHAR(((F1891*21)+G1891)*28+44032)</f>
        <v>피</v>
      </c>
      <c r="I1891" s="16" t="n">
        <f aca="false">IF(B1891=-1, 1, COUNTIF($A$2:$A$3000, H1891))</f>
        <v>1</v>
      </c>
      <c r="J1891" s="10" t="str">
        <f aca="false">_xlfn.CONCAT(A1891, ",",H1891,",",I1891)</f>
        <v>촬,피,1</v>
      </c>
      <c r="K1891" s="16" t="n">
        <f aca="false">IF(B1891=-1,-1,VLOOKUP(C1891,$T$1:$V$20,3))</f>
        <v>19</v>
      </c>
      <c r="L1891" s="16" t="n">
        <f aca="false">IF(B1891=-1,-1,VLOOKUP(D1891,$Y$1:$AA$22,3))</f>
        <v>12</v>
      </c>
      <c r="N1891" s="10" t="str">
        <f aca="false">_xlfn.UNICHAR(((C1891*21)+G1891)*28+44032)</f>
        <v>치</v>
      </c>
      <c r="O1891" s="10" t="str">
        <f aca="false">_xlfn.UNICHAR(((F1891*21)+D1891)*28+44032)</f>
        <v>퐈</v>
      </c>
      <c r="P1891" s="12" t="n">
        <f aca="false">COUNTIF($A$2:$A$3000, N1891) + COUNTIF($A$2:$A$3000, O1891)</f>
        <v>2</v>
      </c>
      <c r="Q1891" s="16" t="str">
        <f aca="false">IF(OR(B1891=-1,I1891=0, P1891&lt;&gt;2), "albhed_dummy", _xlfn.CONCAT("albhed ", RIGHT("  " &amp; K1891,2),", ", RIGHT("  " &amp; L1891,2), ", " ,"""",H1891,""", ", """",N1891,""", ","""",O1891,""""," ; ", A1891))</f>
        <v>albhed 19, 12, "피", "치", "퐈" ; 촬</v>
      </c>
    </row>
    <row r="1892" customFormat="false" ht="17.9" hidden="false" customHeight="true" outlineLevel="0" collapsed="false">
      <c r="A1892" s="16" t="s">
        <v>2742</v>
      </c>
      <c r="B1892" s="16" t="n">
        <f aca="false">IF(_xlfn.UNICODE(A1892)&lt;44032,-1,_xlfn.UNICODE(A1892)-44032)</f>
        <v>8505</v>
      </c>
      <c r="C1892" s="16" t="n">
        <f aca="false">IF(B1892=-1,-1,INT((B1892/28)/21))</f>
        <v>14</v>
      </c>
      <c r="D1892" s="16" t="n">
        <f aca="false">IF(B1892=-1, -1, MOD(INT(B1892/28),21))</f>
        <v>9</v>
      </c>
      <c r="E1892" s="16" t="n">
        <f aca="false">IF(B1892=-1, -1, VLOOKUP(MOD(B1892,28), $T$24:$U$52,2))</f>
        <v>21</v>
      </c>
      <c r="F1892" s="16" t="n">
        <f aca="false">IF($B1892=-1, -1, VLOOKUP(C1892,$T$1:$V$20, 2))</f>
        <v>17</v>
      </c>
      <c r="G1892" s="16" t="n">
        <f aca="false">IF($B1892=-1, -1, VLOOKUP(D1892,$Y$1:$Z$22,2))</f>
        <v>20</v>
      </c>
      <c r="H1892" s="16" t="str">
        <f aca="false">_xlfn.UNICHAR(((F1892*21)+G1892)*28+44032)</f>
        <v>피</v>
      </c>
      <c r="I1892" s="16" t="n">
        <f aca="false">IF(B1892=-1, 1, COUNTIF($A$2:$A$3000, H1892))</f>
        <v>1</v>
      </c>
      <c r="J1892" s="10" t="str">
        <f aca="false">_xlfn.CONCAT(A1892, ",",H1892,",",I1892)</f>
        <v>촹,피,1</v>
      </c>
      <c r="K1892" s="16" t="n">
        <f aca="false">IF(B1892=-1,-1,VLOOKUP(C1892,$T$1:$V$20,3))</f>
        <v>19</v>
      </c>
      <c r="L1892" s="16" t="n">
        <f aca="false">IF(B1892=-1,-1,VLOOKUP(D1892,$Y$1:$AA$22,3))</f>
        <v>12</v>
      </c>
      <c r="N1892" s="10" t="str">
        <f aca="false">_xlfn.UNICHAR(((C1892*21)+G1892)*28+44032)</f>
        <v>치</v>
      </c>
      <c r="O1892" s="10" t="str">
        <f aca="false">_xlfn.UNICHAR(((F1892*21)+D1892)*28+44032)</f>
        <v>퐈</v>
      </c>
      <c r="P1892" s="12" t="n">
        <f aca="false">COUNTIF($A$2:$A$3000, N1892) + COUNTIF($A$2:$A$3000, O1892)</f>
        <v>2</v>
      </c>
      <c r="Q1892" s="16" t="str">
        <f aca="false">IF(OR(B1892=-1,I1892=0, P1892&lt;&gt;2), "albhed_dummy", _xlfn.CONCAT("albhed ", RIGHT("  " &amp; K1892,2),", ", RIGHT("  " &amp; L1892,2), ", " ,"""",H1892,""", ", """",N1892,""", ","""",O1892,""""," ; ", A1892))</f>
        <v>albhed 19, 12, "피", "치", "퐈" ; 촹</v>
      </c>
    </row>
    <row r="1893" customFormat="false" ht="17.9" hidden="false" customHeight="true" outlineLevel="0" collapsed="false">
      <c r="A1893" s="16" t="s">
        <v>2743</v>
      </c>
      <c r="B1893" s="16" t="n">
        <f aca="false">IF(_xlfn.UNICODE(A1893)&lt;44032,-1,_xlfn.UNICODE(A1893)-44032)</f>
        <v>8540</v>
      </c>
      <c r="C1893" s="16" t="n">
        <f aca="false">IF(B1893=-1,-1,INT((B1893/28)/21))</f>
        <v>14</v>
      </c>
      <c r="D1893" s="16" t="n">
        <f aca="false">IF(B1893=-1, -1, MOD(INT(B1893/28),21))</f>
        <v>11</v>
      </c>
      <c r="E1893" s="16" t="n">
        <f aca="false">IF(B1893=-1, -1, VLOOKUP(MOD(B1893,28), $T$24:$U$52,2))</f>
        <v>0</v>
      </c>
      <c r="F1893" s="16" t="n">
        <f aca="false">IF($B1893=-1, -1, VLOOKUP(C1893,$T$1:$V$20, 2))</f>
        <v>17</v>
      </c>
      <c r="G1893" s="16" t="n">
        <f aca="false">IF($B1893=-1, -1, VLOOKUP(D1893,$Y$1:$Z$22,2))</f>
        <v>20</v>
      </c>
      <c r="H1893" s="16" t="str">
        <f aca="false">_xlfn.UNICHAR(((F1893*21)+G1893)*28+44032)</f>
        <v>피</v>
      </c>
      <c r="I1893" s="16" t="n">
        <f aca="false">IF(B1893=-1, 1, COUNTIF($A$2:$A$3000, H1893))</f>
        <v>1</v>
      </c>
      <c r="J1893" s="10" t="str">
        <f aca="false">_xlfn.CONCAT(A1893, ",",H1893,",",I1893)</f>
        <v>최,피,1</v>
      </c>
      <c r="K1893" s="16" t="n">
        <f aca="false">IF(B1893=-1,-1,VLOOKUP(C1893,$T$1:$V$20,3))</f>
        <v>19</v>
      </c>
      <c r="L1893" s="16" t="n">
        <f aca="false">IF(B1893=-1,-1,VLOOKUP(D1893,$Y$1:$AA$22,3))</f>
        <v>22</v>
      </c>
      <c r="N1893" s="10" t="str">
        <f aca="false">_xlfn.UNICHAR(((C1893*21)+G1893)*28+44032)</f>
        <v>치</v>
      </c>
      <c r="O1893" s="10" t="str">
        <f aca="false">_xlfn.UNICHAR(((F1893*21)+D1893)*28+44032)</f>
        <v>푀</v>
      </c>
      <c r="P1893" s="12" t="n">
        <f aca="false">COUNTIF($A$2:$A$3000, N1893) + COUNTIF($A$2:$A$3000, O1893)</f>
        <v>2</v>
      </c>
      <c r="Q1893" s="16" t="str">
        <f aca="false">IF(OR(B1893=-1,I1893=0, P1893&lt;&gt;2), "albhed_dummy", _xlfn.CONCAT("albhed ", RIGHT("  " &amp; K1893,2),", ", RIGHT("  " &amp; L1893,2), ", " ,"""",H1893,""", ", """",N1893,""", ","""",O1893,""""," ; ", A1893))</f>
        <v>albhed 19, 22, "피", "치", "푀" ; 최</v>
      </c>
    </row>
    <row r="1894" customFormat="false" ht="17.9" hidden="false" customHeight="true" outlineLevel="0" collapsed="false">
      <c r="A1894" s="16" t="s">
        <v>2744</v>
      </c>
      <c r="B1894" s="16" t="n">
        <f aca="false">IF(_xlfn.UNICODE(A1894)&lt;44032,-1,_xlfn.UNICODE(A1894)-44032)</f>
        <v>8544</v>
      </c>
      <c r="C1894" s="16" t="n">
        <f aca="false">IF(B1894=-1,-1,INT((B1894/28)/21))</f>
        <v>14</v>
      </c>
      <c r="D1894" s="16" t="n">
        <f aca="false">IF(B1894=-1, -1, MOD(INT(B1894/28),21))</f>
        <v>11</v>
      </c>
      <c r="E1894" s="16" t="n">
        <f aca="false">IF(B1894=-1, -1, VLOOKUP(MOD(B1894,28), $T$24:$U$52,2))</f>
        <v>4</v>
      </c>
      <c r="F1894" s="16" t="n">
        <f aca="false">IF($B1894=-1, -1, VLOOKUP(C1894,$T$1:$V$20, 2))</f>
        <v>17</v>
      </c>
      <c r="G1894" s="16" t="n">
        <f aca="false">IF($B1894=-1, -1, VLOOKUP(D1894,$Y$1:$Z$22,2))</f>
        <v>20</v>
      </c>
      <c r="H1894" s="16" t="str">
        <f aca="false">_xlfn.UNICHAR(((F1894*21)+G1894)*28+44032)</f>
        <v>피</v>
      </c>
      <c r="I1894" s="16" t="n">
        <f aca="false">IF(B1894=-1, 1, COUNTIF($A$2:$A$3000, H1894))</f>
        <v>1</v>
      </c>
      <c r="J1894" s="10" t="str">
        <f aca="false">_xlfn.CONCAT(A1894, ",",H1894,",",I1894)</f>
        <v>쵠,피,1</v>
      </c>
      <c r="K1894" s="16" t="n">
        <f aca="false">IF(B1894=-1,-1,VLOOKUP(C1894,$T$1:$V$20,3))</f>
        <v>19</v>
      </c>
      <c r="L1894" s="16" t="n">
        <f aca="false">IF(B1894=-1,-1,VLOOKUP(D1894,$Y$1:$AA$22,3))</f>
        <v>22</v>
      </c>
      <c r="N1894" s="10" t="str">
        <f aca="false">_xlfn.UNICHAR(((C1894*21)+G1894)*28+44032)</f>
        <v>치</v>
      </c>
      <c r="O1894" s="10" t="str">
        <f aca="false">_xlfn.UNICHAR(((F1894*21)+D1894)*28+44032)</f>
        <v>푀</v>
      </c>
      <c r="P1894" s="12" t="n">
        <f aca="false">COUNTIF($A$2:$A$3000, N1894) + COUNTIF($A$2:$A$3000, O1894)</f>
        <v>2</v>
      </c>
      <c r="Q1894" s="16" t="str">
        <f aca="false">IF(OR(B1894=-1,I1894=0, P1894&lt;&gt;2), "albhed_dummy", _xlfn.CONCAT("albhed ", RIGHT("  " &amp; K1894,2),", ", RIGHT("  " &amp; L1894,2), ", " ,"""",H1894,""", ", """",N1894,""", ","""",O1894,""""," ; ", A1894))</f>
        <v>albhed 19, 22, "피", "치", "푀" ; 쵠</v>
      </c>
    </row>
    <row r="1895" customFormat="false" ht="17.9" hidden="false" customHeight="true" outlineLevel="0" collapsed="false">
      <c r="A1895" s="16" t="s">
        <v>2745</v>
      </c>
      <c r="B1895" s="16" t="n">
        <f aca="false">IF(_xlfn.UNICODE(A1895)&lt;44032,-1,_xlfn.UNICODE(A1895)-44032)</f>
        <v>8548</v>
      </c>
      <c r="C1895" s="16" t="n">
        <f aca="false">IF(B1895=-1,-1,INT((B1895/28)/21))</f>
        <v>14</v>
      </c>
      <c r="D1895" s="16" t="n">
        <f aca="false">IF(B1895=-1, -1, MOD(INT(B1895/28),21))</f>
        <v>11</v>
      </c>
      <c r="E1895" s="16" t="n">
        <f aca="false">IF(B1895=-1, -1, VLOOKUP(MOD(B1895,28), $T$24:$U$52,2))</f>
        <v>8</v>
      </c>
      <c r="F1895" s="16" t="n">
        <f aca="false">IF($B1895=-1, -1, VLOOKUP(C1895,$T$1:$V$20, 2))</f>
        <v>17</v>
      </c>
      <c r="G1895" s="16" t="n">
        <f aca="false">IF($B1895=-1, -1, VLOOKUP(D1895,$Y$1:$Z$22,2))</f>
        <v>20</v>
      </c>
      <c r="H1895" s="16" t="str">
        <f aca="false">_xlfn.UNICHAR(((F1895*21)+G1895)*28+44032)</f>
        <v>피</v>
      </c>
      <c r="I1895" s="16" t="n">
        <f aca="false">IF(B1895=-1, 1, COUNTIF($A$2:$A$3000, H1895))</f>
        <v>1</v>
      </c>
      <c r="J1895" s="10" t="str">
        <f aca="false">_xlfn.CONCAT(A1895, ",",H1895,",",I1895)</f>
        <v>쵤,피,1</v>
      </c>
      <c r="K1895" s="16" t="n">
        <f aca="false">IF(B1895=-1,-1,VLOOKUP(C1895,$T$1:$V$20,3))</f>
        <v>19</v>
      </c>
      <c r="L1895" s="16" t="n">
        <f aca="false">IF(B1895=-1,-1,VLOOKUP(D1895,$Y$1:$AA$22,3))</f>
        <v>22</v>
      </c>
      <c r="N1895" s="10" t="str">
        <f aca="false">_xlfn.UNICHAR(((C1895*21)+G1895)*28+44032)</f>
        <v>치</v>
      </c>
      <c r="O1895" s="10" t="str">
        <f aca="false">_xlfn.UNICHAR(((F1895*21)+D1895)*28+44032)</f>
        <v>푀</v>
      </c>
      <c r="P1895" s="12" t="n">
        <f aca="false">COUNTIF($A$2:$A$3000, N1895) + COUNTIF($A$2:$A$3000, O1895)</f>
        <v>2</v>
      </c>
      <c r="Q1895" s="16" t="str">
        <f aca="false">IF(OR(B1895=-1,I1895=0, P1895&lt;&gt;2), "albhed_dummy", _xlfn.CONCAT("albhed ", RIGHT("  " &amp; K1895,2),", ", RIGHT("  " &amp; L1895,2), ", " ,"""",H1895,""", ", """",N1895,""", ","""",O1895,""""," ; ", A1895))</f>
        <v>albhed 19, 22, "피", "치", "푀" ; 쵤</v>
      </c>
    </row>
    <row r="1896" customFormat="false" ht="17.9" hidden="false" customHeight="true" outlineLevel="0" collapsed="false">
      <c r="A1896" s="16" t="s">
        <v>2746</v>
      </c>
      <c r="B1896" s="16" t="n">
        <f aca="false">IF(_xlfn.UNICODE(A1896)&lt;44032,-1,_xlfn.UNICODE(A1896)-44032)</f>
        <v>8556</v>
      </c>
      <c r="C1896" s="16" t="n">
        <f aca="false">IF(B1896=-1,-1,INT((B1896/28)/21))</f>
        <v>14</v>
      </c>
      <c r="D1896" s="16" t="n">
        <f aca="false">IF(B1896=-1, -1, MOD(INT(B1896/28),21))</f>
        <v>11</v>
      </c>
      <c r="E1896" s="16" t="n">
        <f aca="false">IF(B1896=-1, -1, VLOOKUP(MOD(B1896,28), $T$24:$U$52,2))</f>
        <v>16</v>
      </c>
      <c r="F1896" s="16" t="n">
        <f aca="false">IF($B1896=-1, -1, VLOOKUP(C1896,$T$1:$V$20, 2))</f>
        <v>17</v>
      </c>
      <c r="G1896" s="16" t="n">
        <f aca="false">IF($B1896=-1, -1, VLOOKUP(D1896,$Y$1:$Z$22,2))</f>
        <v>20</v>
      </c>
      <c r="H1896" s="16" t="str">
        <f aca="false">_xlfn.UNICHAR(((F1896*21)+G1896)*28+44032)</f>
        <v>피</v>
      </c>
      <c r="I1896" s="16" t="n">
        <f aca="false">IF(B1896=-1, 1, COUNTIF($A$2:$A$3000, H1896))</f>
        <v>1</v>
      </c>
      <c r="J1896" s="10" t="str">
        <f aca="false">_xlfn.CONCAT(A1896, ",",H1896,",",I1896)</f>
        <v>쵬,피,1</v>
      </c>
      <c r="K1896" s="16" t="n">
        <f aca="false">IF(B1896=-1,-1,VLOOKUP(C1896,$T$1:$V$20,3))</f>
        <v>19</v>
      </c>
      <c r="L1896" s="16" t="n">
        <f aca="false">IF(B1896=-1,-1,VLOOKUP(D1896,$Y$1:$AA$22,3))</f>
        <v>22</v>
      </c>
      <c r="N1896" s="10" t="str">
        <f aca="false">_xlfn.UNICHAR(((C1896*21)+G1896)*28+44032)</f>
        <v>치</v>
      </c>
      <c r="O1896" s="10" t="str">
        <f aca="false">_xlfn.UNICHAR(((F1896*21)+D1896)*28+44032)</f>
        <v>푀</v>
      </c>
      <c r="P1896" s="12" t="n">
        <f aca="false">COUNTIF($A$2:$A$3000, N1896) + COUNTIF($A$2:$A$3000, O1896)</f>
        <v>2</v>
      </c>
      <c r="Q1896" s="16" t="str">
        <f aca="false">IF(OR(B1896=-1,I1896=0, P1896&lt;&gt;2), "albhed_dummy", _xlfn.CONCAT("albhed ", RIGHT("  " &amp; K1896,2),", ", RIGHT("  " &amp; L1896,2), ", " ,"""",H1896,""", ", """",N1896,""", ","""",O1896,""""," ; ", A1896))</f>
        <v>albhed 19, 22, "피", "치", "푀" ; 쵬</v>
      </c>
    </row>
    <row r="1897" customFormat="false" ht="17.9" hidden="false" customHeight="true" outlineLevel="0" collapsed="false">
      <c r="A1897" s="16" t="s">
        <v>2747</v>
      </c>
      <c r="B1897" s="16" t="n">
        <f aca="false">IF(_xlfn.UNICODE(A1897)&lt;44032,-1,_xlfn.UNICODE(A1897)-44032)</f>
        <v>8557</v>
      </c>
      <c r="C1897" s="16" t="n">
        <f aca="false">IF(B1897=-1,-1,INT((B1897/28)/21))</f>
        <v>14</v>
      </c>
      <c r="D1897" s="16" t="n">
        <f aca="false">IF(B1897=-1, -1, MOD(INT(B1897/28),21))</f>
        <v>11</v>
      </c>
      <c r="E1897" s="16" t="n">
        <f aca="false">IF(B1897=-1, -1, VLOOKUP(MOD(B1897,28), $T$24:$U$52,2))</f>
        <v>17</v>
      </c>
      <c r="F1897" s="16" t="n">
        <f aca="false">IF($B1897=-1, -1, VLOOKUP(C1897,$T$1:$V$20, 2))</f>
        <v>17</v>
      </c>
      <c r="G1897" s="16" t="n">
        <f aca="false">IF($B1897=-1, -1, VLOOKUP(D1897,$Y$1:$Z$22,2))</f>
        <v>20</v>
      </c>
      <c r="H1897" s="16" t="str">
        <f aca="false">_xlfn.UNICHAR(((F1897*21)+G1897)*28+44032)</f>
        <v>피</v>
      </c>
      <c r="I1897" s="16" t="n">
        <f aca="false">IF(B1897=-1, 1, COUNTIF($A$2:$A$3000, H1897))</f>
        <v>1</v>
      </c>
      <c r="J1897" s="10" t="str">
        <f aca="false">_xlfn.CONCAT(A1897, ",",H1897,",",I1897)</f>
        <v>쵭,피,1</v>
      </c>
      <c r="K1897" s="16" t="n">
        <f aca="false">IF(B1897=-1,-1,VLOOKUP(C1897,$T$1:$V$20,3))</f>
        <v>19</v>
      </c>
      <c r="L1897" s="16" t="n">
        <f aca="false">IF(B1897=-1,-1,VLOOKUP(D1897,$Y$1:$AA$22,3))</f>
        <v>22</v>
      </c>
      <c r="N1897" s="10" t="str">
        <f aca="false">_xlfn.UNICHAR(((C1897*21)+G1897)*28+44032)</f>
        <v>치</v>
      </c>
      <c r="O1897" s="10" t="str">
        <f aca="false">_xlfn.UNICHAR(((F1897*21)+D1897)*28+44032)</f>
        <v>푀</v>
      </c>
      <c r="P1897" s="12" t="n">
        <f aca="false">COUNTIF($A$2:$A$3000, N1897) + COUNTIF($A$2:$A$3000, O1897)</f>
        <v>2</v>
      </c>
      <c r="Q1897" s="16" t="str">
        <f aca="false">IF(OR(B1897=-1,I1897=0, P1897&lt;&gt;2), "albhed_dummy", _xlfn.CONCAT("albhed ", RIGHT("  " &amp; K1897,2),", ", RIGHT("  " &amp; L1897,2), ", " ,"""",H1897,""", ", """",N1897,""", ","""",O1897,""""," ; ", A1897))</f>
        <v>albhed 19, 22, "피", "치", "푀" ; 쵭</v>
      </c>
    </row>
    <row r="1898" customFormat="false" ht="17.9" hidden="false" customHeight="true" outlineLevel="0" collapsed="false">
      <c r="A1898" s="16" t="s">
        <v>2748</v>
      </c>
      <c r="B1898" s="16" t="n">
        <f aca="false">IF(_xlfn.UNICODE(A1898)&lt;44032,-1,_xlfn.UNICODE(A1898)-44032)</f>
        <v>8559</v>
      </c>
      <c r="C1898" s="16" t="n">
        <f aca="false">IF(B1898=-1,-1,INT((B1898/28)/21))</f>
        <v>14</v>
      </c>
      <c r="D1898" s="16" t="n">
        <f aca="false">IF(B1898=-1, -1, MOD(INT(B1898/28),21))</f>
        <v>11</v>
      </c>
      <c r="E1898" s="16" t="n">
        <f aca="false">IF(B1898=-1, -1, VLOOKUP(MOD(B1898,28), $T$24:$U$52,2))</f>
        <v>19</v>
      </c>
      <c r="F1898" s="16" t="n">
        <f aca="false">IF($B1898=-1, -1, VLOOKUP(C1898,$T$1:$V$20, 2))</f>
        <v>17</v>
      </c>
      <c r="G1898" s="16" t="n">
        <f aca="false">IF($B1898=-1, -1, VLOOKUP(D1898,$Y$1:$Z$22,2))</f>
        <v>20</v>
      </c>
      <c r="H1898" s="16" t="str">
        <f aca="false">_xlfn.UNICHAR(((F1898*21)+G1898)*28+44032)</f>
        <v>피</v>
      </c>
      <c r="I1898" s="16" t="n">
        <f aca="false">IF(B1898=-1, 1, COUNTIF($A$2:$A$3000, H1898))</f>
        <v>1</v>
      </c>
      <c r="J1898" s="10" t="str">
        <f aca="false">_xlfn.CONCAT(A1898, ",",H1898,",",I1898)</f>
        <v>쵯,피,1</v>
      </c>
      <c r="K1898" s="16" t="n">
        <f aca="false">IF(B1898=-1,-1,VLOOKUP(C1898,$T$1:$V$20,3))</f>
        <v>19</v>
      </c>
      <c r="L1898" s="16" t="n">
        <f aca="false">IF(B1898=-1,-1,VLOOKUP(D1898,$Y$1:$AA$22,3))</f>
        <v>22</v>
      </c>
      <c r="N1898" s="10" t="str">
        <f aca="false">_xlfn.UNICHAR(((C1898*21)+G1898)*28+44032)</f>
        <v>치</v>
      </c>
      <c r="O1898" s="10" t="str">
        <f aca="false">_xlfn.UNICHAR(((F1898*21)+D1898)*28+44032)</f>
        <v>푀</v>
      </c>
      <c r="P1898" s="12" t="n">
        <f aca="false">COUNTIF($A$2:$A$3000, N1898) + COUNTIF($A$2:$A$3000, O1898)</f>
        <v>2</v>
      </c>
      <c r="Q1898" s="16" t="str">
        <f aca="false">IF(OR(B1898=-1,I1898=0, P1898&lt;&gt;2), "albhed_dummy", _xlfn.CONCAT("albhed ", RIGHT("  " &amp; K1898,2),", ", RIGHT("  " &amp; L1898,2), ", " ,"""",H1898,""", ", """",N1898,""", ","""",O1898,""""," ; ", A1898))</f>
        <v>albhed 19, 22, "피", "치", "푀" ; 쵯</v>
      </c>
    </row>
    <row r="1899" customFormat="false" ht="17.9" hidden="false" customHeight="true" outlineLevel="0" collapsed="false">
      <c r="A1899" s="16" t="s">
        <v>2749</v>
      </c>
      <c r="B1899" s="16" t="n">
        <f aca="false">IF(_xlfn.UNICODE(A1899)&lt;44032,-1,_xlfn.UNICODE(A1899)-44032)</f>
        <v>8561</v>
      </c>
      <c r="C1899" s="16" t="n">
        <f aca="false">IF(B1899=-1,-1,INT((B1899/28)/21))</f>
        <v>14</v>
      </c>
      <c r="D1899" s="16" t="n">
        <f aca="false">IF(B1899=-1, -1, MOD(INT(B1899/28),21))</f>
        <v>11</v>
      </c>
      <c r="E1899" s="16" t="n">
        <f aca="false">IF(B1899=-1, -1, VLOOKUP(MOD(B1899,28), $T$24:$U$52,2))</f>
        <v>21</v>
      </c>
      <c r="F1899" s="16" t="n">
        <f aca="false">IF($B1899=-1, -1, VLOOKUP(C1899,$T$1:$V$20, 2))</f>
        <v>17</v>
      </c>
      <c r="G1899" s="16" t="n">
        <f aca="false">IF($B1899=-1, -1, VLOOKUP(D1899,$Y$1:$Z$22,2))</f>
        <v>20</v>
      </c>
      <c r="H1899" s="16" t="str">
        <f aca="false">_xlfn.UNICHAR(((F1899*21)+G1899)*28+44032)</f>
        <v>피</v>
      </c>
      <c r="I1899" s="16" t="n">
        <f aca="false">IF(B1899=-1, 1, COUNTIF($A$2:$A$3000, H1899))</f>
        <v>1</v>
      </c>
      <c r="J1899" s="10" t="str">
        <f aca="false">_xlfn.CONCAT(A1899, ",",H1899,",",I1899)</f>
        <v>쵱,피,1</v>
      </c>
      <c r="K1899" s="16" t="n">
        <f aca="false">IF(B1899=-1,-1,VLOOKUP(C1899,$T$1:$V$20,3))</f>
        <v>19</v>
      </c>
      <c r="L1899" s="16" t="n">
        <f aca="false">IF(B1899=-1,-1,VLOOKUP(D1899,$Y$1:$AA$22,3))</f>
        <v>22</v>
      </c>
      <c r="N1899" s="10" t="str">
        <f aca="false">_xlfn.UNICHAR(((C1899*21)+G1899)*28+44032)</f>
        <v>치</v>
      </c>
      <c r="O1899" s="10" t="str">
        <f aca="false">_xlfn.UNICHAR(((F1899*21)+D1899)*28+44032)</f>
        <v>푀</v>
      </c>
      <c r="P1899" s="12" t="n">
        <f aca="false">COUNTIF($A$2:$A$3000, N1899) + COUNTIF($A$2:$A$3000, O1899)</f>
        <v>2</v>
      </c>
      <c r="Q1899" s="16" t="str">
        <f aca="false">IF(OR(B1899=-1,I1899=0, P1899&lt;&gt;2), "albhed_dummy", _xlfn.CONCAT("albhed ", RIGHT("  " &amp; K1899,2),", ", RIGHT("  " &amp; L1899,2), ", " ,"""",H1899,""", ", """",N1899,""", ","""",O1899,""""," ; ", A1899))</f>
        <v>albhed 19, 22, "피", "치", "푀" ; 쵱</v>
      </c>
    </row>
    <row r="1900" customFormat="false" ht="17.9" hidden="false" customHeight="true" outlineLevel="0" collapsed="false">
      <c r="A1900" s="16" t="s">
        <v>2750</v>
      </c>
      <c r="B1900" s="16" t="n">
        <f aca="false">IF(_xlfn.UNICODE(A1900)&lt;44032,-1,_xlfn.UNICODE(A1900)-44032)</f>
        <v>8568</v>
      </c>
      <c r="C1900" s="16" t="n">
        <f aca="false">IF(B1900=-1,-1,INT((B1900/28)/21))</f>
        <v>14</v>
      </c>
      <c r="D1900" s="16" t="n">
        <f aca="false">IF(B1900=-1, -1, MOD(INT(B1900/28),21))</f>
        <v>12</v>
      </c>
      <c r="E1900" s="16" t="n">
        <f aca="false">IF(B1900=-1, -1, VLOOKUP(MOD(B1900,28), $T$24:$U$52,2))</f>
        <v>0</v>
      </c>
      <c r="F1900" s="16" t="n">
        <f aca="false">IF($B1900=-1, -1, VLOOKUP(C1900,$T$1:$V$20, 2))</f>
        <v>17</v>
      </c>
      <c r="G1900" s="16" t="n">
        <f aca="false">IF($B1900=-1, -1, VLOOKUP(D1900,$Y$1:$Z$22,2))</f>
        <v>6</v>
      </c>
      <c r="H1900" s="16" t="str">
        <f aca="false">_xlfn.UNICHAR(((F1900*21)+G1900)*28+44032)</f>
        <v>펴</v>
      </c>
      <c r="I1900" s="16" t="n">
        <f aca="false">IF(B1900=-1, 1, COUNTIF($A$2:$A$3000, H1900))</f>
        <v>1</v>
      </c>
      <c r="J1900" s="10" t="str">
        <f aca="false">_xlfn.CONCAT(A1900, ",",H1900,",",I1900)</f>
        <v>쵸,펴,1</v>
      </c>
      <c r="K1900" s="16" t="n">
        <f aca="false">IF(B1900=-1,-1,VLOOKUP(C1900,$T$1:$V$20,3))</f>
        <v>19</v>
      </c>
      <c r="L1900" s="16" t="n">
        <f aca="false">IF(B1900=-1,-1,VLOOKUP(D1900,$Y$1:$AA$22,3))</f>
        <v>8</v>
      </c>
      <c r="N1900" s="10" t="str">
        <f aca="false">_xlfn.UNICHAR(((C1900*21)+G1900)*28+44032)</f>
        <v>쳐</v>
      </c>
      <c r="O1900" s="10" t="str">
        <f aca="false">_xlfn.UNICHAR(((F1900*21)+D1900)*28+44032)</f>
        <v>표</v>
      </c>
      <c r="P1900" s="12" t="n">
        <f aca="false">COUNTIF($A$2:$A$3000, N1900) + COUNTIF($A$2:$A$3000, O1900)</f>
        <v>2</v>
      </c>
      <c r="Q1900" s="16" t="str">
        <f aca="false">IF(OR(B1900=-1,I1900=0, P1900&lt;&gt;2), "albhed_dummy", _xlfn.CONCAT("albhed ", RIGHT("  " &amp; K1900,2),", ", RIGHT("  " &amp; L1900,2), ", " ,"""",H1900,""", ", """",N1900,""", ","""",O1900,""""," ; ", A1900))</f>
        <v>albhed 19,  8, "펴", "쳐", "표" ; 쵸</v>
      </c>
    </row>
    <row r="1901" customFormat="false" ht="17.9" hidden="false" customHeight="true" outlineLevel="0" collapsed="false">
      <c r="A1901" s="16" t="s">
        <v>2751</v>
      </c>
      <c r="B1901" s="16" t="n">
        <f aca="false">IF(_xlfn.UNICODE(A1901)&lt;44032,-1,_xlfn.UNICODE(A1901)-44032)</f>
        <v>8584</v>
      </c>
      <c r="C1901" s="16" t="n">
        <f aca="false">IF(B1901=-1,-1,INT((B1901/28)/21))</f>
        <v>14</v>
      </c>
      <c r="D1901" s="16" t="n">
        <f aca="false">IF(B1901=-1, -1, MOD(INT(B1901/28),21))</f>
        <v>12</v>
      </c>
      <c r="E1901" s="16" t="n">
        <f aca="false">IF(B1901=-1, -1, VLOOKUP(MOD(B1901,28), $T$24:$U$52,2))</f>
        <v>16</v>
      </c>
      <c r="F1901" s="16" t="n">
        <f aca="false">IF($B1901=-1, -1, VLOOKUP(C1901,$T$1:$V$20, 2))</f>
        <v>17</v>
      </c>
      <c r="G1901" s="16" t="n">
        <f aca="false">IF($B1901=-1, -1, VLOOKUP(D1901,$Y$1:$Z$22,2))</f>
        <v>6</v>
      </c>
      <c r="H1901" s="16" t="str">
        <f aca="false">_xlfn.UNICHAR(((F1901*21)+G1901)*28+44032)</f>
        <v>펴</v>
      </c>
      <c r="I1901" s="16" t="n">
        <f aca="false">IF(B1901=-1, 1, COUNTIF($A$2:$A$3000, H1901))</f>
        <v>1</v>
      </c>
      <c r="J1901" s="10" t="str">
        <f aca="false">_xlfn.CONCAT(A1901, ",",H1901,",",I1901)</f>
        <v>춈,펴,1</v>
      </c>
      <c r="K1901" s="16" t="n">
        <f aca="false">IF(B1901=-1,-1,VLOOKUP(C1901,$T$1:$V$20,3))</f>
        <v>19</v>
      </c>
      <c r="L1901" s="16" t="n">
        <f aca="false">IF(B1901=-1,-1,VLOOKUP(D1901,$Y$1:$AA$22,3))</f>
        <v>8</v>
      </c>
      <c r="N1901" s="10" t="str">
        <f aca="false">_xlfn.UNICHAR(((C1901*21)+G1901)*28+44032)</f>
        <v>쳐</v>
      </c>
      <c r="O1901" s="10" t="str">
        <f aca="false">_xlfn.UNICHAR(((F1901*21)+D1901)*28+44032)</f>
        <v>표</v>
      </c>
      <c r="P1901" s="12" t="n">
        <f aca="false">COUNTIF($A$2:$A$3000, N1901) + COUNTIF($A$2:$A$3000, O1901)</f>
        <v>2</v>
      </c>
      <c r="Q1901" s="16" t="str">
        <f aca="false">IF(OR(B1901=-1,I1901=0, P1901&lt;&gt;2), "albhed_dummy", _xlfn.CONCAT("albhed ", RIGHT("  " &amp; K1901,2),", ", RIGHT("  " &amp; L1901,2), ", " ,"""",H1901,""", ", """",N1901,""", ","""",O1901,""""," ; ", A1901))</f>
        <v>albhed 19,  8, "펴", "쳐", "표" ; 춈</v>
      </c>
    </row>
    <row r="1902" customFormat="false" ht="17.9" hidden="false" customHeight="true" outlineLevel="0" collapsed="false">
      <c r="A1902" s="16" t="s">
        <v>2752</v>
      </c>
      <c r="B1902" s="16" t="n">
        <f aca="false">IF(_xlfn.UNICODE(A1902)&lt;44032,-1,_xlfn.UNICODE(A1902)-44032)</f>
        <v>8596</v>
      </c>
      <c r="C1902" s="16" t="n">
        <f aca="false">IF(B1902=-1,-1,INT((B1902/28)/21))</f>
        <v>14</v>
      </c>
      <c r="D1902" s="16" t="n">
        <f aca="false">IF(B1902=-1, -1, MOD(INT(B1902/28),21))</f>
        <v>13</v>
      </c>
      <c r="E1902" s="16" t="n">
        <f aca="false">IF(B1902=-1, -1, VLOOKUP(MOD(B1902,28), $T$24:$U$52,2))</f>
        <v>0</v>
      </c>
      <c r="F1902" s="16" t="n">
        <f aca="false">IF($B1902=-1, -1, VLOOKUP(C1902,$T$1:$V$20, 2))</f>
        <v>17</v>
      </c>
      <c r="G1902" s="16" t="n">
        <f aca="false">IF($B1902=-1, -1, VLOOKUP(D1902,$Y$1:$Z$22,2))</f>
        <v>0</v>
      </c>
      <c r="H1902" s="16" t="str">
        <f aca="false">_xlfn.UNICHAR(((F1902*21)+G1902)*28+44032)</f>
        <v>파</v>
      </c>
      <c r="I1902" s="16" t="n">
        <f aca="false">IF(B1902=-1, 1, COUNTIF($A$2:$A$3000, H1902))</f>
        <v>1</v>
      </c>
      <c r="J1902" s="10" t="str">
        <f aca="false">_xlfn.CONCAT(A1902, ",",H1902,",",I1902)</f>
        <v>추,파,1</v>
      </c>
      <c r="K1902" s="16" t="n">
        <f aca="false">IF(B1902=-1,-1,VLOOKUP(C1902,$T$1:$V$20,3))</f>
        <v>19</v>
      </c>
      <c r="L1902" s="16" t="n">
        <f aca="false">IF(B1902=-1,-1,VLOOKUP(D1902,$Y$1:$AA$22,3))</f>
        <v>6</v>
      </c>
      <c r="N1902" s="10" t="str">
        <f aca="false">_xlfn.UNICHAR(((C1902*21)+G1902)*28+44032)</f>
        <v>차</v>
      </c>
      <c r="O1902" s="10" t="str">
        <f aca="false">_xlfn.UNICHAR(((F1902*21)+D1902)*28+44032)</f>
        <v>푸</v>
      </c>
      <c r="P1902" s="12" t="n">
        <f aca="false">COUNTIF($A$2:$A$3000, N1902) + COUNTIF($A$2:$A$3000, O1902)</f>
        <v>2</v>
      </c>
      <c r="Q1902" s="16" t="str">
        <f aca="false">IF(OR(B1902=-1,I1902=0, P1902&lt;&gt;2), "albhed_dummy", _xlfn.CONCAT("albhed ", RIGHT("  " &amp; K1902,2),", ", RIGHT("  " &amp; L1902,2), ", " ,"""",H1902,""", ", """",N1902,""", ","""",O1902,""""," ; ", A1902))</f>
        <v>albhed 19,  6, "파", "차", "푸" ; 추</v>
      </c>
    </row>
    <row r="1903" customFormat="false" ht="17.9" hidden="false" customHeight="true" outlineLevel="0" collapsed="false">
      <c r="A1903" s="16" t="s">
        <v>2753</v>
      </c>
      <c r="B1903" s="16" t="n">
        <f aca="false">IF(_xlfn.UNICODE(A1903)&lt;44032,-1,_xlfn.UNICODE(A1903)-44032)</f>
        <v>8597</v>
      </c>
      <c r="C1903" s="16" t="n">
        <f aca="false">IF(B1903=-1,-1,INT((B1903/28)/21))</f>
        <v>14</v>
      </c>
      <c r="D1903" s="16" t="n">
        <f aca="false">IF(B1903=-1, -1, MOD(INT(B1903/28),21))</f>
        <v>13</v>
      </c>
      <c r="E1903" s="16" t="n">
        <f aca="false">IF(B1903=-1, -1, VLOOKUP(MOD(B1903,28), $T$24:$U$52,2))</f>
        <v>1</v>
      </c>
      <c r="F1903" s="16" t="n">
        <f aca="false">IF($B1903=-1, -1, VLOOKUP(C1903,$T$1:$V$20, 2))</f>
        <v>17</v>
      </c>
      <c r="G1903" s="16" t="n">
        <f aca="false">IF($B1903=-1, -1, VLOOKUP(D1903,$Y$1:$Z$22,2))</f>
        <v>0</v>
      </c>
      <c r="H1903" s="16" t="str">
        <f aca="false">_xlfn.UNICHAR(((F1903*21)+G1903)*28+44032)</f>
        <v>파</v>
      </c>
      <c r="I1903" s="16" t="n">
        <f aca="false">IF(B1903=-1, 1, COUNTIF($A$2:$A$3000, H1903))</f>
        <v>1</v>
      </c>
      <c r="J1903" s="10" t="str">
        <f aca="false">_xlfn.CONCAT(A1903, ",",H1903,",",I1903)</f>
        <v>축,파,1</v>
      </c>
      <c r="K1903" s="16" t="n">
        <f aca="false">IF(B1903=-1,-1,VLOOKUP(C1903,$T$1:$V$20,3))</f>
        <v>19</v>
      </c>
      <c r="L1903" s="16" t="n">
        <f aca="false">IF(B1903=-1,-1,VLOOKUP(D1903,$Y$1:$AA$22,3))</f>
        <v>6</v>
      </c>
      <c r="N1903" s="10" t="str">
        <f aca="false">_xlfn.UNICHAR(((C1903*21)+G1903)*28+44032)</f>
        <v>차</v>
      </c>
      <c r="O1903" s="10" t="str">
        <f aca="false">_xlfn.UNICHAR(((F1903*21)+D1903)*28+44032)</f>
        <v>푸</v>
      </c>
      <c r="P1903" s="12" t="n">
        <f aca="false">COUNTIF($A$2:$A$3000, N1903) + COUNTIF($A$2:$A$3000, O1903)</f>
        <v>2</v>
      </c>
      <c r="Q1903" s="16" t="str">
        <f aca="false">IF(OR(B1903=-1,I1903=0, P1903&lt;&gt;2), "albhed_dummy", _xlfn.CONCAT("albhed ", RIGHT("  " &amp; K1903,2),", ", RIGHT("  " &amp; L1903,2), ", " ,"""",H1903,""", ", """",N1903,""", ","""",O1903,""""," ; ", A1903))</f>
        <v>albhed 19,  6, "파", "차", "푸" ; 축</v>
      </c>
    </row>
    <row r="1904" customFormat="false" ht="17.9" hidden="false" customHeight="true" outlineLevel="0" collapsed="false">
      <c r="A1904" s="16" t="s">
        <v>2754</v>
      </c>
      <c r="B1904" s="16" t="n">
        <f aca="false">IF(_xlfn.UNICODE(A1904)&lt;44032,-1,_xlfn.UNICODE(A1904)-44032)</f>
        <v>8600</v>
      </c>
      <c r="C1904" s="16" t="n">
        <f aca="false">IF(B1904=-1,-1,INT((B1904/28)/21))</f>
        <v>14</v>
      </c>
      <c r="D1904" s="16" t="n">
        <f aca="false">IF(B1904=-1, -1, MOD(INT(B1904/28),21))</f>
        <v>13</v>
      </c>
      <c r="E1904" s="16" t="n">
        <f aca="false">IF(B1904=-1, -1, VLOOKUP(MOD(B1904,28), $T$24:$U$52,2))</f>
        <v>4</v>
      </c>
      <c r="F1904" s="16" t="n">
        <f aca="false">IF($B1904=-1, -1, VLOOKUP(C1904,$T$1:$V$20, 2))</f>
        <v>17</v>
      </c>
      <c r="G1904" s="16" t="n">
        <f aca="false">IF($B1904=-1, -1, VLOOKUP(D1904,$Y$1:$Z$22,2))</f>
        <v>0</v>
      </c>
      <c r="H1904" s="16" t="str">
        <f aca="false">_xlfn.UNICHAR(((F1904*21)+G1904)*28+44032)</f>
        <v>파</v>
      </c>
      <c r="I1904" s="16" t="n">
        <f aca="false">IF(B1904=-1, 1, COUNTIF($A$2:$A$3000, H1904))</f>
        <v>1</v>
      </c>
      <c r="J1904" s="10" t="str">
        <f aca="false">_xlfn.CONCAT(A1904, ",",H1904,",",I1904)</f>
        <v>춘,파,1</v>
      </c>
      <c r="K1904" s="16" t="n">
        <f aca="false">IF(B1904=-1,-1,VLOOKUP(C1904,$T$1:$V$20,3))</f>
        <v>19</v>
      </c>
      <c r="L1904" s="16" t="n">
        <f aca="false">IF(B1904=-1,-1,VLOOKUP(D1904,$Y$1:$AA$22,3))</f>
        <v>6</v>
      </c>
      <c r="N1904" s="10" t="str">
        <f aca="false">_xlfn.UNICHAR(((C1904*21)+G1904)*28+44032)</f>
        <v>차</v>
      </c>
      <c r="O1904" s="10" t="str">
        <f aca="false">_xlfn.UNICHAR(((F1904*21)+D1904)*28+44032)</f>
        <v>푸</v>
      </c>
      <c r="P1904" s="12" t="n">
        <f aca="false">COUNTIF($A$2:$A$3000, N1904) + COUNTIF($A$2:$A$3000, O1904)</f>
        <v>2</v>
      </c>
      <c r="Q1904" s="16" t="str">
        <f aca="false">IF(OR(B1904=-1,I1904=0, P1904&lt;&gt;2), "albhed_dummy", _xlfn.CONCAT("albhed ", RIGHT("  " &amp; K1904,2),", ", RIGHT("  " &amp; L1904,2), ", " ,"""",H1904,""", ", """",N1904,""", ","""",O1904,""""," ; ", A1904))</f>
        <v>albhed 19,  6, "파", "차", "푸" ; 춘</v>
      </c>
    </row>
    <row r="1905" customFormat="false" ht="17.9" hidden="false" customHeight="true" outlineLevel="0" collapsed="false">
      <c r="A1905" s="16" t="s">
        <v>2755</v>
      </c>
      <c r="B1905" s="16" t="n">
        <f aca="false">IF(_xlfn.UNICODE(A1905)&lt;44032,-1,_xlfn.UNICODE(A1905)-44032)</f>
        <v>8604</v>
      </c>
      <c r="C1905" s="16" t="n">
        <f aca="false">IF(B1905=-1,-1,INT((B1905/28)/21))</f>
        <v>14</v>
      </c>
      <c r="D1905" s="16" t="n">
        <f aca="false">IF(B1905=-1, -1, MOD(INT(B1905/28),21))</f>
        <v>13</v>
      </c>
      <c r="E1905" s="16" t="n">
        <f aca="false">IF(B1905=-1, -1, VLOOKUP(MOD(B1905,28), $T$24:$U$52,2))</f>
        <v>8</v>
      </c>
      <c r="F1905" s="16" t="n">
        <f aca="false">IF($B1905=-1, -1, VLOOKUP(C1905,$T$1:$V$20, 2))</f>
        <v>17</v>
      </c>
      <c r="G1905" s="16" t="n">
        <f aca="false">IF($B1905=-1, -1, VLOOKUP(D1905,$Y$1:$Z$22,2))</f>
        <v>0</v>
      </c>
      <c r="H1905" s="16" t="str">
        <f aca="false">_xlfn.UNICHAR(((F1905*21)+G1905)*28+44032)</f>
        <v>파</v>
      </c>
      <c r="I1905" s="16" t="n">
        <f aca="false">IF(B1905=-1, 1, COUNTIF($A$2:$A$3000, H1905))</f>
        <v>1</v>
      </c>
      <c r="J1905" s="10" t="str">
        <f aca="false">_xlfn.CONCAT(A1905, ",",H1905,",",I1905)</f>
        <v>출,파,1</v>
      </c>
      <c r="K1905" s="16" t="n">
        <f aca="false">IF(B1905=-1,-1,VLOOKUP(C1905,$T$1:$V$20,3))</f>
        <v>19</v>
      </c>
      <c r="L1905" s="16" t="n">
        <f aca="false">IF(B1905=-1,-1,VLOOKUP(D1905,$Y$1:$AA$22,3))</f>
        <v>6</v>
      </c>
      <c r="N1905" s="10" t="str">
        <f aca="false">_xlfn.UNICHAR(((C1905*21)+G1905)*28+44032)</f>
        <v>차</v>
      </c>
      <c r="O1905" s="10" t="str">
        <f aca="false">_xlfn.UNICHAR(((F1905*21)+D1905)*28+44032)</f>
        <v>푸</v>
      </c>
      <c r="P1905" s="12" t="n">
        <f aca="false">COUNTIF($A$2:$A$3000, N1905) + COUNTIF($A$2:$A$3000, O1905)</f>
        <v>2</v>
      </c>
      <c r="Q1905" s="16" t="str">
        <f aca="false">IF(OR(B1905=-1,I1905=0, P1905&lt;&gt;2), "albhed_dummy", _xlfn.CONCAT("albhed ", RIGHT("  " &amp; K1905,2),", ", RIGHT("  " &amp; L1905,2), ", " ,"""",H1905,""", ", """",N1905,""", ","""",O1905,""""," ; ", A1905))</f>
        <v>albhed 19,  6, "파", "차", "푸" ; 출</v>
      </c>
    </row>
    <row r="1906" customFormat="false" ht="17.9" hidden="false" customHeight="true" outlineLevel="0" collapsed="false">
      <c r="A1906" s="16" t="s">
        <v>2756</v>
      </c>
      <c r="B1906" s="16" t="n">
        <f aca="false">IF(_xlfn.UNICODE(A1906)&lt;44032,-1,_xlfn.UNICODE(A1906)-44032)</f>
        <v>8612</v>
      </c>
      <c r="C1906" s="16" t="n">
        <f aca="false">IF(B1906=-1,-1,INT((B1906/28)/21))</f>
        <v>14</v>
      </c>
      <c r="D1906" s="16" t="n">
        <f aca="false">IF(B1906=-1, -1, MOD(INT(B1906/28),21))</f>
        <v>13</v>
      </c>
      <c r="E1906" s="16" t="n">
        <f aca="false">IF(B1906=-1, -1, VLOOKUP(MOD(B1906,28), $T$24:$U$52,2))</f>
        <v>16</v>
      </c>
      <c r="F1906" s="16" t="n">
        <f aca="false">IF($B1906=-1, -1, VLOOKUP(C1906,$T$1:$V$20, 2))</f>
        <v>17</v>
      </c>
      <c r="G1906" s="16" t="n">
        <f aca="false">IF($B1906=-1, -1, VLOOKUP(D1906,$Y$1:$Z$22,2))</f>
        <v>0</v>
      </c>
      <c r="H1906" s="16" t="str">
        <f aca="false">_xlfn.UNICHAR(((F1906*21)+G1906)*28+44032)</f>
        <v>파</v>
      </c>
      <c r="I1906" s="16" t="n">
        <f aca="false">IF(B1906=-1, 1, COUNTIF($A$2:$A$3000, H1906))</f>
        <v>1</v>
      </c>
      <c r="J1906" s="10" t="str">
        <f aca="false">_xlfn.CONCAT(A1906, ",",H1906,",",I1906)</f>
        <v>춤,파,1</v>
      </c>
      <c r="K1906" s="16" t="n">
        <f aca="false">IF(B1906=-1,-1,VLOOKUP(C1906,$T$1:$V$20,3))</f>
        <v>19</v>
      </c>
      <c r="L1906" s="16" t="n">
        <f aca="false">IF(B1906=-1,-1,VLOOKUP(D1906,$Y$1:$AA$22,3))</f>
        <v>6</v>
      </c>
      <c r="N1906" s="10" t="str">
        <f aca="false">_xlfn.UNICHAR(((C1906*21)+G1906)*28+44032)</f>
        <v>차</v>
      </c>
      <c r="O1906" s="10" t="str">
        <f aca="false">_xlfn.UNICHAR(((F1906*21)+D1906)*28+44032)</f>
        <v>푸</v>
      </c>
      <c r="P1906" s="12" t="n">
        <f aca="false">COUNTIF($A$2:$A$3000, N1906) + COUNTIF($A$2:$A$3000, O1906)</f>
        <v>2</v>
      </c>
      <c r="Q1906" s="16" t="str">
        <f aca="false">IF(OR(B1906=-1,I1906=0, P1906&lt;&gt;2), "albhed_dummy", _xlfn.CONCAT("albhed ", RIGHT("  " &amp; K1906,2),", ", RIGHT("  " &amp; L1906,2), ", " ,"""",H1906,""", ", """",N1906,""", ","""",O1906,""""," ; ", A1906))</f>
        <v>albhed 19,  6, "파", "차", "푸" ; 춤</v>
      </c>
    </row>
    <row r="1907" customFormat="false" ht="17.9" hidden="false" customHeight="true" outlineLevel="0" collapsed="false">
      <c r="A1907" s="16" t="s">
        <v>2757</v>
      </c>
      <c r="B1907" s="16" t="n">
        <f aca="false">IF(_xlfn.UNICODE(A1907)&lt;44032,-1,_xlfn.UNICODE(A1907)-44032)</f>
        <v>8613</v>
      </c>
      <c r="C1907" s="16" t="n">
        <f aca="false">IF(B1907=-1,-1,INT((B1907/28)/21))</f>
        <v>14</v>
      </c>
      <c r="D1907" s="16" t="n">
        <f aca="false">IF(B1907=-1, -1, MOD(INT(B1907/28),21))</f>
        <v>13</v>
      </c>
      <c r="E1907" s="16" t="n">
        <f aca="false">IF(B1907=-1, -1, VLOOKUP(MOD(B1907,28), $T$24:$U$52,2))</f>
        <v>17</v>
      </c>
      <c r="F1907" s="16" t="n">
        <f aca="false">IF($B1907=-1, -1, VLOOKUP(C1907,$T$1:$V$20, 2))</f>
        <v>17</v>
      </c>
      <c r="G1907" s="16" t="n">
        <f aca="false">IF($B1907=-1, -1, VLOOKUP(D1907,$Y$1:$Z$22,2))</f>
        <v>0</v>
      </c>
      <c r="H1907" s="16" t="str">
        <f aca="false">_xlfn.UNICHAR(((F1907*21)+G1907)*28+44032)</f>
        <v>파</v>
      </c>
      <c r="I1907" s="16" t="n">
        <f aca="false">IF(B1907=-1, 1, COUNTIF($A$2:$A$3000, H1907))</f>
        <v>1</v>
      </c>
      <c r="J1907" s="10" t="str">
        <f aca="false">_xlfn.CONCAT(A1907, ",",H1907,",",I1907)</f>
        <v>춥,파,1</v>
      </c>
      <c r="K1907" s="16" t="n">
        <f aca="false">IF(B1907=-1,-1,VLOOKUP(C1907,$T$1:$V$20,3))</f>
        <v>19</v>
      </c>
      <c r="L1907" s="16" t="n">
        <f aca="false">IF(B1907=-1,-1,VLOOKUP(D1907,$Y$1:$AA$22,3))</f>
        <v>6</v>
      </c>
      <c r="N1907" s="10" t="str">
        <f aca="false">_xlfn.UNICHAR(((C1907*21)+G1907)*28+44032)</f>
        <v>차</v>
      </c>
      <c r="O1907" s="10" t="str">
        <f aca="false">_xlfn.UNICHAR(((F1907*21)+D1907)*28+44032)</f>
        <v>푸</v>
      </c>
      <c r="P1907" s="12" t="n">
        <f aca="false">COUNTIF($A$2:$A$3000, N1907) + COUNTIF($A$2:$A$3000, O1907)</f>
        <v>2</v>
      </c>
      <c r="Q1907" s="16" t="str">
        <f aca="false">IF(OR(B1907=-1,I1907=0, P1907&lt;&gt;2), "albhed_dummy", _xlfn.CONCAT("albhed ", RIGHT("  " &amp; K1907,2),", ", RIGHT("  " &amp; L1907,2), ", " ,"""",H1907,""", ", """",N1907,""", ","""",O1907,""""," ; ", A1907))</f>
        <v>albhed 19,  6, "파", "차", "푸" ; 춥</v>
      </c>
    </row>
    <row r="1908" customFormat="false" ht="17.9" hidden="false" customHeight="true" outlineLevel="0" collapsed="false">
      <c r="A1908" s="16" t="s">
        <v>2758</v>
      </c>
      <c r="B1908" s="16" t="n">
        <f aca="false">IF(_xlfn.UNICODE(A1908)&lt;44032,-1,_xlfn.UNICODE(A1908)-44032)</f>
        <v>8615</v>
      </c>
      <c r="C1908" s="16" t="n">
        <f aca="false">IF(B1908=-1,-1,INT((B1908/28)/21))</f>
        <v>14</v>
      </c>
      <c r="D1908" s="16" t="n">
        <f aca="false">IF(B1908=-1, -1, MOD(INT(B1908/28),21))</f>
        <v>13</v>
      </c>
      <c r="E1908" s="16" t="n">
        <f aca="false">IF(B1908=-1, -1, VLOOKUP(MOD(B1908,28), $T$24:$U$52,2))</f>
        <v>19</v>
      </c>
      <c r="F1908" s="16" t="n">
        <f aca="false">IF($B1908=-1, -1, VLOOKUP(C1908,$T$1:$V$20, 2))</f>
        <v>17</v>
      </c>
      <c r="G1908" s="16" t="n">
        <f aca="false">IF($B1908=-1, -1, VLOOKUP(D1908,$Y$1:$Z$22,2))</f>
        <v>0</v>
      </c>
      <c r="H1908" s="16" t="str">
        <f aca="false">_xlfn.UNICHAR(((F1908*21)+G1908)*28+44032)</f>
        <v>파</v>
      </c>
      <c r="I1908" s="16" t="n">
        <f aca="false">IF(B1908=-1, 1, COUNTIF($A$2:$A$3000, H1908))</f>
        <v>1</v>
      </c>
      <c r="J1908" s="10" t="str">
        <f aca="false">_xlfn.CONCAT(A1908, ",",H1908,",",I1908)</f>
        <v>춧,파,1</v>
      </c>
      <c r="K1908" s="16" t="n">
        <f aca="false">IF(B1908=-1,-1,VLOOKUP(C1908,$T$1:$V$20,3))</f>
        <v>19</v>
      </c>
      <c r="L1908" s="16" t="n">
        <f aca="false">IF(B1908=-1,-1,VLOOKUP(D1908,$Y$1:$AA$22,3))</f>
        <v>6</v>
      </c>
      <c r="N1908" s="10" t="str">
        <f aca="false">_xlfn.UNICHAR(((C1908*21)+G1908)*28+44032)</f>
        <v>차</v>
      </c>
      <c r="O1908" s="10" t="str">
        <f aca="false">_xlfn.UNICHAR(((F1908*21)+D1908)*28+44032)</f>
        <v>푸</v>
      </c>
      <c r="P1908" s="12" t="n">
        <f aca="false">COUNTIF($A$2:$A$3000, N1908) + COUNTIF($A$2:$A$3000, O1908)</f>
        <v>2</v>
      </c>
      <c r="Q1908" s="16" t="str">
        <f aca="false">IF(OR(B1908=-1,I1908=0, P1908&lt;&gt;2), "albhed_dummy", _xlfn.CONCAT("albhed ", RIGHT("  " &amp; K1908,2),", ", RIGHT("  " &amp; L1908,2), ", " ,"""",H1908,""", ", """",N1908,""", ","""",O1908,""""," ; ", A1908))</f>
        <v>albhed 19,  6, "파", "차", "푸" ; 춧</v>
      </c>
    </row>
    <row r="1909" customFormat="false" ht="17.9" hidden="false" customHeight="true" outlineLevel="0" collapsed="false">
      <c r="A1909" s="16" t="s">
        <v>2759</v>
      </c>
      <c r="B1909" s="16" t="n">
        <f aca="false">IF(_xlfn.UNICODE(A1909)&lt;44032,-1,_xlfn.UNICODE(A1909)-44032)</f>
        <v>8617</v>
      </c>
      <c r="C1909" s="16" t="n">
        <f aca="false">IF(B1909=-1,-1,INT((B1909/28)/21))</f>
        <v>14</v>
      </c>
      <c r="D1909" s="16" t="n">
        <f aca="false">IF(B1909=-1, -1, MOD(INT(B1909/28),21))</f>
        <v>13</v>
      </c>
      <c r="E1909" s="16" t="n">
        <f aca="false">IF(B1909=-1, -1, VLOOKUP(MOD(B1909,28), $T$24:$U$52,2))</f>
        <v>21</v>
      </c>
      <c r="F1909" s="16" t="n">
        <f aca="false">IF($B1909=-1, -1, VLOOKUP(C1909,$T$1:$V$20, 2))</f>
        <v>17</v>
      </c>
      <c r="G1909" s="16" t="n">
        <f aca="false">IF($B1909=-1, -1, VLOOKUP(D1909,$Y$1:$Z$22,2))</f>
        <v>0</v>
      </c>
      <c r="H1909" s="16" t="str">
        <f aca="false">_xlfn.UNICHAR(((F1909*21)+G1909)*28+44032)</f>
        <v>파</v>
      </c>
      <c r="I1909" s="16" t="n">
        <f aca="false">IF(B1909=-1, 1, COUNTIF($A$2:$A$3000, H1909))</f>
        <v>1</v>
      </c>
      <c r="J1909" s="10" t="str">
        <f aca="false">_xlfn.CONCAT(A1909, ",",H1909,",",I1909)</f>
        <v>충,파,1</v>
      </c>
      <c r="K1909" s="16" t="n">
        <f aca="false">IF(B1909=-1,-1,VLOOKUP(C1909,$T$1:$V$20,3))</f>
        <v>19</v>
      </c>
      <c r="L1909" s="16" t="n">
        <f aca="false">IF(B1909=-1,-1,VLOOKUP(D1909,$Y$1:$AA$22,3))</f>
        <v>6</v>
      </c>
      <c r="N1909" s="10" t="str">
        <f aca="false">_xlfn.UNICHAR(((C1909*21)+G1909)*28+44032)</f>
        <v>차</v>
      </c>
      <c r="O1909" s="10" t="str">
        <f aca="false">_xlfn.UNICHAR(((F1909*21)+D1909)*28+44032)</f>
        <v>푸</v>
      </c>
      <c r="P1909" s="12" t="n">
        <f aca="false">COUNTIF($A$2:$A$3000, N1909) + COUNTIF($A$2:$A$3000, O1909)</f>
        <v>2</v>
      </c>
      <c r="Q1909" s="16" t="str">
        <f aca="false">IF(OR(B1909=-1,I1909=0, P1909&lt;&gt;2), "albhed_dummy", _xlfn.CONCAT("albhed ", RIGHT("  " &amp; K1909,2),", ", RIGHT("  " &amp; L1909,2), ", " ,"""",H1909,""", ", """",N1909,""", ","""",O1909,""""," ; ", A1909))</f>
        <v>albhed 19,  6, "파", "차", "푸" ; 충</v>
      </c>
    </row>
    <row r="1910" customFormat="false" ht="17.9" hidden="false" customHeight="true" outlineLevel="0" collapsed="false">
      <c r="A1910" s="16" t="s">
        <v>2760</v>
      </c>
      <c r="B1910" s="16" t="n">
        <f aca="false">IF(_xlfn.UNICODE(A1910)&lt;44032,-1,_xlfn.UNICODE(A1910)-44032)</f>
        <v>8624</v>
      </c>
      <c r="C1910" s="16" t="n">
        <f aca="false">IF(B1910=-1,-1,INT((B1910/28)/21))</f>
        <v>14</v>
      </c>
      <c r="D1910" s="16" t="n">
        <f aca="false">IF(B1910=-1, -1, MOD(INT(B1910/28),21))</f>
        <v>14</v>
      </c>
      <c r="E1910" s="16" t="n">
        <f aca="false">IF(B1910=-1, -1, VLOOKUP(MOD(B1910,28), $T$24:$U$52,2))</f>
        <v>0</v>
      </c>
      <c r="F1910" s="16" t="n">
        <f aca="false">IF($B1910=-1, -1, VLOOKUP(C1910,$T$1:$V$20, 2))</f>
        <v>17</v>
      </c>
      <c r="G1910" s="16" t="n">
        <f aca="false">IF($B1910=-1, -1, VLOOKUP(D1910,$Y$1:$Z$22,2))</f>
        <v>20</v>
      </c>
      <c r="H1910" s="16" t="str">
        <f aca="false">_xlfn.UNICHAR(((F1910*21)+G1910)*28+44032)</f>
        <v>피</v>
      </c>
      <c r="I1910" s="16" t="n">
        <f aca="false">IF(B1910=-1, 1, COUNTIF($A$2:$A$3000, H1910))</f>
        <v>1</v>
      </c>
      <c r="J1910" s="10" t="str">
        <f aca="false">_xlfn.CONCAT(A1910, ",",H1910,",",I1910)</f>
        <v>춰,피,1</v>
      </c>
      <c r="K1910" s="16" t="n">
        <f aca="false">IF(B1910=-1,-1,VLOOKUP(C1910,$T$1:$V$20,3))</f>
        <v>19</v>
      </c>
      <c r="L1910" s="16" t="n">
        <f aca="false">IF(B1910=-1,-1,VLOOKUP(D1910,$Y$1:$AA$22,3))</f>
        <v>16</v>
      </c>
      <c r="N1910" s="10" t="str">
        <f aca="false">_xlfn.UNICHAR(((C1910*21)+G1910)*28+44032)</f>
        <v>치</v>
      </c>
      <c r="O1910" s="10" t="str">
        <f aca="false">_xlfn.UNICHAR(((F1910*21)+D1910)*28+44032)</f>
        <v>풔</v>
      </c>
      <c r="P1910" s="12" t="n">
        <f aca="false">COUNTIF($A$2:$A$3000, N1910) + COUNTIF($A$2:$A$3000, O1910)</f>
        <v>2</v>
      </c>
      <c r="Q1910" s="16" t="str">
        <f aca="false">IF(OR(B1910=-1,I1910=0, P1910&lt;&gt;2), "albhed_dummy", _xlfn.CONCAT("albhed ", RIGHT("  " &amp; K1910,2),", ", RIGHT("  " &amp; L1910,2), ", " ,"""",H1910,""", ", """",N1910,""", ","""",O1910,""""," ; ", A1910))</f>
        <v>albhed 19, 16, "피", "치", "풔" ; 춰</v>
      </c>
    </row>
    <row r="1911" customFormat="false" ht="17.9" hidden="false" customHeight="true" outlineLevel="0" collapsed="false">
      <c r="A1911" s="16" t="s">
        <v>2761</v>
      </c>
      <c r="B1911" s="16" t="n">
        <f aca="false">IF(_xlfn.UNICODE(A1911)&lt;44032,-1,_xlfn.UNICODE(A1911)-44032)</f>
        <v>8644</v>
      </c>
      <c r="C1911" s="16" t="n">
        <f aca="false">IF(B1911=-1,-1,INT((B1911/28)/21))</f>
        <v>14</v>
      </c>
      <c r="D1911" s="16" t="n">
        <f aca="false">IF(B1911=-1, -1, MOD(INT(B1911/28),21))</f>
        <v>14</v>
      </c>
      <c r="E1911" s="16" t="n">
        <f aca="false">IF(B1911=-1, -1, VLOOKUP(MOD(B1911,28), $T$24:$U$52,2))</f>
        <v>19</v>
      </c>
      <c r="F1911" s="16" t="n">
        <f aca="false">IF($B1911=-1, -1, VLOOKUP(C1911,$T$1:$V$20, 2))</f>
        <v>17</v>
      </c>
      <c r="G1911" s="16" t="n">
        <f aca="false">IF($B1911=-1, -1, VLOOKUP(D1911,$Y$1:$Z$22,2))</f>
        <v>20</v>
      </c>
      <c r="H1911" s="16" t="str">
        <f aca="false">_xlfn.UNICHAR(((F1911*21)+G1911)*28+44032)</f>
        <v>피</v>
      </c>
      <c r="I1911" s="16" t="n">
        <f aca="false">IF(B1911=-1, 1, COUNTIF($A$2:$A$3000, H1911))</f>
        <v>1</v>
      </c>
      <c r="J1911" s="10" t="str">
        <f aca="false">_xlfn.CONCAT(A1911, ",",H1911,",",I1911)</f>
        <v>췄,피,1</v>
      </c>
      <c r="K1911" s="16" t="n">
        <f aca="false">IF(B1911=-1,-1,VLOOKUP(C1911,$T$1:$V$20,3))</f>
        <v>19</v>
      </c>
      <c r="L1911" s="16" t="n">
        <f aca="false">IF(B1911=-1,-1,VLOOKUP(D1911,$Y$1:$AA$22,3))</f>
        <v>16</v>
      </c>
      <c r="N1911" s="10" t="str">
        <f aca="false">_xlfn.UNICHAR(((C1911*21)+G1911)*28+44032)</f>
        <v>치</v>
      </c>
      <c r="O1911" s="10" t="str">
        <f aca="false">_xlfn.UNICHAR(((F1911*21)+D1911)*28+44032)</f>
        <v>풔</v>
      </c>
      <c r="P1911" s="12" t="n">
        <f aca="false">COUNTIF($A$2:$A$3000, N1911) + COUNTIF($A$2:$A$3000, O1911)</f>
        <v>2</v>
      </c>
      <c r="Q1911" s="16" t="str">
        <f aca="false">IF(OR(B1911=-1,I1911=0, P1911&lt;&gt;2), "albhed_dummy", _xlfn.CONCAT("albhed ", RIGHT("  " &amp; K1911,2),", ", RIGHT("  " &amp; L1911,2), ", " ,"""",H1911,""", ", """",N1911,""", ","""",O1911,""""," ; ", A1911))</f>
        <v>albhed 19, 16, "피", "치", "풔" ; 췄</v>
      </c>
    </row>
    <row r="1912" customFormat="false" ht="17.9" hidden="false" customHeight="true" outlineLevel="0" collapsed="false">
      <c r="A1912" s="16" t="s">
        <v>2762</v>
      </c>
      <c r="B1912" s="16" t="n">
        <f aca="false">IF(_xlfn.UNICODE(A1912)&lt;44032,-1,_xlfn.UNICODE(A1912)-44032)</f>
        <v>8652</v>
      </c>
      <c r="C1912" s="16" t="n">
        <f aca="false">IF(B1912=-1,-1,INT((B1912/28)/21))</f>
        <v>14</v>
      </c>
      <c r="D1912" s="16" t="n">
        <f aca="false">IF(B1912=-1, -1, MOD(INT(B1912/28),21))</f>
        <v>15</v>
      </c>
      <c r="E1912" s="16" t="n">
        <f aca="false">IF(B1912=-1, -1, VLOOKUP(MOD(B1912,28), $T$24:$U$52,2))</f>
        <v>0</v>
      </c>
      <c r="F1912" s="16" t="n">
        <f aca="false">IF($B1912=-1, -1, VLOOKUP(C1912,$T$1:$V$20, 2))</f>
        <v>17</v>
      </c>
      <c r="G1912" s="16" t="n">
        <f aca="false">IF($B1912=-1, -1, VLOOKUP(D1912,$Y$1:$Z$22,2))</f>
        <v>20</v>
      </c>
      <c r="H1912" s="16" t="str">
        <f aca="false">_xlfn.UNICHAR(((F1912*21)+G1912)*28+44032)</f>
        <v>피</v>
      </c>
      <c r="I1912" s="16" t="n">
        <f aca="false">IF(B1912=-1, 1, COUNTIF($A$2:$A$3000, H1912))</f>
        <v>1</v>
      </c>
      <c r="J1912" s="10" t="str">
        <f aca="false">_xlfn.CONCAT(A1912, ",",H1912,",",I1912)</f>
        <v>췌,피,1</v>
      </c>
      <c r="K1912" s="16" t="n">
        <f aca="false">IF(B1912=-1,-1,VLOOKUP(C1912,$T$1:$V$20,3))</f>
        <v>19</v>
      </c>
      <c r="L1912" s="16" t="n">
        <f aca="false">IF(B1912=-1,-1,VLOOKUP(D1912,$Y$1:$AA$22,3))</f>
        <v>16</v>
      </c>
      <c r="N1912" s="10" t="str">
        <f aca="false">_xlfn.UNICHAR(((C1912*21)+G1912)*28+44032)</f>
        <v>치</v>
      </c>
      <c r="O1912" s="10" t="str">
        <f aca="false">_xlfn.UNICHAR(((F1912*21)+D1912)*28+44032)</f>
        <v>풰</v>
      </c>
      <c r="P1912" s="12" t="n">
        <f aca="false">COUNTIF($A$2:$A$3000, N1912) + COUNTIF($A$2:$A$3000, O1912)</f>
        <v>1</v>
      </c>
      <c r="Q1912" s="16" t="str">
        <f aca="false">IF(OR(B1912=-1,I1912=0, P1912&lt;&gt;2), "albhed_dummy", _xlfn.CONCAT("albhed ", RIGHT("  " &amp; K1912,2),", ", RIGHT("  " &amp; L1912,2), ", " ,"""",H1912,""", ", """",N1912,""", ","""",O1912,""""," ; ", A1912))</f>
        <v>albhed_dummy</v>
      </c>
    </row>
    <row r="1913" customFormat="false" ht="17.9" hidden="false" customHeight="true" outlineLevel="0" collapsed="false">
      <c r="A1913" s="16" t="s">
        <v>2763</v>
      </c>
      <c r="B1913" s="16" t="n">
        <f aca="false">IF(_xlfn.UNICODE(A1913)&lt;44032,-1,_xlfn.UNICODE(A1913)-44032)</f>
        <v>8656</v>
      </c>
      <c r="C1913" s="16" t="n">
        <f aca="false">IF(B1913=-1,-1,INT((B1913/28)/21))</f>
        <v>14</v>
      </c>
      <c r="D1913" s="16" t="n">
        <f aca="false">IF(B1913=-1, -1, MOD(INT(B1913/28),21))</f>
        <v>15</v>
      </c>
      <c r="E1913" s="16" t="n">
        <f aca="false">IF(B1913=-1, -1, VLOOKUP(MOD(B1913,28), $T$24:$U$52,2))</f>
        <v>4</v>
      </c>
      <c r="F1913" s="16" t="n">
        <f aca="false">IF($B1913=-1, -1, VLOOKUP(C1913,$T$1:$V$20, 2))</f>
        <v>17</v>
      </c>
      <c r="G1913" s="16" t="n">
        <f aca="false">IF($B1913=-1, -1, VLOOKUP(D1913,$Y$1:$Z$22,2))</f>
        <v>20</v>
      </c>
      <c r="H1913" s="16" t="str">
        <f aca="false">_xlfn.UNICHAR(((F1913*21)+G1913)*28+44032)</f>
        <v>피</v>
      </c>
      <c r="I1913" s="16" t="n">
        <f aca="false">IF(B1913=-1, 1, COUNTIF($A$2:$A$3000, H1913))</f>
        <v>1</v>
      </c>
      <c r="J1913" s="10" t="str">
        <f aca="false">_xlfn.CONCAT(A1913, ",",H1913,",",I1913)</f>
        <v>췐,피,1</v>
      </c>
      <c r="K1913" s="16" t="n">
        <f aca="false">IF(B1913=-1,-1,VLOOKUP(C1913,$T$1:$V$20,3))</f>
        <v>19</v>
      </c>
      <c r="L1913" s="16" t="n">
        <f aca="false">IF(B1913=-1,-1,VLOOKUP(D1913,$Y$1:$AA$22,3))</f>
        <v>16</v>
      </c>
      <c r="N1913" s="10" t="str">
        <f aca="false">_xlfn.UNICHAR(((C1913*21)+G1913)*28+44032)</f>
        <v>치</v>
      </c>
      <c r="O1913" s="10" t="str">
        <f aca="false">_xlfn.UNICHAR(((F1913*21)+D1913)*28+44032)</f>
        <v>풰</v>
      </c>
      <c r="P1913" s="12" t="n">
        <f aca="false">COUNTIF($A$2:$A$3000, N1913) + COUNTIF($A$2:$A$3000, O1913)</f>
        <v>1</v>
      </c>
      <c r="Q1913" s="16" t="str">
        <f aca="false">IF(OR(B1913=-1,I1913=0, P1913&lt;&gt;2), "albhed_dummy", _xlfn.CONCAT("albhed ", RIGHT("  " &amp; K1913,2),", ", RIGHT("  " &amp; L1913,2), ", " ,"""",H1913,""", ", """",N1913,""", ","""",O1913,""""," ; ", A1913))</f>
        <v>albhed_dummy</v>
      </c>
    </row>
    <row r="1914" customFormat="false" ht="17.9" hidden="false" customHeight="true" outlineLevel="0" collapsed="false">
      <c r="A1914" s="16" t="s">
        <v>2764</v>
      </c>
      <c r="B1914" s="16" t="n">
        <f aca="false">IF(_xlfn.UNICODE(A1914)&lt;44032,-1,_xlfn.UNICODE(A1914)-44032)</f>
        <v>8680</v>
      </c>
      <c r="C1914" s="16" t="n">
        <f aca="false">IF(B1914=-1,-1,INT((B1914/28)/21))</f>
        <v>14</v>
      </c>
      <c r="D1914" s="16" t="n">
        <f aca="false">IF(B1914=-1, -1, MOD(INT(B1914/28),21))</f>
        <v>16</v>
      </c>
      <c r="E1914" s="16" t="n">
        <f aca="false">IF(B1914=-1, -1, VLOOKUP(MOD(B1914,28), $T$24:$U$52,2))</f>
        <v>0</v>
      </c>
      <c r="F1914" s="16" t="n">
        <f aca="false">IF($B1914=-1, -1, VLOOKUP(C1914,$T$1:$V$20, 2))</f>
        <v>17</v>
      </c>
      <c r="G1914" s="16" t="n">
        <f aca="false">IF($B1914=-1, -1, VLOOKUP(D1914,$Y$1:$Z$22,2))</f>
        <v>20</v>
      </c>
      <c r="H1914" s="16" t="str">
        <f aca="false">_xlfn.UNICHAR(((F1914*21)+G1914)*28+44032)</f>
        <v>피</v>
      </c>
      <c r="I1914" s="16" t="n">
        <f aca="false">IF(B1914=-1, 1, COUNTIF($A$2:$A$3000, H1914))</f>
        <v>1</v>
      </c>
      <c r="J1914" s="10" t="str">
        <f aca="false">_xlfn.CONCAT(A1914, ",",H1914,",",I1914)</f>
        <v>취,피,1</v>
      </c>
      <c r="K1914" s="16" t="n">
        <f aca="false">IF(B1914=-1,-1,VLOOKUP(C1914,$T$1:$V$20,3))</f>
        <v>19</v>
      </c>
      <c r="L1914" s="16" t="n">
        <f aca="false">IF(B1914=-1,-1,VLOOKUP(D1914,$Y$1:$AA$22,3))</f>
        <v>22</v>
      </c>
      <c r="N1914" s="10" t="str">
        <f aca="false">_xlfn.UNICHAR(((C1914*21)+G1914)*28+44032)</f>
        <v>치</v>
      </c>
      <c r="O1914" s="10" t="str">
        <f aca="false">_xlfn.UNICHAR(((F1914*21)+D1914)*28+44032)</f>
        <v>퓌</v>
      </c>
      <c r="P1914" s="12" t="n">
        <f aca="false">COUNTIF($A$2:$A$3000, N1914) + COUNTIF($A$2:$A$3000, O1914)</f>
        <v>2</v>
      </c>
      <c r="Q1914" s="16" t="str">
        <f aca="false">IF(OR(B1914=-1,I1914=0, P1914&lt;&gt;2), "albhed_dummy", _xlfn.CONCAT("albhed ", RIGHT("  " &amp; K1914,2),", ", RIGHT("  " &amp; L1914,2), ", " ,"""",H1914,""", ", """",N1914,""", ","""",O1914,""""," ; ", A1914))</f>
        <v>albhed 19, 22, "피", "치", "퓌" ; 취</v>
      </c>
    </row>
    <row r="1915" customFormat="false" ht="17.9" hidden="false" customHeight="true" outlineLevel="0" collapsed="false">
      <c r="A1915" s="16" t="s">
        <v>2765</v>
      </c>
      <c r="B1915" s="16" t="n">
        <f aca="false">IF(_xlfn.UNICODE(A1915)&lt;44032,-1,_xlfn.UNICODE(A1915)-44032)</f>
        <v>8684</v>
      </c>
      <c r="C1915" s="16" t="n">
        <f aca="false">IF(B1915=-1,-1,INT((B1915/28)/21))</f>
        <v>14</v>
      </c>
      <c r="D1915" s="16" t="n">
        <f aca="false">IF(B1915=-1, -1, MOD(INT(B1915/28),21))</f>
        <v>16</v>
      </c>
      <c r="E1915" s="16" t="n">
        <f aca="false">IF(B1915=-1, -1, VLOOKUP(MOD(B1915,28), $T$24:$U$52,2))</f>
        <v>4</v>
      </c>
      <c r="F1915" s="16" t="n">
        <f aca="false">IF($B1915=-1, -1, VLOOKUP(C1915,$T$1:$V$20, 2))</f>
        <v>17</v>
      </c>
      <c r="G1915" s="16" t="n">
        <f aca="false">IF($B1915=-1, -1, VLOOKUP(D1915,$Y$1:$Z$22,2))</f>
        <v>20</v>
      </c>
      <c r="H1915" s="16" t="str">
        <f aca="false">_xlfn.UNICHAR(((F1915*21)+G1915)*28+44032)</f>
        <v>피</v>
      </c>
      <c r="I1915" s="16" t="n">
        <f aca="false">IF(B1915=-1, 1, COUNTIF($A$2:$A$3000, H1915))</f>
        <v>1</v>
      </c>
      <c r="J1915" s="10" t="str">
        <f aca="false">_xlfn.CONCAT(A1915, ",",H1915,",",I1915)</f>
        <v>췬,피,1</v>
      </c>
      <c r="K1915" s="16" t="n">
        <f aca="false">IF(B1915=-1,-1,VLOOKUP(C1915,$T$1:$V$20,3))</f>
        <v>19</v>
      </c>
      <c r="L1915" s="16" t="n">
        <f aca="false">IF(B1915=-1,-1,VLOOKUP(D1915,$Y$1:$AA$22,3))</f>
        <v>22</v>
      </c>
      <c r="N1915" s="10" t="str">
        <f aca="false">_xlfn.UNICHAR(((C1915*21)+G1915)*28+44032)</f>
        <v>치</v>
      </c>
      <c r="O1915" s="10" t="str">
        <f aca="false">_xlfn.UNICHAR(((F1915*21)+D1915)*28+44032)</f>
        <v>퓌</v>
      </c>
      <c r="P1915" s="12" t="n">
        <f aca="false">COUNTIF($A$2:$A$3000, N1915) + COUNTIF($A$2:$A$3000, O1915)</f>
        <v>2</v>
      </c>
      <c r="Q1915" s="16" t="str">
        <f aca="false">IF(OR(B1915=-1,I1915=0, P1915&lt;&gt;2), "albhed_dummy", _xlfn.CONCAT("albhed ", RIGHT("  " &amp; K1915,2),", ", RIGHT("  " &amp; L1915,2), ", " ,"""",H1915,""", ", """",N1915,""", ","""",O1915,""""," ; ", A1915))</f>
        <v>albhed 19, 22, "피", "치", "퓌" ; 췬</v>
      </c>
    </row>
    <row r="1916" customFormat="false" ht="17.9" hidden="false" customHeight="true" outlineLevel="0" collapsed="false">
      <c r="A1916" s="16" t="s">
        <v>2766</v>
      </c>
      <c r="B1916" s="16" t="n">
        <f aca="false">IF(_xlfn.UNICODE(A1916)&lt;44032,-1,_xlfn.UNICODE(A1916)-44032)</f>
        <v>8688</v>
      </c>
      <c r="C1916" s="16" t="n">
        <f aca="false">IF(B1916=-1,-1,INT((B1916/28)/21))</f>
        <v>14</v>
      </c>
      <c r="D1916" s="16" t="n">
        <f aca="false">IF(B1916=-1, -1, MOD(INT(B1916/28),21))</f>
        <v>16</v>
      </c>
      <c r="E1916" s="16" t="n">
        <f aca="false">IF(B1916=-1, -1, VLOOKUP(MOD(B1916,28), $T$24:$U$52,2))</f>
        <v>8</v>
      </c>
      <c r="F1916" s="16" t="n">
        <f aca="false">IF($B1916=-1, -1, VLOOKUP(C1916,$T$1:$V$20, 2))</f>
        <v>17</v>
      </c>
      <c r="G1916" s="16" t="n">
        <f aca="false">IF($B1916=-1, -1, VLOOKUP(D1916,$Y$1:$Z$22,2))</f>
        <v>20</v>
      </c>
      <c r="H1916" s="16" t="str">
        <f aca="false">_xlfn.UNICHAR(((F1916*21)+G1916)*28+44032)</f>
        <v>피</v>
      </c>
      <c r="I1916" s="16" t="n">
        <f aca="false">IF(B1916=-1, 1, COUNTIF($A$2:$A$3000, H1916))</f>
        <v>1</v>
      </c>
      <c r="J1916" s="10" t="str">
        <f aca="false">_xlfn.CONCAT(A1916, ",",H1916,",",I1916)</f>
        <v>췰,피,1</v>
      </c>
      <c r="K1916" s="16" t="n">
        <f aca="false">IF(B1916=-1,-1,VLOOKUP(C1916,$T$1:$V$20,3))</f>
        <v>19</v>
      </c>
      <c r="L1916" s="16" t="n">
        <f aca="false">IF(B1916=-1,-1,VLOOKUP(D1916,$Y$1:$AA$22,3))</f>
        <v>22</v>
      </c>
      <c r="N1916" s="10" t="str">
        <f aca="false">_xlfn.UNICHAR(((C1916*21)+G1916)*28+44032)</f>
        <v>치</v>
      </c>
      <c r="O1916" s="10" t="str">
        <f aca="false">_xlfn.UNICHAR(((F1916*21)+D1916)*28+44032)</f>
        <v>퓌</v>
      </c>
      <c r="P1916" s="12" t="n">
        <f aca="false">COUNTIF($A$2:$A$3000, N1916) + COUNTIF($A$2:$A$3000, O1916)</f>
        <v>2</v>
      </c>
      <c r="Q1916" s="16" t="str">
        <f aca="false">IF(OR(B1916=-1,I1916=0, P1916&lt;&gt;2), "albhed_dummy", _xlfn.CONCAT("albhed ", RIGHT("  " &amp; K1916,2),", ", RIGHT("  " &amp; L1916,2), ", " ,"""",H1916,""", ", """",N1916,""", ","""",O1916,""""," ; ", A1916))</f>
        <v>albhed 19, 22, "피", "치", "퓌" ; 췰</v>
      </c>
    </row>
    <row r="1917" customFormat="false" ht="17.9" hidden="false" customHeight="true" outlineLevel="0" collapsed="false">
      <c r="A1917" s="16" t="s">
        <v>2767</v>
      </c>
      <c r="B1917" s="16" t="n">
        <f aca="false">IF(_xlfn.UNICODE(A1917)&lt;44032,-1,_xlfn.UNICODE(A1917)-44032)</f>
        <v>8696</v>
      </c>
      <c r="C1917" s="16" t="n">
        <f aca="false">IF(B1917=-1,-1,INT((B1917/28)/21))</f>
        <v>14</v>
      </c>
      <c r="D1917" s="16" t="n">
        <f aca="false">IF(B1917=-1, -1, MOD(INT(B1917/28),21))</f>
        <v>16</v>
      </c>
      <c r="E1917" s="16" t="n">
        <f aca="false">IF(B1917=-1, -1, VLOOKUP(MOD(B1917,28), $T$24:$U$52,2))</f>
        <v>16</v>
      </c>
      <c r="F1917" s="16" t="n">
        <f aca="false">IF($B1917=-1, -1, VLOOKUP(C1917,$T$1:$V$20, 2))</f>
        <v>17</v>
      </c>
      <c r="G1917" s="16" t="n">
        <f aca="false">IF($B1917=-1, -1, VLOOKUP(D1917,$Y$1:$Z$22,2))</f>
        <v>20</v>
      </c>
      <c r="H1917" s="16" t="str">
        <f aca="false">_xlfn.UNICHAR(((F1917*21)+G1917)*28+44032)</f>
        <v>피</v>
      </c>
      <c r="I1917" s="16" t="n">
        <f aca="false">IF(B1917=-1, 1, COUNTIF($A$2:$A$3000, H1917))</f>
        <v>1</v>
      </c>
      <c r="J1917" s="10" t="str">
        <f aca="false">_xlfn.CONCAT(A1917, ",",H1917,",",I1917)</f>
        <v>췸,피,1</v>
      </c>
      <c r="K1917" s="16" t="n">
        <f aca="false">IF(B1917=-1,-1,VLOOKUP(C1917,$T$1:$V$20,3))</f>
        <v>19</v>
      </c>
      <c r="L1917" s="16" t="n">
        <f aca="false">IF(B1917=-1,-1,VLOOKUP(D1917,$Y$1:$AA$22,3))</f>
        <v>22</v>
      </c>
      <c r="N1917" s="10" t="str">
        <f aca="false">_xlfn.UNICHAR(((C1917*21)+G1917)*28+44032)</f>
        <v>치</v>
      </c>
      <c r="O1917" s="10" t="str">
        <f aca="false">_xlfn.UNICHAR(((F1917*21)+D1917)*28+44032)</f>
        <v>퓌</v>
      </c>
      <c r="P1917" s="12" t="n">
        <f aca="false">COUNTIF($A$2:$A$3000, N1917) + COUNTIF($A$2:$A$3000, O1917)</f>
        <v>2</v>
      </c>
      <c r="Q1917" s="16" t="str">
        <f aca="false">IF(OR(B1917=-1,I1917=0, P1917&lt;&gt;2), "albhed_dummy", _xlfn.CONCAT("albhed ", RIGHT("  " &amp; K1917,2),", ", RIGHT("  " &amp; L1917,2), ", " ,"""",H1917,""", ", """",N1917,""", ","""",O1917,""""," ; ", A1917))</f>
        <v>albhed 19, 22, "피", "치", "퓌" ; 췸</v>
      </c>
    </row>
    <row r="1918" customFormat="false" ht="17.9" hidden="false" customHeight="true" outlineLevel="0" collapsed="false">
      <c r="A1918" s="16" t="s">
        <v>2768</v>
      </c>
      <c r="B1918" s="16" t="n">
        <f aca="false">IF(_xlfn.UNICODE(A1918)&lt;44032,-1,_xlfn.UNICODE(A1918)-44032)</f>
        <v>8697</v>
      </c>
      <c r="C1918" s="16" t="n">
        <f aca="false">IF(B1918=-1,-1,INT((B1918/28)/21))</f>
        <v>14</v>
      </c>
      <c r="D1918" s="16" t="n">
        <f aca="false">IF(B1918=-1, -1, MOD(INT(B1918/28),21))</f>
        <v>16</v>
      </c>
      <c r="E1918" s="16" t="n">
        <f aca="false">IF(B1918=-1, -1, VLOOKUP(MOD(B1918,28), $T$24:$U$52,2))</f>
        <v>17</v>
      </c>
      <c r="F1918" s="16" t="n">
        <f aca="false">IF($B1918=-1, -1, VLOOKUP(C1918,$T$1:$V$20, 2))</f>
        <v>17</v>
      </c>
      <c r="G1918" s="16" t="n">
        <f aca="false">IF($B1918=-1, -1, VLOOKUP(D1918,$Y$1:$Z$22,2))</f>
        <v>20</v>
      </c>
      <c r="H1918" s="16" t="str">
        <f aca="false">_xlfn.UNICHAR(((F1918*21)+G1918)*28+44032)</f>
        <v>피</v>
      </c>
      <c r="I1918" s="16" t="n">
        <f aca="false">IF(B1918=-1, 1, COUNTIF($A$2:$A$3000, H1918))</f>
        <v>1</v>
      </c>
      <c r="J1918" s="10" t="str">
        <f aca="false">_xlfn.CONCAT(A1918, ",",H1918,",",I1918)</f>
        <v>췹,피,1</v>
      </c>
      <c r="K1918" s="16" t="n">
        <f aca="false">IF(B1918=-1,-1,VLOOKUP(C1918,$T$1:$V$20,3))</f>
        <v>19</v>
      </c>
      <c r="L1918" s="16" t="n">
        <f aca="false">IF(B1918=-1,-1,VLOOKUP(D1918,$Y$1:$AA$22,3))</f>
        <v>22</v>
      </c>
      <c r="N1918" s="10" t="str">
        <f aca="false">_xlfn.UNICHAR(((C1918*21)+G1918)*28+44032)</f>
        <v>치</v>
      </c>
      <c r="O1918" s="10" t="str">
        <f aca="false">_xlfn.UNICHAR(((F1918*21)+D1918)*28+44032)</f>
        <v>퓌</v>
      </c>
      <c r="P1918" s="12" t="n">
        <f aca="false">COUNTIF($A$2:$A$3000, N1918) + COUNTIF($A$2:$A$3000, O1918)</f>
        <v>2</v>
      </c>
      <c r="Q1918" s="16" t="str">
        <f aca="false">IF(OR(B1918=-1,I1918=0, P1918&lt;&gt;2), "albhed_dummy", _xlfn.CONCAT("albhed ", RIGHT("  " &amp; K1918,2),", ", RIGHT("  " &amp; L1918,2), ", " ,"""",H1918,""", ", """",N1918,""", ","""",O1918,""""," ; ", A1918))</f>
        <v>albhed 19, 22, "피", "치", "퓌" ; 췹</v>
      </c>
    </row>
    <row r="1919" customFormat="false" ht="17.9" hidden="false" customHeight="true" outlineLevel="0" collapsed="false">
      <c r="A1919" s="16" t="s">
        <v>2769</v>
      </c>
      <c r="B1919" s="16" t="n">
        <f aca="false">IF(_xlfn.UNICODE(A1919)&lt;44032,-1,_xlfn.UNICODE(A1919)-44032)</f>
        <v>8699</v>
      </c>
      <c r="C1919" s="16" t="n">
        <f aca="false">IF(B1919=-1,-1,INT((B1919/28)/21))</f>
        <v>14</v>
      </c>
      <c r="D1919" s="16" t="n">
        <f aca="false">IF(B1919=-1, -1, MOD(INT(B1919/28),21))</f>
        <v>16</v>
      </c>
      <c r="E1919" s="16" t="n">
        <f aca="false">IF(B1919=-1, -1, VLOOKUP(MOD(B1919,28), $T$24:$U$52,2))</f>
        <v>19</v>
      </c>
      <c r="F1919" s="16" t="n">
        <f aca="false">IF($B1919=-1, -1, VLOOKUP(C1919,$T$1:$V$20, 2))</f>
        <v>17</v>
      </c>
      <c r="G1919" s="16" t="n">
        <f aca="false">IF($B1919=-1, -1, VLOOKUP(D1919,$Y$1:$Z$22,2))</f>
        <v>20</v>
      </c>
      <c r="H1919" s="16" t="str">
        <f aca="false">_xlfn.UNICHAR(((F1919*21)+G1919)*28+44032)</f>
        <v>피</v>
      </c>
      <c r="I1919" s="16" t="n">
        <f aca="false">IF(B1919=-1, 1, COUNTIF($A$2:$A$3000, H1919))</f>
        <v>1</v>
      </c>
      <c r="J1919" s="10" t="str">
        <f aca="false">_xlfn.CONCAT(A1919, ",",H1919,",",I1919)</f>
        <v>췻,피,1</v>
      </c>
      <c r="K1919" s="16" t="n">
        <f aca="false">IF(B1919=-1,-1,VLOOKUP(C1919,$T$1:$V$20,3))</f>
        <v>19</v>
      </c>
      <c r="L1919" s="16" t="n">
        <f aca="false">IF(B1919=-1,-1,VLOOKUP(D1919,$Y$1:$AA$22,3))</f>
        <v>22</v>
      </c>
      <c r="N1919" s="10" t="str">
        <f aca="false">_xlfn.UNICHAR(((C1919*21)+G1919)*28+44032)</f>
        <v>치</v>
      </c>
      <c r="O1919" s="10" t="str">
        <f aca="false">_xlfn.UNICHAR(((F1919*21)+D1919)*28+44032)</f>
        <v>퓌</v>
      </c>
      <c r="P1919" s="12" t="n">
        <f aca="false">COUNTIF($A$2:$A$3000, N1919) + COUNTIF($A$2:$A$3000, O1919)</f>
        <v>2</v>
      </c>
      <c r="Q1919" s="16" t="str">
        <f aca="false">IF(OR(B1919=-1,I1919=0, P1919&lt;&gt;2), "albhed_dummy", _xlfn.CONCAT("albhed ", RIGHT("  " &amp; K1919,2),", ", RIGHT("  " &amp; L1919,2), ", " ,"""",H1919,""", ", """",N1919,""", ","""",O1919,""""," ; ", A1919))</f>
        <v>albhed 19, 22, "피", "치", "퓌" ; 췻</v>
      </c>
    </row>
    <row r="1920" customFormat="false" ht="17.9" hidden="false" customHeight="true" outlineLevel="0" collapsed="false">
      <c r="A1920" s="16" t="s">
        <v>2770</v>
      </c>
      <c r="B1920" s="16" t="n">
        <f aca="false">IF(_xlfn.UNICODE(A1920)&lt;44032,-1,_xlfn.UNICODE(A1920)-44032)</f>
        <v>8701</v>
      </c>
      <c r="C1920" s="16" t="n">
        <f aca="false">IF(B1920=-1,-1,INT((B1920/28)/21))</f>
        <v>14</v>
      </c>
      <c r="D1920" s="16" t="n">
        <f aca="false">IF(B1920=-1, -1, MOD(INT(B1920/28),21))</f>
        <v>16</v>
      </c>
      <c r="E1920" s="16" t="n">
        <f aca="false">IF(B1920=-1, -1, VLOOKUP(MOD(B1920,28), $T$24:$U$52,2))</f>
        <v>21</v>
      </c>
      <c r="F1920" s="16" t="n">
        <f aca="false">IF($B1920=-1, -1, VLOOKUP(C1920,$T$1:$V$20, 2))</f>
        <v>17</v>
      </c>
      <c r="G1920" s="16" t="n">
        <f aca="false">IF($B1920=-1, -1, VLOOKUP(D1920,$Y$1:$Z$22,2))</f>
        <v>20</v>
      </c>
      <c r="H1920" s="16" t="str">
        <f aca="false">_xlfn.UNICHAR(((F1920*21)+G1920)*28+44032)</f>
        <v>피</v>
      </c>
      <c r="I1920" s="16" t="n">
        <f aca="false">IF(B1920=-1, 1, COUNTIF($A$2:$A$3000, H1920))</f>
        <v>1</v>
      </c>
      <c r="J1920" s="10" t="str">
        <f aca="false">_xlfn.CONCAT(A1920, ",",H1920,",",I1920)</f>
        <v>췽,피,1</v>
      </c>
      <c r="K1920" s="16" t="n">
        <f aca="false">IF(B1920=-1,-1,VLOOKUP(C1920,$T$1:$V$20,3))</f>
        <v>19</v>
      </c>
      <c r="L1920" s="16" t="n">
        <f aca="false">IF(B1920=-1,-1,VLOOKUP(D1920,$Y$1:$AA$22,3))</f>
        <v>22</v>
      </c>
      <c r="N1920" s="10" t="str">
        <f aca="false">_xlfn.UNICHAR(((C1920*21)+G1920)*28+44032)</f>
        <v>치</v>
      </c>
      <c r="O1920" s="10" t="str">
        <f aca="false">_xlfn.UNICHAR(((F1920*21)+D1920)*28+44032)</f>
        <v>퓌</v>
      </c>
      <c r="P1920" s="12" t="n">
        <f aca="false">COUNTIF($A$2:$A$3000, N1920) + COUNTIF($A$2:$A$3000, O1920)</f>
        <v>2</v>
      </c>
      <c r="Q1920" s="16" t="str">
        <f aca="false">IF(OR(B1920=-1,I1920=0, P1920&lt;&gt;2), "albhed_dummy", _xlfn.CONCAT("albhed ", RIGHT("  " &amp; K1920,2),", ", RIGHT("  " &amp; L1920,2), ", " ,"""",H1920,""", ", """",N1920,""", ","""",O1920,""""," ; ", A1920))</f>
        <v>albhed 19, 22, "피", "치", "퓌" ; 췽</v>
      </c>
    </row>
    <row r="1921" customFormat="false" ht="17.9" hidden="false" customHeight="true" outlineLevel="0" collapsed="false">
      <c r="A1921" s="16" t="s">
        <v>2771</v>
      </c>
      <c r="B1921" s="16" t="n">
        <f aca="false">IF(_xlfn.UNICODE(A1921)&lt;44032,-1,_xlfn.UNICODE(A1921)-44032)</f>
        <v>8708</v>
      </c>
      <c r="C1921" s="16" t="n">
        <f aca="false">IF(B1921=-1,-1,INT((B1921/28)/21))</f>
        <v>14</v>
      </c>
      <c r="D1921" s="16" t="n">
        <f aca="false">IF(B1921=-1, -1, MOD(INT(B1921/28),21))</f>
        <v>17</v>
      </c>
      <c r="E1921" s="16" t="n">
        <f aca="false">IF(B1921=-1, -1, VLOOKUP(MOD(B1921,28), $T$24:$U$52,2))</f>
        <v>0</v>
      </c>
      <c r="F1921" s="16" t="n">
        <f aca="false">IF($B1921=-1, -1, VLOOKUP(C1921,$T$1:$V$20, 2))</f>
        <v>17</v>
      </c>
      <c r="G1921" s="16" t="n">
        <f aca="false">IF($B1921=-1, -1, VLOOKUP(D1921,$Y$1:$Z$22,2))</f>
        <v>2</v>
      </c>
      <c r="H1921" s="16" t="str">
        <f aca="false">_xlfn.UNICHAR(((F1921*21)+G1921)*28+44032)</f>
        <v>퍄</v>
      </c>
      <c r="I1921" s="16" t="n">
        <f aca="false">IF(B1921=-1, 1, COUNTIF($A$2:$A$3000, H1921))</f>
        <v>1</v>
      </c>
      <c r="J1921" s="10" t="str">
        <f aca="false">_xlfn.CONCAT(A1921, ",",H1921,",",I1921)</f>
        <v>츄,퍄,1</v>
      </c>
      <c r="K1921" s="16" t="n">
        <f aca="false">IF(B1921=-1,-1,VLOOKUP(C1921,$T$1:$V$20,3))</f>
        <v>19</v>
      </c>
      <c r="L1921" s="16" t="n">
        <f aca="false">IF(B1921=-1,-1,VLOOKUP(D1921,$Y$1:$AA$22,3))</f>
        <v>6</v>
      </c>
      <c r="N1921" s="10" t="str">
        <f aca="false">_xlfn.UNICHAR(((C1921*21)+G1921)*28+44032)</f>
        <v>챠</v>
      </c>
      <c r="O1921" s="10" t="str">
        <f aca="false">_xlfn.UNICHAR(((F1921*21)+D1921)*28+44032)</f>
        <v>퓨</v>
      </c>
      <c r="P1921" s="12" t="n">
        <f aca="false">COUNTIF($A$2:$A$3000, N1921) + COUNTIF($A$2:$A$3000, O1921)</f>
        <v>2</v>
      </c>
      <c r="Q1921" s="16" t="str">
        <f aca="false">IF(OR(B1921=-1,I1921=0, P1921&lt;&gt;2), "albhed_dummy", _xlfn.CONCAT("albhed ", RIGHT("  " &amp; K1921,2),", ", RIGHT("  " &amp; L1921,2), ", " ,"""",H1921,""", ", """",N1921,""", ","""",O1921,""""," ; ", A1921))</f>
        <v>albhed 19,  6, "퍄", "챠", "퓨" ; 츄</v>
      </c>
    </row>
    <row r="1922" customFormat="false" ht="17.9" hidden="false" customHeight="true" outlineLevel="0" collapsed="false">
      <c r="A1922" s="16" t="s">
        <v>2772</v>
      </c>
      <c r="B1922" s="16" t="n">
        <f aca="false">IF(_xlfn.UNICODE(A1922)&lt;44032,-1,_xlfn.UNICODE(A1922)-44032)</f>
        <v>8712</v>
      </c>
      <c r="C1922" s="16" t="n">
        <f aca="false">IF(B1922=-1,-1,INT((B1922/28)/21))</f>
        <v>14</v>
      </c>
      <c r="D1922" s="16" t="n">
        <f aca="false">IF(B1922=-1, -1, MOD(INT(B1922/28),21))</f>
        <v>17</v>
      </c>
      <c r="E1922" s="16" t="n">
        <f aca="false">IF(B1922=-1, -1, VLOOKUP(MOD(B1922,28), $T$24:$U$52,2))</f>
        <v>4</v>
      </c>
      <c r="F1922" s="16" t="n">
        <f aca="false">IF($B1922=-1, -1, VLOOKUP(C1922,$T$1:$V$20, 2))</f>
        <v>17</v>
      </c>
      <c r="G1922" s="16" t="n">
        <f aca="false">IF($B1922=-1, -1, VLOOKUP(D1922,$Y$1:$Z$22,2))</f>
        <v>2</v>
      </c>
      <c r="H1922" s="16" t="str">
        <f aca="false">_xlfn.UNICHAR(((F1922*21)+G1922)*28+44032)</f>
        <v>퍄</v>
      </c>
      <c r="I1922" s="16" t="n">
        <f aca="false">IF(B1922=-1, 1, COUNTIF($A$2:$A$3000, H1922))</f>
        <v>1</v>
      </c>
      <c r="J1922" s="10" t="str">
        <f aca="false">_xlfn.CONCAT(A1922, ",",H1922,",",I1922)</f>
        <v>츈,퍄,1</v>
      </c>
      <c r="K1922" s="16" t="n">
        <f aca="false">IF(B1922=-1,-1,VLOOKUP(C1922,$T$1:$V$20,3))</f>
        <v>19</v>
      </c>
      <c r="L1922" s="16" t="n">
        <f aca="false">IF(B1922=-1,-1,VLOOKUP(D1922,$Y$1:$AA$22,3))</f>
        <v>6</v>
      </c>
      <c r="N1922" s="10" t="str">
        <f aca="false">_xlfn.UNICHAR(((C1922*21)+G1922)*28+44032)</f>
        <v>챠</v>
      </c>
      <c r="O1922" s="10" t="str">
        <f aca="false">_xlfn.UNICHAR(((F1922*21)+D1922)*28+44032)</f>
        <v>퓨</v>
      </c>
      <c r="P1922" s="12" t="n">
        <f aca="false">COUNTIF($A$2:$A$3000, N1922) + COUNTIF($A$2:$A$3000, O1922)</f>
        <v>2</v>
      </c>
      <c r="Q1922" s="16" t="str">
        <f aca="false">IF(OR(B1922=-1,I1922=0, P1922&lt;&gt;2), "albhed_dummy", _xlfn.CONCAT("albhed ", RIGHT("  " &amp; K1922,2),", ", RIGHT("  " &amp; L1922,2), ", " ,"""",H1922,""", ", """",N1922,""", ","""",O1922,""""," ; ", A1922))</f>
        <v>albhed 19,  6, "퍄", "챠", "퓨" ; 츈</v>
      </c>
    </row>
    <row r="1923" customFormat="false" ht="17.9" hidden="false" customHeight="true" outlineLevel="0" collapsed="false">
      <c r="A1923" s="16" t="s">
        <v>2773</v>
      </c>
      <c r="B1923" s="16" t="n">
        <f aca="false">IF(_xlfn.UNICODE(A1923)&lt;44032,-1,_xlfn.UNICODE(A1923)-44032)</f>
        <v>8716</v>
      </c>
      <c r="C1923" s="16" t="n">
        <f aca="false">IF(B1923=-1,-1,INT((B1923/28)/21))</f>
        <v>14</v>
      </c>
      <c r="D1923" s="16" t="n">
        <f aca="false">IF(B1923=-1, -1, MOD(INT(B1923/28),21))</f>
        <v>17</v>
      </c>
      <c r="E1923" s="16" t="n">
        <f aca="false">IF(B1923=-1, -1, VLOOKUP(MOD(B1923,28), $T$24:$U$52,2))</f>
        <v>8</v>
      </c>
      <c r="F1923" s="16" t="n">
        <f aca="false">IF($B1923=-1, -1, VLOOKUP(C1923,$T$1:$V$20, 2))</f>
        <v>17</v>
      </c>
      <c r="G1923" s="16" t="n">
        <f aca="false">IF($B1923=-1, -1, VLOOKUP(D1923,$Y$1:$Z$22,2))</f>
        <v>2</v>
      </c>
      <c r="H1923" s="16" t="str">
        <f aca="false">_xlfn.UNICHAR(((F1923*21)+G1923)*28+44032)</f>
        <v>퍄</v>
      </c>
      <c r="I1923" s="16" t="n">
        <f aca="false">IF(B1923=-1, 1, COUNTIF($A$2:$A$3000, H1923))</f>
        <v>1</v>
      </c>
      <c r="J1923" s="10" t="str">
        <f aca="false">_xlfn.CONCAT(A1923, ",",H1923,",",I1923)</f>
        <v>츌,퍄,1</v>
      </c>
      <c r="K1923" s="16" t="n">
        <f aca="false">IF(B1923=-1,-1,VLOOKUP(C1923,$T$1:$V$20,3))</f>
        <v>19</v>
      </c>
      <c r="L1923" s="16" t="n">
        <f aca="false">IF(B1923=-1,-1,VLOOKUP(D1923,$Y$1:$AA$22,3))</f>
        <v>6</v>
      </c>
      <c r="N1923" s="10" t="str">
        <f aca="false">_xlfn.UNICHAR(((C1923*21)+G1923)*28+44032)</f>
        <v>챠</v>
      </c>
      <c r="O1923" s="10" t="str">
        <f aca="false">_xlfn.UNICHAR(((F1923*21)+D1923)*28+44032)</f>
        <v>퓨</v>
      </c>
      <c r="P1923" s="12" t="n">
        <f aca="false">COUNTIF($A$2:$A$3000, N1923) + COUNTIF($A$2:$A$3000, O1923)</f>
        <v>2</v>
      </c>
      <c r="Q1923" s="16" t="str">
        <f aca="false">IF(OR(B1923=-1,I1923=0, P1923&lt;&gt;2), "albhed_dummy", _xlfn.CONCAT("albhed ", RIGHT("  " &amp; K1923,2),", ", RIGHT("  " &amp; L1923,2), ", " ,"""",H1923,""", ", """",N1923,""", ","""",O1923,""""," ; ", A1923))</f>
        <v>albhed 19,  6, "퍄", "챠", "퓨" ; 츌</v>
      </c>
    </row>
    <row r="1924" customFormat="false" ht="17.9" hidden="false" customHeight="true" outlineLevel="0" collapsed="false">
      <c r="A1924" s="16" t="s">
        <v>2774</v>
      </c>
      <c r="B1924" s="16" t="n">
        <f aca="false">IF(_xlfn.UNICODE(A1924)&lt;44032,-1,_xlfn.UNICODE(A1924)-44032)</f>
        <v>8724</v>
      </c>
      <c r="C1924" s="16" t="n">
        <f aca="false">IF(B1924=-1,-1,INT((B1924/28)/21))</f>
        <v>14</v>
      </c>
      <c r="D1924" s="16" t="n">
        <f aca="false">IF(B1924=-1, -1, MOD(INT(B1924/28),21))</f>
        <v>17</v>
      </c>
      <c r="E1924" s="16" t="n">
        <f aca="false">IF(B1924=-1, -1, VLOOKUP(MOD(B1924,28), $T$24:$U$52,2))</f>
        <v>16</v>
      </c>
      <c r="F1924" s="16" t="n">
        <f aca="false">IF($B1924=-1, -1, VLOOKUP(C1924,$T$1:$V$20, 2))</f>
        <v>17</v>
      </c>
      <c r="G1924" s="16" t="n">
        <f aca="false">IF($B1924=-1, -1, VLOOKUP(D1924,$Y$1:$Z$22,2))</f>
        <v>2</v>
      </c>
      <c r="H1924" s="16" t="str">
        <f aca="false">_xlfn.UNICHAR(((F1924*21)+G1924)*28+44032)</f>
        <v>퍄</v>
      </c>
      <c r="I1924" s="16" t="n">
        <f aca="false">IF(B1924=-1, 1, COUNTIF($A$2:$A$3000, H1924))</f>
        <v>1</v>
      </c>
      <c r="J1924" s="10" t="str">
        <f aca="false">_xlfn.CONCAT(A1924, ",",H1924,",",I1924)</f>
        <v>츔,퍄,1</v>
      </c>
      <c r="K1924" s="16" t="n">
        <f aca="false">IF(B1924=-1,-1,VLOOKUP(C1924,$T$1:$V$20,3))</f>
        <v>19</v>
      </c>
      <c r="L1924" s="16" t="n">
        <f aca="false">IF(B1924=-1,-1,VLOOKUP(D1924,$Y$1:$AA$22,3))</f>
        <v>6</v>
      </c>
      <c r="N1924" s="10" t="str">
        <f aca="false">_xlfn.UNICHAR(((C1924*21)+G1924)*28+44032)</f>
        <v>챠</v>
      </c>
      <c r="O1924" s="10" t="str">
        <f aca="false">_xlfn.UNICHAR(((F1924*21)+D1924)*28+44032)</f>
        <v>퓨</v>
      </c>
      <c r="P1924" s="12" t="n">
        <f aca="false">COUNTIF($A$2:$A$3000, N1924) + COUNTIF($A$2:$A$3000, O1924)</f>
        <v>2</v>
      </c>
      <c r="Q1924" s="16" t="str">
        <f aca="false">IF(OR(B1924=-1,I1924=0, P1924&lt;&gt;2), "albhed_dummy", _xlfn.CONCAT("albhed ", RIGHT("  " &amp; K1924,2),", ", RIGHT("  " &amp; L1924,2), ", " ,"""",H1924,""", ", """",N1924,""", ","""",O1924,""""," ; ", A1924))</f>
        <v>albhed 19,  6, "퍄", "챠", "퓨" ; 츔</v>
      </c>
    </row>
    <row r="1925" customFormat="false" ht="17.9" hidden="false" customHeight="true" outlineLevel="0" collapsed="false">
      <c r="A1925" s="16" t="s">
        <v>2775</v>
      </c>
      <c r="B1925" s="16" t="n">
        <f aca="false">IF(_xlfn.UNICODE(A1925)&lt;44032,-1,_xlfn.UNICODE(A1925)-44032)</f>
        <v>8729</v>
      </c>
      <c r="C1925" s="16" t="n">
        <f aca="false">IF(B1925=-1,-1,INT((B1925/28)/21))</f>
        <v>14</v>
      </c>
      <c r="D1925" s="16" t="n">
        <f aca="false">IF(B1925=-1, -1, MOD(INT(B1925/28),21))</f>
        <v>17</v>
      </c>
      <c r="E1925" s="16" t="n">
        <f aca="false">IF(B1925=-1, -1, VLOOKUP(MOD(B1925,28), $T$24:$U$52,2))</f>
        <v>21</v>
      </c>
      <c r="F1925" s="16" t="n">
        <f aca="false">IF($B1925=-1, -1, VLOOKUP(C1925,$T$1:$V$20, 2))</f>
        <v>17</v>
      </c>
      <c r="G1925" s="16" t="n">
        <f aca="false">IF($B1925=-1, -1, VLOOKUP(D1925,$Y$1:$Z$22,2))</f>
        <v>2</v>
      </c>
      <c r="H1925" s="16" t="str">
        <f aca="false">_xlfn.UNICHAR(((F1925*21)+G1925)*28+44032)</f>
        <v>퍄</v>
      </c>
      <c r="I1925" s="16" t="n">
        <f aca="false">IF(B1925=-1, 1, COUNTIF($A$2:$A$3000, H1925))</f>
        <v>1</v>
      </c>
      <c r="J1925" s="10" t="str">
        <f aca="false">_xlfn.CONCAT(A1925, ",",H1925,",",I1925)</f>
        <v>츙,퍄,1</v>
      </c>
      <c r="K1925" s="16" t="n">
        <f aca="false">IF(B1925=-1,-1,VLOOKUP(C1925,$T$1:$V$20,3))</f>
        <v>19</v>
      </c>
      <c r="L1925" s="16" t="n">
        <f aca="false">IF(B1925=-1,-1,VLOOKUP(D1925,$Y$1:$AA$22,3))</f>
        <v>6</v>
      </c>
      <c r="N1925" s="10" t="str">
        <f aca="false">_xlfn.UNICHAR(((C1925*21)+G1925)*28+44032)</f>
        <v>챠</v>
      </c>
      <c r="O1925" s="10" t="str">
        <f aca="false">_xlfn.UNICHAR(((F1925*21)+D1925)*28+44032)</f>
        <v>퓨</v>
      </c>
      <c r="P1925" s="12" t="n">
        <f aca="false">COUNTIF($A$2:$A$3000, N1925) + COUNTIF($A$2:$A$3000, O1925)</f>
        <v>2</v>
      </c>
      <c r="Q1925" s="16" t="str">
        <f aca="false">IF(OR(B1925=-1,I1925=0, P1925&lt;&gt;2), "albhed_dummy", _xlfn.CONCAT("albhed ", RIGHT("  " &amp; K1925,2),", ", RIGHT("  " &amp; L1925,2), ", " ,"""",H1925,""", ", """",N1925,""", ","""",O1925,""""," ; ", A1925))</f>
        <v>albhed 19,  6, "퍄", "챠", "퓨" ; 츙</v>
      </c>
    </row>
    <row r="1926" customFormat="false" ht="17.9" hidden="false" customHeight="true" outlineLevel="0" collapsed="false">
      <c r="A1926" s="16" t="s">
        <v>2776</v>
      </c>
      <c r="B1926" s="16" t="n">
        <f aca="false">IF(_xlfn.UNICODE(A1926)&lt;44032,-1,_xlfn.UNICODE(A1926)-44032)</f>
        <v>8736</v>
      </c>
      <c r="C1926" s="16" t="n">
        <f aca="false">IF(B1926=-1,-1,INT((B1926/28)/21))</f>
        <v>14</v>
      </c>
      <c r="D1926" s="16" t="n">
        <f aca="false">IF(B1926=-1, -1, MOD(INT(B1926/28),21))</f>
        <v>18</v>
      </c>
      <c r="E1926" s="16" t="n">
        <f aca="false">IF(B1926=-1, -1, VLOOKUP(MOD(B1926,28), $T$24:$U$52,2))</f>
        <v>0</v>
      </c>
      <c r="F1926" s="16" t="n">
        <f aca="false">IF($B1926=-1, -1, VLOOKUP(C1926,$T$1:$V$20, 2))</f>
        <v>17</v>
      </c>
      <c r="G1926" s="16" t="n">
        <f aca="false">IF($B1926=-1, -1, VLOOKUP(D1926,$Y$1:$Z$22,2))</f>
        <v>5</v>
      </c>
      <c r="H1926" s="16" t="str">
        <f aca="false">_xlfn.UNICHAR(((F1926*21)+G1926)*28+44032)</f>
        <v>페</v>
      </c>
      <c r="I1926" s="16" t="n">
        <f aca="false">IF(B1926=-1, 1, COUNTIF($A$2:$A$3000, H1926))</f>
        <v>1</v>
      </c>
      <c r="J1926" s="10" t="str">
        <f aca="false">_xlfn.CONCAT(A1926, ",",H1926,",",I1926)</f>
        <v>츠,페,1</v>
      </c>
      <c r="K1926" s="16" t="n">
        <f aca="false">IF(B1926=-1,-1,VLOOKUP(C1926,$T$1:$V$20,3))</f>
        <v>19</v>
      </c>
      <c r="L1926" s="16" t="n">
        <f aca="false">IF(B1926=-1,-1,VLOOKUP(D1926,$Y$1:$AA$22,3))</f>
        <v>18</v>
      </c>
      <c r="N1926" s="10" t="str">
        <f aca="false">_xlfn.UNICHAR(((C1926*21)+G1926)*28+44032)</f>
        <v>체</v>
      </c>
      <c r="O1926" s="10" t="str">
        <f aca="false">_xlfn.UNICHAR(((F1926*21)+D1926)*28+44032)</f>
        <v>프</v>
      </c>
      <c r="P1926" s="12" t="n">
        <f aca="false">COUNTIF($A$2:$A$3000, N1926) + COUNTIF($A$2:$A$3000, O1926)</f>
        <v>2</v>
      </c>
      <c r="Q1926" s="16" t="str">
        <f aca="false">IF(OR(B1926=-1,I1926=0, P1926&lt;&gt;2), "albhed_dummy", _xlfn.CONCAT("albhed ", RIGHT("  " &amp; K1926,2),", ", RIGHT("  " &amp; L1926,2), ", " ,"""",H1926,""", ", """",N1926,""", ","""",O1926,""""," ; ", A1926))</f>
        <v>albhed 19, 18, "페", "체", "프" ; 츠</v>
      </c>
    </row>
    <row r="1927" customFormat="false" ht="17.9" hidden="false" customHeight="true" outlineLevel="0" collapsed="false">
      <c r="A1927" s="16" t="s">
        <v>2777</v>
      </c>
      <c r="B1927" s="16" t="n">
        <f aca="false">IF(_xlfn.UNICODE(A1927)&lt;44032,-1,_xlfn.UNICODE(A1927)-44032)</f>
        <v>8737</v>
      </c>
      <c r="C1927" s="16" t="n">
        <f aca="false">IF(B1927=-1,-1,INT((B1927/28)/21))</f>
        <v>14</v>
      </c>
      <c r="D1927" s="16" t="n">
        <f aca="false">IF(B1927=-1, -1, MOD(INT(B1927/28),21))</f>
        <v>18</v>
      </c>
      <c r="E1927" s="16" t="n">
        <f aca="false">IF(B1927=-1, -1, VLOOKUP(MOD(B1927,28), $T$24:$U$52,2))</f>
        <v>1</v>
      </c>
      <c r="F1927" s="16" t="n">
        <f aca="false">IF($B1927=-1, -1, VLOOKUP(C1927,$T$1:$V$20, 2))</f>
        <v>17</v>
      </c>
      <c r="G1927" s="16" t="n">
        <f aca="false">IF($B1927=-1, -1, VLOOKUP(D1927,$Y$1:$Z$22,2))</f>
        <v>5</v>
      </c>
      <c r="H1927" s="16" t="str">
        <f aca="false">_xlfn.UNICHAR(((F1927*21)+G1927)*28+44032)</f>
        <v>페</v>
      </c>
      <c r="I1927" s="16" t="n">
        <f aca="false">IF(B1927=-1, 1, COUNTIF($A$2:$A$3000, H1927))</f>
        <v>1</v>
      </c>
      <c r="J1927" s="10" t="str">
        <f aca="false">_xlfn.CONCAT(A1927, ",",H1927,",",I1927)</f>
        <v>측,페,1</v>
      </c>
      <c r="K1927" s="16" t="n">
        <f aca="false">IF(B1927=-1,-1,VLOOKUP(C1927,$T$1:$V$20,3))</f>
        <v>19</v>
      </c>
      <c r="L1927" s="16" t="n">
        <f aca="false">IF(B1927=-1,-1,VLOOKUP(D1927,$Y$1:$AA$22,3))</f>
        <v>18</v>
      </c>
      <c r="N1927" s="10" t="str">
        <f aca="false">_xlfn.UNICHAR(((C1927*21)+G1927)*28+44032)</f>
        <v>체</v>
      </c>
      <c r="O1927" s="10" t="str">
        <f aca="false">_xlfn.UNICHAR(((F1927*21)+D1927)*28+44032)</f>
        <v>프</v>
      </c>
      <c r="P1927" s="12" t="n">
        <f aca="false">COUNTIF($A$2:$A$3000, N1927) + COUNTIF($A$2:$A$3000, O1927)</f>
        <v>2</v>
      </c>
      <c r="Q1927" s="16" t="str">
        <f aca="false">IF(OR(B1927=-1,I1927=0, P1927&lt;&gt;2), "albhed_dummy", _xlfn.CONCAT("albhed ", RIGHT("  " &amp; K1927,2),", ", RIGHT("  " &amp; L1927,2), ", " ,"""",H1927,""", ", """",N1927,""", ","""",O1927,""""," ; ", A1927))</f>
        <v>albhed 19, 18, "페", "체", "프" ; 측</v>
      </c>
    </row>
    <row r="1928" customFormat="false" ht="17.9" hidden="false" customHeight="true" outlineLevel="0" collapsed="false">
      <c r="A1928" s="16" t="s">
        <v>2778</v>
      </c>
      <c r="B1928" s="16" t="n">
        <f aca="false">IF(_xlfn.UNICODE(A1928)&lt;44032,-1,_xlfn.UNICODE(A1928)-44032)</f>
        <v>8740</v>
      </c>
      <c r="C1928" s="16" t="n">
        <f aca="false">IF(B1928=-1,-1,INT((B1928/28)/21))</f>
        <v>14</v>
      </c>
      <c r="D1928" s="16" t="n">
        <f aca="false">IF(B1928=-1, -1, MOD(INT(B1928/28),21))</f>
        <v>18</v>
      </c>
      <c r="E1928" s="16" t="n">
        <f aca="false">IF(B1928=-1, -1, VLOOKUP(MOD(B1928,28), $T$24:$U$52,2))</f>
        <v>4</v>
      </c>
      <c r="F1928" s="16" t="n">
        <f aca="false">IF($B1928=-1, -1, VLOOKUP(C1928,$T$1:$V$20, 2))</f>
        <v>17</v>
      </c>
      <c r="G1928" s="16" t="n">
        <f aca="false">IF($B1928=-1, -1, VLOOKUP(D1928,$Y$1:$Z$22,2))</f>
        <v>5</v>
      </c>
      <c r="H1928" s="16" t="str">
        <f aca="false">_xlfn.UNICHAR(((F1928*21)+G1928)*28+44032)</f>
        <v>페</v>
      </c>
      <c r="I1928" s="16" t="n">
        <f aca="false">IF(B1928=-1, 1, COUNTIF($A$2:$A$3000, H1928))</f>
        <v>1</v>
      </c>
      <c r="J1928" s="10" t="str">
        <f aca="false">_xlfn.CONCAT(A1928, ",",H1928,",",I1928)</f>
        <v>츤,페,1</v>
      </c>
      <c r="K1928" s="16" t="n">
        <f aca="false">IF(B1928=-1,-1,VLOOKUP(C1928,$T$1:$V$20,3))</f>
        <v>19</v>
      </c>
      <c r="L1928" s="16" t="n">
        <f aca="false">IF(B1928=-1,-1,VLOOKUP(D1928,$Y$1:$AA$22,3))</f>
        <v>18</v>
      </c>
      <c r="N1928" s="10" t="str">
        <f aca="false">_xlfn.UNICHAR(((C1928*21)+G1928)*28+44032)</f>
        <v>체</v>
      </c>
      <c r="O1928" s="10" t="str">
        <f aca="false">_xlfn.UNICHAR(((F1928*21)+D1928)*28+44032)</f>
        <v>프</v>
      </c>
      <c r="P1928" s="12" t="n">
        <f aca="false">COUNTIF($A$2:$A$3000, N1928) + COUNTIF($A$2:$A$3000, O1928)</f>
        <v>2</v>
      </c>
      <c r="Q1928" s="16" t="str">
        <f aca="false">IF(OR(B1928=-1,I1928=0, P1928&lt;&gt;2), "albhed_dummy", _xlfn.CONCAT("albhed ", RIGHT("  " &amp; K1928,2),", ", RIGHT("  " &amp; L1928,2), ", " ,"""",H1928,""", ", """",N1928,""", ","""",O1928,""""," ; ", A1928))</f>
        <v>albhed 19, 18, "페", "체", "프" ; 츤</v>
      </c>
    </row>
    <row r="1929" customFormat="false" ht="17.9" hidden="false" customHeight="true" outlineLevel="0" collapsed="false">
      <c r="A1929" s="16" t="s">
        <v>2779</v>
      </c>
      <c r="B1929" s="16" t="n">
        <f aca="false">IF(_xlfn.UNICODE(A1929)&lt;44032,-1,_xlfn.UNICODE(A1929)-44032)</f>
        <v>8744</v>
      </c>
      <c r="C1929" s="16" t="n">
        <f aca="false">IF(B1929=-1,-1,INT((B1929/28)/21))</f>
        <v>14</v>
      </c>
      <c r="D1929" s="16" t="n">
        <f aca="false">IF(B1929=-1, -1, MOD(INT(B1929/28),21))</f>
        <v>18</v>
      </c>
      <c r="E1929" s="16" t="n">
        <f aca="false">IF(B1929=-1, -1, VLOOKUP(MOD(B1929,28), $T$24:$U$52,2))</f>
        <v>8</v>
      </c>
      <c r="F1929" s="16" t="n">
        <f aca="false">IF($B1929=-1, -1, VLOOKUP(C1929,$T$1:$V$20, 2))</f>
        <v>17</v>
      </c>
      <c r="G1929" s="16" t="n">
        <f aca="false">IF($B1929=-1, -1, VLOOKUP(D1929,$Y$1:$Z$22,2))</f>
        <v>5</v>
      </c>
      <c r="H1929" s="16" t="str">
        <f aca="false">_xlfn.UNICHAR(((F1929*21)+G1929)*28+44032)</f>
        <v>페</v>
      </c>
      <c r="I1929" s="16" t="n">
        <f aca="false">IF(B1929=-1, 1, COUNTIF($A$2:$A$3000, H1929))</f>
        <v>1</v>
      </c>
      <c r="J1929" s="10" t="str">
        <f aca="false">_xlfn.CONCAT(A1929, ",",H1929,",",I1929)</f>
        <v>츨,페,1</v>
      </c>
      <c r="K1929" s="16" t="n">
        <f aca="false">IF(B1929=-1,-1,VLOOKUP(C1929,$T$1:$V$20,3))</f>
        <v>19</v>
      </c>
      <c r="L1929" s="16" t="n">
        <f aca="false">IF(B1929=-1,-1,VLOOKUP(D1929,$Y$1:$AA$22,3))</f>
        <v>18</v>
      </c>
      <c r="N1929" s="10" t="str">
        <f aca="false">_xlfn.UNICHAR(((C1929*21)+G1929)*28+44032)</f>
        <v>체</v>
      </c>
      <c r="O1929" s="10" t="str">
        <f aca="false">_xlfn.UNICHAR(((F1929*21)+D1929)*28+44032)</f>
        <v>프</v>
      </c>
      <c r="P1929" s="12" t="n">
        <f aca="false">COUNTIF($A$2:$A$3000, N1929) + COUNTIF($A$2:$A$3000, O1929)</f>
        <v>2</v>
      </c>
      <c r="Q1929" s="16" t="str">
        <f aca="false">IF(OR(B1929=-1,I1929=0, P1929&lt;&gt;2), "albhed_dummy", _xlfn.CONCAT("albhed ", RIGHT("  " &amp; K1929,2),", ", RIGHT("  " &amp; L1929,2), ", " ,"""",H1929,""", ", """",N1929,""", ","""",O1929,""""," ; ", A1929))</f>
        <v>albhed 19, 18, "페", "체", "프" ; 츨</v>
      </c>
    </row>
    <row r="1930" customFormat="false" ht="17.9" hidden="false" customHeight="true" outlineLevel="0" collapsed="false">
      <c r="A1930" s="16" t="s">
        <v>2780</v>
      </c>
      <c r="B1930" s="16" t="n">
        <f aca="false">IF(_xlfn.UNICODE(A1930)&lt;44032,-1,_xlfn.UNICODE(A1930)-44032)</f>
        <v>8752</v>
      </c>
      <c r="C1930" s="16" t="n">
        <f aca="false">IF(B1930=-1,-1,INT((B1930/28)/21))</f>
        <v>14</v>
      </c>
      <c r="D1930" s="16" t="n">
        <f aca="false">IF(B1930=-1, -1, MOD(INT(B1930/28),21))</f>
        <v>18</v>
      </c>
      <c r="E1930" s="16" t="n">
        <f aca="false">IF(B1930=-1, -1, VLOOKUP(MOD(B1930,28), $T$24:$U$52,2))</f>
        <v>16</v>
      </c>
      <c r="F1930" s="16" t="n">
        <f aca="false">IF($B1930=-1, -1, VLOOKUP(C1930,$T$1:$V$20, 2))</f>
        <v>17</v>
      </c>
      <c r="G1930" s="16" t="n">
        <f aca="false">IF($B1930=-1, -1, VLOOKUP(D1930,$Y$1:$Z$22,2))</f>
        <v>5</v>
      </c>
      <c r="H1930" s="16" t="str">
        <f aca="false">_xlfn.UNICHAR(((F1930*21)+G1930)*28+44032)</f>
        <v>페</v>
      </c>
      <c r="I1930" s="16" t="n">
        <f aca="false">IF(B1930=-1, 1, COUNTIF($A$2:$A$3000, H1930))</f>
        <v>1</v>
      </c>
      <c r="J1930" s="10" t="str">
        <f aca="false">_xlfn.CONCAT(A1930, ",",H1930,",",I1930)</f>
        <v>츰,페,1</v>
      </c>
      <c r="K1930" s="16" t="n">
        <f aca="false">IF(B1930=-1,-1,VLOOKUP(C1930,$T$1:$V$20,3))</f>
        <v>19</v>
      </c>
      <c r="L1930" s="16" t="n">
        <f aca="false">IF(B1930=-1,-1,VLOOKUP(D1930,$Y$1:$AA$22,3))</f>
        <v>18</v>
      </c>
      <c r="N1930" s="10" t="str">
        <f aca="false">_xlfn.UNICHAR(((C1930*21)+G1930)*28+44032)</f>
        <v>체</v>
      </c>
      <c r="O1930" s="10" t="str">
        <f aca="false">_xlfn.UNICHAR(((F1930*21)+D1930)*28+44032)</f>
        <v>프</v>
      </c>
      <c r="P1930" s="12" t="n">
        <f aca="false">COUNTIF($A$2:$A$3000, N1930) + COUNTIF($A$2:$A$3000, O1930)</f>
        <v>2</v>
      </c>
      <c r="Q1930" s="16" t="str">
        <f aca="false">IF(OR(B1930=-1,I1930=0, P1930&lt;&gt;2), "albhed_dummy", _xlfn.CONCAT("albhed ", RIGHT("  " &amp; K1930,2),", ", RIGHT("  " &amp; L1930,2), ", " ,"""",H1930,""", ", """",N1930,""", ","""",O1930,""""," ; ", A1930))</f>
        <v>albhed 19, 18, "페", "체", "프" ; 츰</v>
      </c>
    </row>
    <row r="1931" customFormat="false" ht="17.9" hidden="false" customHeight="true" outlineLevel="0" collapsed="false">
      <c r="A1931" s="16" t="s">
        <v>2781</v>
      </c>
      <c r="B1931" s="16" t="n">
        <f aca="false">IF(_xlfn.UNICODE(A1931)&lt;44032,-1,_xlfn.UNICODE(A1931)-44032)</f>
        <v>8753</v>
      </c>
      <c r="C1931" s="16" t="n">
        <f aca="false">IF(B1931=-1,-1,INT((B1931/28)/21))</f>
        <v>14</v>
      </c>
      <c r="D1931" s="16" t="n">
        <f aca="false">IF(B1931=-1, -1, MOD(INT(B1931/28),21))</f>
        <v>18</v>
      </c>
      <c r="E1931" s="16" t="n">
        <f aca="false">IF(B1931=-1, -1, VLOOKUP(MOD(B1931,28), $T$24:$U$52,2))</f>
        <v>17</v>
      </c>
      <c r="F1931" s="16" t="n">
        <f aca="false">IF($B1931=-1, -1, VLOOKUP(C1931,$T$1:$V$20, 2))</f>
        <v>17</v>
      </c>
      <c r="G1931" s="16" t="n">
        <f aca="false">IF($B1931=-1, -1, VLOOKUP(D1931,$Y$1:$Z$22,2))</f>
        <v>5</v>
      </c>
      <c r="H1931" s="16" t="str">
        <f aca="false">_xlfn.UNICHAR(((F1931*21)+G1931)*28+44032)</f>
        <v>페</v>
      </c>
      <c r="I1931" s="16" t="n">
        <f aca="false">IF(B1931=-1, 1, COUNTIF($A$2:$A$3000, H1931))</f>
        <v>1</v>
      </c>
      <c r="J1931" s="10" t="str">
        <f aca="false">_xlfn.CONCAT(A1931, ",",H1931,",",I1931)</f>
        <v>츱,페,1</v>
      </c>
      <c r="K1931" s="16" t="n">
        <f aca="false">IF(B1931=-1,-1,VLOOKUP(C1931,$T$1:$V$20,3))</f>
        <v>19</v>
      </c>
      <c r="L1931" s="16" t="n">
        <f aca="false">IF(B1931=-1,-1,VLOOKUP(D1931,$Y$1:$AA$22,3))</f>
        <v>18</v>
      </c>
      <c r="N1931" s="10" t="str">
        <f aca="false">_xlfn.UNICHAR(((C1931*21)+G1931)*28+44032)</f>
        <v>체</v>
      </c>
      <c r="O1931" s="10" t="str">
        <f aca="false">_xlfn.UNICHAR(((F1931*21)+D1931)*28+44032)</f>
        <v>프</v>
      </c>
      <c r="P1931" s="12" t="n">
        <f aca="false">COUNTIF($A$2:$A$3000, N1931) + COUNTIF($A$2:$A$3000, O1931)</f>
        <v>2</v>
      </c>
      <c r="Q1931" s="16" t="str">
        <f aca="false">IF(OR(B1931=-1,I1931=0, P1931&lt;&gt;2), "albhed_dummy", _xlfn.CONCAT("albhed ", RIGHT("  " &amp; K1931,2),", ", RIGHT("  " &amp; L1931,2), ", " ,"""",H1931,""", ", """",N1931,""", ","""",O1931,""""," ; ", A1931))</f>
        <v>albhed 19, 18, "페", "체", "프" ; 츱</v>
      </c>
    </row>
    <row r="1932" customFormat="false" ht="17.9" hidden="false" customHeight="true" outlineLevel="0" collapsed="false">
      <c r="A1932" s="16" t="s">
        <v>2782</v>
      </c>
      <c r="B1932" s="16" t="n">
        <f aca="false">IF(_xlfn.UNICODE(A1932)&lt;44032,-1,_xlfn.UNICODE(A1932)-44032)</f>
        <v>8755</v>
      </c>
      <c r="C1932" s="16" t="n">
        <f aca="false">IF(B1932=-1,-1,INT((B1932/28)/21))</f>
        <v>14</v>
      </c>
      <c r="D1932" s="16" t="n">
        <f aca="false">IF(B1932=-1, -1, MOD(INT(B1932/28),21))</f>
        <v>18</v>
      </c>
      <c r="E1932" s="16" t="n">
        <f aca="false">IF(B1932=-1, -1, VLOOKUP(MOD(B1932,28), $T$24:$U$52,2))</f>
        <v>19</v>
      </c>
      <c r="F1932" s="16" t="n">
        <f aca="false">IF($B1932=-1, -1, VLOOKUP(C1932,$T$1:$V$20, 2))</f>
        <v>17</v>
      </c>
      <c r="G1932" s="16" t="n">
        <f aca="false">IF($B1932=-1, -1, VLOOKUP(D1932,$Y$1:$Z$22,2))</f>
        <v>5</v>
      </c>
      <c r="H1932" s="16" t="str">
        <f aca="false">_xlfn.UNICHAR(((F1932*21)+G1932)*28+44032)</f>
        <v>페</v>
      </c>
      <c r="I1932" s="16" t="n">
        <f aca="false">IF(B1932=-1, 1, COUNTIF($A$2:$A$3000, H1932))</f>
        <v>1</v>
      </c>
      <c r="J1932" s="10" t="str">
        <f aca="false">_xlfn.CONCAT(A1932, ",",H1932,",",I1932)</f>
        <v>츳,페,1</v>
      </c>
      <c r="K1932" s="16" t="n">
        <f aca="false">IF(B1932=-1,-1,VLOOKUP(C1932,$T$1:$V$20,3))</f>
        <v>19</v>
      </c>
      <c r="L1932" s="16" t="n">
        <f aca="false">IF(B1932=-1,-1,VLOOKUP(D1932,$Y$1:$AA$22,3))</f>
        <v>18</v>
      </c>
      <c r="N1932" s="10" t="str">
        <f aca="false">_xlfn.UNICHAR(((C1932*21)+G1932)*28+44032)</f>
        <v>체</v>
      </c>
      <c r="O1932" s="10" t="str">
        <f aca="false">_xlfn.UNICHAR(((F1932*21)+D1932)*28+44032)</f>
        <v>프</v>
      </c>
      <c r="P1932" s="12" t="n">
        <f aca="false">COUNTIF($A$2:$A$3000, N1932) + COUNTIF($A$2:$A$3000, O1932)</f>
        <v>2</v>
      </c>
      <c r="Q1932" s="16" t="str">
        <f aca="false">IF(OR(B1932=-1,I1932=0, P1932&lt;&gt;2), "albhed_dummy", _xlfn.CONCAT("albhed ", RIGHT("  " &amp; K1932,2),", ", RIGHT("  " &amp; L1932,2), ", " ,"""",H1932,""", ", """",N1932,""", ","""",O1932,""""," ; ", A1932))</f>
        <v>albhed 19, 18, "페", "체", "프" ; 츳</v>
      </c>
    </row>
    <row r="1933" customFormat="false" ht="17.9" hidden="false" customHeight="true" outlineLevel="0" collapsed="false">
      <c r="A1933" s="16" t="s">
        <v>2783</v>
      </c>
      <c r="B1933" s="16" t="n">
        <f aca="false">IF(_xlfn.UNICODE(A1933)&lt;44032,-1,_xlfn.UNICODE(A1933)-44032)</f>
        <v>8757</v>
      </c>
      <c r="C1933" s="16" t="n">
        <f aca="false">IF(B1933=-1,-1,INT((B1933/28)/21))</f>
        <v>14</v>
      </c>
      <c r="D1933" s="16" t="n">
        <f aca="false">IF(B1933=-1, -1, MOD(INT(B1933/28),21))</f>
        <v>18</v>
      </c>
      <c r="E1933" s="16" t="n">
        <f aca="false">IF(B1933=-1, -1, VLOOKUP(MOD(B1933,28), $T$24:$U$52,2))</f>
        <v>21</v>
      </c>
      <c r="F1933" s="16" t="n">
        <f aca="false">IF($B1933=-1, -1, VLOOKUP(C1933,$T$1:$V$20, 2))</f>
        <v>17</v>
      </c>
      <c r="G1933" s="16" t="n">
        <f aca="false">IF($B1933=-1, -1, VLOOKUP(D1933,$Y$1:$Z$22,2))</f>
        <v>5</v>
      </c>
      <c r="H1933" s="16" t="str">
        <f aca="false">_xlfn.UNICHAR(((F1933*21)+G1933)*28+44032)</f>
        <v>페</v>
      </c>
      <c r="I1933" s="16" t="n">
        <f aca="false">IF(B1933=-1, 1, COUNTIF($A$2:$A$3000, H1933))</f>
        <v>1</v>
      </c>
      <c r="J1933" s="10" t="str">
        <f aca="false">_xlfn.CONCAT(A1933, ",",H1933,",",I1933)</f>
        <v>층,페,1</v>
      </c>
      <c r="K1933" s="16" t="n">
        <f aca="false">IF(B1933=-1,-1,VLOOKUP(C1933,$T$1:$V$20,3))</f>
        <v>19</v>
      </c>
      <c r="L1933" s="16" t="n">
        <f aca="false">IF(B1933=-1,-1,VLOOKUP(D1933,$Y$1:$AA$22,3))</f>
        <v>18</v>
      </c>
      <c r="N1933" s="10" t="str">
        <f aca="false">_xlfn.UNICHAR(((C1933*21)+G1933)*28+44032)</f>
        <v>체</v>
      </c>
      <c r="O1933" s="10" t="str">
        <f aca="false">_xlfn.UNICHAR(((F1933*21)+D1933)*28+44032)</f>
        <v>프</v>
      </c>
      <c r="P1933" s="12" t="n">
        <f aca="false">COUNTIF($A$2:$A$3000, N1933) + COUNTIF($A$2:$A$3000, O1933)</f>
        <v>2</v>
      </c>
      <c r="Q1933" s="16" t="str">
        <f aca="false">IF(OR(B1933=-1,I1933=0, P1933&lt;&gt;2), "albhed_dummy", _xlfn.CONCAT("albhed ", RIGHT("  " &amp; K1933,2),", ", RIGHT("  " &amp; L1933,2), ", " ,"""",H1933,""", ", """",N1933,""", ","""",O1933,""""," ; ", A1933))</f>
        <v>albhed 19, 18, "페", "체", "프" ; 층</v>
      </c>
    </row>
    <row r="1934" customFormat="false" ht="17.9" hidden="false" customHeight="true" outlineLevel="0" collapsed="false">
      <c r="A1934" s="16" t="s">
        <v>2784</v>
      </c>
      <c r="B1934" s="16" t="n">
        <f aca="false">IF(_xlfn.UNICODE(A1934)&lt;44032,-1,_xlfn.UNICODE(A1934)-44032)</f>
        <v>8792</v>
      </c>
      <c r="C1934" s="16" t="n">
        <f aca="false">IF(B1934=-1,-1,INT((B1934/28)/21))</f>
        <v>14</v>
      </c>
      <c r="D1934" s="16" t="n">
        <f aca="false">IF(B1934=-1, -1, MOD(INT(B1934/28),21))</f>
        <v>20</v>
      </c>
      <c r="E1934" s="16" t="n">
        <f aca="false">IF(B1934=-1, -1, VLOOKUP(MOD(B1934,28), $T$24:$U$52,2))</f>
        <v>0</v>
      </c>
      <c r="F1934" s="16" t="n">
        <f aca="false">IF($B1934=-1, -1, VLOOKUP(C1934,$T$1:$V$20, 2))</f>
        <v>17</v>
      </c>
      <c r="G1934" s="16" t="n">
        <f aca="false">IF($B1934=-1, -1, VLOOKUP(D1934,$Y$1:$Z$22,2))</f>
        <v>5</v>
      </c>
      <c r="H1934" s="16" t="str">
        <f aca="false">_xlfn.UNICHAR(((F1934*21)+G1934)*28+44032)</f>
        <v>페</v>
      </c>
      <c r="I1934" s="16" t="n">
        <f aca="false">IF(B1934=-1, 1, COUNTIF($A$2:$A$3000, H1934))</f>
        <v>1</v>
      </c>
      <c r="J1934" s="10" t="str">
        <f aca="false">_xlfn.CONCAT(A1934, ",",H1934,",",I1934)</f>
        <v>치,페,1</v>
      </c>
      <c r="K1934" s="16" t="n">
        <f aca="false">IF(B1934=-1,-1,VLOOKUP(C1934,$T$1:$V$20,3))</f>
        <v>19</v>
      </c>
      <c r="L1934" s="16" t="n">
        <f aca="false">IF(B1934=-1,-1,VLOOKUP(D1934,$Y$1:$AA$22,3))</f>
        <v>20</v>
      </c>
      <c r="N1934" s="10" t="str">
        <f aca="false">_xlfn.UNICHAR(((C1934*21)+G1934)*28+44032)</f>
        <v>체</v>
      </c>
      <c r="O1934" s="10" t="str">
        <f aca="false">_xlfn.UNICHAR(((F1934*21)+D1934)*28+44032)</f>
        <v>피</v>
      </c>
      <c r="P1934" s="12" t="n">
        <f aca="false">COUNTIF($A$2:$A$3000, N1934) + COUNTIF($A$2:$A$3000, O1934)</f>
        <v>2</v>
      </c>
      <c r="Q1934" s="16" t="str">
        <f aca="false">IF(OR(B1934=-1,I1934=0, P1934&lt;&gt;2), "albhed_dummy", _xlfn.CONCAT("albhed ", RIGHT("  " &amp; K1934,2),", ", RIGHT("  " &amp; L1934,2), ", " ,"""",H1934,""", ", """",N1934,""", ","""",O1934,""""," ; ", A1934))</f>
        <v>albhed 19, 20, "페", "체", "피" ; 치</v>
      </c>
    </row>
    <row r="1935" customFormat="false" ht="17.9" hidden="false" customHeight="true" outlineLevel="0" collapsed="false">
      <c r="A1935" s="16" t="s">
        <v>2785</v>
      </c>
      <c r="B1935" s="16" t="n">
        <f aca="false">IF(_xlfn.UNICODE(A1935)&lt;44032,-1,_xlfn.UNICODE(A1935)-44032)</f>
        <v>8793</v>
      </c>
      <c r="C1935" s="16" t="n">
        <f aca="false">IF(B1935=-1,-1,INT((B1935/28)/21))</f>
        <v>14</v>
      </c>
      <c r="D1935" s="16" t="n">
        <f aca="false">IF(B1935=-1, -1, MOD(INT(B1935/28),21))</f>
        <v>20</v>
      </c>
      <c r="E1935" s="16" t="n">
        <f aca="false">IF(B1935=-1, -1, VLOOKUP(MOD(B1935,28), $T$24:$U$52,2))</f>
        <v>1</v>
      </c>
      <c r="F1935" s="16" t="n">
        <f aca="false">IF($B1935=-1, -1, VLOOKUP(C1935,$T$1:$V$20, 2))</f>
        <v>17</v>
      </c>
      <c r="G1935" s="16" t="n">
        <f aca="false">IF($B1935=-1, -1, VLOOKUP(D1935,$Y$1:$Z$22,2))</f>
        <v>5</v>
      </c>
      <c r="H1935" s="16" t="str">
        <f aca="false">_xlfn.UNICHAR(((F1935*21)+G1935)*28+44032)</f>
        <v>페</v>
      </c>
      <c r="I1935" s="16" t="n">
        <f aca="false">IF(B1935=-1, 1, COUNTIF($A$2:$A$3000, H1935))</f>
        <v>1</v>
      </c>
      <c r="J1935" s="10" t="str">
        <f aca="false">_xlfn.CONCAT(A1935, ",",H1935,",",I1935)</f>
        <v>칙,페,1</v>
      </c>
      <c r="K1935" s="16" t="n">
        <f aca="false">IF(B1935=-1,-1,VLOOKUP(C1935,$T$1:$V$20,3))</f>
        <v>19</v>
      </c>
      <c r="L1935" s="16" t="n">
        <f aca="false">IF(B1935=-1,-1,VLOOKUP(D1935,$Y$1:$AA$22,3))</f>
        <v>20</v>
      </c>
      <c r="N1935" s="10" t="str">
        <f aca="false">_xlfn.UNICHAR(((C1935*21)+G1935)*28+44032)</f>
        <v>체</v>
      </c>
      <c r="O1935" s="10" t="str">
        <f aca="false">_xlfn.UNICHAR(((F1935*21)+D1935)*28+44032)</f>
        <v>피</v>
      </c>
      <c r="P1935" s="12" t="n">
        <f aca="false">COUNTIF($A$2:$A$3000, N1935) + COUNTIF($A$2:$A$3000, O1935)</f>
        <v>2</v>
      </c>
      <c r="Q1935" s="16" t="str">
        <f aca="false">IF(OR(B1935=-1,I1935=0, P1935&lt;&gt;2), "albhed_dummy", _xlfn.CONCAT("albhed ", RIGHT("  " &amp; K1935,2),", ", RIGHT("  " &amp; L1935,2), ", " ,"""",H1935,""", ", """",N1935,""", ","""",O1935,""""," ; ", A1935))</f>
        <v>albhed 19, 20, "페", "체", "피" ; 칙</v>
      </c>
    </row>
    <row r="1936" customFormat="false" ht="17.9" hidden="false" customHeight="true" outlineLevel="0" collapsed="false">
      <c r="A1936" s="16" t="s">
        <v>2786</v>
      </c>
      <c r="B1936" s="16" t="n">
        <f aca="false">IF(_xlfn.UNICODE(A1936)&lt;44032,-1,_xlfn.UNICODE(A1936)-44032)</f>
        <v>8796</v>
      </c>
      <c r="C1936" s="16" t="n">
        <f aca="false">IF(B1936=-1,-1,INT((B1936/28)/21))</f>
        <v>14</v>
      </c>
      <c r="D1936" s="16" t="n">
        <f aca="false">IF(B1936=-1, -1, MOD(INT(B1936/28),21))</f>
        <v>20</v>
      </c>
      <c r="E1936" s="16" t="n">
        <f aca="false">IF(B1936=-1, -1, VLOOKUP(MOD(B1936,28), $T$24:$U$52,2))</f>
        <v>4</v>
      </c>
      <c r="F1936" s="16" t="n">
        <f aca="false">IF($B1936=-1, -1, VLOOKUP(C1936,$T$1:$V$20, 2))</f>
        <v>17</v>
      </c>
      <c r="G1936" s="16" t="n">
        <f aca="false">IF($B1936=-1, -1, VLOOKUP(D1936,$Y$1:$Z$22,2))</f>
        <v>5</v>
      </c>
      <c r="H1936" s="16" t="str">
        <f aca="false">_xlfn.UNICHAR(((F1936*21)+G1936)*28+44032)</f>
        <v>페</v>
      </c>
      <c r="I1936" s="16" t="n">
        <f aca="false">IF(B1936=-1, 1, COUNTIF($A$2:$A$3000, H1936))</f>
        <v>1</v>
      </c>
      <c r="J1936" s="10" t="str">
        <f aca="false">_xlfn.CONCAT(A1936, ",",H1936,",",I1936)</f>
        <v>친,페,1</v>
      </c>
      <c r="K1936" s="16" t="n">
        <f aca="false">IF(B1936=-1,-1,VLOOKUP(C1936,$T$1:$V$20,3))</f>
        <v>19</v>
      </c>
      <c r="L1936" s="16" t="n">
        <f aca="false">IF(B1936=-1,-1,VLOOKUP(D1936,$Y$1:$AA$22,3))</f>
        <v>20</v>
      </c>
      <c r="N1936" s="10" t="str">
        <f aca="false">_xlfn.UNICHAR(((C1936*21)+G1936)*28+44032)</f>
        <v>체</v>
      </c>
      <c r="O1936" s="10" t="str">
        <f aca="false">_xlfn.UNICHAR(((F1936*21)+D1936)*28+44032)</f>
        <v>피</v>
      </c>
      <c r="P1936" s="12" t="n">
        <f aca="false">COUNTIF($A$2:$A$3000, N1936) + COUNTIF($A$2:$A$3000, O1936)</f>
        <v>2</v>
      </c>
      <c r="Q1936" s="16" t="str">
        <f aca="false">IF(OR(B1936=-1,I1936=0, P1936&lt;&gt;2), "albhed_dummy", _xlfn.CONCAT("albhed ", RIGHT("  " &amp; K1936,2),", ", RIGHT("  " &amp; L1936,2), ", " ,"""",H1936,""", ", """",N1936,""", ","""",O1936,""""," ; ", A1936))</f>
        <v>albhed 19, 20, "페", "체", "피" ; 친</v>
      </c>
    </row>
    <row r="1937" customFormat="false" ht="17.9" hidden="false" customHeight="true" outlineLevel="0" collapsed="false">
      <c r="A1937" s="16" t="s">
        <v>2787</v>
      </c>
      <c r="B1937" s="16" t="n">
        <f aca="false">IF(_xlfn.UNICODE(A1937)&lt;44032,-1,_xlfn.UNICODE(A1937)-44032)</f>
        <v>8799</v>
      </c>
      <c r="C1937" s="16" t="n">
        <f aca="false">IF(B1937=-1,-1,INT((B1937/28)/21))</f>
        <v>14</v>
      </c>
      <c r="D1937" s="16" t="n">
        <f aca="false">IF(B1937=-1, -1, MOD(INT(B1937/28),21))</f>
        <v>20</v>
      </c>
      <c r="E1937" s="16" t="n">
        <f aca="false">IF(B1937=-1, -1, VLOOKUP(MOD(B1937,28), $T$24:$U$52,2))</f>
        <v>19</v>
      </c>
      <c r="F1937" s="16" t="n">
        <f aca="false">IF($B1937=-1, -1, VLOOKUP(C1937,$T$1:$V$20, 2))</f>
        <v>17</v>
      </c>
      <c r="G1937" s="16" t="n">
        <f aca="false">IF($B1937=-1, -1, VLOOKUP(D1937,$Y$1:$Z$22,2))</f>
        <v>5</v>
      </c>
      <c r="H1937" s="16" t="str">
        <f aca="false">_xlfn.UNICHAR(((F1937*21)+G1937)*28+44032)</f>
        <v>페</v>
      </c>
      <c r="I1937" s="16" t="n">
        <f aca="false">IF(B1937=-1, 1, COUNTIF($A$2:$A$3000, H1937))</f>
        <v>1</v>
      </c>
      <c r="J1937" s="10" t="str">
        <f aca="false">_xlfn.CONCAT(A1937, ",",H1937,",",I1937)</f>
        <v>칟,페,1</v>
      </c>
      <c r="K1937" s="16" t="n">
        <f aca="false">IF(B1937=-1,-1,VLOOKUP(C1937,$T$1:$V$20,3))</f>
        <v>19</v>
      </c>
      <c r="L1937" s="16" t="n">
        <f aca="false">IF(B1937=-1,-1,VLOOKUP(D1937,$Y$1:$AA$22,3))</f>
        <v>20</v>
      </c>
      <c r="N1937" s="10" t="str">
        <f aca="false">_xlfn.UNICHAR(((C1937*21)+G1937)*28+44032)</f>
        <v>체</v>
      </c>
      <c r="O1937" s="10" t="str">
        <f aca="false">_xlfn.UNICHAR(((F1937*21)+D1937)*28+44032)</f>
        <v>피</v>
      </c>
      <c r="P1937" s="12" t="n">
        <f aca="false">COUNTIF($A$2:$A$3000, N1937) + COUNTIF($A$2:$A$3000, O1937)</f>
        <v>2</v>
      </c>
      <c r="Q1937" s="16" t="str">
        <f aca="false">IF(OR(B1937=-1,I1937=0, P1937&lt;&gt;2), "albhed_dummy", _xlfn.CONCAT("albhed ", RIGHT("  " &amp; K1937,2),", ", RIGHT("  " &amp; L1937,2), ", " ,"""",H1937,""", ", """",N1937,""", ","""",O1937,""""," ; ", A1937))</f>
        <v>albhed 19, 20, "페", "체", "피" ; 칟</v>
      </c>
    </row>
    <row r="1938" customFormat="false" ht="17.9" hidden="false" customHeight="true" outlineLevel="0" collapsed="false">
      <c r="A1938" s="16" t="s">
        <v>2788</v>
      </c>
      <c r="B1938" s="16" t="n">
        <f aca="false">IF(_xlfn.UNICODE(A1938)&lt;44032,-1,_xlfn.UNICODE(A1938)-44032)</f>
        <v>8800</v>
      </c>
      <c r="C1938" s="16" t="n">
        <f aca="false">IF(B1938=-1,-1,INT((B1938/28)/21))</f>
        <v>14</v>
      </c>
      <c r="D1938" s="16" t="n">
        <f aca="false">IF(B1938=-1, -1, MOD(INT(B1938/28),21))</f>
        <v>20</v>
      </c>
      <c r="E1938" s="16" t="n">
        <f aca="false">IF(B1938=-1, -1, VLOOKUP(MOD(B1938,28), $T$24:$U$52,2))</f>
        <v>8</v>
      </c>
      <c r="F1938" s="16" t="n">
        <f aca="false">IF($B1938=-1, -1, VLOOKUP(C1938,$T$1:$V$20, 2))</f>
        <v>17</v>
      </c>
      <c r="G1938" s="16" t="n">
        <f aca="false">IF($B1938=-1, -1, VLOOKUP(D1938,$Y$1:$Z$22,2))</f>
        <v>5</v>
      </c>
      <c r="H1938" s="16" t="str">
        <f aca="false">_xlfn.UNICHAR(((F1938*21)+G1938)*28+44032)</f>
        <v>페</v>
      </c>
      <c r="I1938" s="16" t="n">
        <f aca="false">IF(B1938=-1, 1, COUNTIF($A$2:$A$3000, H1938))</f>
        <v>1</v>
      </c>
      <c r="J1938" s="10" t="str">
        <f aca="false">_xlfn.CONCAT(A1938, ",",H1938,",",I1938)</f>
        <v>칠,페,1</v>
      </c>
      <c r="K1938" s="16" t="n">
        <f aca="false">IF(B1938=-1,-1,VLOOKUP(C1938,$T$1:$V$20,3))</f>
        <v>19</v>
      </c>
      <c r="L1938" s="16" t="n">
        <f aca="false">IF(B1938=-1,-1,VLOOKUP(D1938,$Y$1:$AA$22,3))</f>
        <v>20</v>
      </c>
      <c r="N1938" s="10" t="str">
        <f aca="false">_xlfn.UNICHAR(((C1938*21)+G1938)*28+44032)</f>
        <v>체</v>
      </c>
      <c r="O1938" s="10" t="str">
        <f aca="false">_xlfn.UNICHAR(((F1938*21)+D1938)*28+44032)</f>
        <v>피</v>
      </c>
      <c r="P1938" s="12" t="n">
        <f aca="false">COUNTIF($A$2:$A$3000, N1938) + COUNTIF($A$2:$A$3000, O1938)</f>
        <v>2</v>
      </c>
      <c r="Q1938" s="16" t="str">
        <f aca="false">IF(OR(B1938=-1,I1938=0, P1938&lt;&gt;2), "albhed_dummy", _xlfn.CONCAT("albhed ", RIGHT("  " &amp; K1938,2),", ", RIGHT("  " &amp; L1938,2), ", " ,"""",H1938,""", ", """",N1938,""", ","""",O1938,""""," ; ", A1938))</f>
        <v>albhed 19, 20, "페", "체", "피" ; 칠</v>
      </c>
    </row>
    <row r="1939" customFormat="false" ht="17.9" hidden="false" customHeight="true" outlineLevel="0" collapsed="false">
      <c r="A1939" s="16" t="s">
        <v>2789</v>
      </c>
      <c r="B1939" s="16" t="n">
        <f aca="false">IF(_xlfn.UNICODE(A1939)&lt;44032,-1,_xlfn.UNICODE(A1939)-44032)</f>
        <v>8801</v>
      </c>
      <c r="C1939" s="16" t="n">
        <f aca="false">IF(B1939=-1,-1,INT((B1939/28)/21))</f>
        <v>14</v>
      </c>
      <c r="D1939" s="16" t="n">
        <f aca="false">IF(B1939=-1, -1, MOD(INT(B1939/28),21))</f>
        <v>20</v>
      </c>
      <c r="E1939" s="16" t="n">
        <f aca="false">IF(B1939=-1, -1, VLOOKUP(MOD(B1939,28), $T$24:$U$52,2))</f>
        <v>8</v>
      </c>
      <c r="F1939" s="16" t="n">
        <f aca="false">IF($B1939=-1, -1, VLOOKUP(C1939,$T$1:$V$20, 2))</f>
        <v>17</v>
      </c>
      <c r="G1939" s="16" t="n">
        <f aca="false">IF($B1939=-1, -1, VLOOKUP(D1939,$Y$1:$Z$22,2))</f>
        <v>5</v>
      </c>
      <c r="H1939" s="16" t="str">
        <f aca="false">_xlfn.UNICHAR(((F1939*21)+G1939)*28+44032)</f>
        <v>페</v>
      </c>
      <c r="I1939" s="16" t="n">
        <f aca="false">IF(B1939=-1, 1, COUNTIF($A$2:$A$3000, H1939))</f>
        <v>1</v>
      </c>
      <c r="J1939" s="10" t="str">
        <f aca="false">_xlfn.CONCAT(A1939, ",",H1939,",",I1939)</f>
        <v>칡,페,1</v>
      </c>
      <c r="K1939" s="16" t="n">
        <f aca="false">IF(B1939=-1,-1,VLOOKUP(C1939,$T$1:$V$20,3))</f>
        <v>19</v>
      </c>
      <c r="L1939" s="16" t="n">
        <f aca="false">IF(B1939=-1,-1,VLOOKUP(D1939,$Y$1:$AA$22,3))</f>
        <v>20</v>
      </c>
      <c r="N1939" s="10" t="str">
        <f aca="false">_xlfn.UNICHAR(((C1939*21)+G1939)*28+44032)</f>
        <v>체</v>
      </c>
      <c r="O1939" s="10" t="str">
        <f aca="false">_xlfn.UNICHAR(((F1939*21)+D1939)*28+44032)</f>
        <v>피</v>
      </c>
      <c r="P1939" s="12" t="n">
        <f aca="false">COUNTIF($A$2:$A$3000, N1939) + COUNTIF($A$2:$A$3000, O1939)</f>
        <v>2</v>
      </c>
      <c r="Q1939" s="16" t="str">
        <f aca="false">IF(OR(B1939=-1,I1939=0, P1939&lt;&gt;2), "albhed_dummy", _xlfn.CONCAT("albhed ", RIGHT("  " &amp; K1939,2),", ", RIGHT("  " &amp; L1939,2), ", " ,"""",H1939,""", ", """",N1939,""", ","""",O1939,""""," ; ", A1939))</f>
        <v>albhed 19, 20, "페", "체", "피" ; 칡</v>
      </c>
    </row>
    <row r="1940" customFormat="false" ht="17.9" hidden="false" customHeight="true" outlineLevel="0" collapsed="false">
      <c r="A1940" s="16" t="s">
        <v>2790</v>
      </c>
      <c r="B1940" s="16" t="n">
        <f aca="false">IF(_xlfn.UNICODE(A1940)&lt;44032,-1,_xlfn.UNICODE(A1940)-44032)</f>
        <v>8808</v>
      </c>
      <c r="C1940" s="16" t="n">
        <f aca="false">IF(B1940=-1,-1,INT((B1940/28)/21))</f>
        <v>14</v>
      </c>
      <c r="D1940" s="16" t="n">
        <f aca="false">IF(B1940=-1, -1, MOD(INT(B1940/28),21))</f>
        <v>20</v>
      </c>
      <c r="E1940" s="16" t="n">
        <f aca="false">IF(B1940=-1, -1, VLOOKUP(MOD(B1940,28), $T$24:$U$52,2))</f>
        <v>16</v>
      </c>
      <c r="F1940" s="16" t="n">
        <f aca="false">IF($B1940=-1, -1, VLOOKUP(C1940,$T$1:$V$20, 2))</f>
        <v>17</v>
      </c>
      <c r="G1940" s="16" t="n">
        <f aca="false">IF($B1940=-1, -1, VLOOKUP(D1940,$Y$1:$Z$22,2))</f>
        <v>5</v>
      </c>
      <c r="H1940" s="16" t="str">
        <f aca="false">_xlfn.UNICHAR(((F1940*21)+G1940)*28+44032)</f>
        <v>페</v>
      </c>
      <c r="I1940" s="16" t="n">
        <f aca="false">IF(B1940=-1, 1, COUNTIF($A$2:$A$3000, H1940))</f>
        <v>1</v>
      </c>
      <c r="J1940" s="10" t="str">
        <f aca="false">_xlfn.CONCAT(A1940, ",",H1940,",",I1940)</f>
        <v>침,페,1</v>
      </c>
      <c r="K1940" s="16" t="n">
        <f aca="false">IF(B1940=-1,-1,VLOOKUP(C1940,$T$1:$V$20,3))</f>
        <v>19</v>
      </c>
      <c r="L1940" s="16" t="n">
        <f aca="false">IF(B1940=-1,-1,VLOOKUP(D1940,$Y$1:$AA$22,3))</f>
        <v>20</v>
      </c>
      <c r="N1940" s="10" t="str">
        <f aca="false">_xlfn.UNICHAR(((C1940*21)+G1940)*28+44032)</f>
        <v>체</v>
      </c>
      <c r="O1940" s="10" t="str">
        <f aca="false">_xlfn.UNICHAR(((F1940*21)+D1940)*28+44032)</f>
        <v>피</v>
      </c>
      <c r="P1940" s="12" t="n">
        <f aca="false">COUNTIF($A$2:$A$3000, N1940) + COUNTIF($A$2:$A$3000, O1940)</f>
        <v>2</v>
      </c>
      <c r="Q1940" s="16" t="str">
        <f aca="false">IF(OR(B1940=-1,I1940=0, P1940&lt;&gt;2), "albhed_dummy", _xlfn.CONCAT("albhed ", RIGHT("  " &amp; K1940,2),", ", RIGHT("  " &amp; L1940,2), ", " ,"""",H1940,""", ", """",N1940,""", ","""",O1940,""""," ; ", A1940))</f>
        <v>albhed 19, 20, "페", "체", "피" ; 침</v>
      </c>
    </row>
    <row r="1941" customFormat="false" ht="17.9" hidden="false" customHeight="true" outlineLevel="0" collapsed="false">
      <c r="A1941" s="16" t="s">
        <v>2791</v>
      </c>
      <c r="B1941" s="16" t="n">
        <f aca="false">IF(_xlfn.UNICODE(A1941)&lt;44032,-1,_xlfn.UNICODE(A1941)-44032)</f>
        <v>8809</v>
      </c>
      <c r="C1941" s="16" t="n">
        <f aca="false">IF(B1941=-1,-1,INT((B1941/28)/21))</f>
        <v>14</v>
      </c>
      <c r="D1941" s="16" t="n">
        <f aca="false">IF(B1941=-1, -1, MOD(INT(B1941/28),21))</f>
        <v>20</v>
      </c>
      <c r="E1941" s="16" t="n">
        <f aca="false">IF(B1941=-1, -1, VLOOKUP(MOD(B1941,28), $T$24:$U$52,2))</f>
        <v>17</v>
      </c>
      <c r="F1941" s="16" t="n">
        <f aca="false">IF($B1941=-1, -1, VLOOKUP(C1941,$T$1:$V$20, 2))</f>
        <v>17</v>
      </c>
      <c r="G1941" s="16" t="n">
        <f aca="false">IF($B1941=-1, -1, VLOOKUP(D1941,$Y$1:$Z$22,2))</f>
        <v>5</v>
      </c>
      <c r="H1941" s="16" t="str">
        <f aca="false">_xlfn.UNICHAR(((F1941*21)+G1941)*28+44032)</f>
        <v>페</v>
      </c>
      <c r="I1941" s="16" t="n">
        <f aca="false">IF(B1941=-1, 1, COUNTIF($A$2:$A$3000, H1941))</f>
        <v>1</v>
      </c>
      <c r="J1941" s="10" t="str">
        <f aca="false">_xlfn.CONCAT(A1941, ",",H1941,",",I1941)</f>
        <v>칩,페,1</v>
      </c>
      <c r="K1941" s="16" t="n">
        <f aca="false">IF(B1941=-1,-1,VLOOKUP(C1941,$T$1:$V$20,3))</f>
        <v>19</v>
      </c>
      <c r="L1941" s="16" t="n">
        <f aca="false">IF(B1941=-1,-1,VLOOKUP(D1941,$Y$1:$AA$22,3))</f>
        <v>20</v>
      </c>
      <c r="N1941" s="10" t="str">
        <f aca="false">_xlfn.UNICHAR(((C1941*21)+G1941)*28+44032)</f>
        <v>체</v>
      </c>
      <c r="O1941" s="10" t="str">
        <f aca="false">_xlfn.UNICHAR(((F1941*21)+D1941)*28+44032)</f>
        <v>피</v>
      </c>
      <c r="P1941" s="12" t="n">
        <f aca="false">COUNTIF($A$2:$A$3000, N1941) + COUNTIF($A$2:$A$3000, O1941)</f>
        <v>2</v>
      </c>
      <c r="Q1941" s="16" t="str">
        <f aca="false">IF(OR(B1941=-1,I1941=0, P1941&lt;&gt;2), "albhed_dummy", _xlfn.CONCAT("albhed ", RIGHT("  " &amp; K1941,2),", ", RIGHT("  " &amp; L1941,2), ", " ,"""",H1941,""", ", """",N1941,""", ","""",O1941,""""," ; ", A1941))</f>
        <v>albhed 19, 20, "페", "체", "피" ; 칩</v>
      </c>
    </row>
    <row r="1942" customFormat="false" ht="17.9" hidden="false" customHeight="true" outlineLevel="0" collapsed="false">
      <c r="A1942" s="16" t="s">
        <v>2792</v>
      </c>
      <c r="B1942" s="16" t="n">
        <f aca="false">IF(_xlfn.UNICODE(A1942)&lt;44032,-1,_xlfn.UNICODE(A1942)-44032)</f>
        <v>8811</v>
      </c>
      <c r="C1942" s="16" t="n">
        <f aca="false">IF(B1942=-1,-1,INT((B1942/28)/21))</f>
        <v>14</v>
      </c>
      <c r="D1942" s="16" t="n">
        <f aca="false">IF(B1942=-1, -1, MOD(INT(B1942/28),21))</f>
        <v>20</v>
      </c>
      <c r="E1942" s="16" t="n">
        <f aca="false">IF(B1942=-1, -1, VLOOKUP(MOD(B1942,28), $T$24:$U$52,2))</f>
        <v>19</v>
      </c>
      <c r="F1942" s="16" t="n">
        <f aca="false">IF($B1942=-1, -1, VLOOKUP(C1942,$T$1:$V$20, 2))</f>
        <v>17</v>
      </c>
      <c r="G1942" s="16" t="n">
        <f aca="false">IF($B1942=-1, -1, VLOOKUP(D1942,$Y$1:$Z$22,2))</f>
        <v>5</v>
      </c>
      <c r="H1942" s="16" t="str">
        <f aca="false">_xlfn.UNICHAR(((F1942*21)+G1942)*28+44032)</f>
        <v>페</v>
      </c>
      <c r="I1942" s="16" t="n">
        <f aca="false">IF(B1942=-1, 1, COUNTIF($A$2:$A$3000, H1942))</f>
        <v>1</v>
      </c>
      <c r="J1942" s="10" t="str">
        <f aca="false">_xlfn.CONCAT(A1942, ",",H1942,",",I1942)</f>
        <v>칫,페,1</v>
      </c>
      <c r="K1942" s="16" t="n">
        <f aca="false">IF(B1942=-1,-1,VLOOKUP(C1942,$T$1:$V$20,3))</f>
        <v>19</v>
      </c>
      <c r="L1942" s="16" t="n">
        <f aca="false">IF(B1942=-1,-1,VLOOKUP(D1942,$Y$1:$AA$22,3))</f>
        <v>20</v>
      </c>
      <c r="N1942" s="10" t="str">
        <f aca="false">_xlfn.UNICHAR(((C1942*21)+G1942)*28+44032)</f>
        <v>체</v>
      </c>
      <c r="O1942" s="10" t="str">
        <f aca="false">_xlfn.UNICHAR(((F1942*21)+D1942)*28+44032)</f>
        <v>피</v>
      </c>
      <c r="P1942" s="12" t="n">
        <f aca="false">COUNTIF($A$2:$A$3000, N1942) + COUNTIF($A$2:$A$3000, O1942)</f>
        <v>2</v>
      </c>
      <c r="Q1942" s="16" t="str">
        <f aca="false">IF(OR(B1942=-1,I1942=0, P1942&lt;&gt;2), "albhed_dummy", _xlfn.CONCAT("albhed ", RIGHT("  " &amp; K1942,2),", ", RIGHT("  " &amp; L1942,2), ", " ,"""",H1942,""", ", """",N1942,""", ","""",O1942,""""," ; ", A1942))</f>
        <v>albhed 19, 20, "페", "체", "피" ; 칫</v>
      </c>
    </row>
    <row r="1943" customFormat="false" ht="17.9" hidden="false" customHeight="true" outlineLevel="0" collapsed="false">
      <c r="A1943" s="16" t="s">
        <v>2793</v>
      </c>
      <c r="B1943" s="16" t="n">
        <f aca="false">IF(_xlfn.UNICODE(A1943)&lt;44032,-1,_xlfn.UNICODE(A1943)-44032)</f>
        <v>8813</v>
      </c>
      <c r="C1943" s="16" t="n">
        <f aca="false">IF(B1943=-1,-1,INT((B1943/28)/21))</f>
        <v>14</v>
      </c>
      <c r="D1943" s="16" t="n">
        <f aca="false">IF(B1943=-1, -1, MOD(INT(B1943/28),21))</f>
        <v>20</v>
      </c>
      <c r="E1943" s="16" t="n">
        <f aca="false">IF(B1943=-1, -1, VLOOKUP(MOD(B1943,28), $T$24:$U$52,2))</f>
        <v>21</v>
      </c>
      <c r="F1943" s="16" t="n">
        <f aca="false">IF($B1943=-1, -1, VLOOKUP(C1943,$T$1:$V$20, 2))</f>
        <v>17</v>
      </c>
      <c r="G1943" s="16" t="n">
        <f aca="false">IF($B1943=-1, -1, VLOOKUP(D1943,$Y$1:$Z$22,2))</f>
        <v>5</v>
      </c>
      <c r="H1943" s="16" t="str">
        <f aca="false">_xlfn.UNICHAR(((F1943*21)+G1943)*28+44032)</f>
        <v>페</v>
      </c>
      <c r="I1943" s="16" t="n">
        <f aca="false">IF(B1943=-1, 1, COUNTIF($A$2:$A$3000, H1943))</f>
        <v>1</v>
      </c>
      <c r="J1943" s="10" t="str">
        <f aca="false">_xlfn.CONCAT(A1943, ",",H1943,",",I1943)</f>
        <v>칭,페,1</v>
      </c>
      <c r="K1943" s="16" t="n">
        <f aca="false">IF(B1943=-1,-1,VLOOKUP(C1943,$T$1:$V$20,3))</f>
        <v>19</v>
      </c>
      <c r="L1943" s="16" t="n">
        <f aca="false">IF(B1943=-1,-1,VLOOKUP(D1943,$Y$1:$AA$22,3))</f>
        <v>20</v>
      </c>
      <c r="N1943" s="10" t="str">
        <f aca="false">_xlfn.UNICHAR(((C1943*21)+G1943)*28+44032)</f>
        <v>체</v>
      </c>
      <c r="O1943" s="10" t="str">
        <f aca="false">_xlfn.UNICHAR(((F1943*21)+D1943)*28+44032)</f>
        <v>피</v>
      </c>
      <c r="P1943" s="12" t="n">
        <f aca="false">COUNTIF($A$2:$A$3000, N1943) + COUNTIF($A$2:$A$3000, O1943)</f>
        <v>2</v>
      </c>
      <c r="Q1943" s="16" t="str">
        <f aca="false">IF(OR(B1943=-1,I1943=0, P1943&lt;&gt;2), "albhed_dummy", _xlfn.CONCAT("albhed ", RIGHT("  " &amp; K1943,2),", ", RIGHT("  " &amp; L1943,2), ", " ,"""",H1943,""", ", """",N1943,""", ","""",O1943,""""," ; ", A1943))</f>
        <v>albhed 19, 20, "페", "체", "피" ; 칭</v>
      </c>
    </row>
    <row r="1944" customFormat="false" ht="17.9" hidden="false" customHeight="true" outlineLevel="0" collapsed="false">
      <c r="A1944" s="16" t="s">
        <v>2794</v>
      </c>
      <c r="B1944" s="16" t="n">
        <f aca="false">IF(_xlfn.UNICODE(A1944)&lt;44032,-1,_xlfn.UNICODE(A1944)-44032)</f>
        <v>8820</v>
      </c>
      <c r="C1944" s="16" t="n">
        <f aca="false">IF(B1944=-1,-1,INT((B1944/28)/21))</f>
        <v>15</v>
      </c>
      <c r="D1944" s="16" t="n">
        <f aca="false">IF(B1944=-1, -1, MOD(INT(B1944/28),21))</f>
        <v>0</v>
      </c>
      <c r="E1944" s="16" t="n">
        <f aca="false">IF(B1944=-1, -1, VLOOKUP(MOD(B1944,28), $T$24:$U$52,2))</f>
        <v>0</v>
      </c>
      <c r="F1944" s="16" t="n">
        <f aca="false">IF($B1944=-1, -1, VLOOKUP(C1944,$T$1:$V$20, 2))</f>
        <v>2</v>
      </c>
      <c r="G1944" s="16" t="n">
        <f aca="false">IF($B1944=-1, -1, VLOOKUP(D1944,$Y$1:$Z$22,2))</f>
        <v>13</v>
      </c>
      <c r="H1944" s="16" t="str">
        <f aca="false">_xlfn.UNICHAR(((F1944*21)+G1944)*28+44032)</f>
        <v>누</v>
      </c>
      <c r="I1944" s="16" t="n">
        <f aca="false">IF(B1944=-1, 1, COUNTIF($A$2:$A$3000, H1944))</f>
        <v>1</v>
      </c>
      <c r="J1944" s="10" t="str">
        <f aca="false">_xlfn.CONCAT(A1944, ",",H1944,",",I1944)</f>
        <v>카,누,1</v>
      </c>
      <c r="K1944" s="16" t="n">
        <f aca="false">IF(B1944=-1,-1,VLOOKUP(C1944,$T$1:$V$20,3))</f>
        <v>21</v>
      </c>
      <c r="L1944" s="16" t="n">
        <f aca="false">IF(B1944=-1,-1,VLOOKUP(D1944,$Y$1:$AA$22,3))</f>
        <v>2</v>
      </c>
      <c r="N1944" s="10" t="str">
        <f aca="false">_xlfn.UNICHAR(((C1944*21)+G1944)*28+44032)</f>
        <v>쿠</v>
      </c>
      <c r="O1944" s="10" t="str">
        <f aca="false">_xlfn.UNICHAR(((F1944*21)+D1944)*28+44032)</f>
        <v>나</v>
      </c>
      <c r="P1944" s="12" t="n">
        <f aca="false">COUNTIF($A$2:$A$3000, N1944) + COUNTIF($A$2:$A$3000, O1944)</f>
        <v>2</v>
      </c>
      <c r="Q1944" s="16" t="str">
        <f aca="false">IF(OR(B1944=-1,I1944=0, P1944&lt;&gt;2), "albhed_dummy", _xlfn.CONCAT("albhed ", RIGHT("  " &amp; K1944,2),", ", RIGHT("  " &amp; L1944,2), ", " ,"""",H1944,""", ", """",N1944,""", ","""",O1944,""""," ; ", A1944))</f>
        <v>albhed 21,  2, "누", "쿠", "나" ; 카</v>
      </c>
    </row>
    <row r="1945" customFormat="false" ht="17.9" hidden="false" customHeight="true" outlineLevel="0" collapsed="false">
      <c r="A1945" s="16" t="s">
        <v>2795</v>
      </c>
      <c r="B1945" s="16" t="n">
        <f aca="false">IF(_xlfn.UNICODE(A1945)&lt;44032,-1,_xlfn.UNICODE(A1945)-44032)</f>
        <v>8821</v>
      </c>
      <c r="C1945" s="16" t="n">
        <f aca="false">IF(B1945=-1,-1,INT((B1945/28)/21))</f>
        <v>15</v>
      </c>
      <c r="D1945" s="16" t="n">
        <f aca="false">IF(B1945=-1, -1, MOD(INT(B1945/28),21))</f>
        <v>0</v>
      </c>
      <c r="E1945" s="16" t="n">
        <f aca="false">IF(B1945=-1, -1, VLOOKUP(MOD(B1945,28), $T$24:$U$52,2))</f>
        <v>1</v>
      </c>
      <c r="F1945" s="16" t="n">
        <f aca="false">IF($B1945=-1, -1, VLOOKUP(C1945,$T$1:$V$20, 2))</f>
        <v>2</v>
      </c>
      <c r="G1945" s="16" t="n">
        <f aca="false">IF($B1945=-1, -1, VLOOKUP(D1945,$Y$1:$Z$22,2))</f>
        <v>13</v>
      </c>
      <c r="H1945" s="16" t="str">
        <f aca="false">_xlfn.UNICHAR(((F1945*21)+G1945)*28+44032)</f>
        <v>누</v>
      </c>
      <c r="I1945" s="16" t="n">
        <f aca="false">IF(B1945=-1, 1, COUNTIF($A$2:$A$3000, H1945))</f>
        <v>1</v>
      </c>
      <c r="J1945" s="10" t="str">
        <f aca="false">_xlfn.CONCAT(A1945, ",",H1945,",",I1945)</f>
        <v>칵,누,1</v>
      </c>
      <c r="K1945" s="16" t="n">
        <f aca="false">IF(B1945=-1,-1,VLOOKUP(C1945,$T$1:$V$20,3))</f>
        <v>21</v>
      </c>
      <c r="L1945" s="16" t="n">
        <f aca="false">IF(B1945=-1,-1,VLOOKUP(D1945,$Y$1:$AA$22,3))</f>
        <v>2</v>
      </c>
      <c r="N1945" s="10" t="str">
        <f aca="false">_xlfn.UNICHAR(((C1945*21)+G1945)*28+44032)</f>
        <v>쿠</v>
      </c>
      <c r="O1945" s="10" t="str">
        <f aca="false">_xlfn.UNICHAR(((F1945*21)+D1945)*28+44032)</f>
        <v>나</v>
      </c>
      <c r="P1945" s="12" t="n">
        <f aca="false">COUNTIF($A$2:$A$3000, N1945) + COUNTIF($A$2:$A$3000, O1945)</f>
        <v>2</v>
      </c>
      <c r="Q1945" s="16" t="str">
        <f aca="false">IF(OR(B1945=-1,I1945=0, P1945&lt;&gt;2), "albhed_dummy", _xlfn.CONCAT("albhed ", RIGHT("  " &amp; K1945,2),", ", RIGHT("  " &amp; L1945,2), ", " ,"""",H1945,""", ", """",N1945,""", ","""",O1945,""""," ; ", A1945))</f>
        <v>albhed 21,  2, "누", "쿠", "나" ; 칵</v>
      </c>
    </row>
    <row r="1946" customFormat="false" ht="17.9" hidden="false" customHeight="true" outlineLevel="0" collapsed="false">
      <c r="A1946" s="16" t="s">
        <v>2796</v>
      </c>
      <c r="B1946" s="16" t="n">
        <f aca="false">IF(_xlfn.UNICODE(A1946)&lt;44032,-1,_xlfn.UNICODE(A1946)-44032)</f>
        <v>8824</v>
      </c>
      <c r="C1946" s="16" t="n">
        <f aca="false">IF(B1946=-1,-1,INT((B1946/28)/21))</f>
        <v>15</v>
      </c>
      <c r="D1946" s="16" t="n">
        <f aca="false">IF(B1946=-1, -1, MOD(INT(B1946/28),21))</f>
        <v>0</v>
      </c>
      <c r="E1946" s="16" t="n">
        <f aca="false">IF(B1946=-1, -1, VLOOKUP(MOD(B1946,28), $T$24:$U$52,2))</f>
        <v>4</v>
      </c>
      <c r="F1946" s="16" t="n">
        <f aca="false">IF($B1946=-1, -1, VLOOKUP(C1946,$T$1:$V$20, 2))</f>
        <v>2</v>
      </c>
      <c r="G1946" s="16" t="n">
        <f aca="false">IF($B1946=-1, -1, VLOOKUP(D1946,$Y$1:$Z$22,2))</f>
        <v>13</v>
      </c>
      <c r="H1946" s="16" t="str">
        <f aca="false">_xlfn.UNICHAR(((F1946*21)+G1946)*28+44032)</f>
        <v>누</v>
      </c>
      <c r="I1946" s="16" t="n">
        <f aca="false">IF(B1946=-1, 1, COUNTIF($A$2:$A$3000, H1946))</f>
        <v>1</v>
      </c>
      <c r="J1946" s="10" t="str">
        <f aca="false">_xlfn.CONCAT(A1946, ",",H1946,",",I1946)</f>
        <v>칸,누,1</v>
      </c>
      <c r="K1946" s="16" t="n">
        <f aca="false">IF(B1946=-1,-1,VLOOKUP(C1946,$T$1:$V$20,3))</f>
        <v>21</v>
      </c>
      <c r="L1946" s="16" t="n">
        <f aca="false">IF(B1946=-1,-1,VLOOKUP(D1946,$Y$1:$AA$22,3))</f>
        <v>2</v>
      </c>
      <c r="N1946" s="10" t="str">
        <f aca="false">_xlfn.UNICHAR(((C1946*21)+G1946)*28+44032)</f>
        <v>쿠</v>
      </c>
      <c r="O1946" s="10" t="str">
        <f aca="false">_xlfn.UNICHAR(((F1946*21)+D1946)*28+44032)</f>
        <v>나</v>
      </c>
      <c r="P1946" s="12" t="n">
        <f aca="false">COUNTIF($A$2:$A$3000, N1946) + COUNTIF($A$2:$A$3000, O1946)</f>
        <v>2</v>
      </c>
      <c r="Q1946" s="16" t="str">
        <f aca="false">IF(OR(B1946=-1,I1946=0, P1946&lt;&gt;2), "albhed_dummy", _xlfn.CONCAT("albhed ", RIGHT("  " &amp; K1946,2),", ", RIGHT("  " &amp; L1946,2), ", " ,"""",H1946,""", ", """",N1946,""", ","""",O1946,""""," ; ", A1946))</f>
        <v>albhed 21,  2, "누", "쿠", "나" ; 칸</v>
      </c>
    </row>
    <row r="1947" customFormat="false" ht="17.9" hidden="false" customHeight="true" outlineLevel="0" collapsed="false">
      <c r="A1947" s="16" t="s">
        <v>2797</v>
      </c>
      <c r="B1947" s="16" t="n">
        <f aca="false">IF(_xlfn.UNICODE(A1947)&lt;44032,-1,_xlfn.UNICODE(A1947)-44032)</f>
        <v>8828</v>
      </c>
      <c r="C1947" s="16" t="n">
        <f aca="false">IF(B1947=-1,-1,INT((B1947/28)/21))</f>
        <v>15</v>
      </c>
      <c r="D1947" s="16" t="n">
        <f aca="false">IF(B1947=-1, -1, MOD(INT(B1947/28),21))</f>
        <v>0</v>
      </c>
      <c r="E1947" s="16" t="n">
        <f aca="false">IF(B1947=-1, -1, VLOOKUP(MOD(B1947,28), $T$24:$U$52,2))</f>
        <v>8</v>
      </c>
      <c r="F1947" s="16" t="n">
        <f aca="false">IF($B1947=-1, -1, VLOOKUP(C1947,$T$1:$V$20, 2))</f>
        <v>2</v>
      </c>
      <c r="G1947" s="16" t="n">
        <f aca="false">IF($B1947=-1, -1, VLOOKUP(D1947,$Y$1:$Z$22,2))</f>
        <v>13</v>
      </c>
      <c r="H1947" s="16" t="str">
        <f aca="false">_xlfn.UNICHAR(((F1947*21)+G1947)*28+44032)</f>
        <v>누</v>
      </c>
      <c r="I1947" s="16" t="n">
        <f aca="false">IF(B1947=-1, 1, COUNTIF($A$2:$A$3000, H1947))</f>
        <v>1</v>
      </c>
      <c r="J1947" s="10" t="str">
        <f aca="false">_xlfn.CONCAT(A1947, ",",H1947,",",I1947)</f>
        <v>칼,누,1</v>
      </c>
      <c r="K1947" s="16" t="n">
        <f aca="false">IF(B1947=-1,-1,VLOOKUP(C1947,$T$1:$V$20,3))</f>
        <v>21</v>
      </c>
      <c r="L1947" s="16" t="n">
        <f aca="false">IF(B1947=-1,-1,VLOOKUP(D1947,$Y$1:$AA$22,3))</f>
        <v>2</v>
      </c>
      <c r="N1947" s="10" t="str">
        <f aca="false">_xlfn.UNICHAR(((C1947*21)+G1947)*28+44032)</f>
        <v>쿠</v>
      </c>
      <c r="O1947" s="10" t="str">
        <f aca="false">_xlfn.UNICHAR(((F1947*21)+D1947)*28+44032)</f>
        <v>나</v>
      </c>
      <c r="P1947" s="12" t="n">
        <f aca="false">COUNTIF($A$2:$A$3000, N1947) + COUNTIF($A$2:$A$3000, O1947)</f>
        <v>2</v>
      </c>
      <c r="Q1947" s="16" t="str">
        <f aca="false">IF(OR(B1947=-1,I1947=0, P1947&lt;&gt;2), "albhed_dummy", _xlfn.CONCAT("albhed ", RIGHT("  " &amp; K1947,2),", ", RIGHT("  " &amp; L1947,2), ", " ,"""",H1947,""", ", """",N1947,""", ","""",O1947,""""," ; ", A1947))</f>
        <v>albhed 21,  2, "누", "쿠", "나" ; 칼</v>
      </c>
    </row>
    <row r="1948" customFormat="false" ht="17.9" hidden="false" customHeight="true" outlineLevel="0" collapsed="false">
      <c r="A1948" s="16" t="s">
        <v>2798</v>
      </c>
      <c r="B1948" s="16" t="n">
        <f aca="false">IF(_xlfn.UNICODE(A1948)&lt;44032,-1,_xlfn.UNICODE(A1948)-44032)</f>
        <v>8836</v>
      </c>
      <c r="C1948" s="16" t="n">
        <f aca="false">IF(B1948=-1,-1,INT((B1948/28)/21))</f>
        <v>15</v>
      </c>
      <c r="D1948" s="16" t="n">
        <f aca="false">IF(B1948=-1, -1, MOD(INT(B1948/28),21))</f>
        <v>0</v>
      </c>
      <c r="E1948" s="16" t="n">
        <f aca="false">IF(B1948=-1, -1, VLOOKUP(MOD(B1948,28), $T$24:$U$52,2))</f>
        <v>16</v>
      </c>
      <c r="F1948" s="16" t="n">
        <f aca="false">IF($B1948=-1, -1, VLOOKUP(C1948,$T$1:$V$20, 2))</f>
        <v>2</v>
      </c>
      <c r="G1948" s="16" t="n">
        <f aca="false">IF($B1948=-1, -1, VLOOKUP(D1948,$Y$1:$Z$22,2))</f>
        <v>13</v>
      </c>
      <c r="H1948" s="16" t="str">
        <f aca="false">_xlfn.UNICHAR(((F1948*21)+G1948)*28+44032)</f>
        <v>누</v>
      </c>
      <c r="I1948" s="16" t="n">
        <f aca="false">IF(B1948=-1, 1, COUNTIF($A$2:$A$3000, H1948))</f>
        <v>1</v>
      </c>
      <c r="J1948" s="10" t="str">
        <f aca="false">_xlfn.CONCAT(A1948, ",",H1948,",",I1948)</f>
        <v>캄,누,1</v>
      </c>
      <c r="K1948" s="16" t="n">
        <f aca="false">IF(B1948=-1,-1,VLOOKUP(C1948,$T$1:$V$20,3))</f>
        <v>21</v>
      </c>
      <c r="L1948" s="16" t="n">
        <f aca="false">IF(B1948=-1,-1,VLOOKUP(D1948,$Y$1:$AA$22,3))</f>
        <v>2</v>
      </c>
      <c r="N1948" s="10" t="str">
        <f aca="false">_xlfn.UNICHAR(((C1948*21)+G1948)*28+44032)</f>
        <v>쿠</v>
      </c>
      <c r="O1948" s="10" t="str">
        <f aca="false">_xlfn.UNICHAR(((F1948*21)+D1948)*28+44032)</f>
        <v>나</v>
      </c>
      <c r="P1948" s="12" t="n">
        <f aca="false">COUNTIF($A$2:$A$3000, N1948) + COUNTIF($A$2:$A$3000, O1948)</f>
        <v>2</v>
      </c>
      <c r="Q1948" s="16" t="str">
        <f aca="false">IF(OR(B1948=-1,I1948=0, P1948&lt;&gt;2), "albhed_dummy", _xlfn.CONCAT("albhed ", RIGHT("  " &amp; K1948,2),", ", RIGHT("  " &amp; L1948,2), ", " ,"""",H1948,""", ", """",N1948,""", ","""",O1948,""""," ; ", A1948))</f>
        <v>albhed 21,  2, "누", "쿠", "나" ; 캄</v>
      </c>
    </row>
    <row r="1949" customFormat="false" ht="17.9" hidden="false" customHeight="true" outlineLevel="0" collapsed="false">
      <c r="A1949" s="16" t="s">
        <v>2799</v>
      </c>
      <c r="B1949" s="16" t="n">
        <f aca="false">IF(_xlfn.UNICODE(A1949)&lt;44032,-1,_xlfn.UNICODE(A1949)-44032)</f>
        <v>8837</v>
      </c>
      <c r="C1949" s="16" t="n">
        <f aca="false">IF(B1949=-1,-1,INT((B1949/28)/21))</f>
        <v>15</v>
      </c>
      <c r="D1949" s="16" t="n">
        <f aca="false">IF(B1949=-1, -1, MOD(INT(B1949/28),21))</f>
        <v>0</v>
      </c>
      <c r="E1949" s="16" t="n">
        <f aca="false">IF(B1949=-1, -1, VLOOKUP(MOD(B1949,28), $T$24:$U$52,2))</f>
        <v>17</v>
      </c>
      <c r="F1949" s="16" t="n">
        <f aca="false">IF($B1949=-1, -1, VLOOKUP(C1949,$T$1:$V$20, 2))</f>
        <v>2</v>
      </c>
      <c r="G1949" s="16" t="n">
        <f aca="false">IF($B1949=-1, -1, VLOOKUP(D1949,$Y$1:$Z$22,2))</f>
        <v>13</v>
      </c>
      <c r="H1949" s="16" t="str">
        <f aca="false">_xlfn.UNICHAR(((F1949*21)+G1949)*28+44032)</f>
        <v>누</v>
      </c>
      <c r="I1949" s="16" t="n">
        <f aca="false">IF(B1949=-1, 1, COUNTIF($A$2:$A$3000, H1949))</f>
        <v>1</v>
      </c>
      <c r="J1949" s="10" t="str">
        <f aca="false">_xlfn.CONCAT(A1949, ",",H1949,",",I1949)</f>
        <v>캅,누,1</v>
      </c>
      <c r="K1949" s="16" t="n">
        <f aca="false">IF(B1949=-1,-1,VLOOKUP(C1949,$T$1:$V$20,3))</f>
        <v>21</v>
      </c>
      <c r="L1949" s="16" t="n">
        <f aca="false">IF(B1949=-1,-1,VLOOKUP(D1949,$Y$1:$AA$22,3))</f>
        <v>2</v>
      </c>
      <c r="N1949" s="10" t="str">
        <f aca="false">_xlfn.UNICHAR(((C1949*21)+G1949)*28+44032)</f>
        <v>쿠</v>
      </c>
      <c r="O1949" s="10" t="str">
        <f aca="false">_xlfn.UNICHAR(((F1949*21)+D1949)*28+44032)</f>
        <v>나</v>
      </c>
      <c r="P1949" s="12" t="n">
        <f aca="false">COUNTIF($A$2:$A$3000, N1949) + COUNTIF($A$2:$A$3000, O1949)</f>
        <v>2</v>
      </c>
      <c r="Q1949" s="16" t="str">
        <f aca="false">IF(OR(B1949=-1,I1949=0, P1949&lt;&gt;2), "albhed_dummy", _xlfn.CONCAT("albhed ", RIGHT("  " &amp; K1949,2),", ", RIGHT("  " &amp; L1949,2), ", " ,"""",H1949,""", ", """",N1949,""", ","""",O1949,""""," ; ", A1949))</f>
        <v>albhed 21,  2, "누", "쿠", "나" ; 캅</v>
      </c>
    </row>
    <row r="1950" customFormat="false" ht="17.9" hidden="false" customHeight="true" outlineLevel="0" collapsed="false">
      <c r="A1950" s="16" t="s">
        <v>2800</v>
      </c>
      <c r="B1950" s="16" t="n">
        <f aca="false">IF(_xlfn.UNICODE(A1950)&lt;44032,-1,_xlfn.UNICODE(A1950)-44032)</f>
        <v>8839</v>
      </c>
      <c r="C1950" s="16" t="n">
        <f aca="false">IF(B1950=-1,-1,INT((B1950/28)/21))</f>
        <v>15</v>
      </c>
      <c r="D1950" s="16" t="n">
        <f aca="false">IF(B1950=-1, -1, MOD(INT(B1950/28),21))</f>
        <v>0</v>
      </c>
      <c r="E1950" s="16" t="n">
        <f aca="false">IF(B1950=-1, -1, VLOOKUP(MOD(B1950,28), $T$24:$U$52,2))</f>
        <v>19</v>
      </c>
      <c r="F1950" s="16" t="n">
        <f aca="false">IF($B1950=-1, -1, VLOOKUP(C1950,$T$1:$V$20, 2))</f>
        <v>2</v>
      </c>
      <c r="G1950" s="16" t="n">
        <f aca="false">IF($B1950=-1, -1, VLOOKUP(D1950,$Y$1:$Z$22,2))</f>
        <v>13</v>
      </c>
      <c r="H1950" s="16" t="str">
        <f aca="false">_xlfn.UNICHAR(((F1950*21)+G1950)*28+44032)</f>
        <v>누</v>
      </c>
      <c r="I1950" s="16" t="n">
        <f aca="false">IF(B1950=-1, 1, COUNTIF($A$2:$A$3000, H1950))</f>
        <v>1</v>
      </c>
      <c r="J1950" s="10" t="str">
        <f aca="false">_xlfn.CONCAT(A1950, ",",H1950,",",I1950)</f>
        <v>캇,누,1</v>
      </c>
      <c r="K1950" s="16" t="n">
        <f aca="false">IF(B1950=-1,-1,VLOOKUP(C1950,$T$1:$V$20,3))</f>
        <v>21</v>
      </c>
      <c r="L1950" s="16" t="n">
        <f aca="false">IF(B1950=-1,-1,VLOOKUP(D1950,$Y$1:$AA$22,3))</f>
        <v>2</v>
      </c>
      <c r="N1950" s="10" t="str">
        <f aca="false">_xlfn.UNICHAR(((C1950*21)+G1950)*28+44032)</f>
        <v>쿠</v>
      </c>
      <c r="O1950" s="10" t="str">
        <f aca="false">_xlfn.UNICHAR(((F1950*21)+D1950)*28+44032)</f>
        <v>나</v>
      </c>
      <c r="P1950" s="12" t="n">
        <f aca="false">COUNTIF($A$2:$A$3000, N1950) + COUNTIF($A$2:$A$3000, O1950)</f>
        <v>2</v>
      </c>
      <c r="Q1950" s="16" t="str">
        <f aca="false">IF(OR(B1950=-1,I1950=0, P1950&lt;&gt;2), "albhed_dummy", _xlfn.CONCAT("albhed ", RIGHT("  " &amp; K1950,2),", ", RIGHT("  " &amp; L1950,2), ", " ,"""",H1950,""", ", """",N1950,""", ","""",O1950,""""," ; ", A1950))</f>
        <v>albhed 21,  2, "누", "쿠", "나" ; 캇</v>
      </c>
    </row>
    <row r="1951" customFormat="false" ht="17.9" hidden="false" customHeight="true" outlineLevel="0" collapsed="false">
      <c r="A1951" s="16" t="s">
        <v>2801</v>
      </c>
      <c r="B1951" s="16" t="n">
        <f aca="false">IF(_xlfn.UNICODE(A1951)&lt;44032,-1,_xlfn.UNICODE(A1951)-44032)</f>
        <v>8841</v>
      </c>
      <c r="C1951" s="16" t="n">
        <f aca="false">IF(B1951=-1,-1,INT((B1951/28)/21))</f>
        <v>15</v>
      </c>
      <c r="D1951" s="16" t="n">
        <f aca="false">IF(B1951=-1, -1, MOD(INT(B1951/28),21))</f>
        <v>0</v>
      </c>
      <c r="E1951" s="16" t="n">
        <f aca="false">IF(B1951=-1, -1, VLOOKUP(MOD(B1951,28), $T$24:$U$52,2))</f>
        <v>21</v>
      </c>
      <c r="F1951" s="16" t="n">
        <f aca="false">IF($B1951=-1, -1, VLOOKUP(C1951,$T$1:$V$20, 2))</f>
        <v>2</v>
      </c>
      <c r="G1951" s="16" t="n">
        <f aca="false">IF($B1951=-1, -1, VLOOKUP(D1951,$Y$1:$Z$22,2))</f>
        <v>13</v>
      </c>
      <c r="H1951" s="16" t="str">
        <f aca="false">_xlfn.UNICHAR(((F1951*21)+G1951)*28+44032)</f>
        <v>누</v>
      </c>
      <c r="I1951" s="16" t="n">
        <f aca="false">IF(B1951=-1, 1, COUNTIF($A$2:$A$3000, H1951))</f>
        <v>1</v>
      </c>
      <c r="J1951" s="10" t="str">
        <f aca="false">_xlfn.CONCAT(A1951, ",",H1951,",",I1951)</f>
        <v>캉,누,1</v>
      </c>
      <c r="K1951" s="16" t="n">
        <f aca="false">IF(B1951=-1,-1,VLOOKUP(C1951,$T$1:$V$20,3))</f>
        <v>21</v>
      </c>
      <c r="L1951" s="16" t="n">
        <f aca="false">IF(B1951=-1,-1,VLOOKUP(D1951,$Y$1:$AA$22,3))</f>
        <v>2</v>
      </c>
      <c r="N1951" s="10" t="str">
        <f aca="false">_xlfn.UNICHAR(((C1951*21)+G1951)*28+44032)</f>
        <v>쿠</v>
      </c>
      <c r="O1951" s="10" t="str">
        <f aca="false">_xlfn.UNICHAR(((F1951*21)+D1951)*28+44032)</f>
        <v>나</v>
      </c>
      <c r="P1951" s="12" t="n">
        <f aca="false">COUNTIF($A$2:$A$3000, N1951) + COUNTIF($A$2:$A$3000, O1951)</f>
        <v>2</v>
      </c>
      <c r="Q1951" s="16" t="str">
        <f aca="false">IF(OR(B1951=-1,I1951=0, P1951&lt;&gt;2), "albhed_dummy", _xlfn.CONCAT("albhed ", RIGHT("  " &amp; K1951,2),", ", RIGHT("  " &amp; L1951,2), ", " ,"""",H1951,""", ", """",N1951,""", ","""",O1951,""""," ; ", A1951))</f>
        <v>albhed 21,  2, "누", "쿠", "나" ; 캉</v>
      </c>
    </row>
    <row r="1952" customFormat="false" ht="17.9" hidden="false" customHeight="true" outlineLevel="0" collapsed="false">
      <c r="A1952" s="16" t="s">
        <v>2802</v>
      </c>
      <c r="B1952" s="16" t="n">
        <f aca="false">IF(_xlfn.UNICODE(A1952)&lt;44032,-1,_xlfn.UNICODE(A1952)-44032)</f>
        <v>8848</v>
      </c>
      <c r="C1952" s="16" t="n">
        <f aca="false">IF(B1952=-1,-1,INT((B1952/28)/21))</f>
        <v>15</v>
      </c>
      <c r="D1952" s="16" t="n">
        <f aca="false">IF(B1952=-1, -1, MOD(INT(B1952/28),21))</f>
        <v>1</v>
      </c>
      <c r="E1952" s="16" t="n">
        <f aca="false">IF(B1952=-1, -1, VLOOKUP(MOD(B1952,28), $T$24:$U$52,2))</f>
        <v>0</v>
      </c>
      <c r="F1952" s="16" t="n">
        <f aca="false">IF($B1952=-1, -1, VLOOKUP(C1952,$T$1:$V$20, 2))</f>
        <v>2</v>
      </c>
      <c r="G1952" s="16" t="n">
        <f aca="false">IF($B1952=-1, -1, VLOOKUP(D1952,$Y$1:$Z$22,2))</f>
        <v>18</v>
      </c>
      <c r="H1952" s="16" t="str">
        <f aca="false">_xlfn.UNICHAR(((F1952*21)+G1952)*28+44032)</f>
        <v>느</v>
      </c>
      <c r="I1952" s="16" t="n">
        <f aca="false">IF(B1952=-1, 1, COUNTIF($A$2:$A$3000, H1952))</f>
        <v>1</v>
      </c>
      <c r="J1952" s="10" t="str">
        <f aca="false">_xlfn.CONCAT(A1952, ",",H1952,",",I1952)</f>
        <v>캐,느,1</v>
      </c>
      <c r="K1952" s="16" t="n">
        <f aca="false">IF(B1952=-1,-1,VLOOKUP(C1952,$T$1:$V$20,3))</f>
        <v>21</v>
      </c>
      <c r="L1952" s="16" t="n">
        <f aca="false">IF(B1952=-1,-1,VLOOKUP(D1952,$Y$1:$AA$22,3))</f>
        <v>10</v>
      </c>
      <c r="N1952" s="10" t="str">
        <f aca="false">_xlfn.UNICHAR(((C1952*21)+G1952)*28+44032)</f>
        <v>크</v>
      </c>
      <c r="O1952" s="10" t="str">
        <f aca="false">_xlfn.UNICHAR(((F1952*21)+D1952)*28+44032)</f>
        <v>내</v>
      </c>
      <c r="P1952" s="12" t="n">
        <f aca="false">COUNTIF($A$2:$A$3000, N1952) + COUNTIF($A$2:$A$3000, O1952)</f>
        <v>2</v>
      </c>
      <c r="Q1952" s="16" t="str">
        <f aca="false">IF(OR(B1952=-1,I1952=0, P1952&lt;&gt;2), "albhed_dummy", _xlfn.CONCAT("albhed ", RIGHT("  " &amp; K1952,2),", ", RIGHT("  " &amp; L1952,2), ", " ,"""",H1952,""", ", """",N1952,""", ","""",O1952,""""," ; ", A1952))</f>
        <v>albhed 21, 10, "느", "크", "내" ; 캐</v>
      </c>
    </row>
    <row r="1953" customFormat="false" ht="17.9" hidden="false" customHeight="true" outlineLevel="0" collapsed="false">
      <c r="A1953" s="16" t="s">
        <v>2803</v>
      </c>
      <c r="B1953" s="16" t="n">
        <f aca="false">IF(_xlfn.UNICODE(A1953)&lt;44032,-1,_xlfn.UNICODE(A1953)-44032)</f>
        <v>8849</v>
      </c>
      <c r="C1953" s="16" t="n">
        <f aca="false">IF(B1953=-1,-1,INT((B1953/28)/21))</f>
        <v>15</v>
      </c>
      <c r="D1953" s="16" t="n">
        <f aca="false">IF(B1953=-1, -1, MOD(INT(B1953/28),21))</f>
        <v>1</v>
      </c>
      <c r="E1953" s="16" t="n">
        <f aca="false">IF(B1953=-1, -1, VLOOKUP(MOD(B1953,28), $T$24:$U$52,2))</f>
        <v>1</v>
      </c>
      <c r="F1953" s="16" t="n">
        <f aca="false">IF($B1953=-1, -1, VLOOKUP(C1953,$T$1:$V$20, 2))</f>
        <v>2</v>
      </c>
      <c r="G1953" s="16" t="n">
        <f aca="false">IF($B1953=-1, -1, VLOOKUP(D1953,$Y$1:$Z$22,2))</f>
        <v>18</v>
      </c>
      <c r="H1953" s="16" t="str">
        <f aca="false">_xlfn.UNICHAR(((F1953*21)+G1953)*28+44032)</f>
        <v>느</v>
      </c>
      <c r="I1953" s="16" t="n">
        <f aca="false">IF(B1953=-1, 1, COUNTIF($A$2:$A$3000, H1953))</f>
        <v>1</v>
      </c>
      <c r="J1953" s="10" t="str">
        <f aca="false">_xlfn.CONCAT(A1953, ",",H1953,",",I1953)</f>
        <v>캑,느,1</v>
      </c>
      <c r="K1953" s="16" t="n">
        <f aca="false">IF(B1953=-1,-1,VLOOKUP(C1953,$T$1:$V$20,3))</f>
        <v>21</v>
      </c>
      <c r="L1953" s="16" t="n">
        <f aca="false">IF(B1953=-1,-1,VLOOKUP(D1953,$Y$1:$AA$22,3))</f>
        <v>10</v>
      </c>
      <c r="N1953" s="10" t="str">
        <f aca="false">_xlfn.UNICHAR(((C1953*21)+G1953)*28+44032)</f>
        <v>크</v>
      </c>
      <c r="O1953" s="10" t="str">
        <f aca="false">_xlfn.UNICHAR(((F1953*21)+D1953)*28+44032)</f>
        <v>내</v>
      </c>
      <c r="P1953" s="12" t="n">
        <f aca="false">COUNTIF($A$2:$A$3000, N1953) + COUNTIF($A$2:$A$3000, O1953)</f>
        <v>2</v>
      </c>
      <c r="Q1953" s="16" t="str">
        <f aca="false">IF(OR(B1953=-1,I1953=0, P1953&lt;&gt;2), "albhed_dummy", _xlfn.CONCAT("albhed ", RIGHT("  " &amp; K1953,2),", ", RIGHT("  " &amp; L1953,2), ", " ,"""",H1953,""", ", """",N1953,""", ","""",O1953,""""," ; ", A1953))</f>
        <v>albhed 21, 10, "느", "크", "내" ; 캑</v>
      </c>
    </row>
    <row r="1954" customFormat="false" ht="17.9" hidden="false" customHeight="true" outlineLevel="0" collapsed="false">
      <c r="A1954" s="16" t="s">
        <v>2804</v>
      </c>
      <c r="B1954" s="16" t="n">
        <f aca="false">IF(_xlfn.UNICODE(A1954)&lt;44032,-1,_xlfn.UNICODE(A1954)-44032)</f>
        <v>8852</v>
      </c>
      <c r="C1954" s="16" t="n">
        <f aca="false">IF(B1954=-1,-1,INT((B1954/28)/21))</f>
        <v>15</v>
      </c>
      <c r="D1954" s="16" t="n">
        <f aca="false">IF(B1954=-1, -1, MOD(INT(B1954/28),21))</f>
        <v>1</v>
      </c>
      <c r="E1954" s="16" t="n">
        <f aca="false">IF(B1954=-1, -1, VLOOKUP(MOD(B1954,28), $T$24:$U$52,2))</f>
        <v>4</v>
      </c>
      <c r="F1954" s="16" t="n">
        <f aca="false">IF($B1954=-1, -1, VLOOKUP(C1954,$T$1:$V$20, 2))</f>
        <v>2</v>
      </c>
      <c r="G1954" s="16" t="n">
        <f aca="false">IF($B1954=-1, -1, VLOOKUP(D1954,$Y$1:$Z$22,2))</f>
        <v>18</v>
      </c>
      <c r="H1954" s="16" t="str">
        <f aca="false">_xlfn.UNICHAR(((F1954*21)+G1954)*28+44032)</f>
        <v>느</v>
      </c>
      <c r="I1954" s="16" t="n">
        <f aca="false">IF(B1954=-1, 1, COUNTIF($A$2:$A$3000, H1954))</f>
        <v>1</v>
      </c>
      <c r="J1954" s="10" t="str">
        <f aca="false">_xlfn.CONCAT(A1954, ",",H1954,",",I1954)</f>
        <v>캔,느,1</v>
      </c>
      <c r="K1954" s="16" t="n">
        <f aca="false">IF(B1954=-1,-1,VLOOKUP(C1954,$T$1:$V$20,3))</f>
        <v>21</v>
      </c>
      <c r="L1954" s="16" t="n">
        <f aca="false">IF(B1954=-1,-1,VLOOKUP(D1954,$Y$1:$AA$22,3))</f>
        <v>10</v>
      </c>
      <c r="N1954" s="10" t="str">
        <f aca="false">_xlfn.UNICHAR(((C1954*21)+G1954)*28+44032)</f>
        <v>크</v>
      </c>
      <c r="O1954" s="10" t="str">
        <f aca="false">_xlfn.UNICHAR(((F1954*21)+D1954)*28+44032)</f>
        <v>내</v>
      </c>
      <c r="P1954" s="12" t="n">
        <f aca="false">COUNTIF($A$2:$A$3000, N1954) + COUNTIF($A$2:$A$3000, O1954)</f>
        <v>2</v>
      </c>
      <c r="Q1954" s="16" t="str">
        <f aca="false">IF(OR(B1954=-1,I1954=0, P1954&lt;&gt;2), "albhed_dummy", _xlfn.CONCAT("albhed ", RIGHT("  " &amp; K1954,2),", ", RIGHT("  " &amp; L1954,2), ", " ,"""",H1954,""", ", """",N1954,""", ","""",O1954,""""," ; ", A1954))</f>
        <v>albhed 21, 10, "느", "크", "내" ; 캔</v>
      </c>
    </row>
    <row r="1955" customFormat="false" ht="17.9" hidden="false" customHeight="true" outlineLevel="0" collapsed="false">
      <c r="A1955" s="16" t="s">
        <v>2805</v>
      </c>
      <c r="B1955" s="16" t="n">
        <f aca="false">IF(_xlfn.UNICODE(A1955)&lt;44032,-1,_xlfn.UNICODE(A1955)-44032)</f>
        <v>8856</v>
      </c>
      <c r="C1955" s="16" t="n">
        <f aca="false">IF(B1955=-1,-1,INT((B1955/28)/21))</f>
        <v>15</v>
      </c>
      <c r="D1955" s="16" t="n">
        <f aca="false">IF(B1955=-1, -1, MOD(INT(B1955/28),21))</f>
        <v>1</v>
      </c>
      <c r="E1955" s="16" t="n">
        <f aca="false">IF(B1955=-1, -1, VLOOKUP(MOD(B1955,28), $T$24:$U$52,2))</f>
        <v>8</v>
      </c>
      <c r="F1955" s="16" t="n">
        <f aca="false">IF($B1955=-1, -1, VLOOKUP(C1955,$T$1:$V$20, 2))</f>
        <v>2</v>
      </c>
      <c r="G1955" s="16" t="n">
        <f aca="false">IF($B1955=-1, -1, VLOOKUP(D1955,$Y$1:$Z$22,2))</f>
        <v>18</v>
      </c>
      <c r="H1955" s="16" t="str">
        <f aca="false">_xlfn.UNICHAR(((F1955*21)+G1955)*28+44032)</f>
        <v>느</v>
      </c>
      <c r="I1955" s="16" t="n">
        <f aca="false">IF(B1955=-1, 1, COUNTIF($A$2:$A$3000, H1955))</f>
        <v>1</v>
      </c>
      <c r="J1955" s="10" t="str">
        <f aca="false">_xlfn.CONCAT(A1955, ",",H1955,",",I1955)</f>
        <v>캘,느,1</v>
      </c>
      <c r="K1955" s="16" t="n">
        <f aca="false">IF(B1955=-1,-1,VLOOKUP(C1955,$T$1:$V$20,3))</f>
        <v>21</v>
      </c>
      <c r="L1955" s="16" t="n">
        <f aca="false">IF(B1955=-1,-1,VLOOKUP(D1955,$Y$1:$AA$22,3))</f>
        <v>10</v>
      </c>
      <c r="N1955" s="10" t="str">
        <f aca="false">_xlfn.UNICHAR(((C1955*21)+G1955)*28+44032)</f>
        <v>크</v>
      </c>
      <c r="O1955" s="10" t="str">
        <f aca="false">_xlfn.UNICHAR(((F1955*21)+D1955)*28+44032)</f>
        <v>내</v>
      </c>
      <c r="P1955" s="12" t="n">
        <f aca="false">COUNTIF($A$2:$A$3000, N1955) + COUNTIF($A$2:$A$3000, O1955)</f>
        <v>2</v>
      </c>
      <c r="Q1955" s="16" t="str">
        <f aca="false">IF(OR(B1955=-1,I1955=0, P1955&lt;&gt;2), "albhed_dummy", _xlfn.CONCAT("albhed ", RIGHT("  " &amp; K1955,2),", ", RIGHT("  " &amp; L1955,2), ", " ,"""",H1955,""", ", """",N1955,""", ","""",O1955,""""," ; ", A1955))</f>
        <v>albhed 21, 10, "느", "크", "내" ; 캘</v>
      </c>
    </row>
    <row r="1956" customFormat="false" ht="17.9" hidden="false" customHeight="true" outlineLevel="0" collapsed="false">
      <c r="A1956" s="16" t="s">
        <v>2806</v>
      </c>
      <c r="B1956" s="16" t="n">
        <f aca="false">IF(_xlfn.UNICODE(A1956)&lt;44032,-1,_xlfn.UNICODE(A1956)-44032)</f>
        <v>8864</v>
      </c>
      <c r="C1956" s="16" t="n">
        <f aca="false">IF(B1956=-1,-1,INT((B1956/28)/21))</f>
        <v>15</v>
      </c>
      <c r="D1956" s="16" t="n">
        <f aca="false">IF(B1956=-1, -1, MOD(INT(B1956/28),21))</f>
        <v>1</v>
      </c>
      <c r="E1956" s="16" t="n">
        <f aca="false">IF(B1956=-1, -1, VLOOKUP(MOD(B1956,28), $T$24:$U$52,2))</f>
        <v>16</v>
      </c>
      <c r="F1956" s="16" t="n">
        <f aca="false">IF($B1956=-1, -1, VLOOKUP(C1956,$T$1:$V$20, 2))</f>
        <v>2</v>
      </c>
      <c r="G1956" s="16" t="n">
        <f aca="false">IF($B1956=-1, -1, VLOOKUP(D1956,$Y$1:$Z$22,2))</f>
        <v>18</v>
      </c>
      <c r="H1956" s="16" t="str">
        <f aca="false">_xlfn.UNICHAR(((F1956*21)+G1956)*28+44032)</f>
        <v>느</v>
      </c>
      <c r="I1956" s="16" t="n">
        <f aca="false">IF(B1956=-1, 1, COUNTIF($A$2:$A$3000, H1956))</f>
        <v>1</v>
      </c>
      <c r="J1956" s="10" t="str">
        <f aca="false">_xlfn.CONCAT(A1956, ",",H1956,",",I1956)</f>
        <v>캠,느,1</v>
      </c>
      <c r="K1956" s="16" t="n">
        <f aca="false">IF(B1956=-1,-1,VLOOKUP(C1956,$T$1:$V$20,3))</f>
        <v>21</v>
      </c>
      <c r="L1956" s="16" t="n">
        <f aca="false">IF(B1956=-1,-1,VLOOKUP(D1956,$Y$1:$AA$22,3))</f>
        <v>10</v>
      </c>
      <c r="N1956" s="10" t="str">
        <f aca="false">_xlfn.UNICHAR(((C1956*21)+G1956)*28+44032)</f>
        <v>크</v>
      </c>
      <c r="O1956" s="10" t="str">
        <f aca="false">_xlfn.UNICHAR(((F1956*21)+D1956)*28+44032)</f>
        <v>내</v>
      </c>
      <c r="P1956" s="12" t="n">
        <f aca="false">COUNTIF($A$2:$A$3000, N1956) + COUNTIF($A$2:$A$3000, O1956)</f>
        <v>2</v>
      </c>
      <c r="Q1956" s="16" t="str">
        <f aca="false">IF(OR(B1956=-1,I1956=0, P1956&lt;&gt;2), "albhed_dummy", _xlfn.CONCAT("albhed ", RIGHT("  " &amp; K1956,2),", ", RIGHT("  " &amp; L1956,2), ", " ,"""",H1956,""", ", """",N1956,""", ","""",O1956,""""," ; ", A1956))</f>
        <v>albhed 21, 10, "느", "크", "내" ; 캠</v>
      </c>
    </row>
    <row r="1957" customFormat="false" ht="17.9" hidden="false" customHeight="true" outlineLevel="0" collapsed="false">
      <c r="A1957" s="16" t="s">
        <v>2807</v>
      </c>
      <c r="B1957" s="16" t="n">
        <f aca="false">IF(_xlfn.UNICODE(A1957)&lt;44032,-1,_xlfn.UNICODE(A1957)-44032)</f>
        <v>8865</v>
      </c>
      <c r="C1957" s="16" t="n">
        <f aca="false">IF(B1957=-1,-1,INT((B1957/28)/21))</f>
        <v>15</v>
      </c>
      <c r="D1957" s="16" t="n">
        <f aca="false">IF(B1957=-1, -1, MOD(INT(B1957/28),21))</f>
        <v>1</v>
      </c>
      <c r="E1957" s="16" t="n">
        <f aca="false">IF(B1957=-1, -1, VLOOKUP(MOD(B1957,28), $T$24:$U$52,2))</f>
        <v>17</v>
      </c>
      <c r="F1957" s="16" t="n">
        <f aca="false">IF($B1957=-1, -1, VLOOKUP(C1957,$T$1:$V$20, 2))</f>
        <v>2</v>
      </c>
      <c r="G1957" s="16" t="n">
        <f aca="false">IF($B1957=-1, -1, VLOOKUP(D1957,$Y$1:$Z$22,2))</f>
        <v>18</v>
      </c>
      <c r="H1957" s="16" t="str">
        <f aca="false">_xlfn.UNICHAR(((F1957*21)+G1957)*28+44032)</f>
        <v>느</v>
      </c>
      <c r="I1957" s="16" t="n">
        <f aca="false">IF(B1957=-1, 1, COUNTIF($A$2:$A$3000, H1957))</f>
        <v>1</v>
      </c>
      <c r="J1957" s="10" t="str">
        <f aca="false">_xlfn.CONCAT(A1957, ",",H1957,",",I1957)</f>
        <v>캡,느,1</v>
      </c>
      <c r="K1957" s="16" t="n">
        <f aca="false">IF(B1957=-1,-1,VLOOKUP(C1957,$T$1:$V$20,3))</f>
        <v>21</v>
      </c>
      <c r="L1957" s="16" t="n">
        <f aca="false">IF(B1957=-1,-1,VLOOKUP(D1957,$Y$1:$AA$22,3))</f>
        <v>10</v>
      </c>
      <c r="N1957" s="10" t="str">
        <f aca="false">_xlfn.UNICHAR(((C1957*21)+G1957)*28+44032)</f>
        <v>크</v>
      </c>
      <c r="O1957" s="10" t="str">
        <f aca="false">_xlfn.UNICHAR(((F1957*21)+D1957)*28+44032)</f>
        <v>내</v>
      </c>
      <c r="P1957" s="12" t="n">
        <f aca="false">COUNTIF($A$2:$A$3000, N1957) + COUNTIF($A$2:$A$3000, O1957)</f>
        <v>2</v>
      </c>
      <c r="Q1957" s="16" t="str">
        <f aca="false">IF(OR(B1957=-1,I1957=0, P1957&lt;&gt;2), "albhed_dummy", _xlfn.CONCAT("albhed ", RIGHT("  " &amp; K1957,2),", ", RIGHT("  " &amp; L1957,2), ", " ,"""",H1957,""", ", """",N1957,""", ","""",O1957,""""," ; ", A1957))</f>
        <v>albhed 21, 10, "느", "크", "내" ; 캡</v>
      </c>
    </row>
    <row r="1958" customFormat="false" ht="17.9" hidden="false" customHeight="true" outlineLevel="0" collapsed="false">
      <c r="A1958" s="16" t="s">
        <v>2808</v>
      </c>
      <c r="B1958" s="16" t="n">
        <f aca="false">IF(_xlfn.UNICODE(A1958)&lt;44032,-1,_xlfn.UNICODE(A1958)-44032)</f>
        <v>8867</v>
      </c>
      <c r="C1958" s="16" t="n">
        <f aca="false">IF(B1958=-1,-1,INT((B1958/28)/21))</f>
        <v>15</v>
      </c>
      <c r="D1958" s="16" t="n">
        <f aca="false">IF(B1958=-1, -1, MOD(INT(B1958/28),21))</f>
        <v>1</v>
      </c>
      <c r="E1958" s="16" t="n">
        <f aca="false">IF(B1958=-1, -1, VLOOKUP(MOD(B1958,28), $T$24:$U$52,2))</f>
        <v>19</v>
      </c>
      <c r="F1958" s="16" t="n">
        <f aca="false">IF($B1958=-1, -1, VLOOKUP(C1958,$T$1:$V$20, 2))</f>
        <v>2</v>
      </c>
      <c r="G1958" s="16" t="n">
        <f aca="false">IF($B1958=-1, -1, VLOOKUP(D1958,$Y$1:$Z$22,2))</f>
        <v>18</v>
      </c>
      <c r="H1958" s="16" t="str">
        <f aca="false">_xlfn.UNICHAR(((F1958*21)+G1958)*28+44032)</f>
        <v>느</v>
      </c>
      <c r="I1958" s="16" t="n">
        <f aca="false">IF(B1958=-1, 1, COUNTIF($A$2:$A$3000, H1958))</f>
        <v>1</v>
      </c>
      <c r="J1958" s="10" t="str">
        <f aca="false">_xlfn.CONCAT(A1958, ",",H1958,",",I1958)</f>
        <v>캣,느,1</v>
      </c>
      <c r="K1958" s="16" t="n">
        <f aca="false">IF(B1958=-1,-1,VLOOKUP(C1958,$T$1:$V$20,3))</f>
        <v>21</v>
      </c>
      <c r="L1958" s="16" t="n">
        <f aca="false">IF(B1958=-1,-1,VLOOKUP(D1958,$Y$1:$AA$22,3))</f>
        <v>10</v>
      </c>
      <c r="N1958" s="10" t="str">
        <f aca="false">_xlfn.UNICHAR(((C1958*21)+G1958)*28+44032)</f>
        <v>크</v>
      </c>
      <c r="O1958" s="10" t="str">
        <f aca="false">_xlfn.UNICHAR(((F1958*21)+D1958)*28+44032)</f>
        <v>내</v>
      </c>
      <c r="P1958" s="12" t="n">
        <f aca="false">COUNTIF($A$2:$A$3000, N1958) + COUNTIF($A$2:$A$3000, O1958)</f>
        <v>2</v>
      </c>
      <c r="Q1958" s="16" t="str">
        <f aca="false">IF(OR(B1958=-1,I1958=0, P1958&lt;&gt;2), "albhed_dummy", _xlfn.CONCAT("albhed ", RIGHT("  " &amp; K1958,2),", ", RIGHT("  " &amp; L1958,2), ", " ,"""",H1958,""", ", """",N1958,""", ","""",O1958,""""," ; ", A1958))</f>
        <v>albhed 21, 10, "느", "크", "내" ; 캣</v>
      </c>
    </row>
    <row r="1959" customFormat="false" ht="17.9" hidden="false" customHeight="true" outlineLevel="0" collapsed="false">
      <c r="A1959" s="16" t="s">
        <v>2809</v>
      </c>
      <c r="B1959" s="16" t="n">
        <f aca="false">IF(_xlfn.UNICODE(A1959)&lt;44032,-1,_xlfn.UNICODE(A1959)-44032)</f>
        <v>8868</v>
      </c>
      <c r="C1959" s="16" t="n">
        <f aca="false">IF(B1959=-1,-1,INT((B1959/28)/21))</f>
        <v>15</v>
      </c>
      <c r="D1959" s="16" t="n">
        <f aca="false">IF(B1959=-1, -1, MOD(INT(B1959/28),21))</f>
        <v>1</v>
      </c>
      <c r="E1959" s="16" t="n">
        <f aca="false">IF(B1959=-1, -1, VLOOKUP(MOD(B1959,28), $T$24:$U$52,2))</f>
        <v>19</v>
      </c>
      <c r="F1959" s="16" t="n">
        <f aca="false">IF($B1959=-1, -1, VLOOKUP(C1959,$T$1:$V$20, 2))</f>
        <v>2</v>
      </c>
      <c r="G1959" s="16" t="n">
        <f aca="false">IF($B1959=-1, -1, VLOOKUP(D1959,$Y$1:$Z$22,2))</f>
        <v>18</v>
      </c>
      <c r="H1959" s="16" t="str">
        <f aca="false">_xlfn.UNICHAR(((F1959*21)+G1959)*28+44032)</f>
        <v>느</v>
      </c>
      <c r="I1959" s="16" t="n">
        <f aca="false">IF(B1959=-1, 1, COUNTIF($A$2:$A$3000, H1959))</f>
        <v>1</v>
      </c>
      <c r="J1959" s="10" t="str">
        <f aca="false">_xlfn.CONCAT(A1959, ",",H1959,",",I1959)</f>
        <v>캤,느,1</v>
      </c>
      <c r="K1959" s="16" t="n">
        <f aca="false">IF(B1959=-1,-1,VLOOKUP(C1959,$T$1:$V$20,3))</f>
        <v>21</v>
      </c>
      <c r="L1959" s="16" t="n">
        <f aca="false">IF(B1959=-1,-1,VLOOKUP(D1959,$Y$1:$AA$22,3))</f>
        <v>10</v>
      </c>
      <c r="N1959" s="10" t="str">
        <f aca="false">_xlfn.UNICHAR(((C1959*21)+G1959)*28+44032)</f>
        <v>크</v>
      </c>
      <c r="O1959" s="10" t="str">
        <f aca="false">_xlfn.UNICHAR(((F1959*21)+D1959)*28+44032)</f>
        <v>내</v>
      </c>
      <c r="P1959" s="12" t="n">
        <f aca="false">COUNTIF($A$2:$A$3000, N1959) + COUNTIF($A$2:$A$3000, O1959)</f>
        <v>2</v>
      </c>
      <c r="Q1959" s="16" t="str">
        <f aca="false">IF(OR(B1959=-1,I1959=0, P1959&lt;&gt;2), "albhed_dummy", _xlfn.CONCAT("albhed ", RIGHT("  " &amp; K1959,2),", ", RIGHT("  " &amp; L1959,2), ", " ,"""",H1959,""", ", """",N1959,""", ","""",O1959,""""," ; ", A1959))</f>
        <v>albhed 21, 10, "느", "크", "내" ; 캤</v>
      </c>
    </row>
    <row r="1960" customFormat="false" ht="17.9" hidden="false" customHeight="true" outlineLevel="0" collapsed="false">
      <c r="A1960" s="16" t="s">
        <v>2810</v>
      </c>
      <c r="B1960" s="16" t="n">
        <f aca="false">IF(_xlfn.UNICODE(A1960)&lt;44032,-1,_xlfn.UNICODE(A1960)-44032)</f>
        <v>8869</v>
      </c>
      <c r="C1960" s="16" t="n">
        <f aca="false">IF(B1960=-1,-1,INT((B1960/28)/21))</f>
        <v>15</v>
      </c>
      <c r="D1960" s="16" t="n">
        <f aca="false">IF(B1960=-1, -1, MOD(INT(B1960/28),21))</f>
        <v>1</v>
      </c>
      <c r="E1960" s="16" t="n">
        <f aca="false">IF(B1960=-1, -1, VLOOKUP(MOD(B1960,28), $T$24:$U$52,2))</f>
        <v>21</v>
      </c>
      <c r="F1960" s="16" t="n">
        <f aca="false">IF($B1960=-1, -1, VLOOKUP(C1960,$T$1:$V$20, 2))</f>
        <v>2</v>
      </c>
      <c r="G1960" s="16" t="n">
        <f aca="false">IF($B1960=-1, -1, VLOOKUP(D1960,$Y$1:$Z$22,2))</f>
        <v>18</v>
      </c>
      <c r="H1960" s="16" t="str">
        <f aca="false">_xlfn.UNICHAR(((F1960*21)+G1960)*28+44032)</f>
        <v>느</v>
      </c>
      <c r="I1960" s="16" t="n">
        <f aca="false">IF(B1960=-1, 1, COUNTIF($A$2:$A$3000, H1960))</f>
        <v>1</v>
      </c>
      <c r="J1960" s="10" t="str">
        <f aca="false">_xlfn.CONCAT(A1960, ",",H1960,",",I1960)</f>
        <v>캥,느,1</v>
      </c>
      <c r="K1960" s="16" t="n">
        <f aca="false">IF(B1960=-1,-1,VLOOKUP(C1960,$T$1:$V$20,3))</f>
        <v>21</v>
      </c>
      <c r="L1960" s="16" t="n">
        <f aca="false">IF(B1960=-1,-1,VLOOKUP(D1960,$Y$1:$AA$22,3))</f>
        <v>10</v>
      </c>
      <c r="N1960" s="10" t="str">
        <f aca="false">_xlfn.UNICHAR(((C1960*21)+G1960)*28+44032)</f>
        <v>크</v>
      </c>
      <c r="O1960" s="10" t="str">
        <f aca="false">_xlfn.UNICHAR(((F1960*21)+D1960)*28+44032)</f>
        <v>내</v>
      </c>
      <c r="P1960" s="12" t="n">
        <f aca="false">COUNTIF($A$2:$A$3000, N1960) + COUNTIF($A$2:$A$3000, O1960)</f>
        <v>2</v>
      </c>
      <c r="Q1960" s="16" t="str">
        <f aca="false">IF(OR(B1960=-1,I1960=0, P1960&lt;&gt;2), "albhed_dummy", _xlfn.CONCAT("albhed ", RIGHT("  " &amp; K1960,2),", ", RIGHT("  " &amp; L1960,2), ", " ,"""",H1960,""", ", """",N1960,""", ","""",O1960,""""," ; ", A1960))</f>
        <v>albhed 21, 10, "느", "크", "내" ; 캥</v>
      </c>
    </row>
    <row r="1961" customFormat="false" ht="17.9" hidden="false" customHeight="true" outlineLevel="0" collapsed="false">
      <c r="A1961" s="16" t="s">
        <v>2811</v>
      </c>
      <c r="B1961" s="16" t="n">
        <f aca="false">IF(_xlfn.UNICODE(A1961)&lt;44032,-1,_xlfn.UNICODE(A1961)-44032)</f>
        <v>8876</v>
      </c>
      <c r="C1961" s="16" t="n">
        <f aca="false">IF(B1961=-1,-1,INT((B1961/28)/21))</f>
        <v>15</v>
      </c>
      <c r="D1961" s="16" t="n">
        <f aca="false">IF(B1961=-1, -1, MOD(INT(B1961/28),21))</f>
        <v>2</v>
      </c>
      <c r="E1961" s="16" t="n">
        <f aca="false">IF(B1961=-1, -1, VLOOKUP(MOD(B1961,28), $T$24:$U$52,2))</f>
        <v>0</v>
      </c>
      <c r="F1961" s="16" t="n">
        <f aca="false">IF($B1961=-1, -1, VLOOKUP(C1961,$T$1:$V$20, 2))</f>
        <v>2</v>
      </c>
      <c r="G1961" s="16" t="n">
        <f aca="false">IF($B1961=-1, -1, VLOOKUP(D1961,$Y$1:$Z$22,2))</f>
        <v>17</v>
      </c>
      <c r="H1961" s="16" t="str">
        <f aca="false">_xlfn.UNICHAR(((F1961*21)+G1961)*28+44032)</f>
        <v>뉴</v>
      </c>
      <c r="I1961" s="16" t="n">
        <f aca="false">IF(B1961=-1, 1, COUNTIF($A$2:$A$3000, H1961))</f>
        <v>1</v>
      </c>
      <c r="J1961" s="10" t="str">
        <f aca="false">_xlfn.CONCAT(A1961, ",",H1961,",",I1961)</f>
        <v>캬,뉴,1</v>
      </c>
      <c r="K1961" s="16" t="n">
        <f aca="false">IF(B1961=-1,-1,VLOOKUP(C1961,$T$1:$V$20,3))</f>
        <v>21</v>
      </c>
      <c r="L1961" s="16" t="n">
        <f aca="false">IF(B1961=-1,-1,VLOOKUP(D1961,$Y$1:$AA$22,3))</f>
        <v>2</v>
      </c>
      <c r="N1961" s="10" t="str">
        <f aca="false">_xlfn.UNICHAR(((C1961*21)+G1961)*28+44032)</f>
        <v>큐</v>
      </c>
      <c r="O1961" s="10" t="str">
        <f aca="false">_xlfn.UNICHAR(((F1961*21)+D1961)*28+44032)</f>
        <v>냐</v>
      </c>
      <c r="P1961" s="12" t="n">
        <f aca="false">COUNTIF($A$2:$A$3000, N1961) + COUNTIF($A$2:$A$3000, O1961)</f>
        <v>2</v>
      </c>
      <c r="Q1961" s="16" t="str">
        <f aca="false">IF(OR(B1961=-1,I1961=0, P1961&lt;&gt;2), "albhed_dummy", _xlfn.CONCAT("albhed ", RIGHT("  " &amp; K1961,2),", ", RIGHT("  " &amp; L1961,2), ", " ,"""",H1961,""", ", """",N1961,""", ","""",O1961,""""," ; ", A1961))</f>
        <v>albhed 21,  2, "뉴", "큐", "냐" ; 캬</v>
      </c>
    </row>
    <row r="1962" customFormat="false" ht="17.9" hidden="false" customHeight="true" outlineLevel="0" collapsed="false">
      <c r="A1962" s="16" t="s">
        <v>2812</v>
      </c>
      <c r="B1962" s="16" t="n">
        <f aca="false">IF(_xlfn.UNICODE(A1962)&lt;44032,-1,_xlfn.UNICODE(A1962)-44032)</f>
        <v>8877</v>
      </c>
      <c r="C1962" s="16" t="n">
        <f aca="false">IF(B1962=-1,-1,INT((B1962/28)/21))</f>
        <v>15</v>
      </c>
      <c r="D1962" s="16" t="n">
        <f aca="false">IF(B1962=-1, -1, MOD(INT(B1962/28),21))</f>
        <v>2</v>
      </c>
      <c r="E1962" s="16" t="n">
        <f aca="false">IF(B1962=-1, -1, VLOOKUP(MOD(B1962,28), $T$24:$U$52,2))</f>
        <v>1</v>
      </c>
      <c r="F1962" s="16" t="n">
        <f aca="false">IF($B1962=-1, -1, VLOOKUP(C1962,$T$1:$V$20, 2))</f>
        <v>2</v>
      </c>
      <c r="G1962" s="16" t="n">
        <f aca="false">IF($B1962=-1, -1, VLOOKUP(D1962,$Y$1:$Z$22,2))</f>
        <v>17</v>
      </c>
      <c r="H1962" s="16" t="str">
        <f aca="false">_xlfn.UNICHAR(((F1962*21)+G1962)*28+44032)</f>
        <v>뉴</v>
      </c>
      <c r="I1962" s="16" t="n">
        <f aca="false">IF(B1962=-1, 1, COUNTIF($A$2:$A$3000, H1962))</f>
        <v>1</v>
      </c>
      <c r="J1962" s="10" t="str">
        <f aca="false">_xlfn.CONCAT(A1962, ",",H1962,",",I1962)</f>
        <v>캭,뉴,1</v>
      </c>
      <c r="K1962" s="16" t="n">
        <f aca="false">IF(B1962=-1,-1,VLOOKUP(C1962,$T$1:$V$20,3))</f>
        <v>21</v>
      </c>
      <c r="L1962" s="16" t="n">
        <f aca="false">IF(B1962=-1,-1,VLOOKUP(D1962,$Y$1:$AA$22,3))</f>
        <v>2</v>
      </c>
      <c r="N1962" s="10" t="str">
        <f aca="false">_xlfn.UNICHAR(((C1962*21)+G1962)*28+44032)</f>
        <v>큐</v>
      </c>
      <c r="O1962" s="10" t="str">
        <f aca="false">_xlfn.UNICHAR(((F1962*21)+D1962)*28+44032)</f>
        <v>냐</v>
      </c>
      <c r="P1962" s="12" t="n">
        <f aca="false">COUNTIF($A$2:$A$3000, N1962) + COUNTIF($A$2:$A$3000, O1962)</f>
        <v>2</v>
      </c>
      <c r="Q1962" s="16" t="str">
        <f aca="false">IF(OR(B1962=-1,I1962=0, P1962&lt;&gt;2), "albhed_dummy", _xlfn.CONCAT("albhed ", RIGHT("  " &amp; K1962,2),", ", RIGHT("  " &amp; L1962,2), ", " ,"""",H1962,""", ", """",N1962,""", ","""",O1962,""""," ; ", A1962))</f>
        <v>albhed 21,  2, "뉴", "큐", "냐" ; 캭</v>
      </c>
    </row>
    <row r="1963" customFormat="false" ht="17.9" hidden="false" customHeight="true" outlineLevel="0" collapsed="false">
      <c r="A1963" s="16" t="s">
        <v>2813</v>
      </c>
      <c r="B1963" s="16" t="n">
        <f aca="false">IF(_xlfn.UNICODE(A1963)&lt;44032,-1,_xlfn.UNICODE(A1963)-44032)</f>
        <v>8897</v>
      </c>
      <c r="C1963" s="16" t="n">
        <f aca="false">IF(B1963=-1,-1,INT((B1963/28)/21))</f>
        <v>15</v>
      </c>
      <c r="D1963" s="16" t="n">
        <f aca="false">IF(B1963=-1, -1, MOD(INT(B1963/28),21))</f>
        <v>2</v>
      </c>
      <c r="E1963" s="16" t="n">
        <f aca="false">IF(B1963=-1, -1, VLOOKUP(MOD(B1963,28), $T$24:$U$52,2))</f>
        <v>21</v>
      </c>
      <c r="F1963" s="16" t="n">
        <f aca="false">IF($B1963=-1, -1, VLOOKUP(C1963,$T$1:$V$20, 2))</f>
        <v>2</v>
      </c>
      <c r="G1963" s="16" t="n">
        <f aca="false">IF($B1963=-1, -1, VLOOKUP(D1963,$Y$1:$Z$22,2))</f>
        <v>17</v>
      </c>
      <c r="H1963" s="16" t="str">
        <f aca="false">_xlfn.UNICHAR(((F1963*21)+G1963)*28+44032)</f>
        <v>뉴</v>
      </c>
      <c r="I1963" s="16" t="n">
        <f aca="false">IF(B1963=-1, 1, COUNTIF($A$2:$A$3000, H1963))</f>
        <v>1</v>
      </c>
      <c r="J1963" s="10" t="str">
        <f aca="false">_xlfn.CONCAT(A1963, ",",H1963,",",I1963)</f>
        <v>컁,뉴,1</v>
      </c>
      <c r="K1963" s="16" t="n">
        <f aca="false">IF(B1963=-1,-1,VLOOKUP(C1963,$T$1:$V$20,3))</f>
        <v>21</v>
      </c>
      <c r="L1963" s="16" t="n">
        <f aca="false">IF(B1963=-1,-1,VLOOKUP(D1963,$Y$1:$AA$22,3))</f>
        <v>2</v>
      </c>
      <c r="N1963" s="10" t="str">
        <f aca="false">_xlfn.UNICHAR(((C1963*21)+G1963)*28+44032)</f>
        <v>큐</v>
      </c>
      <c r="O1963" s="10" t="str">
        <f aca="false">_xlfn.UNICHAR(((F1963*21)+D1963)*28+44032)</f>
        <v>냐</v>
      </c>
      <c r="P1963" s="12" t="n">
        <f aca="false">COUNTIF($A$2:$A$3000, N1963) + COUNTIF($A$2:$A$3000, O1963)</f>
        <v>2</v>
      </c>
      <c r="Q1963" s="16" t="str">
        <f aca="false">IF(OR(B1963=-1,I1963=0, P1963&lt;&gt;2), "albhed_dummy", _xlfn.CONCAT("albhed ", RIGHT("  " &amp; K1963,2),", ", RIGHT("  " &amp; L1963,2), ", " ,"""",H1963,""", ", """",N1963,""", ","""",O1963,""""," ; ", A1963))</f>
        <v>albhed 21,  2, "뉴", "큐", "냐" ; 컁</v>
      </c>
    </row>
    <row r="1964" customFormat="false" ht="17.9" hidden="false" customHeight="true" outlineLevel="0" collapsed="false">
      <c r="A1964" s="16" t="s">
        <v>2814</v>
      </c>
      <c r="B1964" s="16" t="n">
        <f aca="false">IF(_xlfn.UNICODE(A1964)&lt;44032,-1,_xlfn.UNICODE(A1964)-44032)</f>
        <v>8932</v>
      </c>
      <c r="C1964" s="16" t="n">
        <f aca="false">IF(B1964=-1,-1,INT((B1964/28)/21))</f>
        <v>15</v>
      </c>
      <c r="D1964" s="16" t="n">
        <f aca="false">IF(B1964=-1, -1, MOD(INT(B1964/28),21))</f>
        <v>4</v>
      </c>
      <c r="E1964" s="16" t="n">
        <f aca="false">IF(B1964=-1, -1, VLOOKUP(MOD(B1964,28), $T$24:$U$52,2))</f>
        <v>0</v>
      </c>
      <c r="F1964" s="16" t="n">
        <f aca="false">IF($B1964=-1, -1, VLOOKUP(C1964,$T$1:$V$20, 2))</f>
        <v>2</v>
      </c>
      <c r="G1964" s="16" t="n">
        <f aca="false">IF($B1964=-1, -1, VLOOKUP(D1964,$Y$1:$Z$22,2))</f>
        <v>8</v>
      </c>
      <c r="H1964" s="16" t="str">
        <f aca="false">_xlfn.UNICHAR(((F1964*21)+G1964)*28+44032)</f>
        <v>노</v>
      </c>
      <c r="I1964" s="16" t="n">
        <f aca="false">IF(B1964=-1, 1, COUNTIF($A$2:$A$3000, H1964))</f>
        <v>1</v>
      </c>
      <c r="J1964" s="10" t="str">
        <f aca="false">_xlfn.CONCAT(A1964, ",",H1964,",",I1964)</f>
        <v>커,노,1</v>
      </c>
      <c r="K1964" s="16" t="n">
        <f aca="false">IF(B1964=-1,-1,VLOOKUP(C1964,$T$1:$V$20,3))</f>
        <v>21</v>
      </c>
      <c r="L1964" s="16" t="n">
        <f aca="false">IF(B1964=-1,-1,VLOOKUP(D1964,$Y$1:$AA$22,3))</f>
        <v>4</v>
      </c>
      <c r="N1964" s="10" t="str">
        <f aca="false">_xlfn.UNICHAR(((C1964*21)+G1964)*28+44032)</f>
        <v>코</v>
      </c>
      <c r="O1964" s="10" t="str">
        <f aca="false">_xlfn.UNICHAR(((F1964*21)+D1964)*28+44032)</f>
        <v>너</v>
      </c>
      <c r="P1964" s="12" t="n">
        <f aca="false">COUNTIF($A$2:$A$3000, N1964) + COUNTIF($A$2:$A$3000, O1964)</f>
        <v>2</v>
      </c>
      <c r="Q1964" s="16" t="str">
        <f aca="false">IF(OR(B1964=-1,I1964=0, P1964&lt;&gt;2), "albhed_dummy", _xlfn.CONCAT("albhed ", RIGHT("  " &amp; K1964,2),", ", RIGHT("  " &amp; L1964,2), ", " ,"""",H1964,""", ", """",N1964,""", ","""",O1964,""""," ; ", A1964))</f>
        <v>albhed 21,  4, "노", "코", "너" ; 커</v>
      </c>
    </row>
    <row r="1965" customFormat="false" ht="17.9" hidden="false" customHeight="true" outlineLevel="0" collapsed="false">
      <c r="A1965" s="16" t="s">
        <v>2815</v>
      </c>
      <c r="B1965" s="16" t="n">
        <f aca="false">IF(_xlfn.UNICODE(A1965)&lt;44032,-1,_xlfn.UNICODE(A1965)-44032)</f>
        <v>8933</v>
      </c>
      <c r="C1965" s="16" t="n">
        <f aca="false">IF(B1965=-1,-1,INT((B1965/28)/21))</f>
        <v>15</v>
      </c>
      <c r="D1965" s="16" t="n">
        <f aca="false">IF(B1965=-1, -1, MOD(INT(B1965/28),21))</f>
        <v>4</v>
      </c>
      <c r="E1965" s="16" t="n">
        <f aca="false">IF(B1965=-1, -1, VLOOKUP(MOD(B1965,28), $T$24:$U$52,2))</f>
        <v>1</v>
      </c>
      <c r="F1965" s="16" t="n">
        <f aca="false">IF($B1965=-1, -1, VLOOKUP(C1965,$T$1:$V$20, 2))</f>
        <v>2</v>
      </c>
      <c r="G1965" s="16" t="n">
        <f aca="false">IF($B1965=-1, -1, VLOOKUP(D1965,$Y$1:$Z$22,2))</f>
        <v>8</v>
      </c>
      <c r="H1965" s="16" t="str">
        <f aca="false">_xlfn.UNICHAR(((F1965*21)+G1965)*28+44032)</f>
        <v>노</v>
      </c>
      <c r="I1965" s="16" t="n">
        <f aca="false">IF(B1965=-1, 1, COUNTIF($A$2:$A$3000, H1965))</f>
        <v>1</v>
      </c>
      <c r="J1965" s="10" t="str">
        <f aca="false">_xlfn.CONCAT(A1965, ",",H1965,",",I1965)</f>
        <v>컥,노,1</v>
      </c>
      <c r="K1965" s="16" t="n">
        <f aca="false">IF(B1965=-1,-1,VLOOKUP(C1965,$T$1:$V$20,3))</f>
        <v>21</v>
      </c>
      <c r="L1965" s="16" t="n">
        <f aca="false">IF(B1965=-1,-1,VLOOKUP(D1965,$Y$1:$AA$22,3))</f>
        <v>4</v>
      </c>
      <c r="N1965" s="10" t="str">
        <f aca="false">_xlfn.UNICHAR(((C1965*21)+G1965)*28+44032)</f>
        <v>코</v>
      </c>
      <c r="O1965" s="10" t="str">
        <f aca="false">_xlfn.UNICHAR(((F1965*21)+D1965)*28+44032)</f>
        <v>너</v>
      </c>
      <c r="P1965" s="12" t="n">
        <f aca="false">COUNTIF($A$2:$A$3000, N1965) + COUNTIF($A$2:$A$3000, O1965)</f>
        <v>2</v>
      </c>
      <c r="Q1965" s="16" t="str">
        <f aca="false">IF(OR(B1965=-1,I1965=0, P1965&lt;&gt;2), "albhed_dummy", _xlfn.CONCAT("albhed ", RIGHT("  " &amp; K1965,2),", ", RIGHT("  " &amp; L1965,2), ", " ,"""",H1965,""", ", """",N1965,""", ","""",O1965,""""," ; ", A1965))</f>
        <v>albhed 21,  4, "노", "코", "너" ; 컥</v>
      </c>
    </row>
    <row r="1966" customFormat="false" ht="17.9" hidden="false" customHeight="true" outlineLevel="0" collapsed="false">
      <c r="A1966" s="16" t="s">
        <v>2816</v>
      </c>
      <c r="B1966" s="16" t="n">
        <f aca="false">IF(_xlfn.UNICODE(A1966)&lt;44032,-1,_xlfn.UNICODE(A1966)-44032)</f>
        <v>8936</v>
      </c>
      <c r="C1966" s="16" t="n">
        <f aca="false">IF(B1966=-1,-1,INT((B1966/28)/21))</f>
        <v>15</v>
      </c>
      <c r="D1966" s="16" t="n">
        <f aca="false">IF(B1966=-1, -1, MOD(INT(B1966/28),21))</f>
        <v>4</v>
      </c>
      <c r="E1966" s="16" t="n">
        <f aca="false">IF(B1966=-1, -1, VLOOKUP(MOD(B1966,28), $T$24:$U$52,2))</f>
        <v>4</v>
      </c>
      <c r="F1966" s="16" t="n">
        <f aca="false">IF($B1966=-1, -1, VLOOKUP(C1966,$T$1:$V$20, 2))</f>
        <v>2</v>
      </c>
      <c r="G1966" s="16" t="n">
        <f aca="false">IF($B1966=-1, -1, VLOOKUP(D1966,$Y$1:$Z$22,2))</f>
        <v>8</v>
      </c>
      <c r="H1966" s="16" t="str">
        <f aca="false">_xlfn.UNICHAR(((F1966*21)+G1966)*28+44032)</f>
        <v>노</v>
      </c>
      <c r="I1966" s="16" t="n">
        <f aca="false">IF(B1966=-1, 1, COUNTIF($A$2:$A$3000, H1966))</f>
        <v>1</v>
      </c>
      <c r="J1966" s="10" t="str">
        <f aca="false">_xlfn.CONCAT(A1966, ",",H1966,",",I1966)</f>
        <v>컨,노,1</v>
      </c>
      <c r="K1966" s="16" t="n">
        <f aca="false">IF(B1966=-1,-1,VLOOKUP(C1966,$T$1:$V$20,3))</f>
        <v>21</v>
      </c>
      <c r="L1966" s="16" t="n">
        <f aca="false">IF(B1966=-1,-1,VLOOKUP(D1966,$Y$1:$AA$22,3))</f>
        <v>4</v>
      </c>
      <c r="N1966" s="10" t="str">
        <f aca="false">_xlfn.UNICHAR(((C1966*21)+G1966)*28+44032)</f>
        <v>코</v>
      </c>
      <c r="O1966" s="10" t="str">
        <f aca="false">_xlfn.UNICHAR(((F1966*21)+D1966)*28+44032)</f>
        <v>너</v>
      </c>
      <c r="P1966" s="12" t="n">
        <f aca="false">COUNTIF($A$2:$A$3000, N1966) + COUNTIF($A$2:$A$3000, O1966)</f>
        <v>2</v>
      </c>
      <c r="Q1966" s="16" t="str">
        <f aca="false">IF(OR(B1966=-1,I1966=0, P1966&lt;&gt;2), "albhed_dummy", _xlfn.CONCAT("albhed ", RIGHT("  " &amp; K1966,2),", ", RIGHT("  " &amp; L1966,2), ", " ,"""",H1966,""", ", """",N1966,""", ","""",O1966,""""," ; ", A1966))</f>
        <v>albhed 21,  4, "노", "코", "너" ; 컨</v>
      </c>
    </row>
    <row r="1967" customFormat="false" ht="17.9" hidden="false" customHeight="true" outlineLevel="0" collapsed="false">
      <c r="A1967" s="16" t="s">
        <v>2817</v>
      </c>
      <c r="B1967" s="16" t="n">
        <f aca="false">IF(_xlfn.UNICODE(A1967)&lt;44032,-1,_xlfn.UNICODE(A1967)-44032)</f>
        <v>8939</v>
      </c>
      <c r="C1967" s="16" t="n">
        <f aca="false">IF(B1967=-1,-1,INT((B1967/28)/21))</f>
        <v>15</v>
      </c>
      <c r="D1967" s="16" t="n">
        <f aca="false">IF(B1967=-1, -1, MOD(INT(B1967/28),21))</f>
        <v>4</v>
      </c>
      <c r="E1967" s="16" t="n">
        <f aca="false">IF(B1967=-1, -1, VLOOKUP(MOD(B1967,28), $T$24:$U$52,2))</f>
        <v>19</v>
      </c>
      <c r="F1967" s="16" t="n">
        <f aca="false">IF($B1967=-1, -1, VLOOKUP(C1967,$T$1:$V$20, 2))</f>
        <v>2</v>
      </c>
      <c r="G1967" s="16" t="n">
        <f aca="false">IF($B1967=-1, -1, VLOOKUP(D1967,$Y$1:$Z$22,2))</f>
        <v>8</v>
      </c>
      <c r="H1967" s="16" t="str">
        <f aca="false">_xlfn.UNICHAR(((F1967*21)+G1967)*28+44032)</f>
        <v>노</v>
      </c>
      <c r="I1967" s="16" t="n">
        <f aca="false">IF(B1967=-1, 1, COUNTIF($A$2:$A$3000, H1967))</f>
        <v>1</v>
      </c>
      <c r="J1967" s="10" t="str">
        <f aca="false">_xlfn.CONCAT(A1967, ",",H1967,",",I1967)</f>
        <v>컫,노,1</v>
      </c>
      <c r="K1967" s="16" t="n">
        <f aca="false">IF(B1967=-1,-1,VLOOKUP(C1967,$T$1:$V$20,3))</f>
        <v>21</v>
      </c>
      <c r="L1967" s="16" t="n">
        <f aca="false">IF(B1967=-1,-1,VLOOKUP(D1967,$Y$1:$AA$22,3))</f>
        <v>4</v>
      </c>
      <c r="N1967" s="10" t="str">
        <f aca="false">_xlfn.UNICHAR(((C1967*21)+G1967)*28+44032)</f>
        <v>코</v>
      </c>
      <c r="O1967" s="10" t="str">
        <f aca="false">_xlfn.UNICHAR(((F1967*21)+D1967)*28+44032)</f>
        <v>너</v>
      </c>
      <c r="P1967" s="12" t="n">
        <f aca="false">COUNTIF($A$2:$A$3000, N1967) + COUNTIF($A$2:$A$3000, O1967)</f>
        <v>2</v>
      </c>
      <c r="Q1967" s="16" t="str">
        <f aca="false">IF(OR(B1967=-1,I1967=0, P1967&lt;&gt;2), "albhed_dummy", _xlfn.CONCAT("albhed ", RIGHT("  " &amp; K1967,2),", ", RIGHT("  " &amp; L1967,2), ", " ,"""",H1967,""", ", """",N1967,""", ","""",O1967,""""," ; ", A1967))</f>
        <v>albhed 21,  4, "노", "코", "너" ; 컫</v>
      </c>
    </row>
    <row r="1968" customFormat="false" ht="17.9" hidden="false" customHeight="true" outlineLevel="0" collapsed="false">
      <c r="A1968" s="16" t="s">
        <v>2818</v>
      </c>
      <c r="B1968" s="16" t="n">
        <f aca="false">IF(_xlfn.UNICODE(A1968)&lt;44032,-1,_xlfn.UNICODE(A1968)-44032)</f>
        <v>8940</v>
      </c>
      <c r="C1968" s="16" t="n">
        <f aca="false">IF(B1968=-1,-1,INT((B1968/28)/21))</f>
        <v>15</v>
      </c>
      <c r="D1968" s="16" t="n">
        <f aca="false">IF(B1968=-1, -1, MOD(INT(B1968/28),21))</f>
        <v>4</v>
      </c>
      <c r="E1968" s="16" t="n">
        <f aca="false">IF(B1968=-1, -1, VLOOKUP(MOD(B1968,28), $T$24:$U$52,2))</f>
        <v>8</v>
      </c>
      <c r="F1968" s="16" t="n">
        <f aca="false">IF($B1968=-1, -1, VLOOKUP(C1968,$T$1:$V$20, 2))</f>
        <v>2</v>
      </c>
      <c r="G1968" s="16" t="n">
        <f aca="false">IF($B1968=-1, -1, VLOOKUP(D1968,$Y$1:$Z$22,2))</f>
        <v>8</v>
      </c>
      <c r="H1968" s="16" t="str">
        <f aca="false">_xlfn.UNICHAR(((F1968*21)+G1968)*28+44032)</f>
        <v>노</v>
      </c>
      <c r="I1968" s="16" t="n">
        <f aca="false">IF(B1968=-1, 1, COUNTIF($A$2:$A$3000, H1968))</f>
        <v>1</v>
      </c>
      <c r="J1968" s="10" t="str">
        <f aca="false">_xlfn.CONCAT(A1968, ",",H1968,",",I1968)</f>
        <v>컬,노,1</v>
      </c>
      <c r="K1968" s="16" t="n">
        <f aca="false">IF(B1968=-1,-1,VLOOKUP(C1968,$T$1:$V$20,3))</f>
        <v>21</v>
      </c>
      <c r="L1968" s="16" t="n">
        <f aca="false">IF(B1968=-1,-1,VLOOKUP(D1968,$Y$1:$AA$22,3))</f>
        <v>4</v>
      </c>
      <c r="N1968" s="10" t="str">
        <f aca="false">_xlfn.UNICHAR(((C1968*21)+G1968)*28+44032)</f>
        <v>코</v>
      </c>
      <c r="O1968" s="10" t="str">
        <f aca="false">_xlfn.UNICHAR(((F1968*21)+D1968)*28+44032)</f>
        <v>너</v>
      </c>
      <c r="P1968" s="12" t="n">
        <f aca="false">COUNTIF($A$2:$A$3000, N1968) + COUNTIF($A$2:$A$3000, O1968)</f>
        <v>2</v>
      </c>
      <c r="Q1968" s="16" t="str">
        <f aca="false">IF(OR(B1968=-1,I1968=0, P1968&lt;&gt;2), "albhed_dummy", _xlfn.CONCAT("albhed ", RIGHT("  " &amp; K1968,2),", ", RIGHT("  " &amp; L1968,2), ", " ,"""",H1968,""", ", """",N1968,""", ","""",O1968,""""," ; ", A1968))</f>
        <v>albhed 21,  4, "노", "코", "너" ; 컬</v>
      </c>
    </row>
    <row r="1969" customFormat="false" ht="17.9" hidden="false" customHeight="true" outlineLevel="0" collapsed="false">
      <c r="A1969" s="16" t="s">
        <v>2819</v>
      </c>
      <c r="B1969" s="16" t="n">
        <f aca="false">IF(_xlfn.UNICODE(A1969)&lt;44032,-1,_xlfn.UNICODE(A1969)-44032)</f>
        <v>8948</v>
      </c>
      <c r="C1969" s="16" t="n">
        <f aca="false">IF(B1969=-1,-1,INT((B1969/28)/21))</f>
        <v>15</v>
      </c>
      <c r="D1969" s="16" t="n">
        <f aca="false">IF(B1969=-1, -1, MOD(INT(B1969/28),21))</f>
        <v>4</v>
      </c>
      <c r="E1969" s="16" t="n">
        <f aca="false">IF(B1969=-1, -1, VLOOKUP(MOD(B1969,28), $T$24:$U$52,2))</f>
        <v>16</v>
      </c>
      <c r="F1969" s="16" t="n">
        <f aca="false">IF($B1969=-1, -1, VLOOKUP(C1969,$T$1:$V$20, 2))</f>
        <v>2</v>
      </c>
      <c r="G1969" s="16" t="n">
        <f aca="false">IF($B1969=-1, -1, VLOOKUP(D1969,$Y$1:$Z$22,2))</f>
        <v>8</v>
      </c>
      <c r="H1969" s="16" t="str">
        <f aca="false">_xlfn.UNICHAR(((F1969*21)+G1969)*28+44032)</f>
        <v>노</v>
      </c>
      <c r="I1969" s="16" t="n">
        <f aca="false">IF(B1969=-1, 1, COUNTIF($A$2:$A$3000, H1969))</f>
        <v>1</v>
      </c>
      <c r="J1969" s="10" t="str">
        <f aca="false">_xlfn.CONCAT(A1969, ",",H1969,",",I1969)</f>
        <v>컴,노,1</v>
      </c>
      <c r="K1969" s="16" t="n">
        <f aca="false">IF(B1969=-1,-1,VLOOKUP(C1969,$T$1:$V$20,3))</f>
        <v>21</v>
      </c>
      <c r="L1969" s="16" t="n">
        <f aca="false">IF(B1969=-1,-1,VLOOKUP(D1969,$Y$1:$AA$22,3))</f>
        <v>4</v>
      </c>
      <c r="N1969" s="10" t="str">
        <f aca="false">_xlfn.UNICHAR(((C1969*21)+G1969)*28+44032)</f>
        <v>코</v>
      </c>
      <c r="O1969" s="10" t="str">
        <f aca="false">_xlfn.UNICHAR(((F1969*21)+D1969)*28+44032)</f>
        <v>너</v>
      </c>
      <c r="P1969" s="12" t="n">
        <f aca="false">COUNTIF($A$2:$A$3000, N1969) + COUNTIF($A$2:$A$3000, O1969)</f>
        <v>2</v>
      </c>
      <c r="Q1969" s="16" t="str">
        <f aca="false">IF(OR(B1969=-1,I1969=0, P1969&lt;&gt;2), "albhed_dummy", _xlfn.CONCAT("albhed ", RIGHT("  " &amp; K1969,2),", ", RIGHT("  " &amp; L1969,2), ", " ,"""",H1969,""", ", """",N1969,""", ","""",O1969,""""," ; ", A1969))</f>
        <v>albhed 21,  4, "노", "코", "너" ; 컴</v>
      </c>
    </row>
    <row r="1970" customFormat="false" ht="17.9" hidden="false" customHeight="true" outlineLevel="0" collapsed="false">
      <c r="A1970" s="16" t="s">
        <v>2820</v>
      </c>
      <c r="B1970" s="16" t="n">
        <f aca="false">IF(_xlfn.UNICODE(A1970)&lt;44032,-1,_xlfn.UNICODE(A1970)-44032)</f>
        <v>8949</v>
      </c>
      <c r="C1970" s="16" t="n">
        <f aca="false">IF(B1970=-1,-1,INT((B1970/28)/21))</f>
        <v>15</v>
      </c>
      <c r="D1970" s="16" t="n">
        <f aca="false">IF(B1970=-1, -1, MOD(INT(B1970/28),21))</f>
        <v>4</v>
      </c>
      <c r="E1970" s="16" t="n">
        <f aca="false">IF(B1970=-1, -1, VLOOKUP(MOD(B1970,28), $T$24:$U$52,2))</f>
        <v>17</v>
      </c>
      <c r="F1970" s="16" t="n">
        <f aca="false">IF($B1970=-1, -1, VLOOKUP(C1970,$T$1:$V$20, 2))</f>
        <v>2</v>
      </c>
      <c r="G1970" s="16" t="n">
        <f aca="false">IF($B1970=-1, -1, VLOOKUP(D1970,$Y$1:$Z$22,2))</f>
        <v>8</v>
      </c>
      <c r="H1970" s="16" t="str">
        <f aca="false">_xlfn.UNICHAR(((F1970*21)+G1970)*28+44032)</f>
        <v>노</v>
      </c>
      <c r="I1970" s="16" t="n">
        <f aca="false">IF(B1970=-1, 1, COUNTIF($A$2:$A$3000, H1970))</f>
        <v>1</v>
      </c>
      <c r="J1970" s="10" t="str">
        <f aca="false">_xlfn.CONCAT(A1970, ",",H1970,",",I1970)</f>
        <v>컵,노,1</v>
      </c>
      <c r="K1970" s="16" t="n">
        <f aca="false">IF(B1970=-1,-1,VLOOKUP(C1970,$T$1:$V$20,3))</f>
        <v>21</v>
      </c>
      <c r="L1970" s="16" t="n">
        <f aca="false">IF(B1970=-1,-1,VLOOKUP(D1970,$Y$1:$AA$22,3))</f>
        <v>4</v>
      </c>
      <c r="N1970" s="10" t="str">
        <f aca="false">_xlfn.UNICHAR(((C1970*21)+G1970)*28+44032)</f>
        <v>코</v>
      </c>
      <c r="O1970" s="10" t="str">
        <f aca="false">_xlfn.UNICHAR(((F1970*21)+D1970)*28+44032)</f>
        <v>너</v>
      </c>
      <c r="P1970" s="12" t="n">
        <f aca="false">COUNTIF($A$2:$A$3000, N1970) + COUNTIF($A$2:$A$3000, O1970)</f>
        <v>2</v>
      </c>
      <c r="Q1970" s="16" t="str">
        <f aca="false">IF(OR(B1970=-1,I1970=0, P1970&lt;&gt;2), "albhed_dummy", _xlfn.CONCAT("albhed ", RIGHT("  " &amp; K1970,2),", ", RIGHT("  " &amp; L1970,2), ", " ,"""",H1970,""", ", """",N1970,""", ","""",O1970,""""," ; ", A1970))</f>
        <v>albhed 21,  4, "노", "코", "너" ; 컵</v>
      </c>
    </row>
    <row r="1971" customFormat="false" ht="17.9" hidden="false" customHeight="true" outlineLevel="0" collapsed="false">
      <c r="A1971" s="16" t="s">
        <v>2821</v>
      </c>
      <c r="B1971" s="16" t="n">
        <f aca="false">IF(_xlfn.UNICODE(A1971)&lt;44032,-1,_xlfn.UNICODE(A1971)-44032)</f>
        <v>8951</v>
      </c>
      <c r="C1971" s="16" t="n">
        <f aca="false">IF(B1971=-1,-1,INT((B1971/28)/21))</f>
        <v>15</v>
      </c>
      <c r="D1971" s="16" t="n">
        <f aca="false">IF(B1971=-1, -1, MOD(INT(B1971/28),21))</f>
        <v>4</v>
      </c>
      <c r="E1971" s="16" t="n">
        <f aca="false">IF(B1971=-1, -1, VLOOKUP(MOD(B1971,28), $T$24:$U$52,2))</f>
        <v>19</v>
      </c>
      <c r="F1971" s="16" t="n">
        <f aca="false">IF($B1971=-1, -1, VLOOKUP(C1971,$T$1:$V$20, 2))</f>
        <v>2</v>
      </c>
      <c r="G1971" s="16" t="n">
        <f aca="false">IF($B1971=-1, -1, VLOOKUP(D1971,$Y$1:$Z$22,2))</f>
        <v>8</v>
      </c>
      <c r="H1971" s="16" t="str">
        <f aca="false">_xlfn.UNICHAR(((F1971*21)+G1971)*28+44032)</f>
        <v>노</v>
      </c>
      <c r="I1971" s="16" t="n">
        <f aca="false">IF(B1971=-1, 1, COUNTIF($A$2:$A$3000, H1971))</f>
        <v>1</v>
      </c>
      <c r="J1971" s="10" t="str">
        <f aca="false">_xlfn.CONCAT(A1971, ",",H1971,",",I1971)</f>
        <v>컷,노,1</v>
      </c>
      <c r="K1971" s="16" t="n">
        <f aca="false">IF(B1971=-1,-1,VLOOKUP(C1971,$T$1:$V$20,3))</f>
        <v>21</v>
      </c>
      <c r="L1971" s="16" t="n">
        <f aca="false">IF(B1971=-1,-1,VLOOKUP(D1971,$Y$1:$AA$22,3))</f>
        <v>4</v>
      </c>
      <c r="N1971" s="10" t="str">
        <f aca="false">_xlfn.UNICHAR(((C1971*21)+G1971)*28+44032)</f>
        <v>코</v>
      </c>
      <c r="O1971" s="10" t="str">
        <f aca="false">_xlfn.UNICHAR(((F1971*21)+D1971)*28+44032)</f>
        <v>너</v>
      </c>
      <c r="P1971" s="12" t="n">
        <f aca="false">COUNTIF($A$2:$A$3000, N1971) + COUNTIF($A$2:$A$3000, O1971)</f>
        <v>2</v>
      </c>
      <c r="Q1971" s="16" t="str">
        <f aca="false">IF(OR(B1971=-1,I1971=0, P1971&lt;&gt;2), "albhed_dummy", _xlfn.CONCAT("albhed ", RIGHT("  " &amp; K1971,2),", ", RIGHT("  " &amp; L1971,2), ", " ,"""",H1971,""", ", """",N1971,""", ","""",O1971,""""," ; ", A1971))</f>
        <v>albhed 21,  4, "노", "코", "너" ; 컷</v>
      </c>
    </row>
    <row r="1972" customFormat="false" ht="17.9" hidden="false" customHeight="true" outlineLevel="0" collapsed="false">
      <c r="A1972" s="16" t="s">
        <v>2822</v>
      </c>
      <c r="B1972" s="16" t="n">
        <f aca="false">IF(_xlfn.UNICODE(A1972)&lt;44032,-1,_xlfn.UNICODE(A1972)-44032)</f>
        <v>8952</v>
      </c>
      <c r="C1972" s="16" t="n">
        <f aca="false">IF(B1972=-1,-1,INT((B1972/28)/21))</f>
        <v>15</v>
      </c>
      <c r="D1972" s="16" t="n">
        <f aca="false">IF(B1972=-1, -1, MOD(INT(B1972/28),21))</f>
        <v>4</v>
      </c>
      <c r="E1972" s="16" t="n">
        <f aca="false">IF(B1972=-1, -1, VLOOKUP(MOD(B1972,28), $T$24:$U$52,2))</f>
        <v>19</v>
      </c>
      <c r="F1972" s="16" t="n">
        <f aca="false">IF($B1972=-1, -1, VLOOKUP(C1972,$T$1:$V$20, 2))</f>
        <v>2</v>
      </c>
      <c r="G1972" s="16" t="n">
        <f aca="false">IF($B1972=-1, -1, VLOOKUP(D1972,$Y$1:$Z$22,2))</f>
        <v>8</v>
      </c>
      <c r="H1972" s="16" t="str">
        <f aca="false">_xlfn.UNICHAR(((F1972*21)+G1972)*28+44032)</f>
        <v>노</v>
      </c>
      <c r="I1972" s="16" t="n">
        <f aca="false">IF(B1972=-1, 1, COUNTIF($A$2:$A$3000, H1972))</f>
        <v>1</v>
      </c>
      <c r="J1972" s="10" t="str">
        <f aca="false">_xlfn.CONCAT(A1972, ",",H1972,",",I1972)</f>
        <v>컸,노,1</v>
      </c>
      <c r="K1972" s="16" t="n">
        <f aca="false">IF(B1972=-1,-1,VLOOKUP(C1972,$T$1:$V$20,3))</f>
        <v>21</v>
      </c>
      <c r="L1972" s="16" t="n">
        <f aca="false">IF(B1972=-1,-1,VLOOKUP(D1972,$Y$1:$AA$22,3))</f>
        <v>4</v>
      </c>
      <c r="N1972" s="10" t="str">
        <f aca="false">_xlfn.UNICHAR(((C1972*21)+G1972)*28+44032)</f>
        <v>코</v>
      </c>
      <c r="O1972" s="10" t="str">
        <f aca="false">_xlfn.UNICHAR(((F1972*21)+D1972)*28+44032)</f>
        <v>너</v>
      </c>
      <c r="P1972" s="12" t="n">
        <f aca="false">COUNTIF($A$2:$A$3000, N1972) + COUNTIF($A$2:$A$3000, O1972)</f>
        <v>2</v>
      </c>
      <c r="Q1972" s="16" t="str">
        <f aca="false">IF(OR(B1972=-1,I1972=0, P1972&lt;&gt;2), "albhed_dummy", _xlfn.CONCAT("albhed ", RIGHT("  " &amp; K1972,2),", ", RIGHT("  " &amp; L1972,2), ", " ,"""",H1972,""", ", """",N1972,""", ","""",O1972,""""," ; ", A1972))</f>
        <v>albhed 21,  4, "노", "코", "너" ; 컸</v>
      </c>
    </row>
    <row r="1973" customFormat="false" ht="17.9" hidden="false" customHeight="true" outlineLevel="0" collapsed="false">
      <c r="A1973" s="16" t="s">
        <v>2823</v>
      </c>
      <c r="B1973" s="16" t="n">
        <f aca="false">IF(_xlfn.UNICODE(A1973)&lt;44032,-1,_xlfn.UNICODE(A1973)-44032)</f>
        <v>8953</v>
      </c>
      <c r="C1973" s="16" t="n">
        <f aca="false">IF(B1973=-1,-1,INT((B1973/28)/21))</f>
        <v>15</v>
      </c>
      <c r="D1973" s="16" t="n">
        <f aca="false">IF(B1973=-1, -1, MOD(INT(B1973/28),21))</f>
        <v>4</v>
      </c>
      <c r="E1973" s="16" t="n">
        <f aca="false">IF(B1973=-1, -1, VLOOKUP(MOD(B1973,28), $T$24:$U$52,2))</f>
        <v>21</v>
      </c>
      <c r="F1973" s="16" t="n">
        <f aca="false">IF($B1973=-1, -1, VLOOKUP(C1973,$T$1:$V$20, 2))</f>
        <v>2</v>
      </c>
      <c r="G1973" s="16" t="n">
        <f aca="false">IF($B1973=-1, -1, VLOOKUP(D1973,$Y$1:$Z$22,2))</f>
        <v>8</v>
      </c>
      <c r="H1973" s="16" t="str">
        <f aca="false">_xlfn.UNICHAR(((F1973*21)+G1973)*28+44032)</f>
        <v>노</v>
      </c>
      <c r="I1973" s="16" t="n">
        <f aca="false">IF(B1973=-1, 1, COUNTIF($A$2:$A$3000, H1973))</f>
        <v>1</v>
      </c>
      <c r="J1973" s="10" t="str">
        <f aca="false">_xlfn.CONCAT(A1973, ",",H1973,",",I1973)</f>
        <v>컹,노,1</v>
      </c>
      <c r="K1973" s="16" t="n">
        <f aca="false">IF(B1973=-1,-1,VLOOKUP(C1973,$T$1:$V$20,3))</f>
        <v>21</v>
      </c>
      <c r="L1973" s="16" t="n">
        <f aca="false">IF(B1973=-1,-1,VLOOKUP(D1973,$Y$1:$AA$22,3))</f>
        <v>4</v>
      </c>
      <c r="N1973" s="10" t="str">
        <f aca="false">_xlfn.UNICHAR(((C1973*21)+G1973)*28+44032)</f>
        <v>코</v>
      </c>
      <c r="O1973" s="10" t="str">
        <f aca="false">_xlfn.UNICHAR(((F1973*21)+D1973)*28+44032)</f>
        <v>너</v>
      </c>
      <c r="P1973" s="12" t="n">
        <f aca="false">COUNTIF($A$2:$A$3000, N1973) + COUNTIF($A$2:$A$3000, O1973)</f>
        <v>2</v>
      </c>
      <c r="Q1973" s="16" t="str">
        <f aca="false">IF(OR(B1973=-1,I1973=0, P1973&lt;&gt;2), "albhed_dummy", _xlfn.CONCAT("albhed ", RIGHT("  " &amp; K1973,2),", ", RIGHT("  " &amp; L1973,2), ", " ,"""",H1973,""", ", """",N1973,""", ","""",O1973,""""," ; ", A1973))</f>
        <v>albhed 21,  4, "노", "코", "너" ; 컹</v>
      </c>
    </row>
    <row r="1974" customFormat="false" ht="17.9" hidden="false" customHeight="true" outlineLevel="0" collapsed="false">
      <c r="A1974" s="16" t="s">
        <v>2824</v>
      </c>
      <c r="B1974" s="16" t="n">
        <f aca="false">IF(_xlfn.UNICODE(A1974)&lt;44032,-1,_xlfn.UNICODE(A1974)-44032)</f>
        <v>8960</v>
      </c>
      <c r="C1974" s="16" t="n">
        <f aca="false">IF(B1974=-1,-1,INT((B1974/28)/21))</f>
        <v>15</v>
      </c>
      <c r="D1974" s="16" t="n">
        <f aca="false">IF(B1974=-1, -1, MOD(INT(B1974/28),21))</f>
        <v>5</v>
      </c>
      <c r="E1974" s="16" t="n">
        <f aca="false">IF(B1974=-1, -1, VLOOKUP(MOD(B1974,28), $T$24:$U$52,2))</f>
        <v>0</v>
      </c>
      <c r="F1974" s="16" t="n">
        <f aca="false">IF($B1974=-1, -1, VLOOKUP(C1974,$T$1:$V$20, 2))</f>
        <v>2</v>
      </c>
      <c r="G1974" s="16" t="n">
        <f aca="false">IF($B1974=-1, -1, VLOOKUP(D1974,$Y$1:$Z$22,2))</f>
        <v>18</v>
      </c>
      <c r="H1974" s="16" t="str">
        <f aca="false">_xlfn.UNICHAR(((F1974*21)+G1974)*28+44032)</f>
        <v>느</v>
      </c>
      <c r="I1974" s="16" t="n">
        <f aca="false">IF(B1974=-1, 1, COUNTIF($A$2:$A$3000, H1974))</f>
        <v>1</v>
      </c>
      <c r="J1974" s="10" t="str">
        <f aca="false">_xlfn.CONCAT(A1974, ",",H1974,",",I1974)</f>
        <v>케,느,1</v>
      </c>
      <c r="K1974" s="16" t="n">
        <f aca="false">IF(B1974=-1,-1,VLOOKUP(C1974,$T$1:$V$20,3))</f>
        <v>21</v>
      </c>
      <c r="L1974" s="16" t="n">
        <f aca="false">IF(B1974=-1,-1,VLOOKUP(D1974,$Y$1:$AA$22,3))</f>
        <v>10</v>
      </c>
      <c r="N1974" s="10" t="str">
        <f aca="false">_xlfn.UNICHAR(((C1974*21)+G1974)*28+44032)</f>
        <v>크</v>
      </c>
      <c r="O1974" s="10" t="str">
        <f aca="false">_xlfn.UNICHAR(((F1974*21)+D1974)*28+44032)</f>
        <v>네</v>
      </c>
      <c r="P1974" s="12" t="n">
        <f aca="false">COUNTIF($A$2:$A$3000, N1974) + COUNTIF($A$2:$A$3000, O1974)</f>
        <v>2</v>
      </c>
      <c r="Q1974" s="16" t="str">
        <f aca="false">IF(OR(B1974=-1,I1974=0, P1974&lt;&gt;2), "albhed_dummy", _xlfn.CONCAT("albhed ", RIGHT("  " &amp; K1974,2),", ", RIGHT("  " &amp; L1974,2), ", " ,"""",H1974,""", ", """",N1974,""", ","""",O1974,""""," ; ", A1974))</f>
        <v>albhed 21, 10, "느", "크", "네" ; 케</v>
      </c>
    </row>
    <row r="1975" customFormat="false" ht="17.9" hidden="false" customHeight="true" outlineLevel="0" collapsed="false">
      <c r="A1975" s="16" t="s">
        <v>2825</v>
      </c>
      <c r="B1975" s="16" t="n">
        <f aca="false">IF(_xlfn.UNICODE(A1975)&lt;44032,-1,_xlfn.UNICODE(A1975)-44032)</f>
        <v>8961</v>
      </c>
      <c r="C1975" s="16" t="n">
        <f aca="false">IF(B1975=-1,-1,INT((B1975/28)/21))</f>
        <v>15</v>
      </c>
      <c r="D1975" s="16" t="n">
        <f aca="false">IF(B1975=-1, -1, MOD(INT(B1975/28),21))</f>
        <v>5</v>
      </c>
      <c r="E1975" s="16" t="n">
        <f aca="false">IF(B1975=-1, -1, VLOOKUP(MOD(B1975,28), $T$24:$U$52,2))</f>
        <v>1</v>
      </c>
      <c r="F1975" s="16" t="n">
        <f aca="false">IF($B1975=-1, -1, VLOOKUP(C1975,$T$1:$V$20, 2))</f>
        <v>2</v>
      </c>
      <c r="G1975" s="16" t="n">
        <f aca="false">IF($B1975=-1, -1, VLOOKUP(D1975,$Y$1:$Z$22,2))</f>
        <v>18</v>
      </c>
      <c r="H1975" s="16" t="str">
        <f aca="false">_xlfn.UNICHAR(((F1975*21)+G1975)*28+44032)</f>
        <v>느</v>
      </c>
      <c r="I1975" s="16" t="n">
        <f aca="false">IF(B1975=-1, 1, COUNTIF($A$2:$A$3000, H1975))</f>
        <v>1</v>
      </c>
      <c r="J1975" s="10" t="str">
        <f aca="false">_xlfn.CONCAT(A1975, ",",H1975,",",I1975)</f>
        <v>켁,느,1</v>
      </c>
      <c r="K1975" s="16" t="n">
        <f aca="false">IF(B1975=-1,-1,VLOOKUP(C1975,$T$1:$V$20,3))</f>
        <v>21</v>
      </c>
      <c r="L1975" s="16" t="n">
        <f aca="false">IF(B1975=-1,-1,VLOOKUP(D1975,$Y$1:$AA$22,3))</f>
        <v>10</v>
      </c>
      <c r="N1975" s="10" t="str">
        <f aca="false">_xlfn.UNICHAR(((C1975*21)+G1975)*28+44032)</f>
        <v>크</v>
      </c>
      <c r="O1975" s="10" t="str">
        <f aca="false">_xlfn.UNICHAR(((F1975*21)+D1975)*28+44032)</f>
        <v>네</v>
      </c>
      <c r="P1975" s="12" t="n">
        <f aca="false">COUNTIF($A$2:$A$3000, N1975) + COUNTIF($A$2:$A$3000, O1975)</f>
        <v>2</v>
      </c>
      <c r="Q1975" s="16" t="str">
        <f aca="false">IF(OR(B1975=-1,I1975=0, P1975&lt;&gt;2), "albhed_dummy", _xlfn.CONCAT("albhed ", RIGHT("  " &amp; K1975,2),", ", RIGHT("  " &amp; L1975,2), ", " ,"""",H1975,""", ", """",N1975,""", ","""",O1975,""""," ; ", A1975))</f>
        <v>albhed 21, 10, "느", "크", "네" ; 켁</v>
      </c>
    </row>
    <row r="1976" customFormat="false" ht="17.9" hidden="false" customHeight="true" outlineLevel="0" collapsed="false">
      <c r="A1976" s="16" t="s">
        <v>2826</v>
      </c>
      <c r="B1976" s="16" t="n">
        <f aca="false">IF(_xlfn.UNICODE(A1976)&lt;44032,-1,_xlfn.UNICODE(A1976)-44032)</f>
        <v>8964</v>
      </c>
      <c r="C1976" s="16" t="n">
        <f aca="false">IF(B1976=-1,-1,INT((B1976/28)/21))</f>
        <v>15</v>
      </c>
      <c r="D1976" s="16" t="n">
        <f aca="false">IF(B1976=-1, -1, MOD(INT(B1976/28),21))</f>
        <v>5</v>
      </c>
      <c r="E1976" s="16" t="n">
        <f aca="false">IF(B1976=-1, -1, VLOOKUP(MOD(B1976,28), $T$24:$U$52,2))</f>
        <v>4</v>
      </c>
      <c r="F1976" s="16" t="n">
        <f aca="false">IF($B1976=-1, -1, VLOOKUP(C1976,$T$1:$V$20, 2))</f>
        <v>2</v>
      </c>
      <c r="G1976" s="16" t="n">
        <f aca="false">IF($B1976=-1, -1, VLOOKUP(D1976,$Y$1:$Z$22,2))</f>
        <v>18</v>
      </c>
      <c r="H1976" s="16" t="str">
        <f aca="false">_xlfn.UNICHAR(((F1976*21)+G1976)*28+44032)</f>
        <v>느</v>
      </c>
      <c r="I1976" s="16" t="n">
        <f aca="false">IF(B1976=-1, 1, COUNTIF($A$2:$A$3000, H1976))</f>
        <v>1</v>
      </c>
      <c r="J1976" s="10" t="str">
        <f aca="false">_xlfn.CONCAT(A1976, ",",H1976,",",I1976)</f>
        <v>켄,느,1</v>
      </c>
      <c r="K1976" s="16" t="n">
        <f aca="false">IF(B1976=-1,-1,VLOOKUP(C1976,$T$1:$V$20,3))</f>
        <v>21</v>
      </c>
      <c r="L1976" s="16" t="n">
        <f aca="false">IF(B1976=-1,-1,VLOOKUP(D1976,$Y$1:$AA$22,3))</f>
        <v>10</v>
      </c>
      <c r="N1976" s="10" t="str">
        <f aca="false">_xlfn.UNICHAR(((C1976*21)+G1976)*28+44032)</f>
        <v>크</v>
      </c>
      <c r="O1976" s="10" t="str">
        <f aca="false">_xlfn.UNICHAR(((F1976*21)+D1976)*28+44032)</f>
        <v>네</v>
      </c>
      <c r="P1976" s="12" t="n">
        <f aca="false">COUNTIF($A$2:$A$3000, N1976) + COUNTIF($A$2:$A$3000, O1976)</f>
        <v>2</v>
      </c>
      <c r="Q1976" s="16" t="str">
        <f aca="false">IF(OR(B1976=-1,I1976=0, P1976&lt;&gt;2), "albhed_dummy", _xlfn.CONCAT("albhed ", RIGHT("  " &amp; K1976,2),", ", RIGHT("  " &amp; L1976,2), ", " ,"""",H1976,""", ", """",N1976,""", ","""",O1976,""""," ; ", A1976))</f>
        <v>albhed 21, 10, "느", "크", "네" ; 켄</v>
      </c>
    </row>
    <row r="1977" customFormat="false" ht="17.9" hidden="false" customHeight="true" outlineLevel="0" collapsed="false">
      <c r="A1977" s="16" t="s">
        <v>2827</v>
      </c>
      <c r="B1977" s="16" t="n">
        <f aca="false">IF(_xlfn.UNICODE(A1977)&lt;44032,-1,_xlfn.UNICODE(A1977)-44032)</f>
        <v>8968</v>
      </c>
      <c r="C1977" s="16" t="n">
        <f aca="false">IF(B1977=-1,-1,INT((B1977/28)/21))</f>
        <v>15</v>
      </c>
      <c r="D1977" s="16" t="n">
        <f aca="false">IF(B1977=-1, -1, MOD(INT(B1977/28),21))</f>
        <v>5</v>
      </c>
      <c r="E1977" s="16" t="n">
        <f aca="false">IF(B1977=-1, -1, VLOOKUP(MOD(B1977,28), $T$24:$U$52,2))</f>
        <v>8</v>
      </c>
      <c r="F1977" s="16" t="n">
        <f aca="false">IF($B1977=-1, -1, VLOOKUP(C1977,$T$1:$V$20, 2))</f>
        <v>2</v>
      </c>
      <c r="G1977" s="16" t="n">
        <f aca="false">IF($B1977=-1, -1, VLOOKUP(D1977,$Y$1:$Z$22,2))</f>
        <v>18</v>
      </c>
      <c r="H1977" s="16" t="str">
        <f aca="false">_xlfn.UNICHAR(((F1977*21)+G1977)*28+44032)</f>
        <v>느</v>
      </c>
      <c r="I1977" s="16" t="n">
        <f aca="false">IF(B1977=-1, 1, COUNTIF($A$2:$A$3000, H1977))</f>
        <v>1</v>
      </c>
      <c r="J1977" s="10" t="str">
        <f aca="false">_xlfn.CONCAT(A1977, ",",H1977,",",I1977)</f>
        <v>켈,느,1</v>
      </c>
      <c r="K1977" s="16" t="n">
        <f aca="false">IF(B1977=-1,-1,VLOOKUP(C1977,$T$1:$V$20,3))</f>
        <v>21</v>
      </c>
      <c r="L1977" s="16" t="n">
        <f aca="false">IF(B1977=-1,-1,VLOOKUP(D1977,$Y$1:$AA$22,3))</f>
        <v>10</v>
      </c>
      <c r="N1977" s="10" t="str">
        <f aca="false">_xlfn.UNICHAR(((C1977*21)+G1977)*28+44032)</f>
        <v>크</v>
      </c>
      <c r="O1977" s="10" t="str">
        <f aca="false">_xlfn.UNICHAR(((F1977*21)+D1977)*28+44032)</f>
        <v>네</v>
      </c>
      <c r="P1977" s="12" t="n">
        <f aca="false">COUNTIF($A$2:$A$3000, N1977) + COUNTIF($A$2:$A$3000, O1977)</f>
        <v>2</v>
      </c>
      <c r="Q1977" s="16" t="str">
        <f aca="false">IF(OR(B1977=-1,I1977=0, P1977&lt;&gt;2), "albhed_dummy", _xlfn.CONCAT("albhed ", RIGHT("  " &amp; K1977,2),", ", RIGHT("  " &amp; L1977,2), ", " ,"""",H1977,""", ", """",N1977,""", ","""",O1977,""""," ; ", A1977))</f>
        <v>albhed 21, 10, "느", "크", "네" ; 켈</v>
      </c>
    </row>
    <row r="1978" customFormat="false" ht="17.9" hidden="false" customHeight="true" outlineLevel="0" collapsed="false">
      <c r="A1978" s="16" t="s">
        <v>2828</v>
      </c>
      <c r="B1978" s="16" t="n">
        <f aca="false">IF(_xlfn.UNICODE(A1978)&lt;44032,-1,_xlfn.UNICODE(A1978)-44032)</f>
        <v>8976</v>
      </c>
      <c r="C1978" s="16" t="n">
        <f aca="false">IF(B1978=-1,-1,INT((B1978/28)/21))</f>
        <v>15</v>
      </c>
      <c r="D1978" s="16" t="n">
        <f aca="false">IF(B1978=-1, -1, MOD(INT(B1978/28),21))</f>
        <v>5</v>
      </c>
      <c r="E1978" s="16" t="n">
        <f aca="false">IF(B1978=-1, -1, VLOOKUP(MOD(B1978,28), $T$24:$U$52,2))</f>
        <v>16</v>
      </c>
      <c r="F1978" s="16" t="n">
        <f aca="false">IF($B1978=-1, -1, VLOOKUP(C1978,$T$1:$V$20, 2))</f>
        <v>2</v>
      </c>
      <c r="G1978" s="16" t="n">
        <f aca="false">IF($B1978=-1, -1, VLOOKUP(D1978,$Y$1:$Z$22,2))</f>
        <v>18</v>
      </c>
      <c r="H1978" s="16" t="str">
        <f aca="false">_xlfn.UNICHAR(((F1978*21)+G1978)*28+44032)</f>
        <v>느</v>
      </c>
      <c r="I1978" s="16" t="n">
        <f aca="false">IF(B1978=-1, 1, COUNTIF($A$2:$A$3000, H1978))</f>
        <v>1</v>
      </c>
      <c r="J1978" s="10" t="str">
        <f aca="false">_xlfn.CONCAT(A1978, ",",H1978,",",I1978)</f>
        <v>켐,느,1</v>
      </c>
      <c r="K1978" s="16" t="n">
        <f aca="false">IF(B1978=-1,-1,VLOOKUP(C1978,$T$1:$V$20,3))</f>
        <v>21</v>
      </c>
      <c r="L1978" s="16" t="n">
        <f aca="false">IF(B1978=-1,-1,VLOOKUP(D1978,$Y$1:$AA$22,3))</f>
        <v>10</v>
      </c>
      <c r="N1978" s="10" t="str">
        <f aca="false">_xlfn.UNICHAR(((C1978*21)+G1978)*28+44032)</f>
        <v>크</v>
      </c>
      <c r="O1978" s="10" t="str">
        <f aca="false">_xlfn.UNICHAR(((F1978*21)+D1978)*28+44032)</f>
        <v>네</v>
      </c>
      <c r="P1978" s="12" t="n">
        <f aca="false">COUNTIF($A$2:$A$3000, N1978) + COUNTIF($A$2:$A$3000, O1978)</f>
        <v>2</v>
      </c>
      <c r="Q1978" s="16" t="str">
        <f aca="false">IF(OR(B1978=-1,I1978=0, P1978&lt;&gt;2), "albhed_dummy", _xlfn.CONCAT("albhed ", RIGHT("  " &amp; K1978,2),", ", RIGHT("  " &amp; L1978,2), ", " ,"""",H1978,""", ", """",N1978,""", ","""",O1978,""""," ; ", A1978))</f>
        <v>albhed 21, 10, "느", "크", "네" ; 켐</v>
      </c>
    </row>
    <row r="1979" customFormat="false" ht="17.9" hidden="false" customHeight="true" outlineLevel="0" collapsed="false">
      <c r="A1979" s="16" t="s">
        <v>2829</v>
      </c>
      <c r="B1979" s="16" t="n">
        <f aca="false">IF(_xlfn.UNICODE(A1979)&lt;44032,-1,_xlfn.UNICODE(A1979)-44032)</f>
        <v>8977</v>
      </c>
      <c r="C1979" s="16" t="n">
        <f aca="false">IF(B1979=-1,-1,INT((B1979/28)/21))</f>
        <v>15</v>
      </c>
      <c r="D1979" s="16" t="n">
        <f aca="false">IF(B1979=-1, -1, MOD(INT(B1979/28),21))</f>
        <v>5</v>
      </c>
      <c r="E1979" s="16" t="n">
        <f aca="false">IF(B1979=-1, -1, VLOOKUP(MOD(B1979,28), $T$24:$U$52,2))</f>
        <v>17</v>
      </c>
      <c r="F1979" s="16" t="n">
        <f aca="false">IF($B1979=-1, -1, VLOOKUP(C1979,$T$1:$V$20, 2))</f>
        <v>2</v>
      </c>
      <c r="G1979" s="16" t="n">
        <f aca="false">IF($B1979=-1, -1, VLOOKUP(D1979,$Y$1:$Z$22,2))</f>
        <v>18</v>
      </c>
      <c r="H1979" s="16" t="str">
        <f aca="false">_xlfn.UNICHAR(((F1979*21)+G1979)*28+44032)</f>
        <v>느</v>
      </c>
      <c r="I1979" s="16" t="n">
        <f aca="false">IF(B1979=-1, 1, COUNTIF($A$2:$A$3000, H1979))</f>
        <v>1</v>
      </c>
      <c r="J1979" s="10" t="str">
        <f aca="false">_xlfn.CONCAT(A1979, ",",H1979,",",I1979)</f>
        <v>켑,느,1</v>
      </c>
      <c r="K1979" s="16" t="n">
        <f aca="false">IF(B1979=-1,-1,VLOOKUP(C1979,$T$1:$V$20,3))</f>
        <v>21</v>
      </c>
      <c r="L1979" s="16" t="n">
        <f aca="false">IF(B1979=-1,-1,VLOOKUP(D1979,$Y$1:$AA$22,3))</f>
        <v>10</v>
      </c>
      <c r="N1979" s="10" t="str">
        <f aca="false">_xlfn.UNICHAR(((C1979*21)+G1979)*28+44032)</f>
        <v>크</v>
      </c>
      <c r="O1979" s="10" t="str">
        <f aca="false">_xlfn.UNICHAR(((F1979*21)+D1979)*28+44032)</f>
        <v>네</v>
      </c>
      <c r="P1979" s="12" t="n">
        <f aca="false">COUNTIF($A$2:$A$3000, N1979) + COUNTIF($A$2:$A$3000, O1979)</f>
        <v>2</v>
      </c>
      <c r="Q1979" s="16" t="str">
        <f aca="false">IF(OR(B1979=-1,I1979=0, P1979&lt;&gt;2), "albhed_dummy", _xlfn.CONCAT("albhed ", RIGHT("  " &amp; K1979,2),", ", RIGHT("  " &amp; L1979,2), ", " ,"""",H1979,""", ", """",N1979,""", ","""",O1979,""""," ; ", A1979))</f>
        <v>albhed 21, 10, "느", "크", "네" ; 켑</v>
      </c>
    </row>
    <row r="1980" customFormat="false" ht="17.9" hidden="false" customHeight="true" outlineLevel="0" collapsed="false">
      <c r="A1980" s="16" t="s">
        <v>2830</v>
      </c>
      <c r="B1980" s="16" t="n">
        <f aca="false">IF(_xlfn.UNICODE(A1980)&lt;44032,-1,_xlfn.UNICODE(A1980)-44032)</f>
        <v>8979</v>
      </c>
      <c r="C1980" s="16" t="n">
        <f aca="false">IF(B1980=-1,-1,INT((B1980/28)/21))</f>
        <v>15</v>
      </c>
      <c r="D1980" s="16" t="n">
        <f aca="false">IF(B1980=-1, -1, MOD(INT(B1980/28),21))</f>
        <v>5</v>
      </c>
      <c r="E1980" s="16" t="n">
        <f aca="false">IF(B1980=-1, -1, VLOOKUP(MOD(B1980,28), $T$24:$U$52,2))</f>
        <v>19</v>
      </c>
      <c r="F1980" s="16" t="n">
        <f aca="false">IF($B1980=-1, -1, VLOOKUP(C1980,$T$1:$V$20, 2))</f>
        <v>2</v>
      </c>
      <c r="G1980" s="16" t="n">
        <f aca="false">IF($B1980=-1, -1, VLOOKUP(D1980,$Y$1:$Z$22,2))</f>
        <v>18</v>
      </c>
      <c r="H1980" s="16" t="str">
        <f aca="false">_xlfn.UNICHAR(((F1980*21)+G1980)*28+44032)</f>
        <v>느</v>
      </c>
      <c r="I1980" s="16" t="n">
        <f aca="false">IF(B1980=-1, 1, COUNTIF($A$2:$A$3000, H1980))</f>
        <v>1</v>
      </c>
      <c r="J1980" s="10" t="str">
        <f aca="false">_xlfn.CONCAT(A1980, ",",H1980,",",I1980)</f>
        <v>켓,느,1</v>
      </c>
      <c r="K1980" s="16" t="n">
        <f aca="false">IF(B1980=-1,-1,VLOOKUP(C1980,$T$1:$V$20,3))</f>
        <v>21</v>
      </c>
      <c r="L1980" s="16" t="n">
        <f aca="false">IF(B1980=-1,-1,VLOOKUP(D1980,$Y$1:$AA$22,3))</f>
        <v>10</v>
      </c>
      <c r="N1980" s="10" t="str">
        <f aca="false">_xlfn.UNICHAR(((C1980*21)+G1980)*28+44032)</f>
        <v>크</v>
      </c>
      <c r="O1980" s="10" t="str">
        <f aca="false">_xlfn.UNICHAR(((F1980*21)+D1980)*28+44032)</f>
        <v>네</v>
      </c>
      <c r="P1980" s="12" t="n">
        <f aca="false">COUNTIF($A$2:$A$3000, N1980) + COUNTIF($A$2:$A$3000, O1980)</f>
        <v>2</v>
      </c>
      <c r="Q1980" s="16" t="str">
        <f aca="false">IF(OR(B1980=-1,I1980=0, P1980&lt;&gt;2), "albhed_dummy", _xlfn.CONCAT("albhed ", RIGHT("  " &amp; K1980,2),", ", RIGHT("  " &amp; L1980,2), ", " ,"""",H1980,""", ", """",N1980,""", ","""",O1980,""""," ; ", A1980))</f>
        <v>albhed 21, 10, "느", "크", "네" ; 켓</v>
      </c>
    </row>
    <row r="1981" customFormat="false" ht="17.9" hidden="false" customHeight="true" outlineLevel="0" collapsed="false">
      <c r="A1981" s="16" t="s">
        <v>2831</v>
      </c>
      <c r="B1981" s="16" t="n">
        <f aca="false">IF(_xlfn.UNICODE(A1981)&lt;44032,-1,_xlfn.UNICODE(A1981)-44032)</f>
        <v>8981</v>
      </c>
      <c r="C1981" s="16" t="n">
        <f aca="false">IF(B1981=-1,-1,INT((B1981/28)/21))</f>
        <v>15</v>
      </c>
      <c r="D1981" s="16" t="n">
        <f aca="false">IF(B1981=-1, -1, MOD(INT(B1981/28),21))</f>
        <v>5</v>
      </c>
      <c r="E1981" s="16" t="n">
        <f aca="false">IF(B1981=-1, -1, VLOOKUP(MOD(B1981,28), $T$24:$U$52,2))</f>
        <v>21</v>
      </c>
      <c r="F1981" s="16" t="n">
        <f aca="false">IF($B1981=-1, -1, VLOOKUP(C1981,$T$1:$V$20, 2))</f>
        <v>2</v>
      </c>
      <c r="G1981" s="16" t="n">
        <f aca="false">IF($B1981=-1, -1, VLOOKUP(D1981,$Y$1:$Z$22,2))</f>
        <v>18</v>
      </c>
      <c r="H1981" s="16" t="str">
        <f aca="false">_xlfn.UNICHAR(((F1981*21)+G1981)*28+44032)</f>
        <v>느</v>
      </c>
      <c r="I1981" s="16" t="n">
        <f aca="false">IF(B1981=-1, 1, COUNTIF($A$2:$A$3000, H1981))</f>
        <v>1</v>
      </c>
      <c r="J1981" s="10" t="str">
        <f aca="false">_xlfn.CONCAT(A1981, ",",H1981,",",I1981)</f>
        <v>켕,느,1</v>
      </c>
      <c r="K1981" s="16" t="n">
        <f aca="false">IF(B1981=-1,-1,VLOOKUP(C1981,$T$1:$V$20,3))</f>
        <v>21</v>
      </c>
      <c r="L1981" s="16" t="n">
        <f aca="false">IF(B1981=-1,-1,VLOOKUP(D1981,$Y$1:$AA$22,3))</f>
        <v>10</v>
      </c>
      <c r="N1981" s="10" t="str">
        <f aca="false">_xlfn.UNICHAR(((C1981*21)+G1981)*28+44032)</f>
        <v>크</v>
      </c>
      <c r="O1981" s="10" t="str">
        <f aca="false">_xlfn.UNICHAR(((F1981*21)+D1981)*28+44032)</f>
        <v>네</v>
      </c>
      <c r="P1981" s="12" t="n">
        <f aca="false">COUNTIF($A$2:$A$3000, N1981) + COUNTIF($A$2:$A$3000, O1981)</f>
        <v>2</v>
      </c>
      <c r="Q1981" s="16" t="str">
        <f aca="false">IF(OR(B1981=-1,I1981=0, P1981&lt;&gt;2), "albhed_dummy", _xlfn.CONCAT("albhed ", RIGHT("  " &amp; K1981,2),", ", RIGHT("  " &amp; L1981,2), ", " ,"""",H1981,""", ", """",N1981,""", ","""",O1981,""""," ; ", A1981))</f>
        <v>albhed 21, 10, "느", "크", "네" ; 켕</v>
      </c>
    </row>
    <row r="1982" customFormat="false" ht="17.9" hidden="false" customHeight="true" outlineLevel="0" collapsed="false">
      <c r="A1982" s="16" t="s">
        <v>2832</v>
      </c>
      <c r="B1982" s="16" t="n">
        <f aca="false">IF(_xlfn.UNICODE(A1982)&lt;44032,-1,_xlfn.UNICODE(A1982)-44032)</f>
        <v>8988</v>
      </c>
      <c r="C1982" s="16" t="n">
        <f aca="false">IF(B1982=-1,-1,INT((B1982/28)/21))</f>
        <v>15</v>
      </c>
      <c r="D1982" s="16" t="n">
        <f aca="false">IF(B1982=-1, -1, MOD(INT(B1982/28),21))</f>
        <v>6</v>
      </c>
      <c r="E1982" s="16" t="n">
        <f aca="false">IF(B1982=-1, -1, VLOOKUP(MOD(B1982,28), $T$24:$U$52,2))</f>
        <v>0</v>
      </c>
      <c r="F1982" s="16" t="n">
        <f aca="false">IF($B1982=-1, -1, VLOOKUP(C1982,$T$1:$V$20, 2))</f>
        <v>2</v>
      </c>
      <c r="G1982" s="16" t="n">
        <f aca="false">IF($B1982=-1, -1, VLOOKUP(D1982,$Y$1:$Z$22,2))</f>
        <v>12</v>
      </c>
      <c r="H1982" s="16" t="str">
        <f aca="false">_xlfn.UNICHAR(((F1982*21)+G1982)*28+44032)</f>
        <v>뇨</v>
      </c>
      <c r="I1982" s="16" t="n">
        <f aca="false">IF(B1982=-1, 1, COUNTIF($A$2:$A$3000, H1982))</f>
        <v>1</v>
      </c>
      <c r="J1982" s="10" t="str">
        <f aca="false">_xlfn.CONCAT(A1982, ",",H1982,",",I1982)</f>
        <v>켜,뇨,1</v>
      </c>
      <c r="K1982" s="16" t="n">
        <f aca="false">IF(B1982=-1,-1,VLOOKUP(C1982,$T$1:$V$20,3))</f>
        <v>21</v>
      </c>
      <c r="L1982" s="16" t="n">
        <f aca="false">IF(B1982=-1,-1,VLOOKUP(D1982,$Y$1:$AA$22,3))</f>
        <v>4</v>
      </c>
      <c r="N1982" s="10" t="str">
        <f aca="false">_xlfn.UNICHAR(((C1982*21)+G1982)*28+44032)</f>
        <v>쿄</v>
      </c>
      <c r="O1982" s="10" t="str">
        <f aca="false">_xlfn.UNICHAR(((F1982*21)+D1982)*28+44032)</f>
        <v>녀</v>
      </c>
      <c r="P1982" s="12" t="n">
        <f aca="false">COUNTIF($A$2:$A$3000, N1982) + COUNTIF($A$2:$A$3000, O1982)</f>
        <v>2</v>
      </c>
      <c r="Q1982" s="16" t="str">
        <f aca="false">IF(OR(B1982=-1,I1982=0, P1982&lt;&gt;2), "albhed_dummy", _xlfn.CONCAT("albhed ", RIGHT("  " &amp; K1982,2),", ", RIGHT("  " &amp; L1982,2), ", " ,"""",H1982,""", ", """",N1982,""", ","""",O1982,""""," ; ", A1982))</f>
        <v>albhed 21,  4, "뇨", "쿄", "녀" ; 켜</v>
      </c>
    </row>
    <row r="1983" customFormat="false" ht="17.9" hidden="false" customHeight="true" outlineLevel="0" collapsed="false">
      <c r="A1983" s="16" t="s">
        <v>2833</v>
      </c>
      <c r="B1983" s="16" t="n">
        <f aca="false">IF(_xlfn.UNICODE(A1983)&lt;44032,-1,_xlfn.UNICODE(A1983)-44032)</f>
        <v>8992</v>
      </c>
      <c r="C1983" s="16" t="n">
        <f aca="false">IF(B1983=-1,-1,INT((B1983/28)/21))</f>
        <v>15</v>
      </c>
      <c r="D1983" s="16" t="n">
        <f aca="false">IF(B1983=-1, -1, MOD(INT(B1983/28),21))</f>
        <v>6</v>
      </c>
      <c r="E1983" s="16" t="n">
        <f aca="false">IF(B1983=-1, -1, VLOOKUP(MOD(B1983,28), $T$24:$U$52,2))</f>
        <v>4</v>
      </c>
      <c r="F1983" s="16" t="n">
        <f aca="false">IF($B1983=-1, -1, VLOOKUP(C1983,$T$1:$V$20, 2))</f>
        <v>2</v>
      </c>
      <c r="G1983" s="16" t="n">
        <f aca="false">IF($B1983=-1, -1, VLOOKUP(D1983,$Y$1:$Z$22,2))</f>
        <v>12</v>
      </c>
      <c r="H1983" s="16" t="str">
        <f aca="false">_xlfn.UNICHAR(((F1983*21)+G1983)*28+44032)</f>
        <v>뇨</v>
      </c>
      <c r="I1983" s="16" t="n">
        <f aca="false">IF(B1983=-1, 1, COUNTIF($A$2:$A$3000, H1983))</f>
        <v>1</v>
      </c>
      <c r="J1983" s="10" t="str">
        <f aca="false">_xlfn.CONCAT(A1983, ",",H1983,",",I1983)</f>
        <v>켠,뇨,1</v>
      </c>
      <c r="K1983" s="16" t="n">
        <f aca="false">IF(B1983=-1,-1,VLOOKUP(C1983,$T$1:$V$20,3))</f>
        <v>21</v>
      </c>
      <c r="L1983" s="16" t="n">
        <f aca="false">IF(B1983=-1,-1,VLOOKUP(D1983,$Y$1:$AA$22,3))</f>
        <v>4</v>
      </c>
      <c r="N1983" s="10" t="str">
        <f aca="false">_xlfn.UNICHAR(((C1983*21)+G1983)*28+44032)</f>
        <v>쿄</v>
      </c>
      <c r="O1983" s="10" t="str">
        <f aca="false">_xlfn.UNICHAR(((F1983*21)+D1983)*28+44032)</f>
        <v>녀</v>
      </c>
      <c r="P1983" s="12" t="n">
        <f aca="false">COUNTIF($A$2:$A$3000, N1983) + COUNTIF($A$2:$A$3000, O1983)</f>
        <v>2</v>
      </c>
      <c r="Q1983" s="16" t="str">
        <f aca="false">IF(OR(B1983=-1,I1983=0, P1983&lt;&gt;2), "albhed_dummy", _xlfn.CONCAT("albhed ", RIGHT("  " &amp; K1983,2),", ", RIGHT("  " &amp; L1983,2), ", " ,"""",H1983,""", ", """",N1983,""", ","""",O1983,""""," ; ", A1983))</f>
        <v>albhed 21,  4, "뇨", "쿄", "녀" ; 켠</v>
      </c>
    </row>
    <row r="1984" customFormat="false" ht="17.9" hidden="false" customHeight="true" outlineLevel="0" collapsed="false">
      <c r="A1984" s="16" t="s">
        <v>2834</v>
      </c>
      <c r="B1984" s="16" t="n">
        <f aca="false">IF(_xlfn.UNICODE(A1984)&lt;44032,-1,_xlfn.UNICODE(A1984)-44032)</f>
        <v>8996</v>
      </c>
      <c r="C1984" s="16" t="n">
        <f aca="false">IF(B1984=-1,-1,INT((B1984/28)/21))</f>
        <v>15</v>
      </c>
      <c r="D1984" s="16" t="n">
        <f aca="false">IF(B1984=-1, -1, MOD(INT(B1984/28),21))</f>
        <v>6</v>
      </c>
      <c r="E1984" s="16" t="n">
        <f aca="false">IF(B1984=-1, -1, VLOOKUP(MOD(B1984,28), $T$24:$U$52,2))</f>
        <v>8</v>
      </c>
      <c r="F1984" s="16" t="n">
        <f aca="false">IF($B1984=-1, -1, VLOOKUP(C1984,$T$1:$V$20, 2))</f>
        <v>2</v>
      </c>
      <c r="G1984" s="16" t="n">
        <f aca="false">IF($B1984=-1, -1, VLOOKUP(D1984,$Y$1:$Z$22,2))</f>
        <v>12</v>
      </c>
      <c r="H1984" s="16" t="str">
        <f aca="false">_xlfn.UNICHAR(((F1984*21)+G1984)*28+44032)</f>
        <v>뇨</v>
      </c>
      <c r="I1984" s="16" t="n">
        <f aca="false">IF(B1984=-1, 1, COUNTIF($A$2:$A$3000, H1984))</f>
        <v>1</v>
      </c>
      <c r="J1984" s="10" t="str">
        <f aca="false">_xlfn.CONCAT(A1984, ",",H1984,",",I1984)</f>
        <v>켤,뇨,1</v>
      </c>
      <c r="K1984" s="16" t="n">
        <f aca="false">IF(B1984=-1,-1,VLOOKUP(C1984,$T$1:$V$20,3))</f>
        <v>21</v>
      </c>
      <c r="L1984" s="16" t="n">
        <f aca="false">IF(B1984=-1,-1,VLOOKUP(D1984,$Y$1:$AA$22,3))</f>
        <v>4</v>
      </c>
      <c r="N1984" s="10" t="str">
        <f aca="false">_xlfn.UNICHAR(((C1984*21)+G1984)*28+44032)</f>
        <v>쿄</v>
      </c>
      <c r="O1984" s="10" t="str">
        <f aca="false">_xlfn.UNICHAR(((F1984*21)+D1984)*28+44032)</f>
        <v>녀</v>
      </c>
      <c r="P1984" s="12" t="n">
        <f aca="false">COUNTIF($A$2:$A$3000, N1984) + COUNTIF($A$2:$A$3000, O1984)</f>
        <v>2</v>
      </c>
      <c r="Q1984" s="16" t="str">
        <f aca="false">IF(OR(B1984=-1,I1984=0, P1984&lt;&gt;2), "albhed_dummy", _xlfn.CONCAT("albhed ", RIGHT("  " &amp; K1984,2),", ", RIGHT("  " &amp; L1984,2), ", " ,"""",H1984,""", ", """",N1984,""", ","""",O1984,""""," ; ", A1984))</f>
        <v>albhed 21,  4, "뇨", "쿄", "녀" ; 켤</v>
      </c>
    </row>
    <row r="1985" customFormat="false" ht="17.9" hidden="false" customHeight="true" outlineLevel="0" collapsed="false">
      <c r="A1985" s="16" t="s">
        <v>2835</v>
      </c>
      <c r="B1985" s="16" t="n">
        <f aca="false">IF(_xlfn.UNICODE(A1985)&lt;44032,-1,_xlfn.UNICODE(A1985)-44032)</f>
        <v>9004</v>
      </c>
      <c r="C1985" s="16" t="n">
        <f aca="false">IF(B1985=-1,-1,INT((B1985/28)/21))</f>
        <v>15</v>
      </c>
      <c r="D1985" s="16" t="n">
        <f aca="false">IF(B1985=-1, -1, MOD(INT(B1985/28),21))</f>
        <v>6</v>
      </c>
      <c r="E1985" s="16" t="n">
        <f aca="false">IF(B1985=-1, -1, VLOOKUP(MOD(B1985,28), $T$24:$U$52,2))</f>
        <v>16</v>
      </c>
      <c r="F1985" s="16" t="n">
        <f aca="false">IF($B1985=-1, -1, VLOOKUP(C1985,$T$1:$V$20, 2))</f>
        <v>2</v>
      </c>
      <c r="G1985" s="16" t="n">
        <f aca="false">IF($B1985=-1, -1, VLOOKUP(D1985,$Y$1:$Z$22,2))</f>
        <v>12</v>
      </c>
      <c r="H1985" s="16" t="str">
        <f aca="false">_xlfn.UNICHAR(((F1985*21)+G1985)*28+44032)</f>
        <v>뇨</v>
      </c>
      <c r="I1985" s="16" t="n">
        <f aca="false">IF(B1985=-1, 1, COUNTIF($A$2:$A$3000, H1985))</f>
        <v>1</v>
      </c>
      <c r="J1985" s="10" t="str">
        <f aca="false">_xlfn.CONCAT(A1985, ",",H1985,",",I1985)</f>
        <v>켬,뇨,1</v>
      </c>
      <c r="K1985" s="16" t="n">
        <f aca="false">IF(B1985=-1,-1,VLOOKUP(C1985,$T$1:$V$20,3))</f>
        <v>21</v>
      </c>
      <c r="L1985" s="16" t="n">
        <f aca="false">IF(B1985=-1,-1,VLOOKUP(D1985,$Y$1:$AA$22,3))</f>
        <v>4</v>
      </c>
      <c r="N1985" s="10" t="str">
        <f aca="false">_xlfn.UNICHAR(((C1985*21)+G1985)*28+44032)</f>
        <v>쿄</v>
      </c>
      <c r="O1985" s="10" t="str">
        <f aca="false">_xlfn.UNICHAR(((F1985*21)+D1985)*28+44032)</f>
        <v>녀</v>
      </c>
      <c r="P1985" s="12" t="n">
        <f aca="false">COUNTIF($A$2:$A$3000, N1985) + COUNTIF($A$2:$A$3000, O1985)</f>
        <v>2</v>
      </c>
      <c r="Q1985" s="16" t="str">
        <f aca="false">IF(OR(B1985=-1,I1985=0, P1985&lt;&gt;2), "albhed_dummy", _xlfn.CONCAT("albhed ", RIGHT("  " &amp; K1985,2),", ", RIGHT("  " &amp; L1985,2), ", " ,"""",H1985,""", ", """",N1985,""", ","""",O1985,""""," ; ", A1985))</f>
        <v>albhed 21,  4, "뇨", "쿄", "녀" ; 켬</v>
      </c>
    </row>
    <row r="1986" customFormat="false" ht="17.9" hidden="false" customHeight="true" outlineLevel="0" collapsed="false">
      <c r="A1986" s="16" t="s">
        <v>2836</v>
      </c>
      <c r="B1986" s="16" t="n">
        <f aca="false">IF(_xlfn.UNICODE(A1986)&lt;44032,-1,_xlfn.UNICODE(A1986)-44032)</f>
        <v>9005</v>
      </c>
      <c r="C1986" s="16" t="n">
        <f aca="false">IF(B1986=-1,-1,INT((B1986/28)/21))</f>
        <v>15</v>
      </c>
      <c r="D1986" s="16" t="n">
        <f aca="false">IF(B1986=-1, -1, MOD(INT(B1986/28),21))</f>
        <v>6</v>
      </c>
      <c r="E1986" s="16" t="n">
        <f aca="false">IF(B1986=-1, -1, VLOOKUP(MOD(B1986,28), $T$24:$U$52,2))</f>
        <v>17</v>
      </c>
      <c r="F1986" s="16" t="n">
        <f aca="false">IF($B1986=-1, -1, VLOOKUP(C1986,$T$1:$V$20, 2))</f>
        <v>2</v>
      </c>
      <c r="G1986" s="16" t="n">
        <f aca="false">IF($B1986=-1, -1, VLOOKUP(D1986,$Y$1:$Z$22,2))</f>
        <v>12</v>
      </c>
      <c r="H1986" s="16" t="str">
        <f aca="false">_xlfn.UNICHAR(((F1986*21)+G1986)*28+44032)</f>
        <v>뇨</v>
      </c>
      <c r="I1986" s="16" t="n">
        <f aca="false">IF(B1986=-1, 1, COUNTIF($A$2:$A$3000, H1986))</f>
        <v>1</v>
      </c>
      <c r="J1986" s="10" t="str">
        <f aca="false">_xlfn.CONCAT(A1986, ",",H1986,",",I1986)</f>
        <v>켭,뇨,1</v>
      </c>
      <c r="K1986" s="16" t="n">
        <f aca="false">IF(B1986=-1,-1,VLOOKUP(C1986,$T$1:$V$20,3))</f>
        <v>21</v>
      </c>
      <c r="L1986" s="16" t="n">
        <f aca="false">IF(B1986=-1,-1,VLOOKUP(D1986,$Y$1:$AA$22,3))</f>
        <v>4</v>
      </c>
      <c r="N1986" s="10" t="str">
        <f aca="false">_xlfn.UNICHAR(((C1986*21)+G1986)*28+44032)</f>
        <v>쿄</v>
      </c>
      <c r="O1986" s="10" t="str">
        <f aca="false">_xlfn.UNICHAR(((F1986*21)+D1986)*28+44032)</f>
        <v>녀</v>
      </c>
      <c r="P1986" s="12" t="n">
        <f aca="false">COUNTIF($A$2:$A$3000, N1986) + COUNTIF($A$2:$A$3000, O1986)</f>
        <v>2</v>
      </c>
      <c r="Q1986" s="16" t="str">
        <f aca="false">IF(OR(B1986=-1,I1986=0, P1986&lt;&gt;2), "albhed_dummy", _xlfn.CONCAT("albhed ", RIGHT("  " &amp; K1986,2),", ", RIGHT("  " &amp; L1986,2), ", " ,"""",H1986,""", ", """",N1986,""", ","""",O1986,""""," ; ", A1986))</f>
        <v>albhed 21,  4, "뇨", "쿄", "녀" ; 켭</v>
      </c>
    </row>
    <row r="1987" customFormat="false" ht="17.9" hidden="false" customHeight="true" outlineLevel="0" collapsed="false">
      <c r="A1987" s="16" t="s">
        <v>2837</v>
      </c>
      <c r="B1987" s="16" t="n">
        <f aca="false">IF(_xlfn.UNICODE(A1987)&lt;44032,-1,_xlfn.UNICODE(A1987)-44032)</f>
        <v>9007</v>
      </c>
      <c r="C1987" s="16" t="n">
        <f aca="false">IF(B1987=-1,-1,INT((B1987/28)/21))</f>
        <v>15</v>
      </c>
      <c r="D1987" s="16" t="n">
        <f aca="false">IF(B1987=-1, -1, MOD(INT(B1987/28),21))</f>
        <v>6</v>
      </c>
      <c r="E1987" s="16" t="n">
        <f aca="false">IF(B1987=-1, -1, VLOOKUP(MOD(B1987,28), $T$24:$U$52,2))</f>
        <v>19</v>
      </c>
      <c r="F1987" s="16" t="n">
        <f aca="false">IF($B1987=-1, -1, VLOOKUP(C1987,$T$1:$V$20, 2))</f>
        <v>2</v>
      </c>
      <c r="G1987" s="16" t="n">
        <f aca="false">IF($B1987=-1, -1, VLOOKUP(D1987,$Y$1:$Z$22,2))</f>
        <v>12</v>
      </c>
      <c r="H1987" s="16" t="str">
        <f aca="false">_xlfn.UNICHAR(((F1987*21)+G1987)*28+44032)</f>
        <v>뇨</v>
      </c>
      <c r="I1987" s="16" t="n">
        <f aca="false">IF(B1987=-1, 1, COUNTIF($A$2:$A$3000, H1987))</f>
        <v>1</v>
      </c>
      <c r="J1987" s="10" t="str">
        <f aca="false">_xlfn.CONCAT(A1987, ",",H1987,",",I1987)</f>
        <v>켯,뇨,1</v>
      </c>
      <c r="K1987" s="16" t="n">
        <f aca="false">IF(B1987=-1,-1,VLOOKUP(C1987,$T$1:$V$20,3))</f>
        <v>21</v>
      </c>
      <c r="L1987" s="16" t="n">
        <f aca="false">IF(B1987=-1,-1,VLOOKUP(D1987,$Y$1:$AA$22,3))</f>
        <v>4</v>
      </c>
      <c r="N1987" s="10" t="str">
        <f aca="false">_xlfn.UNICHAR(((C1987*21)+G1987)*28+44032)</f>
        <v>쿄</v>
      </c>
      <c r="O1987" s="10" t="str">
        <f aca="false">_xlfn.UNICHAR(((F1987*21)+D1987)*28+44032)</f>
        <v>녀</v>
      </c>
      <c r="P1987" s="12" t="n">
        <f aca="false">COUNTIF($A$2:$A$3000, N1987) + COUNTIF($A$2:$A$3000, O1987)</f>
        <v>2</v>
      </c>
      <c r="Q1987" s="16" t="str">
        <f aca="false">IF(OR(B1987=-1,I1987=0, P1987&lt;&gt;2), "albhed_dummy", _xlfn.CONCAT("albhed ", RIGHT("  " &amp; K1987,2),", ", RIGHT("  " &amp; L1987,2), ", " ,"""",H1987,""", ", """",N1987,""", ","""",O1987,""""," ; ", A1987))</f>
        <v>albhed 21,  4, "뇨", "쿄", "녀" ; 켯</v>
      </c>
    </row>
    <row r="1988" customFormat="false" ht="17.9" hidden="false" customHeight="true" outlineLevel="0" collapsed="false">
      <c r="A1988" s="16" t="s">
        <v>2838</v>
      </c>
      <c r="B1988" s="16" t="n">
        <f aca="false">IF(_xlfn.UNICODE(A1988)&lt;44032,-1,_xlfn.UNICODE(A1988)-44032)</f>
        <v>9008</v>
      </c>
      <c r="C1988" s="16" t="n">
        <f aca="false">IF(B1988=-1,-1,INT((B1988/28)/21))</f>
        <v>15</v>
      </c>
      <c r="D1988" s="16" t="n">
        <f aca="false">IF(B1988=-1, -1, MOD(INT(B1988/28),21))</f>
        <v>6</v>
      </c>
      <c r="E1988" s="16" t="n">
        <f aca="false">IF(B1988=-1, -1, VLOOKUP(MOD(B1988,28), $T$24:$U$52,2))</f>
        <v>19</v>
      </c>
      <c r="F1988" s="16" t="n">
        <f aca="false">IF($B1988=-1, -1, VLOOKUP(C1988,$T$1:$V$20, 2))</f>
        <v>2</v>
      </c>
      <c r="G1988" s="16" t="n">
        <f aca="false">IF($B1988=-1, -1, VLOOKUP(D1988,$Y$1:$Z$22,2))</f>
        <v>12</v>
      </c>
      <c r="H1988" s="16" t="str">
        <f aca="false">_xlfn.UNICHAR(((F1988*21)+G1988)*28+44032)</f>
        <v>뇨</v>
      </c>
      <c r="I1988" s="16" t="n">
        <f aca="false">IF(B1988=-1, 1, COUNTIF($A$2:$A$3000, H1988))</f>
        <v>1</v>
      </c>
      <c r="J1988" s="10" t="str">
        <f aca="false">_xlfn.CONCAT(A1988, ",",H1988,",",I1988)</f>
        <v>켰,뇨,1</v>
      </c>
      <c r="K1988" s="16" t="n">
        <f aca="false">IF(B1988=-1,-1,VLOOKUP(C1988,$T$1:$V$20,3))</f>
        <v>21</v>
      </c>
      <c r="L1988" s="16" t="n">
        <f aca="false">IF(B1988=-1,-1,VLOOKUP(D1988,$Y$1:$AA$22,3))</f>
        <v>4</v>
      </c>
      <c r="N1988" s="10" t="str">
        <f aca="false">_xlfn.UNICHAR(((C1988*21)+G1988)*28+44032)</f>
        <v>쿄</v>
      </c>
      <c r="O1988" s="10" t="str">
        <f aca="false">_xlfn.UNICHAR(((F1988*21)+D1988)*28+44032)</f>
        <v>녀</v>
      </c>
      <c r="P1988" s="12" t="n">
        <f aca="false">COUNTIF($A$2:$A$3000, N1988) + COUNTIF($A$2:$A$3000, O1988)</f>
        <v>2</v>
      </c>
      <c r="Q1988" s="16" t="str">
        <f aca="false">IF(OR(B1988=-1,I1988=0, P1988&lt;&gt;2), "albhed_dummy", _xlfn.CONCAT("albhed ", RIGHT("  " &amp; K1988,2),", ", RIGHT("  " &amp; L1988,2), ", " ,"""",H1988,""", ", """",N1988,""", ","""",O1988,""""," ; ", A1988))</f>
        <v>albhed 21,  4, "뇨", "쿄", "녀" ; 켰</v>
      </c>
    </row>
    <row r="1989" customFormat="false" ht="17.9" hidden="false" customHeight="true" outlineLevel="0" collapsed="false">
      <c r="A1989" s="16" t="s">
        <v>2839</v>
      </c>
      <c r="B1989" s="16" t="n">
        <f aca="false">IF(_xlfn.UNICODE(A1989)&lt;44032,-1,_xlfn.UNICODE(A1989)-44032)</f>
        <v>9009</v>
      </c>
      <c r="C1989" s="16" t="n">
        <f aca="false">IF(B1989=-1,-1,INT((B1989/28)/21))</f>
        <v>15</v>
      </c>
      <c r="D1989" s="16" t="n">
        <f aca="false">IF(B1989=-1, -1, MOD(INT(B1989/28),21))</f>
        <v>6</v>
      </c>
      <c r="E1989" s="16" t="n">
        <f aca="false">IF(B1989=-1, -1, VLOOKUP(MOD(B1989,28), $T$24:$U$52,2))</f>
        <v>21</v>
      </c>
      <c r="F1989" s="16" t="n">
        <f aca="false">IF($B1989=-1, -1, VLOOKUP(C1989,$T$1:$V$20, 2))</f>
        <v>2</v>
      </c>
      <c r="G1989" s="16" t="n">
        <f aca="false">IF($B1989=-1, -1, VLOOKUP(D1989,$Y$1:$Z$22,2))</f>
        <v>12</v>
      </c>
      <c r="H1989" s="16" t="str">
        <f aca="false">_xlfn.UNICHAR(((F1989*21)+G1989)*28+44032)</f>
        <v>뇨</v>
      </c>
      <c r="I1989" s="16" t="n">
        <f aca="false">IF(B1989=-1, 1, COUNTIF($A$2:$A$3000, H1989))</f>
        <v>1</v>
      </c>
      <c r="J1989" s="10" t="str">
        <f aca="false">_xlfn.CONCAT(A1989, ",",H1989,",",I1989)</f>
        <v>켱,뇨,1</v>
      </c>
      <c r="K1989" s="16" t="n">
        <f aca="false">IF(B1989=-1,-1,VLOOKUP(C1989,$T$1:$V$20,3))</f>
        <v>21</v>
      </c>
      <c r="L1989" s="16" t="n">
        <f aca="false">IF(B1989=-1,-1,VLOOKUP(D1989,$Y$1:$AA$22,3))</f>
        <v>4</v>
      </c>
      <c r="N1989" s="10" t="str">
        <f aca="false">_xlfn.UNICHAR(((C1989*21)+G1989)*28+44032)</f>
        <v>쿄</v>
      </c>
      <c r="O1989" s="10" t="str">
        <f aca="false">_xlfn.UNICHAR(((F1989*21)+D1989)*28+44032)</f>
        <v>녀</v>
      </c>
      <c r="P1989" s="12" t="n">
        <f aca="false">COUNTIF($A$2:$A$3000, N1989) + COUNTIF($A$2:$A$3000, O1989)</f>
        <v>2</v>
      </c>
      <c r="Q1989" s="16" t="str">
        <f aca="false">IF(OR(B1989=-1,I1989=0, P1989&lt;&gt;2), "albhed_dummy", _xlfn.CONCAT("albhed ", RIGHT("  " &amp; K1989,2),", ", RIGHT("  " &amp; L1989,2), ", " ,"""",H1989,""", ", """",N1989,""", ","""",O1989,""""," ; ", A1989))</f>
        <v>albhed 21,  4, "뇨", "쿄", "녀" ; 켱</v>
      </c>
    </row>
    <row r="1990" customFormat="false" ht="17.9" hidden="false" customHeight="true" outlineLevel="0" collapsed="false">
      <c r="A1990" s="16" t="s">
        <v>2840</v>
      </c>
      <c r="B1990" s="16" t="n">
        <f aca="false">IF(_xlfn.UNICODE(A1990)&lt;44032,-1,_xlfn.UNICODE(A1990)-44032)</f>
        <v>9016</v>
      </c>
      <c r="C1990" s="16" t="n">
        <f aca="false">IF(B1990=-1,-1,INT((B1990/28)/21))</f>
        <v>15</v>
      </c>
      <c r="D1990" s="16" t="n">
        <f aca="false">IF(B1990=-1, -1, MOD(INT(B1990/28),21))</f>
        <v>7</v>
      </c>
      <c r="E1990" s="16" t="n">
        <f aca="false">IF(B1990=-1, -1, VLOOKUP(MOD(B1990,28), $T$24:$U$52,2))</f>
        <v>0</v>
      </c>
      <c r="F1990" s="16" t="n">
        <f aca="false">IF($B1990=-1, -1, VLOOKUP(C1990,$T$1:$V$20, 2))</f>
        <v>2</v>
      </c>
      <c r="G1990" s="16" t="n">
        <f aca="false">IF($B1990=-1, -1, VLOOKUP(D1990,$Y$1:$Z$22,2))</f>
        <v>18</v>
      </c>
      <c r="H1990" s="16" t="str">
        <f aca="false">_xlfn.UNICHAR(((F1990*21)+G1990)*28+44032)</f>
        <v>느</v>
      </c>
      <c r="I1990" s="16" t="n">
        <f aca="false">IF(B1990=-1, 1, COUNTIF($A$2:$A$3000, H1990))</f>
        <v>1</v>
      </c>
      <c r="J1990" s="10" t="str">
        <f aca="false">_xlfn.CONCAT(A1990, ",",H1990,",",I1990)</f>
        <v>켸,느,1</v>
      </c>
      <c r="K1990" s="16" t="n">
        <f aca="false">IF(B1990=-1,-1,VLOOKUP(C1990,$T$1:$V$20,3))</f>
        <v>21</v>
      </c>
      <c r="L1990" s="16" t="n">
        <f aca="false">IF(B1990=-1,-1,VLOOKUP(D1990,$Y$1:$AA$22,3))</f>
        <v>14</v>
      </c>
      <c r="N1990" s="10" t="str">
        <f aca="false">_xlfn.UNICHAR(((C1990*21)+G1990)*28+44032)</f>
        <v>크</v>
      </c>
      <c r="O1990" s="10" t="str">
        <f aca="false">_xlfn.UNICHAR(((F1990*21)+D1990)*28+44032)</f>
        <v>녜</v>
      </c>
      <c r="P1990" s="12" t="n">
        <f aca="false">COUNTIF($A$2:$A$3000, N1990) + COUNTIF($A$2:$A$3000, O1990)</f>
        <v>2</v>
      </c>
      <c r="Q1990" s="16" t="str">
        <f aca="false">IF(OR(B1990=-1,I1990=0, P1990&lt;&gt;2), "albhed_dummy", _xlfn.CONCAT("albhed ", RIGHT("  " &amp; K1990,2),", ", RIGHT("  " &amp; L1990,2), ", " ,"""",H1990,""", ", """",N1990,""", ","""",O1990,""""," ; ", A1990))</f>
        <v>albhed 21, 14, "느", "크", "녜" ; 켸</v>
      </c>
    </row>
    <row r="1991" customFormat="false" ht="17.9" hidden="false" customHeight="true" outlineLevel="0" collapsed="false">
      <c r="A1991" s="16" t="s">
        <v>2841</v>
      </c>
      <c r="B1991" s="16" t="n">
        <f aca="false">IF(_xlfn.UNICODE(A1991)&lt;44032,-1,_xlfn.UNICODE(A1991)-44032)</f>
        <v>9044</v>
      </c>
      <c r="C1991" s="16" t="n">
        <f aca="false">IF(B1991=-1,-1,INT((B1991/28)/21))</f>
        <v>15</v>
      </c>
      <c r="D1991" s="16" t="n">
        <f aca="false">IF(B1991=-1, -1, MOD(INT(B1991/28),21))</f>
        <v>8</v>
      </c>
      <c r="E1991" s="16" t="n">
        <f aca="false">IF(B1991=-1, -1, VLOOKUP(MOD(B1991,28), $T$24:$U$52,2))</f>
        <v>0</v>
      </c>
      <c r="F1991" s="16" t="n">
        <f aca="false">IF($B1991=-1, -1, VLOOKUP(C1991,$T$1:$V$20, 2))</f>
        <v>2</v>
      </c>
      <c r="G1991" s="16" t="n">
        <f aca="false">IF($B1991=-1, -1, VLOOKUP(D1991,$Y$1:$Z$22,2))</f>
        <v>4</v>
      </c>
      <c r="H1991" s="16" t="str">
        <f aca="false">_xlfn.UNICHAR(((F1991*21)+G1991)*28+44032)</f>
        <v>너</v>
      </c>
      <c r="I1991" s="16" t="n">
        <f aca="false">IF(B1991=-1, 1, COUNTIF($A$2:$A$3000, H1991))</f>
        <v>1</v>
      </c>
      <c r="J1991" s="10" t="str">
        <f aca="false">_xlfn.CONCAT(A1991, ",",H1991,",",I1991)</f>
        <v>코,너,1</v>
      </c>
      <c r="K1991" s="16" t="n">
        <f aca="false">IF(B1991=-1,-1,VLOOKUP(C1991,$T$1:$V$20,3))</f>
        <v>21</v>
      </c>
      <c r="L1991" s="16" t="n">
        <f aca="false">IF(B1991=-1,-1,VLOOKUP(D1991,$Y$1:$AA$22,3))</f>
        <v>8</v>
      </c>
      <c r="N1991" s="10" t="str">
        <f aca="false">_xlfn.UNICHAR(((C1991*21)+G1991)*28+44032)</f>
        <v>커</v>
      </c>
      <c r="O1991" s="10" t="str">
        <f aca="false">_xlfn.UNICHAR(((F1991*21)+D1991)*28+44032)</f>
        <v>노</v>
      </c>
      <c r="P1991" s="12" t="n">
        <f aca="false">COUNTIF($A$2:$A$3000, N1991) + COUNTIF($A$2:$A$3000, O1991)</f>
        <v>2</v>
      </c>
      <c r="Q1991" s="16" t="str">
        <f aca="false">IF(OR(B1991=-1,I1991=0, P1991&lt;&gt;2), "albhed_dummy", _xlfn.CONCAT("albhed ", RIGHT("  " &amp; K1991,2),", ", RIGHT("  " &amp; L1991,2), ", " ,"""",H1991,""", ", """",N1991,""", ","""",O1991,""""," ; ", A1991))</f>
        <v>albhed 21,  8, "너", "커", "노" ; 코</v>
      </c>
    </row>
    <row r="1992" customFormat="false" ht="17.9" hidden="false" customHeight="true" outlineLevel="0" collapsed="false">
      <c r="A1992" s="16" t="s">
        <v>2842</v>
      </c>
      <c r="B1992" s="16" t="n">
        <f aca="false">IF(_xlfn.UNICODE(A1992)&lt;44032,-1,_xlfn.UNICODE(A1992)-44032)</f>
        <v>9045</v>
      </c>
      <c r="C1992" s="16" t="n">
        <f aca="false">IF(B1992=-1,-1,INT((B1992/28)/21))</f>
        <v>15</v>
      </c>
      <c r="D1992" s="16" t="n">
        <f aca="false">IF(B1992=-1, -1, MOD(INT(B1992/28),21))</f>
        <v>8</v>
      </c>
      <c r="E1992" s="16" t="n">
        <f aca="false">IF(B1992=-1, -1, VLOOKUP(MOD(B1992,28), $T$24:$U$52,2))</f>
        <v>1</v>
      </c>
      <c r="F1992" s="16" t="n">
        <f aca="false">IF($B1992=-1, -1, VLOOKUP(C1992,$T$1:$V$20, 2))</f>
        <v>2</v>
      </c>
      <c r="G1992" s="16" t="n">
        <f aca="false">IF($B1992=-1, -1, VLOOKUP(D1992,$Y$1:$Z$22,2))</f>
        <v>4</v>
      </c>
      <c r="H1992" s="16" t="str">
        <f aca="false">_xlfn.UNICHAR(((F1992*21)+G1992)*28+44032)</f>
        <v>너</v>
      </c>
      <c r="I1992" s="16" t="n">
        <f aca="false">IF(B1992=-1, 1, COUNTIF($A$2:$A$3000, H1992))</f>
        <v>1</v>
      </c>
      <c r="J1992" s="10" t="str">
        <f aca="false">_xlfn.CONCAT(A1992, ",",H1992,",",I1992)</f>
        <v>콕,너,1</v>
      </c>
      <c r="K1992" s="16" t="n">
        <f aca="false">IF(B1992=-1,-1,VLOOKUP(C1992,$T$1:$V$20,3))</f>
        <v>21</v>
      </c>
      <c r="L1992" s="16" t="n">
        <f aca="false">IF(B1992=-1,-1,VLOOKUP(D1992,$Y$1:$AA$22,3))</f>
        <v>8</v>
      </c>
      <c r="N1992" s="10" t="str">
        <f aca="false">_xlfn.UNICHAR(((C1992*21)+G1992)*28+44032)</f>
        <v>커</v>
      </c>
      <c r="O1992" s="10" t="str">
        <f aca="false">_xlfn.UNICHAR(((F1992*21)+D1992)*28+44032)</f>
        <v>노</v>
      </c>
      <c r="P1992" s="12" t="n">
        <f aca="false">COUNTIF($A$2:$A$3000, N1992) + COUNTIF($A$2:$A$3000, O1992)</f>
        <v>2</v>
      </c>
      <c r="Q1992" s="16" t="str">
        <f aca="false">IF(OR(B1992=-1,I1992=0, P1992&lt;&gt;2), "albhed_dummy", _xlfn.CONCAT("albhed ", RIGHT("  " &amp; K1992,2),", ", RIGHT("  " &amp; L1992,2), ", " ,"""",H1992,""", ", """",N1992,""", ","""",O1992,""""," ; ", A1992))</f>
        <v>albhed 21,  8, "너", "커", "노" ; 콕</v>
      </c>
    </row>
    <row r="1993" customFormat="false" ht="17.9" hidden="false" customHeight="true" outlineLevel="0" collapsed="false">
      <c r="A1993" s="16" t="s">
        <v>2843</v>
      </c>
      <c r="B1993" s="16" t="n">
        <f aca="false">IF(_xlfn.UNICODE(A1993)&lt;44032,-1,_xlfn.UNICODE(A1993)-44032)</f>
        <v>9048</v>
      </c>
      <c r="C1993" s="16" t="n">
        <f aca="false">IF(B1993=-1,-1,INT((B1993/28)/21))</f>
        <v>15</v>
      </c>
      <c r="D1993" s="16" t="n">
        <f aca="false">IF(B1993=-1, -1, MOD(INT(B1993/28),21))</f>
        <v>8</v>
      </c>
      <c r="E1993" s="16" t="n">
        <f aca="false">IF(B1993=-1, -1, VLOOKUP(MOD(B1993,28), $T$24:$U$52,2))</f>
        <v>4</v>
      </c>
      <c r="F1993" s="16" t="n">
        <f aca="false">IF($B1993=-1, -1, VLOOKUP(C1993,$T$1:$V$20, 2))</f>
        <v>2</v>
      </c>
      <c r="G1993" s="16" t="n">
        <f aca="false">IF($B1993=-1, -1, VLOOKUP(D1993,$Y$1:$Z$22,2))</f>
        <v>4</v>
      </c>
      <c r="H1993" s="16" t="str">
        <f aca="false">_xlfn.UNICHAR(((F1993*21)+G1993)*28+44032)</f>
        <v>너</v>
      </c>
      <c r="I1993" s="16" t="n">
        <f aca="false">IF(B1993=-1, 1, COUNTIF($A$2:$A$3000, H1993))</f>
        <v>1</v>
      </c>
      <c r="J1993" s="10" t="str">
        <f aca="false">_xlfn.CONCAT(A1993, ",",H1993,",",I1993)</f>
        <v>콘,너,1</v>
      </c>
      <c r="K1993" s="16" t="n">
        <f aca="false">IF(B1993=-1,-1,VLOOKUP(C1993,$T$1:$V$20,3))</f>
        <v>21</v>
      </c>
      <c r="L1993" s="16" t="n">
        <f aca="false">IF(B1993=-1,-1,VLOOKUP(D1993,$Y$1:$AA$22,3))</f>
        <v>8</v>
      </c>
      <c r="N1993" s="10" t="str">
        <f aca="false">_xlfn.UNICHAR(((C1993*21)+G1993)*28+44032)</f>
        <v>커</v>
      </c>
      <c r="O1993" s="10" t="str">
        <f aca="false">_xlfn.UNICHAR(((F1993*21)+D1993)*28+44032)</f>
        <v>노</v>
      </c>
      <c r="P1993" s="12" t="n">
        <f aca="false">COUNTIF($A$2:$A$3000, N1993) + COUNTIF($A$2:$A$3000, O1993)</f>
        <v>2</v>
      </c>
      <c r="Q1993" s="16" t="str">
        <f aca="false">IF(OR(B1993=-1,I1993=0, P1993&lt;&gt;2), "albhed_dummy", _xlfn.CONCAT("albhed ", RIGHT("  " &amp; K1993,2),", ", RIGHT("  " &amp; L1993,2), ", " ,"""",H1993,""", ", """",N1993,""", ","""",O1993,""""," ; ", A1993))</f>
        <v>albhed 21,  8, "너", "커", "노" ; 콘</v>
      </c>
    </row>
    <row r="1994" customFormat="false" ht="17.9" hidden="false" customHeight="true" outlineLevel="0" collapsed="false">
      <c r="A1994" s="16" t="s">
        <v>2844</v>
      </c>
      <c r="B1994" s="16" t="n">
        <f aca="false">IF(_xlfn.UNICODE(A1994)&lt;44032,-1,_xlfn.UNICODE(A1994)-44032)</f>
        <v>9052</v>
      </c>
      <c r="C1994" s="16" t="n">
        <f aca="false">IF(B1994=-1,-1,INT((B1994/28)/21))</f>
        <v>15</v>
      </c>
      <c r="D1994" s="16" t="n">
        <f aca="false">IF(B1994=-1, -1, MOD(INT(B1994/28),21))</f>
        <v>8</v>
      </c>
      <c r="E1994" s="16" t="n">
        <f aca="false">IF(B1994=-1, -1, VLOOKUP(MOD(B1994,28), $T$24:$U$52,2))</f>
        <v>8</v>
      </c>
      <c r="F1994" s="16" t="n">
        <f aca="false">IF($B1994=-1, -1, VLOOKUP(C1994,$T$1:$V$20, 2))</f>
        <v>2</v>
      </c>
      <c r="G1994" s="16" t="n">
        <f aca="false">IF($B1994=-1, -1, VLOOKUP(D1994,$Y$1:$Z$22,2))</f>
        <v>4</v>
      </c>
      <c r="H1994" s="16" t="str">
        <f aca="false">_xlfn.UNICHAR(((F1994*21)+G1994)*28+44032)</f>
        <v>너</v>
      </c>
      <c r="I1994" s="16" t="n">
        <f aca="false">IF(B1994=-1, 1, COUNTIF($A$2:$A$3000, H1994))</f>
        <v>1</v>
      </c>
      <c r="J1994" s="10" t="str">
        <f aca="false">_xlfn.CONCAT(A1994, ",",H1994,",",I1994)</f>
        <v>콜,너,1</v>
      </c>
      <c r="K1994" s="16" t="n">
        <f aca="false">IF(B1994=-1,-1,VLOOKUP(C1994,$T$1:$V$20,3))</f>
        <v>21</v>
      </c>
      <c r="L1994" s="16" t="n">
        <f aca="false">IF(B1994=-1,-1,VLOOKUP(D1994,$Y$1:$AA$22,3))</f>
        <v>8</v>
      </c>
      <c r="N1994" s="10" t="str">
        <f aca="false">_xlfn.UNICHAR(((C1994*21)+G1994)*28+44032)</f>
        <v>커</v>
      </c>
      <c r="O1994" s="10" t="str">
        <f aca="false">_xlfn.UNICHAR(((F1994*21)+D1994)*28+44032)</f>
        <v>노</v>
      </c>
      <c r="P1994" s="12" t="n">
        <f aca="false">COUNTIF($A$2:$A$3000, N1994) + COUNTIF($A$2:$A$3000, O1994)</f>
        <v>2</v>
      </c>
      <c r="Q1994" s="16" t="str">
        <f aca="false">IF(OR(B1994=-1,I1994=0, P1994&lt;&gt;2), "albhed_dummy", _xlfn.CONCAT("albhed ", RIGHT("  " &amp; K1994,2),", ", RIGHT("  " &amp; L1994,2), ", " ,"""",H1994,""", ", """",N1994,""", ","""",O1994,""""," ; ", A1994))</f>
        <v>albhed 21,  8, "너", "커", "노" ; 콜</v>
      </c>
    </row>
    <row r="1995" customFormat="false" ht="17.9" hidden="false" customHeight="true" outlineLevel="0" collapsed="false">
      <c r="A1995" s="16" t="s">
        <v>2845</v>
      </c>
      <c r="B1995" s="16" t="n">
        <f aca="false">IF(_xlfn.UNICODE(A1995)&lt;44032,-1,_xlfn.UNICODE(A1995)-44032)</f>
        <v>9060</v>
      </c>
      <c r="C1995" s="16" t="n">
        <f aca="false">IF(B1995=-1,-1,INT((B1995/28)/21))</f>
        <v>15</v>
      </c>
      <c r="D1995" s="16" t="n">
        <f aca="false">IF(B1995=-1, -1, MOD(INT(B1995/28),21))</f>
        <v>8</v>
      </c>
      <c r="E1995" s="16" t="n">
        <f aca="false">IF(B1995=-1, -1, VLOOKUP(MOD(B1995,28), $T$24:$U$52,2))</f>
        <v>16</v>
      </c>
      <c r="F1995" s="16" t="n">
        <f aca="false">IF($B1995=-1, -1, VLOOKUP(C1995,$T$1:$V$20, 2))</f>
        <v>2</v>
      </c>
      <c r="G1995" s="16" t="n">
        <f aca="false">IF($B1995=-1, -1, VLOOKUP(D1995,$Y$1:$Z$22,2))</f>
        <v>4</v>
      </c>
      <c r="H1995" s="16" t="str">
        <f aca="false">_xlfn.UNICHAR(((F1995*21)+G1995)*28+44032)</f>
        <v>너</v>
      </c>
      <c r="I1995" s="16" t="n">
        <f aca="false">IF(B1995=-1, 1, COUNTIF($A$2:$A$3000, H1995))</f>
        <v>1</v>
      </c>
      <c r="J1995" s="10" t="str">
        <f aca="false">_xlfn.CONCAT(A1995, ",",H1995,",",I1995)</f>
        <v>콤,너,1</v>
      </c>
      <c r="K1995" s="16" t="n">
        <f aca="false">IF(B1995=-1,-1,VLOOKUP(C1995,$T$1:$V$20,3))</f>
        <v>21</v>
      </c>
      <c r="L1995" s="16" t="n">
        <f aca="false">IF(B1995=-1,-1,VLOOKUP(D1995,$Y$1:$AA$22,3))</f>
        <v>8</v>
      </c>
      <c r="N1995" s="10" t="str">
        <f aca="false">_xlfn.UNICHAR(((C1995*21)+G1995)*28+44032)</f>
        <v>커</v>
      </c>
      <c r="O1995" s="10" t="str">
        <f aca="false">_xlfn.UNICHAR(((F1995*21)+D1995)*28+44032)</f>
        <v>노</v>
      </c>
      <c r="P1995" s="12" t="n">
        <f aca="false">COUNTIF($A$2:$A$3000, N1995) + COUNTIF($A$2:$A$3000, O1995)</f>
        <v>2</v>
      </c>
      <c r="Q1995" s="16" t="str">
        <f aca="false">IF(OR(B1995=-1,I1995=0, P1995&lt;&gt;2), "albhed_dummy", _xlfn.CONCAT("albhed ", RIGHT("  " &amp; K1995,2),", ", RIGHT("  " &amp; L1995,2), ", " ,"""",H1995,""", ", """",N1995,""", ","""",O1995,""""," ; ", A1995))</f>
        <v>albhed 21,  8, "너", "커", "노" ; 콤</v>
      </c>
    </row>
    <row r="1996" customFormat="false" ht="17.9" hidden="false" customHeight="true" outlineLevel="0" collapsed="false">
      <c r="A1996" s="16" t="s">
        <v>2846</v>
      </c>
      <c r="B1996" s="16" t="n">
        <f aca="false">IF(_xlfn.UNICODE(A1996)&lt;44032,-1,_xlfn.UNICODE(A1996)-44032)</f>
        <v>9061</v>
      </c>
      <c r="C1996" s="16" t="n">
        <f aca="false">IF(B1996=-1,-1,INT((B1996/28)/21))</f>
        <v>15</v>
      </c>
      <c r="D1996" s="16" t="n">
        <f aca="false">IF(B1996=-1, -1, MOD(INT(B1996/28),21))</f>
        <v>8</v>
      </c>
      <c r="E1996" s="16" t="n">
        <f aca="false">IF(B1996=-1, -1, VLOOKUP(MOD(B1996,28), $T$24:$U$52,2))</f>
        <v>17</v>
      </c>
      <c r="F1996" s="16" t="n">
        <f aca="false">IF($B1996=-1, -1, VLOOKUP(C1996,$T$1:$V$20, 2))</f>
        <v>2</v>
      </c>
      <c r="G1996" s="16" t="n">
        <f aca="false">IF($B1996=-1, -1, VLOOKUP(D1996,$Y$1:$Z$22,2))</f>
        <v>4</v>
      </c>
      <c r="H1996" s="16" t="str">
        <f aca="false">_xlfn.UNICHAR(((F1996*21)+G1996)*28+44032)</f>
        <v>너</v>
      </c>
      <c r="I1996" s="16" t="n">
        <f aca="false">IF(B1996=-1, 1, COUNTIF($A$2:$A$3000, H1996))</f>
        <v>1</v>
      </c>
      <c r="J1996" s="10" t="str">
        <f aca="false">_xlfn.CONCAT(A1996, ",",H1996,",",I1996)</f>
        <v>콥,너,1</v>
      </c>
      <c r="K1996" s="16" t="n">
        <f aca="false">IF(B1996=-1,-1,VLOOKUP(C1996,$T$1:$V$20,3))</f>
        <v>21</v>
      </c>
      <c r="L1996" s="16" t="n">
        <f aca="false">IF(B1996=-1,-1,VLOOKUP(D1996,$Y$1:$AA$22,3))</f>
        <v>8</v>
      </c>
      <c r="N1996" s="10" t="str">
        <f aca="false">_xlfn.UNICHAR(((C1996*21)+G1996)*28+44032)</f>
        <v>커</v>
      </c>
      <c r="O1996" s="10" t="str">
        <f aca="false">_xlfn.UNICHAR(((F1996*21)+D1996)*28+44032)</f>
        <v>노</v>
      </c>
      <c r="P1996" s="12" t="n">
        <f aca="false">COUNTIF($A$2:$A$3000, N1996) + COUNTIF($A$2:$A$3000, O1996)</f>
        <v>2</v>
      </c>
      <c r="Q1996" s="16" t="str">
        <f aca="false">IF(OR(B1996=-1,I1996=0, P1996&lt;&gt;2), "albhed_dummy", _xlfn.CONCAT("albhed ", RIGHT("  " &amp; K1996,2),", ", RIGHT("  " &amp; L1996,2), ", " ,"""",H1996,""", ", """",N1996,""", ","""",O1996,""""," ; ", A1996))</f>
        <v>albhed 21,  8, "너", "커", "노" ; 콥</v>
      </c>
    </row>
    <row r="1997" customFormat="false" ht="17.9" hidden="false" customHeight="true" outlineLevel="0" collapsed="false">
      <c r="A1997" s="16" t="s">
        <v>2847</v>
      </c>
      <c r="B1997" s="16" t="n">
        <f aca="false">IF(_xlfn.UNICODE(A1997)&lt;44032,-1,_xlfn.UNICODE(A1997)-44032)</f>
        <v>9063</v>
      </c>
      <c r="C1997" s="16" t="n">
        <f aca="false">IF(B1997=-1,-1,INT((B1997/28)/21))</f>
        <v>15</v>
      </c>
      <c r="D1997" s="16" t="n">
        <f aca="false">IF(B1997=-1, -1, MOD(INT(B1997/28),21))</f>
        <v>8</v>
      </c>
      <c r="E1997" s="16" t="n">
        <f aca="false">IF(B1997=-1, -1, VLOOKUP(MOD(B1997,28), $T$24:$U$52,2))</f>
        <v>19</v>
      </c>
      <c r="F1997" s="16" t="n">
        <f aca="false">IF($B1997=-1, -1, VLOOKUP(C1997,$T$1:$V$20, 2))</f>
        <v>2</v>
      </c>
      <c r="G1997" s="16" t="n">
        <f aca="false">IF($B1997=-1, -1, VLOOKUP(D1997,$Y$1:$Z$22,2))</f>
        <v>4</v>
      </c>
      <c r="H1997" s="16" t="str">
        <f aca="false">_xlfn.UNICHAR(((F1997*21)+G1997)*28+44032)</f>
        <v>너</v>
      </c>
      <c r="I1997" s="16" t="n">
        <f aca="false">IF(B1997=-1, 1, COUNTIF($A$2:$A$3000, H1997))</f>
        <v>1</v>
      </c>
      <c r="J1997" s="10" t="str">
        <f aca="false">_xlfn.CONCAT(A1997, ",",H1997,",",I1997)</f>
        <v>콧,너,1</v>
      </c>
      <c r="K1997" s="16" t="n">
        <f aca="false">IF(B1997=-1,-1,VLOOKUP(C1997,$T$1:$V$20,3))</f>
        <v>21</v>
      </c>
      <c r="L1997" s="16" t="n">
        <f aca="false">IF(B1997=-1,-1,VLOOKUP(D1997,$Y$1:$AA$22,3))</f>
        <v>8</v>
      </c>
      <c r="N1997" s="10" t="str">
        <f aca="false">_xlfn.UNICHAR(((C1997*21)+G1997)*28+44032)</f>
        <v>커</v>
      </c>
      <c r="O1997" s="10" t="str">
        <f aca="false">_xlfn.UNICHAR(((F1997*21)+D1997)*28+44032)</f>
        <v>노</v>
      </c>
      <c r="P1997" s="12" t="n">
        <f aca="false">COUNTIF($A$2:$A$3000, N1997) + COUNTIF($A$2:$A$3000, O1997)</f>
        <v>2</v>
      </c>
      <c r="Q1997" s="16" t="str">
        <f aca="false">IF(OR(B1997=-1,I1997=0, P1997&lt;&gt;2), "albhed_dummy", _xlfn.CONCAT("albhed ", RIGHT("  " &amp; K1997,2),", ", RIGHT("  " &amp; L1997,2), ", " ,"""",H1997,""", ", """",N1997,""", ","""",O1997,""""," ; ", A1997))</f>
        <v>albhed 21,  8, "너", "커", "노" ; 콧</v>
      </c>
    </row>
    <row r="1998" customFormat="false" ht="17.9" hidden="false" customHeight="true" outlineLevel="0" collapsed="false">
      <c r="A1998" s="16" t="s">
        <v>2848</v>
      </c>
      <c r="B1998" s="16" t="n">
        <f aca="false">IF(_xlfn.UNICODE(A1998)&lt;44032,-1,_xlfn.UNICODE(A1998)-44032)</f>
        <v>9065</v>
      </c>
      <c r="C1998" s="16" t="n">
        <f aca="false">IF(B1998=-1,-1,INT((B1998/28)/21))</f>
        <v>15</v>
      </c>
      <c r="D1998" s="16" t="n">
        <f aca="false">IF(B1998=-1, -1, MOD(INT(B1998/28),21))</f>
        <v>8</v>
      </c>
      <c r="E1998" s="16" t="n">
        <f aca="false">IF(B1998=-1, -1, VLOOKUP(MOD(B1998,28), $T$24:$U$52,2))</f>
        <v>21</v>
      </c>
      <c r="F1998" s="16" t="n">
        <f aca="false">IF($B1998=-1, -1, VLOOKUP(C1998,$T$1:$V$20, 2))</f>
        <v>2</v>
      </c>
      <c r="G1998" s="16" t="n">
        <f aca="false">IF($B1998=-1, -1, VLOOKUP(D1998,$Y$1:$Z$22,2))</f>
        <v>4</v>
      </c>
      <c r="H1998" s="16" t="str">
        <f aca="false">_xlfn.UNICHAR(((F1998*21)+G1998)*28+44032)</f>
        <v>너</v>
      </c>
      <c r="I1998" s="16" t="n">
        <f aca="false">IF(B1998=-1, 1, COUNTIF($A$2:$A$3000, H1998))</f>
        <v>1</v>
      </c>
      <c r="J1998" s="10" t="str">
        <f aca="false">_xlfn.CONCAT(A1998, ",",H1998,",",I1998)</f>
        <v>콩,너,1</v>
      </c>
      <c r="K1998" s="16" t="n">
        <f aca="false">IF(B1998=-1,-1,VLOOKUP(C1998,$T$1:$V$20,3))</f>
        <v>21</v>
      </c>
      <c r="L1998" s="16" t="n">
        <f aca="false">IF(B1998=-1,-1,VLOOKUP(D1998,$Y$1:$AA$22,3))</f>
        <v>8</v>
      </c>
      <c r="N1998" s="10" t="str">
        <f aca="false">_xlfn.UNICHAR(((C1998*21)+G1998)*28+44032)</f>
        <v>커</v>
      </c>
      <c r="O1998" s="10" t="str">
        <f aca="false">_xlfn.UNICHAR(((F1998*21)+D1998)*28+44032)</f>
        <v>노</v>
      </c>
      <c r="P1998" s="12" t="n">
        <f aca="false">COUNTIF($A$2:$A$3000, N1998) + COUNTIF($A$2:$A$3000, O1998)</f>
        <v>2</v>
      </c>
      <c r="Q1998" s="16" t="str">
        <f aca="false">IF(OR(B1998=-1,I1998=0, P1998&lt;&gt;2), "albhed_dummy", _xlfn.CONCAT("albhed ", RIGHT("  " &amp; K1998,2),", ", RIGHT("  " &amp; L1998,2), ", " ,"""",H1998,""", ", """",N1998,""", ","""",O1998,""""," ; ", A1998))</f>
        <v>albhed 21,  8, "너", "커", "노" ; 콩</v>
      </c>
    </row>
    <row r="1999" customFormat="false" ht="17.9" hidden="false" customHeight="true" outlineLevel="0" collapsed="false">
      <c r="A1999" s="16" t="s">
        <v>2849</v>
      </c>
      <c r="B1999" s="16" t="n">
        <f aca="false">IF(_xlfn.UNICODE(A1999)&lt;44032,-1,_xlfn.UNICODE(A1999)-44032)</f>
        <v>9072</v>
      </c>
      <c r="C1999" s="16" t="n">
        <f aca="false">IF(B1999=-1,-1,INT((B1999/28)/21))</f>
        <v>15</v>
      </c>
      <c r="D1999" s="16" t="n">
        <f aca="false">IF(B1999=-1, -1, MOD(INT(B1999/28),21))</f>
        <v>9</v>
      </c>
      <c r="E1999" s="16" t="n">
        <f aca="false">IF(B1999=-1, -1, VLOOKUP(MOD(B1999,28), $T$24:$U$52,2))</f>
        <v>0</v>
      </c>
      <c r="F1999" s="16" t="n">
        <f aca="false">IF($B1999=-1, -1, VLOOKUP(C1999,$T$1:$V$20, 2))</f>
        <v>2</v>
      </c>
      <c r="G1999" s="16" t="n">
        <f aca="false">IF($B1999=-1, -1, VLOOKUP(D1999,$Y$1:$Z$22,2))</f>
        <v>20</v>
      </c>
      <c r="H1999" s="16" t="str">
        <f aca="false">_xlfn.UNICHAR(((F1999*21)+G1999)*28+44032)</f>
        <v>니</v>
      </c>
      <c r="I1999" s="16" t="n">
        <f aca="false">IF(B1999=-1, 1, COUNTIF($A$2:$A$3000, H1999))</f>
        <v>1</v>
      </c>
      <c r="J1999" s="10" t="str">
        <f aca="false">_xlfn.CONCAT(A1999, ",",H1999,",",I1999)</f>
        <v>콰,니,1</v>
      </c>
      <c r="K1999" s="16" t="n">
        <f aca="false">IF(B1999=-1,-1,VLOOKUP(C1999,$T$1:$V$20,3))</f>
        <v>21</v>
      </c>
      <c r="L1999" s="16" t="n">
        <f aca="false">IF(B1999=-1,-1,VLOOKUP(D1999,$Y$1:$AA$22,3))</f>
        <v>12</v>
      </c>
      <c r="N1999" s="10" t="str">
        <f aca="false">_xlfn.UNICHAR(((C1999*21)+G1999)*28+44032)</f>
        <v>키</v>
      </c>
      <c r="O1999" s="10" t="str">
        <f aca="false">_xlfn.UNICHAR(((F1999*21)+D1999)*28+44032)</f>
        <v>놔</v>
      </c>
      <c r="P1999" s="12" t="n">
        <f aca="false">COUNTIF($A$2:$A$3000, N1999) + COUNTIF($A$2:$A$3000, O1999)</f>
        <v>2</v>
      </c>
      <c r="Q1999" s="16" t="str">
        <f aca="false">IF(OR(B1999=-1,I1999=0, P1999&lt;&gt;2), "albhed_dummy", _xlfn.CONCAT("albhed ", RIGHT("  " &amp; K1999,2),", ", RIGHT("  " &amp; L1999,2), ", " ,"""",H1999,""", ", """",N1999,""", ","""",O1999,""""," ; ", A1999))</f>
        <v>albhed 21, 12, "니", "키", "놔" ; 콰</v>
      </c>
    </row>
    <row r="2000" customFormat="false" ht="17.9" hidden="false" customHeight="true" outlineLevel="0" collapsed="false">
      <c r="A2000" s="16" t="s">
        <v>2850</v>
      </c>
      <c r="B2000" s="16" t="n">
        <f aca="false">IF(_xlfn.UNICODE(A2000)&lt;44032,-1,_xlfn.UNICODE(A2000)-44032)</f>
        <v>9073</v>
      </c>
      <c r="C2000" s="16" t="n">
        <f aca="false">IF(B2000=-1,-1,INT((B2000/28)/21))</f>
        <v>15</v>
      </c>
      <c r="D2000" s="16" t="n">
        <f aca="false">IF(B2000=-1, -1, MOD(INT(B2000/28),21))</f>
        <v>9</v>
      </c>
      <c r="E2000" s="16" t="n">
        <f aca="false">IF(B2000=-1, -1, VLOOKUP(MOD(B2000,28), $T$24:$U$52,2))</f>
        <v>1</v>
      </c>
      <c r="F2000" s="16" t="n">
        <f aca="false">IF($B2000=-1, -1, VLOOKUP(C2000,$T$1:$V$20, 2))</f>
        <v>2</v>
      </c>
      <c r="G2000" s="16" t="n">
        <f aca="false">IF($B2000=-1, -1, VLOOKUP(D2000,$Y$1:$Z$22,2))</f>
        <v>20</v>
      </c>
      <c r="H2000" s="16" t="str">
        <f aca="false">_xlfn.UNICHAR(((F2000*21)+G2000)*28+44032)</f>
        <v>니</v>
      </c>
      <c r="I2000" s="16" t="n">
        <f aca="false">IF(B2000=-1, 1, COUNTIF($A$2:$A$3000, H2000))</f>
        <v>1</v>
      </c>
      <c r="J2000" s="10" t="str">
        <f aca="false">_xlfn.CONCAT(A2000, ",",H2000,",",I2000)</f>
        <v>콱,니,1</v>
      </c>
      <c r="K2000" s="16" t="n">
        <f aca="false">IF(B2000=-1,-1,VLOOKUP(C2000,$T$1:$V$20,3))</f>
        <v>21</v>
      </c>
      <c r="L2000" s="16" t="n">
        <f aca="false">IF(B2000=-1,-1,VLOOKUP(D2000,$Y$1:$AA$22,3))</f>
        <v>12</v>
      </c>
      <c r="N2000" s="10" t="str">
        <f aca="false">_xlfn.UNICHAR(((C2000*21)+G2000)*28+44032)</f>
        <v>키</v>
      </c>
      <c r="O2000" s="10" t="str">
        <f aca="false">_xlfn.UNICHAR(((F2000*21)+D2000)*28+44032)</f>
        <v>놔</v>
      </c>
      <c r="P2000" s="12" t="n">
        <f aca="false">COUNTIF($A$2:$A$3000, N2000) + COUNTIF($A$2:$A$3000, O2000)</f>
        <v>2</v>
      </c>
      <c r="Q2000" s="16" t="str">
        <f aca="false">IF(OR(B2000=-1,I2000=0, P2000&lt;&gt;2), "albhed_dummy", _xlfn.CONCAT("albhed ", RIGHT("  " &amp; K2000,2),", ", RIGHT("  " &amp; L2000,2), ", " ,"""",H2000,""", ", """",N2000,""", ","""",O2000,""""," ; ", A2000))</f>
        <v>albhed 21, 12, "니", "키", "놔" ; 콱</v>
      </c>
    </row>
    <row r="2001" customFormat="false" ht="17.9" hidden="false" customHeight="true" outlineLevel="0" collapsed="false">
      <c r="A2001" s="16" t="s">
        <v>2851</v>
      </c>
      <c r="B2001" s="16" t="n">
        <f aca="false">IF(_xlfn.UNICODE(A2001)&lt;44032,-1,_xlfn.UNICODE(A2001)-44032)</f>
        <v>9076</v>
      </c>
      <c r="C2001" s="16" t="n">
        <f aca="false">IF(B2001=-1,-1,INT((B2001/28)/21))</f>
        <v>15</v>
      </c>
      <c r="D2001" s="16" t="n">
        <f aca="false">IF(B2001=-1, -1, MOD(INT(B2001/28),21))</f>
        <v>9</v>
      </c>
      <c r="E2001" s="16" t="n">
        <f aca="false">IF(B2001=-1, -1, VLOOKUP(MOD(B2001,28), $T$24:$U$52,2))</f>
        <v>4</v>
      </c>
      <c r="F2001" s="16" t="n">
        <f aca="false">IF($B2001=-1, -1, VLOOKUP(C2001,$T$1:$V$20, 2))</f>
        <v>2</v>
      </c>
      <c r="G2001" s="16" t="n">
        <f aca="false">IF($B2001=-1, -1, VLOOKUP(D2001,$Y$1:$Z$22,2))</f>
        <v>20</v>
      </c>
      <c r="H2001" s="16" t="str">
        <f aca="false">_xlfn.UNICHAR(((F2001*21)+G2001)*28+44032)</f>
        <v>니</v>
      </c>
      <c r="I2001" s="16" t="n">
        <f aca="false">IF(B2001=-1, 1, COUNTIF($A$2:$A$3000, H2001))</f>
        <v>1</v>
      </c>
      <c r="J2001" s="10" t="str">
        <f aca="false">_xlfn.CONCAT(A2001, ",",H2001,",",I2001)</f>
        <v>콴,니,1</v>
      </c>
      <c r="K2001" s="16" t="n">
        <f aca="false">IF(B2001=-1,-1,VLOOKUP(C2001,$T$1:$V$20,3))</f>
        <v>21</v>
      </c>
      <c r="L2001" s="16" t="n">
        <f aca="false">IF(B2001=-1,-1,VLOOKUP(D2001,$Y$1:$AA$22,3))</f>
        <v>12</v>
      </c>
      <c r="N2001" s="10" t="str">
        <f aca="false">_xlfn.UNICHAR(((C2001*21)+G2001)*28+44032)</f>
        <v>키</v>
      </c>
      <c r="O2001" s="10" t="str">
        <f aca="false">_xlfn.UNICHAR(((F2001*21)+D2001)*28+44032)</f>
        <v>놔</v>
      </c>
      <c r="P2001" s="12" t="n">
        <f aca="false">COUNTIF($A$2:$A$3000, N2001) + COUNTIF($A$2:$A$3000, O2001)</f>
        <v>2</v>
      </c>
      <c r="Q2001" s="16" t="str">
        <f aca="false">IF(OR(B2001=-1,I2001=0, P2001&lt;&gt;2), "albhed_dummy", _xlfn.CONCAT("albhed ", RIGHT("  " &amp; K2001,2),", ", RIGHT("  " &amp; L2001,2), ", " ,"""",H2001,""", ", """",N2001,""", ","""",O2001,""""," ; ", A2001))</f>
        <v>albhed 21, 12, "니", "키", "놔" ; 콴</v>
      </c>
    </row>
    <row r="2002" customFormat="false" ht="17.9" hidden="false" customHeight="true" outlineLevel="0" collapsed="false">
      <c r="A2002" s="16" t="s">
        <v>2852</v>
      </c>
      <c r="B2002" s="16" t="n">
        <f aca="false">IF(_xlfn.UNICODE(A2002)&lt;44032,-1,_xlfn.UNICODE(A2002)-44032)</f>
        <v>9080</v>
      </c>
      <c r="C2002" s="16" t="n">
        <f aca="false">IF(B2002=-1,-1,INT((B2002/28)/21))</f>
        <v>15</v>
      </c>
      <c r="D2002" s="16" t="n">
        <f aca="false">IF(B2002=-1, -1, MOD(INT(B2002/28),21))</f>
        <v>9</v>
      </c>
      <c r="E2002" s="16" t="n">
        <f aca="false">IF(B2002=-1, -1, VLOOKUP(MOD(B2002,28), $T$24:$U$52,2))</f>
        <v>8</v>
      </c>
      <c r="F2002" s="16" t="n">
        <f aca="false">IF($B2002=-1, -1, VLOOKUP(C2002,$T$1:$V$20, 2))</f>
        <v>2</v>
      </c>
      <c r="G2002" s="16" t="n">
        <f aca="false">IF($B2002=-1, -1, VLOOKUP(D2002,$Y$1:$Z$22,2))</f>
        <v>20</v>
      </c>
      <c r="H2002" s="16" t="str">
        <f aca="false">_xlfn.UNICHAR(((F2002*21)+G2002)*28+44032)</f>
        <v>니</v>
      </c>
      <c r="I2002" s="16" t="n">
        <f aca="false">IF(B2002=-1, 1, COUNTIF($A$2:$A$3000, H2002))</f>
        <v>1</v>
      </c>
      <c r="J2002" s="10" t="str">
        <f aca="false">_xlfn.CONCAT(A2002, ",",H2002,",",I2002)</f>
        <v>콸,니,1</v>
      </c>
      <c r="K2002" s="16" t="n">
        <f aca="false">IF(B2002=-1,-1,VLOOKUP(C2002,$T$1:$V$20,3))</f>
        <v>21</v>
      </c>
      <c r="L2002" s="16" t="n">
        <f aca="false">IF(B2002=-1,-1,VLOOKUP(D2002,$Y$1:$AA$22,3))</f>
        <v>12</v>
      </c>
      <c r="N2002" s="10" t="str">
        <f aca="false">_xlfn.UNICHAR(((C2002*21)+G2002)*28+44032)</f>
        <v>키</v>
      </c>
      <c r="O2002" s="10" t="str">
        <f aca="false">_xlfn.UNICHAR(((F2002*21)+D2002)*28+44032)</f>
        <v>놔</v>
      </c>
      <c r="P2002" s="12" t="n">
        <f aca="false">COUNTIF($A$2:$A$3000, N2002) + COUNTIF($A$2:$A$3000, O2002)</f>
        <v>2</v>
      </c>
      <c r="Q2002" s="16" t="str">
        <f aca="false">IF(OR(B2002=-1,I2002=0, P2002&lt;&gt;2), "albhed_dummy", _xlfn.CONCAT("albhed ", RIGHT("  " &amp; K2002,2),", ", RIGHT("  " &amp; L2002,2), ", " ,"""",H2002,""", ", """",N2002,""", ","""",O2002,""""," ; ", A2002))</f>
        <v>albhed 21, 12, "니", "키", "놔" ; 콸</v>
      </c>
    </row>
    <row r="2003" customFormat="false" ht="17.9" hidden="false" customHeight="true" outlineLevel="0" collapsed="false">
      <c r="A2003" s="16" t="s">
        <v>2853</v>
      </c>
      <c r="B2003" s="16" t="n">
        <f aca="false">IF(_xlfn.UNICODE(A2003)&lt;44032,-1,_xlfn.UNICODE(A2003)-44032)</f>
        <v>9088</v>
      </c>
      <c r="C2003" s="16" t="n">
        <f aca="false">IF(B2003=-1,-1,INT((B2003/28)/21))</f>
        <v>15</v>
      </c>
      <c r="D2003" s="16" t="n">
        <f aca="false">IF(B2003=-1, -1, MOD(INT(B2003/28),21))</f>
        <v>9</v>
      </c>
      <c r="E2003" s="16" t="n">
        <f aca="false">IF(B2003=-1, -1, VLOOKUP(MOD(B2003,28), $T$24:$U$52,2))</f>
        <v>16</v>
      </c>
      <c r="F2003" s="16" t="n">
        <f aca="false">IF($B2003=-1, -1, VLOOKUP(C2003,$T$1:$V$20, 2))</f>
        <v>2</v>
      </c>
      <c r="G2003" s="16" t="n">
        <f aca="false">IF($B2003=-1, -1, VLOOKUP(D2003,$Y$1:$Z$22,2))</f>
        <v>20</v>
      </c>
      <c r="H2003" s="16" t="str">
        <f aca="false">_xlfn.UNICHAR(((F2003*21)+G2003)*28+44032)</f>
        <v>니</v>
      </c>
      <c r="I2003" s="16" t="n">
        <f aca="false">IF(B2003=-1, 1, COUNTIF($A$2:$A$3000, H2003))</f>
        <v>1</v>
      </c>
      <c r="J2003" s="10" t="str">
        <f aca="false">_xlfn.CONCAT(A2003, ",",H2003,",",I2003)</f>
        <v>쾀,니,1</v>
      </c>
      <c r="K2003" s="16" t="n">
        <f aca="false">IF(B2003=-1,-1,VLOOKUP(C2003,$T$1:$V$20,3))</f>
        <v>21</v>
      </c>
      <c r="L2003" s="16" t="n">
        <f aca="false">IF(B2003=-1,-1,VLOOKUP(D2003,$Y$1:$AA$22,3))</f>
        <v>12</v>
      </c>
      <c r="N2003" s="10" t="str">
        <f aca="false">_xlfn.UNICHAR(((C2003*21)+G2003)*28+44032)</f>
        <v>키</v>
      </c>
      <c r="O2003" s="10" t="str">
        <f aca="false">_xlfn.UNICHAR(((F2003*21)+D2003)*28+44032)</f>
        <v>놔</v>
      </c>
      <c r="P2003" s="12" t="n">
        <f aca="false">COUNTIF($A$2:$A$3000, N2003) + COUNTIF($A$2:$A$3000, O2003)</f>
        <v>2</v>
      </c>
      <c r="Q2003" s="16" t="str">
        <f aca="false">IF(OR(B2003=-1,I2003=0, P2003&lt;&gt;2), "albhed_dummy", _xlfn.CONCAT("albhed ", RIGHT("  " &amp; K2003,2),", ", RIGHT("  " &amp; L2003,2), ", " ,"""",H2003,""", ", """",N2003,""", ","""",O2003,""""," ; ", A2003))</f>
        <v>albhed 21, 12, "니", "키", "놔" ; 쾀</v>
      </c>
    </row>
    <row r="2004" customFormat="false" ht="17.9" hidden="false" customHeight="true" outlineLevel="0" collapsed="false">
      <c r="A2004" s="16" t="s">
        <v>2854</v>
      </c>
      <c r="B2004" s="16" t="n">
        <f aca="false">IF(_xlfn.UNICODE(A2004)&lt;44032,-1,_xlfn.UNICODE(A2004)-44032)</f>
        <v>9093</v>
      </c>
      <c r="C2004" s="16" t="n">
        <f aca="false">IF(B2004=-1,-1,INT((B2004/28)/21))</f>
        <v>15</v>
      </c>
      <c r="D2004" s="16" t="n">
        <f aca="false">IF(B2004=-1, -1, MOD(INT(B2004/28),21))</f>
        <v>9</v>
      </c>
      <c r="E2004" s="16" t="n">
        <f aca="false">IF(B2004=-1, -1, VLOOKUP(MOD(B2004,28), $T$24:$U$52,2))</f>
        <v>21</v>
      </c>
      <c r="F2004" s="16" t="n">
        <f aca="false">IF($B2004=-1, -1, VLOOKUP(C2004,$T$1:$V$20, 2))</f>
        <v>2</v>
      </c>
      <c r="G2004" s="16" t="n">
        <f aca="false">IF($B2004=-1, -1, VLOOKUP(D2004,$Y$1:$Z$22,2))</f>
        <v>20</v>
      </c>
      <c r="H2004" s="16" t="str">
        <f aca="false">_xlfn.UNICHAR(((F2004*21)+G2004)*28+44032)</f>
        <v>니</v>
      </c>
      <c r="I2004" s="16" t="n">
        <f aca="false">IF(B2004=-1, 1, COUNTIF($A$2:$A$3000, H2004))</f>
        <v>1</v>
      </c>
      <c r="J2004" s="10" t="str">
        <f aca="false">_xlfn.CONCAT(A2004, ",",H2004,",",I2004)</f>
        <v>쾅,니,1</v>
      </c>
      <c r="K2004" s="16" t="n">
        <f aca="false">IF(B2004=-1,-1,VLOOKUP(C2004,$T$1:$V$20,3))</f>
        <v>21</v>
      </c>
      <c r="L2004" s="16" t="n">
        <f aca="false">IF(B2004=-1,-1,VLOOKUP(D2004,$Y$1:$AA$22,3))</f>
        <v>12</v>
      </c>
      <c r="N2004" s="10" t="str">
        <f aca="false">_xlfn.UNICHAR(((C2004*21)+G2004)*28+44032)</f>
        <v>키</v>
      </c>
      <c r="O2004" s="10" t="str">
        <f aca="false">_xlfn.UNICHAR(((F2004*21)+D2004)*28+44032)</f>
        <v>놔</v>
      </c>
      <c r="P2004" s="12" t="n">
        <f aca="false">COUNTIF($A$2:$A$3000, N2004) + COUNTIF($A$2:$A$3000, O2004)</f>
        <v>2</v>
      </c>
      <c r="Q2004" s="16" t="str">
        <f aca="false">IF(OR(B2004=-1,I2004=0, P2004&lt;&gt;2), "albhed_dummy", _xlfn.CONCAT("albhed ", RIGHT("  " &amp; K2004,2),", ", RIGHT("  " &amp; L2004,2), ", " ,"""",H2004,""", ", """",N2004,""", ","""",O2004,""""," ; ", A2004))</f>
        <v>albhed 21, 12, "니", "키", "놔" ; 쾅</v>
      </c>
    </row>
    <row r="2005" customFormat="false" ht="17.9" hidden="false" customHeight="true" outlineLevel="0" collapsed="false">
      <c r="A2005" s="16" t="s">
        <v>2855</v>
      </c>
      <c r="B2005" s="16" t="n">
        <f aca="false">IF(_xlfn.UNICODE(A2005)&lt;44032,-1,_xlfn.UNICODE(A2005)-44032)</f>
        <v>9100</v>
      </c>
      <c r="C2005" s="16" t="n">
        <f aca="false">IF(B2005=-1,-1,INT((B2005/28)/21))</f>
        <v>15</v>
      </c>
      <c r="D2005" s="16" t="n">
        <f aca="false">IF(B2005=-1, -1, MOD(INT(B2005/28),21))</f>
        <v>10</v>
      </c>
      <c r="E2005" s="16" t="n">
        <f aca="false">IF(B2005=-1, -1, VLOOKUP(MOD(B2005,28), $T$24:$U$52,2))</f>
        <v>0</v>
      </c>
      <c r="F2005" s="16" t="n">
        <f aca="false">IF($B2005=-1, -1, VLOOKUP(C2005,$T$1:$V$20, 2))</f>
        <v>2</v>
      </c>
      <c r="G2005" s="16" t="n">
        <f aca="false">IF($B2005=-1, -1, VLOOKUP(D2005,$Y$1:$Z$22,2))</f>
        <v>20</v>
      </c>
      <c r="H2005" s="16" t="str">
        <f aca="false">_xlfn.UNICHAR(((F2005*21)+G2005)*28+44032)</f>
        <v>니</v>
      </c>
      <c r="I2005" s="16" t="n">
        <f aca="false">IF(B2005=-1, 1, COUNTIF($A$2:$A$3000, H2005))</f>
        <v>1</v>
      </c>
      <c r="J2005" s="10" t="str">
        <f aca="false">_xlfn.CONCAT(A2005, ",",H2005,",",I2005)</f>
        <v>쾌,니,1</v>
      </c>
      <c r="K2005" s="16" t="n">
        <f aca="false">IF(B2005=-1,-1,VLOOKUP(C2005,$T$1:$V$20,3))</f>
        <v>21</v>
      </c>
      <c r="L2005" s="16" t="n">
        <f aca="false">IF(B2005=-1,-1,VLOOKUP(D2005,$Y$1:$AA$22,3))</f>
        <v>12</v>
      </c>
      <c r="N2005" s="10" t="str">
        <f aca="false">_xlfn.UNICHAR(((C2005*21)+G2005)*28+44032)</f>
        <v>키</v>
      </c>
      <c r="O2005" s="10" t="str">
        <f aca="false">_xlfn.UNICHAR(((F2005*21)+D2005)*28+44032)</f>
        <v>놰</v>
      </c>
      <c r="P2005" s="12" t="n">
        <f aca="false">COUNTIF($A$2:$A$3000, N2005) + COUNTIF($A$2:$A$3000, O2005)</f>
        <v>1</v>
      </c>
      <c r="Q2005" s="16" t="str">
        <f aca="false">IF(OR(B2005=-1,I2005=0, P2005&lt;&gt;2), "albhed_dummy", _xlfn.CONCAT("albhed ", RIGHT("  " &amp; K2005,2),", ", RIGHT("  " &amp; L2005,2), ", " ,"""",H2005,""", ", """",N2005,""", ","""",O2005,""""," ; ", A2005))</f>
        <v>albhed_dummy</v>
      </c>
    </row>
    <row r="2006" customFormat="false" ht="17.9" hidden="false" customHeight="true" outlineLevel="0" collapsed="false">
      <c r="A2006" s="16" t="s">
        <v>2856</v>
      </c>
      <c r="B2006" s="16" t="n">
        <f aca="false">IF(_xlfn.UNICODE(A2006)&lt;44032,-1,_xlfn.UNICODE(A2006)-44032)</f>
        <v>9121</v>
      </c>
      <c r="C2006" s="16" t="n">
        <f aca="false">IF(B2006=-1,-1,INT((B2006/28)/21))</f>
        <v>15</v>
      </c>
      <c r="D2006" s="16" t="n">
        <f aca="false">IF(B2006=-1, -1, MOD(INT(B2006/28),21))</f>
        <v>10</v>
      </c>
      <c r="E2006" s="16" t="n">
        <f aca="false">IF(B2006=-1, -1, VLOOKUP(MOD(B2006,28), $T$24:$U$52,2))</f>
        <v>21</v>
      </c>
      <c r="F2006" s="16" t="n">
        <f aca="false">IF($B2006=-1, -1, VLOOKUP(C2006,$T$1:$V$20, 2))</f>
        <v>2</v>
      </c>
      <c r="G2006" s="16" t="n">
        <f aca="false">IF($B2006=-1, -1, VLOOKUP(D2006,$Y$1:$Z$22,2))</f>
        <v>20</v>
      </c>
      <c r="H2006" s="16" t="str">
        <f aca="false">_xlfn.UNICHAR(((F2006*21)+G2006)*28+44032)</f>
        <v>니</v>
      </c>
      <c r="I2006" s="16" t="n">
        <f aca="false">IF(B2006=-1, 1, COUNTIF($A$2:$A$3000, H2006))</f>
        <v>1</v>
      </c>
      <c r="J2006" s="10" t="str">
        <f aca="false">_xlfn.CONCAT(A2006, ",",H2006,",",I2006)</f>
        <v>쾡,니,1</v>
      </c>
      <c r="K2006" s="16" t="n">
        <f aca="false">IF(B2006=-1,-1,VLOOKUP(C2006,$T$1:$V$20,3))</f>
        <v>21</v>
      </c>
      <c r="L2006" s="16" t="n">
        <f aca="false">IF(B2006=-1,-1,VLOOKUP(D2006,$Y$1:$AA$22,3))</f>
        <v>12</v>
      </c>
      <c r="N2006" s="10" t="str">
        <f aca="false">_xlfn.UNICHAR(((C2006*21)+G2006)*28+44032)</f>
        <v>키</v>
      </c>
      <c r="O2006" s="10" t="str">
        <f aca="false">_xlfn.UNICHAR(((F2006*21)+D2006)*28+44032)</f>
        <v>놰</v>
      </c>
      <c r="P2006" s="12" t="n">
        <f aca="false">COUNTIF($A$2:$A$3000, N2006) + COUNTIF($A$2:$A$3000, O2006)</f>
        <v>1</v>
      </c>
      <c r="Q2006" s="16" t="str">
        <f aca="false">IF(OR(B2006=-1,I2006=0, P2006&lt;&gt;2), "albhed_dummy", _xlfn.CONCAT("albhed ", RIGHT("  " &amp; K2006,2),", ", RIGHT("  " &amp; L2006,2), ", " ,"""",H2006,""", ", """",N2006,""", ","""",O2006,""""," ; ", A2006))</f>
        <v>albhed_dummy</v>
      </c>
    </row>
    <row r="2007" customFormat="false" ht="17.9" hidden="false" customHeight="true" outlineLevel="0" collapsed="false">
      <c r="A2007" s="16" t="s">
        <v>2857</v>
      </c>
      <c r="B2007" s="16" t="n">
        <f aca="false">IF(_xlfn.UNICODE(A2007)&lt;44032,-1,_xlfn.UNICODE(A2007)-44032)</f>
        <v>9128</v>
      </c>
      <c r="C2007" s="16" t="n">
        <f aca="false">IF(B2007=-1,-1,INT((B2007/28)/21))</f>
        <v>15</v>
      </c>
      <c r="D2007" s="16" t="n">
        <f aca="false">IF(B2007=-1, -1, MOD(INT(B2007/28),21))</f>
        <v>11</v>
      </c>
      <c r="E2007" s="16" t="n">
        <f aca="false">IF(B2007=-1, -1, VLOOKUP(MOD(B2007,28), $T$24:$U$52,2))</f>
        <v>0</v>
      </c>
      <c r="F2007" s="16" t="n">
        <f aca="false">IF($B2007=-1, -1, VLOOKUP(C2007,$T$1:$V$20, 2))</f>
        <v>2</v>
      </c>
      <c r="G2007" s="16" t="n">
        <f aca="false">IF($B2007=-1, -1, VLOOKUP(D2007,$Y$1:$Z$22,2))</f>
        <v>20</v>
      </c>
      <c r="H2007" s="16" t="str">
        <f aca="false">_xlfn.UNICHAR(((F2007*21)+G2007)*28+44032)</f>
        <v>니</v>
      </c>
      <c r="I2007" s="16" t="n">
        <f aca="false">IF(B2007=-1, 1, COUNTIF($A$2:$A$3000, H2007))</f>
        <v>1</v>
      </c>
      <c r="J2007" s="10" t="str">
        <f aca="false">_xlfn.CONCAT(A2007, ",",H2007,",",I2007)</f>
        <v>쾨,니,1</v>
      </c>
      <c r="K2007" s="16" t="n">
        <f aca="false">IF(B2007=-1,-1,VLOOKUP(C2007,$T$1:$V$20,3))</f>
        <v>21</v>
      </c>
      <c r="L2007" s="16" t="n">
        <f aca="false">IF(B2007=-1,-1,VLOOKUP(D2007,$Y$1:$AA$22,3))</f>
        <v>22</v>
      </c>
      <c r="N2007" s="10" t="str">
        <f aca="false">_xlfn.UNICHAR(((C2007*21)+G2007)*28+44032)</f>
        <v>키</v>
      </c>
      <c r="O2007" s="10" t="str">
        <f aca="false">_xlfn.UNICHAR(((F2007*21)+D2007)*28+44032)</f>
        <v>뇌</v>
      </c>
      <c r="P2007" s="12" t="n">
        <f aca="false">COUNTIF($A$2:$A$3000, N2007) + COUNTIF($A$2:$A$3000, O2007)</f>
        <v>2</v>
      </c>
      <c r="Q2007" s="16" t="str">
        <f aca="false">IF(OR(B2007=-1,I2007=0, P2007&lt;&gt;2), "albhed_dummy", _xlfn.CONCAT("albhed ", RIGHT("  " &amp; K2007,2),", ", RIGHT("  " &amp; L2007,2), ", " ,"""",H2007,""", ", """",N2007,""", ","""",O2007,""""," ; ", A2007))</f>
        <v>albhed 21, 22, "니", "키", "뇌" ; 쾨</v>
      </c>
    </row>
    <row r="2008" customFormat="false" ht="17.9" hidden="false" customHeight="true" outlineLevel="0" collapsed="false">
      <c r="A2008" s="16" t="s">
        <v>2858</v>
      </c>
      <c r="B2008" s="16" t="n">
        <f aca="false">IF(_xlfn.UNICODE(A2008)&lt;44032,-1,_xlfn.UNICODE(A2008)-44032)</f>
        <v>9136</v>
      </c>
      <c r="C2008" s="16" t="n">
        <f aca="false">IF(B2008=-1,-1,INT((B2008/28)/21))</f>
        <v>15</v>
      </c>
      <c r="D2008" s="16" t="n">
        <f aca="false">IF(B2008=-1, -1, MOD(INT(B2008/28),21))</f>
        <v>11</v>
      </c>
      <c r="E2008" s="16" t="n">
        <f aca="false">IF(B2008=-1, -1, VLOOKUP(MOD(B2008,28), $T$24:$U$52,2))</f>
        <v>8</v>
      </c>
      <c r="F2008" s="16" t="n">
        <f aca="false">IF($B2008=-1, -1, VLOOKUP(C2008,$T$1:$V$20, 2))</f>
        <v>2</v>
      </c>
      <c r="G2008" s="16" t="n">
        <f aca="false">IF($B2008=-1, -1, VLOOKUP(D2008,$Y$1:$Z$22,2))</f>
        <v>20</v>
      </c>
      <c r="H2008" s="16" t="str">
        <f aca="false">_xlfn.UNICHAR(((F2008*21)+G2008)*28+44032)</f>
        <v>니</v>
      </c>
      <c r="I2008" s="16" t="n">
        <f aca="false">IF(B2008=-1, 1, COUNTIF($A$2:$A$3000, H2008))</f>
        <v>1</v>
      </c>
      <c r="J2008" s="10" t="str">
        <f aca="false">_xlfn.CONCAT(A2008, ",",H2008,",",I2008)</f>
        <v>쾰,니,1</v>
      </c>
      <c r="K2008" s="16" t="n">
        <f aca="false">IF(B2008=-1,-1,VLOOKUP(C2008,$T$1:$V$20,3))</f>
        <v>21</v>
      </c>
      <c r="L2008" s="16" t="n">
        <f aca="false">IF(B2008=-1,-1,VLOOKUP(D2008,$Y$1:$AA$22,3))</f>
        <v>22</v>
      </c>
      <c r="N2008" s="10" t="str">
        <f aca="false">_xlfn.UNICHAR(((C2008*21)+G2008)*28+44032)</f>
        <v>키</v>
      </c>
      <c r="O2008" s="10" t="str">
        <f aca="false">_xlfn.UNICHAR(((F2008*21)+D2008)*28+44032)</f>
        <v>뇌</v>
      </c>
      <c r="P2008" s="12" t="n">
        <f aca="false">COUNTIF($A$2:$A$3000, N2008) + COUNTIF($A$2:$A$3000, O2008)</f>
        <v>2</v>
      </c>
      <c r="Q2008" s="16" t="str">
        <f aca="false">IF(OR(B2008=-1,I2008=0, P2008&lt;&gt;2), "albhed_dummy", _xlfn.CONCAT("albhed ", RIGHT("  " &amp; K2008,2),", ", RIGHT("  " &amp; L2008,2), ", " ,"""",H2008,""", ", """",N2008,""", ","""",O2008,""""," ; ", A2008))</f>
        <v>albhed 21, 22, "니", "키", "뇌" ; 쾰</v>
      </c>
    </row>
    <row r="2009" customFormat="false" ht="17.9" hidden="false" customHeight="true" outlineLevel="0" collapsed="false">
      <c r="A2009" s="16" t="s">
        <v>2859</v>
      </c>
      <c r="B2009" s="16" t="n">
        <f aca="false">IF(_xlfn.UNICODE(A2009)&lt;44032,-1,_xlfn.UNICODE(A2009)-44032)</f>
        <v>9156</v>
      </c>
      <c r="C2009" s="16" t="n">
        <f aca="false">IF(B2009=-1,-1,INT((B2009/28)/21))</f>
        <v>15</v>
      </c>
      <c r="D2009" s="16" t="n">
        <f aca="false">IF(B2009=-1, -1, MOD(INT(B2009/28),21))</f>
        <v>12</v>
      </c>
      <c r="E2009" s="16" t="n">
        <f aca="false">IF(B2009=-1, -1, VLOOKUP(MOD(B2009,28), $T$24:$U$52,2))</f>
        <v>0</v>
      </c>
      <c r="F2009" s="16" t="n">
        <f aca="false">IF($B2009=-1, -1, VLOOKUP(C2009,$T$1:$V$20, 2))</f>
        <v>2</v>
      </c>
      <c r="G2009" s="16" t="n">
        <f aca="false">IF($B2009=-1, -1, VLOOKUP(D2009,$Y$1:$Z$22,2))</f>
        <v>6</v>
      </c>
      <c r="H2009" s="16" t="str">
        <f aca="false">_xlfn.UNICHAR(((F2009*21)+G2009)*28+44032)</f>
        <v>녀</v>
      </c>
      <c r="I2009" s="16" t="n">
        <f aca="false">IF(B2009=-1, 1, COUNTIF($A$2:$A$3000, H2009))</f>
        <v>1</v>
      </c>
      <c r="J2009" s="10" t="str">
        <f aca="false">_xlfn.CONCAT(A2009, ",",H2009,",",I2009)</f>
        <v>쿄,녀,1</v>
      </c>
      <c r="K2009" s="16" t="n">
        <f aca="false">IF(B2009=-1,-1,VLOOKUP(C2009,$T$1:$V$20,3))</f>
        <v>21</v>
      </c>
      <c r="L2009" s="16" t="n">
        <f aca="false">IF(B2009=-1,-1,VLOOKUP(D2009,$Y$1:$AA$22,3))</f>
        <v>8</v>
      </c>
      <c r="N2009" s="10" t="str">
        <f aca="false">_xlfn.UNICHAR(((C2009*21)+G2009)*28+44032)</f>
        <v>켜</v>
      </c>
      <c r="O2009" s="10" t="str">
        <f aca="false">_xlfn.UNICHAR(((F2009*21)+D2009)*28+44032)</f>
        <v>뇨</v>
      </c>
      <c r="P2009" s="12" t="n">
        <f aca="false">COUNTIF($A$2:$A$3000, N2009) + COUNTIF($A$2:$A$3000, O2009)</f>
        <v>2</v>
      </c>
      <c r="Q2009" s="16" t="str">
        <f aca="false">IF(OR(B2009=-1,I2009=0, P2009&lt;&gt;2), "albhed_dummy", _xlfn.CONCAT("albhed ", RIGHT("  " &amp; K2009,2),", ", RIGHT("  " &amp; L2009,2), ", " ,"""",H2009,""", ", """",N2009,""", ","""",O2009,""""," ; ", A2009))</f>
        <v>albhed 21,  8, "녀", "켜", "뇨" ; 쿄</v>
      </c>
    </row>
    <row r="2010" customFormat="false" ht="17.9" hidden="false" customHeight="true" outlineLevel="0" collapsed="false">
      <c r="A2010" s="16" t="s">
        <v>2860</v>
      </c>
      <c r="B2010" s="16" t="n">
        <f aca="false">IF(_xlfn.UNICODE(A2010)&lt;44032,-1,_xlfn.UNICODE(A2010)-44032)</f>
        <v>9184</v>
      </c>
      <c r="C2010" s="16" t="n">
        <f aca="false">IF(B2010=-1,-1,INT((B2010/28)/21))</f>
        <v>15</v>
      </c>
      <c r="D2010" s="16" t="n">
        <f aca="false">IF(B2010=-1, -1, MOD(INT(B2010/28),21))</f>
        <v>13</v>
      </c>
      <c r="E2010" s="16" t="n">
        <f aca="false">IF(B2010=-1, -1, VLOOKUP(MOD(B2010,28), $T$24:$U$52,2))</f>
        <v>0</v>
      </c>
      <c r="F2010" s="16" t="n">
        <f aca="false">IF($B2010=-1, -1, VLOOKUP(C2010,$T$1:$V$20, 2))</f>
        <v>2</v>
      </c>
      <c r="G2010" s="16" t="n">
        <f aca="false">IF($B2010=-1, -1, VLOOKUP(D2010,$Y$1:$Z$22,2))</f>
        <v>0</v>
      </c>
      <c r="H2010" s="16" t="str">
        <f aca="false">_xlfn.UNICHAR(((F2010*21)+G2010)*28+44032)</f>
        <v>나</v>
      </c>
      <c r="I2010" s="16" t="n">
        <f aca="false">IF(B2010=-1, 1, COUNTIF($A$2:$A$3000, H2010))</f>
        <v>1</v>
      </c>
      <c r="J2010" s="10" t="str">
        <f aca="false">_xlfn.CONCAT(A2010, ",",H2010,",",I2010)</f>
        <v>쿠,나,1</v>
      </c>
      <c r="K2010" s="16" t="n">
        <f aca="false">IF(B2010=-1,-1,VLOOKUP(C2010,$T$1:$V$20,3))</f>
        <v>21</v>
      </c>
      <c r="L2010" s="16" t="n">
        <f aca="false">IF(B2010=-1,-1,VLOOKUP(D2010,$Y$1:$AA$22,3))</f>
        <v>6</v>
      </c>
      <c r="N2010" s="10" t="str">
        <f aca="false">_xlfn.UNICHAR(((C2010*21)+G2010)*28+44032)</f>
        <v>카</v>
      </c>
      <c r="O2010" s="10" t="str">
        <f aca="false">_xlfn.UNICHAR(((F2010*21)+D2010)*28+44032)</f>
        <v>누</v>
      </c>
      <c r="P2010" s="12" t="n">
        <f aca="false">COUNTIF($A$2:$A$3000, N2010) + COUNTIF($A$2:$A$3000, O2010)</f>
        <v>2</v>
      </c>
      <c r="Q2010" s="16" t="str">
        <f aca="false">IF(OR(B2010=-1,I2010=0, P2010&lt;&gt;2), "albhed_dummy", _xlfn.CONCAT("albhed ", RIGHT("  " &amp; K2010,2),", ", RIGHT("  " &amp; L2010,2), ", " ,"""",H2010,""", ", """",N2010,""", ","""",O2010,""""," ; ", A2010))</f>
        <v>albhed 21,  6, "나", "카", "누" ; 쿠</v>
      </c>
    </row>
    <row r="2011" customFormat="false" ht="17.9" hidden="false" customHeight="true" outlineLevel="0" collapsed="false">
      <c r="A2011" s="16" t="s">
        <v>2861</v>
      </c>
      <c r="B2011" s="16" t="n">
        <f aca="false">IF(_xlfn.UNICODE(A2011)&lt;44032,-1,_xlfn.UNICODE(A2011)-44032)</f>
        <v>9185</v>
      </c>
      <c r="C2011" s="16" t="n">
        <f aca="false">IF(B2011=-1,-1,INT((B2011/28)/21))</f>
        <v>15</v>
      </c>
      <c r="D2011" s="16" t="n">
        <f aca="false">IF(B2011=-1, -1, MOD(INT(B2011/28),21))</f>
        <v>13</v>
      </c>
      <c r="E2011" s="16" t="n">
        <f aca="false">IF(B2011=-1, -1, VLOOKUP(MOD(B2011,28), $T$24:$U$52,2))</f>
        <v>1</v>
      </c>
      <c r="F2011" s="16" t="n">
        <f aca="false">IF($B2011=-1, -1, VLOOKUP(C2011,$T$1:$V$20, 2))</f>
        <v>2</v>
      </c>
      <c r="G2011" s="16" t="n">
        <f aca="false">IF($B2011=-1, -1, VLOOKUP(D2011,$Y$1:$Z$22,2))</f>
        <v>0</v>
      </c>
      <c r="H2011" s="16" t="str">
        <f aca="false">_xlfn.UNICHAR(((F2011*21)+G2011)*28+44032)</f>
        <v>나</v>
      </c>
      <c r="I2011" s="16" t="n">
        <f aca="false">IF(B2011=-1, 1, COUNTIF($A$2:$A$3000, H2011))</f>
        <v>1</v>
      </c>
      <c r="J2011" s="10" t="str">
        <f aca="false">_xlfn.CONCAT(A2011, ",",H2011,",",I2011)</f>
        <v>쿡,나,1</v>
      </c>
      <c r="K2011" s="16" t="n">
        <f aca="false">IF(B2011=-1,-1,VLOOKUP(C2011,$T$1:$V$20,3))</f>
        <v>21</v>
      </c>
      <c r="L2011" s="16" t="n">
        <f aca="false">IF(B2011=-1,-1,VLOOKUP(D2011,$Y$1:$AA$22,3))</f>
        <v>6</v>
      </c>
      <c r="N2011" s="10" t="str">
        <f aca="false">_xlfn.UNICHAR(((C2011*21)+G2011)*28+44032)</f>
        <v>카</v>
      </c>
      <c r="O2011" s="10" t="str">
        <f aca="false">_xlfn.UNICHAR(((F2011*21)+D2011)*28+44032)</f>
        <v>누</v>
      </c>
      <c r="P2011" s="12" t="n">
        <f aca="false">COUNTIF($A$2:$A$3000, N2011) + COUNTIF($A$2:$A$3000, O2011)</f>
        <v>2</v>
      </c>
      <c r="Q2011" s="16" t="str">
        <f aca="false">IF(OR(B2011=-1,I2011=0, P2011&lt;&gt;2), "albhed_dummy", _xlfn.CONCAT("albhed ", RIGHT("  " &amp; K2011,2),", ", RIGHT("  " &amp; L2011,2), ", " ,"""",H2011,""", ", """",N2011,""", ","""",O2011,""""," ; ", A2011))</f>
        <v>albhed 21,  6, "나", "카", "누" ; 쿡</v>
      </c>
    </row>
    <row r="2012" customFormat="false" ht="17.9" hidden="false" customHeight="true" outlineLevel="0" collapsed="false">
      <c r="A2012" s="16" t="s">
        <v>2862</v>
      </c>
      <c r="B2012" s="16" t="n">
        <f aca="false">IF(_xlfn.UNICODE(A2012)&lt;44032,-1,_xlfn.UNICODE(A2012)-44032)</f>
        <v>9188</v>
      </c>
      <c r="C2012" s="16" t="n">
        <f aca="false">IF(B2012=-1,-1,INT((B2012/28)/21))</f>
        <v>15</v>
      </c>
      <c r="D2012" s="16" t="n">
        <f aca="false">IF(B2012=-1, -1, MOD(INT(B2012/28),21))</f>
        <v>13</v>
      </c>
      <c r="E2012" s="16" t="n">
        <f aca="false">IF(B2012=-1, -1, VLOOKUP(MOD(B2012,28), $T$24:$U$52,2))</f>
        <v>4</v>
      </c>
      <c r="F2012" s="16" t="n">
        <f aca="false">IF($B2012=-1, -1, VLOOKUP(C2012,$T$1:$V$20, 2))</f>
        <v>2</v>
      </c>
      <c r="G2012" s="16" t="n">
        <f aca="false">IF($B2012=-1, -1, VLOOKUP(D2012,$Y$1:$Z$22,2))</f>
        <v>0</v>
      </c>
      <c r="H2012" s="16" t="str">
        <f aca="false">_xlfn.UNICHAR(((F2012*21)+G2012)*28+44032)</f>
        <v>나</v>
      </c>
      <c r="I2012" s="16" t="n">
        <f aca="false">IF(B2012=-1, 1, COUNTIF($A$2:$A$3000, H2012))</f>
        <v>1</v>
      </c>
      <c r="J2012" s="10" t="str">
        <f aca="false">_xlfn.CONCAT(A2012, ",",H2012,",",I2012)</f>
        <v>쿤,나,1</v>
      </c>
      <c r="K2012" s="16" t="n">
        <f aca="false">IF(B2012=-1,-1,VLOOKUP(C2012,$T$1:$V$20,3))</f>
        <v>21</v>
      </c>
      <c r="L2012" s="16" t="n">
        <f aca="false">IF(B2012=-1,-1,VLOOKUP(D2012,$Y$1:$AA$22,3))</f>
        <v>6</v>
      </c>
      <c r="N2012" s="10" t="str">
        <f aca="false">_xlfn.UNICHAR(((C2012*21)+G2012)*28+44032)</f>
        <v>카</v>
      </c>
      <c r="O2012" s="10" t="str">
        <f aca="false">_xlfn.UNICHAR(((F2012*21)+D2012)*28+44032)</f>
        <v>누</v>
      </c>
      <c r="P2012" s="12" t="n">
        <f aca="false">COUNTIF($A$2:$A$3000, N2012) + COUNTIF($A$2:$A$3000, O2012)</f>
        <v>2</v>
      </c>
      <c r="Q2012" s="16" t="str">
        <f aca="false">IF(OR(B2012=-1,I2012=0, P2012&lt;&gt;2), "albhed_dummy", _xlfn.CONCAT("albhed ", RIGHT("  " &amp; K2012,2),", ", RIGHT("  " &amp; L2012,2), ", " ,"""",H2012,""", ", """",N2012,""", ","""",O2012,""""," ; ", A2012))</f>
        <v>albhed 21,  6, "나", "카", "누" ; 쿤</v>
      </c>
    </row>
    <row r="2013" customFormat="false" ht="17.9" hidden="false" customHeight="true" outlineLevel="0" collapsed="false">
      <c r="A2013" s="16" t="s">
        <v>2863</v>
      </c>
      <c r="B2013" s="16" t="n">
        <f aca="false">IF(_xlfn.UNICODE(A2013)&lt;44032,-1,_xlfn.UNICODE(A2013)-44032)</f>
        <v>9192</v>
      </c>
      <c r="C2013" s="16" t="n">
        <f aca="false">IF(B2013=-1,-1,INT((B2013/28)/21))</f>
        <v>15</v>
      </c>
      <c r="D2013" s="16" t="n">
        <f aca="false">IF(B2013=-1, -1, MOD(INT(B2013/28),21))</f>
        <v>13</v>
      </c>
      <c r="E2013" s="16" t="n">
        <f aca="false">IF(B2013=-1, -1, VLOOKUP(MOD(B2013,28), $T$24:$U$52,2))</f>
        <v>8</v>
      </c>
      <c r="F2013" s="16" t="n">
        <f aca="false">IF($B2013=-1, -1, VLOOKUP(C2013,$T$1:$V$20, 2))</f>
        <v>2</v>
      </c>
      <c r="G2013" s="16" t="n">
        <f aca="false">IF($B2013=-1, -1, VLOOKUP(D2013,$Y$1:$Z$22,2))</f>
        <v>0</v>
      </c>
      <c r="H2013" s="16" t="str">
        <f aca="false">_xlfn.UNICHAR(((F2013*21)+G2013)*28+44032)</f>
        <v>나</v>
      </c>
      <c r="I2013" s="16" t="n">
        <f aca="false">IF(B2013=-1, 1, COUNTIF($A$2:$A$3000, H2013))</f>
        <v>1</v>
      </c>
      <c r="J2013" s="10" t="str">
        <f aca="false">_xlfn.CONCAT(A2013, ",",H2013,",",I2013)</f>
        <v>쿨,나,1</v>
      </c>
      <c r="K2013" s="16" t="n">
        <f aca="false">IF(B2013=-1,-1,VLOOKUP(C2013,$T$1:$V$20,3))</f>
        <v>21</v>
      </c>
      <c r="L2013" s="16" t="n">
        <f aca="false">IF(B2013=-1,-1,VLOOKUP(D2013,$Y$1:$AA$22,3))</f>
        <v>6</v>
      </c>
      <c r="N2013" s="10" t="str">
        <f aca="false">_xlfn.UNICHAR(((C2013*21)+G2013)*28+44032)</f>
        <v>카</v>
      </c>
      <c r="O2013" s="10" t="str">
        <f aca="false">_xlfn.UNICHAR(((F2013*21)+D2013)*28+44032)</f>
        <v>누</v>
      </c>
      <c r="P2013" s="12" t="n">
        <f aca="false">COUNTIF($A$2:$A$3000, N2013) + COUNTIF($A$2:$A$3000, O2013)</f>
        <v>2</v>
      </c>
      <c r="Q2013" s="16" t="str">
        <f aca="false">IF(OR(B2013=-1,I2013=0, P2013&lt;&gt;2), "albhed_dummy", _xlfn.CONCAT("albhed ", RIGHT("  " &amp; K2013,2),", ", RIGHT("  " &amp; L2013,2), ", " ,"""",H2013,""", ", """",N2013,""", ","""",O2013,""""," ; ", A2013))</f>
        <v>albhed 21,  6, "나", "카", "누" ; 쿨</v>
      </c>
    </row>
    <row r="2014" customFormat="false" ht="17.9" hidden="false" customHeight="true" outlineLevel="0" collapsed="false">
      <c r="A2014" s="16" t="s">
        <v>2864</v>
      </c>
      <c r="B2014" s="16" t="n">
        <f aca="false">IF(_xlfn.UNICODE(A2014)&lt;44032,-1,_xlfn.UNICODE(A2014)-44032)</f>
        <v>9200</v>
      </c>
      <c r="C2014" s="16" t="n">
        <f aca="false">IF(B2014=-1,-1,INT((B2014/28)/21))</f>
        <v>15</v>
      </c>
      <c r="D2014" s="16" t="n">
        <f aca="false">IF(B2014=-1, -1, MOD(INT(B2014/28),21))</f>
        <v>13</v>
      </c>
      <c r="E2014" s="16" t="n">
        <f aca="false">IF(B2014=-1, -1, VLOOKUP(MOD(B2014,28), $T$24:$U$52,2))</f>
        <v>16</v>
      </c>
      <c r="F2014" s="16" t="n">
        <f aca="false">IF($B2014=-1, -1, VLOOKUP(C2014,$T$1:$V$20, 2))</f>
        <v>2</v>
      </c>
      <c r="G2014" s="16" t="n">
        <f aca="false">IF($B2014=-1, -1, VLOOKUP(D2014,$Y$1:$Z$22,2))</f>
        <v>0</v>
      </c>
      <c r="H2014" s="16" t="str">
        <f aca="false">_xlfn.UNICHAR(((F2014*21)+G2014)*28+44032)</f>
        <v>나</v>
      </c>
      <c r="I2014" s="16" t="n">
        <f aca="false">IF(B2014=-1, 1, COUNTIF($A$2:$A$3000, H2014))</f>
        <v>1</v>
      </c>
      <c r="J2014" s="10" t="str">
        <f aca="false">_xlfn.CONCAT(A2014, ",",H2014,",",I2014)</f>
        <v>쿰,나,1</v>
      </c>
      <c r="K2014" s="16" t="n">
        <f aca="false">IF(B2014=-1,-1,VLOOKUP(C2014,$T$1:$V$20,3))</f>
        <v>21</v>
      </c>
      <c r="L2014" s="16" t="n">
        <f aca="false">IF(B2014=-1,-1,VLOOKUP(D2014,$Y$1:$AA$22,3))</f>
        <v>6</v>
      </c>
      <c r="N2014" s="10" t="str">
        <f aca="false">_xlfn.UNICHAR(((C2014*21)+G2014)*28+44032)</f>
        <v>카</v>
      </c>
      <c r="O2014" s="10" t="str">
        <f aca="false">_xlfn.UNICHAR(((F2014*21)+D2014)*28+44032)</f>
        <v>누</v>
      </c>
      <c r="P2014" s="12" t="n">
        <f aca="false">COUNTIF($A$2:$A$3000, N2014) + COUNTIF($A$2:$A$3000, O2014)</f>
        <v>2</v>
      </c>
      <c r="Q2014" s="16" t="str">
        <f aca="false">IF(OR(B2014=-1,I2014=0, P2014&lt;&gt;2), "albhed_dummy", _xlfn.CONCAT("albhed ", RIGHT("  " &amp; K2014,2),", ", RIGHT("  " &amp; L2014,2), ", " ,"""",H2014,""", ", """",N2014,""", ","""",O2014,""""," ; ", A2014))</f>
        <v>albhed 21,  6, "나", "카", "누" ; 쿰</v>
      </c>
    </row>
    <row r="2015" customFormat="false" ht="17.9" hidden="false" customHeight="true" outlineLevel="0" collapsed="false">
      <c r="A2015" s="16" t="s">
        <v>2865</v>
      </c>
      <c r="B2015" s="16" t="n">
        <f aca="false">IF(_xlfn.UNICODE(A2015)&lt;44032,-1,_xlfn.UNICODE(A2015)-44032)</f>
        <v>9201</v>
      </c>
      <c r="C2015" s="16" t="n">
        <f aca="false">IF(B2015=-1,-1,INT((B2015/28)/21))</f>
        <v>15</v>
      </c>
      <c r="D2015" s="16" t="n">
        <f aca="false">IF(B2015=-1, -1, MOD(INT(B2015/28),21))</f>
        <v>13</v>
      </c>
      <c r="E2015" s="16" t="n">
        <f aca="false">IF(B2015=-1, -1, VLOOKUP(MOD(B2015,28), $T$24:$U$52,2))</f>
        <v>17</v>
      </c>
      <c r="F2015" s="16" t="n">
        <f aca="false">IF($B2015=-1, -1, VLOOKUP(C2015,$T$1:$V$20, 2))</f>
        <v>2</v>
      </c>
      <c r="G2015" s="16" t="n">
        <f aca="false">IF($B2015=-1, -1, VLOOKUP(D2015,$Y$1:$Z$22,2))</f>
        <v>0</v>
      </c>
      <c r="H2015" s="16" t="str">
        <f aca="false">_xlfn.UNICHAR(((F2015*21)+G2015)*28+44032)</f>
        <v>나</v>
      </c>
      <c r="I2015" s="16" t="n">
        <f aca="false">IF(B2015=-1, 1, COUNTIF($A$2:$A$3000, H2015))</f>
        <v>1</v>
      </c>
      <c r="J2015" s="10" t="str">
        <f aca="false">_xlfn.CONCAT(A2015, ",",H2015,",",I2015)</f>
        <v>쿱,나,1</v>
      </c>
      <c r="K2015" s="16" t="n">
        <f aca="false">IF(B2015=-1,-1,VLOOKUP(C2015,$T$1:$V$20,3))</f>
        <v>21</v>
      </c>
      <c r="L2015" s="16" t="n">
        <f aca="false">IF(B2015=-1,-1,VLOOKUP(D2015,$Y$1:$AA$22,3))</f>
        <v>6</v>
      </c>
      <c r="N2015" s="10" t="str">
        <f aca="false">_xlfn.UNICHAR(((C2015*21)+G2015)*28+44032)</f>
        <v>카</v>
      </c>
      <c r="O2015" s="10" t="str">
        <f aca="false">_xlfn.UNICHAR(((F2015*21)+D2015)*28+44032)</f>
        <v>누</v>
      </c>
      <c r="P2015" s="12" t="n">
        <f aca="false">COUNTIF($A$2:$A$3000, N2015) + COUNTIF($A$2:$A$3000, O2015)</f>
        <v>2</v>
      </c>
      <c r="Q2015" s="16" t="str">
        <f aca="false">IF(OR(B2015=-1,I2015=0, P2015&lt;&gt;2), "albhed_dummy", _xlfn.CONCAT("albhed ", RIGHT("  " &amp; K2015,2),", ", RIGHT("  " &amp; L2015,2), ", " ,"""",H2015,""", ", """",N2015,""", ","""",O2015,""""," ; ", A2015))</f>
        <v>albhed 21,  6, "나", "카", "누" ; 쿱</v>
      </c>
    </row>
    <row r="2016" customFormat="false" ht="17.9" hidden="false" customHeight="true" outlineLevel="0" collapsed="false">
      <c r="A2016" s="16" t="s">
        <v>2866</v>
      </c>
      <c r="B2016" s="16" t="n">
        <f aca="false">IF(_xlfn.UNICODE(A2016)&lt;44032,-1,_xlfn.UNICODE(A2016)-44032)</f>
        <v>9203</v>
      </c>
      <c r="C2016" s="16" t="n">
        <f aca="false">IF(B2016=-1,-1,INT((B2016/28)/21))</f>
        <v>15</v>
      </c>
      <c r="D2016" s="16" t="n">
        <f aca="false">IF(B2016=-1, -1, MOD(INT(B2016/28),21))</f>
        <v>13</v>
      </c>
      <c r="E2016" s="16" t="n">
        <f aca="false">IF(B2016=-1, -1, VLOOKUP(MOD(B2016,28), $T$24:$U$52,2))</f>
        <v>19</v>
      </c>
      <c r="F2016" s="16" t="n">
        <f aca="false">IF($B2016=-1, -1, VLOOKUP(C2016,$T$1:$V$20, 2))</f>
        <v>2</v>
      </c>
      <c r="G2016" s="16" t="n">
        <f aca="false">IF($B2016=-1, -1, VLOOKUP(D2016,$Y$1:$Z$22,2))</f>
        <v>0</v>
      </c>
      <c r="H2016" s="16" t="str">
        <f aca="false">_xlfn.UNICHAR(((F2016*21)+G2016)*28+44032)</f>
        <v>나</v>
      </c>
      <c r="I2016" s="16" t="n">
        <f aca="false">IF(B2016=-1, 1, COUNTIF($A$2:$A$3000, H2016))</f>
        <v>1</v>
      </c>
      <c r="J2016" s="10" t="str">
        <f aca="false">_xlfn.CONCAT(A2016, ",",H2016,",",I2016)</f>
        <v>쿳,나,1</v>
      </c>
      <c r="K2016" s="16" t="n">
        <f aca="false">IF(B2016=-1,-1,VLOOKUP(C2016,$T$1:$V$20,3))</f>
        <v>21</v>
      </c>
      <c r="L2016" s="16" t="n">
        <f aca="false">IF(B2016=-1,-1,VLOOKUP(D2016,$Y$1:$AA$22,3))</f>
        <v>6</v>
      </c>
      <c r="N2016" s="10" t="str">
        <f aca="false">_xlfn.UNICHAR(((C2016*21)+G2016)*28+44032)</f>
        <v>카</v>
      </c>
      <c r="O2016" s="10" t="str">
        <f aca="false">_xlfn.UNICHAR(((F2016*21)+D2016)*28+44032)</f>
        <v>누</v>
      </c>
      <c r="P2016" s="12" t="n">
        <f aca="false">COUNTIF($A$2:$A$3000, N2016) + COUNTIF($A$2:$A$3000, O2016)</f>
        <v>2</v>
      </c>
      <c r="Q2016" s="16" t="str">
        <f aca="false">IF(OR(B2016=-1,I2016=0, P2016&lt;&gt;2), "albhed_dummy", _xlfn.CONCAT("albhed ", RIGHT("  " &amp; K2016,2),", ", RIGHT("  " &amp; L2016,2), ", " ,"""",H2016,""", ", """",N2016,""", ","""",O2016,""""," ; ", A2016))</f>
        <v>albhed 21,  6, "나", "카", "누" ; 쿳</v>
      </c>
    </row>
    <row r="2017" customFormat="false" ht="17.9" hidden="false" customHeight="true" outlineLevel="0" collapsed="false">
      <c r="A2017" s="16" t="s">
        <v>2867</v>
      </c>
      <c r="B2017" s="16" t="n">
        <f aca="false">IF(_xlfn.UNICODE(A2017)&lt;44032,-1,_xlfn.UNICODE(A2017)-44032)</f>
        <v>9205</v>
      </c>
      <c r="C2017" s="16" t="n">
        <f aca="false">IF(B2017=-1,-1,INT((B2017/28)/21))</f>
        <v>15</v>
      </c>
      <c r="D2017" s="16" t="n">
        <f aca="false">IF(B2017=-1, -1, MOD(INT(B2017/28),21))</f>
        <v>13</v>
      </c>
      <c r="E2017" s="16" t="n">
        <f aca="false">IF(B2017=-1, -1, VLOOKUP(MOD(B2017,28), $T$24:$U$52,2))</f>
        <v>21</v>
      </c>
      <c r="F2017" s="16" t="n">
        <f aca="false">IF($B2017=-1, -1, VLOOKUP(C2017,$T$1:$V$20, 2))</f>
        <v>2</v>
      </c>
      <c r="G2017" s="16" t="n">
        <f aca="false">IF($B2017=-1, -1, VLOOKUP(D2017,$Y$1:$Z$22,2))</f>
        <v>0</v>
      </c>
      <c r="H2017" s="16" t="str">
        <f aca="false">_xlfn.UNICHAR(((F2017*21)+G2017)*28+44032)</f>
        <v>나</v>
      </c>
      <c r="I2017" s="16" t="n">
        <f aca="false">IF(B2017=-1, 1, COUNTIF($A$2:$A$3000, H2017))</f>
        <v>1</v>
      </c>
      <c r="J2017" s="10" t="str">
        <f aca="false">_xlfn.CONCAT(A2017, ",",H2017,",",I2017)</f>
        <v>쿵,나,1</v>
      </c>
      <c r="K2017" s="16" t="n">
        <f aca="false">IF(B2017=-1,-1,VLOOKUP(C2017,$T$1:$V$20,3))</f>
        <v>21</v>
      </c>
      <c r="L2017" s="16" t="n">
        <f aca="false">IF(B2017=-1,-1,VLOOKUP(D2017,$Y$1:$AA$22,3))</f>
        <v>6</v>
      </c>
      <c r="N2017" s="10" t="str">
        <f aca="false">_xlfn.UNICHAR(((C2017*21)+G2017)*28+44032)</f>
        <v>카</v>
      </c>
      <c r="O2017" s="10" t="str">
        <f aca="false">_xlfn.UNICHAR(((F2017*21)+D2017)*28+44032)</f>
        <v>누</v>
      </c>
      <c r="P2017" s="12" t="n">
        <f aca="false">COUNTIF($A$2:$A$3000, N2017) + COUNTIF($A$2:$A$3000, O2017)</f>
        <v>2</v>
      </c>
      <c r="Q2017" s="16" t="str">
        <f aca="false">IF(OR(B2017=-1,I2017=0, P2017&lt;&gt;2), "albhed_dummy", _xlfn.CONCAT("albhed ", RIGHT("  " &amp; K2017,2),", ", RIGHT("  " &amp; L2017,2), ", " ,"""",H2017,""", ", """",N2017,""", ","""",O2017,""""," ; ", A2017))</f>
        <v>albhed 21,  6, "나", "카", "누" ; 쿵</v>
      </c>
    </row>
    <row r="2018" customFormat="false" ht="17.9" hidden="false" customHeight="true" outlineLevel="0" collapsed="false">
      <c r="A2018" s="16" t="s">
        <v>2868</v>
      </c>
      <c r="B2018" s="16" t="n">
        <f aca="false">IF(_xlfn.UNICODE(A2018)&lt;44032,-1,_xlfn.UNICODE(A2018)-44032)</f>
        <v>9212</v>
      </c>
      <c r="C2018" s="16" t="n">
        <f aca="false">IF(B2018=-1,-1,INT((B2018/28)/21))</f>
        <v>15</v>
      </c>
      <c r="D2018" s="16" t="n">
        <f aca="false">IF(B2018=-1, -1, MOD(INT(B2018/28),21))</f>
        <v>14</v>
      </c>
      <c r="E2018" s="16" t="n">
        <f aca="false">IF(B2018=-1, -1, VLOOKUP(MOD(B2018,28), $T$24:$U$52,2))</f>
        <v>0</v>
      </c>
      <c r="F2018" s="16" t="n">
        <f aca="false">IF($B2018=-1, -1, VLOOKUP(C2018,$T$1:$V$20, 2))</f>
        <v>2</v>
      </c>
      <c r="G2018" s="16" t="n">
        <f aca="false">IF($B2018=-1, -1, VLOOKUP(D2018,$Y$1:$Z$22,2))</f>
        <v>20</v>
      </c>
      <c r="H2018" s="16" t="str">
        <f aca="false">_xlfn.UNICHAR(((F2018*21)+G2018)*28+44032)</f>
        <v>니</v>
      </c>
      <c r="I2018" s="16" t="n">
        <f aca="false">IF(B2018=-1, 1, COUNTIF($A$2:$A$3000, H2018))</f>
        <v>1</v>
      </c>
      <c r="J2018" s="10" t="str">
        <f aca="false">_xlfn.CONCAT(A2018, ",",H2018,",",I2018)</f>
        <v>쿼,니,1</v>
      </c>
      <c r="K2018" s="16" t="n">
        <f aca="false">IF(B2018=-1,-1,VLOOKUP(C2018,$T$1:$V$20,3))</f>
        <v>21</v>
      </c>
      <c r="L2018" s="16" t="n">
        <f aca="false">IF(B2018=-1,-1,VLOOKUP(D2018,$Y$1:$AA$22,3))</f>
        <v>16</v>
      </c>
      <c r="N2018" s="10" t="str">
        <f aca="false">_xlfn.UNICHAR(((C2018*21)+G2018)*28+44032)</f>
        <v>키</v>
      </c>
      <c r="O2018" s="10" t="str">
        <f aca="false">_xlfn.UNICHAR(((F2018*21)+D2018)*28+44032)</f>
        <v>눠</v>
      </c>
      <c r="P2018" s="12" t="n">
        <f aca="false">COUNTIF($A$2:$A$3000, N2018) + COUNTIF($A$2:$A$3000, O2018)</f>
        <v>2</v>
      </c>
      <c r="Q2018" s="16" t="str">
        <f aca="false">IF(OR(B2018=-1,I2018=0, P2018&lt;&gt;2), "albhed_dummy", _xlfn.CONCAT("albhed ", RIGHT("  " &amp; K2018,2),", ", RIGHT("  " &amp; L2018,2), ", " ,"""",H2018,""", ", """",N2018,""", ","""",O2018,""""," ; ", A2018))</f>
        <v>albhed 21, 16, "니", "키", "눠" ; 쿼</v>
      </c>
    </row>
    <row r="2019" customFormat="false" ht="17.9" hidden="false" customHeight="true" outlineLevel="0" collapsed="false">
      <c r="A2019" s="16" t="s">
        <v>2869</v>
      </c>
      <c r="B2019" s="16" t="n">
        <f aca="false">IF(_xlfn.UNICODE(A2019)&lt;44032,-1,_xlfn.UNICODE(A2019)-44032)</f>
        <v>9216</v>
      </c>
      <c r="C2019" s="16" t="n">
        <f aca="false">IF(B2019=-1,-1,INT((B2019/28)/21))</f>
        <v>15</v>
      </c>
      <c r="D2019" s="16" t="n">
        <f aca="false">IF(B2019=-1, -1, MOD(INT(B2019/28),21))</f>
        <v>14</v>
      </c>
      <c r="E2019" s="16" t="n">
        <f aca="false">IF(B2019=-1, -1, VLOOKUP(MOD(B2019,28), $T$24:$U$52,2))</f>
        <v>4</v>
      </c>
      <c r="F2019" s="16" t="n">
        <f aca="false">IF($B2019=-1, -1, VLOOKUP(C2019,$T$1:$V$20, 2))</f>
        <v>2</v>
      </c>
      <c r="G2019" s="16" t="n">
        <f aca="false">IF($B2019=-1, -1, VLOOKUP(D2019,$Y$1:$Z$22,2))</f>
        <v>20</v>
      </c>
      <c r="H2019" s="16" t="str">
        <f aca="false">_xlfn.UNICHAR(((F2019*21)+G2019)*28+44032)</f>
        <v>니</v>
      </c>
      <c r="I2019" s="16" t="n">
        <f aca="false">IF(B2019=-1, 1, COUNTIF($A$2:$A$3000, H2019))</f>
        <v>1</v>
      </c>
      <c r="J2019" s="10" t="str">
        <f aca="false">_xlfn.CONCAT(A2019, ",",H2019,",",I2019)</f>
        <v>퀀,니,1</v>
      </c>
      <c r="K2019" s="16" t="n">
        <f aca="false">IF(B2019=-1,-1,VLOOKUP(C2019,$T$1:$V$20,3))</f>
        <v>21</v>
      </c>
      <c r="L2019" s="16" t="n">
        <f aca="false">IF(B2019=-1,-1,VLOOKUP(D2019,$Y$1:$AA$22,3))</f>
        <v>16</v>
      </c>
      <c r="N2019" s="10" t="str">
        <f aca="false">_xlfn.UNICHAR(((C2019*21)+G2019)*28+44032)</f>
        <v>키</v>
      </c>
      <c r="O2019" s="10" t="str">
        <f aca="false">_xlfn.UNICHAR(((F2019*21)+D2019)*28+44032)</f>
        <v>눠</v>
      </c>
      <c r="P2019" s="12" t="n">
        <f aca="false">COUNTIF($A$2:$A$3000, N2019) + COUNTIF($A$2:$A$3000, O2019)</f>
        <v>2</v>
      </c>
      <c r="Q2019" s="16" t="str">
        <f aca="false">IF(OR(B2019=-1,I2019=0, P2019&lt;&gt;2), "albhed_dummy", _xlfn.CONCAT("albhed ", RIGHT("  " &amp; K2019,2),", ", RIGHT("  " &amp; L2019,2), ", " ,"""",H2019,""", ", """",N2019,""", ","""",O2019,""""," ; ", A2019))</f>
        <v>albhed 21, 16, "니", "키", "눠" ; 퀀</v>
      </c>
    </row>
    <row r="2020" customFormat="false" ht="17.9" hidden="false" customHeight="true" outlineLevel="0" collapsed="false">
      <c r="A2020" s="16" t="s">
        <v>2870</v>
      </c>
      <c r="B2020" s="16" t="n">
        <f aca="false">IF(_xlfn.UNICODE(A2020)&lt;44032,-1,_xlfn.UNICODE(A2020)-44032)</f>
        <v>9220</v>
      </c>
      <c r="C2020" s="16" t="n">
        <f aca="false">IF(B2020=-1,-1,INT((B2020/28)/21))</f>
        <v>15</v>
      </c>
      <c r="D2020" s="16" t="n">
        <f aca="false">IF(B2020=-1, -1, MOD(INT(B2020/28),21))</f>
        <v>14</v>
      </c>
      <c r="E2020" s="16" t="n">
        <f aca="false">IF(B2020=-1, -1, VLOOKUP(MOD(B2020,28), $T$24:$U$52,2))</f>
        <v>8</v>
      </c>
      <c r="F2020" s="16" t="n">
        <f aca="false">IF($B2020=-1, -1, VLOOKUP(C2020,$T$1:$V$20, 2))</f>
        <v>2</v>
      </c>
      <c r="G2020" s="16" t="n">
        <f aca="false">IF($B2020=-1, -1, VLOOKUP(D2020,$Y$1:$Z$22,2))</f>
        <v>20</v>
      </c>
      <c r="H2020" s="16" t="str">
        <f aca="false">_xlfn.UNICHAR(((F2020*21)+G2020)*28+44032)</f>
        <v>니</v>
      </c>
      <c r="I2020" s="16" t="n">
        <f aca="false">IF(B2020=-1, 1, COUNTIF($A$2:$A$3000, H2020))</f>
        <v>1</v>
      </c>
      <c r="J2020" s="10" t="str">
        <f aca="false">_xlfn.CONCAT(A2020, ",",H2020,",",I2020)</f>
        <v>퀄,니,1</v>
      </c>
      <c r="K2020" s="16" t="n">
        <f aca="false">IF(B2020=-1,-1,VLOOKUP(C2020,$T$1:$V$20,3))</f>
        <v>21</v>
      </c>
      <c r="L2020" s="16" t="n">
        <f aca="false">IF(B2020=-1,-1,VLOOKUP(D2020,$Y$1:$AA$22,3))</f>
        <v>16</v>
      </c>
      <c r="N2020" s="10" t="str">
        <f aca="false">_xlfn.UNICHAR(((C2020*21)+G2020)*28+44032)</f>
        <v>키</v>
      </c>
      <c r="O2020" s="10" t="str">
        <f aca="false">_xlfn.UNICHAR(((F2020*21)+D2020)*28+44032)</f>
        <v>눠</v>
      </c>
      <c r="P2020" s="12" t="n">
        <f aca="false">COUNTIF($A$2:$A$3000, N2020) + COUNTIF($A$2:$A$3000, O2020)</f>
        <v>2</v>
      </c>
      <c r="Q2020" s="16" t="str">
        <f aca="false">IF(OR(B2020=-1,I2020=0, P2020&lt;&gt;2), "albhed_dummy", _xlfn.CONCAT("albhed ", RIGHT("  " &amp; K2020,2),", ", RIGHT("  " &amp; L2020,2), ", " ,"""",H2020,""", ", """",N2020,""", ","""",O2020,""""," ; ", A2020))</f>
        <v>albhed 21, 16, "니", "키", "눠" ; 퀄</v>
      </c>
    </row>
    <row r="2021" customFormat="false" ht="17.9" hidden="false" customHeight="true" outlineLevel="0" collapsed="false">
      <c r="A2021" s="16" t="s">
        <v>2871</v>
      </c>
      <c r="B2021" s="16" t="n">
        <f aca="false">IF(_xlfn.UNICODE(A2021)&lt;44032,-1,_xlfn.UNICODE(A2021)-44032)</f>
        <v>9233</v>
      </c>
      <c r="C2021" s="16" t="n">
        <f aca="false">IF(B2021=-1,-1,INT((B2021/28)/21))</f>
        <v>15</v>
      </c>
      <c r="D2021" s="16" t="n">
        <f aca="false">IF(B2021=-1, -1, MOD(INT(B2021/28),21))</f>
        <v>14</v>
      </c>
      <c r="E2021" s="16" t="n">
        <f aca="false">IF(B2021=-1, -1, VLOOKUP(MOD(B2021,28), $T$24:$U$52,2))</f>
        <v>21</v>
      </c>
      <c r="F2021" s="16" t="n">
        <f aca="false">IF($B2021=-1, -1, VLOOKUP(C2021,$T$1:$V$20, 2))</f>
        <v>2</v>
      </c>
      <c r="G2021" s="16" t="n">
        <f aca="false">IF($B2021=-1, -1, VLOOKUP(D2021,$Y$1:$Z$22,2))</f>
        <v>20</v>
      </c>
      <c r="H2021" s="16" t="str">
        <f aca="false">_xlfn.UNICHAR(((F2021*21)+G2021)*28+44032)</f>
        <v>니</v>
      </c>
      <c r="I2021" s="16" t="n">
        <f aca="false">IF(B2021=-1, 1, COUNTIF($A$2:$A$3000, H2021))</f>
        <v>1</v>
      </c>
      <c r="J2021" s="10" t="str">
        <f aca="false">_xlfn.CONCAT(A2021, ",",H2021,",",I2021)</f>
        <v>퀑,니,1</v>
      </c>
      <c r="K2021" s="16" t="n">
        <f aca="false">IF(B2021=-1,-1,VLOOKUP(C2021,$T$1:$V$20,3))</f>
        <v>21</v>
      </c>
      <c r="L2021" s="16" t="n">
        <f aca="false">IF(B2021=-1,-1,VLOOKUP(D2021,$Y$1:$AA$22,3))</f>
        <v>16</v>
      </c>
      <c r="N2021" s="10" t="str">
        <f aca="false">_xlfn.UNICHAR(((C2021*21)+G2021)*28+44032)</f>
        <v>키</v>
      </c>
      <c r="O2021" s="10" t="str">
        <f aca="false">_xlfn.UNICHAR(((F2021*21)+D2021)*28+44032)</f>
        <v>눠</v>
      </c>
      <c r="P2021" s="12" t="n">
        <f aca="false">COUNTIF($A$2:$A$3000, N2021) + COUNTIF($A$2:$A$3000, O2021)</f>
        <v>2</v>
      </c>
      <c r="Q2021" s="16" t="str">
        <f aca="false">IF(OR(B2021=-1,I2021=0, P2021&lt;&gt;2), "albhed_dummy", _xlfn.CONCAT("albhed ", RIGHT("  " &amp; K2021,2),", ", RIGHT("  " &amp; L2021,2), ", " ,"""",H2021,""", ", """",N2021,""", ","""",O2021,""""," ; ", A2021))</f>
        <v>albhed 21, 16, "니", "키", "눠" ; 퀑</v>
      </c>
    </row>
    <row r="2022" customFormat="false" ht="17.9" hidden="false" customHeight="true" outlineLevel="0" collapsed="false">
      <c r="A2022" s="16" t="s">
        <v>2872</v>
      </c>
      <c r="B2022" s="16" t="n">
        <f aca="false">IF(_xlfn.UNICODE(A2022)&lt;44032,-1,_xlfn.UNICODE(A2022)-44032)</f>
        <v>9240</v>
      </c>
      <c r="C2022" s="16" t="n">
        <f aca="false">IF(B2022=-1,-1,INT((B2022/28)/21))</f>
        <v>15</v>
      </c>
      <c r="D2022" s="16" t="n">
        <f aca="false">IF(B2022=-1, -1, MOD(INT(B2022/28),21))</f>
        <v>15</v>
      </c>
      <c r="E2022" s="16" t="n">
        <f aca="false">IF(B2022=-1, -1, VLOOKUP(MOD(B2022,28), $T$24:$U$52,2))</f>
        <v>0</v>
      </c>
      <c r="F2022" s="16" t="n">
        <f aca="false">IF($B2022=-1, -1, VLOOKUP(C2022,$T$1:$V$20, 2))</f>
        <v>2</v>
      </c>
      <c r="G2022" s="16" t="n">
        <f aca="false">IF($B2022=-1, -1, VLOOKUP(D2022,$Y$1:$Z$22,2))</f>
        <v>20</v>
      </c>
      <c r="H2022" s="16" t="str">
        <f aca="false">_xlfn.UNICHAR(((F2022*21)+G2022)*28+44032)</f>
        <v>니</v>
      </c>
      <c r="I2022" s="16" t="n">
        <f aca="false">IF(B2022=-1, 1, COUNTIF($A$2:$A$3000, H2022))</f>
        <v>1</v>
      </c>
      <c r="J2022" s="10" t="str">
        <f aca="false">_xlfn.CONCAT(A2022, ",",H2022,",",I2022)</f>
        <v>퀘,니,1</v>
      </c>
      <c r="K2022" s="16" t="n">
        <f aca="false">IF(B2022=-1,-1,VLOOKUP(C2022,$T$1:$V$20,3))</f>
        <v>21</v>
      </c>
      <c r="L2022" s="16" t="n">
        <f aca="false">IF(B2022=-1,-1,VLOOKUP(D2022,$Y$1:$AA$22,3))</f>
        <v>16</v>
      </c>
      <c r="N2022" s="10" t="str">
        <f aca="false">_xlfn.UNICHAR(((C2022*21)+G2022)*28+44032)</f>
        <v>키</v>
      </c>
      <c r="O2022" s="10" t="str">
        <f aca="false">_xlfn.UNICHAR(((F2022*21)+D2022)*28+44032)</f>
        <v>눼</v>
      </c>
      <c r="P2022" s="12" t="n">
        <f aca="false">COUNTIF($A$2:$A$3000, N2022) + COUNTIF($A$2:$A$3000, O2022)</f>
        <v>2</v>
      </c>
      <c r="Q2022" s="16" t="str">
        <f aca="false">IF(OR(B2022=-1,I2022=0, P2022&lt;&gt;2), "albhed_dummy", _xlfn.CONCAT("albhed ", RIGHT("  " &amp; K2022,2),", ", RIGHT("  " &amp; L2022,2), ", " ,"""",H2022,""", ", """",N2022,""", ","""",O2022,""""," ; ", A2022))</f>
        <v>albhed 21, 16, "니", "키", "눼" ; 퀘</v>
      </c>
    </row>
    <row r="2023" customFormat="false" ht="17.9" hidden="false" customHeight="true" outlineLevel="0" collapsed="false">
      <c r="A2023" s="16" t="s">
        <v>2873</v>
      </c>
      <c r="B2023" s="16" t="n">
        <f aca="false">IF(_xlfn.UNICODE(A2023)&lt;44032,-1,_xlfn.UNICODE(A2023)-44032)</f>
        <v>9261</v>
      </c>
      <c r="C2023" s="16" t="n">
        <f aca="false">IF(B2023=-1,-1,INT((B2023/28)/21))</f>
        <v>15</v>
      </c>
      <c r="D2023" s="16" t="n">
        <f aca="false">IF(B2023=-1, -1, MOD(INT(B2023/28),21))</f>
        <v>15</v>
      </c>
      <c r="E2023" s="16" t="n">
        <f aca="false">IF(B2023=-1, -1, VLOOKUP(MOD(B2023,28), $T$24:$U$52,2))</f>
        <v>21</v>
      </c>
      <c r="F2023" s="16" t="n">
        <f aca="false">IF($B2023=-1, -1, VLOOKUP(C2023,$T$1:$V$20, 2))</f>
        <v>2</v>
      </c>
      <c r="G2023" s="16" t="n">
        <f aca="false">IF($B2023=-1, -1, VLOOKUP(D2023,$Y$1:$Z$22,2))</f>
        <v>20</v>
      </c>
      <c r="H2023" s="16" t="str">
        <f aca="false">_xlfn.UNICHAR(((F2023*21)+G2023)*28+44032)</f>
        <v>니</v>
      </c>
      <c r="I2023" s="16" t="n">
        <f aca="false">IF(B2023=-1, 1, COUNTIF($A$2:$A$3000, H2023))</f>
        <v>1</v>
      </c>
      <c r="J2023" s="10" t="str">
        <f aca="false">_xlfn.CONCAT(A2023, ",",H2023,",",I2023)</f>
        <v>퀭,니,1</v>
      </c>
      <c r="K2023" s="16" t="n">
        <f aca="false">IF(B2023=-1,-1,VLOOKUP(C2023,$T$1:$V$20,3))</f>
        <v>21</v>
      </c>
      <c r="L2023" s="16" t="n">
        <f aca="false">IF(B2023=-1,-1,VLOOKUP(D2023,$Y$1:$AA$22,3))</f>
        <v>16</v>
      </c>
      <c r="N2023" s="10" t="str">
        <f aca="false">_xlfn.UNICHAR(((C2023*21)+G2023)*28+44032)</f>
        <v>키</v>
      </c>
      <c r="O2023" s="10" t="str">
        <f aca="false">_xlfn.UNICHAR(((F2023*21)+D2023)*28+44032)</f>
        <v>눼</v>
      </c>
      <c r="P2023" s="12" t="n">
        <f aca="false">COUNTIF($A$2:$A$3000, N2023) + COUNTIF($A$2:$A$3000, O2023)</f>
        <v>2</v>
      </c>
      <c r="Q2023" s="16" t="str">
        <f aca="false">IF(OR(B2023=-1,I2023=0, P2023&lt;&gt;2), "albhed_dummy", _xlfn.CONCAT("albhed ", RIGHT("  " &amp; K2023,2),", ", RIGHT("  " &amp; L2023,2), ", " ,"""",H2023,""", ", """",N2023,""", ","""",O2023,""""," ; ", A2023))</f>
        <v>albhed 21, 16, "니", "키", "눼" ; 퀭</v>
      </c>
    </row>
    <row r="2024" customFormat="false" ht="17.9" hidden="false" customHeight="true" outlineLevel="0" collapsed="false">
      <c r="A2024" s="16" t="s">
        <v>2874</v>
      </c>
      <c r="B2024" s="16" t="n">
        <f aca="false">IF(_xlfn.UNICODE(A2024)&lt;44032,-1,_xlfn.UNICODE(A2024)-44032)</f>
        <v>9268</v>
      </c>
      <c r="C2024" s="16" t="n">
        <f aca="false">IF(B2024=-1,-1,INT((B2024/28)/21))</f>
        <v>15</v>
      </c>
      <c r="D2024" s="16" t="n">
        <f aca="false">IF(B2024=-1, -1, MOD(INT(B2024/28),21))</f>
        <v>16</v>
      </c>
      <c r="E2024" s="16" t="n">
        <f aca="false">IF(B2024=-1, -1, VLOOKUP(MOD(B2024,28), $T$24:$U$52,2))</f>
        <v>0</v>
      </c>
      <c r="F2024" s="16" t="n">
        <f aca="false">IF($B2024=-1, -1, VLOOKUP(C2024,$T$1:$V$20, 2))</f>
        <v>2</v>
      </c>
      <c r="G2024" s="16" t="n">
        <f aca="false">IF($B2024=-1, -1, VLOOKUP(D2024,$Y$1:$Z$22,2))</f>
        <v>20</v>
      </c>
      <c r="H2024" s="16" t="str">
        <f aca="false">_xlfn.UNICHAR(((F2024*21)+G2024)*28+44032)</f>
        <v>니</v>
      </c>
      <c r="I2024" s="16" t="n">
        <f aca="false">IF(B2024=-1, 1, COUNTIF($A$2:$A$3000, H2024))</f>
        <v>1</v>
      </c>
      <c r="J2024" s="10" t="str">
        <f aca="false">_xlfn.CONCAT(A2024, ",",H2024,",",I2024)</f>
        <v>퀴,니,1</v>
      </c>
      <c r="K2024" s="16" t="n">
        <f aca="false">IF(B2024=-1,-1,VLOOKUP(C2024,$T$1:$V$20,3))</f>
        <v>21</v>
      </c>
      <c r="L2024" s="16" t="n">
        <f aca="false">IF(B2024=-1,-1,VLOOKUP(D2024,$Y$1:$AA$22,3))</f>
        <v>22</v>
      </c>
      <c r="N2024" s="10" t="str">
        <f aca="false">_xlfn.UNICHAR(((C2024*21)+G2024)*28+44032)</f>
        <v>키</v>
      </c>
      <c r="O2024" s="10" t="str">
        <f aca="false">_xlfn.UNICHAR(((F2024*21)+D2024)*28+44032)</f>
        <v>뉘</v>
      </c>
      <c r="P2024" s="12" t="n">
        <f aca="false">COUNTIF($A$2:$A$3000, N2024) + COUNTIF($A$2:$A$3000, O2024)</f>
        <v>2</v>
      </c>
      <c r="Q2024" s="16" t="str">
        <f aca="false">IF(OR(B2024=-1,I2024=0, P2024&lt;&gt;2), "albhed_dummy", _xlfn.CONCAT("albhed ", RIGHT("  " &amp; K2024,2),", ", RIGHT("  " &amp; L2024,2), ", " ,"""",H2024,""", ", """",N2024,""", ","""",O2024,""""," ; ", A2024))</f>
        <v>albhed 21, 22, "니", "키", "뉘" ; 퀴</v>
      </c>
    </row>
    <row r="2025" customFormat="false" ht="17.9" hidden="false" customHeight="true" outlineLevel="0" collapsed="false">
      <c r="A2025" s="16" t="s">
        <v>2875</v>
      </c>
      <c r="B2025" s="16" t="n">
        <f aca="false">IF(_xlfn.UNICODE(A2025)&lt;44032,-1,_xlfn.UNICODE(A2025)-44032)</f>
        <v>9269</v>
      </c>
      <c r="C2025" s="16" t="n">
        <f aca="false">IF(B2025=-1,-1,INT((B2025/28)/21))</f>
        <v>15</v>
      </c>
      <c r="D2025" s="16" t="n">
        <f aca="false">IF(B2025=-1, -1, MOD(INT(B2025/28),21))</f>
        <v>16</v>
      </c>
      <c r="E2025" s="16" t="n">
        <f aca="false">IF(B2025=-1, -1, VLOOKUP(MOD(B2025,28), $T$24:$U$52,2))</f>
        <v>1</v>
      </c>
      <c r="F2025" s="16" t="n">
        <f aca="false">IF($B2025=-1, -1, VLOOKUP(C2025,$T$1:$V$20, 2))</f>
        <v>2</v>
      </c>
      <c r="G2025" s="16" t="n">
        <f aca="false">IF($B2025=-1, -1, VLOOKUP(D2025,$Y$1:$Z$22,2))</f>
        <v>20</v>
      </c>
      <c r="H2025" s="16" t="str">
        <f aca="false">_xlfn.UNICHAR(((F2025*21)+G2025)*28+44032)</f>
        <v>니</v>
      </c>
      <c r="I2025" s="16" t="n">
        <f aca="false">IF(B2025=-1, 1, COUNTIF($A$2:$A$3000, H2025))</f>
        <v>1</v>
      </c>
      <c r="J2025" s="10" t="str">
        <f aca="false">_xlfn.CONCAT(A2025, ",",H2025,",",I2025)</f>
        <v>퀵,니,1</v>
      </c>
      <c r="K2025" s="16" t="n">
        <f aca="false">IF(B2025=-1,-1,VLOOKUP(C2025,$T$1:$V$20,3))</f>
        <v>21</v>
      </c>
      <c r="L2025" s="16" t="n">
        <f aca="false">IF(B2025=-1,-1,VLOOKUP(D2025,$Y$1:$AA$22,3))</f>
        <v>22</v>
      </c>
      <c r="N2025" s="10" t="str">
        <f aca="false">_xlfn.UNICHAR(((C2025*21)+G2025)*28+44032)</f>
        <v>키</v>
      </c>
      <c r="O2025" s="10" t="str">
        <f aca="false">_xlfn.UNICHAR(((F2025*21)+D2025)*28+44032)</f>
        <v>뉘</v>
      </c>
      <c r="P2025" s="12" t="n">
        <f aca="false">COUNTIF($A$2:$A$3000, N2025) + COUNTIF($A$2:$A$3000, O2025)</f>
        <v>2</v>
      </c>
      <c r="Q2025" s="16" t="str">
        <f aca="false">IF(OR(B2025=-1,I2025=0, P2025&lt;&gt;2), "albhed_dummy", _xlfn.CONCAT("albhed ", RIGHT("  " &amp; K2025,2),", ", RIGHT("  " &amp; L2025,2), ", " ,"""",H2025,""", ", """",N2025,""", ","""",O2025,""""," ; ", A2025))</f>
        <v>albhed 21, 22, "니", "키", "뉘" ; 퀵</v>
      </c>
    </row>
    <row r="2026" customFormat="false" ht="17.9" hidden="false" customHeight="true" outlineLevel="0" collapsed="false">
      <c r="A2026" s="16" t="s">
        <v>2876</v>
      </c>
      <c r="B2026" s="16" t="n">
        <f aca="false">IF(_xlfn.UNICODE(A2026)&lt;44032,-1,_xlfn.UNICODE(A2026)-44032)</f>
        <v>9272</v>
      </c>
      <c r="C2026" s="16" t="n">
        <f aca="false">IF(B2026=-1,-1,INT((B2026/28)/21))</f>
        <v>15</v>
      </c>
      <c r="D2026" s="16" t="n">
        <f aca="false">IF(B2026=-1, -1, MOD(INT(B2026/28),21))</f>
        <v>16</v>
      </c>
      <c r="E2026" s="16" t="n">
        <f aca="false">IF(B2026=-1, -1, VLOOKUP(MOD(B2026,28), $T$24:$U$52,2))</f>
        <v>4</v>
      </c>
      <c r="F2026" s="16" t="n">
        <f aca="false">IF($B2026=-1, -1, VLOOKUP(C2026,$T$1:$V$20, 2))</f>
        <v>2</v>
      </c>
      <c r="G2026" s="16" t="n">
        <f aca="false">IF($B2026=-1, -1, VLOOKUP(D2026,$Y$1:$Z$22,2))</f>
        <v>20</v>
      </c>
      <c r="H2026" s="16" t="str">
        <f aca="false">_xlfn.UNICHAR(((F2026*21)+G2026)*28+44032)</f>
        <v>니</v>
      </c>
      <c r="I2026" s="16" t="n">
        <f aca="false">IF(B2026=-1, 1, COUNTIF($A$2:$A$3000, H2026))</f>
        <v>1</v>
      </c>
      <c r="J2026" s="10" t="str">
        <f aca="false">_xlfn.CONCAT(A2026, ",",H2026,",",I2026)</f>
        <v>퀸,니,1</v>
      </c>
      <c r="K2026" s="16" t="n">
        <f aca="false">IF(B2026=-1,-1,VLOOKUP(C2026,$T$1:$V$20,3))</f>
        <v>21</v>
      </c>
      <c r="L2026" s="16" t="n">
        <f aca="false">IF(B2026=-1,-1,VLOOKUP(D2026,$Y$1:$AA$22,3))</f>
        <v>22</v>
      </c>
      <c r="N2026" s="10" t="str">
        <f aca="false">_xlfn.UNICHAR(((C2026*21)+G2026)*28+44032)</f>
        <v>키</v>
      </c>
      <c r="O2026" s="10" t="str">
        <f aca="false">_xlfn.UNICHAR(((F2026*21)+D2026)*28+44032)</f>
        <v>뉘</v>
      </c>
      <c r="P2026" s="12" t="n">
        <f aca="false">COUNTIF($A$2:$A$3000, N2026) + COUNTIF($A$2:$A$3000, O2026)</f>
        <v>2</v>
      </c>
      <c r="Q2026" s="16" t="str">
        <f aca="false">IF(OR(B2026=-1,I2026=0, P2026&lt;&gt;2), "albhed_dummy", _xlfn.CONCAT("albhed ", RIGHT("  " &amp; K2026,2),", ", RIGHT("  " &amp; L2026,2), ", " ,"""",H2026,""", ", """",N2026,""", ","""",O2026,""""," ; ", A2026))</f>
        <v>albhed 21, 22, "니", "키", "뉘" ; 퀸</v>
      </c>
    </row>
    <row r="2027" customFormat="false" ht="17.9" hidden="false" customHeight="true" outlineLevel="0" collapsed="false">
      <c r="A2027" s="16" t="s">
        <v>2877</v>
      </c>
      <c r="B2027" s="16" t="n">
        <f aca="false">IF(_xlfn.UNICODE(A2027)&lt;44032,-1,_xlfn.UNICODE(A2027)-44032)</f>
        <v>9276</v>
      </c>
      <c r="C2027" s="16" t="n">
        <f aca="false">IF(B2027=-1,-1,INT((B2027/28)/21))</f>
        <v>15</v>
      </c>
      <c r="D2027" s="16" t="n">
        <f aca="false">IF(B2027=-1, -1, MOD(INT(B2027/28),21))</f>
        <v>16</v>
      </c>
      <c r="E2027" s="16" t="n">
        <f aca="false">IF(B2027=-1, -1, VLOOKUP(MOD(B2027,28), $T$24:$U$52,2))</f>
        <v>8</v>
      </c>
      <c r="F2027" s="16" t="n">
        <f aca="false">IF($B2027=-1, -1, VLOOKUP(C2027,$T$1:$V$20, 2))</f>
        <v>2</v>
      </c>
      <c r="G2027" s="16" t="n">
        <f aca="false">IF($B2027=-1, -1, VLOOKUP(D2027,$Y$1:$Z$22,2))</f>
        <v>20</v>
      </c>
      <c r="H2027" s="16" t="str">
        <f aca="false">_xlfn.UNICHAR(((F2027*21)+G2027)*28+44032)</f>
        <v>니</v>
      </c>
      <c r="I2027" s="16" t="n">
        <f aca="false">IF(B2027=-1, 1, COUNTIF($A$2:$A$3000, H2027))</f>
        <v>1</v>
      </c>
      <c r="J2027" s="10" t="str">
        <f aca="false">_xlfn.CONCAT(A2027, ",",H2027,",",I2027)</f>
        <v>퀼,니,1</v>
      </c>
      <c r="K2027" s="16" t="n">
        <f aca="false">IF(B2027=-1,-1,VLOOKUP(C2027,$T$1:$V$20,3))</f>
        <v>21</v>
      </c>
      <c r="L2027" s="16" t="n">
        <f aca="false">IF(B2027=-1,-1,VLOOKUP(D2027,$Y$1:$AA$22,3))</f>
        <v>22</v>
      </c>
      <c r="N2027" s="10" t="str">
        <f aca="false">_xlfn.UNICHAR(((C2027*21)+G2027)*28+44032)</f>
        <v>키</v>
      </c>
      <c r="O2027" s="10" t="str">
        <f aca="false">_xlfn.UNICHAR(((F2027*21)+D2027)*28+44032)</f>
        <v>뉘</v>
      </c>
      <c r="P2027" s="12" t="n">
        <f aca="false">COUNTIF($A$2:$A$3000, N2027) + COUNTIF($A$2:$A$3000, O2027)</f>
        <v>2</v>
      </c>
      <c r="Q2027" s="16" t="str">
        <f aca="false">IF(OR(B2027=-1,I2027=0, P2027&lt;&gt;2), "albhed_dummy", _xlfn.CONCAT("albhed ", RIGHT("  " &amp; K2027,2),", ", RIGHT("  " &amp; L2027,2), ", " ,"""",H2027,""", ", """",N2027,""", ","""",O2027,""""," ; ", A2027))</f>
        <v>albhed 21, 22, "니", "키", "뉘" ; 퀼</v>
      </c>
    </row>
    <row r="2028" customFormat="false" ht="17.9" hidden="false" customHeight="true" outlineLevel="0" collapsed="false">
      <c r="A2028" s="16" t="s">
        <v>2878</v>
      </c>
      <c r="B2028" s="16" t="n">
        <f aca="false">IF(_xlfn.UNICODE(A2028)&lt;44032,-1,_xlfn.UNICODE(A2028)-44032)</f>
        <v>9284</v>
      </c>
      <c r="C2028" s="16" t="n">
        <f aca="false">IF(B2028=-1,-1,INT((B2028/28)/21))</f>
        <v>15</v>
      </c>
      <c r="D2028" s="16" t="n">
        <f aca="false">IF(B2028=-1, -1, MOD(INT(B2028/28),21))</f>
        <v>16</v>
      </c>
      <c r="E2028" s="16" t="n">
        <f aca="false">IF(B2028=-1, -1, VLOOKUP(MOD(B2028,28), $T$24:$U$52,2))</f>
        <v>16</v>
      </c>
      <c r="F2028" s="16" t="n">
        <f aca="false">IF($B2028=-1, -1, VLOOKUP(C2028,$T$1:$V$20, 2))</f>
        <v>2</v>
      </c>
      <c r="G2028" s="16" t="n">
        <f aca="false">IF($B2028=-1, -1, VLOOKUP(D2028,$Y$1:$Z$22,2))</f>
        <v>20</v>
      </c>
      <c r="H2028" s="16" t="str">
        <f aca="false">_xlfn.UNICHAR(((F2028*21)+G2028)*28+44032)</f>
        <v>니</v>
      </c>
      <c r="I2028" s="16" t="n">
        <f aca="false">IF(B2028=-1, 1, COUNTIF($A$2:$A$3000, H2028))</f>
        <v>1</v>
      </c>
      <c r="J2028" s="10" t="str">
        <f aca="false">_xlfn.CONCAT(A2028, ",",H2028,",",I2028)</f>
        <v>큄,니,1</v>
      </c>
      <c r="K2028" s="16" t="n">
        <f aca="false">IF(B2028=-1,-1,VLOOKUP(C2028,$T$1:$V$20,3))</f>
        <v>21</v>
      </c>
      <c r="L2028" s="16" t="n">
        <f aca="false">IF(B2028=-1,-1,VLOOKUP(D2028,$Y$1:$AA$22,3))</f>
        <v>22</v>
      </c>
      <c r="N2028" s="10" t="str">
        <f aca="false">_xlfn.UNICHAR(((C2028*21)+G2028)*28+44032)</f>
        <v>키</v>
      </c>
      <c r="O2028" s="10" t="str">
        <f aca="false">_xlfn.UNICHAR(((F2028*21)+D2028)*28+44032)</f>
        <v>뉘</v>
      </c>
      <c r="P2028" s="12" t="n">
        <f aca="false">COUNTIF($A$2:$A$3000, N2028) + COUNTIF($A$2:$A$3000, O2028)</f>
        <v>2</v>
      </c>
      <c r="Q2028" s="16" t="str">
        <f aca="false">IF(OR(B2028=-1,I2028=0, P2028&lt;&gt;2), "albhed_dummy", _xlfn.CONCAT("albhed ", RIGHT("  " &amp; K2028,2),", ", RIGHT("  " &amp; L2028,2), ", " ,"""",H2028,""", ", """",N2028,""", ","""",O2028,""""," ; ", A2028))</f>
        <v>albhed 21, 22, "니", "키", "뉘" ; 큄</v>
      </c>
    </row>
    <row r="2029" customFormat="false" ht="17.9" hidden="false" customHeight="true" outlineLevel="0" collapsed="false">
      <c r="A2029" s="16" t="s">
        <v>2879</v>
      </c>
      <c r="B2029" s="16" t="n">
        <f aca="false">IF(_xlfn.UNICODE(A2029)&lt;44032,-1,_xlfn.UNICODE(A2029)-44032)</f>
        <v>9285</v>
      </c>
      <c r="C2029" s="16" t="n">
        <f aca="false">IF(B2029=-1,-1,INT((B2029/28)/21))</f>
        <v>15</v>
      </c>
      <c r="D2029" s="16" t="n">
        <f aca="false">IF(B2029=-1, -1, MOD(INT(B2029/28),21))</f>
        <v>16</v>
      </c>
      <c r="E2029" s="16" t="n">
        <f aca="false">IF(B2029=-1, -1, VLOOKUP(MOD(B2029,28), $T$24:$U$52,2))</f>
        <v>17</v>
      </c>
      <c r="F2029" s="16" t="n">
        <f aca="false">IF($B2029=-1, -1, VLOOKUP(C2029,$T$1:$V$20, 2))</f>
        <v>2</v>
      </c>
      <c r="G2029" s="16" t="n">
        <f aca="false">IF($B2029=-1, -1, VLOOKUP(D2029,$Y$1:$Z$22,2))</f>
        <v>20</v>
      </c>
      <c r="H2029" s="16" t="str">
        <f aca="false">_xlfn.UNICHAR(((F2029*21)+G2029)*28+44032)</f>
        <v>니</v>
      </c>
      <c r="I2029" s="16" t="n">
        <f aca="false">IF(B2029=-1, 1, COUNTIF($A$2:$A$3000, H2029))</f>
        <v>1</v>
      </c>
      <c r="J2029" s="10" t="str">
        <f aca="false">_xlfn.CONCAT(A2029, ",",H2029,",",I2029)</f>
        <v>큅,니,1</v>
      </c>
      <c r="K2029" s="16" t="n">
        <f aca="false">IF(B2029=-1,-1,VLOOKUP(C2029,$T$1:$V$20,3))</f>
        <v>21</v>
      </c>
      <c r="L2029" s="16" t="n">
        <f aca="false">IF(B2029=-1,-1,VLOOKUP(D2029,$Y$1:$AA$22,3))</f>
        <v>22</v>
      </c>
      <c r="N2029" s="10" t="str">
        <f aca="false">_xlfn.UNICHAR(((C2029*21)+G2029)*28+44032)</f>
        <v>키</v>
      </c>
      <c r="O2029" s="10" t="str">
        <f aca="false">_xlfn.UNICHAR(((F2029*21)+D2029)*28+44032)</f>
        <v>뉘</v>
      </c>
      <c r="P2029" s="12" t="n">
        <f aca="false">COUNTIF($A$2:$A$3000, N2029) + COUNTIF($A$2:$A$3000, O2029)</f>
        <v>2</v>
      </c>
      <c r="Q2029" s="16" t="str">
        <f aca="false">IF(OR(B2029=-1,I2029=0, P2029&lt;&gt;2), "albhed_dummy", _xlfn.CONCAT("albhed ", RIGHT("  " &amp; K2029,2),", ", RIGHT("  " &amp; L2029,2), ", " ,"""",H2029,""", ", """",N2029,""", ","""",O2029,""""," ; ", A2029))</f>
        <v>albhed 21, 22, "니", "키", "뉘" ; 큅</v>
      </c>
    </row>
    <row r="2030" customFormat="false" ht="17.9" hidden="false" customHeight="true" outlineLevel="0" collapsed="false">
      <c r="A2030" s="16" t="s">
        <v>2880</v>
      </c>
      <c r="B2030" s="16" t="n">
        <f aca="false">IF(_xlfn.UNICODE(A2030)&lt;44032,-1,_xlfn.UNICODE(A2030)-44032)</f>
        <v>9287</v>
      </c>
      <c r="C2030" s="16" t="n">
        <f aca="false">IF(B2030=-1,-1,INT((B2030/28)/21))</f>
        <v>15</v>
      </c>
      <c r="D2030" s="16" t="n">
        <f aca="false">IF(B2030=-1, -1, MOD(INT(B2030/28),21))</f>
        <v>16</v>
      </c>
      <c r="E2030" s="16" t="n">
        <f aca="false">IF(B2030=-1, -1, VLOOKUP(MOD(B2030,28), $T$24:$U$52,2))</f>
        <v>19</v>
      </c>
      <c r="F2030" s="16" t="n">
        <f aca="false">IF($B2030=-1, -1, VLOOKUP(C2030,$T$1:$V$20, 2))</f>
        <v>2</v>
      </c>
      <c r="G2030" s="16" t="n">
        <f aca="false">IF($B2030=-1, -1, VLOOKUP(D2030,$Y$1:$Z$22,2))</f>
        <v>20</v>
      </c>
      <c r="H2030" s="16" t="str">
        <f aca="false">_xlfn.UNICHAR(((F2030*21)+G2030)*28+44032)</f>
        <v>니</v>
      </c>
      <c r="I2030" s="16" t="n">
        <f aca="false">IF(B2030=-1, 1, COUNTIF($A$2:$A$3000, H2030))</f>
        <v>1</v>
      </c>
      <c r="J2030" s="10" t="str">
        <f aca="false">_xlfn.CONCAT(A2030, ",",H2030,",",I2030)</f>
        <v>큇,니,1</v>
      </c>
      <c r="K2030" s="16" t="n">
        <f aca="false">IF(B2030=-1,-1,VLOOKUP(C2030,$T$1:$V$20,3))</f>
        <v>21</v>
      </c>
      <c r="L2030" s="16" t="n">
        <f aca="false">IF(B2030=-1,-1,VLOOKUP(D2030,$Y$1:$AA$22,3))</f>
        <v>22</v>
      </c>
      <c r="N2030" s="10" t="str">
        <f aca="false">_xlfn.UNICHAR(((C2030*21)+G2030)*28+44032)</f>
        <v>키</v>
      </c>
      <c r="O2030" s="10" t="str">
        <f aca="false">_xlfn.UNICHAR(((F2030*21)+D2030)*28+44032)</f>
        <v>뉘</v>
      </c>
      <c r="P2030" s="12" t="n">
        <f aca="false">COUNTIF($A$2:$A$3000, N2030) + COUNTIF($A$2:$A$3000, O2030)</f>
        <v>2</v>
      </c>
      <c r="Q2030" s="16" t="str">
        <f aca="false">IF(OR(B2030=-1,I2030=0, P2030&lt;&gt;2), "albhed_dummy", _xlfn.CONCAT("albhed ", RIGHT("  " &amp; K2030,2),", ", RIGHT("  " &amp; L2030,2), ", " ,"""",H2030,""", ", """",N2030,""", ","""",O2030,""""," ; ", A2030))</f>
        <v>albhed 21, 22, "니", "키", "뉘" ; 큇</v>
      </c>
    </row>
    <row r="2031" customFormat="false" ht="17.9" hidden="false" customHeight="true" outlineLevel="0" collapsed="false">
      <c r="A2031" s="16" t="s">
        <v>2881</v>
      </c>
      <c r="B2031" s="16" t="n">
        <f aca="false">IF(_xlfn.UNICODE(A2031)&lt;44032,-1,_xlfn.UNICODE(A2031)-44032)</f>
        <v>9289</v>
      </c>
      <c r="C2031" s="16" t="n">
        <f aca="false">IF(B2031=-1,-1,INT((B2031/28)/21))</f>
        <v>15</v>
      </c>
      <c r="D2031" s="16" t="n">
        <f aca="false">IF(B2031=-1, -1, MOD(INT(B2031/28),21))</f>
        <v>16</v>
      </c>
      <c r="E2031" s="16" t="n">
        <f aca="false">IF(B2031=-1, -1, VLOOKUP(MOD(B2031,28), $T$24:$U$52,2))</f>
        <v>21</v>
      </c>
      <c r="F2031" s="16" t="n">
        <f aca="false">IF($B2031=-1, -1, VLOOKUP(C2031,$T$1:$V$20, 2))</f>
        <v>2</v>
      </c>
      <c r="G2031" s="16" t="n">
        <f aca="false">IF($B2031=-1, -1, VLOOKUP(D2031,$Y$1:$Z$22,2))</f>
        <v>20</v>
      </c>
      <c r="H2031" s="16" t="str">
        <f aca="false">_xlfn.UNICHAR(((F2031*21)+G2031)*28+44032)</f>
        <v>니</v>
      </c>
      <c r="I2031" s="16" t="n">
        <f aca="false">IF(B2031=-1, 1, COUNTIF($A$2:$A$3000, H2031))</f>
        <v>1</v>
      </c>
      <c r="J2031" s="10" t="str">
        <f aca="false">_xlfn.CONCAT(A2031, ",",H2031,",",I2031)</f>
        <v>큉,니,1</v>
      </c>
      <c r="K2031" s="16" t="n">
        <f aca="false">IF(B2031=-1,-1,VLOOKUP(C2031,$T$1:$V$20,3))</f>
        <v>21</v>
      </c>
      <c r="L2031" s="16" t="n">
        <f aca="false">IF(B2031=-1,-1,VLOOKUP(D2031,$Y$1:$AA$22,3))</f>
        <v>22</v>
      </c>
      <c r="N2031" s="10" t="str">
        <f aca="false">_xlfn.UNICHAR(((C2031*21)+G2031)*28+44032)</f>
        <v>키</v>
      </c>
      <c r="O2031" s="10" t="str">
        <f aca="false">_xlfn.UNICHAR(((F2031*21)+D2031)*28+44032)</f>
        <v>뉘</v>
      </c>
      <c r="P2031" s="12" t="n">
        <f aca="false">COUNTIF($A$2:$A$3000, N2031) + COUNTIF($A$2:$A$3000, O2031)</f>
        <v>2</v>
      </c>
      <c r="Q2031" s="16" t="str">
        <f aca="false">IF(OR(B2031=-1,I2031=0, P2031&lt;&gt;2), "albhed_dummy", _xlfn.CONCAT("albhed ", RIGHT("  " &amp; K2031,2),", ", RIGHT("  " &amp; L2031,2), ", " ,"""",H2031,""", ", """",N2031,""", ","""",O2031,""""," ; ", A2031))</f>
        <v>albhed 21, 22, "니", "키", "뉘" ; 큉</v>
      </c>
    </row>
    <row r="2032" customFormat="false" ht="17.9" hidden="false" customHeight="true" outlineLevel="0" collapsed="false">
      <c r="A2032" s="16" t="s">
        <v>2882</v>
      </c>
      <c r="B2032" s="16" t="n">
        <f aca="false">IF(_xlfn.UNICODE(A2032)&lt;44032,-1,_xlfn.UNICODE(A2032)-44032)</f>
        <v>9296</v>
      </c>
      <c r="C2032" s="16" t="n">
        <f aca="false">IF(B2032=-1,-1,INT((B2032/28)/21))</f>
        <v>15</v>
      </c>
      <c r="D2032" s="16" t="n">
        <f aca="false">IF(B2032=-1, -1, MOD(INT(B2032/28),21))</f>
        <v>17</v>
      </c>
      <c r="E2032" s="16" t="n">
        <f aca="false">IF(B2032=-1, -1, VLOOKUP(MOD(B2032,28), $T$24:$U$52,2))</f>
        <v>0</v>
      </c>
      <c r="F2032" s="16" t="n">
        <f aca="false">IF($B2032=-1, -1, VLOOKUP(C2032,$T$1:$V$20, 2))</f>
        <v>2</v>
      </c>
      <c r="G2032" s="16" t="n">
        <f aca="false">IF($B2032=-1, -1, VLOOKUP(D2032,$Y$1:$Z$22,2))</f>
        <v>2</v>
      </c>
      <c r="H2032" s="16" t="str">
        <f aca="false">_xlfn.UNICHAR(((F2032*21)+G2032)*28+44032)</f>
        <v>냐</v>
      </c>
      <c r="I2032" s="16" t="n">
        <f aca="false">IF(B2032=-1, 1, COUNTIF($A$2:$A$3000, H2032))</f>
        <v>1</v>
      </c>
      <c r="J2032" s="10" t="str">
        <f aca="false">_xlfn.CONCAT(A2032, ",",H2032,",",I2032)</f>
        <v>큐,냐,1</v>
      </c>
      <c r="K2032" s="16" t="n">
        <f aca="false">IF(B2032=-1,-1,VLOOKUP(C2032,$T$1:$V$20,3))</f>
        <v>21</v>
      </c>
      <c r="L2032" s="16" t="n">
        <f aca="false">IF(B2032=-1,-1,VLOOKUP(D2032,$Y$1:$AA$22,3))</f>
        <v>6</v>
      </c>
      <c r="N2032" s="10" t="str">
        <f aca="false">_xlfn.UNICHAR(((C2032*21)+G2032)*28+44032)</f>
        <v>캬</v>
      </c>
      <c r="O2032" s="10" t="str">
        <f aca="false">_xlfn.UNICHAR(((F2032*21)+D2032)*28+44032)</f>
        <v>뉴</v>
      </c>
      <c r="P2032" s="12" t="n">
        <f aca="false">COUNTIF($A$2:$A$3000, N2032) + COUNTIF($A$2:$A$3000, O2032)</f>
        <v>2</v>
      </c>
      <c r="Q2032" s="16" t="str">
        <f aca="false">IF(OR(B2032=-1,I2032=0, P2032&lt;&gt;2), "albhed_dummy", _xlfn.CONCAT("albhed ", RIGHT("  " &amp; K2032,2),", ", RIGHT("  " &amp; L2032,2), ", " ,"""",H2032,""", ", """",N2032,""", ","""",O2032,""""," ; ", A2032))</f>
        <v>albhed 21,  6, "냐", "캬", "뉴" ; 큐</v>
      </c>
    </row>
    <row r="2033" customFormat="false" ht="17.9" hidden="false" customHeight="true" outlineLevel="0" collapsed="false">
      <c r="A2033" s="16" t="s">
        <v>2883</v>
      </c>
      <c r="B2033" s="16" t="n">
        <f aca="false">IF(_xlfn.UNICODE(A2033)&lt;44032,-1,_xlfn.UNICODE(A2033)-44032)</f>
        <v>9300</v>
      </c>
      <c r="C2033" s="16" t="n">
        <f aca="false">IF(B2033=-1,-1,INT((B2033/28)/21))</f>
        <v>15</v>
      </c>
      <c r="D2033" s="16" t="n">
        <f aca="false">IF(B2033=-1, -1, MOD(INT(B2033/28),21))</f>
        <v>17</v>
      </c>
      <c r="E2033" s="16" t="n">
        <f aca="false">IF(B2033=-1, -1, VLOOKUP(MOD(B2033,28), $T$24:$U$52,2))</f>
        <v>4</v>
      </c>
      <c r="F2033" s="16" t="n">
        <f aca="false">IF($B2033=-1, -1, VLOOKUP(C2033,$T$1:$V$20, 2))</f>
        <v>2</v>
      </c>
      <c r="G2033" s="16" t="n">
        <f aca="false">IF($B2033=-1, -1, VLOOKUP(D2033,$Y$1:$Z$22,2))</f>
        <v>2</v>
      </c>
      <c r="H2033" s="16" t="str">
        <f aca="false">_xlfn.UNICHAR(((F2033*21)+G2033)*28+44032)</f>
        <v>냐</v>
      </c>
      <c r="I2033" s="16" t="n">
        <f aca="false">IF(B2033=-1, 1, COUNTIF($A$2:$A$3000, H2033))</f>
        <v>1</v>
      </c>
      <c r="J2033" s="10" t="str">
        <f aca="false">_xlfn.CONCAT(A2033, ",",H2033,",",I2033)</f>
        <v>큔,냐,1</v>
      </c>
      <c r="K2033" s="16" t="n">
        <f aca="false">IF(B2033=-1,-1,VLOOKUP(C2033,$T$1:$V$20,3))</f>
        <v>21</v>
      </c>
      <c r="L2033" s="16" t="n">
        <f aca="false">IF(B2033=-1,-1,VLOOKUP(D2033,$Y$1:$AA$22,3))</f>
        <v>6</v>
      </c>
      <c r="N2033" s="10" t="str">
        <f aca="false">_xlfn.UNICHAR(((C2033*21)+G2033)*28+44032)</f>
        <v>캬</v>
      </c>
      <c r="O2033" s="10" t="str">
        <f aca="false">_xlfn.UNICHAR(((F2033*21)+D2033)*28+44032)</f>
        <v>뉴</v>
      </c>
      <c r="P2033" s="12" t="n">
        <f aca="false">COUNTIF($A$2:$A$3000, N2033) + COUNTIF($A$2:$A$3000, O2033)</f>
        <v>2</v>
      </c>
      <c r="Q2033" s="16" t="str">
        <f aca="false">IF(OR(B2033=-1,I2033=0, P2033&lt;&gt;2), "albhed_dummy", _xlfn.CONCAT("albhed ", RIGHT("  " &amp; K2033,2),", ", RIGHT("  " &amp; L2033,2), ", " ,"""",H2033,""", ", """",N2033,""", ","""",O2033,""""," ; ", A2033))</f>
        <v>albhed 21,  6, "냐", "캬", "뉴" ; 큔</v>
      </c>
    </row>
    <row r="2034" customFormat="false" ht="17.9" hidden="false" customHeight="true" outlineLevel="0" collapsed="false">
      <c r="A2034" s="16" t="s">
        <v>2884</v>
      </c>
      <c r="B2034" s="16" t="n">
        <f aca="false">IF(_xlfn.UNICODE(A2034)&lt;44032,-1,_xlfn.UNICODE(A2034)-44032)</f>
        <v>9304</v>
      </c>
      <c r="C2034" s="16" t="n">
        <f aca="false">IF(B2034=-1,-1,INT((B2034/28)/21))</f>
        <v>15</v>
      </c>
      <c r="D2034" s="16" t="n">
        <f aca="false">IF(B2034=-1, -1, MOD(INT(B2034/28),21))</f>
        <v>17</v>
      </c>
      <c r="E2034" s="16" t="n">
        <f aca="false">IF(B2034=-1, -1, VLOOKUP(MOD(B2034,28), $T$24:$U$52,2))</f>
        <v>8</v>
      </c>
      <c r="F2034" s="16" t="n">
        <f aca="false">IF($B2034=-1, -1, VLOOKUP(C2034,$T$1:$V$20, 2))</f>
        <v>2</v>
      </c>
      <c r="G2034" s="16" t="n">
        <f aca="false">IF($B2034=-1, -1, VLOOKUP(D2034,$Y$1:$Z$22,2))</f>
        <v>2</v>
      </c>
      <c r="H2034" s="16" t="str">
        <f aca="false">_xlfn.UNICHAR(((F2034*21)+G2034)*28+44032)</f>
        <v>냐</v>
      </c>
      <c r="I2034" s="16" t="n">
        <f aca="false">IF(B2034=-1, 1, COUNTIF($A$2:$A$3000, H2034))</f>
        <v>1</v>
      </c>
      <c r="J2034" s="10" t="str">
        <f aca="false">_xlfn.CONCAT(A2034, ",",H2034,",",I2034)</f>
        <v>큘,냐,1</v>
      </c>
      <c r="K2034" s="16" t="n">
        <f aca="false">IF(B2034=-1,-1,VLOOKUP(C2034,$T$1:$V$20,3))</f>
        <v>21</v>
      </c>
      <c r="L2034" s="16" t="n">
        <f aca="false">IF(B2034=-1,-1,VLOOKUP(D2034,$Y$1:$AA$22,3))</f>
        <v>6</v>
      </c>
      <c r="N2034" s="10" t="str">
        <f aca="false">_xlfn.UNICHAR(((C2034*21)+G2034)*28+44032)</f>
        <v>캬</v>
      </c>
      <c r="O2034" s="10" t="str">
        <f aca="false">_xlfn.UNICHAR(((F2034*21)+D2034)*28+44032)</f>
        <v>뉴</v>
      </c>
      <c r="P2034" s="12" t="n">
        <f aca="false">COUNTIF($A$2:$A$3000, N2034) + COUNTIF($A$2:$A$3000, O2034)</f>
        <v>2</v>
      </c>
      <c r="Q2034" s="16" t="str">
        <f aca="false">IF(OR(B2034=-1,I2034=0, P2034&lt;&gt;2), "albhed_dummy", _xlfn.CONCAT("albhed ", RIGHT("  " &amp; K2034,2),", ", RIGHT("  " &amp; L2034,2), ", " ,"""",H2034,""", ", """",N2034,""", ","""",O2034,""""," ; ", A2034))</f>
        <v>albhed 21,  6, "냐", "캬", "뉴" ; 큘</v>
      </c>
    </row>
    <row r="2035" customFormat="false" ht="17.9" hidden="false" customHeight="true" outlineLevel="0" collapsed="false">
      <c r="A2035" s="16" t="s">
        <v>2885</v>
      </c>
      <c r="B2035" s="16" t="n">
        <f aca="false">IF(_xlfn.UNICODE(A2035)&lt;44032,-1,_xlfn.UNICODE(A2035)-44032)</f>
        <v>9312</v>
      </c>
      <c r="C2035" s="16" t="n">
        <f aca="false">IF(B2035=-1,-1,INT((B2035/28)/21))</f>
        <v>15</v>
      </c>
      <c r="D2035" s="16" t="n">
        <f aca="false">IF(B2035=-1, -1, MOD(INT(B2035/28),21))</f>
        <v>17</v>
      </c>
      <c r="E2035" s="16" t="n">
        <f aca="false">IF(B2035=-1, -1, VLOOKUP(MOD(B2035,28), $T$24:$U$52,2))</f>
        <v>16</v>
      </c>
      <c r="F2035" s="16" t="n">
        <f aca="false">IF($B2035=-1, -1, VLOOKUP(C2035,$T$1:$V$20, 2))</f>
        <v>2</v>
      </c>
      <c r="G2035" s="16" t="n">
        <f aca="false">IF($B2035=-1, -1, VLOOKUP(D2035,$Y$1:$Z$22,2))</f>
        <v>2</v>
      </c>
      <c r="H2035" s="16" t="str">
        <f aca="false">_xlfn.UNICHAR(((F2035*21)+G2035)*28+44032)</f>
        <v>냐</v>
      </c>
      <c r="I2035" s="16" t="n">
        <f aca="false">IF(B2035=-1, 1, COUNTIF($A$2:$A$3000, H2035))</f>
        <v>1</v>
      </c>
      <c r="J2035" s="10" t="str">
        <f aca="false">_xlfn.CONCAT(A2035, ",",H2035,",",I2035)</f>
        <v>큠,냐,1</v>
      </c>
      <c r="K2035" s="16" t="n">
        <f aca="false">IF(B2035=-1,-1,VLOOKUP(C2035,$T$1:$V$20,3))</f>
        <v>21</v>
      </c>
      <c r="L2035" s="16" t="n">
        <f aca="false">IF(B2035=-1,-1,VLOOKUP(D2035,$Y$1:$AA$22,3))</f>
        <v>6</v>
      </c>
      <c r="N2035" s="10" t="str">
        <f aca="false">_xlfn.UNICHAR(((C2035*21)+G2035)*28+44032)</f>
        <v>캬</v>
      </c>
      <c r="O2035" s="10" t="str">
        <f aca="false">_xlfn.UNICHAR(((F2035*21)+D2035)*28+44032)</f>
        <v>뉴</v>
      </c>
      <c r="P2035" s="12" t="n">
        <f aca="false">COUNTIF($A$2:$A$3000, N2035) + COUNTIF($A$2:$A$3000, O2035)</f>
        <v>2</v>
      </c>
      <c r="Q2035" s="16" t="str">
        <f aca="false">IF(OR(B2035=-1,I2035=0, P2035&lt;&gt;2), "albhed_dummy", _xlfn.CONCAT("albhed ", RIGHT("  " &amp; K2035,2),", ", RIGHT("  " &amp; L2035,2), ", " ,"""",H2035,""", ", """",N2035,""", ","""",O2035,""""," ; ", A2035))</f>
        <v>albhed 21,  6, "냐", "캬", "뉴" ; 큠</v>
      </c>
    </row>
    <row r="2036" customFormat="false" ht="17.9" hidden="false" customHeight="true" outlineLevel="0" collapsed="false">
      <c r="A2036" s="16" t="s">
        <v>2886</v>
      </c>
      <c r="B2036" s="16" t="n">
        <f aca="false">IF(_xlfn.UNICODE(A2036)&lt;44032,-1,_xlfn.UNICODE(A2036)-44032)</f>
        <v>9324</v>
      </c>
      <c r="C2036" s="16" t="n">
        <f aca="false">IF(B2036=-1,-1,INT((B2036/28)/21))</f>
        <v>15</v>
      </c>
      <c r="D2036" s="16" t="n">
        <f aca="false">IF(B2036=-1, -1, MOD(INT(B2036/28),21))</f>
        <v>18</v>
      </c>
      <c r="E2036" s="16" t="n">
        <f aca="false">IF(B2036=-1, -1, VLOOKUP(MOD(B2036,28), $T$24:$U$52,2))</f>
        <v>0</v>
      </c>
      <c r="F2036" s="16" t="n">
        <f aca="false">IF($B2036=-1, -1, VLOOKUP(C2036,$T$1:$V$20, 2))</f>
        <v>2</v>
      </c>
      <c r="G2036" s="16" t="n">
        <f aca="false">IF($B2036=-1, -1, VLOOKUP(D2036,$Y$1:$Z$22,2))</f>
        <v>5</v>
      </c>
      <c r="H2036" s="16" t="str">
        <f aca="false">_xlfn.UNICHAR(((F2036*21)+G2036)*28+44032)</f>
        <v>네</v>
      </c>
      <c r="I2036" s="16" t="n">
        <f aca="false">IF(B2036=-1, 1, COUNTIF($A$2:$A$3000, H2036))</f>
        <v>1</v>
      </c>
      <c r="J2036" s="10" t="str">
        <f aca="false">_xlfn.CONCAT(A2036, ",",H2036,",",I2036)</f>
        <v>크,네,1</v>
      </c>
      <c r="K2036" s="16" t="n">
        <f aca="false">IF(B2036=-1,-1,VLOOKUP(C2036,$T$1:$V$20,3))</f>
        <v>21</v>
      </c>
      <c r="L2036" s="16" t="n">
        <f aca="false">IF(B2036=-1,-1,VLOOKUP(D2036,$Y$1:$AA$22,3))</f>
        <v>18</v>
      </c>
      <c r="N2036" s="10" t="str">
        <f aca="false">_xlfn.UNICHAR(((C2036*21)+G2036)*28+44032)</f>
        <v>케</v>
      </c>
      <c r="O2036" s="10" t="str">
        <f aca="false">_xlfn.UNICHAR(((F2036*21)+D2036)*28+44032)</f>
        <v>느</v>
      </c>
      <c r="P2036" s="12" t="n">
        <f aca="false">COUNTIF($A$2:$A$3000, N2036) + COUNTIF($A$2:$A$3000, O2036)</f>
        <v>2</v>
      </c>
      <c r="Q2036" s="16" t="str">
        <f aca="false">IF(OR(B2036=-1,I2036=0, P2036&lt;&gt;2), "albhed_dummy", _xlfn.CONCAT("albhed ", RIGHT("  " &amp; K2036,2),", ", RIGHT("  " &amp; L2036,2), ", " ,"""",H2036,""", ", """",N2036,""", ","""",O2036,""""," ; ", A2036))</f>
        <v>albhed 21, 18, "네", "케", "느" ; 크</v>
      </c>
    </row>
    <row r="2037" customFormat="false" ht="17.9" hidden="false" customHeight="true" outlineLevel="0" collapsed="false">
      <c r="A2037" s="16" t="s">
        <v>2887</v>
      </c>
      <c r="B2037" s="16" t="n">
        <f aca="false">IF(_xlfn.UNICODE(A2037)&lt;44032,-1,_xlfn.UNICODE(A2037)-44032)</f>
        <v>9325</v>
      </c>
      <c r="C2037" s="16" t="n">
        <f aca="false">IF(B2037=-1,-1,INT((B2037/28)/21))</f>
        <v>15</v>
      </c>
      <c r="D2037" s="16" t="n">
        <f aca="false">IF(B2037=-1, -1, MOD(INT(B2037/28),21))</f>
        <v>18</v>
      </c>
      <c r="E2037" s="16" t="n">
        <f aca="false">IF(B2037=-1, -1, VLOOKUP(MOD(B2037,28), $T$24:$U$52,2))</f>
        <v>1</v>
      </c>
      <c r="F2037" s="16" t="n">
        <f aca="false">IF($B2037=-1, -1, VLOOKUP(C2037,$T$1:$V$20, 2))</f>
        <v>2</v>
      </c>
      <c r="G2037" s="16" t="n">
        <f aca="false">IF($B2037=-1, -1, VLOOKUP(D2037,$Y$1:$Z$22,2))</f>
        <v>5</v>
      </c>
      <c r="H2037" s="16" t="str">
        <f aca="false">_xlfn.UNICHAR(((F2037*21)+G2037)*28+44032)</f>
        <v>네</v>
      </c>
      <c r="I2037" s="16" t="n">
        <f aca="false">IF(B2037=-1, 1, COUNTIF($A$2:$A$3000, H2037))</f>
        <v>1</v>
      </c>
      <c r="J2037" s="10" t="str">
        <f aca="false">_xlfn.CONCAT(A2037, ",",H2037,",",I2037)</f>
        <v>큭,네,1</v>
      </c>
      <c r="K2037" s="16" t="n">
        <f aca="false">IF(B2037=-1,-1,VLOOKUP(C2037,$T$1:$V$20,3))</f>
        <v>21</v>
      </c>
      <c r="L2037" s="16" t="n">
        <f aca="false">IF(B2037=-1,-1,VLOOKUP(D2037,$Y$1:$AA$22,3))</f>
        <v>18</v>
      </c>
      <c r="N2037" s="10" t="str">
        <f aca="false">_xlfn.UNICHAR(((C2037*21)+G2037)*28+44032)</f>
        <v>케</v>
      </c>
      <c r="O2037" s="10" t="str">
        <f aca="false">_xlfn.UNICHAR(((F2037*21)+D2037)*28+44032)</f>
        <v>느</v>
      </c>
      <c r="P2037" s="12" t="n">
        <f aca="false">COUNTIF($A$2:$A$3000, N2037) + COUNTIF($A$2:$A$3000, O2037)</f>
        <v>2</v>
      </c>
      <c r="Q2037" s="16" t="str">
        <f aca="false">IF(OR(B2037=-1,I2037=0, P2037&lt;&gt;2), "albhed_dummy", _xlfn.CONCAT("albhed ", RIGHT("  " &amp; K2037,2),", ", RIGHT("  " &amp; L2037,2), ", " ,"""",H2037,""", ", """",N2037,""", ","""",O2037,""""," ; ", A2037))</f>
        <v>albhed 21, 18, "네", "케", "느" ; 큭</v>
      </c>
    </row>
    <row r="2038" customFormat="false" ht="17.9" hidden="false" customHeight="true" outlineLevel="0" collapsed="false">
      <c r="A2038" s="16" t="s">
        <v>2888</v>
      </c>
      <c r="B2038" s="16" t="n">
        <f aca="false">IF(_xlfn.UNICODE(A2038)&lt;44032,-1,_xlfn.UNICODE(A2038)-44032)</f>
        <v>9328</v>
      </c>
      <c r="C2038" s="16" t="n">
        <f aca="false">IF(B2038=-1,-1,INT((B2038/28)/21))</f>
        <v>15</v>
      </c>
      <c r="D2038" s="16" t="n">
        <f aca="false">IF(B2038=-1, -1, MOD(INT(B2038/28),21))</f>
        <v>18</v>
      </c>
      <c r="E2038" s="16" t="n">
        <f aca="false">IF(B2038=-1, -1, VLOOKUP(MOD(B2038,28), $T$24:$U$52,2))</f>
        <v>4</v>
      </c>
      <c r="F2038" s="16" t="n">
        <f aca="false">IF($B2038=-1, -1, VLOOKUP(C2038,$T$1:$V$20, 2))</f>
        <v>2</v>
      </c>
      <c r="G2038" s="16" t="n">
        <f aca="false">IF($B2038=-1, -1, VLOOKUP(D2038,$Y$1:$Z$22,2))</f>
        <v>5</v>
      </c>
      <c r="H2038" s="16" t="str">
        <f aca="false">_xlfn.UNICHAR(((F2038*21)+G2038)*28+44032)</f>
        <v>네</v>
      </c>
      <c r="I2038" s="16" t="n">
        <f aca="false">IF(B2038=-1, 1, COUNTIF($A$2:$A$3000, H2038))</f>
        <v>1</v>
      </c>
      <c r="J2038" s="10" t="str">
        <f aca="false">_xlfn.CONCAT(A2038, ",",H2038,",",I2038)</f>
        <v>큰,네,1</v>
      </c>
      <c r="K2038" s="16" t="n">
        <f aca="false">IF(B2038=-1,-1,VLOOKUP(C2038,$T$1:$V$20,3))</f>
        <v>21</v>
      </c>
      <c r="L2038" s="16" t="n">
        <f aca="false">IF(B2038=-1,-1,VLOOKUP(D2038,$Y$1:$AA$22,3))</f>
        <v>18</v>
      </c>
      <c r="N2038" s="10" t="str">
        <f aca="false">_xlfn.UNICHAR(((C2038*21)+G2038)*28+44032)</f>
        <v>케</v>
      </c>
      <c r="O2038" s="10" t="str">
        <f aca="false">_xlfn.UNICHAR(((F2038*21)+D2038)*28+44032)</f>
        <v>느</v>
      </c>
      <c r="P2038" s="12" t="n">
        <f aca="false">COUNTIF($A$2:$A$3000, N2038) + COUNTIF($A$2:$A$3000, O2038)</f>
        <v>2</v>
      </c>
      <c r="Q2038" s="16" t="str">
        <f aca="false">IF(OR(B2038=-1,I2038=0, P2038&lt;&gt;2), "albhed_dummy", _xlfn.CONCAT("albhed ", RIGHT("  " &amp; K2038,2),", ", RIGHT("  " &amp; L2038,2), ", " ,"""",H2038,""", ", """",N2038,""", ","""",O2038,""""," ; ", A2038))</f>
        <v>albhed 21, 18, "네", "케", "느" ; 큰</v>
      </c>
    </row>
    <row r="2039" customFormat="false" ht="17.9" hidden="false" customHeight="true" outlineLevel="0" collapsed="false">
      <c r="A2039" s="16" t="s">
        <v>2889</v>
      </c>
      <c r="B2039" s="16" t="n">
        <f aca="false">IF(_xlfn.UNICODE(A2039)&lt;44032,-1,_xlfn.UNICODE(A2039)-44032)</f>
        <v>9332</v>
      </c>
      <c r="C2039" s="16" t="n">
        <f aca="false">IF(B2039=-1,-1,INT((B2039/28)/21))</f>
        <v>15</v>
      </c>
      <c r="D2039" s="16" t="n">
        <f aca="false">IF(B2039=-1, -1, MOD(INT(B2039/28),21))</f>
        <v>18</v>
      </c>
      <c r="E2039" s="16" t="n">
        <f aca="false">IF(B2039=-1, -1, VLOOKUP(MOD(B2039,28), $T$24:$U$52,2))</f>
        <v>8</v>
      </c>
      <c r="F2039" s="16" t="n">
        <f aca="false">IF($B2039=-1, -1, VLOOKUP(C2039,$T$1:$V$20, 2))</f>
        <v>2</v>
      </c>
      <c r="G2039" s="16" t="n">
        <f aca="false">IF($B2039=-1, -1, VLOOKUP(D2039,$Y$1:$Z$22,2))</f>
        <v>5</v>
      </c>
      <c r="H2039" s="16" t="str">
        <f aca="false">_xlfn.UNICHAR(((F2039*21)+G2039)*28+44032)</f>
        <v>네</v>
      </c>
      <c r="I2039" s="16" t="n">
        <f aca="false">IF(B2039=-1, 1, COUNTIF($A$2:$A$3000, H2039))</f>
        <v>1</v>
      </c>
      <c r="J2039" s="10" t="str">
        <f aca="false">_xlfn.CONCAT(A2039, ",",H2039,",",I2039)</f>
        <v>클,네,1</v>
      </c>
      <c r="K2039" s="16" t="n">
        <f aca="false">IF(B2039=-1,-1,VLOOKUP(C2039,$T$1:$V$20,3))</f>
        <v>21</v>
      </c>
      <c r="L2039" s="16" t="n">
        <f aca="false">IF(B2039=-1,-1,VLOOKUP(D2039,$Y$1:$AA$22,3))</f>
        <v>18</v>
      </c>
      <c r="N2039" s="10" t="str">
        <f aca="false">_xlfn.UNICHAR(((C2039*21)+G2039)*28+44032)</f>
        <v>케</v>
      </c>
      <c r="O2039" s="10" t="str">
        <f aca="false">_xlfn.UNICHAR(((F2039*21)+D2039)*28+44032)</f>
        <v>느</v>
      </c>
      <c r="P2039" s="12" t="n">
        <f aca="false">COUNTIF($A$2:$A$3000, N2039) + COUNTIF($A$2:$A$3000, O2039)</f>
        <v>2</v>
      </c>
      <c r="Q2039" s="16" t="str">
        <f aca="false">IF(OR(B2039=-1,I2039=0, P2039&lt;&gt;2), "albhed_dummy", _xlfn.CONCAT("albhed ", RIGHT("  " &amp; K2039,2),", ", RIGHT("  " &amp; L2039,2), ", " ,"""",H2039,""", ", """",N2039,""", ","""",O2039,""""," ; ", A2039))</f>
        <v>albhed 21, 18, "네", "케", "느" ; 클</v>
      </c>
    </row>
    <row r="2040" customFormat="false" ht="17.9" hidden="false" customHeight="true" outlineLevel="0" collapsed="false">
      <c r="A2040" s="16" t="s">
        <v>2890</v>
      </c>
      <c r="B2040" s="16" t="n">
        <f aca="false">IF(_xlfn.UNICODE(A2040)&lt;44032,-1,_xlfn.UNICODE(A2040)-44032)</f>
        <v>9340</v>
      </c>
      <c r="C2040" s="16" t="n">
        <f aca="false">IF(B2040=-1,-1,INT((B2040/28)/21))</f>
        <v>15</v>
      </c>
      <c r="D2040" s="16" t="n">
        <f aca="false">IF(B2040=-1, -1, MOD(INT(B2040/28),21))</f>
        <v>18</v>
      </c>
      <c r="E2040" s="16" t="n">
        <f aca="false">IF(B2040=-1, -1, VLOOKUP(MOD(B2040,28), $T$24:$U$52,2))</f>
        <v>16</v>
      </c>
      <c r="F2040" s="16" t="n">
        <f aca="false">IF($B2040=-1, -1, VLOOKUP(C2040,$T$1:$V$20, 2))</f>
        <v>2</v>
      </c>
      <c r="G2040" s="16" t="n">
        <f aca="false">IF($B2040=-1, -1, VLOOKUP(D2040,$Y$1:$Z$22,2))</f>
        <v>5</v>
      </c>
      <c r="H2040" s="16" t="str">
        <f aca="false">_xlfn.UNICHAR(((F2040*21)+G2040)*28+44032)</f>
        <v>네</v>
      </c>
      <c r="I2040" s="16" t="n">
        <f aca="false">IF(B2040=-1, 1, COUNTIF($A$2:$A$3000, H2040))</f>
        <v>1</v>
      </c>
      <c r="J2040" s="10" t="str">
        <f aca="false">_xlfn.CONCAT(A2040, ",",H2040,",",I2040)</f>
        <v>큼,네,1</v>
      </c>
      <c r="K2040" s="16" t="n">
        <f aca="false">IF(B2040=-1,-1,VLOOKUP(C2040,$T$1:$V$20,3))</f>
        <v>21</v>
      </c>
      <c r="L2040" s="16" t="n">
        <f aca="false">IF(B2040=-1,-1,VLOOKUP(D2040,$Y$1:$AA$22,3))</f>
        <v>18</v>
      </c>
      <c r="N2040" s="10" t="str">
        <f aca="false">_xlfn.UNICHAR(((C2040*21)+G2040)*28+44032)</f>
        <v>케</v>
      </c>
      <c r="O2040" s="10" t="str">
        <f aca="false">_xlfn.UNICHAR(((F2040*21)+D2040)*28+44032)</f>
        <v>느</v>
      </c>
      <c r="P2040" s="12" t="n">
        <f aca="false">COUNTIF($A$2:$A$3000, N2040) + COUNTIF($A$2:$A$3000, O2040)</f>
        <v>2</v>
      </c>
      <c r="Q2040" s="16" t="str">
        <f aca="false">IF(OR(B2040=-1,I2040=0, P2040&lt;&gt;2), "albhed_dummy", _xlfn.CONCAT("albhed ", RIGHT("  " &amp; K2040,2),", ", RIGHT("  " &amp; L2040,2), ", " ,"""",H2040,""", ", """",N2040,""", ","""",O2040,""""," ; ", A2040))</f>
        <v>albhed 21, 18, "네", "케", "느" ; 큼</v>
      </c>
    </row>
    <row r="2041" customFormat="false" ht="17.9" hidden="false" customHeight="true" outlineLevel="0" collapsed="false">
      <c r="A2041" s="16" t="s">
        <v>2891</v>
      </c>
      <c r="B2041" s="16" t="n">
        <f aca="false">IF(_xlfn.UNICODE(A2041)&lt;44032,-1,_xlfn.UNICODE(A2041)-44032)</f>
        <v>9341</v>
      </c>
      <c r="C2041" s="16" t="n">
        <f aca="false">IF(B2041=-1,-1,INT((B2041/28)/21))</f>
        <v>15</v>
      </c>
      <c r="D2041" s="16" t="n">
        <f aca="false">IF(B2041=-1, -1, MOD(INT(B2041/28),21))</f>
        <v>18</v>
      </c>
      <c r="E2041" s="16" t="n">
        <f aca="false">IF(B2041=-1, -1, VLOOKUP(MOD(B2041,28), $T$24:$U$52,2))</f>
        <v>17</v>
      </c>
      <c r="F2041" s="16" t="n">
        <f aca="false">IF($B2041=-1, -1, VLOOKUP(C2041,$T$1:$V$20, 2))</f>
        <v>2</v>
      </c>
      <c r="G2041" s="16" t="n">
        <f aca="false">IF($B2041=-1, -1, VLOOKUP(D2041,$Y$1:$Z$22,2))</f>
        <v>5</v>
      </c>
      <c r="H2041" s="16" t="str">
        <f aca="false">_xlfn.UNICHAR(((F2041*21)+G2041)*28+44032)</f>
        <v>네</v>
      </c>
      <c r="I2041" s="16" t="n">
        <f aca="false">IF(B2041=-1, 1, COUNTIF($A$2:$A$3000, H2041))</f>
        <v>1</v>
      </c>
      <c r="J2041" s="10" t="str">
        <f aca="false">_xlfn.CONCAT(A2041, ",",H2041,",",I2041)</f>
        <v>큽,네,1</v>
      </c>
      <c r="K2041" s="16" t="n">
        <f aca="false">IF(B2041=-1,-1,VLOOKUP(C2041,$T$1:$V$20,3))</f>
        <v>21</v>
      </c>
      <c r="L2041" s="16" t="n">
        <f aca="false">IF(B2041=-1,-1,VLOOKUP(D2041,$Y$1:$AA$22,3))</f>
        <v>18</v>
      </c>
      <c r="N2041" s="10" t="str">
        <f aca="false">_xlfn.UNICHAR(((C2041*21)+G2041)*28+44032)</f>
        <v>케</v>
      </c>
      <c r="O2041" s="10" t="str">
        <f aca="false">_xlfn.UNICHAR(((F2041*21)+D2041)*28+44032)</f>
        <v>느</v>
      </c>
      <c r="P2041" s="12" t="n">
        <f aca="false">COUNTIF($A$2:$A$3000, N2041) + COUNTIF($A$2:$A$3000, O2041)</f>
        <v>2</v>
      </c>
      <c r="Q2041" s="16" t="str">
        <f aca="false">IF(OR(B2041=-1,I2041=0, P2041&lt;&gt;2), "albhed_dummy", _xlfn.CONCAT("albhed ", RIGHT("  " &amp; K2041,2),", ", RIGHT("  " &amp; L2041,2), ", " ,"""",H2041,""", ", """",N2041,""", ","""",O2041,""""," ; ", A2041))</f>
        <v>albhed 21, 18, "네", "케", "느" ; 큽</v>
      </c>
    </row>
    <row r="2042" customFormat="false" ht="17.9" hidden="false" customHeight="true" outlineLevel="0" collapsed="false">
      <c r="A2042" s="16" t="s">
        <v>2892</v>
      </c>
      <c r="B2042" s="16" t="n">
        <f aca="false">IF(_xlfn.UNICODE(A2042)&lt;44032,-1,_xlfn.UNICODE(A2042)-44032)</f>
        <v>9345</v>
      </c>
      <c r="C2042" s="16" t="n">
        <f aca="false">IF(B2042=-1,-1,INT((B2042/28)/21))</f>
        <v>15</v>
      </c>
      <c r="D2042" s="16" t="n">
        <f aca="false">IF(B2042=-1, -1, MOD(INT(B2042/28),21))</f>
        <v>18</v>
      </c>
      <c r="E2042" s="16" t="n">
        <f aca="false">IF(B2042=-1, -1, VLOOKUP(MOD(B2042,28), $T$24:$U$52,2))</f>
        <v>21</v>
      </c>
      <c r="F2042" s="16" t="n">
        <f aca="false">IF($B2042=-1, -1, VLOOKUP(C2042,$T$1:$V$20, 2))</f>
        <v>2</v>
      </c>
      <c r="G2042" s="16" t="n">
        <f aca="false">IF($B2042=-1, -1, VLOOKUP(D2042,$Y$1:$Z$22,2))</f>
        <v>5</v>
      </c>
      <c r="H2042" s="16" t="str">
        <f aca="false">_xlfn.UNICHAR(((F2042*21)+G2042)*28+44032)</f>
        <v>네</v>
      </c>
      <c r="I2042" s="16" t="n">
        <f aca="false">IF(B2042=-1, 1, COUNTIF($A$2:$A$3000, H2042))</f>
        <v>1</v>
      </c>
      <c r="J2042" s="10" t="str">
        <f aca="false">_xlfn.CONCAT(A2042, ",",H2042,",",I2042)</f>
        <v>킁,네,1</v>
      </c>
      <c r="K2042" s="16" t="n">
        <f aca="false">IF(B2042=-1,-1,VLOOKUP(C2042,$T$1:$V$20,3))</f>
        <v>21</v>
      </c>
      <c r="L2042" s="16" t="n">
        <f aca="false">IF(B2042=-1,-1,VLOOKUP(D2042,$Y$1:$AA$22,3))</f>
        <v>18</v>
      </c>
      <c r="N2042" s="10" t="str">
        <f aca="false">_xlfn.UNICHAR(((C2042*21)+G2042)*28+44032)</f>
        <v>케</v>
      </c>
      <c r="O2042" s="10" t="str">
        <f aca="false">_xlfn.UNICHAR(((F2042*21)+D2042)*28+44032)</f>
        <v>느</v>
      </c>
      <c r="P2042" s="12" t="n">
        <f aca="false">COUNTIF($A$2:$A$3000, N2042) + COUNTIF($A$2:$A$3000, O2042)</f>
        <v>2</v>
      </c>
      <c r="Q2042" s="16" t="str">
        <f aca="false">IF(OR(B2042=-1,I2042=0, P2042&lt;&gt;2), "albhed_dummy", _xlfn.CONCAT("albhed ", RIGHT("  " &amp; K2042,2),", ", RIGHT("  " &amp; L2042,2), ", " ,"""",H2042,""", ", """",N2042,""", ","""",O2042,""""," ; ", A2042))</f>
        <v>albhed 21, 18, "네", "케", "느" ; 킁</v>
      </c>
    </row>
    <row r="2043" customFormat="false" ht="17.9" hidden="false" customHeight="true" outlineLevel="0" collapsed="false">
      <c r="A2043" s="16" t="s">
        <v>2893</v>
      </c>
      <c r="B2043" s="16" t="n">
        <f aca="false">IF(_xlfn.UNICODE(A2043)&lt;44032,-1,_xlfn.UNICODE(A2043)-44032)</f>
        <v>9380</v>
      </c>
      <c r="C2043" s="16" t="n">
        <f aca="false">IF(B2043=-1,-1,INT((B2043/28)/21))</f>
        <v>15</v>
      </c>
      <c r="D2043" s="16" t="n">
        <f aca="false">IF(B2043=-1, -1, MOD(INT(B2043/28),21))</f>
        <v>20</v>
      </c>
      <c r="E2043" s="16" t="n">
        <f aca="false">IF(B2043=-1, -1, VLOOKUP(MOD(B2043,28), $T$24:$U$52,2))</f>
        <v>0</v>
      </c>
      <c r="F2043" s="16" t="n">
        <f aca="false">IF($B2043=-1, -1, VLOOKUP(C2043,$T$1:$V$20, 2))</f>
        <v>2</v>
      </c>
      <c r="G2043" s="16" t="n">
        <f aca="false">IF($B2043=-1, -1, VLOOKUP(D2043,$Y$1:$Z$22,2))</f>
        <v>5</v>
      </c>
      <c r="H2043" s="16" t="str">
        <f aca="false">_xlfn.UNICHAR(((F2043*21)+G2043)*28+44032)</f>
        <v>네</v>
      </c>
      <c r="I2043" s="16" t="n">
        <f aca="false">IF(B2043=-1, 1, COUNTIF($A$2:$A$3000, H2043))</f>
        <v>1</v>
      </c>
      <c r="J2043" s="10" t="str">
        <f aca="false">_xlfn.CONCAT(A2043, ",",H2043,",",I2043)</f>
        <v>키,네,1</v>
      </c>
      <c r="K2043" s="16" t="n">
        <f aca="false">IF(B2043=-1,-1,VLOOKUP(C2043,$T$1:$V$20,3))</f>
        <v>21</v>
      </c>
      <c r="L2043" s="16" t="n">
        <f aca="false">IF(B2043=-1,-1,VLOOKUP(D2043,$Y$1:$AA$22,3))</f>
        <v>20</v>
      </c>
      <c r="N2043" s="10" t="str">
        <f aca="false">_xlfn.UNICHAR(((C2043*21)+G2043)*28+44032)</f>
        <v>케</v>
      </c>
      <c r="O2043" s="10" t="str">
        <f aca="false">_xlfn.UNICHAR(((F2043*21)+D2043)*28+44032)</f>
        <v>니</v>
      </c>
      <c r="P2043" s="12" t="n">
        <f aca="false">COUNTIF($A$2:$A$3000, N2043) + COUNTIF($A$2:$A$3000, O2043)</f>
        <v>2</v>
      </c>
      <c r="Q2043" s="16" t="str">
        <f aca="false">IF(OR(B2043=-1,I2043=0, P2043&lt;&gt;2), "albhed_dummy", _xlfn.CONCAT("albhed ", RIGHT("  " &amp; K2043,2),", ", RIGHT("  " &amp; L2043,2), ", " ,"""",H2043,""", ", """",N2043,""", ","""",O2043,""""," ; ", A2043))</f>
        <v>albhed 21, 20, "네", "케", "니" ; 키</v>
      </c>
    </row>
    <row r="2044" customFormat="false" ht="17.9" hidden="false" customHeight="true" outlineLevel="0" collapsed="false">
      <c r="A2044" s="16" t="s">
        <v>2894</v>
      </c>
      <c r="B2044" s="16" t="n">
        <f aca="false">IF(_xlfn.UNICODE(A2044)&lt;44032,-1,_xlfn.UNICODE(A2044)-44032)</f>
        <v>9381</v>
      </c>
      <c r="C2044" s="16" t="n">
        <f aca="false">IF(B2044=-1,-1,INT((B2044/28)/21))</f>
        <v>15</v>
      </c>
      <c r="D2044" s="16" t="n">
        <f aca="false">IF(B2044=-1, -1, MOD(INT(B2044/28),21))</f>
        <v>20</v>
      </c>
      <c r="E2044" s="16" t="n">
        <f aca="false">IF(B2044=-1, -1, VLOOKUP(MOD(B2044,28), $T$24:$U$52,2))</f>
        <v>1</v>
      </c>
      <c r="F2044" s="16" t="n">
        <f aca="false">IF($B2044=-1, -1, VLOOKUP(C2044,$T$1:$V$20, 2))</f>
        <v>2</v>
      </c>
      <c r="G2044" s="16" t="n">
        <f aca="false">IF($B2044=-1, -1, VLOOKUP(D2044,$Y$1:$Z$22,2))</f>
        <v>5</v>
      </c>
      <c r="H2044" s="16" t="str">
        <f aca="false">_xlfn.UNICHAR(((F2044*21)+G2044)*28+44032)</f>
        <v>네</v>
      </c>
      <c r="I2044" s="16" t="n">
        <f aca="false">IF(B2044=-1, 1, COUNTIF($A$2:$A$3000, H2044))</f>
        <v>1</v>
      </c>
      <c r="J2044" s="10" t="str">
        <f aca="false">_xlfn.CONCAT(A2044, ",",H2044,",",I2044)</f>
        <v>킥,네,1</v>
      </c>
      <c r="K2044" s="16" t="n">
        <f aca="false">IF(B2044=-1,-1,VLOOKUP(C2044,$T$1:$V$20,3))</f>
        <v>21</v>
      </c>
      <c r="L2044" s="16" t="n">
        <f aca="false">IF(B2044=-1,-1,VLOOKUP(D2044,$Y$1:$AA$22,3))</f>
        <v>20</v>
      </c>
      <c r="N2044" s="10" t="str">
        <f aca="false">_xlfn.UNICHAR(((C2044*21)+G2044)*28+44032)</f>
        <v>케</v>
      </c>
      <c r="O2044" s="10" t="str">
        <f aca="false">_xlfn.UNICHAR(((F2044*21)+D2044)*28+44032)</f>
        <v>니</v>
      </c>
      <c r="P2044" s="12" t="n">
        <f aca="false">COUNTIF($A$2:$A$3000, N2044) + COUNTIF($A$2:$A$3000, O2044)</f>
        <v>2</v>
      </c>
      <c r="Q2044" s="16" t="str">
        <f aca="false">IF(OR(B2044=-1,I2044=0, P2044&lt;&gt;2), "albhed_dummy", _xlfn.CONCAT("albhed ", RIGHT("  " &amp; K2044,2),", ", RIGHT("  " &amp; L2044,2), ", " ,"""",H2044,""", ", """",N2044,""", ","""",O2044,""""," ; ", A2044))</f>
        <v>albhed 21, 20, "네", "케", "니" ; 킥</v>
      </c>
    </row>
    <row r="2045" customFormat="false" ht="17.9" hidden="false" customHeight="true" outlineLevel="0" collapsed="false">
      <c r="A2045" s="16" t="s">
        <v>2895</v>
      </c>
      <c r="B2045" s="16" t="n">
        <f aca="false">IF(_xlfn.UNICODE(A2045)&lt;44032,-1,_xlfn.UNICODE(A2045)-44032)</f>
        <v>9384</v>
      </c>
      <c r="C2045" s="16" t="n">
        <f aca="false">IF(B2045=-1,-1,INT((B2045/28)/21))</f>
        <v>15</v>
      </c>
      <c r="D2045" s="16" t="n">
        <f aca="false">IF(B2045=-1, -1, MOD(INT(B2045/28),21))</f>
        <v>20</v>
      </c>
      <c r="E2045" s="16" t="n">
        <f aca="false">IF(B2045=-1, -1, VLOOKUP(MOD(B2045,28), $T$24:$U$52,2))</f>
        <v>4</v>
      </c>
      <c r="F2045" s="16" t="n">
        <f aca="false">IF($B2045=-1, -1, VLOOKUP(C2045,$T$1:$V$20, 2))</f>
        <v>2</v>
      </c>
      <c r="G2045" s="16" t="n">
        <f aca="false">IF($B2045=-1, -1, VLOOKUP(D2045,$Y$1:$Z$22,2))</f>
        <v>5</v>
      </c>
      <c r="H2045" s="16" t="str">
        <f aca="false">_xlfn.UNICHAR(((F2045*21)+G2045)*28+44032)</f>
        <v>네</v>
      </c>
      <c r="I2045" s="16" t="n">
        <f aca="false">IF(B2045=-1, 1, COUNTIF($A$2:$A$3000, H2045))</f>
        <v>1</v>
      </c>
      <c r="J2045" s="10" t="str">
        <f aca="false">_xlfn.CONCAT(A2045, ",",H2045,",",I2045)</f>
        <v>킨,네,1</v>
      </c>
      <c r="K2045" s="16" t="n">
        <f aca="false">IF(B2045=-1,-1,VLOOKUP(C2045,$T$1:$V$20,3))</f>
        <v>21</v>
      </c>
      <c r="L2045" s="16" t="n">
        <f aca="false">IF(B2045=-1,-1,VLOOKUP(D2045,$Y$1:$AA$22,3))</f>
        <v>20</v>
      </c>
      <c r="N2045" s="10" t="str">
        <f aca="false">_xlfn.UNICHAR(((C2045*21)+G2045)*28+44032)</f>
        <v>케</v>
      </c>
      <c r="O2045" s="10" t="str">
        <f aca="false">_xlfn.UNICHAR(((F2045*21)+D2045)*28+44032)</f>
        <v>니</v>
      </c>
      <c r="P2045" s="12" t="n">
        <f aca="false">COUNTIF($A$2:$A$3000, N2045) + COUNTIF($A$2:$A$3000, O2045)</f>
        <v>2</v>
      </c>
      <c r="Q2045" s="16" t="str">
        <f aca="false">IF(OR(B2045=-1,I2045=0, P2045&lt;&gt;2), "albhed_dummy", _xlfn.CONCAT("albhed ", RIGHT("  " &amp; K2045,2),", ", RIGHT("  " &amp; L2045,2), ", " ,"""",H2045,""", ", """",N2045,""", ","""",O2045,""""," ; ", A2045))</f>
        <v>albhed 21, 20, "네", "케", "니" ; 킨</v>
      </c>
    </row>
    <row r="2046" customFormat="false" ht="17.9" hidden="false" customHeight="true" outlineLevel="0" collapsed="false">
      <c r="A2046" s="16" t="s">
        <v>2896</v>
      </c>
      <c r="B2046" s="16" t="n">
        <f aca="false">IF(_xlfn.UNICODE(A2046)&lt;44032,-1,_xlfn.UNICODE(A2046)-44032)</f>
        <v>9388</v>
      </c>
      <c r="C2046" s="16" t="n">
        <f aca="false">IF(B2046=-1,-1,INT((B2046/28)/21))</f>
        <v>15</v>
      </c>
      <c r="D2046" s="16" t="n">
        <f aca="false">IF(B2046=-1, -1, MOD(INT(B2046/28),21))</f>
        <v>20</v>
      </c>
      <c r="E2046" s="16" t="n">
        <f aca="false">IF(B2046=-1, -1, VLOOKUP(MOD(B2046,28), $T$24:$U$52,2))</f>
        <v>8</v>
      </c>
      <c r="F2046" s="16" t="n">
        <f aca="false">IF($B2046=-1, -1, VLOOKUP(C2046,$T$1:$V$20, 2))</f>
        <v>2</v>
      </c>
      <c r="G2046" s="16" t="n">
        <f aca="false">IF($B2046=-1, -1, VLOOKUP(D2046,$Y$1:$Z$22,2))</f>
        <v>5</v>
      </c>
      <c r="H2046" s="16" t="str">
        <f aca="false">_xlfn.UNICHAR(((F2046*21)+G2046)*28+44032)</f>
        <v>네</v>
      </c>
      <c r="I2046" s="16" t="n">
        <f aca="false">IF(B2046=-1, 1, COUNTIF($A$2:$A$3000, H2046))</f>
        <v>1</v>
      </c>
      <c r="J2046" s="10" t="str">
        <f aca="false">_xlfn.CONCAT(A2046, ",",H2046,",",I2046)</f>
        <v>킬,네,1</v>
      </c>
      <c r="K2046" s="16" t="n">
        <f aca="false">IF(B2046=-1,-1,VLOOKUP(C2046,$T$1:$V$20,3))</f>
        <v>21</v>
      </c>
      <c r="L2046" s="16" t="n">
        <f aca="false">IF(B2046=-1,-1,VLOOKUP(D2046,$Y$1:$AA$22,3))</f>
        <v>20</v>
      </c>
      <c r="N2046" s="10" t="str">
        <f aca="false">_xlfn.UNICHAR(((C2046*21)+G2046)*28+44032)</f>
        <v>케</v>
      </c>
      <c r="O2046" s="10" t="str">
        <f aca="false">_xlfn.UNICHAR(((F2046*21)+D2046)*28+44032)</f>
        <v>니</v>
      </c>
      <c r="P2046" s="12" t="n">
        <f aca="false">COUNTIF($A$2:$A$3000, N2046) + COUNTIF($A$2:$A$3000, O2046)</f>
        <v>2</v>
      </c>
      <c r="Q2046" s="16" t="str">
        <f aca="false">IF(OR(B2046=-1,I2046=0, P2046&lt;&gt;2), "albhed_dummy", _xlfn.CONCAT("albhed ", RIGHT("  " &amp; K2046,2),", ", RIGHT("  " &amp; L2046,2), ", " ,"""",H2046,""", ", """",N2046,""", ","""",O2046,""""," ; ", A2046))</f>
        <v>albhed 21, 20, "네", "케", "니" ; 킬</v>
      </c>
    </row>
    <row r="2047" customFormat="false" ht="17.9" hidden="false" customHeight="true" outlineLevel="0" collapsed="false">
      <c r="A2047" s="16" t="s">
        <v>2897</v>
      </c>
      <c r="B2047" s="16" t="n">
        <f aca="false">IF(_xlfn.UNICODE(A2047)&lt;44032,-1,_xlfn.UNICODE(A2047)-44032)</f>
        <v>9396</v>
      </c>
      <c r="C2047" s="16" t="n">
        <f aca="false">IF(B2047=-1,-1,INT((B2047/28)/21))</f>
        <v>15</v>
      </c>
      <c r="D2047" s="16" t="n">
        <f aca="false">IF(B2047=-1, -1, MOD(INT(B2047/28),21))</f>
        <v>20</v>
      </c>
      <c r="E2047" s="16" t="n">
        <f aca="false">IF(B2047=-1, -1, VLOOKUP(MOD(B2047,28), $T$24:$U$52,2))</f>
        <v>16</v>
      </c>
      <c r="F2047" s="16" t="n">
        <f aca="false">IF($B2047=-1, -1, VLOOKUP(C2047,$T$1:$V$20, 2))</f>
        <v>2</v>
      </c>
      <c r="G2047" s="16" t="n">
        <f aca="false">IF($B2047=-1, -1, VLOOKUP(D2047,$Y$1:$Z$22,2))</f>
        <v>5</v>
      </c>
      <c r="H2047" s="16" t="str">
        <f aca="false">_xlfn.UNICHAR(((F2047*21)+G2047)*28+44032)</f>
        <v>네</v>
      </c>
      <c r="I2047" s="16" t="n">
        <f aca="false">IF(B2047=-1, 1, COUNTIF($A$2:$A$3000, H2047))</f>
        <v>1</v>
      </c>
      <c r="J2047" s="10" t="str">
        <f aca="false">_xlfn.CONCAT(A2047, ",",H2047,",",I2047)</f>
        <v>킴,네,1</v>
      </c>
      <c r="K2047" s="16" t="n">
        <f aca="false">IF(B2047=-1,-1,VLOOKUP(C2047,$T$1:$V$20,3))</f>
        <v>21</v>
      </c>
      <c r="L2047" s="16" t="n">
        <f aca="false">IF(B2047=-1,-1,VLOOKUP(D2047,$Y$1:$AA$22,3))</f>
        <v>20</v>
      </c>
      <c r="N2047" s="10" t="str">
        <f aca="false">_xlfn.UNICHAR(((C2047*21)+G2047)*28+44032)</f>
        <v>케</v>
      </c>
      <c r="O2047" s="10" t="str">
        <f aca="false">_xlfn.UNICHAR(((F2047*21)+D2047)*28+44032)</f>
        <v>니</v>
      </c>
      <c r="P2047" s="12" t="n">
        <f aca="false">COUNTIF($A$2:$A$3000, N2047) + COUNTIF($A$2:$A$3000, O2047)</f>
        <v>2</v>
      </c>
      <c r="Q2047" s="16" t="str">
        <f aca="false">IF(OR(B2047=-1,I2047=0, P2047&lt;&gt;2), "albhed_dummy", _xlfn.CONCAT("albhed ", RIGHT("  " &amp; K2047,2),", ", RIGHT("  " &amp; L2047,2), ", " ,"""",H2047,""", ", """",N2047,""", ","""",O2047,""""," ; ", A2047))</f>
        <v>albhed 21, 20, "네", "케", "니" ; 킴</v>
      </c>
    </row>
    <row r="2048" customFormat="false" ht="17.9" hidden="false" customHeight="true" outlineLevel="0" collapsed="false">
      <c r="A2048" s="16" t="s">
        <v>2898</v>
      </c>
      <c r="B2048" s="16" t="n">
        <f aca="false">IF(_xlfn.UNICODE(A2048)&lt;44032,-1,_xlfn.UNICODE(A2048)-44032)</f>
        <v>9397</v>
      </c>
      <c r="C2048" s="16" t="n">
        <f aca="false">IF(B2048=-1,-1,INT((B2048/28)/21))</f>
        <v>15</v>
      </c>
      <c r="D2048" s="16" t="n">
        <f aca="false">IF(B2048=-1, -1, MOD(INT(B2048/28),21))</f>
        <v>20</v>
      </c>
      <c r="E2048" s="16" t="n">
        <f aca="false">IF(B2048=-1, -1, VLOOKUP(MOD(B2048,28), $T$24:$U$52,2))</f>
        <v>17</v>
      </c>
      <c r="F2048" s="16" t="n">
        <f aca="false">IF($B2048=-1, -1, VLOOKUP(C2048,$T$1:$V$20, 2))</f>
        <v>2</v>
      </c>
      <c r="G2048" s="16" t="n">
        <f aca="false">IF($B2048=-1, -1, VLOOKUP(D2048,$Y$1:$Z$22,2))</f>
        <v>5</v>
      </c>
      <c r="H2048" s="16" t="str">
        <f aca="false">_xlfn.UNICHAR(((F2048*21)+G2048)*28+44032)</f>
        <v>네</v>
      </c>
      <c r="I2048" s="16" t="n">
        <f aca="false">IF(B2048=-1, 1, COUNTIF($A$2:$A$3000, H2048))</f>
        <v>1</v>
      </c>
      <c r="J2048" s="10" t="str">
        <f aca="false">_xlfn.CONCAT(A2048, ",",H2048,",",I2048)</f>
        <v>킵,네,1</v>
      </c>
      <c r="K2048" s="16" t="n">
        <f aca="false">IF(B2048=-1,-1,VLOOKUP(C2048,$T$1:$V$20,3))</f>
        <v>21</v>
      </c>
      <c r="L2048" s="16" t="n">
        <f aca="false">IF(B2048=-1,-1,VLOOKUP(D2048,$Y$1:$AA$22,3))</f>
        <v>20</v>
      </c>
      <c r="N2048" s="10" t="str">
        <f aca="false">_xlfn.UNICHAR(((C2048*21)+G2048)*28+44032)</f>
        <v>케</v>
      </c>
      <c r="O2048" s="10" t="str">
        <f aca="false">_xlfn.UNICHAR(((F2048*21)+D2048)*28+44032)</f>
        <v>니</v>
      </c>
      <c r="P2048" s="12" t="n">
        <f aca="false">COUNTIF($A$2:$A$3000, N2048) + COUNTIF($A$2:$A$3000, O2048)</f>
        <v>2</v>
      </c>
      <c r="Q2048" s="16" t="str">
        <f aca="false">IF(OR(B2048=-1,I2048=0, P2048&lt;&gt;2), "albhed_dummy", _xlfn.CONCAT("albhed ", RIGHT("  " &amp; K2048,2),", ", RIGHT("  " &amp; L2048,2), ", " ,"""",H2048,""", ", """",N2048,""", ","""",O2048,""""," ; ", A2048))</f>
        <v>albhed 21, 20, "네", "케", "니" ; 킵</v>
      </c>
    </row>
    <row r="2049" customFormat="false" ht="17.9" hidden="false" customHeight="true" outlineLevel="0" collapsed="false">
      <c r="A2049" s="16" t="s">
        <v>2899</v>
      </c>
      <c r="B2049" s="16" t="n">
        <f aca="false">IF(_xlfn.UNICODE(A2049)&lt;44032,-1,_xlfn.UNICODE(A2049)-44032)</f>
        <v>9399</v>
      </c>
      <c r="C2049" s="16" t="n">
        <f aca="false">IF(B2049=-1,-1,INT((B2049/28)/21))</f>
        <v>15</v>
      </c>
      <c r="D2049" s="16" t="n">
        <f aca="false">IF(B2049=-1, -1, MOD(INT(B2049/28),21))</f>
        <v>20</v>
      </c>
      <c r="E2049" s="16" t="n">
        <f aca="false">IF(B2049=-1, -1, VLOOKUP(MOD(B2049,28), $T$24:$U$52,2))</f>
        <v>19</v>
      </c>
      <c r="F2049" s="16" t="n">
        <f aca="false">IF($B2049=-1, -1, VLOOKUP(C2049,$T$1:$V$20, 2))</f>
        <v>2</v>
      </c>
      <c r="G2049" s="16" t="n">
        <f aca="false">IF($B2049=-1, -1, VLOOKUP(D2049,$Y$1:$Z$22,2))</f>
        <v>5</v>
      </c>
      <c r="H2049" s="16" t="str">
        <f aca="false">_xlfn.UNICHAR(((F2049*21)+G2049)*28+44032)</f>
        <v>네</v>
      </c>
      <c r="I2049" s="16" t="n">
        <f aca="false">IF(B2049=-1, 1, COUNTIF($A$2:$A$3000, H2049))</f>
        <v>1</v>
      </c>
      <c r="J2049" s="10" t="str">
        <f aca="false">_xlfn.CONCAT(A2049, ",",H2049,",",I2049)</f>
        <v>킷,네,1</v>
      </c>
      <c r="K2049" s="16" t="n">
        <f aca="false">IF(B2049=-1,-1,VLOOKUP(C2049,$T$1:$V$20,3))</f>
        <v>21</v>
      </c>
      <c r="L2049" s="16" t="n">
        <f aca="false">IF(B2049=-1,-1,VLOOKUP(D2049,$Y$1:$AA$22,3))</f>
        <v>20</v>
      </c>
      <c r="N2049" s="10" t="str">
        <f aca="false">_xlfn.UNICHAR(((C2049*21)+G2049)*28+44032)</f>
        <v>케</v>
      </c>
      <c r="O2049" s="10" t="str">
        <f aca="false">_xlfn.UNICHAR(((F2049*21)+D2049)*28+44032)</f>
        <v>니</v>
      </c>
      <c r="P2049" s="12" t="n">
        <f aca="false">COUNTIF($A$2:$A$3000, N2049) + COUNTIF($A$2:$A$3000, O2049)</f>
        <v>2</v>
      </c>
      <c r="Q2049" s="16" t="str">
        <f aca="false">IF(OR(B2049=-1,I2049=0, P2049&lt;&gt;2), "albhed_dummy", _xlfn.CONCAT("albhed ", RIGHT("  " &amp; K2049,2),", ", RIGHT("  " &amp; L2049,2), ", " ,"""",H2049,""", ", """",N2049,""", ","""",O2049,""""," ; ", A2049))</f>
        <v>albhed 21, 20, "네", "케", "니" ; 킷</v>
      </c>
    </row>
    <row r="2050" customFormat="false" ht="17.9" hidden="false" customHeight="true" outlineLevel="0" collapsed="false">
      <c r="A2050" s="16" t="s">
        <v>2900</v>
      </c>
      <c r="B2050" s="16" t="n">
        <f aca="false">IF(_xlfn.UNICODE(A2050)&lt;44032,-1,_xlfn.UNICODE(A2050)-44032)</f>
        <v>9401</v>
      </c>
      <c r="C2050" s="16" t="n">
        <f aca="false">IF(B2050=-1,-1,INT((B2050/28)/21))</f>
        <v>15</v>
      </c>
      <c r="D2050" s="16" t="n">
        <f aca="false">IF(B2050=-1, -1, MOD(INT(B2050/28),21))</f>
        <v>20</v>
      </c>
      <c r="E2050" s="16" t="n">
        <f aca="false">IF(B2050=-1, -1, VLOOKUP(MOD(B2050,28), $T$24:$U$52,2))</f>
        <v>21</v>
      </c>
      <c r="F2050" s="16" t="n">
        <f aca="false">IF($B2050=-1, -1, VLOOKUP(C2050,$T$1:$V$20, 2))</f>
        <v>2</v>
      </c>
      <c r="G2050" s="16" t="n">
        <f aca="false">IF($B2050=-1, -1, VLOOKUP(D2050,$Y$1:$Z$22,2))</f>
        <v>5</v>
      </c>
      <c r="H2050" s="16" t="str">
        <f aca="false">_xlfn.UNICHAR(((F2050*21)+G2050)*28+44032)</f>
        <v>네</v>
      </c>
      <c r="I2050" s="16" t="n">
        <f aca="false">IF(B2050=-1, 1, COUNTIF($A$2:$A$3000, H2050))</f>
        <v>1</v>
      </c>
      <c r="J2050" s="10" t="str">
        <f aca="false">_xlfn.CONCAT(A2050, ",",H2050,",",I2050)</f>
        <v>킹,네,1</v>
      </c>
      <c r="K2050" s="16" t="n">
        <f aca="false">IF(B2050=-1,-1,VLOOKUP(C2050,$T$1:$V$20,3))</f>
        <v>21</v>
      </c>
      <c r="L2050" s="16" t="n">
        <f aca="false">IF(B2050=-1,-1,VLOOKUP(D2050,$Y$1:$AA$22,3))</f>
        <v>20</v>
      </c>
      <c r="N2050" s="10" t="str">
        <f aca="false">_xlfn.UNICHAR(((C2050*21)+G2050)*28+44032)</f>
        <v>케</v>
      </c>
      <c r="O2050" s="10" t="str">
        <f aca="false">_xlfn.UNICHAR(((F2050*21)+D2050)*28+44032)</f>
        <v>니</v>
      </c>
      <c r="P2050" s="12" t="n">
        <f aca="false">COUNTIF($A$2:$A$3000, N2050) + COUNTIF($A$2:$A$3000, O2050)</f>
        <v>2</v>
      </c>
      <c r="Q2050" s="16" t="str">
        <f aca="false">IF(OR(B2050=-1,I2050=0, P2050&lt;&gt;2), "albhed_dummy", _xlfn.CONCAT("albhed ", RIGHT("  " &amp; K2050,2),", ", RIGHT("  " &amp; L2050,2), ", " ,"""",H2050,""", ", """",N2050,""", ","""",O2050,""""," ; ", A2050))</f>
        <v>albhed 21, 20, "네", "케", "니" ; 킹</v>
      </c>
    </row>
    <row r="2051" customFormat="false" ht="17.9" hidden="false" customHeight="true" outlineLevel="0" collapsed="false">
      <c r="A2051" s="16" t="s">
        <v>2901</v>
      </c>
      <c r="B2051" s="16" t="n">
        <f aca="false">IF(_xlfn.UNICODE(A2051)&lt;44032,-1,_xlfn.UNICODE(A2051)-44032)</f>
        <v>9408</v>
      </c>
      <c r="C2051" s="16" t="n">
        <f aca="false">IF(B2051=-1,-1,INT((B2051/28)/21))</f>
        <v>16</v>
      </c>
      <c r="D2051" s="16" t="n">
        <f aca="false">IF(B2051=-1, -1, MOD(INT(B2051/28),21))</f>
        <v>0</v>
      </c>
      <c r="E2051" s="16" t="n">
        <f aca="false">IF(B2051=-1, -1, VLOOKUP(MOD(B2051,28), $T$24:$U$52,2))</f>
        <v>0</v>
      </c>
      <c r="F2051" s="16" t="n">
        <f aca="false">IF($B2051=-1, -1, VLOOKUP(C2051,$T$1:$V$20, 2))</f>
        <v>5</v>
      </c>
      <c r="G2051" s="16" t="n">
        <f aca="false">IF($B2051=-1, -1, VLOOKUP(D2051,$Y$1:$Z$22,2))</f>
        <v>13</v>
      </c>
      <c r="H2051" s="16" t="str">
        <f aca="false">_xlfn.UNICHAR(((F2051*21)+G2051)*28+44032)</f>
        <v>루</v>
      </c>
      <c r="I2051" s="16" t="n">
        <f aca="false">IF(B2051=-1, 1, COUNTIF($A$2:$A$3000, H2051))</f>
        <v>1</v>
      </c>
      <c r="J2051" s="10" t="str">
        <f aca="false">_xlfn.CONCAT(A2051, ",",H2051,",",I2051)</f>
        <v>타,루,1</v>
      </c>
      <c r="K2051" s="16" t="n">
        <f aca="false">IF(B2051=-1,-1,VLOOKUP(C2051,$T$1:$V$20,3))</f>
        <v>23</v>
      </c>
      <c r="L2051" s="16" t="n">
        <f aca="false">IF(B2051=-1,-1,VLOOKUP(D2051,$Y$1:$AA$22,3))</f>
        <v>2</v>
      </c>
      <c r="N2051" s="10" t="str">
        <f aca="false">_xlfn.UNICHAR(((C2051*21)+G2051)*28+44032)</f>
        <v>투</v>
      </c>
      <c r="O2051" s="10" t="str">
        <f aca="false">_xlfn.UNICHAR(((F2051*21)+D2051)*28+44032)</f>
        <v>라</v>
      </c>
      <c r="P2051" s="12" t="n">
        <f aca="false">COUNTIF($A$2:$A$3000, N2051) + COUNTIF($A$2:$A$3000, O2051)</f>
        <v>2</v>
      </c>
      <c r="Q2051" s="16" t="str">
        <f aca="false">IF(OR(B2051=-1,I2051=0, P2051&lt;&gt;2), "albhed_dummy", _xlfn.CONCAT("albhed ", RIGHT("  " &amp; K2051,2),", ", RIGHT("  " &amp; L2051,2), ", " ,"""",H2051,""", ", """",N2051,""", ","""",O2051,""""," ; ", A2051))</f>
        <v>albhed 23,  2, "루", "투", "라" ; 타</v>
      </c>
    </row>
    <row r="2052" customFormat="false" ht="17.9" hidden="false" customHeight="true" outlineLevel="0" collapsed="false">
      <c r="A2052" s="16" t="s">
        <v>2902</v>
      </c>
      <c r="B2052" s="16" t="n">
        <f aca="false">IF(_xlfn.UNICODE(A2052)&lt;44032,-1,_xlfn.UNICODE(A2052)-44032)</f>
        <v>9409</v>
      </c>
      <c r="C2052" s="16" t="n">
        <f aca="false">IF(B2052=-1,-1,INT((B2052/28)/21))</f>
        <v>16</v>
      </c>
      <c r="D2052" s="16" t="n">
        <f aca="false">IF(B2052=-1, -1, MOD(INT(B2052/28),21))</f>
        <v>0</v>
      </c>
      <c r="E2052" s="16" t="n">
        <f aca="false">IF(B2052=-1, -1, VLOOKUP(MOD(B2052,28), $T$24:$U$52,2))</f>
        <v>1</v>
      </c>
      <c r="F2052" s="16" t="n">
        <f aca="false">IF($B2052=-1, -1, VLOOKUP(C2052,$T$1:$V$20, 2))</f>
        <v>5</v>
      </c>
      <c r="G2052" s="16" t="n">
        <f aca="false">IF($B2052=-1, -1, VLOOKUP(D2052,$Y$1:$Z$22,2))</f>
        <v>13</v>
      </c>
      <c r="H2052" s="16" t="str">
        <f aca="false">_xlfn.UNICHAR(((F2052*21)+G2052)*28+44032)</f>
        <v>루</v>
      </c>
      <c r="I2052" s="16" t="n">
        <f aca="false">IF(B2052=-1, 1, COUNTIF($A$2:$A$3000, H2052))</f>
        <v>1</v>
      </c>
      <c r="J2052" s="10" t="str">
        <f aca="false">_xlfn.CONCAT(A2052, ",",H2052,",",I2052)</f>
        <v>탁,루,1</v>
      </c>
      <c r="K2052" s="16" t="n">
        <f aca="false">IF(B2052=-1,-1,VLOOKUP(C2052,$T$1:$V$20,3))</f>
        <v>23</v>
      </c>
      <c r="L2052" s="16" t="n">
        <f aca="false">IF(B2052=-1,-1,VLOOKUP(D2052,$Y$1:$AA$22,3))</f>
        <v>2</v>
      </c>
      <c r="N2052" s="10" t="str">
        <f aca="false">_xlfn.UNICHAR(((C2052*21)+G2052)*28+44032)</f>
        <v>투</v>
      </c>
      <c r="O2052" s="10" t="str">
        <f aca="false">_xlfn.UNICHAR(((F2052*21)+D2052)*28+44032)</f>
        <v>라</v>
      </c>
      <c r="P2052" s="12" t="n">
        <f aca="false">COUNTIF($A$2:$A$3000, N2052) + COUNTIF($A$2:$A$3000, O2052)</f>
        <v>2</v>
      </c>
      <c r="Q2052" s="16" t="str">
        <f aca="false">IF(OR(B2052=-1,I2052=0, P2052&lt;&gt;2), "albhed_dummy", _xlfn.CONCAT("albhed ", RIGHT("  " &amp; K2052,2),", ", RIGHT("  " &amp; L2052,2), ", " ,"""",H2052,""", ", """",N2052,""", ","""",O2052,""""," ; ", A2052))</f>
        <v>albhed 23,  2, "루", "투", "라" ; 탁</v>
      </c>
    </row>
    <row r="2053" customFormat="false" ht="17.9" hidden="false" customHeight="true" outlineLevel="0" collapsed="false">
      <c r="A2053" s="16" t="s">
        <v>2903</v>
      </c>
      <c r="B2053" s="16" t="n">
        <f aca="false">IF(_xlfn.UNICODE(A2053)&lt;44032,-1,_xlfn.UNICODE(A2053)-44032)</f>
        <v>9412</v>
      </c>
      <c r="C2053" s="16" t="n">
        <f aca="false">IF(B2053=-1,-1,INT((B2053/28)/21))</f>
        <v>16</v>
      </c>
      <c r="D2053" s="16" t="n">
        <f aca="false">IF(B2053=-1, -1, MOD(INT(B2053/28),21))</f>
        <v>0</v>
      </c>
      <c r="E2053" s="16" t="n">
        <f aca="false">IF(B2053=-1, -1, VLOOKUP(MOD(B2053,28), $T$24:$U$52,2))</f>
        <v>4</v>
      </c>
      <c r="F2053" s="16" t="n">
        <f aca="false">IF($B2053=-1, -1, VLOOKUP(C2053,$T$1:$V$20, 2))</f>
        <v>5</v>
      </c>
      <c r="G2053" s="16" t="n">
        <f aca="false">IF($B2053=-1, -1, VLOOKUP(D2053,$Y$1:$Z$22,2))</f>
        <v>13</v>
      </c>
      <c r="H2053" s="16" t="str">
        <f aca="false">_xlfn.UNICHAR(((F2053*21)+G2053)*28+44032)</f>
        <v>루</v>
      </c>
      <c r="I2053" s="16" t="n">
        <f aca="false">IF(B2053=-1, 1, COUNTIF($A$2:$A$3000, H2053))</f>
        <v>1</v>
      </c>
      <c r="J2053" s="10" t="str">
        <f aca="false">_xlfn.CONCAT(A2053, ",",H2053,",",I2053)</f>
        <v>탄,루,1</v>
      </c>
      <c r="K2053" s="16" t="n">
        <f aca="false">IF(B2053=-1,-1,VLOOKUP(C2053,$T$1:$V$20,3))</f>
        <v>23</v>
      </c>
      <c r="L2053" s="16" t="n">
        <f aca="false">IF(B2053=-1,-1,VLOOKUP(D2053,$Y$1:$AA$22,3))</f>
        <v>2</v>
      </c>
      <c r="N2053" s="10" t="str">
        <f aca="false">_xlfn.UNICHAR(((C2053*21)+G2053)*28+44032)</f>
        <v>투</v>
      </c>
      <c r="O2053" s="10" t="str">
        <f aca="false">_xlfn.UNICHAR(((F2053*21)+D2053)*28+44032)</f>
        <v>라</v>
      </c>
      <c r="P2053" s="12" t="n">
        <f aca="false">COUNTIF($A$2:$A$3000, N2053) + COUNTIF($A$2:$A$3000, O2053)</f>
        <v>2</v>
      </c>
      <c r="Q2053" s="16" t="str">
        <f aca="false">IF(OR(B2053=-1,I2053=0, P2053&lt;&gt;2), "albhed_dummy", _xlfn.CONCAT("albhed ", RIGHT("  " &amp; K2053,2),", ", RIGHT("  " &amp; L2053,2), ", " ,"""",H2053,""", ", """",N2053,""", ","""",O2053,""""," ; ", A2053))</f>
        <v>albhed 23,  2, "루", "투", "라" ; 탄</v>
      </c>
    </row>
    <row r="2054" customFormat="false" ht="17.9" hidden="false" customHeight="true" outlineLevel="0" collapsed="false">
      <c r="A2054" s="16" t="s">
        <v>2904</v>
      </c>
      <c r="B2054" s="16" t="n">
        <f aca="false">IF(_xlfn.UNICODE(A2054)&lt;44032,-1,_xlfn.UNICODE(A2054)-44032)</f>
        <v>9416</v>
      </c>
      <c r="C2054" s="16" t="n">
        <f aca="false">IF(B2054=-1,-1,INT((B2054/28)/21))</f>
        <v>16</v>
      </c>
      <c r="D2054" s="16" t="n">
        <f aca="false">IF(B2054=-1, -1, MOD(INT(B2054/28),21))</f>
        <v>0</v>
      </c>
      <c r="E2054" s="16" t="n">
        <f aca="false">IF(B2054=-1, -1, VLOOKUP(MOD(B2054,28), $T$24:$U$52,2))</f>
        <v>8</v>
      </c>
      <c r="F2054" s="16" t="n">
        <f aca="false">IF($B2054=-1, -1, VLOOKUP(C2054,$T$1:$V$20, 2))</f>
        <v>5</v>
      </c>
      <c r="G2054" s="16" t="n">
        <f aca="false">IF($B2054=-1, -1, VLOOKUP(D2054,$Y$1:$Z$22,2))</f>
        <v>13</v>
      </c>
      <c r="H2054" s="16" t="str">
        <f aca="false">_xlfn.UNICHAR(((F2054*21)+G2054)*28+44032)</f>
        <v>루</v>
      </c>
      <c r="I2054" s="16" t="n">
        <f aca="false">IF(B2054=-1, 1, COUNTIF($A$2:$A$3000, H2054))</f>
        <v>1</v>
      </c>
      <c r="J2054" s="10" t="str">
        <f aca="false">_xlfn.CONCAT(A2054, ",",H2054,",",I2054)</f>
        <v>탈,루,1</v>
      </c>
      <c r="K2054" s="16" t="n">
        <f aca="false">IF(B2054=-1,-1,VLOOKUP(C2054,$T$1:$V$20,3))</f>
        <v>23</v>
      </c>
      <c r="L2054" s="16" t="n">
        <f aca="false">IF(B2054=-1,-1,VLOOKUP(D2054,$Y$1:$AA$22,3))</f>
        <v>2</v>
      </c>
      <c r="N2054" s="10" t="str">
        <f aca="false">_xlfn.UNICHAR(((C2054*21)+G2054)*28+44032)</f>
        <v>투</v>
      </c>
      <c r="O2054" s="10" t="str">
        <f aca="false">_xlfn.UNICHAR(((F2054*21)+D2054)*28+44032)</f>
        <v>라</v>
      </c>
      <c r="P2054" s="12" t="n">
        <f aca="false">COUNTIF($A$2:$A$3000, N2054) + COUNTIF($A$2:$A$3000, O2054)</f>
        <v>2</v>
      </c>
      <c r="Q2054" s="16" t="str">
        <f aca="false">IF(OR(B2054=-1,I2054=0, P2054&lt;&gt;2), "albhed_dummy", _xlfn.CONCAT("albhed ", RIGHT("  " &amp; K2054,2),", ", RIGHT("  " &amp; L2054,2), ", " ,"""",H2054,""", ", """",N2054,""", ","""",O2054,""""," ; ", A2054))</f>
        <v>albhed 23,  2, "루", "투", "라" ; 탈</v>
      </c>
    </row>
    <row r="2055" customFormat="false" ht="17.9" hidden="false" customHeight="true" outlineLevel="0" collapsed="false">
      <c r="A2055" s="16" t="s">
        <v>2905</v>
      </c>
      <c r="B2055" s="16" t="n">
        <f aca="false">IF(_xlfn.UNICODE(A2055)&lt;44032,-1,_xlfn.UNICODE(A2055)-44032)</f>
        <v>9417</v>
      </c>
      <c r="C2055" s="16" t="n">
        <f aca="false">IF(B2055=-1,-1,INT((B2055/28)/21))</f>
        <v>16</v>
      </c>
      <c r="D2055" s="16" t="n">
        <f aca="false">IF(B2055=-1, -1, MOD(INT(B2055/28),21))</f>
        <v>0</v>
      </c>
      <c r="E2055" s="16" t="n">
        <f aca="false">IF(B2055=-1, -1, VLOOKUP(MOD(B2055,28), $T$24:$U$52,2))</f>
        <v>8</v>
      </c>
      <c r="F2055" s="16" t="n">
        <f aca="false">IF($B2055=-1, -1, VLOOKUP(C2055,$T$1:$V$20, 2))</f>
        <v>5</v>
      </c>
      <c r="G2055" s="16" t="n">
        <f aca="false">IF($B2055=-1, -1, VLOOKUP(D2055,$Y$1:$Z$22,2))</f>
        <v>13</v>
      </c>
      <c r="H2055" s="16" t="str">
        <f aca="false">_xlfn.UNICHAR(((F2055*21)+G2055)*28+44032)</f>
        <v>루</v>
      </c>
      <c r="I2055" s="16" t="n">
        <f aca="false">IF(B2055=-1, 1, COUNTIF($A$2:$A$3000, H2055))</f>
        <v>1</v>
      </c>
      <c r="J2055" s="10" t="str">
        <f aca="false">_xlfn.CONCAT(A2055, ",",H2055,",",I2055)</f>
        <v>탉,루,1</v>
      </c>
      <c r="K2055" s="16" t="n">
        <f aca="false">IF(B2055=-1,-1,VLOOKUP(C2055,$T$1:$V$20,3))</f>
        <v>23</v>
      </c>
      <c r="L2055" s="16" t="n">
        <f aca="false">IF(B2055=-1,-1,VLOOKUP(D2055,$Y$1:$AA$22,3))</f>
        <v>2</v>
      </c>
      <c r="N2055" s="10" t="str">
        <f aca="false">_xlfn.UNICHAR(((C2055*21)+G2055)*28+44032)</f>
        <v>투</v>
      </c>
      <c r="O2055" s="10" t="str">
        <f aca="false">_xlfn.UNICHAR(((F2055*21)+D2055)*28+44032)</f>
        <v>라</v>
      </c>
      <c r="P2055" s="12" t="n">
        <f aca="false">COUNTIF($A$2:$A$3000, N2055) + COUNTIF($A$2:$A$3000, O2055)</f>
        <v>2</v>
      </c>
      <c r="Q2055" s="16" t="str">
        <f aca="false">IF(OR(B2055=-1,I2055=0, P2055&lt;&gt;2), "albhed_dummy", _xlfn.CONCAT("albhed ", RIGHT("  " &amp; K2055,2),", ", RIGHT("  " &amp; L2055,2), ", " ,"""",H2055,""", ", """",N2055,""", ","""",O2055,""""," ; ", A2055))</f>
        <v>albhed 23,  2, "루", "투", "라" ; 탉</v>
      </c>
    </row>
    <row r="2056" customFormat="false" ht="17.9" hidden="false" customHeight="true" outlineLevel="0" collapsed="false">
      <c r="A2056" s="16" t="s">
        <v>2906</v>
      </c>
      <c r="B2056" s="16" t="n">
        <f aca="false">IF(_xlfn.UNICODE(A2056)&lt;44032,-1,_xlfn.UNICODE(A2056)-44032)</f>
        <v>9424</v>
      </c>
      <c r="C2056" s="16" t="n">
        <f aca="false">IF(B2056=-1,-1,INT((B2056/28)/21))</f>
        <v>16</v>
      </c>
      <c r="D2056" s="16" t="n">
        <f aca="false">IF(B2056=-1, -1, MOD(INT(B2056/28),21))</f>
        <v>0</v>
      </c>
      <c r="E2056" s="16" t="n">
        <f aca="false">IF(B2056=-1, -1, VLOOKUP(MOD(B2056,28), $T$24:$U$52,2))</f>
        <v>16</v>
      </c>
      <c r="F2056" s="16" t="n">
        <f aca="false">IF($B2056=-1, -1, VLOOKUP(C2056,$T$1:$V$20, 2))</f>
        <v>5</v>
      </c>
      <c r="G2056" s="16" t="n">
        <f aca="false">IF($B2056=-1, -1, VLOOKUP(D2056,$Y$1:$Z$22,2))</f>
        <v>13</v>
      </c>
      <c r="H2056" s="16" t="str">
        <f aca="false">_xlfn.UNICHAR(((F2056*21)+G2056)*28+44032)</f>
        <v>루</v>
      </c>
      <c r="I2056" s="16" t="n">
        <f aca="false">IF(B2056=-1, 1, COUNTIF($A$2:$A$3000, H2056))</f>
        <v>1</v>
      </c>
      <c r="J2056" s="10" t="str">
        <f aca="false">_xlfn.CONCAT(A2056, ",",H2056,",",I2056)</f>
        <v>탐,루,1</v>
      </c>
      <c r="K2056" s="16" t="n">
        <f aca="false">IF(B2056=-1,-1,VLOOKUP(C2056,$T$1:$V$20,3))</f>
        <v>23</v>
      </c>
      <c r="L2056" s="16" t="n">
        <f aca="false">IF(B2056=-1,-1,VLOOKUP(D2056,$Y$1:$AA$22,3))</f>
        <v>2</v>
      </c>
      <c r="N2056" s="10" t="str">
        <f aca="false">_xlfn.UNICHAR(((C2056*21)+G2056)*28+44032)</f>
        <v>투</v>
      </c>
      <c r="O2056" s="10" t="str">
        <f aca="false">_xlfn.UNICHAR(((F2056*21)+D2056)*28+44032)</f>
        <v>라</v>
      </c>
      <c r="P2056" s="12" t="n">
        <f aca="false">COUNTIF($A$2:$A$3000, N2056) + COUNTIF($A$2:$A$3000, O2056)</f>
        <v>2</v>
      </c>
      <c r="Q2056" s="16" t="str">
        <f aca="false">IF(OR(B2056=-1,I2056=0, P2056&lt;&gt;2), "albhed_dummy", _xlfn.CONCAT("albhed ", RIGHT("  " &amp; K2056,2),", ", RIGHT("  " &amp; L2056,2), ", " ,"""",H2056,""", ", """",N2056,""", ","""",O2056,""""," ; ", A2056))</f>
        <v>albhed 23,  2, "루", "투", "라" ; 탐</v>
      </c>
    </row>
    <row r="2057" customFormat="false" ht="17.9" hidden="false" customHeight="true" outlineLevel="0" collapsed="false">
      <c r="A2057" s="16" t="s">
        <v>2907</v>
      </c>
      <c r="B2057" s="16" t="n">
        <f aca="false">IF(_xlfn.UNICODE(A2057)&lt;44032,-1,_xlfn.UNICODE(A2057)-44032)</f>
        <v>9425</v>
      </c>
      <c r="C2057" s="16" t="n">
        <f aca="false">IF(B2057=-1,-1,INT((B2057/28)/21))</f>
        <v>16</v>
      </c>
      <c r="D2057" s="16" t="n">
        <f aca="false">IF(B2057=-1, -1, MOD(INT(B2057/28),21))</f>
        <v>0</v>
      </c>
      <c r="E2057" s="16" t="n">
        <f aca="false">IF(B2057=-1, -1, VLOOKUP(MOD(B2057,28), $T$24:$U$52,2))</f>
        <v>17</v>
      </c>
      <c r="F2057" s="16" t="n">
        <f aca="false">IF($B2057=-1, -1, VLOOKUP(C2057,$T$1:$V$20, 2))</f>
        <v>5</v>
      </c>
      <c r="G2057" s="16" t="n">
        <f aca="false">IF($B2057=-1, -1, VLOOKUP(D2057,$Y$1:$Z$22,2))</f>
        <v>13</v>
      </c>
      <c r="H2057" s="16" t="str">
        <f aca="false">_xlfn.UNICHAR(((F2057*21)+G2057)*28+44032)</f>
        <v>루</v>
      </c>
      <c r="I2057" s="16" t="n">
        <f aca="false">IF(B2057=-1, 1, COUNTIF($A$2:$A$3000, H2057))</f>
        <v>1</v>
      </c>
      <c r="J2057" s="10" t="str">
        <f aca="false">_xlfn.CONCAT(A2057, ",",H2057,",",I2057)</f>
        <v>탑,루,1</v>
      </c>
      <c r="K2057" s="16" t="n">
        <f aca="false">IF(B2057=-1,-1,VLOOKUP(C2057,$T$1:$V$20,3))</f>
        <v>23</v>
      </c>
      <c r="L2057" s="16" t="n">
        <f aca="false">IF(B2057=-1,-1,VLOOKUP(D2057,$Y$1:$AA$22,3))</f>
        <v>2</v>
      </c>
      <c r="N2057" s="10" t="str">
        <f aca="false">_xlfn.UNICHAR(((C2057*21)+G2057)*28+44032)</f>
        <v>투</v>
      </c>
      <c r="O2057" s="10" t="str">
        <f aca="false">_xlfn.UNICHAR(((F2057*21)+D2057)*28+44032)</f>
        <v>라</v>
      </c>
      <c r="P2057" s="12" t="n">
        <f aca="false">COUNTIF($A$2:$A$3000, N2057) + COUNTIF($A$2:$A$3000, O2057)</f>
        <v>2</v>
      </c>
      <c r="Q2057" s="16" t="str">
        <f aca="false">IF(OR(B2057=-1,I2057=0, P2057&lt;&gt;2), "albhed_dummy", _xlfn.CONCAT("albhed ", RIGHT("  " &amp; K2057,2),", ", RIGHT("  " &amp; L2057,2), ", " ,"""",H2057,""", ", """",N2057,""", ","""",O2057,""""," ; ", A2057))</f>
        <v>albhed 23,  2, "루", "투", "라" ; 탑</v>
      </c>
    </row>
    <row r="2058" customFormat="false" ht="17.9" hidden="false" customHeight="true" outlineLevel="0" collapsed="false">
      <c r="A2058" s="16" t="s">
        <v>2908</v>
      </c>
      <c r="B2058" s="16" t="n">
        <f aca="false">IF(_xlfn.UNICODE(A2058)&lt;44032,-1,_xlfn.UNICODE(A2058)-44032)</f>
        <v>9427</v>
      </c>
      <c r="C2058" s="16" t="n">
        <f aca="false">IF(B2058=-1,-1,INT((B2058/28)/21))</f>
        <v>16</v>
      </c>
      <c r="D2058" s="16" t="n">
        <f aca="false">IF(B2058=-1, -1, MOD(INT(B2058/28),21))</f>
        <v>0</v>
      </c>
      <c r="E2058" s="16" t="n">
        <f aca="false">IF(B2058=-1, -1, VLOOKUP(MOD(B2058,28), $T$24:$U$52,2))</f>
        <v>19</v>
      </c>
      <c r="F2058" s="16" t="n">
        <f aca="false">IF($B2058=-1, -1, VLOOKUP(C2058,$T$1:$V$20, 2))</f>
        <v>5</v>
      </c>
      <c r="G2058" s="16" t="n">
        <f aca="false">IF($B2058=-1, -1, VLOOKUP(D2058,$Y$1:$Z$22,2))</f>
        <v>13</v>
      </c>
      <c r="H2058" s="16" t="str">
        <f aca="false">_xlfn.UNICHAR(((F2058*21)+G2058)*28+44032)</f>
        <v>루</v>
      </c>
      <c r="I2058" s="16" t="n">
        <f aca="false">IF(B2058=-1, 1, COUNTIF($A$2:$A$3000, H2058))</f>
        <v>1</v>
      </c>
      <c r="J2058" s="10" t="str">
        <f aca="false">_xlfn.CONCAT(A2058, ",",H2058,",",I2058)</f>
        <v>탓,루,1</v>
      </c>
      <c r="K2058" s="16" t="n">
        <f aca="false">IF(B2058=-1,-1,VLOOKUP(C2058,$T$1:$V$20,3))</f>
        <v>23</v>
      </c>
      <c r="L2058" s="16" t="n">
        <f aca="false">IF(B2058=-1,-1,VLOOKUP(D2058,$Y$1:$AA$22,3))</f>
        <v>2</v>
      </c>
      <c r="N2058" s="10" t="str">
        <f aca="false">_xlfn.UNICHAR(((C2058*21)+G2058)*28+44032)</f>
        <v>투</v>
      </c>
      <c r="O2058" s="10" t="str">
        <f aca="false">_xlfn.UNICHAR(((F2058*21)+D2058)*28+44032)</f>
        <v>라</v>
      </c>
      <c r="P2058" s="12" t="n">
        <f aca="false">COUNTIF($A$2:$A$3000, N2058) + COUNTIF($A$2:$A$3000, O2058)</f>
        <v>2</v>
      </c>
      <c r="Q2058" s="16" t="str">
        <f aca="false">IF(OR(B2058=-1,I2058=0, P2058&lt;&gt;2), "albhed_dummy", _xlfn.CONCAT("albhed ", RIGHT("  " &amp; K2058,2),", ", RIGHT("  " &amp; L2058,2), ", " ,"""",H2058,""", ", """",N2058,""", ","""",O2058,""""," ; ", A2058))</f>
        <v>albhed 23,  2, "루", "투", "라" ; 탓</v>
      </c>
    </row>
    <row r="2059" customFormat="false" ht="17.9" hidden="false" customHeight="true" outlineLevel="0" collapsed="false">
      <c r="A2059" s="16" t="s">
        <v>2909</v>
      </c>
      <c r="B2059" s="16" t="n">
        <f aca="false">IF(_xlfn.UNICODE(A2059)&lt;44032,-1,_xlfn.UNICODE(A2059)-44032)</f>
        <v>9428</v>
      </c>
      <c r="C2059" s="16" t="n">
        <f aca="false">IF(B2059=-1,-1,INT((B2059/28)/21))</f>
        <v>16</v>
      </c>
      <c r="D2059" s="16" t="n">
        <f aca="false">IF(B2059=-1, -1, MOD(INT(B2059/28),21))</f>
        <v>0</v>
      </c>
      <c r="E2059" s="16" t="n">
        <f aca="false">IF(B2059=-1, -1, VLOOKUP(MOD(B2059,28), $T$24:$U$52,2))</f>
        <v>19</v>
      </c>
      <c r="F2059" s="16" t="n">
        <f aca="false">IF($B2059=-1, -1, VLOOKUP(C2059,$T$1:$V$20, 2))</f>
        <v>5</v>
      </c>
      <c r="G2059" s="16" t="n">
        <f aca="false">IF($B2059=-1, -1, VLOOKUP(D2059,$Y$1:$Z$22,2))</f>
        <v>13</v>
      </c>
      <c r="H2059" s="16" t="str">
        <f aca="false">_xlfn.UNICHAR(((F2059*21)+G2059)*28+44032)</f>
        <v>루</v>
      </c>
      <c r="I2059" s="16" t="n">
        <f aca="false">IF(B2059=-1, 1, COUNTIF($A$2:$A$3000, H2059))</f>
        <v>1</v>
      </c>
      <c r="J2059" s="10" t="str">
        <f aca="false">_xlfn.CONCAT(A2059, ",",H2059,",",I2059)</f>
        <v>탔,루,1</v>
      </c>
      <c r="K2059" s="16" t="n">
        <f aca="false">IF(B2059=-1,-1,VLOOKUP(C2059,$T$1:$V$20,3))</f>
        <v>23</v>
      </c>
      <c r="L2059" s="16" t="n">
        <f aca="false">IF(B2059=-1,-1,VLOOKUP(D2059,$Y$1:$AA$22,3))</f>
        <v>2</v>
      </c>
      <c r="N2059" s="10" t="str">
        <f aca="false">_xlfn.UNICHAR(((C2059*21)+G2059)*28+44032)</f>
        <v>투</v>
      </c>
      <c r="O2059" s="10" t="str">
        <f aca="false">_xlfn.UNICHAR(((F2059*21)+D2059)*28+44032)</f>
        <v>라</v>
      </c>
      <c r="P2059" s="12" t="n">
        <f aca="false">COUNTIF($A$2:$A$3000, N2059) + COUNTIF($A$2:$A$3000, O2059)</f>
        <v>2</v>
      </c>
      <c r="Q2059" s="16" t="str">
        <f aca="false">IF(OR(B2059=-1,I2059=0, P2059&lt;&gt;2), "albhed_dummy", _xlfn.CONCAT("albhed ", RIGHT("  " &amp; K2059,2),", ", RIGHT("  " &amp; L2059,2), ", " ,"""",H2059,""", ", """",N2059,""", ","""",O2059,""""," ; ", A2059))</f>
        <v>albhed 23,  2, "루", "투", "라" ; 탔</v>
      </c>
    </row>
    <row r="2060" customFormat="false" ht="17.9" hidden="false" customHeight="true" outlineLevel="0" collapsed="false">
      <c r="A2060" s="16" t="s">
        <v>2910</v>
      </c>
      <c r="B2060" s="16" t="n">
        <f aca="false">IF(_xlfn.UNICODE(A2060)&lt;44032,-1,_xlfn.UNICODE(A2060)-44032)</f>
        <v>9429</v>
      </c>
      <c r="C2060" s="16" t="n">
        <f aca="false">IF(B2060=-1,-1,INT((B2060/28)/21))</f>
        <v>16</v>
      </c>
      <c r="D2060" s="16" t="n">
        <f aca="false">IF(B2060=-1, -1, MOD(INT(B2060/28),21))</f>
        <v>0</v>
      </c>
      <c r="E2060" s="16" t="n">
        <f aca="false">IF(B2060=-1, -1, VLOOKUP(MOD(B2060,28), $T$24:$U$52,2))</f>
        <v>21</v>
      </c>
      <c r="F2060" s="16" t="n">
        <f aca="false">IF($B2060=-1, -1, VLOOKUP(C2060,$T$1:$V$20, 2))</f>
        <v>5</v>
      </c>
      <c r="G2060" s="16" t="n">
        <f aca="false">IF($B2060=-1, -1, VLOOKUP(D2060,$Y$1:$Z$22,2))</f>
        <v>13</v>
      </c>
      <c r="H2060" s="16" t="str">
        <f aca="false">_xlfn.UNICHAR(((F2060*21)+G2060)*28+44032)</f>
        <v>루</v>
      </c>
      <c r="I2060" s="16" t="n">
        <f aca="false">IF(B2060=-1, 1, COUNTIF($A$2:$A$3000, H2060))</f>
        <v>1</v>
      </c>
      <c r="J2060" s="10" t="str">
        <f aca="false">_xlfn.CONCAT(A2060, ",",H2060,",",I2060)</f>
        <v>탕,루,1</v>
      </c>
      <c r="K2060" s="16" t="n">
        <f aca="false">IF(B2060=-1,-1,VLOOKUP(C2060,$T$1:$V$20,3))</f>
        <v>23</v>
      </c>
      <c r="L2060" s="16" t="n">
        <f aca="false">IF(B2060=-1,-1,VLOOKUP(D2060,$Y$1:$AA$22,3))</f>
        <v>2</v>
      </c>
      <c r="N2060" s="10" t="str">
        <f aca="false">_xlfn.UNICHAR(((C2060*21)+G2060)*28+44032)</f>
        <v>투</v>
      </c>
      <c r="O2060" s="10" t="str">
        <f aca="false">_xlfn.UNICHAR(((F2060*21)+D2060)*28+44032)</f>
        <v>라</v>
      </c>
      <c r="P2060" s="12" t="n">
        <f aca="false">COUNTIF($A$2:$A$3000, N2060) + COUNTIF($A$2:$A$3000, O2060)</f>
        <v>2</v>
      </c>
      <c r="Q2060" s="16" t="str">
        <f aca="false">IF(OR(B2060=-1,I2060=0, P2060&lt;&gt;2), "albhed_dummy", _xlfn.CONCAT("albhed ", RIGHT("  " &amp; K2060,2),", ", RIGHT("  " &amp; L2060,2), ", " ,"""",H2060,""", ", """",N2060,""", ","""",O2060,""""," ; ", A2060))</f>
        <v>albhed 23,  2, "루", "투", "라" ; 탕</v>
      </c>
    </row>
    <row r="2061" customFormat="false" ht="17.9" hidden="false" customHeight="true" outlineLevel="0" collapsed="false">
      <c r="A2061" s="16" t="s">
        <v>2911</v>
      </c>
      <c r="B2061" s="16" t="n">
        <f aca="false">IF(_xlfn.UNICODE(A2061)&lt;44032,-1,_xlfn.UNICODE(A2061)-44032)</f>
        <v>9436</v>
      </c>
      <c r="C2061" s="16" t="n">
        <f aca="false">IF(B2061=-1,-1,INT((B2061/28)/21))</f>
        <v>16</v>
      </c>
      <c r="D2061" s="16" t="n">
        <f aca="false">IF(B2061=-1, -1, MOD(INT(B2061/28),21))</f>
        <v>1</v>
      </c>
      <c r="E2061" s="16" t="n">
        <f aca="false">IF(B2061=-1, -1, VLOOKUP(MOD(B2061,28), $T$24:$U$52,2))</f>
        <v>0</v>
      </c>
      <c r="F2061" s="16" t="n">
        <f aca="false">IF($B2061=-1, -1, VLOOKUP(C2061,$T$1:$V$20, 2))</f>
        <v>5</v>
      </c>
      <c r="G2061" s="16" t="n">
        <f aca="false">IF($B2061=-1, -1, VLOOKUP(D2061,$Y$1:$Z$22,2))</f>
        <v>18</v>
      </c>
      <c r="H2061" s="16" t="str">
        <f aca="false">_xlfn.UNICHAR(((F2061*21)+G2061)*28+44032)</f>
        <v>르</v>
      </c>
      <c r="I2061" s="16" t="n">
        <f aca="false">IF(B2061=-1, 1, COUNTIF($A$2:$A$3000, H2061))</f>
        <v>1</v>
      </c>
      <c r="J2061" s="10" t="str">
        <f aca="false">_xlfn.CONCAT(A2061, ",",H2061,",",I2061)</f>
        <v>태,르,1</v>
      </c>
      <c r="K2061" s="16" t="n">
        <f aca="false">IF(B2061=-1,-1,VLOOKUP(C2061,$T$1:$V$20,3))</f>
        <v>23</v>
      </c>
      <c r="L2061" s="16" t="n">
        <f aca="false">IF(B2061=-1,-1,VLOOKUP(D2061,$Y$1:$AA$22,3))</f>
        <v>10</v>
      </c>
      <c r="N2061" s="10" t="str">
        <f aca="false">_xlfn.UNICHAR(((C2061*21)+G2061)*28+44032)</f>
        <v>트</v>
      </c>
      <c r="O2061" s="10" t="str">
        <f aca="false">_xlfn.UNICHAR(((F2061*21)+D2061)*28+44032)</f>
        <v>래</v>
      </c>
      <c r="P2061" s="12" t="n">
        <f aca="false">COUNTIF($A$2:$A$3000, N2061) + COUNTIF($A$2:$A$3000, O2061)</f>
        <v>2</v>
      </c>
      <c r="Q2061" s="16" t="str">
        <f aca="false">IF(OR(B2061=-1,I2061=0, P2061&lt;&gt;2), "albhed_dummy", _xlfn.CONCAT("albhed ", RIGHT("  " &amp; K2061,2),", ", RIGHT("  " &amp; L2061,2), ", " ,"""",H2061,""", ", """",N2061,""", ","""",O2061,""""," ; ", A2061))</f>
        <v>albhed 23, 10, "르", "트", "래" ; 태</v>
      </c>
    </row>
    <row r="2062" customFormat="false" ht="17.9" hidden="false" customHeight="true" outlineLevel="0" collapsed="false">
      <c r="A2062" s="16" t="s">
        <v>2912</v>
      </c>
      <c r="B2062" s="16" t="n">
        <f aca="false">IF(_xlfn.UNICODE(A2062)&lt;44032,-1,_xlfn.UNICODE(A2062)-44032)</f>
        <v>9437</v>
      </c>
      <c r="C2062" s="16" t="n">
        <f aca="false">IF(B2062=-1,-1,INT((B2062/28)/21))</f>
        <v>16</v>
      </c>
      <c r="D2062" s="16" t="n">
        <f aca="false">IF(B2062=-1, -1, MOD(INT(B2062/28),21))</f>
        <v>1</v>
      </c>
      <c r="E2062" s="16" t="n">
        <f aca="false">IF(B2062=-1, -1, VLOOKUP(MOD(B2062,28), $T$24:$U$52,2))</f>
        <v>1</v>
      </c>
      <c r="F2062" s="16" t="n">
        <f aca="false">IF($B2062=-1, -1, VLOOKUP(C2062,$T$1:$V$20, 2))</f>
        <v>5</v>
      </c>
      <c r="G2062" s="16" t="n">
        <f aca="false">IF($B2062=-1, -1, VLOOKUP(D2062,$Y$1:$Z$22,2))</f>
        <v>18</v>
      </c>
      <c r="H2062" s="16" t="str">
        <f aca="false">_xlfn.UNICHAR(((F2062*21)+G2062)*28+44032)</f>
        <v>르</v>
      </c>
      <c r="I2062" s="16" t="n">
        <f aca="false">IF(B2062=-1, 1, COUNTIF($A$2:$A$3000, H2062))</f>
        <v>1</v>
      </c>
      <c r="J2062" s="10" t="str">
        <f aca="false">_xlfn.CONCAT(A2062, ",",H2062,",",I2062)</f>
        <v>택,르,1</v>
      </c>
      <c r="K2062" s="16" t="n">
        <f aca="false">IF(B2062=-1,-1,VLOOKUP(C2062,$T$1:$V$20,3))</f>
        <v>23</v>
      </c>
      <c r="L2062" s="16" t="n">
        <f aca="false">IF(B2062=-1,-1,VLOOKUP(D2062,$Y$1:$AA$22,3))</f>
        <v>10</v>
      </c>
      <c r="N2062" s="10" t="str">
        <f aca="false">_xlfn.UNICHAR(((C2062*21)+G2062)*28+44032)</f>
        <v>트</v>
      </c>
      <c r="O2062" s="10" t="str">
        <f aca="false">_xlfn.UNICHAR(((F2062*21)+D2062)*28+44032)</f>
        <v>래</v>
      </c>
      <c r="P2062" s="12" t="n">
        <f aca="false">COUNTIF($A$2:$A$3000, N2062) + COUNTIF($A$2:$A$3000, O2062)</f>
        <v>2</v>
      </c>
      <c r="Q2062" s="16" t="str">
        <f aca="false">IF(OR(B2062=-1,I2062=0, P2062&lt;&gt;2), "albhed_dummy", _xlfn.CONCAT("albhed ", RIGHT("  " &amp; K2062,2),", ", RIGHT("  " &amp; L2062,2), ", " ,"""",H2062,""", ", """",N2062,""", ","""",O2062,""""," ; ", A2062))</f>
        <v>albhed 23, 10, "르", "트", "래" ; 택</v>
      </c>
    </row>
    <row r="2063" customFormat="false" ht="17.9" hidden="false" customHeight="true" outlineLevel="0" collapsed="false">
      <c r="A2063" s="16" t="s">
        <v>2913</v>
      </c>
      <c r="B2063" s="16" t="n">
        <f aca="false">IF(_xlfn.UNICODE(A2063)&lt;44032,-1,_xlfn.UNICODE(A2063)-44032)</f>
        <v>9440</v>
      </c>
      <c r="C2063" s="16" t="n">
        <f aca="false">IF(B2063=-1,-1,INT((B2063/28)/21))</f>
        <v>16</v>
      </c>
      <c r="D2063" s="16" t="n">
        <f aca="false">IF(B2063=-1, -1, MOD(INT(B2063/28),21))</f>
        <v>1</v>
      </c>
      <c r="E2063" s="16" t="n">
        <f aca="false">IF(B2063=-1, -1, VLOOKUP(MOD(B2063,28), $T$24:$U$52,2))</f>
        <v>4</v>
      </c>
      <c r="F2063" s="16" t="n">
        <f aca="false">IF($B2063=-1, -1, VLOOKUP(C2063,$T$1:$V$20, 2))</f>
        <v>5</v>
      </c>
      <c r="G2063" s="16" t="n">
        <f aca="false">IF($B2063=-1, -1, VLOOKUP(D2063,$Y$1:$Z$22,2))</f>
        <v>18</v>
      </c>
      <c r="H2063" s="16" t="str">
        <f aca="false">_xlfn.UNICHAR(((F2063*21)+G2063)*28+44032)</f>
        <v>르</v>
      </c>
      <c r="I2063" s="16" t="n">
        <f aca="false">IF(B2063=-1, 1, COUNTIF($A$2:$A$3000, H2063))</f>
        <v>1</v>
      </c>
      <c r="J2063" s="10" t="str">
        <f aca="false">_xlfn.CONCAT(A2063, ",",H2063,",",I2063)</f>
        <v>탠,르,1</v>
      </c>
      <c r="K2063" s="16" t="n">
        <f aca="false">IF(B2063=-1,-1,VLOOKUP(C2063,$T$1:$V$20,3))</f>
        <v>23</v>
      </c>
      <c r="L2063" s="16" t="n">
        <f aca="false">IF(B2063=-1,-1,VLOOKUP(D2063,$Y$1:$AA$22,3))</f>
        <v>10</v>
      </c>
      <c r="N2063" s="10" t="str">
        <f aca="false">_xlfn.UNICHAR(((C2063*21)+G2063)*28+44032)</f>
        <v>트</v>
      </c>
      <c r="O2063" s="10" t="str">
        <f aca="false">_xlfn.UNICHAR(((F2063*21)+D2063)*28+44032)</f>
        <v>래</v>
      </c>
      <c r="P2063" s="12" t="n">
        <f aca="false">COUNTIF($A$2:$A$3000, N2063) + COUNTIF($A$2:$A$3000, O2063)</f>
        <v>2</v>
      </c>
      <c r="Q2063" s="16" t="str">
        <f aca="false">IF(OR(B2063=-1,I2063=0, P2063&lt;&gt;2), "albhed_dummy", _xlfn.CONCAT("albhed ", RIGHT("  " &amp; K2063,2),", ", RIGHT("  " &amp; L2063,2), ", " ,"""",H2063,""", ", """",N2063,""", ","""",O2063,""""," ; ", A2063))</f>
        <v>albhed 23, 10, "르", "트", "래" ; 탠</v>
      </c>
    </row>
    <row r="2064" customFormat="false" ht="17.9" hidden="false" customHeight="true" outlineLevel="0" collapsed="false">
      <c r="A2064" s="16" t="s">
        <v>2914</v>
      </c>
      <c r="B2064" s="16" t="n">
        <f aca="false">IF(_xlfn.UNICODE(A2064)&lt;44032,-1,_xlfn.UNICODE(A2064)-44032)</f>
        <v>9444</v>
      </c>
      <c r="C2064" s="16" t="n">
        <f aca="false">IF(B2064=-1,-1,INT((B2064/28)/21))</f>
        <v>16</v>
      </c>
      <c r="D2064" s="16" t="n">
        <f aca="false">IF(B2064=-1, -1, MOD(INT(B2064/28),21))</f>
        <v>1</v>
      </c>
      <c r="E2064" s="16" t="n">
        <f aca="false">IF(B2064=-1, -1, VLOOKUP(MOD(B2064,28), $T$24:$U$52,2))</f>
        <v>8</v>
      </c>
      <c r="F2064" s="16" t="n">
        <f aca="false">IF($B2064=-1, -1, VLOOKUP(C2064,$T$1:$V$20, 2))</f>
        <v>5</v>
      </c>
      <c r="G2064" s="16" t="n">
        <f aca="false">IF($B2064=-1, -1, VLOOKUP(D2064,$Y$1:$Z$22,2))</f>
        <v>18</v>
      </c>
      <c r="H2064" s="16" t="str">
        <f aca="false">_xlfn.UNICHAR(((F2064*21)+G2064)*28+44032)</f>
        <v>르</v>
      </c>
      <c r="I2064" s="16" t="n">
        <f aca="false">IF(B2064=-1, 1, COUNTIF($A$2:$A$3000, H2064))</f>
        <v>1</v>
      </c>
      <c r="J2064" s="10" t="str">
        <f aca="false">_xlfn.CONCAT(A2064, ",",H2064,",",I2064)</f>
        <v>탤,르,1</v>
      </c>
      <c r="K2064" s="16" t="n">
        <f aca="false">IF(B2064=-1,-1,VLOOKUP(C2064,$T$1:$V$20,3))</f>
        <v>23</v>
      </c>
      <c r="L2064" s="16" t="n">
        <f aca="false">IF(B2064=-1,-1,VLOOKUP(D2064,$Y$1:$AA$22,3))</f>
        <v>10</v>
      </c>
      <c r="N2064" s="10" t="str">
        <f aca="false">_xlfn.UNICHAR(((C2064*21)+G2064)*28+44032)</f>
        <v>트</v>
      </c>
      <c r="O2064" s="10" t="str">
        <f aca="false">_xlfn.UNICHAR(((F2064*21)+D2064)*28+44032)</f>
        <v>래</v>
      </c>
      <c r="P2064" s="12" t="n">
        <f aca="false">COUNTIF($A$2:$A$3000, N2064) + COUNTIF($A$2:$A$3000, O2064)</f>
        <v>2</v>
      </c>
      <c r="Q2064" s="16" t="str">
        <f aca="false">IF(OR(B2064=-1,I2064=0, P2064&lt;&gt;2), "albhed_dummy", _xlfn.CONCAT("albhed ", RIGHT("  " &amp; K2064,2),", ", RIGHT("  " &amp; L2064,2), ", " ,"""",H2064,""", ", """",N2064,""", ","""",O2064,""""," ; ", A2064))</f>
        <v>albhed 23, 10, "르", "트", "래" ; 탤</v>
      </c>
    </row>
    <row r="2065" customFormat="false" ht="17.9" hidden="false" customHeight="true" outlineLevel="0" collapsed="false">
      <c r="A2065" s="16" t="s">
        <v>2915</v>
      </c>
      <c r="B2065" s="16" t="n">
        <f aca="false">IF(_xlfn.UNICODE(A2065)&lt;44032,-1,_xlfn.UNICODE(A2065)-44032)</f>
        <v>9452</v>
      </c>
      <c r="C2065" s="16" t="n">
        <f aca="false">IF(B2065=-1,-1,INT((B2065/28)/21))</f>
        <v>16</v>
      </c>
      <c r="D2065" s="16" t="n">
        <f aca="false">IF(B2065=-1, -1, MOD(INT(B2065/28),21))</f>
        <v>1</v>
      </c>
      <c r="E2065" s="16" t="n">
        <f aca="false">IF(B2065=-1, -1, VLOOKUP(MOD(B2065,28), $T$24:$U$52,2))</f>
        <v>16</v>
      </c>
      <c r="F2065" s="16" t="n">
        <f aca="false">IF($B2065=-1, -1, VLOOKUP(C2065,$T$1:$V$20, 2))</f>
        <v>5</v>
      </c>
      <c r="G2065" s="16" t="n">
        <f aca="false">IF($B2065=-1, -1, VLOOKUP(D2065,$Y$1:$Z$22,2))</f>
        <v>18</v>
      </c>
      <c r="H2065" s="16" t="str">
        <f aca="false">_xlfn.UNICHAR(((F2065*21)+G2065)*28+44032)</f>
        <v>르</v>
      </c>
      <c r="I2065" s="16" t="n">
        <f aca="false">IF(B2065=-1, 1, COUNTIF($A$2:$A$3000, H2065))</f>
        <v>1</v>
      </c>
      <c r="J2065" s="10" t="str">
        <f aca="false">_xlfn.CONCAT(A2065, ",",H2065,",",I2065)</f>
        <v>탬,르,1</v>
      </c>
      <c r="K2065" s="16" t="n">
        <f aca="false">IF(B2065=-1,-1,VLOOKUP(C2065,$T$1:$V$20,3))</f>
        <v>23</v>
      </c>
      <c r="L2065" s="16" t="n">
        <f aca="false">IF(B2065=-1,-1,VLOOKUP(D2065,$Y$1:$AA$22,3))</f>
        <v>10</v>
      </c>
      <c r="N2065" s="10" t="str">
        <f aca="false">_xlfn.UNICHAR(((C2065*21)+G2065)*28+44032)</f>
        <v>트</v>
      </c>
      <c r="O2065" s="10" t="str">
        <f aca="false">_xlfn.UNICHAR(((F2065*21)+D2065)*28+44032)</f>
        <v>래</v>
      </c>
      <c r="P2065" s="12" t="n">
        <f aca="false">COUNTIF($A$2:$A$3000, N2065) + COUNTIF($A$2:$A$3000, O2065)</f>
        <v>2</v>
      </c>
      <c r="Q2065" s="16" t="str">
        <f aca="false">IF(OR(B2065=-1,I2065=0, P2065&lt;&gt;2), "albhed_dummy", _xlfn.CONCAT("albhed ", RIGHT("  " &amp; K2065,2),", ", RIGHT("  " &amp; L2065,2), ", " ,"""",H2065,""", ", """",N2065,""", ","""",O2065,""""," ; ", A2065))</f>
        <v>albhed 23, 10, "르", "트", "래" ; 탬</v>
      </c>
    </row>
    <row r="2066" customFormat="false" ht="17.9" hidden="false" customHeight="true" outlineLevel="0" collapsed="false">
      <c r="A2066" s="16" t="s">
        <v>2916</v>
      </c>
      <c r="B2066" s="16" t="n">
        <f aca="false">IF(_xlfn.UNICODE(A2066)&lt;44032,-1,_xlfn.UNICODE(A2066)-44032)</f>
        <v>9453</v>
      </c>
      <c r="C2066" s="16" t="n">
        <f aca="false">IF(B2066=-1,-1,INT((B2066/28)/21))</f>
        <v>16</v>
      </c>
      <c r="D2066" s="16" t="n">
        <f aca="false">IF(B2066=-1, -1, MOD(INT(B2066/28),21))</f>
        <v>1</v>
      </c>
      <c r="E2066" s="16" t="n">
        <f aca="false">IF(B2066=-1, -1, VLOOKUP(MOD(B2066,28), $T$24:$U$52,2))</f>
        <v>17</v>
      </c>
      <c r="F2066" s="16" t="n">
        <f aca="false">IF($B2066=-1, -1, VLOOKUP(C2066,$T$1:$V$20, 2))</f>
        <v>5</v>
      </c>
      <c r="G2066" s="16" t="n">
        <f aca="false">IF($B2066=-1, -1, VLOOKUP(D2066,$Y$1:$Z$22,2))</f>
        <v>18</v>
      </c>
      <c r="H2066" s="16" t="str">
        <f aca="false">_xlfn.UNICHAR(((F2066*21)+G2066)*28+44032)</f>
        <v>르</v>
      </c>
      <c r="I2066" s="16" t="n">
        <f aca="false">IF(B2066=-1, 1, COUNTIF($A$2:$A$3000, H2066))</f>
        <v>1</v>
      </c>
      <c r="J2066" s="10" t="str">
        <f aca="false">_xlfn.CONCAT(A2066, ",",H2066,",",I2066)</f>
        <v>탭,르,1</v>
      </c>
      <c r="K2066" s="16" t="n">
        <f aca="false">IF(B2066=-1,-1,VLOOKUP(C2066,$T$1:$V$20,3))</f>
        <v>23</v>
      </c>
      <c r="L2066" s="16" t="n">
        <f aca="false">IF(B2066=-1,-1,VLOOKUP(D2066,$Y$1:$AA$22,3))</f>
        <v>10</v>
      </c>
      <c r="N2066" s="10" t="str">
        <f aca="false">_xlfn.UNICHAR(((C2066*21)+G2066)*28+44032)</f>
        <v>트</v>
      </c>
      <c r="O2066" s="10" t="str">
        <f aca="false">_xlfn.UNICHAR(((F2066*21)+D2066)*28+44032)</f>
        <v>래</v>
      </c>
      <c r="P2066" s="12" t="n">
        <f aca="false">COUNTIF($A$2:$A$3000, N2066) + COUNTIF($A$2:$A$3000, O2066)</f>
        <v>2</v>
      </c>
      <c r="Q2066" s="16" t="str">
        <f aca="false">IF(OR(B2066=-1,I2066=0, P2066&lt;&gt;2), "albhed_dummy", _xlfn.CONCAT("albhed ", RIGHT("  " &amp; K2066,2),", ", RIGHT("  " &amp; L2066,2), ", " ,"""",H2066,""", ", """",N2066,""", ","""",O2066,""""," ; ", A2066))</f>
        <v>albhed 23, 10, "르", "트", "래" ; 탭</v>
      </c>
    </row>
    <row r="2067" customFormat="false" ht="17.9" hidden="false" customHeight="true" outlineLevel="0" collapsed="false">
      <c r="A2067" s="16" t="s">
        <v>2917</v>
      </c>
      <c r="B2067" s="16" t="n">
        <f aca="false">IF(_xlfn.UNICODE(A2067)&lt;44032,-1,_xlfn.UNICODE(A2067)-44032)</f>
        <v>9455</v>
      </c>
      <c r="C2067" s="16" t="n">
        <f aca="false">IF(B2067=-1,-1,INT((B2067/28)/21))</f>
        <v>16</v>
      </c>
      <c r="D2067" s="16" t="n">
        <f aca="false">IF(B2067=-1, -1, MOD(INT(B2067/28),21))</f>
        <v>1</v>
      </c>
      <c r="E2067" s="16" t="n">
        <f aca="false">IF(B2067=-1, -1, VLOOKUP(MOD(B2067,28), $T$24:$U$52,2))</f>
        <v>19</v>
      </c>
      <c r="F2067" s="16" t="n">
        <f aca="false">IF($B2067=-1, -1, VLOOKUP(C2067,$T$1:$V$20, 2))</f>
        <v>5</v>
      </c>
      <c r="G2067" s="16" t="n">
        <f aca="false">IF($B2067=-1, -1, VLOOKUP(D2067,$Y$1:$Z$22,2))</f>
        <v>18</v>
      </c>
      <c r="H2067" s="16" t="str">
        <f aca="false">_xlfn.UNICHAR(((F2067*21)+G2067)*28+44032)</f>
        <v>르</v>
      </c>
      <c r="I2067" s="16" t="n">
        <f aca="false">IF(B2067=-1, 1, COUNTIF($A$2:$A$3000, H2067))</f>
        <v>1</v>
      </c>
      <c r="J2067" s="10" t="str">
        <f aca="false">_xlfn.CONCAT(A2067, ",",H2067,",",I2067)</f>
        <v>탯,르,1</v>
      </c>
      <c r="K2067" s="16" t="n">
        <f aca="false">IF(B2067=-1,-1,VLOOKUP(C2067,$T$1:$V$20,3))</f>
        <v>23</v>
      </c>
      <c r="L2067" s="16" t="n">
        <f aca="false">IF(B2067=-1,-1,VLOOKUP(D2067,$Y$1:$AA$22,3))</f>
        <v>10</v>
      </c>
      <c r="N2067" s="10" t="str">
        <f aca="false">_xlfn.UNICHAR(((C2067*21)+G2067)*28+44032)</f>
        <v>트</v>
      </c>
      <c r="O2067" s="10" t="str">
        <f aca="false">_xlfn.UNICHAR(((F2067*21)+D2067)*28+44032)</f>
        <v>래</v>
      </c>
      <c r="P2067" s="12" t="n">
        <f aca="false">COUNTIF($A$2:$A$3000, N2067) + COUNTIF($A$2:$A$3000, O2067)</f>
        <v>2</v>
      </c>
      <c r="Q2067" s="16" t="str">
        <f aca="false">IF(OR(B2067=-1,I2067=0, P2067&lt;&gt;2), "albhed_dummy", _xlfn.CONCAT("albhed ", RIGHT("  " &amp; K2067,2),", ", RIGHT("  " &amp; L2067,2), ", " ,"""",H2067,""", ", """",N2067,""", ","""",O2067,""""," ; ", A2067))</f>
        <v>albhed 23, 10, "르", "트", "래" ; 탯</v>
      </c>
    </row>
    <row r="2068" customFormat="false" ht="17.9" hidden="false" customHeight="true" outlineLevel="0" collapsed="false">
      <c r="A2068" s="16" t="s">
        <v>2918</v>
      </c>
      <c r="B2068" s="16" t="n">
        <f aca="false">IF(_xlfn.UNICODE(A2068)&lt;44032,-1,_xlfn.UNICODE(A2068)-44032)</f>
        <v>9456</v>
      </c>
      <c r="C2068" s="16" t="n">
        <f aca="false">IF(B2068=-1,-1,INT((B2068/28)/21))</f>
        <v>16</v>
      </c>
      <c r="D2068" s="16" t="n">
        <f aca="false">IF(B2068=-1, -1, MOD(INT(B2068/28),21))</f>
        <v>1</v>
      </c>
      <c r="E2068" s="16" t="n">
        <f aca="false">IF(B2068=-1, -1, VLOOKUP(MOD(B2068,28), $T$24:$U$52,2))</f>
        <v>19</v>
      </c>
      <c r="F2068" s="16" t="n">
        <f aca="false">IF($B2068=-1, -1, VLOOKUP(C2068,$T$1:$V$20, 2))</f>
        <v>5</v>
      </c>
      <c r="G2068" s="16" t="n">
        <f aca="false">IF($B2068=-1, -1, VLOOKUP(D2068,$Y$1:$Z$22,2))</f>
        <v>18</v>
      </c>
      <c r="H2068" s="16" t="str">
        <f aca="false">_xlfn.UNICHAR(((F2068*21)+G2068)*28+44032)</f>
        <v>르</v>
      </c>
      <c r="I2068" s="16" t="n">
        <f aca="false">IF(B2068=-1, 1, COUNTIF($A$2:$A$3000, H2068))</f>
        <v>1</v>
      </c>
      <c r="J2068" s="10" t="str">
        <f aca="false">_xlfn.CONCAT(A2068, ",",H2068,",",I2068)</f>
        <v>탰,르,1</v>
      </c>
      <c r="K2068" s="16" t="n">
        <f aca="false">IF(B2068=-1,-1,VLOOKUP(C2068,$T$1:$V$20,3))</f>
        <v>23</v>
      </c>
      <c r="L2068" s="16" t="n">
        <f aca="false">IF(B2068=-1,-1,VLOOKUP(D2068,$Y$1:$AA$22,3))</f>
        <v>10</v>
      </c>
      <c r="N2068" s="10" t="str">
        <f aca="false">_xlfn.UNICHAR(((C2068*21)+G2068)*28+44032)</f>
        <v>트</v>
      </c>
      <c r="O2068" s="10" t="str">
        <f aca="false">_xlfn.UNICHAR(((F2068*21)+D2068)*28+44032)</f>
        <v>래</v>
      </c>
      <c r="P2068" s="12" t="n">
        <f aca="false">COUNTIF($A$2:$A$3000, N2068) + COUNTIF($A$2:$A$3000, O2068)</f>
        <v>2</v>
      </c>
      <c r="Q2068" s="16" t="str">
        <f aca="false">IF(OR(B2068=-1,I2068=0, P2068&lt;&gt;2), "albhed_dummy", _xlfn.CONCAT("albhed ", RIGHT("  " &amp; K2068,2),", ", RIGHT("  " &amp; L2068,2), ", " ,"""",H2068,""", ", """",N2068,""", ","""",O2068,""""," ; ", A2068))</f>
        <v>albhed 23, 10, "르", "트", "래" ; 탰</v>
      </c>
    </row>
    <row r="2069" customFormat="false" ht="17.9" hidden="false" customHeight="true" outlineLevel="0" collapsed="false">
      <c r="A2069" s="16" t="s">
        <v>2919</v>
      </c>
      <c r="B2069" s="16" t="n">
        <f aca="false">IF(_xlfn.UNICODE(A2069)&lt;44032,-1,_xlfn.UNICODE(A2069)-44032)</f>
        <v>9457</v>
      </c>
      <c r="C2069" s="16" t="n">
        <f aca="false">IF(B2069=-1,-1,INT((B2069/28)/21))</f>
        <v>16</v>
      </c>
      <c r="D2069" s="16" t="n">
        <f aca="false">IF(B2069=-1, -1, MOD(INT(B2069/28),21))</f>
        <v>1</v>
      </c>
      <c r="E2069" s="16" t="n">
        <f aca="false">IF(B2069=-1, -1, VLOOKUP(MOD(B2069,28), $T$24:$U$52,2))</f>
        <v>21</v>
      </c>
      <c r="F2069" s="16" t="n">
        <f aca="false">IF($B2069=-1, -1, VLOOKUP(C2069,$T$1:$V$20, 2))</f>
        <v>5</v>
      </c>
      <c r="G2069" s="16" t="n">
        <f aca="false">IF($B2069=-1, -1, VLOOKUP(D2069,$Y$1:$Z$22,2))</f>
        <v>18</v>
      </c>
      <c r="H2069" s="16" t="str">
        <f aca="false">_xlfn.UNICHAR(((F2069*21)+G2069)*28+44032)</f>
        <v>르</v>
      </c>
      <c r="I2069" s="16" t="n">
        <f aca="false">IF(B2069=-1, 1, COUNTIF($A$2:$A$3000, H2069))</f>
        <v>1</v>
      </c>
      <c r="J2069" s="10" t="str">
        <f aca="false">_xlfn.CONCAT(A2069, ",",H2069,",",I2069)</f>
        <v>탱,르,1</v>
      </c>
      <c r="K2069" s="16" t="n">
        <f aca="false">IF(B2069=-1,-1,VLOOKUP(C2069,$T$1:$V$20,3))</f>
        <v>23</v>
      </c>
      <c r="L2069" s="16" t="n">
        <f aca="false">IF(B2069=-1,-1,VLOOKUP(D2069,$Y$1:$AA$22,3))</f>
        <v>10</v>
      </c>
      <c r="N2069" s="10" t="str">
        <f aca="false">_xlfn.UNICHAR(((C2069*21)+G2069)*28+44032)</f>
        <v>트</v>
      </c>
      <c r="O2069" s="10" t="str">
        <f aca="false">_xlfn.UNICHAR(((F2069*21)+D2069)*28+44032)</f>
        <v>래</v>
      </c>
      <c r="P2069" s="12" t="n">
        <f aca="false">COUNTIF($A$2:$A$3000, N2069) + COUNTIF($A$2:$A$3000, O2069)</f>
        <v>2</v>
      </c>
      <c r="Q2069" s="16" t="str">
        <f aca="false">IF(OR(B2069=-1,I2069=0, P2069&lt;&gt;2), "albhed_dummy", _xlfn.CONCAT("albhed ", RIGHT("  " &amp; K2069,2),", ", RIGHT("  " &amp; L2069,2), ", " ,"""",H2069,""", ", """",N2069,""", ","""",O2069,""""," ; ", A2069))</f>
        <v>albhed 23, 10, "르", "트", "래" ; 탱</v>
      </c>
    </row>
    <row r="2070" customFormat="false" ht="17.9" hidden="false" customHeight="true" outlineLevel="0" collapsed="false">
      <c r="A2070" s="16" t="s">
        <v>2920</v>
      </c>
      <c r="B2070" s="16" t="n">
        <f aca="false">IF(_xlfn.UNICODE(A2070)&lt;44032,-1,_xlfn.UNICODE(A2070)-44032)</f>
        <v>9464</v>
      </c>
      <c r="C2070" s="16" t="n">
        <f aca="false">IF(B2070=-1,-1,INT((B2070/28)/21))</f>
        <v>16</v>
      </c>
      <c r="D2070" s="16" t="n">
        <f aca="false">IF(B2070=-1, -1, MOD(INT(B2070/28),21))</f>
        <v>2</v>
      </c>
      <c r="E2070" s="16" t="n">
        <f aca="false">IF(B2070=-1, -1, VLOOKUP(MOD(B2070,28), $T$24:$U$52,2))</f>
        <v>0</v>
      </c>
      <c r="F2070" s="16" t="n">
        <f aca="false">IF($B2070=-1, -1, VLOOKUP(C2070,$T$1:$V$20, 2))</f>
        <v>5</v>
      </c>
      <c r="G2070" s="16" t="n">
        <f aca="false">IF($B2070=-1, -1, VLOOKUP(D2070,$Y$1:$Z$22,2))</f>
        <v>17</v>
      </c>
      <c r="H2070" s="16" t="str">
        <f aca="false">_xlfn.UNICHAR(((F2070*21)+G2070)*28+44032)</f>
        <v>류</v>
      </c>
      <c r="I2070" s="16" t="n">
        <f aca="false">IF(B2070=-1, 1, COUNTIF($A$2:$A$3000, H2070))</f>
        <v>1</v>
      </c>
      <c r="J2070" s="10" t="str">
        <f aca="false">_xlfn.CONCAT(A2070, ",",H2070,",",I2070)</f>
        <v>탸,류,1</v>
      </c>
      <c r="K2070" s="16" t="n">
        <f aca="false">IF(B2070=-1,-1,VLOOKUP(C2070,$T$1:$V$20,3))</f>
        <v>23</v>
      </c>
      <c r="L2070" s="16" t="n">
        <f aca="false">IF(B2070=-1,-1,VLOOKUP(D2070,$Y$1:$AA$22,3))</f>
        <v>2</v>
      </c>
      <c r="N2070" s="10" t="str">
        <f aca="false">_xlfn.UNICHAR(((C2070*21)+G2070)*28+44032)</f>
        <v>튜</v>
      </c>
      <c r="O2070" s="10" t="str">
        <f aca="false">_xlfn.UNICHAR(((F2070*21)+D2070)*28+44032)</f>
        <v>랴</v>
      </c>
      <c r="P2070" s="12" t="n">
        <f aca="false">COUNTIF($A$2:$A$3000, N2070) + COUNTIF($A$2:$A$3000, O2070)</f>
        <v>2</v>
      </c>
      <c r="Q2070" s="16" t="str">
        <f aca="false">IF(OR(B2070=-1,I2070=0, P2070&lt;&gt;2), "albhed_dummy", _xlfn.CONCAT("albhed ", RIGHT("  " &amp; K2070,2),", ", RIGHT("  " &amp; L2070,2), ", " ,"""",H2070,""", ", """",N2070,""", ","""",O2070,""""," ; ", A2070))</f>
        <v>albhed 23,  2, "류", "튜", "랴" ; 탸</v>
      </c>
    </row>
    <row r="2071" customFormat="false" ht="17.9" hidden="false" customHeight="true" outlineLevel="0" collapsed="false">
      <c r="A2071" s="16" t="s">
        <v>2921</v>
      </c>
      <c r="B2071" s="16" t="n">
        <f aca="false">IF(_xlfn.UNICODE(A2071)&lt;44032,-1,_xlfn.UNICODE(A2071)-44032)</f>
        <v>9485</v>
      </c>
      <c r="C2071" s="16" t="n">
        <f aca="false">IF(B2071=-1,-1,INT((B2071/28)/21))</f>
        <v>16</v>
      </c>
      <c r="D2071" s="16" t="n">
        <f aca="false">IF(B2071=-1, -1, MOD(INT(B2071/28),21))</f>
        <v>2</v>
      </c>
      <c r="E2071" s="16" t="n">
        <f aca="false">IF(B2071=-1, -1, VLOOKUP(MOD(B2071,28), $T$24:$U$52,2))</f>
        <v>21</v>
      </c>
      <c r="F2071" s="16" t="n">
        <f aca="false">IF($B2071=-1, -1, VLOOKUP(C2071,$T$1:$V$20, 2))</f>
        <v>5</v>
      </c>
      <c r="G2071" s="16" t="n">
        <f aca="false">IF($B2071=-1, -1, VLOOKUP(D2071,$Y$1:$Z$22,2))</f>
        <v>17</v>
      </c>
      <c r="H2071" s="16" t="str">
        <f aca="false">_xlfn.UNICHAR(((F2071*21)+G2071)*28+44032)</f>
        <v>류</v>
      </c>
      <c r="I2071" s="16" t="n">
        <f aca="false">IF(B2071=-1, 1, COUNTIF($A$2:$A$3000, H2071))</f>
        <v>1</v>
      </c>
      <c r="J2071" s="10" t="str">
        <f aca="false">_xlfn.CONCAT(A2071, ",",H2071,",",I2071)</f>
        <v>턍,류,1</v>
      </c>
      <c r="K2071" s="16" t="n">
        <f aca="false">IF(B2071=-1,-1,VLOOKUP(C2071,$T$1:$V$20,3))</f>
        <v>23</v>
      </c>
      <c r="L2071" s="16" t="n">
        <f aca="false">IF(B2071=-1,-1,VLOOKUP(D2071,$Y$1:$AA$22,3))</f>
        <v>2</v>
      </c>
      <c r="N2071" s="10" t="str">
        <f aca="false">_xlfn.UNICHAR(((C2071*21)+G2071)*28+44032)</f>
        <v>튜</v>
      </c>
      <c r="O2071" s="10" t="str">
        <f aca="false">_xlfn.UNICHAR(((F2071*21)+D2071)*28+44032)</f>
        <v>랴</v>
      </c>
      <c r="P2071" s="12" t="n">
        <f aca="false">COUNTIF($A$2:$A$3000, N2071) + COUNTIF($A$2:$A$3000, O2071)</f>
        <v>2</v>
      </c>
      <c r="Q2071" s="16" t="str">
        <f aca="false">IF(OR(B2071=-1,I2071=0, P2071&lt;&gt;2), "albhed_dummy", _xlfn.CONCAT("albhed ", RIGHT("  " &amp; K2071,2),", ", RIGHT("  " &amp; L2071,2), ", " ,"""",H2071,""", ", """",N2071,""", ","""",O2071,""""," ; ", A2071))</f>
        <v>albhed 23,  2, "류", "튜", "랴" ; 턍</v>
      </c>
    </row>
    <row r="2072" customFormat="false" ht="17.9" hidden="false" customHeight="true" outlineLevel="0" collapsed="false">
      <c r="A2072" s="16" t="s">
        <v>790</v>
      </c>
      <c r="B2072" s="16" t="n">
        <f aca="false">IF(_xlfn.UNICODE(A2072)&lt;44032,-1,_xlfn.UNICODE(A2072)-44032)</f>
        <v>9520</v>
      </c>
      <c r="C2072" s="16" t="n">
        <f aca="false">IF(B2072=-1,-1,INT((B2072/28)/21))</f>
        <v>16</v>
      </c>
      <c r="D2072" s="16" t="n">
        <f aca="false">IF(B2072=-1, -1, MOD(INT(B2072/28),21))</f>
        <v>4</v>
      </c>
      <c r="E2072" s="16" t="n">
        <f aca="false">IF(B2072=-1, -1, VLOOKUP(MOD(B2072,28), $T$24:$U$52,2))</f>
        <v>0</v>
      </c>
      <c r="F2072" s="16" t="n">
        <f aca="false">IF($B2072=-1, -1, VLOOKUP(C2072,$T$1:$V$20, 2))</f>
        <v>5</v>
      </c>
      <c r="G2072" s="16" t="n">
        <f aca="false">IF($B2072=-1, -1, VLOOKUP(D2072,$Y$1:$Z$22,2))</f>
        <v>8</v>
      </c>
      <c r="H2072" s="16" t="str">
        <f aca="false">_xlfn.UNICHAR(((F2072*21)+G2072)*28+44032)</f>
        <v>로</v>
      </c>
      <c r="I2072" s="16" t="n">
        <f aca="false">IF(B2072=-1, 1, COUNTIF($A$2:$A$3000, H2072))</f>
        <v>1</v>
      </c>
      <c r="J2072" s="10" t="str">
        <f aca="false">_xlfn.CONCAT(A2072, ",",H2072,",",I2072)</f>
        <v>터,로,1</v>
      </c>
      <c r="K2072" s="16" t="n">
        <f aca="false">IF(B2072=-1,-1,VLOOKUP(C2072,$T$1:$V$20,3))</f>
        <v>23</v>
      </c>
      <c r="L2072" s="16" t="n">
        <f aca="false">IF(B2072=-1,-1,VLOOKUP(D2072,$Y$1:$AA$22,3))</f>
        <v>4</v>
      </c>
      <c r="N2072" s="10" t="str">
        <f aca="false">_xlfn.UNICHAR(((C2072*21)+G2072)*28+44032)</f>
        <v>토</v>
      </c>
      <c r="O2072" s="10" t="str">
        <f aca="false">_xlfn.UNICHAR(((F2072*21)+D2072)*28+44032)</f>
        <v>러</v>
      </c>
      <c r="P2072" s="12" t="n">
        <f aca="false">COUNTIF($A$2:$A$3000, N2072) + COUNTIF($A$2:$A$3000, O2072)</f>
        <v>2</v>
      </c>
      <c r="Q2072" s="16" t="str">
        <f aca="false">IF(OR(B2072=-1,I2072=0, P2072&lt;&gt;2), "albhed_dummy", _xlfn.CONCAT("albhed ", RIGHT("  " &amp; K2072,2),", ", RIGHT("  " &amp; L2072,2), ", " ,"""",H2072,""", ", """",N2072,""", ","""",O2072,""""," ; ", A2072))</f>
        <v>albhed 23,  4, "로", "토", "러" ; 터</v>
      </c>
    </row>
    <row r="2073" customFormat="false" ht="17.9" hidden="false" customHeight="true" outlineLevel="0" collapsed="false">
      <c r="A2073" s="16" t="s">
        <v>2922</v>
      </c>
      <c r="B2073" s="16" t="n">
        <f aca="false">IF(_xlfn.UNICODE(A2073)&lt;44032,-1,_xlfn.UNICODE(A2073)-44032)</f>
        <v>9521</v>
      </c>
      <c r="C2073" s="16" t="n">
        <f aca="false">IF(B2073=-1,-1,INT((B2073/28)/21))</f>
        <v>16</v>
      </c>
      <c r="D2073" s="16" t="n">
        <f aca="false">IF(B2073=-1, -1, MOD(INT(B2073/28),21))</f>
        <v>4</v>
      </c>
      <c r="E2073" s="16" t="n">
        <f aca="false">IF(B2073=-1, -1, VLOOKUP(MOD(B2073,28), $T$24:$U$52,2))</f>
        <v>1</v>
      </c>
      <c r="F2073" s="16" t="n">
        <f aca="false">IF($B2073=-1, -1, VLOOKUP(C2073,$T$1:$V$20, 2))</f>
        <v>5</v>
      </c>
      <c r="G2073" s="16" t="n">
        <f aca="false">IF($B2073=-1, -1, VLOOKUP(D2073,$Y$1:$Z$22,2))</f>
        <v>8</v>
      </c>
      <c r="H2073" s="16" t="str">
        <f aca="false">_xlfn.UNICHAR(((F2073*21)+G2073)*28+44032)</f>
        <v>로</v>
      </c>
      <c r="I2073" s="16" t="n">
        <f aca="false">IF(B2073=-1, 1, COUNTIF($A$2:$A$3000, H2073))</f>
        <v>1</v>
      </c>
      <c r="J2073" s="10" t="str">
        <f aca="false">_xlfn.CONCAT(A2073, ",",H2073,",",I2073)</f>
        <v>턱,로,1</v>
      </c>
      <c r="K2073" s="16" t="n">
        <f aca="false">IF(B2073=-1,-1,VLOOKUP(C2073,$T$1:$V$20,3))</f>
        <v>23</v>
      </c>
      <c r="L2073" s="16" t="n">
        <f aca="false">IF(B2073=-1,-1,VLOOKUP(D2073,$Y$1:$AA$22,3))</f>
        <v>4</v>
      </c>
      <c r="N2073" s="10" t="str">
        <f aca="false">_xlfn.UNICHAR(((C2073*21)+G2073)*28+44032)</f>
        <v>토</v>
      </c>
      <c r="O2073" s="10" t="str">
        <f aca="false">_xlfn.UNICHAR(((F2073*21)+D2073)*28+44032)</f>
        <v>러</v>
      </c>
      <c r="P2073" s="12" t="n">
        <f aca="false">COUNTIF($A$2:$A$3000, N2073) + COUNTIF($A$2:$A$3000, O2073)</f>
        <v>2</v>
      </c>
      <c r="Q2073" s="16" t="str">
        <f aca="false">IF(OR(B2073=-1,I2073=0, P2073&lt;&gt;2), "albhed_dummy", _xlfn.CONCAT("albhed ", RIGHT("  " &amp; K2073,2),", ", RIGHT("  " &amp; L2073,2), ", " ,"""",H2073,""", ", """",N2073,""", ","""",O2073,""""," ; ", A2073))</f>
        <v>albhed 23,  4, "로", "토", "러" ; 턱</v>
      </c>
    </row>
    <row r="2074" customFormat="false" ht="17.9" hidden="false" customHeight="true" outlineLevel="0" collapsed="false">
      <c r="A2074" s="16" t="s">
        <v>2923</v>
      </c>
      <c r="B2074" s="16" t="n">
        <f aca="false">IF(_xlfn.UNICODE(A2074)&lt;44032,-1,_xlfn.UNICODE(A2074)-44032)</f>
        <v>9524</v>
      </c>
      <c r="C2074" s="16" t="n">
        <f aca="false">IF(B2074=-1,-1,INT((B2074/28)/21))</f>
        <v>16</v>
      </c>
      <c r="D2074" s="16" t="n">
        <f aca="false">IF(B2074=-1, -1, MOD(INT(B2074/28),21))</f>
        <v>4</v>
      </c>
      <c r="E2074" s="16" t="n">
        <f aca="false">IF(B2074=-1, -1, VLOOKUP(MOD(B2074,28), $T$24:$U$52,2))</f>
        <v>4</v>
      </c>
      <c r="F2074" s="16" t="n">
        <f aca="false">IF($B2074=-1, -1, VLOOKUP(C2074,$T$1:$V$20, 2))</f>
        <v>5</v>
      </c>
      <c r="G2074" s="16" t="n">
        <f aca="false">IF($B2074=-1, -1, VLOOKUP(D2074,$Y$1:$Z$22,2))</f>
        <v>8</v>
      </c>
      <c r="H2074" s="16" t="str">
        <f aca="false">_xlfn.UNICHAR(((F2074*21)+G2074)*28+44032)</f>
        <v>로</v>
      </c>
      <c r="I2074" s="16" t="n">
        <f aca="false">IF(B2074=-1, 1, COUNTIF($A$2:$A$3000, H2074))</f>
        <v>1</v>
      </c>
      <c r="J2074" s="10" t="str">
        <f aca="false">_xlfn.CONCAT(A2074, ",",H2074,",",I2074)</f>
        <v>턴,로,1</v>
      </c>
      <c r="K2074" s="16" t="n">
        <f aca="false">IF(B2074=-1,-1,VLOOKUP(C2074,$T$1:$V$20,3))</f>
        <v>23</v>
      </c>
      <c r="L2074" s="16" t="n">
        <f aca="false">IF(B2074=-1,-1,VLOOKUP(D2074,$Y$1:$AA$22,3))</f>
        <v>4</v>
      </c>
      <c r="N2074" s="10" t="str">
        <f aca="false">_xlfn.UNICHAR(((C2074*21)+G2074)*28+44032)</f>
        <v>토</v>
      </c>
      <c r="O2074" s="10" t="str">
        <f aca="false">_xlfn.UNICHAR(((F2074*21)+D2074)*28+44032)</f>
        <v>러</v>
      </c>
      <c r="P2074" s="12" t="n">
        <f aca="false">COUNTIF($A$2:$A$3000, N2074) + COUNTIF($A$2:$A$3000, O2074)</f>
        <v>2</v>
      </c>
      <c r="Q2074" s="16" t="str">
        <f aca="false">IF(OR(B2074=-1,I2074=0, P2074&lt;&gt;2), "albhed_dummy", _xlfn.CONCAT("albhed ", RIGHT("  " &amp; K2074,2),", ", RIGHT("  " &amp; L2074,2), ", " ,"""",H2074,""", ", """",N2074,""", ","""",O2074,""""," ; ", A2074))</f>
        <v>albhed 23,  4, "로", "토", "러" ; 턴</v>
      </c>
    </row>
    <row r="2075" customFormat="false" ht="17.9" hidden="false" customHeight="true" outlineLevel="0" collapsed="false">
      <c r="A2075" s="16" t="s">
        <v>2924</v>
      </c>
      <c r="B2075" s="16" t="n">
        <f aca="false">IF(_xlfn.UNICODE(A2075)&lt;44032,-1,_xlfn.UNICODE(A2075)-44032)</f>
        <v>9528</v>
      </c>
      <c r="C2075" s="16" t="n">
        <f aca="false">IF(B2075=-1,-1,INT((B2075/28)/21))</f>
        <v>16</v>
      </c>
      <c r="D2075" s="16" t="n">
        <f aca="false">IF(B2075=-1, -1, MOD(INT(B2075/28),21))</f>
        <v>4</v>
      </c>
      <c r="E2075" s="16" t="n">
        <f aca="false">IF(B2075=-1, -1, VLOOKUP(MOD(B2075,28), $T$24:$U$52,2))</f>
        <v>8</v>
      </c>
      <c r="F2075" s="16" t="n">
        <f aca="false">IF($B2075=-1, -1, VLOOKUP(C2075,$T$1:$V$20, 2))</f>
        <v>5</v>
      </c>
      <c r="G2075" s="16" t="n">
        <f aca="false">IF($B2075=-1, -1, VLOOKUP(D2075,$Y$1:$Z$22,2))</f>
        <v>8</v>
      </c>
      <c r="H2075" s="16" t="str">
        <f aca="false">_xlfn.UNICHAR(((F2075*21)+G2075)*28+44032)</f>
        <v>로</v>
      </c>
      <c r="I2075" s="16" t="n">
        <f aca="false">IF(B2075=-1, 1, COUNTIF($A$2:$A$3000, H2075))</f>
        <v>1</v>
      </c>
      <c r="J2075" s="10" t="str">
        <f aca="false">_xlfn.CONCAT(A2075, ",",H2075,",",I2075)</f>
        <v>털,로,1</v>
      </c>
      <c r="K2075" s="16" t="n">
        <f aca="false">IF(B2075=-1,-1,VLOOKUP(C2075,$T$1:$V$20,3))</f>
        <v>23</v>
      </c>
      <c r="L2075" s="16" t="n">
        <f aca="false">IF(B2075=-1,-1,VLOOKUP(D2075,$Y$1:$AA$22,3))</f>
        <v>4</v>
      </c>
      <c r="N2075" s="10" t="str">
        <f aca="false">_xlfn.UNICHAR(((C2075*21)+G2075)*28+44032)</f>
        <v>토</v>
      </c>
      <c r="O2075" s="10" t="str">
        <f aca="false">_xlfn.UNICHAR(((F2075*21)+D2075)*28+44032)</f>
        <v>러</v>
      </c>
      <c r="P2075" s="12" t="n">
        <f aca="false">COUNTIF($A$2:$A$3000, N2075) + COUNTIF($A$2:$A$3000, O2075)</f>
        <v>2</v>
      </c>
      <c r="Q2075" s="16" t="str">
        <f aca="false">IF(OR(B2075=-1,I2075=0, P2075&lt;&gt;2), "albhed_dummy", _xlfn.CONCAT("albhed ", RIGHT("  " &amp; K2075,2),", ", RIGHT("  " &amp; L2075,2), ", " ,"""",H2075,""", ", """",N2075,""", ","""",O2075,""""," ; ", A2075))</f>
        <v>albhed 23,  4, "로", "토", "러" ; 털</v>
      </c>
    </row>
    <row r="2076" customFormat="false" ht="17.9" hidden="false" customHeight="true" outlineLevel="0" collapsed="false">
      <c r="A2076" s="16" t="s">
        <v>2925</v>
      </c>
      <c r="B2076" s="16" t="n">
        <f aca="false">IF(_xlfn.UNICODE(A2076)&lt;44032,-1,_xlfn.UNICODE(A2076)-44032)</f>
        <v>9530</v>
      </c>
      <c r="C2076" s="16" t="n">
        <f aca="false">IF(B2076=-1,-1,INT((B2076/28)/21))</f>
        <v>16</v>
      </c>
      <c r="D2076" s="16" t="n">
        <f aca="false">IF(B2076=-1, -1, MOD(INT(B2076/28),21))</f>
        <v>4</v>
      </c>
      <c r="E2076" s="16" t="n">
        <f aca="false">IF(B2076=-1, -1, VLOOKUP(MOD(B2076,28), $T$24:$U$52,2))</f>
        <v>8</v>
      </c>
      <c r="F2076" s="16" t="n">
        <f aca="false">IF($B2076=-1, -1, VLOOKUP(C2076,$T$1:$V$20, 2))</f>
        <v>5</v>
      </c>
      <c r="G2076" s="16" t="n">
        <f aca="false">IF($B2076=-1, -1, VLOOKUP(D2076,$Y$1:$Z$22,2))</f>
        <v>8</v>
      </c>
      <c r="H2076" s="16" t="str">
        <f aca="false">_xlfn.UNICHAR(((F2076*21)+G2076)*28+44032)</f>
        <v>로</v>
      </c>
      <c r="I2076" s="16" t="n">
        <f aca="false">IF(B2076=-1, 1, COUNTIF($A$2:$A$3000, H2076))</f>
        <v>1</v>
      </c>
      <c r="J2076" s="10" t="str">
        <f aca="false">_xlfn.CONCAT(A2076, ",",H2076,",",I2076)</f>
        <v>턺,로,1</v>
      </c>
      <c r="K2076" s="16" t="n">
        <f aca="false">IF(B2076=-1,-1,VLOOKUP(C2076,$T$1:$V$20,3))</f>
        <v>23</v>
      </c>
      <c r="L2076" s="16" t="n">
        <f aca="false">IF(B2076=-1,-1,VLOOKUP(D2076,$Y$1:$AA$22,3))</f>
        <v>4</v>
      </c>
      <c r="N2076" s="10" t="str">
        <f aca="false">_xlfn.UNICHAR(((C2076*21)+G2076)*28+44032)</f>
        <v>토</v>
      </c>
      <c r="O2076" s="10" t="str">
        <f aca="false">_xlfn.UNICHAR(((F2076*21)+D2076)*28+44032)</f>
        <v>러</v>
      </c>
      <c r="P2076" s="12" t="n">
        <f aca="false">COUNTIF($A$2:$A$3000, N2076) + COUNTIF($A$2:$A$3000, O2076)</f>
        <v>2</v>
      </c>
      <c r="Q2076" s="16" t="str">
        <f aca="false">IF(OR(B2076=-1,I2076=0, P2076&lt;&gt;2), "albhed_dummy", _xlfn.CONCAT("albhed ", RIGHT("  " &amp; K2076,2),", ", RIGHT("  " &amp; L2076,2), ", " ,"""",H2076,""", ", """",N2076,""", ","""",O2076,""""," ; ", A2076))</f>
        <v>albhed 23,  4, "로", "토", "러" ; 턺</v>
      </c>
    </row>
    <row r="2077" customFormat="false" ht="17.9" hidden="false" customHeight="true" outlineLevel="0" collapsed="false">
      <c r="A2077" s="16" t="s">
        <v>2926</v>
      </c>
      <c r="B2077" s="16" t="n">
        <f aca="false">IF(_xlfn.UNICODE(A2077)&lt;44032,-1,_xlfn.UNICODE(A2077)-44032)</f>
        <v>9536</v>
      </c>
      <c r="C2077" s="16" t="n">
        <f aca="false">IF(B2077=-1,-1,INT((B2077/28)/21))</f>
        <v>16</v>
      </c>
      <c r="D2077" s="16" t="n">
        <f aca="false">IF(B2077=-1, -1, MOD(INT(B2077/28),21))</f>
        <v>4</v>
      </c>
      <c r="E2077" s="16" t="n">
        <f aca="false">IF(B2077=-1, -1, VLOOKUP(MOD(B2077,28), $T$24:$U$52,2))</f>
        <v>16</v>
      </c>
      <c r="F2077" s="16" t="n">
        <f aca="false">IF($B2077=-1, -1, VLOOKUP(C2077,$T$1:$V$20, 2))</f>
        <v>5</v>
      </c>
      <c r="G2077" s="16" t="n">
        <f aca="false">IF($B2077=-1, -1, VLOOKUP(D2077,$Y$1:$Z$22,2))</f>
        <v>8</v>
      </c>
      <c r="H2077" s="16" t="str">
        <f aca="false">_xlfn.UNICHAR(((F2077*21)+G2077)*28+44032)</f>
        <v>로</v>
      </c>
      <c r="I2077" s="16" t="n">
        <f aca="false">IF(B2077=-1, 1, COUNTIF($A$2:$A$3000, H2077))</f>
        <v>1</v>
      </c>
      <c r="J2077" s="10" t="str">
        <f aca="false">_xlfn.CONCAT(A2077, ",",H2077,",",I2077)</f>
        <v>텀,로,1</v>
      </c>
      <c r="K2077" s="16" t="n">
        <f aca="false">IF(B2077=-1,-1,VLOOKUP(C2077,$T$1:$V$20,3))</f>
        <v>23</v>
      </c>
      <c r="L2077" s="16" t="n">
        <f aca="false">IF(B2077=-1,-1,VLOOKUP(D2077,$Y$1:$AA$22,3))</f>
        <v>4</v>
      </c>
      <c r="N2077" s="10" t="str">
        <f aca="false">_xlfn.UNICHAR(((C2077*21)+G2077)*28+44032)</f>
        <v>토</v>
      </c>
      <c r="O2077" s="10" t="str">
        <f aca="false">_xlfn.UNICHAR(((F2077*21)+D2077)*28+44032)</f>
        <v>러</v>
      </c>
      <c r="P2077" s="12" t="n">
        <f aca="false">COUNTIF($A$2:$A$3000, N2077) + COUNTIF($A$2:$A$3000, O2077)</f>
        <v>2</v>
      </c>
      <c r="Q2077" s="16" t="str">
        <f aca="false">IF(OR(B2077=-1,I2077=0, P2077&lt;&gt;2), "albhed_dummy", _xlfn.CONCAT("albhed ", RIGHT("  " &amp; K2077,2),", ", RIGHT("  " &amp; L2077,2), ", " ,"""",H2077,""", ", """",N2077,""", ","""",O2077,""""," ; ", A2077))</f>
        <v>albhed 23,  4, "로", "토", "러" ; 텀</v>
      </c>
    </row>
    <row r="2078" customFormat="false" ht="17.9" hidden="false" customHeight="true" outlineLevel="0" collapsed="false">
      <c r="A2078" s="16" t="s">
        <v>2927</v>
      </c>
      <c r="B2078" s="16" t="n">
        <f aca="false">IF(_xlfn.UNICODE(A2078)&lt;44032,-1,_xlfn.UNICODE(A2078)-44032)</f>
        <v>9537</v>
      </c>
      <c r="C2078" s="16" t="n">
        <f aca="false">IF(B2078=-1,-1,INT((B2078/28)/21))</f>
        <v>16</v>
      </c>
      <c r="D2078" s="16" t="n">
        <f aca="false">IF(B2078=-1, -1, MOD(INT(B2078/28),21))</f>
        <v>4</v>
      </c>
      <c r="E2078" s="16" t="n">
        <f aca="false">IF(B2078=-1, -1, VLOOKUP(MOD(B2078,28), $T$24:$U$52,2))</f>
        <v>17</v>
      </c>
      <c r="F2078" s="16" t="n">
        <f aca="false">IF($B2078=-1, -1, VLOOKUP(C2078,$T$1:$V$20, 2))</f>
        <v>5</v>
      </c>
      <c r="G2078" s="16" t="n">
        <f aca="false">IF($B2078=-1, -1, VLOOKUP(D2078,$Y$1:$Z$22,2))</f>
        <v>8</v>
      </c>
      <c r="H2078" s="16" t="str">
        <f aca="false">_xlfn.UNICHAR(((F2078*21)+G2078)*28+44032)</f>
        <v>로</v>
      </c>
      <c r="I2078" s="16" t="n">
        <f aca="false">IF(B2078=-1, 1, COUNTIF($A$2:$A$3000, H2078))</f>
        <v>1</v>
      </c>
      <c r="J2078" s="10" t="str">
        <f aca="false">_xlfn.CONCAT(A2078, ",",H2078,",",I2078)</f>
        <v>텁,로,1</v>
      </c>
      <c r="K2078" s="16" t="n">
        <f aca="false">IF(B2078=-1,-1,VLOOKUP(C2078,$T$1:$V$20,3))</f>
        <v>23</v>
      </c>
      <c r="L2078" s="16" t="n">
        <f aca="false">IF(B2078=-1,-1,VLOOKUP(D2078,$Y$1:$AA$22,3))</f>
        <v>4</v>
      </c>
      <c r="N2078" s="10" t="str">
        <f aca="false">_xlfn.UNICHAR(((C2078*21)+G2078)*28+44032)</f>
        <v>토</v>
      </c>
      <c r="O2078" s="10" t="str">
        <f aca="false">_xlfn.UNICHAR(((F2078*21)+D2078)*28+44032)</f>
        <v>러</v>
      </c>
      <c r="P2078" s="12" t="n">
        <f aca="false">COUNTIF($A$2:$A$3000, N2078) + COUNTIF($A$2:$A$3000, O2078)</f>
        <v>2</v>
      </c>
      <c r="Q2078" s="16" t="str">
        <f aca="false">IF(OR(B2078=-1,I2078=0, P2078&lt;&gt;2), "albhed_dummy", _xlfn.CONCAT("albhed ", RIGHT("  " &amp; K2078,2),", ", RIGHT("  " &amp; L2078,2), ", " ,"""",H2078,""", ", """",N2078,""", ","""",O2078,""""," ; ", A2078))</f>
        <v>albhed 23,  4, "로", "토", "러" ; 텁</v>
      </c>
    </row>
    <row r="2079" customFormat="false" ht="17.9" hidden="false" customHeight="true" outlineLevel="0" collapsed="false">
      <c r="A2079" s="16" t="s">
        <v>2928</v>
      </c>
      <c r="B2079" s="16" t="n">
        <f aca="false">IF(_xlfn.UNICODE(A2079)&lt;44032,-1,_xlfn.UNICODE(A2079)-44032)</f>
        <v>9539</v>
      </c>
      <c r="C2079" s="16" t="n">
        <f aca="false">IF(B2079=-1,-1,INT((B2079/28)/21))</f>
        <v>16</v>
      </c>
      <c r="D2079" s="16" t="n">
        <f aca="false">IF(B2079=-1, -1, MOD(INT(B2079/28),21))</f>
        <v>4</v>
      </c>
      <c r="E2079" s="16" t="n">
        <f aca="false">IF(B2079=-1, -1, VLOOKUP(MOD(B2079,28), $T$24:$U$52,2))</f>
        <v>19</v>
      </c>
      <c r="F2079" s="16" t="n">
        <f aca="false">IF($B2079=-1, -1, VLOOKUP(C2079,$T$1:$V$20, 2))</f>
        <v>5</v>
      </c>
      <c r="G2079" s="16" t="n">
        <f aca="false">IF($B2079=-1, -1, VLOOKUP(D2079,$Y$1:$Z$22,2))</f>
        <v>8</v>
      </c>
      <c r="H2079" s="16" t="str">
        <f aca="false">_xlfn.UNICHAR(((F2079*21)+G2079)*28+44032)</f>
        <v>로</v>
      </c>
      <c r="I2079" s="16" t="n">
        <f aca="false">IF(B2079=-1, 1, COUNTIF($A$2:$A$3000, H2079))</f>
        <v>1</v>
      </c>
      <c r="J2079" s="10" t="str">
        <f aca="false">_xlfn.CONCAT(A2079, ",",H2079,",",I2079)</f>
        <v>텃,로,1</v>
      </c>
      <c r="K2079" s="16" t="n">
        <f aca="false">IF(B2079=-1,-1,VLOOKUP(C2079,$T$1:$V$20,3))</f>
        <v>23</v>
      </c>
      <c r="L2079" s="16" t="n">
        <f aca="false">IF(B2079=-1,-1,VLOOKUP(D2079,$Y$1:$AA$22,3))</f>
        <v>4</v>
      </c>
      <c r="N2079" s="10" t="str">
        <f aca="false">_xlfn.UNICHAR(((C2079*21)+G2079)*28+44032)</f>
        <v>토</v>
      </c>
      <c r="O2079" s="10" t="str">
        <f aca="false">_xlfn.UNICHAR(((F2079*21)+D2079)*28+44032)</f>
        <v>러</v>
      </c>
      <c r="P2079" s="12" t="n">
        <f aca="false">COUNTIF($A$2:$A$3000, N2079) + COUNTIF($A$2:$A$3000, O2079)</f>
        <v>2</v>
      </c>
      <c r="Q2079" s="16" t="str">
        <f aca="false">IF(OR(B2079=-1,I2079=0, P2079&lt;&gt;2), "albhed_dummy", _xlfn.CONCAT("albhed ", RIGHT("  " &amp; K2079,2),", ", RIGHT("  " &amp; L2079,2), ", " ,"""",H2079,""", ", """",N2079,""", ","""",O2079,""""," ; ", A2079))</f>
        <v>albhed 23,  4, "로", "토", "러" ; 텃</v>
      </c>
    </row>
    <row r="2080" customFormat="false" ht="17.9" hidden="false" customHeight="true" outlineLevel="0" collapsed="false">
      <c r="A2080" s="16" t="s">
        <v>2929</v>
      </c>
      <c r="B2080" s="16" t="n">
        <f aca="false">IF(_xlfn.UNICODE(A2080)&lt;44032,-1,_xlfn.UNICODE(A2080)-44032)</f>
        <v>9540</v>
      </c>
      <c r="C2080" s="16" t="n">
        <f aca="false">IF(B2080=-1,-1,INT((B2080/28)/21))</f>
        <v>16</v>
      </c>
      <c r="D2080" s="16" t="n">
        <f aca="false">IF(B2080=-1, -1, MOD(INT(B2080/28),21))</f>
        <v>4</v>
      </c>
      <c r="E2080" s="16" t="n">
        <f aca="false">IF(B2080=-1, -1, VLOOKUP(MOD(B2080,28), $T$24:$U$52,2))</f>
        <v>19</v>
      </c>
      <c r="F2080" s="16" t="n">
        <f aca="false">IF($B2080=-1, -1, VLOOKUP(C2080,$T$1:$V$20, 2))</f>
        <v>5</v>
      </c>
      <c r="G2080" s="16" t="n">
        <f aca="false">IF($B2080=-1, -1, VLOOKUP(D2080,$Y$1:$Z$22,2))</f>
        <v>8</v>
      </c>
      <c r="H2080" s="16" t="str">
        <f aca="false">_xlfn.UNICHAR(((F2080*21)+G2080)*28+44032)</f>
        <v>로</v>
      </c>
      <c r="I2080" s="16" t="n">
        <f aca="false">IF(B2080=-1, 1, COUNTIF($A$2:$A$3000, H2080))</f>
        <v>1</v>
      </c>
      <c r="J2080" s="10" t="str">
        <f aca="false">_xlfn.CONCAT(A2080, ",",H2080,",",I2080)</f>
        <v>텄,로,1</v>
      </c>
      <c r="K2080" s="16" t="n">
        <f aca="false">IF(B2080=-1,-1,VLOOKUP(C2080,$T$1:$V$20,3))</f>
        <v>23</v>
      </c>
      <c r="L2080" s="16" t="n">
        <f aca="false">IF(B2080=-1,-1,VLOOKUP(D2080,$Y$1:$AA$22,3))</f>
        <v>4</v>
      </c>
      <c r="N2080" s="10" t="str">
        <f aca="false">_xlfn.UNICHAR(((C2080*21)+G2080)*28+44032)</f>
        <v>토</v>
      </c>
      <c r="O2080" s="10" t="str">
        <f aca="false">_xlfn.UNICHAR(((F2080*21)+D2080)*28+44032)</f>
        <v>러</v>
      </c>
      <c r="P2080" s="12" t="n">
        <f aca="false">COUNTIF($A$2:$A$3000, N2080) + COUNTIF($A$2:$A$3000, O2080)</f>
        <v>2</v>
      </c>
      <c r="Q2080" s="16" t="str">
        <f aca="false">IF(OR(B2080=-1,I2080=0, P2080&lt;&gt;2), "albhed_dummy", _xlfn.CONCAT("albhed ", RIGHT("  " &amp; K2080,2),", ", RIGHT("  " &amp; L2080,2), ", " ,"""",H2080,""", ", """",N2080,""", ","""",O2080,""""," ; ", A2080))</f>
        <v>albhed 23,  4, "로", "토", "러" ; 텄</v>
      </c>
    </row>
    <row r="2081" customFormat="false" ht="17.9" hidden="false" customHeight="true" outlineLevel="0" collapsed="false">
      <c r="A2081" s="16" t="s">
        <v>2930</v>
      </c>
      <c r="B2081" s="16" t="n">
        <f aca="false">IF(_xlfn.UNICODE(A2081)&lt;44032,-1,_xlfn.UNICODE(A2081)-44032)</f>
        <v>9541</v>
      </c>
      <c r="C2081" s="16" t="n">
        <f aca="false">IF(B2081=-1,-1,INT((B2081/28)/21))</f>
        <v>16</v>
      </c>
      <c r="D2081" s="16" t="n">
        <f aca="false">IF(B2081=-1, -1, MOD(INT(B2081/28),21))</f>
        <v>4</v>
      </c>
      <c r="E2081" s="16" t="n">
        <f aca="false">IF(B2081=-1, -1, VLOOKUP(MOD(B2081,28), $T$24:$U$52,2))</f>
        <v>21</v>
      </c>
      <c r="F2081" s="16" t="n">
        <f aca="false">IF($B2081=-1, -1, VLOOKUP(C2081,$T$1:$V$20, 2))</f>
        <v>5</v>
      </c>
      <c r="G2081" s="16" t="n">
        <f aca="false">IF($B2081=-1, -1, VLOOKUP(D2081,$Y$1:$Z$22,2))</f>
        <v>8</v>
      </c>
      <c r="H2081" s="16" t="str">
        <f aca="false">_xlfn.UNICHAR(((F2081*21)+G2081)*28+44032)</f>
        <v>로</v>
      </c>
      <c r="I2081" s="16" t="n">
        <f aca="false">IF(B2081=-1, 1, COUNTIF($A$2:$A$3000, H2081))</f>
        <v>1</v>
      </c>
      <c r="J2081" s="10" t="str">
        <f aca="false">_xlfn.CONCAT(A2081, ",",H2081,",",I2081)</f>
        <v>텅,로,1</v>
      </c>
      <c r="K2081" s="16" t="n">
        <f aca="false">IF(B2081=-1,-1,VLOOKUP(C2081,$T$1:$V$20,3))</f>
        <v>23</v>
      </c>
      <c r="L2081" s="16" t="n">
        <f aca="false">IF(B2081=-1,-1,VLOOKUP(D2081,$Y$1:$AA$22,3))</f>
        <v>4</v>
      </c>
      <c r="N2081" s="10" t="str">
        <f aca="false">_xlfn.UNICHAR(((C2081*21)+G2081)*28+44032)</f>
        <v>토</v>
      </c>
      <c r="O2081" s="10" t="str">
        <f aca="false">_xlfn.UNICHAR(((F2081*21)+D2081)*28+44032)</f>
        <v>러</v>
      </c>
      <c r="P2081" s="12" t="n">
        <f aca="false">COUNTIF($A$2:$A$3000, N2081) + COUNTIF($A$2:$A$3000, O2081)</f>
        <v>2</v>
      </c>
      <c r="Q2081" s="16" t="str">
        <f aca="false">IF(OR(B2081=-1,I2081=0, P2081&lt;&gt;2), "albhed_dummy", _xlfn.CONCAT("albhed ", RIGHT("  " &amp; K2081,2),", ", RIGHT("  " &amp; L2081,2), ", " ,"""",H2081,""", ", """",N2081,""", ","""",O2081,""""," ; ", A2081))</f>
        <v>albhed 23,  4, "로", "토", "러" ; 텅</v>
      </c>
    </row>
    <row r="2082" customFormat="false" ht="17.9" hidden="false" customHeight="true" outlineLevel="0" collapsed="false">
      <c r="A2082" s="16" t="s">
        <v>813</v>
      </c>
      <c r="B2082" s="16" t="n">
        <f aca="false">IF(_xlfn.UNICODE(A2082)&lt;44032,-1,_xlfn.UNICODE(A2082)-44032)</f>
        <v>9548</v>
      </c>
      <c r="C2082" s="16" t="n">
        <f aca="false">IF(B2082=-1,-1,INT((B2082/28)/21))</f>
        <v>16</v>
      </c>
      <c r="D2082" s="16" t="n">
        <f aca="false">IF(B2082=-1, -1, MOD(INT(B2082/28),21))</f>
        <v>5</v>
      </c>
      <c r="E2082" s="16" t="n">
        <f aca="false">IF(B2082=-1, -1, VLOOKUP(MOD(B2082,28), $T$24:$U$52,2))</f>
        <v>0</v>
      </c>
      <c r="F2082" s="16" t="n">
        <f aca="false">IF($B2082=-1, -1, VLOOKUP(C2082,$T$1:$V$20, 2))</f>
        <v>5</v>
      </c>
      <c r="G2082" s="16" t="n">
        <f aca="false">IF($B2082=-1, -1, VLOOKUP(D2082,$Y$1:$Z$22,2))</f>
        <v>18</v>
      </c>
      <c r="H2082" s="16" t="str">
        <f aca="false">_xlfn.UNICHAR(((F2082*21)+G2082)*28+44032)</f>
        <v>르</v>
      </c>
      <c r="I2082" s="16" t="n">
        <f aca="false">IF(B2082=-1, 1, COUNTIF($A$2:$A$3000, H2082))</f>
        <v>1</v>
      </c>
      <c r="J2082" s="10" t="str">
        <f aca="false">_xlfn.CONCAT(A2082, ",",H2082,",",I2082)</f>
        <v>테,르,1</v>
      </c>
      <c r="K2082" s="16" t="n">
        <f aca="false">IF(B2082=-1,-1,VLOOKUP(C2082,$T$1:$V$20,3))</f>
        <v>23</v>
      </c>
      <c r="L2082" s="16" t="n">
        <f aca="false">IF(B2082=-1,-1,VLOOKUP(D2082,$Y$1:$AA$22,3))</f>
        <v>10</v>
      </c>
      <c r="N2082" s="10" t="str">
        <f aca="false">_xlfn.UNICHAR(((C2082*21)+G2082)*28+44032)</f>
        <v>트</v>
      </c>
      <c r="O2082" s="10" t="str">
        <f aca="false">_xlfn.UNICHAR(((F2082*21)+D2082)*28+44032)</f>
        <v>레</v>
      </c>
      <c r="P2082" s="12" t="n">
        <f aca="false">COUNTIF($A$2:$A$3000, N2082) + COUNTIF($A$2:$A$3000, O2082)</f>
        <v>2</v>
      </c>
      <c r="Q2082" s="16" t="str">
        <f aca="false">IF(OR(B2082=-1,I2082=0, P2082&lt;&gt;2), "albhed_dummy", _xlfn.CONCAT("albhed ", RIGHT("  " &amp; K2082,2),", ", RIGHT("  " &amp; L2082,2), ", " ,"""",H2082,""", ", """",N2082,""", ","""",O2082,""""," ; ", A2082))</f>
        <v>albhed 23, 10, "르", "트", "레" ; 테</v>
      </c>
    </row>
    <row r="2083" customFormat="false" ht="17.9" hidden="false" customHeight="true" outlineLevel="0" collapsed="false">
      <c r="A2083" s="16" t="s">
        <v>2931</v>
      </c>
      <c r="B2083" s="16" t="n">
        <f aca="false">IF(_xlfn.UNICODE(A2083)&lt;44032,-1,_xlfn.UNICODE(A2083)-44032)</f>
        <v>9549</v>
      </c>
      <c r="C2083" s="16" t="n">
        <f aca="false">IF(B2083=-1,-1,INT((B2083/28)/21))</f>
        <v>16</v>
      </c>
      <c r="D2083" s="16" t="n">
        <f aca="false">IF(B2083=-1, -1, MOD(INT(B2083/28),21))</f>
        <v>5</v>
      </c>
      <c r="E2083" s="16" t="n">
        <f aca="false">IF(B2083=-1, -1, VLOOKUP(MOD(B2083,28), $T$24:$U$52,2))</f>
        <v>1</v>
      </c>
      <c r="F2083" s="16" t="n">
        <f aca="false">IF($B2083=-1, -1, VLOOKUP(C2083,$T$1:$V$20, 2))</f>
        <v>5</v>
      </c>
      <c r="G2083" s="16" t="n">
        <f aca="false">IF($B2083=-1, -1, VLOOKUP(D2083,$Y$1:$Z$22,2))</f>
        <v>18</v>
      </c>
      <c r="H2083" s="16" t="str">
        <f aca="false">_xlfn.UNICHAR(((F2083*21)+G2083)*28+44032)</f>
        <v>르</v>
      </c>
      <c r="I2083" s="16" t="n">
        <f aca="false">IF(B2083=-1, 1, COUNTIF($A$2:$A$3000, H2083))</f>
        <v>1</v>
      </c>
      <c r="J2083" s="10" t="str">
        <f aca="false">_xlfn.CONCAT(A2083, ",",H2083,",",I2083)</f>
        <v>텍,르,1</v>
      </c>
      <c r="K2083" s="16" t="n">
        <f aca="false">IF(B2083=-1,-1,VLOOKUP(C2083,$T$1:$V$20,3))</f>
        <v>23</v>
      </c>
      <c r="L2083" s="16" t="n">
        <f aca="false">IF(B2083=-1,-1,VLOOKUP(D2083,$Y$1:$AA$22,3))</f>
        <v>10</v>
      </c>
      <c r="N2083" s="10" t="str">
        <f aca="false">_xlfn.UNICHAR(((C2083*21)+G2083)*28+44032)</f>
        <v>트</v>
      </c>
      <c r="O2083" s="10" t="str">
        <f aca="false">_xlfn.UNICHAR(((F2083*21)+D2083)*28+44032)</f>
        <v>레</v>
      </c>
      <c r="P2083" s="12" t="n">
        <f aca="false">COUNTIF($A$2:$A$3000, N2083) + COUNTIF($A$2:$A$3000, O2083)</f>
        <v>2</v>
      </c>
      <c r="Q2083" s="16" t="str">
        <f aca="false">IF(OR(B2083=-1,I2083=0, P2083&lt;&gt;2), "albhed_dummy", _xlfn.CONCAT("albhed ", RIGHT("  " &amp; K2083,2),", ", RIGHT("  " &amp; L2083,2), ", " ,"""",H2083,""", ", """",N2083,""", ","""",O2083,""""," ; ", A2083))</f>
        <v>albhed 23, 10, "르", "트", "레" ; 텍</v>
      </c>
    </row>
    <row r="2084" customFormat="false" ht="17.9" hidden="false" customHeight="true" outlineLevel="0" collapsed="false">
      <c r="A2084" s="16" t="s">
        <v>2932</v>
      </c>
      <c r="B2084" s="16" t="n">
        <f aca="false">IF(_xlfn.UNICODE(A2084)&lt;44032,-1,_xlfn.UNICODE(A2084)-44032)</f>
        <v>9552</v>
      </c>
      <c r="C2084" s="16" t="n">
        <f aca="false">IF(B2084=-1,-1,INT((B2084/28)/21))</f>
        <v>16</v>
      </c>
      <c r="D2084" s="16" t="n">
        <f aca="false">IF(B2084=-1, -1, MOD(INT(B2084/28),21))</f>
        <v>5</v>
      </c>
      <c r="E2084" s="16" t="n">
        <f aca="false">IF(B2084=-1, -1, VLOOKUP(MOD(B2084,28), $T$24:$U$52,2))</f>
        <v>4</v>
      </c>
      <c r="F2084" s="16" t="n">
        <f aca="false">IF($B2084=-1, -1, VLOOKUP(C2084,$T$1:$V$20, 2))</f>
        <v>5</v>
      </c>
      <c r="G2084" s="16" t="n">
        <f aca="false">IF($B2084=-1, -1, VLOOKUP(D2084,$Y$1:$Z$22,2))</f>
        <v>18</v>
      </c>
      <c r="H2084" s="16" t="str">
        <f aca="false">_xlfn.UNICHAR(((F2084*21)+G2084)*28+44032)</f>
        <v>르</v>
      </c>
      <c r="I2084" s="16" t="n">
        <f aca="false">IF(B2084=-1, 1, COUNTIF($A$2:$A$3000, H2084))</f>
        <v>1</v>
      </c>
      <c r="J2084" s="10" t="str">
        <f aca="false">_xlfn.CONCAT(A2084, ",",H2084,",",I2084)</f>
        <v>텐,르,1</v>
      </c>
      <c r="K2084" s="16" t="n">
        <f aca="false">IF(B2084=-1,-1,VLOOKUP(C2084,$T$1:$V$20,3))</f>
        <v>23</v>
      </c>
      <c r="L2084" s="16" t="n">
        <f aca="false">IF(B2084=-1,-1,VLOOKUP(D2084,$Y$1:$AA$22,3))</f>
        <v>10</v>
      </c>
      <c r="N2084" s="10" t="str">
        <f aca="false">_xlfn.UNICHAR(((C2084*21)+G2084)*28+44032)</f>
        <v>트</v>
      </c>
      <c r="O2084" s="10" t="str">
        <f aca="false">_xlfn.UNICHAR(((F2084*21)+D2084)*28+44032)</f>
        <v>레</v>
      </c>
      <c r="P2084" s="12" t="n">
        <f aca="false">COUNTIF($A$2:$A$3000, N2084) + COUNTIF($A$2:$A$3000, O2084)</f>
        <v>2</v>
      </c>
      <c r="Q2084" s="16" t="str">
        <f aca="false">IF(OR(B2084=-1,I2084=0, P2084&lt;&gt;2), "albhed_dummy", _xlfn.CONCAT("albhed ", RIGHT("  " &amp; K2084,2),", ", RIGHT("  " &amp; L2084,2), ", " ,"""",H2084,""", ", """",N2084,""", ","""",O2084,""""," ; ", A2084))</f>
        <v>albhed 23, 10, "르", "트", "레" ; 텐</v>
      </c>
    </row>
    <row r="2085" customFormat="false" ht="17.9" hidden="false" customHeight="true" outlineLevel="0" collapsed="false">
      <c r="A2085" s="16" t="s">
        <v>2933</v>
      </c>
      <c r="B2085" s="16" t="n">
        <f aca="false">IF(_xlfn.UNICODE(A2085)&lt;44032,-1,_xlfn.UNICODE(A2085)-44032)</f>
        <v>9556</v>
      </c>
      <c r="C2085" s="16" t="n">
        <f aca="false">IF(B2085=-1,-1,INT((B2085/28)/21))</f>
        <v>16</v>
      </c>
      <c r="D2085" s="16" t="n">
        <f aca="false">IF(B2085=-1, -1, MOD(INT(B2085/28),21))</f>
        <v>5</v>
      </c>
      <c r="E2085" s="16" t="n">
        <f aca="false">IF(B2085=-1, -1, VLOOKUP(MOD(B2085,28), $T$24:$U$52,2))</f>
        <v>8</v>
      </c>
      <c r="F2085" s="16" t="n">
        <f aca="false">IF($B2085=-1, -1, VLOOKUP(C2085,$T$1:$V$20, 2))</f>
        <v>5</v>
      </c>
      <c r="G2085" s="16" t="n">
        <f aca="false">IF($B2085=-1, -1, VLOOKUP(D2085,$Y$1:$Z$22,2))</f>
        <v>18</v>
      </c>
      <c r="H2085" s="16" t="str">
        <f aca="false">_xlfn.UNICHAR(((F2085*21)+G2085)*28+44032)</f>
        <v>르</v>
      </c>
      <c r="I2085" s="16" t="n">
        <f aca="false">IF(B2085=-1, 1, COUNTIF($A$2:$A$3000, H2085))</f>
        <v>1</v>
      </c>
      <c r="J2085" s="10" t="str">
        <f aca="false">_xlfn.CONCAT(A2085, ",",H2085,",",I2085)</f>
        <v>텔,르,1</v>
      </c>
      <c r="K2085" s="16" t="n">
        <f aca="false">IF(B2085=-1,-1,VLOOKUP(C2085,$T$1:$V$20,3))</f>
        <v>23</v>
      </c>
      <c r="L2085" s="16" t="n">
        <f aca="false">IF(B2085=-1,-1,VLOOKUP(D2085,$Y$1:$AA$22,3))</f>
        <v>10</v>
      </c>
      <c r="N2085" s="10" t="str">
        <f aca="false">_xlfn.UNICHAR(((C2085*21)+G2085)*28+44032)</f>
        <v>트</v>
      </c>
      <c r="O2085" s="10" t="str">
        <f aca="false">_xlfn.UNICHAR(((F2085*21)+D2085)*28+44032)</f>
        <v>레</v>
      </c>
      <c r="P2085" s="12" t="n">
        <f aca="false">COUNTIF($A$2:$A$3000, N2085) + COUNTIF($A$2:$A$3000, O2085)</f>
        <v>2</v>
      </c>
      <c r="Q2085" s="16" t="str">
        <f aca="false">IF(OR(B2085=-1,I2085=0, P2085&lt;&gt;2), "albhed_dummy", _xlfn.CONCAT("albhed ", RIGHT("  " &amp; K2085,2),", ", RIGHT("  " &amp; L2085,2), ", " ,"""",H2085,""", ", """",N2085,""", ","""",O2085,""""," ; ", A2085))</f>
        <v>albhed 23, 10, "르", "트", "레" ; 텔</v>
      </c>
    </row>
    <row r="2086" customFormat="false" ht="17.9" hidden="false" customHeight="true" outlineLevel="0" collapsed="false">
      <c r="A2086" s="16" t="s">
        <v>2934</v>
      </c>
      <c r="B2086" s="16" t="n">
        <f aca="false">IF(_xlfn.UNICODE(A2086)&lt;44032,-1,_xlfn.UNICODE(A2086)-44032)</f>
        <v>9564</v>
      </c>
      <c r="C2086" s="16" t="n">
        <f aca="false">IF(B2086=-1,-1,INT((B2086/28)/21))</f>
        <v>16</v>
      </c>
      <c r="D2086" s="16" t="n">
        <f aca="false">IF(B2086=-1, -1, MOD(INT(B2086/28),21))</f>
        <v>5</v>
      </c>
      <c r="E2086" s="16" t="n">
        <f aca="false">IF(B2086=-1, -1, VLOOKUP(MOD(B2086,28), $T$24:$U$52,2))</f>
        <v>16</v>
      </c>
      <c r="F2086" s="16" t="n">
        <f aca="false">IF($B2086=-1, -1, VLOOKUP(C2086,$T$1:$V$20, 2))</f>
        <v>5</v>
      </c>
      <c r="G2086" s="16" t="n">
        <f aca="false">IF($B2086=-1, -1, VLOOKUP(D2086,$Y$1:$Z$22,2))</f>
        <v>18</v>
      </c>
      <c r="H2086" s="16" t="str">
        <f aca="false">_xlfn.UNICHAR(((F2086*21)+G2086)*28+44032)</f>
        <v>르</v>
      </c>
      <c r="I2086" s="16" t="n">
        <f aca="false">IF(B2086=-1, 1, COUNTIF($A$2:$A$3000, H2086))</f>
        <v>1</v>
      </c>
      <c r="J2086" s="10" t="str">
        <f aca="false">_xlfn.CONCAT(A2086, ",",H2086,",",I2086)</f>
        <v>템,르,1</v>
      </c>
      <c r="K2086" s="16" t="n">
        <f aca="false">IF(B2086=-1,-1,VLOOKUP(C2086,$T$1:$V$20,3))</f>
        <v>23</v>
      </c>
      <c r="L2086" s="16" t="n">
        <f aca="false">IF(B2086=-1,-1,VLOOKUP(D2086,$Y$1:$AA$22,3))</f>
        <v>10</v>
      </c>
      <c r="N2086" s="10" t="str">
        <f aca="false">_xlfn.UNICHAR(((C2086*21)+G2086)*28+44032)</f>
        <v>트</v>
      </c>
      <c r="O2086" s="10" t="str">
        <f aca="false">_xlfn.UNICHAR(((F2086*21)+D2086)*28+44032)</f>
        <v>레</v>
      </c>
      <c r="P2086" s="12" t="n">
        <f aca="false">COUNTIF($A$2:$A$3000, N2086) + COUNTIF($A$2:$A$3000, O2086)</f>
        <v>2</v>
      </c>
      <c r="Q2086" s="16" t="str">
        <f aca="false">IF(OR(B2086=-1,I2086=0, P2086&lt;&gt;2), "albhed_dummy", _xlfn.CONCAT("albhed ", RIGHT("  " &amp; K2086,2),", ", RIGHT("  " &amp; L2086,2), ", " ,"""",H2086,""", ", """",N2086,""", ","""",O2086,""""," ; ", A2086))</f>
        <v>albhed 23, 10, "르", "트", "레" ; 템</v>
      </c>
    </row>
    <row r="2087" customFormat="false" ht="17.9" hidden="false" customHeight="true" outlineLevel="0" collapsed="false">
      <c r="A2087" s="16" t="s">
        <v>2935</v>
      </c>
      <c r="B2087" s="16" t="n">
        <f aca="false">IF(_xlfn.UNICODE(A2087)&lt;44032,-1,_xlfn.UNICODE(A2087)-44032)</f>
        <v>9565</v>
      </c>
      <c r="C2087" s="16" t="n">
        <f aca="false">IF(B2087=-1,-1,INT((B2087/28)/21))</f>
        <v>16</v>
      </c>
      <c r="D2087" s="16" t="n">
        <f aca="false">IF(B2087=-1, -1, MOD(INT(B2087/28),21))</f>
        <v>5</v>
      </c>
      <c r="E2087" s="16" t="n">
        <f aca="false">IF(B2087=-1, -1, VLOOKUP(MOD(B2087,28), $T$24:$U$52,2))</f>
        <v>17</v>
      </c>
      <c r="F2087" s="16" t="n">
        <f aca="false">IF($B2087=-1, -1, VLOOKUP(C2087,$T$1:$V$20, 2))</f>
        <v>5</v>
      </c>
      <c r="G2087" s="16" t="n">
        <f aca="false">IF($B2087=-1, -1, VLOOKUP(D2087,$Y$1:$Z$22,2))</f>
        <v>18</v>
      </c>
      <c r="H2087" s="16" t="str">
        <f aca="false">_xlfn.UNICHAR(((F2087*21)+G2087)*28+44032)</f>
        <v>르</v>
      </c>
      <c r="I2087" s="16" t="n">
        <f aca="false">IF(B2087=-1, 1, COUNTIF($A$2:$A$3000, H2087))</f>
        <v>1</v>
      </c>
      <c r="J2087" s="10" t="str">
        <f aca="false">_xlfn.CONCAT(A2087, ",",H2087,",",I2087)</f>
        <v>텝,르,1</v>
      </c>
      <c r="K2087" s="16" t="n">
        <f aca="false">IF(B2087=-1,-1,VLOOKUP(C2087,$T$1:$V$20,3))</f>
        <v>23</v>
      </c>
      <c r="L2087" s="16" t="n">
        <f aca="false">IF(B2087=-1,-1,VLOOKUP(D2087,$Y$1:$AA$22,3))</f>
        <v>10</v>
      </c>
      <c r="N2087" s="10" t="str">
        <f aca="false">_xlfn.UNICHAR(((C2087*21)+G2087)*28+44032)</f>
        <v>트</v>
      </c>
      <c r="O2087" s="10" t="str">
        <f aca="false">_xlfn.UNICHAR(((F2087*21)+D2087)*28+44032)</f>
        <v>레</v>
      </c>
      <c r="P2087" s="12" t="n">
        <f aca="false">COUNTIF($A$2:$A$3000, N2087) + COUNTIF($A$2:$A$3000, O2087)</f>
        <v>2</v>
      </c>
      <c r="Q2087" s="16" t="str">
        <f aca="false">IF(OR(B2087=-1,I2087=0, P2087&lt;&gt;2), "albhed_dummy", _xlfn.CONCAT("albhed ", RIGHT("  " &amp; K2087,2),", ", RIGHT("  " &amp; L2087,2), ", " ,"""",H2087,""", ", """",N2087,""", ","""",O2087,""""," ; ", A2087))</f>
        <v>albhed 23, 10, "르", "트", "레" ; 텝</v>
      </c>
    </row>
    <row r="2088" customFormat="false" ht="17.9" hidden="false" customHeight="true" outlineLevel="0" collapsed="false">
      <c r="A2088" s="16" t="s">
        <v>2936</v>
      </c>
      <c r="B2088" s="16" t="n">
        <f aca="false">IF(_xlfn.UNICODE(A2088)&lt;44032,-1,_xlfn.UNICODE(A2088)-44032)</f>
        <v>9567</v>
      </c>
      <c r="C2088" s="16" t="n">
        <f aca="false">IF(B2088=-1,-1,INT((B2088/28)/21))</f>
        <v>16</v>
      </c>
      <c r="D2088" s="16" t="n">
        <f aca="false">IF(B2088=-1, -1, MOD(INT(B2088/28),21))</f>
        <v>5</v>
      </c>
      <c r="E2088" s="16" t="n">
        <f aca="false">IF(B2088=-1, -1, VLOOKUP(MOD(B2088,28), $T$24:$U$52,2))</f>
        <v>19</v>
      </c>
      <c r="F2088" s="16" t="n">
        <f aca="false">IF($B2088=-1, -1, VLOOKUP(C2088,$T$1:$V$20, 2))</f>
        <v>5</v>
      </c>
      <c r="G2088" s="16" t="n">
        <f aca="false">IF($B2088=-1, -1, VLOOKUP(D2088,$Y$1:$Z$22,2))</f>
        <v>18</v>
      </c>
      <c r="H2088" s="16" t="str">
        <f aca="false">_xlfn.UNICHAR(((F2088*21)+G2088)*28+44032)</f>
        <v>르</v>
      </c>
      <c r="I2088" s="16" t="n">
        <f aca="false">IF(B2088=-1, 1, COUNTIF($A$2:$A$3000, H2088))</f>
        <v>1</v>
      </c>
      <c r="J2088" s="10" t="str">
        <f aca="false">_xlfn.CONCAT(A2088, ",",H2088,",",I2088)</f>
        <v>텟,르,1</v>
      </c>
      <c r="K2088" s="16" t="n">
        <f aca="false">IF(B2088=-1,-1,VLOOKUP(C2088,$T$1:$V$20,3))</f>
        <v>23</v>
      </c>
      <c r="L2088" s="16" t="n">
        <f aca="false">IF(B2088=-1,-1,VLOOKUP(D2088,$Y$1:$AA$22,3))</f>
        <v>10</v>
      </c>
      <c r="N2088" s="10" t="str">
        <f aca="false">_xlfn.UNICHAR(((C2088*21)+G2088)*28+44032)</f>
        <v>트</v>
      </c>
      <c r="O2088" s="10" t="str">
        <f aca="false">_xlfn.UNICHAR(((F2088*21)+D2088)*28+44032)</f>
        <v>레</v>
      </c>
      <c r="P2088" s="12" t="n">
        <f aca="false">COUNTIF($A$2:$A$3000, N2088) + COUNTIF($A$2:$A$3000, O2088)</f>
        <v>2</v>
      </c>
      <c r="Q2088" s="16" t="str">
        <f aca="false">IF(OR(B2088=-1,I2088=0, P2088&lt;&gt;2), "albhed_dummy", _xlfn.CONCAT("albhed ", RIGHT("  " &amp; K2088,2),", ", RIGHT("  " &amp; L2088,2), ", " ,"""",H2088,""", ", """",N2088,""", ","""",O2088,""""," ; ", A2088))</f>
        <v>albhed 23, 10, "르", "트", "레" ; 텟</v>
      </c>
    </row>
    <row r="2089" customFormat="false" ht="17.9" hidden="false" customHeight="true" outlineLevel="0" collapsed="false">
      <c r="A2089" s="16" t="s">
        <v>2937</v>
      </c>
      <c r="B2089" s="16" t="n">
        <f aca="false">IF(_xlfn.UNICODE(A2089)&lt;44032,-1,_xlfn.UNICODE(A2089)-44032)</f>
        <v>9569</v>
      </c>
      <c r="C2089" s="16" t="n">
        <f aca="false">IF(B2089=-1,-1,INT((B2089/28)/21))</f>
        <v>16</v>
      </c>
      <c r="D2089" s="16" t="n">
        <f aca="false">IF(B2089=-1, -1, MOD(INT(B2089/28),21))</f>
        <v>5</v>
      </c>
      <c r="E2089" s="16" t="n">
        <f aca="false">IF(B2089=-1, -1, VLOOKUP(MOD(B2089,28), $T$24:$U$52,2))</f>
        <v>21</v>
      </c>
      <c r="F2089" s="16" t="n">
        <f aca="false">IF($B2089=-1, -1, VLOOKUP(C2089,$T$1:$V$20, 2))</f>
        <v>5</v>
      </c>
      <c r="G2089" s="16" t="n">
        <f aca="false">IF($B2089=-1, -1, VLOOKUP(D2089,$Y$1:$Z$22,2))</f>
        <v>18</v>
      </c>
      <c r="H2089" s="16" t="str">
        <f aca="false">_xlfn.UNICHAR(((F2089*21)+G2089)*28+44032)</f>
        <v>르</v>
      </c>
      <c r="I2089" s="16" t="n">
        <f aca="false">IF(B2089=-1, 1, COUNTIF($A$2:$A$3000, H2089))</f>
        <v>1</v>
      </c>
      <c r="J2089" s="10" t="str">
        <f aca="false">_xlfn.CONCAT(A2089, ",",H2089,",",I2089)</f>
        <v>텡,르,1</v>
      </c>
      <c r="K2089" s="16" t="n">
        <f aca="false">IF(B2089=-1,-1,VLOOKUP(C2089,$T$1:$V$20,3))</f>
        <v>23</v>
      </c>
      <c r="L2089" s="16" t="n">
        <f aca="false">IF(B2089=-1,-1,VLOOKUP(D2089,$Y$1:$AA$22,3))</f>
        <v>10</v>
      </c>
      <c r="N2089" s="10" t="str">
        <f aca="false">_xlfn.UNICHAR(((C2089*21)+G2089)*28+44032)</f>
        <v>트</v>
      </c>
      <c r="O2089" s="10" t="str">
        <f aca="false">_xlfn.UNICHAR(((F2089*21)+D2089)*28+44032)</f>
        <v>레</v>
      </c>
      <c r="P2089" s="12" t="n">
        <f aca="false">COUNTIF($A$2:$A$3000, N2089) + COUNTIF($A$2:$A$3000, O2089)</f>
        <v>2</v>
      </c>
      <c r="Q2089" s="16" t="str">
        <f aca="false">IF(OR(B2089=-1,I2089=0, P2089&lt;&gt;2), "albhed_dummy", _xlfn.CONCAT("albhed ", RIGHT("  " &amp; K2089,2),", ", RIGHT("  " &amp; L2089,2), ", " ,"""",H2089,""", ", """",N2089,""", ","""",O2089,""""," ; ", A2089))</f>
        <v>albhed 23, 10, "르", "트", "레" ; 텡</v>
      </c>
    </row>
    <row r="2090" customFormat="false" ht="17.9" hidden="false" customHeight="true" outlineLevel="0" collapsed="false">
      <c r="A2090" s="16" t="s">
        <v>2938</v>
      </c>
      <c r="B2090" s="16" t="n">
        <f aca="false">IF(_xlfn.UNICODE(A2090)&lt;44032,-1,_xlfn.UNICODE(A2090)-44032)</f>
        <v>9576</v>
      </c>
      <c r="C2090" s="16" t="n">
        <f aca="false">IF(B2090=-1,-1,INT((B2090/28)/21))</f>
        <v>16</v>
      </c>
      <c r="D2090" s="16" t="n">
        <f aca="false">IF(B2090=-1, -1, MOD(INT(B2090/28),21))</f>
        <v>6</v>
      </c>
      <c r="E2090" s="16" t="n">
        <f aca="false">IF(B2090=-1, -1, VLOOKUP(MOD(B2090,28), $T$24:$U$52,2))</f>
        <v>0</v>
      </c>
      <c r="F2090" s="16" t="n">
        <f aca="false">IF($B2090=-1, -1, VLOOKUP(C2090,$T$1:$V$20, 2))</f>
        <v>5</v>
      </c>
      <c r="G2090" s="16" t="n">
        <f aca="false">IF($B2090=-1, -1, VLOOKUP(D2090,$Y$1:$Z$22,2))</f>
        <v>12</v>
      </c>
      <c r="H2090" s="16" t="str">
        <f aca="false">_xlfn.UNICHAR(((F2090*21)+G2090)*28+44032)</f>
        <v>료</v>
      </c>
      <c r="I2090" s="16" t="n">
        <f aca="false">IF(B2090=-1, 1, COUNTIF($A$2:$A$3000, H2090))</f>
        <v>1</v>
      </c>
      <c r="J2090" s="10" t="str">
        <f aca="false">_xlfn.CONCAT(A2090, ",",H2090,",",I2090)</f>
        <v>텨,료,1</v>
      </c>
      <c r="K2090" s="16" t="n">
        <f aca="false">IF(B2090=-1,-1,VLOOKUP(C2090,$T$1:$V$20,3))</f>
        <v>23</v>
      </c>
      <c r="L2090" s="16" t="n">
        <f aca="false">IF(B2090=-1,-1,VLOOKUP(D2090,$Y$1:$AA$22,3))</f>
        <v>4</v>
      </c>
      <c r="N2090" s="10" t="str">
        <f aca="false">_xlfn.UNICHAR(((C2090*21)+G2090)*28+44032)</f>
        <v>툐</v>
      </c>
      <c r="O2090" s="10" t="str">
        <f aca="false">_xlfn.UNICHAR(((F2090*21)+D2090)*28+44032)</f>
        <v>려</v>
      </c>
      <c r="P2090" s="12" t="n">
        <f aca="false">COUNTIF($A$2:$A$3000, N2090) + COUNTIF($A$2:$A$3000, O2090)</f>
        <v>2</v>
      </c>
      <c r="Q2090" s="16" t="str">
        <f aca="false">IF(OR(B2090=-1,I2090=0, P2090&lt;&gt;2), "albhed_dummy", _xlfn.CONCAT("albhed ", RIGHT("  " &amp; K2090,2),", ", RIGHT("  " &amp; L2090,2), ", " ,"""",H2090,""", ", """",N2090,""", ","""",O2090,""""," ; ", A2090))</f>
        <v>albhed 23,  4, "료", "툐", "려" ; 텨</v>
      </c>
    </row>
    <row r="2091" customFormat="false" ht="17.9" hidden="false" customHeight="true" outlineLevel="0" collapsed="false">
      <c r="A2091" s="16" t="s">
        <v>2939</v>
      </c>
      <c r="B2091" s="16" t="n">
        <f aca="false">IF(_xlfn.UNICODE(A2091)&lt;44032,-1,_xlfn.UNICODE(A2091)-44032)</f>
        <v>9580</v>
      </c>
      <c r="C2091" s="16" t="n">
        <f aca="false">IF(B2091=-1,-1,INT((B2091/28)/21))</f>
        <v>16</v>
      </c>
      <c r="D2091" s="16" t="n">
        <f aca="false">IF(B2091=-1, -1, MOD(INT(B2091/28),21))</f>
        <v>6</v>
      </c>
      <c r="E2091" s="16" t="n">
        <f aca="false">IF(B2091=-1, -1, VLOOKUP(MOD(B2091,28), $T$24:$U$52,2))</f>
        <v>4</v>
      </c>
      <c r="F2091" s="16" t="n">
        <f aca="false">IF($B2091=-1, -1, VLOOKUP(C2091,$T$1:$V$20, 2))</f>
        <v>5</v>
      </c>
      <c r="G2091" s="16" t="n">
        <f aca="false">IF($B2091=-1, -1, VLOOKUP(D2091,$Y$1:$Z$22,2))</f>
        <v>12</v>
      </c>
      <c r="H2091" s="16" t="str">
        <f aca="false">_xlfn.UNICHAR(((F2091*21)+G2091)*28+44032)</f>
        <v>료</v>
      </c>
      <c r="I2091" s="16" t="n">
        <f aca="false">IF(B2091=-1, 1, COUNTIF($A$2:$A$3000, H2091))</f>
        <v>1</v>
      </c>
      <c r="J2091" s="10" t="str">
        <f aca="false">_xlfn.CONCAT(A2091, ",",H2091,",",I2091)</f>
        <v>텬,료,1</v>
      </c>
      <c r="K2091" s="16" t="n">
        <f aca="false">IF(B2091=-1,-1,VLOOKUP(C2091,$T$1:$V$20,3))</f>
        <v>23</v>
      </c>
      <c r="L2091" s="16" t="n">
        <f aca="false">IF(B2091=-1,-1,VLOOKUP(D2091,$Y$1:$AA$22,3))</f>
        <v>4</v>
      </c>
      <c r="N2091" s="10" t="str">
        <f aca="false">_xlfn.UNICHAR(((C2091*21)+G2091)*28+44032)</f>
        <v>툐</v>
      </c>
      <c r="O2091" s="10" t="str">
        <f aca="false">_xlfn.UNICHAR(((F2091*21)+D2091)*28+44032)</f>
        <v>려</v>
      </c>
      <c r="P2091" s="12" t="n">
        <f aca="false">COUNTIF($A$2:$A$3000, N2091) + COUNTIF($A$2:$A$3000, O2091)</f>
        <v>2</v>
      </c>
      <c r="Q2091" s="16" t="str">
        <f aca="false">IF(OR(B2091=-1,I2091=0, P2091&lt;&gt;2), "albhed_dummy", _xlfn.CONCAT("albhed ", RIGHT("  " &amp; K2091,2),", ", RIGHT("  " &amp; L2091,2), ", " ,"""",H2091,""", ", """",N2091,""", ","""",O2091,""""," ; ", A2091))</f>
        <v>albhed 23,  4, "료", "툐", "려" ; 텬</v>
      </c>
    </row>
    <row r="2092" customFormat="false" ht="17.9" hidden="false" customHeight="true" outlineLevel="0" collapsed="false">
      <c r="A2092" s="16" t="s">
        <v>2940</v>
      </c>
      <c r="B2092" s="16" t="n">
        <f aca="false">IF(_xlfn.UNICODE(A2092)&lt;44032,-1,_xlfn.UNICODE(A2092)-44032)</f>
        <v>9596</v>
      </c>
      <c r="C2092" s="16" t="n">
        <f aca="false">IF(B2092=-1,-1,INT((B2092/28)/21))</f>
        <v>16</v>
      </c>
      <c r="D2092" s="16" t="n">
        <f aca="false">IF(B2092=-1, -1, MOD(INT(B2092/28),21))</f>
        <v>6</v>
      </c>
      <c r="E2092" s="16" t="n">
        <f aca="false">IF(B2092=-1, -1, VLOOKUP(MOD(B2092,28), $T$24:$U$52,2))</f>
        <v>19</v>
      </c>
      <c r="F2092" s="16" t="n">
        <f aca="false">IF($B2092=-1, -1, VLOOKUP(C2092,$T$1:$V$20, 2))</f>
        <v>5</v>
      </c>
      <c r="G2092" s="16" t="n">
        <f aca="false">IF($B2092=-1, -1, VLOOKUP(D2092,$Y$1:$Z$22,2))</f>
        <v>12</v>
      </c>
      <c r="H2092" s="16" t="str">
        <f aca="false">_xlfn.UNICHAR(((F2092*21)+G2092)*28+44032)</f>
        <v>료</v>
      </c>
      <c r="I2092" s="16" t="n">
        <f aca="false">IF(B2092=-1, 1, COUNTIF($A$2:$A$3000, H2092))</f>
        <v>1</v>
      </c>
      <c r="J2092" s="10" t="str">
        <f aca="false">_xlfn.CONCAT(A2092, ",",H2092,",",I2092)</f>
        <v>텼,료,1</v>
      </c>
      <c r="K2092" s="16" t="n">
        <f aca="false">IF(B2092=-1,-1,VLOOKUP(C2092,$T$1:$V$20,3))</f>
        <v>23</v>
      </c>
      <c r="L2092" s="16" t="n">
        <f aca="false">IF(B2092=-1,-1,VLOOKUP(D2092,$Y$1:$AA$22,3))</f>
        <v>4</v>
      </c>
      <c r="N2092" s="10" t="str">
        <f aca="false">_xlfn.UNICHAR(((C2092*21)+G2092)*28+44032)</f>
        <v>툐</v>
      </c>
      <c r="O2092" s="10" t="str">
        <f aca="false">_xlfn.UNICHAR(((F2092*21)+D2092)*28+44032)</f>
        <v>려</v>
      </c>
      <c r="P2092" s="12" t="n">
        <f aca="false">COUNTIF($A$2:$A$3000, N2092) + COUNTIF($A$2:$A$3000, O2092)</f>
        <v>2</v>
      </c>
      <c r="Q2092" s="16" t="str">
        <f aca="false">IF(OR(B2092=-1,I2092=0, P2092&lt;&gt;2), "albhed_dummy", _xlfn.CONCAT("albhed ", RIGHT("  " &amp; K2092,2),", ", RIGHT("  " &amp; L2092,2), ", " ,"""",H2092,""", ", """",N2092,""", ","""",O2092,""""," ; ", A2092))</f>
        <v>albhed 23,  4, "료", "툐", "려" ; 텼</v>
      </c>
    </row>
    <row r="2093" customFormat="false" ht="17.9" hidden="false" customHeight="true" outlineLevel="0" collapsed="false">
      <c r="A2093" s="16" t="s">
        <v>2941</v>
      </c>
      <c r="B2093" s="16" t="n">
        <f aca="false">IF(_xlfn.UNICODE(A2093)&lt;44032,-1,_xlfn.UNICODE(A2093)-44032)</f>
        <v>9604</v>
      </c>
      <c r="C2093" s="16" t="n">
        <f aca="false">IF(B2093=-1,-1,INT((B2093/28)/21))</f>
        <v>16</v>
      </c>
      <c r="D2093" s="16" t="n">
        <f aca="false">IF(B2093=-1, -1, MOD(INT(B2093/28),21))</f>
        <v>7</v>
      </c>
      <c r="E2093" s="16" t="n">
        <f aca="false">IF(B2093=-1, -1, VLOOKUP(MOD(B2093,28), $T$24:$U$52,2))</f>
        <v>0</v>
      </c>
      <c r="F2093" s="16" t="n">
        <f aca="false">IF($B2093=-1, -1, VLOOKUP(C2093,$T$1:$V$20, 2))</f>
        <v>5</v>
      </c>
      <c r="G2093" s="16" t="n">
        <f aca="false">IF($B2093=-1, -1, VLOOKUP(D2093,$Y$1:$Z$22,2))</f>
        <v>18</v>
      </c>
      <c r="H2093" s="16" t="str">
        <f aca="false">_xlfn.UNICHAR(((F2093*21)+G2093)*28+44032)</f>
        <v>르</v>
      </c>
      <c r="I2093" s="16" t="n">
        <f aca="false">IF(B2093=-1, 1, COUNTIF($A$2:$A$3000, H2093))</f>
        <v>1</v>
      </c>
      <c r="J2093" s="10" t="str">
        <f aca="false">_xlfn.CONCAT(A2093, ",",H2093,",",I2093)</f>
        <v>톄,르,1</v>
      </c>
      <c r="K2093" s="16" t="n">
        <f aca="false">IF(B2093=-1,-1,VLOOKUP(C2093,$T$1:$V$20,3))</f>
        <v>23</v>
      </c>
      <c r="L2093" s="16" t="n">
        <f aca="false">IF(B2093=-1,-1,VLOOKUP(D2093,$Y$1:$AA$22,3))</f>
        <v>14</v>
      </c>
      <c r="N2093" s="10" t="str">
        <f aca="false">_xlfn.UNICHAR(((C2093*21)+G2093)*28+44032)</f>
        <v>트</v>
      </c>
      <c r="O2093" s="10" t="str">
        <f aca="false">_xlfn.UNICHAR(((F2093*21)+D2093)*28+44032)</f>
        <v>례</v>
      </c>
      <c r="P2093" s="12" t="n">
        <f aca="false">COUNTIF($A$2:$A$3000, N2093) + COUNTIF($A$2:$A$3000, O2093)</f>
        <v>2</v>
      </c>
      <c r="Q2093" s="16" t="str">
        <f aca="false">IF(OR(B2093=-1,I2093=0, P2093&lt;&gt;2), "albhed_dummy", _xlfn.CONCAT("albhed ", RIGHT("  " &amp; K2093,2),", ", RIGHT("  " &amp; L2093,2), ", " ,"""",H2093,""", ", """",N2093,""", ","""",O2093,""""," ; ", A2093))</f>
        <v>albhed 23, 14, "르", "트", "례" ; 톄</v>
      </c>
    </row>
    <row r="2094" customFormat="false" ht="17.9" hidden="false" customHeight="true" outlineLevel="0" collapsed="false">
      <c r="A2094" s="16" t="s">
        <v>2942</v>
      </c>
      <c r="B2094" s="16" t="n">
        <f aca="false">IF(_xlfn.UNICODE(A2094)&lt;44032,-1,_xlfn.UNICODE(A2094)-44032)</f>
        <v>9608</v>
      </c>
      <c r="C2094" s="16" t="n">
        <f aca="false">IF(B2094=-1,-1,INT((B2094/28)/21))</f>
        <v>16</v>
      </c>
      <c r="D2094" s="16" t="n">
        <f aca="false">IF(B2094=-1, -1, MOD(INT(B2094/28),21))</f>
        <v>7</v>
      </c>
      <c r="E2094" s="16" t="n">
        <f aca="false">IF(B2094=-1, -1, VLOOKUP(MOD(B2094,28), $T$24:$U$52,2))</f>
        <v>4</v>
      </c>
      <c r="F2094" s="16" t="n">
        <f aca="false">IF($B2094=-1, -1, VLOOKUP(C2094,$T$1:$V$20, 2))</f>
        <v>5</v>
      </c>
      <c r="G2094" s="16" t="n">
        <f aca="false">IF($B2094=-1, -1, VLOOKUP(D2094,$Y$1:$Z$22,2))</f>
        <v>18</v>
      </c>
      <c r="H2094" s="16" t="str">
        <f aca="false">_xlfn.UNICHAR(((F2094*21)+G2094)*28+44032)</f>
        <v>르</v>
      </c>
      <c r="I2094" s="16" t="n">
        <f aca="false">IF(B2094=-1, 1, COUNTIF($A$2:$A$3000, H2094))</f>
        <v>1</v>
      </c>
      <c r="J2094" s="10" t="str">
        <f aca="false">_xlfn.CONCAT(A2094, ",",H2094,",",I2094)</f>
        <v>톈,르,1</v>
      </c>
      <c r="K2094" s="16" t="n">
        <f aca="false">IF(B2094=-1,-1,VLOOKUP(C2094,$T$1:$V$20,3))</f>
        <v>23</v>
      </c>
      <c r="L2094" s="16" t="n">
        <f aca="false">IF(B2094=-1,-1,VLOOKUP(D2094,$Y$1:$AA$22,3))</f>
        <v>14</v>
      </c>
      <c r="N2094" s="10" t="str">
        <f aca="false">_xlfn.UNICHAR(((C2094*21)+G2094)*28+44032)</f>
        <v>트</v>
      </c>
      <c r="O2094" s="10" t="str">
        <f aca="false">_xlfn.UNICHAR(((F2094*21)+D2094)*28+44032)</f>
        <v>례</v>
      </c>
      <c r="P2094" s="12" t="n">
        <f aca="false">COUNTIF($A$2:$A$3000, N2094) + COUNTIF($A$2:$A$3000, O2094)</f>
        <v>2</v>
      </c>
      <c r="Q2094" s="16" t="str">
        <f aca="false">IF(OR(B2094=-1,I2094=0, P2094&lt;&gt;2), "albhed_dummy", _xlfn.CONCAT("albhed ", RIGHT("  " &amp; K2094,2),", ", RIGHT("  " &amp; L2094,2), ", " ,"""",H2094,""", ", """",N2094,""", ","""",O2094,""""," ; ", A2094))</f>
        <v>albhed 23, 14, "르", "트", "례" ; 톈</v>
      </c>
    </row>
    <row r="2095" customFormat="false" ht="17.9" hidden="false" customHeight="true" outlineLevel="0" collapsed="false">
      <c r="A2095" s="16" t="s">
        <v>797</v>
      </c>
      <c r="B2095" s="16" t="n">
        <f aca="false">IF(_xlfn.UNICODE(A2095)&lt;44032,-1,_xlfn.UNICODE(A2095)-44032)</f>
        <v>9632</v>
      </c>
      <c r="C2095" s="16" t="n">
        <f aca="false">IF(B2095=-1,-1,INT((B2095/28)/21))</f>
        <v>16</v>
      </c>
      <c r="D2095" s="16" t="n">
        <f aca="false">IF(B2095=-1, -1, MOD(INT(B2095/28),21))</f>
        <v>8</v>
      </c>
      <c r="E2095" s="16" t="n">
        <f aca="false">IF(B2095=-1, -1, VLOOKUP(MOD(B2095,28), $T$24:$U$52,2))</f>
        <v>0</v>
      </c>
      <c r="F2095" s="16" t="n">
        <f aca="false">IF($B2095=-1, -1, VLOOKUP(C2095,$T$1:$V$20, 2))</f>
        <v>5</v>
      </c>
      <c r="G2095" s="16" t="n">
        <f aca="false">IF($B2095=-1, -1, VLOOKUP(D2095,$Y$1:$Z$22,2))</f>
        <v>4</v>
      </c>
      <c r="H2095" s="16" t="str">
        <f aca="false">_xlfn.UNICHAR(((F2095*21)+G2095)*28+44032)</f>
        <v>러</v>
      </c>
      <c r="I2095" s="16" t="n">
        <f aca="false">IF(B2095=-1, 1, COUNTIF($A$2:$A$3000, H2095))</f>
        <v>1</v>
      </c>
      <c r="J2095" s="10" t="str">
        <f aca="false">_xlfn.CONCAT(A2095, ",",H2095,",",I2095)</f>
        <v>토,러,1</v>
      </c>
      <c r="K2095" s="16" t="n">
        <f aca="false">IF(B2095=-1,-1,VLOOKUP(C2095,$T$1:$V$20,3))</f>
        <v>23</v>
      </c>
      <c r="L2095" s="16" t="n">
        <f aca="false">IF(B2095=-1,-1,VLOOKUP(D2095,$Y$1:$AA$22,3))</f>
        <v>8</v>
      </c>
      <c r="N2095" s="10" t="str">
        <f aca="false">_xlfn.UNICHAR(((C2095*21)+G2095)*28+44032)</f>
        <v>터</v>
      </c>
      <c r="O2095" s="10" t="str">
        <f aca="false">_xlfn.UNICHAR(((F2095*21)+D2095)*28+44032)</f>
        <v>로</v>
      </c>
      <c r="P2095" s="12" t="n">
        <f aca="false">COUNTIF($A$2:$A$3000, N2095) + COUNTIF($A$2:$A$3000, O2095)</f>
        <v>2</v>
      </c>
      <c r="Q2095" s="16" t="str">
        <f aca="false">IF(OR(B2095=-1,I2095=0, P2095&lt;&gt;2), "albhed_dummy", _xlfn.CONCAT("albhed ", RIGHT("  " &amp; K2095,2),", ", RIGHT("  " &amp; L2095,2), ", " ,"""",H2095,""", ", """",N2095,""", ","""",O2095,""""," ; ", A2095))</f>
        <v>albhed 23,  8, "러", "터", "로" ; 토</v>
      </c>
    </row>
    <row r="2096" customFormat="false" ht="17.9" hidden="false" customHeight="true" outlineLevel="0" collapsed="false">
      <c r="A2096" s="16" t="s">
        <v>2943</v>
      </c>
      <c r="B2096" s="16" t="n">
        <f aca="false">IF(_xlfn.UNICODE(A2096)&lt;44032,-1,_xlfn.UNICODE(A2096)-44032)</f>
        <v>9633</v>
      </c>
      <c r="C2096" s="16" t="n">
        <f aca="false">IF(B2096=-1,-1,INT((B2096/28)/21))</f>
        <v>16</v>
      </c>
      <c r="D2096" s="16" t="n">
        <f aca="false">IF(B2096=-1, -1, MOD(INT(B2096/28),21))</f>
        <v>8</v>
      </c>
      <c r="E2096" s="16" t="n">
        <f aca="false">IF(B2096=-1, -1, VLOOKUP(MOD(B2096,28), $T$24:$U$52,2))</f>
        <v>1</v>
      </c>
      <c r="F2096" s="16" t="n">
        <f aca="false">IF($B2096=-1, -1, VLOOKUP(C2096,$T$1:$V$20, 2))</f>
        <v>5</v>
      </c>
      <c r="G2096" s="16" t="n">
        <f aca="false">IF($B2096=-1, -1, VLOOKUP(D2096,$Y$1:$Z$22,2))</f>
        <v>4</v>
      </c>
      <c r="H2096" s="16" t="str">
        <f aca="false">_xlfn.UNICHAR(((F2096*21)+G2096)*28+44032)</f>
        <v>러</v>
      </c>
      <c r="I2096" s="16" t="n">
        <f aca="false">IF(B2096=-1, 1, COUNTIF($A$2:$A$3000, H2096))</f>
        <v>1</v>
      </c>
      <c r="J2096" s="10" t="str">
        <f aca="false">_xlfn.CONCAT(A2096, ",",H2096,",",I2096)</f>
        <v>톡,러,1</v>
      </c>
      <c r="K2096" s="16" t="n">
        <f aca="false">IF(B2096=-1,-1,VLOOKUP(C2096,$T$1:$V$20,3))</f>
        <v>23</v>
      </c>
      <c r="L2096" s="16" t="n">
        <f aca="false">IF(B2096=-1,-1,VLOOKUP(D2096,$Y$1:$AA$22,3))</f>
        <v>8</v>
      </c>
      <c r="N2096" s="10" t="str">
        <f aca="false">_xlfn.UNICHAR(((C2096*21)+G2096)*28+44032)</f>
        <v>터</v>
      </c>
      <c r="O2096" s="10" t="str">
        <f aca="false">_xlfn.UNICHAR(((F2096*21)+D2096)*28+44032)</f>
        <v>로</v>
      </c>
      <c r="P2096" s="12" t="n">
        <f aca="false">COUNTIF($A$2:$A$3000, N2096) + COUNTIF($A$2:$A$3000, O2096)</f>
        <v>2</v>
      </c>
      <c r="Q2096" s="16" t="str">
        <f aca="false">IF(OR(B2096=-1,I2096=0, P2096&lt;&gt;2), "albhed_dummy", _xlfn.CONCAT("albhed ", RIGHT("  " &amp; K2096,2),", ", RIGHT("  " &amp; L2096,2), ", " ,"""",H2096,""", ", """",N2096,""", ","""",O2096,""""," ; ", A2096))</f>
        <v>albhed 23,  8, "러", "터", "로" ; 톡</v>
      </c>
    </row>
    <row r="2097" customFormat="false" ht="17.9" hidden="false" customHeight="true" outlineLevel="0" collapsed="false">
      <c r="A2097" s="16" t="s">
        <v>2944</v>
      </c>
      <c r="B2097" s="16" t="n">
        <f aca="false">IF(_xlfn.UNICODE(A2097)&lt;44032,-1,_xlfn.UNICODE(A2097)-44032)</f>
        <v>9636</v>
      </c>
      <c r="C2097" s="16" t="n">
        <f aca="false">IF(B2097=-1,-1,INT((B2097/28)/21))</f>
        <v>16</v>
      </c>
      <c r="D2097" s="16" t="n">
        <f aca="false">IF(B2097=-1, -1, MOD(INT(B2097/28),21))</f>
        <v>8</v>
      </c>
      <c r="E2097" s="16" t="n">
        <f aca="false">IF(B2097=-1, -1, VLOOKUP(MOD(B2097,28), $T$24:$U$52,2))</f>
        <v>4</v>
      </c>
      <c r="F2097" s="16" t="n">
        <f aca="false">IF($B2097=-1, -1, VLOOKUP(C2097,$T$1:$V$20, 2))</f>
        <v>5</v>
      </c>
      <c r="G2097" s="16" t="n">
        <f aca="false">IF($B2097=-1, -1, VLOOKUP(D2097,$Y$1:$Z$22,2))</f>
        <v>4</v>
      </c>
      <c r="H2097" s="16" t="str">
        <f aca="false">_xlfn.UNICHAR(((F2097*21)+G2097)*28+44032)</f>
        <v>러</v>
      </c>
      <c r="I2097" s="16" t="n">
        <f aca="false">IF(B2097=-1, 1, COUNTIF($A$2:$A$3000, H2097))</f>
        <v>1</v>
      </c>
      <c r="J2097" s="10" t="str">
        <f aca="false">_xlfn.CONCAT(A2097, ",",H2097,",",I2097)</f>
        <v>톤,러,1</v>
      </c>
      <c r="K2097" s="16" t="n">
        <f aca="false">IF(B2097=-1,-1,VLOOKUP(C2097,$T$1:$V$20,3))</f>
        <v>23</v>
      </c>
      <c r="L2097" s="16" t="n">
        <f aca="false">IF(B2097=-1,-1,VLOOKUP(D2097,$Y$1:$AA$22,3))</f>
        <v>8</v>
      </c>
      <c r="N2097" s="10" t="str">
        <f aca="false">_xlfn.UNICHAR(((C2097*21)+G2097)*28+44032)</f>
        <v>터</v>
      </c>
      <c r="O2097" s="10" t="str">
        <f aca="false">_xlfn.UNICHAR(((F2097*21)+D2097)*28+44032)</f>
        <v>로</v>
      </c>
      <c r="P2097" s="12" t="n">
        <f aca="false">COUNTIF($A$2:$A$3000, N2097) + COUNTIF($A$2:$A$3000, O2097)</f>
        <v>2</v>
      </c>
      <c r="Q2097" s="16" t="str">
        <f aca="false">IF(OR(B2097=-1,I2097=0, P2097&lt;&gt;2), "albhed_dummy", _xlfn.CONCAT("albhed ", RIGHT("  " &amp; K2097,2),", ", RIGHT("  " &amp; L2097,2), ", " ,"""",H2097,""", ", """",N2097,""", ","""",O2097,""""," ; ", A2097))</f>
        <v>albhed 23,  8, "러", "터", "로" ; 톤</v>
      </c>
    </row>
    <row r="2098" customFormat="false" ht="17.9" hidden="false" customHeight="true" outlineLevel="0" collapsed="false">
      <c r="A2098" s="16" t="s">
        <v>2945</v>
      </c>
      <c r="B2098" s="16" t="n">
        <f aca="false">IF(_xlfn.UNICODE(A2098)&lt;44032,-1,_xlfn.UNICODE(A2098)-44032)</f>
        <v>9640</v>
      </c>
      <c r="C2098" s="16" t="n">
        <f aca="false">IF(B2098=-1,-1,INT((B2098/28)/21))</f>
        <v>16</v>
      </c>
      <c r="D2098" s="16" t="n">
        <f aca="false">IF(B2098=-1, -1, MOD(INT(B2098/28),21))</f>
        <v>8</v>
      </c>
      <c r="E2098" s="16" t="n">
        <f aca="false">IF(B2098=-1, -1, VLOOKUP(MOD(B2098,28), $T$24:$U$52,2))</f>
        <v>8</v>
      </c>
      <c r="F2098" s="16" t="n">
        <f aca="false">IF($B2098=-1, -1, VLOOKUP(C2098,$T$1:$V$20, 2))</f>
        <v>5</v>
      </c>
      <c r="G2098" s="16" t="n">
        <f aca="false">IF($B2098=-1, -1, VLOOKUP(D2098,$Y$1:$Z$22,2))</f>
        <v>4</v>
      </c>
      <c r="H2098" s="16" t="str">
        <f aca="false">_xlfn.UNICHAR(((F2098*21)+G2098)*28+44032)</f>
        <v>러</v>
      </c>
      <c r="I2098" s="16" t="n">
        <f aca="false">IF(B2098=-1, 1, COUNTIF($A$2:$A$3000, H2098))</f>
        <v>1</v>
      </c>
      <c r="J2098" s="10" t="str">
        <f aca="false">_xlfn.CONCAT(A2098, ",",H2098,",",I2098)</f>
        <v>톨,러,1</v>
      </c>
      <c r="K2098" s="16" t="n">
        <f aca="false">IF(B2098=-1,-1,VLOOKUP(C2098,$T$1:$V$20,3))</f>
        <v>23</v>
      </c>
      <c r="L2098" s="16" t="n">
        <f aca="false">IF(B2098=-1,-1,VLOOKUP(D2098,$Y$1:$AA$22,3))</f>
        <v>8</v>
      </c>
      <c r="N2098" s="10" t="str">
        <f aca="false">_xlfn.UNICHAR(((C2098*21)+G2098)*28+44032)</f>
        <v>터</v>
      </c>
      <c r="O2098" s="10" t="str">
        <f aca="false">_xlfn.UNICHAR(((F2098*21)+D2098)*28+44032)</f>
        <v>로</v>
      </c>
      <c r="P2098" s="12" t="n">
        <f aca="false">COUNTIF($A$2:$A$3000, N2098) + COUNTIF($A$2:$A$3000, O2098)</f>
        <v>2</v>
      </c>
      <c r="Q2098" s="16" t="str">
        <f aca="false">IF(OR(B2098=-1,I2098=0, P2098&lt;&gt;2), "albhed_dummy", _xlfn.CONCAT("albhed ", RIGHT("  " &amp; K2098,2),", ", RIGHT("  " &amp; L2098,2), ", " ,"""",H2098,""", ", """",N2098,""", ","""",O2098,""""," ; ", A2098))</f>
        <v>albhed 23,  8, "러", "터", "로" ; 톨</v>
      </c>
    </row>
    <row r="2099" customFormat="false" ht="17.9" hidden="false" customHeight="true" outlineLevel="0" collapsed="false">
      <c r="A2099" s="16" t="s">
        <v>2946</v>
      </c>
      <c r="B2099" s="16" t="n">
        <f aca="false">IF(_xlfn.UNICODE(A2099)&lt;44032,-1,_xlfn.UNICODE(A2099)-44032)</f>
        <v>9648</v>
      </c>
      <c r="C2099" s="16" t="n">
        <f aca="false">IF(B2099=-1,-1,INT((B2099/28)/21))</f>
        <v>16</v>
      </c>
      <c r="D2099" s="16" t="n">
        <f aca="false">IF(B2099=-1, -1, MOD(INT(B2099/28),21))</f>
        <v>8</v>
      </c>
      <c r="E2099" s="16" t="n">
        <f aca="false">IF(B2099=-1, -1, VLOOKUP(MOD(B2099,28), $T$24:$U$52,2))</f>
        <v>16</v>
      </c>
      <c r="F2099" s="16" t="n">
        <f aca="false">IF($B2099=-1, -1, VLOOKUP(C2099,$T$1:$V$20, 2))</f>
        <v>5</v>
      </c>
      <c r="G2099" s="16" t="n">
        <f aca="false">IF($B2099=-1, -1, VLOOKUP(D2099,$Y$1:$Z$22,2))</f>
        <v>4</v>
      </c>
      <c r="H2099" s="16" t="str">
        <f aca="false">_xlfn.UNICHAR(((F2099*21)+G2099)*28+44032)</f>
        <v>러</v>
      </c>
      <c r="I2099" s="16" t="n">
        <f aca="false">IF(B2099=-1, 1, COUNTIF($A$2:$A$3000, H2099))</f>
        <v>1</v>
      </c>
      <c r="J2099" s="10" t="str">
        <f aca="false">_xlfn.CONCAT(A2099, ",",H2099,",",I2099)</f>
        <v>톰,러,1</v>
      </c>
      <c r="K2099" s="16" t="n">
        <f aca="false">IF(B2099=-1,-1,VLOOKUP(C2099,$T$1:$V$20,3))</f>
        <v>23</v>
      </c>
      <c r="L2099" s="16" t="n">
        <f aca="false">IF(B2099=-1,-1,VLOOKUP(D2099,$Y$1:$AA$22,3))</f>
        <v>8</v>
      </c>
      <c r="N2099" s="10" t="str">
        <f aca="false">_xlfn.UNICHAR(((C2099*21)+G2099)*28+44032)</f>
        <v>터</v>
      </c>
      <c r="O2099" s="10" t="str">
        <f aca="false">_xlfn.UNICHAR(((F2099*21)+D2099)*28+44032)</f>
        <v>로</v>
      </c>
      <c r="P2099" s="12" t="n">
        <f aca="false">COUNTIF($A$2:$A$3000, N2099) + COUNTIF($A$2:$A$3000, O2099)</f>
        <v>2</v>
      </c>
      <c r="Q2099" s="16" t="str">
        <f aca="false">IF(OR(B2099=-1,I2099=0, P2099&lt;&gt;2), "albhed_dummy", _xlfn.CONCAT("albhed ", RIGHT("  " &amp; K2099,2),", ", RIGHT("  " &amp; L2099,2), ", " ,"""",H2099,""", ", """",N2099,""", ","""",O2099,""""," ; ", A2099))</f>
        <v>albhed 23,  8, "러", "터", "로" ; 톰</v>
      </c>
    </row>
    <row r="2100" customFormat="false" ht="17.9" hidden="false" customHeight="true" outlineLevel="0" collapsed="false">
      <c r="A2100" s="16" t="s">
        <v>2947</v>
      </c>
      <c r="B2100" s="16" t="n">
        <f aca="false">IF(_xlfn.UNICODE(A2100)&lt;44032,-1,_xlfn.UNICODE(A2100)-44032)</f>
        <v>9649</v>
      </c>
      <c r="C2100" s="16" t="n">
        <f aca="false">IF(B2100=-1,-1,INT((B2100/28)/21))</f>
        <v>16</v>
      </c>
      <c r="D2100" s="16" t="n">
        <f aca="false">IF(B2100=-1, -1, MOD(INT(B2100/28),21))</f>
        <v>8</v>
      </c>
      <c r="E2100" s="16" t="n">
        <f aca="false">IF(B2100=-1, -1, VLOOKUP(MOD(B2100,28), $T$24:$U$52,2))</f>
        <v>17</v>
      </c>
      <c r="F2100" s="16" t="n">
        <f aca="false">IF($B2100=-1, -1, VLOOKUP(C2100,$T$1:$V$20, 2))</f>
        <v>5</v>
      </c>
      <c r="G2100" s="16" t="n">
        <f aca="false">IF($B2100=-1, -1, VLOOKUP(D2100,$Y$1:$Z$22,2))</f>
        <v>4</v>
      </c>
      <c r="H2100" s="16" t="str">
        <f aca="false">_xlfn.UNICHAR(((F2100*21)+G2100)*28+44032)</f>
        <v>러</v>
      </c>
      <c r="I2100" s="16" t="n">
        <f aca="false">IF(B2100=-1, 1, COUNTIF($A$2:$A$3000, H2100))</f>
        <v>1</v>
      </c>
      <c r="J2100" s="10" t="str">
        <f aca="false">_xlfn.CONCAT(A2100, ",",H2100,",",I2100)</f>
        <v>톱,러,1</v>
      </c>
      <c r="K2100" s="16" t="n">
        <f aca="false">IF(B2100=-1,-1,VLOOKUP(C2100,$T$1:$V$20,3))</f>
        <v>23</v>
      </c>
      <c r="L2100" s="16" t="n">
        <f aca="false">IF(B2100=-1,-1,VLOOKUP(D2100,$Y$1:$AA$22,3))</f>
        <v>8</v>
      </c>
      <c r="N2100" s="10" t="str">
        <f aca="false">_xlfn.UNICHAR(((C2100*21)+G2100)*28+44032)</f>
        <v>터</v>
      </c>
      <c r="O2100" s="10" t="str">
        <f aca="false">_xlfn.UNICHAR(((F2100*21)+D2100)*28+44032)</f>
        <v>로</v>
      </c>
      <c r="P2100" s="12" t="n">
        <f aca="false">COUNTIF($A$2:$A$3000, N2100) + COUNTIF($A$2:$A$3000, O2100)</f>
        <v>2</v>
      </c>
      <c r="Q2100" s="16" t="str">
        <f aca="false">IF(OR(B2100=-1,I2100=0, P2100&lt;&gt;2), "albhed_dummy", _xlfn.CONCAT("albhed ", RIGHT("  " &amp; K2100,2),", ", RIGHT("  " &amp; L2100,2), ", " ,"""",H2100,""", ", """",N2100,""", ","""",O2100,""""," ; ", A2100))</f>
        <v>albhed 23,  8, "러", "터", "로" ; 톱</v>
      </c>
    </row>
    <row r="2101" customFormat="false" ht="17.9" hidden="false" customHeight="true" outlineLevel="0" collapsed="false">
      <c r="A2101" s="16" t="s">
        <v>2948</v>
      </c>
      <c r="B2101" s="16" t="n">
        <f aca="false">IF(_xlfn.UNICODE(A2101)&lt;44032,-1,_xlfn.UNICODE(A2101)-44032)</f>
        <v>9651</v>
      </c>
      <c r="C2101" s="16" t="n">
        <f aca="false">IF(B2101=-1,-1,INT((B2101/28)/21))</f>
        <v>16</v>
      </c>
      <c r="D2101" s="16" t="n">
        <f aca="false">IF(B2101=-1, -1, MOD(INT(B2101/28),21))</f>
        <v>8</v>
      </c>
      <c r="E2101" s="16" t="n">
        <f aca="false">IF(B2101=-1, -1, VLOOKUP(MOD(B2101,28), $T$24:$U$52,2))</f>
        <v>19</v>
      </c>
      <c r="F2101" s="16" t="n">
        <f aca="false">IF($B2101=-1, -1, VLOOKUP(C2101,$T$1:$V$20, 2))</f>
        <v>5</v>
      </c>
      <c r="G2101" s="16" t="n">
        <f aca="false">IF($B2101=-1, -1, VLOOKUP(D2101,$Y$1:$Z$22,2))</f>
        <v>4</v>
      </c>
      <c r="H2101" s="16" t="str">
        <f aca="false">_xlfn.UNICHAR(((F2101*21)+G2101)*28+44032)</f>
        <v>러</v>
      </c>
      <c r="I2101" s="16" t="n">
        <f aca="false">IF(B2101=-1, 1, COUNTIF($A$2:$A$3000, H2101))</f>
        <v>1</v>
      </c>
      <c r="J2101" s="10" t="str">
        <f aca="false">_xlfn.CONCAT(A2101, ",",H2101,",",I2101)</f>
        <v>톳,러,1</v>
      </c>
      <c r="K2101" s="16" t="n">
        <f aca="false">IF(B2101=-1,-1,VLOOKUP(C2101,$T$1:$V$20,3))</f>
        <v>23</v>
      </c>
      <c r="L2101" s="16" t="n">
        <f aca="false">IF(B2101=-1,-1,VLOOKUP(D2101,$Y$1:$AA$22,3))</f>
        <v>8</v>
      </c>
      <c r="N2101" s="10" t="str">
        <f aca="false">_xlfn.UNICHAR(((C2101*21)+G2101)*28+44032)</f>
        <v>터</v>
      </c>
      <c r="O2101" s="10" t="str">
        <f aca="false">_xlfn.UNICHAR(((F2101*21)+D2101)*28+44032)</f>
        <v>로</v>
      </c>
      <c r="P2101" s="12" t="n">
        <f aca="false">COUNTIF($A$2:$A$3000, N2101) + COUNTIF($A$2:$A$3000, O2101)</f>
        <v>2</v>
      </c>
      <c r="Q2101" s="16" t="str">
        <f aca="false">IF(OR(B2101=-1,I2101=0, P2101&lt;&gt;2), "albhed_dummy", _xlfn.CONCAT("albhed ", RIGHT("  " &amp; K2101,2),", ", RIGHT("  " &amp; L2101,2), ", " ,"""",H2101,""", ", """",N2101,""", ","""",O2101,""""," ; ", A2101))</f>
        <v>albhed 23,  8, "러", "터", "로" ; 톳</v>
      </c>
    </row>
    <row r="2102" customFormat="false" ht="17.9" hidden="false" customHeight="true" outlineLevel="0" collapsed="false">
      <c r="A2102" s="16" t="s">
        <v>2949</v>
      </c>
      <c r="B2102" s="16" t="n">
        <f aca="false">IF(_xlfn.UNICODE(A2102)&lt;44032,-1,_xlfn.UNICODE(A2102)-44032)</f>
        <v>9653</v>
      </c>
      <c r="C2102" s="16" t="n">
        <f aca="false">IF(B2102=-1,-1,INT((B2102/28)/21))</f>
        <v>16</v>
      </c>
      <c r="D2102" s="16" t="n">
        <f aca="false">IF(B2102=-1, -1, MOD(INT(B2102/28),21))</f>
        <v>8</v>
      </c>
      <c r="E2102" s="16" t="n">
        <f aca="false">IF(B2102=-1, -1, VLOOKUP(MOD(B2102,28), $T$24:$U$52,2))</f>
        <v>21</v>
      </c>
      <c r="F2102" s="16" t="n">
        <f aca="false">IF($B2102=-1, -1, VLOOKUP(C2102,$T$1:$V$20, 2))</f>
        <v>5</v>
      </c>
      <c r="G2102" s="16" t="n">
        <f aca="false">IF($B2102=-1, -1, VLOOKUP(D2102,$Y$1:$Z$22,2))</f>
        <v>4</v>
      </c>
      <c r="H2102" s="16" t="str">
        <f aca="false">_xlfn.UNICHAR(((F2102*21)+G2102)*28+44032)</f>
        <v>러</v>
      </c>
      <c r="I2102" s="16" t="n">
        <f aca="false">IF(B2102=-1, 1, COUNTIF($A$2:$A$3000, H2102))</f>
        <v>1</v>
      </c>
      <c r="J2102" s="10" t="str">
        <f aca="false">_xlfn.CONCAT(A2102, ",",H2102,",",I2102)</f>
        <v>통,러,1</v>
      </c>
      <c r="K2102" s="16" t="n">
        <f aca="false">IF(B2102=-1,-1,VLOOKUP(C2102,$T$1:$V$20,3))</f>
        <v>23</v>
      </c>
      <c r="L2102" s="16" t="n">
        <f aca="false">IF(B2102=-1,-1,VLOOKUP(D2102,$Y$1:$AA$22,3))</f>
        <v>8</v>
      </c>
      <c r="N2102" s="10" t="str">
        <f aca="false">_xlfn.UNICHAR(((C2102*21)+G2102)*28+44032)</f>
        <v>터</v>
      </c>
      <c r="O2102" s="10" t="str">
        <f aca="false">_xlfn.UNICHAR(((F2102*21)+D2102)*28+44032)</f>
        <v>로</v>
      </c>
      <c r="P2102" s="12" t="n">
        <f aca="false">COUNTIF($A$2:$A$3000, N2102) + COUNTIF($A$2:$A$3000, O2102)</f>
        <v>2</v>
      </c>
      <c r="Q2102" s="16" t="str">
        <f aca="false">IF(OR(B2102=-1,I2102=0, P2102&lt;&gt;2), "albhed_dummy", _xlfn.CONCAT("albhed ", RIGHT("  " &amp; K2102,2),", ", RIGHT("  " &amp; L2102,2), ", " ,"""",H2102,""", ", """",N2102,""", ","""",O2102,""""," ; ", A2102))</f>
        <v>albhed 23,  8, "러", "터", "로" ; 통</v>
      </c>
    </row>
    <row r="2103" customFormat="false" ht="17.9" hidden="false" customHeight="true" outlineLevel="0" collapsed="false">
      <c r="A2103" s="16" t="s">
        <v>2950</v>
      </c>
      <c r="B2103" s="16" t="n">
        <f aca="false">IF(_xlfn.UNICODE(A2103)&lt;44032,-1,_xlfn.UNICODE(A2103)-44032)</f>
        <v>9658</v>
      </c>
      <c r="C2103" s="16" t="n">
        <f aca="false">IF(B2103=-1,-1,INT((B2103/28)/21))</f>
        <v>16</v>
      </c>
      <c r="D2103" s="16" t="n">
        <f aca="false">IF(B2103=-1, -1, MOD(INT(B2103/28),21))</f>
        <v>8</v>
      </c>
      <c r="E2103" s="16" t="n">
        <f aca="false">IF(B2103=-1, -1, VLOOKUP(MOD(B2103,28), $T$24:$U$52,2))</f>
        <v>17</v>
      </c>
      <c r="F2103" s="16" t="n">
        <f aca="false">IF($B2103=-1, -1, VLOOKUP(C2103,$T$1:$V$20, 2))</f>
        <v>5</v>
      </c>
      <c r="G2103" s="16" t="n">
        <f aca="false">IF($B2103=-1, -1, VLOOKUP(D2103,$Y$1:$Z$22,2))</f>
        <v>4</v>
      </c>
      <c r="H2103" s="16" t="str">
        <f aca="false">_xlfn.UNICHAR(((F2103*21)+G2103)*28+44032)</f>
        <v>러</v>
      </c>
      <c r="I2103" s="16" t="n">
        <f aca="false">IF(B2103=-1, 1, COUNTIF($A$2:$A$3000, H2103))</f>
        <v>1</v>
      </c>
      <c r="J2103" s="10" t="str">
        <f aca="false">_xlfn.CONCAT(A2103, ",",H2103,",",I2103)</f>
        <v>톺,러,1</v>
      </c>
      <c r="K2103" s="16" t="n">
        <f aca="false">IF(B2103=-1,-1,VLOOKUP(C2103,$T$1:$V$20,3))</f>
        <v>23</v>
      </c>
      <c r="L2103" s="16" t="n">
        <f aca="false">IF(B2103=-1,-1,VLOOKUP(D2103,$Y$1:$AA$22,3))</f>
        <v>8</v>
      </c>
      <c r="N2103" s="10" t="str">
        <f aca="false">_xlfn.UNICHAR(((C2103*21)+G2103)*28+44032)</f>
        <v>터</v>
      </c>
      <c r="O2103" s="10" t="str">
        <f aca="false">_xlfn.UNICHAR(((F2103*21)+D2103)*28+44032)</f>
        <v>로</v>
      </c>
      <c r="P2103" s="12" t="n">
        <f aca="false">COUNTIF($A$2:$A$3000, N2103) + COUNTIF($A$2:$A$3000, O2103)</f>
        <v>2</v>
      </c>
      <c r="Q2103" s="16" t="str">
        <f aca="false">IF(OR(B2103=-1,I2103=0, P2103&lt;&gt;2), "albhed_dummy", _xlfn.CONCAT("albhed ", RIGHT("  " &amp; K2103,2),", ", RIGHT("  " &amp; L2103,2), ", " ,"""",H2103,""", ", """",N2103,""", ","""",O2103,""""," ; ", A2103))</f>
        <v>albhed 23,  8, "러", "터", "로" ; 톺</v>
      </c>
    </row>
    <row r="2104" customFormat="false" ht="17.9" hidden="false" customHeight="true" outlineLevel="0" collapsed="false">
      <c r="A2104" s="16" t="s">
        <v>2951</v>
      </c>
      <c r="B2104" s="16" t="n">
        <f aca="false">IF(_xlfn.UNICODE(A2104)&lt;44032,-1,_xlfn.UNICODE(A2104)-44032)</f>
        <v>9660</v>
      </c>
      <c r="C2104" s="16" t="n">
        <f aca="false">IF(B2104=-1,-1,INT((B2104/28)/21))</f>
        <v>16</v>
      </c>
      <c r="D2104" s="16" t="n">
        <f aca="false">IF(B2104=-1, -1, MOD(INT(B2104/28),21))</f>
        <v>9</v>
      </c>
      <c r="E2104" s="16" t="n">
        <f aca="false">IF(B2104=-1, -1, VLOOKUP(MOD(B2104,28), $T$24:$U$52,2))</f>
        <v>0</v>
      </c>
      <c r="F2104" s="16" t="n">
        <f aca="false">IF($B2104=-1, -1, VLOOKUP(C2104,$T$1:$V$20, 2))</f>
        <v>5</v>
      </c>
      <c r="G2104" s="16" t="n">
        <f aca="false">IF($B2104=-1, -1, VLOOKUP(D2104,$Y$1:$Z$22,2))</f>
        <v>20</v>
      </c>
      <c r="H2104" s="16" t="str">
        <f aca="false">_xlfn.UNICHAR(((F2104*21)+G2104)*28+44032)</f>
        <v>리</v>
      </c>
      <c r="I2104" s="16" t="n">
        <f aca="false">IF(B2104=-1, 1, COUNTIF($A$2:$A$3000, H2104))</f>
        <v>1</v>
      </c>
      <c r="J2104" s="10" t="str">
        <f aca="false">_xlfn.CONCAT(A2104, ",",H2104,",",I2104)</f>
        <v>톼,리,1</v>
      </c>
      <c r="K2104" s="16" t="n">
        <f aca="false">IF(B2104=-1,-1,VLOOKUP(C2104,$T$1:$V$20,3))</f>
        <v>23</v>
      </c>
      <c r="L2104" s="16" t="n">
        <f aca="false">IF(B2104=-1,-1,VLOOKUP(D2104,$Y$1:$AA$22,3))</f>
        <v>12</v>
      </c>
      <c r="N2104" s="10" t="str">
        <f aca="false">_xlfn.UNICHAR(((C2104*21)+G2104)*28+44032)</f>
        <v>티</v>
      </c>
      <c r="O2104" s="10" t="str">
        <f aca="false">_xlfn.UNICHAR(((F2104*21)+D2104)*28+44032)</f>
        <v>롸</v>
      </c>
      <c r="P2104" s="12" t="n">
        <f aca="false">COUNTIF($A$2:$A$3000, N2104) + COUNTIF($A$2:$A$3000, O2104)</f>
        <v>2</v>
      </c>
      <c r="Q2104" s="16" t="str">
        <f aca="false">IF(OR(B2104=-1,I2104=0, P2104&lt;&gt;2), "albhed_dummy", _xlfn.CONCAT("albhed ", RIGHT("  " &amp; K2104,2),", ", RIGHT("  " &amp; L2104,2), ", " ,"""",H2104,""", ", """",N2104,""", ","""",O2104,""""," ; ", A2104))</f>
        <v>albhed 23, 12, "리", "티", "롸" ; 톼</v>
      </c>
    </row>
    <row r="2105" customFormat="false" ht="17.9" hidden="false" customHeight="true" outlineLevel="0" collapsed="false">
      <c r="A2105" s="16" t="s">
        <v>2952</v>
      </c>
      <c r="B2105" s="16" t="n">
        <f aca="false">IF(_xlfn.UNICODE(A2105)&lt;44032,-1,_xlfn.UNICODE(A2105)-44032)</f>
        <v>9664</v>
      </c>
      <c r="C2105" s="16" t="n">
        <f aca="false">IF(B2105=-1,-1,INT((B2105/28)/21))</f>
        <v>16</v>
      </c>
      <c r="D2105" s="16" t="n">
        <f aca="false">IF(B2105=-1, -1, MOD(INT(B2105/28),21))</f>
        <v>9</v>
      </c>
      <c r="E2105" s="16" t="n">
        <f aca="false">IF(B2105=-1, -1, VLOOKUP(MOD(B2105,28), $T$24:$U$52,2))</f>
        <v>4</v>
      </c>
      <c r="F2105" s="16" t="n">
        <f aca="false">IF($B2105=-1, -1, VLOOKUP(C2105,$T$1:$V$20, 2))</f>
        <v>5</v>
      </c>
      <c r="G2105" s="16" t="n">
        <f aca="false">IF($B2105=-1, -1, VLOOKUP(D2105,$Y$1:$Z$22,2))</f>
        <v>20</v>
      </c>
      <c r="H2105" s="16" t="str">
        <f aca="false">_xlfn.UNICHAR(((F2105*21)+G2105)*28+44032)</f>
        <v>리</v>
      </c>
      <c r="I2105" s="16" t="n">
        <f aca="false">IF(B2105=-1, 1, COUNTIF($A$2:$A$3000, H2105))</f>
        <v>1</v>
      </c>
      <c r="J2105" s="10" t="str">
        <f aca="false">_xlfn.CONCAT(A2105, ",",H2105,",",I2105)</f>
        <v>퇀,리,1</v>
      </c>
      <c r="K2105" s="16" t="n">
        <f aca="false">IF(B2105=-1,-1,VLOOKUP(C2105,$T$1:$V$20,3))</f>
        <v>23</v>
      </c>
      <c r="L2105" s="16" t="n">
        <f aca="false">IF(B2105=-1,-1,VLOOKUP(D2105,$Y$1:$AA$22,3))</f>
        <v>12</v>
      </c>
      <c r="N2105" s="10" t="str">
        <f aca="false">_xlfn.UNICHAR(((C2105*21)+G2105)*28+44032)</f>
        <v>티</v>
      </c>
      <c r="O2105" s="10" t="str">
        <f aca="false">_xlfn.UNICHAR(((F2105*21)+D2105)*28+44032)</f>
        <v>롸</v>
      </c>
      <c r="P2105" s="12" t="n">
        <f aca="false">COUNTIF($A$2:$A$3000, N2105) + COUNTIF($A$2:$A$3000, O2105)</f>
        <v>2</v>
      </c>
      <c r="Q2105" s="16" t="str">
        <f aca="false">IF(OR(B2105=-1,I2105=0, P2105&lt;&gt;2), "albhed_dummy", _xlfn.CONCAT("albhed ", RIGHT("  " &amp; K2105,2),", ", RIGHT("  " &amp; L2105,2), ", " ,"""",H2105,""", ", """",N2105,""", ","""",O2105,""""," ; ", A2105))</f>
        <v>albhed 23, 12, "리", "티", "롸" ; 퇀</v>
      </c>
    </row>
    <row r="2106" customFormat="false" ht="17.9" hidden="false" customHeight="true" outlineLevel="0" collapsed="false">
      <c r="A2106" s="16" t="s">
        <v>2953</v>
      </c>
      <c r="B2106" s="16" t="n">
        <f aca="false">IF(_xlfn.UNICODE(A2106)&lt;44032,-1,_xlfn.UNICODE(A2106)-44032)</f>
        <v>9688</v>
      </c>
      <c r="C2106" s="16" t="n">
        <f aca="false">IF(B2106=-1,-1,INT((B2106/28)/21))</f>
        <v>16</v>
      </c>
      <c r="D2106" s="16" t="n">
        <f aca="false">IF(B2106=-1, -1, MOD(INT(B2106/28),21))</f>
        <v>10</v>
      </c>
      <c r="E2106" s="16" t="n">
        <f aca="false">IF(B2106=-1, -1, VLOOKUP(MOD(B2106,28), $T$24:$U$52,2))</f>
        <v>0</v>
      </c>
      <c r="F2106" s="16" t="n">
        <f aca="false">IF($B2106=-1, -1, VLOOKUP(C2106,$T$1:$V$20, 2))</f>
        <v>5</v>
      </c>
      <c r="G2106" s="16" t="n">
        <f aca="false">IF($B2106=-1, -1, VLOOKUP(D2106,$Y$1:$Z$22,2))</f>
        <v>20</v>
      </c>
      <c r="H2106" s="16" t="str">
        <f aca="false">_xlfn.UNICHAR(((F2106*21)+G2106)*28+44032)</f>
        <v>리</v>
      </c>
      <c r="I2106" s="16" t="n">
        <f aca="false">IF(B2106=-1, 1, COUNTIF($A$2:$A$3000, H2106))</f>
        <v>1</v>
      </c>
      <c r="J2106" s="10" t="str">
        <f aca="false">_xlfn.CONCAT(A2106, ",",H2106,",",I2106)</f>
        <v>퇘,리,1</v>
      </c>
      <c r="K2106" s="16" t="n">
        <f aca="false">IF(B2106=-1,-1,VLOOKUP(C2106,$T$1:$V$20,3))</f>
        <v>23</v>
      </c>
      <c r="L2106" s="16" t="n">
        <f aca="false">IF(B2106=-1,-1,VLOOKUP(D2106,$Y$1:$AA$22,3))</f>
        <v>12</v>
      </c>
      <c r="N2106" s="10" t="str">
        <f aca="false">_xlfn.UNICHAR(((C2106*21)+G2106)*28+44032)</f>
        <v>티</v>
      </c>
      <c r="O2106" s="10" t="str">
        <f aca="false">_xlfn.UNICHAR(((F2106*21)+D2106)*28+44032)</f>
        <v>뢔</v>
      </c>
      <c r="P2106" s="12" t="n">
        <f aca="false">COUNTIF($A$2:$A$3000, N2106) + COUNTIF($A$2:$A$3000, O2106)</f>
        <v>1</v>
      </c>
      <c r="Q2106" s="16" t="str">
        <f aca="false">IF(OR(B2106=-1,I2106=0, P2106&lt;&gt;2), "albhed_dummy", _xlfn.CONCAT("albhed ", RIGHT("  " &amp; K2106,2),", ", RIGHT("  " &amp; L2106,2), ", " ,"""",H2106,""", ", """",N2106,""", ","""",O2106,""""," ; ", A2106))</f>
        <v>albhed_dummy</v>
      </c>
    </row>
    <row r="2107" customFormat="false" ht="17.9" hidden="false" customHeight="true" outlineLevel="0" collapsed="false">
      <c r="A2107" s="16" t="s">
        <v>2954</v>
      </c>
      <c r="B2107" s="16" t="n">
        <f aca="false">IF(_xlfn.UNICODE(A2107)&lt;44032,-1,_xlfn.UNICODE(A2107)-44032)</f>
        <v>9716</v>
      </c>
      <c r="C2107" s="16" t="n">
        <f aca="false">IF(B2107=-1,-1,INT((B2107/28)/21))</f>
        <v>16</v>
      </c>
      <c r="D2107" s="16" t="n">
        <f aca="false">IF(B2107=-1, -1, MOD(INT(B2107/28),21))</f>
        <v>11</v>
      </c>
      <c r="E2107" s="16" t="n">
        <f aca="false">IF(B2107=-1, -1, VLOOKUP(MOD(B2107,28), $T$24:$U$52,2))</f>
        <v>0</v>
      </c>
      <c r="F2107" s="16" t="n">
        <f aca="false">IF($B2107=-1, -1, VLOOKUP(C2107,$T$1:$V$20, 2))</f>
        <v>5</v>
      </c>
      <c r="G2107" s="16" t="n">
        <f aca="false">IF($B2107=-1, -1, VLOOKUP(D2107,$Y$1:$Z$22,2))</f>
        <v>20</v>
      </c>
      <c r="H2107" s="16" t="str">
        <f aca="false">_xlfn.UNICHAR(((F2107*21)+G2107)*28+44032)</f>
        <v>리</v>
      </c>
      <c r="I2107" s="16" t="n">
        <f aca="false">IF(B2107=-1, 1, COUNTIF($A$2:$A$3000, H2107))</f>
        <v>1</v>
      </c>
      <c r="J2107" s="10" t="str">
        <f aca="false">_xlfn.CONCAT(A2107, ",",H2107,",",I2107)</f>
        <v>퇴,리,1</v>
      </c>
      <c r="K2107" s="16" t="n">
        <f aca="false">IF(B2107=-1,-1,VLOOKUP(C2107,$T$1:$V$20,3))</f>
        <v>23</v>
      </c>
      <c r="L2107" s="16" t="n">
        <f aca="false">IF(B2107=-1,-1,VLOOKUP(D2107,$Y$1:$AA$22,3))</f>
        <v>22</v>
      </c>
      <c r="N2107" s="10" t="str">
        <f aca="false">_xlfn.UNICHAR(((C2107*21)+G2107)*28+44032)</f>
        <v>티</v>
      </c>
      <c r="O2107" s="10" t="str">
        <f aca="false">_xlfn.UNICHAR(((F2107*21)+D2107)*28+44032)</f>
        <v>뢰</v>
      </c>
      <c r="P2107" s="12" t="n">
        <f aca="false">COUNTIF($A$2:$A$3000, N2107) + COUNTIF($A$2:$A$3000, O2107)</f>
        <v>2</v>
      </c>
      <c r="Q2107" s="16" t="str">
        <f aca="false">IF(OR(B2107=-1,I2107=0, P2107&lt;&gt;2), "albhed_dummy", _xlfn.CONCAT("albhed ", RIGHT("  " &amp; K2107,2),", ", RIGHT("  " &amp; L2107,2), ", " ,"""",H2107,""", ", """",N2107,""", ","""",O2107,""""," ; ", A2107))</f>
        <v>albhed 23, 22, "리", "티", "뢰" ; 퇴</v>
      </c>
    </row>
    <row r="2108" customFormat="false" ht="17.9" hidden="false" customHeight="true" outlineLevel="0" collapsed="false">
      <c r="A2108" s="16" t="s">
        <v>2955</v>
      </c>
      <c r="B2108" s="16" t="n">
        <f aca="false">IF(_xlfn.UNICODE(A2108)&lt;44032,-1,_xlfn.UNICODE(A2108)-44032)</f>
        <v>9720</v>
      </c>
      <c r="C2108" s="16" t="n">
        <f aca="false">IF(B2108=-1,-1,INT((B2108/28)/21))</f>
        <v>16</v>
      </c>
      <c r="D2108" s="16" t="n">
        <f aca="false">IF(B2108=-1, -1, MOD(INT(B2108/28),21))</f>
        <v>11</v>
      </c>
      <c r="E2108" s="16" t="n">
        <f aca="false">IF(B2108=-1, -1, VLOOKUP(MOD(B2108,28), $T$24:$U$52,2))</f>
        <v>4</v>
      </c>
      <c r="F2108" s="16" t="n">
        <f aca="false">IF($B2108=-1, -1, VLOOKUP(C2108,$T$1:$V$20, 2))</f>
        <v>5</v>
      </c>
      <c r="G2108" s="16" t="n">
        <f aca="false">IF($B2108=-1, -1, VLOOKUP(D2108,$Y$1:$Z$22,2))</f>
        <v>20</v>
      </c>
      <c r="H2108" s="16" t="str">
        <f aca="false">_xlfn.UNICHAR(((F2108*21)+G2108)*28+44032)</f>
        <v>리</v>
      </c>
      <c r="I2108" s="16" t="n">
        <f aca="false">IF(B2108=-1, 1, COUNTIF($A$2:$A$3000, H2108))</f>
        <v>1</v>
      </c>
      <c r="J2108" s="10" t="str">
        <f aca="false">_xlfn.CONCAT(A2108, ",",H2108,",",I2108)</f>
        <v>퇸,리,1</v>
      </c>
      <c r="K2108" s="16" t="n">
        <f aca="false">IF(B2108=-1,-1,VLOOKUP(C2108,$T$1:$V$20,3))</f>
        <v>23</v>
      </c>
      <c r="L2108" s="16" t="n">
        <f aca="false">IF(B2108=-1,-1,VLOOKUP(D2108,$Y$1:$AA$22,3))</f>
        <v>22</v>
      </c>
      <c r="N2108" s="10" t="str">
        <f aca="false">_xlfn.UNICHAR(((C2108*21)+G2108)*28+44032)</f>
        <v>티</v>
      </c>
      <c r="O2108" s="10" t="str">
        <f aca="false">_xlfn.UNICHAR(((F2108*21)+D2108)*28+44032)</f>
        <v>뢰</v>
      </c>
      <c r="P2108" s="12" t="n">
        <f aca="false">COUNTIF($A$2:$A$3000, N2108) + COUNTIF($A$2:$A$3000, O2108)</f>
        <v>2</v>
      </c>
      <c r="Q2108" s="16" t="str">
        <f aca="false">IF(OR(B2108=-1,I2108=0, P2108&lt;&gt;2), "albhed_dummy", _xlfn.CONCAT("albhed ", RIGHT("  " &amp; K2108,2),", ", RIGHT("  " &amp; L2108,2), ", " ,"""",H2108,""", ", """",N2108,""", ","""",O2108,""""," ; ", A2108))</f>
        <v>albhed 23, 22, "리", "티", "뢰" ; 퇸</v>
      </c>
    </row>
    <row r="2109" customFormat="false" ht="17.9" hidden="false" customHeight="true" outlineLevel="0" collapsed="false">
      <c r="A2109" s="16" t="s">
        <v>2956</v>
      </c>
      <c r="B2109" s="16" t="n">
        <f aca="false">IF(_xlfn.UNICODE(A2109)&lt;44032,-1,_xlfn.UNICODE(A2109)-44032)</f>
        <v>9735</v>
      </c>
      <c r="C2109" s="16" t="n">
        <f aca="false">IF(B2109=-1,-1,INT((B2109/28)/21))</f>
        <v>16</v>
      </c>
      <c r="D2109" s="16" t="n">
        <f aca="false">IF(B2109=-1, -1, MOD(INT(B2109/28),21))</f>
        <v>11</v>
      </c>
      <c r="E2109" s="16" t="n">
        <f aca="false">IF(B2109=-1, -1, VLOOKUP(MOD(B2109,28), $T$24:$U$52,2))</f>
        <v>19</v>
      </c>
      <c r="F2109" s="16" t="n">
        <f aca="false">IF($B2109=-1, -1, VLOOKUP(C2109,$T$1:$V$20, 2))</f>
        <v>5</v>
      </c>
      <c r="G2109" s="16" t="n">
        <f aca="false">IF($B2109=-1, -1, VLOOKUP(D2109,$Y$1:$Z$22,2))</f>
        <v>20</v>
      </c>
      <c r="H2109" s="16" t="str">
        <f aca="false">_xlfn.UNICHAR(((F2109*21)+G2109)*28+44032)</f>
        <v>리</v>
      </c>
      <c r="I2109" s="16" t="n">
        <f aca="false">IF(B2109=-1, 1, COUNTIF($A$2:$A$3000, H2109))</f>
        <v>1</v>
      </c>
      <c r="J2109" s="10" t="str">
        <f aca="false">_xlfn.CONCAT(A2109, ",",H2109,",",I2109)</f>
        <v>툇,리,1</v>
      </c>
      <c r="K2109" s="16" t="n">
        <f aca="false">IF(B2109=-1,-1,VLOOKUP(C2109,$T$1:$V$20,3))</f>
        <v>23</v>
      </c>
      <c r="L2109" s="16" t="n">
        <f aca="false">IF(B2109=-1,-1,VLOOKUP(D2109,$Y$1:$AA$22,3))</f>
        <v>22</v>
      </c>
      <c r="N2109" s="10" t="str">
        <f aca="false">_xlfn.UNICHAR(((C2109*21)+G2109)*28+44032)</f>
        <v>티</v>
      </c>
      <c r="O2109" s="10" t="str">
        <f aca="false">_xlfn.UNICHAR(((F2109*21)+D2109)*28+44032)</f>
        <v>뢰</v>
      </c>
      <c r="P2109" s="12" t="n">
        <f aca="false">COUNTIF($A$2:$A$3000, N2109) + COUNTIF($A$2:$A$3000, O2109)</f>
        <v>2</v>
      </c>
      <c r="Q2109" s="16" t="str">
        <f aca="false">IF(OR(B2109=-1,I2109=0, P2109&lt;&gt;2), "albhed_dummy", _xlfn.CONCAT("albhed ", RIGHT("  " &amp; K2109,2),", ", RIGHT("  " &amp; L2109,2), ", " ,"""",H2109,""", ", """",N2109,""", ","""",O2109,""""," ; ", A2109))</f>
        <v>albhed 23, 22, "리", "티", "뢰" ; 툇</v>
      </c>
    </row>
    <row r="2110" customFormat="false" ht="17.9" hidden="false" customHeight="true" outlineLevel="0" collapsed="false">
      <c r="A2110" s="16" t="s">
        <v>2957</v>
      </c>
      <c r="B2110" s="16" t="n">
        <f aca="false">IF(_xlfn.UNICODE(A2110)&lt;44032,-1,_xlfn.UNICODE(A2110)-44032)</f>
        <v>9737</v>
      </c>
      <c r="C2110" s="16" t="n">
        <f aca="false">IF(B2110=-1,-1,INT((B2110/28)/21))</f>
        <v>16</v>
      </c>
      <c r="D2110" s="16" t="n">
        <f aca="false">IF(B2110=-1, -1, MOD(INT(B2110/28),21))</f>
        <v>11</v>
      </c>
      <c r="E2110" s="16" t="n">
        <f aca="false">IF(B2110=-1, -1, VLOOKUP(MOD(B2110,28), $T$24:$U$52,2))</f>
        <v>21</v>
      </c>
      <c r="F2110" s="16" t="n">
        <f aca="false">IF($B2110=-1, -1, VLOOKUP(C2110,$T$1:$V$20, 2))</f>
        <v>5</v>
      </c>
      <c r="G2110" s="16" t="n">
        <f aca="false">IF($B2110=-1, -1, VLOOKUP(D2110,$Y$1:$Z$22,2))</f>
        <v>20</v>
      </c>
      <c r="H2110" s="16" t="str">
        <f aca="false">_xlfn.UNICHAR(((F2110*21)+G2110)*28+44032)</f>
        <v>리</v>
      </c>
      <c r="I2110" s="16" t="n">
        <f aca="false">IF(B2110=-1, 1, COUNTIF($A$2:$A$3000, H2110))</f>
        <v>1</v>
      </c>
      <c r="J2110" s="10" t="str">
        <f aca="false">_xlfn.CONCAT(A2110, ",",H2110,",",I2110)</f>
        <v>툉,리,1</v>
      </c>
      <c r="K2110" s="16" t="n">
        <f aca="false">IF(B2110=-1,-1,VLOOKUP(C2110,$T$1:$V$20,3))</f>
        <v>23</v>
      </c>
      <c r="L2110" s="16" t="n">
        <f aca="false">IF(B2110=-1,-1,VLOOKUP(D2110,$Y$1:$AA$22,3))</f>
        <v>22</v>
      </c>
      <c r="N2110" s="10" t="str">
        <f aca="false">_xlfn.UNICHAR(((C2110*21)+G2110)*28+44032)</f>
        <v>티</v>
      </c>
      <c r="O2110" s="10" t="str">
        <f aca="false">_xlfn.UNICHAR(((F2110*21)+D2110)*28+44032)</f>
        <v>뢰</v>
      </c>
      <c r="P2110" s="12" t="n">
        <f aca="false">COUNTIF($A$2:$A$3000, N2110) + COUNTIF($A$2:$A$3000, O2110)</f>
        <v>2</v>
      </c>
      <c r="Q2110" s="16" t="str">
        <f aca="false">IF(OR(B2110=-1,I2110=0, P2110&lt;&gt;2), "albhed_dummy", _xlfn.CONCAT("albhed ", RIGHT("  " &amp; K2110,2),", ", RIGHT("  " &amp; L2110,2), ", " ,"""",H2110,""", ", """",N2110,""", ","""",O2110,""""," ; ", A2110))</f>
        <v>albhed 23, 22, "리", "티", "뢰" ; 툉</v>
      </c>
    </row>
    <row r="2111" customFormat="false" ht="17.9" hidden="false" customHeight="true" outlineLevel="0" collapsed="false">
      <c r="A2111" s="16" t="s">
        <v>2958</v>
      </c>
      <c r="B2111" s="16" t="n">
        <f aca="false">IF(_xlfn.UNICODE(A2111)&lt;44032,-1,_xlfn.UNICODE(A2111)-44032)</f>
        <v>9744</v>
      </c>
      <c r="C2111" s="16" t="n">
        <f aca="false">IF(B2111=-1,-1,INT((B2111/28)/21))</f>
        <v>16</v>
      </c>
      <c r="D2111" s="16" t="n">
        <f aca="false">IF(B2111=-1, -1, MOD(INT(B2111/28),21))</f>
        <v>12</v>
      </c>
      <c r="E2111" s="16" t="n">
        <f aca="false">IF(B2111=-1, -1, VLOOKUP(MOD(B2111,28), $T$24:$U$52,2))</f>
        <v>0</v>
      </c>
      <c r="F2111" s="16" t="n">
        <f aca="false">IF($B2111=-1, -1, VLOOKUP(C2111,$T$1:$V$20, 2))</f>
        <v>5</v>
      </c>
      <c r="G2111" s="16" t="n">
        <f aca="false">IF($B2111=-1, -1, VLOOKUP(D2111,$Y$1:$Z$22,2))</f>
        <v>6</v>
      </c>
      <c r="H2111" s="16" t="str">
        <f aca="false">_xlfn.UNICHAR(((F2111*21)+G2111)*28+44032)</f>
        <v>려</v>
      </c>
      <c r="I2111" s="16" t="n">
        <f aca="false">IF(B2111=-1, 1, COUNTIF($A$2:$A$3000, H2111))</f>
        <v>1</v>
      </c>
      <c r="J2111" s="10" t="str">
        <f aca="false">_xlfn.CONCAT(A2111, ",",H2111,",",I2111)</f>
        <v>툐,려,1</v>
      </c>
      <c r="K2111" s="16" t="n">
        <f aca="false">IF(B2111=-1,-1,VLOOKUP(C2111,$T$1:$V$20,3))</f>
        <v>23</v>
      </c>
      <c r="L2111" s="16" t="n">
        <f aca="false">IF(B2111=-1,-1,VLOOKUP(D2111,$Y$1:$AA$22,3))</f>
        <v>8</v>
      </c>
      <c r="N2111" s="10" t="str">
        <f aca="false">_xlfn.UNICHAR(((C2111*21)+G2111)*28+44032)</f>
        <v>텨</v>
      </c>
      <c r="O2111" s="10" t="str">
        <f aca="false">_xlfn.UNICHAR(((F2111*21)+D2111)*28+44032)</f>
        <v>료</v>
      </c>
      <c r="P2111" s="12" t="n">
        <f aca="false">COUNTIF($A$2:$A$3000, N2111) + COUNTIF($A$2:$A$3000, O2111)</f>
        <v>2</v>
      </c>
      <c r="Q2111" s="16" t="str">
        <f aca="false">IF(OR(B2111=-1,I2111=0, P2111&lt;&gt;2), "albhed_dummy", _xlfn.CONCAT("albhed ", RIGHT("  " &amp; K2111,2),", ", RIGHT("  " &amp; L2111,2), ", " ,"""",H2111,""", ", """",N2111,""", ","""",O2111,""""," ; ", A2111))</f>
        <v>albhed 23,  8, "려", "텨", "료" ; 툐</v>
      </c>
    </row>
    <row r="2112" customFormat="false" ht="17.9" hidden="false" customHeight="true" outlineLevel="0" collapsed="false">
      <c r="A2112" s="16" t="s">
        <v>792</v>
      </c>
      <c r="B2112" s="16" t="n">
        <f aca="false">IF(_xlfn.UNICODE(A2112)&lt;44032,-1,_xlfn.UNICODE(A2112)-44032)</f>
        <v>9772</v>
      </c>
      <c r="C2112" s="16" t="n">
        <f aca="false">IF(B2112=-1,-1,INT((B2112/28)/21))</f>
        <v>16</v>
      </c>
      <c r="D2112" s="16" t="n">
        <f aca="false">IF(B2112=-1, -1, MOD(INT(B2112/28),21))</f>
        <v>13</v>
      </c>
      <c r="E2112" s="16" t="n">
        <f aca="false">IF(B2112=-1, -1, VLOOKUP(MOD(B2112,28), $T$24:$U$52,2))</f>
        <v>0</v>
      </c>
      <c r="F2112" s="16" t="n">
        <f aca="false">IF($B2112=-1, -1, VLOOKUP(C2112,$T$1:$V$20, 2))</f>
        <v>5</v>
      </c>
      <c r="G2112" s="16" t="n">
        <f aca="false">IF($B2112=-1, -1, VLOOKUP(D2112,$Y$1:$Z$22,2))</f>
        <v>0</v>
      </c>
      <c r="H2112" s="16" t="str">
        <f aca="false">_xlfn.UNICHAR(((F2112*21)+G2112)*28+44032)</f>
        <v>라</v>
      </c>
      <c r="I2112" s="16" t="n">
        <f aca="false">IF(B2112=-1, 1, COUNTIF($A$2:$A$3000, H2112))</f>
        <v>1</v>
      </c>
      <c r="J2112" s="10" t="str">
        <f aca="false">_xlfn.CONCAT(A2112, ",",H2112,",",I2112)</f>
        <v>투,라,1</v>
      </c>
      <c r="K2112" s="16" t="n">
        <f aca="false">IF(B2112=-1,-1,VLOOKUP(C2112,$T$1:$V$20,3))</f>
        <v>23</v>
      </c>
      <c r="L2112" s="16" t="n">
        <f aca="false">IF(B2112=-1,-1,VLOOKUP(D2112,$Y$1:$AA$22,3))</f>
        <v>6</v>
      </c>
      <c r="N2112" s="10" t="str">
        <f aca="false">_xlfn.UNICHAR(((C2112*21)+G2112)*28+44032)</f>
        <v>타</v>
      </c>
      <c r="O2112" s="10" t="str">
        <f aca="false">_xlfn.UNICHAR(((F2112*21)+D2112)*28+44032)</f>
        <v>루</v>
      </c>
      <c r="P2112" s="12" t="n">
        <f aca="false">COUNTIF($A$2:$A$3000, N2112) + COUNTIF($A$2:$A$3000, O2112)</f>
        <v>2</v>
      </c>
      <c r="Q2112" s="16" t="str">
        <f aca="false">IF(OR(B2112=-1,I2112=0, P2112&lt;&gt;2), "albhed_dummy", _xlfn.CONCAT("albhed ", RIGHT("  " &amp; K2112,2),", ", RIGHT("  " &amp; L2112,2), ", " ,"""",H2112,""", ", """",N2112,""", ","""",O2112,""""," ; ", A2112))</f>
        <v>albhed 23,  6, "라", "타", "루" ; 투</v>
      </c>
    </row>
    <row r="2113" customFormat="false" ht="17.9" hidden="false" customHeight="true" outlineLevel="0" collapsed="false">
      <c r="A2113" s="16" t="s">
        <v>2959</v>
      </c>
      <c r="B2113" s="16" t="n">
        <f aca="false">IF(_xlfn.UNICODE(A2113)&lt;44032,-1,_xlfn.UNICODE(A2113)-44032)</f>
        <v>9773</v>
      </c>
      <c r="C2113" s="16" t="n">
        <f aca="false">IF(B2113=-1,-1,INT((B2113/28)/21))</f>
        <v>16</v>
      </c>
      <c r="D2113" s="16" t="n">
        <f aca="false">IF(B2113=-1, -1, MOD(INT(B2113/28),21))</f>
        <v>13</v>
      </c>
      <c r="E2113" s="16" t="n">
        <f aca="false">IF(B2113=-1, -1, VLOOKUP(MOD(B2113,28), $T$24:$U$52,2))</f>
        <v>1</v>
      </c>
      <c r="F2113" s="16" t="n">
        <f aca="false">IF($B2113=-1, -1, VLOOKUP(C2113,$T$1:$V$20, 2))</f>
        <v>5</v>
      </c>
      <c r="G2113" s="16" t="n">
        <f aca="false">IF($B2113=-1, -1, VLOOKUP(D2113,$Y$1:$Z$22,2))</f>
        <v>0</v>
      </c>
      <c r="H2113" s="16" t="str">
        <f aca="false">_xlfn.UNICHAR(((F2113*21)+G2113)*28+44032)</f>
        <v>라</v>
      </c>
      <c r="I2113" s="16" t="n">
        <f aca="false">IF(B2113=-1, 1, COUNTIF($A$2:$A$3000, H2113))</f>
        <v>1</v>
      </c>
      <c r="J2113" s="10" t="str">
        <f aca="false">_xlfn.CONCAT(A2113, ",",H2113,",",I2113)</f>
        <v>툭,라,1</v>
      </c>
      <c r="K2113" s="16" t="n">
        <f aca="false">IF(B2113=-1,-1,VLOOKUP(C2113,$T$1:$V$20,3))</f>
        <v>23</v>
      </c>
      <c r="L2113" s="16" t="n">
        <f aca="false">IF(B2113=-1,-1,VLOOKUP(D2113,$Y$1:$AA$22,3))</f>
        <v>6</v>
      </c>
      <c r="N2113" s="10" t="str">
        <f aca="false">_xlfn.UNICHAR(((C2113*21)+G2113)*28+44032)</f>
        <v>타</v>
      </c>
      <c r="O2113" s="10" t="str">
        <f aca="false">_xlfn.UNICHAR(((F2113*21)+D2113)*28+44032)</f>
        <v>루</v>
      </c>
      <c r="P2113" s="12" t="n">
        <f aca="false">COUNTIF($A$2:$A$3000, N2113) + COUNTIF($A$2:$A$3000, O2113)</f>
        <v>2</v>
      </c>
      <c r="Q2113" s="16" t="str">
        <f aca="false">IF(OR(B2113=-1,I2113=0, P2113&lt;&gt;2), "albhed_dummy", _xlfn.CONCAT("albhed ", RIGHT("  " &amp; K2113,2),", ", RIGHT("  " &amp; L2113,2), ", " ,"""",H2113,""", ", """",N2113,""", ","""",O2113,""""," ; ", A2113))</f>
        <v>albhed 23,  6, "라", "타", "루" ; 툭</v>
      </c>
    </row>
    <row r="2114" customFormat="false" ht="17.9" hidden="false" customHeight="true" outlineLevel="0" collapsed="false">
      <c r="A2114" s="16" t="s">
        <v>2960</v>
      </c>
      <c r="B2114" s="16" t="n">
        <f aca="false">IF(_xlfn.UNICODE(A2114)&lt;44032,-1,_xlfn.UNICODE(A2114)-44032)</f>
        <v>9776</v>
      </c>
      <c r="C2114" s="16" t="n">
        <f aca="false">IF(B2114=-1,-1,INT((B2114/28)/21))</f>
        <v>16</v>
      </c>
      <c r="D2114" s="16" t="n">
        <f aca="false">IF(B2114=-1, -1, MOD(INT(B2114/28),21))</f>
        <v>13</v>
      </c>
      <c r="E2114" s="16" t="n">
        <f aca="false">IF(B2114=-1, -1, VLOOKUP(MOD(B2114,28), $T$24:$U$52,2))</f>
        <v>4</v>
      </c>
      <c r="F2114" s="16" t="n">
        <f aca="false">IF($B2114=-1, -1, VLOOKUP(C2114,$T$1:$V$20, 2))</f>
        <v>5</v>
      </c>
      <c r="G2114" s="16" t="n">
        <f aca="false">IF($B2114=-1, -1, VLOOKUP(D2114,$Y$1:$Z$22,2))</f>
        <v>0</v>
      </c>
      <c r="H2114" s="16" t="str">
        <f aca="false">_xlfn.UNICHAR(((F2114*21)+G2114)*28+44032)</f>
        <v>라</v>
      </c>
      <c r="I2114" s="16" t="n">
        <f aca="false">IF(B2114=-1, 1, COUNTIF($A$2:$A$3000, H2114))</f>
        <v>1</v>
      </c>
      <c r="J2114" s="10" t="str">
        <f aca="false">_xlfn.CONCAT(A2114, ",",H2114,",",I2114)</f>
        <v>툰,라,1</v>
      </c>
      <c r="K2114" s="16" t="n">
        <f aca="false">IF(B2114=-1,-1,VLOOKUP(C2114,$T$1:$V$20,3))</f>
        <v>23</v>
      </c>
      <c r="L2114" s="16" t="n">
        <f aca="false">IF(B2114=-1,-1,VLOOKUP(D2114,$Y$1:$AA$22,3))</f>
        <v>6</v>
      </c>
      <c r="N2114" s="10" t="str">
        <f aca="false">_xlfn.UNICHAR(((C2114*21)+G2114)*28+44032)</f>
        <v>타</v>
      </c>
      <c r="O2114" s="10" t="str">
        <f aca="false">_xlfn.UNICHAR(((F2114*21)+D2114)*28+44032)</f>
        <v>루</v>
      </c>
      <c r="P2114" s="12" t="n">
        <f aca="false">COUNTIF($A$2:$A$3000, N2114) + COUNTIF($A$2:$A$3000, O2114)</f>
        <v>2</v>
      </c>
      <c r="Q2114" s="16" t="str">
        <f aca="false">IF(OR(B2114=-1,I2114=0, P2114&lt;&gt;2), "albhed_dummy", _xlfn.CONCAT("albhed ", RIGHT("  " &amp; K2114,2),", ", RIGHT("  " &amp; L2114,2), ", " ,"""",H2114,""", ", """",N2114,""", ","""",O2114,""""," ; ", A2114))</f>
        <v>albhed 23,  6, "라", "타", "루" ; 툰</v>
      </c>
    </row>
    <row r="2115" customFormat="false" ht="17.9" hidden="false" customHeight="true" outlineLevel="0" collapsed="false">
      <c r="A2115" s="16" t="s">
        <v>2961</v>
      </c>
      <c r="B2115" s="16" t="n">
        <f aca="false">IF(_xlfn.UNICODE(A2115)&lt;44032,-1,_xlfn.UNICODE(A2115)-44032)</f>
        <v>9780</v>
      </c>
      <c r="C2115" s="16" t="n">
        <f aca="false">IF(B2115=-1,-1,INT((B2115/28)/21))</f>
        <v>16</v>
      </c>
      <c r="D2115" s="16" t="n">
        <f aca="false">IF(B2115=-1, -1, MOD(INT(B2115/28),21))</f>
        <v>13</v>
      </c>
      <c r="E2115" s="16" t="n">
        <f aca="false">IF(B2115=-1, -1, VLOOKUP(MOD(B2115,28), $T$24:$U$52,2))</f>
        <v>8</v>
      </c>
      <c r="F2115" s="16" t="n">
        <f aca="false">IF($B2115=-1, -1, VLOOKUP(C2115,$T$1:$V$20, 2))</f>
        <v>5</v>
      </c>
      <c r="G2115" s="16" t="n">
        <f aca="false">IF($B2115=-1, -1, VLOOKUP(D2115,$Y$1:$Z$22,2))</f>
        <v>0</v>
      </c>
      <c r="H2115" s="16" t="str">
        <f aca="false">_xlfn.UNICHAR(((F2115*21)+G2115)*28+44032)</f>
        <v>라</v>
      </c>
      <c r="I2115" s="16" t="n">
        <f aca="false">IF(B2115=-1, 1, COUNTIF($A$2:$A$3000, H2115))</f>
        <v>1</v>
      </c>
      <c r="J2115" s="10" t="str">
        <f aca="false">_xlfn.CONCAT(A2115, ",",H2115,",",I2115)</f>
        <v>툴,라,1</v>
      </c>
      <c r="K2115" s="16" t="n">
        <f aca="false">IF(B2115=-1,-1,VLOOKUP(C2115,$T$1:$V$20,3))</f>
        <v>23</v>
      </c>
      <c r="L2115" s="16" t="n">
        <f aca="false">IF(B2115=-1,-1,VLOOKUP(D2115,$Y$1:$AA$22,3))</f>
        <v>6</v>
      </c>
      <c r="N2115" s="10" t="str">
        <f aca="false">_xlfn.UNICHAR(((C2115*21)+G2115)*28+44032)</f>
        <v>타</v>
      </c>
      <c r="O2115" s="10" t="str">
        <f aca="false">_xlfn.UNICHAR(((F2115*21)+D2115)*28+44032)</f>
        <v>루</v>
      </c>
      <c r="P2115" s="12" t="n">
        <f aca="false">COUNTIF($A$2:$A$3000, N2115) + COUNTIF($A$2:$A$3000, O2115)</f>
        <v>2</v>
      </c>
      <c r="Q2115" s="16" t="str">
        <f aca="false">IF(OR(B2115=-1,I2115=0, P2115&lt;&gt;2), "albhed_dummy", _xlfn.CONCAT("albhed ", RIGHT("  " &amp; K2115,2),", ", RIGHT("  " &amp; L2115,2), ", " ,"""",H2115,""", ", """",N2115,""", ","""",O2115,""""," ; ", A2115))</f>
        <v>albhed 23,  6, "라", "타", "루" ; 툴</v>
      </c>
    </row>
    <row r="2116" customFormat="false" ht="17.9" hidden="false" customHeight="true" outlineLevel="0" collapsed="false">
      <c r="A2116" s="16" t="s">
        <v>2962</v>
      </c>
      <c r="B2116" s="16" t="n">
        <f aca="false">IF(_xlfn.UNICODE(A2116)&lt;44032,-1,_xlfn.UNICODE(A2116)-44032)</f>
        <v>9788</v>
      </c>
      <c r="C2116" s="16" t="n">
        <f aca="false">IF(B2116=-1,-1,INT((B2116/28)/21))</f>
        <v>16</v>
      </c>
      <c r="D2116" s="16" t="n">
        <f aca="false">IF(B2116=-1, -1, MOD(INT(B2116/28),21))</f>
        <v>13</v>
      </c>
      <c r="E2116" s="16" t="n">
        <f aca="false">IF(B2116=-1, -1, VLOOKUP(MOD(B2116,28), $T$24:$U$52,2))</f>
        <v>16</v>
      </c>
      <c r="F2116" s="16" t="n">
        <f aca="false">IF($B2116=-1, -1, VLOOKUP(C2116,$T$1:$V$20, 2))</f>
        <v>5</v>
      </c>
      <c r="G2116" s="16" t="n">
        <f aca="false">IF($B2116=-1, -1, VLOOKUP(D2116,$Y$1:$Z$22,2))</f>
        <v>0</v>
      </c>
      <c r="H2116" s="16" t="str">
        <f aca="false">_xlfn.UNICHAR(((F2116*21)+G2116)*28+44032)</f>
        <v>라</v>
      </c>
      <c r="I2116" s="16" t="n">
        <f aca="false">IF(B2116=-1, 1, COUNTIF($A$2:$A$3000, H2116))</f>
        <v>1</v>
      </c>
      <c r="J2116" s="10" t="str">
        <f aca="false">_xlfn.CONCAT(A2116, ",",H2116,",",I2116)</f>
        <v>툼,라,1</v>
      </c>
      <c r="K2116" s="16" t="n">
        <f aca="false">IF(B2116=-1,-1,VLOOKUP(C2116,$T$1:$V$20,3))</f>
        <v>23</v>
      </c>
      <c r="L2116" s="16" t="n">
        <f aca="false">IF(B2116=-1,-1,VLOOKUP(D2116,$Y$1:$AA$22,3))</f>
        <v>6</v>
      </c>
      <c r="N2116" s="10" t="str">
        <f aca="false">_xlfn.UNICHAR(((C2116*21)+G2116)*28+44032)</f>
        <v>타</v>
      </c>
      <c r="O2116" s="10" t="str">
        <f aca="false">_xlfn.UNICHAR(((F2116*21)+D2116)*28+44032)</f>
        <v>루</v>
      </c>
      <c r="P2116" s="12" t="n">
        <f aca="false">COUNTIF($A$2:$A$3000, N2116) + COUNTIF($A$2:$A$3000, O2116)</f>
        <v>2</v>
      </c>
      <c r="Q2116" s="16" t="str">
        <f aca="false">IF(OR(B2116=-1,I2116=0, P2116&lt;&gt;2), "albhed_dummy", _xlfn.CONCAT("albhed ", RIGHT("  " &amp; K2116,2),", ", RIGHT("  " &amp; L2116,2), ", " ,"""",H2116,""", ", """",N2116,""", ","""",O2116,""""," ; ", A2116))</f>
        <v>albhed 23,  6, "라", "타", "루" ; 툼</v>
      </c>
    </row>
    <row r="2117" customFormat="false" ht="17.9" hidden="false" customHeight="true" outlineLevel="0" collapsed="false">
      <c r="A2117" s="16" t="s">
        <v>2963</v>
      </c>
      <c r="B2117" s="16" t="n">
        <f aca="false">IF(_xlfn.UNICODE(A2117)&lt;44032,-1,_xlfn.UNICODE(A2117)-44032)</f>
        <v>9789</v>
      </c>
      <c r="C2117" s="16" t="n">
        <f aca="false">IF(B2117=-1,-1,INT((B2117/28)/21))</f>
        <v>16</v>
      </c>
      <c r="D2117" s="16" t="n">
        <f aca="false">IF(B2117=-1, -1, MOD(INT(B2117/28),21))</f>
        <v>13</v>
      </c>
      <c r="E2117" s="16" t="n">
        <f aca="false">IF(B2117=-1, -1, VLOOKUP(MOD(B2117,28), $T$24:$U$52,2))</f>
        <v>17</v>
      </c>
      <c r="F2117" s="16" t="n">
        <f aca="false">IF($B2117=-1, -1, VLOOKUP(C2117,$T$1:$V$20, 2))</f>
        <v>5</v>
      </c>
      <c r="G2117" s="16" t="n">
        <f aca="false">IF($B2117=-1, -1, VLOOKUP(D2117,$Y$1:$Z$22,2))</f>
        <v>0</v>
      </c>
      <c r="H2117" s="16" t="str">
        <f aca="false">_xlfn.UNICHAR(((F2117*21)+G2117)*28+44032)</f>
        <v>라</v>
      </c>
      <c r="I2117" s="16" t="n">
        <f aca="false">IF(B2117=-1, 1, COUNTIF($A$2:$A$3000, H2117))</f>
        <v>1</v>
      </c>
      <c r="J2117" s="10" t="str">
        <f aca="false">_xlfn.CONCAT(A2117, ",",H2117,",",I2117)</f>
        <v>툽,라,1</v>
      </c>
      <c r="K2117" s="16" t="n">
        <f aca="false">IF(B2117=-1,-1,VLOOKUP(C2117,$T$1:$V$20,3))</f>
        <v>23</v>
      </c>
      <c r="L2117" s="16" t="n">
        <f aca="false">IF(B2117=-1,-1,VLOOKUP(D2117,$Y$1:$AA$22,3))</f>
        <v>6</v>
      </c>
      <c r="N2117" s="10" t="str">
        <f aca="false">_xlfn.UNICHAR(((C2117*21)+G2117)*28+44032)</f>
        <v>타</v>
      </c>
      <c r="O2117" s="10" t="str">
        <f aca="false">_xlfn.UNICHAR(((F2117*21)+D2117)*28+44032)</f>
        <v>루</v>
      </c>
      <c r="P2117" s="12" t="n">
        <f aca="false">COUNTIF($A$2:$A$3000, N2117) + COUNTIF($A$2:$A$3000, O2117)</f>
        <v>2</v>
      </c>
      <c r="Q2117" s="16" t="str">
        <f aca="false">IF(OR(B2117=-1,I2117=0, P2117&lt;&gt;2), "albhed_dummy", _xlfn.CONCAT("albhed ", RIGHT("  " &amp; K2117,2),", ", RIGHT("  " &amp; L2117,2), ", " ,"""",H2117,""", ", """",N2117,""", ","""",O2117,""""," ; ", A2117))</f>
        <v>albhed 23,  6, "라", "타", "루" ; 툽</v>
      </c>
    </row>
    <row r="2118" customFormat="false" ht="17.9" hidden="false" customHeight="true" outlineLevel="0" collapsed="false">
      <c r="A2118" s="16" t="s">
        <v>2964</v>
      </c>
      <c r="B2118" s="16" t="n">
        <f aca="false">IF(_xlfn.UNICODE(A2118)&lt;44032,-1,_xlfn.UNICODE(A2118)-44032)</f>
        <v>9791</v>
      </c>
      <c r="C2118" s="16" t="n">
        <f aca="false">IF(B2118=-1,-1,INT((B2118/28)/21))</f>
        <v>16</v>
      </c>
      <c r="D2118" s="16" t="n">
        <f aca="false">IF(B2118=-1, -1, MOD(INT(B2118/28),21))</f>
        <v>13</v>
      </c>
      <c r="E2118" s="16" t="n">
        <f aca="false">IF(B2118=-1, -1, VLOOKUP(MOD(B2118,28), $T$24:$U$52,2))</f>
        <v>19</v>
      </c>
      <c r="F2118" s="16" t="n">
        <f aca="false">IF($B2118=-1, -1, VLOOKUP(C2118,$T$1:$V$20, 2))</f>
        <v>5</v>
      </c>
      <c r="G2118" s="16" t="n">
        <f aca="false">IF($B2118=-1, -1, VLOOKUP(D2118,$Y$1:$Z$22,2))</f>
        <v>0</v>
      </c>
      <c r="H2118" s="16" t="str">
        <f aca="false">_xlfn.UNICHAR(((F2118*21)+G2118)*28+44032)</f>
        <v>라</v>
      </c>
      <c r="I2118" s="16" t="n">
        <f aca="false">IF(B2118=-1, 1, COUNTIF($A$2:$A$3000, H2118))</f>
        <v>1</v>
      </c>
      <c r="J2118" s="10" t="str">
        <f aca="false">_xlfn.CONCAT(A2118, ",",H2118,",",I2118)</f>
        <v>툿,라,1</v>
      </c>
      <c r="K2118" s="16" t="n">
        <f aca="false">IF(B2118=-1,-1,VLOOKUP(C2118,$T$1:$V$20,3))</f>
        <v>23</v>
      </c>
      <c r="L2118" s="16" t="n">
        <f aca="false">IF(B2118=-1,-1,VLOOKUP(D2118,$Y$1:$AA$22,3))</f>
        <v>6</v>
      </c>
      <c r="N2118" s="10" t="str">
        <f aca="false">_xlfn.UNICHAR(((C2118*21)+G2118)*28+44032)</f>
        <v>타</v>
      </c>
      <c r="O2118" s="10" t="str">
        <f aca="false">_xlfn.UNICHAR(((F2118*21)+D2118)*28+44032)</f>
        <v>루</v>
      </c>
      <c r="P2118" s="12" t="n">
        <f aca="false">COUNTIF($A$2:$A$3000, N2118) + COUNTIF($A$2:$A$3000, O2118)</f>
        <v>2</v>
      </c>
      <c r="Q2118" s="16" t="str">
        <f aca="false">IF(OR(B2118=-1,I2118=0, P2118&lt;&gt;2), "albhed_dummy", _xlfn.CONCAT("albhed ", RIGHT("  " &amp; K2118,2),", ", RIGHT("  " &amp; L2118,2), ", " ,"""",H2118,""", ", """",N2118,""", ","""",O2118,""""," ; ", A2118))</f>
        <v>albhed 23,  6, "라", "타", "루" ; 툿</v>
      </c>
    </row>
    <row r="2119" customFormat="false" ht="17.9" hidden="false" customHeight="true" outlineLevel="0" collapsed="false">
      <c r="A2119" s="16" t="s">
        <v>2965</v>
      </c>
      <c r="B2119" s="16" t="n">
        <f aca="false">IF(_xlfn.UNICODE(A2119)&lt;44032,-1,_xlfn.UNICODE(A2119)-44032)</f>
        <v>9793</v>
      </c>
      <c r="C2119" s="16" t="n">
        <f aca="false">IF(B2119=-1,-1,INT((B2119/28)/21))</f>
        <v>16</v>
      </c>
      <c r="D2119" s="16" t="n">
        <f aca="false">IF(B2119=-1, -1, MOD(INT(B2119/28),21))</f>
        <v>13</v>
      </c>
      <c r="E2119" s="16" t="n">
        <f aca="false">IF(B2119=-1, -1, VLOOKUP(MOD(B2119,28), $T$24:$U$52,2))</f>
        <v>21</v>
      </c>
      <c r="F2119" s="16" t="n">
        <f aca="false">IF($B2119=-1, -1, VLOOKUP(C2119,$T$1:$V$20, 2))</f>
        <v>5</v>
      </c>
      <c r="G2119" s="16" t="n">
        <f aca="false">IF($B2119=-1, -1, VLOOKUP(D2119,$Y$1:$Z$22,2))</f>
        <v>0</v>
      </c>
      <c r="H2119" s="16" t="str">
        <f aca="false">_xlfn.UNICHAR(((F2119*21)+G2119)*28+44032)</f>
        <v>라</v>
      </c>
      <c r="I2119" s="16" t="n">
        <f aca="false">IF(B2119=-1, 1, COUNTIF($A$2:$A$3000, H2119))</f>
        <v>1</v>
      </c>
      <c r="J2119" s="10" t="str">
        <f aca="false">_xlfn.CONCAT(A2119, ",",H2119,",",I2119)</f>
        <v>퉁,라,1</v>
      </c>
      <c r="K2119" s="16" t="n">
        <f aca="false">IF(B2119=-1,-1,VLOOKUP(C2119,$T$1:$V$20,3))</f>
        <v>23</v>
      </c>
      <c r="L2119" s="16" t="n">
        <f aca="false">IF(B2119=-1,-1,VLOOKUP(D2119,$Y$1:$AA$22,3))</f>
        <v>6</v>
      </c>
      <c r="N2119" s="10" t="str">
        <f aca="false">_xlfn.UNICHAR(((C2119*21)+G2119)*28+44032)</f>
        <v>타</v>
      </c>
      <c r="O2119" s="10" t="str">
        <f aca="false">_xlfn.UNICHAR(((F2119*21)+D2119)*28+44032)</f>
        <v>루</v>
      </c>
      <c r="P2119" s="12" t="n">
        <f aca="false">COUNTIF($A$2:$A$3000, N2119) + COUNTIF($A$2:$A$3000, O2119)</f>
        <v>2</v>
      </c>
      <c r="Q2119" s="16" t="str">
        <f aca="false">IF(OR(B2119=-1,I2119=0, P2119&lt;&gt;2), "albhed_dummy", _xlfn.CONCAT("albhed ", RIGHT("  " &amp; K2119,2),", ", RIGHT("  " &amp; L2119,2), ", " ,"""",H2119,""", ", """",N2119,""", ","""",O2119,""""," ; ", A2119))</f>
        <v>albhed 23,  6, "라", "타", "루" ; 퉁</v>
      </c>
    </row>
    <row r="2120" customFormat="false" ht="17.9" hidden="false" customHeight="true" outlineLevel="0" collapsed="false">
      <c r="A2120" s="16" t="s">
        <v>2966</v>
      </c>
      <c r="B2120" s="16" t="n">
        <f aca="false">IF(_xlfn.UNICODE(A2120)&lt;44032,-1,_xlfn.UNICODE(A2120)-44032)</f>
        <v>9800</v>
      </c>
      <c r="C2120" s="16" t="n">
        <f aca="false">IF(B2120=-1,-1,INT((B2120/28)/21))</f>
        <v>16</v>
      </c>
      <c r="D2120" s="16" t="n">
        <f aca="false">IF(B2120=-1, -1, MOD(INT(B2120/28),21))</f>
        <v>14</v>
      </c>
      <c r="E2120" s="16" t="n">
        <f aca="false">IF(B2120=-1, -1, VLOOKUP(MOD(B2120,28), $T$24:$U$52,2))</f>
        <v>0</v>
      </c>
      <c r="F2120" s="16" t="n">
        <f aca="false">IF($B2120=-1, -1, VLOOKUP(C2120,$T$1:$V$20, 2))</f>
        <v>5</v>
      </c>
      <c r="G2120" s="16" t="n">
        <f aca="false">IF($B2120=-1, -1, VLOOKUP(D2120,$Y$1:$Z$22,2))</f>
        <v>20</v>
      </c>
      <c r="H2120" s="16" t="str">
        <f aca="false">_xlfn.UNICHAR(((F2120*21)+G2120)*28+44032)</f>
        <v>리</v>
      </c>
      <c r="I2120" s="16" t="n">
        <f aca="false">IF(B2120=-1, 1, COUNTIF($A$2:$A$3000, H2120))</f>
        <v>1</v>
      </c>
      <c r="J2120" s="10" t="str">
        <f aca="false">_xlfn.CONCAT(A2120, ",",H2120,",",I2120)</f>
        <v>퉈,리,1</v>
      </c>
      <c r="K2120" s="16" t="n">
        <f aca="false">IF(B2120=-1,-1,VLOOKUP(C2120,$T$1:$V$20,3))</f>
        <v>23</v>
      </c>
      <c r="L2120" s="16" t="n">
        <f aca="false">IF(B2120=-1,-1,VLOOKUP(D2120,$Y$1:$AA$22,3))</f>
        <v>16</v>
      </c>
      <c r="N2120" s="10" t="str">
        <f aca="false">_xlfn.UNICHAR(((C2120*21)+G2120)*28+44032)</f>
        <v>티</v>
      </c>
      <c r="O2120" s="10" t="str">
        <f aca="false">_xlfn.UNICHAR(((F2120*21)+D2120)*28+44032)</f>
        <v>뤄</v>
      </c>
      <c r="P2120" s="12" t="n">
        <f aca="false">COUNTIF($A$2:$A$3000, N2120) + COUNTIF($A$2:$A$3000, O2120)</f>
        <v>2</v>
      </c>
      <c r="Q2120" s="16" t="str">
        <f aca="false">IF(OR(B2120=-1,I2120=0, P2120&lt;&gt;2), "albhed_dummy", _xlfn.CONCAT("albhed ", RIGHT("  " &amp; K2120,2),", ", RIGHT("  " &amp; L2120,2), ", " ,"""",H2120,""", ", """",N2120,""", ","""",O2120,""""," ; ", A2120))</f>
        <v>albhed 23, 16, "리", "티", "뤄" ; 퉈</v>
      </c>
    </row>
    <row r="2121" customFormat="false" ht="17.9" hidden="false" customHeight="true" outlineLevel="0" collapsed="false">
      <c r="A2121" s="16" t="s">
        <v>2967</v>
      </c>
      <c r="B2121" s="16" t="n">
        <f aca="false">IF(_xlfn.UNICODE(A2121)&lt;44032,-1,_xlfn.UNICODE(A2121)-44032)</f>
        <v>9820</v>
      </c>
      <c r="C2121" s="16" t="n">
        <f aca="false">IF(B2121=-1,-1,INT((B2121/28)/21))</f>
        <v>16</v>
      </c>
      <c r="D2121" s="16" t="n">
        <f aca="false">IF(B2121=-1, -1, MOD(INT(B2121/28),21))</f>
        <v>14</v>
      </c>
      <c r="E2121" s="16" t="n">
        <f aca="false">IF(B2121=-1, -1, VLOOKUP(MOD(B2121,28), $T$24:$U$52,2))</f>
        <v>19</v>
      </c>
      <c r="F2121" s="16" t="n">
        <f aca="false">IF($B2121=-1, -1, VLOOKUP(C2121,$T$1:$V$20, 2))</f>
        <v>5</v>
      </c>
      <c r="G2121" s="16" t="n">
        <f aca="false">IF($B2121=-1, -1, VLOOKUP(D2121,$Y$1:$Z$22,2))</f>
        <v>20</v>
      </c>
      <c r="H2121" s="16" t="str">
        <f aca="false">_xlfn.UNICHAR(((F2121*21)+G2121)*28+44032)</f>
        <v>리</v>
      </c>
      <c r="I2121" s="16" t="n">
        <f aca="false">IF(B2121=-1, 1, COUNTIF($A$2:$A$3000, H2121))</f>
        <v>1</v>
      </c>
      <c r="J2121" s="10" t="str">
        <f aca="false">_xlfn.CONCAT(A2121, ",",H2121,",",I2121)</f>
        <v>퉜,리,1</v>
      </c>
      <c r="K2121" s="16" t="n">
        <f aca="false">IF(B2121=-1,-1,VLOOKUP(C2121,$T$1:$V$20,3))</f>
        <v>23</v>
      </c>
      <c r="L2121" s="16" t="n">
        <f aca="false">IF(B2121=-1,-1,VLOOKUP(D2121,$Y$1:$AA$22,3))</f>
        <v>16</v>
      </c>
      <c r="N2121" s="10" t="str">
        <f aca="false">_xlfn.UNICHAR(((C2121*21)+G2121)*28+44032)</f>
        <v>티</v>
      </c>
      <c r="O2121" s="10" t="str">
        <f aca="false">_xlfn.UNICHAR(((F2121*21)+D2121)*28+44032)</f>
        <v>뤄</v>
      </c>
      <c r="P2121" s="12" t="n">
        <f aca="false">COUNTIF($A$2:$A$3000, N2121) + COUNTIF($A$2:$A$3000, O2121)</f>
        <v>2</v>
      </c>
      <c r="Q2121" s="16" t="str">
        <f aca="false">IF(OR(B2121=-1,I2121=0, P2121&lt;&gt;2), "albhed_dummy", _xlfn.CONCAT("albhed ", RIGHT("  " &amp; K2121,2),", ", RIGHT("  " &amp; L2121,2), ", " ,"""",H2121,""", ", """",N2121,""", ","""",O2121,""""," ; ", A2121))</f>
        <v>albhed 23, 16, "리", "티", "뤄" ; 퉜</v>
      </c>
    </row>
    <row r="2122" customFormat="false" ht="17.9" hidden="false" customHeight="true" outlineLevel="0" collapsed="false">
      <c r="A2122" s="16" t="s">
        <v>2968</v>
      </c>
      <c r="B2122" s="16" t="n">
        <f aca="false">IF(_xlfn.UNICODE(A2122)&lt;44032,-1,_xlfn.UNICODE(A2122)-44032)</f>
        <v>9828</v>
      </c>
      <c r="C2122" s="16" t="n">
        <f aca="false">IF(B2122=-1,-1,INT((B2122/28)/21))</f>
        <v>16</v>
      </c>
      <c r="D2122" s="16" t="n">
        <f aca="false">IF(B2122=-1, -1, MOD(INT(B2122/28),21))</f>
        <v>15</v>
      </c>
      <c r="E2122" s="16" t="n">
        <f aca="false">IF(B2122=-1, -1, VLOOKUP(MOD(B2122,28), $T$24:$U$52,2))</f>
        <v>0</v>
      </c>
      <c r="F2122" s="16" t="n">
        <f aca="false">IF($B2122=-1, -1, VLOOKUP(C2122,$T$1:$V$20, 2))</f>
        <v>5</v>
      </c>
      <c r="G2122" s="16" t="n">
        <f aca="false">IF($B2122=-1, -1, VLOOKUP(D2122,$Y$1:$Z$22,2))</f>
        <v>20</v>
      </c>
      <c r="H2122" s="16" t="str">
        <f aca="false">_xlfn.UNICHAR(((F2122*21)+G2122)*28+44032)</f>
        <v>리</v>
      </c>
      <c r="I2122" s="16" t="n">
        <f aca="false">IF(B2122=-1, 1, COUNTIF($A$2:$A$3000, H2122))</f>
        <v>1</v>
      </c>
      <c r="J2122" s="10" t="str">
        <f aca="false">_xlfn.CONCAT(A2122, ",",H2122,",",I2122)</f>
        <v>퉤,리,1</v>
      </c>
      <c r="K2122" s="16" t="n">
        <f aca="false">IF(B2122=-1,-1,VLOOKUP(C2122,$T$1:$V$20,3))</f>
        <v>23</v>
      </c>
      <c r="L2122" s="16" t="n">
        <f aca="false">IF(B2122=-1,-1,VLOOKUP(D2122,$Y$1:$AA$22,3))</f>
        <v>16</v>
      </c>
      <c r="N2122" s="10" t="str">
        <f aca="false">_xlfn.UNICHAR(((C2122*21)+G2122)*28+44032)</f>
        <v>티</v>
      </c>
      <c r="O2122" s="10" t="str">
        <f aca="false">_xlfn.UNICHAR(((F2122*21)+D2122)*28+44032)</f>
        <v>뤠</v>
      </c>
      <c r="P2122" s="12" t="n">
        <f aca="false">COUNTIF($A$2:$A$3000, N2122) + COUNTIF($A$2:$A$3000, O2122)</f>
        <v>2</v>
      </c>
      <c r="Q2122" s="16" t="str">
        <f aca="false">IF(OR(B2122=-1,I2122=0, P2122&lt;&gt;2), "albhed_dummy", _xlfn.CONCAT("albhed ", RIGHT("  " &amp; K2122,2),", ", RIGHT("  " &amp; L2122,2), ", " ,"""",H2122,""", ", """",N2122,""", ","""",O2122,""""," ; ", A2122))</f>
        <v>albhed 23, 16, "리", "티", "뤠" ; 퉤</v>
      </c>
    </row>
    <row r="2123" customFormat="false" ht="17.9" hidden="false" customHeight="true" outlineLevel="0" collapsed="false">
      <c r="A2123" s="16" t="s">
        <v>2969</v>
      </c>
      <c r="B2123" s="16" t="n">
        <f aca="false">IF(_xlfn.UNICODE(A2123)&lt;44032,-1,_xlfn.UNICODE(A2123)-44032)</f>
        <v>9856</v>
      </c>
      <c r="C2123" s="16" t="n">
        <f aca="false">IF(B2123=-1,-1,INT((B2123/28)/21))</f>
        <v>16</v>
      </c>
      <c r="D2123" s="16" t="n">
        <f aca="false">IF(B2123=-1, -1, MOD(INT(B2123/28),21))</f>
        <v>16</v>
      </c>
      <c r="E2123" s="16" t="n">
        <f aca="false">IF(B2123=-1, -1, VLOOKUP(MOD(B2123,28), $T$24:$U$52,2))</f>
        <v>0</v>
      </c>
      <c r="F2123" s="16" t="n">
        <f aca="false">IF($B2123=-1, -1, VLOOKUP(C2123,$T$1:$V$20, 2))</f>
        <v>5</v>
      </c>
      <c r="G2123" s="16" t="n">
        <f aca="false">IF($B2123=-1, -1, VLOOKUP(D2123,$Y$1:$Z$22,2))</f>
        <v>20</v>
      </c>
      <c r="H2123" s="16" t="str">
        <f aca="false">_xlfn.UNICHAR(((F2123*21)+G2123)*28+44032)</f>
        <v>리</v>
      </c>
      <c r="I2123" s="16" t="n">
        <f aca="false">IF(B2123=-1, 1, COUNTIF($A$2:$A$3000, H2123))</f>
        <v>1</v>
      </c>
      <c r="J2123" s="10" t="str">
        <f aca="false">_xlfn.CONCAT(A2123, ",",H2123,",",I2123)</f>
        <v>튀,리,1</v>
      </c>
      <c r="K2123" s="16" t="n">
        <f aca="false">IF(B2123=-1,-1,VLOOKUP(C2123,$T$1:$V$20,3))</f>
        <v>23</v>
      </c>
      <c r="L2123" s="16" t="n">
        <f aca="false">IF(B2123=-1,-1,VLOOKUP(D2123,$Y$1:$AA$22,3))</f>
        <v>22</v>
      </c>
      <c r="N2123" s="10" t="str">
        <f aca="false">_xlfn.UNICHAR(((C2123*21)+G2123)*28+44032)</f>
        <v>티</v>
      </c>
      <c r="O2123" s="10" t="str">
        <f aca="false">_xlfn.UNICHAR(((F2123*21)+D2123)*28+44032)</f>
        <v>뤼</v>
      </c>
      <c r="P2123" s="12" t="n">
        <f aca="false">COUNTIF($A$2:$A$3000, N2123) + COUNTIF($A$2:$A$3000, O2123)</f>
        <v>2</v>
      </c>
      <c r="Q2123" s="16" t="str">
        <f aca="false">IF(OR(B2123=-1,I2123=0, P2123&lt;&gt;2), "albhed_dummy", _xlfn.CONCAT("albhed ", RIGHT("  " &amp; K2123,2),", ", RIGHT("  " &amp; L2123,2), ", " ,"""",H2123,""", ", """",N2123,""", ","""",O2123,""""," ; ", A2123))</f>
        <v>albhed 23, 22, "리", "티", "뤼" ; 튀</v>
      </c>
    </row>
    <row r="2124" customFormat="false" ht="17.9" hidden="false" customHeight="true" outlineLevel="0" collapsed="false">
      <c r="A2124" s="16" t="s">
        <v>2970</v>
      </c>
      <c r="B2124" s="16" t="n">
        <f aca="false">IF(_xlfn.UNICODE(A2124)&lt;44032,-1,_xlfn.UNICODE(A2124)-44032)</f>
        <v>9857</v>
      </c>
      <c r="C2124" s="16" t="n">
        <f aca="false">IF(B2124=-1,-1,INT((B2124/28)/21))</f>
        <v>16</v>
      </c>
      <c r="D2124" s="16" t="n">
        <f aca="false">IF(B2124=-1, -1, MOD(INT(B2124/28),21))</f>
        <v>16</v>
      </c>
      <c r="E2124" s="16" t="n">
        <f aca="false">IF(B2124=-1, -1, VLOOKUP(MOD(B2124,28), $T$24:$U$52,2))</f>
        <v>1</v>
      </c>
      <c r="F2124" s="16" t="n">
        <f aca="false">IF($B2124=-1, -1, VLOOKUP(C2124,$T$1:$V$20, 2))</f>
        <v>5</v>
      </c>
      <c r="G2124" s="16" t="n">
        <f aca="false">IF($B2124=-1, -1, VLOOKUP(D2124,$Y$1:$Z$22,2))</f>
        <v>20</v>
      </c>
      <c r="H2124" s="16" t="str">
        <f aca="false">_xlfn.UNICHAR(((F2124*21)+G2124)*28+44032)</f>
        <v>리</v>
      </c>
      <c r="I2124" s="16" t="n">
        <f aca="false">IF(B2124=-1, 1, COUNTIF($A$2:$A$3000, H2124))</f>
        <v>1</v>
      </c>
      <c r="J2124" s="10" t="str">
        <f aca="false">_xlfn.CONCAT(A2124, ",",H2124,",",I2124)</f>
        <v>튁,리,1</v>
      </c>
      <c r="K2124" s="16" t="n">
        <f aca="false">IF(B2124=-1,-1,VLOOKUP(C2124,$T$1:$V$20,3))</f>
        <v>23</v>
      </c>
      <c r="L2124" s="16" t="n">
        <f aca="false">IF(B2124=-1,-1,VLOOKUP(D2124,$Y$1:$AA$22,3))</f>
        <v>22</v>
      </c>
      <c r="N2124" s="10" t="str">
        <f aca="false">_xlfn.UNICHAR(((C2124*21)+G2124)*28+44032)</f>
        <v>티</v>
      </c>
      <c r="O2124" s="10" t="str">
        <f aca="false">_xlfn.UNICHAR(((F2124*21)+D2124)*28+44032)</f>
        <v>뤼</v>
      </c>
      <c r="P2124" s="12" t="n">
        <f aca="false">COUNTIF($A$2:$A$3000, N2124) + COUNTIF($A$2:$A$3000, O2124)</f>
        <v>2</v>
      </c>
      <c r="Q2124" s="16" t="str">
        <f aca="false">IF(OR(B2124=-1,I2124=0, P2124&lt;&gt;2), "albhed_dummy", _xlfn.CONCAT("albhed ", RIGHT("  " &amp; K2124,2),", ", RIGHT("  " &amp; L2124,2), ", " ,"""",H2124,""", ", """",N2124,""", ","""",O2124,""""," ; ", A2124))</f>
        <v>albhed 23, 22, "리", "티", "뤼" ; 튁</v>
      </c>
    </row>
    <row r="2125" customFormat="false" ht="17.9" hidden="false" customHeight="true" outlineLevel="0" collapsed="false">
      <c r="A2125" s="16" t="s">
        <v>2971</v>
      </c>
      <c r="B2125" s="16" t="n">
        <f aca="false">IF(_xlfn.UNICODE(A2125)&lt;44032,-1,_xlfn.UNICODE(A2125)-44032)</f>
        <v>9860</v>
      </c>
      <c r="C2125" s="16" t="n">
        <f aca="false">IF(B2125=-1,-1,INT((B2125/28)/21))</f>
        <v>16</v>
      </c>
      <c r="D2125" s="16" t="n">
        <f aca="false">IF(B2125=-1, -1, MOD(INT(B2125/28),21))</f>
        <v>16</v>
      </c>
      <c r="E2125" s="16" t="n">
        <f aca="false">IF(B2125=-1, -1, VLOOKUP(MOD(B2125,28), $T$24:$U$52,2))</f>
        <v>4</v>
      </c>
      <c r="F2125" s="16" t="n">
        <f aca="false">IF($B2125=-1, -1, VLOOKUP(C2125,$T$1:$V$20, 2))</f>
        <v>5</v>
      </c>
      <c r="G2125" s="16" t="n">
        <f aca="false">IF($B2125=-1, -1, VLOOKUP(D2125,$Y$1:$Z$22,2))</f>
        <v>20</v>
      </c>
      <c r="H2125" s="16" t="str">
        <f aca="false">_xlfn.UNICHAR(((F2125*21)+G2125)*28+44032)</f>
        <v>리</v>
      </c>
      <c r="I2125" s="16" t="n">
        <f aca="false">IF(B2125=-1, 1, COUNTIF($A$2:$A$3000, H2125))</f>
        <v>1</v>
      </c>
      <c r="J2125" s="10" t="str">
        <f aca="false">_xlfn.CONCAT(A2125, ",",H2125,",",I2125)</f>
        <v>튄,리,1</v>
      </c>
      <c r="K2125" s="16" t="n">
        <f aca="false">IF(B2125=-1,-1,VLOOKUP(C2125,$T$1:$V$20,3))</f>
        <v>23</v>
      </c>
      <c r="L2125" s="16" t="n">
        <f aca="false">IF(B2125=-1,-1,VLOOKUP(D2125,$Y$1:$AA$22,3))</f>
        <v>22</v>
      </c>
      <c r="N2125" s="10" t="str">
        <f aca="false">_xlfn.UNICHAR(((C2125*21)+G2125)*28+44032)</f>
        <v>티</v>
      </c>
      <c r="O2125" s="10" t="str">
        <f aca="false">_xlfn.UNICHAR(((F2125*21)+D2125)*28+44032)</f>
        <v>뤼</v>
      </c>
      <c r="P2125" s="12" t="n">
        <f aca="false">COUNTIF($A$2:$A$3000, N2125) + COUNTIF($A$2:$A$3000, O2125)</f>
        <v>2</v>
      </c>
      <c r="Q2125" s="16" t="str">
        <f aca="false">IF(OR(B2125=-1,I2125=0, P2125&lt;&gt;2), "albhed_dummy", _xlfn.CONCAT("albhed ", RIGHT("  " &amp; K2125,2),", ", RIGHT("  " &amp; L2125,2), ", " ,"""",H2125,""", ", """",N2125,""", ","""",O2125,""""," ; ", A2125))</f>
        <v>albhed 23, 22, "리", "티", "뤼" ; 튄</v>
      </c>
    </row>
    <row r="2126" customFormat="false" ht="17.9" hidden="false" customHeight="true" outlineLevel="0" collapsed="false">
      <c r="A2126" s="16" t="s">
        <v>2972</v>
      </c>
      <c r="B2126" s="16" t="n">
        <f aca="false">IF(_xlfn.UNICODE(A2126)&lt;44032,-1,_xlfn.UNICODE(A2126)-44032)</f>
        <v>9864</v>
      </c>
      <c r="C2126" s="16" t="n">
        <f aca="false">IF(B2126=-1,-1,INT((B2126/28)/21))</f>
        <v>16</v>
      </c>
      <c r="D2126" s="16" t="n">
        <f aca="false">IF(B2126=-1, -1, MOD(INT(B2126/28),21))</f>
        <v>16</v>
      </c>
      <c r="E2126" s="16" t="n">
        <f aca="false">IF(B2126=-1, -1, VLOOKUP(MOD(B2126,28), $T$24:$U$52,2))</f>
        <v>8</v>
      </c>
      <c r="F2126" s="16" t="n">
        <f aca="false">IF($B2126=-1, -1, VLOOKUP(C2126,$T$1:$V$20, 2))</f>
        <v>5</v>
      </c>
      <c r="G2126" s="16" t="n">
        <f aca="false">IF($B2126=-1, -1, VLOOKUP(D2126,$Y$1:$Z$22,2))</f>
        <v>20</v>
      </c>
      <c r="H2126" s="16" t="str">
        <f aca="false">_xlfn.UNICHAR(((F2126*21)+G2126)*28+44032)</f>
        <v>리</v>
      </c>
      <c r="I2126" s="16" t="n">
        <f aca="false">IF(B2126=-1, 1, COUNTIF($A$2:$A$3000, H2126))</f>
        <v>1</v>
      </c>
      <c r="J2126" s="10" t="str">
        <f aca="false">_xlfn.CONCAT(A2126, ",",H2126,",",I2126)</f>
        <v>튈,리,1</v>
      </c>
      <c r="K2126" s="16" t="n">
        <f aca="false">IF(B2126=-1,-1,VLOOKUP(C2126,$T$1:$V$20,3))</f>
        <v>23</v>
      </c>
      <c r="L2126" s="16" t="n">
        <f aca="false">IF(B2126=-1,-1,VLOOKUP(D2126,$Y$1:$AA$22,3))</f>
        <v>22</v>
      </c>
      <c r="N2126" s="10" t="str">
        <f aca="false">_xlfn.UNICHAR(((C2126*21)+G2126)*28+44032)</f>
        <v>티</v>
      </c>
      <c r="O2126" s="10" t="str">
        <f aca="false">_xlfn.UNICHAR(((F2126*21)+D2126)*28+44032)</f>
        <v>뤼</v>
      </c>
      <c r="P2126" s="12" t="n">
        <f aca="false">COUNTIF($A$2:$A$3000, N2126) + COUNTIF($A$2:$A$3000, O2126)</f>
        <v>2</v>
      </c>
      <c r="Q2126" s="16" t="str">
        <f aca="false">IF(OR(B2126=-1,I2126=0, P2126&lt;&gt;2), "albhed_dummy", _xlfn.CONCAT("albhed ", RIGHT("  " &amp; K2126,2),", ", RIGHT("  " &amp; L2126,2), ", " ,"""",H2126,""", ", """",N2126,""", ","""",O2126,""""," ; ", A2126))</f>
        <v>albhed 23, 22, "리", "티", "뤼" ; 튈</v>
      </c>
    </row>
    <row r="2127" customFormat="false" ht="17.9" hidden="false" customHeight="true" outlineLevel="0" collapsed="false">
      <c r="A2127" s="16" t="s">
        <v>2973</v>
      </c>
      <c r="B2127" s="16" t="n">
        <f aca="false">IF(_xlfn.UNICODE(A2127)&lt;44032,-1,_xlfn.UNICODE(A2127)-44032)</f>
        <v>9872</v>
      </c>
      <c r="C2127" s="16" t="n">
        <f aca="false">IF(B2127=-1,-1,INT((B2127/28)/21))</f>
        <v>16</v>
      </c>
      <c r="D2127" s="16" t="n">
        <f aca="false">IF(B2127=-1, -1, MOD(INT(B2127/28),21))</f>
        <v>16</v>
      </c>
      <c r="E2127" s="16" t="n">
        <f aca="false">IF(B2127=-1, -1, VLOOKUP(MOD(B2127,28), $T$24:$U$52,2))</f>
        <v>16</v>
      </c>
      <c r="F2127" s="16" t="n">
        <f aca="false">IF($B2127=-1, -1, VLOOKUP(C2127,$T$1:$V$20, 2))</f>
        <v>5</v>
      </c>
      <c r="G2127" s="16" t="n">
        <f aca="false">IF($B2127=-1, -1, VLOOKUP(D2127,$Y$1:$Z$22,2))</f>
        <v>20</v>
      </c>
      <c r="H2127" s="16" t="str">
        <f aca="false">_xlfn.UNICHAR(((F2127*21)+G2127)*28+44032)</f>
        <v>리</v>
      </c>
      <c r="I2127" s="16" t="n">
        <f aca="false">IF(B2127=-1, 1, COUNTIF($A$2:$A$3000, H2127))</f>
        <v>1</v>
      </c>
      <c r="J2127" s="10" t="str">
        <f aca="false">_xlfn.CONCAT(A2127, ",",H2127,",",I2127)</f>
        <v>튐,리,1</v>
      </c>
      <c r="K2127" s="16" t="n">
        <f aca="false">IF(B2127=-1,-1,VLOOKUP(C2127,$T$1:$V$20,3))</f>
        <v>23</v>
      </c>
      <c r="L2127" s="16" t="n">
        <f aca="false">IF(B2127=-1,-1,VLOOKUP(D2127,$Y$1:$AA$22,3))</f>
        <v>22</v>
      </c>
      <c r="N2127" s="10" t="str">
        <f aca="false">_xlfn.UNICHAR(((C2127*21)+G2127)*28+44032)</f>
        <v>티</v>
      </c>
      <c r="O2127" s="10" t="str">
        <f aca="false">_xlfn.UNICHAR(((F2127*21)+D2127)*28+44032)</f>
        <v>뤼</v>
      </c>
      <c r="P2127" s="12" t="n">
        <f aca="false">COUNTIF($A$2:$A$3000, N2127) + COUNTIF($A$2:$A$3000, O2127)</f>
        <v>2</v>
      </c>
      <c r="Q2127" s="16" t="str">
        <f aca="false">IF(OR(B2127=-1,I2127=0, P2127&lt;&gt;2), "albhed_dummy", _xlfn.CONCAT("albhed ", RIGHT("  " &amp; K2127,2),", ", RIGHT("  " &amp; L2127,2), ", " ,"""",H2127,""", ", """",N2127,""", ","""",O2127,""""," ; ", A2127))</f>
        <v>albhed 23, 22, "리", "티", "뤼" ; 튐</v>
      </c>
    </row>
    <row r="2128" customFormat="false" ht="17.9" hidden="false" customHeight="true" outlineLevel="0" collapsed="false">
      <c r="A2128" s="16" t="s">
        <v>2974</v>
      </c>
      <c r="B2128" s="16" t="n">
        <f aca="false">IF(_xlfn.UNICODE(A2128)&lt;44032,-1,_xlfn.UNICODE(A2128)-44032)</f>
        <v>9873</v>
      </c>
      <c r="C2128" s="16" t="n">
        <f aca="false">IF(B2128=-1,-1,INT((B2128/28)/21))</f>
        <v>16</v>
      </c>
      <c r="D2128" s="16" t="n">
        <f aca="false">IF(B2128=-1, -1, MOD(INT(B2128/28),21))</f>
        <v>16</v>
      </c>
      <c r="E2128" s="16" t="n">
        <f aca="false">IF(B2128=-1, -1, VLOOKUP(MOD(B2128,28), $T$24:$U$52,2))</f>
        <v>17</v>
      </c>
      <c r="F2128" s="16" t="n">
        <f aca="false">IF($B2128=-1, -1, VLOOKUP(C2128,$T$1:$V$20, 2))</f>
        <v>5</v>
      </c>
      <c r="G2128" s="16" t="n">
        <f aca="false">IF($B2128=-1, -1, VLOOKUP(D2128,$Y$1:$Z$22,2))</f>
        <v>20</v>
      </c>
      <c r="H2128" s="16" t="str">
        <f aca="false">_xlfn.UNICHAR(((F2128*21)+G2128)*28+44032)</f>
        <v>리</v>
      </c>
      <c r="I2128" s="16" t="n">
        <f aca="false">IF(B2128=-1, 1, COUNTIF($A$2:$A$3000, H2128))</f>
        <v>1</v>
      </c>
      <c r="J2128" s="10" t="str">
        <f aca="false">_xlfn.CONCAT(A2128, ",",H2128,",",I2128)</f>
        <v>튑,리,1</v>
      </c>
      <c r="K2128" s="16" t="n">
        <f aca="false">IF(B2128=-1,-1,VLOOKUP(C2128,$T$1:$V$20,3))</f>
        <v>23</v>
      </c>
      <c r="L2128" s="16" t="n">
        <f aca="false">IF(B2128=-1,-1,VLOOKUP(D2128,$Y$1:$AA$22,3))</f>
        <v>22</v>
      </c>
      <c r="N2128" s="10" t="str">
        <f aca="false">_xlfn.UNICHAR(((C2128*21)+G2128)*28+44032)</f>
        <v>티</v>
      </c>
      <c r="O2128" s="10" t="str">
        <f aca="false">_xlfn.UNICHAR(((F2128*21)+D2128)*28+44032)</f>
        <v>뤼</v>
      </c>
      <c r="P2128" s="12" t="n">
        <f aca="false">COUNTIF($A$2:$A$3000, N2128) + COUNTIF($A$2:$A$3000, O2128)</f>
        <v>2</v>
      </c>
      <c r="Q2128" s="16" t="str">
        <f aca="false">IF(OR(B2128=-1,I2128=0, P2128&lt;&gt;2), "albhed_dummy", _xlfn.CONCAT("albhed ", RIGHT("  " &amp; K2128,2),", ", RIGHT("  " &amp; L2128,2), ", " ,"""",H2128,""", ", """",N2128,""", ","""",O2128,""""," ; ", A2128))</f>
        <v>albhed 23, 22, "리", "티", "뤼" ; 튑</v>
      </c>
    </row>
    <row r="2129" customFormat="false" ht="17.9" hidden="false" customHeight="true" outlineLevel="0" collapsed="false">
      <c r="A2129" s="16" t="s">
        <v>2975</v>
      </c>
      <c r="B2129" s="16" t="n">
        <f aca="false">IF(_xlfn.UNICODE(A2129)&lt;44032,-1,_xlfn.UNICODE(A2129)-44032)</f>
        <v>9877</v>
      </c>
      <c r="C2129" s="16" t="n">
        <f aca="false">IF(B2129=-1,-1,INT((B2129/28)/21))</f>
        <v>16</v>
      </c>
      <c r="D2129" s="16" t="n">
        <f aca="false">IF(B2129=-1, -1, MOD(INT(B2129/28),21))</f>
        <v>16</v>
      </c>
      <c r="E2129" s="16" t="n">
        <f aca="false">IF(B2129=-1, -1, VLOOKUP(MOD(B2129,28), $T$24:$U$52,2))</f>
        <v>21</v>
      </c>
      <c r="F2129" s="16" t="n">
        <f aca="false">IF($B2129=-1, -1, VLOOKUP(C2129,$T$1:$V$20, 2))</f>
        <v>5</v>
      </c>
      <c r="G2129" s="16" t="n">
        <f aca="false">IF($B2129=-1, -1, VLOOKUP(D2129,$Y$1:$Z$22,2))</f>
        <v>20</v>
      </c>
      <c r="H2129" s="16" t="str">
        <f aca="false">_xlfn.UNICHAR(((F2129*21)+G2129)*28+44032)</f>
        <v>리</v>
      </c>
      <c r="I2129" s="16" t="n">
        <f aca="false">IF(B2129=-1, 1, COUNTIF($A$2:$A$3000, H2129))</f>
        <v>1</v>
      </c>
      <c r="J2129" s="10" t="str">
        <f aca="false">_xlfn.CONCAT(A2129, ",",H2129,",",I2129)</f>
        <v>튕,리,1</v>
      </c>
      <c r="K2129" s="16" t="n">
        <f aca="false">IF(B2129=-1,-1,VLOOKUP(C2129,$T$1:$V$20,3))</f>
        <v>23</v>
      </c>
      <c r="L2129" s="16" t="n">
        <f aca="false">IF(B2129=-1,-1,VLOOKUP(D2129,$Y$1:$AA$22,3))</f>
        <v>22</v>
      </c>
      <c r="N2129" s="10" t="str">
        <f aca="false">_xlfn.UNICHAR(((C2129*21)+G2129)*28+44032)</f>
        <v>티</v>
      </c>
      <c r="O2129" s="10" t="str">
        <f aca="false">_xlfn.UNICHAR(((F2129*21)+D2129)*28+44032)</f>
        <v>뤼</v>
      </c>
      <c r="P2129" s="12" t="n">
        <f aca="false">COUNTIF($A$2:$A$3000, N2129) + COUNTIF($A$2:$A$3000, O2129)</f>
        <v>2</v>
      </c>
      <c r="Q2129" s="16" t="str">
        <f aca="false">IF(OR(B2129=-1,I2129=0, P2129&lt;&gt;2), "albhed_dummy", _xlfn.CONCAT("albhed ", RIGHT("  " &amp; K2129,2),", ", RIGHT("  " &amp; L2129,2), ", " ,"""",H2129,""", ", """",N2129,""", ","""",O2129,""""," ; ", A2129))</f>
        <v>albhed 23, 22, "리", "티", "뤼" ; 튕</v>
      </c>
    </row>
    <row r="2130" customFormat="false" ht="17.9" hidden="false" customHeight="true" outlineLevel="0" collapsed="false">
      <c r="A2130" s="16" t="s">
        <v>2976</v>
      </c>
      <c r="B2130" s="16" t="n">
        <f aca="false">IF(_xlfn.UNICODE(A2130)&lt;44032,-1,_xlfn.UNICODE(A2130)-44032)</f>
        <v>9884</v>
      </c>
      <c r="C2130" s="16" t="n">
        <f aca="false">IF(B2130=-1,-1,INT((B2130/28)/21))</f>
        <v>16</v>
      </c>
      <c r="D2130" s="16" t="n">
        <f aca="false">IF(B2130=-1, -1, MOD(INT(B2130/28),21))</f>
        <v>17</v>
      </c>
      <c r="E2130" s="16" t="n">
        <f aca="false">IF(B2130=-1, -1, VLOOKUP(MOD(B2130,28), $T$24:$U$52,2))</f>
        <v>0</v>
      </c>
      <c r="F2130" s="16" t="n">
        <f aca="false">IF($B2130=-1, -1, VLOOKUP(C2130,$T$1:$V$20, 2))</f>
        <v>5</v>
      </c>
      <c r="G2130" s="16" t="n">
        <f aca="false">IF($B2130=-1, -1, VLOOKUP(D2130,$Y$1:$Z$22,2))</f>
        <v>2</v>
      </c>
      <c r="H2130" s="16" t="str">
        <f aca="false">_xlfn.UNICHAR(((F2130*21)+G2130)*28+44032)</f>
        <v>랴</v>
      </c>
      <c r="I2130" s="16" t="n">
        <f aca="false">IF(B2130=-1, 1, COUNTIF($A$2:$A$3000, H2130))</f>
        <v>1</v>
      </c>
      <c r="J2130" s="10" t="str">
        <f aca="false">_xlfn.CONCAT(A2130, ",",H2130,",",I2130)</f>
        <v>튜,랴,1</v>
      </c>
      <c r="K2130" s="16" t="n">
        <f aca="false">IF(B2130=-1,-1,VLOOKUP(C2130,$T$1:$V$20,3))</f>
        <v>23</v>
      </c>
      <c r="L2130" s="16" t="n">
        <f aca="false">IF(B2130=-1,-1,VLOOKUP(D2130,$Y$1:$AA$22,3))</f>
        <v>6</v>
      </c>
      <c r="N2130" s="10" t="str">
        <f aca="false">_xlfn.UNICHAR(((C2130*21)+G2130)*28+44032)</f>
        <v>탸</v>
      </c>
      <c r="O2130" s="10" t="str">
        <f aca="false">_xlfn.UNICHAR(((F2130*21)+D2130)*28+44032)</f>
        <v>류</v>
      </c>
      <c r="P2130" s="12" t="n">
        <f aca="false">COUNTIF($A$2:$A$3000, N2130) + COUNTIF($A$2:$A$3000, O2130)</f>
        <v>2</v>
      </c>
      <c r="Q2130" s="16" t="str">
        <f aca="false">IF(OR(B2130=-1,I2130=0, P2130&lt;&gt;2), "albhed_dummy", _xlfn.CONCAT("albhed ", RIGHT("  " &amp; K2130,2),", ", RIGHT("  " &amp; L2130,2), ", " ,"""",H2130,""", ", """",N2130,""", ","""",O2130,""""," ; ", A2130))</f>
        <v>albhed 23,  6, "랴", "탸", "류" ; 튜</v>
      </c>
    </row>
    <row r="2131" customFormat="false" ht="17.9" hidden="false" customHeight="true" outlineLevel="0" collapsed="false">
      <c r="A2131" s="16" t="s">
        <v>2977</v>
      </c>
      <c r="B2131" s="16" t="n">
        <f aca="false">IF(_xlfn.UNICODE(A2131)&lt;44032,-1,_xlfn.UNICODE(A2131)-44032)</f>
        <v>9888</v>
      </c>
      <c r="C2131" s="16" t="n">
        <f aca="false">IF(B2131=-1,-1,INT((B2131/28)/21))</f>
        <v>16</v>
      </c>
      <c r="D2131" s="16" t="n">
        <f aca="false">IF(B2131=-1, -1, MOD(INT(B2131/28),21))</f>
        <v>17</v>
      </c>
      <c r="E2131" s="16" t="n">
        <f aca="false">IF(B2131=-1, -1, VLOOKUP(MOD(B2131,28), $T$24:$U$52,2))</f>
        <v>4</v>
      </c>
      <c r="F2131" s="16" t="n">
        <f aca="false">IF($B2131=-1, -1, VLOOKUP(C2131,$T$1:$V$20, 2))</f>
        <v>5</v>
      </c>
      <c r="G2131" s="16" t="n">
        <f aca="false">IF($B2131=-1, -1, VLOOKUP(D2131,$Y$1:$Z$22,2))</f>
        <v>2</v>
      </c>
      <c r="H2131" s="16" t="str">
        <f aca="false">_xlfn.UNICHAR(((F2131*21)+G2131)*28+44032)</f>
        <v>랴</v>
      </c>
      <c r="I2131" s="16" t="n">
        <f aca="false">IF(B2131=-1, 1, COUNTIF($A$2:$A$3000, H2131))</f>
        <v>1</v>
      </c>
      <c r="J2131" s="10" t="str">
        <f aca="false">_xlfn.CONCAT(A2131, ",",H2131,",",I2131)</f>
        <v>튠,랴,1</v>
      </c>
      <c r="K2131" s="16" t="n">
        <f aca="false">IF(B2131=-1,-1,VLOOKUP(C2131,$T$1:$V$20,3))</f>
        <v>23</v>
      </c>
      <c r="L2131" s="16" t="n">
        <f aca="false">IF(B2131=-1,-1,VLOOKUP(D2131,$Y$1:$AA$22,3))</f>
        <v>6</v>
      </c>
      <c r="N2131" s="10" t="str">
        <f aca="false">_xlfn.UNICHAR(((C2131*21)+G2131)*28+44032)</f>
        <v>탸</v>
      </c>
      <c r="O2131" s="10" t="str">
        <f aca="false">_xlfn.UNICHAR(((F2131*21)+D2131)*28+44032)</f>
        <v>류</v>
      </c>
      <c r="P2131" s="12" t="n">
        <f aca="false">COUNTIF($A$2:$A$3000, N2131) + COUNTIF($A$2:$A$3000, O2131)</f>
        <v>2</v>
      </c>
      <c r="Q2131" s="16" t="str">
        <f aca="false">IF(OR(B2131=-1,I2131=0, P2131&lt;&gt;2), "albhed_dummy", _xlfn.CONCAT("albhed ", RIGHT("  " &amp; K2131,2),", ", RIGHT("  " &amp; L2131,2), ", " ,"""",H2131,""", ", """",N2131,""", ","""",O2131,""""," ; ", A2131))</f>
        <v>albhed 23,  6, "랴", "탸", "류" ; 튠</v>
      </c>
    </row>
    <row r="2132" customFormat="false" ht="17.9" hidden="false" customHeight="true" outlineLevel="0" collapsed="false">
      <c r="A2132" s="16" t="s">
        <v>2978</v>
      </c>
      <c r="B2132" s="16" t="n">
        <f aca="false">IF(_xlfn.UNICODE(A2132)&lt;44032,-1,_xlfn.UNICODE(A2132)-44032)</f>
        <v>9892</v>
      </c>
      <c r="C2132" s="16" t="n">
        <f aca="false">IF(B2132=-1,-1,INT((B2132/28)/21))</f>
        <v>16</v>
      </c>
      <c r="D2132" s="16" t="n">
        <f aca="false">IF(B2132=-1, -1, MOD(INT(B2132/28),21))</f>
        <v>17</v>
      </c>
      <c r="E2132" s="16" t="n">
        <f aca="false">IF(B2132=-1, -1, VLOOKUP(MOD(B2132,28), $T$24:$U$52,2))</f>
        <v>8</v>
      </c>
      <c r="F2132" s="16" t="n">
        <f aca="false">IF($B2132=-1, -1, VLOOKUP(C2132,$T$1:$V$20, 2))</f>
        <v>5</v>
      </c>
      <c r="G2132" s="16" t="n">
        <f aca="false">IF($B2132=-1, -1, VLOOKUP(D2132,$Y$1:$Z$22,2))</f>
        <v>2</v>
      </c>
      <c r="H2132" s="16" t="str">
        <f aca="false">_xlfn.UNICHAR(((F2132*21)+G2132)*28+44032)</f>
        <v>랴</v>
      </c>
      <c r="I2132" s="16" t="n">
        <f aca="false">IF(B2132=-1, 1, COUNTIF($A$2:$A$3000, H2132))</f>
        <v>1</v>
      </c>
      <c r="J2132" s="10" t="str">
        <f aca="false">_xlfn.CONCAT(A2132, ",",H2132,",",I2132)</f>
        <v>튤,랴,1</v>
      </c>
      <c r="K2132" s="16" t="n">
        <f aca="false">IF(B2132=-1,-1,VLOOKUP(C2132,$T$1:$V$20,3))</f>
        <v>23</v>
      </c>
      <c r="L2132" s="16" t="n">
        <f aca="false">IF(B2132=-1,-1,VLOOKUP(D2132,$Y$1:$AA$22,3))</f>
        <v>6</v>
      </c>
      <c r="N2132" s="10" t="str">
        <f aca="false">_xlfn.UNICHAR(((C2132*21)+G2132)*28+44032)</f>
        <v>탸</v>
      </c>
      <c r="O2132" s="10" t="str">
        <f aca="false">_xlfn.UNICHAR(((F2132*21)+D2132)*28+44032)</f>
        <v>류</v>
      </c>
      <c r="P2132" s="12" t="n">
        <f aca="false">COUNTIF($A$2:$A$3000, N2132) + COUNTIF($A$2:$A$3000, O2132)</f>
        <v>2</v>
      </c>
      <c r="Q2132" s="16" t="str">
        <f aca="false">IF(OR(B2132=-1,I2132=0, P2132&lt;&gt;2), "albhed_dummy", _xlfn.CONCAT("albhed ", RIGHT("  " &amp; K2132,2),", ", RIGHT("  " &amp; L2132,2), ", " ,"""",H2132,""", ", """",N2132,""", ","""",O2132,""""," ; ", A2132))</f>
        <v>albhed 23,  6, "랴", "탸", "류" ; 튤</v>
      </c>
    </row>
    <row r="2133" customFormat="false" ht="17.9" hidden="false" customHeight="true" outlineLevel="0" collapsed="false">
      <c r="A2133" s="16" t="s">
        <v>2979</v>
      </c>
      <c r="B2133" s="16" t="n">
        <f aca="false">IF(_xlfn.UNICODE(A2133)&lt;44032,-1,_xlfn.UNICODE(A2133)-44032)</f>
        <v>9900</v>
      </c>
      <c r="C2133" s="16" t="n">
        <f aca="false">IF(B2133=-1,-1,INT((B2133/28)/21))</f>
        <v>16</v>
      </c>
      <c r="D2133" s="16" t="n">
        <f aca="false">IF(B2133=-1, -1, MOD(INT(B2133/28),21))</f>
        <v>17</v>
      </c>
      <c r="E2133" s="16" t="n">
        <f aca="false">IF(B2133=-1, -1, VLOOKUP(MOD(B2133,28), $T$24:$U$52,2))</f>
        <v>16</v>
      </c>
      <c r="F2133" s="16" t="n">
        <f aca="false">IF($B2133=-1, -1, VLOOKUP(C2133,$T$1:$V$20, 2))</f>
        <v>5</v>
      </c>
      <c r="G2133" s="16" t="n">
        <f aca="false">IF($B2133=-1, -1, VLOOKUP(D2133,$Y$1:$Z$22,2))</f>
        <v>2</v>
      </c>
      <c r="H2133" s="16" t="str">
        <f aca="false">_xlfn.UNICHAR(((F2133*21)+G2133)*28+44032)</f>
        <v>랴</v>
      </c>
      <c r="I2133" s="16" t="n">
        <f aca="false">IF(B2133=-1, 1, COUNTIF($A$2:$A$3000, H2133))</f>
        <v>1</v>
      </c>
      <c r="J2133" s="10" t="str">
        <f aca="false">_xlfn.CONCAT(A2133, ",",H2133,",",I2133)</f>
        <v>튬,랴,1</v>
      </c>
      <c r="K2133" s="16" t="n">
        <f aca="false">IF(B2133=-1,-1,VLOOKUP(C2133,$T$1:$V$20,3))</f>
        <v>23</v>
      </c>
      <c r="L2133" s="16" t="n">
        <f aca="false">IF(B2133=-1,-1,VLOOKUP(D2133,$Y$1:$AA$22,3))</f>
        <v>6</v>
      </c>
      <c r="N2133" s="10" t="str">
        <f aca="false">_xlfn.UNICHAR(((C2133*21)+G2133)*28+44032)</f>
        <v>탸</v>
      </c>
      <c r="O2133" s="10" t="str">
        <f aca="false">_xlfn.UNICHAR(((F2133*21)+D2133)*28+44032)</f>
        <v>류</v>
      </c>
      <c r="P2133" s="12" t="n">
        <f aca="false">COUNTIF($A$2:$A$3000, N2133) + COUNTIF($A$2:$A$3000, O2133)</f>
        <v>2</v>
      </c>
      <c r="Q2133" s="16" t="str">
        <f aca="false">IF(OR(B2133=-1,I2133=0, P2133&lt;&gt;2), "albhed_dummy", _xlfn.CONCAT("albhed ", RIGHT("  " &amp; K2133,2),", ", RIGHT("  " &amp; L2133,2), ", " ,"""",H2133,""", ", """",N2133,""", ","""",O2133,""""," ; ", A2133))</f>
        <v>albhed 23,  6, "랴", "탸", "류" ; 튬</v>
      </c>
    </row>
    <row r="2134" customFormat="false" ht="17.9" hidden="false" customHeight="true" outlineLevel="0" collapsed="false">
      <c r="A2134" s="16" t="s">
        <v>2980</v>
      </c>
      <c r="B2134" s="16" t="n">
        <f aca="false">IF(_xlfn.UNICODE(A2134)&lt;44032,-1,_xlfn.UNICODE(A2134)-44032)</f>
        <v>9905</v>
      </c>
      <c r="C2134" s="16" t="n">
        <f aca="false">IF(B2134=-1,-1,INT((B2134/28)/21))</f>
        <v>16</v>
      </c>
      <c r="D2134" s="16" t="n">
        <f aca="false">IF(B2134=-1, -1, MOD(INT(B2134/28),21))</f>
        <v>17</v>
      </c>
      <c r="E2134" s="16" t="n">
        <f aca="false">IF(B2134=-1, -1, VLOOKUP(MOD(B2134,28), $T$24:$U$52,2))</f>
        <v>21</v>
      </c>
      <c r="F2134" s="16" t="n">
        <f aca="false">IF($B2134=-1, -1, VLOOKUP(C2134,$T$1:$V$20, 2))</f>
        <v>5</v>
      </c>
      <c r="G2134" s="16" t="n">
        <f aca="false">IF($B2134=-1, -1, VLOOKUP(D2134,$Y$1:$Z$22,2))</f>
        <v>2</v>
      </c>
      <c r="H2134" s="16" t="str">
        <f aca="false">_xlfn.UNICHAR(((F2134*21)+G2134)*28+44032)</f>
        <v>랴</v>
      </c>
      <c r="I2134" s="16" t="n">
        <f aca="false">IF(B2134=-1, 1, COUNTIF($A$2:$A$3000, H2134))</f>
        <v>1</v>
      </c>
      <c r="J2134" s="10" t="str">
        <f aca="false">_xlfn.CONCAT(A2134, ",",H2134,",",I2134)</f>
        <v>튱,랴,1</v>
      </c>
      <c r="K2134" s="16" t="n">
        <f aca="false">IF(B2134=-1,-1,VLOOKUP(C2134,$T$1:$V$20,3))</f>
        <v>23</v>
      </c>
      <c r="L2134" s="16" t="n">
        <f aca="false">IF(B2134=-1,-1,VLOOKUP(D2134,$Y$1:$AA$22,3))</f>
        <v>6</v>
      </c>
      <c r="N2134" s="10" t="str">
        <f aca="false">_xlfn.UNICHAR(((C2134*21)+G2134)*28+44032)</f>
        <v>탸</v>
      </c>
      <c r="O2134" s="10" t="str">
        <f aca="false">_xlfn.UNICHAR(((F2134*21)+D2134)*28+44032)</f>
        <v>류</v>
      </c>
      <c r="P2134" s="12" t="n">
        <f aca="false">COUNTIF($A$2:$A$3000, N2134) + COUNTIF($A$2:$A$3000, O2134)</f>
        <v>2</v>
      </c>
      <c r="Q2134" s="16" t="str">
        <f aca="false">IF(OR(B2134=-1,I2134=0, P2134&lt;&gt;2), "albhed_dummy", _xlfn.CONCAT("albhed ", RIGHT("  " &amp; K2134,2),", ", RIGHT("  " &amp; L2134,2), ", " ,"""",H2134,""", ", """",N2134,""", ","""",O2134,""""," ; ", A2134))</f>
        <v>albhed 23,  6, "랴", "탸", "류" ; 튱</v>
      </c>
    </row>
    <row r="2135" customFormat="false" ht="17.9" hidden="false" customHeight="true" outlineLevel="0" collapsed="false">
      <c r="A2135" s="16" t="s">
        <v>814</v>
      </c>
      <c r="B2135" s="16" t="n">
        <f aca="false">IF(_xlfn.UNICODE(A2135)&lt;44032,-1,_xlfn.UNICODE(A2135)-44032)</f>
        <v>9912</v>
      </c>
      <c r="C2135" s="16" t="n">
        <f aca="false">IF(B2135=-1,-1,INT((B2135/28)/21))</f>
        <v>16</v>
      </c>
      <c r="D2135" s="16" t="n">
        <f aca="false">IF(B2135=-1, -1, MOD(INT(B2135/28),21))</f>
        <v>18</v>
      </c>
      <c r="E2135" s="16" t="n">
        <f aca="false">IF(B2135=-1, -1, VLOOKUP(MOD(B2135,28), $T$24:$U$52,2))</f>
        <v>0</v>
      </c>
      <c r="F2135" s="16" t="n">
        <f aca="false">IF($B2135=-1, -1, VLOOKUP(C2135,$T$1:$V$20, 2))</f>
        <v>5</v>
      </c>
      <c r="G2135" s="16" t="n">
        <f aca="false">IF($B2135=-1, -1, VLOOKUP(D2135,$Y$1:$Z$22,2))</f>
        <v>5</v>
      </c>
      <c r="H2135" s="16" t="str">
        <f aca="false">_xlfn.UNICHAR(((F2135*21)+G2135)*28+44032)</f>
        <v>레</v>
      </c>
      <c r="I2135" s="16" t="n">
        <f aca="false">IF(B2135=-1, 1, COUNTIF($A$2:$A$3000, H2135))</f>
        <v>1</v>
      </c>
      <c r="J2135" s="10" t="str">
        <f aca="false">_xlfn.CONCAT(A2135, ",",H2135,",",I2135)</f>
        <v>트,레,1</v>
      </c>
      <c r="K2135" s="16" t="n">
        <f aca="false">IF(B2135=-1,-1,VLOOKUP(C2135,$T$1:$V$20,3))</f>
        <v>23</v>
      </c>
      <c r="L2135" s="16" t="n">
        <f aca="false">IF(B2135=-1,-1,VLOOKUP(D2135,$Y$1:$AA$22,3))</f>
        <v>18</v>
      </c>
      <c r="N2135" s="10" t="str">
        <f aca="false">_xlfn.UNICHAR(((C2135*21)+G2135)*28+44032)</f>
        <v>테</v>
      </c>
      <c r="O2135" s="10" t="str">
        <f aca="false">_xlfn.UNICHAR(((F2135*21)+D2135)*28+44032)</f>
        <v>르</v>
      </c>
      <c r="P2135" s="12" t="n">
        <f aca="false">COUNTIF($A$2:$A$3000, N2135) + COUNTIF($A$2:$A$3000, O2135)</f>
        <v>2</v>
      </c>
      <c r="Q2135" s="16" t="str">
        <f aca="false">IF(OR(B2135=-1,I2135=0, P2135&lt;&gt;2), "albhed_dummy", _xlfn.CONCAT("albhed ", RIGHT("  " &amp; K2135,2),", ", RIGHT("  " &amp; L2135,2), ", " ,"""",H2135,""", ", """",N2135,""", ","""",O2135,""""," ; ", A2135))</f>
        <v>albhed 23, 18, "레", "테", "르" ; 트</v>
      </c>
    </row>
    <row r="2136" customFormat="false" ht="17.9" hidden="false" customHeight="true" outlineLevel="0" collapsed="false">
      <c r="A2136" s="16" t="s">
        <v>2981</v>
      </c>
      <c r="B2136" s="16" t="n">
        <f aca="false">IF(_xlfn.UNICODE(A2136)&lt;44032,-1,_xlfn.UNICODE(A2136)-44032)</f>
        <v>9913</v>
      </c>
      <c r="C2136" s="16" t="n">
        <f aca="false">IF(B2136=-1,-1,INT((B2136/28)/21))</f>
        <v>16</v>
      </c>
      <c r="D2136" s="16" t="n">
        <f aca="false">IF(B2136=-1, -1, MOD(INT(B2136/28),21))</f>
        <v>18</v>
      </c>
      <c r="E2136" s="16" t="n">
        <f aca="false">IF(B2136=-1, -1, VLOOKUP(MOD(B2136,28), $T$24:$U$52,2))</f>
        <v>1</v>
      </c>
      <c r="F2136" s="16" t="n">
        <f aca="false">IF($B2136=-1, -1, VLOOKUP(C2136,$T$1:$V$20, 2))</f>
        <v>5</v>
      </c>
      <c r="G2136" s="16" t="n">
        <f aca="false">IF($B2136=-1, -1, VLOOKUP(D2136,$Y$1:$Z$22,2))</f>
        <v>5</v>
      </c>
      <c r="H2136" s="16" t="str">
        <f aca="false">_xlfn.UNICHAR(((F2136*21)+G2136)*28+44032)</f>
        <v>레</v>
      </c>
      <c r="I2136" s="16" t="n">
        <f aca="false">IF(B2136=-1, 1, COUNTIF($A$2:$A$3000, H2136))</f>
        <v>1</v>
      </c>
      <c r="J2136" s="10" t="str">
        <f aca="false">_xlfn.CONCAT(A2136, ",",H2136,",",I2136)</f>
        <v>특,레,1</v>
      </c>
      <c r="K2136" s="16" t="n">
        <f aca="false">IF(B2136=-1,-1,VLOOKUP(C2136,$T$1:$V$20,3))</f>
        <v>23</v>
      </c>
      <c r="L2136" s="16" t="n">
        <f aca="false">IF(B2136=-1,-1,VLOOKUP(D2136,$Y$1:$AA$22,3))</f>
        <v>18</v>
      </c>
      <c r="N2136" s="10" t="str">
        <f aca="false">_xlfn.UNICHAR(((C2136*21)+G2136)*28+44032)</f>
        <v>테</v>
      </c>
      <c r="O2136" s="10" t="str">
        <f aca="false">_xlfn.UNICHAR(((F2136*21)+D2136)*28+44032)</f>
        <v>르</v>
      </c>
      <c r="P2136" s="12" t="n">
        <f aca="false">COUNTIF($A$2:$A$3000, N2136) + COUNTIF($A$2:$A$3000, O2136)</f>
        <v>2</v>
      </c>
      <c r="Q2136" s="16" t="str">
        <f aca="false">IF(OR(B2136=-1,I2136=0, P2136&lt;&gt;2), "albhed_dummy", _xlfn.CONCAT("albhed ", RIGHT("  " &amp; K2136,2),", ", RIGHT("  " &amp; L2136,2), ", " ,"""",H2136,""", ", """",N2136,""", ","""",O2136,""""," ; ", A2136))</f>
        <v>albhed 23, 18, "레", "테", "르" ; 특</v>
      </c>
    </row>
    <row r="2137" customFormat="false" ht="17.9" hidden="false" customHeight="true" outlineLevel="0" collapsed="false">
      <c r="A2137" s="16" t="s">
        <v>2982</v>
      </c>
      <c r="B2137" s="16" t="n">
        <f aca="false">IF(_xlfn.UNICODE(A2137)&lt;44032,-1,_xlfn.UNICODE(A2137)-44032)</f>
        <v>9916</v>
      </c>
      <c r="C2137" s="16" t="n">
        <f aca="false">IF(B2137=-1,-1,INT((B2137/28)/21))</f>
        <v>16</v>
      </c>
      <c r="D2137" s="16" t="n">
        <f aca="false">IF(B2137=-1, -1, MOD(INT(B2137/28),21))</f>
        <v>18</v>
      </c>
      <c r="E2137" s="16" t="n">
        <f aca="false">IF(B2137=-1, -1, VLOOKUP(MOD(B2137,28), $T$24:$U$52,2))</f>
        <v>4</v>
      </c>
      <c r="F2137" s="16" t="n">
        <f aca="false">IF($B2137=-1, -1, VLOOKUP(C2137,$T$1:$V$20, 2))</f>
        <v>5</v>
      </c>
      <c r="G2137" s="16" t="n">
        <f aca="false">IF($B2137=-1, -1, VLOOKUP(D2137,$Y$1:$Z$22,2))</f>
        <v>5</v>
      </c>
      <c r="H2137" s="16" t="str">
        <f aca="false">_xlfn.UNICHAR(((F2137*21)+G2137)*28+44032)</f>
        <v>레</v>
      </c>
      <c r="I2137" s="16" t="n">
        <f aca="false">IF(B2137=-1, 1, COUNTIF($A$2:$A$3000, H2137))</f>
        <v>1</v>
      </c>
      <c r="J2137" s="10" t="str">
        <f aca="false">_xlfn.CONCAT(A2137, ",",H2137,",",I2137)</f>
        <v>튼,레,1</v>
      </c>
      <c r="K2137" s="16" t="n">
        <f aca="false">IF(B2137=-1,-1,VLOOKUP(C2137,$T$1:$V$20,3))</f>
        <v>23</v>
      </c>
      <c r="L2137" s="16" t="n">
        <f aca="false">IF(B2137=-1,-1,VLOOKUP(D2137,$Y$1:$AA$22,3))</f>
        <v>18</v>
      </c>
      <c r="N2137" s="10" t="str">
        <f aca="false">_xlfn.UNICHAR(((C2137*21)+G2137)*28+44032)</f>
        <v>테</v>
      </c>
      <c r="O2137" s="10" t="str">
        <f aca="false">_xlfn.UNICHAR(((F2137*21)+D2137)*28+44032)</f>
        <v>르</v>
      </c>
      <c r="P2137" s="12" t="n">
        <f aca="false">COUNTIF($A$2:$A$3000, N2137) + COUNTIF($A$2:$A$3000, O2137)</f>
        <v>2</v>
      </c>
      <c r="Q2137" s="16" t="str">
        <f aca="false">IF(OR(B2137=-1,I2137=0, P2137&lt;&gt;2), "albhed_dummy", _xlfn.CONCAT("albhed ", RIGHT("  " &amp; K2137,2),", ", RIGHT("  " &amp; L2137,2), ", " ,"""",H2137,""", ", """",N2137,""", ","""",O2137,""""," ; ", A2137))</f>
        <v>albhed 23, 18, "레", "테", "르" ; 튼</v>
      </c>
    </row>
    <row r="2138" customFormat="false" ht="17.9" hidden="false" customHeight="true" outlineLevel="0" collapsed="false">
      <c r="A2138" s="16" t="s">
        <v>2983</v>
      </c>
      <c r="B2138" s="16" t="n">
        <f aca="false">IF(_xlfn.UNICODE(A2138)&lt;44032,-1,_xlfn.UNICODE(A2138)-44032)</f>
        <v>9919</v>
      </c>
      <c r="C2138" s="16" t="n">
        <f aca="false">IF(B2138=-1,-1,INT((B2138/28)/21))</f>
        <v>16</v>
      </c>
      <c r="D2138" s="16" t="n">
        <f aca="false">IF(B2138=-1, -1, MOD(INT(B2138/28),21))</f>
        <v>18</v>
      </c>
      <c r="E2138" s="16" t="n">
        <f aca="false">IF(B2138=-1, -1, VLOOKUP(MOD(B2138,28), $T$24:$U$52,2))</f>
        <v>19</v>
      </c>
      <c r="F2138" s="16" t="n">
        <f aca="false">IF($B2138=-1, -1, VLOOKUP(C2138,$T$1:$V$20, 2))</f>
        <v>5</v>
      </c>
      <c r="G2138" s="16" t="n">
        <f aca="false">IF($B2138=-1, -1, VLOOKUP(D2138,$Y$1:$Z$22,2))</f>
        <v>5</v>
      </c>
      <c r="H2138" s="16" t="str">
        <f aca="false">_xlfn.UNICHAR(((F2138*21)+G2138)*28+44032)</f>
        <v>레</v>
      </c>
      <c r="I2138" s="16" t="n">
        <f aca="false">IF(B2138=-1, 1, COUNTIF($A$2:$A$3000, H2138))</f>
        <v>1</v>
      </c>
      <c r="J2138" s="10" t="str">
        <f aca="false">_xlfn.CONCAT(A2138, ",",H2138,",",I2138)</f>
        <v>튿,레,1</v>
      </c>
      <c r="K2138" s="16" t="n">
        <f aca="false">IF(B2138=-1,-1,VLOOKUP(C2138,$T$1:$V$20,3))</f>
        <v>23</v>
      </c>
      <c r="L2138" s="16" t="n">
        <f aca="false">IF(B2138=-1,-1,VLOOKUP(D2138,$Y$1:$AA$22,3))</f>
        <v>18</v>
      </c>
      <c r="N2138" s="10" t="str">
        <f aca="false">_xlfn.UNICHAR(((C2138*21)+G2138)*28+44032)</f>
        <v>테</v>
      </c>
      <c r="O2138" s="10" t="str">
        <f aca="false">_xlfn.UNICHAR(((F2138*21)+D2138)*28+44032)</f>
        <v>르</v>
      </c>
      <c r="P2138" s="12" t="n">
        <f aca="false">COUNTIF($A$2:$A$3000, N2138) + COUNTIF($A$2:$A$3000, O2138)</f>
        <v>2</v>
      </c>
      <c r="Q2138" s="16" t="str">
        <f aca="false">IF(OR(B2138=-1,I2138=0, P2138&lt;&gt;2), "albhed_dummy", _xlfn.CONCAT("albhed ", RIGHT("  " &amp; K2138,2),", ", RIGHT("  " &amp; L2138,2), ", " ,"""",H2138,""", ", """",N2138,""", ","""",O2138,""""," ; ", A2138))</f>
        <v>albhed 23, 18, "레", "테", "르" ; 튿</v>
      </c>
    </row>
    <row r="2139" customFormat="false" ht="17.9" hidden="false" customHeight="true" outlineLevel="0" collapsed="false">
      <c r="A2139" s="16" t="s">
        <v>2984</v>
      </c>
      <c r="B2139" s="16" t="n">
        <f aca="false">IF(_xlfn.UNICODE(A2139)&lt;44032,-1,_xlfn.UNICODE(A2139)-44032)</f>
        <v>9920</v>
      </c>
      <c r="C2139" s="16" t="n">
        <f aca="false">IF(B2139=-1,-1,INT((B2139/28)/21))</f>
        <v>16</v>
      </c>
      <c r="D2139" s="16" t="n">
        <f aca="false">IF(B2139=-1, -1, MOD(INT(B2139/28),21))</f>
        <v>18</v>
      </c>
      <c r="E2139" s="16" t="n">
        <f aca="false">IF(B2139=-1, -1, VLOOKUP(MOD(B2139,28), $T$24:$U$52,2))</f>
        <v>8</v>
      </c>
      <c r="F2139" s="16" t="n">
        <f aca="false">IF($B2139=-1, -1, VLOOKUP(C2139,$T$1:$V$20, 2))</f>
        <v>5</v>
      </c>
      <c r="G2139" s="16" t="n">
        <f aca="false">IF($B2139=-1, -1, VLOOKUP(D2139,$Y$1:$Z$22,2))</f>
        <v>5</v>
      </c>
      <c r="H2139" s="16" t="str">
        <f aca="false">_xlfn.UNICHAR(((F2139*21)+G2139)*28+44032)</f>
        <v>레</v>
      </c>
      <c r="I2139" s="16" t="n">
        <f aca="false">IF(B2139=-1, 1, COUNTIF($A$2:$A$3000, H2139))</f>
        <v>1</v>
      </c>
      <c r="J2139" s="10" t="str">
        <f aca="false">_xlfn.CONCAT(A2139, ",",H2139,",",I2139)</f>
        <v>틀,레,1</v>
      </c>
      <c r="K2139" s="16" t="n">
        <f aca="false">IF(B2139=-1,-1,VLOOKUP(C2139,$T$1:$V$20,3))</f>
        <v>23</v>
      </c>
      <c r="L2139" s="16" t="n">
        <f aca="false">IF(B2139=-1,-1,VLOOKUP(D2139,$Y$1:$AA$22,3))</f>
        <v>18</v>
      </c>
      <c r="N2139" s="10" t="str">
        <f aca="false">_xlfn.UNICHAR(((C2139*21)+G2139)*28+44032)</f>
        <v>테</v>
      </c>
      <c r="O2139" s="10" t="str">
        <f aca="false">_xlfn.UNICHAR(((F2139*21)+D2139)*28+44032)</f>
        <v>르</v>
      </c>
      <c r="P2139" s="12" t="n">
        <f aca="false">COUNTIF($A$2:$A$3000, N2139) + COUNTIF($A$2:$A$3000, O2139)</f>
        <v>2</v>
      </c>
      <c r="Q2139" s="16" t="str">
        <f aca="false">IF(OR(B2139=-1,I2139=0, P2139&lt;&gt;2), "albhed_dummy", _xlfn.CONCAT("albhed ", RIGHT("  " &amp; K2139,2),", ", RIGHT("  " &amp; L2139,2), ", " ,"""",H2139,""", ", """",N2139,""", ","""",O2139,""""," ; ", A2139))</f>
        <v>albhed 23, 18, "레", "테", "르" ; 틀</v>
      </c>
    </row>
    <row r="2140" customFormat="false" ht="17.9" hidden="false" customHeight="true" outlineLevel="0" collapsed="false">
      <c r="A2140" s="16" t="s">
        <v>2985</v>
      </c>
      <c r="B2140" s="16" t="n">
        <f aca="false">IF(_xlfn.UNICODE(A2140)&lt;44032,-1,_xlfn.UNICODE(A2140)-44032)</f>
        <v>9922</v>
      </c>
      <c r="C2140" s="16" t="n">
        <f aca="false">IF(B2140=-1,-1,INT((B2140/28)/21))</f>
        <v>16</v>
      </c>
      <c r="D2140" s="16" t="n">
        <f aca="false">IF(B2140=-1, -1, MOD(INT(B2140/28),21))</f>
        <v>18</v>
      </c>
      <c r="E2140" s="16" t="n">
        <f aca="false">IF(B2140=-1, -1, VLOOKUP(MOD(B2140,28), $T$24:$U$52,2))</f>
        <v>8</v>
      </c>
      <c r="F2140" s="16" t="n">
        <f aca="false">IF($B2140=-1, -1, VLOOKUP(C2140,$T$1:$V$20, 2))</f>
        <v>5</v>
      </c>
      <c r="G2140" s="16" t="n">
        <f aca="false">IF($B2140=-1, -1, VLOOKUP(D2140,$Y$1:$Z$22,2))</f>
        <v>5</v>
      </c>
      <c r="H2140" s="16" t="str">
        <f aca="false">_xlfn.UNICHAR(((F2140*21)+G2140)*28+44032)</f>
        <v>레</v>
      </c>
      <c r="I2140" s="16" t="n">
        <f aca="false">IF(B2140=-1, 1, COUNTIF($A$2:$A$3000, H2140))</f>
        <v>1</v>
      </c>
      <c r="J2140" s="10" t="str">
        <f aca="false">_xlfn.CONCAT(A2140, ",",H2140,",",I2140)</f>
        <v>틂,레,1</v>
      </c>
      <c r="K2140" s="16" t="n">
        <f aca="false">IF(B2140=-1,-1,VLOOKUP(C2140,$T$1:$V$20,3))</f>
        <v>23</v>
      </c>
      <c r="L2140" s="16" t="n">
        <f aca="false">IF(B2140=-1,-1,VLOOKUP(D2140,$Y$1:$AA$22,3))</f>
        <v>18</v>
      </c>
      <c r="N2140" s="10" t="str">
        <f aca="false">_xlfn.UNICHAR(((C2140*21)+G2140)*28+44032)</f>
        <v>테</v>
      </c>
      <c r="O2140" s="10" t="str">
        <f aca="false">_xlfn.UNICHAR(((F2140*21)+D2140)*28+44032)</f>
        <v>르</v>
      </c>
      <c r="P2140" s="12" t="n">
        <f aca="false">COUNTIF($A$2:$A$3000, N2140) + COUNTIF($A$2:$A$3000, O2140)</f>
        <v>2</v>
      </c>
      <c r="Q2140" s="16" t="str">
        <f aca="false">IF(OR(B2140=-1,I2140=0, P2140&lt;&gt;2), "albhed_dummy", _xlfn.CONCAT("albhed ", RIGHT("  " &amp; K2140,2),", ", RIGHT("  " &amp; L2140,2), ", " ,"""",H2140,""", ", """",N2140,""", ","""",O2140,""""," ; ", A2140))</f>
        <v>albhed 23, 18, "레", "테", "르" ; 틂</v>
      </c>
    </row>
    <row r="2141" customFormat="false" ht="17.9" hidden="false" customHeight="true" outlineLevel="0" collapsed="false">
      <c r="A2141" s="16" t="s">
        <v>2986</v>
      </c>
      <c r="B2141" s="16" t="n">
        <f aca="false">IF(_xlfn.UNICODE(A2141)&lt;44032,-1,_xlfn.UNICODE(A2141)-44032)</f>
        <v>9928</v>
      </c>
      <c r="C2141" s="16" t="n">
        <f aca="false">IF(B2141=-1,-1,INT((B2141/28)/21))</f>
        <v>16</v>
      </c>
      <c r="D2141" s="16" t="n">
        <f aca="false">IF(B2141=-1, -1, MOD(INT(B2141/28),21))</f>
        <v>18</v>
      </c>
      <c r="E2141" s="16" t="n">
        <f aca="false">IF(B2141=-1, -1, VLOOKUP(MOD(B2141,28), $T$24:$U$52,2))</f>
        <v>16</v>
      </c>
      <c r="F2141" s="16" t="n">
        <f aca="false">IF($B2141=-1, -1, VLOOKUP(C2141,$T$1:$V$20, 2))</f>
        <v>5</v>
      </c>
      <c r="G2141" s="16" t="n">
        <f aca="false">IF($B2141=-1, -1, VLOOKUP(D2141,$Y$1:$Z$22,2))</f>
        <v>5</v>
      </c>
      <c r="H2141" s="16" t="str">
        <f aca="false">_xlfn.UNICHAR(((F2141*21)+G2141)*28+44032)</f>
        <v>레</v>
      </c>
      <c r="I2141" s="16" t="n">
        <f aca="false">IF(B2141=-1, 1, COUNTIF($A$2:$A$3000, H2141))</f>
        <v>1</v>
      </c>
      <c r="J2141" s="10" t="str">
        <f aca="false">_xlfn.CONCAT(A2141, ",",H2141,",",I2141)</f>
        <v>틈,레,1</v>
      </c>
      <c r="K2141" s="16" t="n">
        <f aca="false">IF(B2141=-1,-1,VLOOKUP(C2141,$T$1:$V$20,3))</f>
        <v>23</v>
      </c>
      <c r="L2141" s="16" t="n">
        <f aca="false">IF(B2141=-1,-1,VLOOKUP(D2141,$Y$1:$AA$22,3))</f>
        <v>18</v>
      </c>
      <c r="N2141" s="10" t="str">
        <f aca="false">_xlfn.UNICHAR(((C2141*21)+G2141)*28+44032)</f>
        <v>테</v>
      </c>
      <c r="O2141" s="10" t="str">
        <f aca="false">_xlfn.UNICHAR(((F2141*21)+D2141)*28+44032)</f>
        <v>르</v>
      </c>
      <c r="P2141" s="12" t="n">
        <f aca="false">COUNTIF($A$2:$A$3000, N2141) + COUNTIF($A$2:$A$3000, O2141)</f>
        <v>2</v>
      </c>
      <c r="Q2141" s="16" t="str">
        <f aca="false">IF(OR(B2141=-1,I2141=0, P2141&lt;&gt;2), "albhed_dummy", _xlfn.CONCAT("albhed ", RIGHT("  " &amp; K2141,2),", ", RIGHT("  " &amp; L2141,2), ", " ,"""",H2141,""", ", """",N2141,""", ","""",O2141,""""," ; ", A2141))</f>
        <v>albhed 23, 18, "레", "테", "르" ; 틈</v>
      </c>
    </row>
    <row r="2142" customFormat="false" ht="17.9" hidden="false" customHeight="true" outlineLevel="0" collapsed="false">
      <c r="A2142" s="16" t="s">
        <v>2987</v>
      </c>
      <c r="B2142" s="16" t="n">
        <f aca="false">IF(_xlfn.UNICODE(A2142)&lt;44032,-1,_xlfn.UNICODE(A2142)-44032)</f>
        <v>9929</v>
      </c>
      <c r="C2142" s="16" t="n">
        <f aca="false">IF(B2142=-1,-1,INT((B2142/28)/21))</f>
        <v>16</v>
      </c>
      <c r="D2142" s="16" t="n">
        <f aca="false">IF(B2142=-1, -1, MOD(INT(B2142/28),21))</f>
        <v>18</v>
      </c>
      <c r="E2142" s="16" t="n">
        <f aca="false">IF(B2142=-1, -1, VLOOKUP(MOD(B2142,28), $T$24:$U$52,2))</f>
        <v>17</v>
      </c>
      <c r="F2142" s="16" t="n">
        <f aca="false">IF($B2142=-1, -1, VLOOKUP(C2142,$T$1:$V$20, 2))</f>
        <v>5</v>
      </c>
      <c r="G2142" s="16" t="n">
        <f aca="false">IF($B2142=-1, -1, VLOOKUP(D2142,$Y$1:$Z$22,2))</f>
        <v>5</v>
      </c>
      <c r="H2142" s="16" t="str">
        <f aca="false">_xlfn.UNICHAR(((F2142*21)+G2142)*28+44032)</f>
        <v>레</v>
      </c>
      <c r="I2142" s="16" t="n">
        <f aca="false">IF(B2142=-1, 1, COUNTIF($A$2:$A$3000, H2142))</f>
        <v>1</v>
      </c>
      <c r="J2142" s="10" t="str">
        <f aca="false">_xlfn.CONCAT(A2142, ",",H2142,",",I2142)</f>
        <v>틉,레,1</v>
      </c>
      <c r="K2142" s="16" t="n">
        <f aca="false">IF(B2142=-1,-1,VLOOKUP(C2142,$T$1:$V$20,3))</f>
        <v>23</v>
      </c>
      <c r="L2142" s="16" t="n">
        <f aca="false">IF(B2142=-1,-1,VLOOKUP(D2142,$Y$1:$AA$22,3))</f>
        <v>18</v>
      </c>
      <c r="N2142" s="10" t="str">
        <f aca="false">_xlfn.UNICHAR(((C2142*21)+G2142)*28+44032)</f>
        <v>테</v>
      </c>
      <c r="O2142" s="10" t="str">
        <f aca="false">_xlfn.UNICHAR(((F2142*21)+D2142)*28+44032)</f>
        <v>르</v>
      </c>
      <c r="P2142" s="12" t="n">
        <f aca="false">COUNTIF($A$2:$A$3000, N2142) + COUNTIF($A$2:$A$3000, O2142)</f>
        <v>2</v>
      </c>
      <c r="Q2142" s="16" t="str">
        <f aca="false">IF(OR(B2142=-1,I2142=0, P2142&lt;&gt;2), "albhed_dummy", _xlfn.CONCAT("albhed ", RIGHT("  " &amp; K2142,2),", ", RIGHT("  " &amp; L2142,2), ", " ,"""",H2142,""", ", """",N2142,""", ","""",O2142,""""," ; ", A2142))</f>
        <v>albhed 23, 18, "레", "테", "르" ; 틉</v>
      </c>
    </row>
    <row r="2143" customFormat="false" ht="17.9" hidden="false" customHeight="true" outlineLevel="0" collapsed="false">
      <c r="A2143" s="16" t="s">
        <v>2988</v>
      </c>
      <c r="B2143" s="16" t="n">
        <f aca="false">IF(_xlfn.UNICODE(A2143)&lt;44032,-1,_xlfn.UNICODE(A2143)-44032)</f>
        <v>9931</v>
      </c>
      <c r="C2143" s="16" t="n">
        <f aca="false">IF(B2143=-1,-1,INT((B2143/28)/21))</f>
        <v>16</v>
      </c>
      <c r="D2143" s="16" t="n">
        <f aca="false">IF(B2143=-1, -1, MOD(INT(B2143/28),21))</f>
        <v>18</v>
      </c>
      <c r="E2143" s="16" t="n">
        <f aca="false">IF(B2143=-1, -1, VLOOKUP(MOD(B2143,28), $T$24:$U$52,2))</f>
        <v>19</v>
      </c>
      <c r="F2143" s="16" t="n">
        <f aca="false">IF($B2143=-1, -1, VLOOKUP(C2143,$T$1:$V$20, 2))</f>
        <v>5</v>
      </c>
      <c r="G2143" s="16" t="n">
        <f aca="false">IF($B2143=-1, -1, VLOOKUP(D2143,$Y$1:$Z$22,2))</f>
        <v>5</v>
      </c>
      <c r="H2143" s="16" t="str">
        <f aca="false">_xlfn.UNICHAR(((F2143*21)+G2143)*28+44032)</f>
        <v>레</v>
      </c>
      <c r="I2143" s="16" t="n">
        <f aca="false">IF(B2143=-1, 1, COUNTIF($A$2:$A$3000, H2143))</f>
        <v>1</v>
      </c>
      <c r="J2143" s="10" t="str">
        <f aca="false">_xlfn.CONCAT(A2143, ",",H2143,",",I2143)</f>
        <v>틋,레,1</v>
      </c>
      <c r="K2143" s="16" t="n">
        <f aca="false">IF(B2143=-1,-1,VLOOKUP(C2143,$T$1:$V$20,3))</f>
        <v>23</v>
      </c>
      <c r="L2143" s="16" t="n">
        <f aca="false">IF(B2143=-1,-1,VLOOKUP(D2143,$Y$1:$AA$22,3))</f>
        <v>18</v>
      </c>
      <c r="N2143" s="10" t="str">
        <f aca="false">_xlfn.UNICHAR(((C2143*21)+G2143)*28+44032)</f>
        <v>테</v>
      </c>
      <c r="O2143" s="10" t="str">
        <f aca="false">_xlfn.UNICHAR(((F2143*21)+D2143)*28+44032)</f>
        <v>르</v>
      </c>
      <c r="P2143" s="12" t="n">
        <f aca="false">COUNTIF($A$2:$A$3000, N2143) + COUNTIF($A$2:$A$3000, O2143)</f>
        <v>2</v>
      </c>
      <c r="Q2143" s="16" t="str">
        <f aca="false">IF(OR(B2143=-1,I2143=0, P2143&lt;&gt;2), "albhed_dummy", _xlfn.CONCAT("albhed ", RIGHT("  " &amp; K2143,2),", ", RIGHT("  " &amp; L2143,2), ", " ,"""",H2143,""", ", """",N2143,""", ","""",O2143,""""," ; ", A2143))</f>
        <v>albhed 23, 18, "레", "테", "르" ; 틋</v>
      </c>
    </row>
    <row r="2144" customFormat="false" ht="17.9" hidden="false" customHeight="true" outlineLevel="0" collapsed="false">
      <c r="A2144" s="16" t="s">
        <v>2989</v>
      </c>
      <c r="B2144" s="16" t="n">
        <f aca="false">IF(_xlfn.UNICODE(A2144)&lt;44032,-1,_xlfn.UNICODE(A2144)-44032)</f>
        <v>9940</v>
      </c>
      <c r="C2144" s="16" t="n">
        <f aca="false">IF(B2144=-1,-1,INT((B2144/28)/21))</f>
        <v>16</v>
      </c>
      <c r="D2144" s="16" t="n">
        <f aca="false">IF(B2144=-1, -1, MOD(INT(B2144/28),21))</f>
        <v>19</v>
      </c>
      <c r="E2144" s="16" t="n">
        <f aca="false">IF(B2144=-1, -1, VLOOKUP(MOD(B2144,28), $T$24:$U$52,2))</f>
        <v>0</v>
      </c>
      <c r="F2144" s="16" t="n">
        <f aca="false">IF($B2144=-1, -1, VLOOKUP(C2144,$T$1:$V$20, 2))</f>
        <v>5</v>
      </c>
      <c r="G2144" s="16" t="n">
        <f aca="false">IF($B2144=-1, -1, VLOOKUP(D2144,$Y$1:$Z$22,2))</f>
        <v>5</v>
      </c>
      <c r="H2144" s="16" t="str">
        <f aca="false">_xlfn.UNICHAR(((F2144*21)+G2144)*28+44032)</f>
        <v>레</v>
      </c>
      <c r="I2144" s="16" t="n">
        <f aca="false">IF(B2144=-1, 1, COUNTIF($A$2:$A$3000, H2144))</f>
        <v>1</v>
      </c>
      <c r="J2144" s="10" t="str">
        <f aca="false">_xlfn.CONCAT(A2144, ",",H2144,",",I2144)</f>
        <v>틔,레,1</v>
      </c>
      <c r="K2144" s="16" t="n">
        <f aca="false">IF(B2144=-1,-1,VLOOKUP(C2144,$T$1:$V$20,3))</f>
        <v>23</v>
      </c>
      <c r="L2144" s="16" t="n">
        <f aca="false">IF(B2144=-1,-1,VLOOKUP(D2144,$Y$1:$AA$22,3))</f>
        <v>24</v>
      </c>
      <c r="N2144" s="10" t="str">
        <f aca="false">_xlfn.UNICHAR(((C2144*21)+G2144)*28+44032)</f>
        <v>테</v>
      </c>
      <c r="O2144" s="10" t="str">
        <f aca="false">_xlfn.UNICHAR(((F2144*21)+D2144)*28+44032)</f>
        <v>릐</v>
      </c>
      <c r="P2144" s="12" t="n">
        <f aca="false">COUNTIF($A$2:$A$3000, N2144) + COUNTIF($A$2:$A$3000, O2144)</f>
        <v>1</v>
      </c>
      <c r="Q2144" s="16" t="str">
        <f aca="false">IF(OR(B2144=-1,I2144=0, P2144&lt;&gt;2), "albhed_dummy", _xlfn.CONCAT("albhed ", RIGHT("  " &amp; K2144,2),", ", RIGHT("  " &amp; L2144,2), ", " ,"""",H2144,""", ", """",N2144,""", ","""",O2144,""""," ; ", A2144))</f>
        <v>albhed_dummy</v>
      </c>
    </row>
    <row r="2145" customFormat="false" ht="17.9" hidden="false" customHeight="true" outlineLevel="0" collapsed="false">
      <c r="A2145" s="16" t="s">
        <v>2990</v>
      </c>
      <c r="B2145" s="16" t="n">
        <f aca="false">IF(_xlfn.UNICODE(A2145)&lt;44032,-1,_xlfn.UNICODE(A2145)-44032)</f>
        <v>9944</v>
      </c>
      <c r="C2145" s="16" t="n">
        <f aca="false">IF(B2145=-1,-1,INT((B2145/28)/21))</f>
        <v>16</v>
      </c>
      <c r="D2145" s="16" t="n">
        <f aca="false">IF(B2145=-1, -1, MOD(INT(B2145/28),21))</f>
        <v>19</v>
      </c>
      <c r="E2145" s="16" t="n">
        <f aca="false">IF(B2145=-1, -1, VLOOKUP(MOD(B2145,28), $T$24:$U$52,2))</f>
        <v>4</v>
      </c>
      <c r="F2145" s="16" t="n">
        <f aca="false">IF($B2145=-1, -1, VLOOKUP(C2145,$T$1:$V$20, 2))</f>
        <v>5</v>
      </c>
      <c r="G2145" s="16" t="n">
        <f aca="false">IF($B2145=-1, -1, VLOOKUP(D2145,$Y$1:$Z$22,2))</f>
        <v>5</v>
      </c>
      <c r="H2145" s="16" t="str">
        <f aca="false">_xlfn.UNICHAR(((F2145*21)+G2145)*28+44032)</f>
        <v>레</v>
      </c>
      <c r="I2145" s="16" t="n">
        <f aca="false">IF(B2145=-1, 1, COUNTIF($A$2:$A$3000, H2145))</f>
        <v>1</v>
      </c>
      <c r="J2145" s="10" t="str">
        <f aca="false">_xlfn.CONCAT(A2145, ",",H2145,",",I2145)</f>
        <v>틘,레,1</v>
      </c>
      <c r="K2145" s="16" t="n">
        <f aca="false">IF(B2145=-1,-1,VLOOKUP(C2145,$T$1:$V$20,3))</f>
        <v>23</v>
      </c>
      <c r="L2145" s="16" t="n">
        <f aca="false">IF(B2145=-1,-1,VLOOKUP(D2145,$Y$1:$AA$22,3))</f>
        <v>24</v>
      </c>
      <c r="N2145" s="10" t="str">
        <f aca="false">_xlfn.UNICHAR(((C2145*21)+G2145)*28+44032)</f>
        <v>테</v>
      </c>
      <c r="O2145" s="10" t="str">
        <f aca="false">_xlfn.UNICHAR(((F2145*21)+D2145)*28+44032)</f>
        <v>릐</v>
      </c>
      <c r="P2145" s="12" t="n">
        <f aca="false">COUNTIF($A$2:$A$3000, N2145) + COUNTIF($A$2:$A$3000, O2145)</f>
        <v>1</v>
      </c>
      <c r="Q2145" s="16" t="str">
        <f aca="false">IF(OR(B2145=-1,I2145=0, P2145&lt;&gt;2), "albhed_dummy", _xlfn.CONCAT("albhed ", RIGHT("  " &amp; K2145,2),", ", RIGHT("  " &amp; L2145,2), ", " ,"""",H2145,""", ", """",N2145,""", ","""",O2145,""""," ; ", A2145))</f>
        <v>albhed_dummy</v>
      </c>
    </row>
    <row r="2146" customFormat="false" ht="17.9" hidden="false" customHeight="true" outlineLevel="0" collapsed="false">
      <c r="A2146" s="16" t="s">
        <v>2991</v>
      </c>
      <c r="B2146" s="16" t="n">
        <f aca="false">IF(_xlfn.UNICODE(A2146)&lt;44032,-1,_xlfn.UNICODE(A2146)-44032)</f>
        <v>9948</v>
      </c>
      <c r="C2146" s="16" t="n">
        <f aca="false">IF(B2146=-1,-1,INT((B2146/28)/21))</f>
        <v>16</v>
      </c>
      <c r="D2146" s="16" t="n">
        <f aca="false">IF(B2146=-1, -1, MOD(INT(B2146/28),21))</f>
        <v>19</v>
      </c>
      <c r="E2146" s="16" t="n">
        <f aca="false">IF(B2146=-1, -1, VLOOKUP(MOD(B2146,28), $T$24:$U$52,2))</f>
        <v>8</v>
      </c>
      <c r="F2146" s="16" t="n">
        <f aca="false">IF($B2146=-1, -1, VLOOKUP(C2146,$T$1:$V$20, 2))</f>
        <v>5</v>
      </c>
      <c r="G2146" s="16" t="n">
        <f aca="false">IF($B2146=-1, -1, VLOOKUP(D2146,$Y$1:$Z$22,2))</f>
        <v>5</v>
      </c>
      <c r="H2146" s="16" t="str">
        <f aca="false">_xlfn.UNICHAR(((F2146*21)+G2146)*28+44032)</f>
        <v>레</v>
      </c>
      <c r="I2146" s="16" t="n">
        <f aca="false">IF(B2146=-1, 1, COUNTIF($A$2:$A$3000, H2146))</f>
        <v>1</v>
      </c>
      <c r="J2146" s="10" t="str">
        <f aca="false">_xlfn.CONCAT(A2146, ",",H2146,",",I2146)</f>
        <v>틜,레,1</v>
      </c>
      <c r="K2146" s="16" t="n">
        <f aca="false">IF(B2146=-1,-1,VLOOKUP(C2146,$T$1:$V$20,3))</f>
        <v>23</v>
      </c>
      <c r="L2146" s="16" t="n">
        <f aca="false">IF(B2146=-1,-1,VLOOKUP(D2146,$Y$1:$AA$22,3))</f>
        <v>24</v>
      </c>
      <c r="N2146" s="10" t="str">
        <f aca="false">_xlfn.UNICHAR(((C2146*21)+G2146)*28+44032)</f>
        <v>테</v>
      </c>
      <c r="O2146" s="10" t="str">
        <f aca="false">_xlfn.UNICHAR(((F2146*21)+D2146)*28+44032)</f>
        <v>릐</v>
      </c>
      <c r="P2146" s="12" t="n">
        <f aca="false">COUNTIF($A$2:$A$3000, N2146) + COUNTIF($A$2:$A$3000, O2146)</f>
        <v>1</v>
      </c>
      <c r="Q2146" s="16" t="str">
        <f aca="false">IF(OR(B2146=-1,I2146=0, P2146&lt;&gt;2), "albhed_dummy", _xlfn.CONCAT("albhed ", RIGHT("  " &amp; K2146,2),", ", RIGHT("  " &amp; L2146,2), ", " ,"""",H2146,""", ", """",N2146,""", ","""",O2146,""""," ; ", A2146))</f>
        <v>albhed_dummy</v>
      </c>
    </row>
    <row r="2147" customFormat="false" ht="17.9" hidden="false" customHeight="true" outlineLevel="0" collapsed="false">
      <c r="A2147" s="16" t="s">
        <v>2992</v>
      </c>
      <c r="B2147" s="16" t="n">
        <f aca="false">IF(_xlfn.UNICODE(A2147)&lt;44032,-1,_xlfn.UNICODE(A2147)-44032)</f>
        <v>9956</v>
      </c>
      <c r="C2147" s="16" t="n">
        <f aca="false">IF(B2147=-1,-1,INT((B2147/28)/21))</f>
        <v>16</v>
      </c>
      <c r="D2147" s="16" t="n">
        <f aca="false">IF(B2147=-1, -1, MOD(INT(B2147/28),21))</f>
        <v>19</v>
      </c>
      <c r="E2147" s="16" t="n">
        <f aca="false">IF(B2147=-1, -1, VLOOKUP(MOD(B2147,28), $T$24:$U$52,2))</f>
        <v>16</v>
      </c>
      <c r="F2147" s="16" t="n">
        <f aca="false">IF($B2147=-1, -1, VLOOKUP(C2147,$T$1:$V$20, 2))</f>
        <v>5</v>
      </c>
      <c r="G2147" s="16" t="n">
        <f aca="false">IF($B2147=-1, -1, VLOOKUP(D2147,$Y$1:$Z$22,2))</f>
        <v>5</v>
      </c>
      <c r="H2147" s="16" t="str">
        <f aca="false">_xlfn.UNICHAR(((F2147*21)+G2147)*28+44032)</f>
        <v>레</v>
      </c>
      <c r="I2147" s="16" t="n">
        <f aca="false">IF(B2147=-1, 1, COUNTIF($A$2:$A$3000, H2147))</f>
        <v>1</v>
      </c>
      <c r="J2147" s="10" t="str">
        <f aca="false">_xlfn.CONCAT(A2147, ",",H2147,",",I2147)</f>
        <v>틤,레,1</v>
      </c>
      <c r="K2147" s="16" t="n">
        <f aca="false">IF(B2147=-1,-1,VLOOKUP(C2147,$T$1:$V$20,3))</f>
        <v>23</v>
      </c>
      <c r="L2147" s="16" t="n">
        <f aca="false">IF(B2147=-1,-1,VLOOKUP(D2147,$Y$1:$AA$22,3))</f>
        <v>24</v>
      </c>
      <c r="N2147" s="10" t="str">
        <f aca="false">_xlfn.UNICHAR(((C2147*21)+G2147)*28+44032)</f>
        <v>테</v>
      </c>
      <c r="O2147" s="10" t="str">
        <f aca="false">_xlfn.UNICHAR(((F2147*21)+D2147)*28+44032)</f>
        <v>릐</v>
      </c>
      <c r="P2147" s="12" t="n">
        <f aca="false">COUNTIF($A$2:$A$3000, N2147) + COUNTIF($A$2:$A$3000, O2147)</f>
        <v>1</v>
      </c>
      <c r="Q2147" s="16" t="str">
        <f aca="false">IF(OR(B2147=-1,I2147=0, P2147&lt;&gt;2), "albhed_dummy", _xlfn.CONCAT("albhed ", RIGHT("  " &amp; K2147,2),", ", RIGHT("  " &amp; L2147,2), ", " ,"""",H2147,""", ", """",N2147,""", ","""",O2147,""""," ; ", A2147))</f>
        <v>albhed_dummy</v>
      </c>
    </row>
    <row r="2148" customFormat="false" ht="17.9" hidden="false" customHeight="true" outlineLevel="0" collapsed="false">
      <c r="A2148" s="16" t="s">
        <v>2993</v>
      </c>
      <c r="B2148" s="16" t="n">
        <f aca="false">IF(_xlfn.UNICODE(A2148)&lt;44032,-1,_xlfn.UNICODE(A2148)-44032)</f>
        <v>9957</v>
      </c>
      <c r="C2148" s="16" t="n">
        <f aca="false">IF(B2148=-1,-1,INT((B2148/28)/21))</f>
        <v>16</v>
      </c>
      <c r="D2148" s="16" t="n">
        <f aca="false">IF(B2148=-1, -1, MOD(INT(B2148/28),21))</f>
        <v>19</v>
      </c>
      <c r="E2148" s="16" t="n">
        <f aca="false">IF(B2148=-1, -1, VLOOKUP(MOD(B2148,28), $T$24:$U$52,2))</f>
        <v>17</v>
      </c>
      <c r="F2148" s="16" t="n">
        <f aca="false">IF($B2148=-1, -1, VLOOKUP(C2148,$T$1:$V$20, 2))</f>
        <v>5</v>
      </c>
      <c r="G2148" s="16" t="n">
        <f aca="false">IF($B2148=-1, -1, VLOOKUP(D2148,$Y$1:$Z$22,2))</f>
        <v>5</v>
      </c>
      <c r="H2148" s="16" t="str">
        <f aca="false">_xlfn.UNICHAR(((F2148*21)+G2148)*28+44032)</f>
        <v>레</v>
      </c>
      <c r="I2148" s="16" t="n">
        <f aca="false">IF(B2148=-1, 1, COUNTIF($A$2:$A$3000, H2148))</f>
        <v>1</v>
      </c>
      <c r="J2148" s="10" t="str">
        <f aca="false">_xlfn.CONCAT(A2148, ",",H2148,",",I2148)</f>
        <v>틥,레,1</v>
      </c>
      <c r="K2148" s="16" t="n">
        <f aca="false">IF(B2148=-1,-1,VLOOKUP(C2148,$T$1:$V$20,3))</f>
        <v>23</v>
      </c>
      <c r="L2148" s="16" t="n">
        <f aca="false">IF(B2148=-1,-1,VLOOKUP(D2148,$Y$1:$AA$22,3))</f>
        <v>24</v>
      </c>
      <c r="N2148" s="10" t="str">
        <f aca="false">_xlfn.UNICHAR(((C2148*21)+G2148)*28+44032)</f>
        <v>테</v>
      </c>
      <c r="O2148" s="10" t="str">
        <f aca="false">_xlfn.UNICHAR(((F2148*21)+D2148)*28+44032)</f>
        <v>릐</v>
      </c>
      <c r="P2148" s="12" t="n">
        <f aca="false">COUNTIF($A$2:$A$3000, N2148) + COUNTIF($A$2:$A$3000, O2148)</f>
        <v>1</v>
      </c>
      <c r="Q2148" s="16" t="str">
        <f aca="false">IF(OR(B2148=-1,I2148=0, P2148&lt;&gt;2), "albhed_dummy", _xlfn.CONCAT("albhed ", RIGHT("  " &amp; K2148,2),", ", RIGHT("  " &amp; L2148,2), ", " ,"""",H2148,""", ", """",N2148,""", ","""",O2148,""""," ; ", A2148))</f>
        <v>albhed_dummy</v>
      </c>
    </row>
    <row r="2149" customFormat="false" ht="17.9" hidden="false" customHeight="true" outlineLevel="0" collapsed="false">
      <c r="A2149" s="16" t="s">
        <v>2994</v>
      </c>
      <c r="B2149" s="16" t="n">
        <f aca="false">IF(_xlfn.UNICODE(A2149)&lt;44032,-1,_xlfn.UNICODE(A2149)-44032)</f>
        <v>9968</v>
      </c>
      <c r="C2149" s="16" t="n">
        <f aca="false">IF(B2149=-1,-1,INT((B2149/28)/21))</f>
        <v>16</v>
      </c>
      <c r="D2149" s="16" t="n">
        <f aca="false">IF(B2149=-1, -1, MOD(INT(B2149/28),21))</f>
        <v>20</v>
      </c>
      <c r="E2149" s="16" t="n">
        <f aca="false">IF(B2149=-1, -1, VLOOKUP(MOD(B2149,28), $T$24:$U$52,2))</f>
        <v>0</v>
      </c>
      <c r="F2149" s="16" t="n">
        <f aca="false">IF($B2149=-1, -1, VLOOKUP(C2149,$T$1:$V$20, 2))</f>
        <v>5</v>
      </c>
      <c r="G2149" s="16" t="n">
        <f aca="false">IF($B2149=-1, -1, VLOOKUP(D2149,$Y$1:$Z$22,2))</f>
        <v>5</v>
      </c>
      <c r="H2149" s="16" t="str">
        <f aca="false">_xlfn.UNICHAR(((F2149*21)+G2149)*28+44032)</f>
        <v>레</v>
      </c>
      <c r="I2149" s="16" t="n">
        <f aca="false">IF(B2149=-1, 1, COUNTIF($A$2:$A$3000, H2149))</f>
        <v>1</v>
      </c>
      <c r="J2149" s="10" t="str">
        <f aca="false">_xlfn.CONCAT(A2149, ",",H2149,",",I2149)</f>
        <v>티,레,1</v>
      </c>
      <c r="K2149" s="16" t="n">
        <f aca="false">IF(B2149=-1,-1,VLOOKUP(C2149,$T$1:$V$20,3))</f>
        <v>23</v>
      </c>
      <c r="L2149" s="16" t="n">
        <f aca="false">IF(B2149=-1,-1,VLOOKUP(D2149,$Y$1:$AA$22,3))</f>
        <v>20</v>
      </c>
      <c r="N2149" s="10" t="str">
        <f aca="false">_xlfn.UNICHAR(((C2149*21)+G2149)*28+44032)</f>
        <v>테</v>
      </c>
      <c r="O2149" s="10" t="str">
        <f aca="false">_xlfn.UNICHAR(((F2149*21)+D2149)*28+44032)</f>
        <v>리</v>
      </c>
      <c r="P2149" s="12" t="n">
        <f aca="false">COUNTIF($A$2:$A$3000, N2149) + COUNTIF($A$2:$A$3000, O2149)</f>
        <v>2</v>
      </c>
      <c r="Q2149" s="16" t="str">
        <f aca="false">IF(OR(B2149=-1,I2149=0, P2149&lt;&gt;2), "albhed_dummy", _xlfn.CONCAT("albhed ", RIGHT("  " &amp; K2149,2),", ", RIGHT("  " &amp; L2149,2), ", " ,"""",H2149,""", ", """",N2149,""", ","""",O2149,""""," ; ", A2149))</f>
        <v>albhed 23, 20, "레", "테", "리" ; 티</v>
      </c>
    </row>
    <row r="2150" customFormat="false" ht="17.9" hidden="false" customHeight="true" outlineLevel="0" collapsed="false">
      <c r="A2150" s="16" t="s">
        <v>2995</v>
      </c>
      <c r="B2150" s="16" t="n">
        <f aca="false">IF(_xlfn.UNICODE(A2150)&lt;44032,-1,_xlfn.UNICODE(A2150)-44032)</f>
        <v>9969</v>
      </c>
      <c r="C2150" s="16" t="n">
        <f aca="false">IF(B2150=-1,-1,INT((B2150/28)/21))</f>
        <v>16</v>
      </c>
      <c r="D2150" s="16" t="n">
        <f aca="false">IF(B2150=-1, -1, MOD(INT(B2150/28),21))</f>
        <v>20</v>
      </c>
      <c r="E2150" s="16" t="n">
        <f aca="false">IF(B2150=-1, -1, VLOOKUP(MOD(B2150,28), $T$24:$U$52,2))</f>
        <v>1</v>
      </c>
      <c r="F2150" s="16" t="n">
        <f aca="false">IF($B2150=-1, -1, VLOOKUP(C2150,$T$1:$V$20, 2))</f>
        <v>5</v>
      </c>
      <c r="G2150" s="16" t="n">
        <f aca="false">IF($B2150=-1, -1, VLOOKUP(D2150,$Y$1:$Z$22,2))</f>
        <v>5</v>
      </c>
      <c r="H2150" s="16" t="str">
        <f aca="false">_xlfn.UNICHAR(((F2150*21)+G2150)*28+44032)</f>
        <v>레</v>
      </c>
      <c r="I2150" s="16" t="n">
        <f aca="false">IF(B2150=-1, 1, COUNTIF($A$2:$A$3000, H2150))</f>
        <v>1</v>
      </c>
      <c r="J2150" s="10" t="str">
        <f aca="false">_xlfn.CONCAT(A2150, ",",H2150,",",I2150)</f>
        <v>틱,레,1</v>
      </c>
      <c r="K2150" s="16" t="n">
        <f aca="false">IF(B2150=-1,-1,VLOOKUP(C2150,$T$1:$V$20,3))</f>
        <v>23</v>
      </c>
      <c r="L2150" s="16" t="n">
        <f aca="false">IF(B2150=-1,-1,VLOOKUP(D2150,$Y$1:$AA$22,3))</f>
        <v>20</v>
      </c>
      <c r="N2150" s="10" t="str">
        <f aca="false">_xlfn.UNICHAR(((C2150*21)+G2150)*28+44032)</f>
        <v>테</v>
      </c>
      <c r="O2150" s="10" t="str">
        <f aca="false">_xlfn.UNICHAR(((F2150*21)+D2150)*28+44032)</f>
        <v>리</v>
      </c>
      <c r="P2150" s="12" t="n">
        <f aca="false">COUNTIF($A$2:$A$3000, N2150) + COUNTIF($A$2:$A$3000, O2150)</f>
        <v>2</v>
      </c>
      <c r="Q2150" s="16" t="str">
        <f aca="false">IF(OR(B2150=-1,I2150=0, P2150&lt;&gt;2), "albhed_dummy", _xlfn.CONCAT("albhed ", RIGHT("  " &amp; K2150,2),", ", RIGHT("  " &amp; L2150,2), ", " ,"""",H2150,""", ", """",N2150,""", ","""",O2150,""""," ; ", A2150))</f>
        <v>albhed 23, 20, "레", "테", "리" ; 틱</v>
      </c>
    </row>
    <row r="2151" customFormat="false" ht="17.9" hidden="false" customHeight="true" outlineLevel="0" collapsed="false">
      <c r="A2151" s="16" t="s">
        <v>2996</v>
      </c>
      <c r="B2151" s="16" t="n">
        <f aca="false">IF(_xlfn.UNICODE(A2151)&lt;44032,-1,_xlfn.UNICODE(A2151)-44032)</f>
        <v>9972</v>
      </c>
      <c r="C2151" s="16" t="n">
        <f aca="false">IF(B2151=-1,-1,INT((B2151/28)/21))</f>
        <v>16</v>
      </c>
      <c r="D2151" s="16" t="n">
        <f aca="false">IF(B2151=-1, -1, MOD(INT(B2151/28),21))</f>
        <v>20</v>
      </c>
      <c r="E2151" s="16" t="n">
        <f aca="false">IF(B2151=-1, -1, VLOOKUP(MOD(B2151,28), $T$24:$U$52,2))</f>
        <v>4</v>
      </c>
      <c r="F2151" s="16" t="n">
        <f aca="false">IF($B2151=-1, -1, VLOOKUP(C2151,$T$1:$V$20, 2))</f>
        <v>5</v>
      </c>
      <c r="G2151" s="16" t="n">
        <f aca="false">IF($B2151=-1, -1, VLOOKUP(D2151,$Y$1:$Z$22,2))</f>
        <v>5</v>
      </c>
      <c r="H2151" s="16" t="str">
        <f aca="false">_xlfn.UNICHAR(((F2151*21)+G2151)*28+44032)</f>
        <v>레</v>
      </c>
      <c r="I2151" s="16" t="n">
        <f aca="false">IF(B2151=-1, 1, COUNTIF($A$2:$A$3000, H2151))</f>
        <v>1</v>
      </c>
      <c r="J2151" s="10" t="str">
        <f aca="false">_xlfn.CONCAT(A2151, ",",H2151,",",I2151)</f>
        <v>틴,레,1</v>
      </c>
      <c r="K2151" s="16" t="n">
        <f aca="false">IF(B2151=-1,-1,VLOOKUP(C2151,$T$1:$V$20,3))</f>
        <v>23</v>
      </c>
      <c r="L2151" s="16" t="n">
        <f aca="false">IF(B2151=-1,-1,VLOOKUP(D2151,$Y$1:$AA$22,3))</f>
        <v>20</v>
      </c>
      <c r="N2151" s="10" t="str">
        <f aca="false">_xlfn.UNICHAR(((C2151*21)+G2151)*28+44032)</f>
        <v>테</v>
      </c>
      <c r="O2151" s="10" t="str">
        <f aca="false">_xlfn.UNICHAR(((F2151*21)+D2151)*28+44032)</f>
        <v>리</v>
      </c>
      <c r="P2151" s="12" t="n">
        <f aca="false">COUNTIF($A$2:$A$3000, N2151) + COUNTIF($A$2:$A$3000, O2151)</f>
        <v>2</v>
      </c>
      <c r="Q2151" s="16" t="str">
        <f aca="false">IF(OR(B2151=-1,I2151=0, P2151&lt;&gt;2), "albhed_dummy", _xlfn.CONCAT("albhed ", RIGHT("  " &amp; K2151,2),", ", RIGHT("  " &amp; L2151,2), ", " ,"""",H2151,""", ", """",N2151,""", ","""",O2151,""""," ; ", A2151))</f>
        <v>albhed 23, 20, "레", "테", "리" ; 틴</v>
      </c>
    </row>
    <row r="2152" customFormat="false" ht="17.9" hidden="false" customHeight="true" outlineLevel="0" collapsed="false">
      <c r="A2152" s="16" t="s">
        <v>2997</v>
      </c>
      <c r="B2152" s="16" t="n">
        <f aca="false">IF(_xlfn.UNICODE(A2152)&lt;44032,-1,_xlfn.UNICODE(A2152)-44032)</f>
        <v>9976</v>
      </c>
      <c r="C2152" s="16" t="n">
        <f aca="false">IF(B2152=-1,-1,INT((B2152/28)/21))</f>
        <v>16</v>
      </c>
      <c r="D2152" s="16" t="n">
        <f aca="false">IF(B2152=-1, -1, MOD(INT(B2152/28),21))</f>
        <v>20</v>
      </c>
      <c r="E2152" s="16" t="n">
        <f aca="false">IF(B2152=-1, -1, VLOOKUP(MOD(B2152,28), $T$24:$U$52,2))</f>
        <v>8</v>
      </c>
      <c r="F2152" s="16" t="n">
        <f aca="false">IF($B2152=-1, -1, VLOOKUP(C2152,$T$1:$V$20, 2))</f>
        <v>5</v>
      </c>
      <c r="G2152" s="16" t="n">
        <f aca="false">IF($B2152=-1, -1, VLOOKUP(D2152,$Y$1:$Z$22,2))</f>
        <v>5</v>
      </c>
      <c r="H2152" s="16" t="str">
        <f aca="false">_xlfn.UNICHAR(((F2152*21)+G2152)*28+44032)</f>
        <v>레</v>
      </c>
      <c r="I2152" s="16" t="n">
        <f aca="false">IF(B2152=-1, 1, COUNTIF($A$2:$A$3000, H2152))</f>
        <v>1</v>
      </c>
      <c r="J2152" s="10" t="str">
        <f aca="false">_xlfn.CONCAT(A2152, ",",H2152,",",I2152)</f>
        <v>틸,레,1</v>
      </c>
      <c r="K2152" s="16" t="n">
        <f aca="false">IF(B2152=-1,-1,VLOOKUP(C2152,$T$1:$V$20,3))</f>
        <v>23</v>
      </c>
      <c r="L2152" s="16" t="n">
        <f aca="false">IF(B2152=-1,-1,VLOOKUP(D2152,$Y$1:$AA$22,3))</f>
        <v>20</v>
      </c>
      <c r="N2152" s="10" t="str">
        <f aca="false">_xlfn.UNICHAR(((C2152*21)+G2152)*28+44032)</f>
        <v>테</v>
      </c>
      <c r="O2152" s="10" t="str">
        <f aca="false">_xlfn.UNICHAR(((F2152*21)+D2152)*28+44032)</f>
        <v>리</v>
      </c>
      <c r="P2152" s="12" t="n">
        <f aca="false">COUNTIF($A$2:$A$3000, N2152) + COUNTIF($A$2:$A$3000, O2152)</f>
        <v>2</v>
      </c>
      <c r="Q2152" s="16" t="str">
        <f aca="false">IF(OR(B2152=-1,I2152=0, P2152&lt;&gt;2), "albhed_dummy", _xlfn.CONCAT("albhed ", RIGHT("  " &amp; K2152,2),", ", RIGHT("  " &amp; L2152,2), ", " ,"""",H2152,""", ", """",N2152,""", ","""",O2152,""""," ; ", A2152))</f>
        <v>albhed 23, 20, "레", "테", "리" ; 틸</v>
      </c>
    </row>
    <row r="2153" customFormat="false" ht="17.9" hidden="false" customHeight="true" outlineLevel="0" collapsed="false">
      <c r="A2153" s="16" t="s">
        <v>2998</v>
      </c>
      <c r="B2153" s="16" t="n">
        <f aca="false">IF(_xlfn.UNICODE(A2153)&lt;44032,-1,_xlfn.UNICODE(A2153)-44032)</f>
        <v>9984</v>
      </c>
      <c r="C2153" s="16" t="n">
        <f aca="false">IF(B2153=-1,-1,INT((B2153/28)/21))</f>
        <v>16</v>
      </c>
      <c r="D2153" s="16" t="n">
        <f aca="false">IF(B2153=-1, -1, MOD(INT(B2153/28),21))</f>
        <v>20</v>
      </c>
      <c r="E2153" s="16" t="n">
        <f aca="false">IF(B2153=-1, -1, VLOOKUP(MOD(B2153,28), $T$24:$U$52,2))</f>
        <v>16</v>
      </c>
      <c r="F2153" s="16" t="n">
        <f aca="false">IF($B2153=-1, -1, VLOOKUP(C2153,$T$1:$V$20, 2))</f>
        <v>5</v>
      </c>
      <c r="G2153" s="16" t="n">
        <f aca="false">IF($B2153=-1, -1, VLOOKUP(D2153,$Y$1:$Z$22,2))</f>
        <v>5</v>
      </c>
      <c r="H2153" s="16" t="str">
        <f aca="false">_xlfn.UNICHAR(((F2153*21)+G2153)*28+44032)</f>
        <v>레</v>
      </c>
      <c r="I2153" s="16" t="n">
        <f aca="false">IF(B2153=-1, 1, COUNTIF($A$2:$A$3000, H2153))</f>
        <v>1</v>
      </c>
      <c r="J2153" s="10" t="str">
        <f aca="false">_xlfn.CONCAT(A2153, ",",H2153,",",I2153)</f>
        <v>팀,레,1</v>
      </c>
      <c r="K2153" s="16" t="n">
        <f aca="false">IF(B2153=-1,-1,VLOOKUP(C2153,$T$1:$V$20,3))</f>
        <v>23</v>
      </c>
      <c r="L2153" s="16" t="n">
        <f aca="false">IF(B2153=-1,-1,VLOOKUP(D2153,$Y$1:$AA$22,3))</f>
        <v>20</v>
      </c>
      <c r="N2153" s="10" t="str">
        <f aca="false">_xlfn.UNICHAR(((C2153*21)+G2153)*28+44032)</f>
        <v>테</v>
      </c>
      <c r="O2153" s="10" t="str">
        <f aca="false">_xlfn.UNICHAR(((F2153*21)+D2153)*28+44032)</f>
        <v>리</v>
      </c>
      <c r="P2153" s="12" t="n">
        <f aca="false">COUNTIF($A$2:$A$3000, N2153) + COUNTIF($A$2:$A$3000, O2153)</f>
        <v>2</v>
      </c>
      <c r="Q2153" s="16" t="str">
        <f aca="false">IF(OR(B2153=-1,I2153=0, P2153&lt;&gt;2), "albhed_dummy", _xlfn.CONCAT("albhed ", RIGHT("  " &amp; K2153,2),", ", RIGHT("  " &amp; L2153,2), ", " ,"""",H2153,""", ", """",N2153,""", ","""",O2153,""""," ; ", A2153))</f>
        <v>albhed 23, 20, "레", "테", "리" ; 팀</v>
      </c>
    </row>
    <row r="2154" customFormat="false" ht="17.9" hidden="false" customHeight="true" outlineLevel="0" collapsed="false">
      <c r="A2154" s="16" t="s">
        <v>2999</v>
      </c>
      <c r="B2154" s="16" t="n">
        <f aca="false">IF(_xlfn.UNICODE(A2154)&lt;44032,-1,_xlfn.UNICODE(A2154)-44032)</f>
        <v>9985</v>
      </c>
      <c r="C2154" s="16" t="n">
        <f aca="false">IF(B2154=-1,-1,INT((B2154/28)/21))</f>
        <v>16</v>
      </c>
      <c r="D2154" s="16" t="n">
        <f aca="false">IF(B2154=-1, -1, MOD(INT(B2154/28),21))</f>
        <v>20</v>
      </c>
      <c r="E2154" s="16" t="n">
        <f aca="false">IF(B2154=-1, -1, VLOOKUP(MOD(B2154,28), $T$24:$U$52,2))</f>
        <v>17</v>
      </c>
      <c r="F2154" s="16" t="n">
        <f aca="false">IF($B2154=-1, -1, VLOOKUP(C2154,$T$1:$V$20, 2))</f>
        <v>5</v>
      </c>
      <c r="G2154" s="16" t="n">
        <f aca="false">IF($B2154=-1, -1, VLOOKUP(D2154,$Y$1:$Z$22,2))</f>
        <v>5</v>
      </c>
      <c r="H2154" s="16" t="str">
        <f aca="false">_xlfn.UNICHAR(((F2154*21)+G2154)*28+44032)</f>
        <v>레</v>
      </c>
      <c r="I2154" s="16" t="n">
        <f aca="false">IF(B2154=-1, 1, COUNTIF($A$2:$A$3000, H2154))</f>
        <v>1</v>
      </c>
      <c r="J2154" s="10" t="str">
        <f aca="false">_xlfn.CONCAT(A2154, ",",H2154,",",I2154)</f>
        <v>팁,레,1</v>
      </c>
      <c r="K2154" s="16" t="n">
        <f aca="false">IF(B2154=-1,-1,VLOOKUP(C2154,$T$1:$V$20,3))</f>
        <v>23</v>
      </c>
      <c r="L2154" s="16" t="n">
        <f aca="false">IF(B2154=-1,-1,VLOOKUP(D2154,$Y$1:$AA$22,3))</f>
        <v>20</v>
      </c>
      <c r="N2154" s="10" t="str">
        <f aca="false">_xlfn.UNICHAR(((C2154*21)+G2154)*28+44032)</f>
        <v>테</v>
      </c>
      <c r="O2154" s="10" t="str">
        <f aca="false">_xlfn.UNICHAR(((F2154*21)+D2154)*28+44032)</f>
        <v>리</v>
      </c>
      <c r="P2154" s="12" t="n">
        <f aca="false">COUNTIF($A$2:$A$3000, N2154) + COUNTIF($A$2:$A$3000, O2154)</f>
        <v>2</v>
      </c>
      <c r="Q2154" s="16" t="str">
        <f aca="false">IF(OR(B2154=-1,I2154=0, P2154&lt;&gt;2), "albhed_dummy", _xlfn.CONCAT("albhed ", RIGHT("  " &amp; K2154,2),", ", RIGHT("  " &amp; L2154,2), ", " ,"""",H2154,""", ", """",N2154,""", ","""",O2154,""""," ; ", A2154))</f>
        <v>albhed 23, 20, "레", "테", "리" ; 팁</v>
      </c>
    </row>
    <row r="2155" customFormat="false" ht="17.9" hidden="false" customHeight="true" outlineLevel="0" collapsed="false">
      <c r="A2155" s="16" t="s">
        <v>3000</v>
      </c>
      <c r="B2155" s="16" t="n">
        <f aca="false">IF(_xlfn.UNICODE(A2155)&lt;44032,-1,_xlfn.UNICODE(A2155)-44032)</f>
        <v>9987</v>
      </c>
      <c r="C2155" s="16" t="n">
        <f aca="false">IF(B2155=-1,-1,INT((B2155/28)/21))</f>
        <v>16</v>
      </c>
      <c r="D2155" s="16" t="n">
        <f aca="false">IF(B2155=-1, -1, MOD(INT(B2155/28),21))</f>
        <v>20</v>
      </c>
      <c r="E2155" s="16" t="n">
        <f aca="false">IF(B2155=-1, -1, VLOOKUP(MOD(B2155,28), $T$24:$U$52,2))</f>
        <v>19</v>
      </c>
      <c r="F2155" s="16" t="n">
        <f aca="false">IF($B2155=-1, -1, VLOOKUP(C2155,$T$1:$V$20, 2))</f>
        <v>5</v>
      </c>
      <c r="G2155" s="16" t="n">
        <f aca="false">IF($B2155=-1, -1, VLOOKUP(D2155,$Y$1:$Z$22,2))</f>
        <v>5</v>
      </c>
      <c r="H2155" s="16" t="str">
        <f aca="false">_xlfn.UNICHAR(((F2155*21)+G2155)*28+44032)</f>
        <v>레</v>
      </c>
      <c r="I2155" s="16" t="n">
        <f aca="false">IF(B2155=-1, 1, COUNTIF($A$2:$A$3000, H2155))</f>
        <v>1</v>
      </c>
      <c r="J2155" s="10" t="str">
        <f aca="false">_xlfn.CONCAT(A2155, ",",H2155,",",I2155)</f>
        <v>팃,레,1</v>
      </c>
      <c r="K2155" s="16" t="n">
        <f aca="false">IF(B2155=-1,-1,VLOOKUP(C2155,$T$1:$V$20,3))</f>
        <v>23</v>
      </c>
      <c r="L2155" s="16" t="n">
        <f aca="false">IF(B2155=-1,-1,VLOOKUP(D2155,$Y$1:$AA$22,3))</f>
        <v>20</v>
      </c>
      <c r="N2155" s="10" t="str">
        <f aca="false">_xlfn.UNICHAR(((C2155*21)+G2155)*28+44032)</f>
        <v>테</v>
      </c>
      <c r="O2155" s="10" t="str">
        <f aca="false">_xlfn.UNICHAR(((F2155*21)+D2155)*28+44032)</f>
        <v>리</v>
      </c>
      <c r="P2155" s="12" t="n">
        <f aca="false">COUNTIF($A$2:$A$3000, N2155) + COUNTIF($A$2:$A$3000, O2155)</f>
        <v>2</v>
      </c>
      <c r="Q2155" s="16" t="str">
        <f aca="false">IF(OR(B2155=-1,I2155=0, P2155&lt;&gt;2), "albhed_dummy", _xlfn.CONCAT("albhed ", RIGHT("  " &amp; K2155,2),", ", RIGHT("  " &amp; L2155,2), ", " ,"""",H2155,""", ", """",N2155,""", ","""",O2155,""""," ; ", A2155))</f>
        <v>albhed 23, 20, "레", "테", "리" ; 팃</v>
      </c>
    </row>
    <row r="2156" customFormat="false" ht="17.9" hidden="false" customHeight="true" outlineLevel="0" collapsed="false">
      <c r="A2156" s="16" t="s">
        <v>3001</v>
      </c>
      <c r="B2156" s="16" t="n">
        <f aca="false">IF(_xlfn.UNICODE(A2156)&lt;44032,-1,_xlfn.UNICODE(A2156)-44032)</f>
        <v>9989</v>
      </c>
      <c r="C2156" s="16" t="n">
        <f aca="false">IF(B2156=-1,-1,INT((B2156/28)/21))</f>
        <v>16</v>
      </c>
      <c r="D2156" s="16" t="n">
        <f aca="false">IF(B2156=-1, -1, MOD(INT(B2156/28),21))</f>
        <v>20</v>
      </c>
      <c r="E2156" s="16" t="n">
        <f aca="false">IF(B2156=-1, -1, VLOOKUP(MOD(B2156,28), $T$24:$U$52,2))</f>
        <v>21</v>
      </c>
      <c r="F2156" s="16" t="n">
        <f aca="false">IF($B2156=-1, -1, VLOOKUP(C2156,$T$1:$V$20, 2))</f>
        <v>5</v>
      </c>
      <c r="G2156" s="16" t="n">
        <f aca="false">IF($B2156=-1, -1, VLOOKUP(D2156,$Y$1:$Z$22,2))</f>
        <v>5</v>
      </c>
      <c r="H2156" s="16" t="str">
        <f aca="false">_xlfn.UNICHAR(((F2156*21)+G2156)*28+44032)</f>
        <v>레</v>
      </c>
      <c r="I2156" s="16" t="n">
        <f aca="false">IF(B2156=-1, 1, COUNTIF($A$2:$A$3000, H2156))</f>
        <v>1</v>
      </c>
      <c r="J2156" s="10" t="str">
        <f aca="false">_xlfn.CONCAT(A2156, ",",H2156,",",I2156)</f>
        <v>팅,레,1</v>
      </c>
      <c r="K2156" s="16" t="n">
        <f aca="false">IF(B2156=-1,-1,VLOOKUP(C2156,$T$1:$V$20,3))</f>
        <v>23</v>
      </c>
      <c r="L2156" s="16" t="n">
        <f aca="false">IF(B2156=-1,-1,VLOOKUP(D2156,$Y$1:$AA$22,3))</f>
        <v>20</v>
      </c>
      <c r="N2156" s="10" t="str">
        <f aca="false">_xlfn.UNICHAR(((C2156*21)+G2156)*28+44032)</f>
        <v>테</v>
      </c>
      <c r="O2156" s="10" t="str">
        <f aca="false">_xlfn.UNICHAR(((F2156*21)+D2156)*28+44032)</f>
        <v>리</v>
      </c>
      <c r="P2156" s="12" t="n">
        <f aca="false">COUNTIF($A$2:$A$3000, N2156) + COUNTIF($A$2:$A$3000, O2156)</f>
        <v>2</v>
      </c>
      <c r="Q2156" s="16" t="str">
        <f aca="false">IF(OR(B2156=-1,I2156=0, P2156&lt;&gt;2), "albhed_dummy", _xlfn.CONCAT("albhed ", RIGHT("  " &amp; K2156,2),", ", RIGHT("  " &amp; L2156,2), ", " ,"""",H2156,""", ", """",N2156,""", ","""",O2156,""""," ; ", A2156))</f>
        <v>albhed 23, 20, "레", "테", "리" ; 팅</v>
      </c>
    </row>
    <row r="2157" customFormat="false" ht="17.9" hidden="false" customHeight="true" outlineLevel="0" collapsed="false">
      <c r="A2157" s="16" t="s">
        <v>3002</v>
      </c>
      <c r="B2157" s="16" t="n">
        <f aca="false">IF(_xlfn.UNICODE(A2157)&lt;44032,-1,_xlfn.UNICODE(A2157)-44032)</f>
        <v>9996</v>
      </c>
      <c r="C2157" s="16" t="n">
        <f aca="false">IF(B2157=-1,-1,INT((B2157/28)/21))</f>
        <v>17</v>
      </c>
      <c r="D2157" s="16" t="n">
        <f aca="false">IF(B2157=-1, -1, MOD(INT(B2157/28),21))</f>
        <v>0</v>
      </c>
      <c r="E2157" s="16" t="n">
        <f aca="false">IF(B2157=-1, -1, VLOOKUP(MOD(B2157,28), $T$24:$U$52,2))</f>
        <v>0</v>
      </c>
      <c r="F2157" s="16" t="n">
        <f aca="false">IF($B2157=-1, -1, VLOOKUP(C2157,$T$1:$V$20, 2))</f>
        <v>6</v>
      </c>
      <c r="G2157" s="16" t="n">
        <f aca="false">IF($B2157=-1, -1, VLOOKUP(D2157,$Y$1:$Z$22,2))</f>
        <v>13</v>
      </c>
      <c r="H2157" s="16" t="str">
        <f aca="false">_xlfn.UNICHAR(((F2157*21)+G2157)*28+44032)</f>
        <v>무</v>
      </c>
      <c r="I2157" s="16" t="n">
        <f aca="false">IF(B2157=-1, 1, COUNTIF($A$2:$A$3000, H2157))</f>
        <v>1</v>
      </c>
      <c r="J2157" s="10" t="str">
        <f aca="false">_xlfn.CONCAT(A2157, ",",H2157,",",I2157)</f>
        <v>파,무,1</v>
      </c>
      <c r="K2157" s="16" t="n">
        <f aca="false">IF(B2157=-1,-1,VLOOKUP(C2157,$T$1:$V$20,3))</f>
        <v>25</v>
      </c>
      <c r="L2157" s="16" t="n">
        <f aca="false">IF(B2157=-1,-1,VLOOKUP(D2157,$Y$1:$AA$22,3))</f>
        <v>2</v>
      </c>
      <c r="N2157" s="10" t="str">
        <f aca="false">_xlfn.UNICHAR(((C2157*21)+G2157)*28+44032)</f>
        <v>푸</v>
      </c>
      <c r="O2157" s="10" t="str">
        <f aca="false">_xlfn.UNICHAR(((F2157*21)+D2157)*28+44032)</f>
        <v>마</v>
      </c>
      <c r="P2157" s="12" t="n">
        <f aca="false">COUNTIF($A$2:$A$3000, N2157) + COUNTIF($A$2:$A$3000, O2157)</f>
        <v>2</v>
      </c>
      <c r="Q2157" s="16" t="str">
        <f aca="false">IF(OR(B2157=-1,I2157=0, P2157&lt;&gt;2), "albhed_dummy", _xlfn.CONCAT("albhed ", RIGHT("  " &amp; K2157,2),", ", RIGHT("  " &amp; L2157,2), ", " ,"""",H2157,""", ", """",N2157,""", ","""",O2157,""""," ; ", A2157))</f>
        <v>albhed 25,  2, "무", "푸", "마" ; 파</v>
      </c>
    </row>
    <row r="2158" customFormat="false" ht="17.9" hidden="false" customHeight="true" outlineLevel="0" collapsed="false">
      <c r="A2158" s="16" t="s">
        <v>3003</v>
      </c>
      <c r="B2158" s="16" t="n">
        <f aca="false">IF(_xlfn.UNICODE(A2158)&lt;44032,-1,_xlfn.UNICODE(A2158)-44032)</f>
        <v>9997</v>
      </c>
      <c r="C2158" s="16" t="n">
        <f aca="false">IF(B2158=-1,-1,INT((B2158/28)/21))</f>
        <v>17</v>
      </c>
      <c r="D2158" s="16" t="n">
        <f aca="false">IF(B2158=-1, -1, MOD(INT(B2158/28),21))</f>
        <v>0</v>
      </c>
      <c r="E2158" s="16" t="n">
        <f aca="false">IF(B2158=-1, -1, VLOOKUP(MOD(B2158,28), $T$24:$U$52,2))</f>
        <v>1</v>
      </c>
      <c r="F2158" s="16" t="n">
        <f aca="false">IF($B2158=-1, -1, VLOOKUP(C2158,$T$1:$V$20, 2))</f>
        <v>6</v>
      </c>
      <c r="G2158" s="16" t="n">
        <f aca="false">IF($B2158=-1, -1, VLOOKUP(D2158,$Y$1:$Z$22,2))</f>
        <v>13</v>
      </c>
      <c r="H2158" s="16" t="str">
        <f aca="false">_xlfn.UNICHAR(((F2158*21)+G2158)*28+44032)</f>
        <v>무</v>
      </c>
      <c r="I2158" s="16" t="n">
        <f aca="false">IF(B2158=-1, 1, COUNTIF($A$2:$A$3000, H2158))</f>
        <v>1</v>
      </c>
      <c r="J2158" s="10" t="str">
        <f aca="false">_xlfn.CONCAT(A2158, ",",H2158,",",I2158)</f>
        <v>팍,무,1</v>
      </c>
      <c r="K2158" s="16" t="n">
        <f aca="false">IF(B2158=-1,-1,VLOOKUP(C2158,$T$1:$V$20,3))</f>
        <v>25</v>
      </c>
      <c r="L2158" s="16" t="n">
        <f aca="false">IF(B2158=-1,-1,VLOOKUP(D2158,$Y$1:$AA$22,3))</f>
        <v>2</v>
      </c>
      <c r="N2158" s="10" t="str">
        <f aca="false">_xlfn.UNICHAR(((C2158*21)+G2158)*28+44032)</f>
        <v>푸</v>
      </c>
      <c r="O2158" s="10" t="str">
        <f aca="false">_xlfn.UNICHAR(((F2158*21)+D2158)*28+44032)</f>
        <v>마</v>
      </c>
      <c r="P2158" s="12" t="n">
        <f aca="false">COUNTIF($A$2:$A$3000, N2158) + COUNTIF($A$2:$A$3000, O2158)</f>
        <v>2</v>
      </c>
      <c r="Q2158" s="16" t="str">
        <f aca="false">IF(OR(B2158=-1,I2158=0, P2158&lt;&gt;2), "albhed_dummy", _xlfn.CONCAT("albhed ", RIGHT("  " &amp; K2158,2),", ", RIGHT("  " &amp; L2158,2), ", " ,"""",H2158,""", ", """",N2158,""", ","""",O2158,""""," ; ", A2158))</f>
        <v>albhed 25,  2, "무", "푸", "마" ; 팍</v>
      </c>
    </row>
    <row r="2159" customFormat="false" ht="17.9" hidden="false" customHeight="true" outlineLevel="0" collapsed="false">
      <c r="A2159" s="16" t="s">
        <v>3004</v>
      </c>
      <c r="B2159" s="16" t="n">
        <f aca="false">IF(_xlfn.UNICODE(A2159)&lt;44032,-1,_xlfn.UNICODE(A2159)-44032)</f>
        <v>9998</v>
      </c>
      <c r="C2159" s="16" t="n">
        <f aca="false">IF(B2159=-1,-1,INT((B2159/28)/21))</f>
        <v>17</v>
      </c>
      <c r="D2159" s="16" t="n">
        <f aca="false">IF(B2159=-1, -1, MOD(INT(B2159/28),21))</f>
        <v>0</v>
      </c>
      <c r="E2159" s="16" t="n">
        <f aca="false">IF(B2159=-1, -1, VLOOKUP(MOD(B2159,28), $T$24:$U$52,2))</f>
        <v>1</v>
      </c>
      <c r="F2159" s="16" t="n">
        <f aca="false">IF($B2159=-1, -1, VLOOKUP(C2159,$T$1:$V$20, 2))</f>
        <v>6</v>
      </c>
      <c r="G2159" s="16" t="n">
        <f aca="false">IF($B2159=-1, -1, VLOOKUP(D2159,$Y$1:$Z$22,2))</f>
        <v>13</v>
      </c>
      <c r="H2159" s="16" t="str">
        <f aca="false">_xlfn.UNICHAR(((F2159*21)+G2159)*28+44032)</f>
        <v>무</v>
      </c>
      <c r="I2159" s="16" t="n">
        <f aca="false">IF(B2159=-1, 1, COUNTIF($A$2:$A$3000, H2159))</f>
        <v>1</v>
      </c>
      <c r="J2159" s="10" t="str">
        <f aca="false">_xlfn.CONCAT(A2159, ",",H2159,",",I2159)</f>
        <v>팎,무,1</v>
      </c>
      <c r="K2159" s="16" t="n">
        <f aca="false">IF(B2159=-1,-1,VLOOKUP(C2159,$T$1:$V$20,3))</f>
        <v>25</v>
      </c>
      <c r="L2159" s="16" t="n">
        <f aca="false">IF(B2159=-1,-1,VLOOKUP(D2159,$Y$1:$AA$22,3))</f>
        <v>2</v>
      </c>
      <c r="N2159" s="10" t="str">
        <f aca="false">_xlfn.UNICHAR(((C2159*21)+G2159)*28+44032)</f>
        <v>푸</v>
      </c>
      <c r="O2159" s="10" t="str">
        <f aca="false">_xlfn.UNICHAR(((F2159*21)+D2159)*28+44032)</f>
        <v>마</v>
      </c>
      <c r="P2159" s="12" t="n">
        <f aca="false">COUNTIF($A$2:$A$3000, N2159) + COUNTIF($A$2:$A$3000, O2159)</f>
        <v>2</v>
      </c>
      <c r="Q2159" s="16" t="str">
        <f aca="false">IF(OR(B2159=-1,I2159=0, P2159&lt;&gt;2), "albhed_dummy", _xlfn.CONCAT("albhed ", RIGHT("  " &amp; K2159,2),", ", RIGHT("  " &amp; L2159,2), ", " ,"""",H2159,""", ", """",N2159,""", ","""",O2159,""""," ; ", A2159))</f>
        <v>albhed 25,  2, "무", "푸", "마" ; 팎</v>
      </c>
    </row>
    <row r="2160" customFormat="false" ht="17.9" hidden="false" customHeight="true" outlineLevel="0" collapsed="false">
      <c r="A2160" s="16" t="s">
        <v>3005</v>
      </c>
      <c r="B2160" s="16" t="n">
        <f aca="false">IF(_xlfn.UNICODE(A2160)&lt;44032,-1,_xlfn.UNICODE(A2160)-44032)</f>
        <v>10000</v>
      </c>
      <c r="C2160" s="16" t="n">
        <f aca="false">IF(B2160=-1,-1,INT((B2160/28)/21))</f>
        <v>17</v>
      </c>
      <c r="D2160" s="16" t="n">
        <f aca="false">IF(B2160=-1, -1, MOD(INT(B2160/28),21))</f>
        <v>0</v>
      </c>
      <c r="E2160" s="16" t="n">
        <f aca="false">IF(B2160=-1, -1, VLOOKUP(MOD(B2160,28), $T$24:$U$52,2))</f>
        <v>4</v>
      </c>
      <c r="F2160" s="16" t="n">
        <f aca="false">IF($B2160=-1, -1, VLOOKUP(C2160,$T$1:$V$20, 2))</f>
        <v>6</v>
      </c>
      <c r="G2160" s="16" t="n">
        <f aca="false">IF($B2160=-1, -1, VLOOKUP(D2160,$Y$1:$Z$22,2))</f>
        <v>13</v>
      </c>
      <c r="H2160" s="16" t="str">
        <f aca="false">_xlfn.UNICHAR(((F2160*21)+G2160)*28+44032)</f>
        <v>무</v>
      </c>
      <c r="I2160" s="16" t="n">
        <f aca="false">IF(B2160=-1, 1, COUNTIF($A$2:$A$3000, H2160))</f>
        <v>1</v>
      </c>
      <c r="J2160" s="10" t="str">
        <f aca="false">_xlfn.CONCAT(A2160, ",",H2160,",",I2160)</f>
        <v>판,무,1</v>
      </c>
      <c r="K2160" s="16" t="n">
        <f aca="false">IF(B2160=-1,-1,VLOOKUP(C2160,$T$1:$V$20,3))</f>
        <v>25</v>
      </c>
      <c r="L2160" s="16" t="n">
        <f aca="false">IF(B2160=-1,-1,VLOOKUP(D2160,$Y$1:$AA$22,3))</f>
        <v>2</v>
      </c>
      <c r="N2160" s="10" t="str">
        <f aca="false">_xlfn.UNICHAR(((C2160*21)+G2160)*28+44032)</f>
        <v>푸</v>
      </c>
      <c r="O2160" s="10" t="str">
        <f aca="false">_xlfn.UNICHAR(((F2160*21)+D2160)*28+44032)</f>
        <v>마</v>
      </c>
      <c r="P2160" s="12" t="n">
        <f aca="false">COUNTIF($A$2:$A$3000, N2160) + COUNTIF($A$2:$A$3000, O2160)</f>
        <v>2</v>
      </c>
      <c r="Q2160" s="16" t="str">
        <f aca="false">IF(OR(B2160=-1,I2160=0, P2160&lt;&gt;2), "albhed_dummy", _xlfn.CONCAT("albhed ", RIGHT("  " &amp; K2160,2),", ", RIGHT("  " &amp; L2160,2), ", " ,"""",H2160,""", ", """",N2160,""", ","""",O2160,""""," ; ", A2160))</f>
        <v>albhed 25,  2, "무", "푸", "마" ; 판</v>
      </c>
    </row>
    <row r="2161" customFormat="false" ht="17.9" hidden="false" customHeight="true" outlineLevel="0" collapsed="false">
      <c r="A2161" s="16" t="s">
        <v>3006</v>
      </c>
      <c r="B2161" s="16" t="n">
        <f aca="false">IF(_xlfn.UNICODE(A2161)&lt;44032,-1,_xlfn.UNICODE(A2161)-44032)</f>
        <v>10004</v>
      </c>
      <c r="C2161" s="16" t="n">
        <f aca="false">IF(B2161=-1,-1,INT((B2161/28)/21))</f>
        <v>17</v>
      </c>
      <c r="D2161" s="16" t="n">
        <f aca="false">IF(B2161=-1, -1, MOD(INT(B2161/28),21))</f>
        <v>0</v>
      </c>
      <c r="E2161" s="16" t="n">
        <f aca="false">IF(B2161=-1, -1, VLOOKUP(MOD(B2161,28), $T$24:$U$52,2))</f>
        <v>8</v>
      </c>
      <c r="F2161" s="16" t="n">
        <f aca="false">IF($B2161=-1, -1, VLOOKUP(C2161,$T$1:$V$20, 2))</f>
        <v>6</v>
      </c>
      <c r="G2161" s="16" t="n">
        <f aca="false">IF($B2161=-1, -1, VLOOKUP(D2161,$Y$1:$Z$22,2))</f>
        <v>13</v>
      </c>
      <c r="H2161" s="16" t="str">
        <f aca="false">_xlfn.UNICHAR(((F2161*21)+G2161)*28+44032)</f>
        <v>무</v>
      </c>
      <c r="I2161" s="16" t="n">
        <f aca="false">IF(B2161=-1, 1, COUNTIF($A$2:$A$3000, H2161))</f>
        <v>1</v>
      </c>
      <c r="J2161" s="10" t="str">
        <f aca="false">_xlfn.CONCAT(A2161, ",",H2161,",",I2161)</f>
        <v>팔,무,1</v>
      </c>
      <c r="K2161" s="16" t="n">
        <f aca="false">IF(B2161=-1,-1,VLOOKUP(C2161,$T$1:$V$20,3))</f>
        <v>25</v>
      </c>
      <c r="L2161" s="16" t="n">
        <f aca="false">IF(B2161=-1,-1,VLOOKUP(D2161,$Y$1:$AA$22,3))</f>
        <v>2</v>
      </c>
      <c r="N2161" s="10" t="str">
        <f aca="false">_xlfn.UNICHAR(((C2161*21)+G2161)*28+44032)</f>
        <v>푸</v>
      </c>
      <c r="O2161" s="10" t="str">
        <f aca="false">_xlfn.UNICHAR(((F2161*21)+D2161)*28+44032)</f>
        <v>마</v>
      </c>
      <c r="P2161" s="12" t="n">
        <f aca="false">COUNTIF($A$2:$A$3000, N2161) + COUNTIF($A$2:$A$3000, O2161)</f>
        <v>2</v>
      </c>
      <c r="Q2161" s="16" t="str">
        <f aca="false">IF(OR(B2161=-1,I2161=0, P2161&lt;&gt;2), "albhed_dummy", _xlfn.CONCAT("albhed ", RIGHT("  " &amp; K2161,2),", ", RIGHT("  " &amp; L2161,2), ", " ,"""",H2161,""", ", """",N2161,""", ","""",O2161,""""," ; ", A2161))</f>
        <v>albhed 25,  2, "무", "푸", "마" ; 팔</v>
      </c>
    </row>
    <row r="2162" customFormat="false" ht="17.9" hidden="false" customHeight="true" outlineLevel="0" collapsed="false">
      <c r="A2162" s="16" t="s">
        <v>3007</v>
      </c>
      <c r="B2162" s="16" t="n">
        <f aca="false">IF(_xlfn.UNICODE(A2162)&lt;44032,-1,_xlfn.UNICODE(A2162)-44032)</f>
        <v>10006</v>
      </c>
      <c r="C2162" s="16" t="n">
        <f aca="false">IF(B2162=-1,-1,INT((B2162/28)/21))</f>
        <v>17</v>
      </c>
      <c r="D2162" s="16" t="n">
        <f aca="false">IF(B2162=-1, -1, MOD(INT(B2162/28),21))</f>
        <v>0</v>
      </c>
      <c r="E2162" s="16" t="n">
        <f aca="false">IF(B2162=-1, -1, VLOOKUP(MOD(B2162,28), $T$24:$U$52,2))</f>
        <v>8</v>
      </c>
      <c r="F2162" s="16" t="n">
        <f aca="false">IF($B2162=-1, -1, VLOOKUP(C2162,$T$1:$V$20, 2))</f>
        <v>6</v>
      </c>
      <c r="G2162" s="16" t="n">
        <f aca="false">IF($B2162=-1, -1, VLOOKUP(D2162,$Y$1:$Z$22,2))</f>
        <v>13</v>
      </c>
      <c r="H2162" s="16" t="str">
        <f aca="false">_xlfn.UNICHAR(((F2162*21)+G2162)*28+44032)</f>
        <v>무</v>
      </c>
      <c r="I2162" s="16" t="n">
        <f aca="false">IF(B2162=-1, 1, COUNTIF($A$2:$A$3000, H2162))</f>
        <v>1</v>
      </c>
      <c r="J2162" s="10" t="str">
        <f aca="false">_xlfn.CONCAT(A2162, ",",H2162,",",I2162)</f>
        <v>팖,무,1</v>
      </c>
      <c r="K2162" s="16" t="n">
        <f aca="false">IF(B2162=-1,-1,VLOOKUP(C2162,$T$1:$V$20,3))</f>
        <v>25</v>
      </c>
      <c r="L2162" s="16" t="n">
        <f aca="false">IF(B2162=-1,-1,VLOOKUP(D2162,$Y$1:$AA$22,3))</f>
        <v>2</v>
      </c>
      <c r="N2162" s="10" t="str">
        <f aca="false">_xlfn.UNICHAR(((C2162*21)+G2162)*28+44032)</f>
        <v>푸</v>
      </c>
      <c r="O2162" s="10" t="str">
        <f aca="false">_xlfn.UNICHAR(((F2162*21)+D2162)*28+44032)</f>
        <v>마</v>
      </c>
      <c r="P2162" s="12" t="n">
        <f aca="false">COUNTIF($A$2:$A$3000, N2162) + COUNTIF($A$2:$A$3000, O2162)</f>
        <v>2</v>
      </c>
      <c r="Q2162" s="16" t="str">
        <f aca="false">IF(OR(B2162=-1,I2162=0, P2162&lt;&gt;2), "albhed_dummy", _xlfn.CONCAT("albhed ", RIGHT("  " &amp; K2162,2),", ", RIGHT("  " &amp; L2162,2), ", " ,"""",H2162,""", ", """",N2162,""", ","""",O2162,""""," ; ", A2162))</f>
        <v>albhed 25,  2, "무", "푸", "마" ; 팖</v>
      </c>
    </row>
    <row r="2163" customFormat="false" ht="17.9" hidden="false" customHeight="true" outlineLevel="0" collapsed="false">
      <c r="A2163" s="16" t="s">
        <v>3008</v>
      </c>
      <c r="B2163" s="16" t="n">
        <f aca="false">IF(_xlfn.UNICODE(A2163)&lt;44032,-1,_xlfn.UNICODE(A2163)-44032)</f>
        <v>10012</v>
      </c>
      <c r="C2163" s="16" t="n">
        <f aca="false">IF(B2163=-1,-1,INT((B2163/28)/21))</f>
        <v>17</v>
      </c>
      <c r="D2163" s="16" t="n">
        <f aca="false">IF(B2163=-1, -1, MOD(INT(B2163/28),21))</f>
        <v>0</v>
      </c>
      <c r="E2163" s="16" t="n">
        <f aca="false">IF(B2163=-1, -1, VLOOKUP(MOD(B2163,28), $T$24:$U$52,2))</f>
        <v>16</v>
      </c>
      <c r="F2163" s="16" t="n">
        <f aca="false">IF($B2163=-1, -1, VLOOKUP(C2163,$T$1:$V$20, 2))</f>
        <v>6</v>
      </c>
      <c r="G2163" s="16" t="n">
        <f aca="false">IF($B2163=-1, -1, VLOOKUP(D2163,$Y$1:$Z$22,2))</f>
        <v>13</v>
      </c>
      <c r="H2163" s="16" t="str">
        <f aca="false">_xlfn.UNICHAR(((F2163*21)+G2163)*28+44032)</f>
        <v>무</v>
      </c>
      <c r="I2163" s="16" t="n">
        <f aca="false">IF(B2163=-1, 1, COUNTIF($A$2:$A$3000, H2163))</f>
        <v>1</v>
      </c>
      <c r="J2163" s="10" t="str">
        <f aca="false">_xlfn.CONCAT(A2163, ",",H2163,",",I2163)</f>
        <v>팜,무,1</v>
      </c>
      <c r="K2163" s="16" t="n">
        <f aca="false">IF(B2163=-1,-1,VLOOKUP(C2163,$T$1:$V$20,3))</f>
        <v>25</v>
      </c>
      <c r="L2163" s="16" t="n">
        <f aca="false">IF(B2163=-1,-1,VLOOKUP(D2163,$Y$1:$AA$22,3))</f>
        <v>2</v>
      </c>
      <c r="N2163" s="10" t="str">
        <f aca="false">_xlfn.UNICHAR(((C2163*21)+G2163)*28+44032)</f>
        <v>푸</v>
      </c>
      <c r="O2163" s="10" t="str">
        <f aca="false">_xlfn.UNICHAR(((F2163*21)+D2163)*28+44032)</f>
        <v>마</v>
      </c>
      <c r="P2163" s="12" t="n">
        <f aca="false">COUNTIF($A$2:$A$3000, N2163) + COUNTIF($A$2:$A$3000, O2163)</f>
        <v>2</v>
      </c>
      <c r="Q2163" s="16" t="str">
        <f aca="false">IF(OR(B2163=-1,I2163=0, P2163&lt;&gt;2), "albhed_dummy", _xlfn.CONCAT("albhed ", RIGHT("  " &amp; K2163,2),", ", RIGHT("  " &amp; L2163,2), ", " ,"""",H2163,""", ", """",N2163,""", ","""",O2163,""""," ; ", A2163))</f>
        <v>albhed 25,  2, "무", "푸", "마" ; 팜</v>
      </c>
    </row>
    <row r="2164" customFormat="false" ht="17.9" hidden="false" customHeight="true" outlineLevel="0" collapsed="false">
      <c r="A2164" s="16" t="s">
        <v>3009</v>
      </c>
      <c r="B2164" s="16" t="n">
        <f aca="false">IF(_xlfn.UNICODE(A2164)&lt;44032,-1,_xlfn.UNICODE(A2164)-44032)</f>
        <v>10013</v>
      </c>
      <c r="C2164" s="16" t="n">
        <f aca="false">IF(B2164=-1,-1,INT((B2164/28)/21))</f>
        <v>17</v>
      </c>
      <c r="D2164" s="16" t="n">
        <f aca="false">IF(B2164=-1, -1, MOD(INT(B2164/28),21))</f>
        <v>0</v>
      </c>
      <c r="E2164" s="16" t="n">
        <f aca="false">IF(B2164=-1, -1, VLOOKUP(MOD(B2164,28), $T$24:$U$52,2))</f>
        <v>17</v>
      </c>
      <c r="F2164" s="16" t="n">
        <f aca="false">IF($B2164=-1, -1, VLOOKUP(C2164,$T$1:$V$20, 2))</f>
        <v>6</v>
      </c>
      <c r="G2164" s="16" t="n">
        <f aca="false">IF($B2164=-1, -1, VLOOKUP(D2164,$Y$1:$Z$22,2))</f>
        <v>13</v>
      </c>
      <c r="H2164" s="16" t="str">
        <f aca="false">_xlfn.UNICHAR(((F2164*21)+G2164)*28+44032)</f>
        <v>무</v>
      </c>
      <c r="I2164" s="16" t="n">
        <f aca="false">IF(B2164=-1, 1, COUNTIF($A$2:$A$3000, H2164))</f>
        <v>1</v>
      </c>
      <c r="J2164" s="10" t="str">
        <f aca="false">_xlfn.CONCAT(A2164, ",",H2164,",",I2164)</f>
        <v>팝,무,1</v>
      </c>
      <c r="K2164" s="16" t="n">
        <f aca="false">IF(B2164=-1,-1,VLOOKUP(C2164,$T$1:$V$20,3))</f>
        <v>25</v>
      </c>
      <c r="L2164" s="16" t="n">
        <f aca="false">IF(B2164=-1,-1,VLOOKUP(D2164,$Y$1:$AA$22,3))</f>
        <v>2</v>
      </c>
      <c r="N2164" s="10" t="str">
        <f aca="false">_xlfn.UNICHAR(((C2164*21)+G2164)*28+44032)</f>
        <v>푸</v>
      </c>
      <c r="O2164" s="10" t="str">
        <f aca="false">_xlfn.UNICHAR(((F2164*21)+D2164)*28+44032)</f>
        <v>마</v>
      </c>
      <c r="P2164" s="12" t="n">
        <f aca="false">COUNTIF($A$2:$A$3000, N2164) + COUNTIF($A$2:$A$3000, O2164)</f>
        <v>2</v>
      </c>
      <c r="Q2164" s="16" t="str">
        <f aca="false">IF(OR(B2164=-1,I2164=0, P2164&lt;&gt;2), "albhed_dummy", _xlfn.CONCAT("albhed ", RIGHT("  " &amp; K2164,2),", ", RIGHT("  " &amp; L2164,2), ", " ,"""",H2164,""", ", """",N2164,""", ","""",O2164,""""," ; ", A2164))</f>
        <v>albhed 25,  2, "무", "푸", "마" ; 팝</v>
      </c>
    </row>
    <row r="2165" customFormat="false" ht="17.9" hidden="false" customHeight="true" outlineLevel="0" collapsed="false">
      <c r="A2165" s="16" t="s">
        <v>3010</v>
      </c>
      <c r="B2165" s="16" t="n">
        <f aca="false">IF(_xlfn.UNICODE(A2165)&lt;44032,-1,_xlfn.UNICODE(A2165)-44032)</f>
        <v>10015</v>
      </c>
      <c r="C2165" s="16" t="n">
        <f aca="false">IF(B2165=-1,-1,INT((B2165/28)/21))</f>
        <v>17</v>
      </c>
      <c r="D2165" s="16" t="n">
        <f aca="false">IF(B2165=-1, -1, MOD(INT(B2165/28),21))</f>
        <v>0</v>
      </c>
      <c r="E2165" s="16" t="n">
        <f aca="false">IF(B2165=-1, -1, VLOOKUP(MOD(B2165,28), $T$24:$U$52,2))</f>
        <v>19</v>
      </c>
      <c r="F2165" s="16" t="n">
        <f aca="false">IF($B2165=-1, -1, VLOOKUP(C2165,$T$1:$V$20, 2))</f>
        <v>6</v>
      </c>
      <c r="G2165" s="16" t="n">
        <f aca="false">IF($B2165=-1, -1, VLOOKUP(D2165,$Y$1:$Z$22,2))</f>
        <v>13</v>
      </c>
      <c r="H2165" s="16" t="str">
        <f aca="false">_xlfn.UNICHAR(((F2165*21)+G2165)*28+44032)</f>
        <v>무</v>
      </c>
      <c r="I2165" s="16" t="n">
        <f aca="false">IF(B2165=-1, 1, COUNTIF($A$2:$A$3000, H2165))</f>
        <v>1</v>
      </c>
      <c r="J2165" s="10" t="str">
        <f aca="false">_xlfn.CONCAT(A2165, ",",H2165,",",I2165)</f>
        <v>팟,무,1</v>
      </c>
      <c r="K2165" s="16" t="n">
        <f aca="false">IF(B2165=-1,-1,VLOOKUP(C2165,$T$1:$V$20,3))</f>
        <v>25</v>
      </c>
      <c r="L2165" s="16" t="n">
        <f aca="false">IF(B2165=-1,-1,VLOOKUP(D2165,$Y$1:$AA$22,3))</f>
        <v>2</v>
      </c>
      <c r="N2165" s="10" t="str">
        <f aca="false">_xlfn.UNICHAR(((C2165*21)+G2165)*28+44032)</f>
        <v>푸</v>
      </c>
      <c r="O2165" s="10" t="str">
        <f aca="false">_xlfn.UNICHAR(((F2165*21)+D2165)*28+44032)</f>
        <v>마</v>
      </c>
      <c r="P2165" s="12" t="n">
        <f aca="false">COUNTIF($A$2:$A$3000, N2165) + COUNTIF($A$2:$A$3000, O2165)</f>
        <v>2</v>
      </c>
      <c r="Q2165" s="16" t="str">
        <f aca="false">IF(OR(B2165=-1,I2165=0, P2165&lt;&gt;2), "albhed_dummy", _xlfn.CONCAT("albhed ", RIGHT("  " &amp; K2165,2),", ", RIGHT("  " &amp; L2165,2), ", " ,"""",H2165,""", ", """",N2165,""", ","""",O2165,""""," ; ", A2165))</f>
        <v>albhed 25,  2, "무", "푸", "마" ; 팟</v>
      </c>
    </row>
    <row r="2166" customFormat="false" ht="17.9" hidden="false" customHeight="true" outlineLevel="0" collapsed="false">
      <c r="A2166" s="16" t="s">
        <v>3011</v>
      </c>
      <c r="B2166" s="16" t="n">
        <f aca="false">IF(_xlfn.UNICODE(A2166)&lt;44032,-1,_xlfn.UNICODE(A2166)-44032)</f>
        <v>10016</v>
      </c>
      <c r="C2166" s="16" t="n">
        <f aca="false">IF(B2166=-1,-1,INT((B2166/28)/21))</f>
        <v>17</v>
      </c>
      <c r="D2166" s="16" t="n">
        <f aca="false">IF(B2166=-1, -1, MOD(INT(B2166/28),21))</f>
        <v>0</v>
      </c>
      <c r="E2166" s="16" t="n">
        <f aca="false">IF(B2166=-1, -1, VLOOKUP(MOD(B2166,28), $T$24:$U$52,2))</f>
        <v>19</v>
      </c>
      <c r="F2166" s="16" t="n">
        <f aca="false">IF($B2166=-1, -1, VLOOKUP(C2166,$T$1:$V$20, 2))</f>
        <v>6</v>
      </c>
      <c r="G2166" s="16" t="n">
        <f aca="false">IF($B2166=-1, -1, VLOOKUP(D2166,$Y$1:$Z$22,2))</f>
        <v>13</v>
      </c>
      <c r="H2166" s="16" t="str">
        <f aca="false">_xlfn.UNICHAR(((F2166*21)+G2166)*28+44032)</f>
        <v>무</v>
      </c>
      <c r="I2166" s="16" t="n">
        <f aca="false">IF(B2166=-1, 1, COUNTIF($A$2:$A$3000, H2166))</f>
        <v>1</v>
      </c>
      <c r="J2166" s="10" t="str">
        <f aca="false">_xlfn.CONCAT(A2166, ",",H2166,",",I2166)</f>
        <v>팠,무,1</v>
      </c>
      <c r="K2166" s="16" t="n">
        <f aca="false">IF(B2166=-1,-1,VLOOKUP(C2166,$T$1:$V$20,3))</f>
        <v>25</v>
      </c>
      <c r="L2166" s="16" t="n">
        <f aca="false">IF(B2166=-1,-1,VLOOKUP(D2166,$Y$1:$AA$22,3))</f>
        <v>2</v>
      </c>
      <c r="N2166" s="10" t="str">
        <f aca="false">_xlfn.UNICHAR(((C2166*21)+G2166)*28+44032)</f>
        <v>푸</v>
      </c>
      <c r="O2166" s="10" t="str">
        <f aca="false">_xlfn.UNICHAR(((F2166*21)+D2166)*28+44032)</f>
        <v>마</v>
      </c>
      <c r="P2166" s="12" t="n">
        <f aca="false">COUNTIF($A$2:$A$3000, N2166) + COUNTIF($A$2:$A$3000, O2166)</f>
        <v>2</v>
      </c>
      <c r="Q2166" s="16" t="str">
        <f aca="false">IF(OR(B2166=-1,I2166=0, P2166&lt;&gt;2), "albhed_dummy", _xlfn.CONCAT("albhed ", RIGHT("  " &amp; K2166,2),", ", RIGHT("  " &amp; L2166,2), ", " ,"""",H2166,""", ", """",N2166,""", ","""",O2166,""""," ; ", A2166))</f>
        <v>albhed 25,  2, "무", "푸", "마" ; 팠</v>
      </c>
    </row>
    <row r="2167" customFormat="false" ht="17.9" hidden="false" customHeight="true" outlineLevel="0" collapsed="false">
      <c r="A2167" s="16" t="s">
        <v>3012</v>
      </c>
      <c r="B2167" s="16" t="n">
        <f aca="false">IF(_xlfn.UNICODE(A2167)&lt;44032,-1,_xlfn.UNICODE(A2167)-44032)</f>
        <v>10017</v>
      </c>
      <c r="C2167" s="16" t="n">
        <f aca="false">IF(B2167=-1,-1,INT((B2167/28)/21))</f>
        <v>17</v>
      </c>
      <c r="D2167" s="16" t="n">
        <f aca="false">IF(B2167=-1, -1, MOD(INT(B2167/28),21))</f>
        <v>0</v>
      </c>
      <c r="E2167" s="16" t="n">
        <f aca="false">IF(B2167=-1, -1, VLOOKUP(MOD(B2167,28), $T$24:$U$52,2))</f>
        <v>21</v>
      </c>
      <c r="F2167" s="16" t="n">
        <f aca="false">IF($B2167=-1, -1, VLOOKUP(C2167,$T$1:$V$20, 2))</f>
        <v>6</v>
      </c>
      <c r="G2167" s="16" t="n">
        <f aca="false">IF($B2167=-1, -1, VLOOKUP(D2167,$Y$1:$Z$22,2))</f>
        <v>13</v>
      </c>
      <c r="H2167" s="16" t="str">
        <f aca="false">_xlfn.UNICHAR(((F2167*21)+G2167)*28+44032)</f>
        <v>무</v>
      </c>
      <c r="I2167" s="16" t="n">
        <f aca="false">IF(B2167=-1, 1, COUNTIF($A$2:$A$3000, H2167))</f>
        <v>1</v>
      </c>
      <c r="J2167" s="10" t="str">
        <f aca="false">_xlfn.CONCAT(A2167, ",",H2167,",",I2167)</f>
        <v>팡,무,1</v>
      </c>
      <c r="K2167" s="16" t="n">
        <f aca="false">IF(B2167=-1,-1,VLOOKUP(C2167,$T$1:$V$20,3))</f>
        <v>25</v>
      </c>
      <c r="L2167" s="16" t="n">
        <f aca="false">IF(B2167=-1,-1,VLOOKUP(D2167,$Y$1:$AA$22,3))</f>
        <v>2</v>
      </c>
      <c r="N2167" s="10" t="str">
        <f aca="false">_xlfn.UNICHAR(((C2167*21)+G2167)*28+44032)</f>
        <v>푸</v>
      </c>
      <c r="O2167" s="10" t="str">
        <f aca="false">_xlfn.UNICHAR(((F2167*21)+D2167)*28+44032)</f>
        <v>마</v>
      </c>
      <c r="P2167" s="12" t="n">
        <f aca="false">COUNTIF($A$2:$A$3000, N2167) + COUNTIF($A$2:$A$3000, O2167)</f>
        <v>2</v>
      </c>
      <c r="Q2167" s="16" t="str">
        <f aca="false">IF(OR(B2167=-1,I2167=0, P2167&lt;&gt;2), "albhed_dummy", _xlfn.CONCAT("albhed ", RIGHT("  " &amp; K2167,2),", ", RIGHT("  " &amp; L2167,2), ", " ,"""",H2167,""", ", """",N2167,""", ","""",O2167,""""," ; ", A2167))</f>
        <v>albhed 25,  2, "무", "푸", "마" ; 팡</v>
      </c>
    </row>
    <row r="2168" customFormat="false" ht="17.9" hidden="false" customHeight="true" outlineLevel="0" collapsed="false">
      <c r="A2168" s="16" t="s">
        <v>3013</v>
      </c>
      <c r="B2168" s="16" t="n">
        <f aca="false">IF(_xlfn.UNICODE(A2168)&lt;44032,-1,_xlfn.UNICODE(A2168)-44032)</f>
        <v>10021</v>
      </c>
      <c r="C2168" s="16" t="n">
        <f aca="false">IF(B2168=-1,-1,INT((B2168/28)/21))</f>
        <v>17</v>
      </c>
      <c r="D2168" s="16" t="n">
        <f aca="false">IF(B2168=-1, -1, MOD(INT(B2168/28),21))</f>
        <v>0</v>
      </c>
      <c r="E2168" s="16" t="n">
        <f aca="false">IF(B2168=-1, -1, VLOOKUP(MOD(B2168,28), $T$24:$U$52,2))</f>
        <v>19</v>
      </c>
      <c r="F2168" s="16" t="n">
        <f aca="false">IF($B2168=-1, -1, VLOOKUP(C2168,$T$1:$V$20, 2))</f>
        <v>6</v>
      </c>
      <c r="G2168" s="16" t="n">
        <f aca="false">IF($B2168=-1, -1, VLOOKUP(D2168,$Y$1:$Z$22,2))</f>
        <v>13</v>
      </c>
      <c r="H2168" s="16" t="str">
        <f aca="false">_xlfn.UNICHAR(((F2168*21)+G2168)*28+44032)</f>
        <v>무</v>
      </c>
      <c r="I2168" s="16" t="n">
        <f aca="false">IF(B2168=-1, 1, COUNTIF($A$2:$A$3000, H2168))</f>
        <v>1</v>
      </c>
      <c r="J2168" s="10" t="str">
        <f aca="false">_xlfn.CONCAT(A2168, ",",H2168,",",I2168)</f>
        <v>팥,무,1</v>
      </c>
      <c r="K2168" s="16" t="n">
        <f aca="false">IF(B2168=-1,-1,VLOOKUP(C2168,$T$1:$V$20,3))</f>
        <v>25</v>
      </c>
      <c r="L2168" s="16" t="n">
        <f aca="false">IF(B2168=-1,-1,VLOOKUP(D2168,$Y$1:$AA$22,3))</f>
        <v>2</v>
      </c>
      <c r="N2168" s="10" t="str">
        <f aca="false">_xlfn.UNICHAR(((C2168*21)+G2168)*28+44032)</f>
        <v>푸</v>
      </c>
      <c r="O2168" s="10" t="str">
        <f aca="false">_xlfn.UNICHAR(((F2168*21)+D2168)*28+44032)</f>
        <v>마</v>
      </c>
      <c r="P2168" s="12" t="n">
        <f aca="false">COUNTIF($A$2:$A$3000, N2168) + COUNTIF($A$2:$A$3000, O2168)</f>
        <v>2</v>
      </c>
      <c r="Q2168" s="16" t="str">
        <f aca="false">IF(OR(B2168=-1,I2168=0, P2168&lt;&gt;2), "albhed_dummy", _xlfn.CONCAT("albhed ", RIGHT("  " &amp; K2168,2),", ", RIGHT("  " &amp; L2168,2), ", " ,"""",H2168,""", ", """",N2168,""", ","""",O2168,""""," ; ", A2168))</f>
        <v>albhed 25,  2, "무", "푸", "마" ; 팥</v>
      </c>
    </row>
    <row r="2169" customFormat="false" ht="17.9" hidden="false" customHeight="true" outlineLevel="0" collapsed="false">
      <c r="A2169" s="16" t="s">
        <v>3014</v>
      </c>
      <c r="B2169" s="16" t="n">
        <f aca="false">IF(_xlfn.UNICODE(A2169)&lt;44032,-1,_xlfn.UNICODE(A2169)-44032)</f>
        <v>10024</v>
      </c>
      <c r="C2169" s="16" t="n">
        <f aca="false">IF(B2169=-1,-1,INT((B2169/28)/21))</f>
        <v>17</v>
      </c>
      <c r="D2169" s="16" t="n">
        <f aca="false">IF(B2169=-1, -1, MOD(INT(B2169/28),21))</f>
        <v>1</v>
      </c>
      <c r="E2169" s="16" t="n">
        <f aca="false">IF(B2169=-1, -1, VLOOKUP(MOD(B2169,28), $T$24:$U$52,2))</f>
        <v>0</v>
      </c>
      <c r="F2169" s="16" t="n">
        <f aca="false">IF($B2169=-1, -1, VLOOKUP(C2169,$T$1:$V$20, 2))</f>
        <v>6</v>
      </c>
      <c r="G2169" s="16" t="n">
        <f aca="false">IF($B2169=-1, -1, VLOOKUP(D2169,$Y$1:$Z$22,2))</f>
        <v>18</v>
      </c>
      <c r="H2169" s="16" t="str">
        <f aca="false">_xlfn.UNICHAR(((F2169*21)+G2169)*28+44032)</f>
        <v>므</v>
      </c>
      <c r="I2169" s="16" t="n">
        <f aca="false">IF(B2169=-1, 1, COUNTIF($A$2:$A$3000, H2169))</f>
        <v>1</v>
      </c>
      <c r="J2169" s="10" t="str">
        <f aca="false">_xlfn.CONCAT(A2169, ",",H2169,",",I2169)</f>
        <v>패,므,1</v>
      </c>
      <c r="K2169" s="16" t="n">
        <f aca="false">IF(B2169=-1,-1,VLOOKUP(C2169,$T$1:$V$20,3))</f>
        <v>25</v>
      </c>
      <c r="L2169" s="16" t="n">
        <f aca="false">IF(B2169=-1,-1,VLOOKUP(D2169,$Y$1:$AA$22,3))</f>
        <v>10</v>
      </c>
      <c r="N2169" s="10" t="str">
        <f aca="false">_xlfn.UNICHAR(((C2169*21)+G2169)*28+44032)</f>
        <v>프</v>
      </c>
      <c r="O2169" s="10" t="str">
        <f aca="false">_xlfn.UNICHAR(((F2169*21)+D2169)*28+44032)</f>
        <v>매</v>
      </c>
      <c r="P2169" s="12" t="n">
        <f aca="false">COUNTIF($A$2:$A$3000, N2169) + COUNTIF($A$2:$A$3000, O2169)</f>
        <v>2</v>
      </c>
      <c r="Q2169" s="16" t="str">
        <f aca="false">IF(OR(B2169=-1,I2169=0, P2169&lt;&gt;2), "albhed_dummy", _xlfn.CONCAT("albhed ", RIGHT("  " &amp; K2169,2),", ", RIGHT("  " &amp; L2169,2), ", " ,"""",H2169,""", ", """",N2169,""", ","""",O2169,""""," ; ", A2169))</f>
        <v>albhed 25, 10, "므", "프", "매" ; 패</v>
      </c>
    </row>
    <row r="2170" customFormat="false" ht="17.9" hidden="false" customHeight="true" outlineLevel="0" collapsed="false">
      <c r="A2170" s="16" t="s">
        <v>3015</v>
      </c>
      <c r="B2170" s="16" t="n">
        <f aca="false">IF(_xlfn.UNICODE(A2170)&lt;44032,-1,_xlfn.UNICODE(A2170)-44032)</f>
        <v>10025</v>
      </c>
      <c r="C2170" s="16" t="n">
        <f aca="false">IF(B2170=-1,-1,INT((B2170/28)/21))</f>
        <v>17</v>
      </c>
      <c r="D2170" s="16" t="n">
        <f aca="false">IF(B2170=-1, -1, MOD(INT(B2170/28),21))</f>
        <v>1</v>
      </c>
      <c r="E2170" s="16" t="n">
        <f aca="false">IF(B2170=-1, -1, VLOOKUP(MOD(B2170,28), $T$24:$U$52,2))</f>
        <v>1</v>
      </c>
      <c r="F2170" s="16" t="n">
        <f aca="false">IF($B2170=-1, -1, VLOOKUP(C2170,$T$1:$V$20, 2))</f>
        <v>6</v>
      </c>
      <c r="G2170" s="16" t="n">
        <f aca="false">IF($B2170=-1, -1, VLOOKUP(D2170,$Y$1:$Z$22,2))</f>
        <v>18</v>
      </c>
      <c r="H2170" s="16" t="str">
        <f aca="false">_xlfn.UNICHAR(((F2170*21)+G2170)*28+44032)</f>
        <v>므</v>
      </c>
      <c r="I2170" s="16" t="n">
        <f aca="false">IF(B2170=-1, 1, COUNTIF($A$2:$A$3000, H2170))</f>
        <v>1</v>
      </c>
      <c r="J2170" s="10" t="str">
        <f aca="false">_xlfn.CONCAT(A2170, ",",H2170,",",I2170)</f>
        <v>팩,므,1</v>
      </c>
      <c r="K2170" s="16" t="n">
        <f aca="false">IF(B2170=-1,-1,VLOOKUP(C2170,$T$1:$V$20,3))</f>
        <v>25</v>
      </c>
      <c r="L2170" s="16" t="n">
        <f aca="false">IF(B2170=-1,-1,VLOOKUP(D2170,$Y$1:$AA$22,3))</f>
        <v>10</v>
      </c>
      <c r="N2170" s="10" t="str">
        <f aca="false">_xlfn.UNICHAR(((C2170*21)+G2170)*28+44032)</f>
        <v>프</v>
      </c>
      <c r="O2170" s="10" t="str">
        <f aca="false">_xlfn.UNICHAR(((F2170*21)+D2170)*28+44032)</f>
        <v>매</v>
      </c>
      <c r="P2170" s="12" t="n">
        <f aca="false">COUNTIF($A$2:$A$3000, N2170) + COUNTIF($A$2:$A$3000, O2170)</f>
        <v>2</v>
      </c>
      <c r="Q2170" s="16" t="str">
        <f aca="false">IF(OR(B2170=-1,I2170=0, P2170&lt;&gt;2), "albhed_dummy", _xlfn.CONCAT("albhed ", RIGHT("  " &amp; K2170,2),", ", RIGHT("  " &amp; L2170,2), ", " ,"""",H2170,""", ", """",N2170,""", ","""",O2170,""""," ; ", A2170))</f>
        <v>albhed 25, 10, "므", "프", "매" ; 팩</v>
      </c>
    </row>
    <row r="2171" customFormat="false" ht="17.9" hidden="false" customHeight="true" outlineLevel="0" collapsed="false">
      <c r="A2171" s="16" t="s">
        <v>3016</v>
      </c>
      <c r="B2171" s="16" t="n">
        <f aca="false">IF(_xlfn.UNICODE(A2171)&lt;44032,-1,_xlfn.UNICODE(A2171)-44032)</f>
        <v>10028</v>
      </c>
      <c r="C2171" s="16" t="n">
        <f aca="false">IF(B2171=-1,-1,INT((B2171/28)/21))</f>
        <v>17</v>
      </c>
      <c r="D2171" s="16" t="n">
        <f aca="false">IF(B2171=-1, -1, MOD(INT(B2171/28),21))</f>
        <v>1</v>
      </c>
      <c r="E2171" s="16" t="n">
        <f aca="false">IF(B2171=-1, -1, VLOOKUP(MOD(B2171,28), $T$24:$U$52,2))</f>
        <v>4</v>
      </c>
      <c r="F2171" s="16" t="n">
        <f aca="false">IF($B2171=-1, -1, VLOOKUP(C2171,$T$1:$V$20, 2))</f>
        <v>6</v>
      </c>
      <c r="G2171" s="16" t="n">
        <f aca="false">IF($B2171=-1, -1, VLOOKUP(D2171,$Y$1:$Z$22,2))</f>
        <v>18</v>
      </c>
      <c r="H2171" s="16" t="str">
        <f aca="false">_xlfn.UNICHAR(((F2171*21)+G2171)*28+44032)</f>
        <v>므</v>
      </c>
      <c r="I2171" s="16" t="n">
        <f aca="false">IF(B2171=-1, 1, COUNTIF($A$2:$A$3000, H2171))</f>
        <v>1</v>
      </c>
      <c r="J2171" s="10" t="str">
        <f aca="false">_xlfn.CONCAT(A2171, ",",H2171,",",I2171)</f>
        <v>팬,므,1</v>
      </c>
      <c r="K2171" s="16" t="n">
        <f aca="false">IF(B2171=-1,-1,VLOOKUP(C2171,$T$1:$V$20,3))</f>
        <v>25</v>
      </c>
      <c r="L2171" s="16" t="n">
        <f aca="false">IF(B2171=-1,-1,VLOOKUP(D2171,$Y$1:$AA$22,3))</f>
        <v>10</v>
      </c>
      <c r="N2171" s="10" t="str">
        <f aca="false">_xlfn.UNICHAR(((C2171*21)+G2171)*28+44032)</f>
        <v>프</v>
      </c>
      <c r="O2171" s="10" t="str">
        <f aca="false">_xlfn.UNICHAR(((F2171*21)+D2171)*28+44032)</f>
        <v>매</v>
      </c>
      <c r="P2171" s="12" t="n">
        <f aca="false">COUNTIF($A$2:$A$3000, N2171) + COUNTIF($A$2:$A$3000, O2171)</f>
        <v>2</v>
      </c>
      <c r="Q2171" s="16" t="str">
        <f aca="false">IF(OR(B2171=-1,I2171=0, P2171&lt;&gt;2), "albhed_dummy", _xlfn.CONCAT("albhed ", RIGHT("  " &amp; K2171,2),", ", RIGHT("  " &amp; L2171,2), ", " ,"""",H2171,""", ", """",N2171,""", ","""",O2171,""""," ; ", A2171))</f>
        <v>albhed 25, 10, "므", "프", "매" ; 팬</v>
      </c>
    </row>
    <row r="2172" customFormat="false" ht="17.9" hidden="false" customHeight="true" outlineLevel="0" collapsed="false">
      <c r="A2172" s="16" t="s">
        <v>3017</v>
      </c>
      <c r="B2172" s="16" t="n">
        <f aca="false">IF(_xlfn.UNICODE(A2172)&lt;44032,-1,_xlfn.UNICODE(A2172)-44032)</f>
        <v>10032</v>
      </c>
      <c r="C2172" s="16" t="n">
        <f aca="false">IF(B2172=-1,-1,INT((B2172/28)/21))</f>
        <v>17</v>
      </c>
      <c r="D2172" s="16" t="n">
        <f aca="false">IF(B2172=-1, -1, MOD(INT(B2172/28),21))</f>
        <v>1</v>
      </c>
      <c r="E2172" s="16" t="n">
        <f aca="false">IF(B2172=-1, -1, VLOOKUP(MOD(B2172,28), $T$24:$U$52,2))</f>
        <v>8</v>
      </c>
      <c r="F2172" s="16" t="n">
        <f aca="false">IF($B2172=-1, -1, VLOOKUP(C2172,$T$1:$V$20, 2))</f>
        <v>6</v>
      </c>
      <c r="G2172" s="16" t="n">
        <f aca="false">IF($B2172=-1, -1, VLOOKUP(D2172,$Y$1:$Z$22,2))</f>
        <v>18</v>
      </c>
      <c r="H2172" s="16" t="str">
        <f aca="false">_xlfn.UNICHAR(((F2172*21)+G2172)*28+44032)</f>
        <v>므</v>
      </c>
      <c r="I2172" s="16" t="n">
        <f aca="false">IF(B2172=-1, 1, COUNTIF($A$2:$A$3000, H2172))</f>
        <v>1</v>
      </c>
      <c r="J2172" s="10" t="str">
        <f aca="false">_xlfn.CONCAT(A2172, ",",H2172,",",I2172)</f>
        <v>팰,므,1</v>
      </c>
      <c r="K2172" s="16" t="n">
        <f aca="false">IF(B2172=-1,-1,VLOOKUP(C2172,$T$1:$V$20,3))</f>
        <v>25</v>
      </c>
      <c r="L2172" s="16" t="n">
        <f aca="false">IF(B2172=-1,-1,VLOOKUP(D2172,$Y$1:$AA$22,3))</f>
        <v>10</v>
      </c>
      <c r="N2172" s="10" t="str">
        <f aca="false">_xlfn.UNICHAR(((C2172*21)+G2172)*28+44032)</f>
        <v>프</v>
      </c>
      <c r="O2172" s="10" t="str">
        <f aca="false">_xlfn.UNICHAR(((F2172*21)+D2172)*28+44032)</f>
        <v>매</v>
      </c>
      <c r="P2172" s="12" t="n">
        <f aca="false">COUNTIF($A$2:$A$3000, N2172) + COUNTIF($A$2:$A$3000, O2172)</f>
        <v>2</v>
      </c>
      <c r="Q2172" s="16" t="str">
        <f aca="false">IF(OR(B2172=-1,I2172=0, P2172&lt;&gt;2), "albhed_dummy", _xlfn.CONCAT("albhed ", RIGHT("  " &amp; K2172,2),", ", RIGHT("  " &amp; L2172,2), ", " ,"""",H2172,""", ", """",N2172,""", ","""",O2172,""""," ; ", A2172))</f>
        <v>albhed 25, 10, "므", "프", "매" ; 팰</v>
      </c>
    </row>
    <row r="2173" customFormat="false" ht="17.9" hidden="false" customHeight="true" outlineLevel="0" collapsed="false">
      <c r="A2173" s="16" t="s">
        <v>3018</v>
      </c>
      <c r="B2173" s="16" t="n">
        <f aca="false">IF(_xlfn.UNICODE(A2173)&lt;44032,-1,_xlfn.UNICODE(A2173)-44032)</f>
        <v>10040</v>
      </c>
      <c r="C2173" s="16" t="n">
        <f aca="false">IF(B2173=-1,-1,INT((B2173/28)/21))</f>
        <v>17</v>
      </c>
      <c r="D2173" s="16" t="n">
        <f aca="false">IF(B2173=-1, -1, MOD(INT(B2173/28),21))</f>
        <v>1</v>
      </c>
      <c r="E2173" s="16" t="n">
        <f aca="false">IF(B2173=-1, -1, VLOOKUP(MOD(B2173,28), $T$24:$U$52,2))</f>
        <v>16</v>
      </c>
      <c r="F2173" s="16" t="n">
        <f aca="false">IF($B2173=-1, -1, VLOOKUP(C2173,$T$1:$V$20, 2))</f>
        <v>6</v>
      </c>
      <c r="G2173" s="16" t="n">
        <f aca="false">IF($B2173=-1, -1, VLOOKUP(D2173,$Y$1:$Z$22,2))</f>
        <v>18</v>
      </c>
      <c r="H2173" s="16" t="str">
        <f aca="false">_xlfn.UNICHAR(((F2173*21)+G2173)*28+44032)</f>
        <v>므</v>
      </c>
      <c r="I2173" s="16" t="n">
        <f aca="false">IF(B2173=-1, 1, COUNTIF($A$2:$A$3000, H2173))</f>
        <v>1</v>
      </c>
      <c r="J2173" s="10" t="str">
        <f aca="false">_xlfn.CONCAT(A2173, ",",H2173,",",I2173)</f>
        <v>팸,므,1</v>
      </c>
      <c r="K2173" s="16" t="n">
        <f aca="false">IF(B2173=-1,-1,VLOOKUP(C2173,$T$1:$V$20,3))</f>
        <v>25</v>
      </c>
      <c r="L2173" s="16" t="n">
        <f aca="false">IF(B2173=-1,-1,VLOOKUP(D2173,$Y$1:$AA$22,3))</f>
        <v>10</v>
      </c>
      <c r="N2173" s="10" t="str">
        <f aca="false">_xlfn.UNICHAR(((C2173*21)+G2173)*28+44032)</f>
        <v>프</v>
      </c>
      <c r="O2173" s="10" t="str">
        <f aca="false">_xlfn.UNICHAR(((F2173*21)+D2173)*28+44032)</f>
        <v>매</v>
      </c>
      <c r="P2173" s="12" t="n">
        <f aca="false">COUNTIF($A$2:$A$3000, N2173) + COUNTIF($A$2:$A$3000, O2173)</f>
        <v>2</v>
      </c>
      <c r="Q2173" s="16" t="str">
        <f aca="false">IF(OR(B2173=-1,I2173=0, P2173&lt;&gt;2), "albhed_dummy", _xlfn.CONCAT("albhed ", RIGHT("  " &amp; K2173,2),", ", RIGHT("  " &amp; L2173,2), ", " ,"""",H2173,""", ", """",N2173,""", ","""",O2173,""""," ; ", A2173))</f>
        <v>albhed 25, 10, "므", "프", "매" ; 팸</v>
      </c>
    </row>
    <row r="2174" customFormat="false" ht="17.9" hidden="false" customHeight="true" outlineLevel="0" collapsed="false">
      <c r="A2174" s="16" t="s">
        <v>3019</v>
      </c>
      <c r="B2174" s="16" t="n">
        <f aca="false">IF(_xlfn.UNICODE(A2174)&lt;44032,-1,_xlfn.UNICODE(A2174)-44032)</f>
        <v>10041</v>
      </c>
      <c r="C2174" s="16" t="n">
        <f aca="false">IF(B2174=-1,-1,INT((B2174/28)/21))</f>
        <v>17</v>
      </c>
      <c r="D2174" s="16" t="n">
        <f aca="false">IF(B2174=-1, -1, MOD(INT(B2174/28),21))</f>
        <v>1</v>
      </c>
      <c r="E2174" s="16" t="n">
        <f aca="false">IF(B2174=-1, -1, VLOOKUP(MOD(B2174,28), $T$24:$U$52,2))</f>
        <v>17</v>
      </c>
      <c r="F2174" s="16" t="n">
        <f aca="false">IF($B2174=-1, -1, VLOOKUP(C2174,$T$1:$V$20, 2))</f>
        <v>6</v>
      </c>
      <c r="G2174" s="16" t="n">
        <f aca="false">IF($B2174=-1, -1, VLOOKUP(D2174,$Y$1:$Z$22,2))</f>
        <v>18</v>
      </c>
      <c r="H2174" s="16" t="str">
        <f aca="false">_xlfn.UNICHAR(((F2174*21)+G2174)*28+44032)</f>
        <v>므</v>
      </c>
      <c r="I2174" s="16" t="n">
        <f aca="false">IF(B2174=-1, 1, COUNTIF($A$2:$A$3000, H2174))</f>
        <v>1</v>
      </c>
      <c r="J2174" s="10" t="str">
        <f aca="false">_xlfn.CONCAT(A2174, ",",H2174,",",I2174)</f>
        <v>팹,므,1</v>
      </c>
      <c r="K2174" s="16" t="n">
        <f aca="false">IF(B2174=-1,-1,VLOOKUP(C2174,$T$1:$V$20,3))</f>
        <v>25</v>
      </c>
      <c r="L2174" s="16" t="n">
        <f aca="false">IF(B2174=-1,-1,VLOOKUP(D2174,$Y$1:$AA$22,3))</f>
        <v>10</v>
      </c>
      <c r="N2174" s="10" t="str">
        <f aca="false">_xlfn.UNICHAR(((C2174*21)+G2174)*28+44032)</f>
        <v>프</v>
      </c>
      <c r="O2174" s="10" t="str">
        <f aca="false">_xlfn.UNICHAR(((F2174*21)+D2174)*28+44032)</f>
        <v>매</v>
      </c>
      <c r="P2174" s="12" t="n">
        <f aca="false">COUNTIF($A$2:$A$3000, N2174) + COUNTIF($A$2:$A$3000, O2174)</f>
        <v>2</v>
      </c>
      <c r="Q2174" s="16" t="str">
        <f aca="false">IF(OR(B2174=-1,I2174=0, P2174&lt;&gt;2), "albhed_dummy", _xlfn.CONCAT("albhed ", RIGHT("  " &amp; K2174,2),", ", RIGHT("  " &amp; L2174,2), ", " ,"""",H2174,""", ", """",N2174,""", ","""",O2174,""""," ; ", A2174))</f>
        <v>albhed 25, 10, "므", "프", "매" ; 팹</v>
      </c>
    </row>
    <row r="2175" customFormat="false" ht="17.9" hidden="false" customHeight="true" outlineLevel="0" collapsed="false">
      <c r="A2175" s="16" t="s">
        <v>3020</v>
      </c>
      <c r="B2175" s="16" t="n">
        <f aca="false">IF(_xlfn.UNICODE(A2175)&lt;44032,-1,_xlfn.UNICODE(A2175)-44032)</f>
        <v>10043</v>
      </c>
      <c r="C2175" s="16" t="n">
        <f aca="false">IF(B2175=-1,-1,INT((B2175/28)/21))</f>
        <v>17</v>
      </c>
      <c r="D2175" s="16" t="n">
        <f aca="false">IF(B2175=-1, -1, MOD(INT(B2175/28),21))</f>
        <v>1</v>
      </c>
      <c r="E2175" s="16" t="n">
        <f aca="false">IF(B2175=-1, -1, VLOOKUP(MOD(B2175,28), $T$24:$U$52,2))</f>
        <v>19</v>
      </c>
      <c r="F2175" s="16" t="n">
        <f aca="false">IF($B2175=-1, -1, VLOOKUP(C2175,$T$1:$V$20, 2))</f>
        <v>6</v>
      </c>
      <c r="G2175" s="16" t="n">
        <f aca="false">IF($B2175=-1, -1, VLOOKUP(D2175,$Y$1:$Z$22,2))</f>
        <v>18</v>
      </c>
      <c r="H2175" s="16" t="str">
        <f aca="false">_xlfn.UNICHAR(((F2175*21)+G2175)*28+44032)</f>
        <v>므</v>
      </c>
      <c r="I2175" s="16" t="n">
        <f aca="false">IF(B2175=-1, 1, COUNTIF($A$2:$A$3000, H2175))</f>
        <v>1</v>
      </c>
      <c r="J2175" s="10" t="str">
        <f aca="false">_xlfn.CONCAT(A2175, ",",H2175,",",I2175)</f>
        <v>팻,므,1</v>
      </c>
      <c r="K2175" s="16" t="n">
        <f aca="false">IF(B2175=-1,-1,VLOOKUP(C2175,$T$1:$V$20,3))</f>
        <v>25</v>
      </c>
      <c r="L2175" s="16" t="n">
        <f aca="false">IF(B2175=-1,-1,VLOOKUP(D2175,$Y$1:$AA$22,3))</f>
        <v>10</v>
      </c>
      <c r="N2175" s="10" t="str">
        <f aca="false">_xlfn.UNICHAR(((C2175*21)+G2175)*28+44032)</f>
        <v>프</v>
      </c>
      <c r="O2175" s="10" t="str">
        <f aca="false">_xlfn.UNICHAR(((F2175*21)+D2175)*28+44032)</f>
        <v>매</v>
      </c>
      <c r="P2175" s="12" t="n">
        <f aca="false">COUNTIF($A$2:$A$3000, N2175) + COUNTIF($A$2:$A$3000, O2175)</f>
        <v>2</v>
      </c>
      <c r="Q2175" s="16" t="str">
        <f aca="false">IF(OR(B2175=-1,I2175=0, P2175&lt;&gt;2), "albhed_dummy", _xlfn.CONCAT("albhed ", RIGHT("  " &amp; K2175,2),", ", RIGHT("  " &amp; L2175,2), ", " ,"""",H2175,""", ", """",N2175,""", ","""",O2175,""""," ; ", A2175))</f>
        <v>albhed 25, 10, "므", "프", "매" ; 팻</v>
      </c>
    </row>
    <row r="2176" customFormat="false" ht="17.9" hidden="false" customHeight="true" outlineLevel="0" collapsed="false">
      <c r="A2176" s="16" t="s">
        <v>3021</v>
      </c>
      <c r="B2176" s="16" t="n">
        <f aca="false">IF(_xlfn.UNICODE(A2176)&lt;44032,-1,_xlfn.UNICODE(A2176)-44032)</f>
        <v>10044</v>
      </c>
      <c r="C2176" s="16" t="n">
        <f aca="false">IF(B2176=-1,-1,INT((B2176/28)/21))</f>
        <v>17</v>
      </c>
      <c r="D2176" s="16" t="n">
        <f aca="false">IF(B2176=-1, -1, MOD(INT(B2176/28),21))</f>
        <v>1</v>
      </c>
      <c r="E2176" s="16" t="n">
        <f aca="false">IF(B2176=-1, -1, VLOOKUP(MOD(B2176,28), $T$24:$U$52,2))</f>
        <v>19</v>
      </c>
      <c r="F2176" s="16" t="n">
        <f aca="false">IF($B2176=-1, -1, VLOOKUP(C2176,$T$1:$V$20, 2))</f>
        <v>6</v>
      </c>
      <c r="G2176" s="16" t="n">
        <f aca="false">IF($B2176=-1, -1, VLOOKUP(D2176,$Y$1:$Z$22,2))</f>
        <v>18</v>
      </c>
      <c r="H2176" s="16" t="str">
        <f aca="false">_xlfn.UNICHAR(((F2176*21)+G2176)*28+44032)</f>
        <v>므</v>
      </c>
      <c r="I2176" s="16" t="n">
        <f aca="false">IF(B2176=-1, 1, COUNTIF($A$2:$A$3000, H2176))</f>
        <v>1</v>
      </c>
      <c r="J2176" s="10" t="str">
        <f aca="false">_xlfn.CONCAT(A2176, ",",H2176,",",I2176)</f>
        <v>팼,므,1</v>
      </c>
      <c r="K2176" s="16" t="n">
        <f aca="false">IF(B2176=-1,-1,VLOOKUP(C2176,$T$1:$V$20,3))</f>
        <v>25</v>
      </c>
      <c r="L2176" s="16" t="n">
        <f aca="false">IF(B2176=-1,-1,VLOOKUP(D2176,$Y$1:$AA$22,3))</f>
        <v>10</v>
      </c>
      <c r="N2176" s="10" t="str">
        <f aca="false">_xlfn.UNICHAR(((C2176*21)+G2176)*28+44032)</f>
        <v>프</v>
      </c>
      <c r="O2176" s="10" t="str">
        <f aca="false">_xlfn.UNICHAR(((F2176*21)+D2176)*28+44032)</f>
        <v>매</v>
      </c>
      <c r="P2176" s="12" t="n">
        <f aca="false">COUNTIF($A$2:$A$3000, N2176) + COUNTIF($A$2:$A$3000, O2176)</f>
        <v>2</v>
      </c>
      <c r="Q2176" s="16" t="str">
        <f aca="false">IF(OR(B2176=-1,I2176=0, P2176&lt;&gt;2), "albhed_dummy", _xlfn.CONCAT("albhed ", RIGHT("  " &amp; K2176,2),", ", RIGHT("  " &amp; L2176,2), ", " ,"""",H2176,""", ", """",N2176,""", ","""",O2176,""""," ; ", A2176))</f>
        <v>albhed 25, 10, "므", "프", "매" ; 팼</v>
      </c>
    </row>
    <row r="2177" customFormat="false" ht="17.9" hidden="false" customHeight="true" outlineLevel="0" collapsed="false">
      <c r="A2177" s="16" t="s">
        <v>3022</v>
      </c>
      <c r="B2177" s="16" t="n">
        <f aca="false">IF(_xlfn.UNICODE(A2177)&lt;44032,-1,_xlfn.UNICODE(A2177)-44032)</f>
        <v>10045</v>
      </c>
      <c r="C2177" s="16" t="n">
        <f aca="false">IF(B2177=-1,-1,INT((B2177/28)/21))</f>
        <v>17</v>
      </c>
      <c r="D2177" s="16" t="n">
        <f aca="false">IF(B2177=-1, -1, MOD(INT(B2177/28),21))</f>
        <v>1</v>
      </c>
      <c r="E2177" s="16" t="n">
        <f aca="false">IF(B2177=-1, -1, VLOOKUP(MOD(B2177,28), $T$24:$U$52,2))</f>
        <v>21</v>
      </c>
      <c r="F2177" s="16" t="n">
        <f aca="false">IF($B2177=-1, -1, VLOOKUP(C2177,$T$1:$V$20, 2))</f>
        <v>6</v>
      </c>
      <c r="G2177" s="16" t="n">
        <f aca="false">IF($B2177=-1, -1, VLOOKUP(D2177,$Y$1:$Z$22,2))</f>
        <v>18</v>
      </c>
      <c r="H2177" s="16" t="str">
        <f aca="false">_xlfn.UNICHAR(((F2177*21)+G2177)*28+44032)</f>
        <v>므</v>
      </c>
      <c r="I2177" s="16" t="n">
        <f aca="false">IF(B2177=-1, 1, COUNTIF($A$2:$A$3000, H2177))</f>
        <v>1</v>
      </c>
      <c r="J2177" s="10" t="str">
        <f aca="false">_xlfn.CONCAT(A2177, ",",H2177,",",I2177)</f>
        <v>팽,므,1</v>
      </c>
      <c r="K2177" s="16" t="n">
        <f aca="false">IF(B2177=-1,-1,VLOOKUP(C2177,$T$1:$V$20,3))</f>
        <v>25</v>
      </c>
      <c r="L2177" s="16" t="n">
        <f aca="false">IF(B2177=-1,-1,VLOOKUP(D2177,$Y$1:$AA$22,3))</f>
        <v>10</v>
      </c>
      <c r="N2177" s="10" t="str">
        <f aca="false">_xlfn.UNICHAR(((C2177*21)+G2177)*28+44032)</f>
        <v>프</v>
      </c>
      <c r="O2177" s="10" t="str">
        <f aca="false">_xlfn.UNICHAR(((F2177*21)+D2177)*28+44032)</f>
        <v>매</v>
      </c>
      <c r="P2177" s="12" t="n">
        <f aca="false">COUNTIF($A$2:$A$3000, N2177) + COUNTIF($A$2:$A$3000, O2177)</f>
        <v>2</v>
      </c>
      <c r="Q2177" s="16" t="str">
        <f aca="false">IF(OR(B2177=-1,I2177=0, P2177&lt;&gt;2), "albhed_dummy", _xlfn.CONCAT("albhed ", RIGHT("  " &amp; K2177,2),", ", RIGHT("  " &amp; L2177,2), ", " ,"""",H2177,""", ", """",N2177,""", ","""",O2177,""""," ; ", A2177))</f>
        <v>albhed 25, 10, "므", "프", "매" ; 팽</v>
      </c>
    </row>
    <row r="2178" customFormat="false" ht="17.9" hidden="false" customHeight="true" outlineLevel="0" collapsed="false">
      <c r="A2178" s="16" t="s">
        <v>3023</v>
      </c>
      <c r="B2178" s="16" t="n">
        <f aca="false">IF(_xlfn.UNICODE(A2178)&lt;44032,-1,_xlfn.UNICODE(A2178)-44032)</f>
        <v>10052</v>
      </c>
      <c r="C2178" s="16" t="n">
        <f aca="false">IF(B2178=-1,-1,INT((B2178/28)/21))</f>
        <v>17</v>
      </c>
      <c r="D2178" s="16" t="n">
        <f aca="false">IF(B2178=-1, -1, MOD(INT(B2178/28),21))</f>
        <v>2</v>
      </c>
      <c r="E2178" s="16" t="n">
        <f aca="false">IF(B2178=-1, -1, VLOOKUP(MOD(B2178,28), $T$24:$U$52,2))</f>
        <v>0</v>
      </c>
      <c r="F2178" s="16" t="n">
        <f aca="false">IF($B2178=-1, -1, VLOOKUP(C2178,$T$1:$V$20, 2))</f>
        <v>6</v>
      </c>
      <c r="G2178" s="16" t="n">
        <f aca="false">IF($B2178=-1, -1, VLOOKUP(D2178,$Y$1:$Z$22,2))</f>
        <v>17</v>
      </c>
      <c r="H2178" s="16" t="str">
        <f aca="false">_xlfn.UNICHAR(((F2178*21)+G2178)*28+44032)</f>
        <v>뮤</v>
      </c>
      <c r="I2178" s="16" t="n">
        <f aca="false">IF(B2178=-1, 1, COUNTIF($A$2:$A$3000, H2178))</f>
        <v>1</v>
      </c>
      <c r="J2178" s="10" t="str">
        <f aca="false">_xlfn.CONCAT(A2178, ",",H2178,",",I2178)</f>
        <v>퍄,뮤,1</v>
      </c>
      <c r="K2178" s="16" t="n">
        <f aca="false">IF(B2178=-1,-1,VLOOKUP(C2178,$T$1:$V$20,3))</f>
        <v>25</v>
      </c>
      <c r="L2178" s="16" t="n">
        <f aca="false">IF(B2178=-1,-1,VLOOKUP(D2178,$Y$1:$AA$22,3))</f>
        <v>2</v>
      </c>
      <c r="N2178" s="10" t="str">
        <f aca="false">_xlfn.UNICHAR(((C2178*21)+G2178)*28+44032)</f>
        <v>퓨</v>
      </c>
      <c r="O2178" s="10" t="str">
        <f aca="false">_xlfn.UNICHAR(((F2178*21)+D2178)*28+44032)</f>
        <v>먀</v>
      </c>
      <c r="P2178" s="12" t="n">
        <f aca="false">COUNTIF($A$2:$A$3000, N2178) + COUNTIF($A$2:$A$3000, O2178)</f>
        <v>2</v>
      </c>
      <c r="Q2178" s="16" t="str">
        <f aca="false">IF(OR(B2178=-1,I2178=0, P2178&lt;&gt;2), "albhed_dummy", _xlfn.CONCAT("albhed ", RIGHT("  " &amp; K2178,2),", ", RIGHT("  " &amp; L2178,2), ", " ,"""",H2178,""", ", """",N2178,""", ","""",O2178,""""," ; ", A2178))</f>
        <v>albhed 25,  2, "뮤", "퓨", "먀" ; 퍄</v>
      </c>
    </row>
    <row r="2179" customFormat="false" ht="17.9" hidden="false" customHeight="true" outlineLevel="0" collapsed="false">
      <c r="A2179" s="16" t="s">
        <v>3024</v>
      </c>
      <c r="B2179" s="16" t="n">
        <f aca="false">IF(_xlfn.UNICODE(A2179)&lt;44032,-1,_xlfn.UNICODE(A2179)-44032)</f>
        <v>10053</v>
      </c>
      <c r="C2179" s="16" t="n">
        <f aca="false">IF(B2179=-1,-1,INT((B2179/28)/21))</f>
        <v>17</v>
      </c>
      <c r="D2179" s="16" t="n">
        <f aca="false">IF(B2179=-1, -1, MOD(INT(B2179/28),21))</f>
        <v>2</v>
      </c>
      <c r="E2179" s="16" t="n">
        <f aca="false">IF(B2179=-1, -1, VLOOKUP(MOD(B2179,28), $T$24:$U$52,2))</f>
        <v>1</v>
      </c>
      <c r="F2179" s="16" t="n">
        <f aca="false">IF($B2179=-1, -1, VLOOKUP(C2179,$T$1:$V$20, 2))</f>
        <v>6</v>
      </c>
      <c r="G2179" s="16" t="n">
        <f aca="false">IF($B2179=-1, -1, VLOOKUP(D2179,$Y$1:$Z$22,2))</f>
        <v>17</v>
      </c>
      <c r="H2179" s="16" t="str">
        <f aca="false">_xlfn.UNICHAR(((F2179*21)+G2179)*28+44032)</f>
        <v>뮤</v>
      </c>
      <c r="I2179" s="16" t="n">
        <f aca="false">IF(B2179=-1, 1, COUNTIF($A$2:$A$3000, H2179))</f>
        <v>1</v>
      </c>
      <c r="J2179" s="10" t="str">
        <f aca="false">_xlfn.CONCAT(A2179, ",",H2179,",",I2179)</f>
        <v>퍅,뮤,1</v>
      </c>
      <c r="K2179" s="16" t="n">
        <f aca="false">IF(B2179=-1,-1,VLOOKUP(C2179,$T$1:$V$20,3))</f>
        <v>25</v>
      </c>
      <c r="L2179" s="16" t="n">
        <f aca="false">IF(B2179=-1,-1,VLOOKUP(D2179,$Y$1:$AA$22,3))</f>
        <v>2</v>
      </c>
      <c r="N2179" s="10" t="str">
        <f aca="false">_xlfn.UNICHAR(((C2179*21)+G2179)*28+44032)</f>
        <v>퓨</v>
      </c>
      <c r="O2179" s="10" t="str">
        <f aca="false">_xlfn.UNICHAR(((F2179*21)+D2179)*28+44032)</f>
        <v>먀</v>
      </c>
      <c r="P2179" s="12" t="n">
        <f aca="false">COUNTIF($A$2:$A$3000, N2179) + COUNTIF($A$2:$A$3000, O2179)</f>
        <v>2</v>
      </c>
      <c r="Q2179" s="16" t="str">
        <f aca="false">IF(OR(B2179=-1,I2179=0, P2179&lt;&gt;2), "albhed_dummy", _xlfn.CONCAT("albhed ", RIGHT("  " &amp; K2179,2),", ", RIGHT("  " &amp; L2179,2), ", " ,"""",H2179,""", ", """",N2179,""", ","""",O2179,""""," ; ", A2179))</f>
        <v>albhed 25,  2, "뮤", "퓨", "먀" ; 퍅</v>
      </c>
    </row>
    <row r="2180" customFormat="false" ht="17.9" hidden="false" customHeight="true" outlineLevel="0" collapsed="false">
      <c r="A2180" s="16" t="s">
        <v>3025</v>
      </c>
      <c r="B2180" s="16" t="n">
        <f aca="false">IF(_xlfn.UNICODE(A2180)&lt;44032,-1,_xlfn.UNICODE(A2180)-44032)</f>
        <v>10108</v>
      </c>
      <c r="C2180" s="16" t="n">
        <f aca="false">IF(B2180=-1,-1,INT((B2180/28)/21))</f>
        <v>17</v>
      </c>
      <c r="D2180" s="16" t="n">
        <f aca="false">IF(B2180=-1, -1, MOD(INT(B2180/28),21))</f>
        <v>4</v>
      </c>
      <c r="E2180" s="16" t="n">
        <f aca="false">IF(B2180=-1, -1, VLOOKUP(MOD(B2180,28), $T$24:$U$52,2))</f>
        <v>0</v>
      </c>
      <c r="F2180" s="16" t="n">
        <f aca="false">IF($B2180=-1, -1, VLOOKUP(C2180,$T$1:$V$20, 2))</f>
        <v>6</v>
      </c>
      <c r="G2180" s="16" t="n">
        <f aca="false">IF($B2180=-1, -1, VLOOKUP(D2180,$Y$1:$Z$22,2))</f>
        <v>8</v>
      </c>
      <c r="H2180" s="16" t="str">
        <f aca="false">_xlfn.UNICHAR(((F2180*21)+G2180)*28+44032)</f>
        <v>모</v>
      </c>
      <c r="I2180" s="16" t="n">
        <f aca="false">IF(B2180=-1, 1, COUNTIF($A$2:$A$3000, H2180))</f>
        <v>1</v>
      </c>
      <c r="J2180" s="10" t="str">
        <f aca="false">_xlfn.CONCAT(A2180, ",",H2180,",",I2180)</f>
        <v>퍼,모,1</v>
      </c>
      <c r="K2180" s="16" t="n">
        <f aca="false">IF(B2180=-1,-1,VLOOKUP(C2180,$T$1:$V$20,3))</f>
        <v>25</v>
      </c>
      <c r="L2180" s="16" t="n">
        <f aca="false">IF(B2180=-1,-1,VLOOKUP(D2180,$Y$1:$AA$22,3))</f>
        <v>4</v>
      </c>
      <c r="N2180" s="10" t="str">
        <f aca="false">_xlfn.UNICHAR(((C2180*21)+G2180)*28+44032)</f>
        <v>포</v>
      </c>
      <c r="O2180" s="10" t="str">
        <f aca="false">_xlfn.UNICHAR(((F2180*21)+D2180)*28+44032)</f>
        <v>머</v>
      </c>
      <c r="P2180" s="12" t="n">
        <f aca="false">COUNTIF($A$2:$A$3000, N2180) + COUNTIF($A$2:$A$3000, O2180)</f>
        <v>2</v>
      </c>
      <c r="Q2180" s="16" t="str">
        <f aca="false">IF(OR(B2180=-1,I2180=0, P2180&lt;&gt;2), "albhed_dummy", _xlfn.CONCAT("albhed ", RIGHT("  " &amp; K2180,2),", ", RIGHT("  " &amp; L2180,2), ", " ,"""",H2180,""", ", """",N2180,""", ","""",O2180,""""," ; ", A2180))</f>
        <v>albhed 25,  4, "모", "포", "머" ; 퍼</v>
      </c>
    </row>
    <row r="2181" customFormat="false" ht="17.9" hidden="false" customHeight="true" outlineLevel="0" collapsed="false">
      <c r="A2181" s="16" t="s">
        <v>3026</v>
      </c>
      <c r="B2181" s="16" t="n">
        <f aca="false">IF(_xlfn.UNICODE(A2181)&lt;44032,-1,_xlfn.UNICODE(A2181)-44032)</f>
        <v>10109</v>
      </c>
      <c r="C2181" s="16" t="n">
        <f aca="false">IF(B2181=-1,-1,INT((B2181/28)/21))</f>
        <v>17</v>
      </c>
      <c r="D2181" s="16" t="n">
        <f aca="false">IF(B2181=-1, -1, MOD(INT(B2181/28),21))</f>
        <v>4</v>
      </c>
      <c r="E2181" s="16" t="n">
        <f aca="false">IF(B2181=-1, -1, VLOOKUP(MOD(B2181,28), $T$24:$U$52,2))</f>
        <v>1</v>
      </c>
      <c r="F2181" s="16" t="n">
        <f aca="false">IF($B2181=-1, -1, VLOOKUP(C2181,$T$1:$V$20, 2))</f>
        <v>6</v>
      </c>
      <c r="G2181" s="16" t="n">
        <f aca="false">IF($B2181=-1, -1, VLOOKUP(D2181,$Y$1:$Z$22,2))</f>
        <v>8</v>
      </c>
      <c r="H2181" s="16" t="str">
        <f aca="false">_xlfn.UNICHAR(((F2181*21)+G2181)*28+44032)</f>
        <v>모</v>
      </c>
      <c r="I2181" s="16" t="n">
        <f aca="false">IF(B2181=-1, 1, COUNTIF($A$2:$A$3000, H2181))</f>
        <v>1</v>
      </c>
      <c r="J2181" s="10" t="str">
        <f aca="false">_xlfn.CONCAT(A2181, ",",H2181,",",I2181)</f>
        <v>퍽,모,1</v>
      </c>
      <c r="K2181" s="16" t="n">
        <f aca="false">IF(B2181=-1,-1,VLOOKUP(C2181,$T$1:$V$20,3))</f>
        <v>25</v>
      </c>
      <c r="L2181" s="16" t="n">
        <f aca="false">IF(B2181=-1,-1,VLOOKUP(D2181,$Y$1:$AA$22,3))</f>
        <v>4</v>
      </c>
      <c r="N2181" s="10" t="str">
        <f aca="false">_xlfn.UNICHAR(((C2181*21)+G2181)*28+44032)</f>
        <v>포</v>
      </c>
      <c r="O2181" s="10" t="str">
        <f aca="false">_xlfn.UNICHAR(((F2181*21)+D2181)*28+44032)</f>
        <v>머</v>
      </c>
      <c r="P2181" s="12" t="n">
        <f aca="false">COUNTIF($A$2:$A$3000, N2181) + COUNTIF($A$2:$A$3000, O2181)</f>
        <v>2</v>
      </c>
      <c r="Q2181" s="16" t="str">
        <f aca="false">IF(OR(B2181=-1,I2181=0, P2181&lt;&gt;2), "albhed_dummy", _xlfn.CONCAT("albhed ", RIGHT("  " &amp; K2181,2),", ", RIGHT("  " &amp; L2181,2), ", " ,"""",H2181,""", ", """",N2181,""", ","""",O2181,""""," ; ", A2181))</f>
        <v>albhed 25,  4, "모", "포", "머" ; 퍽</v>
      </c>
    </row>
    <row r="2182" customFormat="false" ht="17.9" hidden="false" customHeight="true" outlineLevel="0" collapsed="false">
      <c r="A2182" s="16" t="s">
        <v>3027</v>
      </c>
      <c r="B2182" s="16" t="n">
        <f aca="false">IF(_xlfn.UNICODE(A2182)&lt;44032,-1,_xlfn.UNICODE(A2182)-44032)</f>
        <v>10112</v>
      </c>
      <c r="C2182" s="16" t="n">
        <f aca="false">IF(B2182=-1,-1,INT((B2182/28)/21))</f>
        <v>17</v>
      </c>
      <c r="D2182" s="16" t="n">
        <f aca="false">IF(B2182=-1, -1, MOD(INT(B2182/28),21))</f>
        <v>4</v>
      </c>
      <c r="E2182" s="16" t="n">
        <f aca="false">IF(B2182=-1, -1, VLOOKUP(MOD(B2182,28), $T$24:$U$52,2))</f>
        <v>4</v>
      </c>
      <c r="F2182" s="16" t="n">
        <f aca="false">IF($B2182=-1, -1, VLOOKUP(C2182,$T$1:$V$20, 2))</f>
        <v>6</v>
      </c>
      <c r="G2182" s="16" t="n">
        <f aca="false">IF($B2182=-1, -1, VLOOKUP(D2182,$Y$1:$Z$22,2))</f>
        <v>8</v>
      </c>
      <c r="H2182" s="16" t="str">
        <f aca="false">_xlfn.UNICHAR(((F2182*21)+G2182)*28+44032)</f>
        <v>모</v>
      </c>
      <c r="I2182" s="16" t="n">
        <f aca="false">IF(B2182=-1, 1, COUNTIF($A$2:$A$3000, H2182))</f>
        <v>1</v>
      </c>
      <c r="J2182" s="10" t="str">
        <f aca="false">_xlfn.CONCAT(A2182, ",",H2182,",",I2182)</f>
        <v>펀,모,1</v>
      </c>
      <c r="K2182" s="16" t="n">
        <f aca="false">IF(B2182=-1,-1,VLOOKUP(C2182,$T$1:$V$20,3))</f>
        <v>25</v>
      </c>
      <c r="L2182" s="16" t="n">
        <f aca="false">IF(B2182=-1,-1,VLOOKUP(D2182,$Y$1:$AA$22,3))</f>
        <v>4</v>
      </c>
      <c r="N2182" s="10" t="str">
        <f aca="false">_xlfn.UNICHAR(((C2182*21)+G2182)*28+44032)</f>
        <v>포</v>
      </c>
      <c r="O2182" s="10" t="str">
        <f aca="false">_xlfn.UNICHAR(((F2182*21)+D2182)*28+44032)</f>
        <v>머</v>
      </c>
      <c r="P2182" s="12" t="n">
        <f aca="false">COUNTIF($A$2:$A$3000, N2182) + COUNTIF($A$2:$A$3000, O2182)</f>
        <v>2</v>
      </c>
      <c r="Q2182" s="16" t="str">
        <f aca="false">IF(OR(B2182=-1,I2182=0, P2182&lt;&gt;2), "albhed_dummy", _xlfn.CONCAT("albhed ", RIGHT("  " &amp; K2182,2),", ", RIGHT("  " &amp; L2182,2), ", " ,"""",H2182,""", ", """",N2182,""", ","""",O2182,""""," ; ", A2182))</f>
        <v>albhed 25,  4, "모", "포", "머" ; 펀</v>
      </c>
    </row>
    <row r="2183" customFormat="false" ht="17.9" hidden="false" customHeight="true" outlineLevel="0" collapsed="false">
      <c r="A2183" s="16" t="s">
        <v>3028</v>
      </c>
      <c r="B2183" s="16" t="n">
        <f aca="false">IF(_xlfn.UNICODE(A2183)&lt;44032,-1,_xlfn.UNICODE(A2183)-44032)</f>
        <v>10116</v>
      </c>
      <c r="C2183" s="16" t="n">
        <f aca="false">IF(B2183=-1,-1,INT((B2183/28)/21))</f>
        <v>17</v>
      </c>
      <c r="D2183" s="16" t="n">
        <f aca="false">IF(B2183=-1, -1, MOD(INT(B2183/28),21))</f>
        <v>4</v>
      </c>
      <c r="E2183" s="16" t="n">
        <f aca="false">IF(B2183=-1, -1, VLOOKUP(MOD(B2183,28), $T$24:$U$52,2))</f>
        <v>8</v>
      </c>
      <c r="F2183" s="16" t="n">
        <f aca="false">IF($B2183=-1, -1, VLOOKUP(C2183,$T$1:$V$20, 2))</f>
        <v>6</v>
      </c>
      <c r="G2183" s="16" t="n">
        <f aca="false">IF($B2183=-1, -1, VLOOKUP(D2183,$Y$1:$Z$22,2))</f>
        <v>8</v>
      </c>
      <c r="H2183" s="16" t="str">
        <f aca="false">_xlfn.UNICHAR(((F2183*21)+G2183)*28+44032)</f>
        <v>모</v>
      </c>
      <c r="I2183" s="16" t="n">
        <f aca="false">IF(B2183=-1, 1, COUNTIF($A$2:$A$3000, H2183))</f>
        <v>1</v>
      </c>
      <c r="J2183" s="10" t="str">
        <f aca="false">_xlfn.CONCAT(A2183, ",",H2183,",",I2183)</f>
        <v>펄,모,1</v>
      </c>
      <c r="K2183" s="16" t="n">
        <f aca="false">IF(B2183=-1,-1,VLOOKUP(C2183,$T$1:$V$20,3))</f>
        <v>25</v>
      </c>
      <c r="L2183" s="16" t="n">
        <f aca="false">IF(B2183=-1,-1,VLOOKUP(D2183,$Y$1:$AA$22,3))</f>
        <v>4</v>
      </c>
      <c r="N2183" s="10" t="str">
        <f aca="false">_xlfn.UNICHAR(((C2183*21)+G2183)*28+44032)</f>
        <v>포</v>
      </c>
      <c r="O2183" s="10" t="str">
        <f aca="false">_xlfn.UNICHAR(((F2183*21)+D2183)*28+44032)</f>
        <v>머</v>
      </c>
      <c r="P2183" s="12" t="n">
        <f aca="false">COUNTIF($A$2:$A$3000, N2183) + COUNTIF($A$2:$A$3000, O2183)</f>
        <v>2</v>
      </c>
      <c r="Q2183" s="16" t="str">
        <f aca="false">IF(OR(B2183=-1,I2183=0, P2183&lt;&gt;2), "albhed_dummy", _xlfn.CONCAT("albhed ", RIGHT("  " &amp; K2183,2),", ", RIGHT("  " &amp; L2183,2), ", " ,"""",H2183,""", ", """",N2183,""", ","""",O2183,""""," ; ", A2183))</f>
        <v>albhed 25,  4, "모", "포", "머" ; 펄</v>
      </c>
    </row>
    <row r="2184" customFormat="false" ht="17.9" hidden="false" customHeight="true" outlineLevel="0" collapsed="false">
      <c r="A2184" s="16" t="s">
        <v>3029</v>
      </c>
      <c r="B2184" s="16" t="n">
        <f aca="false">IF(_xlfn.UNICODE(A2184)&lt;44032,-1,_xlfn.UNICODE(A2184)-44032)</f>
        <v>10124</v>
      </c>
      <c r="C2184" s="16" t="n">
        <f aca="false">IF(B2184=-1,-1,INT((B2184/28)/21))</f>
        <v>17</v>
      </c>
      <c r="D2184" s="16" t="n">
        <f aca="false">IF(B2184=-1, -1, MOD(INT(B2184/28),21))</f>
        <v>4</v>
      </c>
      <c r="E2184" s="16" t="n">
        <f aca="false">IF(B2184=-1, -1, VLOOKUP(MOD(B2184,28), $T$24:$U$52,2))</f>
        <v>16</v>
      </c>
      <c r="F2184" s="16" t="n">
        <f aca="false">IF($B2184=-1, -1, VLOOKUP(C2184,$T$1:$V$20, 2))</f>
        <v>6</v>
      </c>
      <c r="G2184" s="16" t="n">
        <f aca="false">IF($B2184=-1, -1, VLOOKUP(D2184,$Y$1:$Z$22,2))</f>
        <v>8</v>
      </c>
      <c r="H2184" s="16" t="str">
        <f aca="false">_xlfn.UNICHAR(((F2184*21)+G2184)*28+44032)</f>
        <v>모</v>
      </c>
      <c r="I2184" s="16" t="n">
        <f aca="false">IF(B2184=-1, 1, COUNTIF($A$2:$A$3000, H2184))</f>
        <v>1</v>
      </c>
      <c r="J2184" s="10" t="str">
        <f aca="false">_xlfn.CONCAT(A2184, ",",H2184,",",I2184)</f>
        <v>펌,모,1</v>
      </c>
      <c r="K2184" s="16" t="n">
        <f aca="false">IF(B2184=-1,-1,VLOOKUP(C2184,$T$1:$V$20,3))</f>
        <v>25</v>
      </c>
      <c r="L2184" s="16" t="n">
        <f aca="false">IF(B2184=-1,-1,VLOOKUP(D2184,$Y$1:$AA$22,3))</f>
        <v>4</v>
      </c>
      <c r="N2184" s="10" t="str">
        <f aca="false">_xlfn.UNICHAR(((C2184*21)+G2184)*28+44032)</f>
        <v>포</v>
      </c>
      <c r="O2184" s="10" t="str">
        <f aca="false">_xlfn.UNICHAR(((F2184*21)+D2184)*28+44032)</f>
        <v>머</v>
      </c>
      <c r="P2184" s="12" t="n">
        <f aca="false">COUNTIF($A$2:$A$3000, N2184) + COUNTIF($A$2:$A$3000, O2184)</f>
        <v>2</v>
      </c>
      <c r="Q2184" s="16" t="str">
        <f aca="false">IF(OR(B2184=-1,I2184=0, P2184&lt;&gt;2), "albhed_dummy", _xlfn.CONCAT("albhed ", RIGHT("  " &amp; K2184,2),", ", RIGHT("  " &amp; L2184,2), ", " ,"""",H2184,""", ", """",N2184,""", ","""",O2184,""""," ; ", A2184))</f>
        <v>albhed 25,  4, "모", "포", "머" ; 펌</v>
      </c>
    </row>
    <row r="2185" customFormat="false" ht="17.9" hidden="false" customHeight="true" outlineLevel="0" collapsed="false">
      <c r="A2185" s="16" t="s">
        <v>3030</v>
      </c>
      <c r="B2185" s="16" t="n">
        <f aca="false">IF(_xlfn.UNICODE(A2185)&lt;44032,-1,_xlfn.UNICODE(A2185)-44032)</f>
        <v>10125</v>
      </c>
      <c r="C2185" s="16" t="n">
        <f aca="false">IF(B2185=-1,-1,INT((B2185/28)/21))</f>
        <v>17</v>
      </c>
      <c r="D2185" s="16" t="n">
        <f aca="false">IF(B2185=-1, -1, MOD(INT(B2185/28),21))</f>
        <v>4</v>
      </c>
      <c r="E2185" s="16" t="n">
        <f aca="false">IF(B2185=-1, -1, VLOOKUP(MOD(B2185,28), $T$24:$U$52,2))</f>
        <v>17</v>
      </c>
      <c r="F2185" s="16" t="n">
        <f aca="false">IF($B2185=-1, -1, VLOOKUP(C2185,$T$1:$V$20, 2))</f>
        <v>6</v>
      </c>
      <c r="G2185" s="16" t="n">
        <f aca="false">IF($B2185=-1, -1, VLOOKUP(D2185,$Y$1:$Z$22,2))</f>
        <v>8</v>
      </c>
      <c r="H2185" s="16" t="str">
        <f aca="false">_xlfn.UNICHAR(((F2185*21)+G2185)*28+44032)</f>
        <v>모</v>
      </c>
      <c r="I2185" s="16" t="n">
        <f aca="false">IF(B2185=-1, 1, COUNTIF($A$2:$A$3000, H2185))</f>
        <v>1</v>
      </c>
      <c r="J2185" s="10" t="str">
        <f aca="false">_xlfn.CONCAT(A2185, ",",H2185,",",I2185)</f>
        <v>펍,모,1</v>
      </c>
      <c r="K2185" s="16" t="n">
        <f aca="false">IF(B2185=-1,-1,VLOOKUP(C2185,$T$1:$V$20,3))</f>
        <v>25</v>
      </c>
      <c r="L2185" s="16" t="n">
        <f aca="false">IF(B2185=-1,-1,VLOOKUP(D2185,$Y$1:$AA$22,3))</f>
        <v>4</v>
      </c>
      <c r="N2185" s="10" t="str">
        <f aca="false">_xlfn.UNICHAR(((C2185*21)+G2185)*28+44032)</f>
        <v>포</v>
      </c>
      <c r="O2185" s="10" t="str">
        <f aca="false">_xlfn.UNICHAR(((F2185*21)+D2185)*28+44032)</f>
        <v>머</v>
      </c>
      <c r="P2185" s="12" t="n">
        <f aca="false">COUNTIF($A$2:$A$3000, N2185) + COUNTIF($A$2:$A$3000, O2185)</f>
        <v>2</v>
      </c>
      <c r="Q2185" s="16" t="str">
        <f aca="false">IF(OR(B2185=-1,I2185=0, P2185&lt;&gt;2), "albhed_dummy", _xlfn.CONCAT("albhed ", RIGHT("  " &amp; K2185,2),", ", RIGHT("  " &amp; L2185,2), ", " ,"""",H2185,""", ", """",N2185,""", ","""",O2185,""""," ; ", A2185))</f>
        <v>albhed 25,  4, "모", "포", "머" ; 펍</v>
      </c>
    </row>
    <row r="2186" customFormat="false" ht="17.9" hidden="false" customHeight="true" outlineLevel="0" collapsed="false">
      <c r="A2186" s="16" t="s">
        <v>3031</v>
      </c>
      <c r="B2186" s="16" t="n">
        <f aca="false">IF(_xlfn.UNICODE(A2186)&lt;44032,-1,_xlfn.UNICODE(A2186)-44032)</f>
        <v>10127</v>
      </c>
      <c r="C2186" s="16" t="n">
        <f aca="false">IF(B2186=-1,-1,INT((B2186/28)/21))</f>
        <v>17</v>
      </c>
      <c r="D2186" s="16" t="n">
        <f aca="false">IF(B2186=-1, -1, MOD(INT(B2186/28),21))</f>
        <v>4</v>
      </c>
      <c r="E2186" s="16" t="n">
        <f aca="false">IF(B2186=-1, -1, VLOOKUP(MOD(B2186,28), $T$24:$U$52,2))</f>
        <v>19</v>
      </c>
      <c r="F2186" s="16" t="n">
        <f aca="false">IF($B2186=-1, -1, VLOOKUP(C2186,$T$1:$V$20, 2))</f>
        <v>6</v>
      </c>
      <c r="G2186" s="16" t="n">
        <f aca="false">IF($B2186=-1, -1, VLOOKUP(D2186,$Y$1:$Z$22,2))</f>
        <v>8</v>
      </c>
      <c r="H2186" s="16" t="str">
        <f aca="false">_xlfn.UNICHAR(((F2186*21)+G2186)*28+44032)</f>
        <v>모</v>
      </c>
      <c r="I2186" s="16" t="n">
        <f aca="false">IF(B2186=-1, 1, COUNTIF($A$2:$A$3000, H2186))</f>
        <v>1</v>
      </c>
      <c r="J2186" s="10" t="str">
        <f aca="false">_xlfn.CONCAT(A2186, ",",H2186,",",I2186)</f>
        <v>펏,모,1</v>
      </c>
      <c r="K2186" s="16" t="n">
        <f aca="false">IF(B2186=-1,-1,VLOOKUP(C2186,$T$1:$V$20,3))</f>
        <v>25</v>
      </c>
      <c r="L2186" s="16" t="n">
        <f aca="false">IF(B2186=-1,-1,VLOOKUP(D2186,$Y$1:$AA$22,3))</f>
        <v>4</v>
      </c>
      <c r="N2186" s="10" t="str">
        <f aca="false">_xlfn.UNICHAR(((C2186*21)+G2186)*28+44032)</f>
        <v>포</v>
      </c>
      <c r="O2186" s="10" t="str">
        <f aca="false">_xlfn.UNICHAR(((F2186*21)+D2186)*28+44032)</f>
        <v>머</v>
      </c>
      <c r="P2186" s="12" t="n">
        <f aca="false">COUNTIF($A$2:$A$3000, N2186) + COUNTIF($A$2:$A$3000, O2186)</f>
        <v>2</v>
      </c>
      <c r="Q2186" s="16" t="str">
        <f aca="false">IF(OR(B2186=-1,I2186=0, P2186&lt;&gt;2), "albhed_dummy", _xlfn.CONCAT("albhed ", RIGHT("  " &amp; K2186,2),", ", RIGHT("  " &amp; L2186,2), ", " ,"""",H2186,""", ", """",N2186,""", ","""",O2186,""""," ; ", A2186))</f>
        <v>albhed 25,  4, "모", "포", "머" ; 펏</v>
      </c>
    </row>
    <row r="2187" customFormat="false" ht="17.9" hidden="false" customHeight="true" outlineLevel="0" collapsed="false">
      <c r="A2187" s="16" t="s">
        <v>3032</v>
      </c>
      <c r="B2187" s="16" t="n">
        <f aca="false">IF(_xlfn.UNICODE(A2187)&lt;44032,-1,_xlfn.UNICODE(A2187)-44032)</f>
        <v>10128</v>
      </c>
      <c r="C2187" s="16" t="n">
        <f aca="false">IF(B2187=-1,-1,INT((B2187/28)/21))</f>
        <v>17</v>
      </c>
      <c r="D2187" s="16" t="n">
        <f aca="false">IF(B2187=-1, -1, MOD(INT(B2187/28),21))</f>
        <v>4</v>
      </c>
      <c r="E2187" s="16" t="n">
        <f aca="false">IF(B2187=-1, -1, VLOOKUP(MOD(B2187,28), $T$24:$U$52,2))</f>
        <v>19</v>
      </c>
      <c r="F2187" s="16" t="n">
        <f aca="false">IF($B2187=-1, -1, VLOOKUP(C2187,$T$1:$V$20, 2))</f>
        <v>6</v>
      </c>
      <c r="G2187" s="16" t="n">
        <f aca="false">IF($B2187=-1, -1, VLOOKUP(D2187,$Y$1:$Z$22,2))</f>
        <v>8</v>
      </c>
      <c r="H2187" s="16" t="str">
        <f aca="false">_xlfn.UNICHAR(((F2187*21)+G2187)*28+44032)</f>
        <v>모</v>
      </c>
      <c r="I2187" s="16" t="n">
        <f aca="false">IF(B2187=-1, 1, COUNTIF($A$2:$A$3000, H2187))</f>
        <v>1</v>
      </c>
      <c r="J2187" s="10" t="str">
        <f aca="false">_xlfn.CONCAT(A2187, ",",H2187,",",I2187)</f>
        <v>펐,모,1</v>
      </c>
      <c r="K2187" s="16" t="n">
        <f aca="false">IF(B2187=-1,-1,VLOOKUP(C2187,$T$1:$V$20,3))</f>
        <v>25</v>
      </c>
      <c r="L2187" s="16" t="n">
        <f aca="false">IF(B2187=-1,-1,VLOOKUP(D2187,$Y$1:$AA$22,3))</f>
        <v>4</v>
      </c>
      <c r="N2187" s="10" t="str">
        <f aca="false">_xlfn.UNICHAR(((C2187*21)+G2187)*28+44032)</f>
        <v>포</v>
      </c>
      <c r="O2187" s="10" t="str">
        <f aca="false">_xlfn.UNICHAR(((F2187*21)+D2187)*28+44032)</f>
        <v>머</v>
      </c>
      <c r="P2187" s="12" t="n">
        <f aca="false">COUNTIF($A$2:$A$3000, N2187) + COUNTIF($A$2:$A$3000, O2187)</f>
        <v>2</v>
      </c>
      <c r="Q2187" s="16" t="str">
        <f aca="false">IF(OR(B2187=-1,I2187=0, P2187&lt;&gt;2), "albhed_dummy", _xlfn.CONCAT("albhed ", RIGHT("  " &amp; K2187,2),", ", RIGHT("  " &amp; L2187,2), ", " ,"""",H2187,""", ", """",N2187,""", ","""",O2187,""""," ; ", A2187))</f>
        <v>albhed 25,  4, "모", "포", "머" ; 펐</v>
      </c>
    </row>
    <row r="2188" customFormat="false" ht="17.9" hidden="false" customHeight="true" outlineLevel="0" collapsed="false">
      <c r="A2188" s="16" t="s">
        <v>3033</v>
      </c>
      <c r="B2188" s="16" t="n">
        <f aca="false">IF(_xlfn.UNICODE(A2188)&lt;44032,-1,_xlfn.UNICODE(A2188)-44032)</f>
        <v>10129</v>
      </c>
      <c r="C2188" s="16" t="n">
        <f aca="false">IF(B2188=-1,-1,INT((B2188/28)/21))</f>
        <v>17</v>
      </c>
      <c r="D2188" s="16" t="n">
        <f aca="false">IF(B2188=-1, -1, MOD(INT(B2188/28),21))</f>
        <v>4</v>
      </c>
      <c r="E2188" s="16" t="n">
        <f aca="false">IF(B2188=-1, -1, VLOOKUP(MOD(B2188,28), $T$24:$U$52,2))</f>
        <v>21</v>
      </c>
      <c r="F2188" s="16" t="n">
        <f aca="false">IF($B2188=-1, -1, VLOOKUP(C2188,$T$1:$V$20, 2))</f>
        <v>6</v>
      </c>
      <c r="G2188" s="16" t="n">
        <f aca="false">IF($B2188=-1, -1, VLOOKUP(D2188,$Y$1:$Z$22,2))</f>
        <v>8</v>
      </c>
      <c r="H2188" s="16" t="str">
        <f aca="false">_xlfn.UNICHAR(((F2188*21)+G2188)*28+44032)</f>
        <v>모</v>
      </c>
      <c r="I2188" s="16" t="n">
        <f aca="false">IF(B2188=-1, 1, COUNTIF($A$2:$A$3000, H2188))</f>
        <v>1</v>
      </c>
      <c r="J2188" s="10" t="str">
        <f aca="false">_xlfn.CONCAT(A2188, ",",H2188,",",I2188)</f>
        <v>펑,모,1</v>
      </c>
      <c r="K2188" s="16" t="n">
        <f aca="false">IF(B2188=-1,-1,VLOOKUP(C2188,$T$1:$V$20,3))</f>
        <v>25</v>
      </c>
      <c r="L2188" s="16" t="n">
        <f aca="false">IF(B2188=-1,-1,VLOOKUP(D2188,$Y$1:$AA$22,3))</f>
        <v>4</v>
      </c>
      <c r="N2188" s="10" t="str">
        <f aca="false">_xlfn.UNICHAR(((C2188*21)+G2188)*28+44032)</f>
        <v>포</v>
      </c>
      <c r="O2188" s="10" t="str">
        <f aca="false">_xlfn.UNICHAR(((F2188*21)+D2188)*28+44032)</f>
        <v>머</v>
      </c>
      <c r="P2188" s="12" t="n">
        <f aca="false">COUNTIF($A$2:$A$3000, N2188) + COUNTIF($A$2:$A$3000, O2188)</f>
        <v>2</v>
      </c>
      <c r="Q2188" s="16" t="str">
        <f aca="false">IF(OR(B2188=-1,I2188=0, P2188&lt;&gt;2), "albhed_dummy", _xlfn.CONCAT("albhed ", RIGHT("  " &amp; K2188,2),", ", RIGHT("  " &amp; L2188,2), ", " ,"""",H2188,""", ", """",N2188,""", ","""",O2188,""""," ; ", A2188))</f>
        <v>albhed 25,  4, "모", "포", "머" ; 펑</v>
      </c>
    </row>
    <row r="2189" customFormat="false" ht="17.9" hidden="false" customHeight="true" outlineLevel="0" collapsed="false">
      <c r="A2189" s="16" t="s">
        <v>3034</v>
      </c>
      <c r="B2189" s="16" t="n">
        <f aca="false">IF(_xlfn.UNICODE(A2189)&lt;44032,-1,_xlfn.UNICODE(A2189)-44032)</f>
        <v>10136</v>
      </c>
      <c r="C2189" s="16" t="n">
        <f aca="false">IF(B2189=-1,-1,INT((B2189/28)/21))</f>
        <v>17</v>
      </c>
      <c r="D2189" s="16" t="n">
        <f aca="false">IF(B2189=-1, -1, MOD(INT(B2189/28),21))</f>
        <v>5</v>
      </c>
      <c r="E2189" s="16" t="n">
        <f aca="false">IF(B2189=-1, -1, VLOOKUP(MOD(B2189,28), $T$24:$U$52,2))</f>
        <v>0</v>
      </c>
      <c r="F2189" s="16" t="n">
        <f aca="false">IF($B2189=-1, -1, VLOOKUP(C2189,$T$1:$V$20, 2))</f>
        <v>6</v>
      </c>
      <c r="G2189" s="16" t="n">
        <f aca="false">IF($B2189=-1, -1, VLOOKUP(D2189,$Y$1:$Z$22,2))</f>
        <v>18</v>
      </c>
      <c r="H2189" s="16" t="str">
        <f aca="false">_xlfn.UNICHAR(((F2189*21)+G2189)*28+44032)</f>
        <v>므</v>
      </c>
      <c r="I2189" s="16" t="n">
        <f aca="false">IF(B2189=-1, 1, COUNTIF($A$2:$A$3000, H2189))</f>
        <v>1</v>
      </c>
      <c r="J2189" s="10" t="str">
        <f aca="false">_xlfn.CONCAT(A2189, ",",H2189,",",I2189)</f>
        <v>페,므,1</v>
      </c>
      <c r="K2189" s="16" t="n">
        <f aca="false">IF(B2189=-1,-1,VLOOKUP(C2189,$T$1:$V$20,3))</f>
        <v>25</v>
      </c>
      <c r="L2189" s="16" t="n">
        <f aca="false">IF(B2189=-1,-1,VLOOKUP(D2189,$Y$1:$AA$22,3))</f>
        <v>10</v>
      </c>
      <c r="N2189" s="10" t="str">
        <f aca="false">_xlfn.UNICHAR(((C2189*21)+G2189)*28+44032)</f>
        <v>프</v>
      </c>
      <c r="O2189" s="10" t="str">
        <f aca="false">_xlfn.UNICHAR(((F2189*21)+D2189)*28+44032)</f>
        <v>메</v>
      </c>
      <c r="P2189" s="12" t="n">
        <f aca="false">COUNTIF($A$2:$A$3000, N2189) + COUNTIF($A$2:$A$3000, O2189)</f>
        <v>2</v>
      </c>
      <c r="Q2189" s="16" t="str">
        <f aca="false">IF(OR(B2189=-1,I2189=0, P2189&lt;&gt;2), "albhed_dummy", _xlfn.CONCAT("albhed ", RIGHT("  " &amp; K2189,2),", ", RIGHT("  " &amp; L2189,2), ", " ,"""",H2189,""", ", """",N2189,""", ","""",O2189,""""," ; ", A2189))</f>
        <v>albhed 25, 10, "므", "프", "메" ; 페</v>
      </c>
    </row>
    <row r="2190" customFormat="false" ht="17.9" hidden="false" customHeight="true" outlineLevel="0" collapsed="false">
      <c r="A2190" s="16" t="s">
        <v>3035</v>
      </c>
      <c r="B2190" s="16" t="n">
        <f aca="false">IF(_xlfn.UNICODE(A2190)&lt;44032,-1,_xlfn.UNICODE(A2190)-44032)</f>
        <v>10137</v>
      </c>
      <c r="C2190" s="16" t="n">
        <f aca="false">IF(B2190=-1,-1,INT((B2190/28)/21))</f>
        <v>17</v>
      </c>
      <c r="D2190" s="16" t="n">
        <f aca="false">IF(B2190=-1, -1, MOD(INT(B2190/28),21))</f>
        <v>5</v>
      </c>
      <c r="E2190" s="16" t="n">
        <f aca="false">IF(B2190=-1, -1, VLOOKUP(MOD(B2190,28), $T$24:$U$52,2))</f>
        <v>1</v>
      </c>
      <c r="F2190" s="16" t="n">
        <f aca="false">IF($B2190=-1, -1, VLOOKUP(C2190,$T$1:$V$20, 2))</f>
        <v>6</v>
      </c>
      <c r="G2190" s="16" t="n">
        <f aca="false">IF($B2190=-1, -1, VLOOKUP(D2190,$Y$1:$Z$22,2))</f>
        <v>18</v>
      </c>
      <c r="H2190" s="16" t="str">
        <f aca="false">_xlfn.UNICHAR(((F2190*21)+G2190)*28+44032)</f>
        <v>므</v>
      </c>
      <c r="I2190" s="16" t="n">
        <f aca="false">IF(B2190=-1, 1, COUNTIF($A$2:$A$3000, H2190))</f>
        <v>1</v>
      </c>
      <c r="J2190" s="10" t="str">
        <f aca="false">_xlfn.CONCAT(A2190, ",",H2190,",",I2190)</f>
        <v>펙,므,1</v>
      </c>
      <c r="K2190" s="16" t="n">
        <f aca="false">IF(B2190=-1,-1,VLOOKUP(C2190,$T$1:$V$20,3))</f>
        <v>25</v>
      </c>
      <c r="L2190" s="16" t="n">
        <f aca="false">IF(B2190=-1,-1,VLOOKUP(D2190,$Y$1:$AA$22,3))</f>
        <v>10</v>
      </c>
      <c r="N2190" s="10" t="str">
        <f aca="false">_xlfn.UNICHAR(((C2190*21)+G2190)*28+44032)</f>
        <v>프</v>
      </c>
      <c r="O2190" s="10" t="str">
        <f aca="false">_xlfn.UNICHAR(((F2190*21)+D2190)*28+44032)</f>
        <v>메</v>
      </c>
      <c r="P2190" s="12" t="n">
        <f aca="false">COUNTIF($A$2:$A$3000, N2190) + COUNTIF($A$2:$A$3000, O2190)</f>
        <v>2</v>
      </c>
      <c r="Q2190" s="16" t="str">
        <f aca="false">IF(OR(B2190=-1,I2190=0, P2190&lt;&gt;2), "albhed_dummy", _xlfn.CONCAT("albhed ", RIGHT("  " &amp; K2190,2),", ", RIGHT("  " &amp; L2190,2), ", " ,"""",H2190,""", ", """",N2190,""", ","""",O2190,""""," ; ", A2190))</f>
        <v>albhed 25, 10, "므", "프", "메" ; 펙</v>
      </c>
    </row>
    <row r="2191" customFormat="false" ht="17.9" hidden="false" customHeight="true" outlineLevel="0" collapsed="false">
      <c r="A2191" s="16" t="s">
        <v>3036</v>
      </c>
      <c r="B2191" s="16" t="n">
        <f aca="false">IF(_xlfn.UNICODE(A2191)&lt;44032,-1,_xlfn.UNICODE(A2191)-44032)</f>
        <v>10140</v>
      </c>
      <c r="C2191" s="16" t="n">
        <f aca="false">IF(B2191=-1,-1,INT((B2191/28)/21))</f>
        <v>17</v>
      </c>
      <c r="D2191" s="16" t="n">
        <f aca="false">IF(B2191=-1, -1, MOD(INT(B2191/28),21))</f>
        <v>5</v>
      </c>
      <c r="E2191" s="16" t="n">
        <f aca="false">IF(B2191=-1, -1, VLOOKUP(MOD(B2191,28), $T$24:$U$52,2))</f>
        <v>4</v>
      </c>
      <c r="F2191" s="16" t="n">
        <f aca="false">IF($B2191=-1, -1, VLOOKUP(C2191,$T$1:$V$20, 2))</f>
        <v>6</v>
      </c>
      <c r="G2191" s="16" t="n">
        <f aca="false">IF($B2191=-1, -1, VLOOKUP(D2191,$Y$1:$Z$22,2))</f>
        <v>18</v>
      </c>
      <c r="H2191" s="16" t="str">
        <f aca="false">_xlfn.UNICHAR(((F2191*21)+G2191)*28+44032)</f>
        <v>므</v>
      </c>
      <c r="I2191" s="16" t="n">
        <f aca="false">IF(B2191=-1, 1, COUNTIF($A$2:$A$3000, H2191))</f>
        <v>1</v>
      </c>
      <c r="J2191" s="10" t="str">
        <f aca="false">_xlfn.CONCAT(A2191, ",",H2191,",",I2191)</f>
        <v>펜,므,1</v>
      </c>
      <c r="K2191" s="16" t="n">
        <f aca="false">IF(B2191=-1,-1,VLOOKUP(C2191,$T$1:$V$20,3))</f>
        <v>25</v>
      </c>
      <c r="L2191" s="16" t="n">
        <f aca="false">IF(B2191=-1,-1,VLOOKUP(D2191,$Y$1:$AA$22,3))</f>
        <v>10</v>
      </c>
      <c r="N2191" s="10" t="str">
        <f aca="false">_xlfn.UNICHAR(((C2191*21)+G2191)*28+44032)</f>
        <v>프</v>
      </c>
      <c r="O2191" s="10" t="str">
        <f aca="false">_xlfn.UNICHAR(((F2191*21)+D2191)*28+44032)</f>
        <v>메</v>
      </c>
      <c r="P2191" s="12" t="n">
        <f aca="false">COUNTIF($A$2:$A$3000, N2191) + COUNTIF($A$2:$A$3000, O2191)</f>
        <v>2</v>
      </c>
      <c r="Q2191" s="16" t="str">
        <f aca="false">IF(OR(B2191=-1,I2191=0, P2191&lt;&gt;2), "albhed_dummy", _xlfn.CONCAT("albhed ", RIGHT("  " &amp; K2191,2),", ", RIGHT("  " &amp; L2191,2), ", " ,"""",H2191,""", ", """",N2191,""", ","""",O2191,""""," ; ", A2191))</f>
        <v>albhed 25, 10, "므", "프", "메" ; 펜</v>
      </c>
    </row>
    <row r="2192" customFormat="false" ht="17.9" hidden="false" customHeight="true" outlineLevel="0" collapsed="false">
      <c r="A2192" s="16" t="s">
        <v>3037</v>
      </c>
      <c r="B2192" s="16" t="n">
        <f aca="false">IF(_xlfn.UNICODE(A2192)&lt;44032,-1,_xlfn.UNICODE(A2192)-44032)</f>
        <v>10144</v>
      </c>
      <c r="C2192" s="16" t="n">
        <f aca="false">IF(B2192=-1,-1,INT((B2192/28)/21))</f>
        <v>17</v>
      </c>
      <c r="D2192" s="16" t="n">
        <f aca="false">IF(B2192=-1, -1, MOD(INT(B2192/28),21))</f>
        <v>5</v>
      </c>
      <c r="E2192" s="16" t="n">
        <f aca="false">IF(B2192=-1, -1, VLOOKUP(MOD(B2192,28), $T$24:$U$52,2))</f>
        <v>8</v>
      </c>
      <c r="F2192" s="16" t="n">
        <f aca="false">IF($B2192=-1, -1, VLOOKUP(C2192,$T$1:$V$20, 2))</f>
        <v>6</v>
      </c>
      <c r="G2192" s="16" t="n">
        <f aca="false">IF($B2192=-1, -1, VLOOKUP(D2192,$Y$1:$Z$22,2))</f>
        <v>18</v>
      </c>
      <c r="H2192" s="16" t="str">
        <f aca="false">_xlfn.UNICHAR(((F2192*21)+G2192)*28+44032)</f>
        <v>므</v>
      </c>
      <c r="I2192" s="16" t="n">
        <f aca="false">IF(B2192=-1, 1, COUNTIF($A$2:$A$3000, H2192))</f>
        <v>1</v>
      </c>
      <c r="J2192" s="10" t="str">
        <f aca="false">_xlfn.CONCAT(A2192, ",",H2192,",",I2192)</f>
        <v>펠,므,1</v>
      </c>
      <c r="K2192" s="16" t="n">
        <f aca="false">IF(B2192=-1,-1,VLOOKUP(C2192,$T$1:$V$20,3))</f>
        <v>25</v>
      </c>
      <c r="L2192" s="16" t="n">
        <f aca="false">IF(B2192=-1,-1,VLOOKUP(D2192,$Y$1:$AA$22,3))</f>
        <v>10</v>
      </c>
      <c r="N2192" s="10" t="str">
        <f aca="false">_xlfn.UNICHAR(((C2192*21)+G2192)*28+44032)</f>
        <v>프</v>
      </c>
      <c r="O2192" s="10" t="str">
        <f aca="false">_xlfn.UNICHAR(((F2192*21)+D2192)*28+44032)</f>
        <v>메</v>
      </c>
      <c r="P2192" s="12" t="n">
        <f aca="false">COUNTIF($A$2:$A$3000, N2192) + COUNTIF($A$2:$A$3000, O2192)</f>
        <v>2</v>
      </c>
      <c r="Q2192" s="16" t="str">
        <f aca="false">IF(OR(B2192=-1,I2192=0, P2192&lt;&gt;2), "albhed_dummy", _xlfn.CONCAT("albhed ", RIGHT("  " &amp; K2192,2),", ", RIGHT("  " &amp; L2192,2), ", " ,"""",H2192,""", ", """",N2192,""", ","""",O2192,""""," ; ", A2192))</f>
        <v>albhed 25, 10, "므", "프", "메" ; 펠</v>
      </c>
    </row>
    <row r="2193" customFormat="false" ht="17.9" hidden="false" customHeight="true" outlineLevel="0" collapsed="false">
      <c r="A2193" s="16" t="s">
        <v>3038</v>
      </c>
      <c r="B2193" s="16" t="n">
        <f aca="false">IF(_xlfn.UNICODE(A2193)&lt;44032,-1,_xlfn.UNICODE(A2193)-44032)</f>
        <v>10152</v>
      </c>
      <c r="C2193" s="16" t="n">
        <f aca="false">IF(B2193=-1,-1,INT((B2193/28)/21))</f>
        <v>17</v>
      </c>
      <c r="D2193" s="16" t="n">
        <f aca="false">IF(B2193=-1, -1, MOD(INT(B2193/28),21))</f>
        <v>5</v>
      </c>
      <c r="E2193" s="16" t="n">
        <f aca="false">IF(B2193=-1, -1, VLOOKUP(MOD(B2193,28), $T$24:$U$52,2))</f>
        <v>16</v>
      </c>
      <c r="F2193" s="16" t="n">
        <f aca="false">IF($B2193=-1, -1, VLOOKUP(C2193,$T$1:$V$20, 2))</f>
        <v>6</v>
      </c>
      <c r="G2193" s="16" t="n">
        <f aca="false">IF($B2193=-1, -1, VLOOKUP(D2193,$Y$1:$Z$22,2))</f>
        <v>18</v>
      </c>
      <c r="H2193" s="16" t="str">
        <f aca="false">_xlfn.UNICHAR(((F2193*21)+G2193)*28+44032)</f>
        <v>므</v>
      </c>
      <c r="I2193" s="16" t="n">
        <f aca="false">IF(B2193=-1, 1, COUNTIF($A$2:$A$3000, H2193))</f>
        <v>1</v>
      </c>
      <c r="J2193" s="10" t="str">
        <f aca="false">_xlfn.CONCAT(A2193, ",",H2193,",",I2193)</f>
        <v>펨,므,1</v>
      </c>
      <c r="K2193" s="16" t="n">
        <f aca="false">IF(B2193=-1,-1,VLOOKUP(C2193,$T$1:$V$20,3))</f>
        <v>25</v>
      </c>
      <c r="L2193" s="16" t="n">
        <f aca="false">IF(B2193=-1,-1,VLOOKUP(D2193,$Y$1:$AA$22,3))</f>
        <v>10</v>
      </c>
      <c r="N2193" s="10" t="str">
        <f aca="false">_xlfn.UNICHAR(((C2193*21)+G2193)*28+44032)</f>
        <v>프</v>
      </c>
      <c r="O2193" s="10" t="str">
        <f aca="false">_xlfn.UNICHAR(((F2193*21)+D2193)*28+44032)</f>
        <v>메</v>
      </c>
      <c r="P2193" s="12" t="n">
        <f aca="false">COUNTIF($A$2:$A$3000, N2193) + COUNTIF($A$2:$A$3000, O2193)</f>
        <v>2</v>
      </c>
      <c r="Q2193" s="16" t="str">
        <f aca="false">IF(OR(B2193=-1,I2193=0, P2193&lt;&gt;2), "albhed_dummy", _xlfn.CONCAT("albhed ", RIGHT("  " &amp; K2193,2),", ", RIGHT("  " &amp; L2193,2), ", " ,"""",H2193,""", ", """",N2193,""", ","""",O2193,""""," ; ", A2193))</f>
        <v>albhed 25, 10, "므", "프", "메" ; 펨</v>
      </c>
    </row>
    <row r="2194" customFormat="false" ht="17.9" hidden="false" customHeight="true" outlineLevel="0" collapsed="false">
      <c r="A2194" s="16" t="s">
        <v>3039</v>
      </c>
      <c r="B2194" s="16" t="n">
        <f aca="false">IF(_xlfn.UNICODE(A2194)&lt;44032,-1,_xlfn.UNICODE(A2194)-44032)</f>
        <v>10153</v>
      </c>
      <c r="C2194" s="16" t="n">
        <f aca="false">IF(B2194=-1,-1,INT((B2194/28)/21))</f>
        <v>17</v>
      </c>
      <c r="D2194" s="16" t="n">
        <f aca="false">IF(B2194=-1, -1, MOD(INT(B2194/28),21))</f>
        <v>5</v>
      </c>
      <c r="E2194" s="16" t="n">
        <f aca="false">IF(B2194=-1, -1, VLOOKUP(MOD(B2194,28), $T$24:$U$52,2))</f>
        <v>17</v>
      </c>
      <c r="F2194" s="16" t="n">
        <f aca="false">IF($B2194=-1, -1, VLOOKUP(C2194,$T$1:$V$20, 2))</f>
        <v>6</v>
      </c>
      <c r="G2194" s="16" t="n">
        <f aca="false">IF($B2194=-1, -1, VLOOKUP(D2194,$Y$1:$Z$22,2))</f>
        <v>18</v>
      </c>
      <c r="H2194" s="16" t="str">
        <f aca="false">_xlfn.UNICHAR(((F2194*21)+G2194)*28+44032)</f>
        <v>므</v>
      </c>
      <c r="I2194" s="16" t="n">
        <f aca="false">IF(B2194=-1, 1, COUNTIF($A$2:$A$3000, H2194))</f>
        <v>1</v>
      </c>
      <c r="J2194" s="10" t="str">
        <f aca="false">_xlfn.CONCAT(A2194, ",",H2194,",",I2194)</f>
        <v>펩,므,1</v>
      </c>
      <c r="K2194" s="16" t="n">
        <f aca="false">IF(B2194=-1,-1,VLOOKUP(C2194,$T$1:$V$20,3))</f>
        <v>25</v>
      </c>
      <c r="L2194" s="16" t="n">
        <f aca="false">IF(B2194=-1,-1,VLOOKUP(D2194,$Y$1:$AA$22,3))</f>
        <v>10</v>
      </c>
      <c r="N2194" s="10" t="str">
        <f aca="false">_xlfn.UNICHAR(((C2194*21)+G2194)*28+44032)</f>
        <v>프</v>
      </c>
      <c r="O2194" s="10" t="str">
        <f aca="false">_xlfn.UNICHAR(((F2194*21)+D2194)*28+44032)</f>
        <v>메</v>
      </c>
      <c r="P2194" s="12" t="n">
        <f aca="false">COUNTIF($A$2:$A$3000, N2194) + COUNTIF($A$2:$A$3000, O2194)</f>
        <v>2</v>
      </c>
      <c r="Q2194" s="16" t="str">
        <f aca="false">IF(OR(B2194=-1,I2194=0, P2194&lt;&gt;2), "albhed_dummy", _xlfn.CONCAT("albhed ", RIGHT("  " &amp; K2194,2),", ", RIGHT("  " &amp; L2194,2), ", " ,"""",H2194,""", ", """",N2194,""", ","""",O2194,""""," ; ", A2194))</f>
        <v>albhed 25, 10, "므", "프", "메" ; 펩</v>
      </c>
    </row>
    <row r="2195" customFormat="false" ht="17.9" hidden="false" customHeight="true" outlineLevel="0" collapsed="false">
      <c r="A2195" s="16" t="s">
        <v>3040</v>
      </c>
      <c r="B2195" s="16" t="n">
        <f aca="false">IF(_xlfn.UNICODE(A2195)&lt;44032,-1,_xlfn.UNICODE(A2195)-44032)</f>
        <v>10155</v>
      </c>
      <c r="C2195" s="16" t="n">
        <f aca="false">IF(B2195=-1,-1,INT((B2195/28)/21))</f>
        <v>17</v>
      </c>
      <c r="D2195" s="16" t="n">
        <f aca="false">IF(B2195=-1, -1, MOD(INT(B2195/28),21))</f>
        <v>5</v>
      </c>
      <c r="E2195" s="16" t="n">
        <f aca="false">IF(B2195=-1, -1, VLOOKUP(MOD(B2195,28), $T$24:$U$52,2))</f>
        <v>19</v>
      </c>
      <c r="F2195" s="16" t="n">
        <f aca="false">IF($B2195=-1, -1, VLOOKUP(C2195,$T$1:$V$20, 2))</f>
        <v>6</v>
      </c>
      <c r="G2195" s="16" t="n">
        <f aca="false">IF($B2195=-1, -1, VLOOKUP(D2195,$Y$1:$Z$22,2))</f>
        <v>18</v>
      </c>
      <c r="H2195" s="16" t="str">
        <f aca="false">_xlfn.UNICHAR(((F2195*21)+G2195)*28+44032)</f>
        <v>므</v>
      </c>
      <c r="I2195" s="16" t="n">
        <f aca="false">IF(B2195=-1, 1, COUNTIF($A$2:$A$3000, H2195))</f>
        <v>1</v>
      </c>
      <c r="J2195" s="10" t="str">
        <f aca="false">_xlfn.CONCAT(A2195, ",",H2195,",",I2195)</f>
        <v>펫,므,1</v>
      </c>
      <c r="K2195" s="16" t="n">
        <f aca="false">IF(B2195=-1,-1,VLOOKUP(C2195,$T$1:$V$20,3))</f>
        <v>25</v>
      </c>
      <c r="L2195" s="16" t="n">
        <f aca="false">IF(B2195=-1,-1,VLOOKUP(D2195,$Y$1:$AA$22,3))</f>
        <v>10</v>
      </c>
      <c r="N2195" s="10" t="str">
        <f aca="false">_xlfn.UNICHAR(((C2195*21)+G2195)*28+44032)</f>
        <v>프</v>
      </c>
      <c r="O2195" s="10" t="str">
        <f aca="false">_xlfn.UNICHAR(((F2195*21)+D2195)*28+44032)</f>
        <v>메</v>
      </c>
      <c r="P2195" s="12" t="n">
        <f aca="false">COUNTIF($A$2:$A$3000, N2195) + COUNTIF($A$2:$A$3000, O2195)</f>
        <v>2</v>
      </c>
      <c r="Q2195" s="16" t="str">
        <f aca="false">IF(OR(B2195=-1,I2195=0, P2195&lt;&gt;2), "albhed_dummy", _xlfn.CONCAT("albhed ", RIGHT("  " &amp; K2195,2),", ", RIGHT("  " &amp; L2195,2), ", " ,"""",H2195,""", ", """",N2195,""", ","""",O2195,""""," ; ", A2195))</f>
        <v>albhed 25, 10, "므", "프", "메" ; 펫</v>
      </c>
    </row>
    <row r="2196" customFormat="false" ht="17.9" hidden="false" customHeight="true" outlineLevel="0" collapsed="false">
      <c r="A2196" s="16" t="s">
        <v>3041</v>
      </c>
      <c r="B2196" s="16" t="n">
        <f aca="false">IF(_xlfn.UNICODE(A2196)&lt;44032,-1,_xlfn.UNICODE(A2196)-44032)</f>
        <v>10157</v>
      </c>
      <c r="C2196" s="16" t="n">
        <f aca="false">IF(B2196=-1,-1,INT((B2196/28)/21))</f>
        <v>17</v>
      </c>
      <c r="D2196" s="16" t="n">
        <f aca="false">IF(B2196=-1, -1, MOD(INT(B2196/28),21))</f>
        <v>5</v>
      </c>
      <c r="E2196" s="16" t="n">
        <f aca="false">IF(B2196=-1, -1, VLOOKUP(MOD(B2196,28), $T$24:$U$52,2))</f>
        <v>21</v>
      </c>
      <c r="F2196" s="16" t="n">
        <f aca="false">IF($B2196=-1, -1, VLOOKUP(C2196,$T$1:$V$20, 2))</f>
        <v>6</v>
      </c>
      <c r="G2196" s="16" t="n">
        <f aca="false">IF($B2196=-1, -1, VLOOKUP(D2196,$Y$1:$Z$22,2))</f>
        <v>18</v>
      </c>
      <c r="H2196" s="16" t="str">
        <f aca="false">_xlfn.UNICHAR(((F2196*21)+G2196)*28+44032)</f>
        <v>므</v>
      </c>
      <c r="I2196" s="16" t="n">
        <f aca="false">IF(B2196=-1, 1, COUNTIF($A$2:$A$3000, H2196))</f>
        <v>1</v>
      </c>
      <c r="J2196" s="10" t="str">
        <f aca="false">_xlfn.CONCAT(A2196, ",",H2196,",",I2196)</f>
        <v>펭,므,1</v>
      </c>
      <c r="K2196" s="16" t="n">
        <f aca="false">IF(B2196=-1,-1,VLOOKUP(C2196,$T$1:$V$20,3))</f>
        <v>25</v>
      </c>
      <c r="L2196" s="16" t="n">
        <f aca="false">IF(B2196=-1,-1,VLOOKUP(D2196,$Y$1:$AA$22,3))</f>
        <v>10</v>
      </c>
      <c r="N2196" s="10" t="str">
        <f aca="false">_xlfn.UNICHAR(((C2196*21)+G2196)*28+44032)</f>
        <v>프</v>
      </c>
      <c r="O2196" s="10" t="str">
        <f aca="false">_xlfn.UNICHAR(((F2196*21)+D2196)*28+44032)</f>
        <v>메</v>
      </c>
      <c r="P2196" s="12" t="n">
        <f aca="false">COUNTIF($A$2:$A$3000, N2196) + COUNTIF($A$2:$A$3000, O2196)</f>
        <v>2</v>
      </c>
      <c r="Q2196" s="16" t="str">
        <f aca="false">IF(OR(B2196=-1,I2196=0, P2196&lt;&gt;2), "albhed_dummy", _xlfn.CONCAT("albhed ", RIGHT("  " &amp; K2196,2),", ", RIGHT("  " &amp; L2196,2), ", " ,"""",H2196,""", ", """",N2196,""", ","""",O2196,""""," ; ", A2196))</f>
        <v>albhed 25, 10, "므", "프", "메" ; 펭</v>
      </c>
    </row>
    <row r="2197" customFormat="false" ht="17.9" hidden="false" customHeight="true" outlineLevel="0" collapsed="false">
      <c r="A2197" s="16" t="s">
        <v>3042</v>
      </c>
      <c r="B2197" s="16" t="n">
        <f aca="false">IF(_xlfn.UNICODE(A2197)&lt;44032,-1,_xlfn.UNICODE(A2197)-44032)</f>
        <v>10164</v>
      </c>
      <c r="C2197" s="16" t="n">
        <f aca="false">IF(B2197=-1,-1,INT((B2197/28)/21))</f>
        <v>17</v>
      </c>
      <c r="D2197" s="16" t="n">
        <f aca="false">IF(B2197=-1, -1, MOD(INT(B2197/28),21))</f>
        <v>6</v>
      </c>
      <c r="E2197" s="16" t="n">
        <f aca="false">IF(B2197=-1, -1, VLOOKUP(MOD(B2197,28), $T$24:$U$52,2))</f>
        <v>0</v>
      </c>
      <c r="F2197" s="16" t="n">
        <f aca="false">IF($B2197=-1, -1, VLOOKUP(C2197,$T$1:$V$20, 2))</f>
        <v>6</v>
      </c>
      <c r="G2197" s="16" t="n">
        <f aca="false">IF($B2197=-1, -1, VLOOKUP(D2197,$Y$1:$Z$22,2))</f>
        <v>12</v>
      </c>
      <c r="H2197" s="16" t="str">
        <f aca="false">_xlfn.UNICHAR(((F2197*21)+G2197)*28+44032)</f>
        <v>묘</v>
      </c>
      <c r="I2197" s="16" t="n">
        <f aca="false">IF(B2197=-1, 1, COUNTIF($A$2:$A$3000, H2197))</f>
        <v>1</v>
      </c>
      <c r="J2197" s="10" t="str">
        <f aca="false">_xlfn.CONCAT(A2197, ",",H2197,",",I2197)</f>
        <v>펴,묘,1</v>
      </c>
      <c r="K2197" s="16" t="n">
        <f aca="false">IF(B2197=-1,-1,VLOOKUP(C2197,$T$1:$V$20,3))</f>
        <v>25</v>
      </c>
      <c r="L2197" s="16" t="n">
        <f aca="false">IF(B2197=-1,-1,VLOOKUP(D2197,$Y$1:$AA$22,3))</f>
        <v>4</v>
      </c>
      <c r="N2197" s="10" t="str">
        <f aca="false">_xlfn.UNICHAR(((C2197*21)+G2197)*28+44032)</f>
        <v>표</v>
      </c>
      <c r="O2197" s="10" t="str">
        <f aca="false">_xlfn.UNICHAR(((F2197*21)+D2197)*28+44032)</f>
        <v>며</v>
      </c>
      <c r="P2197" s="12" t="n">
        <f aca="false">COUNTIF($A$2:$A$3000, N2197) + COUNTIF($A$2:$A$3000, O2197)</f>
        <v>2</v>
      </c>
      <c r="Q2197" s="16" t="str">
        <f aca="false">IF(OR(B2197=-1,I2197=0, P2197&lt;&gt;2), "albhed_dummy", _xlfn.CONCAT("albhed ", RIGHT("  " &amp; K2197,2),", ", RIGHT("  " &amp; L2197,2), ", " ,"""",H2197,""", ", """",N2197,""", ","""",O2197,""""," ; ", A2197))</f>
        <v>albhed 25,  4, "묘", "표", "며" ; 펴</v>
      </c>
    </row>
    <row r="2198" customFormat="false" ht="17.9" hidden="false" customHeight="true" outlineLevel="0" collapsed="false">
      <c r="A2198" s="16" t="s">
        <v>3043</v>
      </c>
      <c r="B2198" s="16" t="n">
        <f aca="false">IF(_xlfn.UNICODE(A2198)&lt;44032,-1,_xlfn.UNICODE(A2198)-44032)</f>
        <v>10168</v>
      </c>
      <c r="C2198" s="16" t="n">
        <f aca="false">IF(B2198=-1,-1,INT((B2198/28)/21))</f>
        <v>17</v>
      </c>
      <c r="D2198" s="16" t="n">
        <f aca="false">IF(B2198=-1, -1, MOD(INT(B2198/28),21))</f>
        <v>6</v>
      </c>
      <c r="E2198" s="16" t="n">
        <f aca="false">IF(B2198=-1, -1, VLOOKUP(MOD(B2198,28), $T$24:$U$52,2))</f>
        <v>4</v>
      </c>
      <c r="F2198" s="16" t="n">
        <f aca="false">IF($B2198=-1, -1, VLOOKUP(C2198,$T$1:$V$20, 2))</f>
        <v>6</v>
      </c>
      <c r="G2198" s="16" t="n">
        <f aca="false">IF($B2198=-1, -1, VLOOKUP(D2198,$Y$1:$Z$22,2))</f>
        <v>12</v>
      </c>
      <c r="H2198" s="16" t="str">
        <f aca="false">_xlfn.UNICHAR(((F2198*21)+G2198)*28+44032)</f>
        <v>묘</v>
      </c>
      <c r="I2198" s="16" t="n">
        <f aca="false">IF(B2198=-1, 1, COUNTIF($A$2:$A$3000, H2198))</f>
        <v>1</v>
      </c>
      <c r="J2198" s="10" t="str">
        <f aca="false">_xlfn.CONCAT(A2198, ",",H2198,",",I2198)</f>
        <v>편,묘,1</v>
      </c>
      <c r="K2198" s="16" t="n">
        <f aca="false">IF(B2198=-1,-1,VLOOKUP(C2198,$T$1:$V$20,3))</f>
        <v>25</v>
      </c>
      <c r="L2198" s="16" t="n">
        <f aca="false">IF(B2198=-1,-1,VLOOKUP(D2198,$Y$1:$AA$22,3))</f>
        <v>4</v>
      </c>
      <c r="N2198" s="10" t="str">
        <f aca="false">_xlfn.UNICHAR(((C2198*21)+G2198)*28+44032)</f>
        <v>표</v>
      </c>
      <c r="O2198" s="10" t="str">
        <f aca="false">_xlfn.UNICHAR(((F2198*21)+D2198)*28+44032)</f>
        <v>며</v>
      </c>
      <c r="P2198" s="12" t="n">
        <f aca="false">COUNTIF($A$2:$A$3000, N2198) + COUNTIF($A$2:$A$3000, O2198)</f>
        <v>2</v>
      </c>
      <c r="Q2198" s="16" t="str">
        <f aca="false">IF(OR(B2198=-1,I2198=0, P2198&lt;&gt;2), "albhed_dummy", _xlfn.CONCAT("albhed ", RIGHT("  " &amp; K2198,2),", ", RIGHT("  " &amp; L2198,2), ", " ,"""",H2198,""", ", """",N2198,""", ","""",O2198,""""," ; ", A2198))</f>
        <v>albhed 25,  4, "묘", "표", "며" ; 편</v>
      </c>
    </row>
    <row r="2199" customFormat="false" ht="17.9" hidden="false" customHeight="true" outlineLevel="0" collapsed="false">
      <c r="A2199" s="16" t="s">
        <v>3044</v>
      </c>
      <c r="B2199" s="16" t="n">
        <f aca="false">IF(_xlfn.UNICODE(A2199)&lt;44032,-1,_xlfn.UNICODE(A2199)-44032)</f>
        <v>10172</v>
      </c>
      <c r="C2199" s="16" t="n">
        <f aca="false">IF(B2199=-1,-1,INT((B2199/28)/21))</f>
        <v>17</v>
      </c>
      <c r="D2199" s="16" t="n">
        <f aca="false">IF(B2199=-1, -1, MOD(INT(B2199/28),21))</f>
        <v>6</v>
      </c>
      <c r="E2199" s="16" t="n">
        <f aca="false">IF(B2199=-1, -1, VLOOKUP(MOD(B2199,28), $T$24:$U$52,2))</f>
        <v>8</v>
      </c>
      <c r="F2199" s="16" t="n">
        <f aca="false">IF($B2199=-1, -1, VLOOKUP(C2199,$T$1:$V$20, 2))</f>
        <v>6</v>
      </c>
      <c r="G2199" s="16" t="n">
        <f aca="false">IF($B2199=-1, -1, VLOOKUP(D2199,$Y$1:$Z$22,2))</f>
        <v>12</v>
      </c>
      <c r="H2199" s="16" t="str">
        <f aca="false">_xlfn.UNICHAR(((F2199*21)+G2199)*28+44032)</f>
        <v>묘</v>
      </c>
      <c r="I2199" s="16" t="n">
        <f aca="false">IF(B2199=-1, 1, COUNTIF($A$2:$A$3000, H2199))</f>
        <v>1</v>
      </c>
      <c r="J2199" s="10" t="str">
        <f aca="false">_xlfn.CONCAT(A2199, ",",H2199,",",I2199)</f>
        <v>펼,묘,1</v>
      </c>
      <c r="K2199" s="16" t="n">
        <f aca="false">IF(B2199=-1,-1,VLOOKUP(C2199,$T$1:$V$20,3))</f>
        <v>25</v>
      </c>
      <c r="L2199" s="16" t="n">
        <f aca="false">IF(B2199=-1,-1,VLOOKUP(D2199,$Y$1:$AA$22,3))</f>
        <v>4</v>
      </c>
      <c r="N2199" s="10" t="str">
        <f aca="false">_xlfn.UNICHAR(((C2199*21)+G2199)*28+44032)</f>
        <v>표</v>
      </c>
      <c r="O2199" s="10" t="str">
        <f aca="false">_xlfn.UNICHAR(((F2199*21)+D2199)*28+44032)</f>
        <v>며</v>
      </c>
      <c r="P2199" s="12" t="n">
        <f aca="false">COUNTIF($A$2:$A$3000, N2199) + COUNTIF($A$2:$A$3000, O2199)</f>
        <v>2</v>
      </c>
      <c r="Q2199" s="16" t="str">
        <f aca="false">IF(OR(B2199=-1,I2199=0, P2199&lt;&gt;2), "albhed_dummy", _xlfn.CONCAT("albhed ", RIGHT("  " &amp; K2199,2),", ", RIGHT("  " &amp; L2199,2), ", " ,"""",H2199,""", ", """",N2199,""", ","""",O2199,""""," ; ", A2199))</f>
        <v>albhed 25,  4, "묘", "표", "며" ; 펼</v>
      </c>
    </row>
    <row r="2200" customFormat="false" ht="17.9" hidden="false" customHeight="true" outlineLevel="0" collapsed="false">
      <c r="A2200" s="16" t="s">
        <v>3045</v>
      </c>
      <c r="B2200" s="16" t="n">
        <f aca="false">IF(_xlfn.UNICODE(A2200)&lt;44032,-1,_xlfn.UNICODE(A2200)-44032)</f>
        <v>10180</v>
      </c>
      <c r="C2200" s="16" t="n">
        <f aca="false">IF(B2200=-1,-1,INT((B2200/28)/21))</f>
        <v>17</v>
      </c>
      <c r="D2200" s="16" t="n">
        <f aca="false">IF(B2200=-1, -1, MOD(INT(B2200/28),21))</f>
        <v>6</v>
      </c>
      <c r="E2200" s="16" t="n">
        <f aca="false">IF(B2200=-1, -1, VLOOKUP(MOD(B2200,28), $T$24:$U$52,2))</f>
        <v>16</v>
      </c>
      <c r="F2200" s="16" t="n">
        <f aca="false">IF($B2200=-1, -1, VLOOKUP(C2200,$T$1:$V$20, 2))</f>
        <v>6</v>
      </c>
      <c r="G2200" s="16" t="n">
        <f aca="false">IF($B2200=-1, -1, VLOOKUP(D2200,$Y$1:$Z$22,2))</f>
        <v>12</v>
      </c>
      <c r="H2200" s="16" t="str">
        <f aca="false">_xlfn.UNICHAR(((F2200*21)+G2200)*28+44032)</f>
        <v>묘</v>
      </c>
      <c r="I2200" s="16" t="n">
        <f aca="false">IF(B2200=-1, 1, COUNTIF($A$2:$A$3000, H2200))</f>
        <v>1</v>
      </c>
      <c r="J2200" s="10" t="str">
        <f aca="false">_xlfn.CONCAT(A2200, ",",H2200,",",I2200)</f>
        <v>폄,묘,1</v>
      </c>
      <c r="K2200" s="16" t="n">
        <f aca="false">IF(B2200=-1,-1,VLOOKUP(C2200,$T$1:$V$20,3))</f>
        <v>25</v>
      </c>
      <c r="L2200" s="16" t="n">
        <f aca="false">IF(B2200=-1,-1,VLOOKUP(D2200,$Y$1:$AA$22,3))</f>
        <v>4</v>
      </c>
      <c r="N2200" s="10" t="str">
        <f aca="false">_xlfn.UNICHAR(((C2200*21)+G2200)*28+44032)</f>
        <v>표</v>
      </c>
      <c r="O2200" s="10" t="str">
        <f aca="false">_xlfn.UNICHAR(((F2200*21)+D2200)*28+44032)</f>
        <v>며</v>
      </c>
      <c r="P2200" s="12" t="n">
        <f aca="false">COUNTIF($A$2:$A$3000, N2200) + COUNTIF($A$2:$A$3000, O2200)</f>
        <v>2</v>
      </c>
      <c r="Q2200" s="16" t="str">
        <f aca="false">IF(OR(B2200=-1,I2200=0, P2200&lt;&gt;2), "albhed_dummy", _xlfn.CONCAT("albhed ", RIGHT("  " &amp; K2200,2),", ", RIGHT("  " &amp; L2200,2), ", " ,"""",H2200,""", ", """",N2200,""", ","""",O2200,""""," ; ", A2200))</f>
        <v>albhed 25,  4, "묘", "표", "며" ; 폄</v>
      </c>
    </row>
    <row r="2201" customFormat="false" ht="17.9" hidden="false" customHeight="true" outlineLevel="0" collapsed="false">
      <c r="A2201" s="16" t="s">
        <v>3046</v>
      </c>
      <c r="B2201" s="16" t="n">
        <f aca="false">IF(_xlfn.UNICODE(A2201)&lt;44032,-1,_xlfn.UNICODE(A2201)-44032)</f>
        <v>10181</v>
      </c>
      <c r="C2201" s="16" t="n">
        <f aca="false">IF(B2201=-1,-1,INT((B2201/28)/21))</f>
        <v>17</v>
      </c>
      <c r="D2201" s="16" t="n">
        <f aca="false">IF(B2201=-1, -1, MOD(INT(B2201/28),21))</f>
        <v>6</v>
      </c>
      <c r="E2201" s="16" t="n">
        <f aca="false">IF(B2201=-1, -1, VLOOKUP(MOD(B2201,28), $T$24:$U$52,2))</f>
        <v>17</v>
      </c>
      <c r="F2201" s="16" t="n">
        <f aca="false">IF($B2201=-1, -1, VLOOKUP(C2201,$T$1:$V$20, 2))</f>
        <v>6</v>
      </c>
      <c r="G2201" s="16" t="n">
        <f aca="false">IF($B2201=-1, -1, VLOOKUP(D2201,$Y$1:$Z$22,2))</f>
        <v>12</v>
      </c>
      <c r="H2201" s="16" t="str">
        <f aca="false">_xlfn.UNICHAR(((F2201*21)+G2201)*28+44032)</f>
        <v>묘</v>
      </c>
      <c r="I2201" s="16" t="n">
        <f aca="false">IF(B2201=-1, 1, COUNTIF($A$2:$A$3000, H2201))</f>
        <v>1</v>
      </c>
      <c r="J2201" s="10" t="str">
        <f aca="false">_xlfn.CONCAT(A2201, ",",H2201,",",I2201)</f>
        <v>폅,묘,1</v>
      </c>
      <c r="K2201" s="16" t="n">
        <f aca="false">IF(B2201=-1,-1,VLOOKUP(C2201,$T$1:$V$20,3))</f>
        <v>25</v>
      </c>
      <c r="L2201" s="16" t="n">
        <f aca="false">IF(B2201=-1,-1,VLOOKUP(D2201,$Y$1:$AA$22,3))</f>
        <v>4</v>
      </c>
      <c r="N2201" s="10" t="str">
        <f aca="false">_xlfn.UNICHAR(((C2201*21)+G2201)*28+44032)</f>
        <v>표</v>
      </c>
      <c r="O2201" s="10" t="str">
        <f aca="false">_xlfn.UNICHAR(((F2201*21)+D2201)*28+44032)</f>
        <v>며</v>
      </c>
      <c r="P2201" s="12" t="n">
        <f aca="false">COUNTIF($A$2:$A$3000, N2201) + COUNTIF($A$2:$A$3000, O2201)</f>
        <v>2</v>
      </c>
      <c r="Q2201" s="16" t="str">
        <f aca="false">IF(OR(B2201=-1,I2201=0, P2201&lt;&gt;2), "albhed_dummy", _xlfn.CONCAT("albhed ", RIGHT("  " &amp; K2201,2),", ", RIGHT("  " &amp; L2201,2), ", " ,"""",H2201,""", ", """",N2201,""", ","""",O2201,""""," ; ", A2201))</f>
        <v>albhed 25,  4, "묘", "표", "며" ; 폅</v>
      </c>
    </row>
    <row r="2202" customFormat="false" ht="17.9" hidden="false" customHeight="true" outlineLevel="0" collapsed="false">
      <c r="A2202" s="16" t="s">
        <v>3047</v>
      </c>
      <c r="B2202" s="16" t="n">
        <f aca="false">IF(_xlfn.UNICODE(A2202)&lt;44032,-1,_xlfn.UNICODE(A2202)-44032)</f>
        <v>10184</v>
      </c>
      <c r="C2202" s="16" t="n">
        <f aca="false">IF(B2202=-1,-1,INT((B2202/28)/21))</f>
        <v>17</v>
      </c>
      <c r="D2202" s="16" t="n">
        <f aca="false">IF(B2202=-1, -1, MOD(INT(B2202/28),21))</f>
        <v>6</v>
      </c>
      <c r="E2202" s="16" t="n">
        <f aca="false">IF(B2202=-1, -1, VLOOKUP(MOD(B2202,28), $T$24:$U$52,2))</f>
        <v>19</v>
      </c>
      <c r="F2202" s="16" t="n">
        <f aca="false">IF($B2202=-1, -1, VLOOKUP(C2202,$T$1:$V$20, 2))</f>
        <v>6</v>
      </c>
      <c r="G2202" s="16" t="n">
        <f aca="false">IF($B2202=-1, -1, VLOOKUP(D2202,$Y$1:$Z$22,2))</f>
        <v>12</v>
      </c>
      <c r="H2202" s="16" t="str">
        <f aca="false">_xlfn.UNICHAR(((F2202*21)+G2202)*28+44032)</f>
        <v>묘</v>
      </c>
      <c r="I2202" s="16" t="n">
        <f aca="false">IF(B2202=-1, 1, COUNTIF($A$2:$A$3000, H2202))</f>
        <v>1</v>
      </c>
      <c r="J2202" s="10" t="str">
        <f aca="false">_xlfn.CONCAT(A2202, ",",H2202,",",I2202)</f>
        <v>폈,묘,1</v>
      </c>
      <c r="K2202" s="16" t="n">
        <f aca="false">IF(B2202=-1,-1,VLOOKUP(C2202,$T$1:$V$20,3))</f>
        <v>25</v>
      </c>
      <c r="L2202" s="16" t="n">
        <f aca="false">IF(B2202=-1,-1,VLOOKUP(D2202,$Y$1:$AA$22,3))</f>
        <v>4</v>
      </c>
      <c r="N2202" s="10" t="str">
        <f aca="false">_xlfn.UNICHAR(((C2202*21)+G2202)*28+44032)</f>
        <v>표</v>
      </c>
      <c r="O2202" s="10" t="str">
        <f aca="false">_xlfn.UNICHAR(((F2202*21)+D2202)*28+44032)</f>
        <v>며</v>
      </c>
      <c r="P2202" s="12" t="n">
        <f aca="false">COUNTIF($A$2:$A$3000, N2202) + COUNTIF($A$2:$A$3000, O2202)</f>
        <v>2</v>
      </c>
      <c r="Q2202" s="16" t="str">
        <f aca="false">IF(OR(B2202=-1,I2202=0, P2202&lt;&gt;2), "albhed_dummy", _xlfn.CONCAT("albhed ", RIGHT("  " &amp; K2202,2),", ", RIGHT("  " &amp; L2202,2), ", " ,"""",H2202,""", ", """",N2202,""", ","""",O2202,""""," ; ", A2202))</f>
        <v>albhed 25,  4, "묘", "표", "며" ; 폈</v>
      </c>
    </row>
    <row r="2203" customFormat="false" ht="17.9" hidden="false" customHeight="true" outlineLevel="0" collapsed="false">
      <c r="A2203" s="16" t="s">
        <v>3048</v>
      </c>
      <c r="B2203" s="16" t="n">
        <f aca="false">IF(_xlfn.UNICODE(A2203)&lt;44032,-1,_xlfn.UNICODE(A2203)-44032)</f>
        <v>10185</v>
      </c>
      <c r="C2203" s="16" t="n">
        <f aca="false">IF(B2203=-1,-1,INT((B2203/28)/21))</f>
        <v>17</v>
      </c>
      <c r="D2203" s="16" t="n">
        <f aca="false">IF(B2203=-1, -1, MOD(INT(B2203/28),21))</f>
        <v>6</v>
      </c>
      <c r="E2203" s="16" t="n">
        <f aca="false">IF(B2203=-1, -1, VLOOKUP(MOD(B2203,28), $T$24:$U$52,2))</f>
        <v>21</v>
      </c>
      <c r="F2203" s="16" t="n">
        <f aca="false">IF($B2203=-1, -1, VLOOKUP(C2203,$T$1:$V$20, 2))</f>
        <v>6</v>
      </c>
      <c r="G2203" s="16" t="n">
        <f aca="false">IF($B2203=-1, -1, VLOOKUP(D2203,$Y$1:$Z$22,2))</f>
        <v>12</v>
      </c>
      <c r="H2203" s="16" t="str">
        <f aca="false">_xlfn.UNICHAR(((F2203*21)+G2203)*28+44032)</f>
        <v>묘</v>
      </c>
      <c r="I2203" s="16" t="n">
        <f aca="false">IF(B2203=-1, 1, COUNTIF($A$2:$A$3000, H2203))</f>
        <v>1</v>
      </c>
      <c r="J2203" s="10" t="str">
        <f aca="false">_xlfn.CONCAT(A2203, ",",H2203,",",I2203)</f>
        <v>평,묘,1</v>
      </c>
      <c r="K2203" s="16" t="n">
        <f aca="false">IF(B2203=-1,-1,VLOOKUP(C2203,$T$1:$V$20,3))</f>
        <v>25</v>
      </c>
      <c r="L2203" s="16" t="n">
        <f aca="false">IF(B2203=-1,-1,VLOOKUP(D2203,$Y$1:$AA$22,3))</f>
        <v>4</v>
      </c>
      <c r="N2203" s="10" t="str">
        <f aca="false">_xlfn.UNICHAR(((C2203*21)+G2203)*28+44032)</f>
        <v>표</v>
      </c>
      <c r="O2203" s="10" t="str">
        <f aca="false">_xlfn.UNICHAR(((F2203*21)+D2203)*28+44032)</f>
        <v>며</v>
      </c>
      <c r="P2203" s="12" t="n">
        <f aca="false">COUNTIF($A$2:$A$3000, N2203) + COUNTIF($A$2:$A$3000, O2203)</f>
        <v>2</v>
      </c>
      <c r="Q2203" s="16" t="str">
        <f aca="false">IF(OR(B2203=-1,I2203=0, P2203&lt;&gt;2), "albhed_dummy", _xlfn.CONCAT("albhed ", RIGHT("  " &amp; K2203,2),", ", RIGHT("  " &amp; L2203,2), ", " ,"""",H2203,""", ", """",N2203,""", ","""",O2203,""""," ; ", A2203))</f>
        <v>albhed 25,  4, "묘", "표", "며" ; 평</v>
      </c>
    </row>
    <row r="2204" customFormat="false" ht="17.9" hidden="false" customHeight="true" outlineLevel="0" collapsed="false">
      <c r="A2204" s="16" t="s">
        <v>3049</v>
      </c>
      <c r="B2204" s="16" t="n">
        <f aca="false">IF(_xlfn.UNICODE(A2204)&lt;44032,-1,_xlfn.UNICODE(A2204)-44032)</f>
        <v>10192</v>
      </c>
      <c r="C2204" s="16" t="n">
        <f aca="false">IF(B2204=-1,-1,INT((B2204/28)/21))</f>
        <v>17</v>
      </c>
      <c r="D2204" s="16" t="n">
        <f aca="false">IF(B2204=-1, -1, MOD(INT(B2204/28),21))</f>
        <v>7</v>
      </c>
      <c r="E2204" s="16" t="n">
        <f aca="false">IF(B2204=-1, -1, VLOOKUP(MOD(B2204,28), $T$24:$U$52,2))</f>
        <v>0</v>
      </c>
      <c r="F2204" s="16" t="n">
        <f aca="false">IF($B2204=-1, -1, VLOOKUP(C2204,$T$1:$V$20, 2))</f>
        <v>6</v>
      </c>
      <c r="G2204" s="16" t="n">
        <f aca="false">IF($B2204=-1, -1, VLOOKUP(D2204,$Y$1:$Z$22,2))</f>
        <v>18</v>
      </c>
      <c r="H2204" s="16" t="str">
        <f aca="false">_xlfn.UNICHAR(((F2204*21)+G2204)*28+44032)</f>
        <v>므</v>
      </c>
      <c r="I2204" s="16" t="n">
        <f aca="false">IF(B2204=-1, 1, COUNTIF($A$2:$A$3000, H2204))</f>
        <v>1</v>
      </c>
      <c r="J2204" s="10" t="str">
        <f aca="false">_xlfn.CONCAT(A2204, ",",H2204,",",I2204)</f>
        <v>폐,므,1</v>
      </c>
      <c r="K2204" s="16" t="n">
        <f aca="false">IF(B2204=-1,-1,VLOOKUP(C2204,$T$1:$V$20,3))</f>
        <v>25</v>
      </c>
      <c r="L2204" s="16" t="n">
        <f aca="false">IF(B2204=-1,-1,VLOOKUP(D2204,$Y$1:$AA$22,3))</f>
        <v>14</v>
      </c>
      <c r="N2204" s="10" t="str">
        <f aca="false">_xlfn.UNICHAR(((C2204*21)+G2204)*28+44032)</f>
        <v>프</v>
      </c>
      <c r="O2204" s="10" t="str">
        <f aca="false">_xlfn.UNICHAR(((F2204*21)+D2204)*28+44032)</f>
        <v>몌</v>
      </c>
      <c r="P2204" s="12" t="n">
        <f aca="false">COUNTIF($A$2:$A$3000, N2204) + COUNTIF($A$2:$A$3000, O2204)</f>
        <v>2</v>
      </c>
      <c r="Q2204" s="16" t="str">
        <f aca="false">IF(OR(B2204=-1,I2204=0, P2204&lt;&gt;2), "albhed_dummy", _xlfn.CONCAT("albhed ", RIGHT("  " &amp; K2204,2),", ", RIGHT("  " &amp; L2204,2), ", " ,"""",H2204,""", ", """",N2204,""", ","""",O2204,""""," ; ", A2204))</f>
        <v>albhed 25, 14, "므", "프", "몌" ; 폐</v>
      </c>
    </row>
    <row r="2205" customFormat="false" ht="17.9" hidden="false" customHeight="true" outlineLevel="0" collapsed="false">
      <c r="A2205" s="16" t="s">
        <v>3050</v>
      </c>
      <c r="B2205" s="16" t="n">
        <f aca="false">IF(_xlfn.UNICODE(A2205)&lt;44032,-1,_xlfn.UNICODE(A2205)-44032)</f>
        <v>10200</v>
      </c>
      <c r="C2205" s="16" t="n">
        <f aca="false">IF(B2205=-1,-1,INT((B2205/28)/21))</f>
        <v>17</v>
      </c>
      <c r="D2205" s="16" t="n">
        <f aca="false">IF(B2205=-1, -1, MOD(INT(B2205/28),21))</f>
        <v>7</v>
      </c>
      <c r="E2205" s="16" t="n">
        <f aca="false">IF(B2205=-1, -1, VLOOKUP(MOD(B2205,28), $T$24:$U$52,2))</f>
        <v>8</v>
      </c>
      <c r="F2205" s="16" t="n">
        <f aca="false">IF($B2205=-1, -1, VLOOKUP(C2205,$T$1:$V$20, 2))</f>
        <v>6</v>
      </c>
      <c r="G2205" s="16" t="n">
        <f aca="false">IF($B2205=-1, -1, VLOOKUP(D2205,$Y$1:$Z$22,2))</f>
        <v>18</v>
      </c>
      <c r="H2205" s="16" t="str">
        <f aca="false">_xlfn.UNICHAR(((F2205*21)+G2205)*28+44032)</f>
        <v>므</v>
      </c>
      <c r="I2205" s="16" t="n">
        <f aca="false">IF(B2205=-1, 1, COUNTIF($A$2:$A$3000, H2205))</f>
        <v>1</v>
      </c>
      <c r="J2205" s="10" t="str">
        <f aca="false">_xlfn.CONCAT(A2205, ",",H2205,",",I2205)</f>
        <v>폘,므,1</v>
      </c>
      <c r="K2205" s="16" t="n">
        <f aca="false">IF(B2205=-1,-1,VLOOKUP(C2205,$T$1:$V$20,3))</f>
        <v>25</v>
      </c>
      <c r="L2205" s="16" t="n">
        <f aca="false">IF(B2205=-1,-1,VLOOKUP(D2205,$Y$1:$AA$22,3))</f>
        <v>14</v>
      </c>
      <c r="N2205" s="10" t="str">
        <f aca="false">_xlfn.UNICHAR(((C2205*21)+G2205)*28+44032)</f>
        <v>프</v>
      </c>
      <c r="O2205" s="10" t="str">
        <f aca="false">_xlfn.UNICHAR(((F2205*21)+D2205)*28+44032)</f>
        <v>몌</v>
      </c>
      <c r="P2205" s="12" t="n">
        <f aca="false">COUNTIF($A$2:$A$3000, N2205) + COUNTIF($A$2:$A$3000, O2205)</f>
        <v>2</v>
      </c>
      <c r="Q2205" s="16" t="str">
        <f aca="false">IF(OR(B2205=-1,I2205=0, P2205&lt;&gt;2), "albhed_dummy", _xlfn.CONCAT("albhed ", RIGHT("  " &amp; K2205,2),", ", RIGHT("  " &amp; L2205,2), ", " ,"""",H2205,""", ", """",N2205,""", ","""",O2205,""""," ; ", A2205))</f>
        <v>albhed 25, 14, "므", "프", "몌" ; 폘</v>
      </c>
    </row>
    <row r="2206" customFormat="false" ht="17.9" hidden="false" customHeight="true" outlineLevel="0" collapsed="false">
      <c r="A2206" s="16" t="s">
        <v>3051</v>
      </c>
      <c r="B2206" s="16" t="n">
        <f aca="false">IF(_xlfn.UNICODE(A2206)&lt;44032,-1,_xlfn.UNICODE(A2206)-44032)</f>
        <v>10209</v>
      </c>
      <c r="C2206" s="16" t="n">
        <f aca="false">IF(B2206=-1,-1,INT((B2206/28)/21))</f>
        <v>17</v>
      </c>
      <c r="D2206" s="16" t="n">
        <f aca="false">IF(B2206=-1, -1, MOD(INT(B2206/28),21))</f>
        <v>7</v>
      </c>
      <c r="E2206" s="16" t="n">
        <f aca="false">IF(B2206=-1, -1, VLOOKUP(MOD(B2206,28), $T$24:$U$52,2))</f>
        <v>17</v>
      </c>
      <c r="F2206" s="16" t="n">
        <f aca="false">IF($B2206=-1, -1, VLOOKUP(C2206,$T$1:$V$20, 2))</f>
        <v>6</v>
      </c>
      <c r="G2206" s="16" t="n">
        <f aca="false">IF($B2206=-1, -1, VLOOKUP(D2206,$Y$1:$Z$22,2))</f>
        <v>18</v>
      </c>
      <c r="H2206" s="16" t="str">
        <f aca="false">_xlfn.UNICHAR(((F2206*21)+G2206)*28+44032)</f>
        <v>므</v>
      </c>
      <c r="I2206" s="16" t="n">
        <f aca="false">IF(B2206=-1, 1, COUNTIF($A$2:$A$3000, H2206))</f>
        <v>1</v>
      </c>
      <c r="J2206" s="10" t="str">
        <f aca="false">_xlfn.CONCAT(A2206, ",",H2206,",",I2206)</f>
        <v>폡,므,1</v>
      </c>
      <c r="K2206" s="16" t="n">
        <f aca="false">IF(B2206=-1,-1,VLOOKUP(C2206,$T$1:$V$20,3))</f>
        <v>25</v>
      </c>
      <c r="L2206" s="16" t="n">
        <f aca="false">IF(B2206=-1,-1,VLOOKUP(D2206,$Y$1:$AA$22,3))</f>
        <v>14</v>
      </c>
      <c r="N2206" s="10" t="str">
        <f aca="false">_xlfn.UNICHAR(((C2206*21)+G2206)*28+44032)</f>
        <v>프</v>
      </c>
      <c r="O2206" s="10" t="str">
        <f aca="false">_xlfn.UNICHAR(((F2206*21)+D2206)*28+44032)</f>
        <v>몌</v>
      </c>
      <c r="P2206" s="12" t="n">
        <f aca="false">COUNTIF($A$2:$A$3000, N2206) + COUNTIF($A$2:$A$3000, O2206)</f>
        <v>2</v>
      </c>
      <c r="Q2206" s="16" t="str">
        <f aca="false">IF(OR(B2206=-1,I2206=0, P2206&lt;&gt;2), "albhed_dummy", _xlfn.CONCAT("albhed ", RIGHT("  " &amp; K2206,2),", ", RIGHT("  " &amp; L2206,2), ", " ,"""",H2206,""", ", """",N2206,""", ","""",O2206,""""," ; ", A2206))</f>
        <v>albhed 25, 14, "므", "프", "몌" ; 폡</v>
      </c>
    </row>
    <row r="2207" customFormat="false" ht="17.9" hidden="false" customHeight="true" outlineLevel="0" collapsed="false">
      <c r="A2207" s="16" t="s">
        <v>3052</v>
      </c>
      <c r="B2207" s="16" t="n">
        <f aca="false">IF(_xlfn.UNICODE(A2207)&lt;44032,-1,_xlfn.UNICODE(A2207)-44032)</f>
        <v>10211</v>
      </c>
      <c r="C2207" s="16" t="n">
        <f aca="false">IF(B2207=-1,-1,INT((B2207/28)/21))</f>
        <v>17</v>
      </c>
      <c r="D2207" s="16" t="n">
        <f aca="false">IF(B2207=-1, -1, MOD(INT(B2207/28),21))</f>
        <v>7</v>
      </c>
      <c r="E2207" s="16" t="n">
        <f aca="false">IF(B2207=-1, -1, VLOOKUP(MOD(B2207,28), $T$24:$U$52,2))</f>
        <v>19</v>
      </c>
      <c r="F2207" s="16" t="n">
        <f aca="false">IF($B2207=-1, -1, VLOOKUP(C2207,$T$1:$V$20, 2))</f>
        <v>6</v>
      </c>
      <c r="G2207" s="16" t="n">
        <f aca="false">IF($B2207=-1, -1, VLOOKUP(D2207,$Y$1:$Z$22,2))</f>
        <v>18</v>
      </c>
      <c r="H2207" s="16" t="str">
        <f aca="false">_xlfn.UNICHAR(((F2207*21)+G2207)*28+44032)</f>
        <v>므</v>
      </c>
      <c r="I2207" s="16" t="n">
        <f aca="false">IF(B2207=-1, 1, COUNTIF($A$2:$A$3000, H2207))</f>
        <v>1</v>
      </c>
      <c r="J2207" s="10" t="str">
        <f aca="false">_xlfn.CONCAT(A2207, ",",H2207,",",I2207)</f>
        <v>폣,므,1</v>
      </c>
      <c r="K2207" s="16" t="n">
        <f aca="false">IF(B2207=-1,-1,VLOOKUP(C2207,$T$1:$V$20,3))</f>
        <v>25</v>
      </c>
      <c r="L2207" s="16" t="n">
        <f aca="false">IF(B2207=-1,-1,VLOOKUP(D2207,$Y$1:$AA$22,3))</f>
        <v>14</v>
      </c>
      <c r="N2207" s="10" t="str">
        <f aca="false">_xlfn.UNICHAR(((C2207*21)+G2207)*28+44032)</f>
        <v>프</v>
      </c>
      <c r="O2207" s="10" t="str">
        <f aca="false">_xlfn.UNICHAR(((F2207*21)+D2207)*28+44032)</f>
        <v>몌</v>
      </c>
      <c r="P2207" s="12" t="n">
        <f aca="false">COUNTIF($A$2:$A$3000, N2207) + COUNTIF($A$2:$A$3000, O2207)</f>
        <v>2</v>
      </c>
      <c r="Q2207" s="16" t="str">
        <f aca="false">IF(OR(B2207=-1,I2207=0, P2207&lt;&gt;2), "albhed_dummy", _xlfn.CONCAT("albhed ", RIGHT("  " &amp; K2207,2),", ", RIGHT("  " &amp; L2207,2), ", " ,"""",H2207,""", ", """",N2207,""", ","""",O2207,""""," ; ", A2207))</f>
        <v>albhed 25, 14, "므", "프", "몌" ; 폣</v>
      </c>
    </row>
    <row r="2208" customFormat="false" ht="17.9" hidden="false" customHeight="true" outlineLevel="0" collapsed="false">
      <c r="A2208" s="16" t="s">
        <v>3053</v>
      </c>
      <c r="B2208" s="16" t="n">
        <f aca="false">IF(_xlfn.UNICODE(A2208)&lt;44032,-1,_xlfn.UNICODE(A2208)-44032)</f>
        <v>10220</v>
      </c>
      <c r="C2208" s="16" t="n">
        <f aca="false">IF(B2208=-1,-1,INT((B2208/28)/21))</f>
        <v>17</v>
      </c>
      <c r="D2208" s="16" t="n">
        <f aca="false">IF(B2208=-1, -1, MOD(INT(B2208/28),21))</f>
        <v>8</v>
      </c>
      <c r="E2208" s="16" t="n">
        <f aca="false">IF(B2208=-1, -1, VLOOKUP(MOD(B2208,28), $T$24:$U$52,2))</f>
        <v>0</v>
      </c>
      <c r="F2208" s="16" t="n">
        <f aca="false">IF($B2208=-1, -1, VLOOKUP(C2208,$T$1:$V$20, 2))</f>
        <v>6</v>
      </c>
      <c r="G2208" s="16" t="n">
        <f aca="false">IF($B2208=-1, -1, VLOOKUP(D2208,$Y$1:$Z$22,2))</f>
        <v>4</v>
      </c>
      <c r="H2208" s="16" t="str">
        <f aca="false">_xlfn.UNICHAR(((F2208*21)+G2208)*28+44032)</f>
        <v>머</v>
      </c>
      <c r="I2208" s="16" t="n">
        <f aca="false">IF(B2208=-1, 1, COUNTIF($A$2:$A$3000, H2208))</f>
        <v>1</v>
      </c>
      <c r="J2208" s="10" t="str">
        <f aca="false">_xlfn.CONCAT(A2208, ",",H2208,",",I2208)</f>
        <v>포,머,1</v>
      </c>
      <c r="K2208" s="16" t="n">
        <f aca="false">IF(B2208=-1,-1,VLOOKUP(C2208,$T$1:$V$20,3))</f>
        <v>25</v>
      </c>
      <c r="L2208" s="16" t="n">
        <f aca="false">IF(B2208=-1,-1,VLOOKUP(D2208,$Y$1:$AA$22,3))</f>
        <v>8</v>
      </c>
      <c r="N2208" s="10" t="str">
        <f aca="false">_xlfn.UNICHAR(((C2208*21)+G2208)*28+44032)</f>
        <v>퍼</v>
      </c>
      <c r="O2208" s="10" t="str">
        <f aca="false">_xlfn.UNICHAR(((F2208*21)+D2208)*28+44032)</f>
        <v>모</v>
      </c>
      <c r="P2208" s="12" t="n">
        <f aca="false">COUNTIF($A$2:$A$3000, N2208) + COUNTIF($A$2:$A$3000, O2208)</f>
        <v>2</v>
      </c>
      <c r="Q2208" s="16" t="str">
        <f aca="false">IF(OR(B2208=-1,I2208=0, P2208&lt;&gt;2), "albhed_dummy", _xlfn.CONCAT("albhed ", RIGHT("  " &amp; K2208,2),", ", RIGHT("  " &amp; L2208,2), ", " ,"""",H2208,""", ", """",N2208,""", ","""",O2208,""""," ; ", A2208))</f>
        <v>albhed 25,  8, "머", "퍼", "모" ; 포</v>
      </c>
    </row>
    <row r="2209" customFormat="false" ht="17.9" hidden="false" customHeight="true" outlineLevel="0" collapsed="false">
      <c r="A2209" s="16" t="s">
        <v>3054</v>
      </c>
      <c r="B2209" s="16" t="n">
        <f aca="false">IF(_xlfn.UNICODE(A2209)&lt;44032,-1,_xlfn.UNICODE(A2209)-44032)</f>
        <v>10221</v>
      </c>
      <c r="C2209" s="16" t="n">
        <f aca="false">IF(B2209=-1,-1,INT((B2209/28)/21))</f>
        <v>17</v>
      </c>
      <c r="D2209" s="16" t="n">
        <f aca="false">IF(B2209=-1, -1, MOD(INT(B2209/28),21))</f>
        <v>8</v>
      </c>
      <c r="E2209" s="16" t="n">
        <f aca="false">IF(B2209=-1, -1, VLOOKUP(MOD(B2209,28), $T$24:$U$52,2))</f>
        <v>1</v>
      </c>
      <c r="F2209" s="16" t="n">
        <f aca="false">IF($B2209=-1, -1, VLOOKUP(C2209,$T$1:$V$20, 2))</f>
        <v>6</v>
      </c>
      <c r="G2209" s="16" t="n">
        <f aca="false">IF($B2209=-1, -1, VLOOKUP(D2209,$Y$1:$Z$22,2))</f>
        <v>4</v>
      </c>
      <c r="H2209" s="16" t="str">
        <f aca="false">_xlfn.UNICHAR(((F2209*21)+G2209)*28+44032)</f>
        <v>머</v>
      </c>
      <c r="I2209" s="16" t="n">
        <f aca="false">IF(B2209=-1, 1, COUNTIF($A$2:$A$3000, H2209))</f>
        <v>1</v>
      </c>
      <c r="J2209" s="10" t="str">
        <f aca="false">_xlfn.CONCAT(A2209, ",",H2209,",",I2209)</f>
        <v>폭,머,1</v>
      </c>
      <c r="K2209" s="16" t="n">
        <f aca="false">IF(B2209=-1,-1,VLOOKUP(C2209,$T$1:$V$20,3))</f>
        <v>25</v>
      </c>
      <c r="L2209" s="16" t="n">
        <f aca="false">IF(B2209=-1,-1,VLOOKUP(D2209,$Y$1:$AA$22,3))</f>
        <v>8</v>
      </c>
      <c r="N2209" s="10" t="str">
        <f aca="false">_xlfn.UNICHAR(((C2209*21)+G2209)*28+44032)</f>
        <v>퍼</v>
      </c>
      <c r="O2209" s="10" t="str">
        <f aca="false">_xlfn.UNICHAR(((F2209*21)+D2209)*28+44032)</f>
        <v>모</v>
      </c>
      <c r="P2209" s="12" t="n">
        <f aca="false">COUNTIF($A$2:$A$3000, N2209) + COUNTIF($A$2:$A$3000, O2209)</f>
        <v>2</v>
      </c>
      <c r="Q2209" s="16" t="str">
        <f aca="false">IF(OR(B2209=-1,I2209=0, P2209&lt;&gt;2), "albhed_dummy", _xlfn.CONCAT("albhed ", RIGHT("  " &amp; K2209,2),", ", RIGHT("  " &amp; L2209,2), ", " ,"""",H2209,""", ", """",N2209,""", ","""",O2209,""""," ; ", A2209))</f>
        <v>albhed 25,  8, "머", "퍼", "모" ; 폭</v>
      </c>
    </row>
    <row r="2210" customFormat="false" ht="17.9" hidden="false" customHeight="true" outlineLevel="0" collapsed="false">
      <c r="A2210" s="16" t="s">
        <v>3055</v>
      </c>
      <c r="B2210" s="16" t="n">
        <f aca="false">IF(_xlfn.UNICODE(A2210)&lt;44032,-1,_xlfn.UNICODE(A2210)-44032)</f>
        <v>10224</v>
      </c>
      <c r="C2210" s="16" t="n">
        <f aca="false">IF(B2210=-1,-1,INT((B2210/28)/21))</f>
        <v>17</v>
      </c>
      <c r="D2210" s="16" t="n">
        <f aca="false">IF(B2210=-1, -1, MOD(INT(B2210/28),21))</f>
        <v>8</v>
      </c>
      <c r="E2210" s="16" t="n">
        <f aca="false">IF(B2210=-1, -1, VLOOKUP(MOD(B2210,28), $T$24:$U$52,2))</f>
        <v>4</v>
      </c>
      <c r="F2210" s="16" t="n">
        <f aca="false">IF($B2210=-1, -1, VLOOKUP(C2210,$T$1:$V$20, 2))</f>
        <v>6</v>
      </c>
      <c r="G2210" s="16" t="n">
        <f aca="false">IF($B2210=-1, -1, VLOOKUP(D2210,$Y$1:$Z$22,2))</f>
        <v>4</v>
      </c>
      <c r="H2210" s="16" t="str">
        <f aca="false">_xlfn.UNICHAR(((F2210*21)+G2210)*28+44032)</f>
        <v>머</v>
      </c>
      <c r="I2210" s="16" t="n">
        <f aca="false">IF(B2210=-1, 1, COUNTIF($A$2:$A$3000, H2210))</f>
        <v>1</v>
      </c>
      <c r="J2210" s="10" t="str">
        <f aca="false">_xlfn.CONCAT(A2210, ",",H2210,",",I2210)</f>
        <v>폰,머,1</v>
      </c>
      <c r="K2210" s="16" t="n">
        <f aca="false">IF(B2210=-1,-1,VLOOKUP(C2210,$T$1:$V$20,3))</f>
        <v>25</v>
      </c>
      <c r="L2210" s="16" t="n">
        <f aca="false">IF(B2210=-1,-1,VLOOKUP(D2210,$Y$1:$AA$22,3))</f>
        <v>8</v>
      </c>
      <c r="N2210" s="10" t="str">
        <f aca="false">_xlfn.UNICHAR(((C2210*21)+G2210)*28+44032)</f>
        <v>퍼</v>
      </c>
      <c r="O2210" s="10" t="str">
        <f aca="false">_xlfn.UNICHAR(((F2210*21)+D2210)*28+44032)</f>
        <v>모</v>
      </c>
      <c r="P2210" s="12" t="n">
        <f aca="false">COUNTIF($A$2:$A$3000, N2210) + COUNTIF($A$2:$A$3000, O2210)</f>
        <v>2</v>
      </c>
      <c r="Q2210" s="16" t="str">
        <f aca="false">IF(OR(B2210=-1,I2210=0, P2210&lt;&gt;2), "albhed_dummy", _xlfn.CONCAT("albhed ", RIGHT("  " &amp; K2210,2),", ", RIGHT("  " &amp; L2210,2), ", " ,"""",H2210,""", ", """",N2210,""", ","""",O2210,""""," ; ", A2210))</f>
        <v>albhed 25,  8, "머", "퍼", "모" ; 폰</v>
      </c>
    </row>
    <row r="2211" customFormat="false" ht="17.9" hidden="false" customHeight="true" outlineLevel="0" collapsed="false">
      <c r="A2211" s="16" t="s">
        <v>3056</v>
      </c>
      <c r="B2211" s="16" t="n">
        <f aca="false">IF(_xlfn.UNICODE(A2211)&lt;44032,-1,_xlfn.UNICODE(A2211)-44032)</f>
        <v>10228</v>
      </c>
      <c r="C2211" s="16" t="n">
        <f aca="false">IF(B2211=-1,-1,INT((B2211/28)/21))</f>
        <v>17</v>
      </c>
      <c r="D2211" s="16" t="n">
        <f aca="false">IF(B2211=-1, -1, MOD(INT(B2211/28),21))</f>
        <v>8</v>
      </c>
      <c r="E2211" s="16" t="n">
        <f aca="false">IF(B2211=-1, -1, VLOOKUP(MOD(B2211,28), $T$24:$U$52,2))</f>
        <v>8</v>
      </c>
      <c r="F2211" s="16" t="n">
        <f aca="false">IF($B2211=-1, -1, VLOOKUP(C2211,$T$1:$V$20, 2))</f>
        <v>6</v>
      </c>
      <c r="G2211" s="16" t="n">
        <f aca="false">IF($B2211=-1, -1, VLOOKUP(D2211,$Y$1:$Z$22,2))</f>
        <v>4</v>
      </c>
      <c r="H2211" s="16" t="str">
        <f aca="false">_xlfn.UNICHAR(((F2211*21)+G2211)*28+44032)</f>
        <v>머</v>
      </c>
      <c r="I2211" s="16" t="n">
        <f aca="false">IF(B2211=-1, 1, COUNTIF($A$2:$A$3000, H2211))</f>
        <v>1</v>
      </c>
      <c r="J2211" s="10" t="str">
        <f aca="false">_xlfn.CONCAT(A2211, ",",H2211,",",I2211)</f>
        <v>폴,머,1</v>
      </c>
      <c r="K2211" s="16" t="n">
        <f aca="false">IF(B2211=-1,-1,VLOOKUP(C2211,$T$1:$V$20,3))</f>
        <v>25</v>
      </c>
      <c r="L2211" s="16" t="n">
        <f aca="false">IF(B2211=-1,-1,VLOOKUP(D2211,$Y$1:$AA$22,3))</f>
        <v>8</v>
      </c>
      <c r="N2211" s="10" t="str">
        <f aca="false">_xlfn.UNICHAR(((C2211*21)+G2211)*28+44032)</f>
        <v>퍼</v>
      </c>
      <c r="O2211" s="10" t="str">
        <f aca="false">_xlfn.UNICHAR(((F2211*21)+D2211)*28+44032)</f>
        <v>모</v>
      </c>
      <c r="P2211" s="12" t="n">
        <f aca="false">COUNTIF($A$2:$A$3000, N2211) + COUNTIF($A$2:$A$3000, O2211)</f>
        <v>2</v>
      </c>
      <c r="Q2211" s="16" t="str">
        <f aca="false">IF(OR(B2211=-1,I2211=0, P2211&lt;&gt;2), "albhed_dummy", _xlfn.CONCAT("albhed ", RIGHT("  " &amp; K2211,2),", ", RIGHT("  " &amp; L2211,2), ", " ,"""",H2211,""", ", """",N2211,""", ","""",O2211,""""," ; ", A2211))</f>
        <v>albhed 25,  8, "머", "퍼", "모" ; 폴</v>
      </c>
    </row>
    <row r="2212" customFormat="false" ht="17.9" hidden="false" customHeight="true" outlineLevel="0" collapsed="false">
      <c r="A2212" s="16" t="s">
        <v>3057</v>
      </c>
      <c r="B2212" s="16" t="n">
        <f aca="false">IF(_xlfn.UNICODE(A2212)&lt;44032,-1,_xlfn.UNICODE(A2212)-44032)</f>
        <v>10236</v>
      </c>
      <c r="C2212" s="16" t="n">
        <f aca="false">IF(B2212=-1,-1,INT((B2212/28)/21))</f>
        <v>17</v>
      </c>
      <c r="D2212" s="16" t="n">
        <f aca="false">IF(B2212=-1, -1, MOD(INT(B2212/28),21))</f>
        <v>8</v>
      </c>
      <c r="E2212" s="16" t="n">
        <f aca="false">IF(B2212=-1, -1, VLOOKUP(MOD(B2212,28), $T$24:$U$52,2))</f>
        <v>16</v>
      </c>
      <c r="F2212" s="16" t="n">
        <f aca="false">IF($B2212=-1, -1, VLOOKUP(C2212,$T$1:$V$20, 2))</f>
        <v>6</v>
      </c>
      <c r="G2212" s="16" t="n">
        <f aca="false">IF($B2212=-1, -1, VLOOKUP(D2212,$Y$1:$Z$22,2))</f>
        <v>4</v>
      </c>
      <c r="H2212" s="16" t="str">
        <f aca="false">_xlfn.UNICHAR(((F2212*21)+G2212)*28+44032)</f>
        <v>머</v>
      </c>
      <c r="I2212" s="16" t="n">
        <f aca="false">IF(B2212=-1, 1, COUNTIF($A$2:$A$3000, H2212))</f>
        <v>1</v>
      </c>
      <c r="J2212" s="10" t="str">
        <f aca="false">_xlfn.CONCAT(A2212, ",",H2212,",",I2212)</f>
        <v>폼,머,1</v>
      </c>
      <c r="K2212" s="16" t="n">
        <f aca="false">IF(B2212=-1,-1,VLOOKUP(C2212,$T$1:$V$20,3))</f>
        <v>25</v>
      </c>
      <c r="L2212" s="16" t="n">
        <f aca="false">IF(B2212=-1,-1,VLOOKUP(D2212,$Y$1:$AA$22,3))</f>
        <v>8</v>
      </c>
      <c r="N2212" s="10" t="str">
        <f aca="false">_xlfn.UNICHAR(((C2212*21)+G2212)*28+44032)</f>
        <v>퍼</v>
      </c>
      <c r="O2212" s="10" t="str">
        <f aca="false">_xlfn.UNICHAR(((F2212*21)+D2212)*28+44032)</f>
        <v>모</v>
      </c>
      <c r="P2212" s="12" t="n">
        <f aca="false">COUNTIF($A$2:$A$3000, N2212) + COUNTIF($A$2:$A$3000, O2212)</f>
        <v>2</v>
      </c>
      <c r="Q2212" s="16" t="str">
        <f aca="false">IF(OR(B2212=-1,I2212=0, P2212&lt;&gt;2), "albhed_dummy", _xlfn.CONCAT("albhed ", RIGHT("  " &amp; K2212,2),", ", RIGHT("  " &amp; L2212,2), ", " ,"""",H2212,""", ", """",N2212,""", ","""",O2212,""""," ; ", A2212))</f>
        <v>albhed 25,  8, "머", "퍼", "모" ; 폼</v>
      </c>
    </row>
    <row r="2213" customFormat="false" ht="17.9" hidden="false" customHeight="true" outlineLevel="0" collapsed="false">
      <c r="A2213" s="16" t="s">
        <v>3058</v>
      </c>
      <c r="B2213" s="16" t="n">
        <f aca="false">IF(_xlfn.UNICODE(A2213)&lt;44032,-1,_xlfn.UNICODE(A2213)-44032)</f>
        <v>10237</v>
      </c>
      <c r="C2213" s="16" t="n">
        <f aca="false">IF(B2213=-1,-1,INT((B2213/28)/21))</f>
        <v>17</v>
      </c>
      <c r="D2213" s="16" t="n">
        <f aca="false">IF(B2213=-1, -1, MOD(INT(B2213/28),21))</f>
        <v>8</v>
      </c>
      <c r="E2213" s="16" t="n">
        <f aca="false">IF(B2213=-1, -1, VLOOKUP(MOD(B2213,28), $T$24:$U$52,2))</f>
        <v>17</v>
      </c>
      <c r="F2213" s="16" t="n">
        <f aca="false">IF($B2213=-1, -1, VLOOKUP(C2213,$T$1:$V$20, 2))</f>
        <v>6</v>
      </c>
      <c r="G2213" s="16" t="n">
        <f aca="false">IF($B2213=-1, -1, VLOOKUP(D2213,$Y$1:$Z$22,2))</f>
        <v>4</v>
      </c>
      <c r="H2213" s="16" t="str">
        <f aca="false">_xlfn.UNICHAR(((F2213*21)+G2213)*28+44032)</f>
        <v>머</v>
      </c>
      <c r="I2213" s="16" t="n">
        <f aca="false">IF(B2213=-1, 1, COUNTIF($A$2:$A$3000, H2213))</f>
        <v>1</v>
      </c>
      <c r="J2213" s="10" t="str">
        <f aca="false">_xlfn.CONCAT(A2213, ",",H2213,",",I2213)</f>
        <v>폽,머,1</v>
      </c>
      <c r="K2213" s="16" t="n">
        <f aca="false">IF(B2213=-1,-1,VLOOKUP(C2213,$T$1:$V$20,3))</f>
        <v>25</v>
      </c>
      <c r="L2213" s="16" t="n">
        <f aca="false">IF(B2213=-1,-1,VLOOKUP(D2213,$Y$1:$AA$22,3))</f>
        <v>8</v>
      </c>
      <c r="N2213" s="10" t="str">
        <f aca="false">_xlfn.UNICHAR(((C2213*21)+G2213)*28+44032)</f>
        <v>퍼</v>
      </c>
      <c r="O2213" s="10" t="str">
        <f aca="false">_xlfn.UNICHAR(((F2213*21)+D2213)*28+44032)</f>
        <v>모</v>
      </c>
      <c r="P2213" s="12" t="n">
        <f aca="false">COUNTIF($A$2:$A$3000, N2213) + COUNTIF($A$2:$A$3000, O2213)</f>
        <v>2</v>
      </c>
      <c r="Q2213" s="16" t="str">
        <f aca="false">IF(OR(B2213=-1,I2213=0, P2213&lt;&gt;2), "albhed_dummy", _xlfn.CONCAT("albhed ", RIGHT("  " &amp; K2213,2),", ", RIGHT("  " &amp; L2213,2), ", " ,"""",H2213,""", ", """",N2213,""", ","""",O2213,""""," ; ", A2213))</f>
        <v>albhed 25,  8, "머", "퍼", "모" ; 폽</v>
      </c>
    </row>
    <row r="2214" customFormat="false" ht="17.9" hidden="false" customHeight="true" outlineLevel="0" collapsed="false">
      <c r="A2214" s="16" t="s">
        <v>3059</v>
      </c>
      <c r="B2214" s="16" t="n">
        <f aca="false">IF(_xlfn.UNICODE(A2214)&lt;44032,-1,_xlfn.UNICODE(A2214)-44032)</f>
        <v>10239</v>
      </c>
      <c r="C2214" s="16" t="n">
        <f aca="false">IF(B2214=-1,-1,INT((B2214/28)/21))</f>
        <v>17</v>
      </c>
      <c r="D2214" s="16" t="n">
        <f aca="false">IF(B2214=-1, -1, MOD(INT(B2214/28),21))</f>
        <v>8</v>
      </c>
      <c r="E2214" s="16" t="n">
        <f aca="false">IF(B2214=-1, -1, VLOOKUP(MOD(B2214,28), $T$24:$U$52,2))</f>
        <v>19</v>
      </c>
      <c r="F2214" s="16" t="n">
        <f aca="false">IF($B2214=-1, -1, VLOOKUP(C2214,$T$1:$V$20, 2))</f>
        <v>6</v>
      </c>
      <c r="G2214" s="16" t="n">
        <f aca="false">IF($B2214=-1, -1, VLOOKUP(D2214,$Y$1:$Z$22,2))</f>
        <v>4</v>
      </c>
      <c r="H2214" s="16" t="str">
        <f aca="false">_xlfn.UNICHAR(((F2214*21)+G2214)*28+44032)</f>
        <v>머</v>
      </c>
      <c r="I2214" s="16" t="n">
        <f aca="false">IF(B2214=-1, 1, COUNTIF($A$2:$A$3000, H2214))</f>
        <v>1</v>
      </c>
      <c r="J2214" s="10" t="str">
        <f aca="false">_xlfn.CONCAT(A2214, ",",H2214,",",I2214)</f>
        <v>폿,머,1</v>
      </c>
      <c r="K2214" s="16" t="n">
        <f aca="false">IF(B2214=-1,-1,VLOOKUP(C2214,$T$1:$V$20,3))</f>
        <v>25</v>
      </c>
      <c r="L2214" s="16" t="n">
        <f aca="false">IF(B2214=-1,-1,VLOOKUP(D2214,$Y$1:$AA$22,3))</f>
        <v>8</v>
      </c>
      <c r="N2214" s="10" t="str">
        <f aca="false">_xlfn.UNICHAR(((C2214*21)+G2214)*28+44032)</f>
        <v>퍼</v>
      </c>
      <c r="O2214" s="10" t="str">
        <f aca="false">_xlfn.UNICHAR(((F2214*21)+D2214)*28+44032)</f>
        <v>모</v>
      </c>
      <c r="P2214" s="12" t="n">
        <f aca="false">COUNTIF($A$2:$A$3000, N2214) + COUNTIF($A$2:$A$3000, O2214)</f>
        <v>2</v>
      </c>
      <c r="Q2214" s="16" t="str">
        <f aca="false">IF(OR(B2214=-1,I2214=0, P2214&lt;&gt;2), "albhed_dummy", _xlfn.CONCAT("albhed ", RIGHT("  " &amp; K2214,2),", ", RIGHT("  " &amp; L2214,2), ", " ,"""",H2214,""", ", """",N2214,""", ","""",O2214,""""," ; ", A2214))</f>
        <v>albhed 25,  8, "머", "퍼", "모" ; 폿</v>
      </c>
    </row>
    <row r="2215" customFormat="false" ht="17.9" hidden="false" customHeight="true" outlineLevel="0" collapsed="false">
      <c r="A2215" s="16" t="s">
        <v>3060</v>
      </c>
      <c r="B2215" s="16" t="n">
        <f aca="false">IF(_xlfn.UNICODE(A2215)&lt;44032,-1,_xlfn.UNICODE(A2215)-44032)</f>
        <v>10241</v>
      </c>
      <c r="C2215" s="16" t="n">
        <f aca="false">IF(B2215=-1,-1,INT((B2215/28)/21))</f>
        <v>17</v>
      </c>
      <c r="D2215" s="16" t="n">
        <f aca="false">IF(B2215=-1, -1, MOD(INT(B2215/28),21))</f>
        <v>8</v>
      </c>
      <c r="E2215" s="16" t="n">
        <f aca="false">IF(B2215=-1, -1, VLOOKUP(MOD(B2215,28), $T$24:$U$52,2))</f>
        <v>21</v>
      </c>
      <c r="F2215" s="16" t="n">
        <f aca="false">IF($B2215=-1, -1, VLOOKUP(C2215,$T$1:$V$20, 2))</f>
        <v>6</v>
      </c>
      <c r="G2215" s="16" t="n">
        <f aca="false">IF($B2215=-1, -1, VLOOKUP(D2215,$Y$1:$Z$22,2))</f>
        <v>4</v>
      </c>
      <c r="H2215" s="16" t="str">
        <f aca="false">_xlfn.UNICHAR(((F2215*21)+G2215)*28+44032)</f>
        <v>머</v>
      </c>
      <c r="I2215" s="16" t="n">
        <f aca="false">IF(B2215=-1, 1, COUNTIF($A$2:$A$3000, H2215))</f>
        <v>1</v>
      </c>
      <c r="J2215" s="10" t="str">
        <f aca="false">_xlfn.CONCAT(A2215, ",",H2215,",",I2215)</f>
        <v>퐁,머,1</v>
      </c>
      <c r="K2215" s="16" t="n">
        <f aca="false">IF(B2215=-1,-1,VLOOKUP(C2215,$T$1:$V$20,3))</f>
        <v>25</v>
      </c>
      <c r="L2215" s="16" t="n">
        <f aca="false">IF(B2215=-1,-1,VLOOKUP(D2215,$Y$1:$AA$22,3))</f>
        <v>8</v>
      </c>
      <c r="N2215" s="10" t="str">
        <f aca="false">_xlfn.UNICHAR(((C2215*21)+G2215)*28+44032)</f>
        <v>퍼</v>
      </c>
      <c r="O2215" s="10" t="str">
        <f aca="false">_xlfn.UNICHAR(((F2215*21)+D2215)*28+44032)</f>
        <v>모</v>
      </c>
      <c r="P2215" s="12" t="n">
        <f aca="false">COUNTIF($A$2:$A$3000, N2215) + COUNTIF($A$2:$A$3000, O2215)</f>
        <v>2</v>
      </c>
      <c r="Q2215" s="16" t="str">
        <f aca="false">IF(OR(B2215=-1,I2215=0, P2215&lt;&gt;2), "albhed_dummy", _xlfn.CONCAT("albhed ", RIGHT("  " &amp; K2215,2),", ", RIGHT("  " &amp; L2215,2), ", " ,"""",H2215,""", ", """",N2215,""", ","""",O2215,""""," ; ", A2215))</f>
        <v>albhed 25,  8, "머", "퍼", "모" ; 퐁</v>
      </c>
    </row>
    <row r="2216" customFormat="false" ht="17.9" hidden="false" customHeight="true" outlineLevel="0" collapsed="false">
      <c r="A2216" s="16" t="s">
        <v>3061</v>
      </c>
      <c r="B2216" s="16" t="n">
        <f aca="false">IF(_xlfn.UNICODE(A2216)&lt;44032,-1,_xlfn.UNICODE(A2216)-44032)</f>
        <v>10248</v>
      </c>
      <c r="C2216" s="16" t="n">
        <f aca="false">IF(B2216=-1,-1,INT((B2216/28)/21))</f>
        <v>17</v>
      </c>
      <c r="D2216" s="16" t="n">
        <f aca="false">IF(B2216=-1, -1, MOD(INT(B2216/28),21))</f>
        <v>9</v>
      </c>
      <c r="E2216" s="16" t="n">
        <f aca="false">IF(B2216=-1, -1, VLOOKUP(MOD(B2216,28), $T$24:$U$52,2))</f>
        <v>0</v>
      </c>
      <c r="F2216" s="16" t="n">
        <f aca="false">IF($B2216=-1, -1, VLOOKUP(C2216,$T$1:$V$20, 2))</f>
        <v>6</v>
      </c>
      <c r="G2216" s="16" t="n">
        <f aca="false">IF($B2216=-1, -1, VLOOKUP(D2216,$Y$1:$Z$22,2))</f>
        <v>20</v>
      </c>
      <c r="H2216" s="16" t="str">
        <f aca="false">_xlfn.UNICHAR(((F2216*21)+G2216)*28+44032)</f>
        <v>미</v>
      </c>
      <c r="I2216" s="16" t="n">
        <f aca="false">IF(B2216=-1, 1, COUNTIF($A$2:$A$3000, H2216))</f>
        <v>1</v>
      </c>
      <c r="J2216" s="10" t="str">
        <f aca="false">_xlfn.CONCAT(A2216, ",",H2216,",",I2216)</f>
        <v>퐈,미,1</v>
      </c>
      <c r="K2216" s="16" t="n">
        <f aca="false">IF(B2216=-1,-1,VLOOKUP(C2216,$T$1:$V$20,3))</f>
        <v>25</v>
      </c>
      <c r="L2216" s="16" t="n">
        <f aca="false">IF(B2216=-1,-1,VLOOKUP(D2216,$Y$1:$AA$22,3))</f>
        <v>12</v>
      </c>
      <c r="N2216" s="10" t="str">
        <f aca="false">_xlfn.UNICHAR(((C2216*21)+G2216)*28+44032)</f>
        <v>피</v>
      </c>
      <c r="O2216" s="10" t="str">
        <f aca="false">_xlfn.UNICHAR(((F2216*21)+D2216)*28+44032)</f>
        <v>뫄</v>
      </c>
      <c r="P2216" s="12" t="n">
        <f aca="false">COUNTIF($A$2:$A$3000, N2216) + COUNTIF($A$2:$A$3000, O2216)</f>
        <v>2</v>
      </c>
      <c r="Q2216" s="16" t="str">
        <f aca="false">IF(OR(B2216=-1,I2216=0, P2216&lt;&gt;2), "albhed_dummy", _xlfn.CONCAT("albhed ", RIGHT("  " &amp; K2216,2),", ", RIGHT("  " &amp; L2216,2), ", " ,"""",H2216,""", ", """",N2216,""", ","""",O2216,""""," ; ", A2216))</f>
        <v>albhed 25, 12, "미", "피", "뫄" ; 퐈</v>
      </c>
    </row>
    <row r="2217" customFormat="false" ht="17.9" hidden="false" customHeight="true" outlineLevel="0" collapsed="false">
      <c r="A2217" s="16" t="s">
        <v>3062</v>
      </c>
      <c r="B2217" s="16" t="n">
        <f aca="false">IF(_xlfn.UNICODE(A2217)&lt;44032,-1,_xlfn.UNICODE(A2217)-44032)</f>
        <v>10269</v>
      </c>
      <c r="C2217" s="16" t="n">
        <f aca="false">IF(B2217=-1,-1,INT((B2217/28)/21))</f>
        <v>17</v>
      </c>
      <c r="D2217" s="16" t="n">
        <f aca="false">IF(B2217=-1, -1, MOD(INT(B2217/28),21))</f>
        <v>9</v>
      </c>
      <c r="E2217" s="16" t="n">
        <f aca="false">IF(B2217=-1, -1, VLOOKUP(MOD(B2217,28), $T$24:$U$52,2))</f>
        <v>21</v>
      </c>
      <c r="F2217" s="16" t="n">
        <f aca="false">IF($B2217=-1, -1, VLOOKUP(C2217,$T$1:$V$20, 2))</f>
        <v>6</v>
      </c>
      <c r="G2217" s="16" t="n">
        <f aca="false">IF($B2217=-1, -1, VLOOKUP(D2217,$Y$1:$Z$22,2))</f>
        <v>20</v>
      </c>
      <c r="H2217" s="16" t="str">
        <f aca="false">_xlfn.UNICHAR(((F2217*21)+G2217)*28+44032)</f>
        <v>미</v>
      </c>
      <c r="I2217" s="16" t="n">
        <f aca="false">IF(B2217=-1, 1, COUNTIF($A$2:$A$3000, H2217))</f>
        <v>1</v>
      </c>
      <c r="J2217" s="10" t="str">
        <f aca="false">_xlfn.CONCAT(A2217, ",",H2217,",",I2217)</f>
        <v>퐝,미,1</v>
      </c>
      <c r="K2217" s="16" t="n">
        <f aca="false">IF(B2217=-1,-1,VLOOKUP(C2217,$T$1:$V$20,3))</f>
        <v>25</v>
      </c>
      <c r="L2217" s="16" t="n">
        <f aca="false">IF(B2217=-1,-1,VLOOKUP(D2217,$Y$1:$AA$22,3))</f>
        <v>12</v>
      </c>
      <c r="N2217" s="10" t="str">
        <f aca="false">_xlfn.UNICHAR(((C2217*21)+G2217)*28+44032)</f>
        <v>피</v>
      </c>
      <c r="O2217" s="10" t="str">
        <f aca="false">_xlfn.UNICHAR(((F2217*21)+D2217)*28+44032)</f>
        <v>뫄</v>
      </c>
      <c r="P2217" s="12" t="n">
        <f aca="false">COUNTIF($A$2:$A$3000, N2217) + COUNTIF($A$2:$A$3000, O2217)</f>
        <v>2</v>
      </c>
      <c r="Q2217" s="16" t="str">
        <f aca="false">IF(OR(B2217=-1,I2217=0, P2217&lt;&gt;2), "albhed_dummy", _xlfn.CONCAT("albhed ", RIGHT("  " &amp; K2217,2),", ", RIGHT("  " &amp; L2217,2), ", " ,"""",H2217,""", ", """",N2217,""", ","""",O2217,""""," ; ", A2217))</f>
        <v>albhed 25, 12, "미", "피", "뫄" ; 퐝</v>
      </c>
    </row>
    <row r="2218" customFormat="false" ht="17.9" hidden="false" customHeight="true" outlineLevel="0" collapsed="false">
      <c r="A2218" s="16" t="s">
        <v>3063</v>
      </c>
      <c r="B2218" s="16" t="n">
        <f aca="false">IF(_xlfn.UNICODE(A2218)&lt;44032,-1,_xlfn.UNICODE(A2218)-44032)</f>
        <v>10304</v>
      </c>
      <c r="C2218" s="16" t="n">
        <f aca="false">IF(B2218=-1,-1,INT((B2218/28)/21))</f>
        <v>17</v>
      </c>
      <c r="D2218" s="16" t="n">
        <f aca="false">IF(B2218=-1, -1, MOD(INT(B2218/28),21))</f>
        <v>11</v>
      </c>
      <c r="E2218" s="16" t="n">
        <f aca="false">IF(B2218=-1, -1, VLOOKUP(MOD(B2218,28), $T$24:$U$52,2))</f>
        <v>0</v>
      </c>
      <c r="F2218" s="16" t="n">
        <f aca="false">IF($B2218=-1, -1, VLOOKUP(C2218,$T$1:$V$20, 2))</f>
        <v>6</v>
      </c>
      <c r="G2218" s="16" t="n">
        <f aca="false">IF($B2218=-1, -1, VLOOKUP(D2218,$Y$1:$Z$22,2))</f>
        <v>20</v>
      </c>
      <c r="H2218" s="16" t="str">
        <f aca="false">_xlfn.UNICHAR(((F2218*21)+G2218)*28+44032)</f>
        <v>미</v>
      </c>
      <c r="I2218" s="16" t="n">
        <f aca="false">IF(B2218=-1, 1, COUNTIF($A$2:$A$3000, H2218))</f>
        <v>1</v>
      </c>
      <c r="J2218" s="10" t="str">
        <f aca="false">_xlfn.CONCAT(A2218, ",",H2218,",",I2218)</f>
        <v>푀,미,1</v>
      </c>
      <c r="K2218" s="16" t="n">
        <f aca="false">IF(B2218=-1,-1,VLOOKUP(C2218,$T$1:$V$20,3))</f>
        <v>25</v>
      </c>
      <c r="L2218" s="16" t="n">
        <f aca="false">IF(B2218=-1,-1,VLOOKUP(D2218,$Y$1:$AA$22,3))</f>
        <v>22</v>
      </c>
      <c r="N2218" s="10" t="str">
        <f aca="false">_xlfn.UNICHAR(((C2218*21)+G2218)*28+44032)</f>
        <v>피</v>
      </c>
      <c r="O2218" s="10" t="str">
        <f aca="false">_xlfn.UNICHAR(((F2218*21)+D2218)*28+44032)</f>
        <v>뫼</v>
      </c>
      <c r="P2218" s="12" t="n">
        <f aca="false">COUNTIF($A$2:$A$3000, N2218) + COUNTIF($A$2:$A$3000, O2218)</f>
        <v>2</v>
      </c>
      <c r="Q2218" s="16" t="str">
        <f aca="false">IF(OR(B2218=-1,I2218=0, P2218&lt;&gt;2), "albhed_dummy", _xlfn.CONCAT("albhed ", RIGHT("  " &amp; K2218,2),", ", RIGHT("  " &amp; L2218,2), ", " ,"""",H2218,""", ", """",N2218,""", ","""",O2218,""""," ; ", A2218))</f>
        <v>albhed 25, 22, "미", "피", "뫼" ; 푀</v>
      </c>
    </row>
    <row r="2219" customFormat="false" ht="17.9" hidden="false" customHeight="true" outlineLevel="0" collapsed="false">
      <c r="A2219" s="16" t="s">
        <v>3064</v>
      </c>
      <c r="B2219" s="16" t="n">
        <f aca="false">IF(_xlfn.UNICODE(A2219)&lt;44032,-1,_xlfn.UNICODE(A2219)-44032)</f>
        <v>10308</v>
      </c>
      <c r="C2219" s="16" t="n">
        <f aca="false">IF(B2219=-1,-1,INT((B2219/28)/21))</f>
        <v>17</v>
      </c>
      <c r="D2219" s="16" t="n">
        <f aca="false">IF(B2219=-1, -1, MOD(INT(B2219/28),21))</f>
        <v>11</v>
      </c>
      <c r="E2219" s="16" t="n">
        <f aca="false">IF(B2219=-1, -1, VLOOKUP(MOD(B2219,28), $T$24:$U$52,2))</f>
        <v>4</v>
      </c>
      <c r="F2219" s="16" t="n">
        <f aca="false">IF($B2219=-1, -1, VLOOKUP(C2219,$T$1:$V$20, 2))</f>
        <v>6</v>
      </c>
      <c r="G2219" s="16" t="n">
        <f aca="false">IF($B2219=-1, -1, VLOOKUP(D2219,$Y$1:$Z$22,2))</f>
        <v>20</v>
      </c>
      <c r="H2219" s="16" t="str">
        <f aca="false">_xlfn.UNICHAR(((F2219*21)+G2219)*28+44032)</f>
        <v>미</v>
      </c>
      <c r="I2219" s="16" t="n">
        <f aca="false">IF(B2219=-1, 1, COUNTIF($A$2:$A$3000, H2219))</f>
        <v>1</v>
      </c>
      <c r="J2219" s="10" t="str">
        <f aca="false">_xlfn.CONCAT(A2219, ",",H2219,",",I2219)</f>
        <v>푄,미,1</v>
      </c>
      <c r="K2219" s="16" t="n">
        <f aca="false">IF(B2219=-1,-1,VLOOKUP(C2219,$T$1:$V$20,3))</f>
        <v>25</v>
      </c>
      <c r="L2219" s="16" t="n">
        <f aca="false">IF(B2219=-1,-1,VLOOKUP(D2219,$Y$1:$AA$22,3))</f>
        <v>22</v>
      </c>
      <c r="N2219" s="10" t="str">
        <f aca="false">_xlfn.UNICHAR(((C2219*21)+G2219)*28+44032)</f>
        <v>피</v>
      </c>
      <c r="O2219" s="10" t="str">
        <f aca="false">_xlfn.UNICHAR(((F2219*21)+D2219)*28+44032)</f>
        <v>뫼</v>
      </c>
      <c r="P2219" s="12" t="n">
        <f aca="false">COUNTIF($A$2:$A$3000, N2219) + COUNTIF($A$2:$A$3000, O2219)</f>
        <v>2</v>
      </c>
      <c r="Q2219" s="16" t="str">
        <f aca="false">IF(OR(B2219=-1,I2219=0, P2219&lt;&gt;2), "albhed_dummy", _xlfn.CONCAT("albhed ", RIGHT("  " &amp; K2219,2),", ", RIGHT("  " &amp; L2219,2), ", " ,"""",H2219,""", ", """",N2219,""", ","""",O2219,""""," ; ", A2219))</f>
        <v>albhed 25, 22, "미", "피", "뫼" ; 푄</v>
      </c>
    </row>
    <row r="2220" customFormat="false" ht="17.9" hidden="false" customHeight="true" outlineLevel="0" collapsed="false">
      <c r="A2220" s="16" t="s">
        <v>3065</v>
      </c>
      <c r="B2220" s="16" t="n">
        <f aca="false">IF(_xlfn.UNICODE(A2220)&lt;44032,-1,_xlfn.UNICODE(A2220)-44032)</f>
        <v>10332</v>
      </c>
      <c r="C2220" s="16" t="n">
        <f aca="false">IF(B2220=-1,-1,INT((B2220/28)/21))</f>
        <v>17</v>
      </c>
      <c r="D2220" s="16" t="n">
        <f aca="false">IF(B2220=-1, -1, MOD(INT(B2220/28),21))</f>
        <v>12</v>
      </c>
      <c r="E2220" s="16" t="n">
        <f aca="false">IF(B2220=-1, -1, VLOOKUP(MOD(B2220,28), $T$24:$U$52,2))</f>
        <v>0</v>
      </c>
      <c r="F2220" s="16" t="n">
        <f aca="false">IF($B2220=-1, -1, VLOOKUP(C2220,$T$1:$V$20, 2))</f>
        <v>6</v>
      </c>
      <c r="G2220" s="16" t="n">
        <f aca="false">IF($B2220=-1, -1, VLOOKUP(D2220,$Y$1:$Z$22,2))</f>
        <v>6</v>
      </c>
      <c r="H2220" s="16" t="str">
        <f aca="false">_xlfn.UNICHAR(((F2220*21)+G2220)*28+44032)</f>
        <v>며</v>
      </c>
      <c r="I2220" s="16" t="n">
        <f aca="false">IF(B2220=-1, 1, COUNTIF($A$2:$A$3000, H2220))</f>
        <v>1</v>
      </c>
      <c r="J2220" s="10" t="str">
        <f aca="false">_xlfn.CONCAT(A2220, ",",H2220,",",I2220)</f>
        <v>표,며,1</v>
      </c>
      <c r="K2220" s="16" t="n">
        <f aca="false">IF(B2220=-1,-1,VLOOKUP(C2220,$T$1:$V$20,3))</f>
        <v>25</v>
      </c>
      <c r="L2220" s="16" t="n">
        <f aca="false">IF(B2220=-1,-1,VLOOKUP(D2220,$Y$1:$AA$22,3))</f>
        <v>8</v>
      </c>
      <c r="N2220" s="10" t="str">
        <f aca="false">_xlfn.UNICHAR(((C2220*21)+G2220)*28+44032)</f>
        <v>펴</v>
      </c>
      <c r="O2220" s="10" t="str">
        <f aca="false">_xlfn.UNICHAR(((F2220*21)+D2220)*28+44032)</f>
        <v>묘</v>
      </c>
      <c r="P2220" s="12" t="n">
        <f aca="false">COUNTIF($A$2:$A$3000, N2220) + COUNTIF($A$2:$A$3000, O2220)</f>
        <v>2</v>
      </c>
      <c r="Q2220" s="16" t="str">
        <f aca="false">IF(OR(B2220=-1,I2220=0, P2220&lt;&gt;2), "albhed_dummy", _xlfn.CONCAT("albhed ", RIGHT("  " &amp; K2220,2),", ", RIGHT("  " &amp; L2220,2), ", " ,"""",H2220,""", ", """",N2220,""", ","""",O2220,""""," ; ", A2220))</f>
        <v>albhed 25,  8, "며", "펴", "묘" ; 표</v>
      </c>
    </row>
    <row r="2221" customFormat="false" ht="17.9" hidden="false" customHeight="true" outlineLevel="0" collapsed="false">
      <c r="A2221" s="16" t="s">
        <v>3066</v>
      </c>
      <c r="B2221" s="16" t="n">
        <f aca="false">IF(_xlfn.UNICODE(A2221)&lt;44032,-1,_xlfn.UNICODE(A2221)-44032)</f>
        <v>10336</v>
      </c>
      <c r="C2221" s="16" t="n">
        <f aca="false">IF(B2221=-1,-1,INT((B2221/28)/21))</f>
        <v>17</v>
      </c>
      <c r="D2221" s="16" t="n">
        <f aca="false">IF(B2221=-1, -1, MOD(INT(B2221/28),21))</f>
        <v>12</v>
      </c>
      <c r="E2221" s="16" t="n">
        <f aca="false">IF(B2221=-1, -1, VLOOKUP(MOD(B2221,28), $T$24:$U$52,2))</f>
        <v>4</v>
      </c>
      <c r="F2221" s="16" t="n">
        <f aca="false">IF($B2221=-1, -1, VLOOKUP(C2221,$T$1:$V$20, 2))</f>
        <v>6</v>
      </c>
      <c r="G2221" s="16" t="n">
        <f aca="false">IF($B2221=-1, -1, VLOOKUP(D2221,$Y$1:$Z$22,2))</f>
        <v>6</v>
      </c>
      <c r="H2221" s="16" t="str">
        <f aca="false">_xlfn.UNICHAR(((F2221*21)+G2221)*28+44032)</f>
        <v>며</v>
      </c>
      <c r="I2221" s="16" t="n">
        <f aca="false">IF(B2221=-1, 1, COUNTIF($A$2:$A$3000, H2221))</f>
        <v>1</v>
      </c>
      <c r="J2221" s="10" t="str">
        <f aca="false">_xlfn.CONCAT(A2221, ",",H2221,",",I2221)</f>
        <v>푠,며,1</v>
      </c>
      <c r="K2221" s="16" t="n">
        <f aca="false">IF(B2221=-1,-1,VLOOKUP(C2221,$T$1:$V$20,3))</f>
        <v>25</v>
      </c>
      <c r="L2221" s="16" t="n">
        <f aca="false">IF(B2221=-1,-1,VLOOKUP(D2221,$Y$1:$AA$22,3))</f>
        <v>8</v>
      </c>
      <c r="N2221" s="10" t="str">
        <f aca="false">_xlfn.UNICHAR(((C2221*21)+G2221)*28+44032)</f>
        <v>펴</v>
      </c>
      <c r="O2221" s="10" t="str">
        <f aca="false">_xlfn.UNICHAR(((F2221*21)+D2221)*28+44032)</f>
        <v>묘</v>
      </c>
      <c r="P2221" s="12" t="n">
        <f aca="false">COUNTIF($A$2:$A$3000, N2221) + COUNTIF($A$2:$A$3000, O2221)</f>
        <v>2</v>
      </c>
      <c r="Q2221" s="16" t="str">
        <f aca="false">IF(OR(B2221=-1,I2221=0, P2221&lt;&gt;2), "albhed_dummy", _xlfn.CONCAT("albhed ", RIGHT("  " &amp; K2221,2),", ", RIGHT("  " &amp; L2221,2), ", " ,"""",H2221,""", ", """",N2221,""", ","""",O2221,""""," ; ", A2221))</f>
        <v>albhed 25,  8, "며", "펴", "묘" ; 푠</v>
      </c>
    </row>
    <row r="2222" customFormat="false" ht="17.9" hidden="false" customHeight="true" outlineLevel="0" collapsed="false">
      <c r="A2222" s="16" t="s">
        <v>3067</v>
      </c>
      <c r="B2222" s="16" t="n">
        <f aca="false">IF(_xlfn.UNICODE(A2222)&lt;44032,-1,_xlfn.UNICODE(A2222)-44032)</f>
        <v>10340</v>
      </c>
      <c r="C2222" s="16" t="n">
        <f aca="false">IF(B2222=-1,-1,INT((B2222/28)/21))</f>
        <v>17</v>
      </c>
      <c r="D2222" s="16" t="n">
        <f aca="false">IF(B2222=-1, -1, MOD(INT(B2222/28),21))</f>
        <v>12</v>
      </c>
      <c r="E2222" s="16" t="n">
        <f aca="false">IF(B2222=-1, -1, VLOOKUP(MOD(B2222,28), $T$24:$U$52,2))</f>
        <v>8</v>
      </c>
      <c r="F2222" s="16" t="n">
        <f aca="false">IF($B2222=-1, -1, VLOOKUP(C2222,$T$1:$V$20, 2))</f>
        <v>6</v>
      </c>
      <c r="G2222" s="16" t="n">
        <f aca="false">IF($B2222=-1, -1, VLOOKUP(D2222,$Y$1:$Z$22,2))</f>
        <v>6</v>
      </c>
      <c r="H2222" s="16" t="str">
        <f aca="false">_xlfn.UNICHAR(((F2222*21)+G2222)*28+44032)</f>
        <v>며</v>
      </c>
      <c r="I2222" s="16" t="n">
        <f aca="false">IF(B2222=-1, 1, COUNTIF($A$2:$A$3000, H2222))</f>
        <v>1</v>
      </c>
      <c r="J2222" s="10" t="str">
        <f aca="false">_xlfn.CONCAT(A2222, ",",H2222,",",I2222)</f>
        <v>푤,며,1</v>
      </c>
      <c r="K2222" s="16" t="n">
        <f aca="false">IF(B2222=-1,-1,VLOOKUP(C2222,$T$1:$V$20,3))</f>
        <v>25</v>
      </c>
      <c r="L2222" s="16" t="n">
        <f aca="false">IF(B2222=-1,-1,VLOOKUP(D2222,$Y$1:$AA$22,3))</f>
        <v>8</v>
      </c>
      <c r="N2222" s="10" t="str">
        <f aca="false">_xlfn.UNICHAR(((C2222*21)+G2222)*28+44032)</f>
        <v>펴</v>
      </c>
      <c r="O2222" s="10" t="str">
        <f aca="false">_xlfn.UNICHAR(((F2222*21)+D2222)*28+44032)</f>
        <v>묘</v>
      </c>
      <c r="P2222" s="12" t="n">
        <f aca="false">COUNTIF($A$2:$A$3000, N2222) + COUNTIF($A$2:$A$3000, O2222)</f>
        <v>2</v>
      </c>
      <c r="Q2222" s="16" t="str">
        <f aca="false">IF(OR(B2222=-1,I2222=0, P2222&lt;&gt;2), "albhed_dummy", _xlfn.CONCAT("albhed ", RIGHT("  " &amp; K2222,2),", ", RIGHT("  " &amp; L2222,2), ", " ,"""",H2222,""", ", """",N2222,""", ","""",O2222,""""," ; ", A2222))</f>
        <v>albhed 25,  8, "며", "펴", "묘" ; 푤</v>
      </c>
    </row>
    <row r="2223" customFormat="false" ht="17.9" hidden="false" customHeight="true" outlineLevel="0" collapsed="false">
      <c r="A2223" s="16" t="s">
        <v>3068</v>
      </c>
      <c r="B2223" s="16" t="n">
        <f aca="false">IF(_xlfn.UNICODE(A2223)&lt;44032,-1,_xlfn.UNICODE(A2223)-44032)</f>
        <v>10349</v>
      </c>
      <c r="C2223" s="16" t="n">
        <f aca="false">IF(B2223=-1,-1,INT((B2223/28)/21))</f>
        <v>17</v>
      </c>
      <c r="D2223" s="16" t="n">
        <f aca="false">IF(B2223=-1, -1, MOD(INT(B2223/28),21))</f>
        <v>12</v>
      </c>
      <c r="E2223" s="16" t="n">
        <f aca="false">IF(B2223=-1, -1, VLOOKUP(MOD(B2223,28), $T$24:$U$52,2))</f>
        <v>17</v>
      </c>
      <c r="F2223" s="16" t="n">
        <f aca="false">IF($B2223=-1, -1, VLOOKUP(C2223,$T$1:$V$20, 2))</f>
        <v>6</v>
      </c>
      <c r="G2223" s="16" t="n">
        <f aca="false">IF($B2223=-1, -1, VLOOKUP(D2223,$Y$1:$Z$22,2))</f>
        <v>6</v>
      </c>
      <c r="H2223" s="16" t="str">
        <f aca="false">_xlfn.UNICHAR(((F2223*21)+G2223)*28+44032)</f>
        <v>며</v>
      </c>
      <c r="I2223" s="16" t="n">
        <f aca="false">IF(B2223=-1, 1, COUNTIF($A$2:$A$3000, H2223))</f>
        <v>1</v>
      </c>
      <c r="J2223" s="10" t="str">
        <f aca="false">_xlfn.CONCAT(A2223, ",",H2223,",",I2223)</f>
        <v>푭,며,1</v>
      </c>
      <c r="K2223" s="16" t="n">
        <f aca="false">IF(B2223=-1,-1,VLOOKUP(C2223,$T$1:$V$20,3))</f>
        <v>25</v>
      </c>
      <c r="L2223" s="16" t="n">
        <f aca="false">IF(B2223=-1,-1,VLOOKUP(D2223,$Y$1:$AA$22,3))</f>
        <v>8</v>
      </c>
      <c r="N2223" s="10" t="str">
        <f aca="false">_xlfn.UNICHAR(((C2223*21)+G2223)*28+44032)</f>
        <v>펴</v>
      </c>
      <c r="O2223" s="10" t="str">
        <f aca="false">_xlfn.UNICHAR(((F2223*21)+D2223)*28+44032)</f>
        <v>묘</v>
      </c>
      <c r="P2223" s="12" t="n">
        <f aca="false">COUNTIF($A$2:$A$3000, N2223) + COUNTIF($A$2:$A$3000, O2223)</f>
        <v>2</v>
      </c>
      <c r="Q2223" s="16" t="str">
        <f aca="false">IF(OR(B2223=-1,I2223=0, P2223&lt;&gt;2), "albhed_dummy", _xlfn.CONCAT("albhed ", RIGHT("  " &amp; K2223,2),", ", RIGHT("  " &amp; L2223,2), ", " ,"""",H2223,""", ", """",N2223,""", ","""",O2223,""""," ; ", A2223))</f>
        <v>albhed 25,  8, "며", "펴", "묘" ; 푭</v>
      </c>
    </row>
    <row r="2224" customFormat="false" ht="17.9" hidden="false" customHeight="true" outlineLevel="0" collapsed="false">
      <c r="A2224" s="16" t="s">
        <v>3069</v>
      </c>
      <c r="B2224" s="16" t="n">
        <f aca="false">IF(_xlfn.UNICODE(A2224)&lt;44032,-1,_xlfn.UNICODE(A2224)-44032)</f>
        <v>10351</v>
      </c>
      <c r="C2224" s="16" t="n">
        <f aca="false">IF(B2224=-1,-1,INT((B2224/28)/21))</f>
        <v>17</v>
      </c>
      <c r="D2224" s="16" t="n">
        <f aca="false">IF(B2224=-1, -1, MOD(INT(B2224/28),21))</f>
        <v>12</v>
      </c>
      <c r="E2224" s="16" t="n">
        <f aca="false">IF(B2224=-1, -1, VLOOKUP(MOD(B2224,28), $T$24:$U$52,2))</f>
        <v>19</v>
      </c>
      <c r="F2224" s="16" t="n">
        <f aca="false">IF($B2224=-1, -1, VLOOKUP(C2224,$T$1:$V$20, 2))</f>
        <v>6</v>
      </c>
      <c r="G2224" s="16" t="n">
        <f aca="false">IF($B2224=-1, -1, VLOOKUP(D2224,$Y$1:$Z$22,2))</f>
        <v>6</v>
      </c>
      <c r="H2224" s="16" t="str">
        <f aca="false">_xlfn.UNICHAR(((F2224*21)+G2224)*28+44032)</f>
        <v>며</v>
      </c>
      <c r="I2224" s="16" t="n">
        <f aca="false">IF(B2224=-1, 1, COUNTIF($A$2:$A$3000, H2224))</f>
        <v>1</v>
      </c>
      <c r="J2224" s="10" t="str">
        <f aca="false">_xlfn.CONCAT(A2224, ",",H2224,",",I2224)</f>
        <v>푯,며,1</v>
      </c>
      <c r="K2224" s="16" t="n">
        <f aca="false">IF(B2224=-1,-1,VLOOKUP(C2224,$T$1:$V$20,3))</f>
        <v>25</v>
      </c>
      <c r="L2224" s="16" t="n">
        <f aca="false">IF(B2224=-1,-1,VLOOKUP(D2224,$Y$1:$AA$22,3))</f>
        <v>8</v>
      </c>
      <c r="N2224" s="10" t="str">
        <f aca="false">_xlfn.UNICHAR(((C2224*21)+G2224)*28+44032)</f>
        <v>펴</v>
      </c>
      <c r="O2224" s="10" t="str">
        <f aca="false">_xlfn.UNICHAR(((F2224*21)+D2224)*28+44032)</f>
        <v>묘</v>
      </c>
      <c r="P2224" s="12" t="n">
        <f aca="false">COUNTIF($A$2:$A$3000, N2224) + COUNTIF($A$2:$A$3000, O2224)</f>
        <v>2</v>
      </c>
      <c r="Q2224" s="16" t="str">
        <f aca="false">IF(OR(B2224=-1,I2224=0, P2224&lt;&gt;2), "albhed_dummy", _xlfn.CONCAT("albhed ", RIGHT("  " &amp; K2224,2),", ", RIGHT("  " &amp; L2224,2), ", " ,"""",H2224,""", ", """",N2224,""", ","""",O2224,""""," ; ", A2224))</f>
        <v>albhed 25,  8, "며", "펴", "묘" ; 푯</v>
      </c>
    </row>
    <row r="2225" customFormat="false" ht="17.9" hidden="false" customHeight="true" outlineLevel="0" collapsed="false">
      <c r="A2225" s="16" t="s">
        <v>3070</v>
      </c>
      <c r="B2225" s="16" t="n">
        <f aca="false">IF(_xlfn.UNICODE(A2225)&lt;44032,-1,_xlfn.UNICODE(A2225)-44032)</f>
        <v>10360</v>
      </c>
      <c r="C2225" s="16" t="n">
        <f aca="false">IF(B2225=-1,-1,INT((B2225/28)/21))</f>
        <v>17</v>
      </c>
      <c r="D2225" s="16" t="n">
        <f aca="false">IF(B2225=-1, -1, MOD(INT(B2225/28),21))</f>
        <v>13</v>
      </c>
      <c r="E2225" s="16" t="n">
        <f aca="false">IF(B2225=-1, -1, VLOOKUP(MOD(B2225,28), $T$24:$U$52,2))</f>
        <v>0</v>
      </c>
      <c r="F2225" s="16" t="n">
        <f aca="false">IF($B2225=-1, -1, VLOOKUP(C2225,$T$1:$V$20, 2))</f>
        <v>6</v>
      </c>
      <c r="G2225" s="16" t="n">
        <f aca="false">IF($B2225=-1, -1, VLOOKUP(D2225,$Y$1:$Z$22,2))</f>
        <v>0</v>
      </c>
      <c r="H2225" s="16" t="str">
        <f aca="false">_xlfn.UNICHAR(((F2225*21)+G2225)*28+44032)</f>
        <v>마</v>
      </c>
      <c r="I2225" s="16" t="n">
        <f aca="false">IF(B2225=-1, 1, COUNTIF($A$2:$A$3000, H2225))</f>
        <v>1</v>
      </c>
      <c r="J2225" s="10" t="str">
        <f aca="false">_xlfn.CONCAT(A2225, ",",H2225,",",I2225)</f>
        <v>푸,마,1</v>
      </c>
      <c r="K2225" s="16" t="n">
        <f aca="false">IF(B2225=-1,-1,VLOOKUP(C2225,$T$1:$V$20,3))</f>
        <v>25</v>
      </c>
      <c r="L2225" s="16" t="n">
        <f aca="false">IF(B2225=-1,-1,VLOOKUP(D2225,$Y$1:$AA$22,3))</f>
        <v>6</v>
      </c>
      <c r="N2225" s="10" t="str">
        <f aca="false">_xlfn.UNICHAR(((C2225*21)+G2225)*28+44032)</f>
        <v>파</v>
      </c>
      <c r="O2225" s="10" t="str">
        <f aca="false">_xlfn.UNICHAR(((F2225*21)+D2225)*28+44032)</f>
        <v>무</v>
      </c>
      <c r="P2225" s="12" t="n">
        <f aca="false">COUNTIF($A$2:$A$3000, N2225) + COUNTIF($A$2:$A$3000, O2225)</f>
        <v>2</v>
      </c>
      <c r="Q2225" s="16" t="str">
        <f aca="false">IF(OR(B2225=-1,I2225=0, P2225&lt;&gt;2), "albhed_dummy", _xlfn.CONCAT("albhed ", RIGHT("  " &amp; K2225,2),", ", RIGHT("  " &amp; L2225,2), ", " ,"""",H2225,""", ", """",N2225,""", ","""",O2225,""""," ; ", A2225))</f>
        <v>albhed 25,  6, "마", "파", "무" ; 푸</v>
      </c>
    </row>
    <row r="2226" customFormat="false" ht="17.9" hidden="false" customHeight="true" outlineLevel="0" collapsed="false">
      <c r="A2226" s="16" t="s">
        <v>3071</v>
      </c>
      <c r="B2226" s="16" t="n">
        <f aca="false">IF(_xlfn.UNICODE(A2226)&lt;44032,-1,_xlfn.UNICODE(A2226)-44032)</f>
        <v>10361</v>
      </c>
      <c r="C2226" s="16" t="n">
        <f aca="false">IF(B2226=-1,-1,INT((B2226/28)/21))</f>
        <v>17</v>
      </c>
      <c r="D2226" s="16" t="n">
        <f aca="false">IF(B2226=-1, -1, MOD(INT(B2226/28),21))</f>
        <v>13</v>
      </c>
      <c r="E2226" s="16" t="n">
        <f aca="false">IF(B2226=-1, -1, VLOOKUP(MOD(B2226,28), $T$24:$U$52,2))</f>
        <v>1</v>
      </c>
      <c r="F2226" s="16" t="n">
        <f aca="false">IF($B2226=-1, -1, VLOOKUP(C2226,$T$1:$V$20, 2))</f>
        <v>6</v>
      </c>
      <c r="G2226" s="16" t="n">
        <f aca="false">IF($B2226=-1, -1, VLOOKUP(D2226,$Y$1:$Z$22,2))</f>
        <v>0</v>
      </c>
      <c r="H2226" s="16" t="str">
        <f aca="false">_xlfn.UNICHAR(((F2226*21)+G2226)*28+44032)</f>
        <v>마</v>
      </c>
      <c r="I2226" s="16" t="n">
        <f aca="false">IF(B2226=-1, 1, COUNTIF($A$2:$A$3000, H2226))</f>
        <v>1</v>
      </c>
      <c r="J2226" s="10" t="str">
        <f aca="false">_xlfn.CONCAT(A2226, ",",H2226,",",I2226)</f>
        <v>푹,마,1</v>
      </c>
      <c r="K2226" s="16" t="n">
        <f aca="false">IF(B2226=-1,-1,VLOOKUP(C2226,$T$1:$V$20,3))</f>
        <v>25</v>
      </c>
      <c r="L2226" s="16" t="n">
        <f aca="false">IF(B2226=-1,-1,VLOOKUP(D2226,$Y$1:$AA$22,3))</f>
        <v>6</v>
      </c>
      <c r="N2226" s="10" t="str">
        <f aca="false">_xlfn.UNICHAR(((C2226*21)+G2226)*28+44032)</f>
        <v>파</v>
      </c>
      <c r="O2226" s="10" t="str">
        <f aca="false">_xlfn.UNICHAR(((F2226*21)+D2226)*28+44032)</f>
        <v>무</v>
      </c>
      <c r="P2226" s="12" t="n">
        <f aca="false">COUNTIF($A$2:$A$3000, N2226) + COUNTIF($A$2:$A$3000, O2226)</f>
        <v>2</v>
      </c>
      <c r="Q2226" s="16" t="str">
        <f aca="false">IF(OR(B2226=-1,I2226=0, P2226&lt;&gt;2), "albhed_dummy", _xlfn.CONCAT("albhed ", RIGHT("  " &amp; K2226,2),", ", RIGHT("  " &amp; L2226,2), ", " ,"""",H2226,""", ", """",N2226,""", ","""",O2226,""""," ; ", A2226))</f>
        <v>albhed 25,  6, "마", "파", "무" ; 푹</v>
      </c>
    </row>
    <row r="2227" customFormat="false" ht="17.9" hidden="false" customHeight="true" outlineLevel="0" collapsed="false">
      <c r="A2227" s="16" t="s">
        <v>3072</v>
      </c>
      <c r="B2227" s="16" t="n">
        <f aca="false">IF(_xlfn.UNICODE(A2227)&lt;44032,-1,_xlfn.UNICODE(A2227)-44032)</f>
        <v>10364</v>
      </c>
      <c r="C2227" s="16" t="n">
        <f aca="false">IF(B2227=-1,-1,INT((B2227/28)/21))</f>
        <v>17</v>
      </c>
      <c r="D2227" s="16" t="n">
        <f aca="false">IF(B2227=-1, -1, MOD(INT(B2227/28),21))</f>
        <v>13</v>
      </c>
      <c r="E2227" s="16" t="n">
        <f aca="false">IF(B2227=-1, -1, VLOOKUP(MOD(B2227,28), $T$24:$U$52,2))</f>
        <v>4</v>
      </c>
      <c r="F2227" s="16" t="n">
        <f aca="false">IF($B2227=-1, -1, VLOOKUP(C2227,$T$1:$V$20, 2))</f>
        <v>6</v>
      </c>
      <c r="G2227" s="16" t="n">
        <f aca="false">IF($B2227=-1, -1, VLOOKUP(D2227,$Y$1:$Z$22,2))</f>
        <v>0</v>
      </c>
      <c r="H2227" s="16" t="str">
        <f aca="false">_xlfn.UNICHAR(((F2227*21)+G2227)*28+44032)</f>
        <v>마</v>
      </c>
      <c r="I2227" s="16" t="n">
        <f aca="false">IF(B2227=-1, 1, COUNTIF($A$2:$A$3000, H2227))</f>
        <v>1</v>
      </c>
      <c r="J2227" s="10" t="str">
        <f aca="false">_xlfn.CONCAT(A2227, ",",H2227,",",I2227)</f>
        <v>푼,마,1</v>
      </c>
      <c r="K2227" s="16" t="n">
        <f aca="false">IF(B2227=-1,-1,VLOOKUP(C2227,$T$1:$V$20,3))</f>
        <v>25</v>
      </c>
      <c r="L2227" s="16" t="n">
        <f aca="false">IF(B2227=-1,-1,VLOOKUP(D2227,$Y$1:$AA$22,3))</f>
        <v>6</v>
      </c>
      <c r="N2227" s="10" t="str">
        <f aca="false">_xlfn.UNICHAR(((C2227*21)+G2227)*28+44032)</f>
        <v>파</v>
      </c>
      <c r="O2227" s="10" t="str">
        <f aca="false">_xlfn.UNICHAR(((F2227*21)+D2227)*28+44032)</f>
        <v>무</v>
      </c>
      <c r="P2227" s="12" t="n">
        <f aca="false">COUNTIF($A$2:$A$3000, N2227) + COUNTIF($A$2:$A$3000, O2227)</f>
        <v>2</v>
      </c>
      <c r="Q2227" s="16" t="str">
        <f aca="false">IF(OR(B2227=-1,I2227=0, P2227&lt;&gt;2), "albhed_dummy", _xlfn.CONCAT("albhed ", RIGHT("  " &amp; K2227,2),", ", RIGHT("  " &amp; L2227,2), ", " ,"""",H2227,""", ", """",N2227,""", ","""",O2227,""""," ; ", A2227))</f>
        <v>albhed 25,  6, "마", "파", "무" ; 푼</v>
      </c>
    </row>
    <row r="2228" customFormat="false" ht="17.9" hidden="false" customHeight="true" outlineLevel="0" collapsed="false">
      <c r="A2228" s="16" t="s">
        <v>3073</v>
      </c>
      <c r="B2228" s="16" t="n">
        <f aca="false">IF(_xlfn.UNICODE(A2228)&lt;44032,-1,_xlfn.UNICODE(A2228)-44032)</f>
        <v>10367</v>
      </c>
      <c r="C2228" s="16" t="n">
        <f aca="false">IF(B2228=-1,-1,INT((B2228/28)/21))</f>
        <v>17</v>
      </c>
      <c r="D2228" s="16" t="n">
        <f aca="false">IF(B2228=-1, -1, MOD(INT(B2228/28),21))</f>
        <v>13</v>
      </c>
      <c r="E2228" s="16" t="n">
        <f aca="false">IF(B2228=-1, -1, VLOOKUP(MOD(B2228,28), $T$24:$U$52,2))</f>
        <v>19</v>
      </c>
      <c r="F2228" s="16" t="n">
        <f aca="false">IF($B2228=-1, -1, VLOOKUP(C2228,$T$1:$V$20, 2))</f>
        <v>6</v>
      </c>
      <c r="G2228" s="16" t="n">
        <f aca="false">IF($B2228=-1, -1, VLOOKUP(D2228,$Y$1:$Z$22,2))</f>
        <v>0</v>
      </c>
      <c r="H2228" s="16" t="str">
        <f aca="false">_xlfn.UNICHAR(((F2228*21)+G2228)*28+44032)</f>
        <v>마</v>
      </c>
      <c r="I2228" s="16" t="n">
        <f aca="false">IF(B2228=-1, 1, COUNTIF($A$2:$A$3000, H2228))</f>
        <v>1</v>
      </c>
      <c r="J2228" s="10" t="str">
        <f aca="false">_xlfn.CONCAT(A2228, ",",H2228,",",I2228)</f>
        <v>푿,마,1</v>
      </c>
      <c r="K2228" s="16" t="n">
        <f aca="false">IF(B2228=-1,-1,VLOOKUP(C2228,$T$1:$V$20,3))</f>
        <v>25</v>
      </c>
      <c r="L2228" s="16" t="n">
        <f aca="false">IF(B2228=-1,-1,VLOOKUP(D2228,$Y$1:$AA$22,3))</f>
        <v>6</v>
      </c>
      <c r="N2228" s="10" t="str">
        <f aca="false">_xlfn.UNICHAR(((C2228*21)+G2228)*28+44032)</f>
        <v>파</v>
      </c>
      <c r="O2228" s="10" t="str">
        <f aca="false">_xlfn.UNICHAR(((F2228*21)+D2228)*28+44032)</f>
        <v>무</v>
      </c>
      <c r="P2228" s="12" t="n">
        <f aca="false">COUNTIF($A$2:$A$3000, N2228) + COUNTIF($A$2:$A$3000, O2228)</f>
        <v>2</v>
      </c>
      <c r="Q2228" s="16" t="str">
        <f aca="false">IF(OR(B2228=-1,I2228=0, P2228&lt;&gt;2), "albhed_dummy", _xlfn.CONCAT("albhed ", RIGHT("  " &amp; K2228,2),", ", RIGHT("  " &amp; L2228,2), ", " ,"""",H2228,""", ", """",N2228,""", ","""",O2228,""""," ; ", A2228))</f>
        <v>albhed 25,  6, "마", "파", "무" ; 푿</v>
      </c>
    </row>
    <row r="2229" customFormat="false" ht="17.9" hidden="false" customHeight="true" outlineLevel="0" collapsed="false">
      <c r="A2229" s="16" t="s">
        <v>3074</v>
      </c>
      <c r="B2229" s="16" t="n">
        <f aca="false">IF(_xlfn.UNICODE(A2229)&lt;44032,-1,_xlfn.UNICODE(A2229)-44032)</f>
        <v>10368</v>
      </c>
      <c r="C2229" s="16" t="n">
        <f aca="false">IF(B2229=-1,-1,INT((B2229/28)/21))</f>
        <v>17</v>
      </c>
      <c r="D2229" s="16" t="n">
        <f aca="false">IF(B2229=-1, -1, MOD(INT(B2229/28),21))</f>
        <v>13</v>
      </c>
      <c r="E2229" s="16" t="n">
        <f aca="false">IF(B2229=-1, -1, VLOOKUP(MOD(B2229,28), $T$24:$U$52,2))</f>
        <v>8</v>
      </c>
      <c r="F2229" s="16" t="n">
        <f aca="false">IF($B2229=-1, -1, VLOOKUP(C2229,$T$1:$V$20, 2))</f>
        <v>6</v>
      </c>
      <c r="G2229" s="16" t="n">
        <f aca="false">IF($B2229=-1, -1, VLOOKUP(D2229,$Y$1:$Z$22,2))</f>
        <v>0</v>
      </c>
      <c r="H2229" s="16" t="str">
        <f aca="false">_xlfn.UNICHAR(((F2229*21)+G2229)*28+44032)</f>
        <v>마</v>
      </c>
      <c r="I2229" s="16" t="n">
        <f aca="false">IF(B2229=-1, 1, COUNTIF($A$2:$A$3000, H2229))</f>
        <v>1</v>
      </c>
      <c r="J2229" s="10" t="str">
        <f aca="false">_xlfn.CONCAT(A2229, ",",H2229,",",I2229)</f>
        <v>풀,마,1</v>
      </c>
      <c r="K2229" s="16" t="n">
        <f aca="false">IF(B2229=-1,-1,VLOOKUP(C2229,$T$1:$V$20,3))</f>
        <v>25</v>
      </c>
      <c r="L2229" s="16" t="n">
        <f aca="false">IF(B2229=-1,-1,VLOOKUP(D2229,$Y$1:$AA$22,3))</f>
        <v>6</v>
      </c>
      <c r="N2229" s="10" t="str">
        <f aca="false">_xlfn.UNICHAR(((C2229*21)+G2229)*28+44032)</f>
        <v>파</v>
      </c>
      <c r="O2229" s="10" t="str">
        <f aca="false">_xlfn.UNICHAR(((F2229*21)+D2229)*28+44032)</f>
        <v>무</v>
      </c>
      <c r="P2229" s="12" t="n">
        <f aca="false">COUNTIF($A$2:$A$3000, N2229) + COUNTIF($A$2:$A$3000, O2229)</f>
        <v>2</v>
      </c>
      <c r="Q2229" s="16" t="str">
        <f aca="false">IF(OR(B2229=-1,I2229=0, P2229&lt;&gt;2), "albhed_dummy", _xlfn.CONCAT("albhed ", RIGHT("  " &amp; K2229,2),", ", RIGHT("  " &amp; L2229,2), ", " ,"""",H2229,""", ", """",N2229,""", ","""",O2229,""""," ; ", A2229))</f>
        <v>albhed 25,  6, "마", "파", "무" ; 풀</v>
      </c>
    </row>
    <row r="2230" customFormat="false" ht="17.9" hidden="false" customHeight="true" outlineLevel="0" collapsed="false">
      <c r="A2230" s="16" t="s">
        <v>3075</v>
      </c>
      <c r="B2230" s="16" t="n">
        <f aca="false">IF(_xlfn.UNICODE(A2230)&lt;44032,-1,_xlfn.UNICODE(A2230)-44032)</f>
        <v>10370</v>
      </c>
      <c r="C2230" s="16" t="n">
        <f aca="false">IF(B2230=-1,-1,INT((B2230/28)/21))</f>
        <v>17</v>
      </c>
      <c r="D2230" s="16" t="n">
        <f aca="false">IF(B2230=-1, -1, MOD(INT(B2230/28),21))</f>
        <v>13</v>
      </c>
      <c r="E2230" s="16" t="n">
        <f aca="false">IF(B2230=-1, -1, VLOOKUP(MOD(B2230,28), $T$24:$U$52,2))</f>
        <v>8</v>
      </c>
      <c r="F2230" s="16" t="n">
        <f aca="false">IF($B2230=-1, -1, VLOOKUP(C2230,$T$1:$V$20, 2))</f>
        <v>6</v>
      </c>
      <c r="G2230" s="16" t="n">
        <f aca="false">IF($B2230=-1, -1, VLOOKUP(D2230,$Y$1:$Z$22,2))</f>
        <v>0</v>
      </c>
      <c r="H2230" s="16" t="str">
        <f aca="false">_xlfn.UNICHAR(((F2230*21)+G2230)*28+44032)</f>
        <v>마</v>
      </c>
      <c r="I2230" s="16" t="n">
        <f aca="false">IF(B2230=-1, 1, COUNTIF($A$2:$A$3000, H2230))</f>
        <v>1</v>
      </c>
      <c r="J2230" s="10" t="str">
        <f aca="false">_xlfn.CONCAT(A2230, ",",H2230,",",I2230)</f>
        <v>풂,마,1</v>
      </c>
      <c r="K2230" s="16" t="n">
        <f aca="false">IF(B2230=-1,-1,VLOOKUP(C2230,$T$1:$V$20,3))</f>
        <v>25</v>
      </c>
      <c r="L2230" s="16" t="n">
        <f aca="false">IF(B2230=-1,-1,VLOOKUP(D2230,$Y$1:$AA$22,3))</f>
        <v>6</v>
      </c>
      <c r="N2230" s="10" t="str">
        <f aca="false">_xlfn.UNICHAR(((C2230*21)+G2230)*28+44032)</f>
        <v>파</v>
      </c>
      <c r="O2230" s="10" t="str">
        <f aca="false">_xlfn.UNICHAR(((F2230*21)+D2230)*28+44032)</f>
        <v>무</v>
      </c>
      <c r="P2230" s="12" t="n">
        <f aca="false">COUNTIF($A$2:$A$3000, N2230) + COUNTIF($A$2:$A$3000, O2230)</f>
        <v>2</v>
      </c>
      <c r="Q2230" s="16" t="str">
        <f aca="false">IF(OR(B2230=-1,I2230=0, P2230&lt;&gt;2), "albhed_dummy", _xlfn.CONCAT("albhed ", RIGHT("  " &amp; K2230,2),", ", RIGHT("  " &amp; L2230,2), ", " ,"""",H2230,""", ", """",N2230,""", ","""",O2230,""""," ; ", A2230))</f>
        <v>albhed 25,  6, "마", "파", "무" ; 풂</v>
      </c>
    </row>
    <row r="2231" customFormat="false" ht="17.9" hidden="false" customHeight="true" outlineLevel="0" collapsed="false">
      <c r="A2231" s="16" t="s">
        <v>3076</v>
      </c>
      <c r="B2231" s="16" t="n">
        <f aca="false">IF(_xlfn.UNICODE(A2231)&lt;44032,-1,_xlfn.UNICODE(A2231)-44032)</f>
        <v>10376</v>
      </c>
      <c r="C2231" s="16" t="n">
        <f aca="false">IF(B2231=-1,-1,INT((B2231/28)/21))</f>
        <v>17</v>
      </c>
      <c r="D2231" s="16" t="n">
        <f aca="false">IF(B2231=-1, -1, MOD(INT(B2231/28),21))</f>
        <v>13</v>
      </c>
      <c r="E2231" s="16" t="n">
        <f aca="false">IF(B2231=-1, -1, VLOOKUP(MOD(B2231,28), $T$24:$U$52,2))</f>
        <v>16</v>
      </c>
      <c r="F2231" s="16" t="n">
        <f aca="false">IF($B2231=-1, -1, VLOOKUP(C2231,$T$1:$V$20, 2))</f>
        <v>6</v>
      </c>
      <c r="G2231" s="16" t="n">
        <f aca="false">IF($B2231=-1, -1, VLOOKUP(D2231,$Y$1:$Z$22,2))</f>
        <v>0</v>
      </c>
      <c r="H2231" s="16" t="str">
        <f aca="false">_xlfn.UNICHAR(((F2231*21)+G2231)*28+44032)</f>
        <v>마</v>
      </c>
      <c r="I2231" s="16" t="n">
        <f aca="false">IF(B2231=-1, 1, COUNTIF($A$2:$A$3000, H2231))</f>
        <v>1</v>
      </c>
      <c r="J2231" s="10" t="str">
        <f aca="false">_xlfn.CONCAT(A2231, ",",H2231,",",I2231)</f>
        <v>품,마,1</v>
      </c>
      <c r="K2231" s="16" t="n">
        <f aca="false">IF(B2231=-1,-1,VLOOKUP(C2231,$T$1:$V$20,3))</f>
        <v>25</v>
      </c>
      <c r="L2231" s="16" t="n">
        <f aca="false">IF(B2231=-1,-1,VLOOKUP(D2231,$Y$1:$AA$22,3))</f>
        <v>6</v>
      </c>
      <c r="N2231" s="10" t="str">
        <f aca="false">_xlfn.UNICHAR(((C2231*21)+G2231)*28+44032)</f>
        <v>파</v>
      </c>
      <c r="O2231" s="10" t="str">
        <f aca="false">_xlfn.UNICHAR(((F2231*21)+D2231)*28+44032)</f>
        <v>무</v>
      </c>
      <c r="P2231" s="12" t="n">
        <f aca="false">COUNTIF($A$2:$A$3000, N2231) + COUNTIF($A$2:$A$3000, O2231)</f>
        <v>2</v>
      </c>
      <c r="Q2231" s="16" t="str">
        <f aca="false">IF(OR(B2231=-1,I2231=0, P2231&lt;&gt;2), "albhed_dummy", _xlfn.CONCAT("albhed ", RIGHT("  " &amp; K2231,2),", ", RIGHT("  " &amp; L2231,2), ", " ,"""",H2231,""", ", """",N2231,""", ","""",O2231,""""," ; ", A2231))</f>
        <v>albhed 25,  6, "마", "파", "무" ; 품</v>
      </c>
    </row>
    <row r="2232" customFormat="false" ht="17.9" hidden="false" customHeight="true" outlineLevel="0" collapsed="false">
      <c r="A2232" s="16" t="s">
        <v>3077</v>
      </c>
      <c r="B2232" s="16" t="n">
        <f aca="false">IF(_xlfn.UNICODE(A2232)&lt;44032,-1,_xlfn.UNICODE(A2232)-44032)</f>
        <v>10377</v>
      </c>
      <c r="C2232" s="16" t="n">
        <f aca="false">IF(B2232=-1,-1,INT((B2232/28)/21))</f>
        <v>17</v>
      </c>
      <c r="D2232" s="16" t="n">
        <f aca="false">IF(B2232=-1, -1, MOD(INT(B2232/28),21))</f>
        <v>13</v>
      </c>
      <c r="E2232" s="16" t="n">
        <f aca="false">IF(B2232=-1, -1, VLOOKUP(MOD(B2232,28), $T$24:$U$52,2))</f>
        <v>17</v>
      </c>
      <c r="F2232" s="16" t="n">
        <f aca="false">IF($B2232=-1, -1, VLOOKUP(C2232,$T$1:$V$20, 2))</f>
        <v>6</v>
      </c>
      <c r="G2232" s="16" t="n">
        <f aca="false">IF($B2232=-1, -1, VLOOKUP(D2232,$Y$1:$Z$22,2))</f>
        <v>0</v>
      </c>
      <c r="H2232" s="16" t="str">
        <f aca="false">_xlfn.UNICHAR(((F2232*21)+G2232)*28+44032)</f>
        <v>마</v>
      </c>
      <c r="I2232" s="16" t="n">
        <f aca="false">IF(B2232=-1, 1, COUNTIF($A$2:$A$3000, H2232))</f>
        <v>1</v>
      </c>
      <c r="J2232" s="10" t="str">
        <f aca="false">_xlfn.CONCAT(A2232, ",",H2232,",",I2232)</f>
        <v>풉,마,1</v>
      </c>
      <c r="K2232" s="16" t="n">
        <f aca="false">IF(B2232=-1,-1,VLOOKUP(C2232,$T$1:$V$20,3))</f>
        <v>25</v>
      </c>
      <c r="L2232" s="16" t="n">
        <f aca="false">IF(B2232=-1,-1,VLOOKUP(D2232,$Y$1:$AA$22,3))</f>
        <v>6</v>
      </c>
      <c r="N2232" s="10" t="str">
        <f aca="false">_xlfn.UNICHAR(((C2232*21)+G2232)*28+44032)</f>
        <v>파</v>
      </c>
      <c r="O2232" s="10" t="str">
        <f aca="false">_xlfn.UNICHAR(((F2232*21)+D2232)*28+44032)</f>
        <v>무</v>
      </c>
      <c r="P2232" s="12" t="n">
        <f aca="false">COUNTIF($A$2:$A$3000, N2232) + COUNTIF($A$2:$A$3000, O2232)</f>
        <v>2</v>
      </c>
      <c r="Q2232" s="16" t="str">
        <f aca="false">IF(OR(B2232=-1,I2232=0, P2232&lt;&gt;2), "albhed_dummy", _xlfn.CONCAT("albhed ", RIGHT("  " &amp; K2232,2),", ", RIGHT("  " &amp; L2232,2), ", " ,"""",H2232,""", ", """",N2232,""", ","""",O2232,""""," ; ", A2232))</f>
        <v>albhed 25,  6, "마", "파", "무" ; 풉</v>
      </c>
    </row>
    <row r="2233" customFormat="false" ht="17.9" hidden="false" customHeight="true" outlineLevel="0" collapsed="false">
      <c r="A2233" s="16" t="s">
        <v>3078</v>
      </c>
      <c r="B2233" s="16" t="n">
        <f aca="false">IF(_xlfn.UNICODE(A2233)&lt;44032,-1,_xlfn.UNICODE(A2233)-44032)</f>
        <v>10379</v>
      </c>
      <c r="C2233" s="16" t="n">
        <f aca="false">IF(B2233=-1,-1,INT((B2233/28)/21))</f>
        <v>17</v>
      </c>
      <c r="D2233" s="16" t="n">
        <f aca="false">IF(B2233=-1, -1, MOD(INT(B2233/28),21))</f>
        <v>13</v>
      </c>
      <c r="E2233" s="16" t="n">
        <f aca="false">IF(B2233=-1, -1, VLOOKUP(MOD(B2233,28), $T$24:$U$52,2))</f>
        <v>19</v>
      </c>
      <c r="F2233" s="16" t="n">
        <f aca="false">IF($B2233=-1, -1, VLOOKUP(C2233,$T$1:$V$20, 2))</f>
        <v>6</v>
      </c>
      <c r="G2233" s="16" t="n">
        <f aca="false">IF($B2233=-1, -1, VLOOKUP(D2233,$Y$1:$Z$22,2))</f>
        <v>0</v>
      </c>
      <c r="H2233" s="16" t="str">
        <f aca="false">_xlfn.UNICHAR(((F2233*21)+G2233)*28+44032)</f>
        <v>마</v>
      </c>
      <c r="I2233" s="16" t="n">
        <f aca="false">IF(B2233=-1, 1, COUNTIF($A$2:$A$3000, H2233))</f>
        <v>1</v>
      </c>
      <c r="J2233" s="10" t="str">
        <f aca="false">_xlfn.CONCAT(A2233, ",",H2233,",",I2233)</f>
        <v>풋,마,1</v>
      </c>
      <c r="K2233" s="16" t="n">
        <f aca="false">IF(B2233=-1,-1,VLOOKUP(C2233,$T$1:$V$20,3))</f>
        <v>25</v>
      </c>
      <c r="L2233" s="16" t="n">
        <f aca="false">IF(B2233=-1,-1,VLOOKUP(D2233,$Y$1:$AA$22,3))</f>
        <v>6</v>
      </c>
      <c r="N2233" s="10" t="str">
        <f aca="false">_xlfn.UNICHAR(((C2233*21)+G2233)*28+44032)</f>
        <v>파</v>
      </c>
      <c r="O2233" s="10" t="str">
        <f aca="false">_xlfn.UNICHAR(((F2233*21)+D2233)*28+44032)</f>
        <v>무</v>
      </c>
      <c r="P2233" s="12" t="n">
        <f aca="false">COUNTIF($A$2:$A$3000, N2233) + COUNTIF($A$2:$A$3000, O2233)</f>
        <v>2</v>
      </c>
      <c r="Q2233" s="16" t="str">
        <f aca="false">IF(OR(B2233=-1,I2233=0, P2233&lt;&gt;2), "albhed_dummy", _xlfn.CONCAT("albhed ", RIGHT("  " &amp; K2233,2),", ", RIGHT("  " &amp; L2233,2), ", " ,"""",H2233,""", ", """",N2233,""", ","""",O2233,""""," ; ", A2233))</f>
        <v>albhed 25,  6, "마", "파", "무" ; 풋</v>
      </c>
    </row>
    <row r="2234" customFormat="false" ht="17.9" hidden="false" customHeight="true" outlineLevel="0" collapsed="false">
      <c r="A2234" s="16" t="s">
        <v>3079</v>
      </c>
      <c r="B2234" s="16" t="n">
        <f aca="false">IF(_xlfn.UNICODE(A2234)&lt;44032,-1,_xlfn.UNICODE(A2234)-44032)</f>
        <v>10381</v>
      </c>
      <c r="C2234" s="16" t="n">
        <f aca="false">IF(B2234=-1,-1,INT((B2234/28)/21))</f>
        <v>17</v>
      </c>
      <c r="D2234" s="16" t="n">
        <f aca="false">IF(B2234=-1, -1, MOD(INT(B2234/28),21))</f>
        <v>13</v>
      </c>
      <c r="E2234" s="16" t="n">
        <f aca="false">IF(B2234=-1, -1, VLOOKUP(MOD(B2234,28), $T$24:$U$52,2))</f>
        <v>21</v>
      </c>
      <c r="F2234" s="16" t="n">
        <f aca="false">IF($B2234=-1, -1, VLOOKUP(C2234,$T$1:$V$20, 2))</f>
        <v>6</v>
      </c>
      <c r="G2234" s="16" t="n">
        <f aca="false">IF($B2234=-1, -1, VLOOKUP(D2234,$Y$1:$Z$22,2))</f>
        <v>0</v>
      </c>
      <c r="H2234" s="16" t="str">
        <f aca="false">_xlfn.UNICHAR(((F2234*21)+G2234)*28+44032)</f>
        <v>마</v>
      </c>
      <c r="I2234" s="16" t="n">
        <f aca="false">IF(B2234=-1, 1, COUNTIF($A$2:$A$3000, H2234))</f>
        <v>1</v>
      </c>
      <c r="J2234" s="10" t="str">
        <f aca="false">_xlfn.CONCAT(A2234, ",",H2234,",",I2234)</f>
        <v>풍,마,1</v>
      </c>
      <c r="K2234" s="16" t="n">
        <f aca="false">IF(B2234=-1,-1,VLOOKUP(C2234,$T$1:$V$20,3))</f>
        <v>25</v>
      </c>
      <c r="L2234" s="16" t="n">
        <f aca="false">IF(B2234=-1,-1,VLOOKUP(D2234,$Y$1:$AA$22,3))</f>
        <v>6</v>
      </c>
      <c r="N2234" s="10" t="str">
        <f aca="false">_xlfn.UNICHAR(((C2234*21)+G2234)*28+44032)</f>
        <v>파</v>
      </c>
      <c r="O2234" s="10" t="str">
        <f aca="false">_xlfn.UNICHAR(((F2234*21)+D2234)*28+44032)</f>
        <v>무</v>
      </c>
      <c r="P2234" s="12" t="n">
        <f aca="false">COUNTIF($A$2:$A$3000, N2234) + COUNTIF($A$2:$A$3000, O2234)</f>
        <v>2</v>
      </c>
      <c r="Q2234" s="16" t="str">
        <f aca="false">IF(OR(B2234=-1,I2234=0, P2234&lt;&gt;2), "albhed_dummy", _xlfn.CONCAT("albhed ", RIGHT("  " &amp; K2234,2),", ", RIGHT("  " &amp; L2234,2), ", " ,"""",H2234,""", ", """",N2234,""", ","""",O2234,""""," ; ", A2234))</f>
        <v>albhed 25,  6, "마", "파", "무" ; 풍</v>
      </c>
    </row>
    <row r="2235" customFormat="false" ht="17.9" hidden="false" customHeight="true" outlineLevel="0" collapsed="false">
      <c r="A2235" s="16" t="s">
        <v>3080</v>
      </c>
      <c r="B2235" s="16" t="n">
        <f aca="false">IF(_xlfn.UNICODE(A2235)&lt;44032,-1,_xlfn.UNICODE(A2235)-44032)</f>
        <v>10388</v>
      </c>
      <c r="C2235" s="16" t="n">
        <f aca="false">IF(B2235=-1,-1,INT((B2235/28)/21))</f>
        <v>17</v>
      </c>
      <c r="D2235" s="16" t="n">
        <f aca="false">IF(B2235=-1, -1, MOD(INT(B2235/28),21))</f>
        <v>14</v>
      </c>
      <c r="E2235" s="16" t="n">
        <f aca="false">IF(B2235=-1, -1, VLOOKUP(MOD(B2235,28), $T$24:$U$52,2))</f>
        <v>0</v>
      </c>
      <c r="F2235" s="16" t="n">
        <f aca="false">IF($B2235=-1, -1, VLOOKUP(C2235,$T$1:$V$20, 2))</f>
        <v>6</v>
      </c>
      <c r="G2235" s="16" t="n">
        <f aca="false">IF($B2235=-1, -1, VLOOKUP(D2235,$Y$1:$Z$22,2))</f>
        <v>20</v>
      </c>
      <c r="H2235" s="16" t="str">
        <f aca="false">_xlfn.UNICHAR(((F2235*21)+G2235)*28+44032)</f>
        <v>미</v>
      </c>
      <c r="I2235" s="16" t="n">
        <f aca="false">IF(B2235=-1, 1, COUNTIF($A$2:$A$3000, H2235))</f>
        <v>1</v>
      </c>
      <c r="J2235" s="10" t="str">
        <f aca="false">_xlfn.CONCAT(A2235, ",",H2235,",",I2235)</f>
        <v>풔,미,1</v>
      </c>
      <c r="K2235" s="16" t="n">
        <f aca="false">IF(B2235=-1,-1,VLOOKUP(C2235,$T$1:$V$20,3))</f>
        <v>25</v>
      </c>
      <c r="L2235" s="16" t="n">
        <f aca="false">IF(B2235=-1,-1,VLOOKUP(D2235,$Y$1:$AA$22,3))</f>
        <v>16</v>
      </c>
      <c r="N2235" s="10" t="str">
        <f aca="false">_xlfn.UNICHAR(((C2235*21)+G2235)*28+44032)</f>
        <v>피</v>
      </c>
      <c r="O2235" s="10" t="str">
        <f aca="false">_xlfn.UNICHAR(((F2235*21)+D2235)*28+44032)</f>
        <v>뭐</v>
      </c>
      <c r="P2235" s="12" t="n">
        <f aca="false">COUNTIF($A$2:$A$3000, N2235) + COUNTIF($A$2:$A$3000, O2235)</f>
        <v>2</v>
      </c>
      <c r="Q2235" s="16" t="str">
        <f aca="false">IF(OR(B2235=-1,I2235=0, P2235&lt;&gt;2), "albhed_dummy", _xlfn.CONCAT("albhed ", RIGHT("  " &amp; K2235,2),", ", RIGHT("  " &amp; L2235,2), ", " ,"""",H2235,""", ", """",N2235,""", ","""",O2235,""""," ; ", A2235))</f>
        <v>albhed 25, 16, "미", "피", "뭐" ; 풔</v>
      </c>
    </row>
    <row r="2236" customFormat="false" ht="17.9" hidden="false" customHeight="true" outlineLevel="0" collapsed="false">
      <c r="A2236" s="16" t="s">
        <v>3081</v>
      </c>
      <c r="B2236" s="16" t="n">
        <f aca="false">IF(_xlfn.UNICODE(A2236)&lt;44032,-1,_xlfn.UNICODE(A2236)-44032)</f>
        <v>10409</v>
      </c>
      <c r="C2236" s="16" t="n">
        <f aca="false">IF(B2236=-1,-1,INT((B2236/28)/21))</f>
        <v>17</v>
      </c>
      <c r="D2236" s="16" t="n">
        <f aca="false">IF(B2236=-1, -1, MOD(INT(B2236/28),21))</f>
        <v>14</v>
      </c>
      <c r="E2236" s="16" t="n">
        <f aca="false">IF(B2236=-1, -1, VLOOKUP(MOD(B2236,28), $T$24:$U$52,2))</f>
        <v>21</v>
      </c>
      <c r="F2236" s="16" t="n">
        <f aca="false">IF($B2236=-1, -1, VLOOKUP(C2236,$T$1:$V$20, 2))</f>
        <v>6</v>
      </c>
      <c r="G2236" s="16" t="n">
        <f aca="false">IF($B2236=-1, -1, VLOOKUP(D2236,$Y$1:$Z$22,2))</f>
        <v>20</v>
      </c>
      <c r="H2236" s="16" t="str">
        <f aca="false">_xlfn.UNICHAR(((F2236*21)+G2236)*28+44032)</f>
        <v>미</v>
      </c>
      <c r="I2236" s="16" t="n">
        <f aca="false">IF(B2236=-1, 1, COUNTIF($A$2:$A$3000, H2236))</f>
        <v>1</v>
      </c>
      <c r="J2236" s="10" t="str">
        <f aca="false">_xlfn.CONCAT(A2236, ",",H2236,",",I2236)</f>
        <v>풩,미,1</v>
      </c>
      <c r="K2236" s="16" t="n">
        <f aca="false">IF(B2236=-1,-1,VLOOKUP(C2236,$T$1:$V$20,3))</f>
        <v>25</v>
      </c>
      <c r="L2236" s="16" t="n">
        <f aca="false">IF(B2236=-1,-1,VLOOKUP(D2236,$Y$1:$AA$22,3))</f>
        <v>16</v>
      </c>
      <c r="N2236" s="10" t="str">
        <f aca="false">_xlfn.UNICHAR(((C2236*21)+G2236)*28+44032)</f>
        <v>피</v>
      </c>
      <c r="O2236" s="10" t="str">
        <f aca="false">_xlfn.UNICHAR(((F2236*21)+D2236)*28+44032)</f>
        <v>뭐</v>
      </c>
      <c r="P2236" s="12" t="n">
        <f aca="false">COUNTIF($A$2:$A$3000, N2236) + COUNTIF($A$2:$A$3000, O2236)</f>
        <v>2</v>
      </c>
      <c r="Q2236" s="16" t="str">
        <f aca="false">IF(OR(B2236=-1,I2236=0, P2236&lt;&gt;2), "albhed_dummy", _xlfn.CONCAT("albhed ", RIGHT("  " &amp; K2236,2),", ", RIGHT("  " &amp; L2236,2), ", " ,"""",H2236,""", ", """",N2236,""", ","""",O2236,""""," ; ", A2236))</f>
        <v>albhed 25, 16, "미", "피", "뭐" ; 풩</v>
      </c>
    </row>
    <row r="2237" customFormat="false" ht="17.9" hidden="false" customHeight="true" outlineLevel="0" collapsed="false">
      <c r="A2237" s="16" t="s">
        <v>3082</v>
      </c>
      <c r="B2237" s="16" t="n">
        <f aca="false">IF(_xlfn.UNICODE(A2237)&lt;44032,-1,_xlfn.UNICODE(A2237)-44032)</f>
        <v>10444</v>
      </c>
      <c r="C2237" s="16" t="n">
        <f aca="false">IF(B2237=-1,-1,INT((B2237/28)/21))</f>
        <v>17</v>
      </c>
      <c r="D2237" s="16" t="n">
        <f aca="false">IF(B2237=-1, -1, MOD(INT(B2237/28),21))</f>
        <v>16</v>
      </c>
      <c r="E2237" s="16" t="n">
        <f aca="false">IF(B2237=-1, -1, VLOOKUP(MOD(B2237,28), $T$24:$U$52,2))</f>
        <v>0</v>
      </c>
      <c r="F2237" s="16" t="n">
        <f aca="false">IF($B2237=-1, -1, VLOOKUP(C2237,$T$1:$V$20, 2))</f>
        <v>6</v>
      </c>
      <c r="G2237" s="16" t="n">
        <f aca="false">IF($B2237=-1, -1, VLOOKUP(D2237,$Y$1:$Z$22,2))</f>
        <v>20</v>
      </c>
      <c r="H2237" s="16" t="str">
        <f aca="false">_xlfn.UNICHAR(((F2237*21)+G2237)*28+44032)</f>
        <v>미</v>
      </c>
      <c r="I2237" s="16" t="n">
        <f aca="false">IF(B2237=-1, 1, COUNTIF($A$2:$A$3000, H2237))</f>
        <v>1</v>
      </c>
      <c r="J2237" s="10" t="str">
        <f aca="false">_xlfn.CONCAT(A2237, ",",H2237,",",I2237)</f>
        <v>퓌,미,1</v>
      </c>
      <c r="K2237" s="16" t="n">
        <f aca="false">IF(B2237=-1,-1,VLOOKUP(C2237,$T$1:$V$20,3))</f>
        <v>25</v>
      </c>
      <c r="L2237" s="16" t="n">
        <f aca="false">IF(B2237=-1,-1,VLOOKUP(D2237,$Y$1:$AA$22,3))</f>
        <v>22</v>
      </c>
      <c r="N2237" s="10" t="str">
        <f aca="false">_xlfn.UNICHAR(((C2237*21)+G2237)*28+44032)</f>
        <v>피</v>
      </c>
      <c r="O2237" s="10" t="str">
        <f aca="false">_xlfn.UNICHAR(((F2237*21)+D2237)*28+44032)</f>
        <v>뮈</v>
      </c>
      <c r="P2237" s="12" t="n">
        <f aca="false">COUNTIF($A$2:$A$3000, N2237) + COUNTIF($A$2:$A$3000, O2237)</f>
        <v>2</v>
      </c>
      <c r="Q2237" s="16" t="str">
        <f aca="false">IF(OR(B2237=-1,I2237=0, P2237&lt;&gt;2), "albhed_dummy", _xlfn.CONCAT("albhed ", RIGHT("  " &amp; K2237,2),", ", RIGHT("  " &amp; L2237,2), ", " ,"""",H2237,""", ", """",N2237,""", ","""",O2237,""""," ; ", A2237))</f>
        <v>albhed 25, 22, "미", "피", "뮈" ; 퓌</v>
      </c>
    </row>
    <row r="2238" customFormat="false" ht="17.9" hidden="false" customHeight="true" outlineLevel="0" collapsed="false">
      <c r="A2238" s="16" t="s">
        <v>3083</v>
      </c>
      <c r="B2238" s="16" t="n">
        <f aca="false">IF(_xlfn.UNICODE(A2238)&lt;44032,-1,_xlfn.UNICODE(A2238)-44032)</f>
        <v>10448</v>
      </c>
      <c r="C2238" s="16" t="n">
        <f aca="false">IF(B2238=-1,-1,INT((B2238/28)/21))</f>
        <v>17</v>
      </c>
      <c r="D2238" s="16" t="n">
        <f aca="false">IF(B2238=-1, -1, MOD(INT(B2238/28),21))</f>
        <v>16</v>
      </c>
      <c r="E2238" s="16" t="n">
        <f aca="false">IF(B2238=-1, -1, VLOOKUP(MOD(B2238,28), $T$24:$U$52,2))</f>
        <v>4</v>
      </c>
      <c r="F2238" s="16" t="n">
        <f aca="false">IF($B2238=-1, -1, VLOOKUP(C2238,$T$1:$V$20, 2))</f>
        <v>6</v>
      </c>
      <c r="G2238" s="16" t="n">
        <f aca="false">IF($B2238=-1, -1, VLOOKUP(D2238,$Y$1:$Z$22,2))</f>
        <v>20</v>
      </c>
      <c r="H2238" s="16" t="str">
        <f aca="false">_xlfn.UNICHAR(((F2238*21)+G2238)*28+44032)</f>
        <v>미</v>
      </c>
      <c r="I2238" s="16" t="n">
        <f aca="false">IF(B2238=-1, 1, COUNTIF($A$2:$A$3000, H2238))</f>
        <v>1</v>
      </c>
      <c r="J2238" s="10" t="str">
        <f aca="false">_xlfn.CONCAT(A2238, ",",H2238,",",I2238)</f>
        <v>퓐,미,1</v>
      </c>
      <c r="K2238" s="16" t="n">
        <f aca="false">IF(B2238=-1,-1,VLOOKUP(C2238,$T$1:$V$20,3))</f>
        <v>25</v>
      </c>
      <c r="L2238" s="16" t="n">
        <f aca="false">IF(B2238=-1,-1,VLOOKUP(D2238,$Y$1:$AA$22,3))</f>
        <v>22</v>
      </c>
      <c r="N2238" s="10" t="str">
        <f aca="false">_xlfn.UNICHAR(((C2238*21)+G2238)*28+44032)</f>
        <v>피</v>
      </c>
      <c r="O2238" s="10" t="str">
        <f aca="false">_xlfn.UNICHAR(((F2238*21)+D2238)*28+44032)</f>
        <v>뮈</v>
      </c>
      <c r="P2238" s="12" t="n">
        <f aca="false">COUNTIF($A$2:$A$3000, N2238) + COUNTIF($A$2:$A$3000, O2238)</f>
        <v>2</v>
      </c>
      <c r="Q2238" s="16" t="str">
        <f aca="false">IF(OR(B2238=-1,I2238=0, P2238&lt;&gt;2), "albhed_dummy", _xlfn.CONCAT("albhed ", RIGHT("  " &amp; K2238,2),", ", RIGHT("  " &amp; L2238,2), ", " ,"""",H2238,""", ", """",N2238,""", ","""",O2238,""""," ; ", A2238))</f>
        <v>albhed 25, 22, "미", "피", "뮈" ; 퓐</v>
      </c>
    </row>
    <row r="2239" customFormat="false" ht="17.9" hidden="false" customHeight="true" outlineLevel="0" collapsed="false">
      <c r="A2239" s="16" t="s">
        <v>3084</v>
      </c>
      <c r="B2239" s="16" t="n">
        <f aca="false">IF(_xlfn.UNICODE(A2239)&lt;44032,-1,_xlfn.UNICODE(A2239)-44032)</f>
        <v>10452</v>
      </c>
      <c r="C2239" s="16" t="n">
        <f aca="false">IF(B2239=-1,-1,INT((B2239/28)/21))</f>
        <v>17</v>
      </c>
      <c r="D2239" s="16" t="n">
        <f aca="false">IF(B2239=-1, -1, MOD(INT(B2239/28),21))</f>
        <v>16</v>
      </c>
      <c r="E2239" s="16" t="n">
        <f aca="false">IF(B2239=-1, -1, VLOOKUP(MOD(B2239,28), $T$24:$U$52,2))</f>
        <v>8</v>
      </c>
      <c r="F2239" s="16" t="n">
        <f aca="false">IF($B2239=-1, -1, VLOOKUP(C2239,$T$1:$V$20, 2))</f>
        <v>6</v>
      </c>
      <c r="G2239" s="16" t="n">
        <f aca="false">IF($B2239=-1, -1, VLOOKUP(D2239,$Y$1:$Z$22,2))</f>
        <v>20</v>
      </c>
      <c r="H2239" s="16" t="str">
        <f aca="false">_xlfn.UNICHAR(((F2239*21)+G2239)*28+44032)</f>
        <v>미</v>
      </c>
      <c r="I2239" s="16" t="n">
        <f aca="false">IF(B2239=-1, 1, COUNTIF($A$2:$A$3000, H2239))</f>
        <v>1</v>
      </c>
      <c r="J2239" s="10" t="str">
        <f aca="false">_xlfn.CONCAT(A2239, ",",H2239,",",I2239)</f>
        <v>퓔,미,1</v>
      </c>
      <c r="K2239" s="16" t="n">
        <f aca="false">IF(B2239=-1,-1,VLOOKUP(C2239,$T$1:$V$20,3))</f>
        <v>25</v>
      </c>
      <c r="L2239" s="16" t="n">
        <f aca="false">IF(B2239=-1,-1,VLOOKUP(D2239,$Y$1:$AA$22,3))</f>
        <v>22</v>
      </c>
      <c r="N2239" s="10" t="str">
        <f aca="false">_xlfn.UNICHAR(((C2239*21)+G2239)*28+44032)</f>
        <v>피</v>
      </c>
      <c r="O2239" s="10" t="str">
        <f aca="false">_xlfn.UNICHAR(((F2239*21)+D2239)*28+44032)</f>
        <v>뮈</v>
      </c>
      <c r="P2239" s="12" t="n">
        <f aca="false">COUNTIF($A$2:$A$3000, N2239) + COUNTIF($A$2:$A$3000, O2239)</f>
        <v>2</v>
      </c>
      <c r="Q2239" s="16" t="str">
        <f aca="false">IF(OR(B2239=-1,I2239=0, P2239&lt;&gt;2), "albhed_dummy", _xlfn.CONCAT("albhed ", RIGHT("  " &amp; K2239,2),", ", RIGHT("  " &amp; L2239,2), ", " ,"""",H2239,""", ", """",N2239,""", ","""",O2239,""""," ; ", A2239))</f>
        <v>albhed 25, 22, "미", "피", "뮈" ; 퓔</v>
      </c>
    </row>
    <row r="2240" customFormat="false" ht="17.9" hidden="false" customHeight="true" outlineLevel="0" collapsed="false">
      <c r="A2240" s="16" t="s">
        <v>3085</v>
      </c>
      <c r="B2240" s="16" t="n">
        <f aca="false">IF(_xlfn.UNICODE(A2240)&lt;44032,-1,_xlfn.UNICODE(A2240)-44032)</f>
        <v>10460</v>
      </c>
      <c r="C2240" s="16" t="n">
        <f aca="false">IF(B2240=-1,-1,INT((B2240/28)/21))</f>
        <v>17</v>
      </c>
      <c r="D2240" s="16" t="n">
        <f aca="false">IF(B2240=-1, -1, MOD(INT(B2240/28),21))</f>
        <v>16</v>
      </c>
      <c r="E2240" s="16" t="n">
        <f aca="false">IF(B2240=-1, -1, VLOOKUP(MOD(B2240,28), $T$24:$U$52,2))</f>
        <v>16</v>
      </c>
      <c r="F2240" s="16" t="n">
        <f aca="false">IF($B2240=-1, -1, VLOOKUP(C2240,$T$1:$V$20, 2))</f>
        <v>6</v>
      </c>
      <c r="G2240" s="16" t="n">
        <f aca="false">IF($B2240=-1, -1, VLOOKUP(D2240,$Y$1:$Z$22,2))</f>
        <v>20</v>
      </c>
      <c r="H2240" s="16" t="str">
        <f aca="false">_xlfn.UNICHAR(((F2240*21)+G2240)*28+44032)</f>
        <v>미</v>
      </c>
      <c r="I2240" s="16" t="n">
        <f aca="false">IF(B2240=-1, 1, COUNTIF($A$2:$A$3000, H2240))</f>
        <v>1</v>
      </c>
      <c r="J2240" s="10" t="str">
        <f aca="false">_xlfn.CONCAT(A2240, ",",H2240,",",I2240)</f>
        <v>퓜,미,1</v>
      </c>
      <c r="K2240" s="16" t="n">
        <f aca="false">IF(B2240=-1,-1,VLOOKUP(C2240,$T$1:$V$20,3))</f>
        <v>25</v>
      </c>
      <c r="L2240" s="16" t="n">
        <f aca="false">IF(B2240=-1,-1,VLOOKUP(D2240,$Y$1:$AA$22,3))</f>
        <v>22</v>
      </c>
      <c r="N2240" s="10" t="str">
        <f aca="false">_xlfn.UNICHAR(((C2240*21)+G2240)*28+44032)</f>
        <v>피</v>
      </c>
      <c r="O2240" s="10" t="str">
        <f aca="false">_xlfn.UNICHAR(((F2240*21)+D2240)*28+44032)</f>
        <v>뮈</v>
      </c>
      <c r="P2240" s="12" t="n">
        <f aca="false">COUNTIF($A$2:$A$3000, N2240) + COUNTIF($A$2:$A$3000, O2240)</f>
        <v>2</v>
      </c>
      <c r="Q2240" s="16" t="str">
        <f aca="false">IF(OR(B2240=-1,I2240=0, P2240&lt;&gt;2), "albhed_dummy", _xlfn.CONCAT("albhed ", RIGHT("  " &amp; K2240,2),", ", RIGHT("  " &amp; L2240,2), ", " ,"""",H2240,""", ", """",N2240,""", ","""",O2240,""""," ; ", A2240))</f>
        <v>albhed 25, 22, "미", "피", "뮈" ; 퓜</v>
      </c>
    </row>
    <row r="2241" customFormat="false" ht="17.9" hidden="false" customHeight="true" outlineLevel="0" collapsed="false">
      <c r="A2241" s="16" t="s">
        <v>3086</v>
      </c>
      <c r="B2241" s="16" t="n">
        <f aca="false">IF(_xlfn.UNICODE(A2241)&lt;44032,-1,_xlfn.UNICODE(A2241)-44032)</f>
        <v>10463</v>
      </c>
      <c r="C2241" s="16" t="n">
        <f aca="false">IF(B2241=-1,-1,INT((B2241/28)/21))</f>
        <v>17</v>
      </c>
      <c r="D2241" s="16" t="n">
        <f aca="false">IF(B2241=-1, -1, MOD(INT(B2241/28),21))</f>
        <v>16</v>
      </c>
      <c r="E2241" s="16" t="n">
        <f aca="false">IF(B2241=-1, -1, VLOOKUP(MOD(B2241,28), $T$24:$U$52,2))</f>
        <v>19</v>
      </c>
      <c r="F2241" s="16" t="n">
        <f aca="false">IF($B2241=-1, -1, VLOOKUP(C2241,$T$1:$V$20, 2))</f>
        <v>6</v>
      </c>
      <c r="G2241" s="16" t="n">
        <f aca="false">IF($B2241=-1, -1, VLOOKUP(D2241,$Y$1:$Z$22,2))</f>
        <v>20</v>
      </c>
      <c r="H2241" s="16" t="str">
        <f aca="false">_xlfn.UNICHAR(((F2241*21)+G2241)*28+44032)</f>
        <v>미</v>
      </c>
      <c r="I2241" s="16" t="n">
        <f aca="false">IF(B2241=-1, 1, COUNTIF($A$2:$A$3000, H2241))</f>
        <v>1</v>
      </c>
      <c r="J2241" s="10" t="str">
        <f aca="false">_xlfn.CONCAT(A2241, ",",H2241,",",I2241)</f>
        <v>퓟,미,1</v>
      </c>
      <c r="K2241" s="16" t="n">
        <f aca="false">IF(B2241=-1,-1,VLOOKUP(C2241,$T$1:$V$20,3))</f>
        <v>25</v>
      </c>
      <c r="L2241" s="16" t="n">
        <f aca="false">IF(B2241=-1,-1,VLOOKUP(D2241,$Y$1:$AA$22,3))</f>
        <v>22</v>
      </c>
      <c r="N2241" s="10" t="str">
        <f aca="false">_xlfn.UNICHAR(((C2241*21)+G2241)*28+44032)</f>
        <v>피</v>
      </c>
      <c r="O2241" s="10" t="str">
        <f aca="false">_xlfn.UNICHAR(((F2241*21)+D2241)*28+44032)</f>
        <v>뮈</v>
      </c>
      <c r="P2241" s="12" t="n">
        <f aca="false">COUNTIF($A$2:$A$3000, N2241) + COUNTIF($A$2:$A$3000, O2241)</f>
        <v>2</v>
      </c>
      <c r="Q2241" s="16" t="str">
        <f aca="false">IF(OR(B2241=-1,I2241=0, P2241&lt;&gt;2), "albhed_dummy", _xlfn.CONCAT("albhed ", RIGHT("  " &amp; K2241,2),", ", RIGHT("  " &amp; L2241,2), ", " ,"""",H2241,""", ", """",N2241,""", ","""",O2241,""""," ; ", A2241))</f>
        <v>albhed 25, 22, "미", "피", "뮈" ; 퓟</v>
      </c>
    </row>
    <row r="2242" customFormat="false" ht="17.9" hidden="false" customHeight="true" outlineLevel="0" collapsed="false">
      <c r="A2242" s="16" t="s">
        <v>3087</v>
      </c>
      <c r="B2242" s="16" t="n">
        <f aca="false">IF(_xlfn.UNICODE(A2242)&lt;44032,-1,_xlfn.UNICODE(A2242)-44032)</f>
        <v>10472</v>
      </c>
      <c r="C2242" s="16" t="n">
        <f aca="false">IF(B2242=-1,-1,INT((B2242/28)/21))</f>
        <v>17</v>
      </c>
      <c r="D2242" s="16" t="n">
        <f aca="false">IF(B2242=-1, -1, MOD(INT(B2242/28),21))</f>
        <v>17</v>
      </c>
      <c r="E2242" s="16" t="n">
        <f aca="false">IF(B2242=-1, -1, VLOOKUP(MOD(B2242,28), $T$24:$U$52,2))</f>
        <v>0</v>
      </c>
      <c r="F2242" s="16" t="n">
        <f aca="false">IF($B2242=-1, -1, VLOOKUP(C2242,$T$1:$V$20, 2))</f>
        <v>6</v>
      </c>
      <c r="G2242" s="16" t="n">
        <f aca="false">IF($B2242=-1, -1, VLOOKUP(D2242,$Y$1:$Z$22,2))</f>
        <v>2</v>
      </c>
      <c r="H2242" s="16" t="str">
        <f aca="false">_xlfn.UNICHAR(((F2242*21)+G2242)*28+44032)</f>
        <v>먀</v>
      </c>
      <c r="I2242" s="16" t="n">
        <f aca="false">IF(B2242=-1, 1, COUNTIF($A$2:$A$3000, H2242))</f>
        <v>1</v>
      </c>
      <c r="J2242" s="10" t="str">
        <f aca="false">_xlfn.CONCAT(A2242, ",",H2242,",",I2242)</f>
        <v>퓨,먀,1</v>
      </c>
      <c r="K2242" s="16" t="n">
        <f aca="false">IF(B2242=-1,-1,VLOOKUP(C2242,$T$1:$V$20,3))</f>
        <v>25</v>
      </c>
      <c r="L2242" s="16" t="n">
        <f aca="false">IF(B2242=-1,-1,VLOOKUP(D2242,$Y$1:$AA$22,3))</f>
        <v>6</v>
      </c>
      <c r="N2242" s="10" t="str">
        <f aca="false">_xlfn.UNICHAR(((C2242*21)+G2242)*28+44032)</f>
        <v>퍄</v>
      </c>
      <c r="O2242" s="10" t="str">
        <f aca="false">_xlfn.UNICHAR(((F2242*21)+D2242)*28+44032)</f>
        <v>뮤</v>
      </c>
      <c r="P2242" s="12" t="n">
        <f aca="false">COUNTIF($A$2:$A$3000, N2242) + COUNTIF($A$2:$A$3000, O2242)</f>
        <v>2</v>
      </c>
      <c r="Q2242" s="16" t="str">
        <f aca="false">IF(OR(B2242=-1,I2242=0, P2242&lt;&gt;2), "albhed_dummy", _xlfn.CONCAT("albhed ", RIGHT("  " &amp; K2242,2),", ", RIGHT("  " &amp; L2242,2), ", " ,"""",H2242,""", ", """",N2242,""", ","""",O2242,""""," ; ", A2242))</f>
        <v>albhed 25,  6, "먀", "퍄", "뮤" ; 퓨</v>
      </c>
    </row>
    <row r="2243" customFormat="false" ht="17.9" hidden="false" customHeight="true" outlineLevel="0" collapsed="false">
      <c r="A2243" s="16" t="s">
        <v>3088</v>
      </c>
      <c r="B2243" s="16" t="n">
        <f aca="false">IF(_xlfn.UNICODE(A2243)&lt;44032,-1,_xlfn.UNICODE(A2243)-44032)</f>
        <v>10476</v>
      </c>
      <c r="C2243" s="16" t="n">
        <f aca="false">IF(B2243=-1,-1,INT((B2243/28)/21))</f>
        <v>17</v>
      </c>
      <c r="D2243" s="16" t="n">
        <f aca="false">IF(B2243=-1, -1, MOD(INT(B2243/28),21))</f>
        <v>17</v>
      </c>
      <c r="E2243" s="16" t="n">
        <f aca="false">IF(B2243=-1, -1, VLOOKUP(MOD(B2243,28), $T$24:$U$52,2))</f>
        <v>4</v>
      </c>
      <c r="F2243" s="16" t="n">
        <f aca="false">IF($B2243=-1, -1, VLOOKUP(C2243,$T$1:$V$20, 2))</f>
        <v>6</v>
      </c>
      <c r="G2243" s="16" t="n">
        <f aca="false">IF($B2243=-1, -1, VLOOKUP(D2243,$Y$1:$Z$22,2))</f>
        <v>2</v>
      </c>
      <c r="H2243" s="16" t="str">
        <f aca="false">_xlfn.UNICHAR(((F2243*21)+G2243)*28+44032)</f>
        <v>먀</v>
      </c>
      <c r="I2243" s="16" t="n">
        <f aca="false">IF(B2243=-1, 1, COUNTIF($A$2:$A$3000, H2243))</f>
        <v>1</v>
      </c>
      <c r="J2243" s="10" t="str">
        <f aca="false">_xlfn.CONCAT(A2243, ",",H2243,",",I2243)</f>
        <v>퓬,먀,1</v>
      </c>
      <c r="K2243" s="16" t="n">
        <f aca="false">IF(B2243=-1,-1,VLOOKUP(C2243,$T$1:$V$20,3))</f>
        <v>25</v>
      </c>
      <c r="L2243" s="16" t="n">
        <f aca="false">IF(B2243=-1,-1,VLOOKUP(D2243,$Y$1:$AA$22,3))</f>
        <v>6</v>
      </c>
      <c r="N2243" s="10" t="str">
        <f aca="false">_xlfn.UNICHAR(((C2243*21)+G2243)*28+44032)</f>
        <v>퍄</v>
      </c>
      <c r="O2243" s="10" t="str">
        <f aca="false">_xlfn.UNICHAR(((F2243*21)+D2243)*28+44032)</f>
        <v>뮤</v>
      </c>
      <c r="P2243" s="12" t="n">
        <f aca="false">COUNTIF($A$2:$A$3000, N2243) + COUNTIF($A$2:$A$3000, O2243)</f>
        <v>2</v>
      </c>
      <c r="Q2243" s="16" t="str">
        <f aca="false">IF(OR(B2243=-1,I2243=0, P2243&lt;&gt;2), "albhed_dummy", _xlfn.CONCAT("albhed ", RIGHT("  " &amp; K2243,2),", ", RIGHT("  " &amp; L2243,2), ", " ,"""",H2243,""", ", """",N2243,""", ","""",O2243,""""," ; ", A2243))</f>
        <v>albhed 25,  6, "먀", "퍄", "뮤" ; 퓬</v>
      </c>
    </row>
    <row r="2244" customFormat="false" ht="17.9" hidden="false" customHeight="true" outlineLevel="0" collapsed="false">
      <c r="A2244" s="16" t="s">
        <v>3089</v>
      </c>
      <c r="B2244" s="16" t="n">
        <f aca="false">IF(_xlfn.UNICODE(A2244)&lt;44032,-1,_xlfn.UNICODE(A2244)-44032)</f>
        <v>10480</v>
      </c>
      <c r="C2244" s="16" t="n">
        <f aca="false">IF(B2244=-1,-1,INT((B2244/28)/21))</f>
        <v>17</v>
      </c>
      <c r="D2244" s="16" t="n">
        <f aca="false">IF(B2244=-1, -1, MOD(INT(B2244/28),21))</f>
        <v>17</v>
      </c>
      <c r="E2244" s="16" t="n">
        <f aca="false">IF(B2244=-1, -1, VLOOKUP(MOD(B2244,28), $T$24:$U$52,2))</f>
        <v>8</v>
      </c>
      <c r="F2244" s="16" t="n">
        <f aca="false">IF($B2244=-1, -1, VLOOKUP(C2244,$T$1:$V$20, 2))</f>
        <v>6</v>
      </c>
      <c r="G2244" s="16" t="n">
        <f aca="false">IF($B2244=-1, -1, VLOOKUP(D2244,$Y$1:$Z$22,2))</f>
        <v>2</v>
      </c>
      <c r="H2244" s="16" t="str">
        <f aca="false">_xlfn.UNICHAR(((F2244*21)+G2244)*28+44032)</f>
        <v>먀</v>
      </c>
      <c r="I2244" s="16" t="n">
        <f aca="false">IF(B2244=-1, 1, COUNTIF($A$2:$A$3000, H2244))</f>
        <v>1</v>
      </c>
      <c r="J2244" s="10" t="str">
        <f aca="false">_xlfn.CONCAT(A2244, ",",H2244,",",I2244)</f>
        <v>퓰,먀,1</v>
      </c>
      <c r="K2244" s="16" t="n">
        <f aca="false">IF(B2244=-1,-1,VLOOKUP(C2244,$T$1:$V$20,3))</f>
        <v>25</v>
      </c>
      <c r="L2244" s="16" t="n">
        <f aca="false">IF(B2244=-1,-1,VLOOKUP(D2244,$Y$1:$AA$22,3))</f>
        <v>6</v>
      </c>
      <c r="N2244" s="10" t="str">
        <f aca="false">_xlfn.UNICHAR(((C2244*21)+G2244)*28+44032)</f>
        <v>퍄</v>
      </c>
      <c r="O2244" s="10" t="str">
        <f aca="false">_xlfn.UNICHAR(((F2244*21)+D2244)*28+44032)</f>
        <v>뮤</v>
      </c>
      <c r="P2244" s="12" t="n">
        <f aca="false">COUNTIF($A$2:$A$3000, N2244) + COUNTIF($A$2:$A$3000, O2244)</f>
        <v>2</v>
      </c>
      <c r="Q2244" s="16" t="str">
        <f aca="false">IF(OR(B2244=-1,I2244=0, P2244&lt;&gt;2), "albhed_dummy", _xlfn.CONCAT("albhed ", RIGHT("  " &amp; K2244,2),", ", RIGHT("  " &amp; L2244,2), ", " ,"""",H2244,""", ", """",N2244,""", ","""",O2244,""""," ; ", A2244))</f>
        <v>albhed 25,  6, "먀", "퍄", "뮤" ; 퓰</v>
      </c>
    </row>
    <row r="2245" customFormat="false" ht="17.9" hidden="false" customHeight="true" outlineLevel="0" collapsed="false">
      <c r="A2245" s="16" t="s">
        <v>3090</v>
      </c>
      <c r="B2245" s="16" t="n">
        <f aca="false">IF(_xlfn.UNICODE(A2245)&lt;44032,-1,_xlfn.UNICODE(A2245)-44032)</f>
        <v>10488</v>
      </c>
      <c r="C2245" s="16" t="n">
        <f aca="false">IF(B2245=-1,-1,INT((B2245/28)/21))</f>
        <v>17</v>
      </c>
      <c r="D2245" s="16" t="n">
        <f aca="false">IF(B2245=-1, -1, MOD(INT(B2245/28),21))</f>
        <v>17</v>
      </c>
      <c r="E2245" s="16" t="n">
        <f aca="false">IF(B2245=-1, -1, VLOOKUP(MOD(B2245,28), $T$24:$U$52,2))</f>
        <v>16</v>
      </c>
      <c r="F2245" s="16" t="n">
        <f aca="false">IF($B2245=-1, -1, VLOOKUP(C2245,$T$1:$V$20, 2))</f>
        <v>6</v>
      </c>
      <c r="G2245" s="16" t="n">
        <f aca="false">IF($B2245=-1, -1, VLOOKUP(D2245,$Y$1:$Z$22,2))</f>
        <v>2</v>
      </c>
      <c r="H2245" s="16" t="str">
        <f aca="false">_xlfn.UNICHAR(((F2245*21)+G2245)*28+44032)</f>
        <v>먀</v>
      </c>
      <c r="I2245" s="16" t="n">
        <f aca="false">IF(B2245=-1, 1, COUNTIF($A$2:$A$3000, H2245))</f>
        <v>1</v>
      </c>
      <c r="J2245" s="10" t="str">
        <f aca="false">_xlfn.CONCAT(A2245, ",",H2245,",",I2245)</f>
        <v>퓸,먀,1</v>
      </c>
      <c r="K2245" s="16" t="n">
        <f aca="false">IF(B2245=-1,-1,VLOOKUP(C2245,$T$1:$V$20,3))</f>
        <v>25</v>
      </c>
      <c r="L2245" s="16" t="n">
        <f aca="false">IF(B2245=-1,-1,VLOOKUP(D2245,$Y$1:$AA$22,3))</f>
        <v>6</v>
      </c>
      <c r="N2245" s="10" t="str">
        <f aca="false">_xlfn.UNICHAR(((C2245*21)+G2245)*28+44032)</f>
        <v>퍄</v>
      </c>
      <c r="O2245" s="10" t="str">
        <f aca="false">_xlfn.UNICHAR(((F2245*21)+D2245)*28+44032)</f>
        <v>뮤</v>
      </c>
      <c r="P2245" s="12" t="n">
        <f aca="false">COUNTIF($A$2:$A$3000, N2245) + COUNTIF($A$2:$A$3000, O2245)</f>
        <v>2</v>
      </c>
      <c r="Q2245" s="16" t="str">
        <f aca="false">IF(OR(B2245=-1,I2245=0, P2245&lt;&gt;2), "albhed_dummy", _xlfn.CONCAT("albhed ", RIGHT("  " &amp; K2245,2),", ", RIGHT("  " &amp; L2245,2), ", " ,"""",H2245,""", ", """",N2245,""", ","""",O2245,""""," ; ", A2245))</f>
        <v>albhed 25,  6, "먀", "퍄", "뮤" ; 퓸</v>
      </c>
    </row>
    <row r="2246" customFormat="false" ht="17.9" hidden="false" customHeight="true" outlineLevel="0" collapsed="false">
      <c r="A2246" s="16" t="s">
        <v>3091</v>
      </c>
      <c r="B2246" s="16" t="n">
        <f aca="false">IF(_xlfn.UNICODE(A2246)&lt;44032,-1,_xlfn.UNICODE(A2246)-44032)</f>
        <v>10491</v>
      </c>
      <c r="C2246" s="16" t="n">
        <f aca="false">IF(B2246=-1,-1,INT((B2246/28)/21))</f>
        <v>17</v>
      </c>
      <c r="D2246" s="16" t="n">
        <f aca="false">IF(B2246=-1, -1, MOD(INT(B2246/28),21))</f>
        <v>17</v>
      </c>
      <c r="E2246" s="16" t="n">
        <f aca="false">IF(B2246=-1, -1, VLOOKUP(MOD(B2246,28), $T$24:$U$52,2))</f>
        <v>19</v>
      </c>
      <c r="F2246" s="16" t="n">
        <f aca="false">IF($B2246=-1, -1, VLOOKUP(C2246,$T$1:$V$20, 2))</f>
        <v>6</v>
      </c>
      <c r="G2246" s="16" t="n">
        <f aca="false">IF($B2246=-1, -1, VLOOKUP(D2246,$Y$1:$Z$22,2))</f>
        <v>2</v>
      </c>
      <c r="H2246" s="16" t="str">
        <f aca="false">_xlfn.UNICHAR(((F2246*21)+G2246)*28+44032)</f>
        <v>먀</v>
      </c>
      <c r="I2246" s="16" t="n">
        <f aca="false">IF(B2246=-1, 1, COUNTIF($A$2:$A$3000, H2246))</f>
        <v>1</v>
      </c>
      <c r="J2246" s="10" t="str">
        <f aca="false">_xlfn.CONCAT(A2246, ",",H2246,",",I2246)</f>
        <v>퓻,먀,1</v>
      </c>
      <c r="K2246" s="16" t="n">
        <f aca="false">IF(B2246=-1,-1,VLOOKUP(C2246,$T$1:$V$20,3))</f>
        <v>25</v>
      </c>
      <c r="L2246" s="16" t="n">
        <f aca="false">IF(B2246=-1,-1,VLOOKUP(D2246,$Y$1:$AA$22,3))</f>
        <v>6</v>
      </c>
      <c r="N2246" s="10" t="str">
        <f aca="false">_xlfn.UNICHAR(((C2246*21)+G2246)*28+44032)</f>
        <v>퍄</v>
      </c>
      <c r="O2246" s="10" t="str">
        <f aca="false">_xlfn.UNICHAR(((F2246*21)+D2246)*28+44032)</f>
        <v>뮤</v>
      </c>
      <c r="P2246" s="12" t="n">
        <f aca="false">COUNTIF($A$2:$A$3000, N2246) + COUNTIF($A$2:$A$3000, O2246)</f>
        <v>2</v>
      </c>
      <c r="Q2246" s="16" t="str">
        <f aca="false">IF(OR(B2246=-1,I2246=0, P2246&lt;&gt;2), "albhed_dummy", _xlfn.CONCAT("albhed ", RIGHT("  " &amp; K2246,2),", ", RIGHT("  " &amp; L2246,2), ", " ,"""",H2246,""", ", """",N2246,""", ","""",O2246,""""," ; ", A2246))</f>
        <v>albhed 25,  6, "먀", "퍄", "뮤" ; 퓻</v>
      </c>
    </row>
    <row r="2247" customFormat="false" ht="17.9" hidden="false" customHeight="true" outlineLevel="0" collapsed="false">
      <c r="A2247" s="16" t="s">
        <v>3092</v>
      </c>
      <c r="B2247" s="16" t="n">
        <f aca="false">IF(_xlfn.UNICODE(A2247)&lt;44032,-1,_xlfn.UNICODE(A2247)-44032)</f>
        <v>10493</v>
      </c>
      <c r="C2247" s="16" t="n">
        <f aca="false">IF(B2247=-1,-1,INT((B2247/28)/21))</f>
        <v>17</v>
      </c>
      <c r="D2247" s="16" t="n">
        <f aca="false">IF(B2247=-1, -1, MOD(INT(B2247/28),21))</f>
        <v>17</v>
      </c>
      <c r="E2247" s="16" t="n">
        <f aca="false">IF(B2247=-1, -1, VLOOKUP(MOD(B2247,28), $T$24:$U$52,2))</f>
        <v>21</v>
      </c>
      <c r="F2247" s="16" t="n">
        <f aca="false">IF($B2247=-1, -1, VLOOKUP(C2247,$T$1:$V$20, 2))</f>
        <v>6</v>
      </c>
      <c r="G2247" s="16" t="n">
        <f aca="false">IF($B2247=-1, -1, VLOOKUP(D2247,$Y$1:$Z$22,2))</f>
        <v>2</v>
      </c>
      <c r="H2247" s="16" t="str">
        <f aca="false">_xlfn.UNICHAR(((F2247*21)+G2247)*28+44032)</f>
        <v>먀</v>
      </c>
      <c r="I2247" s="16" t="n">
        <f aca="false">IF(B2247=-1, 1, COUNTIF($A$2:$A$3000, H2247))</f>
        <v>1</v>
      </c>
      <c r="J2247" s="10" t="str">
        <f aca="false">_xlfn.CONCAT(A2247, ",",H2247,",",I2247)</f>
        <v>퓽,먀,1</v>
      </c>
      <c r="K2247" s="16" t="n">
        <f aca="false">IF(B2247=-1,-1,VLOOKUP(C2247,$T$1:$V$20,3))</f>
        <v>25</v>
      </c>
      <c r="L2247" s="16" t="n">
        <f aca="false">IF(B2247=-1,-1,VLOOKUP(D2247,$Y$1:$AA$22,3))</f>
        <v>6</v>
      </c>
      <c r="N2247" s="10" t="str">
        <f aca="false">_xlfn.UNICHAR(((C2247*21)+G2247)*28+44032)</f>
        <v>퍄</v>
      </c>
      <c r="O2247" s="10" t="str">
        <f aca="false">_xlfn.UNICHAR(((F2247*21)+D2247)*28+44032)</f>
        <v>뮤</v>
      </c>
      <c r="P2247" s="12" t="n">
        <f aca="false">COUNTIF($A$2:$A$3000, N2247) + COUNTIF($A$2:$A$3000, O2247)</f>
        <v>2</v>
      </c>
      <c r="Q2247" s="16" t="str">
        <f aca="false">IF(OR(B2247=-1,I2247=0, P2247&lt;&gt;2), "albhed_dummy", _xlfn.CONCAT("albhed ", RIGHT("  " &amp; K2247,2),", ", RIGHT("  " &amp; L2247,2), ", " ,"""",H2247,""", ", """",N2247,""", ","""",O2247,""""," ; ", A2247))</f>
        <v>albhed 25,  6, "먀", "퍄", "뮤" ; 퓽</v>
      </c>
    </row>
    <row r="2248" customFormat="false" ht="17.9" hidden="false" customHeight="true" outlineLevel="0" collapsed="false">
      <c r="A2248" s="16" t="s">
        <v>3093</v>
      </c>
      <c r="B2248" s="16" t="n">
        <f aca="false">IF(_xlfn.UNICODE(A2248)&lt;44032,-1,_xlfn.UNICODE(A2248)-44032)</f>
        <v>10500</v>
      </c>
      <c r="C2248" s="16" t="n">
        <f aca="false">IF(B2248=-1,-1,INT((B2248/28)/21))</f>
        <v>17</v>
      </c>
      <c r="D2248" s="16" t="n">
        <f aca="false">IF(B2248=-1, -1, MOD(INT(B2248/28),21))</f>
        <v>18</v>
      </c>
      <c r="E2248" s="16" t="n">
        <f aca="false">IF(B2248=-1, -1, VLOOKUP(MOD(B2248,28), $T$24:$U$52,2))</f>
        <v>0</v>
      </c>
      <c r="F2248" s="16" t="n">
        <f aca="false">IF($B2248=-1, -1, VLOOKUP(C2248,$T$1:$V$20, 2))</f>
        <v>6</v>
      </c>
      <c r="G2248" s="16" t="n">
        <f aca="false">IF($B2248=-1, -1, VLOOKUP(D2248,$Y$1:$Z$22,2))</f>
        <v>5</v>
      </c>
      <c r="H2248" s="16" t="str">
        <f aca="false">_xlfn.UNICHAR(((F2248*21)+G2248)*28+44032)</f>
        <v>메</v>
      </c>
      <c r="I2248" s="16" t="n">
        <f aca="false">IF(B2248=-1, 1, COUNTIF($A$2:$A$3000, H2248))</f>
        <v>1</v>
      </c>
      <c r="J2248" s="10" t="str">
        <f aca="false">_xlfn.CONCAT(A2248, ",",H2248,",",I2248)</f>
        <v>프,메,1</v>
      </c>
      <c r="K2248" s="16" t="n">
        <f aca="false">IF(B2248=-1,-1,VLOOKUP(C2248,$T$1:$V$20,3))</f>
        <v>25</v>
      </c>
      <c r="L2248" s="16" t="n">
        <f aca="false">IF(B2248=-1,-1,VLOOKUP(D2248,$Y$1:$AA$22,3))</f>
        <v>18</v>
      </c>
      <c r="N2248" s="10" t="str">
        <f aca="false">_xlfn.UNICHAR(((C2248*21)+G2248)*28+44032)</f>
        <v>페</v>
      </c>
      <c r="O2248" s="10" t="str">
        <f aca="false">_xlfn.UNICHAR(((F2248*21)+D2248)*28+44032)</f>
        <v>므</v>
      </c>
      <c r="P2248" s="12" t="n">
        <f aca="false">COUNTIF($A$2:$A$3000, N2248) + COUNTIF($A$2:$A$3000, O2248)</f>
        <v>2</v>
      </c>
      <c r="Q2248" s="16" t="str">
        <f aca="false">IF(OR(B2248=-1,I2248=0, P2248&lt;&gt;2), "albhed_dummy", _xlfn.CONCAT("albhed ", RIGHT("  " &amp; K2248,2),", ", RIGHT("  " &amp; L2248,2), ", " ,"""",H2248,""", ", """",N2248,""", ","""",O2248,""""," ; ", A2248))</f>
        <v>albhed 25, 18, "메", "페", "므" ; 프</v>
      </c>
    </row>
    <row r="2249" customFormat="false" ht="17.9" hidden="false" customHeight="true" outlineLevel="0" collapsed="false">
      <c r="A2249" s="16" t="s">
        <v>3094</v>
      </c>
      <c r="B2249" s="16" t="n">
        <f aca="false">IF(_xlfn.UNICODE(A2249)&lt;44032,-1,_xlfn.UNICODE(A2249)-44032)</f>
        <v>10504</v>
      </c>
      <c r="C2249" s="16" t="n">
        <f aca="false">IF(B2249=-1,-1,INT((B2249/28)/21))</f>
        <v>17</v>
      </c>
      <c r="D2249" s="16" t="n">
        <f aca="false">IF(B2249=-1, -1, MOD(INT(B2249/28),21))</f>
        <v>18</v>
      </c>
      <c r="E2249" s="16" t="n">
        <f aca="false">IF(B2249=-1, -1, VLOOKUP(MOD(B2249,28), $T$24:$U$52,2))</f>
        <v>4</v>
      </c>
      <c r="F2249" s="16" t="n">
        <f aca="false">IF($B2249=-1, -1, VLOOKUP(C2249,$T$1:$V$20, 2))</f>
        <v>6</v>
      </c>
      <c r="G2249" s="16" t="n">
        <f aca="false">IF($B2249=-1, -1, VLOOKUP(D2249,$Y$1:$Z$22,2))</f>
        <v>5</v>
      </c>
      <c r="H2249" s="16" t="str">
        <f aca="false">_xlfn.UNICHAR(((F2249*21)+G2249)*28+44032)</f>
        <v>메</v>
      </c>
      <c r="I2249" s="16" t="n">
        <f aca="false">IF(B2249=-1, 1, COUNTIF($A$2:$A$3000, H2249))</f>
        <v>1</v>
      </c>
      <c r="J2249" s="10" t="str">
        <f aca="false">_xlfn.CONCAT(A2249, ",",H2249,",",I2249)</f>
        <v>픈,메,1</v>
      </c>
      <c r="K2249" s="16" t="n">
        <f aca="false">IF(B2249=-1,-1,VLOOKUP(C2249,$T$1:$V$20,3))</f>
        <v>25</v>
      </c>
      <c r="L2249" s="16" t="n">
        <f aca="false">IF(B2249=-1,-1,VLOOKUP(D2249,$Y$1:$AA$22,3))</f>
        <v>18</v>
      </c>
      <c r="N2249" s="10" t="str">
        <f aca="false">_xlfn.UNICHAR(((C2249*21)+G2249)*28+44032)</f>
        <v>페</v>
      </c>
      <c r="O2249" s="10" t="str">
        <f aca="false">_xlfn.UNICHAR(((F2249*21)+D2249)*28+44032)</f>
        <v>므</v>
      </c>
      <c r="P2249" s="12" t="n">
        <f aca="false">COUNTIF($A$2:$A$3000, N2249) + COUNTIF($A$2:$A$3000, O2249)</f>
        <v>2</v>
      </c>
      <c r="Q2249" s="16" t="str">
        <f aca="false">IF(OR(B2249=-1,I2249=0, P2249&lt;&gt;2), "albhed_dummy", _xlfn.CONCAT("albhed ", RIGHT("  " &amp; K2249,2),", ", RIGHT("  " &amp; L2249,2), ", " ,"""",H2249,""", ", """",N2249,""", ","""",O2249,""""," ; ", A2249))</f>
        <v>albhed 25, 18, "메", "페", "므" ; 픈</v>
      </c>
    </row>
    <row r="2250" customFormat="false" ht="17.9" hidden="false" customHeight="true" outlineLevel="0" collapsed="false">
      <c r="A2250" s="16" t="s">
        <v>3095</v>
      </c>
      <c r="B2250" s="16" t="n">
        <f aca="false">IF(_xlfn.UNICODE(A2250)&lt;44032,-1,_xlfn.UNICODE(A2250)-44032)</f>
        <v>10508</v>
      </c>
      <c r="C2250" s="16" t="n">
        <f aca="false">IF(B2250=-1,-1,INT((B2250/28)/21))</f>
        <v>17</v>
      </c>
      <c r="D2250" s="16" t="n">
        <f aca="false">IF(B2250=-1, -1, MOD(INT(B2250/28),21))</f>
        <v>18</v>
      </c>
      <c r="E2250" s="16" t="n">
        <f aca="false">IF(B2250=-1, -1, VLOOKUP(MOD(B2250,28), $T$24:$U$52,2))</f>
        <v>8</v>
      </c>
      <c r="F2250" s="16" t="n">
        <f aca="false">IF($B2250=-1, -1, VLOOKUP(C2250,$T$1:$V$20, 2))</f>
        <v>6</v>
      </c>
      <c r="G2250" s="16" t="n">
        <f aca="false">IF($B2250=-1, -1, VLOOKUP(D2250,$Y$1:$Z$22,2))</f>
        <v>5</v>
      </c>
      <c r="H2250" s="16" t="str">
        <f aca="false">_xlfn.UNICHAR(((F2250*21)+G2250)*28+44032)</f>
        <v>메</v>
      </c>
      <c r="I2250" s="16" t="n">
        <f aca="false">IF(B2250=-1, 1, COUNTIF($A$2:$A$3000, H2250))</f>
        <v>1</v>
      </c>
      <c r="J2250" s="10" t="str">
        <f aca="false">_xlfn.CONCAT(A2250, ",",H2250,",",I2250)</f>
        <v>플,메,1</v>
      </c>
      <c r="K2250" s="16" t="n">
        <f aca="false">IF(B2250=-1,-1,VLOOKUP(C2250,$T$1:$V$20,3))</f>
        <v>25</v>
      </c>
      <c r="L2250" s="16" t="n">
        <f aca="false">IF(B2250=-1,-1,VLOOKUP(D2250,$Y$1:$AA$22,3))</f>
        <v>18</v>
      </c>
      <c r="N2250" s="10" t="str">
        <f aca="false">_xlfn.UNICHAR(((C2250*21)+G2250)*28+44032)</f>
        <v>페</v>
      </c>
      <c r="O2250" s="10" t="str">
        <f aca="false">_xlfn.UNICHAR(((F2250*21)+D2250)*28+44032)</f>
        <v>므</v>
      </c>
      <c r="P2250" s="12" t="n">
        <f aca="false">COUNTIF($A$2:$A$3000, N2250) + COUNTIF($A$2:$A$3000, O2250)</f>
        <v>2</v>
      </c>
      <c r="Q2250" s="16" t="str">
        <f aca="false">IF(OR(B2250=-1,I2250=0, P2250&lt;&gt;2), "albhed_dummy", _xlfn.CONCAT("albhed ", RIGHT("  " &amp; K2250,2),", ", RIGHT("  " &amp; L2250,2), ", " ,"""",H2250,""", ", """",N2250,""", ","""",O2250,""""," ; ", A2250))</f>
        <v>albhed 25, 18, "메", "페", "므" ; 플</v>
      </c>
    </row>
    <row r="2251" customFormat="false" ht="17.9" hidden="false" customHeight="true" outlineLevel="0" collapsed="false">
      <c r="A2251" s="16" t="s">
        <v>3096</v>
      </c>
      <c r="B2251" s="16" t="n">
        <f aca="false">IF(_xlfn.UNICODE(A2251)&lt;44032,-1,_xlfn.UNICODE(A2251)-44032)</f>
        <v>10516</v>
      </c>
      <c r="C2251" s="16" t="n">
        <f aca="false">IF(B2251=-1,-1,INT((B2251/28)/21))</f>
        <v>17</v>
      </c>
      <c r="D2251" s="16" t="n">
        <f aca="false">IF(B2251=-1, -1, MOD(INT(B2251/28),21))</f>
        <v>18</v>
      </c>
      <c r="E2251" s="16" t="n">
        <f aca="false">IF(B2251=-1, -1, VLOOKUP(MOD(B2251,28), $T$24:$U$52,2))</f>
        <v>16</v>
      </c>
      <c r="F2251" s="16" t="n">
        <f aca="false">IF($B2251=-1, -1, VLOOKUP(C2251,$T$1:$V$20, 2))</f>
        <v>6</v>
      </c>
      <c r="G2251" s="16" t="n">
        <f aca="false">IF($B2251=-1, -1, VLOOKUP(D2251,$Y$1:$Z$22,2))</f>
        <v>5</v>
      </c>
      <c r="H2251" s="16" t="str">
        <f aca="false">_xlfn.UNICHAR(((F2251*21)+G2251)*28+44032)</f>
        <v>메</v>
      </c>
      <c r="I2251" s="16" t="n">
        <f aca="false">IF(B2251=-1, 1, COUNTIF($A$2:$A$3000, H2251))</f>
        <v>1</v>
      </c>
      <c r="J2251" s="10" t="str">
        <f aca="false">_xlfn.CONCAT(A2251, ",",H2251,",",I2251)</f>
        <v>픔,메,1</v>
      </c>
      <c r="K2251" s="16" t="n">
        <f aca="false">IF(B2251=-1,-1,VLOOKUP(C2251,$T$1:$V$20,3))</f>
        <v>25</v>
      </c>
      <c r="L2251" s="16" t="n">
        <f aca="false">IF(B2251=-1,-1,VLOOKUP(D2251,$Y$1:$AA$22,3))</f>
        <v>18</v>
      </c>
      <c r="N2251" s="10" t="str">
        <f aca="false">_xlfn.UNICHAR(((C2251*21)+G2251)*28+44032)</f>
        <v>페</v>
      </c>
      <c r="O2251" s="10" t="str">
        <f aca="false">_xlfn.UNICHAR(((F2251*21)+D2251)*28+44032)</f>
        <v>므</v>
      </c>
      <c r="P2251" s="12" t="n">
        <f aca="false">COUNTIF($A$2:$A$3000, N2251) + COUNTIF($A$2:$A$3000, O2251)</f>
        <v>2</v>
      </c>
      <c r="Q2251" s="16" t="str">
        <f aca="false">IF(OR(B2251=-1,I2251=0, P2251&lt;&gt;2), "albhed_dummy", _xlfn.CONCAT("albhed ", RIGHT("  " &amp; K2251,2),", ", RIGHT("  " &amp; L2251,2), ", " ,"""",H2251,""", ", """",N2251,""", ","""",O2251,""""," ; ", A2251))</f>
        <v>albhed 25, 18, "메", "페", "므" ; 픔</v>
      </c>
    </row>
    <row r="2252" customFormat="false" ht="17.9" hidden="false" customHeight="true" outlineLevel="0" collapsed="false">
      <c r="A2252" s="16" t="s">
        <v>3097</v>
      </c>
      <c r="B2252" s="16" t="n">
        <f aca="false">IF(_xlfn.UNICODE(A2252)&lt;44032,-1,_xlfn.UNICODE(A2252)-44032)</f>
        <v>10517</v>
      </c>
      <c r="C2252" s="16" t="n">
        <f aca="false">IF(B2252=-1,-1,INT((B2252/28)/21))</f>
        <v>17</v>
      </c>
      <c r="D2252" s="16" t="n">
        <f aca="false">IF(B2252=-1, -1, MOD(INT(B2252/28),21))</f>
        <v>18</v>
      </c>
      <c r="E2252" s="16" t="n">
        <f aca="false">IF(B2252=-1, -1, VLOOKUP(MOD(B2252,28), $T$24:$U$52,2))</f>
        <v>17</v>
      </c>
      <c r="F2252" s="16" t="n">
        <f aca="false">IF($B2252=-1, -1, VLOOKUP(C2252,$T$1:$V$20, 2))</f>
        <v>6</v>
      </c>
      <c r="G2252" s="16" t="n">
        <f aca="false">IF($B2252=-1, -1, VLOOKUP(D2252,$Y$1:$Z$22,2))</f>
        <v>5</v>
      </c>
      <c r="H2252" s="16" t="str">
        <f aca="false">_xlfn.UNICHAR(((F2252*21)+G2252)*28+44032)</f>
        <v>메</v>
      </c>
      <c r="I2252" s="16" t="n">
        <f aca="false">IF(B2252=-1, 1, COUNTIF($A$2:$A$3000, H2252))</f>
        <v>1</v>
      </c>
      <c r="J2252" s="10" t="str">
        <f aca="false">_xlfn.CONCAT(A2252, ",",H2252,",",I2252)</f>
        <v>픕,메,1</v>
      </c>
      <c r="K2252" s="16" t="n">
        <f aca="false">IF(B2252=-1,-1,VLOOKUP(C2252,$T$1:$V$20,3))</f>
        <v>25</v>
      </c>
      <c r="L2252" s="16" t="n">
        <f aca="false">IF(B2252=-1,-1,VLOOKUP(D2252,$Y$1:$AA$22,3))</f>
        <v>18</v>
      </c>
      <c r="N2252" s="10" t="str">
        <f aca="false">_xlfn.UNICHAR(((C2252*21)+G2252)*28+44032)</f>
        <v>페</v>
      </c>
      <c r="O2252" s="10" t="str">
        <f aca="false">_xlfn.UNICHAR(((F2252*21)+D2252)*28+44032)</f>
        <v>므</v>
      </c>
      <c r="P2252" s="12" t="n">
        <f aca="false">COUNTIF($A$2:$A$3000, N2252) + COUNTIF($A$2:$A$3000, O2252)</f>
        <v>2</v>
      </c>
      <c r="Q2252" s="16" t="str">
        <f aca="false">IF(OR(B2252=-1,I2252=0, P2252&lt;&gt;2), "albhed_dummy", _xlfn.CONCAT("albhed ", RIGHT("  " &amp; K2252,2),", ", RIGHT("  " &amp; L2252,2), ", " ,"""",H2252,""", ", """",N2252,""", ","""",O2252,""""," ; ", A2252))</f>
        <v>albhed 25, 18, "메", "페", "므" ; 픕</v>
      </c>
    </row>
    <row r="2253" customFormat="false" ht="17.9" hidden="false" customHeight="true" outlineLevel="0" collapsed="false">
      <c r="A2253" s="16" t="s">
        <v>3098</v>
      </c>
      <c r="B2253" s="16" t="n">
        <f aca="false">IF(_xlfn.UNICODE(A2253)&lt;44032,-1,_xlfn.UNICODE(A2253)-44032)</f>
        <v>10519</v>
      </c>
      <c r="C2253" s="16" t="n">
        <f aca="false">IF(B2253=-1,-1,INT((B2253/28)/21))</f>
        <v>17</v>
      </c>
      <c r="D2253" s="16" t="n">
        <f aca="false">IF(B2253=-1, -1, MOD(INT(B2253/28),21))</f>
        <v>18</v>
      </c>
      <c r="E2253" s="16" t="n">
        <f aca="false">IF(B2253=-1, -1, VLOOKUP(MOD(B2253,28), $T$24:$U$52,2))</f>
        <v>19</v>
      </c>
      <c r="F2253" s="16" t="n">
        <f aca="false">IF($B2253=-1, -1, VLOOKUP(C2253,$T$1:$V$20, 2))</f>
        <v>6</v>
      </c>
      <c r="G2253" s="16" t="n">
        <f aca="false">IF($B2253=-1, -1, VLOOKUP(D2253,$Y$1:$Z$22,2))</f>
        <v>5</v>
      </c>
      <c r="H2253" s="16" t="str">
        <f aca="false">_xlfn.UNICHAR(((F2253*21)+G2253)*28+44032)</f>
        <v>메</v>
      </c>
      <c r="I2253" s="16" t="n">
        <f aca="false">IF(B2253=-1, 1, COUNTIF($A$2:$A$3000, H2253))</f>
        <v>1</v>
      </c>
      <c r="J2253" s="10" t="str">
        <f aca="false">_xlfn.CONCAT(A2253, ",",H2253,",",I2253)</f>
        <v>픗,메,1</v>
      </c>
      <c r="K2253" s="16" t="n">
        <f aca="false">IF(B2253=-1,-1,VLOOKUP(C2253,$T$1:$V$20,3))</f>
        <v>25</v>
      </c>
      <c r="L2253" s="16" t="n">
        <f aca="false">IF(B2253=-1,-1,VLOOKUP(D2253,$Y$1:$AA$22,3))</f>
        <v>18</v>
      </c>
      <c r="N2253" s="10" t="str">
        <f aca="false">_xlfn.UNICHAR(((C2253*21)+G2253)*28+44032)</f>
        <v>페</v>
      </c>
      <c r="O2253" s="10" t="str">
        <f aca="false">_xlfn.UNICHAR(((F2253*21)+D2253)*28+44032)</f>
        <v>므</v>
      </c>
      <c r="P2253" s="12" t="n">
        <f aca="false">COUNTIF($A$2:$A$3000, N2253) + COUNTIF($A$2:$A$3000, O2253)</f>
        <v>2</v>
      </c>
      <c r="Q2253" s="16" t="str">
        <f aca="false">IF(OR(B2253=-1,I2253=0, P2253&lt;&gt;2), "albhed_dummy", _xlfn.CONCAT("albhed ", RIGHT("  " &amp; K2253,2),", ", RIGHT("  " &amp; L2253,2), ", " ,"""",H2253,""", ", """",N2253,""", ","""",O2253,""""," ; ", A2253))</f>
        <v>albhed 25, 18, "메", "페", "므" ; 픗</v>
      </c>
    </row>
    <row r="2254" customFormat="false" ht="17.9" hidden="false" customHeight="true" outlineLevel="0" collapsed="false">
      <c r="A2254" s="16" t="s">
        <v>3099</v>
      </c>
      <c r="B2254" s="16" t="n">
        <f aca="false">IF(_xlfn.UNICODE(A2254)&lt;44032,-1,_xlfn.UNICODE(A2254)-44032)</f>
        <v>10556</v>
      </c>
      <c r="C2254" s="16" t="n">
        <f aca="false">IF(B2254=-1,-1,INT((B2254/28)/21))</f>
        <v>17</v>
      </c>
      <c r="D2254" s="16" t="n">
        <f aca="false">IF(B2254=-1, -1, MOD(INT(B2254/28),21))</f>
        <v>20</v>
      </c>
      <c r="E2254" s="16" t="n">
        <f aca="false">IF(B2254=-1, -1, VLOOKUP(MOD(B2254,28), $T$24:$U$52,2))</f>
        <v>0</v>
      </c>
      <c r="F2254" s="16" t="n">
        <f aca="false">IF($B2254=-1, -1, VLOOKUP(C2254,$T$1:$V$20, 2))</f>
        <v>6</v>
      </c>
      <c r="G2254" s="16" t="n">
        <f aca="false">IF($B2254=-1, -1, VLOOKUP(D2254,$Y$1:$Z$22,2))</f>
        <v>5</v>
      </c>
      <c r="H2254" s="16" t="str">
        <f aca="false">_xlfn.UNICHAR(((F2254*21)+G2254)*28+44032)</f>
        <v>메</v>
      </c>
      <c r="I2254" s="16" t="n">
        <f aca="false">IF(B2254=-1, 1, COUNTIF($A$2:$A$3000, H2254))</f>
        <v>1</v>
      </c>
      <c r="J2254" s="10" t="str">
        <f aca="false">_xlfn.CONCAT(A2254, ",",H2254,",",I2254)</f>
        <v>피,메,1</v>
      </c>
      <c r="K2254" s="16" t="n">
        <f aca="false">IF(B2254=-1,-1,VLOOKUP(C2254,$T$1:$V$20,3))</f>
        <v>25</v>
      </c>
      <c r="L2254" s="16" t="n">
        <f aca="false">IF(B2254=-1,-1,VLOOKUP(D2254,$Y$1:$AA$22,3))</f>
        <v>20</v>
      </c>
      <c r="N2254" s="10" t="str">
        <f aca="false">_xlfn.UNICHAR(((C2254*21)+G2254)*28+44032)</f>
        <v>페</v>
      </c>
      <c r="O2254" s="10" t="str">
        <f aca="false">_xlfn.UNICHAR(((F2254*21)+D2254)*28+44032)</f>
        <v>미</v>
      </c>
      <c r="P2254" s="12" t="n">
        <f aca="false">COUNTIF($A$2:$A$3000, N2254) + COUNTIF($A$2:$A$3000, O2254)</f>
        <v>2</v>
      </c>
      <c r="Q2254" s="16" t="str">
        <f aca="false">IF(OR(B2254=-1,I2254=0, P2254&lt;&gt;2), "albhed_dummy", _xlfn.CONCAT("albhed ", RIGHT("  " &amp; K2254,2),", ", RIGHT("  " &amp; L2254,2), ", " ,"""",H2254,""", ", """",N2254,""", ","""",O2254,""""," ; ", A2254))</f>
        <v>albhed 25, 20, "메", "페", "미" ; 피</v>
      </c>
    </row>
    <row r="2255" customFormat="false" ht="17.9" hidden="false" customHeight="true" outlineLevel="0" collapsed="false">
      <c r="A2255" s="16" t="s">
        <v>3100</v>
      </c>
      <c r="B2255" s="16" t="n">
        <f aca="false">IF(_xlfn.UNICODE(A2255)&lt;44032,-1,_xlfn.UNICODE(A2255)-44032)</f>
        <v>10557</v>
      </c>
      <c r="C2255" s="16" t="n">
        <f aca="false">IF(B2255=-1,-1,INT((B2255/28)/21))</f>
        <v>17</v>
      </c>
      <c r="D2255" s="16" t="n">
        <f aca="false">IF(B2255=-1, -1, MOD(INT(B2255/28),21))</f>
        <v>20</v>
      </c>
      <c r="E2255" s="16" t="n">
        <f aca="false">IF(B2255=-1, -1, VLOOKUP(MOD(B2255,28), $T$24:$U$52,2))</f>
        <v>1</v>
      </c>
      <c r="F2255" s="16" t="n">
        <f aca="false">IF($B2255=-1, -1, VLOOKUP(C2255,$T$1:$V$20, 2))</f>
        <v>6</v>
      </c>
      <c r="G2255" s="16" t="n">
        <f aca="false">IF($B2255=-1, -1, VLOOKUP(D2255,$Y$1:$Z$22,2))</f>
        <v>5</v>
      </c>
      <c r="H2255" s="16" t="str">
        <f aca="false">_xlfn.UNICHAR(((F2255*21)+G2255)*28+44032)</f>
        <v>메</v>
      </c>
      <c r="I2255" s="16" t="n">
        <f aca="false">IF(B2255=-1, 1, COUNTIF($A$2:$A$3000, H2255))</f>
        <v>1</v>
      </c>
      <c r="J2255" s="10" t="str">
        <f aca="false">_xlfn.CONCAT(A2255, ",",H2255,",",I2255)</f>
        <v>픽,메,1</v>
      </c>
      <c r="K2255" s="16" t="n">
        <f aca="false">IF(B2255=-1,-1,VLOOKUP(C2255,$T$1:$V$20,3))</f>
        <v>25</v>
      </c>
      <c r="L2255" s="16" t="n">
        <f aca="false">IF(B2255=-1,-1,VLOOKUP(D2255,$Y$1:$AA$22,3))</f>
        <v>20</v>
      </c>
      <c r="N2255" s="10" t="str">
        <f aca="false">_xlfn.UNICHAR(((C2255*21)+G2255)*28+44032)</f>
        <v>페</v>
      </c>
      <c r="O2255" s="10" t="str">
        <f aca="false">_xlfn.UNICHAR(((F2255*21)+D2255)*28+44032)</f>
        <v>미</v>
      </c>
      <c r="P2255" s="12" t="n">
        <f aca="false">COUNTIF($A$2:$A$3000, N2255) + COUNTIF($A$2:$A$3000, O2255)</f>
        <v>2</v>
      </c>
      <c r="Q2255" s="16" t="str">
        <f aca="false">IF(OR(B2255=-1,I2255=0, P2255&lt;&gt;2), "albhed_dummy", _xlfn.CONCAT("albhed ", RIGHT("  " &amp; K2255,2),", ", RIGHT("  " &amp; L2255,2), ", " ,"""",H2255,""", ", """",N2255,""", ","""",O2255,""""," ; ", A2255))</f>
        <v>albhed 25, 20, "메", "페", "미" ; 픽</v>
      </c>
    </row>
    <row r="2256" customFormat="false" ht="17.9" hidden="false" customHeight="true" outlineLevel="0" collapsed="false">
      <c r="A2256" s="16" t="s">
        <v>3101</v>
      </c>
      <c r="B2256" s="16" t="n">
        <f aca="false">IF(_xlfn.UNICODE(A2256)&lt;44032,-1,_xlfn.UNICODE(A2256)-44032)</f>
        <v>10560</v>
      </c>
      <c r="C2256" s="16" t="n">
        <f aca="false">IF(B2256=-1,-1,INT((B2256/28)/21))</f>
        <v>17</v>
      </c>
      <c r="D2256" s="16" t="n">
        <f aca="false">IF(B2256=-1, -1, MOD(INT(B2256/28),21))</f>
        <v>20</v>
      </c>
      <c r="E2256" s="16" t="n">
        <f aca="false">IF(B2256=-1, -1, VLOOKUP(MOD(B2256,28), $T$24:$U$52,2))</f>
        <v>4</v>
      </c>
      <c r="F2256" s="16" t="n">
        <f aca="false">IF($B2256=-1, -1, VLOOKUP(C2256,$T$1:$V$20, 2))</f>
        <v>6</v>
      </c>
      <c r="G2256" s="16" t="n">
        <f aca="false">IF($B2256=-1, -1, VLOOKUP(D2256,$Y$1:$Z$22,2))</f>
        <v>5</v>
      </c>
      <c r="H2256" s="16" t="str">
        <f aca="false">_xlfn.UNICHAR(((F2256*21)+G2256)*28+44032)</f>
        <v>메</v>
      </c>
      <c r="I2256" s="16" t="n">
        <f aca="false">IF(B2256=-1, 1, COUNTIF($A$2:$A$3000, H2256))</f>
        <v>1</v>
      </c>
      <c r="J2256" s="10" t="str">
        <f aca="false">_xlfn.CONCAT(A2256, ",",H2256,",",I2256)</f>
        <v>핀,메,1</v>
      </c>
      <c r="K2256" s="16" t="n">
        <f aca="false">IF(B2256=-1,-1,VLOOKUP(C2256,$T$1:$V$20,3))</f>
        <v>25</v>
      </c>
      <c r="L2256" s="16" t="n">
        <f aca="false">IF(B2256=-1,-1,VLOOKUP(D2256,$Y$1:$AA$22,3))</f>
        <v>20</v>
      </c>
      <c r="N2256" s="10" t="str">
        <f aca="false">_xlfn.UNICHAR(((C2256*21)+G2256)*28+44032)</f>
        <v>페</v>
      </c>
      <c r="O2256" s="10" t="str">
        <f aca="false">_xlfn.UNICHAR(((F2256*21)+D2256)*28+44032)</f>
        <v>미</v>
      </c>
      <c r="P2256" s="12" t="n">
        <f aca="false">COUNTIF($A$2:$A$3000, N2256) + COUNTIF($A$2:$A$3000, O2256)</f>
        <v>2</v>
      </c>
      <c r="Q2256" s="16" t="str">
        <f aca="false">IF(OR(B2256=-1,I2256=0, P2256&lt;&gt;2), "albhed_dummy", _xlfn.CONCAT("albhed ", RIGHT("  " &amp; K2256,2),", ", RIGHT("  " &amp; L2256,2), ", " ,"""",H2256,""", ", """",N2256,""", ","""",O2256,""""," ; ", A2256))</f>
        <v>albhed 25, 20, "메", "페", "미" ; 핀</v>
      </c>
    </row>
    <row r="2257" customFormat="false" ht="17.9" hidden="false" customHeight="true" outlineLevel="0" collapsed="false">
      <c r="A2257" s="16" t="s">
        <v>3102</v>
      </c>
      <c r="B2257" s="16" t="n">
        <f aca="false">IF(_xlfn.UNICODE(A2257)&lt;44032,-1,_xlfn.UNICODE(A2257)-44032)</f>
        <v>10564</v>
      </c>
      <c r="C2257" s="16" t="n">
        <f aca="false">IF(B2257=-1,-1,INT((B2257/28)/21))</f>
        <v>17</v>
      </c>
      <c r="D2257" s="16" t="n">
        <f aca="false">IF(B2257=-1, -1, MOD(INT(B2257/28),21))</f>
        <v>20</v>
      </c>
      <c r="E2257" s="16" t="n">
        <f aca="false">IF(B2257=-1, -1, VLOOKUP(MOD(B2257,28), $T$24:$U$52,2))</f>
        <v>8</v>
      </c>
      <c r="F2257" s="16" t="n">
        <f aca="false">IF($B2257=-1, -1, VLOOKUP(C2257,$T$1:$V$20, 2))</f>
        <v>6</v>
      </c>
      <c r="G2257" s="16" t="n">
        <f aca="false">IF($B2257=-1, -1, VLOOKUP(D2257,$Y$1:$Z$22,2))</f>
        <v>5</v>
      </c>
      <c r="H2257" s="16" t="str">
        <f aca="false">_xlfn.UNICHAR(((F2257*21)+G2257)*28+44032)</f>
        <v>메</v>
      </c>
      <c r="I2257" s="16" t="n">
        <f aca="false">IF(B2257=-1, 1, COUNTIF($A$2:$A$3000, H2257))</f>
        <v>1</v>
      </c>
      <c r="J2257" s="10" t="str">
        <f aca="false">_xlfn.CONCAT(A2257, ",",H2257,",",I2257)</f>
        <v>필,메,1</v>
      </c>
      <c r="K2257" s="16" t="n">
        <f aca="false">IF(B2257=-1,-1,VLOOKUP(C2257,$T$1:$V$20,3))</f>
        <v>25</v>
      </c>
      <c r="L2257" s="16" t="n">
        <f aca="false">IF(B2257=-1,-1,VLOOKUP(D2257,$Y$1:$AA$22,3))</f>
        <v>20</v>
      </c>
      <c r="N2257" s="10" t="str">
        <f aca="false">_xlfn.UNICHAR(((C2257*21)+G2257)*28+44032)</f>
        <v>페</v>
      </c>
      <c r="O2257" s="10" t="str">
        <f aca="false">_xlfn.UNICHAR(((F2257*21)+D2257)*28+44032)</f>
        <v>미</v>
      </c>
      <c r="P2257" s="12" t="n">
        <f aca="false">COUNTIF($A$2:$A$3000, N2257) + COUNTIF($A$2:$A$3000, O2257)</f>
        <v>2</v>
      </c>
      <c r="Q2257" s="16" t="str">
        <f aca="false">IF(OR(B2257=-1,I2257=0, P2257&lt;&gt;2), "albhed_dummy", _xlfn.CONCAT("albhed ", RIGHT("  " &amp; K2257,2),", ", RIGHT("  " &amp; L2257,2), ", " ,"""",H2257,""", ", """",N2257,""", ","""",O2257,""""," ; ", A2257))</f>
        <v>albhed 25, 20, "메", "페", "미" ; 필</v>
      </c>
    </row>
    <row r="2258" customFormat="false" ht="17.9" hidden="false" customHeight="true" outlineLevel="0" collapsed="false">
      <c r="A2258" s="16" t="s">
        <v>3103</v>
      </c>
      <c r="B2258" s="16" t="n">
        <f aca="false">IF(_xlfn.UNICODE(A2258)&lt;44032,-1,_xlfn.UNICODE(A2258)-44032)</f>
        <v>10572</v>
      </c>
      <c r="C2258" s="16" t="n">
        <f aca="false">IF(B2258=-1,-1,INT((B2258/28)/21))</f>
        <v>17</v>
      </c>
      <c r="D2258" s="16" t="n">
        <f aca="false">IF(B2258=-1, -1, MOD(INT(B2258/28),21))</f>
        <v>20</v>
      </c>
      <c r="E2258" s="16" t="n">
        <f aca="false">IF(B2258=-1, -1, VLOOKUP(MOD(B2258,28), $T$24:$U$52,2))</f>
        <v>16</v>
      </c>
      <c r="F2258" s="16" t="n">
        <f aca="false">IF($B2258=-1, -1, VLOOKUP(C2258,$T$1:$V$20, 2))</f>
        <v>6</v>
      </c>
      <c r="G2258" s="16" t="n">
        <f aca="false">IF($B2258=-1, -1, VLOOKUP(D2258,$Y$1:$Z$22,2))</f>
        <v>5</v>
      </c>
      <c r="H2258" s="16" t="str">
        <f aca="false">_xlfn.UNICHAR(((F2258*21)+G2258)*28+44032)</f>
        <v>메</v>
      </c>
      <c r="I2258" s="16" t="n">
        <f aca="false">IF(B2258=-1, 1, COUNTIF($A$2:$A$3000, H2258))</f>
        <v>1</v>
      </c>
      <c r="J2258" s="10" t="str">
        <f aca="false">_xlfn.CONCAT(A2258, ",",H2258,",",I2258)</f>
        <v>핌,메,1</v>
      </c>
      <c r="K2258" s="16" t="n">
        <f aca="false">IF(B2258=-1,-1,VLOOKUP(C2258,$T$1:$V$20,3))</f>
        <v>25</v>
      </c>
      <c r="L2258" s="16" t="n">
        <f aca="false">IF(B2258=-1,-1,VLOOKUP(D2258,$Y$1:$AA$22,3))</f>
        <v>20</v>
      </c>
      <c r="N2258" s="10" t="str">
        <f aca="false">_xlfn.UNICHAR(((C2258*21)+G2258)*28+44032)</f>
        <v>페</v>
      </c>
      <c r="O2258" s="10" t="str">
        <f aca="false">_xlfn.UNICHAR(((F2258*21)+D2258)*28+44032)</f>
        <v>미</v>
      </c>
      <c r="P2258" s="12" t="n">
        <f aca="false">COUNTIF($A$2:$A$3000, N2258) + COUNTIF($A$2:$A$3000, O2258)</f>
        <v>2</v>
      </c>
      <c r="Q2258" s="16" t="str">
        <f aca="false">IF(OR(B2258=-1,I2258=0, P2258&lt;&gt;2), "albhed_dummy", _xlfn.CONCAT("albhed ", RIGHT("  " &amp; K2258,2),", ", RIGHT("  " &amp; L2258,2), ", " ,"""",H2258,""", ", """",N2258,""", ","""",O2258,""""," ; ", A2258))</f>
        <v>albhed 25, 20, "메", "페", "미" ; 핌</v>
      </c>
    </row>
    <row r="2259" customFormat="false" ht="17.9" hidden="false" customHeight="true" outlineLevel="0" collapsed="false">
      <c r="A2259" s="16" t="s">
        <v>3104</v>
      </c>
      <c r="B2259" s="16" t="n">
        <f aca="false">IF(_xlfn.UNICODE(A2259)&lt;44032,-1,_xlfn.UNICODE(A2259)-44032)</f>
        <v>10573</v>
      </c>
      <c r="C2259" s="16" t="n">
        <f aca="false">IF(B2259=-1,-1,INT((B2259/28)/21))</f>
        <v>17</v>
      </c>
      <c r="D2259" s="16" t="n">
        <f aca="false">IF(B2259=-1, -1, MOD(INT(B2259/28),21))</f>
        <v>20</v>
      </c>
      <c r="E2259" s="16" t="n">
        <f aca="false">IF(B2259=-1, -1, VLOOKUP(MOD(B2259,28), $T$24:$U$52,2))</f>
        <v>17</v>
      </c>
      <c r="F2259" s="16" t="n">
        <f aca="false">IF($B2259=-1, -1, VLOOKUP(C2259,$T$1:$V$20, 2))</f>
        <v>6</v>
      </c>
      <c r="G2259" s="16" t="n">
        <f aca="false">IF($B2259=-1, -1, VLOOKUP(D2259,$Y$1:$Z$22,2))</f>
        <v>5</v>
      </c>
      <c r="H2259" s="16" t="str">
        <f aca="false">_xlfn.UNICHAR(((F2259*21)+G2259)*28+44032)</f>
        <v>메</v>
      </c>
      <c r="I2259" s="16" t="n">
        <f aca="false">IF(B2259=-1, 1, COUNTIF($A$2:$A$3000, H2259))</f>
        <v>1</v>
      </c>
      <c r="J2259" s="10" t="str">
        <f aca="false">_xlfn.CONCAT(A2259, ",",H2259,",",I2259)</f>
        <v>핍,메,1</v>
      </c>
      <c r="K2259" s="16" t="n">
        <f aca="false">IF(B2259=-1,-1,VLOOKUP(C2259,$T$1:$V$20,3))</f>
        <v>25</v>
      </c>
      <c r="L2259" s="16" t="n">
        <f aca="false">IF(B2259=-1,-1,VLOOKUP(D2259,$Y$1:$AA$22,3))</f>
        <v>20</v>
      </c>
      <c r="N2259" s="10" t="str">
        <f aca="false">_xlfn.UNICHAR(((C2259*21)+G2259)*28+44032)</f>
        <v>페</v>
      </c>
      <c r="O2259" s="10" t="str">
        <f aca="false">_xlfn.UNICHAR(((F2259*21)+D2259)*28+44032)</f>
        <v>미</v>
      </c>
      <c r="P2259" s="12" t="n">
        <f aca="false">COUNTIF($A$2:$A$3000, N2259) + COUNTIF($A$2:$A$3000, O2259)</f>
        <v>2</v>
      </c>
      <c r="Q2259" s="16" t="str">
        <f aca="false">IF(OR(B2259=-1,I2259=0, P2259&lt;&gt;2), "albhed_dummy", _xlfn.CONCAT("albhed ", RIGHT("  " &amp; K2259,2),", ", RIGHT("  " &amp; L2259,2), ", " ,"""",H2259,""", ", """",N2259,""", ","""",O2259,""""," ; ", A2259))</f>
        <v>albhed 25, 20, "메", "페", "미" ; 핍</v>
      </c>
    </row>
    <row r="2260" customFormat="false" ht="17.9" hidden="false" customHeight="true" outlineLevel="0" collapsed="false">
      <c r="A2260" s="16" t="s">
        <v>3105</v>
      </c>
      <c r="B2260" s="16" t="n">
        <f aca="false">IF(_xlfn.UNICODE(A2260)&lt;44032,-1,_xlfn.UNICODE(A2260)-44032)</f>
        <v>10575</v>
      </c>
      <c r="C2260" s="16" t="n">
        <f aca="false">IF(B2260=-1,-1,INT((B2260/28)/21))</f>
        <v>17</v>
      </c>
      <c r="D2260" s="16" t="n">
        <f aca="false">IF(B2260=-1, -1, MOD(INT(B2260/28),21))</f>
        <v>20</v>
      </c>
      <c r="E2260" s="16" t="n">
        <f aca="false">IF(B2260=-1, -1, VLOOKUP(MOD(B2260,28), $T$24:$U$52,2))</f>
        <v>19</v>
      </c>
      <c r="F2260" s="16" t="n">
        <f aca="false">IF($B2260=-1, -1, VLOOKUP(C2260,$T$1:$V$20, 2))</f>
        <v>6</v>
      </c>
      <c r="G2260" s="16" t="n">
        <f aca="false">IF($B2260=-1, -1, VLOOKUP(D2260,$Y$1:$Z$22,2))</f>
        <v>5</v>
      </c>
      <c r="H2260" s="16" t="str">
        <f aca="false">_xlfn.UNICHAR(((F2260*21)+G2260)*28+44032)</f>
        <v>메</v>
      </c>
      <c r="I2260" s="16" t="n">
        <f aca="false">IF(B2260=-1, 1, COUNTIF($A$2:$A$3000, H2260))</f>
        <v>1</v>
      </c>
      <c r="J2260" s="10" t="str">
        <f aca="false">_xlfn.CONCAT(A2260, ",",H2260,",",I2260)</f>
        <v>핏,메,1</v>
      </c>
      <c r="K2260" s="16" t="n">
        <f aca="false">IF(B2260=-1,-1,VLOOKUP(C2260,$T$1:$V$20,3))</f>
        <v>25</v>
      </c>
      <c r="L2260" s="16" t="n">
        <f aca="false">IF(B2260=-1,-1,VLOOKUP(D2260,$Y$1:$AA$22,3))</f>
        <v>20</v>
      </c>
      <c r="N2260" s="10" t="str">
        <f aca="false">_xlfn.UNICHAR(((C2260*21)+G2260)*28+44032)</f>
        <v>페</v>
      </c>
      <c r="O2260" s="10" t="str">
        <f aca="false">_xlfn.UNICHAR(((F2260*21)+D2260)*28+44032)</f>
        <v>미</v>
      </c>
      <c r="P2260" s="12" t="n">
        <f aca="false">COUNTIF($A$2:$A$3000, N2260) + COUNTIF($A$2:$A$3000, O2260)</f>
        <v>2</v>
      </c>
      <c r="Q2260" s="16" t="str">
        <f aca="false">IF(OR(B2260=-1,I2260=0, P2260&lt;&gt;2), "albhed_dummy", _xlfn.CONCAT("albhed ", RIGHT("  " &amp; K2260,2),", ", RIGHT("  " &amp; L2260,2), ", " ,"""",H2260,""", ", """",N2260,""", ","""",O2260,""""," ; ", A2260))</f>
        <v>albhed 25, 20, "메", "페", "미" ; 핏</v>
      </c>
    </row>
    <row r="2261" customFormat="false" ht="17.9" hidden="false" customHeight="true" outlineLevel="0" collapsed="false">
      <c r="A2261" s="16" t="s">
        <v>3106</v>
      </c>
      <c r="B2261" s="16" t="n">
        <f aca="false">IF(_xlfn.UNICODE(A2261)&lt;44032,-1,_xlfn.UNICODE(A2261)-44032)</f>
        <v>10577</v>
      </c>
      <c r="C2261" s="16" t="n">
        <f aca="false">IF(B2261=-1,-1,INT((B2261/28)/21))</f>
        <v>17</v>
      </c>
      <c r="D2261" s="16" t="n">
        <f aca="false">IF(B2261=-1, -1, MOD(INT(B2261/28),21))</f>
        <v>20</v>
      </c>
      <c r="E2261" s="16" t="n">
        <f aca="false">IF(B2261=-1, -1, VLOOKUP(MOD(B2261,28), $T$24:$U$52,2))</f>
        <v>21</v>
      </c>
      <c r="F2261" s="16" t="n">
        <f aca="false">IF($B2261=-1, -1, VLOOKUP(C2261,$T$1:$V$20, 2))</f>
        <v>6</v>
      </c>
      <c r="G2261" s="16" t="n">
        <f aca="false">IF($B2261=-1, -1, VLOOKUP(D2261,$Y$1:$Z$22,2))</f>
        <v>5</v>
      </c>
      <c r="H2261" s="16" t="str">
        <f aca="false">_xlfn.UNICHAR(((F2261*21)+G2261)*28+44032)</f>
        <v>메</v>
      </c>
      <c r="I2261" s="16" t="n">
        <f aca="false">IF(B2261=-1, 1, COUNTIF($A$2:$A$3000, H2261))</f>
        <v>1</v>
      </c>
      <c r="J2261" s="10" t="str">
        <f aca="false">_xlfn.CONCAT(A2261, ",",H2261,",",I2261)</f>
        <v>핑,메,1</v>
      </c>
      <c r="K2261" s="16" t="n">
        <f aca="false">IF(B2261=-1,-1,VLOOKUP(C2261,$T$1:$V$20,3))</f>
        <v>25</v>
      </c>
      <c r="L2261" s="16" t="n">
        <f aca="false">IF(B2261=-1,-1,VLOOKUP(D2261,$Y$1:$AA$22,3))</f>
        <v>20</v>
      </c>
      <c r="N2261" s="10" t="str">
        <f aca="false">_xlfn.UNICHAR(((C2261*21)+G2261)*28+44032)</f>
        <v>페</v>
      </c>
      <c r="O2261" s="10" t="str">
        <f aca="false">_xlfn.UNICHAR(((F2261*21)+D2261)*28+44032)</f>
        <v>미</v>
      </c>
      <c r="P2261" s="12" t="n">
        <f aca="false">COUNTIF($A$2:$A$3000, N2261) + COUNTIF($A$2:$A$3000, O2261)</f>
        <v>2</v>
      </c>
      <c r="Q2261" s="16" t="str">
        <f aca="false">IF(OR(B2261=-1,I2261=0, P2261&lt;&gt;2), "albhed_dummy", _xlfn.CONCAT("albhed ", RIGHT("  " &amp; K2261,2),", ", RIGHT("  " &amp; L2261,2), ", " ,"""",H2261,""", ", """",N2261,""", ","""",O2261,""""," ; ", A2261))</f>
        <v>albhed 25, 20, "메", "페", "미" ; 핑</v>
      </c>
    </row>
    <row r="2262" customFormat="false" ht="17.9" hidden="false" customHeight="true" outlineLevel="0" collapsed="false">
      <c r="A2262" s="16" t="s">
        <v>810</v>
      </c>
      <c r="B2262" s="16" t="n">
        <f aca="false">IF(_xlfn.UNICODE(A2262)&lt;44032,-1,_xlfn.UNICODE(A2262)-44032)</f>
        <v>10584</v>
      </c>
      <c r="C2262" s="16" t="n">
        <f aca="false">IF(B2262=-1,-1,INT((B2262/28)/21))</f>
        <v>18</v>
      </c>
      <c r="D2262" s="16" t="n">
        <f aca="false">IF(B2262=-1, -1, MOD(INT(B2262/28),21))</f>
        <v>0</v>
      </c>
      <c r="E2262" s="16" t="n">
        <f aca="false">IF(B2262=-1, -1, VLOOKUP(MOD(B2262,28), $T$24:$U$52,2))</f>
        <v>0</v>
      </c>
      <c r="F2262" s="16" t="n">
        <f aca="false">IF($B2262=-1, -1, VLOOKUP(C2262,$T$1:$V$20, 2))</f>
        <v>16</v>
      </c>
      <c r="G2262" s="16" t="n">
        <f aca="false">IF($B2262=-1, -1, VLOOKUP(D2262,$Y$1:$Z$22,2))</f>
        <v>13</v>
      </c>
      <c r="H2262" s="16" t="str">
        <f aca="false">_xlfn.UNICHAR(((F2262*21)+G2262)*28+44032)</f>
        <v>투</v>
      </c>
      <c r="I2262" s="16" t="n">
        <f aca="false">IF(B2262=-1, 1, COUNTIF($A$2:$A$3000, H2262))</f>
        <v>1</v>
      </c>
      <c r="J2262" s="10" t="str">
        <f aca="false">_xlfn.CONCAT(A2262, ",",H2262,",",I2262)</f>
        <v>하,투,1</v>
      </c>
      <c r="K2262" s="16" t="n">
        <f aca="false">IF(B2262=-1,-1,VLOOKUP(C2262,$T$1:$V$20,3))</f>
        <v>26</v>
      </c>
      <c r="L2262" s="16" t="n">
        <f aca="false">IF(B2262=-1,-1,VLOOKUP(D2262,$Y$1:$AA$22,3))</f>
        <v>2</v>
      </c>
      <c r="N2262" s="10" t="str">
        <f aca="false">_xlfn.UNICHAR(((C2262*21)+G2262)*28+44032)</f>
        <v>후</v>
      </c>
      <c r="O2262" s="10" t="str">
        <f aca="false">_xlfn.UNICHAR(((F2262*21)+D2262)*28+44032)</f>
        <v>타</v>
      </c>
      <c r="P2262" s="12" t="n">
        <f aca="false">COUNTIF($A$2:$A$3000, N2262) + COUNTIF($A$2:$A$3000, O2262)</f>
        <v>2</v>
      </c>
      <c r="Q2262" s="16" t="str">
        <f aca="false">IF(OR(B2262=-1,I2262=0, P2262&lt;&gt;2), "albhed_dummy", _xlfn.CONCAT("albhed ", RIGHT("  " &amp; K2262,2),", ", RIGHT("  " &amp; L2262,2), ", " ,"""",H2262,""", ", """",N2262,""", ","""",O2262,""""," ; ", A2262))</f>
        <v>albhed 26,  2, "투", "후", "타" ; 하</v>
      </c>
    </row>
    <row r="2263" customFormat="false" ht="17.9" hidden="false" customHeight="true" outlineLevel="0" collapsed="false">
      <c r="A2263" s="16" t="s">
        <v>3107</v>
      </c>
      <c r="B2263" s="16" t="n">
        <f aca="false">IF(_xlfn.UNICODE(A2263)&lt;44032,-1,_xlfn.UNICODE(A2263)-44032)</f>
        <v>10585</v>
      </c>
      <c r="C2263" s="16" t="n">
        <f aca="false">IF(B2263=-1,-1,INT((B2263/28)/21))</f>
        <v>18</v>
      </c>
      <c r="D2263" s="16" t="n">
        <f aca="false">IF(B2263=-1, -1, MOD(INT(B2263/28),21))</f>
        <v>0</v>
      </c>
      <c r="E2263" s="16" t="n">
        <f aca="false">IF(B2263=-1, -1, VLOOKUP(MOD(B2263,28), $T$24:$U$52,2))</f>
        <v>1</v>
      </c>
      <c r="F2263" s="16" t="n">
        <f aca="false">IF($B2263=-1, -1, VLOOKUP(C2263,$T$1:$V$20, 2))</f>
        <v>16</v>
      </c>
      <c r="G2263" s="16" t="n">
        <f aca="false">IF($B2263=-1, -1, VLOOKUP(D2263,$Y$1:$Z$22,2))</f>
        <v>13</v>
      </c>
      <c r="H2263" s="16" t="str">
        <f aca="false">_xlfn.UNICHAR(((F2263*21)+G2263)*28+44032)</f>
        <v>투</v>
      </c>
      <c r="I2263" s="16" t="n">
        <f aca="false">IF(B2263=-1, 1, COUNTIF($A$2:$A$3000, H2263))</f>
        <v>1</v>
      </c>
      <c r="J2263" s="10" t="str">
        <f aca="false">_xlfn.CONCAT(A2263, ",",H2263,",",I2263)</f>
        <v>학,투,1</v>
      </c>
      <c r="K2263" s="16" t="n">
        <f aca="false">IF(B2263=-1,-1,VLOOKUP(C2263,$T$1:$V$20,3))</f>
        <v>26</v>
      </c>
      <c r="L2263" s="16" t="n">
        <f aca="false">IF(B2263=-1,-1,VLOOKUP(D2263,$Y$1:$AA$22,3))</f>
        <v>2</v>
      </c>
      <c r="N2263" s="10" t="str">
        <f aca="false">_xlfn.UNICHAR(((C2263*21)+G2263)*28+44032)</f>
        <v>후</v>
      </c>
      <c r="O2263" s="10" t="str">
        <f aca="false">_xlfn.UNICHAR(((F2263*21)+D2263)*28+44032)</f>
        <v>타</v>
      </c>
      <c r="P2263" s="12" t="n">
        <f aca="false">COUNTIF($A$2:$A$3000, N2263) + COUNTIF($A$2:$A$3000, O2263)</f>
        <v>2</v>
      </c>
      <c r="Q2263" s="16" t="str">
        <f aca="false">IF(OR(B2263=-1,I2263=0, P2263&lt;&gt;2), "albhed_dummy", _xlfn.CONCAT("albhed ", RIGHT("  " &amp; K2263,2),", ", RIGHT("  " &amp; L2263,2), ", " ,"""",H2263,""", ", """",N2263,""", ","""",O2263,""""," ; ", A2263))</f>
        <v>albhed 26,  2, "투", "후", "타" ; 학</v>
      </c>
    </row>
    <row r="2264" customFormat="false" ht="17.9" hidden="false" customHeight="true" outlineLevel="0" collapsed="false">
      <c r="A2264" s="16" t="s">
        <v>3108</v>
      </c>
      <c r="B2264" s="16" t="n">
        <f aca="false">IF(_xlfn.UNICODE(A2264)&lt;44032,-1,_xlfn.UNICODE(A2264)-44032)</f>
        <v>10588</v>
      </c>
      <c r="C2264" s="16" t="n">
        <f aca="false">IF(B2264=-1,-1,INT((B2264/28)/21))</f>
        <v>18</v>
      </c>
      <c r="D2264" s="16" t="n">
        <f aca="false">IF(B2264=-1, -1, MOD(INT(B2264/28),21))</f>
        <v>0</v>
      </c>
      <c r="E2264" s="16" t="n">
        <f aca="false">IF(B2264=-1, -1, VLOOKUP(MOD(B2264,28), $T$24:$U$52,2))</f>
        <v>4</v>
      </c>
      <c r="F2264" s="16" t="n">
        <f aca="false">IF($B2264=-1, -1, VLOOKUP(C2264,$T$1:$V$20, 2))</f>
        <v>16</v>
      </c>
      <c r="G2264" s="16" t="n">
        <f aca="false">IF($B2264=-1, -1, VLOOKUP(D2264,$Y$1:$Z$22,2))</f>
        <v>13</v>
      </c>
      <c r="H2264" s="16" t="str">
        <f aca="false">_xlfn.UNICHAR(((F2264*21)+G2264)*28+44032)</f>
        <v>투</v>
      </c>
      <c r="I2264" s="16" t="n">
        <f aca="false">IF(B2264=-1, 1, COUNTIF($A$2:$A$3000, H2264))</f>
        <v>1</v>
      </c>
      <c r="J2264" s="10" t="str">
        <f aca="false">_xlfn.CONCAT(A2264, ",",H2264,",",I2264)</f>
        <v>한,투,1</v>
      </c>
      <c r="K2264" s="16" t="n">
        <f aca="false">IF(B2264=-1,-1,VLOOKUP(C2264,$T$1:$V$20,3))</f>
        <v>26</v>
      </c>
      <c r="L2264" s="16" t="n">
        <f aca="false">IF(B2264=-1,-1,VLOOKUP(D2264,$Y$1:$AA$22,3))</f>
        <v>2</v>
      </c>
      <c r="N2264" s="10" t="str">
        <f aca="false">_xlfn.UNICHAR(((C2264*21)+G2264)*28+44032)</f>
        <v>후</v>
      </c>
      <c r="O2264" s="10" t="str">
        <f aca="false">_xlfn.UNICHAR(((F2264*21)+D2264)*28+44032)</f>
        <v>타</v>
      </c>
      <c r="P2264" s="12" t="n">
        <f aca="false">COUNTIF($A$2:$A$3000, N2264) + COUNTIF($A$2:$A$3000, O2264)</f>
        <v>2</v>
      </c>
      <c r="Q2264" s="16" t="str">
        <f aca="false">IF(OR(B2264=-1,I2264=0, P2264&lt;&gt;2), "albhed_dummy", _xlfn.CONCAT("albhed ", RIGHT("  " &amp; K2264,2),", ", RIGHT("  " &amp; L2264,2), ", " ,"""",H2264,""", ", """",N2264,""", ","""",O2264,""""," ; ", A2264))</f>
        <v>albhed 26,  2, "투", "후", "타" ; 한</v>
      </c>
    </row>
    <row r="2265" customFormat="false" ht="17.9" hidden="false" customHeight="true" outlineLevel="0" collapsed="false">
      <c r="A2265" s="16" t="s">
        <v>3109</v>
      </c>
      <c r="B2265" s="16" t="n">
        <f aca="false">IF(_xlfn.UNICODE(A2265)&lt;44032,-1,_xlfn.UNICODE(A2265)-44032)</f>
        <v>10592</v>
      </c>
      <c r="C2265" s="16" t="n">
        <f aca="false">IF(B2265=-1,-1,INT((B2265/28)/21))</f>
        <v>18</v>
      </c>
      <c r="D2265" s="16" t="n">
        <f aca="false">IF(B2265=-1, -1, MOD(INT(B2265/28),21))</f>
        <v>0</v>
      </c>
      <c r="E2265" s="16" t="n">
        <f aca="false">IF(B2265=-1, -1, VLOOKUP(MOD(B2265,28), $T$24:$U$52,2))</f>
        <v>8</v>
      </c>
      <c r="F2265" s="16" t="n">
        <f aca="false">IF($B2265=-1, -1, VLOOKUP(C2265,$T$1:$V$20, 2))</f>
        <v>16</v>
      </c>
      <c r="G2265" s="16" t="n">
        <f aca="false">IF($B2265=-1, -1, VLOOKUP(D2265,$Y$1:$Z$22,2))</f>
        <v>13</v>
      </c>
      <c r="H2265" s="16" t="str">
        <f aca="false">_xlfn.UNICHAR(((F2265*21)+G2265)*28+44032)</f>
        <v>투</v>
      </c>
      <c r="I2265" s="16" t="n">
        <f aca="false">IF(B2265=-1, 1, COUNTIF($A$2:$A$3000, H2265))</f>
        <v>1</v>
      </c>
      <c r="J2265" s="10" t="str">
        <f aca="false">_xlfn.CONCAT(A2265, ",",H2265,",",I2265)</f>
        <v>할,투,1</v>
      </c>
      <c r="K2265" s="16" t="n">
        <f aca="false">IF(B2265=-1,-1,VLOOKUP(C2265,$T$1:$V$20,3))</f>
        <v>26</v>
      </c>
      <c r="L2265" s="16" t="n">
        <f aca="false">IF(B2265=-1,-1,VLOOKUP(D2265,$Y$1:$AA$22,3))</f>
        <v>2</v>
      </c>
      <c r="N2265" s="10" t="str">
        <f aca="false">_xlfn.UNICHAR(((C2265*21)+G2265)*28+44032)</f>
        <v>후</v>
      </c>
      <c r="O2265" s="10" t="str">
        <f aca="false">_xlfn.UNICHAR(((F2265*21)+D2265)*28+44032)</f>
        <v>타</v>
      </c>
      <c r="P2265" s="12" t="n">
        <f aca="false">COUNTIF($A$2:$A$3000, N2265) + COUNTIF($A$2:$A$3000, O2265)</f>
        <v>2</v>
      </c>
      <c r="Q2265" s="16" t="str">
        <f aca="false">IF(OR(B2265=-1,I2265=0, P2265&lt;&gt;2), "albhed_dummy", _xlfn.CONCAT("albhed ", RIGHT("  " &amp; K2265,2),", ", RIGHT("  " &amp; L2265,2), ", " ,"""",H2265,""", ", """",N2265,""", ","""",O2265,""""," ; ", A2265))</f>
        <v>albhed 26,  2, "투", "후", "타" ; 할</v>
      </c>
    </row>
    <row r="2266" customFormat="false" ht="17.9" hidden="false" customHeight="true" outlineLevel="0" collapsed="false">
      <c r="A2266" s="16" t="s">
        <v>3110</v>
      </c>
      <c r="B2266" s="16" t="n">
        <f aca="false">IF(_xlfn.UNICODE(A2266)&lt;44032,-1,_xlfn.UNICODE(A2266)-44032)</f>
        <v>10597</v>
      </c>
      <c r="C2266" s="16" t="n">
        <f aca="false">IF(B2266=-1,-1,INT((B2266/28)/21))</f>
        <v>18</v>
      </c>
      <c r="D2266" s="16" t="n">
        <f aca="false">IF(B2266=-1, -1, MOD(INT(B2266/28),21))</f>
        <v>0</v>
      </c>
      <c r="E2266" s="16" t="n">
        <f aca="false">IF(B2266=-1, -1, VLOOKUP(MOD(B2266,28), $T$24:$U$52,2))</f>
        <v>8</v>
      </c>
      <c r="F2266" s="16" t="n">
        <f aca="false">IF($B2266=-1, -1, VLOOKUP(C2266,$T$1:$V$20, 2))</f>
        <v>16</v>
      </c>
      <c r="G2266" s="16" t="n">
        <f aca="false">IF($B2266=-1, -1, VLOOKUP(D2266,$Y$1:$Z$22,2))</f>
        <v>13</v>
      </c>
      <c r="H2266" s="16" t="str">
        <f aca="false">_xlfn.UNICHAR(((F2266*21)+G2266)*28+44032)</f>
        <v>투</v>
      </c>
      <c r="I2266" s="16" t="n">
        <f aca="false">IF(B2266=-1, 1, COUNTIF($A$2:$A$3000, H2266))</f>
        <v>1</v>
      </c>
      <c r="J2266" s="10" t="str">
        <f aca="false">_xlfn.CONCAT(A2266, ",",H2266,",",I2266)</f>
        <v>핥,투,1</v>
      </c>
      <c r="K2266" s="16" t="n">
        <f aca="false">IF(B2266=-1,-1,VLOOKUP(C2266,$T$1:$V$20,3))</f>
        <v>26</v>
      </c>
      <c r="L2266" s="16" t="n">
        <f aca="false">IF(B2266=-1,-1,VLOOKUP(D2266,$Y$1:$AA$22,3))</f>
        <v>2</v>
      </c>
      <c r="N2266" s="10" t="str">
        <f aca="false">_xlfn.UNICHAR(((C2266*21)+G2266)*28+44032)</f>
        <v>후</v>
      </c>
      <c r="O2266" s="10" t="str">
        <f aca="false">_xlfn.UNICHAR(((F2266*21)+D2266)*28+44032)</f>
        <v>타</v>
      </c>
      <c r="P2266" s="12" t="n">
        <f aca="false">COUNTIF($A$2:$A$3000, N2266) + COUNTIF($A$2:$A$3000, O2266)</f>
        <v>2</v>
      </c>
      <c r="Q2266" s="16" t="str">
        <f aca="false">IF(OR(B2266=-1,I2266=0, P2266&lt;&gt;2), "albhed_dummy", _xlfn.CONCAT("albhed ", RIGHT("  " &amp; K2266,2),", ", RIGHT("  " &amp; L2266,2), ", " ,"""",H2266,""", ", """",N2266,""", ","""",O2266,""""," ; ", A2266))</f>
        <v>albhed 26,  2, "투", "후", "타" ; 핥</v>
      </c>
    </row>
    <row r="2267" customFormat="false" ht="17.9" hidden="false" customHeight="true" outlineLevel="0" collapsed="false">
      <c r="A2267" s="16" t="s">
        <v>3111</v>
      </c>
      <c r="B2267" s="16" t="n">
        <f aca="false">IF(_xlfn.UNICODE(A2267)&lt;44032,-1,_xlfn.UNICODE(A2267)-44032)</f>
        <v>10600</v>
      </c>
      <c r="C2267" s="16" t="n">
        <f aca="false">IF(B2267=-1,-1,INT((B2267/28)/21))</f>
        <v>18</v>
      </c>
      <c r="D2267" s="16" t="n">
        <f aca="false">IF(B2267=-1, -1, MOD(INT(B2267/28),21))</f>
        <v>0</v>
      </c>
      <c r="E2267" s="16" t="n">
        <f aca="false">IF(B2267=-1, -1, VLOOKUP(MOD(B2267,28), $T$24:$U$52,2))</f>
        <v>16</v>
      </c>
      <c r="F2267" s="16" t="n">
        <f aca="false">IF($B2267=-1, -1, VLOOKUP(C2267,$T$1:$V$20, 2))</f>
        <v>16</v>
      </c>
      <c r="G2267" s="16" t="n">
        <f aca="false">IF($B2267=-1, -1, VLOOKUP(D2267,$Y$1:$Z$22,2))</f>
        <v>13</v>
      </c>
      <c r="H2267" s="16" t="str">
        <f aca="false">_xlfn.UNICHAR(((F2267*21)+G2267)*28+44032)</f>
        <v>투</v>
      </c>
      <c r="I2267" s="16" t="n">
        <f aca="false">IF(B2267=-1, 1, COUNTIF($A$2:$A$3000, H2267))</f>
        <v>1</v>
      </c>
      <c r="J2267" s="10" t="str">
        <f aca="false">_xlfn.CONCAT(A2267, ",",H2267,",",I2267)</f>
        <v>함,투,1</v>
      </c>
      <c r="K2267" s="16" t="n">
        <f aca="false">IF(B2267=-1,-1,VLOOKUP(C2267,$T$1:$V$20,3))</f>
        <v>26</v>
      </c>
      <c r="L2267" s="16" t="n">
        <f aca="false">IF(B2267=-1,-1,VLOOKUP(D2267,$Y$1:$AA$22,3))</f>
        <v>2</v>
      </c>
      <c r="N2267" s="10" t="str">
        <f aca="false">_xlfn.UNICHAR(((C2267*21)+G2267)*28+44032)</f>
        <v>후</v>
      </c>
      <c r="O2267" s="10" t="str">
        <f aca="false">_xlfn.UNICHAR(((F2267*21)+D2267)*28+44032)</f>
        <v>타</v>
      </c>
      <c r="P2267" s="12" t="n">
        <f aca="false">COUNTIF($A$2:$A$3000, N2267) + COUNTIF($A$2:$A$3000, O2267)</f>
        <v>2</v>
      </c>
      <c r="Q2267" s="16" t="str">
        <f aca="false">IF(OR(B2267=-1,I2267=0, P2267&lt;&gt;2), "albhed_dummy", _xlfn.CONCAT("albhed ", RIGHT("  " &amp; K2267,2),", ", RIGHT("  " &amp; L2267,2), ", " ,"""",H2267,""", ", """",N2267,""", ","""",O2267,""""," ; ", A2267))</f>
        <v>albhed 26,  2, "투", "후", "타" ; 함</v>
      </c>
    </row>
    <row r="2268" customFormat="false" ht="17.9" hidden="false" customHeight="true" outlineLevel="0" collapsed="false">
      <c r="A2268" s="16" t="s">
        <v>3112</v>
      </c>
      <c r="B2268" s="16" t="n">
        <f aca="false">IF(_xlfn.UNICODE(A2268)&lt;44032,-1,_xlfn.UNICODE(A2268)-44032)</f>
        <v>10601</v>
      </c>
      <c r="C2268" s="16" t="n">
        <f aca="false">IF(B2268=-1,-1,INT((B2268/28)/21))</f>
        <v>18</v>
      </c>
      <c r="D2268" s="16" t="n">
        <f aca="false">IF(B2268=-1, -1, MOD(INT(B2268/28),21))</f>
        <v>0</v>
      </c>
      <c r="E2268" s="16" t="n">
        <f aca="false">IF(B2268=-1, -1, VLOOKUP(MOD(B2268,28), $T$24:$U$52,2))</f>
        <v>17</v>
      </c>
      <c r="F2268" s="16" t="n">
        <f aca="false">IF($B2268=-1, -1, VLOOKUP(C2268,$T$1:$V$20, 2))</f>
        <v>16</v>
      </c>
      <c r="G2268" s="16" t="n">
        <f aca="false">IF($B2268=-1, -1, VLOOKUP(D2268,$Y$1:$Z$22,2))</f>
        <v>13</v>
      </c>
      <c r="H2268" s="16" t="str">
        <f aca="false">_xlfn.UNICHAR(((F2268*21)+G2268)*28+44032)</f>
        <v>투</v>
      </c>
      <c r="I2268" s="16" t="n">
        <f aca="false">IF(B2268=-1, 1, COUNTIF($A$2:$A$3000, H2268))</f>
        <v>1</v>
      </c>
      <c r="J2268" s="10" t="str">
        <f aca="false">_xlfn.CONCAT(A2268, ",",H2268,",",I2268)</f>
        <v>합,투,1</v>
      </c>
      <c r="K2268" s="16" t="n">
        <f aca="false">IF(B2268=-1,-1,VLOOKUP(C2268,$T$1:$V$20,3))</f>
        <v>26</v>
      </c>
      <c r="L2268" s="16" t="n">
        <f aca="false">IF(B2268=-1,-1,VLOOKUP(D2268,$Y$1:$AA$22,3))</f>
        <v>2</v>
      </c>
      <c r="N2268" s="10" t="str">
        <f aca="false">_xlfn.UNICHAR(((C2268*21)+G2268)*28+44032)</f>
        <v>후</v>
      </c>
      <c r="O2268" s="10" t="str">
        <f aca="false">_xlfn.UNICHAR(((F2268*21)+D2268)*28+44032)</f>
        <v>타</v>
      </c>
      <c r="P2268" s="12" t="n">
        <f aca="false">COUNTIF($A$2:$A$3000, N2268) + COUNTIF($A$2:$A$3000, O2268)</f>
        <v>2</v>
      </c>
      <c r="Q2268" s="16" t="str">
        <f aca="false">IF(OR(B2268=-1,I2268=0, P2268&lt;&gt;2), "albhed_dummy", _xlfn.CONCAT("albhed ", RIGHT("  " &amp; K2268,2),", ", RIGHT("  " &amp; L2268,2), ", " ,"""",H2268,""", ", """",N2268,""", ","""",O2268,""""," ; ", A2268))</f>
        <v>albhed 26,  2, "투", "후", "타" ; 합</v>
      </c>
    </row>
    <row r="2269" customFormat="false" ht="17.9" hidden="false" customHeight="true" outlineLevel="0" collapsed="false">
      <c r="A2269" s="16" t="s">
        <v>3113</v>
      </c>
      <c r="B2269" s="16" t="n">
        <f aca="false">IF(_xlfn.UNICODE(A2269)&lt;44032,-1,_xlfn.UNICODE(A2269)-44032)</f>
        <v>10603</v>
      </c>
      <c r="C2269" s="16" t="n">
        <f aca="false">IF(B2269=-1,-1,INT((B2269/28)/21))</f>
        <v>18</v>
      </c>
      <c r="D2269" s="16" t="n">
        <f aca="false">IF(B2269=-1, -1, MOD(INT(B2269/28),21))</f>
        <v>0</v>
      </c>
      <c r="E2269" s="16" t="n">
        <f aca="false">IF(B2269=-1, -1, VLOOKUP(MOD(B2269,28), $T$24:$U$52,2))</f>
        <v>19</v>
      </c>
      <c r="F2269" s="16" t="n">
        <f aca="false">IF($B2269=-1, -1, VLOOKUP(C2269,$T$1:$V$20, 2))</f>
        <v>16</v>
      </c>
      <c r="G2269" s="16" t="n">
        <f aca="false">IF($B2269=-1, -1, VLOOKUP(D2269,$Y$1:$Z$22,2))</f>
        <v>13</v>
      </c>
      <c r="H2269" s="16" t="str">
        <f aca="false">_xlfn.UNICHAR(((F2269*21)+G2269)*28+44032)</f>
        <v>투</v>
      </c>
      <c r="I2269" s="16" t="n">
        <f aca="false">IF(B2269=-1, 1, COUNTIF($A$2:$A$3000, H2269))</f>
        <v>1</v>
      </c>
      <c r="J2269" s="10" t="str">
        <f aca="false">_xlfn.CONCAT(A2269, ",",H2269,",",I2269)</f>
        <v>핫,투,1</v>
      </c>
      <c r="K2269" s="16" t="n">
        <f aca="false">IF(B2269=-1,-1,VLOOKUP(C2269,$T$1:$V$20,3))</f>
        <v>26</v>
      </c>
      <c r="L2269" s="16" t="n">
        <f aca="false">IF(B2269=-1,-1,VLOOKUP(D2269,$Y$1:$AA$22,3))</f>
        <v>2</v>
      </c>
      <c r="N2269" s="10" t="str">
        <f aca="false">_xlfn.UNICHAR(((C2269*21)+G2269)*28+44032)</f>
        <v>후</v>
      </c>
      <c r="O2269" s="10" t="str">
        <f aca="false">_xlfn.UNICHAR(((F2269*21)+D2269)*28+44032)</f>
        <v>타</v>
      </c>
      <c r="P2269" s="12" t="n">
        <f aca="false">COUNTIF($A$2:$A$3000, N2269) + COUNTIF($A$2:$A$3000, O2269)</f>
        <v>2</v>
      </c>
      <c r="Q2269" s="16" t="str">
        <f aca="false">IF(OR(B2269=-1,I2269=0, P2269&lt;&gt;2), "albhed_dummy", _xlfn.CONCAT("albhed ", RIGHT("  " &amp; K2269,2),", ", RIGHT("  " &amp; L2269,2), ", " ,"""",H2269,""", ", """",N2269,""", ","""",O2269,""""," ; ", A2269))</f>
        <v>albhed 26,  2, "투", "후", "타" ; 핫</v>
      </c>
    </row>
    <row r="2270" customFormat="false" ht="17.9" hidden="false" customHeight="true" outlineLevel="0" collapsed="false">
      <c r="A2270" s="16" t="s">
        <v>3114</v>
      </c>
      <c r="B2270" s="16" t="n">
        <f aca="false">IF(_xlfn.UNICODE(A2270)&lt;44032,-1,_xlfn.UNICODE(A2270)-44032)</f>
        <v>10605</v>
      </c>
      <c r="C2270" s="16" t="n">
        <f aca="false">IF(B2270=-1,-1,INT((B2270/28)/21))</f>
        <v>18</v>
      </c>
      <c r="D2270" s="16" t="n">
        <f aca="false">IF(B2270=-1, -1, MOD(INT(B2270/28),21))</f>
        <v>0</v>
      </c>
      <c r="E2270" s="16" t="n">
        <f aca="false">IF(B2270=-1, -1, VLOOKUP(MOD(B2270,28), $T$24:$U$52,2))</f>
        <v>21</v>
      </c>
      <c r="F2270" s="16" t="n">
        <f aca="false">IF($B2270=-1, -1, VLOOKUP(C2270,$T$1:$V$20, 2))</f>
        <v>16</v>
      </c>
      <c r="G2270" s="16" t="n">
        <f aca="false">IF($B2270=-1, -1, VLOOKUP(D2270,$Y$1:$Z$22,2))</f>
        <v>13</v>
      </c>
      <c r="H2270" s="16" t="str">
        <f aca="false">_xlfn.UNICHAR(((F2270*21)+G2270)*28+44032)</f>
        <v>투</v>
      </c>
      <c r="I2270" s="16" t="n">
        <f aca="false">IF(B2270=-1, 1, COUNTIF($A$2:$A$3000, H2270))</f>
        <v>1</v>
      </c>
      <c r="J2270" s="10" t="str">
        <f aca="false">_xlfn.CONCAT(A2270, ",",H2270,",",I2270)</f>
        <v>항,투,1</v>
      </c>
      <c r="K2270" s="16" t="n">
        <f aca="false">IF(B2270=-1,-1,VLOOKUP(C2270,$T$1:$V$20,3))</f>
        <v>26</v>
      </c>
      <c r="L2270" s="16" t="n">
        <f aca="false">IF(B2270=-1,-1,VLOOKUP(D2270,$Y$1:$AA$22,3))</f>
        <v>2</v>
      </c>
      <c r="N2270" s="10" t="str">
        <f aca="false">_xlfn.UNICHAR(((C2270*21)+G2270)*28+44032)</f>
        <v>후</v>
      </c>
      <c r="O2270" s="10" t="str">
        <f aca="false">_xlfn.UNICHAR(((F2270*21)+D2270)*28+44032)</f>
        <v>타</v>
      </c>
      <c r="P2270" s="12" t="n">
        <f aca="false">COUNTIF($A$2:$A$3000, N2270) + COUNTIF($A$2:$A$3000, O2270)</f>
        <v>2</v>
      </c>
      <c r="Q2270" s="16" t="str">
        <f aca="false">IF(OR(B2270=-1,I2270=0, P2270&lt;&gt;2), "albhed_dummy", _xlfn.CONCAT("albhed ", RIGHT("  " &amp; K2270,2),", ", RIGHT("  " &amp; L2270,2), ", " ,"""",H2270,""", ", """",N2270,""", ","""",O2270,""""," ; ", A2270))</f>
        <v>albhed 26,  2, "투", "후", "타" ; 항</v>
      </c>
    </row>
    <row r="2271" customFormat="false" ht="17.9" hidden="false" customHeight="true" outlineLevel="0" collapsed="false">
      <c r="A2271" s="16" t="s">
        <v>3115</v>
      </c>
      <c r="B2271" s="16" t="n">
        <f aca="false">IF(_xlfn.UNICODE(A2271)&lt;44032,-1,_xlfn.UNICODE(A2271)-44032)</f>
        <v>10612</v>
      </c>
      <c r="C2271" s="16" t="n">
        <f aca="false">IF(B2271=-1,-1,INT((B2271/28)/21))</f>
        <v>18</v>
      </c>
      <c r="D2271" s="16" t="n">
        <f aca="false">IF(B2271=-1, -1, MOD(INT(B2271/28),21))</f>
        <v>1</v>
      </c>
      <c r="E2271" s="16" t="n">
        <f aca="false">IF(B2271=-1, -1, VLOOKUP(MOD(B2271,28), $T$24:$U$52,2))</f>
        <v>0</v>
      </c>
      <c r="F2271" s="16" t="n">
        <f aca="false">IF($B2271=-1, -1, VLOOKUP(C2271,$T$1:$V$20, 2))</f>
        <v>16</v>
      </c>
      <c r="G2271" s="16" t="n">
        <f aca="false">IF($B2271=-1, -1, VLOOKUP(D2271,$Y$1:$Z$22,2))</f>
        <v>18</v>
      </c>
      <c r="H2271" s="16" t="str">
        <f aca="false">_xlfn.UNICHAR(((F2271*21)+G2271)*28+44032)</f>
        <v>트</v>
      </c>
      <c r="I2271" s="16" t="n">
        <f aca="false">IF(B2271=-1, 1, COUNTIF($A$2:$A$3000, H2271))</f>
        <v>1</v>
      </c>
      <c r="J2271" s="10" t="str">
        <f aca="false">_xlfn.CONCAT(A2271, ",",H2271,",",I2271)</f>
        <v>해,트,1</v>
      </c>
      <c r="K2271" s="16" t="n">
        <f aca="false">IF(B2271=-1,-1,VLOOKUP(C2271,$T$1:$V$20,3))</f>
        <v>26</v>
      </c>
      <c r="L2271" s="16" t="n">
        <f aca="false">IF(B2271=-1,-1,VLOOKUP(D2271,$Y$1:$AA$22,3))</f>
        <v>10</v>
      </c>
      <c r="N2271" s="10" t="str">
        <f aca="false">_xlfn.UNICHAR(((C2271*21)+G2271)*28+44032)</f>
        <v>흐</v>
      </c>
      <c r="O2271" s="10" t="str">
        <f aca="false">_xlfn.UNICHAR(((F2271*21)+D2271)*28+44032)</f>
        <v>태</v>
      </c>
      <c r="P2271" s="12" t="n">
        <f aca="false">COUNTIF($A$2:$A$3000, N2271) + COUNTIF($A$2:$A$3000, O2271)</f>
        <v>2</v>
      </c>
      <c r="Q2271" s="16" t="str">
        <f aca="false">IF(OR(B2271=-1,I2271=0, P2271&lt;&gt;2), "albhed_dummy", _xlfn.CONCAT("albhed ", RIGHT("  " &amp; K2271,2),", ", RIGHT("  " &amp; L2271,2), ", " ,"""",H2271,""", ", """",N2271,""", ","""",O2271,""""," ; ", A2271))</f>
        <v>albhed 26, 10, "트", "흐", "태" ; 해</v>
      </c>
    </row>
    <row r="2272" customFormat="false" ht="17.9" hidden="false" customHeight="true" outlineLevel="0" collapsed="false">
      <c r="A2272" s="16" t="s">
        <v>3116</v>
      </c>
      <c r="B2272" s="16" t="n">
        <f aca="false">IF(_xlfn.UNICODE(A2272)&lt;44032,-1,_xlfn.UNICODE(A2272)-44032)</f>
        <v>10613</v>
      </c>
      <c r="C2272" s="16" t="n">
        <f aca="false">IF(B2272=-1,-1,INT((B2272/28)/21))</f>
        <v>18</v>
      </c>
      <c r="D2272" s="16" t="n">
        <f aca="false">IF(B2272=-1, -1, MOD(INT(B2272/28),21))</f>
        <v>1</v>
      </c>
      <c r="E2272" s="16" t="n">
        <f aca="false">IF(B2272=-1, -1, VLOOKUP(MOD(B2272,28), $T$24:$U$52,2))</f>
        <v>1</v>
      </c>
      <c r="F2272" s="16" t="n">
        <f aca="false">IF($B2272=-1, -1, VLOOKUP(C2272,$T$1:$V$20, 2))</f>
        <v>16</v>
      </c>
      <c r="G2272" s="16" t="n">
        <f aca="false">IF($B2272=-1, -1, VLOOKUP(D2272,$Y$1:$Z$22,2))</f>
        <v>18</v>
      </c>
      <c r="H2272" s="16" t="str">
        <f aca="false">_xlfn.UNICHAR(((F2272*21)+G2272)*28+44032)</f>
        <v>트</v>
      </c>
      <c r="I2272" s="16" t="n">
        <f aca="false">IF(B2272=-1, 1, COUNTIF($A$2:$A$3000, H2272))</f>
        <v>1</v>
      </c>
      <c r="J2272" s="10" t="str">
        <f aca="false">_xlfn.CONCAT(A2272, ",",H2272,",",I2272)</f>
        <v>핵,트,1</v>
      </c>
      <c r="K2272" s="16" t="n">
        <f aca="false">IF(B2272=-1,-1,VLOOKUP(C2272,$T$1:$V$20,3))</f>
        <v>26</v>
      </c>
      <c r="L2272" s="16" t="n">
        <f aca="false">IF(B2272=-1,-1,VLOOKUP(D2272,$Y$1:$AA$22,3))</f>
        <v>10</v>
      </c>
      <c r="N2272" s="10" t="str">
        <f aca="false">_xlfn.UNICHAR(((C2272*21)+G2272)*28+44032)</f>
        <v>흐</v>
      </c>
      <c r="O2272" s="10" t="str">
        <f aca="false">_xlfn.UNICHAR(((F2272*21)+D2272)*28+44032)</f>
        <v>태</v>
      </c>
      <c r="P2272" s="12" t="n">
        <f aca="false">COUNTIF($A$2:$A$3000, N2272) + COUNTIF($A$2:$A$3000, O2272)</f>
        <v>2</v>
      </c>
      <c r="Q2272" s="16" t="str">
        <f aca="false">IF(OR(B2272=-1,I2272=0, P2272&lt;&gt;2), "albhed_dummy", _xlfn.CONCAT("albhed ", RIGHT("  " &amp; K2272,2),", ", RIGHT("  " &amp; L2272,2), ", " ,"""",H2272,""", ", """",N2272,""", ","""",O2272,""""," ; ", A2272))</f>
        <v>albhed 26, 10, "트", "흐", "태" ; 핵</v>
      </c>
    </row>
    <row r="2273" customFormat="false" ht="17.9" hidden="false" customHeight="true" outlineLevel="0" collapsed="false">
      <c r="A2273" s="16" t="s">
        <v>3117</v>
      </c>
      <c r="B2273" s="16" t="n">
        <f aca="false">IF(_xlfn.UNICODE(A2273)&lt;44032,-1,_xlfn.UNICODE(A2273)-44032)</f>
        <v>10616</v>
      </c>
      <c r="C2273" s="16" t="n">
        <f aca="false">IF(B2273=-1,-1,INT((B2273/28)/21))</f>
        <v>18</v>
      </c>
      <c r="D2273" s="16" t="n">
        <f aca="false">IF(B2273=-1, -1, MOD(INT(B2273/28),21))</f>
        <v>1</v>
      </c>
      <c r="E2273" s="16" t="n">
        <f aca="false">IF(B2273=-1, -1, VLOOKUP(MOD(B2273,28), $T$24:$U$52,2))</f>
        <v>4</v>
      </c>
      <c r="F2273" s="16" t="n">
        <f aca="false">IF($B2273=-1, -1, VLOOKUP(C2273,$T$1:$V$20, 2))</f>
        <v>16</v>
      </c>
      <c r="G2273" s="16" t="n">
        <f aca="false">IF($B2273=-1, -1, VLOOKUP(D2273,$Y$1:$Z$22,2))</f>
        <v>18</v>
      </c>
      <c r="H2273" s="16" t="str">
        <f aca="false">_xlfn.UNICHAR(((F2273*21)+G2273)*28+44032)</f>
        <v>트</v>
      </c>
      <c r="I2273" s="16" t="n">
        <f aca="false">IF(B2273=-1, 1, COUNTIF($A$2:$A$3000, H2273))</f>
        <v>1</v>
      </c>
      <c r="J2273" s="10" t="str">
        <f aca="false">_xlfn.CONCAT(A2273, ",",H2273,",",I2273)</f>
        <v>핸,트,1</v>
      </c>
      <c r="K2273" s="16" t="n">
        <f aca="false">IF(B2273=-1,-1,VLOOKUP(C2273,$T$1:$V$20,3))</f>
        <v>26</v>
      </c>
      <c r="L2273" s="16" t="n">
        <f aca="false">IF(B2273=-1,-1,VLOOKUP(D2273,$Y$1:$AA$22,3))</f>
        <v>10</v>
      </c>
      <c r="N2273" s="10" t="str">
        <f aca="false">_xlfn.UNICHAR(((C2273*21)+G2273)*28+44032)</f>
        <v>흐</v>
      </c>
      <c r="O2273" s="10" t="str">
        <f aca="false">_xlfn.UNICHAR(((F2273*21)+D2273)*28+44032)</f>
        <v>태</v>
      </c>
      <c r="P2273" s="12" t="n">
        <f aca="false">COUNTIF($A$2:$A$3000, N2273) + COUNTIF($A$2:$A$3000, O2273)</f>
        <v>2</v>
      </c>
      <c r="Q2273" s="16" t="str">
        <f aca="false">IF(OR(B2273=-1,I2273=0, P2273&lt;&gt;2), "albhed_dummy", _xlfn.CONCAT("albhed ", RIGHT("  " &amp; K2273,2),", ", RIGHT("  " &amp; L2273,2), ", " ,"""",H2273,""", ", """",N2273,""", ","""",O2273,""""," ; ", A2273))</f>
        <v>albhed 26, 10, "트", "흐", "태" ; 핸</v>
      </c>
    </row>
    <row r="2274" customFormat="false" ht="17.9" hidden="false" customHeight="true" outlineLevel="0" collapsed="false">
      <c r="A2274" s="16" t="s">
        <v>3118</v>
      </c>
      <c r="B2274" s="16" t="n">
        <f aca="false">IF(_xlfn.UNICODE(A2274)&lt;44032,-1,_xlfn.UNICODE(A2274)-44032)</f>
        <v>10620</v>
      </c>
      <c r="C2274" s="16" t="n">
        <f aca="false">IF(B2274=-1,-1,INT((B2274/28)/21))</f>
        <v>18</v>
      </c>
      <c r="D2274" s="16" t="n">
        <f aca="false">IF(B2274=-1, -1, MOD(INT(B2274/28),21))</f>
        <v>1</v>
      </c>
      <c r="E2274" s="16" t="n">
        <f aca="false">IF(B2274=-1, -1, VLOOKUP(MOD(B2274,28), $T$24:$U$52,2))</f>
        <v>8</v>
      </c>
      <c r="F2274" s="16" t="n">
        <f aca="false">IF($B2274=-1, -1, VLOOKUP(C2274,$T$1:$V$20, 2))</f>
        <v>16</v>
      </c>
      <c r="G2274" s="16" t="n">
        <f aca="false">IF($B2274=-1, -1, VLOOKUP(D2274,$Y$1:$Z$22,2))</f>
        <v>18</v>
      </c>
      <c r="H2274" s="16" t="str">
        <f aca="false">_xlfn.UNICHAR(((F2274*21)+G2274)*28+44032)</f>
        <v>트</v>
      </c>
      <c r="I2274" s="16" t="n">
        <f aca="false">IF(B2274=-1, 1, COUNTIF($A$2:$A$3000, H2274))</f>
        <v>1</v>
      </c>
      <c r="J2274" s="10" t="str">
        <f aca="false">_xlfn.CONCAT(A2274, ",",H2274,",",I2274)</f>
        <v>핼,트,1</v>
      </c>
      <c r="K2274" s="16" t="n">
        <f aca="false">IF(B2274=-1,-1,VLOOKUP(C2274,$T$1:$V$20,3))</f>
        <v>26</v>
      </c>
      <c r="L2274" s="16" t="n">
        <f aca="false">IF(B2274=-1,-1,VLOOKUP(D2274,$Y$1:$AA$22,3))</f>
        <v>10</v>
      </c>
      <c r="N2274" s="10" t="str">
        <f aca="false">_xlfn.UNICHAR(((C2274*21)+G2274)*28+44032)</f>
        <v>흐</v>
      </c>
      <c r="O2274" s="10" t="str">
        <f aca="false">_xlfn.UNICHAR(((F2274*21)+D2274)*28+44032)</f>
        <v>태</v>
      </c>
      <c r="P2274" s="12" t="n">
        <f aca="false">COUNTIF($A$2:$A$3000, N2274) + COUNTIF($A$2:$A$3000, O2274)</f>
        <v>2</v>
      </c>
      <c r="Q2274" s="16" t="str">
        <f aca="false">IF(OR(B2274=-1,I2274=0, P2274&lt;&gt;2), "albhed_dummy", _xlfn.CONCAT("albhed ", RIGHT("  " &amp; K2274,2),", ", RIGHT("  " &amp; L2274,2), ", " ,"""",H2274,""", ", """",N2274,""", ","""",O2274,""""," ; ", A2274))</f>
        <v>albhed 26, 10, "트", "흐", "태" ; 핼</v>
      </c>
    </row>
    <row r="2275" customFormat="false" ht="17.9" hidden="false" customHeight="true" outlineLevel="0" collapsed="false">
      <c r="A2275" s="16" t="s">
        <v>3119</v>
      </c>
      <c r="B2275" s="16" t="n">
        <f aca="false">IF(_xlfn.UNICODE(A2275)&lt;44032,-1,_xlfn.UNICODE(A2275)-44032)</f>
        <v>10628</v>
      </c>
      <c r="C2275" s="16" t="n">
        <f aca="false">IF(B2275=-1,-1,INT((B2275/28)/21))</f>
        <v>18</v>
      </c>
      <c r="D2275" s="16" t="n">
        <f aca="false">IF(B2275=-1, -1, MOD(INT(B2275/28),21))</f>
        <v>1</v>
      </c>
      <c r="E2275" s="16" t="n">
        <f aca="false">IF(B2275=-1, -1, VLOOKUP(MOD(B2275,28), $T$24:$U$52,2))</f>
        <v>16</v>
      </c>
      <c r="F2275" s="16" t="n">
        <f aca="false">IF($B2275=-1, -1, VLOOKUP(C2275,$T$1:$V$20, 2))</f>
        <v>16</v>
      </c>
      <c r="G2275" s="16" t="n">
        <f aca="false">IF($B2275=-1, -1, VLOOKUP(D2275,$Y$1:$Z$22,2))</f>
        <v>18</v>
      </c>
      <c r="H2275" s="16" t="str">
        <f aca="false">_xlfn.UNICHAR(((F2275*21)+G2275)*28+44032)</f>
        <v>트</v>
      </c>
      <c r="I2275" s="16" t="n">
        <f aca="false">IF(B2275=-1, 1, COUNTIF($A$2:$A$3000, H2275))</f>
        <v>1</v>
      </c>
      <c r="J2275" s="10" t="str">
        <f aca="false">_xlfn.CONCAT(A2275, ",",H2275,",",I2275)</f>
        <v>햄,트,1</v>
      </c>
      <c r="K2275" s="16" t="n">
        <f aca="false">IF(B2275=-1,-1,VLOOKUP(C2275,$T$1:$V$20,3))</f>
        <v>26</v>
      </c>
      <c r="L2275" s="16" t="n">
        <f aca="false">IF(B2275=-1,-1,VLOOKUP(D2275,$Y$1:$AA$22,3))</f>
        <v>10</v>
      </c>
      <c r="N2275" s="10" t="str">
        <f aca="false">_xlfn.UNICHAR(((C2275*21)+G2275)*28+44032)</f>
        <v>흐</v>
      </c>
      <c r="O2275" s="10" t="str">
        <f aca="false">_xlfn.UNICHAR(((F2275*21)+D2275)*28+44032)</f>
        <v>태</v>
      </c>
      <c r="P2275" s="12" t="n">
        <f aca="false">COUNTIF($A$2:$A$3000, N2275) + COUNTIF($A$2:$A$3000, O2275)</f>
        <v>2</v>
      </c>
      <c r="Q2275" s="16" t="str">
        <f aca="false">IF(OR(B2275=-1,I2275=0, P2275&lt;&gt;2), "albhed_dummy", _xlfn.CONCAT("albhed ", RIGHT("  " &amp; K2275,2),", ", RIGHT("  " &amp; L2275,2), ", " ,"""",H2275,""", ", """",N2275,""", ","""",O2275,""""," ; ", A2275))</f>
        <v>albhed 26, 10, "트", "흐", "태" ; 햄</v>
      </c>
    </row>
    <row r="2276" customFormat="false" ht="17.9" hidden="false" customHeight="true" outlineLevel="0" collapsed="false">
      <c r="A2276" s="16" t="s">
        <v>3120</v>
      </c>
      <c r="B2276" s="16" t="n">
        <f aca="false">IF(_xlfn.UNICODE(A2276)&lt;44032,-1,_xlfn.UNICODE(A2276)-44032)</f>
        <v>10629</v>
      </c>
      <c r="C2276" s="16" t="n">
        <f aca="false">IF(B2276=-1,-1,INT((B2276/28)/21))</f>
        <v>18</v>
      </c>
      <c r="D2276" s="16" t="n">
        <f aca="false">IF(B2276=-1, -1, MOD(INT(B2276/28),21))</f>
        <v>1</v>
      </c>
      <c r="E2276" s="16" t="n">
        <f aca="false">IF(B2276=-1, -1, VLOOKUP(MOD(B2276,28), $T$24:$U$52,2))</f>
        <v>17</v>
      </c>
      <c r="F2276" s="16" t="n">
        <f aca="false">IF($B2276=-1, -1, VLOOKUP(C2276,$T$1:$V$20, 2))</f>
        <v>16</v>
      </c>
      <c r="G2276" s="16" t="n">
        <f aca="false">IF($B2276=-1, -1, VLOOKUP(D2276,$Y$1:$Z$22,2))</f>
        <v>18</v>
      </c>
      <c r="H2276" s="16" t="str">
        <f aca="false">_xlfn.UNICHAR(((F2276*21)+G2276)*28+44032)</f>
        <v>트</v>
      </c>
      <c r="I2276" s="16" t="n">
        <f aca="false">IF(B2276=-1, 1, COUNTIF($A$2:$A$3000, H2276))</f>
        <v>1</v>
      </c>
      <c r="J2276" s="10" t="str">
        <f aca="false">_xlfn.CONCAT(A2276, ",",H2276,",",I2276)</f>
        <v>햅,트,1</v>
      </c>
      <c r="K2276" s="16" t="n">
        <f aca="false">IF(B2276=-1,-1,VLOOKUP(C2276,$T$1:$V$20,3))</f>
        <v>26</v>
      </c>
      <c r="L2276" s="16" t="n">
        <f aca="false">IF(B2276=-1,-1,VLOOKUP(D2276,$Y$1:$AA$22,3))</f>
        <v>10</v>
      </c>
      <c r="N2276" s="10" t="str">
        <f aca="false">_xlfn.UNICHAR(((C2276*21)+G2276)*28+44032)</f>
        <v>흐</v>
      </c>
      <c r="O2276" s="10" t="str">
        <f aca="false">_xlfn.UNICHAR(((F2276*21)+D2276)*28+44032)</f>
        <v>태</v>
      </c>
      <c r="P2276" s="12" t="n">
        <f aca="false">COUNTIF($A$2:$A$3000, N2276) + COUNTIF($A$2:$A$3000, O2276)</f>
        <v>2</v>
      </c>
      <c r="Q2276" s="16" t="str">
        <f aca="false">IF(OR(B2276=-1,I2276=0, P2276&lt;&gt;2), "albhed_dummy", _xlfn.CONCAT("albhed ", RIGHT("  " &amp; K2276,2),", ", RIGHT("  " &amp; L2276,2), ", " ,"""",H2276,""", ", """",N2276,""", ","""",O2276,""""," ; ", A2276))</f>
        <v>albhed 26, 10, "트", "흐", "태" ; 햅</v>
      </c>
    </row>
    <row r="2277" customFormat="false" ht="17.9" hidden="false" customHeight="true" outlineLevel="0" collapsed="false">
      <c r="A2277" s="16" t="s">
        <v>3121</v>
      </c>
      <c r="B2277" s="16" t="n">
        <f aca="false">IF(_xlfn.UNICODE(A2277)&lt;44032,-1,_xlfn.UNICODE(A2277)-44032)</f>
        <v>10631</v>
      </c>
      <c r="C2277" s="16" t="n">
        <f aca="false">IF(B2277=-1,-1,INT((B2277/28)/21))</f>
        <v>18</v>
      </c>
      <c r="D2277" s="16" t="n">
        <f aca="false">IF(B2277=-1, -1, MOD(INT(B2277/28),21))</f>
        <v>1</v>
      </c>
      <c r="E2277" s="16" t="n">
        <f aca="false">IF(B2277=-1, -1, VLOOKUP(MOD(B2277,28), $T$24:$U$52,2))</f>
        <v>19</v>
      </c>
      <c r="F2277" s="16" t="n">
        <f aca="false">IF($B2277=-1, -1, VLOOKUP(C2277,$T$1:$V$20, 2))</f>
        <v>16</v>
      </c>
      <c r="G2277" s="16" t="n">
        <f aca="false">IF($B2277=-1, -1, VLOOKUP(D2277,$Y$1:$Z$22,2))</f>
        <v>18</v>
      </c>
      <c r="H2277" s="16" t="str">
        <f aca="false">_xlfn.UNICHAR(((F2277*21)+G2277)*28+44032)</f>
        <v>트</v>
      </c>
      <c r="I2277" s="16" t="n">
        <f aca="false">IF(B2277=-1, 1, COUNTIF($A$2:$A$3000, H2277))</f>
        <v>1</v>
      </c>
      <c r="J2277" s="10" t="str">
        <f aca="false">_xlfn.CONCAT(A2277, ",",H2277,",",I2277)</f>
        <v>햇,트,1</v>
      </c>
      <c r="K2277" s="16" t="n">
        <f aca="false">IF(B2277=-1,-1,VLOOKUP(C2277,$T$1:$V$20,3))</f>
        <v>26</v>
      </c>
      <c r="L2277" s="16" t="n">
        <f aca="false">IF(B2277=-1,-1,VLOOKUP(D2277,$Y$1:$AA$22,3))</f>
        <v>10</v>
      </c>
      <c r="N2277" s="10" t="str">
        <f aca="false">_xlfn.UNICHAR(((C2277*21)+G2277)*28+44032)</f>
        <v>흐</v>
      </c>
      <c r="O2277" s="10" t="str">
        <f aca="false">_xlfn.UNICHAR(((F2277*21)+D2277)*28+44032)</f>
        <v>태</v>
      </c>
      <c r="P2277" s="12" t="n">
        <f aca="false">COUNTIF($A$2:$A$3000, N2277) + COUNTIF($A$2:$A$3000, O2277)</f>
        <v>2</v>
      </c>
      <c r="Q2277" s="16" t="str">
        <f aca="false">IF(OR(B2277=-1,I2277=0, P2277&lt;&gt;2), "albhed_dummy", _xlfn.CONCAT("albhed ", RIGHT("  " &amp; K2277,2),", ", RIGHT("  " &amp; L2277,2), ", " ,"""",H2277,""", ", """",N2277,""", ","""",O2277,""""," ; ", A2277))</f>
        <v>albhed 26, 10, "트", "흐", "태" ; 햇</v>
      </c>
    </row>
    <row r="2278" customFormat="false" ht="17.9" hidden="false" customHeight="true" outlineLevel="0" collapsed="false">
      <c r="A2278" s="16" t="s">
        <v>3122</v>
      </c>
      <c r="B2278" s="16" t="n">
        <f aca="false">IF(_xlfn.UNICODE(A2278)&lt;44032,-1,_xlfn.UNICODE(A2278)-44032)</f>
        <v>10632</v>
      </c>
      <c r="C2278" s="16" t="n">
        <f aca="false">IF(B2278=-1,-1,INT((B2278/28)/21))</f>
        <v>18</v>
      </c>
      <c r="D2278" s="16" t="n">
        <f aca="false">IF(B2278=-1, -1, MOD(INT(B2278/28),21))</f>
        <v>1</v>
      </c>
      <c r="E2278" s="16" t="n">
        <f aca="false">IF(B2278=-1, -1, VLOOKUP(MOD(B2278,28), $T$24:$U$52,2))</f>
        <v>19</v>
      </c>
      <c r="F2278" s="16" t="n">
        <f aca="false">IF($B2278=-1, -1, VLOOKUP(C2278,$T$1:$V$20, 2))</f>
        <v>16</v>
      </c>
      <c r="G2278" s="16" t="n">
        <f aca="false">IF($B2278=-1, -1, VLOOKUP(D2278,$Y$1:$Z$22,2))</f>
        <v>18</v>
      </c>
      <c r="H2278" s="16" t="str">
        <f aca="false">_xlfn.UNICHAR(((F2278*21)+G2278)*28+44032)</f>
        <v>트</v>
      </c>
      <c r="I2278" s="16" t="n">
        <f aca="false">IF(B2278=-1, 1, COUNTIF($A$2:$A$3000, H2278))</f>
        <v>1</v>
      </c>
      <c r="J2278" s="10" t="str">
        <f aca="false">_xlfn.CONCAT(A2278, ",",H2278,",",I2278)</f>
        <v>했,트,1</v>
      </c>
      <c r="K2278" s="16" t="n">
        <f aca="false">IF(B2278=-1,-1,VLOOKUP(C2278,$T$1:$V$20,3))</f>
        <v>26</v>
      </c>
      <c r="L2278" s="16" t="n">
        <f aca="false">IF(B2278=-1,-1,VLOOKUP(D2278,$Y$1:$AA$22,3))</f>
        <v>10</v>
      </c>
      <c r="N2278" s="10" t="str">
        <f aca="false">_xlfn.UNICHAR(((C2278*21)+G2278)*28+44032)</f>
        <v>흐</v>
      </c>
      <c r="O2278" s="10" t="str">
        <f aca="false">_xlfn.UNICHAR(((F2278*21)+D2278)*28+44032)</f>
        <v>태</v>
      </c>
      <c r="P2278" s="12" t="n">
        <f aca="false">COUNTIF($A$2:$A$3000, N2278) + COUNTIF($A$2:$A$3000, O2278)</f>
        <v>2</v>
      </c>
      <c r="Q2278" s="16" t="str">
        <f aca="false">IF(OR(B2278=-1,I2278=0, P2278&lt;&gt;2), "albhed_dummy", _xlfn.CONCAT("albhed ", RIGHT("  " &amp; K2278,2),", ", RIGHT("  " &amp; L2278,2), ", " ,"""",H2278,""", ", """",N2278,""", ","""",O2278,""""," ; ", A2278))</f>
        <v>albhed 26, 10, "트", "흐", "태" ; 했</v>
      </c>
    </row>
    <row r="2279" customFormat="false" ht="17.9" hidden="false" customHeight="true" outlineLevel="0" collapsed="false">
      <c r="A2279" s="16" t="s">
        <v>3123</v>
      </c>
      <c r="B2279" s="16" t="n">
        <f aca="false">IF(_xlfn.UNICODE(A2279)&lt;44032,-1,_xlfn.UNICODE(A2279)-44032)</f>
        <v>10633</v>
      </c>
      <c r="C2279" s="16" t="n">
        <f aca="false">IF(B2279=-1,-1,INT((B2279/28)/21))</f>
        <v>18</v>
      </c>
      <c r="D2279" s="16" t="n">
        <f aca="false">IF(B2279=-1, -1, MOD(INT(B2279/28),21))</f>
        <v>1</v>
      </c>
      <c r="E2279" s="16" t="n">
        <f aca="false">IF(B2279=-1, -1, VLOOKUP(MOD(B2279,28), $T$24:$U$52,2))</f>
        <v>21</v>
      </c>
      <c r="F2279" s="16" t="n">
        <f aca="false">IF($B2279=-1, -1, VLOOKUP(C2279,$T$1:$V$20, 2))</f>
        <v>16</v>
      </c>
      <c r="G2279" s="16" t="n">
        <f aca="false">IF($B2279=-1, -1, VLOOKUP(D2279,$Y$1:$Z$22,2))</f>
        <v>18</v>
      </c>
      <c r="H2279" s="16" t="str">
        <f aca="false">_xlfn.UNICHAR(((F2279*21)+G2279)*28+44032)</f>
        <v>트</v>
      </c>
      <c r="I2279" s="16" t="n">
        <f aca="false">IF(B2279=-1, 1, COUNTIF($A$2:$A$3000, H2279))</f>
        <v>1</v>
      </c>
      <c r="J2279" s="10" t="str">
        <f aca="false">_xlfn.CONCAT(A2279, ",",H2279,",",I2279)</f>
        <v>행,트,1</v>
      </c>
      <c r="K2279" s="16" t="n">
        <f aca="false">IF(B2279=-1,-1,VLOOKUP(C2279,$T$1:$V$20,3))</f>
        <v>26</v>
      </c>
      <c r="L2279" s="16" t="n">
        <f aca="false">IF(B2279=-1,-1,VLOOKUP(D2279,$Y$1:$AA$22,3))</f>
        <v>10</v>
      </c>
      <c r="N2279" s="10" t="str">
        <f aca="false">_xlfn.UNICHAR(((C2279*21)+G2279)*28+44032)</f>
        <v>흐</v>
      </c>
      <c r="O2279" s="10" t="str">
        <f aca="false">_xlfn.UNICHAR(((F2279*21)+D2279)*28+44032)</f>
        <v>태</v>
      </c>
      <c r="P2279" s="12" t="n">
        <f aca="false">COUNTIF($A$2:$A$3000, N2279) + COUNTIF($A$2:$A$3000, O2279)</f>
        <v>2</v>
      </c>
      <c r="Q2279" s="16" t="str">
        <f aca="false">IF(OR(B2279=-1,I2279=0, P2279&lt;&gt;2), "albhed_dummy", _xlfn.CONCAT("albhed ", RIGHT("  " &amp; K2279,2),", ", RIGHT("  " &amp; L2279,2), ", " ,"""",H2279,""", ", """",N2279,""", ","""",O2279,""""," ; ", A2279))</f>
        <v>albhed 26, 10, "트", "흐", "태" ; 행</v>
      </c>
    </row>
    <row r="2280" customFormat="false" ht="17.9" hidden="false" customHeight="true" outlineLevel="0" collapsed="false">
      <c r="A2280" s="16" t="s">
        <v>3124</v>
      </c>
      <c r="B2280" s="16" t="n">
        <f aca="false">IF(_xlfn.UNICODE(A2280)&lt;44032,-1,_xlfn.UNICODE(A2280)-44032)</f>
        <v>10640</v>
      </c>
      <c r="C2280" s="16" t="n">
        <f aca="false">IF(B2280=-1,-1,INT((B2280/28)/21))</f>
        <v>18</v>
      </c>
      <c r="D2280" s="16" t="n">
        <f aca="false">IF(B2280=-1, -1, MOD(INT(B2280/28),21))</f>
        <v>2</v>
      </c>
      <c r="E2280" s="16" t="n">
        <f aca="false">IF(B2280=-1, -1, VLOOKUP(MOD(B2280,28), $T$24:$U$52,2))</f>
        <v>0</v>
      </c>
      <c r="F2280" s="16" t="n">
        <f aca="false">IF($B2280=-1, -1, VLOOKUP(C2280,$T$1:$V$20, 2))</f>
        <v>16</v>
      </c>
      <c r="G2280" s="16" t="n">
        <f aca="false">IF($B2280=-1, -1, VLOOKUP(D2280,$Y$1:$Z$22,2))</f>
        <v>17</v>
      </c>
      <c r="H2280" s="16" t="str">
        <f aca="false">_xlfn.UNICHAR(((F2280*21)+G2280)*28+44032)</f>
        <v>튜</v>
      </c>
      <c r="I2280" s="16" t="n">
        <f aca="false">IF(B2280=-1, 1, COUNTIF($A$2:$A$3000, H2280))</f>
        <v>1</v>
      </c>
      <c r="J2280" s="10" t="str">
        <f aca="false">_xlfn.CONCAT(A2280, ",",H2280,",",I2280)</f>
        <v>햐,튜,1</v>
      </c>
      <c r="K2280" s="16" t="n">
        <f aca="false">IF(B2280=-1,-1,VLOOKUP(C2280,$T$1:$V$20,3))</f>
        <v>26</v>
      </c>
      <c r="L2280" s="16" t="n">
        <f aca="false">IF(B2280=-1,-1,VLOOKUP(D2280,$Y$1:$AA$22,3))</f>
        <v>2</v>
      </c>
      <c r="N2280" s="10" t="str">
        <f aca="false">_xlfn.UNICHAR(((C2280*21)+G2280)*28+44032)</f>
        <v>휴</v>
      </c>
      <c r="O2280" s="10" t="str">
        <f aca="false">_xlfn.UNICHAR(((F2280*21)+D2280)*28+44032)</f>
        <v>탸</v>
      </c>
      <c r="P2280" s="12" t="n">
        <f aca="false">COUNTIF($A$2:$A$3000, N2280) + COUNTIF($A$2:$A$3000, O2280)</f>
        <v>2</v>
      </c>
      <c r="Q2280" s="16" t="str">
        <f aca="false">IF(OR(B2280=-1,I2280=0, P2280&lt;&gt;2), "albhed_dummy", _xlfn.CONCAT("albhed ", RIGHT("  " &amp; K2280,2),", ", RIGHT("  " &amp; L2280,2), ", " ,"""",H2280,""", ", """",N2280,""", ","""",O2280,""""," ; ", A2280))</f>
        <v>albhed 26,  2, "튜", "휴", "탸" ; 햐</v>
      </c>
    </row>
    <row r="2281" customFormat="false" ht="17.9" hidden="false" customHeight="true" outlineLevel="0" collapsed="false">
      <c r="A2281" s="16" t="s">
        <v>3125</v>
      </c>
      <c r="B2281" s="16" t="n">
        <f aca="false">IF(_xlfn.UNICODE(A2281)&lt;44032,-1,_xlfn.UNICODE(A2281)-44032)</f>
        <v>10661</v>
      </c>
      <c r="C2281" s="16" t="n">
        <f aca="false">IF(B2281=-1,-1,INT((B2281/28)/21))</f>
        <v>18</v>
      </c>
      <c r="D2281" s="16" t="n">
        <f aca="false">IF(B2281=-1, -1, MOD(INT(B2281/28),21))</f>
        <v>2</v>
      </c>
      <c r="E2281" s="16" t="n">
        <f aca="false">IF(B2281=-1, -1, VLOOKUP(MOD(B2281,28), $T$24:$U$52,2))</f>
        <v>21</v>
      </c>
      <c r="F2281" s="16" t="n">
        <f aca="false">IF($B2281=-1, -1, VLOOKUP(C2281,$T$1:$V$20, 2))</f>
        <v>16</v>
      </c>
      <c r="G2281" s="16" t="n">
        <f aca="false">IF($B2281=-1, -1, VLOOKUP(D2281,$Y$1:$Z$22,2))</f>
        <v>17</v>
      </c>
      <c r="H2281" s="16" t="str">
        <f aca="false">_xlfn.UNICHAR(((F2281*21)+G2281)*28+44032)</f>
        <v>튜</v>
      </c>
      <c r="I2281" s="16" t="n">
        <f aca="false">IF(B2281=-1, 1, COUNTIF($A$2:$A$3000, H2281))</f>
        <v>1</v>
      </c>
      <c r="J2281" s="10" t="str">
        <f aca="false">_xlfn.CONCAT(A2281, ",",H2281,",",I2281)</f>
        <v>향,튜,1</v>
      </c>
      <c r="K2281" s="16" t="n">
        <f aca="false">IF(B2281=-1,-1,VLOOKUP(C2281,$T$1:$V$20,3))</f>
        <v>26</v>
      </c>
      <c r="L2281" s="16" t="n">
        <f aca="false">IF(B2281=-1,-1,VLOOKUP(D2281,$Y$1:$AA$22,3))</f>
        <v>2</v>
      </c>
      <c r="N2281" s="10" t="str">
        <f aca="false">_xlfn.UNICHAR(((C2281*21)+G2281)*28+44032)</f>
        <v>휴</v>
      </c>
      <c r="O2281" s="10" t="str">
        <f aca="false">_xlfn.UNICHAR(((F2281*21)+D2281)*28+44032)</f>
        <v>탸</v>
      </c>
      <c r="P2281" s="12" t="n">
        <f aca="false">COUNTIF($A$2:$A$3000, N2281) + COUNTIF($A$2:$A$3000, O2281)</f>
        <v>2</v>
      </c>
      <c r="Q2281" s="16" t="str">
        <f aca="false">IF(OR(B2281=-1,I2281=0, P2281&lt;&gt;2), "albhed_dummy", _xlfn.CONCAT("albhed ", RIGHT("  " &amp; K2281,2),", ", RIGHT("  " &amp; L2281,2), ", " ,"""",H2281,""", ", """",N2281,""", ","""",O2281,""""," ; ", A2281))</f>
        <v>albhed 26,  2, "튜", "휴", "탸" ; 향</v>
      </c>
    </row>
    <row r="2282" customFormat="false" ht="17.9" hidden="false" customHeight="true" outlineLevel="0" collapsed="false">
      <c r="A2282" s="16" t="s">
        <v>3126</v>
      </c>
      <c r="B2282" s="16" t="n">
        <f aca="false">IF(_xlfn.UNICODE(A2282)&lt;44032,-1,_xlfn.UNICODE(A2282)-44032)</f>
        <v>10696</v>
      </c>
      <c r="C2282" s="16" t="n">
        <f aca="false">IF(B2282=-1,-1,INT((B2282/28)/21))</f>
        <v>18</v>
      </c>
      <c r="D2282" s="16" t="n">
        <f aca="false">IF(B2282=-1, -1, MOD(INT(B2282/28),21))</f>
        <v>4</v>
      </c>
      <c r="E2282" s="16" t="n">
        <f aca="false">IF(B2282=-1, -1, VLOOKUP(MOD(B2282,28), $T$24:$U$52,2))</f>
        <v>0</v>
      </c>
      <c r="F2282" s="16" t="n">
        <f aca="false">IF($B2282=-1, -1, VLOOKUP(C2282,$T$1:$V$20, 2))</f>
        <v>16</v>
      </c>
      <c r="G2282" s="16" t="n">
        <f aca="false">IF($B2282=-1, -1, VLOOKUP(D2282,$Y$1:$Z$22,2))</f>
        <v>8</v>
      </c>
      <c r="H2282" s="16" t="str">
        <f aca="false">_xlfn.UNICHAR(((F2282*21)+G2282)*28+44032)</f>
        <v>토</v>
      </c>
      <c r="I2282" s="16" t="n">
        <f aca="false">IF(B2282=-1, 1, COUNTIF($A$2:$A$3000, H2282))</f>
        <v>1</v>
      </c>
      <c r="J2282" s="10" t="str">
        <f aca="false">_xlfn.CONCAT(A2282, ",",H2282,",",I2282)</f>
        <v>허,토,1</v>
      </c>
      <c r="K2282" s="16" t="n">
        <f aca="false">IF(B2282=-1,-1,VLOOKUP(C2282,$T$1:$V$20,3))</f>
        <v>26</v>
      </c>
      <c r="L2282" s="16" t="n">
        <f aca="false">IF(B2282=-1,-1,VLOOKUP(D2282,$Y$1:$AA$22,3))</f>
        <v>4</v>
      </c>
      <c r="N2282" s="10" t="str">
        <f aca="false">_xlfn.UNICHAR(((C2282*21)+G2282)*28+44032)</f>
        <v>호</v>
      </c>
      <c r="O2282" s="10" t="str">
        <f aca="false">_xlfn.UNICHAR(((F2282*21)+D2282)*28+44032)</f>
        <v>터</v>
      </c>
      <c r="P2282" s="12" t="n">
        <f aca="false">COUNTIF($A$2:$A$3000, N2282) + COUNTIF($A$2:$A$3000, O2282)</f>
        <v>2</v>
      </c>
      <c r="Q2282" s="16" t="str">
        <f aca="false">IF(OR(B2282=-1,I2282=0, P2282&lt;&gt;2), "albhed_dummy", _xlfn.CONCAT("albhed ", RIGHT("  " &amp; K2282,2),", ", RIGHT("  " &amp; L2282,2), ", " ,"""",H2282,""", ", """",N2282,""", ","""",O2282,""""," ; ", A2282))</f>
        <v>albhed 26,  4, "토", "호", "터" ; 허</v>
      </c>
    </row>
    <row r="2283" customFormat="false" ht="17.9" hidden="false" customHeight="true" outlineLevel="0" collapsed="false">
      <c r="A2283" s="16" t="s">
        <v>3127</v>
      </c>
      <c r="B2283" s="16" t="n">
        <f aca="false">IF(_xlfn.UNICODE(A2283)&lt;44032,-1,_xlfn.UNICODE(A2283)-44032)</f>
        <v>10697</v>
      </c>
      <c r="C2283" s="16" t="n">
        <f aca="false">IF(B2283=-1,-1,INT((B2283/28)/21))</f>
        <v>18</v>
      </c>
      <c r="D2283" s="16" t="n">
        <f aca="false">IF(B2283=-1, -1, MOD(INT(B2283/28),21))</f>
        <v>4</v>
      </c>
      <c r="E2283" s="16" t="n">
        <f aca="false">IF(B2283=-1, -1, VLOOKUP(MOD(B2283,28), $T$24:$U$52,2))</f>
        <v>1</v>
      </c>
      <c r="F2283" s="16" t="n">
        <f aca="false">IF($B2283=-1, -1, VLOOKUP(C2283,$T$1:$V$20, 2))</f>
        <v>16</v>
      </c>
      <c r="G2283" s="16" t="n">
        <f aca="false">IF($B2283=-1, -1, VLOOKUP(D2283,$Y$1:$Z$22,2))</f>
        <v>8</v>
      </c>
      <c r="H2283" s="16" t="str">
        <f aca="false">_xlfn.UNICHAR(((F2283*21)+G2283)*28+44032)</f>
        <v>토</v>
      </c>
      <c r="I2283" s="16" t="n">
        <f aca="false">IF(B2283=-1, 1, COUNTIF($A$2:$A$3000, H2283))</f>
        <v>1</v>
      </c>
      <c r="J2283" s="10" t="str">
        <f aca="false">_xlfn.CONCAT(A2283, ",",H2283,",",I2283)</f>
        <v>헉,토,1</v>
      </c>
      <c r="K2283" s="16" t="n">
        <f aca="false">IF(B2283=-1,-1,VLOOKUP(C2283,$T$1:$V$20,3))</f>
        <v>26</v>
      </c>
      <c r="L2283" s="16" t="n">
        <f aca="false">IF(B2283=-1,-1,VLOOKUP(D2283,$Y$1:$AA$22,3))</f>
        <v>4</v>
      </c>
      <c r="N2283" s="10" t="str">
        <f aca="false">_xlfn.UNICHAR(((C2283*21)+G2283)*28+44032)</f>
        <v>호</v>
      </c>
      <c r="O2283" s="10" t="str">
        <f aca="false">_xlfn.UNICHAR(((F2283*21)+D2283)*28+44032)</f>
        <v>터</v>
      </c>
      <c r="P2283" s="12" t="n">
        <f aca="false">COUNTIF($A$2:$A$3000, N2283) + COUNTIF($A$2:$A$3000, O2283)</f>
        <v>2</v>
      </c>
      <c r="Q2283" s="16" t="str">
        <f aca="false">IF(OR(B2283=-1,I2283=0, P2283&lt;&gt;2), "albhed_dummy", _xlfn.CONCAT("albhed ", RIGHT("  " &amp; K2283,2),", ", RIGHT("  " &amp; L2283,2), ", " ,"""",H2283,""", ", """",N2283,""", ","""",O2283,""""," ; ", A2283))</f>
        <v>albhed 26,  4, "토", "호", "터" ; 헉</v>
      </c>
    </row>
    <row r="2284" customFormat="false" ht="17.9" hidden="false" customHeight="true" outlineLevel="0" collapsed="false">
      <c r="A2284" s="16" t="s">
        <v>3128</v>
      </c>
      <c r="B2284" s="16" t="n">
        <f aca="false">IF(_xlfn.UNICODE(A2284)&lt;44032,-1,_xlfn.UNICODE(A2284)-44032)</f>
        <v>10700</v>
      </c>
      <c r="C2284" s="16" t="n">
        <f aca="false">IF(B2284=-1,-1,INT((B2284/28)/21))</f>
        <v>18</v>
      </c>
      <c r="D2284" s="16" t="n">
        <f aca="false">IF(B2284=-1, -1, MOD(INT(B2284/28),21))</f>
        <v>4</v>
      </c>
      <c r="E2284" s="16" t="n">
        <f aca="false">IF(B2284=-1, -1, VLOOKUP(MOD(B2284,28), $T$24:$U$52,2))</f>
        <v>4</v>
      </c>
      <c r="F2284" s="16" t="n">
        <f aca="false">IF($B2284=-1, -1, VLOOKUP(C2284,$T$1:$V$20, 2))</f>
        <v>16</v>
      </c>
      <c r="G2284" s="16" t="n">
        <f aca="false">IF($B2284=-1, -1, VLOOKUP(D2284,$Y$1:$Z$22,2))</f>
        <v>8</v>
      </c>
      <c r="H2284" s="16" t="str">
        <f aca="false">_xlfn.UNICHAR(((F2284*21)+G2284)*28+44032)</f>
        <v>토</v>
      </c>
      <c r="I2284" s="16" t="n">
        <f aca="false">IF(B2284=-1, 1, COUNTIF($A$2:$A$3000, H2284))</f>
        <v>1</v>
      </c>
      <c r="J2284" s="10" t="str">
        <f aca="false">_xlfn.CONCAT(A2284, ",",H2284,",",I2284)</f>
        <v>헌,토,1</v>
      </c>
      <c r="K2284" s="16" t="n">
        <f aca="false">IF(B2284=-1,-1,VLOOKUP(C2284,$T$1:$V$20,3))</f>
        <v>26</v>
      </c>
      <c r="L2284" s="16" t="n">
        <f aca="false">IF(B2284=-1,-1,VLOOKUP(D2284,$Y$1:$AA$22,3))</f>
        <v>4</v>
      </c>
      <c r="N2284" s="10" t="str">
        <f aca="false">_xlfn.UNICHAR(((C2284*21)+G2284)*28+44032)</f>
        <v>호</v>
      </c>
      <c r="O2284" s="10" t="str">
        <f aca="false">_xlfn.UNICHAR(((F2284*21)+D2284)*28+44032)</f>
        <v>터</v>
      </c>
      <c r="P2284" s="12" t="n">
        <f aca="false">COUNTIF($A$2:$A$3000, N2284) + COUNTIF($A$2:$A$3000, O2284)</f>
        <v>2</v>
      </c>
      <c r="Q2284" s="16" t="str">
        <f aca="false">IF(OR(B2284=-1,I2284=0, P2284&lt;&gt;2), "albhed_dummy", _xlfn.CONCAT("albhed ", RIGHT("  " &amp; K2284,2),", ", RIGHT("  " &amp; L2284,2), ", " ,"""",H2284,""", ", """",N2284,""", ","""",O2284,""""," ; ", A2284))</f>
        <v>albhed 26,  4, "토", "호", "터" ; 헌</v>
      </c>
    </row>
    <row r="2285" customFormat="false" ht="17.9" hidden="false" customHeight="true" outlineLevel="0" collapsed="false">
      <c r="A2285" s="16" t="s">
        <v>3129</v>
      </c>
      <c r="B2285" s="16" t="n">
        <f aca="false">IF(_xlfn.UNICODE(A2285)&lt;44032,-1,_xlfn.UNICODE(A2285)-44032)</f>
        <v>10704</v>
      </c>
      <c r="C2285" s="16" t="n">
        <f aca="false">IF(B2285=-1,-1,INT((B2285/28)/21))</f>
        <v>18</v>
      </c>
      <c r="D2285" s="16" t="n">
        <f aca="false">IF(B2285=-1, -1, MOD(INT(B2285/28),21))</f>
        <v>4</v>
      </c>
      <c r="E2285" s="16" t="n">
        <f aca="false">IF(B2285=-1, -1, VLOOKUP(MOD(B2285,28), $T$24:$U$52,2))</f>
        <v>8</v>
      </c>
      <c r="F2285" s="16" t="n">
        <f aca="false">IF($B2285=-1, -1, VLOOKUP(C2285,$T$1:$V$20, 2))</f>
        <v>16</v>
      </c>
      <c r="G2285" s="16" t="n">
        <f aca="false">IF($B2285=-1, -1, VLOOKUP(D2285,$Y$1:$Z$22,2))</f>
        <v>8</v>
      </c>
      <c r="H2285" s="16" t="str">
        <f aca="false">_xlfn.UNICHAR(((F2285*21)+G2285)*28+44032)</f>
        <v>토</v>
      </c>
      <c r="I2285" s="16" t="n">
        <f aca="false">IF(B2285=-1, 1, COUNTIF($A$2:$A$3000, H2285))</f>
        <v>1</v>
      </c>
      <c r="J2285" s="10" t="str">
        <f aca="false">_xlfn.CONCAT(A2285, ",",H2285,",",I2285)</f>
        <v>헐,토,1</v>
      </c>
      <c r="K2285" s="16" t="n">
        <f aca="false">IF(B2285=-1,-1,VLOOKUP(C2285,$T$1:$V$20,3))</f>
        <v>26</v>
      </c>
      <c r="L2285" s="16" t="n">
        <f aca="false">IF(B2285=-1,-1,VLOOKUP(D2285,$Y$1:$AA$22,3))</f>
        <v>4</v>
      </c>
      <c r="N2285" s="10" t="str">
        <f aca="false">_xlfn.UNICHAR(((C2285*21)+G2285)*28+44032)</f>
        <v>호</v>
      </c>
      <c r="O2285" s="10" t="str">
        <f aca="false">_xlfn.UNICHAR(((F2285*21)+D2285)*28+44032)</f>
        <v>터</v>
      </c>
      <c r="P2285" s="12" t="n">
        <f aca="false">COUNTIF($A$2:$A$3000, N2285) + COUNTIF($A$2:$A$3000, O2285)</f>
        <v>2</v>
      </c>
      <c r="Q2285" s="16" t="str">
        <f aca="false">IF(OR(B2285=-1,I2285=0, P2285&lt;&gt;2), "albhed_dummy", _xlfn.CONCAT("albhed ", RIGHT("  " &amp; K2285,2),", ", RIGHT("  " &amp; L2285,2), ", " ,"""",H2285,""", ", """",N2285,""", ","""",O2285,""""," ; ", A2285))</f>
        <v>albhed 26,  4, "토", "호", "터" ; 헐</v>
      </c>
    </row>
    <row r="2286" customFormat="false" ht="17.9" hidden="false" customHeight="true" outlineLevel="0" collapsed="false">
      <c r="A2286" s="16" t="s">
        <v>3130</v>
      </c>
      <c r="B2286" s="16" t="n">
        <f aca="false">IF(_xlfn.UNICODE(A2286)&lt;44032,-1,_xlfn.UNICODE(A2286)-44032)</f>
        <v>10706</v>
      </c>
      <c r="C2286" s="16" t="n">
        <f aca="false">IF(B2286=-1,-1,INT((B2286/28)/21))</f>
        <v>18</v>
      </c>
      <c r="D2286" s="16" t="n">
        <f aca="false">IF(B2286=-1, -1, MOD(INT(B2286/28),21))</f>
        <v>4</v>
      </c>
      <c r="E2286" s="16" t="n">
        <f aca="false">IF(B2286=-1, -1, VLOOKUP(MOD(B2286,28), $T$24:$U$52,2))</f>
        <v>8</v>
      </c>
      <c r="F2286" s="16" t="n">
        <f aca="false">IF($B2286=-1, -1, VLOOKUP(C2286,$T$1:$V$20, 2))</f>
        <v>16</v>
      </c>
      <c r="G2286" s="16" t="n">
        <f aca="false">IF($B2286=-1, -1, VLOOKUP(D2286,$Y$1:$Z$22,2))</f>
        <v>8</v>
      </c>
      <c r="H2286" s="16" t="str">
        <f aca="false">_xlfn.UNICHAR(((F2286*21)+G2286)*28+44032)</f>
        <v>토</v>
      </c>
      <c r="I2286" s="16" t="n">
        <f aca="false">IF(B2286=-1, 1, COUNTIF($A$2:$A$3000, H2286))</f>
        <v>1</v>
      </c>
      <c r="J2286" s="10" t="str">
        <f aca="false">_xlfn.CONCAT(A2286, ",",H2286,",",I2286)</f>
        <v>헒,토,1</v>
      </c>
      <c r="K2286" s="16" t="n">
        <f aca="false">IF(B2286=-1,-1,VLOOKUP(C2286,$T$1:$V$20,3))</f>
        <v>26</v>
      </c>
      <c r="L2286" s="16" t="n">
        <f aca="false">IF(B2286=-1,-1,VLOOKUP(D2286,$Y$1:$AA$22,3))</f>
        <v>4</v>
      </c>
      <c r="N2286" s="10" t="str">
        <f aca="false">_xlfn.UNICHAR(((C2286*21)+G2286)*28+44032)</f>
        <v>호</v>
      </c>
      <c r="O2286" s="10" t="str">
        <f aca="false">_xlfn.UNICHAR(((F2286*21)+D2286)*28+44032)</f>
        <v>터</v>
      </c>
      <c r="P2286" s="12" t="n">
        <f aca="false">COUNTIF($A$2:$A$3000, N2286) + COUNTIF($A$2:$A$3000, O2286)</f>
        <v>2</v>
      </c>
      <c r="Q2286" s="16" t="str">
        <f aca="false">IF(OR(B2286=-1,I2286=0, P2286&lt;&gt;2), "albhed_dummy", _xlfn.CONCAT("albhed ", RIGHT("  " &amp; K2286,2),", ", RIGHT("  " &amp; L2286,2), ", " ,"""",H2286,""", ", """",N2286,""", ","""",O2286,""""," ; ", A2286))</f>
        <v>albhed 26,  4, "토", "호", "터" ; 헒</v>
      </c>
    </row>
    <row r="2287" customFormat="false" ht="17.9" hidden="false" customHeight="true" outlineLevel="0" collapsed="false">
      <c r="A2287" s="16" t="s">
        <v>3131</v>
      </c>
      <c r="B2287" s="16" t="n">
        <f aca="false">IF(_xlfn.UNICODE(A2287)&lt;44032,-1,_xlfn.UNICODE(A2287)-44032)</f>
        <v>10712</v>
      </c>
      <c r="C2287" s="16" t="n">
        <f aca="false">IF(B2287=-1,-1,INT((B2287/28)/21))</f>
        <v>18</v>
      </c>
      <c r="D2287" s="16" t="n">
        <f aca="false">IF(B2287=-1, -1, MOD(INT(B2287/28),21))</f>
        <v>4</v>
      </c>
      <c r="E2287" s="16" t="n">
        <f aca="false">IF(B2287=-1, -1, VLOOKUP(MOD(B2287,28), $T$24:$U$52,2))</f>
        <v>16</v>
      </c>
      <c r="F2287" s="16" t="n">
        <f aca="false">IF($B2287=-1, -1, VLOOKUP(C2287,$T$1:$V$20, 2))</f>
        <v>16</v>
      </c>
      <c r="G2287" s="16" t="n">
        <f aca="false">IF($B2287=-1, -1, VLOOKUP(D2287,$Y$1:$Z$22,2))</f>
        <v>8</v>
      </c>
      <c r="H2287" s="16" t="str">
        <f aca="false">_xlfn.UNICHAR(((F2287*21)+G2287)*28+44032)</f>
        <v>토</v>
      </c>
      <c r="I2287" s="16" t="n">
        <f aca="false">IF(B2287=-1, 1, COUNTIF($A$2:$A$3000, H2287))</f>
        <v>1</v>
      </c>
      <c r="J2287" s="10" t="str">
        <f aca="false">_xlfn.CONCAT(A2287, ",",H2287,",",I2287)</f>
        <v>험,토,1</v>
      </c>
      <c r="K2287" s="16" t="n">
        <f aca="false">IF(B2287=-1,-1,VLOOKUP(C2287,$T$1:$V$20,3))</f>
        <v>26</v>
      </c>
      <c r="L2287" s="16" t="n">
        <f aca="false">IF(B2287=-1,-1,VLOOKUP(D2287,$Y$1:$AA$22,3))</f>
        <v>4</v>
      </c>
      <c r="N2287" s="10" t="str">
        <f aca="false">_xlfn.UNICHAR(((C2287*21)+G2287)*28+44032)</f>
        <v>호</v>
      </c>
      <c r="O2287" s="10" t="str">
        <f aca="false">_xlfn.UNICHAR(((F2287*21)+D2287)*28+44032)</f>
        <v>터</v>
      </c>
      <c r="P2287" s="12" t="n">
        <f aca="false">COUNTIF($A$2:$A$3000, N2287) + COUNTIF($A$2:$A$3000, O2287)</f>
        <v>2</v>
      </c>
      <c r="Q2287" s="16" t="str">
        <f aca="false">IF(OR(B2287=-1,I2287=0, P2287&lt;&gt;2), "albhed_dummy", _xlfn.CONCAT("albhed ", RIGHT("  " &amp; K2287,2),", ", RIGHT("  " &amp; L2287,2), ", " ,"""",H2287,""", ", """",N2287,""", ","""",O2287,""""," ; ", A2287))</f>
        <v>albhed 26,  4, "토", "호", "터" ; 험</v>
      </c>
    </row>
    <row r="2288" customFormat="false" ht="17.9" hidden="false" customHeight="true" outlineLevel="0" collapsed="false">
      <c r="A2288" s="16" t="s">
        <v>3132</v>
      </c>
      <c r="B2288" s="16" t="n">
        <f aca="false">IF(_xlfn.UNICODE(A2288)&lt;44032,-1,_xlfn.UNICODE(A2288)-44032)</f>
        <v>10713</v>
      </c>
      <c r="C2288" s="16" t="n">
        <f aca="false">IF(B2288=-1,-1,INT((B2288/28)/21))</f>
        <v>18</v>
      </c>
      <c r="D2288" s="16" t="n">
        <f aca="false">IF(B2288=-1, -1, MOD(INT(B2288/28),21))</f>
        <v>4</v>
      </c>
      <c r="E2288" s="16" t="n">
        <f aca="false">IF(B2288=-1, -1, VLOOKUP(MOD(B2288,28), $T$24:$U$52,2))</f>
        <v>17</v>
      </c>
      <c r="F2288" s="16" t="n">
        <f aca="false">IF($B2288=-1, -1, VLOOKUP(C2288,$T$1:$V$20, 2))</f>
        <v>16</v>
      </c>
      <c r="G2288" s="16" t="n">
        <f aca="false">IF($B2288=-1, -1, VLOOKUP(D2288,$Y$1:$Z$22,2))</f>
        <v>8</v>
      </c>
      <c r="H2288" s="16" t="str">
        <f aca="false">_xlfn.UNICHAR(((F2288*21)+G2288)*28+44032)</f>
        <v>토</v>
      </c>
      <c r="I2288" s="16" t="n">
        <f aca="false">IF(B2288=-1, 1, COUNTIF($A$2:$A$3000, H2288))</f>
        <v>1</v>
      </c>
      <c r="J2288" s="10" t="str">
        <f aca="false">_xlfn.CONCAT(A2288, ",",H2288,",",I2288)</f>
        <v>헙,토,1</v>
      </c>
      <c r="K2288" s="16" t="n">
        <f aca="false">IF(B2288=-1,-1,VLOOKUP(C2288,$T$1:$V$20,3))</f>
        <v>26</v>
      </c>
      <c r="L2288" s="16" t="n">
        <f aca="false">IF(B2288=-1,-1,VLOOKUP(D2288,$Y$1:$AA$22,3))</f>
        <v>4</v>
      </c>
      <c r="N2288" s="10" t="str">
        <f aca="false">_xlfn.UNICHAR(((C2288*21)+G2288)*28+44032)</f>
        <v>호</v>
      </c>
      <c r="O2288" s="10" t="str">
        <f aca="false">_xlfn.UNICHAR(((F2288*21)+D2288)*28+44032)</f>
        <v>터</v>
      </c>
      <c r="P2288" s="12" t="n">
        <f aca="false">COUNTIF($A$2:$A$3000, N2288) + COUNTIF($A$2:$A$3000, O2288)</f>
        <v>2</v>
      </c>
      <c r="Q2288" s="16" t="str">
        <f aca="false">IF(OR(B2288=-1,I2288=0, P2288&lt;&gt;2), "albhed_dummy", _xlfn.CONCAT("albhed ", RIGHT("  " &amp; K2288,2),", ", RIGHT("  " &amp; L2288,2), ", " ,"""",H2288,""", ", """",N2288,""", ","""",O2288,""""," ; ", A2288))</f>
        <v>albhed 26,  4, "토", "호", "터" ; 헙</v>
      </c>
    </row>
    <row r="2289" customFormat="false" ht="17.9" hidden="false" customHeight="true" outlineLevel="0" collapsed="false">
      <c r="A2289" s="16" t="s">
        <v>3133</v>
      </c>
      <c r="B2289" s="16" t="n">
        <f aca="false">IF(_xlfn.UNICODE(A2289)&lt;44032,-1,_xlfn.UNICODE(A2289)-44032)</f>
        <v>10715</v>
      </c>
      <c r="C2289" s="16" t="n">
        <f aca="false">IF(B2289=-1,-1,INT((B2289/28)/21))</f>
        <v>18</v>
      </c>
      <c r="D2289" s="16" t="n">
        <f aca="false">IF(B2289=-1, -1, MOD(INT(B2289/28),21))</f>
        <v>4</v>
      </c>
      <c r="E2289" s="16" t="n">
        <f aca="false">IF(B2289=-1, -1, VLOOKUP(MOD(B2289,28), $T$24:$U$52,2))</f>
        <v>19</v>
      </c>
      <c r="F2289" s="16" t="n">
        <f aca="false">IF($B2289=-1, -1, VLOOKUP(C2289,$T$1:$V$20, 2))</f>
        <v>16</v>
      </c>
      <c r="G2289" s="16" t="n">
        <f aca="false">IF($B2289=-1, -1, VLOOKUP(D2289,$Y$1:$Z$22,2))</f>
        <v>8</v>
      </c>
      <c r="H2289" s="16" t="str">
        <f aca="false">_xlfn.UNICHAR(((F2289*21)+G2289)*28+44032)</f>
        <v>토</v>
      </c>
      <c r="I2289" s="16" t="n">
        <f aca="false">IF(B2289=-1, 1, COUNTIF($A$2:$A$3000, H2289))</f>
        <v>1</v>
      </c>
      <c r="J2289" s="10" t="str">
        <f aca="false">_xlfn.CONCAT(A2289, ",",H2289,",",I2289)</f>
        <v>헛,토,1</v>
      </c>
      <c r="K2289" s="16" t="n">
        <f aca="false">IF(B2289=-1,-1,VLOOKUP(C2289,$T$1:$V$20,3))</f>
        <v>26</v>
      </c>
      <c r="L2289" s="16" t="n">
        <f aca="false">IF(B2289=-1,-1,VLOOKUP(D2289,$Y$1:$AA$22,3))</f>
        <v>4</v>
      </c>
      <c r="N2289" s="10" t="str">
        <f aca="false">_xlfn.UNICHAR(((C2289*21)+G2289)*28+44032)</f>
        <v>호</v>
      </c>
      <c r="O2289" s="10" t="str">
        <f aca="false">_xlfn.UNICHAR(((F2289*21)+D2289)*28+44032)</f>
        <v>터</v>
      </c>
      <c r="P2289" s="12" t="n">
        <f aca="false">COUNTIF($A$2:$A$3000, N2289) + COUNTIF($A$2:$A$3000, O2289)</f>
        <v>2</v>
      </c>
      <c r="Q2289" s="16" t="str">
        <f aca="false">IF(OR(B2289=-1,I2289=0, P2289&lt;&gt;2), "albhed_dummy", _xlfn.CONCAT("albhed ", RIGHT("  " &amp; K2289,2),", ", RIGHT("  " &amp; L2289,2), ", " ,"""",H2289,""", ", """",N2289,""", ","""",O2289,""""," ; ", A2289))</f>
        <v>albhed 26,  4, "토", "호", "터" ; 헛</v>
      </c>
    </row>
    <row r="2290" customFormat="false" ht="17.9" hidden="false" customHeight="true" outlineLevel="0" collapsed="false">
      <c r="A2290" s="16" t="s">
        <v>3134</v>
      </c>
      <c r="B2290" s="16" t="n">
        <f aca="false">IF(_xlfn.UNICODE(A2290)&lt;44032,-1,_xlfn.UNICODE(A2290)-44032)</f>
        <v>10717</v>
      </c>
      <c r="C2290" s="16" t="n">
        <f aca="false">IF(B2290=-1,-1,INT((B2290/28)/21))</f>
        <v>18</v>
      </c>
      <c r="D2290" s="16" t="n">
        <f aca="false">IF(B2290=-1, -1, MOD(INT(B2290/28),21))</f>
        <v>4</v>
      </c>
      <c r="E2290" s="16" t="n">
        <f aca="false">IF(B2290=-1, -1, VLOOKUP(MOD(B2290,28), $T$24:$U$52,2))</f>
        <v>21</v>
      </c>
      <c r="F2290" s="16" t="n">
        <f aca="false">IF($B2290=-1, -1, VLOOKUP(C2290,$T$1:$V$20, 2))</f>
        <v>16</v>
      </c>
      <c r="G2290" s="16" t="n">
        <f aca="false">IF($B2290=-1, -1, VLOOKUP(D2290,$Y$1:$Z$22,2))</f>
        <v>8</v>
      </c>
      <c r="H2290" s="16" t="str">
        <f aca="false">_xlfn.UNICHAR(((F2290*21)+G2290)*28+44032)</f>
        <v>토</v>
      </c>
      <c r="I2290" s="16" t="n">
        <f aca="false">IF(B2290=-1, 1, COUNTIF($A$2:$A$3000, H2290))</f>
        <v>1</v>
      </c>
      <c r="J2290" s="10" t="str">
        <f aca="false">_xlfn.CONCAT(A2290, ",",H2290,",",I2290)</f>
        <v>헝,토,1</v>
      </c>
      <c r="K2290" s="16" t="n">
        <f aca="false">IF(B2290=-1,-1,VLOOKUP(C2290,$T$1:$V$20,3))</f>
        <v>26</v>
      </c>
      <c r="L2290" s="16" t="n">
        <f aca="false">IF(B2290=-1,-1,VLOOKUP(D2290,$Y$1:$AA$22,3))</f>
        <v>4</v>
      </c>
      <c r="N2290" s="10" t="str">
        <f aca="false">_xlfn.UNICHAR(((C2290*21)+G2290)*28+44032)</f>
        <v>호</v>
      </c>
      <c r="O2290" s="10" t="str">
        <f aca="false">_xlfn.UNICHAR(((F2290*21)+D2290)*28+44032)</f>
        <v>터</v>
      </c>
      <c r="P2290" s="12" t="n">
        <f aca="false">COUNTIF($A$2:$A$3000, N2290) + COUNTIF($A$2:$A$3000, O2290)</f>
        <v>2</v>
      </c>
      <c r="Q2290" s="16" t="str">
        <f aca="false">IF(OR(B2290=-1,I2290=0, P2290&lt;&gt;2), "albhed_dummy", _xlfn.CONCAT("albhed ", RIGHT("  " &amp; K2290,2),", ", RIGHT("  " &amp; L2290,2), ", " ,"""",H2290,""", ", """",N2290,""", ","""",O2290,""""," ; ", A2290))</f>
        <v>albhed 26,  4, "토", "호", "터" ; 헝</v>
      </c>
    </row>
    <row r="2291" customFormat="false" ht="17.9" hidden="false" customHeight="true" outlineLevel="0" collapsed="false">
      <c r="A2291" s="16" t="s">
        <v>3135</v>
      </c>
      <c r="B2291" s="16" t="n">
        <f aca="false">IF(_xlfn.UNICODE(A2291)&lt;44032,-1,_xlfn.UNICODE(A2291)-44032)</f>
        <v>10724</v>
      </c>
      <c r="C2291" s="16" t="n">
        <f aca="false">IF(B2291=-1,-1,INT((B2291/28)/21))</f>
        <v>18</v>
      </c>
      <c r="D2291" s="16" t="n">
        <f aca="false">IF(B2291=-1, -1, MOD(INT(B2291/28),21))</f>
        <v>5</v>
      </c>
      <c r="E2291" s="16" t="n">
        <f aca="false">IF(B2291=-1, -1, VLOOKUP(MOD(B2291,28), $T$24:$U$52,2))</f>
        <v>0</v>
      </c>
      <c r="F2291" s="16" t="n">
        <f aca="false">IF($B2291=-1, -1, VLOOKUP(C2291,$T$1:$V$20, 2))</f>
        <v>16</v>
      </c>
      <c r="G2291" s="16" t="n">
        <f aca="false">IF($B2291=-1, -1, VLOOKUP(D2291,$Y$1:$Z$22,2))</f>
        <v>18</v>
      </c>
      <c r="H2291" s="16" t="str">
        <f aca="false">_xlfn.UNICHAR(((F2291*21)+G2291)*28+44032)</f>
        <v>트</v>
      </c>
      <c r="I2291" s="16" t="n">
        <f aca="false">IF(B2291=-1, 1, COUNTIF($A$2:$A$3000, H2291))</f>
        <v>1</v>
      </c>
      <c r="J2291" s="10" t="str">
        <f aca="false">_xlfn.CONCAT(A2291, ",",H2291,",",I2291)</f>
        <v>헤,트,1</v>
      </c>
      <c r="K2291" s="16" t="n">
        <f aca="false">IF(B2291=-1,-1,VLOOKUP(C2291,$T$1:$V$20,3))</f>
        <v>26</v>
      </c>
      <c r="L2291" s="16" t="n">
        <f aca="false">IF(B2291=-1,-1,VLOOKUP(D2291,$Y$1:$AA$22,3))</f>
        <v>10</v>
      </c>
      <c r="N2291" s="10" t="str">
        <f aca="false">_xlfn.UNICHAR(((C2291*21)+G2291)*28+44032)</f>
        <v>흐</v>
      </c>
      <c r="O2291" s="10" t="str">
        <f aca="false">_xlfn.UNICHAR(((F2291*21)+D2291)*28+44032)</f>
        <v>테</v>
      </c>
      <c r="P2291" s="12" t="n">
        <f aca="false">COUNTIF($A$2:$A$3000, N2291) + COUNTIF($A$2:$A$3000, O2291)</f>
        <v>2</v>
      </c>
      <c r="Q2291" s="16" t="str">
        <f aca="false">IF(OR(B2291=-1,I2291=0, P2291&lt;&gt;2), "albhed_dummy", _xlfn.CONCAT("albhed ", RIGHT("  " &amp; K2291,2),", ", RIGHT("  " &amp; L2291,2), ", " ,"""",H2291,""", ", """",N2291,""", ","""",O2291,""""," ; ", A2291))</f>
        <v>albhed 26, 10, "트", "흐", "테" ; 헤</v>
      </c>
    </row>
    <row r="2292" customFormat="false" ht="17.9" hidden="false" customHeight="true" outlineLevel="0" collapsed="false">
      <c r="A2292" s="16" t="s">
        <v>604</v>
      </c>
      <c r="B2292" s="16" t="n">
        <f aca="false">IF(_xlfn.UNICODE(A2292)&lt;44032,-1,_xlfn.UNICODE(A2292)-44032)</f>
        <v>-1</v>
      </c>
      <c r="C2292" s="16" t="n">
        <f aca="false">IF(B2292=-1,-1,INT((B2292/28)/21))</f>
        <v>-1</v>
      </c>
      <c r="D2292" s="16" t="n">
        <f aca="false">IF(B2292=-1, -1, MOD(INT(B2292/28),21))</f>
        <v>-1</v>
      </c>
      <c r="E2292" s="16" t="n">
        <f aca="false">IF(B2292=-1, -1, VLOOKUP(MOD(B2292,28), $T$24:$U$52,2))</f>
        <v>-1</v>
      </c>
      <c r="F2292" s="16" t="n">
        <f aca="false">IF($B2292=-1, -1, VLOOKUP(C2292,$T$1:$V$20, 2))</f>
        <v>-1</v>
      </c>
      <c r="G2292" s="16" t="n">
        <f aca="false">IF($B2292=-1, -1, VLOOKUP(D2292,$Y$1:$Z$22,2))</f>
        <v>-1</v>
      </c>
      <c r="H2292" s="16" t="str">
        <f aca="false">_xlfn.UNICHAR(((F2292*21)+G2292)*28+44032)</f>
        <v>ꦘ</v>
      </c>
      <c r="I2292" s="16" t="n">
        <f aca="false">IF(B2292=-1, 1, COUNTIF($A$2:$A$3000, H2292))</f>
        <v>1</v>
      </c>
      <c r="J2292" s="10" t="str">
        <f aca="false">_xlfn.CONCAT(A2292, ",",H2292,",",I2292)</f>
        <v>〔,ꦘ,1</v>
      </c>
      <c r="K2292" s="16" t="n">
        <f aca="false">IF(B2292=-1,-1,VLOOKUP(C2292,$T$1:$V$20,3))</f>
        <v>-1</v>
      </c>
      <c r="L2292" s="16" t="n">
        <f aca="false">IF(B2292=-1,-1,VLOOKUP(D2292,$Y$1:$AA$22,3))</f>
        <v>-1</v>
      </c>
      <c r="N2292" s="10" t="str">
        <f aca="false">_xlfn.UNICHAR(((C2292*21)+G2292)*28+44032)</f>
        <v>ꦘ</v>
      </c>
      <c r="O2292" s="10" t="str">
        <f aca="false">_xlfn.UNICHAR(((F2292*21)+D2292)*28+44032)</f>
        <v>ꦘ</v>
      </c>
      <c r="P2292" s="12" t="n">
        <f aca="false">COUNTIF($A$2:$A$3000, N2292) + COUNTIF($A$2:$A$3000, O2292)</f>
        <v>0</v>
      </c>
      <c r="Q2292" s="16" t="str">
        <f aca="false">IF(OR(B2292=-1,I2292=0, P2292&lt;&gt;2), "albhed_dummy", _xlfn.CONCAT("albhed ", RIGHT("  " &amp; K2292,2),", ", RIGHT("  " &amp; L2292,2), ", " ,"""",H2292,""", ", """",N2292,""", ","""",O2292,""""," ; ", A2292))</f>
        <v>albhed_dummy</v>
      </c>
    </row>
    <row r="2293" customFormat="false" ht="17.9" hidden="false" customHeight="true" outlineLevel="0" collapsed="false">
      <c r="A2293" s="16" t="s">
        <v>605</v>
      </c>
      <c r="B2293" s="16" t="n">
        <f aca="false">IF(_xlfn.UNICODE(A2293)&lt;44032,-1,_xlfn.UNICODE(A2293)-44032)</f>
        <v>-1</v>
      </c>
      <c r="C2293" s="16" t="n">
        <f aca="false">IF(B2293=-1,-1,INT((B2293/28)/21))</f>
        <v>-1</v>
      </c>
      <c r="D2293" s="16" t="n">
        <f aca="false">IF(B2293=-1, -1, MOD(INT(B2293/28),21))</f>
        <v>-1</v>
      </c>
      <c r="E2293" s="16" t="n">
        <f aca="false">IF(B2293=-1, -1, VLOOKUP(MOD(B2293,28), $T$24:$U$52,2))</f>
        <v>-1</v>
      </c>
      <c r="F2293" s="16" t="n">
        <f aca="false">IF($B2293=-1, -1, VLOOKUP(C2293,$T$1:$V$20, 2))</f>
        <v>-1</v>
      </c>
      <c r="G2293" s="16" t="n">
        <f aca="false">IF($B2293=-1, -1, VLOOKUP(D2293,$Y$1:$Z$22,2))</f>
        <v>-1</v>
      </c>
      <c r="H2293" s="16" t="str">
        <f aca="false">_xlfn.UNICHAR(((F2293*21)+G2293)*28+44032)</f>
        <v>ꦘ</v>
      </c>
      <c r="I2293" s="16" t="n">
        <f aca="false">IF(B2293=-1, 1, COUNTIF($A$2:$A$3000, H2293))</f>
        <v>1</v>
      </c>
      <c r="J2293" s="10" t="str">
        <f aca="false">_xlfn.CONCAT(A2293, ",",H2293,",",I2293)</f>
        <v>〕,ꦘ,1</v>
      </c>
      <c r="K2293" s="16" t="n">
        <f aca="false">IF(B2293=-1,-1,VLOOKUP(C2293,$T$1:$V$20,3))</f>
        <v>-1</v>
      </c>
      <c r="L2293" s="16" t="n">
        <f aca="false">IF(B2293=-1,-1,VLOOKUP(D2293,$Y$1:$AA$22,3))</f>
        <v>-1</v>
      </c>
      <c r="N2293" s="10" t="str">
        <f aca="false">_xlfn.UNICHAR(((C2293*21)+G2293)*28+44032)</f>
        <v>ꦘ</v>
      </c>
      <c r="O2293" s="10" t="str">
        <f aca="false">_xlfn.UNICHAR(((F2293*21)+D2293)*28+44032)</f>
        <v>ꦘ</v>
      </c>
      <c r="P2293" s="12" t="n">
        <f aca="false">COUNTIF($A$2:$A$3000, N2293) + COUNTIF($A$2:$A$3000, O2293)</f>
        <v>0</v>
      </c>
      <c r="Q2293" s="16" t="str">
        <f aca="false">IF(OR(B2293=-1,I2293=0, P2293&lt;&gt;2), "albhed_dummy", _xlfn.CONCAT("albhed ", RIGHT("  " &amp; K2293,2),", ", RIGHT("  " &amp; L2293,2), ", " ,"""",H2293,""", ", """",N2293,""", ","""",O2293,""""," ; ", A2293))</f>
        <v>albhed_dummy</v>
      </c>
    </row>
    <row r="2294" customFormat="false" ht="17.9" hidden="false" customHeight="true" outlineLevel="0" collapsed="false">
      <c r="A2294" s="16" t="s">
        <v>3136</v>
      </c>
      <c r="B2294" s="16" t="n">
        <f aca="false">IF(_xlfn.UNICODE(A2294)&lt;44032,-1,_xlfn.UNICODE(A2294)-44032)</f>
        <v>10725</v>
      </c>
      <c r="C2294" s="16" t="n">
        <f aca="false">IF(B2294=-1,-1,INT((B2294/28)/21))</f>
        <v>18</v>
      </c>
      <c r="D2294" s="16" t="n">
        <f aca="false">IF(B2294=-1, -1, MOD(INT(B2294/28),21))</f>
        <v>5</v>
      </c>
      <c r="E2294" s="16" t="n">
        <f aca="false">IF(B2294=-1, -1, VLOOKUP(MOD(B2294,28), $T$24:$U$52,2))</f>
        <v>1</v>
      </c>
      <c r="F2294" s="16" t="n">
        <f aca="false">IF($B2294=-1, -1, VLOOKUP(C2294,$T$1:$V$20, 2))</f>
        <v>16</v>
      </c>
      <c r="G2294" s="16" t="n">
        <f aca="false">IF($B2294=-1, -1, VLOOKUP(D2294,$Y$1:$Z$22,2))</f>
        <v>18</v>
      </c>
      <c r="H2294" s="16" t="str">
        <f aca="false">_xlfn.UNICHAR(((F2294*21)+G2294)*28+44032)</f>
        <v>트</v>
      </c>
      <c r="I2294" s="16" t="n">
        <f aca="false">IF(B2294=-1, 1, COUNTIF($A$2:$A$3000, H2294))</f>
        <v>1</v>
      </c>
      <c r="J2294" s="10" t="str">
        <f aca="false">_xlfn.CONCAT(A2294, ",",H2294,",",I2294)</f>
        <v>헥,트,1</v>
      </c>
      <c r="K2294" s="16" t="n">
        <f aca="false">IF(B2294=-1,-1,VLOOKUP(C2294,$T$1:$V$20,3))</f>
        <v>26</v>
      </c>
      <c r="L2294" s="16" t="n">
        <f aca="false">IF(B2294=-1,-1,VLOOKUP(D2294,$Y$1:$AA$22,3))</f>
        <v>10</v>
      </c>
      <c r="N2294" s="10" t="str">
        <f aca="false">_xlfn.UNICHAR(((C2294*21)+G2294)*28+44032)</f>
        <v>흐</v>
      </c>
      <c r="O2294" s="10" t="str">
        <f aca="false">_xlfn.UNICHAR(((F2294*21)+D2294)*28+44032)</f>
        <v>테</v>
      </c>
      <c r="P2294" s="12" t="n">
        <f aca="false">COUNTIF($A$2:$A$3000, N2294) + COUNTIF($A$2:$A$3000, O2294)</f>
        <v>2</v>
      </c>
      <c r="Q2294" s="16" t="str">
        <f aca="false">IF(OR(B2294=-1,I2294=0, P2294&lt;&gt;2), "albhed_dummy", _xlfn.CONCAT("albhed ", RIGHT("  " &amp; K2294,2),", ", RIGHT("  " &amp; L2294,2), ", " ,"""",H2294,""", ", """",N2294,""", ","""",O2294,""""," ; ", A2294))</f>
        <v>albhed 26, 10, "트", "흐", "테" ; 헥</v>
      </c>
    </row>
    <row r="2295" customFormat="false" ht="17.9" hidden="false" customHeight="true" outlineLevel="0" collapsed="false">
      <c r="A2295" s="16" t="s">
        <v>3137</v>
      </c>
      <c r="B2295" s="16" t="n">
        <f aca="false">IF(_xlfn.UNICODE(A2295)&lt;44032,-1,_xlfn.UNICODE(A2295)-44032)</f>
        <v>10728</v>
      </c>
      <c r="C2295" s="16" t="n">
        <f aca="false">IF(B2295=-1,-1,INT((B2295/28)/21))</f>
        <v>18</v>
      </c>
      <c r="D2295" s="16" t="n">
        <f aca="false">IF(B2295=-1, -1, MOD(INT(B2295/28),21))</f>
        <v>5</v>
      </c>
      <c r="E2295" s="16" t="n">
        <f aca="false">IF(B2295=-1, -1, VLOOKUP(MOD(B2295,28), $T$24:$U$52,2))</f>
        <v>4</v>
      </c>
      <c r="F2295" s="16" t="n">
        <f aca="false">IF($B2295=-1, -1, VLOOKUP(C2295,$T$1:$V$20, 2))</f>
        <v>16</v>
      </c>
      <c r="G2295" s="16" t="n">
        <f aca="false">IF($B2295=-1, -1, VLOOKUP(D2295,$Y$1:$Z$22,2))</f>
        <v>18</v>
      </c>
      <c r="H2295" s="16" t="str">
        <f aca="false">_xlfn.UNICHAR(((F2295*21)+G2295)*28+44032)</f>
        <v>트</v>
      </c>
      <c r="I2295" s="16" t="n">
        <f aca="false">IF(B2295=-1, 1, COUNTIF($A$2:$A$3000, H2295))</f>
        <v>1</v>
      </c>
      <c r="J2295" s="10" t="str">
        <f aca="false">_xlfn.CONCAT(A2295, ",",H2295,",",I2295)</f>
        <v>헨,트,1</v>
      </c>
      <c r="K2295" s="16" t="n">
        <f aca="false">IF(B2295=-1,-1,VLOOKUP(C2295,$T$1:$V$20,3))</f>
        <v>26</v>
      </c>
      <c r="L2295" s="16" t="n">
        <f aca="false">IF(B2295=-1,-1,VLOOKUP(D2295,$Y$1:$AA$22,3))</f>
        <v>10</v>
      </c>
      <c r="N2295" s="10" t="str">
        <f aca="false">_xlfn.UNICHAR(((C2295*21)+G2295)*28+44032)</f>
        <v>흐</v>
      </c>
      <c r="O2295" s="10" t="str">
        <f aca="false">_xlfn.UNICHAR(((F2295*21)+D2295)*28+44032)</f>
        <v>테</v>
      </c>
      <c r="P2295" s="12" t="n">
        <f aca="false">COUNTIF($A$2:$A$3000, N2295) + COUNTIF($A$2:$A$3000, O2295)</f>
        <v>2</v>
      </c>
      <c r="Q2295" s="16" t="str">
        <f aca="false">IF(OR(B2295=-1,I2295=0, P2295&lt;&gt;2), "albhed_dummy", _xlfn.CONCAT("albhed ", RIGHT("  " &amp; K2295,2),", ", RIGHT("  " &amp; L2295,2), ", " ,"""",H2295,""", ", """",N2295,""", ","""",O2295,""""," ; ", A2295))</f>
        <v>albhed 26, 10, "트", "흐", "테" ; 헨</v>
      </c>
    </row>
    <row r="2296" customFormat="false" ht="17.9" hidden="false" customHeight="true" outlineLevel="0" collapsed="false">
      <c r="A2296" s="16" t="s">
        <v>3138</v>
      </c>
      <c r="B2296" s="16" t="n">
        <f aca="false">IF(_xlfn.UNICODE(A2296)&lt;44032,-1,_xlfn.UNICODE(A2296)-44032)</f>
        <v>10732</v>
      </c>
      <c r="C2296" s="16" t="n">
        <f aca="false">IF(B2296=-1,-1,INT((B2296/28)/21))</f>
        <v>18</v>
      </c>
      <c r="D2296" s="16" t="n">
        <f aca="false">IF(B2296=-1, -1, MOD(INT(B2296/28),21))</f>
        <v>5</v>
      </c>
      <c r="E2296" s="16" t="n">
        <f aca="false">IF(B2296=-1, -1, VLOOKUP(MOD(B2296,28), $T$24:$U$52,2))</f>
        <v>8</v>
      </c>
      <c r="F2296" s="16" t="n">
        <f aca="false">IF($B2296=-1, -1, VLOOKUP(C2296,$T$1:$V$20, 2))</f>
        <v>16</v>
      </c>
      <c r="G2296" s="16" t="n">
        <f aca="false">IF($B2296=-1, -1, VLOOKUP(D2296,$Y$1:$Z$22,2))</f>
        <v>18</v>
      </c>
      <c r="H2296" s="16" t="str">
        <f aca="false">_xlfn.UNICHAR(((F2296*21)+G2296)*28+44032)</f>
        <v>트</v>
      </c>
      <c r="I2296" s="16" t="n">
        <f aca="false">IF(B2296=-1, 1, COUNTIF($A$2:$A$3000, H2296))</f>
        <v>1</v>
      </c>
      <c r="J2296" s="10" t="str">
        <f aca="false">_xlfn.CONCAT(A2296, ",",H2296,",",I2296)</f>
        <v>헬,트,1</v>
      </c>
      <c r="K2296" s="16" t="n">
        <f aca="false">IF(B2296=-1,-1,VLOOKUP(C2296,$T$1:$V$20,3))</f>
        <v>26</v>
      </c>
      <c r="L2296" s="16" t="n">
        <f aca="false">IF(B2296=-1,-1,VLOOKUP(D2296,$Y$1:$AA$22,3))</f>
        <v>10</v>
      </c>
      <c r="N2296" s="10" t="str">
        <f aca="false">_xlfn.UNICHAR(((C2296*21)+G2296)*28+44032)</f>
        <v>흐</v>
      </c>
      <c r="O2296" s="10" t="str">
        <f aca="false">_xlfn.UNICHAR(((F2296*21)+D2296)*28+44032)</f>
        <v>테</v>
      </c>
      <c r="P2296" s="12" t="n">
        <f aca="false">COUNTIF($A$2:$A$3000, N2296) + COUNTIF($A$2:$A$3000, O2296)</f>
        <v>2</v>
      </c>
      <c r="Q2296" s="16" t="str">
        <f aca="false">IF(OR(B2296=-1,I2296=0, P2296&lt;&gt;2), "albhed_dummy", _xlfn.CONCAT("albhed ", RIGHT("  " &amp; K2296,2),", ", RIGHT("  " &amp; L2296,2), ", " ,"""",H2296,""", ", """",N2296,""", ","""",O2296,""""," ; ", A2296))</f>
        <v>albhed 26, 10, "트", "흐", "테" ; 헬</v>
      </c>
    </row>
    <row r="2297" customFormat="false" ht="17.9" hidden="false" customHeight="true" outlineLevel="0" collapsed="false">
      <c r="A2297" s="16" t="s">
        <v>3139</v>
      </c>
      <c r="B2297" s="16" t="n">
        <f aca="false">IF(_xlfn.UNICODE(A2297)&lt;44032,-1,_xlfn.UNICODE(A2297)-44032)</f>
        <v>10740</v>
      </c>
      <c r="C2297" s="16" t="n">
        <f aca="false">IF(B2297=-1,-1,INT((B2297/28)/21))</f>
        <v>18</v>
      </c>
      <c r="D2297" s="16" t="n">
        <f aca="false">IF(B2297=-1, -1, MOD(INT(B2297/28),21))</f>
        <v>5</v>
      </c>
      <c r="E2297" s="16" t="n">
        <f aca="false">IF(B2297=-1, -1, VLOOKUP(MOD(B2297,28), $T$24:$U$52,2))</f>
        <v>16</v>
      </c>
      <c r="F2297" s="16" t="n">
        <f aca="false">IF($B2297=-1, -1, VLOOKUP(C2297,$T$1:$V$20, 2))</f>
        <v>16</v>
      </c>
      <c r="G2297" s="16" t="n">
        <f aca="false">IF($B2297=-1, -1, VLOOKUP(D2297,$Y$1:$Z$22,2))</f>
        <v>18</v>
      </c>
      <c r="H2297" s="16" t="str">
        <f aca="false">_xlfn.UNICHAR(((F2297*21)+G2297)*28+44032)</f>
        <v>트</v>
      </c>
      <c r="I2297" s="16" t="n">
        <f aca="false">IF(B2297=-1, 1, COUNTIF($A$2:$A$3000, H2297))</f>
        <v>1</v>
      </c>
      <c r="J2297" s="10" t="str">
        <f aca="false">_xlfn.CONCAT(A2297, ",",H2297,",",I2297)</f>
        <v>헴,트,1</v>
      </c>
      <c r="K2297" s="16" t="n">
        <f aca="false">IF(B2297=-1,-1,VLOOKUP(C2297,$T$1:$V$20,3))</f>
        <v>26</v>
      </c>
      <c r="L2297" s="16" t="n">
        <f aca="false">IF(B2297=-1,-1,VLOOKUP(D2297,$Y$1:$AA$22,3))</f>
        <v>10</v>
      </c>
      <c r="N2297" s="10" t="str">
        <f aca="false">_xlfn.UNICHAR(((C2297*21)+G2297)*28+44032)</f>
        <v>흐</v>
      </c>
      <c r="O2297" s="10" t="str">
        <f aca="false">_xlfn.UNICHAR(((F2297*21)+D2297)*28+44032)</f>
        <v>테</v>
      </c>
      <c r="P2297" s="12" t="n">
        <f aca="false">COUNTIF($A$2:$A$3000, N2297) + COUNTIF($A$2:$A$3000, O2297)</f>
        <v>2</v>
      </c>
      <c r="Q2297" s="16" t="str">
        <f aca="false">IF(OR(B2297=-1,I2297=0, P2297&lt;&gt;2), "albhed_dummy", _xlfn.CONCAT("albhed ", RIGHT("  " &amp; K2297,2),", ", RIGHT("  " &amp; L2297,2), ", " ,"""",H2297,""", ", """",N2297,""", ","""",O2297,""""," ; ", A2297))</f>
        <v>albhed 26, 10, "트", "흐", "테" ; 헴</v>
      </c>
    </row>
    <row r="2298" customFormat="false" ht="17.9" hidden="false" customHeight="true" outlineLevel="0" collapsed="false">
      <c r="A2298" s="16" t="s">
        <v>3140</v>
      </c>
      <c r="B2298" s="16" t="n">
        <f aca="false">IF(_xlfn.UNICODE(A2298)&lt;44032,-1,_xlfn.UNICODE(A2298)-44032)</f>
        <v>10741</v>
      </c>
      <c r="C2298" s="16" t="n">
        <f aca="false">IF(B2298=-1,-1,INT((B2298/28)/21))</f>
        <v>18</v>
      </c>
      <c r="D2298" s="16" t="n">
        <f aca="false">IF(B2298=-1, -1, MOD(INT(B2298/28),21))</f>
        <v>5</v>
      </c>
      <c r="E2298" s="16" t="n">
        <f aca="false">IF(B2298=-1, -1, VLOOKUP(MOD(B2298,28), $T$24:$U$52,2))</f>
        <v>17</v>
      </c>
      <c r="F2298" s="16" t="n">
        <f aca="false">IF($B2298=-1, -1, VLOOKUP(C2298,$T$1:$V$20, 2))</f>
        <v>16</v>
      </c>
      <c r="G2298" s="16" t="n">
        <f aca="false">IF($B2298=-1, -1, VLOOKUP(D2298,$Y$1:$Z$22,2))</f>
        <v>18</v>
      </c>
      <c r="H2298" s="16" t="str">
        <f aca="false">_xlfn.UNICHAR(((F2298*21)+G2298)*28+44032)</f>
        <v>트</v>
      </c>
      <c r="I2298" s="16" t="n">
        <f aca="false">IF(B2298=-1, 1, COUNTIF($A$2:$A$3000, H2298))</f>
        <v>1</v>
      </c>
      <c r="J2298" s="10" t="str">
        <f aca="false">_xlfn.CONCAT(A2298, ",",H2298,",",I2298)</f>
        <v>헵,트,1</v>
      </c>
      <c r="K2298" s="16" t="n">
        <f aca="false">IF(B2298=-1,-1,VLOOKUP(C2298,$T$1:$V$20,3))</f>
        <v>26</v>
      </c>
      <c r="L2298" s="16" t="n">
        <f aca="false">IF(B2298=-1,-1,VLOOKUP(D2298,$Y$1:$AA$22,3))</f>
        <v>10</v>
      </c>
      <c r="N2298" s="10" t="str">
        <f aca="false">_xlfn.UNICHAR(((C2298*21)+G2298)*28+44032)</f>
        <v>흐</v>
      </c>
      <c r="O2298" s="10" t="str">
        <f aca="false">_xlfn.UNICHAR(((F2298*21)+D2298)*28+44032)</f>
        <v>테</v>
      </c>
      <c r="P2298" s="12" t="n">
        <f aca="false">COUNTIF($A$2:$A$3000, N2298) + COUNTIF($A$2:$A$3000, O2298)</f>
        <v>2</v>
      </c>
      <c r="Q2298" s="16" t="str">
        <f aca="false">IF(OR(B2298=-1,I2298=0, P2298&lt;&gt;2), "albhed_dummy", _xlfn.CONCAT("albhed ", RIGHT("  " &amp; K2298,2),", ", RIGHT("  " &amp; L2298,2), ", " ,"""",H2298,""", ", """",N2298,""", ","""",O2298,""""," ; ", A2298))</f>
        <v>albhed 26, 10, "트", "흐", "테" ; 헵</v>
      </c>
    </row>
    <row r="2299" customFormat="false" ht="17.9" hidden="false" customHeight="true" outlineLevel="0" collapsed="false">
      <c r="A2299" s="16" t="s">
        <v>3141</v>
      </c>
      <c r="B2299" s="16" t="n">
        <f aca="false">IF(_xlfn.UNICODE(A2299)&lt;44032,-1,_xlfn.UNICODE(A2299)-44032)</f>
        <v>10743</v>
      </c>
      <c r="C2299" s="16" t="n">
        <f aca="false">IF(B2299=-1,-1,INT((B2299/28)/21))</f>
        <v>18</v>
      </c>
      <c r="D2299" s="16" t="n">
        <f aca="false">IF(B2299=-1, -1, MOD(INT(B2299/28),21))</f>
        <v>5</v>
      </c>
      <c r="E2299" s="16" t="n">
        <f aca="false">IF(B2299=-1, -1, VLOOKUP(MOD(B2299,28), $T$24:$U$52,2))</f>
        <v>19</v>
      </c>
      <c r="F2299" s="16" t="n">
        <f aca="false">IF($B2299=-1, -1, VLOOKUP(C2299,$T$1:$V$20, 2))</f>
        <v>16</v>
      </c>
      <c r="G2299" s="16" t="n">
        <f aca="false">IF($B2299=-1, -1, VLOOKUP(D2299,$Y$1:$Z$22,2))</f>
        <v>18</v>
      </c>
      <c r="H2299" s="16" t="str">
        <f aca="false">_xlfn.UNICHAR(((F2299*21)+G2299)*28+44032)</f>
        <v>트</v>
      </c>
      <c r="I2299" s="16" t="n">
        <f aca="false">IF(B2299=-1, 1, COUNTIF($A$2:$A$3000, H2299))</f>
        <v>1</v>
      </c>
      <c r="J2299" s="10" t="str">
        <f aca="false">_xlfn.CONCAT(A2299, ",",H2299,",",I2299)</f>
        <v>헷,트,1</v>
      </c>
      <c r="K2299" s="16" t="n">
        <f aca="false">IF(B2299=-1,-1,VLOOKUP(C2299,$T$1:$V$20,3))</f>
        <v>26</v>
      </c>
      <c r="L2299" s="16" t="n">
        <f aca="false">IF(B2299=-1,-1,VLOOKUP(D2299,$Y$1:$AA$22,3))</f>
        <v>10</v>
      </c>
      <c r="N2299" s="10" t="str">
        <f aca="false">_xlfn.UNICHAR(((C2299*21)+G2299)*28+44032)</f>
        <v>흐</v>
      </c>
      <c r="O2299" s="10" t="str">
        <f aca="false">_xlfn.UNICHAR(((F2299*21)+D2299)*28+44032)</f>
        <v>테</v>
      </c>
      <c r="P2299" s="12" t="n">
        <f aca="false">COUNTIF($A$2:$A$3000, N2299) + COUNTIF($A$2:$A$3000, O2299)</f>
        <v>2</v>
      </c>
      <c r="Q2299" s="16" t="str">
        <f aca="false">IF(OR(B2299=-1,I2299=0, P2299&lt;&gt;2), "albhed_dummy", _xlfn.CONCAT("albhed ", RIGHT("  " &amp; K2299,2),", ", RIGHT("  " &amp; L2299,2), ", " ,"""",H2299,""", ", """",N2299,""", ","""",O2299,""""," ; ", A2299))</f>
        <v>albhed 26, 10, "트", "흐", "테" ; 헷</v>
      </c>
    </row>
    <row r="2300" customFormat="false" ht="17.9" hidden="false" customHeight="true" outlineLevel="0" collapsed="false">
      <c r="A2300" s="16" t="s">
        <v>3142</v>
      </c>
      <c r="B2300" s="16" t="n">
        <f aca="false">IF(_xlfn.UNICODE(A2300)&lt;44032,-1,_xlfn.UNICODE(A2300)-44032)</f>
        <v>10745</v>
      </c>
      <c r="C2300" s="16" t="n">
        <f aca="false">IF(B2300=-1,-1,INT((B2300/28)/21))</f>
        <v>18</v>
      </c>
      <c r="D2300" s="16" t="n">
        <f aca="false">IF(B2300=-1, -1, MOD(INT(B2300/28),21))</f>
        <v>5</v>
      </c>
      <c r="E2300" s="16" t="n">
        <f aca="false">IF(B2300=-1, -1, VLOOKUP(MOD(B2300,28), $T$24:$U$52,2))</f>
        <v>21</v>
      </c>
      <c r="F2300" s="16" t="n">
        <f aca="false">IF($B2300=-1, -1, VLOOKUP(C2300,$T$1:$V$20, 2))</f>
        <v>16</v>
      </c>
      <c r="G2300" s="16" t="n">
        <f aca="false">IF($B2300=-1, -1, VLOOKUP(D2300,$Y$1:$Z$22,2))</f>
        <v>18</v>
      </c>
      <c r="H2300" s="16" t="str">
        <f aca="false">_xlfn.UNICHAR(((F2300*21)+G2300)*28+44032)</f>
        <v>트</v>
      </c>
      <c r="I2300" s="16" t="n">
        <f aca="false">IF(B2300=-1, 1, COUNTIF($A$2:$A$3000, H2300))</f>
        <v>1</v>
      </c>
      <c r="J2300" s="10" t="str">
        <f aca="false">_xlfn.CONCAT(A2300, ",",H2300,",",I2300)</f>
        <v>헹,트,1</v>
      </c>
      <c r="K2300" s="16" t="n">
        <f aca="false">IF(B2300=-1,-1,VLOOKUP(C2300,$T$1:$V$20,3))</f>
        <v>26</v>
      </c>
      <c r="L2300" s="16" t="n">
        <f aca="false">IF(B2300=-1,-1,VLOOKUP(D2300,$Y$1:$AA$22,3))</f>
        <v>10</v>
      </c>
      <c r="N2300" s="10" t="str">
        <f aca="false">_xlfn.UNICHAR(((C2300*21)+G2300)*28+44032)</f>
        <v>흐</v>
      </c>
      <c r="O2300" s="10" t="str">
        <f aca="false">_xlfn.UNICHAR(((F2300*21)+D2300)*28+44032)</f>
        <v>테</v>
      </c>
      <c r="P2300" s="12" t="n">
        <f aca="false">COUNTIF($A$2:$A$3000, N2300) + COUNTIF($A$2:$A$3000, O2300)</f>
        <v>2</v>
      </c>
      <c r="Q2300" s="16" t="str">
        <f aca="false">IF(OR(B2300=-1,I2300=0, P2300&lt;&gt;2), "albhed_dummy", _xlfn.CONCAT("albhed ", RIGHT("  " &amp; K2300,2),", ", RIGHT("  " &amp; L2300,2), ", " ,"""",H2300,""", ", """",N2300,""", ","""",O2300,""""," ; ", A2300))</f>
        <v>albhed 26, 10, "트", "흐", "테" ; 헹</v>
      </c>
    </row>
    <row r="2301" customFormat="false" ht="17.9" hidden="false" customHeight="true" outlineLevel="0" collapsed="false">
      <c r="A2301" s="16" t="s">
        <v>3143</v>
      </c>
      <c r="B2301" s="16" t="n">
        <f aca="false">IF(_xlfn.UNICODE(A2301)&lt;44032,-1,_xlfn.UNICODE(A2301)-44032)</f>
        <v>10752</v>
      </c>
      <c r="C2301" s="16" t="n">
        <f aca="false">IF(B2301=-1,-1,INT((B2301/28)/21))</f>
        <v>18</v>
      </c>
      <c r="D2301" s="16" t="n">
        <f aca="false">IF(B2301=-1, -1, MOD(INT(B2301/28),21))</f>
        <v>6</v>
      </c>
      <c r="E2301" s="16" t="n">
        <f aca="false">IF(B2301=-1, -1, VLOOKUP(MOD(B2301,28), $T$24:$U$52,2))</f>
        <v>0</v>
      </c>
      <c r="F2301" s="16" t="n">
        <f aca="false">IF($B2301=-1, -1, VLOOKUP(C2301,$T$1:$V$20, 2))</f>
        <v>16</v>
      </c>
      <c r="G2301" s="16" t="n">
        <f aca="false">IF($B2301=-1, -1, VLOOKUP(D2301,$Y$1:$Z$22,2))</f>
        <v>12</v>
      </c>
      <c r="H2301" s="16" t="str">
        <f aca="false">_xlfn.UNICHAR(((F2301*21)+G2301)*28+44032)</f>
        <v>툐</v>
      </c>
      <c r="I2301" s="16" t="n">
        <f aca="false">IF(B2301=-1, 1, COUNTIF($A$2:$A$3000, H2301))</f>
        <v>1</v>
      </c>
      <c r="J2301" s="10" t="str">
        <f aca="false">_xlfn.CONCAT(A2301, ",",H2301,",",I2301)</f>
        <v>혀,툐,1</v>
      </c>
      <c r="K2301" s="16" t="n">
        <f aca="false">IF(B2301=-1,-1,VLOOKUP(C2301,$T$1:$V$20,3))</f>
        <v>26</v>
      </c>
      <c r="L2301" s="16" t="n">
        <f aca="false">IF(B2301=-1,-1,VLOOKUP(D2301,$Y$1:$AA$22,3))</f>
        <v>4</v>
      </c>
      <c r="N2301" s="10" t="str">
        <f aca="false">_xlfn.UNICHAR(((C2301*21)+G2301)*28+44032)</f>
        <v>효</v>
      </c>
      <c r="O2301" s="10" t="str">
        <f aca="false">_xlfn.UNICHAR(((F2301*21)+D2301)*28+44032)</f>
        <v>텨</v>
      </c>
      <c r="P2301" s="12" t="n">
        <f aca="false">COUNTIF($A$2:$A$3000, N2301) + COUNTIF($A$2:$A$3000, O2301)</f>
        <v>2</v>
      </c>
      <c r="Q2301" s="16" t="str">
        <f aca="false">IF(OR(B2301=-1,I2301=0, P2301&lt;&gt;2), "albhed_dummy", _xlfn.CONCAT("albhed ", RIGHT("  " &amp; K2301,2),", ", RIGHT("  " &amp; L2301,2), ", " ,"""",H2301,""", ", """",N2301,""", ","""",O2301,""""," ; ", A2301))</f>
        <v>albhed 26,  4, "툐", "효", "텨" ; 혀</v>
      </c>
    </row>
    <row r="2302" customFormat="false" ht="17.9" hidden="false" customHeight="true" outlineLevel="0" collapsed="false">
      <c r="A2302" s="16" t="s">
        <v>3144</v>
      </c>
      <c r="B2302" s="16" t="n">
        <f aca="false">IF(_xlfn.UNICODE(A2302)&lt;44032,-1,_xlfn.UNICODE(A2302)-44032)</f>
        <v>10753</v>
      </c>
      <c r="C2302" s="16" t="n">
        <f aca="false">IF(B2302=-1,-1,INT((B2302/28)/21))</f>
        <v>18</v>
      </c>
      <c r="D2302" s="16" t="n">
        <f aca="false">IF(B2302=-1, -1, MOD(INT(B2302/28),21))</f>
        <v>6</v>
      </c>
      <c r="E2302" s="16" t="n">
        <f aca="false">IF(B2302=-1, -1, VLOOKUP(MOD(B2302,28), $T$24:$U$52,2))</f>
        <v>1</v>
      </c>
      <c r="F2302" s="16" t="n">
        <f aca="false">IF($B2302=-1, -1, VLOOKUP(C2302,$T$1:$V$20, 2))</f>
        <v>16</v>
      </c>
      <c r="G2302" s="16" t="n">
        <f aca="false">IF($B2302=-1, -1, VLOOKUP(D2302,$Y$1:$Z$22,2))</f>
        <v>12</v>
      </c>
      <c r="H2302" s="16" t="str">
        <f aca="false">_xlfn.UNICHAR(((F2302*21)+G2302)*28+44032)</f>
        <v>툐</v>
      </c>
      <c r="I2302" s="16" t="n">
        <f aca="false">IF(B2302=-1, 1, COUNTIF($A$2:$A$3000, H2302))</f>
        <v>1</v>
      </c>
      <c r="J2302" s="10" t="str">
        <f aca="false">_xlfn.CONCAT(A2302, ",",H2302,",",I2302)</f>
        <v>혁,툐,1</v>
      </c>
      <c r="K2302" s="16" t="n">
        <f aca="false">IF(B2302=-1,-1,VLOOKUP(C2302,$T$1:$V$20,3))</f>
        <v>26</v>
      </c>
      <c r="L2302" s="16" t="n">
        <f aca="false">IF(B2302=-1,-1,VLOOKUP(D2302,$Y$1:$AA$22,3))</f>
        <v>4</v>
      </c>
      <c r="N2302" s="10" t="str">
        <f aca="false">_xlfn.UNICHAR(((C2302*21)+G2302)*28+44032)</f>
        <v>효</v>
      </c>
      <c r="O2302" s="10" t="str">
        <f aca="false">_xlfn.UNICHAR(((F2302*21)+D2302)*28+44032)</f>
        <v>텨</v>
      </c>
      <c r="P2302" s="12" t="n">
        <f aca="false">COUNTIF($A$2:$A$3000, N2302) + COUNTIF($A$2:$A$3000, O2302)</f>
        <v>2</v>
      </c>
      <c r="Q2302" s="16" t="str">
        <f aca="false">IF(OR(B2302=-1,I2302=0, P2302&lt;&gt;2), "albhed_dummy", _xlfn.CONCAT("albhed ", RIGHT("  " &amp; K2302,2),", ", RIGHT("  " &amp; L2302,2), ", " ,"""",H2302,""", ", """",N2302,""", ","""",O2302,""""," ; ", A2302))</f>
        <v>albhed 26,  4, "툐", "효", "텨" ; 혁</v>
      </c>
    </row>
    <row r="2303" customFormat="false" ht="17.9" hidden="false" customHeight="true" outlineLevel="0" collapsed="false">
      <c r="A2303" s="16" t="s">
        <v>3145</v>
      </c>
      <c r="B2303" s="16" t="n">
        <f aca="false">IF(_xlfn.UNICODE(A2303)&lt;44032,-1,_xlfn.UNICODE(A2303)-44032)</f>
        <v>10756</v>
      </c>
      <c r="C2303" s="16" t="n">
        <f aca="false">IF(B2303=-1,-1,INT((B2303/28)/21))</f>
        <v>18</v>
      </c>
      <c r="D2303" s="16" t="n">
        <f aca="false">IF(B2303=-1, -1, MOD(INT(B2303/28),21))</f>
        <v>6</v>
      </c>
      <c r="E2303" s="16" t="n">
        <f aca="false">IF(B2303=-1, -1, VLOOKUP(MOD(B2303,28), $T$24:$U$52,2))</f>
        <v>4</v>
      </c>
      <c r="F2303" s="16" t="n">
        <f aca="false">IF($B2303=-1, -1, VLOOKUP(C2303,$T$1:$V$20, 2))</f>
        <v>16</v>
      </c>
      <c r="G2303" s="16" t="n">
        <f aca="false">IF($B2303=-1, -1, VLOOKUP(D2303,$Y$1:$Z$22,2))</f>
        <v>12</v>
      </c>
      <c r="H2303" s="16" t="str">
        <f aca="false">_xlfn.UNICHAR(((F2303*21)+G2303)*28+44032)</f>
        <v>툐</v>
      </c>
      <c r="I2303" s="16" t="n">
        <f aca="false">IF(B2303=-1, 1, COUNTIF($A$2:$A$3000, H2303))</f>
        <v>1</v>
      </c>
      <c r="J2303" s="10" t="str">
        <f aca="false">_xlfn.CONCAT(A2303, ",",H2303,",",I2303)</f>
        <v>현,툐,1</v>
      </c>
      <c r="K2303" s="16" t="n">
        <f aca="false">IF(B2303=-1,-1,VLOOKUP(C2303,$T$1:$V$20,3))</f>
        <v>26</v>
      </c>
      <c r="L2303" s="16" t="n">
        <f aca="false">IF(B2303=-1,-1,VLOOKUP(D2303,$Y$1:$AA$22,3))</f>
        <v>4</v>
      </c>
      <c r="N2303" s="10" t="str">
        <f aca="false">_xlfn.UNICHAR(((C2303*21)+G2303)*28+44032)</f>
        <v>효</v>
      </c>
      <c r="O2303" s="10" t="str">
        <f aca="false">_xlfn.UNICHAR(((F2303*21)+D2303)*28+44032)</f>
        <v>텨</v>
      </c>
      <c r="P2303" s="12" t="n">
        <f aca="false">COUNTIF($A$2:$A$3000, N2303) + COUNTIF($A$2:$A$3000, O2303)</f>
        <v>2</v>
      </c>
      <c r="Q2303" s="16" t="str">
        <f aca="false">IF(OR(B2303=-1,I2303=0, P2303&lt;&gt;2), "albhed_dummy", _xlfn.CONCAT("albhed ", RIGHT("  " &amp; K2303,2),", ", RIGHT("  " &amp; L2303,2), ", " ,"""",H2303,""", ", """",N2303,""", ","""",O2303,""""," ; ", A2303))</f>
        <v>albhed 26,  4, "툐", "효", "텨" ; 현</v>
      </c>
    </row>
    <row r="2304" customFormat="false" ht="17.9" hidden="false" customHeight="true" outlineLevel="0" collapsed="false">
      <c r="A2304" s="16" t="s">
        <v>3146</v>
      </c>
      <c r="B2304" s="16" t="n">
        <f aca="false">IF(_xlfn.UNICODE(A2304)&lt;44032,-1,_xlfn.UNICODE(A2304)-44032)</f>
        <v>10760</v>
      </c>
      <c r="C2304" s="16" t="n">
        <f aca="false">IF(B2304=-1,-1,INT((B2304/28)/21))</f>
        <v>18</v>
      </c>
      <c r="D2304" s="16" t="n">
        <f aca="false">IF(B2304=-1, -1, MOD(INT(B2304/28),21))</f>
        <v>6</v>
      </c>
      <c r="E2304" s="16" t="n">
        <f aca="false">IF(B2304=-1, -1, VLOOKUP(MOD(B2304,28), $T$24:$U$52,2))</f>
        <v>8</v>
      </c>
      <c r="F2304" s="16" t="n">
        <f aca="false">IF($B2304=-1, -1, VLOOKUP(C2304,$T$1:$V$20, 2))</f>
        <v>16</v>
      </c>
      <c r="G2304" s="16" t="n">
        <f aca="false">IF($B2304=-1, -1, VLOOKUP(D2304,$Y$1:$Z$22,2))</f>
        <v>12</v>
      </c>
      <c r="H2304" s="16" t="str">
        <f aca="false">_xlfn.UNICHAR(((F2304*21)+G2304)*28+44032)</f>
        <v>툐</v>
      </c>
      <c r="I2304" s="16" t="n">
        <f aca="false">IF(B2304=-1, 1, COUNTIF($A$2:$A$3000, H2304))</f>
        <v>1</v>
      </c>
      <c r="J2304" s="10" t="str">
        <f aca="false">_xlfn.CONCAT(A2304, ",",H2304,",",I2304)</f>
        <v>혈,툐,1</v>
      </c>
      <c r="K2304" s="16" t="n">
        <f aca="false">IF(B2304=-1,-1,VLOOKUP(C2304,$T$1:$V$20,3))</f>
        <v>26</v>
      </c>
      <c r="L2304" s="16" t="n">
        <f aca="false">IF(B2304=-1,-1,VLOOKUP(D2304,$Y$1:$AA$22,3))</f>
        <v>4</v>
      </c>
      <c r="N2304" s="10" t="str">
        <f aca="false">_xlfn.UNICHAR(((C2304*21)+G2304)*28+44032)</f>
        <v>효</v>
      </c>
      <c r="O2304" s="10" t="str">
        <f aca="false">_xlfn.UNICHAR(((F2304*21)+D2304)*28+44032)</f>
        <v>텨</v>
      </c>
      <c r="P2304" s="12" t="n">
        <f aca="false">COUNTIF($A$2:$A$3000, N2304) + COUNTIF($A$2:$A$3000, O2304)</f>
        <v>2</v>
      </c>
      <c r="Q2304" s="16" t="str">
        <f aca="false">IF(OR(B2304=-1,I2304=0, P2304&lt;&gt;2), "albhed_dummy", _xlfn.CONCAT("albhed ", RIGHT("  " &amp; K2304,2),", ", RIGHT("  " &amp; L2304,2), ", " ,"""",H2304,""", ", """",N2304,""", ","""",O2304,""""," ; ", A2304))</f>
        <v>albhed 26,  4, "툐", "효", "텨" ; 혈</v>
      </c>
    </row>
    <row r="2305" customFormat="false" ht="17.9" hidden="false" customHeight="true" outlineLevel="0" collapsed="false">
      <c r="A2305" s="16" t="s">
        <v>3147</v>
      </c>
      <c r="B2305" s="16" t="n">
        <f aca="false">IF(_xlfn.UNICODE(A2305)&lt;44032,-1,_xlfn.UNICODE(A2305)-44032)</f>
        <v>10768</v>
      </c>
      <c r="C2305" s="16" t="n">
        <f aca="false">IF(B2305=-1,-1,INT((B2305/28)/21))</f>
        <v>18</v>
      </c>
      <c r="D2305" s="16" t="n">
        <f aca="false">IF(B2305=-1, -1, MOD(INT(B2305/28),21))</f>
        <v>6</v>
      </c>
      <c r="E2305" s="16" t="n">
        <f aca="false">IF(B2305=-1, -1, VLOOKUP(MOD(B2305,28), $T$24:$U$52,2))</f>
        <v>16</v>
      </c>
      <c r="F2305" s="16" t="n">
        <f aca="false">IF($B2305=-1, -1, VLOOKUP(C2305,$T$1:$V$20, 2))</f>
        <v>16</v>
      </c>
      <c r="G2305" s="16" t="n">
        <f aca="false">IF($B2305=-1, -1, VLOOKUP(D2305,$Y$1:$Z$22,2))</f>
        <v>12</v>
      </c>
      <c r="H2305" s="16" t="str">
        <f aca="false">_xlfn.UNICHAR(((F2305*21)+G2305)*28+44032)</f>
        <v>툐</v>
      </c>
      <c r="I2305" s="16" t="n">
        <f aca="false">IF(B2305=-1, 1, COUNTIF($A$2:$A$3000, H2305))</f>
        <v>1</v>
      </c>
      <c r="J2305" s="10" t="str">
        <f aca="false">_xlfn.CONCAT(A2305, ",",H2305,",",I2305)</f>
        <v>혐,툐,1</v>
      </c>
      <c r="K2305" s="16" t="n">
        <f aca="false">IF(B2305=-1,-1,VLOOKUP(C2305,$T$1:$V$20,3))</f>
        <v>26</v>
      </c>
      <c r="L2305" s="16" t="n">
        <f aca="false">IF(B2305=-1,-1,VLOOKUP(D2305,$Y$1:$AA$22,3))</f>
        <v>4</v>
      </c>
      <c r="N2305" s="10" t="str">
        <f aca="false">_xlfn.UNICHAR(((C2305*21)+G2305)*28+44032)</f>
        <v>효</v>
      </c>
      <c r="O2305" s="10" t="str">
        <f aca="false">_xlfn.UNICHAR(((F2305*21)+D2305)*28+44032)</f>
        <v>텨</v>
      </c>
      <c r="P2305" s="12" t="n">
        <f aca="false">COUNTIF($A$2:$A$3000, N2305) + COUNTIF($A$2:$A$3000, O2305)</f>
        <v>2</v>
      </c>
      <c r="Q2305" s="16" t="str">
        <f aca="false">IF(OR(B2305=-1,I2305=0, P2305&lt;&gt;2), "albhed_dummy", _xlfn.CONCAT("albhed ", RIGHT("  " &amp; K2305,2),", ", RIGHT("  " &amp; L2305,2), ", " ,"""",H2305,""", ", """",N2305,""", ","""",O2305,""""," ; ", A2305))</f>
        <v>albhed 26,  4, "툐", "효", "텨" ; 혐</v>
      </c>
    </row>
    <row r="2306" customFormat="false" ht="17.9" hidden="false" customHeight="true" outlineLevel="0" collapsed="false">
      <c r="A2306" s="16" t="s">
        <v>3148</v>
      </c>
      <c r="B2306" s="16" t="n">
        <f aca="false">IF(_xlfn.UNICODE(A2306)&lt;44032,-1,_xlfn.UNICODE(A2306)-44032)</f>
        <v>10769</v>
      </c>
      <c r="C2306" s="16" t="n">
        <f aca="false">IF(B2306=-1,-1,INT((B2306/28)/21))</f>
        <v>18</v>
      </c>
      <c r="D2306" s="16" t="n">
        <f aca="false">IF(B2306=-1, -1, MOD(INT(B2306/28),21))</f>
        <v>6</v>
      </c>
      <c r="E2306" s="16" t="n">
        <f aca="false">IF(B2306=-1, -1, VLOOKUP(MOD(B2306,28), $T$24:$U$52,2))</f>
        <v>17</v>
      </c>
      <c r="F2306" s="16" t="n">
        <f aca="false">IF($B2306=-1, -1, VLOOKUP(C2306,$T$1:$V$20, 2))</f>
        <v>16</v>
      </c>
      <c r="G2306" s="16" t="n">
        <f aca="false">IF($B2306=-1, -1, VLOOKUP(D2306,$Y$1:$Z$22,2))</f>
        <v>12</v>
      </c>
      <c r="H2306" s="16" t="str">
        <f aca="false">_xlfn.UNICHAR(((F2306*21)+G2306)*28+44032)</f>
        <v>툐</v>
      </c>
      <c r="I2306" s="16" t="n">
        <f aca="false">IF(B2306=-1, 1, COUNTIF($A$2:$A$3000, H2306))</f>
        <v>1</v>
      </c>
      <c r="J2306" s="10" t="str">
        <f aca="false">_xlfn.CONCAT(A2306, ",",H2306,",",I2306)</f>
        <v>협,툐,1</v>
      </c>
      <c r="K2306" s="16" t="n">
        <f aca="false">IF(B2306=-1,-1,VLOOKUP(C2306,$T$1:$V$20,3))</f>
        <v>26</v>
      </c>
      <c r="L2306" s="16" t="n">
        <f aca="false">IF(B2306=-1,-1,VLOOKUP(D2306,$Y$1:$AA$22,3))</f>
        <v>4</v>
      </c>
      <c r="N2306" s="10" t="str">
        <f aca="false">_xlfn.UNICHAR(((C2306*21)+G2306)*28+44032)</f>
        <v>효</v>
      </c>
      <c r="O2306" s="10" t="str">
        <f aca="false">_xlfn.UNICHAR(((F2306*21)+D2306)*28+44032)</f>
        <v>텨</v>
      </c>
      <c r="P2306" s="12" t="n">
        <f aca="false">COUNTIF($A$2:$A$3000, N2306) + COUNTIF($A$2:$A$3000, O2306)</f>
        <v>2</v>
      </c>
      <c r="Q2306" s="16" t="str">
        <f aca="false">IF(OR(B2306=-1,I2306=0, P2306&lt;&gt;2), "albhed_dummy", _xlfn.CONCAT("albhed ", RIGHT("  " &amp; K2306,2),", ", RIGHT("  " &amp; L2306,2), ", " ,"""",H2306,""", ", """",N2306,""", ","""",O2306,""""," ; ", A2306))</f>
        <v>albhed 26,  4, "툐", "효", "텨" ; 협</v>
      </c>
    </row>
    <row r="2307" customFormat="false" ht="17.9" hidden="false" customHeight="true" outlineLevel="0" collapsed="false">
      <c r="A2307" s="16" t="s">
        <v>3149</v>
      </c>
      <c r="B2307" s="16" t="n">
        <f aca="false">IF(_xlfn.UNICODE(A2307)&lt;44032,-1,_xlfn.UNICODE(A2307)-44032)</f>
        <v>10771</v>
      </c>
      <c r="C2307" s="16" t="n">
        <f aca="false">IF(B2307=-1,-1,INT((B2307/28)/21))</f>
        <v>18</v>
      </c>
      <c r="D2307" s="16" t="n">
        <f aca="false">IF(B2307=-1, -1, MOD(INT(B2307/28),21))</f>
        <v>6</v>
      </c>
      <c r="E2307" s="16" t="n">
        <f aca="false">IF(B2307=-1, -1, VLOOKUP(MOD(B2307,28), $T$24:$U$52,2))</f>
        <v>19</v>
      </c>
      <c r="F2307" s="16" t="n">
        <f aca="false">IF($B2307=-1, -1, VLOOKUP(C2307,$T$1:$V$20, 2))</f>
        <v>16</v>
      </c>
      <c r="G2307" s="16" t="n">
        <f aca="false">IF($B2307=-1, -1, VLOOKUP(D2307,$Y$1:$Z$22,2))</f>
        <v>12</v>
      </c>
      <c r="H2307" s="16" t="str">
        <f aca="false">_xlfn.UNICHAR(((F2307*21)+G2307)*28+44032)</f>
        <v>툐</v>
      </c>
      <c r="I2307" s="16" t="n">
        <f aca="false">IF(B2307=-1, 1, COUNTIF($A$2:$A$3000, H2307))</f>
        <v>1</v>
      </c>
      <c r="J2307" s="10" t="str">
        <f aca="false">_xlfn.CONCAT(A2307, ",",H2307,",",I2307)</f>
        <v>혓,툐,1</v>
      </c>
      <c r="K2307" s="16" t="n">
        <f aca="false">IF(B2307=-1,-1,VLOOKUP(C2307,$T$1:$V$20,3))</f>
        <v>26</v>
      </c>
      <c r="L2307" s="16" t="n">
        <f aca="false">IF(B2307=-1,-1,VLOOKUP(D2307,$Y$1:$AA$22,3))</f>
        <v>4</v>
      </c>
      <c r="N2307" s="10" t="str">
        <f aca="false">_xlfn.UNICHAR(((C2307*21)+G2307)*28+44032)</f>
        <v>효</v>
      </c>
      <c r="O2307" s="10" t="str">
        <f aca="false">_xlfn.UNICHAR(((F2307*21)+D2307)*28+44032)</f>
        <v>텨</v>
      </c>
      <c r="P2307" s="12" t="n">
        <f aca="false">COUNTIF($A$2:$A$3000, N2307) + COUNTIF($A$2:$A$3000, O2307)</f>
        <v>2</v>
      </c>
      <c r="Q2307" s="16" t="str">
        <f aca="false">IF(OR(B2307=-1,I2307=0, P2307&lt;&gt;2), "albhed_dummy", _xlfn.CONCAT("albhed ", RIGHT("  " &amp; K2307,2),", ", RIGHT("  " &amp; L2307,2), ", " ,"""",H2307,""", ", """",N2307,""", ","""",O2307,""""," ; ", A2307))</f>
        <v>albhed 26,  4, "툐", "효", "텨" ; 혓</v>
      </c>
    </row>
    <row r="2308" customFormat="false" ht="17.9" hidden="false" customHeight="true" outlineLevel="0" collapsed="false">
      <c r="A2308" s="16" t="s">
        <v>3150</v>
      </c>
      <c r="B2308" s="16" t="n">
        <f aca="false">IF(_xlfn.UNICODE(A2308)&lt;44032,-1,_xlfn.UNICODE(A2308)-44032)</f>
        <v>10772</v>
      </c>
      <c r="C2308" s="16" t="n">
        <f aca="false">IF(B2308=-1,-1,INT((B2308/28)/21))</f>
        <v>18</v>
      </c>
      <c r="D2308" s="16" t="n">
        <f aca="false">IF(B2308=-1, -1, MOD(INT(B2308/28),21))</f>
        <v>6</v>
      </c>
      <c r="E2308" s="16" t="n">
        <f aca="false">IF(B2308=-1, -1, VLOOKUP(MOD(B2308,28), $T$24:$U$52,2))</f>
        <v>19</v>
      </c>
      <c r="F2308" s="16" t="n">
        <f aca="false">IF($B2308=-1, -1, VLOOKUP(C2308,$T$1:$V$20, 2))</f>
        <v>16</v>
      </c>
      <c r="G2308" s="16" t="n">
        <f aca="false">IF($B2308=-1, -1, VLOOKUP(D2308,$Y$1:$Z$22,2))</f>
        <v>12</v>
      </c>
      <c r="H2308" s="16" t="str">
        <f aca="false">_xlfn.UNICHAR(((F2308*21)+G2308)*28+44032)</f>
        <v>툐</v>
      </c>
      <c r="I2308" s="16" t="n">
        <f aca="false">IF(B2308=-1, 1, COUNTIF($A$2:$A$3000, H2308))</f>
        <v>1</v>
      </c>
      <c r="J2308" s="10" t="str">
        <f aca="false">_xlfn.CONCAT(A2308, ",",H2308,",",I2308)</f>
        <v>혔,툐,1</v>
      </c>
      <c r="K2308" s="16" t="n">
        <f aca="false">IF(B2308=-1,-1,VLOOKUP(C2308,$T$1:$V$20,3))</f>
        <v>26</v>
      </c>
      <c r="L2308" s="16" t="n">
        <f aca="false">IF(B2308=-1,-1,VLOOKUP(D2308,$Y$1:$AA$22,3))</f>
        <v>4</v>
      </c>
      <c r="N2308" s="10" t="str">
        <f aca="false">_xlfn.UNICHAR(((C2308*21)+G2308)*28+44032)</f>
        <v>효</v>
      </c>
      <c r="O2308" s="10" t="str">
        <f aca="false">_xlfn.UNICHAR(((F2308*21)+D2308)*28+44032)</f>
        <v>텨</v>
      </c>
      <c r="P2308" s="12" t="n">
        <f aca="false">COUNTIF($A$2:$A$3000, N2308) + COUNTIF($A$2:$A$3000, O2308)</f>
        <v>2</v>
      </c>
      <c r="Q2308" s="16" t="str">
        <f aca="false">IF(OR(B2308=-1,I2308=0, P2308&lt;&gt;2), "albhed_dummy", _xlfn.CONCAT("albhed ", RIGHT("  " &amp; K2308,2),", ", RIGHT("  " &amp; L2308,2), ", " ,"""",H2308,""", ", """",N2308,""", ","""",O2308,""""," ; ", A2308))</f>
        <v>albhed 26,  4, "툐", "효", "텨" ; 혔</v>
      </c>
    </row>
    <row r="2309" customFormat="false" ht="17.9" hidden="false" customHeight="true" outlineLevel="0" collapsed="false">
      <c r="A2309" s="16" t="s">
        <v>3151</v>
      </c>
      <c r="B2309" s="16" t="n">
        <f aca="false">IF(_xlfn.UNICODE(A2309)&lt;44032,-1,_xlfn.UNICODE(A2309)-44032)</f>
        <v>10773</v>
      </c>
      <c r="C2309" s="16" t="n">
        <f aca="false">IF(B2309=-1,-1,INT((B2309/28)/21))</f>
        <v>18</v>
      </c>
      <c r="D2309" s="16" t="n">
        <f aca="false">IF(B2309=-1, -1, MOD(INT(B2309/28),21))</f>
        <v>6</v>
      </c>
      <c r="E2309" s="16" t="n">
        <f aca="false">IF(B2309=-1, -1, VLOOKUP(MOD(B2309,28), $T$24:$U$52,2))</f>
        <v>21</v>
      </c>
      <c r="F2309" s="16" t="n">
        <f aca="false">IF($B2309=-1, -1, VLOOKUP(C2309,$T$1:$V$20, 2))</f>
        <v>16</v>
      </c>
      <c r="G2309" s="16" t="n">
        <f aca="false">IF($B2309=-1, -1, VLOOKUP(D2309,$Y$1:$Z$22,2))</f>
        <v>12</v>
      </c>
      <c r="H2309" s="16" t="str">
        <f aca="false">_xlfn.UNICHAR(((F2309*21)+G2309)*28+44032)</f>
        <v>툐</v>
      </c>
      <c r="I2309" s="16" t="n">
        <f aca="false">IF(B2309=-1, 1, COUNTIF($A$2:$A$3000, H2309))</f>
        <v>1</v>
      </c>
      <c r="J2309" s="10" t="str">
        <f aca="false">_xlfn.CONCAT(A2309, ",",H2309,",",I2309)</f>
        <v>형,툐,1</v>
      </c>
      <c r="K2309" s="16" t="n">
        <f aca="false">IF(B2309=-1,-1,VLOOKUP(C2309,$T$1:$V$20,3))</f>
        <v>26</v>
      </c>
      <c r="L2309" s="16" t="n">
        <f aca="false">IF(B2309=-1,-1,VLOOKUP(D2309,$Y$1:$AA$22,3))</f>
        <v>4</v>
      </c>
      <c r="N2309" s="10" t="str">
        <f aca="false">_xlfn.UNICHAR(((C2309*21)+G2309)*28+44032)</f>
        <v>효</v>
      </c>
      <c r="O2309" s="10" t="str">
        <f aca="false">_xlfn.UNICHAR(((F2309*21)+D2309)*28+44032)</f>
        <v>텨</v>
      </c>
      <c r="P2309" s="12" t="n">
        <f aca="false">COUNTIF($A$2:$A$3000, N2309) + COUNTIF($A$2:$A$3000, O2309)</f>
        <v>2</v>
      </c>
      <c r="Q2309" s="16" t="str">
        <f aca="false">IF(OR(B2309=-1,I2309=0, P2309&lt;&gt;2), "albhed_dummy", _xlfn.CONCAT("albhed ", RIGHT("  " &amp; K2309,2),", ", RIGHT("  " &amp; L2309,2), ", " ,"""",H2309,""", ", """",N2309,""", ","""",O2309,""""," ; ", A2309))</f>
        <v>albhed 26,  4, "툐", "효", "텨" ; 형</v>
      </c>
    </row>
    <row r="2310" customFormat="false" ht="17.9" hidden="false" customHeight="true" outlineLevel="0" collapsed="false">
      <c r="A2310" s="16" t="s">
        <v>3152</v>
      </c>
      <c r="B2310" s="16" t="n">
        <f aca="false">IF(_xlfn.UNICODE(A2310)&lt;44032,-1,_xlfn.UNICODE(A2310)-44032)</f>
        <v>10780</v>
      </c>
      <c r="C2310" s="16" t="n">
        <f aca="false">IF(B2310=-1,-1,INT((B2310/28)/21))</f>
        <v>18</v>
      </c>
      <c r="D2310" s="16" t="n">
        <f aca="false">IF(B2310=-1, -1, MOD(INT(B2310/28),21))</f>
        <v>7</v>
      </c>
      <c r="E2310" s="16" t="n">
        <f aca="false">IF(B2310=-1, -1, VLOOKUP(MOD(B2310,28), $T$24:$U$52,2))</f>
        <v>0</v>
      </c>
      <c r="F2310" s="16" t="n">
        <f aca="false">IF($B2310=-1, -1, VLOOKUP(C2310,$T$1:$V$20, 2))</f>
        <v>16</v>
      </c>
      <c r="G2310" s="16" t="n">
        <f aca="false">IF($B2310=-1, -1, VLOOKUP(D2310,$Y$1:$Z$22,2))</f>
        <v>18</v>
      </c>
      <c r="H2310" s="16" t="str">
        <f aca="false">_xlfn.UNICHAR(((F2310*21)+G2310)*28+44032)</f>
        <v>트</v>
      </c>
      <c r="I2310" s="16" t="n">
        <f aca="false">IF(B2310=-1, 1, COUNTIF($A$2:$A$3000, H2310))</f>
        <v>1</v>
      </c>
      <c r="J2310" s="10" t="str">
        <f aca="false">_xlfn.CONCAT(A2310, ",",H2310,",",I2310)</f>
        <v>혜,트,1</v>
      </c>
      <c r="K2310" s="16" t="n">
        <f aca="false">IF(B2310=-1,-1,VLOOKUP(C2310,$T$1:$V$20,3))</f>
        <v>26</v>
      </c>
      <c r="L2310" s="16" t="n">
        <f aca="false">IF(B2310=-1,-1,VLOOKUP(D2310,$Y$1:$AA$22,3))</f>
        <v>14</v>
      </c>
      <c r="N2310" s="10" t="str">
        <f aca="false">_xlfn.UNICHAR(((C2310*21)+G2310)*28+44032)</f>
        <v>흐</v>
      </c>
      <c r="O2310" s="10" t="str">
        <f aca="false">_xlfn.UNICHAR(((F2310*21)+D2310)*28+44032)</f>
        <v>톄</v>
      </c>
      <c r="P2310" s="12" t="n">
        <f aca="false">COUNTIF($A$2:$A$3000, N2310) + COUNTIF($A$2:$A$3000, O2310)</f>
        <v>2</v>
      </c>
      <c r="Q2310" s="16" t="str">
        <f aca="false">IF(OR(B2310=-1,I2310=0, P2310&lt;&gt;2), "albhed_dummy", _xlfn.CONCAT("albhed ", RIGHT("  " &amp; K2310,2),", ", RIGHT("  " &amp; L2310,2), ", " ,"""",H2310,""", ", """",N2310,""", ","""",O2310,""""," ; ", A2310))</f>
        <v>albhed 26, 14, "트", "흐", "톄" ; 혜</v>
      </c>
    </row>
    <row r="2311" customFormat="false" ht="17.9" hidden="false" customHeight="true" outlineLevel="0" collapsed="false">
      <c r="A2311" s="16" t="s">
        <v>3153</v>
      </c>
      <c r="B2311" s="16" t="n">
        <f aca="false">IF(_xlfn.UNICODE(A2311)&lt;44032,-1,_xlfn.UNICODE(A2311)-44032)</f>
        <v>10784</v>
      </c>
      <c r="C2311" s="16" t="n">
        <f aca="false">IF(B2311=-1,-1,INT((B2311/28)/21))</f>
        <v>18</v>
      </c>
      <c r="D2311" s="16" t="n">
        <f aca="false">IF(B2311=-1, -1, MOD(INT(B2311/28),21))</f>
        <v>7</v>
      </c>
      <c r="E2311" s="16" t="n">
        <f aca="false">IF(B2311=-1, -1, VLOOKUP(MOD(B2311,28), $T$24:$U$52,2))</f>
        <v>4</v>
      </c>
      <c r="F2311" s="16" t="n">
        <f aca="false">IF($B2311=-1, -1, VLOOKUP(C2311,$T$1:$V$20, 2))</f>
        <v>16</v>
      </c>
      <c r="G2311" s="16" t="n">
        <f aca="false">IF($B2311=-1, -1, VLOOKUP(D2311,$Y$1:$Z$22,2))</f>
        <v>18</v>
      </c>
      <c r="H2311" s="16" t="str">
        <f aca="false">_xlfn.UNICHAR(((F2311*21)+G2311)*28+44032)</f>
        <v>트</v>
      </c>
      <c r="I2311" s="16" t="n">
        <f aca="false">IF(B2311=-1, 1, COUNTIF($A$2:$A$3000, H2311))</f>
        <v>1</v>
      </c>
      <c r="J2311" s="10" t="str">
        <f aca="false">_xlfn.CONCAT(A2311, ",",H2311,",",I2311)</f>
        <v>혠,트,1</v>
      </c>
      <c r="K2311" s="16" t="n">
        <f aca="false">IF(B2311=-1,-1,VLOOKUP(C2311,$T$1:$V$20,3))</f>
        <v>26</v>
      </c>
      <c r="L2311" s="16" t="n">
        <f aca="false">IF(B2311=-1,-1,VLOOKUP(D2311,$Y$1:$AA$22,3))</f>
        <v>14</v>
      </c>
      <c r="N2311" s="10" t="str">
        <f aca="false">_xlfn.UNICHAR(((C2311*21)+G2311)*28+44032)</f>
        <v>흐</v>
      </c>
      <c r="O2311" s="10" t="str">
        <f aca="false">_xlfn.UNICHAR(((F2311*21)+D2311)*28+44032)</f>
        <v>톄</v>
      </c>
      <c r="P2311" s="12" t="n">
        <f aca="false">COUNTIF($A$2:$A$3000, N2311) + COUNTIF($A$2:$A$3000, O2311)</f>
        <v>2</v>
      </c>
      <c r="Q2311" s="16" t="str">
        <f aca="false">IF(OR(B2311=-1,I2311=0, P2311&lt;&gt;2), "albhed_dummy", _xlfn.CONCAT("albhed ", RIGHT("  " &amp; K2311,2),", ", RIGHT("  " &amp; L2311,2), ", " ,"""",H2311,""", ", """",N2311,""", ","""",O2311,""""," ; ", A2311))</f>
        <v>albhed 26, 14, "트", "흐", "톄" ; 혠</v>
      </c>
    </row>
    <row r="2312" customFormat="false" ht="17.9" hidden="false" customHeight="true" outlineLevel="0" collapsed="false">
      <c r="A2312" s="16" t="s">
        <v>3154</v>
      </c>
      <c r="B2312" s="16" t="n">
        <f aca="false">IF(_xlfn.UNICODE(A2312)&lt;44032,-1,_xlfn.UNICODE(A2312)-44032)</f>
        <v>10788</v>
      </c>
      <c r="C2312" s="16" t="n">
        <f aca="false">IF(B2312=-1,-1,INT((B2312/28)/21))</f>
        <v>18</v>
      </c>
      <c r="D2312" s="16" t="n">
        <f aca="false">IF(B2312=-1, -1, MOD(INT(B2312/28),21))</f>
        <v>7</v>
      </c>
      <c r="E2312" s="16" t="n">
        <f aca="false">IF(B2312=-1, -1, VLOOKUP(MOD(B2312,28), $T$24:$U$52,2))</f>
        <v>8</v>
      </c>
      <c r="F2312" s="16" t="n">
        <f aca="false">IF($B2312=-1, -1, VLOOKUP(C2312,$T$1:$V$20, 2))</f>
        <v>16</v>
      </c>
      <c r="G2312" s="16" t="n">
        <f aca="false">IF($B2312=-1, -1, VLOOKUP(D2312,$Y$1:$Z$22,2))</f>
        <v>18</v>
      </c>
      <c r="H2312" s="16" t="str">
        <f aca="false">_xlfn.UNICHAR(((F2312*21)+G2312)*28+44032)</f>
        <v>트</v>
      </c>
      <c r="I2312" s="16" t="n">
        <f aca="false">IF(B2312=-1, 1, COUNTIF($A$2:$A$3000, H2312))</f>
        <v>1</v>
      </c>
      <c r="J2312" s="10" t="str">
        <f aca="false">_xlfn.CONCAT(A2312, ",",H2312,",",I2312)</f>
        <v>혤,트,1</v>
      </c>
      <c r="K2312" s="16" t="n">
        <f aca="false">IF(B2312=-1,-1,VLOOKUP(C2312,$T$1:$V$20,3))</f>
        <v>26</v>
      </c>
      <c r="L2312" s="16" t="n">
        <f aca="false">IF(B2312=-1,-1,VLOOKUP(D2312,$Y$1:$AA$22,3))</f>
        <v>14</v>
      </c>
      <c r="N2312" s="10" t="str">
        <f aca="false">_xlfn.UNICHAR(((C2312*21)+G2312)*28+44032)</f>
        <v>흐</v>
      </c>
      <c r="O2312" s="10" t="str">
        <f aca="false">_xlfn.UNICHAR(((F2312*21)+D2312)*28+44032)</f>
        <v>톄</v>
      </c>
      <c r="P2312" s="12" t="n">
        <f aca="false">COUNTIF($A$2:$A$3000, N2312) + COUNTIF($A$2:$A$3000, O2312)</f>
        <v>2</v>
      </c>
      <c r="Q2312" s="16" t="str">
        <f aca="false">IF(OR(B2312=-1,I2312=0, P2312&lt;&gt;2), "albhed_dummy", _xlfn.CONCAT("albhed ", RIGHT("  " &amp; K2312,2),", ", RIGHT("  " &amp; L2312,2), ", " ,"""",H2312,""", ", """",N2312,""", ","""",O2312,""""," ; ", A2312))</f>
        <v>albhed 26, 14, "트", "흐", "톄" ; 혤</v>
      </c>
    </row>
    <row r="2313" customFormat="false" ht="17.9" hidden="false" customHeight="true" outlineLevel="0" collapsed="false">
      <c r="A2313" s="16" t="s">
        <v>3155</v>
      </c>
      <c r="B2313" s="16" t="n">
        <f aca="false">IF(_xlfn.UNICODE(A2313)&lt;44032,-1,_xlfn.UNICODE(A2313)-44032)</f>
        <v>10797</v>
      </c>
      <c r="C2313" s="16" t="n">
        <f aca="false">IF(B2313=-1,-1,INT((B2313/28)/21))</f>
        <v>18</v>
      </c>
      <c r="D2313" s="16" t="n">
        <f aca="false">IF(B2313=-1, -1, MOD(INT(B2313/28),21))</f>
        <v>7</v>
      </c>
      <c r="E2313" s="16" t="n">
        <f aca="false">IF(B2313=-1, -1, VLOOKUP(MOD(B2313,28), $T$24:$U$52,2))</f>
        <v>17</v>
      </c>
      <c r="F2313" s="16" t="n">
        <f aca="false">IF($B2313=-1, -1, VLOOKUP(C2313,$T$1:$V$20, 2))</f>
        <v>16</v>
      </c>
      <c r="G2313" s="16" t="n">
        <f aca="false">IF($B2313=-1, -1, VLOOKUP(D2313,$Y$1:$Z$22,2))</f>
        <v>18</v>
      </c>
      <c r="H2313" s="16" t="str">
        <f aca="false">_xlfn.UNICHAR(((F2313*21)+G2313)*28+44032)</f>
        <v>트</v>
      </c>
      <c r="I2313" s="16" t="n">
        <f aca="false">IF(B2313=-1, 1, COUNTIF($A$2:$A$3000, H2313))</f>
        <v>1</v>
      </c>
      <c r="J2313" s="10" t="str">
        <f aca="false">_xlfn.CONCAT(A2313, ",",H2313,",",I2313)</f>
        <v>혭,트,1</v>
      </c>
      <c r="K2313" s="16" t="n">
        <f aca="false">IF(B2313=-1,-1,VLOOKUP(C2313,$T$1:$V$20,3))</f>
        <v>26</v>
      </c>
      <c r="L2313" s="16" t="n">
        <f aca="false">IF(B2313=-1,-1,VLOOKUP(D2313,$Y$1:$AA$22,3))</f>
        <v>14</v>
      </c>
      <c r="N2313" s="10" t="str">
        <f aca="false">_xlfn.UNICHAR(((C2313*21)+G2313)*28+44032)</f>
        <v>흐</v>
      </c>
      <c r="O2313" s="10" t="str">
        <f aca="false">_xlfn.UNICHAR(((F2313*21)+D2313)*28+44032)</f>
        <v>톄</v>
      </c>
      <c r="P2313" s="12" t="n">
        <f aca="false">COUNTIF($A$2:$A$3000, N2313) + COUNTIF($A$2:$A$3000, O2313)</f>
        <v>2</v>
      </c>
      <c r="Q2313" s="16" t="str">
        <f aca="false">IF(OR(B2313=-1,I2313=0, P2313&lt;&gt;2), "albhed_dummy", _xlfn.CONCAT("albhed ", RIGHT("  " &amp; K2313,2),", ", RIGHT("  " &amp; L2313,2), ", " ,"""",H2313,""", ", """",N2313,""", ","""",O2313,""""," ; ", A2313))</f>
        <v>albhed 26, 14, "트", "흐", "톄" ; 혭</v>
      </c>
    </row>
    <row r="2314" customFormat="false" ht="17.9" hidden="false" customHeight="true" outlineLevel="0" collapsed="false">
      <c r="A2314" s="16" t="s">
        <v>3156</v>
      </c>
      <c r="B2314" s="16" t="n">
        <f aca="false">IF(_xlfn.UNICODE(A2314)&lt;44032,-1,_xlfn.UNICODE(A2314)-44032)</f>
        <v>10808</v>
      </c>
      <c r="C2314" s="16" t="n">
        <f aca="false">IF(B2314=-1,-1,INT((B2314/28)/21))</f>
        <v>18</v>
      </c>
      <c r="D2314" s="16" t="n">
        <f aca="false">IF(B2314=-1, -1, MOD(INT(B2314/28),21))</f>
        <v>8</v>
      </c>
      <c r="E2314" s="16" t="n">
        <f aca="false">IF(B2314=-1, -1, VLOOKUP(MOD(B2314,28), $T$24:$U$52,2))</f>
        <v>0</v>
      </c>
      <c r="F2314" s="16" t="n">
        <f aca="false">IF($B2314=-1, -1, VLOOKUP(C2314,$T$1:$V$20, 2))</f>
        <v>16</v>
      </c>
      <c r="G2314" s="16" t="n">
        <f aca="false">IF($B2314=-1, -1, VLOOKUP(D2314,$Y$1:$Z$22,2))</f>
        <v>4</v>
      </c>
      <c r="H2314" s="16" t="str">
        <f aca="false">_xlfn.UNICHAR(((F2314*21)+G2314)*28+44032)</f>
        <v>터</v>
      </c>
      <c r="I2314" s="16" t="n">
        <f aca="false">IF(B2314=-1, 1, COUNTIF($A$2:$A$3000, H2314))</f>
        <v>1</v>
      </c>
      <c r="J2314" s="10" t="str">
        <f aca="false">_xlfn.CONCAT(A2314, ",",H2314,",",I2314)</f>
        <v>호,터,1</v>
      </c>
      <c r="K2314" s="16" t="n">
        <f aca="false">IF(B2314=-1,-1,VLOOKUP(C2314,$T$1:$V$20,3))</f>
        <v>26</v>
      </c>
      <c r="L2314" s="16" t="n">
        <f aca="false">IF(B2314=-1,-1,VLOOKUP(D2314,$Y$1:$AA$22,3))</f>
        <v>8</v>
      </c>
      <c r="N2314" s="10" t="str">
        <f aca="false">_xlfn.UNICHAR(((C2314*21)+G2314)*28+44032)</f>
        <v>허</v>
      </c>
      <c r="O2314" s="10" t="str">
        <f aca="false">_xlfn.UNICHAR(((F2314*21)+D2314)*28+44032)</f>
        <v>토</v>
      </c>
      <c r="P2314" s="12" t="n">
        <f aca="false">COUNTIF($A$2:$A$3000, N2314) + COUNTIF($A$2:$A$3000, O2314)</f>
        <v>2</v>
      </c>
      <c r="Q2314" s="16" t="str">
        <f aca="false">IF(OR(B2314=-1,I2314=0, P2314&lt;&gt;2), "albhed_dummy", _xlfn.CONCAT("albhed ", RIGHT("  " &amp; K2314,2),", ", RIGHT("  " &amp; L2314,2), ", " ,"""",H2314,""", ", """",N2314,""", ","""",O2314,""""," ; ", A2314))</f>
        <v>albhed 26,  8, "터", "허", "토" ; 호</v>
      </c>
    </row>
    <row r="2315" customFormat="false" ht="17.9" hidden="false" customHeight="true" outlineLevel="0" collapsed="false">
      <c r="A2315" s="16" t="s">
        <v>3157</v>
      </c>
      <c r="B2315" s="16" t="n">
        <f aca="false">IF(_xlfn.UNICODE(A2315)&lt;44032,-1,_xlfn.UNICODE(A2315)-44032)</f>
        <v>10809</v>
      </c>
      <c r="C2315" s="16" t="n">
        <f aca="false">IF(B2315=-1,-1,INT((B2315/28)/21))</f>
        <v>18</v>
      </c>
      <c r="D2315" s="16" t="n">
        <f aca="false">IF(B2315=-1, -1, MOD(INT(B2315/28),21))</f>
        <v>8</v>
      </c>
      <c r="E2315" s="16" t="n">
        <f aca="false">IF(B2315=-1, -1, VLOOKUP(MOD(B2315,28), $T$24:$U$52,2))</f>
        <v>1</v>
      </c>
      <c r="F2315" s="16" t="n">
        <f aca="false">IF($B2315=-1, -1, VLOOKUP(C2315,$T$1:$V$20, 2))</f>
        <v>16</v>
      </c>
      <c r="G2315" s="16" t="n">
        <f aca="false">IF($B2315=-1, -1, VLOOKUP(D2315,$Y$1:$Z$22,2))</f>
        <v>4</v>
      </c>
      <c r="H2315" s="16" t="str">
        <f aca="false">_xlfn.UNICHAR(((F2315*21)+G2315)*28+44032)</f>
        <v>터</v>
      </c>
      <c r="I2315" s="16" t="n">
        <f aca="false">IF(B2315=-1, 1, COUNTIF($A$2:$A$3000, H2315))</f>
        <v>1</v>
      </c>
      <c r="J2315" s="10" t="str">
        <f aca="false">_xlfn.CONCAT(A2315, ",",H2315,",",I2315)</f>
        <v>혹,터,1</v>
      </c>
      <c r="K2315" s="16" t="n">
        <f aca="false">IF(B2315=-1,-1,VLOOKUP(C2315,$T$1:$V$20,3))</f>
        <v>26</v>
      </c>
      <c r="L2315" s="16" t="n">
        <f aca="false">IF(B2315=-1,-1,VLOOKUP(D2315,$Y$1:$AA$22,3))</f>
        <v>8</v>
      </c>
      <c r="N2315" s="10" t="str">
        <f aca="false">_xlfn.UNICHAR(((C2315*21)+G2315)*28+44032)</f>
        <v>허</v>
      </c>
      <c r="O2315" s="10" t="str">
        <f aca="false">_xlfn.UNICHAR(((F2315*21)+D2315)*28+44032)</f>
        <v>토</v>
      </c>
      <c r="P2315" s="12" t="n">
        <f aca="false">COUNTIF($A$2:$A$3000, N2315) + COUNTIF($A$2:$A$3000, O2315)</f>
        <v>2</v>
      </c>
      <c r="Q2315" s="16" t="str">
        <f aca="false">IF(OR(B2315=-1,I2315=0, P2315&lt;&gt;2), "albhed_dummy", _xlfn.CONCAT("albhed ", RIGHT("  " &amp; K2315,2),", ", RIGHT("  " &amp; L2315,2), ", " ,"""",H2315,""", ", """",N2315,""", ","""",O2315,""""," ; ", A2315))</f>
        <v>albhed 26,  8, "터", "허", "토" ; 혹</v>
      </c>
    </row>
    <row r="2316" customFormat="false" ht="17.9" hidden="false" customHeight="true" outlineLevel="0" collapsed="false">
      <c r="A2316" s="16" t="s">
        <v>3158</v>
      </c>
      <c r="B2316" s="16" t="n">
        <f aca="false">IF(_xlfn.UNICODE(A2316)&lt;44032,-1,_xlfn.UNICODE(A2316)-44032)</f>
        <v>10812</v>
      </c>
      <c r="C2316" s="16" t="n">
        <f aca="false">IF(B2316=-1,-1,INT((B2316/28)/21))</f>
        <v>18</v>
      </c>
      <c r="D2316" s="16" t="n">
        <f aca="false">IF(B2316=-1, -1, MOD(INT(B2316/28),21))</f>
        <v>8</v>
      </c>
      <c r="E2316" s="16" t="n">
        <f aca="false">IF(B2316=-1, -1, VLOOKUP(MOD(B2316,28), $T$24:$U$52,2))</f>
        <v>4</v>
      </c>
      <c r="F2316" s="16" t="n">
        <f aca="false">IF($B2316=-1, -1, VLOOKUP(C2316,$T$1:$V$20, 2))</f>
        <v>16</v>
      </c>
      <c r="G2316" s="16" t="n">
        <f aca="false">IF($B2316=-1, -1, VLOOKUP(D2316,$Y$1:$Z$22,2))</f>
        <v>4</v>
      </c>
      <c r="H2316" s="16" t="str">
        <f aca="false">_xlfn.UNICHAR(((F2316*21)+G2316)*28+44032)</f>
        <v>터</v>
      </c>
      <c r="I2316" s="16" t="n">
        <f aca="false">IF(B2316=-1, 1, COUNTIF($A$2:$A$3000, H2316))</f>
        <v>1</v>
      </c>
      <c r="J2316" s="10" t="str">
        <f aca="false">_xlfn.CONCAT(A2316, ",",H2316,",",I2316)</f>
        <v>혼,터,1</v>
      </c>
      <c r="K2316" s="16" t="n">
        <f aca="false">IF(B2316=-1,-1,VLOOKUP(C2316,$T$1:$V$20,3))</f>
        <v>26</v>
      </c>
      <c r="L2316" s="16" t="n">
        <f aca="false">IF(B2316=-1,-1,VLOOKUP(D2316,$Y$1:$AA$22,3))</f>
        <v>8</v>
      </c>
      <c r="N2316" s="10" t="str">
        <f aca="false">_xlfn.UNICHAR(((C2316*21)+G2316)*28+44032)</f>
        <v>허</v>
      </c>
      <c r="O2316" s="10" t="str">
        <f aca="false">_xlfn.UNICHAR(((F2316*21)+D2316)*28+44032)</f>
        <v>토</v>
      </c>
      <c r="P2316" s="12" t="n">
        <f aca="false">COUNTIF($A$2:$A$3000, N2316) + COUNTIF($A$2:$A$3000, O2316)</f>
        <v>2</v>
      </c>
      <c r="Q2316" s="16" t="str">
        <f aca="false">IF(OR(B2316=-1,I2316=0, P2316&lt;&gt;2), "albhed_dummy", _xlfn.CONCAT("albhed ", RIGHT("  " &amp; K2316,2),", ", RIGHT("  " &amp; L2316,2), ", " ,"""",H2316,""", ", """",N2316,""", ","""",O2316,""""," ; ", A2316))</f>
        <v>albhed 26,  8, "터", "허", "토" ; 혼</v>
      </c>
    </row>
    <row r="2317" customFormat="false" ht="17.9" hidden="false" customHeight="true" outlineLevel="0" collapsed="false">
      <c r="A2317" s="16" t="s">
        <v>3159</v>
      </c>
      <c r="B2317" s="16" t="n">
        <f aca="false">IF(_xlfn.UNICODE(A2317)&lt;44032,-1,_xlfn.UNICODE(A2317)-44032)</f>
        <v>10816</v>
      </c>
      <c r="C2317" s="16" t="n">
        <f aca="false">IF(B2317=-1,-1,INT((B2317/28)/21))</f>
        <v>18</v>
      </c>
      <c r="D2317" s="16" t="n">
        <f aca="false">IF(B2317=-1, -1, MOD(INT(B2317/28),21))</f>
        <v>8</v>
      </c>
      <c r="E2317" s="16" t="n">
        <f aca="false">IF(B2317=-1, -1, VLOOKUP(MOD(B2317,28), $T$24:$U$52,2))</f>
        <v>8</v>
      </c>
      <c r="F2317" s="16" t="n">
        <f aca="false">IF($B2317=-1, -1, VLOOKUP(C2317,$T$1:$V$20, 2))</f>
        <v>16</v>
      </c>
      <c r="G2317" s="16" t="n">
        <f aca="false">IF($B2317=-1, -1, VLOOKUP(D2317,$Y$1:$Z$22,2))</f>
        <v>4</v>
      </c>
      <c r="H2317" s="16" t="str">
        <f aca="false">_xlfn.UNICHAR(((F2317*21)+G2317)*28+44032)</f>
        <v>터</v>
      </c>
      <c r="I2317" s="16" t="n">
        <f aca="false">IF(B2317=-1, 1, COUNTIF($A$2:$A$3000, H2317))</f>
        <v>1</v>
      </c>
      <c r="J2317" s="10" t="str">
        <f aca="false">_xlfn.CONCAT(A2317, ",",H2317,",",I2317)</f>
        <v>홀,터,1</v>
      </c>
      <c r="K2317" s="16" t="n">
        <f aca="false">IF(B2317=-1,-1,VLOOKUP(C2317,$T$1:$V$20,3))</f>
        <v>26</v>
      </c>
      <c r="L2317" s="16" t="n">
        <f aca="false">IF(B2317=-1,-1,VLOOKUP(D2317,$Y$1:$AA$22,3))</f>
        <v>8</v>
      </c>
      <c r="N2317" s="10" t="str">
        <f aca="false">_xlfn.UNICHAR(((C2317*21)+G2317)*28+44032)</f>
        <v>허</v>
      </c>
      <c r="O2317" s="10" t="str">
        <f aca="false">_xlfn.UNICHAR(((F2317*21)+D2317)*28+44032)</f>
        <v>토</v>
      </c>
      <c r="P2317" s="12" t="n">
        <f aca="false">COUNTIF($A$2:$A$3000, N2317) + COUNTIF($A$2:$A$3000, O2317)</f>
        <v>2</v>
      </c>
      <c r="Q2317" s="16" t="str">
        <f aca="false">IF(OR(B2317=-1,I2317=0, P2317&lt;&gt;2), "albhed_dummy", _xlfn.CONCAT("albhed ", RIGHT("  " &amp; K2317,2),", ", RIGHT("  " &amp; L2317,2), ", " ,"""",H2317,""", ", """",N2317,""", ","""",O2317,""""," ; ", A2317))</f>
        <v>albhed 26,  8, "터", "허", "토" ; 홀</v>
      </c>
    </row>
    <row r="2318" customFormat="false" ht="17.9" hidden="false" customHeight="true" outlineLevel="0" collapsed="false">
      <c r="A2318" s="16" t="s">
        <v>3160</v>
      </c>
      <c r="B2318" s="16" t="n">
        <f aca="false">IF(_xlfn.UNICODE(A2318)&lt;44032,-1,_xlfn.UNICODE(A2318)-44032)</f>
        <v>10821</v>
      </c>
      <c r="C2318" s="16" t="n">
        <f aca="false">IF(B2318=-1,-1,INT((B2318/28)/21))</f>
        <v>18</v>
      </c>
      <c r="D2318" s="16" t="n">
        <f aca="false">IF(B2318=-1, -1, MOD(INT(B2318/28),21))</f>
        <v>8</v>
      </c>
      <c r="E2318" s="16" t="n">
        <f aca="false">IF(B2318=-1, -1, VLOOKUP(MOD(B2318,28), $T$24:$U$52,2))</f>
        <v>8</v>
      </c>
      <c r="F2318" s="16" t="n">
        <f aca="false">IF($B2318=-1, -1, VLOOKUP(C2318,$T$1:$V$20, 2))</f>
        <v>16</v>
      </c>
      <c r="G2318" s="16" t="n">
        <f aca="false">IF($B2318=-1, -1, VLOOKUP(D2318,$Y$1:$Z$22,2))</f>
        <v>4</v>
      </c>
      <c r="H2318" s="16" t="str">
        <f aca="false">_xlfn.UNICHAR(((F2318*21)+G2318)*28+44032)</f>
        <v>터</v>
      </c>
      <c r="I2318" s="16" t="n">
        <f aca="false">IF(B2318=-1, 1, COUNTIF($A$2:$A$3000, H2318))</f>
        <v>1</v>
      </c>
      <c r="J2318" s="10" t="str">
        <f aca="false">_xlfn.CONCAT(A2318, ",",H2318,",",I2318)</f>
        <v>홅,터,1</v>
      </c>
      <c r="K2318" s="16" t="n">
        <f aca="false">IF(B2318=-1,-1,VLOOKUP(C2318,$T$1:$V$20,3))</f>
        <v>26</v>
      </c>
      <c r="L2318" s="16" t="n">
        <f aca="false">IF(B2318=-1,-1,VLOOKUP(D2318,$Y$1:$AA$22,3))</f>
        <v>8</v>
      </c>
      <c r="N2318" s="10" t="str">
        <f aca="false">_xlfn.UNICHAR(((C2318*21)+G2318)*28+44032)</f>
        <v>허</v>
      </c>
      <c r="O2318" s="10" t="str">
        <f aca="false">_xlfn.UNICHAR(((F2318*21)+D2318)*28+44032)</f>
        <v>토</v>
      </c>
      <c r="P2318" s="12" t="n">
        <f aca="false">COUNTIF($A$2:$A$3000, N2318) + COUNTIF($A$2:$A$3000, O2318)</f>
        <v>2</v>
      </c>
      <c r="Q2318" s="16" t="str">
        <f aca="false">IF(OR(B2318=-1,I2318=0, P2318&lt;&gt;2), "albhed_dummy", _xlfn.CONCAT("albhed ", RIGHT("  " &amp; K2318,2),", ", RIGHT("  " &amp; L2318,2), ", " ,"""",H2318,""", ", """",N2318,""", ","""",O2318,""""," ; ", A2318))</f>
        <v>albhed 26,  8, "터", "허", "토" ; 홅</v>
      </c>
    </row>
    <row r="2319" customFormat="false" ht="17.9" hidden="false" customHeight="true" outlineLevel="0" collapsed="false">
      <c r="A2319" s="16" t="s">
        <v>3161</v>
      </c>
      <c r="B2319" s="16" t="n">
        <f aca="false">IF(_xlfn.UNICODE(A2319)&lt;44032,-1,_xlfn.UNICODE(A2319)-44032)</f>
        <v>10824</v>
      </c>
      <c r="C2319" s="16" t="n">
        <f aca="false">IF(B2319=-1,-1,INT((B2319/28)/21))</f>
        <v>18</v>
      </c>
      <c r="D2319" s="16" t="n">
        <f aca="false">IF(B2319=-1, -1, MOD(INT(B2319/28),21))</f>
        <v>8</v>
      </c>
      <c r="E2319" s="16" t="n">
        <f aca="false">IF(B2319=-1, -1, VLOOKUP(MOD(B2319,28), $T$24:$U$52,2))</f>
        <v>16</v>
      </c>
      <c r="F2319" s="16" t="n">
        <f aca="false">IF($B2319=-1, -1, VLOOKUP(C2319,$T$1:$V$20, 2))</f>
        <v>16</v>
      </c>
      <c r="G2319" s="16" t="n">
        <f aca="false">IF($B2319=-1, -1, VLOOKUP(D2319,$Y$1:$Z$22,2))</f>
        <v>4</v>
      </c>
      <c r="H2319" s="16" t="str">
        <f aca="false">_xlfn.UNICHAR(((F2319*21)+G2319)*28+44032)</f>
        <v>터</v>
      </c>
      <c r="I2319" s="16" t="n">
        <f aca="false">IF(B2319=-1, 1, COUNTIF($A$2:$A$3000, H2319))</f>
        <v>1</v>
      </c>
      <c r="J2319" s="10" t="str">
        <f aca="false">_xlfn.CONCAT(A2319, ",",H2319,",",I2319)</f>
        <v>홈,터,1</v>
      </c>
      <c r="K2319" s="16" t="n">
        <f aca="false">IF(B2319=-1,-1,VLOOKUP(C2319,$T$1:$V$20,3))</f>
        <v>26</v>
      </c>
      <c r="L2319" s="16" t="n">
        <f aca="false">IF(B2319=-1,-1,VLOOKUP(D2319,$Y$1:$AA$22,3))</f>
        <v>8</v>
      </c>
      <c r="N2319" s="10" t="str">
        <f aca="false">_xlfn.UNICHAR(((C2319*21)+G2319)*28+44032)</f>
        <v>허</v>
      </c>
      <c r="O2319" s="10" t="str">
        <f aca="false">_xlfn.UNICHAR(((F2319*21)+D2319)*28+44032)</f>
        <v>토</v>
      </c>
      <c r="P2319" s="12" t="n">
        <f aca="false">COUNTIF($A$2:$A$3000, N2319) + COUNTIF($A$2:$A$3000, O2319)</f>
        <v>2</v>
      </c>
      <c r="Q2319" s="16" t="str">
        <f aca="false">IF(OR(B2319=-1,I2319=0, P2319&lt;&gt;2), "albhed_dummy", _xlfn.CONCAT("albhed ", RIGHT("  " &amp; K2319,2),", ", RIGHT("  " &amp; L2319,2), ", " ,"""",H2319,""", ", """",N2319,""", ","""",O2319,""""," ; ", A2319))</f>
        <v>albhed 26,  8, "터", "허", "토" ; 홈</v>
      </c>
    </row>
    <row r="2320" customFormat="false" ht="17.9" hidden="false" customHeight="true" outlineLevel="0" collapsed="false">
      <c r="A2320" s="16" t="s">
        <v>3162</v>
      </c>
      <c r="B2320" s="16" t="n">
        <f aca="false">IF(_xlfn.UNICODE(A2320)&lt;44032,-1,_xlfn.UNICODE(A2320)-44032)</f>
        <v>10825</v>
      </c>
      <c r="C2320" s="16" t="n">
        <f aca="false">IF(B2320=-1,-1,INT((B2320/28)/21))</f>
        <v>18</v>
      </c>
      <c r="D2320" s="16" t="n">
        <f aca="false">IF(B2320=-1, -1, MOD(INT(B2320/28),21))</f>
        <v>8</v>
      </c>
      <c r="E2320" s="16" t="n">
        <f aca="false">IF(B2320=-1, -1, VLOOKUP(MOD(B2320,28), $T$24:$U$52,2))</f>
        <v>17</v>
      </c>
      <c r="F2320" s="16" t="n">
        <f aca="false">IF($B2320=-1, -1, VLOOKUP(C2320,$T$1:$V$20, 2))</f>
        <v>16</v>
      </c>
      <c r="G2320" s="16" t="n">
        <f aca="false">IF($B2320=-1, -1, VLOOKUP(D2320,$Y$1:$Z$22,2))</f>
        <v>4</v>
      </c>
      <c r="H2320" s="16" t="str">
        <f aca="false">_xlfn.UNICHAR(((F2320*21)+G2320)*28+44032)</f>
        <v>터</v>
      </c>
      <c r="I2320" s="16" t="n">
        <f aca="false">IF(B2320=-1, 1, COUNTIF($A$2:$A$3000, H2320))</f>
        <v>1</v>
      </c>
      <c r="J2320" s="10" t="str">
        <f aca="false">_xlfn.CONCAT(A2320, ",",H2320,",",I2320)</f>
        <v>홉,터,1</v>
      </c>
      <c r="K2320" s="16" t="n">
        <f aca="false">IF(B2320=-1,-1,VLOOKUP(C2320,$T$1:$V$20,3))</f>
        <v>26</v>
      </c>
      <c r="L2320" s="16" t="n">
        <f aca="false">IF(B2320=-1,-1,VLOOKUP(D2320,$Y$1:$AA$22,3))</f>
        <v>8</v>
      </c>
      <c r="N2320" s="10" t="str">
        <f aca="false">_xlfn.UNICHAR(((C2320*21)+G2320)*28+44032)</f>
        <v>허</v>
      </c>
      <c r="O2320" s="10" t="str">
        <f aca="false">_xlfn.UNICHAR(((F2320*21)+D2320)*28+44032)</f>
        <v>토</v>
      </c>
      <c r="P2320" s="12" t="n">
        <f aca="false">COUNTIF($A$2:$A$3000, N2320) + COUNTIF($A$2:$A$3000, O2320)</f>
        <v>2</v>
      </c>
      <c r="Q2320" s="16" t="str">
        <f aca="false">IF(OR(B2320=-1,I2320=0, P2320&lt;&gt;2), "albhed_dummy", _xlfn.CONCAT("albhed ", RIGHT("  " &amp; K2320,2),", ", RIGHT("  " &amp; L2320,2), ", " ,"""",H2320,""", ", """",N2320,""", ","""",O2320,""""," ; ", A2320))</f>
        <v>albhed 26,  8, "터", "허", "토" ; 홉</v>
      </c>
    </row>
    <row r="2321" customFormat="false" ht="17.9" hidden="false" customHeight="true" outlineLevel="0" collapsed="false">
      <c r="A2321" s="16" t="s">
        <v>3163</v>
      </c>
      <c r="B2321" s="16" t="n">
        <f aca="false">IF(_xlfn.UNICODE(A2321)&lt;44032,-1,_xlfn.UNICODE(A2321)-44032)</f>
        <v>10827</v>
      </c>
      <c r="C2321" s="16" t="n">
        <f aca="false">IF(B2321=-1,-1,INT((B2321/28)/21))</f>
        <v>18</v>
      </c>
      <c r="D2321" s="16" t="n">
        <f aca="false">IF(B2321=-1, -1, MOD(INT(B2321/28),21))</f>
        <v>8</v>
      </c>
      <c r="E2321" s="16" t="n">
        <f aca="false">IF(B2321=-1, -1, VLOOKUP(MOD(B2321,28), $T$24:$U$52,2))</f>
        <v>19</v>
      </c>
      <c r="F2321" s="16" t="n">
        <f aca="false">IF($B2321=-1, -1, VLOOKUP(C2321,$T$1:$V$20, 2))</f>
        <v>16</v>
      </c>
      <c r="G2321" s="16" t="n">
        <f aca="false">IF($B2321=-1, -1, VLOOKUP(D2321,$Y$1:$Z$22,2))</f>
        <v>4</v>
      </c>
      <c r="H2321" s="16" t="str">
        <f aca="false">_xlfn.UNICHAR(((F2321*21)+G2321)*28+44032)</f>
        <v>터</v>
      </c>
      <c r="I2321" s="16" t="n">
        <f aca="false">IF(B2321=-1, 1, COUNTIF($A$2:$A$3000, H2321))</f>
        <v>1</v>
      </c>
      <c r="J2321" s="10" t="str">
        <f aca="false">_xlfn.CONCAT(A2321, ",",H2321,",",I2321)</f>
        <v>홋,터,1</v>
      </c>
      <c r="K2321" s="16" t="n">
        <f aca="false">IF(B2321=-1,-1,VLOOKUP(C2321,$T$1:$V$20,3))</f>
        <v>26</v>
      </c>
      <c r="L2321" s="16" t="n">
        <f aca="false">IF(B2321=-1,-1,VLOOKUP(D2321,$Y$1:$AA$22,3))</f>
        <v>8</v>
      </c>
      <c r="N2321" s="10" t="str">
        <f aca="false">_xlfn.UNICHAR(((C2321*21)+G2321)*28+44032)</f>
        <v>허</v>
      </c>
      <c r="O2321" s="10" t="str">
        <f aca="false">_xlfn.UNICHAR(((F2321*21)+D2321)*28+44032)</f>
        <v>토</v>
      </c>
      <c r="P2321" s="12" t="n">
        <f aca="false">COUNTIF($A$2:$A$3000, N2321) + COUNTIF($A$2:$A$3000, O2321)</f>
        <v>2</v>
      </c>
      <c r="Q2321" s="16" t="str">
        <f aca="false">IF(OR(B2321=-1,I2321=0, P2321&lt;&gt;2), "albhed_dummy", _xlfn.CONCAT("albhed ", RIGHT("  " &amp; K2321,2),", ", RIGHT("  " &amp; L2321,2), ", " ,"""",H2321,""", ", """",N2321,""", ","""",O2321,""""," ; ", A2321))</f>
        <v>albhed 26,  8, "터", "허", "토" ; 홋</v>
      </c>
    </row>
    <row r="2322" customFormat="false" ht="17.9" hidden="false" customHeight="true" outlineLevel="0" collapsed="false">
      <c r="A2322" s="16" t="s">
        <v>3164</v>
      </c>
      <c r="B2322" s="16" t="n">
        <f aca="false">IF(_xlfn.UNICODE(A2322)&lt;44032,-1,_xlfn.UNICODE(A2322)-44032)</f>
        <v>10829</v>
      </c>
      <c r="C2322" s="16" t="n">
        <f aca="false">IF(B2322=-1,-1,INT((B2322/28)/21))</f>
        <v>18</v>
      </c>
      <c r="D2322" s="16" t="n">
        <f aca="false">IF(B2322=-1, -1, MOD(INT(B2322/28),21))</f>
        <v>8</v>
      </c>
      <c r="E2322" s="16" t="n">
        <f aca="false">IF(B2322=-1, -1, VLOOKUP(MOD(B2322,28), $T$24:$U$52,2))</f>
        <v>21</v>
      </c>
      <c r="F2322" s="16" t="n">
        <f aca="false">IF($B2322=-1, -1, VLOOKUP(C2322,$T$1:$V$20, 2))</f>
        <v>16</v>
      </c>
      <c r="G2322" s="16" t="n">
        <f aca="false">IF($B2322=-1, -1, VLOOKUP(D2322,$Y$1:$Z$22,2))</f>
        <v>4</v>
      </c>
      <c r="H2322" s="16" t="str">
        <f aca="false">_xlfn.UNICHAR(((F2322*21)+G2322)*28+44032)</f>
        <v>터</v>
      </c>
      <c r="I2322" s="16" t="n">
        <f aca="false">IF(B2322=-1, 1, COUNTIF($A$2:$A$3000, H2322))</f>
        <v>1</v>
      </c>
      <c r="J2322" s="10" t="str">
        <f aca="false">_xlfn.CONCAT(A2322, ",",H2322,",",I2322)</f>
        <v>홍,터,1</v>
      </c>
      <c r="K2322" s="16" t="n">
        <f aca="false">IF(B2322=-1,-1,VLOOKUP(C2322,$T$1:$V$20,3))</f>
        <v>26</v>
      </c>
      <c r="L2322" s="16" t="n">
        <f aca="false">IF(B2322=-1,-1,VLOOKUP(D2322,$Y$1:$AA$22,3))</f>
        <v>8</v>
      </c>
      <c r="N2322" s="10" t="str">
        <f aca="false">_xlfn.UNICHAR(((C2322*21)+G2322)*28+44032)</f>
        <v>허</v>
      </c>
      <c r="O2322" s="10" t="str">
        <f aca="false">_xlfn.UNICHAR(((F2322*21)+D2322)*28+44032)</f>
        <v>토</v>
      </c>
      <c r="P2322" s="12" t="n">
        <f aca="false">COUNTIF($A$2:$A$3000, N2322) + COUNTIF($A$2:$A$3000, O2322)</f>
        <v>2</v>
      </c>
      <c r="Q2322" s="16" t="str">
        <f aca="false">IF(OR(B2322=-1,I2322=0, P2322&lt;&gt;2), "albhed_dummy", _xlfn.CONCAT("albhed ", RIGHT("  " &amp; K2322,2),", ", RIGHT("  " &amp; L2322,2), ", " ,"""",H2322,""", ", """",N2322,""", ","""",O2322,""""," ; ", A2322))</f>
        <v>albhed 26,  8, "터", "허", "토" ; 홍</v>
      </c>
    </row>
    <row r="2323" customFormat="false" ht="17.9" hidden="false" customHeight="true" outlineLevel="0" collapsed="false">
      <c r="A2323" s="16" t="s">
        <v>3165</v>
      </c>
      <c r="B2323" s="16" t="n">
        <f aca="false">IF(_xlfn.UNICODE(A2323)&lt;44032,-1,_xlfn.UNICODE(A2323)-44032)</f>
        <v>10833</v>
      </c>
      <c r="C2323" s="16" t="n">
        <f aca="false">IF(B2323=-1,-1,INT((B2323/28)/21))</f>
        <v>18</v>
      </c>
      <c r="D2323" s="16" t="n">
        <f aca="false">IF(B2323=-1, -1, MOD(INT(B2323/28),21))</f>
        <v>8</v>
      </c>
      <c r="E2323" s="16" t="n">
        <f aca="false">IF(B2323=-1, -1, VLOOKUP(MOD(B2323,28), $T$24:$U$52,2))</f>
        <v>19</v>
      </c>
      <c r="F2323" s="16" t="n">
        <f aca="false">IF($B2323=-1, -1, VLOOKUP(C2323,$T$1:$V$20, 2))</f>
        <v>16</v>
      </c>
      <c r="G2323" s="16" t="n">
        <f aca="false">IF($B2323=-1, -1, VLOOKUP(D2323,$Y$1:$Z$22,2))</f>
        <v>4</v>
      </c>
      <c r="H2323" s="16" t="str">
        <f aca="false">_xlfn.UNICHAR(((F2323*21)+G2323)*28+44032)</f>
        <v>터</v>
      </c>
      <c r="I2323" s="16" t="n">
        <f aca="false">IF(B2323=-1, 1, COUNTIF($A$2:$A$3000, H2323))</f>
        <v>1</v>
      </c>
      <c r="J2323" s="10" t="str">
        <f aca="false">_xlfn.CONCAT(A2323, ",",H2323,",",I2323)</f>
        <v>홑,터,1</v>
      </c>
      <c r="K2323" s="16" t="n">
        <f aca="false">IF(B2323=-1,-1,VLOOKUP(C2323,$T$1:$V$20,3))</f>
        <v>26</v>
      </c>
      <c r="L2323" s="16" t="n">
        <f aca="false">IF(B2323=-1,-1,VLOOKUP(D2323,$Y$1:$AA$22,3))</f>
        <v>8</v>
      </c>
      <c r="N2323" s="10" t="str">
        <f aca="false">_xlfn.UNICHAR(((C2323*21)+G2323)*28+44032)</f>
        <v>허</v>
      </c>
      <c r="O2323" s="10" t="str">
        <f aca="false">_xlfn.UNICHAR(((F2323*21)+D2323)*28+44032)</f>
        <v>토</v>
      </c>
      <c r="P2323" s="12" t="n">
        <f aca="false">COUNTIF($A$2:$A$3000, N2323) + COUNTIF($A$2:$A$3000, O2323)</f>
        <v>2</v>
      </c>
      <c r="Q2323" s="16" t="str">
        <f aca="false">IF(OR(B2323=-1,I2323=0, P2323&lt;&gt;2), "albhed_dummy", _xlfn.CONCAT("albhed ", RIGHT("  " &amp; K2323,2),", ", RIGHT("  " &amp; L2323,2), ", " ,"""",H2323,""", ", """",N2323,""", ","""",O2323,""""," ; ", A2323))</f>
        <v>albhed 26,  8, "터", "허", "토" ; 홑</v>
      </c>
    </row>
    <row r="2324" customFormat="false" ht="17.9" hidden="false" customHeight="true" outlineLevel="0" collapsed="false">
      <c r="A2324" s="16" t="s">
        <v>3166</v>
      </c>
      <c r="B2324" s="16" t="n">
        <f aca="false">IF(_xlfn.UNICODE(A2324)&lt;44032,-1,_xlfn.UNICODE(A2324)-44032)</f>
        <v>10836</v>
      </c>
      <c r="C2324" s="16" t="n">
        <f aca="false">IF(B2324=-1,-1,INT((B2324/28)/21))</f>
        <v>18</v>
      </c>
      <c r="D2324" s="16" t="n">
        <f aca="false">IF(B2324=-1, -1, MOD(INT(B2324/28),21))</f>
        <v>9</v>
      </c>
      <c r="E2324" s="16" t="n">
        <f aca="false">IF(B2324=-1, -1, VLOOKUP(MOD(B2324,28), $T$24:$U$52,2))</f>
        <v>0</v>
      </c>
      <c r="F2324" s="16" t="n">
        <f aca="false">IF($B2324=-1, -1, VLOOKUP(C2324,$T$1:$V$20, 2))</f>
        <v>16</v>
      </c>
      <c r="G2324" s="16" t="n">
        <f aca="false">IF($B2324=-1, -1, VLOOKUP(D2324,$Y$1:$Z$22,2))</f>
        <v>20</v>
      </c>
      <c r="H2324" s="16" t="str">
        <f aca="false">_xlfn.UNICHAR(((F2324*21)+G2324)*28+44032)</f>
        <v>티</v>
      </c>
      <c r="I2324" s="16" t="n">
        <f aca="false">IF(B2324=-1, 1, COUNTIF($A$2:$A$3000, H2324))</f>
        <v>1</v>
      </c>
      <c r="J2324" s="10" t="str">
        <f aca="false">_xlfn.CONCAT(A2324, ",",H2324,",",I2324)</f>
        <v>화,티,1</v>
      </c>
      <c r="K2324" s="16" t="n">
        <f aca="false">IF(B2324=-1,-1,VLOOKUP(C2324,$T$1:$V$20,3))</f>
        <v>26</v>
      </c>
      <c r="L2324" s="16" t="n">
        <f aca="false">IF(B2324=-1,-1,VLOOKUP(D2324,$Y$1:$AA$22,3))</f>
        <v>12</v>
      </c>
      <c r="N2324" s="10" t="str">
        <f aca="false">_xlfn.UNICHAR(((C2324*21)+G2324)*28+44032)</f>
        <v>히</v>
      </c>
      <c r="O2324" s="10" t="str">
        <f aca="false">_xlfn.UNICHAR(((F2324*21)+D2324)*28+44032)</f>
        <v>톼</v>
      </c>
      <c r="P2324" s="12" t="n">
        <f aca="false">COUNTIF($A$2:$A$3000, N2324) + COUNTIF($A$2:$A$3000, O2324)</f>
        <v>2</v>
      </c>
      <c r="Q2324" s="16" t="str">
        <f aca="false">IF(OR(B2324=-1,I2324=0, P2324&lt;&gt;2), "albhed_dummy", _xlfn.CONCAT("albhed ", RIGHT("  " &amp; K2324,2),", ", RIGHT("  " &amp; L2324,2), ", " ,"""",H2324,""", ", """",N2324,""", ","""",O2324,""""," ; ", A2324))</f>
        <v>albhed 26, 12, "티", "히", "톼" ; 화</v>
      </c>
    </row>
    <row r="2325" customFormat="false" ht="17.9" hidden="false" customHeight="true" outlineLevel="0" collapsed="false">
      <c r="A2325" s="16" t="s">
        <v>3167</v>
      </c>
      <c r="B2325" s="16" t="n">
        <f aca="false">IF(_xlfn.UNICODE(A2325)&lt;44032,-1,_xlfn.UNICODE(A2325)-44032)</f>
        <v>10837</v>
      </c>
      <c r="C2325" s="16" t="n">
        <f aca="false">IF(B2325=-1,-1,INT((B2325/28)/21))</f>
        <v>18</v>
      </c>
      <c r="D2325" s="16" t="n">
        <f aca="false">IF(B2325=-1, -1, MOD(INT(B2325/28),21))</f>
        <v>9</v>
      </c>
      <c r="E2325" s="16" t="n">
        <f aca="false">IF(B2325=-1, -1, VLOOKUP(MOD(B2325,28), $T$24:$U$52,2))</f>
        <v>1</v>
      </c>
      <c r="F2325" s="16" t="n">
        <f aca="false">IF($B2325=-1, -1, VLOOKUP(C2325,$T$1:$V$20, 2))</f>
        <v>16</v>
      </c>
      <c r="G2325" s="16" t="n">
        <f aca="false">IF($B2325=-1, -1, VLOOKUP(D2325,$Y$1:$Z$22,2))</f>
        <v>20</v>
      </c>
      <c r="H2325" s="16" t="str">
        <f aca="false">_xlfn.UNICHAR(((F2325*21)+G2325)*28+44032)</f>
        <v>티</v>
      </c>
      <c r="I2325" s="16" t="n">
        <f aca="false">IF(B2325=-1, 1, COUNTIF($A$2:$A$3000, H2325))</f>
        <v>1</v>
      </c>
      <c r="J2325" s="10" t="str">
        <f aca="false">_xlfn.CONCAT(A2325, ",",H2325,",",I2325)</f>
        <v>확,티,1</v>
      </c>
      <c r="K2325" s="16" t="n">
        <f aca="false">IF(B2325=-1,-1,VLOOKUP(C2325,$T$1:$V$20,3))</f>
        <v>26</v>
      </c>
      <c r="L2325" s="16" t="n">
        <f aca="false">IF(B2325=-1,-1,VLOOKUP(D2325,$Y$1:$AA$22,3))</f>
        <v>12</v>
      </c>
      <c r="N2325" s="10" t="str">
        <f aca="false">_xlfn.UNICHAR(((C2325*21)+G2325)*28+44032)</f>
        <v>히</v>
      </c>
      <c r="O2325" s="10" t="str">
        <f aca="false">_xlfn.UNICHAR(((F2325*21)+D2325)*28+44032)</f>
        <v>톼</v>
      </c>
      <c r="P2325" s="12" t="n">
        <f aca="false">COUNTIF($A$2:$A$3000, N2325) + COUNTIF($A$2:$A$3000, O2325)</f>
        <v>2</v>
      </c>
      <c r="Q2325" s="16" t="str">
        <f aca="false">IF(OR(B2325=-1,I2325=0, P2325&lt;&gt;2), "albhed_dummy", _xlfn.CONCAT("albhed ", RIGHT("  " &amp; K2325,2),", ", RIGHT("  " &amp; L2325,2), ", " ,"""",H2325,""", ", """",N2325,""", ","""",O2325,""""," ; ", A2325))</f>
        <v>albhed 26, 12, "티", "히", "톼" ; 확</v>
      </c>
    </row>
    <row r="2326" customFormat="false" ht="17.9" hidden="false" customHeight="true" outlineLevel="0" collapsed="false">
      <c r="A2326" s="16" t="s">
        <v>3168</v>
      </c>
      <c r="B2326" s="16" t="n">
        <f aca="false">IF(_xlfn.UNICODE(A2326)&lt;44032,-1,_xlfn.UNICODE(A2326)-44032)</f>
        <v>10840</v>
      </c>
      <c r="C2326" s="16" t="n">
        <f aca="false">IF(B2326=-1,-1,INT((B2326/28)/21))</f>
        <v>18</v>
      </c>
      <c r="D2326" s="16" t="n">
        <f aca="false">IF(B2326=-1, -1, MOD(INT(B2326/28),21))</f>
        <v>9</v>
      </c>
      <c r="E2326" s="16" t="n">
        <f aca="false">IF(B2326=-1, -1, VLOOKUP(MOD(B2326,28), $T$24:$U$52,2))</f>
        <v>4</v>
      </c>
      <c r="F2326" s="16" t="n">
        <f aca="false">IF($B2326=-1, -1, VLOOKUP(C2326,$T$1:$V$20, 2))</f>
        <v>16</v>
      </c>
      <c r="G2326" s="16" t="n">
        <f aca="false">IF($B2326=-1, -1, VLOOKUP(D2326,$Y$1:$Z$22,2))</f>
        <v>20</v>
      </c>
      <c r="H2326" s="16" t="str">
        <f aca="false">_xlfn.UNICHAR(((F2326*21)+G2326)*28+44032)</f>
        <v>티</v>
      </c>
      <c r="I2326" s="16" t="n">
        <f aca="false">IF(B2326=-1, 1, COUNTIF($A$2:$A$3000, H2326))</f>
        <v>1</v>
      </c>
      <c r="J2326" s="10" t="str">
        <f aca="false">_xlfn.CONCAT(A2326, ",",H2326,",",I2326)</f>
        <v>환,티,1</v>
      </c>
      <c r="K2326" s="16" t="n">
        <f aca="false">IF(B2326=-1,-1,VLOOKUP(C2326,$T$1:$V$20,3))</f>
        <v>26</v>
      </c>
      <c r="L2326" s="16" t="n">
        <f aca="false">IF(B2326=-1,-1,VLOOKUP(D2326,$Y$1:$AA$22,3))</f>
        <v>12</v>
      </c>
      <c r="N2326" s="10" t="str">
        <f aca="false">_xlfn.UNICHAR(((C2326*21)+G2326)*28+44032)</f>
        <v>히</v>
      </c>
      <c r="O2326" s="10" t="str">
        <f aca="false">_xlfn.UNICHAR(((F2326*21)+D2326)*28+44032)</f>
        <v>톼</v>
      </c>
      <c r="P2326" s="12" t="n">
        <f aca="false">COUNTIF($A$2:$A$3000, N2326) + COUNTIF($A$2:$A$3000, O2326)</f>
        <v>2</v>
      </c>
      <c r="Q2326" s="16" t="str">
        <f aca="false">IF(OR(B2326=-1,I2326=0, P2326&lt;&gt;2), "albhed_dummy", _xlfn.CONCAT("albhed ", RIGHT("  " &amp; K2326,2),", ", RIGHT("  " &amp; L2326,2), ", " ,"""",H2326,""", ", """",N2326,""", ","""",O2326,""""," ; ", A2326))</f>
        <v>albhed 26, 12, "티", "히", "톼" ; 환</v>
      </c>
    </row>
    <row r="2327" customFormat="false" ht="17.9" hidden="false" customHeight="true" outlineLevel="0" collapsed="false">
      <c r="A2327" s="16" t="s">
        <v>3169</v>
      </c>
      <c r="B2327" s="16" t="n">
        <f aca="false">IF(_xlfn.UNICODE(A2327)&lt;44032,-1,_xlfn.UNICODE(A2327)-44032)</f>
        <v>10844</v>
      </c>
      <c r="C2327" s="16" t="n">
        <f aca="false">IF(B2327=-1,-1,INT((B2327/28)/21))</f>
        <v>18</v>
      </c>
      <c r="D2327" s="16" t="n">
        <f aca="false">IF(B2327=-1, -1, MOD(INT(B2327/28),21))</f>
        <v>9</v>
      </c>
      <c r="E2327" s="16" t="n">
        <f aca="false">IF(B2327=-1, -1, VLOOKUP(MOD(B2327,28), $T$24:$U$52,2))</f>
        <v>8</v>
      </c>
      <c r="F2327" s="16" t="n">
        <f aca="false">IF($B2327=-1, -1, VLOOKUP(C2327,$T$1:$V$20, 2))</f>
        <v>16</v>
      </c>
      <c r="G2327" s="16" t="n">
        <f aca="false">IF($B2327=-1, -1, VLOOKUP(D2327,$Y$1:$Z$22,2))</f>
        <v>20</v>
      </c>
      <c r="H2327" s="16" t="str">
        <f aca="false">_xlfn.UNICHAR(((F2327*21)+G2327)*28+44032)</f>
        <v>티</v>
      </c>
      <c r="I2327" s="16" t="n">
        <f aca="false">IF(B2327=-1, 1, COUNTIF($A$2:$A$3000, H2327))</f>
        <v>1</v>
      </c>
      <c r="J2327" s="10" t="str">
        <f aca="false">_xlfn.CONCAT(A2327, ",",H2327,",",I2327)</f>
        <v>활,티,1</v>
      </c>
      <c r="K2327" s="16" t="n">
        <f aca="false">IF(B2327=-1,-1,VLOOKUP(C2327,$T$1:$V$20,3))</f>
        <v>26</v>
      </c>
      <c r="L2327" s="16" t="n">
        <f aca="false">IF(B2327=-1,-1,VLOOKUP(D2327,$Y$1:$AA$22,3))</f>
        <v>12</v>
      </c>
      <c r="N2327" s="10" t="str">
        <f aca="false">_xlfn.UNICHAR(((C2327*21)+G2327)*28+44032)</f>
        <v>히</v>
      </c>
      <c r="O2327" s="10" t="str">
        <f aca="false">_xlfn.UNICHAR(((F2327*21)+D2327)*28+44032)</f>
        <v>톼</v>
      </c>
      <c r="P2327" s="12" t="n">
        <f aca="false">COUNTIF($A$2:$A$3000, N2327) + COUNTIF($A$2:$A$3000, O2327)</f>
        <v>2</v>
      </c>
      <c r="Q2327" s="16" t="str">
        <f aca="false">IF(OR(B2327=-1,I2327=0, P2327&lt;&gt;2), "albhed_dummy", _xlfn.CONCAT("albhed ", RIGHT("  " &amp; K2327,2),", ", RIGHT("  " &amp; L2327,2), ", " ,"""",H2327,""", ", """",N2327,""", ","""",O2327,""""," ; ", A2327))</f>
        <v>albhed 26, 12, "티", "히", "톼" ; 활</v>
      </c>
    </row>
    <row r="2328" customFormat="false" ht="17.9" hidden="false" customHeight="true" outlineLevel="0" collapsed="false">
      <c r="A2328" s="16" t="s">
        <v>3170</v>
      </c>
      <c r="B2328" s="16" t="n">
        <f aca="false">IF(_xlfn.UNICODE(A2328)&lt;44032,-1,_xlfn.UNICODE(A2328)-44032)</f>
        <v>10855</v>
      </c>
      <c r="C2328" s="16" t="n">
        <f aca="false">IF(B2328=-1,-1,INT((B2328/28)/21))</f>
        <v>18</v>
      </c>
      <c r="D2328" s="16" t="n">
        <f aca="false">IF(B2328=-1, -1, MOD(INT(B2328/28),21))</f>
        <v>9</v>
      </c>
      <c r="E2328" s="16" t="n">
        <f aca="false">IF(B2328=-1, -1, VLOOKUP(MOD(B2328,28), $T$24:$U$52,2))</f>
        <v>19</v>
      </c>
      <c r="F2328" s="16" t="n">
        <f aca="false">IF($B2328=-1, -1, VLOOKUP(C2328,$T$1:$V$20, 2))</f>
        <v>16</v>
      </c>
      <c r="G2328" s="16" t="n">
        <f aca="false">IF($B2328=-1, -1, VLOOKUP(D2328,$Y$1:$Z$22,2))</f>
        <v>20</v>
      </c>
      <c r="H2328" s="16" t="str">
        <f aca="false">_xlfn.UNICHAR(((F2328*21)+G2328)*28+44032)</f>
        <v>티</v>
      </c>
      <c r="I2328" s="16" t="n">
        <f aca="false">IF(B2328=-1, 1, COUNTIF($A$2:$A$3000, H2328))</f>
        <v>1</v>
      </c>
      <c r="J2328" s="10" t="str">
        <f aca="false">_xlfn.CONCAT(A2328, ",",H2328,",",I2328)</f>
        <v>홧,티,1</v>
      </c>
      <c r="K2328" s="16" t="n">
        <f aca="false">IF(B2328=-1,-1,VLOOKUP(C2328,$T$1:$V$20,3))</f>
        <v>26</v>
      </c>
      <c r="L2328" s="16" t="n">
        <f aca="false">IF(B2328=-1,-1,VLOOKUP(D2328,$Y$1:$AA$22,3))</f>
        <v>12</v>
      </c>
      <c r="N2328" s="10" t="str">
        <f aca="false">_xlfn.UNICHAR(((C2328*21)+G2328)*28+44032)</f>
        <v>히</v>
      </c>
      <c r="O2328" s="10" t="str">
        <f aca="false">_xlfn.UNICHAR(((F2328*21)+D2328)*28+44032)</f>
        <v>톼</v>
      </c>
      <c r="P2328" s="12" t="n">
        <f aca="false">COUNTIF($A$2:$A$3000, N2328) + COUNTIF($A$2:$A$3000, O2328)</f>
        <v>2</v>
      </c>
      <c r="Q2328" s="16" t="str">
        <f aca="false">IF(OR(B2328=-1,I2328=0, P2328&lt;&gt;2), "albhed_dummy", _xlfn.CONCAT("albhed ", RIGHT("  " &amp; K2328,2),", ", RIGHT("  " &amp; L2328,2), ", " ,"""",H2328,""", ", """",N2328,""", ","""",O2328,""""," ; ", A2328))</f>
        <v>albhed 26, 12, "티", "히", "톼" ; 홧</v>
      </c>
    </row>
    <row r="2329" customFormat="false" ht="17.9" hidden="false" customHeight="true" outlineLevel="0" collapsed="false">
      <c r="A2329" s="16" t="s">
        <v>3171</v>
      </c>
      <c r="B2329" s="16" t="n">
        <f aca="false">IF(_xlfn.UNICODE(A2329)&lt;44032,-1,_xlfn.UNICODE(A2329)-44032)</f>
        <v>10857</v>
      </c>
      <c r="C2329" s="16" t="n">
        <f aca="false">IF(B2329=-1,-1,INT((B2329/28)/21))</f>
        <v>18</v>
      </c>
      <c r="D2329" s="16" t="n">
        <f aca="false">IF(B2329=-1, -1, MOD(INT(B2329/28),21))</f>
        <v>9</v>
      </c>
      <c r="E2329" s="16" t="n">
        <f aca="false">IF(B2329=-1, -1, VLOOKUP(MOD(B2329,28), $T$24:$U$52,2))</f>
        <v>21</v>
      </c>
      <c r="F2329" s="16" t="n">
        <f aca="false">IF($B2329=-1, -1, VLOOKUP(C2329,$T$1:$V$20, 2))</f>
        <v>16</v>
      </c>
      <c r="G2329" s="16" t="n">
        <f aca="false">IF($B2329=-1, -1, VLOOKUP(D2329,$Y$1:$Z$22,2))</f>
        <v>20</v>
      </c>
      <c r="H2329" s="16" t="str">
        <f aca="false">_xlfn.UNICHAR(((F2329*21)+G2329)*28+44032)</f>
        <v>티</v>
      </c>
      <c r="I2329" s="16" t="n">
        <f aca="false">IF(B2329=-1, 1, COUNTIF($A$2:$A$3000, H2329))</f>
        <v>1</v>
      </c>
      <c r="J2329" s="10" t="str">
        <f aca="false">_xlfn.CONCAT(A2329, ",",H2329,",",I2329)</f>
        <v>황,티,1</v>
      </c>
      <c r="K2329" s="16" t="n">
        <f aca="false">IF(B2329=-1,-1,VLOOKUP(C2329,$T$1:$V$20,3))</f>
        <v>26</v>
      </c>
      <c r="L2329" s="16" t="n">
        <f aca="false">IF(B2329=-1,-1,VLOOKUP(D2329,$Y$1:$AA$22,3))</f>
        <v>12</v>
      </c>
      <c r="N2329" s="10" t="str">
        <f aca="false">_xlfn.UNICHAR(((C2329*21)+G2329)*28+44032)</f>
        <v>히</v>
      </c>
      <c r="O2329" s="10" t="str">
        <f aca="false">_xlfn.UNICHAR(((F2329*21)+D2329)*28+44032)</f>
        <v>톼</v>
      </c>
      <c r="P2329" s="12" t="n">
        <f aca="false">COUNTIF($A$2:$A$3000, N2329) + COUNTIF($A$2:$A$3000, O2329)</f>
        <v>2</v>
      </c>
      <c r="Q2329" s="16" t="str">
        <f aca="false">IF(OR(B2329=-1,I2329=0, P2329&lt;&gt;2), "albhed_dummy", _xlfn.CONCAT("albhed ", RIGHT("  " &amp; K2329,2),", ", RIGHT("  " &amp; L2329,2), ", " ,"""",H2329,""", ", """",N2329,""", ","""",O2329,""""," ; ", A2329))</f>
        <v>albhed 26, 12, "티", "히", "톼" ; 황</v>
      </c>
    </row>
    <row r="2330" customFormat="false" ht="17.9" hidden="false" customHeight="true" outlineLevel="0" collapsed="false">
      <c r="A2330" s="16" t="s">
        <v>3172</v>
      </c>
      <c r="B2330" s="16" t="n">
        <f aca="false">IF(_xlfn.UNICODE(A2330)&lt;44032,-1,_xlfn.UNICODE(A2330)-44032)</f>
        <v>10864</v>
      </c>
      <c r="C2330" s="16" t="n">
        <f aca="false">IF(B2330=-1,-1,INT((B2330/28)/21))</f>
        <v>18</v>
      </c>
      <c r="D2330" s="16" t="n">
        <f aca="false">IF(B2330=-1, -1, MOD(INT(B2330/28),21))</f>
        <v>10</v>
      </c>
      <c r="E2330" s="16" t="n">
        <f aca="false">IF(B2330=-1, -1, VLOOKUP(MOD(B2330,28), $T$24:$U$52,2))</f>
        <v>0</v>
      </c>
      <c r="F2330" s="16" t="n">
        <f aca="false">IF($B2330=-1, -1, VLOOKUP(C2330,$T$1:$V$20, 2))</f>
        <v>16</v>
      </c>
      <c r="G2330" s="16" t="n">
        <f aca="false">IF($B2330=-1, -1, VLOOKUP(D2330,$Y$1:$Z$22,2))</f>
        <v>20</v>
      </c>
      <c r="H2330" s="16" t="str">
        <f aca="false">_xlfn.UNICHAR(((F2330*21)+G2330)*28+44032)</f>
        <v>티</v>
      </c>
      <c r="I2330" s="16" t="n">
        <f aca="false">IF(B2330=-1, 1, COUNTIF($A$2:$A$3000, H2330))</f>
        <v>1</v>
      </c>
      <c r="J2330" s="10" t="str">
        <f aca="false">_xlfn.CONCAT(A2330, ",",H2330,",",I2330)</f>
        <v>홰,티,1</v>
      </c>
      <c r="K2330" s="16" t="n">
        <f aca="false">IF(B2330=-1,-1,VLOOKUP(C2330,$T$1:$V$20,3))</f>
        <v>26</v>
      </c>
      <c r="L2330" s="16" t="n">
        <f aca="false">IF(B2330=-1,-1,VLOOKUP(D2330,$Y$1:$AA$22,3))</f>
        <v>12</v>
      </c>
      <c r="N2330" s="10" t="str">
        <f aca="false">_xlfn.UNICHAR(((C2330*21)+G2330)*28+44032)</f>
        <v>히</v>
      </c>
      <c r="O2330" s="10" t="str">
        <f aca="false">_xlfn.UNICHAR(((F2330*21)+D2330)*28+44032)</f>
        <v>퇘</v>
      </c>
      <c r="P2330" s="12" t="n">
        <f aca="false">COUNTIF($A$2:$A$3000, N2330) + COUNTIF($A$2:$A$3000, O2330)</f>
        <v>2</v>
      </c>
      <c r="Q2330" s="16" t="str">
        <f aca="false">IF(OR(B2330=-1,I2330=0, P2330&lt;&gt;2), "albhed_dummy", _xlfn.CONCAT("albhed ", RIGHT("  " &amp; K2330,2),", ", RIGHT("  " &amp; L2330,2), ", " ,"""",H2330,""", ", """",N2330,""", ","""",O2330,""""," ; ", A2330))</f>
        <v>albhed 26, 12, "티", "히", "퇘" ; 홰</v>
      </c>
    </row>
    <row r="2331" customFormat="false" ht="17.9" hidden="false" customHeight="true" outlineLevel="0" collapsed="false">
      <c r="A2331" s="16" t="s">
        <v>3173</v>
      </c>
      <c r="B2331" s="16" t="n">
        <f aca="false">IF(_xlfn.UNICODE(A2331)&lt;44032,-1,_xlfn.UNICODE(A2331)-44032)</f>
        <v>10865</v>
      </c>
      <c r="C2331" s="16" t="n">
        <f aca="false">IF(B2331=-1,-1,INT((B2331/28)/21))</f>
        <v>18</v>
      </c>
      <c r="D2331" s="16" t="n">
        <f aca="false">IF(B2331=-1, -1, MOD(INT(B2331/28),21))</f>
        <v>10</v>
      </c>
      <c r="E2331" s="16" t="n">
        <f aca="false">IF(B2331=-1, -1, VLOOKUP(MOD(B2331,28), $T$24:$U$52,2))</f>
        <v>1</v>
      </c>
      <c r="F2331" s="16" t="n">
        <f aca="false">IF($B2331=-1, -1, VLOOKUP(C2331,$T$1:$V$20, 2))</f>
        <v>16</v>
      </c>
      <c r="G2331" s="16" t="n">
        <f aca="false">IF($B2331=-1, -1, VLOOKUP(D2331,$Y$1:$Z$22,2))</f>
        <v>20</v>
      </c>
      <c r="H2331" s="16" t="str">
        <f aca="false">_xlfn.UNICHAR(((F2331*21)+G2331)*28+44032)</f>
        <v>티</v>
      </c>
      <c r="I2331" s="16" t="n">
        <f aca="false">IF(B2331=-1, 1, COUNTIF($A$2:$A$3000, H2331))</f>
        <v>1</v>
      </c>
      <c r="J2331" s="10" t="str">
        <f aca="false">_xlfn.CONCAT(A2331, ",",H2331,",",I2331)</f>
        <v>홱,티,1</v>
      </c>
      <c r="K2331" s="16" t="n">
        <f aca="false">IF(B2331=-1,-1,VLOOKUP(C2331,$T$1:$V$20,3))</f>
        <v>26</v>
      </c>
      <c r="L2331" s="16" t="n">
        <f aca="false">IF(B2331=-1,-1,VLOOKUP(D2331,$Y$1:$AA$22,3))</f>
        <v>12</v>
      </c>
      <c r="N2331" s="10" t="str">
        <f aca="false">_xlfn.UNICHAR(((C2331*21)+G2331)*28+44032)</f>
        <v>히</v>
      </c>
      <c r="O2331" s="10" t="str">
        <f aca="false">_xlfn.UNICHAR(((F2331*21)+D2331)*28+44032)</f>
        <v>퇘</v>
      </c>
      <c r="P2331" s="12" t="n">
        <f aca="false">COUNTIF($A$2:$A$3000, N2331) + COUNTIF($A$2:$A$3000, O2331)</f>
        <v>2</v>
      </c>
      <c r="Q2331" s="16" t="str">
        <f aca="false">IF(OR(B2331=-1,I2331=0, P2331&lt;&gt;2), "albhed_dummy", _xlfn.CONCAT("albhed ", RIGHT("  " &amp; K2331,2),", ", RIGHT("  " &amp; L2331,2), ", " ,"""",H2331,""", ", """",N2331,""", ","""",O2331,""""," ; ", A2331))</f>
        <v>albhed 26, 12, "티", "히", "퇘" ; 홱</v>
      </c>
    </row>
    <row r="2332" customFormat="false" ht="17.9" hidden="false" customHeight="true" outlineLevel="0" collapsed="false">
      <c r="A2332" s="16" t="s">
        <v>3174</v>
      </c>
      <c r="B2332" s="16" t="n">
        <f aca="false">IF(_xlfn.UNICODE(A2332)&lt;44032,-1,_xlfn.UNICODE(A2332)-44032)</f>
        <v>10868</v>
      </c>
      <c r="C2332" s="16" t="n">
        <f aca="false">IF(B2332=-1,-1,INT((B2332/28)/21))</f>
        <v>18</v>
      </c>
      <c r="D2332" s="16" t="n">
        <f aca="false">IF(B2332=-1, -1, MOD(INT(B2332/28),21))</f>
        <v>10</v>
      </c>
      <c r="E2332" s="16" t="n">
        <f aca="false">IF(B2332=-1, -1, VLOOKUP(MOD(B2332,28), $T$24:$U$52,2))</f>
        <v>4</v>
      </c>
      <c r="F2332" s="16" t="n">
        <f aca="false">IF($B2332=-1, -1, VLOOKUP(C2332,$T$1:$V$20, 2))</f>
        <v>16</v>
      </c>
      <c r="G2332" s="16" t="n">
        <f aca="false">IF($B2332=-1, -1, VLOOKUP(D2332,$Y$1:$Z$22,2))</f>
        <v>20</v>
      </c>
      <c r="H2332" s="16" t="str">
        <f aca="false">_xlfn.UNICHAR(((F2332*21)+G2332)*28+44032)</f>
        <v>티</v>
      </c>
      <c r="I2332" s="16" t="n">
        <f aca="false">IF(B2332=-1, 1, COUNTIF($A$2:$A$3000, H2332))</f>
        <v>1</v>
      </c>
      <c r="J2332" s="10" t="str">
        <f aca="false">_xlfn.CONCAT(A2332, ",",H2332,",",I2332)</f>
        <v>홴,티,1</v>
      </c>
      <c r="K2332" s="16" t="n">
        <f aca="false">IF(B2332=-1,-1,VLOOKUP(C2332,$T$1:$V$20,3))</f>
        <v>26</v>
      </c>
      <c r="L2332" s="16" t="n">
        <f aca="false">IF(B2332=-1,-1,VLOOKUP(D2332,$Y$1:$AA$22,3))</f>
        <v>12</v>
      </c>
      <c r="N2332" s="10" t="str">
        <f aca="false">_xlfn.UNICHAR(((C2332*21)+G2332)*28+44032)</f>
        <v>히</v>
      </c>
      <c r="O2332" s="10" t="str">
        <f aca="false">_xlfn.UNICHAR(((F2332*21)+D2332)*28+44032)</f>
        <v>퇘</v>
      </c>
      <c r="P2332" s="12" t="n">
        <f aca="false">COUNTIF($A$2:$A$3000, N2332) + COUNTIF($A$2:$A$3000, O2332)</f>
        <v>2</v>
      </c>
      <c r="Q2332" s="16" t="str">
        <f aca="false">IF(OR(B2332=-1,I2332=0, P2332&lt;&gt;2), "albhed_dummy", _xlfn.CONCAT("albhed ", RIGHT("  " &amp; K2332,2),", ", RIGHT("  " &amp; L2332,2), ", " ,"""",H2332,""", ", """",N2332,""", ","""",O2332,""""," ; ", A2332))</f>
        <v>albhed 26, 12, "티", "히", "퇘" ; 홴</v>
      </c>
    </row>
    <row r="2333" customFormat="false" ht="17.9" hidden="false" customHeight="true" outlineLevel="0" collapsed="false">
      <c r="A2333" s="16" t="s">
        <v>3175</v>
      </c>
      <c r="B2333" s="16" t="n">
        <f aca="false">IF(_xlfn.UNICODE(A2333)&lt;44032,-1,_xlfn.UNICODE(A2333)-44032)</f>
        <v>10883</v>
      </c>
      <c r="C2333" s="16" t="n">
        <f aca="false">IF(B2333=-1,-1,INT((B2333/28)/21))</f>
        <v>18</v>
      </c>
      <c r="D2333" s="16" t="n">
        <f aca="false">IF(B2333=-1, -1, MOD(INT(B2333/28),21))</f>
        <v>10</v>
      </c>
      <c r="E2333" s="16" t="n">
        <f aca="false">IF(B2333=-1, -1, VLOOKUP(MOD(B2333,28), $T$24:$U$52,2))</f>
        <v>19</v>
      </c>
      <c r="F2333" s="16" t="n">
        <f aca="false">IF($B2333=-1, -1, VLOOKUP(C2333,$T$1:$V$20, 2))</f>
        <v>16</v>
      </c>
      <c r="G2333" s="16" t="n">
        <f aca="false">IF($B2333=-1, -1, VLOOKUP(D2333,$Y$1:$Z$22,2))</f>
        <v>20</v>
      </c>
      <c r="H2333" s="16" t="str">
        <f aca="false">_xlfn.UNICHAR(((F2333*21)+G2333)*28+44032)</f>
        <v>티</v>
      </c>
      <c r="I2333" s="16" t="n">
        <f aca="false">IF(B2333=-1, 1, COUNTIF($A$2:$A$3000, H2333))</f>
        <v>1</v>
      </c>
      <c r="J2333" s="10" t="str">
        <f aca="false">_xlfn.CONCAT(A2333, ",",H2333,",",I2333)</f>
        <v>횃,티,1</v>
      </c>
      <c r="K2333" s="16" t="n">
        <f aca="false">IF(B2333=-1,-1,VLOOKUP(C2333,$T$1:$V$20,3))</f>
        <v>26</v>
      </c>
      <c r="L2333" s="16" t="n">
        <f aca="false">IF(B2333=-1,-1,VLOOKUP(D2333,$Y$1:$AA$22,3))</f>
        <v>12</v>
      </c>
      <c r="N2333" s="10" t="str">
        <f aca="false">_xlfn.UNICHAR(((C2333*21)+G2333)*28+44032)</f>
        <v>히</v>
      </c>
      <c r="O2333" s="10" t="str">
        <f aca="false">_xlfn.UNICHAR(((F2333*21)+D2333)*28+44032)</f>
        <v>퇘</v>
      </c>
      <c r="P2333" s="12" t="n">
        <f aca="false">COUNTIF($A$2:$A$3000, N2333) + COUNTIF($A$2:$A$3000, O2333)</f>
        <v>2</v>
      </c>
      <c r="Q2333" s="16" t="str">
        <f aca="false">IF(OR(B2333=-1,I2333=0, P2333&lt;&gt;2), "albhed_dummy", _xlfn.CONCAT("albhed ", RIGHT("  " &amp; K2333,2),", ", RIGHT("  " &amp; L2333,2), ", " ,"""",H2333,""", ", """",N2333,""", ","""",O2333,""""," ; ", A2333))</f>
        <v>albhed 26, 12, "티", "히", "퇘" ; 횃</v>
      </c>
    </row>
    <row r="2334" customFormat="false" ht="17.9" hidden="false" customHeight="true" outlineLevel="0" collapsed="false">
      <c r="A2334" s="16" t="s">
        <v>3176</v>
      </c>
      <c r="B2334" s="16" t="n">
        <f aca="false">IF(_xlfn.UNICODE(A2334)&lt;44032,-1,_xlfn.UNICODE(A2334)-44032)</f>
        <v>10885</v>
      </c>
      <c r="C2334" s="16" t="n">
        <f aca="false">IF(B2334=-1,-1,INT((B2334/28)/21))</f>
        <v>18</v>
      </c>
      <c r="D2334" s="16" t="n">
        <f aca="false">IF(B2334=-1, -1, MOD(INT(B2334/28),21))</f>
        <v>10</v>
      </c>
      <c r="E2334" s="16" t="n">
        <f aca="false">IF(B2334=-1, -1, VLOOKUP(MOD(B2334,28), $T$24:$U$52,2))</f>
        <v>21</v>
      </c>
      <c r="F2334" s="16" t="n">
        <f aca="false">IF($B2334=-1, -1, VLOOKUP(C2334,$T$1:$V$20, 2))</f>
        <v>16</v>
      </c>
      <c r="G2334" s="16" t="n">
        <f aca="false">IF($B2334=-1, -1, VLOOKUP(D2334,$Y$1:$Z$22,2))</f>
        <v>20</v>
      </c>
      <c r="H2334" s="16" t="str">
        <f aca="false">_xlfn.UNICHAR(((F2334*21)+G2334)*28+44032)</f>
        <v>티</v>
      </c>
      <c r="I2334" s="16" t="n">
        <f aca="false">IF(B2334=-1, 1, COUNTIF($A$2:$A$3000, H2334))</f>
        <v>1</v>
      </c>
      <c r="J2334" s="10" t="str">
        <f aca="false">_xlfn.CONCAT(A2334, ",",H2334,",",I2334)</f>
        <v>횅,티,1</v>
      </c>
      <c r="K2334" s="16" t="n">
        <f aca="false">IF(B2334=-1,-1,VLOOKUP(C2334,$T$1:$V$20,3))</f>
        <v>26</v>
      </c>
      <c r="L2334" s="16" t="n">
        <f aca="false">IF(B2334=-1,-1,VLOOKUP(D2334,$Y$1:$AA$22,3))</f>
        <v>12</v>
      </c>
      <c r="N2334" s="10" t="str">
        <f aca="false">_xlfn.UNICHAR(((C2334*21)+G2334)*28+44032)</f>
        <v>히</v>
      </c>
      <c r="O2334" s="10" t="str">
        <f aca="false">_xlfn.UNICHAR(((F2334*21)+D2334)*28+44032)</f>
        <v>퇘</v>
      </c>
      <c r="P2334" s="12" t="n">
        <f aca="false">COUNTIF($A$2:$A$3000, N2334) + COUNTIF($A$2:$A$3000, O2334)</f>
        <v>2</v>
      </c>
      <c r="Q2334" s="16" t="str">
        <f aca="false">IF(OR(B2334=-1,I2334=0, P2334&lt;&gt;2), "albhed_dummy", _xlfn.CONCAT("albhed ", RIGHT("  " &amp; K2334,2),", ", RIGHT("  " &amp; L2334,2), ", " ,"""",H2334,""", ", """",N2334,""", ","""",O2334,""""," ; ", A2334))</f>
        <v>albhed 26, 12, "티", "히", "퇘" ; 횅</v>
      </c>
    </row>
    <row r="2335" customFormat="false" ht="17.9" hidden="false" customHeight="true" outlineLevel="0" collapsed="false">
      <c r="A2335" s="16" t="s">
        <v>3177</v>
      </c>
      <c r="B2335" s="16" t="n">
        <f aca="false">IF(_xlfn.UNICODE(A2335)&lt;44032,-1,_xlfn.UNICODE(A2335)-44032)</f>
        <v>10892</v>
      </c>
      <c r="C2335" s="16" t="n">
        <f aca="false">IF(B2335=-1,-1,INT((B2335/28)/21))</f>
        <v>18</v>
      </c>
      <c r="D2335" s="16" t="n">
        <f aca="false">IF(B2335=-1, -1, MOD(INT(B2335/28),21))</f>
        <v>11</v>
      </c>
      <c r="E2335" s="16" t="n">
        <f aca="false">IF(B2335=-1, -1, VLOOKUP(MOD(B2335,28), $T$24:$U$52,2))</f>
        <v>0</v>
      </c>
      <c r="F2335" s="16" t="n">
        <f aca="false">IF($B2335=-1, -1, VLOOKUP(C2335,$T$1:$V$20, 2))</f>
        <v>16</v>
      </c>
      <c r="G2335" s="16" t="n">
        <f aca="false">IF($B2335=-1, -1, VLOOKUP(D2335,$Y$1:$Z$22,2))</f>
        <v>20</v>
      </c>
      <c r="H2335" s="16" t="str">
        <f aca="false">_xlfn.UNICHAR(((F2335*21)+G2335)*28+44032)</f>
        <v>티</v>
      </c>
      <c r="I2335" s="16" t="n">
        <f aca="false">IF(B2335=-1, 1, COUNTIF($A$2:$A$3000, H2335))</f>
        <v>1</v>
      </c>
      <c r="J2335" s="10" t="str">
        <f aca="false">_xlfn.CONCAT(A2335, ",",H2335,",",I2335)</f>
        <v>회,티,1</v>
      </c>
      <c r="K2335" s="16" t="n">
        <f aca="false">IF(B2335=-1,-1,VLOOKUP(C2335,$T$1:$V$20,3))</f>
        <v>26</v>
      </c>
      <c r="L2335" s="16" t="n">
        <f aca="false">IF(B2335=-1,-1,VLOOKUP(D2335,$Y$1:$AA$22,3))</f>
        <v>22</v>
      </c>
      <c r="N2335" s="10" t="str">
        <f aca="false">_xlfn.UNICHAR(((C2335*21)+G2335)*28+44032)</f>
        <v>히</v>
      </c>
      <c r="O2335" s="10" t="str">
        <f aca="false">_xlfn.UNICHAR(((F2335*21)+D2335)*28+44032)</f>
        <v>퇴</v>
      </c>
      <c r="P2335" s="12" t="n">
        <f aca="false">COUNTIF($A$2:$A$3000, N2335) + COUNTIF($A$2:$A$3000, O2335)</f>
        <v>2</v>
      </c>
      <c r="Q2335" s="16" t="str">
        <f aca="false">IF(OR(B2335=-1,I2335=0, P2335&lt;&gt;2), "albhed_dummy", _xlfn.CONCAT("albhed ", RIGHT("  " &amp; K2335,2),", ", RIGHT("  " &amp; L2335,2), ", " ,"""",H2335,""", ", """",N2335,""", ","""",O2335,""""," ; ", A2335))</f>
        <v>albhed 26, 22, "티", "히", "퇴" ; 회</v>
      </c>
    </row>
    <row r="2336" customFormat="false" ht="17.9" hidden="false" customHeight="true" outlineLevel="0" collapsed="false">
      <c r="A2336" s="16" t="s">
        <v>3178</v>
      </c>
      <c r="B2336" s="16" t="n">
        <f aca="false">IF(_xlfn.UNICODE(A2336)&lt;44032,-1,_xlfn.UNICODE(A2336)-44032)</f>
        <v>10893</v>
      </c>
      <c r="C2336" s="16" t="n">
        <f aca="false">IF(B2336=-1,-1,INT((B2336/28)/21))</f>
        <v>18</v>
      </c>
      <c r="D2336" s="16" t="n">
        <f aca="false">IF(B2336=-1, -1, MOD(INT(B2336/28),21))</f>
        <v>11</v>
      </c>
      <c r="E2336" s="16" t="n">
        <f aca="false">IF(B2336=-1, -1, VLOOKUP(MOD(B2336,28), $T$24:$U$52,2))</f>
        <v>1</v>
      </c>
      <c r="F2336" s="16" t="n">
        <f aca="false">IF($B2336=-1, -1, VLOOKUP(C2336,$T$1:$V$20, 2))</f>
        <v>16</v>
      </c>
      <c r="G2336" s="16" t="n">
        <f aca="false">IF($B2336=-1, -1, VLOOKUP(D2336,$Y$1:$Z$22,2))</f>
        <v>20</v>
      </c>
      <c r="H2336" s="16" t="str">
        <f aca="false">_xlfn.UNICHAR(((F2336*21)+G2336)*28+44032)</f>
        <v>티</v>
      </c>
      <c r="I2336" s="16" t="n">
        <f aca="false">IF(B2336=-1, 1, COUNTIF($A$2:$A$3000, H2336))</f>
        <v>1</v>
      </c>
      <c r="J2336" s="10" t="str">
        <f aca="false">_xlfn.CONCAT(A2336, ",",H2336,",",I2336)</f>
        <v>획,티,1</v>
      </c>
      <c r="K2336" s="16" t="n">
        <f aca="false">IF(B2336=-1,-1,VLOOKUP(C2336,$T$1:$V$20,3))</f>
        <v>26</v>
      </c>
      <c r="L2336" s="16" t="n">
        <f aca="false">IF(B2336=-1,-1,VLOOKUP(D2336,$Y$1:$AA$22,3))</f>
        <v>22</v>
      </c>
      <c r="N2336" s="10" t="str">
        <f aca="false">_xlfn.UNICHAR(((C2336*21)+G2336)*28+44032)</f>
        <v>히</v>
      </c>
      <c r="O2336" s="10" t="str">
        <f aca="false">_xlfn.UNICHAR(((F2336*21)+D2336)*28+44032)</f>
        <v>퇴</v>
      </c>
      <c r="P2336" s="12" t="n">
        <f aca="false">COUNTIF($A$2:$A$3000, N2336) + COUNTIF($A$2:$A$3000, O2336)</f>
        <v>2</v>
      </c>
      <c r="Q2336" s="16" t="str">
        <f aca="false">IF(OR(B2336=-1,I2336=0, P2336&lt;&gt;2), "albhed_dummy", _xlfn.CONCAT("albhed ", RIGHT("  " &amp; K2336,2),", ", RIGHT("  " &amp; L2336,2), ", " ,"""",H2336,""", ", """",N2336,""", ","""",O2336,""""," ; ", A2336))</f>
        <v>albhed 26, 22, "티", "히", "퇴" ; 획</v>
      </c>
    </row>
    <row r="2337" customFormat="false" ht="17.9" hidden="false" customHeight="true" outlineLevel="0" collapsed="false">
      <c r="A2337" s="16" t="s">
        <v>3179</v>
      </c>
      <c r="B2337" s="16" t="n">
        <f aca="false">IF(_xlfn.UNICODE(A2337)&lt;44032,-1,_xlfn.UNICODE(A2337)-44032)</f>
        <v>10896</v>
      </c>
      <c r="C2337" s="16" t="n">
        <f aca="false">IF(B2337=-1,-1,INT((B2337/28)/21))</f>
        <v>18</v>
      </c>
      <c r="D2337" s="16" t="n">
        <f aca="false">IF(B2337=-1, -1, MOD(INT(B2337/28),21))</f>
        <v>11</v>
      </c>
      <c r="E2337" s="16" t="n">
        <f aca="false">IF(B2337=-1, -1, VLOOKUP(MOD(B2337,28), $T$24:$U$52,2))</f>
        <v>4</v>
      </c>
      <c r="F2337" s="16" t="n">
        <f aca="false">IF($B2337=-1, -1, VLOOKUP(C2337,$T$1:$V$20, 2))</f>
        <v>16</v>
      </c>
      <c r="G2337" s="16" t="n">
        <f aca="false">IF($B2337=-1, -1, VLOOKUP(D2337,$Y$1:$Z$22,2))</f>
        <v>20</v>
      </c>
      <c r="H2337" s="16" t="str">
        <f aca="false">_xlfn.UNICHAR(((F2337*21)+G2337)*28+44032)</f>
        <v>티</v>
      </c>
      <c r="I2337" s="16" t="n">
        <f aca="false">IF(B2337=-1, 1, COUNTIF($A$2:$A$3000, H2337))</f>
        <v>1</v>
      </c>
      <c r="J2337" s="10" t="str">
        <f aca="false">_xlfn.CONCAT(A2337, ",",H2337,",",I2337)</f>
        <v>횐,티,1</v>
      </c>
      <c r="K2337" s="16" t="n">
        <f aca="false">IF(B2337=-1,-1,VLOOKUP(C2337,$T$1:$V$20,3))</f>
        <v>26</v>
      </c>
      <c r="L2337" s="16" t="n">
        <f aca="false">IF(B2337=-1,-1,VLOOKUP(D2337,$Y$1:$AA$22,3))</f>
        <v>22</v>
      </c>
      <c r="N2337" s="10" t="str">
        <f aca="false">_xlfn.UNICHAR(((C2337*21)+G2337)*28+44032)</f>
        <v>히</v>
      </c>
      <c r="O2337" s="10" t="str">
        <f aca="false">_xlfn.UNICHAR(((F2337*21)+D2337)*28+44032)</f>
        <v>퇴</v>
      </c>
      <c r="P2337" s="12" t="n">
        <f aca="false">COUNTIF($A$2:$A$3000, N2337) + COUNTIF($A$2:$A$3000, O2337)</f>
        <v>2</v>
      </c>
      <c r="Q2337" s="16" t="str">
        <f aca="false">IF(OR(B2337=-1,I2337=0, P2337&lt;&gt;2), "albhed_dummy", _xlfn.CONCAT("albhed ", RIGHT("  " &amp; K2337,2),", ", RIGHT("  " &amp; L2337,2), ", " ,"""",H2337,""", ", """",N2337,""", ","""",O2337,""""," ; ", A2337))</f>
        <v>albhed 26, 22, "티", "히", "퇴" ; 횐</v>
      </c>
    </row>
    <row r="2338" customFormat="false" ht="17.9" hidden="false" customHeight="true" outlineLevel="0" collapsed="false">
      <c r="A2338" s="16" t="s">
        <v>3180</v>
      </c>
      <c r="B2338" s="16" t="n">
        <f aca="false">IF(_xlfn.UNICODE(A2338)&lt;44032,-1,_xlfn.UNICODE(A2338)-44032)</f>
        <v>10900</v>
      </c>
      <c r="C2338" s="16" t="n">
        <f aca="false">IF(B2338=-1,-1,INT((B2338/28)/21))</f>
        <v>18</v>
      </c>
      <c r="D2338" s="16" t="n">
        <f aca="false">IF(B2338=-1, -1, MOD(INT(B2338/28),21))</f>
        <v>11</v>
      </c>
      <c r="E2338" s="16" t="n">
        <f aca="false">IF(B2338=-1, -1, VLOOKUP(MOD(B2338,28), $T$24:$U$52,2))</f>
        <v>8</v>
      </c>
      <c r="F2338" s="16" t="n">
        <f aca="false">IF($B2338=-1, -1, VLOOKUP(C2338,$T$1:$V$20, 2))</f>
        <v>16</v>
      </c>
      <c r="G2338" s="16" t="n">
        <f aca="false">IF($B2338=-1, -1, VLOOKUP(D2338,$Y$1:$Z$22,2))</f>
        <v>20</v>
      </c>
      <c r="H2338" s="16" t="str">
        <f aca="false">_xlfn.UNICHAR(((F2338*21)+G2338)*28+44032)</f>
        <v>티</v>
      </c>
      <c r="I2338" s="16" t="n">
        <f aca="false">IF(B2338=-1, 1, COUNTIF($A$2:$A$3000, H2338))</f>
        <v>1</v>
      </c>
      <c r="J2338" s="10" t="str">
        <f aca="false">_xlfn.CONCAT(A2338, ",",H2338,",",I2338)</f>
        <v>횔,티,1</v>
      </c>
      <c r="K2338" s="16" t="n">
        <f aca="false">IF(B2338=-1,-1,VLOOKUP(C2338,$T$1:$V$20,3))</f>
        <v>26</v>
      </c>
      <c r="L2338" s="16" t="n">
        <f aca="false">IF(B2338=-1,-1,VLOOKUP(D2338,$Y$1:$AA$22,3))</f>
        <v>22</v>
      </c>
      <c r="N2338" s="10" t="str">
        <f aca="false">_xlfn.UNICHAR(((C2338*21)+G2338)*28+44032)</f>
        <v>히</v>
      </c>
      <c r="O2338" s="10" t="str">
        <f aca="false">_xlfn.UNICHAR(((F2338*21)+D2338)*28+44032)</f>
        <v>퇴</v>
      </c>
      <c r="P2338" s="12" t="n">
        <f aca="false">COUNTIF($A$2:$A$3000, N2338) + COUNTIF($A$2:$A$3000, O2338)</f>
        <v>2</v>
      </c>
      <c r="Q2338" s="16" t="str">
        <f aca="false">IF(OR(B2338=-1,I2338=0, P2338&lt;&gt;2), "albhed_dummy", _xlfn.CONCAT("albhed ", RIGHT("  " &amp; K2338,2),", ", RIGHT("  " &amp; L2338,2), ", " ,"""",H2338,""", ", """",N2338,""", ","""",O2338,""""," ; ", A2338))</f>
        <v>albhed 26, 22, "티", "히", "퇴" ; 횔</v>
      </c>
    </row>
    <row r="2339" customFormat="false" ht="17.9" hidden="false" customHeight="true" outlineLevel="0" collapsed="false">
      <c r="A2339" s="16" t="s">
        <v>3181</v>
      </c>
      <c r="B2339" s="16" t="n">
        <f aca="false">IF(_xlfn.UNICODE(A2339)&lt;44032,-1,_xlfn.UNICODE(A2339)-44032)</f>
        <v>10909</v>
      </c>
      <c r="C2339" s="16" t="n">
        <f aca="false">IF(B2339=-1,-1,INT((B2339/28)/21))</f>
        <v>18</v>
      </c>
      <c r="D2339" s="16" t="n">
        <f aca="false">IF(B2339=-1, -1, MOD(INT(B2339/28),21))</f>
        <v>11</v>
      </c>
      <c r="E2339" s="16" t="n">
        <f aca="false">IF(B2339=-1, -1, VLOOKUP(MOD(B2339,28), $T$24:$U$52,2))</f>
        <v>17</v>
      </c>
      <c r="F2339" s="16" t="n">
        <f aca="false">IF($B2339=-1, -1, VLOOKUP(C2339,$T$1:$V$20, 2))</f>
        <v>16</v>
      </c>
      <c r="G2339" s="16" t="n">
        <f aca="false">IF($B2339=-1, -1, VLOOKUP(D2339,$Y$1:$Z$22,2))</f>
        <v>20</v>
      </c>
      <c r="H2339" s="16" t="str">
        <f aca="false">_xlfn.UNICHAR(((F2339*21)+G2339)*28+44032)</f>
        <v>티</v>
      </c>
      <c r="I2339" s="16" t="n">
        <f aca="false">IF(B2339=-1, 1, COUNTIF($A$2:$A$3000, H2339))</f>
        <v>1</v>
      </c>
      <c r="J2339" s="10" t="str">
        <f aca="false">_xlfn.CONCAT(A2339, ",",H2339,",",I2339)</f>
        <v>횝,티,1</v>
      </c>
      <c r="K2339" s="16" t="n">
        <f aca="false">IF(B2339=-1,-1,VLOOKUP(C2339,$T$1:$V$20,3))</f>
        <v>26</v>
      </c>
      <c r="L2339" s="16" t="n">
        <f aca="false">IF(B2339=-1,-1,VLOOKUP(D2339,$Y$1:$AA$22,3))</f>
        <v>22</v>
      </c>
      <c r="N2339" s="10" t="str">
        <f aca="false">_xlfn.UNICHAR(((C2339*21)+G2339)*28+44032)</f>
        <v>히</v>
      </c>
      <c r="O2339" s="10" t="str">
        <f aca="false">_xlfn.UNICHAR(((F2339*21)+D2339)*28+44032)</f>
        <v>퇴</v>
      </c>
      <c r="P2339" s="12" t="n">
        <f aca="false">COUNTIF($A$2:$A$3000, N2339) + COUNTIF($A$2:$A$3000, O2339)</f>
        <v>2</v>
      </c>
      <c r="Q2339" s="16" t="str">
        <f aca="false">IF(OR(B2339=-1,I2339=0, P2339&lt;&gt;2), "albhed_dummy", _xlfn.CONCAT("albhed ", RIGHT("  " &amp; K2339,2),", ", RIGHT("  " &amp; L2339,2), ", " ,"""",H2339,""", ", """",N2339,""", ","""",O2339,""""," ; ", A2339))</f>
        <v>albhed 26, 22, "티", "히", "퇴" ; 횝</v>
      </c>
    </row>
    <row r="2340" customFormat="false" ht="17.9" hidden="false" customHeight="true" outlineLevel="0" collapsed="false">
      <c r="A2340" s="16" t="s">
        <v>3182</v>
      </c>
      <c r="B2340" s="16" t="n">
        <f aca="false">IF(_xlfn.UNICODE(A2340)&lt;44032,-1,_xlfn.UNICODE(A2340)-44032)</f>
        <v>10911</v>
      </c>
      <c r="C2340" s="16" t="n">
        <f aca="false">IF(B2340=-1,-1,INT((B2340/28)/21))</f>
        <v>18</v>
      </c>
      <c r="D2340" s="16" t="n">
        <f aca="false">IF(B2340=-1, -1, MOD(INT(B2340/28),21))</f>
        <v>11</v>
      </c>
      <c r="E2340" s="16" t="n">
        <f aca="false">IF(B2340=-1, -1, VLOOKUP(MOD(B2340,28), $T$24:$U$52,2))</f>
        <v>19</v>
      </c>
      <c r="F2340" s="16" t="n">
        <f aca="false">IF($B2340=-1, -1, VLOOKUP(C2340,$T$1:$V$20, 2))</f>
        <v>16</v>
      </c>
      <c r="G2340" s="16" t="n">
        <f aca="false">IF($B2340=-1, -1, VLOOKUP(D2340,$Y$1:$Z$22,2))</f>
        <v>20</v>
      </c>
      <c r="H2340" s="16" t="str">
        <f aca="false">_xlfn.UNICHAR(((F2340*21)+G2340)*28+44032)</f>
        <v>티</v>
      </c>
      <c r="I2340" s="16" t="n">
        <f aca="false">IF(B2340=-1, 1, COUNTIF($A$2:$A$3000, H2340))</f>
        <v>1</v>
      </c>
      <c r="J2340" s="10" t="str">
        <f aca="false">_xlfn.CONCAT(A2340, ",",H2340,",",I2340)</f>
        <v>횟,티,1</v>
      </c>
      <c r="K2340" s="16" t="n">
        <f aca="false">IF(B2340=-1,-1,VLOOKUP(C2340,$T$1:$V$20,3))</f>
        <v>26</v>
      </c>
      <c r="L2340" s="16" t="n">
        <f aca="false">IF(B2340=-1,-1,VLOOKUP(D2340,$Y$1:$AA$22,3))</f>
        <v>22</v>
      </c>
      <c r="N2340" s="10" t="str">
        <f aca="false">_xlfn.UNICHAR(((C2340*21)+G2340)*28+44032)</f>
        <v>히</v>
      </c>
      <c r="O2340" s="10" t="str">
        <f aca="false">_xlfn.UNICHAR(((F2340*21)+D2340)*28+44032)</f>
        <v>퇴</v>
      </c>
      <c r="P2340" s="12" t="n">
        <f aca="false">COUNTIF($A$2:$A$3000, N2340) + COUNTIF($A$2:$A$3000, O2340)</f>
        <v>2</v>
      </c>
      <c r="Q2340" s="16" t="str">
        <f aca="false">IF(OR(B2340=-1,I2340=0, P2340&lt;&gt;2), "albhed_dummy", _xlfn.CONCAT("albhed ", RIGHT("  " &amp; K2340,2),", ", RIGHT("  " &amp; L2340,2), ", " ,"""",H2340,""", ", """",N2340,""", ","""",O2340,""""," ; ", A2340))</f>
        <v>albhed 26, 22, "티", "히", "퇴" ; 횟</v>
      </c>
    </row>
    <row r="2341" customFormat="false" ht="17.9" hidden="false" customHeight="true" outlineLevel="0" collapsed="false">
      <c r="A2341" s="16" t="s">
        <v>3183</v>
      </c>
      <c r="B2341" s="16" t="n">
        <f aca="false">IF(_xlfn.UNICODE(A2341)&lt;44032,-1,_xlfn.UNICODE(A2341)-44032)</f>
        <v>10913</v>
      </c>
      <c r="C2341" s="16" t="n">
        <f aca="false">IF(B2341=-1,-1,INT((B2341/28)/21))</f>
        <v>18</v>
      </c>
      <c r="D2341" s="16" t="n">
        <f aca="false">IF(B2341=-1, -1, MOD(INT(B2341/28),21))</f>
        <v>11</v>
      </c>
      <c r="E2341" s="16" t="n">
        <f aca="false">IF(B2341=-1, -1, VLOOKUP(MOD(B2341,28), $T$24:$U$52,2))</f>
        <v>21</v>
      </c>
      <c r="F2341" s="16" t="n">
        <f aca="false">IF($B2341=-1, -1, VLOOKUP(C2341,$T$1:$V$20, 2))</f>
        <v>16</v>
      </c>
      <c r="G2341" s="16" t="n">
        <f aca="false">IF($B2341=-1, -1, VLOOKUP(D2341,$Y$1:$Z$22,2))</f>
        <v>20</v>
      </c>
      <c r="H2341" s="16" t="str">
        <f aca="false">_xlfn.UNICHAR(((F2341*21)+G2341)*28+44032)</f>
        <v>티</v>
      </c>
      <c r="I2341" s="16" t="n">
        <f aca="false">IF(B2341=-1, 1, COUNTIF($A$2:$A$3000, H2341))</f>
        <v>1</v>
      </c>
      <c r="J2341" s="10" t="str">
        <f aca="false">_xlfn.CONCAT(A2341, ",",H2341,",",I2341)</f>
        <v>횡,티,1</v>
      </c>
      <c r="K2341" s="16" t="n">
        <f aca="false">IF(B2341=-1,-1,VLOOKUP(C2341,$T$1:$V$20,3))</f>
        <v>26</v>
      </c>
      <c r="L2341" s="16" t="n">
        <f aca="false">IF(B2341=-1,-1,VLOOKUP(D2341,$Y$1:$AA$22,3))</f>
        <v>22</v>
      </c>
      <c r="N2341" s="10" t="str">
        <f aca="false">_xlfn.UNICHAR(((C2341*21)+G2341)*28+44032)</f>
        <v>히</v>
      </c>
      <c r="O2341" s="10" t="str">
        <f aca="false">_xlfn.UNICHAR(((F2341*21)+D2341)*28+44032)</f>
        <v>퇴</v>
      </c>
      <c r="P2341" s="12" t="n">
        <f aca="false">COUNTIF($A$2:$A$3000, N2341) + COUNTIF($A$2:$A$3000, O2341)</f>
        <v>2</v>
      </c>
      <c r="Q2341" s="16" t="str">
        <f aca="false">IF(OR(B2341=-1,I2341=0, P2341&lt;&gt;2), "albhed_dummy", _xlfn.CONCAT("albhed ", RIGHT("  " &amp; K2341,2),", ", RIGHT("  " &amp; L2341,2), ", " ,"""",H2341,""", ", """",N2341,""", ","""",O2341,""""," ; ", A2341))</f>
        <v>albhed 26, 22, "티", "히", "퇴" ; 횡</v>
      </c>
    </row>
    <row r="2342" customFormat="false" ht="17.9" hidden="false" customHeight="true" outlineLevel="0" collapsed="false">
      <c r="A2342" s="16" t="s">
        <v>3184</v>
      </c>
      <c r="B2342" s="16" t="n">
        <f aca="false">IF(_xlfn.UNICODE(A2342)&lt;44032,-1,_xlfn.UNICODE(A2342)-44032)</f>
        <v>10920</v>
      </c>
      <c r="C2342" s="16" t="n">
        <f aca="false">IF(B2342=-1,-1,INT((B2342/28)/21))</f>
        <v>18</v>
      </c>
      <c r="D2342" s="16" t="n">
        <f aca="false">IF(B2342=-1, -1, MOD(INT(B2342/28),21))</f>
        <v>12</v>
      </c>
      <c r="E2342" s="16" t="n">
        <f aca="false">IF(B2342=-1, -1, VLOOKUP(MOD(B2342,28), $T$24:$U$52,2))</f>
        <v>0</v>
      </c>
      <c r="F2342" s="16" t="n">
        <f aca="false">IF($B2342=-1, -1, VLOOKUP(C2342,$T$1:$V$20, 2))</f>
        <v>16</v>
      </c>
      <c r="G2342" s="16" t="n">
        <f aca="false">IF($B2342=-1, -1, VLOOKUP(D2342,$Y$1:$Z$22,2))</f>
        <v>6</v>
      </c>
      <c r="H2342" s="16" t="str">
        <f aca="false">_xlfn.UNICHAR(((F2342*21)+G2342)*28+44032)</f>
        <v>텨</v>
      </c>
      <c r="I2342" s="16" t="n">
        <f aca="false">IF(B2342=-1, 1, COUNTIF($A$2:$A$3000, H2342))</f>
        <v>1</v>
      </c>
      <c r="J2342" s="10" t="str">
        <f aca="false">_xlfn.CONCAT(A2342, ",",H2342,",",I2342)</f>
        <v>효,텨,1</v>
      </c>
      <c r="K2342" s="16" t="n">
        <f aca="false">IF(B2342=-1,-1,VLOOKUP(C2342,$T$1:$V$20,3))</f>
        <v>26</v>
      </c>
      <c r="L2342" s="16" t="n">
        <f aca="false">IF(B2342=-1,-1,VLOOKUP(D2342,$Y$1:$AA$22,3))</f>
        <v>8</v>
      </c>
      <c r="N2342" s="10" t="str">
        <f aca="false">_xlfn.UNICHAR(((C2342*21)+G2342)*28+44032)</f>
        <v>혀</v>
      </c>
      <c r="O2342" s="10" t="str">
        <f aca="false">_xlfn.UNICHAR(((F2342*21)+D2342)*28+44032)</f>
        <v>툐</v>
      </c>
      <c r="P2342" s="12" t="n">
        <f aca="false">COUNTIF($A$2:$A$3000, N2342) + COUNTIF($A$2:$A$3000, O2342)</f>
        <v>2</v>
      </c>
      <c r="Q2342" s="16" t="str">
        <f aca="false">IF(OR(B2342=-1,I2342=0, P2342&lt;&gt;2), "albhed_dummy", _xlfn.CONCAT("albhed ", RIGHT("  " &amp; K2342,2),", ", RIGHT("  " &amp; L2342,2), ", " ,"""",H2342,""", ", """",N2342,""", ","""",O2342,""""," ; ", A2342))</f>
        <v>albhed 26,  8, "텨", "혀", "툐" ; 효</v>
      </c>
    </row>
    <row r="2343" customFormat="false" ht="17.9" hidden="false" customHeight="true" outlineLevel="0" collapsed="false">
      <c r="A2343" s="16" t="s">
        <v>3185</v>
      </c>
      <c r="B2343" s="16" t="n">
        <f aca="false">IF(_xlfn.UNICODE(A2343)&lt;44032,-1,_xlfn.UNICODE(A2343)-44032)</f>
        <v>10924</v>
      </c>
      <c r="C2343" s="16" t="n">
        <f aca="false">IF(B2343=-1,-1,INT((B2343/28)/21))</f>
        <v>18</v>
      </c>
      <c r="D2343" s="16" t="n">
        <f aca="false">IF(B2343=-1, -1, MOD(INT(B2343/28),21))</f>
        <v>12</v>
      </c>
      <c r="E2343" s="16" t="n">
        <f aca="false">IF(B2343=-1, -1, VLOOKUP(MOD(B2343,28), $T$24:$U$52,2))</f>
        <v>4</v>
      </c>
      <c r="F2343" s="16" t="n">
        <f aca="false">IF($B2343=-1, -1, VLOOKUP(C2343,$T$1:$V$20, 2))</f>
        <v>16</v>
      </c>
      <c r="G2343" s="16" t="n">
        <f aca="false">IF($B2343=-1, -1, VLOOKUP(D2343,$Y$1:$Z$22,2))</f>
        <v>6</v>
      </c>
      <c r="H2343" s="16" t="str">
        <f aca="false">_xlfn.UNICHAR(((F2343*21)+G2343)*28+44032)</f>
        <v>텨</v>
      </c>
      <c r="I2343" s="16" t="n">
        <f aca="false">IF(B2343=-1, 1, COUNTIF($A$2:$A$3000, H2343))</f>
        <v>1</v>
      </c>
      <c r="J2343" s="10" t="str">
        <f aca="false">_xlfn.CONCAT(A2343, ",",H2343,",",I2343)</f>
        <v>횬,텨,1</v>
      </c>
      <c r="K2343" s="16" t="n">
        <f aca="false">IF(B2343=-1,-1,VLOOKUP(C2343,$T$1:$V$20,3))</f>
        <v>26</v>
      </c>
      <c r="L2343" s="16" t="n">
        <f aca="false">IF(B2343=-1,-1,VLOOKUP(D2343,$Y$1:$AA$22,3))</f>
        <v>8</v>
      </c>
      <c r="N2343" s="10" t="str">
        <f aca="false">_xlfn.UNICHAR(((C2343*21)+G2343)*28+44032)</f>
        <v>혀</v>
      </c>
      <c r="O2343" s="10" t="str">
        <f aca="false">_xlfn.UNICHAR(((F2343*21)+D2343)*28+44032)</f>
        <v>툐</v>
      </c>
      <c r="P2343" s="12" t="n">
        <f aca="false">COUNTIF($A$2:$A$3000, N2343) + COUNTIF($A$2:$A$3000, O2343)</f>
        <v>2</v>
      </c>
      <c r="Q2343" s="16" t="str">
        <f aca="false">IF(OR(B2343=-1,I2343=0, P2343&lt;&gt;2), "albhed_dummy", _xlfn.CONCAT("albhed ", RIGHT("  " &amp; K2343,2),", ", RIGHT("  " &amp; L2343,2), ", " ,"""",H2343,""", ", """",N2343,""", ","""",O2343,""""," ; ", A2343))</f>
        <v>albhed 26,  8, "텨", "혀", "툐" ; 횬</v>
      </c>
    </row>
    <row r="2344" customFormat="false" ht="17.9" hidden="false" customHeight="true" outlineLevel="0" collapsed="false">
      <c r="A2344" s="16" t="s">
        <v>3186</v>
      </c>
      <c r="B2344" s="16" t="n">
        <f aca="false">IF(_xlfn.UNICODE(A2344)&lt;44032,-1,_xlfn.UNICODE(A2344)-44032)</f>
        <v>10928</v>
      </c>
      <c r="C2344" s="16" t="n">
        <f aca="false">IF(B2344=-1,-1,INT((B2344/28)/21))</f>
        <v>18</v>
      </c>
      <c r="D2344" s="16" t="n">
        <f aca="false">IF(B2344=-1, -1, MOD(INT(B2344/28),21))</f>
        <v>12</v>
      </c>
      <c r="E2344" s="16" t="n">
        <f aca="false">IF(B2344=-1, -1, VLOOKUP(MOD(B2344,28), $T$24:$U$52,2))</f>
        <v>8</v>
      </c>
      <c r="F2344" s="16" t="n">
        <f aca="false">IF($B2344=-1, -1, VLOOKUP(C2344,$T$1:$V$20, 2))</f>
        <v>16</v>
      </c>
      <c r="G2344" s="16" t="n">
        <f aca="false">IF($B2344=-1, -1, VLOOKUP(D2344,$Y$1:$Z$22,2))</f>
        <v>6</v>
      </c>
      <c r="H2344" s="16" t="str">
        <f aca="false">_xlfn.UNICHAR(((F2344*21)+G2344)*28+44032)</f>
        <v>텨</v>
      </c>
      <c r="I2344" s="16" t="n">
        <f aca="false">IF(B2344=-1, 1, COUNTIF($A$2:$A$3000, H2344))</f>
        <v>1</v>
      </c>
      <c r="J2344" s="10" t="str">
        <f aca="false">_xlfn.CONCAT(A2344, ",",H2344,",",I2344)</f>
        <v>횰,텨,1</v>
      </c>
      <c r="K2344" s="16" t="n">
        <f aca="false">IF(B2344=-1,-1,VLOOKUP(C2344,$T$1:$V$20,3))</f>
        <v>26</v>
      </c>
      <c r="L2344" s="16" t="n">
        <f aca="false">IF(B2344=-1,-1,VLOOKUP(D2344,$Y$1:$AA$22,3))</f>
        <v>8</v>
      </c>
      <c r="N2344" s="10" t="str">
        <f aca="false">_xlfn.UNICHAR(((C2344*21)+G2344)*28+44032)</f>
        <v>혀</v>
      </c>
      <c r="O2344" s="10" t="str">
        <f aca="false">_xlfn.UNICHAR(((F2344*21)+D2344)*28+44032)</f>
        <v>툐</v>
      </c>
      <c r="P2344" s="12" t="n">
        <f aca="false">COUNTIF($A$2:$A$3000, N2344) + COUNTIF($A$2:$A$3000, O2344)</f>
        <v>2</v>
      </c>
      <c r="Q2344" s="16" t="str">
        <f aca="false">IF(OR(B2344=-1,I2344=0, P2344&lt;&gt;2), "albhed_dummy", _xlfn.CONCAT("albhed ", RIGHT("  " &amp; K2344,2),", ", RIGHT("  " &amp; L2344,2), ", " ,"""",H2344,""", ", """",N2344,""", ","""",O2344,""""," ; ", A2344))</f>
        <v>albhed 26,  8, "텨", "혀", "툐" ; 횰</v>
      </c>
    </row>
    <row r="2345" customFormat="false" ht="17.9" hidden="false" customHeight="true" outlineLevel="0" collapsed="false">
      <c r="A2345" s="16" t="s">
        <v>3187</v>
      </c>
      <c r="B2345" s="16" t="n">
        <f aca="false">IF(_xlfn.UNICODE(A2345)&lt;44032,-1,_xlfn.UNICODE(A2345)-44032)</f>
        <v>10937</v>
      </c>
      <c r="C2345" s="16" t="n">
        <f aca="false">IF(B2345=-1,-1,INT((B2345/28)/21))</f>
        <v>18</v>
      </c>
      <c r="D2345" s="16" t="n">
        <f aca="false">IF(B2345=-1, -1, MOD(INT(B2345/28),21))</f>
        <v>12</v>
      </c>
      <c r="E2345" s="16" t="n">
        <f aca="false">IF(B2345=-1, -1, VLOOKUP(MOD(B2345,28), $T$24:$U$52,2))</f>
        <v>17</v>
      </c>
      <c r="F2345" s="16" t="n">
        <f aca="false">IF($B2345=-1, -1, VLOOKUP(C2345,$T$1:$V$20, 2))</f>
        <v>16</v>
      </c>
      <c r="G2345" s="16" t="n">
        <f aca="false">IF($B2345=-1, -1, VLOOKUP(D2345,$Y$1:$Z$22,2))</f>
        <v>6</v>
      </c>
      <c r="H2345" s="16" t="str">
        <f aca="false">_xlfn.UNICHAR(((F2345*21)+G2345)*28+44032)</f>
        <v>텨</v>
      </c>
      <c r="I2345" s="16" t="n">
        <f aca="false">IF(B2345=-1, 1, COUNTIF($A$2:$A$3000, H2345))</f>
        <v>1</v>
      </c>
      <c r="J2345" s="10" t="str">
        <f aca="false">_xlfn.CONCAT(A2345, ",",H2345,",",I2345)</f>
        <v>횹,텨,1</v>
      </c>
      <c r="K2345" s="16" t="n">
        <f aca="false">IF(B2345=-1,-1,VLOOKUP(C2345,$T$1:$V$20,3))</f>
        <v>26</v>
      </c>
      <c r="L2345" s="16" t="n">
        <f aca="false">IF(B2345=-1,-1,VLOOKUP(D2345,$Y$1:$AA$22,3))</f>
        <v>8</v>
      </c>
      <c r="N2345" s="10" t="str">
        <f aca="false">_xlfn.UNICHAR(((C2345*21)+G2345)*28+44032)</f>
        <v>혀</v>
      </c>
      <c r="O2345" s="10" t="str">
        <f aca="false">_xlfn.UNICHAR(((F2345*21)+D2345)*28+44032)</f>
        <v>툐</v>
      </c>
      <c r="P2345" s="12" t="n">
        <f aca="false">COUNTIF($A$2:$A$3000, N2345) + COUNTIF($A$2:$A$3000, O2345)</f>
        <v>2</v>
      </c>
      <c r="Q2345" s="16" t="str">
        <f aca="false">IF(OR(B2345=-1,I2345=0, P2345&lt;&gt;2), "albhed_dummy", _xlfn.CONCAT("albhed ", RIGHT("  " &amp; K2345,2),", ", RIGHT("  " &amp; L2345,2), ", " ,"""",H2345,""", ", """",N2345,""", ","""",O2345,""""," ; ", A2345))</f>
        <v>albhed 26,  8, "텨", "혀", "툐" ; 횹</v>
      </c>
    </row>
    <row r="2346" customFormat="false" ht="17.9" hidden="false" customHeight="true" outlineLevel="0" collapsed="false">
      <c r="A2346" s="16" t="s">
        <v>3188</v>
      </c>
      <c r="B2346" s="16" t="n">
        <f aca="false">IF(_xlfn.UNICODE(A2346)&lt;44032,-1,_xlfn.UNICODE(A2346)-44032)</f>
        <v>10939</v>
      </c>
      <c r="C2346" s="16" t="n">
        <f aca="false">IF(B2346=-1,-1,INT((B2346/28)/21))</f>
        <v>18</v>
      </c>
      <c r="D2346" s="16" t="n">
        <f aca="false">IF(B2346=-1, -1, MOD(INT(B2346/28),21))</f>
        <v>12</v>
      </c>
      <c r="E2346" s="16" t="n">
        <f aca="false">IF(B2346=-1, -1, VLOOKUP(MOD(B2346,28), $T$24:$U$52,2))</f>
        <v>19</v>
      </c>
      <c r="F2346" s="16" t="n">
        <f aca="false">IF($B2346=-1, -1, VLOOKUP(C2346,$T$1:$V$20, 2))</f>
        <v>16</v>
      </c>
      <c r="G2346" s="16" t="n">
        <f aca="false">IF($B2346=-1, -1, VLOOKUP(D2346,$Y$1:$Z$22,2))</f>
        <v>6</v>
      </c>
      <c r="H2346" s="16" t="str">
        <f aca="false">_xlfn.UNICHAR(((F2346*21)+G2346)*28+44032)</f>
        <v>텨</v>
      </c>
      <c r="I2346" s="16" t="n">
        <f aca="false">IF(B2346=-1, 1, COUNTIF($A$2:$A$3000, H2346))</f>
        <v>1</v>
      </c>
      <c r="J2346" s="10" t="str">
        <f aca="false">_xlfn.CONCAT(A2346, ",",H2346,",",I2346)</f>
        <v>횻,텨,1</v>
      </c>
      <c r="K2346" s="16" t="n">
        <f aca="false">IF(B2346=-1,-1,VLOOKUP(C2346,$T$1:$V$20,3))</f>
        <v>26</v>
      </c>
      <c r="L2346" s="16" t="n">
        <f aca="false">IF(B2346=-1,-1,VLOOKUP(D2346,$Y$1:$AA$22,3))</f>
        <v>8</v>
      </c>
      <c r="N2346" s="10" t="str">
        <f aca="false">_xlfn.UNICHAR(((C2346*21)+G2346)*28+44032)</f>
        <v>혀</v>
      </c>
      <c r="O2346" s="10" t="str">
        <f aca="false">_xlfn.UNICHAR(((F2346*21)+D2346)*28+44032)</f>
        <v>툐</v>
      </c>
      <c r="P2346" s="12" t="n">
        <f aca="false">COUNTIF($A$2:$A$3000, N2346) + COUNTIF($A$2:$A$3000, O2346)</f>
        <v>2</v>
      </c>
      <c r="Q2346" s="16" t="str">
        <f aca="false">IF(OR(B2346=-1,I2346=0, P2346&lt;&gt;2), "albhed_dummy", _xlfn.CONCAT("albhed ", RIGHT("  " &amp; K2346,2),", ", RIGHT("  " &amp; L2346,2), ", " ,"""",H2346,""", ", """",N2346,""", ","""",O2346,""""," ; ", A2346))</f>
        <v>albhed 26,  8, "텨", "혀", "툐" ; 횻</v>
      </c>
    </row>
    <row r="2347" customFormat="false" ht="17.9" hidden="false" customHeight="true" outlineLevel="0" collapsed="false">
      <c r="A2347" s="16" t="s">
        <v>3189</v>
      </c>
      <c r="B2347" s="16" t="n">
        <f aca="false">IF(_xlfn.UNICODE(A2347)&lt;44032,-1,_xlfn.UNICODE(A2347)-44032)</f>
        <v>10948</v>
      </c>
      <c r="C2347" s="16" t="n">
        <f aca="false">IF(B2347=-1,-1,INT((B2347/28)/21))</f>
        <v>18</v>
      </c>
      <c r="D2347" s="16" t="n">
        <f aca="false">IF(B2347=-1, -1, MOD(INT(B2347/28),21))</f>
        <v>13</v>
      </c>
      <c r="E2347" s="16" t="n">
        <f aca="false">IF(B2347=-1, -1, VLOOKUP(MOD(B2347,28), $T$24:$U$52,2))</f>
        <v>0</v>
      </c>
      <c r="F2347" s="16" t="n">
        <f aca="false">IF($B2347=-1, -1, VLOOKUP(C2347,$T$1:$V$20, 2))</f>
        <v>16</v>
      </c>
      <c r="G2347" s="16" t="n">
        <f aca="false">IF($B2347=-1, -1, VLOOKUP(D2347,$Y$1:$Z$22,2))</f>
        <v>0</v>
      </c>
      <c r="H2347" s="16" t="str">
        <f aca="false">_xlfn.UNICHAR(((F2347*21)+G2347)*28+44032)</f>
        <v>타</v>
      </c>
      <c r="I2347" s="16" t="n">
        <f aca="false">IF(B2347=-1, 1, COUNTIF($A$2:$A$3000, H2347))</f>
        <v>1</v>
      </c>
      <c r="J2347" s="10" t="str">
        <f aca="false">_xlfn.CONCAT(A2347, ",",H2347,",",I2347)</f>
        <v>후,타,1</v>
      </c>
      <c r="K2347" s="16" t="n">
        <f aca="false">IF(B2347=-1,-1,VLOOKUP(C2347,$T$1:$V$20,3))</f>
        <v>26</v>
      </c>
      <c r="L2347" s="16" t="n">
        <f aca="false">IF(B2347=-1,-1,VLOOKUP(D2347,$Y$1:$AA$22,3))</f>
        <v>6</v>
      </c>
      <c r="N2347" s="10" t="str">
        <f aca="false">_xlfn.UNICHAR(((C2347*21)+G2347)*28+44032)</f>
        <v>하</v>
      </c>
      <c r="O2347" s="10" t="str">
        <f aca="false">_xlfn.UNICHAR(((F2347*21)+D2347)*28+44032)</f>
        <v>투</v>
      </c>
      <c r="P2347" s="12" t="n">
        <f aca="false">COUNTIF($A$2:$A$3000, N2347) + COUNTIF($A$2:$A$3000, O2347)</f>
        <v>2</v>
      </c>
      <c r="Q2347" s="16" t="str">
        <f aca="false">IF(OR(B2347=-1,I2347=0, P2347&lt;&gt;2), "albhed_dummy", _xlfn.CONCAT("albhed ", RIGHT("  " &amp; K2347,2),", ", RIGHT("  " &amp; L2347,2), ", " ,"""",H2347,""", ", """",N2347,""", ","""",O2347,""""," ; ", A2347))</f>
        <v>albhed 26,  6, "타", "하", "투" ; 후</v>
      </c>
    </row>
    <row r="2348" customFormat="false" ht="17.9" hidden="false" customHeight="true" outlineLevel="0" collapsed="false">
      <c r="A2348" s="16" t="s">
        <v>3190</v>
      </c>
      <c r="B2348" s="16" t="n">
        <f aca="false">IF(_xlfn.UNICODE(A2348)&lt;44032,-1,_xlfn.UNICODE(A2348)-44032)</f>
        <v>10949</v>
      </c>
      <c r="C2348" s="16" t="n">
        <f aca="false">IF(B2348=-1,-1,INT((B2348/28)/21))</f>
        <v>18</v>
      </c>
      <c r="D2348" s="16" t="n">
        <f aca="false">IF(B2348=-1, -1, MOD(INT(B2348/28),21))</f>
        <v>13</v>
      </c>
      <c r="E2348" s="16" t="n">
        <f aca="false">IF(B2348=-1, -1, VLOOKUP(MOD(B2348,28), $T$24:$U$52,2))</f>
        <v>1</v>
      </c>
      <c r="F2348" s="16" t="n">
        <f aca="false">IF($B2348=-1, -1, VLOOKUP(C2348,$T$1:$V$20, 2))</f>
        <v>16</v>
      </c>
      <c r="G2348" s="16" t="n">
        <f aca="false">IF($B2348=-1, -1, VLOOKUP(D2348,$Y$1:$Z$22,2))</f>
        <v>0</v>
      </c>
      <c r="H2348" s="16" t="str">
        <f aca="false">_xlfn.UNICHAR(((F2348*21)+G2348)*28+44032)</f>
        <v>타</v>
      </c>
      <c r="I2348" s="16" t="n">
        <f aca="false">IF(B2348=-1, 1, COUNTIF($A$2:$A$3000, H2348))</f>
        <v>1</v>
      </c>
      <c r="J2348" s="10" t="str">
        <f aca="false">_xlfn.CONCAT(A2348, ",",H2348,",",I2348)</f>
        <v>훅,타,1</v>
      </c>
      <c r="K2348" s="16" t="n">
        <f aca="false">IF(B2348=-1,-1,VLOOKUP(C2348,$T$1:$V$20,3))</f>
        <v>26</v>
      </c>
      <c r="L2348" s="16" t="n">
        <f aca="false">IF(B2348=-1,-1,VLOOKUP(D2348,$Y$1:$AA$22,3))</f>
        <v>6</v>
      </c>
      <c r="N2348" s="10" t="str">
        <f aca="false">_xlfn.UNICHAR(((C2348*21)+G2348)*28+44032)</f>
        <v>하</v>
      </c>
      <c r="O2348" s="10" t="str">
        <f aca="false">_xlfn.UNICHAR(((F2348*21)+D2348)*28+44032)</f>
        <v>투</v>
      </c>
      <c r="P2348" s="12" t="n">
        <f aca="false">COUNTIF($A$2:$A$3000, N2348) + COUNTIF($A$2:$A$3000, O2348)</f>
        <v>2</v>
      </c>
      <c r="Q2348" s="16" t="str">
        <f aca="false">IF(OR(B2348=-1,I2348=0, P2348&lt;&gt;2), "albhed_dummy", _xlfn.CONCAT("albhed ", RIGHT("  " &amp; K2348,2),", ", RIGHT("  " &amp; L2348,2), ", " ,"""",H2348,""", ", """",N2348,""", ","""",O2348,""""," ; ", A2348))</f>
        <v>albhed 26,  6, "타", "하", "투" ; 훅</v>
      </c>
    </row>
    <row r="2349" customFormat="false" ht="17.9" hidden="false" customHeight="true" outlineLevel="0" collapsed="false">
      <c r="A2349" s="16" t="s">
        <v>3191</v>
      </c>
      <c r="B2349" s="16" t="n">
        <f aca="false">IF(_xlfn.UNICODE(A2349)&lt;44032,-1,_xlfn.UNICODE(A2349)-44032)</f>
        <v>10952</v>
      </c>
      <c r="C2349" s="16" t="n">
        <f aca="false">IF(B2349=-1,-1,INT((B2349/28)/21))</f>
        <v>18</v>
      </c>
      <c r="D2349" s="16" t="n">
        <f aca="false">IF(B2349=-1, -1, MOD(INT(B2349/28),21))</f>
        <v>13</v>
      </c>
      <c r="E2349" s="16" t="n">
        <f aca="false">IF(B2349=-1, -1, VLOOKUP(MOD(B2349,28), $T$24:$U$52,2))</f>
        <v>4</v>
      </c>
      <c r="F2349" s="16" t="n">
        <f aca="false">IF($B2349=-1, -1, VLOOKUP(C2349,$T$1:$V$20, 2))</f>
        <v>16</v>
      </c>
      <c r="G2349" s="16" t="n">
        <f aca="false">IF($B2349=-1, -1, VLOOKUP(D2349,$Y$1:$Z$22,2))</f>
        <v>0</v>
      </c>
      <c r="H2349" s="16" t="str">
        <f aca="false">_xlfn.UNICHAR(((F2349*21)+G2349)*28+44032)</f>
        <v>타</v>
      </c>
      <c r="I2349" s="16" t="n">
        <f aca="false">IF(B2349=-1, 1, COUNTIF($A$2:$A$3000, H2349))</f>
        <v>1</v>
      </c>
      <c r="J2349" s="10" t="str">
        <f aca="false">_xlfn.CONCAT(A2349, ",",H2349,",",I2349)</f>
        <v>훈,타,1</v>
      </c>
      <c r="K2349" s="16" t="n">
        <f aca="false">IF(B2349=-1,-1,VLOOKUP(C2349,$T$1:$V$20,3))</f>
        <v>26</v>
      </c>
      <c r="L2349" s="16" t="n">
        <f aca="false">IF(B2349=-1,-1,VLOOKUP(D2349,$Y$1:$AA$22,3))</f>
        <v>6</v>
      </c>
      <c r="N2349" s="10" t="str">
        <f aca="false">_xlfn.UNICHAR(((C2349*21)+G2349)*28+44032)</f>
        <v>하</v>
      </c>
      <c r="O2349" s="10" t="str">
        <f aca="false">_xlfn.UNICHAR(((F2349*21)+D2349)*28+44032)</f>
        <v>투</v>
      </c>
      <c r="P2349" s="12" t="n">
        <f aca="false">COUNTIF($A$2:$A$3000, N2349) + COUNTIF($A$2:$A$3000, O2349)</f>
        <v>2</v>
      </c>
      <c r="Q2349" s="16" t="str">
        <f aca="false">IF(OR(B2349=-1,I2349=0, P2349&lt;&gt;2), "albhed_dummy", _xlfn.CONCAT("albhed ", RIGHT("  " &amp; K2349,2),", ", RIGHT("  " &amp; L2349,2), ", " ,"""",H2349,""", ", """",N2349,""", ","""",O2349,""""," ; ", A2349))</f>
        <v>albhed 26,  6, "타", "하", "투" ; 훈</v>
      </c>
    </row>
    <row r="2350" customFormat="false" ht="17.9" hidden="false" customHeight="true" outlineLevel="0" collapsed="false">
      <c r="A2350" s="16" t="s">
        <v>3192</v>
      </c>
      <c r="B2350" s="16" t="n">
        <f aca="false">IF(_xlfn.UNICODE(A2350)&lt;44032,-1,_xlfn.UNICODE(A2350)-44032)</f>
        <v>10956</v>
      </c>
      <c r="C2350" s="16" t="n">
        <f aca="false">IF(B2350=-1,-1,INT((B2350/28)/21))</f>
        <v>18</v>
      </c>
      <c r="D2350" s="16" t="n">
        <f aca="false">IF(B2350=-1, -1, MOD(INT(B2350/28),21))</f>
        <v>13</v>
      </c>
      <c r="E2350" s="16" t="n">
        <f aca="false">IF(B2350=-1, -1, VLOOKUP(MOD(B2350,28), $T$24:$U$52,2))</f>
        <v>8</v>
      </c>
      <c r="F2350" s="16" t="n">
        <f aca="false">IF($B2350=-1, -1, VLOOKUP(C2350,$T$1:$V$20, 2))</f>
        <v>16</v>
      </c>
      <c r="G2350" s="16" t="n">
        <f aca="false">IF($B2350=-1, -1, VLOOKUP(D2350,$Y$1:$Z$22,2))</f>
        <v>0</v>
      </c>
      <c r="H2350" s="16" t="str">
        <f aca="false">_xlfn.UNICHAR(((F2350*21)+G2350)*28+44032)</f>
        <v>타</v>
      </c>
      <c r="I2350" s="16" t="n">
        <f aca="false">IF(B2350=-1, 1, COUNTIF($A$2:$A$3000, H2350))</f>
        <v>1</v>
      </c>
      <c r="J2350" s="10" t="str">
        <f aca="false">_xlfn.CONCAT(A2350, ",",H2350,",",I2350)</f>
        <v>훌,타,1</v>
      </c>
      <c r="K2350" s="16" t="n">
        <f aca="false">IF(B2350=-1,-1,VLOOKUP(C2350,$T$1:$V$20,3))</f>
        <v>26</v>
      </c>
      <c r="L2350" s="16" t="n">
        <f aca="false">IF(B2350=-1,-1,VLOOKUP(D2350,$Y$1:$AA$22,3))</f>
        <v>6</v>
      </c>
      <c r="N2350" s="10" t="str">
        <f aca="false">_xlfn.UNICHAR(((C2350*21)+G2350)*28+44032)</f>
        <v>하</v>
      </c>
      <c r="O2350" s="10" t="str">
        <f aca="false">_xlfn.UNICHAR(((F2350*21)+D2350)*28+44032)</f>
        <v>투</v>
      </c>
      <c r="P2350" s="12" t="n">
        <f aca="false">COUNTIF($A$2:$A$3000, N2350) + COUNTIF($A$2:$A$3000, O2350)</f>
        <v>2</v>
      </c>
      <c r="Q2350" s="16" t="str">
        <f aca="false">IF(OR(B2350=-1,I2350=0, P2350&lt;&gt;2), "albhed_dummy", _xlfn.CONCAT("albhed ", RIGHT("  " &amp; K2350,2),", ", RIGHT("  " &amp; L2350,2), ", " ,"""",H2350,""", ", """",N2350,""", ","""",O2350,""""," ; ", A2350))</f>
        <v>albhed 26,  6, "타", "하", "투" ; 훌</v>
      </c>
    </row>
    <row r="2351" customFormat="false" ht="17.9" hidden="false" customHeight="true" outlineLevel="0" collapsed="false">
      <c r="A2351" s="16" t="s">
        <v>3193</v>
      </c>
      <c r="B2351" s="16" t="n">
        <f aca="false">IF(_xlfn.UNICODE(A2351)&lt;44032,-1,_xlfn.UNICODE(A2351)-44032)</f>
        <v>10961</v>
      </c>
      <c r="C2351" s="16" t="n">
        <f aca="false">IF(B2351=-1,-1,INT((B2351/28)/21))</f>
        <v>18</v>
      </c>
      <c r="D2351" s="16" t="n">
        <f aca="false">IF(B2351=-1, -1, MOD(INT(B2351/28),21))</f>
        <v>13</v>
      </c>
      <c r="E2351" s="16" t="n">
        <f aca="false">IF(B2351=-1, -1, VLOOKUP(MOD(B2351,28), $T$24:$U$52,2))</f>
        <v>8</v>
      </c>
      <c r="F2351" s="16" t="n">
        <f aca="false">IF($B2351=-1, -1, VLOOKUP(C2351,$T$1:$V$20, 2))</f>
        <v>16</v>
      </c>
      <c r="G2351" s="16" t="n">
        <f aca="false">IF($B2351=-1, -1, VLOOKUP(D2351,$Y$1:$Z$22,2))</f>
        <v>0</v>
      </c>
      <c r="H2351" s="16" t="str">
        <f aca="false">_xlfn.UNICHAR(((F2351*21)+G2351)*28+44032)</f>
        <v>타</v>
      </c>
      <c r="I2351" s="16" t="n">
        <f aca="false">IF(B2351=-1, 1, COUNTIF($A$2:$A$3000, H2351))</f>
        <v>1</v>
      </c>
      <c r="J2351" s="10" t="str">
        <f aca="false">_xlfn.CONCAT(A2351, ",",H2351,",",I2351)</f>
        <v>훑,타,1</v>
      </c>
      <c r="K2351" s="16" t="n">
        <f aca="false">IF(B2351=-1,-1,VLOOKUP(C2351,$T$1:$V$20,3))</f>
        <v>26</v>
      </c>
      <c r="L2351" s="16" t="n">
        <f aca="false">IF(B2351=-1,-1,VLOOKUP(D2351,$Y$1:$AA$22,3))</f>
        <v>6</v>
      </c>
      <c r="N2351" s="10" t="str">
        <f aca="false">_xlfn.UNICHAR(((C2351*21)+G2351)*28+44032)</f>
        <v>하</v>
      </c>
      <c r="O2351" s="10" t="str">
        <f aca="false">_xlfn.UNICHAR(((F2351*21)+D2351)*28+44032)</f>
        <v>투</v>
      </c>
      <c r="P2351" s="12" t="n">
        <f aca="false">COUNTIF($A$2:$A$3000, N2351) + COUNTIF($A$2:$A$3000, O2351)</f>
        <v>2</v>
      </c>
      <c r="Q2351" s="16" t="str">
        <f aca="false">IF(OR(B2351=-1,I2351=0, P2351&lt;&gt;2), "albhed_dummy", _xlfn.CONCAT("albhed ", RIGHT("  " &amp; K2351,2),", ", RIGHT("  " &amp; L2351,2), ", " ,"""",H2351,""", ", """",N2351,""", ","""",O2351,""""," ; ", A2351))</f>
        <v>albhed 26,  6, "타", "하", "투" ; 훑</v>
      </c>
    </row>
    <row r="2352" customFormat="false" ht="17.9" hidden="false" customHeight="true" outlineLevel="0" collapsed="false">
      <c r="A2352" s="16" t="s">
        <v>3194</v>
      </c>
      <c r="B2352" s="16" t="n">
        <f aca="false">IF(_xlfn.UNICODE(A2352)&lt;44032,-1,_xlfn.UNICODE(A2352)-44032)</f>
        <v>10964</v>
      </c>
      <c r="C2352" s="16" t="n">
        <f aca="false">IF(B2352=-1,-1,INT((B2352/28)/21))</f>
        <v>18</v>
      </c>
      <c r="D2352" s="16" t="n">
        <f aca="false">IF(B2352=-1, -1, MOD(INT(B2352/28),21))</f>
        <v>13</v>
      </c>
      <c r="E2352" s="16" t="n">
        <f aca="false">IF(B2352=-1, -1, VLOOKUP(MOD(B2352,28), $T$24:$U$52,2))</f>
        <v>16</v>
      </c>
      <c r="F2352" s="16" t="n">
        <f aca="false">IF($B2352=-1, -1, VLOOKUP(C2352,$T$1:$V$20, 2))</f>
        <v>16</v>
      </c>
      <c r="G2352" s="16" t="n">
        <f aca="false">IF($B2352=-1, -1, VLOOKUP(D2352,$Y$1:$Z$22,2))</f>
        <v>0</v>
      </c>
      <c r="H2352" s="16" t="str">
        <f aca="false">_xlfn.UNICHAR(((F2352*21)+G2352)*28+44032)</f>
        <v>타</v>
      </c>
      <c r="I2352" s="16" t="n">
        <f aca="false">IF(B2352=-1, 1, COUNTIF($A$2:$A$3000, H2352))</f>
        <v>1</v>
      </c>
      <c r="J2352" s="10" t="str">
        <f aca="false">_xlfn.CONCAT(A2352, ",",H2352,",",I2352)</f>
        <v>훔,타,1</v>
      </c>
      <c r="K2352" s="16" t="n">
        <f aca="false">IF(B2352=-1,-1,VLOOKUP(C2352,$T$1:$V$20,3))</f>
        <v>26</v>
      </c>
      <c r="L2352" s="16" t="n">
        <f aca="false">IF(B2352=-1,-1,VLOOKUP(D2352,$Y$1:$AA$22,3))</f>
        <v>6</v>
      </c>
      <c r="N2352" s="10" t="str">
        <f aca="false">_xlfn.UNICHAR(((C2352*21)+G2352)*28+44032)</f>
        <v>하</v>
      </c>
      <c r="O2352" s="10" t="str">
        <f aca="false">_xlfn.UNICHAR(((F2352*21)+D2352)*28+44032)</f>
        <v>투</v>
      </c>
      <c r="P2352" s="12" t="n">
        <f aca="false">COUNTIF($A$2:$A$3000, N2352) + COUNTIF($A$2:$A$3000, O2352)</f>
        <v>2</v>
      </c>
      <c r="Q2352" s="16" t="str">
        <f aca="false">IF(OR(B2352=-1,I2352=0, P2352&lt;&gt;2), "albhed_dummy", _xlfn.CONCAT("albhed ", RIGHT("  " &amp; K2352,2),", ", RIGHT("  " &amp; L2352,2), ", " ,"""",H2352,""", ", """",N2352,""", ","""",O2352,""""," ; ", A2352))</f>
        <v>albhed 26,  6, "타", "하", "투" ; 훔</v>
      </c>
    </row>
    <row r="2353" customFormat="false" ht="17.9" hidden="false" customHeight="true" outlineLevel="0" collapsed="false">
      <c r="A2353" s="16" t="s">
        <v>3195</v>
      </c>
      <c r="B2353" s="16" t="n">
        <f aca="false">IF(_xlfn.UNICODE(A2353)&lt;44032,-1,_xlfn.UNICODE(A2353)-44032)</f>
        <v>10967</v>
      </c>
      <c r="C2353" s="16" t="n">
        <f aca="false">IF(B2353=-1,-1,INT((B2353/28)/21))</f>
        <v>18</v>
      </c>
      <c r="D2353" s="16" t="n">
        <f aca="false">IF(B2353=-1, -1, MOD(INT(B2353/28),21))</f>
        <v>13</v>
      </c>
      <c r="E2353" s="16" t="n">
        <f aca="false">IF(B2353=-1, -1, VLOOKUP(MOD(B2353,28), $T$24:$U$52,2))</f>
        <v>19</v>
      </c>
      <c r="F2353" s="16" t="n">
        <f aca="false">IF($B2353=-1, -1, VLOOKUP(C2353,$T$1:$V$20, 2))</f>
        <v>16</v>
      </c>
      <c r="G2353" s="16" t="n">
        <f aca="false">IF($B2353=-1, -1, VLOOKUP(D2353,$Y$1:$Z$22,2))</f>
        <v>0</v>
      </c>
      <c r="H2353" s="16" t="str">
        <f aca="false">_xlfn.UNICHAR(((F2353*21)+G2353)*28+44032)</f>
        <v>타</v>
      </c>
      <c r="I2353" s="16" t="n">
        <f aca="false">IF(B2353=-1, 1, COUNTIF($A$2:$A$3000, H2353))</f>
        <v>1</v>
      </c>
      <c r="J2353" s="10" t="str">
        <f aca="false">_xlfn.CONCAT(A2353, ",",H2353,",",I2353)</f>
        <v>훗,타,1</v>
      </c>
      <c r="K2353" s="16" t="n">
        <f aca="false">IF(B2353=-1,-1,VLOOKUP(C2353,$T$1:$V$20,3))</f>
        <v>26</v>
      </c>
      <c r="L2353" s="16" t="n">
        <f aca="false">IF(B2353=-1,-1,VLOOKUP(D2353,$Y$1:$AA$22,3))</f>
        <v>6</v>
      </c>
      <c r="N2353" s="10" t="str">
        <f aca="false">_xlfn.UNICHAR(((C2353*21)+G2353)*28+44032)</f>
        <v>하</v>
      </c>
      <c r="O2353" s="10" t="str">
        <f aca="false">_xlfn.UNICHAR(((F2353*21)+D2353)*28+44032)</f>
        <v>투</v>
      </c>
      <c r="P2353" s="12" t="n">
        <f aca="false">COUNTIF($A$2:$A$3000, N2353) + COUNTIF($A$2:$A$3000, O2353)</f>
        <v>2</v>
      </c>
      <c r="Q2353" s="16" t="str">
        <f aca="false">IF(OR(B2353=-1,I2353=0, P2353&lt;&gt;2), "albhed_dummy", _xlfn.CONCAT("albhed ", RIGHT("  " &amp; K2353,2),", ", RIGHT("  " &amp; L2353,2), ", " ,"""",H2353,""", ", """",N2353,""", ","""",O2353,""""," ; ", A2353))</f>
        <v>albhed 26,  6, "타", "하", "투" ; 훗</v>
      </c>
    </row>
    <row r="2354" customFormat="false" ht="17.9" hidden="false" customHeight="true" outlineLevel="0" collapsed="false">
      <c r="A2354" s="16" t="s">
        <v>3196</v>
      </c>
      <c r="B2354" s="16" t="n">
        <f aca="false">IF(_xlfn.UNICODE(A2354)&lt;44032,-1,_xlfn.UNICODE(A2354)-44032)</f>
        <v>10969</v>
      </c>
      <c r="C2354" s="16" t="n">
        <f aca="false">IF(B2354=-1,-1,INT((B2354/28)/21))</f>
        <v>18</v>
      </c>
      <c r="D2354" s="16" t="n">
        <f aca="false">IF(B2354=-1, -1, MOD(INT(B2354/28),21))</f>
        <v>13</v>
      </c>
      <c r="E2354" s="16" t="n">
        <f aca="false">IF(B2354=-1, -1, VLOOKUP(MOD(B2354,28), $T$24:$U$52,2))</f>
        <v>21</v>
      </c>
      <c r="F2354" s="16" t="n">
        <f aca="false">IF($B2354=-1, -1, VLOOKUP(C2354,$T$1:$V$20, 2))</f>
        <v>16</v>
      </c>
      <c r="G2354" s="16" t="n">
        <f aca="false">IF($B2354=-1, -1, VLOOKUP(D2354,$Y$1:$Z$22,2))</f>
        <v>0</v>
      </c>
      <c r="H2354" s="16" t="str">
        <f aca="false">_xlfn.UNICHAR(((F2354*21)+G2354)*28+44032)</f>
        <v>타</v>
      </c>
      <c r="I2354" s="16" t="n">
        <f aca="false">IF(B2354=-1, 1, COUNTIF($A$2:$A$3000, H2354))</f>
        <v>1</v>
      </c>
      <c r="J2354" s="10" t="str">
        <f aca="false">_xlfn.CONCAT(A2354, ",",H2354,",",I2354)</f>
        <v>훙,타,1</v>
      </c>
      <c r="K2354" s="16" t="n">
        <f aca="false">IF(B2354=-1,-1,VLOOKUP(C2354,$T$1:$V$20,3))</f>
        <v>26</v>
      </c>
      <c r="L2354" s="16" t="n">
        <f aca="false">IF(B2354=-1,-1,VLOOKUP(D2354,$Y$1:$AA$22,3))</f>
        <v>6</v>
      </c>
      <c r="N2354" s="10" t="str">
        <f aca="false">_xlfn.UNICHAR(((C2354*21)+G2354)*28+44032)</f>
        <v>하</v>
      </c>
      <c r="O2354" s="10" t="str">
        <f aca="false">_xlfn.UNICHAR(((F2354*21)+D2354)*28+44032)</f>
        <v>투</v>
      </c>
      <c r="P2354" s="12" t="n">
        <f aca="false">COUNTIF($A$2:$A$3000, N2354) + COUNTIF($A$2:$A$3000, O2354)</f>
        <v>2</v>
      </c>
      <c r="Q2354" s="16" t="str">
        <f aca="false">IF(OR(B2354=-1,I2354=0, P2354&lt;&gt;2), "albhed_dummy", _xlfn.CONCAT("albhed ", RIGHT("  " &amp; K2354,2),", ", RIGHT("  " &amp; L2354,2), ", " ,"""",H2354,""", ", """",N2354,""", ","""",O2354,""""," ; ", A2354))</f>
        <v>albhed 26,  6, "타", "하", "투" ; 훙</v>
      </c>
    </row>
    <row r="2355" customFormat="false" ht="17.9" hidden="false" customHeight="true" outlineLevel="0" collapsed="false">
      <c r="A2355" s="16" t="s">
        <v>3197</v>
      </c>
      <c r="B2355" s="16" t="n">
        <f aca="false">IF(_xlfn.UNICODE(A2355)&lt;44032,-1,_xlfn.UNICODE(A2355)-44032)</f>
        <v>10976</v>
      </c>
      <c r="C2355" s="16" t="n">
        <f aca="false">IF(B2355=-1,-1,INT((B2355/28)/21))</f>
        <v>18</v>
      </c>
      <c r="D2355" s="16" t="n">
        <f aca="false">IF(B2355=-1, -1, MOD(INT(B2355/28),21))</f>
        <v>14</v>
      </c>
      <c r="E2355" s="16" t="n">
        <f aca="false">IF(B2355=-1, -1, VLOOKUP(MOD(B2355,28), $T$24:$U$52,2))</f>
        <v>0</v>
      </c>
      <c r="F2355" s="16" t="n">
        <f aca="false">IF($B2355=-1, -1, VLOOKUP(C2355,$T$1:$V$20, 2))</f>
        <v>16</v>
      </c>
      <c r="G2355" s="16" t="n">
        <f aca="false">IF($B2355=-1, -1, VLOOKUP(D2355,$Y$1:$Z$22,2))</f>
        <v>20</v>
      </c>
      <c r="H2355" s="16" t="str">
        <f aca="false">_xlfn.UNICHAR(((F2355*21)+G2355)*28+44032)</f>
        <v>티</v>
      </c>
      <c r="I2355" s="16" t="n">
        <f aca="false">IF(B2355=-1, 1, COUNTIF($A$2:$A$3000, H2355))</f>
        <v>1</v>
      </c>
      <c r="J2355" s="10" t="str">
        <f aca="false">_xlfn.CONCAT(A2355, ",",H2355,",",I2355)</f>
        <v>훠,티,1</v>
      </c>
      <c r="K2355" s="16" t="n">
        <f aca="false">IF(B2355=-1,-1,VLOOKUP(C2355,$T$1:$V$20,3))</f>
        <v>26</v>
      </c>
      <c r="L2355" s="16" t="n">
        <f aca="false">IF(B2355=-1,-1,VLOOKUP(D2355,$Y$1:$AA$22,3))</f>
        <v>16</v>
      </c>
      <c r="N2355" s="10" t="str">
        <f aca="false">_xlfn.UNICHAR(((C2355*21)+G2355)*28+44032)</f>
        <v>히</v>
      </c>
      <c r="O2355" s="10" t="str">
        <f aca="false">_xlfn.UNICHAR(((F2355*21)+D2355)*28+44032)</f>
        <v>퉈</v>
      </c>
      <c r="P2355" s="12" t="n">
        <f aca="false">COUNTIF($A$2:$A$3000, N2355) + COUNTIF($A$2:$A$3000, O2355)</f>
        <v>2</v>
      </c>
      <c r="Q2355" s="16" t="str">
        <f aca="false">IF(OR(B2355=-1,I2355=0, P2355&lt;&gt;2), "albhed_dummy", _xlfn.CONCAT("albhed ", RIGHT("  " &amp; K2355,2),", ", RIGHT("  " &amp; L2355,2), ", " ,"""",H2355,""", ", """",N2355,""", ","""",O2355,""""," ; ", A2355))</f>
        <v>albhed 26, 16, "티", "히", "퉈" ; 훠</v>
      </c>
    </row>
    <row r="2356" customFormat="false" ht="17.9" hidden="false" customHeight="true" outlineLevel="0" collapsed="false">
      <c r="A2356" s="16" t="s">
        <v>3198</v>
      </c>
      <c r="B2356" s="16" t="n">
        <f aca="false">IF(_xlfn.UNICODE(A2356)&lt;44032,-1,_xlfn.UNICODE(A2356)-44032)</f>
        <v>10980</v>
      </c>
      <c r="C2356" s="16" t="n">
        <f aca="false">IF(B2356=-1,-1,INT((B2356/28)/21))</f>
        <v>18</v>
      </c>
      <c r="D2356" s="16" t="n">
        <f aca="false">IF(B2356=-1, -1, MOD(INT(B2356/28),21))</f>
        <v>14</v>
      </c>
      <c r="E2356" s="16" t="n">
        <f aca="false">IF(B2356=-1, -1, VLOOKUP(MOD(B2356,28), $T$24:$U$52,2))</f>
        <v>4</v>
      </c>
      <c r="F2356" s="16" t="n">
        <f aca="false">IF($B2356=-1, -1, VLOOKUP(C2356,$T$1:$V$20, 2))</f>
        <v>16</v>
      </c>
      <c r="G2356" s="16" t="n">
        <f aca="false">IF($B2356=-1, -1, VLOOKUP(D2356,$Y$1:$Z$22,2))</f>
        <v>20</v>
      </c>
      <c r="H2356" s="16" t="str">
        <f aca="false">_xlfn.UNICHAR(((F2356*21)+G2356)*28+44032)</f>
        <v>티</v>
      </c>
      <c r="I2356" s="16" t="n">
        <f aca="false">IF(B2356=-1, 1, COUNTIF($A$2:$A$3000, H2356))</f>
        <v>1</v>
      </c>
      <c r="J2356" s="10" t="str">
        <f aca="false">_xlfn.CONCAT(A2356, ",",H2356,",",I2356)</f>
        <v>훤,티,1</v>
      </c>
      <c r="K2356" s="16" t="n">
        <f aca="false">IF(B2356=-1,-1,VLOOKUP(C2356,$T$1:$V$20,3))</f>
        <v>26</v>
      </c>
      <c r="L2356" s="16" t="n">
        <f aca="false">IF(B2356=-1,-1,VLOOKUP(D2356,$Y$1:$AA$22,3))</f>
        <v>16</v>
      </c>
      <c r="N2356" s="10" t="str">
        <f aca="false">_xlfn.UNICHAR(((C2356*21)+G2356)*28+44032)</f>
        <v>히</v>
      </c>
      <c r="O2356" s="10" t="str">
        <f aca="false">_xlfn.UNICHAR(((F2356*21)+D2356)*28+44032)</f>
        <v>퉈</v>
      </c>
      <c r="P2356" s="12" t="n">
        <f aca="false">COUNTIF($A$2:$A$3000, N2356) + COUNTIF($A$2:$A$3000, O2356)</f>
        <v>2</v>
      </c>
      <c r="Q2356" s="16" t="str">
        <f aca="false">IF(OR(B2356=-1,I2356=0, P2356&lt;&gt;2), "albhed_dummy", _xlfn.CONCAT("albhed ", RIGHT("  " &amp; K2356,2),", ", RIGHT("  " &amp; L2356,2), ", " ,"""",H2356,""", ", """",N2356,""", ","""",O2356,""""," ; ", A2356))</f>
        <v>albhed 26, 16, "티", "히", "퉈" ; 훤</v>
      </c>
    </row>
    <row r="2357" customFormat="false" ht="17.9" hidden="false" customHeight="true" outlineLevel="0" collapsed="false">
      <c r="A2357" s="16" t="s">
        <v>3199</v>
      </c>
      <c r="B2357" s="16" t="n">
        <f aca="false">IF(_xlfn.UNICODE(A2357)&lt;44032,-1,_xlfn.UNICODE(A2357)-44032)</f>
        <v>10984</v>
      </c>
      <c r="C2357" s="16" t="n">
        <f aca="false">IF(B2357=-1,-1,INT((B2357/28)/21))</f>
        <v>18</v>
      </c>
      <c r="D2357" s="16" t="n">
        <f aca="false">IF(B2357=-1, -1, MOD(INT(B2357/28),21))</f>
        <v>14</v>
      </c>
      <c r="E2357" s="16" t="n">
        <f aca="false">IF(B2357=-1, -1, VLOOKUP(MOD(B2357,28), $T$24:$U$52,2))</f>
        <v>8</v>
      </c>
      <c r="F2357" s="16" t="n">
        <f aca="false">IF($B2357=-1, -1, VLOOKUP(C2357,$T$1:$V$20, 2))</f>
        <v>16</v>
      </c>
      <c r="G2357" s="16" t="n">
        <f aca="false">IF($B2357=-1, -1, VLOOKUP(D2357,$Y$1:$Z$22,2))</f>
        <v>20</v>
      </c>
      <c r="H2357" s="16" t="str">
        <f aca="false">_xlfn.UNICHAR(((F2357*21)+G2357)*28+44032)</f>
        <v>티</v>
      </c>
      <c r="I2357" s="16" t="n">
        <f aca="false">IF(B2357=-1, 1, COUNTIF($A$2:$A$3000, H2357))</f>
        <v>1</v>
      </c>
      <c r="J2357" s="10" t="str">
        <f aca="false">_xlfn.CONCAT(A2357, ",",H2357,",",I2357)</f>
        <v>훨,티,1</v>
      </c>
      <c r="K2357" s="16" t="n">
        <f aca="false">IF(B2357=-1,-1,VLOOKUP(C2357,$T$1:$V$20,3))</f>
        <v>26</v>
      </c>
      <c r="L2357" s="16" t="n">
        <f aca="false">IF(B2357=-1,-1,VLOOKUP(D2357,$Y$1:$AA$22,3))</f>
        <v>16</v>
      </c>
      <c r="N2357" s="10" t="str">
        <f aca="false">_xlfn.UNICHAR(((C2357*21)+G2357)*28+44032)</f>
        <v>히</v>
      </c>
      <c r="O2357" s="10" t="str">
        <f aca="false">_xlfn.UNICHAR(((F2357*21)+D2357)*28+44032)</f>
        <v>퉈</v>
      </c>
      <c r="P2357" s="12" t="n">
        <f aca="false">COUNTIF($A$2:$A$3000, N2357) + COUNTIF($A$2:$A$3000, O2357)</f>
        <v>2</v>
      </c>
      <c r="Q2357" s="16" t="str">
        <f aca="false">IF(OR(B2357=-1,I2357=0, P2357&lt;&gt;2), "albhed_dummy", _xlfn.CONCAT("albhed ", RIGHT("  " &amp; K2357,2),", ", RIGHT("  " &amp; L2357,2), ", " ,"""",H2357,""", ", """",N2357,""", ","""",O2357,""""," ; ", A2357))</f>
        <v>albhed 26, 16, "티", "히", "퉈" ; 훨</v>
      </c>
    </row>
    <row r="2358" customFormat="false" ht="17.9" hidden="false" customHeight="true" outlineLevel="0" collapsed="false">
      <c r="A2358" s="16" t="s">
        <v>3200</v>
      </c>
      <c r="B2358" s="16" t="n">
        <f aca="false">IF(_xlfn.UNICODE(A2358)&lt;44032,-1,_xlfn.UNICODE(A2358)-44032)</f>
        <v>10992</v>
      </c>
      <c r="C2358" s="16" t="n">
        <f aca="false">IF(B2358=-1,-1,INT((B2358/28)/21))</f>
        <v>18</v>
      </c>
      <c r="D2358" s="16" t="n">
        <f aca="false">IF(B2358=-1, -1, MOD(INT(B2358/28),21))</f>
        <v>14</v>
      </c>
      <c r="E2358" s="16" t="n">
        <f aca="false">IF(B2358=-1, -1, VLOOKUP(MOD(B2358,28), $T$24:$U$52,2))</f>
        <v>16</v>
      </c>
      <c r="F2358" s="16" t="n">
        <f aca="false">IF($B2358=-1, -1, VLOOKUP(C2358,$T$1:$V$20, 2))</f>
        <v>16</v>
      </c>
      <c r="G2358" s="16" t="n">
        <f aca="false">IF($B2358=-1, -1, VLOOKUP(D2358,$Y$1:$Z$22,2))</f>
        <v>20</v>
      </c>
      <c r="H2358" s="16" t="str">
        <f aca="false">_xlfn.UNICHAR(((F2358*21)+G2358)*28+44032)</f>
        <v>티</v>
      </c>
      <c r="I2358" s="16" t="n">
        <f aca="false">IF(B2358=-1, 1, COUNTIF($A$2:$A$3000, H2358))</f>
        <v>1</v>
      </c>
      <c r="J2358" s="10" t="str">
        <f aca="false">_xlfn.CONCAT(A2358, ",",H2358,",",I2358)</f>
        <v>훰,티,1</v>
      </c>
      <c r="K2358" s="16" t="n">
        <f aca="false">IF(B2358=-1,-1,VLOOKUP(C2358,$T$1:$V$20,3))</f>
        <v>26</v>
      </c>
      <c r="L2358" s="16" t="n">
        <f aca="false">IF(B2358=-1,-1,VLOOKUP(D2358,$Y$1:$AA$22,3))</f>
        <v>16</v>
      </c>
      <c r="N2358" s="10" t="str">
        <f aca="false">_xlfn.UNICHAR(((C2358*21)+G2358)*28+44032)</f>
        <v>히</v>
      </c>
      <c r="O2358" s="10" t="str">
        <f aca="false">_xlfn.UNICHAR(((F2358*21)+D2358)*28+44032)</f>
        <v>퉈</v>
      </c>
      <c r="P2358" s="12" t="n">
        <f aca="false">COUNTIF($A$2:$A$3000, N2358) + COUNTIF($A$2:$A$3000, O2358)</f>
        <v>2</v>
      </c>
      <c r="Q2358" s="16" t="str">
        <f aca="false">IF(OR(B2358=-1,I2358=0, P2358&lt;&gt;2), "albhed_dummy", _xlfn.CONCAT("albhed ", RIGHT("  " &amp; K2358,2),", ", RIGHT("  " &amp; L2358,2), ", " ,"""",H2358,""", ", """",N2358,""", ","""",O2358,""""," ; ", A2358))</f>
        <v>albhed 26, 16, "티", "히", "퉈" ; 훰</v>
      </c>
    </row>
    <row r="2359" customFormat="false" ht="17.9" hidden="false" customHeight="true" outlineLevel="0" collapsed="false">
      <c r="A2359" s="16" t="s">
        <v>3201</v>
      </c>
      <c r="B2359" s="16" t="n">
        <f aca="false">IF(_xlfn.UNICODE(A2359)&lt;44032,-1,_xlfn.UNICODE(A2359)-44032)</f>
        <v>10997</v>
      </c>
      <c r="C2359" s="16" t="n">
        <f aca="false">IF(B2359=-1,-1,INT((B2359/28)/21))</f>
        <v>18</v>
      </c>
      <c r="D2359" s="16" t="n">
        <f aca="false">IF(B2359=-1, -1, MOD(INT(B2359/28),21))</f>
        <v>14</v>
      </c>
      <c r="E2359" s="16" t="n">
        <f aca="false">IF(B2359=-1, -1, VLOOKUP(MOD(B2359,28), $T$24:$U$52,2))</f>
        <v>21</v>
      </c>
      <c r="F2359" s="16" t="n">
        <f aca="false">IF($B2359=-1, -1, VLOOKUP(C2359,$T$1:$V$20, 2))</f>
        <v>16</v>
      </c>
      <c r="G2359" s="16" t="n">
        <f aca="false">IF($B2359=-1, -1, VLOOKUP(D2359,$Y$1:$Z$22,2))</f>
        <v>20</v>
      </c>
      <c r="H2359" s="16" t="str">
        <f aca="false">_xlfn.UNICHAR(((F2359*21)+G2359)*28+44032)</f>
        <v>티</v>
      </c>
      <c r="I2359" s="16" t="n">
        <f aca="false">IF(B2359=-1, 1, COUNTIF($A$2:$A$3000, H2359))</f>
        <v>1</v>
      </c>
      <c r="J2359" s="10" t="str">
        <f aca="false">_xlfn.CONCAT(A2359, ",",H2359,",",I2359)</f>
        <v>훵,티,1</v>
      </c>
      <c r="K2359" s="16" t="n">
        <f aca="false">IF(B2359=-1,-1,VLOOKUP(C2359,$T$1:$V$20,3))</f>
        <v>26</v>
      </c>
      <c r="L2359" s="16" t="n">
        <f aca="false">IF(B2359=-1,-1,VLOOKUP(D2359,$Y$1:$AA$22,3))</f>
        <v>16</v>
      </c>
      <c r="N2359" s="10" t="str">
        <f aca="false">_xlfn.UNICHAR(((C2359*21)+G2359)*28+44032)</f>
        <v>히</v>
      </c>
      <c r="O2359" s="10" t="str">
        <f aca="false">_xlfn.UNICHAR(((F2359*21)+D2359)*28+44032)</f>
        <v>퉈</v>
      </c>
      <c r="P2359" s="12" t="n">
        <f aca="false">COUNTIF($A$2:$A$3000, N2359) + COUNTIF($A$2:$A$3000, O2359)</f>
        <v>2</v>
      </c>
      <c r="Q2359" s="16" t="str">
        <f aca="false">IF(OR(B2359=-1,I2359=0, P2359&lt;&gt;2), "albhed_dummy", _xlfn.CONCAT("albhed ", RIGHT("  " &amp; K2359,2),", ", RIGHT("  " &amp; L2359,2), ", " ,"""",H2359,""", ", """",N2359,""", ","""",O2359,""""," ; ", A2359))</f>
        <v>albhed 26, 16, "티", "히", "퉈" ; 훵</v>
      </c>
    </row>
    <row r="2360" customFormat="false" ht="17.9" hidden="false" customHeight="true" outlineLevel="0" collapsed="false">
      <c r="A2360" s="16" t="s">
        <v>3202</v>
      </c>
      <c r="B2360" s="16" t="n">
        <f aca="false">IF(_xlfn.UNICODE(A2360)&lt;44032,-1,_xlfn.UNICODE(A2360)-44032)</f>
        <v>11004</v>
      </c>
      <c r="C2360" s="16" t="n">
        <f aca="false">IF(B2360=-1,-1,INT((B2360/28)/21))</f>
        <v>18</v>
      </c>
      <c r="D2360" s="16" t="n">
        <f aca="false">IF(B2360=-1, -1, MOD(INT(B2360/28),21))</f>
        <v>15</v>
      </c>
      <c r="E2360" s="16" t="n">
        <f aca="false">IF(B2360=-1, -1, VLOOKUP(MOD(B2360,28), $T$24:$U$52,2))</f>
        <v>0</v>
      </c>
      <c r="F2360" s="16" t="n">
        <f aca="false">IF($B2360=-1, -1, VLOOKUP(C2360,$T$1:$V$20, 2))</f>
        <v>16</v>
      </c>
      <c r="G2360" s="16" t="n">
        <f aca="false">IF($B2360=-1, -1, VLOOKUP(D2360,$Y$1:$Z$22,2))</f>
        <v>20</v>
      </c>
      <c r="H2360" s="16" t="str">
        <f aca="false">_xlfn.UNICHAR(((F2360*21)+G2360)*28+44032)</f>
        <v>티</v>
      </c>
      <c r="I2360" s="16" t="n">
        <f aca="false">IF(B2360=-1, 1, COUNTIF($A$2:$A$3000, H2360))</f>
        <v>1</v>
      </c>
      <c r="J2360" s="10" t="str">
        <f aca="false">_xlfn.CONCAT(A2360, ",",H2360,",",I2360)</f>
        <v>훼,티,1</v>
      </c>
      <c r="K2360" s="16" t="n">
        <f aca="false">IF(B2360=-1,-1,VLOOKUP(C2360,$T$1:$V$20,3))</f>
        <v>26</v>
      </c>
      <c r="L2360" s="16" t="n">
        <f aca="false">IF(B2360=-1,-1,VLOOKUP(D2360,$Y$1:$AA$22,3))</f>
        <v>16</v>
      </c>
      <c r="N2360" s="10" t="str">
        <f aca="false">_xlfn.UNICHAR(((C2360*21)+G2360)*28+44032)</f>
        <v>히</v>
      </c>
      <c r="O2360" s="10" t="str">
        <f aca="false">_xlfn.UNICHAR(((F2360*21)+D2360)*28+44032)</f>
        <v>퉤</v>
      </c>
      <c r="P2360" s="12" t="n">
        <f aca="false">COUNTIF($A$2:$A$3000, N2360) + COUNTIF($A$2:$A$3000, O2360)</f>
        <v>2</v>
      </c>
      <c r="Q2360" s="16" t="str">
        <f aca="false">IF(OR(B2360=-1,I2360=0, P2360&lt;&gt;2), "albhed_dummy", _xlfn.CONCAT("albhed ", RIGHT("  " &amp; K2360,2),", ", RIGHT("  " &amp; L2360,2), ", " ,"""",H2360,""", ", """",N2360,""", ","""",O2360,""""," ; ", A2360))</f>
        <v>albhed 26, 16, "티", "히", "퉤" ; 훼</v>
      </c>
    </row>
    <row r="2361" customFormat="false" ht="17.9" hidden="false" customHeight="true" outlineLevel="0" collapsed="false">
      <c r="A2361" s="16" t="s">
        <v>3203</v>
      </c>
      <c r="B2361" s="16" t="n">
        <f aca="false">IF(_xlfn.UNICODE(A2361)&lt;44032,-1,_xlfn.UNICODE(A2361)-44032)</f>
        <v>11005</v>
      </c>
      <c r="C2361" s="16" t="n">
        <f aca="false">IF(B2361=-1,-1,INT((B2361/28)/21))</f>
        <v>18</v>
      </c>
      <c r="D2361" s="16" t="n">
        <f aca="false">IF(B2361=-1, -1, MOD(INT(B2361/28),21))</f>
        <v>15</v>
      </c>
      <c r="E2361" s="16" t="n">
        <f aca="false">IF(B2361=-1, -1, VLOOKUP(MOD(B2361,28), $T$24:$U$52,2))</f>
        <v>1</v>
      </c>
      <c r="F2361" s="16" t="n">
        <f aca="false">IF($B2361=-1, -1, VLOOKUP(C2361,$T$1:$V$20, 2))</f>
        <v>16</v>
      </c>
      <c r="G2361" s="16" t="n">
        <f aca="false">IF($B2361=-1, -1, VLOOKUP(D2361,$Y$1:$Z$22,2))</f>
        <v>20</v>
      </c>
      <c r="H2361" s="16" t="str">
        <f aca="false">_xlfn.UNICHAR(((F2361*21)+G2361)*28+44032)</f>
        <v>티</v>
      </c>
      <c r="I2361" s="16" t="n">
        <f aca="false">IF(B2361=-1, 1, COUNTIF($A$2:$A$3000, H2361))</f>
        <v>1</v>
      </c>
      <c r="J2361" s="10" t="str">
        <f aca="false">_xlfn.CONCAT(A2361, ",",H2361,",",I2361)</f>
        <v>훽,티,1</v>
      </c>
      <c r="K2361" s="16" t="n">
        <f aca="false">IF(B2361=-1,-1,VLOOKUP(C2361,$T$1:$V$20,3))</f>
        <v>26</v>
      </c>
      <c r="L2361" s="16" t="n">
        <f aca="false">IF(B2361=-1,-1,VLOOKUP(D2361,$Y$1:$AA$22,3))</f>
        <v>16</v>
      </c>
      <c r="N2361" s="10" t="str">
        <f aca="false">_xlfn.UNICHAR(((C2361*21)+G2361)*28+44032)</f>
        <v>히</v>
      </c>
      <c r="O2361" s="10" t="str">
        <f aca="false">_xlfn.UNICHAR(((F2361*21)+D2361)*28+44032)</f>
        <v>퉤</v>
      </c>
      <c r="P2361" s="12" t="n">
        <f aca="false">COUNTIF($A$2:$A$3000, N2361) + COUNTIF($A$2:$A$3000, O2361)</f>
        <v>2</v>
      </c>
      <c r="Q2361" s="16" t="str">
        <f aca="false">IF(OR(B2361=-1,I2361=0, P2361&lt;&gt;2), "albhed_dummy", _xlfn.CONCAT("albhed ", RIGHT("  " &amp; K2361,2),", ", RIGHT("  " &amp; L2361,2), ", " ,"""",H2361,""", ", """",N2361,""", ","""",O2361,""""," ; ", A2361))</f>
        <v>albhed 26, 16, "티", "히", "퉤" ; 훽</v>
      </c>
    </row>
    <row r="2362" customFormat="false" ht="17.9" hidden="false" customHeight="true" outlineLevel="0" collapsed="false">
      <c r="A2362" s="16" t="s">
        <v>3204</v>
      </c>
      <c r="B2362" s="16" t="n">
        <f aca="false">IF(_xlfn.UNICODE(A2362)&lt;44032,-1,_xlfn.UNICODE(A2362)-44032)</f>
        <v>11008</v>
      </c>
      <c r="C2362" s="16" t="n">
        <f aca="false">IF(B2362=-1,-1,INT((B2362/28)/21))</f>
        <v>18</v>
      </c>
      <c r="D2362" s="16" t="n">
        <f aca="false">IF(B2362=-1, -1, MOD(INT(B2362/28),21))</f>
        <v>15</v>
      </c>
      <c r="E2362" s="16" t="n">
        <f aca="false">IF(B2362=-1, -1, VLOOKUP(MOD(B2362,28), $T$24:$U$52,2))</f>
        <v>4</v>
      </c>
      <c r="F2362" s="16" t="n">
        <f aca="false">IF($B2362=-1, -1, VLOOKUP(C2362,$T$1:$V$20, 2))</f>
        <v>16</v>
      </c>
      <c r="G2362" s="16" t="n">
        <f aca="false">IF($B2362=-1, -1, VLOOKUP(D2362,$Y$1:$Z$22,2))</f>
        <v>20</v>
      </c>
      <c r="H2362" s="16" t="str">
        <f aca="false">_xlfn.UNICHAR(((F2362*21)+G2362)*28+44032)</f>
        <v>티</v>
      </c>
      <c r="I2362" s="16" t="n">
        <f aca="false">IF(B2362=-1, 1, COUNTIF($A$2:$A$3000, H2362))</f>
        <v>1</v>
      </c>
      <c r="J2362" s="10" t="str">
        <f aca="false">_xlfn.CONCAT(A2362, ",",H2362,",",I2362)</f>
        <v>휀,티,1</v>
      </c>
      <c r="K2362" s="16" t="n">
        <f aca="false">IF(B2362=-1,-1,VLOOKUP(C2362,$T$1:$V$20,3))</f>
        <v>26</v>
      </c>
      <c r="L2362" s="16" t="n">
        <f aca="false">IF(B2362=-1,-1,VLOOKUP(D2362,$Y$1:$AA$22,3))</f>
        <v>16</v>
      </c>
      <c r="N2362" s="10" t="str">
        <f aca="false">_xlfn.UNICHAR(((C2362*21)+G2362)*28+44032)</f>
        <v>히</v>
      </c>
      <c r="O2362" s="10" t="str">
        <f aca="false">_xlfn.UNICHAR(((F2362*21)+D2362)*28+44032)</f>
        <v>퉤</v>
      </c>
      <c r="P2362" s="12" t="n">
        <f aca="false">COUNTIF($A$2:$A$3000, N2362) + COUNTIF($A$2:$A$3000, O2362)</f>
        <v>2</v>
      </c>
      <c r="Q2362" s="16" t="str">
        <f aca="false">IF(OR(B2362=-1,I2362=0, P2362&lt;&gt;2), "albhed_dummy", _xlfn.CONCAT("albhed ", RIGHT("  " &amp; K2362,2),", ", RIGHT("  " &amp; L2362,2), ", " ,"""",H2362,""", ", """",N2362,""", ","""",O2362,""""," ; ", A2362))</f>
        <v>albhed 26, 16, "티", "히", "퉤" ; 휀</v>
      </c>
    </row>
    <row r="2363" customFormat="false" ht="17.9" hidden="false" customHeight="true" outlineLevel="0" collapsed="false">
      <c r="A2363" s="16" t="s">
        <v>3205</v>
      </c>
      <c r="B2363" s="16" t="n">
        <f aca="false">IF(_xlfn.UNICODE(A2363)&lt;44032,-1,_xlfn.UNICODE(A2363)-44032)</f>
        <v>11012</v>
      </c>
      <c r="C2363" s="16" t="n">
        <f aca="false">IF(B2363=-1,-1,INT((B2363/28)/21))</f>
        <v>18</v>
      </c>
      <c r="D2363" s="16" t="n">
        <f aca="false">IF(B2363=-1, -1, MOD(INT(B2363/28),21))</f>
        <v>15</v>
      </c>
      <c r="E2363" s="16" t="n">
        <f aca="false">IF(B2363=-1, -1, VLOOKUP(MOD(B2363,28), $T$24:$U$52,2))</f>
        <v>8</v>
      </c>
      <c r="F2363" s="16" t="n">
        <f aca="false">IF($B2363=-1, -1, VLOOKUP(C2363,$T$1:$V$20, 2))</f>
        <v>16</v>
      </c>
      <c r="G2363" s="16" t="n">
        <f aca="false">IF($B2363=-1, -1, VLOOKUP(D2363,$Y$1:$Z$22,2))</f>
        <v>20</v>
      </c>
      <c r="H2363" s="16" t="str">
        <f aca="false">_xlfn.UNICHAR(((F2363*21)+G2363)*28+44032)</f>
        <v>티</v>
      </c>
      <c r="I2363" s="16" t="n">
        <f aca="false">IF(B2363=-1, 1, COUNTIF($A$2:$A$3000, H2363))</f>
        <v>1</v>
      </c>
      <c r="J2363" s="10" t="str">
        <f aca="false">_xlfn.CONCAT(A2363, ",",H2363,",",I2363)</f>
        <v>휄,티,1</v>
      </c>
      <c r="K2363" s="16" t="n">
        <f aca="false">IF(B2363=-1,-1,VLOOKUP(C2363,$T$1:$V$20,3))</f>
        <v>26</v>
      </c>
      <c r="L2363" s="16" t="n">
        <f aca="false">IF(B2363=-1,-1,VLOOKUP(D2363,$Y$1:$AA$22,3))</f>
        <v>16</v>
      </c>
      <c r="N2363" s="10" t="str">
        <f aca="false">_xlfn.UNICHAR(((C2363*21)+G2363)*28+44032)</f>
        <v>히</v>
      </c>
      <c r="O2363" s="10" t="str">
        <f aca="false">_xlfn.UNICHAR(((F2363*21)+D2363)*28+44032)</f>
        <v>퉤</v>
      </c>
      <c r="P2363" s="12" t="n">
        <f aca="false">COUNTIF($A$2:$A$3000, N2363) + COUNTIF($A$2:$A$3000, O2363)</f>
        <v>2</v>
      </c>
      <c r="Q2363" s="16" t="str">
        <f aca="false">IF(OR(B2363=-1,I2363=0, P2363&lt;&gt;2), "albhed_dummy", _xlfn.CONCAT("albhed ", RIGHT("  " &amp; K2363,2),", ", RIGHT("  " &amp; L2363,2), ", " ,"""",H2363,""", ", """",N2363,""", ","""",O2363,""""," ; ", A2363))</f>
        <v>albhed 26, 16, "티", "히", "퉤" ; 휄</v>
      </c>
    </row>
    <row r="2364" customFormat="false" ht="17.9" hidden="false" customHeight="true" outlineLevel="0" collapsed="false">
      <c r="A2364" s="16" t="s">
        <v>3206</v>
      </c>
      <c r="B2364" s="16" t="n">
        <f aca="false">IF(_xlfn.UNICODE(A2364)&lt;44032,-1,_xlfn.UNICODE(A2364)-44032)</f>
        <v>11025</v>
      </c>
      <c r="C2364" s="16" t="n">
        <f aca="false">IF(B2364=-1,-1,INT((B2364/28)/21))</f>
        <v>18</v>
      </c>
      <c r="D2364" s="16" t="n">
        <f aca="false">IF(B2364=-1, -1, MOD(INT(B2364/28),21))</f>
        <v>15</v>
      </c>
      <c r="E2364" s="16" t="n">
        <f aca="false">IF(B2364=-1, -1, VLOOKUP(MOD(B2364,28), $T$24:$U$52,2))</f>
        <v>21</v>
      </c>
      <c r="F2364" s="16" t="n">
        <f aca="false">IF($B2364=-1, -1, VLOOKUP(C2364,$T$1:$V$20, 2))</f>
        <v>16</v>
      </c>
      <c r="G2364" s="16" t="n">
        <f aca="false">IF($B2364=-1, -1, VLOOKUP(D2364,$Y$1:$Z$22,2))</f>
        <v>20</v>
      </c>
      <c r="H2364" s="16" t="str">
        <f aca="false">_xlfn.UNICHAR(((F2364*21)+G2364)*28+44032)</f>
        <v>티</v>
      </c>
      <c r="I2364" s="16" t="n">
        <f aca="false">IF(B2364=-1, 1, COUNTIF($A$2:$A$3000, H2364))</f>
        <v>1</v>
      </c>
      <c r="J2364" s="10" t="str">
        <f aca="false">_xlfn.CONCAT(A2364, ",",H2364,",",I2364)</f>
        <v>휑,티,1</v>
      </c>
      <c r="K2364" s="16" t="n">
        <f aca="false">IF(B2364=-1,-1,VLOOKUP(C2364,$T$1:$V$20,3))</f>
        <v>26</v>
      </c>
      <c r="L2364" s="16" t="n">
        <f aca="false">IF(B2364=-1,-1,VLOOKUP(D2364,$Y$1:$AA$22,3))</f>
        <v>16</v>
      </c>
      <c r="N2364" s="10" t="str">
        <f aca="false">_xlfn.UNICHAR(((C2364*21)+G2364)*28+44032)</f>
        <v>히</v>
      </c>
      <c r="O2364" s="10" t="str">
        <f aca="false">_xlfn.UNICHAR(((F2364*21)+D2364)*28+44032)</f>
        <v>퉤</v>
      </c>
      <c r="P2364" s="12" t="n">
        <f aca="false">COUNTIF($A$2:$A$3000, N2364) + COUNTIF($A$2:$A$3000, O2364)</f>
        <v>2</v>
      </c>
      <c r="Q2364" s="16" t="str">
        <f aca="false">IF(OR(B2364=-1,I2364=0, P2364&lt;&gt;2), "albhed_dummy", _xlfn.CONCAT("albhed ", RIGHT("  " &amp; K2364,2),", ", RIGHT("  " &amp; L2364,2), ", " ,"""",H2364,""", ", """",N2364,""", ","""",O2364,""""," ; ", A2364))</f>
        <v>albhed 26, 16, "티", "히", "퉤" ; 휑</v>
      </c>
    </row>
    <row r="2365" customFormat="false" ht="17.9" hidden="false" customHeight="true" outlineLevel="0" collapsed="false">
      <c r="A2365" s="16" t="s">
        <v>3207</v>
      </c>
      <c r="B2365" s="16" t="n">
        <f aca="false">IF(_xlfn.UNICODE(A2365)&lt;44032,-1,_xlfn.UNICODE(A2365)-44032)</f>
        <v>11032</v>
      </c>
      <c r="C2365" s="16" t="n">
        <f aca="false">IF(B2365=-1,-1,INT((B2365/28)/21))</f>
        <v>18</v>
      </c>
      <c r="D2365" s="16" t="n">
        <f aca="false">IF(B2365=-1, -1, MOD(INT(B2365/28),21))</f>
        <v>16</v>
      </c>
      <c r="E2365" s="16" t="n">
        <f aca="false">IF(B2365=-1, -1, VLOOKUP(MOD(B2365,28), $T$24:$U$52,2))</f>
        <v>0</v>
      </c>
      <c r="F2365" s="16" t="n">
        <f aca="false">IF($B2365=-1, -1, VLOOKUP(C2365,$T$1:$V$20, 2))</f>
        <v>16</v>
      </c>
      <c r="G2365" s="16" t="n">
        <f aca="false">IF($B2365=-1, -1, VLOOKUP(D2365,$Y$1:$Z$22,2))</f>
        <v>20</v>
      </c>
      <c r="H2365" s="16" t="str">
        <f aca="false">_xlfn.UNICHAR(((F2365*21)+G2365)*28+44032)</f>
        <v>티</v>
      </c>
      <c r="I2365" s="16" t="n">
        <f aca="false">IF(B2365=-1, 1, COUNTIF($A$2:$A$3000, H2365))</f>
        <v>1</v>
      </c>
      <c r="J2365" s="10" t="str">
        <f aca="false">_xlfn.CONCAT(A2365, ",",H2365,",",I2365)</f>
        <v>휘,티,1</v>
      </c>
      <c r="K2365" s="16" t="n">
        <f aca="false">IF(B2365=-1,-1,VLOOKUP(C2365,$T$1:$V$20,3))</f>
        <v>26</v>
      </c>
      <c r="L2365" s="16" t="n">
        <f aca="false">IF(B2365=-1,-1,VLOOKUP(D2365,$Y$1:$AA$22,3))</f>
        <v>22</v>
      </c>
      <c r="N2365" s="10" t="str">
        <f aca="false">_xlfn.UNICHAR(((C2365*21)+G2365)*28+44032)</f>
        <v>히</v>
      </c>
      <c r="O2365" s="10" t="str">
        <f aca="false">_xlfn.UNICHAR(((F2365*21)+D2365)*28+44032)</f>
        <v>튀</v>
      </c>
      <c r="P2365" s="12" t="n">
        <f aca="false">COUNTIF($A$2:$A$3000, N2365) + COUNTIF($A$2:$A$3000, O2365)</f>
        <v>2</v>
      </c>
      <c r="Q2365" s="16" t="str">
        <f aca="false">IF(OR(B2365=-1,I2365=0, P2365&lt;&gt;2), "albhed_dummy", _xlfn.CONCAT("albhed ", RIGHT("  " &amp; K2365,2),", ", RIGHT("  " &amp; L2365,2), ", " ,"""",H2365,""", ", """",N2365,""", ","""",O2365,""""," ; ", A2365))</f>
        <v>albhed 26, 22, "티", "히", "튀" ; 휘</v>
      </c>
    </row>
    <row r="2366" customFormat="false" ht="17.9" hidden="false" customHeight="true" outlineLevel="0" collapsed="false">
      <c r="A2366" s="16" t="s">
        <v>3208</v>
      </c>
      <c r="B2366" s="16" t="n">
        <f aca="false">IF(_xlfn.UNICODE(A2366)&lt;44032,-1,_xlfn.UNICODE(A2366)-44032)</f>
        <v>11033</v>
      </c>
      <c r="C2366" s="16" t="n">
        <f aca="false">IF(B2366=-1,-1,INT((B2366/28)/21))</f>
        <v>18</v>
      </c>
      <c r="D2366" s="16" t="n">
        <f aca="false">IF(B2366=-1, -1, MOD(INT(B2366/28),21))</f>
        <v>16</v>
      </c>
      <c r="E2366" s="16" t="n">
        <f aca="false">IF(B2366=-1, -1, VLOOKUP(MOD(B2366,28), $T$24:$U$52,2))</f>
        <v>1</v>
      </c>
      <c r="F2366" s="16" t="n">
        <f aca="false">IF($B2366=-1, -1, VLOOKUP(C2366,$T$1:$V$20, 2))</f>
        <v>16</v>
      </c>
      <c r="G2366" s="16" t="n">
        <f aca="false">IF($B2366=-1, -1, VLOOKUP(D2366,$Y$1:$Z$22,2))</f>
        <v>20</v>
      </c>
      <c r="H2366" s="16" t="str">
        <f aca="false">_xlfn.UNICHAR(((F2366*21)+G2366)*28+44032)</f>
        <v>티</v>
      </c>
      <c r="I2366" s="16" t="n">
        <f aca="false">IF(B2366=-1, 1, COUNTIF($A$2:$A$3000, H2366))</f>
        <v>1</v>
      </c>
      <c r="J2366" s="10" t="str">
        <f aca="false">_xlfn.CONCAT(A2366, ",",H2366,",",I2366)</f>
        <v>휙,티,1</v>
      </c>
      <c r="K2366" s="16" t="n">
        <f aca="false">IF(B2366=-1,-1,VLOOKUP(C2366,$T$1:$V$20,3))</f>
        <v>26</v>
      </c>
      <c r="L2366" s="16" t="n">
        <f aca="false">IF(B2366=-1,-1,VLOOKUP(D2366,$Y$1:$AA$22,3))</f>
        <v>22</v>
      </c>
      <c r="N2366" s="10" t="str">
        <f aca="false">_xlfn.UNICHAR(((C2366*21)+G2366)*28+44032)</f>
        <v>히</v>
      </c>
      <c r="O2366" s="10" t="str">
        <f aca="false">_xlfn.UNICHAR(((F2366*21)+D2366)*28+44032)</f>
        <v>튀</v>
      </c>
      <c r="P2366" s="12" t="n">
        <f aca="false">COUNTIF($A$2:$A$3000, N2366) + COUNTIF($A$2:$A$3000, O2366)</f>
        <v>2</v>
      </c>
      <c r="Q2366" s="16" t="str">
        <f aca="false">IF(OR(B2366=-1,I2366=0, P2366&lt;&gt;2), "albhed_dummy", _xlfn.CONCAT("albhed ", RIGHT("  " &amp; K2366,2),", ", RIGHT("  " &amp; L2366,2), ", " ,"""",H2366,""", ", """",N2366,""", ","""",O2366,""""," ; ", A2366))</f>
        <v>albhed 26, 22, "티", "히", "튀" ; 휙</v>
      </c>
    </row>
    <row r="2367" customFormat="false" ht="17.9" hidden="false" customHeight="true" outlineLevel="0" collapsed="false">
      <c r="A2367" s="16" t="s">
        <v>3209</v>
      </c>
      <c r="B2367" s="16" t="n">
        <f aca="false">IF(_xlfn.UNICODE(A2367)&lt;44032,-1,_xlfn.UNICODE(A2367)-44032)</f>
        <v>11036</v>
      </c>
      <c r="C2367" s="16" t="n">
        <f aca="false">IF(B2367=-1,-1,INT((B2367/28)/21))</f>
        <v>18</v>
      </c>
      <c r="D2367" s="16" t="n">
        <f aca="false">IF(B2367=-1, -1, MOD(INT(B2367/28),21))</f>
        <v>16</v>
      </c>
      <c r="E2367" s="16" t="n">
        <f aca="false">IF(B2367=-1, -1, VLOOKUP(MOD(B2367,28), $T$24:$U$52,2))</f>
        <v>4</v>
      </c>
      <c r="F2367" s="16" t="n">
        <f aca="false">IF($B2367=-1, -1, VLOOKUP(C2367,$T$1:$V$20, 2))</f>
        <v>16</v>
      </c>
      <c r="G2367" s="16" t="n">
        <f aca="false">IF($B2367=-1, -1, VLOOKUP(D2367,$Y$1:$Z$22,2))</f>
        <v>20</v>
      </c>
      <c r="H2367" s="16" t="str">
        <f aca="false">_xlfn.UNICHAR(((F2367*21)+G2367)*28+44032)</f>
        <v>티</v>
      </c>
      <c r="I2367" s="16" t="n">
        <f aca="false">IF(B2367=-1, 1, COUNTIF($A$2:$A$3000, H2367))</f>
        <v>1</v>
      </c>
      <c r="J2367" s="10" t="str">
        <f aca="false">_xlfn.CONCAT(A2367, ",",H2367,",",I2367)</f>
        <v>휜,티,1</v>
      </c>
      <c r="K2367" s="16" t="n">
        <f aca="false">IF(B2367=-1,-1,VLOOKUP(C2367,$T$1:$V$20,3))</f>
        <v>26</v>
      </c>
      <c r="L2367" s="16" t="n">
        <f aca="false">IF(B2367=-1,-1,VLOOKUP(D2367,$Y$1:$AA$22,3))</f>
        <v>22</v>
      </c>
      <c r="N2367" s="10" t="str">
        <f aca="false">_xlfn.UNICHAR(((C2367*21)+G2367)*28+44032)</f>
        <v>히</v>
      </c>
      <c r="O2367" s="10" t="str">
        <f aca="false">_xlfn.UNICHAR(((F2367*21)+D2367)*28+44032)</f>
        <v>튀</v>
      </c>
      <c r="P2367" s="12" t="n">
        <f aca="false">COUNTIF($A$2:$A$3000, N2367) + COUNTIF($A$2:$A$3000, O2367)</f>
        <v>2</v>
      </c>
      <c r="Q2367" s="16" t="str">
        <f aca="false">IF(OR(B2367=-1,I2367=0, P2367&lt;&gt;2), "albhed_dummy", _xlfn.CONCAT("albhed ", RIGHT("  " &amp; K2367,2),", ", RIGHT("  " &amp; L2367,2), ", " ,"""",H2367,""", ", """",N2367,""", ","""",O2367,""""," ; ", A2367))</f>
        <v>albhed 26, 22, "티", "히", "튀" ; 휜</v>
      </c>
    </row>
    <row r="2368" customFormat="false" ht="17.9" hidden="false" customHeight="true" outlineLevel="0" collapsed="false">
      <c r="A2368" s="16" t="s">
        <v>3210</v>
      </c>
      <c r="B2368" s="16" t="n">
        <f aca="false">IF(_xlfn.UNICODE(A2368)&lt;44032,-1,_xlfn.UNICODE(A2368)-44032)</f>
        <v>11040</v>
      </c>
      <c r="C2368" s="16" t="n">
        <f aca="false">IF(B2368=-1,-1,INT((B2368/28)/21))</f>
        <v>18</v>
      </c>
      <c r="D2368" s="16" t="n">
        <f aca="false">IF(B2368=-1, -1, MOD(INT(B2368/28),21))</f>
        <v>16</v>
      </c>
      <c r="E2368" s="16" t="n">
        <f aca="false">IF(B2368=-1, -1, VLOOKUP(MOD(B2368,28), $T$24:$U$52,2))</f>
        <v>8</v>
      </c>
      <c r="F2368" s="16" t="n">
        <f aca="false">IF($B2368=-1, -1, VLOOKUP(C2368,$T$1:$V$20, 2))</f>
        <v>16</v>
      </c>
      <c r="G2368" s="16" t="n">
        <f aca="false">IF($B2368=-1, -1, VLOOKUP(D2368,$Y$1:$Z$22,2))</f>
        <v>20</v>
      </c>
      <c r="H2368" s="16" t="str">
        <f aca="false">_xlfn.UNICHAR(((F2368*21)+G2368)*28+44032)</f>
        <v>티</v>
      </c>
      <c r="I2368" s="16" t="n">
        <f aca="false">IF(B2368=-1, 1, COUNTIF($A$2:$A$3000, H2368))</f>
        <v>1</v>
      </c>
      <c r="J2368" s="10" t="str">
        <f aca="false">_xlfn.CONCAT(A2368, ",",H2368,",",I2368)</f>
        <v>휠,티,1</v>
      </c>
      <c r="K2368" s="16" t="n">
        <f aca="false">IF(B2368=-1,-1,VLOOKUP(C2368,$T$1:$V$20,3))</f>
        <v>26</v>
      </c>
      <c r="L2368" s="16" t="n">
        <f aca="false">IF(B2368=-1,-1,VLOOKUP(D2368,$Y$1:$AA$22,3))</f>
        <v>22</v>
      </c>
      <c r="N2368" s="10" t="str">
        <f aca="false">_xlfn.UNICHAR(((C2368*21)+G2368)*28+44032)</f>
        <v>히</v>
      </c>
      <c r="O2368" s="10" t="str">
        <f aca="false">_xlfn.UNICHAR(((F2368*21)+D2368)*28+44032)</f>
        <v>튀</v>
      </c>
      <c r="P2368" s="12" t="n">
        <f aca="false">COUNTIF($A$2:$A$3000, N2368) + COUNTIF($A$2:$A$3000, O2368)</f>
        <v>2</v>
      </c>
      <c r="Q2368" s="16" t="str">
        <f aca="false">IF(OR(B2368=-1,I2368=0, P2368&lt;&gt;2), "albhed_dummy", _xlfn.CONCAT("albhed ", RIGHT("  " &amp; K2368,2),", ", RIGHT("  " &amp; L2368,2), ", " ,"""",H2368,""", ", """",N2368,""", ","""",O2368,""""," ; ", A2368))</f>
        <v>albhed 26, 22, "티", "히", "튀" ; 휠</v>
      </c>
    </row>
    <row r="2369" customFormat="false" ht="17.9" hidden="false" customHeight="true" outlineLevel="0" collapsed="false">
      <c r="A2369" s="16" t="s">
        <v>3211</v>
      </c>
      <c r="B2369" s="16" t="n">
        <f aca="false">IF(_xlfn.UNICODE(A2369)&lt;44032,-1,_xlfn.UNICODE(A2369)-44032)</f>
        <v>11048</v>
      </c>
      <c r="C2369" s="16" t="n">
        <f aca="false">IF(B2369=-1,-1,INT((B2369/28)/21))</f>
        <v>18</v>
      </c>
      <c r="D2369" s="16" t="n">
        <f aca="false">IF(B2369=-1, -1, MOD(INT(B2369/28),21))</f>
        <v>16</v>
      </c>
      <c r="E2369" s="16" t="n">
        <f aca="false">IF(B2369=-1, -1, VLOOKUP(MOD(B2369,28), $T$24:$U$52,2))</f>
        <v>16</v>
      </c>
      <c r="F2369" s="16" t="n">
        <f aca="false">IF($B2369=-1, -1, VLOOKUP(C2369,$T$1:$V$20, 2))</f>
        <v>16</v>
      </c>
      <c r="G2369" s="16" t="n">
        <f aca="false">IF($B2369=-1, -1, VLOOKUP(D2369,$Y$1:$Z$22,2))</f>
        <v>20</v>
      </c>
      <c r="H2369" s="16" t="str">
        <f aca="false">_xlfn.UNICHAR(((F2369*21)+G2369)*28+44032)</f>
        <v>티</v>
      </c>
      <c r="I2369" s="16" t="n">
        <f aca="false">IF(B2369=-1, 1, COUNTIF($A$2:$A$3000, H2369))</f>
        <v>1</v>
      </c>
      <c r="J2369" s="10" t="str">
        <f aca="false">_xlfn.CONCAT(A2369, ",",H2369,",",I2369)</f>
        <v>휨,티,1</v>
      </c>
      <c r="K2369" s="16" t="n">
        <f aca="false">IF(B2369=-1,-1,VLOOKUP(C2369,$T$1:$V$20,3))</f>
        <v>26</v>
      </c>
      <c r="L2369" s="16" t="n">
        <f aca="false">IF(B2369=-1,-1,VLOOKUP(D2369,$Y$1:$AA$22,3))</f>
        <v>22</v>
      </c>
      <c r="N2369" s="10" t="str">
        <f aca="false">_xlfn.UNICHAR(((C2369*21)+G2369)*28+44032)</f>
        <v>히</v>
      </c>
      <c r="O2369" s="10" t="str">
        <f aca="false">_xlfn.UNICHAR(((F2369*21)+D2369)*28+44032)</f>
        <v>튀</v>
      </c>
      <c r="P2369" s="12" t="n">
        <f aca="false">COUNTIF($A$2:$A$3000, N2369) + COUNTIF($A$2:$A$3000, O2369)</f>
        <v>2</v>
      </c>
      <c r="Q2369" s="16" t="str">
        <f aca="false">IF(OR(B2369=-1,I2369=0, P2369&lt;&gt;2), "albhed_dummy", _xlfn.CONCAT("albhed ", RIGHT("  " &amp; K2369,2),", ", RIGHT("  " &amp; L2369,2), ", " ,"""",H2369,""", ", """",N2369,""", ","""",O2369,""""," ; ", A2369))</f>
        <v>albhed 26, 22, "티", "히", "튀" ; 휨</v>
      </c>
    </row>
    <row r="2370" customFormat="false" ht="17.9" hidden="false" customHeight="true" outlineLevel="0" collapsed="false">
      <c r="A2370" s="16" t="s">
        <v>3212</v>
      </c>
      <c r="B2370" s="16" t="n">
        <f aca="false">IF(_xlfn.UNICODE(A2370)&lt;44032,-1,_xlfn.UNICODE(A2370)-44032)</f>
        <v>11049</v>
      </c>
      <c r="C2370" s="16" t="n">
        <f aca="false">IF(B2370=-1,-1,INT((B2370/28)/21))</f>
        <v>18</v>
      </c>
      <c r="D2370" s="16" t="n">
        <f aca="false">IF(B2370=-1, -1, MOD(INT(B2370/28),21))</f>
        <v>16</v>
      </c>
      <c r="E2370" s="16" t="n">
        <f aca="false">IF(B2370=-1, -1, VLOOKUP(MOD(B2370,28), $T$24:$U$52,2))</f>
        <v>17</v>
      </c>
      <c r="F2370" s="16" t="n">
        <f aca="false">IF($B2370=-1, -1, VLOOKUP(C2370,$T$1:$V$20, 2))</f>
        <v>16</v>
      </c>
      <c r="G2370" s="16" t="n">
        <f aca="false">IF($B2370=-1, -1, VLOOKUP(D2370,$Y$1:$Z$22,2))</f>
        <v>20</v>
      </c>
      <c r="H2370" s="16" t="str">
        <f aca="false">_xlfn.UNICHAR(((F2370*21)+G2370)*28+44032)</f>
        <v>티</v>
      </c>
      <c r="I2370" s="16" t="n">
        <f aca="false">IF(B2370=-1, 1, COUNTIF($A$2:$A$3000, H2370))</f>
        <v>1</v>
      </c>
      <c r="J2370" s="10" t="str">
        <f aca="false">_xlfn.CONCAT(A2370, ",",H2370,",",I2370)</f>
        <v>휩,티,1</v>
      </c>
      <c r="K2370" s="16" t="n">
        <f aca="false">IF(B2370=-1,-1,VLOOKUP(C2370,$T$1:$V$20,3))</f>
        <v>26</v>
      </c>
      <c r="L2370" s="16" t="n">
        <f aca="false">IF(B2370=-1,-1,VLOOKUP(D2370,$Y$1:$AA$22,3))</f>
        <v>22</v>
      </c>
      <c r="N2370" s="10" t="str">
        <f aca="false">_xlfn.UNICHAR(((C2370*21)+G2370)*28+44032)</f>
        <v>히</v>
      </c>
      <c r="O2370" s="10" t="str">
        <f aca="false">_xlfn.UNICHAR(((F2370*21)+D2370)*28+44032)</f>
        <v>튀</v>
      </c>
      <c r="P2370" s="12" t="n">
        <f aca="false">COUNTIF($A$2:$A$3000, N2370) + COUNTIF($A$2:$A$3000, O2370)</f>
        <v>2</v>
      </c>
      <c r="Q2370" s="16" t="str">
        <f aca="false">IF(OR(B2370=-1,I2370=0, P2370&lt;&gt;2), "albhed_dummy", _xlfn.CONCAT("albhed ", RIGHT("  " &amp; K2370,2),", ", RIGHT("  " &amp; L2370,2), ", " ,"""",H2370,""", ", """",N2370,""", ","""",O2370,""""," ; ", A2370))</f>
        <v>albhed 26, 22, "티", "히", "튀" ; 휩</v>
      </c>
    </row>
    <row r="2371" customFormat="false" ht="17.9" hidden="false" customHeight="true" outlineLevel="0" collapsed="false">
      <c r="A2371" s="16" t="s">
        <v>3213</v>
      </c>
      <c r="B2371" s="16" t="n">
        <f aca="false">IF(_xlfn.UNICODE(A2371)&lt;44032,-1,_xlfn.UNICODE(A2371)-44032)</f>
        <v>11051</v>
      </c>
      <c r="C2371" s="16" t="n">
        <f aca="false">IF(B2371=-1,-1,INT((B2371/28)/21))</f>
        <v>18</v>
      </c>
      <c r="D2371" s="16" t="n">
        <f aca="false">IF(B2371=-1, -1, MOD(INT(B2371/28),21))</f>
        <v>16</v>
      </c>
      <c r="E2371" s="16" t="n">
        <f aca="false">IF(B2371=-1, -1, VLOOKUP(MOD(B2371,28), $T$24:$U$52,2))</f>
        <v>19</v>
      </c>
      <c r="F2371" s="16" t="n">
        <f aca="false">IF($B2371=-1, -1, VLOOKUP(C2371,$T$1:$V$20, 2))</f>
        <v>16</v>
      </c>
      <c r="G2371" s="16" t="n">
        <f aca="false">IF($B2371=-1, -1, VLOOKUP(D2371,$Y$1:$Z$22,2))</f>
        <v>20</v>
      </c>
      <c r="H2371" s="16" t="str">
        <f aca="false">_xlfn.UNICHAR(((F2371*21)+G2371)*28+44032)</f>
        <v>티</v>
      </c>
      <c r="I2371" s="16" t="n">
        <f aca="false">IF(B2371=-1, 1, COUNTIF($A$2:$A$3000, H2371))</f>
        <v>1</v>
      </c>
      <c r="J2371" s="10" t="str">
        <f aca="false">_xlfn.CONCAT(A2371, ",",H2371,",",I2371)</f>
        <v>휫,티,1</v>
      </c>
      <c r="K2371" s="16" t="n">
        <f aca="false">IF(B2371=-1,-1,VLOOKUP(C2371,$T$1:$V$20,3))</f>
        <v>26</v>
      </c>
      <c r="L2371" s="16" t="n">
        <f aca="false">IF(B2371=-1,-1,VLOOKUP(D2371,$Y$1:$AA$22,3))</f>
        <v>22</v>
      </c>
      <c r="N2371" s="10" t="str">
        <f aca="false">_xlfn.UNICHAR(((C2371*21)+G2371)*28+44032)</f>
        <v>히</v>
      </c>
      <c r="O2371" s="10" t="str">
        <f aca="false">_xlfn.UNICHAR(((F2371*21)+D2371)*28+44032)</f>
        <v>튀</v>
      </c>
      <c r="P2371" s="12" t="n">
        <f aca="false">COUNTIF($A$2:$A$3000, N2371) + COUNTIF($A$2:$A$3000, O2371)</f>
        <v>2</v>
      </c>
      <c r="Q2371" s="16" t="str">
        <f aca="false">IF(OR(B2371=-1,I2371=0, P2371&lt;&gt;2), "albhed_dummy", _xlfn.CONCAT("albhed ", RIGHT("  " &amp; K2371,2),", ", RIGHT("  " &amp; L2371,2), ", " ,"""",H2371,""", ", """",N2371,""", ","""",O2371,""""," ; ", A2371))</f>
        <v>albhed 26, 22, "티", "히", "튀" ; 휫</v>
      </c>
    </row>
    <row r="2372" customFormat="false" ht="17.9" hidden="false" customHeight="true" outlineLevel="0" collapsed="false">
      <c r="A2372" s="16" t="s">
        <v>3214</v>
      </c>
      <c r="B2372" s="16" t="n">
        <f aca="false">IF(_xlfn.UNICODE(A2372)&lt;44032,-1,_xlfn.UNICODE(A2372)-44032)</f>
        <v>11053</v>
      </c>
      <c r="C2372" s="16" t="n">
        <f aca="false">IF(B2372=-1,-1,INT((B2372/28)/21))</f>
        <v>18</v>
      </c>
      <c r="D2372" s="16" t="n">
        <f aca="false">IF(B2372=-1, -1, MOD(INT(B2372/28),21))</f>
        <v>16</v>
      </c>
      <c r="E2372" s="16" t="n">
        <f aca="false">IF(B2372=-1, -1, VLOOKUP(MOD(B2372,28), $T$24:$U$52,2))</f>
        <v>21</v>
      </c>
      <c r="F2372" s="16" t="n">
        <f aca="false">IF($B2372=-1, -1, VLOOKUP(C2372,$T$1:$V$20, 2))</f>
        <v>16</v>
      </c>
      <c r="G2372" s="16" t="n">
        <f aca="false">IF($B2372=-1, -1, VLOOKUP(D2372,$Y$1:$Z$22,2))</f>
        <v>20</v>
      </c>
      <c r="H2372" s="16" t="str">
        <f aca="false">_xlfn.UNICHAR(((F2372*21)+G2372)*28+44032)</f>
        <v>티</v>
      </c>
      <c r="I2372" s="16" t="n">
        <f aca="false">IF(B2372=-1, 1, COUNTIF($A$2:$A$3000, H2372))</f>
        <v>1</v>
      </c>
      <c r="J2372" s="10" t="str">
        <f aca="false">_xlfn.CONCAT(A2372, ",",H2372,",",I2372)</f>
        <v>휭,티,1</v>
      </c>
      <c r="K2372" s="16" t="n">
        <f aca="false">IF(B2372=-1,-1,VLOOKUP(C2372,$T$1:$V$20,3))</f>
        <v>26</v>
      </c>
      <c r="L2372" s="16" t="n">
        <f aca="false">IF(B2372=-1,-1,VLOOKUP(D2372,$Y$1:$AA$22,3))</f>
        <v>22</v>
      </c>
      <c r="N2372" s="10" t="str">
        <f aca="false">_xlfn.UNICHAR(((C2372*21)+G2372)*28+44032)</f>
        <v>히</v>
      </c>
      <c r="O2372" s="10" t="str">
        <f aca="false">_xlfn.UNICHAR(((F2372*21)+D2372)*28+44032)</f>
        <v>튀</v>
      </c>
      <c r="P2372" s="12" t="n">
        <f aca="false">COUNTIF($A$2:$A$3000, N2372) + COUNTIF($A$2:$A$3000, O2372)</f>
        <v>2</v>
      </c>
      <c r="Q2372" s="16" t="str">
        <f aca="false">IF(OR(B2372=-1,I2372=0, P2372&lt;&gt;2), "albhed_dummy", _xlfn.CONCAT("albhed ", RIGHT("  " &amp; K2372,2),", ", RIGHT("  " &amp; L2372,2), ", " ,"""",H2372,""", ", """",N2372,""", ","""",O2372,""""," ; ", A2372))</f>
        <v>albhed 26, 22, "티", "히", "튀" ; 휭</v>
      </c>
    </row>
    <row r="2373" customFormat="false" ht="17.9" hidden="false" customHeight="true" outlineLevel="0" collapsed="false">
      <c r="A2373" s="16" t="s">
        <v>3215</v>
      </c>
      <c r="B2373" s="16" t="n">
        <f aca="false">IF(_xlfn.UNICODE(A2373)&lt;44032,-1,_xlfn.UNICODE(A2373)-44032)</f>
        <v>11060</v>
      </c>
      <c r="C2373" s="16" t="n">
        <f aca="false">IF(B2373=-1,-1,INT((B2373/28)/21))</f>
        <v>18</v>
      </c>
      <c r="D2373" s="16" t="n">
        <f aca="false">IF(B2373=-1, -1, MOD(INT(B2373/28),21))</f>
        <v>17</v>
      </c>
      <c r="E2373" s="16" t="n">
        <f aca="false">IF(B2373=-1, -1, VLOOKUP(MOD(B2373,28), $T$24:$U$52,2))</f>
        <v>0</v>
      </c>
      <c r="F2373" s="16" t="n">
        <f aca="false">IF($B2373=-1, -1, VLOOKUP(C2373,$T$1:$V$20, 2))</f>
        <v>16</v>
      </c>
      <c r="G2373" s="16" t="n">
        <f aca="false">IF($B2373=-1, -1, VLOOKUP(D2373,$Y$1:$Z$22,2))</f>
        <v>2</v>
      </c>
      <c r="H2373" s="16" t="str">
        <f aca="false">_xlfn.UNICHAR(((F2373*21)+G2373)*28+44032)</f>
        <v>탸</v>
      </c>
      <c r="I2373" s="16" t="n">
        <f aca="false">IF(B2373=-1, 1, COUNTIF($A$2:$A$3000, H2373))</f>
        <v>1</v>
      </c>
      <c r="J2373" s="10" t="str">
        <f aca="false">_xlfn.CONCAT(A2373, ",",H2373,",",I2373)</f>
        <v>휴,탸,1</v>
      </c>
      <c r="K2373" s="16" t="n">
        <f aca="false">IF(B2373=-1,-1,VLOOKUP(C2373,$T$1:$V$20,3))</f>
        <v>26</v>
      </c>
      <c r="L2373" s="16" t="n">
        <f aca="false">IF(B2373=-1,-1,VLOOKUP(D2373,$Y$1:$AA$22,3))</f>
        <v>6</v>
      </c>
      <c r="N2373" s="10" t="str">
        <f aca="false">_xlfn.UNICHAR(((C2373*21)+G2373)*28+44032)</f>
        <v>햐</v>
      </c>
      <c r="O2373" s="10" t="str">
        <f aca="false">_xlfn.UNICHAR(((F2373*21)+D2373)*28+44032)</f>
        <v>튜</v>
      </c>
      <c r="P2373" s="12" t="n">
        <f aca="false">COUNTIF($A$2:$A$3000, N2373) + COUNTIF($A$2:$A$3000, O2373)</f>
        <v>2</v>
      </c>
      <c r="Q2373" s="16" t="str">
        <f aca="false">IF(OR(B2373=-1,I2373=0, P2373&lt;&gt;2), "albhed_dummy", _xlfn.CONCAT("albhed ", RIGHT("  " &amp; K2373,2),", ", RIGHT("  " &amp; L2373,2), ", " ,"""",H2373,""", ", """",N2373,""", ","""",O2373,""""," ; ", A2373))</f>
        <v>albhed 26,  6, "탸", "햐", "튜" ; 휴</v>
      </c>
    </row>
    <row r="2374" customFormat="false" ht="17.9" hidden="false" customHeight="true" outlineLevel="0" collapsed="false">
      <c r="A2374" s="16" t="s">
        <v>3216</v>
      </c>
      <c r="B2374" s="16" t="n">
        <f aca="false">IF(_xlfn.UNICODE(A2374)&lt;44032,-1,_xlfn.UNICODE(A2374)-44032)</f>
        <v>11061</v>
      </c>
      <c r="C2374" s="16" t="n">
        <f aca="false">IF(B2374=-1,-1,INT((B2374/28)/21))</f>
        <v>18</v>
      </c>
      <c r="D2374" s="16" t="n">
        <f aca="false">IF(B2374=-1, -1, MOD(INT(B2374/28),21))</f>
        <v>17</v>
      </c>
      <c r="E2374" s="16" t="n">
        <f aca="false">IF(B2374=-1, -1, VLOOKUP(MOD(B2374,28), $T$24:$U$52,2))</f>
        <v>1</v>
      </c>
      <c r="F2374" s="16" t="n">
        <f aca="false">IF($B2374=-1, -1, VLOOKUP(C2374,$T$1:$V$20, 2))</f>
        <v>16</v>
      </c>
      <c r="G2374" s="16" t="n">
        <f aca="false">IF($B2374=-1, -1, VLOOKUP(D2374,$Y$1:$Z$22,2))</f>
        <v>2</v>
      </c>
      <c r="H2374" s="16" t="str">
        <f aca="false">_xlfn.UNICHAR(((F2374*21)+G2374)*28+44032)</f>
        <v>탸</v>
      </c>
      <c r="I2374" s="16" t="n">
        <f aca="false">IF(B2374=-1, 1, COUNTIF($A$2:$A$3000, H2374))</f>
        <v>1</v>
      </c>
      <c r="J2374" s="10" t="str">
        <f aca="false">_xlfn.CONCAT(A2374, ",",H2374,",",I2374)</f>
        <v>휵,탸,1</v>
      </c>
      <c r="K2374" s="16" t="n">
        <f aca="false">IF(B2374=-1,-1,VLOOKUP(C2374,$T$1:$V$20,3))</f>
        <v>26</v>
      </c>
      <c r="L2374" s="16" t="n">
        <f aca="false">IF(B2374=-1,-1,VLOOKUP(D2374,$Y$1:$AA$22,3))</f>
        <v>6</v>
      </c>
      <c r="N2374" s="10" t="str">
        <f aca="false">_xlfn.UNICHAR(((C2374*21)+G2374)*28+44032)</f>
        <v>햐</v>
      </c>
      <c r="O2374" s="10" t="str">
        <f aca="false">_xlfn.UNICHAR(((F2374*21)+D2374)*28+44032)</f>
        <v>튜</v>
      </c>
      <c r="P2374" s="12" t="n">
        <f aca="false">COUNTIF($A$2:$A$3000, N2374) + COUNTIF($A$2:$A$3000, O2374)</f>
        <v>2</v>
      </c>
      <c r="Q2374" s="16" t="str">
        <f aca="false">IF(OR(B2374=-1,I2374=0, P2374&lt;&gt;2), "albhed_dummy", _xlfn.CONCAT("albhed ", RIGHT("  " &amp; K2374,2),", ", RIGHT("  " &amp; L2374,2), ", " ,"""",H2374,""", ", """",N2374,""", ","""",O2374,""""," ; ", A2374))</f>
        <v>albhed 26,  6, "탸", "햐", "튜" ; 휵</v>
      </c>
    </row>
    <row r="2375" customFormat="false" ht="17.9" hidden="false" customHeight="true" outlineLevel="0" collapsed="false">
      <c r="A2375" s="16" t="s">
        <v>3217</v>
      </c>
      <c r="B2375" s="16" t="n">
        <f aca="false">IF(_xlfn.UNICODE(A2375)&lt;44032,-1,_xlfn.UNICODE(A2375)-44032)</f>
        <v>11064</v>
      </c>
      <c r="C2375" s="16" t="n">
        <f aca="false">IF(B2375=-1,-1,INT((B2375/28)/21))</f>
        <v>18</v>
      </c>
      <c r="D2375" s="16" t="n">
        <f aca="false">IF(B2375=-1, -1, MOD(INT(B2375/28),21))</f>
        <v>17</v>
      </c>
      <c r="E2375" s="16" t="n">
        <f aca="false">IF(B2375=-1, -1, VLOOKUP(MOD(B2375,28), $T$24:$U$52,2))</f>
        <v>4</v>
      </c>
      <c r="F2375" s="16" t="n">
        <f aca="false">IF($B2375=-1, -1, VLOOKUP(C2375,$T$1:$V$20, 2))</f>
        <v>16</v>
      </c>
      <c r="G2375" s="16" t="n">
        <f aca="false">IF($B2375=-1, -1, VLOOKUP(D2375,$Y$1:$Z$22,2))</f>
        <v>2</v>
      </c>
      <c r="H2375" s="16" t="str">
        <f aca="false">_xlfn.UNICHAR(((F2375*21)+G2375)*28+44032)</f>
        <v>탸</v>
      </c>
      <c r="I2375" s="16" t="n">
        <f aca="false">IF(B2375=-1, 1, COUNTIF($A$2:$A$3000, H2375))</f>
        <v>1</v>
      </c>
      <c r="J2375" s="10" t="str">
        <f aca="false">_xlfn.CONCAT(A2375, ",",H2375,",",I2375)</f>
        <v>휸,탸,1</v>
      </c>
      <c r="K2375" s="16" t="n">
        <f aca="false">IF(B2375=-1,-1,VLOOKUP(C2375,$T$1:$V$20,3))</f>
        <v>26</v>
      </c>
      <c r="L2375" s="16" t="n">
        <f aca="false">IF(B2375=-1,-1,VLOOKUP(D2375,$Y$1:$AA$22,3))</f>
        <v>6</v>
      </c>
      <c r="N2375" s="10" t="str">
        <f aca="false">_xlfn.UNICHAR(((C2375*21)+G2375)*28+44032)</f>
        <v>햐</v>
      </c>
      <c r="O2375" s="10" t="str">
        <f aca="false">_xlfn.UNICHAR(((F2375*21)+D2375)*28+44032)</f>
        <v>튜</v>
      </c>
      <c r="P2375" s="12" t="n">
        <f aca="false">COUNTIF($A$2:$A$3000, N2375) + COUNTIF($A$2:$A$3000, O2375)</f>
        <v>2</v>
      </c>
      <c r="Q2375" s="16" t="str">
        <f aca="false">IF(OR(B2375=-1,I2375=0, P2375&lt;&gt;2), "albhed_dummy", _xlfn.CONCAT("albhed ", RIGHT("  " &amp; K2375,2),", ", RIGHT("  " &amp; L2375,2), ", " ,"""",H2375,""", ", """",N2375,""", ","""",O2375,""""," ; ", A2375))</f>
        <v>albhed 26,  6, "탸", "햐", "튜" ; 휸</v>
      </c>
    </row>
    <row r="2376" customFormat="false" ht="17.9" hidden="false" customHeight="true" outlineLevel="0" collapsed="false">
      <c r="A2376" s="16" t="s">
        <v>3218</v>
      </c>
      <c r="B2376" s="16" t="n">
        <f aca="false">IF(_xlfn.UNICODE(A2376)&lt;44032,-1,_xlfn.UNICODE(A2376)-44032)</f>
        <v>11068</v>
      </c>
      <c r="C2376" s="16" t="n">
        <f aca="false">IF(B2376=-1,-1,INT((B2376/28)/21))</f>
        <v>18</v>
      </c>
      <c r="D2376" s="16" t="n">
        <f aca="false">IF(B2376=-1, -1, MOD(INT(B2376/28),21))</f>
        <v>17</v>
      </c>
      <c r="E2376" s="16" t="n">
        <f aca="false">IF(B2376=-1, -1, VLOOKUP(MOD(B2376,28), $T$24:$U$52,2))</f>
        <v>8</v>
      </c>
      <c r="F2376" s="16" t="n">
        <f aca="false">IF($B2376=-1, -1, VLOOKUP(C2376,$T$1:$V$20, 2))</f>
        <v>16</v>
      </c>
      <c r="G2376" s="16" t="n">
        <f aca="false">IF($B2376=-1, -1, VLOOKUP(D2376,$Y$1:$Z$22,2))</f>
        <v>2</v>
      </c>
      <c r="H2376" s="16" t="str">
        <f aca="false">_xlfn.UNICHAR(((F2376*21)+G2376)*28+44032)</f>
        <v>탸</v>
      </c>
      <c r="I2376" s="16" t="n">
        <f aca="false">IF(B2376=-1, 1, COUNTIF($A$2:$A$3000, H2376))</f>
        <v>1</v>
      </c>
      <c r="J2376" s="10" t="str">
        <f aca="false">_xlfn.CONCAT(A2376, ",",H2376,",",I2376)</f>
        <v>휼,탸,1</v>
      </c>
      <c r="K2376" s="16" t="n">
        <f aca="false">IF(B2376=-1,-1,VLOOKUP(C2376,$T$1:$V$20,3))</f>
        <v>26</v>
      </c>
      <c r="L2376" s="16" t="n">
        <f aca="false">IF(B2376=-1,-1,VLOOKUP(D2376,$Y$1:$AA$22,3))</f>
        <v>6</v>
      </c>
      <c r="N2376" s="10" t="str">
        <f aca="false">_xlfn.UNICHAR(((C2376*21)+G2376)*28+44032)</f>
        <v>햐</v>
      </c>
      <c r="O2376" s="10" t="str">
        <f aca="false">_xlfn.UNICHAR(((F2376*21)+D2376)*28+44032)</f>
        <v>튜</v>
      </c>
      <c r="P2376" s="12" t="n">
        <f aca="false">COUNTIF($A$2:$A$3000, N2376) + COUNTIF($A$2:$A$3000, O2376)</f>
        <v>2</v>
      </c>
      <c r="Q2376" s="16" t="str">
        <f aca="false">IF(OR(B2376=-1,I2376=0, P2376&lt;&gt;2), "albhed_dummy", _xlfn.CONCAT("albhed ", RIGHT("  " &amp; K2376,2),", ", RIGHT("  " &amp; L2376,2), ", " ,"""",H2376,""", ", """",N2376,""", ","""",O2376,""""," ; ", A2376))</f>
        <v>albhed 26,  6, "탸", "햐", "튜" ; 휼</v>
      </c>
    </row>
    <row r="2377" customFormat="false" ht="17.9" hidden="false" customHeight="true" outlineLevel="0" collapsed="false">
      <c r="A2377" s="16" t="s">
        <v>3219</v>
      </c>
      <c r="B2377" s="16" t="n">
        <f aca="false">IF(_xlfn.UNICODE(A2377)&lt;44032,-1,_xlfn.UNICODE(A2377)-44032)</f>
        <v>11076</v>
      </c>
      <c r="C2377" s="16" t="n">
        <f aca="false">IF(B2377=-1,-1,INT((B2377/28)/21))</f>
        <v>18</v>
      </c>
      <c r="D2377" s="16" t="n">
        <f aca="false">IF(B2377=-1, -1, MOD(INT(B2377/28),21))</f>
        <v>17</v>
      </c>
      <c r="E2377" s="16" t="n">
        <f aca="false">IF(B2377=-1, -1, VLOOKUP(MOD(B2377,28), $T$24:$U$52,2))</f>
        <v>16</v>
      </c>
      <c r="F2377" s="16" t="n">
        <f aca="false">IF($B2377=-1, -1, VLOOKUP(C2377,$T$1:$V$20, 2))</f>
        <v>16</v>
      </c>
      <c r="G2377" s="16" t="n">
        <f aca="false">IF($B2377=-1, -1, VLOOKUP(D2377,$Y$1:$Z$22,2))</f>
        <v>2</v>
      </c>
      <c r="H2377" s="16" t="str">
        <f aca="false">_xlfn.UNICHAR(((F2377*21)+G2377)*28+44032)</f>
        <v>탸</v>
      </c>
      <c r="I2377" s="16" t="n">
        <f aca="false">IF(B2377=-1, 1, COUNTIF($A$2:$A$3000, H2377))</f>
        <v>1</v>
      </c>
      <c r="J2377" s="10" t="str">
        <f aca="false">_xlfn.CONCAT(A2377, ",",H2377,",",I2377)</f>
        <v>흄,탸,1</v>
      </c>
      <c r="K2377" s="16" t="n">
        <f aca="false">IF(B2377=-1,-1,VLOOKUP(C2377,$T$1:$V$20,3))</f>
        <v>26</v>
      </c>
      <c r="L2377" s="16" t="n">
        <f aca="false">IF(B2377=-1,-1,VLOOKUP(D2377,$Y$1:$AA$22,3))</f>
        <v>6</v>
      </c>
      <c r="N2377" s="10" t="str">
        <f aca="false">_xlfn.UNICHAR(((C2377*21)+G2377)*28+44032)</f>
        <v>햐</v>
      </c>
      <c r="O2377" s="10" t="str">
        <f aca="false">_xlfn.UNICHAR(((F2377*21)+D2377)*28+44032)</f>
        <v>튜</v>
      </c>
      <c r="P2377" s="12" t="n">
        <f aca="false">COUNTIF($A$2:$A$3000, N2377) + COUNTIF($A$2:$A$3000, O2377)</f>
        <v>2</v>
      </c>
      <c r="Q2377" s="16" t="str">
        <f aca="false">IF(OR(B2377=-1,I2377=0, P2377&lt;&gt;2), "albhed_dummy", _xlfn.CONCAT("albhed ", RIGHT("  " &amp; K2377,2),", ", RIGHT("  " &amp; L2377,2), ", " ,"""",H2377,""", ", """",N2377,""", ","""",O2377,""""," ; ", A2377))</f>
        <v>albhed 26,  6, "탸", "햐", "튜" ; 흄</v>
      </c>
    </row>
    <row r="2378" customFormat="false" ht="17.9" hidden="false" customHeight="true" outlineLevel="0" collapsed="false">
      <c r="A2378" s="16" t="s">
        <v>3220</v>
      </c>
      <c r="B2378" s="16" t="n">
        <f aca="false">IF(_xlfn.UNICODE(A2378)&lt;44032,-1,_xlfn.UNICODE(A2378)-44032)</f>
        <v>11079</v>
      </c>
      <c r="C2378" s="16" t="n">
        <f aca="false">IF(B2378=-1,-1,INT((B2378/28)/21))</f>
        <v>18</v>
      </c>
      <c r="D2378" s="16" t="n">
        <f aca="false">IF(B2378=-1, -1, MOD(INT(B2378/28),21))</f>
        <v>17</v>
      </c>
      <c r="E2378" s="16" t="n">
        <f aca="false">IF(B2378=-1, -1, VLOOKUP(MOD(B2378,28), $T$24:$U$52,2))</f>
        <v>19</v>
      </c>
      <c r="F2378" s="16" t="n">
        <f aca="false">IF($B2378=-1, -1, VLOOKUP(C2378,$T$1:$V$20, 2))</f>
        <v>16</v>
      </c>
      <c r="G2378" s="16" t="n">
        <f aca="false">IF($B2378=-1, -1, VLOOKUP(D2378,$Y$1:$Z$22,2))</f>
        <v>2</v>
      </c>
      <c r="H2378" s="16" t="str">
        <f aca="false">_xlfn.UNICHAR(((F2378*21)+G2378)*28+44032)</f>
        <v>탸</v>
      </c>
      <c r="I2378" s="16" t="n">
        <f aca="false">IF(B2378=-1, 1, COUNTIF($A$2:$A$3000, H2378))</f>
        <v>1</v>
      </c>
      <c r="J2378" s="10" t="str">
        <f aca="false">_xlfn.CONCAT(A2378, ",",H2378,",",I2378)</f>
        <v>흇,탸,1</v>
      </c>
      <c r="K2378" s="16" t="n">
        <f aca="false">IF(B2378=-1,-1,VLOOKUP(C2378,$T$1:$V$20,3))</f>
        <v>26</v>
      </c>
      <c r="L2378" s="16" t="n">
        <f aca="false">IF(B2378=-1,-1,VLOOKUP(D2378,$Y$1:$AA$22,3))</f>
        <v>6</v>
      </c>
      <c r="N2378" s="10" t="str">
        <f aca="false">_xlfn.UNICHAR(((C2378*21)+G2378)*28+44032)</f>
        <v>햐</v>
      </c>
      <c r="O2378" s="10" t="str">
        <f aca="false">_xlfn.UNICHAR(((F2378*21)+D2378)*28+44032)</f>
        <v>튜</v>
      </c>
      <c r="P2378" s="12" t="n">
        <f aca="false">COUNTIF($A$2:$A$3000, N2378) + COUNTIF($A$2:$A$3000, O2378)</f>
        <v>2</v>
      </c>
      <c r="Q2378" s="16" t="str">
        <f aca="false">IF(OR(B2378=-1,I2378=0, P2378&lt;&gt;2), "albhed_dummy", _xlfn.CONCAT("albhed ", RIGHT("  " &amp; K2378,2),", ", RIGHT("  " &amp; L2378,2), ", " ,"""",H2378,""", ", """",N2378,""", ","""",O2378,""""," ; ", A2378))</f>
        <v>albhed 26,  6, "탸", "햐", "튜" ; 흇</v>
      </c>
    </row>
    <row r="2379" customFormat="false" ht="17.9" hidden="false" customHeight="true" outlineLevel="0" collapsed="false">
      <c r="A2379" s="16" t="s">
        <v>3221</v>
      </c>
      <c r="B2379" s="16" t="n">
        <f aca="false">IF(_xlfn.UNICODE(A2379)&lt;44032,-1,_xlfn.UNICODE(A2379)-44032)</f>
        <v>11081</v>
      </c>
      <c r="C2379" s="16" t="n">
        <f aca="false">IF(B2379=-1,-1,INT((B2379/28)/21))</f>
        <v>18</v>
      </c>
      <c r="D2379" s="16" t="n">
        <f aca="false">IF(B2379=-1, -1, MOD(INT(B2379/28),21))</f>
        <v>17</v>
      </c>
      <c r="E2379" s="16" t="n">
        <f aca="false">IF(B2379=-1, -1, VLOOKUP(MOD(B2379,28), $T$24:$U$52,2))</f>
        <v>21</v>
      </c>
      <c r="F2379" s="16" t="n">
        <f aca="false">IF($B2379=-1, -1, VLOOKUP(C2379,$T$1:$V$20, 2))</f>
        <v>16</v>
      </c>
      <c r="G2379" s="16" t="n">
        <f aca="false">IF($B2379=-1, -1, VLOOKUP(D2379,$Y$1:$Z$22,2))</f>
        <v>2</v>
      </c>
      <c r="H2379" s="16" t="str">
        <f aca="false">_xlfn.UNICHAR(((F2379*21)+G2379)*28+44032)</f>
        <v>탸</v>
      </c>
      <c r="I2379" s="16" t="n">
        <f aca="false">IF(B2379=-1, 1, COUNTIF($A$2:$A$3000, H2379))</f>
        <v>1</v>
      </c>
      <c r="J2379" s="10" t="str">
        <f aca="false">_xlfn.CONCAT(A2379, ",",H2379,",",I2379)</f>
        <v>흉,탸,1</v>
      </c>
      <c r="K2379" s="16" t="n">
        <f aca="false">IF(B2379=-1,-1,VLOOKUP(C2379,$T$1:$V$20,3))</f>
        <v>26</v>
      </c>
      <c r="L2379" s="16" t="n">
        <f aca="false">IF(B2379=-1,-1,VLOOKUP(D2379,$Y$1:$AA$22,3))</f>
        <v>6</v>
      </c>
      <c r="N2379" s="10" t="str">
        <f aca="false">_xlfn.UNICHAR(((C2379*21)+G2379)*28+44032)</f>
        <v>햐</v>
      </c>
      <c r="O2379" s="10" t="str">
        <f aca="false">_xlfn.UNICHAR(((F2379*21)+D2379)*28+44032)</f>
        <v>튜</v>
      </c>
      <c r="P2379" s="12" t="n">
        <f aca="false">COUNTIF($A$2:$A$3000, N2379) + COUNTIF($A$2:$A$3000, O2379)</f>
        <v>2</v>
      </c>
      <c r="Q2379" s="16" t="str">
        <f aca="false">IF(OR(B2379=-1,I2379=0, P2379&lt;&gt;2), "albhed_dummy", _xlfn.CONCAT("albhed ", RIGHT("  " &amp; K2379,2),", ", RIGHT("  " &amp; L2379,2), ", " ,"""",H2379,""", ", """",N2379,""", ","""",O2379,""""," ; ", A2379))</f>
        <v>albhed 26,  6, "탸", "햐", "튜" ; 흉</v>
      </c>
    </row>
    <row r="2380" customFormat="false" ht="17.9" hidden="false" customHeight="true" outlineLevel="0" collapsed="false">
      <c r="A2380" s="16" t="s">
        <v>3222</v>
      </c>
      <c r="B2380" s="16" t="n">
        <f aca="false">IF(_xlfn.UNICODE(A2380)&lt;44032,-1,_xlfn.UNICODE(A2380)-44032)</f>
        <v>11088</v>
      </c>
      <c r="C2380" s="16" t="n">
        <f aca="false">IF(B2380=-1,-1,INT((B2380/28)/21))</f>
        <v>18</v>
      </c>
      <c r="D2380" s="16" t="n">
        <f aca="false">IF(B2380=-1, -1, MOD(INT(B2380/28),21))</f>
        <v>18</v>
      </c>
      <c r="E2380" s="16" t="n">
        <f aca="false">IF(B2380=-1, -1, VLOOKUP(MOD(B2380,28), $T$24:$U$52,2))</f>
        <v>0</v>
      </c>
      <c r="F2380" s="16" t="n">
        <f aca="false">IF($B2380=-1, -1, VLOOKUP(C2380,$T$1:$V$20, 2))</f>
        <v>16</v>
      </c>
      <c r="G2380" s="16" t="n">
        <f aca="false">IF($B2380=-1, -1, VLOOKUP(D2380,$Y$1:$Z$22,2))</f>
        <v>5</v>
      </c>
      <c r="H2380" s="16" t="str">
        <f aca="false">_xlfn.UNICHAR(((F2380*21)+G2380)*28+44032)</f>
        <v>테</v>
      </c>
      <c r="I2380" s="16" t="n">
        <f aca="false">IF(B2380=-1, 1, COUNTIF($A$2:$A$3000, H2380))</f>
        <v>1</v>
      </c>
      <c r="J2380" s="10" t="str">
        <f aca="false">_xlfn.CONCAT(A2380, ",",H2380,",",I2380)</f>
        <v>흐,테,1</v>
      </c>
      <c r="K2380" s="16" t="n">
        <f aca="false">IF(B2380=-1,-1,VLOOKUP(C2380,$T$1:$V$20,3))</f>
        <v>26</v>
      </c>
      <c r="L2380" s="16" t="n">
        <f aca="false">IF(B2380=-1,-1,VLOOKUP(D2380,$Y$1:$AA$22,3))</f>
        <v>18</v>
      </c>
      <c r="N2380" s="10" t="str">
        <f aca="false">_xlfn.UNICHAR(((C2380*21)+G2380)*28+44032)</f>
        <v>헤</v>
      </c>
      <c r="O2380" s="10" t="str">
        <f aca="false">_xlfn.UNICHAR(((F2380*21)+D2380)*28+44032)</f>
        <v>트</v>
      </c>
      <c r="P2380" s="12" t="n">
        <f aca="false">COUNTIF($A$2:$A$3000, N2380) + COUNTIF($A$2:$A$3000, O2380)</f>
        <v>2</v>
      </c>
      <c r="Q2380" s="16" t="str">
        <f aca="false">IF(OR(B2380=-1,I2380=0, P2380&lt;&gt;2), "albhed_dummy", _xlfn.CONCAT("albhed ", RIGHT("  " &amp; K2380,2),", ", RIGHT("  " &amp; L2380,2), ", " ,"""",H2380,""", ", """",N2380,""", ","""",O2380,""""," ; ", A2380))</f>
        <v>albhed 26, 18, "테", "헤", "트" ; 흐</v>
      </c>
    </row>
    <row r="2381" customFormat="false" ht="17.9" hidden="false" customHeight="true" outlineLevel="0" collapsed="false">
      <c r="A2381" s="16" t="s">
        <v>3223</v>
      </c>
      <c r="B2381" s="16" t="n">
        <f aca="false">IF(_xlfn.UNICODE(A2381)&lt;44032,-1,_xlfn.UNICODE(A2381)-44032)</f>
        <v>11089</v>
      </c>
      <c r="C2381" s="16" t="n">
        <f aca="false">IF(B2381=-1,-1,INT((B2381/28)/21))</f>
        <v>18</v>
      </c>
      <c r="D2381" s="16" t="n">
        <f aca="false">IF(B2381=-1, -1, MOD(INT(B2381/28),21))</f>
        <v>18</v>
      </c>
      <c r="E2381" s="16" t="n">
        <f aca="false">IF(B2381=-1, -1, VLOOKUP(MOD(B2381,28), $T$24:$U$52,2))</f>
        <v>1</v>
      </c>
      <c r="F2381" s="16" t="n">
        <f aca="false">IF($B2381=-1, -1, VLOOKUP(C2381,$T$1:$V$20, 2))</f>
        <v>16</v>
      </c>
      <c r="G2381" s="16" t="n">
        <f aca="false">IF($B2381=-1, -1, VLOOKUP(D2381,$Y$1:$Z$22,2))</f>
        <v>5</v>
      </c>
      <c r="H2381" s="16" t="str">
        <f aca="false">_xlfn.UNICHAR(((F2381*21)+G2381)*28+44032)</f>
        <v>테</v>
      </c>
      <c r="I2381" s="16" t="n">
        <f aca="false">IF(B2381=-1, 1, COUNTIF($A$2:$A$3000, H2381))</f>
        <v>1</v>
      </c>
      <c r="J2381" s="10" t="str">
        <f aca="false">_xlfn.CONCAT(A2381, ",",H2381,",",I2381)</f>
        <v>흑,테,1</v>
      </c>
      <c r="K2381" s="16" t="n">
        <f aca="false">IF(B2381=-1,-1,VLOOKUP(C2381,$T$1:$V$20,3))</f>
        <v>26</v>
      </c>
      <c r="L2381" s="16" t="n">
        <f aca="false">IF(B2381=-1,-1,VLOOKUP(D2381,$Y$1:$AA$22,3))</f>
        <v>18</v>
      </c>
      <c r="N2381" s="10" t="str">
        <f aca="false">_xlfn.UNICHAR(((C2381*21)+G2381)*28+44032)</f>
        <v>헤</v>
      </c>
      <c r="O2381" s="10" t="str">
        <f aca="false">_xlfn.UNICHAR(((F2381*21)+D2381)*28+44032)</f>
        <v>트</v>
      </c>
      <c r="P2381" s="12" t="n">
        <f aca="false">COUNTIF($A$2:$A$3000, N2381) + COUNTIF($A$2:$A$3000, O2381)</f>
        <v>2</v>
      </c>
      <c r="Q2381" s="16" t="str">
        <f aca="false">IF(OR(B2381=-1,I2381=0, P2381&lt;&gt;2), "albhed_dummy", _xlfn.CONCAT("albhed ", RIGHT("  " &amp; K2381,2),", ", RIGHT("  " &amp; L2381,2), ", " ,"""",H2381,""", ", """",N2381,""", ","""",O2381,""""," ; ", A2381))</f>
        <v>albhed 26, 18, "테", "헤", "트" ; 흑</v>
      </c>
    </row>
    <row r="2382" customFormat="false" ht="17.9" hidden="false" customHeight="true" outlineLevel="0" collapsed="false">
      <c r="A2382" s="16" t="s">
        <v>3224</v>
      </c>
      <c r="B2382" s="16" t="n">
        <f aca="false">IF(_xlfn.UNICODE(A2382)&lt;44032,-1,_xlfn.UNICODE(A2382)-44032)</f>
        <v>11092</v>
      </c>
      <c r="C2382" s="16" t="n">
        <f aca="false">IF(B2382=-1,-1,INT((B2382/28)/21))</f>
        <v>18</v>
      </c>
      <c r="D2382" s="16" t="n">
        <f aca="false">IF(B2382=-1, -1, MOD(INT(B2382/28),21))</f>
        <v>18</v>
      </c>
      <c r="E2382" s="16" t="n">
        <f aca="false">IF(B2382=-1, -1, VLOOKUP(MOD(B2382,28), $T$24:$U$52,2))</f>
        <v>4</v>
      </c>
      <c r="F2382" s="16" t="n">
        <f aca="false">IF($B2382=-1, -1, VLOOKUP(C2382,$T$1:$V$20, 2))</f>
        <v>16</v>
      </c>
      <c r="G2382" s="16" t="n">
        <f aca="false">IF($B2382=-1, -1, VLOOKUP(D2382,$Y$1:$Z$22,2))</f>
        <v>5</v>
      </c>
      <c r="H2382" s="16" t="str">
        <f aca="false">_xlfn.UNICHAR(((F2382*21)+G2382)*28+44032)</f>
        <v>테</v>
      </c>
      <c r="I2382" s="16" t="n">
        <f aca="false">IF(B2382=-1, 1, COUNTIF($A$2:$A$3000, H2382))</f>
        <v>1</v>
      </c>
      <c r="J2382" s="10" t="str">
        <f aca="false">_xlfn.CONCAT(A2382, ",",H2382,",",I2382)</f>
        <v>흔,테,1</v>
      </c>
      <c r="K2382" s="16" t="n">
        <f aca="false">IF(B2382=-1,-1,VLOOKUP(C2382,$T$1:$V$20,3))</f>
        <v>26</v>
      </c>
      <c r="L2382" s="16" t="n">
        <f aca="false">IF(B2382=-1,-1,VLOOKUP(D2382,$Y$1:$AA$22,3))</f>
        <v>18</v>
      </c>
      <c r="N2382" s="10" t="str">
        <f aca="false">_xlfn.UNICHAR(((C2382*21)+G2382)*28+44032)</f>
        <v>헤</v>
      </c>
      <c r="O2382" s="10" t="str">
        <f aca="false">_xlfn.UNICHAR(((F2382*21)+D2382)*28+44032)</f>
        <v>트</v>
      </c>
      <c r="P2382" s="12" t="n">
        <f aca="false">COUNTIF($A$2:$A$3000, N2382) + COUNTIF($A$2:$A$3000, O2382)</f>
        <v>2</v>
      </c>
      <c r="Q2382" s="16" t="str">
        <f aca="false">IF(OR(B2382=-1,I2382=0, P2382&lt;&gt;2), "albhed_dummy", _xlfn.CONCAT("albhed ", RIGHT("  " &amp; K2382,2),", ", RIGHT("  " &amp; L2382,2), ", " ,"""",H2382,""", ", """",N2382,""", ","""",O2382,""""," ; ", A2382))</f>
        <v>albhed 26, 18, "테", "헤", "트" ; 흔</v>
      </c>
    </row>
    <row r="2383" customFormat="false" ht="17.9" hidden="false" customHeight="true" outlineLevel="0" collapsed="false">
      <c r="A2383" s="16" t="s">
        <v>3225</v>
      </c>
      <c r="B2383" s="16" t="n">
        <f aca="false">IF(_xlfn.UNICODE(A2383)&lt;44032,-1,_xlfn.UNICODE(A2383)-44032)</f>
        <v>11094</v>
      </c>
      <c r="C2383" s="16" t="n">
        <f aca="false">IF(B2383=-1,-1,INT((B2383/28)/21))</f>
        <v>18</v>
      </c>
      <c r="D2383" s="16" t="n">
        <f aca="false">IF(B2383=-1, -1, MOD(INT(B2383/28),21))</f>
        <v>18</v>
      </c>
      <c r="E2383" s="16" t="n">
        <f aca="false">IF(B2383=-1, -1, VLOOKUP(MOD(B2383,28), $T$24:$U$52,2))</f>
        <v>4</v>
      </c>
      <c r="F2383" s="16" t="n">
        <f aca="false">IF($B2383=-1, -1, VLOOKUP(C2383,$T$1:$V$20, 2))</f>
        <v>16</v>
      </c>
      <c r="G2383" s="16" t="n">
        <f aca="false">IF($B2383=-1, -1, VLOOKUP(D2383,$Y$1:$Z$22,2))</f>
        <v>5</v>
      </c>
      <c r="H2383" s="16" t="str">
        <f aca="false">_xlfn.UNICHAR(((F2383*21)+G2383)*28+44032)</f>
        <v>테</v>
      </c>
      <c r="I2383" s="16" t="n">
        <f aca="false">IF(B2383=-1, 1, COUNTIF($A$2:$A$3000, H2383))</f>
        <v>1</v>
      </c>
      <c r="J2383" s="10" t="str">
        <f aca="false">_xlfn.CONCAT(A2383, ",",H2383,",",I2383)</f>
        <v>흖,테,1</v>
      </c>
      <c r="K2383" s="16" t="n">
        <f aca="false">IF(B2383=-1,-1,VLOOKUP(C2383,$T$1:$V$20,3))</f>
        <v>26</v>
      </c>
      <c r="L2383" s="16" t="n">
        <f aca="false">IF(B2383=-1,-1,VLOOKUP(D2383,$Y$1:$AA$22,3))</f>
        <v>18</v>
      </c>
      <c r="N2383" s="10" t="str">
        <f aca="false">_xlfn.UNICHAR(((C2383*21)+G2383)*28+44032)</f>
        <v>헤</v>
      </c>
      <c r="O2383" s="10" t="str">
        <f aca="false">_xlfn.UNICHAR(((F2383*21)+D2383)*28+44032)</f>
        <v>트</v>
      </c>
      <c r="P2383" s="12" t="n">
        <f aca="false">COUNTIF($A$2:$A$3000, N2383) + COUNTIF($A$2:$A$3000, O2383)</f>
        <v>2</v>
      </c>
      <c r="Q2383" s="16" t="str">
        <f aca="false">IF(OR(B2383=-1,I2383=0, P2383&lt;&gt;2), "albhed_dummy", _xlfn.CONCAT("albhed ", RIGHT("  " &amp; K2383,2),", ", RIGHT("  " &amp; L2383,2), ", " ,"""",H2383,""", ", """",N2383,""", ","""",O2383,""""," ; ", A2383))</f>
        <v>albhed 26, 18, "테", "헤", "트" ; 흖</v>
      </c>
    </row>
    <row r="2384" customFormat="false" ht="17.9" hidden="false" customHeight="true" outlineLevel="0" collapsed="false">
      <c r="A2384" s="16" t="s">
        <v>3226</v>
      </c>
      <c r="B2384" s="16" t="n">
        <f aca="false">IF(_xlfn.UNICODE(A2384)&lt;44032,-1,_xlfn.UNICODE(A2384)-44032)</f>
        <v>11095</v>
      </c>
      <c r="C2384" s="16" t="n">
        <f aca="false">IF(B2384=-1,-1,INT((B2384/28)/21))</f>
        <v>18</v>
      </c>
      <c r="D2384" s="16" t="n">
        <f aca="false">IF(B2384=-1, -1, MOD(INT(B2384/28),21))</f>
        <v>18</v>
      </c>
      <c r="E2384" s="16" t="n">
        <f aca="false">IF(B2384=-1, -1, VLOOKUP(MOD(B2384,28), $T$24:$U$52,2))</f>
        <v>19</v>
      </c>
      <c r="F2384" s="16" t="n">
        <f aca="false">IF($B2384=-1, -1, VLOOKUP(C2384,$T$1:$V$20, 2))</f>
        <v>16</v>
      </c>
      <c r="G2384" s="16" t="n">
        <f aca="false">IF($B2384=-1, -1, VLOOKUP(D2384,$Y$1:$Z$22,2))</f>
        <v>5</v>
      </c>
      <c r="H2384" s="16" t="str">
        <f aca="false">_xlfn.UNICHAR(((F2384*21)+G2384)*28+44032)</f>
        <v>테</v>
      </c>
      <c r="I2384" s="16" t="n">
        <f aca="false">IF(B2384=-1, 1, COUNTIF($A$2:$A$3000, H2384))</f>
        <v>1</v>
      </c>
      <c r="J2384" s="10" t="str">
        <f aca="false">_xlfn.CONCAT(A2384, ",",H2384,",",I2384)</f>
        <v>흗,테,1</v>
      </c>
      <c r="K2384" s="16" t="n">
        <f aca="false">IF(B2384=-1,-1,VLOOKUP(C2384,$T$1:$V$20,3))</f>
        <v>26</v>
      </c>
      <c r="L2384" s="16" t="n">
        <f aca="false">IF(B2384=-1,-1,VLOOKUP(D2384,$Y$1:$AA$22,3))</f>
        <v>18</v>
      </c>
      <c r="N2384" s="10" t="str">
        <f aca="false">_xlfn.UNICHAR(((C2384*21)+G2384)*28+44032)</f>
        <v>헤</v>
      </c>
      <c r="O2384" s="10" t="str">
        <f aca="false">_xlfn.UNICHAR(((F2384*21)+D2384)*28+44032)</f>
        <v>트</v>
      </c>
      <c r="P2384" s="12" t="n">
        <f aca="false">COUNTIF($A$2:$A$3000, N2384) + COUNTIF($A$2:$A$3000, O2384)</f>
        <v>2</v>
      </c>
      <c r="Q2384" s="16" t="str">
        <f aca="false">IF(OR(B2384=-1,I2384=0, P2384&lt;&gt;2), "albhed_dummy", _xlfn.CONCAT("albhed ", RIGHT("  " &amp; K2384,2),", ", RIGHT("  " &amp; L2384,2), ", " ,"""",H2384,""", ", """",N2384,""", ","""",O2384,""""," ; ", A2384))</f>
        <v>albhed 26, 18, "테", "헤", "트" ; 흗</v>
      </c>
    </row>
    <row r="2385" customFormat="false" ht="17.9" hidden="false" customHeight="true" outlineLevel="0" collapsed="false">
      <c r="A2385" s="16" t="s">
        <v>3227</v>
      </c>
      <c r="B2385" s="16" t="n">
        <f aca="false">IF(_xlfn.UNICODE(A2385)&lt;44032,-1,_xlfn.UNICODE(A2385)-44032)</f>
        <v>11096</v>
      </c>
      <c r="C2385" s="16" t="n">
        <f aca="false">IF(B2385=-1,-1,INT((B2385/28)/21))</f>
        <v>18</v>
      </c>
      <c r="D2385" s="16" t="n">
        <f aca="false">IF(B2385=-1, -1, MOD(INT(B2385/28),21))</f>
        <v>18</v>
      </c>
      <c r="E2385" s="16" t="n">
        <f aca="false">IF(B2385=-1, -1, VLOOKUP(MOD(B2385,28), $T$24:$U$52,2))</f>
        <v>8</v>
      </c>
      <c r="F2385" s="16" t="n">
        <f aca="false">IF($B2385=-1, -1, VLOOKUP(C2385,$T$1:$V$20, 2))</f>
        <v>16</v>
      </c>
      <c r="G2385" s="16" t="n">
        <f aca="false">IF($B2385=-1, -1, VLOOKUP(D2385,$Y$1:$Z$22,2))</f>
        <v>5</v>
      </c>
      <c r="H2385" s="16" t="str">
        <f aca="false">_xlfn.UNICHAR(((F2385*21)+G2385)*28+44032)</f>
        <v>테</v>
      </c>
      <c r="I2385" s="16" t="n">
        <f aca="false">IF(B2385=-1, 1, COUNTIF($A$2:$A$3000, H2385))</f>
        <v>1</v>
      </c>
      <c r="J2385" s="10" t="str">
        <f aca="false">_xlfn.CONCAT(A2385, ",",H2385,",",I2385)</f>
        <v>흘,테,1</v>
      </c>
      <c r="K2385" s="16" t="n">
        <f aca="false">IF(B2385=-1,-1,VLOOKUP(C2385,$T$1:$V$20,3))</f>
        <v>26</v>
      </c>
      <c r="L2385" s="16" t="n">
        <f aca="false">IF(B2385=-1,-1,VLOOKUP(D2385,$Y$1:$AA$22,3))</f>
        <v>18</v>
      </c>
      <c r="N2385" s="10" t="str">
        <f aca="false">_xlfn.UNICHAR(((C2385*21)+G2385)*28+44032)</f>
        <v>헤</v>
      </c>
      <c r="O2385" s="10" t="str">
        <f aca="false">_xlfn.UNICHAR(((F2385*21)+D2385)*28+44032)</f>
        <v>트</v>
      </c>
      <c r="P2385" s="12" t="n">
        <f aca="false">COUNTIF($A$2:$A$3000, N2385) + COUNTIF($A$2:$A$3000, O2385)</f>
        <v>2</v>
      </c>
      <c r="Q2385" s="16" t="str">
        <f aca="false">IF(OR(B2385=-1,I2385=0, P2385&lt;&gt;2), "albhed_dummy", _xlfn.CONCAT("albhed ", RIGHT("  " &amp; K2385,2),", ", RIGHT("  " &amp; L2385,2), ", " ,"""",H2385,""", ", """",N2385,""", ","""",O2385,""""," ; ", A2385))</f>
        <v>albhed 26, 18, "테", "헤", "트" ; 흘</v>
      </c>
    </row>
    <row r="2386" customFormat="false" ht="17.9" hidden="false" customHeight="true" outlineLevel="0" collapsed="false">
      <c r="A2386" s="16" t="s">
        <v>3228</v>
      </c>
      <c r="B2386" s="16" t="n">
        <f aca="false">IF(_xlfn.UNICODE(A2386)&lt;44032,-1,_xlfn.UNICODE(A2386)-44032)</f>
        <v>11097</v>
      </c>
      <c r="C2386" s="16" t="n">
        <f aca="false">IF(B2386=-1,-1,INT((B2386/28)/21))</f>
        <v>18</v>
      </c>
      <c r="D2386" s="16" t="n">
        <f aca="false">IF(B2386=-1, -1, MOD(INT(B2386/28),21))</f>
        <v>18</v>
      </c>
      <c r="E2386" s="16" t="n">
        <f aca="false">IF(B2386=-1, -1, VLOOKUP(MOD(B2386,28), $T$24:$U$52,2))</f>
        <v>8</v>
      </c>
      <c r="F2386" s="16" t="n">
        <f aca="false">IF($B2386=-1, -1, VLOOKUP(C2386,$T$1:$V$20, 2))</f>
        <v>16</v>
      </c>
      <c r="G2386" s="16" t="n">
        <f aca="false">IF($B2386=-1, -1, VLOOKUP(D2386,$Y$1:$Z$22,2))</f>
        <v>5</v>
      </c>
      <c r="H2386" s="16" t="str">
        <f aca="false">_xlfn.UNICHAR(((F2386*21)+G2386)*28+44032)</f>
        <v>테</v>
      </c>
      <c r="I2386" s="16" t="n">
        <f aca="false">IF(B2386=-1, 1, COUNTIF($A$2:$A$3000, H2386))</f>
        <v>1</v>
      </c>
      <c r="J2386" s="10" t="str">
        <f aca="false">_xlfn.CONCAT(A2386, ",",H2386,",",I2386)</f>
        <v>흙,테,1</v>
      </c>
      <c r="K2386" s="16" t="n">
        <f aca="false">IF(B2386=-1,-1,VLOOKUP(C2386,$T$1:$V$20,3))</f>
        <v>26</v>
      </c>
      <c r="L2386" s="16" t="n">
        <f aca="false">IF(B2386=-1,-1,VLOOKUP(D2386,$Y$1:$AA$22,3))</f>
        <v>18</v>
      </c>
      <c r="N2386" s="10" t="str">
        <f aca="false">_xlfn.UNICHAR(((C2386*21)+G2386)*28+44032)</f>
        <v>헤</v>
      </c>
      <c r="O2386" s="10" t="str">
        <f aca="false">_xlfn.UNICHAR(((F2386*21)+D2386)*28+44032)</f>
        <v>트</v>
      </c>
      <c r="P2386" s="12" t="n">
        <f aca="false">COUNTIF($A$2:$A$3000, N2386) + COUNTIF($A$2:$A$3000, O2386)</f>
        <v>2</v>
      </c>
      <c r="Q2386" s="16" t="str">
        <f aca="false">IF(OR(B2386=-1,I2386=0, P2386&lt;&gt;2), "albhed_dummy", _xlfn.CONCAT("albhed ", RIGHT("  " &amp; K2386,2),", ", RIGHT("  " &amp; L2386,2), ", " ,"""",H2386,""", ", """",N2386,""", ","""",O2386,""""," ; ", A2386))</f>
        <v>albhed 26, 18, "테", "헤", "트" ; 흙</v>
      </c>
    </row>
    <row r="2387" customFormat="false" ht="17.9" hidden="false" customHeight="true" outlineLevel="0" collapsed="false">
      <c r="A2387" s="16" t="s">
        <v>3229</v>
      </c>
      <c r="B2387" s="16" t="n">
        <f aca="false">IF(_xlfn.UNICODE(A2387)&lt;44032,-1,_xlfn.UNICODE(A2387)-44032)</f>
        <v>11104</v>
      </c>
      <c r="C2387" s="16" t="n">
        <f aca="false">IF(B2387=-1,-1,INT((B2387/28)/21))</f>
        <v>18</v>
      </c>
      <c r="D2387" s="16" t="n">
        <f aca="false">IF(B2387=-1, -1, MOD(INT(B2387/28),21))</f>
        <v>18</v>
      </c>
      <c r="E2387" s="16" t="n">
        <f aca="false">IF(B2387=-1, -1, VLOOKUP(MOD(B2387,28), $T$24:$U$52,2))</f>
        <v>16</v>
      </c>
      <c r="F2387" s="16" t="n">
        <f aca="false">IF($B2387=-1, -1, VLOOKUP(C2387,$T$1:$V$20, 2))</f>
        <v>16</v>
      </c>
      <c r="G2387" s="16" t="n">
        <f aca="false">IF($B2387=-1, -1, VLOOKUP(D2387,$Y$1:$Z$22,2))</f>
        <v>5</v>
      </c>
      <c r="H2387" s="16" t="str">
        <f aca="false">_xlfn.UNICHAR(((F2387*21)+G2387)*28+44032)</f>
        <v>테</v>
      </c>
      <c r="I2387" s="16" t="n">
        <f aca="false">IF(B2387=-1, 1, COUNTIF($A$2:$A$3000, H2387))</f>
        <v>1</v>
      </c>
      <c r="J2387" s="10" t="str">
        <f aca="false">_xlfn.CONCAT(A2387, ",",H2387,",",I2387)</f>
        <v>흠,테,1</v>
      </c>
      <c r="K2387" s="16" t="n">
        <f aca="false">IF(B2387=-1,-1,VLOOKUP(C2387,$T$1:$V$20,3))</f>
        <v>26</v>
      </c>
      <c r="L2387" s="16" t="n">
        <f aca="false">IF(B2387=-1,-1,VLOOKUP(D2387,$Y$1:$AA$22,3))</f>
        <v>18</v>
      </c>
      <c r="N2387" s="10" t="str">
        <f aca="false">_xlfn.UNICHAR(((C2387*21)+G2387)*28+44032)</f>
        <v>헤</v>
      </c>
      <c r="O2387" s="10" t="str">
        <f aca="false">_xlfn.UNICHAR(((F2387*21)+D2387)*28+44032)</f>
        <v>트</v>
      </c>
      <c r="P2387" s="12" t="n">
        <f aca="false">COUNTIF($A$2:$A$3000, N2387) + COUNTIF($A$2:$A$3000, O2387)</f>
        <v>2</v>
      </c>
      <c r="Q2387" s="16" t="str">
        <f aca="false">IF(OR(B2387=-1,I2387=0, P2387&lt;&gt;2), "albhed_dummy", _xlfn.CONCAT("albhed ", RIGHT("  " &amp; K2387,2),", ", RIGHT("  " &amp; L2387,2), ", " ,"""",H2387,""", ", """",N2387,""", ","""",O2387,""""," ; ", A2387))</f>
        <v>albhed 26, 18, "테", "헤", "트" ; 흠</v>
      </c>
    </row>
    <row r="2388" customFormat="false" ht="17.9" hidden="false" customHeight="true" outlineLevel="0" collapsed="false">
      <c r="A2388" s="16" t="s">
        <v>3230</v>
      </c>
      <c r="B2388" s="16" t="n">
        <f aca="false">IF(_xlfn.UNICODE(A2388)&lt;44032,-1,_xlfn.UNICODE(A2388)-44032)</f>
        <v>11105</v>
      </c>
      <c r="C2388" s="16" t="n">
        <f aca="false">IF(B2388=-1,-1,INT((B2388/28)/21))</f>
        <v>18</v>
      </c>
      <c r="D2388" s="16" t="n">
        <f aca="false">IF(B2388=-1, -1, MOD(INT(B2388/28),21))</f>
        <v>18</v>
      </c>
      <c r="E2388" s="16" t="n">
        <f aca="false">IF(B2388=-1, -1, VLOOKUP(MOD(B2388,28), $T$24:$U$52,2))</f>
        <v>17</v>
      </c>
      <c r="F2388" s="16" t="n">
        <f aca="false">IF($B2388=-1, -1, VLOOKUP(C2388,$T$1:$V$20, 2))</f>
        <v>16</v>
      </c>
      <c r="G2388" s="16" t="n">
        <f aca="false">IF($B2388=-1, -1, VLOOKUP(D2388,$Y$1:$Z$22,2))</f>
        <v>5</v>
      </c>
      <c r="H2388" s="16" t="str">
        <f aca="false">_xlfn.UNICHAR(((F2388*21)+G2388)*28+44032)</f>
        <v>테</v>
      </c>
      <c r="I2388" s="16" t="n">
        <f aca="false">IF(B2388=-1, 1, COUNTIF($A$2:$A$3000, H2388))</f>
        <v>1</v>
      </c>
      <c r="J2388" s="10" t="str">
        <f aca="false">_xlfn.CONCAT(A2388, ",",H2388,",",I2388)</f>
        <v>흡,테,1</v>
      </c>
      <c r="K2388" s="16" t="n">
        <f aca="false">IF(B2388=-1,-1,VLOOKUP(C2388,$T$1:$V$20,3))</f>
        <v>26</v>
      </c>
      <c r="L2388" s="16" t="n">
        <f aca="false">IF(B2388=-1,-1,VLOOKUP(D2388,$Y$1:$AA$22,3))</f>
        <v>18</v>
      </c>
      <c r="N2388" s="10" t="str">
        <f aca="false">_xlfn.UNICHAR(((C2388*21)+G2388)*28+44032)</f>
        <v>헤</v>
      </c>
      <c r="O2388" s="10" t="str">
        <f aca="false">_xlfn.UNICHAR(((F2388*21)+D2388)*28+44032)</f>
        <v>트</v>
      </c>
      <c r="P2388" s="12" t="n">
        <f aca="false">COUNTIF($A$2:$A$3000, N2388) + COUNTIF($A$2:$A$3000, O2388)</f>
        <v>2</v>
      </c>
      <c r="Q2388" s="16" t="str">
        <f aca="false">IF(OR(B2388=-1,I2388=0, P2388&lt;&gt;2), "albhed_dummy", _xlfn.CONCAT("albhed ", RIGHT("  " &amp; K2388,2),", ", RIGHT("  " &amp; L2388,2), ", " ,"""",H2388,""", ", """",N2388,""", ","""",O2388,""""," ; ", A2388))</f>
        <v>albhed 26, 18, "테", "헤", "트" ; 흡</v>
      </c>
    </row>
    <row r="2389" customFormat="false" ht="17.9" hidden="false" customHeight="true" outlineLevel="0" collapsed="false">
      <c r="A2389" s="16" t="s">
        <v>3231</v>
      </c>
      <c r="B2389" s="16" t="n">
        <f aca="false">IF(_xlfn.UNICODE(A2389)&lt;44032,-1,_xlfn.UNICODE(A2389)-44032)</f>
        <v>11107</v>
      </c>
      <c r="C2389" s="16" t="n">
        <f aca="false">IF(B2389=-1,-1,INT((B2389/28)/21))</f>
        <v>18</v>
      </c>
      <c r="D2389" s="16" t="n">
        <f aca="false">IF(B2389=-1, -1, MOD(INT(B2389/28),21))</f>
        <v>18</v>
      </c>
      <c r="E2389" s="16" t="n">
        <f aca="false">IF(B2389=-1, -1, VLOOKUP(MOD(B2389,28), $T$24:$U$52,2))</f>
        <v>19</v>
      </c>
      <c r="F2389" s="16" t="n">
        <f aca="false">IF($B2389=-1, -1, VLOOKUP(C2389,$T$1:$V$20, 2))</f>
        <v>16</v>
      </c>
      <c r="G2389" s="16" t="n">
        <f aca="false">IF($B2389=-1, -1, VLOOKUP(D2389,$Y$1:$Z$22,2))</f>
        <v>5</v>
      </c>
      <c r="H2389" s="16" t="str">
        <f aca="false">_xlfn.UNICHAR(((F2389*21)+G2389)*28+44032)</f>
        <v>테</v>
      </c>
      <c r="I2389" s="16" t="n">
        <f aca="false">IF(B2389=-1, 1, COUNTIF($A$2:$A$3000, H2389))</f>
        <v>1</v>
      </c>
      <c r="J2389" s="10" t="str">
        <f aca="false">_xlfn.CONCAT(A2389, ",",H2389,",",I2389)</f>
        <v>흣,테,1</v>
      </c>
      <c r="K2389" s="16" t="n">
        <f aca="false">IF(B2389=-1,-1,VLOOKUP(C2389,$T$1:$V$20,3))</f>
        <v>26</v>
      </c>
      <c r="L2389" s="16" t="n">
        <f aca="false">IF(B2389=-1,-1,VLOOKUP(D2389,$Y$1:$AA$22,3))</f>
        <v>18</v>
      </c>
      <c r="N2389" s="10" t="str">
        <f aca="false">_xlfn.UNICHAR(((C2389*21)+G2389)*28+44032)</f>
        <v>헤</v>
      </c>
      <c r="O2389" s="10" t="str">
        <f aca="false">_xlfn.UNICHAR(((F2389*21)+D2389)*28+44032)</f>
        <v>트</v>
      </c>
      <c r="P2389" s="12" t="n">
        <f aca="false">COUNTIF($A$2:$A$3000, N2389) + COUNTIF($A$2:$A$3000, O2389)</f>
        <v>2</v>
      </c>
      <c r="Q2389" s="16" t="str">
        <f aca="false">IF(OR(B2389=-1,I2389=0, P2389&lt;&gt;2), "albhed_dummy", _xlfn.CONCAT("albhed ", RIGHT("  " &amp; K2389,2),", ", RIGHT("  " &amp; L2389,2), ", " ,"""",H2389,""", ", """",N2389,""", ","""",O2389,""""," ; ", A2389))</f>
        <v>albhed 26, 18, "테", "헤", "트" ; 흣</v>
      </c>
    </row>
    <row r="2390" customFormat="false" ht="17.9" hidden="false" customHeight="true" outlineLevel="0" collapsed="false">
      <c r="A2390" s="16" t="s">
        <v>3232</v>
      </c>
      <c r="B2390" s="16" t="n">
        <f aca="false">IF(_xlfn.UNICODE(A2390)&lt;44032,-1,_xlfn.UNICODE(A2390)-44032)</f>
        <v>11109</v>
      </c>
      <c r="C2390" s="16" t="n">
        <f aca="false">IF(B2390=-1,-1,INT((B2390/28)/21))</f>
        <v>18</v>
      </c>
      <c r="D2390" s="16" t="n">
        <f aca="false">IF(B2390=-1, -1, MOD(INT(B2390/28),21))</f>
        <v>18</v>
      </c>
      <c r="E2390" s="16" t="n">
        <f aca="false">IF(B2390=-1, -1, VLOOKUP(MOD(B2390,28), $T$24:$U$52,2))</f>
        <v>21</v>
      </c>
      <c r="F2390" s="16" t="n">
        <f aca="false">IF($B2390=-1, -1, VLOOKUP(C2390,$T$1:$V$20, 2))</f>
        <v>16</v>
      </c>
      <c r="G2390" s="16" t="n">
        <f aca="false">IF($B2390=-1, -1, VLOOKUP(D2390,$Y$1:$Z$22,2))</f>
        <v>5</v>
      </c>
      <c r="H2390" s="16" t="str">
        <f aca="false">_xlfn.UNICHAR(((F2390*21)+G2390)*28+44032)</f>
        <v>테</v>
      </c>
      <c r="I2390" s="16" t="n">
        <f aca="false">IF(B2390=-1, 1, COUNTIF($A$2:$A$3000, H2390))</f>
        <v>1</v>
      </c>
      <c r="J2390" s="10" t="str">
        <f aca="false">_xlfn.CONCAT(A2390, ",",H2390,",",I2390)</f>
        <v>흥,테,1</v>
      </c>
      <c r="K2390" s="16" t="n">
        <f aca="false">IF(B2390=-1,-1,VLOOKUP(C2390,$T$1:$V$20,3))</f>
        <v>26</v>
      </c>
      <c r="L2390" s="16" t="n">
        <f aca="false">IF(B2390=-1,-1,VLOOKUP(D2390,$Y$1:$AA$22,3))</f>
        <v>18</v>
      </c>
      <c r="N2390" s="10" t="str">
        <f aca="false">_xlfn.UNICHAR(((C2390*21)+G2390)*28+44032)</f>
        <v>헤</v>
      </c>
      <c r="O2390" s="10" t="str">
        <f aca="false">_xlfn.UNICHAR(((F2390*21)+D2390)*28+44032)</f>
        <v>트</v>
      </c>
      <c r="P2390" s="12" t="n">
        <f aca="false">COUNTIF($A$2:$A$3000, N2390) + COUNTIF($A$2:$A$3000, O2390)</f>
        <v>2</v>
      </c>
      <c r="Q2390" s="16" t="str">
        <f aca="false">IF(OR(B2390=-1,I2390=0, P2390&lt;&gt;2), "albhed_dummy", _xlfn.CONCAT("albhed ", RIGHT("  " &amp; K2390,2),", ", RIGHT("  " &amp; L2390,2), ", " ,"""",H2390,""", ", """",N2390,""", ","""",O2390,""""," ; ", A2390))</f>
        <v>albhed 26, 18, "테", "헤", "트" ; 흥</v>
      </c>
    </row>
    <row r="2391" customFormat="false" ht="17.9" hidden="false" customHeight="true" outlineLevel="0" collapsed="false">
      <c r="A2391" s="16" t="s">
        <v>3233</v>
      </c>
      <c r="B2391" s="16" t="n">
        <f aca="false">IF(_xlfn.UNICODE(A2391)&lt;44032,-1,_xlfn.UNICODE(A2391)-44032)</f>
        <v>11113</v>
      </c>
      <c r="C2391" s="16" t="n">
        <f aca="false">IF(B2391=-1,-1,INT((B2391/28)/21))</f>
        <v>18</v>
      </c>
      <c r="D2391" s="16" t="n">
        <f aca="false">IF(B2391=-1, -1, MOD(INT(B2391/28),21))</f>
        <v>18</v>
      </c>
      <c r="E2391" s="16" t="n">
        <f aca="false">IF(B2391=-1, -1, VLOOKUP(MOD(B2391,28), $T$24:$U$52,2))</f>
        <v>19</v>
      </c>
      <c r="F2391" s="16" t="n">
        <f aca="false">IF($B2391=-1, -1, VLOOKUP(C2391,$T$1:$V$20, 2))</f>
        <v>16</v>
      </c>
      <c r="G2391" s="16" t="n">
        <f aca="false">IF($B2391=-1, -1, VLOOKUP(D2391,$Y$1:$Z$22,2))</f>
        <v>5</v>
      </c>
      <c r="H2391" s="16" t="str">
        <f aca="false">_xlfn.UNICHAR(((F2391*21)+G2391)*28+44032)</f>
        <v>테</v>
      </c>
      <c r="I2391" s="16" t="n">
        <f aca="false">IF(B2391=-1, 1, COUNTIF($A$2:$A$3000, H2391))</f>
        <v>1</v>
      </c>
      <c r="J2391" s="10" t="str">
        <f aca="false">_xlfn.CONCAT(A2391, ",",H2391,",",I2391)</f>
        <v>흩,테,1</v>
      </c>
      <c r="K2391" s="16" t="n">
        <f aca="false">IF(B2391=-1,-1,VLOOKUP(C2391,$T$1:$V$20,3))</f>
        <v>26</v>
      </c>
      <c r="L2391" s="16" t="n">
        <f aca="false">IF(B2391=-1,-1,VLOOKUP(D2391,$Y$1:$AA$22,3))</f>
        <v>18</v>
      </c>
      <c r="N2391" s="10" t="str">
        <f aca="false">_xlfn.UNICHAR(((C2391*21)+G2391)*28+44032)</f>
        <v>헤</v>
      </c>
      <c r="O2391" s="10" t="str">
        <f aca="false">_xlfn.UNICHAR(((F2391*21)+D2391)*28+44032)</f>
        <v>트</v>
      </c>
      <c r="P2391" s="12" t="n">
        <f aca="false">COUNTIF($A$2:$A$3000, N2391) + COUNTIF($A$2:$A$3000, O2391)</f>
        <v>2</v>
      </c>
      <c r="Q2391" s="16" t="str">
        <f aca="false">IF(OR(B2391=-1,I2391=0, P2391&lt;&gt;2), "albhed_dummy", _xlfn.CONCAT("albhed ", RIGHT("  " &amp; K2391,2),", ", RIGHT("  " &amp; L2391,2), ", " ,"""",H2391,""", ", """",N2391,""", ","""",O2391,""""," ; ", A2391))</f>
        <v>albhed 26, 18, "테", "헤", "트" ; 흩</v>
      </c>
    </row>
    <row r="2392" customFormat="false" ht="17.9" hidden="false" customHeight="true" outlineLevel="0" collapsed="false">
      <c r="A2392" s="16" t="s">
        <v>3234</v>
      </c>
      <c r="B2392" s="16" t="n">
        <f aca="false">IF(_xlfn.UNICODE(A2392)&lt;44032,-1,_xlfn.UNICODE(A2392)-44032)</f>
        <v>11116</v>
      </c>
      <c r="C2392" s="16" t="n">
        <f aca="false">IF(B2392=-1,-1,INT((B2392/28)/21))</f>
        <v>18</v>
      </c>
      <c r="D2392" s="16" t="n">
        <f aca="false">IF(B2392=-1, -1, MOD(INT(B2392/28),21))</f>
        <v>19</v>
      </c>
      <c r="E2392" s="16" t="n">
        <f aca="false">IF(B2392=-1, -1, VLOOKUP(MOD(B2392,28), $T$24:$U$52,2))</f>
        <v>0</v>
      </c>
      <c r="F2392" s="16" t="n">
        <f aca="false">IF($B2392=-1, -1, VLOOKUP(C2392,$T$1:$V$20, 2))</f>
        <v>16</v>
      </c>
      <c r="G2392" s="16" t="n">
        <f aca="false">IF($B2392=-1, -1, VLOOKUP(D2392,$Y$1:$Z$22,2))</f>
        <v>5</v>
      </c>
      <c r="H2392" s="16" t="str">
        <f aca="false">_xlfn.UNICHAR(((F2392*21)+G2392)*28+44032)</f>
        <v>테</v>
      </c>
      <c r="I2392" s="16" t="n">
        <f aca="false">IF(B2392=-1, 1, COUNTIF($A$2:$A$3000, H2392))</f>
        <v>1</v>
      </c>
      <c r="J2392" s="10" t="str">
        <f aca="false">_xlfn.CONCAT(A2392, ",",H2392,",",I2392)</f>
        <v>희,테,1</v>
      </c>
      <c r="K2392" s="16" t="n">
        <f aca="false">IF(B2392=-1,-1,VLOOKUP(C2392,$T$1:$V$20,3))</f>
        <v>26</v>
      </c>
      <c r="L2392" s="16" t="n">
        <f aca="false">IF(B2392=-1,-1,VLOOKUP(D2392,$Y$1:$AA$22,3))</f>
        <v>24</v>
      </c>
      <c r="N2392" s="10" t="str">
        <f aca="false">_xlfn.UNICHAR(((C2392*21)+G2392)*28+44032)</f>
        <v>헤</v>
      </c>
      <c r="O2392" s="10" t="str">
        <f aca="false">_xlfn.UNICHAR(((F2392*21)+D2392)*28+44032)</f>
        <v>틔</v>
      </c>
      <c r="P2392" s="12" t="n">
        <f aca="false">COUNTIF($A$2:$A$3000, N2392) + COUNTIF($A$2:$A$3000, O2392)</f>
        <v>2</v>
      </c>
      <c r="Q2392" s="16" t="str">
        <f aca="false">IF(OR(B2392=-1,I2392=0, P2392&lt;&gt;2), "albhed_dummy", _xlfn.CONCAT("albhed ", RIGHT("  " &amp; K2392,2),", ", RIGHT("  " &amp; L2392,2), ", " ,"""",H2392,""", ", """",N2392,""", ","""",O2392,""""," ; ", A2392))</f>
        <v>albhed 26, 24, "테", "헤", "틔" ; 희</v>
      </c>
    </row>
    <row r="2393" customFormat="false" ht="17.9" hidden="false" customHeight="true" outlineLevel="0" collapsed="false">
      <c r="A2393" s="16" t="s">
        <v>3235</v>
      </c>
      <c r="B2393" s="16" t="n">
        <f aca="false">IF(_xlfn.UNICODE(A2393)&lt;44032,-1,_xlfn.UNICODE(A2393)-44032)</f>
        <v>11120</v>
      </c>
      <c r="C2393" s="16" t="n">
        <f aca="false">IF(B2393=-1,-1,INT((B2393/28)/21))</f>
        <v>18</v>
      </c>
      <c r="D2393" s="16" t="n">
        <f aca="false">IF(B2393=-1, -1, MOD(INT(B2393/28),21))</f>
        <v>19</v>
      </c>
      <c r="E2393" s="16" t="n">
        <f aca="false">IF(B2393=-1, -1, VLOOKUP(MOD(B2393,28), $T$24:$U$52,2))</f>
        <v>4</v>
      </c>
      <c r="F2393" s="16" t="n">
        <f aca="false">IF($B2393=-1, -1, VLOOKUP(C2393,$T$1:$V$20, 2))</f>
        <v>16</v>
      </c>
      <c r="G2393" s="16" t="n">
        <f aca="false">IF($B2393=-1, -1, VLOOKUP(D2393,$Y$1:$Z$22,2))</f>
        <v>5</v>
      </c>
      <c r="H2393" s="16" t="str">
        <f aca="false">_xlfn.UNICHAR(((F2393*21)+G2393)*28+44032)</f>
        <v>테</v>
      </c>
      <c r="I2393" s="16" t="n">
        <f aca="false">IF(B2393=-1, 1, COUNTIF($A$2:$A$3000, H2393))</f>
        <v>1</v>
      </c>
      <c r="J2393" s="10" t="str">
        <f aca="false">_xlfn.CONCAT(A2393, ",",H2393,",",I2393)</f>
        <v>흰,테,1</v>
      </c>
      <c r="K2393" s="16" t="n">
        <f aca="false">IF(B2393=-1,-1,VLOOKUP(C2393,$T$1:$V$20,3))</f>
        <v>26</v>
      </c>
      <c r="L2393" s="16" t="n">
        <f aca="false">IF(B2393=-1,-1,VLOOKUP(D2393,$Y$1:$AA$22,3))</f>
        <v>24</v>
      </c>
      <c r="N2393" s="10" t="str">
        <f aca="false">_xlfn.UNICHAR(((C2393*21)+G2393)*28+44032)</f>
        <v>헤</v>
      </c>
      <c r="O2393" s="10" t="str">
        <f aca="false">_xlfn.UNICHAR(((F2393*21)+D2393)*28+44032)</f>
        <v>틔</v>
      </c>
      <c r="P2393" s="12" t="n">
        <f aca="false">COUNTIF($A$2:$A$3000, N2393) + COUNTIF($A$2:$A$3000, O2393)</f>
        <v>2</v>
      </c>
      <c r="Q2393" s="16" t="str">
        <f aca="false">IF(OR(B2393=-1,I2393=0, P2393&lt;&gt;2), "albhed_dummy", _xlfn.CONCAT("albhed ", RIGHT("  " &amp; K2393,2),", ", RIGHT("  " &amp; L2393,2), ", " ,"""",H2393,""", ", """",N2393,""", ","""",O2393,""""," ; ", A2393))</f>
        <v>albhed 26, 24, "테", "헤", "틔" ; 흰</v>
      </c>
    </row>
    <row r="2394" customFormat="false" ht="17.9" hidden="false" customHeight="true" outlineLevel="0" collapsed="false">
      <c r="A2394" s="16" t="s">
        <v>705</v>
      </c>
      <c r="B2394" s="16" t="n">
        <f aca="false">IF(_xlfn.UNICODE(A2394)&lt;44032,-1,_xlfn.UNICODE(A2394)-44032)</f>
        <v>-1</v>
      </c>
      <c r="C2394" s="16" t="n">
        <f aca="false">IF(B2394=-1,-1,INT((B2394/28)/21))</f>
        <v>-1</v>
      </c>
      <c r="D2394" s="16" t="n">
        <f aca="false">IF(B2394=-1, -1, MOD(INT(B2394/28),21))</f>
        <v>-1</v>
      </c>
      <c r="E2394" s="16" t="n">
        <f aca="false">IF(B2394=-1, -1, VLOOKUP(MOD(B2394,28), $T$24:$U$52,2))</f>
        <v>-1</v>
      </c>
      <c r="F2394" s="16" t="n">
        <f aca="false">IF($B2394=-1, -1, VLOOKUP(C2394,$T$1:$V$20, 2))</f>
        <v>-1</v>
      </c>
      <c r="G2394" s="16" t="n">
        <f aca="false">IF($B2394=-1, -1, VLOOKUP(D2394,$Y$1:$Z$22,2))</f>
        <v>-1</v>
      </c>
      <c r="H2394" s="16" t="str">
        <f aca="false">_xlfn.UNICHAR(((F2394*21)+G2394)*28+44032)</f>
        <v>ꦘ</v>
      </c>
      <c r="I2394" s="16" t="n">
        <f aca="false">IF(B2394=-1, 1, COUNTIF($A$2:$A$3000, H2394))</f>
        <v>1</v>
      </c>
      <c r="J2394" s="10" t="str">
        <f aca="false">_xlfn.CONCAT(A2394, ",",H2394,",",I2394)</f>
        <v>',ꦘ,1</v>
      </c>
      <c r="K2394" s="16" t="n">
        <f aca="false">IF(B2394=-1,-1,VLOOKUP(C2394,$T$1:$V$20,3))</f>
        <v>-1</v>
      </c>
      <c r="L2394" s="16" t="n">
        <f aca="false">IF(B2394=-1,-1,VLOOKUP(D2394,$Y$1:$AA$22,3))</f>
        <v>-1</v>
      </c>
      <c r="N2394" s="10" t="str">
        <f aca="false">_xlfn.UNICHAR(((C2394*21)+G2394)*28+44032)</f>
        <v>ꦘ</v>
      </c>
      <c r="O2394" s="10" t="str">
        <f aca="false">_xlfn.UNICHAR(((F2394*21)+D2394)*28+44032)</f>
        <v>ꦘ</v>
      </c>
      <c r="P2394" s="12" t="n">
        <f aca="false">COUNTIF($A$2:$A$3000, N2394) + COUNTIF($A$2:$A$3000, O2394)</f>
        <v>0</v>
      </c>
      <c r="Q2394" s="16" t="str">
        <f aca="false">IF(OR(B2394=-1,I2394=0, P2394&lt;&gt;2), "albhed_dummy", _xlfn.CONCAT("albhed ", RIGHT("  " &amp; K2394,2),", ", RIGHT("  " &amp; L2394,2), ", " ,"""",H2394,""", ", """",N2394,""", ","""",O2394,""""," ; ", A2394))</f>
        <v>albhed_dummy</v>
      </c>
    </row>
    <row r="2395" customFormat="false" ht="17.9" hidden="false" customHeight="true" outlineLevel="0" collapsed="false">
      <c r="A2395" s="16" t="s">
        <v>3236</v>
      </c>
      <c r="B2395" s="16" t="n">
        <f aca="false">IF(_xlfn.UNICODE(A2395)&lt;44032,-1,_xlfn.UNICODE(A2395)-44032)</f>
        <v>11124</v>
      </c>
      <c r="C2395" s="16" t="n">
        <f aca="false">IF(B2395=-1,-1,INT((B2395/28)/21))</f>
        <v>18</v>
      </c>
      <c r="D2395" s="16" t="n">
        <f aca="false">IF(B2395=-1, -1, MOD(INT(B2395/28),21))</f>
        <v>19</v>
      </c>
      <c r="E2395" s="16" t="n">
        <f aca="false">IF(B2395=-1, -1, VLOOKUP(MOD(B2395,28), $T$24:$U$52,2))</f>
        <v>8</v>
      </c>
      <c r="F2395" s="16" t="n">
        <f aca="false">IF($B2395=-1, -1, VLOOKUP(C2395,$T$1:$V$20, 2))</f>
        <v>16</v>
      </c>
      <c r="G2395" s="16" t="n">
        <f aca="false">IF($B2395=-1, -1, VLOOKUP(D2395,$Y$1:$Z$22,2))</f>
        <v>5</v>
      </c>
      <c r="H2395" s="16" t="str">
        <f aca="false">_xlfn.UNICHAR(((F2395*21)+G2395)*28+44032)</f>
        <v>테</v>
      </c>
      <c r="I2395" s="16" t="n">
        <f aca="false">IF(B2395=-1, 1, COUNTIF($A$2:$A$3000, H2395))</f>
        <v>1</v>
      </c>
      <c r="J2395" s="10" t="str">
        <f aca="false">_xlfn.CONCAT(A2395, ",",H2395,",",I2395)</f>
        <v>흴,테,1</v>
      </c>
      <c r="K2395" s="16" t="n">
        <f aca="false">IF(B2395=-1,-1,VLOOKUP(C2395,$T$1:$V$20,3))</f>
        <v>26</v>
      </c>
      <c r="L2395" s="16" t="n">
        <f aca="false">IF(B2395=-1,-1,VLOOKUP(D2395,$Y$1:$AA$22,3))</f>
        <v>24</v>
      </c>
      <c r="N2395" s="10" t="str">
        <f aca="false">_xlfn.UNICHAR(((C2395*21)+G2395)*28+44032)</f>
        <v>헤</v>
      </c>
      <c r="O2395" s="10" t="str">
        <f aca="false">_xlfn.UNICHAR(((F2395*21)+D2395)*28+44032)</f>
        <v>틔</v>
      </c>
      <c r="P2395" s="12" t="n">
        <f aca="false">COUNTIF($A$2:$A$3000, N2395) + COUNTIF($A$2:$A$3000, O2395)</f>
        <v>2</v>
      </c>
      <c r="Q2395" s="16" t="str">
        <f aca="false">IF(OR(B2395=-1,I2395=0, P2395&lt;&gt;2), "albhed_dummy", _xlfn.CONCAT("albhed ", RIGHT("  " &amp; K2395,2),", ", RIGHT("  " &amp; L2395,2), ", " ,"""",H2395,""", ", """",N2395,""", ","""",O2395,""""," ; ", A2395))</f>
        <v>albhed 26, 24, "테", "헤", "틔" ; 흴</v>
      </c>
    </row>
    <row r="2396" customFormat="false" ht="17.9" hidden="false" customHeight="true" outlineLevel="0" collapsed="false">
      <c r="A2396" s="16" t="s">
        <v>3237</v>
      </c>
      <c r="B2396" s="16" t="n">
        <f aca="false">IF(_xlfn.UNICODE(A2396)&lt;44032,-1,_xlfn.UNICODE(A2396)-44032)</f>
        <v>11132</v>
      </c>
      <c r="C2396" s="16" t="n">
        <f aca="false">IF(B2396=-1,-1,INT((B2396/28)/21))</f>
        <v>18</v>
      </c>
      <c r="D2396" s="16" t="n">
        <f aca="false">IF(B2396=-1, -1, MOD(INT(B2396/28),21))</f>
        <v>19</v>
      </c>
      <c r="E2396" s="16" t="n">
        <f aca="false">IF(B2396=-1, -1, VLOOKUP(MOD(B2396,28), $T$24:$U$52,2))</f>
        <v>16</v>
      </c>
      <c r="F2396" s="16" t="n">
        <f aca="false">IF($B2396=-1, -1, VLOOKUP(C2396,$T$1:$V$20, 2))</f>
        <v>16</v>
      </c>
      <c r="G2396" s="16" t="n">
        <f aca="false">IF($B2396=-1, -1, VLOOKUP(D2396,$Y$1:$Z$22,2))</f>
        <v>5</v>
      </c>
      <c r="H2396" s="16" t="str">
        <f aca="false">_xlfn.UNICHAR(((F2396*21)+G2396)*28+44032)</f>
        <v>테</v>
      </c>
      <c r="I2396" s="16" t="n">
        <f aca="false">IF(B2396=-1, 1, COUNTIF($A$2:$A$3000, H2396))</f>
        <v>1</v>
      </c>
      <c r="J2396" s="10" t="str">
        <f aca="false">_xlfn.CONCAT(A2396, ",",H2396,",",I2396)</f>
        <v>흼,테,1</v>
      </c>
      <c r="K2396" s="16" t="n">
        <f aca="false">IF(B2396=-1,-1,VLOOKUP(C2396,$T$1:$V$20,3))</f>
        <v>26</v>
      </c>
      <c r="L2396" s="16" t="n">
        <f aca="false">IF(B2396=-1,-1,VLOOKUP(D2396,$Y$1:$AA$22,3))</f>
        <v>24</v>
      </c>
      <c r="N2396" s="10" t="str">
        <f aca="false">_xlfn.UNICHAR(((C2396*21)+G2396)*28+44032)</f>
        <v>헤</v>
      </c>
      <c r="O2396" s="10" t="str">
        <f aca="false">_xlfn.UNICHAR(((F2396*21)+D2396)*28+44032)</f>
        <v>틔</v>
      </c>
      <c r="P2396" s="12" t="n">
        <f aca="false">COUNTIF($A$2:$A$3000, N2396) + COUNTIF($A$2:$A$3000, O2396)</f>
        <v>2</v>
      </c>
      <c r="Q2396" s="16" t="str">
        <f aca="false">IF(OR(B2396=-1,I2396=0, P2396&lt;&gt;2), "albhed_dummy", _xlfn.CONCAT("albhed ", RIGHT("  " &amp; K2396,2),", ", RIGHT("  " &amp; L2396,2), ", " ,"""",H2396,""", ", """",N2396,""", ","""",O2396,""""," ; ", A2396))</f>
        <v>albhed 26, 24, "테", "헤", "틔" ; 흼</v>
      </c>
    </row>
    <row r="2397" customFormat="false" ht="17.9" hidden="false" customHeight="true" outlineLevel="0" collapsed="false">
      <c r="A2397" s="16" t="s">
        <v>3238</v>
      </c>
      <c r="B2397" s="16" t="n">
        <f aca="false">IF(_xlfn.UNICODE(A2397)&lt;44032,-1,_xlfn.UNICODE(A2397)-44032)</f>
        <v>11133</v>
      </c>
      <c r="C2397" s="16" t="n">
        <f aca="false">IF(B2397=-1,-1,INT((B2397/28)/21))</f>
        <v>18</v>
      </c>
      <c r="D2397" s="16" t="n">
        <f aca="false">IF(B2397=-1, -1, MOD(INT(B2397/28),21))</f>
        <v>19</v>
      </c>
      <c r="E2397" s="16" t="n">
        <f aca="false">IF(B2397=-1, -1, VLOOKUP(MOD(B2397,28), $T$24:$U$52,2))</f>
        <v>17</v>
      </c>
      <c r="F2397" s="16" t="n">
        <f aca="false">IF($B2397=-1, -1, VLOOKUP(C2397,$T$1:$V$20, 2))</f>
        <v>16</v>
      </c>
      <c r="G2397" s="16" t="n">
        <f aca="false">IF($B2397=-1, -1, VLOOKUP(D2397,$Y$1:$Z$22,2))</f>
        <v>5</v>
      </c>
      <c r="H2397" s="16" t="str">
        <f aca="false">_xlfn.UNICHAR(((F2397*21)+G2397)*28+44032)</f>
        <v>테</v>
      </c>
      <c r="I2397" s="16" t="n">
        <f aca="false">IF(B2397=-1, 1, COUNTIF($A$2:$A$3000, H2397))</f>
        <v>1</v>
      </c>
      <c r="J2397" s="10" t="str">
        <f aca="false">_xlfn.CONCAT(A2397, ",",H2397,",",I2397)</f>
        <v>흽,테,1</v>
      </c>
      <c r="K2397" s="16" t="n">
        <f aca="false">IF(B2397=-1,-1,VLOOKUP(C2397,$T$1:$V$20,3))</f>
        <v>26</v>
      </c>
      <c r="L2397" s="16" t="n">
        <f aca="false">IF(B2397=-1,-1,VLOOKUP(D2397,$Y$1:$AA$22,3))</f>
        <v>24</v>
      </c>
      <c r="N2397" s="10" t="str">
        <f aca="false">_xlfn.UNICHAR(((C2397*21)+G2397)*28+44032)</f>
        <v>헤</v>
      </c>
      <c r="O2397" s="10" t="str">
        <f aca="false">_xlfn.UNICHAR(((F2397*21)+D2397)*28+44032)</f>
        <v>틔</v>
      </c>
      <c r="P2397" s="12" t="n">
        <f aca="false">COUNTIF($A$2:$A$3000, N2397) + COUNTIF($A$2:$A$3000, O2397)</f>
        <v>2</v>
      </c>
      <c r="Q2397" s="16" t="str">
        <f aca="false">IF(OR(B2397=-1,I2397=0, P2397&lt;&gt;2), "albhed_dummy", _xlfn.CONCAT("albhed ", RIGHT("  " &amp; K2397,2),", ", RIGHT("  " &amp; L2397,2), ", " ,"""",H2397,""", ", """",N2397,""", ","""",O2397,""""," ; ", A2397))</f>
        <v>albhed 26, 24, "테", "헤", "틔" ; 흽</v>
      </c>
    </row>
    <row r="2398" customFormat="false" ht="17.9" hidden="false" customHeight="true" outlineLevel="0" collapsed="false">
      <c r="A2398" s="16" t="s">
        <v>3239</v>
      </c>
      <c r="B2398" s="16" t="n">
        <f aca="false">IF(_xlfn.UNICODE(A2398)&lt;44032,-1,_xlfn.UNICODE(A2398)-44032)</f>
        <v>11137</v>
      </c>
      <c r="C2398" s="16" t="n">
        <f aca="false">IF(B2398=-1,-1,INT((B2398/28)/21))</f>
        <v>18</v>
      </c>
      <c r="D2398" s="16" t="n">
        <f aca="false">IF(B2398=-1, -1, MOD(INT(B2398/28),21))</f>
        <v>19</v>
      </c>
      <c r="E2398" s="16" t="n">
        <f aca="false">IF(B2398=-1, -1, VLOOKUP(MOD(B2398,28), $T$24:$U$52,2))</f>
        <v>21</v>
      </c>
      <c r="F2398" s="16" t="n">
        <f aca="false">IF($B2398=-1, -1, VLOOKUP(C2398,$T$1:$V$20, 2))</f>
        <v>16</v>
      </c>
      <c r="G2398" s="16" t="n">
        <f aca="false">IF($B2398=-1, -1, VLOOKUP(D2398,$Y$1:$Z$22,2))</f>
        <v>5</v>
      </c>
      <c r="H2398" s="16" t="str">
        <f aca="false">_xlfn.UNICHAR(((F2398*21)+G2398)*28+44032)</f>
        <v>테</v>
      </c>
      <c r="I2398" s="16" t="n">
        <f aca="false">IF(B2398=-1, 1, COUNTIF($A$2:$A$3000, H2398))</f>
        <v>1</v>
      </c>
      <c r="J2398" s="10" t="str">
        <f aca="false">_xlfn.CONCAT(A2398, ",",H2398,",",I2398)</f>
        <v>힁,테,1</v>
      </c>
      <c r="K2398" s="16" t="n">
        <f aca="false">IF(B2398=-1,-1,VLOOKUP(C2398,$T$1:$V$20,3))</f>
        <v>26</v>
      </c>
      <c r="L2398" s="16" t="n">
        <f aca="false">IF(B2398=-1,-1,VLOOKUP(D2398,$Y$1:$AA$22,3))</f>
        <v>24</v>
      </c>
      <c r="N2398" s="10" t="str">
        <f aca="false">_xlfn.UNICHAR(((C2398*21)+G2398)*28+44032)</f>
        <v>헤</v>
      </c>
      <c r="O2398" s="10" t="str">
        <f aca="false">_xlfn.UNICHAR(((F2398*21)+D2398)*28+44032)</f>
        <v>틔</v>
      </c>
      <c r="P2398" s="12" t="n">
        <f aca="false">COUNTIF($A$2:$A$3000, N2398) + COUNTIF($A$2:$A$3000, O2398)</f>
        <v>2</v>
      </c>
      <c r="Q2398" s="16" t="str">
        <f aca="false">IF(OR(B2398=-1,I2398=0, P2398&lt;&gt;2), "albhed_dummy", _xlfn.CONCAT("albhed ", RIGHT("  " &amp; K2398,2),", ", RIGHT("  " &amp; L2398,2), ", " ,"""",H2398,""", ", """",N2398,""", ","""",O2398,""""," ; ", A2398))</f>
        <v>albhed 26, 24, "테", "헤", "틔" ; 힁</v>
      </c>
    </row>
    <row r="2399" customFormat="false" ht="17.9" hidden="false" customHeight="true" outlineLevel="0" collapsed="false">
      <c r="A2399" s="16" t="s">
        <v>3240</v>
      </c>
      <c r="B2399" s="16" t="n">
        <f aca="false">IF(_xlfn.UNICODE(A2399)&lt;44032,-1,_xlfn.UNICODE(A2399)-44032)</f>
        <v>11144</v>
      </c>
      <c r="C2399" s="16" t="n">
        <f aca="false">IF(B2399=-1,-1,INT((B2399/28)/21))</f>
        <v>18</v>
      </c>
      <c r="D2399" s="16" t="n">
        <f aca="false">IF(B2399=-1, -1, MOD(INT(B2399/28),21))</f>
        <v>20</v>
      </c>
      <c r="E2399" s="16" t="n">
        <f aca="false">IF(B2399=-1, -1, VLOOKUP(MOD(B2399,28), $T$24:$U$52,2))</f>
        <v>0</v>
      </c>
      <c r="F2399" s="16" t="n">
        <f aca="false">IF($B2399=-1, -1, VLOOKUP(C2399,$T$1:$V$20, 2))</f>
        <v>16</v>
      </c>
      <c r="G2399" s="16" t="n">
        <f aca="false">IF($B2399=-1, -1, VLOOKUP(D2399,$Y$1:$Z$22,2))</f>
        <v>5</v>
      </c>
      <c r="H2399" s="16" t="str">
        <f aca="false">_xlfn.UNICHAR(((F2399*21)+G2399)*28+44032)</f>
        <v>테</v>
      </c>
      <c r="I2399" s="16" t="n">
        <f aca="false">IF(B2399=-1, 1, COUNTIF($A$2:$A$3000, H2399))</f>
        <v>1</v>
      </c>
      <c r="J2399" s="10" t="str">
        <f aca="false">_xlfn.CONCAT(A2399, ",",H2399,",",I2399)</f>
        <v>히,테,1</v>
      </c>
      <c r="K2399" s="16" t="n">
        <f aca="false">IF(B2399=-1,-1,VLOOKUP(C2399,$T$1:$V$20,3))</f>
        <v>26</v>
      </c>
      <c r="L2399" s="16" t="n">
        <f aca="false">IF(B2399=-1,-1,VLOOKUP(D2399,$Y$1:$AA$22,3))</f>
        <v>20</v>
      </c>
      <c r="N2399" s="10" t="str">
        <f aca="false">_xlfn.UNICHAR(((C2399*21)+G2399)*28+44032)</f>
        <v>헤</v>
      </c>
      <c r="O2399" s="10" t="str">
        <f aca="false">_xlfn.UNICHAR(((F2399*21)+D2399)*28+44032)</f>
        <v>티</v>
      </c>
      <c r="P2399" s="12" t="n">
        <f aca="false">COUNTIF($A$2:$A$3000, N2399) + COUNTIF($A$2:$A$3000, O2399)</f>
        <v>2</v>
      </c>
      <c r="Q2399" s="16" t="str">
        <f aca="false">IF(OR(B2399=-1,I2399=0, P2399&lt;&gt;2), "albhed_dummy", _xlfn.CONCAT("albhed ", RIGHT("  " &amp; K2399,2),", ", RIGHT("  " &amp; L2399,2), ", " ,"""",H2399,""", ", """",N2399,""", ","""",O2399,""""," ; ", A2399))</f>
        <v>albhed 26, 20, "테", "헤", "티" ; 히</v>
      </c>
    </row>
    <row r="2400" customFormat="false" ht="17.9" hidden="false" customHeight="true" outlineLevel="0" collapsed="false">
      <c r="A2400" s="16" t="s">
        <v>3241</v>
      </c>
      <c r="B2400" s="16" t="n">
        <f aca="false">IF(_xlfn.UNICODE(A2400)&lt;44032,-1,_xlfn.UNICODE(A2400)-44032)</f>
        <v>11145</v>
      </c>
      <c r="C2400" s="16" t="n">
        <f aca="false">IF(B2400=-1,-1,INT((B2400/28)/21))</f>
        <v>18</v>
      </c>
      <c r="D2400" s="16" t="n">
        <f aca="false">IF(B2400=-1, -1, MOD(INT(B2400/28),21))</f>
        <v>20</v>
      </c>
      <c r="E2400" s="16" t="n">
        <f aca="false">IF(B2400=-1, -1, VLOOKUP(MOD(B2400,28), $T$24:$U$52,2))</f>
        <v>1</v>
      </c>
      <c r="F2400" s="16" t="n">
        <f aca="false">IF($B2400=-1, -1, VLOOKUP(C2400,$T$1:$V$20, 2))</f>
        <v>16</v>
      </c>
      <c r="G2400" s="16" t="n">
        <f aca="false">IF($B2400=-1, -1, VLOOKUP(D2400,$Y$1:$Z$22,2))</f>
        <v>5</v>
      </c>
      <c r="H2400" s="16" t="str">
        <f aca="false">_xlfn.UNICHAR(((F2400*21)+G2400)*28+44032)</f>
        <v>테</v>
      </c>
      <c r="I2400" s="16" t="n">
        <f aca="false">IF(B2400=-1, 1, COUNTIF($A$2:$A$3000, H2400))</f>
        <v>1</v>
      </c>
      <c r="J2400" s="10" t="str">
        <f aca="false">_xlfn.CONCAT(A2400, ",",H2400,",",I2400)</f>
        <v>힉,테,1</v>
      </c>
      <c r="K2400" s="16" t="n">
        <f aca="false">IF(B2400=-1,-1,VLOOKUP(C2400,$T$1:$V$20,3))</f>
        <v>26</v>
      </c>
      <c r="L2400" s="16" t="n">
        <f aca="false">IF(B2400=-1,-1,VLOOKUP(D2400,$Y$1:$AA$22,3))</f>
        <v>20</v>
      </c>
      <c r="N2400" s="10" t="str">
        <f aca="false">_xlfn.UNICHAR(((C2400*21)+G2400)*28+44032)</f>
        <v>헤</v>
      </c>
      <c r="O2400" s="10" t="str">
        <f aca="false">_xlfn.UNICHAR(((F2400*21)+D2400)*28+44032)</f>
        <v>티</v>
      </c>
      <c r="P2400" s="12" t="n">
        <f aca="false">COUNTIF($A$2:$A$3000, N2400) + COUNTIF($A$2:$A$3000, O2400)</f>
        <v>2</v>
      </c>
      <c r="Q2400" s="16" t="str">
        <f aca="false">IF(OR(B2400=-1,I2400=0, P2400&lt;&gt;2), "albhed_dummy", _xlfn.CONCAT("albhed ", RIGHT("  " &amp; K2400,2),", ", RIGHT("  " &amp; L2400,2), ", " ,"""",H2400,""", ", """",N2400,""", ","""",O2400,""""," ; ", A2400))</f>
        <v>albhed 26, 20, "테", "헤", "티" ; 힉</v>
      </c>
    </row>
    <row r="2401" customFormat="false" ht="17.9" hidden="false" customHeight="true" outlineLevel="0" collapsed="false">
      <c r="A2401" s="16" t="s">
        <v>3242</v>
      </c>
      <c r="B2401" s="16" t="n">
        <f aca="false">IF(_xlfn.UNICODE(A2401)&lt;44032,-1,_xlfn.UNICODE(A2401)-44032)</f>
        <v>11148</v>
      </c>
      <c r="C2401" s="16" t="n">
        <f aca="false">IF(B2401=-1,-1,INT((B2401/28)/21))</f>
        <v>18</v>
      </c>
      <c r="D2401" s="16" t="n">
        <f aca="false">IF(B2401=-1, -1, MOD(INT(B2401/28),21))</f>
        <v>20</v>
      </c>
      <c r="E2401" s="16" t="n">
        <f aca="false">IF(B2401=-1, -1, VLOOKUP(MOD(B2401,28), $T$24:$U$52,2))</f>
        <v>4</v>
      </c>
      <c r="F2401" s="16" t="n">
        <f aca="false">IF($B2401=-1, -1, VLOOKUP(C2401,$T$1:$V$20, 2))</f>
        <v>16</v>
      </c>
      <c r="G2401" s="16" t="n">
        <f aca="false">IF($B2401=-1, -1, VLOOKUP(D2401,$Y$1:$Z$22,2))</f>
        <v>5</v>
      </c>
      <c r="H2401" s="16" t="str">
        <f aca="false">_xlfn.UNICHAR(((F2401*21)+G2401)*28+44032)</f>
        <v>테</v>
      </c>
      <c r="I2401" s="16" t="n">
        <f aca="false">IF(B2401=-1, 1, COUNTIF($A$2:$A$3000, H2401))</f>
        <v>1</v>
      </c>
      <c r="J2401" s="10" t="str">
        <f aca="false">_xlfn.CONCAT(A2401, ",",H2401,",",I2401)</f>
        <v>힌,테,1</v>
      </c>
      <c r="K2401" s="16" t="n">
        <f aca="false">IF(B2401=-1,-1,VLOOKUP(C2401,$T$1:$V$20,3))</f>
        <v>26</v>
      </c>
      <c r="L2401" s="16" t="n">
        <f aca="false">IF(B2401=-1,-1,VLOOKUP(D2401,$Y$1:$AA$22,3))</f>
        <v>20</v>
      </c>
      <c r="N2401" s="10" t="str">
        <f aca="false">_xlfn.UNICHAR(((C2401*21)+G2401)*28+44032)</f>
        <v>헤</v>
      </c>
      <c r="O2401" s="10" t="str">
        <f aca="false">_xlfn.UNICHAR(((F2401*21)+D2401)*28+44032)</f>
        <v>티</v>
      </c>
      <c r="P2401" s="12" t="n">
        <f aca="false">COUNTIF($A$2:$A$3000, N2401) + COUNTIF($A$2:$A$3000, O2401)</f>
        <v>2</v>
      </c>
      <c r="Q2401" s="16" t="str">
        <f aca="false">IF(OR(B2401=-1,I2401=0, P2401&lt;&gt;2), "albhed_dummy", _xlfn.CONCAT("albhed ", RIGHT("  " &amp; K2401,2),", ", RIGHT("  " &amp; L2401,2), ", " ,"""",H2401,""", ", """",N2401,""", ","""",O2401,""""," ; ", A2401))</f>
        <v>albhed 26, 20, "테", "헤", "티" ; 힌</v>
      </c>
    </row>
    <row r="2402" customFormat="false" ht="17.9" hidden="false" customHeight="true" outlineLevel="0" collapsed="false">
      <c r="A2402" s="16" t="s">
        <v>3243</v>
      </c>
      <c r="B2402" s="16" t="n">
        <f aca="false">IF(_xlfn.UNICODE(A2402)&lt;44032,-1,_xlfn.UNICODE(A2402)-44032)</f>
        <v>11152</v>
      </c>
      <c r="C2402" s="16" t="n">
        <f aca="false">IF(B2402=-1,-1,INT((B2402/28)/21))</f>
        <v>18</v>
      </c>
      <c r="D2402" s="16" t="n">
        <f aca="false">IF(B2402=-1, -1, MOD(INT(B2402/28),21))</f>
        <v>20</v>
      </c>
      <c r="E2402" s="16" t="n">
        <f aca="false">IF(B2402=-1, -1, VLOOKUP(MOD(B2402,28), $T$24:$U$52,2))</f>
        <v>8</v>
      </c>
      <c r="F2402" s="16" t="n">
        <f aca="false">IF($B2402=-1, -1, VLOOKUP(C2402,$T$1:$V$20, 2))</f>
        <v>16</v>
      </c>
      <c r="G2402" s="16" t="n">
        <f aca="false">IF($B2402=-1, -1, VLOOKUP(D2402,$Y$1:$Z$22,2))</f>
        <v>5</v>
      </c>
      <c r="H2402" s="16" t="str">
        <f aca="false">_xlfn.UNICHAR(((F2402*21)+G2402)*28+44032)</f>
        <v>테</v>
      </c>
      <c r="I2402" s="16" t="n">
        <f aca="false">IF(B2402=-1, 1, COUNTIF($A$2:$A$3000, H2402))</f>
        <v>1</v>
      </c>
      <c r="J2402" s="10" t="str">
        <f aca="false">_xlfn.CONCAT(A2402, ",",H2402,",",I2402)</f>
        <v>힐,테,1</v>
      </c>
      <c r="K2402" s="16" t="n">
        <f aca="false">IF(B2402=-1,-1,VLOOKUP(C2402,$T$1:$V$20,3))</f>
        <v>26</v>
      </c>
      <c r="L2402" s="16" t="n">
        <f aca="false">IF(B2402=-1,-1,VLOOKUP(D2402,$Y$1:$AA$22,3))</f>
        <v>20</v>
      </c>
      <c r="N2402" s="10" t="str">
        <f aca="false">_xlfn.UNICHAR(((C2402*21)+G2402)*28+44032)</f>
        <v>헤</v>
      </c>
      <c r="O2402" s="10" t="str">
        <f aca="false">_xlfn.UNICHAR(((F2402*21)+D2402)*28+44032)</f>
        <v>티</v>
      </c>
      <c r="P2402" s="12" t="n">
        <f aca="false">COUNTIF($A$2:$A$3000, N2402) + COUNTIF($A$2:$A$3000, O2402)</f>
        <v>2</v>
      </c>
      <c r="Q2402" s="16" t="str">
        <f aca="false">IF(OR(B2402=-1,I2402=0, P2402&lt;&gt;2), "albhed_dummy", _xlfn.CONCAT("albhed ", RIGHT("  " &amp; K2402,2),", ", RIGHT("  " &amp; L2402,2), ", " ,"""",H2402,""", ", """",N2402,""", ","""",O2402,""""," ; ", A2402))</f>
        <v>albhed 26, 20, "테", "헤", "티" ; 힐</v>
      </c>
    </row>
    <row r="2403" customFormat="false" ht="17.9" hidden="false" customHeight="true" outlineLevel="0" collapsed="false">
      <c r="A2403" s="16" t="s">
        <v>3244</v>
      </c>
      <c r="B2403" s="16" t="n">
        <f aca="false">IF(_xlfn.UNICODE(A2403)&lt;44032,-1,_xlfn.UNICODE(A2403)-44032)</f>
        <v>11160</v>
      </c>
      <c r="C2403" s="16" t="n">
        <f aca="false">IF(B2403=-1,-1,INT((B2403/28)/21))</f>
        <v>18</v>
      </c>
      <c r="D2403" s="16" t="n">
        <f aca="false">IF(B2403=-1, -1, MOD(INT(B2403/28),21))</f>
        <v>20</v>
      </c>
      <c r="E2403" s="16" t="n">
        <f aca="false">IF(B2403=-1, -1, VLOOKUP(MOD(B2403,28), $T$24:$U$52,2))</f>
        <v>16</v>
      </c>
      <c r="F2403" s="16" t="n">
        <f aca="false">IF($B2403=-1, -1, VLOOKUP(C2403,$T$1:$V$20, 2))</f>
        <v>16</v>
      </c>
      <c r="G2403" s="16" t="n">
        <f aca="false">IF($B2403=-1, -1, VLOOKUP(D2403,$Y$1:$Z$22,2))</f>
        <v>5</v>
      </c>
      <c r="H2403" s="16" t="str">
        <f aca="false">_xlfn.UNICHAR(((F2403*21)+G2403)*28+44032)</f>
        <v>테</v>
      </c>
      <c r="I2403" s="16" t="n">
        <f aca="false">IF(B2403=-1, 1, COUNTIF($A$2:$A$3000, H2403))</f>
        <v>1</v>
      </c>
      <c r="J2403" s="10" t="str">
        <f aca="false">_xlfn.CONCAT(A2403, ",",H2403,",",I2403)</f>
        <v>힘,테,1</v>
      </c>
      <c r="K2403" s="16" t="n">
        <f aca="false">IF(B2403=-1,-1,VLOOKUP(C2403,$T$1:$V$20,3))</f>
        <v>26</v>
      </c>
      <c r="L2403" s="16" t="n">
        <f aca="false">IF(B2403=-1,-1,VLOOKUP(D2403,$Y$1:$AA$22,3))</f>
        <v>20</v>
      </c>
      <c r="N2403" s="10" t="str">
        <f aca="false">_xlfn.UNICHAR(((C2403*21)+G2403)*28+44032)</f>
        <v>헤</v>
      </c>
      <c r="O2403" s="10" t="str">
        <f aca="false">_xlfn.UNICHAR(((F2403*21)+D2403)*28+44032)</f>
        <v>티</v>
      </c>
      <c r="P2403" s="12" t="n">
        <f aca="false">COUNTIF($A$2:$A$3000, N2403) + COUNTIF($A$2:$A$3000, O2403)</f>
        <v>2</v>
      </c>
      <c r="Q2403" s="16" t="str">
        <f aca="false">IF(OR(B2403=-1,I2403=0, P2403&lt;&gt;2), "albhed_dummy", _xlfn.CONCAT("albhed ", RIGHT("  " &amp; K2403,2),", ", RIGHT("  " &amp; L2403,2), ", " ,"""",H2403,""", ", """",N2403,""", ","""",O2403,""""," ; ", A2403))</f>
        <v>albhed 26, 20, "테", "헤", "티" ; 힘</v>
      </c>
    </row>
    <row r="2404" customFormat="false" ht="17.9" hidden="false" customHeight="true" outlineLevel="0" collapsed="false">
      <c r="A2404" s="16" t="s">
        <v>3245</v>
      </c>
      <c r="B2404" s="16" t="n">
        <f aca="false">IF(_xlfn.UNICODE(A2404)&lt;44032,-1,_xlfn.UNICODE(A2404)-44032)</f>
        <v>11161</v>
      </c>
      <c r="C2404" s="16" t="n">
        <f aca="false">IF(B2404=-1,-1,INT((B2404/28)/21))</f>
        <v>18</v>
      </c>
      <c r="D2404" s="16" t="n">
        <f aca="false">IF(B2404=-1, -1, MOD(INT(B2404/28),21))</f>
        <v>20</v>
      </c>
      <c r="E2404" s="16" t="n">
        <f aca="false">IF(B2404=-1, -1, VLOOKUP(MOD(B2404,28), $T$24:$U$52,2))</f>
        <v>17</v>
      </c>
      <c r="F2404" s="16" t="n">
        <f aca="false">IF($B2404=-1, -1, VLOOKUP(C2404,$T$1:$V$20, 2))</f>
        <v>16</v>
      </c>
      <c r="G2404" s="16" t="n">
        <f aca="false">IF($B2404=-1, -1, VLOOKUP(D2404,$Y$1:$Z$22,2))</f>
        <v>5</v>
      </c>
      <c r="H2404" s="16" t="str">
        <f aca="false">_xlfn.UNICHAR(((F2404*21)+G2404)*28+44032)</f>
        <v>테</v>
      </c>
      <c r="I2404" s="16" t="n">
        <f aca="false">IF(B2404=-1, 1, COUNTIF($A$2:$A$3000, H2404))</f>
        <v>1</v>
      </c>
      <c r="J2404" s="10" t="str">
        <f aca="false">_xlfn.CONCAT(A2404, ",",H2404,",",I2404)</f>
        <v>힙,테,1</v>
      </c>
      <c r="K2404" s="16" t="n">
        <f aca="false">IF(B2404=-1,-1,VLOOKUP(C2404,$T$1:$V$20,3))</f>
        <v>26</v>
      </c>
      <c r="L2404" s="16" t="n">
        <f aca="false">IF(B2404=-1,-1,VLOOKUP(D2404,$Y$1:$AA$22,3))</f>
        <v>20</v>
      </c>
      <c r="N2404" s="10" t="str">
        <f aca="false">_xlfn.UNICHAR(((C2404*21)+G2404)*28+44032)</f>
        <v>헤</v>
      </c>
      <c r="O2404" s="10" t="str">
        <f aca="false">_xlfn.UNICHAR(((F2404*21)+D2404)*28+44032)</f>
        <v>티</v>
      </c>
      <c r="P2404" s="12" t="n">
        <f aca="false">COUNTIF($A$2:$A$3000, N2404) + COUNTIF($A$2:$A$3000, O2404)</f>
        <v>2</v>
      </c>
      <c r="Q2404" s="16" t="str">
        <f aca="false">IF(OR(B2404=-1,I2404=0, P2404&lt;&gt;2), "albhed_dummy", _xlfn.CONCAT("albhed ", RIGHT("  " &amp; K2404,2),", ", RIGHT("  " &amp; L2404,2), ", " ,"""",H2404,""", ", """",N2404,""", ","""",O2404,""""," ; ", A2404))</f>
        <v>albhed 26, 20, "테", "헤", "티" ; 힙</v>
      </c>
    </row>
    <row r="2405" customFormat="false" ht="17.9" hidden="false" customHeight="true" outlineLevel="0" collapsed="false">
      <c r="A2405" s="16" t="s">
        <v>3246</v>
      </c>
      <c r="B2405" s="16" t="n">
        <f aca="false">IF(_xlfn.UNICODE(A2405)&lt;44032,-1,_xlfn.UNICODE(A2405)-44032)</f>
        <v>11163</v>
      </c>
      <c r="C2405" s="16" t="n">
        <f aca="false">IF(B2405=-1,-1,INT((B2405/28)/21))</f>
        <v>18</v>
      </c>
      <c r="D2405" s="16" t="n">
        <f aca="false">IF(B2405=-1, -1, MOD(INT(B2405/28),21))</f>
        <v>20</v>
      </c>
      <c r="E2405" s="16" t="n">
        <f aca="false">IF(B2405=-1, -1, VLOOKUP(MOD(B2405,28), $T$24:$U$52,2))</f>
        <v>19</v>
      </c>
      <c r="F2405" s="16" t="n">
        <f aca="false">IF($B2405=-1, -1, VLOOKUP(C2405,$T$1:$V$20, 2))</f>
        <v>16</v>
      </c>
      <c r="G2405" s="16" t="n">
        <f aca="false">IF($B2405=-1, -1, VLOOKUP(D2405,$Y$1:$Z$22,2))</f>
        <v>5</v>
      </c>
      <c r="H2405" s="16" t="str">
        <f aca="false">_xlfn.UNICHAR(((F2405*21)+G2405)*28+44032)</f>
        <v>테</v>
      </c>
      <c r="I2405" s="16" t="n">
        <f aca="false">IF(B2405=-1, 1, COUNTIF($A$2:$A$3000, H2405))</f>
        <v>1</v>
      </c>
      <c r="J2405" s="10" t="str">
        <f aca="false">_xlfn.CONCAT(A2405, ",",H2405,",",I2405)</f>
        <v>힛,테,1</v>
      </c>
      <c r="K2405" s="16" t="n">
        <f aca="false">IF(B2405=-1,-1,VLOOKUP(C2405,$T$1:$V$20,3))</f>
        <v>26</v>
      </c>
      <c r="L2405" s="16" t="n">
        <f aca="false">IF(B2405=-1,-1,VLOOKUP(D2405,$Y$1:$AA$22,3))</f>
        <v>20</v>
      </c>
      <c r="N2405" s="10" t="str">
        <f aca="false">_xlfn.UNICHAR(((C2405*21)+G2405)*28+44032)</f>
        <v>헤</v>
      </c>
      <c r="O2405" s="10" t="str">
        <f aca="false">_xlfn.UNICHAR(((F2405*21)+D2405)*28+44032)</f>
        <v>티</v>
      </c>
      <c r="P2405" s="12" t="n">
        <f aca="false">COUNTIF($A$2:$A$3000, N2405) + COUNTIF($A$2:$A$3000, O2405)</f>
        <v>2</v>
      </c>
      <c r="Q2405" s="16" t="str">
        <f aca="false">IF(OR(B2405=-1,I2405=0, P2405&lt;&gt;2), "albhed_dummy", _xlfn.CONCAT("albhed ", RIGHT("  " &amp; K2405,2),", ", RIGHT("  " &amp; L2405,2), ", " ,"""",H2405,""", ", """",N2405,""", ","""",O2405,""""," ; ", A2405))</f>
        <v>albhed 26, 20, "테", "헤", "티" ; 힛</v>
      </c>
    </row>
    <row r="2406" customFormat="false" ht="17.9" hidden="false" customHeight="true" outlineLevel="0" collapsed="false">
      <c r="A2406" s="16" t="s">
        <v>3247</v>
      </c>
      <c r="B2406" s="16" t="n">
        <f aca="false">IF(_xlfn.UNICODE(A2406)&lt;44032,-1,_xlfn.UNICODE(A2406)-44032)</f>
        <v>11165</v>
      </c>
      <c r="C2406" s="16" t="n">
        <f aca="false">IF(B2406=-1,-1,INT((B2406/28)/21))</f>
        <v>18</v>
      </c>
      <c r="D2406" s="16" t="n">
        <f aca="false">IF(B2406=-1, -1, MOD(INT(B2406/28),21))</f>
        <v>20</v>
      </c>
      <c r="E2406" s="16" t="n">
        <f aca="false">IF(B2406=-1, -1, VLOOKUP(MOD(B2406,28), $T$24:$U$52,2))</f>
        <v>21</v>
      </c>
      <c r="F2406" s="16" t="n">
        <f aca="false">IF($B2406=-1, -1, VLOOKUP(C2406,$T$1:$V$20, 2))</f>
        <v>16</v>
      </c>
      <c r="G2406" s="16" t="n">
        <f aca="false">IF($B2406=-1, -1, VLOOKUP(D2406,$Y$1:$Z$22,2))</f>
        <v>5</v>
      </c>
      <c r="H2406" s="16" t="str">
        <f aca="false">_xlfn.UNICHAR(((F2406*21)+G2406)*28+44032)</f>
        <v>테</v>
      </c>
      <c r="I2406" s="16" t="n">
        <f aca="false">IF(B2406=-1, 1, COUNTIF($A$2:$A$3000, H2406))</f>
        <v>1</v>
      </c>
      <c r="J2406" s="10" t="str">
        <f aca="false">_xlfn.CONCAT(A2406, ",",H2406,",",I2406)</f>
        <v>힝,테,1</v>
      </c>
      <c r="K2406" s="16" t="n">
        <f aca="false">IF(B2406=-1,-1,VLOOKUP(C2406,$T$1:$V$20,3))</f>
        <v>26</v>
      </c>
      <c r="L2406" s="16" t="n">
        <f aca="false">IF(B2406=-1,-1,VLOOKUP(D2406,$Y$1:$AA$22,3))</f>
        <v>20</v>
      </c>
      <c r="N2406" s="10" t="str">
        <f aca="false">_xlfn.UNICHAR(((C2406*21)+G2406)*28+44032)</f>
        <v>헤</v>
      </c>
      <c r="O2406" s="10" t="str">
        <f aca="false">_xlfn.UNICHAR(((F2406*21)+D2406)*28+44032)</f>
        <v>티</v>
      </c>
      <c r="P2406" s="12" t="n">
        <f aca="false">COUNTIF($A$2:$A$3000, N2406) + COUNTIF($A$2:$A$3000, O2406)</f>
        <v>2</v>
      </c>
      <c r="Q2406" s="16" t="str">
        <f aca="false">IF(OR(B2406=-1,I2406=0, P2406&lt;&gt;2), "albhed_dummy", _xlfn.CONCAT("albhed ", RIGHT("  " &amp; K2406,2),", ", RIGHT("  " &amp; L2406,2), ", " ,"""",H2406,""", ", """",N2406,""", ","""",O2406,""""," ; ", A2406))</f>
        <v>albhed 26, 20, "테", "헤", "티" ; 힝</v>
      </c>
    </row>
  </sheetData>
  <mergeCells count="54">
    <mergeCell ref="AE8:AG8"/>
    <mergeCell ref="AH8:AJ8"/>
    <mergeCell ref="AE9:AG9"/>
    <mergeCell ref="AH9:AJ9"/>
    <mergeCell ref="AE10:AG10"/>
    <mergeCell ref="AH10:AJ10"/>
    <mergeCell ref="AE11:AG11"/>
    <mergeCell ref="AH11:AJ11"/>
    <mergeCell ref="AE12:AG12"/>
    <mergeCell ref="AH12:AJ12"/>
    <mergeCell ref="AE13:AG13"/>
    <mergeCell ref="AH13:AJ13"/>
    <mergeCell ref="AE14:AG14"/>
    <mergeCell ref="AH14:AJ14"/>
    <mergeCell ref="AE15:AG15"/>
    <mergeCell ref="AH15:AJ15"/>
    <mergeCell ref="AE16:AG16"/>
    <mergeCell ref="AH16:AJ16"/>
    <mergeCell ref="AE17:AG17"/>
    <mergeCell ref="AH17:AJ17"/>
    <mergeCell ref="AE18:AG18"/>
    <mergeCell ref="AH18:AJ18"/>
    <mergeCell ref="AE19:AG19"/>
    <mergeCell ref="AH19:AJ19"/>
    <mergeCell ref="AE20:AG20"/>
    <mergeCell ref="AH20:AJ20"/>
    <mergeCell ref="AE21:AG21"/>
    <mergeCell ref="AH21:AJ21"/>
    <mergeCell ref="AE22:AG22"/>
    <mergeCell ref="AH22:AJ22"/>
    <mergeCell ref="AE23:AG23"/>
    <mergeCell ref="AH23:AJ23"/>
    <mergeCell ref="AE24:AG24"/>
    <mergeCell ref="AH24:AJ24"/>
    <mergeCell ref="AE25:AG25"/>
    <mergeCell ref="AH25:AJ25"/>
    <mergeCell ref="AE26:AG26"/>
    <mergeCell ref="AH26:AJ26"/>
    <mergeCell ref="AE27:AG27"/>
    <mergeCell ref="AH27:AJ27"/>
    <mergeCell ref="AE28:AG28"/>
    <mergeCell ref="AH28:AJ28"/>
    <mergeCell ref="AE29:AG29"/>
    <mergeCell ref="AH29:AJ29"/>
    <mergeCell ref="AE30:AG30"/>
    <mergeCell ref="AH30:AJ30"/>
    <mergeCell ref="AE31:AG31"/>
    <mergeCell ref="AH31:AJ31"/>
    <mergeCell ref="AE32:AG32"/>
    <mergeCell ref="AH32:AJ32"/>
    <mergeCell ref="AE33:AG33"/>
    <mergeCell ref="AH33:AJ33"/>
    <mergeCell ref="AE34:AG34"/>
    <mergeCell ref="AH34:AJ3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Roman,보통"&amp;12&amp;A</oddHeader>
    <oddFooter>&amp;C&amp;"Times New Roman,보통"&amp;12페이지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11.640625" defaultRowHeight="12.8" customHeight="true" zeroHeight="false" outlineLevelRow="0" outlineLevelCol="0"/>
  <sheetData>
    <row r="1" customFormat="false" ht="12.8" hidden="false" customHeight="false" outlineLevel="0" collapsed="false">
      <c r="A1" s="0" t="s">
        <v>781</v>
      </c>
      <c r="B1" s="0" t="s">
        <v>957</v>
      </c>
      <c r="C1" s="0" t="n">
        <v>1</v>
      </c>
      <c r="D1" s="0" t="str">
        <f aca="false">IF(C1=0,B1,"")</f>
        <v/>
      </c>
      <c r="E1" s="0" t="str">
        <f aca="false">IF(C1=0,A1,"")</f>
        <v/>
      </c>
    </row>
    <row r="2" customFormat="false" ht="12.8" hidden="false" customHeight="false" outlineLevel="0" collapsed="false">
      <c r="A2" s="0" t="s">
        <v>799</v>
      </c>
      <c r="B2" s="0" t="s">
        <v>1775</v>
      </c>
      <c r="C2" s="0" t="n">
        <v>1</v>
      </c>
      <c r="D2" s="0" t="str">
        <f aca="false">IF(C2=0,B2,"")</f>
        <v/>
      </c>
      <c r="E2" s="0" t="str">
        <f aca="false">IF(C2=0,A2,"")</f>
        <v/>
      </c>
    </row>
    <row r="3" customFormat="false" ht="12.8" hidden="false" customHeight="false" outlineLevel="0" collapsed="false">
      <c r="A3" s="0" t="s">
        <v>802</v>
      </c>
      <c r="B3" s="0" t="s">
        <v>1778</v>
      </c>
      <c r="C3" s="0" t="n">
        <v>1</v>
      </c>
      <c r="D3" s="0" t="str">
        <f aca="false">IF(C3=0,B3,"")</f>
        <v/>
      </c>
      <c r="E3" s="0" t="str">
        <f aca="false">IF(C3=0,A3,"")</f>
        <v/>
      </c>
    </row>
    <row r="4" customFormat="false" ht="12.8" hidden="false" customHeight="false" outlineLevel="0" collapsed="false">
      <c r="A4" s="0" t="s">
        <v>805</v>
      </c>
      <c r="B4" s="0" t="s">
        <v>1786</v>
      </c>
      <c r="C4" s="0" t="n">
        <v>1</v>
      </c>
      <c r="D4" s="0" t="str">
        <f aca="false">IF(C4=0,B4,"")</f>
        <v/>
      </c>
      <c r="E4" s="0" t="str">
        <f aca="false">IF(C4=0,A4,"")</f>
        <v/>
      </c>
    </row>
    <row r="5" customFormat="false" ht="12.8" hidden="false" customHeight="false" outlineLevel="0" collapsed="false">
      <c r="A5" s="0" t="s">
        <v>828</v>
      </c>
      <c r="B5" s="0" t="s">
        <v>1780</v>
      </c>
      <c r="C5" s="0" t="n">
        <v>1</v>
      </c>
      <c r="D5" s="0" t="str">
        <f aca="false">IF(C5=0,B5,"")</f>
        <v/>
      </c>
      <c r="E5" s="0" t="str">
        <f aca="false">IF(C5=0,A5,"")</f>
        <v/>
      </c>
    </row>
    <row r="6" customFormat="false" ht="12.8" hidden="false" customHeight="false" outlineLevel="0" collapsed="false">
      <c r="A6" s="0" t="s">
        <v>831</v>
      </c>
      <c r="B6" s="0" t="s">
        <v>1780</v>
      </c>
      <c r="C6" s="0" t="n">
        <v>1</v>
      </c>
      <c r="D6" s="0" t="str">
        <f aca="false">IF(C6=0,B6,"")</f>
        <v/>
      </c>
      <c r="E6" s="0" t="str">
        <f aca="false">IF(C6=0,A6,"")</f>
        <v/>
      </c>
    </row>
    <row r="7" customFormat="false" ht="12.8" hidden="false" customHeight="false" outlineLevel="0" collapsed="false">
      <c r="A7" s="0" t="s">
        <v>834</v>
      </c>
      <c r="B7" s="0" t="s">
        <v>1780</v>
      </c>
      <c r="C7" s="0" t="n">
        <v>1</v>
      </c>
      <c r="D7" s="0" t="str">
        <f aca="false">IF(C7=0,B7,"")</f>
        <v/>
      </c>
      <c r="E7" s="0" t="str">
        <f aca="false">IF(C7=0,A7,"")</f>
        <v/>
      </c>
    </row>
    <row r="8" customFormat="false" ht="12.8" hidden="false" customHeight="false" outlineLevel="0" collapsed="false">
      <c r="A8" s="0" t="s">
        <v>837</v>
      </c>
      <c r="B8" s="0" t="s">
        <v>1784</v>
      </c>
      <c r="C8" s="0" t="n">
        <v>1</v>
      </c>
      <c r="D8" s="0" t="str">
        <f aca="false">IF(C8=0,B8,"")</f>
        <v/>
      </c>
      <c r="E8" s="0" t="str">
        <f aca="false">IF(C8=0,A8,"")</f>
        <v/>
      </c>
    </row>
    <row r="9" customFormat="false" ht="12.8" hidden="false" customHeight="false" outlineLevel="0" collapsed="false">
      <c r="A9" s="0" t="s">
        <v>842</v>
      </c>
      <c r="B9" s="0" t="s">
        <v>1785</v>
      </c>
      <c r="C9" s="0" t="n">
        <v>1</v>
      </c>
      <c r="D9" s="0" t="str">
        <f aca="false">IF(C9=0,B9,"")</f>
        <v/>
      </c>
      <c r="E9" s="0" t="str">
        <f aca="false">IF(C9=0,A9,"")</f>
        <v/>
      </c>
    </row>
    <row r="10" customFormat="false" ht="12.8" hidden="false" customHeight="false" outlineLevel="0" collapsed="false">
      <c r="A10" s="0" t="s">
        <v>847</v>
      </c>
      <c r="B10" s="0" t="s">
        <v>1785</v>
      </c>
      <c r="C10" s="0" t="n">
        <v>1</v>
      </c>
      <c r="D10" s="0" t="str">
        <f aca="false">IF(C10=0,B10,"")</f>
        <v/>
      </c>
      <c r="E10" s="0" t="str">
        <f aca="false">IF(C10=0,A10,"")</f>
        <v/>
      </c>
    </row>
    <row r="11" customFormat="false" ht="12.8" hidden="false" customHeight="false" outlineLevel="0" collapsed="false">
      <c r="A11" s="0" t="s">
        <v>851</v>
      </c>
      <c r="B11" s="0" t="s">
        <v>1786</v>
      </c>
      <c r="C11" s="0" t="n">
        <v>1</v>
      </c>
      <c r="D11" s="0" t="str">
        <f aca="false">IF(C11=0,B11,"")</f>
        <v/>
      </c>
      <c r="E11" s="0" t="str">
        <f aca="false">IF(C11=0,A11,"")</f>
        <v/>
      </c>
    </row>
    <row r="12" customFormat="false" ht="12.8" hidden="false" customHeight="false" outlineLevel="0" collapsed="false">
      <c r="A12" s="0" t="s">
        <v>856</v>
      </c>
      <c r="B12" s="0" t="s">
        <v>1786</v>
      </c>
      <c r="C12" s="0" t="n">
        <v>1</v>
      </c>
      <c r="D12" s="0" t="str">
        <f aca="false">IF(C12=0,B12,"")</f>
        <v/>
      </c>
      <c r="E12" s="0" t="str">
        <f aca="false">IF(C12=0,A12,"")</f>
        <v/>
      </c>
    </row>
    <row r="13" customFormat="false" ht="12.8" hidden="false" customHeight="false" outlineLevel="0" collapsed="false">
      <c r="A13" s="0" t="s">
        <v>861</v>
      </c>
      <c r="B13" s="0" t="s">
        <v>1787</v>
      </c>
      <c r="C13" s="0" t="n">
        <v>1</v>
      </c>
      <c r="D13" s="0" t="str">
        <f aca="false">IF(C13=0,B13,"")</f>
        <v/>
      </c>
      <c r="E13" s="0" t="str">
        <f aca="false">IF(C13=0,A13,"")</f>
        <v/>
      </c>
    </row>
    <row r="14" customFormat="false" ht="12.8" hidden="false" customHeight="false" outlineLevel="0" collapsed="false">
      <c r="A14" s="0" t="s">
        <v>864</v>
      </c>
      <c r="B14" s="0" t="s">
        <v>1786</v>
      </c>
      <c r="C14" s="0" t="n">
        <v>1</v>
      </c>
      <c r="D14" s="0" t="str">
        <f aca="false">IF(C14=0,B14,"")</f>
        <v/>
      </c>
      <c r="E14" s="0" t="str">
        <f aca="false">IF(C14=0,A14,"")</f>
        <v/>
      </c>
    </row>
    <row r="15" customFormat="false" ht="12.8" hidden="false" customHeight="false" outlineLevel="0" collapsed="false">
      <c r="A15" s="0" t="s">
        <v>868</v>
      </c>
      <c r="B15" s="0" t="s">
        <v>1786</v>
      </c>
      <c r="C15" s="0" t="n">
        <v>1</v>
      </c>
      <c r="D15" s="0" t="str">
        <f aca="false">IF(C15=0,B15,"")</f>
        <v/>
      </c>
      <c r="E15" s="0" t="str">
        <f aca="false">IF(C15=0,A15,"")</f>
        <v/>
      </c>
    </row>
    <row r="16" customFormat="false" ht="12.8" hidden="false" customHeight="false" outlineLevel="0" collapsed="false">
      <c r="A16" s="0" t="s">
        <v>870</v>
      </c>
      <c r="B16" s="0" t="s">
        <v>1786</v>
      </c>
      <c r="C16" s="0" t="n">
        <v>1</v>
      </c>
      <c r="D16" s="0" t="str">
        <f aca="false">IF(C16=0,B16,"")</f>
        <v/>
      </c>
      <c r="E16" s="0" t="str">
        <f aca="false">IF(C16=0,A16,"")</f>
        <v/>
      </c>
    </row>
    <row r="17" customFormat="false" ht="12.8" hidden="false" customHeight="false" outlineLevel="0" collapsed="false">
      <c r="A17" s="0" t="s">
        <v>873</v>
      </c>
      <c r="B17" s="0" t="s">
        <v>1785</v>
      </c>
      <c r="C17" s="0" t="n">
        <v>1</v>
      </c>
      <c r="D17" s="0" t="str">
        <f aca="false">IF(C17=0,B17,"")</f>
        <v/>
      </c>
      <c r="E17" s="0" t="str">
        <f aca="false">IF(C17=0,A17,"")</f>
        <v/>
      </c>
    </row>
    <row r="18" customFormat="false" ht="12.8" hidden="false" customHeight="false" outlineLevel="0" collapsed="false">
      <c r="A18" s="0" t="s">
        <v>878</v>
      </c>
      <c r="B18" s="0" t="s">
        <v>1786</v>
      </c>
      <c r="C18" s="0" t="n">
        <v>1</v>
      </c>
      <c r="D18" s="0" t="str">
        <f aca="false">IF(C18=0,B18,"")</f>
        <v/>
      </c>
      <c r="E18" s="0" t="str">
        <f aca="false">IF(C18=0,A18,"")</f>
        <v/>
      </c>
    </row>
    <row r="19" customFormat="false" ht="12.8" hidden="false" customHeight="false" outlineLevel="0" collapsed="false">
      <c r="A19" s="0" t="s">
        <v>882</v>
      </c>
      <c r="B19" s="0" t="s">
        <v>1039</v>
      </c>
      <c r="C19" s="0" t="n">
        <v>1</v>
      </c>
      <c r="D19" s="0" t="str">
        <f aca="false">IF(C19=0,B19,"")</f>
        <v/>
      </c>
      <c r="E19" s="0" t="str">
        <f aca="false">IF(C19=0,A19,"")</f>
        <v/>
      </c>
    </row>
    <row r="20" customFormat="false" ht="12.8" hidden="false" customHeight="false" outlineLevel="0" collapsed="false">
      <c r="A20" s="0" t="s">
        <v>885</v>
      </c>
      <c r="B20" s="0" t="s">
        <v>1790</v>
      </c>
      <c r="C20" s="0" t="n">
        <v>1</v>
      </c>
      <c r="D20" s="0" t="str">
        <f aca="false">IF(C20=0,B20,"")</f>
        <v/>
      </c>
      <c r="E20" s="0" t="str">
        <f aca="false">IF(C20=0,A20,"")</f>
        <v/>
      </c>
    </row>
    <row r="21" customFormat="false" ht="12.8" hidden="false" customHeight="false" outlineLevel="0" collapsed="false">
      <c r="A21" s="0" t="s">
        <v>887</v>
      </c>
      <c r="B21" s="0" t="s">
        <v>1791</v>
      </c>
      <c r="C21" s="0" t="n">
        <v>1</v>
      </c>
      <c r="D21" s="0" t="str">
        <f aca="false">IF(C21=0,B21,"")</f>
        <v/>
      </c>
      <c r="E21" s="0" t="str">
        <f aca="false">IF(C21=0,A21,"")</f>
        <v/>
      </c>
    </row>
    <row r="22" customFormat="false" ht="12.8" hidden="false" customHeight="false" outlineLevel="0" collapsed="false">
      <c r="A22" s="0" t="s">
        <v>889</v>
      </c>
      <c r="B22" s="0" t="s">
        <v>1792</v>
      </c>
      <c r="C22" s="0" t="n">
        <v>1</v>
      </c>
      <c r="D22" s="0" t="str">
        <f aca="false">IF(C22=0,B22,"")</f>
        <v/>
      </c>
      <c r="E22" s="0" t="str">
        <f aca="false">IF(C22=0,A22,"")</f>
        <v/>
      </c>
    </row>
    <row r="23" customFormat="false" ht="12.8" hidden="false" customHeight="false" outlineLevel="0" collapsed="false">
      <c r="A23" s="0" t="s">
        <v>890</v>
      </c>
      <c r="B23" s="0" t="s">
        <v>1793</v>
      </c>
      <c r="C23" s="0" t="n">
        <v>1</v>
      </c>
      <c r="D23" s="0" t="str">
        <f aca="false">IF(C23=0,B23,"")</f>
        <v/>
      </c>
      <c r="E23" s="0" t="str">
        <f aca="false">IF(C23=0,A23,"")</f>
        <v/>
      </c>
    </row>
    <row r="24" customFormat="false" ht="12.8" hidden="false" customHeight="false" outlineLevel="0" collapsed="false">
      <c r="A24" s="0" t="s">
        <v>893</v>
      </c>
      <c r="B24" s="0" t="s">
        <v>1794</v>
      </c>
      <c r="C24" s="0" t="n">
        <v>1</v>
      </c>
      <c r="D24" s="0" t="str">
        <f aca="false">IF(C24=0,B24,"")</f>
        <v/>
      </c>
      <c r="E24" s="0" t="str">
        <f aca="false">IF(C24=0,A24,"")</f>
        <v/>
      </c>
    </row>
    <row r="25" customFormat="false" ht="12.8" hidden="false" customHeight="false" outlineLevel="0" collapsed="false">
      <c r="A25" s="0" t="s">
        <v>894</v>
      </c>
      <c r="B25" s="0" t="s">
        <v>1795</v>
      </c>
      <c r="C25" s="0" t="n">
        <v>1</v>
      </c>
      <c r="D25" s="0" t="str">
        <f aca="false">IF(C25=0,B25,"")</f>
        <v/>
      </c>
      <c r="E25" s="0" t="str">
        <f aca="false">IF(C25=0,A25,"")</f>
        <v/>
      </c>
    </row>
    <row r="26" customFormat="false" ht="12.8" hidden="false" customHeight="false" outlineLevel="0" collapsed="false">
      <c r="A26" s="0" t="s">
        <v>895</v>
      </c>
      <c r="B26" s="0" t="s">
        <v>1795</v>
      </c>
      <c r="C26" s="0" t="n">
        <v>1</v>
      </c>
      <c r="D26" s="0" t="str">
        <f aca="false">IF(C26=0,B26,"")</f>
        <v/>
      </c>
      <c r="E26" s="0" t="str">
        <f aca="false">IF(C26=0,A26,"")</f>
        <v/>
      </c>
    </row>
    <row r="27" customFormat="false" ht="12.8" hidden="false" customHeight="false" outlineLevel="0" collapsed="false">
      <c r="A27" s="0" t="s">
        <v>896</v>
      </c>
      <c r="B27" s="0" t="s">
        <v>1797</v>
      </c>
      <c r="C27" s="0" t="n">
        <v>1</v>
      </c>
      <c r="D27" s="0" t="str">
        <f aca="false">IF(C27=0,B27,"")</f>
        <v/>
      </c>
      <c r="E27" s="0" t="str">
        <f aca="false">IF(C27=0,A27,"")</f>
        <v/>
      </c>
    </row>
    <row r="28" customFormat="false" ht="12.8" hidden="false" customHeight="false" outlineLevel="0" collapsed="false">
      <c r="A28" s="0" t="s">
        <v>898</v>
      </c>
      <c r="B28" s="0" t="s">
        <v>993</v>
      </c>
      <c r="C28" s="0" t="n">
        <v>1</v>
      </c>
      <c r="D28" s="0" t="str">
        <f aca="false">IF(C28=0,B28,"")</f>
        <v/>
      </c>
      <c r="E28" s="0" t="str">
        <f aca="false">IF(C28=0,A28,"")</f>
        <v/>
      </c>
    </row>
    <row r="29" customFormat="false" ht="12.8" hidden="false" customHeight="false" outlineLevel="0" collapsed="false">
      <c r="A29" s="0" t="s">
        <v>899</v>
      </c>
      <c r="B29" s="0" t="s">
        <v>1800</v>
      </c>
      <c r="C29" s="0" t="n">
        <v>1</v>
      </c>
      <c r="D29" s="0" t="str">
        <f aca="false">IF(C29=0,B29,"")</f>
        <v/>
      </c>
      <c r="E29" s="0" t="str">
        <f aca="false">IF(C29=0,A29,"")</f>
        <v/>
      </c>
    </row>
    <row r="30" customFormat="false" ht="12.8" hidden="false" customHeight="false" outlineLevel="0" collapsed="false">
      <c r="A30" s="0" t="s">
        <v>902</v>
      </c>
      <c r="B30" s="0" t="s">
        <v>1801</v>
      </c>
      <c r="C30" s="0" t="n">
        <v>1</v>
      </c>
      <c r="D30" s="0" t="str">
        <f aca="false">IF(C30=0,B30,"")</f>
        <v/>
      </c>
      <c r="E30" s="0" t="str">
        <f aca="false">IF(C30=0,A30,"")</f>
        <v/>
      </c>
    </row>
    <row r="31" customFormat="false" ht="12.8" hidden="false" customHeight="false" outlineLevel="0" collapsed="false">
      <c r="A31" s="0" t="s">
        <v>904</v>
      </c>
      <c r="B31" s="0" t="s">
        <v>3248</v>
      </c>
      <c r="C31" s="0" t="n">
        <v>0</v>
      </c>
      <c r="D31" s="0" t="str">
        <f aca="false">IF(C31=0,B31,"")</f>
        <v>뱔</v>
      </c>
      <c r="E31" s="0" t="str">
        <f aca="false">IF(C31=0,A31,"")</f>
        <v>걀</v>
      </c>
    </row>
    <row r="32" customFormat="false" ht="12.8" hidden="false" customHeight="false" outlineLevel="0" collapsed="false">
      <c r="A32" s="0" t="s">
        <v>905</v>
      </c>
      <c r="B32" s="0" t="s">
        <v>3249</v>
      </c>
      <c r="C32" s="0" t="n">
        <v>0</v>
      </c>
      <c r="D32" s="0" t="str">
        <f aca="false">IF(C32=0,B32,"")</f>
        <v>뱟</v>
      </c>
      <c r="E32" s="0" t="str">
        <f aca="false">IF(C32=0,A32,"")</f>
        <v>걋</v>
      </c>
    </row>
    <row r="33" customFormat="false" ht="12.8" hidden="false" customHeight="false" outlineLevel="0" collapsed="false">
      <c r="A33" s="0" t="s">
        <v>906</v>
      </c>
      <c r="B33" s="0" t="s">
        <v>3250</v>
      </c>
      <c r="C33" s="0" t="n">
        <v>0</v>
      </c>
      <c r="D33" s="0" t="str">
        <f aca="false">IF(C33=0,B33,"")</f>
        <v>뱡</v>
      </c>
      <c r="E33" s="0" t="str">
        <f aca="false">IF(C33=0,A33,"")</f>
        <v>걍</v>
      </c>
    </row>
    <row r="34" customFormat="false" ht="12.8" hidden="false" customHeight="false" outlineLevel="0" collapsed="false">
      <c r="A34" s="0" t="s">
        <v>908</v>
      </c>
      <c r="B34" s="0" t="s">
        <v>1019</v>
      </c>
      <c r="C34" s="0" t="n">
        <v>1</v>
      </c>
      <c r="D34" s="0" t="str">
        <f aca="false">IF(C34=0,B34,"")</f>
        <v/>
      </c>
      <c r="E34" s="0" t="str">
        <f aca="false">IF(C34=0,A34,"")</f>
        <v/>
      </c>
    </row>
    <row r="35" customFormat="false" ht="12.8" hidden="false" customHeight="false" outlineLevel="0" collapsed="false">
      <c r="A35" s="0" t="s">
        <v>910</v>
      </c>
      <c r="B35" s="0" t="s">
        <v>3251</v>
      </c>
      <c r="C35" s="0" t="n">
        <v>0</v>
      </c>
      <c r="D35" s="0" t="str">
        <f aca="false">IF(C35=0,B35,"")</f>
        <v>뱬</v>
      </c>
      <c r="E35" s="0" t="str">
        <f aca="false">IF(C35=0,A35,"")</f>
        <v>걘</v>
      </c>
    </row>
    <row r="36" customFormat="false" ht="12.8" hidden="false" customHeight="false" outlineLevel="0" collapsed="false">
      <c r="A36" s="0" t="s">
        <v>912</v>
      </c>
      <c r="B36" s="0" t="s">
        <v>3252</v>
      </c>
      <c r="C36" s="0" t="n">
        <v>0</v>
      </c>
      <c r="D36" s="0" t="str">
        <f aca="false">IF(C36=0,B36,"")</f>
        <v>뱰</v>
      </c>
      <c r="E36" s="0" t="str">
        <f aca="false">IF(C36=0,A36,"")</f>
        <v>걜</v>
      </c>
    </row>
    <row r="37" customFormat="false" ht="12.8" hidden="false" customHeight="false" outlineLevel="0" collapsed="false">
      <c r="A37" s="0" t="s">
        <v>914</v>
      </c>
      <c r="B37" s="0" t="s">
        <v>998</v>
      </c>
      <c r="C37" s="0" t="n">
        <v>1</v>
      </c>
      <c r="D37" s="0" t="str">
        <f aca="false">IF(C37=0,B37,"")</f>
        <v/>
      </c>
      <c r="E37" s="0" t="str">
        <f aca="false">IF(C37=0,A37,"")</f>
        <v/>
      </c>
    </row>
    <row r="38" customFormat="false" ht="12.8" hidden="false" customHeight="false" outlineLevel="0" collapsed="false">
      <c r="A38" s="0" t="s">
        <v>916</v>
      </c>
      <c r="B38" s="0" t="s">
        <v>1804</v>
      </c>
      <c r="C38" s="0" t="n">
        <v>1</v>
      </c>
      <c r="D38" s="0" t="str">
        <f aca="false">IF(C38=0,B38,"")</f>
        <v/>
      </c>
      <c r="E38" s="0" t="str">
        <f aca="false">IF(C38=0,A38,"")</f>
        <v/>
      </c>
    </row>
    <row r="39" customFormat="false" ht="12.8" hidden="false" customHeight="false" outlineLevel="0" collapsed="false">
      <c r="A39" s="0" t="s">
        <v>791</v>
      </c>
      <c r="B39" s="0" t="s">
        <v>1805</v>
      </c>
      <c r="C39" s="0" t="n">
        <v>1</v>
      </c>
      <c r="D39" s="0" t="str">
        <f aca="false">IF(C39=0,B39,"")</f>
        <v/>
      </c>
      <c r="E39" s="0" t="str">
        <f aca="false">IF(C39=0,A39,"")</f>
        <v/>
      </c>
    </row>
    <row r="40" customFormat="false" ht="12.8" hidden="false" customHeight="false" outlineLevel="0" collapsed="false">
      <c r="A40" s="0" t="s">
        <v>919</v>
      </c>
      <c r="B40" s="0" t="s">
        <v>1811</v>
      </c>
      <c r="C40" s="0" t="n">
        <v>1</v>
      </c>
      <c r="D40" s="0" t="str">
        <f aca="false">IF(C40=0,B40,"")</f>
        <v/>
      </c>
      <c r="E40" s="0" t="str">
        <f aca="false">IF(C40=0,A40,"")</f>
        <v/>
      </c>
    </row>
    <row r="41" customFormat="false" ht="12.8" hidden="false" customHeight="false" outlineLevel="0" collapsed="false">
      <c r="A41" s="0" t="s">
        <v>920</v>
      </c>
      <c r="B41" s="0" t="s">
        <v>1807</v>
      </c>
      <c r="C41" s="0" t="n">
        <v>1</v>
      </c>
      <c r="D41" s="0" t="str">
        <f aca="false">IF(C41=0,B41,"")</f>
        <v/>
      </c>
      <c r="E41" s="0" t="str">
        <f aca="false">IF(C41=0,A41,"")</f>
        <v/>
      </c>
    </row>
    <row r="42" customFormat="false" ht="12.8" hidden="false" customHeight="false" outlineLevel="0" collapsed="false">
      <c r="A42" s="0" t="s">
        <v>921</v>
      </c>
      <c r="B42" s="0" t="s">
        <v>1807</v>
      </c>
      <c r="C42" s="0" t="n">
        <v>1</v>
      </c>
      <c r="D42" s="0" t="str">
        <f aca="false">IF(C42=0,B42,"")</f>
        <v/>
      </c>
      <c r="E42" s="0" t="str">
        <f aca="false">IF(C42=0,A42,"")</f>
        <v/>
      </c>
    </row>
    <row r="43" customFormat="false" ht="12.8" hidden="false" customHeight="false" outlineLevel="0" collapsed="false">
      <c r="A43" s="0" t="s">
        <v>923</v>
      </c>
      <c r="B43" s="0" t="s">
        <v>1809</v>
      </c>
      <c r="C43" s="0" t="n">
        <v>1</v>
      </c>
      <c r="D43" s="0" t="str">
        <f aca="false">IF(C43=0,B43,"")</f>
        <v/>
      </c>
      <c r="E43" s="0" t="str">
        <f aca="false">IF(C43=0,A43,"")</f>
        <v/>
      </c>
    </row>
    <row r="44" customFormat="false" ht="12.8" hidden="false" customHeight="false" outlineLevel="0" collapsed="false">
      <c r="A44" s="0" t="s">
        <v>924</v>
      </c>
      <c r="B44" s="0" t="s">
        <v>1810</v>
      </c>
      <c r="C44" s="0" t="n">
        <v>1</v>
      </c>
      <c r="D44" s="0" t="str">
        <f aca="false">IF(C44=0,B44,"")</f>
        <v/>
      </c>
      <c r="E44" s="0" t="str">
        <f aca="false">IF(C44=0,A44,"")</f>
        <v/>
      </c>
    </row>
    <row r="45" customFormat="false" ht="12.8" hidden="false" customHeight="false" outlineLevel="0" collapsed="false">
      <c r="A45" s="0" t="s">
        <v>925</v>
      </c>
      <c r="B45" s="0" t="s">
        <v>1811</v>
      </c>
      <c r="C45" s="0" t="n">
        <v>1</v>
      </c>
      <c r="D45" s="0" t="str">
        <f aca="false">IF(C45=0,B45,"")</f>
        <v/>
      </c>
      <c r="E45" s="0" t="str">
        <f aca="false">IF(C45=0,A45,"")</f>
        <v/>
      </c>
    </row>
    <row r="46" customFormat="false" ht="12.8" hidden="false" customHeight="false" outlineLevel="0" collapsed="false">
      <c r="A46" s="0" t="s">
        <v>926</v>
      </c>
      <c r="B46" s="0" t="s">
        <v>1811</v>
      </c>
      <c r="C46" s="0" t="n">
        <v>1</v>
      </c>
      <c r="D46" s="0" t="str">
        <f aca="false">IF(C46=0,B46,"")</f>
        <v/>
      </c>
      <c r="E46" s="0" t="str">
        <f aca="false">IF(C46=0,A46,"")</f>
        <v/>
      </c>
    </row>
    <row r="47" customFormat="false" ht="12.8" hidden="false" customHeight="false" outlineLevel="0" collapsed="false">
      <c r="A47" s="0" t="s">
        <v>927</v>
      </c>
      <c r="B47" s="0" t="s">
        <v>1812</v>
      </c>
      <c r="C47" s="0" t="n">
        <v>1</v>
      </c>
      <c r="D47" s="0" t="str">
        <f aca="false">IF(C47=0,B47,"")</f>
        <v/>
      </c>
      <c r="E47" s="0" t="str">
        <f aca="false">IF(C47=0,A47,"")</f>
        <v/>
      </c>
    </row>
    <row r="48" customFormat="false" ht="12.8" hidden="false" customHeight="false" outlineLevel="0" collapsed="false">
      <c r="A48" s="0" t="s">
        <v>928</v>
      </c>
      <c r="B48" s="0" t="s">
        <v>1811</v>
      </c>
      <c r="C48" s="0" t="n">
        <v>1</v>
      </c>
      <c r="D48" s="0" t="str">
        <f aca="false">IF(C48=0,B48,"")</f>
        <v/>
      </c>
      <c r="E48" s="0" t="str">
        <f aca="false">IF(C48=0,A48,"")</f>
        <v/>
      </c>
    </row>
    <row r="49" customFormat="false" ht="12.8" hidden="false" customHeight="false" outlineLevel="0" collapsed="false">
      <c r="A49" s="0" t="s">
        <v>929</v>
      </c>
      <c r="B49" s="0" t="s">
        <v>1811</v>
      </c>
      <c r="C49" s="0" t="n">
        <v>1</v>
      </c>
      <c r="D49" s="0" t="str">
        <f aca="false">IF(C49=0,B49,"")</f>
        <v/>
      </c>
      <c r="E49" s="0" t="str">
        <f aca="false">IF(C49=0,A49,"")</f>
        <v/>
      </c>
    </row>
    <row r="50" customFormat="false" ht="12.8" hidden="false" customHeight="false" outlineLevel="0" collapsed="false">
      <c r="A50" s="0" t="s">
        <v>930</v>
      </c>
      <c r="B50" s="0" t="s">
        <v>1810</v>
      </c>
      <c r="C50" s="0" t="n">
        <v>1</v>
      </c>
      <c r="D50" s="0" t="str">
        <f aca="false">IF(C50=0,B50,"")</f>
        <v/>
      </c>
      <c r="E50" s="0" t="str">
        <f aca="false">IF(C50=0,A50,"")</f>
        <v/>
      </c>
    </row>
    <row r="51" customFormat="false" ht="12.8" hidden="false" customHeight="false" outlineLevel="0" collapsed="false">
      <c r="A51" s="0" t="s">
        <v>931</v>
      </c>
      <c r="B51" s="0" t="s">
        <v>1811</v>
      </c>
      <c r="C51" s="0" t="n">
        <v>1</v>
      </c>
      <c r="D51" s="0" t="str">
        <f aca="false">IF(C51=0,B51,"")</f>
        <v/>
      </c>
      <c r="E51" s="0" t="str">
        <f aca="false">IF(C51=0,A51,"")</f>
        <v/>
      </c>
    </row>
    <row r="52" customFormat="false" ht="12.8" hidden="false" customHeight="false" outlineLevel="0" collapsed="false">
      <c r="A52" s="0" t="s">
        <v>932</v>
      </c>
      <c r="B52" s="0" t="s">
        <v>781</v>
      </c>
      <c r="C52" s="0" t="n">
        <v>1</v>
      </c>
      <c r="D52" s="0" t="str">
        <f aca="false">IF(C52=0,B52,"")</f>
        <v/>
      </c>
      <c r="E52" s="0" t="str">
        <f aca="false">IF(C52=0,A52,"")</f>
        <v/>
      </c>
    </row>
    <row r="53" customFormat="false" ht="12.8" hidden="false" customHeight="false" outlineLevel="0" collapsed="false">
      <c r="A53" s="0" t="s">
        <v>933</v>
      </c>
      <c r="B53" s="0" t="s">
        <v>1816</v>
      </c>
      <c r="C53" s="0" t="n">
        <v>1</v>
      </c>
      <c r="D53" s="0" t="str">
        <f aca="false">IF(C53=0,B53,"")</f>
        <v/>
      </c>
      <c r="E53" s="0" t="str">
        <f aca="false">IF(C53=0,A53,"")</f>
        <v/>
      </c>
    </row>
    <row r="54" customFormat="false" ht="12.8" hidden="false" customHeight="false" outlineLevel="0" collapsed="false">
      <c r="A54" s="0" t="s">
        <v>934</v>
      </c>
      <c r="B54" s="0" t="s">
        <v>1818</v>
      </c>
      <c r="C54" s="0" t="n">
        <v>1</v>
      </c>
      <c r="D54" s="0" t="str">
        <f aca="false">IF(C54=0,B54,"")</f>
        <v/>
      </c>
      <c r="E54" s="0" t="str">
        <f aca="false">IF(C54=0,A54,"")</f>
        <v/>
      </c>
    </row>
    <row r="55" customFormat="false" ht="12.8" hidden="false" customHeight="false" outlineLevel="0" collapsed="false">
      <c r="A55" s="0" t="s">
        <v>935</v>
      </c>
      <c r="B55" s="0" t="s">
        <v>1819</v>
      </c>
      <c r="C55" s="0" t="n">
        <v>1</v>
      </c>
      <c r="D55" s="0" t="str">
        <f aca="false">IF(C55=0,B55,"")</f>
        <v/>
      </c>
      <c r="E55" s="0" t="str">
        <f aca="false">IF(C55=0,A55,"")</f>
        <v/>
      </c>
    </row>
    <row r="56" customFormat="false" ht="12.8" hidden="false" customHeight="false" outlineLevel="0" collapsed="false">
      <c r="A56" s="0" t="s">
        <v>936</v>
      </c>
      <c r="B56" s="0" t="s">
        <v>1820</v>
      </c>
      <c r="C56" s="0" t="n">
        <v>1</v>
      </c>
      <c r="D56" s="0" t="str">
        <f aca="false">IF(C56=0,B56,"")</f>
        <v/>
      </c>
      <c r="E56" s="0" t="str">
        <f aca="false">IF(C56=0,A56,"")</f>
        <v/>
      </c>
    </row>
    <row r="57" customFormat="false" ht="12.8" hidden="false" customHeight="false" outlineLevel="0" collapsed="false">
      <c r="A57" s="0" t="s">
        <v>937</v>
      </c>
      <c r="B57" s="0" t="s">
        <v>1821</v>
      </c>
      <c r="C57" s="0" t="n">
        <v>1</v>
      </c>
      <c r="D57" s="0" t="str">
        <f aca="false">IF(C57=0,B57,"")</f>
        <v/>
      </c>
      <c r="E57" s="0" t="str">
        <f aca="false">IF(C57=0,A57,"")</f>
        <v/>
      </c>
    </row>
    <row r="58" customFormat="false" ht="12.8" hidden="false" customHeight="false" outlineLevel="0" collapsed="false">
      <c r="A58" s="0" t="s">
        <v>938</v>
      </c>
      <c r="B58" s="0" t="s">
        <v>1821</v>
      </c>
      <c r="C58" s="0" t="n">
        <v>1</v>
      </c>
      <c r="D58" s="0" t="str">
        <f aca="false">IF(C58=0,B58,"")</f>
        <v/>
      </c>
      <c r="E58" s="0" t="str">
        <f aca="false">IF(C58=0,A58,"")</f>
        <v/>
      </c>
    </row>
    <row r="59" customFormat="false" ht="12.8" hidden="false" customHeight="false" outlineLevel="0" collapsed="false">
      <c r="A59" s="0" t="s">
        <v>939</v>
      </c>
      <c r="B59" s="0" t="s">
        <v>1823</v>
      </c>
      <c r="C59" s="0" t="n">
        <v>1</v>
      </c>
      <c r="D59" s="0" t="str">
        <f aca="false">IF(C59=0,B59,"")</f>
        <v/>
      </c>
      <c r="E59" s="0" t="str">
        <f aca="false">IF(C59=0,A59,"")</f>
        <v/>
      </c>
    </row>
    <row r="60" customFormat="false" ht="12.8" hidden="false" customHeight="false" outlineLevel="0" collapsed="false">
      <c r="A60" s="0" t="s">
        <v>940</v>
      </c>
      <c r="B60" s="0" t="s">
        <v>1026</v>
      </c>
      <c r="C60" s="0" t="n">
        <v>1</v>
      </c>
      <c r="D60" s="0" t="str">
        <f aca="false">IF(C60=0,B60,"")</f>
        <v/>
      </c>
      <c r="E60" s="0" t="str">
        <f aca="false">IF(C60=0,A60,"")</f>
        <v/>
      </c>
    </row>
    <row r="61" customFormat="false" ht="12.8" hidden="false" customHeight="false" outlineLevel="0" collapsed="false">
      <c r="A61" s="0" t="s">
        <v>941</v>
      </c>
      <c r="B61" s="0" t="s">
        <v>1825</v>
      </c>
      <c r="C61" s="0" t="n">
        <v>1</v>
      </c>
      <c r="D61" s="0" t="str">
        <f aca="false">IF(C61=0,B61,"")</f>
        <v/>
      </c>
      <c r="E61" s="0" t="str">
        <f aca="false">IF(C61=0,A61,"")</f>
        <v/>
      </c>
    </row>
    <row r="62" customFormat="false" ht="12.8" hidden="false" customHeight="false" outlineLevel="0" collapsed="false">
      <c r="A62" s="0" t="s">
        <v>942</v>
      </c>
      <c r="B62" s="0" t="s">
        <v>1825</v>
      </c>
      <c r="C62" s="0" t="n">
        <v>1</v>
      </c>
      <c r="D62" s="0" t="str">
        <f aca="false">IF(C62=0,B62,"")</f>
        <v/>
      </c>
      <c r="E62" s="0" t="str">
        <f aca="false">IF(C62=0,A62,"")</f>
        <v/>
      </c>
    </row>
    <row r="63" customFormat="false" ht="12.8" hidden="false" customHeight="false" outlineLevel="0" collapsed="false">
      <c r="A63" s="0" t="s">
        <v>943</v>
      </c>
      <c r="B63" s="0" t="s">
        <v>1826</v>
      </c>
      <c r="C63" s="0" t="n">
        <v>1</v>
      </c>
      <c r="D63" s="0" t="str">
        <f aca="false">IF(C63=0,B63,"")</f>
        <v/>
      </c>
      <c r="E63" s="0" t="str">
        <f aca="false">IF(C63=0,A63,"")</f>
        <v/>
      </c>
    </row>
    <row r="64" customFormat="false" ht="12.8" hidden="false" customHeight="false" outlineLevel="0" collapsed="false">
      <c r="A64" s="0" t="s">
        <v>944</v>
      </c>
      <c r="B64" s="0" t="s">
        <v>1829</v>
      </c>
      <c r="C64" s="0" t="n">
        <v>1</v>
      </c>
      <c r="D64" s="0" t="str">
        <f aca="false">IF(C64=0,B64,"")</f>
        <v/>
      </c>
      <c r="E64" s="0" t="str">
        <f aca="false">IF(C64=0,A64,"")</f>
        <v/>
      </c>
    </row>
    <row r="65" customFormat="false" ht="12.8" hidden="false" customHeight="false" outlineLevel="0" collapsed="false">
      <c r="A65" s="0" t="s">
        <v>945</v>
      </c>
      <c r="B65" s="0" t="s">
        <v>1827</v>
      </c>
      <c r="C65" s="0" t="n">
        <v>1</v>
      </c>
      <c r="D65" s="0" t="str">
        <f aca="false">IF(C65=0,B65,"")</f>
        <v/>
      </c>
      <c r="E65" s="0" t="str">
        <f aca="false">IF(C65=0,A65,"")</f>
        <v/>
      </c>
    </row>
    <row r="66" customFormat="false" ht="12.8" hidden="false" customHeight="false" outlineLevel="0" collapsed="false">
      <c r="A66" s="0" t="s">
        <v>946</v>
      </c>
      <c r="B66" s="0" t="s">
        <v>3253</v>
      </c>
      <c r="C66" s="0" t="n">
        <v>0</v>
      </c>
      <c r="D66" s="0" t="str">
        <f aca="false">IF(C66=0,B66,"")</f>
        <v>볌</v>
      </c>
      <c r="E66" s="0" t="str">
        <f aca="false">IF(C66=0,A66,"")</f>
        <v>겸</v>
      </c>
    </row>
    <row r="67" customFormat="false" ht="12.8" hidden="false" customHeight="false" outlineLevel="0" collapsed="false">
      <c r="A67" s="0" t="s">
        <v>947</v>
      </c>
      <c r="B67" s="0" t="s">
        <v>1828</v>
      </c>
      <c r="C67" s="0" t="n">
        <v>1</v>
      </c>
      <c r="D67" s="0" t="str">
        <f aca="false">IF(C67=0,B67,"")</f>
        <v/>
      </c>
      <c r="E67" s="0" t="str">
        <f aca="false">IF(C67=0,A67,"")</f>
        <v/>
      </c>
    </row>
    <row r="68" customFormat="false" ht="12.8" hidden="false" customHeight="false" outlineLevel="0" collapsed="false">
      <c r="A68" s="0" t="s">
        <v>948</v>
      </c>
      <c r="B68" s="0" t="s">
        <v>1829</v>
      </c>
      <c r="C68" s="0" t="n">
        <v>1</v>
      </c>
      <c r="D68" s="0" t="str">
        <f aca="false">IF(C68=0,B68,"")</f>
        <v/>
      </c>
      <c r="E68" s="0" t="str">
        <f aca="false">IF(C68=0,A68,"")</f>
        <v/>
      </c>
    </row>
    <row r="69" customFormat="false" ht="12.8" hidden="false" customHeight="false" outlineLevel="0" collapsed="false">
      <c r="A69" s="0" t="s">
        <v>949</v>
      </c>
      <c r="B69" s="0" t="s">
        <v>1829</v>
      </c>
      <c r="C69" s="0" t="n">
        <v>1</v>
      </c>
      <c r="D69" s="0" t="str">
        <f aca="false">IF(C69=0,B69,"")</f>
        <v/>
      </c>
      <c r="E69" s="0" t="str">
        <f aca="false">IF(C69=0,A69,"")</f>
        <v/>
      </c>
    </row>
    <row r="70" customFormat="false" ht="12.8" hidden="false" customHeight="false" outlineLevel="0" collapsed="false">
      <c r="A70" s="0" t="s">
        <v>950</v>
      </c>
      <c r="B70" s="0" t="s">
        <v>1831</v>
      </c>
      <c r="C70" s="0" t="n">
        <v>1</v>
      </c>
      <c r="D70" s="0" t="str">
        <f aca="false">IF(C70=0,B70,"")</f>
        <v/>
      </c>
      <c r="E70" s="0" t="str">
        <f aca="false">IF(C70=0,A70,"")</f>
        <v/>
      </c>
    </row>
    <row r="71" customFormat="false" ht="12.8" hidden="false" customHeight="false" outlineLevel="0" collapsed="false">
      <c r="A71" s="0" t="s">
        <v>951</v>
      </c>
      <c r="B71" s="0" t="s">
        <v>1829</v>
      </c>
      <c r="C71" s="0" t="n">
        <v>1</v>
      </c>
      <c r="D71" s="0" t="str">
        <f aca="false">IF(C71=0,B71,"")</f>
        <v/>
      </c>
      <c r="E71" s="0" t="str">
        <f aca="false">IF(C71=0,A71,"")</f>
        <v/>
      </c>
    </row>
    <row r="72" customFormat="false" ht="12.8" hidden="false" customHeight="false" outlineLevel="0" collapsed="false">
      <c r="A72" s="0" t="s">
        <v>952</v>
      </c>
      <c r="B72" s="0" t="s">
        <v>985</v>
      </c>
      <c r="C72" s="0" t="n">
        <v>1</v>
      </c>
      <c r="D72" s="0" t="str">
        <f aca="false">IF(C72=0,B72,"")</f>
        <v/>
      </c>
      <c r="E72" s="0" t="str">
        <f aca="false">IF(C72=0,A72,"")</f>
        <v/>
      </c>
    </row>
    <row r="73" customFormat="false" ht="12.8" hidden="false" customHeight="false" outlineLevel="0" collapsed="false">
      <c r="A73" s="0" t="s">
        <v>953</v>
      </c>
      <c r="B73" s="0" t="s">
        <v>1834</v>
      </c>
      <c r="C73" s="0" t="n">
        <v>1</v>
      </c>
      <c r="D73" s="0" t="str">
        <f aca="false">IF(C73=0,B73,"")</f>
        <v/>
      </c>
      <c r="E73" s="0" t="str">
        <f aca="false">IF(C73=0,A73,"")</f>
        <v/>
      </c>
    </row>
    <row r="74" customFormat="false" ht="12.8" hidden="false" customHeight="false" outlineLevel="0" collapsed="false">
      <c r="A74" s="0" t="s">
        <v>954</v>
      </c>
      <c r="B74" s="0" t="s">
        <v>3254</v>
      </c>
      <c r="C74" s="0" t="n">
        <v>0</v>
      </c>
      <c r="D74" s="0" t="str">
        <f aca="false">IF(C74=0,B74,"")</f>
        <v>볠</v>
      </c>
      <c r="E74" s="0" t="str">
        <f aca="false">IF(C74=0,A74,"")</f>
        <v>곌</v>
      </c>
    </row>
    <row r="75" customFormat="false" ht="12.8" hidden="false" customHeight="false" outlineLevel="0" collapsed="false">
      <c r="A75" s="0" t="s">
        <v>955</v>
      </c>
      <c r="B75" s="0" t="s">
        <v>3255</v>
      </c>
      <c r="C75" s="0" t="n">
        <v>0</v>
      </c>
      <c r="D75" s="0" t="str">
        <f aca="false">IF(C75=0,B75,"")</f>
        <v>볩</v>
      </c>
      <c r="E75" s="0" t="str">
        <f aca="false">IF(C75=0,A75,"")</f>
        <v>곕</v>
      </c>
    </row>
    <row r="76" customFormat="false" ht="12.8" hidden="false" customHeight="false" outlineLevel="0" collapsed="false">
      <c r="A76" s="0" t="s">
        <v>956</v>
      </c>
      <c r="B76" s="0" t="s">
        <v>3256</v>
      </c>
      <c r="C76" s="0" t="n">
        <v>0</v>
      </c>
      <c r="D76" s="0" t="str">
        <f aca="false">IF(C76=0,B76,"")</f>
        <v>볫</v>
      </c>
      <c r="E76" s="0" t="str">
        <f aca="false">IF(C76=0,A76,"")</f>
        <v>곗</v>
      </c>
    </row>
    <row r="77" customFormat="false" ht="12.8" hidden="false" customHeight="false" outlineLevel="0" collapsed="false">
      <c r="A77" s="0" t="s">
        <v>957</v>
      </c>
      <c r="B77" s="0" t="s">
        <v>914</v>
      </c>
      <c r="C77" s="0" t="n">
        <v>1</v>
      </c>
      <c r="D77" s="0" t="str">
        <f aca="false">IF(C77=0,B77,"")</f>
        <v/>
      </c>
      <c r="E77" s="0" t="str">
        <f aca="false">IF(C77=0,A77,"")</f>
        <v/>
      </c>
    </row>
    <row r="78" customFormat="false" ht="12.8" hidden="false" customHeight="false" outlineLevel="0" collapsed="false">
      <c r="A78" s="0" t="s">
        <v>958</v>
      </c>
      <c r="B78" s="0" t="s">
        <v>1836</v>
      </c>
      <c r="C78" s="0" t="n">
        <v>1</v>
      </c>
      <c r="D78" s="0" t="str">
        <f aca="false">IF(C78=0,B78,"")</f>
        <v/>
      </c>
      <c r="E78" s="0" t="str">
        <f aca="false">IF(C78=0,A78,"")</f>
        <v/>
      </c>
    </row>
    <row r="79" customFormat="false" ht="12.8" hidden="false" customHeight="false" outlineLevel="0" collapsed="false">
      <c r="A79" s="0" t="s">
        <v>959</v>
      </c>
      <c r="B79" s="0" t="s">
        <v>1838</v>
      </c>
      <c r="C79" s="0" t="n">
        <v>1</v>
      </c>
      <c r="D79" s="0" t="str">
        <f aca="false">IF(C79=0,B79,"")</f>
        <v/>
      </c>
      <c r="E79" s="0" t="str">
        <f aca="false">IF(C79=0,A79,"")</f>
        <v/>
      </c>
    </row>
    <row r="80" customFormat="false" ht="12.8" hidden="false" customHeight="false" outlineLevel="0" collapsed="false">
      <c r="A80" s="0" t="s">
        <v>960</v>
      </c>
      <c r="B80" s="0" t="s">
        <v>1842</v>
      </c>
      <c r="C80" s="0" t="n">
        <v>1</v>
      </c>
      <c r="D80" s="0" t="str">
        <f aca="false">IF(C80=0,B80,"")</f>
        <v/>
      </c>
      <c r="E80" s="0" t="str">
        <f aca="false">IF(C80=0,A80,"")</f>
        <v/>
      </c>
    </row>
    <row r="81" customFormat="false" ht="12.8" hidden="false" customHeight="false" outlineLevel="0" collapsed="false">
      <c r="A81" s="0" t="s">
        <v>961</v>
      </c>
      <c r="B81" s="0" t="s">
        <v>1839</v>
      </c>
      <c r="C81" s="0" t="n">
        <v>1</v>
      </c>
      <c r="D81" s="0" t="str">
        <f aca="false">IF(C81=0,B81,"")</f>
        <v/>
      </c>
      <c r="E81" s="0" t="str">
        <f aca="false">IF(C81=0,A81,"")</f>
        <v/>
      </c>
    </row>
    <row r="82" customFormat="false" ht="12.8" hidden="false" customHeight="false" outlineLevel="0" collapsed="false">
      <c r="A82" s="0" t="s">
        <v>962</v>
      </c>
      <c r="B82" s="0" t="s">
        <v>1839</v>
      </c>
      <c r="C82" s="0" t="n">
        <v>1</v>
      </c>
      <c r="D82" s="0" t="str">
        <f aca="false">IF(C82=0,B82,"")</f>
        <v/>
      </c>
      <c r="E82" s="0" t="str">
        <f aca="false">IF(C82=0,A82,"")</f>
        <v/>
      </c>
    </row>
    <row r="83" customFormat="false" ht="12.8" hidden="false" customHeight="false" outlineLevel="0" collapsed="false">
      <c r="A83" s="0" t="s">
        <v>963</v>
      </c>
      <c r="B83" s="0" t="s">
        <v>1839</v>
      </c>
      <c r="C83" s="0" t="n">
        <v>1</v>
      </c>
      <c r="D83" s="0" t="str">
        <f aca="false">IF(C83=0,B83,"")</f>
        <v/>
      </c>
      <c r="E83" s="0" t="str">
        <f aca="false">IF(C83=0,A83,"")</f>
        <v/>
      </c>
    </row>
    <row r="84" customFormat="false" ht="12.8" hidden="false" customHeight="false" outlineLevel="0" collapsed="false">
      <c r="A84" s="0" t="s">
        <v>964</v>
      </c>
      <c r="B84" s="0" t="s">
        <v>1839</v>
      </c>
      <c r="C84" s="0" t="n">
        <v>1</v>
      </c>
      <c r="D84" s="0" t="str">
        <f aca="false">IF(C84=0,B84,"")</f>
        <v/>
      </c>
      <c r="E84" s="0" t="str">
        <f aca="false">IF(C84=0,A84,"")</f>
        <v/>
      </c>
    </row>
    <row r="85" customFormat="false" ht="12.8" hidden="false" customHeight="false" outlineLevel="0" collapsed="false">
      <c r="A85" s="0" t="s">
        <v>965</v>
      </c>
      <c r="B85" s="0" t="s">
        <v>1840</v>
      </c>
      <c r="C85" s="0" t="n">
        <v>1</v>
      </c>
      <c r="D85" s="0" t="str">
        <f aca="false">IF(C85=0,B85,"")</f>
        <v/>
      </c>
      <c r="E85" s="0" t="str">
        <f aca="false">IF(C85=0,A85,"")</f>
        <v/>
      </c>
    </row>
    <row r="86" customFormat="false" ht="12.8" hidden="false" customHeight="false" outlineLevel="0" collapsed="false">
      <c r="A86" s="0" t="s">
        <v>966</v>
      </c>
      <c r="B86" s="0" t="s">
        <v>1841</v>
      </c>
      <c r="C86" s="0" t="n">
        <v>1</v>
      </c>
      <c r="D86" s="0" t="str">
        <f aca="false">IF(C86=0,B86,"")</f>
        <v/>
      </c>
      <c r="E86" s="0" t="str">
        <f aca="false">IF(C86=0,A86,"")</f>
        <v/>
      </c>
    </row>
    <row r="87" customFormat="false" ht="12.8" hidden="false" customHeight="false" outlineLevel="0" collapsed="false">
      <c r="A87" s="0" t="s">
        <v>967</v>
      </c>
      <c r="B87" s="0" t="s">
        <v>1842</v>
      </c>
      <c r="C87" s="0" t="n">
        <v>1</v>
      </c>
      <c r="D87" s="0" t="str">
        <f aca="false">IF(C87=0,B87,"")</f>
        <v/>
      </c>
      <c r="E87" s="0" t="str">
        <f aca="false">IF(C87=0,A87,"")</f>
        <v/>
      </c>
    </row>
    <row r="88" customFormat="false" ht="12.8" hidden="false" customHeight="false" outlineLevel="0" collapsed="false">
      <c r="A88" s="0" t="s">
        <v>968</v>
      </c>
      <c r="B88" s="0" t="s">
        <v>1843</v>
      </c>
      <c r="C88" s="0" t="n">
        <v>1</v>
      </c>
      <c r="D88" s="0" t="str">
        <f aca="false">IF(C88=0,B88,"")</f>
        <v/>
      </c>
      <c r="E88" s="0" t="str">
        <f aca="false">IF(C88=0,A88,"")</f>
        <v/>
      </c>
    </row>
    <row r="89" customFormat="false" ht="12.8" hidden="false" customHeight="false" outlineLevel="0" collapsed="false">
      <c r="A89" s="0" t="s">
        <v>969</v>
      </c>
      <c r="B89" s="0" t="s">
        <v>1842</v>
      </c>
      <c r="C89" s="0" t="n">
        <v>1</v>
      </c>
      <c r="D89" s="0" t="str">
        <f aca="false">IF(C89=0,B89,"")</f>
        <v/>
      </c>
      <c r="E89" s="0" t="str">
        <f aca="false">IF(C89=0,A89,"")</f>
        <v/>
      </c>
    </row>
    <row r="90" customFormat="false" ht="12.8" hidden="false" customHeight="false" outlineLevel="0" collapsed="false">
      <c r="A90" s="0" t="s">
        <v>970</v>
      </c>
      <c r="B90" s="0" t="s">
        <v>952</v>
      </c>
      <c r="C90" s="0" t="n">
        <v>1</v>
      </c>
      <c r="D90" s="0" t="str">
        <f aca="false">IF(C90=0,B90,"")</f>
        <v/>
      </c>
      <c r="E90" s="0" t="str">
        <f aca="false">IF(C90=0,A90,"")</f>
        <v/>
      </c>
    </row>
    <row r="91" customFormat="false" ht="12.8" hidden="false" customHeight="false" outlineLevel="0" collapsed="false">
      <c r="A91" s="0" t="s">
        <v>971</v>
      </c>
      <c r="B91" s="0" t="s">
        <v>3257</v>
      </c>
      <c r="C91" s="0" t="n">
        <v>0</v>
      </c>
      <c r="D91" s="0" t="str">
        <f aca="false">IF(C91=0,B91,"")</f>
        <v>봑</v>
      </c>
      <c r="E91" s="0" t="str">
        <f aca="false">IF(C91=0,A91,"")</f>
        <v>곽</v>
      </c>
    </row>
    <row r="92" customFormat="false" ht="12.8" hidden="false" customHeight="false" outlineLevel="0" collapsed="false">
      <c r="A92" s="0" t="s">
        <v>972</v>
      </c>
      <c r="B92" s="0" t="s">
        <v>1845</v>
      </c>
      <c r="C92" s="0" t="n">
        <v>1</v>
      </c>
      <c r="D92" s="0" t="str">
        <f aca="false">IF(C92=0,B92,"")</f>
        <v/>
      </c>
      <c r="E92" s="0" t="str">
        <f aca="false">IF(C92=0,A92,"")</f>
        <v/>
      </c>
    </row>
    <row r="93" customFormat="false" ht="12.8" hidden="false" customHeight="false" outlineLevel="0" collapsed="false">
      <c r="A93" s="0" t="s">
        <v>973</v>
      </c>
      <c r="B93" s="0" t="s">
        <v>3258</v>
      </c>
      <c r="C93" s="0" t="n">
        <v>0</v>
      </c>
      <c r="D93" s="0" t="str">
        <f aca="false">IF(C93=0,B93,"")</f>
        <v>봘</v>
      </c>
      <c r="E93" s="0" t="str">
        <f aca="false">IF(C93=0,A93,"")</f>
        <v>괄</v>
      </c>
    </row>
    <row r="94" customFormat="false" ht="12.8" hidden="false" customHeight="false" outlineLevel="0" collapsed="false">
      <c r="A94" s="0" t="s">
        <v>974</v>
      </c>
      <c r="B94" s="0" t="s">
        <v>3258</v>
      </c>
      <c r="C94" s="0" t="n">
        <v>0</v>
      </c>
      <c r="D94" s="0" t="str">
        <f aca="false">IF(C94=0,B94,"")</f>
        <v>봘</v>
      </c>
      <c r="E94" s="0" t="str">
        <f aca="false">IF(C94=0,A94,"")</f>
        <v>괆</v>
      </c>
    </row>
    <row r="95" customFormat="false" ht="12.8" hidden="false" customHeight="false" outlineLevel="0" collapsed="false">
      <c r="A95" s="0" t="s">
        <v>975</v>
      </c>
      <c r="B95" s="0" t="s">
        <v>3259</v>
      </c>
      <c r="C95" s="0" t="n">
        <v>0</v>
      </c>
      <c r="D95" s="0" t="str">
        <f aca="false">IF(C95=0,B95,"")</f>
        <v>봠</v>
      </c>
      <c r="E95" s="0" t="str">
        <f aca="false">IF(C95=0,A95,"")</f>
        <v>괌</v>
      </c>
    </row>
    <row r="96" customFormat="false" ht="12.8" hidden="false" customHeight="false" outlineLevel="0" collapsed="false">
      <c r="A96" s="0" t="s">
        <v>976</v>
      </c>
      <c r="B96" s="0" t="s">
        <v>3260</v>
      </c>
      <c r="C96" s="0" t="n">
        <v>0</v>
      </c>
      <c r="D96" s="0" t="str">
        <f aca="false">IF(C96=0,B96,"")</f>
        <v>봡</v>
      </c>
      <c r="E96" s="0" t="str">
        <f aca="false">IF(C96=0,A96,"")</f>
        <v>괍</v>
      </c>
    </row>
    <row r="97" customFormat="false" ht="12.8" hidden="false" customHeight="false" outlineLevel="0" collapsed="false">
      <c r="A97" s="0" t="s">
        <v>977</v>
      </c>
      <c r="B97" s="0" t="s">
        <v>3261</v>
      </c>
      <c r="C97" s="0" t="n">
        <v>0</v>
      </c>
      <c r="D97" s="0" t="str">
        <f aca="false">IF(C97=0,B97,"")</f>
        <v>봣</v>
      </c>
      <c r="E97" s="0" t="str">
        <f aca="false">IF(C97=0,A97,"")</f>
        <v>괏</v>
      </c>
    </row>
    <row r="98" customFormat="false" ht="12.8" hidden="false" customHeight="false" outlineLevel="0" collapsed="false">
      <c r="A98" s="0" t="s">
        <v>978</v>
      </c>
      <c r="B98" s="0" t="s">
        <v>3262</v>
      </c>
      <c r="C98" s="0" t="n">
        <v>0</v>
      </c>
      <c r="D98" s="0" t="str">
        <f aca="false">IF(C98=0,B98,"")</f>
        <v>봥</v>
      </c>
      <c r="E98" s="0" t="str">
        <f aca="false">IF(C98=0,A98,"")</f>
        <v>광</v>
      </c>
    </row>
    <row r="99" customFormat="false" ht="12.8" hidden="false" customHeight="false" outlineLevel="0" collapsed="false">
      <c r="A99" s="0" t="s">
        <v>979</v>
      </c>
      <c r="B99" s="0" t="s">
        <v>908</v>
      </c>
      <c r="C99" s="0" t="n">
        <v>1</v>
      </c>
      <c r="D99" s="0" t="str">
        <f aca="false">IF(C99=0,B99,"")</f>
        <v/>
      </c>
      <c r="E99" s="0" t="str">
        <f aca="false">IF(C99=0,A99,"")</f>
        <v/>
      </c>
    </row>
    <row r="100" customFormat="false" ht="12.8" hidden="false" customHeight="false" outlineLevel="0" collapsed="false">
      <c r="A100" s="0" t="s">
        <v>980</v>
      </c>
      <c r="B100" s="0" t="s">
        <v>3263</v>
      </c>
      <c r="C100" s="0" t="n">
        <v>0</v>
      </c>
      <c r="D100" s="0" t="str">
        <f aca="false">IF(C100=0,B100,"")</f>
        <v>봰</v>
      </c>
      <c r="E100" s="0" t="str">
        <f aca="false">IF(C100=0,A100,"")</f>
        <v>괜</v>
      </c>
    </row>
    <row r="101" customFormat="false" ht="12.8" hidden="false" customHeight="false" outlineLevel="0" collapsed="false">
      <c r="A101" s="0" t="s">
        <v>981</v>
      </c>
      <c r="B101" s="0" t="s">
        <v>3264</v>
      </c>
      <c r="C101" s="0" t="n">
        <v>0</v>
      </c>
      <c r="D101" s="0" t="str">
        <f aca="false">IF(C101=0,B101,"")</f>
        <v>봴</v>
      </c>
      <c r="E101" s="0" t="str">
        <f aca="false">IF(C101=0,A101,"")</f>
        <v>괠</v>
      </c>
    </row>
    <row r="102" customFormat="false" ht="12.8" hidden="false" customHeight="false" outlineLevel="0" collapsed="false">
      <c r="A102" s="0" t="s">
        <v>982</v>
      </c>
      <c r="B102" s="0" t="s">
        <v>3265</v>
      </c>
      <c r="C102" s="0" t="n">
        <v>0</v>
      </c>
      <c r="D102" s="0" t="str">
        <f aca="false">IF(C102=0,B102,"")</f>
        <v>봽</v>
      </c>
      <c r="E102" s="0" t="str">
        <f aca="false">IF(C102=0,A102,"")</f>
        <v>괩</v>
      </c>
    </row>
    <row r="103" customFormat="false" ht="12.8" hidden="false" customHeight="false" outlineLevel="0" collapsed="false">
      <c r="A103" s="0" t="s">
        <v>983</v>
      </c>
      <c r="B103" s="0" t="s">
        <v>3266</v>
      </c>
      <c r="C103" s="0" t="n">
        <v>0</v>
      </c>
      <c r="D103" s="0" t="str">
        <f aca="false">IF(C103=0,B103,"")</f>
        <v>봿</v>
      </c>
      <c r="E103" s="0" t="str">
        <f aca="false">IF(C103=0,A103,"")</f>
        <v>괬</v>
      </c>
    </row>
    <row r="104" customFormat="false" ht="12.8" hidden="false" customHeight="false" outlineLevel="0" collapsed="false">
      <c r="A104" s="0" t="s">
        <v>984</v>
      </c>
      <c r="B104" s="0" t="s">
        <v>3267</v>
      </c>
      <c r="C104" s="0" t="n">
        <v>0</v>
      </c>
      <c r="D104" s="0" t="str">
        <f aca="false">IF(C104=0,B104,"")</f>
        <v>뵁</v>
      </c>
      <c r="E104" s="0" t="str">
        <f aca="false">IF(C104=0,A104,"")</f>
        <v>괭</v>
      </c>
    </row>
    <row r="105" customFormat="false" ht="12.8" hidden="false" customHeight="false" outlineLevel="0" collapsed="false">
      <c r="A105" s="0" t="s">
        <v>985</v>
      </c>
      <c r="B105" s="0" t="s">
        <v>1011</v>
      </c>
      <c r="C105" s="0" t="n">
        <v>1</v>
      </c>
      <c r="D105" s="0" t="str">
        <f aca="false">IF(C105=0,B105,"")</f>
        <v/>
      </c>
      <c r="E105" s="0" t="str">
        <f aca="false">IF(C105=0,A105,"")</f>
        <v/>
      </c>
    </row>
    <row r="106" customFormat="false" ht="12.8" hidden="false" customHeight="false" outlineLevel="0" collapsed="false">
      <c r="A106" s="0" t="s">
        <v>986</v>
      </c>
      <c r="B106" s="0" t="s">
        <v>1850</v>
      </c>
      <c r="C106" s="0" t="n">
        <v>1</v>
      </c>
      <c r="D106" s="0" t="str">
        <f aca="false">IF(C106=0,B106,"")</f>
        <v/>
      </c>
      <c r="E106" s="0" t="str">
        <f aca="false">IF(C106=0,A106,"")</f>
        <v/>
      </c>
    </row>
    <row r="107" customFormat="false" ht="12.8" hidden="false" customHeight="false" outlineLevel="0" collapsed="false">
      <c r="A107" s="0" t="s">
        <v>987</v>
      </c>
      <c r="B107" s="0" t="s">
        <v>1851</v>
      </c>
      <c r="C107" s="0" t="n">
        <v>1</v>
      </c>
      <c r="D107" s="0" t="str">
        <f aca="false">IF(C107=0,B107,"")</f>
        <v/>
      </c>
      <c r="E107" s="0" t="str">
        <f aca="false">IF(C107=0,A107,"")</f>
        <v/>
      </c>
    </row>
    <row r="108" customFormat="false" ht="12.8" hidden="false" customHeight="false" outlineLevel="0" collapsed="false">
      <c r="A108" s="0" t="s">
        <v>988</v>
      </c>
      <c r="B108" s="0" t="s">
        <v>1852</v>
      </c>
      <c r="C108" s="0" t="n">
        <v>1</v>
      </c>
      <c r="D108" s="0" t="str">
        <f aca="false">IF(C108=0,B108,"")</f>
        <v/>
      </c>
      <c r="E108" s="0" t="str">
        <f aca="false">IF(C108=0,A108,"")</f>
        <v/>
      </c>
    </row>
    <row r="109" customFormat="false" ht="12.8" hidden="false" customHeight="false" outlineLevel="0" collapsed="false">
      <c r="A109" s="0" t="s">
        <v>989</v>
      </c>
      <c r="B109" s="0" t="s">
        <v>1853</v>
      </c>
      <c r="C109" s="0" t="n">
        <v>1</v>
      </c>
      <c r="D109" s="0" t="str">
        <f aca="false">IF(C109=0,B109,"")</f>
        <v/>
      </c>
      <c r="E109" s="0" t="str">
        <f aca="false">IF(C109=0,A109,"")</f>
        <v/>
      </c>
    </row>
    <row r="110" customFormat="false" ht="12.8" hidden="false" customHeight="false" outlineLevel="0" collapsed="false">
      <c r="A110" s="0" t="s">
        <v>990</v>
      </c>
      <c r="B110" s="0" t="s">
        <v>1854</v>
      </c>
      <c r="C110" s="0" t="n">
        <v>1</v>
      </c>
      <c r="D110" s="0" t="str">
        <f aca="false">IF(C110=0,B110,"")</f>
        <v/>
      </c>
      <c r="E110" s="0" t="str">
        <f aca="false">IF(C110=0,A110,"")</f>
        <v/>
      </c>
    </row>
    <row r="111" customFormat="false" ht="12.8" hidden="false" customHeight="false" outlineLevel="0" collapsed="false">
      <c r="A111" s="0" t="s">
        <v>991</v>
      </c>
      <c r="B111" s="0" t="s">
        <v>3268</v>
      </c>
      <c r="C111" s="0" t="n">
        <v>0</v>
      </c>
      <c r="D111" s="0" t="str">
        <f aca="false">IF(C111=0,B111,"")</f>
        <v>뵛</v>
      </c>
      <c r="E111" s="0" t="str">
        <f aca="false">IF(C111=0,A111,"")</f>
        <v>굇</v>
      </c>
    </row>
    <row r="112" customFormat="false" ht="12.8" hidden="false" customHeight="false" outlineLevel="0" collapsed="false">
      <c r="A112" s="0" t="s">
        <v>992</v>
      </c>
      <c r="B112" s="0" t="s">
        <v>3269</v>
      </c>
      <c r="C112" s="0" t="n">
        <v>0</v>
      </c>
      <c r="D112" s="0" t="str">
        <f aca="false">IF(C112=0,B112,"")</f>
        <v>뵝</v>
      </c>
      <c r="E112" s="0" t="str">
        <f aca="false">IF(C112=0,A112,"")</f>
        <v>굉</v>
      </c>
    </row>
    <row r="113" customFormat="false" ht="12.8" hidden="false" customHeight="false" outlineLevel="0" collapsed="false">
      <c r="A113" s="0" t="s">
        <v>993</v>
      </c>
      <c r="B113" s="0" t="s">
        <v>940</v>
      </c>
      <c r="C113" s="0" t="n">
        <v>1</v>
      </c>
      <c r="D113" s="0" t="str">
        <f aca="false">IF(C113=0,B113,"")</f>
        <v/>
      </c>
      <c r="E113" s="0" t="str">
        <f aca="false">IF(C113=0,A113,"")</f>
        <v/>
      </c>
    </row>
    <row r="114" customFormat="false" ht="12.8" hidden="false" customHeight="false" outlineLevel="0" collapsed="false">
      <c r="A114" s="0" t="s">
        <v>994</v>
      </c>
      <c r="B114" s="0" t="s">
        <v>1856</v>
      </c>
      <c r="C114" s="0" t="n">
        <v>1</v>
      </c>
      <c r="D114" s="0" t="str">
        <f aca="false">IF(C114=0,B114,"")</f>
        <v/>
      </c>
      <c r="E114" s="0" t="str">
        <f aca="false">IF(C114=0,A114,"")</f>
        <v/>
      </c>
    </row>
    <row r="115" customFormat="false" ht="12.8" hidden="false" customHeight="false" outlineLevel="0" collapsed="false">
      <c r="A115" s="0" t="s">
        <v>995</v>
      </c>
      <c r="B115" s="0" t="s">
        <v>3270</v>
      </c>
      <c r="C115" s="0" t="n">
        <v>0</v>
      </c>
      <c r="D115" s="0" t="str">
        <f aca="false">IF(C115=0,B115,"")</f>
        <v>뵬</v>
      </c>
      <c r="E115" s="0" t="str">
        <f aca="false">IF(C115=0,A115,"")</f>
        <v>굘</v>
      </c>
    </row>
    <row r="116" customFormat="false" ht="12.8" hidden="false" customHeight="false" outlineLevel="0" collapsed="false">
      <c r="A116" s="0" t="s">
        <v>996</v>
      </c>
      <c r="B116" s="0" t="s">
        <v>3271</v>
      </c>
      <c r="C116" s="0" t="n">
        <v>0</v>
      </c>
      <c r="D116" s="0" t="str">
        <f aca="false">IF(C116=0,B116,"")</f>
        <v>뵵</v>
      </c>
      <c r="E116" s="0" t="str">
        <f aca="false">IF(C116=0,A116,"")</f>
        <v>굡</v>
      </c>
    </row>
    <row r="117" customFormat="false" ht="12.8" hidden="false" customHeight="false" outlineLevel="0" collapsed="false">
      <c r="A117" s="0" t="s">
        <v>997</v>
      </c>
      <c r="B117" s="0" t="s">
        <v>3272</v>
      </c>
      <c r="C117" s="0" t="n">
        <v>0</v>
      </c>
      <c r="D117" s="0" t="str">
        <f aca="false">IF(C117=0,B117,"")</f>
        <v>뵷</v>
      </c>
      <c r="E117" s="0" t="str">
        <f aca="false">IF(C117=0,A117,"")</f>
        <v>굣</v>
      </c>
    </row>
    <row r="118" customFormat="false" ht="12.8" hidden="false" customHeight="false" outlineLevel="0" collapsed="false">
      <c r="A118" s="0" t="s">
        <v>998</v>
      </c>
      <c r="B118" s="0" t="s">
        <v>932</v>
      </c>
      <c r="C118" s="0" t="n">
        <v>1</v>
      </c>
      <c r="D118" s="0" t="str">
        <f aca="false">IF(C118=0,B118,"")</f>
        <v/>
      </c>
      <c r="E118" s="0" t="str">
        <f aca="false">IF(C118=0,A118,"")</f>
        <v/>
      </c>
    </row>
    <row r="119" customFormat="false" ht="12.8" hidden="false" customHeight="false" outlineLevel="0" collapsed="false">
      <c r="A119" s="0" t="s">
        <v>999</v>
      </c>
      <c r="B119" s="0" t="s">
        <v>1858</v>
      </c>
      <c r="C119" s="0" t="n">
        <v>1</v>
      </c>
      <c r="D119" s="0" t="str">
        <f aca="false">IF(C119=0,B119,"")</f>
        <v/>
      </c>
      <c r="E119" s="0" t="str">
        <f aca="false">IF(C119=0,A119,"")</f>
        <v/>
      </c>
    </row>
    <row r="120" customFormat="false" ht="12.8" hidden="false" customHeight="false" outlineLevel="0" collapsed="false">
      <c r="A120" s="0" t="s">
        <v>1000</v>
      </c>
      <c r="B120" s="0" t="s">
        <v>1859</v>
      </c>
      <c r="C120" s="0" t="n">
        <v>1</v>
      </c>
      <c r="D120" s="0" t="str">
        <f aca="false">IF(C120=0,B120,"")</f>
        <v/>
      </c>
      <c r="E120" s="0" t="str">
        <f aca="false">IF(C120=0,A120,"")</f>
        <v/>
      </c>
    </row>
    <row r="121" customFormat="false" ht="12.8" hidden="false" customHeight="false" outlineLevel="0" collapsed="false">
      <c r="A121" s="0" t="s">
        <v>1001</v>
      </c>
      <c r="B121" s="0" t="s">
        <v>1866</v>
      </c>
      <c r="C121" s="0" t="n">
        <v>1</v>
      </c>
      <c r="D121" s="0" t="str">
        <f aca="false">IF(C121=0,B121,"")</f>
        <v/>
      </c>
      <c r="E121" s="0" t="str">
        <f aca="false">IF(C121=0,A121,"")</f>
        <v/>
      </c>
    </row>
    <row r="122" customFormat="false" ht="12.8" hidden="false" customHeight="false" outlineLevel="0" collapsed="false">
      <c r="A122" s="0" t="s">
        <v>1002</v>
      </c>
      <c r="B122" s="0" t="s">
        <v>1861</v>
      </c>
      <c r="C122" s="0" t="n">
        <v>1</v>
      </c>
      <c r="D122" s="0" t="str">
        <f aca="false">IF(C122=0,B122,"")</f>
        <v/>
      </c>
      <c r="E122" s="0" t="str">
        <f aca="false">IF(C122=0,A122,"")</f>
        <v/>
      </c>
    </row>
    <row r="123" customFormat="false" ht="12.8" hidden="false" customHeight="false" outlineLevel="0" collapsed="false">
      <c r="A123" s="0" t="s">
        <v>1003</v>
      </c>
      <c r="B123" s="0" t="s">
        <v>1861</v>
      </c>
      <c r="C123" s="0" t="n">
        <v>1</v>
      </c>
      <c r="D123" s="0" t="str">
        <f aca="false">IF(C123=0,B123,"")</f>
        <v/>
      </c>
      <c r="E123" s="0" t="str">
        <f aca="false">IF(C123=0,A123,"")</f>
        <v/>
      </c>
    </row>
    <row r="124" customFormat="false" ht="12.8" hidden="false" customHeight="false" outlineLevel="0" collapsed="false">
      <c r="A124" s="0" t="s">
        <v>1004</v>
      </c>
      <c r="B124" s="0" t="s">
        <v>1861</v>
      </c>
      <c r="C124" s="0" t="n">
        <v>1</v>
      </c>
      <c r="D124" s="0" t="str">
        <f aca="false">IF(C124=0,B124,"")</f>
        <v/>
      </c>
      <c r="E124" s="0" t="str">
        <f aca="false">IF(C124=0,A124,"")</f>
        <v/>
      </c>
    </row>
    <row r="125" customFormat="false" ht="12.8" hidden="false" customHeight="false" outlineLevel="0" collapsed="false">
      <c r="A125" s="0" t="s">
        <v>1005</v>
      </c>
      <c r="B125" s="0" t="s">
        <v>1861</v>
      </c>
      <c r="C125" s="0" t="n">
        <v>1</v>
      </c>
      <c r="D125" s="0" t="str">
        <f aca="false">IF(C125=0,B125,"")</f>
        <v/>
      </c>
      <c r="E125" s="0" t="str">
        <f aca="false">IF(C125=0,A125,"")</f>
        <v/>
      </c>
    </row>
    <row r="126" customFormat="false" ht="12.8" hidden="false" customHeight="false" outlineLevel="0" collapsed="false">
      <c r="A126" s="0" t="s">
        <v>1006</v>
      </c>
      <c r="B126" s="0" t="s">
        <v>1864</v>
      </c>
      <c r="C126" s="0" t="n">
        <v>1</v>
      </c>
      <c r="D126" s="0" t="str">
        <f aca="false">IF(C126=0,B126,"")</f>
        <v/>
      </c>
      <c r="E126" s="0" t="str">
        <f aca="false">IF(C126=0,A126,"")</f>
        <v/>
      </c>
    </row>
    <row r="127" customFormat="false" ht="12.8" hidden="false" customHeight="false" outlineLevel="0" collapsed="false">
      <c r="A127" s="0" t="s">
        <v>1007</v>
      </c>
      <c r="B127" s="0" t="s">
        <v>1865</v>
      </c>
      <c r="C127" s="0" t="n">
        <v>1</v>
      </c>
      <c r="D127" s="0" t="str">
        <f aca="false">IF(C127=0,B127,"")</f>
        <v/>
      </c>
      <c r="E127" s="0" t="str">
        <f aca="false">IF(C127=0,A127,"")</f>
        <v/>
      </c>
    </row>
    <row r="128" customFormat="false" ht="12.8" hidden="false" customHeight="false" outlineLevel="0" collapsed="false">
      <c r="A128" s="0" t="s">
        <v>1008</v>
      </c>
      <c r="B128" s="0" t="s">
        <v>1866</v>
      </c>
      <c r="C128" s="0" t="n">
        <v>1</v>
      </c>
      <c r="D128" s="0" t="str">
        <f aca="false">IF(C128=0,B128,"")</f>
        <v/>
      </c>
      <c r="E128" s="0" t="str">
        <f aca="false">IF(C128=0,A128,"")</f>
        <v/>
      </c>
    </row>
    <row r="129" customFormat="false" ht="12.8" hidden="false" customHeight="false" outlineLevel="0" collapsed="false">
      <c r="A129" s="0" t="s">
        <v>1009</v>
      </c>
      <c r="B129" s="0" t="s">
        <v>1867</v>
      </c>
      <c r="C129" s="0" t="n">
        <v>1</v>
      </c>
      <c r="D129" s="0" t="str">
        <f aca="false">IF(C129=0,B129,"")</f>
        <v/>
      </c>
      <c r="E129" s="0" t="str">
        <f aca="false">IF(C129=0,A129,"")</f>
        <v/>
      </c>
    </row>
    <row r="130" customFormat="false" ht="12.8" hidden="false" customHeight="false" outlineLevel="0" collapsed="false">
      <c r="A130" s="0" t="s">
        <v>1010</v>
      </c>
      <c r="B130" s="0" t="s">
        <v>1866</v>
      </c>
      <c r="C130" s="0" t="n">
        <v>1</v>
      </c>
      <c r="D130" s="0" t="str">
        <f aca="false">IF(C130=0,B130,"")</f>
        <v/>
      </c>
      <c r="E130" s="0" t="str">
        <f aca="false">IF(C130=0,A130,"")</f>
        <v/>
      </c>
    </row>
    <row r="131" customFormat="false" ht="12.8" hidden="false" customHeight="false" outlineLevel="0" collapsed="false">
      <c r="A131" s="0" t="s">
        <v>1011</v>
      </c>
      <c r="B131" s="0" t="s">
        <v>970</v>
      </c>
      <c r="C131" s="0" t="n">
        <v>1</v>
      </c>
      <c r="D131" s="0" t="str">
        <f aca="false">IF(C131=0,B131,"")</f>
        <v/>
      </c>
      <c r="E131" s="0" t="str">
        <f aca="false">IF(C131=0,A131,"")</f>
        <v/>
      </c>
    </row>
    <row r="132" customFormat="false" ht="12.8" hidden="false" customHeight="false" outlineLevel="0" collapsed="false">
      <c r="A132" s="0" t="s">
        <v>1012</v>
      </c>
      <c r="B132" s="0" t="s">
        <v>3273</v>
      </c>
      <c r="C132" s="0" t="n">
        <v>0</v>
      </c>
      <c r="D132" s="0" t="str">
        <f aca="false">IF(C132=0,B132,"")</f>
        <v>붝</v>
      </c>
      <c r="E132" s="0" t="str">
        <f aca="false">IF(C132=0,A132,"")</f>
        <v>궉</v>
      </c>
    </row>
    <row r="133" customFormat="false" ht="12.8" hidden="false" customHeight="false" outlineLevel="0" collapsed="false">
      <c r="A133" s="0" t="s">
        <v>1013</v>
      </c>
      <c r="B133" s="0" t="s">
        <v>3274</v>
      </c>
      <c r="C133" s="0" t="n">
        <v>0</v>
      </c>
      <c r="D133" s="0" t="str">
        <f aca="false">IF(C133=0,B133,"")</f>
        <v>붠</v>
      </c>
      <c r="E133" s="0" t="str">
        <f aca="false">IF(C133=0,A133,"")</f>
        <v>권</v>
      </c>
    </row>
    <row r="134" customFormat="false" ht="12.8" hidden="false" customHeight="false" outlineLevel="0" collapsed="false">
      <c r="A134" s="0" t="s">
        <v>1014</v>
      </c>
      <c r="B134" s="0" t="s">
        <v>1871</v>
      </c>
      <c r="C134" s="0" t="n">
        <v>1</v>
      </c>
      <c r="D134" s="0" t="str">
        <f aca="false">IF(C134=0,B134,"")</f>
        <v/>
      </c>
      <c r="E134" s="0" t="str">
        <f aca="false">IF(C134=0,A134,"")</f>
        <v/>
      </c>
    </row>
    <row r="135" customFormat="false" ht="12.8" hidden="false" customHeight="false" outlineLevel="0" collapsed="false">
      <c r="A135" s="0" t="s">
        <v>1015</v>
      </c>
      <c r="B135" s="0" t="s">
        <v>3275</v>
      </c>
      <c r="C135" s="0" t="n">
        <v>0</v>
      </c>
      <c r="D135" s="0" t="str">
        <f aca="false">IF(C135=0,B135,"")</f>
        <v>붯</v>
      </c>
      <c r="E135" s="0" t="str">
        <f aca="false">IF(C135=0,A135,"")</f>
        <v>궜</v>
      </c>
    </row>
    <row r="136" customFormat="false" ht="12.8" hidden="false" customHeight="false" outlineLevel="0" collapsed="false">
      <c r="A136" s="0" t="s">
        <v>1016</v>
      </c>
      <c r="B136" s="0" t="s">
        <v>3276</v>
      </c>
      <c r="C136" s="0" t="n">
        <v>0</v>
      </c>
      <c r="D136" s="0" t="str">
        <f aca="false">IF(C136=0,B136,"")</f>
        <v>붱</v>
      </c>
      <c r="E136" s="0" t="str">
        <f aca="false">IF(C136=0,A136,"")</f>
        <v>궝</v>
      </c>
    </row>
    <row r="137" customFormat="false" ht="12.8" hidden="false" customHeight="false" outlineLevel="0" collapsed="false">
      <c r="A137" s="0" t="s">
        <v>1017</v>
      </c>
      <c r="B137" s="0" t="s">
        <v>979</v>
      </c>
      <c r="C137" s="0" t="n">
        <v>1</v>
      </c>
      <c r="D137" s="0" t="str">
        <f aca="false">IF(C137=0,B137,"")</f>
        <v/>
      </c>
      <c r="E137" s="0" t="str">
        <f aca="false">IF(C137=0,A137,"")</f>
        <v/>
      </c>
    </row>
    <row r="138" customFormat="false" ht="12.8" hidden="false" customHeight="false" outlineLevel="0" collapsed="false">
      <c r="A138" s="0" t="s">
        <v>1018</v>
      </c>
      <c r="B138" s="0" t="s">
        <v>3277</v>
      </c>
      <c r="C138" s="0" t="n">
        <v>0</v>
      </c>
      <c r="D138" s="0" t="str">
        <f aca="false">IF(C138=0,B138,"")</f>
        <v>뷋</v>
      </c>
      <c r="E138" s="0" t="str">
        <f aca="false">IF(C138=0,A138,"")</f>
        <v>궷</v>
      </c>
    </row>
    <row r="139" customFormat="false" ht="12.8" hidden="false" customHeight="false" outlineLevel="0" collapsed="false">
      <c r="A139" s="0" t="s">
        <v>1019</v>
      </c>
      <c r="B139" s="0" t="s">
        <v>1017</v>
      </c>
      <c r="C139" s="0" t="n">
        <v>1</v>
      </c>
      <c r="D139" s="0" t="str">
        <f aca="false">IF(C139=0,B139,"")</f>
        <v/>
      </c>
      <c r="E139" s="0" t="str">
        <f aca="false">IF(C139=0,A139,"")</f>
        <v/>
      </c>
    </row>
    <row r="140" customFormat="false" ht="12.8" hidden="false" customHeight="false" outlineLevel="0" collapsed="false">
      <c r="A140" s="0" t="s">
        <v>1020</v>
      </c>
      <c r="B140" s="0" t="s">
        <v>1875</v>
      </c>
      <c r="C140" s="0" t="n">
        <v>1</v>
      </c>
      <c r="D140" s="0" t="str">
        <f aca="false">IF(C140=0,B140,"")</f>
        <v/>
      </c>
      <c r="E140" s="0" t="str">
        <f aca="false">IF(C140=0,A140,"")</f>
        <v/>
      </c>
    </row>
    <row r="141" customFormat="false" ht="12.8" hidden="false" customHeight="false" outlineLevel="0" collapsed="false">
      <c r="A141" s="0" t="s">
        <v>1021</v>
      </c>
      <c r="B141" s="0" t="s">
        <v>1876</v>
      </c>
      <c r="C141" s="0" t="n">
        <v>1</v>
      </c>
      <c r="D141" s="0" t="str">
        <f aca="false">IF(C141=0,B141,"")</f>
        <v/>
      </c>
      <c r="E141" s="0" t="str">
        <f aca="false">IF(C141=0,A141,"")</f>
        <v/>
      </c>
    </row>
    <row r="142" customFormat="false" ht="12.8" hidden="false" customHeight="false" outlineLevel="0" collapsed="false">
      <c r="A142" s="0" t="s">
        <v>1022</v>
      </c>
      <c r="B142" s="0" t="s">
        <v>1877</v>
      </c>
      <c r="C142" s="0" t="n">
        <v>1</v>
      </c>
      <c r="D142" s="0" t="str">
        <f aca="false">IF(C142=0,B142,"")</f>
        <v/>
      </c>
      <c r="E142" s="0" t="str">
        <f aca="false">IF(C142=0,A142,"")</f>
        <v/>
      </c>
    </row>
    <row r="143" customFormat="false" ht="12.8" hidden="false" customHeight="false" outlineLevel="0" collapsed="false">
      <c r="A143" s="0" t="s">
        <v>1023</v>
      </c>
      <c r="B143" s="0" t="s">
        <v>3278</v>
      </c>
      <c r="C143" s="0" t="n">
        <v>0</v>
      </c>
      <c r="D143" s="0" t="str">
        <f aca="false">IF(C143=0,B143,"")</f>
        <v>뷤</v>
      </c>
      <c r="E143" s="0" t="str">
        <f aca="false">IF(C143=0,A143,"")</f>
        <v>귐</v>
      </c>
    </row>
    <row r="144" customFormat="false" ht="12.8" hidden="false" customHeight="false" outlineLevel="0" collapsed="false">
      <c r="A144" s="0" t="s">
        <v>1024</v>
      </c>
      <c r="B144" s="0" t="s">
        <v>3279</v>
      </c>
      <c r="C144" s="0" t="n">
        <v>0</v>
      </c>
      <c r="D144" s="0" t="str">
        <f aca="false">IF(C144=0,B144,"")</f>
        <v>뷥</v>
      </c>
      <c r="E144" s="0" t="str">
        <f aca="false">IF(C144=0,A144,"")</f>
        <v>귑</v>
      </c>
    </row>
    <row r="145" customFormat="false" ht="12.8" hidden="false" customHeight="false" outlineLevel="0" collapsed="false">
      <c r="A145" s="0" t="s">
        <v>1025</v>
      </c>
      <c r="B145" s="0" t="s">
        <v>3280</v>
      </c>
      <c r="C145" s="0" t="n">
        <v>0</v>
      </c>
      <c r="D145" s="0" t="str">
        <f aca="false">IF(C145=0,B145,"")</f>
        <v>뷧</v>
      </c>
      <c r="E145" s="0" t="str">
        <f aca="false">IF(C145=0,A145,"")</f>
        <v>귓</v>
      </c>
    </row>
    <row r="146" customFormat="false" ht="12.8" hidden="false" customHeight="false" outlineLevel="0" collapsed="false">
      <c r="A146" s="0" t="s">
        <v>1026</v>
      </c>
      <c r="B146" s="0" t="s">
        <v>882</v>
      </c>
      <c r="C146" s="0" t="n">
        <v>1</v>
      </c>
      <c r="D146" s="0" t="str">
        <f aca="false">IF(C146=0,B146,"")</f>
        <v/>
      </c>
      <c r="E146" s="0" t="str">
        <f aca="false">IF(C146=0,A146,"")</f>
        <v/>
      </c>
    </row>
    <row r="147" customFormat="false" ht="12.8" hidden="false" customHeight="false" outlineLevel="0" collapsed="false">
      <c r="A147" s="0" t="s">
        <v>1027</v>
      </c>
      <c r="B147" s="0" t="s">
        <v>1880</v>
      </c>
      <c r="C147" s="0" t="n">
        <v>1</v>
      </c>
      <c r="D147" s="0" t="str">
        <f aca="false">IF(C147=0,B147,"")</f>
        <v/>
      </c>
      <c r="E147" s="0" t="str">
        <f aca="false">IF(C147=0,A147,"")</f>
        <v/>
      </c>
    </row>
    <row r="148" customFormat="false" ht="12.8" hidden="false" customHeight="false" outlineLevel="0" collapsed="false">
      <c r="A148" s="0" t="s">
        <v>1028</v>
      </c>
      <c r="B148" s="0" t="s">
        <v>1881</v>
      </c>
      <c r="C148" s="0" t="n">
        <v>1</v>
      </c>
      <c r="D148" s="0" t="str">
        <f aca="false">IF(C148=0,B148,"")</f>
        <v/>
      </c>
      <c r="E148" s="0" t="str">
        <f aca="false">IF(C148=0,A148,"")</f>
        <v/>
      </c>
    </row>
    <row r="149" customFormat="false" ht="12.8" hidden="false" customHeight="false" outlineLevel="0" collapsed="false">
      <c r="A149" s="0" t="s">
        <v>1029</v>
      </c>
      <c r="B149" s="0" t="s">
        <v>898</v>
      </c>
      <c r="C149" s="0" t="n">
        <v>1</v>
      </c>
      <c r="D149" s="0" t="str">
        <f aca="false">IF(C149=0,B149,"")</f>
        <v/>
      </c>
      <c r="E149" s="0" t="str">
        <f aca="false">IF(C149=0,A149,"")</f>
        <v/>
      </c>
    </row>
    <row r="150" customFormat="false" ht="12.8" hidden="false" customHeight="false" outlineLevel="0" collapsed="false">
      <c r="A150" s="0" t="s">
        <v>1030</v>
      </c>
      <c r="B150" s="0" t="s">
        <v>1886</v>
      </c>
      <c r="C150" s="0" t="n">
        <v>1</v>
      </c>
      <c r="D150" s="0" t="str">
        <f aca="false">IF(C150=0,B150,"")</f>
        <v/>
      </c>
      <c r="E150" s="0" t="str">
        <f aca="false">IF(C150=0,A150,"")</f>
        <v/>
      </c>
    </row>
    <row r="151" customFormat="false" ht="12.8" hidden="false" customHeight="false" outlineLevel="0" collapsed="false">
      <c r="A151" s="0" t="s">
        <v>1031</v>
      </c>
      <c r="B151" s="0" t="s">
        <v>1887</v>
      </c>
      <c r="C151" s="0" t="n">
        <v>1</v>
      </c>
      <c r="D151" s="0" t="str">
        <f aca="false">IF(C151=0,B151,"")</f>
        <v/>
      </c>
      <c r="E151" s="0" t="str">
        <f aca="false">IF(C151=0,A151,"")</f>
        <v/>
      </c>
    </row>
    <row r="152" customFormat="false" ht="12.8" hidden="false" customHeight="false" outlineLevel="0" collapsed="false">
      <c r="A152" s="0" t="s">
        <v>1032</v>
      </c>
      <c r="B152" s="0" t="s">
        <v>1891</v>
      </c>
      <c r="C152" s="0" t="n">
        <v>1</v>
      </c>
      <c r="D152" s="0" t="str">
        <f aca="false">IF(C152=0,B152,"")</f>
        <v/>
      </c>
      <c r="E152" s="0" t="str">
        <f aca="false">IF(C152=0,A152,"")</f>
        <v/>
      </c>
    </row>
    <row r="153" customFormat="false" ht="12.8" hidden="false" customHeight="false" outlineLevel="0" collapsed="false">
      <c r="A153" s="0" t="s">
        <v>1033</v>
      </c>
      <c r="B153" s="0" t="s">
        <v>1888</v>
      </c>
      <c r="C153" s="0" t="n">
        <v>1</v>
      </c>
      <c r="D153" s="0" t="str">
        <f aca="false">IF(C153=0,B153,"")</f>
        <v/>
      </c>
      <c r="E153" s="0" t="str">
        <f aca="false">IF(C153=0,A153,"")</f>
        <v/>
      </c>
    </row>
    <row r="154" customFormat="false" ht="12.8" hidden="false" customHeight="false" outlineLevel="0" collapsed="false">
      <c r="A154" s="0" t="s">
        <v>1034</v>
      </c>
      <c r="B154" s="0" t="s">
        <v>1888</v>
      </c>
      <c r="C154" s="0" t="n">
        <v>1</v>
      </c>
      <c r="D154" s="0" t="str">
        <f aca="false">IF(C154=0,B154,"")</f>
        <v/>
      </c>
      <c r="E154" s="0" t="str">
        <f aca="false">IF(C154=0,A154,"")</f>
        <v/>
      </c>
    </row>
    <row r="155" customFormat="false" ht="12.8" hidden="false" customHeight="false" outlineLevel="0" collapsed="false">
      <c r="A155" s="0" t="s">
        <v>1035</v>
      </c>
      <c r="B155" s="0" t="s">
        <v>1889</v>
      </c>
      <c r="C155" s="0" t="n">
        <v>1</v>
      </c>
      <c r="D155" s="0" t="str">
        <f aca="false">IF(C155=0,B155,"")</f>
        <v/>
      </c>
      <c r="E155" s="0" t="str">
        <f aca="false">IF(C155=0,A155,"")</f>
        <v/>
      </c>
    </row>
    <row r="156" customFormat="false" ht="12.8" hidden="false" customHeight="false" outlineLevel="0" collapsed="false">
      <c r="A156" s="0" t="s">
        <v>1036</v>
      </c>
      <c r="B156" s="0" t="s">
        <v>1890</v>
      </c>
      <c r="C156" s="0" t="n">
        <v>1</v>
      </c>
      <c r="D156" s="0" t="str">
        <f aca="false">IF(C156=0,B156,"")</f>
        <v/>
      </c>
      <c r="E156" s="0" t="str">
        <f aca="false">IF(C156=0,A156,"")</f>
        <v/>
      </c>
    </row>
    <row r="157" customFormat="false" ht="12.8" hidden="false" customHeight="false" outlineLevel="0" collapsed="false">
      <c r="A157" s="0" t="s">
        <v>1037</v>
      </c>
      <c r="B157" s="0" t="s">
        <v>1891</v>
      </c>
      <c r="C157" s="0" t="n">
        <v>1</v>
      </c>
      <c r="D157" s="0" t="str">
        <f aca="false">IF(C157=0,B157,"")</f>
        <v/>
      </c>
      <c r="E157" s="0" t="str">
        <f aca="false">IF(C157=0,A157,"")</f>
        <v/>
      </c>
    </row>
    <row r="158" customFormat="false" ht="12.8" hidden="false" customHeight="false" outlineLevel="0" collapsed="false">
      <c r="A158" s="0" t="s">
        <v>1038</v>
      </c>
      <c r="B158" s="0" t="s">
        <v>3281</v>
      </c>
      <c r="C158" s="0" t="n">
        <v>0</v>
      </c>
      <c r="D158" s="0" t="str">
        <f aca="false">IF(C158=0,B158,"")</f>
        <v>븡</v>
      </c>
      <c r="E158" s="0" t="str">
        <f aca="false">IF(C158=0,A158,"")</f>
        <v>긍</v>
      </c>
    </row>
    <row r="159" customFormat="false" ht="12.8" hidden="false" customHeight="false" outlineLevel="0" collapsed="false">
      <c r="A159" s="0" t="s">
        <v>1039</v>
      </c>
      <c r="B159" s="0" t="s">
        <v>1040</v>
      </c>
      <c r="C159" s="0" t="n">
        <v>1</v>
      </c>
      <c r="D159" s="0" t="str">
        <f aca="false">IF(C159=0,B159,"")</f>
        <v/>
      </c>
      <c r="E159" s="0" t="str">
        <f aca="false">IF(C159=0,A159,"")</f>
        <v/>
      </c>
    </row>
    <row r="160" customFormat="false" ht="12.8" hidden="false" customHeight="false" outlineLevel="0" collapsed="false">
      <c r="A160" s="0" t="s">
        <v>1040</v>
      </c>
      <c r="B160" s="0" t="s">
        <v>1029</v>
      </c>
      <c r="C160" s="0" t="n">
        <v>1</v>
      </c>
      <c r="D160" s="0" t="str">
        <f aca="false">IF(C160=0,B160,"")</f>
        <v/>
      </c>
      <c r="E160" s="0" t="str">
        <f aca="false">IF(C160=0,A160,"")</f>
        <v/>
      </c>
    </row>
    <row r="161" customFormat="false" ht="12.8" hidden="false" customHeight="false" outlineLevel="0" collapsed="false">
      <c r="A161" s="0" t="s">
        <v>1041</v>
      </c>
      <c r="B161" s="0" t="s">
        <v>796</v>
      </c>
      <c r="C161" s="0" t="n">
        <v>1</v>
      </c>
      <c r="D161" s="0" t="str">
        <f aca="false">IF(C161=0,B161,"")</f>
        <v/>
      </c>
      <c r="E161" s="0" t="str">
        <f aca="false">IF(C161=0,A161,"")</f>
        <v/>
      </c>
    </row>
    <row r="162" customFormat="false" ht="12.8" hidden="false" customHeight="false" outlineLevel="0" collapsed="false">
      <c r="A162" s="0" t="s">
        <v>1042</v>
      </c>
      <c r="B162" s="0" t="s">
        <v>1893</v>
      </c>
      <c r="C162" s="0" t="n">
        <v>1</v>
      </c>
      <c r="D162" s="0" t="str">
        <f aca="false">IF(C162=0,B162,"")</f>
        <v/>
      </c>
      <c r="E162" s="0" t="str">
        <f aca="false">IF(C162=0,A162,"")</f>
        <v/>
      </c>
    </row>
    <row r="163" customFormat="false" ht="12.8" hidden="false" customHeight="false" outlineLevel="0" collapsed="false">
      <c r="A163" s="0" t="s">
        <v>1043</v>
      </c>
      <c r="B163" s="0" t="s">
        <v>1897</v>
      </c>
      <c r="C163" s="0" t="n">
        <v>1</v>
      </c>
      <c r="D163" s="0" t="str">
        <f aca="false">IF(C163=0,B163,"")</f>
        <v/>
      </c>
      <c r="E163" s="0" t="str">
        <f aca="false">IF(C163=0,A163,"")</f>
        <v/>
      </c>
    </row>
    <row r="164" customFormat="false" ht="12.8" hidden="false" customHeight="false" outlineLevel="0" collapsed="false">
      <c r="A164" s="0" t="s">
        <v>1044</v>
      </c>
      <c r="B164" s="0" t="s">
        <v>794</v>
      </c>
      <c r="C164" s="0" t="n">
        <v>1</v>
      </c>
      <c r="D164" s="0" t="str">
        <f aca="false">IF(C164=0,B164,"")</f>
        <v/>
      </c>
      <c r="E164" s="0" t="str">
        <f aca="false">IF(C164=0,A164,"")</f>
        <v/>
      </c>
    </row>
    <row r="165" customFormat="false" ht="12.8" hidden="false" customHeight="false" outlineLevel="0" collapsed="false">
      <c r="A165" s="0" t="s">
        <v>1045</v>
      </c>
      <c r="B165" s="0" t="s">
        <v>794</v>
      </c>
      <c r="C165" s="0" t="n">
        <v>1</v>
      </c>
      <c r="D165" s="0" t="str">
        <f aca="false">IF(C165=0,B165,"")</f>
        <v/>
      </c>
      <c r="E165" s="0" t="str">
        <f aca="false">IF(C165=0,A165,"")</f>
        <v/>
      </c>
    </row>
    <row r="166" customFormat="false" ht="12.8" hidden="false" customHeight="false" outlineLevel="0" collapsed="false">
      <c r="A166" s="0" t="s">
        <v>1046</v>
      </c>
      <c r="B166" s="0" t="s">
        <v>1895</v>
      </c>
      <c r="C166" s="0" t="n">
        <v>1</v>
      </c>
      <c r="D166" s="0" t="str">
        <f aca="false">IF(C166=0,B166,"")</f>
        <v/>
      </c>
      <c r="E166" s="0" t="str">
        <f aca="false">IF(C166=0,A166,"")</f>
        <v/>
      </c>
    </row>
    <row r="167" customFormat="false" ht="12.8" hidden="false" customHeight="false" outlineLevel="0" collapsed="false">
      <c r="A167" s="0" t="s">
        <v>1047</v>
      </c>
      <c r="B167" s="0" t="s">
        <v>1896</v>
      </c>
      <c r="C167" s="0" t="n">
        <v>1</v>
      </c>
      <c r="D167" s="0" t="str">
        <f aca="false">IF(C167=0,B167,"")</f>
        <v/>
      </c>
      <c r="E167" s="0" t="str">
        <f aca="false">IF(C167=0,A167,"")</f>
        <v/>
      </c>
    </row>
    <row r="168" customFormat="false" ht="12.8" hidden="false" customHeight="false" outlineLevel="0" collapsed="false">
      <c r="A168" s="0" t="s">
        <v>1048</v>
      </c>
      <c r="B168" s="0" t="s">
        <v>1897</v>
      </c>
      <c r="C168" s="0" t="n">
        <v>1</v>
      </c>
      <c r="D168" s="0" t="str">
        <f aca="false">IF(C168=0,B168,"")</f>
        <v/>
      </c>
      <c r="E168" s="0" t="str">
        <f aca="false">IF(C168=0,A168,"")</f>
        <v/>
      </c>
    </row>
    <row r="169" customFormat="false" ht="12.8" hidden="false" customHeight="false" outlineLevel="0" collapsed="false">
      <c r="A169" s="0" t="s">
        <v>1049</v>
      </c>
      <c r="B169" s="0" t="s">
        <v>1898</v>
      </c>
      <c r="C169" s="0" t="n">
        <v>1</v>
      </c>
      <c r="D169" s="0" t="str">
        <f aca="false">IF(C169=0,B169,"")</f>
        <v/>
      </c>
      <c r="E169" s="0" t="str">
        <f aca="false">IF(C169=0,A169,"")</f>
        <v/>
      </c>
    </row>
    <row r="170" customFormat="false" ht="12.8" hidden="false" customHeight="false" outlineLevel="0" collapsed="false">
      <c r="A170" s="0" t="s">
        <v>1050</v>
      </c>
      <c r="B170" s="0" t="s">
        <v>1897</v>
      </c>
      <c r="C170" s="0" t="n">
        <v>1</v>
      </c>
      <c r="D170" s="0" t="str">
        <f aca="false">IF(C170=0,B170,"")</f>
        <v/>
      </c>
      <c r="E170" s="0" t="str">
        <f aca="false">IF(C170=0,A170,"")</f>
        <v/>
      </c>
    </row>
    <row r="171" customFormat="false" ht="12.8" hidden="false" customHeight="false" outlineLevel="0" collapsed="false">
      <c r="A171" s="0" t="s">
        <v>1051</v>
      </c>
      <c r="B171" s="0" t="s">
        <v>1896</v>
      </c>
      <c r="C171" s="0" t="n">
        <v>1</v>
      </c>
      <c r="D171" s="0" t="str">
        <f aca="false">IF(C171=0,B171,"")</f>
        <v/>
      </c>
      <c r="E171" s="0" t="str">
        <f aca="false">IF(C171=0,A171,"")</f>
        <v/>
      </c>
    </row>
    <row r="172" customFormat="false" ht="12.8" hidden="false" customHeight="false" outlineLevel="0" collapsed="false">
      <c r="A172" s="0" t="s">
        <v>1052</v>
      </c>
      <c r="B172" s="0" t="s">
        <v>1099</v>
      </c>
      <c r="C172" s="0" t="n">
        <v>1</v>
      </c>
      <c r="D172" s="0" t="str">
        <f aca="false">IF(C172=0,B172,"")</f>
        <v/>
      </c>
      <c r="E172" s="0" t="str">
        <f aca="false">IF(C172=0,A172,"")</f>
        <v/>
      </c>
    </row>
    <row r="173" customFormat="false" ht="12.8" hidden="false" customHeight="false" outlineLevel="0" collapsed="false">
      <c r="A173" s="0" t="s">
        <v>1053</v>
      </c>
      <c r="B173" s="0" t="s">
        <v>1902</v>
      </c>
      <c r="C173" s="0" t="n">
        <v>1</v>
      </c>
      <c r="D173" s="0" t="str">
        <f aca="false">IF(C173=0,B173,"")</f>
        <v/>
      </c>
      <c r="E173" s="0" t="str">
        <f aca="false">IF(C173=0,A173,"")</f>
        <v/>
      </c>
    </row>
    <row r="174" customFormat="false" ht="12.8" hidden="false" customHeight="false" outlineLevel="0" collapsed="false">
      <c r="A174" s="0" t="s">
        <v>1054</v>
      </c>
      <c r="B174" s="0" t="s">
        <v>1902</v>
      </c>
      <c r="C174" s="0" t="n">
        <v>1</v>
      </c>
      <c r="D174" s="0" t="str">
        <f aca="false">IF(C174=0,B174,"")</f>
        <v/>
      </c>
      <c r="E174" s="0" t="str">
        <f aca="false">IF(C174=0,A174,"")</f>
        <v/>
      </c>
    </row>
    <row r="175" customFormat="false" ht="12.8" hidden="false" customHeight="false" outlineLevel="0" collapsed="false">
      <c r="A175" s="0" t="s">
        <v>1055</v>
      </c>
      <c r="B175" s="0" t="s">
        <v>1903</v>
      </c>
      <c r="C175" s="0" t="n">
        <v>1</v>
      </c>
      <c r="D175" s="0" t="str">
        <f aca="false">IF(C175=0,B175,"")</f>
        <v/>
      </c>
      <c r="E175" s="0" t="str">
        <f aca="false">IF(C175=0,A175,"")</f>
        <v/>
      </c>
    </row>
    <row r="176" customFormat="false" ht="12.8" hidden="false" customHeight="false" outlineLevel="0" collapsed="false">
      <c r="A176" s="0" t="s">
        <v>1056</v>
      </c>
      <c r="B176" s="0" t="s">
        <v>1904</v>
      </c>
      <c r="C176" s="0" t="n">
        <v>1</v>
      </c>
      <c r="D176" s="0" t="str">
        <f aca="false">IF(C176=0,B176,"")</f>
        <v/>
      </c>
      <c r="E176" s="0" t="str">
        <f aca="false">IF(C176=0,A176,"")</f>
        <v/>
      </c>
    </row>
    <row r="177" customFormat="false" ht="12.8" hidden="false" customHeight="false" outlineLevel="0" collapsed="false">
      <c r="A177" s="0" t="s">
        <v>1057</v>
      </c>
      <c r="B177" s="0" t="s">
        <v>1904</v>
      </c>
      <c r="C177" s="0" t="n">
        <v>1</v>
      </c>
      <c r="D177" s="0" t="str">
        <f aca="false">IF(C177=0,B177,"")</f>
        <v/>
      </c>
      <c r="E177" s="0" t="str">
        <f aca="false">IF(C177=0,A177,"")</f>
        <v/>
      </c>
    </row>
    <row r="178" customFormat="false" ht="12.8" hidden="false" customHeight="false" outlineLevel="0" collapsed="false">
      <c r="A178" s="0" t="s">
        <v>1058</v>
      </c>
      <c r="B178" s="0" t="s">
        <v>1906</v>
      </c>
      <c r="C178" s="0" t="n">
        <v>1</v>
      </c>
      <c r="D178" s="0" t="str">
        <f aca="false">IF(C178=0,B178,"")</f>
        <v/>
      </c>
      <c r="E178" s="0" t="str">
        <f aca="false">IF(C178=0,A178,"")</f>
        <v/>
      </c>
    </row>
    <row r="179" customFormat="false" ht="12.8" hidden="false" customHeight="false" outlineLevel="0" collapsed="false">
      <c r="A179" s="0" t="s">
        <v>1059</v>
      </c>
      <c r="B179" s="0" t="s">
        <v>1907</v>
      </c>
      <c r="C179" s="0" t="n">
        <v>1</v>
      </c>
      <c r="D179" s="0" t="str">
        <f aca="false">IF(C179=0,B179,"")</f>
        <v/>
      </c>
      <c r="E179" s="0" t="str">
        <f aca="false">IF(C179=0,A179,"")</f>
        <v/>
      </c>
    </row>
    <row r="180" customFormat="false" ht="12.8" hidden="false" customHeight="false" outlineLevel="0" collapsed="false">
      <c r="A180" s="0" t="s">
        <v>1060</v>
      </c>
      <c r="B180" s="0" t="s">
        <v>1908</v>
      </c>
      <c r="C180" s="0" t="n">
        <v>1</v>
      </c>
      <c r="D180" s="0" t="str">
        <f aca="false">IF(C180=0,B180,"")</f>
        <v/>
      </c>
      <c r="E180" s="0" t="str">
        <f aca="false">IF(C180=0,A180,"")</f>
        <v/>
      </c>
    </row>
    <row r="181" customFormat="false" ht="12.8" hidden="false" customHeight="false" outlineLevel="0" collapsed="false">
      <c r="A181" s="0" t="s">
        <v>1061</v>
      </c>
      <c r="B181" s="0" t="s">
        <v>1908</v>
      </c>
      <c r="C181" s="0" t="n">
        <v>1</v>
      </c>
      <c r="D181" s="0" t="str">
        <f aca="false">IF(C181=0,B181,"")</f>
        <v/>
      </c>
      <c r="E181" s="0" t="str">
        <f aca="false">IF(C181=0,A181,"")</f>
        <v/>
      </c>
    </row>
    <row r="182" customFormat="false" ht="12.8" hidden="false" customHeight="false" outlineLevel="0" collapsed="false">
      <c r="A182" s="0" t="s">
        <v>1062</v>
      </c>
      <c r="B182" s="0" t="s">
        <v>1910</v>
      </c>
      <c r="C182" s="0" t="n">
        <v>1</v>
      </c>
      <c r="D182" s="0" t="str">
        <f aca="false">IF(C182=0,B182,"")</f>
        <v/>
      </c>
      <c r="E182" s="0" t="str">
        <f aca="false">IF(C182=0,A182,"")</f>
        <v/>
      </c>
    </row>
    <row r="183" customFormat="false" ht="12.8" hidden="false" customHeight="false" outlineLevel="0" collapsed="false">
      <c r="A183" s="0" t="s">
        <v>1063</v>
      </c>
      <c r="B183" s="0" t="s">
        <v>1908</v>
      </c>
      <c r="C183" s="0" t="n">
        <v>1</v>
      </c>
      <c r="D183" s="0" t="str">
        <f aca="false">IF(C183=0,B183,"")</f>
        <v/>
      </c>
      <c r="E183" s="0" t="str">
        <f aca="false">IF(C183=0,A183,"")</f>
        <v/>
      </c>
    </row>
    <row r="184" customFormat="false" ht="12.8" hidden="false" customHeight="false" outlineLevel="0" collapsed="false">
      <c r="A184" s="0" t="s">
        <v>1064</v>
      </c>
      <c r="B184" s="0" t="s">
        <v>3282</v>
      </c>
      <c r="C184" s="0" t="n">
        <v>0</v>
      </c>
      <c r="D184" s="0" t="str">
        <f aca="false">IF(C184=0,B184,"")</f>
        <v>끠</v>
      </c>
      <c r="E184" s="0" t="str">
        <f aca="false">IF(C184=0,A184,"")</f>
        <v>깨</v>
      </c>
    </row>
    <row r="185" customFormat="false" ht="12.8" hidden="false" customHeight="false" outlineLevel="0" collapsed="false">
      <c r="A185" s="0" t="s">
        <v>1065</v>
      </c>
      <c r="B185" s="0" t="s">
        <v>1913</v>
      </c>
      <c r="C185" s="0" t="n">
        <v>1</v>
      </c>
      <c r="D185" s="0" t="str">
        <f aca="false">IF(C185=0,B185,"")</f>
        <v/>
      </c>
      <c r="E185" s="0" t="str">
        <f aca="false">IF(C185=0,A185,"")</f>
        <v/>
      </c>
    </row>
    <row r="186" customFormat="false" ht="12.8" hidden="false" customHeight="false" outlineLevel="0" collapsed="false">
      <c r="A186" s="0" t="s">
        <v>1066</v>
      </c>
      <c r="B186" s="0" t="s">
        <v>1914</v>
      </c>
      <c r="C186" s="0" t="n">
        <v>1</v>
      </c>
      <c r="D186" s="0" t="str">
        <f aca="false">IF(C186=0,B186,"")</f>
        <v/>
      </c>
      <c r="E186" s="0" t="str">
        <f aca="false">IF(C186=0,A186,"")</f>
        <v/>
      </c>
    </row>
    <row r="187" customFormat="false" ht="12.8" hidden="false" customHeight="false" outlineLevel="0" collapsed="false">
      <c r="A187" s="0" t="s">
        <v>1067</v>
      </c>
      <c r="B187" s="0" t="s">
        <v>1915</v>
      </c>
      <c r="C187" s="0" t="n">
        <v>1</v>
      </c>
      <c r="D187" s="0" t="str">
        <f aca="false">IF(C187=0,B187,"")</f>
        <v/>
      </c>
      <c r="E187" s="0" t="str">
        <f aca="false">IF(C187=0,A187,"")</f>
        <v/>
      </c>
    </row>
    <row r="188" customFormat="false" ht="12.8" hidden="false" customHeight="false" outlineLevel="0" collapsed="false">
      <c r="A188" s="0" t="s">
        <v>1068</v>
      </c>
      <c r="B188" s="0" t="s">
        <v>1916</v>
      </c>
      <c r="C188" s="0" t="n">
        <v>1</v>
      </c>
      <c r="D188" s="0" t="str">
        <f aca="false">IF(C188=0,B188,"")</f>
        <v/>
      </c>
      <c r="E188" s="0" t="str">
        <f aca="false">IF(C188=0,A188,"")</f>
        <v/>
      </c>
    </row>
    <row r="189" customFormat="false" ht="12.8" hidden="false" customHeight="false" outlineLevel="0" collapsed="false">
      <c r="A189" s="0" t="s">
        <v>1069</v>
      </c>
      <c r="B189" s="0" t="s">
        <v>1917</v>
      </c>
      <c r="C189" s="0" t="n">
        <v>1</v>
      </c>
      <c r="D189" s="0" t="str">
        <f aca="false">IF(C189=0,B189,"")</f>
        <v/>
      </c>
      <c r="E189" s="0" t="str">
        <f aca="false">IF(C189=0,A189,"")</f>
        <v/>
      </c>
    </row>
    <row r="190" customFormat="false" ht="12.8" hidden="false" customHeight="false" outlineLevel="0" collapsed="false">
      <c r="A190" s="0" t="s">
        <v>1070</v>
      </c>
      <c r="B190" s="0" t="s">
        <v>1918</v>
      </c>
      <c r="C190" s="0" t="n">
        <v>1</v>
      </c>
      <c r="D190" s="0" t="str">
        <f aca="false">IF(C190=0,B190,"")</f>
        <v/>
      </c>
      <c r="E190" s="0" t="str">
        <f aca="false">IF(C190=0,A190,"")</f>
        <v/>
      </c>
    </row>
    <row r="191" customFormat="false" ht="12.8" hidden="false" customHeight="false" outlineLevel="0" collapsed="false">
      <c r="A191" s="0" t="s">
        <v>1071</v>
      </c>
      <c r="B191" s="0" t="s">
        <v>1918</v>
      </c>
      <c r="C191" s="0" t="n">
        <v>1</v>
      </c>
      <c r="D191" s="0" t="str">
        <f aca="false">IF(C191=0,B191,"")</f>
        <v/>
      </c>
      <c r="E191" s="0" t="str">
        <f aca="false">IF(C191=0,A191,"")</f>
        <v/>
      </c>
    </row>
    <row r="192" customFormat="false" ht="12.8" hidden="false" customHeight="false" outlineLevel="0" collapsed="false">
      <c r="A192" s="0" t="s">
        <v>1072</v>
      </c>
      <c r="B192" s="0" t="s">
        <v>1920</v>
      </c>
      <c r="C192" s="0" t="n">
        <v>1</v>
      </c>
      <c r="D192" s="0" t="str">
        <f aca="false">IF(C192=0,B192,"")</f>
        <v/>
      </c>
      <c r="E192" s="0" t="str">
        <f aca="false">IF(C192=0,A192,"")</f>
        <v/>
      </c>
    </row>
    <row r="193" customFormat="false" ht="12.8" hidden="false" customHeight="false" outlineLevel="0" collapsed="false">
      <c r="A193" s="0" t="s">
        <v>1073</v>
      </c>
      <c r="B193" s="0" t="s">
        <v>1124</v>
      </c>
      <c r="C193" s="0" t="n">
        <v>1</v>
      </c>
      <c r="D193" s="0" t="str">
        <f aca="false">IF(C193=0,B193,"")</f>
        <v/>
      </c>
      <c r="E193" s="0" t="str">
        <f aca="false">IF(C193=0,A193,"")</f>
        <v/>
      </c>
    </row>
    <row r="194" customFormat="false" ht="12.8" hidden="false" customHeight="false" outlineLevel="0" collapsed="false">
      <c r="A194" s="0" t="s">
        <v>1074</v>
      </c>
      <c r="B194" s="0" t="s">
        <v>1922</v>
      </c>
      <c r="C194" s="0" t="n">
        <v>1</v>
      </c>
      <c r="D194" s="0" t="str">
        <f aca="false">IF(C194=0,B194,"")</f>
        <v/>
      </c>
      <c r="E194" s="0" t="str">
        <f aca="false">IF(C194=0,A194,"")</f>
        <v/>
      </c>
    </row>
    <row r="195" customFormat="false" ht="12.8" hidden="false" customHeight="false" outlineLevel="0" collapsed="false">
      <c r="A195" s="0" t="s">
        <v>1075</v>
      </c>
      <c r="B195" s="0" t="s">
        <v>3283</v>
      </c>
      <c r="C195" s="0" t="n">
        <v>0</v>
      </c>
      <c r="D195" s="0" t="str">
        <f aca="false">IF(C195=0,B195,"")</f>
        <v>뺠</v>
      </c>
      <c r="E195" s="0" t="str">
        <f aca="false">IF(C195=0,A195,"")</f>
        <v>꺌</v>
      </c>
    </row>
    <row r="196" customFormat="false" ht="12.8" hidden="false" customHeight="false" outlineLevel="0" collapsed="false">
      <c r="A196" s="0" t="s">
        <v>1076</v>
      </c>
      <c r="B196" s="0" t="s">
        <v>1125</v>
      </c>
      <c r="C196" s="0" t="n">
        <v>1</v>
      </c>
      <c r="D196" s="0" t="str">
        <f aca="false">IF(C196=0,B196,"")</f>
        <v/>
      </c>
      <c r="E196" s="0" t="str">
        <f aca="false">IF(C196=0,A196,"")</f>
        <v/>
      </c>
    </row>
    <row r="197" customFormat="false" ht="12.8" hidden="false" customHeight="false" outlineLevel="0" collapsed="false">
      <c r="A197" s="0" t="s">
        <v>1077</v>
      </c>
      <c r="B197" s="0" t="s">
        <v>1925</v>
      </c>
      <c r="C197" s="0" t="n">
        <v>1</v>
      </c>
      <c r="D197" s="0" t="str">
        <f aca="false">IF(C197=0,B197,"")</f>
        <v/>
      </c>
      <c r="E197" s="0" t="str">
        <f aca="false">IF(C197=0,A197,"")</f>
        <v/>
      </c>
    </row>
    <row r="198" customFormat="false" ht="12.8" hidden="false" customHeight="false" outlineLevel="0" collapsed="false">
      <c r="A198" s="0" t="s">
        <v>1078</v>
      </c>
      <c r="B198" s="0" t="s">
        <v>1925</v>
      </c>
      <c r="C198" s="0" t="n">
        <v>1</v>
      </c>
      <c r="D198" s="0" t="str">
        <f aca="false">IF(C198=0,B198,"")</f>
        <v/>
      </c>
      <c r="E198" s="0" t="str">
        <f aca="false">IF(C198=0,A198,"")</f>
        <v/>
      </c>
    </row>
    <row r="199" customFormat="false" ht="12.8" hidden="false" customHeight="false" outlineLevel="0" collapsed="false">
      <c r="A199" s="0" t="s">
        <v>1079</v>
      </c>
      <c r="B199" s="0" t="s">
        <v>1926</v>
      </c>
      <c r="C199" s="0" t="n">
        <v>1</v>
      </c>
      <c r="D199" s="0" t="str">
        <f aca="false">IF(C199=0,B199,"")</f>
        <v/>
      </c>
      <c r="E199" s="0" t="str">
        <f aca="false">IF(C199=0,A199,"")</f>
        <v/>
      </c>
    </row>
    <row r="200" customFormat="false" ht="12.8" hidden="false" customHeight="false" outlineLevel="0" collapsed="false">
      <c r="A200" s="0" t="s">
        <v>1080</v>
      </c>
      <c r="B200" s="0" t="s">
        <v>1928</v>
      </c>
      <c r="C200" s="0" t="n">
        <v>1</v>
      </c>
      <c r="D200" s="0" t="str">
        <f aca="false">IF(C200=0,B200,"")</f>
        <v/>
      </c>
      <c r="E200" s="0" t="str">
        <f aca="false">IF(C200=0,A200,"")</f>
        <v/>
      </c>
    </row>
    <row r="201" customFormat="false" ht="12.8" hidden="false" customHeight="false" outlineLevel="0" collapsed="false">
      <c r="A201" s="0" t="s">
        <v>1081</v>
      </c>
      <c r="B201" s="0" t="s">
        <v>1929</v>
      </c>
      <c r="C201" s="0" t="n">
        <v>1</v>
      </c>
      <c r="D201" s="0" t="str">
        <f aca="false">IF(C201=0,B201,"")</f>
        <v/>
      </c>
      <c r="E201" s="0" t="str">
        <f aca="false">IF(C201=0,A201,"")</f>
        <v/>
      </c>
    </row>
    <row r="202" customFormat="false" ht="12.8" hidden="false" customHeight="false" outlineLevel="0" collapsed="false">
      <c r="A202" s="0" t="s">
        <v>1082</v>
      </c>
      <c r="B202" s="0" t="s">
        <v>3284</v>
      </c>
      <c r="C202" s="0" t="n">
        <v>0</v>
      </c>
      <c r="D202" s="0" t="str">
        <f aca="false">IF(C202=0,B202,"")</f>
        <v>뻡</v>
      </c>
      <c r="E202" s="0" t="str">
        <f aca="false">IF(C202=0,A202,"")</f>
        <v>껍</v>
      </c>
    </row>
    <row r="203" customFormat="false" ht="12.8" hidden="false" customHeight="false" outlineLevel="0" collapsed="false">
      <c r="A203" s="0" t="s">
        <v>1083</v>
      </c>
      <c r="B203" s="0" t="s">
        <v>1930</v>
      </c>
      <c r="C203" s="0" t="n">
        <v>1</v>
      </c>
      <c r="D203" s="0" t="str">
        <f aca="false">IF(C203=0,B203,"")</f>
        <v/>
      </c>
      <c r="E203" s="0" t="str">
        <f aca="false">IF(C203=0,A203,"")</f>
        <v/>
      </c>
    </row>
    <row r="204" customFormat="false" ht="12.8" hidden="false" customHeight="false" outlineLevel="0" collapsed="false">
      <c r="A204" s="0" t="s">
        <v>1084</v>
      </c>
      <c r="B204" s="0" t="s">
        <v>1930</v>
      </c>
      <c r="C204" s="0" t="n">
        <v>1</v>
      </c>
      <c r="D204" s="0" t="str">
        <f aca="false">IF(C204=0,B204,"")</f>
        <v/>
      </c>
      <c r="E204" s="0" t="str">
        <f aca="false">IF(C204=0,A204,"")</f>
        <v/>
      </c>
    </row>
    <row r="205" customFormat="false" ht="12.8" hidden="false" customHeight="false" outlineLevel="0" collapsed="false">
      <c r="A205" s="0" t="s">
        <v>1085</v>
      </c>
      <c r="B205" s="0" t="s">
        <v>1932</v>
      </c>
      <c r="C205" s="0" t="n">
        <v>1</v>
      </c>
      <c r="D205" s="0" t="str">
        <f aca="false">IF(C205=0,B205,"")</f>
        <v/>
      </c>
      <c r="E205" s="0" t="str">
        <f aca="false">IF(C205=0,A205,"")</f>
        <v/>
      </c>
    </row>
    <row r="206" customFormat="false" ht="12.8" hidden="false" customHeight="false" outlineLevel="0" collapsed="false">
      <c r="A206" s="0" t="s">
        <v>1086</v>
      </c>
      <c r="B206" s="0" t="s">
        <v>1052</v>
      </c>
      <c r="C206" s="0" t="n">
        <v>1</v>
      </c>
      <c r="D206" s="0" t="str">
        <f aca="false">IF(C206=0,B206,"")</f>
        <v/>
      </c>
      <c r="E206" s="0" t="str">
        <f aca="false">IF(C206=0,A206,"")</f>
        <v/>
      </c>
    </row>
    <row r="207" customFormat="false" ht="12.8" hidden="false" customHeight="false" outlineLevel="0" collapsed="false">
      <c r="A207" s="0" t="s">
        <v>1087</v>
      </c>
      <c r="B207" s="0" t="s">
        <v>3285</v>
      </c>
      <c r="C207" s="0" t="n">
        <v>0</v>
      </c>
      <c r="D207" s="0" t="str">
        <f aca="false">IF(C207=0,B207,"")</f>
        <v>뻭</v>
      </c>
      <c r="E207" s="0" t="str">
        <f aca="false">IF(C207=0,A207,"")</f>
        <v>껙</v>
      </c>
    </row>
    <row r="208" customFormat="false" ht="12.8" hidden="false" customHeight="false" outlineLevel="0" collapsed="false">
      <c r="A208" s="0" t="s">
        <v>1088</v>
      </c>
      <c r="B208" s="0" t="s">
        <v>3286</v>
      </c>
      <c r="C208" s="0" t="n">
        <v>0</v>
      </c>
      <c r="D208" s="0" t="str">
        <f aca="false">IF(C208=0,B208,"")</f>
        <v>뻰</v>
      </c>
      <c r="E208" s="0" t="str">
        <f aca="false">IF(C208=0,A208,"")</f>
        <v>껜</v>
      </c>
    </row>
    <row r="209" customFormat="false" ht="12.8" hidden="false" customHeight="false" outlineLevel="0" collapsed="false">
      <c r="A209" s="0" t="s">
        <v>1089</v>
      </c>
      <c r="B209" s="0" t="s">
        <v>3287</v>
      </c>
      <c r="C209" s="0" t="n">
        <v>0</v>
      </c>
      <c r="D209" s="0" t="str">
        <f aca="false">IF(C209=0,B209,"")</f>
        <v>뻼</v>
      </c>
      <c r="E209" s="0" t="str">
        <f aca="false">IF(C209=0,A209,"")</f>
        <v>껨</v>
      </c>
    </row>
    <row r="210" customFormat="false" ht="12.8" hidden="false" customHeight="false" outlineLevel="0" collapsed="false">
      <c r="A210" s="0" t="s">
        <v>1090</v>
      </c>
      <c r="B210" s="0" t="s">
        <v>3288</v>
      </c>
      <c r="C210" s="0" t="n">
        <v>0</v>
      </c>
      <c r="D210" s="0" t="str">
        <f aca="false">IF(C210=0,B210,"")</f>
        <v>뻿</v>
      </c>
      <c r="E210" s="0" t="str">
        <f aca="false">IF(C210=0,A210,"")</f>
        <v>껫</v>
      </c>
    </row>
    <row r="211" customFormat="false" ht="12.8" hidden="false" customHeight="false" outlineLevel="0" collapsed="false">
      <c r="A211" s="0" t="s">
        <v>1091</v>
      </c>
      <c r="B211" s="0" t="s">
        <v>1934</v>
      </c>
      <c r="C211" s="0" t="n">
        <v>1</v>
      </c>
      <c r="D211" s="0" t="str">
        <f aca="false">IF(C211=0,B211,"")</f>
        <v/>
      </c>
      <c r="E211" s="0" t="str">
        <f aca="false">IF(C211=0,A211,"")</f>
        <v/>
      </c>
    </row>
    <row r="212" customFormat="false" ht="12.8" hidden="false" customHeight="false" outlineLevel="0" collapsed="false">
      <c r="A212" s="0" t="s">
        <v>1092</v>
      </c>
      <c r="B212" s="0" t="s">
        <v>1151</v>
      </c>
      <c r="C212" s="0" t="n">
        <v>1</v>
      </c>
      <c r="D212" s="0" t="str">
        <f aca="false">IF(C212=0,B212,"")</f>
        <v/>
      </c>
      <c r="E212" s="0" t="str">
        <f aca="false">IF(C212=0,A212,"")</f>
        <v/>
      </c>
    </row>
    <row r="213" customFormat="false" ht="12.8" hidden="false" customHeight="false" outlineLevel="0" collapsed="false">
      <c r="A213" s="0" t="s">
        <v>1093</v>
      </c>
      <c r="B213" s="0" t="s">
        <v>3289</v>
      </c>
      <c r="C213" s="0" t="n">
        <v>0</v>
      </c>
      <c r="D213" s="0" t="str">
        <f aca="false">IF(C213=0,B213,"")</f>
        <v>뼌</v>
      </c>
      <c r="E213" s="0" t="str">
        <f aca="false">IF(C213=0,A213,"")</f>
        <v>껸</v>
      </c>
    </row>
    <row r="214" customFormat="false" ht="12.8" hidden="false" customHeight="false" outlineLevel="0" collapsed="false">
      <c r="A214" s="0" t="s">
        <v>1094</v>
      </c>
      <c r="B214" s="0" t="s">
        <v>3290</v>
      </c>
      <c r="C214" s="0" t="n">
        <v>0</v>
      </c>
      <c r="D214" s="0" t="str">
        <f aca="false">IF(C214=0,B214,"")</f>
        <v>뼐</v>
      </c>
      <c r="E214" s="0" t="str">
        <f aca="false">IF(C214=0,A214,"")</f>
        <v>껼</v>
      </c>
    </row>
    <row r="215" customFormat="false" ht="12.8" hidden="false" customHeight="false" outlineLevel="0" collapsed="false">
      <c r="A215" s="0" t="s">
        <v>1095</v>
      </c>
      <c r="B215" s="0" t="s">
        <v>1939</v>
      </c>
      <c r="C215" s="0" t="n">
        <v>1</v>
      </c>
      <c r="D215" s="0" t="str">
        <f aca="false">IF(C215=0,B215,"")</f>
        <v/>
      </c>
      <c r="E215" s="0" t="str">
        <f aca="false">IF(C215=0,A215,"")</f>
        <v/>
      </c>
    </row>
    <row r="216" customFormat="false" ht="12.8" hidden="false" customHeight="false" outlineLevel="0" collapsed="false">
      <c r="A216" s="0" t="s">
        <v>1096</v>
      </c>
      <c r="B216" s="0" t="s">
        <v>1939</v>
      </c>
      <c r="C216" s="0" t="n">
        <v>1</v>
      </c>
      <c r="D216" s="0" t="str">
        <f aca="false">IF(C216=0,B216,"")</f>
        <v/>
      </c>
      <c r="E216" s="0" t="str">
        <f aca="false">IF(C216=0,A216,"")</f>
        <v/>
      </c>
    </row>
    <row r="217" customFormat="false" ht="12.8" hidden="false" customHeight="false" outlineLevel="0" collapsed="false">
      <c r="A217" s="0" t="s">
        <v>1097</v>
      </c>
      <c r="B217" s="0" t="s">
        <v>1939</v>
      </c>
      <c r="C217" s="0" t="n">
        <v>1</v>
      </c>
      <c r="D217" s="0" t="str">
        <f aca="false">IF(C217=0,B217,"")</f>
        <v/>
      </c>
      <c r="E217" s="0" t="str">
        <f aca="false">IF(C217=0,A217,"")</f>
        <v/>
      </c>
    </row>
    <row r="218" customFormat="false" ht="12.8" hidden="false" customHeight="false" outlineLevel="0" collapsed="false">
      <c r="A218" s="0" t="s">
        <v>1098</v>
      </c>
      <c r="B218" s="0" t="s">
        <v>1118</v>
      </c>
      <c r="C218" s="0" t="n">
        <v>1</v>
      </c>
      <c r="D218" s="0" t="str">
        <f aca="false">IF(C218=0,B218,"")</f>
        <v/>
      </c>
      <c r="E218" s="0" t="str">
        <f aca="false">IF(C218=0,A218,"")</f>
        <v/>
      </c>
    </row>
    <row r="219" customFormat="false" ht="12.8" hidden="false" customHeight="false" outlineLevel="0" collapsed="false">
      <c r="A219" s="0" t="s">
        <v>1099</v>
      </c>
      <c r="B219" s="0" t="s">
        <v>1076</v>
      </c>
      <c r="C219" s="0" t="n">
        <v>1</v>
      </c>
      <c r="D219" s="0" t="str">
        <f aca="false">IF(C219=0,B219,"")</f>
        <v/>
      </c>
      <c r="E219" s="0" t="str">
        <f aca="false">IF(C219=0,A219,"")</f>
        <v/>
      </c>
    </row>
    <row r="220" customFormat="false" ht="12.8" hidden="false" customHeight="false" outlineLevel="0" collapsed="false">
      <c r="A220" s="0" t="s">
        <v>1100</v>
      </c>
      <c r="B220" s="0" t="s">
        <v>1943</v>
      </c>
      <c r="C220" s="0" t="n">
        <v>1</v>
      </c>
      <c r="D220" s="0" t="str">
        <f aca="false">IF(C220=0,B220,"")</f>
        <v/>
      </c>
      <c r="E220" s="0" t="str">
        <f aca="false">IF(C220=0,A220,"")</f>
        <v/>
      </c>
    </row>
    <row r="221" customFormat="false" ht="12.8" hidden="false" customHeight="false" outlineLevel="0" collapsed="false">
      <c r="A221" s="0" t="s">
        <v>1101</v>
      </c>
      <c r="B221" s="0" t="s">
        <v>1944</v>
      </c>
      <c r="C221" s="0" t="n">
        <v>1</v>
      </c>
      <c r="D221" s="0" t="str">
        <f aca="false">IF(C221=0,B221,"")</f>
        <v/>
      </c>
      <c r="E221" s="0" t="str">
        <f aca="false">IF(C221=0,A221,"")</f>
        <v/>
      </c>
    </row>
    <row r="222" customFormat="false" ht="12.8" hidden="false" customHeight="false" outlineLevel="0" collapsed="false">
      <c r="A222" s="0" t="s">
        <v>1102</v>
      </c>
      <c r="B222" s="0" t="s">
        <v>1944</v>
      </c>
      <c r="C222" s="0" t="n">
        <v>1</v>
      </c>
      <c r="D222" s="0" t="str">
        <f aca="false">IF(C222=0,B222,"")</f>
        <v/>
      </c>
      <c r="E222" s="0" t="str">
        <f aca="false">IF(C222=0,A222,"")</f>
        <v/>
      </c>
    </row>
    <row r="223" customFormat="false" ht="12.8" hidden="false" customHeight="false" outlineLevel="0" collapsed="false">
      <c r="A223" s="0" t="s">
        <v>1103</v>
      </c>
      <c r="B223" s="0" t="s">
        <v>1945</v>
      </c>
      <c r="C223" s="0" t="n">
        <v>1</v>
      </c>
      <c r="D223" s="0" t="str">
        <f aca="false">IF(C223=0,B223,"")</f>
        <v/>
      </c>
      <c r="E223" s="0" t="str">
        <f aca="false">IF(C223=0,A223,"")</f>
        <v/>
      </c>
    </row>
    <row r="224" customFormat="false" ht="12.8" hidden="false" customHeight="false" outlineLevel="0" collapsed="false">
      <c r="A224" s="0" t="s">
        <v>1104</v>
      </c>
      <c r="B224" s="0" t="s">
        <v>1946</v>
      </c>
      <c r="C224" s="0" t="n">
        <v>1</v>
      </c>
      <c r="D224" s="0" t="str">
        <f aca="false">IF(C224=0,B224,"")</f>
        <v/>
      </c>
      <c r="E224" s="0" t="str">
        <f aca="false">IF(C224=0,A224,"")</f>
        <v/>
      </c>
    </row>
    <row r="225" customFormat="false" ht="12.8" hidden="false" customHeight="false" outlineLevel="0" collapsed="false">
      <c r="A225" s="0" t="s">
        <v>1105</v>
      </c>
      <c r="B225" s="0" t="s">
        <v>1947</v>
      </c>
      <c r="C225" s="0" t="n">
        <v>1</v>
      </c>
      <c r="D225" s="0" t="str">
        <f aca="false">IF(C225=0,B225,"")</f>
        <v/>
      </c>
      <c r="E225" s="0" t="str">
        <f aca="false">IF(C225=0,A225,"")</f>
        <v/>
      </c>
    </row>
    <row r="226" customFormat="false" ht="12.8" hidden="false" customHeight="false" outlineLevel="0" collapsed="false">
      <c r="A226" s="0" t="s">
        <v>1106</v>
      </c>
      <c r="B226" s="0" t="s">
        <v>3291</v>
      </c>
      <c r="C226" s="0" t="n">
        <v>0</v>
      </c>
      <c r="D226" s="0" t="str">
        <f aca="false">IF(C226=0,B226,"")</f>
        <v>뽓</v>
      </c>
      <c r="E226" s="0" t="str">
        <f aca="false">IF(C226=0,A226,"")</f>
        <v>꼿</v>
      </c>
    </row>
    <row r="227" customFormat="false" ht="12.8" hidden="false" customHeight="false" outlineLevel="0" collapsed="false">
      <c r="A227" s="0" t="s">
        <v>1107</v>
      </c>
      <c r="B227" s="0" t="s">
        <v>1948</v>
      </c>
      <c r="C227" s="0" t="n">
        <v>1</v>
      </c>
      <c r="D227" s="0" t="str">
        <f aca="false">IF(C227=0,B227,"")</f>
        <v/>
      </c>
      <c r="E227" s="0" t="str">
        <f aca="false">IF(C227=0,A227,"")</f>
        <v/>
      </c>
    </row>
    <row r="228" customFormat="false" ht="12.8" hidden="false" customHeight="false" outlineLevel="0" collapsed="false">
      <c r="A228" s="0" t="s">
        <v>1108</v>
      </c>
      <c r="B228" s="0" t="s">
        <v>3291</v>
      </c>
      <c r="C228" s="0" t="n">
        <v>0</v>
      </c>
      <c r="D228" s="0" t="str">
        <f aca="false">IF(C228=0,B228,"")</f>
        <v>뽓</v>
      </c>
      <c r="E228" s="0" t="str">
        <f aca="false">IF(C228=0,A228,"")</f>
        <v>꽂</v>
      </c>
    </row>
    <row r="229" customFormat="false" ht="12.8" hidden="false" customHeight="false" outlineLevel="0" collapsed="false">
      <c r="A229" s="0" t="s">
        <v>1109</v>
      </c>
      <c r="B229" s="0" t="s">
        <v>3291</v>
      </c>
      <c r="C229" s="0" t="n">
        <v>0</v>
      </c>
      <c r="D229" s="0" t="str">
        <f aca="false">IF(C229=0,B229,"")</f>
        <v>뽓</v>
      </c>
      <c r="E229" s="0" t="str">
        <f aca="false">IF(C229=0,A229,"")</f>
        <v>꽃</v>
      </c>
    </row>
    <row r="230" customFormat="false" ht="12.8" hidden="false" customHeight="false" outlineLevel="0" collapsed="false">
      <c r="A230" s="0" t="s">
        <v>1110</v>
      </c>
      <c r="B230" s="0" t="s">
        <v>1098</v>
      </c>
      <c r="C230" s="0" t="n">
        <v>1</v>
      </c>
      <c r="D230" s="0" t="str">
        <f aca="false">IF(C230=0,B230,"")</f>
        <v/>
      </c>
      <c r="E230" s="0" t="str">
        <f aca="false">IF(C230=0,A230,"")</f>
        <v/>
      </c>
    </row>
    <row r="231" customFormat="false" ht="12.8" hidden="false" customHeight="false" outlineLevel="0" collapsed="false">
      <c r="A231" s="0" t="s">
        <v>1111</v>
      </c>
      <c r="B231" s="0" t="s">
        <v>3292</v>
      </c>
      <c r="C231" s="0" t="n">
        <v>0</v>
      </c>
      <c r="D231" s="0" t="str">
        <f aca="false">IF(C231=0,B231,"")</f>
        <v>뽝</v>
      </c>
      <c r="E231" s="0" t="str">
        <f aca="false">IF(C231=0,A231,"")</f>
        <v>꽉</v>
      </c>
    </row>
    <row r="232" customFormat="false" ht="12.8" hidden="false" customHeight="false" outlineLevel="0" collapsed="false">
      <c r="A232" s="0" t="s">
        <v>1112</v>
      </c>
      <c r="B232" s="0" t="s">
        <v>3293</v>
      </c>
      <c r="C232" s="0" t="n">
        <v>0</v>
      </c>
      <c r="D232" s="0" t="str">
        <f aca="false">IF(C232=0,B232,"")</f>
        <v>뽤</v>
      </c>
      <c r="E232" s="0" t="str">
        <f aca="false">IF(C232=0,A232,"")</f>
        <v>꽐</v>
      </c>
    </row>
    <row r="233" customFormat="false" ht="12.8" hidden="false" customHeight="false" outlineLevel="0" collapsed="false">
      <c r="A233" s="0" t="s">
        <v>1113</v>
      </c>
      <c r="B233" s="0" t="s">
        <v>3294</v>
      </c>
      <c r="C233" s="0" t="n">
        <v>0</v>
      </c>
      <c r="D233" s="0" t="str">
        <f aca="false">IF(C233=0,B233,"")</f>
        <v>뽯</v>
      </c>
      <c r="E233" s="0" t="str">
        <f aca="false">IF(C233=0,A233,"")</f>
        <v>꽜</v>
      </c>
    </row>
    <row r="234" customFormat="false" ht="12.8" hidden="false" customHeight="false" outlineLevel="0" collapsed="false">
      <c r="A234" s="0" t="s">
        <v>1114</v>
      </c>
      <c r="B234" s="0" t="s">
        <v>3295</v>
      </c>
      <c r="C234" s="0" t="n">
        <v>0</v>
      </c>
      <c r="D234" s="0" t="str">
        <f aca="false">IF(C234=0,B234,"")</f>
        <v>뽱</v>
      </c>
      <c r="E234" s="0" t="str">
        <f aca="false">IF(C234=0,A234,"")</f>
        <v>꽝</v>
      </c>
    </row>
    <row r="235" customFormat="false" ht="12.8" hidden="false" customHeight="false" outlineLevel="0" collapsed="false">
      <c r="A235" s="0" t="s">
        <v>1115</v>
      </c>
      <c r="B235" s="0" t="s">
        <v>3296</v>
      </c>
      <c r="C235" s="0" t="n">
        <v>0</v>
      </c>
      <c r="D235" s="0" t="str">
        <f aca="false">IF(C235=0,B235,"")</f>
        <v>꺠</v>
      </c>
      <c r="E235" s="0" t="str">
        <f aca="false">IF(C235=0,A235,"")</f>
        <v>꽤</v>
      </c>
    </row>
    <row r="236" customFormat="false" ht="12.8" hidden="false" customHeight="false" outlineLevel="0" collapsed="false">
      <c r="A236" s="0" t="s">
        <v>1116</v>
      </c>
      <c r="B236" s="0" t="s">
        <v>3297</v>
      </c>
      <c r="C236" s="0" t="n">
        <v>0</v>
      </c>
      <c r="D236" s="0" t="str">
        <f aca="false">IF(C236=0,B236,"")</f>
        <v>뽹</v>
      </c>
      <c r="E236" s="0" t="str">
        <f aca="false">IF(C236=0,A236,"")</f>
        <v>꽥</v>
      </c>
    </row>
    <row r="237" customFormat="false" ht="12.8" hidden="false" customHeight="false" outlineLevel="0" collapsed="false">
      <c r="A237" s="0" t="s">
        <v>1117</v>
      </c>
      <c r="B237" s="0" t="s">
        <v>3298</v>
      </c>
      <c r="C237" s="0" t="n">
        <v>0</v>
      </c>
      <c r="D237" s="0" t="str">
        <f aca="false">IF(C237=0,B237,"")</f>
        <v>뾍</v>
      </c>
      <c r="E237" s="0" t="str">
        <f aca="false">IF(C237=0,A237,"")</f>
        <v>꽹</v>
      </c>
    </row>
    <row r="238" customFormat="false" ht="12.8" hidden="false" customHeight="false" outlineLevel="0" collapsed="false">
      <c r="A238" s="0" t="s">
        <v>1118</v>
      </c>
      <c r="B238" s="0" t="s">
        <v>1135</v>
      </c>
      <c r="C238" s="0" t="n">
        <v>1</v>
      </c>
      <c r="D238" s="0" t="str">
        <f aca="false">IF(C238=0,B238,"")</f>
        <v/>
      </c>
      <c r="E238" s="0" t="str">
        <f aca="false">IF(C238=0,A238,"")</f>
        <v/>
      </c>
    </row>
    <row r="239" customFormat="false" ht="12.8" hidden="false" customHeight="false" outlineLevel="0" collapsed="false">
      <c r="A239" s="0" t="s">
        <v>1119</v>
      </c>
      <c r="B239" s="0" t="s">
        <v>3299</v>
      </c>
      <c r="C239" s="0" t="n">
        <v>0</v>
      </c>
      <c r="D239" s="0" t="str">
        <f aca="false">IF(C239=0,B239,"")</f>
        <v>뾘</v>
      </c>
      <c r="E239" s="0" t="str">
        <f aca="false">IF(C239=0,A239,"")</f>
        <v>꾄</v>
      </c>
    </row>
    <row r="240" customFormat="false" ht="12.8" hidden="false" customHeight="false" outlineLevel="0" collapsed="false">
      <c r="A240" s="0" t="s">
        <v>1120</v>
      </c>
      <c r="B240" s="0" t="s">
        <v>3300</v>
      </c>
      <c r="C240" s="0" t="n">
        <v>0</v>
      </c>
      <c r="D240" s="0" t="str">
        <f aca="false">IF(C240=0,B240,"")</f>
        <v>뾜</v>
      </c>
      <c r="E240" s="0" t="str">
        <f aca="false">IF(C240=0,A240,"")</f>
        <v>꾈</v>
      </c>
    </row>
    <row r="241" customFormat="false" ht="12.8" hidden="false" customHeight="false" outlineLevel="0" collapsed="false">
      <c r="A241" s="0" t="s">
        <v>1121</v>
      </c>
      <c r="B241" s="0" t="s">
        <v>3301</v>
      </c>
      <c r="C241" s="0" t="n">
        <v>0</v>
      </c>
      <c r="D241" s="0" t="str">
        <f aca="false">IF(C241=0,B241,"")</f>
        <v>뾤</v>
      </c>
      <c r="E241" s="0" t="str">
        <f aca="false">IF(C241=0,A241,"")</f>
        <v>꾐</v>
      </c>
    </row>
    <row r="242" customFormat="false" ht="12.8" hidden="false" customHeight="false" outlineLevel="0" collapsed="false">
      <c r="A242" s="0" t="s">
        <v>1122</v>
      </c>
      <c r="B242" s="0" t="s">
        <v>3302</v>
      </c>
      <c r="C242" s="0" t="n">
        <v>0</v>
      </c>
      <c r="D242" s="0" t="str">
        <f aca="false">IF(C242=0,B242,"")</f>
        <v>뾥</v>
      </c>
      <c r="E242" s="0" t="str">
        <f aca="false">IF(C242=0,A242,"")</f>
        <v>꾑</v>
      </c>
    </row>
    <row r="243" customFormat="false" ht="12.8" hidden="false" customHeight="false" outlineLevel="0" collapsed="false">
      <c r="A243" s="0" t="s">
        <v>1123</v>
      </c>
      <c r="B243" s="0" t="s">
        <v>3303</v>
      </c>
      <c r="C243" s="0" t="n">
        <v>0</v>
      </c>
      <c r="D243" s="0" t="str">
        <f aca="false">IF(C243=0,B243,"")</f>
        <v>뾩</v>
      </c>
      <c r="E243" s="0" t="str">
        <f aca="false">IF(C243=0,A243,"")</f>
        <v>꾕</v>
      </c>
    </row>
    <row r="244" customFormat="false" ht="12.8" hidden="false" customHeight="false" outlineLevel="0" collapsed="false">
      <c r="A244" s="0" t="s">
        <v>1124</v>
      </c>
      <c r="B244" s="0" t="s">
        <v>1092</v>
      </c>
      <c r="C244" s="0" t="n">
        <v>1</v>
      </c>
      <c r="D244" s="0" t="str">
        <f aca="false">IF(C244=0,B244,"")</f>
        <v/>
      </c>
      <c r="E244" s="0" t="str">
        <f aca="false">IF(C244=0,A244,"")</f>
        <v/>
      </c>
    </row>
    <row r="245" customFormat="false" ht="12.8" hidden="false" customHeight="false" outlineLevel="0" collapsed="false">
      <c r="A245" s="0" t="s">
        <v>1125</v>
      </c>
      <c r="B245" s="0" t="s">
        <v>1086</v>
      </c>
      <c r="C245" s="0" t="n">
        <v>1</v>
      </c>
      <c r="D245" s="0" t="str">
        <f aca="false">IF(C245=0,B245,"")</f>
        <v/>
      </c>
      <c r="E245" s="0" t="str">
        <f aca="false">IF(C245=0,A245,"")</f>
        <v/>
      </c>
    </row>
    <row r="246" customFormat="false" ht="12.8" hidden="false" customHeight="false" outlineLevel="0" collapsed="false">
      <c r="A246" s="0" t="s">
        <v>1126</v>
      </c>
      <c r="B246" s="0" t="s">
        <v>1953</v>
      </c>
      <c r="C246" s="0" t="n">
        <v>1</v>
      </c>
      <c r="D246" s="0" t="str">
        <f aca="false">IF(C246=0,B246,"")</f>
        <v/>
      </c>
      <c r="E246" s="0" t="str">
        <f aca="false">IF(C246=0,A246,"")</f>
        <v/>
      </c>
    </row>
    <row r="247" customFormat="false" ht="12.8" hidden="false" customHeight="false" outlineLevel="0" collapsed="false">
      <c r="A247" s="0" t="s">
        <v>1127</v>
      </c>
      <c r="B247" s="0" t="s">
        <v>1954</v>
      </c>
      <c r="C247" s="0" t="n">
        <v>1</v>
      </c>
      <c r="D247" s="0" t="str">
        <f aca="false">IF(C247=0,B247,"")</f>
        <v/>
      </c>
      <c r="E247" s="0" t="str">
        <f aca="false">IF(C247=0,A247,"")</f>
        <v/>
      </c>
    </row>
    <row r="248" customFormat="false" ht="12.8" hidden="false" customHeight="false" outlineLevel="0" collapsed="false">
      <c r="A248" s="0" t="s">
        <v>1128</v>
      </c>
      <c r="B248" s="0" t="s">
        <v>1955</v>
      </c>
      <c r="C248" s="0" t="n">
        <v>1</v>
      </c>
      <c r="D248" s="0" t="str">
        <f aca="false">IF(C248=0,B248,"")</f>
        <v/>
      </c>
      <c r="E248" s="0" t="str">
        <f aca="false">IF(C248=0,A248,"")</f>
        <v/>
      </c>
    </row>
    <row r="249" customFormat="false" ht="12.8" hidden="false" customHeight="false" outlineLevel="0" collapsed="false">
      <c r="A249" s="0" t="s">
        <v>1129</v>
      </c>
      <c r="B249" s="0" t="s">
        <v>1955</v>
      </c>
      <c r="C249" s="0" t="n">
        <v>1</v>
      </c>
      <c r="D249" s="0" t="str">
        <f aca="false">IF(C249=0,B249,"")</f>
        <v/>
      </c>
      <c r="E249" s="0" t="str">
        <f aca="false">IF(C249=0,A249,"")</f>
        <v/>
      </c>
    </row>
    <row r="250" customFormat="false" ht="12.8" hidden="false" customHeight="false" outlineLevel="0" collapsed="false">
      <c r="A250" s="0" t="s">
        <v>1130</v>
      </c>
      <c r="B250" s="0" t="s">
        <v>1956</v>
      </c>
      <c r="C250" s="0" t="n">
        <v>1</v>
      </c>
      <c r="D250" s="0" t="str">
        <f aca="false">IF(C250=0,B250,"")</f>
        <v/>
      </c>
      <c r="E250" s="0" t="str">
        <f aca="false">IF(C250=0,A250,"")</f>
        <v/>
      </c>
    </row>
    <row r="251" customFormat="false" ht="12.8" hidden="false" customHeight="false" outlineLevel="0" collapsed="false">
      <c r="A251" s="0" t="s">
        <v>1131</v>
      </c>
      <c r="B251" s="0" t="s">
        <v>3304</v>
      </c>
      <c r="C251" s="0" t="n">
        <v>0</v>
      </c>
      <c r="D251" s="0" t="str">
        <f aca="false">IF(C251=0,B251,"")</f>
        <v>뿝</v>
      </c>
      <c r="E251" s="0" t="str">
        <f aca="false">IF(C251=0,A251,"")</f>
        <v>꿉</v>
      </c>
    </row>
    <row r="252" customFormat="false" ht="12.8" hidden="false" customHeight="false" outlineLevel="0" collapsed="false">
      <c r="A252" s="0" t="s">
        <v>1132</v>
      </c>
      <c r="B252" s="0" t="s">
        <v>1957</v>
      </c>
      <c r="C252" s="0" t="n">
        <v>1</v>
      </c>
      <c r="D252" s="0" t="str">
        <f aca="false">IF(C252=0,B252,"")</f>
        <v/>
      </c>
      <c r="E252" s="0" t="str">
        <f aca="false">IF(C252=0,A252,"")</f>
        <v/>
      </c>
    </row>
    <row r="253" customFormat="false" ht="12.8" hidden="false" customHeight="false" outlineLevel="0" collapsed="false">
      <c r="A253" s="0" t="s">
        <v>1133</v>
      </c>
      <c r="B253" s="0" t="s">
        <v>1958</v>
      </c>
      <c r="C253" s="0" t="n">
        <v>1</v>
      </c>
      <c r="D253" s="0" t="str">
        <f aca="false">IF(C253=0,B253,"")</f>
        <v/>
      </c>
      <c r="E253" s="0" t="str">
        <f aca="false">IF(C253=0,A253,"")</f>
        <v/>
      </c>
    </row>
    <row r="254" customFormat="false" ht="12.8" hidden="false" customHeight="false" outlineLevel="0" collapsed="false">
      <c r="A254" s="0" t="s">
        <v>1134</v>
      </c>
      <c r="B254" s="0" t="s">
        <v>1957</v>
      </c>
      <c r="C254" s="0" t="n">
        <v>1</v>
      </c>
      <c r="D254" s="0" t="str">
        <f aca="false">IF(C254=0,B254,"")</f>
        <v/>
      </c>
      <c r="E254" s="0" t="str">
        <f aca="false">IF(C254=0,A254,"")</f>
        <v/>
      </c>
    </row>
    <row r="255" customFormat="false" ht="12.8" hidden="false" customHeight="false" outlineLevel="0" collapsed="false">
      <c r="A255" s="0" t="s">
        <v>1135</v>
      </c>
      <c r="B255" s="0" t="s">
        <v>1110</v>
      </c>
      <c r="C255" s="0" t="n">
        <v>1</v>
      </c>
      <c r="D255" s="0" t="str">
        <f aca="false">IF(C255=0,B255,"")</f>
        <v/>
      </c>
      <c r="E255" s="0" t="str">
        <f aca="false">IF(C255=0,A255,"")</f>
        <v/>
      </c>
    </row>
    <row r="256" customFormat="false" ht="12.8" hidden="false" customHeight="false" outlineLevel="0" collapsed="false">
      <c r="A256" s="0" t="s">
        <v>1136</v>
      </c>
      <c r="B256" s="0" t="s">
        <v>3305</v>
      </c>
      <c r="C256" s="0" t="n">
        <v>0</v>
      </c>
      <c r="D256" s="0" t="str">
        <f aca="false">IF(C256=0,B256,"")</f>
        <v>뿰</v>
      </c>
      <c r="E256" s="0" t="str">
        <f aca="false">IF(C256=0,A256,"")</f>
        <v>꿜</v>
      </c>
    </row>
    <row r="257" customFormat="false" ht="12.8" hidden="false" customHeight="false" outlineLevel="0" collapsed="false">
      <c r="A257" s="0" t="s">
        <v>1137</v>
      </c>
      <c r="B257" s="0" t="s">
        <v>3306</v>
      </c>
      <c r="C257" s="0" t="n">
        <v>0</v>
      </c>
      <c r="D257" s="0" t="str">
        <f aca="false">IF(C257=0,B257,"")</f>
        <v>뿻</v>
      </c>
      <c r="E257" s="0" t="str">
        <f aca="false">IF(C257=0,A257,"")</f>
        <v>꿨</v>
      </c>
    </row>
    <row r="258" customFormat="false" ht="12.8" hidden="false" customHeight="false" outlineLevel="0" collapsed="false">
      <c r="A258" s="0" t="s">
        <v>1138</v>
      </c>
      <c r="B258" s="0" t="s">
        <v>3307</v>
      </c>
      <c r="C258" s="0" t="n">
        <v>0</v>
      </c>
      <c r="D258" s="0" t="str">
        <f aca="false">IF(C258=0,B258,"")</f>
        <v>뿽</v>
      </c>
      <c r="E258" s="0" t="str">
        <f aca="false">IF(C258=0,A258,"")</f>
        <v>꿩</v>
      </c>
    </row>
    <row r="259" customFormat="false" ht="12.8" hidden="false" customHeight="false" outlineLevel="0" collapsed="false">
      <c r="A259" s="0" t="s">
        <v>1139</v>
      </c>
      <c r="B259" s="0" t="s">
        <v>1115</v>
      </c>
      <c r="C259" s="0" t="n">
        <v>1</v>
      </c>
      <c r="D259" s="0" t="str">
        <f aca="false">IF(C259=0,B259,"")</f>
        <v/>
      </c>
      <c r="E259" s="0" t="str">
        <f aca="false">IF(C259=0,A259,"")</f>
        <v/>
      </c>
    </row>
    <row r="260" customFormat="false" ht="12.8" hidden="false" customHeight="false" outlineLevel="0" collapsed="false">
      <c r="A260" s="0" t="s">
        <v>1140</v>
      </c>
      <c r="B260" s="0" t="s">
        <v>3308</v>
      </c>
      <c r="C260" s="0" t="n">
        <v>0</v>
      </c>
      <c r="D260" s="0" t="str">
        <f aca="false">IF(C260=0,B260,"")</f>
        <v>쀅</v>
      </c>
      <c r="E260" s="0" t="str">
        <f aca="false">IF(C260=0,A260,"")</f>
        <v>꿱</v>
      </c>
    </row>
    <row r="261" customFormat="false" ht="12.8" hidden="false" customHeight="false" outlineLevel="0" collapsed="false">
      <c r="A261" s="0" t="s">
        <v>1141</v>
      </c>
      <c r="B261" s="0" t="s">
        <v>3309</v>
      </c>
      <c r="C261" s="0" t="n">
        <v>0</v>
      </c>
      <c r="D261" s="0" t="str">
        <f aca="false">IF(C261=0,B261,"")</f>
        <v>쀈</v>
      </c>
      <c r="E261" s="0" t="str">
        <f aca="false">IF(C261=0,A261,"")</f>
        <v>꿴</v>
      </c>
    </row>
    <row r="262" customFormat="false" ht="12.8" hidden="false" customHeight="false" outlineLevel="0" collapsed="false">
      <c r="A262" s="0" t="s">
        <v>1142</v>
      </c>
      <c r="B262" s="0" t="s">
        <v>3310</v>
      </c>
      <c r="C262" s="0" t="n">
        <v>0</v>
      </c>
      <c r="D262" s="0" t="str">
        <f aca="false">IF(C262=0,B262,"")</f>
        <v>쀌</v>
      </c>
      <c r="E262" s="0" t="str">
        <f aca="false">IF(C262=0,A262,"")</f>
        <v>꿸</v>
      </c>
    </row>
    <row r="263" customFormat="false" ht="12.8" hidden="false" customHeight="false" outlineLevel="0" collapsed="false">
      <c r="A263" s="0" t="s">
        <v>1143</v>
      </c>
      <c r="B263" s="0" t="s">
        <v>3311</v>
      </c>
      <c r="C263" s="0" t="n">
        <v>0</v>
      </c>
      <c r="D263" s="0" t="str">
        <f aca="false">IF(C263=0,B263,"")</f>
        <v>쀔</v>
      </c>
      <c r="E263" s="0" t="str">
        <f aca="false">IF(C263=0,A263,"")</f>
        <v>뀀</v>
      </c>
    </row>
    <row r="264" customFormat="false" ht="12.8" hidden="false" customHeight="false" outlineLevel="0" collapsed="false">
      <c r="A264" s="0" t="s">
        <v>1144</v>
      </c>
      <c r="B264" s="0" t="s">
        <v>3312</v>
      </c>
      <c r="C264" s="0" t="n">
        <v>0</v>
      </c>
      <c r="D264" s="0" t="str">
        <f aca="false">IF(C264=0,B264,"")</f>
        <v>쀕</v>
      </c>
      <c r="E264" s="0" t="str">
        <f aca="false">IF(C264=0,A264,"")</f>
        <v>뀁</v>
      </c>
    </row>
    <row r="265" customFormat="false" ht="12.8" hidden="false" customHeight="false" outlineLevel="0" collapsed="false">
      <c r="A265" s="0" t="s">
        <v>1145</v>
      </c>
      <c r="B265" s="0" t="s">
        <v>3313</v>
      </c>
      <c r="C265" s="0" t="n">
        <v>0</v>
      </c>
      <c r="D265" s="0" t="str">
        <f aca="false">IF(C265=0,B265,"")</f>
        <v>쀗</v>
      </c>
      <c r="E265" s="0" t="str">
        <f aca="false">IF(C265=0,A265,"")</f>
        <v>뀄</v>
      </c>
    </row>
    <row r="266" customFormat="false" ht="12.8" hidden="false" customHeight="false" outlineLevel="0" collapsed="false">
      <c r="A266" s="0" t="s">
        <v>1146</v>
      </c>
      <c r="B266" s="0" t="s">
        <v>1139</v>
      </c>
      <c r="C266" s="0" t="n">
        <v>1</v>
      </c>
      <c r="D266" s="0" t="str">
        <f aca="false">IF(C266=0,B266,"")</f>
        <v/>
      </c>
      <c r="E266" s="0" t="str">
        <f aca="false">IF(C266=0,A266,"")</f>
        <v/>
      </c>
    </row>
    <row r="267" customFormat="false" ht="12.8" hidden="false" customHeight="false" outlineLevel="0" collapsed="false">
      <c r="A267" s="0" t="s">
        <v>1147</v>
      </c>
      <c r="B267" s="0" t="s">
        <v>3314</v>
      </c>
      <c r="C267" s="0" t="n">
        <v>0</v>
      </c>
      <c r="D267" s="0" t="str">
        <f aca="false">IF(C267=0,B267,"")</f>
        <v>쀤</v>
      </c>
      <c r="E267" s="0" t="str">
        <f aca="false">IF(C267=0,A267,"")</f>
        <v>뀐</v>
      </c>
    </row>
    <row r="268" customFormat="false" ht="12.8" hidden="false" customHeight="false" outlineLevel="0" collapsed="false">
      <c r="A268" s="0" t="s">
        <v>1148</v>
      </c>
      <c r="B268" s="0" t="s">
        <v>3315</v>
      </c>
      <c r="C268" s="0" t="n">
        <v>0</v>
      </c>
      <c r="D268" s="0" t="str">
        <f aca="false">IF(C268=0,B268,"")</f>
        <v>쀨</v>
      </c>
      <c r="E268" s="0" t="str">
        <f aca="false">IF(C268=0,A268,"")</f>
        <v>뀔</v>
      </c>
    </row>
    <row r="269" customFormat="false" ht="12.8" hidden="false" customHeight="false" outlineLevel="0" collapsed="false">
      <c r="A269" s="0" t="s">
        <v>1149</v>
      </c>
      <c r="B269" s="0" t="s">
        <v>3316</v>
      </c>
      <c r="C269" s="0" t="n">
        <v>0</v>
      </c>
      <c r="D269" s="0" t="str">
        <f aca="false">IF(C269=0,B269,"")</f>
        <v>쀰</v>
      </c>
      <c r="E269" s="0" t="str">
        <f aca="false">IF(C269=0,A269,"")</f>
        <v>뀜</v>
      </c>
    </row>
    <row r="270" customFormat="false" ht="12.8" hidden="false" customHeight="false" outlineLevel="0" collapsed="false">
      <c r="A270" s="0" t="s">
        <v>1150</v>
      </c>
      <c r="B270" s="0" t="s">
        <v>3317</v>
      </c>
      <c r="C270" s="0" t="n">
        <v>0</v>
      </c>
      <c r="D270" s="0" t="str">
        <f aca="false">IF(C270=0,B270,"")</f>
        <v>쀱</v>
      </c>
      <c r="E270" s="0" t="str">
        <f aca="false">IF(C270=0,A270,"")</f>
        <v>뀝</v>
      </c>
    </row>
    <row r="271" customFormat="false" ht="12.8" hidden="false" customHeight="false" outlineLevel="0" collapsed="false">
      <c r="A271" s="0" t="s">
        <v>1151</v>
      </c>
      <c r="B271" s="0" t="s">
        <v>1064</v>
      </c>
      <c r="C271" s="0" t="n">
        <v>1</v>
      </c>
      <c r="D271" s="0" t="str">
        <f aca="false">IF(C271=0,B271,"")</f>
        <v/>
      </c>
      <c r="E271" s="0" t="str">
        <f aca="false">IF(C271=0,A271,"")</f>
        <v/>
      </c>
    </row>
    <row r="272" customFormat="false" ht="12.8" hidden="false" customHeight="false" outlineLevel="0" collapsed="false">
      <c r="A272" s="0" t="s">
        <v>1152</v>
      </c>
      <c r="B272" s="0" t="s">
        <v>1073</v>
      </c>
      <c r="C272" s="0" t="n">
        <v>1</v>
      </c>
      <c r="D272" s="0" t="str">
        <f aca="false">IF(C272=0,B272,"")</f>
        <v/>
      </c>
      <c r="E272" s="0" t="str">
        <f aca="false">IF(C272=0,A272,"")</f>
        <v/>
      </c>
    </row>
    <row r="273" customFormat="false" ht="12.8" hidden="false" customHeight="false" outlineLevel="0" collapsed="false">
      <c r="A273" s="0" t="s">
        <v>1153</v>
      </c>
      <c r="B273" s="0" t="s">
        <v>3318</v>
      </c>
      <c r="C273" s="0" t="n">
        <v>0</v>
      </c>
      <c r="D273" s="0" t="str">
        <f aca="false">IF(C273=0,B273,"")</f>
        <v>쁙</v>
      </c>
      <c r="E273" s="0" t="str">
        <f aca="false">IF(C273=0,A273,"")</f>
        <v>끅</v>
      </c>
    </row>
    <row r="274" customFormat="false" ht="12.8" hidden="false" customHeight="false" outlineLevel="0" collapsed="false">
      <c r="A274" s="0" t="s">
        <v>1154</v>
      </c>
      <c r="B274" s="0" t="s">
        <v>1962</v>
      </c>
      <c r="C274" s="0" t="n">
        <v>1</v>
      </c>
      <c r="D274" s="0" t="str">
        <f aca="false">IF(C274=0,B274,"")</f>
        <v/>
      </c>
      <c r="E274" s="0" t="str">
        <f aca="false">IF(C274=0,A274,"")</f>
        <v/>
      </c>
    </row>
    <row r="275" customFormat="false" ht="12.8" hidden="false" customHeight="false" outlineLevel="0" collapsed="false">
      <c r="A275" s="0" t="s">
        <v>1155</v>
      </c>
      <c r="B275" s="0" t="s">
        <v>1962</v>
      </c>
      <c r="C275" s="0" t="n">
        <v>1</v>
      </c>
      <c r="D275" s="0" t="str">
        <f aca="false">IF(C275=0,B275,"")</f>
        <v/>
      </c>
      <c r="E275" s="0" t="str">
        <f aca="false">IF(C275=0,A275,"")</f>
        <v/>
      </c>
    </row>
    <row r="276" customFormat="false" ht="12.8" hidden="false" customHeight="false" outlineLevel="0" collapsed="false">
      <c r="A276" s="0" t="s">
        <v>1156</v>
      </c>
      <c r="B276" s="0" t="s">
        <v>1963</v>
      </c>
      <c r="C276" s="0" t="n">
        <v>1</v>
      </c>
      <c r="D276" s="0" t="str">
        <f aca="false">IF(C276=0,B276,"")</f>
        <v/>
      </c>
      <c r="E276" s="0" t="str">
        <f aca="false">IF(C276=0,A276,"")</f>
        <v/>
      </c>
    </row>
    <row r="277" customFormat="false" ht="12.8" hidden="false" customHeight="false" outlineLevel="0" collapsed="false">
      <c r="A277" s="0" t="s">
        <v>1157</v>
      </c>
      <c r="B277" s="0" t="s">
        <v>1963</v>
      </c>
      <c r="C277" s="0" t="n">
        <v>1</v>
      </c>
      <c r="D277" s="0" t="str">
        <f aca="false">IF(C277=0,B277,"")</f>
        <v/>
      </c>
      <c r="E277" s="0" t="str">
        <f aca="false">IF(C277=0,A277,"")</f>
        <v/>
      </c>
    </row>
    <row r="278" customFormat="false" ht="12.8" hidden="false" customHeight="false" outlineLevel="0" collapsed="false">
      <c r="A278" s="0" t="s">
        <v>1158</v>
      </c>
      <c r="B278" s="0" t="s">
        <v>1963</v>
      </c>
      <c r="C278" s="0" t="n">
        <v>1</v>
      </c>
      <c r="D278" s="0" t="str">
        <f aca="false">IF(C278=0,B278,"")</f>
        <v/>
      </c>
      <c r="E278" s="0" t="str">
        <f aca="false">IF(C278=0,A278,"")</f>
        <v/>
      </c>
    </row>
    <row r="279" customFormat="false" ht="12.8" hidden="false" customHeight="false" outlineLevel="0" collapsed="false">
      <c r="A279" s="0" t="s">
        <v>1159</v>
      </c>
      <c r="B279" s="0" t="s">
        <v>1964</v>
      </c>
      <c r="C279" s="0" t="n">
        <v>1</v>
      </c>
      <c r="D279" s="0" t="str">
        <f aca="false">IF(C279=0,B279,"")</f>
        <v/>
      </c>
      <c r="E279" s="0" t="str">
        <f aca="false">IF(C279=0,A279,"")</f>
        <v/>
      </c>
    </row>
    <row r="280" customFormat="false" ht="12.8" hidden="false" customHeight="false" outlineLevel="0" collapsed="false">
      <c r="A280" s="0" t="s">
        <v>1160</v>
      </c>
      <c r="B280" s="0" t="s">
        <v>1965</v>
      </c>
      <c r="C280" s="0" t="n">
        <v>1</v>
      </c>
      <c r="D280" s="0" t="str">
        <f aca="false">IF(C280=0,B280,"")</f>
        <v/>
      </c>
      <c r="E280" s="0" t="str">
        <f aca="false">IF(C280=0,A280,"")</f>
        <v/>
      </c>
    </row>
    <row r="281" customFormat="false" ht="12.8" hidden="false" customHeight="false" outlineLevel="0" collapsed="false">
      <c r="A281" s="0" t="s">
        <v>1161</v>
      </c>
      <c r="B281" s="0" t="s">
        <v>3319</v>
      </c>
      <c r="C281" s="0" t="n">
        <v>0</v>
      </c>
      <c r="D281" s="0" t="str">
        <f aca="false">IF(C281=0,B281,"")</f>
        <v>쁫</v>
      </c>
      <c r="E281" s="0" t="str">
        <f aca="false">IF(C281=0,A281,"")</f>
        <v>끗</v>
      </c>
    </row>
    <row r="282" customFormat="false" ht="12.8" hidden="false" customHeight="false" outlineLevel="0" collapsed="false">
      <c r="A282" s="0" t="s">
        <v>1162</v>
      </c>
      <c r="B282" s="0" t="s">
        <v>3320</v>
      </c>
      <c r="C282" s="0" t="n">
        <v>0</v>
      </c>
      <c r="D282" s="0" t="str">
        <f aca="false">IF(C282=0,B282,"")</f>
        <v>쁭</v>
      </c>
      <c r="E282" s="0" t="str">
        <f aca="false">IF(C282=0,A282,"")</f>
        <v>끙</v>
      </c>
    </row>
    <row r="283" customFormat="false" ht="12.8" hidden="false" customHeight="false" outlineLevel="0" collapsed="false">
      <c r="A283" s="0" t="s">
        <v>1163</v>
      </c>
      <c r="B283" s="0" t="s">
        <v>3319</v>
      </c>
      <c r="C283" s="0" t="n">
        <v>0</v>
      </c>
      <c r="D283" s="0" t="str">
        <f aca="false">IF(C283=0,B283,"")</f>
        <v>쁫</v>
      </c>
      <c r="E283" s="0" t="str">
        <f aca="false">IF(C283=0,A283,"")</f>
        <v>끝</v>
      </c>
    </row>
    <row r="284" customFormat="false" ht="12.8" hidden="false" customHeight="false" outlineLevel="0" collapsed="false">
      <c r="A284" s="0" t="s">
        <v>1164</v>
      </c>
      <c r="B284" s="0" t="s">
        <v>1152</v>
      </c>
      <c r="C284" s="0" t="n">
        <v>1</v>
      </c>
      <c r="D284" s="0" t="str">
        <f aca="false">IF(C284=0,B284,"")</f>
        <v/>
      </c>
      <c r="E284" s="0" t="str">
        <f aca="false">IF(C284=0,A284,"")</f>
        <v/>
      </c>
    </row>
    <row r="285" customFormat="false" ht="12.8" hidden="false" customHeight="false" outlineLevel="0" collapsed="false">
      <c r="A285" s="0" t="s">
        <v>1165</v>
      </c>
      <c r="B285" s="0" t="s">
        <v>1967</v>
      </c>
      <c r="C285" s="0" t="n">
        <v>1</v>
      </c>
      <c r="D285" s="0" t="str">
        <f aca="false">IF(C285=0,B285,"")</f>
        <v/>
      </c>
      <c r="E285" s="0" t="str">
        <f aca="false">IF(C285=0,A285,"")</f>
        <v/>
      </c>
    </row>
    <row r="286" customFormat="false" ht="12.8" hidden="false" customHeight="false" outlineLevel="0" collapsed="false">
      <c r="A286" s="0" t="s">
        <v>1166</v>
      </c>
      <c r="B286" s="0" t="s">
        <v>1968</v>
      </c>
      <c r="C286" s="0" t="n">
        <v>1</v>
      </c>
      <c r="D286" s="0" t="str">
        <f aca="false">IF(C286=0,B286,"")</f>
        <v/>
      </c>
      <c r="E286" s="0" t="str">
        <f aca="false">IF(C286=0,A286,"")</f>
        <v/>
      </c>
    </row>
    <row r="287" customFormat="false" ht="12.8" hidden="false" customHeight="false" outlineLevel="0" collapsed="false">
      <c r="A287" s="0" t="s">
        <v>1167</v>
      </c>
      <c r="B287" s="0" t="s">
        <v>1969</v>
      </c>
      <c r="C287" s="0" t="n">
        <v>1</v>
      </c>
      <c r="D287" s="0" t="str">
        <f aca="false">IF(C287=0,B287,"")</f>
        <v/>
      </c>
      <c r="E287" s="0" t="str">
        <f aca="false">IF(C287=0,A287,"")</f>
        <v/>
      </c>
    </row>
    <row r="288" customFormat="false" ht="12.8" hidden="false" customHeight="false" outlineLevel="0" collapsed="false">
      <c r="A288" s="0" t="s">
        <v>1168</v>
      </c>
      <c r="B288" s="0" t="s">
        <v>1970</v>
      </c>
      <c r="C288" s="0" t="n">
        <v>1</v>
      </c>
      <c r="D288" s="0" t="str">
        <f aca="false">IF(C288=0,B288,"")</f>
        <v/>
      </c>
      <c r="E288" s="0" t="str">
        <f aca="false">IF(C288=0,A288,"")</f>
        <v/>
      </c>
    </row>
    <row r="289" customFormat="false" ht="12.8" hidden="false" customHeight="false" outlineLevel="0" collapsed="false">
      <c r="A289" s="0" t="s">
        <v>1169</v>
      </c>
      <c r="B289" s="0" t="s">
        <v>1971</v>
      </c>
      <c r="C289" s="0" t="n">
        <v>1</v>
      </c>
      <c r="D289" s="0" t="str">
        <f aca="false">IF(C289=0,B289,"")</f>
        <v/>
      </c>
      <c r="E289" s="0" t="str">
        <f aca="false">IF(C289=0,A289,"")</f>
        <v/>
      </c>
    </row>
    <row r="290" customFormat="false" ht="12.8" hidden="false" customHeight="false" outlineLevel="0" collapsed="false">
      <c r="A290" s="0" t="s">
        <v>1170</v>
      </c>
      <c r="B290" s="0" t="s">
        <v>1972</v>
      </c>
      <c r="C290" s="0" t="n">
        <v>1</v>
      </c>
      <c r="D290" s="0" t="str">
        <f aca="false">IF(C290=0,B290,"")</f>
        <v/>
      </c>
      <c r="E290" s="0" t="str">
        <f aca="false">IF(C290=0,A290,"")</f>
        <v/>
      </c>
    </row>
    <row r="291" customFormat="false" ht="12.8" hidden="false" customHeight="false" outlineLevel="0" collapsed="false">
      <c r="A291" s="0" t="s">
        <v>1171</v>
      </c>
      <c r="B291" s="0" t="s">
        <v>1973</v>
      </c>
      <c r="C291" s="0" t="n">
        <v>1</v>
      </c>
      <c r="D291" s="0" t="str">
        <f aca="false">IF(C291=0,B291,"")</f>
        <v/>
      </c>
      <c r="E291" s="0" t="str">
        <f aca="false">IF(C291=0,A291,"")</f>
        <v/>
      </c>
    </row>
    <row r="292" customFormat="false" ht="12.8" hidden="false" customHeight="false" outlineLevel="0" collapsed="false">
      <c r="A292" s="0" t="s">
        <v>820</v>
      </c>
      <c r="B292" s="0" t="s">
        <v>785</v>
      </c>
      <c r="C292" s="0" t="n">
        <v>1</v>
      </c>
      <c r="D292" s="0" t="str">
        <f aca="false">IF(C292=0,B292,"")</f>
        <v/>
      </c>
      <c r="E292" s="0" t="str">
        <f aca="false">IF(C292=0,A292,"")</f>
        <v/>
      </c>
    </row>
    <row r="293" customFormat="false" ht="12.8" hidden="false" customHeight="false" outlineLevel="0" collapsed="false">
      <c r="A293" s="0" t="s">
        <v>1172</v>
      </c>
      <c r="B293" s="0" t="s">
        <v>3107</v>
      </c>
      <c r="C293" s="0" t="n">
        <v>1</v>
      </c>
      <c r="D293" s="0" t="str">
        <f aca="false">IF(C293=0,B293,"")</f>
        <v/>
      </c>
      <c r="E293" s="0" t="str">
        <f aca="false">IF(C293=0,A293,"")</f>
        <v/>
      </c>
    </row>
    <row r="294" customFormat="false" ht="12.8" hidden="false" customHeight="false" outlineLevel="0" collapsed="false">
      <c r="A294" s="0" t="s">
        <v>1173</v>
      </c>
      <c r="B294" s="0" t="s">
        <v>3107</v>
      </c>
      <c r="C294" s="0" t="n">
        <v>1</v>
      </c>
      <c r="D294" s="0" t="str">
        <f aca="false">IF(C294=0,B294,"")</f>
        <v/>
      </c>
      <c r="E294" s="0" t="str">
        <f aca="false">IF(C294=0,A294,"")</f>
        <v/>
      </c>
    </row>
    <row r="295" customFormat="false" ht="12.8" hidden="false" customHeight="false" outlineLevel="0" collapsed="false">
      <c r="A295" s="0" t="s">
        <v>1174</v>
      </c>
      <c r="B295" s="0" t="s">
        <v>3108</v>
      </c>
      <c r="C295" s="0" t="n">
        <v>1</v>
      </c>
      <c r="D295" s="0" t="str">
        <f aca="false">IF(C295=0,B295,"")</f>
        <v/>
      </c>
      <c r="E295" s="0" t="str">
        <f aca="false">IF(C295=0,A295,"")</f>
        <v/>
      </c>
    </row>
    <row r="296" customFormat="false" ht="12.8" hidden="false" customHeight="false" outlineLevel="0" collapsed="false">
      <c r="A296" s="0" t="s">
        <v>1175</v>
      </c>
      <c r="B296" s="0" t="s">
        <v>3113</v>
      </c>
      <c r="C296" s="0" t="n">
        <v>1</v>
      </c>
      <c r="D296" s="0" t="str">
        <f aca="false">IF(C296=0,B296,"")</f>
        <v/>
      </c>
      <c r="E296" s="0" t="str">
        <f aca="false">IF(C296=0,A296,"")</f>
        <v/>
      </c>
    </row>
    <row r="297" customFormat="false" ht="12.8" hidden="false" customHeight="false" outlineLevel="0" collapsed="false">
      <c r="A297" s="0" t="s">
        <v>1176</v>
      </c>
      <c r="B297" s="0" t="s">
        <v>3109</v>
      </c>
      <c r="C297" s="0" t="n">
        <v>1</v>
      </c>
      <c r="D297" s="0" t="str">
        <f aca="false">IF(C297=0,B297,"")</f>
        <v/>
      </c>
      <c r="E297" s="0" t="str">
        <f aca="false">IF(C297=0,A297,"")</f>
        <v/>
      </c>
    </row>
    <row r="298" customFormat="false" ht="12.8" hidden="false" customHeight="false" outlineLevel="0" collapsed="false">
      <c r="A298" s="0" t="s">
        <v>1177</v>
      </c>
      <c r="B298" s="0" t="s">
        <v>3109</v>
      </c>
      <c r="C298" s="0" t="n">
        <v>1</v>
      </c>
      <c r="D298" s="0" t="str">
        <f aca="false">IF(C298=0,B298,"")</f>
        <v/>
      </c>
      <c r="E298" s="0" t="str">
        <f aca="false">IF(C298=0,A298,"")</f>
        <v/>
      </c>
    </row>
    <row r="299" customFormat="false" ht="12.8" hidden="false" customHeight="false" outlineLevel="0" collapsed="false">
      <c r="A299" s="0" t="s">
        <v>1178</v>
      </c>
      <c r="B299" s="0" t="s">
        <v>3109</v>
      </c>
      <c r="C299" s="0" t="n">
        <v>1</v>
      </c>
      <c r="D299" s="0" t="str">
        <f aca="false">IF(C299=0,B299,"")</f>
        <v/>
      </c>
      <c r="E299" s="0" t="str">
        <f aca="false">IF(C299=0,A299,"")</f>
        <v/>
      </c>
    </row>
    <row r="300" customFormat="false" ht="12.8" hidden="false" customHeight="false" outlineLevel="0" collapsed="false">
      <c r="A300" s="0" t="s">
        <v>1179</v>
      </c>
      <c r="B300" s="0" t="s">
        <v>3111</v>
      </c>
      <c r="C300" s="0" t="n">
        <v>1</v>
      </c>
      <c r="D300" s="0" t="str">
        <f aca="false">IF(C300=0,B300,"")</f>
        <v/>
      </c>
      <c r="E300" s="0" t="str">
        <f aca="false">IF(C300=0,A300,"")</f>
        <v/>
      </c>
    </row>
    <row r="301" customFormat="false" ht="12.8" hidden="false" customHeight="false" outlineLevel="0" collapsed="false">
      <c r="A301" s="0" t="s">
        <v>1180</v>
      </c>
      <c r="B301" s="0" t="s">
        <v>3112</v>
      </c>
      <c r="C301" s="0" t="n">
        <v>1</v>
      </c>
      <c r="D301" s="0" t="str">
        <f aca="false">IF(C301=0,B301,"")</f>
        <v/>
      </c>
      <c r="E301" s="0" t="str">
        <f aca="false">IF(C301=0,A301,"")</f>
        <v/>
      </c>
    </row>
    <row r="302" customFormat="false" ht="12.8" hidden="false" customHeight="false" outlineLevel="0" collapsed="false">
      <c r="A302" s="0" t="s">
        <v>1181</v>
      </c>
      <c r="B302" s="0" t="s">
        <v>3113</v>
      </c>
      <c r="C302" s="0" t="n">
        <v>1</v>
      </c>
      <c r="D302" s="0" t="str">
        <f aca="false">IF(C302=0,B302,"")</f>
        <v/>
      </c>
      <c r="E302" s="0" t="str">
        <f aca="false">IF(C302=0,A302,"")</f>
        <v/>
      </c>
    </row>
    <row r="303" customFormat="false" ht="12.8" hidden="false" customHeight="false" outlineLevel="0" collapsed="false">
      <c r="A303" s="0" t="s">
        <v>1182</v>
      </c>
      <c r="B303" s="0" t="s">
        <v>3113</v>
      </c>
      <c r="C303" s="0" t="n">
        <v>1</v>
      </c>
      <c r="D303" s="0" t="str">
        <f aca="false">IF(C303=0,B303,"")</f>
        <v/>
      </c>
      <c r="E303" s="0" t="str">
        <f aca="false">IF(C303=0,A303,"")</f>
        <v/>
      </c>
    </row>
    <row r="304" customFormat="false" ht="12.8" hidden="false" customHeight="false" outlineLevel="0" collapsed="false">
      <c r="A304" s="0" t="s">
        <v>1183</v>
      </c>
      <c r="B304" s="0" t="s">
        <v>3114</v>
      </c>
      <c r="C304" s="0" t="n">
        <v>1</v>
      </c>
      <c r="D304" s="0" t="str">
        <f aca="false">IF(C304=0,B304,"")</f>
        <v/>
      </c>
      <c r="E304" s="0" t="str">
        <f aca="false">IF(C304=0,A304,"")</f>
        <v/>
      </c>
    </row>
    <row r="305" customFormat="false" ht="12.8" hidden="false" customHeight="false" outlineLevel="0" collapsed="false">
      <c r="A305" s="0" t="s">
        <v>1184</v>
      </c>
      <c r="B305" s="0" t="s">
        <v>3113</v>
      </c>
      <c r="C305" s="0" t="n">
        <v>1</v>
      </c>
      <c r="D305" s="0" t="str">
        <f aca="false">IF(C305=0,B305,"")</f>
        <v/>
      </c>
      <c r="E305" s="0" t="str">
        <f aca="false">IF(C305=0,A305,"")</f>
        <v/>
      </c>
    </row>
    <row r="306" customFormat="false" ht="12.8" hidden="false" customHeight="false" outlineLevel="0" collapsed="false">
      <c r="A306" s="0" t="s">
        <v>1185</v>
      </c>
      <c r="B306" s="0" t="s">
        <v>3113</v>
      </c>
      <c r="C306" s="0" t="n">
        <v>1</v>
      </c>
      <c r="D306" s="0" t="str">
        <f aca="false">IF(C306=0,B306,"")</f>
        <v/>
      </c>
      <c r="E306" s="0" t="str">
        <f aca="false">IF(C306=0,A306,"")</f>
        <v/>
      </c>
    </row>
    <row r="307" customFormat="false" ht="12.8" hidden="false" customHeight="false" outlineLevel="0" collapsed="false">
      <c r="A307" s="0" t="s">
        <v>1186</v>
      </c>
      <c r="B307" s="0" t="s">
        <v>3113</v>
      </c>
      <c r="C307" s="0" t="n">
        <v>1</v>
      </c>
      <c r="D307" s="0" t="str">
        <f aca="false">IF(C307=0,B307,"")</f>
        <v/>
      </c>
      <c r="E307" s="0" t="str">
        <f aca="false">IF(C307=0,A307,"")</f>
        <v/>
      </c>
    </row>
    <row r="308" customFormat="false" ht="12.8" hidden="false" customHeight="false" outlineLevel="0" collapsed="false">
      <c r="A308" s="0" t="s">
        <v>1187</v>
      </c>
      <c r="B308" s="0" t="s">
        <v>3113</v>
      </c>
      <c r="C308" s="0" t="n">
        <v>1</v>
      </c>
      <c r="D308" s="0" t="str">
        <f aca="false">IF(C308=0,B308,"")</f>
        <v/>
      </c>
      <c r="E308" s="0" t="str">
        <f aca="false">IF(C308=0,A308,"")</f>
        <v/>
      </c>
    </row>
    <row r="309" customFormat="false" ht="12.8" hidden="false" customHeight="false" outlineLevel="0" collapsed="false">
      <c r="A309" s="0" t="s">
        <v>1188</v>
      </c>
      <c r="B309" s="0" t="s">
        <v>1297</v>
      </c>
      <c r="C309" s="0" t="n">
        <v>1</v>
      </c>
      <c r="D309" s="0" t="str">
        <f aca="false">IF(C309=0,B309,"")</f>
        <v/>
      </c>
      <c r="E309" s="0" t="str">
        <f aca="false">IF(C309=0,A309,"")</f>
        <v/>
      </c>
    </row>
    <row r="310" customFormat="false" ht="12.8" hidden="false" customHeight="false" outlineLevel="0" collapsed="false">
      <c r="A310" s="0" t="s">
        <v>1189</v>
      </c>
      <c r="B310" s="0" t="s">
        <v>3116</v>
      </c>
      <c r="C310" s="0" t="n">
        <v>1</v>
      </c>
      <c r="D310" s="0" t="str">
        <f aca="false">IF(C310=0,B310,"")</f>
        <v/>
      </c>
      <c r="E310" s="0" t="str">
        <f aca="false">IF(C310=0,A310,"")</f>
        <v/>
      </c>
    </row>
    <row r="311" customFormat="false" ht="12.8" hidden="false" customHeight="false" outlineLevel="0" collapsed="false">
      <c r="A311" s="0" t="s">
        <v>1190</v>
      </c>
      <c r="B311" s="0" t="s">
        <v>3117</v>
      </c>
      <c r="C311" s="0" t="n">
        <v>1</v>
      </c>
      <c r="D311" s="0" t="str">
        <f aca="false">IF(C311=0,B311,"")</f>
        <v/>
      </c>
      <c r="E311" s="0" t="str">
        <f aca="false">IF(C311=0,A311,"")</f>
        <v/>
      </c>
    </row>
    <row r="312" customFormat="false" ht="12.8" hidden="false" customHeight="false" outlineLevel="0" collapsed="false">
      <c r="A312" s="0" t="s">
        <v>1191</v>
      </c>
      <c r="B312" s="0" t="s">
        <v>3118</v>
      </c>
      <c r="C312" s="0" t="n">
        <v>1</v>
      </c>
      <c r="D312" s="0" t="str">
        <f aca="false">IF(C312=0,B312,"")</f>
        <v/>
      </c>
      <c r="E312" s="0" t="str">
        <f aca="false">IF(C312=0,A312,"")</f>
        <v/>
      </c>
    </row>
    <row r="313" customFormat="false" ht="12.8" hidden="false" customHeight="false" outlineLevel="0" collapsed="false">
      <c r="A313" s="0" t="s">
        <v>1192</v>
      </c>
      <c r="B313" s="0" t="s">
        <v>3119</v>
      </c>
      <c r="C313" s="0" t="n">
        <v>1</v>
      </c>
      <c r="D313" s="0" t="str">
        <f aca="false">IF(C313=0,B313,"")</f>
        <v/>
      </c>
      <c r="E313" s="0" t="str">
        <f aca="false">IF(C313=0,A313,"")</f>
        <v/>
      </c>
    </row>
    <row r="314" customFormat="false" ht="12.8" hidden="false" customHeight="false" outlineLevel="0" collapsed="false">
      <c r="A314" s="0" t="s">
        <v>1193</v>
      </c>
      <c r="B314" s="0" t="s">
        <v>3120</v>
      </c>
      <c r="C314" s="0" t="n">
        <v>1</v>
      </c>
      <c r="D314" s="0" t="str">
        <f aca="false">IF(C314=0,B314,"")</f>
        <v/>
      </c>
      <c r="E314" s="0" t="str">
        <f aca="false">IF(C314=0,A314,"")</f>
        <v/>
      </c>
    </row>
    <row r="315" customFormat="false" ht="12.8" hidden="false" customHeight="false" outlineLevel="0" collapsed="false">
      <c r="A315" s="0" t="s">
        <v>1194</v>
      </c>
      <c r="B315" s="0" t="s">
        <v>3121</v>
      </c>
      <c r="C315" s="0" t="n">
        <v>1</v>
      </c>
      <c r="D315" s="0" t="str">
        <f aca="false">IF(C315=0,B315,"")</f>
        <v/>
      </c>
      <c r="E315" s="0" t="str">
        <f aca="false">IF(C315=0,A315,"")</f>
        <v/>
      </c>
    </row>
    <row r="316" customFormat="false" ht="12.8" hidden="false" customHeight="false" outlineLevel="0" collapsed="false">
      <c r="A316" s="0" t="s">
        <v>1195</v>
      </c>
      <c r="B316" s="0" t="s">
        <v>3121</v>
      </c>
      <c r="C316" s="0" t="n">
        <v>1</v>
      </c>
      <c r="D316" s="0" t="str">
        <f aca="false">IF(C316=0,B316,"")</f>
        <v/>
      </c>
      <c r="E316" s="0" t="str">
        <f aca="false">IF(C316=0,A316,"")</f>
        <v/>
      </c>
    </row>
    <row r="317" customFormat="false" ht="12.8" hidden="false" customHeight="false" outlineLevel="0" collapsed="false">
      <c r="A317" s="0" t="s">
        <v>1196</v>
      </c>
      <c r="B317" s="0" t="s">
        <v>3123</v>
      </c>
      <c r="C317" s="0" t="n">
        <v>1</v>
      </c>
      <c r="D317" s="0" t="str">
        <f aca="false">IF(C317=0,B317,"")</f>
        <v/>
      </c>
      <c r="E317" s="0" t="str">
        <f aca="false">IF(C317=0,A317,"")</f>
        <v/>
      </c>
    </row>
    <row r="318" customFormat="false" ht="12.8" hidden="false" customHeight="false" outlineLevel="0" collapsed="false">
      <c r="A318" s="0" t="s">
        <v>1197</v>
      </c>
      <c r="B318" s="0" t="s">
        <v>1255</v>
      </c>
      <c r="C318" s="0" t="n">
        <v>1</v>
      </c>
      <c r="D318" s="0" t="str">
        <f aca="false">IF(C318=0,B318,"")</f>
        <v/>
      </c>
      <c r="E318" s="0" t="str">
        <f aca="false">IF(C318=0,A318,"")</f>
        <v/>
      </c>
    </row>
    <row r="319" customFormat="false" ht="12.8" hidden="false" customHeight="false" outlineLevel="0" collapsed="false">
      <c r="A319" s="0" t="s">
        <v>1198</v>
      </c>
      <c r="B319" s="0" t="s">
        <v>3321</v>
      </c>
      <c r="C319" s="0" t="n">
        <v>0</v>
      </c>
      <c r="D319" s="0" t="str">
        <f aca="false">IF(C319=0,B319,"")</f>
        <v>햑</v>
      </c>
      <c r="E319" s="0" t="str">
        <f aca="false">IF(C319=0,A319,"")</f>
        <v>냑</v>
      </c>
    </row>
    <row r="320" customFormat="false" ht="12.8" hidden="false" customHeight="false" outlineLevel="0" collapsed="false">
      <c r="A320" s="0" t="s">
        <v>1199</v>
      </c>
      <c r="B320" s="0" t="s">
        <v>3322</v>
      </c>
      <c r="C320" s="0" t="n">
        <v>0</v>
      </c>
      <c r="D320" s="0" t="str">
        <f aca="false">IF(C320=0,B320,"")</f>
        <v>햔</v>
      </c>
      <c r="E320" s="0" t="str">
        <f aca="false">IF(C320=0,A320,"")</f>
        <v>냔</v>
      </c>
    </row>
    <row r="321" customFormat="false" ht="12.8" hidden="false" customHeight="false" outlineLevel="0" collapsed="false">
      <c r="A321" s="0" t="s">
        <v>1200</v>
      </c>
      <c r="B321" s="0" t="s">
        <v>3323</v>
      </c>
      <c r="C321" s="0" t="n">
        <v>0</v>
      </c>
      <c r="D321" s="0" t="str">
        <f aca="false">IF(C321=0,B321,"")</f>
        <v>햘</v>
      </c>
      <c r="E321" s="0" t="str">
        <f aca="false">IF(C321=0,A321,"")</f>
        <v>냘</v>
      </c>
    </row>
    <row r="322" customFormat="false" ht="12.8" hidden="false" customHeight="false" outlineLevel="0" collapsed="false">
      <c r="A322" s="0" t="s">
        <v>1201</v>
      </c>
      <c r="B322" s="0" t="s">
        <v>3324</v>
      </c>
      <c r="C322" s="0" t="n">
        <v>0</v>
      </c>
      <c r="D322" s="0" t="str">
        <f aca="false">IF(C322=0,B322,"")</f>
        <v>햠</v>
      </c>
      <c r="E322" s="0" t="str">
        <f aca="false">IF(C322=0,A322,"")</f>
        <v>냠</v>
      </c>
    </row>
    <row r="323" customFormat="false" ht="12.8" hidden="false" customHeight="false" outlineLevel="0" collapsed="false">
      <c r="A323" s="0" t="s">
        <v>1202</v>
      </c>
      <c r="B323" s="0" t="s">
        <v>3125</v>
      </c>
      <c r="C323" s="0" t="n">
        <v>1</v>
      </c>
      <c r="D323" s="0" t="str">
        <f aca="false">IF(C323=0,B323,"")</f>
        <v/>
      </c>
      <c r="E323" s="0" t="str">
        <f aca="false">IF(C323=0,A323,"")</f>
        <v/>
      </c>
    </row>
    <row r="324" customFormat="false" ht="12.8" hidden="false" customHeight="false" outlineLevel="0" collapsed="false">
      <c r="A324" s="0" t="s">
        <v>1203</v>
      </c>
      <c r="B324" s="0" t="s">
        <v>1262</v>
      </c>
      <c r="C324" s="0" t="n">
        <v>1</v>
      </c>
      <c r="D324" s="0" t="str">
        <f aca="false">IF(C324=0,B324,"")</f>
        <v/>
      </c>
      <c r="E324" s="0" t="str">
        <f aca="false">IF(C324=0,A324,"")</f>
        <v/>
      </c>
    </row>
    <row r="325" customFormat="false" ht="12.8" hidden="false" customHeight="false" outlineLevel="0" collapsed="false">
      <c r="A325" s="0" t="s">
        <v>1204</v>
      </c>
      <c r="B325" s="0" t="s">
        <v>3127</v>
      </c>
      <c r="C325" s="0" t="n">
        <v>1</v>
      </c>
      <c r="D325" s="0" t="str">
        <f aca="false">IF(C325=0,B325,"")</f>
        <v/>
      </c>
      <c r="E325" s="0" t="str">
        <f aca="false">IF(C325=0,A325,"")</f>
        <v/>
      </c>
    </row>
    <row r="326" customFormat="false" ht="12.8" hidden="false" customHeight="false" outlineLevel="0" collapsed="false">
      <c r="A326" s="0" t="s">
        <v>1205</v>
      </c>
      <c r="B326" s="0" t="s">
        <v>3127</v>
      </c>
      <c r="C326" s="0" t="n">
        <v>1</v>
      </c>
      <c r="D326" s="0" t="str">
        <f aca="false">IF(C326=0,B326,"")</f>
        <v/>
      </c>
      <c r="E326" s="0" t="str">
        <f aca="false">IF(C326=0,A326,"")</f>
        <v/>
      </c>
    </row>
    <row r="327" customFormat="false" ht="12.8" hidden="false" customHeight="false" outlineLevel="0" collapsed="false">
      <c r="A327" s="0" t="s">
        <v>1206</v>
      </c>
      <c r="B327" s="0" t="s">
        <v>3128</v>
      </c>
      <c r="C327" s="0" t="n">
        <v>1</v>
      </c>
      <c r="D327" s="0" t="str">
        <f aca="false">IF(C327=0,B327,"")</f>
        <v/>
      </c>
      <c r="E327" s="0" t="str">
        <f aca="false">IF(C327=0,A327,"")</f>
        <v/>
      </c>
    </row>
    <row r="328" customFormat="false" ht="12.8" hidden="false" customHeight="false" outlineLevel="0" collapsed="false">
      <c r="A328" s="0" t="s">
        <v>1207</v>
      </c>
      <c r="B328" s="0" t="s">
        <v>3129</v>
      </c>
      <c r="C328" s="0" t="n">
        <v>1</v>
      </c>
      <c r="D328" s="0" t="str">
        <f aca="false">IF(C328=0,B328,"")</f>
        <v/>
      </c>
      <c r="E328" s="0" t="str">
        <f aca="false">IF(C328=0,A328,"")</f>
        <v/>
      </c>
    </row>
    <row r="329" customFormat="false" ht="12.8" hidden="false" customHeight="false" outlineLevel="0" collapsed="false">
      <c r="A329" s="0" t="s">
        <v>1208</v>
      </c>
      <c r="B329" s="0" t="s">
        <v>3129</v>
      </c>
      <c r="C329" s="0" t="n">
        <v>1</v>
      </c>
      <c r="D329" s="0" t="str">
        <f aca="false">IF(C329=0,B329,"")</f>
        <v/>
      </c>
      <c r="E329" s="0" t="str">
        <f aca="false">IF(C329=0,A329,"")</f>
        <v/>
      </c>
    </row>
    <row r="330" customFormat="false" ht="12.8" hidden="false" customHeight="false" outlineLevel="0" collapsed="false">
      <c r="A330" s="0" t="s">
        <v>1209</v>
      </c>
      <c r="B330" s="0" t="s">
        <v>3129</v>
      </c>
      <c r="C330" s="0" t="n">
        <v>1</v>
      </c>
      <c r="D330" s="0" t="str">
        <f aca="false">IF(C330=0,B330,"")</f>
        <v/>
      </c>
      <c r="E330" s="0" t="str">
        <f aca="false">IF(C330=0,A330,"")</f>
        <v/>
      </c>
    </row>
    <row r="331" customFormat="false" ht="12.8" hidden="false" customHeight="false" outlineLevel="0" collapsed="false">
      <c r="A331" s="0" t="s">
        <v>1210</v>
      </c>
      <c r="B331" s="0" t="s">
        <v>3131</v>
      </c>
      <c r="C331" s="0" t="n">
        <v>1</v>
      </c>
      <c r="D331" s="0" t="str">
        <f aca="false">IF(C331=0,B331,"")</f>
        <v/>
      </c>
      <c r="E331" s="0" t="str">
        <f aca="false">IF(C331=0,A331,"")</f>
        <v/>
      </c>
    </row>
    <row r="332" customFormat="false" ht="12.8" hidden="false" customHeight="false" outlineLevel="0" collapsed="false">
      <c r="A332" s="0" t="s">
        <v>1211</v>
      </c>
      <c r="B332" s="0" t="s">
        <v>3132</v>
      </c>
      <c r="C332" s="0" t="n">
        <v>1</v>
      </c>
      <c r="D332" s="0" t="str">
        <f aca="false">IF(C332=0,B332,"")</f>
        <v/>
      </c>
      <c r="E332" s="0" t="str">
        <f aca="false">IF(C332=0,A332,"")</f>
        <v/>
      </c>
    </row>
    <row r="333" customFormat="false" ht="12.8" hidden="false" customHeight="false" outlineLevel="0" collapsed="false">
      <c r="A333" s="0" t="s">
        <v>1212</v>
      </c>
      <c r="B333" s="0" t="s">
        <v>3133</v>
      </c>
      <c r="C333" s="0" t="n">
        <v>1</v>
      </c>
      <c r="D333" s="0" t="str">
        <f aca="false">IF(C333=0,B333,"")</f>
        <v/>
      </c>
      <c r="E333" s="0" t="str">
        <f aca="false">IF(C333=0,A333,"")</f>
        <v/>
      </c>
    </row>
    <row r="334" customFormat="false" ht="12.8" hidden="false" customHeight="false" outlineLevel="0" collapsed="false">
      <c r="A334" s="0" t="s">
        <v>1213</v>
      </c>
      <c r="B334" s="0" t="s">
        <v>3133</v>
      </c>
      <c r="C334" s="0" t="n">
        <v>1</v>
      </c>
      <c r="D334" s="0" t="str">
        <f aca="false">IF(C334=0,B334,"")</f>
        <v/>
      </c>
      <c r="E334" s="0" t="str">
        <f aca="false">IF(C334=0,A334,"")</f>
        <v/>
      </c>
    </row>
    <row r="335" customFormat="false" ht="12.8" hidden="false" customHeight="false" outlineLevel="0" collapsed="false">
      <c r="A335" s="0" t="s">
        <v>1214</v>
      </c>
      <c r="B335" s="0" t="s">
        <v>3134</v>
      </c>
      <c r="C335" s="0" t="n">
        <v>1</v>
      </c>
      <c r="D335" s="0" t="str">
        <f aca="false">IF(C335=0,B335,"")</f>
        <v/>
      </c>
      <c r="E335" s="0" t="str">
        <f aca="false">IF(C335=0,A335,"")</f>
        <v/>
      </c>
    </row>
    <row r="336" customFormat="false" ht="12.8" hidden="false" customHeight="false" outlineLevel="0" collapsed="false">
      <c r="A336" s="0" t="s">
        <v>1215</v>
      </c>
      <c r="B336" s="0" t="s">
        <v>3133</v>
      </c>
      <c r="C336" s="0" t="n">
        <v>1</v>
      </c>
      <c r="D336" s="0" t="str">
        <f aca="false">IF(C336=0,B336,"")</f>
        <v/>
      </c>
      <c r="E336" s="0" t="str">
        <f aca="false">IF(C336=0,A336,"")</f>
        <v/>
      </c>
    </row>
    <row r="337" customFormat="false" ht="12.8" hidden="false" customHeight="false" outlineLevel="0" collapsed="false">
      <c r="A337" s="0" t="s">
        <v>1216</v>
      </c>
      <c r="B337" s="0" t="s">
        <v>820</v>
      </c>
      <c r="C337" s="0" t="n">
        <v>1</v>
      </c>
      <c r="D337" s="0" t="str">
        <f aca="false">IF(C337=0,B337,"")</f>
        <v/>
      </c>
      <c r="E337" s="0" t="str">
        <f aca="false">IF(C337=0,A337,"")</f>
        <v/>
      </c>
    </row>
    <row r="338" customFormat="false" ht="12.8" hidden="false" customHeight="false" outlineLevel="0" collapsed="false">
      <c r="A338" s="0" t="s">
        <v>1217</v>
      </c>
      <c r="B338" s="0" t="s">
        <v>3136</v>
      </c>
      <c r="C338" s="0" t="n">
        <v>1</v>
      </c>
      <c r="D338" s="0" t="str">
        <f aca="false">IF(C338=0,B338,"")</f>
        <v/>
      </c>
      <c r="E338" s="0" t="str">
        <f aca="false">IF(C338=0,A338,"")</f>
        <v/>
      </c>
    </row>
    <row r="339" customFormat="false" ht="12.8" hidden="false" customHeight="false" outlineLevel="0" collapsed="false">
      <c r="A339" s="0" t="s">
        <v>1218</v>
      </c>
      <c r="B339" s="0" t="s">
        <v>3137</v>
      </c>
      <c r="C339" s="0" t="n">
        <v>1</v>
      </c>
      <c r="D339" s="0" t="str">
        <f aca="false">IF(C339=0,B339,"")</f>
        <v/>
      </c>
      <c r="E339" s="0" t="str">
        <f aca="false">IF(C339=0,A339,"")</f>
        <v/>
      </c>
    </row>
    <row r="340" customFormat="false" ht="12.8" hidden="false" customHeight="false" outlineLevel="0" collapsed="false">
      <c r="A340" s="0" t="s">
        <v>1219</v>
      </c>
      <c r="B340" s="0" t="s">
        <v>3138</v>
      </c>
      <c r="C340" s="0" t="n">
        <v>1</v>
      </c>
      <c r="D340" s="0" t="str">
        <f aca="false">IF(C340=0,B340,"")</f>
        <v/>
      </c>
      <c r="E340" s="0" t="str">
        <f aca="false">IF(C340=0,A340,"")</f>
        <v/>
      </c>
    </row>
    <row r="341" customFormat="false" ht="12.8" hidden="false" customHeight="false" outlineLevel="0" collapsed="false">
      <c r="A341" s="0" t="s">
        <v>1220</v>
      </c>
      <c r="B341" s="0" t="s">
        <v>3139</v>
      </c>
      <c r="C341" s="0" t="n">
        <v>1</v>
      </c>
      <c r="D341" s="0" t="str">
        <f aca="false">IF(C341=0,B341,"")</f>
        <v/>
      </c>
      <c r="E341" s="0" t="str">
        <f aca="false">IF(C341=0,A341,"")</f>
        <v/>
      </c>
    </row>
    <row r="342" customFormat="false" ht="12.8" hidden="false" customHeight="false" outlineLevel="0" collapsed="false">
      <c r="A342" s="0" t="s">
        <v>1221</v>
      </c>
      <c r="B342" s="0" t="s">
        <v>3140</v>
      </c>
      <c r="C342" s="0" t="n">
        <v>1</v>
      </c>
      <c r="D342" s="0" t="str">
        <f aca="false">IF(C342=0,B342,"")</f>
        <v/>
      </c>
      <c r="E342" s="0" t="str">
        <f aca="false">IF(C342=0,A342,"")</f>
        <v/>
      </c>
    </row>
    <row r="343" customFormat="false" ht="12.8" hidden="false" customHeight="false" outlineLevel="0" collapsed="false">
      <c r="A343" s="0" t="s">
        <v>1222</v>
      </c>
      <c r="B343" s="0" t="s">
        <v>3141</v>
      </c>
      <c r="C343" s="0" t="n">
        <v>1</v>
      </c>
      <c r="D343" s="0" t="str">
        <f aca="false">IF(C343=0,B343,"")</f>
        <v/>
      </c>
      <c r="E343" s="0" t="str">
        <f aca="false">IF(C343=0,A343,"")</f>
        <v/>
      </c>
    </row>
    <row r="344" customFormat="false" ht="12.8" hidden="false" customHeight="false" outlineLevel="0" collapsed="false">
      <c r="A344" s="0" t="s">
        <v>1223</v>
      </c>
      <c r="B344" s="0" t="s">
        <v>3141</v>
      </c>
      <c r="C344" s="0" t="n">
        <v>1</v>
      </c>
      <c r="D344" s="0" t="str">
        <f aca="false">IF(C344=0,B344,"")</f>
        <v/>
      </c>
      <c r="E344" s="0" t="str">
        <f aca="false">IF(C344=0,A344,"")</f>
        <v/>
      </c>
    </row>
    <row r="345" customFormat="false" ht="12.8" hidden="false" customHeight="false" outlineLevel="0" collapsed="false">
      <c r="A345" s="0" t="s">
        <v>1224</v>
      </c>
      <c r="B345" s="0" t="s">
        <v>3142</v>
      </c>
      <c r="C345" s="0" t="n">
        <v>1</v>
      </c>
      <c r="D345" s="0" t="str">
        <f aca="false">IF(C345=0,B345,"")</f>
        <v/>
      </c>
      <c r="E345" s="0" t="str">
        <f aca="false">IF(C345=0,A345,"")</f>
        <v/>
      </c>
    </row>
    <row r="346" customFormat="false" ht="12.8" hidden="false" customHeight="false" outlineLevel="0" collapsed="false">
      <c r="A346" s="0" t="s">
        <v>1225</v>
      </c>
      <c r="B346" s="0" t="s">
        <v>1279</v>
      </c>
      <c r="C346" s="0" t="n">
        <v>1</v>
      </c>
      <c r="D346" s="0" t="str">
        <f aca="false">IF(C346=0,B346,"")</f>
        <v/>
      </c>
      <c r="E346" s="0" t="str">
        <f aca="false">IF(C346=0,A346,"")</f>
        <v/>
      </c>
    </row>
    <row r="347" customFormat="false" ht="12.8" hidden="false" customHeight="false" outlineLevel="0" collapsed="false">
      <c r="A347" s="0" t="s">
        <v>1226</v>
      </c>
      <c r="B347" s="0" t="s">
        <v>3144</v>
      </c>
      <c r="C347" s="0" t="n">
        <v>1</v>
      </c>
      <c r="D347" s="0" t="str">
        <f aca="false">IF(C347=0,B347,"")</f>
        <v/>
      </c>
      <c r="E347" s="0" t="str">
        <f aca="false">IF(C347=0,A347,"")</f>
        <v/>
      </c>
    </row>
    <row r="348" customFormat="false" ht="12.8" hidden="false" customHeight="false" outlineLevel="0" collapsed="false">
      <c r="A348" s="0" t="s">
        <v>1227</v>
      </c>
      <c r="B348" s="0" t="s">
        <v>3145</v>
      </c>
      <c r="C348" s="0" t="n">
        <v>1</v>
      </c>
      <c r="D348" s="0" t="str">
        <f aca="false">IF(C348=0,B348,"")</f>
        <v/>
      </c>
      <c r="E348" s="0" t="str">
        <f aca="false">IF(C348=0,A348,"")</f>
        <v/>
      </c>
    </row>
    <row r="349" customFormat="false" ht="12.8" hidden="false" customHeight="false" outlineLevel="0" collapsed="false">
      <c r="A349" s="0" t="s">
        <v>1228</v>
      </c>
      <c r="B349" s="0" t="s">
        <v>3146</v>
      </c>
      <c r="C349" s="0" t="n">
        <v>1</v>
      </c>
      <c r="D349" s="0" t="str">
        <f aca="false">IF(C349=0,B349,"")</f>
        <v/>
      </c>
      <c r="E349" s="0" t="str">
        <f aca="false">IF(C349=0,A349,"")</f>
        <v/>
      </c>
    </row>
    <row r="350" customFormat="false" ht="12.8" hidden="false" customHeight="false" outlineLevel="0" collapsed="false">
      <c r="A350" s="0" t="s">
        <v>1229</v>
      </c>
      <c r="B350" s="0" t="s">
        <v>3147</v>
      </c>
      <c r="C350" s="0" t="n">
        <v>1</v>
      </c>
      <c r="D350" s="0" t="str">
        <f aca="false">IF(C350=0,B350,"")</f>
        <v/>
      </c>
      <c r="E350" s="0" t="str">
        <f aca="false">IF(C350=0,A350,"")</f>
        <v/>
      </c>
    </row>
    <row r="351" customFormat="false" ht="12.8" hidden="false" customHeight="false" outlineLevel="0" collapsed="false">
      <c r="A351" s="0" t="s">
        <v>1230</v>
      </c>
      <c r="B351" s="0" t="s">
        <v>3148</v>
      </c>
      <c r="C351" s="0" t="n">
        <v>1</v>
      </c>
      <c r="D351" s="0" t="str">
        <f aca="false">IF(C351=0,B351,"")</f>
        <v/>
      </c>
      <c r="E351" s="0" t="str">
        <f aca="false">IF(C351=0,A351,"")</f>
        <v/>
      </c>
    </row>
    <row r="352" customFormat="false" ht="12.8" hidden="false" customHeight="false" outlineLevel="0" collapsed="false">
      <c r="A352" s="0" t="s">
        <v>1231</v>
      </c>
      <c r="B352" s="0" t="s">
        <v>3149</v>
      </c>
      <c r="C352" s="0" t="n">
        <v>1</v>
      </c>
      <c r="D352" s="0" t="str">
        <f aca="false">IF(C352=0,B352,"")</f>
        <v/>
      </c>
      <c r="E352" s="0" t="str">
        <f aca="false">IF(C352=0,A352,"")</f>
        <v/>
      </c>
    </row>
    <row r="353" customFormat="false" ht="12.8" hidden="false" customHeight="false" outlineLevel="0" collapsed="false">
      <c r="A353" s="0" t="s">
        <v>809</v>
      </c>
      <c r="B353" s="0" t="s">
        <v>3151</v>
      </c>
      <c r="C353" s="0" t="n">
        <v>1</v>
      </c>
      <c r="D353" s="0" t="str">
        <f aca="false">IF(C353=0,B353,"")</f>
        <v/>
      </c>
      <c r="E353" s="0" t="str">
        <f aca="false">IF(C353=0,A353,"")</f>
        <v/>
      </c>
    </row>
    <row r="354" customFormat="false" ht="12.8" hidden="false" customHeight="false" outlineLevel="0" collapsed="false">
      <c r="A354" s="0" t="s">
        <v>1232</v>
      </c>
      <c r="B354" s="0" t="s">
        <v>3144</v>
      </c>
      <c r="C354" s="0" t="n">
        <v>1</v>
      </c>
      <c r="D354" s="0" t="str">
        <f aca="false">IF(C354=0,B354,"")</f>
        <v/>
      </c>
      <c r="E354" s="0" t="str">
        <f aca="false">IF(C354=0,A354,"")</f>
        <v/>
      </c>
    </row>
    <row r="355" customFormat="false" ht="12.8" hidden="false" customHeight="false" outlineLevel="0" collapsed="false">
      <c r="A355" s="0" t="s">
        <v>1233</v>
      </c>
      <c r="B355" s="0" t="s">
        <v>1249</v>
      </c>
      <c r="C355" s="0" t="n">
        <v>1</v>
      </c>
      <c r="D355" s="0" t="str">
        <f aca="false">IF(C355=0,B355,"")</f>
        <v/>
      </c>
      <c r="E355" s="0" t="str">
        <f aca="false">IF(C355=0,A355,"")</f>
        <v/>
      </c>
    </row>
    <row r="356" customFormat="false" ht="12.8" hidden="false" customHeight="false" outlineLevel="0" collapsed="false">
      <c r="A356" s="0" t="s">
        <v>1234</v>
      </c>
      <c r="B356" s="0" t="s">
        <v>3153</v>
      </c>
      <c r="C356" s="0" t="n">
        <v>1</v>
      </c>
      <c r="D356" s="0" t="str">
        <f aca="false">IF(C356=0,B356,"")</f>
        <v/>
      </c>
      <c r="E356" s="0" t="str">
        <f aca="false">IF(C356=0,A356,"")</f>
        <v/>
      </c>
    </row>
    <row r="357" customFormat="false" ht="12.8" hidden="false" customHeight="false" outlineLevel="0" collapsed="false">
      <c r="A357" s="0" t="s">
        <v>785</v>
      </c>
      <c r="B357" s="0" t="s">
        <v>1203</v>
      </c>
      <c r="C357" s="0" t="n">
        <v>1</v>
      </c>
      <c r="D357" s="0" t="str">
        <f aca="false">IF(C357=0,B357,"")</f>
        <v/>
      </c>
      <c r="E357" s="0" t="str">
        <f aca="false">IF(C357=0,A357,"")</f>
        <v/>
      </c>
    </row>
    <row r="358" customFormat="false" ht="12.8" hidden="false" customHeight="false" outlineLevel="0" collapsed="false">
      <c r="A358" s="0" t="s">
        <v>1235</v>
      </c>
      <c r="B358" s="0" t="s">
        <v>3157</v>
      </c>
      <c r="C358" s="0" t="n">
        <v>1</v>
      </c>
      <c r="D358" s="0" t="str">
        <f aca="false">IF(C358=0,B358,"")</f>
        <v/>
      </c>
      <c r="E358" s="0" t="str">
        <f aca="false">IF(C358=0,A358,"")</f>
        <v/>
      </c>
    </row>
    <row r="359" customFormat="false" ht="12.8" hidden="false" customHeight="false" outlineLevel="0" collapsed="false">
      <c r="A359" s="0" t="s">
        <v>1236</v>
      </c>
      <c r="B359" s="0" t="s">
        <v>3158</v>
      </c>
      <c r="C359" s="0" t="n">
        <v>1</v>
      </c>
      <c r="D359" s="0" t="str">
        <f aca="false">IF(C359=0,B359,"")</f>
        <v/>
      </c>
      <c r="E359" s="0" t="str">
        <f aca="false">IF(C359=0,A359,"")</f>
        <v/>
      </c>
    </row>
    <row r="360" customFormat="false" ht="12.8" hidden="false" customHeight="false" outlineLevel="0" collapsed="false">
      <c r="A360" s="0" t="s">
        <v>1237</v>
      </c>
      <c r="B360" s="0" t="s">
        <v>3159</v>
      </c>
      <c r="C360" s="0" t="n">
        <v>1</v>
      </c>
      <c r="D360" s="0" t="str">
        <f aca="false">IF(C360=0,B360,"")</f>
        <v/>
      </c>
      <c r="E360" s="0" t="str">
        <f aca="false">IF(C360=0,A360,"")</f>
        <v/>
      </c>
    </row>
    <row r="361" customFormat="false" ht="12.8" hidden="false" customHeight="false" outlineLevel="0" collapsed="false">
      <c r="A361" s="0" t="s">
        <v>1238</v>
      </c>
      <c r="B361" s="0" t="s">
        <v>3159</v>
      </c>
      <c r="C361" s="0" t="n">
        <v>1</v>
      </c>
      <c r="D361" s="0" t="str">
        <f aca="false">IF(C361=0,B361,"")</f>
        <v/>
      </c>
      <c r="E361" s="0" t="str">
        <f aca="false">IF(C361=0,A361,"")</f>
        <v/>
      </c>
    </row>
    <row r="362" customFormat="false" ht="12.8" hidden="false" customHeight="false" outlineLevel="0" collapsed="false">
      <c r="A362" s="0" t="s">
        <v>1239</v>
      </c>
      <c r="B362" s="0" t="s">
        <v>3161</v>
      </c>
      <c r="C362" s="0" t="n">
        <v>1</v>
      </c>
      <c r="D362" s="0" t="str">
        <f aca="false">IF(C362=0,B362,"")</f>
        <v/>
      </c>
      <c r="E362" s="0" t="str">
        <f aca="false">IF(C362=0,A362,"")</f>
        <v/>
      </c>
    </row>
    <row r="363" customFormat="false" ht="12.8" hidden="false" customHeight="false" outlineLevel="0" collapsed="false">
      <c r="A363" s="0" t="s">
        <v>1240</v>
      </c>
      <c r="B363" s="0" t="s">
        <v>3162</v>
      </c>
      <c r="C363" s="0" t="n">
        <v>1</v>
      </c>
      <c r="D363" s="0" t="str">
        <f aca="false">IF(C363=0,B363,"")</f>
        <v/>
      </c>
      <c r="E363" s="0" t="str">
        <f aca="false">IF(C363=0,A363,"")</f>
        <v/>
      </c>
    </row>
    <row r="364" customFormat="false" ht="12.8" hidden="false" customHeight="false" outlineLevel="0" collapsed="false">
      <c r="A364" s="0" t="s">
        <v>1241</v>
      </c>
      <c r="B364" s="0" t="s">
        <v>3163</v>
      </c>
      <c r="C364" s="0" t="n">
        <v>1</v>
      </c>
      <c r="D364" s="0" t="str">
        <f aca="false">IF(C364=0,B364,"")</f>
        <v/>
      </c>
      <c r="E364" s="0" t="str">
        <f aca="false">IF(C364=0,A364,"")</f>
        <v/>
      </c>
    </row>
    <row r="365" customFormat="false" ht="12.8" hidden="false" customHeight="false" outlineLevel="0" collapsed="false">
      <c r="A365" s="0" t="s">
        <v>1242</v>
      </c>
      <c r="B365" s="0" t="s">
        <v>3164</v>
      </c>
      <c r="C365" s="0" t="n">
        <v>1</v>
      </c>
      <c r="D365" s="0" t="str">
        <f aca="false">IF(C365=0,B365,"")</f>
        <v/>
      </c>
      <c r="E365" s="0" t="str">
        <f aca="false">IF(C365=0,A365,"")</f>
        <v/>
      </c>
    </row>
    <row r="366" customFormat="false" ht="12.8" hidden="false" customHeight="false" outlineLevel="0" collapsed="false">
      <c r="A366" s="0" t="s">
        <v>1243</v>
      </c>
      <c r="B366" s="0" t="s">
        <v>3162</v>
      </c>
      <c r="C366" s="0" t="n">
        <v>1</v>
      </c>
      <c r="D366" s="0" t="str">
        <f aca="false">IF(C366=0,B366,"")</f>
        <v/>
      </c>
      <c r="E366" s="0" t="str">
        <f aca="false">IF(C366=0,A366,"")</f>
        <v/>
      </c>
    </row>
    <row r="367" customFormat="false" ht="12.8" hidden="false" customHeight="false" outlineLevel="0" collapsed="false">
      <c r="A367" s="0" t="s">
        <v>1244</v>
      </c>
      <c r="B367" s="0" t="s">
        <v>3163</v>
      </c>
      <c r="C367" s="0" t="n">
        <v>1</v>
      </c>
      <c r="D367" s="0" t="str">
        <f aca="false">IF(C367=0,B367,"")</f>
        <v/>
      </c>
      <c r="E367" s="0" t="str">
        <f aca="false">IF(C367=0,A367,"")</f>
        <v/>
      </c>
    </row>
    <row r="368" customFormat="false" ht="12.8" hidden="false" customHeight="false" outlineLevel="0" collapsed="false">
      <c r="A368" s="0" t="s">
        <v>1245</v>
      </c>
      <c r="B368" s="0" t="s">
        <v>1233</v>
      </c>
      <c r="C368" s="0" t="n">
        <v>1</v>
      </c>
      <c r="D368" s="0" t="str">
        <f aca="false">IF(C368=0,B368,"")</f>
        <v/>
      </c>
      <c r="E368" s="0" t="str">
        <f aca="false">IF(C368=0,A368,"")</f>
        <v/>
      </c>
    </row>
    <row r="369" customFormat="false" ht="12.8" hidden="false" customHeight="false" outlineLevel="0" collapsed="false">
      <c r="A369" s="0" t="s">
        <v>1246</v>
      </c>
      <c r="B369" s="0" t="s">
        <v>3168</v>
      </c>
      <c r="C369" s="0" t="n">
        <v>1</v>
      </c>
      <c r="D369" s="0" t="str">
        <f aca="false">IF(C369=0,B369,"")</f>
        <v/>
      </c>
      <c r="E369" s="0" t="str">
        <f aca="false">IF(C369=0,A369,"")</f>
        <v/>
      </c>
    </row>
    <row r="370" customFormat="false" ht="12.8" hidden="false" customHeight="false" outlineLevel="0" collapsed="false">
      <c r="A370" s="0" t="s">
        <v>1247</v>
      </c>
      <c r="B370" s="0" t="s">
        <v>3169</v>
      </c>
      <c r="C370" s="0" t="n">
        <v>1</v>
      </c>
      <c r="D370" s="0" t="str">
        <f aca="false">IF(C370=0,B370,"")</f>
        <v/>
      </c>
      <c r="E370" s="0" t="str">
        <f aca="false">IF(C370=0,A370,"")</f>
        <v/>
      </c>
    </row>
    <row r="371" customFormat="false" ht="12.8" hidden="false" customHeight="false" outlineLevel="0" collapsed="false">
      <c r="A371" s="0" t="s">
        <v>1248</v>
      </c>
      <c r="B371" s="0" t="s">
        <v>3170</v>
      </c>
      <c r="C371" s="0" t="n">
        <v>1</v>
      </c>
      <c r="D371" s="0" t="str">
        <f aca="false">IF(C371=0,B371,"")</f>
        <v/>
      </c>
      <c r="E371" s="0" t="str">
        <f aca="false">IF(C371=0,A371,"")</f>
        <v/>
      </c>
    </row>
    <row r="372" customFormat="false" ht="12.8" hidden="false" customHeight="false" outlineLevel="0" collapsed="false">
      <c r="A372" s="0" t="s">
        <v>1249</v>
      </c>
      <c r="B372" s="0" t="s">
        <v>1271</v>
      </c>
      <c r="C372" s="0" t="n">
        <v>1</v>
      </c>
      <c r="D372" s="0" t="str">
        <f aca="false">IF(C372=0,B372,"")</f>
        <v/>
      </c>
      <c r="E372" s="0" t="str">
        <f aca="false">IF(C372=0,A372,"")</f>
        <v/>
      </c>
    </row>
    <row r="373" customFormat="false" ht="12.8" hidden="false" customHeight="false" outlineLevel="0" collapsed="false">
      <c r="A373" s="0" t="s">
        <v>1250</v>
      </c>
      <c r="B373" s="0" t="s">
        <v>3179</v>
      </c>
      <c r="C373" s="0" t="n">
        <v>1</v>
      </c>
      <c r="D373" s="0" t="str">
        <f aca="false">IF(C373=0,B373,"")</f>
        <v/>
      </c>
      <c r="E373" s="0" t="str">
        <f aca="false">IF(C373=0,A373,"")</f>
        <v/>
      </c>
    </row>
    <row r="374" customFormat="false" ht="12.8" hidden="false" customHeight="false" outlineLevel="0" collapsed="false">
      <c r="A374" s="0" t="s">
        <v>1251</v>
      </c>
      <c r="B374" s="0" t="s">
        <v>3180</v>
      </c>
      <c r="C374" s="0" t="n">
        <v>1</v>
      </c>
      <c r="D374" s="0" t="str">
        <f aca="false">IF(C374=0,B374,"")</f>
        <v/>
      </c>
      <c r="E374" s="0" t="str">
        <f aca="false">IF(C374=0,A374,"")</f>
        <v/>
      </c>
    </row>
    <row r="375" customFormat="false" ht="12.8" hidden="false" customHeight="false" outlineLevel="0" collapsed="false">
      <c r="A375" s="0" t="s">
        <v>1252</v>
      </c>
      <c r="B375" s="0" t="s">
        <v>3325</v>
      </c>
      <c r="C375" s="0" t="n">
        <v>0</v>
      </c>
      <c r="D375" s="0" t="str">
        <f aca="false">IF(C375=0,B375,"")</f>
        <v>횜</v>
      </c>
      <c r="E375" s="0" t="str">
        <f aca="false">IF(C375=0,A375,"")</f>
        <v>뇜</v>
      </c>
    </row>
    <row r="376" customFormat="false" ht="12.8" hidden="false" customHeight="false" outlineLevel="0" collapsed="false">
      <c r="A376" s="0" t="s">
        <v>1253</v>
      </c>
      <c r="B376" s="0" t="s">
        <v>3181</v>
      </c>
      <c r="C376" s="0" t="n">
        <v>1</v>
      </c>
      <c r="D376" s="0" t="str">
        <f aca="false">IF(C376=0,B376,"")</f>
        <v/>
      </c>
      <c r="E376" s="0" t="str">
        <f aca="false">IF(C376=0,A376,"")</f>
        <v/>
      </c>
    </row>
    <row r="377" customFormat="false" ht="12.8" hidden="false" customHeight="false" outlineLevel="0" collapsed="false">
      <c r="A377" s="0" t="s">
        <v>1254</v>
      </c>
      <c r="B377" s="0" t="s">
        <v>3182</v>
      </c>
      <c r="C377" s="0" t="n">
        <v>1</v>
      </c>
      <c r="D377" s="0" t="str">
        <f aca="false">IF(C377=0,B377,"")</f>
        <v/>
      </c>
      <c r="E377" s="0" t="str">
        <f aca="false">IF(C377=0,A377,"")</f>
        <v/>
      </c>
    </row>
    <row r="378" customFormat="false" ht="12.8" hidden="false" customHeight="false" outlineLevel="0" collapsed="false">
      <c r="A378" s="0" t="s">
        <v>1255</v>
      </c>
      <c r="B378" s="0" t="s">
        <v>1225</v>
      </c>
      <c r="C378" s="0" t="n">
        <v>1</v>
      </c>
      <c r="D378" s="0" t="str">
        <f aca="false">IF(C378=0,B378,"")</f>
        <v/>
      </c>
      <c r="E378" s="0" t="str">
        <f aca="false">IF(C378=0,A378,"")</f>
        <v/>
      </c>
    </row>
    <row r="379" customFormat="false" ht="12.8" hidden="false" customHeight="false" outlineLevel="0" collapsed="false">
      <c r="A379" s="0" t="s">
        <v>1256</v>
      </c>
      <c r="B379" s="0" t="s">
        <v>3326</v>
      </c>
      <c r="C379" s="0" t="n">
        <v>0</v>
      </c>
      <c r="D379" s="0" t="str">
        <f aca="false">IF(C379=0,B379,"")</f>
        <v>횩</v>
      </c>
      <c r="E379" s="0" t="str">
        <f aca="false">IF(C379=0,A379,"")</f>
        <v>뇩</v>
      </c>
    </row>
    <row r="380" customFormat="false" ht="12.8" hidden="false" customHeight="false" outlineLevel="0" collapsed="false">
      <c r="A380" s="0" t="s">
        <v>1257</v>
      </c>
      <c r="B380" s="0" t="s">
        <v>3185</v>
      </c>
      <c r="C380" s="0" t="n">
        <v>1</v>
      </c>
      <c r="D380" s="0" t="str">
        <f aca="false">IF(C380=0,B380,"")</f>
        <v/>
      </c>
      <c r="E380" s="0" t="str">
        <f aca="false">IF(C380=0,A380,"")</f>
        <v/>
      </c>
    </row>
    <row r="381" customFormat="false" ht="12.8" hidden="false" customHeight="false" outlineLevel="0" collapsed="false">
      <c r="A381" s="0" t="s">
        <v>1258</v>
      </c>
      <c r="B381" s="0" t="s">
        <v>3186</v>
      </c>
      <c r="C381" s="0" t="n">
        <v>1</v>
      </c>
      <c r="D381" s="0" t="str">
        <f aca="false">IF(C381=0,B381,"")</f>
        <v/>
      </c>
      <c r="E381" s="0" t="str">
        <f aca="false">IF(C381=0,A381,"")</f>
        <v/>
      </c>
    </row>
    <row r="382" customFormat="false" ht="12.8" hidden="false" customHeight="false" outlineLevel="0" collapsed="false">
      <c r="A382" s="0" t="s">
        <v>1259</v>
      </c>
      <c r="B382" s="0" t="s">
        <v>3187</v>
      </c>
      <c r="C382" s="0" t="n">
        <v>1</v>
      </c>
      <c r="D382" s="0" t="str">
        <f aca="false">IF(C382=0,B382,"")</f>
        <v/>
      </c>
      <c r="E382" s="0" t="str">
        <f aca="false">IF(C382=0,A382,"")</f>
        <v/>
      </c>
    </row>
    <row r="383" customFormat="false" ht="12.8" hidden="false" customHeight="false" outlineLevel="0" collapsed="false">
      <c r="A383" s="0" t="s">
        <v>1260</v>
      </c>
      <c r="B383" s="0" t="s">
        <v>3188</v>
      </c>
      <c r="C383" s="0" t="n">
        <v>1</v>
      </c>
      <c r="D383" s="0" t="str">
        <f aca="false">IF(C383=0,B383,"")</f>
        <v/>
      </c>
      <c r="E383" s="0" t="str">
        <f aca="false">IF(C383=0,A383,"")</f>
        <v/>
      </c>
    </row>
    <row r="384" customFormat="false" ht="12.8" hidden="false" customHeight="false" outlineLevel="0" collapsed="false">
      <c r="A384" s="0" t="s">
        <v>1261</v>
      </c>
      <c r="B384" s="0" t="s">
        <v>3327</v>
      </c>
      <c r="C384" s="0" t="n">
        <v>0</v>
      </c>
      <c r="D384" s="0" t="str">
        <f aca="false">IF(C384=0,B384,"")</f>
        <v>횽</v>
      </c>
      <c r="E384" s="0" t="str">
        <f aca="false">IF(C384=0,A384,"")</f>
        <v>뇽</v>
      </c>
    </row>
    <row r="385" customFormat="false" ht="12.8" hidden="false" customHeight="false" outlineLevel="0" collapsed="false">
      <c r="A385" s="0" t="s">
        <v>1262</v>
      </c>
      <c r="B385" s="0" t="s">
        <v>1216</v>
      </c>
      <c r="C385" s="0" t="n">
        <v>1</v>
      </c>
      <c r="D385" s="0" t="str">
        <f aca="false">IF(C385=0,B385,"")</f>
        <v/>
      </c>
      <c r="E385" s="0" t="str">
        <f aca="false">IF(C385=0,A385,"")</f>
        <v/>
      </c>
    </row>
    <row r="386" customFormat="false" ht="12.8" hidden="false" customHeight="false" outlineLevel="0" collapsed="false">
      <c r="A386" s="0" t="s">
        <v>1263</v>
      </c>
      <c r="B386" s="0" t="s">
        <v>3190</v>
      </c>
      <c r="C386" s="0" t="n">
        <v>1</v>
      </c>
      <c r="D386" s="0" t="str">
        <f aca="false">IF(C386=0,B386,"")</f>
        <v/>
      </c>
      <c r="E386" s="0" t="str">
        <f aca="false">IF(C386=0,A386,"")</f>
        <v/>
      </c>
    </row>
    <row r="387" customFormat="false" ht="12.8" hidden="false" customHeight="false" outlineLevel="0" collapsed="false">
      <c r="A387" s="0" t="s">
        <v>1264</v>
      </c>
      <c r="B387" s="0" t="s">
        <v>3191</v>
      </c>
      <c r="C387" s="0" t="n">
        <v>1</v>
      </c>
      <c r="D387" s="0" t="str">
        <f aca="false">IF(C387=0,B387,"")</f>
        <v/>
      </c>
      <c r="E387" s="0" t="str">
        <f aca="false">IF(C387=0,A387,"")</f>
        <v/>
      </c>
    </row>
    <row r="388" customFormat="false" ht="12.8" hidden="false" customHeight="false" outlineLevel="0" collapsed="false">
      <c r="A388" s="0" t="s">
        <v>1265</v>
      </c>
      <c r="B388" s="0" t="s">
        <v>3195</v>
      </c>
      <c r="C388" s="0" t="n">
        <v>1</v>
      </c>
      <c r="D388" s="0" t="str">
        <f aca="false">IF(C388=0,B388,"")</f>
        <v/>
      </c>
      <c r="E388" s="0" t="str">
        <f aca="false">IF(C388=0,A388,"")</f>
        <v/>
      </c>
    </row>
    <row r="389" customFormat="false" ht="12.8" hidden="false" customHeight="false" outlineLevel="0" collapsed="false">
      <c r="A389" s="0" t="s">
        <v>1266</v>
      </c>
      <c r="B389" s="0" t="s">
        <v>3192</v>
      </c>
      <c r="C389" s="0" t="n">
        <v>1</v>
      </c>
      <c r="D389" s="0" t="str">
        <f aca="false">IF(C389=0,B389,"")</f>
        <v/>
      </c>
      <c r="E389" s="0" t="str">
        <f aca="false">IF(C389=0,A389,"")</f>
        <v/>
      </c>
    </row>
    <row r="390" customFormat="false" ht="12.8" hidden="false" customHeight="false" outlineLevel="0" collapsed="false">
      <c r="A390" s="0" t="s">
        <v>1267</v>
      </c>
      <c r="B390" s="0" t="s">
        <v>3194</v>
      </c>
      <c r="C390" s="0" t="n">
        <v>1</v>
      </c>
      <c r="D390" s="0" t="str">
        <f aca="false">IF(C390=0,B390,"")</f>
        <v/>
      </c>
      <c r="E390" s="0" t="str">
        <f aca="false">IF(C390=0,A390,"")</f>
        <v/>
      </c>
    </row>
    <row r="391" customFormat="false" ht="12.8" hidden="false" customHeight="false" outlineLevel="0" collapsed="false">
      <c r="A391" s="0" t="s">
        <v>1268</v>
      </c>
      <c r="B391" s="0" t="s">
        <v>3328</v>
      </c>
      <c r="C391" s="0" t="n">
        <v>0</v>
      </c>
      <c r="D391" s="0" t="str">
        <f aca="false">IF(C391=0,B391,"")</f>
        <v>훕</v>
      </c>
      <c r="E391" s="0" t="str">
        <f aca="false">IF(C391=0,A391,"")</f>
        <v>눕</v>
      </c>
    </row>
    <row r="392" customFormat="false" ht="12.8" hidden="false" customHeight="false" outlineLevel="0" collapsed="false">
      <c r="A392" s="0" t="s">
        <v>1269</v>
      </c>
      <c r="B392" s="0" t="s">
        <v>3195</v>
      </c>
      <c r="C392" s="0" t="n">
        <v>1</v>
      </c>
      <c r="D392" s="0" t="str">
        <f aca="false">IF(C392=0,B392,"")</f>
        <v/>
      </c>
      <c r="E392" s="0" t="str">
        <f aca="false">IF(C392=0,A392,"")</f>
        <v/>
      </c>
    </row>
    <row r="393" customFormat="false" ht="12.8" hidden="false" customHeight="false" outlineLevel="0" collapsed="false">
      <c r="A393" s="0" t="s">
        <v>1270</v>
      </c>
      <c r="B393" s="0" t="s">
        <v>3196</v>
      </c>
      <c r="C393" s="0" t="n">
        <v>1</v>
      </c>
      <c r="D393" s="0" t="str">
        <f aca="false">IF(C393=0,B393,"")</f>
        <v/>
      </c>
      <c r="E393" s="0" t="str">
        <f aca="false">IF(C393=0,A393,"")</f>
        <v/>
      </c>
    </row>
    <row r="394" customFormat="false" ht="12.8" hidden="false" customHeight="false" outlineLevel="0" collapsed="false">
      <c r="A394" s="0" t="s">
        <v>1271</v>
      </c>
      <c r="B394" s="0" t="s">
        <v>1245</v>
      </c>
      <c r="C394" s="0" t="n">
        <v>1</v>
      </c>
      <c r="D394" s="0" t="str">
        <f aca="false">IF(C394=0,B394,"")</f>
        <v/>
      </c>
      <c r="E394" s="0" t="str">
        <f aca="false">IF(C394=0,A394,"")</f>
        <v/>
      </c>
    </row>
    <row r="395" customFormat="false" ht="12.8" hidden="false" customHeight="false" outlineLevel="0" collapsed="false">
      <c r="A395" s="0" t="s">
        <v>1272</v>
      </c>
      <c r="B395" s="0" t="s">
        <v>3329</v>
      </c>
      <c r="C395" s="0" t="n">
        <v>0</v>
      </c>
      <c r="D395" s="0" t="str">
        <f aca="false">IF(C395=0,B395,"")</f>
        <v>훳</v>
      </c>
      <c r="E395" s="0" t="str">
        <f aca="false">IF(C395=0,A395,"")</f>
        <v>눴</v>
      </c>
    </row>
    <row r="396" customFormat="false" ht="12.8" hidden="false" customHeight="false" outlineLevel="0" collapsed="false">
      <c r="A396" s="0" t="s">
        <v>1273</v>
      </c>
      <c r="B396" s="0" t="s">
        <v>3330</v>
      </c>
      <c r="C396" s="0" t="n">
        <v>0</v>
      </c>
      <c r="D396" s="0" t="str">
        <f aca="false">IF(C396=0,B396,"")</f>
        <v>놰</v>
      </c>
      <c r="E396" s="0" t="str">
        <f aca="false">IF(C396=0,A396,"")</f>
        <v>눼</v>
      </c>
    </row>
    <row r="397" customFormat="false" ht="12.8" hidden="false" customHeight="false" outlineLevel="0" collapsed="false">
      <c r="A397" s="0" t="s">
        <v>1274</v>
      </c>
      <c r="B397" s="0" t="s">
        <v>1273</v>
      </c>
      <c r="C397" s="0" t="n">
        <v>1</v>
      </c>
      <c r="D397" s="0" t="str">
        <f aca="false">IF(C397=0,B397,"")</f>
        <v/>
      </c>
      <c r="E397" s="0" t="str">
        <f aca="false">IF(C397=0,A397,"")</f>
        <v/>
      </c>
    </row>
    <row r="398" customFormat="false" ht="12.8" hidden="false" customHeight="false" outlineLevel="0" collapsed="false">
      <c r="A398" s="0" t="s">
        <v>1275</v>
      </c>
      <c r="B398" s="0" t="s">
        <v>3209</v>
      </c>
      <c r="C398" s="0" t="n">
        <v>1</v>
      </c>
      <c r="D398" s="0" t="str">
        <f aca="false">IF(C398=0,B398,"")</f>
        <v/>
      </c>
      <c r="E398" s="0" t="str">
        <f aca="false">IF(C398=0,A398,"")</f>
        <v/>
      </c>
    </row>
    <row r="399" customFormat="false" ht="12.8" hidden="false" customHeight="false" outlineLevel="0" collapsed="false">
      <c r="A399" s="0" t="s">
        <v>1276</v>
      </c>
      <c r="B399" s="0" t="s">
        <v>3210</v>
      </c>
      <c r="C399" s="0" t="n">
        <v>1</v>
      </c>
      <c r="D399" s="0" t="str">
        <f aca="false">IF(C399=0,B399,"")</f>
        <v/>
      </c>
      <c r="E399" s="0" t="str">
        <f aca="false">IF(C399=0,A399,"")</f>
        <v/>
      </c>
    </row>
    <row r="400" customFormat="false" ht="12.8" hidden="false" customHeight="false" outlineLevel="0" collapsed="false">
      <c r="A400" s="0" t="s">
        <v>1277</v>
      </c>
      <c r="B400" s="0" t="s">
        <v>3211</v>
      </c>
      <c r="C400" s="0" t="n">
        <v>1</v>
      </c>
      <c r="D400" s="0" t="str">
        <f aca="false">IF(C400=0,B400,"")</f>
        <v/>
      </c>
      <c r="E400" s="0" t="str">
        <f aca="false">IF(C400=0,A400,"")</f>
        <v/>
      </c>
    </row>
    <row r="401" customFormat="false" ht="12.8" hidden="false" customHeight="false" outlineLevel="0" collapsed="false">
      <c r="A401" s="0" t="s">
        <v>1278</v>
      </c>
      <c r="B401" s="0" t="s">
        <v>3212</v>
      </c>
      <c r="C401" s="0" t="n">
        <v>1</v>
      </c>
      <c r="D401" s="0" t="str">
        <f aca="false">IF(C401=0,B401,"")</f>
        <v/>
      </c>
      <c r="E401" s="0" t="str">
        <f aca="false">IF(C401=0,A401,"")</f>
        <v/>
      </c>
    </row>
    <row r="402" customFormat="false" ht="12.8" hidden="false" customHeight="false" outlineLevel="0" collapsed="false">
      <c r="A402" s="0" t="s">
        <v>1279</v>
      </c>
      <c r="B402" s="0" t="s">
        <v>1188</v>
      </c>
      <c r="C402" s="0" t="n">
        <v>1</v>
      </c>
      <c r="D402" s="0" t="str">
        <f aca="false">IF(C402=0,B402,"")</f>
        <v/>
      </c>
      <c r="E402" s="0" t="str">
        <f aca="false">IF(C402=0,A402,"")</f>
        <v/>
      </c>
    </row>
    <row r="403" customFormat="false" ht="12.8" hidden="false" customHeight="false" outlineLevel="0" collapsed="false">
      <c r="A403" s="0" t="s">
        <v>1280</v>
      </c>
      <c r="B403" s="0" t="s">
        <v>3216</v>
      </c>
      <c r="C403" s="0" t="n">
        <v>1</v>
      </c>
      <c r="D403" s="0" t="str">
        <f aca="false">IF(C403=0,B403,"")</f>
        <v/>
      </c>
      <c r="E403" s="0" t="str">
        <f aca="false">IF(C403=0,A403,"")</f>
        <v/>
      </c>
    </row>
    <row r="404" customFormat="false" ht="12.8" hidden="false" customHeight="false" outlineLevel="0" collapsed="false">
      <c r="A404" s="0" t="s">
        <v>1281</v>
      </c>
      <c r="B404" s="0" t="s">
        <v>3218</v>
      </c>
      <c r="C404" s="0" t="n">
        <v>1</v>
      </c>
      <c r="D404" s="0" t="str">
        <f aca="false">IF(C404=0,B404,"")</f>
        <v/>
      </c>
      <c r="E404" s="0" t="str">
        <f aca="false">IF(C404=0,A404,"")</f>
        <v/>
      </c>
    </row>
    <row r="405" customFormat="false" ht="12.8" hidden="false" customHeight="false" outlineLevel="0" collapsed="false">
      <c r="A405" s="0" t="s">
        <v>1282</v>
      </c>
      <c r="B405" s="0" t="s">
        <v>3219</v>
      </c>
      <c r="C405" s="0" t="n">
        <v>1</v>
      </c>
      <c r="D405" s="0" t="str">
        <f aca="false">IF(C405=0,B405,"")</f>
        <v/>
      </c>
      <c r="E405" s="0" t="str">
        <f aca="false">IF(C405=0,A405,"")</f>
        <v/>
      </c>
    </row>
    <row r="406" customFormat="false" ht="12.8" hidden="false" customHeight="false" outlineLevel="0" collapsed="false">
      <c r="A406" s="0" t="s">
        <v>1283</v>
      </c>
      <c r="B406" s="0" t="s">
        <v>3331</v>
      </c>
      <c r="C406" s="0" t="n">
        <v>0</v>
      </c>
      <c r="D406" s="0" t="str">
        <f aca="false">IF(C406=0,B406,"")</f>
        <v>흅</v>
      </c>
      <c r="E406" s="0" t="str">
        <f aca="false">IF(C406=0,A406,"")</f>
        <v>늅</v>
      </c>
    </row>
    <row r="407" customFormat="false" ht="12.8" hidden="false" customHeight="false" outlineLevel="0" collapsed="false">
      <c r="A407" s="0" t="s">
        <v>1284</v>
      </c>
      <c r="B407" s="0" t="s">
        <v>3221</v>
      </c>
      <c r="C407" s="0" t="n">
        <v>1</v>
      </c>
      <c r="D407" s="0" t="str">
        <f aca="false">IF(C407=0,B407,"")</f>
        <v/>
      </c>
      <c r="E407" s="0" t="str">
        <f aca="false">IF(C407=0,A407,"")</f>
        <v/>
      </c>
    </row>
    <row r="408" customFormat="false" ht="12.8" hidden="false" customHeight="false" outlineLevel="0" collapsed="false">
      <c r="A408" s="0" t="s">
        <v>1285</v>
      </c>
      <c r="B408" s="0" t="s">
        <v>1197</v>
      </c>
      <c r="C408" s="0" t="n">
        <v>1</v>
      </c>
      <c r="D408" s="0" t="str">
        <f aca="false">IF(C408=0,B408,"")</f>
        <v/>
      </c>
      <c r="E408" s="0" t="str">
        <f aca="false">IF(C408=0,A408,"")</f>
        <v/>
      </c>
    </row>
    <row r="409" customFormat="false" ht="12.8" hidden="false" customHeight="false" outlineLevel="0" collapsed="false">
      <c r="A409" s="0" t="s">
        <v>1286</v>
      </c>
      <c r="B409" s="0" t="s">
        <v>3223</v>
      </c>
      <c r="C409" s="0" t="n">
        <v>1</v>
      </c>
      <c r="D409" s="0" t="str">
        <f aca="false">IF(C409=0,B409,"")</f>
        <v/>
      </c>
      <c r="E409" s="0" t="str">
        <f aca="false">IF(C409=0,A409,"")</f>
        <v/>
      </c>
    </row>
    <row r="410" customFormat="false" ht="12.8" hidden="false" customHeight="false" outlineLevel="0" collapsed="false">
      <c r="A410" s="0" t="s">
        <v>1287</v>
      </c>
      <c r="B410" s="0" t="s">
        <v>3224</v>
      </c>
      <c r="C410" s="0" t="n">
        <v>1</v>
      </c>
      <c r="D410" s="0" t="str">
        <f aca="false">IF(C410=0,B410,"")</f>
        <v/>
      </c>
      <c r="E410" s="0" t="str">
        <f aca="false">IF(C410=0,A410,"")</f>
        <v/>
      </c>
    </row>
    <row r="411" customFormat="false" ht="12.8" hidden="false" customHeight="false" outlineLevel="0" collapsed="false">
      <c r="A411" s="0" t="s">
        <v>1288</v>
      </c>
      <c r="B411" s="0" t="s">
        <v>3227</v>
      </c>
      <c r="C411" s="0" t="n">
        <v>1</v>
      </c>
      <c r="D411" s="0" t="str">
        <f aca="false">IF(C411=0,B411,"")</f>
        <v/>
      </c>
      <c r="E411" s="0" t="str">
        <f aca="false">IF(C411=0,A411,"")</f>
        <v/>
      </c>
    </row>
    <row r="412" customFormat="false" ht="12.8" hidden="false" customHeight="false" outlineLevel="0" collapsed="false">
      <c r="A412" s="0" t="s">
        <v>1289</v>
      </c>
      <c r="B412" s="0" t="s">
        <v>3227</v>
      </c>
      <c r="C412" s="0" t="n">
        <v>1</v>
      </c>
      <c r="D412" s="0" t="str">
        <f aca="false">IF(C412=0,B412,"")</f>
        <v/>
      </c>
      <c r="E412" s="0" t="str">
        <f aca="false">IF(C412=0,A412,"")</f>
        <v/>
      </c>
    </row>
    <row r="413" customFormat="false" ht="12.8" hidden="false" customHeight="false" outlineLevel="0" collapsed="false">
      <c r="A413" s="0" t="s">
        <v>1290</v>
      </c>
      <c r="B413" s="0" t="s">
        <v>3227</v>
      </c>
      <c r="C413" s="0" t="n">
        <v>1</v>
      </c>
      <c r="D413" s="0" t="str">
        <f aca="false">IF(C413=0,B413,"")</f>
        <v/>
      </c>
      <c r="E413" s="0" t="str">
        <f aca="false">IF(C413=0,A413,"")</f>
        <v/>
      </c>
    </row>
    <row r="414" customFormat="false" ht="12.8" hidden="false" customHeight="false" outlineLevel="0" collapsed="false">
      <c r="A414" s="0" t="s">
        <v>1291</v>
      </c>
      <c r="B414" s="0" t="s">
        <v>3229</v>
      </c>
      <c r="C414" s="0" t="n">
        <v>1</v>
      </c>
      <c r="D414" s="0" t="str">
        <f aca="false">IF(C414=0,B414,"")</f>
        <v/>
      </c>
      <c r="E414" s="0" t="str">
        <f aca="false">IF(C414=0,A414,"")</f>
        <v/>
      </c>
    </row>
    <row r="415" customFormat="false" ht="12.8" hidden="false" customHeight="false" outlineLevel="0" collapsed="false">
      <c r="A415" s="0" t="s">
        <v>1292</v>
      </c>
      <c r="B415" s="0" t="s">
        <v>3230</v>
      </c>
      <c r="C415" s="0" t="n">
        <v>1</v>
      </c>
      <c r="D415" s="0" t="str">
        <f aca="false">IF(C415=0,B415,"")</f>
        <v/>
      </c>
      <c r="E415" s="0" t="str">
        <f aca="false">IF(C415=0,A415,"")</f>
        <v/>
      </c>
    </row>
    <row r="416" customFormat="false" ht="12.8" hidden="false" customHeight="false" outlineLevel="0" collapsed="false">
      <c r="A416" s="0" t="s">
        <v>1293</v>
      </c>
      <c r="B416" s="0" t="s">
        <v>3231</v>
      </c>
      <c r="C416" s="0" t="n">
        <v>1</v>
      </c>
      <c r="D416" s="0" t="str">
        <f aca="false">IF(C416=0,B416,"")</f>
        <v/>
      </c>
      <c r="E416" s="0" t="str">
        <f aca="false">IF(C416=0,A416,"")</f>
        <v/>
      </c>
    </row>
    <row r="417" customFormat="false" ht="12.8" hidden="false" customHeight="false" outlineLevel="0" collapsed="false">
      <c r="A417" s="0" t="s">
        <v>1294</v>
      </c>
      <c r="B417" s="0" t="s">
        <v>3232</v>
      </c>
      <c r="C417" s="0" t="n">
        <v>1</v>
      </c>
      <c r="D417" s="0" t="str">
        <f aca="false">IF(C417=0,B417,"")</f>
        <v/>
      </c>
      <c r="E417" s="0" t="str">
        <f aca="false">IF(C417=0,A417,"")</f>
        <v/>
      </c>
    </row>
    <row r="418" customFormat="false" ht="12.8" hidden="false" customHeight="false" outlineLevel="0" collapsed="false">
      <c r="A418" s="0" t="s">
        <v>1295</v>
      </c>
      <c r="B418" s="0" t="s">
        <v>3231</v>
      </c>
      <c r="C418" s="0" t="n">
        <v>1</v>
      </c>
      <c r="D418" s="0" t="str">
        <f aca="false">IF(C418=0,B418,"")</f>
        <v/>
      </c>
      <c r="E418" s="0" t="str">
        <f aca="false">IF(C418=0,A418,"")</f>
        <v/>
      </c>
    </row>
    <row r="419" customFormat="false" ht="12.8" hidden="false" customHeight="false" outlineLevel="0" collapsed="false">
      <c r="A419" s="0" t="s">
        <v>1296</v>
      </c>
      <c r="B419" s="0" t="s">
        <v>3230</v>
      </c>
      <c r="C419" s="0" t="n">
        <v>1</v>
      </c>
      <c r="D419" s="0" t="str">
        <f aca="false">IF(C419=0,B419,"")</f>
        <v/>
      </c>
      <c r="E419" s="0" t="str">
        <f aca="false">IF(C419=0,A419,"")</f>
        <v/>
      </c>
    </row>
    <row r="420" customFormat="false" ht="12.8" hidden="false" customHeight="false" outlineLevel="0" collapsed="false">
      <c r="A420" s="0" t="s">
        <v>1297</v>
      </c>
      <c r="B420" s="0" t="s">
        <v>817</v>
      </c>
      <c r="C420" s="0" t="n">
        <v>1</v>
      </c>
      <c r="D420" s="0" t="str">
        <f aca="false">IF(C420=0,B420,"")</f>
        <v/>
      </c>
      <c r="E420" s="0" t="str">
        <f aca="false">IF(C420=0,A420,"")</f>
        <v/>
      </c>
    </row>
    <row r="421" customFormat="false" ht="12.8" hidden="false" customHeight="false" outlineLevel="0" collapsed="false">
      <c r="A421" s="0" t="s">
        <v>1298</v>
      </c>
      <c r="B421" s="0" t="s">
        <v>3235</v>
      </c>
      <c r="C421" s="0" t="n">
        <v>1</v>
      </c>
      <c r="D421" s="0" t="str">
        <f aca="false">IF(C421=0,B421,"")</f>
        <v/>
      </c>
      <c r="E421" s="0" t="str">
        <f aca="false">IF(C421=0,A421,"")</f>
        <v/>
      </c>
    </row>
    <row r="422" customFormat="false" ht="12.8" hidden="false" customHeight="false" outlineLevel="0" collapsed="false">
      <c r="A422" s="0" t="s">
        <v>1299</v>
      </c>
      <c r="B422" s="0" t="s">
        <v>3236</v>
      </c>
      <c r="C422" s="0" t="n">
        <v>1</v>
      </c>
      <c r="D422" s="0" t="str">
        <f aca="false">IF(C422=0,B422,"")</f>
        <v/>
      </c>
      <c r="E422" s="0" t="str">
        <f aca="false">IF(C422=0,A422,"")</f>
        <v/>
      </c>
    </row>
    <row r="423" customFormat="false" ht="12.8" hidden="false" customHeight="false" outlineLevel="0" collapsed="false">
      <c r="A423" s="0" t="s">
        <v>817</v>
      </c>
      <c r="B423" s="0" t="s">
        <v>1285</v>
      </c>
      <c r="C423" s="0" t="n">
        <v>1</v>
      </c>
      <c r="D423" s="0" t="str">
        <f aca="false">IF(C423=0,B423,"")</f>
        <v/>
      </c>
      <c r="E423" s="0" t="str">
        <f aca="false">IF(C423=0,A423,"")</f>
        <v/>
      </c>
    </row>
    <row r="424" customFormat="false" ht="12.8" hidden="false" customHeight="false" outlineLevel="0" collapsed="false">
      <c r="A424" s="0" t="s">
        <v>1300</v>
      </c>
      <c r="B424" s="0" t="s">
        <v>3241</v>
      </c>
      <c r="C424" s="0" t="n">
        <v>1</v>
      </c>
      <c r="D424" s="0" t="str">
        <f aca="false">IF(C424=0,B424,"")</f>
        <v/>
      </c>
      <c r="E424" s="0" t="str">
        <f aca="false">IF(C424=0,A424,"")</f>
        <v/>
      </c>
    </row>
    <row r="425" customFormat="false" ht="12.8" hidden="false" customHeight="false" outlineLevel="0" collapsed="false">
      <c r="A425" s="0" t="s">
        <v>1301</v>
      </c>
      <c r="B425" s="0" t="s">
        <v>3242</v>
      </c>
      <c r="C425" s="0" t="n">
        <v>1</v>
      </c>
      <c r="D425" s="0" t="str">
        <f aca="false">IF(C425=0,B425,"")</f>
        <v/>
      </c>
      <c r="E425" s="0" t="str">
        <f aca="false">IF(C425=0,A425,"")</f>
        <v/>
      </c>
    </row>
    <row r="426" customFormat="false" ht="12.8" hidden="false" customHeight="false" outlineLevel="0" collapsed="false">
      <c r="A426" s="0" t="s">
        <v>1302</v>
      </c>
      <c r="B426" s="0" t="s">
        <v>3243</v>
      </c>
      <c r="C426" s="0" t="n">
        <v>1</v>
      </c>
      <c r="D426" s="0" t="str">
        <f aca="false">IF(C426=0,B426,"")</f>
        <v/>
      </c>
      <c r="E426" s="0" t="str">
        <f aca="false">IF(C426=0,A426,"")</f>
        <v/>
      </c>
    </row>
    <row r="427" customFormat="false" ht="12.8" hidden="false" customHeight="false" outlineLevel="0" collapsed="false">
      <c r="A427" s="0" t="s">
        <v>1303</v>
      </c>
      <c r="B427" s="0" t="s">
        <v>3243</v>
      </c>
      <c r="C427" s="0" t="n">
        <v>1</v>
      </c>
      <c r="D427" s="0" t="str">
        <f aca="false">IF(C427=0,B427,"")</f>
        <v/>
      </c>
      <c r="E427" s="0" t="str">
        <f aca="false">IF(C427=0,A427,"")</f>
        <v/>
      </c>
    </row>
    <row r="428" customFormat="false" ht="12.8" hidden="false" customHeight="false" outlineLevel="0" collapsed="false">
      <c r="A428" s="0" t="s">
        <v>1304</v>
      </c>
      <c r="B428" s="0" t="s">
        <v>3244</v>
      </c>
      <c r="C428" s="0" t="n">
        <v>1</v>
      </c>
      <c r="D428" s="0" t="str">
        <f aca="false">IF(C428=0,B428,"")</f>
        <v/>
      </c>
      <c r="E428" s="0" t="str">
        <f aca="false">IF(C428=0,A428,"")</f>
        <v/>
      </c>
    </row>
    <row r="429" customFormat="false" ht="12.8" hidden="false" customHeight="false" outlineLevel="0" collapsed="false">
      <c r="A429" s="0" t="s">
        <v>1305</v>
      </c>
      <c r="B429" s="0" t="s">
        <v>3245</v>
      </c>
      <c r="C429" s="0" t="n">
        <v>1</v>
      </c>
      <c r="D429" s="0" t="str">
        <f aca="false">IF(C429=0,B429,"")</f>
        <v/>
      </c>
      <c r="E429" s="0" t="str">
        <f aca="false">IF(C429=0,A429,"")</f>
        <v/>
      </c>
    </row>
    <row r="430" customFormat="false" ht="12.8" hidden="false" customHeight="false" outlineLevel="0" collapsed="false">
      <c r="A430" s="0" t="s">
        <v>1306</v>
      </c>
      <c r="B430" s="0" t="s">
        <v>3246</v>
      </c>
      <c r="C430" s="0" t="n">
        <v>1</v>
      </c>
      <c r="D430" s="0" t="str">
        <f aca="false">IF(C430=0,B430,"")</f>
        <v/>
      </c>
      <c r="E430" s="0" t="str">
        <f aca="false">IF(C430=0,A430,"")</f>
        <v/>
      </c>
    </row>
    <row r="431" customFormat="false" ht="12.8" hidden="false" customHeight="false" outlineLevel="0" collapsed="false">
      <c r="A431" s="0" t="s">
        <v>1307</v>
      </c>
      <c r="B431" s="0" t="s">
        <v>3247</v>
      </c>
      <c r="C431" s="0" t="n">
        <v>1</v>
      </c>
      <c r="D431" s="0" t="str">
        <f aca="false">IF(C431=0,B431,"")</f>
        <v/>
      </c>
      <c r="E431" s="0" t="str">
        <f aca="false">IF(C431=0,A431,"")</f>
        <v/>
      </c>
    </row>
    <row r="432" customFormat="false" ht="12.8" hidden="false" customHeight="false" outlineLevel="0" collapsed="false">
      <c r="A432" s="0" t="s">
        <v>1308</v>
      </c>
      <c r="B432" s="0" t="s">
        <v>3245</v>
      </c>
      <c r="C432" s="0" t="n">
        <v>1</v>
      </c>
      <c r="D432" s="0" t="str">
        <f aca="false">IF(C432=0,B432,"")</f>
        <v/>
      </c>
      <c r="E432" s="0" t="str">
        <f aca="false">IF(C432=0,A432,"")</f>
        <v/>
      </c>
    </row>
    <row r="433" customFormat="false" ht="12.8" hidden="false" customHeight="false" outlineLevel="0" collapsed="false">
      <c r="A433" s="0" t="s">
        <v>818</v>
      </c>
      <c r="B433" s="0" t="s">
        <v>1366</v>
      </c>
      <c r="C433" s="0" t="n">
        <v>1</v>
      </c>
      <c r="D433" s="0" t="str">
        <f aca="false">IF(C433=0,B433,"")</f>
        <v/>
      </c>
      <c r="E433" s="0" t="str">
        <f aca="false">IF(C433=0,A433,"")</f>
        <v/>
      </c>
    </row>
    <row r="434" customFormat="false" ht="12.8" hidden="false" customHeight="false" outlineLevel="0" collapsed="false">
      <c r="A434" s="0" t="s">
        <v>1309</v>
      </c>
      <c r="B434" s="0" t="s">
        <v>1975</v>
      </c>
      <c r="C434" s="0" t="n">
        <v>1</v>
      </c>
      <c r="D434" s="0" t="str">
        <f aca="false">IF(C434=0,B434,"")</f>
        <v/>
      </c>
      <c r="E434" s="0" t="str">
        <f aca="false">IF(C434=0,A434,"")</f>
        <v/>
      </c>
    </row>
    <row r="435" customFormat="false" ht="12.8" hidden="false" customHeight="false" outlineLevel="0" collapsed="false">
      <c r="A435" s="0" t="s">
        <v>1310</v>
      </c>
      <c r="B435" s="0" t="s">
        <v>1975</v>
      </c>
      <c r="C435" s="0" t="n">
        <v>1</v>
      </c>
      <c r="D435" s="0" t="str">
        <f aca="false">IF(C435=0,B435,"")</f>
        <v/>
      </c>
      <c r="E435" s="0" t="str">
        <f aca="false">IF(C435=0,A435,"")</f>
        <v/>
      </c>
    </row>
    <row r="436" customFormat="false" ht="12.8" hidden="false" customHeight="false" outlineLevel="0" collapsed="false">
      <c r="A436" s="0" t="s">
        <v>1311</v>
      </c>
      <c r="B436" s="0" t="s">
        <v>1977</v>
      </c>
      <c r="C436" s="0" t="n">
        <v>1</v>
      </c>
      <c r="D436" s="0" t="str">
        <f aca="false">IF(C436=0,B436,"")</f>
        <v/>
      </c>
      <c r="E436" s="0" t="str">
        <f aca="false">IF(C436=0,A436,"")</f>
        <v/>
      </c>
    </row>
    <row r="437" customFormat="false" ht="12.8" hidden="false" customHeight="false" outlineLevel="0" collapsed="false">
      <c r="A437" s="0" t="s">
        <v>1312</v>
      </c>
      <c r="B437" s="0" t="s">
        <v>1984</v>
      </c>
      <c r="C437" s="0" t="n">
        <v>1</v>
      </c>
      <c r="D437" s="0" t="str">
        <f aca="false">IF(C437=0,B437,"")</f>
        <v/>
      </c>
      <c r="E437" s="0" t="str">
        <f aca="false">IF(C437=0,A437,"")</f>
        <v/>
      </c>
    </row>
    <row r="438" customFormat="false" ht="12.8" hidden="false" customHeight="false" outlineLevel="0" collapsed="false">
      <c r="A438" s="0" t="s">
        <v>1313</v>
      </c>
      <c r="B438" s="0" t="s">
        <v>1979</v>
      </c>
      <c r="C438" s="0" t="n">
        <v>1</v>
      </c>
      <c r="D438" s="0" t="str">
        <f aca="false">IF(C438=0,B438,"")</f>
        <v/>
      </c>
      <c r="E438" s="0" t="str">
        <f aca="false">IF(C438=0,A438,"")</f>
        <v/>
      </c>
    </row>
    <row r="439" customFormat="false" ht="12.8" hidden="false" customHeight="false" outlineLevel="0" collapsed="false">
      <c r="A439" s="0" t="s">
        <v>1314</v>
      </c>
      <c r="B439" s="0" t="s">
        <v>1979</v>
      </c>
      <c r="C439" s="0" t="n">
        <v>1</v>
      </c>
      <c r="D439" s="0" t="str">
        <f aca="false">IF(C439=0,B439,"")</f>
        <v/>
      </c>
      <c r="E439" s="0" t="str">
        <f aca="false">IF(C439=0,A439,"")</f>
        <v/>
      </c>
    </row>
    <row r="440" customFormat="false" ht="12.8" hidden="false" customHeight="false" outlineLevel="0" collapsed="false">
      <c r="A440" s="0" t="s">
        <v>1315</v>
      </c>
      <c r="B440" s="0" t="s">
        <v>1979</v>
      </c>
      <c r="C440" s="0" t="n">
        <v>1</v>
      </c>
      <c r="D440" s="0" t="str">
        <f aca="false">IF(C440=0,B440,"")</f>
        <v/>
      </c>
      <c r="E440" s="0" t="str">
        <f aca="false">IF(C440=0,A440,"")</f>
        <v/>
      </c>
    </row>
    <row r="441" customFormat="false" ht="12.8" hidden="false" customHeight="false" outlineLevel="0" collapsed="false">
      <c r="A441" s="0" t="s">
        <v>1316</v>
      </c>
      <c r="B441" s="0" t="s">
        <v>1979</v>
      </c>
      <c r="C441" s="0" t="n">
        <v>1</v>
      </c>
      <c r="D441" s="0" t="str">
        <f aca="false">IF(C441=0,B441,"")</f>
        <v/>
      </c>
      <c r="E441" s="0" t="str">
        <f aca="false">IF(C441=0,A441,"")</f>
        <v/>
      </c>
    </row>
    <row r="442" customFormat="false" ht="12.8" hidden="false" customHeight="false" outlineLevel="0" collapsed="false">
      <c r="A442" s="0" t="s">
        <v>1317</v>
      </c>
      <c r="B442" s="0" t="s">
        <v>1979</v>
      </c>
      <c r="C442" s="0" t="n">
        <v>1</v>
      </c>
      <c r="D442" s="0" t="str">
        <f aca="false">IF(C442=0,B442,"")</f>
        <v/>
      </c>
      <c r="E442" s="0" t="str">
        <f aca="false">IF(C442=0,A442,"")</f>
        <v/>
      </c>
    </row>
    <row r="443" customFormat="false" ht="12.8" hidden="false" customHeight="false" outlineLevel="0" collapsed="false">
      <c r="A443" s="0" t="s">
        <v>1318</v>
      </c>
      <c r="B443" s="0" t="s">
        <v>1982</v>
      </c>
      <c r="C443" s="0" t="n">
        <v>1</v>
      </c>
      <c r="D443" s="0" t="str">
        <f aca="false">IF(C443=0,B443,"")</f>
        <v/>
      </c>
      <c r="E443" s="0" t="str">
        <f aca="false">IF(C443=0,A443,"")</f>
        <v/>
      </c>
    </row>
    <row r="444" customFormat="false" ht="12.8" hidden="false" customHeight="false" outlineLevel="0" collapsed="false">
      <c r="A444" s="0" t="s">
        <v>1319</v>
      </c>
      <c r="B444" s="0" t="s">
        <v>1983</v>
      </c>
      <c r="C444" s="0" t="n">
        <v>1</v>
      </c>
      <c r="D444" s="0" t="str">
        <f aca="false">IF(C444=0,B444,"")</f>
        <v/>
      </c>
      <c r="E444" s="0" t="str">
        <f aca="false">IF(C444=0,A444,"")</f>
        <v/>
      </c>
    </row>
    <row r="445" customFormat="false" ht="12.8" hidden="false" customHeight="false" outlineLevel="0" collapsed="false">
      <c r="A445" s="0" t="s">
        <v>1320</v>
      </c>
      <c r="B445" s="0" t="s">
        <v>1984</v>
      </c>
      <c r="C445" s="0" t="n">
        <v>1</v>
      </c>
      <c r="D445" s="0" t="str">
        <f aca="false">IF(C445=0,B445,"")</f>
        <v/>
      </c>
      <c r="E445" s="0" t="str">
        <f aca="false">IF(C445=0,A445,"")</f>
        <v/>
      </c>
    </row>
    <row r="446" customFormat="false" ht="12.8" hidden="false" customHeight="false" outlineLevel="0" collapsed="false">
      <c r="A446" s="0" t="s">
        <v>1321</v>
      </c>
      <c r="B446" s="0" t="s">
        <v>1984</v>
      </c>
      <c r="C446" s="0" t="n">
        <v>1</v>
      </c>
      <c r="D446" s="0" t="str">
        <f aca="false">IF(C446=0,B446,"")</f>
        <v/>
      </c>
      <c r="E446" s="0" t="str">
        <f aca="false">IF(C446=0,A446,"")</f>
        <v/>
      </c>
    </row>
    <row r="447" customFormat="false" ht="12.8" hidden="false" customHeight="false" outlineLevel="0" collapsed="false">
      <c r="A447" s="0" t="s">
        <v>1322</v>
      </c>
      <c r="B447" s="0" t="s">
        <v>1986</v>
      </c>
      <c r="C447" s="0" t="n">
        <v>1</v>
      </c>
      <c r="D447" s="0" t="str">
        <f aca="false">IF(C447=0,B447,"")</f>
        <v/>
      </c>
      <c r="E447" s="0" t="str">
        <f aca="false">IF(C447=0,A447,"")</f>
        <v/>
      </c>
    </row>
    <row r="448" customFormat="false" ht="12.8" hidden="false" customHeight="false" outlineLevel="0" collapsed="false">
      <c r="A448" s="0" t="s">
        <v>1323</v>
      </c>
      <c r="B448" s="0" t="s">
        <v>1984</v>
      </c>
      <c r="C448" s="0" t="n">
        <v>1</v>
      </c>
      <c r="D448" s="0" t="str">
        <f aca="false">IF(C448=0,B448,"")</f>
        <v/>
      </c>
      <c r="E448" s="0" t="str">
        <f aca="false">IF(C448=0,A448,"")</f>
        <v/>
      </c>
    </row>
    <row r="449" customFormat="false" ht="12.8" hidden="false" customHeight="false" outlineLevel="0" collapsed="false">
      <c r="A449" s="0" t="s">
        <v>1324</v>
      </c>
      <c r="B449" s="0" t="s">
        <v>1984</v>
      </c>
      <c r="C449" s="0" t="n">
        <v>1</v>
      </c>
      <c r="D449" s="0" t="str">
        <f aca="false">IF(C449=0,B449,"")</f>
        <v/>
      </c>
      <c r="E449" s="0" t="str">
        <f aca="false">IF(C449=0,A449,"")</f>
        <v/>
      </c>
    </row>
    <row r="450" customFormat="false" ht="12.8" hidden="false" customHeight="false" outlineLevel="0" collapsed="false">
      <c r="A450" s="0" t="s">
        <v>1325</v>
      </c>
      <c r="B450" s="0" t="s">
        <v>1984</v>
      </c>
      <c r="C450" s="0" t="n">
        <v>1</v>
      </c>
      <c r="D450" s="0" t="str">
        <f aca="false">IF(C450=0,B450,"")</f>
        <v/>
      </c>
      <c r="E450" s="0" t="str">
        <f aca="false">IF(C450=0,A450,"")</f>
        <v/>
      </c>
    </row>
    <row r="451" customFormat="false" ht="12.8" hidden="false" customHeight="false" outlineLevel="0" collapsed="false">
      <c r="A451" s="0" t="s">
        <v>1326</v>
      </c>
      <c r="B451" s="0" t="s">
        <v>1424</v>
      </c>
      <c r="C451" s="0" t="n">
        <v>1</v>
      </c>
      <c r="D451" s="0" t="str">
        <f aca="false">IF(C451=0,B451,"")</f>
        <v/>
      </c>
      <c r="E451" s="0" t="str">
        <f aca="false">IF(C451=0,A451,"")</f>
        <v/>
      </c>
    </row>
    <row r="452" customFormat="false" ht="12.8" hidden="false" customHeight="false" outlineLevel="0" collapsed="false">
      <c r="A452" s="0" t="s">
        <v>1327</v>
      </c>
      <c r="B452" s="0" t="s">
        <v>1989</v>
      </c>
      <c r="C452" s="0" t="n">
        <v>1</v>
      </c>
      <c r="D452" s="0" t="str">
        <f aca="false">IF(C452=0,B452,"")</f>
        <v/>
      </c>
      <c r="E452" s="0" t="str">
        <f aca="false">IF(C452=0,A452,"")</f>
        <v/>
      </c>
    </row>
    <row r="453" customFormat="false" ht="12.8" hidden="false" customHeight="false" outlineLevel="0" collapsed="false">
      <c r="A453" s="0" t="s">
        <v>1328</v>
      </c>
      <c r="B453" s="0" t="s">
        <v>1990</v>
      </c>
      <c r="C453" s="0" t="n">
        <v>1</v>
      </c>
      <c r="D453" s="0" t="str">
        <f aca="false">IF(C453=0,B453,"")</f>
        <v/>
      </c>
      <c r="E453" s="0" t="str">
        <f aca="false">IF(C453=0,A453,"")</f>
        <v/>
      </c>
    </row>
    <row r="454" customFormat="false" ht="12.8" hidden="false" customHeight="false" outlineLevel="0" collapsed="false">
      <c r="A454" s="0" t="s">
        <v>1329</v>
      </c>
      <c r="B454" s="0" t="s">
        <v>1991</v>
      </c>
      <c r="C454" s="0" t="n">
        <v>1</v>
      </c>
      <c r="D454" s="0" t="str">
        <f aca="false">IF(C454=0,B454,"")</f>
        <v/>
      </c>
      <c r="E454" s="0" t="str">
        <f aca="false">IF(C454=0,A454,"")</f>
        <v/>
      </c>
    </row>
    <row r="455" customFormat="false" ht="12.8" hidden="false" customHeight="false" outlineLevel="0" collapsed="false">
      <c r="A455" s="0" t="s">
        <v>1330</v>
      </c>
      <c r="B455" s="0" t="s">
        <v>1992</v>
      </c>
      <c r="C455" s="0" t="n">
        <v>1</v>
      </c>
      <c r="D455" s="0" t="str">
        <f aca="false">IF(C455=0,B455,"")</f>
        <v/>
      </c>
      <c r="E455" s="0" t="str">
        <f aca="false">IF(C455=0,A455,"")</f>
        <v/>
      </c>
    </row>
    <row r="456" customFormat="false" ht="12.8" hidden="false" customHeight="false" outlineLevel="0" collapsed="false">
      <c r="A456" s="0" t="s">
        <v>1331</v>
      </c>
      <c r="B456" s="0" t="s">
        <v>1993</v>
      </c>
      <c r="C456" s="0" t="n">
        <v>1</v>
      </c>
      <c r="D456" s="0" t="str">
        <f aca="false">IF(C456=0,B456,"")</f>
        <v/>
      </c>
      <c r="E456" s="0" t="str">
        <f aca="false">IF(C456=0,A456,"")</f>
        <v/>
      </c>
    </row>
    <row r="457" customFormat="false" ht="12.8" hidden="false" customHeight="false" outlineLevel="0" collapsed="false">
      <c r="A457" s="0" t="s">
        <v>1332</v>
      </c>
      <c r="B457" s="0" t="s">
        <v>1994</v>
      </c>
      <c r="C457" s="0" t="n">
        <v>1</v>
      </c>
      <c r="D457" s="0" t="str">
        <f aca="false">IF(C457=0,B457,"")</f>
        <v/>
      </c>
      <c r="E457" s="0" t="str">
        <f aca="false">IF(C457=0,A457,"")</f>
        <v/>
      </c>
    </row>
    <row r="458" customFormat="false" ht="12.8" hidden="false" customHeight="false" outlineLevel="0" collapsed="false">
      <c r="A458" s="0" t="s">
        <v>1333</v>
      </c>
      <c r="B458" s="0" t="s">
        <v>1994</v>
      </c>
      <c r="C458" s="0" t="n">
        <v>1</v>
      </c>
      <c r="D458" s="0" t="str">
        <f aca="false">IF(C458=0,B458,"")</f>
        <v/>
      </c>
      <c r="E458" s="0" t="str">
        <f aca="false">IF(C458=0,A458,"")</f>
        <v/>
      </c>
    </row>
    <row r="459" customFormat="false" ht="12.8" hidden="false" customHeight="false" outlineLevel="0" collapsed="false">
      <c r="A459" s="0" t="s">
        <v>1334</v>
      </c>
      <c r="B459" s="0" t="s">
        <v>1996</v>
      </c>
      <c r="C459" s="0" t="n">
        <v>1</v>
      </c>
      <c r="D459" s="0" t="str">
        <f aca="false">IF(C459=0,B459,"")</f>
        <v/>
      </c>
      <c r="E459" s="0" t="str">
        <f aca="false">IF(C459=0,A459,"")</f>
        <v/>
      </c>
    </row>
    <row r="460" customFormat="false" ht="12.8" hidden="false" customHeight="false" outlineLevel="0" collapsed="false">
      <c r="A460" s="0" t="s">
        <v>1335</v>
      </c>
      <c r="B460" s="0" t="s">
        <v>1390</v>
      </c>
      <c r="C460" s="0" t="n">
        <v>1</v>
      </c>
      <c r="D460" s="0" t="str">
        <f aca="false">IF(C460=0,B460,"")</f>
        <v/>
      </c>
      <c r="E460" s="0" t="str">
        <f aca="false">IF(C460=0,A460,"")</f>
        <v/>
      </c>
    </row>
    <row r="461" customFormat="false" ht="12.8" hidden="false" customHeight="false" outlineLevel="0" collapsed="false">
      <c r="A461" s="0" t="s">
        <v>1336</v>
      </c>
      <c r="B461" s="0" t="s">
        <v>1391</v>
      </c>
      <c r="C461" s="0" t="n">
        <v>1</v>
      </c>
      <c r="D461" s="0" t="str">
        <f aca="false">IF(C461=0,B461,"")</f>
        <v/>
      </c>
      <c r="E461" s="0" t="str">
        <f aca="false">IF(C461=0,A461,"")</f>
        <v/>
      </c>
    </row>
    <row r="462" customFormat="false" ht="12.8" hidden="false" customHeight="false" outlineLevel="0" collapsed="false">
      <c r="A462" s="0" t="s">
        <v>1337</v>
      </c>
      <c r="B462" s="0" t="s">
        <v>2011</v>
      </c>
      <c r="C462" s="0" t="n">
        <v>1</v>
      </c>
      <c r="D462" s="0" t="str">
        <f aca="false">IF(C462=0,B462,"")</f>
        <v/>
      </c>
      <c r="E462" s="0" t="str">
        <f aca="false">IF(C462=0,A462,"")</f>
        <v/>
      </c>
    </row>
    <row r="463" customFormat="false" ht="12.8" hidden="false" customHeight="false" outlineLevel="0" collapsed="false">
      <c r="A463" s="0" t="s">
        <v>1338</v>
      </c>
      <c r="B463" s="0" t="s">
        <v>2011</v>
      </c>
      <c r="C463" s="0" t="n">
        <v>1</v>
      </c>
      <c r="D463" s="0" t="str">
        <f aca="false">IF(C463=0,B463,"")</f>
        <v/>
      </c>
      <c r="E463" s="0" t="str">
        <f aca="false">IF(C463=0,A463,"")</f>
        <v/>
      </c>
    </row>
    <row r="464" customFormat="false" ht="12.8" hidden="false" customHeight="false" outlineLevel="0" collapsed="false">
      <c r="A464" s="0" t="s">
        <v>1339</v>
      </c>
      <c r="B464" s="0" t="s">
        <v>2014</v>
      </c>
      <c r="C464" s="0" t="n">
        <v>1</v>
      </c>
      <c r="D464" s="0" t="str">
        <f aca="false">IF(C464=0,B464,"")</f>
        <v/>
      </c>
      <c r="E464" s="0" t="str">
        <f aca="false">IF(C464=0,A464,"")</f>
        <v/>
      </c>
    </row>
    <row r="465" customFormat="false" ht="12.8" hidden="false" customHeight="false" outlineLevel="0" collapsed="false">
      <c r="A465" s="0" t="s">
        <v>1340</v>
      </c>
      <c r="B465" s="0" t="s">
        <v>2021</v>
      </c>
      <c r="C465" s="0" t="n">
        <v>1</v>
      </c>
      <c r="D465" s="0" t="str">
        <f aca="false">IF(C465=0,B465,"")</f>
        <v/>
      </c>
      <c r="E465" s="0" t="str">
        <f aca="false">IF(C465=0,A465,"")</f>
        <v/>
      </c>
    </row>
    <row r="466" customFormat="false" ht="12.8" hidden="false" customHeight="false" outlineLevel="0" collapsed="false">
      <c r="A466" s="0" t="s">
        <v>1341</v>
      </c>
      <c r="B466" s="0" t="s">
        <v>2016</v>
      </c>
      <c r="C466" s="0" t="n">
        <v>1</v>
      </c>
      <c r="D466" s="0" t="str">
        <f aca="false">IF(C466=0,B466,"")</f>
        <v/>
      </c>
      <c r="E466" s="0" t="str">
        <f aca="false">IF(C466=0,A466,"")</f>
        <v/>
      </c>
    </row>
    <row r="467" customFormat="false" ht="12.8" hidden="false" customHeight="false" outlineLevel="0" collapsed="false">
      <c r="A467" s="0" t="s">
        <v>1342</v>
      </c>
      <c r="B467" s="0" t="s">
        <v>2016</v>
      </c>
      <c r="C467" s="0" t="n">
        <v>1</v>
      </c>
      <c r="D467" s="0" t="str">
        <f aca="false">IF(C467=0,B467,"")</f>
        <v/>
      </c>
      <c r="E467" s="0" t="str">
        <f aca="false">IF(C467=0,A467,"")</f>
        <v/>
      </c>
    </row>
    <row r="468" customFormat="false" ht="12.8" hidden="false" customHeight="false" outlineLevel="0" collapsed="false">
      <c r="A468" s="0" t="s">
        <v>1343</v>
      </c>
      <c r="B468" s="0" t="s">
        <v>2016</v>
      </c>
      <c r="C468" s="0" t="n">
        <v>1</v>
      </c>
      <c r="D468" s="0" t="str">
        <f aca="false">IF(C468=0,B468,"")</f>
        <v/>
      </c>
      <c r="E468" s="0" t="str">
        <f aca="false">IF(C468=0,A468,"")</f>
        <v/>
      </c>
    </row>
    <row r="469" customFormat="false" ht="12.8" hidden="false" customHeight="false" outlineLevel="0" collapsed="false">
      <c r="A469" s="0" t="s">
        <v>1344</v>
      </c>
      <c r="B469" s="0" t="s">
        <v>2019</v>
      </c>
      <c r="C469" s="0" t="n">
        <v>1</v>
      </c>
      <c r="D469" s="0" t="str">
        <f aca="false">IF(C469=0,B469,"")</f>
        <v/>
      </c>
      <c r="E469" s="0" t="str">
        <f aca="false">IF(C469=0,A469,"")</f>
        <v/>
      </c>
    </row>
    <row r="470" customFormat="false" ht="12.8" hidden="false" customHeight="false" outlineLevel="0" collapsed="false">
      <c r="A470" s="0" t="s">
        <v>1345</v>
      </c>
      <c r="B470" s="0" t="s">
        <v>2020</v>
      </c>
      <c r="C470" s="0" t="n">
        <v>1</v>
      </c>
      <c r="D470" s="0" t="str">
        <f aca="false">IF(C470=0,B470,"")</f>
        <v/>
      </c>
      <c r="E470" s="0" t="str">
        <f aca="false">IF(C470=0,A470,"")</f>
        <v/>
      </c>
    </row>
    <row r="471" customFormat="false" ht="12.8" hidden="false" customHeight="false" outlineLevel="0" collapsed="false">
      <c r="A471" s="0" t="s">
        <v>1346</v>
      </c>
      <c r="B471" s="0" t="s">
        <v>2021</v>
      </c>
      <c r="C471" s="0" t="n">
        <v>1</v>
      </c>
      <c r="D471" s="0" t="str">
        <f aca="false">IF(C471=0,B471,"")</f>
        <v/>
      </c>
      <c r="E471" s="0" t="str">
        <f aca="false">IF(C471=0,A471,"")</f>
        <v/>
      </c>
    </row>
    <row r="472" customFormat="false" ht="12.8" hidden="false" customHeight="false" outlineLevel="0" collapsed="false">
      <c r="A472" s="0" t="s">
        <v>1347</v>
      </c>
      <c r="B472" s="0" t="s">
        <v>2023</v>
      </c>
      <c r="C472" s="0" t="n">
        <v>1</v>
      </c>
      <c r="D472" s="0" t="str">
        <f aca="false">IF(C472=0,B472,"")</f>
        <v/>
      </c>
      <c r="E472" s="0" t="str">
        <f aca="false">IF(C472=0,A472,"")</f>
        <v/>
      </c>
    </row>
    <row r="473" customFormat="false" ht="12.8" hidden="false" customHeight="false" outlineLevel="0" collapsed="false">
      <c r="A473" s="0" t="s">
        <v>1348</v>
      </c>
      <c r="B473" s="0" t="s">
        <v>2021</v>
      </c>
      <c r="C473" s="0" t="n">
        <v>1</v>
      </c>
      <c r="D473" s="0" t="str">
        <f aca="false">IF(C473=0,B473,"")</f>
        <v/>
      </c>
      <c r="E473" s="0" t="str">
        <f aca="false">IF(C473=0,A473,"")</f>
        <v/>
      </c>
    </row>
    <row r="474" customFormat="false" ht="12.8" hidden="false" customHeight="false" outlineLevel="0" collapsed="false">
      <c r="A474" s="0" t="s">
        <v>1349</v>
      </c>
      <c r="B474" s="0" t="s">
        <v>2020</v>
      </c>
      <c r="C474" s="0" t="n">
        <v>1</v>
      </c>
      <c r="D474" s="0" t="str">
        <f aca="false">IF(C474=0,B474,"")</f>
        <v/>
      </c>
      <c r="E474" s="0" t="str">
        <f aca="false">IF(C474=0,A474,"")</f>
        <v/>
      </c>
    </row>
    <row r="475" customFormat="false" ht="12.8" hidden="false" customHeight="false" outlineLevel="0" collapsed="false">
      <c r="A475" s="0" t="s">
        <v>1350</v>
      </c>
      <c r="B475" s="0" t="s">
        <v>818</v>
      </c>
      <c r="C475" s="0" t="n">
        <v>1</v>
      </c>
      <c r="D475" s="0" t="str">
        <f aca="false">IF(C475=0,B475,"")</f>
        <v/>
      </c>
      <c r="E475" s="0" t="str">
        <f aca="false">IF(C475=0,A475,"")</f>
        <v/>
      </c>
    </row>
    <row r="476" customFormat="false" ht="12.8" hidden="false" customHeight="false" outlineLevel="0" collapsed="false">
      <c r="A476" s="0" t="s">
        <v>1351</v>
      </c>
      <c r="B476" s="0" t="s">
        <v>2025</v>
      </c>
      <c r="C476" s="0" t="n">
        <v>1</v>
      </c>
      <c r="D476" s="0" t="str">
        <f aca="false">IF(C476=0,B476,"")</f>
        <v/>
      </c>
      <c r="E476" s="0" t="str">
        <f aca="false">IF(C476=0,A476,"")</f>
        <v/>
      </c>
    </row>
    <row r="477" customFormat="false" ht="12.8" hidden="false" customHeight="false" outlineLevel="0" collapsed="false">
      <c r="A477" s="0" t="s">
        <v>1352</v>
      </c>
      <c r="B477" s="0" t="s">
        <v>2026</v>
      </c>
      <c r="C477" s="0" t="n">
        <v>1</v>
      </c>
      <c r="D477" s="0" t="str">
        <f aca="false">IF(C477=0,B477,"")</f>
        <v/>
      </c>
      <c r="E477" s="0" t="str">
        <f aca="false">IF(C477=0,A477,"")</f>
        <v/>
      </c>
    </row>
    <row r="478" customFormat="false" ht="12.8" hidden="false" customHeight="false" outlineLevel="0" collapsed="false">
      <c r="A478" s="0" t="s">
        <v>1353</v>
      </c>
      <c r="B478" s="0" t="s">
        <v>2027</v>
      </c>
      <c r="C478" s="0" t="n">
        <v>1</v>
      </c>
      <c r="D478" s="0" t="str">
        <f aca="false">IF(C478=0,B478,"")</f>
        <v/>
      </c>
      <c r="E478" s="0" t="str">
        <f aca="false">IF(C478=0,A478,"")</f>
        <v/>
      </c>
    </row>
    <row r="479" customFormat="false" ht="12.8" hidden="false" customHeight="false" outlineLevel="0" collapsed="false">
      <c r="A479" s="0" t="s">
        <v>1354</v>
      </c>
      <c r="B479" s="0" t="s">
        <v>2028</v>
      </c>
      <c r="C479" s="0" t="n">
        <v>1</v>
      </c>
      <c r="D479" s="0" t="str">
        <f aca="false">IF(C479=0,B479,"")</f>
        <v/>
      </c>
      <c r="E479" s="0" t="str">
        <f aca="false">IF(C479=0,A479,"")</f>
        <v/>
      </c>
    </row>
    <row r="480" customFormat="false" ht="12.8" hidden="false" customHeight="false" outlineLevel="0" collapsed="false">
      <c r="A480" s="0" t="s">
        <v>1355</v>
      </c>
      <c r="B480" s="0" t="s">
        <v>2029</v>
      </c>
      <c r="C480" s="0" t="n">
        <v>1</v>
      </c>
      <c r="D480" s="0" t="str">
        <f aca="false">IF(C480=0,B480,"")</f>
        <v/>
      </c>
      <c r="E480" s="0" t="str">
        <f aca="false">IF(C480=0,A480,"")</f>
        <v/>
      </c>
    </row>
    <row r="481" customFormat="false" ht="12.8" hidden="false" customHeight="false" outlineLevel="0" collapsed="false">
      <c r="A481" s="0" t="s">
        <v>1356</v>
      </c>
      <c r="B481" s="0" t="s">
        <v>2030</v>
      </c>
      <c r="C481" s="0" t="n">
        <v>1</v>
      </c>
      <c r="D481" s="0" t="str">
        <f aca="false">IF(C481=0,B481,"")</f>
        <v/>
      </c>
      <c r="E481" s="0" t="str">
        <f aca="false">IF(C481=0,A481,"")</f>
        <v/>
      </c>
    </row>
    <row r="482" customFormat="false" ht="12.8" hidden="false" customHeight="false" outlineLevel="0" collapsed="false">
      <c r="A482" s="0" t="s">
        <v>1357</v>
      </c>
      <c r="B482" s="0" t="s">
        <v>2030</v>
      </c>
      <c r="C482" s="0" t="n">
        <v>1</v>
      </c>
      <c r="D482" s="0" t="str">
        <f aca="false">IF(C482=0,B482,"")</f>
        <v/>
      </c>
      <c r="E482" s="0" t="str">
        <f aca="false">IF(C482=0,A482,"")</f>
        <v/>
      </c>
    </row>
    <row r="483" customFormat="false" ht="12.8" hidden="false" customHeight="false" outlineLevel="0" collapsed="false">
      <c r="A483" s="0" t="s">
        <v>1358</v>
      </c>
      <c r="B483" s="0" t="s">
        <v>2032</v>
      </c>
      <c r="C483" s="0" t="n">
        <v>1</v>
      </c>
      <c r="D483" s="0" t="str">
        <f aca="false">IF(C483=0,B483,"")</f>
        <v/>
      </c>
      <c r="E483" s="0" t="str">
        <f aca="false">IF(C483=0,A483,"")</f>
        <v/>
      </c>
    </row>
    <row r="484" customFormat="false" ht="12.8" hidden="false" customHeight="false" outlineLevel="0" collapsed="false">
      <c r="A484" s="0" t="s">
        <v>1359</v>
      </c>
      <c r="B484" s="0" t="s">
        <v>1409</v>
      </c>
      <c r="C484" s="0" t="n">
        <v>1</v>
      </c>
      <c r="D484" s="0" t="str">
        <f aca="false">IF(C484=0,B484,"")</f>
        <v/>
      </c>
      <c r="E484" s="0" t="str">
        <f aca="false">IF(C484=0,A484,"")</f>
        <v/>
      </c>
    </row>
    <row r="485" customFormat="false" ht="12.8" hidden="false" customHeight="false" outlineLevel="0" collapsed="false">
      <c r="A485" s="0" t="s">
        <v>1360</v>
      </c>
      <c r="B485" s="0" t="s">
        <v>2035</v>
      </c>
      <c r="C485" s="0" t="n">
        <v>1</v>
      </c>
      <c r="D485" s="0" t="str">
        <f aca="false">IF(C485=0,B485,"")</f>
        <v/>
      </c>
      <c r="E485" s="0" t="str">
        <f aca="false">IF(C485=0,A485,"")</f>
        <v/>
      </c>
    </row>
    <row r="486" customFormat="false" ht="12.8" hidden="false" customHeight="false" outlineLevel="0" collapsed="false">
      <c r="A486" s="0" t="s">
        <v>1361</v>
      </c>
      <c r="B486" s="0" t="s">
        <v>2036</v>
      </c>
      <c r="C486" s="0" t="n">
        <v>1</v>
      </c>
      <c r="D486" s="0" t="str">
        <f aca="false">IF(C486=0,B486,"")</f>
        <v/>
      </c>
      <c r="E486" s="0" t="str">
        <f aca="false">IF(C486=0,A486,"")</f>
        <v/>
      </c>
    </row>
    <row r="487" customFormat="false" ht="12.8" hidden="false" customHeight="false" outlineLevel="0" collapsed="false">
      <c r="A487" s="0" t="s">
        <v>1362</v>
      </c>
      <c r="B487" s="0" t="s">
        <v>2039</v>
      </c>
      <c r="C487" s="0" t="n">
        <v>1</v>
      </c>
      <c r="D487" s="0" t="str">
        <f aca="false">IF(C487=0,B487,"")</f>
        <v/>
      </c>
      <c r="E487" s="0" t="str">
        <f aca="false">IF(C487=0,A487,"")</f>
        <v/>
      </c>
    </row>
    <row r="488" customFormat="false" ht="12.8" hidden="false" customHeight="false" outlineLevel="0" collapsed="false">
      <c r="A488" s="0" t="s">
        <v>1363</v>
      </c>
      <c r="B488" s="0" t="s">
        <v>2041</v>
      </c>
      <c r="C488" s="0" t="n">
        <v>1</v>
      </c>
      <c r="D488" s="0" t="str">
        <f aca="false">IF(C488=0,B488,"")</f>
        <v/>
      </c>
      <c r="E488" s="0" t="str">
        <f aca="false">IF(C488=0,A488,"")</f>
        <v/>
      </c>
    </row>
    <row r="489" customFormat="false" ht="12.8" hidden="false" customHeight="false" outlineLevel="0" collapsed="false">
      <c r="A489" s="0" t="s">
        <v>1364</v>
      </c>
      <c r="B489" s="0" t="s">
        <v>1384</v>
      </c>
      <c r="C489" s="0" t="n">
        <v>1</v>
      </c>
      <c r="D489" s="0" t="str">
        <f aca="false">IF(C489=0,B489,"")</f>
        <v/>
      </c>
      <c r="E489" s="0" t="str">
        <f aca="false">IF(C489=0,A489,"")</f>
        <v/>
      </c>
    </row>
    <row r="490" customFormat="false" ht="12.8" hidden="false" customHeight="false" outlineLevel="0" collapsed="false">
      <c r="A490" s="0" t="s">
        <v>1365</v>
      </c>
      <c r="B490" s="0" t="s">
        <v>2043</v>
      </c>
      <c r="C490" s="0" t="n">
        <v>1</v>
      </c>
      <c r="D490" s="0" t="str">
        <f aca="false">IF(C490=0,B490,"")</f>
        <v/>
      </c>
      <c r="E490" s="0" t="str">
        <f aca="false">IF(C490=0,A490,"")</f>
        <v/>
      </c>
    </row>
    <row r="491" customFormat="false" ht="12.8" hidden="false" customHeight="false" outlineLevel="0" collapsed="false">
      <c r="A491" s="0" t="s">
        <v>1366</v>
      </c>
      <c r="B491" s="0" t="s">
        <v>1336</v>
      </c>
      <c r="C491" s="0" t="n">
        <v>1</v>
      </c>
      <c r="D491" s="0" t="str">
        <f aca="false">IF(C491=0,B491,"")</f>
        <v/>
      </c>
      <c r="E491" s="0" t="str">
        <f aca="false">IF(C491=0,A491,"")</f>
        <v/>
      </c>
    </row>
    <row r="492" customFormat="false" ht="12.8" hidden="false" customHeight="false" outlineLevel="0" collapsed="false">
      <c r="A492" s="0" t="s">
        <v>1367</v>
      </c>
      <c r="B492" s="0" t="s">
        <v>2047</v>
      </c>
      <c r="C492" s="0" t="n">
        <v>1</v>
      </c>
      <c r="D492" s="0" t="str">
        <f aca="false">IF(C492=0,B492,"")</f>
        <v/>
      </c>
      <c r="E492" s="0" t="str">
        <f aca="false">IF(C492=0,A492,"")</f>
        <v/>
      </c>
    </row>
    <row r="493" customFormat="false" ht="12.8" hidden="false" customHeight="false" outlineLevel="0" collapsed="false">
      <c r="A493" s="0" t="s">
        <v>1368</v>
      </c>
      <c r="B493" s="0" t="s">
        <v>2049</v>
      </c>
      <c r="C493" s="0" t="n">
        <v>1</v>
      </c>
      <c r="D493" s="0" t="str">
        <f aca="false">IF(C493=0,B493,"")</f>
        <v/>
      </c>
      <c r="E493" s="0" t="str">
        <f aca="false">IF(C493=0,A493,"")</f>
        <v/>
      </c>
    </row>
    <row r="494" customFormat="false" ht="12.8" hidden="false" customHeight="false" outlineLevel="0" collapsed="false">
      <c r="A494" s="0" t="s">
        <v>1369</v>
      </c>
      <c r="B494" s="0" t="s">
        <v>2054</v>
      </c>
      <c r="C494" s="0" t="n">
        <v>1</v>
      </c>
      <c r="D494" s="0" t="str">
        <f aca="false">IF(C494=0,B494,"")</f>
        <v/>
      </c>
      <c r="E494" s="0" t="str">
        <f aca="false">IF(C494=0,A494,"")</f>
        <v/>
      </c>
    </row>
    <row r="495" customFormat="false" ht="12.8" hidden="false" customHeight="false" outlineLevel="0" collapsed="false">
      <c r="A495" s="0" t="s">
        <v>1370</v>
      </c>
      <c r="B495" s="0" t="s">
        <v>2050</v>
      </c>
      <c r="C495" s="0" t="n">
        <v>1</v>
      </c>
      <c r="D495" s="0" t="str">
        <f aca="false">IF(C495=0,B495,"")</f>
        <v/>
      </c>
      <c r="E495" s="0" t="str">
        <f aca="false">IF(C495=0,A495,"")</f>
        <v/>
      </c>
    </row>
    <row r="496" customFormat="false" ht="12.8" hidden="false" customHeight="false" outlineLevel="0" collapsed="false">
      <c r="A496" s="0" t="s">
        <v>1371</v>
      </c>
      <c r="B496" s="0" t="s">
        <v>2050</v>
      </c>
      <c r="C496" s="0" t="n">
        <v>1</v>
      </c>
      <c r="D496" s="0" t="str">
        <f aca="false">IF(C496=0,B496,"")</f>
        <v/>
      </c>
      <c r="E496" s="0" t="str">
        <f aca="false">IF(C496=0,A496,"")</f>
        <v/>
      </c>
    </row>
    <row r="497" customFormat="false" ht="12.8" hidden="false" customHeight="false" outlineLevel="0" collapsed="false">
      <c r="A497" s="0" t="s">
        <v>1372</v>
      </c>
      <c r="B497" s="0" t="s">
        <v>2050</v>
      </c>
      <c r="C497" s="0" t="n">
        <v>1</v>
      </c>
      <c r="D497" s="0" t="str">
        <f aca="false">IF(C497=0,B497,"")</f>
        <v/>
      </c>
      <c r="E497" s="0" t="str">
        <f aca="false">IF(C497=0,A497,"")</f>
        <v/>
      </c>
    </row>
    <row r="498" customFormat="false" ht="12.8" hidden="false" customHeight="false" outlineLevel="0" collapsed="false">
      <c r="A498" s="0" t="s">
        <v>1373</v>
      </c>
      <c r="B498" s="0" t="s">
        <v>2052</v>
      </c>
      <c r="C498" s="0" t="n">
        <v>1</v>
      </c>
      <c r="D498" s="0" t="str">
        <f aca="false">IF(C498=0,B498,"")</f>
        <v/>
      </c>
      <c r="E498" s="0" t="str">
        <f aca="false">IF(C498=0,A498,"")</f>
        <v/>
      </c>
    </row>
    <row r="499" customFormat="false" ht="12.8" hidden="false" customHeight="false" outlineLevel="0" collapsed="false">
      <c r="A499" s="0" t="s">
        <v>1374</v>
      </c>
      <c r="B499" s="0" t="s">
        <v>2053</v>
      </c>
      <c r="C499" s="0" t="n">
        <v>1</v>
      </c>
      <c r="D499" s="0" t="str">
        <f aca="false">IF(C499=0,B499,"")</f>
        <v/>
      </c>
      <c r="E499" s="0" t="str">
        <f aca="false">IF(C499=0,A499,"")</f>
        <v/>
      </c>
    </row>
    <row r="500" customFormat="false" ht="12.8" hidden="false" customHeight="false" outlineLevel="0" collapsed="false">
      <c r="A500" s="0" t="s">
        <v>1375</v>
      </c>
      <c r="B500" s="0" t="s">
        <v>2054</v>
      </c>
      <c r="C500" s="0" t="n">
        <v>1</v>
      </c>
      <c r="D500" s="0" t="str">
        <f aca="false">IF(C500=0,B500,"")</f>
        <v/>
      </c>
      <c r="E500" s="0" t="str">
        <f aca="false">IF(C500=0,A500,"")</f>
        <v/>
      </c>
    </row>
    <row r="501" customFormat="false" ht="12.8" hidden="false" customHeight="false" outlineLevel="0" collapsed="false">
      <c r="A501" s="0" t="s">
        <v>1376</v>
      </c>
      <c r="B501" s="0" t="s">
        <v>2055</v>
      </c>
      <c r="C501" s="0" t="n">
        <v>1</v>
      </c>
      <c r="D501" s="0" t="str">
        <f aca="false">IF(C501=0,B501,"")</f>
        <v/>
      </c>
      <c r="E501" s="0" t="str">
        <f aca="false">IF(C501=0,A501,"")</f>
        <v/>
      </c>
    </row>
    <row r="502" customFormat="false" ht="12.8" hidden="false" customHeight="false" outlineLevel="0" collapsed="false">
      <c r="A502" s="0" t="s">
        <v>1377</v>
      </c>
      <c r="B502" s="0" t="s">
        <v>2054</v>
      </c>
      <c r="C502" s="0" t="n">
        <v>1</v>
      </c>
      <c r="D502" s="0" t="str">
        <f aca="false">IF(C502=0,B502,"")</f>
        <v/>
      </c>
      <c r="E502" s="0" t="str">
        <f aca="false">IF(C502=0,A502,"")</f>
        <v/>
      </c>
    </row>
    <row r="503" customFormat="false" ht="12.8" hidden="false" customHeight="false" outlineLevel="0" collapsed="false">
      <c r="A503" s="0" t="s">
        <v>1378</v>
      </c>
      <c r="B503" s="0" t="s">
        <v>2054</v>
      </c>
      <c r="C503" s="0" t="n">
        <v>1</v>
      </c>
      <c r="D503" s="0" t="str">
        <f aca="false">IF(C503=0,B503,"")</f>
        <v/>
      </c>
      <c r="E503" s="0" t="str">
        <f aca="false">IF(C503=0,A503,"")</f>
        <v/>
      </c>
    </row>
    <row r="504" customFormat="false" ht="12.8" hidden="false" customHeight="false" outlineLevel="0" collapsed="false">
      <c r="A504" s="0" t="s">
        <v>1379</v>
      </c>
      <c r="B504" s="0" t="s">
        <v>1364</v>
      </c>
      <c r="C504" s="0" t="n">
        <v>1</v>
      </c>
      <c r="D504" s="0" t="str">
        <f aca="false">IF(C504=0,B504,"")</f>
        <v/>
      </c>
      <c r="E504" s="0" t="str">
        <f aca="false">IF(C504=0,A504,"")</f>
        <v/>
      </c>
    </row>
    <row r="505" customFormat="false" ht="12.8" hidden="false" customHeight="false" outlineLevel="0" collapsed="false">
      <c r="A505" s="0" t="s">
        <v>1380</v>
      </c>
      <c r="B505" s="0" t="s">
        <v>2059</v>
      </c>
      <c r="C505" s="0" t="n">
        <v>1</v>
      </c>
      <c r="D505" s="0" t="str">
        <f aca="false">IF(C505=0,B505,"")</f>
        <v/>
      </c>
      <c r="E505" s="0" t="str">
        <f aca="false">IF(C505=0,A505,"")</f>
        <v/>
      </c>
    </row>
    <row r="506" customFormat="false" ht="12.8" hidden="false" customHeight="false" outlineLevel="0" collapsed="false">
      <c r="A506" s="0" t="s">
        <v>1381</v>
      </c>
      <c r="B506" s="0" t="s">
        <v>2060</v>
      </c>
      <c r="C506" s="0" t="n">
        <v>1</v>
      </c>
      <c r="D506" s="0" t="str">
        <f aca="false">IF(C506=0,B506,"")</f>
        <v/>
      </c>
      <c r="E506" s="0" t="str">
        <f aca="false">IF(C506=0,A506,"")</f>
        <v/>
      </c>
    </row>
    <row r="507" customFormat="false" ht="12.8" hidden="false" customHeight="false" outlineLevel="0" collapsed="false">
      <c r="A507" s="0" t="s">
        <v>1382</v>
      </c>
      <c r="B507" s="0" t="s">
        <v>3332</v>
      </c>
      <c r="C507" s="0" t="n">
        <v>0</v>
      </c>
      <c r="D507" s="0" t="str">
        <f aca="false">IF(C507=0,B507,"")</f>
        <v>댸</v>
      </c>
      <c r="E507" s="0" t="str">
        <f aca="false">IF(C507=0,A507,"")</f>
        <v>돼</v>
      </c>
    </row>
    <row r="508" customFormat="false" ht="12.8" hidden="false" customHeight="false" outlineLevel="0" collapsed="false">
      <c r="A508" s="0" t="s">
        <v>1383</v>
      </c>
      <c r="B508" s="0" t="s">
        <v>2066</v>
      </c>
      <c r="C508" s="0" t="n">
        <v>1</v>
      </c>
      <c r="D508" s="0" t="str">
        <f aca="false">IF(C508=0,B508,"")</f>
        <v/>
      </c>
      <c r="E508" s="0" t="str">
        <f aca="false">IF(C508=0,A508,"")</f>
        <v/>
      </c>
    </row>
    <row r="509" customFormat="false" ht="12.8" hidden="false" customHeight="false" outlineLevel="0" collapsed="false">
      <c r="A509" s="0" t="s">
        <v>1384</v>
      </c>
      <c r="B509" s="0" t="s">
        <v>1399</v>
      </c>
      <c r="C509" s="0" t="n">
        <v>1</v>
      </c>
      <c r="D509" s="0" t="str">
        <f aca="false">IF(C509=0,B509,"")</f>
        <v/>
      </c>
      <c r="E509" s="0" t="str">
        <f aca="false">IF(C509=0,A509,"")</f>
        <v/>
      </c>
    </row>
    <row r="510" customFormat="false" ht="12.8" hidden="false" customHeight="false" outlineLevel="0" collapsed="false">
      <c r="A510" s="0" t="s">
        <v>1385</v>
      </c>
      <c r="B510" s="0" t="s">
        <v>2069</v>
      </c>
      <c r="C510" s="0" t="n">
        <v>1</v>
      </c>
      <c r="D510" s="0" t="str">
        <f aca="false">IF(C510=0,B510,"")</f>
        <v/>
      </c>
      <c r="E510" s="0" t="str">
        <f aca="false">IF(C510=0,A510,"")</f>
        <v/>
      </c>
    </row>
    <row r="511" customFormat="false" ht="12.8" hidden="false" customHeight="false" outlineLevel="0" collapsed="false">
      <c r="A511" s="0" t="s">
        <v>1386</v>
      </c>
      <c r="B511" s="0" t="s">
        <v>2070</v>
      </c>
      <c r="C511" s="0" t="n">
        <v>1</v>
      </c>
      <c r="D511" s="0" t="str">
        <f aca="false">IF(C511=0,B511,"")</f>
        <v/>
      </c>
      <c r="E511" s="0" t="str">
        <f aca="false">IF(C511=0,A511,"")</f>
        <v/>
      </c>
    </row>
    <row r="512" customFormat="false" ht="12.8" hidden="false" customHeight="false" outlineLevel="0" collapsed="false">
      <c r="A512" s="0" t="s">
        <v>1387</v>
      </c>
      <c r="B512" s="0" t="s">
        <v>2071</v>
      </c>
      <c r="C512" s="0" t="n">
        <v>1</v>
      </c>
      <c r="D512" s="0" t="str">
        <f aca="false">IF(C512=0,B512,"")</f>
        <v/>
      </c>
      <c r="E512" s="0" t="str">
        <f aca="false">IF(C512=0,A512,"")</f>
        <v/>
      </c>
    </row>
    <row r="513" customFormat="false" ht="12.8" hidden="false" customHeight="false" outlineLevel="0" collapsed="false">
      <c r="A513" s="0" t="s">
        <v>1388</v>
      </c>
      <c r="B513" s="0" t="s">
        <v>2072</v>
      </c>
      <c r="C513" s="0" t="n">
        <v>1</v>
      </c>
      <c r="D513" s="0" t="str">
        <f aca="false">IF(C513=0,B513,"")</f>
        <v/>
      </c>
      <c r="E513" s="0" t="str">
        <f aca="false">IF(C513=0,A513,"")</f>
        <v/>
      </c>
    </row>
    <row r="514" customFormat="false" ht="12.8" hidden="false" customHeight="false" outlineLevel="0" collapsed="false">
      <c r="A514" s="0" t="s">
        <v>1389</v>
      </c>
      <c r="B514" s="0" t="s">
        <v>2073</v>
      </c>
      <c r="C514" s="0" t="n">
        <v>1</v>
      </c>
      <c r="D514" s="0" t="str">
        <f aca="false">IF(C514=0,B514,"")</f>
        <v/>
      </c>
      <c r="E514" s="0" t="str">
        <f aca="false">IF(C514=0,A514,"")</f>
        <v/>
      </c>
    </row>
    <row r="515" customFormat="false" ht="12.8" hidden="false" customHeight="false" outlineLevel="0" collapsed="false">
      <c r="A515" s="0" t="s">
        <v>1390</v>
      </c>
      <c r="B515" s="0" t="s">
        <v>1359</v>
      </c>
      <c r="C515" s="0" t="n">
        <v>1</v>
      </c>
      <c r="D515" s="0" t="str">
        <f aca="false">IF(C515=0,B515,"")</f>
        <v/>
      </c>
      <c r="E515" s="0" t="str">
        <f aca="false">IF(C515=0,A515,"")</f>
        <v/>
      </c>
    </row>
    <row r="516" customFormat="false" ht="12.8" hidden="false" customHeight="false" outlineLevel="0" collapsed="false">
      <c r="A516" s="0" t="s">
        <v>1391</v>
      </c>
      <c r="B516" s="0" t="s">
        <v>1350</v>
      </c>
      <c r="C516" s="0" t="n">
        <v>1</v>
      </c>
      <c r="D516" s="0" t="str">
        <f aca="false">IF(C516=0,B516,"")</f>
        <v/>
      </c>
      <c r="E516" s="0" t="str">
        <f aca="false">IF(C516=0,A516,"")</f>
        <v/>
      </c>
    </row>
    <row r="517" customFormat="false" ht="12.8" hidden="false" customHeight="false" outlineLevel="0" collapsed="false">
      <c r="A517" s="0" t="s">
        <v>1392</v>
      </c>
      <c r="B517" s="0" t="s">
        <v>2083</v>
      </c>
      <c r="C517" s="0" t="n">
        <v>1</v>
      </c>
      <c r="D517" s="0" t="str">
        <f aca="false">IF(C517=0,B517,"")</f>
        <v/>
      </c>
      <c r="E517" s="0" t="str">
        <f aca="false">IF(C517=0,A517,"")</f>
        <v/>
      </c>
    </row>
    <row r="518" customFormat="false" ht="12.8" hidden="false" customHeight="false" outlineLevel="0" collapsed="false">
      <c r="A518" s="0" t="s">
        <v>1393</v>
      </c>
      <c r="B518" s="0" t="s">
        <v>2084</v>
      </c>
      <c r="C518" s="0" t="n">
        <v>1</v>
      </c>
      <c r="D518" s="0" t="str">
        <f aca="false">IF(C518=0,B518,"")</f>
        <v/>
      </c>
      <c r="E518" s="0" t="str">
        <f aca="false">IF(C518=0,A518,"")</f>
        <v/>
      </c>
    </row>
    <row r="519" customFormat="false" ht="12.8" hidden="false" customHeight="false" outlineLevel="0" collapsed="false">
      <c r="A519" s="0" t="s">
        <v>1394</v>
      </c>
      <c r="B519" s="0" t="s">
        <v>2086</v>
      </c>
      <c r="C519" s="0" t="n">
        <v>1</v>
      </c>
      <c r="D519" s="0" t="str">
        <f aca="false">IF(C519=0,B519,"")</f>
        <v/>
      </c>
      <c r="E519" s="0" t="str">
        <f aca="false">IF(C519=0,A519,"")</f>
        <v/>
      </c>
    </row>
    <row r="520" customFormat="false" ht="12.8" hidden="false" customHeight="false" outlineLevel="0" collapsed="false">
      <c r="A520" s="0" t="s">
        <v>1395</v>
      </c>
      <c r="B520" s="0" t="s">
        <v>2087</v>
      </c>
      <c r="C520" s="0" t="n">
        <v>1</v>
      </c>
      <c r="D520" s="0" t="str">
        <f aca="false">IF(C520=0,B520,"")</f>
        <v/>
      </c>
      <c r="E520" s="0" t="str">
        <f aca="false">IF(C520=0,A520,"")</f>
        <v/>
      </c>
    </row>
    <row r="521" customFormat="false" ht="12.8" hidden="false" customHeight="false" outlineLevel="0" collapsed="false">
      <c r="A521" s="0" t="s">
        <v>1396</v>
      </c>
      <c r="B521" s="0" t="s">
        <v>2088</v>
      </c>
      <c r="C521" s="0" t="n">
        <v>1</v>
      </c>
      <c r="D521" s="0" t="str">
        <f aca="false">IF(C521=0,B521,"")</f>
        <v/>
      </c>
      <c r="E521" s="0" t="str">
        <f aca="false">IF(C521=0,A521,"")</f>
        <v/>
      </c>
    </row>
    <row r="522" customFormat="false" ht="12.8" hidden="false" customHeight="false" outlineLevel="0" collapsed="false">
      <c r="A522" s="0" t="s">
        <v>1397</v>
      </c>
      <c r="B522" s="0" t="s">
        <v>2089</v>
      </c>
      <c r="C522" s="0" t="n">
        <v>1</v>
      </c>
      <c r="D522" s="0" t="str">
        <f aca="false">IF(C522=0,B522,"")</f>
        <v/>
      </c>
      <c r="E522" s="0" t="str">
        <f aca="false">IF(C522=0,A522,"")</f>
        <v/>
      </c>
    </row>
    <row r="523" customFormat="false" ht="12.8" hidden="false" customHeight="false" outlineLevel="0" collapsed="false">
      <c r="A523" s="0" t="s">
        <v>1398</v>
      </c>
      <c r="B523" s="0" t="s">
        <v>2090</v>
      </c>
      <c r="C523" s="0" t="n">
        <v>1</v>
      </c>
      <c r="D523" s="0" t="str">
        <f aca="false">IF(C523=0,B523,"")</f>
        <v/>
      </c>
      <c r="E523" s="0" t="str">
        <f aca="false">IF(C523=0,A523,"")</f>
        <v/>
      </c>
    </row>
    <row r="524" customFormat="false" ht="12.8" hidden="false" customHeight="false" outlineLevel="0" collapsed="false">
      <c r="A524" s="0" t="s">
        <v>1399</v>
      </c>
      <c r="B524" s="0" t="s">
        <v>1379</v>
      </c>
      <c r="C524" s="0" t="n">
        <v>1</v>
      </c>
      <c r="D524" s="0" t="str">
        <f aca="false">IF(C524=0,B524,"")</f>
        <v/>
      </c>
      <c r="E524" s="0" t="str">
        <f aca="false">IF(C524=0,A524,"")</f>
        <v/>
      </c>
    </row>
    <row r="525" customFormat="false" ht="12.8" hidden="false" customHeight="false" outlineLevel="0" collapsed="false">
      <c r="A525" s="0" t="s">
        <v>1400</v>
      </c>
      <c r="B525" s="0" t="s">
        <v>3333</v>
      </c>
      <c r="C525" s="0" t="n">
        <v>0</v>
      </c>
      <c r="D525" s="0" t="str">
        <f aca="false">IF(C525=0,B525,"")</f>
        <v>쉇</v>
      </c>
      <c r="E525" s="0" t="str">
        <f aca="false">IF(C525=0,A525,"")</f>
        <v>뒀</v>
      </c>
    </row>
    <row r="526" customFormat="false" ht="12.8" hidden="false" customHeight="false" outlineLevel="0" collapsed="false">
      <c r="A526" s="0" t="s">
        <v>1401</v>
      </c>
      <c r="B526" s="0" t="s">
        <v>1382</v>
      </c>
      <c r="C526" s="0" t="n">
        <v>1</v>
      </c>
      <c r="D526" s="0" t="str">
        <f aca="false">IF(C526=0,B526,"")</f>
        <v/>
      </c>
      <c r="E526" s="0" t="str">
        <f aca="false">IF(C526=0,A526,"")</f>
        <v/>
      </c>
    </row>
    <row r="527" customFormat="false" ht="12.8" hidden="false" customHeight="false" outlineLevel="0" collapsed="false">
      <c r="A527" s="0" t="s">
        <v>1402</v>
      </c>
      <c r="B527" s="0" t="s">
        <v>2101</v>
      </c>
      <c r="C527" s="0" t="n">
        <v>1</v>
      </c>
      <c r="D527" s="0" t="str">
        <f aca="false">IF(C527=0,B527,"")</f>
        <v/>
      </c>
      <c r="E527" s="0" t="str">
        <f aca="false">IF(C527=0,A527,"")</f>
        <v/>
      </c>
    </row>
    <row r="528" customFormat="false" ht="12.8" hidden="false" customHeight="false" outlineLevel="0" collapsed="false">
      <c r="A528" s="0" t="s">
        <v>1403</v>
      </c>
      <c r="B528" s="0" t="s">
        <v>1401</v>
      </c>
      <c r="C528" s="0" t="n">
        <v>1</v>
      </c>
      <c r="D528" s="0" t="str">
        <f aca="false">IF(C528=0,B528,"")</f>
        <v/>
      </c>
      <c r="E528" s="0" t="str">
        <f aca="false">IF(C528=0,A528,"")</f>
        <v/>
      </c>
    </row>
    <row r="529" customFormat="false" ht="12.8" hidden="false" customHeight="false" outlineLevel="0" collapsed="false">
      <c r="A529" s="0" t="s">
        <v>1404</v>
      </c>
      <c r="B529" s="0" t="s">
        <v>2104</v>
      </c>
      <c r="C529" s="0" t="n">
        <v>1</v>
      </c>
      <c r="D529" s="0" t="str">
        <f aca="false">IF(C529=0,B529,"")</f>
        <v/>
      </c>
      <c r="E529" s="0" t="str">
        <f aca="false">IF(C529=0,A529,"")</f>
        <v/>
      </c>
    </row>
    <row r="530" customFormat="false" ht="12.8" hidden="false" customHeight="false" outlineLevel="0" collapsed="false">
      <c r="A530" s="0" t="s">
        <v>1405</v>
      </c>
      <c r="B530" s="0" t="s">
        <v>2105</v>
      </c>
      <c r="C530" s="0" t="n">
        <v>1</v>
      </c>
      <c r="D530" s="0" t="str">
        <f aca="false">IF(C530=0,B530,"")</f>
        <v/>
      </c>
      <c r="E530" s="0" t="str">
        <f aca="false">IF(C530=0,A530,"")</f>
        <v/>
      </c>
    </row>
    <row r="531" customFormat="false" ht="12.8" hidden="false" customHeight="false" outlineLevel="0" collapsed="false">
      <c r="A531" s="0" t="s">
        <v>1406</v>
      </c>
      <c r="B531" s="0" t="s">
        <v>2107</v>
      </c>
      <c r="C531" s="0" t="n">
        <v>1</v>
      </c>
      <c r="D531" s="0" t="str">
        <f aca="false">IF(C531=0,B531,"")</f>
        <v/>
      </c>
      <c r="E531" s="0" t="str">
        <f aca="false">IF(C531=0,A531,"")</f>
        <v/>
      </c>
    </row>
    <row r="532" customFormat="false" ht="12.8" hidden="false" customHeight="false" outlineLevel="0" collapsed="false">
      <c r="A532" s="0" t="s">
        <v>1407</v>
      </c>
      <c r="B532" s="0" t="s">
        <v>2108</v>
      </c>
      <c r="C532" s="0" t="n">
        <v>1</v>
      </c>
      <c r="D532" s="0" t="str">
        <f aca="false">IF(C532=0,B532,"")</f>
        <v/>
      </c>
      <c r="E532" s="0" t="str">
        <f aca="false">IF(C532=0,A532,"")</f>
        <v/>
      </c>
    </row>
    <row r="533" customFormat="false" ht="12.8" hidden="false" customHeight="false" outlineLevel="0" collapsed="false">
      <c r="A533" s="0" t="s">
        <v>1408</v>
      </c>
      <c r="B533" s="0" t="s">
        <v>2109</v>
      </c>
      <c r="C533" s="0" t="n">
        <v>1</v>
      </c>
      <c r="D533" s="0" t="str">
        <f aca="false">IF(C533=0,B533,"")</f>
        <v/>
      </c>
      <c r="E533" s="0" t="str">
        <f aca="false">IF(C533=0,A533,"")</f>
        <v/>
      </c>
    </row>
    <row r="534" customFormat="false" ht="12.8" hidden="false" customHeight="false" outlineLevel="0" collapsed="false">
      <c r="A534" s="0" t="s">
        <v>1409</v>
      </c>
      <c r="B534" s="0" t="s">
        <v>1326</v>
      </c>
      <c r="C534" s="0" t="n">
        <v>1</v>
      </c>
      <c r="D534" s="0" t="str">
        <f aca="false">IF(C534=0,B534,"")</f>
        <v/>
      </c>
      <c r="E534" s="0" t="str">
        <f aca="false">IF(C534=0,A534,"")</f>
        <v/>
      </c>
    </row>
    <row r="535" customFormat="false" ht="12.8" hidden="false" customHeight="false" outlineLevel="0" collapsed="false">
      <c r="A535" s="0" t="s">
        <v>1410</v>
      </c>
      <c r="B535" s="0" t="s">
        <v>3334</v>
      </c>
      <c r="C535" s="0" t="n">
        <v>0</v>
      </c>
      <c r="D535" s="0" t="str">
        <f aca="false">IF(C535=0,B535,"")</f>
        <v>슌</v>
      </c>
      <c r="E535" s="0" t="str">
        <f aca="false">IF(C535=0,A535,"")</f>
        <v>듄</v>
      </c>
    </row>
    <row r="536" customFormat="false" ht="12.8" hidden="false" customHeight="false" outlineLevel="0" collapsed="false">
      <c r="A536" s="0" t="s">
        <v>1411</v>
      </c>
      <c r="B536" s="0" t="s">
        <v>2112</v>
      </c>
      <c r="C536" s="0" t="n">
        <v>1</v>
      </c>
      <c r="D536" s="0" t="str">
        <f aca="false">IF(C536=0,B536,"")</f>
        <v/>
      </c>
      <c r="E536" s="0" t="str">
        <f aca="false">IF(C536=0,A536,"")</f>
        <v/>
      </c>
    </row>
    <row r="537" customFormat="false" ht="12.8" hidden="false" customHeight="false" outlineLevel="0" collapsed="false">
      <c r="A537" s="0" t="s">
        <v>1412</v>
      </c>
      <c r="B537" s="0" t="s">
        <v>2113</v>
      </c>
      <c r="C537" s="0" t="n">
        <v>1</v>
      </c>
      <c r="D537" s="0" t="str">
        <f aca="false">IF(C537=0,B537,"")</f>
        <v/>
      </c>
      <c r="E537" s="0" t="str">
        <f aca="false">IF(C537=0,A537,"")</f>
        <v/>
      </c>
    </row>
    <row r="538" customFormat="false" ht="12.8" hidden="false" customHeight="false" outlineLevel="0" collapsed="false">
      <c r="A538" s="0" t="s">
        <v>1413</v>
      </c>
      <c r="B538" s="0" t="s">
        <v>2115</v>
      </c>
      <c r="C538" s="0" t="n">
        <v>1</v>
      </c>
      <c r="D538" s="0" t="str">
        <f aca="false">IF(C538=0,B538,"")</f>
        <v/>
      </c>
      <c r="E538" s="0" t="str">
        <f aca="false">IF(C538=0,A538,"")</f>
        <v/>
      </c>
    </row>
    <row r="539" customFormat="false" ht="12.8" hidden="false" customHeight="false" outlineLevel="0" collapsed="false">
      <c r="A539" s="0" t="s">
        <v>1414</v>
      </c>
      <c r="B539" s="0" t="s">
        <v>1335</v>
      </c>
      <c r="C539" s="0" t="n">
        <v>1</v>
      </c>
      <c r="D539" s="0" t="str">
        <f aca="false">IF(C539=0,B539,"")</f>
        <v/>
      </c>
      <c r="E539" s="0" t="str">
        <f aca="false">IF(C539=0,A539,"")</f>
        <v/>
      </c>
    </row>
    <row r="540" customFormat="false" ht="12.8" hidden="false" customHeight="false" outlineLevel="0" collapsed="false">
      <c r="A540" s="0" t="s">
        <v>1415</v>
      </c>
      <c r="B540" s="0" t="s">
        <v>2116</v>
      </c>
      <c r="C540" s="0" t="n">
        <v>1</v>
      </c>
      <c r="D540" s="0" t="str">
        <f aca="false">IF(C540=0,B540,"")</f>
        <v/>
      </c>
      <c r="E540" s="0" t="str">
        <f aca="false">IF(C540=0,A540,"")</f>
        <v/>
      </c>
    </row>
    <row r="541" customFormat="false" ht="12.8" hidden="false" customHeight="false" outlineLevel="0" collapsed="false">
      <c r="A541" s="0" t="s">
        <v>1416</v>
      </c>
      <c r="B541" s="0" t="s">
        <v>2117</v>
      </c>
      <c r="C541" s="0" t="n">
        <v>1</v>
      </c>
      <c r="D541" s="0" t="str">
        <f aca="false">IF(C541=0,B541,"")</f>
        <v/>
      </c>
      <c r="E541" s="0" t="str">
        <f aca="false">IF(C541=0,A541,"")</f>
        <v/>
      </c>
    </row>
    <row r="542" customFormat="false" ht="12.8" hidden="false" customHeight="false" outlineLevel="0" collapsed="false">
      <c r="A542" s="0" t="s">
        <v>1417</v>
      </c>
      <c r="B542" s="0" t="s">
        <v>2121</v>
      </c>
      <c r="C542" s="0" t="n">
        <v>1</v>
      </c>
      <c r="D542" s="0" t="str">
        <f aca="false">IF(C542=0,B542,"")</f>
        <v/>
      </c>
      <c r="E542" s="0" t="str">
        <f aca="false">IF(C542=0,A542,"")</f>
        <v/>
      </c>
    </row>
    <row r="543" customFormat="false" ht="12.8" hidden="false" customHeight="false" outlineLevel="0" collapsed="false">
      <c r="A543" s="0" t="s">
        <v>1418</v>
      </c>
      <c r="B543" s="0" t="s">
        <v>2118</v>
      </c>
      <c r="C543" s="0" t="n">
        <v>1</v>
      </c>
      <c r="D543" s="0" t="str">
        <f aca="false">IF(C543=0,B543,"")</f>
        <v/>
      </c>
      <c r="E543" s="0" t="str">
        <f aca="false">IF(C543=0,A543,"")</f>
        <v/>
      </c>
    </row>
    <row r="544" customFormat="false" ht="12.8" hidden="false" customHeight="false" outlineLevel="0" collapsed="false">
      <c r="A544" s="0" t="s">
        <v>1419</v>
      </c>
      <c r="B544" s="0" t="s">
        <v>2118</v>
      </c>
      <c r="C544" s="0" t="n">
        <v>1</v>
      </c>
      <c r="D544" s="0" t="str">
        <f aca="false">IF(C544=0,B544,"")</f>
        <v/>
      </c>
      <c r="E544" s="0" t="str">
        <f aca="false">IF(C544=0,A544,"")</f>
        <v/>
      </c>
    </row>
    <row r="545" customFormat="false" ht="12.8" hidden="false" customHeight="false" outlineLevel="0" collapsed="false">
      <c r="A545" s="0" t="s">
        <v>1420</v>
      </c>
      <c r="B545" s="0" t="s">
        <v>2120</v>
      </c>
      <c r="C545" s="0" t="n">
        <v>1</v>
      </c>
      <c r="D545" s="0" t="str">
        <f aca="false">IF(C545=0,B545,"")</f>
        <v/>
      </c>
      <c r="E545" s="0" t="str">
        <f aca="false">IF(C545=0,A545,"")</f>
        <v/>
      </c>
    </row>
    <row r="546" customFormat="false" ht="12.8" hidden="false" customHeight="false" outlineLevel="0" collapsed="false">
      <c r="A546" s="0" t="s">
        <v>1421</v>
      </c>
      <c r="B546" s="0" t="s">
        <v>816</v>
      </c>
      <c r="C546" s="0" t="n">
        <v>1</v>
      </c>
      <c r="D546" s="0" t="str">
        <f aca="false">IF(C546=0,B546,"")</f>
        <v/>
      </c>
      <c r="E546" s="0" t="str">
        <f aca="false">IF(C546=0,A546,"")</f>
        <v/>
      </c>
    </row>
    <row r="547" customFormat="false" ht="12.8" hidden="false" customHeight="false" outlineLevel="0" collapsed="false">
      <c r="A547" s="0" t="s">
        <v>1422</v>
      </c>
      <c r="B547" s="0" t="s">
        <v>2121</v>
      </c>
      <c r="C547" s="0" t="n">
        <v>1</v>
      </c>
      <c r="D547" s="0" t="str">
        <f aca="false">IF(C547=0,B547,"")</f>
        <v/>
      </c>
      <c r="E547" s="0" t="str">
        <f aca="false">IF(C547=0,A547,"")</f>
        <v/>
      </c>
    </row>
    <row r="548" customFormat="false" ht="12.8" hidden="false" customHeight="false" outlineLevel="0" collapsed="false">
      <c r="A548" s="0" t="s">
        <v>1423</v>
      </c>
      <c r="B548" s="0" t="s">
        <v>2122</v>
      </c>
      <c r="C548" s="0" t="n">
        <v>1</v>
      </c>
      <c r="D548" s="0" t="str">
        <f aca="false">IF(C548=0,B548,"")</f>
        <v/>
      </c>
      <c r="E548" s="0" t="str">
        <f aca="false">IF(C548=0,A548,"")</f>
        <v/>
      </c>
    </row>
    <row r="549" customFormat="false" ht="12.8" hidden="false" customHeight="false" outlineLevel="0" collapsed="false">
      <c r="A549" s="0" t="s">
        <v>1424</v>
      </c>
      <c r="B549" s="0" t="s">
        <v>1425</v>
      </c>
      <c r="C549" s="0" t="n">
        <v>1</v>
      </c>
      <c r="D549" s="0" t="str">
        <f aca="false">IF(C549=0,B549,"")</f>
        <v/>
      </c>
      <c r="E549" s="0" t="str">
        <f aca="false">IF(C549=0,A549,"")</f>
        <v/>
      </c>
    </row>
    <row r="550" customFormat="false" ht="12.8" hidden="false" customHeight="false" outlineLevel="0" collapsed="false">
      <c r="A550" s="0" t="s">
        <v>1425</v>
      </c>
      <c r="B550" s="0" t="s">
        <v>1414</v>
      </c>
      <c r="C550" s="0" t="n">
        <v>1</v>
      </c>
      <c r="D550" s="0" t="str">
        <f aca="false">IF(C550=0,B550,"")</f>
        <v/>
      </c>
      <c r="E550" s="0" t="str">
        <f aca="false">IF(C550=0,A550,"")</f>
        <v/>
      </c>
    </row>
    <row r="551" customFormat="false" ht="12.8" hidden="false" customHeight="false" outlineLevel="0" collapsed="false">
      <c r="A551" s="0" t="s">
        <v>1426</v>
      </c>
      <c r="B551" s="0" t="s">
        <v>2124</v>
      </c>
      <c r="C551" s="0" t="n">
        <v>1</v>
      </c>
      <c r="D551" s="0" t="str">
        <f aca="false">IF(C551=0,B551,"")</f>
        <v/>
      </c>
      <c r="E551" s="0" t="str">
        <f aca="false">IF(C551=0,A551,"")</f>
        <v/>
      </c>
    </row>
    <row r="552" customFormat="false" ht="12.8" hidden="false" customHeight="false" outlineLevel="0" collapsed="false">
      <c r="A552" s="0" t="s">
        <v>1427</v>
      </c>
      <c r="B552" s="0" t="s">
        <v>2125</v>
      </c>
      <c r="C552" s="0" t="n">
        <v>1</v>
      </c>
      <c r="D552" s="0" t="str">
        <f aca="false">IF(C552=0,B552,"")</f>
        <v/>
      </c>
      <c r="E552" s="0" t="str">
        <f aca="false">IF(C552=0,A552,"")</f>
        <v/>
      </c>
    </row>
    <row r="553" customFormat="false" ht="12.8" hidden="false" customHeight="false" outlineLevel="0" collapsed="false">
      <c r="A553" s="0" t="s">
        <v>1428</v>
      </c>
      <c r="B553" s="0" t="s">
        <v>2131</v>
      </c>
      <c r="C553" s="0" t="n">
        <v>1</v>
      </c>
      <c r="D553" s="0" t="str">
        <f aca="false">IF(C553=0,B553,"")</f>
        <v/>
      </c>
      <c r="E553" s="0" t="str">
        <f aca="false">IF(C553=0,A553,"")</f>
        <v/>
      </c>
    </row>
    <row r="554" customFormat="false" ht="12.8" hidden="false" customHeight="false" outlineLevel="0" collapsed="false">
      <c r="A554" s="0" t="s">
        <v>1429</v>
      </c>
      <c r="B554" s="0" t="s">
        <v>2127</v>
      </c>
      <c r="C554" s="0" t="n">
        <v>1</v>
      </c>
      <c r="D554" s="0" t="str">
        <f aca="false">IF(C554=0,B554,"")</f>
        <v/>
      </c>
      <c r="E554" s="0" t="str">
        <f aca="false">IF(C554=0,A554,"")</f>
        <v/>
      </c>
    </row>
    <row r="555" customFormat="false" ht="12.8" hidden="false" customHeight="false" outlineLevel="0" collapsed="false">
      <c r="A555" s="0" t="s">
        <v>1430</v>
      </c>
      <c r="B555" s="0" t="s">
        <v>2129</v>
      </c>
      <c r="C555" s="0" t="n">
        <v>1</v>
      </c>
      <c r="D555" s="0" t="str">
        <f aca="false">IF(C555=0,B555,"")</f>
        <v/>
      </c>
      <c r="E555" s="0" t="str">
        <f aca="false">IF(C555=0,A555,"")</f>
        <v/>
      </c>
    </row>
    <row r="556" customFormat="false" ht="12.8" hidden="false" customHeight="false" outlineLevel="0" collapsed="false">
      <c r="A556" s="0" t="s">
        <v>1431</v>
      </c>
      <c r="B556" s="0" t="s">
        <v>2130</v>
      </c>
      <c r="C556" s="0" t="n">
        <v>1</v>
      </c>
      <c r="D556" s="0" t="str">
        <f aca="false">IF(C556=0,B556,"")</f>
        <v/>
      </c>
      <c r="E556" s="0" t="str">
        <f aca="false">IF(C556=0,A556,"")</f>
        <v/>
      </c>
    </row>
    <row r="557" customFormat="false" ht="12.8" hidden="false" customHeight="false" outlineLevel="0" collapsed="false">
      <c r="A557" s="0" t="s">
        <v>1432</v>
      </c>
      <c r="B557" s="0" t="s">
        <v>2131</v>
      </c>
      <c r="C557" s="0" t="n">
        <v>1</v>
      </c>
      <c r="D557" s="0" t="str">
        <f aca="false">IF(C557=0,B557,"")</f>
        <v/>
      </c>
      <c r="E557" s="0" t="str">
        <f aca="false">IF(C557=0,A557,"")</f>
        <v/>
      </c>
    </row>
    <row r="558" customFormat="false" ht="12.8" hidden="false" customHeight="false" outlineLevel="0" collapsed="false">
      <c r="A558" s="0" t="s">
        <v>1433</v>
      </c>
      <c r="B558" s="0" t="s">
        <v>2131</v>
      </c>
      <c r="C558" s="0" t="n">
        <v>1</v>
      </c>
      <c r="D558" s="0" t="str">
        <f aca="false">IF(C558=0,B558,"")</f>
        <v/>
      </c>
      <c r="E558" s="0" t="str">
        <f aca="false">IF(C558=0,A558,"")</f>
        <v/>
      </c>
    </row>
    <row r="559" customFormat="false" ht="12.8" hidden="false" customHeight="false" outlineLevel="0" collapsed="false">
      <c r="A559" s="0" t="s">
        <v>1434</v>
      </c>
      <c r="B559" s="0" t="s">
        <v>2132</v>
      </c>
      <c r="C559" s="0" t="n">
        <v>1</v>
      </c>
      <c r="D559" s="0" t="str">
        <f aca="false">IF(C559=0,B559,"")</f>
        <v/>
      </c>
      <c r="E559" s="0" t="str">
        <f aca="false">IF(C559=0,A559,"")</f>
        <v/>
      </c>
    </row>
    <row r="560" customFormat="false" ht="12.8" hidden="false" customHeight="false" outlineLevel="0" collapsed="false">
      <c r="A560" s="0" t="s">
        <v>1435</v>
      </c>
      <c r="B560" s="0" t="s">
        <v>2131</v>
      </c>
      <c r="C560" s="0" t="n">
        <v>1</v>
      </c>
      <c r="D560" s="0" t="str">
        <f aca="false">IF(C560=0,B560,"")</f>
        <v/>
      </c>
      <c r="E560" s="0" t="str">
        <f aca="false">IF(C560=0,A560,"")</f>
        <v/>
      </c>
    </row>
    <row r="561" customFormat="false" ht="12.8" hidden="false" customHeight="false" outlineLevel="0" collapsed="false">
      <c r="A561" s="0" t="s">
        <v>1436</v>
      </c>
      <c r="B561" s="0" t="s">
        <v>1478</v>
      </c>
      <c r="C561" s="0" t="n">
        <v>1</v>
      </c>
      <c r="D561" s="0" t="str">
        <f aca="false">IF(C561=0,B561,"")</f>
        <v/>
      </c>
      <c r="E561" s="0" t="str">
        <f aca="false">IF(C561=0,A561,"")</f>
        <v/>
      </c>
    </row>
    <row r="562" customFormat="false" ht="12.8" hidden="false" customHeight="false" outlineLevel="0" collapsed="false">
      <c r="A562" s="0" t="s">
        <v>1437</v>
      </c>
      <c r="B562" s="0" t="s">
        <v>2135</v>
      </c>
      <c r="C562" s="0" t="n">
        <v>1</v>
      </c>
      <c r="D562" s="0" t="str">
        <f aca="false">IF(C562=0,B562,"")</f>
        <v/>
      </c>
      <c r="E562" s="0" t="str">
        <f aca="false">IF(C562=0,A562,"")</f>
        <v/>
      </c>
    </row>
    <row r="563" customFormat="false" ht="12.8" hidden="false" customHeight="false" outlineLevel="0" collapsed="false">
      <c r="A563" s="0" t="s">
        <v>1438</v>
      </c>
      <c r="B563" s="0" t="s">
        <v>2137</v>
      </c>
      <c r="C563" s="0" t="n">
        <v>1</v>
      </c>
      <c r="D563" s="0" t="str">
        <f aca="false">IF(C563=0,B563,"")</f>
        <v/>
      </c>
      <c r="E563" s="0" t="str">
        <f aca="false">IF(C563=0,A563,"")</f>
        <v/>
      </c>
    </row>
    <row r="564" customFormat="false" ht="12.8" hidden="false" customHeight="false" outlineLevel="0" collapsed="false">
      <c r="A564" s="0" t="s">
        <v>1439</v>
      </c>
      <c r="B564" s="0" t="s">
        <v>2138</v>
      </c>
      <c r="C564" s="0" t="n">
        <v>1</v>
      </c>
      <c r="D564" s="0" t="str">
        <f aca="false">IF(C564=0,B564,"")</f>
        <v/>
      </c>
      <c r="E564" s="0" t="str">
        <f aca="false">IF(C564=0,A564,"")</f>
        <v/>
      </c>
    </row>
    <row r="565" customFormat="false" ht="12.8" hidden="false" customHeight="false" outlineLevel="0" collapsed="false">
      <c r="A565" s="0" t="s">
        <v>1440</v>
      </c>
      <c r="B565" s="0" t="s">
        <v>2139</v>
      </c>
      <c r="C565" s="0" t="n">
        <v>1</v>
      </c>
      <c r="D565" s="0" t="str">
        <f aca="false">IF(C565=0,B565,"")</f>
        <v/>
      </c>
      <c r="E565" s="0" t="str">
        <f aca="false">IF(C565=0,A565,"")</f>
        <v/>
      </c>
    </row>
    <row r="566" customFormat="false" ht="12.8" hidden="false" customHeight="false" outlineLevel="0" collapsed="false">
      <c r="A566" s="0" t="s">
        <v>1441</v>
      </c>
      <c r="B566" s="0" t="s">
        <v>2140</v>
      </c>
      <c r="C566" s="0" t="n">
        <v>1</v>
      </c>
      <c r="D566" s="0" t="str">
        <f aca="false">IF(C566=0,B566,"")</f>
        <v/>
      </c>
      <c r="E566" s="0" t="str">
        <f aca="false">IF(C566=0,A566,"")</f>
        <v/>
      </c>
    </row>
    <row r="567" customFormat="false" ht="12.8" hidden="false" customHeight="false" outlineLevel="0" collapsed="false">
      <c r="A567" s="0" t="s">
        <v>1442</v>
      </c>
      <c r="B567" s="0" t="s">
        <v>3335</v>
      </c>
      <c r="C567" s="0" t="n">
        <v>0</v>
      </c>
      <c r="D567" s="0" t="str">
        <f aca="false">IF(C567=0,B567,"")</f>
        <v>쌋</v>
      </c>
      <c r="E567" s="0" t="str">
        <f aca="false">IF(C567=0,A567,"")</f>
        <v>땃</v>
      </c>
    </row>
    <row r="568" customFormat="false" ht="12.8" hidden="false" customHeight="false" outlineLevel="0" collapsed="false">
      <c r="A568" s="0" t="s">
        <v>1443</v>
      </c>
      <c r="B568" s="0" t="s">
        <v>3335</v>
      </c>
      <c r="C568" s="0" t="n">
        <v>0</v>
      </c>
      <c r="D568" s="0" t="str">
        <f aca="false">IF(C568=0,B568,"")</f>
        <v>쌋</v>
      </c>
      <c r="E568" s="0" t="str">
        <f aca="false">IF(C568=0,A568,"")</f>
        <v>땄</v>
      </c>
    </row>
    <row r="569" customFormat="false" ht="12.8" hidden="false" customHeight="false" outlineLevel="0" collapsed="false">
      <c r="A569" s="0" t="s">
        <v>1444</v>
      </c>
      <c r="B569" s="0" t="s">
        <v>2142</v>
      </c>
      <c r="C569" s="0" t="n">
        <v>1</v>
      </c>
      <c r="D569" s="0" t="str">
        <f aca="false">IF(C569=0,B569,"")</f>
        <v/>
      </c>
      <c r="E569" s="0" t="str">
        <f aca="false">IF(C569=0,A569,"")</f>
        <v/>
      </c>
    </row>
    <row r="570" customFormat="false" ht="12.8" hidden="false" customHeight="false" outlineLevel="0" collapsed="false">
      <c r="A570" s="0" t="s">
        <v>1445</v>
      </c>
      <c r="B570" s="0" t="s">
        <v>3335</v>
      </c>
      <c r="C570" s="0" t="n">
        <v>0</v>
      </c>
      <c r="D570" s="0" t="str">
        <f aca="false">IF(C570=0,B570,"")</f>
        <v>쌋</v>
      </c>
      <c r="E570" s="0" t="str">
        <f aca="false">IF(C570=0,A570,"")</f>
        <v>땋</v>
      </c>
    </row>
    <row r="571" customFormat="false" ht="12.8" hidden="false" customHeight="false" outlineLevel="0" collapsed="false">
      <c r="A571" s="0" t="s">
        <v>1446</v>
      </c>
      <c r="B571" s="0" t="s">
        <v>1510</v>
      </c>
      <c r="C571" s="0" t="n">
        <v>1</v>
      </c>
      <c r="D571" s="0" t="str">
        <f aca="false">IF(C571=0,B571,"")</f>
        <v/>
      </c>
      <c r="E571" s="0" t="str">
        <f aca="false">IF(C571=0,A571,"")</f>
        <v/>
      </c>
    </row>
    <row r="572" customFormat="false" ht="12.8" hidden="false" customHeight="false" outlineLevel="0" collapsed="false">
      <c r="A572" s="0" t="s">
        <v>1447</v>
      </c>
      <c r="B572" s="0" t="s">
        <v>2145</v>
      </c>
      <c r="C572" s="0" t="n">
        <v>1</v>
      </c>
      <c r="D572" s="0" t="str">
        <f aca="false">IF(C572=0,B572,"")</f>
        <v/>
      </c>
      <c r="E572" s="0" t="str">
        <f aca="false">IF(C572=0,A572,"")</f>
        <v/>
      </c>
    </row>
    <row r="573" customFormat="false" ht="12.8" hidden="false" customHeight="false" outlineLevel="0" collapsed="false">
      <c r="A573" s="0" t="s">
        <v>1448</v>
      </c>
      <c r="B573" s="0" t="s">
        <v>2146</v>
      </c>
      <c r="C573" s="0" t="n">
        <v>1</v>
      </c>
      <c r="D573" s="0" t="str">
        <f aca="false">IF(C573=0,B573,"")</f>
        <v/>
      </c>
      <c r="E573" s="0" t="str">
        <f aca="false">IF(C573=0,A573,"")</f>
        <v/>
      </c>
    </row>
    <row r="574" customFormat="false" ht="12.8" hidden="false" customHeight="false" outlineLevel="0" collapsed="false">
      <c r="A574" s="0" t="s">
        <v>1449</v>
      </c>
      <c r="B574" s="0" t="s">
        <v>2147</v>
      </c>
      <c r="C574" s="0" t="n">
        <v>1</v>
      </c>
      <c r="D574" s="0" t="str">
        <f aca="false">IF(C574=0,B574,"")</f>
        <v/>
      </c>
      <c r="E574" s="0" t="str">
        <f aca="false">IF(C574=0,A574,"")</f>
        <v/>
      </c>
    </row>
    <row r="575" customFormat="false" ht="12.8" hidden="false" customHeight="false" outlineLevel="0" collapsed="false">
      <c r="A575" s="0" t="s">
        <v>1450</v>
      </c>
      <c r="B575" s="0" t="s">
        <v>2148</v>
      </c>
      <c r="C575" s="0" t="n">
        <v>1</v>
      </c>
      <c r="D575" s="0" t="str">
        <f aca="false">IF(C575=0,B575,"")</f>
        <v/>
      </c>
      <c r="E575" s="0" t="str">
        <f aca="false">IF(C575=0,A575,"")</f>
        <v/>
      </c>
    </row>
    <row r="576" customFormat="false" ht="12.8" hidden="false" customHeight="false" outlineLevel="0" collapsed="false">
      <c r="A576" s="0" t="s">
        <v>1451</v>
      </c>
      <c r="B576" s="0" t="s">
        <v>2149</v>
      </c>
      <c r="C576" s="0" t="n">
        <v>1</v>
      </c>
      <c r="D576" s="0" t="str">
        <f aca="false">IF(C576=0,B576,"")</f>
        <v/>
      </c>
      <c r="E576" s="0" t="str">
        <f aca="false">IF(C576=0,A576,"")</f>
        <v/>
      </c>
    </row>
    <row r="577" customFormat="false" ht="12.8" hidden="false" customHeight="false" outlineLevel="0" collapsed="false">
      <c r="A577" s="0" t="s">
        <v>1452</v>
      </c>
      <c r="B577" s="0" t="s">
        <v>3336</v>
      </c>
      <c r="C577" s="0" t="n">
        <v>0</v>
      </c>
      <c r="D577" s="0" t="str">
        <f aca="false">IF(C577=0,B577,"")</f>
        <v>쌧</v>
      </c>
      <c r="E577" s="0" t="str">
        <f aca="false">IF(C577=0,A577,"")</f>
        <v>땟</v>
      </c>
    </row>
    <row r="578" customFormat="false" ht="12.8" hidden="false" customHeight="false" outlineLevel="0" collapsed="false">
      <c r="A578" s="0" t="s">
        <v>1453</v>
      </c>
      <c r="B578" s="0" t="s">
        <v>3336</v>
      </c>
      <c r="C578" s="0" t="n">
        <v>0</v>
      </c>
      <c r="D578" s="0" t="str">
        <f aca="false">IF(C578=0,B578,"")</f>
        <v>쌧</v>
      </c>
      <c r="E578" s="0" t="str">
        <f aca="false">IF(C578=0,A578,"")</f>
        <v>땠</v>
      </c>
    </row>
    <row r="579" customFormat="false" ht="12.8" hidden="false" customHeight="false" outlineLevel="0" collapsed="false">
      <c r="A579" s="0" t="s">
        <v>1454</v>
      </c>
      <c r="B579" s="0" t="s">
        <v>2151</v>
      </c>
      <c r="C579" s="0" t="n">
        <v>1</v>
      </c>
      <c r="D579" s="0" t="str">
        <f aca="false">IF(C579=0,B579,"")</f>
        <v/>
      </c>
      <c r="E579" s="0" t="str">
        <f aca="false">IF(C579=0,A579,"")</f>
        <v/>
      </c>
    </row>
    <row r="580" customFormat="false" ht="12.8" hidden="false" customHeight="false" outlineLevel="0" collapsed="false">
      <c r="A580" s="0" t="s">
        <v>1455</v>
      </c>
      <c r="B580" s="0" t="s">
        <v>1488</v>
      </c>
      <c r="C580" s="0" t="n">
        <v>1</v>
      </c>
      <c r="D580" s="0" t="str">
        <f aca="false">IF(C580=0,B580,"")</f>
        <v/>
      </c>
      <c r="E580" s="0" t="str">
        <f aca="false">IF(C580=0,A580,"")</f>
        <v/>
      </c>
    </row>
    <row r="581" customFormat="false" ht="12.8" hidden="false" customHeight="false" outlineLevel="0" collapsed="false">
      <c r="A581" s="0" t="s">
        <v>1456</v>
      </c>
      <c r="B581" s="0" t="s">
        <v>2154</v>
      </c>
      <c r="C581" s="0" t="n">
        <v>1</v>
      </c>
      <c r="D581" s="0" t="str">
        <f aca="false">IF(C581=0,B581,"")</f>
        <v/>
      </c>
      <c r="E581" s="0" t="str">
        <f aca="false">IF(C581=0,A581,"")</f>
        <v/>
      </c>
    </row>
    <row r="582" customFormat="false" ht="12.8" hidden="false" customHeight="false" outlineLevel="0" collapsed="false">
      <c r="A582" s="0" t="s">
        <v>1457</v>
      </c>
      <c r="B582" s="0" t="s">
        <v>2155</v>
      </c>
      <c r="C582" s="0" t="n">
        <v>1</v>
      </c>
      <c r="D582" s="0" t="str">
        <f aca="false">IF(C582=0,B582,"")</f>
        <v/>
      </c>
      <c r="E582" s="0" t="str">
        <f aca="false">IF(C582=0,A582,"")</f>
        <v/>
      </c>
    </row>
    <row r="583" customFormat="false" ht="12.8" hidden="false" customHeight="false" outlineLevel="0" collapsed="false">
      <c r="A583" s="0" t="s">
        <v>1458</v>
      </c>
      <c r="B583" s="0" t="s">
        <v>2156</v>
      </c>
      <c r="C583" s="0" t="n">
        <v>1</v>
      </c>
      <c r="D583" s="0" t="str">
        <f aca="false">IF(C583=0,B583,"")</f>
        <v/>
      </c>
      <c r="E583" s="0" t="str">
        <f aca="false">IF(C583=0,A583,"")</f>
        <v/>
      </c>
    </row>
    <row r="584" customFormat="false" ht="12.8" hidden="false" customHeight="false" outlineLevel="0" collapsed="false">
      <c r="A584" s="0" t="s">
        <v>1459</v>
      </c>
      <c r="B584" s="0" t="s">
        <v>2156</v>
      </c>
      <c r="C584" s="0" t="n">
        <v>1</v>
      </c>
      <c r="D584" s="0" t="str">
        <f aca="false">IF(C584=0,B584,"")</f>
        <v/>
      </c>
      <c r="E584" s="0" t="str">
        <f aca="false">IF(C584=0,A584,"")</f>
        <v/>
      </c>
    </row>
    <row r="585" customFormat="false" ht="12.8" hidden="false" customHeight="false" outlineLevel="0" collapsed="false">
      <c r="A585" s="0" t="s">
        <v>1460</v>
      </c>
      <c r="B585" s="0" t="s">
        <v>2156</v>
      </c>
      <c r="C585" s="0" t="n">
        <v>1</v>
      </c>
      <c r="D585" s="0" t="str">
        <f aca="false">IF(C585=0,B585,"")</f>
        <v/>
      </c>
      <c r="E585" s="0" t="str">
        <f aca="false">IF(C585=0,A585,"")</f>
        <v/>
      </c>
    </row>
    <row r="586" customFormat="false" ht="12.8" hidden="false" customHeight="false" outlineLevel="0" collapsed="false">
      <c r="A586" s="0" t="s">
        <v>1461</v>
      </c>
      <c r="B586" s="0" t="s">
        <v>2158</v>
      </c>
      <c r="C586" s="0" t="n">
        <v>1</v>
      </c>
      <c r="D586" s="0" t="str">
        <f aca="false">IF(C586=0,B586,"")</f>
        <v/>
      </c>
      <c r="E586" s="0" t="str">
        <f aca="false">IF(C586=0,A586,"")</f>
        <v/>
      </c>
    </row>
    <row r="587" customFormat="false" ht="12.8" hidden="false" customHeight="false" outlineLevel="0" collapsed="false">
      <c r="A587" s="0" t="s">
        <v>1462</v>
      </c>
      <c r="B587" s="0" t="s">
        <v>2159</v>
      </c>
      <c r="C587" s="0" t="n">
        <v>1</v>
      </c>
      <c r="D587" s="0" t="str">
        <f aca="false">IF(C587=0,B587,"")</f>
        <v/>
      </c>
      <c r="E587" s="0" t="str">
        <f aca="false">IF(C587=0,A587,"")</f>
        <v/>
      </c>
    </row>
    <row r="588" customFormat="false" ht="12.8" hidden="false" customHeight="false" outlineLevel="0" collapsed="false">
      <c r="A588" s="0" t="s">
        <v>1463</v>
      </c>
      <c r="B588" s="0" t="s">
        <v>3337</v>
      </c>
      <c r="C588" s="0" t="n">
        <v>0</v>
      </c>
      <c r="D588" s="0" t="str">
        <f aca="false">IF(C588=0,B588,"")</f>
        <v>썻</v>
      </c>
      <c r="E588" s="0" t="str">
        <f aca="false">IF(C588=0,A588,"")</f>
        <v>떳</v>
      </c>
    </row>
    <row r="589" customFormat="false" ht="12.8" hidden="false" customHeight="false" outlineLevel="0" collapsed="false">
      <c r="A589" s="0" t="s">
        <v>1464</v>
      </c>
      <c r="B589" s="0" t="s">
        <v>3337</v>
      </c>
      <c r="C589" s="0" t="n">
        <v>0</v>
      </c>
      <c r="D589" s="0" t="str">
        <f aca="false">IF(C589=0,B589,"")</f>
        <v>썻</v>
      </c>
      <c r="E589" s="0" t="str">
        <f aca="false">IF(C589=0,A589,"")</f>
        <v>떴</v>
      </c>
    </row>
    <row r="590" customFormat="false" ht="12.8" hidden="false" customHeight="false" outlineLevel="0" collapsed="false">
      <c r="A590" s="0" t="s">
        <v>1465</v>
      </c>
      <c r="B590" s="0" t="s">
        <v>2161</v>
      </c>
      <c r="C590" s="0" t="n">
        <v>1</v>
      </c>
      <c r="D590" s="0" t="str">
        <f aca="false">IF(C590=0,B590,"")</f>
        <v/>
      </c>
      <c r="E590" s="0" t="str">
        <f aca="false">IF(C590=0,A590,"")</f>
        <v/>
      </c>
    </row>
    <row r="591" customFormat="false" ht="12.8" hidden="false" customHeight="false" outlineLevel="0" collapsed="false">
      <c r="A591" s="0" t="s">
        <v>1466</v>
      </c>
      <c r="B591" s="0" t="s">
        <v>3337</v>
      </c>
      <c r="C591" s="0" t="n">
        <v>0</v>
      </c>
      <c r="D591" s="0" t="str">
        <f aca="false">IF(C591=0,B591,"")</f>
        <v>썻</v>
      </c>
      <c r="E591" s="0" t="str">
        <f aca="false">IF(C591=0,A591,"")</f>
        <v>떻</v>
      </c>
    </row>
    <row r="592" customFormat="false" ht="12.8" hidden="false" customHeight="false" outlineLevel="0" collapsed="false">
      <c r="A592" s="0" t="s">
        <v>1467</v>
      </c>
      <c r="B592" s="0" t="s">
        <v>1436</v>
      </c>
      <c r="C592" s="0" t="n">
        <v>1</v>
      </c>
      <c r="D592" s="0" t="str">
        <f aca="false">IF(C592=0,B592,"")</f>
        <v/>
      </c>
      <c r="E592" s="0" t="str">
        <f aca="false">IF(C592=0,A592,"")</f>
        <v/>
      </c>
    </row>
    <row r="593" customFormat="false" ht="12.8" hidden="false" customHeight="false" outlineLevel="0" collapsed="false">
      <c r="A593" s="0" t="s">
        <v>1468</v>
      </c>
      <c r="B593" s="0" t="s">
        <v>3338</v>
      </c>
      <c r="C593" s="0" t="n">
        <v>0</v>
      </c>
      <c r="D593" s="0" t="str">
        <f aca="false">IF(C593=0,B593,"")</f>
        <v>쎅</v>
      </c>
      <c r="E593" s="0" t="str">
        <f aca="false">IF(C593=0,A593,"")</f>
        <v>떽</v>
      </c>
    </row>
    <row r="594" customFormat="false" ht="12.8" hidden="false" customHeight="false" outlineLevel="0" collapsed="false">
      <c r="A594" s="0" t="s">
        <v>1469</v>
      </c>
      <c r="B594" s="0" t="s">
        <v>2163</v>
      </c>
      <c r="C594" s="0" t="n">
        <v>1</v>
      </c>
      <c r="D594" s="0" t="str">
        <f aca="false">IF(C594=0,B594,"")</f>
        <v/>
      </c>
      <c r="E594" s="0" t="str">
        <f aca="false">IF(C594=0,A594,"")</f>
        <v/>
      </c>
    </row>
    <row r="595" customFormat="false" ht="12.8" hidden="false" customHeight="false" outlineLevel="0" collapsed="false">
      <c r="A595" s="0" t="s">
        <v>1470</v>
      </c>
      <c r="B595" s="0" t="s">
        <v>2164</v>
      </c>
      <c r="C595" s="0" t="n">
        <v>1</v>
      </c>
      <c r="D595" s="0" t="str">
        <f aca="false">IF(C595=0,B595,"")</f>
        <v/>
      </c>
      <c r="E595" s="0" t="str">
        <f aca="false">IF(C595=0,A595,"")</f>
        <v/>
      </c>
    </row>
    <row r="596" customFormat="false" ht="12.8" hidden="false" customHeight="false" outlineLevel="0" collapsed="false">
      <c r="A596" s="0" t="s">
        <v>1471</v>
      </c>
      <c r="B596" s="0" t="s">
        <v>3339</v>
      </c>
      <c r="C596" s="0" t="n">
        <v>0</v>
      </c>
      <c r="D596" s="0" t="str">
        <f aca="false">IF(C596=0,B596,"")</f>
        <v>쎔</v>
      </c>
      <c r="E596" s="0" t="str">
        <f aca="false">IF(C596=0,A596,"")</f>
        <v>뗌</v>
      </c>
    </row>
    <row r="597" customFormat="false" ht="12.8" hidden="false" customHeight="false" outlineLevel="0" collapsed="false">
      <c r="A597" s="0" t="s">
        <v>1472</v>
      </c>
      <c r="B597" s="0" t="s">
        <v>3340</v>
      </c>
      <c r="C597" s="0" t="n">
        <v>0</v>
      </c>
      <c r="D597" s="0" t="str">
        <f aca="false">IF(C597=0,B597,"")</f>
        <v>쎕</v>
      </c>
      <c r="E597" s="0" t="str">
        <f aca="false">IF(C597=0,A597,"")</f>
        <v>뗍</v>
      </c>
    </row>
    <row r="598" customFormat="false" ht="12.8" hidden="false" customHeight="false" outlineLevel="0" collapsed="false">
      <c r="A598" s="0" t="s">
        <v>1473</v>
      </c>
      <c r="B598" s="0" t="s">
        <v>3341</v>
      </c>
      <c r="C598" s="0" t="n">
        <v>0</v>
      </c>
      <c r="D598" s="0" t="str">
        <f aca="false">IF(C598=0,B598,"")</f>
        <v>쎗</v>
      </c>
      <c r="E598" s="0" t="str">
        <f aca="false">IF(C598=0,A598,"")</f>
        <v>뗏</v>
      </c>
    </row>
    <row r="599" customFormat="false" ht="12.8" hidden="false" customHeight="false" outlineLevel="0" collapsed="false">
      <c r="A599" s="0" t="s">
        <v>1474</v>
      </c>
      <c r="B599" s="0" t="s">
        <v>3341</v>
      </c>
      <c r="C599" s="0" t="n">
        <v>0</v>
      </c>
      <c r="D599" s="0" t="str">
        <f aca="false">IF(C599=0,B599,"")</f>
        <v>쎗</v>
      </c>
      <c r="E599" s="0" t="str">
        <f aca="false">IF(C599=0,A599,"")</f>
        <v>뗐</v>
      </c>
    </row>
    <row r="600" customFormat="false" ht="12.8" hidden="false" customHeight="false" outlineLevel="0" collapsed="false">
      <c r="A600" s="0" t="s">
        <v>1475</v>
      </c>
      <c r="B600" s="0" t="s">
        <v>3342</v>
      </c>
      <c r="C600" s="0" t="n">
        <v>0</v>
      </c>
      <c r="D600" s="0" t="str">
        <f aca="false">IF(C600=0,B600,"")</f>
        <v>쎙</v>
      </c>
      <c r="E600" s="0" t="str">
        <f aca="false">IF(C600=0,A600,"")</f>
        <v>뗑</v>
      </c>
    </row>
    <row r="601" customFormat="false" ht="12.8" hidden="false" customHeight="false" outlineLevel="0" collapsed="false">
      <c r="A601" s="0" t="s">
        <v>1476</v>
      </c>
      <c r="B601" s="0" t="s">
        <v>3343</v>
      </c>
      <c r="C601" s="0" t="n">
        <v>0</v>
      </c>
      <c r="D601" s="0" t="str">
        <f aca="false">IF(C601=0,B601,"")</f>
        <v>뜌</v>
      </c>
      <c r="E601" s="0" t="str">
        <f aca="false">IF(C601=0,A601,"")</f>
        <v>뗘</v>
      </c>
    </row>
    <row r="602" customFormat="false" ht="12.8" hidden="false" customHeight="false" outlineLevel="0" collapsed="false">
      <c r="A602" s="0" t="s">
        <v>1477</v>
      </c>
      <c r="B602" s="0" t="s">
        <v>3344</v>
      </c>
      <c r="C602" s="0" t="n">
        <v>0</v>
      </c>
      <c r="D602" s="0" t="str">
        <f aca="false">IF(C602=0,B602,"")</f>
        <v>쎳</v>
      </c>
      <c r="E602" s="0" t="str">
        <f aca="false">IF(C602=0,A602,"")</f>
        <v>뗬</v>
      </c>
    </row>
    <row r="603" customFormat="false" ht="12.8" hidden="false" customHeight="false" outlineLevel="0" collapsed="false">
      <c r="A603" s="0" t="s">
        <v>1478</v>
      </c>
      <c r="B603" s="0" t="s">
        <v>1455</v>
      </c>
      <c r="C603" s="0" t="n">
        <v>1</v>
      </c>
      <c r="D603" s="0" t="str">
        <f aca="false">IF(C603=0,B603,"")</f>
        <v/>
      </c>
      <c r="E603" s="0" t="str">
        <f aca="false">IF(C603=0,A603,"")</f>
        <v/>
      </c>
    </row>
    <row r="604" customFormat="false" ht="12.8" hidden="false" customHeight="false" outlineLevel="0" collapsed="false">
      <c r="A604" s="0" t="s">
        <v>1479</v>
      </c>
      <c r="B604" s="0" t="s">
        <v>2167</v>
      </c>
      <c r="C604" s="0" t="n">
        <v>1</v>
      </c>
      <c r="D604" s="0" t="str">
        <f aca="false">IF(C604=0,B604,"")</f>
        <v/>
      </c>
      <c r="E604" s="0" t="str">
        <f aca="false">IF(C604=0,A604,"")</f>
        <v/>
      </c>
    </row>
    <row r="605" customFormat="false" ht="12.8" hidden="false" customHeight="false" outlineLevel="0" collapsed="false">
      <c r="A605" s="0" t="s">
        <v>1480</v>
      </c>
      <c r="B605" s="0" t="s">
        <v>2168</v>
      </c>
      <c r="C605" s="0" t="n">
        <v>1</v>
      </c>
      <c r="D605" s="0" t="str">
        <f aca="false">IF(C605=0,B605,"")</f>
        <v/>
      </c>
      <c r="E605" s="0" t="str">
        <f aca="false">IF(C605=0,A605,"")</f>
        <v/>
      </c>
    </row>
    <row r="606" customFormat="false" ht="12.8" hidden="false" customHeight="false" outlineLevel="0" collapsed="false">
      <c r="A606" s="0" t="s">
        <v>1481</v>
      </c>
      <c r="B606" s="0" t="s">
        <v>2170</v>
      </c>
      <c r="C606" s="0" t="n">
        <v>1</v>
      </c>
      <c r="D606" s="0" t="str">
        <f aca="false">IF(C606=0,B606,"")</f>
        <v/>
      </c>
      <c r="E606" s="0" t="str">
        <f aca="false">IF(C606=0,A606,"")</f>
        <v/>
      </c>
    </row>
    <row r="607" customFormat="false" ht="12.8" hidden="false" customHeight="false" outlineLevel="0" collapsed="false">
      <c r="A607" s="0" t="s">
        <v>1482</v>
      </c>
      <c r="B607" s="0" t="s">
        <v>2174</v>
      </c>
      <c r="C607" s="0" t="n">
        <v>1</v>
      </c>
      <c r="D607" s="0" t="str">
        <f aca="false">IF(C607=0,B607,"")</f>
        <v/>
      </c>
      <c r="E607" s="0" t="str">
        <f aca="false">IF(C607=0,A607,"")</f>
        <v/>
      </c>
    </row>
    <row r="608" customFormat="false" ht="12.8" hidden="false" customHeight="false" outlineLevel="0" collapsed="false">
      <c r="A608" s="0" t="s">
        <v>1483</v>
      </c>
      <c r="B608" s="0" t="s">
        <v>3345</v>
      </c>
      <c r="C608" s="0" t="n">
        <v>0</v>
      </c>
      <c r="D608" s="0" t="str">
        <f aca="false">IF(C608=0,B608,"")</f>
        <v>뗴</v>
      </c>
      <c r="E608" s="0" t="str">
        <f aca="false">IF(C608=0,A608,"")</f>
        <v>똬</v>
      </c>
    </row>
    <row r="609" customFormat="false" ht="12.8" hidden="false" customHeight="false" outlineLevel="0" collapsed="false">
      <c r="A609" s="0" t="s">
        <v>1484</v>
      </c>
      <c r="B609" s="0" t="s">
        <v>3346</v>
      </c>
      <c r="C609" s="0" t="n">
        <v>0</v>
      </c>
      <c r="D609" s="0" t="str">
        <f aca="false">IF(C609=0,B609,"")</f>
        <v>쏼</v>
      </c>
      <c r="E609" s="0" t="str">
        <f aca="false">IF(C609=0,A609,"")</f>
        <v>똴</v>
      </c>
    </row>
    <row r="610" customFormat="false" ht="12.8" hidden="false" customHeight="false" outlineLevel="0" collapsed="false">
      <c r="A610" s="0" t="s">
        <v>1485</v>
      </c>
      <c r="B610" s="0" t="s">
        <v>3347</v>
      </c>
      <c r="C610" s="0" t="n">
        <v>0</v>
      </c>
      <c r="D610" s="0" t="str">
        <f aca="false">IF(C610=0,B610,"")</f>
        <v>떄</v>
      </c>
      <c r="E610" s="0" t="str">
        <f aca="false">IF(C610=0,A610,"")</f>
        <v>뙈</v>
      </c>
    </row>
    <row r="611" customFormat="false" ht="12.8" hidden="false" customHeight="false" outlineLevel="0" collapsed="false">
      <c r="A611" s="0" t="s">
        <v>1486</v>
      </c>
      <c r="B611" s="0" t="s">
        <v>3348</v>
      </c>
      <c r="C611" s="0" t="n">
        <v>0</v>
      </c>
      <c r="D611" s="0" t="str">
        <f aca="false">IF(C611=0,B611,"")</f>
        <v>뚸</v>
      </c>
      <c r="E611" s="0" t="str">
        <f aca="false">IF(C611=0,A611,"")</f>
        <v>뙤</v>
      </c>
    </row>
    <row r="612" customFormat="false" ht="12.8" hidden="false" customHeight="false" outlineLevel="0" collapsed="false">
      <c r="A612" s="0" t="s">
        <v>1487</v>
      </c>
      <c r="B612" s="0" t="s">
        <v>2182</v>
      </c>
      <c r="C612" s="0" t="n">
        <v>1</v>
      </c>
      <c r="D612" s="0" t="str">
        <f aca="false">IF(C612=0,B612,"")</f>
        <v/>
      </c>
      <c r="E612" s="0" t="str">
        <f aca="false">IF(C612=0,A612,"")</f>
        <v/>
      </c>
    </row>
    <row r="613" customFormat="false" ht="12.8" hidden="false" customHeight="false" outlineLevel="0" collapsed="false">
      <c r="A613" s="0" t="s">
        <v>1488</v>
      </c>
      <c r="B613" s="0" t="s">
        <v>1467</v>
      </c>
      <c r="C613" s="0" t="n">
        <v>1</v>
      </c>
      <c r="D613" s="0" t="str">
        <f aca="false">IF(C613=0,B613,"")</f>
        <v/>
      </c>
      <c r="E613" s="0" t="str">
        <f aca="false">IF(C613=0,A613,"")</f>
        <v/>
      </c>
    </row>
    <row r="614" customFormat="false" ht="12.8" hidden="false" customHeight="false" outlineLevel="0" collapsed="false">
      <c r="A614" s="0" t="s">
        <v>1489</v>
      </c>
      <c r="B614" s="0" t="s">
        <v>2188</v>
      </c>
      <c r="C614" s="0" t="n">
        <v>1</v>
      </c>
      <c r="D614" s="0" t="str">
        <f aca="false">IF(C614=0,B614,"")</f>
        <v/>
      </c>
      <c r="E614" s="0" t="str">
        <f aca="false">IF(C614=0,A614,"")</f>
        <v/>
      </c>
    </row>
    <row r="615" customFormat="false" ht="12.8" hidden="false" customHeight="false" outlineLevel="0" collapsed="false">
      <c r="A615" s="0" t="s">
        <v>1490</v>
      </c>
      <c r="B615" s="0" t="s">
        <v>2189</v>
      </c>
      <c r="C615" s="0" t="n">
        <v>1</v>
      </c>
      <c r="D615" s="0" t="str">
        <f aca="false">IF(C615=0,B615,"")</f>
        <v/>
      </c>
      <c r="E615" s="0" t="str">
        <f aca="false">IF(C615=0,A615,"")</f>
        <v/>
      </c>
    </row>
    <row r="616" customFormat="false" ht="12.8" hidden="false" customHeight="false" outlineLevel="0" collapsed="false">
      <c r="A616" s="0" t="s">
        <v>1491</v>
      </c>
      <c r="B616" s="0" t="s">
        <v>2190</v>
      </c>
      <c r="C616" s="0" t="n">
        <v>1</v>
      </c>
      <c r="D616" s="0" t="str">
        <f aca="false">IF(C616=0,B616,"")</f>
        <v/>
      </c>
      <c r="E616" s="0" t="str">
        <f aca="false">IF(C616=0,A616,"")</f>
        <v/>
      </c>
    </row>
    <row r="617" customFormat="false" ht="12.8" hidden="false" customHeight="false" outlineLevel="0" collapsed="false">
      <c r="A617" s="0" t="s">
        <v>1492</v>
      </c>
      <c r="B617" s="0" t="s">
        <v>2190</v>
      </c>
      <c r="C617" s="0" t="n">
        <v>1</v>
      </c>
      <c r="D617" s="0" t="str">
        <f aca="false">IF(C617=0,B617,"")</f>
        <v/>
      </c>
      <c r="E617" s="0" t="str">
        <f aca="false">IF(C617=0,A617,"")</f>
        <v/>
      </c>
    </row>
    <row r="618" customFormat="false" ht="12.8" hidden="false" customHeight="false" outlineLevel="0" collapsed="false">
      <c r="A618" s="0" t="s">
        <v>1493</v>
      </c>
      <c r="B618" s="0" t="s">
        <v>2191</v>
      </c>
      <c r="C618" s="0" t="n">
        <v>1</v>
      </c>
      <c r="D618" s="0" t="str">
        <f aca="false">IF(C618=0,B618,"")</f>
        <v/>
      </c>
      <c r="E618" s="0" t="str">
        <f aca="false">IF(C618=0,A618,"")</f>
        <v/>
      </c>
    </row>
    <row r="619" customFormat="false" ht="12.8" hidden="false" customHeight="false" outlineLevel="0" collapsed="false">
      <c r="A619" s="0" t="s">
        <v>1494</v>
      </c>
      <c r="B619" s="0" t="s">
        <v>2193</v>
      </c>
      <c r="C619" s="0" t="n">
        <v>1</v>
      </c>
      <c r="D619" s="0" t="str">
        <f aca="false">IF(C619=0,B619,"")</f>
        <v/>
      </c>
      <c r="E619" s="0" t="str">
        <f aca="false">IF(C619=0,A619,"")</f>
        <v/>
      </c>
    </row>
    <row r="620" customFormat="false" ht="12.8" hidden="false" customHeight="false" outlineLevel="0" collapsed="false">
      <c r="A620" s="0" t="s">
        <v>1495</v>
      </c>
      <c r="B620" s="0" t="s">
        <v>1485</v>
      </c>
      <c r="C620" s="0" t="n">
        <v>1</v>
      </c>
      <c r="D620" s="0" t="str">
        <f aca="false">IF(C620=0,B620,"")</f>
        <v/>
      </c>
      <c r="E620" s="0" t="str">
        <f aca="false">IF(C620=0,A620,"")</f>
        <v/>
      </c>
    </row>
    <row r="621" customFormat="false" ht="12.8" hidden="false" customHeight="false" outlineLevel="0" collapsed="false">
      <c r="A621" s="0" t="s">
        <v>1496</v>
      </c>
      <c r="B621" s="0" t="s">
        <v>1495</v>
      </c>
      <c r="C621" s="0" t="n">
        <v>1</v>
      </c>
      <c r="D621" s="0" t="str">
        <f aca="false">IF(C621=0,B621,"")</f>
        <v/>
      </c>
      <c r="E621" s="0" t="str">
        <f aca="false">IF(C621=0,A621,"")</f>
        <v/>
      </c>
    </row>
    <row r="622" customFormat="false" ht="12.8" hidden="false" customHeight="false" outlineLevel="0" collapsed="false">
      <c r="A622" s="0" t="s">
        <v>1497</v>
      </c>
      <c r="B622" s="0" t="s">
        <v>2198</v>
      </c>
      <c r="C622" s="0" t="n">
        <v>1</v>
      </c>
      <c r="D622" s="0" t="str">
        <f aca="false">IF(C622=0,B622,"")</f>
        <v/>
      </c>
      <c r="E622" s="0" t="str">
        <f aca="false">IF(C622=0,A622,"")</f>
        <v/>
      </c>
    </row>
    <row r="623" customFormat="false" ht="12.8" hidden="false" customHeight="false" outlineLevel="0" collapsed="false">
      <c r="A623" s="0" t="s">
        <v>1498</v>
      </c>
      <c r="B623" s="0" t="s">
        <v>3349</v>
      </c>
      <c r="C623" s="0" t="n">
        <v>0</v>
      </c>
      <c r="D623" s="0" t="str">
        <f aca="false">IF(C623=0,B623,"")</f>
        <v>쓀</v>
      </c>
      <c r="E623" s="0" t="str">
        <f aca="false">IF(C623=0,A623,"")</f>
        <v>뛸</v>
      </c>
    </row>
    <row r="624" customFormat="false" ht="12.8" hidden="false" customHeight="false" outlineLevel="0" collapsed="false">
      <c r="A624" s="0" t="s">
        <v>1499</v>
      </c>
      <c r="B624" s="0" t="s">
        <v>3350</v>
      </c>
      <c r="C624" s="0" t="n">
        <v>0</v>
      </c>
      <c r="D624" s="0" t="str">
        <f aca="false">IF(C624=0,B624,"")</f>
        <v>쓈</v>
      </c>
      <c r="E624" s="0" t="str">
        <f aca="false">IF(C624=0,A624,"")</f>
        <v>뜀</v>
      </c>
    </row>
    <row r="625" customFormat="false" ht="12.8" hidden="false" customHeight="false" outlineLevel="0" collapsed="false">
      <c r="A625" s="0" t="s">
        <v>1500</v>
      </c>
      <c r="B625" s="0" t="s">
        <v>3351</v>
      </c>
      <c r="C625" s="0" t="n">
        <v>0</v>
      </c>
      <c r="D625" s="0" t="str">
        <f aca="false">IF(C625=0,B625,"")</f>
        <v>쓉</v>
      </c>
      <c r="E625" s="0" t="str">
        <f aca="false">IF(C625=0,A625,"")</f>
        <v>뜁</v>
      </c>
    </row>
    <row r="626" customFormat="false" ht="12.8" hidden="false" customHeight="false" outlineLevel="0" collapsed="false">
      <c r="A626" s="0" t="s">
        <v>1501</v>
      </c>
      <c r="B626" s="0" t="s">
        <v>3352</v>
      </c>
      <c r="C626" s="0" t="n">
        <v>0</v>
      </c>
      <c r="D626" s="0" t="str">
        <f aca="false">IF(C626=0,B626,"")</f>
        <v>쓍</v>
      </c>
      <c r="E626" s="0" t="str">
        <f aca="false">IF(C626=0,A626,"")</f>
        <v>뜅</v>
      </c>
    </row>
    <row r="627" customFormat="false" ht="12.8" hidden="false" customHeight="false" outlineLevel="0" collapsed="false">
      <c r="A627" s="0" t="s">
        <v>1502</v>
      </c>
      <c r="B627" s="0" t="s">
        <v>3353</v>
      </c>
      <c r="C627" s="0" t="n">
        <v>0</v>
      </c>
      <c r="D627" s="0" t="str">
        <f aca="false">IF(C627=0,B627,"")</f>
        <v>땨</v>
      </c>
      <c r="E627" s="0" t="str">
        <f aca="false">IF(C627=0,A627,"")</f>
        <v>뜨</v>
      </c>
    </row>
    <row r="628" customFormat="false" ht="12.8" hidden="false" customHeight="false" outlineLevel="0" collapsed="false">
      <c r="A628" s="0" t="s">
        <v>1503</v>
      </c>
      <c r="B628" s="0" t="s">
        <v>2201</v>
      </c>
      <c r="C628" s="0" t="n">
        <v>1</v>
      </c>
      <c r="D628" s="0" t="str">
        <f aca="false">IF(C628=0,B628,"")</f>
        <v/>
      </c>
      <c r="E628" s="0" t="str">
        <f aca="false">IF(C628=0,A628,"")</f>
        <v/>
      </c>
    </row>
    <row r="629" customFormat="false" ht="12.8" hidden="false" customHeight="false" outlineLevel="0" collapsed="false">
      <c r="A629" s="0" t="s">
        <v>1504</v>
      </c>
      <c r="B629" s="0" t="s">
        <v>2202</v>
      </c>
      <c r="C629" s="0" t="n">
        <v>1</v>
      </c>
      <c r="D629" s="0" t="str">
        <f aca="false">IF(C629=0,B629,"")</f>
        <v/>
      </c>
      <c r="E629" s="0" t="str">
        <f aca="false">IF(C629=0,A629,"")</f>
        <v/>
      </c>
    </row>
    <row r="630" customFormat="false" ht="12.8" hidden="false" customHeight="false" outlineLevel="0" collapsed="false">
      <c r="A630" s="0" t="s">
        <v>1505</v>
      </c>
      <c r="B630" s="0" t="s">
        <v>3354</v>
      </c>
      <c r="C630" s="0" t="n">
        <v>0</v>
      </c>
      <c r="D630" s="0" t="str">
        <f aca="false">IF(C630=0,B630,"")</f>
        <v>씃</v>
      </c>
      <c r="E630" s="0" t="str">
        <f aca="false">IF(C630=0,A630,"")</f>
        <v>뜯</v>
      </c>
    </row>
    <row r="631" customFormat="false" ht="12.8" hidden="false" customHeight="false" outlineLevel="0" collapsed="false">
      <c r="A631" s="0" t="s">
        <v>1506</v>
      </c>
      <c r="B631" s="0" t="s">
        <v>2203</v>
      </c>
      <c r="C631" s="0" t="n">
        <v>1</v>
      </c>
      <c r="D631" s="0" t="str">
        <f aca="false">IF(C631=0,B631,"")</f>
        <v/>
      </c>
      <c r="E631" s="0" t="str">
        <f aca="false">IF(C631=0,A631,"")</f>
        <v/>
      </c>
    </row>
    <row r="632" customFormat="false" ht="12.8" hidden="false" customHeight="false" outlineLevel="0" collapsed="false">
      <c r="A632" s="0" t="s">
        <v>1507</v>
      </c>
      <c r="B632" s="0" t="s">
        <v>2206</v>
      </c>
      <c r="C632" s="0" t="n">
        <v>1</v>
      </c>
      <c r="D632" s="0" t="str">
        <f aca="false">IF(C632=0,B632,"")</f>
        <v/>
      </c>
      <c r="E632" s="0" t="str">
        <f aca="false">IF(C632=0,A632,"")</f>
        <v/>
      </c>
    </row>
    <row r="633" customFormat="false" ht="12.8" hidden="false" customHeight="false" outlineLevel="0" collapsed="false">
      <c r="A633" s="0" t="s">
        <v>1508</v>
      </c>
      <c r="B633" s="0" t="s">
        <v>2207</v>
      </c>
      <c r="C633" s="0" t="n">
        <v>1</v>
      </c>
      <c r="D633" s="0" t="str">
        <f aca="false">IF(C633=0,B633,"")</f>
        <v/>
      </c>
      <c r="E633" s="0" t="str">
        <f aca="false">IF(C633=0,A633,"")</f>
        <v/>
      </c>
    </row>
    <row r="634" customFormat="false" ht="12.8" hidden="false" customHeight="false" outlineLevel="0" collapsed="false">
      <c r="A634" s="0" t="s">
        <v>1509</v>
      </c>
      <c r="B634" s="0" t="s">
        <v>3354</v>
      </c>
      <c r="C634" s="0" t="n">
        <v>0</v>
      </c>
      <c r="D634" s="0" t="str">
        <f aca="false">IF(C634=0,B634,"")</f>
        <v>씃</v>
      </c>
      <c r="E634" s="0" t="str">
        <f aca="false">IF(C634=0,A634,"")</f>
        <v>뜻</v>
      </c>
    </row>
    <row r="635" customFormat="false" ht="12.8" hidden="false" customHeight="false" outlineLevel="0" collapsed="false">
      <c r="A635" s="0" t="s">
        <v>1510</v>
      </c>
      <c r="B635" s="0" t="s">
        <v>1515</v>
      </c>
      <c r="C635" s="0" t="n">
        <v>1</v>
      </c>
      <c r="D635" s="0" t="str">
        <f aca="false">IF(C635=0,B635,"")</f>
        <v/>
      </c>
      <c r="E635" s="0" t="str">
        <f aca="false">IF(C635=0,A635,"")</f>
        <v/>
      </c>
    </row>
    <row r="636" customFormat="false" ht="12.8" hidden="false" customHeight="false" outlineLevel="0" collapsed="false">
      <c r="A636" s="0" t="s">
        <v>1511</v>
      </c>
      <c r="B636" s="0" t="s">
        <v>2209</v>
      </c>
      <c r="C636" s="0" t="n">
        <v>1</v>
      </c>
      <c r="D636" s="0" t="str">
        <f aca="false">IF(C636=0,B636,"")</f>
        <v/>
      </c>
      <c r="E636" s="0" t="str">
        <f aca="false">IF(C636=0,A636,"")</f>
        <v/>
      </c>
    </row>
    <row r="637" customFormat="false" ht="12.8" hidden="false" customHeight="false" outlineLevel="0" collapsed="false">
      <c r="A637" s="0" t="s">
        <v>1512</v>
      </c>
      <c r="B637" s="0" t="s">
        <v>2210</v>
      </c>
      <c r="C637" s="0" t="n">
        <v>1</v>
      </c>
      <c r="D637" s="0" t="str">
        <f aca="false">IF(C637=0,B637,"")</f>
        <v/>
      </c>
      <c r="E637" s="0" t="str">
        <f aca="false">IF(C637=0,A637,"")</f>
        <v/>
      </c>
    </row>
    <row r="638" customFormat="false" ht="12.8" hidden="false" customHeight="false" outlineLevel="0" collapsed="false">
      <c r="A638" s="0" t="s">
        <v>1513</v>
      </c>
      <c r="B638" s="0" t="s">
        <v>2211</v>
      </c>
      <c r="C638" s="0" t="n">
        <v>1</v>
      </c>
      <c r="D638" s="0" t="str">
        <f aca="false">IF(C638=0,B638,"")</f>
        <v/>
      </c>
      <c r="E638" s="0" t="str">
        <f aca="false">IF(C638=0,A638,"")</f>
        <v/>
      </c>
    </row>
    <row r="639" customFormat="false" ht="12.8" hidden="false" customHeight="false" outlineLevel="0" collapsed="false">
      <c r="A639" s="0" t="s">
        <v>1514</v>
      </c>
      <c r="B639" s="0" t="s">
        <v>3355</v>
      </c>
      <c r="C639" s="0" t="n">
        <v>0</v>
      </c>
      <c r="D639" s="0" t="str">
        <f aca="false">IF(C639=0,B639,"")</f>
        <v>씝</v>
      </c>
      <c r="E639" s="0" t="str">
        <f aca="false">IF(C639=0,A639,"")</f>
        <v>띕</v>
      </c>
    </row>
    <row r="640" customFormat="false" ht="12.8" hidden="false" customHeight="false" outlineLevel="0" collapsed="false">
      <c r="A640" s="0" t="s">
        <v>1515</v>
      </c>
      <c r="B640" s="0" t="s">
        <v>1502</v>
      </c>
      <c r="C640" s="0" t="n">
        <v>1</v>
      </c>
      <c r="D640" s="0" t="str">
        <f aca="false">IF(C640=0,B640,"")</f>
        <v/>
      </c>
      <c r="E640" s="0" t="str">
        <f aca="false">IF(C640=0,A640,"")</f>
        <v/>
      </c>
    </row>
    <row r="641" customFormat="false" ht="12.8" hidden="false" customHeight="false" outlineLevel="0" collapsed="false">
      <c r="A641" s="0" t="s">
        <v>1516</v>
      </c>
      <c r="B641" s="0" t="s">
        <v>2214</v>
      </c>
      <c r="C641" s="0" t="n">
        <v>1</v>
      </c>
      <c r="D641" s="0" t="str">
        <f aca="false">IF(C641=0,B641,"")</f>
        <v/>
      </c>
      <c r="E641" s="0" t="str">
        <f aca="false">IF(C641=0,A641,"")</f>
        <v/>
      </c>
    </row>
    <row r="642" customFormat="false" ht="12.8" hidden="false" customHeight="false" outlineLevel="0" collapsed="false">
      <c r="A642" s="0" t="s">
        <v>1517</v>
      </c>
      <c r="B642" s="0" t="s">
        <v>2215</v>
      </c>
      <c r="C642" s="0" t="n">
        <v>1</v>
      </c>
      <c r="D642" s="0" t="str">
        <f aca="false">IF(C642=0,B642,"")</f>
        <v/>
      </c>
      <c r="E642" s="0" t="str">
        <f aca="false">IF(C642=0,A642,"")</f>
        <v/>
      </c>
    </row>
    <row r="643" customFormat="false" ht="12.8" hidden="false" customHeight="false" outlineLevel="0" collapsed="false">
      <c r="A643" s="0" t="s">
        <v>1518</v>
      </c>
      <c r="B643" s="0" t="s">
        <v>2216</v>
      </c>
      <c r="C643" s="0" t="n">
        <v>1</v>
      </c>
      <c r="D643" s="0" t="str">
        <f aca="false">IF(C643=0,B643,"")</f>
        <v/>
      </c>
      <c r="E643" s="0" t="str">
        <f aca="false">IF(C643=0,A643,"")</f>
        <v/>
      </c>
    </row>
    <row r="644" customFormat="false" ht="12.8" hidden="false" customHeight="false" outlineLevel="0" collapsed="false">
      <c r="A644" s="0" t="s">
        <v>1519</v>
      </c>
      <c r="B644" s="0" t="s">
        <v>2217</v>
      </c>
      <c r="C644" s="0" t="n">
        <v>1</v>
      </c>
      <c r="D644" s="0" t="str">
        <f aca="false">IF(C644=0,B644,"")</f>
        <v/>
      </c>
      <c r="E644" s="0" t="str">
        <f aca="false">IF(C644=0,A644,"")</f>
        <v/>
      </c>
    </row>
    <row r="645" customFormat="false" ht="12.8" hidden="false" customHeight="false" outlineLevel="0" collapsed="false">
      <c r="A645" s="0" t="s">
        <v>1520</v>
      </c>
      <c r="B645" s="0" t="s">
        <v>2218</v>
      </c>
      <c r="C645" s="0" t="n">
        <v>1</v>
      </c>
      <c r="D645" s="0" t="str">
        <f aca="false">IF(C645=0,B645,"")</f>
        <v/>
      </c>
      <c r="E645" s="0" t="str">
        <f aca="false">IF(C645=0,A645,"")</f>
        <v/>
      </c>
    </row>
    <row r="646" customFormat="false" ht="12.8" hidden="false" customHeight="false" outlineLevel="0" collapsed="false">
      <c r="A646" s="0" t="s">
        <v>1521</v>
      </c>
      <c r="B646" s="0" t="s">
        <v>2219</v>
      </c>
      <c r="C646" s="0" t="n">
        <v>1</v>
      </c>
      <c r="D646" s="0" t="str">
        <f aca="false">IF(C646=0,B646,"")</f>
        <v/>
      </c>
      <c r="E646" s="0" t="str">
        <f aca="false">IF(C646=0,A646,"")</f>
        <v/>
      </c>
    </row>
    <row r="647" customFormat="false" ht="12.8" hidden="false" customHeight="false" outlineLevel="0" collapsed="false">
      <c r="A647" s="0" t="s">
        <v>1522</v>
      </c>
      <c r="B647" s="0" t="s">
        <v>1579</v>
      </c>
      <c r="C647" s="0" t="n">
        <v>1</v>
      </c>
      <c r="D647" s="0" t="str">
        <f aca="false">IF(C647=0,B647,"")</f>
        <v/>
      </c>
      <c r="E647" s="0" t="str">
        <f aca="false">IF(C647=0,A647,"")</f>
        <v/>
      </c>
    </row>
    <row r="648" customFormat="false" ht="12.8" hidden="false" customHeight="false" outlineLevel="0" collapsed="false">
      <c r="A648" s="0" t="s">
        <v>1523</v>
      </c>
      <c r="B648" s="0" t="s">
        <v>2683</v>
      </c>
      <c r="C648" s="0" t="n">
        <v>1</v>
      </c>
      <c r="D648" s="0" t="str">
        <f aca="false">IF(C648=0,B648,"")</f>
        <v/>
      </c>
      <c r="E648" s="0" t="str">
        <f aca="false">IF(C648=0,A648,"")</f>
        <v/>
      </c>
    </row>
    <row r="649" customFormat="false" ht="12.8" hidden="false" customHeight="false" outlineLevel="0" collapsed="false">
      <c r="A649" s="0" t="s">
        <v>1524</v>
      </c>
      <c r="B649" s="0" t="s">
        <v>2684</v>
      </c>
      <c r="C649" s="0" t="n">
        <v>1</v>
      </c>
      <c r="D649" s="0" t="str">
        <f aca="false">IF(C649=0,B649,"")</f>
        <v/>
      </c>
      <c r="E649" s="0" t="str">
        <f aca="false">IF(C649=0,A649,"")</f>
        <v/>
      </c>
    </row>
    <row r="650" customFormat="false" ht="12.8" hidden="false" customHeight="false" outlineLevel="0" collapsed="false">
      <c r="A650" s="0" t="s">
        <v>1525</v>
      </c>
      <c r="B650" s="0" t="s">
        <v>2686</v>
      </c>
      <c r="C650" s="0" t="n">
        <v>1</v>
      </c>
      <c r="D650" s="0" t="str">
        <f aca="false">IF(C650=0,B650,"")</f>
        <v/>
      </c>
      <c r="E650" s="0" t="str">
        <f aca="false">IF(C650=0,A650,"")</f>
        <v/>
      </c>
    </row>
    <row r="651" customFormat="false" ht="12.8" hidden="false" customHeight="false" outlineLevel="0" collapsed="false">
      <c r="A651" s="0" t="s">
        <v>1526</v>
      </c>
      <c r="B651" s="19" t="b">
        <v>1</v>
      </c>
      <c r="C651" s="0" t="n">
        <v>1</v>
      </c>
      <c r="D651" s="0" t="str">
        <f aca="false">IF(C651=0,B651,"")</f>
        <v/>
      </c>
      <c r="E651" s="0" t="str">
        <f aca="false">IF(C651=0,A651,"")</f>
        <v/>
      </c>
    </row>
    <row r="652" customFormat="false" ht="12.8" hidden="false" customHeight="false" outlineLevel="0" collapsed="false">
      <c r="A652" s="0" t="s">
        <v>1527</v>
      </c>
      <c r="B652" s="0" t="s">
        <v>2688</v>
      </c>
      <c r="C652" s="0" t="n">
        <v>1</v>
      </c>
      <c r="D652" s="0" t="str">
        <f aca="false">IF(C652=0,B652,"")</f>
        <v/>
      </c>
      <c r="E652" s="0" t="str">
        <f aca="false">IF(C652=0,A652,"")</f>
        <v/>
      </c>
    </row>
    <row r="653" customFormat="false" ht="12.8" hidden="false" customHeight="false" outlineLevel="0" collapsed="false">
      <c r="A653" s="0" t="s">
        <v>1528</v>
      </c>
      <c r="B653" s="0" t="s">
        <v>2689</v>
      </c>
      <c r="C653" s="0" t="n">
        <v>1</v>
      </c>
      <c r="D653" s="0" t="str">
        <f aca="false">IF(C653=0,B653,"")</f>
        <v/>
      </c>
      <c r="E653" s="0" t="str">
        <f aca="false">IF(C653=0,A653,"")</f>
        <v/>
      </c>
    </row>
    <row r="654" customFormat="false" ht="12.8" hidden="false" customHeight="false" outlineLevel="0" collapsed="false">
      <c r="A654" s="0" t="s">
        <v>1529</v>
      </c>
      <c r="B654" s="0" t="s">
        <v>2689</v>
      </c>
      <c r="C654" s="0" t="n">
        <v>1</v>
      </c>
      <c r="D654" s="0" t="str">
        <f aca="false">IF(C654=0,B654,"")</f>
        <v/>
      </c>
      <c r="E654" s="0" t="str">
        <f aca="false">IF(C654=0,A654,"")</f>
        <v/>
      </c>
    </row>
    <row r="655" customFormat="false" ht="12.8" hidden="false" customHeight="false" outlineLevel="0" collapsed="false">
      <c r="A655" s="0" t="s">
        <v>1530</v>
      </c>
      <c r="B655" s="0" t="s">
        <v>2691</v>
      </c>
      <c r="C655" s="0" t="n">
        <v>1</v>
      </c>
      <c r="D655" s="0" t="str">
        <f aca="false">IF(C655=0,B655,"")</f>
        <v/>
      </c>
      <c r="E655" s="0" t="str">
        <f aca="false">IF(C655=0,A655,"")</f>
        <v/>
      </c>
    </row>
    <row r="656" customFormat="false" ht="12.8" hidden="false" customHeight="false" outlineLevel="0" collapsed="false">
      <c r="A656" s="0" t="s">
        <v>1531</v>
      </c>
      <c r="B656" s="0" t="s">
        <v>2689</v>
      </c>
      <c r="C656" s="0" t="n">
        <v>1</v>
      </c>
      <c r="D656" s="0" t="str">
        <f aca="false">IF(C656=0,B656,"")</f>
        <v/>
      </c>
      <c r="E656" s="0" t="str">
        <f aca="false">IF(C656=0,A656,"")</f>
        <v/>
      </c>
    </row>
    <row r="657" customFormat="false" ht="12.8" hidden="false" customHeight="false" outlineLevel="0" collapsed="false">
      <c r="A657" s="0" t="s">
        <v>1532</v>
      </c>
      <c r="B657" s="0" t="s">
        <v>2688</v>
      </c>
      <c r="C657" s="0" t="n">
        <v>1</v>
      </c>
      <c r="D657" s="0" t="str">
        <f aca="false">IF(C657=0,B657,"")</f>
        <v/>
      </c>
      <c r="E657" s="0" t="str">
        <f aca="false">IF(C657=0,A657,"")</f>
        <v/>
      </c>
    </row>
    <row r="658" customFormat="false" ht="12.8" hidden="false" customHeight="false" outlineLevel="0" collapsed="false">
      <c r="A658" s="0" t="s">
        <v>1533</v>
      </c>
      <c r="B658" s="0" t="s">
        <v>2689</v>
      </c>
      <c r="C658" s="0" t="n">
        <v>1</v>
      </c>
      <c r="D658" s="0" t="str">
        <f aca="false">IF(C658=0,B658,"")</f>
        <v/>
      </c>
      <c r="E658" s="0" t="str">
        <f aca="false">IF(C658=0,A658,"")</f>
        <v/>
      </c>
    </row>
    <row r="659" customFormat="false" ht="12.8" hidden="false" customHeight="false" outlineLevel="0" collapsed="false">
      <c r="A659" s="0" t="s">
        <v>1534</v>
      </c>
      <c r="B659" s="0" t="s">
        <v>3356</v>
      </c>
      <c r="C659" s="0" t="n">
        <v>0</v>
      </c>
      <c r="D659" s="0" t="str">
        <f aca="false">IF(C659=0,B659,"")</f>
        <v>릐</v>
      </c>
      <c r="E659" s="0" t="str">
        <f aca="false">IF(C659=0,A659,"")</f>
        <v>래</v>
      </c>
    </row>
    <row r="660" customFormat="false" ht="12.8" hidden="false" customHeight="false" outlineLevel="0" collapsed="false">
      <c r="A660" s="0" t="s">
        <v>1535</v>
      </c>
      <c r="B660" s="0" t="s">
        <v>2694</v>
      </c>
      <c r="C660" s="0" t="n">
        <v>1</v>
      </c>
      <c r="D660" s="0" t="str">
        <f aca="false">IF(C660=0,B660,"")</f>
        <v/>
      </c>
      <c r="E660" s="0" t="str">
        <f aca="false">IF(C660=0,A660,"")</f>
        <v/>
      </c>
    </row>
    <row r="661" customFormat="false" ht="12.8" hidden="false" customHeight="false" outlineLevel="0" collapsed="false">
      <c r="A661" s="0" t="s">
        <v>1536</v>
      </c>
      <c r="B661" s="0" t="s">
        <v>2695</v>
      </c>
      <c r="C661" s="0" t="n">
        <v>1</v>
      </c>
      <c r="D661" s="0" t="str">
        <f aca="false">IF(C661=0,B661,"")</f>
        <v/>
      </c>
      <c r="E661" s="0" t="str">
        <f aca="false">IF(C661=0,A661,"")</f>
        <v/>
      </c>
    </row>
    <row r="662" customFormat="false" ht="12.8" hidden="false" customHeight="false" outlineLevel="0" collapsed="false">
      <c r="A662" s="0" t="s">
        <v>1537</v>
      </c>
      <c r="B662" s="0" t="s">
        <v>2696</v>
      </c>
      <c r="C662" s="0" t="n">
        <v>1</v>
      </c>
      <c r="D662" s="0" t="str">
        <f aca="false">IF(C662=0,B662,"")</f>
        <v/>
      </c>
      <c r="E662" s="0" t="str">
        <f aca="false">IF(C662=0,A662,"")</f>
        <v/>
      </c>
    </row>
    <row r="663" customFormat="false" ht="12.8" hidden="false" customHeight="false" outlineLevel="0" collapsed="false">
      <c r="A663" s="0" t="s">
        <v>1538</v>
      </c>
      <c r="B663" s="0" t="s">
        <v>2697</v>
      </c>
      <c r="C663" s="0" t="n">
        <v>1</v>
      </c>
      <c r="D663" s="0" t="str">
        <f aca="false">IF(C663=0,B663,"")</f>
        <v/>
      </c>
      <c r="E663" s="0" t="str">
        <f aca="false">IF(C663=0,A663,"")</f>
        <v/>
      </c>
    </row>
    <row r="664" customFormat="false" ht="12.8" hidden="false" customHeight="false" outlineLevel="0" collapsed="false">
      <c r="A664" s="0" t="s">
        <v>1539</v>
      </c>
      <c r="B664" s="0" t="s">
        <v>2698</v>
      </c>
      <c r="C664" s="0" t="n">
        <v>1</v>
      </c>
      <c r="D664" s="0" t="str">
        <f aca="false">IF(C664=0,B664,"")</f>
        <v/>
      </c>
      <c r="E664" s="0" t="str">
        <f aca="false">IF(C664=0,A664,"")</f>
        <v/>
      </c>
    </row>
    <row r="665" customFormat="false" ht="12.8" hidden="false" customHeight="false" outlineLevel="0" collapsed="false">
      <c r="A665" s="0" t="s">
        <v>1540</v>
      </c>
      <c r="B665" s="0" t="s">
        <v>2699</v>
      </c>
      <c r="C665" s="0" t="n">
        <v>1</v>
      </c>
      <c r="D665" s="0" t="str">
        <f aca="false">IF(C665=0,B665,"")</f>
        <v/>
      </c>
      <c r="E665" s="0" t="str">
        <f aca="false">IF(C665=0,A665,"")</f>
        <v/>
      </c>
    </row>
    <row r="666" customFormat="false" ht="12.8" hidden="false" customHeight="false" outlineLevel="0" collapsed="false">
      <c r="A666" s="0" t="s">
        <v>1541</v>
      </c>
      <c r="B666" s="0" t="s">
        <v>2699</v>
      </c>
      <c r="C666" s="0" t="n">
        <v>1</v>
      </c>
      <c r="D666" s="0" t="str">
        <f aca="false">IF(C666=0,B666,"")</f>
        <v/>
      </c>
      <c r="E666" s="0" t="str">
        <f aca="false">IF(C666=0,A666,"")</f>
        <v/>
      </c>
    </row>
    <row r="667" customFormat="false" ht="12.8" hidden="false" customHeight="false" outlineLevel="0" collapsed="false">
      <c r="A667" s="0" t="s">
        <v>1542</v>
      </c>
      <c r="B667" s="0" t="s">
        <v>2701</v>
      </c>
      <c r="C667" s="0" t="n">
        <v>1</v>
      </c>
      <c r="D667" s="0" t="str">
        <f aca="false">IF(C667=0,B667,"")</f>
        <v/>
      </c>
      <c r="E667" s="0" t="str">
        <f aca="false">IF(C667=0,A667,"")</f>
        <v/>
      </c>
    </row>
    <row r="668" customFormat="false" ht="12.8" hidden="false" customHeight="false" outlineLevel="0" collapsed="false">
      <c r="A668" s="0" t="s">
        <v>1543</v>
      </c>
      <c r="B668" s="0" t="s">
        <v>1598</v>
      </c>
      <c r="C668" s="0" t="n">
        <v>1</v>
      </c>
      <c r="D668" s="0" t="str">
        <f aca="false">IF(C668=0,B668,"")</f>
        <v/>
      </c>
      <c r="E668" s="0" t="str">
        <f aca="false">IF(C668=0,A668,"")</f>
        <v/>
      </c>
    </row>
    <row r="669" customFormat="false" ht="12.8" hidden="false" customHeight="false" outlineLevel="0" collapsed="false">
      <c r="A669" s="0" t="s">
        <v>1544</v>
      </c>
      <c r="B669" s="0" t="s">
        <v>3357</v>
      </c>
      <c r="C669" s="0" t="n">
        <v>0</v>
      </c>
      <c r="D669" s="0" t="str">
        <f aca="false">IF(C669=0,B669,"")</f>
        <v>챡</v>
      </c>
      <c r="E669" s="0" t="str">
        <f aca="false">IF(C669=0,A669,"")</f>
        <v>략</v>
      </c>
    </row>
    <row r="670" customFormat="false" ht="12.8" hidden="false" customHeight="false" outlineLevel="0" collapsed="false">
      <c r="A670" s="0" t="s">
        <v>1545</v>
      </c>
      <c r="B670" s="0" t="s">
        <v>2703</v>
      </c>
      <c r="C670" s="0" t="n">
        <v>1</v>
      </c>
      <c r="D670" s="0" t="str">
        <f aca="false">IF(C670=0,B670,"")</f>
        <v/>
      </c>
      <c r="E670" s="0" t="str">
        <f aca="false">IF(C670=0,A670,"")</f>
        <v/>
      </c>
    </row>
    <row r="671" customFormat="false" ht="12.8" hidden="false" customHeight="false" outlineLevel="0" collapsed="false">
      <c r="A671" s="0" t="s">
        <v>1546</v>
      </c>
      <c r="B671" s="0" t="s">
        <v>3358</v>
      </c>
      <c r="C671" s="0" t="n">
        <v>0</v>
      </c>
      <c r="D671" s="0" t="str">
        <f aca="false">IF(C671=0,B671,"")</f>
        <v>챳</v>
      </c>
      <c r="E671" s="0" t="str">
        <f aca="false">IF(C671=0,A671,"")</f>
        <v>럇</v>
      </c>
    </row>
    <row r="672" customFormat="false" ht="12.8" hidden="false" customHeight="false" outlineLevel="0" collapsed="false">
      <c r="A672" s="0" t="s">
        <v>1547</v>
      </c>
      <c r="B672" s="0" t="s">
        <v>2707</v>
      </c>
      <c r="C672" s="0" t="n">
        <v>1</v>
      </c>
      <c r="D672" s="0" t="str">
        <f aca="false">IF(C672=0,B672,"")</f>
        <v/>
      </c>
      <c r="E672" s="0" t="str">
        <f aca="false">IF(C672=0,A672,"")</f>
        <v/>
      </c>
    </row>
    <row r="673" customFormat="false" ht="12.8" hidden="false" customHeight="false" outlineLevel="0" collapsed="false">
      <c r="A673" s="0" t="s">
        <v>1548</v>
      </c>
      <c r="B673" s="0" t="s">
        <v>1604</v>
      </c>
      <c r="C673" s="0" t="n">
        <v>1</v>
      </c>
      <c r="D673" s="0" t="str">
        <f aca="false">IF(C673=0,B673,"")</f>
        <v/>
      </c>
      <c r="E673" s="0" t="str">
        <f aca="false">IF(C673=0,A673,"")</f>
        <v/>
      </c>
    </row>
    <row r="674" customFormat="false" ht="12.8" hidden="false" customHeight="false" outlineLevel="0" collapsed="false">
      <c r="A674" s="0" t="s">
        <v>1549</v>
      </c>
      <c r="B674" s="0" t="s">
        <v>2709</v>
      </c>
      <c r="C674" s="0" t="n">
        <v>1</v>
      </c>
      <c r="D674" s="0" t="str">
        <f aca="false">IF(C674=0,B674,"")</f>
        <v/>
      </c>
      <c r="E674" s="0" t="str">
        <f aca="false">IF(C674=0,A674,"")</f>
        <v/>
      </c>
    </row>
    <row r="675" customFormat="false" ht="12.8" hidden="false" customHeight="false" outlineLevel="0" collapsed="false">
      <c r="A675" s="0" t="s">
        <v>1550</v>
      </c>
      <c r="B675" s="0" t="s">
        <v>2710</v>
      </c>
      <c r="C675" s="0" t="n">
        <v>1</v>
      </c>
      <c r="D675" s="0" t="str">
        <f aca="false">IF(C675=0,B675,"")</f>
        <v/>
      </c>
      <c r="E675" s="0" t="str">
        <f aca="false">IF(C675=0,A675,"")</f>
        <v/>
      </c>
    </row>
    <row r="676" customFormat="false" ht="12.8" hidden="false" customHeight="false" outlineLevel="0" collapsed="false">
      <c r="A676" s="0" t="s">
        <v>1551</v>
      </c>
      <c r="B676" s="0" t="s">
        <v>2711</v>
      </c>
      <c r="C676" s="0" t="n">
        <v>1</v>
      </c>
      <c r="D676" s="0" t="str">
        <f aca="false">IF(C676=0,B676,"")</f>
        <v/>
      </c>
      <c r="E676" s="0" t="str">
        <f aca="false">IF(C676=0,A676,"")</f>
        <v/>
      </c>
    </row>
    <row r="677" customFormat="false" ht="12.8" hidden="false" customHeight="false" outlineLevel="0" collapsed="false">
      <c r="A677" s="0" t="s">
        <v>1552</v>
      </c>
      <c r="B677" s="0" t="s">
        <v>2712</v>
      </c>
      <c r="C677" s="0" t="n">
        <v>1</v>
      </c>
      <c r="D677" s="0" t="str">
        <f aca="false">IF(C677=0,B677,"")</f>
        <v/>
      </c>
      <c r="E677" s="0" t="str">
        <f aca="false">IF(C677=0,A677,"")</f>
        <v/>
      </c>
    </row>
    <row r="678" customFormat="false" ht="12.8" hidden="false" customHeight="false" outlineLevel="0" collapsed="false">
      <c r="A678" s="0" t="s">
        <v>1553</v>
      </c>
      <c r="B678" s="0" t="s">
        <v>2713</v>
      </c>
      <c r="C678" s="0" t="n">
        <v>1</v>
      </c>
      <c r="D678" s="0" t="str">
        <f aca="false">IF(C678=0,B678,"")</f>
        <v/>
      </c>
      <c r="E678" s="0" t="str">
        <f aca="false">IF(C678=0,A678,"")</f>
        <v/>
      </c>
    </row>
    <row r="679" customFormat="false" ht="12.8" hidden="false" customHeight="false" outlineLevel="0" collapsed="false">
      <c r="A679" s="0" t="s">
        <v>1554</v>
      </c>
      <c r="B679" s="0" t="s">
        <v>2714</v>
      </c>
      <c r="C679" s="0" t="n">
        <v>1</v>
      </c>
      <c r="D679" s="0" t="str">
        <f aca="false">IF(C679=0,B679,"")</f>
        <v/>
      </c>
      <c r="E679" s="0" t="str">
        <f aca="false">IF(C679=0,A679,"")</f>
        <v/>
      </c>
    </row>
    <row r="680" customFormat="false" ht="12.8" hidden="false" customHeight="false" outlineLevel="0" collapsed="false">
      <c r="A680" s="0" t="s">
        <v>1555</v>
      </c>
      <c r="B680" s="0" t="s">
        <v>2714</v>
      </c>
      <c r="C680" s="0" t="n">
        <v>1</v>
      </c>
      <c r="D680" s="0" t="str">
        <f aca="false">IF(C680=0,B680,"")</f>
        <v/>
      </c>
      <c r="E680" s="0" t="str">
        <f aca="false">IF(C680=0,A680,"")</f>
        <v/>
      </c>
    </row>
    <row r="681" customFormat="false" ht="12.8" hidden="false" customHeight="false" outlineLevel="0" collapsed="false">
      <c r="A681" s="0" t="s">
        <v>1556</v>
      </c>
      <c r="B681" s="0" t="s">
        <v>2716</v>
      </c>
      <c r="C681" s="0" t="n">
        <v>1</v>
      </c>
      <c r="D681" s="0" t="str">
        <f aca="false">IF(C681=0,B681,"")</f>
        <v/>
      </c>
      <c r="E681" s="0" t="str">
        <f aca="false">IF(C681=0,A681,"")</f>
        <v/>
      </c>
    </row>
    <row r="682" customFormat="false" ht="12.8" hidden="false" customHeight="false" outlineLevel="0" collapsed="false">
      <c r="A682" s="0" t="s">
        <v>1557</v>
      </c>
      <c r="B682" s="0" t="s">
        <v>2714</v>
      </c>
      <c r="C682" s="0" t="n">
        <v>1</v>
      </c>
      <c r="D682" s="0" t="str">
        <f aca="false">IF(C682=0,B682,"")</f>
        <v/>
      </c>
      <c r="E682" s="0" t="str">
        <f aca="false">IF(C682=0,A682,"")</f>
        <v/>
      </c>
    </row>
    <row r="683" customFormat="false" ht="12.8" hidden="false" customHeight="false" outlineLevel="0" collapsed="false">
      <c r="A683" s="0" t="s">
        <v>1558</v>
      </c>
      <c r="B683" s="0" t="s">
        <v>1522</v>
      </c>
      <c r="C683" s="0" t="n">
        <v>1</v>
      </c>
      <c r="D683" s="0" t="str">
        <f aca="false">IF(C683=0,B683,"")</f>
        <v/>
      </c>
      <c r="E683" s="0" t="str">
        <f aca="false">IF(C683=0,A683,"")</f>
        <v/>
      </c>
    </row>
    <row r="684" customFormat="false" ht="12.8" hidden="false" customHeight="false" outlineLevel="0" collapsed="false">
      <c r="A684" s="0" t="s">
        <v>1559</v>
      </c>
      <c r="B684" s="0" t="s">
        <v>2718</v>
      </c>
      <c r="C684" s="0" t="n">
        <v>1</v>
      </c>
      <c r="D684" s="0" t="str">
        <f aca="false">IF(C684=0,B684,"")</f>
        <v/>
      </c>
      <c r="E684" s="0" t="str">
        <f aca="false">IF(C684=0,A684,"")</f>
        <v/>
      </c>
    </row>
    <row r="685" customFormat="false" ht="12.8" hidden="false" customHeight="false" outlineLevel="0" collapsed="false">
      <c r="A685" s="0" t="s">
        <v>1560</v>
      </c>
      <c r="B685" s="0" t="s">
        <v>2719</v>
      </c>
      <c r="C685" s="0" t="n">
        <v>1</v>
      </c>
      <c r="D685" s="0" t="str">
        <f aca="false">IF(C685=0,B685,"")</f>
        <v/>
      </c>
      <c r="E685" s="0" t="str">
        <f aca="false">IF(C685=0,A685,"")</f>
        <v/>
      </c>
    </row>
    <row r="686" customFormat="false" ht="12.8" hidden="false" customHeight="false" outlineLevel="0" collapsed="false">
      <c r="A686" s="0" t="s">
        <v>1561</v>
      </c>
      <c r="B686" s="0" t="s">
        <v>2720</v>
      </c>
      <c r="C686" s="0" t="n">
        <v>1</v>
      </c>
      <c r="D686" s="0" t="str">
        <f aca="false">IF(C686=0,B686,"")</f>
        <v/>
      </c>
      <c r="E686" s="0" t="str">
        <f aca="false">IF(C686=0,A686,"")</f>
        <v/>
      </c>
    </row>
    <row r="687" customFormat="false" ht="12.8" hidden="false" customHeight="false" outlineLevel="0" collapsed="false">
      <c r="A687" s="0" t="s">
        <v>1562</v>
      </c>
      <c r="B687" s="0" t="s">
        <v>2721</v>
      </c>
      <c r="C687" s="0" t="n">
        <v>1</v>
      </c>
      <c r="D687" s="0" t="str">
        <f aca="false">IF(C687=0,B687,"")</f>
        <v/>
      </c>
      <c r="E687" s="0" t="str">
        <f aca="false">IF(C687=0,A687,"")</f>
        <v/>
      </c>
    </row>
    <row r="688" customFormat="false" ht="12.8" hidden="false" customHeight="false" outlineLevel="0" collapsed="false">
      <c r="A688" s="0" t="s">
        <v>1563</v>
      </c>
      <c r="B688" s="0" t="s">
        <v>2722</v>
      </c>
      <c r="C688" s="0" t="n">
        <v>1</v>
      </c>
      <c r="D688" s="0" t="str">
        <f aca="false">IF(C688=0,B688,"")</f>
        <v/>
      </c>
      <c r="E688" s="0" t="str">
        <f aca="false">IF(C688=0,A688,"")</f>
        <v/>
      </c>
    </row>
    <row r="689" customFormat="false" ht="12.8" hidden="false" customHeight="false" outlineLevel="0" collapsed="false">
      <c r="A689" s="0" t="s">
        <v>1564</v>
      </c>
      <c r="B689" s="0" t="s">
        <v>2723</v>
      </c>
      <c r="C689" s="0" t="n">
        <v>1</v>
      </c>
      <c r="D689" s="0" t="str">
        <f aca="false">IF(C689=0,B689,"")</f>
        <v/>
      </c>
      <c r="E689" s="0" t="str">
        <f aca="false">IF(C689=0,A689,"")</f>
        <v/>
      </c>
    </row>
    <row r="690" customFormat="false" ht="12.8" hidden="false" customHeight="false" outlineLevel="0" collapsed="false">
      <c r="A690" s="0" t="s">
        <v>1565</v>
      </c>
      <c r="B690" s="0" t="s">
        <v>2724</v>
      </c>
      <c r="C690" s="0" t="n">
        <v>1</v>
      </c>
      <c r="D690" s="0" t="str">
        <f aca="false">IF(C690=0,B690,"")</f>
        <v/>
      </c>
      <c r="E690" s="0" t="str">
        <f aca="false">IF(C690=0,A690,"")</f>
        <v/>
      </c>
    </row>
    <row r="691" customFormat="false" ht="12.8" hidden="false" customHeight="false" outlineLevel="0" collapsed="false">
      <c r="A691" s="0" t="s">
        <v>1566</v>
      </c>
      <c r="B691" s="0" t="s">
        <v>1622</v>
      </c>
      <c r="C691" s="0" t="n">
        <v>1</v>
      </c>
      <c r="D691" s="0" t="str">
        <f aca="false">IF(C691=0,B691,"")</f>
        <v/>
      </c>
      <c r="E691" s="0" t="str">
        <f aca="false">IF(C691=0,A691,"")</f>
        <v/>
      </c>
    </row>
    <row r="692" customFormat="false" ht="12.8" hidden="false" customHeight="false" outlineLevel="0" collapsed="false">
      <c r="A692" s="0" t="s">
        <v>1567</v>
      </c>
      <c r="B692" s="0" t="s">
        <v>3359</v>
      </c>
      <c r="C692" s="0" t="n">
        <v>0</v>
      </c>
      <c r="D692" s="0" t="str">
        <f aca="false">IF(C692=0,B692,"")</f>
        <v>쳑</v>
      </c>
      <c r="E692" s="0" t="str">
        <f aca="false">IF(C692=0,A692,"")</f>
        <v>력</v>
      </c>
    </row>
    <row r="693" customFormat="false" ht="12.8" hidden="false" customHeight="false" outlineLevel="0" collapsed="false">
      <c r="A693" s="0" t="s">
        <v>1568</v>
      </c>
      <c r="B693" s="0" t="s">
        <v>2726</v>
      </c>
      <c r="C693" s="0" t="n">
        <v>1</v>
      </c>
      <c r="D693" s="0" t="str">
        <f aca="false">IF(C693=0,B693,"")</f>
        <v/>
      </c>
      <c r="E693" s="0" t="str">
        <f aca="false">IF(C693=0,A693,"")</f>
        <v/>
      </c>
    </row>
    <row r="694" customFormat="false" ht="12.8" hidden="false" customHeight="false" outlineLevel="0" collapsed="false">
      <c r="A694" s="0" t="s">
        <v>1569</v>
      </c>
      <c r="B694" s="0" t="s">
        <v>3360</v>
      </c>
      <c r="C694" s="0" t="n">
        <v>0</v>
      </c>
      <c r="D694" s="0" t="str">
        <f aca="false">IF(C694=0,B694,"")</f>
        <v>쳘</v>
      </c>
      <c r="E694" s="0" t="str">
        <f aca="false">IF(C694=0,A694,"")</f>
        <v>렬</v>
      </c>
    </row>
    <row r="695" customFormat="false" ht="12.8" hidden="false" customHeight="false" outlineLevel="0" collapsed="false">
      <c r="A695" s="0" t="s">
        <v>1570</v>
      </c>
      <c r="B695" s="0" t="s">
        <v>3361</v>
      </c>
      <c r="C695" s="0" t="n">
        <v>0</v>
      </c>
      <c r="D695" s="0" t="str">
        <f aca="false">IF(C695=0,B695,"")</f>
        <v>쳠</v>
      </c>
      <c r="E695" s="0" t="str">
        <f aca="false">IF(C695=0,A695,"")</f>
        <v>렴</v>
      </c>
    </row>
    <row r="696" customFormat="false" ht="12.8" hidden="false" customHeight="false" outlineLevel="0" collapsed="false">
      <c r="A696" s="0" t="s">
        <v>1571</v>
      </c>
      <c r="B696" s="0" t="s">
        <v>3362</v>
      </c>
      <c r="C696" s="0" t="n">
        <v>0</v>
      </c>
      <c r="D696" s="0" t="str">
        <f aca="false">IF(C696=0,B696,"")</f>
        <v>쳡</v>
      </c>
      <c r="E696" s="0" t="str">
        <f aca="false">IF(C696=0,A696,"")</f>
        <v>렵</v>
      </c>
    </row>
    <row r="697" customFormat="false" ht="12.8" hidden="false" customHeight="false" outlineLevel="0" collapsed="false">
      <c r="A697" s="0" t="s">
        <v>1572</v>
      </c>
      <c r="B697" s="0" t="s">
        <v>3363</v>
      </c>
      <c r="C697" s="0" t="n">
        <v>0</v>
      </c>
      <c r="D697" s="0" t="str">
        <f aca="false">IF(C697=0,B697,"")</f>
        <v>쳣</v>
      </c>
      <c r="E697" s="0" t="str">
        <f aca="false">IF(C697=0,A697,"")</f>
        <v>렷</v>
      </c>
    </row>
    <row r="698" customFormat="false" ht="12.8" hidden="false" customHeight="false" outlineLevel="0" collapsed="false">
      <c r="A698" s="0" t="s">
        <v>1573</v>
      </c>
      <c r="B698" s="0" t="s">
        <v>3363</v>
      </c>
      <c r="C698" s="0" t="n">
        <v>0</v>
      </c>
      <c r="D698" s="0" t="str">
        <f aca="false">IF(C698=0,B698,"")</f>
        <v>쳣</v>
      </c>
      <c r="E698" s="0" t="str">
        <f aca="false">IF(C698=0,A698,"")</f>
        <v>렸</v>
      </c>
    </row>
    <row r="699" customFormat="false" ht="12.8" hidden="false" customHeight="false" outlineLevel="0" collapsed="false">
      <c r="A699" s="0" t="s">
        <v>1574</v>
      </c>
      <c r="B699" s="0" t="s">
        <v>3364</v>
      </c>
      <c r="C699" s="0" t="n">
        <v>0</v>
      </c>
      <c r="D699" s="0" t="str">
        <f aca="false">IF(C699=0,B699,"")</f>
        <v>쳥</v>
      </c>
      <c r="E699" s="0" t="str">
        <f aca="false">IF(C699=0,A699,"")</f>
        <v>령</v>
      </c>
    </row>
    <row r="700" customFormat="false" ht="12.8" hidden="false" customHeight="false" outlineLevel="0" collapsed="false">
      <c r="A700" s="0" t="s">
        <v>1575</v>
      </c>
      <c r="B700" s="0" t="s">
        <v>1591</v>
      </c>
      <c r="C700" s="0" t="n">
        <v>1</v>
      </c>
      <c r="D700" s="0" t="str">
        <f aca="false">IF(C700=0,B700,"")</f>
        <v/>
      </c>
      <c r="E700" s="0" t="str">
        <f aca="false">IF(C700=0,A700,"")</f>
        <v/>
      </c>
    </row>
    <row r="701" customFormat="false" ht="12.8" hidden="false" customHeight="false" outlineLevel="0" collapsed="false">
      <c r="A701" s="0" t="s">
        <v>1576</v>
      </c>
      <c r="B701" s="0" t="s">
        <v>2729</v>
      </c>
      <c r="C701" s="0" t="n">
        <v>1</v>
      </c>
      <c r="D701" s="0" t="str">
        <f aca="false">IF(C701=0,B701,"")</f>
        <v/>
      </c>
      <c r="E701" s="0" t="str">
        <f aca="false">IF(C701=0,A701,"")</f>
        <v/>
      </c>
    </row>
    <row r="702" customFormat="false" ht="12.8" hidden="false" customHeight="false" outlineLevel="0" collapsed="false">
      <c r="A702" s="0" t="s">
        <v>1577</v>
      </c>
      <c r="B702" s="0" t="s">
        <v>3365</v>
      </c>
      <c r="C702" s="0" t="n">
        <v>0</v>
      </c>
      <c r="D702" s="0" t="str">
        <f aca="false">IF(C702=0,B702,"")</f>
        <v>쳽</v>
      </c>
      <c r="E702" s="0" t="str">
        <f aca="false">IF(C702=0,A702,"")</f>
        <v>롑</v>
      </c>
    </row>
    <row r="703" customFormat="false" ht="12.8" hidden="false" customHeight="false" outlineLevel="0" collapsed="false">
      <c r="A703" s="0" t="s">
        <v>1578</v>
      </c>
      <c r="B703" s="0" t="s">
        <v>3366</v>
      </c>
      <c r="C703" s="0" t="n">
        <v>0</v>
      </c>
      <c r="D703" s="0" t="str">
        <f aca="false">IF(C703=0,B703,"")</f>
        <v>쳿</v>
      </c>
      <c r="E703" s="0" t="str">
        <f aca="false">IF(C703=0,A703,"")</f>
        <v>롓</v>
      </c>
    </row>
    <row r="704" customFormat="false" ht="12.8" hidden="false" customHeight="false" outlineLevel="0" collapsed="false">
      <c r="A704" s="0" t="s">
        <v>1579</v>
      </c>
      <c r="B704" s="0" t="s">
        <v>1548</v>
      </c>
      <c r="C704" s="0" t="n">
        <v>1</v>
      </c>
      <c r="D704" s="0" t="str">
        <f aca="false">IF(C704=0,B704,"")</f>
        <v/>
      </c>
      <c r="E704" s="0" t="str">
        <f aca="false">IF(C704=0,A704,"")</f>
        <v/>
      </c>
    </row>
    <row r="705" customFormat="false" ht="12.8" hidden="false" customHeight="false" outlineLevel="0" collapsed="false">
      <c r="A705" s="0" t="s">
        <v>1580</v>
      </c>
      <c r="B705" s="0" t="s">
        <v>2732</v>
      </c>
      <c r="C705" s="0" t="n">
        <v>1</v>
      </c>
      <c r="D705" s="0" t="str">
        <f aca="false">IF(C705=0,B705,"")</f>
        <v/>
      </c>
      <c r="E705" s="0" t="str">
        <f aca="false">IF(C705=0,A705,"")</f>
        <v/>
      </c>
    </row>
    <row r="706" customFormat="false" ht="12.8" hidden="false" customHeight="false" outlineLevel="0" collapsed="false">
      <c r="A706" s="0" t="s">
        <v>1581</v>
      </c>
      <c r="B706" s="0" t="s">
        <v>2733</v>
      </c>
      <c r="C706" s="0" t="n">
        <v>1</v>
      </c>
      <c r="D706" s="0" t="str">
        <f aca="false">IF(C706=0,B706,"")</f>
        <v/>
      </c>
      <c r="E706" s="0" t="str">
        <f aca="false">IF(C706=0,A706,"")</f>
        <v/>
      </c>
    </row>
    <row r="707" customFormat="false" ht="12.8" hidden="false" customHeight="false" outlineLevel="0" collapsed="false">
      <c r="A707" s="0" t="s">
        <v>1582</v>
      </c>
      <c r="B707" s="0" t="s">
        <v>2734</v>
      </c>
      <c r="C707" s="0" t="n">
        <v>1</v>
      </c>
      <c r="D707" s="0" t="str">
        <f aca="false">IF(C707=0,B707,"")</f>
        <v/>
      </c>
      <c r="E707" s="0" t="str">
        <f aca="false">IF(C707=0,A707,"")</f>
        <v/>
      </c>
    </row>
    <row r="708" customFormat="false" ht="12.8" hidden="false" customHeight="false" outlineLevel="0" collapsed="false">
      <c r="A708" s="0" t="s">
        <v>1583</v>
      </c>
      <c r="B708" s="0" t="s">
        <v>2735</v>
      </c>
      <c r="C708" s="0" t="n">
        <v>1</v>
      </c>
      <c r="D708" s="0" t="str">
        <f aca="false">IF(C708=0,B708,"")</f>
        <v/>
      </c>
      <c r="E708" s="0" t="str">
        <f aca="false">IF(C708=0,A708,"")</f>
        <v/>
      </c>
    </row>
    <row r="709" customFormat="false" ht="12.8" hidden="false" customHeight="false" outlineLevel="0" collapsed="false">
      <c r="A709" s="0" t="s">
        <v>1584</v>
      </c>
      <c r="B709" s="0" t="s">
        <v>2736</v>
      </c>
      <c r="C709" s="0" t="n">
        <v>1</v>
      </c>
      <c r="D709" s="0" t="str">
        <f aca="false">IF(C709=0,B709,"")</f>
        <v/>
      </c>
      <c r="E709" s="0" t="str">
        <f aca="false">IF(C709=0,A709,"")</f>
        <v/>
      </c>
    </row>
    <row r="710" customFormat="false" ht="12.8" hidden="false" customHeight="false" outlineLevel="0" collapsed="false">
      <c r="A710" s="0" t="s">
        <v>1585</v>
      </c>
      <c r="B710" s="0" t="s">
        <v>2737</v>
      </c>
      <c r="C710" s="0" t="n">
        <v>1</v>
      </c>
      <c r="D710" s="0" t="str">
        <f aca="false">IF(C710=0,B710,"")</f>
        <v/>
      </c>
      <c r="E710" s="0" t="str">
        <f aca="false">IF(C710=0,A710,"")</f>
        <v/>
      </c>
    </row>
    <row r="711" customFormat="false" ht="12.8" hidden="false" customHeight="false" outlineLevel="0" collapsed="false">
      <c r="A711" s="0" t="s">
        <v>1586</v>
      </c>
      <c r="B711" s="0" t="s">
        <v>2738</v>
      </c>
      <c r="C711" s="0" t="n">
        <v>1</v>
      </c>
      <c r="D711" s="0" t="str">
        <f aca="false">IF(C711=0,B711,"")</f>
        <v/>
      </c>
      <c r="E711" s="0" t="str">
        <f aca="false">IF(C711=0,A711,"")</f>
        <v/>
      </c>
    </row>
    <row r="712" customFormat="false" ht="12.8" hidden="false" customHeight="false" outlineLevel="0" collapsed="false">
      <c r="A712" s="0" t="s">
        <v>1587</v>
      </c>
      <c r="B712" s="0" t="s">
        <v>1575</v>
      </c>
      <c r="C712" s="0" t="n">
        <v>1</v>
      </c>
      <c r="D712" s="0" t="str">
        <f aca="false">IF(C712=0,B712,"")</f>
        <v/>
      </c>
      <c r="E712" s="0" t="str">
        <f aca="false">IF(C712=0,A712,"")</f>
        <v/>
      </c>
    </row>
    <row r="713" customFormat="false" ht="12.8" hidden="false" customHeight="false" outlineLevel="0" collapsed="false">
      <c r="A713" s="0" t="s">
        <v>1588</v>
      </c>
      <c r="B713" s="0" t="s">
        <v>2740</v>
      </c>
      <c r="C713" s="0" t="n">
        <v>1</v>
      </c>
      <c r="D713" s="0" t="str">
        <f aca="false">IF(C713=0,B713,"")</f>
        <v/>
      </c>
      <c r="E713" s="0" t="str">
        <f aca="false">IF(C713=0,A713,"")</f>
        <v/>
      </c>
    </row>
    <row r="714" customFormat="false" ht="12.8" hidden="false" customHeight="false" outlineLevel="0" collapsed="false">
      <c r="A714" s="0" t="s">
        <v>1589</v>
      </c>
      <c r="B714" s="0" t="s">
        <v>2742</v>
      </c>
      <c r="C714" s="0" t="n">
        <v>1</v>
      </c>
      <c r="D714" s="0" t="str">
        <f aca="false">IF(C714=0,B714,"")</f>
        <v/>
      </c>
      <c r="E714" s="0" t="str">
        <f aca="false">IF(C714=0,A714,"")</f>
        <v/>
      </c>
    </row>
    <row r="715" customFormat="false" ht="12.8" hidden="false" customHeight="false" outlineLevel="0" collapsed="false">
      <c r="A715" s="0" t="s">
        <v>1590</v>
      </c>
      <c r="B715" s="0" t="s">
        <v>3367</v>
      </c>
      <c r="C715" s="0" t="n">
        <v>0</v>
      </c>
      <c r="D715" s="0" t="str">
        <f aca="false">IF(C715=0,B715,"")</f>
        <v>쵓</v>
      </c>
      <c r="E715" s="0" t="str">
        <f aca="false">IF(C715=0,A715,"")</f>
        <v>뢨</v>
      </c>
    </row>
    <row r="716" customFormat="false" ht="12.8" hidden="false" customHeight="false" outlineLevel="0" collapsed="false">
      <c r="A716" s="0" t="s">
        <v>1591</v>
      </c>
      <c r="B716" s="0" t="s">
        <v>1612</v>
      </c>
      <c r="C716" s="0" t="n">
        <v>1</v>
      </c>
      <c r="D716" s="0" t="str">
        <f aca="false">IF(C716=0,B716,"")</f>
        <v/>
      </c>
      <c r="E716" s="0" t="str">
        <f aca="false">IF(C716=0,A716,"")</f>
        <v/>
      </c>
    </row>
    <row r="717" customFormat="false" ht="12.8" hidden="false" customHeight="false" outlineLevel="0" collapsed="false">
      <c r="A717" s="0" t="s">
        <v>1592</v>
      </c>
      <c r="B717" s="0" t="s">
        <v>2744</v>
      </c>
      <c r="C717" s="0" t="n">
        <v>1</v>
      </c>
      <c r="D717" s="0" t="str">
        <f aca="false">IF(C717=0,B717,"")</f>
        <v/>
      </c>
      <c r="E717" s="0" t="str">
        <f aca="false">IF(C717=0,A717,"")</f>
        <v/>
      </c>
    </row>
    <row r="718" customFormat="false" ht="12.8" hidden="false" customHeight="false" outlineLevel="0" collapsed="false">
      <c r="A718" s="0" t="s">
        <v>1593</v>
      </c>
      <c r="B718" s="0" t="s">
        <v>2745</v>
      </c>
      <c r="C718" s="0" t="n">
        <v>1</v>
      </c>
      <c r="D718" s="0" t="str">
        <f aca="false">IF(C718=0,B718,"")</f>
        <v/>
      </c>
      <c r="E718" s="0" t="str">
        <f aca="false">IF(C718=0,A718,"")</f>
        <v/>
      </c>
    </row>
    <row r="719" customFormat="false" ht="12.8" hidden="false" customHeight="false" outlineLevel="0" collapsed="false">
      <c r="A719" s="0" t="s">
        <v>1594</v>
      </c>
      <c r="B719" s="0" t="s">
        <v>2746</v>
      </c>
      <c r="C719" s="0" t="n">
        <v>1</v>
      </c>
      <c r="D719" s="0" t="str">
        <f aca="false">IF(C719=0,B719,"")</f>
        <v/>
      </c>
      <c r="E719" s="0" t="str">
        <f aca="false">IF(C719=0,A719,"")</f>
        <v/>
      </c>
    </row>
    <row r="720" customFormat="false" ht="12.8" hidden="false" customHeight="false" outlineLevel="0" collapsed="false">
      <c r="A720" s="0" t="s">
        <v>1595</v>
      </c>
      <c r="B720" s="0" t="s">
        <v>2747</v>
      </c>
      <c r="C720" s="0" t="n">
        <v>1</v>
      </c>
      <c r="D720" s="0" t="str">
        <f aca="false">IF(C720=0,B720,"")</f>
        <v/>
      </c>
      <c r="E720" s="0" t="str">
        <f aca="false">IF(C720=0,A720,"")</f>
        <v/>
      </c>
    </row>
    <row r="721" customFormat="false" ht="12.8" hidden="false" customHeight="false" outlineLevel="0" collapsed="false">
      <c r="A721" s="0" t="s">
        <v>1596</v>
      </c>
      <c r="B721" s="0" t="s">
        <v>2748</v>
      </c>
      <c r="C721" s="0" t="n">
        <v>1</v>
      </c>
      <c r="D721" s="0" t="str">
        <f aca="false">IF(C721=0,B721,"")</f>
        <v/>
      </c>
      <c r="E721" s="0" t="str">
        <f aca="false">IF(C721=0,A721,"")</f>
        <v/>
      </c>
    </row>
    <row r="722" customFormat="false" ht="12.8" hidden="false" customHeight="false" outlineLevel="0" collapsed="false">
      <c r="A722" s="0" t="s">
        <v>1597</v>
      </c>
      <c r="B722" s="0" t="s">
        <v>2749</v>
      </c>
      <c r="C722" s="0" t="n">
        <v>1</v>
      </c>
      <c r="D722" s="0" t="str">
        <f aca="false">IF(C722=0,B722,"")</f>
        <v/>
      </c>
      <c r="E722" s="0" t="str">
        <f aca="false">IF(C722=0,A722,"")</f>
        <v/>
      </c>
    </row>
    <row r="723" customFormat="false" ht="12.8" hidden="false" customHeight="false" outlineLevel="0" collapsed="false">
      <c r="A723" s="0" t="s">
        <v>1598</v>
      </c>
      <c r="B723" s="0" t="s">
        <v>1566</v>
      </c>
      <c r="C723" s="0" t="n">
        <v>1</v>
      </c>
      <c r="D723" s="0" t="str">
        <f aca="false">IF(C723=0,B723,"")</f>
        <v/>
      </c>
      <c r="E723" s="0" t="str">
        <f aca="false">IF(C723=0,A723,"")</f>
        <v/>
      </c>
    </row>
    <row r="724" customFormat="false" ht="12.8" hidden="false" customHeight="false" outlineLevel="0" collapsed="false">
      <c r="A724" s="0" t="s">
        <v>1599</v>
      </c>
      <c r="B724" s="0" t="s">
        <v>3368</v>
      </c>
      <c r="C724" s="0" t="n">
        <v>0</v>
      </c>
      <c r="D724" s="0" t="str">
        <f aca="false">IF(C724=0,B724,"")</f>
        <v>쵼</v>
      </c>
      <c r="E724" s="0" t="str">
        <f aca="false">IF(C724=0,A724,"")</f>
        <v>룐</v>
      </c>
    </row>
    <row r="725" customFormat="false" ht="12.8" hidden="false" customHeight="false" outlineLevel="0" collapsed="false">
      <c r="A725" s="0" t="s">
        <v>1600</v>
      </c>
      <c r="B725" s="0" t="s">
        <v>3369</v>
      </c>
      <c r="C725" s="0" t="n">
        <v>0</v>
      </c>
      <c r="D725" s="0" t="str">
        <f aca="false">IF(C725=0,B725,"")</f>
        <v>춀</v>
      </c>
      <c r="E725" s="0" t="str">
        <f aca="false">IF(C725=0,A725,"")</f>
        <v>룔</v>
      </c>
    </row>
    <row r="726" customFormat="false" ht="12.8" hidden="false" customHeight="false" outlineLevel="0" collapsed="false">
      <c r="A726" s="0" t="s">
        <v>1601</v>
      </c>
      <c r="B726" s="0" t="s">
        <v>3370</v>
      </c>
      <c r="C726" s="0" t="n">
        <v>0</v>
      </c>
      <c r="D726" s="0" t="str">
        <f aca="false">IF(C726=0,B726,"")</f>
        <v>춉</v>
      </c>
      <c r="E726" s="0" t="str">
        <f aca="false">IF(C726=0,A726,"")</f>
        <v>룝</v>
      </c>
    </row>
    <row r="727" customFormat="false" ht="12.8" hidden="false" customHeight="false" outlineLevel="0" collapsed="false">
      <c r="A727" s="0" t="s">
        <v>1602</v>
      </c>
      <c r="B727" s="0" t="s">
        <v>3371</v>
      </c>
      <c r="C727" s="0" t="n">
        <v>0</v>
      </c>
      <c r="D727" s="0" t="str">
        <f aca="false">IF(C727=0,B727,"")</f>
        <v>춋</v>
      </c>
      <c r="E727" s="0" t="str">
        <f aca="false">IF(C727=0,A727,"")</f>
        <v>룟</v>
      </c>
    </row>
    <row r="728" customFormat="false" ht="12.8" hidden="false" customHeight="false" outlineLevel="0" collapsed="false">
      <c r="A728" s="0" t="s">
        <v>1603</v>
      </c>
      <c r="B728" s="0" t="s">
        <v>3372</v>
      </c>
      <c r="C728" s="0" t="n">
        <v>0</v>
      </c>
      <c r="D728" s="0" t="str">
        <f aca="false">IF(C728=0,B728,"")</f>
        <v>춍</v>
      </c>
      <c r="E728" s="0" t="str">
        <f aca="false">IF(C728=0,A728,"")</f>
        <v>룡</v>
      </c>
    </row>
    <row r="729" customFormat="false" ht="12.8" hidden="false" customHeight="false" outlineLevel="0" collapsed="false">
      <c r="A729" s="0" t="s">
        <v>1604</v>
      </c>
      <c r="B729" s="0" t="s">
        <v>1558</v>
      </c>
      <c r="C729" s="0" t="n">
        <v>1</v>
      </c>
      <c r="D729" s="0" t="str">
        <f aca="false">IF(C729=0,B729,"")</f>
        <v/>
      </c>
      <c r="E729" s="0" t="str">
        <f aca="false">IF(C729=0,A729,"")</f>
        <v/>
      </c>
    </row>
    <row r="730" customFormat="false" ht="12.8" hidden="false" customHeight="false" outlineLevel="0" collapsed="false">
      <c r="A730" s="0" t="s">
        <v>1605</v>
      </c>
      <c r="B730" s="0" t="s">
        <v>2753</v>
      </c>
      <c r="C730" s="0" t="n">
        <v>1</v>
      </c>
      <c r="D730" s="0" t="str">
        <f aca="false">IF(C730=0,B730,"")</f>
        <v/>
      </c>
      <c r="E730" s="0" t="str">
        <f aca="false">IF(C730=0,A730,"")</f>
        <v/>
      </c>
    </row>
    <row r="731" customFormat="false" ht="12.8" hidden="false" customHeight="false" outlineLevel="0" collapsed="false">
      <c r="A731" s="0" t="s">
        <v>1606</v>
      </c>
      <c r="B731" s="0" t="s">
        <v>2754</v>
      </c>
      <c r="C731" s="0" t="n">
        <v>1</v>
      </c>
      <c r="D731" s="0" t="str">
        <f aca="false">IF(C731=0,B731,"")</f>
        <v/>
      </c>
      <c r="E731" s="0" t="str">
        <f aca="false">IF(C731=0,A731,"")</f>
        <v/>
      </c>
    </row>
    <row r="732" customFormat="false" ht="12.8" hidden="false" customHeight="false" outlineLevel="0" collapsed="false">
      <c r="A732" s="0" t="s">
        <v>1607</v>
      </c>
      <c r="B732" s="0" t="s">
        <v>2755</v>
      </c>
      <c r="C732" s="0" t="n">
        <v>1</v>
      </c>
      <c r="D732" s="0" t="str">
        <f aca="false">IF(C732=0,B732,"")</f>
        <v/>
      </c>
      <c r="E732" s="0" t="str">
        <f aca="false">IF(C732=0,A732,"")</f>
        <v/>
      </c>
    </row>
    <row r="733" customFormat="false" ht="12.8" hidden="false" customHeight="false" outlineLevel="0" collapsed="false">
      <c r="A733" s="0" t="s">
        <v>1608</v>
      </c>
      <c r="B733" s="0" t="s">
        <v>2756</v>
      </c>
      <c r="C733" s="0" t="n">
        <v>1</v>
      </c>
      <c r="D733" s="0" t="str">
        <f aca="false">IF(C733=0,B733,"")</f>
        <v/>
      </c>
      <c r="E733" s="0" t="str">
        <f aca="false">IF(C733=0,A733,"")</f>
        <v/>
      </c>
    </row>
    <row r="734" customFormat="false" ht="12.8" hidden="false" customHeight="false" outlineLevel="0" collapsed="false">
      <c r="A734" s="0" t="s">
        <v>1609</v>
      </c>
      <c r="B734" s="0" t="s">
        <v>2757</v>
      </c>
      <c r="C734" s="0" t="n">
        <v>1</v>
      </c>
      <c r="D734" s="0" t="str">
        <f aca="false">IF(C734=0,B734,"")</f>
        <v/>
      </c>
      <c r="E734" s="0" t="str">
        <f aca="false">IF(C734=0,A734,"")</f>
        <v/>
      </c>
    </row>
    <row r="735" customFormat="false" ht="12.8" hidden="false" customHeight="false" outlineLevel="0" collapsed="false">
      <c r="A735" s="0" t="s">
        <v>1610</v>
      </c>
      <c r="B735" s="0" t="s">
        <v>2758</v>
      </c>
      <c r="C735" s="0" t="n">
        <v>1</v>
      </c>
      <c r="D735" s="0" t="str">
        <f aca="false">IF(C735=0,B735,"")</f>
        <v/>
      </c>
      <c r="E735" s="0" t="str">
        <f aca="false">IF(C735=0,A735,"")</f>
        <v/>
      </c>
    </row>
    <row r="736" customFormat="false" ht="12.8" hidden="false" customHeight="false" outlineLevel="0" collapsed="false">
      <c r="A736" s="0" t="s">
        <v>1611</v>
      </c>
      <c r="B736" s="0" t="s">
        <v>2759</v>
      </c>
      <c r="C736" s="0" t="n">
        <v>1</v>
      </c>
      <c r="D736" s="0" t="str">
        <f aca="false">IF(C736=0,B736,"")</f>
        <v/>
      </c>
      <c r="E736" s="0" t="str">
        <f aca="false">IF(C736=0,A736,"")</f>
        <v/>
      </c>
    </row>
    <row r="737" customFormat="false" ht="12.8" hidden="false" customHeight="false" outlineLevel="0" collapsed="false">
      <c r="A737" s="0" t="s">
        <v>1612</v>
      </c>
      <c r="B737" s="0" t="s">
        <v>1587</v>
      </c>
      <c r="C737" s="0" t="n">
        <v>1</v>
      </c>
      <c r="D737" s="0" t="str">
        <f aca="false">IF(C737=0,B737,"")</f>
        <v/>
      </c>
      <c r="E737" s="0" t="str">
        <f aca="false">IF(C737=0,A737,"")</f>
        <v/>
      </c>
    </row>
    <row r="738" customFormat="false" ht="12.8" hidden="false" customHeight="false" outlineLevel="0" collapsed="false">
      <c r="A738" s="0" t="s">
        <v>1613</v>
      </c>
      <c r="B738" s="0" t="s">
        <v>3373</v>
      </c>
      <c r="C738" s="0" t="n">
        <v>0</v>
      </c>
      <c r="D738" s="0" t="str">
        <f aca="false">IF(C738=0,B738,"")</f>
        <v>췃</v>
      </c>
      <c r="E738" s="0" t="str">
        <f aca="false">IF(C738=0,A738,"")</f>
        <v>뤘</v>
      </c>
    </row>
    <row r="739" customFormat="false" ht="12.8" hidden="false" customHeight="false" outlineLevel="0" collapsed="false">
      <c r="A739" s="0" t="s">
        <v>1614</v>
      </c>
      <c r="B739" s="0" t="s">
        <v>3374</v>
      </c>
      <c r="C739" s="0" t="n">
        <v>0</v>
      </c>
      <c r="D739" s="0" t="str">
        <f aca="false">IF(C739=0,B739,"")</f>
        <v>뢔</v>
      </c>
      <c r="E739" s="0" t="str">
        <f aca="false">IF(C739=0,A739,"")</f>
        <v>뤠</v>
      </c>
    </row>
    <row r="740" customFormat="false" ht="12.8" hidden="false" customHeight="false" outlineLevel="0" collapsed="false">
      <c r="A740" s="0" t="s">
        <v>1615</v>
      </c>
      <c r="B740" s="0" t="s">
        <v>1614</v>
      </c>
      <c r="C740" s="0" t="n">
        <v>1</v>
      </c>
      <c r="D740" s="0" t="str">
        <f aca="false">IF(C740=0,B740,"")</f>
        <v/>
      </c>
      <c r="E740" s="0" t="str">
        <f aca="false">IF(C740=0,A740,"")</f>
        <v/>
      </c>
    </row>
    <row r="741" customFormat="false" ht="12.8" hidden="false" customHeight="false" outlineLevel="0" collapsed="false">
      <c r="A741" s="0" t="s">
        <v>1616</v>
      </c>
      <c r="B741" s="0" t="s">
        <v>3375</v>
      </c>
      <c r="C741" s="0" t="n">
        <v>0</v>
      </c>
      <c r="D741" s="0" t="str">
        <f aca="false">IF(C741=0,B741,"")</f>
        <v>췩</v>
      </c>
      <c r="E741" s="0" t="str">
        <f aca="false">IF(C741=0,A741,"")</f>
        <v>뤽</v>
      </c>
    </row>
    <row r="742" customFormat="false" ht="12.8" hidden="false" customHeight="false" outlineLevel="0" collapsed="false">
      <c r="A742" s="0" t="s">
        <v>1617</v>
      </c>
      <c r="B742" s="0" t="s">
        <v>2765</v>
      </c>
      <c r="C742" s="0" t="n">
        <v>1</v>
      </c>
      <c r="D742" s="0" t="str">
        <f aca="false">IF(C742=0,B742,"")</f>
        <v/>
      </c>
      <c r="E742" s="0" t="str">
        <f aca="false">IF(C742=0,A742,"")</f>
        <v/>
      </c>
    </row>
    <row r="743" customFormat="false" ht="12.8" hidden="false" customHeight="false" outlineLevel="0" collapsed="false">
      <c r="A743" s="0" t="s">
        <v>1618</v>
      </c>
      <c r="B743" s="0" t="s">
        <v>2766</v>
      </c>
      <c r="C743" s="0" t="n">
        <v>1</v>
      </c>
      <c r="D743" s="0" t="str">
        <f aca="false">IF(C743=0,B743,"")</f>
        <v/>
      </c>
      <c r="E743" s="0" t="str">
        <f aca="false">IF(C743=0,A743,"")</f>
        <v/>
      </c>
    </row>
    <row r="744" customFormat="false" ht="12.8" hidden="false" customHeight="false" outlineLevel="0" collapsed="false">
      <c r="A744" s="0" t="s">
        <v>1619</v>
      </c>
      <c r="B744" s="0" t="s">
        <v>2767</v>
      </c>
      <c r="C744" s="0" t="n">
        <v>1</v>
      </c>
      <c r="D744" s="0" t="str">
        <f aca="false">IF(C744=0,B744,"")</f>
        <v/>
      </c>
      <c r="E744" s="0" t="str">
        <f aca="false">IF(C744=0,A744,"")</f>
        <v/>
      </c>
    </row>
    <row r="745" customFormat="false" ht="12.8" hidden="false" customHeight="false" outlineLevel="0" collapsed="false">
      <c r="A745" s="0" t="s">
        <v>1620</v>
      </c>
      <c r="B745" s="0" t="s">
        <v>2769</v>
      </c>
      <c r="C745" s="0" t="n">
        <v>1</v>
      </c>
      <c r="D745" s="0" t="str">
        <f aca="false">IF(C745=0,B745,"")</f>
        <v/>
      </c>
      <c r="E745" s="0" t="str">
        <f aca="false">IF(C745=0,A745,"")</f>
        <v/>
      </c>
    </row>
    <row r="746" customFormat="false" ht="12.8" hidden="false" customHeight="false" outlineLevel="0" collapsed="false">
      <c r="A746" s="0" t="s">
        <v>1621</v>
      </c>
      <c r="B746" s="0" t="s">
        <v>2770</v>
      </c>
      <c r="C746" s="0" t="n">
        <v>1</v>
      </c>
      <c r="D746" s="0" t="str">
        <f aca="false">IF(C746=0,B746,"")</f>
        <v/>
      </c>
      <c r="E746" s="0" t="str">
        <f aca="false">IF(C746=0,A746,"")</f>
        <v/>
      </c>
    </row>
    <row r="747" customFormat="false" ht="12.8" hidden="false" customHeight="false" outlineLevel="0" collapsed="false">
      <c r="A747" s="0" t="s">
        <v>1622</v>
      </c>
      <c r="B747" s="0" t="s">
        <v>1534</v>
      </c>
      <c r="C747" s="0" t="n">
        <v>1</v>
      </c>
      <c r="D747" s="0" t="str">
        <f aca="false">IF(C747=0,B747,"")</f>
        <v/>
      </c>
      <c r="E747" s="0" t="str">
        <f aca="false">IF(C747=0,A747,"")</f>
        <v/>
      </c>
    </row>
    <row r="748" customFormat="false" ht="12.8" hidden="false" customHeight="false" outlineLevel="0" collapsed="false">
      <c r="A748" s="0" t="s">
        <v>1623</v>
      </c>
      <c r="B748" s="0" t="s">
        <v>3376</v>
      </c>
      <c r="C748" s="0" t="n">
        <v>0</v>
      </c>
      <c r="D748" s="0" t="str">
        <f aca="false">IF(C748=0,B748,"")</f>
        <v>츅</v>
      </c>
      <c r="E748" s="0" t="str">
        <f aca="false">IF(C748=0,A748,"")</f>
        <v>륙</v>
      </c>
    </row>
    <row r="749" customFormat="false" ht="12.8" hidden="false" customHeight="false" outlineLevel="0" collapsed="false">
      <c r="A749" s="0" t="s">
        <v>1624</v>
      </c>
      <c r="B749" s="0" t="s">
        <v>2772</v>
      </c>
      <c r="C749" s="0" t="n">
        <v>1</v>
      </c>
      <c r="D749" s="0" t="str">
        <f aca="false">IF(C749=0,B749,"")</f>
        <v/>
      </c>
      <c r="E749" s="0" t="str">
        <f aca="false">IF(C749=0,A749,"")</f>
        <v/>
      </c>
    </row>
    <row r="750" customFormat="false" ht="12.8" hidden="false" customHeight="false" outlineLevel="0" collapsed="false">
      <c r="A750" s="0" t="s">
        <v>1625</v>
      </c>
      <c r="B750" s="0" t="s">
        <v>2773</v>
      </c>
      <c r="C750" s="0" t="n">
        <v>1</v>
      </c>
      <c r="D750" s="0" t="str">
        <f aca="false">IF(C750=0,B750,"")</f>
        <v/>
      </c>
      <c r="E750" s="0" t="str">
        <f aca="false">IF(C750=0,A750,"")</f>
        <v/>
      </c>
    </row>
    <row r="751" customFormat="false" ht="12.8" hidden="false" customHeight="false" outlineLevel="0" collapsed="false">
      <c r="A751" s="0" t="s">
        <v>1626</v>
      </c>
      <c r="B751" s="0" t="s">
        <v>2774</v>
      </c>
      <c r="C751" s="0" t="n">
        <v>1</v>
      </c>
      <c r="D751" s="0" t="str">
        <f aca="false">IF(C751=0,B751,"")</f>
        <v/>
      </c>
      <c r="E751" s="0" t="str">
        <f aca="false">IF(C751=0,A751,"")</f>
        <v/>
      </c>
    </row>
    <row r="752" customFormat="false" ht="12.8" hidden="false" customHeight="false" outlineLevel="0" collapsed="false">
      <c r="A752" s="0" t="s">
        <v>1627</v>
      </c>
      <c r="B752" s="0" t="s">
        <v>3377</v>
      </c>
      <c r="C752" s="0" t="n">
        <v>0</v>
      </c>
      <c r="D752" s="0" t="str">
        <f aca="false">IF(C752=0,B752,"")</f>
        <v>츕</v>
      </c>
      <c r="E752" s="0" t="str">
        <f aca="false">IF(C752=0,A752,"")</f>
        <v>륩</v>
      </c>
    </row>
    <row r="753" customFormat="false" ht="12.8" hidden="false" customHeight="false" outlineLevel="0" collapsed="false">
      <c r="A753" s="0" t="s">
        <v>1628</v>
      </c>
      <c r="B753" s="0" t="s">
        <v>3378</v>
      </c>
      <c r="C753" s="0" t="n">
        <v>0</v>
      </c>
      <c r="D753" s="0" t="str">
        <f aca="false">IF(C753=0,B753,"")</f>
        <v>츗</v>
      </c>
      <c r="E753" s="0" t="str">
        <f aca="false">IF(C753=0,A753,"")</f>
        <v>륫</v>
      </c>
    </row>
    <row r="754" customFormat="false" ht="12.8" hidden="false" customHeight="false" outlineLevel="0" collapsed="false">
      <c r="A754" s="0" t="s">
        <v>1629</v>
      </c>
      <c r="B754" s="0" t="s">
        <v>2775</v>
      </c>
      <c r="C754" s="0" t="n">
        <v>1</v>
      </c>
      <c r="D754" s="0" t="str">
        <f aca="false">IF(C754=0,B754,"")</f>
        <v/>
      </c>
      <c r="E754" s="0" t="str">
        <f aca="false">IF(C754=0,A754,"")</f>
        <v/>
      </c>
    </row>
    <row r="755" customFormat="false" ht="12.8" hidden="false" customHeight="false" outlineLevel="0" collapsed="false">
      <c r="A755" s="0" t="s">
        <v>1630</v>
      </c>
      <c r="B755" s="0" t="s">
        <v>1543</v>
      </c>
      <c r="C755" s="0" t="n">
        <v>1</v>
      </c>
      <c r="D755" s="0" t="str">
        <f aca="false">IF(C755=0,B755,"")</f>
        <v/>
      </c>
      <c r="E755" s="0" t="str">
        <f aca="false">IF(C755=0,A755,"")</f>
        <v/>
      </c>
    </row>
    <row r="756" customFormat="false" ht="12.8" hidden="false" customHeight="false" outlineLevel="0" collapsed="false">
      <c r="A756" s="0" t="s">
        <v>1631</v>
      </c>
      <c r="B756" s="0" t="s">
        <v>2777</v>
      </c>
      <c r="C756" s="0" t="n">
        <v>1</v>
      </c>
      <c r="D756" s="0" t="str">
        <f aca="false">IF(C756=0,B756,"")</f>
        <v/>
      </c>
      <c r="E756" s="0" t="str">
        <f aca="false">IF(C756=0,A756,"")</f>
        <v/>
      </c>
    </row>
    <row r="757" customFormat="false" ht="12.8" hidden="false" customHeight="false" outlineLevel="0" collapsed="false">
      <c r="A757" s="0" t="s">
        <v>1632</v>
      </c>
      <c r="B757" s="0" t="s">
        <v>2778</v>
      </c>
      <c r="C757" s="0" t="n">
        <v>1</v>
      </c>
      <c r="D757" s="0" t="str">
        <f aca="false">IF(C757=0,B757,"")</f>
        <v/>
      </c>
      <c r="E757" s="0" t="str">
        <f aca="false">IF(C757=0,A757,"")</f>
        <v/>
      </c>
    </row>
    <row r="758" customFormat="false" ht="12.8" hidden="false" customHeight="false" outlineLevel="0" collapsed="false">
      <c r="A758" s="0" t="s">
        <v>793</v>
      </c>
      <c r="B758" s="0" t="s">
        <v>2779</v>
      </c>
      <c r="C758" s="0" t="n">
        <v>1</v>
      </c>
      <c r="D758" s="0" t="str">
        <f aca="false">IF(C758=0,B758,"")</f>
        <v/>
      </c>
      <c r="E758" s="0" t="str">
        <f aca="false">IF(C758=0,A758,"")</f>
        <v/>
      </c>
    </row>
    <row r="759" customFormat="false" ht="12.8" hidden="false" customHeight="false" outlineLevel="0" collapsed="false">
      <c r="A759" s="0" t="s">
        <v>1633</v>
      </c>
      <c r="B759" s="0" t="s">
        <v>2780</v>
      </c>
      <c r="C759" s="0" t="n">
        <v>1</v>
      </c>
      <c r="D759" s="0" t="str">
        <f aca="false">IF(C759=0,B759,"")</f>
        <v/>
      </c>
      <c r="E759" s="0" t="str">
        <f aca="false">IF(C759=0,A759,"")</f>
        <v/>
      </c>
    </row>
    <row r="760" customFormat="false" ht="12.8" hidden="false" customHeight="false" outlineLevel="0" collapsed="false">
      <c r="A760" s="0" t="s">
        <v>1634</v>
      </c>
      <c r="B760" s="0" t="s">
        <v>2781</v>
      </c>
      <c r="C760" s="0" t="n">
        <v>1</v>
      </c>
      <c r="D760" s="0" t="str">
        <f aca="false">IF(C760=0,B760,"")</f>
        <v/>
      </c>
      <c r="E760" s="0" t="str">
        <f aca="false">IF(C760=0,A760,"")</f>
        <v/>
      </c>
    </row>
    <row r="761" customFormat="false" ht="12.8" hidden="false" customHeight="false" outlineLevel="0" collapsed="false">
      <c r="A761" s="0" t="s">
        <v>1635</v>
      </c>
      <c r="B761" s="0" t="s">
        <v>2782</v>
      </c>
      <c r="C761" s="0" t="n">
        <v>1</v>
      </c>
      <c r="D761" s="0" t="str">
        <f aca="false">IF(C761=0,B761,"")</f>
        <v/>
      </c>
      <c r="E761" s="0" t="str">
        <f aca="false">IF(C761=0,A761,"")</f>
        <v/>
      </c>
    </row>
    <row r="762" customFormat="false" ht="12.8" hidden="false" customHeight="false" outlineLevel="0" collapsed="false">
      <c r="A762" s="0" t="s">
        <v>1636</v>
      </c>
      <c r="B762" s="0" t="s">
        <v>2783</v>
      </c>
      <c r="C762" s="0" t="n">
        <v>1</v>
      </c>
      <c r="D762" s="0" t="str">
        <f aca="false">IF(C762=0,B762,"")</f>
        <v/>
      </c>
      <c r="E762" s="0" t="str">
        <f aca="false">IF(C762=0,A762,"")</f>
        <v/>
      </c>
    </row>
    <row r="763" customFormat="false" ht="12.8" hidden="false" customHeight="false" outlineLevel="0" collapsed="false">
      <c r="A763" s="0" t="s">
        <v>1637</v>
      </c>
      <c r="B763" s="0" t="s">
        <v>2782</v>
      </c>
      <c r="C763" s="0" t="n">
        <v>1</v>
      </c>
      <c r="D763" s="0" t="str">
        <f aca="false">IF(C763=0,B763,"")</f>
        <v/>
      </c>
      <c r="E763" s="0" t="str">
        <f aca="false">IF(C763=0,A763,"")</f>
        <v/>
      </c>
    </row>
    <row r="764" customFormat="false" ht="12.8" hidden="false" customHeight="false" outlineLevel="0" collapsed="false">
      <c r="A764" s="0" t="s">
        <v>1638</v>
      </c>
      <c r="B764" s="0" t="s">
        <v>2782</v>
      </c>
      <c r="C764" s="0" t="n">
        <v>1</v>
      </c>
      <c r="D764" s="0" t="str">
        <f aca="false">IF(C764=0,B764,"")</f>
        <v/>
      </c>
      <c r="E764" s="0" t="str">
        <f aca="false">IF(C764=0,A764,"")</f>
        <v/>
      </c>
    </row>
    <row r="765" customFormat="false" ht="12.8" hidden="false" customHeight="false" outlineLevel="0" collapsed="false">
      <c r="A765" s="0" t="s">
        <v>1639</v>
      </c>
      <c r="B765" s="0" t="s">
        <v>2781</v>
      </c>
      <c r="C765" s="0" t="n">
        <v>1</v>
      </c>
      <c r="D765" s="0" t="str">
        <f aca="false">IF(C765=0,B765,"")</f>
        <v/>
      </c>
      <c r="E765" s="0" t="str">
        <f aca="false">IF(C765=0,A765,"")</f>
        <v/>
      </c>
    </row>
    <row r="766" customFormat="false" ht="12.8" hidden="false" customHeight="false" outlineLevel="0" collapsed="false">
      <c r="A766" s="0" t="s">
        <v>786</v>
      </c>
      <c r="B766" s="0" t="s">
        <v>1630</v>
      </c>
      <c r="C766" s="0" t="n">
        <v>1</v>
      </c>
      <c r="D766" s="0" t="str">
        <f aca="false">IF(C766=0,B766,"")</f>
        <v/>
      </c>
      <c r="E766" s="0" t="str">
        <f aca="false">IF(C766=0,A766,"")</f>
        <v/>
      </c>
    </row>
    <row r="767" customFormat="false" ht="12.8" hidden="false" customHeight="false" outlineLevel="0" collapsed="false">
      <c r="A767" s="0" t="s">
        <v>1640</v>
      </c>
      <c r="B767" s="0" t="s">
        <v>2785</v>
      </c>
      <c r="C767" s="0" t="n">
        <v>1</v>
      </c>
      <c r="D767" s="0" t="str">
        <f aca="false">IF(C767=0,B767,"")</f>
        <v/>
      </c>
      <c r="E767" s="0" t="str">
        <f aca="false">IF(C767=0,A767,"")</f>
        <v/>
      </c>
    </row>
    <row r="768" customFormat="false" ht="12.8" hidden="false" customHeight="false" outlineLevel="0" collapsed="false">
      <c r="A768" s="0" t="s">
        <v>1641</v>
      </c>
      <c r="B768" s="0" t="s">
        <v>2786</v>
      </c>
      <c r="C768" s="0" t="n">
        <v>1</v>
      </c>
      <c r="D768" s="0" t="str">
        <f aca="false">IF(C768=0,B768,"")</f>
        <v/>
      </c>
      <c r="E768" s="0" t="str">
        <f aca="false">IF(C768=0,A768,"")</f>
        <v/>
      </c>
    </row>
    <row r="769" customFormat="false" ht="12.8" hidden="false" customHeight="false" outlineLevel="0" collapsed="false">
      <c r="A769" s="0" t="s">
        <v>1642</v>
      </c>
      <c r="B769" s="0" t="s">
        <v>2788</v>
      </c>
      <c r="C769" s="0" t="n">
        <v>1</v>
      </c>
      <c r="D769" s="0" t="str">
        <f aca="false">IF(C769=0,B769,"")</f>
        <v/>
      </c>
      <c r="E769" s="0" t="str">
        <f aca="false">IF(C769=0,A769,"")</f>
        <v/>
      </c>
    </row>
    <row r="770" customFormat="false" ht="12.8" hidden="false" customHeight="false" outlineLevel="0" collapsed="false">
      <c r="A770" s="0" t="s">
        <v>1643</v>
      </c>
      <c r="B770" s="0" t="s">
        <v>2790</v>
      </c>
      <c r="C770" s="0" t="n">
        <v>1</v>
      </c>
      <c r="D770" s="0" t="str">
        <f aca="false">IF(C770=0,B770,"")</f>
        <v/>
      </c>
      <c r="E770" s="0" t="str">
        <f aca="false">IF(C770=0,A770,"")</f>
        <v/>
      </c>
    </row>
    <row r="771" customFormat="false" ht="12.8" hidden="false" customHeight="false" outlineLevel="0" collapsed="false">
      <c r="A771" s="0" t="s">
        <v>1644</v>
      </c>
      <c r="B771" s="0" t="s">
        <v>2791</v>
      </c>
      <c r="C771" s="0" t="n">
        <v>1</v>
      </c>
      <c r="D771" s="0" t="str">
        <f aca="false">IF(C771=0,B771,"")</f>
        <v/>
      </c>
      <c r="E771" s="0" t="str">
        <f aca="false">IF(C771=0,A771,"")</f>
        <v/>
      </c>
    </row>
    <row r="772" customFormat="false" ht="12.8" hidden="false" customHeight="false" outlineLevel="0" collapsed="false">
      <c r="A772" s="0" t="s">
        <v>1645</v>
      </c>
      <c r="B772" s="0" t="s">
        <v>2792</v>
      </c>
      <c r="C772" s="0" t="n">
        <v>1</v>
      </c>
      <c r="D772" s="0" t="str">
        <f aca="false">IF(C772=0,B772,"")</f>
        <v/>
      </c>
      <c r="E772" s="0" t="str">
        <f aca="false">IF(C772=0,A772,"")</f>
        <v/>
      </c>
    </row>
    <row r="773" customFormat="false" ht="12.8" hidden="false" customHeight="false" outlineLevel="0" collapsed="false">
      <c r="A773" s="0" t="s">
        <v>1646</v>
      </c>
      <c r="B773" s="0" t="s">
        <v>2793</v>
      </c>
      <c r="C773" s="0" t="n">
        <v>1</v>
      </c>
      <c r="D773" s="0" t="str">
        <f aca="false">IF(C773=0,B773,"")</f>
        <v/>
      </c>
      <c r="E773" s="0" t="str">
        <f aca="false">IF(C773=0,A773,"")</f>
        <v/>
      </c>
    </row>
    <row r="774" customFormat="false" ht="12.8" hidden="false" customHeight="false" outlineLevel="0" collapsed="false">
      <c r="A774" s="0" t="s">
        <v>788</v>
      </c>
      <c r="B774" s="0" t="s">
        <v>1703</v>
      </c>
      <c r="C774" s="0" t="n">
        <v>1</v>
      </c>
      <c r="D774" s="0" t="str">
        <f aca="false">IF(C774=0,B774,"")</f>
        <v/>
      </c>
      <c r="E774" s="0" t="str">
        <f aca="false">IF(C774=0,A774,"")</f>
        <v/>
      </c>
    </row>
    <row r="775" customFormat="false" ht="12.8" hidden="false" customHeight="false" outlineLevel="0" collapsed="false">
      <c r="A775" s="0" t="s">
        <v>1647</v>
      </c>
      <c r="B775" s="0" t="s">
        <v>2221</v>
      </c>
      <c r="C775" s="0" t="n">
        <v>1</v>
      </c>
      <c r="D775" s="0" t="str">
        <f aca="false">IF(C775=0,B775,"")</f>
        <v/>
      </c>
      <c r="E775" s="0" t="str">
        <f aca="false">IF(C775=0,A775,"")</f>
        <v/>
      </c>
    </row>
    <row r="776" customFormat="false" ht="12.8" hidden="false" customHeight="false" outlineLevel="0" collapsed="false">
      <c r="A776" s="0" t="s">
        <v>1648</v>
      </c>
      <c r="B776" s="0" t="s">
        <v>808</v>
      </c>
      <c r="C776" s="0" t="n">
        <v>1</v>
      </c>
      <c r="D776" s="0" t="str">
        <f aca="false">IF(C776=0,B776,"")</f>
        <v/>
      </c>
      <c r="E776" s="0" t="str">
        <f aca="false">IF(C776=0,A776,"")</f>
        <v/>
      </c>
    </row>
    <row r="777" customFormat="false" ht="12.8" hidden="false" customHeight="false" outlineLevel="0" collapsed="false">
      <c r="A777" s="0" t="s">
        <v>1649</v>
      </c>
      <c r="B777" s="0" t="s">
        <v>808</v>
      </c>
      <c r="C777" s="0" t="n">
        <v>1</v>
      </c>
      <c r="D777" s="0" t="str">
        <f aca="false">IF(C777=0,B777,"")</f>
        <v/>
      </c>
      <c r="E777" s="0" t="str">
        <f aca="false">IF(C777=0,A777,"")</f>
        <v/>
      </c>
    </row>
    <row r="778" customFormat="false" ht="12.8" hidden="false" customHeight="false" outlineLevel="0" collapsed="false">
      <c r="A778" s="0" t="s">
        <v>1650</v>
      </c>
      <c r="B778" s="0" t="s">
        <v>2230</v>
      </c>
      <c r="C778" s="0" t="n">
        <v>1</v>
      </c>
      <c r="D778" s="0" t="str">
        <f aca="false">IF(C778=0,B778,"")</f>
        <v/>
      </c>
      <c r="E778" s="0" t="str">
        <f aca="false">IF(C778=0,A778,"")</f>
        <v/>
      </c>
    </row>
    <row r="779" customFormat="false" ht="12.8" hidden="false" customHeight="false" outlineLevel="0" collapsed="false">
      <c r="A779" s="0" t="s">
        <v>1651</v>
      </c>
      <c r="B779" s="0" t="s">
        <v>2224</v>
      </c>
      <c r="C779" s="0" t="n">
        <v>1</v>
      </c>
      <c r="D779" s="0" t="str">
        <f aca="false">IF(C779=0,B779,"")</f>
        <v/>
      </c>
      <c r="E779" s="0" t="str">
        <f aca="false">IF(C779=0,A779,"")</f>
        <v/>
      </c>
    </row>
    <row r="780" customFormat="false" ht="12.8" hidden="false" customHeight="false" outlineLevel="0" collapsed="false">
      <c r="A780" s="0" t="s">
        <v>1652</v>
      </c>
      <c r="B780" s="0" t="s">
        <v>2224</v>
      </c>
      <c r="C780" s="0" t="n">
        <v>1</v>
      </c>
      <c r="D780" s="0" t="str">
        <f aca="false">IF(C780=0,B780,"")</f>
        <v/>
      </c>
      <c r="E780" s="0" t="str">
        <f aca="false">IF(C780=0,A780,"")</f>
        <v/>
      </c>
    </row>
    <row r="781" customFormat="false" ht="12.8" hidden="false" customHeight="false" outlineLevel="0" collapsed="false">
      <c r="A781" s="0" t="s">
        <v>1653</v>
      </c>
      <c r="B781" s="0" t="s">
        <v>2224</v>
      </c>
      <c r="C781" s="0" t="n">
        <v>1</v>
      </c>
      <c r="D781" s="0" t="str">
        <f aca="false">IF(C781=0,B781,"")</f>
        <v/>
      </c>
      <c r="E781" s="0" t="str">
        <f aca="false">IF(C781=0,A781,"")</f>
        <v/>
      </c>
    </row>
    <row r="782" customFormat="false" ht="12.8" hidden="false" customHeight="false" outlineLevel="0" collapsed="false">
      <c r="A782" s="0" t="s">
        <v>1654</v>
      </c>
      <c r="B782" s="0" t="s">
        <v>2228</v>
      </c>
      <c r="C782" s="0" t="n">
        <v>1</v>
      </c>
      <c r="D782" s="0" t="str">
        <f aca="false">IF(C782=0,B782,"")</f>
        <v/>
      </c>
      <c r="E782" s="0" t="str">
        <f aca="false">IF(C782=0,A782,"")</f>
        <v/>
      </c>
    </row>
    <row r="783" customFormat="false" ht="12.8" hidden="false" customHeight="false" outlineLevel="0" collapsed="false">
      <c r="A783" s="0" t="s">
        <v>1655</v>
      </c>
      <c r="B783" s="0" t="s">
        <v>2229</v>
      </c>
      <c r="C783" s="0" t="n">
        <v>1</v>
      </c>
      <c r="D783" s="0" t="str">
        <f aca="false">IF(C783=0,B783,"")</f>
        <v/>
      </c>
      <c r="E783" s="0" t="str">
        <f aca="false">IF(C783=0,A783,"")</f>
        <v/>
      </c>
    </row>
    <row r="784" customFormat="false" ht="12.8" hidden="false" customHeight="false" outlineLevel="0" collapsed="false">
      <c r="A784" s="0" t="s">
        <v>1656</v>
      </c>
      <c r="B784" s="0" t="s">
        <v>2230</v>
      </c>
      <c r="C784" s="0" t="n">
        <v>1</v>
      </c>
      <c r="D784" s="0" t="str">
        <f aca="false">IF(C784=0,B784,"")</f>
        <v/>
      </c>
      <c r="E784" s="0" t="str">
        <f aca="false">IF(C784=0,A784,"")</f>
        <v/>
      </c>
    </row>
    <row r="785" customFormat="false" ht="12.8" hidden="false" customHeight="false" outlineLevel="0" collapsed="false">
      <c r="A785" s="0" t="s">
        <v>1657</v>
      </c>
      <c r="B785" s="0" t="s">
        <v>2232</v>
      </c>
      <c r="C785" s="0" t="n">
        <v>1</v>
      </c>
      <c r="D785" s="0" t="str">
        <f aca="false">IF(C785=0,B785,"")</f>
        <v/>
      </c>
      <c r="E785" s="0" t="str">
        <f aca="false">IF(C785=0,A785,"")</f>
        <v/>
      </c>
    </row>
    <row r="786" customFormat="false" ht="12.8" hidden="false" customHeight="false" outlineLevel="0" collapsed="false">
      <c r="A786" s="0" t="s">
        <v>1658</v>
      </c>
      <c r="B786" s="0" t="s">
        <v>2230</v>
      </c>
      <c r="C786" s="0" t="n">
        <v>1</v>
      </c>
      <c r="D786" s="0" t="str">
        <f aca="false">IF(C786=0,B786,"")</f>
        <v/>
      </c>
      <c r="E786" s="0" t="str">
        <f aca="false">IF(C786=0,A786,"")</f>
        <v/>
      </c>
    </row>
    <row r="787" customFormat="false" ht="12.8" hidden="false" customHeight="false" outlineLevel="0" collapsed="false">
      <c r="A787" s="0" t="s">
        <v>1659</v>
      </c>
      <c r="B787" s="0" t="s">
        <v>2230</v>
      </c>
      <c r="C787" s="0" t="n">
        <v>1</v>
      </c>
      <c r="D787" s="0" t="str">
        <f aca="false">IF(C787=0,B787,"")</f>
        <v/>
      </c>
      <c r="E787" s="0" t="str">
        <f aca="false">IF(C787=0,A787,"")</f>
        <v/>
      </c>
    </row>
    <row r="788" customFormat="false" ht="12.8" hidden="false" customHeight="false" outlineLevel="0" collapsed="false">
      <c r="A788" s="0" t="s">
        <v>1660</v>
      </c>
      <c r="B788" s="0" t="s">
        <v>2230</v>
      </c>
      <c r="C788" s="0" t="n">
        <v>1</v>
      </c>
      <c r="D788" s="0" t="str">
        <f aca="false">IF(C788=0,B788,"")</f>
        <v/>
      </c>
      <c r="E788" s="0" t="str">
        <f aca="false">IF(C788=0,A788,"")</f>
        <v/>
      </c>
    </row>
    <row r="789" customFormat="false" ht="12.8" hidden="false" customHeight="false" outlineLevel="0" collapsed="false">
      <c r="A789" s="0" t="s">
        <v>1661</v>
      </c>
      <c r="B789" s="0" t="s">
        <v>3379</v>
      </c>
      <c r="C789" s="0" t="n">
        <v>0</v>
      </c>
      <c r="D789" s="0" t="str">
        <f aca="false">IF(C789=0,B789,"")</f>
        <v>믜</v>
      </c>
      <c r="E789" s="0" t="str">
        <f aca="false">IF(C789=0,A789,"")</f>
        <v>매</v>
      </c>
    </row>
    <row r="790" customFormat="false" ht="12.8" hidden="false" customHeight="false" outlineLevel="0" collapsed="false">
      <c r="A790" s="0" t="s">
        <v>1662</v>
      </c>
      <c r="B790" s="0" t="s">
        <v>2236</v>
      </c>
      <c r="C790" s="0" t="n">
        <v>1</v>
      </c>
      <c r="D790" s="0" t="str">
        <f aca="false">IF(C790=0,B790,"")</f>
        <v/>
      </c>
      <c r="E790" s="0" t="str">
        <f aca="false">IF(C790=0,A790,"")</f>
        <v/>
      </c>
    </row>
    <row r="791" customFormat="false" ht="12.8" hidden="false" customHeight="false" outlineLevel="0" collapsed="false">
      <c r="A791" s="0" t="s">
        <v>1663</v>
      </c>
      <c r="B791" s="0" t="s">
        <v>2237</v>
      </c>
      <c r="C791" s="0" t="n">
        <v>1</v>
      </c>
      <c r="D791" s="0" t="str">
        <f aca="false">IF(C791=0,B791,"")</f>
        <v/>
      </c>
      <c r="E791" s="0" t="str">
        <f aca="false">IF(C791=0,A791,"")</f>
        <v/>
      </c>
    </row>
    <row r="792" customFormat="false" ht="12.8" hidden="false" customHeight="false" outlineLevel="0" collapsed="false">
      <c r="A792" s="0" t="s">
        <v>1664</v>
      </c>
      <c r="B792" s="0" t="s">
        <v>2238</v>
      </c>
      <c r="C792" s="0" t="n">
        <v>1</v>
      </c>
      <c r="D792" s="0" t="str">
        <f aca="false">IF(C792=0,B792,"")</f>
        <v/>
      </c>
      <c r="E792" s="0" t="str">
        <f aca="false">IF(C792=0,A792,"")</f>
        <v/>
      </c>
    </row>
    <row r="793" customFormat="false" ht="12.8" hidden="false" customHeight="false" outlineLevel="0" collapsed="false">
      <c r="A793" s="0" t="s">
        <v>1665</v>
      </c>
      <c r="B793" s="0" t="s">
        <v>2239</v>
      </c>
      <c r="C793" s="0" t="n">
        <v>1</v>
      </c>
      <c r="D793" s="0" t="str">
        <f aca="false">IF(C793=0,B793,"")</f>
        <v/>
      </c>
      <c r="E793" s="0" t="str">
        <f aca="false">IF(C793=0,A793,"")</f>
        <v/>
      </c>
    </row>
    <row r="794" customFormat="false" ht="12.8" hidden="false" customHeight="false" outlineLevel="0" collapsed="false">
      <c r="A794" s="0" t="s">
        <v>1666</v>
      </c>
      <c r="B794" s="0" t="s">
        <v>2240</v>
      </c>
      <c r="C794" s="0" t="n">
        <v>1</v>
      </c>
      <c r="D794" s="0" t="str">
        <f aca="false">IF(C794=0,B794,"")</f>
        <v/>
      </c>
      <c r="E794" s="0" t="str">
        <f aca="false">IF(C794=0,A794,"")</f>
        <v/>
      </c>
    </row>
    <row r="795" customFormat="false" ht="12.8" hidden="false" customHeight="false" outlineLevel="0" collapsed="false">
      <c r="A795" s="0" t="s">
        <v>1667</v>
      </c>
      <c r="B795" s="0" t="s">
        <v>2241</v>
      </c>
      <c r="C795" s="0" t="n">
        <v>1</v>
      </c>
      <c r="D795" s="0" t="str">
        <f aca="false">IF(C795=0,B795,"")</f>
        <v/>
      </c>
      <c r="E795" s="0" t="str">
        <f aca="false">IF(C795=0,A795,"")</f>
        <v/>
      </c>
    </row>
    <row r="796" customFormat="false" ht="12.8" hidden="false" customHeight="false" outlineLevel="0" collapsed="false">
      <c r="A796" s="0" t="s">
        <v>1668</v>
      </c>
      <c r="B796" s="0" t="s">
        <v>2241</v>
      </c>
      <c r="C796" s="0" t="n">
        <v>1</v>
      </c>
      <c r="D796" s="0" t="str">
        <f aca="false">IF(C796=0,B796,"")</f>
        <v/>
      </c>
      <c r="E796" s="0" t="str">
        <f aca="false">IF(C796=0,A796,"")</f>
        <v/>
      </c>
    </row>
    <row r="797" customFormat="false" ht="12.8" hidden="false" customHeight="false" outlineLevel="0" collapsed="false">
      <c r="A797" s="0" t="s">
        <v>1669</v>
      </c>
      <c r="B797" s="0" t="s">
        <v>2243</v>
      </c>
      <c r="C797" s="0" t="n">
        <v>1</v>
      </c>
      <c r="D797" s="0" t="str">
        <f aca="false">IF(C797=0,B797,"")</f>
        <v/>
      </c>
      <c r="E797" s="0" t="str">
        <f aca="false">IF(C797=0,A797,"")</f>
        <v/>
      </c>
    </row>
    <row r="798" customFormat="false" ht="12.8" hidden="false" customHeight="false" outlineLevel="0" collapsed="false">
      <c r="A798" s="0" t="s">
        <v>1670</v>
      </c>
      <c r="B798" s="0" t="s">
        <v>2241</v>
      </c>
      <c r="C798" s="0" t="n">
        <v>1</v>
      </c>
      <c r="D798" s="0" t="str">
        <f aca="false">IF(C798=0,B798,"")</f>
        <v/>
      </c>
      <c r="E798" s="0" t="str">
        <f aca="false">IF(C798=0,A798,"")</f>
        <v/>
      </c>
    </row>
    <row r="799" customFormat="false" ht="12.8" hidden="false" customHeight="false" outlineLevel="0" collapsed="false">
      <c r="A799" s="0" t="s">
        <v>1671</v>
      </c>
      <c r="B799" s="0" t="s">
        <v>1723</v>
      </c>
      <c r="C799" s="0" t="n">
        <v>1</v>
      </c>
      <c r="D799" s="0" t="str">
        <f aca="false">IF(C799=0,B799,"")</f>
        <v/>
      </c>
      <c r="E799" s="0" t="str">
        <f aca="false">IF(C799=0,A799,"")</f>
        <v/>
      </c>
    </row>
    <row r="800" customFormat="false" ht="12.8" hidden="false" customHeight="false" outlineLevel="0" collapsed="false">
      <c r="A800" s="0" t="s">
        <v>1672</v>
      </c>
      <c r="B800" s="0" t="s">
        <v>2245</v>
      </c>
      <c r="C800" s="0" t="n">
        <v>1</v>
      </c>
      <c r="D800" s="0" t="str">
        <f aca="false">IF(C800=0,B800,"")</f>
        <v/>
      </c>
      <c r="E800" s="0" t="str">
        <f aca="false">IF(C800=0,A800,"")</f>
        <v/>
      </c>
    </row>
    <row r="801" customFormat="false" ht="12.8" hidden="false" customHeight="false" outlineLevel="0" collapsed="false">
      <c r="A801" s="0" t="s">
        <v>1673</v>
      </c>
      <c r="B801" s="0" t="s">
        <v>2247</v>
      </c>
      <c r="C801" s="0" t="n">
        <v>1</v>
      </c>
      <c r="D801" s="0" t="str">
        <f aca="false">IF(C801=0,B801,"")</f>
        <v/>
      </c>
      <c r="E801" s="0" t="str">
        <f aca="false">IF(C801=0,A801,"")</f>
        <v/>
      </c>
    </row>
    <row r="802" customFormat="false" ht="12.8" hidden="false" customHeight="false" outlineLevel="0" collapsed="false">
      <c r="A802" s="0" t="s">
        <v>1674</v>
      </c>
      <c r="B802" s="0" t="s">
        <v>2252</v>
      </c>
      <c r="C802" s="0" t="n">
        <v>1</v>
      </c>
      <c r="D802" s="0" t="str">
        <f aca="false">IF(C802=0,B802,"")</f>
        <v/>
      </c>
      <c r="E802" s="0" t="str">
        <f aca="false">IF(C802=0,A802,"")</f>
        <v/>
      </c>
    </row>
    <row r="803" customFormat="false" ht="12.8" hidden="false" customHeight="false" outlineLevel="0" collapsed="false">
      <c r="A803" s="0" t="s">
        <v>1675</v>
      </c>
      <c r="B803" s="0" t="s">
        <v>1728</v>
      </c>
      <c r="C803" s="0" t="n">
        <v>1</v>
      </c>
      <c r="D803" s="0" t="str">
        <f aca="false">IF(C803=0,B803,"")</f>
        <v/>
      </c>
      <c r="E803" s="0" t="str">
        <f aca="false">IF(C803=0,A803,"")</f>
        <v/>
      </c>
    </row>
    <row r="804" customFormat="false" ht="12.8" hidden="false" customHeight="false" outlineLevel="0" collapsed="false">
      <c r="A804" s="0" t="s">
        <v>1676</v>
      </c>
      <c r="B804" s="0" t="s">
        <v>2259</v>
      </c>
      <c r="C804" s="0" t="n">
        <v>1</v>
      </c>
      <c r="D804" s="0" t="str">
        <f aca="false">IF(C804=0,B804,"")</f>
        <v/>
      </c>
      <c r="E804" s="0" t="str">
        <f aca="false">IF(C804=0,A804,"")</f>
        <v/>
      </c>
    </row>
    <row r="805" customFormat="false" ht="12.8" hidden="false" customHeight="false" outlineLevel="0" collapsed="false">
      <c r="A805" s="0" t="s">
        <v>1677</v>
      </c>
      <c r="B805" s="0" t="s">
        <v>2260</v>
      </c>
      <c r="C805" s="0" t="n">
        <v>1</v>
      </c>
      <c r="D805" s="0" t="str">
        <f aca="false">IF(C805=0,B805,"")</f>
        <v/>
      </c>
      <c r="E805" s="0" t="str">
        <f aca="false">IF(C805=0,A805,"")</f>
        <v/>
      </c>
    </row>
    <row r="806" customFormat="false" ht="12.8" hidden="false" customHeight="false" outlineLevel="0" collapsed="false">
      <c r="A806" s="0" t="s">
        <v>1678</v>
      </c>
      <c r="B806" s="0" t="s">
        <v>2263</v>
      </c>
      <c r="C806" s="0" t="n">
        <v>1</v>
      </c>
      <c r="D806" s="0" t="str">
        <f aca="false">IF(C806=0,B806,"")</f>
        <v/>
      </c>
      <c r="E806" s="0" t="str">
        <f aca="false">IF(C806=0,A806,"")</f>
        <v/>
      </c>
    </row>
    <row r="807" customFormat="false" ht="12.8" hidden="false" customHeight="false" outlineLevel="0" collapsed="false">
      <c r="A807" s="0" t="s">
        <v>1679</v>
      </c>
      <c r="B807" s="0" t="s">
        <v>2263</v>
      </c>
      <c r="C807" s="0" t="n">
        <v>1</v>
      </c>
      <c r="D807" s="0" t="str">
        <f aca="false">IF(C807=0,B807,"")</f>
        <v/>
      </c>
      <c r="E807" s="0" t="str">
        <f aca="false">IF(C807=0,A807,"")</f>
        <v/>
      </c>
    </row>
    <row r="808" customFormat="false" ht="12.8" hidden="false" customHeight="false" outlineLevel="0" collapsed="false">
      <c r="A808" s="0" t="s">
        <v>1680</v>
      </c>
      <c r="B808" s="0" t="s">
        <v>2266</v>
      </c>
      <c r="C808" s="0" t="n">
        <v>1</v>
      </c>
      <c r="D808" s="0" t="str">
        <f aca="false">IF(C808=0,B808,"")</f>
        <v/>
      </c>
      <c r="E808" s="0" t="str">
        <f aca="false">IF(C808=0,A808,"")</f>
        <v/>
      </c>
    </row>
    <row r="809" customFormat="false" ht="12.8" hidden="false" customHeight="false" outlineLevel="0" collapsed="false">
      <c r="A809" s="0" t="s">
        <v>1681</v>
      </c>
      <c r="B809" s="0" t="s">
        <v>2267</v>
      </c>
      <c r="C809" s="0" t="n">
        <v>1</v>
      </c>
      <c r="D809" s="0" t="str">
        <f aca="false">IF(C809=0,B809,"")</f>
        <v/>
      </c>
      <c r="E809" s="0" t="str">
        <f aca="false">IF(C809=0,A809,"")</f>
        <v/>
      </c>
    </row>
    <row r="810" customFormat="false" ht="12.8" hidden="false" customHeight="false" outlineLevel="0" collapsed="false">
      <c r="A810" s="0" t="s">
        <v>1682</v>
      </c>
      <c r="B810" s="0" t="s">
        <v>2268</v>
      </c>
      <c r="C810" s="0" t="n">
        <v>1</v>
      </c>
      <c r="D810" s="0" t="str">
        <f aca="false">IF(C810=0,B810,"")</f>
        <v/>
      </c>
      <c r="E810" s="0" t="str">
        <f aca="false">IF(C810=0,A810,"")</f>
        <v/>
      </c>
    </row>
    <row r="811" customFormat="false" ht="12.8" hidden="false" customHeight="false" outlineLevel="0" collapsed="false">
      <c r="A811" s="0" t="s">
        <v>1683</v>
      </c>
      <c r="B811" s="0" t="s">
        <v>2270</v>
      </c>
      <c r="C811" s="0" t="n">
        <v>1</v>
      </c>
      <c r="D811" s="0" t="str">
        <f aca="false">IF(C811=0,B811,"")</f>
        <v/>
      </c>
      <c r="E811" s="0" t="str">
        <f aca="false">IF(C811=0,A811,"")</f>
        <v/>
      </c>
    </row>
    <row r="812" customFormat="false" ht="12.8" hidden="false" customHeight="false" outlineLevel="0" collapsed="false">
      <c r="A812" s="0" t="s">
        <v>1684</v>
      </c>
      <c r="B812" s="0" t="s">
        <v>2268</v>
      </c>
      <c r="C812" s="0" t="n">
        <v>1</v>
      </c>
      <c r="D812" s="0" t="str">
        <f aca="false">IF(C812=0,B812,"")</f>
        <v/>
      </c>
      <c r="E812" s="0" t="str">
        <f aca="false">IF(C812=0,A812,"")</f>
        <v/>
      </c>
    </row>
    <row r="813" customFormat="false" ht="12.8" hidden="false" customHeight="false" outlineLevel="0" collapsed="false">
      <c r="A813" s="0" t="s">
        <v>1685</v>
      </c>
      <c r="B813" s="0" t="s">
        <v>2268</v>
      </c>
      <c r="C813" s="0" t="n">
        <v>1</v>
      </c>
      <c r="D813" s="0" t="str">
        <f aca="false">IF(C813=0,B813,"")</f>
        <v/>
      </c>
      <c r="E813" s="0" t="str">
        <f aca="false">IF(C813=0,A813,"")</f>
        <v/>
      </c>
    </row>
    <row r="814" customFormat="false" ht="12.8" hidden="false" customHeight="false" outlineLevel="0" collapsed="false">
      <c r="A814" s="0" t="s">
        <v>1686</v>
      </c>
      <c r="B814" s="0" t="s">
        <v>788</v>
      </c>
      <c r="C814" s="0" t="n">
        <v>1</v>
      </c>
      <c r="D814" s="0" t="str">
        <f aca="false">IF(C814=0,B814,"")</f>
        <v/>
      </c>
      <c r="E814" s="0" t="str">
        <f aca="false">IF(C814=0,A814,"")</f>
        <v/>
      </c>
    </row>
    <row r="815" customFormat="false" ht="12.8" hidden="false" customHeight="false" outlineLevel="0" collapsed="false">
      <c r="A815" s="0" t="s">
        <v>1687</v>
      </c>
      <c r="B815" s="0" t="s">
        <v>2275</v>
      </c>
      <c r="C815" s="0" t="n">
        <v>1</v>
      </c>
      <c r="D815" s="0" t="str">
        <f aca="false">IF(C815=0,B815,"")</f>
        <v/>
      </c>
      <c r="E815" s="0" t="str">
        <f aca="false">IF(C815=0,A815,"")</f>
        <v/>
      </c>
    </row>
    <row r="816" customFormat="false" ht="12.8" hidden="false" customHeight="false" outlineLevel="0" collapsed="false">
      <c r="A816" s="0" t="s">
        <v>1688</v>
      </c>
      <c r="B816" s="0" t="s">
        <v>2276</v>
      </c>
      <c r="C816" s="0" t="n">
        <v>1</v>
      </c>
      <c r="D816" s="0" t="str">
        <f aca="false">IF(C816=0,B816,"")</f>
        <v/>
      </c>
      <c r="E816" s="0" t="str">
        <f aca="false">IF(C816=0,A816,"")</f>
        <v/>
      </c>
    </row>
    <row r="817" customFormat="false" ht="12.8" hidden="false" customHeight="false" outlineLevel="0" collapsed="false">
      <c r="A817" s="0" t="s">
        <v>1689</v>
      </c>
      <c r="B817" s="0" t="s">
        <v>2277</v>
      </c>
      <c r="C817" s="0" t="n">
        <v>1</v>
      </c>
      <c r="D817" s="0" t="str">
        <f aca="false">IF(C817=0,B817,"")</f>
        <v/>
      </c>
      <c r="E817" s="0" t="str">
        <f aca="false">IF(C817=0,A817,"")</f>
        <v/>
      </c>
    </row>
    <row r="818" customFormat="false" ht="12.8" hidden="false" customHeight="false" outlineLevel="0" collapsed="false">
      <c r="A818" s="0" t="s">
        <v>1690</v>
      </c>
      <c r="B818" s="0" t="s">
        <v>2278</v>
      </c>
      <c r="C818" s="0" t="n">
        <v>1</v>
      </c>
      <c r="D818" s="0" t="str">
        <f aca="false">IF(C818=0,B818,"")</f>
        <v/>
      </c>
      <c r="E818" s="0" t="str">
        <f aca="false">IF(C818=0,A818,"")</f>
        <v/>
      </c>
    </row>
    <row r="819" customFormat="false" ht="12.8" hidden="false" customHeight="false" outlineLevel="0" collapsed="false">
      <c r="A819" s="0" t="s">
        <v>1691</v>
      </c>
      <c r="B819" s="0" t="s">
        <v>2279</v>
      </c>
      <c r="C819" s="0" t="n">
        <v>1</v>
      </c>
      <c r="D819" s="0" t="str">
        <f aca="false">IF(C819=0,B819,"")</f>
        <v/>
      </c>
      <c r="E819" s="0" t="str">
        <f aca="false">IF(C819=0,A819,"")</f>
        <v/>
      </c>
    </row>
    <row r="820" customFormat="false" ht="12.8" hidden="false" customHeight="false" outlineLevel="0" collapsed="false">
      <c r="A820" s="0" t="s">
        <v>1692</v>
      </c>
      <c r="B820" s="0" t="s">
        <v>2280</v>
      </c>
      <c r="C820" s="0" t="n">
        <v>1</v>
      </c>
      <c r="D820" s="0" t="str">
        <f aca="false">IF(C820=0,B820,"")</f>
        <v/>
      </c>
      <c r="E820" s="0" t="str">
        <f aca="false">IF(C820=0,A820,"")</f>
        <v/>
      </c>
    </row>
    <row r="821" customFormat="false" ht="12.8" hidden="false" customHeight="false" outlineLevel="0" collapsed="false">
      <c r="A821" s="0" t="s">
        <v>1693</v>
      </c>
      <c r="B821" s="0" t="s">
        <v>2280</v>
      </c>
      <c r="C821" s="0" t="n">
        <v>1</v>
      </c>
      <c r="D821" s="0" t="str">
        <f aca="false">IF(C821=0,B821,"")</f>
        <v/>
      </c>
      <c r="E821" s="0" t="str">
        <f aca="false">IF(C821=0,A821,"")</f>
        <v/>
      </c>
    </row>
    <row r="822" customFormat="false" ht="12.8" hidden="false" customHeight="false" outlineLevel="0" collapsed="false">
      <c r="A822" s="0" t="s">
        <v>1694</v>
      </c>
      <c r="B822" s="0" t="s">
        <v>2281</v>
      </c>
      <c r="C822" s="0" t="n">
        <v>1</v>
      </c>
      <c r="D822" s="0" t="str">
        <f aca="false">IF(C822=0,B822,"")</f>
        <v/>
      </c>
      <c r="E822" s="0" t="str">
        <f aca="false">IF(C822=0,A822,"")</f>
        <v/>
      </c>
    </row>
    <row r="823" customFormat="false" ht="12.8" hidden="false" customHeight="false" outlineLevel="0" collapsed="false">
      <c r="A823" s="0" t="s">
        <v>795</v>
      </c>
      <c r="B823" s="0" t="s">
        <v>1751</v>
      </c>
      <c r="C823" s="0" t="n">
        <v>1</v>
      </c>
      <c r="D823" s="0" t="str">
        <f aca="false">IF(C823=0,B823,"")</f>
        <v/>
      </c>
      <c r="E823" s="0" t="str">
        <f aca="false">IF(C823=0,A823,"")</f>
        <v/>
      </c>
    </row>
    <row r="824" customFormat="false" ht="12.8" hidden="false" customHeight="false" outlineLevel="0" collapsed="false">
      <c r="A824" s="0" t="s">
        <v>1695</v>
      </c>
      <c r="B824" s="0" t="s">
        <v>2283</v>
      </c>
      <c r="C824" s="0" t="n">
        <v>1</v>
      </c>
      <c r="D824" s="0" t="str">
        <f aca="false">IF(C824=0,B824,"")</f>
        <v/>
      </c>
      <c r="E824" s="0" t="str">
        <f aca="false">IF(C824=0,A824,"")</f>
        <v/>
      </c>
    </row>
    <row r="825" customFormat="false" ht="12.8" hidden="false" customHeight="false" outlineLevel="0" collapsed="false">
      <c r="A825" s="0" t="s">
        <v>1696</v>
      </c>
      <c r="B825" s="0" t="s">
        <v>2285</v>
      </c>
      <c r="C825" s="0" t="n">
        <v>1</v>
      </c>
      <c r="D825" s="0" t="str">
        <f aca="false">IF(C825=0,B825,"")</f>
        <v/>
      </c>
      <c r="E825" s="0" t="str">
        <f aca="false">IF(C825=0,A825,"")</f>
        <v/>
      </c>
    </row>
    <row r="826" customFormat="false" ht="12.8" hidden="false" customHeight="false" outlineLevel="0" collapsed="false">
      <c r="A826" s="0" t="s">
        <v>1697</v>
      </c>
      <c r="B826" s="0" t="s">
        <v>2286</v>
      </c>
      <c r="C826" s="0" t="n">
        <v>1</v>
      </c>
      <c r="D826" s="0" t="str">
        <f aca="false">IF(C826=0,B826,"")</f>
        <v/>
      </c>
      <c r="E826" s="0" t="str">
        <f aca="false">IF(C826=0,A826,"")</f>
        <v/>
      </c>
    </row>
    <row r="827" customFormat="false" ht="12.8" hidden="false" customHeight="false" outlineLevel="0" collapsed="false">
      <c r="A827" s="0" t="s">
        <v>1698</v>
      </c>
      <c r="B827" s="0" t="s">
        <v>2292</v>
      </c>
      <c r="C827" s="0" t="n">
        <v>1</v>
      </c>
      <c r="D827" s="0" t="str">
        <f aca="false">IF(C827=0,B827,"")</f>
        <v/>
      </c>
      <c r="E827" s="0" t="str">
        <f aca="false">IF(C827=0,A827,"")</f>
        <v/>
      </c>
    </row>
    <row r="828" customFormat="false" ht="12.8" hidden="false" customHeight="false" outlineLevel="0" collapsed="false">
      <c r="A828" s="0" t="s">
        <v>1699</v>
      </c>
      <c r="B828" s="0" t="s">
        <v>2292</v>
      </c>
      <c r="C828" s="0" t="n">
        <v>1</v>
      </c>
      <c r="D828" s="0" t="str">
        <f aca="false">IF(C828=0,B828,"")</f>
        <v/>
      </c>
      <c r="E828" s="0" t="str">
        <f aca="false">IF(C828=0,A828,"")</f>
        <v/>
      </c>
    </row>
    <row r="829" customFormat="false" ht="12.8" hidden="false" customHeight="false" outlineLevel="0" collapsed="false">
      <c r="A829" s="0" t="s">
        <v>1700</v>
      </c>
      <c r="B829" s="0" t="s">
        <v>2294</v>
      </c>
      <c r="C829" s="0" t="n">
        <v>1</v>
      </c>
      <c r="D829" s="0" t="str">
        <f aca="false">IF(C829=0,B829,"")</f>
        <v/>
      </c>
      <c r="E829" s="0" t="str">
        <f aca="false">IF(C829=0,A829,"")</f>
        <v/>
      </c>
    </row>
    <row r="830" customFormat="false" ht="12.8" hidden="false" customHeight="false" outlineLevel="0" collapsed="false">
      <c r="A830" s="0" t="s">
        <v>1701</v>
      </c>
      <c r="B830" s="0" t="s">
        <v>2292</v>
      </c>
      <c r="C830" s="0" t="n">
        <v>1</v>
      </c>
      <c r="D830" s="0" t="str">
        <f aca="false">IF(C830=0,B830,"")</f>
        <v/>
      </c>
      <c r="E830" s="0" t="str">
        <f aca="false">IF(C830=0,A830,"")</f>
        <v/>
      </c>
    </row>
    <row r="831" customFormat="false" ht="12.8" hidden="false" customHeight="false" outlineLevel="0" collapsed="false">
      <c r="A831" s="0" t="s">
        <v>1702</v>
      </c>
      <c r="B831" s="0" t="s">
        <v>1717</v>
      </c>
      <c r="C831" s="0" t="n">
        <v>1</v>
      </c>
      <c r="D831" s="0" t="str">
        <f aca="false">IF(C831=0,B831,"")</f>
        <v/>
      </c>
      <c r="E831" s="0" t="str">
        <f aca="false">IF(C831=0,A831,"")</f>
        <v/>
      </c>
    </row>
    <row r="832" customFormat="false" ht="12.8" hidden="false" customHeight="false" outlineLevel="0" collapsed="false">
      <c r="A832" s="0" t="s">
        <v>1703</v>
      </c>
      <c r="B832" s="0" t="s">
        <v>1675</v>
      </c>
      <c r="C832" s="0" t="n">
        <v>1</v>
      </c>
      <c r="D832" s="0" t="str">
        <f aca="false">IF(C832=0,B832,"")</f>
        <v/>
      </c>
      <c r="E832" s="0" t="str">
        <f aca="false">IF(C832=0,A832,"")</f>
        <v/>
      </c>
    </row>
    <row r="833" customFormat="false" ht="12.8" hidden="false" customHeight="false" outlineLevel="0" collapsed="false">
      <c r="A833" s="0" t="s">
        <v>1704</v>
      </c>
      <c r="B833" s="0" t="s">
        <v>2306</v>
      </c>
      <c r="C833" s="0" t="n">
        <v>1</v>
      </c>
      <c r="D833" s="0" t="str">
        <f aca="false">IF(C833=0,B833,"")</f>
        <v/>
      </c>
      <c r="E833" s="0" t="str">
        <f aca="false">IF(C833=0,A833,"")</f>
        <v/>
      </c>
    </row>
    <row r="834" customFormat="false" ht="12.8" hidden="false" customHeight="false" outlineLevel="0" collapsed="false">
      <c r="A834" s="0" t="s">
        <v>1705</v>
      </c>
      <c r="B834" s="0" t="s">
        <v>2306</v>
      </c>
      <c r="C834" s="0" t="n">
        <v>1</v>
      </c>
      <c r="D834" s="0" t="str">
        <f aca="false">IF(C834=0,B834,"")</f>
        <v/>
      </c>
      <c r="E834" s="0" t="str">
        <f aca="false">IF(C834=0,A834,"")</f>
        <v/>
      </c>
    </row>
    <row r="835" customFormat="false" ht="12.8" hidden="false" customHeight="false" outlineLevel="0" collapsed="false">
      <c r="A835" s="0" t="s">
        <v>1706</v>
      </c>
      <c r="B835" s="0" t="s">
        <v>2307</v>
      </c>
      <c r="C835" s="0" t="n">
        <v>1</v>
      </c>
      <c r="D835" s="0" t="str">
        <f aca="false">IF(C835=0,B835,"")</f>
        <v/>
      </c>
      <c r="E835" s="0" t="str">
        <f aca="false">IF(C835=0,A835,"")</f>
        <v/>
      </c>
    </row>
    <row r="836" customFormat="false" ht="12.8" hidden="false" customHeight="false" outlineLevel="0" collapsed="false">
      <c r="A836" s="0" t="s">
        <v>1707</v>
      </c>
      <c r="B836" s="0" t="s">
        <v>2308</v>
      </c>
      <c r="C836" s="0" t="n">
        <v>1</v>
      </c>
      <c r="D836" s="0" t="str">
        <f aca="false">IF(C836=0,B836,"")</f>
        <v/>
      </c>
      <c r="E836" s="0" t="str">
        <f aca="false">IF(C836=0,A836,"")</f>
        <v/>
      </c>
    </row>
    <row r="837" customFormat="false" ht="12.8" hidden="false" customHeight="false" outlineLevel="0" collapsed="false">
      <c r="A837" s="0" t="s">
        <v>1708</v>
      </c>
      <c r="B837" s="0" t="s">
        <v>2308</v>
      </c>
      <c r="C837" s="0" t="n">
        <v>1</v>
      </c>
      <c r="D837" s="0" t="str">
        <f aca="false">IF(C837=0,B837,"")</f>
        <v/>
      </c>
      <c r="E837" s="0" t="str">
        <f aca="false">IF(C837=0,A837,"")</f>
        <v/>
      </c>
    </row>
    <row r="838" customFormat="false" ht="12.8" hidden="false" customHeight="false" outlineLevel="0" collapsed="false">
      <c r="A838" s="0" t="s">
        <v>1709</v>
      </c>
      <c r="B838" s="0" t="s">
        <v>2313</v>
      </c>
      <c r="C838" s="0" t="n">
        <v>1</v>
      </c>
      <c r="D838" s="0" t="str">
        <f aca="false">IF(C838=0,B838,"")</f>
        <v/>
      </c>
      <c r="E838" s="0" t="str">
        <f aca="false">IF(C838=0,A838,"")</f>
        <v/>
      </c>
    </row>
    <row r="839" customFormat="false" ht="12.8" hidden="false" customHeight="false" outlineLevel="0" collapsed="false">
      <c r="A839" s="0" t="s">
        <v>1710</v>
      </c>
      <c r="B839" s="0" t="s">
        <v>2314</v>
      </c>
      <c r="C839" s="0" t="n">
        <v>1</v>
      </c>
      <c r="D839" s="0" t="str">
        <f aca="false">IF(C839=0,B839,"")</f>
        <v/>
      </c>
      <c r="E839" s="0" t="str">
        <f aca="false">IF(C839=0,A839,"")</f>
        <v/>
      </c>
    </row>
    <row r="840" customFormat="false" ht="12.8" hidden="false" customHeight="false" outlineLevel="0" collapsed="false">
      <c r="A840" s="0" t="s">
        <v>1711</v>
      </c>
      <c r="B840" s="0" t="s">
        <v>2315</v>
      </c>
      <c r="C840" s="0" t="n">
        <v>1</v>
      </c>
      <c r="D840" s="0" t="str">
        <f aca="false">IF(C840=0,B840,"")</f>
        <v/>
      </c>
      <c r="E840" s="0" t="str">
        <f aca="false">IF(C840=0,A840,"")</f>
        <v/>
      </c>
    </row>
    <row r="841" customFormat="false" ht="12.8" hidden="false" customHeight="false" outlineLevel="0" collapsed="false">
      <c r="A841" s="0" t="s">
        <v>1712</v>
      </c>
      <c r="B841" s="0" t="s">
        <v>2316</v>
      </c>
      <c r="C841" s="0" t="n">
        <v>1</v>
      </c>
      <c r="D841" s="0" t="str">
        <f aca="false">IF(C841=0,B841,"")</f>
        <v/>
      </c>
      <c r="E841" s="0" t="str">
        <f aca="false">IF(C841=0,A841,"")</f>
        <v/>
      </c>
    </row>
    <row r="842" customFormat="false" ht="12.8" hidden="false" customHeight="false" outlineLevel="0" collapsed="false">
      <c r="A842" s="0" t="s">
        <v>1713</v>
      </c>
      <c r="B842" s="0" t="s">
        <v>1702</v>
      </c>
      <c r="C842" s="0" t="n">
        <v>1</v>
      </c>
      <c r="D842" s="0" t="str">
        <f aca="false">IF(C842=0,B842,"")</f>
        <v/>
      </c>
      <c r="E842" s="0" t="str">
        <f aca="false">IF(C842=0,A842,"")</f>
        <v/>
      </c>
    </row>
    <row r="843" customFormat="false" ht="12.8" hidden="false" customHeight="false" outlineLevel="0" collapsed="false">
      <c r="A843" s="0" t="s">
        <v>1714</v>
      </c>
      <c r="B843" s="0" t="s">
        <v>2319</v>
      </c>
      <c r="C843" s="0" t="n">
        <v>1</v>
      </c>
      <c r="D843" s="0" t="str">
        <f aca="false">IF(C843=0,B843,"")</f>
        <v/>
      </c>
      <c r="E843" s="0" t="str">
        <f aca="false">IF(C843=0,A843,"")</f>
        <v/>
      </c>
    </row>
    <row r="844" customFormat="false" ht="12.8" hidden="false" customHeight="false" outlineLevel="0" collapsed="false">
      <c r="A844" s="0" t="s">
        <v>1715</v>
      </c>
      <c r="B844" s="0" t="s">
        <v>2323</v>
      </c>
      <c r="C844" s="0" t="n">
        <v>1</v>
      </c>
      <c r="D844" s="0" t="str">
        <f aca="false">IF(C844=0,B844,"")</f>
        <v/>
      </c>
      <c r="E844" s="0" t="str">
        <f aca="false">IF(C844=0,A844,"")</f>
        <v/>
      </c>
    </row>
    <row r="845" customFormat="false" ht="12.8" hidden="false" customHeight="false" outlineLevel="0" collapsed="false">
      <c r="A845" s="0" t="s">
        <v>1716</v>
      </c>
      <c r="B845" s="0" t="s">
        <v>2324</v>
      </c>
      <c r="C845" s="0" t="n">
        <v>1</v>
      </c>
      <c r="D845" s="0" t="str">
        <f aca="false">IF(C845=0,B845,"")</f>
        <v/>
      </c>
      <c r="E845" s="0" t="str">
        <f aca="false">IF(C845=0,A845,"")</f>
        <v/>
      </c>
    </row>
    <row r="846" customFormat="false" ht="12.8" hidden="false" customHeight="false" outlineLevel="0" collapsed="false">
      <c r="A846" s="0" t="s">
        <v>1717</v>
      </c>
      <c r="B846" s="0" t="s">
        <v>1742</v>
      </c>
      <c r="C846" s="0" t="n">
        <v>1</v>
      </c>
      <c r="D846" s="0" t="str">
        <f aca="false">IF(C846=0,B846,"")</f>
        <v/>
      </c>
      <c r="E846" s="0" t="str">
        <f aca="false">IF(C846=0,A846,"")</f>
        <v/>
      </c>
    </row>
    <row r="847" customFormat="false" ht="12.8" hidden="false" customHeight="false" outlineLevel="0" collapsed="false">
      <c r="A847" s="0" t="s">
        <v>1718</v>
      </c>
      <c r="B847" s="0" t="s">
        <v>2332</v>
      </c>
      <c r="C847" s="0" t="n">
        <v>1</v>
      </c>
      <c r="D847" s="0" t="str">
        <f aca="false">IF(C847=0,B847,"")</f>
        <v/>
      </c>
      <c r="E847" s="0" t="str">
        <f aca="false">IF(C847=0,A847,"")</f>
        <v/>
      </c>
    </row>
    <row r="848" customFormat="false" ht="12.8" hidden="false" customHeight="false" outlineLevel="0" collapsed="false">
      <c r="A848" s="0" t="s">
        <v>1719</v>
      </c>
      <c r="B848" s="0" t="s">
        <v>2333</v>
      </c>
      <c r="C848" s="0" t="n">
        <v>1</v>
      </c>
      <c r="D848" s="0" t="str">
        <f aca="false">IF(C848=0,B848,"")</f>
        <v/>
      </c>
      <c r="E848" s="0" t="str">
        <f aca="false">IF(C848=0,A848,"")</f>
        <v/>
      </c>
    </row>
    <row r="849" customFormat="false" ht="12.8" hidden="false" customHeight="false" outlineLevel="0" collapsed="false">
      <c r="A849" s="0" t="s">
        <v>1720</v>
      </c>
      <c r="B849" s="0" t="s">
        <v>2335</v>
      </c>
      <c r="C849" s="0" t="n">
        <v>1</v>
      </c>
      <c r="D849" s="0" t="str">
        <f aca="false">IF(C849=0,B849,"")</f>
        <v/>
      </c>
      <c r="E849" s="0" t="str">
        <f aca="false">IF(C849=0,A849,"")</f>
        <v/>
      </c>
    </row>
    <row r="850" customFormat="false" ht="12.8" hidden="false" customHeight="false" outlineLevel="0" collapsed="false">
      <c r="A850" s="0" t="s">
        <v>1721</v>
      </c>
      <c r="B850" s="0" t="s">
        <v>2336</v>
      </c>
      <c r="C850" s="0" t="n">
        <v>1</v>
      </c>
      <c r="D850" s="0" t="str">
        <f aca="false">IF(C850=0,B850,"")</f>
        <v/>
      </c>
      <c r="E850" s="0" t="str">
        <f aca="false">IF(C850=0,A850,"")</f>
        <v/>
      </c>
    </row>
    <row r="851" customFormat="false" ht="12.8" hidden="false" customHeight="false" outlineLevel="0" collapsed="false">
      <c r="A851" s="0" t="s">
        <v>1722</v>
      </c>
      <c r="B851" s="0" t="s">
        <v>2337</v>
      </c>
      <c r="C851" s="0" t="n">
        <v>1</v>
      </c>
      <c r="D851" s="0" t="str">
        <f aca="false">IF(C851=0,B851,"")</f>
        <v/>
      </c>
      <c r="E851" s="0" t="str">
        <f aca="false">IF(C851=0,A851,"")</f>
        <v/>
      </c>
    </row>
    <row r="852" customFormat="false" ht="12.8" hidden="false" customHeight="false" outlineLevel="0" collapsed="false">
      <c r="A852" s="0" t="s">
        <v>1723</v>
      </c>
      <c r="B852" s="0" t="s">
        <v>795</v>
      </c>
      <c r="C852" s="0" t="n">
        <v>1</v>
      </c>
      <c r="D852" s="0" t="str">
        <f aca="false">IF(C852=0,B852,"")</f>
        <v/>
      </c>
      <c r="E852" s="0" t="str">
        <f aca="false">IF(C852=0,A852,"")</f>
        <v/>
      </c>
    </row>
    <row r="853" customFormat="false" ht="12.8" hidden="false" customHeight="false" outlineLevel="0" collapsed="false">
      <c r="A853" s="0" t="s">
        <v>1724</v>
      </c>
      <c r="B853" s="0" t="s">
        <v>2339</v>
      </c>
      <c r="C853" s="0" t="n">
        <v>1</v>
      </c>
      <c r="D853" s="0" t="str">
        <f aca="false">IF(C853=0,B853,"")</f>
        <v/>
      </c>
      <c r="E853" s="0" t="str">
        <f aca="false">IF(C853=0,A853,"")</f>
        <v/>
      </c>
    </row>
    <row r="854" customFormat="false" ht="12.8" hidden="false" customHeight="false" outlineLevel="0" collapsed="false">
      <c r="A854" s="0" t="s">
        <v>1725</v>
      </c>
      <c r="B854" s="0" t="s">
        <v>2340</v>
      </c>
      <c r="C854" s="0" t="n">
        <v>1</v>
      </c>
      <c r="D854" s="0" t="str">
        <f aca="false">IF(C854=0,B854,"")</f>
        <v/>
      </c>
      <c r="E854" s="0" t="str">
        <f aca="false">IF(C854=0,A854,"")</f>
        <v/>
      </c>
    </row>
    <row r="855" customFormat="false" ht="12.8" hidden="false" customHeight="false" outlineLevel="0" collapsed="false">
      <c r="A855" s="0" t="s">
        <v>1726</v>
      </c>
      <c r="B855" s="0" t="s">
        <v>2342</v>
      </c>
      <c r="C855" s="0" t="n">
        <v>1</v>
      </c>
      <c r="D855" s="0" t="str">
        <f aca="false">IF(C855=0,B855,"")</f>
        <v/>
      </c>
      <c r="E855" s="0" t="str">
        <f aca="false">IF(C855=0,A855,"")</f>
        <v/>
      </c>
    </row>
    <row r="856" customFormat="false" ht="12.8" hidden="false" customHeight="false" outlineLevel="0" collapsed="false">
      <c r="A856" s="0" t="s">
        <v>1727</v>
      </c>
      <c r="B856" s="0" t="s">
        <v>2343</v>
      </c>
      <c r="C856" s="0" t="n">
        <v>1</v>
      </c>
      <c r="D856" s="0" t="str">
        <f aca="false">IF(C856=0,B856,"")</f>
        <v/>
      </c>
      <c r="E856" s="0" t="str">
        <f aca="false">IF(C856=0,A856,"")</f>
        <v/>
      </c>
    </row>
    <row r="857" customFormat="false" ht="12.8" hidden="false" customHeight="false" outlineLevel="0" collapsed="false">
      <c r="A857" s="0" t="s">
        <v>1728</v>
      </c>
      <c r="B857" s="0" t="s">
        <v>1686</v>
      </c>
      <c r="C857" s="0" t="n">
        <v>1</v>
      </c>
      <c r="D857" s="0" t="str">
        <f aca="false">IF(C857=0,B857,"")</f>
        <v/>
      </c>
      <c r="E857" s="0" t="str">
        <f aca="false">IF(C857=0,A857,"")</f>
        <v/>
      </c>
    </row>
    <row r="858" customFormat="false" ht="12.8" hidden="false" customHeight="false" outlineLevel="0" collapsed="false">
      <c r="A858" s="0" t="s">
        <v>1729</v>
      </c>
      <c r="B858" s="0" t="s">
        <v>2346</v>
      </c>
      <c r="C858" s="0" t="n">
        <v>1</v>
      </c>
      <c r="D858" s="0" t="str">
        <f aca="false">IF(C858=0,B858,"")</f>
        <v/>
      </c>
      <c r="E858" s="0" t="str">
        <f aca="false">IF(C858=0,A858,"")</f>
        <v/>
      </c>
    </row>
    <row r="859" customFormat="false" ht="12.8" hidden="false" customHeight="false" outlineLevel="0" collapsed="false">
      <c r="A859" s="0" t="s">
        <v>1730</v>
      </c>
      <c r="B859" s="0" t="s">
        <v>2346</v>
      </c>
      <c r="C859" s="0" t="n">
        <v>1</v>
      </c>
      <c r="D859" s="0" t="str">
        <f aca="false">IF(C859=0,B859,"")</f>
        <v/>
      </c>
      <c r="E859" s="0" t="str">
        <f aca="false">IF(C859=0,A859,"")</f>
        <v/>
      </c>
    </row>
    <row r="860" customFormat="false" ht="12.8" hidden="false" customHeight="false" outlineLevel="0" collapsed="false">
      <c r="A860" s="0" t="s">
        <v>1731</v>
      </c>
      <c r="B860" s="0" t="s">
        <v>2347</v>
      </c>
      <c r="C860" s="0" t="n">
        <v>1</v>
      </c>
      <c r="D860" s="0" t="str">
        <f aca="false">IF(C860=0,B860,"")</f>
        <v/>
      </c>
      <c r="E860" s="0" t="str">
        <f aca="false">IF(C860=0,A860,"")</f>
        <v/>
      </c>
    </row>
    <row r="861" customFormat="false" ht="12.8" hidden="false" customHeight="false" outlineLevel="0" collapsed="false">
      <c r="A861" s="0" t="s">
        <v>1732</v>
      </c>
      <c r="B861" s="0" t="s">
        <v>2353</v>
      </c>
      <c r="C861" s="0" t="n">
        <v>1</v>
      </c>
      <c r="D861" s="0" t="str">
        <f aca="false">IF(C861=0,B861,"")</f>
        <v/>
      </c>
      <c r="E861" s="0" t="str">
        <f aca="false">IF(C861=0,A861,"")</f>
        <v/>
      </c>
    </row>
    <row r="862" customFormat="false" ht="12.8" hidden="false" customHeight="false" outlineLevel="0" collapsed="false">
      <c r="A862" s="0" t="s">
        <v>1733</v>
      </c>
      <c r="B862" s="0" t="s">
        <v>2348</v>
      </c>
      <c r="C862" s="0" t="n">
        <v>1</v>
      </c>
      <c r="D862" s="0" t="str">
        <f aca="false">IF(C862=0,B862,"")</f>
        <v/>
      </c>
      <c r="E862" s="0" t="str">
        <f aca="false">IF(C862=0,A862,"")</f>
        <v/>
      </c>
    </row>
    <row r="863" customFormat="false" ht="12.8" hidden="false" customHeight="false" outlineLevel="0" collapsed="false">
      <c r="A863" s="0" t="s">
        <v>1734</v>
      </c>
      <c r="B863" s="0" t="s">
        <v>2348</v>
      </c>
      <c r="C863" s="0" t="n">
        <v>1</v>
      </c>
      <c r="D863" s="0" t="str">
        <f aca="false">IF(C863=0,B863,"")</f>
        <v/>
      </c>
      <c r="E863" s="0" t="str">
        <f aca="false">IF(C863=0,A863,"")</f>
        <v/>
      </c>
    </row>
    <row r="864" customFormat="false" ht="12.8" hidden="false" customHeight="false" outlineLevel="0" collapsed="false">
      <c r="A864" s="0" t="s">
        <v>1735</v>
      </c>
      <c r="B864" s="0" t="s">
        <v>2348</v>
      </c>
      <c r="C864" s="0" t="n">
        <v>1</v>
      </c>
      <c r="D864" s="0" t="str">
        <f aca="false">IF(C864=0,B864,"")</f>
        <v/>
      </c>
      <c r="E864" s="0" t="str">
        <f aca="false">IF(C864=0,A864,"")</f>
        <v/>
      </c>
    </row>
    <row r="865" customFormat="false" ht="12.8" hidden="false" customHeight="false" outlineLevel="0" collapsed="false">
      <c r="A865" s="0" t="s">
        <v>1736</v>
      </c>
      <c r="B865" s="0" t="s">
        <v>2351</v>
      </c>
      <c r="C865" s="0" t="n">
        <v>1</v>
      </c>
      <c r="D865" s="0" t="str">
        <f aca="false">IF(C865=0,B865,"")</f>
        <v/>
      </c>
      <c r="E865" s="0" t="str">
        <f aca="false">IF(C865=0,A865,"")</f>
        <v/>
      </c>
    </row>
    <row r="866" customFormat="false" ht="12.8" hidden="false" customHeight="false" outlineLevel="0" collapsed="false">
      <c r="A866" s="0" t="s">
        <v>1737</v>
      </c>
      <c r="B866" s="0" t="s">
        <v>2352</v>
      </c>
      <c r="C866" s="0" t="n">
        <v>1</v>
      </c>
      <c r="D866" s="0" t="str">
        <f aca="false">IF(C866=0,B866,"")</f>
        <v/>
      </c>
      <c r="E866" s="0" t="str">
        <f aca="false">IF(C866=0,A866,"")</f>
        <v/>
      </c>
    </row>
    <row r="867" customFormat="false" ht="12.8" hidden="false" customHeight="false" outlineLevel="0" collapsed="false">
      <c r="A867" s="0" t="s">
        <v>1738</v>
      </c>
      <c r="B867" s="0" t="s">
        <v>2353</v>
      </c>
      <c r="C867" s="0" t="n">
        <v>1</v>
      </c>
      <c r="D867" s="0" t="str">
        <f aca="false">IF(C867=0,B867,"")</f>
        <v/>
      </c>
      <c r="E867" s="0" t="str">
        <f aca="false">IF(C867=0,A867,"")</f>
        <v/>
      </c>
    </row>
    <row r="868" customFormat="false" ht="12.8" hidden="false" customHeight="false" outlineLevel="0" collapsed="false">
      <c r="A868" s="0" t="s">
        <v>1739</v>
      </c>
      <c r="B868" s="0" t="s">
        <v>2354</v>
      </c>
      <c r="C868" s="0" t="n">
        <v>1</v>
      </c>
      <c r="D868" s="0" t="str">
        <f aca="false">IF(C868=0,B868,"")</f>
        <v/>
      </c>
      <c r="E868" s="0" t="str">
        <f aca="false">IF(C868=0,A868,"")</f>
        <v/>
      </c>
    </row>
    <row r="869" customFormat="false" ht="12.8" hidden="false" customHeight="false" outlineLevel="0" collapsed="false">
      <c r="A869" s="0" t="s">
        <v>1740</v>
      </c>
      <c r="B869" s="0" t="s">
        <v>2353</v>
      </c>
      <c r="C869" s="0" t="n">
        <v>1</v>
      </c>
      <c r="D869" s="0" t="str">
        <f aca="false">IF(C869=0,B869,"")</f>
        <v/>
      </c>
      <c r="E869" s="0" t="str">
        <f aca="false">IF(C869=0,A869,"")</f>
        <v/>
      </c>
    </row>
    <row r="870" customFormat="false" ht="12.8" hidden="false" customHeight="false" outlineLevel="0" collapsed="false">
      <c r="A870" s="0" t="s">
        <v>1741</v>
      </c>
      <c r="B870" s="0" t="s">
        <v>2353</v>
      </c>
      <c r="C870" s="0" t="n">
        <v>1</v>
      </c>
      <c r="D870" s="0" t="str">
        <f aca="false">IF(C870=0,B870,"")</f>
        <v/>
      </c>
      <c r="E870" s="0" t="str">
        <f aca="false">IF(C870=0,A870,"")</f>
        <v/>
      </c>
    </row>
    <row r="871" customFormat="false" ht="12.8" hidden="false" customHeight="false" outlineLevel="0" collapsed="false">
      <c r="A871" s="0" t="s">
        <v>1742</v>
      </c>
      <c r="B871" s="0" t="s">
        <v>1713</v>
      </c>
      <c r="C871" s="0" t="n">
        <v>1</v>
      </c>
      <c r="D871" s="0" t="str">
        <f aca="false">IF(C871=0,B871,"")</f>
        <v/>
      </c>
      <c r="E871" s="0" t="str">
        <f aca="false">IF(C871=0,A871,"")</f>
        <v/>
      </c>
    </row>
    <row r="872" customFormat="false" ht="12.8" hidden="false" customHeight="false" outlineLevel="0" collapsed="false">
      <c r="A872" s="0" t="s">
        <v>1743</v>
      </c>
      <c r="B872" s="0" t="s">
        <v>2356</v>
      </c>
      <c r="C872" s="0" t="n">
        <v>1</v>
      </c>
      <c r="D872" s="0" t="str">
        <f aca="false">IF(C872=0,B872,"")</f>
        <v/>
      </c>
      <c r="E872" s="0" t="str">
        <f aca="false">IF(C872=0,A872,"")</f>
        <v/>
      </c>
    </row>
    <row r="873" customFormat="false" ht="12.8" hidden="false" customHeight="false" outlineLevel="0" collapsed="false">
      <c r="A873" s="0" t="s">
        <v>1744</v>
      </c>
      <c r="B873" s="0" t="s">
        <v>2357</v>
      </c>
      <c r="C873" s="0" t="n">
        <v>1</v>
      </c>
      <c r="D873" s="0" t="str">
        <f aca="false">IF(C873=0,B873,"")</f>
        <v/>
      </c>
      <c r="E873" s="0" t="str">
        <f aca="false">IF(C873=0,A873,"")</f>
        <v/>
      </c>
    </row>
    <row r="874" customFormat="false" ht="12.8" hidden="false" customHeight="false" outlineLevel="0" collapsed="false">
      <c r="A874" s="0" t="s">
        <v>1745</v>
      </c>
      <c r="B874" s="0" t="s">
        <v>2359</v>
      </c>
      <c r="C874" s="0" t="n">
        <v>1</v>
      </c>
      <c r="D874" s="0" t="str">
        <f aca="false">IF(C874=0,B874,"")</f>
        <v/>
      </c>
      <c r="E874" s="0" t="str">
        <f aca="false">IF(C874=0,A874,"")</f>
        <v/>
      </c>
    </row>
    <row r="875" customFormat="false" ht="12.8" hidden="false" customHeight="false" outlineLevel="0" collapsed="false">
      <c r="A875" s="0" t="s">
        <v>1746</v>
      </c>
      <c r="B875" s="0" t="s">
        <v>3380</v>
      </c>
      <c r="C875" s="0" t="n">
        <v>0</v>
      </c>
      <c r="D875" s="0" t="str">
        <f aca="false">IF(C875=0,B875,"")</f>
        <v>웟</v>
      </c>
      <c r="E875" s="0" t="str">
        <f aca="false">IF(C875=0,A875,"")</f>
        <v>뭣</v>
      </c>
    </row>
    <row r="876" customFormat="false" ht="12.8" hidden="false" customHeight="false" outlineLevel="0" collapsed="false">
      <c r="A876" s="0" t="s">
        <v>1747</v>
      </c>
      <c r="B876" s="0" t="s">
        <v>3381</v>
      </c>
      <c r="C876" s="0" t="n">
        <v>0</v>
      </c>
      <c r="D876" s="0" t="str">
        <f aca="false">IF(C876=0,B876,"")</f>
        <v>뫠</v>
      </c>
      <c r="E876" s="0" t="str">
        <f aca="false">IF(C876=0,A876,"")</f>
        <v>뭬</v>
      </c>
    </row>
    <row r="877" customFormat="false" ht="12.8" hidden="false" customHeight="false" outlineLevel="0" collapsed="false">
      <c r="A877" s="0" t="s">
        <v>1748</v>
      </c>
      <c r="B877" s="0" t="s">
        <v>1747</v>
      </c>
      <c r="C877" s="0" t="n">
        <v>1</v>
      </c>
      <c r="D877" s="0" t="str">
        <f aca="false">IF(C877=0,B877,"")</f>
        <v/>
      </c>
      <c r="E877" s="0" t="str">
        <f aca="false">IF(C877=0,A877,"")</f>
        <v/>
      </c>
    </row>
    <row r="878" customFormat="false" ht="12.8" hidden="false" customHeight="false" outlineLevel="0" collapsed="false">
      <c r="A878" s="0" t="s">
        <v>1749</v>
      </c>
      <c r="B878" s="0" t="s">
        <v>2370</v>
      </c>
      <c r="C878" s="0" t="n">
        <v>1</v>
      </c>
      <c r="D878" s="0" t="str">
        <f aca="false">IF(C878=0,B878,"")</f>
        <v/>
      </c>
      <c r="E878" s="0" t="str">
        <f aca="false">IF(C878=0,A878,"")</f>
        <v/>
      </c>
    </row>
    <row r="879" customFormat="false" ht="12.8" hidden="false" customHeight="false" outlineLevel="0" collapsed="false">
      <c r="A879" s="0" t="s">
        <v>1750</v>
      </c>
      <c r="B879" s="0" t="s">
        <v>2371</v>
      </c>
      <c r="C879" s="0" t="n">
        <v>1</v>
      </c>
      <c r="D879" s="0" t="str">
        <f aca="false">IF(C879=0,B879,"")</f>
        <v/>
      </c>
      <c r="E879" s="0" t="str">
        <f aca="false">IF(C879=0,A879,"")</f>
        <v/>
      </c>
    </row>
    <row r="880" customFormat="false" ht="12.8" hidden="false" customHeight="false" outlineLevel="0" collapsed="false">
      <c r="A880" s="0" t="s">
        <v>1751</v>
      </c>
      <c r="B880" s="0" t="s">
        <v>1661</v>
      </c>
      <c r="C880" s="0" t="n">
        <v>1</v>
      </c>
      <c r="D880" s="0" t="str">
        <f aca="false">IF(C880=0,B880,"")</f>
        <v/>
      </c>
      <c r="E880" s="0" t="str">
        <f aca="false">IF(C880=0,A880,"")</f>
        <v/>
      </c>
    </row>
    <row r="881" customFormat="false" ht="12.8" hidden="false" customHeight="false" outlineLevel="0" collapsed="false">
      <c r="A881" s="0" t="s">
        <v>1752</v>
      </c>
      <c r="B881" s="0" t="s">
        <v>2378</v>
      </c>
      <c r="C881" s="0" t="n">
        <v>1</v>
      </c>
      <c r="D881" s="0" t="str">
        <f aca="false">IF(C881=0,B881,"")</f>
        <v/>
      </c>
      <c r="E881" s="0" t="str">
        <f aca="false">IF(C881=0,A881,"")</f>
        <v/>
      </c>
    </row>
    <row r="882" customFormat="false" ht="12.8" hidden="false" customHeight="false" outlineLevel="0" collapsed="false">
      <c r="A882" s="0" t="s">
        <v>1753</v>
      </c>
      <c r="B882" s="0" t="s">
        <v>2379</v>
      </c>
      <c r="C882" s="0" t="n">
        <v>1</v>
      </c>
      <c r="D882" s="0" t="str">
        <f aca="false">IF(C882=0,B882,"")</f>
        <v/>
      </c>
      <c r="E882" s="0" t="str">
        <f aca="false">IF(C882=0,A882,"")</f>
        <v/>
      </c>
    </row>
    <row r="883" customFormat="false" ht="12.8" hidden="false" customHeight="false" outlineLevel="0" collapsed="false">
      <c r="A883" s="0" t="s">
        <v>1754</v>
      </c>
      <c r="B883" s="0" t="s">
        <v>2380</v>
      </c>
      <c r="C883" s="0" t="n">
        <v>1</v>
      </c>
      <c r="D883" s="0" t="str">
        <f aca="false">IF(C883=0,B883,"")</f>
        <v/>
      </c>
      <c r="E883" s="0" t="str">
        <f aca="false">IF(C883=0,A883,"")</f>
        <v/>
      </c>
    </row>
    <row r="884" customFormat="false" ht="12.8" hidden="false" customHeight="false" outlineLevel="0" collapsed="false">
      <c r="A884" s="0" t="s">
        <v>1755</v>
      </c>
      <c r="B884" s="0" t="s">
        <v>2382</v>
      </c>
      <c r="C884" s="0" t="n">
        <v>1</v>
      </c>
      <c r="D884" s="0" t="str">
        <f aca="false">IF(C884=0,B884,"")</f>
        <v/>
      </c>
      <c r="E884" s="0" t="str">
        <f aca="false">IF(C884=0,A884,"")</f>
        <v/>
      </c>
    </row>
    <row r="885" customFormat="false" ht="12.8" hidden="false" customHeight="false" outlineLevel="0" collapsed="false">
      <c r="A885" s="0" t="s">
        <v>1756</v>
      </c>
      <c r="B885" s="0" t="s">
        <v>1671</v>
      </c>
      <c r="C885" s="0" t="n">
        <v>1</v>
      </c>
      <c r="D885" s="0" t="str">
        <f aca="false">IF(C885=0,B885,"")</f>
        <v/>
      </c>
      <c r="E885" s="0" t="str">
        <f aca="false">IF(C885=0,A885,"")</f>
        <v/>
      </c>
    </row>
    <row r="886" customFormat="false" ht="12.8" hidden="false" customHeight="false" outlineLevel="0" collapsed="false">
      <c r="A886" s="0" t="s">
        <v>1757</v>
      </c>
      <c r="B886" s="0" t="s">
        <v>2387</v>
      </c>
      <c r="C886" s="0" t="n">
        <v>1</v>
      </c>
      <c r="D886" s="0" t="str">
        <f aca="false">IF(C886=0,B886,"")</f>
        <v/>
      </c>
      <c r="E886" s="0" t="str">
        <f aca="false">IF(C886=0,A886,"")</f>
        <v/>
      </c>
    </row>
    <row r="887" customFormat="false" ht="12.8" hidden="false" customHeight="false" outlineLevel="0" collapsed="false">
      <c r="A887" s="0" t="s">
        <v>1758</v>
      </c>
      <c r="B887" s="0" t="s">
        <v>2388</v>
      </c>
      <c r="C887" s="0" t="n">
        <v>1</v>
      </c>
      <c r="D887" s="0" t="str">
        <f aca="false">IF(C887=0,B887,"")</f>
        <v/>
      </c>
      <c r="E887" s="0" t="str">
        <f aca="false">IF(C887=0,A887,"")</f>
        <v/>
      </c>
    </row>
    <row r="888" customFormat="false" ht="12.8" hidden="false" customHeight="false" outlineLevel="0" collapsed="false">
      <c r="A888" s="0" t="s">
        <v>1759</v>
      </c>
      <c r="B888" s="0" t="s">
        <v>2390</v>
      </c>
      <c r="C888" s="0" t="n">
        <v>1</v>
      </c>
      <c r="D888" s="0" t="str">
        <f aca="false">IF(C888=0,B888,"")</f>
        <v/>
      </c>
      <c r="E888" s="0" t="str">
        <f aca="false">IF(C888=0,A888,"")</f>
        <v/>
      </c>
    </row>
    <row r="889" customFormat="false" ht="12.8" hidden="false" customHeight="false" outlineLevel="0" collapsed="false">
      <c r="A889" s="0" t="s">
        <v>1760</v>
      </c>
      <c r="B889" s="0" t="s">
        <v>2392</v>
      </c>
      <c r="C889" s="0" t="n">
        <v>1</v>
      </c>
      <c r="D889" s="0" t="str">
        <f aca="false">IF(C889=0,B889,"")</f>
        <v/>
      </c>
      <c r="E889" s="0" t="str">
        <f aca="false">IF(C889=0,A889,"")</f>
        <v/>
      </c>
    </row>
    <row r="890" customFormat="false" ht="12.8" hidden="false" customHeight="false" outlineLevel="0" collapsed="false">
      <c r="A890" s="0" t="s">
        <v>1761</v>
      </c>
      <c r="B890" s="0" t="s">
        <v>1756</v>
      </c>
      <c r="C890" s="0" t="n">
        <v>1</v>
      </c>
      <c r="D890" s="0" t="str">
        <f aca="false">IF(C890=0,B890,"")</f>
        <v/>
      </c>
      <c r="E890" s="0" t="str">
        <f aca="false">IF(C890=0,A890,"")</f>
        <v/>
      </c>
    </row>
    <row r="891" customFormat="false" ht="12.8" hidden="false" customHeight="false" outlineLevel="0" collapsed="false">
      <c r="A891" s="0" t="s">
        <v>1762</v>
      </c>
      <c r="B891" s="0" t="s">
        <v>2404</v>
      </c>
      <c r="C891" s="0" t="n">
        <v>1</v>
      </c>
      <c r="D891" s="0" t="str">
        <f aca="false">IF(C891=0,B891,"")</f>
        <v/>
      </c>
      <c r="E891" s="0" t="str">
        <f aca="false">IF(C891=0,A891,"")</f>
        <v/>
      </c>
    </row>
    <row r="892" customFormat="false" ht="12.8" hidden="false" customHeight="false" outlineLevel="0" collapsed="false">
      <c r="A892" s="0" t="s">
        <v>1763</v>
      </c>
      <c r="B892" s="0" t="s">
        <v>2405</v>
      </c>
      <c r="C892" s="0" t="n">
        <v>1</v>
      </c>
      <c r="D892" s="0" t="str">
        <f aca="false">IF(C892=0,B892,"")</f>
        <v/>
      </c>
      <c r="E892" s="0" t="str">
        <f aca="false">IF(C892=0,A892,"")</f>
        <v/>
      </c>
    </row>
    <row r="893" customFormat="false" ht="12.8" hidden="false" customHeight="false" outlineLevel="0" collapsed="false">
      <c r="A893" s="0" t="s">
        <v>1764</v>
      </c>
      <c r="B893" s="0" t="s">
        <v>2412</v>
      </c>
      <c r="C893" s="0" t="n">
        <v>1</v>
      </c>
      <c r="D893" s="0" t="str">
        <f aca="false">IF(C893=0,B893,"")</f>
        <v/>
      </c>
      <c r="E893" s="0" t="str">
        <f aca="false">IF(C893=0,A893,"")</f>
        <v/>
      </c>
    </row>
    <row r="894" customFormat="false" ht="12.8" hidden="false" customHeight="false" outlineLevel="0" collapsed="false">
      <c r="A894" s="0" t="s">
        <v>1765</v>
      </c>
      <c r="B894" s="0" t="s">
        <v>2406</v>
      </c>
      <c r="C894" s="0" t="n">
        <v>1</v>
      </c>
      <c r="D894" s="0" t="str">
        <f aca="false">IF(C894=0,B894,"")</f>
        <v/>
      </c>
      <c r="E894" s="0" t="str">
        <f aca="false">IF(C894=0,A894,"")</f>
        <v/>
      </c>
    </row>
    <row r="895" customFormat="false" ht="12.8" hidden="false" customHeight="false" outlineLevel="0" collapsed="false">
      <c r="A895" s="0" t="s">
        <v>1766</v>
      </c>
      <c r="B895" s="0" t="s">
        <v>2406</v>
      </c>
      <c r="C895" s="0" t="n">
        <v>1</v>
      </c>
      <c r="D895" s="0" t="str">
        <f aca="false">IF(C895=0,B895,"")</f>
        <v/>
      </c>
      <c r="E895" s="0" t="str">
        <f aca="false">IF(C895=0,A895,"")</f>
        <v/>
      </c>
    </row>
    <row r="896" customFormat="false" ht="12.8" hidden="false" customHeight="false" outlineLevel="0" collapsed="false">
      <c r="A896" s="0" t="s">
        <v>1767</v>
      </c>
      <c r="B896" s="0" t="s">
        <v>2410</v>
      </c>
      <c r="C896" s="0" t="n">
        <v>1</v>
      </c>
      <c r="D896" s="0" t="str">
        <f aca="false">IF(C896=0,B896,"")</f>
        <v/>
      </c>
      <c r="E896" s="0" t="str">
        <f aca="false">IF(C896=0,A896,"")</f>
        <v/>
      </c>
    </row>
    <row r="897" customFormat="false" ht="12.8" hidden="false" customHeight="false" outlineLevel="0" collapsed="false">
      <c r="A897" s="0" t="s">
        <v>1768</v>
      </c>
      <c r="B897" s="0" t="s">
        <v>2411</v>
      </c>
      <c r="C897" s="0" t="n">
        <v>1</v>
      </c>
      <c r="D897" s="0" t="str">
        <f aca="false">IF(C897=0,B897,"")</f>
        <v/>
      </c>
      <c r="E897" s="0" t="str">
        <f aca="false">IF(C897=0,A897,"")</f>
        <v/>
      </c>
    </row>
    <row r="898" customFormat="false" ht="12.8" hidden="false" customHeight="false" outlineLevel="0" collapsed="false">
      <c r="A898" s="0" t="s">
        <v>1769</v>
      </c>
      <c r="B898" s="0" t="s">
        <v>2412</v>
      </c>
      <c r="C898" s="0" t="n">
        <v>1</v>
      </c>
      <c r="D898" s="0" t="str">
        <f aca="false">IF(C898=0,B898,"")</f>
        <v/>
      </c>
      <c r="E898" s="0" t="str">
        <f aca="false">IF(C898=0,A898,"")</f>
        <v/>
      </c>
    </row>
    <row r="899" customFormat="false" ht="12.8" hidden="false" customHeight="false" outlineLevel="0" collapsed="false">
      <c r="A899" s="0" t="s">
        <v>1770</v>
      </c>
      <c r="B899" s="0" t="s">
        <v>2412</v>
      </c>
      <c r="C899" s="0" t="n">
        <v>1</v>
      </c>
      <c r="D899" s="0" t="str">
        <f aca="false">IF(C899=0,B899,"")</f>
        <v/>
      </c>
      <c r="E899" s="0" t="str">
        <f aca="false">IF(C899=0,A899,"")</f>
        <v/>
      </c>
    </row>
    <row r="900" customFormat="false" ht="12.8" hidden="false" customHeight="false" outlineLevel="0" collapsed="false">
      <c r="A900" s="0" t="s">
        <v>1771</v>
      </c>
      <c r="B900" s="0" t="s">
        <v>2413</v>
      </c>
      <c r="C900" s="0" t="n">
        <v>1</v>
      </c>
      <c r="D900" s="0" t="str">
        <f aca="false">IF(C900=0,B900,"")</f>
        <v/>
      </c>
      <c r="E900" s="0" t="str">
        <f aca="false">IF(C900=0,A900,"")</f>
        <v/>
      </c>
    </row>
    <row r="901" customFormat="false" ht="12.8" hidden="false" customHeight="false" outlineLevel="0" collapsed="false">
      <c r="A901" s="0" t="s">
        <v>1772</v>
      </c>
      <c r="B901" s="0" t="s">
        <v>2412</v>
      </c>
      <c r="C901" s="0" t="n">
        <v>1</v>
      </c>
      <c r="D901" s="0" t="str">
        <f aca="false">IF(C901=0,B901,"")</f>
        <v/>
      </c>
      <c r="E901" s="0" t="str">
        <f aca="false">IF(C901=0,A901,"")</f>
        <v/>
      </c>
    </row>
    <row r="902" customFormat="false" ht="12.8" hidden="false" customHeight="false" outlineLevel="0" collapsed="false">
      <c r="A902" s="0" t="s">
        <v>1773</v>
      </c>
      <c r="B902" s="0" t="s">
        <v>2412</v>
      </c>
      <c r="C902" s="0" t="n">
        <v>1</v>
      </c>
      <c r="D902" s="0" t="str">
        <f aca="false">IF(C902=0,B902,"")</f>
        <v/>
      </c>
      <c r="E902" s="0" t="str">
        <f aca="false">IF(C902=0,A902,"")</f>
        <v/>
      </c>
    </row>
    <row r="903" customFormat="false" ht="12.8" hidden="false" customHeight="false" outlineLevel="0" collapsed="false">
      <c r="A903" s="0" t="s">
        <v>1774</v>
      </c>
      <c r="B903" s="0" t="s">
        <v>1835</v>
      </c>
      <c r="C903" s="0" t="n">
        <v>1</v>
      </c>
      <c r="D903" s="0" t="str">
        <f aca="false">IF(C903=0,B903,"")</f>
        <v/>
      </c>
      <c r="E903" s="0" t="str">
        <f aca="false">IF(C903=0,A903,"")</f>
        <v/>
      </c>
    </row>
    <row r="904" customFormat="false" ht="12.8" hidden="false" customHeight="false" outlineLevel="0" collapsed="false">
      <c r="A904" s="0" t="s">
        <v>1775</v>
      </c>
      <c r="B904" s="0" t="s">
        <v>2416</v>
      </c>
      <c r="C904" s="0" t="n">
        <v>1</v>
      </c>
      <c r="D904" s="0" t="str">
        <f aca="false">IF(C904=0,B904,"")</f>
        <v/>
      </c>
      <c r="E904" s="0" t="str">
        <f aca="false">IF(C904=0,A904,"")</f>
        <v/>
      </c>
    </row>
    <row r="905" customFormat="false" ht="12.8" hidden="false" customHeight="false" outlineLevel="0" collapsed="false">
      <c r="A905" s="0" t="s">
        <v>1776</v>
      </c>
      <c r="B905" s="0" t="s">
        <v>2416</v>
      </c>
      <c r="C905" s="0" t="n">
        <v>1</v>
      </c>
      <c r="D905" s="0" t="str">
        <f aca="false">IF(C905=0,B905,"")</f>
        <v/>
      </c>
      <c r="E905" s="0" t="str">
        <f aca="false">IF(C905=0,A905,"")</f>
        <v/>
      </c>
    </row>
    <row r="906" customFormat="false" ht="12.8" hidden="false" customHeight="false" outlineLevel="0" collapsed="false">
      <c r="A906" s="0" t="s">
        <v>1777</v>
      </c>
      <c r="B906" s="0" t="s">
        <v>2416</v>
      </c>
      <c r="C906" s="0" t="n">
        <v>1</v>
      </c>
      <c r="D906" s="0" t="str">
        <f aca="false">IF(C906=0,B906,"")</f>
        <v/>
      </c>
      <c r="E906" s="0" t="str">
        <f aca="false">IF(C906=0,A906,"")</f>
        <v/>
      </c>
    </row>
    <row r="907" customFormat="false" ht="12.8" hidden="false" customHeight="false" outlineLevel="0" collapsed="false">
      <c r="A907" s="0" t="s">
        <v>1778</v>
      </c>
      <c r="B907" s="0" t="s">
        <v>2417</v>
      </c>
      <c r="C907" s="0" t="n">
        <v>1</v>
      </c>
      <c r="D907" s="0" t="str">
        <f aca="false">IF(C907=0,B907,"")</f>
        <v/>
      </c>
      <c r="E907" s="0" t="str">
        <f aca="false">IF(C907=0,A907,"")</f>
        <v/>
      </c>
    </row>
    <row r="908" customFormat="false" ht="12.8" hidden="false" customHeight="false" outlineLevel="0" collapsed="false">
      <c r="A908" s="0" t="s">
        <v>1779</v>
      </c>
      <c r="B908" s="0" t="s">
        <v>2424</v>
      </c>
      <c r="C908" s="0" t="n">
        <v>1</v>
      </c>
      <c r="D908" s="0" t="str">
        <f aca="false">IF(C908=0,B908,"")</f>
        <v/>
      </c>
      <c r="E908" s="0" t="str">
        <f aca="false">IF(C908=0,A908,"")</f>
        <v/>
      </c>
    </row>
    <row r="909" customFormat="false" ht="12.8" hidden="false" customHeight="false" outlineLevel="0" collapsed="false">
      <c r="A909" s="0" t="s">
        <v>1780</v>
      </c>
      <c r="B909" s="0" t="s">
        <v>2420</v>
      </c>
      <c r="C909" s="0" t="n">
        <v>1</v>
      </c>
      <c r="D909" s="0" t="str">
        <f aca="false">IF(C909=0,B909,"")</f>
        <v/>
      </c>
      <c r="E909" s="0" t="str">
        <f aca="false">IF(C909=0,A909,"")</f>
        <v/>
      </c>
    </row>
    <row r="910" customFormat="false" ht="12.8" hidden="false" customHeight="false" outlineLevel="0" collapsed="false">
      <c r="A910" s="0" t="s">
        <v>1781</v>
      </c>
      <c r="B910" s="0" t="s">
        <v>2420</v>
      </c>
      <c r="C910" s="0" t="n">
        <v>1</v>
      </c>
      <c r="D910" s="0" t="str">
        <f aca="false">IF(C910=0,B910,"")</f>
        <v/>
      </c>
      <c r="E910" s="0" t="str">
        <f aca="false">IF(C910=0,A910,"")</f>
        <v/>
      </c>
    </row>
    <row r="911" customFormat="false" ht="12.8" hidden="false" customHeight="false" outlineLevel="0" collapsed="false">
      <c r="A911" s="0" t="s">
        <v>1782</v>
      </c>
      <c r="B911" s="0" t="s">
        <v>2420</v>
      </c>
      <c r="C911" s="0" t="n">
        <v>1</v>
      </c>
      <c r="D911" s="0" t="str">
        <f aca="false">IF(C911=0,B911,"")</f>
        <v/>
      </c>
      <c r="E911" s="0" t="str">
        <f aca="false">IF(C911=0,A911,"")</f>
        <v/>
      </c>
    </row>
    <row r="912" customFormat="false" ht="12.8" hidden="false" customHeight="false" outlineLevel="0" collapsed="false">
      <c r="A912" s="0" t="s">
        <v>1783</v>
      </c>
      <c r="B912" s="0" t="s">
        <v>2420</v>
      </c>
      <c r="C912" s="0" t="n">
        <v>1</v>
      </c>
      <c r="D912" s="0" t="str">
        <f aca="false">IF(C912=0,B912,"")</f>
        <v/>
      </c>
      <c r="E912" s="0" t="str">
        <f aca="false">IF(C912=0,A912,"")</f>
        <v/>
      </c>
    </row>
    <row r="913" customFormat="false" ht="12.8" hidden="false" customHeight="false" outlineLevel="0" collapsed="false">
      <c r="A913" s="0" t="s">
        <v>1784</v>
      </c>
      <c r="B913" s="0" t="s">
        <v>2422</v>
      </c>
      <c r="C913" s="0" t="n">
        <v>1</v>
      </c>
      <c r="D913" s="0" t="str">
        <f aca="false">IF(C913=0,B913,"")</f>
        <v/>
      </c>
      <c r="E913" s="0" t="str">
        <f aca="false">IF(C913=0,A913,"")</f>
        <v/>
      </c>
    </row>
    <row r="914" customFormat="false" ht="12.8" hidden="false" customHeight="false" outlineLevel="0" collapsed="false">
      <c r="A914" s="0" t="s">
        <v>1785</v>
      </c>
      <c r="B914" s="0" t="s">
        <v>2423</v>
      </c>
      <c r="C914" s="0" t="n">
        <v>1</v>
      </c>
      <c r="D914" s="0" t="str">
        <f aca="false">IF(C914=0,B914,"")</f>
        <v/>
      </c>
      <c r="E914" s="0" t="str">
        <f aca="false">IF(C914=0,A914,"")</f>
        <v/>
      </c>
    </row>
    <row r="915" customFormat="false" ht="12.8" hidden="false" customHeight="false" outlineLevel="0" collapsed="false">
      <c r="A915" s="0" t="s">
        <v>1786</v>
      </c>
      <c r="B915" s="0" t="s">
        <v>2424</v>
      </c>
      <c r="C915" s="0" t="n">
        <v>1</v>
      </c>
      <c r="D915" s="0" t="str">
        <f aca="false">IF(C915=0,B915,"")</f>
        <v/>
      </c>
      <c r="E915" s="0" t="str">
        <f aca="false">IF(C915=0,A915,"")</f>
        <v/>
      </c>
    </row>
    <row r="916" customFormat="false" ht="12.8" hidden="false" customHeight="false" outlineLevel="0" collapsed="false">
      <c r="A916" s="0" t="s">
        <v>1787</v>
      </c>
      <c r="B916" s="0" t="s">
        <v>2426</v>
      </c>
      <c r="C916" s="0" t="n">
        <v>1</v>
      </c>
      <c r="D916" s="0" t="str">
        <f aca="false">IF(C916=0,B916,"")</f>
        <v/>
      </c>
      <c r="E916" s="0" t="str">
        <f aca="false">IF(C916=0,A916,"")</f>
        <v/>
      </c>
    </row>
    <row r="917" customFormat="false" ht="12.8" hidden="false" customHeight="false" outlineLevel="0" collapsed="false">
      <c r="A917" s="0" t="s">
        <v>1788</v>
      </c>
      <c r="B917" s="0" t="s">
        <v>2424</v>
      </c>
      <c r="C917" s="0" t="n">
        <v>1</v>
      </c>
      <c r="D917" s="0" t="str">
        <f aca="false">IF(C917=0,B917,"")</f>
        <v/>
      </c>
      <c r="E917" s="0" t="str">
        <f aca="false">IF(C917=0,A917,"")</f>
        <v/>
      </c>
    </row>
    <row r="918" customFormat="false" ht="12.8" hidden="false" customHeight="false" outlineLevel="0" collapsed="false">
      <c r="A918" s="0" t="s">
        <v>1789</v>
      </c>
      <c r="B918" s="0" t="s">
        <v>3382</v>
      </c>
      <c r="C918" s="0" t="n">
        <v>0</v>
      </c>
      <c r="D918" s="0" t="str">
        <f aca="false">IF(C918=0,B918,"")</f>
        <v>븨</v>
      </c>
      <c r="E918" s="0" t="str">
        <f aca="false">IF(C918=0,A918,"")</f>
        <v>배</v>
      </c>
    </row>
    <row r="919" customFormat="false" ht="12.8" hidden="false" customHeight="false" outlineLevel="0" collapsed="false">
      <c r="A919" s="0" t="s">
        <v>1790</v>
      </c>
      <c r="B919" s="0" t="s">
        <v>2429</v>
      </c>
      <c r="C919" s="0" t="n">
        <v>1</v>
      </c>
      <c r="D919" s="0" t="str">
        <f aca="false">IF(C919=0,B919,"")</f>
        <v/>
      </c>
      <c r="E919" s="0" t="str">
        <f aca="false">IF(C919=0,A919,"")</f>
        <v/>
      </c>
    </row>
    <row r="920" customFormat="false" ht="12.8" hidden="false" customHeight="false" outlineLevel="0" collapsed="false">
      <c r="A920" s="0" t="s">
        <v>1791</v>
      </c>
      <c r="B920" s="0" t="s">
        <v>2430</v>
      </c>
      <c r="C920" s="0" t="n">
        <v>1</v>
      </c>
      <c r="D920" s="0" t="str">
        <f aca="false">IF(C920=0,B920,"")</f>
        <v/>
      </c>
      <c r="E920" s="0" t="str">
        <f aca="false">IF(C920=0,A920,"")</f>
        <v/>
      </c>
    </row>
    <row r="921" customFormat="false" ht="12.8" hidden="false" customHeight="false" outlineLevel="0" collapsed="false">
      <c r="A921" s="0" t="s">
        <v>1792</v>
      </c>
      <c r="B921" s="0" t="s">
        <v>2431</v>
      </c>
      <c r="C921" s="0" t="n">
        <v>1</v>
      </c>
      <c r="D921" s="0" t="str">
        <f aca="false">IF(C921=0,B921,"")</f>
        <v/>
      </c>
      <c r="E921" s="0" t="str">
        <f aca="false">IF(C921=0,A921,"")</f>
        <v/>
      </c>
    </row>
    <row r="922" customFormat="false" ht="12.8" hidden="false" customHeight="false" outlineLevel="0" collapsed="false">
      <c r="A922" s="0" t="s">
        <v>1793</v>
      </c>
      <c r="B922" s="0" t="s">
        <v>2432</v>
      </c>
      <c r="C922" s="0" t="n">
        <v>1</v>
      </c>
      <c r="D922" s="0" t="str">
        <f aca="false">IF(C922=0,B922,"")</f>
        <v/>
      </c>
      <c r="E922" s="0" t="str">
        <f aca="false">IF(C922=0,A922,"")</f>
        <v/>
      </c>
    </row>
    <row r="923" customFormat="false" ht="12.8" hidden="false" customHeight="false" outlineLevel="0" collapsed="false">
      <c r="A923" s="0" t="s">
        <v>1794</v>
      </c>
      <c r="B923" s="0" t="s">
        <v>2433</v>
      </c>
      <c r="C923" s="0" t="n">
        <v>1</v>
      </c>
      <c r="D923" s="0" t="str">
        <f aca="false">IF(C923=0,B923,"")</f>
        <v/>
      </c>
      <c r="E923" s="0" t="str">
        <f aca="false">IF(C923=0,A923,"")</f>
        <v/>
      </c>
    </row>
    <row r="924" customFormat="false" ht="12.8" hidden="false" customHeight="false" outlineLevel="0" collapsed="false">
      <c r="A924" s="0" t="s">
        <v>1795</v>
      </c>
      <c r="B924" s="0" t="s">
        <v>2434</v>
      </c>
      <c r="C924" s="0" t="n">
        <v>1</v>
      </c>
      <c r="D924" s="0" t="str">
        <f aca="false">IF(C924=0,B924,"")</f>
        <v/>
      </c>
      <c r="E924" s="0" t="str">
        <f aca="false">IF(C924=0,A924,"")</f>
        <v/>
      </c>
    </row>
    <row r="925" customFormat="false" ht="12.8" hidden="false" customHeight="false" outlineLevel="0" collapsed="false">
      <c r="A925" s="0" t="s">
        <v>1796</v>
      </c>
      <c r="B925" s="0" t="s">
        <v>2434</v>
      </c>
      <c r="C925" s="0" t="n">
        <v>1</v>
      </c>
      <c r="D925" s="0" t="str">
        <f aca="false">IF(C925=0,B925,"")</f>
        <v/>
      </c>
      <c r="E925" s="0" t="str">
        <f aca="false">IF(C925=0,A925,"")</f>
        <v/>
      </c>
    </row>
    <row r="926" customFormat="false" ht="12.8" hidden="false" customHeight="false" outlineLevel="0" collapsed="false">
      <c r="A926" s="0" t="s">
        <v>1797</v>
      </c>
      <c r="B926" s="0" t="s">
        <v>2436</v>
      </c>
      <c r="C926" s="0" t="n">
        <v>1</v>
      </c>
      <c r="D926" s="0" t="str">
        <f aca="false">IF(C926=0,B926,"")</f>
        <v/>
      </c>
      <c r="E926" s="0" t="str">
        <f aca="false">IF(C926=0,A926,"")</f>
        <v/>
      </c>
    </row>
    <row r="927" customFormat="false" ht="12.8" hidden="false" customHeight="false" outlineLevel="0" collapsed="false">
      <c r="A927" s="0" t="s">
        <v>1798</v>
      </c>
      <c r="B927" s="0" t="s">
        <v>2434</v>
      </c>
      <c r="C927" s="0" t="n">
        <v>1</v>
      </c>
      <c r="D927" s="0" t="str">
        <f aca="false">IF(C927=0,B927,"")</f>
        <v/>
      </c>
      <c r="E927" s="0" t="str">
        <f aca="false">IF(C927=0,A927,"")</f>
        <v/>
      </c>
    </row>
    <row r="928" customFormat="false" ht="12.8" hidden="false" customHeight="false" outlineLevel="0" collapsed="false">
      <c r="A928" s="0" t="s">
        <v>1799</v>
      </c>
      <c r="B928" s="0" t="s">
        <v>1855</v>
      </c>
      <c r="C928" s="0" t="n">
        <v>1</v>
      </c>
      <c r="D928" s="0" t="str">
        <f aca="false">IF(C928=0,B928,"")</f>
        <v/>
      </c>
      <c r="E928" s="0" t="str">
        <f aca="false">IF(C928=0,A928,"")</f>
        <v/>
      </c>
    </row>
    <row r="929" customFormat="false" ht="12.8" hidden="false" customHeight="false" outlineLevel="0" collapsed="false">
      <c r="A929" s="0" t="s">
        <v>1800</v>
      </c>
      <c r="B929" s="0" t="s">
        <v>2438</v>
      </c>
      <c r="C929" s="0" t="n">
        <v>1</v>
      </c>
      <c r="D929" s="0" t="str">
        <f aca="false">IF(C929=0,B929,"")</f>
        <v/>
      </c>
      <c r="E929" s="0" t="str">
        <f aca="false">IF(C929=0,A929,"")</f>
        <v/>
      </c>
    </row>
    <row r="930" customFormat="false" ht="12.8" hidden="false" customHeight="false" outlineLevel="0" collapsed="false">
      <c r="A930" s="0" t="s">
        <v>1801</v>
      </c>
      <c r="B930" s="0" t="s">
        <v>2439</v>
      </c>
      <c r="C930" s="0" t="n">
        <v>1</v>
      </c>
      <c r="D930" s="0" t="str">
        <f aca="false">IF(C930=0,B930,"")</f>
        <v/>
      </c>
      <c r="E930" s="0" t="str">
        <f aca="false">IF(C930=0,A930,"")</f>
        <v/>
      </c>
    </row>
    <row r="931" customFormat="false" ht="12.8" hidden="false" customHeight="false" outlineLevel="0" collapsed="false">
      <c r="A931" s="0" t="s">
        <v>1802</v>
      </c>
      <c r="B931" s="0" t="s">
        <v>3383</v>
      </c>
      <c r="C931" s="0" t="n">
        <v>0</v>
      </c>
      <c r="D931" s="0" t="str">
        <f aca="false">IF(C931=0,B931,"")</f>
        <v>쟙</v>
      </c>
      <c r="E931" s="0" t="str">
        <f aca="false">IF(C931=0,A931,"")</f>
        <v>뱝</v>
      </c>
    </row>
    <row r="932" customFormat="false" ht="12.8" hidden="false" customHeight="false" outlineLevel="0" collapsed="false">
      <c r="A932" s="0" t="s">
        <v>1803</v>
      </c>
      <c r="B932" s="0" t="s">
        <v>1857</v>
      </c>
      <c r="C932" s="0" t="n">
        <v>1</v>
      </c>
      <c r="D932" s="0" t="str">
        <f aca="false">IF(C932=0,B932,"")</f>
        <v/>
      </c>
      <c r="E932" s="0" t="str">
        <f aca="false">IF(C932=0,A932,"")</f>
        <v/>
      </c>
    </row>
    <row r="933" customFormat="false" ht="12.8" hidden="false" customHeight="false" outlineLevel="0" collapsed="false">
      <c r="A933" s="0" t="s">
        <v>1804</v>
      </c>
      <c r="B933" s="0" t="s">
        <v>2448</v>
      </c>
      <c r="C933" s="0" t="n">
        <v>1</v>
      </c>
      <c r="D933" s="0" t="str">
        <f aca="false">IF(C933=0,B933,"")</f>
        <v/>
      </c>
      <c r="E933" s="0" t="str">
        <f aca="false">IF(C933=0,A933,"")</f>
        <v/>
      </c>
    </row>
    <row r="934" customFormat="false" ht="12.8" hidden="false" customHeight="false" outlineLevel="0" collapsed="false">
      <c r="A934" s="0" t="s">
        <v>1805</v>
      </c>
      <c r="B934" s="0" t="s">
        <v>2449</v>
      </c>
      <c r="C934" s="0" t="n">
        <v>1</v>
      </c>
      <c r="D934" s="0" t="str">
        <f aca="false">IF(C934=0,B934,"")</f>
        <v/>
      </c>
      <c r="E934" s="0" t="str">
        <f aca="false">IF(C934=0,A934,"")</f>
        <v/>
      </c>
    </row>
    <row r="935" customFormat="false" ht="12.8" hidden="false" customHeight="false" outlineLevel="0" collapsed="false">
      <c r="A935" s="0" t="s">
        <v>1806</v>
      </c>
      <c r="B935" s="0" t="s">
        <v>2454</v>
      </c>
      <c r="C935" s="0" t="n">
        <v>1</v>
      </c>
      <c r="D935" s="0" t="str">
        <f aca="false">IF(C935=0,B935,"")</f>
        <v/>
      </c>
      <c r="E935" s="0" t="str">
        <f aca="false">IF(C935=0,A935,"")</f>
        <v/>
      </c>
    </row>
    <row r="936" customFormat="false" ht="12.8" hidden="false" customHeight="false" outlineLevel="0" collapsed="false">
      <c r="A936" s="0" t="s">
        <v>1807</v>
      </c>
      <c r="B936" s="0" t="s">
        <v>2450</v>
      </c>
      <c r="C936" s="0" t="n">
        <v>1</v>
      </c>
      <c r="D936" s="0" t="str">
        <f aca="false">IF(C936=0,B936,"")</f>
        <v/>
      </c>
      <c r="E936" s="0" t="str">
        <f aca="false">IF(C936=0,A936,"")</f>
        <v/>
      </c>
    </row>
    <row r="937" customFormat="false" ht="12.8" hidden="false" customHeight="false" outlineLevel="0" collapsed="false">
      <c r="A937" s="0" t="s">
        <v>1808</v>
      </c>
      <c r="B937" s="0" t="s">
        <v>2450</v>
      </c>
      <c r="C937" s="0" t="n">
        <v>1</v>
      </c>
      <c r="D937" s="0" t="str">
        <f aca="false">IF(C937=0,B937,"")</f>
        <v/>
      </c>
      <c r="E937" s="0" t="str">
        <f aca="false">IF(C937=0,A937,"")</f>
        <v/>
      </c>
    </row>
    <row r="938" customFormat="false" ht="12.8" hidden="false" customHeight="false" outlineLevel="0" collapsed="false">
      <c r="A938" s="0" t="s">
        <v>1809</v>
      </c>
      <c r="B938" s="0" t="s">
        <v>2452</v>
      </c>
      <c r="C938" s="0" t="n">
        <v>1</v>
      </c>
      <c r="D938" s="0" t="str">
        <f aca="false">IF(C938=0,B938,"")</f>
        <v/>
      </c>
      <c r="E938" s="0" t="str">
        <f aca="false">IF(C938=0,A938,"")</f>
        <v/>
      </c>
    </row>
    <row r="939" customFormat="false" ht="12.8" hidden="false" customHeight="false" outlineLevel="0" collapsed="false">
      <c r="A939" s="0" t="s">
        <v>1810</v>
      </c>
      <c r="B939" s="0" t="s">
        <v>2453</v>
      </c>
      <c r="C939" s="0" t="n">
        <v>1</v>
      </c>
      <c r="D939" s="0" t="str">
        <f aca="false">IF(C939=0,B939,"")</f>
        <v/>
      </c>
      <c r="E939" s="0" t="str">
        <f aca="false">IF(C939=0,A939,"")</f>
        <v/>
      </c>
    </row>
    <row r="940" customFormat="false" ht="12.8" hidden="false" customHeight="false" outlineLevel="0" collapsed="false">
      <c r="A940" s="0" t="s">
        <v>1811</v>
      </c>
      <c r="B940" s="0" t="s">
        <v>2454</v>
      </c>
      <c r="C940" s="0" t="n">
        <v>1</v>
      </c>
      <c r="D940" s="0" t="str">
        <f aca="false">IF(C940=0,B940,"")</f>
        <v/>
      </c>
      <c r="E940" s="0" t="str">
        <f aca="false">IF(C940=0,A940,"")</f>
        <v/>
      </c>
    </row>
    <row r="941" customFormat="false" ht="12.8" hidden="false" customHeight="false" outlineLevel="0" collapsed="false">
      <c r="A941" s="0" t="s">
        <v>1812</v>
      </c>
      <c r="B941" s="0" t="s">
        <v>2455</v>
      </c>
      <c r="C941" s="0" t="n">
        <v>1</v>
      </c>
      <c r="D941" s="0" t="str">
        <f aca="false">IF(C941=0,B941,"")</f>
        <v/>
      </c>
      <c r="E941" s="0" t="str">
        <f aca="false">IF(C941=0,A941,"")</f>
        <v/>
      </c>
    </row>
    <row r="942" customFormat="false" ht="12.8" hidden="false" customHeight="false" outlineLevel="0" collapsed="false">
      <c r="A942" s="0" t="s">
        <v>1813</v>
      </c>
      <c r="B942" s="0" t="s">
        <v>2454</v>
      </c>
      <c r="C942" s="0" t="n">
        <v>1</v>
      </c>
      <c r="D942" s="0" t="str">
        <f aca="false">IF(C942=0,B942,"")</f>
        <v/>
      </c>
      <c r="E942" s="0" t="str">
        <f aca="false">IF(C942=0,A942,"")</f>
        <v/>
      </c>
    </row>
    <row r="943" customFormat="false" ht="12.8" hidden="false" customHeight="false" outlineLevel="0" collapsed="false">
      <c r="A943" s="0" t="s">
        <v>1814</v>
      </c>
      <c r="B943" s="0" t="s">
        <v>1774</v>
      </c>
      <c r="C943" s="0" t="n">
        <v>1</v>
      </c>
      <c r="D943" s="0" t="str">
        <f aca="false">IF(C943=0,B943,"")</f>
        <v/>
      </c>
      <c r="E943" s="0" t="str">
        <f aca="false">IF(C943=0,A943,"")</f>
        <v/>
      </c>
    </row>
    <row r="944" customFormat="false" ht="12.8" hidden="false" customHeight="false" outlineLevel="0" collapsed="false">
      <c r="A944" s="0" t="s">
        <v>1815</v>
      </c>
      <c r="B944" s="0" t="s">
        <v>2458</v>
      </c>
      <c r="C944" s="0" t="n">
        <v>1</v>
      </c>
      <c r="D944" s="0" t="str">
        <f aca="false">IF(C944=0,B944,"")</f>
        <v/>
      </c>
      <c r="E944" s="0" t="str">
        <f aca="false">IF(C944=0,A944,"")</f>
        <v/>
      </c>
    </row>
    <row r="945" customFormat="false" ht="12.8" hidden="false" customHeight="false" outlineLevel="0" collapsed="false">
      <c r="A945" s="0" t="s">
        <v>1816</v>
      </c>
      <c r="B945" s="0" t="s">
        <v>2459</v>
      </c>
      <c r="C945" s="0" t="n">
        <v>1</v>
      </c>
      <c r="D945" s="0" t="str">
        <f aca="false">IF(C945=0,B945,"")</f>
        <v/>
      </c>
      <c r="E945" s="0" t="str">
        <f aca="false">IF(C945=0,A945,"")</f>
        <v/>
      </c>
    </row>
    <row r="946" customFormat="false" ht="12.8" hidden="false" customHeight="false" outlineLevel="0" collapsed="false">
      <c r="A946" s="0" t="s">
        <v>1817</v>
      </c>
      <c r="B946" s="0" t="s">
        <v>2463</v>
      </c>
      <c r="C946" s="0" t="n">
        <v>1</v>
      </c>
      <c r="D946" s="0" t="str">
        <f aca="false">IF(C946=0,B946,"")</f>
        <v/>
      </c>
      <c r="E946" s="0" t="str">
        <f aca="false">IF(C946=0,A946,"")</f>
        <v/>
      </c>
    </row>
    <row r="947" customFormat="false" ht="12.8" hidden="false" customHeight="false" outlineLevel="0" collapsed="false">
      <c r="A947" s="0" t="s">
        <v>1818</v>
      </c>
      <c r="B947" s="0" t="s">
        <v>2460</v>
      </c>
      <c r="C947" s="0" t="n">
        <v>1</v>
      </c>
      <c r="D947" s="0" t="str">
        <f aca="false">IF(C947=0,B947,"")</f>
        <v/>
      </c>
      <c r="E947" s="0" t="str">
        <f aca="false">IF(C947=0,A947,"")</f>
        <v/>
      </c>
    </row>
    <row r="948" customFormat="false" ht="12.8" hidden="false" customHeight="false" outlineLevel="0" collapsed="false">
      <c r="A948" s="0" t="s">
        <v>1819</v>
      </c>
      <c r="B948" s="0" t="s">
        <v>2461</v>
      </c>
      <c r="C948" s="0" t="n">
        <v>1</v>
      </c>
      <c r="D948" s="0" t="str">
        <f aca="false">IF(C948=0,B948,"")</f>
        <v/>
      </c>
      <c r="E948" s="0" t="str">
        <f aca="false">IF(C948=0,A948,"")</f>
        <v/>
      </c>
    </row>
    <row r="949" customFormat="false" ht="12.8" hidden="false" customHeight="false" outlineLevel="0" collapsed="false">
      <c r="A949" s="0" t="s">
        <v>1820</v>
      </c>
      <c r="B949" s="0" t="s">
        <v>2462</v>
      </c>
      <c r="C949" s="0" t="n">
        <v>1</v>
      </c>
      <c r="D949" s="0" t="str">
        <f aca="false">IF(C949=0,B949,"")</f>
        <v/>
      </c>
      <c r="E949" s="0" t="str">
        <f aca="false">IF(C949=0,A949,"")</f>
        <v/>
      </c>
    </row>
    <row r="950" customFormat="false" ht="12.8" hidden="false" customHeight="false" outlineLevel="0" collapsed="false">
      <c r="A950" s="0" t="s">
        <v>1821</v>
      </c>
      <c r="B950" s="0" t="s">
        <v>2463</v>
      </c>
      <c r="C950" s="0" t="n">
        <v>1</v>
      </c>
      <c r="D950" s="0" t="str">
        <f aca="false">IF(C950=0,B950,"")</f>
        <v/>
      </c>
      <c r="E950" s="0" t="str">
        <f aca="false">IF(C950=0,A950,"")</f>
        <v/>
      </c>
    </row>
    <row r="951" customFormat="false" ht="12.8" hidden="false" customHeight="false" outlineLevel="0" collapsed="false">
      <c r="A951" s="0" t="s">
        <v>1822</v>
      </c>
      <c r="B951" s="0" t="s">
        <v>2463</v>
      </c>
      <c r="C951" s="0" t="n">
        <v>1</v>
      </c>
      <c r="D951" s="0" t="str">
        <f aca="false">IF(C951=0,B951,"")</f>
        <v/>
      </c>
      <c r="E951" s="0" t="str">
        <f aca="false">IF(C951=0,A951,"")</f>
        <v/>
      </c>
    </row>
    <row r="952" customFormat="false" ht="12.8" hidden="false" customHeight="false" outlineLevel="0" collapsed="false">
      <c r="A952" s="0" t="s">
        <v>1823</v>
      </c>
      <c r="B952" s="0" t="s">
        <v>2464</v>
      </c>
      <c r="C952" s="0" t="n">
        <v>1</v>
      </c>
      <c r="D952" s="0" t="str">
        <f aca="false">IF(C952=0,B952,"")</f>
        <v/>
      </c>
      <c r="E952" s="0" t="str">
        <f aca="false">IF(C952=0,A952,"")</f>
        <v/>
      </c>
    </row>
    <row r="953" customFormat="false" ht="12.8" hidden="false" customHeight="false" outlineLevel="0" collapsed="false">
      <c r="A953" s="0" t="s">
        <v>1824</v>
      </c>
      <c r="B953" s="0" t="s">
        <v>1879</v>
      </c>
      <c r="C953" s="0" t="n">
        <v>1</v>
      </c>
      <c r="D953" s="0" t="str">
        <f aca="false">IF(C953=0,B953,"")</f>
        <v/>
      </c>
      <c r="E953" s="0" t="str">
        <f aca="false">IF(C953=0,A953,"")</f>
        <v/>
      </c>
    </row>
    <row r="954" customFormat="false" ht="12.8" hidden="false" customHeight="false" outlineLevel="0" collapsed="false">
      <c r="A954" s="0" t="s">
        <v>1825</v>
      </c>
      <c r="B954" s="0" t="s">
        <v>3384</v>
      </c>
      <c r="C954" s="0" t="n">
        <v>0</v>
      </c>
      <c r="D954" s="0" t="str">
        <f aca="false">IF(C954=0,B954,"")</f>
        <v>젹</v>
      </c>
      <c r="E954" s="0" t="str">
        <f aca="false">IF(C954=0,A954,"")</f>
        <v>벽</v>
      </c>
    </row>
    <row r="955" customFormat="false" ht="12.8" hidden="false" customHeight="false" outlineLevel="0" collapsed="false">
      <c r="A955" s="0" t="s">
        <v>1826</v>
      </c>
      <c r="B955" s="0" t="s">
        <v>2466</v>
      </c>
      <c r="C955" s="0" t="n">
        <v>1</v>
      </c>
      <c r="D955" s="0" t="str">
        <f aca="false">IF(C955=0,B955,"")</f>
        <v/>
      </c>
      <c r="E955" s="0" t="str">
        <f aca="false">IF(C955=0,A955,"")</f>
        <v/>
      </c>
    </row>
    <row r="956" customFormat="false" ht="12.8" hidden="false" customHeight="false" outlineLevel="0" collapsed="false">
      <c r="A956" s="0" t="s">
        <v>1827</v>
      </c>
      <c r="B956" s="0" t="s">
        <v>2467</v>
      </c>
      <c r="C956" s="0" t="n">
        <v>1</v>
      </c>
      <c r="D956" s="0" t="str">
        <f aca="false">IF(C956=0,B956,"")</f>
        <v/>
      </c>
      <c r="E956" s="0" t="str">
        <f aca="false">IF(C956=0,A956,"")</f>
        <v/>
      </c>
    </row>
    <row r="957" customFormat="false" ht="12.8" hidden="false" customHeight="false" outlineLevel="0" collapsed="false">
      <c r="A957" s="0" t="s">
        <v>1828</v>
      </c>
      <c r="B957" s="0" t="s">
        <v>2469</v>
      </c>
      <c r="C957" s="0" t="n">
        <v>1</v>
      </c>
      <c r="D957" s="0" t="str">
        <f aca="false">IF(C957=0,B957,"")</f>
        <v/>
      </c>
      <c r="E957" s="0" t="str">
        <f aca="false">IF(C957=0,A957,"")</f>
        <v/>
      </c>
    </row>
    <row r="958" customFormat="false" ht="12.8" hidden="false" customHeight="false" outlineLevel="0" collapsed="false">
      <c r="A958" s="0" t="s">
        <v>1829</v>
      </c>
      <c r="B958" s="0" t="s">
        <v>3385</v>
      </c>
      <c r="C958" s="0" t="n">
        <v>0</v>
      </c>
      <c r="D958" s="0" t="str">
        <f aca="false">IF(C958=0,B958,"")</f>
        <v>졋</v>
      </c>
      <c r="E958" s="0" t="str">
        <f aca="false">IF(C958=0,A958,"")</f>
        <v>볏</v>
      </c>
    </row>
    <row r="959" customFormat="false" ht="12.8" hidden="false" customHeight="false" outlineLevel="0" collapsed="false">
      <c r="A959" s="0" t="s">
        <v>1830</v>
      </c>
      <c r="B959" s="0" t="s">
        <v>3385</v>
      </c>
      <c r="C959" s="0" t="n">
        <v>0</v>
      </c>
      <c r="D959" s="0" t="str">
        <f aca="false">IF(C959=0,B959,"")</f>
        <v>졋</v>
      </c>
      <c r="E959" s="0" t="str">
        <f aca="false">IF(C959=0,A959,"")</f>
        <v>볐</v>
      </c>
    </row>
    <row r="960" customFormat="false" ht="12.8" hidden="false" customHeight="false" outlineLevel="0" collapsed="false">
      <c r="A960" s="0" t="s">
        <v>1831</v>
      </c>
      <c r="B960" s="0" t="s">
        <v>2471</v>
      </c>
      <c r="C960" s="0" t="n">
        <v>1</v>
      </c>
      <c r="D960" s="0" t="str">
        <f aca="false">IF(C960=0,B960,"")</f>
        <v/>
      </c>
      <c r="E960" s="0" t="str">
        <f aca="false">IF(C960=0,A960,"")</f>
        <v/>
      </c>
    </row>
    <row r="961" customFormat="false" ht="12.8" hidden="false" customHeight="false" outlineLevel="0" collapsed="false">
      <c r="A961" s="0" t="s">
        <v>1832</v>
      </c>
      <c r="B961" s="0" t="s">
        <v>3385</v>
      </c>
      <c r="C961" s="0" t="n">
        <v>0</v>
      </c>
      <c r="D961" s="0" t="str">
        <f aca="false">IF(C961=0,B961,"")</f>
        <v>졋</v>
      </c>
      <c r="E961" s="0" t="str">
        <f aca="false">IF(C961=0,A961,"")</f>
        <v>볕</v>
      </c>
    </row>
    <row r="962" customFormat="false" ht="12.8" hidden="false" customHeight="false" outlineLevel="0" collapsed="false">
      <c r="A962" s="0" t="s">
        <v>1833</v>
      </c>
      <c r="B962" s="0" t="s">
        <v>1849</v>
      </c>
      <c r="C962" s="0" t="n">
        <v>1</v>
      </c>
      <c r="D962" s="0" t="str">
        <f aca="false">IF(C962=0,B962,"")</f>
        <v/>
      </c>
      <c r="E962" s="0" t="str">
        <f aca="false">IF(C962=0,A962,"")</f>
        <v/>
      </c>
    </row>
    <row r="963" customFormat="false" ht="12.8" hidden="false" customHeight="false" outlineLevel="0" collapsed="false">
      <c r="A963" s="0" t="s">
        <v>1834</v>
      </c>
      <c r="B963" s="0" t="s">
        <v>3386</v>
      </c>
      <c r="C963" s="0" t="n">
        <v>0</v>
      </c>
      <c r="D963" s="0" t="str">
        <f aca="false">IF(C963=0,B963,"")</f>
        <v>졘</v>
      </c>
      <c r="E963" s="0" t="str">
        <f aca="false">IF(C963=0,A963,"")</f>
        <v>볜</v>
      </c>
    </row>
    <row r="964" customFormat="false" ht="12.8" hidden="false" customHeight="false" outlineLevel="0" collapsed="false">
      <c r="A964" s="0" t="s">
        <v>1835</v>
      </c>
      <c r="B964" s="0" t="s">
        <v>1803</v>
      </c>
      <c r="C964" s="0" t="n">
        <v>1</v>
      </c>
      <c r="D964" s="0" t="str">
        <f aca="false">IF(C964=0,B964,"")</f>
        <v/>
      </c>
      <c r="E964" s="0" t="str">
        <f aca="false">IF(C964=0,A964,"")</f>
        <v/>
      </c>
    </row>
    <row r="965" customFormat="false" ht="12.8" hidden="false" customHeight="false" outlineLevel="0" collapsed="false">
      <c r="A965" s="0" t="s">
        <v>1836</v>
      </c>
      <c r="B965" s="0" t="s">
        <v>2474</v>
      </c>
      <c r="C965" s="0" t="n">
        <v>1</v>
      </c>
      <c r="D965" s="0" t="str">
        <f aca="false">IF(C965=0,B965,"")</f>
        <v/>
      </c>
      <c r="E965" s="0" t="str">
        <f aca="false">IF(C965=0,A965,"")</f>
        <v/>
      </c>
    </row>
    <row r="966" customFormat="false" ht="12.8" hidden="false" customHeight="false" outlineLevel="0" collapsed="false">
      <c r="A966" s="0" t="s">
        <v>1837</v>
      </c>
      <c r="B966" s="0" t="s">
        <v>2474</v>
      </c>
      <c r="C966" s="0" t="n">
        <v>1</v>
      </c>
      <c r="D966" s="0" t="str">
        <f aca="false">IF(C966=0,B966,"")</f>
        <v/>
      </c>
      <c r="E966" s="0" t="str">
        <f aca="false">IF(C966=0,A966,"")</f>
        <v/>
      </c>
    </row>
    <row r="967" customFormat="false" ht="12.8" hidden="false" customHeight="false" outlineLevel="0" collapsed="false">
      <c r="A967" s="0" t="s">
        <v>1838</v>
      </c>
      <c r="B967" s="0" t="s">
        <v>2475</v>
      </c>
      <c r="C967" s="0" t="n">
        <v>1</v>
      </c>
      <c r="D967" s="0" t="str">
        <f aca="false">IF(C967=0,B967,"")</f>
        <v/>
      </c>
      <c r="E967" s="0" t="str">
        <f aca="false">IF(C967=0,A967,"")</f>
        <v/>
      </c>
    </row>
    <row r="968" customFormat="false" ht="12.8" hidden="false" customHeight="false" outlineLevel="0" collapsed="false">
      <c r="A968" s="0" t="s">
        <v>1839</v>
      </c>
      <c r="B968" s="0" t="s">
        <v>2476</v>
      </c>
      <c r="C968" s="0" t="n">
        <v>1</v>
      </c>
      <c r="D968" s="0" t="str">
        <f aca="false">IF(C968=0,B968,"")</f>
        <v/>
      </c>
      <c r="E968" s="0" t="str">
        <f aca="false">IF(C968=0,A968,"")</f>
        <v/>
      </c>
    </row>
    <row r="969" customFormat="false" ht="12.8" hidden="false" customHeight="false" outlineLevel="0" collapsed="false">
      <c r="A969" s="0" t="s">
        <v>1840</v>
      </c>
      <c r="B969" s="0" t="s">
        <v>2478</v>
      </c>
      <c r="C969" s="0" t="n">
        <v>1</v>
      </c>
      <c r="D969" s="0" t="str">
        <f aca="false">IF(C969=0,B969,"")</f>
        <v/>
      </c>
      <c r="E969" s="0" t="str">
        <f aca="false">IF(C969=0,A969,"")</f>
        <v/>
      </c>
    </row>
    <row r="970" customFormat="false" ht="12.8" hidden="false" customHeight="false" outlineLevel="0" collapsed="false">
      <c r="A970" s="0" t="s">
        <v>1841</v>
      </c>
      <c r="B970" s="0" t="s">
        <v>2479</v>
      </c>
      <c r="C970" s="0" t="n">
        <v>1</v>
      </c>
      <c r="D970" s="0" t="str">
        <f aca="false">IF(C970=0,B970,"")</f>
        <v/>
      </c>
      <c r="E970" s="0" t="str">
        <f aca="false">IF(C970=0,A970,"")</f>
        <v/>
      </c>
    </row>
    <row r="971" customFormat="false" ht="12.8" hidden="false" customHeight="false" outlineLevel="0" collapsed="false">
      <c r="A971" s="0" t="s">
        <v>1842</v>
      </c>
      <c r="B971" s="0" t="s">
        <v>2480</v>
      </c>
      <c r="C971" s="0" t="n">
        <v>1</v>
      </c>
      <c r="D971" s="0" t="str">
        <f aca="false">IF(C971=0,B971,"")</f>
        <v/>
      </c>
      <c r="E971" s="0" t="str">
        <f aca="false">IF(C971=0,A971,"")</f>
        <v/>
      </c>
    </row>
    <row r="972" customFormat="false" ht="12.8" hidden="false" customHeight="false" outlineLevel="0" collapsed="false">
      <c r="A972" s="0" t="s">
        <v>1843</v>
      </c>
      <c r="B972" s="0" t="s">
        <v>2481</v>
      </c>
      <c r="C972" s="0" t="n">
        <v>1</v>
      </c>
      <c r="D972" s="0" t="str">
        <f aca="false">IF(C972=0,B972,"")</f>
        <v/>
      </c>
      <c r="E972" s="0" t="str">
        <f aca="false">IF(C972=0,A972,"")</f>
        <v/>
      </c>
    </row>
    <row r="973" customFormat="false" ht="12.8" hidden="false" customHeight="false" outlineLevel="0" collapsed="false">
      <c r="A973" s="0" t="s">
        <v>1844</v>
      </c>
      <c r="B973" s="0" t="s">
        <v>1833</v>
      </c>
      <c r="C973" s="0" t="n">
        <v>1</v>
      </c>
      <c r="D973" s="0" t="str">
        <f aca="false">IF(C973=0,B973,"")</f>
        <v/>
      </c>
      <c r="E973" s="0" t="str">
        <f aca="false">IF(C973=0,A973,"")</f>
        <v/>
      </c>
    </row>
    <row r="974" customFormat="false" ht="12.8" hidden="false" customHeight="false" outlineLevel="0" collapsed="false">
      <c r="A974" s="0" t="s">
        <v>1845</v>
      </c>
      <c r="B974" s="0" t="s">
        <v>3387</v>
      </c>
      <c r="C974" s="0" t="n">
        <v>0</v>
      </c>
      <c r="D974" s="0" t="str">
        <f aca="false">IF(C974=0,B974,"")</f>
        <v>좐</v>
      </c>
      <c r="E974" s="0" t="str">
        <f aca="false">IF(C974=0,A974,"")</f>
        <v>봔</v>
      </c>
    </row>
    <row r="975" customFormat="false" ht="12.8" hidden="false" customHeight="false" outlineLevel="0" collapsed="false">
      <c r="A975" s="0" t="s">
        <v>1846</v>
      </c>
      <c r="B975" s="0" t="s">
        <v>2489</v>
      </c>
      <c r="C975" s="0" t="n">
        <v>1</v>
      </c>
      <c r="D975" s="0" t="str">
        <f aca="false">IF(C975=0,B975,"")</f>
        <v/>
      </c>
      <c r="E975" s="0" t="str">
        <f aca="false">IF(C975=0,A975,"")</f>
        <v/>
      </c>
    </row>
    <row r="976" customFormat="false" ht="12.8" hidden="false" customHeight="false" outlineLevel="0" collapsed="false">
      <c r="A976" s="0" t="s">
        <v>1847</v>
      </c>
      <c r="B976" s="0" t="s">
        <v>3388</v>
      </c>
      <c r="C976" s="0" t="n">
        <v>0</v>
      </c>
      <c r="D976" s="0" t="str">
        <f aca="false">IF(C976=0,B976,"")</f>
        <v>뱨</v>
      </c>
      <c r="E976" s="0" t="str">
        <f aca="false">IF(C976=0,A976,"")</f>
        <v>봬</v>
      </c>
    </row>
    <row r="977" customFormat="false" ht="12.8" hidden="false" customHeight="false" outlineLevel="0" collapsed="false">
      <c r="A977" s="0" t="s">
        <v>1848</v>
      </c>
      <c r="B977" s="0" t="s">
        <v>3389</v>
      </c>
      <c r="C977" s="0" t="n">
        <v>0</v>
      </c>
      <c r="D977" s="0" t="str">
        <f aca="false">IF(C977=0,B977,"")</f>
        <v>좻</v>
      </c>
      <c r="E977" s="0" t="str">
        <f aca="false">IF(C977=0,A977,"")</f>
        <v>뵀</v>
      </c>
    </row>
    <row r="978" customFormat="false" ht="12.8" hidden="false" customHeight="false" outlineLevel="0" collapsed="false">
      <c r="A978" s="0" t="s">
        <v>1849</v>
      </c>
      <c r="B978" s="0" t="s">
        <v>1870</v>
      </c>
      <c r="C978" s="0" t="n">
        <v>1</v>
      </c>
      <c r="D978" s="0" t="str">
        <f aca="false">IF(C978=0,B978,"")</f>
        <v/>
      </c>
      <c r="E978" s="0" t="str">
        <f aca="false">IF(C978=0,A978,"")</f>
        <v/>
      </c>
    </row>
    <row r="979" customFormat="false" ht="12.8" hidden="false" customHeight="false" outlineLevel="0" collapsed="false">
      <c r="A979" s="0" t="s">
        <v>1850</v>
      </c>
      <c r="B979" s="0" t="s">
        <v>3390</v>
      </c>
      <c r="C979" s="0" t="n">
        <v>0</v>
      </c>
      <c r="D979" s="0" t="str">
        <f aca="false">IF(C979=0,B979,"")</f>
        <v>죅</v>
      </c>
      <c r="E979" s="0" t="str">
        <f aca="false">IF(C979=0,A979,"")</f>
        <v>뵉</v>
      </c>
    </row>
    <row r="980" customFormat="false" ht="12.8" hidden="false" customHeight="false" outlineLevel="0" collapsed="false">
      <c r="A980" s="0" t="s">
        <v>1851</v>
      </c>
      <c r="B980" s="0" t="s">
        <v>2495</v>
      </c>
      <c r="C980" s="0" t="n">
        <v>1</v>
      </c>
      <c r="D980" s="0" t="str">
        <f aca="false">IF(C980=0,B980,"")</f>
        <v/>
      </c>
      <c r="E980" s="0" t="str">
        <f aca="false">IF(C980=0,A980,"")</f>
        <v/>
      </c>
    </row>
    <row r="981" customFormat="false" ht="12.8" hidden="false" customHeight="false" outlineLevel="0" collapsed="false">
      <c r="A981" s="0" t="s">
        <v>1852</v>
      </c>
      <c r="B981" s="0" t="s">
        <v>2496</v>
      </c>
      <c r="C981" s="0" t="n">
        <v>1</v>
      </c>
      <c r="D981" s="0" t="str">
        <f aca="false">IF(C981=0,B981,"")</f>
        <v/>
      </c>
      <c r="E981" s="0" t="str">
        <f aca="false">IF(C981=0,A981,"")</f>
        <v/>
      </c>
    </row>
    <row r="982" customFormat="false" ht="12.8" hidden="false" customHeight="false" outlineLevel="0" collapsed="false">
      <c r="A982" s="0" t="s">
        <v>1853</v>
      </c>
      <c r="B982" s="0" t="s">
        <v>2497</v>
      </c>
      <c r="C982" s="0" t="n">
        <v>1</v>
      </c>
      <c r="D982" s="0" t="str">
        <f aca="false">IF(C982=0,B982,"")</f>
        <v/>
      </c>
      <c r="E982" s="0" t="str">
        <f aca="false">IF(C982=0,A982,"")</f>
        <v/>
      </c>
    </row>
    <row r="983" customFormat="false" ht="12.8" hidden="false" customHeight="false" outlineLevel="0" collapsed="false">
      <c r="A983" s="0" t="s">
        <v>1854</v>
      </c>
      <c r="B983" s="0" t="s">
        <v>2498</v>
      </c>
      <c r="C983" s="0" t="n">
        <v>1</v>
      </c>
      <c r="D983" s="0" t="str">
        <f aca="false">IF(C983=0,B983,"")</f>
        <v/>
      </c>
      <c r="E983" s="0" t="str">
        <f aca="false">IF(C983=0,A983,"")</f>
        <v/>
      </c>
    </row>
    <row r="984" customFormat="false" ht="12.8" hidden="false" customHeight="false" outlineLevel="0" collapsed="false">
      <c r="A984" s="0" t="s">
        <v>1855</v>
      </c>
      <c r="B984" s="0" t="s">
        <v>1824</v>
      </c>
      <c r="C984" s="0" t="n">
        <v>1</v>
      </c>
      <c r="D984" s="0" t="str">
        <f aca="false">IF(C984=0,B984,"")</f>
        <v/>
      </c>
      <c r="E984" s="0" t="str">
        <f aca="false">IF(C984=0,A984,"")</f>
        <v/>
      </c>
    </row>
    <row r="985" customFormat="false" ht="12.8" hidden="false" customHeight="false" outlineLevel="0" collapsed="false">
      <c r="A985" s="0" t="s">
        <v>1856</v>
      </c>
      <c r="B985" s="0" t="s">
        <v>2503</v>
      </c>
      <c r="C985" s="0" t="n">
        <v>1</v>
      </c>
      <c r="D985" s="0" t="str">
        <f aca="false">IF(C985=0,B985,"")</f>
        <v/>
      </c>
      <c r="E985" s="0" t="str">
        <f aca="false">IF(C985=0,A985,"")</f>
        <v/>
      </c>
    </row>
    <row r="986" customFormat="false" ht="12.8" hidden="false" customHeight="false" outlineLevel="0" collapsed="false">
      <c r="A986" s="0" t="s">
        <v>1857</v>
      </c>
      <c r="B986" s="0" t="s">
        <v>1814</v>
      </c>
      <c r="C986" s="0" t="n">
        <v>1</v>
      </c>
      <c r="D986" s="0" t="str">
        <f aca="false">IF(C986=0,B986,"")</f>
        <v/>
      </c>
      <c r="E986" s="0" t="str">
        <f aca="false">IF(C986=0,A986,"")</f>
        <v/>
      </c>
    </row>
    <row r="987" customFormat="false" ht="12.8" hidden="false" customHeight="false" outlineLevel="0" collapsed="false">
      <c r="A987" s="0" t="s">
        <v>1858</v>
      </c>
      <c r="B987" s="0" t="s">
        <v>2506</v>
      </c>
      <c r="C987" s="0" t="n">
        <v>1</v>
      </c>
      <c r="D987" s="0" t="str">
        <f aca="false">IF(C987=0,B987,"")</f>
        <v/>
      </c>
      <c r="E987" s="0" t="str">
        <f aca="false">IF(C987=0,A987,"")</f>
        <v/>
      </c>
    </row>
    <row r="988" customFormat="false" ht="12.8" hidden="false" customHeight="false" outlineLevel="0" collapsed="false">
      <c r="A988" s="0" t="s">
        <v>1859</v>
      </c>
      <c r="B988" s="0" t="s">
        <v>2507</v>
      </c>
      <c r="C988" s="0" t="n">
        <v>1</v>
      </c>
      <c r="D988" s="0" t="str">
        <f aca="false">IF(C988=0,B988,"")</f>
        <v/>
      </c>
      <c r="E988" s="0" t="str">
        <f aca="false">IF(C988=0,A988,"")</f>
        <v/>
      </c>
    </row>
    <row r="989" customFormat="false" ht="12.8" hidden="false" customHeight="false" outlineLevel="0" collapsed="false">
      <c r="A989" s="0" t="s">
        <v>1860</v>
      </c>
      <c r="B989" s="0" t="s">
        <v>2513</v>
      </c>
      <c r="C989" s="0" t="n">
        <v>1</v>
      </c>
      <c r="D989" s="0" t="str">
        <f aca="false">IF(C989=0,B989,"")</f>
        <v/>
      </c>
      <c r="E989" s="0" t="str">
        <f aca="false">IF(C989=0,A989,"")</f>
        <v/>
      </c>
    </row>
    <row r="990" customFormat="false" ht="12.8" hidden="false" customHeight="false" outlineLevel="0" collapsed="false">
      <c r="A990" s="0" t="s">
        <v>1861</v>
      </c>
      <c r="B990" s="0" t="s">
        <v>2508</v>
      </c>
      <c r="C990" s="0" t="n">
        <v>1</v>
      </c>
      <c r="D990" s="0" t="str">
        <f aca="false">IF(C990=0,B990,"")</f>
        <v/>
      </c>
      <c r="E990" s="0" t="str">
        <f aca="false">IF(C990=0,A990,"")</f>
        <v/>
      </c>
    </row>
    <row r="991" customFormat="false" ht="12.8" hidden="false" customHeight="false" outlineLevel="0" collapsed="false">
      <c r="A991" s="0" t="s">
        <v>1862</v>
      </c>
      <c r="B991" s="0" t="s">
        <v>2508</v>
      </c>
      <c r="C991" s="0" t="n">
        <v>1</v>
      </c>
      <c r="D991" s="0" t="str">
        <f aca="false">IF(C991=0,B991,"")</f>
        <v/>
      </c>
      <c r="E991" s="0" t="str">
        <f aca="false">IF(C991=0,A991,"")</f>
        <v/>
      </c>
    </row>
    <row r="992" customFormat="false" ht="12.8" hidden="false" customHeight="false" outlineLevel="0" collapsed="false">
      <c r="A992" s="0" t="s">
        <v>1863</v>
      </c>
      <c r="B992" s="0" t="s">
        <v>2508</v>
      </c>
      <c r="C992" s="0" t="n">
        <v>1</v>
      </c>
      <c r="D992" s="0" t="str">
        <f aca="false">IF(C992=0,B992,"")</f>
        <v/>
      </c>
      <c r="E992" s="0" t="str">
        <f aca="false">IF(C992=0,A992,"")</f>
        <v/>
      </c>
    </row>
    <row r="993" customFormat="false" ht="12.8" hidden="false" customHeight="false" outlineLevel="0" collapsed="false">
      <c r="A993" s="0" t="s">
        <v>1864</v>
      </c>
      <c r="B993" s="0" t="s">
        <v>2511</v>
      </c>
      <c r="C993" s="0" t="n">
        <v>1</v>
      </c>
      <c r="D993" s="0" t="str">
        <f aca="false">IF(C993=0,B993,"")</f>
        <v/>
      </c>
      <c r="E993" s="0" t="str">
        <f aca="false">IF(C993=0,A993,"")</f>
        <v/>
      </c>
    </row>
    <row r="994" customFormat="false" ht="12.8" hidden="false" customHeight="false" outlineLevel="0" collapsed="false">
      <c r="A994" s="0" t="s">
        <v>1865</v>
      </c>
      <c r="B994" s="0" t="s">
        <v>2512</v>
      </c>
      <c r="C994" s="0" t="n">
        <v>1</v>
      </c>
      <c r="D994" s="0" t="str">
        <f aca="false">IF(C994=0,B994,"")</f>
        <v/>
      </c>
      <c r="E994" s="0" t="str">
        <f aca="false">IF(C994=0,A994,"")</f>
        <v/>
      </c>
    </row>
    <row r="995" customFormat="false" ht="12.8" hidden="false" customHeight="false" outlineLevel="0" collapsed="false">
      <c r="A995" s="0" t="s">
        <v>1866</v>
      </c>
      <c r="B995" s="0" t="s">
        <v>2513</v>
      </c>
      <c r="C995" s="0" t="n">
        <v>1</v>
      </c>
      <c r="D995" s="0" t="str">
        <f aca="false">IF(C995=0,B995,"")</f>
        <v/>
      </c>
      <c r="E995" s="0" t="str">
        <f aca="false">IF(C995=0,A995,"")</f>
        <v/>
      </c>
    </row>
    <row r="996" customFormat="false" ht="12.8" hidden="false" customHeight="false" outlineLevel="0" collapsed="false">
      <c r="A996" s="0" t="s">
        <v>1867</v>
      </c>
      <c r="B996" s="0" t="s">
        <v>2514</v>
      </c>
      <c r="C996" s="0" t="n">
        <v>1</v>
      </c>
      <c r="D996" s="0" t="str">
        <f aca="false">IF(C996=0,B996,"")</f>
        <v/>
      </c>
      <c r="E996" s="0" t="str">
        <f aca="false">IF(C996=0,A996,"")</f>
        <v/>
      </c>
    </row>
    <row r="997" customFormat="false" ht="12.8" hidden="false" customHeight="false" outlineLevel="0" collapsed="false">
      <c r="A997" s="0" t="s">
        <v>1868</v>
      </c>
      <c r="B997" s="0" t="s">
        <v>2513</v>
      </c>
      <c r="C997" s="0" t="n">
        <v>1</v>
      </c>
      <c r="D997" s="0" t="str">
        <f aca="false">IF(C997=0,B997,"")</f>
        <v/>
      </c>
      <c r="E997" s="0" t="str">
        <f aca="false">IF(C997=0,A997,"")</f>
        <v/>
      </c>
    </row>
    <row r="998" customFormat="false" ht="12.8" hidden="false" customHeight="false" outlineLevel="0" collapsed="false">
      <c r="A998" s="0" t="s">
        <v>1869</v>
      </c>
      <c r="B998" s="0" t="s">
        <v>2512</v>
      </c>
      <c r="C998" s="0" t="n">
        <v>1</v>
      </c>
      <c r="D998" s="0" t="str">
        <f aca="false">IF(C998=0,B998,"")</f>
        <v/>
      </c>
      <c r="E998" s="0" t="str">
        <f aca="false">IF(C998=0,A998,"")</f>
        <v/>
      </c>
    </row>
    <row r="999" customFormat="false" ht="12.8" hidden="false" customHeight="false" outlineLevel="0" collapsed="false">
      <c r="A999" s="0" t="s">
        <v>1870</v>
      </c>
      <c r="B999" s="0" t="s">
        <v>1844</v>
      </c>
      <c r="C999" s="0" t="n">
        <v>1</v>
      </c>
      <c r="D999" s="0" t="str">
        <f aca="false">IF(C999=0,B999,"")</f>
        <v/>
      </c>
      <c r="E999" s="0" t="str">
        <f aca="false">IF(C999=0,A999,"")</f>
        <v/>
      </c>
    </row>
    <row r="1000" customFormat="false" ht="12.8" hidden="false" customHeight="false" outlineLevel="0" collapsed="false">
      <c r="A1000" s="0" t="s">
        <v>1871</v>
      </c>
      <c r="B1000" s="0" t="s">
        <v>3391</v>
      </c>
      <c r="C1000" s="0" t="n">
        <v>0</v>
      </c>
      <c r="D1000" s="0" t="str">
        <f aca="false">IF(C1000=0,B1000,"")</f>
        <v>줠</v>
      </c>
      <c r="E1000" s="0" t="str">
        <f aca="false">IF(C1000=0,A1000,"")</f>
        <v>붤</v>
      </c>
    </row>
    <row r="1001" customFormat="false" ht="12.8" hidden="false" customHeight="false" outlineLevel="0" collapsed="false">
      <c r="A1001" s="0" t="s">
        <v>1872</v>
      </c>
      <c r="B1001" s="0" t="s">
        <v>3392</v>
      </c>
      <c r="C1001" s="0" t="n">
        <v>0</v>
      </c>
      <c r="D1001" s="0" t="str">
        <f aca="false">IF(C1001=0,B1001,"")</f>
        <v>줫</v>
      </c>
      <c r="E1001" s="0" t="str">
        <f aca="false">IF(C1001=0,A1001,"")</f>
        <v>붰</v>
      </c>
    </row>
    <row r="1002" customFormat="false" ht="12.8" hidden="false" customHeight="false" outlineLevel="0" collapsed="false">
      <c r="A1002" s="0" t="s">
        <v>1873</v>
      </c>
      <c r="B1002" s="0" t="s">
        <v>1847</v>
      </c>
      <c r="C1002" s="0" t="n">
        <v>1</v>
      </c>
      <c r="D1002" s="0" t="str">
        <f aca="false">IF(C1002=0,B1002,"")</f>
        <v/>
      </c>
      <c r="E1002" s="0" t="str">
        <f aca="false">IF(C1002=0,A1002,"")</f>
        <v/>
      </c>
    </row>
    <row r="1003" customFormat="false" ht="12.8" hidden="false" customHeight="false" outlineLevel="0" collapsed="false">
      <c r="A1003" s="0" t="s">
        <v>1874</v>
      </c>
      <c r="B1003" s="0" t="s">
        <v>1873</v>
      </c>
      <c r="C1003" s="0" t="n">
        <v>1</v>
      </c>
      <c r="D1003" s="0" t="str">
        <f aca="false">IF(C1003=0,B1003,"")</f>
        <v/>
      </c>
      <c r="E1003" s="0" t="str">
        <f aca="false">IF(C1003=0,A1003,"")</f>
        <v/>
      </c>
    </row>
    <row r="1004" customFormat="false" ht="12.8" hidden="false" customHeight="false" outlineLevel="0" collapsed="false">
      <c r="A1004" s="0" t="s">
        <v>1875</v>
      </c>
      <c r="B1004" s="0" t="s">
        <v>2569</v>
      </c>
      <c r="C1004" s="0" t="n">
        <v>1</v>
      </c>
      <c r="D1004" s="0" t="str">
        <f aca="false">IF(C1004=0,B1004,"")</f>
        <v/>
      </c>
      <c r="E1004" s="0" t="str">
        <f aca="false">IF(C1004=0,A1004,"")</f>
        <v/>
      </c>
    </row>
    <row r="1005" customFormat="false" ht="12.8" hidden="false" customHeight="false" outlineLevel="0" collapsed="false">
      <c r="A1005" s="0" t="s">
        <v>1876</v>
      </c>
      <c r="B1005" s="0" t="s">
        <v>2570</v>
      </c>
      <c r="C1005" s="0" t="n">
        <v>1</v>
      </c>
      <c r="D1005" s="0" t="str">
        <f aca="false">IF(C1005=0,B1005,"")</f>
        <v/>
      </c>
      <c r="E1005" s="0" t="str">
        <f aca="false">IF(C1005=0,A1005,"")</f>
        <v/>
      </c>
    </row>
    <row r="1006" customFormat="false" ht="12.8" hidden="false" customHeight="false" outlineLevel="0" collapsed="false">
      <c r="A1006" s="0" t="s">
        <v>1877</v>
      </c>
      <c r="B1006" s="0" t="s">
        <v>2571</v>
      </c>
      <c r="C1006" s="0" t="n">
        <v>1</v>
      </c>
      <c r="D1006" s="0" t="str">
        <f aca="false">IF(C1006=0,B1006,"")</f>
        <v/>
      </c>
      <c r="E1006" s="0" t="str">
        <f aca="false">IF(C1006=0,A1006,"")</f>
        <v/>
      </c>
    </row>
    <row r="1007" customFormat="false" ht="12.8" hidden="false" customHeight="false" outlineLevel="0" collapsed="false">
      <c r="A1007" s="0" t="s">
        <v>1878</v>
      </c>
      <c r="B1007" s="0" t="s">
        <v>3393</v>
      </c>
      <c r="C1007" s="0" t="n">
        <v>0</v>
      </c>
      <c r="D1007" s="0" t="str">
        <f aca="false">IF(C1007=0,B1007,"")</f>
        <v>쥥</v>
      </c>
      <c r="E1007" s="0" t="str">
        <f aca="false">IF(C1007=0,A1007,"")</f>
        <v>뷩</v>
      </c>
    </row>
    <row r="1008" customFormat="false" ht="12.8" hidden="false" customHeight="false" outlineLevel="0" collapsed="false">
      <c r="A1008" s="0" t="s">
        <v>1879</v>
      </c>
      <c r="B1008" s="0" t="s">
        <v>1789</v>
      </c>
      <c r="C1008" s="0" t="n">
        <v>1</v>
      </c>
      <c r="D1008" s="0" t="str">
        <f aca="false">IF(C1008=0,B1008,"")</f>
        <v/>
      </c>
      <c r="E1008" s="0" t="str">
        <f aca="false">IF(C1008=0,A1008,"")</f>
        <v/>
      </c>
    </row>
    <row r="1009" customFormat="false" ht="12.8" hidden="false" customHeight="false" outlineLevel="0" collapsed="false">
      <c r="A1009" s="0" t="s">
        <v>1880</v>
      </c>
      <c r="B1009" s="0" t="s">
        <v>2576</v>
      </c>
      <c r="C1009" s="0" t="n">
        <v>1</v>
      </c>
      <c r="D1009" s="0" t="str">
        <f aca="false">IF(C1009=0,B1009,"")</f>
        <v/>
      </c>
      <c r="E1009" s="0" t="str">
        <f aca="false">IF(C1009=0,A1009,"")</f>
        <v/>
      </c>
    </row>
    <row r="1010" customFormat="false" ht="12.8" hidden="false" customHeight="false" outlineLevel="0" collapsed="false">
      <c r="A1010" s="0" t="s">
        <v>1881</v>
      </c>
      <c r="B1010" s="0" t="s">
        <v>2577</v>
      </c>
      <c r="C1010" s="0" t="n">
        <v>1</v>
      </c>
      <c r="D1010" s="0" t="str">
        <f aca="false">IF(C1010=0,B1010,"")</f>
        <v/>
      </c>
      <c r="E1010" s="0" t="str">
        <f aca="false">IF(C1010=0,A1010,"")</f>
        <v/>
      </c>
    </row>
    <row r="1011" customFormat="false" ht="12.8" hidden="false" customHeight="false" outlineLevel="0" collapsed="false">
      <c r="A1011" s="0" t="s">
        <v>1882</v>
      </c>
      <c r="B1011" s="0" t="s">
        <v>2578</v>
      </c>
      <c r="C1011" s="0" t="n">
        <v>1</v>
      </c>
      <c r="D1011" s="0" t="str">
        <f aca="false">IF(C1011=0,B1011,"")</f>
        <v/>
      </c>
      <c r="E1011" s="0" t="str">
        <f aca="false">IF(C1011=0,A1011,"")</f>
        <v/>
      </c>
    </row>
    <row r="1012" customFormat="false" ht="12.8" hidden="false" customHeight="false" outlineLevel="0" collapsed="false">
      <c r="A1012" s="0" t="s">
        <v>1883</v>
      </c>
      <c r="B1012" s="0" t="s">
        <v>3394</v>
      </c>
      <c r="C1012" s="0" t="n">
        <v>0</v>
      </c>
      <c r="D1012" s="0" t="str">
        <f aca="false">IF(C1012=0,B1012,"")</f>
        <v>쥿</v>
      </c>
      <c r="E1012" s="0" t="str">
        <f aca="false">IF(C1012=0,A1012,"")</f>
        <v>븃</v>
      </c>
    </row>
    <row r="1013" customFormat="false" ht="12.8" hidden="false" customHeight="false" outlineLevel="0" collapsed="false">
      <c r="A1013" s="0" t="s">
        <v>1884</v>
      </c>
      <c r="B1013" s="0" t="s">
        <v>3395</v>
      </c>
      <c r="C1013" s="0" t="n">
        <v>0</v>
      </c>
      <c r="D1013" s="0" t="str">
        <f aca="false">IF(C1013=0,B1013,"")</f>
        <v>즁</v>
      </c>
      <c r="E1013" s="0" t="str">
        <f aca="false">IF(C1013=0,A1013,"")</f>
        <v>븅</v>
      </c>
    </row>
    <row r="1014" customFormat="false" ht="12.8" hidden="false" customHeight="false" outlineLevel="0" collapsed="false">
      <c r="A1014" s="0" t="s">
        <v>1885</v>
      </c>
      <c r="B1014" s="0" t="s">
        <v>1799</v>
      </c>
      <c r="C1014" s="0" t="n">
        <v>1</v>
      </c>
      <c r="D1014" s="0" t="str">
        <f aca="false">IF(C1014=0,B1014,"")</f>
        <v/>
      </c>
      <c r="E1014" s="0" t="str">
        <f aca="false">IF(C1014=0,A1014,"")</f>
        <v/>
      </c>
    </row>
    <row r="1015" customFormat="false" ht="12.8" hidden="false" customHeight="false" outlineLevel="0" collapsed="false">
      <c r="A1015" s="0" t="s">
        <v>1886</v>
      </c>
      <c r="B1015" s="0" t="s">
        <v>2580</v>
      </c>
      <c r="C1015" s="0" t="n">
        <v>1</v>
      </c>
      <c r="D1015" s="0" t="str">
        <f aca="false">IF(C1015=0,B1015,"")</f>
        <v/>
      </c>
      <c r="E1015" s="0" t="str">
        <f aca="false">IF(C1015=0,A1015,"")</f>
        <v/>
      </c>
    </row>
    <row r="1016" customFormat="false" ht="12.8" hidden="false" customHeight="false" outlineLevel="0" collapsed="false">
      <c r="A1016" s="0" t="s">
        <v>1887</v>
      </c>
      <c r="B1016" s="0" t="s">
        <v>2581</v>
      </c>
      <c r="C1016" s="0" t="n">
        <v>1</v>
      </c>
      <c r="D1016" s="0" t="str">
        <f aca="false">IF(C1016=0,B1016,"")</f>
        <v/>
      </c>
      <c r="E1016" s="0" t="str">
        <f aca="false">IF(C1016=0,A1016,"")</f>
        <v/>
      </c>
    </row>
    <row r="1017" customFormat="false" ht="12.8" hidden="false" customHeight="false" outlineLevel="0" collapsed="false">
      <c r="A1017" s="0" t="s">
        <v>1888</v>
      </c>
      <c r="B1017" s="0" t="s">
        <v>2582</v>
      </c>
      <c r="C1017" s="0" t="n">
        <v>1</v>
      </c>
      <c r="D1017" s="0" t="str">
        <f aca="false">IF(C1017=0,B1017,"")</f>
        <v/>
      </c>
      <c r="E1017" s="0" t="str">
        <f aca="false">IF(C1017=0,A1017,"")</f>
        <v/>
      </c>
    </row>
    <row r="1018" customFormat="false" ht="12.8" hidden="false" customHeight="false" outlineLevel="0" collapsed="false">
      <c r="A1018" s="0" t="s">
        <v>1889</v>
      </c>
      <c r="B1018" s="0" t="s">
        <v>2583</v>
      </c>
      <c r="C1018" s="0" t="n">
        <v>1</v>
      </c>
      <c r="D1018" s="0" t="str">
        <f aca="false">IF(C1018=0,B1018,"")</f>
        <v/>
      </c>
      <c r="E1018" s="0" t="str">
        <f aca="false">IF(C1018=0,A1018,"")</f>
        <v/>
      </c>
    </row>
    <row r="1019" customFormat="false" ht="12.8" hidden="false" customHeight="false" outlineLevel="0" collapsed="false">
      <c r="A1019" s="0" t="s">
        <v>1890</v>
      </c>
      <c r="B1019" s="0" t="s">
        <v>2584</v>
      </c>
      <c r="C1019" s="0" t="n">
        <v>1</v>
      </c>
      <c r="D1019" s="0" t="str">
        <f aca="false">IF(C1019=0,B1019,"")</f>
        <v/>
      </c>
      <c r="E1019" s="0" t="str">
        <f aca="false">IF(C1019=0,A1019,"")</f>
        <v/>
      </c>
    </row>
    <row r="1020" customFormat="false" ht="12.8" hidden="false" customHeight="false" outlineLevel="0" collapsed="false">
      <c r="A1020" s="0" t="s">
        <v>1891</v>
      </c>
      <c r="B1020" s="0" t="s">
        <v>2585</v>
      </c>
      <c r="C1020" s="0" t="n">
        <v>1</v>
      </c>
      <c r="D1020" s="0" t="str">
        <f aca="false">IF(C1020=0,B1020,"")</f>
        <v/>
      </c>
      <c r="E1020" s="0" t="str">
        <f aca="false">IF(C1020=0,A1020,"")</f>
        <v/>
      </c>
    </row>
    <row r="1021" customFormat="false" ht="12.8" hidden="false" customHeight="false" outlineLevel="0" collapsed="false">
      <c r="A1021" s="0" t="s">
        <v>1892</v>
      </c>
      <c r="B1021" s="0" t="s">
        <v>1885</v>
      </c>
      <c r="C1021" s="0" t="n">
        <v>1</v>
      </c>
      <c r="D1021" s="0" t="str">
        <f aca="false">IF(C1021=0,B1021,"")</f>
        <v/>
      </c>
      <c r="E1021" s="0" t="str">
        <f aca="false">IF(C1021=0,A1021,"")</f>
        <v/>
      </c>
    </row>
    <row r="1022" customFormat="false" ht="12.8" hidden="false" customHeight="false" outlineLevel="0" collapsed="false">
      <c r="A1022" s="0" t="s">
        <v>796</v>
      </c>
      <c r="B1022" s="0" t="s">
        <v>2588</v>
      </c>
      <c r="C1022" s="0" t="n">
        <v>1</v>
      </c>
      <c r="D1022" s="0" t="str">
        <f aca="false">IF(C1022=0,B1022,"")</f>
        <v/>
      </c>
      <c r="E1022" s="0" t="str">
        <f aca="false">IF(C1022=0,A1022,"")</f>
        <v/>
      </c>
    </row>
    <row r="1023" customFormat="false" ht="12.8" hidden="false" customHeight="false" outlineLevel="0" collapsed="false">
      <c r="A1023" s="0" t="s">
        <v>1893</v>
      </c>
      <c r="B1023" s="0" t="s">
        <v>2589</v>
      </c>
      <c r="C1023" s="0" t="n">
        <v>1</v>
      </c>
      <c r="D1023" s="0" t="str">
        <f aca="false">IF(C1023=0,B1023,"")</f>
        <v/>
      </c>
      <c r="E1023" s="0" t="str">
        <f aca="false">IF(C1023=0,A1023,"")</f>
        <v/>
      </c>
    </row>
    <row r="1024" customFormat="false" ht="12.8" hidden="false" customHeight="false" outlineLevel="0" collapsed="false">
      <c r="A1024" s="0" t="s">
        <v>794</v>
      </c>
      <c r="B1024" s="0" t="s">
        <v>2591</v>
      </c>
      <c r="C1024" s="0" t="n">
        <v>1</v>
      </c>
      <c r="D1024" s="0" t="str">
        <f aca="false">IF(C1024=0,B1024,"")</f>
        <v/>
      </c>
      <c r="E1024" s="0" t="str">
        <f aca="false">IF(C1024=0,A1024,"")</f>
        <v/>
      </c>
    </row>
    <row r="1025" customFormat="false" ht="12.8" hidden="false" customHeight="false" outlineLevel="0" collapsed="false">
      <c r="A1025" s="0" t="s">
        <v>1894</v>
      </c>
      <c r="B1025" s="0" t="s">
        <v>2591</v>
      </c>
      <c r="C1025" s="0" t="n">
        <v>1</v>
      </c>
      <c r="D1025" s="0" t="str">
        <f aca="false">IF(C1025=0,B1025,"")</f>
        <v/>
      </c>
      <c r="E1025" s="0" t="str">
        <f aca="false">IF(C1025=0,A1025,"")</f>
        <v/>
      </c>
    </row>
    <row r="1026" customFormat="false" ht="12.8" hidden="false" customHeight="false" outlineLevel="0" collapsed="false">
      <c r="A1026" s="0" t="s">
        <v>1895</v>
      </c>
      <c r="B1026" s="0" t="s">
        <v>2593</v>
      </c>
      <c r="C1026" s="0" t="n">
        <v>1</v>
      </c>
      <c r="D1026" s="0" t="str">
        <f aca="false">IF(C1026=0,B1026,"")</f>
        <v/>
      </c>
      <c r="E1026" s="0" t="str">
        <f aca="false">IF(C1026=0,A1026,"")</f>
        <v/>
      </c>
    </row>
    <row r="1027" customFormat="false" ht="12.8" hidden="false" customHeight="false" outlineLevel="0" collapsed="false">
      <c r="A1027" s="0" t="s">
        <v>1896</v>
      </c>
      <c r="B1027" s="0" t="s">
        <v>2594</v>
      </c>
      <c r="C1027" s="0" t="n">
        <v>1</v>
      </c>
      <c r="D1027" s="0" t="str">
        <f aca="false">IF(C1027=0,B1027,"")</f>
        <v/>
      </c>
      <c r="E1027" s="0" t="str">
        <f aca="false">IF(C1027=0,A1027,"")</f>
        <v/>
      </c>
    </row>
    <row r="1028" customFormat="false" ht="12.8" hidden="false" customHeight="false" outlineLevel="0" collapsed="false">
      <c r="A1028" s="0" t="s">
        <v>1897</v>
      </c>
      <c r="B1028" s="0" t="s">
        <v>2595</v>
      </c>
      <c r="C1028" s="0" t="n">
        <v>1</v>
      </c>
      <c r="D1028" s="0" t="str">
        <f aca="false">IF(C1028=0,B1028,"")</f>
        <v/>
      </c>
      <c r="E1028" s="0" t="str">
        <f aca="false">IF(C1028=0,A1028,"")</f>
        <v/>
      </c>
    </row>
    <row r="1029" customFormat="false" ht="12.8" hidden="false" customHeight="false" outlineLevel="0" collapsed="false">
      <c r="A1029" s="0" t="s">
        <v>1898</v>
      </c>
      <c r="B1029" s="0" t="s">
        <v>2596</v>
      </c>
      <c r="C1029" s="0" t="n">
        <v>1</v>
      </c>
      <c r="D1029" s="0" t="str">
        <f aca="false">IF(C1029=0,B1029,"")</f>
        <v/>
      </c>
      <c r="E1029" s="0" t="str">
        <f aca="false">IF(C1029=0,A1029,"")</f>
        <v/>
      </c>
    </row>
    <row r="1030" customFormat="false" ht="12.8" hidden="false" customHeight="false" outlineLevel="0" collapsed="false">
      <c r="A1030" s="0" t="s">
        <v>1899</v>
      </c>
      <c r="B1030" s="0" t="s">
        <v>2595</v>
      </c>
      <c r="C1030" s="0" t="n">
        <v>1</v>
      </c>
      <c r="D1030" s="0" t="str">
        <f aca="false">IF(C1030=0,B1030,"")</f>
        <v/>
      </c>
      <c r="E1030" s="0" t="str">
        <f aca="false">IF(C1030=0,A1030,"")</f>
        <v/>
      </c>
    </row>
    <row r="1031" customFormat="false" ht="12.8" hidden="false" customHeight="false" outlineLevel="0" collapsed="false">
      <c r="A1031" s="0" t="s">
        <v>1900</v>
      </c>
      <c r="B1031" s="0" t="s">
        <v>2595</v>
      </c>
      <c r="C1031" s="0" t="n">
        <v>1</v>
      </c>
      <c r="D1031" s="0" t="str">
        <f aca="false">IF(C1031=0,B1031,"")</f>
        <v/>
      </c>
      <c r="E1031" s="0" t="str">
        <f aca="false">IF(C1031=0,A1031,"")</f>
        <v/>
      </c>
    </row>
    <row r="1032" customFormat="false" ht="12.8" hidden="false" customHeight="false" outlineLevel="0" collapsed="false">
      <c r="A1032" s="0" t="s">
        <v>1901</v>
      </c>
      <c r="B1032" s="0" t="s">
        <v>1942</v>
      </c>
      <c r="C1032" s="0" t="n">
        <v>1</v>
      </c>
      <c r="D1032" s="0" t="str">
        <f aca="false">IF(C1032=0,B1032,"")</f>
        <v/>
      </c>
      <c r="E1032" s="0" t="str">
        <f aca="false">IF(C1032=0,A1032,"")</f>
        <v/>
      </c>
    </row>
    <row r="1033" customFormat="false" ht="12.8" hidden="false" customHeight="false" outlineLevel="0" collapsed="false">
      <c r="A1033" s="0" t="s">
        <v>1902</v>
      </c>
      <c r="B1033" s="0" t="s">
        <v>2601</v>
      </c>
      <c r="C1033" s="0" t="n">
        <v>1</v>
      </c>
      <c r="D1033" s="0" t="str">
        <f aca="false">IF(C1033=0,B1033,"")</f>
        <v/>
      </c>
      <c r="E1033" s="0" t="str">
        <f aca="false">IF(C1033=0,A1033,"")</f>
        <v/>
      </c>
    </row>
    <row r="1034" customFormat="false" ht="12.8" hidden="false" customHeight="false" outlineLevel="0" collapsed="false">
      <c r="A1034" s="0" t="s">
        <v>1903</v>
      </c>
      <c r="B1034" s="0" t="s">
        <v>2602</v>
      </c>
      <c r="C1034" s="0" t="n">
        <v>1</v>
      </c>
      <c r="D1034" s="0" t="str">
        <f aca="false">IF(C1034=0,B1034,"")</f>
        <v/>
      </c>
      <c r="E1034" s="0" t="str">
        <f aca="false">IF(C1034=0,A1034,"")</f>
        <v/>
      </c>
    </row>
    <row r="1035" customFormat="false" ht="12.8" hidden="false" customHeight="false" outlineLevel="0" collapsed="false">
      <c r="A1035" s="0" t="s">
        <v>1904</v>
      </c>
      <c r="B1035" s="0" t="s">
        <v>2604</v>
      </c>
      <c r="C1035" s="0" t="n">
        <v>1</v>
      </c>
      <c r="D1035" s="0" t="str">
        <f aca="false">IF(C1035=0,B1035,"")</f>
        <v/>
      </c>
      <c r="E1035" s="0" t="str">
        <f aca="false">IF(C1035=0,A1035,"")</f>
        <v/>
      </c>
    </row>
    <row r="1036" customFormat="false" ht="12.8" hidden="false" customHeight="false" outlineLevel="0" collapsed="false">
      <c r="A1036" s="0" t="s">
        <v>1905</v>
      </c>
      <c r="B1036" s="0" t="s">
        <v>2604</v>
      </c>
      <c r="C1036" s="0" t="n">
        <v>1</v>
      </c>
      <c r="D1036" s="0" t="str">
        <f aca="false">IF(C1036=0,B1036,"")</f>
        <v/>
      </c>
      <c r="E1036" s="0" t="str">
        <f aca="false">IF(C1036=0,A1036,"")</f>
        <v/>
      </c>
    </row>
    <row r="1037" customFormat="false" ht="12.8" hidden="false" customHeight="false" outlineLevel="0" collapsed="false">
      <c r="A1037" s="0" t="s">
        <v>1906</v>
      </c>
      <c r="B1037" s="0" t="s">
        <v>2606</v>
      </c>
      <c r="C1037" s="0" t="n">
        <v>1</v>
      </c>
      <c r="D1037" s="0" t="str">
        <f aca="false">IF(C1037=0,B1037,"")</f>
        <v/>
      </c>
      <c r="E1037" s="0" t="str">
        <f aca="false">IF(C1037=0,A1037,"")</f>
        <v/>
      </c>
    </row>
    <row r="1038" customFormat="false" ht="12.8" hidden="false" customHeight="false" outlineLevel="0" collapsed="false">
      <c r="A1038" s="0" t="s">
        <v>1907</v>
      </c>
      <c r="B1038" s="0" t="s">
        <v>2607</v>
      </c>
      <c r="C1038" s="0" t="n">
        <v>1</v>
      </c>
      <c r="D1038" s="0" t="str">
        <f aca="false">IF(C1038=0,B1038,"")</f>
        <v/>
      </c>
      <c r="E1038" s="0" t="str">
        <f aca="false">IF(C1038=0,A1038,"")</f>
        <v/>
      </c>
    </row>
    <row r="1039" customFormat="false" ht="12.8" hidden="false" customHeight="false" outlineLevel="0" collapsed="false">
      <c r="A1039" s="0" t="s">
        <v>1908</v>
      </c>
      <c r="B1039" s="0" t="s">
        <v>2608</v>
      </c>
      <c r="C1039" s="0" t="n">
        <v>1</v>
      </c>
      <c r="D1039" s="0" t="str">
        <f aca="false">IF(C1039=0,B1039,"")</f>
        <v/>
      </c>
      <c r="E1039" s="0" t="str">
        <f aca="false">IF(C1039=0,A1039,"")</f>
        <v/>
      </c>
    </row>
    <row r="1040" customFormat="false" ht="12.8" hidden="false" customHeight="false" outlineLevel="0" collapsed="false">
      <c r="A1040" s="0" t="s">
        <v>1909</v>
      </c>
      <c r="B1040" s="0" t="s">
        <v>2608</v>
      </c>
      <c r="C1040" s="0" t="n">
        <v>1</v>
      </c>
      <c r="D1040" s="0" t="str">
        <f aca="false">IF(C1040=0,B1040,"")</f>
        <v/>
      </c>
      <c r="E1040" s="0" t="str">
        <f aca="false">IF(C1040=0,A1040,"")</f>
        <v/>
      </c>
    </row>
    <row r="1041" customFormat="false" ht="12.8" hidden="false" customHeight="false" outlineLevel="0" collapsed="false">
      <c r="A1041" s="0" t="s">
        <v>1910</v>
      </c>
      <c r="B1041" s="0" t="s">
        <v>2610</v>
      </c>
      <c r="C1041" s="0" t="n">
        <v>1</v>
      </c>
      <c r="D1041" s="0" t="str">
        <f aca="false">IF(C1041=0,B1041,"")</f>
        <v/>
      </c>
      <c r="E1041" s="0" t="str">
        <f aca="false">IF(C1041=0,A1041,"")</f>
        <v/>
      </c>
    </row>
    <row r="1042" customFormat="false" ht="12.8" hidden="false" customHeight="false" outlineLevel="0" collapsed="false">
      <c r="A1042" s="0" t="s">
        <v>1911</v>
      </c>
      <c r="B1042" s="0" t="s">
        <v>2608</v>
      </c>
      <c r="C1042" s="0" t="n">
        <v>1</v>
      </c>
      <c r="D1042" s="0" t="str">
        <f aca="false">IF(C1042=0,B1042,"")</f>
        <v/>
      </c>
      <c r="E1042" s="0" t="str">
        <f aca="false">IF(C1042=0,A1042,"")</f>
        <v/>
      </c>
    </row>
    <row r="1043" customFormat="false" ht="12.8" hidden="false" customHeight="false" outlineLevel="0" collapsed="false">
      <c r="A1043" s="0" t="s">
        <v>1912</v>
      </c>
      <c r="B1043" s="0" t="s">
        <v>3396</v>
      </c>
      <c r="C1043" s="0" t="n">
        <v>0</v>
      </c>
      <c r="D1043" s="0" t="str">
        <f aca="false">IF(C1043=0,B1043,"")</f>
        <v>쁴</v>
      </c>
      <c r="E1043" s="0" t="str">
        <f aca="false">IF(C1043=0,A1043,"")</f>
        <v>빼</v>
      </c>
    </row>
    <row r="1044" customFormat="false" ht="12.8" hidden="false" customHeight="false" outlineLevel="0" collapsed="false">
      <c r="A1044" s="0" t="s">
        <v>1913</v>
      </c>
      <c r="B1044" s="0" t="s">
        <v>2612</v>
      </c>
      <c r="C1044" s="0" t="n">
        <v>1</v>
      </c>
      <c r="D1044" s="0" t="str">
        <f aca="false">IF(C1044=0,B1044,"")</f>
        <v/>
      </c>
      <c r="E1044" s="0" t="str">
        <f aca="false">IF(C1044=0,A1044,"")</f>
        <v/>
      </c>
    </row>
    <row r="1045" customFormat="false" ht="12.8" hidden="false" customHeight="false" outlineLevel="0" collapsed="false">
      <c r="A1045" s="0" t="s">
        <v>1914</v>
      </c>
      <c r="B1045" s="0" t="s">
        <v>2613</v>
      </c>
      <c r="C1045" s="0" t="n">
        <v>1</v>
      </c>
      <c r="D1045" s="0" t="str">
        <f aca="false">IF(C1045=0,B1045,"")</f>
        <v/>
      </c>
      <c r="E1045" s="0" t="str">
        <f aca="false">IF(C1045=0,A1045,"")</f>
        <v/>
      </c>
    </row>
    <row r="1046" customFormat="false" ht="12.8" hidden="false" customHeight="false" outlineLevel="0" collapsed="false">
      <c r="A1046" s="0" t="s">
        <v>1915</v>
      </c>
      <c r="B1046" s="0" t="s">
        <v>2614</v>
      </c>
      <c r="C1046" s="0" t="n">
        <v>1</v>
      </c>
      <c r="D1046" s="0" t="str">
        <f aca="false">IF(C1046=0,B1046,"")</f>
        <v/>
      </c>
      <c r="E1046" s="0" t="str">
        <f aca="false">IF(C1046=0,A1046,"")</f>
        <v/>
      </c>
    </row>
    <row r="1047" customFormat="false" ht="12.8" hidden="false" customHeight="false" outlineLevel="0" collapsed="false">
      <c r="A1047" s="0" t="s">
        <v>1916</v>
      </c>
      <c r="B1047" s="0" t="s">
        <v>2615</v>
      </c>
      <c r="C1047" s="0" t="n">
        <v>1</v>
      </c>
      <c r="D1047" s="0" t="str">
        <f aca="false">IF(C1047=0,B1047,"")</f>
        <v/>
      </c>
      <c r="E1047" s="0" t="str">
        <f aca="false">IF(C1047=0,A1047,"")</f>
        <v/>
      </c>
    </row>
    <row r="1048" customFormat="false" ht="12.8" hidden="false" customHeight="false" outlineLevel="0" collapsed="false">
      <c r="A1048" s="0" t="s">
        <v>1917</v>
      </c>
      <c r="B1048" s="0" t="s">
        <v>2616</v>
      </c>
      <c r="C1048" s="0" t="n">
        <v>1</v>
      </c>
      <c r="D1048" s="0" t="str">
        <f aca="false">IF(C1048=0,B1048,"")</f>
        <v/>
      </c>
      <c r="E1048" s="0" t="str">
        <f aca="false">IF(C1048=0,A1048,"")</f>
        <v/>
      </c>
    </row>
    <row r="1049" customFormat="false" ht="12.8" hidden="false" customHeight="false" outlineLevel="0" collapsed="false">
      <c r="A1049" s="0" t="s">
        <v>1918</v>
      </c>
      <c r="B1049" s="0" t="s">
        <v>2617</v>
      </c>
      <c r="C1049" s="0" t="n">
        <v>1</v>
      </c>
      <c r="D1049" s="0" t="str">
        <f aca="false">IF(C1049=0,B1049,"")</f>
        <v/>
      </c>
      <c r="E1049" s="0" t="str">
        <f aca="false">IF(C1049=0,A1049,"")</f>
        <v/>
      </c>
    </row>
    <row r="1050" customFormat="false" ht="12.8" hidden="false" customHeight="false" outlineLevel="0" collapsed="false">
      <c r="A1050" s="0" t="s">
        <v>1919</v>
      </c>
      <c r="B1050" s="0" t="s">
        <v>2617</v>
      </c>
      <c r="C1050" s="0" t="n">
        <v>1</v>
      </c>
      <c r="D1050" s="0" t="str">
        <f aca="false">IF(C1050=0,B1050,"")</f>
        <v/>
      </c>
      <c r="E1050" s="0" t="str">
        <f aca="false">IF(C1050=0,A1050,"")</f>
        <v/>
      </c>
    </row>
    <row r="1051" customFormat="false" ht="12.8" hidden="false" customHeight="false" outlineLevel="0" collapsed="false">
      <c r="A1051" s="0" t="s">
        <v>1920</v>
      </c>
      <c r="B1051" s="0" t="s">
        <v>2619</v>
      </c>
      <c r="C1051" s="0" t="n">
        <v>1</v>
      </c>
      <c r="D1051" s="0" t="str">
        <f aca="false">IF(C1051=0,B1051,"")</f>
        <v/>
      </c>
      <c r="E1051" s="0" t="str">
        <f aca="false">IF(C1051=0,A1051,"")</f>
        <v/>
      </c>
    </row>
    <row r="1052" customFormat="false" ht="12.8" hidden="false" customHeight="false" outlineLevel="0" collapsed="false">
      <c r="A1052" s="0" t="s">
        <v>1921</v>
      </c>
      <c r="B1052" s="0" t="s">
        <v>1950</v>
      </c>
      <c r="C1052" s="0" t="n">
        <v>1</v>
      </c>
      <c r="D1052" s="0" t="str">
        <f aca="false">IF(C1052=0,B1052,"")</f>
        <v/>
      </c>
      <c r="E1052" s="0" t="str">
        <f aca="false">IF(C1052=0,A1052,"")</f>
        <v/>
      </c>
    </row>
    <row r="1053" customFormat="false" ht="12.8" hidden="false" customHeight="false" outlineLevel="0" collapsed="false">
      <c r="A1053" s="0" t="s">
        <v>1922</v>
      </c>
      <c r="B1053" s="0" t="s">
        <v>3397</v>
      </c>
      <c r="C1053" s="0" t="n">
        <v>0</v>
      </c>
      <c r="D1053" s="0" t="str">
        <f aca="false">IF(C1053=0,B1053,"")</f>
        <v>쨕</v>
      </c>
      <c r="E1053" s="0" t="str">
        <f aca="false">IF(C1053=0,A1053,"")</f>
        <v>뺙</v>
      </c>
    </row>
    <row r="1054" customFormat="false" ht="12.8" hidden="false" customHeight="false" outlineLevel="0" collapsed="false">
      <c r="A1054" s="0" t="s">
        <v>1923</v>
      </c>
      <c r="B1054" s="0" t="s">
        <v>3398</v>
      </c>
      <c r="C1054" s="0" t="n">
        <v>0</v>
      </c>
      <c r="D1054" s="0" t="str">
        <f aca="false">IF(C1054=0,B1054,"")</f>
        <v>쨤</v>
      </c>
      <c r="E1054" s="0" t="str">
        <f aca="false">IF(C1054=0,A1054,"")</f>
        <v>뺨</v>
      </c>
    </row>
    <row r="1055" customFormat="false" ht="12.8" hidden="false" customHeight="false" outlineLevel="0" collapsed="false">
      <c r="A1055" s="0" t="s">
        <v>1924</v>
      </c>
      <c r="B1055" s="0" t="s">
        <v>1952</v>
      </c>
      <c r="C1055" s="0" t="n">
        <v>1</v>
      </c>
      <c r="D1055" s="0" t="str">
        <f aca="false">IF(C1055=0,B1055,"")</f>
        <v/>
      </c>
      <c r="E1055" s="0" t="str">
        <f aca="false">IF(C1055=0,A1055,"")</f>
        <v/>
      </c>
    </row>
    <row r="1056" customFormat="false" ht="12.8" hidden="false" customHeight="false" outlineLevel="0" collapsed="false">
      <c r="A1056" s="0" t="s">
        <v>1925</v>
      </c>
      <c r="B1056" s="0" t="s">
        <v>2624</v>
      </c>
      <c r="C1056" s="0" t="n">
        <v>1</v>
      </c>
      <c r="D1056" s="0" t="str">
        <f aca="false">IF(C1056=0,B1056,"")</f>
        <v/>
      </c>
      <c r="E1056" s="0" t="str">
        <f aca="false">IF(C1056=0,A1056,"")</f>
        <v/>
      </c>
    </row>
    <row r="1057" customFormat="false" ht="12.8" hidden="false" customHeight="false" outlineLevel="0" collapsed="false">
      <c r="A1057" s="0" t="s">
        <v>1926</v>
      </c>
      <c r="B1057" s="0" t="s">
        <v>2625</v>
      </c>
      <c r="C1057" s="0" t="n">
        <v>1</v>
      </c>
      <c r="D1057" s="0" t="str">
        <f aca="false">IF(C1057=0,B1057,"")</f>
        <v/>
      </c>
      <c r="E1057" s="0" t="str">
        <f aca="false">IF(C1057=0,A1057,"")</f>
        <v/>
      </c>
    </row>
    <row r="1058" customFormat="false" ht="12.8" hidden="false" customHeight="false" outlineLevel="0" collapsed="false">
      <c r="A1058" s="0" t="s">
        <v>1927</v>
      </c>
      <c r="B1058" s="0" t="s">
        <v>2629</v>
      </c>
      <c r="C1058" s="0" t="n">
        <v>1</v>
      </c>
      <c r="D1058" s="0" t="str">
        <f aca="false">IF(C1058=0,B1058,"")</f>
        <v/>
      </c>
      <c r="E1058" s="0" t="str">
        <f aca="false">IF(C1058=0,A1058,"")</f>
        <v/>
      </c>
    </row>
    <row r="1059" customFormat="false" ht="12.8" hidden="false" customHeight="false" outlineLevel="0" collapsed="false">
      <c r="A1059" s="0" t="s">
        <v>1928</v>
      </c>
      <c r="B1059" s="0" t="s">
        <v>2626</v>
      </c>
      <c r="C1059" s="0" t="n">
        <v>1</v>
      </c>
      <c r="D1059" s="0" t="str">
        <f aca="false">IF(C1059=0,B1059,"")</f>
        <v/>
      </c>
      <c r="E1059" s="0" t="str">
        <f aca="false">IF(C1059=0,A1059,"")</f>
        <v/>
      </c>
    </row>
    <row r="1060" customFormat="false" ht="12.8" hidden="false" customHeight="false" outlineLevel="0" collapsed="false">
      <c r="A1060" s="0" t="s">
        <v>1929</v>
      </c>
      <c r="B1060" s="0" t="s">
        <v>2627</v>
      </c>
      <c r="C1060" s="0" t="n">
        <v>1</v>
      </c>
      <c r="D1060" s="0" t="str">
        <f aca="false">IF(C1060=0,B1060,"")</f>
        <v/>
      </c>
      <c r="E1060" s="0" t="str">
        <f aca="false">IF(C1060=0,A1060,"")</f>
        <v/>
      </c>
    </row>
    <row r="1061" customFormat="false" ht="12.8" hidden="false" customHeight="false" outlineLevel="0" collapsed="false">
      <c r="A1061" s="0" t="s">
        <v>1930</v>
      </c>
      <c r="B1061" s="0" t="s">
        <v>2629</v>
      </c>
      <c r="C1061" s="0" t="n">
        <v>1</v>
      </c>
      <c r="D1061" s="0" t="str">
        <f aca="false">IF(C1061=0,B1061,"")</f>
        <v/>
      </c>
      <c r="E1061" s="0" t="str">
        <f aca="false">IF(C1061=0,A1061,"")</f>
        <v/>
      </c>
    </row>
    <row r="1062" customFormat="false" ht="12.8" hidden="false" customHeight="false" outlineLevel="0" collapsed="false">
      <c r="A1062" s="0" t="s">
        <v>1931</v>
      </c>
      <c r="B1062" s="0" t="s">
        <v>2629</v>
      </c>
      <c r="C1062" s="0" t="n">
        <v>1</v>
      </c>
      <c r="D1062" s="0" t="str">
        <f aca="false">IF(C1062=0,B1062,"")</f>
        <v/>
      </c>
      <c r="E1062" s="0" t="str">
        <f aca="false">IF(C1062=0,A1062,"")</f>
        <v/>
      </c>
    </row>
    <row r="1063" customFormat="false" ht="12.8" hidden="false" customHeight="false" outlineLevel="0" collapsed="false">
      <c r="A1063" s="0" t="s">
        <v>1932</v>
      </c>
      <c r="B1063" s="0" t="s">
        <v>2631</v>
      </c>
      <c r="C1063" s="0" t="n">
        <v>1</v>
      </c>
      <c r="D1063" s="0" t="str">
        <f aca="false">IF(C1063=0,B1063,"")</f>
        <v/>
      </c>
      <c r="E1063" s="0" t="str">
        <f aca="false">IF(C1063=0,A1063,"")</f>
        <v/>
      </c>
    </row>
    <row r="1064" customFormat="false" ht="12.8" hidden="false" customHeight="false" outlineLevel="0" collapsed="false">
      <c r="A1064" s="0" t="s">
        <v>1933</v>
      </c>
      <c r="B1064" s="0" t="s">
        <v>1901</v>
      </c>
      <c r="C1064" s="0" t="n">
        <v>1</v>
      </c>
      <c r="D1064" s="0" t="str">
        <f aca="false">IF(C1064=0,B1064,"")</f>
        <v/>
      </c>
      <c r="E1064" s="0" t="str">
        <f aca="false">IF(C1064=0,A1064,"")</f>
        <v/>
      </c>
    </row>
    <row r="1065" customFormat="false" ht="12.8" hidden="false" customHeight="false" outlineLevel="0" collapsed="false">
      <c r="A1065" s="0" t="s">
        <v>1934</v>
      </c>
      <c r="B1065" s="0" t="s">
        <v>2633</v>
      </c>
      <c r="C1065" s="0" t="n">
        <v>1</v>
      </c>
      <c r="D1065" s="0" t="str">
        <f aca="false">IF(C1065=0,B1065,"")</f>
        <v/>
      </c>
      <c r="E1065" s="0" t="str">
        <f aca="false">IF(C1065=0,A1065,"")</f>
        <v/>
      </c>
    </row>
    <row r="1066" customFormat="false" ht="12.8" hidden="false" customHeight="false" outlineLevel="0" collapsed="false">
      <c r="A1066" s="0" t="s">
        <v>1935</v>
      </c>
      <c r="B1066" s="0" t="s">
        <v>1959</v>
      </c>
      <c r="C1066" s="0" t="n">
        <v>1</v>
      </c>
      <c r="D1066" s="0" t="str">
        <f aca="false">IF(C1066=0,B1066,"")</f>
        <v/>
      </c>
      <c r="E1066" s="0" t="str">
        <f aca="false">IF(C1066=0,A1066,"")</f>
        <v/>
      </c>
    </row>
    <row r="1067" customFormat="false" ht="12.8" hidden="false" customHeight="false" outlineLevel="0" collapsed="false">
      <c r="A1067" s="0" t="s">
        <v>1936</v>
      </c>
      <c r="B1067" s="0" t="s">
        <v>3399</v>
      </c>
      <c r="C1067" s="0" t="n">
        <v>0</v>
      </c>
      <c r="D1067" s="0" t="str">
        <f aca="false">IF(C1067=0,B1067,"")</f>
        <v>쪅</v>
      </c>
      <c r="E1067" s="0" t="str">
        <f aca="false">IF(C1067=0,A1067,"")</f>
        <v>뼉</v>
      </c>
    </row>
    <row r="1068" customFormat="false" ht="12.8" hidden="false" customHeight="false" outlineLevel="0" collapsed="false">
      <c r="A1068" s="0" t="s">
        <v>1937</v>
      </c>
      <c r="B1068" s="0" t="s">
        <v>3400</v>
      </c>
      <c r="C1068" s="0" t="n">
        <v>0</v>
      </c>
      <c r="D1068" s="0" t="str">
        <f aca="false">IF(C1068=0,B1068,"")</f>
        <v>쪔</v>
      </c>
      <c r="E1068" s="0" t="str">
        <f aca="false">IF(C1068=0,A1068,"")</f>
        <v>뼘</v>
      </c>
    </row>
    <row r="1069" customFormat="false" ht="12.8" hidden="false" customHeight="false" outlineLevel="0" collapsed="false">
      <c r="A1069" s="0" t="s">
        <v>1938</v>
      </c>
      <c r="B1069" s="0" t="s">
        <v>3401</v>
      </c>
      <c r="C1069" s="0" t="n">
        <v>0</v>
      </c>
      <c r="D1069" s="0" t="str">
        <f aca="false">IF(C1069=0,B1069,"")</f>
        <v>쪕</v>
      </c>
      <c r="E1069" s="0" t="str">
        <f aca="false">IF(C1069=0,A1069,"")</f>
        <v>뼙</v>
      </c>
    </row>
    <row r="1070" customFormat="false" ht="12.8" hidden="false" customHeight="false" outlineLevel="0" collapsed="false">
      <c r="A1070" s="0" t="s">
        <v>1939</v>
      </c>
      <c r="B1070" s="0" t="s">
        <v>3402</v>
      </c>
      <c r="C1070" s="0" t="n">
        <v>0</v>
      </c>
      <c r="D1070" s="0" t="str">
        <f aca="false">IF(C1070=0,B1070,"")</f>
        <v>쪗</v>
      </c>
      <c r="E1070" s="0" t="str">
        <f aca="false">IF(C1070=0,A1070,"")</f>
        <v>뼛</v>
      </c>
    </row>
    <row r="1071" customFormat="false" ht="12.8" hidden="false" customHeight="false" outlineLevel="0" collapsed="false">
      <c r="A1071" s="0" t="s">
        <v>1940</v>
      </c>
      <c r="B1071" s="0" t="s">
        <v>3402</v>
      </c>
      <c r="C1071" s="0" t="n">
        <v>0</v>
      </c>
      <c r="D1071" s="0" t="str">
        <f aca="false">IF(C1071=0,B1071,"")</f>
        <v>쪗</v>
      </c>
      <c r="E1071" s="0" t="str">
        <f aca="false">IF(C1071=0,A1071,"")</f>
        <v>뼜</v>
      </c>
    </row>
    <row r="1072" customFormat="false" ht="12.8" hidden="false" customHeight="false" outlineLevel="0" collapsed="false">
      <c r="A1072" s="0" t="s">
        <v>1941</v>
      </c>
      <c r="B1072" s="0" t="s">
        <v>3403</v>
      </c>
      <c r="C1072" s="0" t="n">
        <v>0</v>
      </c>
      <c r="D1072" s="0" t="str">
        <f aca="false">IF(C1072=0,B1072,"")</f>
        <v>쪙</v>
      </c>
      <c r="E1072" s="0" t="str">
        <f aca="false">IF(C1072=0,A1072,"")</f>
        <v>뼝</v>
      </c>
    </row>
    <row r="1073" customFormat="false" ht="12.8" hidden="false" customHeight="false" outlineLevel="0" collapsed="false">
      <c r="A1073" s="0" t="s">
        <v>1942</v>
      </c>
      <c r="B1073" s="0" t="s">
        <v>1924</v>
      </c>
      <c r="C1073" s="0" t="n">
        <v>1</v>
      </c>
      <c r="D1073" s="0" t="str">
        <f aca="false">IF(C1073=0,B1073,"")</f>
        <v/>
      </c>
      <c r="E1073" s="0" t="str">
        <f aca="false">IF(C1073=0,A1073,"")</f>
        <v/>
      </c>
    </row>
    <row r="1074" customFormat="false" ht="12.8" hidden="false" customHeight="false" outlineLevel="0" collapsed="false">
      <c r="A1074" s="0" t="s">
        <v>1943</v>
      </c>
      <c r="B1074" s="0" t="s">
        <v>2637</v>
      </c>
      <c r="C1074" s="0" t="n">
        <v>1</v>
      </c>
      <c r="D1074" s="0" t="str">
        <f aca="false">IF(C1074=0,B1074,"")</f>
        <v/>
      </c>
      <c r="E1074" s="0" t="str">
        <f aca="false">IF(C1074=0,A1074,"")</f>
        <v/>
      </c>
    </row>
    <row r="1075" customFormat="false" ht="12.8" hidden="false" customHeight="false" outlineLevel="0" collapsed="false">
      <c r="A1075" s="0" t="s">
        <v>1944</v>
      </c>
      <c r="B1075" s="0" t="s">
        <v>2638</v>
      </c>
      <c r="C1075" s="0" t="n">
        <v>1</v>
      </c>
      <c r="D1075" s="0" t="str">
        <f aca="false">IF(C1075=0,B1075,"")</f>
        <v/>
      </c>
      <c r="E1075" s="0" t="str">
        <f aca="false">IF(C1075=0,A1075,"")</f>
        <v/>
      </c>
    </row>
    <row r="1076" customFormat="false" ht="12.8" hidden="false" customHeight="false" outlineLevel="0" collapsed="false">
      <c r="A1076" s="0" t="s">
        <v>1945</v>
      </c>
      <c r="B1076" s="0" t="s">
        <v>2639</v>
      </c>
      <c r="C1076" s="0" t="n">
        <v>1</v>
      </c>
      <c r="D1076" s="0" t="str">
        <f aca="false">IF(C1076=0,B1076,"")</f>
        <v/>
      </c>
      <c r="E1076" s="0" t="str">
        <f aca="false">IF(C1076=0,A1076,"")</f>
        <v/>
      </c>
    </row>
    <row r="1077" customFormat="false" ht="12.8" hidden="false" customHeight="false" outlineLevel="0" collapsed="false">
      <c r="A1077" s="0" t="s">
        <v>1946</v>
      </c>
      <c r="B1077" s="0" t="s">
        <v>2640</v>
      </c>
      <c r="C1077" s="0" t="n">
        <v>1</v>
      </c>
      <c r="D1077" s="0" t="str">
        <f aca="false">IF(C1077=0,B1077,"")</f>
        <v/>
      </c>
      <c r="E1077" s="0" t="str">
        <f aca="false">IF(C1077=0,A1077,"")</f>
        <v/>
      </c>
    </row>
    <row r="1078" customFormat="false" ht="12.8" hidden="false" customHeight="false" outlineLevel="0" collapsed="false">
      <c r="A1078" s="0" t="s">
        <v>1947</v>
      </c>
      <c r="B1078" s="0" t="s">
        <v>2641</v>
      </c>
      <c r="C1078" s="0" t="n">
        <v>1</v>
      </c>
      <c r="D1078" s="0" t="str">
        <f aca="false">IF(C1078=0,B1078,"")</f>
        <v/>
      </c>
      <c r="E1078" s="0" t="str">
        <f aca="false">IF(C1078=0,A1078,"")</f>
        <v/>
      </c>
    </row>
    <row r="1079" customFormat="false" ht="12.8" hidden="false" customHeight="false" outlineLevel="0" collapsed="false">
      <c r="A1079" s="0" t="s">
        <v>1948</v>
      </c>
      <c r="B1079" s="0" t="s">
        <v>2643</v>
      </c>
      <c r="C1079" s="0" t="n">
        <v>1</v>
      </c>
      <c r="D1079" s="0" t="str">
        <f aca="false">IF(C1079=0,B1079,"")</f>
        <v/>
      </c>
      <c r="E1079" s="0" t="str">
        <f aca="false">IF(C1079=0,A1079,"")</f>
        <v/>
      </c>
    </row>
    <row r="1080" customFormat="false" ht="12.8" hidden="false" customHeight="false" outlineLevel="0" collapsed="false">
      <c r="A1080" s="0" t="s">
        <v>1949</v>
      </c>
      <c r="B1080" s="0" t="s">
        <v>3404</v>
      </c>
      <c r="C1080" s="0" t="n">
        <v>0</v>
      </c>
      <c r="D1080" s="0" t="str">
        <f aca="false">IF(C1080=0,B1080,"")</f>
        <v>뿨</v>
      </c>
      <c r="E1080" s="0" t="str">
        <f aca="false">IF(C1080=0,A1080,"")</f>
        <v>뾔</v>
      </c>
    </row>
    <row r="1081" customFormat="false" ht="12.8" hidden="false" customHeight="false" outlineLevel="0" collapsed="false">
      <c r="A1081" s="0" t="s">
        <v>1950</v>
      </c>
      <c r="B1081" s="0" t="s">
        <v>1935</v>
      </c>
      <c r="C1081" s="0" t="n">
        <v>1</v>
      </c>
      <c r="D1081" s="0" t="str">
        <f aca="false">IF(C1081=0,B1081,"")</f>
        <v/>
      </c>
      <c r="E1081" s="0" t="str">
        <f aca="false">IF(C1081=0,A1081,"")</f>
        <v/>
      </c>
    </row>
    <row r="1082" customFormat="false" ht="12.8" hidden="false" customHeight="false" outlineLevel="0" collapsed="false">
      <c r="A1082" s="0" t="s">
        <v>1951</v>
      </c>
      <c r="B1082" s="0" t="s">
        <v>2656</v>
      </c>
      <c r="C1082" s="0" t="n">
        <v>1</v>
      </c>
      <c r="D1082" s="0" t="str">
        <f aca="false">IF(C1082=0,B1082,"")</f>
        <v/>
      </c>
      <c r="E1082" s="0" t="str">
        <f aca="false">IF(C1082=0,A1082,"")</f>
        <v/>
      </c>
    </row>
    <row r="1083" customFormat="false" ht="12.8" hidden="false" customHeight="false" outlineLevel="0" collapsed="false">
      <c r="A1083" s="0" t="s">
        <v>1952</v>
      </c>
      <c r="B1083" s="0" t="s">
        <v>1933</v>
      </c>
      <c r="C1083" s="0" t="n">
        <v>1</v>
      </c>
      <c r="D1083" s="0" t="str">
        <f aca="false">IF(C1083=0,B1083,"")</f>
        <v/>
      </c>
      <c r="E1083" s="0" t="str">
        <f aca="false">IF(C1083=0,A1083,"")</f>
        <v/>
      </c>
    </row>
    <row r="1084" customFormat="false" ht="12.8" hidden="false" customHeight="false" outlineLevel="0" collapsed="false">
      <c r="A1084" s="0" t="s">
        <v>1953</v>
      </c>
      <c r="B1084" s="0" t="s">
        <v>2658</v>
      </c>
      <c r="C1084" s="0" t="n">
        <v>1</v>
      </c>
      <c r="D1084" s="0" t="str">
        <f aca="false">IF(C1084=0,B1084,"")</f>
        <v/>
      </c>
      <c r="E1084" s="0" t="str">
        <f aca="false">IF(C1084=0,A1084,"")</f>
        <v/>
      </c>
    </row>
    <row r="1085" customFormat="false" ht="12.8" hidden="false" customHeight="false" outlineLevel="0" collapsed="false">
      <c r="A1085" s="0" t="s">
        <v>1954</v>
      </c>
      <c r="B1085" s="0" t="s">
        <v>2659</v>
      </c>
      <c r="C1085" s="0" t="n">
        <v>1</v>
      </c>
      <c r="D1085" s="0" t="str">
        <f aca="false">IF(C1085=0,B1085,"")</f>
        <v/>
      </c>
      <c r="E1085" s="0" t="str">
        <f aca="false">IF(C1085=0,A1085,"")</f>
        <v/>
      </c>
    </row>
    <row r="1086" customFormat="false" ht="12.8" hidden="false" customHeight="false" outlineLevel="0" collapsed="false">
      <c r="A1086" s="0" t="s">
        <v>1955</v>
      </c>
      <c r="B1086" s="0" t="s">
        <v>2660</v>
      </c>
      <c r="C1086" s="0" t="n">
        <v>1</v>
      </c>
      <c r="D1086" s="0" t="str">
        <f aca="false">IF(C1086=0,B1086,"")</f>
        <v/>
      </c>
      <c r="E1086" s="0" t="str">
        <f aca="false">IF(C1086=0,A1086,"")</f>
        <v/>
      </c>
    </row>
    <row r="1087" customFormat="false" ht="12.8" hidden="false" customHeight="false" outlineLevel="0" collapsed="false">
      <c r="A1087" s="0" t="s">
        <v>1956</v>
      </c>
      <c r="B1087" s="0" t="s">
        <v>2661</v>
      </c>
      <c r="C1087" s="0" t="n">
        <v>1</v>
      </c>
      <c r="D1087" s="0" t="str">
        <f aca="false">IF(C1087=0,B1087,"")</f>
        <v/>
      </c>
      <c r="E1087" s="0" t="str">
        <f aca="false">IF(C1087=0,A1087,"")</f>
        <v/>
      </c>
    </row>
    <row r="1088" customFormat="false" ht="12.8" hidden="false" customHeight="false" outlineLevel="0" collapsed="false">
      <c r="A1088" s="0" t="s">
        <v>1957</v>
      </c>
      <c r="B1088" s="0" t="s">
        <v>3405</v>
      </c>
      <c r="C1088" s="0" t="n">
        <v>0</v>
      </c>
      <c r="D1088" s="0" t="str">
        <f aca="false">IF(C1088=0,B1088,"")</f>
        <v>쭛</v>
      </c>
      <c r="E1088" s="0" t="str">
        <f aca="false">IF(C1088=0,A1088,"")</f>
        <v>뿟</v>
      </c>
    </row>
    <row r="1089" customFormat="false" ht="12.8" hidden="false" customHeight="false" outlineLevel="0" collapsed="false">
      <c r="A1089" s="0" t="s">
        <v>1958</v>
      </c>
      <c r="B1089" s="0" t="s">
        <v>2663</v>
      </c>
      <c r="C1089" s="0" t="n">
        <v>1</v>
      </c>
      <c r="D1089" s="0" t="str">
        <f aca="false">IF(C1089=0,B1089,"")</f>
        <v/>
      </c>
      <c r="E1089" s="0" t="str">
        <f aca="false">IF(C1089=0,A1089,"")</f>
        <v/>
      </c>
    </row>
    <row r="1090" customFormat="false" ht="12.8" hidden="false" customHeight="false" outlineLevel="0" collapsed="false">
      <c r="A1090" s="0" t="s">
        <v>1959</v>
      </c>
      <c r="B1090" s="0" t="s">
        <v>1912</v>
      </c>
      <c r="C1090" s="0" t="n">
        <v>1</v>
      </c>
      <c r="D1090" s="0" t="str">
        <f aca="false">IF(C1090=0,B1090,"")</f>
        <v/>
      </c>
      <c r="E1090" s="0" t="str">
        <f aca="false">IF(C1090=0,A1090,"")</f>
        <v/>
      </c>
    </row>
    <row r="1091" customFormat="false" ht="12.8" hidden="false" customHeight="false" outlineLevel="0" collapsed="false">
      <c r="A1091" s="0" t="s">
        <v>1960</v>
      </c>
      <c r="B1091" s="0" t="s">
        <v>3406</v>
      </c>
      <c r="C1091" s="0" t="n">
        <v>0</v>
      </c>
      <c r="D1091" s="0" t="str">
        <f aca="false">IF(C1091=0,B1091,"")</f>
        <v>쯍</v>
      </c>
      <c r="E1091" s="0" t="str">
        <f aca="false">IF(C1091=0,A1091,"")</f>
        <v>쁑</v>
      </c>
    </row>
    <row r="1092" customFormat="false" ht="12.8" hidden="false" customHeight="false" outlineLevel="0" collapsed="false">
      <c r="A1092" s="0" t="s">
        <v>1961</v>
      </c>
      <c r="B1092" s="0" t="s">
        <v>1921</v>
      </c>
      <c r="C1092" s="0" t="n">
        <v>1</v>
      </c>
      <c r="D1092" s="0" t="str">
        <f aca="false">IF(C1092=0,B1092,"")</f>
        <v/>
      </c>
      <c r="E1092" s="0" t="str">
        <f aca="false">IF(C1092=0,A1092,"")</f>
        <v/>
      </c>
    </row>
    <row r="1093" customFormat="false" ht="12.8" hidden="false" customHeight="false" outlineLevel="0" collapsed="false">
      <c r="A1093" s="0" t="s">
        <v>1962</v>
      </c>
      <c r="B1093" s="0" t="s">
        <v>3407</v>
      </c>
      <c r="C1093" s="0" t="n">
        <v>0</v>
      </c>
      <c r="D1093" s="0" t="str">
        <f aca="false">IF(C1093=0,B1093,"")</f>
        <v>쯘</v>
      </c>
      <c r="E1093" s="0" t="str">
        <f aca="false">IF(C1093=0,A1093,"")</f>
        <v>쁜</v>
      </c>
    </row>
    <row r="1094" customFormat="false" ht="12.8" hidden="false" customHeight="false" outlineLevel="0" collapsed="false">
      <c r="A1094" s="0" t="s">
        <v>1963</v>
      </c>
      <c r="B1094" s="0" t="s">
        <v>3408</v>
      </c>
      <c r="C1094" s="0" t="n">
        <v>0</v>
      </c>
      <c r="D1094" s="0" t="str">
        <f aca="false">IF(C1094=0,B1094,"")</f>
        <v>쯜</v>
      </c>
      <c r="E1094" s="0" t="str">
        <f aca="false">IF(C1094=0,A1094,"")</f>
        <v>쁠</v>
      </c>
    </row>
    <row r="1095" customFormat="false" ht="12.8" hidden="false" customHeight="false" outlineLevel="0" collapsed="false">
      <c r="A1095" s="0" t="s">
        <v>1964</v>
      </c>
      <c r="B1095" s="0" t="s">
        <v>2670</v>
      </c>
      <c r="C1095" s="0" t="n">
        <v>1</v>
      </c>
      <c r="D1095" s="0" t="str">
        <f aca="false">IF(C1095=0,B1095,"")</f>
        <v/>
      </c>
      <c r="E1095" s="0" t="str">
        <f aca="false">IF(C1095=0,A1095,"")</f>
        <v/>
      </c>
    </row>
    <row r="1096" customFormat="false" ht="12.8" hidden="false" customHeight="false" outlineLevel="0" collapsed="false">
      <c r="A1096" s="0" t="s">
        <v>1965</v>
      </c>
      <c r="B1096" s="0" t="s">
        <v>3409</v>
      </c>
      <c r="C1096" s="0" t="n">
        <v>0</v>
      </c>
      <c r="D1096" s="0" t="str">
        <f aca="false">IF(C1096=0,B1096,"")</f>
        <v>쯥</v>
      </c>
      <c r="E1096" s="0" t="str">
        <f aca="false">IF(C1096=0,A1096,"")</f>
        <v>쁩</v>
      </c>
    </row>
    <row r="1097" customFormat="false" ht="12.8" hidden="false" customHeight="false" outlineLevel="0" collapsed="false">
      <c r="A1097" s="0" t="s">
        <v>1966</v>
      </c>
      <c r="B1097" s="0" t="s">
        <v>1961</v>
      </c>
      <c r="C1097" s="0" t="n">
        <v>1</v>
      </c>
      <c r="D1097" s="0" t="str">
        <f aca="false">IF(C1097=0,B1097,"")</f>
        <v/>
      </c>
      <c r="E1097" s="0" t="str">
        <f aca="false">IF(C1097=0,A1097,"")</f>
        <v/>
      </c>
    </row>
    <row r="1098" customFormat="false" ht="12.8" hidden="false" customHeight="false" outlineLevel="0" collapsed="false">
      <c r="A1098" s="0" t="s">
        <v>1967</v>
      </c>
      <c r="B1098" s="0" t="s">
        <v>2674</v>
      </c>
      <c r="C1098" s="0" t="n">
        <v>1</v>
      </c>
      <c r="D1098" s="0" t="str">
        <f aca="false">IF(C1098=0,B1098,"")</f>
        <v/>
      </c>
      <c r="E1098" s="0" t="str">
        <f aca="false">IF(C1098=0,A1098,"")</f>
        <v/>
      </c>
    </row>
    <row r="1099" customFormat="false" ht="12.8" hidden="false" customHeight="false" outlineLevel="0" collapsed="false">
      <c r="A1099" s="0" t="s">
        <v>1968</v>
      </c>
      <c r="B1099" s="0" t="s">
        <v>2675</v>
      </c>
      <c r="C1099" s="0" t="n">
        <v>1</v>
      </c>
      <c r="D1099" s="0" t="str">
        <f aca="false">IF(C1099=0,B1099,"")</f>
        <v/>
      </c>
      <c r="E1099" s="0" t="str">
        <f aca="false">IF(C1099=0,A1099,"")</f>
        <v/>
      </c>
    </row>
    <row r="1100" customFormat="false" ht="12.8" hidden="false" customHeight="false" outlineLevel="0" collapsed="false">
      <c r="A1100" s="0" t="s">
        <v>1969</v>
      </c>
      <c r="B1100" s="0" t="s">
        <v>2676</v>
      </c>
      <c r="C1100" s="0" t="n">
        <v>1</v>
      </c>
      <c r="D1100" s="0" t="str">
        <f aca="false">IF(C1100=0,B1100,"")</f>
        <v/>
      </c>
      <c r="E1100" s="0" t="str">
        <f aca="false">IF(C1100=0,A1100,"")</f>
        <v/>
      </c>
    </row>
    <row r="1101" customFormat="false" ht="12.8" hidden="false" customHeight="false" outlineLevel="0" collapsed="false">
      <c r="A1101" s="0" t="s">
        <v>1970</v>
      </c>
      <c r="B1101" s="0" t="s">
        <v>2677</v>
      </c>
      <c r="C1101" s="0" t="n">
        <v>1</v>
      </c>
      <c r="D1101" s="0" t="str">
        <f aca="false">IF(C1101=0,B1101,"")</f>
        <v/>
      </c>
      <c r="E1101" s="0" t="str">
        <f aca="false">IF(C1101=0,A1101,"")</f>
        <v/>
      </c>
    </row>
    <row r="1102" customFormat="false" ht="12.8" hidden="false" customHeight="false" outlineLevel="0" collapsed="false">
      <c r="A1102" s="0" t="s">
        <v>1971</v>
      </c>
      <c r="B1102" s="0" t="s">
        <v>2678</v>
      </c>
      <c r="C1102" s="0" t="n">
        <v>1</v>
      </c>
      <c r="D1102" s="0" t="str">
        <f aca="false">IF(C1102=0,B1102,"")</f>
        <v/>
      </c>
      <c r="E1102" s="0" t="str">
        <f aca="false">IF(C1102=0,A1102,"")</f>
        <v/>
      </c>
    </row>
    <row r="1103" customFormat="false" ht="12.8" hidden="false" customHeight="false" outlineLevel="0" collapsed="false">
      <c r="A1103" s="0" t="s">
        <v>1972</v>
      </c>
      <c r="B1103" s="0" t="s">
        <v>3410</v>
      </c>
      <c r="C1103" s="0" t="n">
        <v>0</v>
      </c>
      <c r="D1103" s="0" t="str">
        <f aca="false">IF(C1103=0,B1103,"")</f>
        <v>찟</v>
      </c>
      <c r="E1103" s="0" t="str">
        <f aca="false">IF(C1103=0,A1103,"")</f>
        <v>삣</v>
      </c>
    </row>
    <row r="1104" customFormat="false" ht="12.8" hidden="false" customHeight="false" outlineLevel="0" collapsed="false">
      <c r="A1104" s="0" t="s">
        <v>1973</v>
      </c>
      <c r="B1104" s="0" t="s">
        <v>2679</v>
      </c>
      <c r="C1104" s="0" t="n">
        <v>1</v>
      </c>
      <c r="D1104" s="0" t="str">
        <f aca="false">IF(C1104=0,B1104,"")</f>
        <v/>
      </c>
      <c r="E1104" s="0" t="str">
        <f aca="false">IF(C1104=0,A1104,"")</f>
        <v/>
      </c>
    </row>
    <row r="1105" customFormat="false" ht="12.8" hidden="false" customHeight="false" outlineLevel="0" collapsed="false">
      <c r="A1105" s="0" t="s">
        <v>1974</v>
      </c>
      <c r="B1105" s="0" t="s">
        <v>2046</v>
      </c>
      <c r="C1105" s="0" t="n">
        <v>1</v>
      </c>
      <c r="D1105" s="0" t="str">
        <f aca="false">IF(C1105=0,B1105,"")</f>
        <v/>
      </c>
      <c r="E1105" s="0" t="str">
        <f aca="false">IF(C1105=0,A1105,"")</f>
        <v/>
      </c>
    </row>
    <row r="1106" customFormat="false" ht="12.8" hidden="false" customHeight="false" outlineLevel="0" collapsed="false">
      <c r="A1106" s="0" t="s">
        <v>1975</v>
      </c>
      <c r="B1106" s="0" t="s">
        <v>799</v>
      </c>
      <c r="C1106" s="0" t="n">
        <v>1</v>
      </c>
      <c r="D1106" s="0" t="str">
        <f aca="false">IF(C1106=0,B1106,"")</f>
        <v/>
      </c>
      <c r="E1106" s="0" t="str">
        <f aca="false">IF(C1106=0,A1106,"")</f>
        <v/>
      </c>
    </row>
    <row r="1107" customFormat="false" ht="12.8" hidden="false" customHeight="false" outlineLevel="0" collapsed="false">
      <c r="A1107" s="0" t="s">
        <v>1976</v>
      </c>
      <c r="B1107" s="0" t="s">
        <v>799</v>
      </c>
      <c r="C1107" s="0" t="n">
        <v>1</v>
      </c>
      <c r="D1107" s="0" t="str">
        <f aca="false">IF(C1107=0,B1107,"")</f>
        <v/>
      </c>
      <c r="E1107" s="0" t="str">
        <f aca="false">IF(C1107=0,A1107,"")</f>
        <v/>
      </c>
    </row>
    <row r="1108" customFormat="false" ht="12.8" hidden="false" customHeight="false" outlineLevel="0" collapsed="false">
      <c r="A1108" s="0" t="s">
        <v>1977</v>
      </c>
      <c r="B1108" s="0" t="s">
        <v>802</v>
      </c>
      <c r="C1108" s="0" t="n">
        <v>1</v>
      </c>
      <c r="D1108" s="0" t="str">
        <f aca="false">IF(C1108=0,B1108,"")</f>
        <v/>
      </c>
      <c r="E1108" s="0" t="str">
        <f aca="false">IF(C1108=0,A1108,"")</f>
        <v/>
      </c>
    </row>
    <row r="1109" customFormat="false" ht="12.8" hidden="false" customHeight="false" outlineLevel="0" collapsed="false">
      <c r="A1109" s="0" t="s">
        <v>1978</v>
      </c>
      <c r="B1109" s="0" t="s">
        <v>851</v>
      </c>
      <c r="C1109" s="0" t="n">
        <v>1</v>
      </c>
      <c r="D1109" s="0" t="str">
        <f aca="false">IF(C1109=0,B1109,"")</f>
        <v/>
      </c>
      <c r="E1109" s="0" t="str">
        <f aca="false">IF(C1109=0,A1109,"")</f>
        <v/>
      </c>
    </row>
    <row r="1110" customFormat="false" ht="12.8" hidden="false" customHeight="false" outlineLevel="0" collapsed="false">
      <c r="A1110" s="0" t="s">
        <v>1979</v>
      </c>
      <c r="B1110" s="0" t="s">
        <v>828</v>
      </c>
      <c r="C1110" s="0" t="n">
        <v>1</v>
      </c>
      <c r="D1110" s="0" t="str">
        <f aca="false">IF(C1110=0,B1110,"")</f>
        <v/>
      </c>
      <c r="E1110" s="0" t="str">
        <f aca="false">IF(C1110=0,A1110,"")</f>
        <v/>
      </c>
    </row>
    <row r="1111" customFormat="false" ht="12.8" hidden="false" customHeight="false" outlineLevel="0" collapsed="false">
      <c r="A1111" s="0" t="s">
        <v>1980</v>
      </c>
      <c r="B1111" s="0" t="s">
        <v>828</v>
      </c>
      <c r="C1111" s="0" t="n">
        <v>1</v>
      </c>
      <c r="D1111" s="0" t="str">
        <f aca="false">IF(C1111=0,B1111,"")</f>
        <v/>
      </c>
      <c r="E1111" s="0" t="str">
        <f aca="false">IF(C1111=0,A1111,"")</f>
        <v/>
      </c>
    </row>
    <row r="1112" customFormat="false" ht="12.8" hidden="false" customHeight="false" outlineLevel="0" collapsed="false">
      <c r="A1112" s="0" t="s">
        <v>1981</v>
      </c>
      <c r="B1112" s="0" t="s">
        <v>828</v>
      </c>
      <c r="C1112" s="0" t="n">
        <v>1</v>
      </c>
      <c r="D1112" s="0" t="str">
        <f aca="false">IF(C1112=0,B1112,"")</f>
        <v/>
      </c>
      <c r="E1112" s="0" t="str">
        <f aca="false">IF(C1112=0,A1112,"")</f>
        <v/>
      </c>
    </row>
    <row r="1113" customFormat="false" ht="12.8" hidden="false" customHeight="false" outlineLevel="0" collapsed="false">
      <c r="A1113" s="0" t="s">
        <v>1982</v>
      </c>
      <c r="B1113" s="0" t="s">
        <v>837</v>
      </c>
      <c r="C1113" s="0" t="n">
        <v>1</v>
      </c>
      <c r="D1113" s="0" t="str">
        <f aca="false">IF(C1113=0,B1113,"")</f>
        <v/>
      </c>
      <c r="E1113" s="0" t="str">
        <f aca="false">IF(C1113=0,A1113,"")</f>
        <v/>
      </c>
    </row>
    <row r="1114" customFormat="false" ht="12.8" hidden="false" customHeight="false" outlineLevel="0" collapsed="false">
      <c r="A1114" s="0" t="s">
        <v>1983</v>
      </c>
      <c r="B1114" s="0" t="s">
        <v>842</v>
      </c>
      <c r="C1114" s="0" t="n">
        <v>1</v>
      </c>
      <c r="D1114" s="0" t="str">
        <f aca="false">IF(C1114=0,B1114,"")</f>
        <v/>
      </c>
      <c r="E1114" s="0" t="str">
        <f aca="false">IF(C1114=0,A1114,"")</f>
        <v/>
      </c>
    </row>
    <row r="1115" customFormat="false" ht="12.8" hidden="false" customHeight="false" outlineLevel="0" collapsed="false">
      <c r="A1115" s="0" t="s">
        <v>1984</v>
      </c>
      <c r="B1115" s="0" t="s">
        <v>851</v>
      </c>
      <c r="C1115" s="0" t="n">
        <v>1</v>
      </c>
      <c r="D1115" s="0" t="str">
        <f aca="false">IF(C1115=0,B1115,"")</f>
        <v/>
      </c>
      <c r="E1115" s="0" t="str">
        <f aca="false">IF(C1115=0,A1115,"")</f>
        <v/>
      </c>
    </row>
    <row r="1116" customFormat="false" ht="12.8" hidden="false" customHeight="false" outlineLevel="0" collapsed="false">
      <c r="A1116" s="0" t="s">
        <v>1985</v>
      </c>
      <c r="B1116" s="0" t="s">
        <v>851</v>
      </c>
      <c r="C1116" s="0" t="n">
        <v>1</v>
      </c>
      <c r="D1116" s="0" t="str">
        <f aca="false">IF(C1116=0,B1116,"")</f>
        <v/>
      </c>
      <c r="E1116" s="0" t="str">
        <f aca="false">IF(C1116=0,A1116,"")</f>
        <v/>
      </c>
    </row>
    <row r="1117" customFormat="false" ht="12.8" hidden="false" customHeight="false" outlineLevel="0" collapsed="false">
      <c r="A1117" s="0" t="s">
        <v>1986</v>
      </c>
      <c r="B1117" s="0" t="s">
        <v>861</v>
      </c>
      <c r="C1117" s="0" t="n">
        <v>1</v>
      </c>
      <c r="D1117" s="0" t="str">
        <f aca="false">IF(C1117=0,B1117,"")</f>
        <v/>
      </c>
      <c r="E1117" s="0" t="str">
        <f aca="false">IF(C1117=0,A1117,"")</f>
        <v/>
      </c>
    </row>
    <row r="1118" customFormat="false" ht="12.8" hidden="false" customHeight="false" outlineLevel="0" collapsed="false">
      <c r="A1118" s="0" t="s">
        <v>1987</v>
      </c>
      <c r="B1118" s="0" t="s">
        <v>851</v>
      </c>
      <c r="C1118" s="0" t="n">
        <v>1</v>
      </c>
      <c r="D1118" s="0" t="str">
        <f aca="false">IF(C1118=0,B1118,"")</f>
        <v/>
      </c>
      <c r="E1118" s="0" t="str">
        <f aca="false">IF(C1118=0,A1118,"")</f>
        <v/>
      </c>
    </row>
    <row r="1119" customFormat="false" ht="12.8" hidden="false" customHeight="false" outlineLevel="0" collapsed="false">
      <c r="A1119" s="0" t="s">
        <v>1988</v>
      </c>
      <c r="B1119" s="0" t="s">
        <v>3411</v>
      </c>
      <c r="C1119" s="0" t="n">
        <v>0</v>
      </c>
      <c r="D1119" s="0" t="str">
        <f aca="false">IF(C1119=0,B1119,"")</f>
        <v>싀</v>
      </c>
      <c r="E1119" s="0" t="str">
        <f aca="false">IF(C1119=0,A1119,"")</f>
        <v>새</v>
      </c>
    </row>
    <row r="1120" customFormat="false" ht="12.8" hidden="false" customHeight="false" outlineLevel="0" collapsed="false">
      <c r="A1120" s="0" t="s">
        <v>1989</v>
      </c>
      <c r="B1120" s="0" t="s">
        <v>885</v>
      </c>
      <c r="C1120" s="0" t="n">
        <v>1</v>
      </c>
      <c r="D1120" s="0" t="str">
        <f aca="false">IF(C1120=0,B1120,"")</f>
        <v/>
      </c>
      <c r="E1120" s="0" t="str">
        <f aca="false">IF(C1120=0,A1120,"")</f>
        <v/>
      </c>
    </row>
    <row r="1121" customFormat="false" ht="12.8" hidden="false" customHeight="false" outlineLevel="0" collapsed="false">
      <c r="A1121" s="0" t="s">
        <v>1990</v>
      </c>
      <c r="B1121" s="0" t="s">
        <v>887</v>
      </c>
      <c r="C1121" s="0" t="n">
        <v>1</v>
      </c>
      <c r="D1121" s="0" t="str">
        <f aca="false">IF(C1121=0,B1121,"")</f>
        <v/>
      </c>
      <c r="E1121" s="0" t="str">
        <f aca="false">IF(C1121=0,A1121,"")</f>
        <v/>
      </c>
    </row>
    <row r="1122" customFormat="false" ht="12.8" hidden="false" customHeight="false" outlineLevel="0" collapsed="false">
      <c r="A1122" s="0" t="s">
        <v>1991</v>
      </c>
      <c r="B1122" s="0" t="s">
        <v>889</v>
      </c>
      <c r="C1122" s="0" t="n">
        <v>1</v>
      </c>
      <c r="D1122" s="0" t="str">
        <f aca="false">IF(C1122=0,B1122,"")</f>
        <v/>
      </c>
      <c r="E1122" s="0" t="str">
        <f aca="false">IF(C1122=0,A1122,"")</f>
        <v/>
      </c>
    </row>
    <row r="1123" customFormat="false" ht="12.8" hidden="false" customHeight="false" outlineLevel="0" collapsed="false">
      <c r="A1123" s="0" t="s">
        <v>1992</v>
      </c>
      <c r="B1123" s="0" t="s">
        <v>890</v>
      </c>
      <c r="C1123" s="0" t="n">
        <v>1</v>
      </c>
      <c r="D1123" s="0" t="str">
        <f aca="false">IF(C1123=0,B1123,"")</f>
        <v/>
      </c>
      <c r="E1123" s="0" t="str">
        <f aca="false">IF(C1123=0,A1123,"")</f>
        <v/>
      </c>
    </row>
    <row r="1124" customFormat="false" ht="12.8" hidden="false" customHeight="false" outlineLevel="0" collapsed="false">
      <c r="A1124" s="0" t="s">
        <v>1993</v>
      </c>
      <c r="B1124" s="0" t="s">
        <v>893</v>
      </c>
      <c r="C1124" s="0" t="n">
        <v>1</v>
      </c>
      <c r="D1124" s="0" t="str">
        <f aca="false">IF(C1124=0,B1124,"")</f>
        <v/>
      </c>
      <c r="E1124" s="0" t="str">
        <f aca="false">IF(C1124=0,A1124,"")</f>
        <v/>
      </c>
    </row>
    <row r="1125" customFormat="false" ht="12.8" hidden="false" customHeight="false" outlineLevel="0" collapsed="false">
      <c r="A1125" s="0" t="s">
        <v>1994</v>
      </c>
      <c r="B1125" s="0" t="s">
        <v>894</v>
      </c>
      <c r="C1125" s="0" t="n">
        <v>1</v>
      </c>
      <c r="D1125" s="0" t="str">
        <f aca="false">IF(C1125=0,B1125,"")</f>
        <v/>
      </c>
      <c r="E1125" s="0" t="str">
        <f aca="false">IF(C1125=0,A1125,"")</f>
        <v/>
      </c>
    </row>
    <row r="1126" customFormat="false" ht="12.8" hidden="false" customHeight="false" outlineLevel="0" collapsed="false">
      <c r="A1126" s="0" t="s">
        <v>1995</v>
      </c>
      <c r="B1126" s="0" t="s">
        <v>894</v>
      </c>
      <c r="C1126" s="0" t="n">
        <v>1</v>
      </c>
      <c r="D1126" s="0" t="str">
        <f aca="false">IF(C1126=0,B1126,"")</f>
        <v/>
      </c>
      <c r="E1126" s="0" t="str">
        <f aca="false">IF(C1126=0,A1126,"")</f>
        <v/>
      </c>
    </row>
    <row r="1127" customFormat="false" ht="12.8" hidden="false" customHeight="false" outlineLevel="0" collapsed="false">
      <c r="A1127" s="0" t="s">
        <v>1996</v>
      </c>
      <c r="B1127" s="0" t="s">
        <v>896</v>
      </c>
      <c r="C1127" s="0" t="n">
        <v>1</v>
      </c>
      <c r="D1127" s="0" t="str">
        <f aca="false">IF(C1127=0,B1127,"")</f>
        <v/>
      </c>
      <c r="E1127" s="0" t="str">
        <f aca="false">IF(C1127=0,A1127,"")</f>
        <v/>
      </c>
    </row>
    <row r="1128" customFormat="false" ht="12.8" hidden="false" customHeight="false" outlineLevel="0" collapsed="false">
      <c r="A1128" s="0" t="s">
        <v>1997</v>
      </c>
      <c r="B1128" s="0" t="s">
        <v>2074</v>
      </c>
      <c r="C1128" s="0" t="n">
        <v>1</v>
      </c>
      <c r="D1128" s="0" t="str">
        <f aca="false">IF(C1128=0,B1128,"")</f>
        <v/>
      </c>
      <c r="E1128" s="0" t="str">
        <f aca="false">IF(C1128=0,A1128,"")</f>
        <v/>
      </c>
    </row>
    <row r="1129" customFormat="false" ht="12.8" hidden="false" customHeight="false" outlineLevel="0" collapsed="false">
      <c r="A1129" s="0" t="s">
        <v>1998</v>
      </c>
      <c r="B1129" s="0" t="s">
        <v>899</v>
      </c>
      <c r="C1129" s="0" t="n">
        <v>1</v>
      </c>
      <c r="D1129" s="0" t="str">
        <f aca="false">IF(C1129=0,B1129,"")</f>
        <v/>
      </c>
      <c r="E1129" s="0" t="str">
        <f aca="false">IF(C1129=0,A1129,"")</f>
        <v/>
      </c>
    </row>
    <row r="1130" customFormat="false" ht="12.8" hidden="false" customHeight="false" outlineLevel="0" collapsed="false">
      <c r="A1130" s="0" t="s">
        <v>1999</v>
      </c>
      <c r="B1130" s="0" t="s">
        <v>902</v>
      </c>
      <c r="C1130" s="0" t="n">
        <v>1</v>
      </c>
      <c r="D1130" s="0" t="str">
        <f aca="false">IF(C1130=0,B1130,"")</f>
        <v/>
      </c>
      <c r="E1130" s="0" t="str">
        <f aca="false">IF(C1130=0,A1130,"")</f>
        <v/>
      </c>
    </row>
    <row r="1131" customFormat="false" ht="12.8" hidden="false" customHeight="false" outlineLevel="0" collapsed="false">
      <c r="A1131" s="0" t="s">
        <v>2000</v>
      </c>
      <c r="B1131" s="0" t="s">
        <v>904</v>
      </c>
      <c r="C1131" s="0" t="n">
        <v>1</v>
      </c>
      <c r="D1131" s="0" t="str">
        <f aca="false">IF(C1131=0,B1131,"")</f>
        <v/>
      </c>
      <c r="E1131" s="0" t="str">
        <f aca="false">IF(C1131=0,A1131,"")</f>
        <v/>
      </c>
    </row>
    <row r="1132" customFormat="false" ht="12.8" hidden="false" customHeight="false" outlineLevel="0" collapsed="false">
      <c r="A1132" s="0" t="s">
        <v>2001</v>
      </c>
      <c r="B1132" s="0" t="s">
        <v>3412</v>
      </c>
      <c r="C1132" s="0" t="n">
        <v>0</v>
      </c>
      <c r="D1132" s="0" t="str">
        <f aca="false">IF(C1132=0,B1132,"")</f>
        <v>걈</v>
      </c>
      <c r="E1132" s="0" t="str">
        <f aca="false">IF(C1132=0,A1132,"")</f>
        <v>샴</v>
      </c>
    </row>
    <row r="1133" customFormat="false" ht="12.8" hidden="false" customHeight="false" outlineLevel="0" collapsed="false">
      <c r="A1133" s="0" t="s">
        <v>2002</v>
      </c>
      <c r="B1133" s="0" t="s">
        <v>3413</v>
      </c>
      <c r="C1133" s="0" t="n">
        <v>0</v>
      </c>
      <c r="D1133" s="0" t="str">
        <f aca="false">IF(C1133=0,B1133,"")</f>
        <v>걉</v>
      </c>
      <c r="E1133" s="0" t="str">
        <f aca="false">IF(C1133=0,A1133,"")</f>
        <v>샵</v>
      </c>
    </row>
    <row r="1134" customFormat="false" ht="12.8" hidden="false" customHeight="false" outlineLevel="0" collapsed="false">
      <c r="A1134" s="0" t="s">
        <v>2003</v>
      </c>
      <c r="B1134" s="0" t="s">
        <v>905</v>
      </c>
      <c r="C1134" s="0" t="n">
        <v>1</v>
      </c>
      <c r="D1134" s="0" t="str">
        <f aca="false">IF(C1134=0,B1134,"")</f>
        <v/>
      </c>
      <c r="E1134" s="0" t="str">
        <f aca="false">IF(C1134=0,A1134,"")</f>
        <v/>
      </c>
    </row>
    <row r="1135" customFormat="false" ht="12.8" hidden="false" customHeight="false" outlineLevel="0" collapsed="false">
      <c r="A1135" s="0" t="s">
        <v>2004</v>
      </c>
      <c r="B1135" s="0" t="s">
        <v>906</v>
      </c>
      <c r="C1135" s="0" t="n">
        <v>1</v>
      </c>
      <c r="D1135" s="0" t="str">
        <f aca="false">IF(C1135=0,B1135,"")</f>
        <v/>
      </c>
      <c r="E1135" s="0" t="str">
        <f aca="false">IF(C1135=0,A1135,"")</f>
        <v/>
      </c>
    </row>
    <row r="1136" customFormat="false" ht="12.8" hidden="false" customHeight="false" outlineLevel="0" collapsed="false">
      <c r="A1136" s="0" t="s">
        <v>2005</v>
      </c>
      <c r="B1136" s="0" t="s">
        <v>2102</v>
      </c>
      <c r="C1136" s="0" t="n">
        <v>1</v>
      </c>
      <c r="D1136" s="0" t="str">
        <f aca="false">IF(C1136=0,B1136,"")</f>
        <v/>
      </c>
      <c r="E1136" s="0" t="str">
        <f aca="false">IF(C1136=0,A1136,"")</f>
        <v/>
      </c>
    </row>
    <row r="1137" customFormat="false" ht="12.8" hidden="false" customHeight="false" outlineLevel="0" collapsed="false">
      <c r="A1137" s="0" t="s">
        <v>2006</v>
      </c>
      <c r="B1137" s="0" t="s">
        <v>910</v>
      </c>
      <c r="C1137" s="0" t="n">
        <v>1</v>
      </c>
      <c r="D1137" s="0" t="str">
        <f aca="false">IF(C1137=0,B1137,"")</f>
        <v/>
      </c>
      <c r="E1137" s="0" t="str">
        <f aca="false">IF(C1137=0,A1137,"")</f>
        <v/>
      </c>
    </row>
    <row r="1138" customFormat="false" ht="12.8" hidden="false" customHeight="false" outlineLevel="0" collapsed="false">
      <c r="A1138" s="0" t="s">
        <v>2007</v>
      </c>
      <c r="B1138" s="0" t="s">
        <v>912</v>
      </c>
      <c r="C1138" s="0" t="n">
        <v>1</v>
      </c>
      <c r="D1138" s="0" t="str">
        <f aca="false">IF(C1138=0,B1138,"")</f>
        <v/>
      </c>
      <c r="E1138" s="0" t="str">
        <f aca="false">IF(C1138=0,A1138,"")</f>
        <v/>
      </c>
    </row>
    <row r="1139" customFormat="false" ht="12.8" hidden="false" customHeight="false" outlineLevel="0" collapsed="false">
      <c r="A1139" s="0" t="s">
        <v>2008</v>
      </c>
      <c r="B1139" s="0" t="s">
        <v>3414</v>
      </c>
      <c r="C1139" s="0" t="n">
        <v>0</v>
      </c>
      <c r="D1139" s="0" t="str">
        <f aca="false">IF(C1139=0,B1139,"")</f>
        <v>걤</v>
      </c>
      <c r="E1139" s="0" t="str">
        <f aca="false">IF(C1139=0,A1139,"")</f>
        <v>섐</v>
      </c>
    </row>
    <row r="1140" customFormat="false" ht="12.8" hidden="false" customHeight="false" outlineLevel="0" collapsed="false">
      <c r="A1140" s="0" t="s">
        <v>2009</v>
      </c>
      <c r="B1140" s="0" t="s">
        <v>3415</v>
      </c>
      <c r="C1140" s="0" t="n">
        <v>0</v>
      </c>
      <c r="D1140" s="0" t="str">
        <f aca="false">IF(C1140=0,B1140,"")</f>
        <v>걩</v>
      </c>
      <c r="E1140" s="0" t="str">
        <f aca="false">IF(C1140=0,A1140,"")</f>
        <v>섕</v>
      </c>
    </row>
    <row r="1141" customFormat="false" ht="12.8" hidden="false" customHeight="false" outlineLevel="0" collapsed="false">
      <c r="A1141" s="0" t="s">
        <v>2010</v>
      </c>
      <c r="B1141" s="0" t="s">
        <v>2082</v>
      </c>
      <c r="C1141" s="0" t="n">
        <v>1</v>
      </c>
      <c r="D1141" s="0" t="str">
        <f aca="false">IF(C1141=0,B1141,"")</f>
        <v/>
      </c>
      <c r="E1141" s="0" t="str">
        <f aca="false">IF(C1141=0,A1141,"")</f>
        <v/>
      </c>
    </row>
    <row r="1142" customFormat="false" ht="12.8" hidden="false" customHeight="false" outlineLevel="0" collapsed="false">
      <c r="A1142" s="0" t="s">
        <v>2011</v>
      </c>
      <c r="B1142" s="0" t="s">
        <v>916</v>
      </c>
      <c r="C1142" s="0" t="n">
        <v>1</v>
      </c>
      <c r="D1142" s="0" t="str">
        <f aca="false">IF(C1142=0,B1142,"")</f>
        <v/>
      </c>
      <c r="E1142" s="0" t="str">
        <f aca="false">IF(C1142=0,A1142,"")</f>
        <v/>
      </c>
    </row>
    <row r="1143" customFormat="false" ht="12.8" hidden="false" customHeight="false" outlineLevel="0" collapsed="false">
      <c r="A1143" s="0" t="s">
        <v>2012</v>
      </c>
      <c r="B1143" s="0" t="s">
        <v>916</v>
      </c>
      <c r="C1143" s="0" t="n">
        <v>1</v>
      </c>
      <c r="D1143" s="0" t="str">
        <f aca="false">IF(C1143=0,B1143,"")</f>
        <v/>
      </c>
      <c r="E1143" s="0" t="str">
        <f aca="false">IF(C1143=0,A1143,"")</f>
        <v/>
      </c>
    </row>
    <row r="1144" customFormat="false" ht="12.8" hidden="false" customHeight="false" outlineLevel="0" collapsed="false">
      <c r="A1144" s="0" t="s">
        <v>2013</v>
      </c>
      <c r="B1144" s="0" t="s">
        <v>916</v>
      </c>
      <c r="C1144" s="0" t="n">
        <v>1</v>
      </c>
      <c r="D1144" s="0" t="str">
        <f aca="false">IF(C1144=0,B1144,"")</f>
        <v/>
      </c>
      <c r="E1144" s="0" t="str">
        <f aca="false">IF(C1144=0,A1144,"")</f>
        <v/>
      </c>
    </row>
    <row r="1145" customFormat="false" ht="12.8" hidden="false" customHeight="false" outlineLevel="0" collapsed="false">
      <c r="A1145" s="0" t="s">
        <v>2014</v>
      </c>
      <c r="B1145" s="0" t="s">
        <v>791</v>
      </c>
      <c r="C1145" s="0" t="n">
        <v>1</v>
      </c>
      <c r="D1145" s="0" t="str">
        <f aca="false">IF(C1145=0,B1145,"")</f>
        <v/>
      </c>
      <c r="E1145" s="0" t="str">
        <f aca="false">IF(C1145=0,A1145,"")</f>
        <v/>
      </c>
    </row>
    <row r="1146" customFormat="false" ht="12.8" hidden="false" customHeight="false" outlineLevel="0" collapsed="false">
      <c r="A1146" s="0" t="s">
        <v>2015</v>
      </c>
      <c r="B1146" s="0" t="s">
        <v>925</v>
      </c>
      <c r="C1146" s="0" t="n">
        <v>1</v>
      </c>
      <c r="D1146" s="0" t="str">
        <f aca="false">IF(C1146=0,B1146,"")</f>
        <v/>
      </c>
      <c r="E1146" s="0" t="str">
        <f aca="false">IF(C1146=0,A1146,"")</f>
        <v/>
      </c>
    </row>
    <row r="1147" customFormat="false" ht="12.8" hidden="false" customHeight="false" outlineLevel="0" collapsed="false">
      <c r="A1147" s="0" t="s">
        <v>2016</v>
      </c>
      <c r="B1147" s="0" t="s">
        <v>920</v>
      </c>
      <c r="C1147" s="0" t="n">
        <v>1</v>
      </c>
      <c r="D1147" s="0" t="str">
        <f aca="false">IF(C1147=0,B1147,"")</f>
        <v/>
      </c>
      <c r="E1147" s="0" t="str">
        <f aca="false">IF(C1147=0,A1147,"")</f>
        <v/>
      </c>
    </row>
    <row r="1148" customFormat="false" ht="12.8" hidden="false" customHeight="false" outlineLevel="0" collapsed="false">
      <c r="A1148" s="0" t="s">
        <v>2017</v>
      </c>
      <c r="B1148" s="0" t="s">
        <v>920</v>
      </c>
      <c r="C1148" s="0" t="n">
        <v>1</v>
      </c>
      <c r="D1148" s="0" t="str">
        <f aca="false">IF(C1148=0,B1148,"")</f>
        <v/>
      </c>
      <c r="E1148" s="0" t="str">
        <f aca="false">IF(C1148=0,A1148,"")</f>
        <v/>
      </c>
    </row>
    <row r="1149" customFormat="false" ht="12.8" hidden="false" customHeight="false" outlineLevel="0" collapsed="false">
      <c r="A1149" s="0" t="s">
        <v>2018</v>
      </c>
      <c r="B1149" s="0" t="s">
        <v>920</v>
      </c>
      <c r="C1149" s="0" t="n">
        <v>1</v>
      </c>
      <c r="D1149" s="0" t="str">
        <f aca="false">IF(C1149=0,B1149,"")</f>
        <v/>
      </c>
      <c r="E1149" s="0" t="str">
        <f aca="false">IF(C1149=0,A1149,"")</f>
        <v/>
      </c>
    </row>
    <row r="1150" customFormat="false" ht="12.8" hidden="false" customHeight="false" outlineLevel="0" collapsed="false">
      <c r="A1150" s="0" t="s">
        <v>2019</v>
      </c>
      <c r="B1150" s="0" t="s">
        <v>923</v>
      </c>
      <c r="C1150" s="0" t="n">
        <v>1</v>
      </c>
      <c r="D1150" s="0" t="str">
        <f aca="false">IF(C1150=0,B1150,"")</f>
        <v/>
      </c>
      <c r="E1150" s="0" t="str">
        <f aca="false">IF(C1150=0,A1150,"")</f>
        <v/>
      </c>
    </row>
    <row r="1151" customFormat="false" ht="12.8" hidden="false" customHeight="false" outlineLevel="0" collapsed="false">
      <c r="A1151" s="0" t="s">
        <v>2020</v>
      </c>
      <c r="B1151" s="0" t="s">
        <v>924</v>
      </c>
      <c r="C1151" s="0" t="n">
        <v>1</v>
      </c>
      <c r="D1151" s="0" t="str">
        <f aca="false">IF(C1151=0,B1151,"")</f>
        <v/>
      </c>
      <c r="E1151" s="0" t="str">
        <f aca="false">IF(C1151=0,A1151,"")</f>
        <v/>
      </c>
    </row>
    <row r="1152" customFormat="false" ht="12.8" hidden="false" customHeight="false" outlineLevel="0" collapsed="false">
      <c r="A1152" s="0" t="s">
        <v>2021</v>
      </c>
      <c r="B1152" s="0" t="s">
        <v>925</v>
      </c>
      <c r="C1152" s="0" t="n">
        <v>1</v>
      </c>
      <c r="D1152" s="0" t="str">
        <f aca="false">IF(C1152=0,B1152,"")</f>
        <v/>
      </c>
      <c r="E1152" s="0" t="str">
        <f aca="false">IF(C1152=0,A1152,"")</f>
        <v/>
      </c>
    </row>
    <row r="1153" customFormat="false" ht="12.8" hidden="false" customHeight="false" outlineLevel="0" collapsed="false">
      <c r="A1153" s="0" t="s">
        <v>2022</v>
      </c>
      <c r="B1153" s="0" t="s">
        <v>925</v>
      </c>
      <c r="C1153" s="0" t="n">
        <v>1</v>
      </c>
      <c r="D1153" s="0" t="str">
        <f aca="false">IF(C1153=0,B1153,"")</f>
        <v/>
      </c>
      <c r="E1153" s="0" t="str">
        <f aca="false">IF(C1153=0,A1153,"")</f>
        <v/>
      </c>
    </row>
    <row r="1154" customFormat="false" ht="12.8" hidden="false" customHeight="false" outlineLevel="0" collapsed="false">
      <c r="A1154" s="0" t="s">
        <v>2023</v>
      </c>
      <c r="B1154" s="0" t="s">
        <v>927</v>
      </c>
      <c r="C1154" s="0" t="n">
        <v>1</v>
      </c>
      <c r="D1154" s="0" t="str">
        <f aca="false">IF(C1154=0,B1154,"")</f>
        <v/>
      </c>
      <c r="E1154" s="0" t="str">
        <f aca="false">IF(C1154=0,A1154,"")</f>
        <v/>
      </c>
    </row>
    <row r="1155" customFormat="false" ht="12.8" hidden="false" customHeight="false" outlineLevel="0" collapsed="false">
      <c r="A1155" s="0" t="s">
        <v>2024</v>
      </c>
      <c r="B1155" s="0" t="s">
        <v>924</v>
      </c>
      <c r="C1155" s="0" t="n">
        <v>1</v>
      </c>
      <c r="D1155" s="0" t="str">
        <f aca="false">IF(C1155=0,B1155,"")</f>
        <v/>
      </c>
      <c r="E1155" s="0" t="str">
        <f aca="false">IF(C1155=0,A1155,"")</f>
        <v/>
      </c>
    </row>
    <row r="1156" customFormat="false" ht="12.8" hidden="false" customHeight="false" outlineLevel="0" collapsed="false">
      <c r="A1156" s="0" t="s">
        <v>811</v>
      </c>
      <c r="B1156" s="0" t="s">
        <v>1974</v>
      </c>
      <c r="C1156" s="0" t="n">
        <v>1</v>
      </c>
      <c r="D1156" s="0" t="str">
        <f aca="false">IF(C1156=0,B1156,"")</f>
        <v/>
      </c>
      <c r="E1156" s="0" t="str">
        <f aca="false">IF(C1156=0,A1156,"")</f>
        <v/>
      </c>
    </row>
    <row r="1157" customFormat="false" ht="12.8" hidden="false" customHeight="false" outlineLevel="0" collapsed="false">
      <c r="A1157" s="0" t="s">
        <v>2025</v>
      </c>
      <c r="B1157" s="0" t="s">
        <v>3416</v>
      </c>
      <c r="C1157" s="0" t="n">
        <v>0</v>
      </c>
      <c r="D1157" s="0" t="str">
        <f aca="false">IF(C1157=0,B1157,"")</f>
        <v>겍</v>
      </c>
      <c r="E1157" s="0" t="str">
        <f aca="false">IF(C1157=0,A1157,"")</f>
        <v>섹</v>
      </c>
    </row>
    <row r="1158" customFormat="false" ht="12.8" hidden="false" customHeight="false" outlineLevel="0" collapsed="false">
      <c r="A1158" s="0" t="s">
        <v>2026</v>
      </c>
      <c r="B1158" s="0" t="s">
        <v>933</v>
      </c>
      <c r="C1158" s="0" t="n">
        <v>1</v>
      </c>
      <c r="D1158" s="0" t="str">
        <f aca="false">IF(C1158=0,B1158,"")</f>
        <v/>
      </c>
      <c r="E1158" s="0" t="str">
        <f aca="false">IF(C1158=0,A1158,"")</f>
        <v/>
      </c>
    </row>
    <row r="1159" customFormat="false" ht="12.8" hidden="false" customHeight="false" outlineLevel="0" collapsed="false">
      <c r="A1159" s="0" t="s">
        <v>2027</v>
      </c>
      <c r="B1159" s="0" t="s">
        <v>934</v>
      </c>
      <c r="C1159" s="0" t="n">
        <v>1</v>
      </c>
      <c r="D1159" s="0" t="str">
        <f aca="false">IF(C1159=0,B1159,"")</f>
        <v/>
      </c>
      <c r="E1159" s="0" t="str">
        <f aca="false">IF(C1159=0,A1159,"")</f>
        <v/>
      </c>
    </row>
    <row r="1160" customFormat="false" ht="12.8" hidden="false" customHeight="false" outlineLevel="0" collapsed="false">
      <c r="A1160" s="0" t="s">
        <v>2028</v>
      </c>
      <c r="B1160" s="0" t="s">
        <v>935</v>
      </c>
      <c r="C1160" s="0" t="n">
        <v>1</v>
      </c>
      <c r="D1160" s="0" t="str">
        <f aca="false">IF(C1160=0,B1160,"")</f>
        <v/>
      </c>
      <c r="E1160" s="0" t="str">
        <f aca="false">IF(C1160=0,A1160,"")</f>
        <v/>
      </c>
    </row>
    <row r="1161" customFormat="false" ht="12.8" hidden="false" customHeight="false" outlineLevel="0" collapsed="false">
      <c r="A1161" s="0" t="s">
        <v>2029</v>
      </c>
      <c r="B1161" s="0" t="s">
        <v>936</v>
      </c>
      <c r="C1161" s="0" t="n">
        <v>1</v>
      </c>
      <c r="D1161" s="0" t="str">
        <f aca="false">IF(C1161=0,B1161,"")</f>
        <v/>
      </c>
      <c r="E1161" s="0" t="str">
        <f aca="false">IF(C1161=0,A1161,"")</f>
        <v/>
      </c>
    </row>
    <row r="1162" customFormat="false" ht="12.8" hidden="false" customHeight="false" outlineLevel="0" collapsed="false">
      <c r="A1162" s="0" t="s">
        <v>2030</v>
      </c>
      <c r="B1162" s="0" t="s">
        <v>937</v>
      </c>
      <c r="C1162" s="0" t="n">
        <v>1</v>
      </c>
      <c r="D1162" s="0" t="str">
        <f aca="false">IF(C1162=0,B1162,"")</f>
        <v/>
      </c>
      <c r="E1162" s="0" t="str">
        <f aca="false">IF(C1162=0,A1162,"")</f>
        <v/>
      </c>
    </row>
    <row r="1163" customFormat="false" ht="12.8" hidden="false" customHeight="false" outlineLevel="0" collapsed="false">
      <c r="A1163" s="0" t="s">
        <v>2031</v>
      </c>
      <c r="B1163" s="0" t="s">
        <v>937</v>
      </c>
      <c r="C1163" s="0" t="n">
        <v>1</v>
      </c>
      <c r="D1163" s="0" t="str">
        <f aca="false">IF(C1163=0,B1163,"")</f>
        <v/>
      </c>
      <c r="E1163" s="0" t="str">
        <f aca="false">IF(C1163=0,A1163,"")</f>
        <v/>
      </c>
    </row>
    <row r="1164" customFormat="false" ht="12.8" hidden="false" customHeight="false" outlineLevel="0" collapsed="false">
      <c r="A1164" s="0" t="s">
        <v>2032</v>
      </c>
      <c r="B1164" s="0" t="s">
        <v>939</v>
      </c>
      <c r="C1164" s="0" t="n">
        <v>1</v>
      </c>
      <c r="D1164" s="0" t="str">
        <f aca="false">IF(C1164=0,B1164,"")</f>
        <v/>
      </c>
      <c r="E1164" s="0" t="str">
        <f aca="false">IF(C1164=0,A1164,"")</f>
        <v/>
      </c>
    </row>
    <row r="1165" customFormat="false" ht="12.8" hidden="false" customHeight="false" outlineLevel="0" collapsed="false">
      <c r="A1165" s="0" t="s">
        <v>2033</v>
      </c>
      <c r="B1165" s="0" t="s">
        <v>2110</v>
      </c>
      <c r="C1165" s="0" t="n">
        <v>1</v>
      </c>
      <c r="D1165" s="0" t="str">
        <f aca="false">IF(C1165=0,B1165,"")</f>
        <v/>
      </c>
      <c r="E1165" s="0" t="str">
        <f aca="false">IF(C1165=0,A1165,"")</f>
        <v/>
      </c>
    </row>
    <row r="1166" customFormat="false" ht="12.8" hidden="false" customHeight="false" outlineLevel="0" collapsed="false">
      <c r="A1166" s="0" t="s">
        <v>2034</v>
      </c>
      <c r="B1166" s="0" t="s">
        <v>941</v>
      </c>
      <c r="C1166" s="0" t="n">
        <v>1</v>
      </c>
      <c r="D1166" s="0" t="str">
        <f aca="false">IF(C1166=0,B1166,"")</f>
        <v/>
      </c>
      <c r="E1166" s="0" t="str">
        <f aca="false">IF(C1166=0,A1166,"")</f>
        <v/>
      </c>
    </row>
    <row r="1167" customFormat="false" ht="12.8" hidden="false" customHeight="false" outlineLevel="0" collapsed="false">
      <c r="A1167" s="0" t="s">
        <v>2035</v>
      </c>
      <c r="B1167" s="0" t="s">
        <v>943</v>
      </c>
      <c r="C1167" s="0" t="n">
        <v>1</v>
      </c>
      <c r="D1167" s="0" t="str">
        <f aca="false">IF(C1167=0,B1167,"")</f>
        <v/>
      </c>
      <c r="E1167" s="0" t="str">
        <f aca="false">IF(C1167=0,A1167,"")</f>
        <v/>
      </c>
    </row>
    <row r="1168" customFormat="false" ht="12.8" hidden="false" customHeight="false" outlineLevel="0" collapsed="false">
      <c r="A1168" s="0" t="s">
        <v>2036</v>
      </c>
      <c r="B1168" s="0" t="s">
        <v>945</v>
      </c>
      <c r="C1168" s="0" t="n">
        <v>1</v>
      </c>
      <c r="D1168" s="0" t="str">
        <f aca="false">IF(C1168=0,B1168,"")</f>
        <v/>
      </c>
      <c r="E1168" s="0" t="str">
        <f aca="false">IF(C1168=0,A1168,"")</f>
        <v/>
      </c>
    </row>
    <row r="1169" customFormat="false" ht="12.8" hidden="false" customHeight="false" outlineLevel="0" collapsed="false">
      <c r="A1169" s="0" t="s">
        <v>2037</v>
      </c>
      <c r="B1169" s="0" t="s">
        <v>946</v>
      </c>
      <c r="C1169" s="0" t="n">
        <v>1</v>
      </c>
      <c r="D1169" s="0" t="str">
        <f aca="false">IF(C1169=0,B1169,"")</f>
        <v/>
      </c>
      <c r="E1169" s="0" t="str">
        <f aca="false">IF(C1169=0,A1169,"")</f>
        <v/>
      </c>
    </row>
    <row r="1170" customFormat="false" ht="12.8" hidden="false" customHeight="false" outlineLevel="0" collapsed="false">
      <c r="A1170" s="0" t="s">
        <v>2038</v>
      </c>
      <c r="B1170" s="0" t="s">
        <v>947</v>
      </c>
      <c r="C1170" s="0" t="n">
        <v>1</v>
      </c>
      <c r="D1170" s="0" t="str">
        <f aca="false">IF(C1170=0,B1170,"")</f>
        <v/>
      </c>
      <c r="E1170" s="0" t="str">
        <f aca="false">IF(C1170=0,A1170,"")</f>
        <v/>
      </c>
    </row>
    <row r="1171" customFormat="false" ht="12.8" hidden="false" customHeight="false" outlineLevel="0" collapsed="false">
      <c r="A1171" s="0" t="s">
        <v>2039</v>
      </c>
      <c r="B1171" s="0" t="s">
        <v>948</v>
      </c>
      <c r="C1171" s="0" t="n">
        <v>1</v>
      </c>
      <c r="D1171" s="0" t="str">
        <f aca="false">IF(C1171=0,B1171,"")</f>
        <v/>
      </c>
      <c r="E1171" s="0" t="str">
        <f aca="false">IF(C1171=0,A1171,"")</f>
        <v/>
      </c>
    </row>
    <row r="1172" customFormat="false" ht="12.8" hidden="false" customHeight="false" outlineLevel="0" collapsed="false">
      <c r="A1172" s="0" t="s">
        <v>2040</v>
      </c>
      <c r="B1172" s="0" t="s">
        <v>948</v>
      </c>
      <c r="C1172" s="0" t="n">
        <v>1</v>
      </c>
      <c r="D1172" s="0" t="str">
        <f aca="false">IF(C1172=0,B1172,"")</f>
        <v/>
      </c>
      <c r="E1172" s="0" t="str">
        <f aca="false">IF(C1172=0,A1172,"")</f>
        <v/>
      </c>
    </row>
    <row r="1173" customFormat="false" ht="12.8" hidden="false" customHeight="false" outlineLevel="0" collapsed="false">
      <c r="A1173" s="0" t="s">
        <v>2041</v>
      </c>
      <c r="B1173" s="0" t="s">
        <v>950</v>
      </c>
      <c r="C1173" s="0" t="n">
        <v>1</v>
      </c>
      <c r="D1173" s="0" t="str">
        <f aca="false">IF(C1173=0,B1173,"")</f>
        <v/>
      </c>
      <c r="E1173" s="0" t="str">
        <f aca="false">IF(C1173=0,A1173,"")</f>
        <v/>
      </c>
    </row>
    <row r="1174" customFormat="false" ht="12.8" hidden="false" customHeight="false" outlineLevel="0" collapsed="false">
      <c r="A1174" s="0" t="s">
        <v>2042</v>
      </c>
      <c r="B1174" s="0" t="s">
        <v>2068</v>
      </c>
      <c r="C1174" s="0" t="n">
        <v>1</v>
      </c>
      <c r="D1174" s="0" t="str">
        <f aca="false">IF(C1174=0,B1174,"")</f>
        <v/>
      </c>
      <c r="E1174" s="0" t="str">
        <f aca="false">IF(C1174=0,A1174,"")</f>
        <v/>
      </c>
    </row>
    <row r="1175" customFormat="false" ht="12.8" hidden="false" customHeight="false" outlineLevel="0" collapsed="false">
      <c r="A1175" s="0" t="s">
        <v>2043</v>
      </c>
      <c r="B1175" s="0" t="s">
        <v>953</v>
      </c>
      <c r="C1175" s="0" t="n">
        <v>1</v>
      </c>
      <c r="D1175" s="0" t="str">
        <f aca="false">IF(C1175=0,B1175,"")</f>
        <v/>
      </c>
      <c r="E1175" s="0" t="str">
        <f aca="false">IF(C1175=0,A1175,"")</f>
        <v/>
      </c>
    </row>
    <row r="1176" customFormat="false" ht="12.8" hidden="false" customHeight="false" outlineLevel="0" collapsed="false">
      <c r="A1176" s="0" t="s">
        <v>2044</v>
      </c>
      <c r="B1176" s="0" t="s">
        <v>954</v>
      </c>
      <c r="C1176" s="0" t="n">
        <v>1</v>
      </c>
      <c r="D1176" s="0" t="str">
        <f aca="false">IF(C1176=0,B1176,"")</f>
        <v/>
      </c>
      <c r="E1176" s="0" t="str">
        <f aca="false">IF(C1176=0,A1176,"")</f>
        <v/>
      </c>
    </row>
    <row r="1177" customFormat="false" ht="12.8" hidden="false" customHeight="false" outlineLevel="0" collapsed="false">
      <c r="A1177" s="0" t="s">
        <v>2045</v>
      </c>
      <c r="B1177" s="0" t="s">
        <v>3417</v>
      </c>
      <c r="C1177" s="0" t="n">
        <v>0</v>
      </c>
      <c r="D1177" s="0" t="str">
        <f aca="false">IF(C1177=0,B1177,"")</f>
        <v>곙</v>
      </c>
      <c r="E1177" s="0" t="str">
        <f aca="false">IF(C1177=0,A1177,"")</f>
        <v>솅</v>
      </c>
    </row>
    <row r="1178" customFormat="false" ht="12.8" hidden="false" customHeight="false" outlineLevel="0" collapsed="false">
      <c r="A1178" s="0" t="s">
        <v>2046</v>
      </c>
      <c r="B1178" s="0" t="s">
        <v>2010</v>
      </c>
      <c r="C1178" s="0" t="n">
        <v>1</v>
      </c>
      <c r="D1178" s="0" t="str">
        <f aca="false">IF(C1178=0,B1178,"")</f>
        <v/>
      </c>
      <c r="E1178" s="0" t="str">
        <f aca="false">IF(C1178=0,A1178,"")</f>
        <v/>
      </c>
    </row>
    <row r="1179" customFormat="false" ht="12.8" hidden="false" customHeight="false" outlineLevel="0" collapsed="false">
      <c r="A1179" s="0" t="s">
        <v>2047</v>
      </c>
      <c r="B1179" s="0" t="s">
        <v>958</v>
      </c>
      <c r="C1179" s="0" t="n">
        <v>1</v>
      </c>
      <c r="D1179" s="0" t="str">
        <f aca="false">IF(C1179=0,B1179,"")</f>
        <v/>
      </c>
      <c r="E1179" s="0" t="str">
        <f aca="false">IF(C1179=0,A1179,"")</f>
        <v/>
      </c>
    </row>
    <row r="1180" customFormat="false" ht="12.8" hidden="false" customHeight="false" outlineLevel="0" collapsed="false">
      <c r="A1180" s="0" t="s">
        <v>2048</v>
      </c>
      <c r="B1180" s="0" t="s">
        <v>958</v>
      </c>
      <c r="C1180" s="0" t="n">
        <v>1</v>
      </c>
      <c r="D1180" s="0" t="str">
        <f aca="false">IF(C1180=0,B1180,"")</f>
        <v/>
      </c>
      <c r="E1180" s="0" t="str">
        <f aca="false">IF(C1180=0,A1180,"")</f>
        <v/>
      </c>
    </row>
    <row r="1181" customFormat="false" ht="12.8" hidden="false" customHeight="false" outlineLevel="0" collapsed="false">
      <c r="A1181" s="0" t="s">
        <v>2049</v>
      </c>
      <c r="B1181" s="0" t="s">
        <v>959</v>
      </c>
      <c r="C1181" s="0" t="n">
        <v>1</v>
      </c>
      <c r="D1181" s="0" t="str">
        <f aca="false">IF(C1181=0,B1181,"")</f>
        <v/>
      </c>
      <c r="E1181" s="0" t="str">
        <f aca="false">IF(C1181=0,A1181,"")</f>
        <v/>
      </c>
    </row>
    <row r="1182" customFormat="false" ht="12.8" hidden="false" customHeight="false" outlineLevel="0" collapsed="false">
      <c r="A1182" s="0" t="s">
        <v>2050</v>
      </c>
      <c r="B1182" s="0" t="s">
        <v>961</v>
      </c>
      <c r="C1182" s="0" t="n">
        <v>1</v>
      </c>
      <c r="D1182" s="0" t="str">
        <f aca="false">IF(C1182=0,B1182,"")</f>
        <v/>
      </c>
      <c r="E1182" s="0" t="str">
        <f aca="false">IF(C1182=0,A1182,"")</f>
        <v/>
      </c>
    </row>
    <row r="1183" customFormat="false" ht="12.8" hidden="false" customHeight="false" outlineLevel="0" collapsed="false">
      <c r="A1183" s="0" t="s">
        <v>2051</v>
      </c>
      <c r="B1183" s="0" t="s">
        <v>961</v>
      </c>
      <c r="C1183" s="0" t="n">
        <v>1</v>
      </c>
      <c r="D1183" s="0" t="str">
        <f aca="false">IF(C1183=0,B1183,"")</f>
        <v/>
      </c>
      <c r="E1183" s="0" t="str">
        <f aca="false">IF(C1183=0,A1183,"")</f>
        <v/>
      </c>
    </row>
    <row r="1184" customFormat="false" ht="12.8" hidden="false" customHeight="false" outlineLevel="0" collapsed="false">
      <c r="A1184" s="0" t="s">
        <v>2052</v>
      </c>
      <c r="B1184" s="0" t="s">
        <v>965</v>
      </c>
      <c r="C1184" s="0" t="n">
        <v>1</v>
      </c>
      <c r="D1184" s="0" t="str">
        <f aca="false">IF(C1184=0,B1184,"")</f>
        <v/>
      </c>
      <c r="E1184" s="0" t="str">
        <f aca="false">IF(C1184=0,A1184,"")</f>
        <v/>
      </c>
    </row>
    <row r="1185" customFormat="false" ht="12.8" hidden="false" customHeight="false" outlineLevel="0" collapsed="false">
      <c r="A1185" s="0" t="s">
        <v>2053</v>
      </c>
      <c r="B1185" s="0" t="s">
        <v>966</v>
      </c>
      <c r="C1185" s="0" t="n">
        <v>1</v>
      </c>
      <c r="D1185" s="0" t="str">
        <f aca="false">IF(C1185=0,B1185,"")</f>
        <v/>
      </c>
      <c r="E1185" s="0" t="str">
        <f aca="false">IF(C1185=0,A1185,"")</f>
        <v/>
      </c>
    </row>
    <row r="1186" customFormat="false" ht="12.8" hidden="false" customHeight="false" outlineLevel="0" collapsed="false">
      <c r="A1186" s="0" t="s">
        <v>2054</v>
      </c>
      <c r="B1186" s="0" t="s">
        <v>967</v>
      </c>
      <c r="C1186" s="0" t="n">
        <v>1</v>
      </c>
      <c r="D1186" s="0" t="str">
        <f aca="false">IF(C1186=0,B1186,"")</f>
        <v/>
      </c>
      <c r="E1186" s="0" t="str">
        <f aca="false">IF(C1186=0,A1186,"")</f>
        <v/>
      </c>
    </row>
    <row r="1187" customFormat="false" ht="12.8" hidden="false" customHeight="false" outlineLevel="0" collapsed="false">
      <c r="A1187" s="0" t="s">
        <v>2055</v>
      </c>
      <c r="B1187" s="0" t="s">
        <v>968</v>
      </c>
      <c r="C1187" s="0" t="n">
        <v>1</v>
      </c>
      <c r="D1187" s="0" t="str">
        <f aca="false">IF(C1187=0,B1187,"")</f>
        <v/>
      </c>
      <c r="E1187" s="0" t="str">
        <f aca="false">IF(C1187=0,A1187,"")</f>
        <v/>
      </c>
    </row>
    <row r="1188" customFormat="false" ht="12.8" hidden="false" customHeight="false" outlineLevel="0" collapsed="false">
      <c r="A1188" s="0" t="s">
        <v>2056</v>
      </c>
      <c r="B1188" s="0" t="s">
        <v>967</v>
      </c>
      <c r="C1188" s="0" t="n">
        <v>1</v>
      </c>
      <c r="D1188" s="0" t="str">
        <f aca="false">IF(C1188=0,B1188,"")</f>
        <v/>
      </c>
      <c r="E1188" s="0" t="str">
        <f aca="false">IF(C1188=0,A1188,"")</f>
        <v/>
      </c>
    </row>
    <row r="1189" customFormat="false" ht="12.8" hidden="false" customHeight="false" outlineLevel="0" collapsed="false">
      <c r="A1189" s="0" t="s">
        <v>2057</v>
      </c>
      <c r="B1189" s="0" t="s">
        <v>2042</v>
      </c>
      <c r="C1189" s="0" t="n">
        <v>1</v>
      </c>
      <c r="D1189" s="0" t="str">
        <f aca="false">IF(C1189=0,B1189,"")</f>
        <v/>
      </c>
      <c r="E1189" s="0" t="str">
        <f aca="false">IF(C1189=0,A1189,"")</f>
        <v/>
      </c>
    </row>
    <row r="1190" customFormat="false" ht="12.8" hidden="false" customHeight="false" outlineLevel="0" collapsed="false">
      <c r="A1190" s="0" t="s">
        <v>2058</v>
      </c>
      <c r="B1190" s="0" t="s">
        <v>971</v>
      </c>
      <c r="C1190" s="0" t="n">
        <v>1</v>
      </c>
      <c r="D1190" s="0" t="str">
        <f aca="false">IF(C1190=0,B1190,"")</f>
        <v/>
      </c>
      <c r="E1190" s="0" t="str">
        <f aca="false">IF(C1190=0,A1190,"")</f>
        <v/>
      </c>
    </row>
    <row r="1191" customFormat="false" ht="12.8" hidden="false" customHeight="false" outlineLevel="0" collapsed="false">
      <c r="A1191" s="0" t="s">
        <v>2059</v>
      </c>
      <c r="B1191" s="0" t="s">
        <v>972</v>
      </c>
      <c r="C1191" s="0" t="n">
        <v>1</v>
      </c>
      <c r="D1191" s="0" t="str">
        <f aca="false">IF(C1191=0,B1191,"")</f>
        <v/>
      </c>
      <c r="E1191" s="0" t="str">
        <f aca="false">IF(C1191=0,A1191,"")</f>
        <v/>
      </c>
    </row>
    <row r="1192" customFormat="false" ht="12.8" hidden="false" customHeight="false" outlineLevel="0" collapsed="false">
      <c r="A1192" s="0" t="s">
        <v>2060</v>
      </c>
      <c r="B1192" s="0" t="s">
        <v>973</v>
      </c>
      <c r="C1192" s="0" t="n">
        <v>1</v>
      </c>
      <c r="D1192" s="0" t="str">
        <f aca="false">IF(C1192=0,B1192,"")</f>
        <v/>
      </c>
      <c r="E1192" s="0" t="str">
        <f aca="false">IF(C1192=0,A1192,"")</f>
        <v/>
      </c>
    </row>
    <row r="1193" customFormat="false" ht="12.8" hidden="false" customHeight="false" outlineLevel="0" collapsed="false">
      <c r="A1193" s="0" t="s">
        <v>2061</v>
      </c>
      <c r="B1193" s="0" t="s">
        <v>978</v>
      </c>
      <c r="C1193" s="0" t="n">
        <v>1</v>
      </c>
      <c r="D1193" s="0" t="str">
        <f aca="false">IF(C1193=0,B1193,"")</f>
        <v/>
      </c>
      <c r="E1193" s="0" t="str">
        <f aca="false">IF(C1193=0,A1193,"")</f>
        <v/>
      </c>
    </row>
    <row r="1194" customFormat="false" ht="12.8" hidden="false" customHeight="false" outlineLevel="0" collapsed="false">
      <c r="A1194" s="0" t="s">
        <v>2062</v>
      </c>
      <c r="B1194" s="0" t="s">
        <v>2005</v>
      </c>
      <c r="C1194" s="0" t="n">
        <v>1</v>
      </c>
      <c r="D1194" s="0" t="str">
        <f aca="false">IF(C1194=0,B1194,"")</f>
        <v/>
      </c>
      <c r="E1194" s="0" t="str">
        <f aca="false">IF(C1194=0,A1194,"")</f>
        <v/>
      </c>
    </row>
    <row r="1195" customFormat="false" ht="12.8" hidden="false" customHeight="false" outlineLevel="0" collapsed="false">
      <c r="A1195" s="0" t="s">
        <v>2063</v>
      </c>
      <c r="B1195" s="0" t="s">
        <v>980</v>
      </c>
      <c r="C1195" s="0" t="n">
        <v>1</v>
      </c>
      <c r="D1195" s="0" t="str">
        <f aca="false">IF(C1195=0,B1195,"")</f>
        <v/>
      </c>
      <c r="E1195" s="0" t="str">
        <f aca="false">IF(C1195=0,A1195,"")</f>
        <v/>
      </c>
    </row>
    <row r="1196" customFormat="false" ht="12.8" hidden="false" customHeight="false" outlineLevel="0" collapsed="false">
      <c r="A1196" s="0" t="s">
        <v>2064</v>
      </c>
      <c r="B1196" s="0" t="s">
        <v>981</v>
      </c>
      <c r="C1196" s="0" t="n">
        <v>1</v>
      </c>
      <c r="D1196" s="0" t="str">
        <f aca="false">IF(C1196=0,B1196,"")</f>
        <v/>
      </c>
      <c r="E1196" s="0" t="str">
        <f aca="false">IF(C1196=0,A1196,"")</f>
        <v/>
      </c>
    </row>
    <row r="1197" customFormat="false" ht="12.8" hidden="false" customHeight="false" outlineLevel="0" collapsed="false">
      <c r="A1197" s="0" t="s">
        <v>2065</v>
      </c>
      <c r="B1197" s="0" t="s">
        <v>3418</v>
      </c>
      <c r="C1197" s="0" t="n">
        <v>0</v>
      </c>
      <c r="D1197" s="0" t="str">
        <f aca="false">IF(C1197=0,B1197,"")</f>
        <v>괨</v>
      </c>
      <c r="E1197" s="0" t="str">
        <f aca="false">IF(C1197=0,A1197,"")</f>
        <v>쇔</v>
      </c>
    </row>
    <row r="1198" customFormat="false" ht="12.8" hidden="false" customHeight="false" outlineLevel="0" collapsed="false">
      <c r="A1198" s="0" t="s">
        <v>2066</v>
      </c>
      <c r="B1198" s="0" t="s">
        <v>3419</v>
      </c>
      <c r="C1198" s="0" t="n">
        <v>0</v>
      </c>
      <c r="D1198" s="0" t="str">
        <f aca="false">IF(C1198=0,B1198,"")</f>
        <v>괫</v>
      </c>
      <c r="E1198" s="0" t="str">
        <f aca="false">IF(C1198=0,A1198,"")</f>
        <v>쇗</v>
      </c>
    </row>
    <row r="1199" customFormat="false" ht="12.8" hidden="false" customHeight="false" outlineLevel="0" collapsed="false">
      <c r="A1199" s="0" t="s">
        <v>2067</v>
      </c>
      <c r="B1199" s="0" t="s">
        <v>3419</v>
      </c>
      <c r="C1199" s="0" t="n">
        <v>0</v>
      </c>
      <c r="D1199" s="0" t="str">
        <f aca="false">IF(C1199=0,B1199,"")</f>
        <v>괫</v>
      </c>
      <c r="E1199" s="0" t="str">
        <f aca="false">IF(C1199=0,A1199,"")</f>
        <v>쇘</v>
      </c>
    </row>
    <row r="1200" customFormat="false" ht="12.8" hidden="false" customHeight="false" outlineLevel="0" collapsed="false">
      <c r="A1200" s="0" t="s">
        <v>2068</v>
      </c>
      <c r="B1200" s="0" t="s">
        <v>2094</v>
      </c>
      <c r="C1200" s="0" t="n">
        <v>1</v>
      </c>
      <c r="D1200" s="0" t="str">
        <f aca="false">IF(C1200=0,B1200,"")</f>
        <v/>
      </c>
      <c r="E1200" s="0" t="str">
        <f aca="false">IF(C1200=0,A1200,"")</f>
        <v/>
      </c>
    </row>
    <row r="1201" customFormat="false" ht="12.8" hidden="false" customHeight="false" outlineLevel="0" collapsed="false">
      <c r="A1201" s="0" t="s">
        <v>2069</v>
      </c>
      <c r="B1201" s="0" t="s">
        <v>987</v>
      </c>
      <c r="C1201" s="0" t="n">
        <v>1</v>
      </c>
      <c r="D1201" s="0" t="str">
        <f aca="false">IF(C1201=0,B1201,"")</f>
        <v/>
      </c>
      <c r="E1201" s="0" t="str">
        <f aca="false">IF(C1201=0,A1201,"")</f>
        <v/>
      </c>
    </row>
    <row r="1202" customFormat="false" ht="12.8" hidden="false" customHeight="false" outlineLevel="0" collapsed="false">
      <c r="A1202" s="0" t="s">
        <v>2070</v>
      </c>
      <c r="B1202" s="0" t="s">
        <v>988</v>
      </c>
      <c r="C1202" s="0" t="n">
        <v>1</v>
      </c>
      <c r="D1202" s="0" t="str">
        <f aca="false">IF(C1202=0,B1202,"")</f>
        <v/>
      </c>
      <c r="E1202" s="0" t="str">
        <f aca="false">IF(C1202=0,A1202,"")</f>
        <v/>
      </c>
    </row>
    <row r="1203" customFormat="false" ht="12.8" hidden="false" customHeight="false" outlineLevel="0" collapsed="false">
      <c r="A1203" s="0" t="s">
        <v>2071</v>
      </c>
      <c r="B1203" s="0" t="s">
        <v>989</v>
      </c>
      <c r="C1203" s="0" t="n">
        <v>1</v>
      </c>
      <c r="D1203" s="0" t="str">
        <f aca="false">IF(C1203=0,B1203,"")</f>
        <v/>
      </c>
      <c r="E1203" s="0" t="str">
        <f aca="false">IF(C1203=0,A1203,"")</f>
        <v/>
      </c>
    </row>
    <row r="1204" customFormat="false" ht="12.8" hidden="false" customHeight="false" outlineLevel="0" collapsed="false">
      <c r="A1204" s="0" t="s">
        <v>2072</v>
      </c>
      <c r="B1204" s="0" t="s">
        <v>990</v>
      </c>
      <c r="C1204" s="0" t="n">
        <v>1</v>
      </c>
      <c r="D1204" s="0" t="str">
        <f aca="false">IF(C1204=0,B1204,"")</f>
        <v/>
      </c>
      <c r="E1204" s="0" t="str">
        <f aca="false">IF(C1204=0,A1204,"")</f>
        <v/>
      </c>
    </row>
    <row r="1205" customFormat="false" ht="12.8" hidden="false" customHeight="false" outlineLevel="0" collapsed="false">
      <c r="A1205" s="0" t="s">
        <v>2073</v>
      </c>
      <c r="B1205" s="0" t="s">
        <v>991</v>
      </c>
      <c r="C1205" s="0" t="n">
        <v>1</v>
      </c>
      <c r="D1205" s="0" t="str">
        <f aca="false">IF(C1205=0,B1205,"")</f>
        <v/>
      </c>
      <c r="E1205" s="0" t="str">
        <f aca="false">IF(C1205=0,A1205,"")</f>
        <v/>
      </c>
    </row>
    <row r="1206" customFormat="false" ht="12.8" hidden="false" customHeight="false" outlineLevel="0" collapsed="false">
      <c r="A1206" s="0" t="s">
        <v>2074</v>
      </c>
      <c r="B1206" s="0" t="s">
        <v>2033</v>
      </c>
      <c r="C1206" s="0" t="n">
        <v>1</v>
      </c>
      <c r="D1206" s="0" t="str">
        <f aca="false">IF(C1206=0,B1206,"")</f>
        <v/>
      </c>
      <c r="E1206" s="0" t="str">
        <f aca="false">IF(C1206=0,A1206,"")</f>
        <v/>
      </c>
    </row>
    <row r="1207" customFormat="false" ht="12.8" hidden="false" customHeight="false" outlineLevel="0" collapsed="false">
      <c r="A1207" s="0" t="s">
        <v>2075</v>
      </c>
      <c r="B1207" s="0" t="s">
        <v>3420</v>
      </c>
      <c r="C1207" s="0" t="n">
        <v>0</v>
      </c>
      <c r="D1207" s="0" t="str">
        <f aca="false">IF(C1207=0,B1207,"")</f>
        <v>굑</v>
      </c>
      <c r="E1207" s="0" t="str">
        <f aca="false">IF(C1207=0,A1207,"")</f>
        <v>쇽</v>
      </c>
    </row>
    <row r="1208" customFormat="false" ht="12.8" hidden="false" customHeight="false" outlineLevel="0" collapsed="false">
      <c r="A1208" s="0" t="s">
        <v>2076</v>
      </c>
      <c r="B1208" s="0" t="s">
        <v>994</v>
      </c>
      <c r="C1208" s="0" t="n">
        <v>1</v>
      </c>
      <c r="D1208" s="0" t="str">
        <f aca="false">IF(C1208=0,B1208,"")</f>
        <v/>
      </c>
      <c r="E1208" s="0" t="str">
        <f aca="false">IF(C1208=0,A1208,"")</f>
        <v/>
      </c>
    </row>
    <row r="1209" customFormat="false" ht="12.8" hidden="false" customHeight="false" outlineLevel="0" collapsed="false">
      <c r="A1209" s="0" t="s">
        <v>2077</v>
      </c>
      <c r="B1209" s="0" t="s">
        <v>995</v>
      </c>
      <c r="C1209" s="0" t="n">
        <v>1</v>
      </c>
      <c r="D1209" s="0" t="str">
        <f aca="false">IF(C1209=0,B1209,"")</f>
        <v/>
      </c>
      <c r="E1209" s="0" t="str">
        <f aca="false">IF(C1209=0,A1209,"")</f>
        <v/>
      </c>
    </row>
    <row r="1210" customFormat="false" ht="12.8" hidden="false" customHeight="false" outlineLevel="0" collapsed="false">
      <c r="A1210" s="0" t="s">
        <v>2078</v>
      </c>
      <c r="B1210" s="0" t="s">
        <v>3421</v>
      </c>
      <c r="C1210" s="0" t="n">
        <v>0</v>
      </c>
      <c r="D1210" s="0" t="str">
        <f aca="false">IF(C1210=0,B1210,"")</f>
        <v>굠</v>
      </c>
      <c r="E1210" s="0" t="str">
        <f aca="false">IF(C1210=0,A1210,"")</f>
        <v>숌</v>
      </c>
    </row>
    <row r="1211" customFormat="false" ht="12.8" hidden="false" customHeight="false" outlineLevel="0" collapsed="false">
      <c r="A1211" s="0" t="s">
        <v>2079</v>
      </c>
      <c r="B1211" s="0" t="s">
        <v>996</v>
      </c>
      <c r="C1211" s="0" t="n">
        <v>1</v>
      </c>
      <c r="D1211" s="0" t="str">
        <f aca="false">IF(C1211=0,B1211,"")</f>
        <v/>
      </c>
      <c r="E1211" s="0" t="str">
        <f aca="false">IF(C1211=0,A1211,"")</f>
        <v/>
      </c>
    </row>
    <row r="1212" customFormat="false" ht="12.8" hidden="false" customHeight="false" outlineLevel="0" collapsed="false">
      <c r="A1212" s="0" t="s">
        <v>2080</v>
      </c>
      <c r="B1212" s="0" t="s">
        <v>997</v>
      </c>
      <c r="C1212" s="0" t="n">
        <v>1</v>
      </c>
      <c r="D1212" s="0" t="str">
        <f aca="false">IF(C1212=0,B1212,"")</f>
        <v/>
      </c>
      <c r="E1212" s="0" t="str">
        <f aca="false">IF(C1212=0,A1212,"")</f>
        <v/>
      </c>
    </row>
    <row r="1213" customFormat="false" ht="12.8" hidden="false" customHeight="false" outlineLevel="0" collapsed="false">
      <c r="A1213" s="0" t="s">
        <v>2081</v>
      </c>
      <c r="B1213" s="0" t="s">
        <v>3422</v>
      </c>
      <c r="C1213" s="0" t="n">
        <v>0</v>
      </c>
      <c r="D1213" s="0" t="str">
        <f aca="false">IF(C1213=0,B1213,"")</f>
        <v>굥</v>
      </c>
      <c r="E1213" s="0" t="str">
        <f aca="false">IF(C1213=0,A1213,"")</f>
        <v>숑</v>
      </c>
    </row>
    <row r="1214" customFormat="false" ht="12.8" hidden="false" customHeight="false" outlineLevel="0" collapsed="false">
      <c r="A1214" s="0" t="s">
        <v>2082</v>
      </c>
      <c r="B1214" s="0" t="s">
        <v>811</v>
      </c>
      <c r="C1214" s="0" t="n">
        <v>1</v>
      </c>
      <c r="D1214" s="0" t="str">
        <f aca="false">IF(C1214=0,B1214,"")</f>
        <v/>
      </c>
      <c r="E1214" s="0" t="str">
        <f aca="false">IF(C1214=0,A1214,"")</f>
        <v/>
      </c>
    </row>
    <row r="1215" customFormat="false" ht="12.8" hidden="false" customHeight="false" outlineLevel="0" collapsed="false">
      <c r="A1215" s="0" t="s">
        <v>2083</v>
      </c>
      <c r="B1215" s="0" t="s">
        <v>999</v>
      </c>
      <c r="C1215" s="0" t="n">
        <v>1</v>
      </c>
      <c r="D1215" s="0" t="str">
        <f aca="false">IF(C1215=0,B1215,"")</f>
        <v/>
      </c>
      <c r="E1215" s="0" t="str">
        <f aca="false">IF(C1215=0,A1215,"")</f>
        <v/>
      </c>
    </row>
    <row r="1216" customFormat="false" ht="12.8" hidden="false" customHeight="false" outlineLevel="0" collapsed="false">
      <c r="A1216" s="0" t="s">
        <v>2084</v>
      </c>
      <c r="B1216" s="0" t="s">
        <v>1000</v>
      </c>
      <c r="C1216" s="0" t="n">
        <v>1</v>
      </c>
      <c r="D1216" s="0" t="str">
        <f aca="false">IF(C1216=0,B1216,"")</f>
        <v/>
      </c>
      <c r="E1216" s="0" t="str">
        <f aca="false">IF(C1216=0,A1216,"")</f>
        <v/>
      </c>
    </row>
    <row r="1217" customFormat="false" ht="12.8" hidden="false" customHeight="false" outlineLevel="0" collapsed="false">
      <c r="A1217" s="0" t="s">
        <v>2085</v>
      </c>
      <c r="B1217" s="0" t="s">
        <v>1008</v>
      </c>
      <c r="C1217" s="0" t="n">
        <v>1</v>
      </c>
      <c r="D1217" s="0" t="str">
        <f aca="false">IF(C1217=0,B1217,"")</f>
        <v/>
      </c>
      <c r="E1217" s="0" t="str">
        <f aca="false">IF(C1217=0,A1217,"")</f>
        <v/>
      </c>
    </row>
    <row r="1218" customFormat="false" ht="12.8" hidden="false" customHeight="false" outlineLevel="0" collapsed="false">
      <c r="A1218" s="0" t="s">
        <v>2086</v>
      </c>
      <c r="B1218" s="0" t="s">
        <v>1002</v>
      </c>
      <c r="C1218" s="0" t="n">
        <v>1</v>
      </c>
      <c r="D1218" s="0" t="str">
        <f aca="false">IF(C1218=0,B1218,"")</f>
        <v/>
      </c>
      <c r="E1218" s="0" t="str">
        <f aca="false">IF(C1218=0,A1218,"")</f>
        <v/>
      </c>
    </row>
    <row r="1219" customFormat="false" ht="12.8" hidden="false" customHeight="false" outlineLevel="0" collapsed="false">
      <c r="A1219" s="0" t="s">
        <v>2087</v>
      </c>
      <c r="B1219" s="0" t="s">
        <v>1006</v>
      </c>
      <c r="C1219" s="0" t="n">
        <v>1</v>
      </c>
      <c r="D1219" s="0" t="str">
        <f aca="false">IF(C1219=0,B1219,"")</f>
        <v/>
      </c>
      <c r="E1219" s="0" t="str">
        <f aca="false">IF(C1219=0,A1219,"")</f>
        <v/>
      </c>
    </row>
    <row r="1220" customFormat="false" ht="12.8" hidden="false" customHeight="false" outlineLevel="0" collapsed="false">
      <c r="A1220" s="0" t="s">
        <v>2088</v>
      </c>
      <c r="B1220" s="0" t="s">
        <v>1007</v>
      </c>
      <c r="C1220" s="0" t="n">
        <v>1</v>
      </c>
      <c r="D1220" s="0" t="str">
        <f aca="false">IF(C1220=0,B1220,"")</f>
        <v/>
      </c>
      <c r="E1220" s="0" t="str">
        <f aca="false">IF(C1220=0,A1220,"")</f>
        <v/>
      </c>
    </row>
    <row r="1221" customFormat="false" ht="12.8" hidden="false" customHeight="false" outlineLevel="0" collapsed="false">
      <c r="A1221" s="0" t="s">
        <v>2089</v>
      </c>
      <c r="B1221" s="0" t="s">
        <v>1008</v>
      </c>
      <c r="C1221" s="0" t="n">
        <v>1</v>
      </c>
      <c r="D1221" s="0" t="str">
        <f aca="false">IF(C1221=0,B1221,"")</f>
        <v/>
      </c>
      <c r="E1221" s="0" t="str">
        <f aca="false">IF(C1221=0,A1221,"")</f>
        <v/>
      </c>
    </row>
    <row r="1222" customFormat="false" ht="12.8" hidden="false" customHeight="false" outlineLevel="0" collapsed="false">
      <c r="A1222" s="0" t="s">
        <v>2090</v>
      </c>
      <c r="B1222" s="0" t="s">
        <v>1009</v>
      </c>
      <c r="C1222" s="0" t="n">
        <v>1</v>
      </c>
      <c r="D1222" s="0" t="str">
        <f aca="false">IF(C1222=0,B1222,"")</f>
        <v/>
      </c>
      <c r="E1222" s="0" t="str">
        <f aca="false">IF(C1222=0,A1222,"")</f>
        <v/>
      </c>
    </row>
    <row r="1223" customFormat="false" ht="12.8" hidden="false" customHeight="false" outlineLevel="0" collapsed="false">
      <c r="A1223" s="0" t="s">
        <v>2091</v>
      </c>
      <c r="B1223" s="0" t="s">
        <v>1008</v>
      </c>
      <c r="C1223" s="0" t="n">
        <v>1</v>
      </c>
      <c r="D1223" s="0" t="str">
        <f aca="false">IF(C1223=0,B1223,"")</f>
        <v/>
      </c>
      <c r="E1223" s="0" t="str">
        <f aca="false">IF(C1223=0,A1223,"")</f>
        <v/>
      </c>
    </row>
    <row r="1224" customFormat="false" ht="12.8" hidden="false" customHeight="false" outlineLevel="0" collapsed="false">
      <c r="A1224" s="0" t="s">
        <v>2092</v>
      </c>
      <c r="B1224" s="0" t="s">
        <v>1008</v>
      </c>
      <c r="C1224" s="0" t="n">
        <v>1</v>
      </c>
      <c r="D1224" s="0" t="str">
        <f aca="false">IF(C1224=0,B1224,"")</f>
        <v/>
      </c>
      <c r="E1224" s="0" t="str">
        <f aca="false">IF(C1224=0,A1224,"")</f>
        <v/>
      </c>
    </row>
    <row r="1225" customFormat="false" ht="12.8" hidden="false" customHeight="false" outlineLevel="0" collapsed="false">
      <c r="A1225" s="0" t="s">
        <v>2093</v>
      </c>
      <c r="B1225" s="0" t="s">
        <v>1007</v>
      </c>
      <c r="C1225" s="0" t="n">
        <v>1</v>
      </c>
      <c r="D1225" s="0" t="str">
        <f aca="false">IF(C1225=0,B1225,"")</f>
        <v/>
      </c>
      <c r="E1225" s="0" t="str">
        <f aca="false">IF(C1225=0,A1225,"")</f>
        <v/>
      </c>
    </row>
    <row r="1226" customFormat="false" ht="12.8" hidden="false" customHeight="false" outlineLevel="0" collapsed="false">
      <c r="A1226" s="0" t="s">
        <v>2094</v>
      </c>
      <c r="B1226" s="0" t="s">
        <v>2057</v>
      </c>
      <c r="C1226" s="0" t="n">
        <v>1</v>
      </c>
      <c r="D1226" s="0" t="str">
        <f aca="false">IF(C1226=0,B1226,"")</f>
        <v/>
      </c>
      <c r="E1226" s="0" t="str">
        <f aca="false">IF(C1226=0,A1226,"")</f>
        <v/>
      </c>
    </row>
    <row r="1227" customFormat="false" ht="12.8" hidden="false" customHeight="false" outlineLevel="0" collapsed="false">
      <c r="A1227" s="0" t="s">
        <v>2095</v>
      </c>
      <c r="B1227" s="0" t="s">
        <v>3423</v>
      </c>
      <c r="C1227" s="0" t="n">
        <v>0</v>
      </c>
      <c r="D1227" s="0" t="str">
        <f aca="false">IF(C1227=0,B1227,"")</f>
        <v>궛</v>
      </c>
      <c r="E1227" s="0" t="str">
        <f aca="false">IF(C1227=0,A1227,"")</f>
        <v>쉈</v>
      </c>
    </row>
    <row r="1228" customFormat="false" ht="12.8" hidden="false" customHeight="false" outlineLevel="0" collapsed="false">
      <c r="A1228" s="0" t="s">
        <v>2096</v>
      </c>
      <c r="B1228" s="0" t="s">
        <v>2062</v>
      </c>
      <c r="C1228" s="0" t="n">
        <v>1</v>
      </c>
      <c r="D1228" s="0" t="str">
        <f aca="false">IF(C1228=0,B1228,"")</f>
        <v/>
      </c>
      <c r="E1228" s="0" t="str">
        <f aca="false">IF(C1228=0,A1228,"")</f>
        <v/>
      </c>
    </row>
    <row r="1229" customFormat="false" ht="12.8" hidden="false" customHeight="false" outlineLevel="0" collapsed="false">
      <c r="A1229" s="0" t="s">
        <v>2097</v>
      </c>
      <c r="B1229" s="0" t="s">
        <v>3424</v>
      </c>
      <c r="C1229" s="0" t="n">
        <v>0</v>
      </c>
      <c r="D1229" s="0" t="str">
        <f aca="false">IF(C1229=0,B1229,"")</f>
        <v>궥</v>
      </c>
      <c r="E1229" s="0" t="str">
        <f aca="false">IF(C1229=0,A1229,"")</f>
        <v>쉑</v>
      </c>
    </row>
    <row r="1230" customFormat="false" ht="12.8" hidden="false" customHeight="false" outlineLevel="0" collapsed="false">
      <c r="A1230" s="0" t="s">
        <v>2098</v>
      </c>
      <c r="B1230" s="0" t="s">
        <v>3425</v>
      </c>
      <c r="C1230" s="0" t="n">
        <v>0</v>
      </c>
      <c r="D1230" s="0" t="str">
        <f aca="false">IF(C1230=0,B1230,"")</f>
        <v>궨</v>
      </c>
      <c r="E1230" s="0" t="str">
        <f aca="false">IF(C1230=0,A1230,"")</f>
        <v>쉔</v>
      </c>
    </row>
    <row r="1231" customFormat="false" ht="12.8" hidden="false" customHeight="false" outlineLevel="0" collapsed="false">
      <c r="A1231" s="0" t="s">
        <v>2099</v>
      </c>
      <c r="B1231" s="0" t="s">
        <v>3426</v>
      </c>
      <c r="C1231" s="0" t="n">
        <v>0</v>
      </c>
      <c r="D1231" s="0" t="str">
        <f aca="false">IF(C1231=0,B1231,"")</f>
        <v>궬</v>
      </c>
      <c r="E1231" s="0" t="str">
        <f aca="false">IF(C1231=0,A1231,"")</f>
        <v>쉘</v>
      </c>
    </row>
    <row r="1232" customFormat="false" ht="12.8" hidden="false" customHeight="false" outlineLevel="0" collapsed="false">
      <c r="A1232" s="0" t="s">
        <v>2100</v>
      </c>
      <c r="B1232" s="0" t="s">
        <v>3427</v>
      </c>
      <c r="C1232" s="0" t="n">
        <v>0</v>
      </c>
      <c r="D1232" s="0" t="str">
        <f aca="false">IF(C1232=0,B1232,"")</f>
        <v>궴</v>
      </c>
      <c r="E1232" s="0" t="str">
        <f aca="false">IF(C1232=0,A1232,"")</f>
        <v>쉠</v>
      </c>
    </row>
    <row r="1233" customFormat="false" ht="12.8" hidden="false" customHeight="false" outlineLevel="0" collapsed="false">
      <c r="A1233" s="0" t="s">
        <v>2101</v>
      </c>
      <c r="B1233" s="0" t="s">
        <v>3428</v>
      </c>
      <c r="C1233" s="0" t="n">
        <v>0</v>
      </c>
      <c r="D1233" s="0" t="str">
        <f aca="false">IF(C1233=0,B1233,"")</f>
        <v>궹</v>
      </c>
      <c r="E1233" s="0" t="str">
        <f aca="false">IF(C1233=0,A1233,"")</f>
        <v>쉥</v>
      </c>
    </row>
    <row r="1234" customFormat="false" ht="12.8" hidden="false" customHeight="false" outlineLevel="0" collapsed="false">
      <c r="A1234" s="0" t="s">
        <v>2102</v>
      </c>
      <c r="B1234" s="0" t="s">
        <v>2096</v>
      </c>
      <c r="C1234" s="0" t="n">
        <v>1</v>
      </c>
      <c r="D1234" s="0" t="str">
        <f aca="false">IF(C1234=0,B1234,"")</f>
        <v/>
      </c>
      <c r="E1234" s="0" t="str">
        <f aca="false">IF(C1234=0,A1234,"")</f>
        <v/>
      </c>
    </row>
    <row r="1235" customFormat="false" ht="12.8" hidden="false" customHeight="false" outlineLevel="0" collapsed="false">
      <c r="A1235" s="0" t="s">
        <v>2103</v>
      </c>
      <c r="B1235" s="0" t="s">
        <v>1020</v>
      </c>
      <c r="C1235" s="0" t="n">
        <v>1</v>
      </c>
      <c r="D1235" s="0" t="str">
        <f aca="false">IF(C1235=0,B1235,"")</f>
        <v/>
      </c>
      <c r="E1235" s="0" t="str">
        <f aca="false">IF(C1235=0,A1235,"")</f>
        <v/>
      </c>
    </row>
    <row r="1236" customFormat="false" ht="12.8" hidden="false" customHeight="false" outlineLevel="0" collapsed="false">
      <c r="A1236" s="0" t="s">
        <v>2104</v>
      </c>
      <c r="B1236" s="0" t="s">
        <v>1021</v>
      </c>
      <c r="C1236" s="0" t="n">
        <v>1</v>
      </c>
      <c r="D1236" s="0" t="str">
        <f aca="false">IF(C1236=0,B1236,"")</f>
        <v/>
      </c>
      <c r="E1236" s="0" t="str">
        <f aca="false">IF(C1236=0,A1236,"")</f>
        <v/>
      </c>
    </row>
    <row r="1237" customFormat="false" ht="12.8" hidden="false" customHeight="false" outlineLevel="0" collapsed="false">
      <c r="A1237" s="0" t="s">
        <v>2105</v>
      </c>
      <c r="B1237" s="0" t="s">
        <v>1022</v>
      </c>
      <c r="C1237" s="0" t="n">
        <v>1</v>
      </c>
      <c r="D1237" s="0" t="str">
        <f aca="false">IF(C1237=0,B1237,"")</f>
        <v/>
      </c>
      <c r="E1237" s="0" t="str">
        <f aca="false">IF(C1237=0,A1237,"")</f>
        <v/>
      </c>
    </row>
    <row r="1238" customFormat="false" ht="12.8" hidden="false" customHeight="false" outlineLevel="0" collapsed="false">
      <c r="A1238" s="0" t="s">
        <v>2106</v>
      </c>
      <c r="B1238" s="0" t="s">
        <v>1023</v>
      </c>
      <c r="C1238" s="0" t="n">
        <v>1</v>
      </c>
      <c r="D1238" s="0" t="str">
        <f aca="false">IF(C1238=0,B1238,"")</f>
        <v/>
      </c>
      <c r="E1238" s="0" t="str">
        <f aca="false">IF(C1238=0,A1238,"")</f>
        <v/>
      </c>
    </row>
    <row r="1239" customFormat="false" ht="12.8" hidden="false" customHeight="false" outlineLevel="0" collapsed="false">
      <c r="A1239" s="0" t="s">
        <v>2107</v>
      </c>
      <c r="B1239" s="0" t="s">
        <v>1024</v>
      </c>
      <c r="C1239" s="0" t="n">
        <v>1</v>
      </c>
      <c r="D1239" s="0" t="str">
        <f aca="false">IF(C1239=0,B1239,"")</f>
        <v/>
      </c>
      <c r="E1239" s="0" t="str">
        <f aca="false">IF(C1239=0,A1239,"")</f>
        <v/>
      </c>
    </row>
    <row r="1240" customFormat="false" ht="12.8" hidden="false" customHeight="false" outlineLevel="0" collapsed="false">
      <c r="A1240" s="0" t="s">
        <v>2108</v>
      </c>
      <c r="B1240" s="0" t="s">
        <v>1025</v>
      </c>
      <c r="C1240" s="0" t="n">
        <v>1</v>
      </c>
      <c r="D1240" s="0" t="str">
        <f aca="false">IF(C1240=0,B1240,"")</f>
        <v/>
      </c>
      <c r="E1240" s="0" t="str">
        <f aca="false">IF(C1240=0,A1240,"")</f>
        <v/>
      </c>
    </row>
    <row r="1241" customFormat="false" ht="12.8" hidden="false" customHeight="false" outlineLevel="0" collapsed="false">
      <c r="A1241" s="0" t="s">
        <v>2109</v>
      </c>
      <c r="B1241" s="0" t="s">
        <v>3429</v>
      </c>
      <c r="C1241" s="0" t="n">
        <v>0</v>
      </c>
      <c r="D1241" s="0" t="str">
        <f aca="false">IF(C1241=0,B1241,"")</f>
        <v>귕</v>
      </c>
      <c r="E1241" s="0" t="str">
        <f aca="false">IF(C1241=0,A1241,"")</f>
        <v>슁</v>
      </c>
    </row>
    <row r="1242" customFormat="false" ht="12.8" hidden="false" customHeight="false" outlineLevel="0" collapsed="false">
      <c r="A1242" s="0" t="s">
        <v>2110</v>
      </c>
      <c r="B1242" s="0" t="s">
        <v>1988</v>
      </c>
      <c r="C1242" s="0" t="n">
        <v>1</v>
      </c>
      <c r="D1242" s="0" t="str">
        <f aca="false">IF(C1242=0,B1242,"")</f>
        <v/>
      </c>
      <c r="E1242" s="0" t="str">
        <f aca="false">IF(C1242=0,A1242,"")</f>
        <v/>
      </c>
    </row>
    <row r="1243" customFormat="false" ht="12.8" hidden="false" customHeight="false" outlineLevel="0" collapsed="false">
      <c r="A1243" s="0" t="s">
        <v>2111</v>
      </c>
      <c r="B1243" s="0" t="s">
        <v>3430</v>
      </c>
      <c r="C1243" s="0" t="n">
        <v>0</v>
      </c>
      <c r="D1243" s="0" t="str">
        <f aca="false">IF(C1243=0,B1243,"")</f>
        <v>귝</v>
      </c>
      <c r="E1243" s="0" t="str">
        <f aca="false">IF(C1243=0,A1243,"")</f>
        <v>슉</v>
      </c>
    </row>
    <row r="1244" customFormat="false" ht="12.8" hidden="false" customHeight="false" outlineLevel="0" collapsed="false">
      <c r="A1244" s="0" t="s">
        <v>2112</v>
      </c>
      <c r="B1244" s="0" t="s">
        <v>1028</v>
      </c>
      <c r="C1244" s="0" t="n">
        <v>1</v>
      </c>
      <c r="D1244" s="0" t="str">
        <f aca="false">IF(C1244=0,B1244,"")</f>
        <v/>
      </c>
      <c r="E1244" s="0" t="str">
        <f aca="false">IF(C1244=0,A1244,"")</f>
        <v/>
      </c>
    </row>
    <row r="1245" customFormat="false" ht="12.8" hidden="false" customHeight="false" outlineLevel="0" collapsed="false">
      <c r="A1245" s="0" t="s">
        <v>2113</v>
      </c>
      <c r="B1245" s="0" t="s">
        <v>3431</v>
      </c>
      <c r="C1245" s="0" t="n">
        <v>0</v>
      </c>
      <c r="D1245" s="0" t="str">
        <f aca="false">IF(C1245=0,B1245,"")</f>
        <v>귬</v>
      </c>
      <c r="E1245" s="0" t="str">
        <f aca="false">IF(C1245=0,A1245,"")</f>
        <v>슘</v>
      </c>
    </row>
    <row r="1246" customFormat="false" ht="12.8" hidden="false" customHeight="false" outlineLevel="0" collapsed="false">
      <c r="A1246" s="0" t="s">
        <v>2114</v>
      </c>
      <c r="B1246" s="0" t="s">
        <v>3432</v>
      </c>
      <c r="C1246" s="0" t="n">
        <v>0</v>
      </c>
      <c r="D1246" s="0" t="str">
        <f aca="false">IF(C1246=0,B1246,"")</f>
        <v>귯</v>
      </c>
      <c r="E1246" s="0" t="str">
        <f aca="false">IF(C1246=0,A1246,"")</f>
        <v>슛</v>
      </c>
    </row>
    <row r="1247" customFormat="false" ht="12.8" hidden="false" customHeight="false" outlineLevel="0" collapsed="false">
      <c r="A1247" s="0" t="s">
        <v>2115</v>
      </c>
      <c r="B1247" s="0" t="s">
        <v>3433</v>
      </c>
      <c r="C1247" s="0" t="n">
        <v>0</v>
      </c>
      <c r="D1247" s="0" t="str">
        <f aca="false">IF(C1247=0,B1247,"")</f>
        <v>귱</v>
      </c>
      <c r="E1247" s="0" t="str">
        <f aca="false">IF(C1247=0,A1247,"")</f>
        <v>슝</v>
      </c>
    </row>
    <row r="1248" customFormat="false" ht="12.8" hidden="false" customHeight="false" outlineLevel="0" collapsed="false">
      <c r="A1248" s="0" t="s">
        <v>789</v>
      </c>
      <c r="B1248" s="0" t="s">
        <v>1997</v>
      </c>
      <c r="C1248" s="0" t="n">
        <v>1</v>
      </c>
      <c r="D1248" s="0" t="str">
        <f aca="false">IF(C1248=0,B1248,"")</f>
        <v/>
      </c>
      <c r="E1248" s="0" t="str">
        <f aca="false">IF(C1248=0,A1248,"")</f>
        <v/>
      </c>
    </row>
    <row r="1249" customFormat="false" ht="12.8" hidden="false" customHeight="false" outlineLevel="0" collapsed="false">
      <c r="A1249" s="0" t="s">
        <v>2116</v>
      </c>
      <c r="B1249" s="0" t="s">
        <v>1030</v>
      </c>
      <c r="C1249" s="0" t="n">
        <v>1</v>
      </c>
      <c r="D1249" s="0" t="str">
        <f aca="false">IF(C1249=0,B1249,"")</f>
        <v/>
      </c>
      <c r="E1249" s="0" t="str">
        <f aca="false">IF(C1249=0,A1249,"")</f>
        <v/>
      </c>
    </row>
    <row r="1250" customFormat="false" ht="12.8" hidden="false" customHeight="false" outlineLevel="0" collapsed="false">
      <c r="A1250" s="0" t="s">
        <v>2117</v>
      </c>
      <c r="B1250" s="0" t="s">
        <v>1031</v>
      </c>
      <c r="C1250" s="0" t="n">
        <v>1</v>
      </c>
      <c r="D1250" s="0" t="str">
        <f aca="false">IF(C1250=0,B1250,"")</f>
        <v/>
      </c>
      <c r="E1250" s="0" t="str">
        <f aca="false">IF(C1250=0,A1250,"")</f>
        <v/>
      </c>
    </row>
    <row r="1251" customFormat="false" ht="12.8" hidden="false" customHeight="false" outlineLevel="0" collapsed="false">
      <c r="A1251" s="0" t="s">
        <v>2118</v>
      </c>
      <c r="B1251" s="0" t="s">
        <v>1033</v>
      </c>
      <c r="C1251" s="0" t="n">
        <v>1</v>
      </c>
      <c r="D1251" s="0" t="str">
        <f aca="false">IF(C1251=0,B1251,"")</f>
        <v/>
      </c>
      <c r="E1251" s="0" t="str">
        <f aca="false">IF(C1251=0,A1251,"")</f>
        <v/>
      </c>
    </row>
    <row r="1252" customFormat="false" ht="12.8" hidden="false" customHeight="false" outlineLevel="0" collapsed="false">
      <c r="A1252" s="0" t="s">
        <v>2119</v>
      </c>
      <c r="B1252" s="0" t="s">
        <v>1033</v>
      </c>
      <c r="C1252" s="0" t="n">
        <v>1</v>
      </c>
      <c r="D1252" s="0" t="str">
        <f aca="false">IF(C1252=0,B1252,"")</f>
        <v/>
      </c>
      <c r="E1252" s="0" t="str">
        <f aca="false">IF(C1252=0,A1252,"")</f>
        <v/>
      </c>
    </row>
    <row r="1253" customFormat="false" ht="12.8" hidden="false" customHeight="false" outlineLevel="0" collapsed="false">
      <c r="A1253" s="0" t="s">
        <v>2120</v>
      </c>
      <c r="B1253" s="0" t="s">
        <v>1035</v>
      </c>
      <c r="C1253" s="0" t="n">
        <v>1</v>
      </c>
      <c r="D1253" s="0" t="str">
        <f aca="false">IF(C1253=0,B1253,"")</f>
        <v/>
      </c>
      <c r="E1253" s="0" t="str">
        <f aca="false">IF(C1253=0,A1253,"")</f>
        <v/>
      </c>
    </row>
    <row r="1254" customFormat="false" ht="12.8" hidden="false" customHeight="false" outlineLevel="0" collapsed="false">
      <c r="A1254" s="0" t="s">
        <v>816</v>
      </c>
      <c r="B1254" s="0" t="s">
        <v>1036</v>
      </c>
      <c r="C1254" s="0" t="n">
        <v>1</v>
      </c>
      <c r="D1254" s="0" t="str">
        <f aca="false">IF(C1254=0,B1254,"")</f>
        <v/>
      </c>
      <c r="E1254" s="0" t="str">
        <f aca="false">IF(C1254=0,A1254,"")</f>
        <v/>
      </c>
    </row>
    <row r="1255" customFormat="false" ht="12.8" hidden="false" customHeight="false" outlineLevel="0" collapsed="false">
      <c r="A1255" s="0" t="s">
        <v>2121</v>
      </c>
      <c r="B1255" s="0" t="s">
        <v>1037</v>
      </c>
      <c r="C1255" s="0" t="n">
        <v>1</v>
      </c>
      <c r="D1255" s="0" t="str">
        <f aca="false">IF(C1255=0,B1255,"")</f>
        <v/>
      </c>
      <c r="E1255" s="0" t="str">
        <f aca="false">IF(C1255=0,A1255,"")</f>
        <v/>
      </c>
    </row>
    <row r="1256" customFormat="false" ht="12.8" hidden="false" customHeight="false" outlineLevel="0" collapsed="false">
      <c r="A1256" s="0" t="s">
        <v>2122</v>
      </c>
      <c r="B1256" s="0" t="s">
        <v>1038</v>
      </c>
      <c r="C1256" s="0" t="n">
        <v>1</v>
      </c>
      <c r="D1256" s="0" t="str">
        <f aca="false">IF(C1256=0,B1256,"")</f>
        <v/>
      </c>
      <c r="E1256" s="0" t="str">
        <f aca="false">IF(C1256=0,A1256,"")</f>
        <v/>
      </c>
    </row>
    <row r="1257" customFormat="false" ht="12.8" hidden="false" customHeight="false" outlineLevel="0" collapsed="false">
      <c r="A1257" s="0" t="s">
        <v>2123</v>
      </c>
      <c r="B1257" s="0" t="s">
        <v>789</v>
      </c>
      <c r="C1257" s="0" t="n">
        <v>1</v>
      </c>
      <c r="D1257" s="0" t="str">
        <f aca="false">IF(C1257=0,B1257,"")</f>
        <v/>
      </c>
      <c r="E1257" s="0" t="str">
        <f aca="false">IF(C1257=0,A1257,"")</f>
        <v/>
      </c>
    </row>
    <row r="1258" customFormat="false" ht="12.8" hidden="false" customHeight="false" outlineLevel="0" collapsed="false">
      <c r="A1258" s="0" t="s">
        <v>2124</v>
      </c>
      <c r="B1258" s="0" t="s">
        <v>1041</v>
      </c>
      <c r="C1258" s="0" t="n">
        <v>1</v>
      </c>
      <c r="D1258" s="0" t="str">
        <f aca="false">IF(C1258=0,B1258,"")</f>
        <v/>
      </c>
      <c r="E1258" s="0" t="str">
        <f aca="false">IF(C1258=0,A1258,"")</f>
        <v/>
      </c>
    </row>
    <row r="1259" customFormat="false" ht="12.8" hidden="false" customHeight="false" outlineLevel="0" collapsed="false">
      <c r="A1259" s="0" t="s">
        <v>2125</v>
      </c>
      <c r="B1259" s="0" t="s">
        <v>1042</v>
      </c>
      <c r="C1259" s="0" t="n">
        <v>1</v>
      </c>
      <c r="D1259" s="0" t="str">
        <f aca="false">IF(C1259=0,B1259,"")</f>
        <v/>
      </c>
      <c r="E1259" s="0" t="str">
        <f aca="false">IF(C1259=0,A1259,"")</f>
        <v/>
      </c>
    </row>
    <row r="1260" customFormat="false" ht="12.8" hidden="false" customHeight="false" outlineLevel="0" collapsed="false">
      <c r="A1260" s="0" t="s">
        <v>2126</v>
      </c>
      <c r="B1260" s="0" t="s">
        <v>1048</v>
      </c>
      <c r="C1260" s="0" t="n">
        <v>1</v>
      </c>
      <c r="D1260" s="0" t="str">
        <f aca="false">IF(C1260=0,B1260,"")</f>
        <v/>
      </c>
      <c r="E1260" s="0" t="str">
        <f aca="false">IF(C1260=0,A1260,"")</f>
        <v/>
      </c>
    </row>
    <row r="1261" customFormat="false" ht="12.8" hidden="false" customHeight="false" outlineLevel="0" collapsed="false">
      <c r="A1261" s="0" t="s">
        <v>2127</v>
      </c>
      <c r="B1261" s="0" t="s">
        <v>1044</v>
      </c>
      <c r="C1261" s="0" t="n">
        <v>1</v>
      </c>
      <c r="D1261" s="0" t="str">
        <f aca="false">IF(C1261=0,B1261,"")</f>
        <v/>
      </c>
      <c r="E1261" s="0" t="str">
        <f aca="false">IF(C1261=0,A1261,"")</f>
        <v/>
      </c>
    </row>
    <row r="1262" customFormat="false" ht="12.8" hidden="false" customHeight="false" outlineLevel="0" collapsed="false">
      <c r="A1262" s="0" t="s">
        <v>2128</v>
      </c>
      <c r="B1262" s="0" t="s">
        <v>1044</v>
      </c>
      <c r="C1262" s="0" t="n">
        <v>1</v>
      </c>
      <c r="D1262" s="0" t="str">
        <f aca="false">IF(C1262=0,B1262,"")</f>
        <v/>
      </c>
      <c r="E1262" s="0" t="str">
        <f aca="false">IF(C1262=0,A1262,"")</f>
        <v/>
      </c>
    </row>
    <row r="1263" customFormat="false" ht="12.8" hidden="false" customHeight="false" outlineLevel="0" collapsed="false">
      <c r="A1263" s="0" t="s">
        <v>2129</v>
      </c>
      <c r="B1263" s="0" t="s">
        <v>1046</v>
      </c>
      <c r="C1263" s="0" t="n">
        <v>1</v>
      </c>
      <c r="D1263" s="0" t="str">
        <f aca="false">IF(C1263=0,B1263,"")</f>
        <v/>
      </c>
      <c r="E1263" s="0" t="str">
        <f aca="false">IF(C1263=0,A1263,"")</f>
        <v/>
      </c>
    </row>
    <row r="1264" customFormat="false" ht="12.8" hidden="false" customHeight="false" outlineLevel="0" collapsed="false">
      <c r="A1264" s="0" t="s">
        <v>2130</v>
      </c>
      <c r="B1264" s="0" t="s">
        <v>1047</v>
      </c>
      <c r="C1264" s="0" t="n">
        <v>1</v>
      </c>
      <c r="D1264" s="0" t="str">
        <f aca="false">IF(C1264=0,B1264,"")</f>
        <v/>
      </c>
      <c r="E1264" s="0" t="str">
        <f aca="false">IF(C1264=0,A1264,"")</f>
        <v/>
      </c>
    </row>
    <row r="1265" customFormat="false" ht="12.8" hidden="false" customHeight="false" outlineLevel="0" collapsed="false">
      <c r="A1265" s="0" t="s">
        <v>2131</v>
      </c>
      <c r="B1265" s="0" t="s">
        <v>1048</v>
      </c>
      <c r="C1265" s="0" t="n">
        <v>1</v>
      </c>
      <c r="D1265" s="0" t="str">
        <f aca="false">IF(C1265=0,B1265,"")</f>
        <v/>
      </c>
      <c r="E1265" s="0" t="str">
        <f aca="false">IF(C1265=0,A1265,"")</f>
        <v/>
      </c>
    </row>
    <row r="1266" customFormat="false" ht="12.8" hidden="false" customHeight="false" outlineLevel="0" collapsed="false">
      <c r="A1266" s="0" t="s">
        <v>2132</v>
      </c>
      <c r="B1266" s="0" t="s">
        <v>1049</v>
      </c>
      <c r="C1266" s="0" t="n">
        <v>1</v>
      </c>
      <c r="D1266" s="0" t="str">
        <f aca="false">IF(C1266=0,B1266,"")</f>
        <v/>
      </c>
      <c r="E1266" s="0" t="str">
        <f aca="false">IF(C1266=0,A1266,"")</f>
        <v/>
      </c>
    </row>
    <row r="1267" customFormat="false" ht="12.8" hidden="false" customHeight="false" outlineLevel="0" collapsed="false">
      <c r="A1267" s="0" t="s">
        <v>2133</v>
      </c>
      <c r="B1267" s="0" t="s">
        <v>1047</v>
      </c>
      <c r="C1267" s="0" t="n">
        <v>1</v>
      </c>
      <c r="D1267" s="0" t="str">
        <f aca="false">IF(C1267=0,B1267,"")</f>
        <v/>
      </c>
      <c r="E1267" s="0" t="str">
        <f aca="false">IF(C1267=0,A1267,"")</f>
        <v/>
      </c>
    </row>
    <row r="1268" customFormat="false" ht="12.8" hidden="false" customHeight="false" outlineLevel="0" collapsed="false">
      <c r="A1268" s="0" t="s">
        <v>2134</v>
      </c>
      <c r="B1268" s="0" t="s">
        <v>2166</v>
      </c>
      <c r="C1268" s="0" t="n">
        <v>1</v>
      </c>
      <c r="D1268" s="0" t="str">
        <f aca="false">IF(C1268=0,B1268,"")</f>
        <v/>
      </c>
      <c r="E1268" s="0" t="str">
        <f aca="false">IF(C1268=0,A1268,"")</f>
        <v/>
      </c>
    </row>
    <row r="1269" customFormat="false" ht="12.8" hidden="false" customHeight="false" outlineLevel="0" collapsed="false">
      <c r="A1269" s="0" t="s">
        <v>2135</v>
      </c>
      <c r="B1269" s="0" t="s">
        <v>1053</v>
      </c>
      <c r="C1269" s="0" t="n">
        <v>1</v>
      </c>
      <c r="D1269" s="0" t="str">
        <f aca="false">IF(C1269=0,B1269,"")</f>
        <v/>
      </c>
      <c r="E1269" s="0" t="str">
        <f aca="false">IF(C1269=0,A1269,"")</f>
        <v/>
      </c>
    </row>
    <row r="1270" customFormat="false" ht="12.8" hidden="false" customHeight="false" outlineLevel="0" collapsed="false">
      <c r="A1270" s="0" t="s">
        <v>2136</v>
      </c>
      <c r="B1270" s="0" t="s">
        <v>1053</v>
      </c>
      <c r="C1270" s="0" t="n">
        <v>1</v>
      </c>
      <c r="D1270" s="0" t="str">
        <f aca="false">IF(C1270=0,B1270,"")</f>
        <v/>
      </c>
      <c r="E1270" s="0" t="str">
        <f aca="false">IF(C1270=0,A1270,"")</f>
        <v/>
      </c>
    </row>
    <row r="1271" customFormat="false" ht="12.8" hidden="false" customHeight="false" outlineLevel="0" collapsed="false">
      <c r="A1271" s="0" t="s">
        <v>2137</v>
      </c>
      <c r="B1271" s="0" t="s">
        <v>1055</v>
      </c>
      <c r="C1271" s="0" t="n">
        <v>1</v>
      </c>
      <c r="D1271" s="0" t="str">
        <f aca="false">IF(C1271=0,B1271,"")</f>
        <v/>
      </c>
      <c r="E1271" s="0" t="str">
        <f aca="false">IF(C1271=0,A1271,"")</f>
        <v/>
      </c>
    </row>
    <row r="1272" customFormat="false" ht="12.8" hidden="false" customHeight="false" outlineLevel="0" collapsed="false">
      <c r="A1272" s="0" t="s">
        <v>2138</v>
      </c>
      <c r="B1272" s="0" t="s">
        <v>1056</v>
      </c>
      <c r="C1272" s="0" t="n">
        <v>1</v>
      </c>
      <c r="D1272" s="0" t="str">
        <f aca="false">IF(C1272=0,B1272,"")</f>
        <v/>
      </c>
      <c r="E1272" s="0" t="str">
        <f aca="false">IF(C1272=0,A1272,"")</f>
        <v/>
      </c>
    </row>
    <row r="1273" customFormat="false" ht="12.8" hidden="false" customHeight="false" outlineLevel="0" collapsed="false">
      <c r="A1273" s="0" t="s">
        <v>2139</v>
      </c>
      <c r="B1273" s="0" t="s">
        <v>1058</v>
      </c>
      <c r="C1273" s="0" t="n">
        <v>1</v>
      </c>
      <c r="D1273" s="0" t="str">
        <f aca="false">IF(C1273=0,B1273,"")</f>
        <v/>
      </c>
      <c r="E1273" s="0" t="str">
        <f aca="false">IF(C1273=0,A1273,"")</f>
        <v/>
      </c>
    </row>
    <row r="1274" customFormat="false" ht="12.8" hidden="false" customHeight="false" outlineLevel="0" collapsed="false">
      <c r="A1274" s="0" t="s">
        <v>2140</v>
      </c>
      <c r="B1274" s="0" t="s">
        <v>1059</v>
      </c>
      <c r="C1274" s="0" t="n">
        <v>1</v>
      </c>
      <c r="D1274" s="0" t="str">
        <f aca="false">IF(C1274=0,B1274,"")</f>
        <v/>
      </c>
      <c r="E1274" s="0" t="str">
        <f aca="false">IF(C1274=0,A1274,"")</f>
        <v/>
      </c>
    </row>
    <row r="1275" customFormat="false" ht="12.8" hidden="false" customHeight="false" outlineLevel="0" collapsed="false">
      <c r="A1275" s="0" t="s">
        <v>2141</v>
      </c>
      <c r="B1275" s="0" t="s">
        <v>1060</v>
      </c>
      <c r="C1275" s="0" t="n">
        <v>1</v>
      </c>
      <c r="D1275" s="0" t="str">
        <f aca="false">IF(C1275=0,B1275,"")</f>
        <v/>
      </c>
      <c r="E1275" s="0" t="str">
        <f aca="false">IF(C1275=0,A1275,"")</f>
        <v/>
      </c>
    </row>
    <row r="1276" customFormat="false" ht="12.8" hidden="false" customHeight="false" outlineLevel="0" collapsed="false">
      <c r="A1276" s="0" t="s">
        <v>2142</v>
      </c>
      <c r="B1276" s="0" t="s">
        <v>1062</v>
      </c>
      <c r="C1276" s="0" t="n">
        <v>1</v>
      </c>
      <c r="D1276" s="0" t="str">
        <f aca="false">IF(C1276=0,B1276,"")</f>
        <v/>
      </c>
      <c r="E1276" s="0" t="str">
        <f aca="false">IF(C1276=0,A1276,"")</f>
        <v/>
      </c>
    </row>
    <row r="1277" customFormat="false" ht="12.8" hidden="false" customHeight="false" outlineLevel="0" collapsed="false">
      <c r="A1277" s="0" t="s">
        <v>2143</v>
      </c>
      <c r="B1277" s="0" t="s">
        <v>1060</v>
      </c>
      <c r="C1277" s="0" t="n">
        <v>1</v>
      </c>
      <c r="D1277" s="0" t="str">
        <f aca="false">IF(C1277=0,B1277,"")</f>
        <v/>
      </c>
      <c r="E1277" s="0" t="str">
        <f aca="false">IF(C1277=0,A1277,"")</f>
        <v/>
      </c>
    </row>
    <row r="1278" customFormat="false" ht="12.8" hidden="false" customHeight="false" outlineLevel="0" collapsed="false">
      <c r="A1278" s="0" t="s">
        <v>2144</v>
      </c>
      <c r="B1278" s="0" t="s">
        <v>2208</v>
      </c>
      <c r="C1278" s="0" t="n">
        <v>1</v>
      </c>
      <c r="D1278" s="0" t="str">
        <f aca="false">IF(C1278=0,B1278,"")</f>
        <v/>
      </c>
      <c r="E1278" s="0" t="str">
        <f aca="false">IF(C1278=0,A1278,"")</f>
        <v/>
      </c>
    </row>
    <row r="1279" customFormat="false" ht="12.8" hidden="false" customHeight="false" outlineLevel="0" collapsed="false">
      <c r="A1279" s="0" t="s">
        <v>2145</v>
      </c>
      <c r="B1279" s="0" t="s">
        <v>1065</v>
      </c>
      <c r="C1279" s="0" t="n">
        <v>1</v>
      </c>
      <c r="D1279" s="0" t="str">
        <f aca="false">IF(C1279=0,B1279,"")</f>
        <v/>
      </c>
      <c r="E1279" s="0" t="str">
        <f aca="false">IF(C1279=0,A1279,"")</f>
        <v/>
      </c>
    </row>
    <row r="1280" customFormat="false" ht="12.8" hidden="false" customHeight="false" outlineLevel="0" collapsed="false">
      <c r="A1280" s="0" t="s">
        <v>2146</v>
      </c>
      <c r="B1280" s="0" t="s">
        <v>1066</v>
      </c>
      <c r="C1280" s="0" t="n">
        <v>1</v>
      </c>
      <c r="D1280" s="0" t="str">
        <f aca="false">IF(C1280=0,B1280,"")</f>
        <v/>
      </c>
      <c r="E1280" s="0" t="str">
        <f aca="false">IF(C1280=0,A1280,"")</f>
        <v/>
      </c>
    </row>
    <row r="1281" customFormat="false" ht="12.8" hidden="false" customHeight="false" outlineLevel="0" collapsed="false">
      <c r="A1281" s="0" t="s">
        <v>2147</v>
      </c>
      <c r="B1281" s="0" t="s">
        <v>1067</v>
      </c>
      <c r="C1281" s="0" t="n">
        <v>1</v>
      </c>
      <c r="D1281" s="0" t="str">
        <f aca="false">IF(C1281=0,B1281,"")</f>
        <v/>
      </c>
      <c r="E1281" s="0" t="str">
        <f aca="false">IF(C1281=0,A1281,"")</f>
        <v/>
      </c>
    </row>
    <row r="1282" customFormat="false" ht="12.8" hidden="false" customHeight="false" outlineLevel="0" collapsed="false">
      <c r="A1282" s="0" t="s">
        <v>2148</v>
      </c>
      <c r="B1282" s="0" t="s">
        <v>1068</v>
      </c>
      <c r="C1282" s="0" t="n">
        <v>1</v>
      </c>
      <c r="D1282" s="0" t="str">
        <f aca="false">IF(C1282=0,B1282,"")</f>
        <v/>
      </c>
      <c r="E1282" s="0" t="str">
        <f aca="false">IF(C1282=0,A1282,"")</f>
        <v/>
      </c>
    </row>
    <row r="1283" customFormat="false" ht="12.8" hidden="false" customHeight="false" outlineLevel="0" collapsed="false">
      <c r="A1283" s="0" t="s">
        <v>2149</v>
      </c>
      <c r="B1283" s="0" t="s">
        <v>1069</v>
      </c>
      <c r="C1283" s="0" t="n">
        <v>1</v>
      </c>
      <c r="D1283" s="0" t="str">
        <f aca="false">IF(C1283=0,B1283,"")</f>
        <v/>
      </c>
      <c r="E1283" s="0" t="str">
        <f aca="false">IF(C1283=0,A1283,"")</f>
        <v/>
      </c>
    </row>
    <row r="1284" customFormat="false" ht="12.8" hidden="false" customHeight="false" outlineLevel="0" collapsed="false">
      <c r="A1284" s="0" t="s">
        <v>2150</v>
      </c>
      <c r="B1284" s="0" t="s">
        <v>1070</v>
      </c>
      <c r="C1284" s="0" t="n">
        <v>1</v>
      </c>
      <c r="D1284" s="0" t="str">
        <f aca="false">IF(C1284=0,B1284,"")</f>
        <v/>
      </c>
      <c r="E1284" s="0" t="str">
        <f aca="false">IF(C1284=0,A1284,"")</f>
        <v/>
      </c>
    </row>
    <row r="1285" customFormat="false" ht="12.8" hidden="false" customHeight="false" outlineLevel="0" collapsed="false">
      <c r="A1285" s="0" t="s">
        <v>2151</v>
      </c>
      <c r="B1285" s="0" t="s">
        <v>1072</v>
      </c>
      <c r="C1285" s="0" t="n">
        <v>1</v>
      </c>
      <c r="D1285" s="0" t="str">
        <f aca="false">IF(C1285=0,B1285,"")</f>
        <v/>
      </c>
      <c r="E1285" s="0" t="str">
        <f aca="false">IF(C1285=0,A1285,"")</f>
        <v/>
      </c>
    </row>
    <row r="1286" customFormat="false" ht="12.8" hidden="false" customHeight="false" outlineLevel="0" collapsed="false">
      <c r="A1286" s="0" t="s">
        <v>2152</v>
      </c>
      <c r="B1286" s="0" t="s">
        <v>3434</v>
      </c>
      <c r="C1286" s="0" t="n">
        <v>0</v>
      </c>
      <c r="D1286" s="0" t="str">
        <f aca="false">IF(C1286=0,B1286,"")</f>
        <v>꺙</v>
      </c>
      <c r="E1286" s="0" t="str">
        <f aca="false">IF(C1286=0,A1286,"")</f>
        <v>썅</v>
      </c>
    </row>
    <row r="1287" customFormat="false" ht="12.8" hidden="false" customHeight="false" outlineLevel="0" collapsed="false">
      <c r="A1287" s="0" t="s">
        <v>2153</v>
      </c>
      <c r="B1287" s="0" t="s">
        <v>2187</v>
      </c>
      <c r="C1287" s="0" t="n">
        <v>1</v>
      </c>
      <c r="D1287" s="0" t="str">
        <f aca="false">IF(C1287=0,B1287,"")</f>
        <v/>
      </c>
      <c r="E1287" s="0" t="str">
        <f aca="false">IF(C1287=0,A1287,"")</f>
        <v/>
      </c>
    </row>
    <row r="1288" customFormat="false" ht="12.8" hidden="false" customHeight="false" outlineLevel="0" collapsed="false">
      <c r="A1288" s="0" t="s">
        <v>2154</v>
      </c>
      <c r="B1288" s="0" t="s">
        <v>1077</v>
      </c>
      <c r="C1288" s="0" t="n">
        <v>1</v>
      </c>
      <c r="D1288" s="0" t="str">
        <f aca="false">IF(C1288=0,B1288,"")</f>
        <v/>
      </c>
      <c r="E1288" s="0" t="str">
        <f aca="false">IF(C1288=0,A1288,"")</f>
        <v/>
      </c>
    </row>
    <row r="1289" customFormat="false" ht="12.8" hidden="false" customHeight="false" outlineLevel="0" collapsed="false">
      <c r="A1289" s="0" t="s">
        <v>2155</v>
      </c>
      <c r="B1289" s="0" t="s">
        <v>1079</v>
      </c>
      <c r="C1289" s="0" t="n">
        <v>1</v>
      </c>
      <c r="D1289" s="0" t="str">
        <f aca="false">IF(C1289=0,B1289,"")</f>
        <v/>
      </c>
      <c r="E1289" s="0" t="str">
        <f aca="false">IF(C1289=0,A1289,"")</f>
        <v/>
      </c>
    </row>
    <row r="1290" customFormat="false" ht="12.8" hidden="false" customHeight="false" outlineLevel="0" collapsed="false">
      <c r="A1290" s="0" t="s">
        <v>2156</v>
      </c>
      <c r="B1290" s="0" t="s">
        <v>1080</v>
      </c>
      <c r="C1290" s="0" t="n">
        <v>1</v>
      </c>
      <c r="D1290" s="0" t="str">
        <f aca="false">IF(C1290=0,B1290,"")</f>
        <v/>
      </c>
      <c r="E1290" s="0" t="str">
        <f aca="false">IF(C1290=0,A1290,"")</f>
        <v/>
      </c>
    </row>
    <row r="1291" customFormat="false" ht="12.8" hidden="false" customHeight="false" outlineLevel="0" collapsed="false">
      <c r="A1291" s="0" t="s">
        <v>2157</v>
      </c>
      <c r="B1291" s="0" t="s">
        <v>1080</v>
      </c>
      <c r="C1291" s="0" t="n">
        <v>1</v>
      </c>
      <c r="D1291" s="0" t="str">
        <f aca="false">IF(C1291=0,B1291,"")</f>
        <v/>
      </c>
      <c r="E1291" s="0" t="str">
        <f aca="false">IF(C1291=0,A1291,"")</f>
        <v/>
      </c>
    </row>
    <row r="1292" customFormat="false" ht="12.8" hidden="false" customHeight="false" outlineLevel="0" collapsed="false">
      <c r="A1292" s="0" t="s">
        <v>2158</v>
      </c>
      <c r="B1292" s="0" t="s">
        <v>1081</v>
      </c>
      <c r="C1292" s="0" t="n">
        <v>1</v>
      </c>
      <c r="D1292" s="0" t="str">
        <f aca="false">IF(C1292=0,B1292,"")</f>
        <v/>
      </c>
      <c r="E1292" s="0" t="str">
        <f aca="false">IF(C1292=0,A1292,"")</f>
        <v/>
      </c>
    </row>
    <row r="1293" customFormat="false" ht="12.8" hidden="false" customHeight="false" outlineLevel="0" collapsed="false">
      <c r="A1293" s="0" t="s">
        <v>2159</v>
      </c>
      <c r="B1293" s="0" t="s">
        <v>1082</v>
      </c>
      <c r="C1293" s="0" t="n">
        <v>1</v>
      </c>
      <c r="D1293" s="0" t="str">
        <f aca="false">IF(C1293=0,B1293,"")</f>
        <v/>
      </c>
      <c r="E1293" s="0" t="str">
        <f aca="false">IF(C1293=0,A1293,"")</f>
        <v/>
      </c>
    </row>
    <row r="1294" customFormat="false" ht="12.8" hidden="false" customHeight="false" outlineLevel="0" collapsed="false">
      <c r="A1294" s="0" t="s">
        <v>2160</v>
      </c>
      <c r="B1294" s="0" t="s">
        <v>1083</v>
      </c>
      <c r="C1294" s="0" t="n">
        <v>1</v>
      </c>
      <c r="D1294" s="0" t="str">
        <f aca="false">IF(C1294=0,B1294,"")</f>
        <v/>
      </c>
      <c r="E1294" s="0" t="str">
        <f aca="false">IF(C1294=0,A1294,"")</f>
        <v/>
      </c>
    </row>
    <row r="1295" customFormat="false" ht="12.8" hidden="false" customHeight="false" outlineLevel="0" collapsed="false">
      <c r="A1295" s="0" t="s">
        <v>2161</v>
      </c>
      <c r="B1295" s="0" t="s">
        <v>1085</v>
      </c>
      <c r="C1295" s="0" t="n">
        <v>1</v>
      </c>
      <c r="D1295" s="0" t="str">
        <f aca="false">IF(C1295=0,B1295,"")</f>
        <v/>
      </c>
      <c r="E1295" s="0" t="str">
        <f aca="false">IF(C1295=0,A1295,"")</f>
        <v/>
      </c>
    </row>
    <row r="1296" customFormat="false" ht="12.8" hidden="false" customHeight="false" outlineLevel="0" collapsed="false">
      <c r="A1296" s="0" t="s">
        <v>2162</v>
      </c>
      <c r="B1296" s="0" t="s">
        <v>2134</v>
      </c>
      <c r="C1296" s="0" t="n">
        <v>1</v>
      </c>
      <c r="D1296" s="0" t="str">
        <f aca="false">IF(C1296=0,B1296,"")</f>
        <v/>
      </c>
      <c r="E1296" s="0" t="str">
        <f aca="false">IF(C1296=0,A1296,"")</f>
        <v/>
      </c>
    </row>
    <row r="1297" customFormat="false" ht="12.8" hidden="false" customHeight="false" outlineLevel="0" collapsed="false">
      <c r="A1297" s="0" t="s">
        <v>2163</v>
      </c>
      <c r="B1297" s="0" t="s">
        <v>1088</v>
      </c>
      <c r="C1297" s="0" t="n">
        <v>1</v>
      </c>
      <c r="D1297" s="0" t="str">
        <f aca="false">IF(C1297=0,B1297,"")</f>
        <v/>
      </c>
      <c r="E1297" s="0" t="str">
        <f aca="false">IF(C1297=0,A1297,"")</f>
        <v/>
      </c>
    </row>
    <row r="1298" customFormat="false" ht="12.8" hidden="false" customHeight="false" outlineLevel="0" collapsed="false">
      <c r="A1298" s="0" t="s">
        <v>2164</v>
      </c>
      <c r="B1298" s="0" t="s">
        <v>3435</v>
      </c>
      <c r="C1298" s="0" t="n">
        <v>0</v>
      </c>
      <c r="D1298" s="0" t="str">
        <f aca="false">IF(C1298=0,B1298,"")</f>
        <v>껠</v>
      </c>
      <c r="E1298" s="0" t="str">
        <f aca="false">IF(C1298=0,A1298,"")</f>
        <v>쎌</v>
      </c>
    </row>
    <row r="1299" customFormat="false" ht="12.8" hidden="false" customHeight="false" outlineLevel="0" collapsed="false">
      <c r="A1299" s="0" t="s">
        <v>2165</v>
      </c>
      <c r="B1299" s="0" t="s">
        <v>3436</v>
      </c>
      <c r="C1299" s="0" t="n">
        <v>0</v>
      </c>
      <c r="D1299" s="0" t="str">
        <f aca="false">IF(C1299=0,B1299,"")</f>
        <v>꼔</v>
      </c>
      <c r="E1299" s="0" t="str">
        <f aca="false">IF(C1299=0,A1299,"")</f>
        <v>쏀</v>
      </c>
    </row>
    <row r="1300" customFormat="false" ht="12.8" hidden="false" customHeight="false" outlineLevel="0" collapsed="false">
      <c r="A1300" s="0" t="s">
        <v>2166</v>
      </c>
      <c r="B1300" s="0" t="s">
        <v>2153</v>
      </c>
      <c r="C1300" s="0" t="n">
        <v>1</v>
      </c>
      <c r="D1300" s="0" t="str">
        <f aca="false">IF(C1300=0,B1300,"")</f>
        <v/>
      </c>
      <c r="E1300" s="0" t="str">
        <f aca="false">IF(C1300=0,A1300,"")</f>
        <v/>
      </c>
    </row>
    <row r="1301" customFormat="false" ht="12.8" hidden="false" customHeight="false" outlineLevel="0" collapsed="false">
      <c r="A1301" s="0" t="s">
        <v>2167</v>
      </c>
      <c r="B1301" s="0" t="s">
        <v>1100</v>
      </c>
      <c r="C1301" s="0" t="n">
        <v>1</v>
      </c>
      <c r="D1301" s="0" t="str">
        <f aca="false">IF(C1301=0,B1301,"")</f>
        <v/>
      </c>
      <c r="E1301" s="0" t="str">
        <f aca="false">IF(C1301=0,A1301,"")</f>
        <v/>
      </c>
    </row>
    <row r="1302" customFormat="false" ht="12.8" hidden="false" customHeight="false" outlineLevel="0" collapsed="false">
      <c r="A1302" s="0" t="s">
        <v>2168</v>
      </c>
      <c r="B1302" s="0" t="s">
        <v>1101</v>
      </c>
      <c r="C1302" s="0" t="n">
        <v>1</v>
      </c>
      <c r="D1302" s="0" t="str">
        <f aca="false">IF(C1302=0,B1302,"")</f>
        <v/>
      </c>
      <c r="E1302" s="0" t="str">
        <f aca="false">IF(C1302=0,A1302,"")</f>
        <v/>
      </c>
    </row>
    <row r="1303" customFormat="false" ht="12.8" hidden="false" customHeight="false" outlineLevel="0" collapsed="false">
      <c r="A1303" s="0" t="s">
        <v>2169</v>
      </c>
      <c r="B1303" s="0" t="s">
        <v>1106</v>
      </c>
      <c r="C1303" s="0" t="n">
        <v>1</v>
      </c>
      <c r="D1303" s="0" t="str">
        <f aca="false">IF(C1303=0,B1303,"")</f>
        <v/>
      </c>
      <c r="E1303" s="0" t="str">
        <f aca="false">IF(C1303=0,A1303,"")</f>
        <v/>
      </c>
    </row>
    <row r="1304" customFormat="false" ht="12.8" hidden="false" customHeight="false" outlineLevel="0" collapsed="false">
      <c r="A1304" s="0" t="s">
        <v>2170</v>
      </c>
      <c r="B1304" s="0" t="s">
        <v>1103</v>
      </c>
      <c r="C1304" s="0" t="n">
        <v>1</v>
      </c>
      <c r="D1304" s="0" t="str">
        <f aca="false">IF(C1304=0,B1304,"")</f>
        <v/>
      </c>
      <c r="E1304" s="0" t="str">
        <f aca="false">IF(C1304=0,A1304,"")</f>
        <v/>
      </c>
    </row>
    <row r="1305" customFormat="false" ht="12.8" hidden="false" customHeight="false" outlineLevel="0" collapsed="false">
      <c r="A1305" s="0" t="s">
        <v>2171</v>
      </c>
      <c r="B1305" s="0" t="s">
        <v>1103</v>
      </c>
      <c r="C1305" s="0" t="n">
        <v>1</v>
      </c>
      <c r="D1305" s="0" t="str">
        <f aca="false">IF(C1305=0,B1305,"")</f>
        <v/>
      </c>
      <c r="E1305" s="0" t="str">
        <f aca="false">IF(C1305=0,A1305,"")</f>
        <v/>
      </c>
    </row>
    <row r="1306" customFormat="false" ht="12.8" hidden="false" customHeight="false" outlineLevel="0" collapsed="false">
      <c r="A1306" s="0" t="s">
        <v>2172</v>
      </c>
      <c r="B1306" s="0" t="s">
        <v>1104</v>
      </c>
      <c r="C1306" s="0" t="n">
        <v>1</v>
      </c>
      <c r="D1306" s="0" t="str">
        <f aca="false">IF(C1306=0,B1306,"")</f>
        <v/>
      </c>
      <c r="E1306" s="0" t="str">
        <f aca="false">IF(C1306=0,A1306,"")</f>
        <v/>
      </c>
    </row>
    <row r="1307" customFormat="false" ht="12.8" hidden="false" customHeight="false" outlineLevel="0" collapsed="false">
      <c r="A1307" s="0" t="s">
        <v>2173</v>
      </c>
      <c r="B1307" s="0" t="s">
        <v>1105</v>
      </c>
      <c r="C1307" s="0" t="n">
        <v>1</v>
      </c>
      <c r="D1307" s="0" t="str">
        <f aca="false">IF(C1307=0,B1307,"")</f>
        <v/>
      </c>
      <c r="E1307" s="0" t="str">
        <f aca="false">IF(C1307=0,A1307,"")</f>
        <v/>
      </c>
    </row>
    <row r="1308" customFormat="false" ht="12.8" hidden="false" customHeight="false" outlineLevel="0" collapsed="false">
      <c r="A1308" s="0" t="s">
        <v>2174</v>
      </c>
      <c r="B1308" s="0" t="s">
        <v>1107</v>
      </c>
      <c r="C1308" s="0" t="n">
        <v>1</v>
      </c>
      <c r="D1308" s="0" t="str">
        <f aca="false">IF(C1308=0,B1308,"")</f>
        <v/>
      </c>
      <c r="E1308" s="0" t="str">
        <f aca="false">IF(C1308=0,A1308,"")</f>
        <v/>
      </c>
    </row>
    <row r="1309" customFormat="false" ht="12.8" hidden="false" customHeight="false" outlineLevel="0" collapsed="false">
      <c r="A1309" s="0" t="s">
        <v>2175</v>
      </c>
      <c r="B1309" s="0" t="s">
        <v>3437</v>
      </c>
      <c r="C1309" s="0" t="n">
        <v>0</v>
      </c>
      <c r="D1309" s="0" t="str">
        <f aca="false">IF(C1309=0,B1309,"")</f>
        <v>쎼</v>
      </c>
      <c r="E1309" s="0" t="str">
        <f aca="false">IF(C1309=0,A1309,"")</f>
        <v>쏴</v>
      </c>
    </row>
    <row r="1310" customFormat="false" ht="12.8" hidden="false" customHeight="false" outlineLevel="0" collapsed="false">
      <c r="A1310" s="0" t="s">
        <v>2176</v>
      </c>
      <c r="B1310" s="0" t="s">
        <v>1111</v>
      </c>
      <c r="C1310" s="0" t="n">
        <v>1</v>
      </c>
      <c r="D1310" s="0" t="str">
        <f aca="false">IF(C1310=0,B1310,"")</f>
        <v/>
      </c>
      <c r="E1310" s="0" t="str">
        <f aca="false">IF(C1310=0,A1310,"")</f>
        <v/>
      </c>
    </row>
    <row r="1311" customFormat="false" ht="12.8" hidden="false" customHeight="false" outlineLevel="0" collapsed="false">
      <c r="A1311" s="0" t="s">
        <v>2177</v>
      </c>
      <c r="B1311" s="0" t="s">
        <v>3438</v>
      </c>
      <c r="C1311" s="0" t="n">
        <v>0</v>
      </c>
      <c r="D1311" s="0" t="str">
        <f aca="false">IF(C1311=0,B1311,"")</f>
        <v>꽌</v>
      </c>
      <c r="E1311" s="0" t="str">
        <f aca="false">IF(C1311=0,A1311,"")</f>
        <v>쏸</v>
      </c>
    </row>
    <row r="1312" customFormat="false" ht="12.8" hidden="false" customHeight="false" outlineLevel="0" collapsed="false">
      <c r="A1312" s="0" t="s">
        <v>2178</v>
      </c>
      <c r="B1312" s="0" t="s">
        <v>3439</v>
      </c>
      <c r="C1312" s="0" t="n">
        <v>0</v>
      </c>
      <c r="D1312" s="0" t="str">
        <f aca="false">IF(C1312=0,B1312,"")</f>
        <v>꽛</v>
      </c>
      <c r="E1312" s="0" t="str">
        <f aca="false">IF(C1312=0,A1312,"")</f>
        <v>쐈</v>
      </c>
    </row>
    <row r="1313" customFormat="false" ht="12.8" hidden="false" customHeight="false" outlineLevel="0" collapsed="false">
      <c r="A1313" s="0" t="s">
        <v>2179</v>
      </c>
      <c r="B1313" s="0" t="s">
        <v>3440</v>
      </c>
      <c r="C1313" s="0" t="n">
        <v>0</v>
      </c>
      <c r="D1313" s="0" t="str">
        <f aca="false">IF(C1313=0,B1313,"")</f>
        <v>썌</v>
      </c>
      <c r="E1313" s="0" t="str">
        <f aca="false">IF(C1313=0,A1313,"")</f>
        <v>쐐</v>
      </c>
    </row>
    <row r="1314" customFormat="false" ht="12.8" hidden="false" customHeight="false" outlineLevel="0" collapsed="false">
      <c r="A1314" s="0" t="s">
        <v>2180</v>
      </c>
      <c r="B1314" s="0" t="s">
        <v>3441</v>
      </c>
      <c r="C1314" s="0" t="n">
        <v>0</v>
      </c>
      <c r="D1314" s="0" t="str">
        <f aca="false">IF(C1314=0,B1314,"")</f>
        <v>꽷</v>
      </c>
      <c r="E1314" s="0" t="str">
        <f aca="false">IF(C1314=0,A1314,"")</f>
        <v>쐤</v>
      </c>
    </row>
    <row r="1315" customFormat="false" ht="12.8" hidden="false" customHeight="false" outlineLevel="0" collapsed="false">
      <c r="A1315" s="0" t="s">
        <v>2181</v>
      </c>
      <c r="B1315" s="0" t="s">
        <v>2194</v>
      </c>
      <c r="C1315" s="0" t="n">
        <v>1</v>
      </c>
      <c r="D1315" s="0" t="str">
        <f aca="false">IF(C1315=0,B1315,"")</f>
        <v/>
      </c>
      <c r="E1315" s="0" t="str">
        <f aca="false">IF(C1315=0,A1315,"")</f>
        <v/>
      </c>
    </row>
    <row r="1316" customFormat="false" ht="12.8" hidden="false" customHeight="false" outlineLevel="0" collapsed="false">
      <c r="A1316" s="0" t="s">
        <v>2182</v>
      </c>
      <c r="B1316" s="0" t="s">
        <v>1119</v>
      </c>
      <c r="C1316" s="0" t="n">
        <v>1</v>
      </c>
      <c r="D1316" s="0" t="str">
        <f aca="false">IF(C1316=0,B1316,"")</f>
        <v/>
      </c>
      <c r="E1316" s="0" t="str">
        <f aca="false">IF(C1316=0,A1316,"")</f>
        <v/>
      </c>
    </row>
    <row r="1317" customFormat="false" ht="12.8" hidden="false" customHeight="false" outlineLevel="0" collapsed="false">
      <c r="A1317" s="0" t="s">
        <v>2183</v>
      </c>
      <c r="B1317" s="0" t="s">
        <v>1120</v>
      </c>
      <c r="C1317" s="0" t="n">
        <v>1</v>
      </c>
      <c r="D1317" s="0" t="str">
        <f aca="false">IF(C1317=0,B1317,"")</f>
        <v/>
      </c>
      <c r="E1317" s="0" t="str">
        <f aca="false">IF(C1317=0,A1317,"")</f>
        <v/>
      </c>
    </row>
    <row r="1318" customFormat="false" ht="12.8" hidden="false" customHeight="false" outlineLevel="0" collapsed="false">
      <c r="A1318" s="0" t="s">
        <v>2184</v>
      </c>
      <c r="B1318" s="0" t="s">
        <v>1121</v>
      </c>
      <c r="C1318" s="0" t="n">
        <v>1</v>
      </c>
      <c r="D1318" s="0" t="str">
        <f aca="false">IF(C1318=0,B1318,"")</f>
        <v/>
      </c>
      <c r="E1318" s="0" t="str">
        <f aca="false">IF(C1318=0,A1318,"")</f>
        <v/>
      </c>
    </row>
    <row r="1319" customFormat="false" ht="12.8" hidden="false" customHeight="false" outlineLevel="0" collapsed="false">
      <c r="A1319" s="0" t="s">
        <v>2185</v>
      </c>
      <c r="B1319" s="0" t="s">
        <v>1122</v>
      </c>
      <c r="C1319" s="0" t="n">
        <v>1</v>
      </c>
      <c r="D1319" s="0" t="str">
        <f aca="false">IF(C1319=0,B1319,"")</f>
        <v/>
      </c>
      <c r="E1319" s="0" t="str">
        <f aca="false">IF(C1319=0,A1319,"")</f>
        <v/>
      </c>
    </row>
    <row r="1320" customFormat="false" ht="12.8" hidden="false" customHeight="false" outlineLevel="0" collapsed="false">
      <c r="A1320" s="0" t="s">
        <v>2186</v>
      </c>
      <c r="B1320" s="0" t="s">
        <v>3442</v>
      </c>
      <c r="C1320" s="0" t="n">
        <v>0</v>
      </c>
      <c r="D1320" s="0" t="str">
        <f aca="false">IF(C1320=0,B1320,"")</f>
        <v>쎠</v>
      </c>
      <c r="E1320" s="0" t="str">
        <f aca="false">IF(C1320=0,A1320,"")</f>
        <v>쑈</v>
      </c>
    </row>
    <row r="1321" customFormat="false" ht="12.8" hidden="false" customHeight="false" outlineLevel="0" collapsed="false">
      <c r="A1321" s="0" t="s">
        <v>2187</v>
      </c>
      <c r="B1321" s="0" t="s">
        <v>2162</v>
      </c>
      <c r="C1321" s="0" t="n">
        <v>1</v>
      </c>
      <c r="D1321" s="0" t="str">
        <f aca="false">IF(C1321=0,B1321,"")</f>
        <v/>
      </c>
      <c r="E1321" s="0" t="str">
        <f aca="false">IF(C1321=0,A1321,"")</f>
        <v/>
      </c>
    </row>
    <row r="1322" customFormat="false" ht="12.8" hidden="false" customHeight="false" outlineLevel="0" collapsed="false">
      <c r="A1322" s="0" t="s">
        <v>2188</v>
      </c>
      <c r="B1322" s="0" t="s">
        <v>1126</v>
      </c>
      <c r="C1322" s="0" t="n">
        <v>1</v>
      </c>
      <c r="D1322" s="0" t="str">
        <f aca="false">IF(C1322=0,B1322,"")</f>
        <v/>
      </c>
      <c r="E1322" s="0" t="str">
        <f aca="false">IF(C1322=0,A1322,"")</f>
        <v/>
      </c>
    </row>
    <row r="1323" customFormat="false" ht="12.8" hidden="false" customHeight="false" outlineLevel="0" collapsed="false">
      <c r="A1323" s="0" t="s">
        <v>2189</v>
      </c>
      <c r="B1323" s="0" t="s">
        <v>1127</v>
      </c>
      <c r="C1323" s="0" t="n">
        <v>1</v>
      </c>
      <c r="D1323" s="0" t="str">
        <f aca="false">IF(C1323=0,B1323,"")</f>
        <v/>
      </c>
      <c r="E1323" s="0" t="str">
        <f aca="false">IF(C1323=0,A1323,"")</f>
        <v/>
      </c>
    </row>
    <row r="1324" customFormat="false" ht="12.8" hidden="false" customHeight="false" outlineLevel="0" collapsed="false">
      <c r="A1324" s="0" t="s">
        <v>2190</v>
      </c>
      <c r="B1324" s="0" t="s">
        <v>1128</v>
      </c>
      <c r="C1324" s="0" t="n">
        <v>1</v>
      </c>
      <c r="D1324" s="0" t="str">
        <f aca="false">IF(C1324=0,B1324,"")</f>
        <v/>
      </c>
      <c r="E1324" s="0" t="str">
        <f aca="false">IF(C1324=0,A1324,"")</f>
        <v/>
      </c>
    </row>
    <row r="1325" customFormat="false" ht="12.8" hidden="false" customHeight="false" outlineLevel="0" collapsed="false">
      <c r="A1325" s="0" t="s">
        <v>2191</v>
      </c>
      <c r="B1325" s="0" t="s">
        <v>1130</v>
      </c>
      <c r="C1325" s="0" t="n">
        <v>1</v>
      </c>
      <c r="D1325" s="0" t="str">
        <f aca="false">IF(C1325=0,B1325,"")</f>
        <v/>
      </c>
      <c r="E1325" s="0" t="str">
        <f aca="false">IF(C1325=0,A1325,"")</f>
        <v/>
      </c>
    </row>
    <row r="1326" customFormat="false" ht="12.8" hidden="false" customHeight="false" outlineLevel="0" collapsed="false">
      <c r="A1326" s="0" t="s">
        <v>2192</v>
      </c>
      <c r="B1326" s="0" t="s">
        <v>1131</v>
      </c>
      <c r="C1326" s="0" t="n">
        <v>1</v>
      </c>
      <c r="D1326" s="0" t="str">
        <f aca="false">IF(C1326=0,B1326,"")</f>
        <v/>
      </c>
      <c r="E1326" s="0" t="str">
        <f aca="false">IF(C1326=0,A1326,"")</f>
        <v/>
      </c>
    </row>
    <row r="1327" customFormat="false" ht="12.8" hidden="false" customHeight="false" outlineLevel="0" collapsed="false">
      <c r="A1327" s="0" t="s">
        <v>2193</v>
      </c>
      <c r="B1327" s="0" t="s">
        <v>1133</v>
      </c>
      <c r="C1327" s="0" t="n">
        <v>1</v>
      </c>
      <c r="D1327" s="0" t="str">
        <f aca="false">IF(C1327=0,B1327,"")</f>
        <v/>
      </c>
      <c r="E1327" s="0" t="str">
        <f aca="false">IF(C1327=0,A1327,"")</f>
        <v/>
      </c>
    </row>
    <row r="1328" customFormat="false" ht="12.8" hidden="false" customHeight="false" outlineLevel="0" collapsed="false">
      <c r="A1328" s="0" t="s">
        <v>2194</v>
      </c>
      <c r="B1328" s="0" t="s">
        <v>2175</v>
      </c>
      <c r="C1328" s="0" t="n">
        <v>1</v>
      </c>
      <c r="D1328" s="0" t="str">
        <f aca="false">IF(C1328=0,B1328,"")</f>
        <v/>
      </c>
      <c r="E1328" s="0" t="str">
        <f aca="false">IF(C1328=0,A1328,"")</f>
        <v/>
      </c>
    </row>
    <row r="1329" customFormat="false" ht="12.8" hidden="false" customHeight="false" outlineLevel="0" collapsed="false">
      <c r="A1329" s="0" t="s">
        <v>2195</v>
      </c>
      <c r="B1329" s="0" t="s">
        <v>3443</v>
      </c>
      <c r="C1329" s="0" t="n">
        <v>0</v>
      </c>
      <c r="D1329" s="0" t="str">
        <f aca="false">IF(C1329=0,B1329,"")</f>
        <v>꿧</v>
      </c>
      <c r="E1329" s="0" t="str">
        <f aca="false">IF(C1329=0,A1329,"")</f>
        <v>쒔</v>
      </c>
    </row>
    <row r="1330" customFormat="false" ht="12.8" hidden="false" customHeight="false" outlineLevel="0" collapsed="false">
      <c r="A1330" s="0" t="s">
        <v>2196</v>
      </c>
      <c r="B1330" s="0" t="s">
        <v>2179</v>
      </c>
      <c r="C1330" s="0" t="n">
        <v>1</v>
      </c>
      <c r="D1330" s="0" t="str">
        <f aca="false">IF(C1330=0,B1330,"")</f>
        <v/>
      </c>
      <c r="E1330" s="0" t="str">
        <f aca="false">IF(C1330=0,A1330,"")</f>
        <v/>
      </c>
    </row>
    <row r="1331" customFormat="false" ht="12.8" hidden="false" customHeight="false" outlineLevel="0" collapsed="false">
      <c r="A1331" s="0" t="s">
        <v>2197</v>
      </c>
      <c r="B1331" s="0" t="s">
        <v>2196</v>
      </c>
      <c r="C1331" s="0" t="n">
        <v>1</v>
      </c>
      <c r="D1331" s="0" t="str">
        <f aca="false">IF(C1331=0,B1331,"")</f>
        <v/>
      </c>
      <c r="E1331" s="0" t="str">
        <f aca="false">IF(C1331=0,A1331,"")</f>
        <v/>
      </c>
    </row>
    <row r="1332" customFormat="false" ht="12.8" hidden="false" customHeight="false" outlineLevel="0" collapsed="false">
      <c r="A1332" s="0" t="s">
        <v>2198</v>
      </c>
      <c r="B1332" s="0" t="s">
        <v>1147</v>
      </c>
      <c r="C1332" s="0" t="n">
        <v>1</v>
      </c>
      <c r="D1332" s="0" t="str">
        <f aca="false">IF(C1332=0,B1332,"")</f>
        <v/>
      </c>
      <c r="E1332" s="0" t="str">
        <f aca="false">IF(C1332=0,A1332,"")</f>
        <v/>
      </c>
    </row>
    <row r="1333" customFormat="false" ht="12.8" hidden="false" customHeight="false" outlineLevel="0" collapsed="false">
      <c r="A1333" s="0" t="s">
        <v>2199</v>
      </c>
      <c r="B1333" s="0" t="s">
        <v>3444</v>
      </c>
      <c r="C1333" s="0" t="n">
        <v>0</v>
      </c>
      <c r="D1333" s="0" t="str">
        <f aca="false">IF(C1333=0,B1333,"")</f>
        <v>뀽</v>
      </c>
      <c r="E1333" s="0" t="str">
        <f aca="false">IF(C1333=0,A1333,"")</f>
        <v>쓩</v>
      </c>
    </row>
    <row r="1334" customFormat="false" ht="12.8" hidden="false" customHeight="false" outlineLevel="0" collapsed="false">
      <c r="A1334" s="0" t="s">
        <v>2200</v>
      </c>
      <c r="B1334" s="0" t="s">
        <v>3445</v>
      </c>
      <c r="C1334" s="0" t="n">
        <v>0</v>
      </c>
      <c r="D1334" s="0" t="str">
        <f aca="false">IF(C1334=0,B1334,"")</f>
        <v>쌰</v>
      </c>
      <c r="E1334" s="0" t="str">
        <f aca="false">IF(C1334=0,A1334,"")</f>
        <v>쓰</v>
      </c>
    </row>
    <row r="1335" customFormat="false" ht="12.8" hidden="false" customHeight="false" outlineLevel="0" collapsed="false">
      <c r="A1335" s="0" t="s">
        <v>2201</v>
      </c>
      <c r="B1335" s="0" t="s">
        <v>1153</v>
      </c>
      <c r="C1335" s="0" t="n">
        <v>1</v>
      </c>
      <c r="D1335" s="0" t="str">
        <f aca="false">IF(C1335=0,B1335,"")</f>
        <v/>
      </c>
      <c r="E1335" s="0" t="str">
        <f aca="false">IF(C1335=0,A1335,"")</f>
        <v/>
      </c>
    </row>
    <row r="1336" customFormat="false" ht="12.8" hidden="false" customHeight="false" outlineLevel="0" collapsed="false">
      <c r="A1336" s="0" t="s">
        <v>2202</v>
      </c>
      <c r="B1336" s="0" t="s">
        <v>1154</v>
      </c>
      <c r="C1336" s="0" t="n">
        <v>1</v>
      </c>
      <c r="D1336" s="0" t="str">
        <f aca="false">IF(C1336=0,B1336,"")</f>
        <v/>
      </c>
      <c r="E1336" s="0" t="str">
        <f aca="false">IF(C1336=0,A1336,"")</f>
        <v/>
      </c>
    </row>
    <row r="1337" customFormat="false" ht="12.8" hidden="false" customHeight="false" outlineLevel="0" collapsed="false">
      <c r="A1337" s="0" t="s">
        <v>2203</v>
      </c>
      <c r="B1337" s="0" t="s">
        <v>1156</v>
      </c>
      <c r="C1337" s="0" t="n">
        <v>1</v>
      </c>
      <c r="D1337" s="0" t="str">
        <f aca="false">IF(C1337=0,B1337,"")</f>
        <v/>
      </c>
      <c r="E1337" s="0" t="str">
        <f aca="false">IF(C1337=0,A1337,"")</f>
        <v/>
      </c>
    </row>
    <row r="1338" customFormat="false" ht="12.8" hidden="false" customHeight="false" outlineLevel="0" collapsed="false">
      <c r="A1338" s="0" t="s">
        <v>2204</v>
      </c>
      <c r="B1338" s="0" t="s">
        <v>1156</v>
      </c>
      <c r="C1338" s="0" t="n">
        <v>1</v>
      </c>
      <c r="D1338" s="0" t="str">
        <f aca="false">IF(C1338=0,B1338,"")</f>
        <v/>
      </c>
      <c r="E1338" s="0" t="str">
        <f aca="false">IF(C1338=0,A1338,"")</f>
        <v/>
      </c>
    </row>
    <row r="1339" customFormat="false" ht="12.8" hidden="false" customHeight="false" outlineLevel="0" collapsed="false">
      <c r="A1339" s="0" t="s">
        <v>2205</v>
      </c>
      <c r="B1339" s="0" t="s">
        <v>1156</v>
      </c>
      <c r="C1339" s="0" t="n">
        <v>1</v>
      </c>
      <c r="D1339" s="0" t="str">
        <f aca="false">IF(C1339=0,B1339,"")</f>
        <v/>
      </c>
      <c r="E1339" s="0" t="str">
        <f aca="false">IF(C1339=0,A1339,"")</f>
        <v/>
      </c>
    </row>
    <row r="1340" customFormat="false" ht="12.8" hidden="false" customHeight="false" outlineLevel="0" collapsed="false">
      <c r="A1340" s="0" t="s">
        <v>2206</v>
      </c>
      <c r="B1340" s="0" t="s">
        <v>1159</v>
      </c>
      <c r="C1340" s="0" t="n">
        <v>1</v>
      </c>
      <c r="D1340" s="0" t="str">
        <f aca="false">IF(C1340=0,B1340,"")</f>
        <v/>
      </c>
      <c r="E1340" s="0" t="str">
        <f aca="false">IF(C1340=0,A1340,"")</f>
        <v/>
      </c>
    </row>
    <row r="1341" customFormat="false" ht="12.8" hidden="false" customHeight="false" outlineLevel="0" collapsed="false">
      <c r="A1341" s="0" t="s">
        <v>2207</v>
      </c>
      <c r="B1341" s="0" t="s">
        <v>1160</v>
      </c>
      <c r="C1341" s="0" t="n">
        <v>1</v>
      </c>
      <c r="D1341" s="0" t="str">
        <f aca="false">IF(C1341=0,B1341,"")</f>
        <v/>
      </c>
      <c r="E1341" s="0" t="str">
        <f aca="false">IF(C1341=0,A1341,"")</f>
        <v/>
      </c>
    </row>
    <row r="1342" customFormat="false" ht="12.8" hidden="false" customHeight="false" outlineLevel="0" collapsed="false">
      <c r="A1342" s="0" t="s">
        <v>2208</v>
      </c>
      <c r="B1342" s="0" t="s">
        <v>2212</v>
      </c>
      <c r="C1342" s="0" t="n">
        <v>1</v>
      </c>
      <c r="D1342" s="0" t="str">
        <f aca="false">IF(C1342=0,B1342,"")</f>
        <v/>
      </c>
      <c r="E1342" s="0" t="str">
        <f aca="false">IF(C1342=0,A1342,"")</f>
        <v/>
      </c>
    </row>
    <row r="1343" customFormat="false" ht="12.8" hidden="false" customHeight="false" outlineLevel="0" collapsed="false">
      <c r="A1343" s="0" t="s">
        <v>2209</v>
      </c>
      <c r="B1343" s="0" t="s">
        <v>3446</v>
      </c>
      <c r="C1343" s="0" t="n">
        <v>0</v>
      </c>
      <c r="D1343" s="0" t="str">
        <f aca="false">IF(C1343=0,B1343,"")</f>
        <v>끤</v>
      </c>
      <c r="E1343" s="0" t="str">
        <f aca="false">IF(C1343=0,A1343,"")</f>
        <v>씐</v>
      </c>
    </row>
    <row r="1344" customFormat="false" ht="12.8" hidden="false" customHeight="false" outlineLevel="0" collapsed="false">
      <c r="A1344" s="0" t="s">
        <v>2210</v>
      </c>
      <c r="B1344" s="0" t="s">
        <v>3447</v>
      </c>
      <c r="C1344" s="0" t="n">
        <v>0</v>
      </c>
      <c r="D1344" s="0" t="str">
        <f aca="false">IF(C1344=0,B1344,"")</f>
        <v>끨</v>
      </c>
      <c r="E1344" s="0" t="str">
        <f aca="false">IF(C1344=0,A1344,"")</f>
        <v>씔</v>
      </c>
    </row>
    <row r="1345" customFormat="false" ht="12.8" hidden="false" customHeight="false" outlineLevel="0" collapsed="false">
      <c r="A1345" s="0" t="s">
        <v>2211</v>
      </c>
      <c r="B1345" s="0" t="s">
        <v>3448</v>
      </c>
      <c r="C1345" s="0" t="n">
        <v>0</v>
      </c>
      <c r="D1345" s="0" t="str">
        <f aca="false">IF(C1345=0,B1345,"")</f>
        <v>끰</v>
      </c>
      <c r="E1345" s="0" t="str">
        <f aca="false">IF(C1345=0,A1345,"")</f>
        <v>씜</v>
      </c>
    </row>
    <row r="1346" customFormat="false" ht="12.8" hidden="false" customHeight="false" outlineLevel="0" collapsed="false">
      <c r="A1346" s="0" t="s">
        <v>2212</v>
      </c>
      <c r="B1346" s="0" t="s">
        <v>2200</v>
      </c>
      <c r="C1346" s="0" t="n">
        <v>1</v>
      </c>
      <c r="D1346" s="0" t="str">
        <f aca="false">IF(C1346=0,B1346,"")</f>
        <v/>
      </c>
      <c r="E1346" s="0" t="str">
        <f aca="false">IF(C1346=0,A1346,"")</f>
        <v/>
      </c>
    </row>
    <row r="1347" customFormat="false" ht="12.8" hidden="false" customHeight="false" outlineLevel="0" collapsed="false">
      <c r="A1347" s="0" t="s">
        <v>2213</v>
      </c>
      <c r="B1347" s="0" t="s">
        <v>1165</v>
      </c>
      <c r="C1347" s="0" t="n">
        <v>1</v>
      </c>
      <c r="D1347" s="0" t="str">
        <f aca="false">IF(C1347=0,B1347,"")</f>
        <v/>
      </c>
      <c r="E1347" s="0" t="str">
        <f aca="false">IF(C1347=0,A1347,"")</f>
        <v/>
      </c>
    </row>
    <row r="1348" customFormat="false" ht="12.8" hidden="false" customHeight="false" outlineLevel="0" collapsed="false">
      <c r="A1348" s="0" t="s">
        <v>2214</v>
      </c>
      <c r="B1348" s="0" t="s">
        <v>1166</v>
      </c>
      <c r="C1348" s="0" t="n">
        <v>1</v>
      </c>
      <c r="D1348" s="0" t="str">
        <f aca="false">IF(C1348=0,B1348,"")</f>
        <v/>
      </c>
      <c r="E1348" s="0" t="str">
        <f aca="false">IF(C1348=0,A1348,"")</f>
        <v/>
      </c>
    </row>
    <row r="1349" customFormat="false" ht="12.8" hidden="false" customHeight="false" outlineLevel="0" collapsed="false">
      <c r="A1349" s="0" t="s">
        <v>2215</v>
      </c>
      <c r="B1349" s="0" t="s">
        <v>1167</v>
      </c>
      <c r="C1349" s="0" t="n">
        <v>1</v>
      </c>
      <c r="D1349" s="0" t="str">
        <f aca="false">IF(C1349=0,B1349,"")</f>
        <v/>
      </c>
      <c r="E1349" s="0" t="str">
        <f aca="false">IF(C1349=0,A1349,"")</f>
        <v/>
      </c>
    </row>
    <row r="1350" customFormat="false" ht="12.8" hidden="false" customHeight="false" outlineLevel="0" collapsed="false">
      <c r="A1350" s="0" t="s">
        <v>2216</v>
      </c>
      <c r="B1350" s="0" t="s">
        <v>1168</v>
      </c>
      <c r="C1350" s="0" t="n">
        <v>1</v>
      </c>
      <c r="D1350" s="0" t="str">
        <f aca="false">IF(C1350=0,B1350,"")</f>
        <v/>
      </c>
      <c r="E1350" s="0" t="str">
        <f aca="false">IF(C1350=0,A1350,"")</f>
        <v/>
      </c>
    </row>
    <row r="1351" customFormat="false" ht="12.8" hidden="false" customHeight="false" outlineLevel="0" collapsed="false">
      <c r="A1351" s="0" t="s">
        <v>2217</v>
      </c>
      <c r="B1351" s="0" t="s">
        <v>1169</v>
      </c>
      <c r="C1351" s="0" t="n">
        <v>1</v>
      </c>
      <c r="D1351" s="0" t="str">
        <f aca="false">IF(C1351=0,B1351,"")</f>
        <v/>
      </c>
      <c r="E1351" s="0" t="str">
        <f aca="false">IF(C1351=0,A1351,"")</f>
        <v/>
      </c>
    </row>
    <row r="1352" customFormat="false" ht="12.8" hidden="false" customHeight="false" outlineLevel="0" collapsed="false">
      <c r="A1352" s="0" t="s">
        <v>2218</v>
      </c>
      <c r="B1352" s="0" t="s">
        <v>1170</v>
      </c>
      <c r="C1352" s="0" t="n">
        <v>1</v>
      </c>
      <c r="D1352" s="0" t="str">
        <f aca="false">IF(C1352=0,B1352,"")</f>
        <v/>
      </c>
      <c r="E1352" s="0" t="str">
        <f aca="false">IF(C1352=0,A1352,"")</f>
        <v/>
      </c>
    </row>
    <row r="1353" customFormat="false" ht="12.8" hidden="false" customHeight="false" outlineLevel="0" collapsed="false">
      <c r="A1353" s="0" t="s">
        <v>2219</v>
      </c>
      <c r="B1353" s="0" t="s">
        <v>1171</v>
      </c>
      <c r="C1353" s="0" t="n">
        <v>1</v>
      </c>
      <c r="D1353" s="0" t="str">
        <f aca="false">IF(C1353=0,B1353,"")</f>
        <v/>
      </c>
      <c r="E1353" s="0" t="str">
        <f aca="false">IF(C1353=0,A1353,"")</f>
        <v/>
      </c>
    </row>
    <row r="1354" customFormat="false" ht="12.8" hidden="false" customHeight="false" outlineLevel="0" collapsed="false">
      <c r="A1354" s="0" t="s">
        <v>2220</v>
      </c>
      <c r="B1354" s="0" t="s">
        <v>2305</v>
      </c>
      <c r="C1354" s="0" t="n">
        <v>1</v>
      </c>
      <c r="D1354" s="0" t="str">
        <f aca="false">IF(C1354=0,B1354,"")</f>
        <v/>
      </c>
      <c r="E1354" s="0" t="str">
        <f aca="false">IF(C1354=0,A1354,"")</f>
        <v/>
      </c>
    </row>
    <row r="1355" customFormat="false" ht="12.8" hidden="false" customHeight="false" outlineLevel="0" collapsed="false">
      <c r="A1355" s="0" t="s">
        <v>2221</v>
      </c>
      <c r="B1355" s="0" t="s">
        <v>2795</v>
      </c>
      <c r="C1355" s="0" t="n">
        <v>1</v>
      </c>
      <c r="D1355" s="0" t="str">
        <f aca="false">IF(C1355=0,B1355,"")</f>
        <v/>
      </c>
      <c r="E1355" s="0" t="str">
        <f aca="false">IF(C1355=0,A1355,"")</f>
        <v/>
      </c>
    </row>
    <row r="1356" customFormat="false" ht="12.8" hidden="false" customHeight="false" outlineLevel="0" collapsed="false">
      <c r="A1356" s="0" t="s">
        <v>808</v>
      </c>
      <c r="B1356" s="0" t="s">
        <v>2796</v>
      </c>
      <c r="C1356" s="0" t="n">
        <v>1</v>
      </c>
      <c r="D1356" s="0" t="str">
        <f aca="false">IF(C1356=0,B1356,"")</f>
        <v/>
      </c>
      <c r="E1356" s="0" t="str">
        <f aca="false">IF(C1356=0,A1356,"")</f>
        <v/>
      </c>
    </row>
    <row r="1357" customFormat="false" ht="12.8" hidden="false" customHeight="false" outlineLevel="0" collapsed="false">
      <c r="A1357" s="0" t="s">
        <v>2222</v>
      </c>
      <c r="B1357" s="0" t="s">
        <v>2796</v>
      </c>
      <c r="C1357" s="0" t="n">
        <v>1</v>
      </c>
      <c r="D1357" s="0" t="str">
        <f aca="false">IF(C1357=0,B1357,"")</f>
        <v/>
      </c>
      <c r="E1357" s="0" t="str">
        <f aca="false">IF(C1357=0,A1357,"")</f>
        <v/>
      </c>
    </row>
    <row r="1358" customFormat="false" ht="12.8" hidden="false" customHeight="false" outlineLevel="0" collapsed="false">
      <c r="A1358" s="0" t="s">
        <v>2223</v>
      </c>
      <c r="B1358" s="0" t="s">
        <v>2796</v>
      </c>
      <c r="C1358" s="0" t="n">
        <v>1</v>
      </c>
      <c r="D1358" s="0" t="str">
        <f aca="false">IF(C1358=0,B1358,"")</f>
        <v/>
      </c>
      <c r="E1358" s="0" t="str">
        <f aca="false">IF(C1358=0,A1358,"")</f>
        <v/>
      </c>
    </row>
    <row r="1359" customFormat="false" ht="12.8" hidden="false" customHeight="false" outlineLevel="0" collapsed="false">
      <c r="A1359" s="0" t="s">
        <v>2224</v>
      </c>
      <c r="B1359" s="0" t="s">
        <v>2797</v>
      </c>
      <c r="C1359" s="0" t="n">
        <v>1</v>
      </c>
      <c r="D1359" s="0" t="str">
        <f aca="false">IF(C1359=0,B1359,"")</f>
        <v/>
      </c>
      <c r="E1359" s="0" t="str">
        <f aca="false">IF(C1359=0,A1359,"")</f>
        <v/>
      </c>
    </row>
    <row r="1360" customFormat="false" ht="12.8" hidden="false" customHeight="false" outlineLevel="0" collapsed="false">
      <c r="A1360" s="0" t="s">
        <v>2225</v>
      </c>
      <c r="B1360" s="0" t="s">
        <v>2797</v>
      </c>
      <c r="C1360" s="0" t="n">
        <v>1</v>
      </c>
      <c r="D1360" s="0" t="str">
        <f aca="false">IF(C1360=0,B1360,"")</f>
        <v/>
      </c>
      <c r="E1360" s="0" t="str">
        <f aca="false">IF(C1360=0,A1360,"")</f>
        <v/>
      </c>
    </row>
    <row r="1361" customFormat="false" ht="12.8" hidden="false" customHeight="false" outlineLevel="0" collapsed="false">
      <c r="A1361" s="0" t="s">
        <v>2226</v>
      </c>
      <c r="B1361" s="0" t="s">
        <v>2797</v>
      </c>
      <c r="C1361" s="0" t="n">
        <v>1</v>
      </c>
      <c r="D1361" s="0" t="str">
        <f aca="false">IF(C1361=0,B1361,"")</f>
        <v/>
      </c>
      <c r="E1361" s="0" t="str">
        <f aca="false">IF(C1361=0,A1361,"")</f>
        <v/>
      </c>
    </row>
    <row r="1362" customFormat="false" ht="12.8" hidden="false" customHeight="false" outlineLevel="0" collapsed="false">
      <c r="A1362" s="0" t="s">
        <v>2227</v>
      </c>
      <c r="B1362" s="0" t="s">
        <v>2797</v>
      </c>
      <c r="C1362" s="0" t="n">
        <v>1</v>
      </c>
      <c r="D1362" s="0" t="str">
        <f aca="false">IF(C1362=0,B1362,"")</f>
        <v/>
      </c>
      <c r="E1362" s="0" t="str">
        <f aca="false">IF(C1362=0,A1362,"")</f>
        <v/>
      </c>
    </row>
    <row r="1363" customFormat="false" ht="12.8" hidden="false" customHeight="false" outlineLevel="0" collapsed="false">
      <c r="A1363" s="0" t="s">
        <v>2228</v>
      </c>
      <c r="B1363" s="0" t="s">
        <v>2798</v>
      </c>
      <c r="C1363" s="0" t="n">
        <v>1</v>
      </c>
      <c r="D1363" s="0" t="str">
        <f aca="false">IF(C1363=0,B1363,"")</f>
        <v/>
      </c>
      <c r="E1363" s="0" t="str">
        <f aca="false">IF(C1363=0,A1363,"")</f>
        <v/>
      </c>
    </row>
    <row r="1364" customFormat="false" ht="12.8" hidden="false" customHeight="false" outlineLevel="0" collapsed="false">
      <c r="A1364" s="0" t="s">
        <v>2229</v>
      </c>
      <c r="B1364" s="0" t="s">
        <v>2799</v>
      </c>
      <c r="C1364" s="0" t="n">
        <v>1</v>
      </c>
      <c r="D1364" s="0" t="str">
        <f aca="false">IF(C1364=0,B1364,"")</f>
        <v/>
      </c>
      <c r="E1364" s="0" t="str">
        <f aca="false">IF(C1364=0,A1364,"")</f>
        <v/>
      </c>
    </row>
    <row r="1365" customFormat="false" ht="12.8" hidden="false" customHeight="false" outlineLevel="0" collapsed="false">
      <c r="A1365" s="0" t="s">
        <v>2230</v>
      </c>
      <c r="B1365" s="0" t="s">
        <v>2800</v>
      </c>
      <c r="C1365" s="0" t="n">
        <v>1</v>
      </c>
      <c r="D1365" s="0" t="str">
        <f aca="false">IF(C1365=0,B1365,"")</f>
        <v/>
      </c>
      <c r="E1365" s="0" t="str">
        <f aca="false">IF(C1365=0,A1365,"")</f>
        <v/>
      </c>
    </row>
    <row r="1366" customFormat="false" ht="12.8" hidden="false" customHeight="false" outlineLevel="0" collapsed="false">
      <c r="A1366" s="0" t="s">
        <v>2231</v>
      </c>
      <c r="B1366" s="0" t="s">
        <v>2800</v>
      </c>
      <c r="C1366" s="0" t="n">
        <v>1</v>
      </c>
      <c r="D1366" s="0" t="str">
        <f aca="false">IF(C1366=0,B1366,"")</f>
        <v/>
      </c>
      <c r="E1366" s="0" t="str">
        <f aca="false">IF(C1366=0,A1366,"")</f>
        <v/>
      </c>
    </row>
    <row r="1367" customFormat="false" ht="12.8" hidden="false" customHeight="false" outlineLevel="0" collapsed="false">
      <c r="A1367" s="0" t="s">
        <v>2232</v>
      </c>
      <c r="B1367" s="0" t="s">
        <v>2801</v>
      </c>
      <c r="C1367" s="0" t="n">
        <v>1</v>
      </c>
      <c r="D1367" s="0" t="str">
        <f aca="false">IF(C1367=0,B1367,"")</f>
        <v/>
      </c>
      <c r="E1367" s="0" t="str">
        <f aca="false">IF(C1367=0,A1367,"")</f>
        <v/>
      </c>
    </row>
    <row r="1368" customFormat="false" ht="12.8" hidden="false" customHeight="false" outlineLevel="0" collapsed="false">
      <c r="A1368" s="0" t="s">
        <v>2233</v>
      </c>
      <c r="B1368" s="0" t="s">
        <v>2800</v>
      </c>
      <c r="C1368" s="0" t="n">
        <v>1</v>
      </c>
      <c r="D1368" s="0" t="str">
        <f aca="false">IF(C1368=0,B1368,"")</f>
        <v/>
      </c>
      <c r="E1368" s="0" t="str">
        <f aca="false">IF(C1368=0,A1368,"")</f>
        <v/>
      </c>
    </row>
    <row r="1369" customFormat="false" ht="12.8" hidden="false" customHeight="false" outlineLevel="0" collapsed="false">
      <c r="A1369" s="0" t="s">
        <v>2234</v>
      </c>
      <c r="B1369" s="0" t="s">
        <v>2799</v>
      </c>
      <c r="C1369" s="0" t="n">
        <v>1</v>
      </c>
      <c r="D1369" s="0" t="str">
        <f aca="false">IF(C1369=0,B1369,"")</f>
        <v/>
      </c>
      <c r="E1369" s="0" t="str">
        <f aca="false">IF(C1369=0,A1369,"")</f>
        <v/>
      </c>
    </row>
    <row r="1370" customFormat="false" ht="12.8" hidden="false" customHeight="false" outlineLevel="0" collapsed="false">
      <c r="A1370" s="0" t="s">
        <v>2235</v>
      </c>
      <c r="B1370" s="0" t="s">
        <v>827</v>
      </c>
      <c r="C1370" s="0" t="n">
        <v>1</v>
      </c>
      <c r="D1370" s="0" t="str">
        <f aca="false">IF(C1370=0,B1370,"")</f>
        <v/>
      </c>
      <c r="E1370" s="0" t="str">
        <f aca="false">IF(C1370=0,A1370,"")</f>
        <v/>
      </c>
    </row>
    <row r="1371" customFormat="false" ht="12.8" hidden="false" customHeight="false" outlineLevel="0" collapsed="false">
      <c r="A1371" s="0" t="s">
        <v>2236</v>
      </c>
      <c r="B1371" s="0" t="s">
        <v>2803</v>
      </c>
      <c r="C1371" s="0" t="n">
        <v>1</v>
      </c>
      <c r="D1371" s="0" t="str">
        <f aca="false">IF(C1371=0,B1371,"")</f>
        <v/>
      </c>
      <c r="E1371" s="0" t="str">
        <f aca="false">IF(C1371=0,A1371,"")</f>
        <v/>
      </c>
    </row>
    <row r="1372" customFormat="false" ht="12.8" hidden="false" customHeight="false" outlineLevel="0" collapsed="false">
      <c r="A1372" s="0" t="s">
        <v>2237</v>
      </c>
      <c r="B1372" s="0" t="s">
        <v>2804</v>
      </c>
      <c r="C1372" s="0" t="n">
        <v>1</v>
      </c>
      <c r="D1372" s="0" t="str">
        <f aca="false">IF(C1372=0,B1372,"")</f>
        <v/>
      </c>
      <c r="E1372" s="0" t="str">
        <f aca="false">IF(C1372=0,A1372,"")</f>
        <v/>
      </c>
    </row>
    <row r="1373" customFormat="false" ht="12.8" hidden="false" customHeight="false" outlineLevel="0" collapsed="false">
      <c r="A1373" s="0" t="s">
        <v>2238</v>
      </c>
      <c r="B1373" s="0" t="s">
        <v>2805</v>
      </c>
      <c r="C1373" s="0" t="n">
        <v>1</v>
      </c>
      <c r="D1373" s="0" t="str">
        <f aca="false">IF(C1373=0,B1373,"")</f>
        <v/>
      </c>
      <c r="E1373" s="0" t="str">
        <f aca="false">IF(C1373=0,A1373,"")</f>
        <v/>
      </c>
    </row>
    <row r="1374" customFormat="false" ht="12.8" hidden="false" customHeight="false" outlineLevel="0" collapsed="false">
      <c r="A1374" s="0" t="s">
        <v>2239</v>
      </c>
      <c r="B1374" s="0" t="s">
        <v>2806</v>
      </c>
      <c r="C1374" s="0" t="n">
        <v>1</v>
      </c>
      <c r="D1374" s="0" t="str">
        <f aca="false">IF(C1374=0,B1374,"")</f>
        <v/>
      </c>
      <c r="E1374" s="0" t="str">
        <f aca="false">IF(C1374=0,A1374,"")</f>
        <v/>
      </c>
    </row>
    <row r="1375" customFormat="false" ht="12.8" hidden="false" customHeight="false" outlineLevel="0" collapsed="false">
      <c r="A1375" s="0" t="s">
        <v>2240</v>
      </c>
      <c r="B1375" s="0" t="s">
        <v>2807</v>
      </c>
      <c r="C1375" s="0" t="n">
        <v>1</v>
      </c>
      <c r="D1375" s="0" t="str">
        <f aca="false">IF(C1375=0,B1375,"")</f>
        <v/>
      </c>
      <c r="E1375" s="0" t="str">
        <f aca="false">IF(C1375=0,A1375,"")</f>
        <v/>
      </c>
    </row>
    <row r="1376" customFormat="false" ht="12.8" hidden="false" customHeight="false" outlineLevel="0" collapsed="false">
      <c r="A1376" s="0" t="s">
        <v>2241</v>
      </c>
      <c r="B1376" s="0" t="s">
        <v>2808</v>
      </c>
      <c r="C1376" s="0" t="n">
        <v>1</v>
      </c>
      <c r="D1376" s="0" t="str">
        <f aca="false">IF(C1376=0,B1376,"")</f>
        <v/>
      </c>
      <c r="E1376" s="0" t="str">
        <f aca="false">IF(C1376=0,A1376,"")</f>
        <v/>
      </c>
    </row>
    <row r="1377" customFormat="false" ht="12.8" hidden="false" customHeight="false" outlineLevel="0" collapsed="false">
      <c r="A1377" s="0" t="s">
        <v>2242</v>
      </c>
      <c r="B1377" s="0" t="s">
        <v>2808</v>
      </c>
      <c r="C1377" s="0" t="n">
        <v>1</v>
      </c>
      <c r="D1377" s="0" t="str">
        <f aca="false">IF(C1377=0,B1377,"")</f>
        <v/>
      </c>
      <c r="E1377" s="0" t="str">
        <f aca="false">IF(C1377=0,A1377,"")</f>
        <v/>
      </c>
    </row>
    <row r="1378" customFormat="false" ht="12.8" hidden="false" customHeight="false" outlineLevel="0" collapsed="false">
      <c r="A1378" s="0" t="s">
        <v>2243</v>
      </c>
      <c r="B1378" s="0" t="s">
        <v>2810</v>
      </c>
      <c r="C1378" s="0" t="n">
        <v>1</v>
      </c>
      <c r="D1378" s="0" t="str">
        <f aca="false">IF(C1378=0,B1378,"")</f>
        <v/>
      </c>
      <c r="E1378" s="0" t="str">
        <f aca="false">IF(C1378=0,A1378,"")</f>
        <v/>
      </c>
    </row>
    <row r="1379" customFormat="false" ht="12.8" hidden="false" customHeight="false" outlineLevel="0" collapsed="false">
      <c r="A1379" s="0" t="s">
        <v>2244</v>
      </c>
      <c r="B1379" s="0" t="s">
        <v>812</v>
      </c>
      <c r="C1379" s="0" t="n">
        <v>1</v>
      </c>
      <c r="D1379" s="0" t="str">
        <f aca="false">IF(C1379=0,B1379,"")</f>
        <v/>
      </c>
      <c r="E1379" s="0" t="str">
        <f aca="false">IF(C1379=0,A1379,"")</f>
        <v/>
      </c>
    </row>
    <row r="1380" customFormat="false" ht="12.8" hidden="false" customHeight="false" outlineLevel="0" collapsed="false">
      <c r="A1380" s="0" t="s">
        <v>2245</v>
      </c>
      <c r="B1380" s="0" t="s">
        <v>2812</v>
      </c>
      <c r="C1380" s="0" t="n">
        <v>1</v>
      </c>
      <c r="D1380" s="0" t="str">
        <f aca="false">IF(C1380=0,B1380,"")</f>
        <v/>
      </c>
      <c r="E1380" s="0" t="str">
        <f aca="false">IF(C1380=0,A1380,"")</f>
        <v/>
      </c>
    </row>
    <row r="1381" customFormat="false" ht="12.8" hidden="false" customHeight="false" outlineLevel="0" collapsed="false">
      <c r="A1381" s="0" t="s">
        <v>2246</v>
      </c>
      <c r="B1381" s="0" t="s">
        <v>3449</v>
      </c>
      <c r="C1381" s="0" t="n">
        <v>0</v>
      </c>
      <c r="D1381" s="0" t="str">
        <f aca="false">IF(C1381=0,B1381,"")</f>
        <v>캰</v>
      </c>
      <c r="E1381" s="0" t="str">
        <f aca="false">IF(C1381=0,A1381,"")</f>
        <v>얀</v>
      </c>
    </row>
    <row r="1382" customFormat="false" ht="12.8" hidden="false" customHeight="false" outlineLevel="0" collapsed="false">
      <c r="A1382" s="0" t="s">
        <v>2247</v>
      </c>
      <c r="B1382" s="0" t="s">
        <v>3450</v>
      </c>
      <c r="C1382" s="0" t="n">
        <v>0</v>
      </c>
      <c r="D1382" s="0" t="str">
        <f aca="false">IF(C1382=0,B1382,"")</f>
        <v>캴</v>
      </c>
      <c r="E1382" s="0" t="str">
        <f aca="false">IF(C1382=0,A1382,"")</f>
        <v>얄</v>
      </c>
    </row>
    <row r="1383" customFormat="false" ht="12.8" hidden="false" customHeight="false" outlineLevel="0" collapsed="false">
      <c r="A1383" s="0" t="s">
        <v>2248</v>
      </c>
      <c r="B1383" s="0" t="s">
        <v>3450</v>
      </c>
      <c r="C1383" s="0" t="n">
        <v>0</v>
      </c>
      <c r="D1383" s="0" t="str">
        <f aca="false">IF(C1383=0,B1383,"")</f>
        <v>캴</v>
      </c>
      <c r="E1383" s="0" t="str">
        <f aca="false">IF(C1383=0,A1383,"")</f>
        <v>얇</v>
      </c>
    </row>
    <row r="1384" customFormat="false" ht="12.8" hidden="false" customHeight="false" outlineLevel="0" collapsed="false">
      <c r="A1384" s="0" t="s">
        <v>2249</v>
      </c>
      <c r="B1384" s="0" t="s">
        <v>3451</v>
      </c>
      <c r="C1384" s="0" t="n">
        <v>0</v>
      </c>
      <c r="D1384" s="0" t="str">
        <f aca="false">IF(C1384=0,B1384,"")</f>
        <v>캼</v>
      </c>
      <c r="E1384" s="0" t="str">
        <f aca="false">IF(C1384=0,A1384,"")</f>
        <v>얌</v>
      </c>
    </row>
    <row r="1385" customFormat="false" ht="12.8" hidden="false" customHeight="false" outlineLevel="0" collapsed="false">
      <c r="A1385" s="0" t="s">
        <v>2250</v>
      </c>
      <c r="B1385" s="0" t="s">
        <v>3452</v>
      </c>
      <c r="C1385" s="0" t="n">
        <v>0</v>
      </c>
      <c r="D1385" s="0" t="str">
        <f aca="false">IF(C1385=0,B1385,"")</f>
        <v>캽</v>
      </c>
      <c r="E1385" s="0" t="str">
        <f aca="false">IF(C1385=0,A1385,"")</f>
        <v>얍</v>
      </c>
    </row>
    <row r="1386" customFormat="false" ht="12.8" hidden="false" customHeight="false" outlineLevel="0" collapsed="false">
      <c r="A1386" s="0" t="s">
        <v>2251</v>
      </c>
      <c r="B1386" s="0" t="s">
        <v>3453</v>
      </c>
      <c r="C1386" s="0" t="n">
        <v>0</v>
      </c>
      <c r="D1386" s="0" t="str">
        <f aca="false">IF(C1386=0,B1386,"")</f>
        <v>캿</v>
      </c>
      <c r="E1386" s="0" t="str">
        <f aca="false">IF(C1386=0,A1386,"")</f>
        <v>얏</v>
      </c>
    </row>
    <row r="1387" customFormat="false" ht="12.8" hidden="false" customHeight="false" outlineLevel="0" collapsed="false">
      <c r="A1387" s="0" t="s">
        <v>2252</v>
      </c>
      <c r="B1387" s="0" t="s">
        <v>2813</v>
      </c>
      <c r="C1387" s="0" t="n">
        <v>1</v>
      </c>
      <c r="D1387" s="0" t="str">
        <f aca="false">IF(C1387=0,B1387,"")</f>
        <v/>
      </c>
      <c r="E1387" s="0" t="str">
        <f aca="false">IF(C1387=0,A1387,"")</f>
        <v/>
      </c>
    </row>
    <row r="1388" customFormat="false" ht="12.8" hidden="false" customHeight="false" outlineLevel="0" collapsed="false">
      <c r="A1388" s="0" t="s">
        <v>2253</v>
      </c>
      <c r="B1388" s="0" t="s">
        <v>3453</v>
      </c>
      <c r="C1388" s="0" t="n">
        <v>0</v>
      </c>
      <c r="D1388" s="0" t="str">
        <f aca="false">IF(C1388=0,B1388,"")</f>
        <v>캿</v>
      </c>
      <c r="E1388" s="0" t="str">
        <f aca="false">IF(C1388=0,A1388,"")</f>
        <v>얕</v>
      </c>
    </row>
    <row r="1389" customFormat="false" ht="12.8" hidden="false" customHeight="false" outlineLevel="0" collapsed="false">
      <c r="A1389" s="0" t="s">
        <v>2254</v>
      </c>
      <c r="B1389" s="0" t="s">
        <v>3453</v>
      </c>
      <c r="C1389" s="0" t="n">
        <v>0</v>
      </c>
      <c r="D1389" s="0" t="str">
        <f aca="false">IF(C1389=0,B1389,"")</f>
        <v>캿</v>
      </c>
      <c r="E1389" s="0" t="str">
        <f aca="false">IF(C1389=0,A1389,"")</f>
        <v>얗</v>
      </c>
    </row>
    <row r="1390" customFormat="false" ht="12.8" hidden="false" customHeight="false" outlineLevel="0" collapsed="false">
      <c r="A1390" s="0" t="s">
        <v>2255</v>
      </c>
      <c r="B1390" s="0" t="s">
        <v>2368</v>
      </c>
      <c r="C1390" s="0" t="n">
        <v>1</v>
      </c>
      <c r="D1390" s="0" t="str">
        <f aca="false">IF(C1390=0,B1390,"")</f>
        <v/>
      </c>
      <c r="E1390" s="0" t="str">
        <f aca="false">IF(C1390=0,A1390,"")</f>
        <v/>
      </c>
    </row>
    <row r="1391" customFormat="false" ht="12.8" hidden="false" customHeight="false" outlineLevel="0" collapsed="false">
      <c r="A1391" s="0" t="s">
        <v>2256</v>
      </c>
      <c r="B1391" s="0" t="s">
        <v>3454</v>
      </c>
      <c r="C1391" s="0" t="n">
        <v>0</v>
      </c>
      <c r="D1391" s="0" t="str">
        <f aca="false">IF(C1391=0,B1391,"")</f>
        <v>컌</v>
      </c>
      <c r="E1391" s="0" t="str">
        <f aca="false">IF(C1391=0,A1391,"")</f>
        <v>얜</v>
      </c>
    </row>
    <row r="1392" customFormat="false" ht="12.8" hidden="false" customHeight="false" outlineLevel="0" collapsed="false">
      <c r="A1392" s="0" t="s">
        <v>2257</v>
      </c>
      <c r="B1392" s="0" t="s">
        <v>3455</v>
      </c>
      <c r="C1392" s="0" t="n">
        <v>0</v>
      </c>
      <c r="D1392" s="0" t="str">
        <f aca="false">IF(C1392=0,B1392,"")</f>
        <v>컐</v>
      </c>
      <c r="E1392" s="0" t="str">
        <f aca="false">IF(C1392=0,A1392,"")</f>
        <v>얠</v>
      </c>
    </row>
    <row r="1393" customFormat="false" ht="12.8" hidden="false" customHeight="false" outlineLevel="0" collapsed="false">
      <c r="A1393" s="0" t="s">
        <v>2258</v>
      </c>
      <c r="B1393" s="0" t="s">
        <v>3456</v>
      </c>
      <c r="C1393" s="0" t="n">
        <v>0</v>
      </c>
      <c r="D1393" s="0" t="str">
        <f aca="false">IF(C1393=0,B1393,"")</f>
        <v>컙</v>
      </c>
      <c r="E1393" s="0" t="str">
        <f aca="false">IF(C1393=0,A1393,"")</f>
        <v>얩</v>
      </c>
    </row>
    <row r="1394" customFormat="false" ht="12.8" hidden="false" customHeight="false" outlineLevel="0" collapsed="false">
      <c r="A1394" s="0" t="s">
        <v>798</v>
      </c>
      <c r="B1394" s="0" t="s">
        <v>2345</v>
      </c>
      <c r="C1394" s="0" t="n">
        <v>1</v>
      </c>
      <c r="D1394" s="0" t="str">
        <f aca="false">IF(C1394=0,B1394,"")</f>
        <v/>
      </c>
      <c r="E1394" s="0" t="str">
        <f aca="false">IF(C1394=0,A1394,"")</f>
        <v/>
      </c>
    </row>
    <row r="1395" customFormat="false" ht="12.8" hidden="false" customHeight="false" outlineLevel="0" collapsed="false">
      <c r="A1395" s="0" t="s">
        <v>2259</v>
      </c>
      <c r="B1395" s="0" t="s">
        <v>2815</v>
      </c>
      <c r="C1395" s="0" t="n">
        <v>1</v>
      </c>
      <c r="D1395" s="0" t="str">
        <f aca="false">IF(C1395=0,B1395,"")</f>
        <v/>
      </c>
      <c r="E1395" s="0" t="str">
        <f aca="false">IF(C1395=0,A1395,"")</f>
        <v/>
      </c>
    </row>
    <row r="1396" customFormat="false" ht="12.8" hidden="false" customHeight="false" outlineLevel="0" collapsed="false">
      <c r="A1396" s="0" t="s">
        <v>2260</v>
      </c>
      <c r="B1396" s="0" t="s">
        <v>2816</v>
      </c>
      <c r="C1396" s="0" t="n">
        <v>1</v>
      </c>
      <c r="D1396" s="0" t="str">
        <f aca="false">IF(C1396=0,B1396,"")</f>
        <v/>
      </c>
      <c r="E1396" s="0" t="str">
        <f aca="false">IF(C1396=0,A1396,"")</f>
        <v/>
      </c>
    </row>
    <row r="1397" customFormat="false" ht="12.8" hidden="false" customHeight="false" outlineLevel="0" collapsed="false">
      <c r="A1397" s="0" t="s">
        <v>2261</v>
      </c>
      <c r="B1397" s="0" t="s">
        <v>2816</v>
      </c>
      <c r="C1397" s="0" t="n">
        <v>1</v>
      </c>
      <c r="D1397" s="0" t="str">
        <f aca="false">IF(C1397=0,B1397,"")</f>
        <v/>
      </c>
      <c r="E1397" s="0" t="str">
        <f aca="false">IF(C1397=0,A1397,"")</f>
        <v/>
      </c>
    </row>
    <row r="1398" customFormat="false" ht="12.8" hidden="false" customHeight="false" outlineLevel="0" collapsed="false">
      <c r="A1398" s="0" t="s">
        <v>2262</v>
      </c>
      <c r="B1398" s="0" t="s">
        <v>2821</v>
      </c>
      <c r="C1398" s="0" t="n">
        <v>1</v>
      </c>
      <c r="D1398" s="0" t="str">
        <f aca="false">IF(C1398=0,B1398,"")</f>
        <v/>
      </c>
      <c r="E1398" s="0" t="str">
        <f aca="false">IF(C1398=0,A1398,"")</f>
        <v/>
      </c>
    </row>
    <row r="1399" customFormat="false" ht="12.8" hidden="false" customHeight="false" outlineLevel="0" collapsed="false">
      <c r="A1399" s="0" t="s">
        <v>2263</v>
      </c>
      <c r="B1399" s="0" t="s">
        <v>2818</v>
      </c>
      <c r="C1399" s="0" t="n">
        <v>1</v>
      </c>
      <c r="D1399" s="0" t="str">
        <f aca="false">IF(C1399=0,B1399,"")</f>
        <v/>
      </c>
      <c r="E1399" s="0" t="str">
        <f aca="false">IF(C1399=0,A1399,"")</f>
        <v/>
      </c>
    </row>
    <row r="1400" customFormat="false" ht="12.8" hidden="false" customHeight="false" outlineLevel="0" collapsed="false">
      <c r="A1400" s="0" t="s">
        <v>2264</v>
      </c>
      <c r="B1400" s="0" t="s">
        <v>2818</v>
      </c>
      <c r="C1400" s="0" t="n">
        <v>1</v>
      </c>
      <c r="D1400" s="0" t="str">
        <f aca="false">IF(C1400=0,B1400,"")</f>
        <v/>
      </c>
      <c r="E1400" s="0" t="str">
        <f aca="false">IF(C1400=0,A1400,"")</f>
        <v/>
      </c>
    </row>
    <row r="1401" customFormat="false" ht="12.8" hidden="false" customHeight="false" outlineLevel="0" collapsed="false">
      <c r="A1401" s="0" t="s">
        <v>2265</v>
      </c>
      <c r="B1401" s="0" t="s">
        <v>2818</v>
      </c>
      <c r="C1401" s="0" t="n">
        <v>1</v>
      </c>
      <c r="D1401" s="0" t="str">
        <f aca="false">IF(C1401=0,B1401,"")</f>
        <v/>
      </c>
      <c r="E1401" s="0" t="str">
        <f aca="false">IF(C1401=0,A1401,"")</f>
        <v/>
      </c>
    </row>
    <row r="1402" customFormat="false" ht="12.8" hidden="false" customHeight="false" outlineLevel="0" collapsed="false">
      <c r="A1402" s="0" t="s">
        <v>2266</v>
      </c>
      <c r="B1402" s="0" t="s">
        <v>2819</v>
      </c>
      <c r="C1402" s="0" t="n">
        <v>1</v>
      </c>
      <c r="D1402" s="0" t="str">
        <f aca="false">IF(C1402=0,B1402,"")</f>
        <v/>
      </c>
      <c r="E1402" s="0" t="str">
        <f aca="false">IF(C1402=0,A1402,"")</f>
        <v/>
      </c>
    </row>
    <row r="1403" customFormat="false" ht="12.8" hidden="false" customHeight="false" outlineLevel="0" collapsed="false">
      <c r="A1403" s="0" t="s">
        <v>2267</v>
      </c>
      <c r="B1403" s="0" t="s">
        <v>2820</v>
      </c>
      <c r="C1403" s="0" t="n">
        <v>1</v>
      </c>
      <c r="D1403" s="0" t="str">
        <f aca="false">IF(C1403=0,B1403,"")</f>
        <v/>
      </c>
      <c r="E1403" s="0" t="str">
        <f aca="false">IF(C1403=0,A1403,"")</f>
        <v/>
      </c>
    </row>
    <row r="1404" customFormat="false" ht="12.8" hidden="false" customHeight="false" outlineLevel="0" collapsed="false">
      <c r="A1404" s="0" t="s">
        <v>819</v>
      </c>
      <c r="B1404" s="0" t="s">
        <v>2820</v>
      </c>
      <c r="C1404" s="0" t="n">
        <v>1</v>
      </c>
      <c r="D1404" s="0" t="str">
        <f aca="false">IF(C1404=0,B1404,"")</f>
        <v/>
      </c>
      <c r="E1404" s="0" t="str">
        <f aca="false">IF(C1404=0,A1404,"")</f>
        <v/>
      </c>
    </row>
    <row r="1405" customFormat="false" ht="12.8" hidden="false" customHeight="false" outlineLevel="0" collapsed="false">
      <c r="A1405" s="0" t="s">
        <v>2268</v>
      </c>
      <c r="B1405" s="0" t="s">
        <v>2821</v>
      </c>
      <c r="C1405" s="0" t="n">
        <v>1</v>
      </c>
      <c r="D1405" s="0" t="str">
        <f aca="false">IF(C1405=0,B1405,"")</f>
        <v/>
      </c>
      <c r="E1405" s="0" t="str">
        <f aca="false">IF(C1405=0,A1405,"")</f>
        <v/>
      </c>
    </row>
    <row r="1406" customFormat="false" ht="12.8" hidden="false" customHeight="false" outlineLevel="0" collapsed="false">
      <c r="A1406" s="0" t="s">
        <v>2269</v>
      </c>
      <c r="B1406" s="0" t="s">
        <v>2821</v>
      </c>
      <c r="C1406" s="0" t="n">
        <v>1</v>
      </c>
      <c r="D1406" s="0" t="str">
        <f aca="false">IF(C1406=0,B1406,"")</f>
        <v/>
      </c>
      <c r="E1406" s="0" t="str">
        <f aca="false">IF(C1406=0,A1406,"")</f>
        <v/>
      </c>
    </row>
    <row r="1407" customFormat="false" ht="12.8" hidden="false" customHeight="false" outlineLevel="0" collapsed="false">
      <c r="A1407" s="0" t="s">
        <v>2270</v>
      </c>
      <c r="B1407" s="0" t="s">
        <v>2823</v>
      </c>
      <c r="C1407" s="0" t="n">
        <v>1</v>
      </c>
      <c r="D1407" s="0" t="str">
        <f aca="false">IF(C1407=0,B1407,"")</f>
        <v/>
      </c>
      <c r="E1407" s="0" t="str">
        <f aca="false">IF(C1407=0,A1407,"")</f>
        <v/>
      </c>
    </row>
    <row r="1408" customFormat="false" ht="12.8" hidden="false" customHeight="false" outlineLevel="0" collapsed="false">
      <c r="A1408" s="0" t="s">
        <v>2271</v>
      </c>
      <c r="B1408" s="0" t="s">
        <v>2821</v>
      </c>
      <c r="C1408" s="0" t="n">
        <v>1</v>
      </c>
      <c r="D1408" s="0" t="str">
        <f aca="false">IF(C1408=0,B1408,"")</f>
        <v/>
      </c>
      <c r="E1408" s="0" t="str">
        <f aca="false">IF(C1408=0,A1408,"")</f>
        <v/>
      </c>
    </row>
    <row r="1409" customFormat="false" ht="12.8" hidden="false" customHeight="false" outlineLevel="0" collapsed="false">
      <c r="A1409" s="0" t="s">
        <v>2272</v>
      </c>
      <c r="B1409" s="0" t="s">
        <v>2815</v>
      </c>
      <c r="C1409" s="0" t="n">
        <v>1</v>
      </c>
      <c r="D1409" s="0" t="str">
        <f aca="false">IF(C1409=0,B1409,"")</f>
        <v/>
      </c>
      <c r="E1409" s="0" t="str">
        <f aca="false">IF(C1409=0,A1409,"")</f>
        <v/>
      </c>
    </row>
    <row r="1410" customFormat="false" ht="12.8" hidden="false" customHeight="false" outlineLevel="0" collapsed="false">
      <c r="A1410" s="0" t="s">
        <v>2273</v>
      </c>
      <c r="B1410" s="0" t="s">
        <v>2820</v>
      </c>
      <c r="C1410" s="0" t="n">
        <v>1</v>
      </c>
      <c r="D1410" s="0" t="str">
        <f aca="false">IF(C1410=0,B1410,"")</f>
        <v/>
      </c>
      <c r="E1410" s="0" t="str">
        <f aca="false">IF(C1410=0,A1410,"")</f>
        <v/>
      </c>
    </row>
    <row r="1411" customFormat="false" ht="12.8" hidden="false" customHeight="false" outlineLevel="0" collapsed="false">
      <c r="A1411" s="0" t="s">
        <v>2274</v>
      </c>
      <c r="B1411" s="0" t="s">
        <v>2220</v>
      </c>
      <c r="C1411" s="0" t="n">
        <v>1</v>
      </c>
      <c r="D1411" s="0" t="str">
        <f aca="false">IF(C1411=0,B1411,"")</f>
        <v/>
      </c>
      <c r="E1411" s="0" t="str">
        <f aca="false">IF(C1411=0,A1411,"")</f>
        <v/>
      </c>
    </row>
    <row r="1412" customFormat="false" ht="12.8" hidden="false" customHeight="false" outlineLevel="0" collapsed="false">
      <c r="A1412" s="0" t="s">
        <v>2275</v>
      </c>
      <c r="B1412" s="0" t="s">
        <v>2825</v>
      </c>
      <c r="C1412" s="0" t="n">
        <v>1</v>
      </c>
      <c r="D1412" s="0" t="str">
        <f aca="false">IF(C1412=0,B1412,"")</f>
        <v/>
      </c>
      <c r="E1412" s="0" t="str">
        <f aca="false">IF(C1412=0,A1412,"")</f>
        <v/>
      </c>
    </row>
    <row r="1413" customFormat="false" ht="12.8" hidden="false" customHeight="false" outlineLevel="0" collapsed="false">
      <c r="A1413" s="0" t="s">
        <v>2276</v>
      </c>
      <c r="B1413" s="0" t="s">
        <v>2826</v>
      </c>
      <c r="C1413" s="0" t="n">
        <v>1</v>
      </c>
      <c r="D1413" s="0" t="str">
        <f aca="false">IF(C1413=0,B1413,"")</f>
        <v/>
      </c>
      <c r="E1413" s="0" t="str">
        <f aca="false">IF(C1413=0,A1413,"")</f>
        <v/>
      </c>
    </row>
    <row r="1414" customFormat="false" ht="12.8" hidden="false" customHeight="false" outlineLevel="0" collapsed="false">
      <c r="A1414" s="0" t="s">
        <v>2277</v>
      </c>
      <c r="B1414" s="0" t="s">
        <v>2827</v>
      </c>
      <c r="C1414" s="0" t="n">
        <v>1</v>
      </c>
      <c r="D1414" s="0" t="str">
        <f aca="false">IF(C1414=0,B1414,"")</f>
        <v/>
      </c>
      <c r="E1414" s="0" t="str">
        <f aca="false">IF(C1414=0,A1414,"")</f>
        <v/>
      </c>
    </row>
    <row r="1415" customFormat="false" ht="12.8" hidden="false" customHeight="false" outlineLevel="0" collapsed="false">
      <c r="A1415" s="0" t="s">
        <v>2278</v>
      </c>
      <c r="B1415" s="0" t="s">
        <v>2828</v>
      </c>
      <c r="C1415" s="0" t="n">
        <v>1</v>
      </c>
      <c r="D1415" s="0" t="str">
        <f aca="false">IF(C1415=0,B1415,"")</f>
        <v/>
      </c>
      <c r="E1415" s="0" t="str">
        <f aca="false">IF(C1415=0,A1415,"")</f>
        <v/>
      </c>
    </row>
    <row r="1416" customFormat="false" ht="12.8" hidden="false" customHeight="false" outlineLevel="0" collapsed="false">
      <c r="A1416" s="0" t="s">
        <v>2279</v>
      </c>
      <c r="B1416" s="0" t="s">
        <v>2829</v>
      </c>
      <c r="C1416" s="0" t="n">
        <v>1</v>
      </c>
      <c r="D1416" s="0" t="str">
        <f aca="false">IF(C1416=0,B1416,"")</f>
        <v/>
      </c>
      <c r="E1416" s="0" t="str">
        <f aca="false">IF(C1416=0,A1416,"")</f>
        <v/>
      </c>
    </row>
    <row r="1417" customFormat="false" ht="12.8" hidden="false" customHeight="false" outlineLevel="0" collapsed="false">
      <c r="A1417" s="0" t="s">
        <v>2280</v>
      </c>
      <c r="B1417" s="0" t="s">
        <v>2830</v>
      </c>
      <c r="C1417" s="0" t="n">
        <v>1</v>
      </c>
      <c r="D1417" s="0" t="str">
        <f aca="false">IF(C1417=0,B1417,"")</f>
        <v/>
      </c>
      <c r="E1417" s="0" t="str">
        <f aca="false">IF(C1417=0,A1417,"")</f>
        <v/>
      </c>
    </row>
    <row r="1418" customFormat="false" ht="12.8" hidden="false" customHeight="false" outlineLevel="0" collapsed="false">
      <c r="A1418" s="0" t="s">
        <v>2281</v>
      </c>
      <c r="B1418" s="0" t="s">
        <v>2831</v>
      </c>
      <c r="C1418" s="0" t="n">
        <v>1</v>
      </c>
      <c r="D1418" s="0" t="str">
        <f aca="false">IF(C1418=0,B1418,"")</f>
        <v/>
      </c>
      <c r="E1418" s="0" t="str">
        <f aca="false">IF(C1418=0,A1418,"")</f>
        <v/>
      </c>
    </row>
    <row r="1419" customFormat="false" ht="12.8" hidden="false" customHeight="false" outlineLevel="0" collapsed="false">
      <c r="A1419" s="0" t="s">
        <v>2282</v>
      </c>
      <c r="B1419" s="0" t="s">
        <v>2376</v>
      </c>
      <c r="C1419" s="0" t="n">
        <v>1</v>
      </c>
      <c r="D1419" s="0" t="str">
        <f aca="false">IF(C1419=0,B1419,"")</f>
        <v/>
      </c>
      <c r="E1419" s="0" t="str">
        <f aca="false">IF(C1419=0,A1419,"")</f>
        <v/>
      </c>
    </row>
    <row r="1420" customFormat="false" ht="12.8" hidden="false" customHeight="false" outlineLevel="0" collapsed="false">
      <c r="A1420" s="0" t="s">
        <v>2283</v>
      </c>
      <c r="B1420" s="0" t="s">
        <v>3457</v>
      </c>
      <c r="C1420" s="0" t="n">
        <v>0</v>
      </c>
      <c r="D1420" s="0" t="str">
        <f aca="false">IF(C1420=0,B1420,"")</f>
        <v>켝</v>
      </c>
      <c r="E1420" s="0" t="str">
        <f aca="false">IF(C1420=0,A1420,"")</f>
        <v>역</v>
      </c>
    </row>
    <row r="1421" customFormat="false" ht="12.8" hidden="false" customHeight="false" outlineLevel="0" collapsed="false">
      <c r="A1421" s="0" t="s">
        <v>2284</v>
      </c>
      <c r="B1421" s="0" t="s">
        <v>3457</v>
      </c>
      <c r="C1421" s="0" t="n">
        <v>0</v>
      </c>
      <c r="D1421" s="0" t="str">
        <f aca="false">IF(C1421=0,B1421,"")</f>
        <v>켝</v>
      </c>
      <c r="E1421" s="0" t="str">
        <f aca="false">IF(C1421=0,A1421,"")</f>
        <v>엮</v>
      </c>
    </row>
    <row r="1422" customFormat="false" ht="12.8" hidden="false" customHeight="false" outlineLevel="0" collapsed="false">
      <c r="A1422" s="0" t="s">
        <v>2285</v>
      </c>
      <c r="B1422" s="0" t="s">
        <v>2833</v>
      </c>
      <c r="C1422" s="0" t="n">
        <v>1</v>
      </c>
      <c r="D1422" s="0" t="str">
        <f aca="false">IF(C1422=0,B1422,"")</f>
        <v/>
      </c>
      <c r="E1422" s="0" t="str">
        <f aca="false">IF(C1422=0,A1422,"")</f>
        <v/>
      </c>
    </row>
    <row r="1423" customFormat="false" ht="12.8" hidden="false" customHeight="false" outlineLevel="0" collapsed="false">
      <c r="A1423" s="0" t="s">
        <v>2286</v>
      </c>
      <c r="B1423" s="0" t="s">
        <v>2834</v>
      </c>
      <c r="C1423" s="0" t="n">
        <v>1</v>
      </c>
      <c r="D1423" s="0" t="str">
        <f aca="false">IF(C1423=0,B1423,"")</f>
        <v/>
      </c>
      <c r="E1423" s="0" t="str">
        <f aca="false">IF(C1423=0,A1423,"")</f>
        <v/>
      </c>
    </row>
    <row r="1424" customFormat="false" ht="12.8" hidden="false" customHeight="false" outlineLevel="0" collapsed="false">
      <c r="A1424" s="0" t="s">
        <v>2287</v>
      </c>
      <c r="B1424" s="0" t="s">
        <v>2834</v>
      </c>
      <c r="C1424" s="0" t="n">
        <v>1</v>
      </c>
      <c r="D1424" s="0" t="str">
        <f aca="false">IF(C1424=0,B1424,"")</f>
        <v/>
      </c>
      <c r="E1424" s="0" t="str">
        <f aca="false">IF(C1424=0,A1424,"")</f>
        <v/>
      </c>
    </row>
    <row r="1425" customFormat="false" ht="12.8" hidden="false" customHeight="false" outlineLevel="0" collapsed="false">
      <c r="A1425" s="0" t="s">
        <v>2288</v>
      </c>
      <c r="B1425" s="0" t="s">
        <v>2834</v>
      </c>
      <c r="C1425" s="0" t="n">
        <v>1</v>
      </c>
      <c r="D1425" s="0" t="str">
        <f aca="false">IF(C1425=0,B1425,"")</f>
        <v/>
      </c>
      <c r="E1425" s="0" t="str">
        <f aca="false">IF(C1425=0,A1425,"")</f>
        <v/>
      </c>
    </row>
    <row r="1426" customFormat="false" ht="12.8" hidden="false" customHeight="false" outlineLevel="0" collapsed="false">
      <c r="A1426" s="0" t="s">
        <v>2289</v>
      </c>
      <c r="B1426" s="0" t="s">
        <v>2835</v>
      </c>
      <c r="C1426" s="0" t="n">
        <v>1</v>
      </c>
      <c r="D1426" s="0" t="str">
        <f aca="false">IF(C1426=0,B1426,"")</f>
        <v/>
      </c>
      <c r="E1426" s="0" t="str">
        <f aca="false">IF(C1426=0,A1426,"")</f>
        <v/>
      </c>
    </row>
    <row r="1427" customFormat="false" ht="12.8" hidden="false" customHeight="false" outlineLevel="0" collapsed="false">
      <c r="A1427" s="0" t="s">
        <v>2290</v>
      </c>
      <c r="B1427" s="0" t="s">
        <v>2836</v>
      </c>
      <c r="C1427" s="0" t="n">
        <v>1</v>
      </c>
      <c r="D1427" s="0" t="str">
        <f aca="false">IF(C1427=0,B1427,"")</f>
        <v/>
      </c>
      <c r="E1427" s="0" t="str">
        <f aca="false">IF(C1427=0,A1427,"")</f>
        <v/>
      </c>
    </row>
    <row r="1428" customFormat="false" ht="12.8" hidden="false" customHeight="false" outlineLevel="0" collapsed="false">
      <c r="A1428" s="0" t="s">
        <v>2291</v>
      </c>
      <c r="B1428" s="0" t="s">
        <v>2836</v>
      </c>
      <c r="C1428" s="0" t="n">
        <v>1</v>
      </c>
      <c r="D1428" s="0" t="str">
        <f aca="false">IF(C1428=0,B1428,"")</f>
        <v/>
      </c>
      <c r="E1428" s="0" t="str">
        <f aca="false">IF(C1428=0,A1428,"")</f>
        <v/>
      </c>
    </row>
    <row r="1429" customFormat="false" ht="12.8" hidden="false" customHeight="false" outlineLevel="0" collapsed="false">
      <c r="A1429" s="0" t="s">
        <v>2292</v>
      </c>
      <c r="B1429" s="0" t="s">
        <v>2837</v>
      </c>
      <c r="C1429" s="0" t="n">
        <v>1</v>
      </c>
      <c r="D1429" s="0" t="str">
        <f aca="false">IF(C1429=0,B1429,"")</f>
        <v/>
      </c>
      <c r="E1429" s="0" t="str">
        <f aca="false">IF(C1429=0,A1429,"")</f>
        <v/>
      </c>
    </row>
    <row r="1430" customFormat="false" ht="12.8" hidden="false" customHeight="false" outlineLevel="0" collapsed="false">
      <c r="A1430" s="0" t="s">
        <v>2293</v>
      </c>
      <c r="B1430" s="0" t="s">
        <v>2837</v>
      </c>
      <c r="C1430" s="0" t="n">
        <v>1</v>
      </c>
      <c r="D1430" s="0" t="str">
        <f aca="false">IF(C1430=0,B1430,"")</f>
        <v/>
      </c>
      <c r="E1430" s="0" t="str">
        <f aca="false">IF(C1430=0,A1430,"")</f>
        <v/>
      </c>
    </row>
    <row r="1431" customFormat="false" ht="12.8" hidden="false" customHeight="false" outlineLevel="0" collapsed="false">
      <c r="A1431" s="0" t="s">
        <v>2294</v>
      </c>
      <c r="B1431" s="0" t="s">
        <v>2839</v>
      </c>
      <c r="C1431" s="0" t="n">
        <v>1</v>
      </c>
      <c r="D1431" s="0" t="str">
        <f aca="false">IF(C1431=0,B1431,"")</f>
        <v/>
      </c>
      <c r="E1431" s="0" t="str">
        <f aca="false">IF(C1431=0,A1431,"")</f>
        <v/>
      </c>
    </row>
    <row r="1432" customFormat="false" ht="12.8" hidden="false" customHeight="false" outlineLevel="0" collapsed="false">
      <c r="A1432" s="0" t="s">
        <v>2295</v>
      </c>
      <c r="B1432" s="0" t="s">
        <v>2837</v>
      </c>
      <c r="C1432" s="0" t="n">
        <v>1</v>
      </c>
      <c r="D1432" s="0" t="str">
        <f aca="false">IF(C1432=0,B1432,"")</f>
        <v/>
      </c>
      <c r="E1432" s="0" t="str">
        <f aca="false">IF(C1432=0,A1432,"")</f>
        <v/>
      </c>
    </row>
    <row r="1433" customFormat="false" ht="12.8" hidden="false" customHeight="false" outlineLevel="0" collapsed="false">
      <c r="A1433" s="0" t="s">
        <v>2296</v>
      </c>
      <c r="B1433" s="0" t="s">
        <v>2836</v>
      </c>
      <c r="C1433" s="0" t="n">
        <v>1</v>
      </c>
      <c r="D1433" s="0" t="str">
        <f aca="false">IF(C1433=0,B1433,"")</f>
        <v/>
      </c>
      <c r="E1433" s="0" t="str">
        <f aca="false">IF(C1433=0,A1433,"")</f>
        <v/>
      </c>
    </row>
    <row r="1434" customFormat="false" ht="12.8" hidden="false" customHeight="false" outlineLevel="0" collapsed="false">
      <c r="A1434" s="0" t="s">
        <v>2297</v>
      </c>
      <c r="B1434" s="0" t="s">
        <v>2837</v>
      </c>
      <c r="C1434" s="0" t="n">
        <v>1</v>
      </c>
      <c r="D1434" s="0" t="str">
        <f aca="false">IF(C1434=0,B1434,"")</f>
        <v/>
      </c>
      <c r="E1434" s="0" t="str">
        <f aca="false">IF(C1434=0,A1434,"")</f>
        <v/>
      </c>
    </row>
    <row r="1435" customFormat="false" ht="12.8" hidden="false" customHeight="false" outlineLevel="0" collapsed="false">
      <c r="A1435" s="0" t="s">
        <v>2298</v>
      </c>
      <c r="B1435" s="0" t="s">
        <v>2330</v>
      </c>
      <c r="C1435" s="0" t="n">
        <v>1</v>
      </c>
      <c r="D1435" s="0" t="str">
        <f aca="false">IF(C1435=0,B1435,"")</f>
        <v/>
      </c>
      <c r="E1435" s="0" t="str">
        <f aca="false">IF(C1435=0,A1435,"")</f>
        <v/>
      </c>
    </row>
    <row r="1436" customFormat="false" ht="12.8" hidden="false" customHeight="false" outlineLevel="0" collapsed="false">
      <c r="A1436" s="0" t="s">
        <v>2299</v>
      </c>
      <c r="B1436" s="0" t="s">
        <v>3458</v>
      </c>
      <c r="C1436" s="0" t="n">
        <v>0</v>
      </c>
      <c r="D1436" s="0" t="str">
        <f aca="false">IF(C1436=0,B1436,"")</f>
        <v>켼</v>
      </c>
      <c r="E1436" s="0" t="str">
        <f aca="false">IF(C1436=0,A1436,"")</f>
        <v>옌</v>
      </c>
    </row>
    <row r="1437" customFormat="false" ht="12.8" hidden="false" customHeight="false" outlineLevel="0" collapsed="false">
      <c r="A1437" s="0" t="s">
        <v>2300</v>
      </c>
      <c r="B1437" s="0" t="s">
        <v>3459</v>
      </c>
      <c r="C1437" s="0" t="n">
        <v>0</v>
      </c>
      <c r="D1437" s="0" t="str">
        <f aca="false">IF(C1437=0,B1437,"")</f>
        <v>콀</v>
      </c>
      <c r="E1437" s="0" t="str">
        <f aca="false">IF(C1437=0,A1437,"")</f>
        <v>옐</v>
      </c>
    </row>
    <row r="1438" customFormat="false" ht="12.8" hidden="false" customHeight="false" outlineLevel="0" collapsed="false">
      <c r="A1438" s="0" t="s">
        <v>2301</v>
      </c>
      <c r="B1438" s="0" t="s">
        <v>3460</v>
      </c>
      <c r="C1438" s="0" t="n">
        <v>0</v>
      </c>
      <c r="D1438" s="0" t="str">
        <f aca="false">IF(C1438=0,B1438,"")</f>
        <v>콈</v>
      </c>
      <c r="E1438" s="0" t="str">
        <f aca="false">IF(C1438=0,A1438,"")</f>
        <v>옘</v>
      </c>
    </row>
    <row r="1439" customFormat="false" ht="12.8" hidden="false" customHeight="false" outlineLevel="0" collapsed="false">
      <c r="A1439" s="0" t="s">
        <v>2302</v>
      </c>
      <c r="B1439" s="0" t="s">
        <v>3461</v>
      </c>
      <c r="C1439" s="0" t="n">
        <v>0</v>
      </c>
      <c r="D1439" s="0" t="str">
        <f aca="false">IF(C1439=0,B1439,"")</f>
        <v>콉</v>
      </c>
      <c r="E1439" s="0" t="str">
        <f aca="false">IF(C1439=0,A1439,"")</f>
        <v>옙</v>
      </c>
    </row>
    <row r="1440" customFormat="false" ht="12.8" hidden="false" customHeight="false" outlineLevel="0" collapsed="false">
      <c r="A1440" s="0" t="s">
        <v>2303</v>
      </c>
      <c r="B1440" s="0" t="s">
        <v>3462</v>
      </c>
      <c r="C1440" s="0" t="n">
        <v>0</v>
      </c>
      <c r="D1440" s="0" t="str">
        <f aca="false">IF(C1440=0,B1440,"")</f>
        <v>콋</v>
      </c>
      <c r="E1440" s="0" t="str">
        <f aca="false">IF(C1440=0,A1440,"")</f>
        <v>옛</v>
      </c>
    </row>
    <row r="1441" customFormat="false" ht="12.8" hidden="false" customHeight="false" outlineLevel="0" collapsed="false">
      <c r="A1441" s="0" t="s">
        <v>2304</v>
      </c>
      <c r="B1441" s="0" t="s">
        <v>3462</v>
      </c>
      <c r="C1441" s="0" t="n">
        <v>0</v>
      </c>
      <c r="D1441" s="0" t="str">
        <f aca="false">IF(C1441=0,B1441,"")</f>
        <v>콋</v>
      </c>
      <c r="E1441" s="0" t="str">
        <f aca="false">IF(C1441=0,A1441,"")</f>
        <v>옜</v>
      </c>
    </row>
    <row r="1442" customFormat="false" ht="12.8" hidden="false" customHeight="false" outlineLevel="0" collapsed="false">
      <c r="A1442" s="0" t="s">
        <v>2305</v>
      </c>
      <c r="B1442" s="0" t="s">
        <v>798</v>
      </c>
      <c r="C1442" s="0" t="n">
        <v>1</v>
      </c>
      <c r="D1442" s="0" t="str">
        <f aca="false">IF(C1442=0,B1442,"")</f>
        <v/>
      </c>
      <c r="E1442" s="0" t="str">
        <f aca="false">IF(C1442=0,A1442,"")</f>
        <v/>
      </c>
    </row>
    <row r="1443" customFormat="false" ht="12.8" hidden="false" customHeight="false" outlineLevel="0" collapsed="false">
      <c r="A1443" s="0" t="s">
        <v>2306</v>
      </c>
      <c r="B1443" s="0" t="s">
        <v>2842</v>
      </c>
      <c r="C1443" s="0" t="n">
        <v>1</v>
      </c>
      <c r="D1443" s="0" t="str">
        <f aca="false">IF(C1443=0,B1443,"")</f>
        <v/>
      </c>
      <c r="E1443" s="0" t="str">
        <f aca="false">IF(C1443=0,A1443,"")</f>
        <v/>
      </c>
    </row>
    <row r="1444" customFormat="false" ht="12.8" hidden="false" customHeight="false" outlineLevel="0" collapsed="false">
      <c r="A1444" s="0" t="s">
        <v>2307</v>
      </c>
      <c r="B1444" s="0" t="s">
        <v>2843</v>
      </c>
      <c r="C1444" s="0" t="n">
        <v>1</v>
      </c>
      <c r="D1444" s="0" t="str">
        <f aca="false">IF(C1444=0,B1444,"")</f>
        <v/>
      </c>
      <c r="E1444" s="0" t="str">
        <f aca="false">IF(C1444=0,A1444,"")</f>
        <v/>
      </c>
    </row>
    <row r="1445" customFormat="false" ht="12.8" hidden="false" customHeight="false" outlineLevel="0" collapsed="false">
      <c r="A1445" s="0" t="s">
        <v>2308</v>
      </c>
      <c r="B1445" s="0" t="s">
        <v>2844</v>
      </c>
      <c r="C1445" s="0" t="n">
        <v>1</v>
      </c>
      <c r="D1445" s="0" t="str">
        <f aca="false">IF(C1445=0,B1445,"")</f>
        <v/>
      </c>
      <c r="E1445" s="0" t="str">
        <f aca="false">IF(C1445=0,A1445,"")</f>
        <v/>
      </c>
    </row>
    <row r="1446" customFormat="false" ht="12.8" hidden="false" customHeight="false" outlineLevel="0" collapsed="false">
      <c r="A1446" s="0" t="s">
        <v>2309</v>
      </c>
      <c r="B1446" s="0" t="s">
        <v>2844</v>
      </c>
      <c r="C1446" s="0" t="n">
        <v>1</v>
      </c>
      <c r="D1446" s="0" t="str">
        <f aca="false">IF(C1446=0,B1446,"")</f>
        <v/>
      </c>
      <c r="E1446" s="0" t="str">
        <f aca="false">IF(C1446=0,A1446,"")</f>
        <v/>
      </c>
    </row>
    <row r="1447" customFormat="false" ht="12.8" hidden="false" customHeight="false" outlineLevel="0" collapsed="false">
      <c r="A1447" s="0" t="s">
        <v>2310</v>
      </c>
      <c r="B1447" s="0" t="s">
        <v>2844</v>
      </c>
      <c r="C1447" s="0" t="n">
        <v>1</v>
      </c>
      <c r="D1447" s="0" t="str">
        <f aca="false">IF(C1447=0,B1447,"")</f>
        <v/>
      </c>
      <c r="E1447" s="0" t="str">
        <f aca="false">IF(C1447=0,A1447,"")</f>
        <v/>
      </c>
    </row>
    <row r="1448" customFormat="false" ht="12.8" hidden="false" customHeight="false" outlineLevel="0" collapsed="false">
      <c r="A1448" s="0" t="s">
        <v>2311</v>
      </c>
      <c r="B1448" s="0" t="s">
        <v>2844</v>
      </c>
      <c r="C1448" s="0" t="n">
        <v>1</v>
      </c>
      <c r="D1448" s="0" t="str">
        <f aca="false">IF(C1448=0,B1448,"")</f>
        <v/>
      </c>
      <c r="E1448" s="0" t="str">
        <f aca="false">IF(C1448=0,A1448,"")</f>
        <v/>
      </c>
    </row>
    <row r="1449" customFormat="false" ht="12.8" hidden="false" customHeight="false" outlineLevel="0" collapsed="false">
      <c r="A1449" s="0" t="s">
        <v>2312</v>
      </c>
      <c r="B1449" s="0" t="s">
        <v>2844</v>
      </c>
      <c r="C1449" s="0" t="n">
        <v>1</v>
      </c>
      <c r="D1449" s="0" t="str">
        <f aca="false">IF(C1449=0,B1449,"")</f>
        <v/>
      </c>
      <c r="E1449" s="0" t="str">
        <f aca="false">IF(C1449=0,A1449,"")</f>
        <v/>
      </c>
    </row>
    <row r="1450" customFormat="false" ht="12.8" hidden="false" customHeight="false" outlineLevel="0" collapsed="false">
      <c r="A1450" s="0" t="s">
        <v>2313</v>
      </c>
      <c r="B1450" s="0" t="s">
        <v>2845</v>
      </c>
      <c r="C1450" s="0" t="n">
        <v>1</v>
      </c>
      <c r="D1450" s="0" t="str">
        <f aca="false">IF(C1450=0,B1450,"")</f>
        <v/>
      </c>
      <c r="E1450" s="0" t="str">
        <f aca="false">IF(C1450=0,A1450,"")</f>
        <v/>
      </c>
    </row>
    <row r="1451" customFormat="false" ht="12.8" hidden="false" customHeight="false" outlineLevel="0" collapsed="false">
      <c r="A1451" s="0" t="s">
        <v>2314</v>
      </c>
      <c r="B1451" s="0" t="s">
        <v>2846</v>
      </c>
      <c r="C1451" s="0" t="n">
        <v>1</v>
      </c>
      <c r="D1451" s="0" t="str">
        <f aca="false">IF(C1451=0,B1451,"")</f>
        <v/>
      </c>
      <c r="E1451" s="0" t="str">
        <f aca="false">IF(C1451=0,A1451,"")</f>
        <v/>
      </c>
    </row>
    <row r="1452" customFormat="false" ht="12.8" hidden="false" customHeight="false" outlineLevel="0" collapsed="false">
      <c r="A1452" s="0" t="s">
        <v>2315</v>
      </c>
      <c r="B1452" s="0" t="s">
        <v>2847</v>
      </c>
      <c r="C1452" s="0" t="n">
        <v>1</v>
      </c>
      <c r="D1452" s="0" t="str">
        <f aca="false">IF(C1452=0,B1452,"")</f>
        <v/>
      </c>
      <c r="E1452" s="0" t="str">
        <f aca="false">IF(C1452=0,A1452,"")</f>
        <v/>
      </c>
    </row>
    <row r="1453" customFormat="false" ht="12.8" hidden="false" customHeight="false" outlineLevel="0" collapsed="false">
      <c r="A1453" s="0" t="s">
        <v>2316</v>
      </c>
      <c r="B1453" s="0" t="s">
        <v>2848</v>
      </c>
      <c r="C1453" s="0" t="n">
        <v>1</v>
      </c>
      <c r="D1453" s="0" t="str">
        <f aca="false">IF(C1453=0,B1453,"")</f>
        <v/>
      </c>
      <c r="E1453" s="0" t="str">
        <f aca="false">IF(C1453=0,A1453,"")</f>
        <v/>
      </c>
    </row>
    <row r="1454" customFormat="false" ht="12.8" hidden="false" customHeight="false" outlineLevel="0" collapsed="false">
      <c r="A1454" s="0" t="s">
        <v>2317</v>
      </c>
      <c r="B1454" s="0" t="s">
        <v>2847</v>
      </c>
      <c r="C1454" s="0" t="n">
        <v>1</v>
      </c>
      <c r="D1454" s="0" t="str">
        <f aca="false">IF(C1454=0,B1454,"")</f>
        <v/>
      </c>
      <c r="E1454" s="0" t="str">
        <f aca="false">IF(C1454=0,A1454,"")</f>
        <v/>
      </c>
    </row>
    <row r="1455" customFormat="false" ht="12.8" hidden="false" customHeight="false" outlineLevel="0" collapsed="false">
      <c r="A1455" s="0" t="s">
        <v>821</v>
      </c>
      <c r="B1455" s="0" t="s">
        <v>2298</v>
      </c>
      <c r="C1455" s="0" t="n">
        <v>1</v>
      </c>
      <c r="D1455" s="0" t="str">
        <f aca="false">IF(C1455=0,B1455,"")</f>
        <v/>
      </c>
      <c r="E1455" s="0" t="str">
        <f aca="false">IF(C1455=0,A1455,"")</f>
        <v/>
      </c>
    </row>
    <row r="1456" customFormat="false" ht="12.8" hidden="false" customHeight="false" outlineLevel="0" collapsed="false">
      <c r="A1456" s="0" t="s">
        <v>2318</v>
      </c>
      <c r="B1456" s="0" t="s">
        <v>2850</v>
      </c>
      <c r="C1456" s="0" t="n">
        <v>1</v>
      </c>
      <c r="D1456" s="0" t="str">
        <f aca="false">IF(C1456=0,B1456,"")</f>
        <v/>
      </c>
      <c r="E1456" s="0" t="str">
        <f aca="false">IF(C1456=0,A1456,"")</f>
        <v/>
      </c>
    </row>
    <row r="1457" customFormat="false" ht="12.8" hidden="false" customHeight="false" outlineLevel="0" collapsed="false">
      <c r="A1457" s="0" t="s">
        <v>2319</v>
      </c>
      <c r="B1457" s="0" t="s">
        <v>2851</v>
      </c>
      <c r="C1457" s="0" t="n">
        <v>1</v>
      </c>
      <c r="D1457" s="0" t="str">
        <f aca="false">IF(C1457=0,B1457,"")</f>
        <v/>
      </c>
      <c r="E1457" s="0" t="str">
        <f aca="false">IF(C1457=0,A1457,"")</f>
        <v/>
      </c>
    </row>
    <row r="1458" customFormat="false" ht="12.8" hidden="false" customHeight="false" outlineLevel="0" collapsed="false">
      <c r="A1458" s="0" t="s">
        <v>2320</v>
      </c>
      <c r="B1458" s="0" t="s">
        <v>2852</v>
      </c>
      <c r="C1458" s="0" t="n">
        <v>1</v>
      </c>
      <c r="D1458" s="0" t="str">
        <f aca="false">IF(C1458=0,B1458,"")</f>
        <v/>
      </c>
      <c r="E1458" s="0" t="str">
        <f aca="false">IF(C1458=0,A1458,"")</f>
        <v/>
      </c>
    </row>
    <row r="1459" customFormat="false" ht="12.8" hidden="false" customHeight="false" outlineLevel="0" collapsed="false">
      <c r="A1459" s="0" t="s">
        <v>2321</v>
      </c>
      <c r="B1459" s="0" t="s">
        <v>2853</v>
      </c>
      <c r="C1459" s="0" t="n">
        <v>1</v>
      </c>
      <c r="D1459" s="0" t="str">
        <f aca="false">IF(C1459=0,B1459,"")</f>
        <v/>
      </c>
      <c r="E1459" s="0" t="str">
        <f aca="false">IF(C1459=0,A1459,"")</f>
        <v/>
      </c>
    </row>
    <row r="1460" customFormat="false" ht="12.8" hidden="false" customHeight="false" outlineLevel="0" collapsed="false">
      <c r="A1460" s="0" t="s">
        <v>2322</v>
      </c>
      <c r="B1460" s="0" t="s">
        <v>3463</v>
      </c>
      <c r="C1460" s="0" t="n">
        <v>0</v>
      </c>
      <c r="D1460" s="0" t="str">
        <f aca="false">IF(C1460=0,B1460,"")</f>
        <v>쾁</v>
      </c>
      <c r="E1460" s="0" t="str">
        <f aca="false">IF(C1460=0,A1460,"")</f>
        <v>왑</v>
      </c>
    </row>
    <row r="1461" customFormat="false" ht="12.8" hidden="false" customHeight="false" outlineLevel="0" collapsed="false">
      <c r="A1461" s="0" t="s">
        <v>2323</v>
      </c>
      <c r="B1461" s="0" t="s">
        <v>3464</v>
      </c>
      <c r="C1461" s="0" t="n">
        <v>0</v>
      </c>
      <c r="D1461" s="0" t="str">
        <f aca="false">IF(C1461=0,B1461,"")</f>
        <v>쾃</v>
      </c>
      <c r="E1461" s="0" t="str">
        <f aca="false">IF(C1461=0,A1461,"")</f>
        <v>왓</v>
      </c>
    </row>
    <row r="1462" customFormat="false" ht="12.8" hidden="false" customHeight="false" outlineLevel="0" collapsed="false">
      <c r="A1462" s="0" t="s">
        <v>825</v>
      </c>
      <c r="B1462" s="0" t="s">
        <v>3464</v>
      </c>
      <c r="C1462" s="0" t="n">
        <v>0</v>
      </c>
      <c r="D1462" s="0" t="str">
        <f aca="false">IF(C1462=0,B1462,"")</f>
        <v>쾃</v>
      </c>
      <c r="E1462" s="0" t="str">
        <f aca="false">IF(C1462=0,A1462,"")</f>
        <v>왔</v>
      </c>
    </row>
    <row r="1463" customFormat="false" ht="12.8" hidden="false" customHeight="false" outlineLevel="0" collapsed="false">
      <c r="A1463" s="0" t="s">
        <v>2324</v>
      </c>
      <c r="B1463" s="0" t="s">
        <v>2854</v>
      </c>
      <c r="C1463" s="0" t="n">
        <v>1</v>
      </c>
      <c r="D1463" s="0" t="str">
        <f aca="false">IF(C1463=0,B1463,"")</f>
        <v/>
      </c>
      <c r="E1463" s="0" t="str">
        <f aca="false">IF(C1463=0,A1463,"")</f>
        <v/>
      </c>
    </row>
    <row r="1464" customFormat="false" ht="12.8" hidden="false" customHeight="false" outlineLevel="0" collapsed="false">
      <c r="A1464" s="0" t="s">
        <v>822</v>
      </c>
      <c r="B1464" s="0" t="s">
        <v>2255</v>
      </c>
      <c r="C1464" s="0" t="n">
        <v>1</v>
      </c>
      <c r="D1464" s="0" t="str">
        <f aca="false">IF(C1464=0,B1464,"")</f>
        <v/>
      </c>
      <c r="E1464" s="0" t="str">
        <f aca="false">IF(C1464=0,A1464,"")</f>
        <v/>
      </c>
    </row>
    <row r="1465" customFormat="false" ht="12.8" hidden="false" customHeight="false" outlineLevel="0" collapsed="false">
      <c r="A1465" s="0" t="s">
        <v>2325</v>
      </c>
      <c r="B1465" s="0" t="s">
        <v>3465</v>
      </c>
      <c r="C1465" s="0" t="n">
        <v>0</v>
      </c>
      <c r="D1465" s="0" t="str">
        <f aca="false">IF(C1465=0,B1465,"")</f>
        <v>쾍</v>
      </c>
      <c r="E1465" s="0" t="str">
        <f aca="false">IF(C1465=0,A1465,"")</f>
        <v>왝</v>
      </c>
    </row>
    <row r="1466" customFormat="false" ht="12.8" hidden="false" customHeight="false" outlineLevel="0" collapsed="false">
      <c r="A1466" s="0" t="s">
        <v>2326</v>
      </c>
      <c r="B1466" s="0" t="s">
        <v>3466</v>
      </c>
      <c r="C1466" s="0" t="n">
        <v>0</v>
      </c>
      <c r="D1466" s="0" t="str">
        <f aca="false">IF(C1466=0,B1466,"")</f>
        <v>쾐</v>
      </c>
      <c r="E1466" s="0" t="str">
        <f aca="false">IF(C1466=0,A1466,"")</f>
        <v>왠</v>
      </c>
    </row>
    <row r="1467" customFormat="false" ht="12.8" hidden="false" customHeight="false" outlineLevel="0" collapsed="false">
      <c r="A1467" s="0" t="s">
        <v>2327</v>
      </c>
      <c r="B1467" s="0" t="s">
        <v>3467</v>
      </c>
      <c r="C1467" s="0" t="n">
        <v>0</v>
      </c>
      <c r="D1467" s="0" t="str">
        <f aca="false">IF(C1467=0,B1467,"")</f>
        <v>쾜</v>
      </c>
      <c r="E1467" s="0" t="str">
        <f aca="false">IF(C1467=0,A1467,"")</f>
        <v>왬</v>
      </c>
    </row>
    <row r="1468" customFormat="false" ht="12.8" hidden="false" customHeight="false" outlineLevel="0" collapsed="false">
      <c r="A1468" s="0" t="s">
        <v>2328</v>
      </c>
      <c r="B1468" s="0" t="s">
        <v>3468</v>
      </c>
      <c r="C1468" s="0" t="n">
        <v>0</v>
      </c>
      <c r="D1468" s="0" t="str">
        <f aca="false">IF(C1468=0,B1468,"")</f>
        <v>쾟</v>
      </c>
      <c r="E1468" s="0" t="str">
        <f aca="false">IF(C1468=0,A1468,"")</f>
        <v>왯</v>
      </c>
    </row>
    <row r="1469" customFormat="false" ht="12.8" hidden="false" customHeight="false" outlineLevel="0" collapsed="false">
      <c r="A1469" s="0" t="s">
        <v>2329</v>
      </c>
      <c r="B1469" s="0" t="s">
        <v>2856</v>
      </c>
      <c r="C1469" s="0" t="n">
        <v>1</v>
      </c>
      <c r="D1469" s="0" t="str">
        <f aca="false">IF(C1469=0,B1469,"")</f>
        <v/>
      </c>
      <c r="E1469" s="0" t="str">
        <f aca="false">IF(C1469=0,A1469,"")</f>
        <v/>
      </c>
    </row>
    <row r="1470" customFormat="false" ht="12.8" hidden="false" customHeight="false" outlineLevel="0" collapsed="false">
      <c r="A1470" s="0" t="s">
        <v>2330</v>
      </c>
      <c r="B1470" s="0" t="s">
        <v>823</v>
      </c>
      <c r="C1470" s="0" t="n">
        <v>1</v>
      </c>
      <c r="D1470" s="0" t="str">
        <f aca="false">IF(C1470=0,B1470,"")</f>
        <v/>
      </c>
      <c r="E1470" s="0" t="str">
        <f aca="false">IF(C1470=0,A1470,"")</f>
        <v/>
      </c>
    </row>
    <row r="1471" customFormat="false" ht="12.8" hidden="false" customHeight="false" outlineLevel="0" collapsed="false">
      <c r="A1471" s="0" t="s">
        <v>2331</v>
      </c>
      <c r="B1471" s="0" t="s">
        <v>3469</v>
      </c>
      <c r="C1471" s="0" t="n">
        <v>0</v>
      </c>
      <c r="D1471" s="0" t="str">
        <f aca="false">IF(C1471=0,B1471,"")</f>
        <v>쾩</v>
      </c>
      <c r="E1471" s="0" t="str">
        <f aca="false">IF(C1471=0,A1471,"")</f>
        <v>왹</v>
      </c>
    </row>
    <row r="1472" customFormat="false" ht="12.8" hidden="false" customHeight="false" outlineLevel="0" collapsed="false">
      <c r="A1472" s="0" t="s">
        <v>2332</v>
      </c>
      <c r="B1472" s="0" t="s">
        <v>3470</v>
      </c>
      <c r="C1472" s="0" t="n">
        <v>0</v>
      </c>
      <c r="D1472" s="0" t="str">
        <f aca="false">IF(C1472=0,B1472,"")</f>
        <v>쾬</v>
      </c>
      <c r="E1472" s="0" t="str">
        <f aca="false">IF(C1472=0,A1472,"")</f>
        <v>왼</v>
      </c>
    </row>
    <row r="1473" customFormat="false" ht="12.8" hidden="false" customHeight="false" outlineLevel="0" collapsed="false">
      <c r="A1473" s="0" t="s">
        <v>2333</v>
      </c>
      <c r="B1473" s="0" t="s">
        <v>2858</v>
      </c>
      <c r="C1473" s="0" t="n">
        <v>1</v>
      </c>
      <c r="D1473" s="0" t="str">
        <f aca="false">IF(C1473=0,B1473,"")</f>
        <v/>
      </c>
      <c r="E1473" s="0" t="str">
        <f aca="false">IF(C1473=0,A1473,"")</f>
        <v/>
      </c>
    </row>
    <row r="1474" customFormat="false" ht="12.8" hidden="false" customHeight="false" outlineLevel="0" collapsed="false">
      <c r="A1474" s="0" t="s">
        <v>2334</v>
      </c>
      <c r="B1474" s="0" t="s">
        <v>3471</v>
      </c>
      <c r="C1474" s="0" t="n">
        <v>0</v>
      </c>
      <c r="D1474" s="0" t="str">
        <f aca="false">IF(C1474=0,B1474,"")</f>
        <v>쾸</v>
      </c>
      <c r="E1474" s="0" t="str">
        <f aca="false">IF(C1474=0,A1474,"")</f>
        <v>욈</v>
      </c>
    </row>
    <row r="1475" customFormat="false" ht="12.8" hidden="false" customHeight="false" outlineLevel="0" collapsed="false">
      <c r="A1475" s="0" t="s">
        <v>2335</v>
      </c>
      <c r="B1475" s="0" t="s">
        <v>3472</v>
      </c>
      <c r="C1475" s="0" t="n">
        <v>0</v>
      </c>
      <c r="D1475" s="0" t="str">
        <f aca="false">IF(C1475=0,B1475,"")</f>
        <v>쾹</v>
      </c>
      <c r="E1475" s="0" t="str">
        <f aca="false">IF(C1475=0,A1475,"")</f>
        <v>욉</v>
      </c>
    </row>
    <row r="1476" customFormat="false" ht="12.8" hidden="false" customHeight="false" outlineLevel="0" collapsed="false">
      <c r="A1476" s="0" t="s">
        <v>2336</v>
      </c>
      <c r="B1476" s="0" t="s">
        <v>3473</v>
      </c>
      <c r="C1476" s="0" t="n">
        <v>0</v>
      </c>
      <c r="D1476" s="0" t="str">
        <f aca="false">IF(C1476=0,B1476,"")</f>
        <v>쾻</v>
      </c>
      <c r="E1476" s="0" t="str">
        <f aca="false">IF(C1476=0,A1476,"")</f>
        <v>욋</v>
      </c>
    </row>
    <row r="1477" customFormat="false" ht="12.8" hidden="false" customHeight="false" outlineLevel="0" collapsed="false">
      <c r="A1477" s="0" t="s">
        <v>2337</v>
      </c>
      <c r="B1477" s="0" t="s">
        <v>3474</v>
      </c>
      <c r="C1477" s="0" t="n">
        <v>0</v>
      </c>
      <c r="D1477" s="0" t="str">
        <f aca="false">IF(C1477=0,B1477,"")</f>
        <v>쾽</v>
      </c>
      <c r="E1477" s="0" t="str">
        <f aca="false">IF(C1477=0,A1477,"")</f>
        <v>욍</v>
      </c>
    </row>
    <row r="1478" customFormat="false" ht="12.8" hidden="false" customHeight="false" outlineLevel="0" collapsed="false">
      <c r="A1478" s="0" t="s">
        <v>812</v>
      </c>
      <c r="B1478" s="0" t="s">
        <v>2282</v>
      </c>
      <c r="C1478" s="0" t="n">
        <v>1</v>
      </c>
      <c r="D1478" s="0" t="str">
        <f aca="false">IF(C1478=0,B1478,"")</f>
        <v/>
      </c>
      <c r="E1478" s="0" t="str">
        <f aca="false">IF(C1478=0,A1478,"")</f>
        <v/>
      </c>
    </row>
    <row r="1479" customFormat="false" ht="12.8" hidden="false" customHeight="false" outlineLevel="0" collapsed="false">
      <c r="A1479" s="0" t="s">
        <v>2338</v>
      </c>
      <c r="B1479" s="0" t="s">
        <v>3475</v>
      </c>
      <c r="C1479" s="0" t="n">
        <v>0</v>
      </c>
      <c r="D1479" s="0" t="str">
        <f aca="false">IF(C1479=0,B1479,"")</f>
        <v>쿅</v>
      </c>
      <c r="E1479" s="0" t="str">
        <f aca="false">IF(C1479=0,A1479,"")</f>
        <v>욕</v>
      </c>
    </row>
    <row r="1480" customFormat="false" ht="12.8" hidden="false" customHeight="false" outlineLevel="0" collapsed="false">
      <c r="A1480" s="0" t="s">
        <v>2339</v>
      </c>
      <c r="B1480" s="0" t="s">
        <v>3476</v>
      </c>
      <c r="C1480" s="0" t="n">
        <v>0</v>
      </c>
      <c r="D1480" s="0" t="str">
        <f aca="false">IF(C1480=0,B1480,"")</f>
        <v>쿈</v>
      </c>
      <c r="E1480" s="0" t="str">
        <f aca="false">IF(C1480=0,A1480,"")</f>
        <v>욘</v>
      </c>
    </row>
    <row r="1481" customFormat="false" ht="12.8" hidden="false" customHeight="false" outlineLevel="0" collapsed="false">
      <c r="A1481" s="0" t="s">
        <v>2340</v>
      </c>
      <c r="B1481" s="0" t="s">
        <v>3477</v>
      </c>
      <c r="C1481" s="0" t="n">
        <v>0</v>
      </c>
      <c r="D1481" s="0" t="str">
        <f aca="false">IF(C1481=0,B1481,"")</f>
        <v>쿌</v>
      </c>
      <c r="E1481" s="0" t="str">
        <f aca="false">IF(C1481=0,A1481,"")</f>
        <v>욜</v>
      </c>
    </row>
    <row r="1482" customFormat="false" ht="12.8" hidden="false" customHeight="false" outlineLevel="0" collapsed="false">
      <c r="A1482" s="0" t="s">
        <v>2341</v>
      </c>
      <c r="B1482" s="0" t="s">
        <v>3478</v>
      </c>
      <c r="C1482" s="0" t="n">
        <v>0</v>
      </c>
      <c r="D1482" s="0" t="str">
        <f aca="false">IF(C1482=0,B1482,"")</f>
        <v>쿔</v>
      </c>
      <c r="E1482" s="0" t="str">
        <f aca="false">IF(C1482=0,A1482,"")</f>
        <v>욤</v>
      </c>
    </row>
    <row r="1483" customFormat="false" ht="12.8" hidden="false" customHeight="false" outlineLevel="0" collapsed="false">
      <c r="A1483" s="0" t="s">
        <v>2342</v>
      </c>
      <c r="B1483" s="0" t="s">
        <v>3479</v>
      </c>
      <c r="C1483" s="0" t="n">
        <v>0</v>
      </c>
      <c r="D1483" s="0" t="str">
        <f aca="false">IF(C1483=0,B1483,"")</f>
        <v>쿕</v>
      </c>
      <c r="E1483" s="0" t="str">
        <f aca="false">IF(C1483=0,A1483,"")</f>
        <v>욥</v>
      </c>
    </row>
    <row r="1484" customFormat="false" ht="12.8" hidden="false" customHeight="false" outlineLevel="0" collapsed="false">
      <c r="A1484" s="0" t="s">
        <v>2343</v>
      </c>
      <c r="B1484" s="0" t="s">
        <v>3480</v>
      </c>
      <c r="C1484" s="0" t="n">
        <v>0</v>
      </c>
      <c r="D1484" s="0" t="str">
        <f aca="false">IF(C1484=0,B1484,"")</f>
        <v>쿗</v>
      </c>
      <c r="E1484" s="0" t="str">
        <f aca="false">IF(C1484=0,A1484,"")</f>
        <v>욧</v>
      </c>
    </row>
    <row r="1485" customFormat="false" ht="12.8" hidden="false" customHeight="false" outlineLevel="0" collapsed="false">
      <c r="A1485" s="0" t="s">
        <v>2344</v>
      </c>
      <c r="B1485" s="0" t="s">
        <v>3481</v>
      </c>
      <c r="C1485" s="0" t="n">
        <v>0</v>
      </c>
      <c r="D1485" s="0" t="str">
        <f aca="false">IF(C1485=0,B1485,"")</f>
        <v>쿙</v>
      </c>
      <c r="E1485" s="0" t="str">
        <f aca="false">IF(C1485=0,A1485,"")</f>
        <v>용</v>
      </c>
    </row>
    <row r="1486" customFormat="false" ht="12.8" hidden="false" customHeight="false" outlineLevel="0" collapsed="false">
      <c r="A1486" s="0" t="s">
        <v>2345</v>
      </c>
      <c r="B1486" s="0" t="s">
        <v>2274</v>
      </c>
      <c r="C1486" s="0" t="n">
        <v>1</v>
      </c>
      <c r="D1486" s="0" t="str">
        <f aca="false">IF(C1486=0,B1486,"")</f>
        <v/>
      </c>
      <c r="E1486" s="0" t="str">
        <f aca="false">IF(C1486=0,A1486,"")</f>
        <v/>
      </c>
    </row>
    <row r="1487" customFormat="false" ht="12.8" hidden="false" customHeight="false" outlineLevel="0" collapsed="false">
      <c r="A1487" s="0" t="s">
        <v>2346</v>
      </c>
      <c r="B1487" s="0" t="s">
        <v>2861</v>
      </c>
      <c r="C1487" s="0" t="n">
        <v>1</v>
      </c>
      <c r="D1487" s="0" t="str">
        <f aca="false">IF(C1487=0,B1487,"")</f>
        <v/>
      </c>
      <c r="E1487" s="0" t="str">
        <f aca="false">IF(C1487=0,A1487,"")</f>
        <v/>
      </c>
    </row>
    <row r="1488" customFormat="false" ht="12.8" hidden="false" customHeight="false" outlineLevel="0" collapsed="false">
      <c r="A1488" s="0" t="s">
        <v>2347</v>
      </c>
      <c r="B1488" s="0" t="s">
        <v>2862</v>
      </c>
      <c r="C1488" s="0" t="n">
        <v>1</v>
      </c>
      <c r="D1488" s="0" t="str">
        <f aca="false">IF(C1488=0,B1488,"")</f>
        <v/>
      </c>
      <c r="E1488" s="0" t="str">
        <f aca="false">IF(C1488=0,A1488,"")</f>
        <v/>
      </c>
    </row>
    <row r="1489" customFormat="false" ht="12.8" hidden="false" customHeight="false" outlineLevel="0" collapsed="false">
      <c r="A1489" s="0" t="s">
        <v>2348</v>
      </c>
      <c r="B1489" s="0" t="s">
        <v>2863</v>
      </c>
      <c r="C1489" s="0" t="n">
        <v>1</v>
      </c>
      <c r="D1489" s="0" t="str">
        <f aca="false">IF(C1489=0,B1489,"")</f>
        <v/>
      </c>
      <c r="E1489" s="0" t="str">
        <f aca="false">IF(C1489=0,A1489,"")</f>
        <v/>
      </c>
    </row>
    <row r="1490" customFormat="false" ht="12.8" hidden="false" customHeight="false" outlineLevel="0" collapsed="false">
      <c r="A1490" s="0" t="s">
        <v>2349</v>
      </c>
      <c r="B1490" s="0" t="s">
        <v>2863</v>
      </c>
      <c r="C1490" s="0" t="n">
        <v>1</v>
      </c>
      <c r="D1490" s="0" t="str">
        <f aca="false">IF(C1490=0,B1490,"")</f>
        <v/>
      </c>
      <c r="E1490" s="0" t="str">
        <f aca="false">IF(C1490=0,A1490,"")</f>
        <v/>
      </c>
    </row>
    <row r="1491" customFormat="false" ht="12.8" hidden="false" customHeight="false" outlineLevel="0" collapsed="false">
      <c r="A1491" s="0" t="s">
        <v>2350</v>
      </c>
      <c r="B1491" s="0" t="s">
        <v>2863</v>
      </c>
      <c r="C1491" s="0" t="n">
        <v>1</v>
      </c>
      <c r="D1491" s="0" t="str">
        <f aca="false">IF(C1491=0,B1491,"")</f>
        <v/>
      </c>
      <c r="E1491" s="0" t="str">
        <f aca="false">IF(C1491=0,A1491,"")</f>
        <v/>
      </c>
    </row>
    <row r="1492" customFormat="false" ht="12.8" hidden="false" customHeight="false" outlineLevel="0" collapsed="false">
      <c r="A1492" s="0" t="s">
        <v>2351</v>
      </c>
      <c r="B1492" s="0" t="s">
        <v>2864</v>
      </c>
      <c r="C1492" s="0" t="n">
        <v>1</v>
      </c>
      <c r="D1492" s="0" t="str">
        <f aca="false">IF(C1492=0,B1492,"")</f>
        <v/>
      </c>
      <c r="E1492" s="0" t="str">
        <f aca="false">IF(C1492=0,A1492,"")</f>
        <v/>
      </c>
    </row>
    <row r="1493" customFormat="false" ht="12.8" hidden="false" customHeight="false" outlineLevel="0" collapsed="false">
      <c r="A1493" s="0" t="s">
        <v>2352</v>
      </c>
      <c r="B1493" s="0" t="s">
        <v>2865</v>
      </c>
      <c r="C1493" s="0" t="n">
        <v>1</v>
      </c>
      <c r="D1493" s="0" t="str">
        <f aca="false">IF(C1493=0,B1493,"")</f>
        <v/>
      </c>
      <c r="E1493" s="0" t="str">
        <f aca="false">IF(C1493=0,A1493,"")</f>
        <v/>
      </c>
    </row>
    <row r="1494" customFormat="false" ht="12.8" hidden="false" customHeight="false" outlineLevel="0" collapsed="false">
      <c r="A1494" s="0" t="s">
        <v>2353</v>
      </c>
      <c r="B1494" s="0" t="s">
        <v>2866</v>
      </c>
      <c r="C1494" s="0" t="n">
        <v>1</v>
      </c>
      <c r="D1494" s="0" t="str">
        <f aca="false">IF(C1494=0,B1494,"")</f>
        <v/>
      </c>
      <c r="E1494" s="0" t="str">
        <f aca="false">IF(C1494=0,A1494,"")</f>
        <v/>
      </c>
    </row>
    <row r="1495" customFormat="false" ht="12.8" hidden="false" customHeight="false" outlineLevel="0" collapsed="false">
      <c r="A1495" s="0" t="s">
        <v>2354</v>
      </c>
      <c r="B1495" s="0" t="s">
        <v>2867</v>
      </c>
      <c r="C1495" s="0" t="n">
        <v>1</v>
      </c>
      <c r="D1495" s="0" t="str">
        <f aca="false">IF(C1495=0,B1495,"")</f>
        <v/>
      </c>
      <c r="E1495" s="0" t="str">
        <f aca="false">IF(C1495=0,A1495,"")</f>
        <v/>
      </c>
    </row>
    <row r="1496" customFormat="false" ht="12.8" hidden="false" customHeight="false" outlineLevel="0" collapsed="false">
      <c r="A1496" s="0" t="s">
        <v>823</v>
      </c>
      <c r="B1496" s="0" t="s">
        <v>821</v>
      </c>
      <c r="C1496" s="0" t="n">
        <v>1</v>
      </c>
      <c r="D1496" s="0" t="str">
        <f aca="false">IF(C1496=0,B1496,"")</f>
        <v/>
      </c>
      <c r="E1496" s="0" t="str">
        <f aca="false">IF(C1496=0,A1496,"")</f>
        <v/>
      </c>
    </row>
    <row r="1497" customFormat="false" ht="12.8" hidden="false" customHeight="false" outlineLevel="0" collapsed="false">
      <c r="A1497" s="0" t="s">
        <v>2355</v>
      </c>
      <c r="B1497" s="0" t="s">
        <v>3482</v>
      </c>
      <c r="C1497" s="0" t="n">
        <v>0</v>
      </c>
      <c r="D1497" s="0" t="str">
        <f aca="false">IF(C1497=0,B1497,"")</f>
        <v>쿽</v>
      </c>
      <c r="E1497" s="0" t="str">
        <f aca="false">IF(C1497=0,A1497,"")</f>
        <v>웍</v>
      </c>
    </row>
    <row r="1498" customFormat="false" ht="12.8" hidden="false" customHeight="false" outlineLevel="0" collapsed="false">
      <c r="A1498" s="0" t="s">
        <v>2356</v>
      </c>
      <c r="B1498" s="0" t="s">
        <v>2869</v>
      </c>
      <c r="C1498" s="0" t="n">
        <v>1</v>
      </c>
      <c r="D1498" s="0" t="str">
        <f aca="false">IF(C1498=0,B1498,"")</f>
        <v/>
      </c>
      <c r="E1498" s="0" t="str">
        <f aca="false">IF(C1498=0,A1498,"")</f>
        <v/>
      </c>
    </row>
    <row r="1499" customFormat="false" ht="12.8" hidden="false" customHeight="false" outlineLevel="0" collapsed="false">
      <c r="A1499" s="0" t="s">
        <v>2357</v>
      </c>
      <c r="B1499" s="0" t="s">
        <v>2870</v>
      </c>
      <c r="C1499" s="0" t="n">
        <v>1</v>
      </c>
      <c r="D1499" s="0" t="str">
        <f aca="false">IF(C1499=0,B1499,"")</f>
        <v/>
      </c>
      <c r="E1499" s="0" t="str">
        <f aca="false">IF(C1499=0,A1499,"")</f>
        <v/>
      </c>
    </row>
    <row r="1500" customFormat="false" ht="12.8" hidden="false" customHeight="false" outlineLevel="0" collapsed="false">
      <c r="A1500" s="0" t="s">
        <v>2358</v>
      </c>
      <c r="B1500" s="0" t="s">
        <v>3483</v>
      </c>
      <c r="C1500" s="0" t="n">
        <v>0</v>
      </c>
      <c r="D1500" s="0" t="str">
        <f aca="false">IF(C1500=0,B1500,"")</f>
        <v>퀌</v>
      </c>
      <c r="E1500" s="0" t="str">
        <f aca="false">IF(C1500=0,A1500,"")</f>
        <v>웜</v>
      </c>
    </row>
    <row r="1501" customFormat="false" ht="12.8" hidden="false" customHeight="false" outlineLevel="0" collapsed="false">
      <c r="A1501" s="0" t="s">
        <v>2359</v>
      </c>
      <c r="B1501" s="0" t="s">
        <v>3484</v>
      </c>
      <c r="C1501" s="0" t="n">
        <v>0</v>
      </c>
      <c r="D1501" s="0" t="str">
        <f aca="false">IF(C1501=0,B1501,"")</f>
        <v>퀍</v>
      </c>
      <c r="E1501" s="0" t="str">
        <f aca="false">IF(C1501=0,A1501,"")</f>
        <v>웝</v>
      </c>
    </row>
    <row r="1502" customFormat="false" ht="12.8" hidden="false" customHeight="false" outlineLevel="0" collapsed="false">
      <c r="A1502" s="0" t="s">
        <v>2360</v>
      </c>
      <c r="B1502" s="0" t="s">
        <v>3485</v>
      </c>
      <c r="C1502" s="0" t="n">
        <v>0</v>
      </c>
      <c r="D1502" s="0" t="str">
        <f aca="false">IF(C1502=0,B1502,"")</f>
        <v>퀏</v>
      </c>
      <c r="E1502" s="0" t="str">
        <f aca="false">IF(C1502=0,A1502,"")</f>
        <v>웠</v>
      </c>
    </row>
    <row r="1503" customFormat="false" ht="12.8" hidden="false" customHeight="false" outlineLevel="0" collapsed="false">
      <c r="A1503" s="0" t="s">
        <v>2361</v>
      </c>
      <c r="B1503" s="0" t="s">
        <v>2871</v>
      </c>
      <c r="C1503" s="0" t="n">
        <v>1</v>
      </c>
      <c r="D1503" s="0" t="str">
        <f aca="false">IF(C1503=0,B1503,"")</f>
        <v/>
      </c>
      <c r="E1503" s="0" t="str">
        <f aca="false">IF(C1503=0,A1503,"")</f>
        <v/>
      </c>
    </row>
    <row r="1504" customFormat="false" ht="12.8" hidden="false" customHeight="false" outlineLevel="0" collapsed="false">
      <c r="A1504" s="0" t="s">
        <v>824</v>
      </c>
      <c r="B1504" s="0" t="s">
        <v>822</v>
      </c>
      <c r="C1504" s="0" t="n">
        <v>1</v>
      </c>
      <c r="D1504" s="0" t="str">
        <f aca="false">IF(C1504=0,B1504,"")</f>
        <v/>
      </c>
      <c r="E1504" s="0" t="str">
        <f aca="false">IF(C1504=0,A1504,"")</f>
        <v/>
      </c>
    </row>
    <row r="1505" customFormat="false" ht="12.8" hidden="false" customHeight="false" outlineLevel="0" collapsed="false">
      <c r="A1505" s="0" t="s">
        <v>2362</v>
      </c>
      <c r="B1505" s="0" t="s">
        <v>3486</v>
      </c>
      <c r="C1505" s="0" t="n">
        <v>0</v>
      </c>
      <c r="D1505" s="0" t="str">
        <f aca="false">IF(C1505=0,B1505,"")</f>
        <v>퀙</v>
      </c>
      <c r="E1505" s="0" t="str">
        <f aca="false">IF(C1505=0,A1505,"")</f>
        <v>웩</v>
      </c>
    </row>
    <row r="1506" customFormat="false" ht="12.8" hidden="false" customHeight="false" outlineLevel="0" collapsed="false">
      <c r="A1506" s="0" t="s">
        <v>2363</v>
      </c>
      <c r="B1506" s="0" t="s">
        <v>3487</v>
      </c>
      <c r="C1506" s="0" t="n">
        <v>0</v>
      </c>
      <c r="D1506" s="0" t="str">
        <f aca="false">IF(C1506=0,B1506,"")</f>
        <v>퀜</v>
      </c>
      <c r="E1506" s="0" t="str">
        <f aca="false">IF(C1506=0,A1506,"")</f>
        <v>웬</v>
      </c>
    </row>
    <row r="1507" customFormat="false" ht="12.8" hidden="false" customHeight="false" outlineLevel="0" collapsed="false">
      <c r="A1507" s="0" t="s">
        <v>2364</v>
      </c>
      <c r="B1507" s="0" t="s">
        <v>3488</v>
      </c>
      <c r="C1507" s="0" t="n">
        <v>0</v>
      </c>
      <c r="D1507" s="0" t="str">
        <f aca="false">IF(C1507=0,B1507,"")</f>
        <v>퀠</v>
      </c>
      <c r="E1507" s="0" t="str">
        <f aca="false">IF(C1507=0,A1507,"")</f>
        <v>웰</v>
      </c>
    </row>
    <row r="1508" customFormat="false" ht="12.8" hidden="false" customHeight="false" outlineLevel="0" collapsed="false">
      <c r="A1508" s="0" t="s">
        <v>2365</v>
      </c>
      <c r="B1508" s="0" t="s">
        <v>3489</v>
      </c>
      <c r="C1508" s="0" t="n">
        <v>0</v>
      </c>
      <c r="D1508" s="0" t="str">
        <f aca="false">IF(C1508=0,B1508,"")</f>
        <v>퀨</v>
      </c>
      <c r="E1508" s="0" t="str">
        <f aca="false">IF(C1508=0,A1508,"")</f>
        <v>웸</v>
      </c>
    </row>
    <row r="1509" customFormat="false" ht="12.8" hidden="false" customHeight="false" outlineLevel="0" collapsed="false">
      <c r="A1509" s="0" t="s">
        <v>2366</v>
      </c>
      <c r="B1509" s="0" t="s">
        <v>3490</v>
      </c>
      <c r="C1509" s="0" t="n">
        <v>0</v>
      </c>
      <c r="D1509" s="0" t="str">
        <f aca="false">IF(C1509=0,B1509,"")</f>
        <v>퀩</v>
      </c>
      <c r="E1509" s="0" t="str">
        <f aca="false">IF(C1509=0,A1509,"")</f>
        <v>웹</v>
      </c>
    </row>
    <row r="1510" customFormat="false" ht="12.8" hidden="false" customHeight="false" outlineLevel="0" collapsed="false">
      <c r="A1510" s="0" t="s">
        <v>2367</v>
      </c>
      <c r="B1510" s="0" t="s">
        <v>2873</v>
      </c>
      <c r="C1510" s="0" t="n">
        <v>1</v>
      </c>
      <c r="D1510" s="0" t="str">
        <f aca="false">IF(C1510=0,B1510,"")</f>
        <v/>
      </c>
      <c r="E1510" s="0" t="str">
        <f aca="false">IF(C1510=0,A1510,"")</f>
        <v/>
      </c>
    </row>
    <row r="1511" customFormat="false" ht="12.8" hidden="false" customHeight="false" outlineLevel="0" collapsed="false">
      <c r="A1511" s="0" t="s">
        <v>2368</v>
      </c>
      <c r="B1511" s="0" t="s">
        <v>824</v>
      </c>
      <c r="C1511" s="0" t="n">
        <v>1</v>
      </c>
      <c r="D1511" s="0" t="str">
        <f aca="false">IF(C1511=0,B1511,"")</f>
        <v/>
      </c>
      <c r="E1511" s="0" t="str">
        <f aca="false">IF(C1511=0,A1511,"")</f>
        <v/>
      </c>
    </row>
    <row r="1512" customFormat="false" ht="12.8" hidden="false" customHeight="false" outlineLevel="0" collapsed="false">
      <c r="A1512" s="0" t="s">
        <v>2369</v>
      </c>
      <c r="B1512" s="0" t="s">
        <v>2875</v>
      </c>
      <c r="C1512" s="0" t="n">
        <v>1</v>
      </c>
      <c r="D1512" s="0" t="str">
        <f aca="false">IF(C1512=0,B1512,"")</f>
        <v/>
      </c>
      <c r="E1512" s="0" t="str">
        <f aca="false">IF(C1512=0,A1512,"")</f>
        <v/>
      </c>
    </row>
    <row r="1513" customFormat="false" ht="12.8" hidden="false" customHeight="false" outlineLevel="0" collapsed="false">
      <c r="A1513" s="0" t="s">
        <v>2370</v>
      </c>
      <c r="B1513" s="0" t="s">
        <v>2876</v>
      </c>
      <c r="C1513" s="0" t="n">
        <v>1</v>
      </c>
      <c r="D1513" s="0" t="str">
        <f aca="false">IF(C1513=0,B1513,"")</f>
        <v/>
      </c>
      <c r="E1513" s="0" t="str">
        <f aca="false">IF(C1513=0,A1513,"")</f>
        <v/>
      </c>
    </row>
    <row r="1514" customFormat="false" ht="12.8" hidden="false" customHeight="false" outlineLevel="0" collapsed="false">
      <c r="A1514" s="0" t="s">
        <v>2371</v>
      </c>
      <c r="B1514" s="0" t="s">
        <v>2877</v>
      </c>
      <c r="C1514" s="0" t="n">
        <v>1</v>
      </c>
      <c r="D1514" s="0" t="str">
        <f aca="false">IF(C1514=0,B1514,"")</f>
        <v/>
      </c>
      <c r="E1514" s="0" t="str">
        <f aca="false">IF(C1514=0,A1514,"")</f>
        <v/>
      </c>
    </row>
    <row r="1515" customFormat="false" ht="12.8" hidden="false" customHeight="false" outlineLevel="0" collapsed="false">
      <c r="A1515" s="0" t="s">
        <v>2372</v>
      </c>
      <c r="B1515" s="0" t="s">
        <v>2878</v>
      </c>
      <c r="C1515" s="0" t="n">
        <v>1</v>
      </c>
      <c r="D1515" s="0" t="str">
        <f aca="false">IF(C1515=0,B1515,"")</f>
        <v/>
      </c>
      <c r="E1515" s="0" t="str">
        <f aca="false">IF(C1515=0,A1515,"")</f>
        <v/>
      </c>
    </row>
    <row r="1516" customFormat="false" ht="12.8" hidden="false" customHeight="false" outlineLevel="0" collapsed="false">
      <c r="A1516" s="0" t="s">
        <v>2373</v>
      </c>
      <c r="B1516" s="0" t="s">
        <v>2879</v>
      </c>
      <c r="C1516" s="0" t="n">
        <v>1</v>
      </c>
      <c r="D1516" s="0" t="str">
        <f aca="false">IF(C1516=0,B1516,"")</f>
        <v/>
      </c>
      <c r="E1516" s="0" t="str">
        <f aca="false">IF(C1516=0,A1516,"")</f>
        <v/>
      </c>
    </row>
    <row r="1517" customFormat="false" ht="12.8" hidden="false" customHeight="false" outlineLevel="0" collapsed="false">
      <c r="A1517" s="0" t="s">
        <v>2374</v>
      </c>
      <c r="B1517" s="0" t="s">
        <v>2880</v>
      </c>
      <c r="C1517" s="0" t="n">
        <v>1</v>
      </c>
      <c r="D1517" s="0" t="str">
        <f aca="false">IF(C1517=0,B1517,"")</f>
        <v/>
      </c>
      <c r="E1517" s="0" t="str">
        <f aca="false">IF(C1517=0,A1517,"")</f>
        <v/>
      </c>
    </row>
    <row r="1518" customFormat="false" ht="12.8" hidden="false" customHeight="false" outlineLevel="0" collapsed="false">
      <c r="A1518" s="0" t="s">
        <v>2375</v>
      </c>
      <c r="B1518" s="0" t="s">
        <v>2881</v>
      </c>
      <c r="C1518" s="0" t="n">
        <v>1</v>
      </c>
      <c r="D1518" s="0" t="str">
        <f aca="false">IF(C1518=0,B1518,"")</f>
        <v/>
      </c>
      <c r="E1518" s="0" t="str">
        <f aca="false">IF(C1518=0,A1518,"")</f>
        <v/>
      </c>
    </row>
    <row r="1519" customFormat="false" ht="12.8" hidden="false" customHeight="false" outlineLevel="0" collapsed="false">
      <c r="A1519" s="0" t="s">
        <v>2376</v>
      </c>
      <c r="B1519" s="0" t="s">
        <v>2235</v>
      </c>
      <c r="C1519" s="0" t="n">
        <v>1</v>
      </c>
      <c r="D1519" s="0" t="str">
        <f aca="false">IF(C1519=0,B1519,"")</f>
        <v/>
      </c>
      <c r="E1519" s="0" t="str">
        <f aca="false">IF(C1519=0,A1519,"")</f>
        <v/>
      </c>
    </row>
    <row r="1520" customFormat="false" ht="12.8" hidden="false" customHeight="false" outlineLevel="0" collapsed="false">
      <c r="A1520" s="0" t="s">
        <v>2377</v>
      </c>
      <c r="B1520" s="0" t="s">
        <v>3491</v>
      </c>
      <c r="C1520" s="0" t="n">
        <v>0</v>
      </c>
      <c r="D1520" s="0" t="str">
        <f aca="false">IF(C1520=0,B1520,"")</f>
        <v>큑</v>
      </c>
      <c r="E1520" s="0" t="str">
        <f aca="false">IF(C1520=0,A1520,"")</f>
        <v>육</v>
      </c>
    </row>
    <row r="1521" customFormat="false" ht="12.8" hidden="false" customHeight="false" outlineLevel="0" collapsed="false">
      <c r="A1521" s="0" t="s">
        <v>2378</v>
      </c>
      <c r="B1521" s="0" t="s">
        <v>2883</v>
      </c>
      <c r="C1521" s="0" t="n">
        <v>1</v>
      </c>
      <c r="D1521" s="0" t="str">
        <f aca="false">IF(C1521=0,B1521,"")</f>
        <v/>
      </c>
      <c r="E1521" s="0" t="str">
        <f aca="false">IF(C1521=0,A1521,"")</f>
        <v/>
      </c>
    </row>
    <row r="1522" customFormat="false" ht="12.8" hidden="false" customHeight="false" outlineLevel="0" collapsed="false">
      <c r="A1522" s="0" t="s">
        <v>2379</v>
      </c>
      <c r="B1522" s="0" t="s">
        <v>2884</v>
      </c>
      <c r="C1522" s="0" t="n">
        <v>1</v>
      </c>
      <c r="D1522" s="0" t="str">
        <f aca="false">IF(C1522=0,B1522,"")</f>
        <v/>
      </c>
      <c r="E1522" s="0" t="str">
        <f aca="false">IF(C1522=0,A1522,"")</f>
        <v/>
      </c>
    </row>
    <row r="1523" customFormat="false" ht="12.8" hidden="false" customHeight="false" outlineLevel="0" collapsed="false">
      <c r="A1523" s="0" t="s">
        <v>2380</v>
      </c>
      <c r="B1523" s="0" t="s">
        <v>2885</v>
      </c>
      <c r="C1523" s="0" t="n">
        <v>1</v>
      </c>
      <c r="D1523" s="0" t="str">
        <f aca="false">IF(C1523=0,B1523,"")</f>
        <v/>
      </c>
      <c r="E1523" s="0" t="str">
        <f aca="false">IF(C1523=0,A1523,"")</f>
        <v/>
      </c>
    </row>
    <row r="1524" customFormat="false" ht="12.8" hidden="false" customHeight="false" outlineLevel="0" collapsed="false">
      <c r="A1524" s="0" t="s">
        <v>2381</v>
      </c>
      <c r="B1524" s="0" t="s">
        <v>3492</v>
      </c>
      <c r="C1524" s="0" t="n">
        <v>0</v>
      </c>
      <c r="D1524" s="0" t="str">
        <f aca="false">IF(C1524=0,B1524,"")</f>
        <v>큡</v>
      </c>
      <c r="E1524" s="0" t="str">
        <f aca="false">IF(C1524=0,A1524,"")</f>
        <v>윱</v>
      </c>
    </row>
    <row r="1525" customFormat="false" ht="12.8" hidden="false" customHeight="false" outlineLevel="0" collapsed="false">
      <c r="A1525" s="0" t="s">
        <v>2382</v>
      </c>
      <c r="B1525" s="0" t="s">
        <v>3493</v>
      </c>
      <c r="C1525" s="0" t="n">
        <v>0</v>
      </c>
      <c r="D1525" s="0" t="str">
        <f aca="false">IF(C1525=0,B1525,"")</f>
        <v>큣</v>
      </c>
      <c r="E1525" s="0" t="str">
        <f aca="false">IF(C1525=0,A1525,"")</f>
        <v>윳</v>
      </c>
    </row>
    <row r="1526" customFormat="false" ht="12.8" hidden="false" customHeight="false" outlineLevel="0" collapsed="false">
      <c r="A1526" s="0" t="s">
        <v>2383</v>
      </c>
      <c r="B1526" s="0" t="s">
        <v>3494</v>
      </c>
      <c r="C1526" s="0" t="n">
        <v>0</v>
      </c>
      <c r="D1526" s="0" t="str">
        <f aca="false">IF(C1526=0,B1526,"")</f>
        <v>큥</v>
      </c>
      <c r="E1526" s="0" t="str">
        <f aca="false">IF(C1526=0,A1526,"")</f>
        <v>융</v>
      </c>
    </row>
    <row r="1527" customFormat="false" ht="12.8" hidden="false" customHeight="false" outlineLevel="0" collapsed="false">
      <c r="A1527" s="0" t="s">
        <v>2384</v>
      </c>
      <c r="B1527" s="0" t="s">
        <v>3493</v>
      </c>
      <c r="C1527" s="0" t="n">
        <v>0</v>
      </c>
      <c r="D1527" s="0" t="str">
        <f aca="false">IF(C1527=0,B1527,"")</f>
        <v>큣</v>
      </c>
      <c r="E1527" s="0" t="str">
        <f aca="false">IF(C1527=0,A1527,"")</f>
        <v>윷</v>
      </c>
    </row>
    <row r="1528" customFormat="false" ht="12.8" hidden="false" customHeight="false" outlineLevel="0" collapsed="false">
      <c r="A1528" s="0" t="s">
        <v>2385</v>
      </c>
      <c r="B1528" s="0" t="s">
        <v>2244</v>
      </c>
      <c r="C1528" s="0" t="n">
        <v>1</v>
      </c>
      <c r="D1528" s="0" t="str">
        <f aca="false">IF(C1528=0,B1528,"")</f>
        <v/>
      </c>
      <c r="E1528" s="0" t="str">
        <f aca="false">IF(C1528=0,A1528,"")</f>
        <v/>
      </c>
    </row>
    <row r="1529" customFormat="false" ht="12.8" hidden="false" customHeight="false" outlineLevel="0" collapsed="false">
      <c r="A1529" s="0" t="s">
        <v>2386</v>
      </c>
      <c r="B1529" s="0" t="s">
        <v>2887</v>
      </c>
      <c r="C1529" s="0" t="n">
        <v>1</v>
      </c>
      <c r="D1529" s="0" t="str">
        <f aca="false">IF(C1529=0,B1529,"")</f>
        <v/>
      </c>
      <c r="E1529" s="0" t="str">
        <f aca="false">IF(C1529=0,A1529,"")</f>
        <v/>
      </c>
    </row>
    <row r="1530" customFormat="false" ht="12.8" hidden="false" customHeight="false" outlineLevel="0" collapsed="false">
      <c r="A1530" s="0" t="s">
        <v>2387</v>
      </c>
      <c r="B1530" s="0" t="s">
        <v>2888</v>
      </c>
      <c r="C1530" s="0" t="n">
        <v>1</v>
      </c>
      <c r="D1530" s="0" t="str">
        <f aca="false">IF(C1530=0,B1530,"")</f>
        <v/>
      </c>
      <c r="E1530" s="0" t="str">
        <f aca="false">IF(C1530=0,A1530,"")</f>
        <v/>
      </c>
    </row>
    <row r="1531" customFormat="false" ht="12.8" hidden="false" customHeight="false" outlineLevel="0" collapsed="false">
      <c r="A1531" s="0" t="s">
        <v>2388</v>
      </c>
      <c r="B1531" s="0" t="s">
        <v>2889</v>
      </c>
      <c r="C1531" s="0" t="n">
        <v>1</v>
      </c>
      <c r="D1531" s="0" t="str">
        <f aca="false">IF(C1531=0,B1531,"")</f>
        <v/>
      </c>
      <c r="E1531" s="0" t="str">
        <f aca="false">IF(C1531=0,A1531,"")</f>
        <v/>
      </c>
    </row>
    <row r="1532" customFormat="false" ht="12.8" hidden="false" customHeight="false" outlineLevel="0" collapsed="false">
      <c r="A1532" s="0" t="s">
        <v>2389</v>
      </c>
      <c r="B1532" s="0" t="s">
        <v>2889</v>
      </c>
      <c r="C1532" s="0" t="n">
        <v>1</v>
      </c>
      <c r="D1532" s="0" t="str">
        <f aca="false">IF(C1532=0,B1532,"")</f>
        <v/>
      </c>
      <c r="E1532" s="0" t="str">
        <f aca="false">IF(C1532=0,A1532,"")</f>
        <v/>
      </c>
    </row>
    <row r="1533" customFormat="false" ht="12.8" hidden="false" customHeight="false" outlineLevel="0" collapsed="false">
      <c r="A1533" s="0" t="s">
        <v>2390</v>
      </c>
      <c r="B1533" s="0" t="s">
        <v>2890</v>
      </c>
      <c r="C1533" s="0" t="n">
        <v>1</v>
      </c>
      <c r="D1533" s="0" t="str">
        <f aca="false">IF(C1533=0,B1533,"")</f>
        <v/>
      </c>
      <c r="E1533" s="0" t="str">
        <f aca="false">IF(C1533=0,A1533,"")</f>
        <v/>
      </c>
    </row>
    <row r="1534" customFormat="false" ht="12.8" hidden="false" customHeight="false" outlineLevel="0" collapsed="false">
      <c r="A1534" s="0" t="s">
        <v>2391</v>
      </c>
      <c r="B1534" s="0" t="s">
        <v>2891</v>
      </c>
      <c r="C1534" s="0" t="n">
        <v>1</v>
      </c>
      <c r="D1534" s="0" t="str">
        <f aca="false">IF(C1534=0,B1534,"")</f>
        <v/>
      </c>
      <c r="E1534" s="0" t="str">
        <f aca="false">IF(C1534=0,A1534,"")</f>
        <v/>
      </c>
    </row>
    <row r="1535" customFormat="false" ht="12.8" hidden="false" customHeight="false" outlineLevel="0" collapsed="false">
      <c r="A1535" s="0" t="s">
        <v>2392</v>
      </c>
      <c r="B1535" s="0" t="s">
        <v>3495</v>
      </c>
      <c r="C1535" s="0" t="n">
        <v>0</v>
      </c>
      <c r="D1535" s="0" t="str">
        <f aca="false">IF(C1535=0,B1535,"")</f>
        <v>큿</v>
      </c>
      <c r="E1535" s="0" t="str">
        <f aca="false">IF(C1535=0,A1535,"")</f>
        <v>읏</v>
      </c>
    </row>
    <row r="1536" customFormat="false" ht="12.8" hidden="false" customHeight="false" outlineLevel="0" collapsed="false">
      <c r="A1536" s="0" t="s">
        <v>2393</v>
      </c>
      <c r="B1536" s="0" t="s">
        <v>2892</v>
      </c>
      <c r="C1536" s="0" t="n">
        <v>1</v>
      </c>
      <c r="D1536" s="0" t="str">
        <f aca="false">IF(C1536=0,B1536,"")</f>
        <v/>
      </c>
      <c r="E1536" s="0" t="str">
        <f aca="false">IF(C1536=0,A1536,"")</f>
        <v/>
      </c>
    </row>
    <row r="1537" customFormat="false" ht="12.8" hidden="false" customHeight="false" outlineLevel="0" collapsed="false">
      <c r="A1537" s="0" t="s">
        <v>2394</v>
      </c>
      <c r="B1537" s="0" t="s">
        <v>3495</v>
      </c>
      <c r="C1537" s="0" t="n">
        <v>0</v>
      </c>
      <c r="D1537" s="0" t="str">
        <f aca="false">IF(C1537=0,B1537,"")</f>
        <v>큿</v>
      </c>
      <c r="E1537" s="0" t="str">
        <f aca="false">IF(C1537=0,A1537,"")</f>
        <v>읒</v>
      </c>
    </row>
    <row r="1538" customFormat="false" ht="12.8" hidden="false" customHeight="false" outlineLevel="0" collapsed="false">
      <c r="A1538" s="0" t="s">
        <v>2395</v>
      </c>
      <c r="B1538" s="0" t="s">
        <v>3495</v>
      </c>
      <c r="C1538" s="0" t="n">
        <v>0</v>
      </c>
      <c r="D1538" s="0" t="str">
        <f aca="false">IF(C1538=0,B1538,"")</f>
        <v>큿</v>
      </c>
      <c r="E1538" s="0" t="str">
        <f aca="false">IF(C1538=0,A1538,"")</f>
        <v>읓</v>
      </c>
    </row>
    <row r="1539" customFormat="false" ht="12.8" hidden="false" customHeight="false" outlineLevel="0" collapsed="false">
      <c r="A1539" s="0" t="s">
        <v>2396</v>
      </c>
      <c r="B1539" s="0" t="s">
        <v>2887</v>
      </c>
      <c r="C1539" s="0" t="n">
        <v>1</v>
      </c>
      <c r="D1539" s="0" t="str">
        <f aca="false">IF(C1539=0,B1539,"")</f>
        <v/>
      </c>
      <c r="E1539" s="0" t="str">
        <f aca="false">IF(C1539=0,A1539,"")</f>
        <v/>
      </c>
    </row>
    <row r="1540" customFormat="false" ht="12.8" hidden="false" customHeight="false" outlineLevel="0" collapsed="false">
      <c r="A1540" s="0" t="s">
        <v>2397</v>
      </c>
      <c r="B1540" s="0" t="s">
        <v>3495</v>
      </c>
      <c r="C1540" s="0" t="n">
        <v>0</v>
      </c>
      <c r="D1540" s="0" t="str">
        <f aca="false">IF(C1540=0,B1540,"")</f>
        <v>큿</v>
      </c>
      <c r="E1540" s="0" t="str">
        <f aca="false">IF(C1540=0,A1540,"")</f>
        <v>읕</v>
      </c>
    </row>
    <row r="1541" customFormat="false" ht="12.8" hidden="false" customHeight="false" outlineLevel="0" collapsed="false">
      <c r="A1541" s="0" t="s">
        <v>2398</v>
      </c>
      <c r="B1541" s="0" t="s">
        <v>2891</v>
      </c>
      <c r="C1541" s="0" t="n">
        <v>1</v>
      </c>
      <c r="D1541" s="0" t="str">
        <f aca="false">IF(C1541=0,B1541,"")</f>
        <v/>
      </c>
      <c r="E1541" s="0" t="str">
        <f aca="false">IF(C1541=0,A1541,"")</f>
        <v/>
      </c>
    </row>
    <row r="1542" customFormat="false" ht="12.8" hidden="false" customHeight="false" outlineLevel="0" collapsed="false">
      <c r="A1542" s="0" t="s">
        <v>2399</v>
      </c>
      <c r="B1542" s="0" t="s">
        <v>3495</v>
      </c>
      <c r="C1542" s="0" t="n">
        <v>0</v>
      </c>
      <c r="D1542" s="0" t="str">
        <f aca="false">IF(C1542=0,B1542,"")</f>
        <v>큿</v>
      </c>
      <c r="E1542" s="0" t="str">
        <f aca="false">IF(C1542=0,A1542,"")</f>
        <v>읗</v>
      </c>
    </row>
    <row r="1543" customFormat="false" ht="12.8" hidden="false" customHeight="false" outlineLevel="0" collapsed="false">
      <c r="A1543" s="0" t="s">
        <v>827</v>
      </c>
      <c r="B1543" s="0" t="s">
        <v>826</v>
      </c>
      <c r="C1543" s="0" t="n">
        <v>1</v>
      </c>
      <c r="D1543" s="0" t="str">
        <f aca="false">IF(C1543=0,B1543,"")</f>
        <v/>
      </c>
      <c r="E1543" s="0" t="str">
        <f aca="false">IF(C1543=0,A1543,"")</f>
        <v/>
      </c>
    </row>
    <row r="1544" customFormat="false" ht="12.8" hidden="false" customHeight="false" outlineLevel="0" collapsed="false">
      <c r="A1544" s="0" t="s">
        <v>2400</v>
      </c>
      <c r="B1544" s="0" t="s">
        <v>3496</v>
      </c>
      <c r="C1544" s="0" t="n">
        <v>0</v>
      </c>
      <c r="D1544" s="0" t="str">
        <f aca="false">IF(C1544=0,B1544,"")</f>
        <v>킌</v>
      </c>
      <c r="E1544" s="0" t="str">
        <f aca="false">IF(C1544=0,A1544,"")</f>
        <v>읜</v>
      </c>
    </row>
    <row r="1545" customFormat="false" ht="12.8" hidden="false" customHeight="false" outlineLevel="0" collapsed="false">
      <c r="A1545" s="0" t="s">
        <v>2401</v>
      </c>
      <c r="B1545" s="0" t="s">
        <v>3497</v>
      </c>
      <c r="C1545" s="0" t="n">
        <v>0</v>
      </c>
      <c r="D1545" s="0" t="str">
        <f aca="false">IF(C1545=0,B1545,"")</f>
        <v>킐</v>
      </c>
      <c r="E1545" s="0" t="str">
        <f aca="false">IF(C1545=0,A1545,"")</f>
        <v>읠</v>
      </c>
    </row>
    <row r="1546" customFormat="false" ht="12.8" hidden="false" customHeight="false" outlineLevel="0" collapsed="false">
      <c r="A1546" s="0" t="s">
        <v>2402</v>
      </c>
      <c r="B1546" s="0" t="s">
        <v>3498</v>
      </c>
      <c r="C1546" s="0" t="n">
        <v>0</v>
      </c>
      <c r="D1546" s="0" t="str">
        <f aca="false">IF(C1546=0,B1546,"")</f>
        <v>킘</v>
      </c>
      <c r="E1546" s="0" t="str">
        <f aca="false">IF(C1546=0,A1546,"")</f>
        <v>읨</v>
      </c>
    </row>
    <row r="1547" customFormat="false" ht="12.8" hidden="false" customHeight="false" outlineLevel="0" collapsed="false">
      <c r="A1547" s="0" t="s">
        <v>2403</v>
      </c>
      <c r="B1547" s="0" t="s">
        <v>3499</v>
      </c>
      <c r="C1547" s="0" t="n">
        <v>0</v>
      </c>
      <c r="D1547" s="0" t="str">
        <f aca="false">IF(C1547=0,B1547,"")</f>
        <v>킛</v>
      </c>
      <c r="E1547" s="0" t="str">
        <f aca="false">IF(C1547=0,A1547,"")</f>
        <v>읫</v>
      </c>
    </row>
    <row r="1548" customFormat="false" ht="12.8" hidden="false" customHeight="false" outlineLevel="0" collapsed="false">
      <c r="A1548" s="0" t="s">
        <v>826</v>
      </c>
      <c r="B1548" s="0" t="s">
        <v>2385</v>
      </c>
      <c r="C1548" s="0" t="n">
        <v>1</v>
      </c>
      <c r="D1548" s="0" t="str">
        <f aca="false">IF(C1548=0,B1548,"")</f>
        <v/>
      </c>
      <c r="E1548" s="0" t="str">
        <f aca="false">IF(C1548=0,A1548,"")</f>
        <v/>
      </c>
    </row>
    <row r="1549" customFormat="false" ht="12.8" hidden="false" customHeight="false" outlineLevel="0" collapsed="false">
      <c r="A1549" s="0" t="s">
        <v>2404</v>
      </c>
      <c r="B1549" s="0" t="s">
        <v>2894</v>
      </c>
      <c r="C1549" s="0" t="n">
        <v>1</v>
      </c>
      <c r="D1549" s="0" t="str">
        <f aca="false">IF(C1549=0,B1549,"")</f>
        <v/>
      </c>
      <c r="E1549" s="0" t="str">
        <f aca="false">IF(C1549=0,A1549,"")</f>
        <v/>
      </c>
    </row>
    <row r="1550" customFormat="false" ht="12.8" hidden="false" customHeight="false" outlineLevel="0" collapsed="false">
      <c r="A1550" s="0" t="s">
        <v>2405</v>
      </c>
      <c r="B1550" s="0" t="s">
        <v>2895</v>
      </c>
      <c r="C1550" s="0" t="n">
        <v>1</v>
      </c>
      <c r="D1550" s="0" t="str">
        <f aca="false">IF(C1550=0,B1550,"")</f>
        <v/>
      </c>
      <c r="E1550" s="0" t="str">
        <f aca="false">IF(C1550=0,A1550,"")</f>
        <v/>
      </c>
    </row>
    <row r="1551" customFormat="false" ht="12.8" hidden="false" customHeight="false" outlineLevel="0" collapsed="false">
      <c r="A1551" s="0" t="s">
        <v>2406</v>
      </c>
      <c r="B1551" s="0" t="s">
        <v>2896</v>
      </c>
      <c r="C1551" s="0" t="n">
        <v>1</v>
      </c>
      <c r="D1551" s="0" t="str">
        <f aca="false">IF(C1551=0,B1551,"")</f>
        <v/>
      </c>
      <c r="E1551" s="0" t="str">
        <f aca="false">IF(C1551=0,A1551,"")</f>
        <v/>
      </c>
    </row>
    <row r="1552" customFormat="false" ht="12.8" hidden="false" customHeight="false" outlineLevel="0" collapsed="false">
      <c r="A1552" s="0" t="s">
        <v>2407</v>
      </c>
      <c r="B1552" s="0" t="s">
        <v>2896</v>
      </c>
      <c r="C1552" s="0" t="n">
        <v>1</v>
      </c>
      <c r="D1552" s="0" t="str">
        <f aca="false">IF(C1552=0,B1552,"")</f>
        <v/>
      </c>
      <c r="E1552" s="0" t="str">
        <f aca="false">IF(C1552=0,A1552,"")</f>
        <v/>
      </c>
    </row>
    <row r="1553" customFormat="false" ht="12.8" hidden="false" customHeight="false" outlineLevel="0" collapsed="false">
      <c r="A1553" s="0" t="s">
        <v>2408</v>
      </c>
      <c r="B1553" s="0" t="s">
        <v>2896</v>
      </c>
      <c r="C1553" s="0" t="n">
        <v>1</v>
      </c>
      <c r="D1553" s="0" t="str">
        <f aca="false">IF(C1553=0,B1553,"")</f>
        <v/>
      </c>
      <c r="E1553" s="0" t="str">
        <f aca="false">IF(C1553=0,A1553,"")</f>
        <v/>
      </c>
    </row>
    <row r="1554" customFormat="false" ht="12.8" hidden="false" customHeight="false" outlineLevel="0" collapsed="false">
      <c r="A1554" s="0" t="s">
        <v>2409</v>
      </c>
      <c r="B1554" s="0" t="s">
        <v>2896</v>
      </c>
      <c r="C1554" s="0" t="n">
        <v>1</v>
      </c>
      <c r="D1554" s="0" t="str">
        <f aca="false">IF(C1554=0,B1554,"")</f>
        <v/>
      </c>
      <c r="E1554" s="0" t="str">
        <f aca="false">IF(C1554=0,A1554,"")</f>
        <v/>
      </c>
    </row>
    <row r="1555" customFormat="false" ht="12.8" hidden="false" customHeight="false" outlineLevel="0" collapsed="false">
      <c r="A1555" s="0" t="s">
        <v>2410</v>
      </c>
      <c r="B1555" s="0" t="s">
        <v>2897</v>
      </c>
      <c r="C1555" s="0" t="n">
        <v>1</v>
      </c>
      <c r="D1555" s="0" t="str">
        <f aca="false">IF(C1555=0,B1555,"")</f>
        <v/>
      </c>
      <c r="E1555" s="0" t="str">
        <f aca="false">IF(C1555=0,A1555,"")</f>
        <v/>
      </c>
    </row>
    <row r="1556" customFormat="false" ht="12.8" hidden="false" customHeight="false" outlineLevel="0" collapsed="false">
      <c r="A1556" s="0" t="s">
        <v>2411</v>
      </c>
      <c r="B1556" s="0" t="s">
        <v>2898</v>
      </c>
      <c r="C1556" s="0" t="n">
        <v>1</v>
      </c>
      <c r="D1556" s="0" t="str">
        <f aca="false">IF(C1556=0,B1556,"")</f>
        <v/>
      </c>
      <c r="E1556" s="0" t="str">
        <f aca="false">IF(C1556=0,A1556,"")</f>
        <v/>
      </c>
    </row>
    <row r="1557" customFormat="false" ht="12.8" hidden="false" customHeight="false" outlineLevel="0" collapsed="false">
      <c r="A1557" s="0" t="s">
        <v>2412</v>
      </c>
      <c r="B1557" s="0" t="s">
        <v>2899</v>
      </c>
      <c r="C1557" s="0" t="n">
        <v>1</v>
      </c>
      <c r="D1557" s="0" t="str">
        <f aca="false">IF(C1557=0,B1557,"")</f>
        <v/>
      </c>
      <c r="E1557" s="0" t="str">
        <f aca="false">IF(C1557=0,A1557,"")</f>
        <v/>
      </c>
    </row>
    <row r="1558" customFormat="false" ht="12.8" hidden="false" customHeight="false" outlineLevel="0" collapsed="false">
      <c r="A1558" s="0" t="s">
        <v>815</v>
      </c>
      <c r="B1558" s="0" t="s">
        <v>2899</v>
      </c>
      <c r="C1558" s="0" t="n">
        <v>1</v>
      </c>
      <c r="D1558" s="0" t="str">
        <f aca="false">IF(C1558=0,B1558,"")</f>
        <v/>
      </c>
      <c r="E1558" s="0" t="str">
        <f aca="false">IF(C1558=0,A1558,"")</f>
        <v/>
      </c>
    </row>
    <row r="1559" customFormat="false" ht="12.8" hidden="false" customHeight="false" outlineLevel="0" collapsed="false">
      <c r="A1559" s="0" t="s">
        <v>2413</v>
      </c>
      <c r="B1559" s="0" t="s">
        <v>2900</v>
      </c>
      <c r="C1559" s="0" t="n">
        <v>1</v>
      </c>
      <c r="D1559" s="0" t="str">
        <f aca="false">IF(C1559=0,B1559,"")</f>
        <v/>
      </c>
      <c r="E1559" s="0" t="str">
        <f aca="false">IF(C1559=0,A1559,"")</f>
        <v/>
      </c>
    </row>
    <row r="1560" customFormat="false" ht="12.8" hidden="false" customHeight="false" outlineLevel="0" collapsed="false">
      <c r="A1560" s="0" t="s">
        <v>2414</v>
      </c>
      <c r="B1560" s="0" t="s">
        <v>2899</v>
      </c>
      <c r="C1560" s="0" t="n">
        <v>1</v>
      </c>
      <c r="D1560" s="0" t="str">
        <f aca="false">IF(C1560=0,B1560,"")</f>
        <v/>
      </c>
      <c r="E1560" s="0" t="str">
        <f aca="false">IF(C1560=0,A1560,"")</f>
        <v/>
      </c>
    </row>
    <row r="1561" customFormat="false" ht="12.8" hidden="false" customHeight="false" outlineLevel="0" collapsed="false">
      <c r="A1561" s="0" t="s">
        <v>2415</v>
      </c>
      <c r="B1561" s="0" t="s">
        <v>2898</v>
      </c>
      <c r="C1561" s="0" t="n">
        <v>1</v>
      </c>
      <c r="D1561" s="0" t="str">
        <f aca="false">IF(C1561=0,B1561,"")</f>
        <v/>
      </c>
      <c r="E1561" s="0" t="str">
        <f aca="false">IF(C1561=0,A1561,"")</f>
        <v/>
      </c>
    </row>
    <row r="1562" customFormat="false" ht="12.8" hidden="false" customHeight="false" outlineLevel="0" collapsed="false">
      <c r="A1562" s="0" t="s">
        <v>787</v>
      </c>
      <c r="B1562" s="0" t="s">
        <v>2473</v>
      </c>
      <c r="C1562" s="0" t="n">
        <v>1</v>
      </c>
      <c r="D1562" s="0" t="str">
        <f aca="false">IF(C1562=0,B1562,"")</f>
        <v/>
      </c>
      <c r="E1562" s="0" t="str">
        <f aca="false">IF(C1562=0,A1562,"")</f>
        <v/>
      </c>
    </row>
    <row r="1563" customFormat="false" ht="12.8" hidden="false" customHeight="false" outlineLevel="0" collapsed="false">
      <c r="A1563" s="0" t="s">
        <v>2416</v>
      </c>
      <c r="B1563" s="0" t="s">
        <v>1309</v>
      </c>
      <c r="C1563" s="0" t="n">
        <v>1</v>
      </c>
      <c r="D1563" s="0" t="str">
        <f aca="false">IF(C1563=0,B1563,"")</f>
        <v/>
      </c>
      <c r="E1563" s="0" t="str">
        <f aca="false">IF(C1563=0,A1563,"")</f>
        <v/>
      </c>
    </row>
    <row r="1564" customFormat="false" ht="12.8" hidden="false" customHeight="false" outlineLevel="0" collapsed="false">
      <c r="A1564" s="0" t="s">
        <v>2417</v>
      </c>
      <c r="B1564" s="0" t="s">
        <v>1311</v>
      </c>
      <c r="C1564" s="0" t="n">
        <v>1</v>
      </c>
      <c r="D1564" s="0" t="str">
        <f aca="false">IF(C1564=0,B1564,"")</f>
        <v/>
      </c>
      <c r="E1564" s="0" t="str">
        <f aca="false">IF(C1564=0,A1564,"")</f>
        <v/>
      </c>
    </row>
    <row r="1565" customFormat="false" ht="12.8" hidden="false" customHeight="false" outlineLevel="0" collapsed="false">
      <c r="A1565" s="0" t="s">
        <v>2418</v>
      </c>
      <c r="B1565" s="0" t="s">
        <v>1311</v>
      </c>
      <c r="C1565" s="0" t="n">
        <v>1</v>
      </c>
      <c r="D1565" s="0" t="str">
        <f aca="false">IF(C1565=0,B1565,"")</f>
        <v/>
      </c>
      <c r="E1565" s="0" t="str">
        <f aca="false">IF(C1565=0,A1565,"")</f>
        <v/>
      </c>
    </row>
    <row r="1566" customFormat="false" ht="12.8" hidden="false" customHeight="false" outlineLevel="0" collapsed="false">
      <c r="A1566" s="0" t="s">
        <v>2419</v>
      </c>
      <c r="B1566" s="0" t="s">
        <v>1320</v>
      </c>
      <c r="C1566" s="0" t="n">
        <v>1</v>
      </c>
      <c r="D1566" s="0" t="str">
        <f aca="false">IF(C1566=0,B1566,"")</f>
        <v/>
      </c>
      <c r="E1566" s="0" t="str">
        <f aca="false">IF(C1566=0,A1566,"")</f>
        <v/>
      </c>
    </row>
    <row r="1567" customFormat="false" ht="12.8" hidden="false" customHeight="false" outlineLevel="0" collapsed="false">
      <c r="A1567" s="0" t="s">
        <v>2420</v>
      </c>
      <c r="B1567" s="0" t="s">
        <v>1313</v>
      </c>
      <c r="C1567" s="0" t="n">
        <v>1</v>
      </c>
      <c r="D1567" s="0" t="str">
        <f aca="false">IF(C1567=0,B1567,"")</f>
        <v/>
      </c>
      <c r="E1567" s="0" t="str">
        <f aca="false">IF(C1567=0,A1567,"")</f>
        <v/>
      </c>
    </row>
    <row r="1568" customFormat="false" ht="12.8" hidden="false" customHeight="false" outlineLevel="0" collapsed="false">
      <c r="A1568" s="0" t="s">
        <v>2421</v>
      </c>
      <c r="B1568" s="0" t="s">
        <v>1313</v>
      </c>
      <c r="C1568" s="0" t="n">
        <v>1</v>
      </c>
      <c r="D1568" s="0" t="str">
        <f aca="false">IF(C1568=0,B1568,"")</f>
        <v/>
      </c>
      <c r="E1568" s="0" t="str">
        <f aca="false">IF(C1568=0,A1568,"")</f>
        <v/>
      </c>
    </row>
    <row r="1569" customFormat="false" ht="12.8" hidden="false" customHeight="false" outlineLevel="0" collapsed="false">
      <c r="A1569" s="0" t="s">
        <v>2422</v>
      </c>
      <c r="B1569" s="0" t="s">
        <v>1318</v>
      </c>
      <c r="C1569" s="0" t="n">
        <v>1</v>
      </c>
      <c r="D1569" s="0" t="str">
        <f aca="false">IF(C1569=0,B1569,"")</f>
        <v/>
      </c>
      <c r="E1569" s="0" t="str">
        <f aca="false">IF(C1569=0,A1569,"")</f>
        <v/>
      </c>
    </row>
    <row r="1570" customFormat="false" ht="12.8" hidden="false" customHeight="false" outlineLevel="0" collapsed="false">
      <c r="A1570" s="0" t="s">
        <v>2423</v>
      </c>
      <c r="B1570" s="0" t="s">
        <v>1319</v>
      </c>
      <c r="C1570" s="0" t="n">
        <v>1</v>
      </c>
      <c r="D1570" s="0" t="str">
        <f aca="false">IF(C1570=0,B1570,"")</f>
        <v/>
      </c>
      <c r="E1570" s="0" t="str">
        <f aca="false">IF(C1570=0,A1570,"")</f>
        <v/>
      </c>
    </row>
    <row r="1571" customFormat="false" ht="12.8" hidden="false" customHeight="false" outlineLevel="0" collapsed="false">
      <c r="A1571" s="0" t="s">
        <v>2424</v>
      </c>
      <c r="B1571" s="0" t="s">
        <v>1320</v>
      </c>
      <c r="C1571" s="0" t="n">
        <v>1</v>
      </c>
      <c r="D1571" s="0" t="str">
        <f aca="false">IF(C1571=0,B1571,"")</f>
        <v/>
      </c>
      <c r="E1571" s="0" t="str">
        <f aca="false">IF(C1571=0,A1571,"")</f>
        <v/>
      </c>
    </row>
    <row r="1572" customFormat="false" ht="12.8" hidden="false" customHeight="false" outlineLevel="0" collapsed="false">
      <c r="A1572" s="0" t="s">
        <v>2425</v>
      </c>
      <c r="B1572" s="0" t="s">
        <v>1320</v>
      </c>
      <c r="C1572" s="0" t="n">
        <v>1</v>
      </c>
      <c r="D1572" s="0" t="str">
        <f aca="false">IF(C1572=0,B1572,"")</f>
        <v/>
      </c>
      <c r="E1572" s="0" t="str">
        <f aca="false">IF(C1572=0,A1572,"")</f>
        <v/>
      </c>
    </row>
    <row r="1573" customFormat="false" ht="12.8" hidden="false" customHeight="false" outlineLevel="0" collapsed="false">
      <c r="A1573" s="0" t="s">
        <v>2426</v>
      </c>
      <c r="B1573" s="0" t="s">
        <v>1322</v>
      </c>
      <c r="C1573" s="0" t="n">
        <v>1</v>
      </c>
      <c r="D1573" s="0" t="str">
        <f aca="false">IF(C1573=0,B1573,"")</f>
        <v/>
      </c>
      <c r="E1573" s="0" t="str">
        <f aca="false">IF(C1573=0,A1573,"")</f>
        <v/>
      </c>
    </row>
    <row r="1574" customFormat="false" ht="12.8" hidden="false" customHeight="false" outlineLevel="0" collapsed="false">
      <c r="A1574" s="0" t="s">
        <v>2427</v>
      </c>
      <c r="B1574" s="0" t="s">
        <v>1320</v>
      </c>
      <c r="C1574" s="0" t="n">
        <v>1</v>
      </c>
      <c r="D1574" s="0" t="str">
        <f aca="false">IF(C1574=0,B1574,"")</f>
        <v/>
      </c>
      <c r="E1574" s="0" t="str">
        <f aca="false">IF(C1574=0,A1574,"")</f>
        <v/>
      </c>
    </row>
    <row r="1575" customFormat="false" ht="12.8" hidden="false" customHeight="false" outlineLevel="0" collapsed="false">
      <c r="A1575" s="0" t="s">
        <v>2428</v>
      </c>
      <c r="B1575" s="0" t="s">
        <v>3500</v>
      </c>
      <c r="C1575" s="0" t="n">
        <v>0</v>
      </c>
      <c r="D1575" s="0" t="str">
        <f aca="false">IF(C1575=0,B1575,"")</f>
        <v>즤</v>
      </c>
      <c r="E1575" s="0" t="str">
        <f aca="false">IF(C1575=0,A1575,"")</f>
        <v>재</v>
      </c>
    </row>
    <row r="1576" customFormat="false" ht="12.8" hidden="false" customHeight="false" outlineLevel="0" collapsed="false">
      <c r="A1576" s="0" t="s">
        <v>2429</v>
      </c>
      <c r="B1576" s="0" t="s">
        <v>1327</v>
      </c>
      <c r="C1576" s="0" t="n">
        <v>1</v>
      </c>
      <c r="D1576" s="0" t="str">
        <f aca="false">IF(C1576=0,B1576,"")</f>
        <v/>
      </c>
      <c r="E1576" s="0" t="str">
        <f aca="false">IF(C1576=0,A1576,"")</f>
        <v/>
      </c>
    </row>
    <row r="1577" customFormat="false" ht="12.8" hidden="false" customHeight="false" outlineLevel="0" collapsed="false">
      <c r="A1577" s="0" t="s">
        <v>2430</v>
      </c>
      <c r="B1577" s="0" t="s">
        <v>1328</v>
      </c>
      <c r="C1577" s="0" t="n">
        <v>1</v>
      </c>
      <c r="D1577" s="0" t="str">
        <f aca="false">IF(C1577=0,B1577,"")</f>
        <v/>
      </c>
      <c r="E1577" s="0" t="str">
        <f aca="false">IF(C1577=0,A1577,"")</f>
        <v/>
      </c>
    </row>
    <row r="1578" customFormat="false" ht="12.8" hidden="false" customHeight="false" outlineLevel="0" collapsed="false">
      <c r="A1578" s="0" t="s">
        <v>2431</v>
      </c>
      <c r="B1578" s="0" t="s">
        <v>1329</v>
      </c>
      <c r="C1578" s="0" t="n">
        <v>1</v>
      </c>
      <c r="D1578" s="0" t="str">
        <f aca="false">IF(C1578=0,B1578,"")</f>
        <v/>
      </c>
      <c r="E1578" s="0" t="str">
        <f aca="false">IF(C1578=0,A1578,"")</f>
        <v/>
      </c>
    </row>
    <row r="1579" customFormat="false" ht="12.8" hidden="false" customHeight="false" outlineLevel="0" collapsed="false">
      <c r="A1579" s="0" t="s">
        <v>2432</v>
      </c>
      <c r="B1579" s="0" t="s">
        <v>1330</v>
      </c>
      <c r="C1579" s="0" t="n">
        <v>1</v>
      </c>
      <c r="D1579" s="0" t="str">
        <f aca="false">IF(C1579=0,B1579,"")</f>
        <v/>
      </c>
      <c r="E1579" s="0" t="str">
        <f aca="false">IF(C1579=0,A1579,"")</f>
        <v/>
      </c>
    </row>
    <row r="1580" customFormat="false" ht="12.8" hidden="false" customHeight="false" outlineLevel="0" collapsed="false">
      <c r="A1580" s="0" t="s">
        <v>2433</v>
      </c>
      <c r="B1580" s="0" t="s">
        <v>1331</v>
      </c>
      <c r="C1580" s="0" t="n">
        <v>1</v>
      </c>
      <c r="D1580" s="0" t="str">
        <f aca="false">IF(C1580=0,B1580,"")</f>
        <v/>
      </c>
      <c r="E1580" s="0" t="str">
        <f aca="false">IF(C1580=0,A1580,"")</f>
        <v/>
      </c>
    </row>
    <row r="1581" customFormat="false" ht="12.8" hidden="false" customHeight="false" outlineLevel="0" collapsed="false">
      <c r="A1581" s="0" t="s">
        <v>2434</v>
      </c>
      <c r="B1581" s="0" t="s">
        <v>1332</v>
      </c>
      <c r="C1581" s="0" t="n">
        <v>1</v>
      </c>
      <c r="D1581" s="0" t="str">
        <f aca="false">IF(C1581=0,B1581,"")</f>
        <v/>
      </c>
      <c r="E1581" s="0" t="str">
        <f aca="false">IF(C1581=0,A1581,"")</f>
        <v/>
      </c>
    </row>
    <row r="1582" customFormat="false" ht="12.8" hidden="false" customHeight="false" outlineLevel="0" collapsed="false">
      <c r="A1582" s="0" t="s">
        <v>2435</v>
      </c>
      <c r="B1582" s="0" t="s">
        <v>1332</v>
      </c>
      <c r="C1582" s="0" t="n">
        <v>1</v>
      </c>
      <c r="D1582" s="0" t="str">
        <f aca="false">IF(C1582=0,B1582,"")</f>
        <v/>
      </c>
      <c r="E1582" s="0" t="str">
        <f aca="false">IF(C1582=0,A1582,"")</f>
        <v/>
      </c>
    </row>
    <row r="1583" customFormat="false" ht="12.8" hidden="false" customHeight="false" outlineLevel="0" collapsed="false">
      <c r="A1583" s="0" t="s">
        <v>2436</v>
      </c>
      <c r="B1583" s="0" t="s">
        <v>1334</v>
      </c>
      <c r="C1583" s="0" t="n">
        <v>1</v>
      </c>
      <c r="D1583" s="0" t="str">
        <f aca="false">IF(C1583=0,B1583,"")</f>
        <v/>
      </c>
      <c r="E1583" s="0" t="str">
        <f aca="false">IF(C1583=0,A1583,"")</f>
        <v/>
      </c>
    </row>
    <row r="1584" customFormat="false" ht="12.8" hidden="false" customHeight="false" outlineLevel="0" collapsed="false">
      <c r="A1584" s="0" t="s">
        <v>2437</v>
      </c>
      <c r="B1584" s="0" t="s">
        <v>2501</v>
      </c>
      <c r="C1584" s="0" t="n">
        <v>1</v>
      </c>
      <c r="D1584" s="0" t="str">
        <f aca="false">IF(C1584=0,B1584,"")</f>
        <v/>
      </c>
      <c r="E1584" s="0" t="str">
        <f aca="false">IF(C1584=0,A1584,"")</f>
        <v/>
      </c>
    </row>
    <row r="1585" customFormat="false" ht="12.8" hidden="false" customHeight="false" outlineLevel="0" collapsed="false">
      <c r="A1585" s="0" t="s">
        <v>2438</v>
      </c>
      <c r="B1585" s="0" t="s">
        <v>3501</v>
      </c>
      <c r="C1585" s="0" t="n">
        <v>0</v>
      </c>
      <c r="D1585" s="0" t="str">
        <f aca="false">IF(C1585=0,B1585,"")</f>
        <v>댝</v>
      </c>
      <c r="E1585" s="0" t="str">
        <f aca="false">IF(C1585=0,A1585,"")</f>
        <v>쟉</v>
      </c>
    </row>
    <row r="1586" customFormat="false" ht="12.8" hidden="false" customHeight="false" outlineLevel="0" collapsed="false">
      <c r="A1586" s="0" t="s">
        <v>2439</v>
      </c>
      <c r="B1586" s="0" t="s">
        <v>3502</v>
      </c>
      <c r="C1586" s="0" t="n">
        <v>0</v>
      </c>
      <c r="D1586" s="0" t="str">
        <f aca="false">IF(C1586=0,B1586,"")</f>
        <v>댠</v>
      </c>
      <c r="E1586" s="0" t="str">
        <f aca="false">IF(C1586=0,A1586,"")</f>
        <v>쟌</v>
      </c>
    </row>
    <row r="1587" customFormat="false" ht="12.8" hidden="false" customHeight="false" outlineLevel="0" collapsed="false">
      <c r="A1587" s="0" t="s">
        <v>2440</v>
      </c>
      <c r="B1587" s="0" t="s">
        <v>3502</v>
      </c>
      <c r="C1587" s="0" t="n">
        <v>0</v>
      </c>
      <c r="D1587" s="0" t="str">
        <f aca="false">IF(C1587=0,B1587,"")</f>
        <v>댠</v>
      </c>
      <c r="E1587" s="0" t="str">
        <f aca="false">IF(C1587=0,A1587,"")</f>
        <v>쟎</v>
      </c>
    </row>
    <row r="1588" customFormat="false" ht="12.8" hidden="false" customHeight="false" outlineLevel="0" collapsed="false">
      <c r="A1588" s="0" t="s">
        <v>2441</v>
      </c>
      <c r="B1588" s="0" t="s">
        <v>3503</v>
      </c>
      <c r="C1588" s="0" t="n">
        <v>0</v>
      </c>
      <c r="D1588" s="0" t="str">
        <f aca="false">IF(C1588=0,B1588,"")</f>
        <v>댤</v>
      </c>
      <c r="E1588" s="0" t="str">
        <f aca="false">IF(C1588=0,A1588,"")</f>
        <v>쟐</v>
      </c>
    </row>
    <row r="1589" customFormat="false" ht="12.8" hidden="false" customHeight="false" outlineLevel="0" collapsed="false">
      <c r="A1589" s="0" t="s">
        <v>2442</v>
      </c>
      <c r="B1589" s="0" t="s">
        <v>3504</v>
      </c>
      <c r="C1589" s="0" t="n">
        <v>0</v>
      </c>
      <c r="D1589" s="0" t="str">
        <f aca="false">IF(C1589=0,B1589,"")</f>
        <v>댬</v>
      </c>
      <c r="E1589" s="0" t="str">
        <f aca="false">IF(C1589=0,A1589,"")</f>
        <v>쟘</v>
      </c>
    </row>
    <row r="1590" customFormat="false" ht="12.8" hidden="false" customHeight="false" outlineLevel="0" collapsed="false">
      <c r="A1590" s="0" t="s">
        <v>2443</v>
      </c>
      <c r="B1590" s="0" t="s">
        <v>3505</v>
      </c>
      <c r="C1590" s="0" t="n">
        <v>0</v>
      </c>
      <c r="D1590" s="0" t="str">
        <f aca="false">IF(C1590=0,B1590,"")</f>
        <v>댱</v>
      </c>
      <c r="E1590" s="0" t="str">
        <f aca="false">IF(C1590=0,A1590,"")</f>
        <v>쟝</v>
      </c>
    </row>
    <row r="1591" customFormat="false" ht="12.8" hidden="false" customHeight="false" outlineLevel="0" collapsed="false">
      <c r="A1591" s="0" t="s">
        <v>2444</v>
      </c>
      <c r="B1591" s="0" t="s">
        <v>2568</v>
      </c>
      <c r="C1591" s="0" t="n">
        <v>1</v>
      </c>
      <c r="D1591" s="0" t="str">
        <f aca="false">IF(C1591=0,B1591,"")</f>
        <v/>
      </c>
      <c r="E1591" s="0" t="str">
        <f aca="false">IF(C1591=0,A1591,"")</f>
        <v/>
      </c>
    </row>
    <row r="1592" customFormat="false" ht="12.8" hidden="false" customHeight="false" outlineLevel="0" collapsed="false">
      <c r="A1592" s="0" t="s">
        <v>2445</v>
      </c>
      <c r="B1592" s="0" t="s">
        <v>3506</v>
      </c>
      <c r="C1592" s="0" t="n">
        <v>0</v>
      </c>
      <c r="D1592" s="0" t="str">
        <f aca="false">IF(C1592=0,B1592,"")</f>
        <v>댼</v>
      </c>
      <c r="E1592" s="0" t="str">
        <f aca="false">IF(C1592=0,A1592,"")</f>
        <v>쟨</v>
      </c>
    </row>
    <row r="1593" customFormat="false" ht="12.8" hidden="false" customHeight="false" outlineLevel="0" collapsed="false">
      <c r="A1593" s="0" t="s">
        <v>2446</v>
      </c>
      <c r="B1593" s="0" t="s">
        <v>3507</v>
      </c>
      <c r="C1593" s="0" t="n">
        <v>0</v>
      </c>
      <c r="D1593" s="0" t="str">
        <f aca="false">IF(C1593=0,B1593,"")</f>
        <v>덀</v>
      </c>
      <c r="E1593" s="0" t="str">
        <f aca="false">IF(C1593=0,A1593,"")</f>
        <v>쟬</v>
      </c>
    </row>
    <row r="1594" customFormat="false" ht="12.8" hidden="false" customHeight="false" outlineLevel="0" collapsed="false">
      <c r="A1594" s="0" t="s">
        <v>2447</v>
      </c>
      <c r="B1594" s="0" t="s">
        <v>2505</v>
      </c>
      <c r="C1594" s="0" t="n">
        <v>1</v>
      </c>
      <c r="D1594" s="0" t="str">
        <f aca="false">IF(C1594=0,B1594,"")</f>
        <v/>
      </c>
      <c r="E1594" s="0" t="str">
        <f aca="false">IF(C1594=0,A1594,"")</f>
        <v/>
      </c>
    </row>
    <row r="1595" customFormat="false" ht="12.8" hidden="false" customHeight="false" outlineLevel="0" collapsed="false">
      <c r="A1595" s="0" t="s">
        <v>2448</v>
      </c>
      <c r="B1595" s="0" t="s">
        <v>1337</v>
      </c>
      <c r="C1595" s="0" t="n">
        <v>1</v>
      </c>
      <c r="D1595" s="0" t="str">
        <f aca="false">IF(C1595=0,B1595,"")</f>
        <v/>
      </c>
      <c r="E1595" s="0" t="str">
        <f aca="false">IF(C1595=0,A1595,"")</f>
        <v/>
      </c>
    </row>
    <row r="1596" customFormat="false" ht="12.8" hidden="false" customHeight="false" outlineLevel="0" collapsed="false">
      <c r="A1596" s="0" t="s">
        <v>2449</v>
      </c>
      <c r="B1596" s="0" t="s">
        <v>1339</v>
      </c>
      <c r="C1596" s="0" t="n">
        <v>1</v>
      </c>
      <c r="D1596" s="0" t="str">
        <f aca="false">IF(C1596=0,B1596,"")</f>
        <v/>
      </c>
      <c r="E1596" s="0" t="str">
        <f aca="false">IF(C1596=0,A1596,"")</f>
        <v/>
      </c>
    </row>
    <row r="1597" customFormat="false" ht="12.8" hidden="false" customHeight="false" outlineLevel="0" collapsed="false">
      <c r="A1597" s="0" t="s">
        <v>2450</v>
      </c>
      <c r="B1597" s="0" t="s">
        <v>1341</v>
      </c>
      <c r="C1597" s="0" t="n">
        <v>1</v>
      </c>
      <c r="D1597" s="0" t="str">
        <f aca="false">IF(C1597=0,B1597,"")</f>
        <v/>
      </c>
      <c r="E1597" s="0" t="str">
        <f aca="false">IF(C1597=0,A1597,"")</f>
        <v/>
      </c>
    </row>
    <row r="1598" customFormat="false" ht="12.8" hidden="false" customHeight="false" outlineLevel="0" collapsed="false">
      <c r="A1598" s="0" t="s">
        <v>2451</v>
      </c>
      <c r="B1598" s="0" t="s">
        <v>1341</v>
      </c>
      <c r="C1598" s="0" t="n">
        <v>1</v>
      </c>
      <c r="D1598" s="0" t="str">
        <f aca="false">IF(C1598=0,B1598,"")</f>
        <v/>
      </c>
      <c r="E1598" s="0" t="str">
        <f aca="false">IF(C1598=0,A1598,"")</f>
        <v/>
      </c>
    </row>
    <row r="1599" customFormat="false" ht="12.8" hidden="false" customHeight="false" outlineLevel="0" collapsed="false">
      <c r="A1599" s="0" t="s">
        <v>2452</v>
      </c>
      <c r="B1599" s="0" t="s">
        <v>1344</v>
      </c>
      <c r="C1599" s="0" t="n">
        <v>1</v>
      </c>
      <c r="D1599" s="0" t="str">
        <f aca="false">IF(C1599=0,B1599,"")</f>
        <v/>
      </c>
      <c r="E1599" s="0" t="str">
        <f aca="false">IF(C1599=0,A1599,"")</f>
        <v/>
      </c>
    </row>
    <row r="1600" customFormat="false" ht="12.8" hidden="false" customHeight="false" outlineLevel="0" collapsed="false">
      <c r="A1600" s="0" t="s">
        <v>2453</v>
      </c>
      <c r="B1600" s="0" t="s">
        <v>1345</v>
      </c>
      <c r="C1600" s="0" t="n">
        <v>1</v>
      </c>
      <c r="D1600" s="0" t="str">
        <f aca="false">IF(C1600=0,B1600,"")</f>
        <v/>
      </c>
      <c r="E1600" s="0" t="str">
        <f aca="false">IF(C1600=0,A1600,"")</f>
        <v/>
      </c>
    </row>
    <row r="1601" customFormat="false" ht="12.8" hidden="false" customHeight="false" outlineLevel="0" collapsed="false">
      <c r="A1601" s="0" t="s">
        <v>2454</v>
      </c>
      <c r="B1601" s="0" t="s">
        <v>1346</v>
      </c>
      <c r="C1601" s="0" t="n">
        <v>1</v>
      </c>
      <c r="D1601" s="0" t="str">
        <f aca="false">IF(C1601=0,B1601,"")</f>
        <v/>
      </c>
      <c r="E1601" s="0" t="str">
        <f aca="false">IF(C1601=0,A1601,"")</f>
        <v/>
      </c>
    </row>
    <row r="1602" customFormat="false" ht="12.8" hidden="false" customHeight="false" outlineLevel="0" collapsed="false">
      <c r="A1602" s="0" t="s">
        <v>2455</v>
      </c>
      <c r="B1602" s="0" t="s">
        <v>1347</v>
      </c>
      <c r="C1602" s="0" t="n">
        <v>1</v>
      </c>
      <c r="D1602" s="0" t="str">
        <f aca="false">IF(C1602=0,B1602,"")</f>
        <v/>
      </c>
      <c r="E1602" s="0" t="str">
        <f aca="false">IF(C1602=0,A1602,"")</f>
        <v/>
      </c>
    </row>
    <row r="1603" customFormat="false" ht="12.8" hidden="false" customHeight="false" outlineLevel="0" collapsed="false">
      <c r="A1603" s="0" t="s">
        <v>2456</v>
      </c>
      <c r="B1603" s="0" t="s">
        <v>1346</v>
      </c>
      <c r="C1603" s="0" t="n">
        <v>1</v>
      </c>
      <c r="D1603" s="0" t="str">
        <f aca="false">IF(C1603=0,B1603,"")</f>
        <v/>
      </c>
      <c r="E1603" s="0" t="str">
        <f aca="false">IF(C1603=0,A1603,"")</f>
        <v/>
      </c>
    </row>
    <row r="1604" customFormat="false" ht="12.8" hidden="false" customHeight="false" outlineLevel="0" collapsed="false">
      <c r="A1604" s="0" t="s">
        <v>2457</v>
      </c>
      <c r="B1604" s="0" t="s">
        <v>787</v>
      </c>
      <c r="C1604" s="0" t="n">
        <v>1</v>
      </c>
      <c r="D1604" s="0" t="str">
        <f aca="false">IF(C1604=0,B1604,"")</f>
        <v/>
      </c>
      <c r="E1604" s="0" t="str">
        <f aca="false">IF(C1604=0,A1604,"")</f>
        <v/>
      </c>
    </row>
    <row r="1605" customFormat="false" ht="12.8" hidden="false" customHeight="false" outlineLevel="0" collapsed="false">
      <c r="A1605" s="0" t="s">
        <v>2458</v>
      </c>
      <c r="B1605" s="0" t="s">
        <v>1351</v>
      </c>
      <c r="C1605" s="0" t="n">
        <v>1</v>
      </c>
      <c r="D1605" s="0" t="str">
        <f aca="false">IF(C1605=0,B1605,"")</f>
        <v/>
      </c>
      <c r="E1605" s="0" t="str">
        <f aca="false">IF(C1605=0,A1605,"")</f>
        <v/>
      </c>
    </row>
    <row r="1606" customFormat="false" ht="12.8" hidden="false" customHeight="false" outlineLevel="0" collapsed="false">
      <c r="A1606" s="0" t="s">
        <v>2459</v>
      </c>
      <c r="B1606" s="0" t="s">
        <v>1352</v>
      </c>
      <c r="C1606" s="0" t="n">
        <v>1</v>
      </c>
      <c r="D1606" s="0" t="str">
        <f aca="false">IF(C1606=0,B1606,"")</f>
        <v/>
      </c>
      <c r="E1606" s="0" t="str">
        <f aca="false">IF(C1606=0,A1606,"")</f>
        <v/>
      </c>
    </row>
    <row r="1607" customFormat="false" ht="12.8" hidden="false" customHeight="false" outlineLevel="0" collapsed="false">
      <c r="A1607" s="0" t="s">
        <v>2460</v>
      </c>
      <c r="B1607" s="0" t="s">
        <v>1353</v>
      </c>
      <c r="C1607" s="0" t="n">
        <v>1</v>
      </c>
      <c r="D1607" s="0" t="str">
        <f aca="false">IF(C1607=0,B1607,"")</f>
        <v/>
      </c>
      <c r="E1607" s="0" t="str">
        <f aca="false">IF(C1607=0,A1607,"")</f>
        <v/>
      </c>
    </row>
    <row r="1608" customFormat="false" ht="12.8" hidden="false" customHeight="false" outlineLevel="0" collapsed="false">
      <c r="A1608" s="0" t="s">
        <v>2461</v>
      </c>
      <c r="B1608" s="0" t="s">
        <v>1354</v>
      </c>
      <c r="C1608" s="0" t="n">
        <v>1</v>
      </c>
      <c r="D1608" s="0" t="str">
        <f aca="false">IF(C1608=0,B1608,"")</f>
        <v/>
      </c>
      <c r="E1608" s="0" t="str">
        <f aca="false">IF(C1608=0,A1608,"")</f>
        <v/>
      </c>
    </row>
    <row r="1609" customFormat="false" ht="12.8" hidden="false" customHeight="false" outlineLevel="0" collapsed="false">
      <c r="A1609" s="0" t="s">
        <v>2462</v>
      </c>
      <c r="B1609" s="0" t="s">
        <v>1355</v>
      </c>
      <c r="C1609" s="0" t="n">
        <v>1</v>
      </c>
      <c r="D1609" s="0" t="str">
        <f aca="false">IF(C1609=0,B1609,"")</f>
        <v/>
      </c>
      <c r="E1609" s="0" t="str">
        <f aca="false">IF(C1609=0,A1609,"")</f>
        <v/>
      </c>
    </row>
    <row r="1610" customFormat="false" ht="12.8" hidden="false" customHeight="false" outlineLevel="0" collapsed="false">
      <c r="A1610" s="0" t="s">
        <v>2463</v>
      </c>
      <c r="B1610" s="0" t="s">
        <v>1356</v>
      </c>
      <c r="C1610" s="0" t="n">
        <v>1</v>
      </c>
      <c r="D1610" s="0" t="str">
        <f aca="false">IF(C1610=0,B1610,"")</f>
        <v/>
      </c>
      <c r="E1610" s="0" t="str">
        <f aca="false">IF(C1610=0,A1610,"")</f>
        <v/>
      </c>
    </row>
    <row r="1611" customFormat="false" ht="12.8" hidden="false" customHeight="false" outlineLevel="0" collapsed="false">
      <c r="A1611" s="0" t="s">
        <v>2464</v>
      </c>
      <c r="B1611" s="0" t="s">
        <v>1358</v>
      </c>
      <c r="C1611" s="0" t="n">
        <v>1</v>
      </c>
      <c r="D1611" s="0" t="str">
        <f aca="false">IF(C1611=0,B1611,"")</f>
        <v/>
      </c>
      <c r="E1611" s="0" t="str">
        <f aca="false">IF(C1611=0,A1611,"")</f>
        <v/>
      </c>
    </row>
    <row r="1612" customFormat="false" ht="12.8" hidden="false" customHeight="false" outlineLevel="0" collapsed="false">
      <c r="A1612" s="0" t="s">
        <v>2465</v>
      </c>
      <c r="B1612" s="0" t="s">
        <v>2575</v>
      </c>
      <c r="C1612" s="0" t="n">
        <v>1</v>
      </c>
      <c r="D1612" s="0" t="str">
        <f aca="false">IF(C1612=0,B1612,"")</f>
        <v/>
      </c>
      <c r="E1612" s="0" t="str">
        <f aca="false">IF(C1612=0,A1612,"")</f>
        <v/>
      </c>
    </row>
    <row r="1613" customFormat="false" ht="12.8" hidden="false" customHeight="false" outlineLevel="0" collapsed="false">
      <c r="A1613" s="0" t="s">
        <v>2466</v>
      </c>
      <c r="B1613" s="0" t="s">
        <v>1360</v>
      </c>
      <c r="C1613" s="0" t="n">
        <v>1</v>
      </c>
      <c r="D1613" s="0" t="str">
        <f aca="false">IF(C1613=0,B1613,"")</f>
        <v/>
      </c>
      <c r="E1613" s="0" t="str">
        <f aca="false">IF(C1613=0,A1613,"")</f>
        <v/>
      </c>
    </row>
    <row r="1614" customFormat="false" ht="12.8" hidden="false" customHeight="false" outlineLevel="0" collapsed="false">
      <c r="A1614" s="0" t="s">
        <v>2467</v>
      </c>
      <c r="B1614" s="0" t="s">
        <v>1361</v>
      </c>
      <c r="C1614" s="0" t="n">
        <v>1</v>
      </c>
      <c r="D1614" s="0" t="str">
        <f aca="false">IF(C1614=0,B1614,"")</f>
        <v/>
      </c>
      <c r="E1614" s="0" t="str">
        <f aca="false">IF(C1614=0,A1614,"")</f>
        <v/>
      </c>
    </row>
    <row r="1615" customFormat="false" ht="12.8" hidden="false" customHeight="false" outlineLevel="0" collapsed="false">
      <c r="A1615" s="0" t="s">
        <v>2468</v>
      </c>
      <c r="B1615" s="0" t="s">
        <v>3508</v>
      </c>
      <c r="C1615" s="0" t="n">
        <v>0</v>
      </c>
      <c r="D1615" s="0" t="str">
        <f aca="false">IF(C1615=0,B1615,"")</f>
        <v>뎜</v>
      </c>
      <c r="E1615" s="0" t="str">
        <f aca="false">IF(C1615=0,A1615,"")</f>
        <v>졈</v>
      </c>
    </row>
    <row r="1616" customFormat="false" ht="12.8" hidden="false" customHeight="false" outlineLevel="0" collapsed="false">
      <c r="A1616" s="0" t="s">
        <v>2469</v>
      </c>
      <c r="B1616" s="0" t="s">
        <v>3509</v>
      </c>
      <c r="C1616" s="0" t="n">
        <v>0</v>
      </c>
      <c r="D1616" s="0" t="str">
        <f aca="false">IF(C1616=0,B1616,"")</f>
        <v>뎝</v>
      </c>
      <c r="E1616" s="0" t="str">
        <f aca="false">IF(C1616=0,A1616,"")</f>
        <v>졉</v>
      </c>
    </row>
    <row r="1617" customFormat="false" ht="12.8" hidden="false" customHeight="false" outlineLevel="0" collapsed="false">
      <c r="A1617" s="0" t="s">
        <v>2470</v>
      </c>
      <c r="B1617" s="0" t="s">
        <v>3510</v>
      </c>
      <c r="C1617" s="0" t="n">
        <v>0</v>
      </c>
      <c r="D1617" s="0" t="str">
        <f aca="false">IF(C1617=0,B1617,"")</f>
        <v>뎟</v>
      </c>
      <c r="E1617" s="0" t="str">
        <f aca="false">IF(C1617=0,A1617,"")</f>
        <v>졌</v>
      </c>
    </row>
    <row r="1618" customFormat="false" ht="12.8" hidden="false" customHeight="false" outlineLevel="0" collapsed="false">
      <c r="A1618" s="0" t="s">
        <v>2471</v>
      </c>
      <c r="B1618" s="0" t="s">
        <v>1363</v>
      </c>
      <c r="C1618" s="0" t="n">
        <v>1</v>
      </c>
      <c r="D1618" s="0" t="str">
        <f aca="false">IF(C1618=0,B1618,"")</f>
        <v/>
      </c>
      <c r="E1618" s="0" t="str">
        <f aca="false">IF(C1618=0,A1618,"")</f>
        <v/>
      </c>
    </row>
    <row r="1619" customFormat="false" ht="12.8" hidden="false" customHeight="false" outlineLevel="0" collapsed="false">
      <c r="A1619" s="0" t="s">
        <v>2472</v>
      </c>
      <c r="B1619" s="0" t="s">
        <v>2494</v>
      </c>
      <c r="C1619" s="0" t="n">
        <v>1</v>
      </c>
      <c r="D1619" s="0" t="str">
        <f aca="false">IF(C1619=0,B1619,"")</f>
        <v/>
      </c>
      <c r="E1619" s="0" t="str">
        <f aca="false">IF(C1619=0,A1619,"")</f>
        <v/>
      </c>
    </row>
    <row r="1620" customFormat="false" ht="12.8" hidden="false" customHeight="false" outlineLevel="0" collapsed="false">
      <c r="A1620" s="0" t="s">
        <v>2473</v>
      </c>
      <c r="B1620" s="0" t="s">
        <v>2447</v>
      </c>
      <c r="C1620" s="0" t="n">
        <v>1</v>
      </c>
      <c r="D1620" s="0" t="str">
        <f aca="false">IF(C1620=0,B1620,"")</f>
        <v/>
      </c>
      <c r="E1620" s="0" t="str">
        <f aca="false">IF(C1620=0,A1620,"")</f>
        <v/>
      </c>
    </row>
    <row r="1621" customFormat="false" ht="12.8" hidden="false" customHeight="false" outlineLevel="0" collapsed="false">
      <c r="A1621" s="0" t="s">
        <v>2474</v>
      </c>
      <c r="B1621" s="0" t="s">
        <v>1367</v>
      </c>
      <c r="C1621" s="0" t="n">
        <v>1</v>
      </c>
      <c r="D1621" s="0" t="str">
        <f aca="false">IF(C1621=0,B1621,"")</f>
        <v/>
      </c>
      <c r="E1621" s="0" t="str">
        <f aca="false">IF(C1621=0,A1621,"")</f>
        <v/>
      </c>
    </row>
    <row r="1622" customFormat="false" ht="12.8" hidden="false" customHeight="false" outlineLevel="0" collapsed="false">
      <c r="A1622" s="0" t="s">
        <v>2475</v>
      </c>
      <c r="B1622" s="0" t="s">
        <v>1368</v>
      </c>
      <c r="C1622" s="0" t="n">
        <v>1</v>
      </c>
      <c r="D1622" s="0" t="str">
        <f aca="false">IF(C1622=0,B1622,"")</f>
        <v/>
      </c>
      <c r="E1622" s="0" t="str">
        <f aca="false">IF(C1622=0,A1622,"")</f>
        <v/>
      </c>
    </row>
    <row r="1623" customFormat="false" ht="12.8" hidden="false" customHeight="false" outlineLevel="0" collapsed="false">
      <c r="A1623" s="0" t="s">
        <v>2476</v>
      </c>
      <c r="B1623" s="0" t="s">
        <v>1370</v>
      </c>
      <c r="C1623" s="0" t="n">
        <v>1</v>
      </c>
      <c r="D1623" s="0" t="str">
        <f aca="false">IF(C1623=0,B1623,"")</f>
        <v/>
      </c>
      <c r="E1623" s="0" t="str">
        <f aca="false">IF(C1623=0,A1623,"")</f>
        <v/>
      </c>
    </row>
    <row r="1624" customFormat="false" ht="12.8" hidden="false" customHeight="false" outlineLevel="0" collapsed="false">
      <c r="A1624" s="0" t="s">
        <v>2477</v>
      </c>
      <c r="B1624" s="0" t="s">
        <v>1370</v>
      </c>
      <c r="C1624" s="0" t="n">
        <v>1</v>
      </c>
      <c r="D1624" s="0" t="str">
        <f aca="false">IF(C1624=0,B1624,"")</f>
        <v/>
      </c>
      <c r="E1624" s="0" t="str">
        <f aca="false">IF(C1624=0,A1624,"")</f>
        <v/>
      </c>
    </row>
    <row r="1625" customFormat="false" ht="12.8" hidden="false" customHeight="false" outlineLevel="0" collapsed="false">
      <c r="A1625" s="0" t="s">
        <v>2478</v>
      </c>
      <c r="B1625" s="0" t="s">
        <v>1373</v>
      </c>
      <c r="C1625" s="0" t="n">
        <v>1</v>
      </c>
      <c r="D1625" s="0" t="str">
        <f aca="false">IF(C1625=0,B1625,"")</f>
        <v/>
      </c>
      <c r="E1625" s="0" t="str">
        <f aca="false">IF(C1625=0,A1625,"")</f>
        <v/>
      </c>
    </row>
    <row r="1626" customFormat="false" ht="12.8" hidden="false" customHeight="false" outlineLevel="0" collapsed="false">
      <c r="A1626" s="0" t="s">
        <v>2479</v>
      </c>
      <c r="B1626" s="0" t="s">
        <v>1374</v>
      </c>
      <c r="C1626" s="0" t="n">
        <v>1</v>
      </c>
      <c r="D1626" s="0" t="str">
        <f aca="false">IF(C1626=0,B1626,"")</f>
        <v/>
      </c>
      <c r="E1626" s="0" t="str">
        <f aca="false">IF(C1626=0,A1626,"")</f>
        <v/>
      </c>
    </row>
    <row r="1627" customFormat="false" ht="12.8" hidden="false" customHeight="false" outlineLevel="0" collapsed="false">
      <c r="A1627" s="0" t="s">
        <v>2480</v>
      </c>
      <c r="B1627" s="0" t="s">
        <v>1375</v>
      </c>
      <c r="C1627" s="0" t="n">
        <v>1</v>
      </c>
      <c r="D1627" s="0" t="str">
        <f aca="false">IF(C1627=0,B1627,"")</f>
        <v/>
      </c>
      <c r="E1627" s="0" t="str">
        <f aca="false">IF(C1627=0,A1627,"")</f>
        <v/>
      </c>
    </row>
    <row r="1628" customFormat="false" ht="12.8" hidden="false" customHeight="false" outlineLevel="0" collapsed="false">
      <c r="A1628" s="0" t="s">
        <v>2481</v>
      </c>
      <c r="B1628" s="0" t="s">
        <v>1376</v>
      </c>
      <c r="C1628" s="0" t="n">
        <v>1</v>
      </c>
      <c r="D1628" s="0" t="str">
        <f aca="false">IF(C1628=0,B1628,"")</f>
        <v/>
      </c>
      <c r="E1628" s="0" t="str">
        <f aca="false">IF(C1628=0,A1628,"")</f>
        <v/>
      </c>
    </row>
    <row r="1629" customFormat="false" ht="12.8" hidden="false" customHeight="false" outlineLevel="0" collapsed="false">
      <c r="A1629" s="0" t="s">
        <v>2482</v>
      </c>
      <c r="B1629" s="0" t="s">
        <v>1375</v>
      </c>
      <c r="C1629" s="0" t="n">
        <v>1</v>
      </c>
      <c r="D1629" s="0" t="str">
        <f aca="false">IF(C1629=0,B1629,"")</f>
        <v/>
      </c>
      <c r="E1629" s="0" t="str">
        <f aca="false">IF(C1629=0,A1629,"")</f>
        <v/>
      </c>
    </row>
    <row r="1630" customFormat="false" ht="12.8" hidden="false" customHeight="false" outlineLevel="0" collapsed="false">
      <c r="A1630" s="0" t="s">
        <v>2483</v>
      </c>
      <c r="B1630" s="0" t="s">
        <v>1375</v>
      </c>
      <c r="C1630" s="0" t="n">
        <v>1</v>
      </c>
      <c r="D1630" s="0" t="str">
        <f aca="false">IF(C1630=0,B1630,"")</f>
        <v/>
      </c>
      <c r="E1630" s="0" t="str">
        <f aca="false">IF(C1630=0,A1630,"")</f>
        <v/>
      </c>
    </row>
    <row r="1631" customFormat="false" ht="12.8" hidden="false" customHeight="false" outlineLevel="0" collapsed="false">
      <c r="A1631" s="0" t="s">
        <v>2484</v>
      </c>
      <c r="B1631" s="0" t="s">
        <v>1375</v>
      </c>
      <c r="C1631" s="0" t="n">
        <v>1</v>
      </c>
      <c r="D1631" s="0" t="str">
        <f aca="false">IF(C1631=0,B1631,"")</f>
        <v/>
      </c>
      <c r="E1631" s="0" t="str">
        <f aca="false">IF(C1631=0,A1631,"")</f>
        <v/>
      </c>
    </row>
    <row r="1632" customFormat="false" ht="12.8" hidden="false" customHeight="false" outlineLevel="0" collapsed="false">
      <c r="A1632" s="0" t="s">
        <v>2485</v>
      </c>
      <c r="B1632" s="0" t="s">
        <v>2472</v>
      </c>
      <c r="C1632" s="0" t="n">
        <v>1</v>
      </c>
      <c r="D1632" s="0" t="str">
        <f aca="false">IF(C1632=0,B1632,"")</f>
        <v/>
      </c>
      <c r="E1632" s="0" t="str">
        <f aca="false">IF(C1632=0,A1632,"")</f>
        <v/>
      </c>
    </row>
    <row r="1633" customFormat="false" ht="12.8" hidden="false" customHeight="false" outlineLevel="0" collapsed="false">
      <c r="A1633" s="0" t="s">
        <v>2486</v>
      </c>
      <c r="B1633" s="0" t="s">
        <v>3511</v>
      </c>
      <c r="C1633" s="0" t="n">
        <v>0</v>
      </c>
      <c r="D1633" s="0" t="str">
        <f aca="false">IF(C1633=0,B1633,"")</f>
        <v>돡</v>
      </c>
      <c r="E1633" s="0" t="str">
        <f aca="false">IF(C1633=0,A1633,"")</f>
        <v>좍</v>
      </c>
    </row>
    <row r="1634" customFormat="false" ht="12.8" hidden="false" customHeight="false" outlineLevel="0" collapsed="false">
      <c r="A1634" s="0" t="s">
        <v>2487</v>
      </c>
      <c r="B1634" s="0" t="s">
        <v>1381</v>
      </c>
      <c r="C1634" s="0" t="n">
        <v>1</v>
      </c>
      <c r="D1634" s="0" t="str">
        <f aca="false">IF(C1634=0,B1634,"")</f>
        <v/>
      </c>
      <c r="E1634" s="0" t="str">
        <f aca="false">IF(C1634=0,A1634,"")</f>
        <v/>
      </c>
    </row>
    <row r="1635" customFormat="false" ht="12.8" hidden="false" customHeight="false" outlineLevel="0" collapsed="false">
      <c r="A1635" s="0" t="s">
        <v>2488</v>
      </c>
      <c r="B1635" s="0" t="s">
        <v>3512</v>
      </c>
      <c r="C1635" s="0" t="n">
        <v>0</v>
      </c>
      <c r="D1635" s="0" t="str">
        <f aca="false">IF(C1635=0,B1635,"")</f>
        <v>돱</v>
      </c>
      <c r="E1635" s="0" t="str">
        <f aca="false">IF(C1635=0,A1635,"")</f>
        <v>좝</v>
      </c>
    </row>
    <row r="1636" customFormat="false" ht="12.8" hidden="false" customHeight="false" outlineLevel="0" collapsed="false">
      <c r="A1636" s="0" t="s">
        <v>2489</v>
      </c>
      <c r="B1636" s="0" t="s">
        <v>3513</v>
      </c>
      <c r="C1636" s="0" t="n">
        <v>0</v>
      </c>
      <c r="D1636" s="0" t="str">
        <f aca="false">IF(C1636=0,B1636,"")</f>
        <v>돳</v>
      </c>
      <c r="E1636" s="0" t="str">
        <f aca="false">IF(C1636=0,A1636,"")</f>
        <v>좟</v>
      </c>
    </row>
    <row r="1637" customFormat="false" ht="12.8" hidden="false" customHeight="false" outlineLevel="0" collapsed="false">
      <c r="A1637" s="0" t="s">
        <v>2490</v>
      </c>
      <c r="B1637" s="0" t="s">
        <v>3514</v>
      </c>
      <c r="C1637" s="0" t="n">
        <v>0</v>
      </c>
      <c r="D1637" s="0" t="str">
        <f aca="false">IF(C1637=0,B1637,"")</f>
        <v>돵</v>
      </c>
      <c r="E1637" s="0" t="str">
        <f aca="false">IF(C1637=0,A1637,"")</f>
        <v>좡</v>
      </c>
    </row>
    <row r="1638" customFormat="false" ht="12.8" hidden="false" customHeight="false" outlineLevel="0" collapsed="false">
      <c r="A1638" s="0" t="s">
        <v>2491</v>
      </c>
      <c r="B1638" s="0" t="s">
        <v>2444</v>
      </c>
      <c r="C1638" s="0" t="n">
        <v>1</v>
      </c>
      <c r="D1638" s="0" t="str">
        <f aca="false">IF(C1638=0,B1638,"")</f>
        <v/>
      </c>
      <c r="E1638" s="0" t="str">
        <f aca="false">IF(C1638=0,A1638,"")</f>
        <v/>
      </c>
    </row>
    <row r="1639" customFormat="false" ht="12.8" hidden="false" customHeight="false" outlineLevel="0" collapsed="false">
      <c r="A1639" s="0" t="s">
        <v>2492</v>
      </c>
      <c r="B1639" s="0" t="s">
        <v>3515</v>
      </c>
      <c r="C1639" s="0" t="n">
        <v>0</v>
      </c>
      <c r="D1639" s="0" t="str">
        <f aca="false">IF(C1639=0,B1639,"")</f>
        <v>됏</v>
      </c>
      <c r="E1639" s="0" t="str">
        <f aca="false">IF(C1639=0,A1639,"")</f>
        <v>좼</v>
      </c>
    </row>
    <row r="1640" customFormat="false" ht="12.8" hidden="false" customHeight="false" outlineLevel="0" collapsed="false">
      <c r="A1640" s="0" t="s">
        <v>2493</v>
      </c>
      <c r="B1640" s="0" t="s">
        <v>3516</v>
      </c>
      <c r="C1640" s="0" t="n">
        <v>0</v>
      </c>
      <c r="D1640" s="0" t="str">
        <f aca="false">IF(C1640=0,B1640,"")</f>
        <v>됑</v>
      </c>
      <c r="E1640" s="0" t="str">
        <f aca="false">IF(C1640=0,A1640,"")</f>
        <v>좽</v>
      </c>
    </row>
    <row r="1641" customFormat="false" ht="12.8" hidden="false" customHeight="false" outlineLevel="0" collapsed="false">
      <c r="A1641" s="0" t="s">
        <v>2494</v>
      </c>
      <c r="B1641" s="0" t="s">
        <v>2515</v>
      </c>
      <c r="C1641" s="0" t="n">
        <v>1</v>
      </c>
      <c r="D1641" s="0" t="str">
        <f aca="false">IF(C1641=0,B1641,"")</f>
        <v/>
      </c>
      <c r="E1641" s="0" t="str">
        <f aca="false">IF(C1641=0,A1641,"")</f>
        <v/>
      </c>
    </row>
    <row r="1642" customFormat="false" ht="12.8" hidden="false" customHeight="false" outlineLevel="0" collapsed="false">
      <c r="A1642" s="0" t="s">
        <v>2495</v>
      </c>
      <c r="B1642" s="0" t="s">
        <v>1385</v>
      </c>
      <c r="C1642" s="0" t="n">
        <v>1</v>
      </c>
      <c r="D1642" s="0" t="str">
        <f aca="false">IF(C1642=0,B1642,"")</f>
        <v/>
      </c>
      <c r="E1642" s="0" t="str">
        <f aca="false">IF(C1642=0,A1642,"")</f>
        <v/>
      </c>
    </row>
    <row r="1643" customFormat="false" ht="12.8" hidden="false" customHeight="false" outlineLevel="0" collapsed="false">
      <c r="A1643" s="0" t="s">
        <v>2496</v>
      </c>
      <c r="B1643" s="0" t="s">
        <v>1386</v>
      </c>
      <c r="C1643" s="0" t="n">
        <v>1</v>
      </c>
      <c r="D1643" s="0" t="str">
        <f aca="false">IF(C1643=0,B1643,"")</f>
        <v/>
      </c>
      <c r="E1643" s="0" t="str">
        <f aca="false">IF(C1643=0,A1643,"")</f>
        <v/>
      </c>
    </row>
    <row r="1644" customFormat="false" ht="12.8" hidden="false" customHeight="false" outlineLevel="0" collapsed="false">
      <c r="A1644" s="0" t="s">
        <v>2497</v>
      </c>
      <c r="B1644" s="0" t="s">
        <v>1387</v>
      </c>
      <c r="C1644" s="0" t="n">
        <v>1</v>
      </c>
      <c r="D1644" s="0" t="str">
        <f aca="false">IF(C1644=0,B1644,"")</f>
        <v/>
      </c>
      <c r="E1644" s="0" t="str">
        <f aca="false">IF(C1644=0,A1644,"")</f>
        <v/>
      </c>
    </row>
    <row r="1645" customFormat="false" ht="12.8" hidden="false" customHeight="false" outlineLevel="0" collapsed="false">
      <c r="A1645" s="0" t="s">
        <v>2498</v>
      </c>
      <c r="B1645" s="0" t="s">
        <v>1388</v>
      </c>
      <c r="C1645" s="0" t="n">
        <v>1</v>
      </c>
      <c r="D1645" s="0" t="str">
        <f aca="false">IF(C1645=0,B1645,"")</f>
        <v/>
      </c>
      <c r="E1645" s="0" t="str">
        <f aca="false">IF(C1645=0,A1645,"")</f>
        <v/>
      </c>
    </row>
    <row r="1646" customFormat="false" ht="12.8" hidden="false" customHeight="false" outlineLevel="0" collapsed="false">
      <c r="A1646" s="0" t="s">
        <v>2499</v>
      </c>
      <c r="B1646" s="0" t="s">
        <v>1389</v>
      </c>
      <c r="C1646" s="0" t="n">
        <v>1</v>
      </c>
      <c r="D1646" s="0" t="str">
        <f aca="false">IF(C1646=0,B1646,"")</f>
        <v/>
      </c>
      <c r="E1646" s="0" t="str">
        <f aca="false">IF(C1646=0,A1646,"")</f>
        <v/>
      </c>
    </row>
    <row r="1647" customFormat="false" ht="12.8" hidden="false" customHeight="false" outlineLevel="0" collapsed="false">
      <c r="A1647" s="0" t="s">
        <v>2500</v>
      </c>
      <c r="B1647" s="0" t="s">
        <v>3517</v>
      </c>
      <c r="C1647" s="0" t="n">
        <v>0</v>
      </c>
      <c r="D1647" s="0" t="str">
        <f aca="false">IF(C1647=0,B1647,"")</f>
        <v>됭</v>
      </c>
      <c r="E1647" s="0" t="str">
        <f aca="false">IF(C1647=0,A1647,"")</f>
        <v>죙</v>
      </c>
    </row>
    <row r="1648" customFormat="false" ht="12.8" hidden="false" customHeight="false" outlineLevel="0" collapsed="false">
      <c r="A1648" s="0" t="s">
        <v>2501</v>
      </c>
      <c r="B1648" s="0" t="s">
        <v>2465</v>
      </c>
      <c r="C1648" s="0" t="n">
        <v>1</v>
      </c>
      <c r="D1648" s="0" t="str">
        <f aca="false">IF(C1648=0,B1648,"")</f>
        <v/>
      </c>
      <c r="E1648" s="0" t="str">
        <f aca="false">IF(C1648=0,A1648,"")</f>
        <v/>
      </c>
    </row>
    <row r="1649" customFormat="false" ht="12.8" hidden="false" customHeight="false" outlineLevel="0" collapsed="false">
      <c r="A1649" s="0" t="s">
        <v>2502</v>
      </c>
      <c r="B1649" s="0" t="s">
        <v>3518</v>
      </c>
      <c r="C1649" s="0" t="n">
        <v>0</v>
      </c>
      <c r="D1649" s="0" t="str">
        <f aca="false">IF(C1649=0,B1649,"")</f>
        <v>됵</v>
      </c>
      <c r="E1649" s="0" t="str">
        <f aca="false">IF(C1649=0,A1649,"")</f>
        <v>죡</v>
      </c>
    </row>
    <row r="1650" customFormat="false" ht="12.8" hidden="false" customHeight="false" outlineLevel="0" collapsed="false">
      <c r="A1650" s="0" t="s">
        <v>2503</v>
      </c>
      <c r="B1650" s="0" t="s">
        <v>3519</v>
      </c>
      <c r="C1650" s="0" t="n">
        <v>0</v>
      </c>
      <c r="D1650" s="0" t="str">
        <f aca="false">IF(C1650=0,B1650,"")</f>
        <v>됸</v>
      </c>
      <c r="E1650" s="0" t="str">
        <f aca="false">IF(C1650=0,A1650,"")</f>
        <v>죤</v>
      </c>
    </row>
    <row r="1651" customFormat="false" ht="12.8" hidden="false" customHeight="false" outlineLevel="0" collapsed="false">
      <c r="A1651" s="0" t="s">
        <v>2504</v>
      </c>
      <c r="B1651" s="0" t="s">
        <v>3520</v>
      </c>
      <c r="C1651" s="0" t="n">
        <v>0</v>
      </c>
      <c r="D1651" s="0" t="str">
        <f aca="false">IF(C1651=0,B1651,"")</f>
        <v>둉</v>
      </c>
      <c r="E1651" s="0" t="str">
        <f aca="false">IF(C1651=0,A1651,"")</f>
        <v>죵</v>
      </c>
    </row>
    <row r="1652" customFormat="false" ht="12.8" hidden="false" customHeight="false" outlineLevel="0" collapsed="false">
      <c r="A1652" s="0" t="s">
        <v>2505</v>
      </c>
      <c r="B1652" s="0" t="s">
        <v>2457</v>
      </c>
      <c r="C1652" s="0" t="n">
        <v>1</v>
      </c>
      <c r="D1652" s="0" t="str">
        <f aca="false">IF(C1652=0,B1652,"")</f>
        <v/>
      </c>
      <c r="E1652" s="0" t="str">
        <f aca="false">IF(C1652=0,A1652,"")</f>
        <v/>
      </c>
    </row>
    <row r="1653" customFormat="false" ht="12.8" hidden="false" customHeight="false" outlineLevel="0" collapsed="false">
      <c r="A1653" s="0" t="s">
        <v>2506</v>
      </c>
      <c r="B1653" s="0" t="s">
        <v>1392</v>
      </c>
      <c r="C1653" s="0" t="n">
        <v>1</v>
      </c>
      <c r="D1653" s="0" t="str">
        <f aca="false">IF(C1653=0,B1653,"")</f>
        <v/>
      </c>
      <c r="E1653" s="0" t="str">
        <f aca="false">IF(C1653=0,A1653,"")</f>
        <v/>
      </c>
    </row>
    <row r="1654" customFormat="false" ht="12.8" hidden="false" customHeight="false" outlineLevel="0" collapsed="false">
      <c r="A1654" s="0" t="s">
        <v>2507</v>
      </c>
      <c r="B1654" s="0" t="s">
        <v>1393</v>
      </c>
      <c r="C1654" s="0" t="n">
        <v>1</v>
      </c>
      <c r="D1654" s="0" t="str">
        <f aca="false">IF(C1654=0,B1654,"")</f>
        <v/>
      </c>
      <c r="E1654" s="0" t="str">
        <f aca="false">IF(C1654=0,A1654,"")</f>
        <v/>
      </c>
    </row>
    <row r="1655" customFormat="false" ht="12.8" hidden="false" customHeight="false" outlineLevel="0" collapsed="false">
      <c r="A1655" s="0" t="s">
        <v>2508</v>
      </c>
      <c r="B1655" s="0" t="s">
        <v>1394</v>
      </c>
      <c r="C1655" s="0" t="n">
        <v>1</v>
      </c>
      <c r="D1655" s="0" t="str">
        <f aca="false">IF(C1655=0,B1655,"")</f>
        <v/>
      </c>
      <c r="E1655" s="0" t="str">
        <f aca="false">IF(C1655=0,A1655,"")</f>
        <v/>
      </c>
    </row>
    <row r="1656" customFormat="false" ht="12.8" hidden="false" customHeight="false" outlineLevel="0" collapsed="false">
      <c r="A1656" s="0" t="s">
        <v>2509</v>
      </c>
      <c r="B1656" s="0" t="s">
        <v>1394</v>
      </c>
      <c r="C1656" s="0" t="n">
        <v>1</v>
      </c>
      <c r="D1656" s="0" t="str">
        <f aca="false">IF(C1656=0,B1656,"")</f>
        <v/>
      </c>
      <c r="E1656" s="0" t="str">
        <f aca="false">IF(C1656=0,A1656,"")</f>
        <v/>
      </c>
    </row>
    <row r="1657" customFormat="false" ht="12.8" hidden="false" customHeight="false" outlineLevel="0" collapsed="false">
      <c r="A1657" s="0" t="s">
        <v>2510</v>
      </c>
      <c r="B1657" s="0" t="s">
        <v>1394</v>
      </c>
      <c r="C1657" s="0" t="n">
        <v>1</v>
      </c>
      <c r="D1657" s="0" t="str">
        <f aca="false">IF(C1657=0,B1657,"")</f>
        <v/>
      </c>
      <c r="E1657" s="0" t="str">
        <f aca="false">IF(C1657=0,A1657,"")</f>
        <v/>
      </c>
    </row>
    <row r="1658" customFormat="false" ht="12.8" hidden="false" customHeight="false" outlineLevel="0" collapsed="false">
      <c r="A1658" s="0" t="s">
        <v>2511</v>
      </c>
      <c r="B1658" s="0" t="s">
        <v>1395</v>
      </c>
      <c r="C1658" s="0" t="n">
        <v>1</v>
      </c>
      <c r="D1658" s="0" t="str">
        <f aca="false">IF(C1658=0,B1658,"")</f>
        <v/>
      </c>
      <c r="E1658" s="0" t="str">
        <f aca="false">IF(C1658=0,A1658,"")</f>
        <v/>
      </c>
    </row>
    <row r="1659" customFormat="false" ht="12.8" hidden="false" customHeight="false" outlineLevel="0" collapsed="false">
      <c r="A1659" s="0" t="s">
        <v>2512</v>
      </c>
      <c r="B1659" s="0" t="s">
        <v>1396</v>
      </c>
      <c r="C1659" s="0" t="n">
        <v>1</v>
      </c>
      <c r="D1659" s="0" t="str">
        <f aca="false">IF(C1659=0,B1659,"")</f>
        <v/>
      </c>
      <c r="E1659" s="0" t="str">
        <f aca="false">IF(C1659=0,A1659,"")</f>
        <v/>
      </c>
    </row>
    <row r="1660" customFormat="false" ht="12.8" hidden="false" customHeight="false" outlineLevel="0" collapsed="false">
      <c r="A1660" s="0" t="s">
        <v>2513</v>
      </c>
      <c r="B1660" s="0" t="s">
        <v>1397</v>
      </c>
      <c r="C1660" s="0" t="n">
        <v>1</v>
      </c>
      <c r="D1660" s="0" t="str">
        <f aca="false">IF(C1660=0,B1660,"")</f>
        <v/>
      </c>
      <c r="E1660" s="0" t="str">
        <f aca="false">IF(C1660=0,A1660,"")</f>
        <v/>
      </c>
    </row>
    <row r="1661" customFormat="false" ht="12.8" hidden="false" customHeight="false" outlineLevel="0" collapsed="false">
      <c r="A1661" s="0" t="s">
        <v>2514</v>
      </c>
      <c r="B1661" s="0" t="s">
        <v>1398</v>
      </c>
      <c r="C1661" s="0" t="n">
        <v>1</v>
      </c>
      <c r="D1661" s="0" t="str">
        <f aca="false">IF(C1661=0,B1661,"")</f>
        <v/>
      </c>
      <c r="E1661" s="0" t="str">
        <f aca="false">IF(C1661=0,A1661,"")</f>
        <v/>
      </c>
    </row>
    <row r="1662" customFormat="false" ht="12.8" hidden="false" customHeight="false" outlineLevel="0" collapsed="false">
      <c r="A1662" s="0" t="s">
        <v>2515</v>
      </c>
      <c r="B1662" s="0" t="s">
        <v>2485</v>
      </c>
      <c r="C1662" s="0" t="n">
        <v>1</v>
      </c>
      <c r="D1662" s="0" t="str">
        <f aca="false">IF(C1662=0,B1662,"")</f>
        <v/>
      </c>
      <c r="E1662" s="0" t="str">
        <f aca="false">IF(C1662=0,A1662,"")</f>
        <v/>
      </c>
    </row>
    <row r="1663" customFormat="false" ht="12.8" hidden="false" customHeight="false" outlineLevel="0" collapsed="false">
      <c r="A1663" s="0" t="s">
        <v>2516</v>
      </c>
      <c r="B1663" s="0" t="s">
        <v>3521</v>
      </c>
      <c r="C1663" s="0" t="n">
        <v>0</v>
      </c>
      <c r="D1663" s="0" t="str">
        <f aca="false">IF(C1663=0,B1663,"")</f>
        <v>둿</v>
      </c>
      <c r="E1663" s="0" t="str">
        <f aca="false">IF(C1663=0,A1663,"")</f>
        <v>줬</v>
      </c>
    </row>
    <row r="1664" customFormat="false" ht="12.8" hidden="false" customHeight="false" outlineLevel="0" collapsed="false">
      <c r="A1664" s="0" t="s">
        <v>2517</v>
      </c>
      <c r="B1664" s="0" t="s">
        <v>2491</v>
      </c>
      <c r="C1664" s="0" t="n">
        <v>1</v>
      </c>
      <c r="D1664" s="0" t="str">
        <f aca="false">IF(C1664=0,B1664,"")</f>
        <v/>
      </c>
      <c r="E1664" s="0" t="str">
        <f aca="false">IF(C1664=0,A1664,"")</f>
        <v/>
      </c>
    </row>
    <row r="1665" customFormat="false" ht="12.8" hidden="false" customHeight="false" outlineLevel="0" collapsed="false">
      <c r="A1665" s="0" t="s">
        <v>2518</v>
      </c>
      <c r="B1665" s="20" t="s">
        <v>3522</v>
      </c>
      <c r="C1665" s="0" t="n">
        <v>1</v>
      </c>
      <c r="D1665" s="0" t="str">
        <f aca="false">IF(C1665=0,B1665,"")</f>
        <v/>
      </c>
      <c r="E1665" s="0" t="str">
        <f aca="false">IF(C1665=0,A1665,"")</f>
        <v/>
      </c>
    </row>
    <row r="1666" customFormat="false" ht="12.8" hidden="false" customHeight="false" outlineLevel="0" collapsed="false">
      <c r="A1666" s="0" t="s">
        <v>2519</v>
      </c>
      <c r="B1666" s="20" t="s">
        <v>3522</v>
      </c>
      <c r="C1666" s="0" t="n">
        <v>1</v>
      </c>
      <c r="D1666" s="0" t="str">
        <f aca="false">IF(C1666=0,B1666,"")</f>
        <v/>
      </c>
      <c r="E1666" s="0" t="str">
        <f aca="false">IF(C1666=0,A1666,"")</f>
        <v/>
      </c>
    </row>
    <row r="1667" customFormat="false" ht="12.8" hidden="false" customHeight="false" outlineLevel="0" collapsed="false">
      <c r="A1667" s="0" t="s">
        <v>2520</v>
      </c>
      <c r="B1667" s="20" t="s">
        <v>3522</v>
      </c>
      <c r="C1667" s="0" t="n">
        <v>1</v>
      </c>
      <c r="D1667" s="0" t="str">
        <f aca="false">IF(C1667=0,B1667,"")</f>
        <v/>
      </c>
      <c r="E1667" s="0" t="str">
        <f aca="false">IF(C1667=0,A1667,"")</f>
        <v/>
      </c>
    </row>
    <row r="1668" customFormat="false" ht="12.8" hidden="false" customHeight="false" outlineLevel="0" collapsed="false">
      <c r="A1668" s="0" t="s">
        <v>2521</v>
      </c>
      <c r="B1668" s="20" t="s">
        <v>3522</v>
      </c>
      <c r="C1668" s="0" t="n">
        <v>1</v>
      </c>
      <c r="D1668" s="0" t="str">
        <f aca="false">IF(C1668=0,B1668,"")</f>
        <v/>
      </c>
      <c r="E1668" s="0" t="str">
        <f aca="false">IF(C1668=0,A1668,"")</f>
        <v/>
      </c>
    </row>
    <row r="1669" customFormat="false" ht="12.8" hidden="false" customHeight="false" outlineLevel="0" collapsed="false">
      <c r="A1669" s="0" t="s">
        <v>8</v>
      </c>
      <c r="B1669" s="20" t="s">
        <v>3522</v>
      </c>
      <c r="C1669" s="0" t="n">
        <v>1</v>
      </c>
      <c r="D1669" s="0" t="str">
        <f aca="false">IF(C1669=0,B1669,"")</f>
        <v/>
      </c>
      <c r="E1669" s="0" t="str">
        <f aca="false">IF(C1669=0,A1669,"")</f>
        <v/>
      </c>
    </row>
    <row r="1670" customFormat="false" ht="12.8" hidden="false" customHeight="false" outlineLevel="0" collapsed="false">
      <c r="A1670" s="0" t="s">
        <v>2522</v>
      </c>
      <c r="B1670" s="20" t="s">
        <v>3522</v>
      </c>
      <c r="C1670" s="0" t="n">
        <v>1</v>
      </c>
      <c r="D1670" s="0" t="str">
        <f aca="false">IF(C1670=0,B1670,"")</f>
        <v/>
      </c>
      <c r="E1670" s="0" t="str">
        <f aca="false">IF(C1670=0,A1670,"")</f>
        <v/>
      </c>
    </row>
    <row r="1671" customFormat="false" ht="12.8" hidden="false" customHeight="false" outlineLevel="0" collapsed="false">
      <c r="A1671" s="0" t="s">
        <v>2523</v>
      </c>
      <c r="B1671" s="20" t="s">
        <v>3522</v>
      </c>
      <c r="C1671" s="0" t="n">
        <v>1</v>
      </c>
      <c r="D1671" s="0" t="str">
        <f aca="false">IF(C1671=0,B1671,"")</f>
        <v/>
      </c>
      <c r="E1671" s="0" t="str">
        <f aca="false">IF(C1671=0,A1671,"")</f>
        <v/>
      </c>
    </row>
    <row r="1672" customFormat="false" ht="12.8" hidden="false" customHeight="false" outlineLevel="0" collapsed="false">
      <c r="A1672" s="0" t="s">
        <v>2524</v>
      </c>
      <c r="B1672" s="20" t="s">
        <v>3522</v>
      </c>
      <c r="C1672" s="0" t="n">
        <v>1</v>
      </c>
      <c r="D1672" s="0" t="str">
        <f aca="false">IF(C1672=0,B1672,"")</f>
        <v/>
      </c>
      <c r="E1672" s="0" t="str">
        <f aca="false">IF(C1672=0,A1672,"")</f>
        <v/>
      </c>
    </row>
    <row r="1673" customFormat="false" ht="12.8" hidden="false" customHeight="false" outlineLevel="0" collapsed="false">
      <c r="A1673" s="0" t="s">
        <v>2525</v>
      </c>
      <c r="B1673" s="20" t="s">
        <v>3522</v>
      </c>
      <c r="C1673" s="0" t="n">
        <v>1</v>
      </c>
      <c r="D1673" s="0" t="str">
        <f aca="false">IF(C1673=0,B1673,"")</f>
        <v/>
      </c>
      <c r="E1673" s="0" t="str">
        <f aca="false">IF(C1673=0,A1673,"")</f>
        <v/>
      </c>
    </row>
    <row r="1674" customFormat="false" ht="12.8" hidden="false" customHeight="false" outlineLevel="0" collapsed="false">
      <c r="A1674" s="0" t="s">
        <v>2526</v>
      </c>
      <c r="B1674" s="20" t="s">
        <v>3522</v>
      </c>
      <c r="C1674" s="0" t="n">
        <v>1</v>
      </c>
      <c r="D1674" s="0" t="str">
        <f aca="false">IF(C1674=0,B1674,"")</f>
        <v/>
      </c>
      <c r="E1674" s="0" t="str">
        <f aca="false">IF(C1674=0,A1674,"")</f>
        <v/>
      </c>
    </row>
    <row r="1675" customFormat="false" ht="12.8" hidden="false" customHeight="false" outlineLevel="0" collapsed="false">
      <c r="A1675" s="0" t="s">
        <v>2527</v>
      </c>
      <c r="B1675" s="20" t="s">
        <v>3522</v>
      </c>
      <c r="C1675" s="0" t="n">
        <v>1</v>
      </c>
      <c r="D1675" s="0" t="str">
        <f aca="false">IF(C1675=0,B1675,"")</f>
        <v/>
      </c>
      <c r="E1675" s="0" t="str">
        <f aca="false">IF(C1675=0,A1675,"")</f>
        <v/>
      </c>
    </row>
    <row r="1676" customFormat="false" ht="12.8" hidden="false" customHeight="false" outlineLevel="0" collapsed="false">
      <c r="A1676" s="0" t="s">
        <v>2528</v>
      </c>
      <c r="B1676" s="20" t="s">
        <v>3522</v>
      </c>
      <c r="C1676" s="0" t="n">
        <v>1</v>
      </c>
      <c r="D1676" s="0" t="str">
        <f aca="false">IF(C1676=0,B1676,"")</f>
        <v/>
      </c>
      <c r="E1676" s="0" t="str">
        <f aca="false">IF(C1676=0,A1676,"")</f>
        <v/>
      </c>
    </row>
    <row r="1677" customFormat="false" ht="12.8" hidden="false" customHeight="false" outlineLevel="0" collapsed="false">
      <c r="A1677" s="0" t="s">
        <v>2529</v>
      </c>
      <c r="B1677" s="20" t="s">
        <v>3522</v>
      </c>
      <c r="C1677" s="0" t="n">
        <v>1</v>
      </c>
      <c r="D1677" s="0" t="str">
        <f aca="false">IF(C1677=0,B1677,"")</f>
        <v/>
      </c>
      <c r="E1677" s="0" t="str">
        <f aca="false">IF(C1677=0,A1677,"")</f>
        <v/>
      </c>
    </row>
    <row r="1678" customFormat="false" ht="12.8" hidden="false" customHeight="false" outlineLevel="0" collapsed="false">
      <c r="A1678" s="0" t="s">
        <v>2530</v>
      </c>
      <c r="B1678" s="20" t="s">
        <v>3522</v>
      </c>
      <c r="C1678" s="0" t="n">
        <v>1</v>
      </c>
      <c r="D1678" s="0" t="str">
        <f aca="false">IF(C1678=0,B1678,"")</f>
        <v/>
      </c>
      <c r="E1678" s="0" t="str">
        <f aca="false">IF(C1678=0,A1678,"")</f>
        <v/>
      </c>
    </row>
    <row r="1679" customFormat="false" ht="12.8" hidden="false" customHeight="false" outlineLevel="0" collapsed="false">
      <c r="A1679" s="0" t="s">
        <v>2531</v>
      </c>
      <c r="B1679" s="20" t="s">
        <v>3522</v>
      </c>
      <c r="C1679" s="0" t="n">
        <v>1</v>
      </c>
      <c r="D1679" s="0" t="str">
        <f aca="false">IF(C1679=0,B1679,"")</f>
        <v/>
      </c>
      <c r="E1679" s="0" t="str">
        <f aca="false">IF(C1679=0,A1679,"")</f>
        <v/>
      </c>
    </row>
    <row r="1680" customFormat="false" ht="12.8" hidden="false" customHeight="false" outlineLevel="0" collapsed="false">
      <c r="A1680" s="0" t="s">
        <v>2532</v>
      </c>
      <c r="B1680" s="20" t="s">
        <v>3522</v>
      </c>
      <c r="C1680" s="0" t="n">
        <v>1</v>
      </c>
      <c r="D1680" s="0" t="str">
        <f aca="false">IF(C1680=0,B1680,"")</f>
        <v/>
      </c>
      <c r="E1680" s="0" t="str">
        <f aca="false">IF(C1680=0,A1680,"")</f>
        <v/>
      </c>
    </row>
    <row r="1681" customFormat="false" ht="12.8" hidden="false" customHeight="false" outlineLevel="0" collapsed="false">
      <c r="A1681" s="0" t="s">
        <v>2533</v>
      </c>
      <c r="B1681" s="20" t="s">
        <v>3522</v>
      </c>
      <c r="C1681" s="0" t="n">
        <v>1</v>
      </c>
      <c r="D1681" s="0" t="str">
        <f aca="false">IF(C1681=0,B1681,"")</f>
        <v/>
      </c>
      <c r="E1681" s="0" t="str">
        <f aca="false">IF(C1681=0,A1681,"")</f>
        <v/>
      </c>
    </row>
    <row r="1682" customFormat="false" ht="12.8" hidden="false" customHeight="false" outlineLevel="0" collapsed="false">
      <c r="A1682" s="0" t="s">
        <v>2534</v>
      </c>
      <c r="B1682" s="20" t="s">
        <v>3522</v>
      </c>
      <c r="C1682" s="0" t="n">
        <v>1</v>
      </c>
      <c r="D1682" s="0" t="str">
        <f aca="false">IF(C1682=0,B1682,"")</f>
        <v/>
      </c>
      <c r="E1682" s="0" t="str">
        <f aca="false">IF(C1682=0,A1682,"")</f>
        <v/>
      </c>
    </row>
    <row r="1683" customFormat="false" ht="12.8" hidden="false" customHeight="false" outlineLevel="0" collapsed="false">
      <c r="A1683" s="0" t="s">
        <v>2535</v>
      </c>
      <c r="B1683" s="20" t="s">
        <v>3522</v>
      </c>
      <c r="C1683" s="0" t="n">
        <v>1</v>
      </c>
      <c r="D1683" s="0" t="str">
        <f aca="false">IF(C1683=0,B1683,"")</f>
        <v/>
      </c>
      <c r="E1683" s="0" t="str">
        <f aca="false">IF(C1683=0,A1683,"")</f>
        <v/>
      </c>
    </row>
    <row r="1684" customFormat="false" ht="12.8" hidden="false" customHeight="false" outlineLevel="0" collapsed="false">
      <c r="A1684" s="0" t="s">
        <v>2536</v>
      </c>
      <c r="B1684" s="20" t="s">
        <v>3522</v>
      </c>
      <c r="C1684" s="0" t="n">
        <v>1</v>
      </c>
      <c r="D1684" s="0" t="str">
        <f aca="false">IF(C1684=0,B1684,"")</f>
        <v/>
      </c>
      <c r="E1684" s="0" t="str">
        <f aca="false">IF(C1684=0,A1684,"")</f>
        <v/>
      </c>
    </row>
    <row r="1685" customFormat="false" ht="12.8" hidden="false" customHeight="false" outlineLevel="0" collapsed="false">
      <c r="A1685" s="0" t="s">
        <v>2537</v>
      </c>
      <c r="B1685" s="20" t="s">
        <v>3522</v>
      </c>
      <c r="C1685" s="0" t="n">
        <v>1</v>
      </c>
      <c r="D1685" s="0" t="str">
        <f aca="false">IF(C1685=0,B1685,"")</f>
        <v/>
      </c>
      <c r="E1685" s="0" t="str">
        <f aca="false">IF(C1685=0,A1685,"")</f>
        <v/>
      </c>
    </row>
    <row r="1686" customFormat="false" ht="12.8" hidden="false" customHeight="false" outlineLevel="0" collapsed="false">
      <c r="A1686" s="0" t="s">
        <v>2538</v>
      </c>
      <c r="B1686" s="20" t="s">
        <v>3522</v>
      </c>
      <c r="C1686" s="0" t="n">
        <v>1</v>
      </c>
      <c r="D1686" s="0" t="str">
        <f aca="false">IF(C1686=0,B1686,"")</f>
        <v/>
      </c>
      <c r="E1686" s="0" t="str">
        <f aca="false">IF(C1686=0,A1686,"")</f>
        <v/>
      </c>
    </row>
    <row r="1687" customFormat="false" ht="12.8" hidden="false" customHeight="false" outlineLevel="0" collapsed="false">
      <c r="A1687" s="0" t="s">
        <v>2539</v>
      </c>
      <c r="B1687" s="20" t="s">
        <v>3522</v>
      </c>
      <c r="C1687" s="0" t="n">
        <v>1</v>
      </c>
      <c r="D1687" s="0" t="str">
        <f aca="false">IF(C1687=0,B1687,"")</f>
        <v/>
      </c>
      <c r="E1687" s="0" t="str">
        <f aca="false">IF(C1687=0,A1687,"")</f>
        <v/>
      </c>
    </row>
    <row r="1688" customFormat="false" ht="12.8" hidden="false" customHeight="false" outlineLevel="0" collapsed="false">
      <c r="A1688" s="0" t="s">
        <v>2540</v>
      </c>
      <c r="B1688" s="20" t="s">
        <v>3522</v>
      </c>
      <c r="C1688" s="0" t="n">
        <v>1</v>
      </c>
      <c r="D1688" s="0" t="str">
        <f aca="false">IF(C1688=0,B1688,"")</f>
        <v/>
      </c>
      <c r="E1688" s="0" t="str">
        <f aca="false">IF(C1688=0,A1688,"")</f>
        <v/>
      </c>
    </row>
    <row r="1689" customFormat="false" ht="12.8" hidden="false" customHeight="false" outlineLevel="0" collapsed="false">
      <c r="A1689" s="0" t="s">
        <v>2541</v>
      </c>
      <c r="B1689" s="20" t="s">
        <v>3522</v>
      </c>
      <c r="C1689" s="0" t="n">
        <v>1</v>
      </c>
      <c r="D1689" s="0" t="str">
        <f aca="false">IF(C1689=0,B1689,"")</f>
        <v/>
      </c>
      <c r="E1689" s="0" t="str">
        <f aca="false">IF(C1689=0,A1689,"")</f>
        <v/>
      </c>
    </row>
    <row r="1690" customFormat="false" ht="12.8" hidden="false" customHeight="false" outlineLevel="0" collapsed="false">
      <c r="A1690" s="0" t="s">
        <v>2542</v>
      </c>
      <c r="B1690" s="20" t="s">
        <v>3522</v>
      </c>
      <c r="C1690" s="0" t="n">
        <v>1</v>
      </c>
      <c r="D1690" s="0" t="str">
        <f aca="false">IF(C1690=0,B1690,"")</f>
        <v/>
      </c>
      <c r="E1690" s="0" t="str">
        <f aca="false">IF(C1690=0,A1690,"")</f>
        <v/>
      </c>
    </row>
    <row r="1691" customFormat="false" ht="12.8" hidden="false" customHeight="false" outlineLevel="0" collapsed="false">
      <c r="A1691" s="0" t="s">
        <v>2543</v>
      </c>
      <c r="B1691" s="20" t="s">
        <v>3522</v>
      </c>
      <c r="C1691" s="0" t="n">
        <v>1</v>
      </c>
      <c r="D1691" s="0" t="str">
        <f aca="false">IF(C1691=0,B1691,"")</f>
        <v/>
      </c>
      <c r="E1691" s="0" t="str">
        <f aca="false">IF(C1691=0,A1691,"")</f>
        <v/>
      </c>
    </row>
    <row r="1692" customFormat="false" ht="12.8" hidden="false" customHeight="false" outlineLevel="0" collapsed="false">
      <c r="A1692" s="0" t="s">
        <v>2544</v>
      </c>
      <c r="B1692" s="20" t="s">
        <v>3522</v>
      </c>
      <c r="C1692" s="0" t="n">
        <v>1</v>
      </c>
      <c r="D1692" s="0" t="str">
        <f aca="false">IF(C1692=0,B1692,"")</f>
        <v/>
      </c>
      <c r="E1692" s="0" t="str">
        <f aca="false">IF(C1692=0,A1692,"")</f>
        <v/>
      </c>
    </row>
    <row r="1693" customFormat="false" ht="12.8" hidden="false" customHeight="false" outlineLevel="0" collapsed="false">
      <c r="A1693" s="0" t="s">
        <v>2545</v>
      </c>
      <c r="B1693" s="20" t="s">
        <v>3522</v>
      </c>
      <c r="C1693" s="0" t="n">
        <v>1</v>
      </c>
      <c r="D1693" s="0" t="str">
        <f aca="false">IF(C1693=0,B1693,"")</f>
        <v/>
      </c>
      <c r="E1693" s="0" t="str">
        <f aca="false">IF(C1693=0,A1693,"")</f>
        <v/>
      </c>
    </row>
    <row r="1694" customFormat="false" ht="12.8" hidden="false" customHeight="false" outlineLevel="0" collapsed="false">
      <c r="A1694" s="0" t="s">
        <v>2546</v>
      </c>
      <c r="B1694" s="20" t="s">
        <v>3522</v>
      </c>
      <c r="C1694" s="0" t="n">
        <v>1</v>
      </c>
      <c r="D1694" s="0" t="str">
        <f aca="false">IF(C1694=0,B1694,"")</f>
        <v/>
      </c>
      <c r="E1694" s="0" t="str">
        <f aca="false">IF(C1694=0,A1694,"")</f>
        <v/>
      </c>
    </row>
    <row r="1695" customFormat="false" ht="12.8" hidden="false" customHeight="false" outlineLevel="0" collapsed="false">
      <c r="A1695" s="0" t="s">
        <v>29</v>
      </c>
      <c r="B1695" s="20" t="s">
        <v>3522</v>
      </c>
      <c r="C1695" s="0" t="n">
        <v>1</v>
      </c>
      <c r="D1695" s="0" t="str">
        <f aca="false">IF(C1695=0,B1695,"")</f>
        <v/>
      </c>
      <c r="E1695" s="0" t="str">
        <f aca="false">IF(C1695=0,A1695,"")</f>
        <v/>
      </c>
    </row>
    <row r="1696" customFormat="false" ht="12.8" hidden="false" customHeight="false" outlineLevel="0" collapsed="false">
      <c r="A1696" s="0" t="s">
        <v>2547</v>
      </c>
      <c r="B1696" s="20" t="s">
        <v>3522</v>
      </c>
      <c r="C1696" s="0" t="n">
        <v>1</v>
      </c>
      <c r="D1696" s="0" t="str">
        <f aca="false">IF(C1696=0,B1696,"")</f>
        <v/>
      </c>
      <c r="E1696" s="0" t="str">
        <f aca="false">IF(C1696=0,A1696,"")</f>
        <v/>
      </c>
    </row>
    <row r="1697" customFormat="false" ht="12.8" hidden="false" customHeight="false" outlineLevel="0" collapsed="false">
      <c r="A1697" s="0" t="s">
        <v>2548</v>
      </c>
      <c r="B1697" s="20" t="s">
        <v>3522</v>
      </c>
      <c r="C1697" s="0" t="n">
        <v>1</v>
      </c>
      <c r="D1697" s="0" t="str">
        <f aca="false">IF(C1697=0,B1697,"")</f>
        <v/>
      </c>
      <c r="E1697" s="0" t="str">
        <f aca="false">IF(C1697=0,A1697,"")</f>
        <v/>
      </c>
    </row>
    <row r="1698" customFormat="false" ht="12.8" hidden="false" customHeight="false" outlineLevel="0" collapsed="false">
      <c r="A1698" s="0" t="s">
        <v>2549</v>
      </c>
      <c r="B1698" s="20" t="s">
        <v>3522</v>
      </c>
      <c r="C1698" s="0" t="n">
        <v>1</v>
      </c>
      <c r="D1698" s="0" t="str">
        <f aca="false">IF(C1698=0,B1698,"")</f>
        <v/>
      </c>
      <c r="E1698" s="0" t="str">
        <f aca="false">IF(C1698=0,A1698,"")</f>
        <v/>
      </c>
    </row>
    <row r="1699" customFormat="false" ht="12.8" hidden="false" customHeight="false" outlineLevel="0" collapsed="false">
      <c r="A1699" s="0" t="s">
        <v>2550</v>
      </c>
      <c r="B1699" s="20" t="s">
        <v>3522</v>
      </c>
      <c r="C1699" s="0" t="n">
        <v>1</v>
      </c>
      <c r="D1699" s="0" t="str">
        <f aca="false">IF(C1699=0,B1699,"")</f>
        <v/>
      </c>
      <c r="E1699" s="0" t="str">
        <f aca="false">IF(C1699=0,A1699,"")</f>
        <v/>
      </c>
    </row>
    <row r="1700" customFormat="false" ht="12.8" hidden="false" customHeight="false" outlineLevel="0" collapsed="false">
      <c r="A1700" s="0" t="s">
        <v>2551</v>
      </c>
      <c r="B1700" s="20" t="s">
        <v>3522</v>
      </c>
      <c r="C1700" s="0" t="n">
        <v>1</v>
      </c>
      <c r="D1700" s="0" t="str">
        <f aca="false">IF(C1700=0,B1700,"")</f>
        <v/>
      </c>
      <c r="E1700" s="0" t="str">
        <f aca="false">IF(C1700=0,A1700,"")</f>
        <v/>
      </c>
    </row>
    <row r="1701" customFormat="false" ht="12.8" hidden="false" customHeight="false" outlineLevel="0" collapsed="false">
      <c r="A1701" s="0" t="s">
        <v>2552</v>
      </c>
      <c r="B1701" s="20" t="s">
        <v>3522</v>
      </c>
      <c r="C1701" s="0" t="n">
        <v>1</v>
      </c>
      <c r="D1701" s="0" t="str">
        <f aca="false">IF(C1701=0,B1701,"")</f>
        <v/>
      </c>
      <c r="E1701" s="0" t="str">
        <f aca="false">IF(C1701=0,A1701,"")</f>
        <v/>
      </c>
    </row>
    <row r="1702" customFormat="false" ht="12.8" hidden="false" customHeight="false" outlineLevel="0" collapsed="false">
      <c r="A1702" s="0" t="s">
        <v>2553</v>
      </c>
      <c r="B1702" s="20" t="s">
        <v>3522</v>
      </c>
      <c r="C1702" s="0" t="n">
        <v>1</v>
      </c>
      <c r="D1702" s="0" t="str">
        <f aca="false">IF(C1702=0,B1702,"")</f>
        <v/>
      </c>
      <c r="E1702" s="0" t="str">
        <f aca="false">IF(C1702=0,A1702,"")</f>
        <v/>
      </c>
    </row>
    <row r="1703" customFormat="false" ht="12.8" hidden="false" customHeight="false" outlineLevel="0" collapsed="false">
      <c r="A1703" s="0" t="s">
        <v>2554</v>
      </c>
      <c r="B1703" s="20" t="s">
        <v>3522</v>
      </c>
      <c r="C1703" s="0" t="n">
        <v>1</v>
      </c>
      <c r="D1703" s="0" t="str">
        <f aca="false">IF(C1703=0,B1703,"")</f>
        <v/>
      </c>
      <c r="E1703" s="0" t="str">
        <f aca="false">IF(C1703=0,A1703,"")</f>
        <v/>
      </c>
    </row>
    <row r="1704" customFormat="false" ht="12.8" hidden="false" customHeight="false" outlineLevel="0" collapsed="false">
      <c r="A1704" s="0" t="s">
        <v>2555</v>
      </c>
      <c r="B1704" s="20" t="s">
        <v>3522</v>
      </c>
      <c r="C1704" s="0" t="n">
        <v>1</v>
      </c>
      <c r="D1704" s="0" t="str">
        <f aca="false">IF(C1704=0,B1704,"")</f>
        <v/>
      </c>
      <c r="E1704" s="0" t="str">
        <f aca="false">IF(C1704=0,A1704,"")</f>
        <v/>
      </c>
    </row>
    <row r="1705" customFormat="false" ht="12.8" hidden="false" customHeight="false" outlineLevel="0" collapsed="false">
      <c r="A1705" s="0" t="s">
        <v>2556</v>
      </c>
      <c r="B1705" s="20" t="s">
        <v>3522</v>
      </c>
      <c r="C1705" s="0" t="n">
        <v>1</v>
      </c>
      <c r="D1705" s="0" t="str">
        <f aca="false">IF(C1705=0,B1705,"")</f>
        <v/>
      </c>
      <c r="E1705" s="0" t="str">
        <f aca="false">IF(C1705=0,A1705,"")</f>
        <v/>
      </c>
    </row>
    <row r="1706" customFormat="false" ht="12.8" hidden="false" customHeight="false" outlineLevel="0" collapsed="false">
      <c r="A1706" s="0" t="s">
        <v>2557</v>
      </c>
      <c r="B1706" s="20" t="s">
        <v>3522</v>
      </c>
      <c r="C1706" s="0" t="n">
        <v>1</v>
      </c>
      <c r="D1706" s="0" t="str">
        <f aca="false">IF(C1706=0,B1706,"")</f>
        <v/>
      </c>
      <c r="E1706" s="0" t="str">
        <f aca="false">IF(C1706=0,A1706,"")</f>
        <v/>
      </c>
    </row>
    <row r="1707" customFormat="false" ht="12.8" hidden="false" customHeight="false" outlineLevel="0" collapsed="false">
      <c r="A1707" s="0" t="s">
        <v>2558</v>
      </c>
      <c r="B1707" s="20" t="s">
        <v>3522</v>
      </c>
      <c r="C1707" s="0" t="n">
        <v>1</v>
      </c>
      <c r="D1707" s="0" t="str">
        <f aca="false">IF(C1707=0,B1707,"")</f>
        <v/>
      </c>
      <c r="E1707" s="0" t="str">
        <f aca="false">IF(C1707=0,A1707,"")</f>
        <v/>
      </c>
    </row>
    <row r="1708" customFormat="false" ht="12.8" hidden="false" customHeight="false" outlineLevel="0" collapsed="false">
      <c r="A1708" s="0" t="s">
        <v>2559</v>
      </c>
      <c r="B1708" s="20" t="s">
        <v>3522</v>
      </c>
      <c r="C1708" s="0" t="n">
        <v>1</v>
      </c>
      <c r="D1708" s="0" t="str">
        <f aca="false">IF(C1708=0,B1708,"")</f>
        <v/>
      </c>
      <c r="E1708" s="0" t="str">
        <f aca="false">IF(C1708=0,A1708,"")</f>
        <v/>
      </c>
    </row>
    <row r="1709" customFormat="false" ht="12.8" hidden="false" customHeight="false" outlineLevel="0" collapsed="false">
      <c r="A1709" s="0" t="s">
        <v>2560</v>
      </c>
      <c r="B1709" s="20" t="s">
        <v>3522</v>
      </c>
      <c r="C1709" s="0" t="n">
        <v>1</v>
      </c>
      <c r="D1709" s="0" t="str">
        <f aca="false">IF(C1709=0,B1709,"")</f>
        <v/>
      </c>
      <c r="E1709" s="0" t="str">
        <f aca="false">IF(C1709=0,A1709,"")</f>
        <v/>
      </c>
    </row>
    <row r="1710" customFormat="false" ht="12.8" hidden="false" customHeight="false" outlineLevel="0" collapsed="false">
      <c r="A1710" s="0" t="s">
        <v>2561</v>
      </c>
      <c r="B1710" s="20" t="s">
        <v>3522</v>
      </c>
      <c r="C1710" s="0" t="n">
        <v>1</v>
      </c>
      <c r="D1710" s="0" t="str">
        <f aca="false">IF(C1710=0,B1710,"")</f>
        <v/>
      </c>
      <c r="E1710" s="0" t="str">
        <f aca="false">IF(C1710=0,A1710,"")</f>
        <v/>
      </c>
    </row>
    <row r="1711" customFormat="false" ht="12.8" hidden="false" customHeight="false" outlineLevel="0" collapsed="false">
      <c r="A1711" s="0" t="s">
        <v>2562</v>
      </c>
      <c r="B1711" s="20" t="s">
        <v>3522</v>
      </c>
      <c r="C1711" s="0" t="n">
        <v>1</v>
      </c>
      <c r="D1711" s="0" t="str">
        <f aca="false">IF(C1711=0,B1711,"")</f>
        <v/>
      </c>
      <c r="E1711" s="0" t="str">
        <f aca="false">IF(C1711=0,A1711,"")</f>
        <v/>
      </c>
    </row>
    <row r="1712" customFormat="false" ht="12.8" hidden="false" customHeight="false" outlineLevel="0" collapsed="false">
      <c r="A1712" s="0" t="s">
        <v>2563</v>
      </c>
      <c r="B1712" s="20" t="s">
        <v>3522</v>
      </c>
      <c r="C1712" s="0" t="n">
        <v>1</v>
      </c>
      <c r="D1712" s="0" t="str">
        <f aca="false">IF(C1712=0,B1712,"")</f>
        <v/>
      </c>
      <c r="E1712" s="0" t="str">
        <f aca="false">IF(C1712=0,A1712,"")</f>
        <v/>
      </c>
    </row>
    <row r="1713" customFormat="false" ht="12.8" hidden="false" customHeight="false" outlineLevel="0" collapsed="false">
      <c r="A1713" s="0" t="s">
        <v>2564</v>
      </c>
      <c r="B1713" s="20" t="s">
        <v>3522</v>
      </c>
      <c r="C1713" s="0" t="n">
        <v>1</v>
      </c>
      <c r="D1713" s="0" t="str">
        <f aca="false">IF(C1713=0,B1713,"")</f>
        <v/>
      </c>
      <c r="E1713" s="0" t="str">
        <f aca="false">IF(C1713=0,A1713,"")</f>
        <v/>
      </c>
    </row>
    <row r="1714" customFormat="false" ht="12.8" hidden="false" customHeight="false" outlineLevel="0" collapsed="false">
      <c r="A1714" s="0" t="s">
        <v>2565</v>
      </c>
      <c r="B1714" s="20" t="s">
        <v>3522</v>
      </c>
      <c r="C1714" s="0" t="n">
        <v>1</v>
      </c>
      <c r="D1714" s="0" t="str">
        <f aca="false">IF(C1714=0,B1714,"")</f>
        <v/>
      </c>
      <c r="E1714" s="0" t="str">
        <f aca="false">IF(C1714=0,A1714,"")</f>
        <v/>
      </c>
    </row>
    <row r="1715" customFormat="false" ht="12.8" hidden="false" customHeight="false" outlineLevel="0" collapsed="false">
      <c r="A1715" s="0" t="s">
        <v>2566</v>
      </c>
      <c r="B1715" s="20" t="s">
        <v>3522</v>
      </c>
      <c r="C1715" s="0" t="n">
        <v>1</v>
      </c>
      <c r="D1715" s="0" t="str">
        <f aca="false">IF(C1715=0,B1715,"")</f>
        <v/>
      </c>
      <c r="E1715" s="0" t="str">
        <f aca="false">IF(C1715=0,A1715,"")</f>
        <v/>
      </c>
    </row>
    <row r="1716" customFormat="false" ht="12.8" hidden="false" customHeight="false" outlineLevel="0" collapsed="false">
      <c r="A1716" s="0" t="s">
        <v>2567</v>
      </c>
      <c r="B1716" s="20" t="s">
        <v>3522</v>
      </c>
      <c r="C1716" s="0" t="n">
        <v>1</v>
      </c>
      <c r="D1716" s="0" t="str">
        <f aca="false">IF(C1716=0,B1716,"")</f>
        <v/>
      </c>
      <c r="E1716" s="0" t="str">
        <f aca="false">IF(C1716=0,A1716,"")</f>
        <v/>
      </c>
    </row>
    <row r="1717" customFormat="false" ht="12.8" hidden="false" customHeight="false" outlineLevel="0" collapsed="false">
      <c r="A1717" s="0" t="s">
        <v>2568</v>
      </c>
      <c r="B1717" s="0" t="s">
        <v>2517</v>
      </c>
      <c r="C1717" s="0" t="n">
        <v>1</v>
      </c>
      <c r="D1717" s="0" t="str">
        <f aca="false">IF(C1717=0,B1717,"")</f>
        <v/>
      </c>
      <c r="E1717" s="0" t="str">
        <f aca="false">IF(C1717=0,A1717,"")</f>
        <v/>
      </c>
    </row>
    <row r="1718" customFormat="false" ht="12.8" hidden="false" customHeight="false" outlineLevel="0" collapsed="false">
      <c r="A1718" s="0" t="s">
        <v>2569</v>
      </c>
      <c r="B1718" s="0" t="s">
        <v>3523</v>
      </c>
      <c r="C1718" s="0" t="n">
        <v>0</v>
      </c>
      <c r="D1718" s="0" t="str">
        <f aca="false">IF(C1718=0,B1718,"")</f>
        <v>뒥</v>
      </c>
      <c r="E1718" s="0" t="str">
        <f aca="false">IF(C1718=0,A1718,"")</f>
        <v>쥑</v>
      </c>
    </row>
    <row r="1719" customFormat="false" ht="12.8" hidden="false" customHeight="false" outlineLevel="0" collapsed="false">
      <c r="A1719" s="0" t="s">
        <v>2570</v>
      </c>
      <c r="B1719" s="0" t="s">
        <v>1404</v>
      </c>
      <c r="C1719" s="0" t="n">
        <v>1</v>
      </c>
      <c r="D1719" s="0" t="str">
        <f aca="false">IF(C1719=0,B1719,"")</f>
        <v/>
      </c>
      <c r="E1719" s="0" t="str">
        <f aca="false">IF(C1719=0,A1719,"")</f>
        <v/>
      </c>
    </row>
    <row r="1720" customFormat="false" ht="12.8" hidden="false" customHeight="false" outlineLevel="0" collapsed="false">
      <c r="A1720" s="0" t="s">
        <v>2571</v>
      </c>
      <c r="B1720" s="0" t="s">
        <v>1405</v>
      </c>
      <c r="C1720" s="0" t="n">
        <v>1</v>
      </c>
      <c r="D1720" s="0" t="str">
        <f aca="false">IF(C1720=0,B1720,"")</f>
        <v/>
      </c>
      <c r="E1720" s="0" t="str">
        <f aca="false">IF(C1720=0,A1720,"")</f>
        <v/>
      </c>
    </row>
    <row r="1721" customFormat="false" ht="12.8" hidden="false" customHeight="false" outlineLevel="0" collapsed="false">
      <c r="A1721" s="0" t="s">
        <v>2572</v>
      </c>
      <c r="B1721" s="0" t="s">
        <v>3524</v>
      </c>
      <c r="C1721" s="0" t="n">
        <v>0</v>
      </c>
      <c r="D1721" s="0" t="str">
        <f aca="false">IF(C1721=0,B1721,"")</f>
        <v>뒴</v>
      </c>
      <c r="E1721" s="0" t="str">
        <f aca="false">IF(C1721=0,A1721,"")</f>
        <v>쥠</v>
      </c>
    </row>
    <row r="1722" customFormat="false" ht="12.8" hidden="false" customHeight="false" outlineLevel="0" collapsed="false">
      <c r="A1722" s="0" t="s">
        <v>2573</v>
      </c>
      <c r="B1722" s="0" t="s">
        <v>1406</v>
      </c>
      <c r="C1722" s="0" t="n">
        <v>1</v>
      </c>
      <c r="D1722" s="0" t="str">
        <f aca="false">IF(C1722=0,B1722,"")</f>
        <v/>
      </c>
      <c r="E1722" s="0" t="str">
        <f aca="false">IF(C1722=0,A1722,"")</f>
        <v/>
      </c>
    </row>
    <row r="1723" customFormat="false" ht="12.8" hidden="false" customHeight="false" outlineLevel="0" collapsed="false">
      <c r="A1723" s="0" t="s">
        <v>2574</v>
      </c>
      <c r="B1723" s="0" t="s">
        <v>1407</v>
      </c>
      <c r="C1723" s="0" t="n">
        <v>1</v>
      </c>
      <c r="D1723" s="0" t="str">
        <f aca="false">IF(C1723=0,B1723,"")</f>
        <v/>
      </c>
      <c r="E1723" s="0" t="str">
        <f aca="false">IF(C1723=0,A1723,"")</f>
        <v/>
      </c>
    </row>
    <row r="1724" customFormat="false" ht="12.8" hidden="false" customHeight="false" outlineLevel="0" collapsed="false">
      <c r="A1724" s="0" t="s">
        <v>2575</v>
      </c>
      <c r="B1724" s="0" t="s">
        <v>2428</v>
      </c>
      <c r="C1724" s="0" t="n">
        <v>1</v>
      </c>
      <c r="D1724" s="0" t="str">
        <f aca="false">IF(C1724=0,B1724,"")</f>
        <v/>
      </c>
      <c r="E1724" s="0" t="str">
        <f aca="false">IF(C1724=0,A1724,"")</f>
        <v/>
      </c>
    </row>
    <row r="1725" customFormat="false" ht="12.8" hidden="false" customHeight="false" outlineLevel="0" collapsed="false">
      <c r="A1725" s="0" t="s">
        <v>2576</v>
      </c>
      <c r="B1725" s="0" t="s">
        <v>1410</v>
      </c>
      <c r="C1725" s="0" t="n">
        <v>1</v>
      </c>
      <c r="D1725" s="0" t="str">
        <f aca="false">IF(C1725=0,B1725,"")</f>
        <v/>
      </c>
      <c r="E1725" s="0" t="str">
        <f aca="false">IF(C1725=0,A1725,"")</f>
        <v/>
      </c>
    </row>
    <row r="1726" customFormat="false" ht="12.8" hidden="false" customHeight="false" outlineLevel="0" collapsed="false">
      <c r="A1726" s="0" t="s">
        <v>2577</v>
      </c>
      <c r="B1726" s="0" t="s">
        <v>1411</v>
      </c>
      <c r="C1726" s="0" t="n">
        <v>1</v>
      </c>
      <c r="D1726" s="0" t="str">
        <f aca="false">IF(C1726=0,B1726,"")</f>
        <v/>
      </c>
      <c r="E1726" s="0" t="str">
        <f aca="false">IF(C1726=0,A1726,"")</f>
        <v/>
      </c>
    </row>
    <row r="1727" customFormat="false" ht="12.8" hidden="false" customHeight="false" outlineLevel="0" collapsed="false">
      <c r="A1727" s="0" t="s">
        <v>2578</v>
      </c>
      <c r="B1727" s="0" t="s">
        <v>1412</v>
      </c>
      <c r="C1727" s="0" t="n">
        <v>1</v>
      </c>
      <c r="D1727" s="0" t="str">
        <f aca="false">IF(C1727=0,B1727,"")</f>
        <v/>
      </c>
      <c r="E1727" s="0" t="str">
        <f aca="false">IF(C1727=0,A1727,"")</f>
        <v/>
      </c>
    </row>
    <row r="1728" customFormat="false" ht="12.8" hidden="false" customHeight="false" outlineLevel="0" collapsed="false">
      <c r="A1728" s="0" t="s">
        <v>2579</v>
      </c>
      <c r="B1728" s="0" t="s">
        <v>2437</v>
      </c>
      <c r="C1728" s="0" t="n">
        <v>1</v>
      </c>
      <c r="D1728" s="0" t="str">
        <f aca="false">IF(C1728=0,B1728,"")</f>
        <v/>
      </c>
      <c r="E1728" s="0" t="str">
        <f aca="false">IF(C1728=0,A1728,"")</f>
        <v/>
      </c>
    </row>
    <row r="1729" customFormat="false" ht="12.8" hidden="false" customHeight="false" outlineLevel="0" collapsed="false">
      <c r="A1729" s="0" t="s">
        <v>2580</v>
      </c>
      <c r="B1729" s="0" t="s">
        <v>1415</v>
      </c>
      <c r="C1729" s="0" t="n">
        <v>1</v>
      </c>
      <c r="D1729" s="0" t="str">
        <f aca="false">IF(C1729=0,B1729,"")</f>
        <v/>
      </c>
      <c r="E1729" s="0" t="str">
        <f aca="false">IF(C1729=0,A1729,"")</f>
        <v/>
      </c>
    </row>
    <row r="1730" customFormat="false" ht="12.8" hidden="false" customHeight="false" outlineLevel="0" collapsed="false">
      <c r="A1730" s="0" t="s">
        <v>2581</v>
      </c>
      <c r="B1730" s="0" t="s">
        <v>1416</v>
      </c>
      <c r="C1730" s="0" t="n">
        <v>1</v>
      </c>
      <c r="D1730" s="0" t="str">
        <f aca="false">IF(C1730=0,B1730,"")</f>
        <v/>
      </c>
      <c r="E1730" s="0" t="str">
        <f aca="false">IF(C1730=0,A1730,"")</f>
        <v/>
      </c>
    </row>
    <row r="1731" customFormat="false" ht="12.8" hidden="false" customHeight="false" outlineLevel="0" collapsed="false">
      <c r="A1731" s="0" t="s">
        <v>2582</v>
      </c>
      <c r="B1731" s="0" t="s">
        <v>1418</v>
      </c>
      <c r="C1731" s="0" t="n">
        <v>1</v>
      </c>
      <c r="D1731" s="0" t="str">
        <f aca="false">IF(C1731=0,B1731,"")</f>
        <v/>
      </c>
      <c r="E1731" s="0" t="str">
        <f aca="false">IF(C1731=0,A1731,"")</f>
        <v/>
      </c>
    </row>
    <row r="1732" customFormat="false" ht="12.8" hidden="false" customHeight="false" outlineLevel="0" collapsed="false">
      <c r="A1732" s="0" t="s">
        <v>2583</v>
      </c>
      <c r="B1732" s="0" t="s">
        <v>1420</v>
      </c>
      <c r="C1732" s="0" t="n">
        <v>1</v>
      </c>
      <c r="D1732" s="0" t="str">
        <f aca="false">IF(C1732=0,B1732,"")</f>
        <v/>
      </c>
      <c r="E1732" s="0" t="str">
        <f aca="false">IF(C1732=0,A1732,"")</f>
        <v/>
      </c>
    </row>
    <row r="1733" customFormat="false" ht="12.8" hidden="false" customHeight="false" outlineLevel="0" collapsed="false">
      <c r="A1733" s="0" t="s">
        <v>2584</v>
      </c>
      <c r="B1733" s="0" t="s">
        <v>1421</v>
      </c>
      <c r="C1733" s="0" t="n">
        <v>1</v>
      </c>
      <c r="D1733" s="0" t="str">
        <f aca="false">IF(C1733=0,B1733,"")</f>
        <v/>
      </c>
      <c r="E1733" s="0" t="str">
        <f aca="false">IF(C1733=0,A1733,"")</f>
        <v/>
      </c>
    </row>
    <row r="1734" customFormat="false" ht="12.8" hidden="false" customHeight="false" outlineLevel="0" collapsed="false">
      <c r="A1734" s="0" t="s">
        <v>2585</v>
      </c>
      <c r="B1734" s="0" t="s">
        <v>1422</v>
      </c>
      <c r="C1734" s="0" t="n">
        <v>1</v>
      </c>
      <c r="D1734" s="0" t="str">
        <f aca="false">IF(C1734=0,B1734,"")</f>
        <v/>
      </c>
      <c r="E1734" s="0" t="str">
        <f aca="false">IF(C1734=0,A1734,"")</f>
        <v/>
      </c>
    </row>
    <row r="1735" customFormat="false" ht="12.8" hidden="false" customHeight="false" outlineLevel="0" collapsed="false">
      <c r="A1735" s="0" t="s">
        <v>2586</v>
      </c>
      <c r="B1735" s="0" t="s">
        <v>1423</v>
      </c>
      <c r="C1735" s="0" t="n">
        <v>1</v>
      </c>
      <c r="D1735" s="0" t="str">
        <f aca="false">IF(C1735=0,B1735,"")</f>
        <v/>
      </c>
      <c r="E1735" s="0" t="str">
        <f aca="false">IF(C1735=0,A1735,"")</f>
        <v/>
      </c>
    </row>
    <row r="1736" customFormat="false" ht="12.8" hidden="false" customHeight="false" outlineLevel="0" collapsed="false">
      <c r="A1736" s="0" t="s">
        <v>2587</v>
      </c>
      <c r="B1736" s="0" t="s">
        <v>2579</v>
      </c>
      <c r="C1736" s="0" t="n">
        <v>1</v>
      </c>
      <c r="D1736" s="0" t="str">
        <f aca="false">IF(C1736=0,B1736,"")</f>
        <v/>
      </c>
      <c r="E1736" s="0" t="str">
        <f aca="false">IF(C1736=0,A1736,"")</f>
        <v/>
      </c>
    </row>
    <row r="1737" customFormat="false" ht="12.8" hidden="false" customHeight="false" outlineLevel="0" collapsed="false">
      <c r="A1737" s="0" t="s">
        <v>2588</v>
      </c>
      <c r="B1737" s="0" t="s">
        <v>1426</v>
      </c>
      <c r="C1737" s="0" t="n">
        <v>1</v>
      </c>
      <c r="D1737" s="0" t="str">
        <f aca="false">IF(C1737=0,B1737,"")</f>
        <v/>
      </c>
      <c r="E1737" s="0" t="str">
        <f aca="false">IF(C1737=0,A1737,"")</f>
        <v/>
      </c>
    </row>
    <row r="1738" customFormat="false" ht="12.8" hidden="false" customHeight="false" outlineLevel="0" collapsed="false">
      <c r="A1738" s="0" t="s">
        <v>2589</v>
      </c>
      <c r="B1738" s="0" t="s">
        <v>1427</v>
      </c>
      <c r="C1738" s="0" t="n">
        <v>1</v>
      </c>
      <c r="D1738" s="0" t="str">
        <f aca="false">IF(C1738=0,B1738,"")</f>
        <v/>
      </c>
      <c r="E1738" s="0" t="str">
        <f aca="false">IF(C1738=0,A1738,"")</f>
        <v/>
      </c>
    </row>
    <row r="1739" customFormat="false" ht="12.8" hidden="false" customHeight="false" outlineLevel="0" collapsed="false">
      <c r="A1739" s="0" t="s">
        <v>2590</v>
      </c>
      <c r="B1739" s="0" t="s">
        <v>1432</v>
      </c>
      <c r="C1739" s="0" t="n">
        <v>1</v>
      </c>
      <c r="D1739" s="0" t="str">
        <f aca="false">IF(C1739=0,B1739,"")</f>
        <v/>
      </c>
      <c r="E1739" s="0" t="str">
        <f aca="false">IF(C1739=0,A1739,"")</f>
        <v/>
      </c>
    </row>
    <row r="1740" customFormat="false" ht="12.8" hidden="false" customHeight="false" outlineLevel="0" collapsed="false">
      <c r="A1740" s="0" t="s">
        <v>2591</v>
      </c>
      <c r="B1740" s="0" t="s">
        <v>1429</v>
      </c>
      <c r="C1740" s="0" t="n">
        <v>1</v>
      </c>
      <c r="D1740" s="0" t="str">
        <f aca="false">IF(C1740=0,B1740,"")</f>
        <v/>
      </c>
      <c r="E1740" s="0" t="str">
        <f aca="false">IF(C1740=0,A1740,"")</f>
        <v/>
      </c>
    </row>
    <row r="1741" customFormat="false" ht="12.8" hidden="false" customHeight="false" outlineLevel="0" collapsed="false">
      <c r="A1741" s="0" t="s">
        <v>2592</v>
      </c>
      <c r="B1741" s="0" t="s">
        <v>1429</v>
      </c>
      <c r="C1741" s="0" t="n">
        <v>1</v>
      </c>
      <c r="D1741" s="0" t="str">
        <f aca="false">IF(C1741=0,B1741,"")</f>
        <v/>
      </c>
      <c r="E1741" s="0" t="str">
        <f aca="false">IF(C1741=0,A1741,"")</f>
        <v/>
      </c>
    </row>
    <row r="1742" customFormat="false" ht="12.8" hidden="false" customHeight="false" outlineLevel="0" collapsed="false">
      <c r="A1742" s="0" t="s">
        <v>2593</v>
      </c>
      <c r="B1742" s="0" t="s">
        <v>1430</v>
      </c>
      <c r="C1742" s="0" t="n">
        <v>1</v>
      </c>
      <c r="D1742" s="0" t="str">
        <f aca="false">IF(C1742=0,B1742,"")</f>
        <v/>
      </c>
      <c r="E1742" s="0" t="str">
        <f aca="false">IF(C1742=0,A1742,"")</f>
        <v/>
      </c>
    </row>
    <row r="1743" customFormat="false" ht="12.8" hidden="false" customHeight="false" outlineLevel="0" collapsed="false">
      <c r="A1743" s="0" t="s">
        <v>2594</v>
      </c>
      <c r="B1743" s="0" t="s">
        <v>1431</v>
      </c>
      <c r="C1743" s="0" t="n">
        <v>1</v>
      </c>
      <c r="D1743" s="0" t="str">
        <f aca="false">IF(C1743=0,B1743,"")</f>
        <v/>
      </c>
      <c r="E1743" s="0" t="str">
        <f aca="false">IF(C1743=0,A1743,"")</f>
        <v/>
      </c>
    </row>
    <row r="1744" customFormat="false" ht="12.8" hidden="false" customHeight="false" outlineLevel="0" collapsed="false">
      <c r="A1744" s="0" t="s">
        <v>2595</v>
      </c>
      <c r="B1744" s="0" t="s">
        <v>1432</v>
      </c>
      <c r="C1744" s="0" t="n">
        <v>1</v>
      </c>
      <c r="D1744" s="0" t="str">
        <f aca="false">IF(C1744=0,B1744,"")</f>
        <v/>
      </c>
      <c r="E1744" s="0" t="str">
        <f aca="false">IF(C1744=0,A1744,"")</f>
        <v/>
      </c>
    </row>
    <row r="1745" customFormat="false" ht="12.8" hidden="false" customHeight="false" outlineLevel="0" collapsed="false">
      <c r="A1745" s="0" t="s">
        <v>2596</v>
      </c>
      <c r="B1745" s="0" t="s">
        <v>1434</v>
      </c>
      <c r="C1745" s="0" t="n">
        <v>1</v>
      </c>
      <c r="D1745" s="0" t="str">
        <f aca="false">IF(C1745=0,B1745,"")</f>
        <v/>
      </c>
      <c r="E1745" s="0" t="str">
        <f aca="false">IF(C1745=0,A1745,"")</f>
        <v/>
      </c>
    </row>
    <row r="1746" customFormat="false" ht="12.8" hidden="false" customHeight="false" outlineLevel="0" collapsed="false">
      <c r="A1746" s="0" t="s">
        <v>2597</v>
      </c>
      <c r="B1746" s="0" t="s">
        <v>1432</v>
      </c>
      <c r="C1746" s="0" t="n">
        <v>1</v>
      </c>
      <c r="D1746" s="0" t="str">
        <f aca="false">IF(C1746=0,B1746,"")</f>
        <v/>
      </c>
      <c r="E1746" s="0" t="str">
        <f aca="false">IF(C1746=0,A1746,"")</f>
        <v/>
      </c>
    </row>
    <row r="1747" customFormat="false" ht="12.8" hidden="false" customHeight="false" outlineLevel="0" collapsed="false">
      <c r="A1747" s="0" t="s">
        <v>2598</v>
      </c>
      <c r="B1747" s="0" t="s">
        <v>1432</v>
      </c>
      <c r="C1747" s="0" t="n">
        <v>1</v>
      </c>
      <c r="D1747" s="0" t="str">
        <f aca="false">IF(C1747=0,B1747,"")</f>
        <v/>
      </c>
      <c r="E1747" s="0" t="str">
        <f aca="false">IF(C1747=0,A1747,"")</f>
        <v/>
      </c>
    </row>
    <row r="1748" customFormat="false" ht="12.8" hidden="false" customHeight="false" outlineLevel="0" collapsed="false">
      <c r="A1748" s="0" t="s">
        <v>2599</v>
      </c>
      <c r="B1748" s="0" t="s">
        <v>1431</v>
      </c>
      <c r="C1748" s="0" t="n">
        <v>1</v>
      </c>
      <c r="D1748" s="0" t="str">
        <f aca="false">IF(C1748=0,B1748,"")</f>
        <v/>
      </c>
      <c r="E1748" s="0" t="str">
        <f aca="false">IF(C1748=0,A1748,"")</f>
        <v/>
      </c>
    </row>
    <row r="1749" customFormat="false" ht="12.8" hidden="false" customHeight="false" outlineLevel="0" collapsed="false">
      <c r="A1749" s="0" t="s">
        <v>2600</v>
      </c>
      <c r="B1749" s="0" t="s">
        <v>2636</v>
      </c>
      <c r="C1749" s="0" t="n">
        <v>1</v>
      </c>
      <c r="D1749" s="0" t="str">
        <f aca="false">IF(C1749=0,B1749,"")</f>
        <v/>
      </c>
      <c r="E1749" s="0" t="str">
        <f aca="false">IF(C1749=0,A1749,"")</f>
        <v/>
      </c>
    </row>
    <row r="1750" customFormat="false" ht="12.8" hidden="false" customHeight="false" outlineLevel="0" collapsed="false">
      <c r="A1750" s="0" t="s">
        <v>2601</v>
      </c>
      <c r="B1750" s="0" t="s">
        <v>1437</v>
      </c>
      <c r="C1750" s="0" t="n">
        <v>1</v>
      </c>
      <c r="D1750" s="0" t="str">
        <f aca="false">IF(C1750=0,B1750,"")</f>
        <v/>
      </c>
      <c r="E1750" s="0" t="str">
        <f aca="false">IF(C1750=0,A1750,"")</f>
        <v/>
      </c>
    </row>
    <row r="1751" customFormat="false" ht="12.8" hidden="false" customHeight="false" outlineLevel="0" collapsed="false">
      <c r="A1751" s="0" t="s">
        <v>2602</v>
      </c>
      <c r="B1751" s="0" t="s">
        <v>1438</v>
      </c>
      <c r="C1751" s="0" t="n">
        <v>1</v>
      </c>
      <c r="D1751" s="0" t="str">
        <f aca="false">IF(C1751=0,B1751,"")</f>
        <v/>
      </c>
      <c r="E1751" s="0" t="str">
        <f aca="false">IF(C1751=0,A1751,"")</f>
        <v/>
      </c>
    </row>
    <row r="1752" customFormat="false" ht="12.8" hidden="false" customHeight="false" outlineLevel="0" collapsed="false">
      <c r="A1752" s="0" t="s">
        <v>2603</v>
      </c>
      <c r="B1752" s="0" t="s">
        <v>1438</v>
      </c>
      <c r="C1752" s="0" t="n">
        <v>1</v>
      </c>
      <c r="D1752" s="0" t="str">
        <f aca="false">IF(C1752=0,B1752,"")</f>
        <v/>
      </c>
      <c r="E1752" s="0" t="str">
        <f aca="false">IF(C1752=0,A1752,"")</f>
        <v/>
      </c>
    </row>
    <row r="1753" customFormat="false" ht="12.8" hidden="false" customHeight="false" outlineLevel="0" collapsed="false">
      <c r="A1753" s="0" t="s">
        <v>2604</v>
      </c>
      <c r="B1753" s="0" t="s">
        <v>1439</v>
      </c>
      <c r="C1753" s="0" t="n">
        <v>1</v>
      </c>
      <c r="D1753" s="0" t="str">
        <f aca="false">IF(C1753=0,B1753,"")</f>
        <v/>
      </c>
      <c r="E1753" s="0" t="str">
        <f aca="false">IF(C1753=0,A1753,"")</f>
        <v/>
      </c>
    </row>
    <row r="1754" customFormat="false" ht="12.8" hidden="false" customHeight="false" outlineLevel="0" collapsed="false">
      <c r="A1754" s="0" t="s">
        <v>2605</v>
      </c>
      <c r="B1754" s="0" t="s">
        <v>1439</v>
      </c>
      <c r="C1754" s="0" t="n">
        <v>1</v>
      </c>
      <c r="D1754" s="0" t="str">
        <f aca="false">IF(C1754=0,B1754,"")</f>
        <v/>
      </c>
      <c r="E1754" s="0" t="str">
        <f aca="false">IF(C1754=0,A1754,"")</f>
        <v/>
      </c>
    </row>
    <row r="1755" customFormat="false" ht="12.8" hidden="false" customHeight="false" outlineLevel="0" collapsed="false">
      <c r="A1755" s="0" t="s">
        <v>2606</v>
      </c>
      <c r="B1755" s="0" t="s">
        <v>1440</v>
      </c>
      <c r="C1755" s="0" t="n">
        <v>1</v>
      </c>
      <c r="D1755" s="0" t="str">
        <f aca="false">IF(C1755=0,B1755,"")</f>
        <v/>
      </c>
      <c r="E1755" s="0" t="str">
        <f aca="false">IF(C1755=0,A1755,"")</f>
        <v/>
      </c>
    </row>
    <row r="1756" customFormat="false" ht="12.8" hidden="false" customHeight="false" outlineLevel="0" collapsed="false">
      <c r="A1756" s="0" t="s">
        <v>2607</v>
      </c>
      <c r="B1756" s="0" t="s">
        <v>1441</v>
      </c>
      <c r="C1756" s="0" t="n">
        <v>1</v>
      </c>
      <c r="D1756" s="0" t="str">
        <f aca="false">IF(C1756=0,B1756,"")</f>
        <v/>
      </c>
      <c r="E1756" s="0" t="str">
        <f aca="false">IF(C1756=0,A1756,"")</f>
        <v/>
      </c>
    </row>
    <row r="1757" customFormat="false" ht="12.8" hidden="false" customHeight="false" outlineLevel="0" collapsed="false">
      <c r="A1757" s="0" t="s">
        <v>2608</v>
      </c>
      <c r="B1757" s="0" t="s">
        <v>1442</v>
      </c>
      <c r="C1757" s="0" t="n">
        <v>1</v>
      </c>
      <c r="D1757" s="0" t="str">
        <f aca="false">IF(C1757=0,B1757,"")</f>
        <v/>
      </c>
      <c r="E1757" s="0" t="str">
        <f aca="false">IF(C1757=0,A1757,"")</f>
        <v/>
      </c>
    </row>
    <row r="1758" customFormat="false" ht="12.8" hidden="false" customHeight="false" outlineLevel="0" collapsed="false">
      <c r="A1758" s="0" t="s">
        <v>2609</v>
      </c>
      <c r="B1758" s="0" t="s">
        <v>1442</v>
      </c>
      <c r="C1758" s="0" t="n">
        <v>1</v>
      </c>
      <c r="D1758" s="0" t="str">
        <f aca="false">IF(C1758=0,B1758,"")</f>
        <v/>
      </c>
      <c r="E1758" s="0" t="str">
        <f aca="false">IF(C1758=0,A1758,"")</f>
        <v/>
      </c>
    </row>
    <row r="1759" customFormat="false" ht="12.8" hidden="false" customHeight="false" outlineLevel="0" collapsed="false">
      <c r="A1759" s="0" t="s">
        <v>2610</v>
      </c>
      <c r="B1759" s="0" t="s">
        <v>1444</v>
      </c>
      <c r="C1759" s="0" t="n">
        <v>1</v>
      </c>
      <c r="D1759" s="0" t="str">
        <f aca="false">IF(C1759=0,B1759,"")</f>
        <v/>
      </c>
      <c r="E1759" s="0" t="str">
        <f aca="false">IF(C1759=0,A1759,"")</f>
        <v/>
      </c>
    </row>
    <row r="1760" customFormat="false" ht="12.8" hidden="false" customHeight="false" outlineLevel="0" collapsed="false">
      <c r="A1760" s="0" t="s">
        <v>2611</v>
      </c>
      <c r="B1760" s="0" t="s">
        <v>3525</v>
      </c>
      <c r="C1760" s="0" t="n">
        <v>0</v>
      </c>
      <c r="D1760" s="0" t="str">
        <f aca="false">IF(C1760=0,B1760,"")</f>
        <v>쯰</v>
      </c>
      <c r="E1760" s="0" t="str">
        <f aca="false">IF(C1760=0,A1760,"")</f>
        <v>째</v>
      </c>
    </row>
    <row r="1761" customFormat="false" ht="12.8" hidden="false" customHeight="false" outlineLevel="0" collapsed="false">
      <c r="A1761" s="0" t="s">
        <v>2612</v>
      </c>
      <c r="B1761" s="0" t="s">
        <v>1447</v>
      </c>
      <c r="C1761" s="0" t="n">
        <v>1</v>
      </c>
      <c r="D1761" s="0" t="str">
        <f aca="false">IF(C1761=0,B1761,"")</f>
        <v/>
      </c>
      <c r="E1761" s="0" t="str">
        <f aca="false">IF(C1761=0,A1761,"")</f>
        <v/>
      </c>
    </row>
    <row r="1762" customFormat="false" ht="12.8" hidden="false" customHeight="false" outlineLevel="0" collapsed="false">
      <c r="A1762" s="0" t="s">
        <v>2613</v>
      </c>
      <c r="B1762" s="0" t="s">
        <v>1448</v>
      </c>
      <c r="C1762" s="0" t="n">
        <v>1</v>
      </c>
      <c r="D1762" s="0" t="str">
        <f aca="false">IF(C1762=0,B1762,"")</f>
        <v/>
      </c>
      <c r="E1762" s="0" t="str">
        <f aca="false">IF(C1762=0,A1762,"")</f>
        <v/>
      </c>
    </row>
    <row r="1763" customFormat="false" ht="12.8" hidden="false" customHeight="false" outlineLevel="0" collapsed="false">
      <c r="A1763" s="0" t="s">
        <v>2614</v>
      </c>
      <c r="B1763" s="0" t="s">
        <v>1449</v>
      </c>
      <c r="C1763" s="0" t="n">
        <v>1</v>
      </c>
      <c r="D1763" s="0" t="str">
        <f aca="false">IF(C1763=0,B1763,"")</f>
        <v/>
      </c>
      <c r="E1763" s="0" t="str">
        <f aca="false">IF(C1763=0,A1763,"")</f>
        <v/>
      </c>
    </row>
    <row r="1764" customFormat="false" ht="12.8" hidden="false" customHeight="false" outlineLevel="0" collapsed="false">
      <c r="A1764" s="0" t="s">
        <v>2615</v>
      </c>
      <c r="B1764" s="0" t="s">
        <v>1450</v>
      </c>
      <c r="C1764" s="0" t="n">
        <v>1</v>
      </c>
      <c r="D1764" s="0" t="str">
        <f aca="false">IF(C1764=0,B1764,"")</f>
        <v/>
      </c>
      <c r="E1764" s="0" t="str">
        <f aca="false">IF(C1764=0,A1764,"")</f>
        <v/>
      </c>
    </row>
    <row r="1765" customFormat="false" ht="12.8" hidden="false" customHeight="false" outlineLevel="0" collapsed="false">
      <c r="A1765" s="0" t="s">
        <v>2616</v>
      </c>
      <c r="B1765" s="0" t="s">
        <v>1451</v>
      </c>
      <c r="C1765" s="0" t="n">
        <v>1</v>
      </c>
      <c r="D1765" s="0" t="str">
        <f aca="false">IF(C1765=0,B1765,"")</f>
        <v/>
      </c>
      <c r="E1765" s="0" t="str">
        <f aca="false">IF(C1765=0,A1765,"")</f>
        <v/>
      </c>
    </row>
    <row r="1766" customFormat="false" ht="12.8" hidden="false" customHeight="false" outlineLevel="0" collapsed="false">
      <c r="A1766" s="0" t="s">
        <v>2617</v>
      </c>
      <c r="B1766" s="0" t="s">
        <v>1452</v>
      </c>
      <c r="C1766" s="0" t="n">
        <v>1</v>
      </c>
      <c r="D1766" s="0" t="str">
        <f aca="false">IF(C1766=0,B1766,"")</f>
        <v/>
      </c>
      <c r="E1766" s="0" t="str">
        <f aca="false">IF(C1766=0,A1766,"")</f>
        <v/>
      </c>
    </row>
    <row r="1767" customFormat="false" ht="12.8" hidden="false" customHeight="false" outlineLevel="0" collapsed="false">
      <c r="A1767" s="0" t="s">
        <v>2618</v>
      </c>
      <c r="B1767" s="0" t="s">
        <v>1452</v>
      </c>
      <c r="C1767" s="0" t="n">
        <v>1</v>
      </c>
      <c r="D1767" s="0" t="str">
        <f aca="false">IF(C1767=0,B1767,"")</f>
        <v/>
      </c>
      <c r="E1767" s="0" t="str">
        <f aca="false">IF(C1767=0,A1767,"")</f>
        <v/>
      </c>
    </row>
    <row r="1768" customFormat="false" ht="12.8" hidden="false" customHeight="false" outlineLevel="0" collapsed="false">
      <c r="A1768" s="0" t="s">
        <v>2619</v>
      </c>
      <c r="B1768" s="0" t="s">
        <v>1454</v>
      </c>
      <c r="C1768" s="0" t="n">
        <v>1</v>
      </c>
      <c r="D1768" s="0" t="str">
        <f aca="false">IF(C1768=0,B1768,"")</f>
        <v/>
      </c>
      <c r="E1768" s="0" t="str">
        <f aca="false">IF(C1768=0,A1768,"")</f>
        <v/>
      </c>
    </row>
    <row r="1769" customFormat="false" ht="12.8" hidden="false" customHeight="false" outlineLevel="0" collapsed="false">
      <c r="A1769" s="0" t="s">
        <v>2620</v>
      </c>
      <c r="B1769" s="0" t="s">
        <v>3526</v>
      </c>
      <c r="C1769" s="0" t="n">
        <v>0</v>
      </c>
      <c r="D1769" s="0" t="str">
        <f aca="false">IF(C1769=0,B1769,"")</f>
        <v>쬬</v>
      </c>
      <c r="E1769" s="0" t="str">
        <f aca="false">IF(C1769=0,A1769,"")</f>
        <v>쨔</v>
      </c>
    </row>
    <row r="1770" customFormat="false" ht="12.8" hidden="false" customHeight="false" outlineLevel="0" collapsed="false">
      <c r="A1770" s="0" t="s">
        <v>2621</v>
      </c>
      <c r="B1770" s="0" t="s">
        <v>3527</v>
      </c>
      <c r="C1770" s="0" t="n">
        <v>0</v>
      </c>
      <c r="D1770" s="0" t="str">
        <f aca="false">IF(C1770=0,B1770,"")</f>
        <v>땬</v>
      </c>
      <c r="E1770" s="0" t="str">
        <f aca="false">IF(C1770=0,A1770,"")</f>
        <v>쨘</v>
      </c>
    </row>
    <row r="1771" customFormat="false" ht="12.8" hidden="false" customHeight="false" outlineLevel="0" collapsed="false">
      <c r="A1771" s="0" t="s">
        <v>2622</v>
      </c>
      <c r="B1771" s="0" t="s">
        <v>3528</v>
      </c>
      <c r="C1771" s="0" t="n">
        <v>0</v>
      </c>
      <c r="D1771" s="0" t="str">
        <f aca="false">IF(C1771=0,B1771,"")</f>
        <v>땽</v>
      </c>
      <c r="E1771" s="0" t="str">
        <f aca="false">IF(C1771=0,A1771,"")</f>
        <v>쨩</v>
      </c>
    </row>
    <row r="1772" customFormat="false" ht="12.8" hidden="false" customHeight="false" outlineLevel="0" collapsed="false">
      <c r="A1772" s="0" t="s">
        <v>2623</v>
      </c>
      <c r="B1772" s="0" t="s">
        <v>2657</v>
      </c>
      <c r="C1772" s="0" t="n">
        <v>1</v>
      </c>
      <c r="D1772" s="0" t="str">
        <f aca="false">IF(C1772=0,B1772,"")</f>
        <v/>
      </c>
      <c r="E1772" s="0" t="str">
        <f aca="false">IF(C1772=0,A1772,"")</f>
        <v/>
      </c>
    </row>
    <row r="1773" customFormat="false" ht="12.8" hidden="false" customHeight="false" outlineLevel="0" collapsed="false">
      <c r="A1773" s="0" t="s">
        <v>2624</v>
      </c>
      <c r="B1773" s="0" t="s">
        <v>1456</v>
      </c>
      <c r="C1773" s="0" t="n">
        <v>1</v>
      </c>
      <c r="D1773" s="0" t="str">
        <f aca="false">IF(C1773=0,B1773,"")</f>
        <v/>
      </c>
      <c r="E1773" s="0" t="str">
        <f aca="false">IF(C1773=0,A1773,"")</f>
        <v/>
      </c>
    </row>
    <row r="1774" customFormat="false" ht="12.8" hidden="false" customHeight="false" outlineLevel="0" collapsed="false">
      <c r="A1774" s="0" t="s">
        <v>2625</v>
      </c>
      <c r="B1774" s="0" t="s">
        <v>1457</v>
      </c>
      <c r="C1774" s="0" t="n">
        <v>1</v>
      </c>
      <c r="D1774" s="0" t="str">
        <f aca="false">IF(C1774=0,B1774,"")</f>
        <v/>
      </c>
      <c r="E1774" s="0" t="str">
        <f aca="false">IF(C1774=0,A1774,"")</f>
        <v/>
      </c>
    </row>
    <row r="1775" customFormat="false" ht="12.8" hidden="false" customHeight="false" outlineLevel="0" collapsed="false">
      <c r="A1775" s="0" t="s">
        <v>2626</v>
      </c>
      <c r="B1775" s="0" t="s">
        <v>1458</v>
      </c>
      <c r="C1775" s="0" t="n">
        <v>1</v>
      </c>
      <c r="D1775" s="0" t="str">
        <f aca="false">IF(C1775=0,B1775,"")</f>
        <v/>
      </c>
      <c r="E1775" s="0" t="str">
        <f aca="false">IF(C1775=0,A1775,"")</f>
        <v/>
      </c>
    </row>
    <row r="1776" customFormat="false" ht="12.8" hidden="false" customHeight="false" outlineLevel="0" collapsed="false">
      <c r="A1776" s="0" t="s">
        <v>2627</v>
      </c>
      <c r="B1776" s="0" t="s">
        <v>1461</v>
      </c>
      <c r="C1776" s="0" t="n">
        <v>1</v>
      </c>
      <c r="D1776" s="0" t="str">
        <f aca="false">IF(C1776=0,B1776,"")</f>
        <v/>
      </c>
      <c r="E1776" s="0" t="str">
        <f aca="false">IF(C1776=0,A1776,"")</f>
        <v/>
      </c>
    </row>
    <row r="1777" customFormat="false" ht="12.8" hidden="false" customHeight="false" outlineLevel="0" collapsed="false">
      <c r="A1777" s="0" t="s">
        <v>2628</v>
      </c>
      <c r="B1777" s="0" t="s">
        <v>1462</v>
      </c>
      <c r="C1777" s="0" t="n">
        <v>1</v>
      </c>
      <c r="D1777" s="0" t="str">
        <f aca="false">IF(C1777=0,B1777,"")</f>
        <v/>
      </c>
      <c r="E1777" s="0" t="str">
        <f aca="false">IF(C1777=0,A1777,"")</f>
        <v/>
      </c>
    </row>
    <row r="1778" customFormat="false" ht="12.8" hidden="false" customHeight="false" outlineLevel="0" collapsed="false">
      <c r="A1778" s="0" t="s">
        <v>2629</v>
      </c>
      <c r="B1778" s="0" t="s">
        <v>1463</v>
      </c>
      <c r="C1778" s="0" t="n">
        <v>1</v>
      </c>
      <c r="D1778" s="0" t="str">
        <f aca="false">IF(C1778=0,B1778,"")</f>
        <v/>
      </c>
      <c r="E1778" s="0" t="str">
        <f aca="false">IF(C1778=0,A1778,"")</f>
        <v/>
      </c>
    </row>
    <row r="1779" customFormat="false" ht="12.8" hidden="false" customHeight="false" outlineLevel="0" collapsed="false">
      <c r="A1779" s="0" t="s">
        <v>2630</v>
      </c>
      <c r="B1779" s="0" t="s">
        <v>1463</v>
      </c>
      <c r="C1779" s="0" t="n">
        <v>1</v>
      </c>
      <c r="D1779" s="0" t="str">
        <f aca="false">IF(C1779=0,B1779,"")</f>
        <v/>
      </c>
      <c r="E1779" s="0" t="str">
        <f aca="false">IF(C1779=0,A1779,"")</f>
        <v/>
      </c>
    </row>
    <row r="1780" customFormat="false" ht="12.8" hidden="false" customHeight="false" outlineLevel="0" collapsed="false">
      <c r="A1780" s="0" t="s">
        <v>2631</v>
      </c>
      <c r="B1780" s="0" t="s">
        <v>1465</v>
      </c>
      <c r="C1780" s="0" t="n">
        <v>1</v>
      </c>
      <c r="D1780" s="0" t="str">
        <f aca="false">IF(C1780=0,B1780,"")</f>
        <v/>
      </c>
      <c r="E1780" s="0" t="str">
        <f aca="false">IF(C1780=0,A1780,"")</f>
        <v/>
      </c>
    </row>
    <row r="1781" customFormat="false" ht="12.8" hidden="false" customHeight="false" outlineLevel="0" collapsed="false">
      <c r="A1781" s="0" t="s">
        <v>2632</v>
      </c>
      <c r="B1781" s="0" t="s">
        <v>2600</v>
      </c>
      <c r="C1781" s="0" t="n">
        <v>1</v>
      </c>
      <c r="D1781" s="0" t="str">
        <f aca="false">IF(C1781=0,B1781,"")</f>
        <v/>
      </c>
      <c r="E1781" s="0" t="str">
        <f aca="false">IF(C1781=0,A1781,"")</f>
        <v/>
      </c>
    </row>
    <row r="1782" customFormat="false" ht="12.8" hidden="false" customHeight="false" outlineLevel="0" collapsed="false">
      <c r="A1782" s="0" t="s">
        <v>2633</v>
      </c>
      <c r="B1782" s="0" t="s">
        <v>1475</v>
      </c>
      <c r="C1782" s="0" t="n">
        <v>1</v>
      </c>
      <c r="D1782" s="0" t="str">
        <f aca="false">IF(C1782=0,B1782,"")</f>
        <v/>
      </c>
      <c r="E1782" s="0" t="str">
        <f aca="false">IF(C1782=0,A1782,"")</f>
        <v/>
      </c>
    </row>
    <row r="1783" customFormat="false" ht="12.8" hidden="false" customHeight="false" outlineLevel="0" collapsed="false">
      <c r="A1783" s="0" t="s">
        <v>2634</v>
      </c>
      <c r="B1783" s="0" t="s">
        <v>2668</v>
      </c>
      <c r="C1783" s="0" t="n">
        <v>1</v>
      </c>
      <c r="D1783" s="0" t="str">
        <f aca="false">IF(C1783=0,B1783,"")</f>
        <v/>
      </c>
      <c r="E1783" s="0" t="str">
        <f aca="false">IF(C1783=0,A1783,"")</f>
        <v/>
      </c>
    </row>
    <row r="1784" customFormat="false" ht="12.8" hidden="false" customHeight="false" outlineLevel="0" collapsed="false">
      <c r="A1784" s="0" t="s">
        <v>2635</v>
      </c>
      <c r="B1784" s="0" t="s">
        <v>3529</v>
      </c>
      <c r="C1784" s="0" t="n">
        <v>0</v>
      </c>
      <c r="D1784" s="0" t="str">
        <f aca="false">IF(C1784=0,B1784,"")</f>
        <v>뗫</v>
      </c>
      <c r="E1784" s="0" t="str">
        <f aca="false">IF(C1784=0,A1784,"")</f>
        <v>쪘</v>
      </c>
    </row>
    <row r="1785" customFormat="false" ht="12.8" hidden="false" customHeight="false" outlineLevel="0" collapsed="false">
      <c r="A1785" s="0" t="s">
        <v>2636</v>
      </c>
      <c r="B1785" s="0" t="s">
        <v>2623</v>
      </c>
      <c r="C1785" s="0" t="n">
        <v>1</v>
      </c>
      <c r="D1785" s="0" t="str">
        <f aca="false">IF(C1785=0,B1785,"")</f>
        <v/>
      </c>
      <c r="E1785" s="0" t="str">
        <f aca="false">IF(C1785=0,A1785,"")</f>
        <v/>
      </c>
    </row>
    <row r="1786" customFormat="false" ht="12.8" hidden="false" customHeight="false" outlineLevel="0" collapsed="false">
      <c r="A1786" s="0" t="s">
        <v>2637</v>
      </c>
      <c r="B1786" s="0" t="s">
        <v>1479</v>
      </c>
      <c r="C1786" s="0" t="n">
        <v>1</v>
      </c>
      <c r="D1786" s="0" t="str">
        <f aca="false">IF(C1786=0,B1786,"")</f>
        <v/>
      </c>
      <c r="E1786" s="0" t="str">
        <f aca="false">IF(C1786=0,A1786,"")</f>
        <v/>
      </c>
    </row>
    <row r="1787" customFormat="false" ht="12.8" hidden="false" customHeight="false" outlineLevel="0" collapsed="false">
      <c r="A1787" s="0" t="s">
        <v>2638</v>
      </c>
      <c r="B1787" s="0" t="s">
        <v>1480</v>
      </c>
      <c r="C1787" s="0" t="n">
        <v>1</v>
      </c>
      <c r="D1787" s="0" t="str">
        <f aca="false">IF(C1787=0,B1787,"")</f>
        <v/>
      </c>
      <c r="E1787" s="0" t="str">
        <f aca="false">IF(C1787=0,A1787,"")</f>
        <v/>
      </c>
    </row>
    <row r="1788" customFormat="false" ht="12.8" hidden="false" customHeight="false" outlineLevel="0" collapsed="false">
      <c r="A1788" s="0" t="s">
        <v>2639</v>
      </c>
      <c r="B1788" s="0" t="s">
        <v>1481</v>
      </c>
      <c r="C1788" s="0" t="n">
        <v>1</v>
      </c>
      <c r="D1788" s="0" t="str">
        <f aca="false">IF(C1788=0,B1788,"")</f>
        <v/>
      </c>
      <c r="E1788" s="0" t="str">
        <f aca="false">IF(C1788=0,A1788,"")</f>
        <v/>
      </c>
    </row>
    <row r="1789" customFormat="false" ht="12.8" hidden="false" customHeight="false" outlineLevel="0" collapsed="false">
      <c r="A1789" s="0" t="s">
        <v>2640</v>
      </c>
      <c r="B1789" s="0" t="s">
        <v>3530</v>
      </c>
      <c r="C1789" s="0" t="n">
        <v>0</v>
      </c>
      <c r="D1789" s="0" t="str">
        <f aca="false">IF(C1789=0,B1789,"")</f>
        <v>똠</v>
      </c>
      <c r="E1789" s="0" t="str">
        <f aca="false">IF(C1789=0,A1789,"")</f>
        <v>쫌</v>
      </c>
    </row>
    <row r="1790" customFormat="false" ht="12.8" hidden="false" customHeight="false" outlineLevel="0" collapsed="false">
      <c r="A1790" s="0" t="s">
        <v>2641</v>
      </c>
      <c r="B1790" s="0" t="s">
        <v>3531</v>
      </c>
      <c r="C1790" s="0" t="n">
        <v>0</v>
      </c>
      <c r="D1790" s="0" t="str">
        <f aca="false">IF(C1790=0,B1790,"")</f>
        <v>똡</v>
      </c>
      <c r="E1790" s="0" t="str">
        <f aca="false">IF(C1790=0,A1790,"")</f>
        <v>쫍</v>
      </c>
    </row>
    <row r="1791" customFormat="false" ht="12.8" hidden="false" customHeight="false" outlineLevel="0" collapsed="false">
      <c r="A1791" s="0" t="s">
        <v>2642</v>
      </c>
      <c r="B1791" s="0" t="s">
        <v>3532</v>
      </c>
      <c r="C1791" s="0" t="n">
        <v>0</v>
      </c>
      <c r="D1791" s="0" t="str">
        <f aca="false">IF(C1791=0,B1791,"")</f>
        <v>똣</v>
      </c>
      <c r="E1791" s="0" t="str">
        <f aca="false">IF(C1791=0,A1791,"")</f>
        <v>쫏</v>
      </c>
    </row>
    <row r="1792" customFormat="false" ht="12.8" hidden="false" customHeight="false" outlineLevel="0" collapsed="false">
      <c r="A1792" s="0" t="s">
        <v>2643</v>
      </c>
      <c r="B1792" s="0" t="s">
        <v>1482</v>
      </c>
      <c r="C1792" s="0" t="n">
        <v>1</v>
      </c>
      <c r="D1792" s="0" t="str">
        <f aca="false">IF(C1792=0,B1792,"")</f>
        <v/>
      </c>
      <c r="E1792" s="0" t="str">
        <f aca="false">IF(C1792=0,A1792,"")</f>
        <v/>
      </c>
    </row>
    <row r="1793" customFormat="false" ht="12.8" hidden="false" customHeight="false" outlineLevel="0" collapsed="false">
      <c r="A1793" s="0" t="s">
        <v>2644</v>
      </c>
      <c r="B1793" s="0" t="s">
        <v>3532</v>
      </c>
      <c r="C1793" s="0" t="n">
        <v>0</v>
      </c>
      <c r="D1793" s="0" t="str">
        <f aca="false">IF(C1793=0,B1793,"")</f>
        <v>똣</v>
      </c>
      <c r="E1793" s="0" t="str">
        <f aca="false">IF(C1793=0,A1793,"")</f>
        <v>쫓</v>
      </c>
    </row>
    <row r="1794" customFormat="false" ht="12.8" hidden="false" customHeight="false" outlineLevel="0" collapsed="false">
      <c r="A1794" s="0" t="s">
        <v>2645</v>
      </c>
      <c r="B1794" s="0" t="s">
        <v>3533</v>
      </c>
      <c r="C1794" s="0" t="n">
        <v>0</v>
      </c>
      <c r="D1794" s="0" t="str">
        <f aca="false">IF(C1794=0,B1794,"")</f>
        <v>쪠</v>
      </c>
      <c r="E1794" s="0" t="str">
        <f aca="false">IF(C1794=0,A1794,"")</f>
        <v>쫘</v>
      </c>
    </row>
    <row r="1795" customFormat="false" ht="12.8" hidden="false" customHeight="false" outlineLevel="0" collapsed="false">
      <c r="A1795" s="0" t="s">
        <v>2646</v>
      </c>
      <c r="B1795" s="0" t="s">
        <v>3534</v>
      </c>
      <c r="C1795" s="0" t="n">
        <v>0</v>
      </c>
      <c r="D1795" s="0" t="str">
        <f aca="false">IF(C1795=0,B1795,"")</f>
        <v>똭</v>
      </c>
      <c r="E1795" s="0" t="str">
        <f aca="false">IF(C1795=0,A1795,"")</f>
        <v>쫙</v>
      </c>
    </row>
    <row r="1796" customFormat="false" ht="12.8" hidden="false" customHeight="false" outlineLevel="0" collapsed="false">
      <c r="A1796" s="0" t="s">
        <v>2647</v>
      </c>
      <c r="B1796" s="0" t="s">
        <v>1484</v>
      </c>
      <c r="C1796" s="0" t="n">
        <v>1</v>
      </c>
      <c r="D1796" s="0" t="str">
        <f aca="false">IF(C1796=0,B1796,"")</f>
        <v/>
      </c>
      <c r="E1796" s="0" t="str">
        <f aca="false">IF(C1796=0,A1796,"")</f>
        <v/>
      </c>
    </row>
    <row r="1797" customFormat="false" ht="12.8" hidden="false" customHeight="false" outlineLevel="0" collapsed="false">
      <c r="A1797" s="0" t="s">
        <v>2648</v>
      </c>
      <c r="B1797" s="0" t="s">
        <v>3535</v>
      </c>
      <c r="C1797" s="0" t="n">
        <v>0</v>
      </c>
      <c r="D1797" s="0" t="str">
        <f aca="false">IF(C1797=0,B1797,"")</f>
        <v>똿</v>
      </c>
      <c r="E1797" s="0" t="str">
        <f aca="false">IF(C1797=0,A1797,"")</f>
        <v>쫬</v>
      </c>
    </row>
    <row r="1798" customFormat="false" ht="12.8" hidden="false" customHeight="false" outlineLevel="0" collapsed="false">
      <c r="A1798" s="0" t="s">
        <v>2649</v>
      </c>
      <c r="B1798" s="0" t="s">
        <v>3536</v>
      </c>
      <c r="C1798" s="0" t="n">
        <v>0</v>
      </c>
      <c r="D1798" s="0" t="str">
        <f aca="false">IF(C1798=0,B1798,"")</f>
        <v>쨰</v>
      </c>
      <c r="E1798" s="0" t="str">
        <f aca="false">IF(C1798=0,A1798,"")</f>
        <v>쫴</v>
      </c>
    </row>
    <row r="1799" customFormat="false" ht="12.8" hidden="false" customHeight="false" outlineLevel="0" collapsed="false">
      <c r="A1799" s="0" t="s">
        <v>2650</v>
      </c>
      <c r="B1799" s="0" t="s">
        <v>3537</v>
      </c>
      <c r="C1799" s="0" t="n">
        <v>0</v>
      </c>
      <c r="D1799" s="0" t="str">
        <f aca="false">IF(C1799=0,B1799,"")</f>
        <v>뙛</v>
      </c>
      <c r="E1799" s="0" t="str">
        <f aca="false">IF(C1799=0,A1799,"")</f>
        <v>쬈</v>
      </c>
    </row>
    <row r="1800" customFormat="false" ht="12.8" hidden="false" customHeight="false" outlineLevel="0" collapsed="false">
      <c r="A1800" s="0" t="s">
        <v>2651</v>
      </c>
      <c r="B1800" s="0" t="s">
        <v>2664</v>
      </c>
      <c r="C1800" s="0" t="n">
        <v>1</v>
      </c>
      <c r="D1800" s="0" t="str">
        <f aca="false">IF(C1800=0,B1800,"")</f>
        <v/>
      </c>
      <c r="E1800" s="0" t="str">
        <f aca="false">IF(C1800=0,A1800,"")</f>
        <v/>
      </c>
    </row>
    <row r="1801" customFormat="false" ht="12.8" hidden="false" customHeight="false" outlineLevel="0" collapsed="false">
      <c r="A1801" s="0" t="s">
        <v>2652</v>
      </c>
      <c r="B1801" s="0" t="s">
        <v>1487</v>
      </c>
      <c r="C1801" s="0" t="n">
        <v>1</v>
      </c>
      <c r="D1801" s="0" t="str">
        <f aca="false">IF(C1801=0,B1801,"")</f>
        <v/>
      </c>
      <c r="E1801" s="0" t="str">
        <f aca="false">IF(C1801=0,A1801,"")</f>
        <v/>
      </c>
    </row>
    <row r="1802" customFormat="false" ht="12.8" hidden="false" customHeight="false" outlineLevel="0" collapsed="false">
      <c r="A1802" s="0" t="s">
        <v>2653</v>
      </c>
      <c r="B1802" s="0" t="s">
        <v>3538</v>
      </c>
      <c r="C1802" s="0" t="n">
        <v>0</v>
      </c>
      <c r="D1802" s="0" t="str">
        <f aca="false">IF(C1802=0,B1802,"")</f>
        <v>뙬</v>
      </c>
      <c r="E1802" s="0" t="str">
        <f aca="false">IF(C1802=0,A1802,"")</f>
        <v>쬘</v>
      </c>
    </row>
    <row r="1803" customFormat="false" ht="12.8" hidden="false" customHeight="false" outlineLevel="0" collapsed="false">
      <c r="A1803" s="0" t="s">
        <v>2654</v>
      </c>
      <c r="B1803" s="0" t="s">
        <v>3539</v>
      </c>
      <c r="C1803" s="0" t="n">
        <v>0</v>
      </c>
      <c r="D1803" s="0" t="str">
        <f aca="false">IF(C1803=0,B1803,"")</f>
        <v>뙴</v>
      </c>
      <c r="E1803" s="0" t="str">
        <f aca="false">IF(C1803=0,A1803,"")</f>
        <v>쬠</v>
      </c>
    </row>
    <row r="1804" customFormat="false" ht="12.8" hidden="false" customHeight="false" outlineLevel="0" collapsed="false">
      <c r="A1804" s="0" t="s">
        <v>2655</v>
      </c>
      <c r="B1804" s="0" t="s">
        <v>3540</v>
      </c>
      <c r="C1804" s="0" t="n">
        <v>0</v>
      </c>
      <c r="D1804" s="0" t="str">
        <f aca="false">IF(C1804=0,B1804,"")</f>
        <v>뙵</v>
      </c>
      <c r="E1804" s="0" t="str">
        <f aca="false">IF(C1804=0,A1804,"")</f>
        <v>쬡</v>
      </c>
    </row>
    <row r="1805" customFormat="false" ht="12.8" hidden="false" customHeight="false" outlineLevel="0" collapsed="false">
      <c r="A1805" s="0" t="s">
        <v>2656</v>
      </c>
      <c r="B1805" s="0" t="s">
        <v>3541</v>
      </c>
      <c r="C1805" s="0" t="n">
        <v>0</v>
      </c>
      <c r="D1805" s="0" t="str">
        <f aca="false">IF(C1805=0,B1805,"")</f>
        <v>뚕</v>
      </c>
      <c r="E1805" s="0" t="str">
        <f aca="false">IF(C1805=0,A1805,"")</f>
        <v>쭁</v>
      </c>
    </row>
    <row r="1806" customFormat="false" ht="12.8" hidden="false" customHeight="false" outlineLevel="0" collapsed="false">
      <c r="A1806" s="0" t="s">
        <v>2657</v>
      </c>
      <c r="B1806" s="0" t="s">
        <v>2632</v>
      </c>
      <c r="C1806" s="0" t="n">
        <v>1</v>
      </c>
      <c r="D1806" s="0" t="str">
        <f aca="false">IF(C1806=0,B1806,"")</f>
        <v/>
      </c>
      <c r="E1806" s="0" t="str">
        <f aca="false">IF(C1806=0,A1806,"")</f>
        <v/>
      </c>
    </row>
    <row r="1807" customFormat="false" ht="12.8" hidden="false" customHeight="false" outlineLevel="0" collapsed="false">
      <c r="A1807" s="0" t="s">
        <v>2658</v>
      </c>
      <c r="B1807" s="0" t="s">
        <v>1489</v>
      </c>
      <c r="C1807" s="0" t="n">
        <v>1</v>
      </c>
      <c r="D1807" s="0" t="str">
        <f aca="false">IF(C1807=0,B1807,"")</f>
        <v/>
      </c>
      <c r="E1807" s="0" t="str">
        <f aca="false">IF(C1807=0,A1807,"")</f>
        <v/>
      </c>
    </row>
    <row r="1808" customFormat="false" ht="12.8" hidden="false" customHeight="false" outlineLevel="0" collapsed="false">
      <c r="A1808" s="0" t="s">
        <v>2659</v>
      </c>
      <c r="B1808" s="0" t="s">
        <v>1490</v>
      </c>
      <c r="C1808" s="0" t="n">
        <v>1</v>
      </c>
      <c r="D1808" s="0" t="str">
        <f aca="false">IF(C1808=0,B1808,"")</f>
        <v/>
      </c>
      <c r="E1808" s="0" t="str">
        <f aca="false">IF(C1808=0,A1808,"")</f>
        <v/>
      </c>
    </row>
    <row r="1809" customFormat="false" ht="12.8" hidden="false" customHeight="false" outlineLevel="0" collapsed="false">
      <c r="A1809" s="0" t="s">
        <v>2660</v>
      </c>
      <c r="B1809" s="0" t="s">
        <v>1491</v>
      </c>
      <c r="C1809" s="0" t="n">
        <v>1</v>
      </c>
      <c r="D1809" s="0" t="str">
        <f aca="false">IF(C1809=0,B1809,"")</f>
        <v/>
      </c>
      <c r="E1809" s="0" t="str">
        <f aca="false">IF(C1809=0,A1809,"")</f>
        <v/>
      </c>
    </row>
    <row r="1810" customFormat="false" ht="12.8" hidden="false" customHeight="false" outlineLevel="0" collapsed="false">
      <c r="A1810" s="0" t="s">
        <v>2661</v>
      </c>
      <c r="B1810" s="0" t="s">
        <v>1493</v>
      </c>
      <c r="C1810" s="0" t="n">
        <v>1</v>
      </c>
      <c r="D1810" s="0" t="str">
        <f aca="false">IF(C1810=0,B1810,"")</f>
        <v/>
      </c>
      <c r="E1810" s="0" t="str">
        <f aca="false">IF(C1810=0,A1810,"")</f>
        <v/>
      </c>
    </row>
    <row r="1811" customFormat="false" ht="12.8" hidden="false" customHeight="false" outlineLevel="0" collapsed="false">
      <c r="A1811" s="0" t="s">
        <v>2662</v>
      </c>
      <c r="B1811" s="0" t="s">
        <v>3542</v>
      </c>
      <c r="C1811" s="0" t="n">
        <v>0</v>
      </c>
      <c r="D1811" s="0" t="str">
        <f aca="false">IF(C1811=0,B1811,"")</f>
        <v>뚭</v>
      </c>
      <c r="E1811" s="0" t="str">
        <f aca="false">IF(C1811=0,A1811,"")</f>
        <v>쭙</v>
      </c>
    </row>
    <row r="1812" customFormat="false" ht="12.8" hidden="false" customHeight="false" outlineLevel="0" collapsed="false">
      <c r="A1812" s="0" t="s">
        <v>2663</v>
      </c>
      <c r="B1812" s="0" t="s">
        <v>1494</v>
      </c>
      <c r="C1812" s="0" t="n">
        <v>1</v>
      </c>
      <c r="D1812" s="0" t="str">
        <f aca="false">IF(C1812=0,B1812,"")</f>
        <v/>
      </c>
      <c r="E1812" s="0" t="str">
        <f aca="false">IF(C1812=0,A1812,"")</f>
        <v/>
      </c>
    </row>
    <row r="1813" customFormat="false" ht="12.8" hidden="false" customHeight="false" outlineLevel="0" collapsed="false">
      <c r="A1813" s="0" t="s">
        <v>2664</v>
      </c>
      <c r="B1813" s="0" t="s">
        <v>2645</v>
      </c>
      <c r="C1813" s="0" t="n">
        <v>1</v>
      </c>
      <c r="D1813" s="0" t="str">
        <f aca="false">IF(C1813=0,B1813,"")</f>
        <v/>
      </c>
      <c r="E1813" s="0" t="str">
        <f aca="false">IF(C1813=0,A1813,"")</f>
        <v/>
      </c>
    </row>
    <row r="1814" customFormat="false" ht="12.8" hidden="false" customHeight="false" outlineLevel="0" collapsed="false">
      <c r="A1814" s="0" t="s">
        <v>2665</v>
      </c>
      <c r="B1814" s="0" t="s">
        <v>3543</v>
      </c>
      <c r="C1814" s="0" t="n">
        <v>0</v>
      </c>
      <c r="D1814" s="0" t="str">
        <f aca="false">IF(C1814=0,B1814,"")</f>
        <v>뛋</v>
      </c>
      <c r="E1814" s="0" t="str">
        <f aca="false">IF(C1814=0,A1814,"")</f>
        <v>쭸</v>
      </c>
    </row>
    <row r="1815" customFormat="false" ht="12.8" hidden="false" customHeight="false" outlineLevel="0" collapsed="false">
      <c r="A1815" s="0" t="s">
        <v>2666</v>
      </c>
      <c r="B1815" s="0" t="s">
        <v>3544</v>
      </c>
      <c r="C1815" s="0" t="n">
        <v>0</v>
      </c>
      <c r="D1815" s="0" t="str">
        <f aca="false">IF(C1815=0,B1815,"")</f>
        <v>뛍</v>
      </c>
      <c r="E1815" s="0" t="str">
        <f aca="false">IF(C1815=0,A1815,"")</f>
        <v>쭹</v>
      </c>
    </row>
    <row r="1816" customFormat="false" ht="12.8" hidden="false" customHeight="false" outlineLevel="0" collapsed="false">
      <c r="A1816" s="0" t="s">
        <v>2667</v>
      </c>
      <c r="B1816" s="0" t="s">
        <v>3545</v>
      </c>
      <c r="C1816" s="0" t="n">
        <v>0</v>
      </c>
      <c r="D1816" s="0" t="str">
        <f aca="false">IF(C1816=0,B1816,"")</f>
        <v>쮀</v>
      </c>
      <c r="E1816" s="0" t="str">
        <f aca="false">IF(C1816=0,A1816,"")</f>
        <v>쮜</v>
      </c>
    </row>
    <row r="1817" customFormat="false" ht="12.8" hidden="false" customHeight="false" outlineLevel="0" collapsed="false">
      <c r="A1817" s="0" t="s">
        <v>2668</v>
      </c>
      <c r="B1817" s="0" t="s">
        <v>2611</v>
      </c>
      <c r="C1817" s="0" t="n">
        <v>1</v>
      </c>
      <c r="D1817" s="0" t="str">
        <f aca="false">IF(C1817=0,B1817,"")</f>
        <v/>
      </c>
      <c r="E1817" s="0" t="str">
        <f aca="false">IF(C1817=0,A1817,"")</f>
        <v/>
      </c>
    </row>
    <row r="1818" customFormat="false" ht="12.8" hidden="false" customHeight="false" outlineLevel="0" collapsed="false">
      <c r="A1818" s="0" t="s">
        <v>2669</v>
      </c>
      <c r="B1818" s="0" t="s">
        <v>2620</v>
      </c>
      <c r="C1818" s="0" t="n">
        <v>1</v>
      </c>
      <c r="D1818" s="0" t="str">
        <f aca="false">IF(C1818=0,B1818,"")</f>
        <v/>
      </c>
      <c r="E1818" s="0" t="str">
        <f aca="false">IF(C1818=0,A1818,"")</f>
        <v/>
      </c>
    </row>
    <row r="1819" customFormat="false" ht="12.8" hidden="false" customHeight="false" outlineLevel="0" collapsed="false">
      <c r="A1819" s="0" t="s">
        <v>2670</v>
      </c>
      <c r="B1819" s="0" t="s">
        <v>1507</v>
      </c>
      <c r="C1819" s="0" t="n">
        <v>1</v>
      </c>
      <c r="D1819" s="0" t="str">
        <f aca="false">IF(C1819=0,B1819,"")</f>
        <v/>
      </c>
      <c r="E1819" s="0" t="str">
        <f aca="false">IF(C1819=0,A1819,"")</f>
        <v/>
      </c>
    </row>
    <row r="1820" customFormat="false" ht="12.8" hidden="false" customHeight="false" outlineLevel="0" collapsed="false">
      <c r="A1820" s="0" t="s">
        <v>2671</v>
      </c>
      <c r="B1820" s="0" t="s">
        <v>1509</v>
      </c>
      <c r="C1820" s="0" t="n">
        <v>1</v>
      </c>
      <c r="D1820" s="0" t="str">
        <f aca="false">IF(C1820=0,B1820,"")</f>
        <v/>
      </c>
      <c r="E1820" s="0" t="str">
        <f aca="false">IF(C1820=0,A1820,"")</f>
        <v/>
      </c>
    </row>
    <row r="1821" customFormat="false" ht="12.8" hidden="false" customHeight="false" outlineLevel="0" collapsed="false">
      <c r="A1821" s="0" t="s">
        <v>2672</v>
      </c>
      <c r="B1821" s="0" t="s">
        <v>3546</v>
      </c>
      <c r="C1821" s="0" t="n">
        <v>0</v>
      </c>
      <c r="D1821" s="0" t="str">
        <f aca="false">IF(C1821=0,B1821,"")</f>
        <v>뜽</v>
      </c>
      <c r="E1821" s="0" t="str">
        <f aca="false">IF(C1821=0,A1821,"")</f>
        <v>쯩</v>
      </c>
    </row>
    <row r="1822" customFormat="false" ht="12.8" hidden="false" customHeight="false" outlineLevel="0" collapsed="false">
      <c r="A1822" s="0" t="s">
        <v>2673</v>
      </c>
      <c r="B1822" s="0" t="s">
        <v>2669</v>
      </c>
      <c r="C1822" s="0" t="n">
        <v>1</v>
      </c>
      <c r="D1822" s="0" t="str">
        <f aca="false">IF(C1822=0,B1822,"")</f>
        <v/>
      </c>
      <c r="E1822" s="0" t="str">
        <f aca="false">IF(C1822=0,A1822,"")</f>
        <v/>
      </c>
    </row>
    <row r="1823" customFormat="false" ht="12.8" hidden="false" customHeight="false" outlineLevel="0" collapsed="false">
      <c r="A1823" s="0" t="s">
        <v>2674</v>
      </c>
      <c r="B1823" s="0" t="s">
        <v>3547</v>
      </c>
      <c r="C1823" s="0" t="n">
        <v>0</v>
      </c>
      <c r="D1823" s="0" t="str">
        <f aca="false">IF(C1823=0,B1823,"")</f>
        <v>띡</v>
      </c>
      <c r="E1823" s="0" t="str">
        <f aca="false">IF(C1823=0,A1823,"")</f>
        <v>찍</v>
      </c>
    </row>
    <row r="1824" customFormat="false" ht="12.8" hidden="false" customHeight="false" outlineLevel="0" collapsed="false">
      <c r="A1824" s="0" t="s">
        <v>2675</v>
      </c>
      <c r="B1824" s="0" t="s">
        <v>1516</v>
      </c>
      <c r="C1824" s="0" t="n">
        <v>1</v>
      </c>
      <c r="D1824" s="0" t="str">
        <f aca="false">IF(C1824=0,B1824,"")</f>
        <v/>
      </c>
      <c r="E1824" s="0" t="str">
        <f aca="false">IF(C1824=0,A1824,"")</f>
        <v/>
      </c>
    </row>
    <row r="1825" customFormat="false" ht="12.8" hidden="false" customHeight="false" outlineLevel="0" collapsed="false">
      <c r="A1825" s="0" t="s">
        <v>2676</v>
      </c>
      <c r="B1825" s="0" t="s">
        <v>1517</v>
      </c>
      <c r="C1825" s="0" t="n">
        <v>1</v>
      </c>
      <c r="D1825" s="0" t="str">
        <f aca="false">IF(C1825=0,B1825,"")</f>
        <v/>
      </c>
      <c r="E1825" s="0" t="str">
        <f aca="false">IF(C1825=0,A1825,"")</f>
        <v/>
      </c>
    </row>
    <row r="1826" customFormat="false" ht="12.8" hidden="false" customHeight="false" outlineLevel="0" collapsed="false">
      <c r="A1826" s="0" t="s">
        <v>2677</v>
      </c>
      <c r="B1826" s="0" t="s">
        <v>1518</v>
      </c>
      <c r="C1826" s="0" t="n">
        <v>1</v>
      </c>
      <c r="D1826" s="0" t="str">
        <f aca="false">IF(C1826=0,B1826,"")</f>
        <v/>
      </c>
      <c r="E1826" s="0" t="str">
        <f aca="false">IF(C1826=0,A1826,"")</f>
        <v/>
      </c>
    </row>
    <row r="1827" customFormat="false" ht="12.8" hidden="false" customHeight="false" outlineLevel="0" collapsed="false">
      <c r="A1827" s="0" t="s">
        <v>2678</v>
      </c>
      <c r="B1827" s="0" t="s">
        <v>1519</v>
      </c>
      <c r="C1827" s="0" t="n">
        <v>1</v>
      </c>
      <c r="D1827" s="0" t="str">
        <f aca="false">IF(C1827=0,B1827,"")</f>
        <v/>
      </c>
      <c r="E1827" s="0" t="str">
        <f aca="false">IF(C1827=0,A1827,"")</f>
        <v/>
      </c>
    </row>
    <row r="1828" customFormat="false" ht="12.8" hidden="false" customHeight="false" outlineLevel="0" collapsed="false">
      <c r="A1828" s="0" t="s">
        <v>2679</v>
      </c>
      <c r="B1828" s="0" t="s">
        <v>1521</v>
      </c>
      <c r="C1828" s="0" t="n">
        <v>1</v>
      </c>
      <c r="D1828" s="0" t="str">
        <f aca="false">IF(C1828=0,B1828,"")</f>
        <v/>
      </c>
      <c r="E1828" s="0" t="str">
        <f aca="false">IF(C1828=0,A1828,"")</f>
        <v/>
      </c>
    </row>
    <row r="1829" customFormat="false" ht="12.8" hidden="false" customHeight="false" outlineLevel="0" collapsed="false">
      <c r="A1829" s="0" t="s">
        <v>2680</v>
      </c>
      <c r="B1829" s="0" t="s">
        <v>1520</v>
      </c>
      <c r="C1829" s="0" t="n">
        <v>1</v>
      </c>
      <c r="D1829" s="0" t="str">
        <f aca="false">IF(C1829=0,B1829,"")</f>
        <v/>
      </c>
      <c r="E1829" s="0" t="str">
        <f aca="false">IF(C1829=0,A1829,"")</f>
        <v/>
      </c>
    </row>
    <row r="1830" customFormat="false" ht="12.8" hidden="false" customHeight="false" outlineLevel="0" collapsed="false">
      <c r="A1830" s="0" t="s">
        <v>2681</v>
      </c>
      <c r="B1830" s="0" t="s">
        <v>1520</v>
      </c>
      <c r="C1830" s="0" t="n">
        <v>1</v>
      </c>
      <c r="D1830" s="0" t="str">
        <f aca="false">IF(C1830=0,B1830,"")</f>
        <v/>
      </c>
      <c r="E1830" s="0" t="str">
        <f aca="false">IF(C1830=0,A1830,"")</f>
        <v/>
      </c>
    </row>
    <row r="1831" customFormat="false" ht="12.8" hidden="false" customHeight="false" outlineLevel="0" collapsed="false">
      <c r="A1831" s="0" t="s">
        <v>2682</v>
      </c>
      <c r="B1831" s="0" t="s">
        <v>2731</v>
      </c>
      <c r="C1831" s="0" t="n">
        <v>1</v>
      </c>
      <c r="D1831" s="0" t="str">
        <f aca="false">IF(C1831=0,B1831,"")</f>
        <v/>
      </c>
      <c r="E1831" s="0" t="str">
        <f aca="false">IF(C1831=0,A1831,"")</f>
        <v/>
      </c>
    </row>
    <row r="1832" customFormat="false" ht="12.8" hidden="false" customHeight="false" outlineLevel="0" collapsed="false">
      <c r="A1832" s="0" t="s">
        <v>2683</v>
      </c>
      <c r="B1832" s="0" t="s">
        <v>3003</v>
      </c>
      <c r="C1832" s="0" t="n">
        <v>1</v>
      </c>
      <c r="D1832" s="0" t="str">
        <f aca="false">IF(C1832=0,B1832,"")</f>
        <v/>
      </c>
      <c r="E1832" s="0" t="str">
        <f aca="false">IF(C1832=0,A1832,"")</f>
        <v/>
      </c>
    </row>
    <row r="1833" customFormat="false" ht="12.8" hidden="false" customHeight="false" outlineLevel="0" collapsed="false">
      <c r="A1833" s="0" t="s">
        <v>2684</v>
      </c>
      <c r="B1833" s="0" t="s">
        <v>3005</v>
      </c>
      <c r="C1833" s="0" t="n">
        <v>1</v>
      </c>
      <c r="D1833" s="0" t="str">
        <f aca="false">IF(C1833=0,B1833,"")</f>
        <v/>
      </c>
      <c r="E1833" s="0" t="str">
        <f aca="false">IF(C1833=0,A1833,"")</f>
        <v/>
      </c>
    </row>
    <row r="1834" customFormat="false" ht="12.8" hidden="false" customHeight="false" outlineLevel="0" collapsed="false">
      <c r="A1834" s="0" t="s">
        <v>2685</v>
      </c>
      <c r="B1834" s="0" t="s">
        <v>3005</v>
      </c>
      <c r="C1834" s="0" t="n">
        <v>1</v>
      </c>
      <c r="D1834" s="0" t="str">
        <f aca="false">IF(C1834=0,B1834,"")</f>
        <v/>
      </c>
      <c r="E1834" s="0" t="str">
        <f aca="false">IF(C1834=0,A1834,"")</f>
        <v/>
      </c>
    </row>
    <row r="1835" customFormat="false" ht="12.8" hidden="false" customHeight="false" outlineLevel="0" collapsed="false">
      <c r="A1835" s="0" t="s">
        <v>2686</v>
      </c>
      <c r="B1835" s="0" t="s">
        <v>3006</v>
      </c>
      <c r="C1835" s="0" t="n">
        <v>1</v>
      </c>
      <c r="D1835" s="0" t="str">
        <f aca="false">IF(C1835=0,B1835,"")</f>
        <v/>
      </c>
      <c r="E1835" s="0" t="str">
        <f aca="false">IF(C1835=0,A1835,"")</f>
        <v/>
      </c>
    </row>
    <row r="1836" customFormat="false" ht="12.8" hidden="false" customHeight="false" outlineLevel="0" collapsed="false">
      <c r="A1836" s="19" t="b">
        <v>1</v>
      </c>
      <c r="B1836" s="0" t="s">
        <v>3008</v>
      </c>
      <c r="C1836" s="0" t="n">
        <v>1</v>
      </c>
      <c r="D1836" s="0" t="str">
        <f aca="false">IF(C1836=0,B1836,"")</f>
        <v/>
      </c>
      <c r="E1836" s="0" t="str">
        <f aca="false">IF(C1836=0,A1836,"")</f>
        <v/>
      </c>
    </row>
    <row r="1837" customFormat="false" ht="12.8" hidden="false" customHeight="false" outlineLevel="0" collapsed="false">
      <c r="A1837" s="0" t="s">
        <v>2688</v>
      </c>
      <c r="B1837" s="0" t="s">
        <v>3009</v>
      </c>
      <c r="C1837" s="0" t="n">
        <v>1</v>
      </c>
      <c r="D1837" s="0" t="str">
        <f aca="false">IF(C1837=0,B1837,"")</f>
        <v/>
      </c>
      <c r="E1837" s="0" t="str">
        <f aca="false">IF(C1837=0,A1837,"")</f>
        <v/>
      </c>
    </row>
    <row r="1838" customFormat="false" ht="12.8" hidden="false" customHeight="false" outlineLevel="0" collapsed="false">
      <c r="A1838" s="0" t="s">
        <v>2689</v>
      </c>
      <c r="B1838" s="0" t="s">
        <v>3010</v>
      </c>
      <c r="C1838" s="0" t="n">
        <v>1</v>
      </c>
      <c r="D1838" s="0" t="str">
        <f aca="false">IF(C1838=0,B1838,"")</f>
        <v/>
      </c>
      <c r="E1838" s="0" t="str">
        <f aca="false">IF(C1838=0,A1838,"")</f>
        <v/>
      </c>
    </row>
    <row r="1839" customFormat="false" ht="12.8" hidden="false" customHeight="false" outlineLevel="0" collapsed="false">
      <c r="A1839" s="0" t="s">
        <v>2690</v>
      </c>
      <c r="B1839" s="0" t="s">
        <v>3010</v>
      </c>
      <c r="C1839" s="0" t="n">
        <v>1</v>
      </c>
      <c r="D1839" s="0" t="str">
        <f aca="false">IF(C1839=0,B1839,"")</f>
        <v/>
      </c>
      <c r="E1839" s="0" t="str">
        <f aca="false">IF(C1839=0,A1839,"")</f>
        <v/>
      </c>
    </row>
    <row r="1840" customFormat="false" ht="12.8" hidden="false" customHeight="false" outlineLevel="0" collapsed="false">
      <c r="A1840" s="0" t="s">
        <v>2691</v>
      </c>
      <c r="B1840" s="0" t="s">
        <v>3012</v>
      </c>
      <c r="C1840" s="0" t="n">
        <v>1</v>
      </c>
      <c r="D1840" s="0" t="str">
        <f aca="false">IF(C1840=0,B1840,"")</f>
        <v/>
      </c>
      <c r="E1840" s="0" t="str">
        <f aca="false">IF(C1840=0,A1840,"")</f>
        <v/>
      </c>
    </row>
    <row r="1841" customFormat="false" ht="12.8" hidden="false" customHeight="false" outlineLevel="0" collapsed="false">
      <c r="A1841" s="0" t="s">
        <v>2692</v>
      </c>
      <c r="B1841" s="0" t="s">
        <v>3010</v>
      </c>
      <c r="C1841" s="0" t="n">
        <v>1</v>
      </c>
      <c r="D1841" s="0" t="str">
        <f aca="false">IF(C1841=0,B1841,"")</f>
        <v/>
      </c>
      <c r="E1841" s="0" t="str">
        <f aca="false">IF(C1841=0,A1841,"")</f>
        <v/>
      </c>
    </row>
    <row r="1842" customFormat="false" ht="12.8" hidden="false" customHeight="false" outlineLevel="0" collapsed="false">
      <c r="A1842" s="0" t="s">
        <v>2693</v>
      </c>
      <c r="B1842" s="0" t="s">
        <v>3548</v>
      </c>
      <c r="C1842" s="0" t="n">
        <v>0</v>
      </c>
      <c r="D1842" s="0" t="str">
        <f aca="false">IF(C1842=0,B1842,"")</f>
        <v>츼</v>
      </c>
      <c r="E1842" s="0" t="str">
        <f aca="false">IF(C1842=0,A1842,"")</f>
        <v>채</v>
      </c>
    </row>
    <row r="1843" customFormat="false" ht="12.8" hidden="false" customHeight="false" outlineLevel="0" collapsed="false">
      <c r="A1843" s="0" t="s">
        <v>2694</v>
      </c>
      <c r="B1843" s="0" t="s">
        <v>3015</v>
      </c>
      <c r="C1843" s="0" t="n">
        <v>1</v>
      </c>
      <c r="D1843" s="0" t="str">
        <f aca="false">IF(C1843=0,B1843,"")</f>
        <v/>
      </c>
      <c r="E1843" s="0" t="str">
        <f aca="false">IF(C1843=0,A1843,"")</f>
        <v/>
      </c>
    </row>
    <row r="1844" customFormat="false" ht="12.8" hidden="false" customHeight="false" outlineLevel="0" collapsed="false">
      <c r="A1844" s="0" t="s">
        <v>2695</v>
      </c>
      <c r="B1844" s="0" t="s">
        <v>3016</v>
      </c>
      <c r="C1844" s="0" t="n">
        <v>1</v>
      </c>
      <c r="D1844" s="0" t="str">
        <f aca="false">IF(C1844=0,B1844,"")</f>
        <v/>
      </c>
      <c r="E1844" s="0" t="str">
        <f aca="false">IF(C1844=0,A1844,"")</f>
        <v/>
      </c>
    </row>
    <row r="1845" customFormat="false" ht="12.8" hidden="false" customHeight="false" outlineLevel="0" collapsed="false">
      <c r="A1845" s="0" t="s">
        <v>2696</v>
      </c>
      <c r="B1845" s="0" t="s">
        <v>3017</v>
      </c>
      <c r="C1845" s="0" t="n">
        <v>1</v>
      </c>
      <c r="D1845" s="0" t="str">
        <f aca="false">IF(C1845=0,B1845,"")</f>
        <v/>
      </c>
      <c r="E1845" s="0" t="str">
        <f aca="false">IF(C1845=0,A1845,"")</f>
        <v/>
      </c>
    </row>
    <row r="1846" customFormat="false" ht="12.8" hidden="false" customHeight="false" outlineLevel="0" collapsed="false">
      <c r="A1846" s="0" t="s">
        <v>2697</v>
      </c>
      <c r="B1846" s="0" t="s">
        <v>3018</v>
      </c>
      <c r="C1846" s="0" t="n">
        <v>1</v>
      </c>
      <c r="D1846" s="0" t="str">
        <f aca="false">IF(C1846=0,B1846,"")</f>
        <v/>
      </c>
      <c r="E1846" s="0" t="str">
        <f aca="false">IF(C1846=0,A1846,"")</f>
        <v/>
      </c>
    </row>
    <row r="1847" customFormat="false" ht="12.8" hidden="false" customHeight="false" outlineLevel="0" collapsed="false">
      <c r="A1847" s="0" t="s">
        <v>2698</v>
      </c>
      <c r="B1847" s="0" t="s">
        <v>3019</v>
      </c>
      <c r="C1847" s="0" t="n">
        <v>1</v>
      </c>
      <c r="D1847" s="0" t="str">
        <f aca="false">IF(C1847=0,B1847,"")</f>
        <v/>
      </c>
      <c r="E1847" s="0" t="str">
        <f aca="false">IF(C1847=0,A1847,"")</f>
        <v/>
      </c>
    </row>
    <row r="1848" customFormat="false" ht="12.8" hidden="false" customHeight="false" outlineLevel="0" collapsed="false">
      <c r="A1848" s="0" t="s">
        <v>2699</v>
      </c>
      <c r="B1848" s="0" t="s">
        <v>3020</v>
      </c>
      <c r="C1848" s="0" t="n">
        <v>1</v>
      </c>
      <c r="D1848" s="0" t="str">
        <f aca="false">IF(C1848=0,B1848,"")</f>
        <v/>
      </c>
      <c r="E1848" s="0" t="str">
        <f aca="false">IF(C1848=0,A1848,"")</f>
        <v/>
      </c>
    </row>
    <row r="1849" customFormat="false" ht="12.8" hidden="false" customHeight="false" outlineLevel="0" collapsed="false">
      <c r="A1849" s="0" t="s">
        <v>2700</v>
      </c>
      <c r="B1849" s="0" t="s">
        <v>3020</v>
      </c>
      <c r="C1849" s="0" t="n">
        <v>1</v>
      </c>
      <c r="D1849" s="0" t="str">
        <f aca="false">IF(C1849=0,B1849,"")</f>
        <v/>
      </c>
      <c r="E1849" s="0" t="str">
        <f aca="false">IF(C1849=0,A1849,"")</f>
        <v/>
      </c>
    </row>
    <row r="1850" customFormat="false" ht="12.8" hidden="false" customHeight="false" outlineLevel="0" collapsed="false">
      <c r="A1850" s="0" t="s">
        <v>2701</v>
      </c>
      <c r="B1850" s="0" t="s">
        <v>3022</v>
      </c>
      <c r="C1850" s="0" t="n">
        <v>1</v>
      </c>
      <c r="D1850" s="0" t="str">
        <f aca="false">IF(C1850=0,B1850,"")</f>
        <v/>
      </c>
      <c r="E1850" s="0" t="str">
        <f aca="false">IF(C1850=0,A1850,"")</f>
        <v/>
      </c>
    </row>
    <row r="1851" customFormat="false" ht="12.8" hidden="false" customHeight="false" outlineLevel="0" collapsed="false">
      <c r="A1851" s="0" t="s">
        <v>2702</v>
      </c>
      <c r="B1851" s="0" t="s">
        <v>2750</v>
      </c>
      <c r="C1851" s="0" t="n">
        <v>1</v>
      </c>
      <c r="D1851" s="0" t="str">
        <f aca="false">IF(C1851=0,B1851,"")</f>
        <v/>
      </c>
      <c r="E1851" s="0" t="str">
        <f aca="false">IF(C1851=0,A1851,"")</f>
        <v/>
      </c>
    </row>
    <row r="1852" customFormat="false" ht="12.8" hidden="false" customHeight="false" outlineLevel="0" collapsed="false">
      <c r="A1852" s="0" t="s">
        <v>2703</v>
      </c>
      <c r="B1852" s="0" t="s">
        <v>3549</v>
      </c>
      <c r="C1852" s="0" t="n">
        <v>0</v>
      </c>
      <c r="D1852" s="0" t="str">
        <f aca="false">IF(C1852=0,B1852,"")</f>
        <v>퍈</v>
      </c>
      <c r="E1852" s="0" t="str">
        <f aca="false">IF(C1852=0,A1852,"")</f>
        <v>챤</v>
      </c>
    </row>
    <row r="1853" customFormat="false" ht="12.8" hidden="false" customHeight="false" outlineLevel="0" collapsed="false">
      <c r="A1853" s="0" t="s">
        <v>2704</v>
      </c>
      <c r="B1853" s="0" t="s">
        <v>3549</v>
      </c>
      <c r="C1853" s="0" t="n">
        <v>0</v>
      </c>
      <c r="D1853" s="0" t="str">
        <f aca="false">IF(C1853=0,B1853,"")</f>
        <v>퍈</v>
      </c>
      <c r="E1853" s="0" t="str">
        <f aca="false">IF(C1853=0,A1853,"")</f>
        <v>챦</v>
      </c>
    </row>
    <row r="1854" customFormat="false" ht="12.8" hidden="false" customHeight="false" outlineLevel="0" collapsed="false">
      <c r="A1854" s="0" t="s">
        <v>2705</v>
      </c>
      <c r="B1854" s="0" t="s">
        <v>3550</v>
      </c>
      <c r="C1854" s="0" t="n">
        <v>0</v>
      </c>
      <c r="D1854" s="0" t="str">
        <f aca="false">IF(C1854=0,B1854,"")</f>
        <v>퍌</v>
      </c>
      <c r="E1854" s="0" t="str">
        <f aca="false">IF(C1854=0,A1854,"")</f>
        <v>챨</v>
      </c>
    </row>
    <row r="1855" customFormat="false" ht="12.8" hidden="false" customHeight="false" outlineLevel="0" collapsed="false">
      <c r="A1855" s="0" t="s">
        <v>2706</v>
      </c>
      <c r="B1855" s="0" t="s">
        <v>3551</v>
      </c>
      <c r="C1855" s="0" t="n">
        <v>0</v>
      </c>
      <c r="D1855" s="0" t="str">
        <f aca="false">IF(C1855=0,B1855,"")</f>
        <v>퍔</v>
      </c>
      <c r="E1855" s="0" t="str">
        <f aca="false">IF(C1855=0,A1855,"")</f>
        <v>챰</v>
      </c>
    </row>
    <row r="1856" customFormat="false" ht="12.8" hidden="false" customHeight="false" outlineLevel="0" collapsed="false">
      <c r="A1856" s="0" t="s">
        <v>2707</v>
      </c>
      <c r="B1856" s="0" t="s">
        <v>3552</v>
      </c>
      <c r="C1856" s="0" t="n">
        <v>0</v>
      </c>
      <c r="D1856" s="0" t="str">
        <f aca="false">IF(C1856=0,B1856,"")</f>
        <v>퍙</v>
      </c>
      <c r="E1856" s="0" t="str">
        <f aca="false">IF(C1856=0,A1856,"")</f>
        <v>챵</v>
      </c>
    </row>
    <row r="1857" customFormat="false" ht="12.8" hidden="false" customHeight="false" outlineLevel="0" collapsed="false">
      <c r="A1857" s="0" t="s">
        <v>2708</v>
      </c>
      <c r="B1857" s="0" t="s">
        <v>2752</v>
      </c>
      <c r="C1857" s="0" t="n">
        <v>1</v>
      </c>
      <c r="D1857" s="0" t="str">
        <f aca="false">IF(C1857=0,B1857,"")</f>
        <v/>
      </c>
      <c r="E1857" s="0" t="str">
        <f aca="false">IF(C1857=0,A1857,"")</f>
        <v/>
      </c>
    </row>
    <row r="1858" customFormat="false" ht="12.8" hidden="false" customHeight="false" outlineLevel="0" collapsed="false">
      <c r="A1858" s="0" t="s">
        <v>2709</v>
      </c>
      <c r="B1858" s="0" t="s">
        <v>3026</v>
      </c>
      <c r="C1858" s="0" t="n">
        <v>1</v>
      </c>
      <c r="D1858" s="0" t="str">
        <f aca="false">IF(C1858=0,B1858,"")</f>
        <v/>
      </c>
      <c r="E1858" s="0" t="str">
        <f aca="false">IF(C1858=0,A1858,"")</f>
        <v/>
      </c>
    </row>
    <row r="1859" customFormat="false" ht="12.8" hidden="false" customHeight="false" outlineLevel="0" collapsed="false">
      <c r="A1859" s="0" t="s">
        <v>2710</v>
      </c>
      <c r="B1859" s="0" t="s">
        <v>3027</v>
      </c>
      <c r="C1859" s="0" t="n">
        <v>1</v>
      </c>
      <c r="D1859" s="0" t="str">
        <f aca="false">IF(C1859=0,B1859,"")</f>
        <v/>
      </c>
      <c r="E1859" s="0" t="str">
        <f aca="false">IF(C1859=0,A1859,"")</f>
        <v/>
      </c>
    </row>
    <row r="1860" customFormat="false" ht="12.8" hidden="false" customHeight="false" outlineLevel="0" collapsed="false">
      <c r="A1860" s="0" t="s">
        <v>2711</v>
      </c>
      <c r="B1860" s="0" t="s">
        <v>3028</v>
      </c>
      <c r="C1860" s="0" t="n">
        <v>1</v>
      </c>
      <c r="D1860" s="0" t="str">
        <f aca="false">IF(C1860=0,B1860,"")</f>
        <v/>
      </c>
      <c r="E1860" s="0" t="str">
        <f aca="false">IF(C1860=0,A1860,"")</f>
        <v/>
      </c>
    </row>
    <row r="1861" customFormat="false" ht="12.8" hidden="false" customHeight="false" outlineLevel="0" collapsed="false">
      <c r="A1861" s="0" t="s">
        <v>2712</v>
      </c>
      <c r="B1861" s="0" t="s">
        <v>3029</v>
      </c>
      <c r="C1861" s="0" t="n">
        <v>1</v>
      </c>
      <c r="D1861" s="0" t="str">
        <f aca="false">IF(C1861=0,B1861,"")</f>
        <v/>
      </c>
      <c r="E1861" s="0" t="str">
        <f aca="false">IF(C1861=0,A1861,"")</f>
        <v/>
      </c>
    </row>
    <row r="1862" customFormat="false" ht="12.8" hidden="false" customHeight="false" outlineLevel="0" collapsed="false">
      <c r="A1862" s="0" t="s">
        <v>2713</v>
      </c>
      <c r="B1862" s="0" t="s">
        <v>3030</v>
      </c>
      <c r="C1862" s="0" t="n">
        <v>1</v>
      </c>
      <c r="D1862" s="0" t="str">
        <f aca="false">IF(C1862=0,B1862,"")</f>
        <v/>
      </c>
      <c r="E1862" s="0" t="str">
        <f aca="false">IF(C1862=0,A1862,"")</f>
        <v/>
      </c>
    </row>
    <row r="1863" customFormat="false" ht="12.8" hidden="false" customHeight="false" outlineLevel="0" collapsed="false">
      <c r="A1863" s="0" t="s">
        <v>2714</v>
      </c>
      <c r="B1863" s="0" t="s">
        <v>3031</v>
      </c>
      <c r="C1863" s="0" t="n">
        <v>1</v>
      </c>
      <c r="D1863" s="0" t="str">
        <f aca="false">IF(C1863=0,B1863,"")</f>
        <v/>
      </c>
      <c r="E1863" s="0" t="str">
        <f aca="false">IF(C1863=0,A1863,"")</f>
        <v/>
      </c>
    </row>
    <row r="1864" customFormat="false" ht="12.8" hidden="false" customHeight="false" outlineLevel="0" collapsed="false">
      <c r="A1864" s="0" t="s">
        <v>2715</v>
      </c>
      <c r="B1864" s="0" t="s">
        <v>3031</v>
      </c>
      <c r="C1864" s="0" t="n">
        <v>1</v>
      </c>
      <c r="D1864" s="0" t="str">
        <f aca="false">IF(C1864=0,B1864,"")</f>
        <v/>
      </c>
      <c r="E1864" s="0" t="str">
        <f aca="false">IF(C1864=0,A1864,"")</f>
        <v/>
      </c>
    </row>
    <row r="1865" customFormat="false" ht="12.8" hidden="false" customHeight="false" outlineLevel="0" collapsed="false">
      <c r="A1865" s="0" t="s">
        <v>2716</v>
      </c>
      <c r="B1865" s="0" t="s">
        <v>3033</v>
      </c>
      <c r="C1865" s="0" t="n">
        <v>1</v>
      </c>
      <c r="D1865" s="0" t="str">
        <f aca="false">IF(C1865=0,B1865,"")</f>
        <v/>
      </c>
      <c r="E1865" s="0" t="str">
        <f aca="false">IF(C1865=0,A1865,"")</f>
        <v/>
      </c>
    </row>
    <row r="1866" customFormat="false" ht="12.8" hidden="false" customHeight="false" outlineLevel="0" collapsed="false">
      <c r="A1866" s="0" t="s">
        <v>2717</v>
      </c>
      <c r="B1866" s="0" t="s">
        <v>2682</v>
      </c>
      <c r="C1866" s="0" t="n">
        <v>1</v>
      </c>
      <c r="D1866" s="0" t="str">
        <f aca="false">IF(C1866=0,B1866,"")</f>
        <v/>
      </c>
      <c r="E1866" s="0" t="str">
        <f aca="false">IF(C1866=0,A1866,"")</f>
        <v/>
      </c>
    </row>
    <row r="1867" customFormat="false" ht="12.8" hidden="false" customHeight="false" outlineLevel="0" collapsed="false">
      <c r="A1867" s="0" t="s">
        <v>2718</v>
      </c>
      <c r="B1867" s="0" t="s">
        <v>3035</v>
      </c>
      <c r="C1867" s="0" t="n">
        <v>1</v>
      </c>
      <c r="D1867" s="0" t="str">
        <f aca="false">IF(C1867=0,B1867,"")</f>
        <v/>
      </c>
      <c r="E1867" s="0" t="str">
        <f aca="false">IF(C1867=0,A1867,"")</f>
        <v/>
      </c>
    </row>
    <row r="1868" customFormat="false" ht="12.8" hidden="false" customHeight="false" outlineLevel="0" collapsed="false">
      <c r="A1868" s="0" t="s">
        <v>2719</v>
      </c>
      <c r="B1868" s="0" t="s">
        <v>3036</v>
      </c>
      <c r="C1868" s="0" t="n">
        <v>1</v>
      </c>
      <c r="D1868" s="0" t="str">
        <f aca="false">IF(C1868=0,B1868,"")</f>
        <v/>
      </c>
      <c r="E1868" s="0" t="str">
        <f aca="false">IF(C1868=0,A1868,"")</f>
        <v/>
      </c>
    </row>
    <row r="1869" customFormat="false" ht="12.8" hidden="false" customHeight="false" outlineLevel="0" collapsed="false">
      <c r="A1869" s="0" t="s">
        <v>2720</v>
      </c>
      <c r="B1869" s="0" t="s">
        <v>3037</v>
      </c>
      <c r="C1869" s="0" t="n">
        <v>1</v>
      </c>
      <c r="D1869" s="0" t="str">
        <f aca="false">IF(C1869=0,B1869,"")</f>
        <v/>
      </c>
      <c r="E1869" s="0" t="str">
        <f aca="false">IF(C1869=0,A1869,"")</f>
        <v/>
      </c>
    </row>
    <row r="1870" customFormat="false" ht="12.8" hidden="false" customHeight="false" outlineLevel="0" collapsed="false">
      <c r="A1870" s="0" t="s">
        <v>2721</v>
      </c>
      <c r="B1870" s="0" t="s">
        <v>3038</v>
      </c>
      <c r="C1870" s="0" t="n">
        <v>1</v>
      </c>
      <c r="D1870" s="0" t="str">
        <f aca="false">IF(C1870=0,B1870,"")</f>
        <v/>
      </c>
      <c r="E1870" s="0" t="str">
        <f aca="false">IF(C1870=0,A1870,"")</f>
        <v/>
      </c>
    </row>
    <row r="1871" customFormat="false" ht="12.8" hidden="false" customHeight="false" outlineLevel="0" collapsed="false">
      <c r="A1871" s="0" t="s">
        <v>2722</v>
      </c>
      <c r="B1871" s="0" t="s">
        <v>3039</v>
      </c>
      <c r="C1871" s="0" t="n">
        <v>1</v>
      </c>
      <c r="D1871" s="0" t="str">
        <f aca="false">IF(C1871=0,B1871,"")</f>
        <v/>
      </c>
      <c r="E1871" s="0" t="str">
        <f aca="false">IF(C1871=0,A1871,"")</f>
        <v/>
      </c>
    </row>
    <row r="1872" customFormat="false" ht="12.8" hidden="false" customHeight="false" outlineLevel="0" collapsed="false">
      <c r="A1872" s="0" t="s">
        <v>2723</v>
      </c>
      <c r="B1872" s="0" t="s">
        <v>3040</v>
      </c>
      <c r="C1872" s="0" t="n">
        <v>1</v>
      </c>
      <c r="D1872" s="0" t="str">
        <f aca="false">IF(C1872=0,B1872,"")</f>
        <v/>
      </c>
      <c r="E1872" s="0" t="str">
        <f aca="false">IF(C1872=0,A1872,"")</f>
        <v/>
      </c>
    </row>
    <row r="1873" customFormat="false" ht="12.8" hidden="false" customHeight="false" outlineLevel="0" collapsed="false">
      <c r="A1873" s="0" t="s">
        <v>2724</v>
      </c>
      <c r="B1873" s="0" t="s">
        <v>3041</v>
      </c>
      <c r="C1873" s="0" t="n">
        <v>1</v>
      </c>
      <c r="D1873" s="0" t="str">
        <f aca="false">IF(C1873=0,B1873,"")</f>
        <v/>
      </c>
      <c r="E1873" s="0" t="str">
        <f aca="false">IF(C1873=0,A1873,"")</f>
        <v/>
      </c>
    </row>
    <row r="1874" customFormat="false" ht="12.8" hidden="false" customHeight="false" outlineLevel="0" collapsed="false">
      <c r="A1874" s="0" t="s">
        <v>2725</v>
      </c>
      <c r="B1874" s="0" t="s">
        <v>2771</v>
      </c>
      <c r="C1874" s="0" t="n">
        <v>1</v>
      </c>
      <c r="D1874" s="0" t="str">
        <f aca="false">IF(C1874=0,B1874,"")</f>
        <v/>
      </c>
      <c r="E1874" s="0" t="str">
        <f aca="false">IF(C1874=0,A1874,"")</f>
        <v/>
      </c>
    </row>
    <row r="1875" customFormat="false" ht="12.8" hidden="false" customHeight="false" outlineLevel="0" collapsed="false">
      <c r="A1875" s="0" t="s">
        <v>2726</v>
      </c>
      <c r="B1875" s="0" t="s">
        <v>3043</v>
      </c>
      <c r="C1875" s="0" t="n">
        <v>1</v>
      </c>
      <c r="D1875" s="0" t="str">
        <f aca="false">IF(C1875=0,B1875,"")</f>
        <v/>
      </c>
      <c r="E1875" s="0" t="str">
        <f aca="false">IF(C1875=0,A1875,"")</f>
        <v/>
      </c>
    </row>
    <row r="1876" customFormat="false" ht="12.8" hidden="false" customHeight="false" outlineLevel="0" collapsed="false">
      <c r="A1876" s="0" t="s">
        <v>2727</v>
      </c>
      <c r="B1876" s="0" t="s">
        <v>3553</v>
      </c>
      <c r="C1876" s="0" t="n">
        <v>0</v>
      </c>
      <c r="D1876" s="0" t="str">
        <f aca="false">IF(C1876=0,B1876,"")</f>
        <v>폇</v>
      </c>
      <c r="E1876" s="0" t="str">
        <f aca="false">IF(C1876=0,A1876,"")</f>
        <v>쳤</v>
      </c>
    </row>
    <row r="1877" customFormat="false" ht="12.8" hidden="false" customHeight="false" outlineLevel="0" collapsed="false">
      <c r="A1877" s="0" t="s">
        <v>2728</v>
      </c>
      <c r="B1877" s="0" t="s">
        <v>2743</v>
      </c>
      <c r="C1877" s="0" t="n">
        <v>1</v>
      </c>
      <c r="D1877" s="0" t="str">
        <f aca="false">IF(C1877=0,B1877,"")</f>
        <v/>
      </c>
      <c r="E1877" s="0" t="str">
        <f aca="false">IF(C1877=0,A1877,"")</f>
        <v/>
      </c>
    </row>
    <row r="1878" customFormat="false" ht="12.8" hidden="false" customHeight="false" outlineLevel="0" collapsed="false">
      <c r="A1878" s="0" t="s">
        <v>2729</v>
      </c>
      <c r="B1878" s="0" t="s">
        <v>3554</v>
      </c>
      <c r="C1878" s="0" t="n">
        <v>0</v>
      </c>
      <c r="D1878" s="0" t="str">
        <f aca="false">IF(C1878=0,B1878,"")</f>
        <v>폔</v>
      </c>
      <c r="E1878" s="0" t="str">
        <f aca="false">IF(C1878=0,A1878,"")</f>
        <v>쳰</v>
      </c>
    </row>
    <row r="1879" customFormat="false" ht="12.8" hidden="false" customHeight="false" outlineLevel="0" collapsed="false">
      <c r="A1879" s="0" t="s">
        <v>2730</v>
      </c>
      <c r="B1879" s="0" t="s">
        <v>3555</v>
      </c>
      <c r="C1879" s="0" t="n">
        <v>0</v>
      </c>
      <c r="D1879" s="0" t="str">
        <f aca="false">IF(C1879=0,B1879,"")</f>
        <v>폥</v>
      </c>
      <c r="E1879" s="0" t="str">
        <f aca="false">IF(C1879=0,A1879,"")</f>
        <v>촁</v>
      </c>
    </row>
    <row r="1880" customFormat="false" ht="12.8" hidden="false" customHeight="false" outlineLevel="0" collapsed="false">
      <c r="A1880" s="0" t="s">
        <v>2731</v>
      </c>
      <c r="B1880" s="0" t="s">
        <v>2708</v>
      </c>
      <c r="C1880" s="0" t="n">
        <v>1</v>
      </c>
      <c r="D1880" s="0" t="str">
        <f aca="false">IF(C1880=0,B1880,"")</f>
        <v/>
      </c>
      <c r="E1880" s="0" t="str">
        <f aca="false">IF(C1880=0,A1880,"")</f>
        <v/>
      </c>
    </row>
    <row r="1881" customFormat="false" ht="12.8" hidden="false" customHeight="false" outlineLevel="0" collapsed="false">
      <c r="A1881" s="0" t="s">
        <v>2732</v>
      </c>
      <c r="B1881" s="0" t="s">
        <v>3054</v>
      </c>
      <c r="C1881" s="0" t="n">
        <v>1</v>
      </c>
      <c r="D1881" s="0" t="str">
        <f aca="false">IF(C1881=0,B1881,"")</f>
        <v/>
      </c>
      <c r="E1881" s="0" t="str">
        <f aca="false">IF(C1881=0,A1881,"")</f>
        <v/>
      </c>
    </row>
    <row r="1882" customFormat="false" ht="12.8" hidden="false" customHeight="false" outlineLevel="0" collapsed="false">
      <c r="A1882" s="0" t="s">
        <v>2733</v>
      </c>
      <c r="B1882" s="0" t="s">
        <v>3055</v>
      </c>
      <c r="C1882" s="0" t="n">
        <v>1</v>
      </c>
      <c r="D1882" s="0" t="str">
        <f aca="false">IF(C1882=0,B1882,"")</f>
        <v/>
      </c>
      <c r="E1882" s="0" t="str">
        <f aca="false">IF(C1882=0,A1882,"")</f>
        <v/>
      </c>
    </row>
    <row r="1883" customFormat="false" ht="12.8" hidden="false" customHeight="false" outlineLevel="0" collapsed="false">
      <c r="A1883" s="0" t="s">
        <v>2734</v>
      </c>
      <c r="B1883" s="0" t="s">
        <v>3056</v>
      </c>
      <c r="C1883" s="0" t="n">
        <v>1</v>
      </c>
      <c r="D1883" s="0" t="str">
        <f aca="false">IF(C1883=0,B1883,"")</f>
        <v/>
      </c>
      <c r="E1883" s="0" t="str">
        <f aca="false">IF(C1883=0,A1883,"")</f>
        <v/>
      </c>
    </row>
    <row r="1884" customFormat="false" ht="12.8" hidden="false" customHeight="false" outlineLevel="0" collapsed="false">
      <c r="A1884" s="0" t="s">
        <v>2735</v>
      </c>
      <c r="B1884" s="0" t="s">
        <v>3057</v>
      </c>
      <c r="C1884" s="0" t="n">
        <v>1</v>
      </c>
      <c r="D1884" s="0" t="str">
        <f aca="false">IF(C1884=0,B1884,"")</f>
        <v/>
      </c>
      <c r="E1884" s="0" t="str">
        <f aca="false">IF(C1884=0,A1884,"")</f>
        <v/>
      </c>
    </row>
    <row r="1885" customFormat="false" ht="12.8" hidden="false" customHeight="false" outlineLevel="0" collapsed="false">
      <c r="A1885" s="0" t="s">
        <v>2736</v>
      </c>
      <c r="B1885" s="0" t="s">
        <v>3058</v>
      </c>
      <c r="C1885" s="0" t="n">
        <v>1</v>
      </c>
      <c r="D1885" s="0" t="str">
        <f aca="false">IF(C1885=0,B1885,"")</f>
        <v/>
      </c>
      <c r="E1885" s="0" t="str">
        <f aca="false">IF(C1885=0,A1885,"")</f>
        <v/>
      </c>
    </row>
    <row r="1886" customFormat="false" ht="12.8" hidden="false" customHeight="false" outlineLevel="0" collapsed="false">
      <c r="A1886" s="0" t="s">
        <v>2737</v>
      </c>
      <c r="B1886" s="0" t="s">
        <v>3059</v>
      </c>
      <c r="C1886" s="0" t="n">
        <v>1</v>
      </c>
      <c r="D1886" s="0" t="str">
        <f aca="false">IF(C1886=0,B1886,"")</f>
        <v/>
      </c>
      <c r="E1886" s="0" t="str">
        <f aca="false">IF(C1886=0,A1886,"")</f>
        <v/>
      </c>
    </row>
    <row r="1887" customFormat="false" ht="12.8" hidden="false" customHeight="false" outlineLevel="0" collapsed="false">
      <c r="A1887" s="0" t="s">
        <v>2738</v>
      </c>
      <c r="B1887" s="0" t="s">
        <v>3060</v>
      </c>
      <c r="C1887" s="0" t="n">
        <v>1</v>
      </c>
      <c r="D1887" s="0" t="str">
        <f aca="false">IF(C1887=0,B1887,"")</f>
        <v/>
      </c>
      <c r="E1887" s="0" t="str">
        <f aca="false">IF(C1887=0,A1887,"")</f>
        <v/>
      </c>
    </row>
    <row r="1888" customFormat="false" ht="12.8" hidden="false" customHeight="false" outlineLevel="0" collapsed="false">
      <c r="A1888" s="0" t="s">
        <v>2739</v>
      </c>
      <c r="B1888" s="0" t="s">
        <v>2728</v>
      </c>
      <c r="C1888" s="0" t="n">
        <v>1</v>
      </c>
      <c r="D1888" s="0" t="str">
        <f aca="false">IF(C1888=0,B1888,"")</f>
        <v/>
      </c>
      <c r="E1888" s="0" t="str">
        <f aca="false">IF(C1888=0,A1888,"")</f>
        <v/>
      </c>
    </row>
    <row r="1889" customFormat="false" ht="12.8" hidden="false" customHeight="false" outlineLevel="0" collapsed="false">
      <c r="A1889" s="0" t="s">
        <v>2740</v>
      </c>
      <c r="B1889" s="0" t="s">
        <v>3556</v>
      </c>
      <c r="C1889" s="0" t="n">
        <v>0</v>
      </c>
      <c r="D1889" s="0" t="str">
        <f aca="false">IF(C1889=0,B1889,"")</f>
        <v>퐌</v>
      </c>
      <c r="E1889" s="0" t="str">
        <f aca="false">IF(C1889=0,A1889,"")</f>
        <v>촨</v>
      </c>
    </row>
    <row r="1890" customFormat="false" ht="12.8" hidden="false" customHeight="false" outlineLevel="0" collapsed="false">
      <c r="A1890" s="0" t="s">
        <v>2741</v>
      </c>
      <c r="B1890" s="0" t="s">
        <v>3557</v>
      </c>
      <c r="C1890" s="0" t="n">
        <v>0</v>
      </c>
      <c r="D1890" s="0" t="str">
        <f aca="false">IF(C1890=0,B1890,"")</f>
        <v>퐐</v>
      </c>
      <c r="E1890" s="0" t="str">
        <f aca="false">IF(C1890=0,A1890,"")</f>
        <v>촬</v>
      </c>
    </row>
    <row r="1891" customFormat="false" ht="12.8" hidden="false" customHeight="false" outlineLevel="0" collapsed="false">
      <c r="A1891" s="0" t="s">
        <v>2742</v>
      </c>
      <c r="B1891" s="0" t="s">
        <v>3062</v>
      </c>
      <c r="C1891" s="0" t="n">
        <v>1</v>
      </c>
      <c r="D1891" s="0" t="str">
        <f aca="false">IF(C1891=0,B1891,"")</f>
        <v/>
      </c>
      <c r="E1891" s="0" t="str">
        <f aca="false">IF(C1891=0,A1891,"")</f>
        <v/>
      </c>
    </row>
    <row r="1892" customFormat="false" ht="12.8" hidden="false" customHeight="false" outlineLevel="0" collapsed="false">
      <c r="A1892" s="0" t="s">
        <v>2743</v>
      </c>
      <c r="B1892" s="0" t="s">
        <v>2760</v>
      </c>
      <c r="C1892" s="0" t="n">
        <v>1</v>
      </c>
      <c r="D1892" s="0" t="str">
        <f aca="false">IF(C1892=0,B1892,"")</f>
        <v/>
      </c>
      <c r="E1892" s="0" t="str">
        <f aca="false">IF(C1892=0,A1892,"")</f>
        <v/>
      </c>
    </row>
    <row r="1893" customFormat="false" ht="12.8" hidden="false" customHeight="false" outlineLevel="0" collapsed="false">
      <c r="A1893" s="0" t="s">
        <v>2744</v>
      </c>
      <c r="B1893" s="0" t="s">
        <v>3064</v>
      </c>
      <c r="C1893" s="0" t="n">
        <v>1</v>
      </c>
      <c r="D1893" s="0" t="str">
        <f aca="false">IF(C1893=0,B1893,"")</f>
        <v/>
      </c>
      <c r="E1893" s="0" t="str">
        <f aca="false">IF(C1893=0,A1893,"")</f>
        <v/>
      </c>
    </row>
    <row r="1894" customFormat="false" ht="12.8" hidden="false" customHeight="false" outlineLevel="0" collapsed="false">
      <c r="A1894" s="0" t="s">
        <v>2745</v>
      </c>
      <c r="B1894" s="0" t="s">
        <v>3558</v>
      </c>
      <c r="C1894" s="0" t="n">
        <v>0</v>
      </c>
      <c r="D1894" s="0" t="str">
        <f aca="false">IF(C1894=0,B1894,"")</f>
        <v>푈</v>
      </c>
      <c r="E1894" s="0" t="str">
        <f aca="false">IF(C1894=0,A1894,"")</f>
        <v>쵤</v>
      </c>
    </row>
    <row r="1895" customFormat="false" ht="12.8" hidden="false" customHeight="false" outlineLevel="0" collapsed="false">
      <c r="A1895" s="0" t="s">
        <v>2746</v>
      </c>
      <c r="B1895" s="0" t="s">
        <v>3559</v>
      </c>
      <c r="C1895" s="0" t="n">
        <v>0</v>
      </c>
      <c r="D1895" s="0" t="str">
        <f aca="false">IF(C1895=0,B1895,"")</f>
        <v>푐</v>
      </c>
      <c r="E1895" s="0" t="str">
        <f aca="false">IF(C1895=0,A1895,"")</f>
        <v>쵬</v>
      </c>
    </row>
    <row r="1896" customFormat="false" ht="12.8" hidden="false" customHeight="false" outlineLevel="0" collapsed="false">
      <c r="A1896" s="0" t="s">
        <v>2747</v>
      </c>
      <c r="B1896" s="0" t="s">
        <v>3560</v>
      </c>
      <c r="C1896" s="0" t="n">
        <v>0</v>
      </c>
      <c r="D1896" s="0" t="str">
        <f aca="false">IF(C1896=0,B1896,"")</f>
        <v>푑</v>
      </c>
      <c r="E1896" s="0" t="str">
        <f aca="false">IF(C1896=0,A1896,"")</f>
        <v>쵭</v>
      </c>
    </row>
    <row r="1897" customFormat="false" ht="12.8" hidden="false" customHeight="false" outlineLevel="0" collapsed="false">
      <c r="A1897" s="0" t="s">
        <v>2748</v>
      </c>
      <c r="B1897" s="0" t="s">
        <v>3561</v>
      </c>
      <c r="C1897" s="0" t="n">
        <v>0</v>
      </c>
      <c r="D1897" s="0" t="str">
        <f aca="false">IF(C1897=0,B1897,"")</f>
        <v>푓</v>
      </c>
      <c r="E1897" s="0" t="str">
        <f aca="false">IF(C1897=0,A1897,"")</f>
        <v>쵯</v>
      </c>
    </row>
    <row r="1898" customFormat="false" ht="12.8" hidden="false" customHeight="false" outlineLevel="0" collapsed="false">
      <c r="A1898" s="0" t="s">
        <v>2749</v>
      </c>
      <c r="B1898" s="0" t="s">
        <v>3562</v>
      </c>
      <c r="C1898" s="0" t="n">
        <v>0</v>
      </c>
      <c r="D1898" s="0" t="str">
        <f aca="false">IF(C1898=0,B1898,"")</f>
        <v>푕</v>
      </c>
      <c r="E1898" s="0" t="str">
        <f aca="false">IF(C1898=0,A1898,"")</f>
        <v>쵱</v>
      </c>
    </row>
    <row r="1899" customFormat="false" ht="12.8" hidden="false" customHeight="false" outlineLevel="0" collapsed="false">
      <c r="A1899" s="0" t="s">
        <v>2750</v>
      </c>
      <c r="B1899" s="0" t="s">
        <v>2725</v>
      </c>
      <c r="C1899" s="0" t="n">
        <v>1</v>
      </c>
      <c r="D1899" s="0" t="str">
        <f aca="false">IF(C1899=0,B1899,"")</f>
        <v/>
      </c>
      <c r="E1899" s="0" t="str">
        <f aca="false">IF(C1899=0,A1899,"")</f>
        <v/>
      </c>
    </row>
    <row r="1900" customFormat="false" ht="12.8" hidden="false" customHeight="false" outlineLevel="0" collapsed="false">
      <c r="A1900" s="0" t="s">
        <v>2751</v>
      </c>
      <c r="B1900" s="0" t="s">
        <v>3563</v>
      </c>
      <c r="C1900" s="0" t="n">
        <v>0</v>
      </c>
      <c r="D1900" s="0" t="str">
        <f aca="false">IF(C1900=0,B1900,"")</f>
        <v>푬</v>
      </c>
      <c r="E1900" s="0" t="str">
        <f aca="false">IF(C1900=0,A1900,"")</f>
        <v>춈</v>
      </c>
    </row>
    <row r="1901" customFormat="false" ht="12.8" hidden="false" customHeight="false" outlineLevel="0" collapsed="false">
      <c r="A1901" s="0" t="s">
        <v>2752</v>
      </c>
      <c r="B1901" s="0" t="s">
        <v>2717</v>
      </c>
      <c r="C1901" s="0" t="n">
        <v>1</v>
      </c>
      <c r="D1901" s="0" t="str">
        <f aca="false">IF(C1901=0,B1901,"")</f>
        <v/>
      </c>
      <c r="E1901" s="0" t="str">
        <f aca="false">IF(C1901=0,A1901,"")</f>
        <v/>
      </c>
    </row>
    <row r="1902" customFormat="false" ht="12.8" hidden="false" customHeight="false" outlineLevel="0" collapsed="false">
      <c r="A1902" s="0" t="s">
        <v>2753</v>
      </c>
      <c r="B1902" s="0" t="s">
        <v>3071</v>
      </c>
      <c r="C1902" s="0" t="n">
        <v>1</v>
      </c>
      <c r="D1902" s="0" t="str">
        <f aca="false">IF(C1902=0,B1902,"")</f>
        <v/>
      </c>
      <c r="E1902" s="0" t="str">
        <f aca="false">IF(C1902=0,A1902,"")</f>
        <v/>
      </c>
    </row>
    <row r="1903" customFormat="false" ht="12.8" hidden="false" customHeight="false" outlineLevel="0" collapsed="false">
      <c r="A1903" s="0" t="s">
        <v>2754</v>
      </c>
      <c r="B1903" s="0" t="s">
        <v>3072</v>
      </c>
      <c r="C1903" s="0" t="n">
        <v>1</v>
      </c>
      <c r="D1903" s="0" t="str">
        <f aca="false">IF(C1903=0,B1903,"")</f>
        <v/>
      </c>
      <c r="E1903" s="0" t="str">
        <f aca="false">IF(C1903=0,A1903,"")</f>
        <v/>
      </c>
    </row>
    <row r="1904" customFormat="false" ht="12.8" hidden="false" customHeight="false" outlineLevel="0" collapsed="false">
      <c r="A1904" s="0" t="s">
        <v>2755</v>
      </c>
      <c r="B1904" s="0" t="s">
        <v>3074</v>
      </c>
      <c r="C1904" s="0" t="n">
        <v>1</v>
      </c>
      <c r="D1904" s="0" t="str">
        <f aca="false">IF(C1904=0,B1904,"")</f>
        <v/>
      </c>
      <c r="E1904" s="0" t="str">
        <f aca="false">IF(C1904=0,A1904,"")</f>
        <v/>
      </c>
    </row>
    <row r="1905" customFormat="false" ht="12.8" hidden="false" customHeight="false" outlineLevel="0" collapsed="false">
      <c r="A1905" s="0" t="s">
        <v>2756</v>
      </c>
      <c r="B1905" s="0" t="s">
        <v>3076</v>
      </c>
      <c r="C1905" s="0" t="n">
        <v>1</v>
      </c>
      <c r="D1905" s="0" t="str">
        <f aca="false">IF(C1905=0,B1905,"")</f>
        <v/>
      </c>
      <c r="E1905" s="0" t="str">
        <f aca="false">IF(C1905=0,A1905,"")</f>
        <v/>
      </c>
    </row>
    <row r="1906" customFormat="false" ht="12.8" hidden="false" customHeight="false" outlineLevel="0" collapsed="false">
      <c r="A1906" s="0" t="s">
        <v>2757</v>
      </c>
      <c r="B1906" s="0" t="s">
        <v>3077</v>
      </c>
      <c r="C1906" s="0" t="n">
        <v>1</v>
      </c>
      <c r="D1906" s="0" t="str">
        <f aca="false">IF(C1906=0,B1906,"")</f>
        <v/>
      </c>
      <c r="E1906" s="0" t="str">
        <f aca="false">IF(C1906=0,A1906,"")</f>
        <v/>
      </c>
    </row>
    <row r="1907" customFormat="false" ht="12.8" hidden="false" customHeight="false" outlineLevel="0" collapsed="false">
      <c r="A1907" s="0" t="s">
        <v>2758</v>
      </c>
      <c r="B1907" s="0" t="s">
        <v>3078</v>
      </c>
      <c r="C1907" s="0" t="n">
        <v>1</v>
      </c>
      <c r="D1907" s="0" t="str">
        <f aca="false">IF(C1907=0,B1907,"")</f>
        <v/>
      </c>
      <c r="E1907" s="0" t="str">
        <f aca="false">IF(C1907=0,A1907,"")</f>
        <v/>
      </c>
    </row>
    <row r="1908" customFormat="false" ht="12.8" hidden="false" customHeight="false" outlineLevel="0" collapsed="false">
      <c r="A1908" s="0" t="s">
        <v>2759</v>
      </c>
      <c r="B1908" s="0" t="s">
        <v>3079</v>
      </c>
      <c r="C1908" s="0" t="n">
        <v>1</v>
      </c>
      <c r="D1908" s="0" t="str">
        <f aca="false">IF(C1908=0,B1908,"")</f>
        <v/>
      </c>
      <c r="E1908" s="0" t="str">
        <f aca="false">IF(C1908=0,A1908,"")</f>
        <v/>
      </c>
    </row>
    <row r="1909" customFormat="false" ht="12.8" hidden="false" customHeight="false" outlineLevel="0" collapsed="false">
      <c r="A1909" s="0" t="s">
        <v>2760</v>
      </c>
      <c r="B1909" s="0" t="s">
        <v>2739</v>
      </c>
      <c r="C1909" s="0" t="n">
        <v>1</v>
      </c>
      <c r="D1909" s="0" t="str">
        <f aca="false">IF(C1909=0,B1909,"")</f>
        <v/>
      </c>
      <c r="E1909" s="0" t="str">
        <f aca="false">IF(C1909=0,A1909,"")</f>
        <v/>
      </c>
    </row>
    <row r="1910" customFormat="false" ht="12.8" hidden="false" customHeight="false" outlineLevel="0" collapsed="false">
      <c r="A1910" s="0" t="s">
        <v>2761</v>
      </c>
      <c r="B1910" s="0" t="s">
        <v>3564</v>
      </c>
      <c r="C1910" s="0" t="n">
        <v>0</v>
      </c>
      <c r="D1910" s="0" t="str">
        <f aca="false">IF(C1910=0,B1910,"")</f>
        <v>풧</v>
      </c>
      <c r="E1910" s="0" t="str">
        <f aca="false">IF(C1910=0,A1910,"")</f>
        <v>췄</v>
      </c>
    </row>
    <row r="1911" customFormat="false" ht="12.8" hidden="false" customHeight="false" outlineLevel="0" collapsed="false">
      <c r="A1911" s="0" t="s">
        <v>2762</v>
      </c>
      <c r="B1911" s="0" t="s">
        <v>3565</v>
      </c>
      <c r="C1911" s="0" t="n">
        <v>0</v>
      </c>
      <c r="D1911" s="0" t="str">
        <f aca="false">IF(C1911=0,B1911,"")</f>
        <v>쵀</v>
      </c>
      <c r="E1911" s="0" t="str">
        <f aca="false">IF(C1911=0,A1911,"")</f>
        <v>췌</v>
      </c>
    </row>
    <row r="1912" customFormat="false" ht="12.8" hidden="false" customHeight="false" outlineLevel="0" collapsed="false">
      <c r="A1912" s="0" t="s">
        <v>2763</v>
      </c>
      <c r="B1912" s="0" t="s">
        <v>3566</v>
      </c>
      <c r="C1912" s="0" t="n">
        <v>0</v>
      </c>
      <c r="D1912" s="0" t="str">
        <f aca="false">IF(C1912=0,B1912,"")</f>
        <v>풴</v>
      </c>
      <c r="E1912" s="0" t="str">
        <f aca="false">IF(C1912=0,A1912,"")</f>
        <v>췐</v>
      </c>
    </row>
    <row r="1913" customFormat="false" ht="12.8" hidden="false" customHeight="false" outlineLevel="0" collapsed="false">
      <c r="A1913" s="0" t="s">
        <v>2764</v>
      </c>
      <c r="B1913" s="0" t="s">
        <v>2762</v>
      </c>
      <c r="C1913" s="0" t="n">
        <v>1</v>
      </c>
      <c r="D1913" s="0" t="str">
        <f aca="false">IF(C1913=0,B1913,"")</f>
        <v/>
      </c>
      <c r="E1913" s="0" t="str">
        <f aca="false">IF(C1913=0,A1913,"")</f>
        <v/>
      </c>
    </row>
    <row r="1914" customFormat="false" ht="12.8" hidden="false" customHeight="false" outlineLevel="0" collapsed="false">
      <c r="A1914" s="0" t="s">
        <v>2765</v>
      </c>
      <c r="B1914" s="0" t="s">
        <v>3083</v>
      </c>
      <c r="C1914" s="0" t="n">
        <v>1</v>
      </c>
      <c r="D1914" s="0" t="str">
        <f aca="false">IF(C1914=0,B1914,"")</f>
        <v/>
      </c>
      <c r="E1914" s="0" t="str">
        <f aca="false">IF(C1914=0,A1914,"")</f>
        <v/>
      </c>
    </row>
    <row r="1915" customFormat="false" ht="12.8" hidden="false" customHeight="false" outlineLevel="0" collapsed="false">
      <c r="A1915" s="0" t="s">
        <v>2766</v>
      </c>
      <c r="B1915" s="0" t="s">
        <v>3084</v>
      </c>
      <c r="C1915" s="0" t="n">
        <v>1</v>
      </c>
      <c r="D1915" s="0" t="str">
        <f aca="false">IF(C1915=0,B1915,"")</f>
        <v/>
      </c>
      <c r="E1915" s="0" t="str">
        <f aca="false">IF(C1915=0,A1915,"")</f>
        <v/>
      </c>
    </row>
    <row r="1916" customFormat="false" ht="12.8" hidden="false" customHeight="false" outlineLevel="0" collapsed="false">
      <c r="A1916" s="0" t="s">
        <v>2767</v>
      </c>
      <c r="B1916" s="0" t="s">
        <v>3085</v>
      </c>
      <c r="C1916" s="0" t="n">
        <v>1</v>
      </c>
      <c r="D1916" s="0" t="str">
        <f aca="false">IF(C1916=0,B1916,"")</f>
        <v/>
      </c>
      <c r="E1916" s="0" t="str">
        <f aca="false">IF(C1916=0,A1916,"")</f>
        <v/>
      </c>
    </row>
    <row r="1917" customFormat="false" ht="12.8" hidden="false" customHeight="false" outlineLevel="0" collapsed="false">
      <c r="A1917" s="0" t="s">
        <v>2768</v>
      </c>
      <c r="B1917" s="0" t="s">
        <v>3567</v>
      </c>
      <c r="C1917" s="0" t="n">
        <v>0</v>
      </c>
      <c r="D1917" s="0" t="str">
        <f aca="false">IF(C1917=0,B1917,"")</f>
        <v>퓝</v>
      </c>
      <c r="E1917" s="0" t="str">
        <f aca="false">IF(C1917=0,A1917,"")</f>
        <v>췹</v>
      </c>
    </row>
    <row r="1918" customFormat="false" ht="12.8" hidden="false" customHeight="false" outlineLevel="0" collapsed="false">
      <c r="A1918" s="0" t="s">
        <v>2769</v>
      </c>
      <c r="B1918" s="0" t="s">
        <v>3086</v>
      </c>
      <c r="C1918" s="0" t="n">
        <v>1</v>
      </c>
      <c r="D1918" s="0" t="str">
        <f aca="false">IF(C1918=0,B1918,"")</f>
        <v/>
      </c>
      <c r="E1918" s="0" t="str">
        <f aca="false">IF(C1918=0,A1918,"")</f>
        <v/>
      </c>
    </row>
    <row r="1919" customFormat="false" ht="12.8" hidden="false" customHeight="false" outlineLevel="0" collapsed="false">
      <c r="A1919" s="0" t="s">
        <v>2770</v>
      </c>
      <c r="B1919" s="0" t="s">
        <v>3568</v>
      </c>
      <c r="C1919" s="0" t="n">
        <v>0</v>
      </c>
      <c r="D1919" s="0" t="str">
        <f aca="false">IF(C1919=0,B1919,"")</f>
        <v>퓡</v>
      </c>
      <c r="E1919" s="0" t="str">
        <f aca="false">IF(C1919=0,A1919,"")</f>
        <v>췽</v>
      </c>
    </row>
    <row r="1920" customFormat="false" ht="12.8" hidden="false" customHeight="false" outlineLevel="0" collapsed="false">
      <c r="A1920" s="0" t="s">
        <v>2771</v>
      </c>
      <c r="B1920" s="0" t="s">
        <v>2693</v>
      </c>
      <c r="C1920" s="0" t="n">
        <v>1</v>
      </c>
      <c r="D1920" s="0" t="str">
        <f aca="false">IF(C1920=0,B1920,"")</f>
        <v/>
      </c>
      <c r="E1920" s="0" t="str">
        <f aca="false">IF(C1920=0,A1920,"")</f>
        <v/>
      </c>
    </row>
    <row r="1921" customFormat="false" ht="12.8" hidden="false" customHeight="false" outlineLevel="0" collapsed="false">
      <c r="A1921" s="0" t="s">
        <v>2772</v>
      </c>
      <c r="B1921" s="0" t="s">
        <v>3088</v>
      </c>
      <c r="C1921" s="0" t="n">
        <v>1</v>
      </c>
      <c r="D1921" s="0" t="str">
        <f aca="false">IF(C1921=0,B1921,"")</f>
        <v/>
      </c>
      <c r="E1921" s="0" t="str">
        <f aca="false">IF(C1921=0,A1921,"")</f>
        <v/>
      </c>
    </row>
    <row r="1922" customFormat="false" ht="12.8" hidden="false" customHeight="false" outlineLevel="0" collapsed="false">
      <c r="A1922" s="0" t="s">
        <v>2773</v>
      </c>
      <c r="B1922" s="0" t="s">
        <v>3089</v>
      </c>
      <c r="C1922" s="0" t="n">
        <v>1</v>
      </c>
      <c r="D1922" s="0" t="str">
        <f aca="false">IF(C1922=0,B1922,"")</f>
        <v/>
      </c>
      <c r="E1922" s="0" t="str">
        <f aca="false">IF(C1922=0,A1922,"")</f>
        <v/>
      </c>
    </row>
    <row r="1923" customFormat="false" ht="12.8" hidden="false" customHeight="false" outlineLevel="0" collapsed="false">
      <c r="A1923" s="0" t="s">
        <v>2774</v>
      </c>
      <c r="B1923" s="0" t="s">
        <v>3090</v>
      </c>
      <c r="C1923" s="0" t="n">
        <v>1</v>
      </c>
      <c r="D1923" s="0" t="str">
        <f aca="false">IF(C1923=0,B1923,"")</f>
        <v/>
      </c>
      <c r="E1923" s="0" t="str">
        <f aca="false">IF(C1923=0,A1923,"")</f>
        <v/>
      </c>
    </row>
    <row r="1924" customFormat="false" ht="12.8" hidden="false" customHeight="false" outlineLevel="0" collapsed="false">
      <c r="A1924" s="0" t="s">
        <v>2775</v>
      </c>
      <c r="B1924" s="0" t="s">
        <v>3092</v>
      </c>
      <c r="C1924" s="0" t="n">
        <v>1</v>
      </c>
      <c r="D1924" s="0" t="str">
        <f aca="false">IF(C1924=0,B1924,"")</f>
        <v/>
      </c>
      <c r="E1924" s="0" t="str">
        <f aca="false">IF(C1924=0,A1924,"")</f>
        <v/>
      </c>
    </row>
    <row r="1925" customFormat="false" ht="12.8" hidden="false" customHeight="false" outlineLevel="0" collapsed="false">
      <c r="A1925" s="0" t="s">
        <v>2776</v>
      </c>
      <c r="B1925" s="0" t="s">
        <v>2702</v>
      </c>
      <c r="C1925" s="0" t="n">
        <v>1</v>
      </c>
      <c r="D1925" s="0" t="str">
        <f aca="false">IF(C1925=0,B1925,"")</f>
        <v/>
      </c>
      <c r="E1925" s="0" t="str">
        <f aca="false">IF(C1925=0,A1925,"")</f>
        <v/>
      </c>
    </row>
    <row r="1926" customFormat="false" ht="12.8" hidden="false" customHeight="false" outlineLevel="0" collapsed="false">
      <c r="A1926" s="0" t="s">
        <v>2777</v>
      </c>
      <c r="B1926" s="0" t="s">
        <v>3569</v>
      </c>
      <c r="C1926" s="0" t="n">
        <v>0</v>
      </c>
      <c r="D1926" s="0" t="str">
        <f aca="false">IF(C1926=0,B1926,"")</f>
        <v>픅</v>
      </c>
      <c r="E1926" s="0" t="str">
        <f aca="false">IF(C1926=0,A1926,"")</f>
        <v>측</v>
      </c>
    </row>
    <row r="1927" customFormat="false" ht="12.8" hidden="false" customHeight="false" outlineLevel="0" collapsed="false">
      <c r="A1927" s="0" t="s">
        <v>2778</v>
      </c>
      <c r="B1927" s="0" t="s">
        <v>3094</v>
      </c>
      <c r="C1927" s="0" t="n">
        <v>1</v>
      </c>
      <c r="D1927" s="0" t="str">
        <f aca="false">IF(C1927=0,B1927,"")</f>
        <v/>
      </c>
      <c r="E1927" s="0" t="str">
        <f aca="false">IF(C1927=0,A1927,"")</f>
        <v/>
      </c>
    </row>
    <row r="1928" customFormat="false" ht="12.8" hidden="false" customHeight="false" outlineLevel="0" collapsed="false">
      <c r="A1928" s="0" t="s">
        <v>2779</v>
      </c>
      <c r="B1928" s="0" t="s">
        <v>3095</v>
      </c>
      <c r="C1928" s="0" t="n">
        <v>1</v>
      </c>
      <c r="D1928" s="0" t="str">
        <f aca="false">IF(C1928=0,B1928,"")</f>
        <v/>
      </c>
      <c r="E1928" s="0" t="str">
        <f aca="false">IF(C1928=0,A1928,"")</f>
        <v/>
      </c>
    </row>
    <row r="1929" customFormat="false" ht="12.8" hidden="false" customHeight="false" outlineLevel="0" collapsed="false">
      <c r="A1929" s="0" t="s">
        <v>2780</v>
      </c>
      <c r="B1929" s="0" t="s">
        <v>3096</v>
      </c>
      <c r="C1929" s="0" t="n">
        <v>1</v>
      </c>
      <c r="D1929" s="0" t="str">
        <f aca="false">IF(C1929=0,B1929,"")</f>
        <v/>
      </c>
      <c r="E1929" s="0" t="str">
        <f aca="false">IF(C1929=0,A1929,"")</f>
        <v/>
      </c>
    </row>
    <row r="1930" customFormat="false" ht="12.8" hidden="false" customHeight="false" outlineLevel="0" collapsed="false">
      <c r="A1930" s="0" t="s">
        <v>2781</v>
      </c>
      <c r="B1930" s="0" t="s">
        <v>3097</v>
      </c>
      <c r="C1930" s="0" t="n">
        <v>1</v>
      </c>
      <c r="D1930" s="0" t="str">
        <f aca="false">IF(C1930=0,B1930,"")</f>
        <v/>
      </c>
      <c r="E1930" s="0" t="str">
        <f aca="false">IF(C1930=0,A1930,"")</f>
        <v/>
      </c>
    </row>
    <row r="1931" customFormat="false" ht="12.8" hidden="false" customHeight="false" outlineLevel="0" collapsed="false">
      <c r="A1931" s="0" t="s">
        <v>2782</v>
      </c>
      <c r="B1931" s="0" t="s">
        <v>3098</v>
      </c>
      <c r="C1931" s="0" t="n">
        <v>1</v>
      </c>
      <c r="D1931" s="0" t="str">
        <f aca="false">IF(C1931=0,B1931,"")</f>
        <v/>
      </c>
      <c r="E1931" s="0" t="str">
        <f aca="false">IF(C1931=0,A1931,"")</f>
        <v/>
      </c>
    </row>
    <row r="1932" customFormat="false" ht="12.8" hidden="false" customHeight="false" outlineLevel="0" collapsed="false">
      <c r="A1932" s="0" t="s">
        <v>2783</v>
      </c>
      <c r="B1932" s="0" t="s">
        <v>3570</v>
      </c>
      <c r="C1932" s="0" t="n">
        <v>0</v>
      </c>
      <c r="D1932" s="0" t="str">
        <f aca="false">IF(C1932=0,B1932,"")</f>
        <v>픙</v>
      </c>
      <c r="E1932" s="0" t="str">
        <f aca="false">IF(C1932=0,A1932,"")</f>
        <v>층</v>
      </c>
    </row>
    <row r="1933" customFormat="false" ht="12.8" hidden="false" customHeight="false" outlineLevel="0" collapsed="false">
      <c r="A1933" s="0" t="s">
        <v>2784</v>
      </c>
      <c r="B1933" s="0" t="s">
        <v>2776</v>
      </c>
      <c r="C1933" s="0" t="n">
        <v>1</v>
      </c>
      <c r="D1933" s="0" t="str">
        <f aca="false">IF(C1933=0,B1933,"")</f>
        <v/>
      </c>
      <c r="E1933" s="0" t="str">
        <f aca="false">IF(C1933=0,A1933,"")</f>
        <v/>
      </c>
    </row>
    <row r="1934" customFormat="false" ht="12.8" hidden="false" customHeight="false" outlineLevel="0" collapsed="false">
      <c r="A1934" s="0" t="s">
        <v>2785</v>
      </c>
      <c r="B1934" s="0" t="s">
        <v>3100</v>
      </c>
      <c r="C1934" s="0" t="n">
        <v>1</v>
      </c>
      <c r="D1934" s="0" t="str">
        <f aca="false">IF(C1934=0,B1934,"")</f>
        <v/>
      </c>
      <c r="E1934" s="0" t="str">
        <f aca="false">IF(C1934=0,A1934,"")</f>
        <v/>
      </c>
    </row>
    <row r="1935" customFormat="false" ht="12.8" hidden="false" customHeight="false" outlineLevel="0" collapsed="false">
      <c r="A1935" s="0" t="s">
        <v>2786</v>
      </c>
      <c r="B1935" s="0" t="s">
        <v>3101</v>
      </c>
      <c r="C1935" s="0" t="n">
        <v>1</v>
      </c>
      <c r="D1935" s="0" t="str">
        <f aca="false">IF(C1935=0,B1935,"")</f>
        <v/>
      </c>
      <c r="E1935" s="0" t="str">
        <f aca="false">IF(C1935=0,A1935,"")</f>
        <v/>
      </c>
    </row>
    <row r="1936" customFormat="false" ht="12.8" hidden="false" customHeight="false" outlineLevel="0" collapsed="false">
      <c r="A1936" s="0" t="s">
        <v>2787</v>
      </c>
      <c r="B1936" s="0" t="s">
        <v>3105</v>
      </c>
      <c r="C1936" s="0" t="n">
        <v>1</v>
      </c>
      <c r="D1936" s="0" t="str">
        <f aca="false">IF(C1936=0,B1936,"")</f>
        <v/>
      </c>
      <c r="E1936" s="0" t="str">
        <f aca="false">IF(C1936=0,A1936,"")</f>
        <v/>
      </c>
    </row>
    <row r="1937" customFormat="false" ht="12.8" hidden="false" customHeight="false" outlineLevel="0" collapsed="false">
      <c r="A1937" s="0" t="s">
        <v>2788</v>
      </c>
      <c r="B1937" s="0" t="s">
        <v>3102</v>
      </c>
      <c r="C1937" s="0" t="n">
        <v>1</v>
      </c>
      <c r="D1937" s="0" t="str">
        <f aca="false">IF(C1937=0,B1937,"")</f>
        <v/>
      </c>
      <c r="E1937" s="0" t="str">
        <f aca="false">IF(C1937=0,A1937,"")</f>
        <v/>
      </c>
    </row>
    <row r="1938" customFormat="false" ht="12.8" hidden="false" customHeight="false" outlineLevel="0" collapsed="false">
      <c r="A1938" s="0" t="s">
        <v>2789</v>
      </c>
      <c r="B1938" s="0" t="s">
        <v>3102</v>
      </c>
      <c r="C1938" s="0" t="n">
        <v>1</v>
      </c>
      <c r="D1938" s="0" t="str">
        <f aca="false">IF(C1938=0,B1938,"")</f>
        <v/>
      </c>
      <c r="E1938" s="0" t="str">
        <f aca="false">IF(C1938=0,A1938,"")</f>
        <v/>
      </c>
    </row>
    <row r="1939" customFormat="false" ht="12.8" hidden="false" customHeight="false" outlineLevel="0" collapsed="false">
      <c r="A1939" s="0" t="s">
        <v>2790</v>
      </c>
      <c r="B1939" s="0" t="s">
        <v>3103</v>
      </c>
      <c r="C1939" s="0" t="n">
        <v>1</v>
      </c>
      <c r="D1939" s="0" t="str">
        <f aca="false">IF(C1939=0,B1939,"")</f>
        <v/>
      </c>
      <c r="E1939" s="0" t="str">
        <f aca="false">IF(C1939=0,A1939,"")</f>
        <v/>
      </c>
    </row>
    <row r="1940" customFormat="false" ht="12.8" hidden="false" customHeight="false" outlineLevel="0" collapsed="false">
      <c r="A1940" s="0" t="s">
        <v>2791</v>
      </c>
      <c r="B1940" s="0" t="s">
        <v>3104</v>
      </c>
      <c r="C1940" s="0" t="n">
        <v>1</v>
      </c>
      <c r="D1940" s="0" t="str">
        <f aca="false">IF(C1940=0,B1940,"")</f>
        <v/>
      </c>
      <c r="E1940" s="0" t="str">
        <f aca="false">IF(C1940=0,A1940,"")</f>
        <v/>
      </c>
    </row>
    <row r="1941" customFormat="false" ht="12.8" hidden="false" customHeight="false" outlineLevel="0" collapsed="false">
      <c r="A1941" s="0" t="s">
        <v>2792</v>
      </c>
      <c r="B1941" s="0" t="s">
        <v>3105</v>
      </c>
      <c r="C1941" s="0" t="n">
        <v>1</v>
      </c>
      <c r="D1941" s="0" t="str">
        <f aca="false">IF(C1941=0,B1941,"")</f>
        <v/>
      </c>
      <c r="E1941" s="0" t="str">
        <f aca="false">IF(C1941=0,A1941,"")</f>
        <v/>
      </c>
    </row>
    <row r="1942" customFormat="false" ht="12.8" hidden="false" customHeight="false" outlineLevel="0" collapsed="false">
      <c r="A1942" s="0" t="s">
        <v>2793</v>
      </c>
      <c r="B1942" s="0" t="s">
        <v>3106</v>
      </c>
      <c r="C1942" s="0" t="n">
        <v>1</v>
      </c>
      <c r="D1942" s="0" t="str">
        <f aca="false">IF(C1942=0,B1942,"")</f>
        <v/>
      </c>
      <c r="E1942" s="0" t="str">
        <f aca="false">IF(C1942=0,A1942,"")</f>
        <v/>
      </c>
    </row>
    <row r="1943" customFormat="false" ht="12.8" hidden="false" customHeight="false" outlineLevel="0" collapsed="false">
      <c r="A1943" s="0" t="s">
        <v>2794</v>
      </c>
      <c r="B1943" s="0" t="s">
        <v>2841</v>
      </c>
      <c r="C1943" s="0" t="n">
        <v>1</v>
      </c>
      <c r="D1943" s="0" t="str">
        <f aca="false">IF(C1943=0,B1943,"")</f>
        <v/>
      </c>
      <c r="E1943" s="0" t="str">
        <f aca="false">IF(C1943=0,A1943,"")</f>
        <v/>
      </c>
    </row>
    <row r="1944" customFormat="false" ht="12.8" hidden="false" customHeight="false" outlineLevel="0" collapsed="false">
      <c r="A1944" s="0" t="s">
        <v>2795</v>
      </c>
      <c r="B1944" s="0" t="s">
        <v>1172</v>
      </c>
      <c r="C1944" s="0" t="n">
        <v>1</v>
      </c>
      <c r="D1944" s="0" t="str">
        <f aca="false">IF(C1944=0,B1944,"")</f>
        <v/>
      </c>
      <c r="E1944" s="0" t="str">
        <f aca="false">IF(C1944=0,A1944,"")</f>
        <v/>
      </c>
    </row>
    <row r="1945" customFormat="false" ht="12.8" hidden="false" customHeight="false" outlineLevel="0" collapsed="false">
      <c r="A1945" s="0" t="s">
        <v>2796</v>
      </c>
      <c r="B1945" s="0" t="s">
        <v>1174</v>
      </c>
      <c r="C1945" s="0" t="n">
        <v>1</v>
      </c>
      <c r="D1945" s="0" t="str">
        <f aca="false">IF(C1945=0,B1945,"")</f>
        <v/>
      </c>
      <c r="E1945" s="0" t="str">
        <f aca="false">IF(C1945=0,A1945,"")</f>
        <v/>
      </c>
    </row>
    <row r="1946" customFormat="false" ht="12.8" hidden="false" customHeight="false" outlineLevel="0" collapsed="false">
      <c r="A1946" s="0" t="s">
        <v>2797</v>
      </c>
      <c r="B1946" s="0" t="s">
        <v>1176</v>
      </c>
      <c r="C1946" s="0" t="n">
        <v>1</v>
      </c>
      <c r="D1946" s="0" t="str">
        <f aca="false">IF(C1946=0,B1946,"")</f>
        <v/>
      </c>
      <c r="E1946" s="0" t="str">
        <f aca="false">IF(C1946=0,A1946,"")</f>
        <v/>
      </c>
    </row>
    <row r="1947" customFormat="false" ht="12.8" hidden="false" customHeight="false" outlineLevel="0" collapsed="false">
      <c r="A1947" s="0" t="s">
        <v>2798</v>
      </c>
      <c r="B1947" s="0" t="s">
        <v>1179</v>
      </c>
      <c r="C1947" s="0" t="n">
        <v>1</v>
      </c>
      <c r="D1947" s="0" t="str">
        <f aca="false">IF(C1947=0,B1947,"")</f>
        <v/>
      </c>
      <c r="E1947" s="0" t="str">
        <f aca="false">IF(C1947=0,A1947,"")</f>
        <v/>
      </c>
    </row>
    <row r="1948" customFormat="false" ht="12.8" hidden="false" customHeight="false" outlineLevel="0" collapsed="false">
      <c r="A1948" s="0" t="s">
        <v>2799</v>
      </c>
      <c r="B1948" s="0" t="s">
        <v>1180</v>
      </c>
      <c r="C1948" s="0" t="n">
        <v>1</v>
      </c>
      <c r="D1948" s="0" t="str">
        <f aca="false">IF(C1948=0,B1948,"")</f>
        <v/>
      </c>
      <c r="E1948" s="0" t="str">
        <f aca="false">IF(C1948=0,A1948,"")</f>
        <v/>
      </c>
    </row>
    <row r="1949" customFormat="false" ht="12.8" hidden="false" customHeight="false" outlineLevel="0" collapsed="false">
      <c r="A1949" s="0" t="s">
        <v>2800</v>
      </c>
      <c r="B1949" s="0" t="s">
        <v>1181</v>
      </c>
      <c r="C1949" s="0" t="n">
        <v>1</v>
      </c>
      <c r="D1949" s="0" t="str">
        <f aca="false">IF(C1949=0,B1949,"")</f>
        <v/>
      </c>
      <c r="E1949" s="0" t="str">
        <f aca="false">IF(C1949=0,A1949,"")</f>
        <v/>
      </c>
    </row>
    <row r="1950" customFormat="false" ht="12.8" hidden="false" customHeight="false" outlineLevel="0" collapsed="false">
      <c r="A1950" s="0" t="s">
        <v>2801</v>
      </c>
      <c r="B1950" s="0" t="s">
        <v>1183</v>
      </c>
      <c r="C1950" s="0" t="n">
        <v>1</v>
      </c>
      <c r="D1950" s="0" t="str">
        <f aca="false">IF(C1950=0,B1950,"")</f>
        <v/>
      </c>
      <c r="E1950" s="0" t="str">
        <f aca="false">IF(C1950=0,A1950,"")</f>
        <v/>
      </c>
    </row>
    <row r="1951" customFormat="false" ht="12.8" hidden="false" customHeight="false" outlineLevel="0" collapsed="false">
      <c r="A1951" s="0" t="s">
        <v>2802</v>
      </c>
      <c r="B1951" s="0" t="s">
        <v>3571</v>
      </c>
      <c r="C1951" s="0" t="n">
        <v>0</v>
      </c>
      <c r="D1951" s="0" t="str">
        <f aca="false">IF(C1951=0,B1951,"")</f>
        <v>킈</v>
      </c>
      <c r="E1951" s="0" t="str">
        <f aca="false">IF(C1951=0,A1951,"")</f>
        <v>캐</v>
      </c>
    </row>
    <row r="1952" customFormat="false" ht="12.8" hidden="false" customHeight="false" outlineLevel="0" collapsed="false">
      <c r="A1952" s="0" t="s">
        <v>2803</v>
      </c>
      <c r="B1952" s="0" t="s">
        <v>1189</v>
      </c>
      <c r="C1952" s="0" t="n">
        <v>1</v>
      </c>
      <c r="D1952" s="0" t="str">
        <f aca="false">IF(C1952=0,B1952,"")</f>
        <v/>
      </c>
      <c r="E1952" s="0" t="str">
        <f aca="false">IF(C1952=0,A1952,"")</f>
        <v/>
      </c>
    </row>
    <row r="1953" customFormat="false" ht="12.8" hidden="false" customHeight="false" outlineLevel="0" collapsed="false">
      <c r="A1953" s="0" t="s">
        <v>2804</v>
      </c>
      <c r="B1953" s="0" t="s">
        <v>1190</v>
      </c>
      <c r="C1953" s="0" t="n">
        <v>1</v>
      </c>
      <c r="D1953" s="0" t="str">
        <f aca="false">IF(C1953=0,B1953,"")</f>
        <v/>
      </c>
      <c r="E1953" s="0" t="str">
        <f aca="false">IF(C1953=0,A1953,"")</f>
        <v/>
      </c>
    </row>
    <row r="1954" customFormat="false" ht="12.8" hidden="false" customHeight="false" outlineLevel="0" collapsed="false">
      <c r="A1954" s="0" t="s">
        <v>2805</v>
      </c>
      <c r="B1954" s="0" t="s">
        <v>1191</v>
      </c>
      <c r="C1954" s="0" t="n">
        <v>1</v>
      </c>
      <c r="D1954" s="0" t="str">
        <f aca="false">IF(C1954=0,B1954,"")</f>
        <v/>
      </c>
      <c r="E1954" s="0" t="str">
        <f aca="false">IF(C1954=0,A1954,"")</f>
        <v/>
      </c>
    </row>
    <row r="1955" customFormat="false" ht="12.8" hidden="false" customHeight="false" outlineLevel="0" collapsed="false">
      <c r="A1955" s="0" t="s">
        <v>2806</v>
      </c>
      <c r="B1955" s="0" t="s">
        <v>1192</v>
      </c>
      <c r="C1955" s="0" t="n">
        <v>1</v>
      </c>
      <c r="D1955" s="0" t="str">
        <f aca="false">IF(C1955=0,B1955,"")</f>
        <v/>
      </c>
      <c r="E1955" s="0" t="str">
        <f aca="false">IF(C1955=0,A1955,"")</f>
        <v/>
      </c>
    </row>
    <row r="1956" customFormat="false" ht="12.8" hidden="false" customHeight="false" outlineLevel="0" collapsed="false">
      <c r="A1956" s="0" t="s">
        <v>2807</v>
      </c>
      <c r="B1956" s="0" t="s">
        <v>1193</v>
      </c>
      <c r="C1956" s="0" t="n">
        <v>1</v>
      </c>
      <c r="D1956" s="0" t="str">
        <f aca="false">IF(C1956=0,B1956,"")</f>
        <v/>
      </c>
      <c r="E1956" s="0" t="str">
        <f aca="false">IF(C1956=0,A1956,"")</f>
        <v/>
      </c>
    </row>
    <row r="1957" customFormat="false" ht="12.8" hidden="false" customHeight="false" outlineLevel="0" collapsed="false">
      <c r="A1957" s="0" t="s">
        <v>2808</v>
      </c>
      <c r="B1957" s="0" t="s">
        <v>1194</v>
      </c>
      <c r="C1957" s="0" t="n">
        <v>1</v>
      </c>
      <c r="D1957" s="0" t="str">
        <f aca="false">IF(C1957=0,B1957,"")</f>
        <v/>
      </c>
      <c r="E1957" s="0" t="str">
        <f aca="false">IF(C1957=0,A1957,"")</f>
        <v/>
      </c>
    </row>
    <row r="1958" customFormat="false" ht="12.8" hidden="false" customHeight="false" outlineLevel="0" collapsed="false">
      <c r="A1958" s="0" t="s">
        <v>2809</v>
      </c>
      <c r="B1958" s="0" t="s">
        <v>1194</v>
      </c>
      <c r="C1958" s="0" t="n">
        <v>1</v>
      </c>
      <c r="D1958" s="0" t="str">
        <f aca="false">IF(C1958=0,B1958,"")</f>
        <v/>
      </c>
      <c r="E1958" s="0" t="str">
        <f aca="false">IF(C1958=0,A1958,"")</f>
        <v/>
      </c>
    </row>
    <row r="1959" customFormat="false" ht="12.8" hidden="false" customHeight="false" outlineLevel="0" collapsed="false">
      <c r="A1959" s="0" t="s">
        <v>2810</v>
      </c>
      <c r="B1959" s="0" t="s">
        <v>1196</v>
      </c>
      <c r="C1959" s="0" t="n">
        <v>1</v>
      </c>
      <c r="D1959" s="0" t="str">
        <f aca="false">IF(C1959=0,B1959,"")</f>
        <v/>
      </c>
      <c r="E1959" s="0" t="str">
        <f aca="false">IF(C1959=0,A1959,"")</f>
        <v/>
      </c>
    </row>
    <row r="1960" customFormat="false" ht="12.8" hidden="false" customHeight="false" outlineLevel="0" collapsed="false">
      <c r="A1960" s="0" t="s">
        <v>2811</v>
      </c>
      <c r="B1960" s="0" t="s">
        <v>2859</v>
      </c>
      <c r="C1960" s="0" t="n">
        <v>1</v>
      </c>
      <c r="D1960" s="0" t="str">
        <f aca="false">IF(C1960=0,B1960,"")</f>
        <v/>
      </c>
      <c r="E1960" s="0" t="str">
        <f aca="false">IF(C1960=0,A1960,"")</f>
        <v/>
      </c>
    </row>
    <row r="1961" customFormat="false" ht="12.8" hidden="false" customHeight="false" outlineLevel="0" collapsed="false">
      <c r="A1961" s="0" t="s">
        <v>2812</v>
      </c>
      <c r="B1961" s="0" t="s">
        <v>1198</v>
      </c>
      <c r="C1961" s="0" t="n">
        <v>1</v>
      </c>
      <c r="D1961" s="0" t="str">
        <f aca="false">IF(C1961=0,B1961,"")</f>
        <v/>
      </c>
      <c r="E1961" s="0" t="str">
        <f aca="false">IF(C1961=0,A1961,"")</f>
        <v/>
      </c>
    </row>
    <row r="1962" customFormat="false" ht="12.8" hidden="false" customHeight="false" outlineLevel="0" collapsed="false">
      <c r="A1962" s="0" t="s">
        <v>2813</v>
      </c>
      <c r="B1962" s="0" t="s">
        <v>1202</v>
      </c>
      <c r="C1962" s="0" t="n">
        <v>1</v>
      </c>
      <c r="D1962" s="0" t="str">
        <f aca="false">IF(C1962=0,B1962,"")</f>
        <v/>
      </c>
      <c r="E1962" s="0" t="str">
        <f aca="false">IF(C1962=0,A1962,"")</f>
        <v/>
      </c>
    </row>
    <row r="1963" customFormat="false" ht="12.8" hidden="false" customHeight="false" outlineLevel="0" collapsed="false">
      <c r="A1963" s="0" t="s">
        <v>2814</v>
      </c>
      <c r="B1963" s="0" t="s">
        <v>2860</v>
      </c>
      <c r="C1963" s="0" t="n">
        <v>1</v>
      </c>
      <c r="D1963" s="0" t="str">
        <f aca="false">IF(C1963=0,B1963,"")</f>
        <v/>
      </c>
      <c r="E1963" s="0" t="str">
        <f aca="false">IF(C1963=0,A1963,"")</f>
        <v/>
      </c>
    </row>
    <row r="1964" customFormat="false" ht="12.8" hidden="false" customHeight="false" outlineLevel="0" collapsed="false">
      <c r="A1964" s="0" t="s">
        <v>2815</v>
      </c>
      <c r="B1964" s="0" t="s">
        <v>1204</v>
      </c>
      <c r="C1964" s="0" t="n">
        <v>1</v>
      </c>
      <c r="D1964" s="0" t="str">
        <f aca="false">IF(C1964=0,B1964,"")</f>
        <v/>
      </c>
      <c r="E1964" s="0" t="str">
        <f aca="false">IF(C1964=0,A1964,"")</f>
        <v/>
      </c>
    </row>
    <row r="1965" customFormat="false" ht="12.8" hidden="false" customHeight="false" outlineLevel="0" collapsed="false">
      <c r="A1965" s="0" t="s">
        <v>2816</v>
      </c>
      <c r="B1965" s="0" t="s">
        <v>1206</v>
      </c>
      <c r="C1965" s="0" t="n">
        <v>1</v>
      </c>
      <c r="D1965" s="0" t="str">
        <f aca="false">IF(C1965=0,B1965,"")</f>
        <v/>
      </c>
      <c r="E1965" s="0" t="str">
        <f aca="false">IF(C1965=0,A1965,"")</f>
        <v/>
      </c>
    </row>
    <row r="1966" customFormat="false" ht="12.8" hidden="false" customHeight="false" outlineLevel="0" collapsed="false">
      <c r="A1966" s="0" t="s">
        <v>2817</v>
      </c>
      <c r="B1966" s="0" t="s">
        <v>1212</v>
      </c>
      <c r="C1966" s="0" t="n">
        <v>1</v>
      </c>
      <c r="D1966" s="0" t="str">
        <f aca="false">IF(C1966=0,B1966,"")</f>
        <v/>
      </c>
      <c r="E1966" s="0" t="str">
        <f aca="false">IF(C1966=0,A1966,"")</f>
        <v/>
      </c>
    </row>
    <row r="1967" customFormat="false" ht="12.8" hidden="false" customHeight="false" outlineLevel="0" collapsed="false">
      <c r="A1967" s="0" t="s">
        <v>2818</v>
      </c>
      <c r="B1967" s="0" t="s">
        <v>1207</v>
      </c>
      <c r="C1967" s="0" t="n">
        <v>1</v>
      </c>
      <c r="D1967" s="0" t="str">
        <f aca="false">IF(C1967=0,B1967,"")</f>
        <v/>
      </c>
      <c r="E1967" s="0" t="str">
        <f aca="false">IF(C1967=0,A1967,"")</f>
        <v/>
      </c>
    </row>
    <row r="1968" customFormat="false" ht="12.8" hidden="false" customHeight="false" outlineLevel="0" collapsed="false">
      <c r="A1968" s="0" t="s">
        <v>2819</v>
      </c>
      <c r="B1968" s="0" t="s">
        <v>1210</v>
      </c>
      <c r="C1968" s="0" t="n">
        <v>1</v>
      </c>
      <c r="D1968" s="0" t="str">
        <f aca="false">IF(C1968=0,B1968,"")</f>
        <v/>
      </c>
      <c r="E1968" s="0" t="str">
        <f aca="false">IF(C1968=0,A1968,"")</f>
        <v/>
      </c>
    </row>
    <row r="1969" customFormat="false" ht="12.8" hidden="false" customHeight="false" outlineLevel="0" collapsed="false">
      <c r="A1969" s="0" t="s">
        <v>2820</v>
      </c>
      <c r="B1969" s="0" t="s">
        <v>1211</v>
      </c>
      <c r="C1969" s="0" t="n">
        <v>1</v>
      </c>
      <c r="D1969" s="0" t="str">
        <f aca="false">IF(C1969=0,B1969,"")</f>
        <v/>
      </c>
      <c r="E1969" s="0" t="str">
        <f aca="false">IF(C1969=0,A1969,"")</f>
        <v/>
      </c>
    </row>
    <row r="1970" customFormat="false" ht="12.8" hidden="false" customHeight="false" outlineLevel="0" collapsed="false">
      <c r="A1970" s="0" t="s">
        <v>2821</v>
      </c>
      <c r="B1970" s="0" t="s">
        <v>1212</v>
      </c>
      <c r="C1970" s="0" t="n">
        <v>1</v>
      </c>
      <c r="D1970" s="0" t="str">
        <f aca="false">IF(C1970=0,B1970,"")</f>
        <v/>
      </c>
      <c r="E1970" s="0" t="str">
        <f aca="false">IF(C1970=0,A1970,"")</f>
        <v/>
      </c>
    </row>
    <row r="1971" customFormat="false" ht="12.8" hidden="false" customHeight="false" outlineLevel="0" collapsed="false">
      <c r="A1971" s="0" t="s">
        <v>2822</v>
      </c>
      <c r="B1971" s="0" t="s">
        <v>1212</v>
      </c>
      <c r="C1971" s="0" t="n">
        <v>1</v>
      </c>
      <c r="D1971" s="0" t="str">
        <f aca="false">IF(C1971=0,B1971,"")</f>
        <v/>
      </c>
      <c r="E1971" s="0" t="str">
        <f aca="false">IF(C1971=0,A1971,"")</f>
        <v/>
      </c>
    </row>
    <row r="1972" customFormat="false" ht="12.8" hidden="false" customHeight="false" outlineLevel="0" collapsed="false">
      <c r="A1972" s="0" t="s">
        <v>2823</v>
      </c>
      <c r="B1972" s="0" t="s">
        <v>1214</v>
      </c>
      <c r="C1972" s="0" t="n">
        <v>1</v>
      </c>
      <c r="D1972" s="0" t="str">
        <f aca="false">IF(C1972=0,B1972,"")</f>
        <v/>
      </c>
      <c r="E1972" s="0" t="str">
        <f aca="false">IF(C1972=0,A1972,"")</f>
        <v/>
      </c>
    </row>
    <row r="1973" customFormat="false" ht="12.8" hidden="false" customHeight="false" outlineLevel="0" collapsed="false">
      <c r="A1973" s="0" t="s">
        <v>2824</v>
      </c>
      <c r="B1973" s="0" t="s">
        <v>2794</v>
      </c>
      <c r="C1973" s="0" t="n">
        <v>1</v>
      </c>
      <c r="D1973" s="0" t="str">
        <f aca="false">IF(C1973=0,B1973,"")</f>
        <v/>
      </c>
      <c r="E1973" s="0" t="str">
        <f aca="false">IF(C1973=0,A1973,"")</f>
        <v/>
      </c>
    </row>
    <row r="1974" customFormat="false" ht="12.8" hidden="false" customHeight="false" outlineLevel="0" collapsed="false">
      <c r="A1974" s="0" t="s">
        <v>2825</v>
      </c>
      <c r="B1974" s="0" t="s">
        <v>1217</v>
      </c>
      <c r="C1974" s="0" t="n">
        <v>1</v>
      </c>
      <c r="D1974" s="0" t="str">
        <f aca="false">IF(C1974=0,B1974,"")</f>
        <v/>
      </c>
      <c r="E1974" s="0" t="str">
        <f aca="false">IF(C1974=0,A1974,"")</f>
        <v/>
      </c>
    </row>
    <row r="1975" customFormat="false" ht="12.8" hidden="false" customHeight="false" outlineLevel="0" collapsed="false">
      <c r="A1975" s="0" t="s">
        <v>2826</v>
      </c>
      <c r="B1975" s="0" t="s">
        <v>1218</v>
      </c>
      <c r="C1975" s="0" t="n">
        <v>1</v>
      </c>
      <c r="D1975" s="0" t="str">
        <f aca="false">IF(C1975=0,B1975,"")</f>
        <v/>
      </c>
      <c r="E1975" s="0" t="str">
        <f aca="false">IF(C1975=0,A1975,"")</f>
        <v/>
      </c>
    </row>
    <row r="1976" customFormat="false" ht="12.8" hidden="false" customHeight="false" outlineLevel="0" collapsed="false">
      <c r="A1976" s="0" t="s">
        <v>2827</v>
      </c>
      <c r="B1976" s="0" t="s">
        <v>1219</v>
      </c>
      <c r="C1976" s="0" t="n">
        <v>1</v>
      </c>
      <c r="D1976" s="0" t="str">
        <f aca="false">IF(C1976=0,B1976,"")</f>
        <v/>
      </c>
      <c r="E1976" s="0" t="str">
        <f aca="false">IF(C1976=0,A1976,"")</f>
        <v/>
      </c>
    </row>
    <row r="1977" customFormat="false" ht="12.8" hidden="false" customHeight="false" outlineLevel="0" collapsed="false">
      <c r="A1977" s="0" t="s">
        <v>2828</v>
      </c>
      <c r="B1977" s="0" t="s">
        <v>1220</v>
      </c>
      <c r="C1977" s="0" t="n">
        <v>1</v>
      </c>
      <c r="D1977" s="0" t="str">
        <f aca="false">IF(C1977=0,B1977,"")</f>
        <v/>
      </c>
      <c r="E1977" s="0" t="str">
        <f aca="false">IF(C1977=0,A1977,"")</f>
        <v/>
      </c>
    </row>
    <row r="1978" customFormat="false" ht="12.8" hidden="false" customHeight="false" outlineLevel="0" collapsed="false">
      <c r="A1978" s="0" t="s">
        <v>2829</v>
      </c>
      <c r="B1978" s="0" t="s">
        <v>1221</v>
      </c>
      <c r="C1978" s="0" t="n">
        <v>1</v>
      </c>
      <c r="D1978" s="0" t="str">
        <f aca="false">IF(C1978=0,B1978,"")</f>
        <v/>
      </c>
      <c r="E1978" s="0" t="str">
        <f aca="false">IF(C1978=0,A1978,"")</f>
        <v/>
      </c>
    </row>
    <row r="1979" customFormat="false" ht="12.8" hidden="false" customHeight="false" outlineLevel="0" collapsed="false">
      <c r="A1979" s="0" t="s">
        <v>2830</v>
      </c>
      <c r="B1979" s="0" t="s">
        <v>1222</v>
      </c>
      <c r="C1979" s="0" t="n">
        <v>1</v>
      </c>
      <c r="D1979" s="0" t="str">
        <f aca="false">IF(C1979=0,B1979,"")</f>
        <v/>
      </c>
      <c r="E1979" s="0" t="str">
        <f aca="false">IF(C1979=0,A1979,"")</f>
        <v/>
      </c>
    </row>
    <row r="1980" customFormat="false" ht="12.8" hidden="false" customHeight="false" outlineLevel="0" collapsed="false">
      <c r="A1980" s="0" t="s">
        <v>2831</v>
      </c>
      <c r="B1980" s="0" t="s">
        <v>1224</v>
      </c>
      <c r="C1980" s="0" t="n">
        <v>1</v>
      </c>
      <c r="D1980" s="0" t="str">
        <f aca="false">IF(C1980=0,B1980,"")</f>
        <v/>
      </c>
      <c r="E1980" s="0" t="str">
        <f aca="false">IF(C1980=0,A1980,"")</f>
        <v/>
      </c>
    </row>
    <row r="1981" customFormat="false" ht="12.8" hidden="false" customHeight="false" outlineLevel="0" collapsed="false">
      <c r="A1981" s="0" t="s">
        <v>2832</v>
      </c>
      <c r="B1981" s="0" t="s">
        <v>2882</v>
      </c>
      <c r="C1981" s="0" t="n">
        <v>1</v>
      </c>
      <c r="D1981" s="0" t="str">
        <f aca="false">IF(C1981=0,B1981,"")</f>
        <v/>
      </c>
      <c r="E1981" s="0" t="str">
        <f aca="false">IF(C1981=0,A1981,"")</f>
        <v/>
      </c>
    </row>
    <row r="1982" customFormat="false" ht="12.8" hidden="false" customHeight="false" outlineLevel="0" collapsed="false">
      <c r="A1982" s="0" t="s">
        <v>2833</v>
      </c>
      <c r="B1982" s="0" t="s">
        <v>1227</v>
      </c>
      <c r="C1982" s="0" t="n">
        <v>1</v>
      </c>
      <c r="D1982" s="0" t="str">
        <f aca="false">IF(C1982=0,B1982,"")</f>
        <v/>
      </c>
      <c r="E1982" s="0" t="str">
        <f aca="false">IF(C1982=0,A1982,"")</f>
        <v/>
      </c>
    </row>
    <row r="1983" customFormat="false" ht="12.8" hidden="false" customHeight="false" outlineLevel="0" collapsed="false">
      <c r="A1983" s="0" t="s">
        <v>2834</v>
      </c>
      <c r="B1983" s="0" t="s">
        <v>1228</v>
      </c>
      <c r="C1983" s="0" t="n">
        <v>1</v>
      </c>
      <c r="D1983" s="0" t="str">
        <f aca="false">IF(C1983=0,B1983,"")</f>
        <v/>
      </c>
      <c r="E1983" s="0" t="str">
        <f aca="false">IF(C1983=0,A1983,"")</f>
        <v/>
      </c>
    </row>
    <row r="1984" customFormat="false" ht="12.8" hidden="false" customHeight="false" outlineLevel="0" collapsed="false">
      <c r="A1984" s="0" t="s">
        <v>2835</v>
      </c>
      <c r="B1984" s="0" t="s">
        <v>1229</v>
      </c>
      <c r="C1984" s="0" t="n">
        <v>1</v>
      </c>
      <c r="D1984" s="0" t="str">
        <f aca="false">IF(C1984=0,B1984,"")</f>
        <v/>
      </c>
      <c r="E1984" s="0" t="str">
        <f aca="false">IF(C1984=0,A1984,"")</f>
        <v/>
      </c>
    </row>
    <row r="1985" customFormat="false" ht="12.8" hidden="false" customHeight="false" outlineLevel="0" collapsed="false">
      <c r="A1985" s="0" t="s">
        <v>2836</v>
      </c>
      <c r="B1985" s="0" t="s">
        <v>1230</v>
      </c>
      <c r="C1985" s="0" t="n">
        <v>1</v>
      </c>
      <c r="D1985" s="0" t="str">
        <f aca="false">IF(C1985=0,B1985,"")</f>
        <v/>
      </c>
      <c r="E1985" s="0" t="str">
        <f aca="false">IF(C1985=0,A1985,"")</f>
        <v/>
      </c>
    </row>
    <row r="1986" customFormat="false" ht="12.8" hidden="false" customHeight="false" outlineLevel="0" collapsed="false">
      <c r="A1986" s="0" t="s">
        <v>2837</v>
      </c>
      <c r="B1986" s="0" t="s">
        <v>3572</v>
      </c>
      <c r="C1986" s="0" t="n">
        <v>0</v>
      </c>
      <c r="D1986" s="0" t="str">
        <f aca="false">IF(C1986=0,B1986,"")</f>
        <v>녓</v>
      </c>
      <c r="E1986" s="0" t="str">
        <f aca="false">IF(C1986=0,A1986,"")</f>
        <v>켯</v>
      </c>
    </row>
    <row r="1987" customFormat="false" ht="12.8" hidden="false" customHeight="false" outlineLevel="0" collapsed="false">
      <c r="A1987" s="0" t="s">
        <v>2838</v>
      </c>
      <c r="B1987" s="0" t="s">
        <v>3572</v>
      </c>
      <c r="C1987" s="0" t="n">
        <v>0</v>
      </c>
      <c r="D1987" s="0" t="str">
        <f aca="false">IF(C1987=0,B1987,"")</f>
        <v>녓</v>
      </c>
      <c r="E1987" s="0" t="str">
        <f aca="false">IF(C1987=0,A1987,"")</f>
        <v>켰</v>
      </c>
    </row>
    <row r="1988" customFormat="false" ht="12.8" hidden="false" customHeight="false" outlineLevel="0" collapsed="false">
      <c r="A1988" s="0" t="s">
        <v>2839</v>
      </c>
      <c r="B1988" s="0" t="s">
        <v>809</v>
      </c>
      <c r="C1988" s="0" t="n">
        <v>1</v>
      </c>
      <c r="D1988" s="0" t="str">
        <f aca="false">IF(C1988=0,B1988,"")</f>
        <v/>
      </c>
      <c r="E1988" s="0" t="str">
        <f aca="false">IF(C1988=0,A1988,"")</f>
        <v/>
      </c>
    </row>
    <row r="1989" customFormat="false" ht="12.8" hidden="false" customHeight="false" outlineLevel="0" collapsed="false">
      <c r="A1989" s="0" t="s">
        <v>2840</v>
      </c>
      <c r="B1989" s="0" t="s">
        <v>2857</v>
      </c>
      <c r="C1989" s="0" t="n">
        <v>1</v>
      </c>
      <c r="D1989" s="0" t="str">
        <f aca="false">IF(C1989=0,B1989,"")</f>
        <v/>
      </c>
      <c r="E1989" s="0" t="str">
        <f aca="false">IF(C1989=0,A1989,"")</f>
        <v/>
      </c>
    </row>
    <row r="1990" customFormat="false" ht="12.8" hidden="false" customHeight="false" outlineLevel="0" collapsed="false">
      <c r="A1990" s="0" t="s">
        <v>2841</v>
      </c>
      <c r="B1990" s="0" t="s">
        <v>2814</v>
      </c>
      <c r="C1990" s="0" t="n">
        <v>1</v>
      </c>
      <c r="D1990" s="0" t="str">
        <f aca="false">IF(C1990=0,B1990,"")</f>
        <v/>
      </c>
      <c r="E1990" s="0" t="str">
        <f aca="false">IF(C1990=0,A1990,"")</f>
        <v/>
      </c>
    </row>
    <row r="1991" customFormat="false" ht="12.8" hidden="false" customHeight="false" outlineLevel="0" collapsed="false">
      <c r="A1991" s="0" t="s">
        <v>2842</v>
      </c>
      <c r="B1991" s="0" t="s">
        <v>1235</v>
      </c>
      <c r="C1991" s="0" t="n">
        <v>1</v>
      </c>
      <c r="D1991" s="0" t="str">
        <f aca="false">IF(C1991=0,B1991,"")</f>
        <v/>
      </c>
      <c r="E1991" s="0" t="str">
        <f aca="false">IF(C1991=0,A1991,"")</f>
        <v/>
      </c>
    </row>
    <row r="1992" customFormat="false" ht="12.8" hidden="false" customHeight="false" outlineLevel="0" collapsed="false">
      <c r="A1992" s="0" t="s">
        <v>2843</v>
      </c>
      <c r="B1992" s="0" t="s">
        <v>1236</v>
      </c>
      <c r="C1992" s="0" t="n">
        <v>1</v>
      </c>
      <c r="D1992" s="0" t="str">
        <f aca="false">IF(C1992=0,B1992,"")</f>
        <v/>
      </c>
      <c r="E1992" s="0" t="str">
        <f aca="false">IF(C1992=0,A1992,"")</f>
        <v/>
      </c>
    </row>
    <row r="1993" customFormat="false" ht="12.8" hidden="false" customHeight="false" outlineLevel="0" collapsed="false">
      <c r="A1993" s="0" t="s">
        <v>2844</v>
      </c>
      <c r="B1993" s="0" t="s">
        <v>1237</v>
      </c>
      <c r="C1993" s="0" t="n">
        <v>1</v>
      </c>
      <c r="D1993" s="0" t="str">
        <f aca="false">IF(C1993=0,B1993,"")</f>
        <v/>
      </c>
      <c r="E1993" s="0" t="str">
        <f aca="false">IF(C1993=0,A1993,"")</f>
        <v/>
      </c>
    </row>
    <row r="1994" customFormat="false" ht="12.8" hidden="false" customHeight="false" outlineLevel="0" collapsed="false">
      <c r="A1994" s="0" t="s">
        <v>2845</v>
      </c>
      <c r="B1994" s="0" t="s">
        <v>1239</v>
      </c>
      <c r="C1994" s="0" t="n">
        <v>1</v>
      </c>
      <c r="D1994" s="0" t="str">
        <f aca="false">IF(C1994=0,B1994,"")</f>
        <v/>
      </c>
      <c r="E1994" s="0" t="str">
        <f aca="false">IF(C1994=0,A1994,"")</f>
        <v/>
      </c>
    </row>
    <row r="1995" customFormat="false" ht="12.8" hidden="false" customHeight="false" outlineLevel="0" collapsed="false">
      <c r="A1995" s="0" t="s">
        <v>2846</v>
      </c>
      <c r="B1995" s="0" t="s">
        <v>1240</v>
      </c>
      <c r="C1995" s="0" t="n">
        <v>1</v>
      </c>
      <c r="D1995" s="0" t="str">
        <f aca="false">IF(C1995=0,B1995,"")</f>
        <v/>
      </c>
      <c r="E1995" s="0" t="str">
        <f aca="false">IF(C1995=0,A1995,"")</f>
        <v/>
      </c>
    </row>
    <row r="1996" customFormat="false" ht="12.8" hidden="false" customHeight="false" outlineLevel="0" collapsed="false">
      <c r="A1996" s="0" t="s">
        <v>2847</v>
      </c>
      <c r="B1996" s="0" t="s">
        <v>1241</v>
      </c>
      <c r="C1996" s="0" t="n">
        <v>1</v>
      </c>
      <c r="D1996" s="0" t="str">
        <f aca="false">IF(C1996=0,B1996,"")</f>
        <v/>
      </c>
      <c r="E1996" s="0" t="str">
        <f aca="false">IF(C1996=0,A1996,"")</f>
        <v/>
      </c>
    </row>
    <row r="1997" customFormat="false" ht="12.8" hidden="false" customHeight="false" outlineLevel="0" collapsed="false">
      <c r="A1997" s="0" t="s">
        <v>2848</v>
      </c>
      <c r="B1997" s="0" t="s">
        <v>1242</v>
      </c>
      <c r="C1997" s="0" t="n">
        <v>1</v>
      </c>
      <c r="D1997" s="0" t="str">
        <f aca="false">IF(C1997=0,B1997,"")</f>
        <v/>
      </c>
      <c r="E1997" s="0" t="str">
        <f aca="false">IF(C1997=0,A1997,"")</f>
        <v/>
      </c>
    </row>
    <row r="1998" customFormat="false" ht="12.8" hidden="false" customHeight="false" outlineLevel="0" collapsed="false">
      <c r="A1998" s="0" t="s">
        <v>2849</v>
      </c>
      <c r="B1998" s="0" t="s">
        <v>2840</v>
      </c>
      <c r="C1998" s="0" t="n">
        <v>1</v>
      </c>
      <c r="D1998" s="0" t="str">
        <f aca="false">IF(C1998=0,B1998,"")</f>
        <v/>
      </c>
      <c r="E1998" s="0" t="str">
        <f aca="false">IF(C1998=0,A1998,"")</f>
        <v/>
      </c>
    </row>
    <row r="1999" customFormat="false" ht="12.8" hidden="false" customHeight="false" outlineLevel="0" collapsed="false">
      <c r="A1999" s="0" t="s">
        <v>2850</v>
      </c>
      <c r="B1999" s="0" t="s">
        <v>3573</v>
      </c>
      <c r="C1999" s="0" t="n">
        <v>0</v>
      </c>
      <c r="D1999" s="0" t="str">
        <f aca="false">IF(C1999=0,B1999,"")</f>
        <v>놕</v>
      </c>
      <c r="E1999" s="0" t="str">
        <f aca="false">IF(C1999=0,A1999,"")</f>
        <v>콱</v>
      </c>
    </row>
    <row r="2000" customFormat="false" ht="12.8" hidden="false" customHeight="false" outlineLevel="0" collapsed="false">
      <c r="A2000" s="0" t="s">
        <v>2851</v>
      </c>
      <c r="B2000" s="0" t="s">
        <v>1246</v>
      </c>
      <c r="C2000" s="0" t="n">
        <v>1</v>
      </c>
      <c r="D2000" s="0" t="str">
        <f aca="false">IF(C2000=0,B2000,"")</f>
        <v/>
      </c>
      <c r="E2000" s="0" t="str">
        <f aca="false">IF(C2000=0,A2000,"")</f>
        <v/>
      </c>
    </row>
    <row r="2001" customFormat="false" ht="12.8" hidden="false" customHeight="false" outlineLevel="0" collapsed="false">
      <c r="A2001" s="0" t="s">
        <v>2852</v>
      </c>
      <c r="B2001" s="0" t="s">
        <v>1247</v>
      </c>
      <c r="C2001" s="0" t="n">
        <v>1</v>
      </c>
      <c r="D2001" s="0" t="str">
        <f aca="false">IF(C2001=0,B2001,"")</f>
        <v/>
      </c>
      <c r="E2001" s="0" t="str">
        <f aca="false">IF(C2001=0,A2001,"")</f>
        <v/>
      </c>
    </row>
    <row r="2002" customFormat="false" ht="12.8" hidden="false" customHeight="false" outlineLevel="0" collapsed="false">
      <c r="A2002" s="0" t="s">
        <v>2853</v>
      </c>
      <c r="B2002" s="0" t="s">
        <v>3574</v>
      </c>
      <c r="C2002" s="0" t="n">
        <v>0</v>
      </c>
      <c r="D2002" s="0" t="str">
        <f aca="false">IF(C2002=0,B2002,"")</f>
        <v>놤</v>
      </c>
      <c r="E2002" s="0" t="str">
        <f aca="false">IF(C2002=0,A2002,"")</f>
        <v>쾀</v>
      </c>
    </row>
    <row r="2003" customFormat="false" ht="12.8" hidden="false" customHeight="false" outlineLevel="0" collapsed="false">
      <c r="A2003" s="0" t="s">
        <v>2854</v>
      </c>
      <c r="B2003" s="0" t="s">
        <v>3575</v>
      </c>
      <c r="C2003" s="0" t="n">
        <v>0</v>
      </c>
      <c r="D2003" s="0" t="str">
        <f aca="false">IF(C2003=0,B2003,"")</f>
        <v>놩</v>
      </c>
      <c r="E2003" s="0" t="str">
        <f aca="false">IF(C2003=0,A2003,"")</f>
        <v>쾅</v>
      </c>
    </row>
    <row r="2004" customFormat="false" ht="12.8" hidden="false" customHeight="false" outlineLevel="0" collapsed="false">
      <c r="A2004" s="0" t="s">
        <v>2855</v>
      </c>
      <c r="B2004" s="0" t="s">
        <v>3576</v>
      </c>
      <c r="C2004" s="0" t="n">
        <v>0</v>
      </c>
      <c r="D2004" s="0" t="str">
        <f aca="false">IF(C2004=0,B2004,"")</f>
        <v>컈</v>
      </c>
      <c r="E2004" s="0" t="str">
        <f aca="false">IF(C2004=0,A2004,"")</f>
        <v>쾌</v>
      </c>
    </row>
    <row r="2005" customFormat="false" ht="12.8" hidden="false" customHeight="false" outlineLevel="0" collapsed="false">
      <c r="A2005" s="0" t="s">
        <v>2856</v>
      </c>
      <c r="B2005" s="0" t="s">
        <v>3577</v>
      </c>
      <c r="C2005" s="0" t="n">
        <v>0</v>
      </c>
      <c r="D2005" s="0" t="str">
        <f aca="false">IF(C2005=0,B2005,"")</f>
        <v>뇅</v>
      </c>
      <c r="E2005" s="0" t="str">
        <f aca="false">IF(C2005=0,A2005,"")</f>
        <v>쾡</v>
      </c>
    </row>
    <row r="2006" customFormat="false" ht="12.8" hidden="false" customHeight="false" outlineLevel="0" collapsed="false">
      <c r="A2006" s="0" t="s">
        <v>2857</v>
      </c>
      <c r="B2006" s="0" t="s">
        <v>2868</v>
      </c>
      <c r="C2006" s="0" t="n">
        <v>1</v>
      </c>
      <c r="D2006" s="0" t="str">
        <f aca="false">IF(C2006=0,B2006,"")</f>
        <v/>
      </c>
      <c r="E2006" s="0" t="str">
        <f aca="false">IF(C2006=0,A2006,"")</f>
        <v/>
      </c>
    </row>
    <row r="2007" customFormat="false" ht="12.8" hidden="false" customHeight="false" outlineLevel="0" collapsed="false">
      <c r="A2007" s="0" t="s">
        <v>2858</v>
      </c>
      <c r="B2007" s="0" t="s">
        <v>1251</v>
      </c>
      <c r="C2007" s="0" t="n">
        <v>1</v>
      </c>
      <c r="D2007" s="0" t="str">
        <f aca="false">IF(C2007=0,B2007,"")</f>
        <v/>
      </c>
      <c r="E2007" s="0" t="str">
        <f aca="false">IF(C2007=0,A2007,"")</f>
        <v/>
      </c>
    </row>
    <row r="2008" customFormat="false" ht="12.8" hidden="false" customHeight="false" outlineLevel="0" collapsed="false">
      <c r="A2008" s="0" t="s">
        <v>2859</v>
      </c>
      <c r="B2008" s="0" t="s">
        <v>2832</v>
      </c>
      <c r="C2008" s="0" t="n">
        <v>1</v>
      </c>
      <c r="D2008" s="0" t="str">
        <f aca="false">IF(C2008=0,B2008,"")</f>
        <v/>
      </c>
      <c r="E2008" s="0" t="str">
        <f aca="false">IF(C2008=0,A2008,"")</f>
        <v/>
      </c>
    </row>
    <row r="2009" customFormat="false" ht="12.8" hidden="false" customHeight="false" outlineLevel="0" collapsed="false">
      <c r="A2009" s="0" t="s">
        <v>2860</v>
      </c>
      <c r="B2009" s="0" t="s">
        <v>2824</v>
      </c>
      <c r="C2009" s="0" t="n">
        <v>1</v>
      </c>
      <c r="D2009" s="0" t="str">
        <f aca="false">IF(C2009=0,B2009,"")</f>
        <v/>
      </c>
      <c r="E2009" s="0" t="str">
        <f aca="false">IF(C2009=0,A2009,"")</f>
        <v/>
      </c>
    </row>
    <row r="2010" customFormat="false" ht="12.8" hidden="false" customHeight="false" outlineLevel="0" collapsed="false">
      <c r="A2010" s="0" t="s">
        <v>2861</v>
      </c>
      <c r="B2010" s="0" t="s">
        <v>1263</v>
      </c>
      <c r="C2010" s="0" t="n">
        <v>1</v>
      </c>
      <c r="D2010" s="0" t="str">
        <f aca="false">IF(C2010=0,B2010,"")</f>
        <v/>
      </c>
      <c r="E2010" s="0" t="str">
        <f aca="false">IF(C2010=0,A2010,"")</f>
        <v/>
      </c>
    </row>
    <row r="2011" customFormat="false" ht="12.8" hidden="false" customHeight="false" outlineLevel="0" collapsed="false">
      <c r="A2011" s="0" t="s">
        <v>2862</v>
      </c>
      <c r="B2011" s="0" t="s">
        <v>1264</v>
      </c>
      <c r="C2011" s="0" t="n">
        <v>1</v>
      </c>
      <c r="D2011" s="0" t="str">
        <f aca="false">IF(C2011=0,B2011,"")</f>
        <v/>
      </c>
      <c r="E2011" s="0" t="str">
        <f aca="false">IF(C2011=0,A2011,"")</f>
        <v/>
      </c>
    </row>
    <row r="2012" customFormat="false" ht="12.8" hidden="false" customHeight="false" outlineLevel="0" collapsed="false">
      <c r="A2012" s="0" t="s">
        <v>2863</v>
      </c>
      <c r="B2012" s="0" t="s">
        <v>1266</v>
      </c>
      <c r="C2012" s="0" t="n">
        <v>1</v>
      </c>
      <c r="D2012" s="0" t="str">
        <f aca="false">IF(C2012=0,B2012,"")</f>
        <v/>
      </c>
      <c r="E2012" s="0" t="str">
        <f aca="false">IF(C2012=0,A2012,"")</f>
        <v/>
      </c>
    </row>
    <row r="2013" customFormat="false" ht="12.8" hidden="false" customHeight="false" outlineLevel="0" collapsed="false">
      <c r="A2013" s="0" t="s">
        <v>2864</v>
      </c>
      <c r="B2013" s="0" t="s">
        <v>1267</v>
      </c>
      <c r="C2013" s="0" t="n">
        <v>1</v>
      </c>
      <c r="D2013" s="0" t="str">
        <f aca="false">IF(C2013=0,B2013,"")</f>
        <v/>
      </c>
      <c r="E2013" s="0" t="str">
        <f aca="false">IF(C2013=0,A2013,"")</f>
        <v/>
      </c>
    </row>
    <row r="2014" customFormat="false" ht="12.8" hidden="false" customHeight="false" outlineLevel="0" collapsed="false">
      <c r="A2014" s="0" t="s">
        <v>2865</v>
      </c>
      <c r="B2014" s="0" t="s">
        <v>1268</v>
      </c>
      <c r="C2014" s="0" t="n">
        <v>1</v>
      </c>
      <c r="D2014" s="0" t="str">
        <f aca="false">IF(C2014=0,B2014,"")</f>
        <v/>
      </c>
      <c r="E2014" s="0" t="str">
        <f aca="false">IF(C2014=0,A2014,"")</f>
        <v/>
      </c>
    </row>
    <row r="2015" customFormat="false" ht="12.8" hidden="false" customHeight="false" outlineLevel="0" collapsed="false">
      <c r="A2015" s="0" t="s">
        <v>2866</v>
      </c>
      <c r="B2015" s="0" t="s">
        <v>1269</v>
      </c>
      <c r="C2015" s="0" t="n">
        <v>1</v>
      </c>
      <c r="D2015" s="0" t="str">
        <f aca="false">IF(C2015=0,B2015,"")</f>
        <v/>
      </c>
      <c r="E2015" s="0" t="str">
        <f aca="false">IF(C2015=0,A2015,"")</f>
        <v/>
      </c>
    </row>
    <row r="2016" customFormat="false" ht="12.8" hidden="false" customHeight="false" outlineLevel="0" collapsed="false">
      <c r="A2016" s="0" t="s">
        <v>2867</v>
      </c>
      <c r="B2016" s="0" t="s">
        <v>1270</v>
      </c>
      <c r="C2016" s="0" t="n">
        <v>1</v>
      </c>
      <c r="D2016" s="0" t="str">
        <f aca="false">IF(C2016=0,B2016,"")</f>
        <v/>
      </c>
      <c r="E2016" s="0" t="str">
        <f aca="false">IF(C2016=0,A2016,"")</f>
        <v/>
      </c>
    </row>
    <row r="2017" customFormat="false" ht="12.8" hidden="false" customHeight="false" outlineLevel="0" collapsed="false">
      <c r="A2017" s="0" t="s">
        <v>2868</v>
      </c>
      <c r="B2017" s="0" t="s">
        <v>2849</v>
      </c>
      <c r="C2017" s="0" t="n">
        <v>1</v>
      </c>
      <c r="D2017" s="0" t="str">
        <f aca="false">IF(C2017=0,B2017,"")</f>
        <v/>
      </c>
      <c r="E2017" s="0" t="str">
        <f aca="false">IF(C2017=0,A2017,"")</f>
        <v/>
      </c>
    </row>
    <row r="2018" customFormat="false" ht="12.8" hidden="false" customHeight="false" outlineLevel="0" collapsed="false">
      <c r="A2018" s="0" t="s">
        <v>2869</v>
      </c>
      <c r="B2018" s="0" t="s">
        <v>3578</v>
      </c>
      <c r="C2018" s="0" t="n">
        <v>0</v>
      </c>
      <c r="D2018" s="0" t="str">
        <f aca="false">IF(C2018=0,B2018,"")</f>
        <v>눤</v>
      </c>
      <c r="E2018" s="0" t="str">
        <f aca="false">IF(C2018=0,A2018,"")</f>
        <v>퀀</v>
      </c>
    </row>
    <row r="2019" customFormat="false" ht="12.8" hidden="false" customHeight="false" outlineLevel="0" collapsed="false">
      <c r="A2019" s="0" t="s">
        <v>2870</v>
      </c>
      <c r="B2019" s="0" t="s">
        <v>3579</v>
      </c>
      <c r="C2019" s="0" t="n">
        <v>0</v>
      </c>
      <c r="D2019" s="0" t="str">
        <f aca="false">IF(C2019=0,B2019,"")</f>
        <v>눨</v>
      </c>
      <c r="E2019" s="0" t="str">
        <f aca="false">IF(C2019=0,A2019,"")</f>
        <v>퀄</v>
      </c>
    </row>
    <row r="2020" customFormat="false" ht="12.8" hidden="false" customHeight="false" outlineLevel="0" collapsed="false">
      <c r="A2020" s="0" t="s">
        <v>2871</v>
      </c>
      <c r="B2020" s="0" t="s">
        <v>3580</v>
      </c>
      <c r="C2020" s="0" t="n">
        <v>0</v>
      </c>
      <c r="D2020" s="0" t="str">
        <f aca="false">IF(C2020=0,B2020,"")</f>
        <v>눵</v>
      </c>
      <c r="E2020" s="0" t="str">
        <f aca="false">IF(C2020=0,A2020,"")</f>
        <v>퀑</v>
      </c>
    </row>
    <row r="2021" customFormat="false" ht="12.8" hidden="false" customHeight="false" outlineLevel="0" collapsed="false">
      <c r="A2021" s="0" t="s">
        <v>2872</v>
      </c>
      <c r="B2021" s="0" t="s">
        <v>2855</v>
      </c>
      <c r="C2021" s="0" t="n">
        <v>1</v>
      </c>
      <c r="D2021" s="0" t="str">
        <f aca="false">IF(C2021=0,B2021,"")</f>
        <v/>
      </c>
      <c r="E2021" s="0" t="str">
        <f aca="false">IF(C2021=0,A2021,"")</f>
        <v/>
      </c>
    </row>
    <row r="2022" customFormat="false" ht="12.8" hidden="false" customHeight="false" outlineLevel="0" collapsed="false">
      <c r="A2022" s="0" t="s">
        <v>2873</v>
      </c>
      <c r="B2022" s="0" t="s">
        <v>3581</v>
      </c>
      <c r="C2022" s="0" t="n">
        <v>0</v>
      </c>
      <c r="D2022" s="0" t="str">
        <f aca="false">IF(C2022=0,B2022,"")</f>
        <v>뉑</v>
      </c>
      <c r="E2022" s="0" t="str">
        <f aca="false">IF(C2022=0,A2022,"")</f>
        <v>퀭</v>
      </c>
    </row>
    <row r="2023" customFormat="false" ht="12.8" hidden="false" customHeight="false" outlineLevel="0" collapsed="false">
      <c r="A2023" s="0" t="s">
        <v>2874</v>
      </c>
      <c r="B2023" s="0" t="s">
        <v>2872</v>
      </c>
      <c r="C2023" s="0" t="n">
        <v>1</v>
      </c>
      <c r="D2023" s="0" t="str">
        <f aca="false">IF(C2023=0,B2023,"")</f>
        <v/>
      </c>
      <c r="E2023" s="0" t="str">
        <f aca="false">IF(C2023=0,A2023,"")</f>
        <v/>
      </c>
    </row>
    <row r="2024" customFormat="false" ht="12.8" hidden="false" customHeight="false" outlineLevel="0" collapsed="false">
      <c r="A2024" s="0" t="s">
        <v>2875</v>
      </c>
      <c r="B2024" s="0" t="s">
        <v>3582</v>
      </c>
      <c r="C2024" s="0" t="n">
        <v>0</v>
      </c>
      <c r="D2024" s="0" t="str">
        <f aca="false">IF(C2024=0,B2024,"")</f>
        <v>뉙</v>
      </c>
      <c r="E2024" s="0" t="str">
        <f aca="false">IF(C2024=0,A2024,"")</f>
        <v>퀵</v>
      </c>
    </row>
    <row r="2025" customFormat="false" ht="12.8" hidden="false" customHeight="false" outlineLevel="0" collapsed="false">
      <c r="A2025" s="0" t="s">
        <v>2876</v>
      </c>
      <c r="B2025" s="0" t="s">
        <v>1275</v>
      </c>
      <c r="C2025" s="0" t="n">
        <v>1</v>
      </c>
      <c r="D2025" s="0" t="str">
        <f aca="false">IF(C2025=0,B2025,"")</f>
        <v/>
      </c>
      <c r="E2025" s="0" t="str">
        <f aca="false">IF(C2025=0,A2025,"")</f>
        <v/>
      </c>
    </row>
    <row r="2026" customFormat="false" ht="12.8" hidden="false" customHeight="false" outlineLevel="0" collapsed="false">
      <c r="A2026" s="0" t="s">
        <v>2877</v>
      </c>
      <c r="B2026" s="0" t="s">
        <v>1276</v>
      </c>
      <c r="C2026" s="0" t="n">
        <v>1</v>
      </c>
      <c r="D2026" s="0" t="str">
        <f aca="false">IF(C2026=0,B2026,"")</f>
        <v/>
      </c>
      <c r="E2026" s="0" t="str">
        <f aca="false">IF(C2026=0,A2026,"")</f>
        <v/>
      </c>
    </row>
    <row r="2027" customFormat="false" ht="12.8" hidden="false" customHeight="false" outlineLevel="0" collapsed="false">
      <c r="A2027" s="0" t="s">
        <v>2878</v>
      </c>
      <c r="B2027" s="0" t="s">
        <v>1277</v>
      </c>
      <c r="C2027" s="0" t="n">
        <v>1</v>
      </c>
      <c r="D2027" s="0" t="str">
        <f aca="false">IF(C2027=0,B2027,"")</f>
        <v/>
      </c>
      <c r="E2027" s="0" t="str">
        <f aca="false">IF(C2027=0,A2027,"")</f>
        <v/>
      </c>
    </row>
    <row r="2028" customFormat="false" ht="12.8" hidden="false" customHeight="false" outlineLevel="0" collapsed="false">
      <c r="A2028" s="0" t="s">
        <v>2879</v>
      </c>
      <c r="B2028" s="0" t="s">
        <v>1278</v>
      </c>
      <c r="C2028" s="0" t="n">
        <v>1</v>
      </c>
      <c r="D2028" s="0" t="str">
        <f aca="false">IF(C2028=0,B2028,"")</f>
        <v/>
      </c>
      <c r="E2028" s="0" t="str">
        <f aca="false">IF(C2028=0,A2028,"")</f>
        <v/>
      </c>
    </row>
    <row r="2029" customFormat="false" ht="12.8" hidden="false" customHeight="false" outlineLevel="0" collapsed="false">
      <c r="A2029" s="0" t="s">
        <v>2880</v>
      </c>
      <c r="B2029" s="0" t="s">
        <v>3583</v>
      </c>
      <c r="C2029" s="0" t="n">
        <v>0</v>
      </c>
      <c r="D2029" s="0" t="str">
        <f aca="false">IF(C2029=0,B2029,"")</f>
        <v>뉫</v>
      </c>
      <c r="E2029" s="0" t="str">
        <f aca="false">IF(C2029=0,A2029,"")</f>
        <v>큇</v>
      </c>
    </row>
    <row r="2030" customFormat="false" ht="12.8" hidden="false" customHeight="false" outlineLevel="0" collapsed="false">
      <c r="A2030" s="0" t="s">
        <v>2881</v>
      </c>
      <c r="B2030" s="0" t="s">
        <v>3584</v>
      </c>
      <c r="C2030" s="0" t="n">
        <v>0</v>
      </c>
      <c r="D2030" s="0" t="str">
        <f aca="false">IF(C2030=0,B2030,"")</f>
        <v>뉭</v>
      </c>
      <c r="E2030" s="0" t="str">
        <f aca="false">IF(C2030=0,A2030,"")</f>
        <v>큉</v>
      </c>
    </row>
    <row r="2031" customFormat="false" ht="12.8" hidden="false" customHeight="false" outlineLevel="0" collapsed="false">
      <c r="A2031" s="0" t="s">
        <v>2882</v>
      </c>
      <c r="B2031" s="0" t="s">
        <v>2802</v>
      </c>
      <c r="C2031" s="0" t="n">
        <v>1</v>
      </c>
      <c r="D2031" s="0" t="str">
        <f aca="false">IF(C2031=0,B2031,"")</f>
        <v/>
      </c>
      <c r="E2031" s="0" t="str">
        <f aca="false">IF(C2031=0,A2031,"")</f>
        <v/>
      </c>
    </row>
    <row r="2032" customFormat="false" ht="12.8" hidden="false" customHeight="false" outlineLevel="0" collapsed="false">
      <c r="A2032" s="0" t="s">
        <v>2883</v>
      </c>
      <c r="B2032" s="0" t="s">
        <v>3585</v>
      </c>
      <c r="C2032" s="0" t="n">
        <v>0</v>
      </c>
      <c r="D2032" s="0" t="str">
        <f aca="false">IF(C2032=0,B2032,"")</f>
        <v>뉸</v>
      </c>
      <c r="E2032" s="0" t="str">
        <f aca="false">IF(C2032=0,A2032,"")</f>
        <v>큔</v>
      </c>
    </row>
    <row r="2033" customFormat="false" ht="12.8" hidden="false" customHeight="false" outlineLevel="0" collapsed="false">
      <c r="A2033" s="0" t="s">
        <v>2884</v>
      </c>
      <c r="B2033" s="0" t="s">
        <v>1281</v>
      </c>
      <c r="C2033" s="0" t="n">
        <v>1</v>
      </c>
      <c r="D2033" s="0" t="str">
        <f aca="false">IF(C2033=0,B2033,"")</f>
        <v/>
      </c>
      <c r="E2033" s="0" t="str">
        <f aca="false">IF(C2033=0,A2033,"")</f>
        <v/>
      </c>
    </row>
    <row r="2034" customFormat="false" ht="12.8" hidden="false" customHeight="false" outlineLevel="0" collapsed="false">
      <c r="A2034" s="0" t="s">
        <v>2885</v>
      </c>
      <c r="B2034" s="0" t="s">
        <v>1282</v>
      </c>
      <c r="C2034" s="0" t="n">
        <v>1</v>
      </c>
      <c r="D2034" s="0" t="str">
        <f aca="false">IF(C2034=0,B2034,"")</f>
        <v/>
      </c>
      <c r="E2034" s="0" t="str">
        <f aca="false">IF(C2034=0,A2034,"")</f>
        <v/>
      </c>
    </row>
    <row r="2035" customFormat="false" ht="12.8" hidden="false" customHeight="false" outlineLevel="0" collapsed="false">
      <c r="A2035" s="0" t="s">
        <v>2886</v>
      </c>
      <c r="B2035" s="0" t="s">
        <v>2811</v>
      </c>
      <c r="C2035" s="0" t="n">
        <v>1</v>
      </c>
      <c r="D2035" s="0" t="str">
        <f aca="false">IF(C2035=0,B2035,"")</f>
        <v/>
      </c>
      <c r="E2035" s="0" t="str">
        <f aca="false">IF(C2035=0,A2035,"")</f>
        <v/>
      </c>
    </row>
    <row r="2036" customFormat="false" ht="12.8" hidden="false" customHeight="false" outlineLevel="0" collapsed="false">
      <c r="A2036" s="0" t="s">
        <v>2887</v>
      </c>
      <c r="B2036" s="0" t="s">
        <v>1286</v>
      </c>
      <c r="C2036" s="0" t="n">
        <v>1</v>
      </c>
      <c r="D2036" s="0" t="str">
        <f aca="false">IF(C2036=0,B2036,"")</f>
        <v/>
      </c>
      <c r="E2036" s="0" t="str">
        <f aca="false">IF(C2036=0,A2036,"")</f>
        <v/>
      </c>
    </row>
    <row r="2037" customFormat="false" ht="12.8" hidden="false" customHeight="false" outlineLevel="0" collapsed="false">
      <c r="A2037" s="0" t="s">
        <v>2888</v>
      </c>
      <c r="B2037" s="0" t="s">
        <v>1287</v>
      </c>
      <c r="C2037" s="0" t="n">
        <v>1</v>
      </c>
      <c r="D2037" s="0" t="str">
        <f aca="false">IF(C2037=0,B2037,"")</f>
        <v/>
      </c>
      <c r="E2037" s="0" t="str">
        <f aca="false">IF(C2037=0,A2037,"")</f>
        <v/>
      </c>
    </row>
    <row r="2038" customFormat="false" ht="12.8" hidden="false" customHeight="false" outlineLevel="0" collapsed="false">
      <c r="A2038" s="0" t="s">
        <v>2889</v>
      </c>
      <c r="B2038" s="0" t="s">
        <v>1288</v>
      </c>
      <c r="C2038" s="0" t="n">
        <v>1</v>
      </c>
      <c r="D2038" s="0" t="str">
        <f aca="false">IF(C2038=0,B2038,"")</f>
        <v/>
      </c>
      <c r="E2038" s="0" t="str">
        <f aca="false">IF(C2038=0,A2038,"")</f>
        <v/>
      </c>
    </row>
    <row r="2039" customFormat="false" ht="12.8" hidden="false" customHeight="false" outlineLevel="0" collapsed="false">
      <c r="A2039" s="0" t="s">
        <v>2890</v>
      </c>
      <c r="B2039" s="0" t="s">
        <v>1291</v>
      </c>
      <c r="C2039" s="0" t="n">
        <v>1</v>
      </c>
      <c r="D2039" s="0" t="str">
        <f aca="false">IF(C2039=0,B2039,"")</f>
        <v/>
      </c>
      <c r="E2039" s="0" t="str">
        <f aca="false">IF(C2039=0,A2039,"")</f>
        <v/>
      </c>
    </row>
    <row r="2040" customFormat="false" ht="12.8" hidden="false" customHeight="false" outlineLevel="0" collapsed="false">
      <c r="A2040" s="0" t="s">
        <v>2891</v>
      </c>
      <c r="B2040" s="0" t="s">
        <v>1292</v>
      </c>
      <c r="C2040" s="0" t="n">
        <v>1</v>
      </c>
      <c r="D2040" s="0" t="str">
        <f aca="false">IF(C2040=0,B2040,"")</f>
        <v/>
      </c>
      <c r="E2040" s="0" t="str">
        <f aca="false">IF(C2040=0,A2040,"")</f>
        <v/>
      </c>
    </row>
    <row r="2041" customFormat="false" ht="12.8" hidden="false" customHeight="false" outlineLevel="0" collapsed="false">
      <c r="A2041" s="0" t="s">
        <v>2892</v>
      </c>
      <c r="B2041" s="0" t="s">
        <v>1294</v>
      </c>
      <c r="C2041" s="0" t="n">
        <v>1</v>
      </c>
      <c r="D2041" s="0" t="str">
        <f aca="false">IF(C2041=0,B2041,"")</f>
        <v/>
      </c>
      <c r="E2041" s="0" t="str">
        <f aca="false">IF(C2041=0,A2041,"")</f>
        <v/>
      </c>
    </row>
    <row r="2042" customFormat="false" ht="12.8" hidden="false" customHeight="false" outlineLevel="0" collapsed="false">
      <c r="A2042" s="0" t="s">
        <v>2893</v>
      </c>
      <c r="B2042" s="0" t="s">
        <v>2886</v>
      </c>
      <c r="C2042" s="0" t="n">
        <v>1</v>
      </c>
      <c r="D2042" s="0" t="str">
        <f aca="false">IF(C2042=0,B2042,"")</f>
        <v/>
      </c>
      <c r="E2042" s="0" t="str">
        <f aca="false">IF(C2042=0,A2042,"")</f>
        <v/>
      </c>
    </row>
    <row r="2043" customFormat="false" ht="12.8" hidden="false" customHeight="false" outlineLevel="0" collapsed="false">
      <c r="A2043" s="0" t="s">
        <v>2894</v>
      </c>
      <c r="B2043" s="0" t="s">
        <v>1300</v>
      </c>
      <c r="C2043" s="0" t="n">
        <v>1</v>
      </c>
      <c r="D2043" s="0" t="str">
        <f aca="false">IF(C2043=0,B2043,"")</f>
        <v/>
      </c>
      <c r="E2043" s="0" t="str">
        <f aca="false">IF(C2043=0,A2043,"")</f>
        <v/>
      </c>
    </row>
    <row r="2044" customFormat="false" ht="12.8" hidden="false" customHeight="false" outlineLevel="0" collapsed="false">
      <c r="A2044" s="0" t="s">
        <v>2895</v>
      </c>
      <c r="B2044" s="0" t="s">
        <v>1301</v>
      </c>
      <c r="C2044" s="0" t="n">
        <v>1</v>
      </c>
      <c r="D2044" s="0" t="str">
        <f aca="false">IF(C2044=0,B2044,"")</f>
        <v/>
      </c>
      <c r="E2044" s="0" t="str">
        <f aca="false">IF(C2044=0,A2044,"")</f>
        <v/>
      </c>
    </row>
    <row r="2045" customFormat="false" ht="12.8" hidden="false" customHeight="false" outlineLevel="0" collapsed="false">
      <c r="A2045" s="0" t="s">
        <v>2896</v>
      </c>
      <c r="B2045" s="0" t="s">
        <v>1302</v>
      </c>
      <c r="C2045" s="0" t="n">
        <v>1</v>
      </c>
      <c r="D2045" s="0" t="str">
        <f aca="false">IF(C2045=0,B2045,"")</f>
        <v/>
      </c>
      <c r="E2045" s="0" t="str">
        <f aca="false">IF(C2045=0,A2045,"")</f>
        <v/>
      </c>
    </row>
    <row r="2046" customFormat="false" ht="12.8" hidden="false" customHeight="false" outlineLevel="0" collapsed="false">
      <c r="A2046" s="0" t="s">
        <v>2897</v>
      </c>
      <c r="B2046" s="0" t="s">
        <v>1304</v>
      </c>
      <c r="C2046" s="0" t="n">
        <v>1</v>
      </c>
      <c r="D2046" s="0" t="str">
        <f aca="false">IF(C2046=0,B2046,"")</f>
        <v/>
      </c>
      <c r="E2046" s="0" t="str">
        <f aca="false">IF(C2046=0,A2046,"")</f>
        <v/>
      </c>
    </row>
    <row r="2047" customFormat="false" ht="12.8" hidden="false" customHeight="false" outlineLevel="0" collapsed="false">
      <c r="A2047" s="0" t="s">
        <v>2898</v>
      </c>
      <c r="B2047" s="0" t="s">
        <v>1305</v>
      </c>
      <c r="C2047" s="0" t="n">
        <v>1</v>
      </c>
      <c r="D2047" s="0" t="str">
        <f aca="false">IF(C2047=0,B2047,"")</f>
        <v/>
      </c>
      <c r="E2047" s="0" t="str">
        <f aca="false">IF(C2047=0,A2047,"")</f>
        <v/>
      </c>
    </row>
    <row r="2048" customFormat="false" ht="12.8" hidden="false" customHeight="false" outlineLevel="0" collapsed="false">
      <c r="A2048" s="0" t="s">
        <v>2899</v>
      </c>
      <c r="B2048" s="0" t="s">
        <v>1306</v>
      </c>
      <c r="C2048" s="0" t="n">
        <v>1</v>
      </c>
      <c r="D2048" s="0" t="str">
        <f aca="false">IF(C2048=0,B2048,"")</f>
        <v/>
      </c>
      <c r="E2048" s="0" t="str">
        <f aca="false">IF(C2048=0,A2048,"")</f>
        <v/>
      </c>
    </row>
    <row r="2049" customFormat="false" ht="12.8" hidden="false" customHeight="false" outlineLevel="0" collapsed="false">
      <c r="A2049" s="0" t="s">
        <v>2900</v>
      </c>
      <c r="B2049" s="0" t="s">
        <v>1307</v>
      </c>
      <c r="C2049" s="0" t="n">
        <v>1</v>
      </c>
      <c r="D2049" s="0" t="str">
        <f aca="false">IF(C2049=0,B2049,"")</f>
        <v/>
      </c>
      <c r="E2049" s="0" t="str">
        <f aca="false">IF(C2049=0,A2049,"")</f>
        <v/>
      </c>
    </row>
    <row r="2050" customFormat="false" ht="12.8" hidden="false" customHeight="false" outlineLevel="0" collapsed="false">
      <c r="A2050" s="0" t="s">
        <v>2901</v>
      </c>
      <c r="B2050" s="0" t="s">
        <v>797</v>
      </c>
      <c r="C2050" s="0" t="n">
        <v>1</v>
      </c>
      <c r="D2050" s="0" t="str">
        <f aca="false">IF(C2050=0,B2050,"")</f>
        <v/>
      </c>
      <c r="E2050" s="0" t="str">
        <f aca="false">IF(C2050=0,A2050,"")</f>
        <v/>
      </c>
    </row>
    <row r="2051" customFormat="false" ht="12.8" hidden="false" customHeight="false" outlineLevel="0" collapsed="false">
      <c r="A2051" s="0" t="s">
        <v>2902</v>
      </c>
      <c r="B2051" s="0" t="s">
        <v>1523</v>
      </c>
      <c r="C2051" s="0" t="n">
        <v>1</v>
      </c>
      <c r="D2051" s="0" t="str">
        <f aca="false">IF(C2051=0,B2051,"")</f>
        <v/>
      </c>
      <c r="E2051" s="0" t="str">
        <f aca="false">IF(C2051=0,A2051,"")</f>
        <v/>
      </c>
    </row>
    <row r="2052" customFormat="false" ht="12.8" hidden="false" customHeight="false" outlineLevel="0" collapsed="false">
      <c r="A2052" s="0" t="s">
        <v>2903</v>
      </c>
      <c r="B2052" s="0" t="s">
        <v>1524</v>
      </c>
      <c r="C2052" s="0" t="n">
        <v>1</v>
      </c>
      <c r="D2052" s="0" t="str">
        <f aca="false">IF(C2052=0,B2052,"")</f>
        <v/>
      </c>
      <c r="E2052" s="0" t="str">
        <f aca="false">IF(C2052=0,A2052,"")</f>
        <v/>
      </c>
    </row>
    <row r="2053" customFormat="false" ht="12.8" hidden="false" customHeight="false" outlineLevel="0" collapsed="false">
      <c r="A2053" s="0" t="s">
        <v>2904</v>
      </c>
      <c r="B2053" s="0" t="s">
        <v>1525</v>
      </c>
      <c r="C2053" s="0" t="n">
        <v>1</v>
      </c>
      <c r="D2053" s="0" t="str">
        <f aca="false">IF(C2053=0,B2053,"")</f>
        <v/>
      </c>
      <c r="E2053" s="0" t="str">
        <f aca="false">IF(C2053=0,A2053,"")</f>
        <v/>
      </c>
    </row>
    <row r="2054" customFormat="false" ht="12.8" hidden="false" customHeight="false" outlineLevel="0" collapsed="false">
      <c r="A2054" s="0" t="s">
        <v>2905</v>
      </c>
      <c r="B2054" s="0" t="s">
        <v>1525</v>
      </c>
      <c r="C2054" s="0" t="n">
        <v>1</v>
      </c>
      <c r="D2054" s="0" t="str">
        <f aca="false">IF(C2054=0,B2054,"")</f>
        <v/>
      </c>
      <c r="E2054" s="0" t="str">
        <f aca="false">IF(C2054=0,A2054,"")</f>
        <v/>
      </c>
    </row>
    <row r="2055" customFormat="false" ht="12.8" hidden="false" customHeight="false" outlineLevel="0" collapsed="false">
      <c r="A2055" s="0" t="s">
        <v>2906</v>
      </c>
      <c r="B2055" s="0" t="s">
        <v>1526</v>
      </c>
      <c r="C2055" s="0" t="n">
        <v>1</v>
      </c>
      <c r="D2055" s="0" t="str">
        <f aca="false">IF(C2055=0,B2055,"")</f>
        <v/>
      </c>
      <c r="E2055" s="0" t="str">
        <f aca="false">IF(C2055=0,A2055,"")</f>
        <v/>
      </c>
    </row>
    <row r="2056" customFormat="false" ht="12.8" hidden="false" customHeight="false" outlineLevel="0" collapsed="false">
      <c r="A2056" s="0" t="s">
        <v>2907</v>
      </c>
      <c r="B2056" s="0" t="s">
        <v>1527</v>
      </c>
      <c r="C2056" s="0" t="n">
        <v>1</v>
      </c>
      <c r="D2056" s="0" t="str">
        <f aca="false">IF(C2056=0,B2056,"")</f>
        <v/>
      </c>
      <c r="E2056" s="0" t="str">
        <f aca="false">IF(C2056=0,A2056,"")</f>
        <v/>
      </c>
    </row>
    <row r="2057" customFormat="false" ht="12.8" hidden="false" customHeight="false" outlineLevel="0" collapsed="false">
      <c r="A2057" s="0" t="s">
        <v>2908</v>
      </c>
      <c r="B2057" s="0" t="s">
        <v>1528</v>
      </c>
      <c r="C2057" s="0" t="n">
        <v>1</v>
      </c>
      <c r="D2057" s="0" t="str">
        <f aca="false">IF(C2057=0,B2057,"")</f>
        <v/>
      </c>
      <c r="E2057" s="0" t="str">
        <f aca="false">IF(C2057=0,A2057,"")</f>
        <v/>
      </c>
    </row>
    <row r="2058" customFormat="false" ht="12.8" hidden="false" customHeight="false" outlineLevel="0" collapsed="false">
      <c r="A2058" s="0" t="s">
        <v>2909</v>
      </c>
      <c r="B2058" s="0" t="s">
        <v>1528</v>
      </c>
      <c r="C2058" s="0" t="n">
        <v>1</v>
      </c>
      <c r="D2058" s="0" t="str">
        <f aca="false">IF(C2058=0,B2058,"")</f>
        <v/>
      </c>
      <c r="E2058" s="0" t="str">
        <f aca="false">IF(C2058=0,A2058,"")</f>
        <v/>
      </c>
    </row>
    <row r="2059" customFormat="false" ht="12.8" hidden="false" customHeight="false" outlineLevel="0" collapsed="false">
      <c r="A2059" s="0" t="s">
        <v>2910</v>
      </c>
      <c r="B2059" s="0" t="s">
        <v>1530</v>
      </c>
      <c r="C2059" s="0" t="n">
        <v>1</v>
      </c>
      <c r="D2059" s="0" t="str">
        <f aca="false">IF(C2059=0,B2059,"")</f>
        <v/>
      </c>
      <c r="E2059" s="0" t="str">
        <f aca="false">IF(C2059=0,A2059,"")</f>
        <v/>
      </c>
    </row>
    <row r="2060" customFormat="false" ht="12.8" hidden="false" customHeight="false" outlineLevel="0" collapsed="false">
      <c r="A2060" s="0" t="s">
        <v>2911</v>
      </c>
      <c r="B2060" s="0" t="s">
        <v>2989</v>
      </c>
      <c r="C2060" s="0" t="n">
        <v>1</v>
      </c>
      <c r="D2060" s="0" t="str">
        <f aca="false">IF(C2060=0,B2060,"")</f>
        <v/>
      </c>
      <c r="E2060" s="0" t="str">
        <f aca="false">IF(C2060=0,A2060,"")</f>
        <v/>
      </c>
    </row>
    <row r="2061" customFormat="false" ht="12.8" hidden="false" customHeight="false" outlineLevel="0" collapsed="false">
      <c r="A2061" s="0" t="s">
        <v>2912</v>
      </c>
      <c r="B2061" s="0" t="s">
        <v>1535</v>
      </c>
      <c r="C2061" s="0" t="n">
        <v>1</v>
      </c>
      <c r="D2061" s="0" t="str">
        <f aca="false">IF(C2061=0,B2061,"")</f>
        <v/>
      </c>
      <c r="E2061" s="0" t="str">
        <f aca="false">IF(C2061=0,A2061,"")</f>
        <v/>
      </c>
    </row>
    <row r="2062" customFormat="false" ht="12.8" hidden="false" customHeight="false" outlineLevel="0" collapsed="false">
      <c r="A2062" s="0" t="s">
        <v>2913</v>
      </c>
      <c r="B2062" s="0" t="s">
        <v>1536</v>
      </c>
      <c r="C2062" s="0" t="n">
        <v>1</v>
      </c>
      <c r="D2062" s="0" t="str">
        <f aca="false">IF(C2062=0,B2062,"")</f>
        <v/>
      </c>
      <c r="E2062" s="0" t="str">
        <f aca="false">IF(C2062=0,A2062,"")</f>
        <v/>
      </c>
    </row>
    <row r="2063" customFormat="false" ht="12.8" hidden="false" customHeight="false" outlineLevel="0" collapsed="false">
      <c r="A2063" s="0" t="s">
        <v>2914</v>
      </c>
      <c r="B2063" s="0" t="s">
        <v>1537</v>
      </c>
      <c r="C2063" s="0" t="n">
        <v>1</v>
      </c>
      <c r="D2063" s="0" t="str">
        <f aca="false">IF(C2063=0,B2063,"")</f>
        <v/>
      </c>
      <c r="E2063" s="0" t="str">
        <f aca="false">IF(C2063=0,A2063,"")</f>
        <v/>
      </c>
    </row>
    <row r="2064" customFormat="false" ht="12.8" hidden="false" customHeight="false" outlineLevel="0" collapsed="false">
      <c r="A2064" s="0" t="s">
        <v>2915</v>
      </c>
      <c r="B2064" s="0" t="s">
        <v>1538</v>
      </c>
      <c r="C2064" s="0" t="n">
        <v>1</v>
      </c>
      <c r="D2064" s="0" t="str">
        <f aca="false">IF(C2064=0,B2064,"")</f>
        <v/>
      </c>
      <c r="E2064" s="0" t="str">
        <f aca="false">IF(C2064=0,A2064,"")</f>
        <v/>
      </c>
    </row>
    <row r="2065" customFormat="false" ht="12.8" hidden="false" customHeight="false" outlineLevel="0" collapsed="false">
      <c r="A2065" s="0" t="s">
        <v>2916</v>
      </c>
      <c r="B2065" s="0" t="s">
        <v>1539</v>
      </c>
      <c r="C2065" s="0" t="n">
        <v>1</v>
      </c>
      <c r="D2065" s="0" t="str">
        <f aca="false">IF(C2065=0,B2065,"")</f>
        <v/>
      </c>
      <c r="E2065" s="0" t="str">
        <f aca="false">IF(C2065=0,A2065,"")</f>
        <v/>
      </c>
    </row>
    <row r="2066" customFormat="false" ht="12.8" hidden="false" customHeight="false" outlineLevel="0" collapsed="false">
      <c r="A2066" s="0" t="s">
        <v>2917</v>
      </c>
      <c r="B2066" s="0" t="s">
        <v>1540</v>
      </c>
      <c r="C2066" s="0" t="n">
        <v>1</v>
      </c>
      <c r="D2066" s="0" t="str">
        <f aca="false">IF(C2066=0,B2066,"")</f>
        <v/>
      </c>
      <c r="E2066" s="0" t="str">
        <f aca="false">IF(C2066=0,A2066,"")</f>
        <v/>
      </c>
    </row>
    <row r="2067" customFormat="false" ht="12.8" hidden="false" customHeight="false" outlineLevel="0" collapsed="false">
      <c r="A2067" s="0" t="s">
        <v>2918</v>
      </c>
      <c r="B2067" s="0" t="s">
        <v>1540</v>
      </c>
      <c r="C2067" s="0" t="n">
        <v>1</v>
      </c>
      <c r="D2067" s="0" t="str">
        <f aca="false">IF(C2067=0,B2067,"")</f>
        <v/>
      </c>
      <c r="E2067" s="0" t="str">
        <f aca="false">IF(C2067=0,A2067,"")</f>
        <v/>
      </c>
    </row>
    <row r="2068" customFormat="false" ht="12.8" hidden="false" customHeight="false" outlineLevel="0" collapsed="false">
      <c r="A2068" s="0" t="s">
        <v>2919</v>
      </c>
      <c r="B2068" s="0" t="s">
        <v>1542</v>
      </c>
      <c r="C2068" s="0" t="n">
        <v>1</v>
      </c>
      <c r="D2068" s="0" t="str">
        <f aca="false">IF(C2068=0,B2068,"")</f>
        <v/>
      </c>
      <c r="E2068" s="0" t="str">
        <f aca="false">IF(C2068=0,A2068,"")</f>
        <v/>
      </c>
    </row>
    <row r="2069" customFormat="false" ht="12.8" hidden="false" customHeight="false" outlineLevel="0" collapsed="false">
      <c r="A2069" s="0" t="s">
        <v>2920</v>
      </c>
      <c r="B2069" s="0" t="s">
        <v>2958</v>
      </c>
      <c r="C2069" s="0" t="n">
        <v>1</v>
      </c>
      <c r="D2069" s="0" t="str">
        <f aca="false">IF(C2069=0,B2069,"")</f>
        <v/>
      </c>
      <c r="E2069" s="0" t="str">
        <f aca="false">IF(C2069=0,A2069,"")</f>
        <v/>
      </c>
    </row>
    <row r="2070" customFormat="false" ht="12.8" hidden="false" customHeight="false" outlineLevel="0" collapsed="false">
      <c r="A2070" s="0" t="s">
        <v>2921</v>
      </c>
      <c r="B2070" s="0" t="s">
        <v>1547</v>
      </c>
      <c r="C2070" s="0" t="n">
        <v>1</v>
      </c>
      <c r="D2070" s="0" t="str">
        <f aca="false">IF(C2070=0,B2070,"")</f>
        <v/>
      </c>
      <c r="E2070" s="0" t="str">
        <f aca="false">IF(C2070=0,A2070,"")</f>
        <v/>
      </c>
    </row>
    <row r="2071" customFormat="false" ht="12.8" hidden="false" customHeight="false" outlineLevel="0" collapsed="false">
      <c r="A2071" s="0" t="s">
        <v>790</v>
      </c>
      <c r="B2071" s="0" t="s">
        <v>792</v>
      </c>
      <c r="C2071" s="0" t="n">
        <v>1</v>
      </c>
      <c r="D2071" s="0" t="str">
        <f aca="false">IF(C2071=0,B2071,"")</f>
        <v/>
      </c>
      <c r="E2071" s="0" t="str">
        <f aca="false">IF(C2071=0,A2071,"")</f>
        <v/>
      </c>
    </row>
    <row r="2072" customFormat="false" ht="12.8" hidden="false" customHeight="false" outlineLevel="0" collapsed="false">
      <c r="A2072" s="0" t="s">
        <v>2922</v>
      </c>
      <c r="B2072" s="0" t="s">
        <v>1549</v>
      </c>
      <c r="C2072" s="0" t="n">
        <v>1</v>
      </c>
      <c r="D2072" s="0" t="str">
        <f aca="false">IF(C2072=0,B2072,"")</f>
        <v/>
      </c>
      <c r="E2072" s="0" t="str">
        <f aca="false">IF(C2072=0,A2072,"")</f>
        <v/>
      </c>
    </row>
    <row r="2073" customFormat="false" ht="12.8" hidden="false" customHeight="false" outlineLevel="0" collapsed="false">
      <c r="A2073" s="0" t="s">
        <v>2923</v>
      </c>
      <c r="B2073" s="0" t="s">
        <v>1550</v>
      </c>
      <c r="C2073" s="0" t="n">
        <v>1</v>
      </c>
      <c r="D2073" s="0" t="str">
        <f aca="false">IF(C2073=0,B2073,"")</f>
        <v/>
      </c>
      <c r="E2073" s="0" t="str">
        <f aca="false">IF(C2073=0,A2073,"")</f>
        <v/>
      </c>
    </row>
    <row r="2074" customFormat="false" ht="12.8" hidden="false" customHeight="false" outlineLevel="0" collapsed="false">
      <c r="A2074" s="0" t="s">
        <v>2924</v>
      </c>
      <c r="B2074" s="0" t="s">
        <v>1551</v>
      </c>
      <c r="C2074" s="0" t="n">
        <v>1</v>
      </c>
      <c r="D2074" s="0" t="str">
        <f aca="false">IF(C2074=0,B2074,"")</f>
        <v/>
      </c>
      <c r="E2074" s="0" t="str">
        <f aca="false">IF(C2074=0,A2074,"")</f>
        <v/>
      </c>
    </row>
    <row r="2075" customFormat="false" ht="12.8" hidden="false" customHeight="false" outlineLevel="0" collapsed="false">
      <c r="A2075" s="0" t="s">
        <v>2925</v>
      </c>
      <c r="B2075" s="0" t="s">
        <v>1551</v>
      </c>
      <c r="C2075" s="0" t="n">
        <v>1</v>
      </c>
      <c r="D2075" s="0" t="str">
        <f aca="false">IF(C2075=0,B2075,"")</f>
        <v/>
      </c>
      <c r="E2075" s="0" t="str">
        <f aca="false">IF(C2075=0,A2075,"")</f>
        <v/>
      </c>
    </row>
    <row r="2076" customFormat="false" ht="12.8" hidden="false" customHeight="false" outlineLevel="0" collapsed="false">
      <c r="A2076" s="0" t="s">
        <v>2926</v>
      </c>
      <c r="B2076" s="0" t="s">
        <v>1552</v>
      </c>
      <c r="C2076" s="0" t="n">
        <v>1</v>
      </c>
      <c r="D2076" s="0" t="str">
        <f aca="false">IF(C2076=0,B2076,"")</f>
        <v/>
      </c>
      <c r="E2076" s="0" t="str">
        <f aca="false">IF(C2076=0,A2076,"")</f>
        <v/>
      </c>
    </row>
    <row r="2077" customFormat="false" ht="12.8" hidden="false" customHeight="false" outlineLevel="0" collapsed="false">
      <c r="A2077" s="0" t="s">
        <v>2927</v>
      </c>
      <c r="B2077" s="0" t="s">
        <v>1553</v>
      </c>
      <c r="C2077" s="0" t="n">
        <v>1</v>
      </c>
      <c r="D2077" s="0" t="str">
        <f aca="false">IF(C2077=0,B2077,"")</f>
        <v/>
      </c>
      <c r="E2077" s="0" t="str">
        <f aca="false">IF(C2077=0,A2077,"")</f>
        <v/>
      </c>
    </row>
    <row r="2078" customFormat="false" ht="12.8" hidden="false" customHeight="false" outlineLevel="0" collapsed="false">
      <c r="A2078" s="0" t="s">
        <v>2928</v>
      </c>
      <c r="B2078" s="0" t="s">
        <v>1554</v>
      </c>
      <c r="C2078" s="0" t="n">
        <v>1</v>
      </c>
      <c r="D2078" s="0" t="str">
        <f aca="false">IF(C2078=0,B2078,"")</f>
        <v/>
      </c>
      <c r="E2078" s="0" t="str">
        <f aca="false">IF(C2078=0,A2078,"")</f>
        <v/>
      </c>
    </row>
    <row r="2079" customFormat="false" ht="12.8" hidden="false" customHeight="false" outlineLevel="0" collapsed="false">
      <c r="A2079" s="0" t="s">
        <v>2929</v>
      </c>
      <c r="B2079" s="0" t="s">
        <v>1554</v>
      </c>
      <c r="C2079" s="0" t="n">
        <v>1</v>
      </c>
      <c r="D2079" s="0" t="str">
        <f aca="false">IF(C2079=0,B2079,"")</f>
        <v/>
      </c>
      <c r="E2079" s="0" t="str">
        <f aca="false">IF(C2079=0,A2079,"")</f>
        <v/>
      </c>
    </row>
    <row r="2080" customFormat="false" ht="12.8" hidden="false" customHeight="false" outlineLevel="0" collapsed="false">
      <c r="A2080" s="0" t="s">
        <v>2930</v>
      </c>
      <c r="B2080" s="0" t="s">
        <v>1556</v>
      </c>
      <c r="C2080" s="0" t="n">
        <v>1</v>
      </c>
      <c r="D2080" s="0" t="str">
        <f aca="false">IF(C2080=0,B2080,"")</f>
        <v/>
      </c>
      <c r="E2080" s="0" t="str">
        <f aca="false">IF(C2080=0,A2080,"")</f>
        <v/>
      </c>
    </row>
    <row r="2081" customFormat="false" ht="12.8" hidden="false" customHeight="false" outlineLevel="0" collapsed="false">
      <c r="A2081" s="0" t="s">
        <v>813</v>
      </c>
      <c r="B2081" s="0" t="s">
        <v>2901</v>
      </c>
      <c r="C2081" s="0" t="n">
        <v>1</v>
      </c>
      <c r="D2081" s="0" t="str">
        <f aca="false">IF(C2081=0,B2081,"")</f>
        <v/>
      </c>
      <c r="E2081" s="0" t="str">
        <f aca="false">IF(C2081=0,A2081,"")</f>
        <v/>
      </c>
    </row>
    <row r="2082" customFormat="false" ht="12.8" hidden="false" customHeight="false" outlineLevel="0" collapsed="false">
      <c r="A2082" s="0" t="s">
        <v>2931</v>
      </c>
      <c r="B2082" s="0" t="s">
        <v>1559</v>
      </c>
      <c r="C2082" s="0" t="n">
        <v>1</v>
      </c>
      <c r="D2082" s="0" t="str">
        <f aca="false">IF(C2082=0,B2082,"")</f>
        <v/>
      </c>
      <c r="E2082" s="0" t="str">
        <f aca="false">IF(C2082=0,A2082,"")</f>
        <v/>
      </c>
    </row>
    <row r="2083" customFormat="false" ht="12.8" hidden="false" customHeight="false" outlineLevel="0" collapsed="false">
      <c r="A2083" s="0" t="s">
        <v>2932</v>
      </c>
      <c r="B2083" s="0" t="s">
        <v>1560</v>
      </c>
      <c r="C2083" s="0" t="n">
        <v>1</v>
      </c>
      <c r="D2083" s="0" t="str">
        <f aca="false">IF(C2083=0,B2083,"")</f>
        <v/>
      </c>
      <c r="E2083" s="0" t="str">
        <f aca="false">IF(C2083=0,A2083,"")</f>
        <v/>
      </c>
    </row>
    <row r="2084" customFormat="false" ht="12.8" hidden="false" customHeight="false" outlineLevel="0" collapsed="false">
      <c r="A2084" s="0" t="s">
        <v>2933</v>
      </c>
      <c r="B2084" s="0" t="s">
        <v>1561</v>
      </c>
      <c r="C2084" s="0" t="n">
        <v>1</v>
      </c>
      <c r="D2084" s="0" t="str">
        <f aca="false">IF(C2084=0,B2084,"")</f>
        <v/>
      </c>
      <c r="E2084" s="0" t="str">
        <f aca="false">IF(C2084=0,A2084,"")</f>
        <v/>
      </c>
    </row>
    <row r="2085" customFormat="false" ht="12.8" hidden="false" customHeight="false" outlineLevel="0" collapsed="false">
      <c r="A2085" s="0" t="s">
        <v>2934</v>
      </c>
      <c r="B2085" s="0" t="s">
        <v>1562</v>
      </c>
      <c r="C2085" s="0" t="n">
        <v>1</v>
      </c>
      <c r="D2085" s="0" t="str">
        <f aca="false">IF(C2085=0,B2085,"")</f>
        <v/>
      </c>
      <c r="E2085" s="0" t="str">
        <f aca="false">IF(C2085=0,A2085,"")</f>
        <v/>
      </c>
    </row>
    <row r="2086" customFormat="false" ht="12.8" hidden="false" customHeight="false" outlineLevel="0" collapsed="false">
      <c r="A2086" s="0" t="s">
        <v>2935</v>
      </c>
      <c r="B2086" s="0" t="s">
        <v>1563</v>
      </c>
      <c r="C2086" s="0" t="n">
        <v>1</v>
      </c>
      <c r="D2086" s="0" t="str">
        <f aca="false">IF(C2086=0,B2086,"")</f>
        <v/>
      </c>
      <c r="E2086" s="0" t="str">
        <f aca="false">IF(C2086=0,A2086,"")</f>
        <v/>
      </c>
    </row>
    <row r="2087" customFormat="false" ht="12.8" hidden="false" customHeight="false" outlineLevel="0" collapsed="false">
      <c r="A2087" s="0" t="s">
        <v>2936</v>
      </c>
      <c r="B2087" s="0" t="s">
        <v>1564</v>
      </c>
      <c r="C2087" s="0" t="n">
        <v>1</v>
      </c>
      <c r="D2087" s="0" t="str">
        <f aca="false">IF(C2087=0,B2087,"")</f>
        <v/>
      </c>
      <c r="E2087" s="0" t="str">
        <f aca="false">IF(C2087=0,A2087,"")</f>
        <v/>
      </c>
    </row>
    <row r="2088" customFormat="false" ht="12.8" hidden="false" customHeight="false" outlineLevel="0" collapsed="false">
      <c r="A2088" s="0" t="s">
        <v>2937</v>
      </c>
      <c r="B2088" s="0" t="s">
        <v>1565</v>
      </c>
      <c r="C2088" s="0" t="n">
        <v>1</v>
      </c>
      <c r="D2088" s="0" t="str">
        <f aca="false">IF(C2088=0,B2088,"")</f>
        <v/>
      </c>
      <c r="E2088" s="0" t="str">
        <f aca="false">IF(C2088=0,A2088,"")</f>
        <v/>
      </c>
    </row>
    <row r="2089" customFormat="false" ht="12.8" hidden="false" customHeight="false" outlineLevel="0" collapsed="false">
      <c r="A2089" s="0" t="s">
        <v>2938</v>
      </c>
      <c r="B2089" s="0" t="s">
        <v>2976</v>
      </c>
      <c r="C2089" s="0" t="n">
        <v>1</v>
      </c>
      <c r="D2089" s="0" t="str">
        <f aca="false">IF(C2089=0,B2089,"")</f>
        <v/>
      </c>
      <c r="E2089" s="0" t="str">
        <f aca="false">IF(C2089=0,A2089,"")</f>
        <v/>
      </c>
    </row>
    <row r="2090" customFormat="false" ht="12.8" hidden="false" customHeight="false" outlineLevel="0" collapsed="false">
      <c r="A2090" s="0" t="s">
        <v>2939</v>
      </c>
      <c r="B2090" s="0" t="s">
        <v>1568</v>
      </c>
      <c r="C2090" s="0" t="n">
        <v>1</v>
      </c>
      <c r="D2090" s="0" t="str">
        <f aca="false">IF(C2090=0,B2090,"")</f>
        <v/>
      </c>
      <c r="E2090" s="0" t="str">
        <f aca="false">IF(C2090=0,A2090,"")</f>
        <v/>
      </c>
    </row>
    <row r="2091" customFormat="false" ht="12.8" hidden="false" customHeight="false" outlineLevel="0" collapsed="false">
      <c r="A2091" s="0" t="s">
        <v>2940</v>
      </c>
      <c r="B2091" s="0" t="s">
        <v>1572</v>
      </c>
      <c r="C2091" s="0" t="n">
        <v>1</v>
      </c>
      <c r="D2091" s="0" t="str">
        <f aca="false">IF(C2091=0,B2091,"")</f>
        <v/>
      </c>
      <c r="E2091" s="0" t="str">
        <f aca="false">IF(C2091=0,A2091,"")</f>
        <v/>
      </c>
    </row>
    <row r="2092" customFormat="false" ht="12.8" hidden="false" customHeight="false" outlineLevel="0" collapsed="false">
      <c r="A2092" s="0" t="s">
        <v>2941</v>
      </c>
      <c r="B2092" s="0" t="s">
        <v>2954</v>
      </c>
      <c r="C2092" s="0" t="n">
        <v>1</v>
      </c>
      <c r="D2092" s="0" t="str">
        <f aca="false">IF(C2092=0,B2092,"")</f>
        <v/>
      </c>
      <c r="E2092" s="0" t="str">
        <f aca="false">IF(C2092=0,A2092,"")</f>
        <v/>
      </c>
    </row>
    <row r="2093" customFormat="false" ht="12.8" hidden="false" customHeight="false" outlineLevel="0" collapsed="false">
      <c r="A2093" s="0" t="s">
        <v>2942</v>
      </c>
      <c r="B2093" s="0" t="s">
        <v>1576</v>
      </c>
      <c r="C2093" s="0" t="n">
        <v>1</v>
      </c>
      <c r="D2093" s="0" t="str">
        <f aca="false">IF(C2093=0,B2093,"")</f>
        <v/>
      </c>
      <c r="E2093" s="0" t="str">
        <f aca="false">IF(C2093=0,A2093,"")</f>
        <v/>
      </c>
    </row>
    <row r="2094" customFormat="false" ht="12.8" hidden="false" customHeight="false" outlineLevel="0" collapsed="false">
      <c r="A2094" s="0" t="s">
        <v>797</v>
      </c>
      <c r="B2094" s="0" t="s">
        <v>790</v>
      </c>
      <c r="C2094" s="0" t="n">
        <v>1</v>
      </c>
      <c r="D2094" s="0" t="str">
        <f aca="false">IF(C2094=0,B2094,"")</f>
        <v/>
      </c>
      <c r="E2094" s="0" t="str">
        <f aca="false">IF(C2094=0,A2094,"")</f>
        <v/>
      </c>
    </row>
    <row r="2095" customFormat="false" ht="12.8" hidden="false" customHeight="false" outlineLevel="0" collapsed="false">
      <c r="A2095" s="0" t="s">
        <v>2943</v>
      </c>
      <c r="B2095" s="0" t="s">
        <v>1580</v>
      </c>
      <c r="C2095" s="0" t="n">
        <v>1</v>
      </c>
      <c r="D2095" s="0" t="str">
        <f aca="false">IF(C2095=0,B2095,"")</f>
        <v/>
      </c>
      <c r="E2095" s="0" t="str">
        <f aca="false">IF(C2095=0,A2095,"")</f>
        <v/>
      </c>
    </row>
    <row r="2096" customFormat="false" ht="12.8" hidden="false" customHeight="false" outlineLevel="0" collapsed="false">
      <c r="A2096" s="0" t="s">
        <v>2944</v>
      </c>
      <c r="B2096" s="0" t="s">
        <v>1581</v>
      </c>
      <c r="C2096" s="0" t="n">
        <v>1</v>
      </c>
      <c r="D2096" s="0" t="str">
        <f aca="false">IF(C2096=0,B2096,"")</f>
        <v/>
      </c>
      <c r="E2096" s="0" t="str">
        <f aca="false">IF(C2096=0,A2096,"")</f>
        <v/>
      </c>
    </row>
    <row r="2097" customFormat="false" ht="12.8" hidden="false" customHeight="false" outlineLevel="0" collapsed="false">
      <c r="A2097" s="0" t="s">
        <v>2945</v>
      </c>
      <c r="B2097" s="0" t="s">
        <v>1582</v>
      </c>
      <c r="C2097" s="0" t="n">
        <v>1</v>
      </c>
      <c r="D2097" s="0" t="str">
        <f aca="false">IF(C2097=0,B2097,"")</f>
        <v/>
      </c>
      <c r="E2097" s="0" t="str">
        <f aca="false">IF(C2097=0,A2097,"")</f>
        <v/>
      </c>
    </row>
    <row r="2098" customFormat="false" ht="12.8" hidden="false" customHeight="false" outlineLevel="0" collapsed="false">
      <c r="A2098" s="0" t="s">
        <v>2946</v>
      </c>
      <c r="B2098" s="0" t="s">
        <v>1583</v>
      </c>
      <c r="C2098" s="0" t="n">
        <v>1</v>
      </c>
      <c r="D2098" s="0" t="str">
        <f aca="false">IF(C2098=0,B2098,"")</f>
        <v/>
      </c>
      <c r="E2098" s="0" t="str">
        <f aca="false">IF(C2098=0,A2098,"")</f>
        <v/>
      </c>
    </row>
    <row r="2099" customFormat="false" ht="12.8" hidden="false" customHeight="false" outlineLevel="0" collapsed="false">
      <c r="A2099" s="0" t="s">
        <v>2947</v>
      </c>
      <c r="B2099" s="0" t="s">
        <v>1584</v>
      </c>
      <c r="C2099" s="0" t="n">
        <v>1</v>
      </c>
      <c r="D2099" s="0" t="str">
        <f aca="false">IF(C2099=0,B2099,"")</f>
        <v/>
      </c>
      <c r="E2099" s="0" t="str">
        <f aca="false">IF(C2099=0,A2099,"")</f>
        <v/>
      </c>
    </row>
    <row r="2100" customFormat="false" ht="12.8" hidden="false" customHeight="false" outlineLevel="0" collapsed="false">
      <c r="A2100" s="0" t="s">
        <v>2948</v>
      </c>
      <c r="B2100" s="0" t="s">
        <v>1585</v>
      </c>
      <c r="C2100" s="0" t="n">
        <v>1</v>
      </c>
      <c r="D2100" s="0" t="str">
        <f aca="false">IF(C2100=0,B2100,"")</f>
        <v/>
      </c>
      <c r="E2100" s="0" t="str">
        <f aca="false">IF(C2100=0,A2100,"")</f>
        <v/>
      </c>
    </row>
    <row r="2101" customFormat="false" ht="12.8" hidden="false" customHeight="false" outlineLevel="0" collapsed="false">
      <c r="A2101" s="0" t="s">
        <v>2949</v>
      </c>
      <c r="B2101" s="0" t="s">
        <v>1586</v>
      </c>
      <c r="C2101" s="0" t="n">
        <v>1</v>
      </c>
      <c r="D2101" s="0" t="str">
        <f aca="false">IF(C2101=0,B2101,"")</f>
        <v/>
      </c>
      <c r="E2101" s="0" t="str">
        <f aca="false">IF(C2101=0,A2101,"")</f>
        <v/>
      </c>
    </row>
    <row r="2102" customFormat="false" ht="12.8" hidden="false" customHeight="false" outlineLevel="0" collapsed="false">
      <c r="A2102" s="0" t="s">
        <v>2950</v>
      </c>
      <c r="B2102" s="0" t="s">
        <v>1584</v>
      </c>
      <c r="C2102" s="0" t="n">
        <v>1</v>
      </c>
      <c r="D2102" s="0" t="str">
        <f aca="false">IF(C2102=0,B2102,"")</f>
        <v/>
      </c>
      <c r="E2102" s="0" t="str">
        <f aca="false">IF(C2102=0,A2102,"")</f>
        <v/>
      </c>
    </row>
    <row r="2103" customFormat="false" ht="12.8" hidden="false" customHeight="false" outlineLevel="0" collapsed="false">
      <c r="A2103" s="0" t="s">
        <v>2951</v>
      </c>
      <c r="B2103" s="0" t="s">
        <v>2941</v>
      </c>
      <c r="C2103" s="0" t="n">
        <v>1</v>
      </c>
      <c r="D2103" s="0" t="str">
        <f aca="false">IF(C2103=0,B2103,"")</f>
        <v/>
      </c>
      <c r="E2103" s="0" t="str">
        <f aca="false">IF(C2103=0,A2103,"")</f>
        <v/>
      </c>
    </row>
    <row r="2104" customFormat="false" ht="12.8" hidden="false" customHeight="false" outlineLevel="0" collapsed="false">
      <c r="A2104" s="0" t="s">
        <v>2952</v>
      </c>
      <c r="B2104" s="0" t="s">
        <v>1588</v>
      </c>
      <c r="C2104" s="0" t="n">
        <v>1</v>
      </c>
      <c r="D2104" s="0" t="str">
        <f aca="false">IF(C2104=0,B2104,"")</f>
        <v/>
      </c>
      <c r="E2104" s="0" t="str">
        <f aca="false">IF(C2104=0,A2104,"")</f>
        <v/>
      </c>
    </row>
    <row r="2105" customFormat="false" ht="12.8" hidden="false" customHeight="false" outlineLevel="0" collapsed="false">
      <c r="A2105" s="0" t="s">
        <v>2953</v>
      </c>
      <c r="B2105" s="0" t="s">
        <v>3586</v>
      </c>
      <c r="C2105" s="0" t="n">
        <v>0</v>
      </c>
      <c r="D2105" s="0" t="str">
        <f aca="false">IF(C2105=0,B2105,"")</f>
        <v>턔</v>
      </c>
      <c r="E2105" s="0" t="str">
        <f aca="false">IF(C2105=0,A2105,"")</f>
        <v>퇘</v>
      </c>
    </row>
    <row r="2106" customFormat="false" ht="12.8" hidden="false" customHeight="false" outlineLevel="0" collapsed="false">
      <c r="A2106" s="0" t="s">
        <v>2954</v>
      </c>
      <c r="B2106" s="0" t="s">
        <v>2966</v>
      </c>
      <c r="C2106" s="0" t="n">
        <v>1</v>
      </c>
      <c r="D2106" s="0" t="str">
        <f aca="false">IF(C2106=0,B2106,"")</f>
        <v/>
      </c>
      <c r="E2106" s="0" t="str">
        <f aca="false">IF(C2106=0,A2106,"")</f>
        <v/>
      </c>
    </row>
    <row r="2107" customFormat="false" ht="12.8" hidden="false" customHeight="false" outlineLevel="0" collapsed="false">
      <c r="A2107" s="0" t="s">
        <v>2955</v>
      </c>
      <c r="B2107" s="0" t="s">
        <v>1592</v>
      </c>
      <c r="C2107" s="0" t="n">
        <v>1</v>
      </c>
      <c r="D2107" s="0" t="str">
        <f aca="false">IF(C2107=0,B2107,"")</f>
        <v/>
      </c>
      <c r="E2107" s="0" t="str">
        <f aca="false">IF(C2107=0,A2107,"")</f>
        <v/>
      </c>
    </row>
    <row r="2108" customFormat="false" ht="12.8" hidden="false" customHeight="false" outlineLevel="0" collapsed="false">
      <c r="A2108" s="0" t="s">
        <v>2956</v>
      </c>
      <c r="B2108" s="0" t="s">
        <v>1596</v>
      </c>
      <c r="C2108" s="0" t="n">
        <v>1</v>
      </c>
      <c r="D2108" s="0" t="str">
        <f aca="false">IF(C2108=0,B2108,"")</f>
        <v/>
      </c>
      <c r="E2108" s="0" t="str">
        <f aca="false">IF(C2108=0,A2108,"")</f>
        <v/>
      </c>
    </row>
    <row r="2109" customFormat="false" ht="12.8" hidden="false" customHeight="false" outlineLevel="0" collapsed="false">
      <c r="A2109" s="0" t="s">
        <v>2957</v>
      </c>
      <c r="B2109" s="0" t="s">
        <v>1597</v>
      </c>
      <c r="C2109" s="0" t="n">
        <v>1</v>
      </c>
      <c r="D2109" s="0" t="str">
        <f aca="false">IF(C2109=0,B2109,"")</f>
        <v/>
      </c>
      <c r="E2109" s="0" t="str">
        <f aca="false">IF(C2109=0,A2109,"")</f>
        <v/>
      </c>
    </row>
    <row r="2110" customFormat="false" ht="12.8" hidden="false" customHeight="false" outlineLevel="0" collapsed="false">
      <c r="A2110" s="0" t="s">
        <v>2958</v>
      </c>
      <c r="B2110" s="0" t="s">
        <v>2938</v>
      </c>
      <c r="C2110" s="0" t="n">
        <v>1</v>
      </c>
      <c r="D2110" s="0" t="str">
        <f aca="false">IF(C2110=0,B2110,"")</f>
        <v/>
      </c>
      <c r="E2110" s="0" t="str">
        <f aca="false">IF(C2110=0,A2110,"")</f>
        <v/>
      </c>
    </row>
    <row r="2111" customFormat="false" ht="12.8" hidden="false" customHeight="false" outlineLevel="0" collapsed="false">
      <c r="A2111" s="0" t="s">
        <v>792</v>
      </c>
      <c r="B2111" s="0" t="s">
        <v>813</v>
      </c>
      <c r="C2111" s="0" t="n">
        <v>1</v>
      </c>
      <c r="D2111" s="0" t="str">
        <f aca="false">IF(C2111=0,B2111,"")</f>
        <v/>
      </c>
      <c r="E2111" s="0" t="str">
        <f aca="false">IF(C2111=0,A2111,"")</f>
        <v/>
      </c>
    </row>
    <row r="2112" customFormat="false" ht="12.8" hidden="false" customHeight="false" outlineLevel="0" collapsed="false">
      <c r="A2112" s="0" t="s">
        <v>2959</v>
      </c>
      <c r="B2112" s="0" t="s">
        <v>1605</v>
      </c>
      <c r="C2112" s="0" t="n">
        <v>1</v>
      </c>
      <c r="D2112" s="0" t="str">
        <f aca="false">IF(C2112=0,B2112,"")</f>
        <v/>
      </c>
      <c r="E2112" s="0" t="str">
        <f aca="false">IF(C2112=0,A2112,"")</f>
        <v/>
      </c>
    </row>
    <row r="2113" customFormat="false" ht="12.8" hidden="false" customHeight="false" outlineLevel="0" collapsed="false">
      <c r="A2113" s="0" t="s">
        <v>2960</v>
      </c>
      <c r="B2113" s="0" t="s">
        <v>1606</v>
      </c>
      <c r="C2113" s="0" t="n">
        <v>1</v>
      </c>
      <c r="D2113" s="0" t="str">
        <f aca="false">IF(C2113=0,B2113,"")</f>
        <v/>
      </c>
      <c r="E2113" s="0" t="str">
        <f aca="false">IF(C2113=0,A2113,"")</f>
        <v/>
      </c>
    </row>
    <row r="2114" customFormat="false" ht="12.8" hidden="false" customHeight="false" outlineLevel="0" collapsed="false">
      <c r="A2114" s="0" t="s">
        <v>2961</v>
      </c>
      <c r="B2114" s="0" t="s">
        <v>1607</v>
      </c>
      <c r="C2114" s="0" t="n">
        <v>1</v>
      </c>
      <c r="D2114" s="0" t="str">
        <f aca="false">IF(C2114=0,B2114,"")</f>
        <v/>
      </c>
      <c r="E2114" s="0" t="str">
        <f aca="false">IF(C2114=0,A2114,"")</f>
        <v/>
      </c>
    </row>
    <row r="2115" customFormat="false" ht="12.8" hidden="false" customHeight="false" outlineLevel="0" collapsed="false">
      <c r="A2115" s="0" t="s">
        <v>2962</v>
      </c>
      <c r="B2115" s="0" t="s">
        <v>1608</v>
      </c>
      <c r="C2115" s="0" t="n">
        <v>1</v>
      </c>
      <c r="D2115" s="0" t="str">
        <f aca="false">IF(C2115=0,B2115,"")</f>
        <v/>
      </c>
      <c r="E2115" s="0" t="str">
        <f aca="false">IF(C2115=0,A2115,"")</f>
        <v/>
      </c>
    </row>
    <row r="2116" customFormat="false" ht="12.8" hidden="false" customHeight="false" outlineLevel="0" collapsed="false">
      <c r="A2116" s="0" t="s">
        <v>2963</v>
      </c>
      <c r="B2116" s="0" t="s">
        <v>1609</v>
      </c>
      <c r="C2116" s="0" t="n">
        <v>1</v>
      </c>
      <c r="D2116" s="0" t="str">
        <f aca="false">IF(C2116=0,B2116,"")</f>
        <v/>
      </c>
      <c r="E2116" s="0" t="str">
        <f aca="false">IF(C2116=0,A2116,"")</f>
        <v/>
      </c>
    </row>
    <row r="2117" customFormat="false" ht="12.8" hidden="false" customHeight="false" outlineLevel="0" collapsed="false">
      <c r="A2117" s="0" t="s">
        <v>2964</v>
      </c>
      <c r="B2117" s="0" t="s">
        <v>1610</v>
      </c>
      <c r="C2117" s="0" t="n">
        <v>1</v>
      </c>
      <c r="D2117" s="0" t="str">
        <f aca="false">IF(C2117=0,B2117,"")</f>
        <v/>
      </c>
      <c r="E2117" s="0" t="str">
        <f aca="false">IF(C2117=0,A2117,"")</f>
        <v/>
      </c>
    </row>
    <row r="2118" customFormat="false" ht="12.8" hidden="false" customHeight="false" outlineLevel="0" collapsed="false">
      <c r="A2118" s="0" t="s">
        <v>2965</v>
      </c>
      <c r="B2118" s="0" t="s">
        <v>1611</v>
      </c>
      <c r="C2118" s="0" t="n">
        <v>1</v>
      </c>
      <c r="D2118" s="0" t="str">
        <f aca="false">IF(C2118=0,B2118,"")</f>
        <v/>
      </c>
      <c r="E2118" s="0" t="str">
        <f aca="false">IF(C2118=0,A2118,"")</f>
        <v/>
      </c>
    </row>
    <row r="2119" customFormat="false" ht="12.8" hidden="false" customHeight="false" outlineLevel="0" collapsed="false">
      <c r="A2119" s="0" t="s">
        <v>2966</v>
      </c>
      <c r="B2119" s="0" t="s">
        <v>2951</v>
      </c>
      <c r="C2119" s="0" t="n">
        <v>1</v>
      </c>
      <c r="D2119" s="0" t="str">
        <f aca="false">IF(C2119=0,B2119,"")</f>
        <v/>
      </c>
      <c r="E2119" s="0" t="str">
        <f aca="false">IF(C2119=0,A2119,"")</f>
        <v/>
      </c>
    </row>
    <row r="2120" customFormat="false" ht="12.8" hidden="false" customHeight="false" outlineLevel="0" collapsed="false">
      <c r="A2120" s="0" t="s">
        <v>2967</v>
      </c>
      <c r="B2120" s="0" t="s">
        <v>3587</v>
      </c>
      <c r="C2120" s="0" t="n">
        <v>0</v>
      </c>
      <c r="D2120" s="0" t="str">
        <f aca="false">IF(C2120=0,B2120,"")</f>
        <v>뤗</v>
      </c>
      <c r="E2120" s="0" t="str">
        <f aca="false">IF(C2120=0,A2120,"")</f>
        <v>퉜</v>
      </c>
    </row>
    <row r="2121" customFormat="false" ht="12.8" hidden="false" customHeight="false" outlineLevel="0" collapsed="false">
      <c r="A2121" s="0" t="s">
        <v>2968</v>
      </c>
      <c r="B2121" s="0" t="s">
        <v>2953</v>
      </c>
      <c r="C2121" s="0" t="n">
        <v>1</v>
      </c>
      <c r="D2121" s="0" t="str">
        <f aca="false">IF(C2121=0,B2121,"")</f>
        <v/>
      </c>
      <c r="E2121" s="0" t="str">
        <f aca="false">IF(C2121=0,A2121,"")</f>
        <v/>
      </c>
    </row>
    <row r="2122" customFormat="false" ht="12.8" hidden="false" customHeight="false" outlineLevel="0" collapsed="false">
      <c r="A2122" s="0" t="s">
        <v>2969</v>
      </c>
      <c r="B2122" s="0" t="s">
        <v>2968</v>
      </c>
      <c r="C2122" s="0" t="n">
        <v>1</v>
      </c>
      <c r="D2122" s="0" t="str">
        <f aca="false">IF(C2122=0,B2122,"")</f>
        <v/>
      </c>
      <c r="E2122" s="0" t="str">
        <f aca="false">IF(C2122=0,A2122,"")</f>
        <v/>
      </c>
    </row>
    <row r="2123" customFormat="false" ht="12.8" hidden="false" customHeight="false" outlineLevel="0" collapsed="false">
      <c r="A2123" s="0" t="s">
        <v>2970</v>
      </c>
      <c r="B2123" s="0" t="s">
        <v>1616</v>
      </c>
      <c r="C2123" s="0" t="n">
        <v>1</v>
      </c>
      <c r="D2123" s="0" t="str">
        <f aca="false">IF(C2123=0,B2123,"")</f>
        <v/>
      </c>
      <c r="E2123" s="0" t="str">
        <f aca="false">IF(C2123=0,A2123,"")</f>
        <v/>
      </c>
    </row>
    <row r="2124" customFormat="false" ht="12.8" hidden="false" customHeight="false" outlineLevel="0" collapsed="false">
      <c r="A2124" s="0" t="s">
        <v>2971</v>
      </c>
      <c r="B2124" s="0" t="s">
        <v>1617</v>
      </c>
      <c r="C2124" s="0" t="n">
        <v>1</v>
      </c>
      <c r="D2124" s="0" t="str">
        <f aca="false">IF(C2124=0,B2124,"")</f>
        <v/>
      </c>
      <c r="E2124" s="0" t="str">
        <f aca="false">IF(C2124=0,A2124,"")</f>
        <v/>
      </c>
    </row>
    <row r="2125" customFormat="false" ht="12.8" hidden="false" customHeight="false" outlineLevel="0" collapsed="false">
      <c r="A2125" s="0" t="s">
        <v>2972</v>
      </c>
      <c r="B2125" s="0" t="s">
        <v>1618</v>
      </c>
      <c r="C2125" s="0" t="n">
        <v>1</v>
      </c>
      <c r="D2125" s="0" t="str">
        <f aca="false">IF(C2125=0,B2125,"")</f>
        <v/>
      </c>
      <c r="E2125" s="0" t="str">
        <f aca="false">IF(C2125=0,A2125,"")</f>
        <v/>
      </c>
    </row>
    <row r="2126" customFormat="false" ht="12.8" hidden="false" customHeight="false" outlineLevel="0" collapsed="false">
      <c r="A2126" s="0" t="s">
        <v>2973</v>
      </c>
      <c r="B2126" s="0" t="s">
        <v>1619</v>
      </c>
      <c r="C2126" s="0" t="n">
        <v>1</v>
      </c>
      <c r="D2126" s="0" t="str">
        <f aca="false">IF(C2126=0,B2126,"")</f>
        <v/>
      </c>
      <c r="E2126" s="0" t="str">
        <f aca="false">IF(C2126=0,A2126,"")</f>
        <v/>
      </c>
    </row>
    <row r="2127" customFormat="false" ht="12.8" hidden="false" customHeight="false" outlineLevel="0" collapsed="false">
      <c r="A2127" s="0" t="s">
        <v>2974</v>
      </c>
      <c r="B2127" s="0" t="s">
        <v>3588</v>
      </c>
      <c r="C2127" s="0" t="n">
        <v>0</v>
      </c>
      <c r="D2127" s="0" t="str">
        <f aca="false">IF(C2127=0,B2127,"")</f>
        <v>륍</v>
      </c>
      <c r="E2127" s="0" t="str">
        <f aca="false">IF(C2127=0,A2127,"")</f>
        <v>튑</v>
      </c>
    </row>
    <row r="2128" customFormat="false" ht="12.8" hidden="false" customHeight="false" outlineLevel="0" collapsed="false">
      <c r="A2128" s="0" t="s">
        <v>2975</v>
      </c>
      <c r="B2128" s="0" t="s">
        <v>1621</v>
      </c>
      <c r="C2128" s="0" t="n">
        <v>1</v>
      </c>
      <c r="D2128" s="0" t="str">
        <f aca="false">IF(C2128=0,B2128,"")</f>
        <v/>
      </c>
      <c r="E2128" s="0" t="str">
        <f aca="false">IF(C2128=0,A2128,"")</f>
        <v/>
      </c>
    </row>
    <row r="2129" customFormat="false" ht="12.8" hidden="false" customHeight="false" outlineLevel="0" collapsed="false">
      <c r="A2129" s="0" t="s">
        <v>2976</v>
      </c>
      <c r="B2129" s="0" t="s">
        <v>2911</v>
      </c>
      <c r="C2129" s="0" t="n">
        <v>1</v>
      </c>
      <c r="D2129" s="0" t="str">
        <f aca="false">IF(C2129=0,B2129,"")</f>
        <v/>
      </c>
      <c r="E2129" s="0" t="str">
        <f aca="false">IF(C2129=0,A2129,"")</f>
        <v/>
      </c>
    </row>
    <row r="2130" customFormat="false" ht="12.8" hidden="false" customHeight="false" outlineLevel="0" collapsed="false">
      <c r="A2130" s="0" t="s">
        <v>2977</v>
      </c>
      <c r="B2130" s="0" t="s">
        <v>1624</v>
      </c>
      <c r="C2130" s="0" t="n">
        <v>1</v>
      </c>
      <c r="D2130" s="0" t="str">
        <f aca="false">IF(C2130=0,B2130,"")</f>
        <v/>
      </c>
      <c r="E2130" s="0" t="str">
        <f aca="false">IF(C2130=0,A2130,"")</f>
        <v/>
      </c>
    </row>
    <row r="2131" customFormat="false" ht="12.8" hidden="false" customHeight="false" outlineLevel="0" collapsed="false">
      <c r="A2131" s="0" t="s">
        <v>2978</v>
      </c>
      <c r="B2131" s="0" t="s">
        <v>1625</v>
      </c>
      <c r="C2131" s="0" t="n">
        <v>1</v>
      </c>
      <c r="D2131" s="0" t="str">
        <f aca="false">IF(C2131=0,B2131,"")</f>
        <v/>
      </c>
      <c r="E2131" s="0" t="str">
        <f aca="false">IF(C2131=0,A2131,"")</f>
        <v/>
      </c>
    </row>
    <row r="2132" customFormat="false" ht="12.8" hidden="false" customHeight="false" outlineLevel="0" collapsed="false">
      <c r="A2132" s="0" t="s">
        <v>2979</v>
      </c>
      <c r="B2132" s="0" t="s">
        <v>1626</v>
      </c>
      <c r="C2132" s="0" t="n">
        <v>1</v>
      </c>
      <c r="D2132" s="0" t="str">
        <f aca="false">IF(C2132=0,B2132,"")</f>
        <v/>
      </c>
      <c r="E2132" s="0" t="str">
        <f aca="false">IF(C2132=0,A2132,"")</f>
        <v/>
      </c>
    </row>
    <row r="2133" customFormat="false" ht="12.8" hidden="false" customHeight="false" outlineLevel="0" collapsed="false">
      <c r="A2133" s="0" t="s">
        <v>2980</v>
      </c>
      <c r="B2133" s="0" t="s">
        <v>1629</v>
      </c>
      <c r="C2133" s="0" t="n">
        <v>1</v>
      </c>
      <c r="D2133" s="0" t="str">
        <f aca="false">IF(C2133=0,B2133,"")</f>
        <v/>
      </c>
      <c r="E2133" s="0" t="str">
        <f aca="false">IF(C2133=0,A2133,"")</f>
        <v/>
      </c>
    </row>
    <row r="2134" customFormat="false" ht="12.8" hidden="false" customHeight="false" outlineLevel="0" collapsed="false">
      <c r="A2134" s="0" t="s">
        <v>814</v>
      </c>
      <c r="B2134" s="0" t="s">
        <v>2920</v>
      </c>
      <c r="C2134" s="0" t="n">
        <v>1</v>
      </c>
      <c r="D2134" s="0" t="str">
        <f aca="false">IF(C2134=0,B2134,"")</f>
        <v/>
      </c>
      <c r="E2134" s="0" t="str">
        <f aca="false">IF(C2134=0,A2134,"")</f>
        <v/>
      </c>
    </row>
    <row r="2135" customFormat="false" ht="12.8" hidden="false" customHeight="false" outlineLevel="0" collapsed="false">
      <c r="A2135" s="0" t="s">
        <v>2981</v>
      </c>
      <c r="B2135" s="0" t="s">
        <v>1631</v>
      </c>
      <c r="C2135" s="0" t="n">
        <v>1</v>
      </c>
      <c r="D2135" s="0" t="str">
        <f aca="false">IF(C2135=0,B2135,"")</f>
        <v/>
      </c>
      <c r="E2135" s="0" t="str">
        <f aca="false">IF(C2135=0,A2135,"")</f>
        <v/>
      </c>
    </row>
    <row r="2136" customFormat="false" ht="12.8" hidden="false" customHeight="false" outlineLevel="0" collapsed="false">
      <c r="A2136" s="0" t="s">
        <v>2982</v>
      </c>
      <c r="B2136" s="0" t="s">
        <v>1632</v>
      </c>
      <c r="C2136" s="0" t="n">
        <v>1</v>
      </c>
      <c r="D2136" s="0" t="str">
        <f aca="false">IF(C2136=0,B2136,"")</f>
        <v/>
      </c>
      <c r="E2136" s="0" t="str">
        <f aca="false">IF(C2136=0,A2136,"")</f>
        <v/>
      </c>
    </row>
    <row r="2137" customFormat="false" ht="12.8" hidden="false" customHeight="false" outlineLevel="0" collapsed="false">
      <c r="A2137" s="0" t="s">
        <v>2983</v>
      </c>
      <c r="B2137" s="0" t="s">
        <v>1635</v>
      </c>
      <c r="C2137" s="0" t="n">
        <v>1</v>
      </c>
      <c r="D2137" s="0" t="str">
        <f aca="false">IF(C2137=0,B2137,"")</f>
        <v/>
      </c>
      <c r="E2137" s="0" t="str">
        <f aca="false">IF(C2137=0,A2137,"")</f>
        <v/>
      </c>
    </row>
    <row r="2138" customFormat="false" ht="12.8" hidden="false" customHeight="false" outlineLevel="0" collapsed="false">
      <c r="A2138" s="0" t="s">
        <v>2984</v>
      </c>
      <c r="B2138" s="0" t="s">
        <v>793</v>
      </c>
      <c r="C2138" s="0" t="n">
        <v>1</v>
      </c>
      <c r="D2138" s="0" t="str">
        <f aca="false">IF(C2138=0,B2138,"")</f>
        <v/>
      </c>
      <c r="E2138" s="0" t="str">
        <f aca="false">IF(C2138=0,A2138,"")</f>
        <v/>
      </c>
    </row>
    <row r="2139" customFormat="false" ht="12.8" hidden="false" customHeight="false" outlineLevel="0" collapsed="false">
      <c r="A2139" s="0" t="s">
        <v>2985</v>
      </c>
      <c r="B2139" s="0" t="s">
        <v>793</v>
      </c>
      <c r="C2139" s="0" t="n">
        <v>1</v>
      </c>
      <c r="D2139" s="0" t="str">
        <f aca="false">IF(C2139=0,B2139,"")</f>
        <v/>
      </c>
      <c r="E2139" s="0" t="str">
        <f aca="false">IF(C2139=0,A2139,"")</f>
        <v/>
      </c>
    </row>
    <row r="2140" customFormat="false" ht="12.8" hidden="false" customHeight="false" outlineLevel="0" collapsed="false">
      <c r="A2140" s="0" t="s">
        <v>2986</v>
      </c>
      <c r="B2140" s="0" t="s">
        <v>1633</v>
      </c>
      <c r="C2140" s="0" t="n">
        <v>1</v>
      </c>
      <c r="D2140" s="0" t="str">
        <f aca="false">IF(C2140=0,B2140,"")</f>
        <v/>
      </c>
      <c r="E2140" s="0" t="str">
        <f aca="false">IF(C2140=0,A2140,"")</f>
        <v/>
      </c>
    </row>
    <row r="2141" customFormat="false" ht="12.8" hidden="false" customHeight="false" outlineLevel="0" collapsed="false">
      <c r="A2141" s="0" t="s">
        <v>2987</v>
      </c>
      <c r="B2141" s="0" t="s">
        <v>1634</v>
      </c>
      <c r="C2141" s="0" t="n">
        <v>1</v>
      </c>
      <c r="D2141" s="0" t="str">
        <f aca="false">IF(C2141=0,B2141,"")</f>
        <v/>
      </c>
      <c r="E2141" s="0" t="str">
        <f aca="false">IF(C2141=0,A2141,"")</f>
        <v/>
      </c>
    </row>
    <row r="2142" customFormat="false" ht="12.8" hidden="false" customHeight="false" outlineLevel="0" collapsed="false">
      <c r="A2142" s="0" t="s">
        <v>2988</v>
      </c>
      <c r="B2142" s="0" t="s">
        <v>1635</v>
      </c>
      <c r="C2142" s="0" t="n">
        <v>1</v>
      </c>
      <c r="D2142" s="0" t="str">
        <f aca="false">IF(C2142=0,B2142,"")</f>
        <v/>
      </c>
      <c r="E2142" s="0" t="str">
        <f aca="false">IF(C2142=0,A2142,"")</f>
        <v/>
      </c>
    </row>
    <row r="2143" customFormat="false" ht="12.8" hidden="false" customHeight="false" outlineLevel="0" collapsed="false">
      <c r="A2143" s="0" t="s">
        <v>2989</v>
      </c>
      <c r="B2143" s="0" t="s">
        <v>2994</v>
      </c>
      <c r="C2143" s="0" t="n">
        <v>1</v>
      </c>
      <c r="D2143" s="0" t="str">
        <f aca="false">IF(C2143=0,B2143,"")</f>
        <v/>
      </c>
      <c r="E2143" s="0" t="str">
        <f aca="false">IF(C2143=0,A2143,"")</f>
        <v/>
      </c>
    </row>
    <row r="2144" customFormat="false" ht="12.8" hidden="false" customHeight="false" outlineLevel="0" collapsed="false">
      <c r="A2144" s="0" t="s">
        <v>2990</v>
      </c>
      <c r="B2144" s="0" t="s">
        <v>3589</v>
      </c>
      <c r="C2144" s="0" t="n">
        <v>0</v>
      </c>
      <c r="D2144" s="0" t="str">
        <f aca="false">IF(C2144=0,B2144,"")</f>
        <v>릔</v>
      </c>
      <c r="E2144" s="0" t="str">
        <f aca="false">IF(C2144=0,A2144,"")</f>
        <v>틘</v>
      </c>
    </row>
    <row r="2145" customFormat="false" ht="12.8" hidden="false" customHeight="false" outlineLevel="0" collapsed="false">
      <c r="A2145" s="0" t="s">
        <v>2991</v>
      </c>
      <c r="B2145" s="0" t="s">
        <v>3590</v>
      </c>
      <c r="C2145" s="0" t="n">
        <v>0</v>
      </c>
      <c r="D2145" s="0" t="str">
        <f aca="false">IF(C2145=0,B2145,"")</f>
        <v>릘</v>
      </c>
      <c r="E2145" s="0" t="str">
        <f aca="false">IF(C2145=0,A2145,"")</f>
        <v>틜</v>
      </c>
    </row>
    <row r="2146" customFormat="false" ht="12.8" hidden="false" customHeight="false" outlineLevel="0" collapsed="false">
      <c r="A2146" s="0" t="s">
        <v>2992</v>
      </c>
      <c r="B2146" s="0" t="s">
        <v>3591</v>
      </c>
      <c r="C2146" s="0" t="n">
        <v>0</v>
      </c>
      <c r="D2146" s="0" t="str">
        <f aca="false">IF(C2146=0,B2146,"")</f>
        <v>릠</v>
      </c>
      <c r="E2146" s="0" t="str">
        <f aca="false">IF(C2146=0,A2146,"")</f>
        <v>틤</v>
      </c>
    </row>
    <row r="2147" customFormat="false" ht="12.8" hidden="false" customHeight="false" outlineLevel="0" collapsed="false">
      <c r="A2147" s="0" t="s">
        <v>2993</v>
      </c>
      <c r="B2147" s="0" t="s">
        <v>3592</v>
      </c>
      <c r="C2147" s="0" t="n">
        <v>0</v>
      </c>
      <c r="D2147" s="0" t="str">
        <f aca="false">IF(C2147=0,B2147,"")</f>
        <v>릡</v>
      </c>
      <c r="E2147" s="0" t="str">
        <f aca="false">IF(C2147=0,A2147,"")</f>
        <v>틥</v>
      </c>
    </row>
    <row r="2148" customFormat="false" ht="12.8" hidden="false" customHeight="false" outlineLevel="0" collapsed="false">
      <c r="A2148" s="0" t="s">
        <v>2994</v>
      </c>
      <c r="B2148" s="0" t="s">
        <v>814</v>
      </c>
      <c r="C2148" s="0" t="n">
        <v>1</v>
      </c>
      <c r="D2148" s="0" t="str">
        <f aca="false">IF(C2148=0,B2148,"")</f>
        <v/>
      </c>
      <c r="E2148" s="0" t="str">
        <f aca="false">IF(C2148=0,A2148,"")</f>
        <v/>
      </c>
    </row>
    <row r="2149" customFormat="false" ht="12.8" hidden="false" customHeight="false" outlineLevel="0" collapsed="false">
      <c r="A2149" s="0" t="s">
        <v>2995</v>
      </c>
      <c r="B2149" s="0" t="s">
        <v>1640</v>
      </c>
      <c r="C2149" s="0" t="n">
        <v>1</v>
      </c>
      <c r="D2149" s="0" t="str">
        <f aca="false">IF(C2149=0,B2149,"")</f>
        <v/>
      </c>
      <c r="E2149" s="0" t="str">
        <f aca="false">IF(C2149=0,A2149,"")</f>
        <v/>
      </c>
    </row>
    <row r="2150" customFormat="false" ht="12.8" hidden="false" customHeight="false" outlineLevel="0" collapsed="false">
      <c r="A2150" s="0" t="s">
        <v>2996</v>
      </c>
      <c r="B2150" s="0" t="s">
        <v>1641</v>
      </c>
      <c r="C2150" s="0" t="n">
        <v>1</v>
      </c>
      <c r="D2150" s="0" t="str">
        <f aca="false">IF(C2150=0,B2150,"")</f>
        <v/>
      </c>
      <c r="E2150" s="0" t="str">
        <f aca="false">IF(C2150=0,A2150,"")</f>
        <v/>
      </c>
    </row>
    <row r="2151" customFormat="false" ht="12.8" hidden="false" customHeight="false" outlineLevel="0" collapsed="false">
      <c r="A2151" s="0" t="s">
        <v>2997</v>
      </c>
      <c r="B2151" s="0" t="s">
        <v>1642</v>
      </c>
      <c r="C2151" s="0" t="n">
        <v>1</v>
      </c>
      <c r="D2151" s="0" t="str">
        <f aca="false">IF(C2151=0,B2151,"")</f>
        <v/>
      </c>
      <c r="E2151" s="0" t="str">
        <f aca="false">IF(C2151=0,A2151,"")</f>
        <v/>
      </c>
    </row>
    <row r="2152" customFormat="false" ht="12.8" hidden="false" customHeight="false" outlineLevel="0" collapsed="false">
      <c r="A2152" s="0" t="s">
        <v>2998</v>
      </c>
      <c r="B2152" s="0" t="s">
        <v>1643</v>
      </c>
      <c r="C2152" s="0" t="n">
        <v>1</v>
      </c>
      <c r="D2152" s="0" t="str">
        <f aca="false">IF(C2152=0,B2152,"")</f>
        <v/>
      </c>
      <c r="E2152" s="0" t="str">
        <f aca="false">IF(C2152=0,A2152,"")</f>
        <v/>
      </c>
    </row>
    <row r="2153" customFormat="false" ht="12.8" hidden="false" customHeight="false" outlineLevel="0" collapsed="false">
      <c r="A2153" s="0" t="s">
        <v>2999</v>
      </c>
      <c r="B2153" s="0" t="s">
        <v>1644</v>
      </c>
      <c r="C2153" s="0" t="n">
        <v>1</v>
      </c>
      <c r="D2153" s="0" t="str">
        <f aca="false">IF(C2153=0,B2153,"")</f>
        <v/>
      </c>
      <c r="E2153" s="0" t="str">
        <f aca="false">IF(C2153=0,A2153,"")</f>
        <v/>
      </c>
    </row>
    <row r="2154" customFormat="false" ht="12.8" hidden="false" customHeight="false" outlineLevel="0" collapsed="false">
      <c r="A2154" s="0" t="s">
        <v>3000</v>
      </c>
      <c r="B2154" s="0" t="s">
        <v>1645</v>
      </c>
      <c r="C2154" s="0" t="n">
        <v>1</v>
      </c>
      <c r="D2154" s="0" t="str">
        <f aca="false">IF(C2154=0,B2154,"")</f>
        <v/>
      </c>
      <c r="E2154" s="0" t="str">
        <f aca="false">IF(C2154=0,A2154,"")</f>
        <v/>
      </c>
    </row>
    <row r="2155" customFormat="false" ht="12.8" hidden="false" customHeight="false" outlineLevel="0" collapsed="false">
      <c r="A2155" s="0" t="s">
        <v>3001</v>
      </c>
      <c r="B2155" s="0" t="s">
        <v>1646</v>
      </c>
      <c r="C2155" s="0" t="n">
        <v>1</v>
      </c>
      <c r="D2155" s="0" t="str">
        <f aca="false">IF(C2155=0,B2155,"")</f>
        <v/>
      </c>
      <c r="E2155" s="0" t="str">
        <f aca="false">IF(C2155=0,A2155,"")</f>
        <v/>
      </c>
    </row>
    <row r="2156" customFormat="false" ht="12.8" hidden="false" customHeight="false" outlineLevel="0" collapsed="false">
      <c r="A2156" s="0" t="s">
        <v>3002</v>
      </c>
      <c r="B2156" s="0" t="s">
        <v>3053</v>
      </c>
      <c r="C2156" s="0" t="n">
        <v>1</v>
      </c>
      <c r="D2156" s="0" t="str">
        <f aca="false">IF(C2156=0,B2156,"")</f>
        <v/>
      </c>
      <c r="E2156" s="0" t="str">
        <f aca="false">IF(C2156=0,A2156,"")</f>
        <v/>
      </c>
    </row>
    <row r="2157" customFormat="false" ht="12.8" hidden="false" customHeight="false" outlineLevel="0" collapsed="false">
      <c r="A2157" s="0" t="s">
        <v>3003</v>
      </c>
      <c r="B2157" s="0" t="s">
        <v>1647</v>
      </c>
      <c r="C2157" s="0" t="n">
        <v>1</v>
      </c>
      <c r="D2157" s="0" t="str">
        <f aca="false">IF(C2157=0,B2157,"")</f>
        <v/>
      </c>
      <c r="E2157" s="0" t="str">
        <f aca="false">IF(C2157=0,A2157,"")</f>
        <v/>
      </c>
    </row>
    <row r="2158" customFormat="false" ht="12.8" hidden="false" customHeight="false" outlineLevel="0" collapsed="false">
      <c r="A2158" s="0" t="s">
        <v>3004</v>
      </c>
      <c r="B2158" s="0" t="s">
        <v>1647</v>
      </c>
      <c r="C2158" s="0" t="n">
        <v>1</v>
      </c>
      <c r="D2158" s="0" t="str">
        <f aca="false">IF(C2158=0,B2158,"")</f>
        <v/>
      </c>
      <c r="E2158" s="0" t="str">
        <f aca="false">IF(C2158=0,A2158,"")</f>
        <v/>
      </c>
    </row>
    <row r="2159" customFormat="false" ht="12.8" hidden="false" customHeight="false" outlineLevel="0" collapsed="false">
      <c r="A2159" s="0" t="s">
        <v>3005</v>
      </c>
      <c r="B2159" s="0" t="s">
        <v>1648</v>
      </c>
      <c r="C2159" s="0" t="n">
        <v>1</v>
      </c>
      <c r="D2159" s="0" t="str">
        <f aca="false">IF(C2159=0,B2159,"")</f>
        <v/>
      </c>
      <c r="E2159" s="0" t="str">
        <f aca="false">IF(C2159=0,A2159,"")</f>
        <v/>
      </c>
    </row>
    <row r="2160" customFormat="false" ht="12.8" hidden="false" customHeight="false" outlineLevel="0" collapsed="false">
      <c r="A2160" s="0" t="s">
        <v>3006</v>
      </c>
      <c r="B2160" s="0" t="s">
        <v>1651</v>
      </c>
      <c r="C2160" s="0" t="n">
        <v>1</v>
      </c>
      <c r="D2160" s="0" t="str">
        <f aca="false">IF(C2160=0,B2160,"")</f>
        <v/>
      </c>
      <c r="E2160" s="0" t="str">
        <f aca="false">IF(C2160=0,A2160,"")</f>
        <v/>
      </c>
    </row>
    <row r="2161" customFormat="false" ht="12.8" hidden="false" customHeight="false" outlineLevel="0" collapsed="false">
      <c r="A2161" s="0" t="s">
        <v>3007</v>
      </c>
      <c r="B2161" s="0" t="s">
        <v>1651</v>
      </c>
      <c r="C2161" s="0" t="n">
        <v>1</v>
      </c>
      <c r="D2161" s="0" t="str">
        <f aca="false">IF(C2161=0,B2161,"")</f>
        <v/>
      </c>
      <c r="E2161" s="0" t="str">
        <f aca="false">IF(C2161=0,A2161,"")</f>
        <v/>
      </c>
    </row>
    <row r="2162" customFormat="false" ht="12.8" hidden="false" customHeight="false" outlineLevel="0" collapsed="false">
      <c r="A2162" s="0" t="s">
        <v>3008</v>
      </c>
      <c r="B2162" s="0" t="s">
        <v>1654</v>
      </c>
      <c r="C2162" s="0" t="n">
        <v>1</v>
      </c>
      <c r="D2162" s="0" t="str">
        <f aca="false">IF(C2162=0,B2162,"")</f>
        <v/>
      </c>
      <c r="E2162" s="0" t="str">
        <f aca="false">IF(C2162=0,A2162,"")</f>
        <v/>
      </c>
    </row>
    <row r="2163" customFormat="false" ht="12.8" hidden="false" customHeight="false" outlineLevel="0" collapsed="false">
      <c r="A2163" s="0" t="s">
        <v>3009</v>
      </c>
      <c r="B2163" s="0" t="s">
        <v>1655</v>
      </c>
      <c r="C2163" s="0" t="n">
        <v>1</v>
      </c>
      <c r="D2163" s="0" t="str">
        <f aca="false">IF(C2163=0,B2163,"")</f>
        <v/>
      </c>
      <c r="E2163" s="0" t="str">
        <f aca="false">IF(C2163=0,A2163,"")</f>
        <v/>
      </c>
    </row>
    <row r="2164" customFormat="false" ht="12.8" hidden="false" customHeight="false" outlineLevel="0" collapsed="false">
      <c r="A2164" s="0" t="s">
        <v>3010</v>
      </c>
      <c r="B2164" s="0" t="s">
        <v>1656</v>
      </c>
      <c r="C2164" s="0" t="n">
        <v>1</v>
      </c>
      <c r="D2164" s="0" t="str">
        <f aca="false">IF(C2164=0,B2164,"")</f>
        <v/>
      </c>
      <c r="E2164" s="0" t="str">
        <f aca="false">IF(C2164=0,A2164,"")</f>
        <v/>
      </c>
    </row>
    <row r="2165" customFormat="false" ht="12.8" hidden="false" customHeight="false" outlineLevel="0" collapsed="false">
      <c r="A2165" s="0" t="s">
        <v>3011</v>
      </c>
      <c r="B2165" s="0" t="s">
        <v>1656</v>
      </c>
      <c r="C2165" s="0" t="n">
        <v>1</v>
      </c>
      <c r="D2165" s="0" t="str">
        <f aca="false">IF(C2165=0,B2165,"")</f>
        <v/>
      </c>
      <c r="E2165" s="0" t="str">
        <f aca="false">IF(C2165=0,A2165,"")</f>
        <v/>
      </c>
    </row>
    <row r="2166" customFormat="false" ht="12.8" hidden="false" customHeight="false" outlineLevel="0" collapsed="false">
      <c r="A2166" s="0" t="s">
        <v>3012</v>
      </c>
      <c r="B2166" s="0" t="s">
        <v>1657</v>
      </c>
      <c r="C2166" s="0" t="n">
        <v>1</v>
      </c>
      <c r="D2166" s="0" t="str">
        <f aca="false">IF(C2166=0,B2166,"")</f>
        <v/>
      </c>
      <c r="E2166" s="0" t="str">
        <f aca="false">IF(C2166=0,A2166,"")</f>
        <v/>
      </c>
    </row>
    <row r="2167" customFormat="false" ht="12.8" hidden="false" customHeight="false" outlineLevel="0" collapsed="false">
      <c r="A2167" s="0" t="s">
        <v>3013</v>
      </c>
      <c r="B2167" s="0" t="s">
        <v>1656</v>
      </c>
      <c r="C2167" s="0" t="n">
        <v>1</v>
      </c>
      <c r="D2167" s="0" t="str">
        <f aca="false">IF(C2167=0,B2167,"")</f>
        <v/>
      </c>
      <c r="E2167" s="0" t="str">
        <f aca="false">IF(C2167=0,A2167,"")</f>
        <v/>
      </c>
    </row>
    <row r="2168" customFormat="false" ht="12.8" hidden="false" customHeight="false" outlineLevel="0" collapsed="false">
      <c r="A2168" s="0" t="s">
        <v>3014</v>
      </c>
      <c r="B2168" s="0" t="s">
        <v>3593</v>
      </c>
      <c r="C2168" s="0" t="n">
        <v>0</v>
      </c>
      <c r="D2168" s="0" t="str">
        <f aca="false">IF(C2168=0,B2168,"")</f>
        <v>픠</v>
      </c>
      <c r="E2168" s="0" t="str">
        <f aca="false">IF(C2168=0,A2168,"")</f>
        <v>패</v>
      </c>
    </row>
    <row r="2169" customFormat="false" ht="12.8" hidden="false" customHeight="false" outlineLevel="0" collapsed="false">
      <c r="A2169" s="0" t="s">
        <v>3015</v>
      </c>
      <c r="B2169" s="0" t="s">
        <v>1662</v>
      </c>
      <c r="C2169" s="0" t="n">
        <v>1</v>
      </c>
      <c r="D2169" s="0" t="str">
        <f aca="false">IF(C2169=0,B2169,"")</f>
        <v/>
      </c>
      <c r="E2169" s="0" t="str">
        <f aca="false">IF(C2169=0,A2169,"")</f>
        <v/>
      </c>
    </row>
    <row r="2170" customFormat="false" ht="12.8" hidden="false" customHeight="false" outlineLevel="0" collapsed="false">
      <c r="A2170" s="0" t="s">
        <v>3016</v>
      </c>
      <c r="B2170" s="0" t="s">
        <v>1663</v>
      </c>
      <c r="C2170" s="0" t="n">
        <v>1</v>
      </c>
      <c r="D2170" s="0" t="str">
        <f aca="false">IF(C2170=0,B2170,"")</f>
        <v/>
      </c>
      <c r="E2170" s="0" t="str">
        <f aca="false">IF(C2170=0,A2170,"")</f>
        <v/>
      </c>
    </row>
    <row r="2171" customFormat="false" ht="12.8" hidden="false" customHeight="false" outlineLevel="0" collapsed="false">
      <c r="A2171" s="0" t="s">
        <v>3017</v>
      </c>
      <c r="B2171" s="0" t="s">
        <v>1664</v>
      </c>
      <c r="C2171" s="0" t="n">
        <v>1</v>
      </c>
      <c r="D2171" s="0" t="str">
        <f aca="false">IF(C2171=0,B2171,"")</f>
        <v/>
      </c>
      <c r="E2171" s="0" t="str">
        <f aca="false">IF(C2171=0,A2171,"")</f>
        <v/>
      </c>
    </row>
    <row r="2172" customFormat="false" ht="12.8" hidden="false" customHeight="false" outlineLevel="0" collapsed="false">
      <c r="A2172" s="0" t="s">
        <v>3018</v>
      </c>
      <c r="B2172" s="0" t="s">
        <v>1665</v>
      </c>
      <c r="C2172" s="0" t="n">
        <v>1</v>
      </c>
      <c r="D2172" s="0" t="str">
        <f aca="false">IF(C2172=0,B2172,"")</f>
        <v/>
      </c>
      <c r="E2172" s="0" t="str">
        <f aca="false">IF(C2172=0,A2172,"")</f>
        <v/>
      </c>
    </row>
    <row r="2173" customFormat="false" ht="12.8" hidden="false" customHeight="false" outlineLevel="0" collapsed="false">
      <c r="A2173" s="0" t="s">
        <v>3019</v>
      </c>
      <c r="B2173" s="0" t="s">
        <v>1666</v>
      </c>
      <c r="C2173" s="0" t="n">
        <v>1</v>
      </c>
      <c r="D2173" s="0" t="str">
        <f aca="false">IF(C2173=0,B2173,"")</f>
        <v/>
      </c>
      <c r="E2173" s="0" t="str">
        <f aca="false">IF(C2173=0,A2173,"")</f>
        <v/>
      </c>
    </row>
    <row r="2174" customFormat="false" ht="12.8" hidden="false" customHeight="false" outlineLevel="0" collapsed="false">
      <c r="A2174" s="0" t="s">
        <v>3020</v>
      </c>
      <c r="B2174" s="0" t="s">
        <v>1667</v>
      </c>
      <c r="C2174" s="0" t="n">
        <v>1</v>
      </c>
      <c r="D2174" s="0" t="str">
        <f aca="false">IF(C2174=0,B2174,"")</f>
        <v/>
      </c>
      <c r="E2174" s="0" t="str">
        <f aca="false">IF(C2174=0,A2174,"")</f>
        <v/>
      </c>
    </row>
    <row r="2175" customFormat="false" ht="12.8" hidden="false" customHeight="false" outlineLevel="0" collapsed="false">
      <c r="A2175" s="0" t="s">
        <v>3021</v>
      </c>
      <c r="B2175" s="0" t="s">
        <v>1667</v>
      </c>
      <c r="C2175" s="0" t="n">
        <v>1</v>
      </c>
      <c r="D2175" s="0" t="str">
        <f aca="false">IF(C2175=0,B2175,"")</f>
        <v/>
      </c>
      <c r="E2175" s="0" t="str">
        <f aca="false">IF(C2175=0,A2175,"")</f>
        <v/>
      </c>
    </row>
    <row r="2176" customFormat="false" ht="12.8" hidden="false" customHeight="false" outlineLevel="0" collapsed="false">
      <c r="A2176" s="0" t="s">
        <v>3022</v>
      </c>
      <c r="B2176" s="0" t="s">
        <v>1669</v>
      </c>
      <c r="C2176" s="0" t="n">
        <v>1</v>
      </c>
      <c r="D2176" s="0" t="str">
        <f aca="false">IF(C2176=0,B2176,"")</f>
        <v/>
      </c>
      <c r="E2176" s="0" t="str">
        <f aca="false">IF(C2176=0,A2176,"")</f>
        <v/>
      </c>
    </row>
    <row r="2177" customFormat="false" ht="12.8" hidden="false" customHeight="false" outlineLevel="0" collapsed="false">
      <c r="A2177" s="0" t="s">
        <v>3023</v>
      </c>
      <c r="B2177" s="0" t="s">
        <v>3065</v>
      </c>
      <c r="C2177" s="0" t="n">
        <v>1</v>
      </c>
      <c r="D2177" s="0" t="str">
        <f aca="false">IF(C2177=0,B2177,"")</f>
        <v/>
      </c>
      <c r="E2177" s="0" t="str">
        <f aca="false">IF(C2177=0,A2177,"")</f>
        <v/>
      </c>
    </row>
    <row r="2178" customFormat="false" ht="12.8" hidden="false" customHeight="false" outlineLevel="0" collapsed="false">
      <c r="A2178" s="0" t="s">
        <v>3024</v>
      </c>
      <c r="B2178" s="0" t="s">
        <v>1672</v>
      </c>
      <c r="C2178" s="0" t="n">
        <v>1</v>
      </c>
      <c r="D2178" s="0" t="str">
        <f aca="false">IF(C2178=0,B2178,"")</f>
        <v/>
      </c>
      <c r="E2178" s="0" t="str">
        <f aca="false">IF(C2178=0,A2178,"")</f>
        <v/>
      </c>
    </row>
    <row r="2179" customFormat="false" ht="12.8" hidden="false" customHeight="false" outlineLevel="0" collapsed="false">
      <c r="A2179" s="0" t="s">
        <v>3025</v>
      </c>
      <c r="B2179" s="0" t="s">
        <v>3070</v>
      </c>
      <c r="C2179" s="0" t="n">
        <v>1</v>
      </c>
      <c r="D2179" s="0" t="str">
        <f aca="false">IF(C2179=0,B2179,"")</f>
        <v/>
      </c>
      <c r="E2179" s="0" t="str">
        <f aca="false">IF(C2179=0,A2179,"")</f>
        <v/>
      </c>
    </row>
    <row r="2180" customFormat="false" ht="12.8" hidden="false" customHeight="false" outlineLevel="0" collapsed="false">
      <c r="A2180" s="0" t="s">
        <v>3026</v>
      </c>
      <c r="B2180" s="0" t="s">
        <v>1676</v>
      </c>
      <c r="C2180" s="0" t="n">
        <v>1</v>
      </c>
      <c r="D2180" s="0" t="str">
        <f aca="false">IF(C2180=0,B2180,"")</f>
        <v/>
      </c>
      <c r="E2180" s="0" t="str">
        <f aca="false">IF(C2180=0,A2180,"")</f>
        <v/>
      </c>
    </row>
    <row r="2181" customFormat="false" ht="12.8" hidden="false" customHeight="false" outlineLevel="0" collapsed="false">
      <c r="A2181" s="0" t="s">
        <v>3027</v>
      </c>
      <c r="B2181" s="0" t="s">
        <v>1677</v>
      </c>
      <c r="C2181" s="0" t="n">
        <v>1</v>
      </c>
      <c r="D2181" s="0" t="str">
        <f aca="false">IF(C2181=0,B2181,"")</f>
        <v/>
      </c>
      <c r="E2181" s="0" t="str">
        <f aca="false">IF(C2181=0,A2181,"")</f>
        <v/>
      </c>
    </row>
    <row r="2182" customFormat="false" ht="12.8" hidden="false" customHeight="false" outlineLevel="0" collapsed="false">
      <c r="A2182" s="0" t="s">
        <v>3028</v>
      </c>
      <c r="B2182" s="0" t="s">
        <v>1678</v>
      </c>
      <c r="C2182" s="0" t="n">
        <v>1</v>
      </c>
      <c r="D2182" s="0" t="str">
        <f aca="false">IF(C2182=0,B2182,"")</f>
        <v/>
      </c>
      <c r="E2182" s="0" t="str">
        <f aca="false">IF(C2182=0,A2182,"")</f>
        <v/>
      </c>
    </row>
    <row r="2183" customFormat="false" ht="12.8" hidden="false" customHeight="false" outlineLevel="0" collapsed="false">
      <c r="A2183" s="0" t="s">
        <v>3029</v>
      </c>
      <c r="B2183" s="0" t="s">
        <v>1680</v>
      </c>
      <c r="C2183" s="0" t="n">
        <v>1</v>
      </c>
      <c r="D2183" s="0" t="str">
        <f aca="false">IF(C2183=0,B2183,"")</f>
        <v/>
      </c>
      <c r="E2183" s="0" t="str">
        <f aca="false">IF(C2183=0,A2183,"")</f>
        <v/>
      </c>
    </row>
    <row r="2184" customFormat="false" ht="12.8" hidden="false" customHeight="false" outlineLevel="0" collapsed="false">
      <c r="A2184" s="0" t="s">
        <v>3030</v>
      </c>
      <c r="B2184" s="0" t="s">
        <v>1681</v>
      </c>
      <c r="C2184" s="0" t="n">
        <v>1</v>
      </c>
      <c r="D2184" s="0" t="str">
        <f aca="false">IF(C2184=0,B2184,"")</f>
        <v/>
      </c>
      <c r="E2184" s="0" t="str">
        <f aca="false">IF(C2184=0,A2184,"")</f>
        <v/>
      </c>
    </row>
    <row r="2185" customFormat="false" ht="12.8" hidden="false" customHeight="false" outlineLevel="0" collapsed="false">
      <c r="A2185" s="0" t="s">
        <v>3031</v>
      </c>
      <c r="B2185" s="0" t="s">
        <v>1682</v>
      </c>
      <c r="C2185" s="0" t="n">
        <v>1</v>
      </c>
      <c r="D2185" s="0" t="str">
        <f aca="false">IF(C2185=0,B2185,"")</f>
        <v/>
      </c>
      <c r="E2185" s="0" t="str">
        <f aca="false">IF(C2185=0,A2185,"")</f>
        <v/>
      </c>
    </row>
    <row r="2186" customFormat="false" ht="12.8" hidden="false" customHeight="false" outlineLevel="0" collapsed="false">
      <c r="A2186" s="0" t="s">
        <v>3032</v>
      </c>
      <c r="B2186" s="0" t="s">
        <v>1682</v>
      </c>
      <c r="C2186" s="0" t="n">
        <v>1</v>
      </c>
      <c r="D2186" s="0" t="str">
        <f aca="false">IF(C2186=0,B2186,"")</f>
        <v/>
      </c>
      <c r="E2186" s="0" t="str">
        <f aca="false">IF(C2186=0,A2186,"")</f>
        <v/>
      </c>
    </row>
    <row r="2187" customFormat="false" ht="12.8" hidden="false" customHeight="false" outlineLevel="0" collapsed="false">
      <c r="A2187" s="0" t="s">
        <v>3033</v>
      </c>
      <c r="B2187" s="0" t="s">
        <v>1683</v>
      </c>
      <c r="C2187" s="0" t="n">
        <v>1</v>
      </c>
      <c r="D2187" s="0" t="str">
        <f aca="false">IF(C2187=0,B2187,"")</f>
        <v/>
      </c>
      <c r="E2187" s="0" t="str">
        <f aca="false">IF(C2187=0,A2187,"")</f>
        <v/>
      </c>
    </row>
    <row r="2188" customFormat="false" ht="12.8" hidden="false" customHeight="false" outlineLevel="0" collapsed="false">
      <c r="A2188" s="0" t="s">
        <v>3034</v>
      </c>
      <c r="B2188" s="0" t="s">
        <v>3002</v>
      </c>
      <c r="C2188" s="0" t="n">
        <v>1</v>
      </c>
      <c r="D2188" s="0" t="str">
        <f aca="false">IF(C2188=0,B2188,"")</f>
        <v/>
      </c>
      <c r="E2188" s="0" t="str">
        <f aca="false">IF(C2188=0,A2188,"")</f>
        <v/>
      </c>
    </row>
    <row r="2189" customFormat="false" ht="12.8" hidden="false" customHeight="false" outlineLevel="0" collapsed="false">
      <c r="A2189" s="0" t="s">
        <v>3035</v>
      </c>
      <c r="B2189" s="0" t="s">
        <v>1687</v>
      </c>
      <c r="C2189" s="0" t="n">
        <v>1</v>
      </c>
      <c r="D2189" s="0" t="str">
        <f aca="false">IF(C2189=0,B2189,"")</f>
        <v/>
      </c>
      <c r="E2189" s="0" t="str">
        <f aca="false">IF(C2189=0,A2189,"")</f>
        <v/>
      </c>
    </row>
    <row r="2190" customFormat="false" ht="12.8" hidden="false" customHeight="false" outlineLevel="0" collapsed="false">
      <c r="A2190" s="0" t="s">
        <v>3036</v>
      </c>
      <c r="B2190" s="0" t="s">
        <v>1688</v>
      </c>
      <c r="C2190" s="0" t="n">
        <v>1</v>
      </c>
      <c r="D2190" s="0" t="str">
        <f aca="false">IF(C2190=0,B2190,"")</f>
        <v/>
      </c>
      <c r="E2190" s="0" t="str">
        <f aca="false">IF(C2190=0,A2190,"")</f>
        <v/>
      </c>
    </row>
    <row r="2191" customFormat="false" ht="12.8" hidden="false" customHeight="false" outlineLevel="0" collapsed="false">
      <c r="A2191" s="0" t="s">
        <v>3037</v>
      </c>
      <c r="B2191" s="0" t="s">
        <v>1689</v>
      </c>
      <c r="C2191" s="0" t="n">
        <v>1</v>
      </c>
      <c r="D2191" s="0" t="str">
        <f aca="false">IF(C2191=0,B2191,"")</f>
        <v/>
      </c>
      <c r="E2191" s="0" t="str">
        <f aca="false">IF(C2191=0,A2191,"")</f>
        <v/>
      </c>
    </row>
    <row r="2192" customFormat="false" ht="12.8" hidden="false" customHeight="false" outlineLevel="0" collapsed="false">
      <c r="A2192" s="0" t="s">
        <v>3038</v>
      </c>
      <c r="B2192" s="0" t="s">
        <v>1690</v>
      </c>
      <c r="C2192" s="0" t="n">
        <v>1</v>
      </c>
      <c r="D2192" s="0" t="str">
        <f aca="false">IF(C2192=0,B2192,"")</f>
        <v/>
      </c>
      <c r="E2192" s="0" t="str">
        <f aca="false">IF(C2192=0,A2192,"")</f>
        <v/>
      </c>
    </row>
    <row r="2193" customFormat="false" ht="12.8" hidden="false" customHeight="false" outlineLevel="0" collapsed="false">
      <c r="A2193" s="0" t="s">
        <v>3039</v>
      </c>
      <c r="B2193" s="0" t="s">
        <v>1691</v>
      </c>
      <c r="C2193" s="0" t="n">
        <v>1</v>
      </c>
      <c r="D2193" s="0" t="str">
        <f aca="false">IF(C2193=0,B2193,"")</f>
        <v/>
      </c>
      <c r="E2193" s="0" t="str">
        <f aca="false">IF(C2193=0,A2193,"")</f>
        <v/>
      </c>
    </row>
    <row r="2194" customFormat="false" ht="12.8" hidden="false" customHeight="false" outlineLevel="0" collapsed="false">
      <c r="A2194" s="0" t="s">
        <v>3040</v>
      </c>
      <c r="B2194" s="0" t="s">
        <v>1692</v>
      </c>
      <c r="C2194" s="0" t="n">
        <v>1</v>
      </c>
      <c r="D2194" s="0" t="str">
        <f aca="false">IF(C2194=0,B2194,"")</f>
        <v/>
      </c>
      <c r="E2194" s="0" t="str">
        <f aca="false">IF(C2194=0,A2194,"")</f>
        <v/>
      </c>
    </row>
    <row r="2195" customFormat="false" ht="12.8" hidden="false" customHeight="false" outlineLevel="0" collapsed="false">
      <c r="A2195" s="0" t="s">
        <v>3041</v>
      </c>
      <c r="B2195" s="0" t="s">
        <v>1694</v>
      </c>
      <c r="C2195" s="0" t="n">
        <v>1</v>
      </c>
      <c r="D2195" s="0" t="str">
        <f aca="false">IF(C2195=0,B2195,"")</f>
        <v/>
      </c>
      <c r="E2195" s="0" t="str">
        <f aca="false">IF(C2195=0,A2195,"")</f>
        <v/>
      </c>
    </row>
    <row r="2196" customFormat="false" ht="12.8" hidden="false" customHeight="false" outlineLevel="0" collapsed="false">
      <c r="A2196" s="0" t="s">
        <v>3042</v>
      </c>
      <c r="B2196" s="0" t="s">
        <v>3087</v>
      </c>
      <c r="C2196" s="0" t="n">
        <v>1</v>
      </c>
      <c r="D2196" s="0" t="str">
        <f aca="false">IF(C2196=0,B2196,"")</f>
        <v/>
      </c>
      <c r="E2196" s="0" t="str">
        <f aca="false">IF(C2196=0,A2196,"")</f>
        <v/>
      </c>
    </row>
    <row r="2197" customFormat="false" ht="12.8" hidden="false" customHeight="false" outlineLevel="0" collapsed="false">
      <c r="A2197" s="0" t="s">
        <v>3043</v>
      </c>
      <c r="B2197" s="0" t="s">
        <v>1696</v>
      </c>
      <c r="C2197" s="0" t="n">
        <v>1</v>
      </c>
      <c r="D2197" s="0" t="str">
        <f aca="false">IF(C2197=0,B2197,"")</f>
        <v/>
      </c>
      <c r="E2197" s="0" t="str">
        <f aca="false">IF(C2197=0,A2197,"")</f>
        <v/>
      </c>
    </row>
    <row r="2198" customFormat="false" ht="12.8" hidden="false" customHeight="false" outlineLevel="0" collapsed="false">
      <c r="A2198" s="0" t="s">
        <v>3044</v>
      </c>
      <c r="B2198" s="0" t="s">
        <v>1697</v>
      </c>
      <c r="C2198" s="0" t="n">
        <v>1</v>
      </c>
      <c r="D2198" s="0" t="str">
        <f aca="false">IF(C2198=0,B2198,"")</f>
        <v/>
      </c>
      <c r="E2198" s="0" t="str">
        <f aca="false">IF(C2198=0,A2198,"")</f>
        <v/>
      </c>
    </row>
    <row r="2199" customFormat="false" ht="12.8" hidden="false" customHeight="false" outlineLevel="0" collapsed="false">
      <c r="A2199" s="0" t="s">
        <v>3045</v>
      </c>
      <c r="B2199" s="0" t="s">
        <v>3594</v>
      </c>
      <c r="C2199" s="0" t="n">
        <v>0</v>
      </c>
      <c r="D2199" s="0" t="str">
        <f aca="false">IF(C2199=0,B2199,"")</f>
        <v>몀</v>
      </c>
      <c r="E2199" s="0" t="str">
        <f aca="false">IF(C2199=0,A2199,"")</f>
        <v>폄</v>
      </c>
    </row>
    <row r="2200" customFormat="false" ht="12.8" hidden="false" customHeight="false" outlineLevel="0" collapsed="false">
      <c r="A2200" s="0" t="s">
        <v>3046</v>
      </c>
      <c r="B2200" s="0" t="s">
        <v>3595</v>
      </c>
      <c r="C2200" s="0" t="n">
        <v>0</v>
      </c>
      <c r="D2200" s="0" t="str">
        <f aca="false">IF(C2200=0,B2200,"")</f>
        <v>몁</v>
      </c>
      <c r="E2200" s="0" t="str">
        <f aca="false">IF(C2200=0,A2200,"")</f>
        <v>폅</v>
      </c>
    </row>
    <row r="2201" customFormat="false" ht="12.8" hidden="false" customHeight="false" outlineLevel="0" collapsed="false">
      <c r="A2201" s="0" t="s">
        <v>3047</v>
      </c>
      <c r="B2201" s="0" t="s">
        <v>1698</v>
      </c>
      <c r="C2201" s="0" t="n">
        <v>1</v>
      </c>
      <c r="D2201" s="0" t="str">
        <f aca="false">IF(C2201=0,B2201,"")</f>
        <v/>
      </c>
      <c r="E2201" s="0" t="str">
        <f aca="false">IF(C2201=0,A2201,"")</f>
        <v/>
      </c>
    </row>
    <row r="2202" customFormat="false" ht="12.8" hidden="false" customHeight="false" outlineLevel="0" collapsed="false">
      <c r="A2202" s="0" t="s">
        <v>3048</v>
      </c>
      <c r="B2202" s="0" t="s">
        <v>1700</v>
      </c>
      <c r="C2202" s="0" t="n">
        <v>1</v>
      </c>
      <c r="D2202" s="0" t="str">
        <f aca="false">IF(C2202=0,B2202,"")</f>
        <v/>
      </c>
      <c r="E2202" s="0" t="str">
        <f aca="false">IF(C2202=0,A2202,"")</f>
        <v/>
      </c>
    </row>
    <row r="2203" customFormat="false" ht="12.8" hidden="false" customHeight="false" outlineLevel="0" collapsed="false">
      <c r="A2203" s="0" t="s">
        <v>3049</v>
      </c>
      <c r="B2203" s="0" t="s">
        <v>3063</v>
      </c>
      <c r="C2203" s="0" t="n">
        <v>1</v>
      </c>
      <c r="D2203" s="0" t="str">
        <f aca="false">IF(C2203=0,B2203,"")</f>
        <v/>
      </c>
      <c r="E2203" s="0" t="str">
        <f aca="false">IF(C2203=0,A2203,"")</f>
        <v/>
      </c>
    </row>
    <row r="2204" customFormat="false" ht="12.8" hidden="false" customHeight="false" outlineLevel="0" collapsed="false">
      <c r="A2204" s="0" t="s">
        <v>3050</v>
      </c>
      <c r="B2204" s="0" t="s">
        <v>3596</v>
      </c>
      <c r="C2204" s="0" t="n">
        <v>0</v>
      </c>
      <c r="D2204" s="0" t="str">
        <f aca="false">IF(C2204=0,B2204,"")</f>
        <v>몔</v>
      </c>
      <c r="E2204" s="0" t="str">
        <f aca="false">IF(C2204=0,A2204,"")</f>
        <v>폘</v>
      </c>
    </row>
    <row r="2205" customFormat="false" ht="12.8" hidden="false" customHeight="false" outlineLevel="0" collapsed="false">
      <c r="A2205" s="0" t="s">
        <v>3051</v>
      </c>
      <c r="B2205" s="0" t="s">
        <v>3597</v>
      </c>
      <c r="C2205" s="0" t="n">
        <v>0</v>
      </c>
      <c r="D2205" s="0" t="str">
        <f aca="false">IF(C2205=0,B2205,"")</f>
        <v>몝</v>
      </c>
      <c r="E2205" s="0" t="str">
        <f aca="false">IF(C2205=0,A2205,"")</f>
        <v>폡</v>
      </c>
    </row>
    <row r="2206" customFormat="false" ht="12.8" hidden="false" customHeight="false" outlineLevel="0" collapsed="false">
      <c r="A2206" s="0" t="s">
        <v>3052</v>
      </c>
      <c r="B2206" s="0" t="s">
        <v>3598</v>
      </c>
      <c r="C2206" s="0" t="n">
        <v>0</v>
      </c>
      <c r="D2206" s="0" t="str">
        <f aca="false">IF(C2206=0,B2206,"")</f>
        <v>몟</v>
      </c>
      <c r="E2206" s="0" t="str">
        <f aca="false">IF(C2206=0,A2206,"")</f>
        <v>폣</v>
      </c>
    </row>
    <row r="2207" customFormat="false" ht="12.8" hidden="false" customHeight="false" outlineLevel="0" collapsed="false">
      <c r="A2207" s="0" t="s">
        <v>3053</v>
      </c>
      <c r="B2207" s="0" t="s">
        <v>3025</v>
      </c>
      <c r="C2207" s="0" t="n">
        <v>1</v>
      </c>
      <c r="D2207" s="0" t="str">
        <f aca="false">IF(C2207=0,B2207,"")</f>
        <v/>
      </c>
      <c r="E2207" s="0" t="str">
        <f aca="false">IF(C2207=0,A2207,"")</f>
        <v/>
      </c>
    </row>
    <row r="2208" customFormat="false" ht="12.8" hidden="false" customHeight="false" outlineLevel="0" collapsed="false">
      <c r="A2208" s="0" t="s">
        <v>3054</v>
      </c>
      <c r="B2208" s="0" t="s">
        <v>1704</v>
      </c>
      <c r="C2208" s="0" t="n">
        <v>1</v>
      </c>
      <c r="D2208" s="0" t="str">
        <f aca="false">IF(C2208=0,B2208,"")</f>
        <v/>
      </c>
      <c r="E2208" s="0" t="str">
        <f aca="false">IF(C2208=0,A2208,"")</f>
        <v/>
      </c>
    </row>
    <row r="2209" customFormat="false" ht="12.8" hidden="false" customHeight="false" outlineLevel="0" collapsed="false">
      <c r="A2209" s="0" t="s">
        <v>3055</v>
      </c>
      <c r="B2209" s="0" t="s">
        <v>1706</v>
      </c>
      <c r="C2209" s="0" t="n">
        <v>1</v>
      </c>
      <c r="D2209" s="0" t="str">
        <f aca="false">IF(C2209=0,B2209,"")</f>
        <v/>
      </c>
      <c r="E2209" s="0" t="str">
        <f aca="false">IF(C2209=0,A2209,"")</f>
        <v/>
      </c>
    </row>
    <row r="2210" customFormat="false" ht="12.8" hidden="false" customHeight="false" outlineLevel="0" collapsed="false">
      <c r="A2210" s="0" t="s">
        <v>3056</v>
      </c>
      <c r="B2210" s="0" t="s">
        <v>1707</v>
      </c>
      <c r="C2210" s="0" t="n">
        <v>1</v>
      </c>
      <c r="D2210" s="0" t="str">
        <f aca="false">IF(C2210=0,B2210,"")</f>
        <v/>
      </c>
      <c r="E2210" s="0" t="str">
        <f aca="false">IF(C2210=0,A2210,"")</f>
        <v/>
      </c>
    </row>
    <row r="2211" customFormat="false" ht="12.8" hidden="false" customHeight="false" outlineLevel="0" collapsed="false">
      <c r="A2211" s="0" t="s">
        <v>3057</v>
      </c>
      <c r="B2211" s="0" t="s">
        <v>1709</v>
      </c>
      <c r="C2211" s="0" t="n">
        <v>1</v>
      </c>
      <c r="D2211" s="0" t="str">
        <f aca="false">IF(C2211=0,B2211,"")</f>
        <v/>
      </c>
      <c r="E2211" s="0" t="str">
        <f aca="false">IF(C2211=0,A2211,"")</f>
        <v/>
      </c>
    </row>
    <row r="2212" customFormat="false" ht="12.8" hidden="false" customHeight="false" outlineLevel="0" collapsed="false">
      <c r="A2212" s="0" t="s">
        <v>3058</v>
      </c>
      <c r="B2212" s="0" t="s">
        <v>1710</v>
      </c>
      <c r="C2212" s="0" t="n">
        <v>1</v>
      </c>
      <c r="D2212" s="0" t="str">
        <f aca="false">IF(C2212=0,B2212,"")</f>
        <v/>
      </c>
      <c r="E2212" s="0" t="str">
        <f aca="false">IF(C2212=0,A2212,"")</f>
        <v/>
      </c>
    </row>
    <row r="2213" customFormat="false" ht="12.8" hidden="false" customHeight="false" outlineLevel="0" collapsed="false">
      <c r="A2213" s="0" t="s">
        <v>3059</v>
      </c>
      <c r="B2213" s="0" t="s">
        <v>1711</v>
      </c>
      <c r="C2213" s="0" t="n">
        <v>1</v>
      </c>
      <c r="D2213" s="0" t="str">
        <f aca="false">IF(C2213=0,B2213,"")</f>
        <v/>
      </c>
      <c r="E2213" s="0" t="str">
        <f aca="false">IF(C2213=0,A2213,"")</f>
        <v/>
      </c>
    </row>
    <row r="2214" customFormat="false" ht="12.8" hidden="false" customHeight="false" outlineLevel="0" collapsed="false">
      <c r="A2214" s="0" t="s">
        <v>3060</v>
      </c>
      <c r="B2214" s="0" t="s">
        <v>1712</v>
      </c>
      <c r="C2214" s="0" t="n">
        <v>1</v>
      </c>
      <c r="D2214" s="0" t="str">
        <f aca="false">IF(C2214=0,B2214,"")</f>
        <v/>
      </c>
      <c r="E2214" s="0" t="str">
        <f aca="false">IF(C2214=0,A2214,"")</f>
        <v/>
      </c>
    </row>
    <row r="2215" customFormat="false" ht="12.8" hidden="false" customHeight="false" outlineLevel="0" collapsed="false">
      <c r="A2215" s="0" t="s">
        <v>3061</v>
      </c>
      <c r="B2215" s="0" t="s">
        <v>3049</v>
      </c>
      <c r="C2215" s="0" t="n">
        <v>1</v>
      </c>
      <c r="D2215" s="0" t="str">
        <f aca="false">IF(C2215=0,B2215,"")</f>
        <v/>
      </c>
      <c r="E2215" s="0" t="str">
        <f aca="false">IF(C2215=0,A2215,"")</f>
        <v/>
      </c>
    </row>
    <row r="2216" customFormat="false" ht="12.8" hidden="false" customHeight="false" outlineLevel="0" collapsed="false">
      <c r="A2216" s="0" t="s">
        <v>3062</v>
      </c>
      <c r="B2216" s="0" t="s">
        <v>1716</v>
      </c>
      <c r="C2216" s="0" t="n">
        <v>1</v>
      </c>
      <c r="D2216" s="0" t="str">
        <f aca="false">IF(C2216=0,B2216,"")</f>
        <v/>
      </c>
      <c r="E2216" s="0" t="str">
        <f aca="false">IF(C2216=0,A2216,"")</f>
        <v/>
      </c>
    </row>
    <row r="2217" customFormat="false" ht="12.8" hidden="false" customHeight="false" outlineLevel="0" collapsed="false">
      <c r="A2217" s="0" t="s">
        <v>3063</v>
      </c>
      <c r="B2217" s="0" t="s">
        <v>3080</v>
      </c>
      <c r="C2217" s="0" t="n">
        <v>1</v>
      </c>
      <c r="D2217" s="0" t="str">
        <f aca="false">IF(C2217=0,B2217,"")</f>
        <v/>
      </c>
      <c r="E2217" s="0" t="str">
        <f aca="false">IF(C2217=0,A2217,"")</f>
        <v/>
      </c>
    </row>
    <row r="2218" customFormat="false" ht="12.8" hidden="false" customHeight="false" outlineLevel="0" collapsed="false">
      <c r="A2218" s="0" t="s">
        <v>3064</v>
      </c>
      <c r="B2218" s="0" t="s">
        <v>1718</v>
      </c>
      <c r="C2218" s="0" t="n">
        <v>1</v>
      </c>
      <c r="D2218" s="0" t="str">
        <f aca="false">IF(C2218=0,B2218,"")</f>
        <v/>
      </c>
      <c r="E2218" s="0" t="str">
        <f aca="false">IF(C2218=0,A2218,"")</f>
        <v/>
      </c>
    </row>
    <row r="2219" customFormat="false" ht="12.8" hidden="false" customHeight="false" outlineLevel="0" collapsed="false">
      <c r="A2219" s="0" t="s">
        <v>3065</v>
      </c>
      <c r="B2219" s="0" t="s">
        <v>3042</v>
      </c>
      <c r="C2219" s="0" t="n">
        <v>1</v>
      </c>
      <c r="D2219" s="0" t="str">
        <f aca="false">IF(C2219=0,B2219,"")</f>
        <v/>
      </c>
      <c r="E2219" s="0" t="str">
        <f aca="false">IF(C2219=0,A2219,"")</f>
        <v/>
      </c>
    </row>
    <row r="2220" customFormat="false" ht="12.8" hidden="false" customHeight="false" outlineLevel="0" collapsed="false">
      <c r="A2220" s="0" t="s">
        <v>3066</v>
      </c>
      <c r="B2220" s="0" t="s">
        <v>1724</v>
      </c>
      <c r="C2220" s="0" t="n">
        <v>1</v>
      </c>
      <c r="D2220" s="0" t="str">
        <f aca="false">IF(C2220=0,B2220,"")</f>
        <v/>
      </c>
      <c r="E2220" s="0" t="str">
        <f aca="false">IF(C2220=0,A2220,"")</f>
        <v/>
      </c>
    </row>
    <row r="2221" customFormat="false" ht="12.8" hidden="false" customHeight="false" outlineLevel="0" collapsed="false">
      <c r="A2221" s="0" t="s">
        <v>3067</v>
      </c>
      <c r="B2221" s="0" t="s">
        <v>1725</v>
      </c>
      <c r="C2221" s="0" t="n">
        <v>1</v>
      </c>
      <c r="D2221" s="0" t="str">
        <f aca="false">IF(C2221=0,B2221,"")</f>
        <v/>
      </c>
      <c r="E2221" s="0" t="str">
        <f aca="false">IF(C2221=0,A2221,"")</f>
        <v/>
      </c>
    </row>
    <row r="2222" customFormat="false" ht="12.8" hidden="false" customHeight="false" outlineLevel="0" collapsed="false">
      <c r="A2222" s="0" t="s">
        <v>3068</v>
      </c>
      <c r="B2222" s="0" t="s">
        <v>1726</v>
      </c>
      <c r="C2222" s="0" t="n">
        <v>1</v>
      </c>
      <c r="D2222" s="0" t="str">
        <f aca="false">IF(C2222=0,B2222,"")</f>
        <v/>
      </c>
      <c r="E2222" s="0" t="str">
        <f aca="false">IF(C2222=0,A2222,"")</f>
        <v/>
      </c>
    </row>
    <row r="2223" customFormat="false" ht="12.8" hidden="false" customHeight="false" outlineLevel="0" collapsed="false">
      <c r="A2223" s="0" t="s">
        <v>3069</v>
      </c>
      <c r="B2223" s="0" t="s">
        <v>1727</v>
      </c>
      <c r="C2223" s="0" t="n">
        <v>1</v>
      </c>
      <c r="D2223" s="0" t="str">
        <f aca="false">IF(C2223=0,B2223,"")</f>
        <v/>
      </c>
      <c r="E2223" s="0" t="str">
        <f aca="false">IF(C2223=0,A2223,"")</f>
        <v/>
      </c>
    </row>
    <row r="2224" customFormat="false" ht="12.8" hidden="false" customHeight="false" outlineLevel="0" collapsed="false">
      <c r="A2224" s="0" t="s">
        <v>3070</v>
      </c>
      <c r="B2224" s="0" t="s">
        <v>3034</v>
      </c>
      <c r="C2224" s="0" t="n">
        <v>1</v>
      </c>
      <c r="D2224" s="0" t="str">
        <f aca="false">IF(C2224=0,B2224,"")</f>
        <v/>
      </c>
      <c r="E2224" s="0" t="str">
        <f aca="false">IF(C2224=0,A2224,"")</f>
        <v/>
      </c>
    </row>
    <row r="2225" customFormat="false" ht="12.8" hidden="false" customHeight="false" outlineLevel="0" collapsed="false">
      <c r="A2225" s="0" t="s">
        <v>3071</v>
      </c>
      <c r="B2225" s="0" t="s">
        <v>1729</v>
      </c>
      <c r="C2225" s="0" t="n">
        <v>1</v>
      </c>
      <c r="D2225" s="0" t="str">
        <f aca="false">IF(C2225=0,B2225,"")</f>
        <v/>
      </c>
      <c r="E2225" s="0" t="str">
        <f aca="false">IF(C2225=0,A2225,"")</f>
        <v/>
      </c>
    </row>
    <row r="2226" customFormat="false" ht="12.8" hidden="false" customHeight="false" outlineLevel="0" collapsed="false">
      <c r="A2226" s="0" t="s">
        <v>3072</v>
      </c>
      <c r="B2226" s="0" t="s">
        <v>1731</v>
      </c>
      <c r="C2226" s="0" t="n">
        <v>1</v>
      </c>
      <c r="D2226" s="0" t="str">
        <f aca="false">IF(C2226=0,B2226,"")</f>
        <v/>
      </c>
      <c r="E2226" s="0" t="str">
        <f aca="false">IF(C2226=0,A2226,"")</f>
        <v/>
      </c>
    </row>
    <row r="2227" customFormat="false" ht="12.8" hidden="false" customHeight="false" outlineLevel="0" collapsed="false">
      <c r="A2227" s="0" t="s">
        <v>3073</v>
      </c>
      <c r="B2227" s="0" t="s">
        <v>1738</v>
      </c>
      <c r="C2227" s="0" t="n">
        <v>1</v>
      </c>
      <c r="D2227" s="0" t="str">
        <f aca="false">IF(C2227=0,B2227,"")</f>
        <v/>
      </c>
      <c r="E2227" s="0" t="str">
        <f aca="false">IF(C2227=0,A2227,"")</f>
        <v/>
      </c>
    </row>
    <row r="2228" customFormat="false" ht="12.8" hidden="false" customHeight="false" outlineLevel="0" collapsed="false">
      <c r="A2228" s="0" t="s">
        <v>3074</v>
      </c>
      <c r="B2228" s="0" t="s">
        <v>1733</v>
      </c>
      <c r="C2228" s="0" t="n">
        <v>1</v>
      </c>
      <c r="D2228" s="0" t="str">
        <f aca="false">IF(C2228=0,B2228,"")</f>
        <v/>
      </c>
      <c r="E2228" s="0" t="str">
        <f aca="false">IF(C2228=0,A2228,"")</f>
        <v/>
      </c>
    </row>
    <row r="2229" customFormat="false" ht="12.8" hidden="false" customHeight="false" outlineLevel="0" collapsed="false">
      <c r="A2229" s="0" t="s">
        <v>3075</v>
      </c>
      <c r="B2229" s="0" t="s">
        <v>1733</v>
      </c>
      <c r="C2229" s="0" t="n">
        <v>1</v>
      </c>
      <c r="D2229" s="0" t="str">
        <f aca="false">IF(C2229=0,B2229,"")</f>
        <v/>
      </c>
      <c r="E2229" s="0" t="str">
        <f aca="false">IF(C2229=0,A2229,"")</f>
        <v/>
      </c>
    </row>
    <row r="2230" customFormat="false" ht="12.8" hidden="false" customHeight="false" outlineLevel="0" collapsed="false">
      <c r="A2230" s="0" t="s">
        <v>3076</v>
      </c>
      <c r="B2230" s="0" t="s">
        <v>1736</v>
      </c>
      <c r="C2230" s="0" t="n">
        <v>1</v>
      </c>
      <c r="D2230" s="0" t="str">
        <f aca="false">IF(C2230=0,B2230,"")</f>
        <v/>
      </c>
      <c r="E2230" s="0" t="str">
        <f aca="false">IF(C2230=0,A2230,"")</f>
        <v/>
      </c>
    </row>
    <row r="2231" customFormat="false" ht="12.8" hidden="false" customHeight="false" outlineLevel="0" collapsed="false">
      <c r="A2231" s="0" t="s">
        <v>3077</v>
      </c>
      <c r="B2231" s="0" t="s">
        <v>1737</v>
      </c>
      <c r="C2231" s="0" t="n">
        <v>1</v>
      </c>
      <c r="D2231" s="0" t="str">
        <f aca="false">IF(C2231=0,B2231,"")</f>
        <v/>
      </c>
      <c r="E2231" s="0" t="str">
        <f aca="false">IF(C2231=0,A2231,"")</f>
        <v/>
      </c>
    </row>
    <row r="2232" customFormat="false" ht="12.8" hidden="false" customHeight="false" outlineLevel="0" collapsed="false">
      <c r="A2232" s="0" t="s">
        <v>3078</v>
      </c>
      <c r="B2232" s="0" t="s">
        <v>1738</v>
      </c>
      <c r="C2232" s="0" t="n">
        <v>1</v>
      </c>
      <c r="D2232" s="0" t="str">
        <f aca="false">IF(C2232=0,B2232,"")</f>
        <v/>
      </c>
      <c r="E2232" s="0" t="str">
        <f aca="false">IF(C2232=0,A2232,"")</f>
        <v/>
      </c>
    </row>
    <row r="2233" customFormat="false" ht="12.8" hidden="false" customHeight="false" outlineLevel="0" collapsed="false">
      <c r="A2233" s="0" t="s">
        <v>3079</v>
      </c>
      <c r="B2233" s="0" t="s">
        <v>1739</v>
      </c>
      <c r="C2233" s="0" t="n">
        <v>1</v>
      </c>
      <c r="D2233" s="0" t="str">
        <f aca="false">IF(C2233=0,B2233,"")</f>
        <v/>
      </c>
      <c r="E2233" s="0" t="str">
        <f aca="false">IF(C2233=0,A2233,"")</f>
        <v/>
      </c>
    </row>
    <row r="2234" customFormat="false" ht="12.8" hidden="false" customHeight="false" outlineLevel="0" collapsed="false">
      <c r="A2234" s="0" t="s">
        <v>3080</v>
      </c>
      <c r="B2234" s="0" t="s">
        <v>3061</v>
      </c>
      <c r="C2234" s="0" t="n">
        <v>1</v>
      </c>
      <c r="D2234" s="0" t="str">
        <f aca="false">IF(C2234=0,B2234,"")</f>
        <v/>
      </c>
      <c r="E2234" s="0" t="str">
        <f aca="false">IF(C2234=0,A2234,"")</f>
        <v/>
      </c>
    </row>
    <row r="2235" customFormat="false" ht="12.8" hidden="false" customHeight="false" outlineLevel="0" collapsed="false">
      <c r="A2235" s="0" t="s">
        <v>3081</v>
      </c>
      <c r="B2235" s="0" t="s">
        <v>3599</v>
      </c>
      <c r="C2235" s="0" t="n">
        <v>0</v>
      </c>
      <c r="D2235" s="0" t="str">
        <f aca="false">IF(C2235=0,B2235,"")</f>
        <v>뭥</v>
      </c>
      <c r="E2235" s="0" t="str">
        <f aca="false">IF(C2235=0,A2235,"")</f>
        <v>풩</v>
      </c>
    </row>
    <row r="2236" customFormat="false" ht="12.8" hidden="false" customHeight="false" outlineLevel="0" collapsed="false">
      <c r="A2236" s="0" t="s">
        <v>3082</v>
      </c>
      <c r="B2236" s="0" t="s">
        <v>3600</v>
      </c>
      <c r="C2236" s="0" t="n">
        <v>0</v>
      </c>
      <c r="D2236" s="0" t="str">
        <f aca="false">IF(C2236=0,B2236,"")</f>
        <v>풰</v>
      </c>
      <c r="E2236" s="0" t="str">
        <f aca="false">IF(C2236=0,A2236,"")</f>
        <v>퓌</v>
      </c>
    </row>
    <row r="2237" customFormat="false" ht="12.8" hidden="false" customHeight="false" outlineLevel="0" collapsed="false">
      <c r="A2237" s="0" t="s">
        <v>3083</v>
      </c>
      <c r="B2237" s="0" t="s">
        <v>1749</v>
      </c>
      <c r="C2237" s="0" t="n">
        <v>1</v>
      </c>
      <c r="D2237" s="0" t="str">
        <f aca="false">IF(C2237=0,B2237,"")</f>
        <v/>
      </c>
      <c r="E2237" s="0" t="str">
        <f aca="false">IF(C2237=0,A2237,"")</f>
        <v/>
      </c>
    </row>
    <row r="2238" customFormat="false" ht="12.8" hidden="false" customHeight="false" outlineLevel="0" collapsed="false">
      <c r="A2238" s="0" t="s">
        <v>3084</v>
      </c>
      <c r="B2238" s="0" t="s">
        <v>1750</v>
      </c>
      <c r="C2238" s="0" t="n">
        <v>1</v>
      </c>
      <c r="D2238" s="0" t="str">
        <f aca="false">IF(C2238=0,B2238,"")</f>
        <v/>
      </c>
      <c r="E2238" s="0" t="str">
        <f aca="false">IF(C2238=0,A2238,"")</f>
        <v/>
      </c>
    </row>
    <row r="2239" customFormat="false" ht="12.8" hidden="false" customHeight="false" outlineLevel="0" collapsed="false">
      <c r="A2239" s="0" t="s">
        <v>3085</v>
      </c>
      <c r="B2239" s="0" t="s">
        <v>3601</v>
      </c>
      <c r="C2239" s="0" t="n">
        <v>0</v>
      </c>
      <c r="D2239" s="0" t="str">
        <f aca="false">IF(C2239=0,B2239,"")</f>
        <v>뮘</v>
      </c>
      <c r="E2239" s="0" t="str">
        <f aca="false">IF(C2239=0,A2239,"")</f>
        <v>퓜</v>
      </c>
    </row>
    <row r="2240" customFormat="false" ht="12.8" hidden="false" customHeight="false" outlineLevel="0" collapsed="false">
      <c r="A2240" s="0" t="s">
        <v>3086</v>
      </c>
      <c r="B2240" s="0" t="s">
        <v>3602</v>
      </c>
      <c r="C2240" s="0" t="n">
        <v>0</v>
      </c>
      <c r="D2240" s="0" t="str">
        <f aca="false">IF(C2240=0,B2240,"")</f>
        <v>뮛</v>
      </c>
      <c r="E2240" s="0" t="str">
        <f aca="false">IF(C2240=0,A2240,"")</f>
        <v>퓟</v>
      </c>
    </row>
    <row r="2241" customFormat="false" ht="12.8" hidden="false" customHeight="false" outlineLevel="0" collapsed="false">
      <c r="A2241" s="0" t="s">
        <v>3087</v>
      </c>
      <c r="B2241" s="0" t="s">
        <v>3014</v>
      </c>
      <c r="C2241" s="0" t="n">
        <v>1</v>
      </c>
      <c r="D2241" s="0" t="str">
        <f aca="false">IF(C2241=0,B2241,"")</f>
        <v/>
      </c>
      <c r="E2241" s="0" t="str">
        <f aca="false">IF(C2241=0,A2241,"")</f>
        <v/>
      </c>
    </row>
    <row r="2242" customFormat="false" ht="12.8" hidden="false" customHeight="false" outlineLevel="0" collapsed="false">
      <c r="A2242" s="0" t="s">
        <v>3088</v>
      </c>
      <c r="B2242" s="0" t="s">
        <v>1752</v>
      </c>
      <c r="C2242" s="0" t="n">
        <v>1</v>
      </c>
      <c r="D2242" s="0" t="str">
        <f aca="false">IF(C2242=0,B2242,"")</f>
        <v/>
      </c>
      <c r="E2242" s="0" t="str">
        <f aca="false">IF(C2242=0,A2242,"")</f>
        <v/>
      </c>
    </row>
    <row r="2243" customFormat="false" ht="12.8" hidden="false" customHeight="false" outlineLevel="0" collapsed="false">
      <c r="A2243" s="0" t="s">
        <v>3089</v>
      </c>
      <c r="B2243" s="0" t="s">
        <v>1753</v>
      </c>
      <c r="C2243" s="0" t="n">
        <v>1</v>
      </c>
      <c r="D2243" s="0" t="str">
        <f aca="false">IF(C2243=0,B2243,"")</f>
        <v/>
      </c>
      <c r="E2243" s="0" t="str">
        <f aca="false">IF(C2243=0,A2243,"")</f>
        <v/>
      </c>
    </row>
    <row r="2244" customFormat="false" ht="12.8" hidden="false" customHeight="false" outlineLevel="0" collapsed="false">
      <c r="A2244" s="0" t="s">
        <v>3090</v>
      </c>
      <c r="B2244" s="0" t="s">
        <v>1754</v>
      </c>
      <c r="C2244" s="0" t="n">
        <v>1</v>
      </c>
      <c r="D2244" s="0" t="str">
        <f aca="false">IF(C2244=0,B2244,"")</f>
        <v/>
      </c>
      <c r="E2244" s="0" t="str">
        <f aca="false">IF(C2244=0,A2244,"")</f>
        <v/>
      </c>
    </row>
    <row r="2245" customFormat="false" ht="12.8" hidden="false" customHeight="false" outlineLevel="0" collapsed="false">
      <c r="A2245" s="0" t="s">
        <v>3091</v>
      </c>
      <c r="B2245" s="0" t="s">
        <v>1755</v>
      </c>
      <c r="C2245" s="0" t="n">
        <v>1</v>
      </c>
      <c r="D2245" s="0" t="str">
        <f aca="false">IF(C2245=0,B2245,"")</f>
        <v/>
      </c>
      <c r="E2245" s="0" t="str">
        <f aca="false">IF(C2245=0,A2245,"")</f>
        <v/>
      </c>
    </row>
    <row r="2246" customFormat="false" ht="12.8" hidden="false" customHeight="false" outlineLevel="0" collapsed="false">
      <c r="A2246" s="0" t="s">
        <v>3092</v>
      </c>
      <c r="B2246" s="0" t="s">
        <v>3603</v>
      </c>
      <c r="C2246" s="0" t="n">
        <v>0</v>
      </c>
      <c r="D2246" s="0" t="str">
        <f aca="false">IF(C2246=0,B2246,"")</f>
        <v>뮹</v>
      </c>
      <c r="E2246" s="0" t="str">
        <f aca="false">IF(C2246=0,A2246,"")</f>
        <v>퓽</v>
      </c>
    </row>
    <row r="2247" customFormat="false" ht="12.8" hidden="false" customHeight="false" outlineLevel="0" collapsed="false">
      <c r="A2247" s="0" t="s">
        <v>3093</v>
      </c>
      <c r="B2247" s="0" t="s">
        <v>3023</v>
      </c>
      <c r="C2247" s="0" t="n">
        <v>1</v>
      </c>
      <c r="D2247" s="0" t="str">
        <f aca="false">IF(C2247=0,B2247,"")</f>
        <v/>
      </c>
      <c r="E2247" s="0" t="str">
        <f aca="false">IF(C2247=0,A2247,"")</f>
        <v/>
      </c>
    </row>
    <row r="2248" customFormat="false" ht="12.8" hidden="false" customHeight="false" outlineLevel="0" collapsed="false">
      <c r="A2248" s="0" t="s">
        <v>3094</v>
      </c>
      <c r="B2248" s="0" t="s">
        <v>1757</v>
      </c>
      <c r="C2248" s="0" t="n">
        <v>1</v>
      </c>
      <c r="D2248" s="0" t="str">
        <f aca="false">IF(C2248=0,B2248,"")</f>
        <v/>
      </c>
      <c r="E2248" s="0" t="str">
        <f aca="false">IF(C2248=0,A2248,"")</f>
        <v/>
      </c>
    </row>
    <row r="2249" customFormat="false" ht="12.8" hidden="false" customHeight="false" outlineLevel="0" collapsed="false">
      <c r="A2249" s="0" t="s">
        <v>3095</v>
      </c>
      <c r="B2249" s="0" t="s">
        <v>1758</v>
      </c>
      <c r="C2249" s="0" t="n">
        <v>1</v>
      </c>
      <c r="D2249" s="0" t="str">
        <f aca="false">IF(C2249=0,B2249,"")</f>
        <v/>
      </c>
      <c r="E2249" s="0" t="str">
        <f aca="false">IF(C2249=0,A2249,"")</f>
        <v/>
      </c>
    </row>
    <row r="2250" customFormat="false" ht="12.8" hidden="false" customHeight="false" outlineLevel="0" collapsed="false">
      <c r="A2250" s="0" t="s">
        <v>3096</v>
      </c>
      <c r="B2250" s="0" t="s">
        <v>1759</v>
      </c>
      <c r="C2250" s="0" t="n">
        <v>1</v>
      </c>
      <c r="D2250" s="0" t="str">
        <f aca="false">IF(C2250=0,B2250,"")</f>
        <v/>
      </c>
      <c r="E2250" s="0" t="str">
        <f aca="false">IF(C2250=0,A2250,"")</f>
        <v/>
      </c>
    </row>
    <row r="2251" customFormat="false" ht="12.8" hidden="false" customHeight="false" outlineLevel="0" collapsed="false">
      <c r="A2251" s="0" t="s">
        <v>3097</v>
      </c>
      <c r="B2251" s="0" t="s">
        <v>3604</v>
      </c>
      <c r="C2251" s="0" t="n">
        <v>0</v>
      </c>
      <c r="D2251" s="0" t="str">
        <f aca="false">IF(C2251=0,B2251,"")</f>
        <v>믑</v>
      </c>
      <c r="E2251" s="0" t="str">
        <f aca="false">IF(C2251=0,A2251,"")</f>
        <v>픕</v>
      </c>
    </row>
    <row r="2252" customFormat="false" ht="12.8" hidden="false" customHeight="false" outlineLevel="0" collapsed="false">
      <c r="A2252" s="0" t="s">
        <v>3098</v>
      </c>
      <c r="B2252" s="0" t="s">
        <v>1760</v>
      </c>
      <c r="C2252" s="0" t="n">
        <v>1</v>
      </c>
      <c r="D2252" s="0" t="str">
        <f aca="false">IF(C2252=0,B2252,"")</f>
        <v/>
      </c>
      <c r="E2252" s="0" t="str">
        <f aca="false">IF(C2252=0,A2252,"")</f>
        <v/>
      </c>
    </row>
    <row r="2253" customFormat="false" ht="12.8" hidden="false" customHeight="false" outlineLevel="0" collapsed="false">
      <c r="A2253" s="0" t="s">
        <v>3099</v>
      </c>
      <c r="B2253" s="0" t="s">
        <v>3093</v>
      </c>
      <c r="C2253" s="0" t="n">
        <v>1</v>
      </c>
      <c r="D2253" s="0" t="str">
        <f aca="false">IF(C2253=0,B2253,"")</f>
        <v/>
      </c>
      <c r="E2253" s="0" t="str">
        <f aca="false">IF(C2253=0,A2253,"")</f>
        <v/>
      </c>
    </row>
    <row r="2254" customFormat="false" ht="12.8" hidden="false" customHeight="false" outlineLevel="0" collapsed="false">
      <c r="A2254" s="0" t="s">
        <v>3100</v>
      </c>
      <c r="B2254" s="0" t="s">
        <v>1762</v>
      </c>
      <c r="C2254" s="0" t="n">
        <v>1</v>
      </c>
      <c r="D2254" s="0" t="str">
        <f aca="false">IF(C2254=0,B2254,"")</f>
        <v/>
      </c>
      <c r="E2254" s="0" t="str">
        <f aca="false">IF(C2254=0,A2254,"")</f>
        <v/>
      </c>
    </row>
    <row r="2255" customFormat="false" ht="12.8" hidden="false" customHeight="false" outlineLevel="0" collapsed="false">
      <c r="A2255" s="0" t="s">
        <v>3101</v>
      </c>
      <c r="B2255" s="0" t="s">
        <v>1763</v>
      </c>
      <c r="C2255" s="0" t="n">
        <v>1</v>
      </c>
      <c r="D2255" s="0" t="str">
        <f aca="false">IF(C2255=0,B2255,"")</f>
        <v/>
      </c>
      <c r="E2255" s="0" t="str">
        <f aca="false">IF(C2255=0,A2255,"")</f>
        <v/>
      </c>
    </row>
    <row r="2256" customFormat="false" ht="12.8" hidden="false" customHeight="false" outlineLevel="0" collapsed="false">
      <c r="A2256" s="0" t="s">
        <v>3102</v>
      </c>
      <c r="B2256" s="0" t="s">
        <v>1765</v>
      </c>
      <c r="C2256" s="0" t="n">
        <v>1</v>
      </c>
      <c r="D2256" s="0" t="str">
        <f aca="false">IF(C2256=0,B2256,"")</f>
        <v/>
      </c>
      <c r="E2256" s="0" t="str">
        <f aca="false">IF(C2256=0,A2256,"")</f>
        <v/>
      </c>
    </row>
    <row r="2257" customFormat="false" ht="12.8" hidden="false" customHeight="false" outlineLevel="0" collapsed="false">
      <c r="A2257" s="0" t="s">
        <v>3103</v>
      </c>
      <c r="B2257" s="0" t="s">
        <v>1767</v>
      </c>
      <c r="C2257" s="0" t="n">
        <v>1</v>
      </c>
      <c r="D2257" s="0" t="str">
        <f aca="false">IF(C2257=0,B2257,"")</f>
        <v/>
      </c>
      <c r="E2257" s="0" t="str">
        <f aca="false">IF(C2257=0,A2257,"")</f>
        <v/>
      </c>
    </row>
    <row r="2258" customFormat="false" ht="12.8" hidden="false" customHeight="false" outlineLevel="0" collapsed="false">
      <c r="A2258" s="0" t="s">
        <v>3104</v>
      </c>
      <c r="B2258" s="0" t="s">
        <v>1768</v>
      </c>
      <c r="C2258" s="0" t="n">
        <v>1</v>
      </c>
      <c r="D2258" s="0" t="str">
        <f aca="false">IF(C2258=0,B2258,"")</f>
        <v/>
      </c>
      <c r="E2258" s="0" t="str">
        <f aca="false">IF(C2258=0,A2258,"")</f>
        <v/>
      </c>
    </row>
    <row r="2259" customFormat="false" ht="12.8" hidden="false" customHeight="false" outlineLevel="0" collapsed="false">
      <c r="A2259" s="0" t="s">
        <v>3105</v>
      </c>
      <c r="B2259" s="0" t="s">
        <v>1769</v>
      </c>
      <c r="C2259" s="0" t="n">
        <v>1</v>
      </c>
      <c r="D2259" s="0" t="str">
        <f aca="false">IF(C2259=0,B2259,"")</f>
        <v/>
      </c>
      <c r="E2259" s="0" t="str">
        <f aca="false">IF(C2259=0,A2259,"")</f>
        <v/>
      </c>
    </row>
    <row r="2260" customFormat="false" ht="12.8" hidden="false" customHeight="false" outlineLevel="0" collapsed="false">
      <c r="A2260" s="0" t="s">
        <v>3106</v>
      </c>
      <c r="B2260" s="0" t="s">
        <v>1771</v>
      </c>
      <c r="C2260" s="0" t="n">
        <v>1</v>
      </c>
      <c r="D2260" s="0" t="str">
        <f aca="false">IF(C2260=0,B2260,"")</f>
        <v/>
      </c>
      <c r="E2260" s="0" t="str">
        <f aca="false">IF(C2260=0,A2260,"")</f>
        <v/>
      </c>
    </row>
    <row r="2261" customFormat="false" ht="12.8" hidden="false" customHeight="false" outlineLevel="0" collapsed="false">
      <c r="A2261" s="0" t="s">
        <v>810</v>
      </c>
      <c r="B2261" s="0" t="s">
        <v>3156</v>
      </c>
      <c r="C2261" s="0" t="n">
        <v>1</v>
      </c>
      <c r="D2261" s="0" t="str">
        <f aca="false">IF(C2261=0,B2261,"")</f>
        <v/>
      </c>
      <c r="E2261" s="0" t="str">
        <f aca="false">IF(C2261=0,A2261,"")</f>
        <v/>
      </c>
    </row>
    <row r="2262" customFormat="false" ht="12.8" hidden="false" customHeight="false" outlineLevel="0" collapsed="false">
      <c r="A2262" s="0" t="s">
        <v>3107</v>
      </c>
      <c r="B2262" s="0" t="s">
        <v>2902</v>
      </c>
      <c r="C2262" s="0" t="n">
        <v>1</v>
      </c>
      <c r="D2262" s="0" t="str">
        <f aca="false">IF(C2262=0,B2262,"")</f>
        <v/>
      </c>
      <c r="E2262" s="0" t="str">
        <f aca="false">IF(C2262=0,A2262,"")</f>
        <v/>
      </c>
    </row>
    <row r="2263" customFormat="false" ht="12.8" hidden="false" customHeight="false" outlineLevel="0" collapsed="false">
      <c r="A2263" s="0" t="s">
        <v>3108</v>
      </c>
      <c r="B2263" s="0" t="s">
        <v>2903</v>
      </c>
      <c r="C2263" s="0" t="n">
        <v>1</v>
      </c>
      <c r="D2263" s="0" t="str">
        <f aca="false">IF(C2263=0,B2263,"")</f>
        <v/>
      </c>
      <c r="E2263" s="0" t="str">
        <f aca="false">IF(C2263=0,A2263,"")</f>
        <v/>
      </c>
    </row>
    <row r="2264" customFormat="false" ht="12.8" hidden="false" customHeight="false" outlineLevel="0" collapsed="false">
      <c r="A2264" s="0" t="s">
        <v>3109</v>
      </c>
      <c r="B2264" s="0" t="s">
        <v>2904</v>
      </c>
      <c r="C2264" s="0" t="n">
        <v>1</v>
      </c>
      <c r="D2264" s="0" t="str">
        <f aca="false">IF(C2264=0,B2264,"")</f>
        <v/>
      </c>
      <c r="E2264" s="0" t="str">
        <f aca="false">IF(C2264=0,A2264,"")</f>
        <v/>
      </c>
    </row>
    <row r="2265" customFormat="false" ht="12.8" hidden="false" customHeight="false" outlineLevel="0" collapsed="false">
      <c r="A2265" s="0" t="s">
        <v>3110</v>
      </c>
      <c r="B2265" s="0" t="s">
        <v>2904</v>
      </c>
      <c r="C2265" s="0" t="n">
        <v>1</v>
      </c>
      <c r="D2265" s="0" t="str">
        <f aca="false">IF(C2265=0,B2265,"")</f>
        <v/>
      </c>
      <c r="E2265" s="0" t="str">
        <f aca="false">IF(C2265=0,A2265,"")</f>
        <v/>
      </c>
    </row>
    <row r="2266" customFormat="false" ht="12.8" hidden="false" customHeight="false" outlineLevel="0" collapsed="false">
      <c r="A2266" s="0" t="s">
        <v>3111</v>
      </c>
      <c r="B2266" s="0" t="s">
        <v>2906</v>
      </c>
      <c r="C2266" s="0" t="n">
        <v>1</v>
      </c>
      <c r="D2266" s="0" t="str">
        <f aca="false">IF(C2266=0,B2266,"")</f>
        <v/>
      </c>
      <c r="E2266" s="0" t="str">
        <f aca="false">IF(C2266=0,A2266,"")</f>
        <v/>
      </c>
    </row>
    <row r="2267" customFormat="false" ht="12.8" hidden="false" customHeight="false" outlineLevel="0" collapsed="false">
      <c r="A2267" s="0" t="s">
        <v>3112</v>
      </c>
      <c r="B2267" s="0" t="s">
        <v>2907</v>
      </c>
      <c r="C2267" s="0" t="n">
        <v>1</v>
      </c>
      <c r="D2267" s="0" t="str">
        <f aca="false">IF(C2267=0,B2267,"")</f>
        <v/>
      </c>
      <c r="E2267" s="0" t="str">
        <f aca="false">IF(C2267=0,A2267,"")</f>
        <v/>
      </c>
    </row>
    <row r="2268" customFormat="false" ht="12.8" hidden="false" customHeight="false" outlineLevel="0" collapsed="false">
      <c r="A2268" s="0" t="s">
        <v>3113</v>
      </c>
      <c r="B2268" s="0" t="s">
        <v>2908</v>
      </c>
      <c r="C2268" s="0" t="n">
        <v>1</v>
      </c>
      <c r="D2268" s="0" t="str">
        <f aca="false">IF(C2268=0,B2268,"")</f>
        <v/>
      </c>
      <c r="E2268" s="0" t="str">
        <f aca="false">IF(C2268=0,A2268,"")</f>
        <v/>
      </c>
    </row>
    <row r="2269" customFormat="false" ht="12.8" hidden="false" customHeight="false" outlineLevel="0" collapsed="false">
      <c r="A2269" s="0" t="s">
        <v>3114</v>
      </c>
      <c r="B2269" s="0" t="s">
        <v>2910</v>
      </c>
      <c r="C2269" s="0" t="n">
        <v>1</v>
      </c>
      <c r="D2269" s="0" t="str">
        <f aca="false">IF(C2269=0,B2269,"")</f>
        <v/>
      </c>
      <c r="E2269" s="0" t="str">
        <f aca="false">IF(C2269=0,A2269,"")</f>
        <v/>
      </c>
    </row>
    <row r="2270" customFormat="false" ht="12.8" hidden="false" customHeight="false" outlineLevel="0" collapsed="false">
      <c r="A2270" s="0" t="s">
        <v>3115</v>
      </c>
      <c r="B2270" s="0" t="s">
        <v>3234</v>
      </c>
      <c r="C2270" s="0" t="n">
        <v>1</v>
      </c>
      <c r="D2270" s="0" t="str">
        <f aca="false">IF(C2270=0,B2270,"")</f>
        <v/>
      </c>
      <c r="E2270" s="0" t="str">
        <f aca="false">IF(C2270=0,A2270,"")</f>
        <v/>
      </c>
    </row>
    <row r="2271" customFormat="false" ht="12.8" hidden="false" customHeight="false" outlineLevel="0" collapsed="false">
      <c r="A2271" s="0" t="s">
        <v>3116</v>
      </c>
      <c r="B2271" s="0" t="s">
        <v>2912</v>
      </c>
      <c r="C2271" s="0" t="n">
        <v>1</v>
      </c>
      <c r="D2271" s="0" t="str">
        <f aca="false">IF(C2271=0,B2271,"")</f>
        <v/>
      </c>
      <c r="E2271" s="0" t="str">
        <f aca="false">IF(C2271=0,A2271,"")</f>
        <v/>
      </c>
    </row>
    <row r="2272" customFormat="false" ht="12.8" hidden="false" customHeight="false" outlineLevel="0" collapsed="false">
      <c r="A2272" s="0" t="s">
        <v>3117</v>
      </c>
      <c r="B2272" s="0" t="s">
        <v>2913</v>
      </c>
      <c r="C2272" s="0" t="n">
        <v>1</v>
      </c>
      <c r="D2272" s="0" t="str">
        <f aca="false">IF(C2272=0,B2272,"")</f>
        <v/>
      </c>
      <c r="E2272" s="0" t="str">
        <f aca="false">IF(C2272=0,A2272,"")</f>
        <v/>
      </c>
    </row>
    <row r="2273" customFormat="false" ht="12.8" hidden="false" customHeight="false" outlineLevel="0" collapsed="false">
      <c r="A2273" s="0" t="s">
        <v>3118</v>
      </c>
      <c r="B2273" s="0" t="s">
        <v>2914</v>
      </c>
      <c r="C2273" s="0" t="n">
        <v>1</v>
      </c>
      <c r="D2273" s="0" t="str">
        <f aca="false">IF(C2273=0,B2273,"")</f>
        <v/>
      </c>
      <c r="E2273" s="0" t="str">
        <f aca="false">IF(C2273=0,A2273,"")</f>
        <v/>
      </c>
    </row>
    <row r="2274" customFormat="false" ht="12.8" hidden="false" customHeight="false" outlineLevel="0" collapsed="false">
      <c r="A2274" s="0" t="s">
        <v>3119</v>
      </c>
      <c r="B2274" s="0" t="s">
        <v>2915</v>
      </c>
      <c r="C2274" s="0" t="n">
        <v>1</v>
      </c>
      <c r="D2274" s="0" t="str">
        <f aca="false">IF(C2274=0,B2274,"")</f>
        <v/>
      </c>
      <c r="E2274" s="0" t="str">
        <f aca="false">IF(C2274=0,A2274,"")</f>
        <v/>
      </c>
    </row>
    <row r="2275" customFormat="false" ht="12.8" hidden="false" customHeight="false" outlineLevel="0" collapsed="false">
      <c r="A2275" s="0" t="s">
        <v>3120</v>
      </c>
      <c r="B2275" s="0" t="s">
        <v>2916</v>
      </c>
      <c r="C2275" s="0" t="n">
        <v>1</v>
      </c>
      <c r="D2275" s="0" t="str">
        <f aca="false">IF(C2275=0,B2275,"")</f>
        <v/>
      </c>
      <c r="E2275" s="0" t="str">
        <f aca="false">IF(C2275=0,A2275,"")</f>
        <v/>
      </c>
    </row>
    <row r="2276" customFormat="false" ht="12.8" hidden="false" customHeight="false" outlineLevel="0" collapsed="false">
      <c r="A2276" s="0" t="s">
        <v>3121</v>
      </c>
      <c r="B2276" s="0" t="s">
        <v>2917</v>
      </c>
      <c r="C2276" s="0" t="n">
        <v>1</v>
      </c>
      <c r="D2276" s="0" t="str">
        <f aca="false">IF(C2276=0,B2276,"")</f>
        <v/>
      </c>
      <c r="E2276" s="0" t="str">
        <f aca="false">IF(C2276=0,A2276,"")</f>
        <v/>
      </c>
    </row>
    <row r="2277" customFormat="false" ht="12.8" hidden="false" customHeight="false" outlineLevel="0" collapsed="false">
      <c r="A2277" s="0" t="s">
        <v>3122</v>
      </c>
      <c r="B2277" s="0" t="s">
        <v>2917</v>
      </c>
      <c r="C2277" s="0" t="n">
        <v>1</v>
      </c>
      <c r="D2277" s="0" t="str">
        <f aca="false">IF(C2277=0,B2277,"")</f>
        <v/>
      </c>
      <c r="E2277" s="0" t="str">
        <f aca="false">IF(C2277=0,A2277,"")</f>
        <v/>
      </c>
    </row>
    <row r="2278" customFormat="false" ht="12.8" hidden="false" customHeight="false" outlineLevel="0" collapsed="false">
      <c r="A2278" s="0" t="s">
        <v>3123</v>
      </c>
      <c r="B2278" s="0" t="s">
        <v>2919</v>
      </c>
      <c r="C2278" s="0" t="n">
        <v>1</v>
      </c>
      <c r="D2278" s="0" t="str">
        <f aca="false">IF(C2278=0,B2278,"")</f>
        <v/>
      </c>
      <c r="E2278" s="0" t="str">
        <f aca="false">IF(C2278=0,A2278,"")</f>
        <v/>
      </c>
    </row>
    <row r="2279" customFormat="false" ht="12.8" hidden="false" customHeight="false" outlineLevel="0" collapsed="false">
      <c r="A2279" s="0" t="s">
        <v>3124</v>
      </c>
      <c r="B2279" s="0" t="s">
        <v>3184</v>
      </c>
      <c r="C2279" s="0" t="n">
        <v>1</v>
      </c>
      <c r="D2279" s="0" t="str">
        <f aca="false">IF(C2279=0,B2279,"")</f>
        <v/>
      </c>
      <c r="E2279" s="0" t="str">
        <f aca="false">IF(C2279=0,A2279,"")</f>
        <v/>
      </c>
    </row>
    <row r="2280" customFormat="false" ht="12.8" hidden="false" customHeight="false" outlineLevel="0" collapsed="false">
      <c r="A2280" s="0" t="s">
        <v>3125</v>
      </c>
      <c r="B2280" s="0" t="s">
        <v>2921</v>
      </c>
      <c r="C2280" s="0" t="n">
        <v>1</v>
      </c>
      <c r="D2280" s="0" t="str">
        <f aca="false">IF(C2280=0,B2280,"")</f>
        <v/>
      </c>
      <c r="E2280" s="0" t="str">
        <f aca="false">IF(C2280=0,A2280,"")</f>
        <v/>
      </c>
    </row>
    <row r="2281" customFormat="false" ht="12.8" hidden="false" customHeight="false" outlineLevel="0" collapsed="false">
      <c r="A2281" s="0" t="s">
        <v>3126</v>
      </c>
      <c r="B2281" s="0" t="s">
        <v>3189</v>
      </c>
      <c r="C2281" s="0" t="n">
        <v>1</v>
      </c>
      <c r="D2281" s="0" t="str">
        <f aca="false">IF(C2281=0,B2281,"")</f>
        <v/>
      </c>
      <c r="E2281" s="0" t="str">
        <f aca="false">IF(C2281=0,A2281,"")</f>
        <v/>
      </c>
    </row>
    <row r="2282" customFormat="false" ht="12.8" hidden="false" customHeight="false" outlineLevel="0" collapsed="false">
      <c r="A2282" s="0" t="s">
        <v>3127</v>
      </c>
      <c r="B2282" s="0" t="s">
        <v>2922</v>
      </c>
      <c r="C2282" s="0" t="n">
        <v>1</v>
      </c>
      <c r="D2282" s="0" t="str">
        <f aca="false">IF(C2282=0,B2282,"")</f>
        <v/>
      </c>
      <c r="E2282" s="0" t="str">
        <f aca="false">IF(C2282=0,A2282,"")</f>
        <v/>
      </c>
    </row>
    <row r="2283" customFormat="false" ht="12.8" hidden="false" customHeight="false" outlineLevel="0" collapsed="false">
      <c r="A2283" s="0" t="s">
        <v>3128</v>
      </c>
      <c r="B2283" s="0" t="s">
        <v>2923</v>
      </c>
      <c r="C2283" s="0" t="n">
        <v>1</v>
      </c>
      <c r="D2283" s="0" t="str">
        <f aca="false">IF(C2283=0,B2283,"")</f>
        <v/>
      </c>
      <c r="E2283" s="0" t="str">
        <f aca="false">IF(C2283=0,A2283,"")</f>
        <v/>
      </c>
    </row>
    <row r="2284" customFormat="false" ht="12.8" hidden="false" customHeight="false" outlineLevel="0" collapsed="false">
      <c r="A2284" s="0" t="s">
        <v>3129</v>
      </c>
      <c r="B2284" s="0" t="s">
        <v>2924</v>
      </c>
      <c r="C2284" s="0" t="n">
        <v>1</v>
      </c>
      <c r="D2284" s="0" t="str">
        <f aca="false">IF(C2284=0,B2284,"")</f>
        <v/>
      </c>
      <c r="E2284" s="0" t="str">
        <f aca="false">IF(C2284=0,A2284,"")</f>
        <v/>
      </c>
    </row>
    <row r="2285" customFormat="false" ht="12.8" hidden="false" customHeight="false" outlineLevel="0" collapsed="false">
      <c r="A2285" s="0" t="s">
        <v>3130</v>
      </c>
      <c r="B2285" s="0" t="s">
        <v>2924</v>
      </c>
      <c r="C2285" s="0" t="n">
        <v>1</v>
      </c>
      <c r="D2285" s="0" t="str">
        <f aca="false">IF(C2285=0,B2285,"")</f>
        <v/>
      </c>
      <c r="E2285" s="0" t="str">
        <f aca="false">IF(C2285=0,A2285,"")</f>
        <v/>
      </c>
    </row>
    <row r="2286" customFormat="false" ht="12.8" hidden="false" customHeight="false" outlineLevel="0" collapsed="false">
      <c r="A2286" s="0" t="s">
        <v>3131</v>
      </c>
      <c r="B2286" s="0" t="s">
        <v>2926</v>
      </c>
      <c r="C2286" s="0" t="n">
        <v>1</v>
      </c>
      <c r="D2286" s="0" t="str">
        <f aca="false">IF(C2286=0,B2286,"")</f>
        <v/>
      </c>
      <c r="E2286" s="0" t="str">
        <f aca="false">IF(C2286=0,A2286,"")</f>
        <v/>
      </c>
    </row>
    <row r="2287" customFormat="false" ht="12.8" hidden="false" customHeight="false" outlineLevel="0" collapsed="false">
      <c r="A2287" s="0" t="s">
        <v>3132</v>
      </c>
      <c r="B2287" s="0" t="s">
        <v>2927</v>
      </c>
      <c r="C2287" s="0" t="n">
        <v>1</v>
      </c>
      <c r="D2287" s="0" t="str">
        <f aca="false">IF(C2287=0,B2287,"")</f>
        <v/>
      </c>
      <c r="E2287" s="0" t="str">
        <f aca="false">IF(C2287=0,A2287,"")</f>
        <v/>
      </c>
    </row>
    <row r="2288" customFormat="false" ht="12.8" hidden="false" customHeight="false" outlineLevel="0" collapsed="false">
      <c r="A2288" s="0" t="s">
        <v>3133</v>
      </c>
      <c r="B2288" s="0" t="s">
        <v>2928</v>
      </c>
      <c r="C2288" s="0" t="n">
        <v>1</v>
      </c>
      <c r="D2288" s="0" t="str">
        <f aca="false">IF(C2288=0,B2288,"")</f>
        <v/>
      </c>
      <c r="E2288" s="0" t="str">
        <f aca="false">IF(C2288=0,A2288,"")</f>
        <v/>
      </c>
    </row>
    <row r="2289" customFormat="false" ht="12.8" hidden="false" customHeight="false" outlineLevel="0" collapsed="false">
      <c r="A2289" s="0" t="s">
        <v>3134</v>
      </c>
      <c r="B2289" s="0" t="s">
        <v>2930</v>
      </c>
      <c r="C2289" s="0" t="n">
        <v>1</v>
      </c>
      <c r="D2289" s="0" t="str">
        <f aca="false">IF(C2289=0,B2289,"")</f>
        <v/>
      </c>
      <c r="E2289" s="0" t="str">
        <f aca="false">IF(C2289=0,A2289,"")</f>
        <v/>
      </c>
    </row>
    <row r="2290" customFormat="false" ht="12.8" hidden="false" customHeight="false" outlineLevel="0" collapsed="false">
      <c r="A2290" s="0" t="s">
        <v>3135</v>
      </c>
      <c r="B2290" s="0" t="s">
        <v>810</v>
      </c>
      <c r="C2290" s="0" t="n">
        <v>1</v>
      </c>
      <c r="D2290" s="0" t="str">
        <f aca="false">IF(C2290=0,B2290,"")</f>
        <v/>
      </c>
      <c r="E2290" s="0" t="str">
        <f aca="false">IF(C2290=0,A2290,"")</f>
        <v/>
      </c>
    </row>
    <row r="2291" customFormat="false" ht="12.8" hidden="false" customHeight="false" outlineLevel="0" collapsed="false">
      <c r="A2291" s="0" t="s">
        <v>604</v>
      </c>
      <c r="B2291" s="20" t="s">
        <v>3522</v>
      </c>
      <c r="C2291" s="0" t="n">
        <v>1</v>
      </c>
      <c r="D2291" s="0" t="str">
        <f aca="false">IF(C2291=0,B2291,"")</f>
        <v/>
      </c>
      <c r="E2291" s="0" t="str">
        <f aca="false">IF(C2291=0,A2291,"")</f>
        <v/>
      </c>
    </row>
    <row r="2292" customFormat="false" ht="12.8" hidden="false" customHeight="false" outlineLevel="0" collapsed="false">
      <c r="A2292" s="0" t="s">
        <v>605</v>
      </c>
      <c r="B2292" s="20" t="s">
        <v>3522</v>
      </c>
      <c r="C2292" s="0" t="n">
        <v>1</v>
      </c>
      <c r="D2292" s="0" t="str">
        <f aca="false">IF(C2292=0,B2292,"")</f>
        <v/>
      </c>
      <c r="E2292" s="0" t="str">
        <f aca="false">IF(C2292=0,A2292,"")</f>
        <v/>
      </c>
    </row>
    <row r="2293" customFormat="false" ht="12.8" hidden="false" customHeight="false" outlineLevel="0" collapsed="false">
      <c r="A2293" s="0" t="s">
        <v>3136</v>
      </c>
      <c r="B2293" s="0" t="s">
        <v>2931</v>
      </c>
      <c r="C2293" s="0" t="n">
        <v>1</v>
      </c>
      <c r="D2293" s="0" t="str">
        <f aca="false">IF(C2293=0,B2293,"")</f>
        <v/>
      </c>
      <c r="E2293" s="0" t="str">
        <f aca="false">IF(C2293=0,A2293,"")</f>
        <v/>
      </c>
    </row>
    <row r="2294" customFormat="false" ht="12.8" hidden="false" customHeight="false" outlineLevel="0" collapsed="false">
      <c r="A2294" s="0" t="s">
        <v>3137</v>
      </c>
      <c r="B2294" s="0" t="s">
        <v>2932</v>
      </c>
      <c r="C2294" s="0" t="n">
        <v>1</v>
      </c>
      <c r="D2294" s="0" t="str">
        <f aca="false">IF(C2294=0,B2294,"")</f>
        <v/>
      </c>
      <c r="E2294" s="0" t="str">
        <f aca="false">IF(C2294=0,A2294,"")</f>
        <v/>
      </c>
    </row>
    <row r="2295" customFormat="false" ht="12.8" hidden="false" customHeight="false" outlineLevel="0" collapsed="false">
      <c r="A2295" s="0" t="s">
        <v>3138</v>
      </c>
      <c r="B2295" s="0" t="s">
        <v>2933</v>
      </c>
      <c r="C2295" s="0" t="n">
        <v>1</v>
      </c>
      <c r="D2295" s="0" t="str">
        <f aca="false">IF(C2295=0,B2295,"")</f>
        <v/>
      </c>
      <c r="E2295" s="0" t="str">
        <f aca="false">IF(C2295=0,A2295,"")</f>
        <v/>
      </c>
    </row>
    <row r="2296" customFormat="false" ht="12.8" hidden="false" customHeight="false" outlineLevel="0" collapsed="false">
      <c r="A2296" s="0" t="s">
        <v>3139</v>
      </c>
      <c r="B2296" s="0" t="s">
        <v>2934</v>
      </c>
      <c r="C2296" s="0" t="n">
        <v>1</v>
      </c>
      <c r="D2296" s="0" t="str">
        <f aca="false">IF(C2296=0,B2296,"")</f>
        <v/>
      </c>
      <c r="E2296" s="0" t="str">
        <f aca="false">IF(C2296=0,A2296,"")</f>
        <v/>
      </c>
    </row>
    <row r="2297" customFormat="false" ht="12.8" hidden="false" customHeight="false" outlineLevel="0" collapsed="false">
      <c r="A2297" s="0" t="s">
        <v>3140</v>
      </c>
      <c r="B2297" s="0" t="s">
        <v>2935</v>
      </c>
      <c r="C2297" s="0" t="n">
        <v>1</v>
      </c>
      <c r="D2297" s="0" t="str">
        <f aca="false">IF(C2297=0,B2297,"")</f>
        <v/>
      </c>
      <c r="E2297" s="0" t="str">
        <f aca="false">IF(C2297=0,A2297,"")</f>
        <v/>
      </c>
    </row>
    <row r="2298" customFormat="false" ht="12.8" hidden="false" customHeight="false" outlineLevel="0" collapsed="false">
      <c r="A2298" s="0" t="s">
        <v>3141</v>
      </c>
      <c r="B2298" s="0" t="s">
        <v>2936</v>
      </c>
      <c r="C2298" s="0" t="n">
        <v>1</v>
      </c>
      <c r="D2298" s="0" t="str">
        <f aca="false">IF(C2298=0,B2298,"")</f>
        <v/>
      </c>
      <c r="E2298" s="0" t="str">
        <f aca="false">IF(C2298=0,A2298,"")</f>
        <v/>
      </c>
    </row>
    <row r="2299" customFormat="false" ht="12.8" hidden="false" customHeight="false" outlineLevel="0" collapsed="false">
      <c r="A2299" s="0" t="s">
        <v>3142</v>
      </c>
      <c r="B2299" s="0" t="s">
        <v>2937</v>
      </c>
      <c r="C2299" s="0" t="n">
        <v>1</v>
      </c>
      <c r="D2299" s="0" t="str">
        <f aca="false">IF(C2299=0,B2299,"")</f>
        <v/>
      </c>
      <c r="E2299" s="0" t="str">
        <f aca="false">IF(C2299=0,A2299,"")</f>
        <v/>
      </c>
    </row>
    <row r="2300" customFormat="false" ht="12.8" hidden="false" customHeight="false" outlineLevel="0" collapsed="false">
      <c r="A2300" s="0" t="s">
        <v>3143</v>
      </c>
      <c r="B2300" s="0" t="s">
        <v>3215</v>
      </c>
      <c r="C2300" s="0" t="n">
        <v>1</v>
      </c>
      <c r="D2300" s="0" t="str">
        <f aca="false">IF(C2300=0,B2300,"")</f>
        <v/>
      </c>
      <c r="E2300" s="0" t="str">
        <f aca="false">IF(C2300=0,A2300,"")</f>
        <v/>
      </c>
    </row>
    <row r="2301" customFormat="false" ht="12.8" hidden="false" customHeight="false" outlineLevel="0" collapsed="false">
      <c r="A2301" s="0" t="s">
        <v>3144</v>
      </c>
      <c r="B2301" s="0" t="s">
        <v>3605</v>
      </c>
      <c r="C2301" s="0" t="n">
        <v>0</v>
      </c>
      <c r="D2301" s="0" t="str">
        <f aca="false">IF(C2301=0,B2301,"")</f>
        <v>텩</v>
      </c>
      <c r="E2301" s="0" t="str">
        <f aca="false">IF(C2301=0,A2301,"")</f>
        <v>혁</v>
      </c>
    </row>
    <row r="2302" customFormat="false" ht="12.8" hidden="false" customHeight="false" outlineLevel="0" collapsed="false">
      <c r="A2302" s="0" t="s">
        <v>3145</v>
      </c>
      <c r="B2302" s="0" t="s">
        <v>2939</v>
      </c>
      <c r="C2302" s="0" t="n">
        <v>1</v>
      </c>
      <c r="D2302" s="0" t="str">
        <f aca="false">IF(C2302=0,B2302,"")</f>
        <v/>
      </c>
      <c r="E2302" s="0" t="str">
        <f aca="false">IF(C2302=0,A2302,"")</f>
        <v/>
      </c>
    </row>
    <row r="2303" customFormat="false" ht="12.8" hidden="false" customHeight="false" outlineLevel="0" collapsed="false">
      <c r="A2303" s="0" t="s">
        <v>3146</v>
      </c>
      <c r="B2303" s="0" t="s">
        <v>3606</v>
      </c>
      <c r="C2303" s="0" t="n">
        <v>0</v>
      </c>
      <c r="D2303" s="0" t="str">
        <f aca="false">IF(C2303=0,B2303,"")</f>
        <v>텰</v>
      </c>
      <c r="E2303" s="0" t="str">
        <f aca="false">IF(C2303=0,A2303,"")</f>
        <v>혈</v>
      </c>
    </row>
    <row r="2304" customFormat="false" ht="12.8" hidden="false" customHeight="false" outlineLevel="0" collapsed="false">
      <c r="A2304" s="0" t="s">
        <v>3147</v>
      </c>
      <c r="B2304" s="0" t="s">
        <v>3607</v>
      </c>
      <c r="C2304" s="0" t="n">
        <v>0</v>
      </c>
      <c r="D2304" s="0" t="str">
        <f aca="false">IF(C2304=0,B2304,"")</f>
        <v>텸</v>
      </c>
      <c r="E2304" s="0" t="str">
        <f aca="false">IF(C2304=0,A2304,"")</f>
        <v>혐</v>
      </c>
    </row>
    <row r="2305" customFormat="false" ht="12.8" hidden="false" customHeight="false" outlineLevel="0" collapsed="false">
      <c r="A2305" s="0" t="s">
        <v>3148</v>
      </c>
      <c r="B2305" s="0" t="s">
        <v>3608</v>
      </c>
      <c r="C2305" s="0" t="n">
        <v>0</v>
      </c>
      <c r="D2305" s="0" t="str">
        <f aca="false">IF(C2305=0,B2305,"")</f>
        <v>텹</v>
      </c>
      <c r="E2305" s="0" t="str">
        <f aca="false">IF(C2305=0,A2305,"")</f>
        <v>협</v>
      </c>
    </row>
    <row r="2306" customFormat="false" ht="12.8" hidden="false" customHeight="false" outlineLevel="0" collapsed="false">
      <c r="A2306" s="0" t="s">
        <v>3149</v>
      </c>
      <c r="B2306" s="0" t="s">
        <v>3609</v>
      </c>
      <c r="C2306" s="0" t="n">
        <v>0</v>
      </c>
      <c r="D2306" s="0" t="str">
        <f aca="false">IF(C2306=0,B2306,"")</f>
        <v>텻</v>
      </c>
      <c r="E2306" s="0" t="str">
        <f aca="false">IF(C2306=0,A2306,"")</f>
        <v>혓</v>
      </c>
    </row>
    <row r="2307" customFormat="false" ht="12.8" hidden="false" customHeight="false" outlineLevel="0" collapsed="false">
      <c r="A2307" s="0" t="s">
        <v>3150</v>
      </c>
      <c r="B2307" s="0" t="s">
        <v>3609</v>
      </c>
      <c r="C2307" s="0" t="n">
        <v>0</v>
      </c>
      <c r="D2307" s="0" t="str">
        <f aca="false">IF(C2307=0,B2307,"")</f>
        <v>텻</v>
      </c>
      <c r="E2307" s="0" t="str">
        <f aca="false">IF(C2307=0,A2307,"")</f>
        <v>혔</v>
      </c>
    </row>
    <row r="2308" customFormat="false" ht="12.8" hidden="false" customHeight="false" outlineLevel="0" collapsed="false">
      <c r="A2308" s="0" t="s">
        <v>3151</v>
      </c>
      <c r="B2308" s="0" t="s">
        <v>3610</v>
      </c>
      <c r="C2308" s="0" t="n">
        <v>0</v>
      </c>
      <c r="D2308" s="0" t="str">
        <f aca="false">IF(C2308=0,B2308,"")</f>
        <v>텽</v>
      </c>
      <c r="E2308" s="0" t="str">
        <f aca="false">IF(C2308=0,A2308,"")</f>
        <v>형</v>
      </c>
    </row>
    <row r="2309" customFormat="false" ht="12.8" hidden="false" customHeight="false" outlineLevel="0" collapsed="false">
      <c r="A2309" s="0" t="s">
        <v>3152</v>
      </c>
      <c r="B2309" s="0" t="s">
        <v>3177</v>
      </c>
      <c r="C2309" s="0" t="n">
        <v>1</v>
      </c>
      <c r="D2309" s="0" t="str">
        <f aca="false">IF(C2309=0,B2309,"")</f>
        <v/>
      </c>
      <c r="E2309" s="0" t="str">
        <f aca="false">IF(C2309=0,A2309,"")</f>
        <v/>
      </c>
    </row>
    <row r="2310" customFormat="false" ht="12.8" hidden="false" customHeight="false" outlineLevel="0" collapsed="false">
      <c r="A2310" s="0" t="s">
        <v>3153</v>
      </c>
      <c r="B2310" s="0" t="s">
        <v>2942</v>
      </c>
      <c r="C2310" s="0" t="n">
        <v>1</v>
      </c>
      <c r="D2310" s="0" t="str">
        <f aca="false">IF(C2310=0,B2310,"")</f>
        <v/>
      </c>
      <c r="E2310" s="0" t="str">
        <f aca="false">IF(C2310=0,A2310,"")</f>
        <v/>
      </c>
    </row>
    <row r="2311" customFormat="false" ht="12.8" hidden="false" customHeight="false" outlineLevel="0" collapsed="false">
      <c r="A2311" s="0" t="s">
        <v>3154</v>
      </c>
      <c r="B2311" s="0" t="s">
        <v>3611</v>
      </c>
      <c r="C2311" s="0" t="n">
        <v>0</v>
      </c>
      <c r="D2311" s="0" t="str">
        <f aca="false">IF(C2311=0,B2311,"")</f>
        <v>톌</v>
      </c>
      <c r="E2311" s="0" t="str">
        <f aca="false">IF(C2311=0,A2311,"")</f>
        <v>혤</v>
      </c>
    </row>
    <row r="2312" customFormat="false" ht="12.8" hidden="false" customHeight="false" outlineLevel="0" collapsed="false">
      <c r="A2312" s="0" t="s">
        <v>3155</v>
      </c>
      <c r="B2312" s="0" t="s">
        <v>3612</v>
      </c>
      <c r="C2312" s="0" t="n">
        <v>0</v>
      </c>
      <c r="D2312" s="0" t="str">
        <f aca="false">IF(C2312=0,B2312,"")</f>
        <v>톕</v>
      </c>
      <c r="E2312" s="0" t="str">
        <f aca="false">IF(C2312=0,A2312,"")</f>
        <v>혭</v>
      </c>
    </row>
    <row r="2313" customFormat="false" ht="12.8" hidden="false" customHeight="false" outlineLevel="0" collapsed="false">
      <c r="A2313" s="0" t="s">
        <v>3156</v>
      </c>
      <c r="B2313" s="0" t="s">
        <v>3126</v>
      </c>
      <c r="C2313" s="0" t="n">
        <v>1</v>
      </c>
      <c r="D2313" s="0" t="str">
        <f aca="false">IF(C2313=0,B2313,"")</f>
        <v/>
      </c>
      <c r="E2313" s="0" t="str">
        <f aca="false">IF(C2313=0,A2313,"")</f>
        <v/>
      </c>
    </row>
    <row r="2314" customFormat="false" ht="12.8" hidden="false" customHeight="false" outlineLevel="0" collapsed="false">
      <c r="A2314" s="0" t="s">
        <v>3157</v>
      </c>
      <c r="B2314" s="0" t="s">
        <v>2943</v>
      </c>
      <c r="C2314" s="0" t="n">
        <v>1</v>
      </c>
      <c r="D2314" s="0" t="str">
        <f aca="false">IF(C2314=0,B2314,"")</f>
        <v/>
      </c>
      <c r="E2314" s="0" t="str">
        <f aca="false">IF(C2314=0,A2314,"")</f>
        <v/>
      </c>
    </row>
    <row r="2315" customFormat="false" ht="12.8" hidden="false" customHeight="false" outlineLevel="0" collapsed="false">
      <c r="A2315" s="0" t="s">
        <v>3158</v>
      </c>
      <c r="B2315" s="0" t="s">
        <v>2944</v>
      </c>
      <c r="C2315" s="0" t="n">
        <v>1</v>
      </c>
      <c r="D2315" s="0" t="str">
        <f aca="false">IF(C2315=0,B2315,"")</f>
        <v/>
      </c>
      <c r="E2315" s="0" t="str">
        <f aca="false">IF(C2315=0,A2315,"")</f>
        <v/>
      </c>
    </row>
    <row r="2316" customFormat="false" ht="12.8" hidden="false" customHeight="false" outlineLevel="0" collapsed="false">
      <c r="A2316" s="0" t="s">
        <v>3159</v>
      </c>
      <c r="B2316" s="0" t="s">
        <v>2945</v>
      </c>
      <c r="C2316" s="0" t="n">
        <v>1</v>
      </c>
      <c r="D2316" s="0" t="str">
        <f aca="false">IF(C2316=0,B2316,"")</f>
        <v/>
      </c>
      <c r="E2316" s="0" t="str">
        <f aca="false">IF(C2316=0,A2316,"")</f>
        <v/>
      </c>
    </row>
    <row r="2317" customFormat="false" ht="12.8" hidden="false" customHeight="false" outlineLevel="0" collapsed="false">
      <c r="A2317" s="0" t="s">
        <v>3160</v>
      </c>
      <c r="B2317" s="0" t="s">
        <v>2945</v>
      </c>
      <c r="C2317" s="0" t="n">
        <v>1</v>
      </c>
      <c r="D2317" s="0" t="str">
        <f aca="false">IF(C2317=0,B2317,"")</f>
        <v/>
      </c>
      <c r="E2317" s="0" t="str">
        <f aca="false">IF(C2317=0,A2317,"")</f>
        <v/>
      </c>
    </row>
    <row r="2318" customFormat="false" ht="12.8" hidden="false" customHeight="false" outlineLevel="0" collapsed="false">
      <c r="A2318" s="0" t="s">
        <v>3161</v>
      </c>
      <c r="B2318" s="0" t="s">
        <v>2946</v>
      </c>
      <c r="C2318" s="0" t="n">
        <v>1</v>
      </c>
      <c r="D2318" s="0" t="str">
        <f aca="false">IF(C2318=0,B2318,"")</f>
        <v/>
      </c>
      <c r="E2318" s="0" t="str">
        <f aca="false">IF(C2318=0,A2318,"")</f>
        <v/>
      </c>
    </row>
    <row r="2319" customFormat="false" ht="12.8" hidden="false" customHeight="false" outlineLevel="0" collapsed="false">
      <c r="A2319" s="0" t="s">
        <v>3162</v>
      </c>
      <c r="B2319" s="0" t="s">
        <v>2947</v>
      </c>
      <c r="C2319" s="0" t="n">
        <v>1</v>
      </c>
      <c r="D2319" s="0" t="str">
        <f aca="false">IF(C2319=0,B2319,"")</f>
        <v/>
      </c>
      <c r="E2319" s="0" t="str">
        <f aca="false">IF(C2319=0,A2319,"")</f>
        <v/>
      </c>
    </row>
    <row r="2320" customFormat="false" ht="12.8" hidden="false" customHeight="false" outlineLevel="0" collapsed="false">
      <c r="A2320" s="0" t="s">
        <v>3163</v>
      </c>
      <c r="B2320" s="0" t="s">
        <v>2948</v>
      </c>
      <c r="C2320" s="0" t="n">
        <v>1</v>
      </c>
      <c r="D2320" s="0" t="str">
        <f aca="false">IF(C2320=0,B2320,"")</f>
        <v/>
      </c>
      <c r="E2320" s="0" t="str">
        <f aca="false">IF(C2320=0,A2320,"")</f>
        <v/>
      </c>
    </row>
    <row r="2321" customFormat="false" ht="12.8" hidden="false" customHeight="false" outlineLevel="0" collapsed="false">
      <c r="A2321" s="0" t="s">
        <v>3164</v>
      </c>
      <c r="B2321" s="0" t="s">
        <v>2949</v>
      </c>
      <c r="C2321" s="0" t="n">
        <v>1</v>
      </c>
      <c r="D2321" s="0" t="str">
        <f aca="false">IF(C2321=0,B2321,"")</f>
        <v/>
      </c>
      <c r="E2321" s="0" t="str">
        <f aca="false">IF(C2321=0,A2321,"")</f>
        <v/>
      </c>
    </row>
    <row r="2322" customFormat="false" ht="12.8" hidden="false" customHeight="false" outlineLevel="0" collapsed="false">
      <c r="A2322" s="0" t="s">
        <v>3165</v>
      </c>
      <c r="B2322" s="0" t="s">
        <v>2948</v>
      </c>
      <c r="C2322" s="0" t="n">
        <v>1</v>
      </c>
      <c r="D2322" s="0" t="str">
        <f aca="false">IF(C2322=0,B2322,"")</f>
        <v/>
      </c>
      <c r="E2322" s="0" t="str">
        <f aca="false">IF(C2322=0,A2322,"")</f>
        <v/>
      </c>
    </row>
    <row r="2323" customFormat="false" ht="12.8" hidden="false" customHeight="false" outlineLevel="0" collapsed="false">
      <c r="A2323" s="0" t="s">
        <v>3166</v>
      </c>
      <c r="B2323" s="0" t="s">
        <v>3152</v>
      </c>
      <c r="C2323" s="0" t="n">
        <v>1</v>
      </c>
      <c r="D2323" s="0" t="str">
        <f aca="false">IF(C2323=0,B2323,"")</f>
        <v/>
      </c>
      <c r="E2323" s="0" t="str">
        <f aca="false">IF(C2323=0,A2323,"")</f>
        <v/>
      </c>
    </row>
    <row r="2324" customFormat="false" ht="12.8" hidden="false" customHeight="false" outlineLevel="0" collapsed="false">
      <c r="A2324" s="0" t="s">
        <v>3167</v>
      </c>
      <c r="B2324" s="0" t="s">
        <v>3613</v>
      </c>
      <c r="C2324" s="0" t="n">
        <v>0</v>
      </c>
      <c r="D2324" s="0" t="str">
        <f aca="false">IF(C2324=0,B2324,"")</f>
        <v>톽</v>
      </c>
      <c r="E2324" s="0" t="str">
        <f aca="false">IF(C2324=0,A2324,"")</f>
        <v>확</v>
      </c>
    </row>
    <row r="2325" customFormat="false" ht="12.8" hidden="false" customHeight="false" outlineLevel="0" collapsed="false">
      <c r="A2325" s="0" t="s">
        <v>3168</v>
      </c>
      <c r="B2325" s="0" t="s">
        <v>2952</v>
      </c>
      <c r="C2325" s="0" t="n">
        <v>1</v>
      </c>
      <c r="D2325" s="0" t="str">
        <f aca="false">IF(C2325=0,B2325,"")</f>
        <v/>
      </c>
      <c r="E2325" s="0" t="str">
        <f aca="false">IF(C2325=0,A2325,"")</f>
        <v/>
      </c>
    </row>
    <row r="2326" customFormat="false" ht="12.8" hidden="false" customHeight="false" outlineLevel="0" collapsed="false">
      <c r="A2326" s="0" t="s">
        <v>3169</v>
      </c>
      <c r="B2326" s="0" t="s">
        <v>3614</v>
      </c>
      <c r="C2326" s="0" t="n">
        <v>0</v>
      </c>
      <c r="D2326" s="0" t="str">
        <f aca="false">IF(C2326=0,B2326,"")</f>
        <v>퇄</v>
      </c>
      <c r="E2326" s="0" t="str">
        <f aca="false">IF(C2326=0,A2326,"")</f>
        <v>활</v>
      </c>
    </row>
    <row r="2327" customFormat="false" ht="12.8" hidden="false" customHeight="false" outlineLevel="0" collapsed="false">
      <c r="A2327" s="0" t="s">
        <v>3170</v>
      </c>
      <c r="B2327" s="0" t="s">
        <v>3615</v>
      </c>
      <c r="C2327" s="0" t="n">
        <v>0</v>
      </c>
      <c r="D2327" s="0" t="str">
        <f aca="false">IF(C2327=0,B2327,"")</f>
        <v>퇏</v>
      </c>
      <c r="E2327" s="0" t="str">
        <f aca="false">IF(C2327=0,A2327,"")</f>
        <v>홧</v>
      </c>
    </row>
    <row r="2328" customFormat="false" ht="12.8" hidden="false" customHeight="false" outlineLevel="0" collapsed="false">
      <c r="A2328" s="0" t="s">
        <v>3171</v>
      </c>
      <c r="B2328" s="0" t="s">
        <v>3616</v>
      </c>
      <c r="C2328" s="0" t="n">
        <v>0</v>
      </c>
      <c r="D2328" s="0" t="str">
        <f aca="false">IF(C2328=0,B2328,"")</f>
        <v>퇑</v>
      </c>
      <c r="E2328" s="0" t="str">
        <f aca="false">IF(C2328=0,A2328,"")</f>
        <v>황</v>
      </c>
    </row>
    <row r="2329" customFormat="false" ht="12.8" hidden="false" customHeight="false" outlineLevel="0" collapsed="false">
      <c r="A2329" s="0" t="s">
        <v>3172</v>
      </c>
      <c r="B2329" s="0" t="s">
        <v>3617</v>
      </c>
      <c r="C2329" s="0" t="n">
        <v>0</v>
      </c>
      <c r="D2329" s="0" t="str">
        <f aca="false">IF(C2329=0,B2329,"")</f>
        <v>햬</v>
      </c>
      <c r="E2329" s="0" t="str">
        <f aca="false">IF(C2329=0,A2329,"")</f>
        <v>홰</v>
      </c>
    </row>
    <row r="2330" customFormat="false" ht="12.8" hidden="false" customHeight="false" outlineLevel="0" collapsed="false">
      <c r="A2330" s="0" t="s">
        <v>3173</v>
      </c>
      <c r="B2330" s="0" t="s">
        <v>3618</v>
      </c>
      <c r="C2330" s="0" t="n">
        <v>0</v>
      </c>
      <c r="D2330" s="0" t="str">
        <f aca="false">IF(C2330=0,B2330,"")</f>
        <v>퇙</v>
      </c>
      <c r="E2330" s="0" t="str">
        <f aca="false">IF(C2330=0,A2330,"")</f>
        <v>홱</v>
      </c>
    </row>
    <row r="2331" customFormat="false" ht="12.8" hidden="false" customHeight="false" outlineLevel="0" collapsed="false">
      <c r="A2331" s="0" t="s">
        <v>3174</v>
      </c>
      <c r="B2331" s="0" t="s">
        <v>3619</v>
      </c>
      <c r="C2331" s="0" t="n">
        <v>0</v>
      </c>
      <c r="D2331" s="0" t="str">
        <f aca="false">IF(C2331=0,B2331,"")</f>
        <v>퇜</v>
      </c>
      <c r="E2331" s="0" t="str">
        <f aca="false">IF(C2331=0,A2331,"")</f>
        <v>홴</v>
      </c>
    </row>
    <row r="2332" customFormat="false" ht="12.8" hidden="false" customHeight="false" outlineLevel="0" collapsed="false">
      <c r="A2332" s="0" t="s">
        <v>3175</v>
      </c>
      <c r="B2332" s="0" t="s">
        <v>3620</v>
      </c>
      <c r="C2332" s="0" t="n">
        <v>0</v>
      </c>
      <c r="D2332" s="0" t="str">
        <f aca="false">IF(C2332=0,B2332,"")</f>
        <v>퇫</v>
      </c>
      <c r="E2332" s="0" t="str">
        <f aca="false">IF(C2332=0,A2332,"")</f>
        <v>횃</v>
      </c>
    </row>
    <row r="2333" customFormat="false" ht="12.8" hidden="false" customHeight="false" outlineLevel="0" collapsed="false">
      <c r="A2333" s="0" t="s">
        <v>3176</v>
      </c>
      <c r="B2333" s="0" t="s">
        <v>3621</v>
      </c>
      <c r="C2333" s="0" t="n">
        <v>0</v>
      </c>
      <c r="D2333" s="0" t="str">
        <f aca="false">IF(C2333=0,B2333,"")</f>
        <v>퇭</v>
      </c>
      <c r="E2333" s="0" t="str">
        <f aca="false">IF(C2333=0,A2333,"")</f>
        <v>횅</v>
      </c>
    </row>
    <row r="2334" customFormat="false" ht="12.8" hidden="false" customHeight="false" outlineLevel="0" collapsed="false">
      <c r="A2334" s="0" t="s">
        <v>3177</v>
      </c>
      <c r="B2334" s="0" t="s">
        <v>3197</v>
      </c>
      <c r="C2334" s="0" t="n">
        <v>1</v>
      </c>
      <c r="D2334" s="0" t="str">
        <f aca="false">IF(C2334=0,B2334,"")</f>
        <v/>
      </c>
      <c r="E2334" s="0" t="str">
        <f aca="false">IF(C2334=0,A2334,"")</f>
        <v/>
      </c>
    </row>
    <row r="2335" customFormat="false" ht="12.8" hidden="false" customHeight="false" outlineLevel="0" collapsed="false">
      <c r="A2335" s="0" t="s">
        <v>3178</v>
      </c>
      <c r="B2335" s="0" t="s">
        <v>3622</v>
      </c>
      <c r="C2335" s="0" t="n">
        <v>0</v>
      </c>
      <c r="D2335" s="0" t="str">
        <f aca="false">IF(C2335=0,B2335,"")</f>
        <v>퇵</v>
      </c>
      <c r="E2335" s="0" t="str">
        <f aca="false">IF(C2335=0,A2335,"")</f>
        <v>획</v>
      </c>
    </row>
    <row r="2336" customFormat="false" ht="12.8" hidden="false" customHeight="false" outlineLevel="0" collapsed="false">
      <c r="A2336" s="0" t="s">
        <v>3179</v>
      </c>
      <c r="B2336" s="0" t="s">
        <v>2955</v>
      </c>
      <c r="C2336" s="0" t="n">
        <v>1</v>
      </c>
      <c r="D2336" s="0" t="str">
        <f aca="false">IF(C2336=0,B2336,"")</f>
        <v/>
      </c>
      <c r="E2336" s="0" t="str">
        <f aca="false">IF(C2336=0,A2336,"")</f>
        <v/>
      </c>
    </row>
    <row r="2337" customFormat="false" ht="12.8" hidden="false" customHeight="false" outlineLevel="0" collapsed="false">
      <c r="A2337" s="0" t="s">
        <v>3180</v>
      </c>
      <c r="B2337" s="0" t="s">
        <v>3623</v>
      </c>
      <c r="C2337" s="0" t="n">
        <v>0</v>
      </c>
      <c r="D2337" s="0" t="str">
        <f aca="false">IF(C2337=0,B2337,"")</f>
        <v>퇼</v>
      </c>
      <c r="E2337" s="0" t="str">
        <f aca="false">IF(C2337=0,A2337,"")</f>
        <v>횔</v>
      </c>
    </row>
    <row r="2338" customFormat="false" ht="12.8" hidden="false" customHeight="false" outlineLevel="0" collapsed="false">
      <c r="A2338" s="0" t="s">
        <v>3181</v>
      </c>
      <c r="B2338" s="0" t="s">
        <v>3624</v>
      </c>
      <c r="C2338" s="0" t="n">
        <v>0</v>
      </c>
      <c r="D2338" s="0" t="str">
        <f aca="false">IF(C2338=0,B2338,"")</f>
        <v>툅</v>
      </c>
      <c r="E2338" s="0" t="str">
        <f aca="false">IF(C2338=0,A2338,"")</f>
        <v>횝</v>
      </c>
    </row>
    <row r="2339" customFormat="false" ht="12.8" hidden="false" customHeight="false" outlineLevel="0" collapsed="false">
      <c r="A2339" s="0" t="s">
        <v>3182</v>
      </c>
      <c r="B2339" s="0" t="s">
        <v>2956</v>
      </c>
      <c r="C2339" s="0" t="n">
        <v>1</v>
      </c>
      <c r="D2339" s="0" t="str">
        <f aca="false">IF(C2339=0,B2339,"")</f>
        <v/>
      </c>
      <c r="E2339" s="0" t="str">
        <f aca="false">IF(C2339=0,A2339,"")</f>
        <v/>
      </c>
    </row>
    <row r="2340" customFormat="false" ht="12.8" hidden="false" customHeight="false" outlineLevel="0" collapsed="false">
      <c r="A2340" s="0" t="s">
        <v>3183</v>
      </c>
      <c r="B2340" s="0" t="s">
        <v>2957</v>
      </c>
      <c r="C2340" s="0" t="n">
        <v>1</v>
      </c>
      <c r="D2340" s="0" t="str">
        <f aca="false">IF(C2340=0,B2340,"")</f>
        <v/>
      </c>
      <c r="E2340" s="0" t="str">
        <f aca="false">IF(C2340=0,A2340,"")</f>
        <v/>
      </c>
    </row>
    <row r="2341" customFormat="false" ht="12.8" hidden="false" customHeight="false" outlineLevel="0" collapsed="false">
      <c r="A2341" s="0" t="s">
        <v>3184</v>
      </c>
      <c r="B2341" s="0" t="s">
        <v>3143</v>
      </c>
      <c r="C2341" s="0" t="n">
        <v>1</v>
      </c>
      <c r="D2341" s="0" t="str">
        <f aca="false">IF(C2341=0,B2341,"")</f>
        <v/>
      </c>
      <c r="E2341" s="0" t="str">
        <f aca="false">IF(C2341=0,A2341,"")</f>
        <v/>
      </c>
    </row>
    <row r="2342" customFormat="false" ht="12.8" hidden="false" customHeight="false" outlineLevel="0" collapsed="false">
      <c r="A2342" s="0" t="s">
        <v>3185</v>
      </c>
      <c r="B2342" s="0" t="s">
        <v>3625</v>
      </c>
      <c r="C2342" s="0" t="n">
        <v>0</v>
      </c>
      <c r="D2342" s="0" t="str">
        <f aca="false">IF(C2342=0,B2342,"")</f>
        <v>툔</v>
      </c>
      <c r="E2342" s="0" t="str">
        <f aca="false">IF(C2342=0,A2342,"")</f>
        <v>횬</v>
      </c>
    </row>
    <row r="2343" customFormat="false" ht="12.8" hidden="false" customHeight="false" outlineLevel="0" collapsed="false">
      <c r="A2343" s="0" t="s">
        <v>3186</v>
      </c>
      <c r="B2343" s="0" t="s">
        <v>3626</v>
      </c>
      <c r="C2343" s="0" t="n">
        <v>0</v>
      </c>
      <c r="D2343" s="0" t="str">
        <f aca="false">IF(C2343=0,B2343,"")</f>
        <v>툘</v>
      </c>
      <c r="E2343" s="0" t="str">
        <f aca="false">IF(C2343=0,A2343,"")</f>
        <v>횰</v>
      </c>
    </row>
    <row r="2344" customFormat="false" ht="12.8" hidden="false" customHeight="false" outlineLevel="0" collapsed="false">
      <c r="A2344" s="0" t="s">
        <v>3187</v>
      </c>
      <c r="B2344" s="0" t="s">
        <v>3627</v>
      </c>
      <c r="C2344" s="0" t="n">
        <v>0</v>
      </c>
      <c r="D2344" s="0" t="str">
        <f aca="false">IF(C2344=0,B2344,"")</f>
        <v>툡</v>
      </c>
      <c r="E2344" s="0" t="str">
        <f aca="false">IF(C2344=0,A2344,"")</f>
        <v>횹</v>
      </c>
    </row>
    <row r="2345" customFormat="false" ht="12.8" hidden="false" customHeight="false" outlineLevel="0" collapsed="false">
      <c r="A2345" s="0" t="s">
        <v>3188</v>
      </c>
      <c r="B2345" s="0" t="s">
        <v>3628</v>
      </c>
      <c r="C2345" s="0" t="n">
        <v>0</v>
      </c>
      <c r="D2345" s="0" t="str">
        <f aca="false">IF(C2345=0,B2345,"")</f>
        <v>툣</v>
      </c>
      <c r="E2345" s="0" t="str">
        <f aca="false">IF(C2345=0,A2345,"")</f>
        <v>횻</v>
      </c>
    </row>
    <row r="2346" customFormat="false" ht="12.8" hidden="false" customHeight="false" outlineLevel="0" collapsed="false">
      <c r="A2346" s="0" t="s">
        <v>3189</v>
      </c>
      <c r="B2346" s="0" t="s">
        <v>3135</v>
      </c>
      <c r="C2346" s="0" t="n">
        <v>1</v>
      </c>
      <c r="D2346" s="0" t="str">
        <f aca="false">IF(C2346=0,B2346,"")</f>
        <v/>
      </c>
      <c r="E2346" s="0" t="str">
        <f aca="false">IF(C2346=0,A2346,"")</f>
        <v/>
      </c>
    </row>
    <row r="2347" customFormat="false" ht="12.8" hidden="false" customHeight="false" outlineLevel="0" collapsed="false">
      <c r="A2347" s="0" t="s">
        <v>3190</v>
      </c>
      <c r="B2347" s="0" t="s">
        <v>2959</v>
      </c>
      <c r="C2347" s="0" t="n">
        <v>1</v>
      </c>
      <c r="D2347" s="0" t="str">
        <f aca="false">IF(C2347=0,B2347,"")</f>
        <v/>
      </c>
      <c r="E2347" s="0" t="str">
        <f aca="false">IF(C2347=0,A2347,"")</f>
        <v/>
      </c>
    </row>
    <row r="2348" customFormat="false" ht="12.8" hidden="false" customHeight="false" outlineLevel="0" collapsed="false">
      <c r="A2348" s="0" t="s">
        <v>3191</v>
      </c>
      <c r="B2348" s="0" t="s">
        <v>2960</v>
      </c>
      <c r="C2348" s="0" t="n">
        <v>1</v>
      </c>
      <c r="D2348" s="0" t="str">
        <f aca="false">IF(C2348=0,B2348,"")</f>
        <v/>
      </c>
      <c r="E2348" s="0" t="str">
        <f aca="false">IF(C2348=0,A2348,"")</f>
        <v/>
      </c>
    </row>
    <row r="2349" customFormat="false" ht="12.8" hidden="false" customHeight="false" outlineLevel="0" collapsed="false">
      <c r="A2349" s="0" t="s">
        <v>3192</v>
      </c>
      <c r="B2349" s="0" t="s">
        <v>2961</v>
      </c>
      <c r="C2349" s="0" t="n">
        <v>1</v>
      </c>
      <c r="D2349" s="0" t="str">
        <f aca="false">IF(C2349=0,B2349,"")</f>
        <v/>
      </c>
      <c r="E2349" s="0" t="str">
        <f aca="false">IF(C2349=0,A2349,"")</f>
        <v/>
      </c>
    </row>
    <row r="2350" customFormat="false" ht="12.8" hidden="false" customHeight="false" outlineLevel="0" collapsed="false">
      <c r="A2350" s="0" t="s">
        <v>3193</v>
      </c>
      <c r="B2350" s="0" t="s">
        <v>2961</v>
      </c>
      <c r="C2350" s="0" t="n">
        <v>1</v>
      </c>
      <c r="D2350" s="0" t="str">
        <f aca="false">IF(C2350=0,B2350,"")</f>
        <v/>
      </c>
      <c r="E2350" s="0" t="str">
        <f aca="false">IF(C2350=0,A2350,"")</f>
        <v/>
      </c>
    </row>
    <row r="2351" customFormat="false" ht="12.8" hidden="false" customHeight="false" outlineLevel="0" collapsed="false">
      <c r="A2351" s="0" t="s">
        <v>3194</v>
      </c>
      <c r="B2351" s="0" t="s">
        <v>2962</v>
      </c>
      <c r="C2351" s="0" t="n">
        <v>1</v>
      </c>
      <c r="D2351" s="0" t="str">
        <f aca="false">IF(C2351=0,B2351,"")</f>
        <v/>
      </c>
      <c r="E2351" s="0" t="str">
        <f aca="false">IF(C2351=0,A2351,"")</f>
        <v/>
      </c>
    </row>
    <row r="2352" customFormat="false" ht="12.8" hidden="false" customHeight="false" outlineLevel="0" collapsed="false">
      <c r="A2352" s="0" t="s">
        <v>3195</v>
      </c>
      <c r="B2352" s="0" t="s">
        <v>2964</v>
      </c>
      <c r="C2352" s="0" t="n">
        <v>1</v>
      </c>
      <c r="D2352" s="0" t="str">
        <f aca="false">IF(C2352=0,B2352,"")</f>
        <v/>
      </c>
      <c r="E2352" s="0" t="str">
        <f aca="false">IF(C2352=0,A2352,"")</f>
        <v/>
      </c>
    </row>
    <row r="2353" customFormat="false" ht="12.8" hidden="false" customHeight="false" outlineLevel="0" collapsed="false">
      <c r="A2353" s="0" t="s">
        <v>3196</v>
      </c>
      <c r="B2353" s="0" t="s">
        <v>2965</v>
      </c>
      <c r="C2353" s="0" t="n">
        <v>1</v>
      </c>
      <c r="D2353" s="0" t="str">
        <f aca="false">IF(C2353=0,B2353,"")</f>
        <v/>
      </c>
      <c r="E2353" s="0" t="str">
        <f aca="false">IF(C2353=0,A2353,"")</f>
        <v/>
      </c>
    </row>
    <row r="2354" customFormat="false" ht="12.8" hidden="false" customHeight="false" outlineLevel="0" collapsed="false">
      <c r="A2354" s="0" t="s">
        <v>3197</v>
      </c>
      <c r="B2354" s="0" t="s">
        <v>3166</v>
      </c>
      <c r="C2354" s="0" t="n">
        <v>1</v>
      </c>
      <c r="D2354" s="0" t="str">
        <f aca="false">IF(C2354=0,B2354,"")</f>
        <v/>
      </c>
      <c r="E2354" s="0" t="str">
        <f aca="false">IF(C2354=0,A2354,"")</f>
        <v/>
      </c>
    </row>
    <row r="2355" customFormat="false" ht="12.8" hidden="false" customHeight="false" outlineLevel="0" collapsed="false">
      <c r="A2355" s="0" t="s">
        <v>3198</v>
      </c>
      <c r="B2355" s="0" t="s">
        <v>3629</v>
      </c>
      <c r="C2355" s="0" t="n">
        <v>0</v>
      </c>
      <c r="D2355" s="0" t="str">
        <f aca="false">IF(C2355=0,B2355,"")</f>
        <v>퉌</v>
      </c>
      <c r="E2355" s="0" t="str">
        <f aca="false">IF(C2355=0,A2355,"")</f>
        <v>훤</v>
      </c>
    </row>
    <row r="2356" customFormat="false" ht="12.8" hidden="false" customHeight="false" outlineLevel="0" collapsed="false">
      <c r="A2356" s="0" t="s">
        <v>3199</v>
      </c>
      <c r="B2356" s="0" t="s">
        <v>3630</v>
      </c>
      <c r="C2356" s="0" t="n">
        <v>0</v>
      </c>
      <c r="D2356" s="0" t="str">
        <f aca="false">IF(C2356=0,B2356,"")</f>
        <v>퉐</v>
      </c>
      <c r="E2356" s="0" t="str">
        <f aca="false">IF(C2356=0,A2356,"")</f>
        <v>훨</v>
      </c>
    </row>
    <row r="2357" customFormat="false" ht="12.8" hidden="false" customHeight="false" outlineLevel="0" collapsed="false">
      <c r="A2357" s="0" t="s">
        <v>3200</v>
      </c>
      <c r="B2357" s="0" t="s">
        <v>3631</v>
      </c>
      <c r="C2357" s="0" t="n">
        <v>0</v>
      </c>
      <c r="D2357" s="0" t="str">
        <f aca="false">IF(C2357=0,B2357,"")</f>
        <v>퉘</v>
      </c>
      <c r="E2357" s="0" t="str">
        <f aca="false">IF(C2357=0,A2357,"")</f>
        <v>훰</v>
      </c>
    </row>
    <row r="2358" customFormat="false" ht="12.8" hidden="false" customHeight="false" outlineLevel="0" collapsed="false">
      <c r="A2358" s="0" t="s">
        <v>3201</v>
      </c>
      <c r="B2358" s="0" t="s">
        <v>3632</v>
      </c>
      <c r="C2358" s="0" t="n">
        <v>0</v>
      </c>
      <c r="D2358" s="0" t="str">
        <f aca="false">IF(C2358=0,B2358,"")</f>
        <v>퉝</v>
      </c>
      <c r="E2358" s="0" t="str">
        <f aca="false">IF(C2358=0,A2358,"")</f>
        <v>훵</v>
      </c>
    </row>
    <row r="2359" customFormat="false" ht="12.8" hidden="false" customHeight="false" outlineLevel="0" collapsed="false">
      <c r="A2359" s="0" t="s">
        <v>3202</v>
      </c>
      <c r="B2359" s="0" t="s">
        <v>3172</v>
      </c>
      <c r="C2359" s="0" t="n">
        <v>1</v>
      </c>
      <c r="D2359" s="0" t="str">
        <f aca="false">IF(C2359=0,B2359,"")</f>
        <v/>
      </c>
      <c r="E2359" s="0" t="str">
        <f aca="false">IF(C2359=0,A2359,"")</f>
        <v/>
      </c>
    </row>
    <row r="2360" customFormat="false" ht="12.8" hidden="false" customHeight="false" outlineLevel="0" collapsed="false">
      <c r="A2360" s="0" t="s">
        <v>3203</v>
      </c>
      <c r="B2360" s="0" t="s">
        <v>3633</v>
      </c>
      <c r="C2360" s="0" t="n">
        <v>0</v>
      </c>
      <c r="D2360" s="0" t="str">
        <f aca="false">IF(C2360=0,B2360,"")</f>
        <v>퉥</v>
      </c>
      <c r="E2360" s="0" t="str">
        <f aca="false">IF(C2360=0,A2360,"")</f>
        <v>훽</v>
      </c>
    </row>
    <row r="2361" customFormat="false" ht="12.8" hidden="false" customHeight="false" outlineLevel="0" collapsed="false">
      <c r="A2361" s="0" t="s">
        <v>3204</v>
      </c>
      <c r="B2361" s="0" t="s">
        <v>3634</v>
      </c>
      <c r="C2361" s="0" t="n">
        <v>0</v>
      </c>
      <c r="D2361" s="0" t="str">
        <f aca="false">IF(C2361=0,B2361,"")</f>
        <v>퉨</v>
      </c>
      <c r="E2361" s="0" t="str">
        <f aca="false">IF(C2361=0,A2361,"")</f>
        <v>휀</v>
      </c>
    </row>
    <row r="2362" customFormat="false" ht="12.8" hidden="false" customHeight="false" outlineLevel="0" collapsed="false">
      <c r="A2362" s="0" t="s">
        <v>3205</v>
      </c>
      <c r="B2362" s="0" t="s">
        <v>3635</v>
      </c>
      <c r="C2362" s="0" t="n">
        <v>0</v>
      </c>
      <c r="D2362" s="0" t="str">
        <f aca="false">IF(C2362=0,B2362,"")</f>
        <v>퉬</v>
      </c>
      <c r="E2362" s="0" t="str">
        <f aca="false">IF(C2362=0,A2362,"")</f>
        <v>휄</v>
      </c>
    </row>
    <row r="2363" customFormat="false" ht="12.8" hidden="false" customHeight="false" outlineLevel="0" collapsed="false">
      <c r="A2363" s="0" t="s">
        <v>3206</v>
      </c>
      <c r="B2363" s="0" t="s">
        <v>3636</v>
      </c>
      <c r="C2363" s="0" t="n">
        <v>0</v>
      </c>
      <c r="D2363" s="0" t="str">
        <f aca="false">IF(C2363=0,B2363,"")</f>
        <v>퉹</v>
      </c>
      <c r="E2363" s="0" t="str">
        <f aca="false">IF(C2363=0,A2363,"")</f>
        <v>휑</v>
      </c>
    </row>
    <row r="2364" customFormat="false" ht="12.8" hidden="false" customHeight="false" outlineLevel="0" collapsed="false">
      <c r="A2364" s="0" t="s">
        <v>3207</v>
      </c>
      <c r="B2364" s="0" t="s">
        <v>3202</v>
      </c>
      <c r="C2364" s="0" t="n">
        <v>1</v>
      </c>
      <c r="D2364" s="0" t="str">
        <f aca="false">IF(C2364=0,B2364,"")</f>
        <v/>
      </c>
      <c r="E2364" s="0" t="str">
        <f aca="false">IF(C2364=0,A2364,"")</f>
        <v/>
      </c>
    </row>
    <row r="2365" customFormat="false" ht="12.8" hidden="false" customHeight="false" outlineLevel="0" collapsed="false">
      <c r="A2365" s="0" t="s">
        <v>3208</v>
      </c>
      <c r="B2365" s="0" t="s">
        <v>2970</v>
      </c>
      <c r="C2365" s="0" t="n">
        <v>1</v>
      </c>
      <c r="D2365" s="0" t="str">
        <f aca="false">IF(C2365=0,B2365,"")</f>
        <v/>
      </c>
      <c r="E2365" s="0" t="str">
        <f aca="false">IF(C2365=0,A2365,"")</f>
        <v/>
      </c>
    </row>
    <row r="2366" customFormat="false" ht="12.8" hidden="false" customHeight="false" outlineLevel="0" collapsed="false">
      <c r="A2366" s="0" t="s">
        <v>3209</v>
      </c>
      <c r="B2366" s="0" t="s">
        <v>2971</v>
      </c>
      <c r="C2366" s="0" t="n">
        <v>1</v>
      </c>
      <c r="D2366" s="0" t="str">
        <f aca="false">IF(C2366=0,B2366,"")</f>
        <v/>
      </c>
      <c r="E2366" s="0" t="str">
        <f aca="false">IF(C2366=0,A2366,"")</f>
        <v/>
      </c>
    </row>
    <row r="2367" customFormat="false" ht="12.8" hidden="false" customHeight="false" outlineLevel="0" collapsed="false">
      <c r="A2367" s="0" t="s">
        <v>3210</v>
      </c>
      <c r="B2367" s="0" t="s">
        <v>2972</v>
      </c>
      <c r="C2367" s="0" t="n">
        <v>1</v>
      </c>
      <c r="D2367" s="0" t="str">
        <f aca="false">IF(C2367=0,B2367,"")</f>
        <v/>
      </c>
      <c r="E2367" s="0" t="str">
        <f aca="false">IF(C2367=0,A2367,"")</f>
        <v/>
      </c>
    </row>
    <row r="2368" customFormat="false" ht="12.8" hidden="false" customHeight="false" outlineLevel="0" collapsed="false">
      <c r="A2368" s="0" t="s">
        <v>3211</v>
      </c>
      <c r="B2368" s="0" t="s">
        <v>2973</v>
      </c>
      <c r="C2368" s="0" t="n">
        <v>1</v>
      </c>
      <c r="D2368" s="0" t="str">
        <f aca="false">IF(C2368=0,B2368,"")</f>
        <v/>
      </c>
      <c r="E2368" s="0" t="str">
        <f aca="false">IF(C2368=0,A2368,"")</f>
        <v/>
      </c>
    </row>
    <row r="2369" customFormat="false" ht="12.8" hidden="false" customHeight="false" outlineLevel="0" collapsed="false">
      <c r="A2369" s="0" t="s">
        <v>3212</v>
      </c>
      <c r="B2369" s="0" t="s">
        <v>2974</v>
      </c>
      <c r="C2369" s="0" t="n">
        <v>1</v>
      </c>
      <c r="D2369" s="0" t="str">
        <f aca="false">IF(C2369=0,B2369,"")</f>
        <v/>
      </c>
      <c r="E2369" s="0" t="str">
        <f aca="false">IF(C2369=0,A2369,"")</f>
        <v/>
      </c>
    </row>
    <row r="2370" customFormat="false" ht="12.8" hidden="false" customHeight="false" outlineLevel="0" collapsed="false">
      <c r="A2370" s="0" t="s">
        <v>3213</v>
      </c>
      <c r="B2370" s="0" t="s">
        <v>3637</v>
      </c>
      <c r="C2370" s="0" t="n">
        <v>0</v>
      </c>
      <c r="D2370" s="0" t="str">
        <f aca="false">IF(C2370=0,B2370,"")</f>
        <v>튓</v>
      </c>
      <c r="E2370" s="0" t="str">
        <f aca="false">IF(C2370=0,A2370,"")</f>
        <v>휫</v>
      </c>
    </row>
    <row r="2371" customFormat="false" ht="12.8" hidden="false" customHeight="false" outlineLevel="0" collapsed="false">
      <c r="A2371" s="0" t="s">
        <v>3214</v>
      </c>
      <c r="B2371" s="0" t="s">
        <v>2975</v>
      </c>
      <c r="C2371" s="0" t="n">
        <v>1</v>
      </c>
      <c r="D2371" s="0" t="str">
        <f aca="false">IF(C2371=0,B2371,"")</f>
        <v/>
      </c>
      <c r="E2371" s="0" t="str">
        <f aca="false">IF(C2371=0,A2371,"")</f>
        <v/>
      </c>
    </row>
    <row r="2372" customFormat="false" ht="12.8" hidden="false" customHeight="false" outlineLevel="0" collapsed="false">
      <c r="A2372" s="0" t="s">
        <v>3215</v>
      </c>
      <c r="B2372" s="0" t="s">
        <v>3115</v>
      </c>
      <c r="C2372" s="0" t="n">
        <v>1</v>
      </c>
      <c r="D2372" s="0" t="str">
        <f aca="false">IF(C2372=0,B2372,"")</f>
        <v/>
      </c>
      <c r="E2372" s="0" t="str">
        <f aca="false">IF(C2372=0,A2372,"")</f>
        <v/>
      </c>
    </row>
    <row r="2373" customFormat="false" ht="12.8" hidden="false" customHeight="false" outlineLevel="0" collapsed="false">
      <c r="A2373" s="0" t="s">
        <v>3216</v>
      </c>
      <c r="B2373" s="0" t="s">
        <v>3638</v>
      </c>
      <c r="C2373" s="0" t="n">
        <v>0</v>
      </c>
      <c r="D2373" s="0" t="str">
        <f aca="false">IF(C2373=0,B2373,"")</f>
        <v>튝</v>
      </c>
      <c r="E2373" s="0" t="str">
        <f aca="false">IF(C2373=0,A2373,"")</f>
        <v>휵</v>
      </c>
    </row>
    <row r="2374" customFormat="false" ht="12.8" hidden="false" customHeight="false" outlineLevel="0" collapsed="false">
      <c r="A2374" s="0" t="s">
        <v>3217</v>
      </c>
      <c r="B2374" s="0" t="s">
        <v>2977</v>
      </c>
      <c r="C2374" s="0" t="n">
        <v>1</v>
      </c>
      <c r="D2374" s="0" t="str">
        <f aca="false">IF(C2374=0,B2374,"")</f>
        <v/>
      </c>
      <c r="E2374" s="0" t="str">
        <f aca="false">IF(C2374=0,A2374,"")</f>
        <v/>
      </c>
    </row>
    <row r="2375" customFormat="false" ht="12.8" hidden="false" customHeight="false" outlineLevel="0" collapsed="false">
      <c r="A2375" s="0" t="s">
        <v>3218</v>
      </c>
      <c r="B2375" s="0" t="s">
        <v>2978</v>
      </c>
      <c r="C2375" s="0" t="n">
        <v>1</v>
      </c>
      <c r="D2375" s="0" t="str">
        <f aca="false">IF(C2375=0,B2375,"")</f>
        <v/>
      </c>
      <c r="E2375" s="0" t="str">
        <f aca="false">IF(C2375=0,A2375,"")</f>
        <v/>
      </c>
    </row>
    <row r="2376" customFormat="false" ht="12.8" hidden="false" customHeight="false" outlineLevel="0" collapsed="false">
      <c r="A2376" s="0" t="s">
        <v>3219</v>
      </c>
      <c r="B2376" s="0" t="s">
        <v>2979</v>
      </c>
      <c r="C2376" s="0" t="n">
        <v>1</v>
      </c>
      <c r="D2376" s="0" t="str">
        <f aca="false">IF(C2376=0,B2376,"")</f>
        <v/>
      </c>
      <c r="E2376" s="0" t="str">
        <f aca="false">IF(C2376=0,A2376,"")</f>
        <v/>
      </c>
    </row>
    <row r="2377" customFormat="false" ht="12.8" hidden="false" customHeight="false" outlineLevel="0" collapsed="false">
      <c r="A2377" s="0" t="s">
        <v>3220</v>
      </c>
      <c r="B2377" s="0" t="s">
        <v>3639</v>
      </c>
      <c r="C2377" s="0" t="n">
        <v>0</v>
      </c>
      <c r="D2377" s="0" t="str">
        <f aca="false">IF(C2377=0,B2377,"")</f>
        <v>튯</v>
      </c>
      <c r="E2377" s="0" t="str">
        <f aca="false">IF(C2377=0,A2377,"")</f>
        <v>흇</v>
      </c>
    </row>
    <row r="2378" customFormat="false" ht="12.8" hidden="false" customHeight="false" outlineLevel="0" collapsed="false">
      <c r="A2378" s="0" t="s">
        <v>3221</v>
      </c>
      <c r="B2378" s="0" t="s">
        <v>2980</v>
      </c>
      <c r="C2378" s="0" t="n">
        <v>1</v>
      </c>
      <c r="D2378" s="0" t="str">
        <f aca="false">IF(C2378=0,B2378,"")</f>
        <v/>
      </c>
      <c r="E2378" s="0" t="str">
        <f aca="false">IF(C2378=0,A2378,"")</f>
        <v/>
      </c>
    </row>
    <row r="2379" customFormat="false" ht="12.8" hidden="false" customHeight="false" outlineLevel="0" collapsed="false">
      <c r="A2379" s="0" t="s">
        <v>3222</v>
      </c>
      <c r="B2379" s="0" t="s">
        <v>3124</v>
      </c>
      <c r="C2379" s="0" t="n">
        <v>1</v>
      </c>
      <c r="D2379" s="0" t="str">
        <f aca="false">IF(C2379=0,B2379,"")</f>
        <v/>
      </c>
      <c r="E2379" s="0" t="str">
        <f aca="false">IF(C2379=0,A2379,"")</f>
        <v/>
      </c>
    </row>
    <row r="2380" customFormat="false" ht="12.8" hidden="false" customHeight="false" outlineLevel="0" collapsed="false">
      <c r="A2380" s="0" t="s">
        <v>3223</v>
      </c>
      <c r="B2380" s="0" t="s">
        <v>2981</v>
      </c>
      <c r="C2380" s="0" t="n">
        <v>1</v>
      </c>
      <c r="D2380" s="0" t="str">
        <f aca="false">IF(C2380=0,B2380,"")</f>
        <v/>
      </c>
      <c r="E2380" s="0" t="str">
        <f aca="false">IF(C2380=0,A2380,"")</f>
        <v/>
      </c>
    </row>
    <row r="2381" customFormat="false" ht="12.8" hidden="false" customHeight="false" outlineLevel="0" collapsed="false">
      <c r="A2381" s="0" t="s">
        <v>3224</v>
      </c>
      <c r="B2381" s="0" t="s">
        <v>2982</v>
      </c>
      <c r="C2381" s="0" t="n">
        <v>1</v>
      </c>
      <c r="D2381" s="0" t="str">
        <f aca="false">IF(C2381=0,B2381,"")</f>
        <v/>
      </c>
      <c r="E2381" s="0" t="str">
        <f aca="false">IF(C2381=0,A2381,"")</f>
        <v/>
      </c>
    </row>
    <row r="2382" customFormat="false" ht="12.8" hidden="false" customHeight="false" outlineLevel="0" collapsed="false">
      <c r="A2382" s="0" t="s">
        <v>3225</v>
      </c>
      <c r="B2382" s="0" t="s">
        <v>2982</v>
      </c>
      <c r="C2382" s="0" t="n">
        <v>1</v>
      </c>
      <c r="D2382" s="0" t="str">
        <f aca="false">IF(C2382=0,B2382,"")</f>
        <v/>
      </c>
      <c r="E2382" s="0" t="str">
        <f aca="false">IF(C2382=0,A2382,"")</f>
        <v/>
      </c>
    </row>
    <row r="2383" customFormat="false" ht="12.8" hidden="false" customHeight="false" outlineLevel="0" collapsed="false">
      <c r="A2383" s="0" t="s">
        <v>3226</v>
      </c>
      <c r="B2383" s="0" t="s">
        <v>2988</v>
      </c>
      <c r="C2383" s="0" t="n">
        <v>1</v>
      </c>
      <c r="D2383" s="0" t="str">
        <f aca="false">IF(C2383=0,B2383,"")</f>
        <v/>
      </c>
      <c r="E2383" s="0" t="str">
        <f aca="false">IF(C2383=0,A2383,"")</f>
        <v/>
      </c>
    </row>
    <row r="2384" customFormat="false" ht="12.8" hidden="false" customHeight="false" outlineLevel="0" collapsed="false">
      <c r="A2384" s="0" t="s">
        <v>3227</v>
      </c>
      <c r="B2384" s="0" t="s">
        <v>2984</v>
      </c>
      <c r="C2384" s="0" t="n">
        <v>1</v>
      </c>
      <c r="D2384" s="0" t="str">
        <f aca="false">IF(C2384=0,B2384,"")</f>
        <v/>
      </c>
      <c r="E2384" s="0" t="str">
        <f aca="false">IF(C2384=0,A2384,"")</f>
        <v/>
      </c>
    </row>
    <row r="2385" customFormat="false" ht="12.8" hidden="false" customHeight="false" outlineLevel="0" collapsed="false">
      <c r="A2385" s="0" t="s">
        <v>3228</v>
      </c>
      <c r="B2385" s="0" t="s">
        <v>2984</v>
      </c>
      <c r="C2385" s="0" t="n">
        <v>1</v>
      </c>
      <c r="D2385" s="0" t="str">
        <f aca="false">IF(C2385=0,B2385,"")</f>
        <v/>
      </c>
      <c r="E2385" s="0" t="str">
        <f aca="false">IF(C2385=0,A2385,"")</f>
        <v/>
      </c>
    </row>
    <row r="2386" customFormat="false" ht="12.8" hidden="false" customHeight="false" outlineLevel="0" collapsed="false">
      <c r="A2386" s="0" t="s">
        <v>3229</v>
      </c>
      <c r="B2386" s="0" t="s">
        <v>2986</v>
      </c>
      <c r="C2386" s="0" t="n">
        <v>1</v>
      </c>
      <c r="D2386" s="0" t="str">
        <f aca="false">IF(C2386=0,B2386,"")</f>
        <v/>
      </c>
      <c r="E2386" s="0" t="str">
        <f aca="false">IF(C2386=0,A2386,"")</f>
        <v/>
      </c>
    </row>
    <row r="2387" customFormat="false" ht="12.8" hidden="false" customHeight="false" outlineLevel="0" collapsed="false">
      <c r="A2387" s="0" t="s">
        <v>3230</v>
      </c>
      <c r="B2387" s="0" t="s">
        <v>2987</v>
      </c>
      <c r="C2387" s="0" t="n">
        <v>1</v>
      </c>
      <c r="D2387" s="0" t="str">
        <f aca="false">IF(C2387=0,B2387,"")</f>
        <v/>
      </c>
      <c r="E2387" s="0" t="str">
        <f aca="false">IF(C2387=0,A2387,"")</f>
        <v/>
      </c>
    </row>
    <row r="2388" customFormat="false" ht="12.8" hidden="false" customHeight="false" outlineLevel="0" collapsed="false">
      <c r="A2388" s="0" t="s">
        <v>3231</v>
      </c>
      <c r="B2388" s="0" t="s">
        <v>2988</v>
      </c>
      <c r="C2388" s="0" t="n">
        <v>1</v>
      </c>
      <c r="D2388" s="0" t="str">
        <f aca="false">IF(C2388=0,B2388,"")</f>
        <v/>
      </c>
      <c r="E2388" s="0" t="str">
        <f aca="false">IF(C2388=0,A2388,"")</f>
        <v/>
      </c>
    </row>
    <row r="2389" customFormat="false" ht="12.8" hidden="false" customHeight="false" outlineLevel="0" collapsed="false">
      <c r="A2389" s="0" t="s">
        <v>3232</v>
      </c>
      <c r="B2389" s="0" t="s">
        <v>3640</v>
      </c>
      <c r="C2389" s="0" t="n">
        <v>0</v>
      </c>
      <c r="D2389" s="0" t="str">
        <f aca="false">IF(C2389=0,B2389,"")</f>
        <v>틍</v>
      </c>
      <c r="E2389" s="0" t="str">
        <f aca="false">IF(C2389=0,A2389,"")</f>
        <v>흥</v>
      </c>
    </row>
    <row r="2390" customFormat="false" ht="12.8" hidden="false" customHeight="false" outlineLevel="0" collapsed="false">
      <c r="A2390" s="0" t="s">
        <v>3233</v>
      </c>
      <c r="B2390" s="0" t="s">
        <v>2988</v>
      </c>
      <c r="C2390" s="0" t="n">
        <v>1</v>
      </c>
      <c r="D2390" s="0" t="str">
        <f aca="false">IF(C2390=0,B2390,"")</f>
        <v/>
      </c>
      <c r="E2390" s="0" t="str">
        <f aca="false">IF(C2390=0,A2390,"")</f>
        <v/>
      </c>
    </row>
    <row r="2391" customFormat="false" ht="12.8" hidden="false" customHeight="false" outlineLevel="0" collapsed="false">
      <c r="A2391" s="0" t="s">
        <v>3234</v>
      </c>
      <c r="B2391" s="0" t="s">
        <v>3240</v>
      </c>
      <c r="C2391" s="0" t="n">
        <v>1</v>
      </c>
      <c r="D2391" s="0" t="str">
        <f aca="false">IF(C2391=0,B2391,"")</f>
        <v/>
      </c>
      <c r="E2391" s="0" t="str">
        <f aca="false">IF(C2391=0,A2391,"")</f>
        <v/>
      </c>
    </row>
    <row r="2392" customFormat="false" ht="12.8" hidden="false" customHeight="false" outlineLevel="0" collapsed="false">
      <c r="A2392" s="0" t="s">
        <v>3235</v>
      </c>
      <c r="B2392" s="0" t="s">
        <v>2990</v>
      </c>
      <c r="C2392" s="0" t="n">
        <v>1</v>
      </c>
      <c r="D2392" s="0" t="str">
        <f aca="false">IF(C2392=0,B2392,"")</f>
        <v/>
      </c>
      <c r="E2392" s="0" t="str">
        <f aca="false">IF(C2392=0,A2392,"")</f>
        <v/>
      </c>
    </row>
    <row r="2393" customFormat="false" ht="12.8" hidden="false" customHeight="false" outlineLevel="0" collapsed="false">
      <c r="A2393" s="0" t="s">
        <v>705</v>
      </c>
      <c r="B2393" s="20" t="s">
        <v>3522</v>
      </c>
      <c r="C2393" s="0" t="n">
        <v>1</v>
      </c>
      <c r="D2393" s="0" t="str">
        <f aca="false">IF(C2393=0,B2393,"")</f>
        <v/>
      </c>
      <c r="E2393" s="0" t="str">
        <f aca="false">IF(C2393=0,A2393,"")</f>
        <v/>
      </c>
    </row>
    <row r="2394" customFormat="false" ht="12.8" hidden="false" customHeight="false" outlineLevel="0" collapsed="false">
      <c r="A2394" s="0" t="s">
        <v>3236</v>
      </c>
      <c r="B2394" s="0" t="s">
        <v>2991</v>
      </c>
      <c r="C2394" s="0" t="n">
        <v>1</v>
      </c>
      <c r="D2394" s="0" t="str">
        <f aca="false">IF(C2394=0,B2394,"")</f>
        <v/>
      </c>
      <c r="E2394" s="0" t="str">
        <f aca="false">IF(C2394=0,A2394,"")</f>
        <v/>
      </c>
    </row>
    <row r="2395" customFormat="false" ht="12.8" hidden="false" customHeight="false" outlineLevel="0" collapsed="false">
      <c r="A2395" s="0" t="s">
        <v>3237</v>
      </c>
      <c r="B2395" s="0" t="s">
        <v>2992</v>
      </c>
      <c r="C2395" s="0" t="n">
        <v>1</v>
      </c>
      <c r="D2395" s="0" t="str">
        <f aca="false">IF(C2395=0,B2395,"")</f>
        <v/>
      </c>
      <c r="E2395" s="0" t="str">
        <f aca="false">IF(C2395=0,A2395,"")</f>
        <v/>
      </c>
    </row>
    <row r="2396" customFormat="false" ht="12.8" hidden="false" customHeight="false" outlineLevel="0" collapsed="false">
      <c r="A2396" s="0" t="s">
        <v>3238</v>
      </c>
      <c r="B2396" s="0" t="s">
        <v>2993</v>
      </c>
      <c r="C2396" s="0" t="n">
        <v>1</v>
      </c>
      <c r="D2396" s="0" t="str">
        <f aca="false">IF(C2396=0,B2396,"")</f>
        <v/>
      </c>
      <c r="E2396" s="0" t="str">
        <f aca="false">IF(C2396=0,A2396,"")</f>
        <v/>
      </c>
    </row>
    <row r="2397" customFormat="false" ht="12.8" hidden="false" customHeight="false" outlineLevel="0" collapsed="false">
      <c r="A2397" s="0" t="s">
        <v>3239</v>
      </c>
      <c r="B2397" s="0" t="s">
        <v>3641</v>
      </c>
      <c r="C2397" s="0" t="n">
        <v>0</v>
      </c>
      <c r="D2397" s="0" t="str">
        <f aca="false">IF(C2397=0,B2397,"")</f>
        <v>틩</v>
      </c>
      <c r="E2397" s="0" t="str">
        <f aca="false">IF(C2397=0,A2397,"")</f>
        <v>힁</v>
      </c>
    </row>
    <row r="2398" customFormat="false" ht="12.8" hidden="false" customHeight="false" outlineLevel="0" collapsed="false">
      <c r="A2398" s="0" t="s">
        <v>3240</v>
      </c>
      <c r="B2398" s="0" t="s">
        <v>3222</v>
      </c>
      <c r="C2398" s="0" t="n">
        <v>1</v>
      </c>
      <c r="D2398" s="0" t="str">
        <f aca="false">IF(C2398=0,B2398,"")</f>
        <v/>
      </c>
      <c r="E2398" s="0" t="str">
        <f aca="false">IF(C2398=0,A2398,"")</f>
        <v/>
      </c>
    </row>
    <row r="2399" customFormat="false" ht="12.8" hidden="false" customHeight="false" outlineLevel="0" collapsed="false">
      <c r="A2399" s="0" t="s">
        <v>3241</v>
      </c>
      <c r="B2399" s="0" t="s">
        <v>2995</v>
      </c>
      <c r="C2399" s="0" t="n">
        <v>1</v>
      </c>
      <c r="D2399" s="0" t="str">
        <f aca="false">IF(C2399=0,B2399,"")</f>
        <v/>
      </c>
      <c r="E2399" s="0" t="str">
        <f aca="false">IF(C2399=0,A2399,"")</f>
        <v/>
      </c>
    </row>
    <row r="2400" customFormat="false" ht="12.8" hidden="false" customHeight="false" outlineLevel="0" collapsed="false">
      <c r="A2400" s="0" t="s">
        <v>3242</v>
      </c>
      <c r="B2400" s="0" t="s">
        <v>2996</v>
      </c>
      <c r="C2400" s="0" t="n">
        <v>1</v>
      </c>
      <c r="D2400" s="0" t="str">
        <f aca="false">IF(C2400=0,B2400,"")</f>
        <v/>
      </c>
      <c r="E2400" s="0" t="str">
        <f aca="false">IF(C2400=0,A2400,"")</f>
        <v/>
      </c>
    </row>
    <row r="2401" customFormat="false" ht="12.8" hidden="false" customHeight="false" outlineLevel="0" collapsed="false">
      <c r="A2401" s="0" t="s">
        <v>3243</v>
      </c>
      <c r="B2401" s="0" t="s">
        <v>2997</v>
      </c>
      <c r="C2401" s="0" t="n">
        <v>1</v>
      </c>
      <c r="D2401" s="0" t="str">
        <f aca="false">IF(C2401=0,B2401,"")</f>
        <v/>
      </c>
      <c r="E2401" s="0" t="str">
        <f aca="false">IF(C2401=0,A2401,"")</f>
        <v/>
      </c>
    </row>
    <row r="2402" customFormat="false" ht="12.8" hidden="false" customHeight="false" outlineLevel="0" collapsed="false">
      <c r="A2402" s="0" t="s">
        <v>3244</v>
      </c>
      <c r="B2402" s="0" t="s">
        <v>2998</v>
      </c>
      <c r="C2402" s="0" t="n">
        <v>1</v>
      </c>
      <c r="D2402" s="0" t="str">
        <f aca="false">IF(C2402=0,B2402,"")</f>
        <v/>
      </c>
      <c r="E2402" s="0" t="str">
        <f aca="false">IF(C2402=0,A2402,"")</f>
        <v/>
      </c>
    </row>
    <row r="2403" customFormat="false" ht="12.8" hidden="false" customHeight="false" outlineLevel="0" collapsed="false">
      <c r="A2403" s="0" t="s">
        <v>3245</v>
      </c>
      <c r="B2403" s="0" t="s">
        <v>2999</v>
      </c>
      <c r="C2403" s="0" t="n">
        <v>1</v>
      </c>
      <c r="D2403" s="0" t="str">
        <f aca="false">IF(C2403=0,B2403,"")</f>
        <v/>
      </c>
      <c r="E2403" s="0" t="str">
        <f aca="false">IF(C2403=0,A2403,"")</f>
        <v/>
      </c>
    </row>
    <row r="2404" customFormat="false" ht="12.8" hidden="false" customHeight="false" outlineLevel="0" collapsed="false">
      <c r="A2404" s="0" t="s">
        <v>3246</v>
      </c>
      <c r="B2404" s="0" t="s">
        <v>3000</v>
      </c>
      <c r="C2404" s="0" t="n">
        <v>1</v>
      </c>
      <c r="D2404" s="0" t="str">
        <f aca="false">IF(C2404=0,B2404,"")</f>
        <v/>
      </c>
      <c r="E2404" s="0" t="str">
        <f aca="false">IF(C2404=0,A2404,"")</f>
        <v/>
      </c>
    </row>
    <row r="2405" customFormat="false" ht="12.8" hidden="false" customHeight="false" outlineLevel="0" collapsed="false">
      <c r="A2405" s="0" t="s">
        <v>3247</v>
      </c>
      <c r="B2405" s="0" t="s">
        <v>3001</v>
      </c>
      <c r="C2405" s="0" t="n">
        <v>1</v>
      </c>
      <c r="D2405" s="0" t="str">
        <f aca="false">IF(C2405=0,B2405,"")</f>
        <v/>
      </c>
      <c r="E2405" s="0" t="str">
        <f aca="false">IF(C2405=0,A2405,"")</f>
        <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Roman,보통"&amp;12&amp;A</oddHeader>
    <oddFooter>&amp;C&amp;"Times New Roman,보통"&amp;12페이지 &amp;P</oddFooter>
  </headerFooter>
</worksheet>
</file>

<file path=docProps/app.xml><?xml version="1.0" encoding="utf-8"?>
<Properties xmlns="http://schemas.openxmlformats.org/officeDocument/2006/extended-properties" xmlns:vt="http://schemas.openxmlformats.org/officeDocument/2006/docPropsVTypes">
  <Template/>
  <TotalTime>1872</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2025-09-01T21:51:56Z</dcterms:created>
  <dc:creator/>
  <dc:description/>
  <dc:language>ko-KR</dc:language>
  <cp:lastModifiedBy/>
  <dcterms:modified xsi:type="dcterms:W3CDTF">2025-10-03T22:17:03Z</dcterms:modified>
  <cp:revision>159</cp:revision>
  <dc:subject/>
  <dc:title/>
</cp:coreProperties>
</file>

<file path=docProps/custom.xml><?xml version="1.0" encoding="utf-8"?>
<Properties xmlns="http://schemas.openxmlformats.org/officeDocument/2006/custom-properties" xmlns:vt="http://schemas.openxmlformats.org/officeDocument/2006/docPropsVTypes"/>
</file>